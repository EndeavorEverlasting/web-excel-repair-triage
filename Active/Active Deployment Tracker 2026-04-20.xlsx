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9.xml" ContentType="application/vnd.openxmlformats-officedocument.spreadsheetml.table+xml"/>
  <Override PartName="/xl/worksheets/sheet28.xml" ContentType="application/vnd.openxmlformats-officedocument.spreadsheetml.worksheet+xml"/>
  <Override PartName="/xl/drawings/drawing1.xml" ContentType="application/vnd.openxmlformats-officedocument.drawing+xml"/>
  <Override PartName="/xl/worksheets/sheet29.xml" ContentType="application/vnd.openxmlformats-officedocument.spreadsheetml.worksheet+xml"/>
  <Override PartName="/xl/tables/table10.xml" ContentType="application/vnd.openxmlformats-officedocument.spreadsheetml.table+xml"/>
  <Override PartName="/xl/worksheets/sheet30.xml" ContentType="application/vnd.openxmlformats-officedocument.spreadsheetml.worksheet+xml"/>
  <Override PartName="/xl/tables/table11.xml" ContentType="application/vnd.openxmlformats-officedocument.spreadsheetml.table+xml"/>
  <Override PartName="/xl/worksheets/sheet31.xml" ContentType="application/vnd.openxmlformats-officedocument.spreadsheetml.worksheet+xml"/>
  <Override PartName="/xl/tables/table12.xml" ContentType="application/vnd.openxmlformats-officedocument.spreadsheetml.table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4" activeTab="14" autoFilterDateGrouping="1"/>
  </bookViews>
  <sheets>
    <sheet xmlns:r="http://schemas.openxmlformats.org/officeDocument/2006/relationships" name="00_Error_Log" sheetId="1" state="visible" r:id="rId1"/>
    <sheet xmlns:r="http://schemas.openxmlformats.org/officeDocument/2006/relationships" name="00_CF_Dictionary" sheetId="2" state="visible" r:id="rId2"/>
    <sheet xmlns:r="http://schemas.openxmlformats.org/officeDocument/2006/relationships" name="00_README" sheetId="3" state="visible" r:id="rId3"/>
    <sheet xmlns:r="http://schemas.openxmlformats.org/officeDocument/2006/relationships" name="01_Warehouse_Ledger" sheetId="4" state="visible" r:id="rId4"/>
    <sheet xmlns:r="http://schemas.openxmlformats.org/officeDocument/2006/relationships" name="02_Warehouse_Locations" sheetId="5" state="visible" r:id="rId5"/>
    <sheet xmlns:r="http://schemas.openxmlformats.org/officeDocument/2006/relationships" name="03_Warehouse_Movements" sheetId="6" state="visible" r:id="rId6"/>
    <sheet xmlns:r="http://schemas.openxmlformats.org/officeDocument/2006/relationships" name="04_Label_Export" sheetId="7" state="visible" r:id="rId7"/>
    <sheet xmlns:r="http://schemas.openxmlformats.org/officeDocument/2006/relationships" name="05_Scan_Lookup" sheetId="8" state="visible" r:id="rId8"/>
    <sheet xmlns:r="http://schemas.openxmlformats.org/officeDocument/2006/relationships" name="06_Warehouse_Map" sheetId="9" state="visible" r:id="rId9"/>
    <sheet xmlns:r="http://schemas.openxmlformats.org/officeDocument/2006/relationships" name="07_Pallet_Contents" sheetId="10" state="visible" r:id="rId10"/>
    <sheet xmlns:r="http://schemas.openxmlformats.org/officeDocument/2006/relationships" name="11 - Inventory Master" sheetId="11" state="visible" r:id="rId11"/>
    <sheet xmlns:r="http://schemas.openxmlformats.org/officeDocument/2006/relationships" name="NSUH Transport Recon" sheetId="12" state="visible" r:id="rId12"/>
    <sheet xmlns:r="http://schemas.openxmlformats.org/officeDocument/2006/relationships" name="12.0 - Deprecated Recon" sheetId="13" state="visible" r:id="rId13"/>
    <sheet xmlns:r="http://schemas.openxmlformats.org/officeDocument/2006/relationships" name="12.1-My Inventory List" sheetId="14" state="visible" r:id="rId14"/>
    <sheet xmlns:r="http://schemas.openxmlformats.org/officeDocument/2006/relationships" name="Deployments" sheetId="15" state="visible" r:id="rId15"/>
    <sheet xmlns:r="http://schemas.openxmlformats.org/officeDocument/2006/relationships" name="4_25 and 4_26" sheetId="16" state="visible" r:id="rId16"/>
    <sheet xmlns:r="http://schemas.openxmlformats.org/officeDocument/2006/relationships" name="configured cybernets 3_9_26" sheetId="17" state="visible" r:id="rId17"/>
    <sheet xmlns:r="http://schemas.openxmlformats.org/officeDocument/2006/relationships" name="15 - Imaging Progress" sheetId="18" state="visible" r:id="rId18"/>
    <sheet xmlns:r="http://schemas.openxmlformats.org/officeDocument/2006/relationships" name="13 - Config_Intake_View" sheetId="19" state="visible" r:id="rId19"/>
    <sheet xmlns:r="http://schemas.openxmlformats.org/officeDocument/2006/relationships" name="14 - Config Log" sheetId="20" state="visible" r:id="rId20"/>
    <sheet xmlns:r="http://schemas.openxmlformats.org/officeDocument/2006/relationships" name="14A - Config Snapshot" sheetId="21" state="visible" r:id="rId21"/>
    <sheet xmlns:r="http://schemas.openxmlformats.org/officeDocument/2006/relationships" name="20_WAVE_1" sheetId="22" state="visible" r:id="rId22"/>
    <sheet xmlns:r="http://schemas.openxmlformats.org/officeDocument/2006/relationships" name="21_WAVE_2" sheetId="23" state="visible" r:id="rId23"/>
    <sheet xmlns:r="http://schemas.openxmlformats.org/officeDocument/2006/relationships" name="24_ADDONS" sheetId="24" state="visible" r:id="rId24"/>
    <sheet xmlns:r="http://schemas.openxmlformats.org/officeDocument/2006/relationships" name="22_PO_CDW" sheetId="25" state="visible" r:id="rId25"/>
    <sheet xmlns:r="http://schemas.openxmlformats.org/officeDocument/2006/relationships" name="23_SPARES" sheetId="26" state="visible" r:id="rId26"/>
    <sheet xmlns:r="http://schemas.openxmlformats.org/officeDocument/2006/relationships" name="30 - Task List - Gantt Scratch" sheetId="27" state="visible" r:id="rId27"/>
    <sheet xmlns:r="http://schemas.openxmlformats.org/officeDocument/2006/relationships" name="40_Dashboard" sheetId="28" state="visible" r:id="rId28"/>
    <sheet xmlns:r="http://schemas.openxmlformats.org/officeDocument/2006/relationships" name="50_Checklists" sheetId="29" state="visible" r:id="rId29"/>
    <sheet xmlns:r="http://schemas.openxmlformats.org/officeDocument/2006/relationships" name="60_Readiness_Heatmap" sheetId="30" state="visible" r:id="rId30"/>
    <sheet xmlns:r="http://schemas.openxmlformats.org/officeDocument/2006/relationships" name="90_Formula_Library" sheetId="31" state="visible" r:id="rId31"/>
    <sheet xmlns:r="http://schemas.openxmlformats.org/officeDocument/2006/relationships" name="99_Config" sheetId="32" state="visible" r:id="rId32"/>
  </sheets>
  <definedNames>
    <definedName name="ItemModel">'12.1-My Inventory List'!$D$2:$D$1048576</definedName>
    <definedName name="ItemType">'12.1-My Inventory List'!$A$2:$A$1048576</definedName>
    <definedName name="_xlnm._FilterDatabase" localSheetId="18" hidden="1">'13 - Config_Intake_View'!$A$1:$AA$1</definedName>
  </definedNames>
  <calcPr calcId="191028" fullCalcOnLoad="1" forceFullCalc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-mm\-dd\ hh:mm"/>
    <numFmt numFmtId="166" formatCode="yyyy\-mm\-dd\ h:mm:ss"/>
    <numFmt numFmtId="167" formatCode="0.0%"/>
  </numFmts>
  <fonts count="23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sz val="12"/>
    </font>
    <font>
      <name val="Arial"/>
      <color rgb="FF000000"/>
      <sz val="10"/>
    </font>
    <font>
      <name val="Aptos Narrow"/>
      <charset val="1"/>
      <color rgb="FF242424"/>
      <sz val="11"/>
    </font>
    <font>
      <name val="Calibri"/>
      <family val="2"/>
      <b val="1"/>
      <color theme="1"/>
      <sz val="11"/>
      <scheme val="minor"/>
    </font>
    <font>
      <name val="Calibri"/>
      <sz val="12"/>
    </font>
    <font>
      <name val="Calibri"/>
      <b val="1"/>
      <color rgb="FFFFFFFF"/>
      <sz val="16"/>
    </font>
    <font>
      <name val="Calibri"/>
      <sz val="11"/>
    </font>
    <font>
      <name val="Calibri"/>
      <b val="1"/>
      <color rgb="FFFFFFFF"/>
      <sz val="12"/>
    </font>
    <font>
      <name val="Calibri"/>
      <family val="2"/>
      <color rgb="FF0000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000000"/>
      <sz val="11"/>
    </font>
    <font>
      <name val="Calibri"/>
      <charset val="1"/>
      <color rgb="FF000000"/>
      <sz val="11"/>
    </font>
    <font>
      <name val="Calibri"/>
      <charset val="1"/>
      <color rgb="FFFFFFFF"/>
      <sz val="11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u val="single"/>
      <scheme val="minor"/>
    </font>
    <font>
      <name val="Aptos Narrow"/>
      <family val="2"/>
      <color rgb="FF000000"/>
      <sz val="11"/>
    </font>
    <font>
      <name val="Calibri"/>
      <family val="2"/>
      <strike val="1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8" fillId="0" borderId="4" pivotButton="0" quotePrefix="0" xfId="0"/>
    <xf numFmtId="14" fontId="0" fillId="0" borderId="0" pivotButton="0" quotePrefix="0" xfId="0"/>
    <xf numFmtId="0" fontId="0" fillId="0" borderId="5" applyAlignment="1" pivotButton="0" quotePrefix="0" xfId="0">
      <alignment vertical="top" wrapText="1"/>
    </xf>
    <xf numFmtId="0" fontId="0" fillId="3" borderId="5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" fontId="0" fillId="0" borderId="1" applyAlignment="1" pivotButton="0" quotePrefix="0" xfId="0">
      <alignment vertical="top" wrapText="1"/>
    </xf>
    <xf numFmtId="164" fontId="0" fillId="0" borderId="0" pivotButton="0" quotePrefix="0" xfId="0"/>
    <xf numFmtId="1" fontId="0" fillId="0" borderId="0" pivotButton="0" quotePrefix="0" xfId="0"/>
    <xf numFmtId="14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0" fillId="5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14" fillId="7" borderId="8" pivotButton="0" quotePrefix="0" xfId="0"/>
    <xf numFmtId="0" fontId="0" fillId="6" borderId="9" pivotButton="0" quotePrefix="0" xfId="0"/>
    <xf numFmtId="0" fontId="0" fillId="8" borderId="9" pivotButton="0" quotePrefix="0" xfId="0"/>
    <xf numFmtId="0" fontId="14" fillId="7" borderId="10" pivotButton="0" quotePrefix="0" xfId="0"/>
    <xf numFmtId="0" fontId="0" fillId="6" borderId="7" pivotButton="0" quotePrefix="0" xfId="0"/>
    <xf numFmtId="0" fontId="0" fillId="8" borderId="7" pivotButton="0" quotePrefix="0" xfId="0"/>
    <xf numFmtId="14" fontId="0" fillId="6" borderId="7" pivotButton="0" quotePrefix="0" xfId="0"/>
    <xf numFmtId="14" fontId="0" fillId="8" borderId="7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12" pivotButton="0" quotePrefix="0" xfId="0"/>
    <xf numFmtId="14" fontId="0" fillId="0" borderId="12" pivotButton="0" quotePrefix="0" xfId="0"/>
    <xf numFmtId="0" fontId="15" fillId="9" borderId="0" pivotButton="0" quotePrefix="0" xfId="0"/>
    <xf numFmtId="0" fontId="16" fillId="0" borderId="0" pivotButton="0" quotePrefix="0" xfId="0"/>
    <xf numFmtId="49" fontId="0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left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14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" fontId="18" fillId="0" borderId="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14" fontId="13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6" fillId="0" borderId="0" pivotButton="0" quotePrefix="0" xfId="0"/>
    <xf numFmtId="0" fontId="22" fillId="10" borderId="0" pivotButton="0" quotePrefix="0" xfId="0"/>
    <xf numFmtId="0" fontId="22" fillId="10" borderId="0" applyAlignment="1" pivotButton="0" quotePrefix="0" xfId="0">
      <alignment horizontal="center" vertical="center" wrapText="1"/>
    </xf>
    <xf numFmtId="14" fontId="22" fillId="10" borderId="0" pivotButton="0" quotePrefix="0" xfId="0"/>
    <xf numFmtId="0" fontId="11" fillId="0" borderId="0" applyAlignment="1" pivotButton="0" quotePrefix="0" xfId="0">
      <alignment vertical="top" wrapText="1"/>
    </xf>
    <xf numFmtId="0" fontId="12" fillId="4" borderId="0" applyAlignment="1" pivotButton="0" quotePrefix="0" xfId="0">
      <alignment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18" fillId="11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dxfs count="411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"/>
        </patternFill>
      </fill>
    </dxf>
    <dxf>
      <font>
        <color theme="1"/>
      </font>
      <fill>
        <patternFill patternType="solid">
          <bgColor theme="9" tint="0.5999938962981048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"/>
        </patternFill>
      </fill>
    </dxf>
    <dxf>
      <font>
        <b val="1"/>
        <color rgb="FF9C5700"/>
      </font>
      <fill>
        <patternFill patternType="solid">
          <fgColor rgb="FFFCE4D6"/>
          <bgColor rgb="FFFCE4D6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C8A6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numFmt numFmtId="19" formatCode="m/d/yyyy"/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C8A6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C8A6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C8A6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C8A6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C8A6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C8A6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C8A6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theme="4" tint="0.5999938962981048"/>
          <bgColor indexed="64"/>
        </patternFill>
      </fill>
    </dxf>
    <dxf>
      <fill>
        <patternFill patternType="solid">
          <fgColor theme="4" tint="0.5999938962981048"/>
          <bgColor indexed="64"/>
        </patternFill>
      </fill>
    </dxf>
    <dxf>
      <fill>
        <patternFill patternType="solid">
          <fgColor theme="4" tint="0.5999938962981048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theme="4" tint="0.5999938962981048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theme="4" tint="0.5999938962981048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0CC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E0CC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E0CCFF"/>
          <bgColor indexed="64"/>
        </patternFill>
      </fill>
    </dxf>
    <dxf>
      <fill>
        <patternFill patternType="solid">
          <fgColor rgb="FFC8A6FF"/>
          <bgColor indexed="64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E0CCFF"/>
          <bgColor indexed="64"/>
        </patternFill>
      </fill>
    </dxf>
    <dxf>
      <fill>
        <patternFill patternType="solid">
          <fgColor rgb="FFC8A6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E0CC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b val="1"/>
        <color rgb="FF9C5700"/>
      </font>
      <fill>
        <patternFill patternType="solid">
          <fgColor rgb="FFFCE4D6"/>
          <bgColor rgb="FFFCE4D6"/>
        </patternFill>
      </fill>
    </dxf>
    <dxf>
      <font>
        <b val="1"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theme="4" tint="0.5999938962981048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numFmt numFmtId="19" formatCode="m/d/yyyy"/>
      <alignment horizontal="center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4DFEC"/>
          <bgColor rgb="FFE4DFE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/>
      </fill>
    </dxf>
    <dxf>
      <fill>
        <patternFill>
          <fgColor theme="4" tint="0.5999938962981048"/>
          <bgColor indexed="64"/>
        </patternFill>
      </fill>
    </dxf>
    <dxf>
      <font>
        <b val="1"/>
        <color rgb="FF9C0006"/>
      </font>
      <fill>
        <patternFill>
          <fgColor rgb="FFFFC7CE"/>
          <bgColor rgb="FFFFC7CE"/>
        </patternFill>
      </fill>
    </dxf>
    <dxf>
      <font>
        <b val="1"/>
        <color rgb="FF9C0006"/>
      </font>
      <fill>
        <patternFill>
          <fgColor rgb="FFFFC7CE"/>
          <bgColor rgb="FFFFC7CE"/>
        </patternFill>
      </fill>
    </dxf>
    <dxf>
      <fill>
        <patternFill/>
      </fill>
      <alignment horizontal="center" vertical="bottom"/>
    </dxf>
    <dxf>
      <font>
        <b val="1"/>
        <color rgb="FF9C0006"/>
      </font>
      <fill>
        <patternFill>
          <fgColor rgb="FFFFC7CE"/>
          <bgColor rgb="FFFFC7CE"/>
        </patternFill>
      </fill>
    </dxf>
    <dxf>
      <fill>
        <patternFill/>
      </fill>
    </dxf>
    <dxf>
      <fill>
        <patternFill/>
      </fill>
    </dxf>
    <dxf>
      <numFmt numFmtId="19" formatCode="m/d/yyyy"/>
      <fill>
        <patternFill/>
      </fill>
    </dxf>
    <dxf>
      <fill>
        <patternFill/>
      </fill>
    </dxf>
    <dxf>
      <font>
        <b val="1"/>
        <color rgb="FF9C0006"/>
      </font>
      <fill>
        <patternFill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Neuron vs Cybernet Sent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'40_Dashboard'!$B$4</f>
              <strCache>
                <ptCount val="1"/>
                <pt idx="0">
                  <v>Cybernet Sent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'40_Dashboard'!$A$5:$A$9</f>
              <strCache>
                <ptCount val="5"/>
                <pt idx="0">
                  <v>WAVE_2</v>
                </pt>
                <pt idx="1">
                  <v>PO_CDW</v>
                </pt>
                <pt idx="2">
                  <v>SPARES</v>
                </pt>
                <pt idx="3">
                  <v>ADDONS</v>
                </pt>
                <pt idx="4">
                  <v>Device Readiness — Blocker Counts (from 15_Device_Configuration)</v>
                </pt>
              </strCache>
            </strRef>
          </cat>
          <val>
            <numRef>
              <f>'40_Dashboard'!$B$5:$B$9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tx>
            <strRef>
              <f>'40_Dashboard'!$C$4</f>
              <strCache>
                <ptCount val="1"/>
                <pt idx="0">
                  <v>Mouse&amp;KB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'40_Dashboard'!$A$5:$A$9</f>
              <strCache>
                <ptCount val="5"/>
                <pt idx="0">
                  <v>WAVE_2</v>
                </pt>
                <pt idx="1">
                  <v>PO_CDW</v>
                </pt>
                <pt idx="2">
                  <v>SPARES</v>
                </pt>
                <pt idx="3">
                  <v>ADDONS</v>
                </pt>
                <pt idx="4">
                  <v>Device Readiness — Blocker Counts (from 15_Device_Configuration)</v>
                </pt>
              </strCache>
            </strRef>
          </cat>
          <val>
            <numRef>
              <f>'40_Dashboard'!$C$5:$C$9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Units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Blockers (Count)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'40_Dashboard'!$A$15:$A$20</f>
              <strCache>
                <ptCount val="6"/>
                <pt idx="0">
                  <v>Battery</v>
                </pt>
                <pt idx="1">
                  <v>Firmware Download</v>
                </pt>
                <pt idx="2">
                  <v>Firmware Install</v>
                </pt>
                <pt idx="3">
                  <v>Device ID</v>
                </pt>
                <pt idx="4">
                  <v>Epic Beans Relay</v>
                </pt>
                <pt idx="5">
                  <v>Ready (No Blockers)</v>
                </pt>
              </strCache>
            </strRef>
          </cat>
          <val>
            <numRef>
              <f>'40_Dashboard'!$B$15:$B$20</f>
              <numCache>
                <formatCode>General</formatCode>
                <ptCount val="6"/>
                <pt idx="0">
                  <v>#N/A</v>
                </pt>
                <pt idx="1">
                  <v>#N/A</v>
                </pt>
                <pt idx="2">
                  <v>314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rrorLog" displayName="tblErrorLog" ref="A1:M4" headerRowCount="1">
  <autoFilter ref="A1:M4"/>
  <tableColumns count="13">
    <tableColumn id="1" name="Log ID"/>
    <tableColumn id="2" name="Logged On"/>
    <tableColumn id="3" name="Version"/>
    <tableColumn id="4" name="Scope"/>
    <tableColumn id="5" name="Category"/>
    <tableColumn id="6" name="Severity"/>
    <tableColumn id="7" name="Trigger"/>
    <tableColumn id="8" name="Issue"/>
    <tableColumn id="9" name="Impact"/>
    <tableColumn id="10" name="Fix / Next Step"/>
    <tableColumn id="11" name="Owner"/>
    <tableColumn id="12" name="Status"/>
    <tableColumn id="13" name="Notes / Eviden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CFDictionary" displayName="tblCFDictionary" ref="A1:L183" headerRowCount="1">
  <autoFilter ref="A1:L183"/>
  <tableColumns count="12">
    <tableColumn id="1" name="Sheet"/>
    <tableColumn id="2" name="Table"/>
    <tableColumn id="3" name="AppliesTo"/>
    <tableColumn id="4" name="RuleType"/>
    <tableColumn id="5" name="Priority"/>
    <tableColumn id="6" name="Formula"/>
    <tableColumn id="7" name="dxfId"/>
    <tableColumn id="8" name="Purpose"/>
    <tableColumn id="9" name="Color/category"/>
    <tableColumn id="10" name="Color Signature"/>
    <tableColumn id="11" name="Color Name"/>
    <tableColumn id="12" name="Caus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5" displayName="Table5" ref="A1:I200" headerRowCount="1" totalsRowShown="0" headerRowDxfId="395" dataDxfId="394">
  <autoFilter ref="A1:I200"/>
  <tableColumns count="9">
    <tableColumn id="1" name="Date Updated" dataDxfId="393"/>
    <tableColumn id="2" name="Item Type" dataDxfId="392"/>
    <tableColumn id="3" name="Item Name" dataDxfId="391"/>
    <tableColumn id="4" name="Count" dataDxfId="390"/>
    <tableColumn id="9" name="Needed According to Tim - 3/9" dataDxfId="389"/>
    <tableColumn id="6" name="Site Locations" dataDxfId="388"/>
    <tableColumn id="8" name="Area" dataDxfId="387"/>
    <tableColumn id="5" name="Subarea" dataDxfId="386"/>
    <tableColumn id="7" name="Notes" dataDxfId="385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id="4" name="Table1111" displayName="Table1111" ref="A1:F100" headerRowCount="1" totalsRowShown="0" headerRowDxfId="363" dataDxfId="362">
  <autoFilter ref="A1:F100"/>
  <tableColumns count="6">
    <tableColumn id="2" name="Item Type" dataDxfId="361"/>
    <tableColumn id="15" name="Model/Part #" dataDxfId="360"/>
    <tableColumn id="5" name="Quantity" dataDxfId="359"/>
    <tableColumn id="9" name="Packaging State" dataDxfId="358"/>
    <tableColumn id="11" name="Condition" dataDxfId="357"/>
    <tableColumn id="14" name="Notes" dataDxfId="356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id="5" name="Table11" displayName="Table11" ref="A1:R100" headerRowCount="1" totalsRowShown="0" headerRowDxfId="334" dataDxfId="333">
  <autoFilter ref="A1:R100"/>
  <tableColumns count="18">
    <tableColumn id="1" name="Date Added" dataDxfId="332"/>
    <tableColumn id="2" name="Item Type" dataDxfId="331"/>
    <tableColumn id="15" name="Item Model/Brand" dataDxfId="330"/>
    <tableColumn id="17" name="Part / Model Number" dataDxfId="329"/>
    <tableColumn id="3" name="Category" dataDxfId="328"/>
    <tableColumn id="4" name="Description" dataDxfId="327"/>
    <tableColumn id="5" name="Quantity" dataDxfId="326"/>
    <tableColumn id="6" name="Current Hostname" dataDxfId="325"/>
    <tableColumn id="7" name="Serial Number" dataDxfId="324"/>
    <tableColumn id="8" name="Configured for Site" dataDxfId="323"/>
    <tableColumn id="9" name="Status" dataDxfId="322"/>
    <tableColumn id="10" name="Tracker Verified" dataDxfId="321"/>
    <tableColumn id="11" name="Condition" dataDxfId="320"/>
    <tableColumn id="12" name="Action Needed" dataDxfId="319"/>
    <tableColumn id="18" name="Target Site" dataDxfId="318"/>
    <tableColumn id="16" name="Target Hostname" dataDxfId="317"/>
    <tableColumn id="13" name="Physical Zone" dataDxfId="316"/>
    <tableColumn id="14" name="Notes" dataDxfId="315"/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id="6" name="tblDeviceConfig" displayName="tblDeviceConfig" ref="A1:CV518" headerRowCount="1">
  <autoFilter ref="A1:CV518">
    <filterColumn colId="1" hiddenButton="0" showButton="1">
      <filters>
        <filter val="Yes"/>
      </filters>
    </filterColumn>
  </autoFilter>
  <tableColumns count="100">
    <tableColumn id="1" name="Device Type"/>
    <tableColumn id="2" name="Deployed"/>
    <tableColumn id="3" name="Installed"/>
    <tableColumn id="4" name="Spare">
      <calculatedColumnFormula>IF($B2&lt;&gt;"Yes","",IF($C2="No","Yes",IF($C2="Yes","No","")))</calculatedColumnFormula>
    </tableColumn>
    <tableColumn id="5" name="DesignationChanged"/>
    <tableColumn id="6" name="DupDeployed"/>
    <tableColumn id="7" name="Current Building"/>
    <tableColumn id="8" name="Install Building"/>
    <tableColumn id="9" name="Area/Unit/Dept"/>
    <tableColumn id="10" name="Room"/>
    <tableColumn id="11" name="Bay"/>
    <tableColumn id="12" name="PI_Validated_Date" dataDxfId="50"/>
    <tableColumn id="13" name="PI_Workflow"/>
    <tableColumn id="14" name="PI_Config_Shared"/>
    <tableColumn id="15" name="PI_Config_Autologon"/>
    <tableColumn id="16" name="PI_Imprivata"/>
    <tableColumn id="17" name="PI_Imprivata_Type"/>
    <tableColumn id="100" name="Epic TDR"/>
    <tableColumn id="18" name="PI_Result"/>
    <tableColumn id="19" name="PI_Rejection_Reason"/>
    <tableColumn id="20" name="PI_Validated_By"/>
    <tableColumn id="21" name="Cybernet Hostname"/>
    <tableColumn id="28" name="Cybernet Serial"/>
    <tableColumn id="22" name="Neuron Hostname"/>
    <tableColumn id="23" name="Neuron MAC"/>
    <tableColumn id="24" name="Neuron IP"/>
    <tableColumn id="25" name="Neuron Renamed"/>
    <tableColumn id="26" name="Neuron S/N"/>
    <tableColumn id="27" name="Neuron Profile"/>
    <tableColumn id="57" name="Firmware Downloaded"/>
    <tableColumn id="58" name="Firmware Installed"/>
    <tableColumn id="59" name="Software Downloaded"/>
    <tableColumn id="60" name="Software Installed"/>
    <tableColumn id="29" name="Cybernet MAC"/>
    <tableColumn id="30" name="Medical Device Class"/>
    <tableColumn id="31" name="Asset Tag"/>
    <tableColumn id="32" name="Wave/PO"/>
    <tableColumn id="33" name="Port No."/>
    <tableColumn id="34" name="Medical Device Manufacturer"/>
    <tableColumn id="35" name="Medical Device Model"/>
    <tableColumn id="36" name="Dialysis S/N"/>
    <tableColumn id="37" name="Anesthesia S/N"/>
    <tableColumn id="38" name="Medical Device S/N"/>
    <tableColumn id="99" name="Replaced Hostname"/>
    <tableColumn id="39" name="Serial Connector Cable 1"/>
    <tableColumn id="40" name="Serial Connector Cable 2"/>
    <tableColumn id="41" name="Serial Connector Cable 3"/>
    <tableColumn id="42" name="Serial Connector Cable 4"/>
    <tableColumn id="43" name="Serial Connector Cable 5"/>
    <tableColumn id="44" name="Medical Peripheral 1"/>
    <tableColumn id="45" name="Medical Peripheral 2"/>
    <tableColumn id="46" name="Medical Peripheral 3"/>
    <tableColumn id="47" name="Medical Peripheral 4"/>
    <tableColumn id="48" name="Medical Peripheral 5"/>
    <tableColumn id="92" name="Asset ID 1"/>
    <tableColumn id="93" name="Asset ID 2"/>
    <tableColumn id="94" name="Asset ID 3"/>
    <tableColumn id="95" name="Asset ID 4"/>
    <tableColumn id="96" name="Asset ID 5"/>
    <tableColumn id="82" name="Baud Rate 1"/>
    <tableColumn id="83" name="Baud Rate 2"/>
    <tableColumn id="84" name="Baud Rate 3"/>
    <tableColumn id="85" name="Baud Rate 4"/>
    <tableColumn id="86" name="Baud Rate 5"/>
    <tableColumn id="87" name="Parity 1"/>
    <tableColumn id="88" name="Parity 2"/>
    <tableColumn id="89" name="Parity 3"/>
    <tableColumn id="90" name="Parity 4"/>
    <tableColumn id="91" name="Parity 5"/>
    <tableColumn id="49" name="Neuron Power Cable Present"/>
    <tableColumn id="50" name="Battery Present"/>
    <tableColumn id="51" name="Has Barcode Scanner"/>
    <tableColumn id="52" name="Has Badge Scanner"/>
    <tableColumn id="80" name="Tickets Submitted"/>
    <tableColumn id="54" name="Ready for Deployment"/>
    <tableColumn id="53" name="Configuration Date"/>
    <tableColumn id="55" name="Notes"/>
    <tableColumn id="56" name="IT Device Status"/>
    <tableColumn id="61" name="Software List"/>
    <tableColumn id="62" name="Device ID Assigned"/>
    <tableColumn id="63" name="Epic Beans Data Sent"/>
    <tableColumn id="64" name="Blocker Reason"/>
    <tableColumn id="65" name="Readiness (Auto)"/>
    <tableColumn id="71" name="Has Mouse"/>
    <tableColumn id="72" name="Has Keyboard"/>
    <tableColumn id="73" name="Has New Ethernet"/>
    <tableColumn id="74" name="Has New Breakaway"/>
    <tableColumn id="75" name="GCX Arm Deployed"/>
    <tableColumn id="76" name="Baud Rate"/>
    <tableColumn id="77" name="Part Numbers"/>
    <tableColumn id="78" name="GCX Arm Part Numbers"/>
    <tableColumn id="79" name="Pallet Association"/>
    <tableColumn id="67" name="PalletID (Manual)"/>
    <tableColumn id="68" name="Warehouse Location (AUTO)"/>
    <tableColumn id="69" name="Pallet Status (AUTO)"/>
    <tableColumn id="70" name="Last Move TS (AUTO)"/>
    <tableColumn id="66" name="Manual Reallocation Notes"/>
    <tableColumn id="81" name="Old Hostname"/>
    <tableColumn id="97" name="A Secret Next Thing"/>
    <tableColumn id="98" name="A Secret Next Thing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12" displayName="Table12" ref="A1:F14" headerRowCount="1" totalsRowShown="0">
  <autoFilter ref="A1:F14"/>
  <tableColumns count="6">
    <tableColumn id="1" name="NEW NAME"/>
    <tableColumn id="2" name="OLD NAME"/>
    <tableColumn id="3" name="ROW IN AKBAR SPREADSHEET"/>
    <tableColumn id="4" name="LOCATION"/>
    <tableColumn id="5" name="hello"/>
    <tableColumn id="6" name="goodby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ConfigSnapshot" displayName="tblConfigSnapshot" ref="A1:T503" headerRowCount="1">
  <autoFilter ref="A1:T503"/>
  <tableColumns count="20">
    <tableColumn id="1" name="Install Building"/>
    <tableColumn id="2" name="Neuron ID"/>
    <tableColumn id="3" name="Neuron MAC"/>
    <tableColumn id="4" name="Medical Device Model"/>
    <tableColumn id="5" name="PI_Config_Shared"/>
    <tableColumn id="6" name="PI_Config_Autologon"/>
    <tableColumn id="7" name="PI_Imprivata"/>
    <tableColumn id="8" name="Credential Type (Client)"/>
    <tableColumn id="9" name="Software List (Operational)"/>
    <tableColumn id="10" name="Software Source"/>
    <tableColumn id="11" name="Software Installed"/>
    <tableColumn id="12" name="PI_Validated_By"/>
    <tableColumn id="13" name="PI_Validated_Date"/>
    <tableColumn id="14" name="Blocker Reason"/>
    <tableColumn id="15" name="Readiness (Auto)"/>
    <tableColumn id="16" name="Ready for Deployment"/>
    <tableColumn id="17" name="Flag - Critical Missing"/>
    <tableColumn id="18" name="Flag - Software"/>
    <tableColumn id="19" name="Flag - Autologon"/>
    <tableColumn id="20" name="Overall 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StepTime" displayName="tblStepTime" ref="A1:K199" headerRowCount="1">
  <autoFilter ref="A1:K199"/>
  <tableColumns count="11">
    <tableColumn id="1" name="Phase"/>
    <tableColumn id="2" name="Step"/>
    <tableColumn id="3" name="Batch Size"/>
    <tableColumn id="4" name="Device Type"/>
    <tableColumn id="5" name="Planned Minutes"/>
    <tableColumn id="6" name="Actual Minutes"/>
    <tableColumn id="7" name="Tech"/>
    <tableColumn id="8" name="Site"/>
    <tableColumn id="9" name="Wave/PO"/>
    <tableColumn id="10" name="In Storage - Located"/>
    <tableColumn id="11" name="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Checklist" displayName="tblChecklist" ref="A3:G19" headerRowCount="1">
  <autoFilter ref="A3:G19"/>
  <tableColumns count="7">
    <tableColumn id="1" name="Step"/>
    <tableColumn id="2" name="Applies To"/>
    <tableColumn id="3" name="Status"/>
    <tableColumn id="4" name="Validated By"/>
    <tableColumn id="5" name="Validated Date"/>
    <tableColumn id="6" name="Power connection stable; confirm power status icon (steady green LED)."/>
    <tableColumn id="7" name="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Readiness" displayName="tblReadiness" ref="A3:H20" headerRowCount="1">
  <autoFilter ref="A3:H20"/>
  <tableColumns count="8">
    <tableColumn id="1" name="Site"/>
    <tableColumn id="2" name="Staging Area"/>
    <tableColumn id="3" name="2 Network Ports Active"/>
    <tableColumn id="4" name="2 Power Outlets"/>
    <tableColumn id="5" name="Biomed Scheduled"/>
    <tableColumn id="6" name="Anesthesia Tech Scheduled"/>
    <tableColumn id="7" name="Yellow"/>
    <tableColumn id="8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FormulaLib" displayName="tblFormulaLib" ref="A3:E66" headerRowCount="1">
  <autoFilter ref="A3:E66"/>
  <tableColumns count="5">
    <tableColumn id="1" name="Formula"/>
    <tableColumn id="2" name="Purpose (fill in)"/>
    <tableColumn id="3" name="Where to Use (fill in)"/>
    <tableColumn id="4" name="Notes / Dependencies"/>
    <tableColumn id="5" name="Source Re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 codeName="Sheet2">
    <tabColor rgb="FFE3F280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I4" sqref="I4"/>
    </sheetView>
  </sheetViews>
  <sheetFormatPr baseColWidth="8" defaultRowHeight="15"/>
  <cols>
    <col width="8" customWidth="1" style="91" min="1" max="1"/>
    <col width="13" customWidth="1" style="91" min="2" max="2"/>
    <col width="18" customWidth="1" style="91" min="3" max="3"/>
    <col width="14" customWidth="1" style="91" min="4" max="4"/>
    <col width="18" customWidth="1" style="91" min="5" max="5"/>
    <col width="11" customWidth="1" style="91" min="6" max="6"/>
    <col width="18" customWidth="1" style="91" min="7" max="7"/>
    <col width="71.28515625" customWidth="1" style="91" min="8" max="8"/>
    <col width="28" customWidth="1" style="91" min="9" max="9"/>
    <col width="34" customWidth="1" style="91" min="10" max="10"/>
    <col width="14" customWidth="1" style="91" min="11" max="11"/>
    <col width="12" customWidth="1" style="91" min="12" max="12"/>
    <col width="52" customWidth="1" style="91" min="13" max="13"/>
  </cols>
  <sheetData>
    <row r="1" ht="30" customHeight="1" s="91">
      <c r="A1" s="38" t="inlineStr">
        <is>
          <t>Log ID</t>
        </is>
      </c>
      <c r="B1" s="38" t="inlineStr">
        <is>
          <t>Logged On</t>
        </is>
      </c>
      <c r="C1" s="38" t="inlineStr">
        <is>
          <t>Version</t>
        </is>
      </c>
      <c r="D1" s="38" t="inlineStr">
        <is>
          <t>Scope</t>
        </is>
      </c>
      <c r="E1" s="38" t="inlineStr">
        <is>
          <t>Category</t>
        </is>
      </c>
      <c r="F1" s="38" t="inlineStr">
        <is>
          <t>Severity</t>
        </is>
      </c>
      <c r="G1" s="38" t="inlineStr">
        <is>
          <t>Trigger</t>
        </is>
      </c>
      <c r="H1" s="38" t="inlineStr">
        <is>
          <t>Issue</t>
        </is>
      </c>
      <c r="I1" s="38" t="inlineStr">
        <is>
          <t>Impact</t>
        </is>
      </c>
      <c r="J1" s="38" t="inlineStr">
        <is>
          <t>Fix / Next Step</t>
        </is>
      </c>
      <c r="K1" s="38" t="inlineStr">
        <is>
          <t>Owner</t>
        </is>
      </c>
      <c r="L1" s="38" t="inlineStr">
        <is>
          <t>Status</t>
        </is>
      </c>
      <c r="M1" s="38" t="inlineStr">
        <is>
          <t>Notes / Evidence</t>
        </is>
      </c>
    </row>
    <row r="2">
      <c r="A2" t="n">
        <v>1</v>
      </c>
      <c r="B2" t="inlineStr">
        <is>
          <t>2026-03-07</t>
        </is>
      </c>
      <c r="C2" t="inlineStr">
        <is>
          <t>vNext10 official schema</t>
        </is>
      </c>
      <c r="D2" t="inlineStr">
        <is>
          <t>Deployments</t>
        </is>
      </c>
      <c r="E2" t="inlineStr">
        <is>
          <t>Duplicate CF</t>
        </is>
      </c>
      <c r="F2" t="inlineStr">
        <is>
          <t>High</t>
        </is>
      </c>
      <c r="G2" t="inlineStr">
        <is>
          <t>Schema refactor</t>
        </is>
      </c>
      <c r="H2" t="inlineStr">
        <is>
          <t>Duplicate conditional formatting stopped matching the moved identity columns.</t>
        </is>
      </c>
      <c r="I2" t="inlineStr">
        <is>
          <t>Duplicates were not reliably flagged during entry.</t>
        </is>
      </c>
      <c r="J2" t="inlineStr">
        <is>
          <t>Rebuilt duplicate CF against the official candidate schema and made it always-on.</t>
        </is>
      </c>
      <c r="L2" t="inlineStr">
        <is>
          <t>Resolved</t>
        </is>
      </c>
      <c r="M2" t="inlineStr">
        <is>
          <t>Watch fields: Cybernet/Neuron hostnames, serials, Cybernet MAC, asset tag, dialysis, anesthesia, medical device serial.</t>
        </is>
      </c>
    </row>
    <row r="3">
      <c r="A3" t="n">
        <v>2</v>
      </c>
      <c r="B3" t="inlineStr">
        <is>
          <t>2026-03-07</t>
        </is>
      </c>
      <c r="C3" t="inlineStr">
        <is>
          <t>vNext10 official schema</t>
        </is>
      </c>
      <c r="D3" t="inlineStr">
        <is>
          <t>Workbook</t>
        </is>
      </c>
      <c r="E3" t="inlineStr">
        <is>
          <t>Error log design</t>
        </is>
      </c>
      <c r="F3" t="inlineStr">
        <is>
          <t>Medium</t>
        </is>
      </c>
      <c r="G3" t="inlineStr">
        <is>
          <t>Tracker debugging</t>
        </is>
      </c>
      <c r="H3" t="inlineStr">
        <is>
          <t>Error log was deployment-scoped instead of workbook-scoped.</t>
        </is>
      </c>
      <c r="I3" t="inlineStr">
        <is>
          <t>Tracker/process mistakes were buried inside row-level noise.</t>
        </is>
      </c>
      <c r="J3" t="inlineStr">
        <is>
          <t>Converted the sheet into a workbook debug log for schema, CF, repair, and release issues.</t>
        </is>
      </c>
      <c r="L3" t="inlineStr">
        <is>
          <t>Resolved</t>
        </is>
      </c>
      <c r="M3" t="inlineStr">
        <is>
          <t>Use this log for workbook bugs and version regressions, not deployment rows.</t>
        </is>
      </c>
    </row>
    <row r="4">
      <c r="A4" t="n">
        <v>3</v>
      </c>
      <c r="B4" t="inlineStr">
        <is>
          <t>2026-03-07</t>
        </is>
      </c>
      <c r="C4" t="inlineStr">
        <is>
          <t>vNext10 official schema</t>
        </is>
      </c>
      <c r="D4" t="inlineStr">
        <is>
          <t>Deployments</t>
        </is>
      </c>
      <c r="E4" t="inlineStr">
        <is>
          <t>Data refresh</t>
        </is>
      </c>
      <c r="F4" t="inlineStr">
        <is>
          <t>Medium</t>
        </is>
      </c>
      <c r="G4" t="inlineStr">
        <is>
          <t>Refactored candidate + active tracker</t>
        </is>
      </c>
      <c r="H4" t="inlineStr">
        <is>
          <t>Loaded current active Deployments data into the refactored candidate schema by header name.</t>
        </is>
      </c>
      <c r="I4" t="inlineStr">
        <is>
          <t>Keeps the official schema while avoiding stale row data.</t>
        </is>
      </c>
      <c r="J4" t="inlineStr">
        <is>
          <t>Future backfill from deprecated sheets should happen in a dedicated integration pass.</t>
        </is>
      </c>
      <c r="L4" t="inlineStr">
        <is>
          <t>Resolved</t>
        </is>
      </c>
      <c r="M4" t="inlineStr">
        <is>
          <t>Copied manual fields from the active 2026-03-07 tracker; auto/formula columns stay formula-driven.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L187"/>
  <sheetViews>
    <sheetView workbookViewId="0">
      <pane ySplit="1" topLeftCell="A51" activePane="bottomLeft" state="frozen"/>
      <selection pane="bottomLeft" activeCell="I60" sqref="I60"/>
    </sheetView>
  </sheetViews>
  <sheetFormatPr baseColWidth="8" defaultRowHeight="15"/>
  <cols>
    <col width="24" customWidth="1" style="91" min="1" max="1"/>
    <col width="18" customWidth="1" style="91" min="2" max="2"/>
    <col width="22" customWidth="1" style="91" min="3" max="4"/>
    <col width="10" customWidth="1" style="91" min="5" max="5"/>
    <col width="12" customWidth="1" style="91" min="6" max="7"/>
    <col width="120" customWidth="1" style="91" min="8" max="8"/>
    <col width="40" customWidth="1" style="91" min="9" max="9"/>
  </cols>
  <sheetData>
    <row r="1">
      <c r="A1" t="inlineStr">
        <is>
          <t>Sheet</t>
        </is>
      </c>
      <c r="B1" t="inlineStr">
        <is>
          <t>Table</t>
        </is>
      </c>
      <c r="C1" t="inlineStr">
        <is>
          <t>AppliesTo</t>
        </is>
      </c>
      <c r="D1" t="inlineStr">
        <is>
          <t>RuleType</t>
        </is>
      </c>
      <c r="E1" t="inlineStr">
        <is>
          <t>Priority</t>
        </is>
      </c>
      <c r="F1" t="inlineStr">
        <is>
          <t>Formula</t>
        </is>
      </c>
      <c r="G1" t="inlineStr">
        <is>
          <t>dxfId</t>
        </is>
      </c>
      <c r="H1" t="inlineStr">
        <is>
          <t>Purpose</t>
        </is>
      </c>
      <c r="I1" t="inlineStr">
        <is>
          <t>Color/category</t>
        </is>
      </c>
      <c r="J1" t="inlineStr">
        <is>
          <t>Color Signature</t>
        </is>
      </c>
      <c r="K1" t="inlineStr">
        <is>
          <t>Color Name</t>
        </is>
      </c>
      <c r="L1" t="inlineStr">
        <is>
          <t>Cause</t>
        </is>
      </c>
    </row>
    <row r="5">
      <c r="A5" t="inlineStr">
        <is>
          <t>01_Warehouse_Ledger</t>
        </is>
      </c>
      <c r="C5" t="inlineStr">
        <is>
          <t>C8</t>
        </is>
      </c>
      <c r="D5" t="inlineStr">
        <is>
          <t>expression</t>
        </is>
      </c>
      <c r="E5" t="n">
        <v>1</v>
      </c>
      <c r="F5" t="inlineStr">
        <is>
          <t>AND(TRIM($A8)="",OR($B8&lt;&gt;"",$C8&lt;&gt;"",$D8&lt;&gt;"",$E8&lt;&gt;"",$F8&lt;&gt;"",$I8&lt;&gt;""))</t>
        </is>
      </c>
      <c r="G5" t="n">
        <v>37</v>
      </c>
      <c r="I5" t="inlineStr">
        <is>
          <t>FFF8CBAD</t>
        </is>
      </c>
      <c r="J5" t="inlineStr">
        <is>
          <t>fill:solid:fg(rgb=FFF4CCCC):bg(rgb=FFF4CCCC)||font:none</t>
        </is>
      </c>
    </row>
    <row r="6">
      <c r="A6" t="inlineStr">
        <is>
          <t>01_Warehouse_Ledger</t>
        </is>
      </c>
      <c r="C6" t="inlineStr">
        <is>
          <t>C8</t>
        </is>
      </c>
      <c r="D6" t="inlineStr">
        <is>
          <t>expression</t>
        </is>
      </c>
      <c r="E6" t="n">
        <v>2</v>
      </c>
      <c r="F6" t="inlineStr">
        <is>
          <t>AND(TRIM($A8)&lt;&gt;"",COUNTIF($A$2:$A$2002,$A8)&gt;1)</t>
        </is>
      </c>
      <c r="G6" t="n">
        <v>36</v>
      </c>
      <c r="I6" t="inlineStr">
        <is>
          <t>FFF8CBAD</t>
        </is>
      </c>
      <c r="J6" t="inlineStr">
        <is>
          <t>fill:solid:fg(rgb=FFFFC7CE):bg(rgb=FFFFC7CE)||font:b|color(rgb=FF9C0006)</t>
        </is>
      </c>
    </row>
    <row r="7">
      <c r="A7" t="inlineStr">
        <is>
          <t>01_Warehouse_Ledger</t>
        </is>
      </c>
      <c r="C7" t="inlineStr">
        <is>
          <t>A2:R7 A8:B8 A9:R2002 D8:R8</t>
        </is>
      </c>
      <c r="D7" t="inlineStr">
        <is>
          <t>expression</t>
        </is>
      </c>
      <c r="E7" t="n">
        <v>3</v>
      </c>
      <c r="F7" t="inlineStr">
        <is>
          <t>AND(TRIM($A2)="",OR($B2&lt;&gt;"",$C2&lt;&gt;"",$D2&lt;&gt;"",$E2&lt;&gt;"",$I2&lt;&gt;"",$J2&lt;&gt;""))</t>
        </is>
      </c>
      <c r="G7" t="n">
        <v>41</v>
      </c>
      <c r="I7" t="inlineStr">
        <is>
          <t>FFF8CBAD</t>
        </is>
      </c>
      <c r="J7" t="inlineStr">
        <is>
          <t>fill:solid:fg(rgb=FFFFC7CE):bg(rgb=FFFFC7CE)||font:b|color(rgb=FF9C0006)</t>
        </is>
      </c>
    </row>
    <row r="8">
      <c r="A8" t="inlineStr">
        <is>
          <t>01_Warehouse_Ledger</t>
        </is>
      </c>
      <c r="C8" t="inlineStr">
        <is>
          <t>A2:R7 A8:B8 A9:R2002 D8:R8</t>
        </is>
      </c>
      <c r="D8" t="inlineStr">
        <is>
          <t>expression</t>
        </is>
      </c>
      <c r="E8" t="n">
        <v>4</v>
      </c>
      <c r="F8" t="inlineStr">
        <is>
          <t>AND(TRIM($A2)&lt;&gt;"",NOT(AND(LEFT($A2,4)="PAL-",LEN($A2)=11,ISNUMBER(--MID($A2,5,7)))))</t>
        </is>
      </c>
      <c r="G8" t="n">
        <v>40</v>
      </c>
      <c r="I8" t="inlineStr">
        <is>
          <t>FFF8CBAD</t>
        </is>
      </c>
      <c r="J8" t="inlineStr">
        <is>
          <t>fill:solid:fg(rgb=FFFFEB9C):bg(rgb=FFFFEB9C)||font:none</t>
        </is>
      </c>
    </row>
    <row r="9">
      <c r="A9" t="inlineStr">
        <is>
          <t>01_Warehouse_Ledger</t>
        </is>
      </c>
      <c r="C9" t="inlineStr">
        <is>
          <t>A2:R7 A8:B8 A9:R2002 D8:R8</t>
        </is>
      </c>
      <c r="D9" t="inlineStr">
        <is>
          <t>expression</t>
        </is>
      </c>
      <c r="E9" t="n">
        <v>5</v>
      </c>
      <c r="F9" t="inlineStr">
        <is>
          <t>AND(TRIM($A2)&lt;&gt;"",COUNTIF($A$2:$A$2002,$A2)&gt;1)</t>
        </is>
      </c>
      <c r="G9" t="n">
        <v>39</v>
      </c>
      <c r="I9" t="inlineStr">
        <is>
          <t>FFF8CBAD</t>
        </is>
      </c>
      <c r="J9" t="inlineStr">
        <is>
          <t>fill:solid:fg(rgb=FFC6EFCE):bg(rgb=FFC6EFCE)||font:b|color(rgb=FF006100)</t>
        </is>
      </c>
    </row>
    <row r="10">
      <c r="A10" t="inlineStr">
        <is>
          <t>01_Warehouse_Ledger</t>
        </is>
      </c>
      <c r="C10" t="inlineStr">
        <is>
          <t>A2:R7 A8:B8 A9:R2002 D8:R8</t>
        </is>
      </c>
      <c r="D10" t="inlineStr">
        <is>
          <t>expression</t>
        </is>
      </c>
      <c r="E10" t="n">
        <v>6</v>
      </c>
      <c r="F10" t="inlineStr">
        <is>
          <t>AND(TRIM($A2)&lt;&gt;"",$C2&lt;&gt;"",$D2&lt;&gt;"",$D2&lt;&gt;"0",$C2&lt;&gt;$D2)</t>
        </is>
      </c>
      <c r="G10" t="n">
        <v>38</v>
      </c>
      <c r="I10" t="inlineStr">
        <is>
          <t>FFFFF2CC</t>
        </is>
      </c>
      <c r="J10" t="inlineStr">
        <is>
          <t>fill:solid:fg(rgb=FFFCE4D6):bg(rgb=FFFCE4D6)||font:b|color(rgb=FF9C5700)</t>
        </is>
      </c>
    </row>
    <row r="11">
      <c r="A11" t="inlineStr">
        <is>
          <t>02_Warehouse_Locations</t>
        </is>
      </c>
      <c r="C11" t="inlineStr">
        <is>
          <t>A133</t>
        </is>
      </c>
      <c r="D11" t="inlineStr">
        <is>
          <t>expression</t>
        </is>
      </c>
      <c r="E11" t="n">
        <v>1</v>
      </c>
      <c r="F11" t="inlineStr">
        <is>
          <t>AND(TRIM($A133)="",OR($B133&lt;&gt;"",$C133&lt;&gt;"",$D133&lt;&gt;"",$E133&lt;&gt;"",$F133&lt;&gt;"",$I133&lt;&gt;""))</t>
        </is>
      </c>
      <c r="G11" t="n">
        <v>35</v>
      </c>
      <c r="I11" t="inlineStr">
        <is>
          <t>FFF8CBAD</t>
        </is>
      </c>
      <c r="J11" t="inlineStr">
        <is>
          <t>fill:solid:fg(rgb=FFFFC7CE):bg(rgb=FFFFC7CE)||font:b|color(rgb=FF9C0006)</t>
        </is>
      </c>
    </row>
    <row r="12">
      <c r="A12" t="inlineStr">
        <is>
          <t>02_Warehouse_Locations</t>
        </is>
      </c>
      <c r="C12" t="inlineStr">
        <is>
          <t>A133</t>
        </is>
      </c>
      <c r="D12" t="inlineStr">
        <is>
          <t>expression</t>
        </is>
      </c>
      <c r="E12" t="n">
        <v>2</v>
      </c>
      <c r="F12" t="inlineStr">
        <is>
          <t>AND(TRIM($A133)&lt;&gt;"",COUNTIF($A$2:$A$2002,$A133)&gt;1)</t>
        </is>
      </c>
      <c r="G12" t="n">
        <v>34</v>
      </c>
      <c r="I12" t="inlineStr">
        <is>
          <t>FFF8CBAD</t>
        </is>
      </c>
      <c r="J12" t="inlineStr">
        <is>
          <t>fill::fg(none):bg(rgb=FFFFEB9C)||font:color(rgb=FF9C5700)</t>
        </is>
      </c>
    </row>
    <row r="13">
      <c r="A13" t="inlineStr">
        <is>
          <t>02_Warehouse_Locations</t>
        </is>
      </c>
      <c r="C13" t="inlineStr">
        <is>
          <t>A2:I132 A134:I2002</t>
        </is>
      </c>
      <c r="D13" t="inlineStr">
        <is>
          <t>expression</t>
        </is>
      </c>
      <c r="E13" t="n">
        <v>3</v>
      </c>
      <c r="F13" t="inlineStr">
        <is>
          <t>AND(TRIM($A2)="",OR($B2&lt;&gt;"",$C2&lt;&gt;"",$D2&lt;&gt;"",$E2&lt;&gt;"",$F2&lt;&gt;"",$I2&lt;&gt;""))</t>
        </is>
      </c>
      <c r="G13" t="n">
        <v>33</v>
      </c>
      <c r="I13" t="inlineStr">
        <is>
          <t>FFF8CBAD</t>
        </is>
      </c>
      <c r="J13" t="inlineStr">
        <is>
          <t>fill::fg(none):bg(rgb=FFC6EFCE)||font:color(rgb=FF006100)</t>
        </is>
      </c>
    </row>
    <row r="14">
      <c r="A14" t="inlineStr">
        <is>
          <t>02_Warehouse_Locations</t>
        </is>
      </c>
      <c r="C14" t="inlineStr">
        <is>
          <t>A2:I132 A134:I2002</t>
        </is>
      </c>
      <c r="D14" t="inlineStr">
        <is>
          <t>expression</t>
        </is>
      </c>
      <c r="E14" t="n">
        <v>4</v>
      </c>
      <c r="F14" t="inlineStr">
        <is>
          <t>AND(TRIM($A2)&lt;&gt;"",COUNTIF($A$2:$A$2002,$A2)&gt;1)</t>
        </is>
      </c>
      <c r="G14" t="n">
        <v>32</v>
      </c>
      <c r="I14" t="inlineStr">
        <is>
          <t>FFF8CBAD</t>
        </is>
      </c>
      <c r="J14" t="inlineStr">
        <is>
          <t>fill:solid:fg(rgb=FFC6EFCE):bg(none)||font:none</t>
        </is>
      </c>
    </row>
    <row r="15">
      <c r="A15" t="inlineStr">
        <is>
          <t>02_Warehouse_Locations</t>
        </is>
      </c>
      <c r="C15" t="inlineStr">
        <is>
          <t>B133:I133</t>
        </is>
      </c>
      <c r="D15" t="inlineStr">
        <is>
          <t>expression</t>
        </is>
      </c>
      <c r="E15" t="n">
        <v>116</v>
      </c>
      <c r="F15" t="inlineStr">
        <is>
          <t>AND(TRIM(#REF!)="",OR($B133&lt;&gt;"",$C133&lt;&gt;"",$D133&lt;&gt;"",$E133&lt;&gt;"",$F133&lt;&gt;"",$I133&lt;&gt;""))</t>
        </is>
      </c>
      <c r="G15" t="n">
        <v>31</v>
      </c>
      <c r="I15" t="inlineStr">
        <is>
          <t>FFF8CBAD</t>
        </is>
      </c>
      <c r="J15" t="inlineStr">
        <is>
          <t>fill:solid:fg(rgb=FFFFEB9C):bg(none)||font:none</t>
        </is>
      </c>
    </row>
    <row r="16">
      <c r="A16" t="inlineStr">
        <is>
          <t>02_Warehouse_Locations</t>
        </is>
      </c>
      <c r="C16" t="inlineStr">
        <is>
          <t>B133:I133</t>
        </is>
      </c>
      <c r="D16" t="inlineStr">
        <is>
          <t>expression</t>
        </is>
      </c>
      <c r="E16" t="n">
        <v>117</v>
      </c>
      <c r="F16" t="inlineStr">
        <is>
          <t>AND(TRIM(#REF!)&lt;&gt;"",COUNTIF($A$2:$A$2002,#REF!)&gt;1)</t>
        </is>
      </c>
      <c r="G16" t="n">
        <v>30</v>
      </c>
      <c r="I16" t="inlineStr">
        <is>
          <t>FFF8CBAD</t>
        </is>
      </c>
      <c r="J16" t="inlineStr">
        <is>
          <t>fill:solid:fg(rgb=FFC6EFCE):bg(rgb=FFC6EFCE)||font:none</t>
        </is>
      </c>
    </row>
    <row r="17">
      <c r="A17" t="inlineStr">
        <is>
          <t>03_Warehouse_Movements</t>
        </is>
      </c>
      <c r="C17" t="inlineStr">
        <is>
          <t>A2:J500</t>
        </is>
      </c>
      <c r="D17" t="inlineStr">
        <is>
          <t>expression</t>
        </is>
      </c>
      <c r="E17" t="n">
        <v>1</v>
      </c>
      <c r="F17" t="inlineStr">
        <is>
          <t>AND($B2&lt;&gt;"",OR($A2="",TRIM($C2)="",TRIM($E2)=""))</t>
        </is>
      </c>
      <c r="G17" t="n">
        <v>29</v>
      </c>
      <c r="I17" t="inlineStr">
        <is>
          <t>FFF8CBAD</t>
        </is>
      </c>
      <c r="J17" t="inlineStr">
        <is>
          <t>fill:solid:fg(rgb=FFFFEB9C):bg(rgb=FFFFEB9C)||font:none</t>
        </is>
      </c>
    </row>
    <row r="18">
      <c r="A18" t="inlineStr">
        <is>
          <t>03_Warehouse_Movements</t>
        </is>
      </c>
      <c r="C18" t="inlineStr">
        <is>
          <t>A2:J500</t>
        </is>
      </c>
      <c r="D18" t="inlineStr">
        <is>
          <t>expression</t>
        </is>
      </c>
      <c r="E18" t="n">
        <v>4</v>
      </c>
      <c r="F18" t="inlineStr">
        <is>
          <t>AND(TRIM($C2)&lt;&gt;"",TRIM($E2)&lt;&gt;"",$D2="")</t>
        </is>
      </c>
      <c r="G18" t="n">
        <v>28</v>
      </c>
      <c r="I18" t="inlineStr">
        <is>
          <t>FFFFF2CC</t>
        </is>
      </c>
      <c r="J18" t="inlineStr">
        <is>
          <t>fill:solid:fg(rgb=FFF4CCCC):bg(rgb=FFF4CCCC)||font:none</t>
        </is>
      </c>
    </row>
    <row r="19">
      <c r="A19" t="inlineStr">
        <is>
          <t>04_Label_Export</t>
        </is>
      </c>
      <c r="C19" t="inlineStr">
        <is>
          <t>A3:D1005</t>
        </is>
      </c>
      <c r="D19" t="inlineStr">
        <is>
          <t>expression</t>
        </is>
      </c>
      <c r="E19" t="n">
        <v>3</v>
      </c>
      <c r="F19" t="inlineStr">
        <is>
          <t>AND(OR($A3="LOCATION",$A3="PALLET"),TRIM($B3)&lt;&gt;"",TRIM($C3)="")</t>
        </is>
      </c>
      <c r="G19" t="n">
        <v>27</v>
      </c>
      <c r="I19" t="inlineStr">
        <is>
          <t>FFFFF2CC</t>
        </is>
      </c>
      <c r="J19" t="inlineStr">
        <is>
          <t>fill::fg(none):bg(rgb=FFC6EFCE)||font:color(rgb=FF006100)</t>
        </is>
      </c>
    </row>
    <row r="20">
      <c r="A20" t="inlineStr">
        <is>
          <t>05_Scan_Lookup</t>
        </is>
      </c>
      <c r="C20" t="inlineStr">
        <is>
          <t>B3</t>
        </is>
      </c>
      <c r="D20" t="inlineStr">
        <is>
          <t>expression</t>
        </is>
      </c>
      <c r="E20" t="n">
        <v>1</v>
      </c>
      <c r="F20" t="inlineStr">
        <is>
          <t>AND(TRIM($A3)="",OR($B3&lt;&gt;"",$C3&lt;&gt;"",$D3&lt;&gt;"",$E3&lt;&gt;"",$I3&lt;&gt;"",$J3&lt;&gt;""))</t>
        </is>
      </c>
      <c r="G20" t="n">
        <v>26</v>
      </c>
      <c r="I20" t="inlineStr">
        <is>
          <t>FFF8CBAD</t>
        </is>
      </c>
      <c r="J20" t="inlineStr">
        <is>
          <t>fill::fg(none):bg(rgb=FFFFC7CE)||font:color(rgb=FF9C0006)</t>
        </is>
      </c>
    </row>
    <row r="21">
      <c r="A21" t="inlineStr">
        <is>
          <t>05_Scan_Lookup</t>
        </is>
      </c>
      <c r="C21" t="inlineStr">
        <is>
          <t>B3</t>
        </is>
      </c>
      <c r="D21" t="inlineStr">
        <is>
          <t>expression</t>
        </is>
      </c>
      <c r="E21" t="n">
        <v>2</v>
      </c>
      <c r="F21" t="inlineStr">
        <is>
          <t>AND(TRIM($A3)&lt;&gt;"",NOT(AND(LEFT($A3,4)="PAL-",LEN($A3)=11,ISNUMBER(--MID($A3,5,7)))))</t>
        </is>
      </c>
      <c r="G21" t="n">
        <v>25</v>
      </c>
      <c r="I21" t="inlineStr">
        <is>
          <t>FFF8CBAD</t>
        </is>
      </c>
      <c r="J21" t="inlineStr">
        <is>
          <t>fill:solid:fg(rgb=FFFFEB9C):bg(rgb=FFFFEB9C)||font:none</t>
        </is>
      </c>
    </row>
    <row r="22">
      <c r="A22" t="inlineStr">
        <is>
          <t>05_Scan_Lookup</t>
        </is>
      </c>
      <c r="C22" t="inlineStr">
        <is>
          <t>B3</t>
        </is>
      </c>
      <c r="D22" t="inlineStr">
        <is>
          <t>expression</t>
        </is>
      </c>
      <c r="E22" t="n">
        <v>3</v>
      </c>
      <c r="F22" t="inlineStr">
        <is>
          <t>AND(TRIM($A3)&lt;&gt;"",COUNTIF($A$2:$A$2002,$A3)&gt;1)</t>
        </is>
      </c>
      <c r="G22" t="n">
        <v>24</v>
      </c>
      <c r="I22" t="inlineStr">
        <is>
          <t>FFF8CBAD</t>
        </is>
      </c>
      <c r="J22" t="inlineStr">
        <is>
          <t>fill:solid:fg(rgb=FFFCE4D6):bg(rgb=FFFCE4D6)||font:b|color(rgb=FF9C5700)</t>
        </is>
      </c>
    </row>
    <row r="23">
      <c r="A23" t="inlineStr">
        <is>
          <t>05_Scan_Lookup</t>
        </is>
      </c>
      <c r="C23" t="inlineStr">
        <is>
          <t>B3</t>
        </is>
      </c>
      <c r="D23" t="inlineStr">
        <is>
          <t>expression</t>
        </is>
      </c>
      <c r="E23" t="n">
        <v>4</v>
      </c>
      <c r="F23" t="inlineStr">
        <is>
          <t>AND(TRIM($A3)&lt;&gt;"",$C3&lt;&gt;"",$D3&lt;&gt;"",$D3&lt;&gt;"0",$C3&lt;&gt;$D3)</t>
        </is>
      </c>
      <c r="G23" t="n">
        <v>23</v>
      </c>
      <c r="I23" t="inlineStr">
        <is>
          <t>FFFFF2CC</t>
        </is>
      </c>
      <c r="J23" t="inlineStr">
        <is>
          <t>fill:solid:fg(rgb=FFFFC7CE):bg(rgb=FFFFC7CE)||font:b|color(rgb=FF9C0006)</t>
        </is>
      </c>
    </row>
    <row r="24">
      <c r="A24" t="inlineStr">
        <is>
          <t>ZZ_Deprecated</t>
        </is>
      </c>
      <c r="B24" t="inlineStr">
        <is>
          <t>tblDeviceConfig</t>
        </is>
      </c>
      <c r="C24" t="inlineStr">
        <is>
          <t>Deployments!$BL$2:$BL$532</t>
        </is>
      </c>
      <c r="D24" t="inlineStr">
        <is>
          <t>expression</t>
        </is>
      </c>
      <c r="E24" t="n">
        <v>1</v>
      </c>
      <c r="F24" t="inlineStr">
        <is>
          <t>$F2="Yes"</t>
        </is>
      </c>
      <c r="G24" t="n">
        <v>0</v>
      </c>
      <c r="H24" t="inlineStr">
        <is>
          <t>Deprecated – regenerated rules appended below</t>
        </is>
      </c>
      <c r="I24" t="inlineStr">
        <is>
          <t>Deprecated</t>
        </is>
      </c>
      <c r="J24" t="inlineStr">
        <is>
          <t>fill:solid:fg(rgb=FFFFC7CE):bg(rgb=FFFFC7CE)||font:none</t>
        </is>
      </c>
    </row>
    <row r="25">
      <c r="A25" t="inlineStr">
        <is>
          <t>ZZ_Deprecated</t>
        </is>
      </c>
      <c r="B25" t="inlineStr">
        <is>
          <t>tblDeviceConfig</t>
        </is>
      </c>
      <c r="C25" t="inlineStr">
        <is>
          <t>Deployments!$BM$2:$BM$532</t>
        </is>
      </c>
      <c r="D25" t="inlineStr">
        <is>
          <t>expression</t>
        </is>
      </c>
      <c r="E25" t="n">
        <v>2</v>
      </c>
      <c r="F25" t="inlineStr">
        <is>
          <t>AND($A2="Cybernet",$B2="Yes",$C2&lt;&gt;"Yes",LEN(TRIM(R2))=0)</t>
        </is>
      </c>
      <c r="G25" t="n">
        <v>5</v>
      </c>
      <c r="H25" t="inlineStr">
        <is>
          <t>Deprecated – regenerated rules appended below</t>
        </is>
      </c>
      <c r="I25" t="inlineStr">
        <is>
          <t>Deprecated</t>
        </is>
      </c>
      <c r="J25" t="inlineStr">
        <is>
          <t>fill:solid:fg(rgb=FFFFEB9C):bg(rgb=FFFFEB9C)||font:none</t>
        </is>
      </c>
    </row>
    <row r="26">
      <c r="A26" t="inlineStr">
        <is>
          <t>ZZ_Deprecated</t>
        </is>
      </c>
      <c r="B26" t="inlineStr">
        <is>
          <t>tblDeviceConfig</t>
        </is>
      </c>
      <c r="C26" t="inlineStr">
        <is>
          <t>Deployments!$BN$2:$BN$532</t>
        </is>
      </c>
      <c r="D26" t="inlineStr">
        <is>
          <t>expression</t>
        </is>
      </c>
      <c r="E26" t="n">
        <v>3</v>
      </c>
      <c r="F26" t="inlineStr">
        <is>
          <t>AND($A2="Neuron",$B2="Yes",$C2&lt;&gt;"Yes",LEN(TRIM(S2))=0)</t>
        </is>
      </c>
      <c r="G26" t="n">
        <v>5</v>
      </c>
      <c r="H26" t="inlineStr">
        <is>
          <t>Deprecated – regenerated rules appended below</t>
        </is>
      </c>
      <c r="I26" t="inlineStr">
        <is>
          <t>Deprecated</t>
        </is>
      </c>
      <c r="J26" t="inlineStr">
        <is>
          <t>fill:solid:fg(rgb=FFFFEB9C):bg(rgb=FFFFEB9C)||font:none</t>
        </is>
      </c>
    </row>
    <row r="27">
      <c r="A27" t="inlineStr">
        <is>
          <t>ZZ_Deprecated</t>
        </is>
      </c>
      <c r="B27" t="inlineStr">
        <is>
          <t>tblDeviceConfig</t>
        </is>
      </c>
      <c r="C27" t="inlineStr">
        <is>
          <t>Deployments!$BO$2:$BO$532</t>
        </is>
      </c>
      <c r="D27" t="inlineStr">
        <is>
          <t>expression</t>
        </is>
      </c>
      <c r="E27" t="n">
        <v>4</v>
      </c>
      <c r="F27" t="inlineStr">
        <is>
          <t>AND($A2="Cybernet",$B2="Yes",$C2&lt;&gt;"Yes",LEN(TRIM(BH2))=0)</t>
        </is>
      </c>
      <c r="G27" t="n">
        <v>5</v>
      </c>
      <c r="H27" t="inlineStr">
        <is>
          <t>Deprecated – regenerated rules appended below</t>
        </is>
      </c>
      <c r="I27" t="inlineStr">
        <is>
          <t>Deprecated</t>
        </is>
      </c>
      <c r="J27" t="inlineStr">
        <is>
          <t>fill:solid:fg(rgb=FFFFEB9C):bg(rgb=FFFFEB9C)||font:none</t>
        </is>
      </c>
    </row>
    <row r="28">
      <c r="A28" t="inlineStr">
        <is>
          <t>ZZ_Deprecated</t>
        </is>
      </c>
      <c r="B28" t="inlineStr">
        <is>
          <t>tblDeviceConfig</t>
        </is>
      </c>
      <c r="C28" t="inlineStr">
        <is>
          <t>Deployments!$BP$2:$BP$532</t>
        </is>
      </c>
      <c r="D28" t="inlineStr">
        <is>
          <t>expression</t>
        </is>
      </c>
      <c r="E28" t="n">
        <v>5</v>
      </c>
      <c r="F28" t="inlineStr">
        <is>
          <t>AND($C2="Yes",LEN(TRIM(INDEX($1:$1048576,ROW(),COLUMN())))=0)</t>
        </is>
      </c>
      <c r="G28" t="n">
        <v>45</v>
      </c>
      <c r="H28" t="inlineStr">
        <is>
          <t>Deprecated – regenerated rules appended below</t>
        </is>
      </c>
      <c r="I28" t="inlineStr">
        <is>
          <t>Deprecated</t>
        </is>
      </c>
      <c r="J28" t="inlineStr">
        <is>
          <t>fill:solid:fg(rgb=FFFFC7CE):bg(rgb=FFFFC7CE)||font:b|color(rgb=FF9C0006)</t>
        </is>
      </c>
    </row>
    <row r="29">
      <c r="A29" t="inlineStr">
        <is>
          <t>14 - Config Log</t>
        </is>
      </c>
      <c r="B29" t="inlineStr">
        <is>
          <t>tblConfigSnapshot</t>
        </is>
      </c>
      <c r="C29" t="inlineStr">
        <is>
          <t>I2:I503</t>
        </is>
      </c>
      <c r="D29" t="inlineStr">
        <is>
          <t>expression</t>
        </is>
      </c>
      <c r="E29" t="n">
        <v>8</v>
      </c>
      <c r="F29" t="inlineStr">
        <is>
          <t>AND($I2&lt;&gt;"",OR($K2="Yes",$J2="PM Approved"))</t>
        </is>
      </c>
      <c r="G29" t="n">
        <v>6</v>
      </c>
      <c r="I29" t="inlineStr">
        <is>
          <t>Green</t>
        </is>
      </c>
      <c r="J29" t="inlineStr">
        <is>
          <t>fill:solid:fg(rgb=FFC6EFCE):bg(rgb=FFC6EFCE)||font:none</t>
        </is>
      </c>
    </row>
    <row r="30">
      <c r="A30" t="inlineStr">
        <is>
          <t>14 - Config Log</t>
        </is>
      </c>
      <c r="B30" t="inlineStr">
        <is>
          <t>tblConfigSnapshot</t>
        </is>
      </c>
      <c r="C30" t="inlineStr">
        <is>
          <t>I2:I503</t>
        </is>
      </c>
      <c r="D30" t="inlineStr">
        <is>
          <t>expression</t>
        </is>
      </c>
      <c r="E30" t="n">
        <v>9</v>
      </c>
      <c r="F30" t="inlineStr">
        <is>
          <t>AND($I2&lt;&gt;"",NOT(OR($K2="Yes",$J2="PM Approved")))</t>
        </is>
      </c>
      <c r="G30" t="n">
        <v>5</v>
      </c>
      <c r="I30" t="inlineStr">
        <is>
          <t>Yellow</t>
        </is>
      </c>
      <c r="J30" t="inlineStr">
        <is>
          <t>fill:solid:fg(rgb=FFFFEB9C):bg(rgb=FFFFEB9C)||font:none</t>
        </is>
      </c>
    </row>
    <row r="31">
      <c r="A31" t="inlineStr">
        <is>
          <t>14 - Config Log</t>
        </is>
      </c>
      <c r="B31" t="inlineStr">
        <is>
          <t>tblConfigSnapshot</t>
        </is>
      </c>
      <c r="C31" t="inlineStr">
        <is>
          <t>Q2:Q503</t>
        </is>
      </c>
      <c r="D31" t="inlineStr">
        <is>
          <t>expression</t>
        </is>
      </c>
      <c r="E31" t="n">
        <v>10</v>
      </c>
      <c r="F31" t="inlineStr">
        <is>
          <t>Q2&lt;&gt;""</t>
        </is>
      </c>
      <c r="G31" t="n">
        <v>4</v>
      </c>
      <c r="I31" t="inlineStr">
        <is>
          <t>Red</t>
        </is>
      </c>
      <c r="J31" t="inlineStr">
        <is>
          <t>fill:solid:fg(rgb=FFFFC7CE):bg(rgb=FFFFC7CE)||font:none</t>
        </is>
      </c>
    </row>
    <row r="32">
      <c r="A32" t="inlineStr">
        <is>
          <t>14 - Config Log</t>
        </is>
      </c>
      <c r="B32" t="inlineStr">
        <is>
          <t>tblConfigSnapshot</t>
        </is>
      </c>
      <c r="C32" t="inlineStr">
        <is>
          <t>R2:R503</t>
        </is>
      </c>
      <c r="D32" t="inlineStr">
        <is>
          <t>expression</t>
        </is>
      </c>
      <c r="E32" t="n">
        <v>11</v>
      </c>
      <c r="F32" t="inlineStr">
        <is>
          <t>R2&lt;&gt;""</t>
        </is>
      </c>
      <c r="G32" t="n">
        <v>3</v>
      </c>
      <c r="I32" t="inlineStr">
        <is>
          <t>FFFFE699</t>
        </is>
      </c>
      <c r="J32" t="inlineStr">
        <is>
          <t>fill:solid:fg(rgb=FFFFE699):bg(rgb=FFFFE699)||font:none</t>
        </is>
      </c>
    </row>
    <row r="33">
      <c r="A33" t="inlineStr">
        <is>
          <t>14 - Config Log</t>
        </is>
      </c>
      <c r="B33" t="inlineStr">
        <is>
          <t>tblConfigSnapshot</t>
        </is>
      </c>
      <c r="C33" t="inlineStr">
        <is>
          <t>S2:S503</t>
        </is>
      </c>
      <c r="D33" t="inlineStr">
        <is>
          <t>expression</t>
        </is>
      </c>
      <c r="E33" t="n">
        <v>12</v>
      </c>
      <c r="F33" t="inlineStr">
        <is>
          <t>S2&lt;&gt;""</t>
        </is>
      </c>
      <c r="G33" t="n">
        <v>2</v>
      </c>
      <c r="I33" t="inlineStr">
        <is>
          <t>FFFFE699</t>
        </is>
      </c>
      <c r="J33" t="inlineStr">
        <is>
          <t>fill:solid:fg(rgb=FFFFE699):bg(rgb=FFFFE699)||font:none</t>
        </is>
      </c>
    </row>
    <row r="34">
      <c r="A34" t="inlineStr">
        <is>
          <t>14 - Config Log</t>
        </is>
      </c>
      <c r="B34" t="inlineStr">
        <is>
          <t>tblConfigSnapshot</t>
        </is>
      </c>
      <c r="C34" t="inlineStr">
        <is>
          <t>T2:T503</t>
        </is>
      </c>
      <c r="D34" t="inlineStr">
        <is>
          <t>expression</t>
        </is>
      </c>
      <c r="E34" t="n">
        <v>13</v>
      </c>
      <c r="F34" t="inlineStr">
        <is>
          <t>AND(T2&lt;&gt;"",T2="OK")</t>
        </is>
      </c>
      <c r="G34" t="n">
        <v>1</v>
      </c>
      <c r="I34" t="inlineStr">
        <is>
          <t>Green</t>
        </is>
      </c>
      <c r="J34" t="inlineStr">
        <is>
          <t>fill:solid:fg(rgb=FFC6EFCE):bg(rgb=FFC6EFCE)||font:none</t>
        </is>
      </c>
    </row>
    <row r="35">
      <c r="A35" t="inlineStr">
        <is>
          <t>14 - Config Log</t>
        </is>
      </c>
      <c r="B35" t="inlineStr">
        <is>
          <t>tblConfigSnapshot</t>
        </is>
      </c>
      <c r="C35" t="inlineStr">
        <is>
          <t>T2:T503</t>
        </is>
      </c>
      <c r="D35" t="inlineStr">
        <is>
          <t>expression</t>
        </is>
      </c>
      <c r="E35" t="n">
        <v>14</v>
      </c>
      <c r="F35" t="inlineStr">
        <is>
          <t>AND(T2&lt;&gt;"",T2&lt;&gt;"OK")</t>
        </is>
      </c>
      <c r="G35" t="n">
        <v>0</v>
      </c>
      <c r="I35" t="inlineStr">
        <is>
          <t>Red</t>
        </is>
      </c>
      <c r="J35" t="inlineStr">
        <is>
          <t>fill:solid:fg(rgb=FFFFC7CE):bg(rgb=FFFFC7CE)||font:none</t>
        </is>
      </c>
    </row>
    <row r="36">
      <c r="A36" t="inlineStr">
        <is>
          <t xml:space="preserve">15 - Imaging Progress </t>
        </is>
      </c>
      <c r="C36" t="inlineStr">
        <is>
          <t>D1:D1048576</t>
        </is>
      </c>
      <c r="D36" t="inlineStr">
        <is>
          <t>cellIs</t>
        </is>
      </c>
      <c r="E36" t="n">
        <v>1</v>
      </c>
      <c r="F36" t="inlineStr">
        <is>
          <t>100%</t>
        </is>
      </c>
      <c r="G36" t="n">
        <v>12</v>
      </c>
      <c r="J36" t="inlineStr">
        <is>
          <t>fill:solid:fg(none):bg(theme=6|tint=0.79998168889431442)||font:color(rgb=FF00B050)</t>
        </is>
      </c>
    </row>
    <row r="37">
      <c r="A37" t="inlineStr">
        <is>
          <t xml:space="preserve">15 - Imaging Progress </t>
        </is>
      </c>
      <c r="C37" t="inlineStr">
        <is>
          <t>F2:F14</t>
        </is>
      </c>
      <c r="D37" t="inlineStr">
        <is>
          <t>cellIs</t>
        </is>
      </c>
      <c r="E37" t="n">
        <v>2</v>
      </c>
      <c r="F37" t="inlineStr">
        <is>
          <t>20</t>
        </is>
      </c>
      <c r="G37" t="n">
        <v>11</v>
      </c>
      <c r="J37" t="inlineStr">
        <is>
          <t>fill:solid:fg(none):bg(rgb=FF92D050)||font:color(theme=1)</t>
        </is>
      </c>
    </row>
    <row r="38">
      <c r="A38" t="inlineStr">
        <is>
          <t xml:space="preserve">15 - Imaging Progress </t>
        </is>
      </c>
      <c r="C38" t="inlineStr">
        <is>
          <t>F2:F14</t>
        </is>
      </c>
      <c r="D38" t="inlineStr">
        <is>
          <t>cellIs</t>
        </is>
      </c>
      <c r="E38" t="n">
        <v>3</v>
      </c>
      <c r="F38" t="inlineStr">
        <is>
          <t>2</t>
        </is>
      </c>
      <c r="G38" t="n">
        <v>10</v>
      </c>
      <c r="J38" t="inlineStr">
        <is>
          <t>fill:solid:fg(none):bg(rgb=FFFF0000)||font:color(theme=1)</t>
        </is>
      </c>
    </row>
    <row r="39">
      <c r="A39" t="inlineStr">
        <is>
          <t xml:space="preserve">15 - Imaging Progress </t>
        </is>
      </c>
      <c r="C39" t="inlineStr">
        <is>
          <t>F2:F14</t>
        </is>
      </c>
      <c r="D39" t="inlineStr">
        <is>
          <t>cellIs</t>
        </is>
      </c>
      <c r="E39" t="n">
        <v>4</v>
      </c>
      <c r="F39" t="inlineStr">
        <is>
          <t>6 | 9</t>
        </is>
      </c>
      <c r="G39" t="n">
        <v>9</v>
      </c>
      <c r="J39" t="inlineStr">
        <is>
          <t>fill:solid:fg(none):bg(rgb=FFFEFFA6)||font:color(theme=1)</t>
        </is>
      </c>
    </row>
    <row r="40">
      <c r="A40" t="inlineStr">
        <is>
          <t xml:space="preserve">15 - Imaging Progress </t>
        </is>
      </c>
      <c r="C40" t="inlineStr">
        <is>
          <t>F2:F14</t>
        </is>
      </c>
      <c r="D40" t="inlineStr">
        <is>
          <t>cellIs</t>
        </is>
      </c>
      <c r="E40" t="n">
        <v>5</v>
      </c>
      <c r="F40" t="inlineStr">
        <is>
          <t>3 | 5</t>
        </is>
      </c>
      <c r="G40" t="n">
        <v>8</v>
      </c>
      <c r="J40" t="inlineStr">
        <is>
          <t>fill:solid:fg(none):bg(theme=9|tint=0.59999389629810485)||font:color(theme=1)</t>
        </is>
      </c>
    </row>
    <row r="41">
      <c r="A41" t="inlineStr">
        <is>
          <t xml:space="preserve">15 - Imaging Progress </t>
        </is>
      </c>
      <c r="C41" t="inlineStr">
        <is>
          <t>F2:F15</t>
        </is>
      </c>
      <c r="D41" t="inlineStr">
        <is>
          <t>cellIs</t>
        </is>
      </c>
      <c r="E41" t="n">
        <v>6</v>
      </c>
      <c r="F41" t="inlineStr">
        <is>
          <t>10 | 20</t>
        </is>
      </c>
      <c r="G41" t="n">
        <v>7</v>
      </c>
      <c r="J41" t="inlineStr">
        <is>
          <t>fill:solid:fg(none):bg(theme=6|tint=0.79998168889431442)||font:color(theme=1)</t>
        </is>
      </c>
    </row>
    <row r="42">
      <c r="A42" t="inlineStr">
        <is>
          <t>Deployments</t>
        </is>
      </c>
      <c r="B42" t="inlineStr">
        <is>
          <t>tblDeviceConfig</t>
        </is>
      </c>
      <c r="C42" t="inlineStr">
        <is>
          <t>Deployments!CC2:CC532 A2:BZ49 T50:BZ100 AJ101:BZ103 AJ104:AQ104 T106:BZ149 T105:AQ105 AS104:BZ105 A50:R149 T101:AH101 T103:AH104 U102:AH102 A150:BZ531</t>
        </is>
      </c>
      <c r="D42" t="inlineStr">
        <is>
          <t>expression</t>
        </is>
      </c>
      <c r="E42" t="n">
        <v>1</v>
      </c>
      <c r="F42" t="inlineStr">
        <is>
          <t>$F2="Yes"</t>
        </is>
      </c>
      <c r="G42" t="n">
        <v>43</v>
      </c>
      <c r="H42" t="inlineStr">
        <is>
          <t>Duplicates/conflicts flag (DupDeployed=Yes)</t>
        </is>
      </c>
      <c r="I42" t="inlineStr">
        <is>
          <t>Other</t>
        </is>
      </c>
      <c r="J42" t="inlineStr">
        <is>
          <t>fill:solid:fg(rgb=FF8B0000):bg(rgb=FF8B0000)||font:color(rgb=FFFFFFFF)</t>
        </is>
      </c>
    </row>
    <row r="43">
      <c r="A43" t="inlineStr">
        <is>
          <t>Deployments</t>
        </is>
      </c>
      <c r="B43" t="inlineStr">
        <is>
          <t>tblDeviceConfig</t>
        </is>
      </c>
      <c r="C43" t="inlineStr">
        <is>
          <t>Deployments!B2:B532</t>
        </is>
      </c>
      <c r="D43" t="inlineStr">
        <is>
          <t>expression</t>
        </is>
      </c>
      <c r="E43" t="n">
        <v>4</v>
      </c>
      <c r="F43" t="inlineStr">
        <is>
          <t>LOWER(TRIM($B2))="no"</t>
        </is>
      </c>
      <c r="G43" t="n">
        <v>42</v>
      </c>
      <c r="H43" t="inlineStr">
        <is>
          <t>Rule – see formula</t>
        </is>
      </c>
      <c r="I43" t="inlineStr">
        <is>
          <t>Yellow</t>
        </is>
      </c>
      <c r="J43" t="inlineStr">
        <is>
          <t>fill:solid:fg(rgb=FFFFEB9C):bg(rgb=FFFFEB9C)||font:none</t>
        </is>
      </c>
    </row>
    <row r="44">
      <c r="A44" t="inlineStr">
        <is>
          <t>Deployments</t>
        </is>
      </c>
      <c r="B44" t="inlineStr">
        <is>
          <t>tblDeviceConfig</t>
        </is>
      </c>
      <c r="C44" t="inlineStr">
        <is>
          <t>Deployments!R99:R144</t>
        </is>
      </c>
      <c r="D44" t="inlineStr">
        <is>
          <t>expression</t>
        </is>
      </c>
      <c r="E44" t="n">
        <v>5</v>
      </c>
      <c r="F44" t="inlineStr">
        <is>
          <t>AND(INDEX($A:$BI,ROW(),MATCH("Deployed",$A$1:$BI$1,0))="Yes",LEN(TRIM(N99))=0)</t>
        </is>
      </c>
      <c r="G44" t="n">
        <v>38</v>
      </c>
      <c r="H44" t="inlineStr">
        <is>
          <t>Rule – see formula</t>
        </is>
      </c>
      <c r="I44" t="inlineStr">
        <is>
          <t>Other</t>
        </is>
      </c>
      <c r="J44" t="inlineStr">
        <is>
          <t>fill:solid:fg(rgb=FFFCE4D6):bg(rgb=FFFCE4D6)||font:b|color(rgb=FF9C5700)</t>
        </is>
      </c>
    </row>
    <row r="45">
      <c r="A45" t="inlineStr">
        <is>
          <t>Deployments</t>
        </is>
      </c>
      <c r="B45" t="inlineStr">
        <is>
          <t>tblDeviceConfig</t>
        </is>
      </c>
      <c r="C45" t="inlineStr">
        <is>
          <t>Deployments!I2:I532</t>
        </is>
      </c>
      <c r="D45" t="inlineStr">
        <is>
          <t>expression</t>
        </is>
      </c>
      <c r="E45" t="n">
        <v>7</v>
      </c>
      <c r="F45" t="inlineStr">
        <is>
          <t>AND($A2&lt;&gt;"",LEN(TRIM($I2))=0)</t>
        </is>
      </c>
      <c r="G45" t="n">
        <v>40</v>
      </c>
      <c r="H45" t="inlineStr">
        <is>
          <t>Rule – see formula</t>
        </is>
      </c>
      <c r="I45" t="inlineStr">
        <is>
          <t>Yellow</t>
        </is>
      </c>
      <c r="J45" t="inlineStr">
        <is>
          <t>fill:solid:fg(rgb=FFFFEB9C):bg(rgb=FFFFEB9C)||font:none</t>
        </is>
      </c>
    </row>
    <row r="46">
      <c r="A46" t="inlineStr">
        <is>
          <t>Deployments</t>
        </is>
      </c>
      <c r="B46" t="inlineStr">
        <is>
          <t>tblDeviceConfig</t>
        </is>
      </c>
      <c r="C46" t="inlineStr">
        <is>
          <t>Deployments!BI2:BI532</t>
        </is>
      </c>
      <c r="D46" t="inlineStr">
        <is>
          <t>expression</t>
        </is>
      </c>
      <c r="E46" t="n">
        <v>17</v>
      </c>
      <c r="F46" t="inlineStr">
        <is>
          <t>AND($A2="Cybernet",UPPER(TRIM($B2))="YES",LEN(TRIM($BI2))=0)</t>
        </is>
      </c>
      <c r="G46" t="inlineStr">
        <is>
          <t>71</t>
        </is>
      </c>
      <c r="H46" t="inlineStr">
        <is>
          <t>Cybernet Software List missing (Deployed=Yes)</t>
        </is>
      </c>
      <c r="I46" t="inlineStr">
        <is>
          <t>Teal</t>
        </is>
      </c>
      <c r="J46" t="inlineStr">
        <is>
          <t>fill:solid:fg(rgb=FF00B0F0):bg(indexed=64)||font:none</t>
        </is>
      </c>
      <c r="K46" t="inlineStr">
        <is>
          <t>Teal</t>
        </is>
      </c>
      <c r="L46" t="inlineStr">
        <is>
          <t>Deployed Cybernet but Software List is blank</t>
        </is>
      </c>
    </row>
    <row r="47">
      <c r="A47" t="inlineStr">
        <is>
          <t>Deployments</t>
        </is>
      </c>
      <c r="B47" t="inlineStr">
        <is>
          <t>tblDeviceConfig</t>
        </is>
      </c>
      <c r="C47" t="inlineStr">
        <is>
          <t>Deployments!BI2:BI532</t>
        </is>
      </c>
      <c r="D47" t="inlineStr">
        <is>
          <t>expression</t>
        </is>
      </c>
      <c r="E47" t="n">
        <v>18</v>
      </c>
      <c r="F47" t="inlineStr">
        <is>
          <t>AND($A2="Cybernet",UPPER(TRIM($B2))="YES",LEN(TRIM($BI2))&gt;0)</t>
        </is>
      </c>
      <c r="G47" t="n">
        <v>33</v>
      </c>
      <c r="H47" t="inlineStr">
        <is>
          <t>Cybernet Software List present (Deployed=Yes)</t>
        </is>
      </c>
      <c r="I47" t="inlineStr">
        <is>
          <t>Green</t>
        </is>
      </c>
      <c r="J47" t="inlineStr">
        <is>
          <t>fill:patternFill:bg(rgb=FFC6EFCE)||font:color(rgb=FF006100)</t>
        </is>
      </c>
      <c r="K47" t="inlineStr">
        <is>
          <t>Green</t>
        </is>
      </c>
      <c r="L47" t="inlineStr">
        <is>
          <t>Deployed Cybernet has Software List (apps accounted for)</t>
        </is>
      </c>
    </row>
    <row r="48">
      <c r="A48" t="inlineStr">
        <is>
          <t>Deployments</t>
        </is>
      </c>
      <c r="B48" t="inlineStr">
        <is>
          <t>tblDeviceConfig</t>
        </is>
      </c>
      <c r="C48" t="inlineStr">
        <is>
          <t>Deployments!BM2:BM532</t>
        </is>
      </c>
      <c r="D48" t="inlineStr">
        <is>
          <t>expression</t>
        </is>
      </c>
      <c r="E48" t="n">
        <v>25</v>
      </c>
      <c r="F48" t="inlineStr">
        <is>
          <t>BI2="Yes"</t>
        </is>
      </c>
      <c r="G48" t="n">
        <v>32</v>
      </c>
      <c r="H48" t="inlineStr">
        <is>
          <t>Rule – see formula</t>
        </is>
      </c>
      <c r="I48" t="inlineStr">
        <is>
          <t>Green</t>
        </is>
      </c>
      <c r="J48" t="inlineStr">
        <is>
          <t>fill:solid:fg(rgb=FFC6EFCE):bg(none)||font:none</t>
        </is>
      </c>
    </row>
    <row r="49">
      <c r="A49" t="inlineStr">
        <is>
          <t>Deployments</t>
        </is>
      </c>
      <c r="B49" t="inlineStr">
        <is>
          <t>tblDeviceConfig</t>
        </is>
      </c>
      <c r="C49" t="inlineStr">
        <is>
          <t>Deployments!BM2:BM532</t>
        </is>
      </c>
      <c r="D49" t="inlineStr">
        <is>
          <t>expression</t>
        </is>
      </c>
      <c r="E49" t="n">
        <v>26</v>
      </c>
      <c r="F49" t="inlineStr">
        <is>
          <t>BI2="Blocked"</t>
        </is>
      </c>
      <c r="G49" t="n">
        <v>31</v>
      </c>
      <c r="H49" t="inlineStr">
        <is>
          <t>Rule – see formula</t>
        </is>
      </c>
      <c r="I49" t="inlineStr">
        <is>
          <t>Yellow</t>
        </is>
      </c>
      <c r="J49" t="inlineStr">
        <is>
          <t>fill:solid:fg(rgb=FFFFEB9C):bg(none)||font:none</t>
        </is>
      </c>
    </row>
    <row r="50">
      <c r="A50" t="inlineStr">
        <is>
          <t>Deployments</t>
        </is>
      </c>
      <c r="B50" t="inlineStr">
        <is>
          <t>tblDeviceConfig</t>
        </is>
      </c>
      <c r="C50" t="inlineStr">
        <is>
          <t>Deployments!S2:U101 S103:U532 S102 U102</t>
        </is>
      </c>
      <c r="D50" t="inlineStr">
        <is>
          <t>expression</t>
        </is>
      </c>
      <c r="E50" t="n">
        <v>32</v>
      </c>
      <c r="F50" t="inlineStr">
        <is>
          <t>AND(   $B2="Yes",   $U2&lt;&gt;"",   LOWER(TRIM($U2))&lt;&gt;"n/a",   COUNTIFS($U$2:$U$532,$U2,$B$2:$B$532,"Yes")&gt;1 )</t>
        </is>
      </c>
      <c r="G50" t="n">
        <v>36</v>
      </c>
      <c r="H50" t="inlineStr">
        <is>
          <t>Duplicate value (deployed scope) – investigate conflict</t>
        </is>
      </c>
      <c r="I50" t="inlineStr">
        <is>
          <t>Red</t>
        </is>
      </c>
      <c r="J50" t="inlineStr">
        <is>
          <t>fill:solid:fg(rgb=FFFFC7CE):bg(rgb=FFFFC7CE)||font:b|color(rgb=FF9C0006)</t>
        </is>
      </c>
    </row>
    <row r="51">
      <c r="A51" t="inlineStr">
        <is>
          <t>Deployments</t>
        </is>
      </c>
      <c r="B51" t="inlineStr">
        <is>
          <t>tblDeviceConfig</t>
        </is>
      </c>
      <c r="C51" t="inlineStr">
        <is>
          <t>Deployments!W2:W49 W150:W531</t>
        </is>
      </c>
      <c r="D51" t="inlineStr">
        <is>
          <t>expression</t>
        </is>
      </c>
      <c r="E51" t="n">
        <v>33</v>
      </c>
      <c r="F51" t="inlineStr">
        <is>
          <t>AND($B2="Yes",$S2&lt;&gt;"",LOWER(TRIM($S2))&lt;&gt;"n/a",COUNTIFS($S$2:$S$532,$S2,$B$2:$B$532,"Yes")&gt;1)</t>
        </is>
      </c>
      <c r="G51" t="n">
        <v>35</v>
      </c>
      <c r="H51" t="inlineStr">
        <is>
          <t>Duplicate value (deployed scope) – investigate conflict</t>
        </is>
      </c>
      <c r="I51" t="inlineStr">
        <is>
          <t>Red</t>
        </is>
      </c>
      <c r="J51" t="inlineStr">
        <is>
          <t>fill:solid:fg(rgb=FFFFC7CE):bg(rgb=FFFFC7CE)||font:b|color(rgb=FF9C0006)</t>
        </is>
      </c>
    </row>
    <row r="52">
      <c r="A52" t="inlineStr">
        <is>
          <t>Deployments</t>
        </is>
      </c>
      <c r="B52" t="inlineStr">
        <is>
          <t>tblDeviceConfig</t>
        </is>
      </c>
      <c r="C52" t="inlineStr">
        <is>
          <t>Deployments!R2:S103 R106:S532 R104:R105</t>
        </is>
      </c>
      <c r="D52" t="inlineStr">
        <is>
          <t>expression</t>
        </is>
      </c>
      <c r="E52" t="n">
        <v>102</v>
      </c>
      <c r="F52" t="inlineStr">
        <is>
          <t>AND($B2="Yes",$R2&lt;&gt;"",LOWER(TRIM($R2))&lt;&gt;"n/a",COUNTIFS($R$2:$R$532,$R2,$B$2:$B$532,"Yes")&gt;1)</t>
        </is>
      </c>
      <c r="G52" t="n">
        <v>16</v>
      </c>
      <c r="H52" t="inlineStr">
        <is>
          <t>Duplicate value (deployed scope) – investigate conflict</t>
        </is>
      </c>
      <c r="I52" t="inlineStr">
        <is>
          <t>Red</t>
        </is>
      </c>
      <c r="J52" t="inlineStr">
        <is>
          <t>fill:solid:fg(rgb=FFFFC7CE):bg(rgb=FFFFC7CE)||font:b|color(rgb=FF9C0006)</t>
        </is>
      </c>
    </row>
    <row r="53">
      <c r="A53" t="inlineStr">
        <is>
          <t>Deployments</t>
        </is>
      </c>
      <c r="B53" t="inlineStr">
        <is>
          <t>tblDeviceConfig</t>
        </is>
      </c>
      <c r="C53" t="inlineStr">
        <is>
          <t>Deployments!R2:S49 R50:R149 R150:S531</t>
        </is>
      </c>
      <c r="D53" t="inlineStr">
        <is>
          <t>expression</t>
        </is>
      </c>
      <c r="E53" t="n">
        <v>103</v>
      </c>
      <c r="F53" t="inlineStr">
        <is>
          <t>AND($B2="Yes",$N2&lt;&gt;"")</t>
        </is>
      </c>
      <c r="G53" t="n">
        <v>39</v>
      </c>
      <c r="H53" t="inlineStr">
        <is>
          <t>Rule – see formula</t>
        </is>
      </c>
      <c r="I53" t="inlineStr">
        <is>
          <t>Green</t>
        </is>
      </c>
      <c r="J53" t="inlineStr">
        <is>
          <t>fill:solid:fg(rgb=FFC6EFCE):bg(rgb=FFC6EFCE)||font:b|color(rgb=FF006100)</t>
        </is>
      </c>
    </row>
    <row r="54">
      <c r="A54" t="inlineStr">
        <is>
          <t>Deployments</t>
        </is>
      </c>
      <c r="B54" t="inlineStr">
        <is>
          <t>tblDeviceConfig</t>
        </is>
      </c>
      <c r="C54" t="inlineStr">
        <is>
          <t>Deployments!T2:T101 T103:T532</t>
        </is>
      </c>
      <c r="D54" t="inlineStr">
        <is>
          <t>expression</t>
        </is>
      </c>
      <c r="E54" t="n">
        <v>105</v>
      </c>
      <c r="F54" t="inlineStr">
        <is>
          <t>AND($B2="Yes",$O2&lt;&gt;"",LOWER(TRIM($O2))&lt;&gt;"n/a",COUNTIFS($O$2:$O$532,$O2,$B$2:$B$532,"Yes")&gt;1)</t>
        </is>
      </c>
      <c r="G54" t="n">
        <v>37</v>
      </c>
      <c r="H54" t="inlineStr">
        <is>
          <t>Duplicate value (deployed scope) – investigate conflict</t>
        </is>
      </c>
      <c r="I54" t="inlineStr">
        <is>
          <t>Other</t>
        </is>
      </c>
      <c r="J54" t="inlineStr">
        <is>
          <t>fill:solid:fg(rgb=FFF4CCCC):bg(rgb=FFF4CCCC)||font:none</t>
        </is>
      </c>
    </row>
    <row r="55">
      <c r="A55" t="inlineStr">
        <is>
          <t>Deployments</t>
        </is>
      </c>
      <c r="B55" t="inlineStr">
        <is>
          <t>tblDeviceConfig</t>
        </is>
      </c>
      <c r="C55" t="inlineStr">
        <is>
          <t>Deployments!G2:H163 G167:H532 H165:H166 G164:G166</t>
        </is>
      </c>
      <c r="D55" t="inlineStr">
        <is>
          <t>expression</t>
        </is>
      </c>
      <c r="E55" t="n">
        <v>107</v>
      </c>
      <c r="F55" t="inlineStr">
        <is>
          <t>AND($B2="Yes",$G2&lt;&gt;"",$H2&lt;&gt;"",LOWER(TRIM($G2))&lt;&gt;LOWER(TRIM($H2)))</t>
        </is>
      </c>
      <c r="G55" t="n">
        <v>41</v>
      </c>
      <c r="H55" t="inlineStr">
        <is>
          <t>Mismatch between expected vs actual (case-insensitive compare)</t>
        </is>
      </c>
      <c r="I55" t="inlineStr">
        <is>
          <t>Red</t>
        </is>
      </c>
      <c r="J55" t="inlineStr">
        <is>
          <t>fill:solid:fg(rgb=FFFFC7CE):bg(rgb=FFFFC7CE)||font:b|color(rgb=FF9C0006)</t>
        </is>
      </c>
    </row>
    <row r="56">
      <c r="A56" t="inlineStr">
        <is>
          <t>Deployments</t>
        </is>
      </c>
      <c r="B56" t="inlineStr">
        <is>
          <t>tblDeviceConfig</t>
        </is>
      </c>
      <c r="C56" t="inlineStr">
        <is>
          <t>Deployments!R2:S49 R50:R149 R150:S531 B2:C532</t>
        </is>
      </c>
      <c r="D56" t="inlineStr">
        <is>
          <t>expression</t>
        </is>
      </c>
      <c r="E56" t="n">
        <v>144</v>
      </c>
      <c r="F56" t="inlineStr">
        <is>
          <t>AND($B2="Yes",$BO2="Yes")</t>
        </is>
      </c>
      <c r="G56" t="n">
        <v>30</v>
      </c>
      <c r="H56" t="inlineStr">
        <is>
          <t>Rule – see formula</t>
        </is>
      </c>
      <c r="I56" t="inlineStr">
        <is>
          <t>Green</t>
        </is>
      </c>
      <c r="J56" t="inlineStr">
        <is>
          <t>fill:solid:fg(rgb=FFC6EFCE):bg(rgb=FFC6EFCE)||font:none</t>
        </is>
      </c>
    </row>
    <row r="57">
      <c r="A57" t="inlineStr">
        <is>
          <t>Deployments</t>
        </is>
      </c>
      <c r="B57" t="inlineStr">
        <is>
          <t>tblDeviceConfig</t>
        </is>
      </c>
      <c r="C57" t="inlineStr">
        <is>
          <t>Deployments!D2:E532</t>
        </is>
      </c>
      <c r="D57" t="inlineStr">
        <is>
          <t>expression</t>
        </is>
      </c>
      <c r="E57" t="n">
        <v>146</v>
      </c>
      <c r="F57" t="inlineStr">
        <is>
          <t>AND($B2="Yes",$BO2="No")</t>
        </is>
      </c>
      <c r="G57" t="n">
        <v>29</v>
      </c>
      <c r="H57" t="inlineStr">
        <is>
          <t>Rule – see formula</t>
        </is>
      </c>
      <c r="I57" t="inlineStr">
        <is>
          <t>Yellow</t>
        </is>
      </c>
      <c r="J57" t="inlineStr">
        <is>
          <t>fill:solid:fg(rgb=FFFFEB9C):bg(rgb=FFFFEB9C)||font:none</t>
        </is>
      </c>
    </row>
    <row r="58">
      <c r="A58" t="inlineStr">
        <is>
          <t>Deployments</t>
        </is>
      </c>
      <c r="B58" t="inlineStr">
        <is>
          <t>tblDeviceConfig</t>
        </is>
      </c>
      <c r="C58" t="inlineStr">
        <is>
          <t>Deployments!I2:Q532</t>
        </is>
      </c>
      <c r="D58" t="inlineStr">
        <is>
          <t>expression</t>
        </is>
      </c>
      <c r="E58" t="n">
        <v>147</v>
      </c>
      <c r="F58" t="inlineStr">
        <is>
          <t>AND($BO2="Yes",$A2&lt;&gt;"Neuron",COUNTBLANK($E2:$L2)&gt;0)</t>
        </is>
      </c>
      <c r="G58" t="n">
        <v>28</v>
      </c>
      <c r="H58" t="inlineStr">
        <is>
          <t>Rule – see formula</t>
        </is>
      </c>
      <c r="I58" t="inlineStr">
        <is>
          <t>Other</t>
        </is>
      </c>
      <c r="J58" t="inlineStr">
        <is>
          <t>fill:solid:fg(rgb=FFF4CCCC):bg(rgb=FFF4CCCC)||font:none</t>
        </is>
      </c>
    </row>
    <row r="59">
      <c r="A59" t="inlineStr">
        <is>
          <t>Deployments</t>
        </is>
      </c>
      <c r="B59" t="inlineStr">
        <is>
          <t>tblDeviceConfig</t>
        </is>
      </c>
      <c r="C59" t="inlineStr">
        <is>
          <t>Deployments!P2:P1048576</t>
        </is>
      </c>
      <c r="D59" t="inlineStr">
        <is>
          <t>expression</t>
        </is>
      </c>
      <c r="E59" t="n">
        <v>148</v>
      </c>
      <c r="F59" t="inlineStr">
        <is>
          <t>AND($BE2&lt;&gt;"",OR($BD2="Yes",$L2&lt;&gt;""))</t>
        </is>
      </c>
      <c r="G59" t="n">
        <v>27</v>
      </c>
      <c r="H59" t="inlineStr">
        <is>
          <t>DEPRECATED (sqref bounded to table end row 532): Rule – see formula</t>
        </is>
      </c>
      <c r="I59" t="inlineStr">
        <is>
          <t>Green</t>
        </is>
      </c>
      <c r="J59" t="inlineStr">
        <is>
          <t>fill::fg(none):bg(rgb=FFC6EFCE)||font:color(rgb=FF006100)</t>
        </is>
      </c>
    </row>
    <row r="60">
      <c r="A60" t="inlineStr">
        <is>
          <t>Deployments</t>
        </is>
      </c>
      <c r="B60" t="inlineStr">
        <is>
          <t>tblDeviceConfig</t>
        </is>
      </c>
      <c r="C60" t="inlineStr">
        <is>
          <t>Deployments!P2:P1048576</t>
        </is>
      </c>
      <c r="D60" t="inlineStr">
        <is>
          <t>expression</t>
        </is>
      </c>
      <c r="E60" t="n">
        <v>149</v>
      </c>
      <c r="F60" t="inlineStr">
        <is>
          <t>AND($BE2&lt;&gt;"",$BD2&lt;&gt;"Yes",$L2="")</t>
        </is>
      </c>
      <c r="G60" t="n">
        <v>26</v>
      </c>
      <c r="H60" t="inlineStr">
        <is>
          <t>DEPRECATED (sqref bounded to table end row 532): Rule – see formula</t>
        </is>
      </c>
      <c r="I60" t="inlineStr">
        <is>
          <t>Red</t>
        </is>
      </c>
      <c r="J60" t="inlineStr">
        <is>
          <t>fill::fg(none):bg(rgb=FFFFC7CE)||font:color(rgb=FF9C0006)</t>
        </is>
      </c>
    </row>
    <row r="61">
      <c r="A61" t="inlineStr">
        <is>
          <t>Deployments</t>
        </is>
      </c>
      <c r="B61" t="inlineStr">
        <is>
          <t>tblDeviceConfig</t>
        </is>
      </c>
      <c r="C61" t="inlineStr">
        <is>
          <t>Deployments!R2:S49 R50:R149 R150:S531 B2:C532</t>
        </is>
      </c>
      <c r="D61" t="inlineStr">
        <is>
          <t>expression</t>
        </is>
      </c>
      <c r="E61" t="n">
        <v>150</v>
      </c>
      <c r="F61" t="inlineStr">
        <is>
          <t>AND($B2="Yes",$BO2&lt;&gt;"Yes")</t>
        </is>
      </c>
      <c r="G61" t="n">
        <v>25</v>
      </c>
      <c r="H61" t="inlineStr">
        <is>
          <t>Rule – see formula</t>
        </is>
      </c>
      <c r="I61" t="inlineStr">
        <is>
          <t>Yellow</t>
        </is>
      </c>
      <c r="J61" t="inlineStr">
        <is>
          <t>fill:solid:fg(rgb=FFFFEB9C):bg(rgb=FFFFEB9C)||font:none</t>
        </is>
      </c>
    </row>
    <row r="62">
      <c r="A62" t="inlineStr">
        <is>
          <t>Deployments</t>
        </is>
      </c>
      <c r="B62" t="inlineStr">
        <is>
          <t>tblDeviceConfig</t>
        </is>
      </c>
      <c r="C62" t="inlineStr">
        <is>
          <t>Deployments!R94:R98</t>
        </is>
      </c>
      <c r="D62" t="inlineStr">
        <is>
          <t>expression</t>
        </is>
      </c>
      <c r="E62" t="n">
        <v>152</v>
      </c>
      <c r="F62" t="inlineStr">
        <is>
          <t>AND(INDEX($A:$BH,ROW(),MATCH("Deployed",$A$1:$BH$1,0))="Yes",LEN(TRIM(N94))=0)</t>
        </is>
      </c>
      <c r="G62" t="n">
        <v>24</v>
      </c>
      <c r="H62" t="inlineStr">
        <is>
          <t>Rule – see formula</t>
        </is>
      </c>
      <c r="I62" t="inlineStr">
        <is>
          <t>Other</t>
        </is>
      </c>
      <c r="J62" t="inlineStr">
        <is>
          <t>fill:solid:fg(rgb=FFFCE4D6):bg(rgb=FFFCE4D6)||font:b|color(rgb=FF9C5700)</t>
        </is>
      </c>
    </row>
    <row r="63">
      <c r="A63" t="inlineStr">
        <is>
          <t>Deployments</t>
        </is>
      </c>
      <c r="B63" t="inlineStr">
        <is>
          <t>tblDeviceConfig</t>
        </is>
      </c>
      <c r="C63" t="inlineStr">
        <is>
          <t>Deployments!Y2:Y532</t>
        </is>
      </c>
      <c r="D63" t="inlineStr">
        <is>
          <t>expression</t>
        </is>
      </c>
      <c r="E63" t="n">
        <v>154</v>
      </c>
      <c r="F63" t="inlineStr">
        <is>
          <t>AND($B2="Yes",$Y2&lt;&gt;"",LOWER(TRIM($Y2))&lt;&gt;"n/a",LOWER(TRIM($Y2))&lt;&gt;"na",COUNTIFS($Y$2:$Y$532,$Y2,$B$2:$B$532,"Yes")&gt;1)</t>
        </is>
      </c>
      <c r="G63" t="n">
        <v>23</v>
      </c>
      <c r="H63" t="inlineStr">
        <is>
          <t>Duplicate value (deployed scope) – investigate conflict</t>
        </is>
      </c>
      <c r="I63" t="inlineStr">
        <is>
          <t>Red</t>
        </is>
      </c>
      <c r="J63" t="inlineStr">
        <is>
          <t>fill:solid:fg(rgb=FFFFC7CE):bg(rgb=FFFFC7CE)||font:b|color(rgb=FF9C0006)</t>
        </is>
      </c>
    </row>
    <row r="64">
      <c r="A64" t="inlineStr">
        <is>
          <t>Deployments</t>
        </is>
      </c>
      <c r="B64" t="inlineStr">
        <is>
          <t>tblDeviceConfig</t>
        </is>
      </c>
      <c r="C64" t="inlineStr">
        <is>
          <t>Deployments!Z2:Z115 Z120:Z508</t>
        </is>
      </c>
      <c r="D64" t="inlineStr">
        <is>
          <t>expression</t>
        </is>
      </c>
      <c r="E64" t="n">
        <v>155</v>
      </c>
      <c r="F64" t="inlineStr">
        <is>
          <t>AND($B2="Yes",$Z2&lt;&gt;"",LOWER(TRIM($Z2))&lt;&gt;"n/a",LOWER(TRIM($Z2))&lt;&gt;"na",COUNTIFS($Z$2:$Z$532,$Z2,$B$2:$B$532,"Yes")&gt;1)</t>
        </is>
      </c>
      <c r="G64" t="n">
        <v>22</v>
      </c>
      <c r="H64" t="inlineStr">
        <is>
          <t>Duplicate value (deployed scope) – investigate conflict</t>
        </is>
      </c>
      <c r="I64" t="inlineStr">
        <is>
          <t>Other</t>
        </is>
      </c>
      <c r="J64" t="inlineStr">
        <is>
          <t>fill:solid:fg(rgb=FFF4CCCC):bg(rgb=FFF4CCCC)||font:none</t>
        </is>
      </c>
    </row>
    <row r="65">
      <c r="A65" t="inlineStr">
        <is>
          <t>Deployments</t>
        </is>
      </c>
      <c r="B65" t="inlineStr">
        <is>
          <t>tblDeviceConfig</t>
        </is>
      </c>
      <c r="C65" t="inlineStr">
        <is>
          <t>Deployments!AC2:AC532</t>
        </is>
      </c>
      <c r="D65" t="inlineStr">
        <is>
          <t>expression</t>
        </is>
      </c>
      <c r="E65" t="n">
        <v>157</v>
      </c>
      <c r="F65" t="inlineStr">
        <is>
          <t>AND($B2="Yes",$AC2&lt;&gt;"",LOWER(TRIM($AC2))&lt;&gt;"n/a",LOWER(TRIM($AC2))&lt;&gt;"na",COUNTIFS($AC$2:$AC$532,$AC2,$B$2:$B$532,"Yes")&gt;1)</t>
        </is>
      </c>
      <c r="G65" t="n">
        <v>21</v>
      </c>
      <c r="H65" t="inlineStr">
        <is>
          <t>Duplicate value (deployed scope) – investigate conflict</t>
        </is>
      </c>
      <c r="I65" t="inlineStr">
        <is>
          <t>Red</t>
        </is>
      </c>
      <c r="J65" t="inlineStr">
        <is>
          <t>fill:solid:fg(rgb=FFFFC7CE):bg(rgb=FFFFC7CE)||font:b|color(rgb=FF9C0006)</t>
        </is>
      </c>
    </row>
    <row r="66">
      <c r="A66" t="inlineStr">
        <is>
          <t>Deployments</t>
        </is>
      </c>
      <c r="B66" t="inlineStr">
        <is>
          <t>tblDeviceConfig</t>
        </is>
      </c>
      <c r="C66" t="inlineStr">
        <is>
          <t>Deployments!AD2:AD532</t>
        </is>
      </c>
      <c r="D66" t="inlineStr">
        <is>
          <t>expression</t>
        </is>
      </c>
      <c r="E66" t="n">
        <v>158</v>
      </c>
      <c r="F66" t="inlineStr">
        <is>
          <t>AND($B2="Yes",$Y2&lt;&gt;"",LOWER(TRIM($Y2))&lt;&gt;"n/a",COUNTIFS($Y$2:$Y$532,$Y2,$B$2:$B$532,"Yes")&gt;1)</t>
        </is>
      </c>
      <c r="G66" t="n">
        <v>20</v>
      </c>
      <c r="H66" t="inlineStr">
        <is>
          <t>Duplicate value (deployed scope) – investigate conflict</t>
        </is>
      </c>
      <c r="I66" t="inlineStr">
        <is>
          <t>Red</t>
        </is>
      </c>
      <c r="J66" t="inlineStr">
        <is>
          <t>fill:solid:fg(rgb=FFFFC7CE):bg(rgb=FFFFC7CE)||font:b|color(rgb=FF9C0006)</t>
        </is>
      </c>
    </row>
    <row r="67">
      <c r="A67" t="inlineStr">
        <is>
          <t>Deployments</t>
        </is>
      </c>
      <c r="B67" t="inlineStr">
        <is>
          <t>tblDeviceConfig</t>
        </is>
      </c>
      <c r="C67" t="inlineStr">
        <is>
          <t>Deployments!AL2:AL532</t>
        </is>
      </c>
      <c r="D67" t="inlineStr">
        <is>
          <t>expression</t>
        </is>
      </c>
      <c r="E67" t="n">
        <v>159</v>
      </c>
      <c r="F67" t="inlineStr">
        <is>
          <t>AND($B2="Yes",$AH2&lt;&gt;"",LOWER(TRIM($AH2))&lt;&gt;"n/a",COUNTIFS($AH$2:$AH$532,$AH2,$B$2:$B$532,"Yes")&gt;1)</t>
        </is>
      </c>
      <c r="G67" t="n">
        <v>19</v>
      </c>
      <c r="H67" t="inlineStr">
        <is>
          <t>Duplicate value (deployed scope) – investigate conflict</t>
        </is>
      </c>
      <c r="I67" t="inlineStr">
        <is>
          <t>Red</t>
        </is>
      </c>
      <c r="J67" t="inlineStr">
        <is>
          <t>fill:solid:fg(rgb=FFFFC7CE):bg(rgb=FFFFC7CE)||font:b|color(rgb=FF9C0006)</t>
        </is>
      </c>
    </row>
    <row r="68">
      <c r="A68" t="inlineStr">
        <is>
          <t>Deployments</t>
        </is>
      </c>
      <c r="B68" t="inlineStr">
        <is>
          <t>tblDeviceConfig</t>
        </is>
      </c>
      <c r="C68" t="inlineStr">
        <is>
          <t>Deployments!I2:M532</t>
        </is>
      </c>
      <c r="D68" t="inlineStr">
        <is>
          <t>expression</t>
        </is>
      </c>
      <c r="E68" t="n">
        <v>165</v>
      </c>
      <c r="F68" t="inlineStr">
        <is>
          <t>AND($A2="Cybernet",$U2&lt;&gt;"",E2="")</t>
        </is>
      </c>
      <c r="G68" t="n">
        <v>18</v>
      </c>
      <c r="H68" t="inlineStr">
        <is>
          <t>Rule – see formula</t>
        </is>
      </c>
      <c r="I68" t="inlineStr">
        <is>
          <t>Red</t>
        </is>
      </c>
      <c r="J68" t="inlineStr">
        <is>
          <t>fill::fg(none):bg(rgb=FFFFC7CE)||font:none</t>
        </is>
      </c>
    </row>
    <row r="69">
      <c r="A69" t="inlineStr">
        <is>
          <t>Deployments</t>
        </is>
      </c>
      <c r="B69" t="inlineStr">
        <is>
          <t>tblDeviceConfig</t>
        </is>
      </c>
      <c r="C69" t="inlineStr">
        <is>
          <t>Deployments!W50:W149</t>
        </is>
      </c>
      <c r="D69" t="inlineStr">
        <is>
          <t>expression</t>
        </is>
      </c>
      <c r="E69" t="n">
        <v>173</v>
      </c>
      <c r="F69" t="inlineStr">
        <is>
          <t>AND($B50="Yes",$R50&lt;&gt;"",LOWER(TRIM($R50))&lt;&gt;"n/a",COUNTIFS($S$2:$S$532,$R50,$B$2:$B$532,"Yes")&gt;1)</t>
        </is>
      </c>
      <c r="G69" t="n">
        <v>17</v>
      </c>
      <c r="H69" t="inlineStr">
        <is>
          <t>Duplicate value (deployed scope) – investigate conflict</t>
        </is>
      </c>
      <c r="I69" t="inlineStr">
        <is>
          <t>Red</t>
        </is>
      </c>
      <c r="J69" t="inlineStr">
        <is>
          <t>fill:solid:fg(rgb=FFFFC7CE):bg(rgb=FFFFC7CE)||font:b|color(rgb=FF9C0006)</t>
        </is>
      </c>
    </row>
    <row r="70">
      <c r="A70" t="inlineStr">
        <is>
          <t>Deployments</t>
        </is>
      </c>
      <c r="B70" t="inlineStr">
        <is>
          <t>tblDeviceConfig</t>
        </is>
      </c>
      <c r="C70" t="inlineStr">
        <is>
          <t>Deployments!S104:S105</t>
        </is>
      </c>
      <c r="D70" t="inlineStr">
        <is>
          <t>expression</t>
        </is>
      </c>
      <c r="E70" t="n">
        <v>197</v>
      </c>
      <c r="F70" t="inlineStr">
        <is>
          <t>AND($B103="Yes",$R103&lt;&gt;"",LOWER(TRIM($R103))&lt;&gt;"n/a",COUNTIFS($R$2:$R$532,$R103,$B$2:$B$532,"Yes")&gt;1)</t>
        </is>
      </c>
      <c r="G70" t="n">
        <v>15</v>
      </c>
      <c r="H70" t="inlineStr">
        <is>
          <t>Duplicate value (deployed scope) – investigate conflict</t>
        </is>
      </c>
      <c r="I70" t="inlineStr">
        <is>
          <t>Red</t>
        </is>
      </c>
      <c r="J70" t="inlineStr">
        <is>
          <t>fill:solid:fg(rgb=FFFFC7CE):bg(rgb=FFFFC7CE)||font:b|color(rgb=FF9C0006)</t>
        </is>
      </c>
    </row>
    <row r="71">
      <c r="A71" t="inlineStr">
        <is>
          <t>Deployments</t>
        </is>
      </c>
      <c r="B71" t="inlineStr">
        <is>
          <t>tblDeviceConfig</t>
        </is>
      </c>
      <c r="C71" t="inlineStr">
        <is>
          <t>Deployments!H164</t>
        </is>
      </c>
      <c r="D71" t="inlineStr">
        <is>
          <t>expression</t>
        </is>
      </c>
      <c r="E71" t="n">
        <v>202</v>
      </c>
      <c r="F71" t="inlineStr">
        <is>
          <t>AND($B164="Yes",$G166&lt;&gt;"",$H164&lt;&gt;"",LOWER(TRIM($G166))&lt;&gt;LOWER(TRIM($H164)))</t>
        </is>
      </c>
      <c r="G71" t="n">
        <v>14</v>
      </c>
      <c r="H71" t="inlineStr">
        <is>
          <t>Mismatch between expected vs actual (case-insensitive compare)</t>
        </is>
      </c>
      <c r="I71" t="inlineStr">
        <is>
          <t>Red</t>
        </is>
      </c>
      <c r="J71" t="inlineStr">
        <is>
          <t>fill:solid:fg(rgb=FFFFC7CE):bg(rgb=FFFFC7CE)||font:b|color(rgb=FF9C0006)</t>
        </is>
      </c>
    </row>
    <row r="72">
      <c r="A72" t="inlineStr">
        <is>
          <t>Deployments</t>
        </is>
      </c>
      <c r="B72" t="inlineStr">
        <is>
          <t>tblDeviceConfig</t>
        </is>
      </c>
      <c r="C72" t="inlineStr">
        <is>
          <t>Deployments!H2:H532 Q2:Q532 AF2:AF532 AG2:AG532 AL2:AL532 AS2:AS532 AD2:AD532</t>
        </is>
      </c>
      <c r="D72" t="inlineStr">
        <is>
          <t>expression</t>
        </is>
      </c>
      <c r="E72" t="inlineStr">
        <is>
          <t>DEPRECATED</t>
        </is>
      </c>
      <c r="F72" t="inlineStr">
        <is>
          <t>AND(UPPER($B2)="YES",LEN(TRIM(INDEX($1:$1048576,ROW(),COLUMN())))=0)</t>
        </is>
      </c>
      <c r="G72" t="n">
        <v>13</v>
      </c>
      <c r="H72" t="inlineStr">
        <is>
          <t>DEPRECATED: split into per-field purple required-field rules; old INDEX-based blank check did not flag blanks reliably (PI_Use_Case / PI_Validated_Date).</t>
        </is>
      </c>
      <c r="I72" t="inlineStr">
        <is>
          <t>Deprecated</t>
        </is>
      </c>
      <c r="J72" t="inlineStr">
        <is>
          <t>fill:solid:fg(theme=4|tint=0.59999389629810485):bg(indexed=64)||font:none</t>
        </is>
      </c>
      <c r="K72" t="inlineStr">
        <is>
          <t>Purple</t>
        </is>
      </c>
      <c r="L72" t="inlineStr">
        <is>
          <t>DEPRECATED</t>
        </is>
      </c>
    </row>
    <row r="73">
      <c r="A73" t="inlineStr">
        <is>
          <t>Deployments</t>
        </is>
      </c>
      <c r="B73" t="inlineStr">
        <is>
          <t>tblDeviceConfig</t>
        </is>
      </c>
      <c r="C73" t="inlineStr">
        <is>
          <t>Deployments!R2:R532</t>
        </is>
      </c>
      <c r="D73" t="inlineStr">
        <is>
          <t>expression</t>
        </is>
      </c>
      <c r="E73" t="inlineStr">
        <is>
          <t>204</t>
        </is>
      </c>
      <c r="F73" t="inlineStr">
        <is>
          <t>AND(UPPER(TRIM($B2))="YES",$A2="Cybernet",LEN(TRIM($R2))=0)</t>
        </is>
      </c>
      <c r="G73" t="inlineStr">
        <is>
          <t>13</t>
        </is>
      </c>
      <c r="H73" t="inlineStr">
        <is>
          <t>Missing required deployment field when Deployed=Yes (blank/whitespace)</t>
        </is>
      </c>
      <c r="I73" t="inlineStr">
        <is>
          <t>Purple</t>
        </is>
      </c>
      <c r="J73" t="inlineStr">
        <is>
          <t>fill:solid:fg(theme=4|tint=0.59999389629810485):bg(indexed=64)||font:none</t>
        </is>
      </c>
      <c r="K73" t="inlineStr">
        <is>
          <t>Purple</t>
        </is>
      </c>
      <c r="L73" t="inlineStr">
        <is>
          <t>Deployed=Yes and required field is blank (Cybernet Hostname)</t>
        </is>
      </c>
    </row>
    <row r="74">
      <c r="A74" t="inlineStr">
        <is>
          <t>Deployments</t>
        </is>
      </c>
      <c r="B74" t="inlineStr">
        <is>
          <t>tblDeviceConfig</t>
        </is>
      </c>
      <c r="C74" t="inlineStr">
        <is>
          <t>Deployments!S2:S532</t>
        </is>
      </c>
      <c r="D74" t="inlineStr">
        <is>
          <t>expression</t>
        </is>
      </c>
      <c r="E74" t="inlineStr">
        <is>
          <t>205</t>
        </is>
      </c>
      <c r="F74" t="inlineStr">
        <is>
          <t>AND(UPPER(TRIM($B2))="YES",$A2="Neuron",LEN(TRIM($S2))=0)</t>
        </is>
      </c>
      <c r="G74" t="inlineStr">
        <is>
          <t>13</t>
        </is>
      </c>
      <c r="H74" t="inlineStr">
        <is>
          <t>DEPRECATED (rule updated): Neuron Hostname required for Neuron or Cybernet when Deployed=Yes. Old formula used Neuron-only gate. | Missing required deployment field when Deployed=Yes (blank/whitespace)</t>
        </is>
      </c>
      <c r="I74" t="inlineStr">
        <is>
          <t>Purple</t>
        </is>
      </c>
      <c r="J74" t="inlineStr">
        <is>
          <t>fill:solid:fg(theme=4|tint=0.59999389629810485):bg(indexed=64)||font:none</t>
        </is>
      </c>
      <c r="K74" t="inlineStr">
        <is>
          <t>Purple</t>
        </is>
      </c>
      <c r="L74" t="inlineStr">
        <is>
          <t>Deployed=Yes and required field is blank (Neuron Hostname)</t>
        </is>
      </c>
    </row>
    <row r="75">
      <c r="A75" t="inlineStr">
        <is>
          <t>Deployments</t>
        </is>
      </c>
      <c r="B75" t="inlineStr">
        <is>
          <t>tblDeviceConfig</t>
        </is>
      </c>
      <c r="C75" t="inlineStr">
        <is>
          <t>Deployments!H2:H532</t>
        </is>
      </c>
      <c r="D75" t="inlineStr">
        <is>
          <t>expression</t>
        </is>
      </c>
      <c r="E75" t="inlineStr">
        <is>
          <t>203</t>
        </is>
      </c>
      <c r="F75" t="inlineStr">
        <is>
          <t>AND(UPPER(TRIM($B2))="YES",LEN(TRIM($H2))=0)</t>
        </is>
      </c>
      <c r="G75" t="inlineStr">
        <is>
          <t>13</t>
        </is>
      </c>
      <c r="H75" t="inlineStr">
        <is>
          <t>Required field missing when Deployed=Yes (Install Building)</t>
        </is>
      </c>
      <c r="I75" t="inlineStr">
        <is>
          <t>Purple</t>
        </is>
      </c>
      <c r="J75" t="inlineStr">
        <is>
          <t>fill:solid:fg(theme=4|tint=0.59999389629810485):bg(indexed=64)||font:none</t>
        </is>
      </c>
      <c r="K75" t="inlineStr">
        <is>
          <t>Purple</t>
        </is>
      </c>
      <c r="L75" t="inlineStr">
        <is>
          <t>Deployed=Yes and Install Building is blank</t>
        </is>
      </c>
    </row>
    <row r="76">
      <c r="A76" t="inlineStr">
        <is>
          <t>Deployments</t>
        </is>
      </c>
      <c r="B76" t="inlineStr">
        <is>
          <t>tblDeviceConfig</t>
        </is>
      </c>
      <c r="C76" t="inlineStr">
        <is>
          <t>Deployments!I2:I532</t>
        </is>
      </c>
      <c r="D76" t="inlineStr">
        <is>
          <t>expression</t>
        </is>
      </c>
      <c r="E76" t="inlineStr">
        <is>
          <t>206</t>
        </is>
      </c>
      <c r="F76" t="inlineStr">
        <is>
          <t>AND(UPPER(TRIM($B2))="YES",LEN(TRIM($I2))=0)</t>
        </is>
      </c>
      <c r="G76" t="inlineStr">
        <is>
          <t>13</t>
        </is>
      </c>
      <c r="H76" t="inlineStr">
        <is>
          <t>Required field missing when Deployed=Yes (PI Use Case)</t>
        </is>
      </c>
      <c r="I76" t="inlineStr">
        <is>
          <t>Purple</t>
        </is>
      </c>
      <c r="J76" t="inlineStr">
        <is>
          <t>fill:solid:fg(theme=4|tint=0.59999389629810485):bg(indexed=64)||font:none</t>
        </is>
      </c>
      <c r="K76" t="inlineStr">
        <is>
          <t>Purple</t>
        </is>
      </c>
      <c r="L76" t="inlineStr">
        <is>
          <t>Deployed=Yes and PI Use Case is blank</t>
        </is>
      </c>
    </row>
    <row r="77">
      <c r="A77" t="inlineStr">
        <is>
          <t>Deployments</t>
        </is>
      </c>
      <c r="B77" t="inlineStr">
        <is>
          <t>tblDeviceConfig</t>
        </is>
      </c>
      <c r="C77" t="inlineStr">
        <is>
          <t>Deployments!Q2:Q532</t>
        </is>
      </c>
      <c r="D77" t="inlineStr">
        <is>
          <t>expression</t>
        </is>
      </c>
      <c r="E77" t="inlineStr">
        <is>
          <t>207</t>
        </is>
      </c>
      <c r="F77" t="inlineStr">
        <is>
          <t>AND(UPPER(TRIM($B2))="YES",LEN(TRIM($Q2))=0)</t>
        </is>
      </c>
      <c r="G77" t="inlineStr">
        <is>
          <t>13</t>
        </is>
      </c>
      <c r="H77" t="inlineStr">
        <is>
          <t>Required field missing when Deployed=Yes (PI Validated Date)</t>
        </is>
      </c>
      <c r="I77" t="inlineStr">
        <is>
          <t>Purple</t>
        </is>
      </c>
      <c r="J77" t="inlineStr">
        <is>
          <t>fill:solid:fg(theme=4|tint=0.59999389629810485):bg(indexed=64)||font:none</t>
        </is>
      </c>
      <c r="K77" t="inlineStr">
        <is>
          <t>Purple</t>
        </is>
      </c>
      <c r="L77" t="inlineStr">
        <is>
          <t>Deployed=Yes and PI Validated Date is blank</t>
        </is>
      </c>
    </row>
    <row r="78">
      <c r="A78" t="inlineStr">
        <is>
          <t>Deployments</t>
        </is>
      </c>
      <c r="B78" t="inlineStr">
        <is>
          <t>tblDeviceConfig</t>
        </is>
      </c>
      <c r="C78" t="inlineStr">
        <is>
          <t>Deployments!AF2:AF532</t>
        </is>
      </c>
      <c r="D78" t="inlineStr">
        <is>
          <t>expression</t>
        </is>
      </c>
      <c r="E78" t="inlineStr">
        <is>
          <t>208</t>
        </is>
      </c>
      <c r="F78" t="inlineStr">
        <is>
          <t>AND(UPPER(TRIM($B2))="YES",LEN(TRIM($AF2))=0)</t>
        </is>
      </c>
      <c r="G78" t="inlineStr">
        <is>
          <t>13</t>
        </is>
      </c>
      <c r="H78" t="inlineStr">
        <is>
          <t>Required field missing when Deployed=Yes (Area/Unit)</t>
        </is>
      </c>
      <c r="I78" t="inlineStr">
        <is>
          <t>Purple</t>
        </is>
      </c>
      <c r="J78" t="inlineStr">
        <is>
          <t>fill:solid:fg(theme=4|tint=0.59999389629810485):bg(indexed=64)||font:none</t>
        </is>
      </c>
      <c r="K78" t="inlineStr">
        <is>
          <t>Purple</t>
        </is>
      </c>
      <c r="L78" t="inlineStr">
        <is>
          <t>Deployed=Yes and Area/Unit is blank</t>
        </is>
      </c>
    </row>
    <row r="79">
      <c r="A79" t="inlineStr">
        <is>
          <t>Deployments</t>
        </is>
      </c>
      <c r="B79" t="inlineStr">
        <is>
          <t>tblDeviceConfig</t>
        </is>
      </c>
      <c r="C79" t="inlineStr">
        <is>
          <t>Deployments!AG2:AG532</t>
        </is>
      </c>
      <c r="D79" t="inlineStr">
        <is>
          <t>expression</t>
        </is>
      </c>
      <c r="E79" t="inlineStr">
        <is>
          <t>209</t>
        </is>
      </c>
      <c r="F79" t="inlineStr">
        <is>
          <t>AND(UPPER(TRIM($B2))="YES",LEN(TRIM($AG2))=0)</t>
        </is>
      </c>
      <c r="G79" t="inlineStr">
        <is>
          <t>13</t>
        </is>
      </c>
      <c r="H79" t="inlineStr">
        <is>
          <t>Required field missing when Deployed=Yes (Room)</t>
        </is>
      </c>
      <c r="I79" t="inlineStr">
        <is>
          <t>Purple</t>
        </is>
      </c>
      <c r="J79" t="inlineStr">
        <is>
          <t>fill:solid:fg(theme=4|tint=0.59999389629810485):bg(indexed=64)||font:none</t>
        </is>
      </c>
      <c r="K79" t="inlineStr">
        <is>
          <t>Purple</t>
        </is>
      </c>
      <c r="L79" t="inlineStr">
        <is>
          <t>Deployed=Yes and Room is blank</t>
        </is>
      </c>
    </row>
    <row r="80">
      <c r="A80" t="inlineStr">
        <is>
          <t>Deployments</t>
        </is>
      </c>
      <c r="B80" t="inlineStr">
        <is>
          <t>tblDeviceConfig</t>
        </is>
      </c>
      <c r="C80" t="inlineStr">
        <is>
          <t>Deployments!AL2:AL532</t>
        </is>
      </c>
      <c r="D80" t="inlineStr">
        <is>
          <t>expression</t>
        </is>
      </c>
      <c r="E80" t="inlineStr">
        <is>
          <t>210</t>
        </is>
      </c>
      <c r="F80" t="inlineStr">
        <is>
          <t>AND(UPPER(TRIM($B2))="YES",LEN(TRIM($AL2))=0)</t>
        </is>
      </c>
      <c r="G80" t="inlineStr">
        <is>
          <t>13</t>
        </is>
      </c>
      <c r="H80" t="inlineStr">
        <is>
          <t>Required field missing when Deployed=Yes (Medical Device ID)</t>
        </is>
      </c>
      <c r="I80" t="inlineStr">
        <is>
          <t>Purple</t>
        </is>
      </c>
      <c r="J80" t="inlineStr">
        <is>
          <t>fill:solid:fg(theme=4|tint=0.59999389629810485):bg(indexed=64)||font:none</t>
        </is>
      </c>
      <c r="K80" t="inlineStr">
        <is>
          <t>Purple</t>
        </is>
      </c>
      <c r="L80" t="inlineStr">
        <is>
          <t>Deployed=Yes and Medical Device ID is blank</t>
        </is>
      </c>
    </row>
    <row r="81">
      <c r="A81" t="inlineStr">
        <is>
          <t>Deployments</t>
        </is>
      </c>
      <c r="B81" t="inlineStr">
        <is>
          <t>tblDeviceConfig</t>
        </is>
      </c>
      <c r="C81" t="inlineStr">
        <is>
          <t>Deployments!AS2:AS532</t>
        </is>
      </c>
      <c r="D81" t="inlineStr">
        <is>
          <t>expression</t>
        </is>
      </c>
      <c r="E81" t="inlineStr">
        <is>
          <t>211</t>
        </is>
      </c>
      <c r="F81" t="inlineStr">
        <is>
          <t>AND(UPPER(TRIM($B2))="YES",LEN(TRIM($AS2))=0)</t>
        </is>
      </c>
      <c r="G81" t="inlineStr">
        <is>
          <t>13</t>
        </is>
      </c>
      <c r="H81" t="inlineStr">
        <is>
          <t>Required field missing when Deployed=Yes (Medical Peripheral 2)</t>
        </is>
      </c>
      <c r="I81" t="inlineStr">
        <is>
          <t>Purple</t>
        </is>
      </c>
      <c r="J81" t="inlineStr">
        <is>
          <t>fill:solid:fg(theme=4|tint=0.59999389629810485):bg(indexed=64)||font:none</t>
        </is>
      </c>
      <c r="K81" t="inlineStr">
        <is>
          <t>Purple</t>
        </is>
      </c>
      <c r="L81" t="inlineStr">
        <is>
          <t>Deployed=Yes and Medical Peripheral 2 is blank</t>
        </is>
      </c>
    </row>
    <row r="82">
      <c r="A82" t="inlineStr">
        <is>
          <t>Deployments</t>
        </is>
      </c>
      <c r="B82" t="inlineStr">
        <is>
          <t>tblDeviceConfig</t>
        </is>
      </c>
      <c r="C82" t="inlineStr">
        <is>
          <t>Deployments!AD2:AD532</t>
        </is>
      </c>
      <c r="D82" t="inlineStr">
        <is>
          <t>expression</t>
        </is>
      </c>
      <c r="E82" t="inlineStr">
        <is>
          <t>212</t>
        </is>
      </c>
      <c r="F82" t="inlineStr">
        <is>
          <t>AND(UPPER(TRIM($B2))="YES",LEN(TRIM($AD2))=0)</t>
        </is>
      </c>
      <c r="G82" t="inlineStr">
        <is>
          <t>13</t>
        </is>
      </c>
      <c r="H82" t="inlineStr">
        <is>
          <t>Required field missing when Deployed=Yes (Anesthesia S/N)</t>
        </is>
      </c>
      <c r="I82" t="inlineStr">
        <is>
          <t>Purple</t>
        </is>
      </c>
      <c r="J82" t="inlineStr">
        <is>
          <t>fill:solid:fg(theme=4|tint=0.59999389629810485):bg(indexed=64)||font:none</t>
        </is>
      </c>
      <c r="K82" t="inlineStr">
        <is>
          <t>Purple</t>
        </is>
      </c>
      <c r="L82" t="inlineStr">
        <is>
          <t>Deployed=Yes and Anesthesia S/N is blank</t>
        </is>
      </c>
    </row>
    <row r="83">
      <c r="A83" t="inlineStr">
        <is>
          <t>Deployments</t>
        </is>
      </c>
      <c r="B83" t="inlineStr">
        <is>
          <t>tblDeviceConfig</t>
        </is>
      </c>
      <c r="C83" t="inlineStr">
        <is>
          <t>Deployments!S2:S532</t>
        </is>
      </c>
      <c r="D83" t="inlineStr">
        <is>
          <t>expression</t>
        </is>
      </c>
      <c r="E83" t="inlineStr">
        <is>
          <t>205</t>
        </is>
      </c>
      <c r="F83" t="inlineStr">
        <is>
          <t>AND(UPPER(TRIM($B2))="YES",OR(UPPER(TRIM($A2))="NEURON",UPPER(TRIM($A2))="CYBERNET"),LEN(TRIM($S2))=0)</t>
        </is>
      </c>
      <c r="G83" t="inlineStr">
        <is>
          <t>13</t>
        </is>
      </c>
      <c r="H83" t="inlineStr">
        <is>
          <t>Missing required deployment field when Deployed=Yes (blank/whitespace) | Neuron Hostname required for Neuron or Cybernet</t>
        </is>
      </c>
      <c r="I83" t="inlineStr">
        <is>
          <t>Purple</t>
        </is>
      </c>
      <c r="J83" t="inlineStr">
        <is>
          <t>fill:solid:fg(theme=4|tint=0.59999389629810485):bg(indexed=64)||font:none</t>
        </is>
      </c>
    </row>
    <row r="84">
      <c r="A84" t="inlineStr">
        <is>
          <t>Deployments</t>
        </is>
      </c>
      <c r="B84" t="inlineStr">
        <is>
          <t>tblDeviceConfig</t>
        </is>
      </c>
      <c r="C84" t="inlineStr">
        <is>
          <t>Deployments!T2:T532</t>
        </is>
      </c>
      <c r="D84" t="inlineStr">
        <is>
          <t>expression</t>
        </is>
      </c>
      <c r="E84" t="inlineStr">
        <is>
          <t>213</t>
        </is>
      </c>
      <c r="F84" t="inlineStr">
        <is>
          <t>AND(UPPER(TRIM($B2))="YES",OR(UPPER(TRIM($A2))="NEURON",UPPER(TRIM($A2))="CYBERNET"),LEN(TRIM($T2))=0)</t>
        </is>
      </c>
      <c r="G84" t="inlineStr">
        <is>
          <t>13</t>
        </is>
      </c>
      <c r="H84" t="inlineStr">
        <is>
          <t>Missing required deployment field when Deployed=Yes (blank/whitespace) | Neuron MAC required for Neuron or Cybernet</t>
        </is>
      </c>
      <c r="I84" t="inlineStr">
        <is>
          <t>Purple</t>
        </is>
      </c>
      <c r="J84" t="inlineStr">
        <is>
          <t>fill:solid:fg(theme=4|tint=0.59999389629810485):bg(indexed=64)||font:none</t>
        </is>
      </c>
    </row>
    <row r="85">
      <c r="A85" t="inlineStr">
        <is>
          <t>Deployments</t>
        </is>
      </c>
      <c r="B85" t="inlineStr">
        <is>
          <t>tblDeviceConfig</t>
        </is>
      </c>
      <c r="C85" t="inlineStr">
        <is>
          <t>Deployments!P2:P532</t>
        </is>
      </c>
      <c r="D85" t="inlineStr">
        <is>
          <t>expression</t>
        </is>
      </c>
      <c r="E85" t="inlineStr">
        <is>
          <t>148</t>
        </is>
      </c>
      <c r="F85" t="inlineStr">
        <is>
          <t>AND($BE2&lt;&gt;"",OR($BD2="Yes",$L2&lt;&gt;""))</t>
        </is>
      </c>
      <c r="G85" t="inlineStr">
        <is>
          <t>27</t>
        </is>
      </c>
      <c r="H85" t="inlineStr">
        <is>
          <t>Rule – see formula</t>
        </is>
      </c>
      <c r="I85" t="inlineStr">
        <is>
          <t>Green</t>
        </is>
      </c>
      <c r="J85" t="inlineStr">
        <is>
          <t>fill::fg(none):bg(rgb=FFC6EFCE)||font:color(rgb=FF006100)</t>
        </is>
      </c>
    </row>
    <row r="86">
      <c r="A86" t="inlineStr">
        <is>
          <t>Deployments</t>
        </is>
      </c>
      <c r="B86" t="inlineStr">
        <is>
          <t>tblDeviceConfig</t>
        </is>
      </c>
      <c r="C86" t="inlineStr">
        <is>
          <t>Deployments!P2:P532</t>
        </is>
      </c>
      <c r="D86" t="inlineStr">
        <is>
          <t>expression</t>
        </is>
      </c>
      <c r="E86" t="inlineStr">
        <is>
          <t>149</t>
        </is>
      </c>
      <c r="F86" t="inlineStr">
        <is>
          <t>AND($BE2&lt;&gt;"",$BD2&lt;&gt;"Yes",$L2="")</t>
        </is>
      </c>
      <c r="G86" t="inlineStr">
        <is>
          <t>26</t>
        </is>
      </c>
      <c r="H86" t="inlineStr">
        <is>
          <t>Rule – see formula</t>
        </is>
      </c>
      <c r="I86" t="inlineStr">
        <is>
          <t>Red</t>
        </is>
      </c>
      <c r="J86" t="inlineStr">
        <is>
          <t>fill::fg(none):bg(rgb=FFFFC7CE)||font:color(rgb=FF9C0006)</t>
        </is>
      </c>
    </row>
    <row r="87">
      <c r="A87" t="inlineStr">
        <is>
          <t>Deployments</t>
        </is>
      </c>
      <c r="B87" t="inlineStr">
        <is>
          <t>tblDeviceConfig</t>
        </is>
      </c>
      <c r="C87" t="inlineStr">
        <is>
          <t>Deployments!AK2:AK532</t>
        </is>
      </c>
      <c r="D87" t="inlineStr">
        <is>
          <t>expression</t>
        </is>
      </c>
      <c r="E87" t="inlineStr">
        <is>
          <t>214</t>
        </is>
      </c>
      <c r="F87" t="inlineStr">
        <is>
          <t>AND(UPPER(TRIM($B2))="YES",LEN(TRIM($AK2))=0)</t>
        </is>
      </c>
      <c r="G87" t="inlineStr">
        <is>
          <t>13</t>
        </is>
      </c>
      <c r="H87" t="inlineStr">
        <is>
          <t>Missing required deployment field when Deployed=Yes (blank/whitespace) | Medical Device Model required</t>
        </is>
      </c>
      <c r="I87" t="inlineStr">
        <is>
          <t>Purple</t>
        </is>
      </c>
      <c r="J87" t="inlineStr">
        <is>
          <t>fill:solid:fg(theme=4|tint=0.59999389629810485):bg(indexed=64)||font:none</t>
        </is>
      </c>
    </row>
    <row r="88">
      <c r="A88" t="inlineStr">
        <is>
          <t>Deployments</t>
        </is>
      </c>
      <c r="B88" t="inlineStr">
        <is>
          <t>tblDeviceConfig</t>
        </is>
      </c>
      <c r="C88" t="inlineStr">
        <is>
          <t>Deployments!AR2:AR532</t>
        </is>
      </c>
      <c r="D88" t="inlineStr">
        <is>
          <t>expression</t>
        </is>
      </c>
      <c r="E88" t="inlineStr">
        <is>
          <t>215</t>
        </is>
      </c>
      <c r="F88" t="inlineStr">
        <is>
          <t>AND(UPPER(TRIM($B2))="YES",LEN(TRIM($AR2))=0)</t>
        </is>
      </c>
      <c r="G88" t="inlineStr">
        <is>
          <t>13</t>
        </is>
      </c>
      <c r="H88" t="inlineStr">
        <is>
          <t>Missing required deployment field when Deployed=Yes (blank/whitespace) | Medical Peripheral 1 required</t>
        </is>
      </c>
      <c r="I88" t="inlineStr">
        <is>
          <t>Purple</t>
        </is>
      </c>
      <c r="J88" t="inlineStr">
        <is>
          <t>fill:solid:fg(theme=4|tint=0.59999389629810485):bg(indexed=64)||font:none</t>
        </is>
      </c>
    </row>
    <row r="89">
      <c r="A89" t="inlineStr">
        <is>
          <t>Deployments</t>
        </is>
      </c>
      <c r="B89" t="inlineStr">
        <is>
          <t>tblDeviceConfig</t>
        </is>
      </c>
      <c r="C89" t="inlineStr">
        <is>
          <t>Deployments!$C$2:$C$532, Deployments!$G$2:$G$532, Deployments!$H$2:$H$532, Deployments!$I$2:$I$532, Deployments!$J$2:$J$532, Deployments!$K$2:$K$532, Deployments!$L$2:$L$532, Deployments!$U$2:$U$532, Deployments!$V$2:$V$532, Deployments!$W$2:$W$532, Deployments!$AD$2:$AD$532, Deployments!$AL$2:$AL$532, Deployments!$AS$2:$AS$532, Deployments!$BI$2:$BI$532</t>
        </is>
      </c>
      <c r="D89" t="inlineStr">
        <is>
          <t>expression</t>
        </is>
      </c>
      <c r="E89" t="inlineStr">
        <is>
          <t>Varies</t>
        </is>
      </c>
      <c r="F89" t="inlineStr">
        <is>
          <t>Base: AND(UPPER(TRIM($B2))="YES",LEN(TRIM(&lt;COL2&gt;))=0). Software List (BI) uses Cybernet guardrail: AND(UPPER(TRIM($A2))="CYBERNET",UPPER(TRIM($B2))="YES",LEN(TRIM($BI2))=0).</t>
        </is>
      </c>
      <c r="G89" t="n">
        <v>73</v>
      </c>
      <c r="H89" t="inlineStr">
        <is>
          <t>Deployment-required purple: when Deployed=Yes, flag missing required fields (location, hostnames, device metadata, peripherals, software list).</t>
        </is>
      </c>
      <c r="I89" t="inlineStr">
        <is>
          <t>Fill RGB FFD9B3FF; Font RGB FF000000.</t>
        </is>
      </c>
    </row>
    <row r="90">
      <c r="A90" t="inlineStr">
        <is>
          <t>Deployments</t>
        </is>
      </c>
      <c r="B90" t="inlineStr">
        <is>
          <t>tblDeviceConfig</t>
        </is>
      </c>
      <c r="C90" t="inlineStr">
        <is>
          <t>Deployments!$B$2:$B$532, Deployments!$C$2:$C$532, Deployments!$G$2:$G$532, Deployments!$H$2:$H$532, Deployments!$U$2:$U$532, Deployments!$BI$2:$BI$532</t>
        </is>
      </c>
      <c r="D90" t="inlineStr">
        <is>
          <t>expression</t>
        </is>
      </c>
      <c r="E90" t="inlineStr">
        <is>
          <t>Varies</t>
        </is>
      </c>
      <c r="F90" t="inlineStr">
        <is>
          <t>Base: AND(LEN(TRIM($A2))&gt;0,UPPER(TRIM($B2))&lt;&gt;"YES",LEN(TRIM(&lt;COL2&gt;))=0). Cybernet-only for U and BI: AND(UPPER(TRIM($A2))="CYBERNET",UPPER(TRIM($B2))&lt;&gt;"YES",LEN(TRIM(&lt;COL2&gt;))=0).</t>
        </is>
      </c>
      <c r="G90" t="n">
        <v>74</v>
      </c>
      <c r="H90" t="inlineStr">
        <is>
          <t>Config-prep purple: before deployment (Deployed not Yes), flag missing prep fields to reduce lookup time.</t>
        </is>
      </c>
      <c r="I90" t="inlineStr">
        <is>
          <t>Fill RGB FFE6CCFF; Font RGB FF000000.</t>
        </is>
      </c>
    </row>
    <row r="91">
      <c r="A91" t="inlineStr">
        <is>
          <t>Base: AND(LEN(TRIM($A2))&gt;0,UPPER(TRIM($B2))&lt;&gt;"YES",LEN(TRIM(&lt;COL2&gt;))=0). Cybernet-only for U and BI: AND(UPPER(TRIM($A2))="CYBERNET",UPPER(TRIM($B2))&lt;&gt;"YES",LEN(TRIM(&lt;COL2&gt;))=0).</t>
        </is>
      </c>
      <c r="B91" t="inlineStr">
        <is>
          <t>Config-prep purple: before deployment (Deployed not Yes), flag missing prep fields to reduce lookup time.</t>
        </is>
      </c>
      <c r="C91" t="inlineStr">
        <is>
          <t>Config-prep purple: before deployment (Deployed not Yes), flag missing prep fields to reduce lookup time.</t>
        </is>
      </c>
      <c r="D91" t="inlineStr">
        <is>
          <t>Config-prep purple: before deployment (Deployed not Yes), flag missing prep fields to reduce lookup time.</t>
        </is>
      </c>
      <c r="E91" t="inlineStr">
        <is>
          <t>Config-prep purple: before deployment (Deployed not Yes), flag missing prep fields to reduce lookup time.</t>
        </is>
      </c>
      <c r="F91" t="inlineStr">
        <is>
          <t>Config-prep purple: before deployment (Deployed not Yes), flag missing prep fields to reduce lookup time.</t>
        </is>
      </c>
      <c r="G91" t="inlineStr">
        <is>
          <t>Config-prep purple: before deployment (Deployed not Yes), flag missing prep fields to reduce lookup time.</t>
        </is>
      </c>
      <c r="H91" t="inlineStr">
        <is>
          <t>Fill RGB FFE6CCFF; Font RGB FF000000.</t>
        </is>
      </c>
      <c r="I91" t="inlineStr">
        <is>
          <t>Base: AND(LEN(TRIM($A2))&gt;0,UPPER(TRIM($B2))&lt;&gt;"YES",LEN(TRIM(&lt;COL2&gt;))=0). Cybernet-only for U and BI: AND(UPPER(TRIM($A2))="CYBERNET",UPPER(TRIM($B2))&lt;&gt;"YES",LEN(TRIM(&lt;COL2&gt;))=0).</t>
        </is>
      </c>
    </row>
    <row r="92">
      <c r="A92" t="inlineStr">
        <is>
          <t>Deployments</t>
        </is>
      </c>
      <c r="B92" t="inlineStr">
        <is>
          <t>tblDeviceConfig</t>
        </is>
      </c>
      <c r="C92" t="inlineStr">
        <is>
          <t>Deployments!$U$2:$U$532</t>
        </is>
      </c>
      <c r="D92" t="inlineStr">
        <is>
          <t>expression</t>
        </is>
      </c>
      <c r="E92" t="inlineStr">
        <is>
          <t>AUTO</t>
        </is>
      </c>
      <c r="F92" t="inlineStr">
        <is>
          <t>AND($U2&lt;&gt;"",LOWER(TRIM($U2))&lt;&gt;"n/a",LOWER(TRIM($U2))&lt;&gt;"na",COUNTIF($U$2:$U$532,$U2)&gt;1)</t>
        </is>
      </c>
      <c r="G92" t="inlineStr">
        <is>
          <t>AUTO</t>
        </is>
      </c>
      <c r="H92" t="inlineStr">
        <is>
          <t>Always-on duplicate Cybernet Hostname check.</t>
        </is>
      </c>
      <c r="I92" t="inlineStr">
        <is>
          <t>Duplicate</t>
        </is>
      </c>
      <c r="J92" t="inlineStr">
        <is>
          <t>Fill RGB FFFFC7CE; Font RGB FF9C0006</t>
        </is>
      </c>
      <c r="K92" t="inlineStr">
        <is>
          <t>Red</t>
        </is>
      </c>
      <c r="L92" t="inlineStr">
        <is>
          <t>Official schema duplicate watch field</t>
        </is>
      </c>
    </row>
    <row r="93">
      <c r="A93" t="inlineStr">
        <is>
          <t>Deployments</t>
        </is>
      </c>
      <c r="B93" t="inlineStr">
        <is>
          <t>tblDeviceConfig</t>
        </is>
      </c>
      <c r="C93" t="inlineStr">
        <is>
          <t>Deployments!$V$2:$V$532</t>
        </is>
      </c>
      <c r="D93" t="inlineStr">
        <is>
          <t>expression</t>
        </is>
      </c>
      <c r="E93" t="inlineStr">
        <is>
          <t>AUTO</t>
        </is>
      </c>
      <c r="F93" t="inlineStr">
        <is>
          <t>AND($V2&lt;&gt;"",LOWER(TRIM($V2))&lt;&gt;"n/a",LOWER(TRIM($V2))&lt;&gt;"na",COUNTIF($V$2:$V$532,$V2)&gt;1)</t>
        </is>
      </c>
      <c r="G93" t="inlineStr">
        <is>
          <t>AUTO</t>
        </is>
      </c>
      <c r="H93" t="inlineStr">
        <is>
          <t>Always-on duplicate Cybernet Serial check.</t>
        </is>
      </c>
      <c r="I93" t="inlineStr">
        <is>
          <t>Duplicate</t>
        </is>
      </c>
      <c r="J93" t="inlineStr">
        <is>
          <t>Fill RGB FFFFC7CE; Font RGB FF9C0006</t>
        </is>
      </c>
      <c r="K93" t="inlineStr">
        <is>
          <t>Red</t>
        </is>
      </c>
      <c r="L93" t="inlineStr">
        <is>
          <t>Official schema duplicate watch field</t>
        </is>
      </c>
    </row>
    <row r="94">
      <c r="A94" t="inlineStr">
        <is>
          <t>Deployments</t>
        </is>
      </c>
      <c r="B94" t="inlineStr">
        <is>
          <t>tblDeviceConfig</t>
        </is>
      </c>
      <c r="C94" t="inlineStr">
        <is>
          <t>Deployments!$W$2:$W$532</t>
        </is>
      </c>
      <c r="D94" t="inlineStr">
        <is>
          <t>expression</t>
        </is>
      </c>
      <c r="E94" t="inlineStr">
        <is>
          <t>AUTO</t>
        </is>
      </c>
      <c r="F94" t="inlineStr">
        <is>
          <t>AND($W2&lt;&gt;"",LOWER(TRIM($W2))&lt;&gt;"n/a",LOWER(TRIM($W2))&lt;&gt;"na",COUNTIF($W$2:$W$532,$W2)&gt;1)</t>
        </is>
      </c>
      <c r="G94" t="inlineStr">
        <is>
          <t>AUTO</t>
        </is>
      </c>
      <c r="H94" t="inlineStr">
        <is>
          <t>Always-on duplicate Neuron Hostname check.</t>
        </is>
      </c>
      <c r="I94" t="inlineStr">
        <is>
          <t>Duplicate</t>
        </is>
      </c>
      <c r="J94" t="inlineStr">
        <is>
          <t>Fill RGB FFFFC7CE; Font RGB FF9C0006</t>
        </is>
      </c>
      <c r="K94" t="inlineStr">
        <is>
          <t>Red</t>
        </is>
      </c>
      <c r="L94" t="inlineStr">
        <is>
          <t>Official schema duplicate watch field</t>
        </is>
      </c>
    </row>
    <row r="95">
      <c r="A95" t="inlineStr">
        <is>
          <t>Deployments</t>
        </is>
      </c>
      <c r="B95" t="inlineStr">
        <is>
          <t>tblDeviceConfig</t>
        </is>
      </c>
      <c r="C95" t="inlineStr">
        <is>
          <t>Deployments!$AA$2:$AA$532</t>
        </is>
      </c>
      <c r="D95" t="inlineStr">
        <is>
          <t>expression</t>
        </is>
      </c>
      <c r="E95" t="inlineStr">
        <is>
          <t>AUTO</t>
        </is>
      </c>
      <c r="F95" t="inlineStr">
        <is>
          <t>AND($AA2&lt;&gt;"",LOWER(TRIM($AA2))&lt;&gt;"n/a",LOWER(TRIM($AA2))&lt;&gt;"na",COUNTIF($AA$2:$AA$532,$AA2)&gt;1)</t>
        </is>
      </c>
      <c r="G95" t="inlineStr">
        <is>
          <t>AUTO</t>
        </is>
      </c>
      <c r="H95" t="inlineStr">
        <is>
          <t>Always-on duplicate Neuron S/N check.</t>
        </is>
      </c>
      <c r="I95" t="inlineStr">
        <is>
          <t>Duplicate</t>
        </is>
      </c>
      <c r="J95" t="inlineStr">
        <is>
          <t>Fill RGB FFFFC7CE; Font RGB FF9C0006</t>
        </is>
      </c>
      <c r="K95" t="inlineStr">
        <is>
          <t>Red</t>
        </is>
      </c>
      <c r="L95" t="inlineStr">
        <is>
          <t>Official schema duplicate watch field</t>
        </is>
      </c>
    </row>
    <row r="96">
      <c r="A96" t="inlineStr">
        <is>
          <t>Deployments</t>
        </is>
      </c>
      <c r="B96" t="inlineStr">
        <is>
          <t>tblDeviceConfig</t>
        </is>
      </c>
      <c r="C96" t="inlineStr">
        <is>
          <t>Deployments!$AC$2:$AC$532</t>
        </is>
      </c>
      <c r="D96" t="inlineStr">
        <is>
          <t>expression</t>
        </is>
      </c>
      <c r="E96" t="inlineStr">
        <is>
          <t>AUTO</t>
        </is>
      </c>
      <c r="F96" t="inlineStr">
        <is>
          <t>AND($AC2&lt;&gt;"",LOWER(TRIM($AC2))&lt;&gt;"n/a",LOWER(TRIM($AC2))&lt;&gt;"na",COUNTIF($AC$2:$AC$532,$AC2)&gt;1)</t>
        </is>
      </c>
      <c r="G96" t="inlineStr">
        <is>
          <t>AUTO</t>
        </is>
      </c>
      <c r="H96" t="inlineStr">
        <is>
          <t>Always-on duplicate Cybernet MAC check.</t>
        </is>
      </c>
      <c r="I96" t="inlineStr">
        <is>
          <t>Duplicate</t>
        </is>
      </c>
      <c r="J96" t="inlineStr">
        <is>
          <t>Fill RGB FFFFC7CE; Font RGB FF9C0006</t>
        </is>
      </c>
      <c r="K96" t="inlineStr">
        <is>
          <t>Red</t>
        </is>
      </c>
      <c r="L96" t="inlineStr">
        <is>
          <t>Official schema duplicate watch field</t>
        </is>
      </c>
    </row>
    <row r="97">
      <c r="A97" t="inlineStr">
        <is>
          <t>Deployments</t>
        </is>
      </c>
      <c r="B97" t="inlineStr">
        <is>
          <t>tblDeviceConfig</t>
        </is>
      </c>
      <c r="C97" t="inlineStr">
        <is>
          <t>Deployments!$AE$2:$AE$532</t>
        </is>
      </c>
      <c r="D97" t="inlineStr">
        <is>
          <t>expression</t>
        </is>
      </c>
      <c r="E97" t="inlineStr">
        <is>
          <t>AUTO</t>
        </is>
      </c>
      <c r="F97" t="inlineStr">
        <is>
          <t>AND($AE2&lt;&gt;"",LOWER(TRIM($AE2))&lt;&gt;"n/a",LOWER(TRIM($AE2))&lt;&gt;"na",COUNTIF($AE$2:$AE$532,$AE2)&gt;1)</t>
        </is>
      </c>
      <c r="G97" t="inlineStr">
        <is>
          <t>AUTO</t>
        </is>
      </c>
      <c r="H97" t="inlineStr">
        <is>
          <t>Always-on duplicate Asset Tag check.</t>
        </is>
      </c>
      <c r="I97" t="inlineStr">
        <is>
          <t>Duplicate</t>
        </is>
      </c>
      <c r="J97" t="inlineStr">
        <is>
          <t>Fill RGB FFFFC7CE; Font RGB FF9C0006</t>
        </is>
      </c>
      <c r="K97" t="inlineStr">
        <is>
          <t>Red</t>
        </is>
      </c>
      <c r="L97" t="inlineStr">
        <is>
          <t>Official schema duplicate watch field</t>
        </is>
      </c>
    </row>
    <row r="98">
      <c r="A98" t="inlineStr">
        <is>
          <t>Deployments</t>
        </is>
      </c>
      <c r="B98" t="inlineStr">
        <is>
          <t>tblDeviceConfig</t>
        </is>
      </c>
      <c r="C98" t="inlineStr">
        <is>
          <t>Deployments!$AJ$2:$AJ$532</t>
        </is>
      </c>
      <c r="D98" t="inlineStr">
        <is>
          <t>expression</t>
        </is>
      </c>
      <c r="E98" t="inlineStr">
        <is>
          <t>AUTO</t>
        </is>
      </c>
      <c r="F98" t="inlineStr">
        <is>
          <t>AND($AJ2&lt;&gt;"",LOWER(TRIM($AJ2))&lt;&gt;"n/a",LOWER(TRIM($AJ2))&lt;&gt;"na",COUNTIF($AJ$2:$AJ$532,$AJ2)&gt;1)</t>
        </is>
      </c>
      <c r="G98" t="inlineStr">
        <is>
          <t>AUTO</t>
        </is>
      </c>
      <c r="H98" t="inlineStr">
        <is>
          <t>Always-on duplicate Dialysis S/N check.</t>
        </is>
      </c>
      <c r="I98" t="inlineStr">
        <is>
          <t>Duplicate</t>
        </is>
      </c>
      <c r="J98" t="inlineStr">
        <is>
          <t>Fill RGB FFFFC7CE; Font RGB FF9C0006</t>
        </is>
      </c>
      <c r="K98" t="inlineStr">
        <is>
          <t>Red</t>
        </is>
      </c>
      <c r="L98" t="inlineStr">
        <is>
          <t>Official schema duplicate watch field</t>
        </is>
      </c>
    </row>
    <row r="99">
      <c r="A99" t="inlineStr">
        <is>
          <t>Deployments</t>
        </is>
      </c>
      <c r="B99" t="inlineStr">
        <is>
          <t>tblDeviceConfig</t>
        </is>
      </c>
      <c r="C99" t="inlineStr">
        <is>
          <t>Deployments!$AK$2:$AK$532</t>
        </is>
      </c>
      <c r="D99" t="inlineStr">
        <is>
          <t>expression</t>
        </is>
      </c>
      <c r="E99" t="inlineStr">
        <is>
          <t>AUTO</t>
        </is>
      </c>
      <c r="F99" t="inlineStr">
        <is>
          <t>AND($AK2&lt;&gt;"",LOWER(TRIM($AK2))&lt;&gt;"n/a",LOWER(TRIM($AK2))&lt;&gt;"na",COUNTIF($AK$2:$AK$532,$AK2)&gt;1)</t>
        </is>
      </c>
      <c r="G99" t="inlineStr">
        <is>
          <t>AUTO</t>
        </is>
      </c>
      <c r="H99" t="inlineStr">
        <is>
          <t>Always-on duplicate Anesthesia S/N check.</t>
        </is>
      </c>
      <c r="I99" t="inlineStr">
        <is>
          <t>Duplicate</t>
        </is>
      </c>
      <c r="J99" t="inlineStr">
        <is>
          <t>Fill RGB FFFFC7CE; Font RGB FF9C0006</t>
        </is>
      </c>
      <c r="K99" t="inlineStr">
        <is>
          <t>Red</t>
        </is>
      </c>
      <c r="L99" t="inlineStr">
        <is>
          <t>Official schema duplicate watch field</t>
        </is>
      </c>
    </row>
    <row r="100">
      <c r="A100" t="inlineStr">
        <is>
          <t>Deployments</t>
        </is>
      </c>
      <c r="B100" t="inlineStr">
        <is>
          <t>tblDeviceConfig</t>
        </is>
      </c>
      <c r="C100" t="inlineStr">
        <is>
          <t>Deployments!$AL$2:$AL$532</t>
        </is>
      </c>
      <c r="D100" t="inlineStr">
        <is>
          <t>expression</t>
        </is>
      </c>
      <c r="E100" t="inlineStr">
        <is>
          <t>AUTO</t>
        </is>
      </c>
      <c r="F100" t="inlineStr">
        <is>
          <t>AND($AL2&lt;&gt;"",LOWER(TRIM($AL2))&lt;&gt;"n/a",LOWER(TRIM($AL2))&lt;&gt;"na",COUNTIF($AL$2:$AL$532,$AL2)&gt;1)</t>
        </is>
      </c>
      <c r="G100" t="inlineStr">
        <is>
          <t>AUTO</t>
        </is>
      </c>
      <c r="H100" t="inlineStr">
        <is>
          <t>Always-on duplicate Medical Device S/N check.</t>
        </is>
      </c>
      <c r="I100" t="inlineStr">
        <is>
          <t>Duplicate</t>
        </is>
      </c>
      <c r="J100" t="inlineStr">
        <is>
          <t>Fill RGB FFFFC7CE; Font RGB FF9C0006</t>
        </is>
      </c>
      <c r="K100" t="inlineStr">
        <is>
          <t>Red</t>
        </is>
      </c>
      <c r="L100" t="inlineStr">
        <is>
          <t>Official schema duplicate watch field</t>
        </is>
      </c>
    </row>
    <row r="104">
      <c r="A104" t="inlineStr">
        <is>
          <t>02_Warehouse_Locations</t>
        </is>
      </c>
      <c r="C104" t="inlineStr">
        <is>
          <t>02_Warehouse_Locations!A2:I132 A134:I2002</t>
        </is>
      </c>
      <c r="D104" t="inlineStr">
        <is>
          <t>expression</t>
        </is>
      </c>
      <c r="E104" t="inlineStr">
        <is>
          <t>4</t>
        </is>
      </c>
      <c r="F104" t="inlineStr">
        <is>
          <t>AND(TRIM($A2)&lt;&gt;"",COUNTIF($A$2:$A$2002,$A2)&gt;1)</t>
        </is>
      </c>
      <c r="G104" t="inlineStr">
        <is>
          <t>02_Warehouse_Locations!A2:I132 A134:I2002</t>
        </is>
      </c>
      <c r="H104" t="inlineStr">
        <is>
          <t>AUTO: see formula</t>
        </is>
      </c>
      <c r="I104" t="inlineStr">
        <is>
          <t>59</t>
        </is>
      </c>
    </row>
    <row r="105">
      <c r="A105" t="inlineStr">
        <is>
          <t>02_Warehouse_Locations</t>
        </is>
      </c>
      <c r="C105" t="inlineStr">
        <is>
          <t>AUTO|dxfId=59|fill=FFF8CBAD</t>
        </is>
      </c>
      <c r="D105" t="inlineStr">
        <is>
          <t>expression</t>
        </is>
      </c>
      <c r="E105" t="inlineStr">
        <is>
          <t>58</t>
        </is>
      </c>
      <c r="F105" t="inlineStr">
        <is>
          <t>AND(TRIM($A133)="",OR($B133&lt;&gt;"",$C133&lt;&gt;"",$D133&lt;&gt;"",$E133&lt;&gt;"",$F133&lt;&gt;"",$I133&lt;&gt;""))</t>
        </is>
      </c>
      <c r="G105" t="inlineStr">
        <is>
          <t>AUTO|dxfId=58|fill=FFF8CBAD</t>
        </is>
      </c>
      <c r="H105" t="inlineStr">
        <is>
          <t>AUTO: see formula</t>
        </is>
      </c>
      <c r="I105" t="inlineStr">
        <is>
          <t>02_Warehouse_Locations!B133:I133</t>
        </is>
      </c>
    </row>
    <row r="106">
      <c r="A106" t="inlineStr">
        <is>
          <t>02_Warehouse_Locations</t>
        </is>
      </c>
      <c r="C106" t="inlineStr">
        <is>
          <t>02_Warehouse_Locations!B133:I133</t>
        </is>
      </c>
      <c r="D106" t="inlineStr">
        <is>
          <t>expression</t>
        </is>
      </c>
      <c r="E106" t="inlineStr">
        <is>
          <t>116</t>
        </is>
      </c>
      <c r="F106" t="inlineStr">
        <is>
          <t>AND(TRIM($A133)&lt;&gt;"",COUNTIF($A$2:$A$2002,$A133)&gt;1)</t>
        </is>
      </c>
      <c r="G106" t="inlineStr">
        <is>
          <t>57</t>
        </is>
      </c>
      <c r="H106" t="inlineStr">
        <is>
          <t>AUTO: see formula</t>
        </is>
      </c>
      <c r="I106" t="inlineStr">
        <is>
          <t>AUTO|dxfId=57|fill=FFF8CBAD</t>
        </is>
      </c>
    </row>
    <row r="107">
      <c r="A107" t="inlineStr">
        <is>
          <t>03_Warehouse_Movements</t>
        </is>
      </c>
      <c r="C107" t="inlineStr">
        <is>
          <t>117</t>
        </is>
      </c>
      <c r="D107" t="inlineStr">
        <is>
          <t>expression</t>
        </is>
      </c>
      <c r="E107" t="inlineStr">
        <is>
          <t>1</t>
        </is>
      </c>
      <c r="F107" t="inlineStr">
        <is>
          <t>AND($B2&lt;&gt;"",OR($A2="",TRIM($C2)="",TRIM($E2)=""))</t>
        </is>
      </c>
      <c r="G107" t="inlineStr">
        <is>
          <t>56</t>
        </is>
      </c>
      <c r="H107" t="inlineStr">
        <is>
          <t>AUTO: see formula</t>
        </is>
      </c>
      <c r="I107" t="inlineStr">
        <is>
          <t>AUTO|dxfId=56|fill=FFF8CBAD</t>
        </is>
      </c>
    </row>
    <row r="108">
      <c r="A108" t="inlineStr">
        <is>
          <t>03_Warehouse_Movements</t>
        </is>
      </c>
      <c r="C108" t="inlineStr">
        <is>
          <t>03_Warehouse_Movements!A2:J500</t>
        </is>
      </c>
      <c r="D108" t="inlineStr">
        <is>
          <t>expression</t>
        </is>
      </c>
      <c r="E108" t="inlineStr">
        <is>
          <t>4</t>
        </is>
      </c>
      <c r="F108" t="inlineStr">
        <is>
          <t>AND(TRIM($C2)&lt;&gt;"",TRIM($E2)&lt;&gt;"",$D2="")</t>
        </is>
      </c>
      <c r="G108" t="inlineStr">
        <is>
          <t>03_Warehouse_Movements!A2:J500</t>
        </is>
      </c>
      <c r="H108" t="inlineStr">
        <is>
          <t>AUTO: see formula</t>
        </is>
      </c>
      <c r="I108" t="inlineStr">
        <is>
          <t>55</t>
        </is>
      </c>
    </row>
    <row r="109">
      <c r="A109" t="inlineStr">
        <is>
          <t>04_Label_Export</t>
        </is>
      </c>
      <c r="C109" t="inlineStr">
        <is>
          <t>AUTO|dxfId=55|fill=FFF8CBAD</t>
        </is>
      </c>
      <c r="D109" t="inlineStr">
        <is>
          <t>expression</t>
        </is>
      </c>
      <c r="E109" t="inlineStr">
        <is>
          <t>3</t>
        </is>
      </c>
      <c r="F109" t="inlineStr">
        <is>
          <t>AND(OR($A3="LOCATION",$A3="PALLET"),TRIM($B3)&lt;&gt;"",TRIM($C3)="")</t>
        </is>
      </c>
      <c r="G109" t="inlineStr">
        <is>
          <t>54</t>
        </is>
      </c>
      <c r="H109" t="inlineStr">
        <is>
          <t>AUTO: see formula</t>
        </is>
      </c>
      <c r="I109" t="inlineStr">
        <is>
          <t>AUTO|dxfId=54|fill=FFFFF2CC</t>
        </is>
      </c>
    </row>
    <row r="110">
      <c r="A110" t="inlineStr">
        <is>
          <t>05_Scan_Lookup</t>
        </is>
      </c>
      <c r="C110" t="inlineStr">
        <is>
          <t>04_Label_Export!A3:D1005</t>
        </is>
      </c>
      <c r="D110" t="inlineStr">
        <is>
          <t>expression</t>
        </is>
      </c>
      <c r="E110" t="inlineStr">
        <is>
          <t>1</t>
        </is>
      </c>
      <c r="F110" t="inlineStr">
        <is>
          <t>AND(TRIM($A3)="",OR($B3&lt;&gt;"",$C3&lt;&gt;"",$D3&lt;&gt;"",$E3&lt;&gt;"",$I3&lt;&gt;"",$J3&lt;&gt;""))</t>
        </is>
      </c>
      <c r="G110" t="inlineStr">
        <is>
          <t>53</t>
        </is>
      </c>
      <c r="H110" t="inlineStr">
        <is>
          <t>AUTO: see formula</t>
        </is>
      </c>
      <c r="I110" t="inlineStr">
        <is>
          <t>AUTO|dxfId=53|fill=FFFFF2CC</t>
        </is>
      </c>
    </row>
    <row r="111">
      <c r="A111" t="inlineStr">
        <is>
          <t>05_Scan_Lookup</t>
        </is>
      </c>
      <c r="C111" t="inlineStr">
        <is>
          <t>05_Scan_Lookup!B3</t>
        </is>
      </c>
      <c r="D111" t="inlineStr">
        <is>
          <t>expression</t>
        </is>
      </c>
      <c r="E111" t="inlineStr">
        <is>
          <t>2</t>
        </is>
      </c>
      <c r="F111" t="inlineStr">
        <is>
          <t>AND(TRIM($A3)&lt;&gt;"",NOT(AND(LEFT($A3,4)="PAL-",LEN($A3)=11,ISNUMBER(--MID($A3,5,7)))))</t>
        </is>
      </c>
      <c r="G111" t="inlineStr">
        <is>
          <t>05_Scan_Lookup!B3</t>
        </is>
      </c>
      <c r="H111" t="inlineStr">
        <is>
          <t>AUTO: see formula</t>
        </is>
      </c>
      <c r="I111" t="inlineStr">
        <is>
          <t>52</t>
        </is>
      </c>
    </row>
    <row r="112">
      <c r="A112" t="inlineStr">
        <is>
          <t>05_Scan_Lookup</t>
        </is>
      </c>
      <c r="C112" t="inlineStr">
        <is>
          <t>05_Scan_Lookup!B3</t>
        </is>
      </c>
      <c r="D112" t="inlineStr">
        <is>
          <t>expression</t>
        </is>
      </c>
      <c r="E112" t="inlineStr">
        <is>
          <t>3</t>
        </is>
      </c>
      <c r="F112" t="inlineStr">
        <is>
          <t>AND(TRIM($A3)&lt;&gt;"",COUNTIF($A$2:$A$2002,$A3)&gt;1)</t>
        </is>
      </c>
      <c r="G112" t="inlineStr">
        <is>
          <t>AUTO|dxfId=52|fill=FFF8CBAD</t>
        </is>
      </c>
      <c r="H112" t="inlineStr">
        <is>
          <t>AUTO: see formula</t>
        </is>
      </c>
      <c r="I112" t="inlineStr">
        <is>
          <t>51</t>
        </is>
      </c>
    </row>
    <row r="113">
      <c r="A113" t="inlineStr">
        <is>
          <t>05_Scan_Lookup</t>
        </is>
      </c>
      <c r="C113" t="inlineStr">
        <is>
          <t>05_Scan_Lookup!B3</t>
        </is>
      </c>
      <c r="D113" t="inlineStr">
        <is>
          <t>expression</t>
        </is>
      </c>
      <c r="E113" t="inlineStr">
        <is>
          <t>4</t>
        </is>
      </c>
      <c r="F113" t="inlineStr">
        <is>
          <t>AND(TRIM($A3)&lt;&gt;"",$C3&lt;&gt;"",$D3&lt;&gt;"",$D3&lt;&gt;"0",$C3&lt;&gt;$D3)</t>
        </is>
      </c>
      <c r="G113" t="inlineStr">
        <is>
          <t>AUTO|dxfId=51|fill=FFF8CBAD</t>
        </is>
      </c>
      <c r="H113" t="inlineStr">
        <is>
          <t>AUTO: see formula</t>
        </is>
      </c>
      <c r="I113" t="inlineStr">
        <is>
          <t>50</t>
        </is>
      </c>
    </row>
    <row r="114">
      <c r="A114" t="inlineStr">
        <is>
          <t>Deployments</t>
        </is>
      </c>
      <c r="B114" t="inlineStr">
        <is>
          <t>tblDeviceConfig</t>
        </is>
      </c>
      <c r="C114" t="inlineStr">
        <is>
          <t>AUTO|dxfId=50|fill=FFF8CBAD</t>
        </is>
      </c>
      <c r="D114" t="inlineStr">
        <is>
          <t>expression</t>
        </is>
      </c>
      <c r="E114" t="inlineStr">
        <is>
          <t>1</t>
        </is>
      </c>
      <c r="F114" t="inlineStr">
        <is>
          <t>$F2="Yes"</t>
        </is>
      </c>
      <c r="G114" t="inlineStr">
        <is>
          <t>49</t>
        </is>
      </c>
      <c r="H114" t="inlineStr">
        <is>
          <t>AUTO: see formula</t>
        </is>
      </c>
      <c r="I114" t="inlineStr">
        <is>
          <t>AUTO|dxfId=49|fill=FFFFF2CC</t>
        </is>
      </c>
    </row>
    <row r="115">
      <c r="A115" t="inlineStr">
        <is>
          <t>Deployments</t>
        </is>
      </c>
      <c r="B115" t="inlineStr">
        <is>
          <t>tblDeviceConfig</t>
        </is>
      </c>
      <c r="C115" t="inlineStr">
        <is>
          <t>Deployments!B2:B532</t>
        </is>
      </c>
      <c r="D115" t="inlineStr">
        <is>
          <t>expression</t>
        </is>
      </c>
      <c r="E115" t="inlineStr">
        <is>
          <t>4</t>
        </is>
      </c>
      <c r="F115" t="inlineStr">
        <is>
          <t>LOWER(TRIM($B2))="no"</t>
        </is>
      </c>
      <c r="G115" t="inlineStr">
        <is>
          <t>Deployments!CC2:CC532 A2:BZ49 W50:BZ100 AH101:BZ103 AH104:AQ104 W106:BZ149 W105:AQ105 AS104:BZ105 A50:U149 K101:W101 K103:W104 K102:X102 A150:BZ531</t>
        </is>
      </c>
      <c r="H115" t="inlineStr">
        <is>
          <t>AUTO: see formula</t>
        </is>
      </c>
      <c r="I115" t="inlineStr">
        <is>
          <t>43</t>
        </is>
      </c>
    </row>
    <row r="116">
      <c r="A116" t="inlineStr">
        <is>
          <t>Deployments</t>
        </is>
      </c>
      <c r="B116" t="inlineStr">
        <is>
          <t>tblDeviceConfig</t>
        </is>
      </c>
      <c r="C116" t="inlineStr">
        <is>
          <t>Deployments!B2:B532</t>
        </is>
      </c>
      <c r="D116" t="inlineStr">
        <is>
          <t>expression</t>
        </is>
      </c>
      <c r="E116" t="inlineStr">
        <is>
          <t>AUTO|dxfId=43|fill=FF8B0000|font=FFFFFFFF</t>
        </is>
      </c>
      <c r="F116" t="inlineStr">
        <is>
          <t>42</t>
        </is>
      </c>
      <c r="G116" t="inlineStr">
        <is>
          <t>AUTO|dxfId=42|fill=FFFFEB9C</t>
        </is>
      </c>
      <c r="H116" t="inlineStr">
        <is>
          <t>220</t>
        </is>
      </c>
      <c r="I116" t="inlineStr">
        <is>
          <t>AND(LEN(TRIM($A2))&gt;0,LEN(TRIM($B2))=0)</t>
        </is>
      </c>
    </row>
    <row r="117">
      <c r="A117" t="inlineStr">
        <is>
          <t>Deployments</t>
        </is>
      </c>
      <c r="B117" t="inlineStr">
        <is>
          <t>tblDeviceConfig</t>
        </is>
      </c>
      <c r="C117" t="inlineStr">
        <is>
          <t>Deployments!G2:H163 G167:H532 H165:H166 G164:G166</t>
        </is>
      </c>
      <c r="D117" t="inlineStr">
        <is>
          <t>expression</t>
        </is>
      </c>
      <c r="E117" t="inlineStr">
        <is>
          <t>74</t>
        </is>
      </c>
      <c r="F117" t="inlineStr">
        <is>
          <t>AND($B2="Yes",$G2&lt;&gt;"",$H2&lt;&gt;"",LOWER(TRIM($G2))&lt;&gt;LOWER(TRIM($H2)))</t>
        </is>
      </c>
      <c r="G117" t="inlineStr">
        <is>
          <t>Missing helpful (config-prep purple) when not deployed yet</t>
        </is>
      </c>
      <c r="H117" t="inlineStr">
        <is>
          <t>AUTO: see formula</t>
        </is>
      </c>
      <c r="I117" t="inlineStr">
        <is>
          <t>AUTO|dxfId=74|fill=FFE6CCFF|font=FF000000</t>
        </is>
      </c>
    </row>
    <row r="118">
      <c r="A118" t="inlineStr">
        <is>
          <t>Deployments</t>
        </is>
      </c>
      <c r="B118" t="inlineStr">
        <is>
          <t>tblDeviceConfig</t>
        </is>
      </c>
      <c r="C118" t="inlineStr">
        <is>
          <t>107</t>
        </is>
      </c>
      <c r="D118" t="inlineStr">
        <is>
          <t>expression</t>
        </is>
      </c>
      <c r="E118" t="inlineStr">
        <is>
          <t>41</t>
        </is>
      </c>
      <c r="F118" t="inlineStr">
        <is>
          <t>AUTO|dxfId=41|fill=FFFFC7CE|font=FF9C0006</t>
        </is>
      </c>
      <c r="G118" t="inlineStr">
        <is>
          <t>Deployments!M2:M532</t>
        </is>
      </c>
      <c r="H118" t="inlineStr">
        <is>
          <t>AUTO: see formula</t>
        </is>
      </c>
      <c r="I118" t="inlineStr">
        <is>
          <t>7</t>
        </is>
      </c>
    </row>
    <row r="119">
      <c r="A119" t="inlineStr">
        <is>
          <t>Deployments</t>
        </is>
      </c>
      <c r="B119" t="inlineStr">
        <is>
          <t>tblDeviceConfig</t>
        </is>
      </c>
      <c r="C119" t="inlineStr">
        <is>
          <t>Deployments!M2:M532</t>
        </is>
      </c>
      <c r="D119" t="inlineStr">
        <is>
          <t>expression</t>
        </is>
      </c>
      <c r="E119" t="inlineStr">
        <is>
          <t>206</t>
        </is>
      </c>
      <c r="F119" t="inlineStr">
        <is>
          <t>AND($A2&lt;&gt;"",LEN(TRIM($M2))=0)</t>
        </is>
      </c>
      <c r="G119" t="inlineStr">
        <is>
          <t>13</t>
        </is>
      </c>
      <c r="H119" t="inlineStr">
        <is>
          <t>AUTO: see formula</t>
        </is>
      </c>
      <c r="I119" t="inlineStr">
        <is>
          <t>40</t>
        </is>
      </c>
    </row>
    <row r="120">
      <c r="A120" t="inlineStr">
        <is>
          <t>Deployments</t>
        </is>
      </c>
      <c r="B120" t="inlineStr">
        <is>
          <t>tblDeviceConfig</t>
        </is>
      </c>
      <c r="C120" t="inlineStr">
        <is>
          <t>AUTO|dxfId=40|fill=FFFFEB9C</t>
        </is>
      </c>
      <c r="D120" t="inlineStr">
        <is>
          <t>expression</t>
        </is>
      </c>
      <c r="E120" t="inlineStr">
        <is>
          <t>AND(UPPER(TRIM($B2))="YES",LEN(TRIM($M2))=0)</t>
        </is>
      </c>
      <c r="F120" t="inlineStr">
        <is>
          <t>AUTO|dxfId=13</t>
        </is>
      </c>
      <c r="G120" t="inlineStr">
        <is>
          <t>Deployments!U2:V49 U50:U149 U150:V531</t>
        </is>
      </c>
      <c r="H120" t="inlineStr">
        <is>
          <t>AUTO: see formula</t>
        </is>
      </c>
      <c r="I120" t="inlineStr">
        <is>
          <t>103</t>
        </is>
      </c>
    </row>
    <row r="121">
      <c r="A121" t="inlineStr">
        <is>
          <t>Deployments</t>
        </is>
      </c>
      <c r="B121" t="inlineStr">
        <is>
          <t>tblDeviceConfig</t>
        </is>
      </c>
      <c r="C121" t="inlineStr">
        <is>
          <t>AND($B2="Yes",$R2&lt;&gt;"")</t>
        </is>
      </c>
      <c r="D121" t="inlineStr">
        <is>
          <t>expression</t>
        </is>
      </c>
      <c r="E121" t="inlineStr">
        <is>
          <t>5</t>
        </is>
      </c>
      <c r="F121" t="inlineStr">
        <is>
          <t>39</t>
        </is>
      </c>
      <c r="G121" t="inlineStr">
        <is>
          <t>AUTO|dxfId=39|fill=FFC6EFCE|font=FF006100</t>
        </is>
      </c>
      <c r="H121" t="inlineStr">
        <is>
          <t>AUTO: see formula</t>
        </is>
      </c>
      <c r="I121" t="inlineStr">
        <is>
          <t>Deployments!U99:U144</t>
        </is>
      </c>
    </row>
    <row r="122">
      <c r="A122" t="inlineStr">
        <is>
          <t>Deployments</t>
        </is>
      </c>
      <c r="B122" t="inlineStr">
        <is>
          <t>tblDeviceConfig</t>
        </is>
      </c>
      <c r="C122" t="inlineStr">
        <is>
          <t>AND(INDEX($A:$BI,ROW(),MATCH("Deployed",$A$1:$BI$1,0))="Yes",LEN(TRIM(R99))=0)</t>
        </is>
      </c>
      <c r="D122" t="inlineStr">
        <is>
          <t>expression</t>
        </is>
      </c>
      <c r="E122" t="inlineStr">
        <is>
          <t>38</t>
        </is>
      </c>
      <c r="F122" t="inlineStr">
        <is>
          <t>AND($B2="Yes",$S2&lt;&gt;"",LOWER(TRIM($S2))&lt;&gt;"n/a",COUNTIFS($S$2:$S$532,$S2,$B$2:$B$532,"Yes")&gt;1)</t>
        </is>
      </c>
      <c r="G122" t="inlineStr">
        <is>
          <t>AUTO|dxfId=38|fill=FFFCE4D6|font=FF9C5700</t>
        </is>
      </c>
      <c r="H122" t="inlineStr">
        <is>
          <t>AUTO: see formula</t>
        </is>
      </c>
      <c r="I122" t="inlineStr">
        <is>
          <t>Deployments!W2:W101 W103:W532</t>
        </is>
      </c>
    </row>
    <row r="123">
      <c r="A123" t="inlineStr">
        <is>
          <t>Deployments</t>
        </is>
      </c>
      <c r="B123" t="inlineStr">
        <is>
          <t>tblDeviceConfig</t>
        </is>
      </c>
      <c r="C123" t="inlineStr">
        <is>
          <t>105</t>
        </is>
      </c>
      <c r="D123" t="inlineStr">
        <is>
          <t>expression</t>
        </is>
      </c>
      <c r="E123" t="inlineStr">
        <is>
          <t>37</t>
        </is>
      </c>
      <c r="F123" t="inlineStr">
        <is>
          <t>AUTO|dxfId=37|fill=FFF4CCCC</t>
        </is>
      </c>
      <c r="G123" t="inlineStr">
        <is>
          <t>Deployments!V2:X101 V103:X532 V102 X102</t>
        </is>
      </c>
      <c r="H123" t="inlineStr">
        <is>
          <t>AUTO: see formula</t>
        </is>
      </c>
      <c r="I123" t="inlineStr">
        <is>
          <t>32</t>
        </is>
      </c>
    </row>
    <row r="124">
      <c r="A124" t="inlineStr">
        <is>
          <t>Deployments</t>
        </is>
      </c>
      <c r="B124" t="inlineStr">
        <is>
          <t>tblDeviceConfig</t>
        </is>
      </c>
      <c r="C124" t="inlineStr">
        <is>
          <t>AND(   $B2="Yes",   $X2&lt;&gt;"",   LOWER(TRIM($X2))&lt;&gt;"n/a",   COUNTIFS($X$2:$X$532,$X2,$B$2:$B$532,"Yes")&gt;1 )</t>
        </is>
      </c>
      <c r="D124" t="inlineStr">
        <is>
          <t>expression</t>
        </is>
      </c>
      <c r="E124" t="inlineStr">
        <is>
          <t>36</t>
        </is>
      </c>
      <c r="F124" t="inlineStr">
        <is>
          <t>AUTO|dxfId=36|fill=FFFFC7CE|font=FF9C0006</t>
        </is>
      </c>
      <c r="G124" t="inlineStr">
        <is>
          <t>Deployments!Z2:Z49 Z150:Z531</t>
        </is>
      </c>
      <c r="H124" t="inlineStr">
        <is>
          <t>AUTO: see formula</t>
        </is>
      </c>
      <c r="I124" t="inlineStr">
        <is>
          <t>33</t>
        </is>
      </c>
    </row>
    <row r="125">
      <c r="A125" t="inlineStr">
        <is>
          <t>Deployments</t>
        </is>
      </c>
      <c r="B125" t="inlineStr">
        <is>
          <t>tblDeviceConfig</t>
        </is>
      </c>
      <c r="C125" t="inlineStr">
        <is>
          <t>Deployments!BI2:BI532</t>
        </is>
      </c>
      <c r="D125" t="inlineStr">
        <is>
          <t>expression</t>
        </is>
      </c>
      <c r="E125" t="inlineStr">
        <is>
          <t>AND($B2="Yes",$V2&lt;&gt;"",LOWER(TRIM($V2))&lt;&gt;"n/a",COUNTIFS($V$2:$V$532,$V2,$B$2:$B$532,"Yes")&gt;1)</t>
        </is>
      </c>
      <c r="F125" t="inlineStr">
        <is>
          <t>35</t>
        </is>
      </c>
      <c r="G125" t="inlineStr">
        <is>
          <t>AUTO|dxfId=35|fill=FFFFC7CE|font=FF9C0006</t>
        </is>
      </c>
      <c r="H125" t="inlineStr">
        <is>
          <t>17</t>
        </is>
      </c>
      <c r="I125" t="inlineStr">
        <is>
          <t>AND(UPPER(TRIM($A2))="CYBERNET",UPPER(TRIM($B2))="YES",LEN(TRIM($BI2))=0)</t>
        </is>
      </c>
    </row>
    <row r="126">
      <c r="A126" t="inlineStr">
        <is>
          <t>Deployments</t>
        </is>
      </c>
      <c r="B126" t="inlineStr">
        <is>
          <t>tblDeviceConfig</t>
        </is>
      </c>
      <c r="C126" t="inlineStr">
        <is>
          <t>Deployments!BI2:BI532</t>
        </is>
      </c>
      <c r="D126" t="inlineStr">
        <is>
          <t>expression</t>
        </is>
      </c>
      <c r="E126" t="inlineStr">
        <is>
          <t>73</t>
        </is>
      </c>
      <c r="F126" t="inlineStr">
        <is>
          <t>Missing required (deployment-required purple) when Deployed=Yes</t>
        </is>
      </c>
      <c r="G126" t="inlineStr">
        <is>
          <t>33</t>
        </is>
      </c>
      <c r="H126" t="inlineStr">
        <is>
          <t>AUTO|dxfId=73|fill=FFD9B3FF|font=FF000000</t>
        </is>
      </c>
      <c r="I126" t="inlineStr">
        <is>
          <t>18</t>
        </is>
      </c>
    </row>
    <row r="127">
      <c r="A127" t="inlineStr">
        <is>
          <t>Deployments</t>
        </is>
      </c>
      <c r="B127" t="inlineStr">
        <is>
          <t>tblDeviceConfig</t>
        </is>
      </c>
      <c r="C127" t="inlineStr">
        <is>
          <t>Deployments!BI2:BI532</t>
        </is>
      </c>
      <c r="D127" t="inlineStr">
        <is>
          <t>expression</t>
        </is>
      </c>
      <c r="E127" t="inlineStr">
        <is>
          <t>AND(UPPER(TRIM($A2))="CYBERNET",UPPER(TRIM($B2))="YES",LEN(TRIM($BI2))&gt;0)</t>
        </is>
      </c>
      <c r="F127" t="inlineStr">
        <is>
          <t>Software List present (green) - informational</t>
        </is>
      </c>
      <c r="G127" t="inlineStr">
        <is>
          <t>74</t>
        </is>
      </c>
      <c r="H127" t="inlineStr">
        <is>
          <t>Missing helpful (config-prep purple) when not deployed yet</t>
        </is>
      </c>
      <c r="I127" t="inlineStr">
        <is>
          <t>AUTO|dxfId=74|fill=FFE6CCFF|font=FF000000</t>
        </is>
      </c>
    </row>
    <row r="128">
      <c r="A128" t="inlineStr">
        <is>
          <t>Deployments</t>
        </is>
      </c>
      <c r="B128" t="inlineStr">
        <is>
          <t>tblDeviceConfig</t>
        </is>
      </c>
      <c r="C128" t="inlineStr">
        <is>
          <t>Deployments!BM2:BM532</t>
        </is>
      </c>
      <c r="D128" t="inlineStr">
        <is>
          <t>expression</t>
        </is>
      </c>
      <c r="E128" t="inlineStr">
        <is>
          <t>AUTO|dxfId=33|font=FF006100</t>
        </is>
      </c>
      <c r="F128" t="inlineStr">
        <is>
          <t>BI2="Yes"</t>
        </is>
      </c>
      <c r="G128" t="inlineStr">
        <is>
          <t>32</t>
        </is>
      </c>
      <c r="H128" t="inlineStr">
        <is>
          <t>AUTO: see formula</t>
        </is>
      </c>
      <c r="I128" t="inlineStr">
        <is>
          <t>229</t>
        </is>
      </c>
    </row>
    <row r="129">
      <c r="A129" t="inlineStr">
        <is>
          <t>Deployments</t>
        </is>
      </c>
      <c r="B129" t="inlineStr">
        <is>
          <t>tblDeviceConfig</t>
        </is>
      </c>
      <c r="C129" t="inlineStr">
        <is>
          <t>Deployments!BM2:BM532</t>
        </is>
      </c>
      <c r="D129" t="inlineStr">
        <is>
          <t>expression</t>
        </is>
      </c>
      <c r="E129" t="inlineStr">
        <is>
          <t>26</t>
        </is>
      </c>
      <c r="F129" t="inlineStr">
        <is>
          <t>BI2="Blocked"</t>
        </is>
      </c>
      <c r="G129" t="inlineStr">
        <is>
          <t>AND(UPPER(TRIM($A2))="CYBERNET",UPPER(TRIM($B2))&lt;&gt;"YES",LEN(TRIM($BI2))=0)</t>
        </is>
      </c>
      <c r="H129" t="inlineStr">
        <is>
          <t>AUTO: see formula</t>
        </is>
      </c>
      <c r="I129" t="inlineStr">
        <is>
          <t>25</t>
        </is>
      </c>
    </row>
    <row r="130">
      <c r="A130" t="inlineStr">
        <is>
          <t>Deployments</t>
        </is>
      </c>
      <c r="B130" t="inlineStr">
        <is>
          <t>tblDeviceConfig</t>
        </is>
      </c>
      <c r="C130" t="inlineStr">
        <is>
          <t>AUTO|dxfId=32|fill=FFC6EFCE</t>
        </is>
      </c>
      <c r="D130" t="inlineStr">
        <is>
          <t>expression</t>
        </is>
      </c>
      <c r="E130" t="inlineStr">
        <is>
          <t>31</t>
        </is>
      </c>
      <c r="F130" t="inlineStr">
        <is>
          <t>AND($B2="Yes",$BO2="Yes")</t>
        </is>
      </c>
      <c r="G130" t="inlineStr">
        <is>
          <t>AUTO|dxfId=31|fill=FFFFEB9C</t>
        </is>
      </c>
      <c r="H130" t="inlineStr">
        <is>
          <t>AUTO: see formula</t>
        </is>
      </c>
      <c r="I130" t="inlineStr">
        <is>
          <t>Deployments!U2:V49 U50:U149 U150:V531 B2:C532</t>
        </is>
      </c>
    </row>
    <row r="131">
      <c r="A131" t="inlineStr">
        <is>
          <t>Deployments</t>
        </is>
      </c>
      <c r="B131" t="inlineStr">
        <is>
          <t>tblDeviceConfig</t>
        </is>
      </c>
      <c r="C131" t="inlineStr">
        <is>
          <t>Deployments!U2:V49 U50:U149 U150:V531 B2:C532</t>
        </is>
      </c>
      <c r="D131" t="inlineStr">
        <is>
          <t>expression</t>
        </is>
      </c>
      <c r="E131" t="inlineStr">
        <is>
          <t>144</t>
        </is>
      </c>
      <c r="F131" t="inlineStr">
        <is>
          <t>AND($B2="Yes",$BO2&lt;&gt;"Yes")</t>
        </is>
      </c>
      <c r="G131" t="inlineStr">
        <is>
          <t>25</t>
        </is>
      </c>
      <c r="H131" t="inlineStr">
        <is>
          <t>AUTO: see formula</t>
        </is>
      </c>
      <c r="I131" t="inlineStr">
        <is>
          <t>30</t>
        </is>
      </c>
    </row>
    <row r="132">
      <c r="A132" t="inlineStr">
        <is>
          <t>Deployments</t>
        </is>
      </c>
      <c r="B132" t="inlineStr">
        <is>
          <t>tblDeviceConfig</t>
        </is>
      </c>
      <c r="C132" t="inlineStr">
        <is>
          <t>Deployments!D2:E532</t>
        </is>
      </c>
      <c r="D132" t="inlineStr">
        <is>
          <t>expression</t>
        </is>
      </c>
      <c r="E132" t="inlineStr">
        <is>
          <t>AUTO|dxfId=30|fill=FFC6EFCE</t>
        </is>
      </c>
      <c r="F132" t="inlineStr">
        <is>
          <t>AND($B2="Yes",$BO2="No")</t>
        </is>
      </c>
      <c r="G132" t="inlineStr">
        <is>
          <t>150</t>
        </is>
      </c>
      <c r="H132" t="inlineStr">
        <is>
          <t>AUTO: see formula</t>
        </is>
      </c>
      <c r="I132" t="inlineStr">
        <is>
          <t>AUTO|dxfId=25|fill=FFFFEB9C</t>
        </is>
      </c>
    </row>
    <row r="133">
      <c r="A133" t="inlineStr">
        <is>
          <t>Deployments</t>
        </is>
      </c>
      <c r="B133" t="inlineStr">
        <is>
          <t>tblDeviceConfig</t>
        </is>
      </c>
      <c r="C133" t="inlineStr">
        <is>
          <t>146</t>
        </is>
      </c>
      <c r="D133" t="inlineStr">
        <is>
          <t>expression</t>
        </is>
      </c>
      <c r="E133" t="inlineStr">
        <is>
          <t>29</t>
        </is>
      </c>
      <c r="F133" t="inlineStr">
        <is>
          <t>AUTO|dxfId=29|fill=FFFFEB9C</t>
        </is>
      </c>
      <c r="G133" t="inlineStr">
        <is>
          <t>Deployments!L2:M532</t>
        </is>
      </c>
      <c r="H133" t="inlineStr">
        <is>
          <t>AUTO: see formula</t>
        </is>
      </c>
      <c r="I133" t="inlineStr">
        <is>
          <t>147</t>
        </is>
      </c>
    </row>
    <row r="134">
      <c r="A134" t="inlineStr">
        <is>
          <t>Deployments</t>
        </is>
      </c>
      <c r="B134" t="inlineStr">
        <is>
          <t>tblDeviceConfig</t>
        </is>
      </c>
      <c r="C134" t="inlineStr">
        <is>
          <t>Deployments!T2:T532</t>
        </is>
      </c>
      <c r="D134" t="inlineStr">
        <is>
          <t>expression</t>
        </is>
      </c>
      <c r="E134" t="inlineStr">
        <is>
          <t>148</t>
        </is>
      </c>
      <c r="F134" t="inlineStr">
        <is>
          <t>AND($BO2="Yes",$A2&lt;&gt;"Neuron",COUNTBLANK($E2:$P2)&gt;0)</t>
        </is>
      </c>
      <c r="G134" t="inlineStr">
        <is>
          <t>27</t>
        </is>
      </c>
      <c r="H134" t="inlineStr">
        <is>
          <t>AUTO: see formula</t>
        </is>
      </c>
      <c r="I134" t="inlineStr">
        <is>
          <t>28</t>
        </is>
      </c>
    </row>
    <row r="135">
      <c r="A135" t="inlineStr">
        <is>
          <t>Deployments</t>
        </is>
      </c>
      <c r="B135" t="inlineStr">
        <is>
          <t>tblDeviceConfig</t>
        </is>
      </c>
      <c r="C135" t="inlineStr">
        <is>
          <t>Deployments!T2:T532</t>
        </is>
      </c>
      <c r="D135" t="inlineStr">
        <is>
          <t>expression</t>
        </is>
      </c>
      <c r="E135" t="inlineStr">
        <is>
          <t>149</t>
        </is>
      </c>
      <c r="F135" t="inlineStr">
        <is>
          <t>AUTO|dxfId=28|fill=FFF4CCCC</t>
        </is>
      </c>
      <c r="G135" t="inlineStr">
        <is>
          <t>26</t>
        </is>
      </c>
      <c r="H135" t="inlineStr">
        <is>
          <t>AUTO: see formula</t>
        </is>
      </c>
      <c r="I135" t="inlineStr">
        <is>
          <t>AND($BE2&lt;&gt;"",OR($BD2="Yes",$P2&lt;&gt;""))</t>
        </is>
      </c>
    </row>
    <row r="136">
      <c r="A136" t="inlineStr">
        <is>
          <t>Deployments</t>
        </is>
      </c>
      <c r="B136" t="inlineStr">
        <is>
          <t>tblDeviceConfig</t>
        </is>
      </c>
      <c r="C136" t="inlineStr">
        <is>
          <t>AUTO|dxfId=27|font=FF006100</t>
        </is>
      </c>
      <c r="D136" t="inlineStr">
        <is>
          <t>expression</t>
        </is>
      </c>
      <c r="E136" t="inlineStr">
        <is>
          <t>AND($BE2&lt;&gt;"",$BD2&lt;&gt;"Yes",$P2="")</t>
        </is>
      </c>
      <c r="F136" t="inlineStr">
        <is>
          <t>AUTO|dxfId=26|font=FF9C0006</t>
        </is>
      </c>
      <c r="G136" t="inlineStr">
        <is>
          <t>Deployments!U94:U98</t>
        </is>
      </c>
      <c r="H136" t="inlineStr">
        <is>
          <t>AUTO: see formula</t>
        </is>
      </c>
      <c r="I136" t="inlineStr">
        <is>
          <t>152</t>
        </is>
      </c>
    </row>
    <row r="137">
      <c r="A137" t="inlineStr">
        <is>
          <t>Deployments</t>
        </is>
      </c>
      <c r="B137" t="inlineStr">
        <is>
          <t>tblDeviceConfig</t>
        </is>
      </c>
      <c r="C137" t="inlineStr">
        <is>
          <t>AND(INDEX($A:$BH,ROW(),MATCH("Deployed",$A$1:$BH$1,0))="Yes",LEN(TRIM(R94))=0)</t>
        </is>
      </c>
      <c r="D137" t="inlineStr">
        <is>
          <t>expression</t>
        </is>
      </c>
      <c r="E137" t="inlineStr">
        <is>
          <t>24</t>
        </is>
      </c>
      <c r="F137" t="inlineStr">
        <is>
          <t>AUTO|dxfId=24|fill=FFFCE4D6|font=FF9C5700</t>
        </is>
      </c>
      <c r="G137" t="inlineStr">
        <is>
          <t>Deployments!AB2:AB532</t>
        </is>
      </c>
      <c r="H137" t="inlineStr">
        <is>
          <t>AUTO: see formula</t>
        </is>
      </c>
      <c r="I137" t="inlineStr">
        <is>
          <t>154</t>
        </is>
      </c>
    </row>
    <row r="138">
      <c r="A138" t="inlineStr">
        <is>
          <t>Deployments</t>
        </is>
      </c>
      <c r="B138" t="inlineStr">
        <is>
          <t>tblDeviceConfig</t>
        </is>
      </c>
      <c r="C138" t="inlineStr">
        <is>
          <t>AND($B2="Yes",$AB2&lt;&gt;"",LOWER(TRIM($AB2))&lt;&gt;"n/a",LOWER(TRIM($AB2))&lt;&gt;"na",COUNTIFS($AB$2:$AB$532,$AB2,$B$2:$B$532,"Yes")&gt;1)</t>
        </is>
      </c>
      <c r="D138" t="inlineStr">
        <is>
          <t>expression</t>
        </is>
      </c>
      <c r="E138" t="inlineStr">
        <is>
          <t>23</t>
        </is>
      </c>
      <c r="F138" t="inlineStr">
        <is>
          <t>AND($B2="Yes",$AC2&lt;&gt;"",LOWER(TRIM($AC2))&lt;&gt;"n/a",LOWER(TRIM($AC2))&lt;&gt;"na",COUNTIFS($AC$2:$AC$532,$AC2,$B$2:$B$532,"Yes")&gt;1)</t>
        </is>
      </c>
      <c r="G138" t="inlineStr">
        <is>
          <t>AUTO|dxfId=23|fill=FFFFC7CE|font=FF9C0006</t>
        </is>
      </c>
      <c r="H138" t="inlineStr">
        <is>
          <t>AUTO: see formula</t>
        </is>
      </c>
      <c r="I138" t="inlineStr">
        <is>
          <t>Deployments!AC2:AC115 AC120:AC508</t>
        </is>
      </c>
    </row>
    <row r="139">
      <c r="A139" t="inlineStr">
        <is>
          <t>Deployments</t>
        </is>
      </c>
      <c r="B139" t="inlineStr">
        <is>
          <t>tblDeviceConfig</t>
        </is>
      </c>
      <c r="C139" t="inlineStr">
        <is>
          <t>155</t>
        </is>
      </c>
      <c r="D139" t="inlineStr">
        <is>
          <t>expression</t>
        </is>
      </c>
      <c r="E139" t="inlineStr">
        <is>
          <t>22</t>
        </is>
      </c>
      <c r="F139" t="inlineStr">
        <is>
          <t>AUTO|dxfId=22|fill=FFF4CCCC</t>
        </is>
      </c>
      <c r="G139" t="inlineStr">
        <is>
          <t>Deployments!AJ2:AJ532</t>
        </is>
      </c>
      <c r="H139" t="inlineStr">
        <is>
          <t>AUTO: see formula</t>
        </is>
      </c>
      <c r="I139" t="inlineStr">
        <is>
          <t>157</t>
        </is>
      </c>
    </row>
    <row r="140">
      <c r="A140" t="inlineStr">
        <is>
          <t>Deployments</t>
        </is>
      </c>
      <c r="B140" t="inlineStr">
        <is>
          <t>tblDeviceConfig</t>
        </is>
      </c>
      <c r="C140" t="inlineStr">
        <is>
          <t>Deployments!AK2:AK532</t>
        </is>
      </c>
      <c r="D140" t="inlineStr">
        <is>
          <t>expression</t>
        </is>
      </c>
      <c r="E140" t="inlineStr">
        <is>
          <t>AND($B2="Yes",$AJ2&lt;&gt;"",LOWER(TRIM($AJ2))&lt;&gt;"n/a",LOWER(TRIM($AJ2))&lt;&gt;"na",COUNTIFS($AJ$2:$AJ$532,$AJ2,$B$2:$B$532,"Yes")&gt;1)</t>
        </is>
      </c>
      <c r="F140" t="inlineStr">
        <is>
          <t>21</t>
        </is>
      </c>
      <c r="G140" t="inlineStr">
        <is>
          <t>20</t>
        </is>
      </c>
      <c r="H140" t="inlineStr">
        <is>
          <t>AUTO: see formula</t>
        </is>
      </c>
      <c r="I140" t="inlineStr">
        <is>
          <t>AUTO|dxfId=21|fill=FFFFC7CE|font=FF9C0006</t>
        </is>
      </c>
    </row>
    <row r="141">
      <c r="A141" t="inlineStr">
        <is>
          <t>Deployments</t>
        </is>
      </c>
      <c r="B141" t="inlineStr">
        <is>
          <t>tblDeviceConfig</t>
        </is>
      </c>
      <c r="C141" t="inlineStr">
        <is>
          <t>Deployments!AK2:AK532</t>
        </is>
      </c>
      <c r="D141" t="inlineStr">
        <is>
          <t>expression</t>
        </is>
      </c>
      <c r="E141" t="inlineStr">
        <is>
          <t>212</t>
        </is>
      </c>
      <c r="F141" t="inlineStr">
        <is>
          <t>AND(UPPER(TRIM($B2))="YES",LEN(TRIM($AK2))=0)</t>
        </is>
      </c>
      <c r="G141" t="inlineStr">
        <is>
          <t>13</t>
        </is>
      </c>
      <c r="H141" t="inlineStr">
        <is>
          <t>AUTO: see formula</t>
        </is>
      </c>
      <c r="I141" t="inlineStr">
        <is>
          <t>AUTO|dxfId=13</t>
        </is>
      </c>
    </row>
    <row r="142">
      <c r="A142" t="inlineStr">
        <is>
          <t>Deployments</t>
        </is>
      </c>
      <c r="B142" t="inlineStr">
        <is>
          <t>tblDeviceConfig</t>
        </is>
      </c>
      <c r="C142" t="inlineStr">
        <is>
          <t>Deployments!AL2:AL532</t>
        </is>
      </c>
      <c r="D142" t="inlineStr">
        <is>
          <t>expression</t>
        </is>
      </c>
      <c r="E142" t="inlineStr">
        <is>
          <t>158</t>
        </is>
      </c>
      <c r="F142" t="inlineStr">
        <is>
          <t>AND($B2="Yes",$AB2&lt;&gt;"",LOWER(TRIM($AB2))&lt;&gt;"n/a",COUNTIFS($AB$2:$AB$532,$AB2,$B$2:$B$532,"Yes")&gt;1)</t>
        </is>
      </c>
      <c r="G142" t="inlineStr">
        <is>
          <t>AUTO|dxfId=20|fill=FFFFC7CE|font=FF9C0006</t>
        </is>
      </c>
      <c r="H142" t="inlineStr">
        <is>
          <t>AUTO: see formula</t>
        </is>
      </c>
      <c r="I142" t="inlineStr">
        <is>
          <t>159</t>
        </is>
      </c>
    </row>
    <row r="143">
      <c r="A143" t="inlineStr">
        <is>
          <t>Deployments</t>
        </is>
      </c>
      <c r="B143" t="inlineStr">
        <is>
          <t>tblDeviceConfig</t>
        </is>
      </c>
      <c r="C143" t="inlineStr">
        <is>
          <t>Deployments!AL2:AL532</t>
        </is>
      </c>
      <c r="D143" t="inlineStr">
        <is>
          <t>expression</t>
        </is>
      </c>
      <c r="E143" t="inlineStr">
        <is>
          <t>210</t>
        </is>
      </c>
      <c r="F143" t="inlineStr">
        <is>
          <t>AND(UPPER(TRIM($B2))="YES",LEN(TRIM($AL2))=0)</t>
        </is>
      </c>
      <c r="G143" t="inlineStr">
        <is>
          <t>73</t>
        </is>
      </c>
      <c r="H143" t="inlineStr">
        <is>
          <t>Missing required (deployment-required purple) when Deployed=Yes</t>
        </is>
      </c>
      <c r="I143" t="inlineStr">
        <is>
          <t>AUTO|dxfId=73|fill=FFD9B3FF|font=FF000000</t>
        </is>
      </c>
    </row>
    <row r="144">
      <c r="A144" t="inlineStr">
        <is>
          <t>Deployments</t>
        </is>
      </c>
      <c r="B144" t="inlineStr">
        <is>
          <t>tblDeviceConfig</t>
        </is>
      </c>
      <c r="C144" t="inlineStr">
        <is>
          <t>AND($B2="Yes",$K2&lt;&gt;"",LOWER(TRIM($K2))&lt;&gt;"n/a",COUNTIFS($K$2:$K$532,$K2,$B$2:$B$532,"Yes")&gt;1)</t>
        </is>
      </c>
      <c r="D144" t="inlineStr">
        <is>
          <t>expression</t>
        </is>
      </c>
      <c r="E144" t="inlineStr">
        <is>
          <t>19</t>
        </is>
      </c>
      <c r="F144" t="inlineStr">
        <is>
          <t>AUTO|dxfId=19|fill=FFFFC7CE|font=FF9C0006</t>
        </is>
      </c>
      <c r="G144" t="inlineStr">
        <is>
          <t>18</t>
        </is>
      </c>
      <c r="H144" t="inlineStr">
        <is>
          <t>AUTO: see formula</t>
        </is>
      </c>
      <c r="I144" t="inlineStr">
        <is>
          <t>Deployments!M2:Q532</t>
        </is>
      </c>
    </row>
    <row r="145">
      <c r="A145" t="inlineStr">
        <is>
          <t>Deployments</t>
        </is>
      </c>
      <c r="B145" t="inlineStr">
        <is>
          <t>tblDeviceConfig</t>
        </is>
      </c>
      <c r="C145" t="inlineStr">
        <is>
          <t>165</t>
        </is>
      </c>
      <c r="D145" t="inlineStr">
        <is>
          <t>expression</t>
        </is>
      </c>
      <c r="E145" t="inlineStr">
        <is>
          <t>AND($A2="Cybernet",$X2&lt;&gt;"",E2="")</t>
        </is>
      </c>
      <c r="F145" t="inlineStr">
        <is>
          <t>AUTO|dxfId=18</t>
        </is>
      </c>
      <c r="G145" t="inlineStr">
        <is>
          <t>17</t>
        </is>
      </c>
      <c r="H145" t="inlineStr">
        <is>
          <t>AUTO: see formula</t>
        </is>
      </c>
      <c r="I145" t="inlineStr">
        <is>
          <t>Deployments!Z50:Z149</t>
        </is>
      </c>
    </row>
    <row r="146">
      <c r="A146" t="inlineStr">
        <is>
          <t>Deployments</t>
        </is>
      </c>
      <c r="B146" t="inlineStr">
        <is>
          <t>tblDeviceConfig</t>
        </is>
      </c>
      <c r="C146" t="inlineStr">
        <is>
          <t>173</t>
        </is>
      </c>
      <c r="D146" t="inlineStr">
        <is>
          <t>expression</t>
        </is>
      </c>
      <c r="E146" t="inlineStr">
        <is>
          <t>AND($B50="Yes",$U50&lt;&gt;"",LOWER(TRIM($U50))&lt;&gt;"n/a",COUNTIFS($V$2:$V$532,$U50,$B$2:$B$532,"Yes")&gt;1)</t>
        </is>
      </c>
      <c r="F146" t="inlineStr">
        <is>
          <t>AUTO|dxfId=17|fill=FFFFC7CE|font=FF9C0006</t>
        </is>
      </c>
      <c r="G146" t="inlineStr">
        <is>
          <t>Deployments!U2:V103 U106:V532 U104:U105</t>
        </is>
      </c>
      <c r="H146" t="inlineStr">
        <is>
          <t>AUTO: see formula</t>
        </is>
      </c>
      <c r="I146" t="inlineStr">
        <is>
          <t>102</t>
        </is>
      </c>
    </row>
    <row r="147">
      <c r="A147" t="inlineStr">
        <is>
          <t>Deployments</t>
        </is>
      </c>
      <c r="B147" t="inlineStr">
        <is>
          <t>tblDeviceConfig</t>
        </is>
      </c>
      <c r="C147" t="inlineStr">
        <is>
          <t>AND($B2="Yes",$U2&lt;&gt;"",LOWER(TRIM($U2))&lt;&gt;"n/a",COUNTIFS($U$2:$U$532,$U2,$B$2:$B$532,"Yes")&gt;1)</t>
        </is>
      </c>
      <c r="D147" t="inlineStr">
        <is>
          <t>expression</t>
        </is>
      </c>
      <c r="E147" t="inlineStr">
        <is>
          <t>16</t>
        </is>
      </c>
      <c r="F147" t="inlineStr">
        <is>
          <t>AUTO|dxfId=16|fill=FFFFC7CE|font=FF9C0006</t>
        </is>
      </c>
      <c r="G147" t="inlineStr">
        <is>
          <t>Deployments!V104:V105</t>
        </is>
      </c>
      <c r="H147" t="inlineStr">
        <is>
          <t>AUTO: see formula</t>
        </is>
      </c>
      <c r="I147" t="inlineStr">
        <is>
          <t>197</t>
        </is>
      </c>
    </row>
    <row r="148">
      <c r="A148" t="inlineStr">
        <is>
          <t>Deployments</t>
        </is>
      </c>
      <c r="B148" t="inlineStr">
        <is>
          <t>tblDeviceConfig</t>
        </is>
      </c>
      <c r="C148" t="inlineStr">
        <is>
          <t>Deployments!H164</t>
        </is>
      </c>
      <c r="D148" t="inlineStr">
        <is>
          <t>expression</t>
        </is>
      </c>
      <c r="E148" t="inlineStr">
        <is>
          <t>AND($B103="Yes",$U103&lt;&gt;"",LOWER(TRIM($U103))&lt;&gt;"n/a",COUNTIFS($U$2:$U$532,$U103,$B$2:$B$532,"Yes")&gt;1)</t>
        </is>
      </c>
      <c r="F148" t="inlineStr">
        <is>
          <t>AND($B164="Yes",$G166&lt;&gt;"",$H164&lt;&gt;"",LOWER(TRIM($G166))&lt;&gt;LOWER(TRIM($H164)))</t>
        </is>
      </c>
      <c r="G148" t="inlineStr">
        <is>
          <t>15</t>
        </is>
      </c>
      <c r="H148" t="inlineStr">
        <is>
          <t>AUTO: see formula</t>
        </is>
      </c>
      <c r="I148" t="inlineStr">
        <is>
          <t>AUTO|dxfId=15|fill=FFFFC7CE|font=FF9C0006</t>
        </is>
      </c>
    </row>
    <row r="149">
      <c r="A149" t="inlineStr">
        <is>
          <t>Deployments</t>
        </is>
      </c>
      <c r="B149" t="inlineStr">
        <is>
          <t>tblDeviceConfig</t>
        </is>
      </c>
      <c r="C149" t="inlineStr">
        <is>
          <t>Deployments!H2:H532</t>
        </is>
      </c>
      <c r="D149" t="inlineStr">
        <is>
          <t>expression</t>
        </is>
      </c>
      <c r="E149" t="inlineStr">
        <is>
          <t>203</t>
        </is>
      </c>
      <c r="F149" t="inlineStr">
        <is>
          <t>AND(UPPER(TRIM($B2))="YES",LEN(TRIM($H2))=0)</t>
        </is>
      </c>
      <c r="G149" t="inlineStr">
        <is>
          <t>73</t>
        </is>
      </c>
      <c r="H149" t="inlineStr">
        <is>
          <t>Missing required (deployment-required purple) when Deployed=Yes</t>
        </is>
      </c>
      <c r="I149" t="inlineStr">
        <is>
          <t>AUTO|dxfId=73|fill=FFD9B3FF|font=FF000000</t>
        </is>
      </c>
    </row>
    <row r="150">
      <c r="A150" t="inlineStr">
        <is>
          <t>Deployments</t>
        </is>
      </c>
      <c r="B150" t="inlineStr">
        <is>
          <t>tblDeviceConfig</t>
        </is>
      </c>
      <c r="C150" t="inlineStr">
        <is>
          <t>Deployments!H2:H532</t>
        </is>
      </c>
      <c r="D150" t="inlineStr">
        <is>
          <t>expression</t>
        </is>
      </c>
      <c r="E150" t="inlineStr">
        <is>
          <t>202</t>
        </is>
      </c>
      <c r="F150" t="inlineStr">
        <is>
          <t>14</t>
        </is>
      </c>
      <c r="G150" t="inlineStr">
        <is>
          <t>74</t>
        </is>
      </c>
      <c r="H150" t="inlineStr">
        <is>
          <t>Missing helpful (config-prep purple) when not deployed yet</t>
        </is>
      </c>
      <c r="I150" t="inlineStr">
        <is>
          <t>AUTO|dxfId=74|fill=FFE6CCFF|font=FF000000</t>
        </is>
      </c>
    </row>
    <row r="151">
      <c r="A151" t="inlineStr">
        <is>
          <t>Deployments</t>
        </is>
      </c>
      <c r="B151" t="inlineStr">
        <is>
          <t>tblDeviceConfig</t>
        </is>
      </c>
      <c r="C151" t="inlineStr">
        <is>
          <t>AUTO|dxfId=14|fill=FFFFC7CE|font=FF9C0006</t>
        </is>
      </c>
      <c r="D151" t="inlineStr">
        <is>
          <t>expression</t>
        </is>
      </c>
      <c r="E151" t="inlineStr">
        <is>
          <t>204</t>
        </is>
      </c>
      <c r="F151" t="inlineStr">
        <is>
          <t>227</t>
        </is>
      </c>
      <c r="G151" t="inlineStr">
        <is>
          <t>73</t>
        </is>
      </c>
      <c r="H151" t="inlineStr">
        <is>
          <t>Missing required (deployment-required purple) when Deployed=Yes</t>
        </is>
      </c>
      <c r="I151" t="inlineStr">
        <is>
          <t>AUTO|dxfId=73|fill=FFD9B3FF|font=FF000000</t>
        </is>
      </c>
    </row>
    <row r="152">
      <c r="A152" t="inlineStr">
        <is>
          <t>Deployments</t>
        </is>
      </c>
      <c r="B152" t="inlineStr">
        <is>
          <t>tblDeviceConfig</t>
        </is>
      </c>
      <c r="C152" t="inlineStr">
        <is>
          <t>Deployments!U2:U532</t>
        </is>
      </c>
      <c r="D152" t="inlineStr">
        <is>
          <t>expression</t>
        </is>
      </c>
      <c r="E152" t="inlineStr">
        <is>
          <t>AND(LEN(TRIM($A2))&gt;0,UPPER(TRIM($B2))&lt;&gt;"YES",LEN(TRIM($H2))=0)</t>
        </is>
      </c>
      <c r="F152" t="inlineStr">
        <is>
          <t>Deployments!U2:U532</t>
        </is>
      </c>
      <c r="G152" t="inlineStr">
        <is>
          <t>74</t>
        </is>
      </c>
      <c r="H152" t="inlineStr">
        <is>
          <t>Missing helpful (config-prep purple) when not deployed yet</t>
        </is>
      </c>
      <c r="I152" t="inlineStr">
        <is>
          <t>AUTO|dxfId=74|fill=FFE6CCFF|font=FF000000</t>
        </is>
      </c>
    </row>
    <row r="153">
      <c r="A153" t="inlineStr">
        <is>
          <t>Deployments</t>
        </is>
      </c>
      <c r="B153" t="inlineStr">
        <is>
          <t>tblDeviceConfig</t>
        </is>
      </c>
      <c r="C153" t="inlineStr">
        <is>
          <t>AND(UPPER(TRIM($B2))="YES",UPPER(TRIM($A2))="CYBERNET",LEN(TRIM(U2))=0)</t>
        </is>
      </c>
      <c r="D153" t="inlineStr">
        <is>
          <t>expression</t>
        </is>
      </c>
      <c r="E153" t="inlineStr">
        <is>
          <t>205</t>
        </is>
      </c>
      <c r="F153" t="inlineStr">
        <is>
          <t>228</t>
        </is>
      </c>
      <c r="G153" t="inlineStr">
        <is>
          <t>73</t>
        </is>
      </c>
      <c r="H153" t="inlineStr">
        <is>
          <t>Missing required (deployment-required purple) when Deployed=Yes</t>
        </is>
      </c>
      <c r="I153" t="inlineStr">
        <is>
          <t>AUTO|dxfId=73|fill=FFD9B3FF|font=FF000000</t>
        </is>
      </c>
    </row>
    <row r="154">
      <c r="A154" t="inlineStr">
        <is>
          <t>Deployments</t>
        </is>
      </c>
      <c r="B154" t="inlineStr">
        <is>
          <t>tblDeviceConfig</t>
        </is>
      </c>
      <c r="C154" t="inlineStr">
        <is>
          <t>AND(UPPER(TRIM($B2))&lt;&gt;"YES",UPPER(TRIM($A2))="CYBERNET",LEN(TRIM(U2))=0)</t>
        </is>
      </c>
      <c r="D154" t="inlineStr">
        <is>
          <t>expression</t>
        </is>
      </c>
      <c r="E154" t="inlineStr">
        <is>
          <t>207</t>
        </is>
      </c>
      <c r="F154" t="inlineStr">
        <is>
          <t>Deployments!V2:V532</t>
        </is>
      </c>
      <c r="G154" t="inlineStr">
        <is>
          <t>73</t>
        </is>
      </c>
      <c r="H154" t="inlineStr">
        <is>
          <t>Missing required (deployment-required purple) when Deployed=Yes</t>
        </is>
      </c>
      <c r="I154" t="inlineStr">
        <is>
          <t>AUTO|dxfId=73|fill=FFD9B3FF|font=FF000000</t>
        </is>
      </c>
    </row>
    <row r="155">
      <c r="A155" t="inlineStr">
        <is>
          <t>Deployments</t>
        </is>
      </c>
      <c r="B155" t="inlineStr">
        <is>
          <t>tblDeviceConfig</t>
        </is>
      </c>
      <c r="C155" t="inlineStr">
        <is>
          <t>Deployments!I2:I532</t>
        </is>
      </c>
      <c r="D155" t="inlineStr">
        <is>
          <t>expression</t>
        </is>
      </c>
      <c r="E155" t="inlineStr">
        <is>
          <t>208</t>
        </is>
      </c>
      <c r="F155" t="inlineStr">
        <is>
          <t>AND(UPPER(TRIM($B2))="YES",LEN(TRIM($I2))=0)</t>
        </is>
      </c>
      <c r="G155" t="inlineStr">
        <is>
          <t>73</t>
        </is>
      </c>
      <c r="H155" t="inlineStr">
        <is>
          <t>Missing required (deployment-required purple) when Deployed=Yes</t>
        </is>
      </c>
      <c r="I155" t="inlineStr">
        <is>
          <t>AUTO|dxfId=73|fill=FFD9B3FF|font=FF000000</t>
        </is>
      </c>
    </row>
    <row r="156">
      <c r="A156" t="inlineStr">
        <is>
          <t>Deployments</t>
        </is>
      </c>
      <c r="B156" t="inlineStr">
        <is>
          <t>tblDeviceConfig</t>
        </is>
      </c>
      <c r="C156" t="inlineStr">
        <is>
          <t>AND(UPPER(TRIM($B2))="YES",UPPER(TRIM($A2))="NEURON",LEN(TRIM(V2))=0)</t>
        </is>
      </c>
      <c r="D156" t="inlineStr">
        <is>
          <t>expression</t>
        </is>
      </c>
      <c r="E156" t="inlineStr">
        <is>
          <t>209</t>
        </is>
      </c>
      <c r="F156" t="inlineStr">
        <is>
          <t>Deployments!L2:L532</t>
        </is>
      </c>
      <c r="G156" t="inlineStr">
        <is>
          <t>73</t>
        </is>
      </c>
      <c r="H156" t="inlineStr">
        <is>
          <t>Missing required (deployment-required purple) when Deployed=Yes</t>
        </is>
      </c>
      <c r="I156" t="inlineStr">
        <is>
          <t>AUTO|dxfId=73|fill=FFD9B3FF|font=FF000000</t>
        </is>
      </c>
    </row>
    <row r="157">
      <c r="A157" t="inlineStr">
        <is>
          <t>Deployments</t>
        </is>
      </c>
      <c r="B157" t="inlineStr">
        <is>
          <t>tblDeviceConfig</t>
        </is>
      </c>
      <c r="C157" t="inlineStr">
        <is>
          <t>Deployments!AS2:AS532</t>
        </is>
      </c>
      <c r="D157" t="inlineStr">
        <is>
          <t>expression</t>
        </is>
      </c>
      <c r="E157" t="inlineStr">
        <is>
          <t>211</t>
        </is>
      </c>
      <c r="F157" t="inlineStr">
        <is>
          <t>AND(UPPER(TRIM($B2))="YES",LEN(TRIM($AS2))=0)</t>
        </is>
      </c>
      <c r="G157" t="inlineStr">
        <is>
          <t>73</t>
        </is>
      </c>
      <c r="H157" t="inlineStr">
        <is>
          <t>Missing required (deployment-required purple) when Deployed=Yes</t>
        </is>
      </c>
      <c r="I157" t="inlineStr">
        <is>
          <t>AUTO|dxfId=73|fill=FFD9B3FF|font=FF000000</t>
        </is>
      </c>
    </row>
    <row r="158">
      <c r="A158" t="inlineStr">
        <is>
          <t>Deployments</t>
        </is>
      </c>
      <c r="B158" t="inlineStr">
        <is>
          <t>tblDeviceConfig</t>
        </is>
      </c>
      <c r="C158" t="inlineStr">
        <is>
          <t>AND(UPPER(TRIM($B2))="YES",LEN(TRIM($L2))=0)</t>
        </is>
      </c>
      <c r="D158" t="inlineStr">
        <is>
          <t>expression</t>
        </is>
      </c>
      <c r="E158" t="inlineStr">
        <is>
          <t>213</t>
        </is>
      </c>
      <c r="F158" t="inlineStr">
        <is>
          <t>Deployments!J2:J532</t>
        </is>
      </c>
      <c r="G158" t="inlineStr">
        <is>
          <t>73</t>
        </is>
      </c>
      <c r="H158" t="inlineStr">
        <is>
          <t>Missing required (deployment-required purple) when Deployed=Yes</t>
        </is>
      </c>
      <c r="I158" t="inlineStr">
        <is>
          <t>AUTO|dxfId=73|fill=FFD9B3FF|font=FF000000</t>
        </is>
      </c>
    </row>
    <row r="159">
      <c r="A159" t="inlineStr">
        <is>
          <t>Deployments</t>
        </is>
      </c>
      <c r="B159" t="inlineStr">
        <is>
          <t>tblDeviceConfig</t>
        </is>
      </c>
      <c r="C159" t="inlineStr">
        <is>
          <t>AND(UPPER(TRIM($B2))="YES",LEN(TRIM($J2))=0)</t>
        </is>
      </c>
      <c r="D159" t="inlineStr">
        <is>
          <t>expression</t>
        </is>
      </c>
      <c r="E159" t="inlineStr">
        <is>
          <t>214</t>
        </is>
      </c>
      <c r="F159" t="inlineStr">
        <is>
          <t>Deployments!W2:W532</t>
        </is>
      </c>
      <c r="G159" t="inlineStr">
        <is>
          <t>13</t>
        </is>
      </c>
      <c r="H159" t="inlineStr">
        <is>
          <t>AUTO: see formula</t>
        </is>
      </c>
      <c r="I159" t="inlineStr">
        <is>
          <t>AUTO|dxfId=13</t>
        </is>
      </c>
    </row>
    <row r="160">
      <c r="A160" t="inlineStr">
        <is>
          <t>Deployments</t>
        </is>
      </c>
      <c r="B160" t="inlineStr">
        <is>
          <t>tblDeviceConfig</t>
        </is>
      </c>
      <c r="C160" t="inlineStr">
        <is>
          <t>Deployments!AR2:AR532</t>
        </is>
      </c>
      <c r="D160" t="inlineStr">
        <is>
          <t>expression</t>
        </is>
      </c>
      <c r="E160" t="inlineStr">
        <is>
          <t>215</t>
        </is>
      </c>
      <c r="F160" t="inlineStr">
        <is>
          <t>AND(UPPER(TRIM($B2))="YES",LEN(TRIM($AR2))=0)</t>
        </is>
      </c>
      <c r="G160" t="inlineStr">
        <is>
          <t>13</t>
        </is>
      </c>
      <c r="H160" t="inlineStr">
        <is>
          <t>AUTO: see formula</t>
        </is>
      </c>
      <c r="I160" t="inlineStr">
        <is>
          <t>AUTO|dxfId=13</t>
        </is>
      </c>
    </row>
    <row r="161">
      <c r="A161" t="inlineStr">
        <is>
          <t>Deployments</t>
        </is>
      </c>
      <c r="B161" t="inlineStr">
        <is>
          <t>tblDeviceConfig</t>
        </is>
      </c>
      <c r="C161" t="inlineStr">
        <is>
          <t>AND(UPPER(TRIM($B2))="YES",UPPER(TRIM($A2))="NEURON",LEN(TRIM(W2))=0)</t>
        </is>
      </c>
      <c r="D161" t="inlineStr">
        <is>
          <t>expression</t>
        </is>
      </c>
      <c r="E161" t="inlineStr">
        <is>
          <t>Deployments!AI2:AI532</t>
        </is>
      </c>
      <c r="F161" t="inlineStr">
        <is>
          <t>AND(UPPER(TRIM($B2))="YES",LEN(TRIM($AI2))=0)</t>
        </is>
      </c>
      <c r="G161" t="inlineStr">
        <is>
          <t>73</t>
        </is>
      </c>
      <c r="H161" t="inlineStr">
        <is>
          <t>Missing required (deployment-required purple) when Deployed=Yes</t>
        </is>
      </c>
      <c r="I161" t="inlineStr">
        <is>
          <t>AUTO|dxfId=73|fill=FFD9B3FF|font=FF000000</t>
        </is>
      </c>
    </row>
    <row r="162">
      <c r="A162" t="inlineStr">
        <is>
          <t>Deployments</t>
        </is>
      </c>
      <c r="B162" t="inlineStr">
        <is>
          <t>tblDeviceConfig</t>
        </is>
      </c>
      <c r="C162" t="inlineStr">
        <is>
          <t>Deployments!C2:C532</t>
        </is>
      </c>
      <c r="D162" t="inlineStr">
        <is>
          <t>expression</t>
        </is>
      </c>
      <c r="E162" t="inlineStr">
        <is>
          <t>Deployments!C2:C532</t>
        </is>
      </c>
      <c r="F162" t="inlineStr">
        <is>
          <t>216</t>
        </is>
      </c>
      <c r="G162" t="inlineStr">
        <is>
          <t>74</t>
        </is>
      </c>
      <c r="H162" t="inlineStr">
        <is>
          <t>Missing helpful (config-prep purple) when not deployed yet</t>
        </is>
      </c>
      <c r="I162" t="inlineStr">
        <is>
          <t>AUTO|dxfId=74|fill=FFE6CCFF|font=FF000000</t>
        </is>
      </c>
    </row>
    <row r="163">
      <c r="A163" t="inlineStr">
        <is>
          <t>Deployments</t>
        </is>
      </c>
      <c r="B163" t="inlineStr">
        <is>
          <t>tblDeviceConfig</t>
        </is>
      </c>
      <c r="C163" t="inlineStr">
        <is>
          <t>AND(UPPER(TRIM($B2))="YES",LEN(TRIM($C2))=0)</t>
        </is>
      </c>
      <c r="D163" t="inlineStr">
        <is>
          <t>expression</t>
        </is>
      </c>
      <c r="E163" t="inlineStr">
        <is>
          <t>224</t>
        </is>
      </c>
      <c r="F163" t="inlineStr">
        <is>
          <t>AND(LEN(TRIM($A2))&gt;0,UPPER(TRIM($B2))&lt;&gt;"YES",LEN(TRIM($C2))=0)</t>
        </is>
      </c>
      <c r="G163" t="inlineStr">
        <is>
          <t>73</t>
        </is>
      </c>
      <c r="H163" t="inlineStr">
        <is>
          <t>Missing required (deployment-required purple) when Deployed=Yes</t>
        </is>
      </c>
      <c r="I163" t="inlineStr">
        <is>
          <t>AUTO|dxfId=73|fill=FFD9B3FF|font=FF000000</t>
        </is>
      </c>
    </row>
    <row r="164">
      <c r="A164" t="inlineStr">
        <is>
          <t>Deployments</t>
        </is>
      </c>
      <c r="B164" t="inlineStr">
        <is>
          <t>tblDeviceConfig</t>
        </is>
      </c>
      <c r="C164" t="inlineStr">
        <is>
          <t>Deployments!G2:G532</t>
        </is>
      </c>
      <c r="D164" t="inlineStr">
        <is>
          <t>expression</t>
        </is>
      </c>
      <c r="E164" t="inlineStr">
        <is>
          <t>Deployments!G2:G532</t>
        </is>
      </c>
      <c r="F164" t="inlineStr">
        <is>
          <t>217</t>
        </is>
      </c>
      <c r="G164" t="inlineStr">
        <is>
          <t>74</t>
        </is>
      </c>
      <c r="H164" t="inlineStr">
        <is>
          <t>Missing helpful (config-prep purple) when not deployed yet</t>
        </is>
      </c>
      <c r="I164" t="inlineStr">
        <is>
          <t>AUTO|dxfId=74|fill=FFE6CCFF|font=FF000000</t>
        </is>
      </c>
    </row>
    <row r="165">
      <c r="A165" t="inlineStr">
        <is>
          <t>Deployments</t>
        </is>
      </c>
      <c r="B165" t="inlineStr">
        <is>
          <t>tblDeviceConfig</t>
        </is>
      </c>
      <c r="C165" t="inlineStr">
        <is>
          <t>Deployments!AD2:AD532</t>
        </is>
      </c>
      <c r="D165" t="inlineStr">
        <is>
          <t>expression</t>
        </is>
      </c>
      <c r="E165" t="inlineStr">
        <is>
          <t>AND(UPPER(TRIM($B2))="YES",LEN(TRIM($G2))=0)</t>
        </is>
      </c>
      <c r="F165" t="inlineStr">
        <is>
          <t>AND(UPPER(TRIM($B2))="YES",LEN(TRIM($AD2))=0)</t>
        </is>
      </c>
      <c r="G165" t="inlineStr">
        <is>
          <t>73</t>
        </is>
      </c>
      <c r="H165" t="inlineStr">
        <is>
          <t>Missing required (deployment-required purple) when Deployed=Yes</t>
        </is>
      </c>
      <c r="I165" t="inlineStr">
        <is>
          <t>AUTO|dxfId=73|fill=FFD9B3FF|font=FF000000</t>
        </is>
      </c>
    </row>
    <row r="166">
      <c r="A166" t="inlineStr">
        <is>
          <t>Deployments</t>
        </is>
      </c>
      <c r="B166" t="inlineStr">
        <is>
          <t>tblDeviceConfig</t>
        </is>
      </c>
      <c r="C166" t="inlineStr">
        <is>
          <t>226</t>
        </is>
      </c>
      <c r="D166" t="inlineStr">
        <is>
          <t>expression</t>
        </is>
      </c>
      <c r="E166" t="inlineStr">
        <is>
          <t>AND(LEN(TRIM($A2))&gt;0,UPPER(TRIM($B2))&lt;&gt;"YES",LEN(TRIM($G2))=0)</t>
        </is>
      </c>
      <c r="F166" t="inlineStr">
        <is>
          <t>223</t>
        </is>
      </c>
      <c r="G166" t="inlineStr">
        <is>
          <t>73</t>
        </is>
      </c>
      <c r="H166" t="inlineStr">
        <is>
          <t>Missing required (deployment-required purple) when Deployed=Yes</t>
        </is>
      </c>
      <c r="I166" t="inlineStr">
        <is>
          <t>AUTO|dxfId=73|fill=FFD9B3FF|font=FF000000</t>
        </is>
      </c>
    </row>
    <row r="167">
      <c r="A167" t="inlineStr">
        <is>
          <t xml:space="preserve">15 - Imaging Progress </t>
        </is>
      </c>
      <c r="C167" t="inlineStr">
        <is>
          <t>Deployments!K2:K532</t>
        </is>
      </c>
      <c r="D167" t="inlineStr">
        <is>
          <t>cellIs</t>
        </is>
      </c>
      <c r="E167" t="inlineStr">
        <is>
          <t>1</t>
        </is>
      </c>
      <c r="F167" t="inlineStr">
        <is>
          <t>100%</t>
        </is>
      </c>
      <c r="G167" t="inlineStr">
        <is>
          <t>225</t>
        </is>
      </c>
      <c r="H167" t="inlineStr">
        <is>
          <t>AUTO: see formula</t>
        </is>
      </c>
      <c r="I167" t="inlineStr">
        <is>
          <t>AND(UPPER(TRIM($B2))="YES",LEN(TRIM($K2))=0)</t>
        </is>
      </c>
    </row>
    <row r="168">
      <c r="A168" t="inlineStr">
        <is>
          <t xml:space="preserve">15 - Imaging Progress </t>
        </is>
      </c>
      <c r="C168" t="inlineStr">
        <is>
          <t>15 - Imaging Progress !D1:D1048576</t>
        </is>
      </c>
      <c r="D168" t="inlineStr">
        <is>
          <t>cellIs</t>
        </is>
      </c>
      <c r="E168" t="inlineStr">
        <is>
          <t>2</t>
        </is>
      </c>
      <c r="F168" t="inlineStr">
        <is>
          <t>20</t>
        </is>
      </c>
      <c r="G168" t="inlineStr">
        <is>
          <t>12</t>
        </is>
      </c>
      <c r="H168" t="inlineStr">
        <is>
          <t>AUTO: see formula</t>
        </is>
      </c>
      <c r="I168" t="inlineStr">
        <is>
          <t>AUTO|dxfId=12|font=FF00B050</t>
        </is>
      </c>
    </row>
    <row r="169">
      <c r="A169" t="inlineStr">
        <is>
          <t xml:space="preserve">15 - Imaging Progress </t>
        </is>
      </c>
      <c r="C169" t="inlineStr">
        <is>
          <t>15 - Imaging Progress !F2:F14</t>
        </is>
      </c>
      <c r="D169" t="inlineStr">
        <is>
          <t>cellIs</t>
        </is>
      </c>
      <c r="E169" t="inlineStr">
        <is>
          <t>3</t>
        </is>
      </c>
      <c r="F169" t="inlineStr">
        <is>
          <t>2</t>
        </is>
      </c>
      <c r="G169" t="inlineStr">
        <is>
          <t>15 - Imaging Progress !F2:F14</t>
        </is>
      </c>
      <c r="H169" t="inlineStr">
        <is>
          <t>AUTO: see formula</t>
        </is>
      </c>
      <c r="I169" t="inlineStr">
        <is>
          <t>11</t>
        </is>
      </c>
    </row>
    <row r="170">
      <c r="A170" t="inlineStr">
        <is>
          <t xml:space="preserve">15 - Imaging Progress </t>
        </is>
      </c>
      <c r="C170" t="inlineStr">
        <is>
          <t>15 - Imaging Progress !F2:F14</t>
        </is>
      </c>
      <c r="D170" t="inlineStr">
        <is>
          <t>cellIs</t>
        </is>
      </c>
      <c r="E170" t="inlineStr">
        <is>
          <t>4</t>
        </is>
      </c>
      <c r="F170" t="inlineStr">
        <is>
          <t>6 | 9</t>
        </is>
      </c>
      <c r="G170" t="inlineStr">
        <is>
          <t>AUTO|dxfId=11</t>
        </is>
      </c>
      <c r="H170" t="inlineStr">
        <is>
          <t>AUTO: see formula</t>
        </is>
      </c>
      <c r="I170" t="inlineStr">
        <is>
          <t>10</t>
        </is>
      </c>
    </row>
    <row r="171">
      <c r="A171" t="inlineStr">
        <is>
          <t xml:space="preserve">15 - Imaging Progress </t>
        </is>
      </c>
      <c r="C171" t="inlineStr">
        <is>
          <t>15 - Imaging Progress !F2:F14</t>
        </is>
      </c>
      <c r="D171" t="inlineStr">
        <is>
          <t>cellIs</t>
        </is>
      </c>
      <c r="E171" t="inlineStr">
        <is>
          <t>5</t>
        </is>
      </c>
      <c r="F171" t="inlineStr">
        <is>
          <t>3 | 5</t>
        </is>
      </c>
      <c r="G171" t="inlineStr">
        <is>
          <t>AUTO|dxfId=10</t>
        </is>
      </c>
      <c r="H171" t="inlineStr">
        <is>
          <t>AUTO: see formula</t>
        </is>
      </c>
      <c r="I171" t="inlineStr">
        <is>
          <t>9</t>
        </is>
      </c>
    </row>
    <row r="172">
      <c r="A172" t="inlineStr">
        <is>
          <t xml:space="preserve">15 - Imaging Progress </t>
        </is>
      </c>
      <c r="C172" t="inlineStr">
        <is>
          <t>AUTO|dxfId=9</t>
        </is>
      </c>
      <c r="D172" t="inlineStr">
        <is>
          <t>cellIs</t>
        </is>
      </c>
      <c r="E172" t="inlineStr">
        <is>
          <t>6</t>
        </is>
      </c>
      <c r="F172" t="inlineStr">
        <is>
          <t>10 | 20</t>
        </is>
      </c>
      <c r="G172" t="inlineStr">
        <is>
          <t>7</t>
        </is>
      </c>
      <c r="H172" t="inlineStr">
        <is>
          <t>AUTO: see formula</t>
        </is>
      </c>
      <c r="I172" t="inlineStr">
        <is>
          <t>8</t>
        </is>
      </c>
    </row>
    <row r="173">
      <c r="A173" t="inlineStr">
        <is>
          <t>14 - Config Log</t>
        </is>
      </c>
      <c r="B173" t="inlineStr">
        <is>
          <t>tblConfigSnapshot</t>
        </is>
      </c>
      <c r="C173" t="inlineStr">
        <is>
          <t>AUTO|dxfId=8</t>
        </is>
      </c>
      <c r="D173" t="inlineStr">
        <is>
          <t>expression</t>
        </is>
      </c>
      <c r="E173" t="inlineStr">
        <is>
          <t>8</t>
        </is>
      </c>
      <c r="F173" t="inlineStr">
        <is>
          <t>AND($I2&lt;&gt;"",OR($K2="Yes",$J2="PM Approved"))</t>
        </is>
      </c>
      <c r="G173" t="inlineStr">
        <is>
          <t>6</t>
        </is>
      </c>
      <c r="H173" t="inlineStr">
        <is>
          <t>AUTO: see formula</t>
        </is>
      </c>
      <c r="I173" t="inlineStr">
        <is>
          <t>15 - Imaging Progress !F2:F15</t>
        </is>
      </c>
    </row>
    <row r="174">
      <c r="A174" t="inlineStr">
        <is>
          <t>14 - Config Log</t>
        </is>
      </c>
      <c r="B174" t="inlineStr">
        <is>
          <t>tblConfigSnapshot</t>
        </is>
      </c>
      <c r="C174" t="inlineStr">
        <is>
          <t>14 - Config Log!I2:I503</t>
        </is>
      </c>
      <c r="D174" t="inlineStr">
        <is>
          <t>expression</t>
        </is>
      </c>
      <c r="E174" t="inlineStr">
        <is>
          <t>9</t>
        </is>
      </c>
      <c r="F174" t="inlineStr">
        <is>
          <t>AND($I2&lt;&gt;"",NOT(OR($K2="Yes",$J2="PM Approved")))</t>
        </is>
      </c>
      <c r="G174" t="inlineStr">
        <is>
          <t>5</t>
        </is>
      </c>
      <c r="H174" t="inlineStr">
        <is>
          <t>AUTO: see formula</t>
        </is>
      </c>
      <c r="I174" t="inlineStr">
        <is>
          <t>AUTO|dxfId=7</t>
        </is>
      </c>
    </row>
    <row r="175">
      <c r="A175" t="inlineStr">
        <is>
          <t>14 - Config Log</t>
        </is>
      </c>
      <c r="B175" t="inlineStr">
        <is>
          <t>tblConfigSnapshot</t>
        </is>
      </c>
      <c r="C175" t="inlineStr">
        <is>
          <t>14 - Config Log!I2:I503</t>
        </is>
      </c>
      <c r="D175" t="inlineStr">
        <is>
          <t>expression</t>
        </is>
      </c>
      <c r="E175" t="inlineStr">
        <is>
          <t>10</t>
        </is>
      </c>
      <c r="F175" t="inlineStr">
        <is>
          <t>Q2&lt;&gt;""</t>
        </is>
      </c>
      <c r="G175" t="inlineStr">
        <is>
          <t>4</t>
        </is>
      </c>
      <c r="H175" t="inlineStr">
        <is>
          <t>AUTO: see formula</t>
        </is>
      </c>
      <c r="I175" t="inlineStr">
        <is>
          <t>AUTO|dxfId=6|fill=FFC6EFCE</t>
        </is>
      </c>
    </row>
    <row r="176">
      <c r="A176" t="inlineStr">
        <is>
          <t>14 - Config Log</t>
        </is>
      </c>
      <c r="B176" t="inlineStr">
        <is>
          <t>tblConfigSnapshot</t>
        </is>
      </c>
      <c r="C176" t="inlineStr">
        <is>
          <t>AUTO|dxfId=5|fill=FFFFEB9C</t>
        </is>
      </c>
      <c r="D176" t="inlineStr">
        <is>
          <t>expression</t>
        </is>
      </c>
      <c r="E176" t="inlineStr">
        <is>
          <t>11</t>
        </is>
      </c>
      <c r="F176" t="inlineStr">
        <is>
          <t>R2&lt;&gt;""</t>
        </is>
      </c>
      <c r="G176" t="inlineStr">
        <is>
          <t>3</t>
        </is>
      </c>
      <c r="H176" t="inlineStr">
        <is>
          <t>AUTO: see formula</t>
        </is>
      </c>
      <c r="I176" t="inlineStr">
        <is>
          <t>14 - Config Log!Q2:Q503</t>
        </is>
      </c>
    </row>
    <row r="177">
      <c r="A177" t="inlineStr">
        <is>
          <t>14 - Config Log</t>
        </is>
      </c>
      <c r="B177" t="inlineStr">
        <is>
          <t>tblConfigSnapshot</t>
        </is>
      </c>
      <c r="C177" t="inlineStr">
        <is>
          <t>AUTO|dxfId=4|fill=FFFFC7CE</t>
        </is>
      </c>
      <c r="D177" t="inlineStr">
        <is>
          <t>expression</t>
        </is>
      </c>
      <c r="E177" t="inlineStr">
        <is>
          <t>12</t>
        </is>
      </c>
      <c r="F177" t="inlineStr">
        <is>
          <t>S2&lt;&gt;""</t>
        </is>
      </c>
      <c r="G177" t="inlineStr">
        <is>
          <t>2</t>
        </is>
      </c>
      <c r="H177" t="inlineStr">
        <is>
          <t>AUTO: see formula</t>
        </is>
      </c>
      <c r="I177" t="inlineStr">
        <is>
          <t>14 - Config Log!R2:R503</t>
        </is>
      </c>
    </row>
    <row r="178">
      <c r="A178" t="inlineStr">
        <is>
          <t>14 - Config Log</t>
        </is>
      </c>
      <c r="B178" t="inlineStr">
        <is>
          <t>tblConfigSnapshot</t>
        </is>
      </c>
      <c r="C178" t="inlineStr">
        <is>
          <t>AUTO|dxfId=3|fill=FFFFE699</t>
        </is>
      </c>
      <c r="D178" t="inlineStr">
        <is>
          <t>expression</t>
        </is>
      </c>
      <c r="E178" t="inlineStr">
        <is>
          <t>13</t>
        </is>
      </c>
      <c r="F178" t="inlineStr">
        <is>
          <t>AND(T2&lt;&gt;"",T2="OK")</t>
        </is>
      </c>
      <c r="G178" t="inlineStr">
        <is>
          <t>1</t>
        </is>
      </c>
      <c r="H178" t="inlineStr">
        <is>
          <t>AUTO: see formula</t>
        </is>
      </c>
      <c r="I178" t="inlineStr">
        <is>
          <t>14 - Config Log!S2:S503</t>
        </is>
      </c>
    </row>
    <row r="179">
      <c r="A179" t="inlineStr">
        <is>
          <t>14 - Config Log</t>
        </is>
      </c>
      <c r="B179" t="inlineStr">
        <is>
          <t>tblConfigSnapshot</t>
        </is>
      </c>
      <c r="C179" t="inlineStr">
        <is>
          <t>14 - Config Log!T2:T503</t>
        </is>
      </c>
      <c r="D179" t="inlineStr">
        <is>
          <t>expression</t>
        </is>
      </c>
      <c r="E179" t="inlineStr">
        <is>
          <t>14</t>
        </is>
      </c>
      <c r="F179" t="inlineStr">
        <is>
          <t>AND(T2&lt;&gt;"",T2&lt;&gt;"OK")</t>
        </is>
      </c>
      <c r="G179" t="inlineStr">
        <is>
          <t>AUTO|dxfId=2|fill=FFFFE699</t>
        </is>
      </c>
      <c r="H179" t="inlineStr">
        <is>
          <t>AUTO: see formula</t>
        </is>
      </c>
      <c r="I179" t="inlineStr">
        <is>
          <t>14 - Config Log!T2:T503</t>
        </is>
      </c>
    </row>
    <row r="180">
      <c r="A180" t="inlineStr">
        <is>
          <t>Deployments</t>
        </is>
      </c>
      <c r="B180" t="inlineStr">
        <is>
          <t>tblDeviceConfig</t>
        </is>
      </c>
      <c r="C180" t="inlineStr">
        <is>
          <t>Installed, Current Building, Install Building, PI_Validated_Date, Cybernet Hostname, Neuron Hostname, Neuron MAC, Medical Device Class, Medical Device S/N, Medical Peripheral 2</t>
        </is>
      </c>
      <c r="D180" t="inlineStr">
        <is>
          <t>expression</t>
        </is>
      </c>
      <c r="E180" t="n">
        <v>1</v>
      </c>
      <c r="F180" t="inlineStr">
        <is>
          <t>AND(LOWER(TRIM($B2))="yes",LEN(TRIM(B2))=0)</t>
        </is>
      </c>
      <c r="G180" t="n">
        <v>75</v>
      </c>
      <c r="H180" t="inlineStr">
        <is>
          <t>Deployment-required (Deployed=Yes AND blank)</t>
        </is>
      </c>
      <c r="I180" t="inlineStr">
        <is>
          <t>Purple #1</t>
        </is>
      </c>
      <c r="J180" t="inlineStr">
        <is>
          <t>FFE0CCFF</t>
        </is>
      </c>
      <c r="K180" t="inlineStr">
        <is>
          <t>Deployment Purple</t>
        </is>
      </c>
      <c r="L180" t="inlineStr">
        <is>
          <t>Missing required field after deploy flag</t>
        </is>
      </c>
    </row>
    <row r="181">
      <c r="A181" t="inlineStr">
        <is>
          <t>Deployments</t>
        </is>
      </c>
      <c r="B181" t="inlineStr">
        <is>
          <t>tblDeviceConfig</t>
        </is>
      </c>
      <c r="C181" t="inlineStr">
        <is>
          <t>Software List</t>
        </is>
      </c>
      <c r="D181" t="inlineStr">
        <is>
          <t>expression</t>
        </is>
      </c>
      <c r="E181" t="n">
        <v>2</v>
      </c>
      <c r="F181" t="inlineStr">
        <is>
          <t>AND(LOWER(TRIM($B2))="yes",LEN(TRIM(BT2))=0,NOT(ISNUMBER(SEARCH("neuron",LOWER(TRIM($A2))))))</t>
        </is>
      </c>
      <c r="G181" t="n">
        <v>75</v>
      </c>
      <c r="H181" t="inlineStr">
        <is>
          <t>Deployment-required Software List (non-Neuron)</t>
        </is>
      </c>
      <c r="I181" t="inlineStr">
        <is>
          <t>Purple #1</t>
        </is>
      </c>
      <c r="J181" t="inlineStr">
        <is>
          <t>FFE0CCFF</t>
        </is>
      </c>
      <c r="K181" t="inlineStr">
        <is>
          <t>Deployment Purple</t>
        </is>
      </c>
      <c r="L181" t="inlineStr">
        <is>
          <t>Suppress Neuron software-list noise (deployed)</t>
        </is>
      </c>
    </row>
    <row r="182">
      <c r="A182" t="inlineStr">
        <is>
          <t>Deployments</t>
        </is>
      </c>
      <c r="B182" t="inlineStr">
        <is>
          <t>tblDeviceConfig</t>
        </is>
      </c>
      <c r="C182" t="inlineStr">
        <is>
          <t>Deployed, Installed, Current Building, Install Building, Cybernet Hostname</t>
        </is>
      </c>
      <c r="D182" t="inlineStr">
        <is>
          <t>expression</t>
        </is>
      </c>
      <c r="E182" t="n">
        <v>3</v>
      </c>
      <c r="F182" t="inlineStr">
        <is>
          <t>LEN(TRIM(B2))=0</t>
        </is>
      </c>
      <c r="G182" t="n">
        <v>76</v>
      </c>
      <c r="H182" t="inlineStr">
        <is>
          <t>Config-prep (blank)</t>
        </is>
      </c>
      <c r="I182" t="inlineStr">
        <is>
          <t>Purple #2</t>
        </is>
      </c>
      <c r="J182" t="inlineStr">
        <is>
          <t>FFC8A6FF</t>
        </is>
      </c>
      <c r="K182" t="inlineStr">
        <is>
          <t>Config Purple</t>
        </is>
      </c>
      <c r="L182" t="inlineStr">
        <is>
          <t>Pre-deploy completeness cue</t>
        </is>
      </c>
    </row>
    <row r="183">
      <c r="A183" t="inlineStr">
        <is>
          <t>Deployments</t>
        </is>
      </c>
      <c r="B183" t="inlineStr">
        <is>
          <t>tblDeviceConfig</t>
        </is>
      </c>
      <c r="C183" t="inlineStr">
        <is>
          <t>Software List (non-Neuron)</t>
        </is>
      </c>
      <c r="D183" t="inlineStr">
        <is>
          <t>expression</t>
        </is>
      </c>
      <c r="E183" t="n">
        <v>4</v>
      </c>
      <c r="F183" t="inlineStr">
        <is>
          <t>AND(LEN(TRIM(BT2))=0,NOT(ISNUMBER(SEARCH("neuron",LOWER(TRIM($A2))))))</t>
        </is>
      </c>
      <c r="G183" t="n">
        <v>76</v>
      </c>
      <c r="H183" t="inlineStr">
        <is>
          <t>Config-prep Software List (non-Neuron)</t>
        </is>
      </c>
      <c r="I183" t="inlineStr">
        <is>
          <t>Purple #2</t>
        </is>
      </c>
      <c r="J183" t="inlineStr">
        <is>
          <t>FFC8A6FF</t>
        </is>
      </c>
      <c r="K183" t="inlineStr">
        <is>
          <t>Config Purple</t>
        </is>
      </c>
      <c r="L183" t="inlineStr">
        <is>
          <t>Suppress Neuron software-list noise (prep)</t>
        </is>
      </c>
    </row>
    <row r="184">
      <c r="A184" t="inlineStr">
        <is>
          <t>Deployments</t>
        </is>
      </c>
      <c r="B184" t="inlineStr">
        <is>
          <t>tblDeviceConfig</t>
        </is>
      </c>
      <c r="C184" t="inlineStr">
        <is>
          <t>DupDeployed / full-row range</t>
        </is>
      </c>
      <c r="D184" t="inlineStr">
        <is>
          <t>expression</t>
        </is>
      </c>
      <c r="E184" t="inlineStr">
        <is>
          <t>AUTO</t>
        </is>
      </c>
      <c r="F184" t="inlineStr">
        <is>
          <t>Formula-driven true deployed conflict across Cybernet Hostname, Cybernet Serial, Neuron Hostname, Neuron MAC, Neuron S/N, Cybernet MAC, Anesthesia S/N, Medical Device S/N (Deployed=Yes rows only).</t>
        </is>
      </c>
      <c r="G184" t="inlineStr">
        <is>
          <t>AUTO</t>
        </is>
      </c>
      <c r="H184" t="inlineStr">
        <is>
          <t>true deployed conflict</t>
        </is>
      </c>
      <c r="I184" t="inlineStr">
        <is>
          <t>Red</t>
        </is>
      </c>
      <c r="J184" t="inlineStr">
        <is>
          <t>keys off DupDeployed=Yes</t>
        </is>
      </c>
      <c r="K184" t="inlineStr">
        <is>
          <t>Blanks, na, and n/a ignored; MAC comparison normalizes punctuation</t>
        </is>
      </c>
    </row>
    <row r="185">
      <c r="A185" t="inlineStr">
        <is>
          <t>Deployments</t>
        </is>
      </c>
      <c r="B185" t="inlineStr">
        <is>
          <t>tblDeviceConfig</t>
        </is>
      </c>
      <c r="C185" t="inlineStr">
        <is>
          <t>Cybernet Hostname, Cybernet Serial, Neuron Hostname, Neuron MAC, Neuron S/N, Cybernet MAC, Anesthesia S/N, Medical Device S/N</t>
        </is>
      </c>
      <c r="D185" t="inlineStr">
        <is>
          <t>expression</t>
        </is>
      </c>
      <c r="E185" t="inlineStr">
        <is>
          <t>AUTO</t>
        </is>
      </c>
      <c r="F185" t="inlineStr">
        <is>
          <t>Duplicate-anomaly caution rules use the same identifier family everywhere in the tracker; MAC rules normalize case, spaces, colons, and dashes before comparison.</t>
        </is>
      </c>
      <c r="G185" t="inlineStr">
        <is>
          <t>AUTO</t>
        </is>
      </c>
      <c r="H185" t="inlineStr">
        <is>
          <t>duplicate anomaly / designation changed / reallocation insight</t>
        </is>
      </c>
      <c r="I185" t="inlineStr">
        <is>
          <t>Yellow/Orange</t>
        </is>
      </c>
      <c r="J185" t="inlineStr">
        <is>
          <t>nonfatal duplicate caution</t>
        </is>
      </c>
      <c r="K185" t="inlineStr">
        <is>
          <t>Blanks, na, and n/a ignored</t>
        </is>
      </c>
    </row>
    <row r="186">
      <c r="A186" t="inlineStr">
        <is>
          <t>Deployments</t>
        </is>
      </c>
      <c r="B186" t="inlineStr">
        <is>
          <t>tblDeviceConfig</t>
        </is>
      </c>
      <c r="C186" t="inlineStr">
        <is>
          <t>Notes + Software List</t>
        </is>
      </c>
      <c r="D186" t="inlineStr">
        <is>
          <t>expression</t>
        </is>
      </c>
      <c r="E186" t="inlineStr">
        <is>
          <t>AUTO</t>
        </is>
      </c>
      <c r="F186" t="inlineStr">
        <is>
          <t>ISNUMBER(SEARCH("requires a download check",LOWER(Notes)))</t>
        </is>
      </c>
      <c r="G186" t="inlineStr">
        <is>
          <t>AUTO</t>
        </is>
      </c>
      <c r="H186" t="inlineStr">
        <is>
          <t>notes-driven download-check caution</t>
        </is>
      </c>
      <c r="I186" t="inlineStr">
        <is>
          <t>Yellow/Orange</t>
        </is>
      </c>
      <c r="J186" t="inlineStr">
        <is>
          <t>highlights Notes and Software List</t>
        </is>
      </c>
      <c r="K186" t="inlineStr">
        <is>
          <t>Case-insensitive substring match</t>
        </is>
      </c>
    </row>
    <row r="187">
      <c r="A187" t="inlineStr">
        <is>
          <t>Deployments</t>
        </is>
      </c>
      <c r="B187" t="inlineStr">
        <is>
          <t>tblDeviceConfig</t>
        </is>
      </c>
      <c r="C187" t="inlineStr">
        <is>
          <t>PI_Rejection_Logic (AUTO) + PI Rejection Reason</t>
        </is>
      </c>
      <c r="D187" t="inlineStr">
        <is>
          <t>expression</t>
        </is>
      </c>
      <c r="E187" t="inlineStr">
        <is>
          <t>AUTO</t>
        </is>
      </c>
      <c r="F187" t="inlineStr">
        <is>
          <t>Helper returns NOTES_PRESENT, SET_NA, OK, or MANUAL_OVERRIDE for Pass rows without overwriting manual PI Rejection Reason text.</t>
        </is>
      </c>
      <c r="G187" t="inlineStr">
        <is>
          <t>AUTO</t>
        </is>
      </c>
      <c r="H187" t="inlineStr">
        <is>
          <t>PI helper / PI-related prompt logic</t>
        </is>
      </c>
      <c r="I187" t="inlineStr">
        <is>
          <t>Yellow/Orange</t>
        </is>
      </c>
      <c r="J187" t="inlineStr">
        <is>
          <t>light prompt only when SET_NA</t>
        </is>
      </c>
      <c r="K187" t="inlineStr">
        <is>
          <t>Notes outrank auto-NA behavior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H102"/>
  <sheetViews>
    <sheetView workbookViewId="0">
      <selection activeCell="A1" sqref="A1:D1"/>
    </sheetView>
  </sheetViews>
  <sheetFormatPr baseColWidth="8" defaultRowHeight="15"/>
  <cols>
    <col width="28" customWidth="1" style="91" min="1" max="1"/>
    <col width="90" customWidth="1" style="91" min="2" max="2"/>
    <col width="28" customWidth="1" style="91" min="3" max="3"/>
    <col width="34" customWidth="1" style="91" min="4" max="4"/>
  </cols>
  <sheetData>
    <row r="1" ht="21" customHeight="1" s="91">
      <c r="A1" s="87" t="inlineStr">
        <is>
          <t>Use this sheet as the quick operating guide. Enter data only in the non-AUTO columns. For pallet moves, log the move once in 03_Warehouse_Movements and 01_Warehouse_Ledger updates itself.</t>
        </is>
      </c>
    </row>
    <row r="2" ht="15" customHeight="1" s="91">
      <c r="A2" s="88" t="inlineStr">
        <is>
          <t>Task</t>
        </is>
      </c>
    </row>
    <row r="3" ht="15" customHeight="1" s="91">
      <c r="A3" s="85" t="n"/>
      <c r="B3" s="85" t="n"/>
      <c r="C3" s="85" t="n"/>
      <c r="D3" s="85" t="n"/>
    </row>
    <row r="4" ht="15.75" customHeight="1" s="91">
      <c r="A4" s="41" t="inlineStr">
        <is>
          <t>Go to tab</t>
        </is>
      </c>
      <c r="B4" s="41" t="inlineStr">
        <is>
          <t>Edit these columns</t>
        </is>
      </c>
      <c r="C4" s="41" t="inlineStr">
        <is>
          <t>Notes / outcome</t>
        </is>
      </c>
      <c r="D4" s="41" t="inlineStr">
        <is>
          <t>Add / update a pallet</t>
        </is>
      </c>
    </row>
    <row r="5" ht="15" customHeight="1" s="91">
      <c r="A5" s="42" t="inlineStr">
        <is>
          <t>01_Warehouse_Ledger</t>
        </is>
      </c>
      <c r="B5" s="42" t="inlineStr">
        <is>
          <t>A,B,C,E,F,G,I,J,K,L</t>
        </is>
      </c>
      <c r="C5" s="42" t="inlineStr">
        <is>
          <t>One row per pallet. Do NOT type in CurrentLocationCode / LastMove fields (AUTO).</t>
        </is>
      </c>
      <c r="D5" s="42" t="inlineStr">
        <is>
          <t>Move a pallet</t>
        </is>
      </c>
    </row>
    <row r="6" ht="15" customHeight="1" s="91">
      <c r="A6" s="42" t="inlineStr">
        <is>
          <t>03_Warehouse_Movements</t>
        </is>
      </c>
      <c r="B6" s="42" t="inlineStr">
        <is>
          <t>A,B,C,E,H,I,J (F,G optional)</t>
        </is>
      </c>
      <c r="C6" s="42" t="inlineStr">
        <is>
          <t>Add one movement row (MOVE / RECEIVE / SHIP / RETURN / etc). Ledger CurrentLocationCode + LastMoveTS update automatically.</t>
        </is>
      </c>
      <c r="D6" s="42" t="inlineStr">
        <is>
          <t>Add / update a location</t>
        </is>
      </c>
    </row>
    <row r="7" ht="15" customHeight="1" s="91">
      <c r="A7" s="42" t="inlineStr">
        <is>
          <t>02_Warehouse_Locations</t>
        </is>
      </c>
      <c r="B7" s="42" t="inlineStr">
        <is>
          <t>A–G,I</t>
        </is>
      </c>
      <c r="C7" s="42" t="inlineStr">
        <is>
          <t>One row per warehouse slot. QR_Payload auto = LocationCode.</t>
        </is>
      </c>
      <c r="D7" s="42" t="inlineStr">
        <is>
          <t>Print QR labels</t>
        </is>
      </c>
    </row>
    <row r="8" ht="15" customHeight="1" s="91">
      <c r="A8" s="42" t="inlineStr">
        <is>
          <t>04_Label_Export</t>
        </is>
      </c>
      <c r="B8" s="42" t="inlineStr">
        <is>
          <t>Nothing (auto list)</t>
        </is>
      </c>
      <c r="C8" s="42" t="inlineStr">
        <is>
          <t>Print LOCATION labels (top section) and PALLET labels (starts at row 505). QR payload stays minimal (LocationCode / PalletID).</t>
        </is>
      </c>
      <c r="D8" s="42" t="inlineStr">
        <is>
          <t>Find where a pallet is</t>
        </is>
      </c>
    </row>
    <row r="9" ht="15" customHeight="1" s="91">
      <c r="A9" s="42" t="inlineStr">
        <is>
          <t>05_Scan_Lookup</t>
        </is>
      </c>
      <c r="B9" s="42" t="inlineStr">
        <is>
          <t>Scan into B3</t>
        </is>
      </c>
      <c r="C9" s="42" t="inlineStr">
        <is>
          <t>Scan Pallet QR -&gt; see CurrentLocationCode + map fields instantly.</t>
        </is>
      </c>
      <c r="D9" s="42" t="inlineStr">
        <is>
          <t>Tie a device to a pallet</t>
        </is>
      </c>
    </row>
    <row r="10" ht="15" customHeight="1" s="91">
      <c r="A10" s="42" t="inlineStr">
        <is>
          <t>BL (PalletID (Manual))</t>
        </is>
      </c>
      <c r="B10" s="42" t="inlineStr">
        <is>
          <t>Deployments</t>
        </is>
      </c>
      <c r="C10" s="42" t="inlineStr">
        <is>
          <t>Enter PalletID on the device row -&gt; BM/BN/BO auto-fill Warehouse Location + Pallet Status + Last Move TS.</t>
        </is>
      </c>
      <c r="D10" s="42" t="inlineStr">
        <is>
          <t>Pallet moves - the 30-second routine</t>
        </is>
      </c>
    </row>
    <row r="11" ht="15" customHeight="1" s="91">
      <c r="A11" s="85" t="n"/>
      <c r="B11" s="85" t="n"/>
      <c r="C11" s="85" t="n"/>
      <c r="D11" s="85" t="n"/>
    </row>
    <row r="12" ht="15" customHeight="1" s="91">
      <c r="A12" s="85" t="n"/>
      <c r="B12" s="85" t="n"/>
      <c r="C12" s="85" t="n"/>
      <c r="D12" s="85" t="n"/>
    </row>
    <row r="13" ht="15.75" customHeight="1" s="91">
      <c r="A13" s="86" t="inlineStr">
        <is>
          <t>1)</t>
        </is>
      </c>
    </row>
    <row r="14" ht="15" customHeight="1" s="91">
      <c r="A14" s="85" t="inlineStr">
        <is>
          <t>Go to 03_Warehouse_Movements and add a NEW row at the top of the data (first blank row).</t>
        </is>
      </c>
      <c r="B14" s="85" t="inlineStr">
        <is>
          <t>2)</t>
        </is>
      </c>
    </row>
    <row r="15" ht="15" customHeight="1" s="91">
      <c r="A15" s="85" t="inlineStr">
        <is>
          <t>Fill: Timestamp (A), Action (B)=MOVE, PalletID (C)=scan or type, ToLocation (E)=scan location code, ByWho (H), Ref (I) if relevant, Notes (J) if needed. Optional: Item (F) + Qty (G) if you are tracking contents.</t>
        </is>
      </c>
      <c r="B15" s="85" t="inlineStr">
        <is>
          <t>3)</t>
        </is>
      </c>
    </row>
    <row r="16" ht="15" customHeight="1" s="91">
      <c r="A16" s="85" t="inlineStr">
        <is>
          <t>Do NOT edit FromLocation (D). It auto-fills from the pallet’s prior state (based on 01_Warehouse_Ledger).</t>
        </is>
      </c>
      <c r="B16" s="85" t="inlineStr">
        <is>
          <t>4)</t>
        </is>
      </c>
    </row>
    <row r="17" ht="15" customHeight="1" s="91">
      <c r="A17" s="85" t="inlineStr">
        <is>
          <t>Sanity check: open 01_Warehouse_Ledger -&gt; CurrentLocationCode (AUTO) and LastMoveTS (AUTO) should update for that PalletID.</t>
        </is>
      </c>
      <c r="B17" s="85" t="inlineStr">
        <is>
          <t>5)</t>
        </is>
      </c>
    </row>
    <row r="18" ht="15" customHeight="1" s="91">
      <c r="A18" s="85" t="inlineStr">
        <is>
          <t>Optional: if the move changed the pallet’s lifecycle (STAGED/DEPLOYED/RETURNED), update PalletStatus (E) on 01_Warehouse_Ledger.</t>
        </is>
      </c>
      <c r="B18" s="85" t="inlineStr">
        <is>
          <t>Data rules (don’t break the tracker)</t>
        </is>
      </c>
    </row>
    <row r="19">
      <c r="A19" s="85" t="n"/>
      <c r="B19" s="85" t="n"/>
      <c r="C19" s="85" t="n"/>
      <c r="D19" s="85" t="n"/>
    </row>
    <row r="20" ht="15.75" customHeight="1" s="91">
      <c r="A20" s="86" t="inlineStr">
        <is>
          <t>• Only type into columns that are NOT labeled (AUTO) or (deprecated).</t>
        </is>
      </c>
    </row>
    <row r="21" ht="15" customHeight="1" s="91">
      <c r="A21" s="85" t="inlineStr">
        <is>
          <t>• PalletIDs must exist in 01_Warehouse_Ledger before you reference them anywhere else (moves, device config, contents, labels).</t>
        </is>
      </c>
    </row>
    <row r="22" ht="15" customHeight="1" s="91">
      <c r="A22" s="85" t="inlineStr">
        <is>
          <t>• PalletID format enforced by the ledger CF: PAL-0000001 (PAL- + 7 digits). Duplicates highlight.</t>
        </is>
      </c>
    </row>
    <row r="23" ht="15" customHeight="1" s="91">
      <c r="A23" s="85" t="inlineStr">
        <is>
          <t>• LocationCode: pick from 02_Warehouse_Locations (use dropdowns where present).</t>
        </is>
      </c>
    </row>
    <row r="24" ht="15" customHeight="1" s="91">
      <c r="A24" s="85" t="inlineStr">
        <is>
          <t>• If a cell looks formula-driven, leave it alone. Don’t paste over formulas.</t>
        </is>
      </c>
    </row>
    <row r="25" ht="15" customHeight="1" s="91">
      <c r="A25" s="85" t="inlineStr">
        <is>
          <t>• If you must paste, paste VALUES only (not formatting) into input columns.</t>
        </is>
      </c>
    </row>
    <row r="26" ht="41.25" customHeight="1" s="91">
      <c r="A26" s="85" t="inlineStr">
        <is>
          <t>• When in doubt: use 05_Scan_Lookup to verify the pallet’s current location before moving anything.</t>
        </is>
      </c>
      <c r="B26" s="85" t="n"/>
      <c r="C26" s="85" t="n"/>
      <c r="D26" s="85" t="n"/>
    </row>
    <row r="27" ht="15.75" customHeight="1" s="91">
      <c r="A27" s="86" t="inlineStr">
        <is>
          <t>Quick troubleshooting</t>
        </is>
      </c>
    </row>
    <row r="28" ht="15" customHeight="1" s="91">
      <c r="A28" s="85" t="n"/>
    </row>
    <row r="29" ht="15" customHeight="1" s="91">
      <c r="A29" s="85" t="inlineStr">
        <is>
          <t>• 05_Scan_Lookup shows blanks -&gt; confirm you scanned a valid PalletID that exists in 01_Warehouse_Ledger column A.</t>
        </is>
      </c>
    </row>
    <row r="30" ht="15" customHeight="1" s="91">
      <c r="A30" s="85" t="inlineStr">
        <is>
          <t>• Move row highlights -&gt; check required fields in 03_Warehouse_Movements: Timestamp (A), Action (B), PalletID (C), ToLocation (E).</t>
        </is>
      </c>
    </row>
    <row r="31" ht="15" customHeight="1" s="91">
      <c r="A31" s="85" t="inlineStr">
        <is>
          <t>• FromLocation (AUTO) stays blank -&gt; the pallet is unknown to the ledger or has no prior location. Add the pallet to 01_Warehouse_Ledger, set HomeLocationCode (C), then re-enter the move row.</t>
        </is>
      </c>
    </row>
    <row r="32" ht="94.5" customHeight="1" s="91">
      <c r="A32" s="85" t="inlineStr">
        <is>
          <t>• CurrentLocationCode not updating -&gt; confirm 03_Warehouse_Movements has a row with that PalletID and a ToLocation value; then check 01_Warehouse_Ledger columns D and M for that pallet.</t>
        </is>
      </c>
      <c r="B32" s="85" t="n"/>
      <c r="C32" s="85" t="n"/>
      <c r="D32" s="85" t="n"/>
    </row>
    <row r="33" ht="94.5" customHeight="1" s="91">
      <c r="A33" s="85" t="inlineStr">
        <is>
          <t>• Wrong location code -&gt; correct the ToLocation on the MOST RECENT movement row for that pallet (don’t edit older history unless it’s truly wrong).</t>
        </is>
      </c>
      <c r="B33" s="85" t="n"/>
      <c r="C33" s="85" t="n"/>
      <c r="D33" s="85" t="n"/>
    </row>
    <row r="34" ht="68.25" customHeight="1" s="91">
      <c r="A34" s="85" t="inlineStr">
        <is>
          <t>• Need a new warehouse slot -&gt; add it in 02_Warehouse_Locations; labels will appear automatically in 04_Label_Export.</t>
        </is>
      </c>
      <c r="B34" s="85" t="n"/>
      <c r="C34" s="85" t="n"/>
      <c r="D34" s="85" t="n"/>
    </row>
    <row r="35" ht="68.25" customHeight="1" s="91">
      <c r="A35" s="85" t="inlineStr">
        <is>
          <t>Interlock map (what updates what)</t>
        </is>
      </c>
      <c r="B35" s="85" t="n"/>
      <c r="C35" s="85" t="n"/>
      <c r="D35" s="85" t="n"/>
    </row>
    <row r="36">
      <c r="A36" s="85" t="n"/>
      <c r="B36" s="85" t="n"/>
      <c r="C36" s="85" t="n"/>
      <c r="D36" s="85" t="n"/>
    </row>
    <row r="37" ht="27.75" customHeight="1" s="91">
      <c r="A37" s="85" t="inlineStr">
        <is>
          <t>• 02_Warehouse_Locations defines valid LocationCode values. QR_Payload (H) is a formula (=LocationCode).</t>
        </is>
      </c>
      <c r="B37" s="85" t="n"/>
      <c r="C37" s="85" t="n"/>
      <c r="D37" s="85" t="n"/>
    </row>
    <row r="38" ht="54.75" customHeight="1" s="91">
      <c r="A38" s="85" t="inlineStr">
        <is>
          <t>• 03_Warehouse_Movements is the history log. ToLocation (E) on the latest row drives the pallet’s current state.</t>
        </is>
      </c>
      <c r="B38" s="85" t="n"/>
      <c r="C38" s="85" t="n"/>
      <c r="D38" s="85" t="n"/>
    </row>
    <row r="39" ht="54.75" customHeight="1" s="91">
      <c r="A39" s="85" t="inlineStr">
        <is>
          <t>• 01_Warehouse_Ledger is the pallet register. CurrentLocationCode (D), LastMoveTS (M), LastMovedBy (N) are derived from movements.</t>
        </is>
      </c>
      <c r="B39" s="85" t="n"/>
      <c r="C39" s="85" t="n"/>
      <c r="D39" s="85" t="n"/>
    </row>
    <row r="40" ht="68.25" customHeight="1" s="91">
      <c r="A40" s="85" t="inlineStr">
        <is>
          <t>• Deployments links devices to pallets via PalletID (BL). Warehouse Location (BM), Pallet Status (BN), Last Move TS (BO) are lookups from the ledger.</t>
        </is>
      </c>
      <c r="B40" s="85" t="n"/>
      <c r="C40" s="85" t="n"/>
      <c r="D40" s="85" t="n"/>
    </row>
    <row r="41" ht="68.25" customHeight="1" s="91">
      <c r="A41" s="85" t="inlineStr">
        <is>
          <t>• 04_Label_Export pulls printable label rows from Locations (top) and Ledger (pallets start at row 505).</t>
        </is>
      </c>
      <c r="B41" s="85" t="n"/>
      <c r="C41" s="85" t="n"/>
      <c r="D41" s="85" t="n"/>
    </row>
    <row r="42" ht="54.75" customHeight="1" s="91">
      <c r="A42" s="85" t="inlineStr">
        <is>
          <t>• 05_Scan_Lookup is the fast verify panel: scan PalletID -&gt; read CurrentLocationCode + location display info.</t>
        </is>
      </c>
      <c r="B42" s="85" t="n"/>
      <c r="C42" s="85" t="n"/>
      <c r="D42" s="85" t="n"/>
    </row>
    <row r="43" ht="54.75" customHeight="1" s="91">
      <c r="A43" s="85" t="inlineStr">
        <is>
          <t>Deployment Tracker: Conditional Formatting + Error Log (foundation)</t>
        </is>
      </c>
      <c r="B43" s="85" t="n"/>
      <c r="C43" s="85" t="n"/>
      <c r="D43" s="85" t="n"/>
    </row>
    <row r="44">
      <c r="A44" s="85" t="n"/>
      <c r="B44" s="85" t="n"/>
      <c r="C44" s="85" t="n"/>
      <c r="D44" s="85" t="n"/>
    </row>
    <row r="45" ht="75" customHeight="1" s="91">
      <c r="A45" s="50" t="inlineStr">
        <is>
          <t>• CF rules for Deployments are documented in 00_CF_Dictionary (tblCFDictionary).</t>
        </is>
      </c>
      <c r="B45" s="85" t="n"/>
      <c r="C45" s="85" t="n"/>
      <c r="D45" s="85" t="n"/>
    </row>
    <row r="46" ht="45" customHeight="1" s="91">
      <c r="A46" s="85" t="inlineStr">
        <is>
          <t>• Any CF change must be recorded in 00_CF_Dictionary: range, formula, and why.</t>
        </is>
      </c>
      <c r="B46" s="85" t="n"/>
      <c r="C46" s="85" t="n"/>
      <c r="D46" s="85" t="n"/>
    </row>
    <row r="47" ht="60" customHeight="1" s="91">
      <c r="A47" s="85" t="inlineStr">
        <is>
          <t>• Error logging lives in 00_Error_Log and tracks workbook/process/debug issues.</t>
        </is>
      </c>
      <c r="B47" s="85" t="n"/>
      <c r="C47" s="85" t="n"/>
      <c r="D47" s="85" t="n"/>
    </row>
    <row r="48" ht="60" customHeight="1" s="91">
      <c r="A48" s="85" t="inlineStr">
        <is>
          <t>• Official schema = Deployments row 1 in this workbook. Do not reorder columns unless formulas + duplicate CF + docs are updated.</t>
        </is>
      </c>
      <c r="B48" s="85" t="n"/>
      <c r="C48" s="85" t="n"/>
      <c r="D48" s="85" t="n"/>
    </row>
    <row r="49" ht="75" customHeight="1" s="91">
      <c r="A49" s="85" t="inlineStr">
        <is>
          <t>• Duplicate watch fields (always-on): Cybernet Hostname, Cybernet Serial, Neuron Hostname, Neuron S/N, Cybernet MAC, Asset Tag, Dialysis S/N, Anesthesia S/N, Medical Device S/N.</t>
        </is>
      </c>
      <c r="B49" s="85" t="n"/>
      <c r="C49" s="85" t="n"/>
      <c r="D49" s="85" t="n"/>
    </row>
    <row r="50" ht="75" customHeight="1" s="91">
      <c r="A50" s="85" t="inlineStr">
        <is>
          <t>• WebExcel rule still stands: avoid repair prompts, keep formulas simple, and treat a repair banner as stop-ship.</t>
        </is>
      </c>
      <c r="B50" s="85" t="n"/>
      <c r="C50" s="85" t="n"/>
      <c r="D50" s="85" t="n"/>
    </row>
    <row r="51">
      <c r="A51" s="85" t="inlineStr">
        <is>
          <t>Fast debug loop (3 steps)</t>
        </is>
      </c>
      <c r="B51" s="85" t="n"/>
      <c r="C51" s="85" t="n"/>
      <c r="D51" s="85" t="n"/>
    </row>
    <row r="52">
      <c r="A52" s="85" t="n"/>
      <c r="B52" s="85" t="n"/>
      <c r="C52" s="85" t="n"/>
      <c r="D52" s="85" t="n"/>
    </row>
    <row r="53" ht="60" customHeight="1" s="91">
      <c r="A53" s="50" t="inlineStr">
        <is>
          <t>1) Reproduce: create 1 Cybernet row, 1 Neuron row, 1 peripherals-only row and toggle Deployed/Yes fields.</t>
        </is>
      </c>
      <c r="B53" s="85" t="n"/>
      <c r="C53" s="85" t="n"/>
      <c r="D53" s="85" t="n"/>
    </row>
    <row r="54" ht="60" customHeight="1" s="91">
      <c r="A54" s="85" t="inlineStr">
        <is>
          <t>2) Observe: confirm duplicate highlights fire in the official identity fields, and use 00_Error_Log for tracker bugs.</t>
        </is>
      </c>
      <c r="B54" s="85" t="n"/>
      <c r="C54" s="85" t="n"/>
      <c r="D54" s="85" t="n"/>
    </row>
    <row r="55" ht="60" customHeight="1" s="91">
      <c r="A55" s="85" t="inlineStr">
        <is>
          <t>3) Patch: if schema/CF drifts, update Deployments row 1, duplicate CF, 00_CF_Dictionary, and 00_README together.</t>
        </is>
      </c>
      <c r="B55" s="85" t="n"/>
      <c r="C55" s="85" t="n"/>
      <c r="D55" s="85" t="n"/>
    </row>
    <row r="56">
      <c r="A56" s="85" t="inlineStr">
        <is>
          <t>PalletCallSign</t>
        </is>
      </c>
      <c r="B56" s="85" t="n"/>
      <c r="C56" s="85" t="n"/>
      <c r="D56" s="85" t="n"/>
    </row>
    <row r="57">
      <c r="A57" s="85" t="n"/>
      <c r="B57" s="85" t="n"/>
      <c r="C57" s="85" t="n"/>
      <c r="D57" s="85" t="n"/>
    </row>
    <row r="58">
      <c r="A58" s="85" t="n"/>
      <c r="B58" s="85" t="n"/>
      <c r="C58" s="85" t="n"/>
      <c r="D58" s="85" t="n"/>
    </row>
    <row r="59">
      <c r="A59" s="85" t="n"/>
      <c r="B59" s="85" t="n"/>
      <c r="C59" s="85" t="n"/>
      <c r="D59" s="85" t="n"/>
    </row>
    <row r="60">
      <c r="A60" s="85" t="n"/>
      <c r="B60" s="85" t="n"/>
      <c r="C60" s="85" t="n"/>
      <c r="D60" s="85" t="n"/>
    </row>
    <row r="61">
      <c r="A61" s="85" t="n"/>
      <c r="B61" s="85" t="n"/>
      <c r="C61" s="85" t="n"/>
      <c r="D61" s="85" t="n"/>
    </row>
    <row r="62">
      <c r="A62" s="85" t="n"/>
      <c r="B62" s="85" t="n"/>
      <c r="C62" s="85" t="n"/>
      <c r="D62" s="85" t="n"/>
    </row>
    <row r="63">
      <c r="A63" s="85" t="n"/>
      <c r="B63" s="85" t="n"/>
      <c r="C63" s="85" t="n"/>
      <c r="D63" s="85" t="n"/>
    </row>
    <row r="64">
      <c r="A64" s="85" t="n"/>
      <c r="B64" s="85" t="n"/>
      <c r="C64" s="85" t="n"/>
      <c r="D64" s="85" t="n"/>
    </row>
    <row r="65">
      <c r="A65" s="85" t="n"/>
      <c r="B65" s="85" t="n"/>
      <c r="C65" s="85" t="n"/>
      <c r="D65" s="85" t="n"/>
    </row>
    <row r="66">
      <c r="A66" s="85" t="n"/>
      <c r="B66" s="85" t="n"/>
      <c r="C66" s="85" t="n"/>
      <c r="D66" s="85" t="n"/>
    </row>
    <row r="67">
      <c r="A67" s="85" t="n"/>
      <c r="B67" s="85" t="n"/>
      <c r="C67" s="85" t="n"/>
      <c r="D67" s="85" t="n"/>
    </row>
    <row r="68">
      <c r="A68" s="85" t="n"/>
      <c r="B68" s="85" t="n"/>
      <c r="C68" s="85" t="n"/>
      <c r="D68" s="85" t="n"/>
    </row>
    <row r="69">
      <c r="A69" s="85" t="n"/>
      <c r="B69" s="85" t="n"/>
      <c r="C69" s="85" t="n"/>
      <c r="D69" s="85" t="n"/>
    </row>
    <row r="70">
      <c r="A70" s="85" t="n"/>
      <c r="B70" s="85" t="n"/>
      <c r="C70" s="85" t="n"/>
      <c r="D70" s="85" t="n"/>
    </row>
    <row r="71">
      <c r="A71" s="85" t="n"/>
      <c r="B71" s="85" t="n"/>
      <c r="C71" s="85" t="n"/>
      <c r="D71" s="85" t="n"/>
    </row>
    <row r="72">
      <c r="A72" s="85" t="n"/>
      <c r="B72" s="85" t="n"/>
      <c r="C72" s="85" t="n"/>
      <c r="D72" s="85" t="n"/>
    </row>
    <row r="73">
      <c r="A73" s="85" t="n"/>
      <c r="B73" s="85" t="n"/>
      <c r="C73" s="85" t="n"/>
      <c r="D73" s="85" t="n"/>
    </row>
    <row r="74">
      <c r="A74" s="85" t="n"/>
      <c r="B74" s="85" t="n"/>
      <c r="C74" s="85" t="n"/>
      <c r="D74" s="85" t="n"/>
    </row>
    <row r="75">
      <c r="A75" s="85" t="n"/>
      <c r="B75" s="85" t="n"/>
      <c r="C75" s="85" t="n"/>
      <c r="D75" s="85" t="n"/>
    </row>
    <row r="76">
      <c r="A76" s="85" t="n"/>
      <c r="B76" s="85" t="n"/>
      <c r="C76" s="85" t="n"/>
      <c r="D76" s="85" t="n"/>
    </row>
    <row r="77">
      <c r="A77" s="85" t="n"/>
      <c r="B77" s="85" t="n"/>
      <c r="C77" s="85" t="n"/>
      <c r="D77" s="85" t="n"/>
    </row>
    <row r="78">
      <c r="A78" s="85" t="n"/>
      <c r="B78" s="85" t="n"/>
      <c r="C78" s="85" t="n"/>
      <c r="D78" s="85" t="n"/>
    </row>
    <row r="79">
      <c r="A79" s="85" t="n"/>
      <c r="B79" s="85" t="n"/>
      <c r="C79" s="85" t="n"/>
      <c r="D79" s="85" t="n"/>
    </row>
    <row r="80">
      <c r="A80" s="85" t="n"/>
      <c r="B80" s="85" t="n"/>
      <c r="C80" s="85" t="n"/>
      <c r="D80" s="85" t="n"/>
    </row>
    <row r="82">
      <c r="A82" t="inlineStr">
        <is>
          <t>TOOLING ERROR LOG (i086, 2026-02-27)</t>
        </is>
      </c>
    </row>
    <row r="83">
      <c r="A83" t="inlineStr">
        <is>
          <t>Issue observed: i085 opens in Excel for Web as a 'repaired_' copy and the Device_Configuration tab renders blank.</t>
        </is>
      </c>
    </row>
    <row r="84">
      <c r="A84" t="inlineStr">
        <is>
          <t>Root cause: i085 carried per-cell style indexes that do not exist in the WEBSAFE template, triggering a repair pass that dropped the cell values.</t>
        </is>
      </c>
    </row>
    <row r="85">
      <c r="A85" t="inlineStr">
        <is>
          <t>Fix: rehydrated Deployments (A1:CC532) from the Active tracker, writing values and formulas without per-cell style indexes and using sharedStrings.</t>
        </is>
      </c>
    </row>
    <row r="86">
      <c r="A86" t="inlineStr">
        <is>
          <t>Fix: re-created tblDeviceConfig as a real Excel Table (ref A1:CC532) and attached it to sheet 12 via tableParts.</t>
        </is>
      </c>
    </row>
    <row r="87">
      <c r="A87" t="inlineStr">
        <is>
          <t>Fix: duplicate logic and tracker debugging now follow the official refactored schema instead of the old deployment-scoped error log.</t>
        </is>
      </c>
    </row>
    <row r="88">
      <c r="A88" t="inlineStr">
        <is>
          <t>Change: removed xl/calcChain.xml to avoid calcChain drift after injecting 40k+ cells, which can trigger Web repair prompts.</t>
        </is>
      </c>
    </row>
    <row r="89">
      <c r="A89" t="inlineStr">
        <is>
          <t>QC target: no duplicate-CF #REF, no repair banner in web, and workbook loads cleanly.</t>
        </is>
      </c>
    </row>
    <row r="92">
      <c r="A92" t="inlineStr">
        <is>
          <t>TOOLING ERROR LOG (AUTO-GENERATED)</t>
        </is>
      </c>
    </row>
    <row r="94">
      <c r="A94" t="inlineStr">
        <is>
          <t>ErrID</t>
        </is>
      </c>
      <c r="B94" t="inlineStr">
        <is>
          <t>Layer</t>
        </is>
      </c>
      <c r="C94" t="inlineStr">
        <is>
          <t>Part</t>
        </is>
      </c>
      <c r="D94" t="inlineStr">
        <is>
          <t>What</t>
        </is>
      </c>
      <c r="E94" t="inlineStr">
        <is>
          <t>Why</t>
        </is>
      </c>
      <c r="F94" t="inlineStr">
        <is>
          <t>Fix</t>
        </is>
      </c>
      <c r="G94" t="inlineStr">
        <is>
          <t>QA</t>
        </is>
      </c>
      <c r="H94" t="inlineStr">
        <is>
          <t>Evidence</t>
        </is>
      </c>
    </row>
    <row r="95">
      <c r="A95" t="inlineStr">
        <is>
          <t>E-011</t>
        </is>
      </c>
      <c r="B95" t="inlineStr">
        <is>
          <t>packaging</t>
        </is>
      </c>
      <c r="C95" t="inlineStr">
        <is>
          <t>/xl/worksheets/sheet1-3.xml</t>
        </is>
      </c>
      <c r="D95" t="inlineStr">
        <is>
          <t>Excel repair replaced worksheets 1-3 (XML error)</t>
        </is>
      </c>
      <c r="E95" t="inlineStr">
        <is>
          <t>Worksheet XML serialized with non-canonical namespace prefixes (xmlns_ns0 / &lt;ns0_...&gt;); Desktop repair replaces the parts and Web may refuse to open.</t>
        </is>
      </c>
      <c r="F95" t="inlineStr">
        <is>
          <t>Rewrite worksheets 1-3 with canonical namespaces (default worksheet ns + mc/xr/r). Preserve all other parts byte-for-byte.</t>
        </is>
      </c>
      <c r="G95" t="inlineStr">
        <is>
          <t>Desktop opens without repair; Web opens in Edit without 'WORKBOOK REPAIRED' banner.</t>
        </is>
      </c>
      <c r="H95" t="inlineStr">
        <is>
          <t>error066400_01.xml: replaced sheet1-3</t>
        </is>
      </c>
    </row>
    <row r="96">
      <c r="A96" t="inlineStr">
        <is>
          <t>E-012</t>
        </is>
      </c>
      <c r="B96" t="inlineStr">
        <is>
          <t>tables</t>
        </is>
      </c>
      <c r="C96" t="inlineStr">
        <is>
          <t>/xl/tables/table9.xml + sheet12 header</t>
        </is>
      </c>
      <c r="D96" t="inlineStr">
        <is>
          <t>tblDeviceConfig table header mismatch triggers repair</t>
        </is>
      </c>
      <c r="E96" t="inlineStr">
        <is>
          <t>tableColumn names encode line breaks as 
 (e.g., Medical Device Class/Model) but header cells used literal newlines; Excel repairs the table on open.</t>
        </is>
      </c>
      <c r="F96" t="inlineStr">
        <is>
          <t>Make header cells match tableColumn names exactly (use 
 strings) OR update table9 column names consistently. Do not delete/reorder sharedStrings.</t>
        </is>
      </c>
      <c r="G96" t="inlineStr">
        <is>
          <t>Web opens without repair banner; Desktop produces no new error*.xml. Table ref remains A1:CC532 (81 cols).</t>
        </is>
      </c>
      <c r="H96" t="inlineStr">
        <is>
          <t>diff: table9.xml names vs sheet12 row1</t>
        </is>
      </c>
    </row>
    <row r="97">
      <c r="A97" t="inlineStr">
        <is>
          <t>E-013</t>
        </is>
      </c>
      <c r="B97" t="inlineStr">
        <is>
          <t>data</t>
        </is>
      </c>
      <c r="C97" t="inlineStr">
        <is>
          <t>/xl/sharedStrings.xml + sheet12 A2:CC532</t>
        </is>
      </c>
      <c r="D97" t="inlineStr">
        <is>
          <t>Deployed/Installed and other fields show wrong text (sharedStrings drift)</t>
        </is>
      </c>
      <c r="E97" t="inlineStr">
        <is>
          <t>SharedStrings were edited by deletion/reorder in a prior candidate, shifting indices. Cells still point to old indices so values display as unrelated strings.</t>
        </is>
      </c>
      <c r="F97" t="inlineStr">
        <is>
          <t>Integration rule: never delete/reorder sharedStrings. Overwrite non-formula columns in A2:CC532 with Active values; append new strings only; keep formula columns intact.</t>
        </is>
      </c>
      <c r="G97" t="inlineStr">
        <is>
          <t>Spot-check B2/C2 and random rows: values match Active; formulas still compute; Web renders correctly.</t>
        </is>
      </c>
      <c r="H97" t="inlineStr">
        <is>
          <t>Web screenshot showing wrong values; candidate i092 B2!=Yes</t>
        </is>
      </c>
    </row>
    <row r="98" ht="60" customHeight="1" s="91">
      <c r="A98" t="inlineStr">
        <is>
          <t>E-014</t>
        </is>
      </c>
      <c r="B98" t="inlineStr">
        <is>
          <t>runlog</t>
        </is>
      </c>
      <c r="C98" t="inlineStr">
        <is>
          <t>2026-03-04 0928</t>
        </is>
      </c>
      <c r="D98" t="inlineStr">
        <is>
          <t>Base: CANDIDATE_DeploymentTracker_vNext10_2026-03-04_1315_WEBSAFE.xlsx</t>
        </is>
      </c>
      <c r="E98" t="inlineStr">
        <is>
          <t>Output: CANDIDATE_DeploymentTracker_vNext10_2026-03-04_0928_WEBSAFE.xlsx</t>
        </is>
      </c>
      <c r="F98" t="inlineStr">
        <is>
          <t>Edited parts: xl/styles.xml; xl/worksheets/sheet4.xml; xl/worksheets/sheet5.xml; xl/worksheets/sheet8.xml; xl/sharedStrings.xml; xl/worksheets/sheet3.xml</t>
        </is>
      </c>
      <c r="G98" t="inlineStr">
        <is>
          <t>Why: styles.xml had mc:Ignorable="x14ac x16r2 xr" but missing xmlns decls (validator); web_repaired styles.xml adds these namespaces. Also 3 CF sqref singletons not canonical (C8, A133, B3).</t>
        </is>
      </c>
      <c r="H98" t="inlineStr">
        <is>
          <t>Stop-ship: no ns0 prefixes; no xlfn/xlpm/xludf tokens; tblDeviceConfig wiring preserved; CF sqref canonical; rels/tableParts preserved; Web outcome PENDING.</t>
        </is>
      </c>
    </row>
    <row r="100">
      <c r="A100" t="inlineStr">
        <is>
          <t>OFFICIAL DEPLOYMENTS SCHEMA NOTE</t>
        </is>
      </c>
    </row>
    <row r="101">
      <c r="A101" t="inlineStr">
        <is>
          <t>The official schema is the current column order on Deployments row 1 in this workbook.</t>
        </is>
      </c>
    </row>
    <row r="102">
      <c r="A102" t="inlineStr">
        <is>
          <t>When refactoring, update these together: Deployments headers, duplicate CF, DesignationChanged, DupDeployed, 00_CF_Dictionary, and 00_README.</t>
        </is>
      </c>
    </row>
  </sheetData>
  <mergeCells count="19">
    <mergeCell ref="A23:D23"/>
    <mergeCell ref="B14:D14"/>
    <mergeCell ref="A22:D22"/>
    <mergeCell ref="A20:D20"/>
    <mergeCell ref="B17:D17"/>
    <mergeCell ref="A29:D29"/>
    <mergeCell ref="A28:D28"/>
    <mergeCell ref="A13:D13"/>
    <mergeCell ref="A31:D31"/>
    <mergeCell ref="A30:D30"/>
    <mergeCell ref="A24:D24"/>
    <mergeCell ref="B15:D15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5">
    <tabColor theme="5" tint="0.5999938962981048"/>
    <outlinePr summaryBelow="1" summaryRight="1"/>
    <pageSetUpPr/>
  </sheetPr>
  <dimension ref="A1:Z3000"/>
  <sheetViews>
    <sheetView workbookViewId="0">
      <pane xSplit="3" ySplit="1" topLeftCell="D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6.28515625" customWidth="1" style="91" min="1" max="1"/>
    <col width="30" customWidth="1" style="91" min="2" max="2"/>
    <col width="28" customWidth="1" style="91" min="3" max="3"/>
    <col width="29.140625" customWidth="1" style="91" min="4" max="4"/>
    <col width="14" customWidth="1" style="91" min="5" max="5"/>
    <col width="12" customWidth="1" style="91" min="6" max="6"/>
    <col width="10" customWidth="1" style="91" min="7" max="7"/>
    <col width="14" customWidth="1" style="91" min="8" max="8"/>
    <col width="22" customWidth="1" style="91" min="9" max="9"/>
    <col width="34" customWidth="1" style="91" min="10" max="10"/>
    <col width="14" customWidth="1" style="91" min="11" max="11"/>
    <col width="16" customWidth="1" style="91" min="12" max="12"/>
    <col width="18" customWidth="1" style="91" min="13" max="14"/>
    <col hidden="1" width="10" customWidth="1" style="91" min="15" max="15"/>
    <col hidden="1" width="14" customWidth="1" style="91" min="16" max="16"/>
    <col hidden="1" width="18" customWidth="1" style="91" min="17" max="17"/>
    <col hidden="1" width="16" customWidth="1" style="91" min="18" max="18"/>
    <col hidden="1" width="13" customWidth="1" style="91" min="19" max="19"/>
  </cols>
  <sheetData>
    <row r="1" ht="30.75" customHeight="1" s="91">
      <c r="A1" s="90" t="inlineStr">
        <is>
          <t>PalletID</t>
        </is>
      </c>
      <c r="B1" s="90" t="inlineStr">
        <is>
          <t>HomeLocationCode</t>
        </is>
      </c>
      <c r="C1" s="90" t="inlineStr">
        <is>
          <t>CurrentLocationCode (AUTO)</t>
        </is>
      </c>
      <c r="D1" s="90" t="inlineStr">
        <is>
          <t>PalletStatus</t>
        </is>
      </c>
      <c r="E1" s="90" t="inlineStr">
        <is>
          <t>Compliance</t>
        </is>
      </c>
      <c r="F1" s="90" t="inlineStr">
        <is>
          <t>TTL_Days</t>
        </is>
      </c>
      <c r="G1" s="90" t="inlineStr">
        <is>
          <t>Expires (AUTO)</t>
        </is>
      </c>
      <c r="H1" s="90" t="inlineStr">
        <is>
          <t>ContentsSummary</t>
        </is>
      </c>
      <c r="I1" s="90" t="inlineStr">
        <is>
          <t>CreatedDate</t>
        </is>
      </c>
      <c r="J1" s="90" t="inlineStr">
        <is>
          <t>Notes</t>
        </is>
      </c>
      <c r="K1" s="90" t="inlineStr">
        <is>
          <t>CreatedBy</t>
        </is>
      </c>
      <c r="L1" s="90" t="inlineStr">
        <is>
          <t>LastMoveTS (AUTO)</t>
        </is>
      </c>
      <c r="M1" s="90" t="inlineStr">
        <is>
          <t>LastMovedBy (AUTO)</t>
        </is>
      </c>
      <c r="N1" s="90" t="inlineStr">
        <is>
          <t>QR_Payload_Pallet (deprecated)</t>
        </is>
      </c>
      <c r="O1" s="90" t="inlineStr">
        <is>
          <t>ReceiptDate (deprecated)</t>
        </is>
      </c>
      <c r="P1" s="90" t="inlineStr">
        <is>
          <t>Ref (deprecated)</t>
        </is>
      </c>
      <c r="Q1" s="90" t="inlineStr">
        <is>
          <t>Item (deprecated)</t>
        </is>
      </c>
      <c r="R1" s="90" t="inlineStr">
        <is>
          <t>QtyReceived (deprecated)</t>
        </is>
      </c>
      <c r="S1" s="90" t="inlineStr">
        <is>
          <t>Serials (deprecated)</t>
        </is>
      </c>
      <c r="T1" s="90" t="inlineStr">
        <is>
          <t>EnteredBy_RAW (deprecated)</t>
        </is>
      </c>
      <c r="U1" s="90" t="inlineStr">
        <is>
          <t>Legacy_RawInputs (deprecated)</t>
        </is>
      </c>
      <c r="V1" s="90" t="inlineStr">
        <is>
          <t>StockLines (AUTO)</t>
        </is>
      </c>
      <c r="W1" s="90" t="inlineStr">
        <is>
          <t>StockQtyTotal (AUTO)</t>
        </is>
      </c>
      <c r="X1" s="90" t="inlineStr">
        <is>
          <t>StockUniquePN (AUTO)</t>
        </is>
      </c>
      <c r="Y1" s="90" t="inlineStr">
        <is>
          <t>StockHasPN (AUTO)</t>
        </is>
      </c>
      <c r="Z1" s="90" t="inlineStr">
        <is>
          <t>PAL-0000001</t>
        </is>
      </c>
    </row>
    <row r="2" ht="45.75" customHeight="1" s="91">
      <c r="A2" s="4" t="inlineStr">
        <is>
          <t>OVERFLOW-RICH-CYBERNETS-CFAM-CCMC</t>
        </is>
      </c>
      <c r="B2" s="22" t="inlineStr">
        <is>
          <t>CHRIS_OVERFLOW_A_ZONE3</t>
        </is>
      </c>
      <c r="C2" t="inlineStr">
        <is>
          <t>ACTIVE</t>
        </is>
      </c>
      <c r="D2">
        <f>IF($C2="","",IFERROR(LOOKUP(2,1/('03_Warehouse_Movements'!$C$2:$C$500=$A2),'03_Warehouse_Movements'!$E$2:$E$500),$C2))</f>
        <v/>
      </c>
      <c r="E2" t="inlineStr">
        <is>
          <t>STANDARD</t>
        </is>
      </c>
      <c r="F2" t="inlineStr">
        <is>
          <t>CYBERNETS CFAM/CCMC QTY:15</t>
        </is>
      </c>
      <c r="G2" s="23" t="n">
        <v>7</v>
      </c>
      <c r="H2" s="3">
        <f>IF(AND($F2="TEMP",$G2&gt;0,$M2&lt;&gt;""),$M2+$G2,"")</f>
        <v/>
      </c>
      <c r="I2" s="3" t="inlineStr">
        <is>
          <t>NORTHWELL NUERON PROJECT</t>
        </is>
      </c>
      <c r="J2" s="4" t="inlineStr">
        <is>
          <t>Alejandro Perales</t>
        </is>
      </c>
      <c r="K2" s="3" t="n">
        <v>46053</v>
      </c>
      <c r="L2" s="4" t="inlineStr">
        <is>
          <t>B:WH-Z1-A01-AISLE-FLOOR-02 F:OVERFLOW-&lt;ClientLastName&gt;-PO&lt;PO&gt;-&lt;Category&gt;-&lt;Seq&gt; D:WH-Z1-A01-AISLE-FLOOR-02</t>
        </is>
      </c>
      <c r="M2" s="45">
        <f>IF($C2="","",IFERROR(LOOKUP(2,1/('03_Warehouse_Movements'!$C$2:$C$500=$A2),'03_Warehouse_Movements'!$A$2:$A$500),""))</f>
        <v/>
      </c>
      <c r="N2" s="4">
        <f>IF($C2="","",IFERROR(LOOKUP(2,1/('03_Warehouse_Movements'!$C$2:$C$500=$A2),'03_Warehouse_Movements'!$H$2:$H$500),""))</f>
        <v/>
      </c>
      <c r="O2" s="4">
        <f>A2</f>
        <v/>
      </c>
      <c r="P2" s="46" t="n">
        <v>46284</v>
      </c>
      <c r="Q2" s="47" t="n">
        <v>144180</v>
      </c>
      <c r="R2" s="24" t="n"/>
      <c r="V2" t="inlineStr">
        <is>
          <t>PAL-0000002</t>
        </is>
      </c>
      <c r="W2">
        <f>IF($A2="","",COUNTIF('07_Pallet_Contents'!$A$2:$A$3000,$A2))</f>
        <v/>
      </c>
      <c r="X2">
        <f>IF($A2="","",SUMIF('07_Pallet_Contents'!$A$2:$A$3000,$A2,'07_Pallet_Contents'!$D$2:$D$3000))</f>
        <v/>
      </c>
      <c r="Y2">
        <f>IF($A2="","",SUMIF('07_Pallet_Contents'!$A$2:$A$3000,$A2,'07_Pallet_Contents'!$I$2:$I$3000))</f>
        <v/>
      </c>
      <c r="Z2">
        <f>IF($A2="","",IF(COUNTIF('07_Pallet_Contents'!$A$2:$A$3000,$A2)&gt;0,"Yes",""))</f>
        <v/>
      </c>
    </row>
    <row r="3" ht="27.75" customHeight="1" s="91">
      <c r="A3" s="4" t="inlineStr">
        <is>
          <t>WH-STAGE-IN</t>
        </is>
      </c>
      <c r="B3" s="22" t="n"/>
      <c r="C3" t="inlineStr">
        <is>
          <t>STAGED</t>
        </is>
      </c>
      <c r="D3">
        <f>IF($C3="","",IFERROR(LOOKUP(2,1/('03_Warehouse_Movements'!$C$2:$C$500=$A3),'03_Warehouse_Movements'!$E$2:$E$500),$C3))</f>
        <v/>
      </c>
      <c r="E3" t="inlineStr">
        <is>
          <t>SAFE</t>
        </is>
      </c>
      <c r="F3" t="inlineStr">
        <is>
          <t>SAMPLE: Monitors 24-40</t>
        </is>
      </c>
      <c r="G3" s="23" t="n"/>
      <c r="H3" s="3">
        <f>IF(AND($F3="TEMP",$G3&gt;0,$M3&lt;&gt;""),$M3+$G3,"")</f>
        <v/>
      </c>
      <c r="I3" s="3" t="inlineStr">
        <is>
          <t>SAMPLE: replace with real notes / serials / constraints</t>
        </is>
      </c>
      <c r="J3" s="4" t="inlineStr">
        <is>
          <t>SAMPLE-TECH</t>
        </is>
      </c>
      <c r="K3" s="3" t="n">
        <v>46052</v>
      </c>
      <c r="L3" s="4" t="inlineStr">
        <is>
          <t>B:OVERFLOW-&lt;ClientLastName&gt;-PO&lt;PO&gt;-&lt;Category&gt;-&lt;Seq&gt;</t>
        </is>
      </c>
      <c r="M3" s="45">
        <f>IF($C3="","",IFERROR(LOOKUP(2,1/('03_Warehouse_Movements'!$C$2:$C$500=$A3),'03_Warehouse_Movements'!$A$2:$A$500),""))</f>
        <v/>
      </c>
      <c r="N3" s="4">
        <f>IF($C3="","",IFERROR(LOOKUP(2,1/('03_Warehouse_Movements'!$C$2:$C$500=$A3),'03_Warehouse_Movements'!$H$2:$H$500),""))</f>
        <v/>
      </c>
      <c r="O3" s="4">
        <f>A3</f>
        <v/>
      </c>
      <c r="Q3" s="25" t="n"/>
      <c r="R3" s="24" t="n"/>
      <c r="V3" t="inlineStr">
        <is>
          <t>PAL-0000003</t>
        </is>
      </c>
      <c r="W3">
        <f>IF($A2="","",COUNTIF('07_Pallet_Contents'!$A$2:$A$3000,$A2))</f>
        <v/>
      </c>
      <c r="X3">
        <f>IF($A2="","",SUMIF('07_Pallet_Contents'!$A$2:$A$3000,$A2,'07_Pallet_Contents'!$D$2:$D$3000))</f>
        <v/>
      </c>
      <c r="Y3">
        <f>IF($A2="","",SUMIF('07_Pallet_Contents'!$A$2:$A$3000,$A2,'07_Pallet_Contents'!$I$2:$I$3000))</f>
        <v/>
      </c>
      <c r="Z3">
        <f>IF($A2="","",IF(COUNTIF('07_Pallet_Contents'!$A$2:$A$3000,$A2)&gt;0,"Yes",""))</f>
        <v/>
      </c>
    </row>
    <row r="4" ht="30.75" customHeight="1" s="91">
      <c r="A4" s="4" t="inlineStr">
        <is>
          <t>OVERFLOW-CHRIS-UMAIR_TICKETS-</t>
        </is>
      </c>
      <c r="B4" s="4" t="inlineStr">
        <is>
          <t>CHRIS_OVERFLOW_A_ZONE1</t>
        </is>
      </c>
      <c r="C4" t="inlineStr">
        <is>
          <t>UNSAFE</t>
        </is>
      </c>
      <c r="D4">
        <f>IF($C4="","",IFERROR(LOOKUP(2,1/('03_Warehouse_Movements'!$C$2:$C$500=$A4),'03_Warehouse_Movements'!$E$2:$E$500),$C4))</f>
        <v/>
      </c>
      <c r="E4" t="inlineStr">
        <is>
          <t>STANDARD</t>
        </is>
      </c>
      <c r="F4" t="inlineStr">
        <is>
          <t>Monitors T24-40</t>
        </is>
      </c>
      <c r="G4" s="23" t="n"/>
      <c r="H4" s="3">
        <f>IF(AND($F4="TEMP",$G4&gt;0,$M4&lt;&gt;""),$M4+$G4,"")</f>
        <v/>
      </c>
      <c r="I4" s="3" t="inlineStr">
        <is>
          <t>24 Day Ticket</t>
        </is>
      </c>
      <c r="J4" s="4" t="inlineStr">
        <is>
          <t>B:OVERFLOW-CHRIS-UMAIR_TICKETS- D:CHRIS_OVERFLOW_A_ZONE1</t>
        </is>
      </c>
      <c r="K4" s="3" t="n">
        <v>46046</v>
      </c>
      <c r="L4" s="4" t="inlineStr">
        <is>
          <t>B:WH-Z1-A01-AISLE-FLOOR-02 F:OVERFLOW-&lt;ClientLastName&gt;-PO&lt;PO&gt;-&lt;Category&gt;-&lt;Seq&gt; D:WH-Z1-A01-AISLE-FLOOR-02</t>
        </is>
      </c>
      <c r="M4" s="45">
        <f>IF($C4="","",IFERROR(LOOKUP(2,1/('03_Warehouse_Movements'!$C$2:$C$500=$A4),'03_Warehouse_Movements'!$A$2:$A$500),""))</f>
        <v/>
      </c>
      <c r="N4" s="4">
        <f>IF($C4="","",IFERROR(LOOKUP(2,1/('03_Warehouse_Movements'!$C$2:$C$500=$A4),'03_Warehouse_Movements'!$H$2:$H$500),""))</f>
        <v/>
      </c>
      <c r="O4" s="26">
        <f>A4</f>
        <v/>
      </c>
      <c r="Q4" s="25" t="n"/>
      <c r="R4" s="24" t="n"/>
      <c r="U4" s="47" t="n">
        <v>46046</v>
      </c>
      <c r="V4" t="inlineStr">
        <is>
          <t>PAL-0000004</t>
        </is>
      </c>
      <c r="W4">
        <f>IF($A2="","",COUNTIF('07_Pallet_Contents'!$A$2:$A$3000,$A2))</f>
        <v/>
      </c>
      <c r="X4">
        <f>IF($A2="","",SUMIF('07_Pallet_Contents'!$A$2:$A$3000,$A2,'07_Pallet_Contents'!$D$2:$D$3000))</f>
        <v/>
      </c>
      <c r="Y4">
        <f>IF($A2="","",SUMIF('07_Pallet_Contents'!$A$2:$A$3000,$A2,'07_Pallet_Contents'!$I$2:$I$3000))</f>
        <v/>
      </c>
      <c r="Z4">
        <f>IF($A2="","",IF(COUNTIF('07_Pallet_Contents'!$A$2:$A$3000,$A2)&gt;0,"Yes",""))</f>
        <v/>
      </c>
    </row>
    <row r="5" ht="27.75" customHeight="1" s="91">
      <c r="A5" s="4" t="inlineStr">
        <is>
          <t>WH-Z1-AisleO-Bay10-Level1</t>
        </is>
      </c>
      <c r="B5" s="4" t="inlineStr">
        <is>
          <t>48x T24i-30</t>
        </is>
      </c>
      <c r="C5" t="inlineStr">
        <is>
          <t>48x T24i-30</t>
        </is>
      </c>
      <c r="D5">
        <f>IF($C5="","",IFERROR(LOOKUP(2,1/('03_Warehouse_Movements'!$C$2:$C$500=$A5),'03_Warehouse_Movements'!$E$2:$E$500),$C5))</f>
        <v/>
      </c>
      <c r="E5" t="inlineStr">
        <is>
          <t>STANDARD</t>
        </is>
      </c>
      <c r="F5" t="inlineStr">
        <is>
          <t>SAMPLE: Monitors 24-40</t>
        </is>
      </c>
      <c r="G5" s="23" t="n"/>
      <c r="H5" s="3">
        <f>IF(AND($F5="TEMP",$G5&gt;0,$M5&lt;&gt;""),$M5+$G5,"")</f>
        <v/>
      </c>
      <c r="I5" s="3" t="inlineStr">
        <is>
          <t>Geoff Gerber</t>
        </is>
      </c>
      <c r="J5" s="4" t="inlineStr">
        <is>
          <t>SAMPLE-TECH</t>
        </is>
      </c>
      <c r="K5" s="3" t="n">
        <v>46051</v>
      </c>
      <c r="L5" s="4" t="inlineStr">
        <is>
          <t>B:OVERFLOW-CHRIS- D:CHRIS_OVERFLOW_A_ZONE1</t>
        </is>
      </c>
      <c r="M5" s="45">
        <f>IF($C5="","",IFERROR(LOOKUP(2,1/('03_Warehouse_Movements'!$C$2:$C$500=$A5),'03_Warehouse_Movements'!$A$2:$A$500),""))</f>
        <v/>
      </c>
      <c r="N5" s="4">
        <f>IF($C5="","",IFERROR(LOOKUP(2,1/('03_Warehouse_Movements'!$C$2:$C$500=$A5),'03_Warehouse_Movements'!$H$2:$H$500),""))</f>
        <v/>
      </c>
      <c r="O5" s="26">
        <f>A5</f>
        <v/>
      </c>
      <c r="Q5" s="25" t="n"/>
      <c r="R5" s="24" t="n"/>
      <c r="U5" s="47" t="n">
        <v>46051</v>
      </c>
      <c r="V5" t="inlineStr">
        <is>
          <t>PAL-0000005</t>
        </is>
      </c>
      <c r="W5">
        <f>IF($A2="","",COUNTIF('07_Pallet_Contents'!$A$2:$A$3000,$A2))</f>
        <v/>
      </c>
      <c r="X5">
        <f>IF($A2="","",SUMIF('07_Pallet_Contents'!$A$2:$A$3000,$A2,'07_Pallet_Contents'!$D$2:$D$3000))</f>
        <v/>
      </c>
      <c r="Y5">
        <f>IF($A2="","",SUMIF('07_Pallet_Contents'!$A$2:$A$3000,$A2,'07_Pallet_Contents'!$I$2:$I$3000))</f>
        <v/>
      </c>
      <c r="Z5">
        <f>IF($A2="","",IF(COUNTIF('07_Pallet_Contents'!$A$2:$A$3000,$A2)&gt;0,"Yes",""))</f>
        <v/>
      </c>
    </row>
    <row r="6" ht="30.75" customHeight="1" s="91">
      <c r="A6" s="4" t="inlineStr">
        <is>
          <t>Northwell Capsule &amp; GCX</t>
        </is>
      </c>
      <c r="B6" s="4" t="inlineStr">
        <is>
          <t>WH-ZR-AisleM-Bay1-Level3</t>
        </is>
      </c>
      <c r="C6" t="inlineStr">
        <is>
          <t>capsule &amp; GCX</t>
        </is>
      </c>
      <c r="D6">
        <f>IF($C6="","",IFERROR(LOOKUP(2,1/('03_Warehouse_Movements'!$C$2:$C$500=$A6),'03_Warehouse_Movements'!$E$2:$E$500),$C6))</f>
        <v/>
      </c>
      <c r="E6" t="inlineStr">
        <is>
          <t>STANDARD</t>
        </is>
      </c>
      <c r="F6" t="inlineStr">
        <is>
          <t>SAMPLE: Monitors 24-40</t>
        </is>
      </c>
      <c r="G6" s="23" t="n"/>
      <c r="H6" s="3">
        <f>IF(AND($F6="TEMP",$G6&gt;0,$M6&lt;&gt;""),$M6+$G6,"")</f>
        <v/>
      </c>
      <c r="I6" s="3" t="inlineStr">
        <is>
          <t>crate looks broken, contents are tightly wrapped / unable to 100% verify actually contents of boxes</t>
        </is>
      </c>
      <c r="J6" s="4" t="inlineStr">
        <is>
          <t>Khadejah Harrison</t>
        </is>
      </c>
      <c r="K6" s="3" t="n">
        <v>46059</v>
      </c>
      <c r="L6" s="4" t="inlineStr">
        <is>
          <t>PAL-0000006</t>
        </is>
      </c>
      <c r="M6" s="45">
        <f>IF($C6="","",IFERROR(LOOKUP(2,1/('03_Warehouse_Movements'!$C$2:$C$500=$A6),'03_Warehouse_Movements'!$A$2:$A$500),""))</f>
        <v/>
      </c>
      <c r="N6" s="4">
        <f>IF($C6="","",IFERROR(LOOKUP(2,1/('03_Warehouse_Movements'!$C$2:$C$500=$A6),'03_Warehouse_Movements'!$H$2:$H$500),""))</f>
        <v/>
      </c>
      <c r="O6" s="4">
        <f>A6</f>
        <v/>
      </c>
      <c r="Q6" s="25" t="n"/>
      <c r="R6" s="24" t="n"/>
      <c r="W6">
        <f>IF($A2="","",COUNTIF('07_Pallet_Contents'!$A$2:$A$3000,$A2))</f>
        <v/>
      </c>
      <c r="X6">
        <f>IF($A2="","",SUMIF('07_Pallet_Contents'!$A$2:$A$3000,$A2,'07_Pallet_Contents'!$D$2:$D$3000))</f>
        <v/>
      </c>
      <c r="Y6">
        <f>IF($A2="","",SUMIF('07_Pallet_Contents'!$A$2:$A$3000,$A2,'07_Pallet_Contents'!$I$2:$I$3000))</f>
        <v/>
      </c>
      <c r="Z6">
        <f>IF($A2="","",IF(COUNTIF('07_Pallet_Contents'!$A$2:$A$3000,$A2)&gt;0,"Yes",""))</f>
        <v/>
      </c>
    </row>
    <row r="7" ht="30.75" customHeight="1" s="91">
      <c r="A7" s="4" t="inlineStr">
        <is>
          <t>WH-Z1-NOOverflow</t>
        </is>
      </c>
      <c r="B7" s="4" t="n"/>
      <c r="C7" t="inlineStr">
        <is>
          <t>19x T24 Thinkvision Monitor 63CFMAR1US</t>
        </is>
      </c>
      <c r="D7">
        <f>IF($C7="","",IFERROR(LOOKUP(2,1/('03_Warehouse_Movements'!$C$2:$C$500=$A7),'03_Warehouse_Movements'!$E$2:$E$500),$C7))</f>
        <v/>
      </c>
      <c r="E7" t="inlineStr">
        <is>
          <t>SAFE</t>
        </is>
      </c>
      <c r="F7" t="inlineStr">
        <is>
          <t>SAMPLE: Monitors 24-40</t>
        </is>
      </c>
      <c r="G7" s="23" t="n"/>
      <c r="H7" s="3">
        <f>IF(AND($F7="TEMP",$G7&gt;0,$M7&lt;&gt;""),$M7+$G7,"")</f>
        <v/>
      </c>
      <c r="I7" s="4" t="inlineStr">
        <is>
          <t>PAL-0000007</t>
        </is>
      </c>
      <c r="K7" s="3" t="n">
        <v>46052</v>
      </c>
      <c r="L7" s="4" t="inlineStr">
        <is>
          <t>B:OVERFLOW-CHRIS- D:CHRIS_OVERFLOW_A_ZONE1</t>
        </is>
      </c>
      <c r="M7" s="45">
        <f>IF($C7="","",IFERROR(LOOKUP(2,1/('03_Warehouse_Movements'!$C$2:$C$500=$A7),'03_Warehouse_Movements'!$A$2:$A$500),""))</f>
        <v/>
      </c>
      <c r="N7" s="4">
        <f>IF($C7="","",IFERROR(LOOKUP(2,1/('03_Warehouse_Movements'!$C$2:$C$500=$A7),'03_Warehouse_Movements'!$H$2:$H$500),""))</f>
        <v/>
      </c>
      <c r="O7" s="4">
        <f>A7</f>
        <v/>
      </c>
      <c r="Q7" s="25" t="n"/>
      <c r="R7" s="24" t="n"/>
      <c r="W7">
        <f>IF($A2="","",COUNTIF('07_Pallet_Contents'!$A$2:$A$3000,$A2))</f>
        <v/>
      </c>
      <c r="X7">
        <f>IF($A2="","",SUMIF('07_Pallet_Contents'!$A$2:$A$3000,$A2,'07_Pallet_Contents'!$D$2:$D$3000))</f>
        <v/>
      </c>
      <c r="Y7">
        <f>IF($A2="","",SUMIF('07_Pallet_Contents'!$A$2:$A$3000,$A2,'07_Pallet_Contents'!$I$2:$I$3000))</f>
        <v/>
      </c>
      <c r="Z7">
        <f>IF($A2="","",IF(COUNTIF('07_Pallet_Contents'!$A$2:$A$3000,$A2)&gt;0,"Yes",""))</f>
        <v/>
      </c>
    </row>
    <row r="8" ht="27.75" customHeight="1" s="91">
      <c r="A8" s="4" t="inlineStr">
        <is>
          <t>WH-Z1-AisleO-Bay7-Level1</t>
        </is>
      </c>
      <c r="B8" s="4" t="n"/>
      <c r="C8" t="inlineStr">
        <is>
          <t>TEMP</t>
        </is>
      </c>
      <c r="D8">
        <f>IF($C8="","",IFERROR(LOOKUP(2,1/('03_Warehouse_Movements'!$C$2:$C$500=$A8),'03_Warehouse_Movements'!$E$2:$E$500),$C8))</f>
        <v/>
      </c>
      <c r="E8" t="inlineStr">
        <is>
          <t>SAFE</t>
        </is>
      </c>
      <c r="F8" t="inlineStr">
        <is>
          <t>PAL-0000008</t>
        </is>
      </c>
      <c r="G8" s="23" t="n">
        <v>14</v>
      </c>
      <c r="H8" s="3">
        <f>IF(AND($F8="TEMP",$G8&gt;0,$M8&lt;&gt;""),$M8+$G8,"")</f>
        <v/>
      </c>
      <c r="I8" s="3" t="inlineStr">
        <is>
          <t>Geoff Gerber</t>
        </is>
      </c>
      <c r="J8" s="4" t="inlineStr">
        <is>
          <t>SAMPLE-TECH</t>
        </is>
      </c>
      <c r="K8" s="3" t="n">
        <v>46052</v>
      </c>
      <c r="L8" s="4" t="inlineStr">
        <is>
          <t>B:OVERFLOW-CHRIS- D:CHRIS_OVERFLOW_A_ZONE1</t>
        </is>
      </c>
      <c r="M8" s="45">
        <f>IF($C8="","",IFERROR(LOOKUP(2,1/('03_Warehouse_Movements'!$C$2:$C$500=$A8),'03_Warehouse_Movements'!$A$2:$A$500),""))</f>
        <v/>
      </c>
      <c r="N8" s="4">
        <f>IF($C8="","",IFERROR(LOOKUP(2,1/('03_Warehouse_Movements'!$C$2:$C$500=$A8),'03_Warehouse_Movements'!$H$2:$H$500),""))</f>
        <v/>
      </c>
      <c r="O8" s="4">
        <f>A8</f>
        <v/>
      </c>
      <c r="Q8" s="25" t="n"/>
      <c r="R8" s="24" t="n"/>
      <c r="W8">
        <f>IF($A2="","",COUNTIF('07_Pallet_Contents'!$A$2:$A$3000,$A2))</f>
        <v/>
      </c>
      <c r="X8">
        <f>IF($A2="","",SUMIF('07_Pallet_Contents'!$A$2:$A$3000,$A2,'07_Pallet_Contents'!$D$2:$D$3000))</f>
        <v/>
      </c>
      <c r="Y8">
        <f>IF($A2="","",SUMIF('07_Pallet_Contents'!$A$2:$A$3000,$A2,'07_Pallet_Contents'!$I$2:$I$3000))</f>
        <v/>
      </c>
      <c r="Z8">
        <f>IF($A2="","",IF(COUNTIF('07_Pallet_Contents'!$A$2:$A$3000,$A2)&gt;0,"Yes",""))</f>
        <v/>
      </c>
    </row>
    <row r="9" ht="27.75" customHeight="1" s="91">
      <c r="A9" s="4" t="inlineStr">
        <is>
          <t>OVERFLOW-SAMPLE-PO1007-CAT3-PAL008</t>
        </is>
      </c>
      <c r="B9" s="4" t="inlineStr">
        <is>
          <t>WH-Z1-AisleA-Bay1-Level5</t>
        </is>
      </c>
      <c r="C9" t="inlineStr">
        <is>
          <t>SAMPLE: Power Supplies</t>
        </is>
      </c>
      <c r="D9">
        <f>IF($C9="","",IFERROR(LOOKUP(2,1/('03_Warehouse_Movements'!$C$2:$C$500=$A9),'03_Warehouse_Movements'!$E$2:$E$500),$C9))</f>
        <v/>
      </c>
      <c r="E9" t="inlineStr">
        <is>
          <t>STANDARD</t>
        </is>
      </c>
      <c r="F9" t="inlineStr">
        <is>
          <t>SAMPLE: Monitors 24-40</t>
        </is>
      </c>
      <c r="G9" s="23" t="n"/>
      <c r="H9" s="3">
        <f>IF(AND($F9="TEMP",$G9&gt;0,$M9&lt;&gt;""),$M9+$G9,"")</f>
        <v/>
      </c>
      <c r="I9" s="3" t="inlineStr">
        <is>
          <t>PAL-0000009</t>
        </is>
      </c>
      <c r="J9" s="4" t="inlineStr">
        <is>
          <t>SAMPLE-TECH</t>
        </is>
      </c>
      <c r="K9" s="3" t="n">
        <v>46052</v>
      </c>
      <c r="L9" s="4" t="inlineStr">
        <is>
          <t>B:OVERFLOW-&lt;ClientLastName&gt;-PO&lt;PO&gt;-&lt;Category&gt;-&lt;Seq&gt;</t>
        </is>
      </c>
      <c r="M9" s="45">
        <f>IF($C9="","",IFERROR(LOOKUP(2,1/('03_Warehouse_Movements'!$C$2:$C$500=$A9),'03_Warehouse_Movements'!$A$2:$A$500),""))</f>
        <v/>
      </c>
      <c r="N9" s="4">
        <f>IF($C9="","",IFERROR(LOOKUP(2,1/('03_Warehouse_Movements'!$C$2:$C$500=$A9),'03_Warehouse_Movements'!$H$2:$H$500),""))</f>
        <v/>
      </c>
      <c r="O9" s="4">
        <f>A9</f>
        <v/>
      </c>
      <c r="Q9" s="25" t="n"/>
      <c r="R9" s="24" t="n"/>
      <c r="W9">
        <f>IF($A2="","",COUNTIF('07_Pallet_Contents'!$A$2:$A$3000,$A2))</f>
        <v/>
      </c>
      <c r="X9">
        <f>IF($A2="","",SUMIF('07_Pallet_Contents'!$A$2:$A$3000,$A2,'07_Pallet_Contents'!$D$2:$D$3000))</f>
        <v/>
      </c>
      <c r="Y9">
        <f>IF($A2="","",SUMIF('07_Pallet_Contents'!$A$2:$A$3000,$A2,'07_Pallet_Contents'!$I$2:$I$3000))</f>
        <v/>
      </c>
      <c r="Z9">
        <f>IF($A2="","",IF(COUNTIF('07_Pallet_Contents'!$A$2:$A$3000,$A2)&gt;0,"Yes",""))</f>
        <v/>
      </c>
    </row>
    <row r="10" ht="27.75" customHeight="1" s="91">
      <c r="A10" s="4" t="inlineStr">
        <is>
          <t>WH-Z1-AisleA-Bay1-Level6</t>
        </is>
      </c>
      <c r="B10" s="4" t="n"/>
      <c r="C10" t="inlineStr">
        <is>
          <t>SAMPLE: Imaging Equipment</t>
        </is>
      </c>
      <c r="D10">
        <f>IF($C10="","",IFERROR(LOOKUP(2,1/('03_Warehouse_Movements'!$C$2:$C$500=$A10),'03_Warehouse_Movements'!$E$2:$E$500),$C10))</f>
        <v/>
      </c>
      <c r="E10" t="inlineStr">
        <is>
          <t>STANDARD</t>
        </is>
      </c>
      <c r="F10" t="inlineStr">
        <is>
          <t>SAMPLE: Monitors 24-40</t>
        </is>
      </c>
      <c r="G10" s="23" t="n"/>
      <c r="H10" s="3">
        <f>IF(AND($F10="TEMP",$G10&gt;0,$M10&lt;&gt;""),$M10+$G10,"")</f>
        <v/>
      </c>
      <c r="I10" s="3" t="inlineStr">
        <is>
          <t>PAL-0000010</t>
        </is>
      </c>
      <c r="J10" s="4" t="inlineStr">
        <is>
          <t>SAMPLE-TECH</t>
        </is>
      </c>
      <c r="K10" s="3" t="n">
        <v>46052</v>
      </c>
      <c r="L10" s="4" t="inlineStr">
        <is>
          <t>B:OVERFLOW-&lt;ClientLastName&gt;-PO&lt;PO&gt;-&lt;Category&gt;-&lt;Seq&gt;</t>
        </is>
      </c>
      <c r="M10" s="45">
        <f>IF($C10="","",IFERROR(LOOKUP(2,1/('03_Warehouse_Movements'!$C$2:$C$500=$A10),'03_Warehouse_Movements'!$A$2:$A$500),""))</f>
        <v/>
      </c>
      <c r="N10" s="4">
        <f>IF($C10="","",IFERROR(LOOKUP(2,1/('03_Warehouse_Movements'!$C$2:$C$500=$A10),'03_Warehouse_Movements'!$H$2:$H$500),""))</f>
        <v/>
      </c>
      <c r="O10" s="4">
        <f>A10</f>
        <v/>
      </c>
      <c r="Q10" s="25" t="n"/>
      <c r="R10" s="24" t="n"/>
      <c r="W10">
        <f>IF($A2="","",COUNTIF('07_Pallet_Contents'!$A$2:$A$3000,$A2))</f>
        <v/>
      </c>
      <c r="X10">
        <f>IF($A2="","",SUMIF('07_Pallet_Contents'!$A$2:$A$3000,$A2,'07_Pallet_Contents'!$D$2:$D$3000))</f>
        <v/>
      </c>
      <c r="Y10">
        <f>IF($A2="","",SUMIF('07_Pallet_Contents'!$A$2:$A$3000,$A2,'07_Pallet_Contents'!$I$2:$I$3000))</f>
        <v/>
      </c>
      <c r="Z10">
        <f>IF($A2="","",IF(COUNTIF('07_Pallet_Contents'!$A$2:$A$3000,$A2)&gt;0,"Yes",""))</f>
        <v/>
      </c>
    </row>
    <row r="11" ht="27.75" customHeight="1" s="91">
      <c r="A11" s="4" t="inlineStr">
        <is>
          <t>WH-Z1-AisleA-Bay1-Level7</t>
        </is>
      </c>
      <c r="B11" s="4" t="n"/>
      <c r="C11" t="inlineStr">
        <is>
          <t>SAMPLE: Misc Hardware</t>
        </is>
      </c>
      <c r="D11">
        <f>IF($C11="","",IFERROR(LOOKUP(2,1/('03_Warehouse_Movements'!$C$2:$C$500=$A11),'03_Warehouse_Movements'!$E$2:$E$500),$C11))</f>
        <v/>
      </c>
      <c r="E11" t="inlineStr">
        <is>
          <t>STANDARD</t>
        </is>
      </c>
      <c r="F11" t="inlineStr">
        <is>
          <t>SAMPLE: Monitors 24-40</t>
        </is>
      </c>
      <c r="G11" s="23" t="n"/>
      <c r="H11" s="3">
        <f>IF(AND($F11="TEMP",$G11&gt;0,$M11&lt;&gt;""),$M11+$G11,"")</f>
        <v/>
      </c>
      <c r="I11" s="3" t="inlineStr">
        <is>
          <t>B</t>
        </is>
      </c>
      <c r="J11" s="4" t="inlineStr">
        <is>
          <t>SAMPLE-TECH</t>
        </is>
      </c>
      <c r="K11" s="3" t="n">
        <v>46052</v>
      </c>
      <c r="L11" s="4" t="inlineStr">
        <is>
          <t>B:OVERFLOW-&lt;ClientLastName&gt;-PO&lt;PO&gt;-&lt;Category&gt;-&lt;Seq&gt;</t>
        </is>
      </c>
      <c r="M11" s="45">
        <f>IF($C11="","",IFERROR(LOOKUP(2,1/('03_Warehouse_Movements'!$C$2:$C$500=$A11),'03_Warehouse_Movements'!$A$2:$A$500),""))</f>
        <v/>
      </c>
      <c r="N11" s="4">
        <f>IF($C11="","",IFERROR(LOOKUP(2,1/('03_Warehouse_Movements'!$C$2:$C$500=$A11),'03_Warehouse_Movements'!$H$2:$H$500),""))</f>
        <v/>
      </c>
      <c r="O11" s="4">
        <f>A11</f>
        <v/>
      </c>
      <c r="Q11" s="25" t="inlineStr">
        <is>
          <t>PAL-0000011</t>
        </is>
      </c>
      <c r="R11" s="24" t="n"/>
      <c r="W11">
        <f>IF($A2="","",COUNTIF('07_Pallet_Contents'!$A$2:$A$3000,$A2))</f>
        <v/>
      </c>
      <c r="X11">
        <f>IF($A2="","",SUMIF('07_Pallet_Contents'!$A$2:$A$3000,$A2,'07_Pallet_Contents'!$D$2:$D$3000))</f>
        <v/>
      </c>
      <c r="Y11">
        <f>IF($A2="","",SUMIF('07_Pallet_Contents'!$A$2:$A$3000,$A2,'07_Pallet_Contents'!$I$2:$I$3000))</f>
        <v/>
      </c>
      <c r="Z11">
        <f>IF($A2="","",IF(COUNTIF('07_Pallet_Contents'!$A$2:$A$3000,$A2)&gt;0,"Yes",""))</f>
        <v/>
      </c>
    </row>
    <row r="12" ht="27.75" customHeight="1" s="91">
      <c r="A12" s="4" t="inlineStr">
        <is>
          <t>WH-Z1-AisleA-Bay1-Level8</t>
        </is>
      </c>
      <c r="B12" s="4" t="n"/>
      <c r="C12" t="inlineStr">
        <is>
          <t>SAMPLE: Dell Devices</t>
        </is>
      </c>
      <c r="D12">
        <f>IF($C12="","",IFERROR(LOOKUP(2,1/('03_Warehouse_Movements'!$C$2:$C$500=$A12),'03_Warehouse_Movements'!$E$2:$E$500),$C12))</f>
        <v/>
      </c>
      <c r="E12" t="inlineStr">
        <is>
          <t>STANDARD</t>
        </is>
      </c>
      <c r="F12" t="inlineStr">
        <is>
          <t>SAMPLE: Monitors 24-40</t>
        </is>
      </c>
      <c r="G12" s="23" t="n"/>
      <c r="H12" s="3">
        <f>IF(AND($F12="TEMP",$G12&gt;0,$M12&lt;&gt;""),$M12+$G12,"")</f>
        <v/>
      </c>
      <c r="I12" s="3" t="inlineStr">
        <is>
          <t>PAL-0000012</t>
        </is>
      </c>
      <c r="J12" s="4" t="inlineStr">
        <is>
          <t>SAMPLE-TECH</t>
        </is>
      </c>
      <c r="K12" s="3" t="n">
        <v>46052</v>
      </c>
      <c r="L12" s="4" t="inlineStr">
        <is>
          <t>B:OVERFLOW-&lt;ClientLastName&gt;-PO&lt;PO&gt;-&lt;Category&gt;-&lt;Seq&gt;</t>
        </is>
      </c>
      <c r="M12" s="45">
        <f>IF($C12="","",IFERROR(LOOKUP(2,1/('03_Warehouse_Movements'!$C$2:$C$500=$A12),'03_Warehouse_Movements'!$A$2:$A$500),""))</f>
        <v/>
      </c>
      <c r="N12" s="4">
        <f>IF($C12="","",IFERROR(LOOKUP(2,1/('03_Warehouse_Movements'!$C$2:$C$500=$A12),'03_Warehouse_Movements'!$H$2:$H$500),""))</f>
        <v/>
      </c>
      <c r="O12" s="4">
        <f>A12</f>
        <v/>
      </c>
      <c r="Q12" s="25" t="n"/>
      <c r="R12" s="24" t="n"/>
      <c r="W12">
        <f>IF($A2="","",COUNTIF('07_Pallet_Contents'!$A$2:$A$3000,$A2))</f>
        <v/>
      </c>
      <c r="X12">
        <f>IF($A2="","",SUMIF('07_Pallet_Contents'!$A$2:$A$3000,$A2,'07_Pallet_Contents'!$D$2:$D$3000))</f>
        <v/>
      </c>
      <c r="Y12">
        <f>IF($A2="","",SUMIF('07_Pallet_Contents'!$A$2:$A$3000,$A2,'07_Pallet_Contents'!$I$2:$I$3000))</f>
        <v/>
      </c>
      <c r="Z12">
        <f>IF($A2="","",IF(COUNTIF('07_Pallet_Contents'!$A$2:$A$3000,$A2)&gt;0,"Yes",""))</f>
        <v/>
      </c>
    </row>
    <row r="13" ht="27.75" customHeight="1" s="91">
      <c r="A13" s="4" t="inlineStr">
        <is>
          <t>WH-Z1-AisleA-Bay1-Level9</t>
        </is>
      </c>
      <c r="B13" s="4" t="n"/>
      <c r="C13" t="inlineStr">
        <is>
          <t>PAL-0000013</t>
        </is>
      </c>
      <c r="D13">
        <f>IF($C13="","",IFERROR(LOOKUP(2,1/('03_Warehouse_Movements'!$C$2:$C$500=$A13),'03_Warehouse_Movements'!$E$2:$E$500),$C13))</f>
        <v/>
      </c>
      <c r="E13" t="inlineStr">
        <is>
          <t>STANDARD</t>
        </is>
      </c>
      <c r="F13" t="inlineStr">
        <is>
          <t>SAMPLE: Monitors 24-40</t>
        </is>
      </c>
      <c r="G13" s="23" t="n"/>
      <c r="H13" s="3">
        <f>IF(AND($F13="TEMP",$G13&gt;0,$M13&lt;&gt;""),$M13+$G13,"")</f>
        <v/>
      </c>
      <c r="I13" s="3" t="inlineStr">
        <is>
          <t>SAMPLE: replace with real notes / serials / constraints</t>
        </is>
      </c>
      <c r="J13" s="4" t="inlineStr">
        <is>
          <t>SAMPLE-TECH</t>
        </is>
      </c>
      <c r="K13" s="3" t="n">
        <v>46052</v>
      </c>
      <c r="L13" s="4" t="inlineStr">
        <is>
          <t>B:OVERFLOW-&lt;ClientLastName&gt;-PO&lt;PO&gt;-&lt;Category&gt;-&lt;Seq&gt;</t>
        </is>
      </c>
      <c r="M13" s="45">
        <f>IF($C13="","",IFERROR(LOOKUP(2,1/('03_Warehouse_Movements'!$C$2:$C$500=$A13),'03_Warehouse_Movements'!$A$2:$A$500),""))</f>
        <v/>
      </c>
      <c r="N13" s="4">
        <f>IF($C13="","",IFERROR(LOOKUP(2,1/('03_Warehouse_Movements'!$C$2:$C$500=$A13),'03_Warehouse_Movements'!$H$2:$H$500),""))</f>
        <v/>
      </c>
      <c r="O13" s="4">
        <f>A13</f>
        <v/>
      </c>
      <c r="Q13" s="25" t="n"/>
      <c r="R13" s="24" t="n"/>
      <c r="W13">
        <f>IF($A2="","",COUNTIF('07_Pallet_Contents'!$A$2:$A$3000,$A2))</f>
        <v/>
      </c>
      <c r="X13">
        <f>IF($A2="","",SUMIF('07_Pallet_Contents'!$A$2:$A$3000,$A2,'07_Pallet_Contents'!$D$2:$D$3000))</f>
        <v/>
      </c>
      <c r="Y13">
        <f>IF($A2="","",SUMIF('07_Pallet_Contents'!$A$2:$A$3000,$A2,'07_Pallet_Contents'!$I$2:$I$3000))</f>
        <v/>
      </c>
      <c r="Z13">
        <f>IF($A2="","",IF(COUNTIF('07_Pallet_Contents'!$A$2:$A$3000,$A2)&gt;0,"Yes",""))</f>
        <v/>
      </c>
    </row>
    <row r="14" ht="27.75" customHeight="1" s="91">
      <c r="A14" s="4" t="inlineStr">
        <is>
          <t>WH-Z1-AisleA-Bay1-Level10</t>
        </is>
      </c>
      <c r="B14" s="4" t="n"/>
      <c r="C14" t="inlineStr">
        <is>
          <t>SAMPLE: Cables &amp; Adapters</t>
        </is>
      </c>
      <c r="D14">
        <f>IF($C14="","",IFERROR(LOOKUP(2,1/('03_Warehouse_Movements'!$C$2:$C$500=$A14),'03_Warehouse_Movements'!$E$2:$E$500),$C14))</f>
        <v/>
      </c>
      <c r="E14" t="inlineStr">
        <is>
          <t>STANDARD</t>
        </is>
      </c>
      <c r="F14" t="inlineStr">
        <is>
          <t>PAL-0000008</t>
        </is>
      </c>
      <c r="G14" s="23" t="n">
        <v>14</v>
      </c>
      <c r="H14" s="3">
        <f>IF(AND($F14="TEMP",$G14&gt;0,$M14&lt;&gt;""),$M14+$G14,"")</f>
        <v/>
      </c>
      <c r="I14" s="3" t="inlineStr">
        <is>
          <t>PAL-0000014</t>
        </is>
      </c>
      <c r="J14" s="4" t="inlineStr">
        <is>
          <t>SAMPLE-TECH</t>
        </is>
      </c>
      <c r="K14" s="3" t="n">
        <v>46052</v>
      </c>
      <c r="L14" s="4" t="inlineStr">
        <is>
          <t>B:OVERFLOW-&lt;ClientLastName&gt;-PO&lt;PO&gt;-&lt;Category&gt;-&lt;Seq&gt;</t>
        </is>
      </c>
      <c r="M14" s="45">
        <f>IF($C14="","",IFERROR(LOOKUP(2,1/('03_Warehouse_Movements'!$C$2:$C$500=$A14),'03_Warehouse_Movements'!$A$2:$A$500),""))</f>
        <v/>
      </c>
      <c r="N14" s="4">
        <f>IF($C14="","",IFERROR(LOOKUP(2,1/('03_Warehouse_Movements'!$C$2:$C$500=$A14),'03_Warehouse_Movements'!$H$2:$H$500),""))</f>
        <v/>
      </c>
      <c r="O14" s="4">
        <f>A14</f>
        <v/>
      </c>
      <c r="Q14" s="25" t="n"/>
      <c r="R14" s="24" t="n"/>
      <c r="W14">
        <f>IF($A2="","",COUNTIF('07_Pallet_Contents'!$A$2:$A$3000,$A2))</f>
        <v/>
      </c>
      <c r="X14">
        <f>IF($A2="","",SUMIF('07_Pallet_Contents'!$A$2:$A$3000,$A2,'07_Pallet_Contents'!$D$2:$D$3000))</f>
        <v/>
      </c>
      <c r="Y14">
        <f>IF($A2="","",SUMIF('07_Pallet_Contents'!$A$2:$A$3000,$A2,'07_Pallet_Contents'!$I$2:$I$3000))</f>
        <v/>
      </c>
      <c r="Z14">
        <f>IF($A2="","",IF(COUNTIF('07_Pallet_Contents'!$A$2:$A$3000,$A2)&gt;0,"Yes",""))</f>
        <v/>
      </c>
    </row>
    <row r="15" ht="27.75" customHeight="1" s="91">
      <c r="A15" s="4" t="inlineStr">
        <is>
          <t>WH-Z1-AisleA-Bay1-Level11</t>
        </is>
      </c>
      <c r="B15" s="4" t="n"/>
      <c r="C15" t="inlineStr">
        <is>
          <t>SAMPLE: Racks &amp; Rails</t>
        </is>
      </c>
      <c r="D15">
        <f>IF($C15="","",IFERROR(LOOKUP(2,1/('03_Warehouse_Movements'!$C$2:$C$500=$A15),'03_Warehouse_Movements'!$E$2:$E$500),$C15))</f>
        <v/>
      </c>
      <c r="E15" t="inlineStr">
        <is>
          <t>STANDARD</t>
        </is>
      </c>
      <c r="F15" t="inlineStr">
        <is>
          <t>SAMPLE: Monitors 24-40</t>
        </is>
      </c>
      <c r="G15" s="23" t="n"/>
      <c r="H15" s="3">
        <f>IF(AND($F15="TEMP",$G15&gt;0,$M15&lt;&gt;""),$M15+$G15,"")</f>
        <v/>
      </c>
      <c r="I15" s="3" t="inlineStr">
        <is>
          <t>PAL-0000015</t>
        </is>
      </c>
      <c r="J15" s="4" t="inlineStr">
        <is>
          <t>SAMPLE-TECH</t>
        </is>
      </c>
      <c r="K15" s="3" t="n">
        <v>46052</v>
      </c>
      <c r="L15" s="4" t="inlineStr">
        <is>
          <t>B:OVERFLOW-&lt;ClientLastName&gt;-PO&lt;PO&gt;-&lt;Category&gt;-&lt;Seq&gt;</t>
        </is>
      </c>
      <c r="M15" s="45">
        <f>IF($C15="","",IFERROR(LOOKUP(2,1/('03_Warehouse_Movements'!$C$2:$C$500=$A15),'03_Warehouse_Movements'!$A$2:$A$500),""))</f>
        <v/>
      </c>
      <c r="N15" s="4">
        <f>IF($C15="","",IFERROR(LOOKUP(2,1/('03_Warehouse_Movements'!$C$2:$C$500=$A15),'03_Warehouse_Movements'!$H$2:$H$500),""))</f>
        <v/>
      </c>
      <c r="O15" s="4">
        <f>A15</f>
        <v/>
      </c>
      <c r="Q15" s="25" t="n"/>
      <c r="R15" s="24" t="n"/>
      <c r="W15">
        <f>IF($A2="","",COUNTIF('07_Pallet_Contents'!$A$2:$A$3000,$A2))</f>
        <v/>
      </c>
      <c r="X15">
        <f>IF($A2="","",SUMIF('07_Pallet_Contents'!$A$2:$A$3000,$A2,'07_Pallet_Contents'!$D$2:$D$3000))</f>
        <v/>
      </c>
      <c r="Y15">
        <f>IF($A2="","",SUMIF('07_Pallet_Contents'!$A$2:$A$3000,$A2,'07_Pallet_Contents'!$I$2:$I$3000))</f>
        <v/>
      </c>
      <c r="Z15">
        <f>IF($A2="","",IF(COUNTIF('07_Pallet_Contents'!$A$2:$A$3000,$A2)&gt;0,"Yes",""))</f>
        <v/>
      </c>
    </row>
    <row r="16" ht="27.75" customHeight="1" s="91">
      <c r="A16" s="4" t="inlineStr">
        <is>
          <t>OVERFLOW-SAMPLE-PO1014-CAT5-PAL015</t>
        </is>
      </c>
      <c r="B16" s="4" t="inlineStr">
        <is>
          <t>WH-Z1-AisleA-Bay1-Level12</t>
        </is>
      </c>
      <c r="C16" t="inlineStr">
        <is>
          <t>SAMPLE: Networking Gear</t>
        </is>
      </c>
      <c r="D16">
        <f>IF($C16="","",IFERROR(LOOKUP(2,1/('03_Warehouse_Movements'!$C$2:$C$500=$A16),'03_Warehouse_Movements'!$E$2:$E$500),$C16))</f>
        <v/>
      </c>
      <c r="E16" t="inlineStr">
        <is>
          <t>STANDARD</t>
        </is>
      </c>
      <c r="F16" t="inlineStr">
        <is>
          <t>SAMPLE: Monitors 24-40</t>
        </is>
      </c>
      <c r="G16" s="23" t="n"/>
      <c r="H16" s="3">
        <f>IF(AND($F16="TEMP",$G16&gt;0,$M16&lt;&gt;""),$M16+$G16,"")</f>
        <v/>
      </c>
      <c r="I16" s="3" t="inlineStr">
        <is>
          <t>PAL-0000016</t>
        </is>
      </c>
      <c r="J16" s="4" t="inlineStr">
        <is>
          <t>SAMPLE-TECH</t>
        </is>
      </c>
      <c r="K16" s="3" t="n">
        <v>46052</v>
      </c>
      <c r="L16" s="4" t="inlineStr">
        <is>
          <t>B:OVERFLOW-&lt;ClientLastName&gt;-PO&lt;PO&gt;-&lt;Category&gt;-&lt;Seq&gt;</t>
        </is>
      </c>
      <c r="M16" s="45">
        <f>IF($C16="","",IFERROR(LOOKUP(2,1/('03_Warehouse_Movements'!$C$2:$C$500=$A16),'03_Warehouse_Movements'!$A$2:$A$500),""))</f>
        <v/>
      </c>
      <c r="N16" s="4">
        <f>IF($C16="","",IFERROR(LOOKUP(2,1/('03_Warehouse_Movements'!$C$2:$C$500=$A16),'03_Warehouse_Movements'!$H$2:$H$500),""))</f>
        <v/>
      </c>
      <c r="O16" s="4">
        <f>A16</f>
        <v/>
      </c>
      <c r="Q16" s="25" t="n"/>
      <c r="R16" s="24" t="n"/>
      <c r="W16">
        <f>IF($A2="","",COUNTIF('07_Pallet_Contents'!$A$2:$A$3000,$A2))</f>
        <v/>
      </c>
      <c r="X16">
        <f>IF($A2="","",SUMIF('07_Pallet_Contents'!$A$2:$A$3000,$A2,'07_Pallet_Contents'!$D$2:$D$3000))</f>
        <v/>
      </c>
      <c r="Y16">
        <f>IF($A2="","",SUMIF('07_Pallet_Contents'!$A$2:$A$3000,$A2,'07_Pallet_Contents'!$I$2:$I$3000))</f>
        <v/>
      </c>
      <c r="Z16">
        <f>IF($A2="","",IF(COUNTIF('07_Pallet_Contents'!$A$2:$A$3000,$A2)&gt;0,"Yes",""))</f>
        <v/>
      </c>
    </row>
    <row r="17" ht="27.75" customHeight="1" s="91">
      <c r="A17" s="4" t="inlineStr">
        <is>
          <t>WH-Z1-AisleA-Bay1-Level13</t>
        </is>
      </c>
      <c r="B17" s="4" t="n"/>
      <c r="C17" t="inlineStr">
        <is>
          <t>SAMPLE: Keyboards &amp; Mice</t>
        </is>
      </c>
      <c r="D17">
        <f>IF($C17="","",IFERROR(LOOKUP(2,1/('03_Warehouse_Movements'!$C$2:$C$500=$A17),'03_Warehouse_Movements'!$E$2:$E$500),$C17))</f>
        <v/>
      </c>
      <c r="E17" t="inlineStr">
        <is>
          <t>STANDARD</t>
        </is>
      </c>
      <c r="F17" t="inlineStr">
        <is>
          <t>SAMPLE: Monitors 24-40</t>
        </is>
      </c>
      <c r="G17" s="23" t="n"/>
      <c r="H17" s="3">
        <f>IF(AND($F17="TEMP",$G17&gt;0,$M17&lt;&gt;""),$M17+$G17,"")</f>
        <v/>
      </c>
      <c r="I17" s="3" t="inlineStr">
        <is>
          <t>PAL-0000017</t>
        </is>
      </c>
      <c r="J17" s="4" t="inlineStr">
        <is>
          <t>SAMPLE-TECH</t>
        </is>
      </c>
      <c r="K17" s="3" t="n">
        <v>46052</v>
      </c>
      <c r="L17" s="4" t="inlineStr">
        <is>
          <t>B:OVERFLOW-&lt;ClientLastName&gt;-PO&lt;PO&gt;-&lt;Category&gt;-&lt;Seq&gt;</t>
        </is>
      </c>
      <c r="M17" s="45">
        <f>IF($C17="","",IFERROR(LOOKUP(2,1/('03_Warehouse_Movements'!$C$2:$C$500=$A17),'03_Warehouse_Movements'!$A$2:$A$500),""))</f>
        <v/>
      </c>
      <c r="N17" s="4">
        <f>IF($C17="","",IFERROR(LOOKUP(2,1/('03_Warehouse_Movements'!$C$2:$C$500=$A17),'03_Warehouse_Movements'!$H$2:$H$500),""))</f>
        <v/>
      </c>
      <c r="O17" s="4">
        <f>A17</f>
        <v/>
      </c>
      <c r="Q17" s="25" t="n"/>
      <c r="R17" s="24" t="n"/>
      <c r="W17">
        <f>IF($A2="","",COUNTIF('07_Pallet_Contents'!$A$2:$A$3000,$A2))</f>
        <v/>
      </c>
      <c r="X17">
        <f>IF($A2="","",SUMIF('07_Pallet_Contents'!$A$2:$A$3000,$A2,'07_Pallet_Contents'!$D$2:$D$3000))</f>
        <v/>
      </c>
      <c r="Y17">
        <f>IF($A2="","",SUMIF('07_Pallet_Contents'!$A$2:$A$3000,$A2,'07_Pallet_Contents'!$I$2:$I$3000))</f>
        <v/>
      </c>
      <c r="Z17">
        <f>IF($A2="","",IF(COUNTIF('07_Pallet_Contents'!$A$2:$A$3000,$A2)&gt;0,"Yes",""))</f>
        <v/>
      </c>
    </row>
    <row r="18" ht="27.75" customHeight="1" s="91">
      <c r="A18" s="4" t="inlineStr">
        <is>
          <t>WH-Z1-AisleA-Bay1-Level14</t>
        </is>
      </c>
      <c r="B18" s="4" t="n"/>
      <c r="C18" t="inlineStr">
        <is>
          <t>SAMPLE: Spare Parts</t>
        </is>
      </c>
      <c r="D18">
        <f>IF($C18="","",IFERROR(LOOKUP(2,1/('03_Warehouse_Movements'!$C$2:$C$500=$A18),'03_Warehouse_Movements'!$E$2:$E$500),$C18))</f>
        <v/>
      </c>
      <c r="E18" t="inlineStr">
        <is>
          <t>STANDARD</t>
        </is>
      </c>
      <c r="F18" t="inlineStr">
        <is>
          <t>SAMPLE: Monitors 24-40</t>
        </is>
      </c>
      <c r="G18" s="23" t="n"/>
      <c r="H18" s="3">
        <f>IF(AND($F18="TEMP",$G18&gt;0,$M18&lt;&gt;""),$M18+$G18,"")</f>
        <v/>
      </c>
      <c r="I18" s="3" t="inlineStr">
        <is>
          <t>PAL-0000018</t>
        </is>
      </c>
      <c r="J18" s="4" t="inlineStr">
        <is>
          <t>SAMPLE-TECH</t>
        </is>
      </c>
      <c r="K18" s="3" t="n">
        <v>46052</v>
      </c>
      <c r="L18" s="4" t="inlineStr">
        <is>
          <t>B:OVERFLOW-&lt;ClientLastName&gt;-PO&lt;PO&gt;-&lt;Category&gt;-&lt;Seq&gt;</t>
        </is>
      </c>
      <c r="M18" s="45">
        <f>IF($C18="","",IFERROR(LOOKUP(2,1/('03_Warehouse_Movements'!$C$2:$C$500=$A18),'03_Warehouse_Movements'!$A$2:$A$500),""))</f>
        <v/>
      </c>
      <c r="N18" s="4">
        <f>IF($C18="","",IFERROR(LOOKUP(2,1/('03_Warehouse_Movements'!$C$2:$C$500=$A18),'03_Warehouse_Movements'!$H$2:$H$500),""))</f>
        <v/>
      </c>
      <c r="O18" s="4">
        <f>A18</f>
        <v/>
      </c>
      <c r="Q18" s="25" t="n"/>
      <c r="R18" s="24" t="n"/>
      <c r="W18">
        <f>IF($A2="","",COUNTIF('07_Pallet_Contents'!$A$2:$A$3000,$A2))</f>
        <v/>
      </c>
      <c r="X18">
        <f>IF($A2="","",SUMIF('07_Pallet_Contents'!$A$2:$A$3000,$A2,'07_Pallet_Contents'!$D$2:$D$3000))</f>
        <v/>
      </c>
      <c r="Y18">
        <f>IF($A2="","",SUMIF('07_Pallet_Contents'!$A$2:$A$3000,$A2,'07_Pallet_Contents'!$I$2:$I$3000))</f>
        <v/>
      </c>
      <c r="Z18">
        <f>IF($A2="","",IF(COUNTIF('07_Pallet_Contents'!$A$2:$A$3000,$A2)&gt;0,"Yes",""))</f>
        <v/>
      </c>
    </row>
    <row r="19" ht="27.75" customHeight="1" s="91">
      <c r="A19" s="4" t="inlineStr">
        <is>
          <t>WH-Z1-AisleA-Bay1-Level15</t>
        </is>
      </c>
      <c r="B19" s="4" t="n"/>
      <c r="C19" t="inlineStr">
        <is>
          <t>PAL-0000019</t>
        </is>
      </c>
      <c r="D19">
        <f>IF($C19="","",IFERROR(LOOKUP(2,1/('03_Warehouse_Movements'!$C$2:$C$500=$A19),'03_Warehouse_Movements'!$E$2:$E$500),$C19))</f>
        <v/>
      </c>
      <c r="E19" t="inlineStr">
        <is>
          <t>STANDARD</t>
        </is>
      </c>
      <c r="F19" t="inlineStr">
        <is>
          <t>SAMPLE: Monitors 24-40</t>
        </is>
      </c>
      <c r="G19" s="23" t="n"/>
      <c r="H19" s="3">
        <f>IF(AND($F19="TEMP",$G19&gt;0,$M19&lt;&gt;""),$M19+$G19,"")</f>
        <v/>
      </c>
      <c r="I19" s="3" t="inlineStr">
        <is>
          <t>PAL-0000009</t>
        </is>
      </c>
      <c r="J19" s="4" t="inlineStr">
        <is>
          <t>SAMPLE-TECH</t>
        </is>
      </c>
      <c r="K19" s="3" t="n">
        <v>46052</v>
      </c>
      <c r="L19" s="4" t="inlineStr">
        <is>
          <t>B:OVERFLOW-&lt;ClientLastName&gt;-PO&lt;PO&gt;-&lt;Category&gt;-&lt;Seq&gt;</t>
        </is>
      </c>
      <c r="M19" s="45">
        <f>IF($C19="","",IFERROR(LOOKUP(2,1/('03_Warehouse_Movements'!$C$2:$C$500=$A19),'03_Warehouse_Movements'!$A$2:$A$500),""))</f>
        <v/>
      </c>
      <c r="N19" s="4">
        <f>IF($C19="","",IFERROR(LOOKUP(2,1/('03_Warehouse_Movements'!$C$2:$C$500=$A19),'03_Warehouse_Movements'!$H$2:$H$500),""))</f>
        <v/>
      </c>
      <c r="O19" s="4">
        <f>A19</f>
        <v/>
      </c>
      <c r="Q19" s="25" t="n"/>
      <c r="R19" s="24" t="n"/>
      <c r="W19">
        <f>IF($A2="","",COUNTIF('07_Pallet_Contents'!$A$2:$A$3000,$A2))</f>
        <v/>
      </c>
      <c r="X19">
        <f>IF($A2="","",SUMIF('07_Pallet_Contents'!$A$2:$A$3000,$A2,'07_Pallet_Contents'!$D$2:$D$3000))</f>
        <v/>
      </c>
      <c r="Y19">
        <f>IF($A2="","",SUMIF('07_Pallet_Contents'!$A$2:$A$3000,$A2,'07_Pallet_Contents'!$I$2:$I$3000))</f>
        <v/>
      </c>
      <c r="Z19">
        <f>IF($A2="","",IF(COUNTIF('07_Pallet_Contents'!$A$2:$A$3000,$A2)&gt;0,"Yes",""))</f>
        <v/>
      </c>
    </row>
    <row r="20" ht="27.75" customHeight="1" s="91">
      <c r="A20" s="4" t="inlineStr">
        <is>
          <t>WH-Z1-AisleA-Bay1-Level16</t>
        </is>
      </c>
      <c r="B20" s="4" t="n"/>
      <c r="C20" t="inlineStr">
        <is>
          <t>PAL-0000020</t>
        </is>
      </c>
      <c r="D20">
        <f>IF($C20="","",IFERROR(LOOKUP(2,1/('03_Warehouse_Movements'!$C$2:$C$500=$A20),'03_Warehouse_Movements'!$E$2:$E$500),$C20))</f>
        <v/>
      </c>
      <c r="E20" t="inlineStr">
        <is>
          <t>STANDARD</t>
        </is>
      </c>
      <c r="F20" t="inlineStr">
        <is>
          <t>PAL-0000008</t>
        </is>
      </c>
      <c r="G20" s="23" t="n">
        <v>14</v>
      </c>
      <c r="H20" s="3">
        <f>IF(AND($F20="TEMP",$G20&gt;0,$M20&lt;&gt;""),$M20+$G20,"")</f>
        <v/>
      </c>
      <c r="I20" s="3" t="inlineStr">
        <is>
          <t>PAL-0000010</t>
        </is>
      </c>
      <c r="J20" s="4" t="inlineStr">
        <is>
          <t>SAMPLE-TECH</t>
        </is>
      </c>
      <c r="K20" s="3" t="n">
        <v>46052</v>
      </c>
      <c r="L20" s="4" t="inlineStr">
        <is>
          <t>B:OVERFLOW-&lt;ClientLastName&gt;-PO&lt;PO&gt;-&lt;Category&gt;-&lt;Seq&gt;</t>
        </is>
      </c>
      <c r="M20" s="45">
        <f>IF($C20="","",IFERROR(LOOKUP(2,1/('03_Warehouse_Movements'!$C$2:$C$500=$A20),'03_Warehouse_Movements'!$A$2:$A$500),""))</f>
        <v/>
      </c>
      <c r="N20" s="4">
        <f>IF($C20="","",IFERROR(LOOKUP(2,1/('03_Warehouse_Movements'!$C$2:$C$500=$A20),'03_Warehouse_Movements'!$H$2:$H$500),""))</f>
        <v/>
      </c>
      <c r="O20" s="4">
        <f>A20</f>
        <v/>
      </c>
      <c r="Q20" s="25" t="n"/>
      <c r="R20" s="24" t="n"/>
      <c r="W20">
        <f>IF($A2="","",COUNTIF('07_Pallet_Contents'!$A$2:$A$3000,$A2))</f>
        <v/>
      </c>
      <c r="X20">
        <f>IF($A2="","",SUMIF('07_Pallet_Contents'!$A$2:$A$3000,$A2,'07_Pallet_Contents'!$D$2:$D$3000))</f>
        <v/>
      </c>
      <c r="Y20">
        <f>IF($A2="","",SUMIF('07_Pallet_Contents'!$A$2:$A$3000,$A2,'07_Pallet_Contents'!$I$2:$I$3000))</f>
        <v/>
      </c>
      <c r="Z20">
        <f>IF($A2="","",IF(COUNTIF('07_Pallet_Contents'!$A$2:$A$3000,$A2)&gt;0,"Yes",""))</f>
        <v/>
      </c>
    </row>
    <row r="21" ht="27.75" customHeight="1" s="91">
      <c r="A21" s="4" t="inlineStr">
        <is>
          <t>WH-Z1-AisleA-Bay1-Level17</t>
        </is>
      </c>
      <c r="B21" s="4" t="n"/>
      <c r="C21" t="inlineStr">
        <is>
          <t>PAL-0000021</t>
        </is>
      </c>
      <c r="D21">
        <f>IF($C21="","",IFERROR(LOOKUP(2,1/('03_Warehouse_Movements'!$C$2:$C$500=$A21),'03_Warehouse_Movements'!$E$2:$E$500),$C21))</f>
        <v/>
      </c>
      <c r="E21" t="inlineStr">
        <is>
          <t>STANDARD</t>
        </is>
      </c>
      <c r="F21" t="inlineStr">
        <is>
          <t>SAMPLE: Monitors 24-40</t>
        </is>
      </c>
      <c r="G21" s="23" t="n"/>
      <c r="H21" s="3">
        <f>IF(AND($F21="TEMP",$G21&gt;0,$M21&lt;&gt;""),$M21+$G21,"")</f>
        <v/>
      </c>
      <c r="I21" s="3" t="inlineStr">
        <is>
          <t>B</t>
        </is>
      </c>
      <c r="J21" s="4" t="inlineStr">
        <is>
          <t>SAMPLE-TECH</t>
        </is>
      </c>
      <c r="K21" s="3" t="n">
        <v>46052</v>
      </c>
      <c r="L21" s="4" t="inlineStr">
        <is>
          <t>B:OVERFLOW-&lt;ClientLastName&gt;-PO&lt;PO&gt;-&lt;Category&gt;-&lt;Seq&gt;</t>
        </is>
      </c>
      <c r="M21" s="45">
        <f>IF($C21="","",IFERROR(LOOKUP(2,1/('03_Warehouse_Movements'!$C$2:$C$500=$A21),'03_Warehouse_Movements'!$A$2:$A$500),""))</f>
        <v/>
      </c>
      <c r="N21" s="4">
        <f>IF($C21="","",IFERROR(LOOKUP(2,1/('03_Warehouse_Movements'!$C$2:$C$500=$A21),'03_Warehouse_Movements'!$H$2:$H$500),""))</f>
        <v/>
      </c>
      <c r="O21" s="4">
        <f>A21</f>
        <v/>
      </c>
      <c r="Q21" s="25" t="n"/>
      <c r="R21" s="24" t="n"/>
      <c r="W21">
        <f>IF($A2="","",COUNTIF('07_Pallet_Contents'!$A$2:$A$3000,$A2))</f>
        <v/>
      </c>
      <c r="X21">
        <f>IF($A2="","",SUMIF('07_Pallet_Contents'!$A$2:$A$3000,$A2,'07_Pallet_Contents'!$D$2:$D$3000))</f>
        <v/>
      </c>
      <c r="Y21">
        <f>IF($A2="","",SUMIF('07_Pallet_Contents'!$A$2:$A$3000,$A2,'07_Pallet_Contents'!$I$2:$I$3000))</f>
        <v/>
      </c>
      <c r="Z21">
        <f>IF($A2="","",IF(COUNTIF('07_Pallet_Contents'!$A$2:$A$3000,$A2)&gt;0,"Yes",""))</f>
        <v/>
      </c>
    </row>
    <row r="22" ht="27.75" customHeight="1" s="91">
      <c r="A22" s="4" t="inlineStr">
        <is>
          <t>WH-Z1-AisleA-Bay1-Level18</t>
        </is>
      </c>
      <c r="B22" s="4" t="n"/>
      <c r="C22" t="inlineStr">
        <is>
          <t>PAL-0000022</t>
        </is>
      </c>
      <c r="D22">
        <f>IF($C22="","",IFERROR(LOOKUP(2,1/('03_Warehouse_Movements'!$C$2:$C$500=$A22),'03_Warehouse_Movements'!$E$2:$E$500),$C22))</f>
        <v/>
      </c>
      <c r="E22" t="inlineStr">
        <is>
          <t>STANDARD</t>
        </is>
      </c>
      <c r="F22" t="inlineStr">
        <is>
          <t>SAMPLE: Monitors 24-40</t>
        </is>
      </c>
      <c r="G22" s="23" t="n"/>
      <c r="H22" s="3">
        <f>IF(AND($F22="TEMP",$G22&gt;0,$M22&lt;&gt;""),$M22+$G22,"")</f>
        <v/>
      </c>
      <c r="I22" s="3" t="inlineStr">
        <is>
          <t>PAL-0000012</t>
        </is>
      </c>
      <c r="J22" s="4" t="inlineStr">
        <is>
          <t>SAMPLE-TECH</t>
        </is>
      </c>
      <c r="K22" s="3" t="n">
        <v>46052</v>
      </c>
      <c r="L22" s="4" t="inlineStr">
        <is>
          <t>B:OVERFLOW-&lt;ClientLastName&gt;-PO&lt;PO&gt;-&lt;Category&gt;-&lt;Seq&gt;</t>
        </is>
      </c>
      <c r="M22" s="45">
        <f>IF($C22="","",IFERROR(LOOKUP(2,1/('03_Warehouse_Movements'!$C$2:$C$500=$A22),'03_Warehouse_Movements'!$A$2:$A$500),""))</f>
        <v/>
      </c>
      <c r="N22" s="4">
        <f>IF($C22="","",IFERROR(LOOKUP(2,1/('03_Warehouse_Movements'!$C$2:$C$500=$A22),'03_Warehouse_Movements'!$H$2:$H$500),""))</f>
        <v/>
      </c>
      <c r="O22" s="4">
        <f>A22</f>
        <v/>
      </c>
      <c r="Q22" s="25" t="n"/>
      <c r="R22" s="24" t="n"/>
      <c r="W22">
        <f>IF($A2="","",COUNTIF('07_Pallet_Contents'!$A$2:$A$3000,$A2))</f>
        <v/>
      </c>
      <c r="X22">
        <f>IF($A2="","",SUMIF('07_Pallet_Contents'!$A$2:$A$3000,$A2,'07_Pallet_Contents'!$D$2:$D$3000))</f>
        <v/>
      </c>
      <c r="Y22">
        <f>IF($A2="","",SUMIF('07_Pallet_Contents'!$A$2:$A$3000,$A2,'07_Pallet_Contents'!$I$2:$I$3000))</f>
        <v/>
      </c>
      <c r="Z22">
        <f>IF($A2="","",IF(COUNTIF('07_Pallet_Contents'!$A$2:$A$3000,$A2)&gt;0,"Yes",""))</f>
        <v/>
      </c>
    </row>
    <row r="23" ht="27.75" customHeight="1" s="91">
      <c r="A23" s="4" t="inlineStr">
        <is>
          <t>OVERFLOW-SAMPLE-PO1021-CAT2-PAL022</t>
        </is>
      </c>
      <c r="B23" s="4" t="inlineStr">
        <is>
          <t>WH-Z1-AisleA-Bay1-Level19</t>
        </is>
      </c>
      <c r="C23" t="inlineStr">
        <is>
          <t>PAL-0000023</t>
        </is>
      </c>
      <c r="D23">
        <f>IF($C23="","",IFERROR(LOOKUP(2,1/('03_Warehouse_Movements'!$C$2:$C$500=$A23),'03_Warehouse_Movements'!$E$2:$E$500),$C23))</f>
        <v/>
      </c>
      <c r="E23" t="inlineStr">
        <is>
          <t>STANDARD</t>
        </is>
      </c>
      <c r="F23" t="inlineStr">
        <is>
          <t>SAMPLE: Monitors 24-40</t>
        </is>
      </c>
      <c r="G23" s="23" t="n"/>
      <c r="H23" s="3">
        <f>IF(AND($F23="TEMP",$G23&gt;0,$M23&lt;&gt;""),$M23+$G23,"")</f>
        <v/>
      </c>
      <c r="I23" s="3" t="inlineStr">
        <is>
          <t>SAMPLE: replace with real notes / serials / constraints</t>
        </is>
      </c>
      <c r="J23" s="4" t="inlineStr">
        <is>
          <t>SAMPLE-TECH</t>
        </is>
      </c>
      <c r="K23" s="3" t="n">
        <v>46052</v>
      </c>
      <c r="L23" s="4" t="inlineStr">
        <is>
          <t>B:OVERFLOW-&lt;ClientLastName&gt;-PO&lt;PO&gt;-&lt;Category&gt;-&lt;Seq&gt;</t>
        </is>
      </c>
      <c r="M23" s="45">
        <f>IF($C23="","",IFERROR(LOOKUP(2,1/('03_Warehouse_Movements'!$C$2:$C$500=$A23),'03_Warehouse_Movements'!$A$2:$A$500),""))</f>
        <v/>
      </c>
      <c r="N23" s="4">
        <f>IF($C23="","",IFERROR(LOOKUP(2,1/('03_Warehouse_Movements'!$C$2:$C$500=$A23),'03_Warehouse_Movements'!$H$2:$H$500),""))</f>
        <v/>
      </c>
      <c r="O23" s="4">
        <f>A23</f>
        <v/>
      </c>
      <c r="Q23" s="25" t="n"/>
      <c r="R23" s="24" t="n"/>
      <c r="W23">
        <f>IF($A2="","",COUNTIF('07_Pallet_Contents'!$A$2:$A$3000,$A2))</f>
        <v/>
      </c>
      <c r="X23">
        <f>IF($A2="","",SUMIF('07_Pallet_Contents'!$A$2:$A$3000,$A2,'07_Pallet_Contents'!$D$2:$D$3000))</f>
        <v/>
      </c>
      <c r="Y23">
        <f>IF($A2="","",SUMIF('07_Pallet_Contents'!$A$2:$A$3000,$A2,'07_Pallet_Contents'!$I$2:$I$3000))</f>
        <v/>
      </c>
      <c r="Z23">
        <f>IF($A2="","",IF(COUNTIF('07_Pallet_Contents'!$A$2:$A$3000,$A2)&gt;0,"Yes",""))</f>
        <v/>
      </c>
    </row>
    <row r="24" ht="27.75" customHeight="1" s="91">
      <c r="A24" s="4" t="inlineStr">
        <is>
          <t>WH-Z1-AisleA-Bay1-Level20</t>
        </is>
      </c>
      <c r="B24" s="4" t="n"/>
      <c r="C24" t="inlineStr">
        <is>
          <t>PAL-0000024</t>
        </is>
      </c>
      <c r="D24">
        <f>IF($C24="","",IFERROR(LOOKUP(2,1/('03_Warehouse_Movements'!$C$2:$C$500=$A24),'03_Warehouse_Movements'!$E$2:$E$500),$C24))</f>
        <v/>
      </c>
      <c r="E24" t="inlineStr">
        <is>
          <t>STANDARD</t>
        </is>
      </c>
      <c r="F24" t="inlineStr">
        <is>
          <t>SAMPLE: Monitors 24-40</t>
        </is>
      </c>
      <c r="G24" s="23" t="n"/>
      <c r="H24" s="3">
        <f>IF(AND($F24="TEMP",$G24&gt;0,$M24&lt;&gt;""),$M24+$G24,"")</f>
        <v/>
      </c>
      <c r="I24" s="3" t="inlineStr">
        <is>
          <t>PAL-0000014</t>
        </is>
      </c>
      <c r="J24" s="4" t="inlineStr">
        <is>
          <t>SAMPLE-TECH</t>
        </is>
      </c>
      <c r="K24" s="3" t="n">
        <v>46052</v>
      </c>
      <c r="L24" s="4" t="inlineStr">
        <is>
          <t>B:OVERFLOW-&lt;ClientLastName&gt;-PO&lt;PO&gt;-&lt;Category&gt;-&lt;Seq&gt;</t>
        </is>
      </c>
      <c r="M24" s="45">
        <f>IF($C24="","",IFERROR(LOOKUP(2,1/('03_Warehouse_Movements'!$C$2:$C$500=$A24),'03_Warehouse_Movements'!$A$2:$A$500),""))</f>
        <v/>
      </c>
      <c r="N24" s="4">
        <f>IF($C24="","",IFERROR(LOOKUP(2,1/('03_Warehouse_Movements'!$C$2:$C$500=$A24),'03_Warehouse_Movements'!$H$2:$H$500),""))</f>
        <v/>
      </c>
      <c r="O24" s="4">
        <f>A24</f>
        <v/>
      </c>
      <c r="Q24" s="25" t="n"/>
      <c r="R24" s="24" t="n"/>
      <c r="W24">
        <f>IF($A2="","",COUNTIF('07_Pallet_Contents'!$A$2:$A$3000,$A2))</f>
        <v/>
      </c>
      <c r="X24">
        <f>IF($A2="","",SUMIF('07_Pallet_Contents'!$A$2:$A$3000,$A2,'07_Pallet_Contents'!$D$2:$D$3000))</f>
        <v/>
      </c>
      <c r="Y24">
        <f>IF($A2="","",SUMIF('07_Pallet_Contents'!$A$2:$A$3000,$A2,'07_Pallet_Contents'!$I$2:$I$3000))</f>
        <v/>
      </c>
      <c r="Z24">
        <f>IF($A2="","",IF(COUNTIF('07_Pallet_Contents'!$A$2:$A$3000,$A2)&gt;0,"Yes",""))</f>
        <v/>
      </c>
    </row>
    <row r="25" ht="27.75" customHeight="1" s="91">
      <c r="A25" s="4" t="inlineStr">
        <is>
          <t>WH-Z1-AisleB-Bay1-Level1</t>
        </is>
      </c>
      <c r="B25" s="4" t="n"/>
      <c r="C25" t="inlineStr">
        <is>
          <t>PAL-0000025</t>
        </is>
      </c>
      <c r="D25">
        <f>IF($C25="","",IFERROR(LOOKUP(2,1/('03_Warehouse_Movements'!$C$2:$C$500=$A25),'03_Warehouse_Movements'!$E$2:$E$500),$C25))</f>
        <v/>
      </c>
      <c r="E25" t="inlineStr">
        <is>
          <t>STANDARD</t>
        </is>
      </c>
      <c r="F25" t="inlineStr">
        <is>
          <t>SAMPLE: Monitors 24-40</t>
        </is>
      </c>
      <c r="G25" s="23" t="n"/>
      <c r="H25" s="3">
        <f>IF(AND($F25="TEMP",$G25&gt;0,$M25&lt;&gt;""),$M25+$G25,"")</f>
        <v/>
      </c>
      <c r="I25" s="3" t="inlineStr">
        <is>
          <t>PAL-0000015</t>
        </is>
      </c>
      <c r="J25" s="4" t="inlineStr">
        <is>
          <t>SAMPLE-TECH</t>
        </is>
      </c>
      <c r="K25" s="3" t="n">
        <v>46052</v>
      </c>
      <c r="L25" s="4" t="inlineStr">
        <is>
          <t>B:OVERFLOW-&lt;ClientLastName&gt;-PO&lt;PO&gt;-&lt;Category&gt;-&lt;Seq&gt;</t>
        </is>
      </c>
      <c r="M25" s="45">
        <f>IF($C25="","",IFERROR(LOOKUP(2,1/('03_Warehouse_Movements'!$C$2:$C$500=$A25),'03_Warehouse_Movements'!$A$2:$A$500),""))</f>
        <v/>
      </c>
      <c r="N25" s="4">
        <f>IF($C25="","",IFERROR(LOOKUP(2,1/('03_Warehouse_Movements'!$C$2:$C$500=$A25),'03_Warehouse_Movements'!$H$2:$H$500),""))</f>
        <v/>
      </c>
      <c r="O25" s="4">
        <f>A25</f>
        <v/>
      </c>
      <c r="Q25" s="25" t="n"/>
      <c r="R25" s="24" t="n"/>
      <c r="W25">
        <f>IF($A2="","",COUNTIF('07_Pallet_Contents'!$A$2:$A$3000,$A2))</f>
        <v/>
      </c>
      <c r="X25">
        <f>IF($A2="","",SUMIF('07_Pallet_Contents'!$A$2:$A$3000,$A2,'07_Pallet_Contents'!$D$2:$D$3000))</f>
        <v/>
      </c>
      <c r="Y25">
        <f>IF($A2="","",SUMIF('07_Pallet_Contents'!$A$2:$A$3000,$A2,'07_Pallet_Contents'!$I$2:$I$3000))</f>
        <v/>
      </c>
      <c r="Z25">
        <f>IF($A2="","",IF(COUNTIF('07_Pallet_Contents'!$A$2:$A$3000,$A2)&gt;0,"Yes",""))</f>
        <v/>
      </c>
    </row>
    <row r="26" ht="27.75" customHeight="1" s="91">
      <c r="A26" s="4" t="inlineStr">
        <is>
          <t>WH-Z1-AisleB-Bay1-Level2</t>
        </is>
      </c>
      <c r="B26" s="4" t="n"/>
      <c r="C26" t="inlineStr">
        <is>
          <t>PAL-0000026</t>
        </is>
      </c>
      <c r="D26">
        <f>IF($C26="","",IFERROR(LOOKUP(2,1/('03_Warehouse_Movements'!$C$2:$C$500=$A26),'03_Warehouse_Movements'!$E$2:$E$500),$C26))</f>
        <v/>
      </c>
      <c r="E26" t="inlineStr">
        <is>
          <t>STANDARD</t>
        </is>
      </c>
      <c r="F26" t="inlineStr">
        <is>
          <t>PAL-0000008</t>
        </is>
      </c>
      <c r="G26" s="23" t="n">
        <v>14</v>
      </c>
      <c r="H26" s="3">
        <f>IF(AND($F26="TEMP",$G26&gt;0,$M26&lt;&gt;""),$M26+$G26,"")</f>
        <v/>
      </c>
      <c r="I26" s="3" t="inlineStr">
        <is>
          <t>PAL-0000016</t>
        </is>
      </c>
      <c r="J26" s="4" t="inlineStr">
        <is>
          <t>SAMPLE-TECH</t>
        </is>
      </c>
      <c r="K26" s="3" t="n">
        <v>46052</v>
      </c>
      <c r="L26" s="4" t="inlineStr">
        <is>
          <t>B:OVERFLOW-&lt;ClientLastName&gt;-PO&lt;PO&gt;-&lt;Category&gt;-&lt;Seq&gt;</t>
        </is>
      </c>
      <c r="M26" s="45">
        <f>IF($C26="","",IFERROR(LOOKUP(2,1/('03_Warehouse_Movements'!$C$2:$C$500=$A26),'03_Warehouse_Movements'!$A$2:$A$500),""))</f>
        <v/>
      </c>
      <c r="N26" s="4">
        <f>IF($C26="","",IFERROR(LOOKUP(2,1/('03_Warehouse_Movements'!$C$2:$C$500=$A26),'03_Warehouse_Movements'!$H$2:$H$500),""))</f>
        <v/>
      </c>
      <c r="O26" s="4">
        <f>A26</f>
        <v/>
      </c>
      <c r="Q26" s="25" t="n"/>
      <c r="R26" s="24" t="n"/>
      <c r="W26">
        <f>IF($A2="","",COUNTIF('07_Pallet_Contents'!$A$2:$A$3000,$A2))</f>
        <v/>
      </c>
      <c r="X26">
        <f>IF($A2="","",SUMIF('07_Pallet_Contents'!$A$2:$A$3000,$A2,'07_Pallet_Contents'!$D$2:$D$3000))</f>
        <v/>
      </c>
      <c r="Y26">
        <f>IF($A2="","",SUMIF('07_Pallet_Contents'!$A$2:$A$3000,$A2,'07_Pallet_Contents'!$I$2:$I$3000))</f>
        <v/>
      </c>
      <c r="Z26">
        <f>IF($A2="","",IF(COUNTIF('07_Pallet_Contents'!$A$2:$A$3000,$A2)&gt;0,"Yes",""))</f>
        <v/>
      </c>
    </row>
    <row r="27" ht="27.75" customHeight="1" s="91">
      <c r="A27" s="4" t="inlineStr">
        <is>
          <t>WH-Z1-AisleB-Bay1-Level3</t>
        </is>
      </c>
      <c r="B27" s="4" t="n"/>
      <c r="C27" t="inlineStr">
        <is>
          <t>PAL-0000027</t>
        </is>
      </c>
      <c r="D27">
        <f>IF($C27="","",IFERROR(LOOKUP(2,1/('03_Warehouse_Movements'!$C$2:$C$500=$A27),'03_Warehouse_Movements'!$E$2:$E$500),$C27))</f>
        <v/>
      </c>
      <c r="E27" t="inlineStr">
        <is>
          <t>STANDARD</t>
        </is>
      </c>
      <c r="F27" t="inlineStr">
        <is>
          <t>SAMPLE: Monitors 24-40</t>
        </is>
      </c>
      <c r="G27" s="23" t="n"/>
      <c r="H27" s="3">
        <f>IF(AND($F27="TEMP",$G27&gt;0,$M27&lt;&gt;""),$M27+$G27,"")</f>
        <v/>
      </c>
      <c r="I27" s="3" t="inlineStr">
        <is>
          <t>PAL-0000017</t>
        </is>
      </c>
      <c r="J27" s="4" t="inlineStr">
        <is>
          <t>SAMPLE-TECH</t>
        </is>
      </c>
      <c r="K27" s="3" t="n">
        <v>46052</v>
      </c>
      <c r="L27" s="4" t="inlineStr">
        <is>
          <t>B:OVERFLOW-&lt;ClientLastName&gt;-PO&lt;PO&gt;-&lt;Category&gt;-&lt;Seq&gt;</t>
        </is>
      </c>
      <c r="M27" s="45">
        <f>IF($C27="","",IFERROR(LOOKUP(2,1/('03_Warehouse_Movements'!$C$2:$C$500=$A27),'03_Warehouse_Movements'!$A$2:$A$500),""))</f>
        <v/>
      </c>
      <c r="N27" s="4">
        <f>IF($C27="","",IFERROR(LOOKUP(2,1/('03_Warehouse_Movements'!$C$2:$C$500=$A27),'03_Warehouse_Movements'!$H$2:$H$500),""))</f>
        <v/>
      </c>
      <c r="O27" s="4">
        <f>A27</f>
        <v/>
      </c>
      <c r="Q27" s="25" t="n"/>
      <c r="R27" s="24" t="n"/>
      <c r="W27">
        <f>IF($A2="","",COUNTIF('07_Pallet_Contents'!$A$2:$A$3000,$A2))</f>
        <v/>
      </c>
      <c r="X27">
        <f>IF($A2="","",SUMIF('07_Pallet_Contents'!$A$2:$A$3000,$A2,'07_Pallet_Contents'!$D$2:$D$3000))</f>
        <v/>
      </c>
      <c r="Y27">
        <f>IF($A2="","",SUMIF('07_Pallet_Contents'!$A$2:$A$3000,$A2,'07_Pallet_Contents'!$I$2:$I$3000))</f>
        <v/>
      </c>
      <c r="Z27">
        <f>IF($A2="","",IF(COUNTIF('07_Pallet_Contents'!$A$2:$A$3000,$A2)&gt;0,"Yes",""))</f>
        <v/>
      </c>
    </row>
    <row r="28" ht="27.75" customHeight="1" s="91">
      <c r="A28" s="4" t="inlineStr">
        <is>
          <t>WH-Z1-AisleB-Bay1-Level4</t>
        </is>
      </c>
      <c r="B28" s="4" t="n"/>
      <c r="C28" t="inlineStr">
        <is>
          <t>PAL-0000028</t>
        </is>
      </c>
      <c r="D28">
        <f>IF($C28="","",IFERROR(LOOKUP(2,1/('03_Warehouse_Movements'!$C$2:$C$500=$A28),'03_Warehouse_Movements'!$E$2:$E$500),$C28))</f>
        <v/>
      </c>
      <c r="E28" t="inlineStr">
        <is>
          <t>STANDARD</t>
        </is>
      </c>
      <c r="F28" t="inlineStr">
        <is>
          <t>SAMPLE: Monitors 24-40</t>
        </is>
      </c>
      <c r="G28" s="23" t="n"/>
      <c r="H28" s="3">
        <f>IF(AND($F28="TEMP",$G28&gt;0,$M28&lt;&gt;""),$M28+$G28,"")</f>
        <v/>
      </c>
      <c r="I28" s="3" t="inlineStr">
        <is>
          <t>PAL-0000018</t>
        </is>
      </c>
      <c r="J28" s="4" t="inlineStr">
        <is>
          <t>SAMPLE-TECH</t>
        </is>
      </c>
      <c r="K28" s="3" t="n">
        <v>46052</v>
      </c>
      <c r="L28" s="4" t="inlineStr">
        <is>
          <t>B:OVERFLOW-&lt;ClientLastName&gt;-PO&lt;PO&gt;-&lt;Category&gt;-&lt;Seq&gt;</t>
        </is>
      </c>
      <c r="M28" s="45">
        <f>IF($C28="","",IFERROR(LOOKUP(2,1/('03_Warehouse_Movements'!$C$2:$C$500=$A28),'03_Warehouse_Movements'!$A$2:$A$500),""))</f>
        <v/>
      </c>
      <c r="N28" s="4">
        <f>IF($C28="","",IFERROR(LOOKUP(2,1/('03_Warehouse_Movements'!$C$2:$C$500=$A28),'03_Warehouse_Movements'!$H$2:$H$500),""))</f>
        <v/>
      </c>
      <c r="O28" s="4">
        <f>A28</f>
        <v/>
      </c>
      <c r="Q28" s="25" t="n"/>
      <c r="R28" s="24" t="n"/>
      <c r="W28">
        <f>IF($A2="","",COUNTIF('07_Pallet_Contents'!$A$2:$A$3000,$A2))</f>
        <v/>
      </c>
      <c r="X28">
        <f>IF($A2="","",SUMIF('07_Pallet_Contents'!$A$2:$A$3000,$A2,'07_Pallet_Contents'!$D$2:$D$3000))</f>
        <v/>
      </c>
      <c r="Y28">
        <f>IF($A2="","",SUMIF('07_Pallet_Contents'!$A$2:$A$3000,$A2,'07_Pallet_Contents'!$I$2:$I$3000))</f>
        <v/>
      </c>
      <c r="Z28">
        <f>IF($A2="","",IF(COUNTIF('07_Pallet_Contents'!$A$2:$A$3000,$A2)&gt;0,"Yes",""))</f>
        <v/>
      </c>
    </row>
    <row r="29" ht="27.75" customHeight="1" s="91">
      <c r="A29" s="4" t="inlineStr">
        <is>
          <t>WH-Z1-AisleB-Bay1-Level5</t>
        </is>
      </c>
      <c r="B29" s="4" t="n"/>
      <c r="C29" t="inlineStr">
        <is>
          <t>PAL-0000029</t>
        </is>
      </c>
      <c r="D29">
        <f>IF($C29="","",IFERROR(LOOKUP(2,1/('03_Warehouse_Movements'!$C$2:$C$500=$A29),'03_Warehouse_Movements'!$E$2:$E$500),$C29))</f>
        <v/>
      </c>
      <c r="E29" t="inlineStr">
        <is>
          <t>STANDARD</t>
        </is>
      </c>
      <c r="F29" t="inlineStr">
        <is>
          <t>SAMPLE: Monitors 24-40</t>
        </is>
      </c>
      <c r="G29" s="23" t="n"/>
      <c r="H29" s="3">
        <f>IF(AND($F29="TEMP",$G29&gt;0,$M29&lt;&gt;""),$M29+$G29,"")</f>
        <v/>
      </c>
      <c r="I29" s="3" t="inlineStr">
        <is>
          <t>PAL-0000009</t>
        </is>
      </c>
      <c r="J29" s="4" t="inlineStr">
        <is>
          <t>SAMPLE-TECH</t>
        </is>
      </c>
      <c r="K29" s="3" t="n">
        <v>46052</v>
      </c>
      <c r="L29" s="4" t="inlineStr">
        <is>
          <t>B:OVERFLOW-&lt;ClientLastName&gt;-PO&lt;PO&gt;-&lt;Category&gt;-&lt;Seq&gt;</t>
        </is>
      </c>
      <c r="M29" s="45">
        <f>IF($C29="","",IFERROR(LOOKUP(2,1/('03_Warehouse_Movements'!$C$2:$C$500=$A29),'03_Warehouse_Movements'!$A$2:$A$500),""))</f>
        <v/>
      </c>
      <c r="N29" s="4">
        <f>IF($C29="","",IFERROR(LOOKUP(2,1/('03_Warehouse_Movements'!$C$2:$C$500=$A29),'03_Warehouse_Movements'!$H$2:$H$500),""))</f>
        <v/>
      </c>
      <c r="O29" s="4">
        <f>A29</f>
        <v/>
      </c>
      <c r="Q29" s="25" t="n"/>
      <c r="R29" s="24" t="n"/>
      <c r="W29">
        <f>IF($A2="","",COUNTIF('07_Pallet_Contents'!$A$2:$A$3000,$A2))</f>
        <v/>
      </c>
      <c r="X29">
        <f>IF($A2="","",SUMIF('07_Pallet_Contents'!$A$2:$A$3000,$A2,'07_Pallet_Contents'!$D$2:$D$3000))</f>
        <v/>
      </c>
      <c r="Y29">
        <f>IF($A2="","",SUMIF('07_Pallet_Contents'!$A$2:$A$3000,$A2,'07_Pallet_Contents'!$I$2:$I$3000))</f>
        <v/>
      </c>
      <c r="Z29">
        <f>IF($A2="","",IF(COUNTIF('07_Pallet_Contents'!$A$2:$A$3000,$A2)&gt;0,"Yes",""))</f>
        <v/>
      </c>
    </row>
    <row r="30" ht="27.75" customHeight="1" s="91">
      <c r="A30" s="4" t="inlineStr">
        <is>
          <t>OVERFLOW-SAMPLE-PO1028-CAT4-PAL029</t>
        </is>
      </c>
      <c r="B30" s="4" t="inlineStr">
        <is>
          <t>WH-Z1-AisleB-Bay1-Level6</t>
        </is>
      </c>
      <c r="C30" t="inlineStr">
        <is>
          <t>PAL-0000030</t>
        </is>
      </c>
      <c r="D30">
        <f>IF($C30="","",IFERROR(LOOKUP(2,1/('03_Warehouse_Movements'!$C$2:$C$500=$A30),'03_Warehouse_Movements'!$E$2:$E$500),$C30))</f>
        <v/>
      </c>
      <c r="E30" t="inlineStr">
        <is>
          <t>STANDARD</t>
        </is>
      </c>
      <c r="F30" t="inlineStr">
        <is>
          <t>SAMPLE: Monitors 24-40</t>
        </is>
      </c>
      <c r="G30" s="23" t="n"/>
      <c r="H30" s="3">
        <f>IF(AND($F30="TEMP",$G30&gt;0,$M30&lt;&gt;""),$M30+$G30,"")</f>
        <v/>
      </c>
      <c r="I30" s="3" t="inlineStr">
        <is>
          <t>PAL-0000010</t>
        </is>
      </c>
      <c r="J30" s="4" t="inlineStr">
        <is>
          <t>SAMPLE-TECH</t>
        </is>
      </c>
      <c r="K30" s="3" t="n">
        <v>46052</v>
      </c>
      <c r="L30" s="4" t="inlineStr">
        <is>
          <t>B:OVERFLOW-&lt;ClientLastName&gt;-PO&lt;PO&gt;-&lt;Category&gt;-&lt;Seq&gt;</t>
        </is>
      </c>
      <c r="M30" s="45">
        <f>IF($C30="","",IFERROR(LOOKUP(2,1/('03_Warehouse_Movements'!$C$2:$C$500=$A30),'03_Warehouse_Movements'!$A$2:$A$500),""))</f>
        <v/>
      </c>
      <c r="N30" s="4">
        <f>IF($C30="","",IFERROR(LOOKUP(2,1/('03_Warehouse_Movements'!$C$2:$C$500=$A30),'03_Warehouse_Movements'!$H$2:$H$500),""))</f>
        <v/>
      </c>
      <c r="O30" s="4">
        <f>A30</f>
        <v/>
      </c>
      <c r="Q30" s="25" t="n"/>
      <c r="R30" s="24" t="n"/>
      <c r="W30">
        <f>IF($A2="","",COUNTIF('07_Pallet_Contents'!$A$2:$A$3000,$A2))</f>
        <v/>
      </c>
      <c r="X30">
        <f>IF($A2="","",SUMIF('07_Pallet_Contents'!$A$2:$A$3000,$A2,'07_Pallet_Contents'!$D$2:$D$3000))</f>
        <v/>
      </c>
      <c r="Y30">
        <f>IF($A2="","",SUMIF('07_Pallet_Contents'!$A$2:$A$3000,$A2,'07_Pallet_Contents'!$I$2:$I$3000))</f>
        <v/>
      </c>
      <c r="Z30">
        <f>IF($A2="","",IF(COUNTIF('07_Pallet_Contents'!$A$2:$A$3000,$A2)&gt;0,"Yes",""))</f>
        <v/>
      </c>
    </row>
    <row r="31" ht="27.75" customHeight="1" s="91">
      <c r="A31" s="4" t="inlineStr">
        <is>
          <t>WH-Z1-AisleB-Bay1-Level7</t>
        </is>
      </c>
      <c r="B31" s="4" t="n"/>
      <c r="C31" t="inlineStr">
        <is>
          <t>PAL-0000031</t>
        </is>
      </c>
      <c r="D31">
        <f>IF($C31="","",IFERROR(LOOKUP(2,1/('03_Warehouse_Movements'!$C$2:$C$500=$A31),'03_Warehouse_Movements'!$E$2:$E$500),$C31))</f>
        <v/>
      </c>
      <c r="E31" t="inlineStr">
        <is>
          <t>STANDARD</t>
        </is>
      </c>
      <c r="F31" t="inlineStr">
        <is>
          <t>SAMPLE: Monitors 24-40</t>
        </is>
      </c>
      <c r="G31" s="23" t="n"/>
      <c r="H31" s="3">
        <f>IF(AND($F31="TEMP",$G31&gt;0,$M31&lt;&gt;""),$M31+$G31,"")</f>
        <v/>
      </c>
      <c r="I31" s="3" t="inlineStr">
        <is>
          <t>B</t>
        </is>
      </c>
      <c r="J31" s="4" t="inlineStr">
        <is>
          <t>SAMPLE-TECH</t>
        </is>
      </c>
      <c r="K31" s="3" t="n">
        <v>46052</v>
      </c>
      <c r="L31" s="4" t="inlineStr">
        <is>
          <t>B:OVERFLOW-&lt;ClientLastName&gt;-PO&lt;PO&gt;-&lt;Category&gt;-&lt;Seq&gt;</t>
        </is>
      </c>
      <c r="M31" s="45">
        <f>IF($C31="","",IFERROR(LOOKUP(2,1/('03_Warehouse_Movements'!$C$2:$C$500=$A31),'03_Warehouse_Movements'!$A$2:$A$500),""))</f>
        <v/>
      </c>
      <c r="N31" s="4">
        <f>IF($C31="","",IFERROR(LOOKUP(2,1/('03_Warehouse_Movements'!$C$2:$C$500=$A31),'03_Warehouse_Movements'!$H$2:$H$500),""))</f>
        <v/>
      </c>
      <c r="O31" s="4">
        <f>A31</f>
        <v/>
      </c>
      <c r="Q31" s="25" t="n"/>
      <c r="R31" s="24" t="n"/>
      <c r="W31">
        <f>IF($A2="","",COUNTIF('07_Pallet_Contents'!$A$2:$A$3000,$A2))</f>
        <v/>
      </c>
      <c r="X31">
        <f>IF($A2="","",SUMIF('07_Pallet_Contents'!$A$2:$A$3000,$A2,'07_Pallet_Contents'!$D$2:$D$3000))</f>
        <v/>
      </c>
      <c r="Y31">
        <f>IF($A2="","",SUMIF('07_Pallet_Contents'!$A$2:$A$3000,$A2,'07_Pallet_Contents'!$I$2:$I$3000))</f>
        <v/>
      </c>
      <c r="Z31">
        <f>IF($A2="","",IF(COUNTIF('07_Pallet_Contents'!$A$2:$A$3000,$A2)&gt;0,"Yes",""))</f>
        <v/>
      </c>
    </row>
    <row r="32" ht="27.75" customHeight="1" s="91">
      <c r="A32" s="4" t="inlineStr">
        <is>
          <t>WH-Z1-AisleB-Bay1-Level8</t>
        </is>
      </c>
      <c r="B32" s="4" t="n"/>
      <c r="C32" t="inlineStr">
        <is>
          <t>PAL-0000032</t>
        </is>
      </c>
      <c r="D32">
        <f>IF($C32="","",IFERROR(LOOKUP(2,1/('03_Warehouse_Movements'!$C$2:$C$500=$A32),'03_Warehouse_Movements'!$E$2:$E$500),$C32))</f>
        <v/>
      </c>
      <c r="E32" t="inlineStr">
        <is>
          <t>STANDARD</t>
        </is>
      </c>
      <c r="F32" t="inlineStr">
        <is>
          <t>PAL-0000008</t>
        </is>
      </c>
      <c r="G32" s="23" t="n">
        <v>14</v>
      </c>
      <c r="H32" s="3">
        <f>IF(AND($F32="TEMP",$G32&gt;0,$M32&lt;&gt;""),$M32+$G32,"")</f>
        <v/>
      </c>
      <c r="I32" s="3" t="inlineStr">
        <is>
          <t>PAL-0000012</t>
        </is>
      </c>
      <c r="J32" s="4" t="inlineStr">
        <is>
          <t>SAMPLE-TECH</t>
        </is>
      </c>
      <c r="K32" s="3" t="n">
        <v>46052</v>
      </c>
      <c r="L32" s="4" t="inlineStr">
        <is>
          <t>B:OVERFLOW-&lt;ClientLastName&gt;-PO&lt;PO&gt;-&lt;Category&gt;-&lt;Seq&gt;</t>
        </is>
      </c>
      <c r="M32" s="45">
        <f>IF($C32="","",IFERROR(LOOKUP(2,1/('03_Warehouse_Movements'!$C$2:$C$500=$A32),'03_Warehouse_Movements'!$A$2:$A$500),""))</f>
        <v/>
      </c>
      <c r="N32" s="4">
        <f>IF($C32="","",IFERROR(LOOKUP(2,1/('03_Warehouse_Movements'!$C$2:$C$500=$A32),'03_Warehouse_Movements'!$H$2:$H$500),""))</f>
        <v/>
      </c>
      <c r="O32" s="4">
        <f>A32</f>
        <v/>
      </c>
      <c r="Q32" s="25" t="n"/>
      <c r="R32" s="24" t="n"/>
      <c r="W32">
        <f>IF($A2="","",COUNTIF('07_Pallet_Contents'!$A$2:$A$3000,$A2))</f>
        <v/>
      </c>
      <c r="X32">
        <f>IF($A2="","",SUMIF('07_Pallet_Contents'!$A$2:$A$3000,$A2,'07_Pallet_Contents'!$D$2:$D$3000))</f>
        <v/>
      </c>
      <c r="Y32">
        <f>IF($A2="","",SUMIF('07_Pallet_Contents'!$A$2:$A$3000,$A2,'07_Pallet_Contents'!$I$2:$I$3000))</f>
        <v/>
      </c>
      <c r="Z32">
        <f>IF($A2="","",IF(COUNTIF('07_Pallet_Contents'!$A$2:$A$3000,$A2)&gt;0,"Yes",""))</f>
        <v/>
      </c>
    </row>
    <row r="33" ht="27.75" customHeight="1" s="91">
      <c r="A33" s="4" t="inlineStr">
        <is>
          <t>WH-Z1-AisleB-Bay1-Level9</t>
        </is>
      </c>
      <c r="B33" s="4" t="n"/>
      <c r="C33" t="inlineStr">
        <is>
          <t>PAL-0000033</t>
        </is>
      </c>
      <c r="D33">
        <f>IF($C33="","",IFERROR(LOOKUP(2,1/('03_Warehouse_Movements'!$C$2:$C$500=$A33),'03_Warehouse_Movements'!$E$2:$E$500),$C33))</f>
        <v/>
      </c>
      <c r="E33" t="inlineStr">
        <is>
          <t>STANDARD</t>
        </is>
      </c>
      <c r="F33" t="inlineStr">
        <is>
          <t>SAMPLE: Monitors 24-40</t>
        </is>
      </c>
      <c r="G33" s="23" t="n"/>
      <c r="H33" s="3">
        <f>IF(AND($F33="TEMP",$G33&gt;0,$M33&lt;&gt;""),$M33+$G33,"")</f>
        <v/>
      </c>
      <c r="I33" s="3" t="inlineStr">
        <is>
          <t>SAMPLE: replace with real notes / serials / constraints</t>
        </is>
      </c>
      <c r="J33" s="4" t="inlineStr">
        <is>
          <t>SAMPLE-TECH</t>
        </is>
      </c>
      <c r="K33" s="3" t="n">
        <v>46052</v>
      </c>
      <c r="L33" s="4" t="inlineStr">
        <is>
          <t>B:OVERFLOW-&lt;ClientLastName&gt;-PO&lt;PO&gt;-&lt;Category&gt;-&lt;Seq&gt;</t>
        </is>
      </c>
      <c r="M33" s="45">
        <f>IF($C33="","",IFERROR(LOOKUP(2,1/('03_Warehouse_Movements'!$C$2:$C$500=$A33),'03_Warehouse_Movements'!$A$2:$A$500),""))</f>
        <v/>
      </c>
      <c r="N33" s="4">
        <f>IF($C33="","",IFERROR(LOOKUP(2,1/('03_Warehouse_Movements'!$C$2:$C$500=$A33),'03_Warehouse_Movements'!$H$2:$H$500),""))</f>
        <v/>
      </c>
      <c r="O33" s="4">
        <f>A33</f>
        <v/>
      </c>
      <c r="Q33" s="25" t="n"/>
      <c r="R33" s="24" t="n"/>
      <c r="W33">
        <f>IF($A2="","",COUNTIF('07_Pallet_Contents'!$A$2:$A$3000,$A2))</f>
        <v/>
      </c>
      <c r="X33">
        <f>IF($A2="","",SUMIF('07_Pallet_Contents'!$A$2:$A$3000,$A2,'07_Pallet_Contents'!$D$2:$D$3000))</f>
        <v/>
      </c>
      <c r="Y33">
        <f>IF($A2="","",SUMIF('07_Pallet_Contents'!$A$2:$A$3000,$A2,'07_Pallet_Contents'!$I$2:$I$3000))</f>
        <v/>
      </c>
      <c r="Z33">
        <f>IF($A2="","",IF(COUNTIF('07_Pallet_Contents'!$A$2:$A$3000,$A2)&gt;0,"Yes",""))</f>
        <v/>
      </c>
    </row>
    <row r="34" ht="27.75" customHeight="1" s="91">
      <c r="A34" s="4" t="inlineStr">
        <is>
          <t>WH-Z1-AisleB-Bay1-Level10</t>
        </is>
      </c>
      <c r="B34" s="4" t="n"/>
      <c r="C34" t="inlineStr">
        <is>
          <t>PAL-0000034</t>
        </is>
      </c>
      <c r="D34">
        <f>IF($C34="","",IFERROR(LOOKUP(2,1/('03_Warehouse_Movements'!$C$2:$C$500=$A34),'03_Warehouse_Movements'!$E$2:$E$500),$C34))</f>
        <v/>
      </c>
      <c r="E34" t="inlineStr">
        <is>
          <t>STANDARD</t>
        </is>
      </c>
      <c r="F34" t="inlineStr">
        <is>
          <t>SAMPLE: Monitors 24-40</t>
        </is>
      </c>
      <c r="G34" s="23" t="n"/>
      <c r="H34" s="3">
        <f>IF(AND($F34="TEMP",$G34&gt;0,$M34&lt;&gt;""),$M34+$G34,"")</f>
        <v/>
      </c>
      <c r="I34" s="3" t="inlineStr">
        <is>
          <t>PAL-0000014</t>
        </is>
      </c>
      <c r="J34" s="4" t="inlineStr">
        <is>
          <t>SAMPLE-TECH</t>
        </is>
      </c>
      <c r="K34" s="3" t="n">
        <v>46052</v>
      </c>
      <c r="L34" s="4" t="inlineStr">
        <is>
          <t>B:OVERFLOW-&lt;ClientLastName&gt;-PO&lt;PO&gt;-&lt;Category&gt;-&lt;Seq&gt;</t>
        </is>
      </c>
      <c r="M34" s="45">
        <f>IF($C34="","",IFERROR(LOOKUP(2,1/('03_Warehouse_Movements'!$C$2:$C$500=$A34),'03_Warehouse_Movements'!$A$2:$A$500),""))</f>
        <v/>
      </c>
      <c r="N34" s="4">
        <f>IF($C34="","",IFERROR(LOOKUP(2,1/('03_Warehouse_Movements'!$C$2:$C$500=$A34),'03_Warehouse_Movements'!$H$2:$H$500),""))</f>
        <v/>
      </c>
      <c r="O34" s="4">
        <f>A34</f>
        <v/>
      </c>
      <c r="Q34" s="25" t="n"/>
      <c r="R34" s="24" t="n"/>
      <c r="W34">
        <f>IF($A2="","",COUNTIF('07_Pallet_Contents'!$A$2:$A$3000,$A2))</f>
        <v/>
      </c>
      <c r="X34">
        <f>IF($A2="","",SUMIF('07_Pallet_Contents'!$A$2:$A$3000,$A2,'07_Pallet_Contents'!$D$2:$D$3000))</f>
        <v/>
      </c>
      <c r="Y34">
        <f>IF($A2="","",SUMIF('07_Pallet_Contents'!$A$2:$A$3000,$A2,'07_Pallet_Contents'!$I$2:$I$3000))</f>
        <v/>
      </c>
      <c r="Z34">
        <f>IF($A2="","",IF(COUNTIF('07_Pallet_Contents'!$A$2:$A$3000,$A2)&gt;0,"Yes",""))</f>
        <v/>
      </c>
    </row>
    <row r="35" ht="27.75" customHeight="1" s="91">
      <c r="A35" s="4" t="inlineStr">
        <is>
          <t>WH-Z1-AisleB-Bay1-Level11</t>
        </is>
      </c>
      <c r="B35" s="4" t="n"/>
      <c r="C35" t="inlineStr">
        <is>
          <t>PAL-0000035</t>
        </is>
      </c>
      <c r="D35">
        <f>IF($C35="","",IFERROR(LOOKUP(2,1/('03_Warehouse_Movements'!$C$2:$C$500=$A35),'03_Warehouse_Movements'!$E$2:$E$500),$C35))</f>
        <v/>
      </c>
      <c r="E35" t="inlineStr">
        <is>
          <t>STANDARD</t>
        </is>
      </c>
      <c r="F35" t="inlineStr">
        <is>
          <t>SAMPLE: Monitors 24-40</t>
        </is>
      </c>
      <c r="G35" s="23" t="n"/>
      <c r="H35" s="3">
        <f>IF(AND($F35="TEMP",$G35&gt;0,$M35&lt;&gt;""),$M35+$G35,"")</f>
        <v/>
      </c>
      <c r="I35" s="3" t="inlineStr">
        <is>
          <t>PAL-0000015</t>
        </is>
      </c>
      <c r="J35" s="4" t="inlineStr">
        <is>
          <t>SAMPLE-TECH</t>
        </is>
      </c>
      <c r="K35" s="3" t="n">
        <v>46052</v>
      </c>
      <c r="L35" s="4" t="inlineStr">
        <is>
          <t>B:OVERFLOW-&lt;ClientLastName&gt;-PO&lt;PO&gt;-&lt;Category&gt;-&lt;Seq&gt;</t>
        </is>
      </c>
      <c r="M35" s="45">
        <f>IF($C35="","",IFERROR(LOOKUP(2,1/('03_Warehouse_Movements'!$C$2:$C$500=$A35),'03_Warehouse_Movements'!$A$2:$A$500),""))</f>
        <v/>
      </c>
      <c r="N35" s="4">
        <f>IF($C35="","",IFERROR(LOOKUP(2,1/('03_Warehouse_Movements'!$C$2:$C$500=$A35),'03_Warehouse_Movements'!$H$2:$H$500),""))</f>
        <v/>
      </c>
      <c r="O35" s="4">
        <f>A35</f>
        <v/>
      </c>
      <c r="Q35" s="25" t="n"/>
      <c r="R35" s="24" t="n"/>
      <c r="W35">
        <f>IF($A2="","",COUNTIF('07_Pallet_Contents'!$A$2:$A$3000,$A2))</f>
        <v/>
      </c>
      <c r="X35">
        <f>IF($A2="","",SUMIF('07_Pallet_Contents'!$A$2:$A$3000,$A2,'07_Pallet_Contents'!$D$2:$D$3000))</f>
        <v/>
      </c>
      <c r="Y35">
        <f>IF($A2="","",SUMIF('07_Pallet_Contents'!$A$2:$A$3000,$A2,'07_Pallet_Contents'!$I$2:$I$3000))</f>
        <v/>
      </c>
      <c r="Z35">
        <f>IF($A2="","",IF(COUNTIF('07_Pallet_Contents'!$A$2:$A$3000,$A2)&gt;0,"Yes",""))</f>
        <v/>
      </c>
    </row>
    <row r="36" ht="27.75" customHeight="1" s="91">
      <c r="A36" s="4" t="inlineStr">
        <is>
          <t>WH-Z1-AisleB-Bay1-Level12</t>
        </is>
      </c>
      <c r="B36" s="4" t="n"/>
      <c r="C36" t="inlineStr">
        <is>
          <t>PAL-0000036</t>
        </is>
      </c>
      <c r="D36">
        <f>IF($C36="","",IFERROR(LOOKUP(2,1/('03_Warehouse_Movements'!$C$2:$C$500=$A36),'03_Warehouse_Movements'!$E$2:$E$500),$C36))</f>
        <v/>
      </c>
      <c r="E36" t="inlineStr">
        <is>
          <t>STANDARD</t>
        </is>
      </c>
      <c r="F36" t="inlineStr">
        <is>
          <t>SAMPLE: Monitors 24-40</t>
        </is>
      </c>
      <c r="G36" s="23" t="n"/>
      <c r="H36" s="3">
        <f>IF(AND($F36="TEMP",$G36&gt;0,$M36&lt;&gt;""),$M36+$G36,"")</f>
        <v/>
      </c>
      <c r="I36" s="3" t="inlineStr">
        <is>
          <t>PAL-0000016</t>
        </is>
      </c>
      <c r="J36" s="4" t="inlineStr">
        <is>
          <t>SAMPLE-TECH</t>
        </is>
      </c>
      <c r="K36" s="3" t="n">
        <v>46052</v>
      </c>
      <c r="L36" s="4" t="inlineStr">
        <is>
          <t>B:OVERFLOW-&lt;ClientLastName&gt;-PO&lt;PO&gt;-&lt;Category&gt;-&lt;Seq&gt;</t>
        </is>
      </c>
      <c r="M36" s="45">
        <f>IF($C36="","",IFERROR(LOOKUP(2,1/('03_Warehouse_Movements'!$C$2:$C$500=$A36),'03_Warehouse_Movements'!$A$2:$A$500),""))</f>
        <v/>
      </c>
      <c r="N36" s="4">
        <f>IF($C36="","",IFERROR(LOOKUP(2,1/('03_Warehouse_Movements'!$C$2:$C$500=$A36),'03_Warehouse_Movements'!$H$2:$H$500),""))</f>
        <v/>
      </c>
      <c r="O36" s="4">
        <f>A36</f>
        <v/>
      </c>
      <c r="Q36" s="25" t="n"/>
      <c r="R36" s="24" t="n"/>
      <c r="W36">
        <f>IF($A2="","",COUNTIF('07_Pallet_Contents'!$A$2:$A$3000,$A2))</f>
        <v/>
      </c>
      <c r="X36">
        <f>IF($A2="","",SUMIF('07_Pallet_Contents'!$A$2:$A$3000,$A2,'07_Pallet_Contents'!$D$2:$D$3000))</f>
        <v/>
      </c>
      <c r="Y36">
        <f>IF($A2="","",SUMIF('07_Pallet_Contents'!$A$2:$A$3000,$A2,'07_Pallet_Contents'!$I$2:$I$3000))</f>
        <v/>
      </c>
      <c r="Z36">
        <f>IF($A2="","",IF(COUNTIF('07_Pallet_Contents'!$A$2:$A$3000,$A2)&gt;0,"Yes",""))</f>
        <v/>
      </c>
    </row>
    <row r="37" ht="27.75" customHeight="1" s="91">
      <c r="A37" s="4" t="inlineStr">
        <is>
          <t>OVERFLOW-SAMPLE-PO1035-CAT1-PAL036</t>
        </is>
      </c>
      <c r="B37" s="4" t="inlineStr">
        <is>
          <t>WH-Z1-AisleB-Bay1-Level13</t>
        </is>
      </c>
      <c r="C37" t="inlineStr">
        <is>
          <t>PAL-0000037</t>
        </is>
      </c>
      <c r="D37">
        <f>IF($C37="","",IFERROR(LOOKUP(2,1/('03_Warehouse_Movements'!$C$2:$C$500=$A37),'03_Warehouse_Movements'!$E$2:$E$500),$C37))</f>
        <v/>
      </c>
      <c r="E37" t="inlineStr">
        <is>
          <t>STANDARD</t>
        </is>
      </c>
      <c r="F37" t="inlineStr">
        <is>
          <t>SAMPLE: Monitors 24-40</t>
        </is>
      </c>
      <c r="G37" s="23" t="n"/>
      <c r="H37" s="3">
        <f>IF(AND($F37="TEMP",$G37&gt;0,$M37&lt;&gt;""),$M37+$G37,"")</f>
        <v/>
      </c>
      <c r="I37" s="3" t="inlineStr">
        <is>
          <t>PAL-0000017</t>
        </is>
      </c>
      <c r="J37" s="4" t="inlineStr">
        <is>
          <t>SAMPLE-TECH</t>
        </is>
      </c>
      <c r="K37" s="3" t="n">
        <v>46052</v>
      </c>
      <c r="L37" s="4" t="inlineStr">
        <is>
          <t>B:OVERFLOW-&lt;ClientLastName&gt;-PO&lt;PO&gt;-&lt;Category&gt;-&lt;Seq&gt;</t>
        </is>
      </c>
      <c r="M37" s="45">
        <f>IF($C37="","",IFERROR(LOOKUP(2,1/('03_Warehouse_Movements'!$C$2:$C$500=$A37),'03_Warehouse_Movements'!$A$2:$A$500),""))</f>
        <v/>
      </c>
      <c r="N37" s="4">
        <f>IF($C37="","",IFERROR(LOOKUP(2,1/('03_Warehouse_Movements'!$C$2:$C$500=$A37),'03_Warehouse_Movements'!$H$2:$H$500),""))</f>
        <v/>
      </c>
      <c r="O37" s="4">
        <f>A37</f>
        <v/>
      </c>
      <c r="Q37" s="25" t="n"/>
      <c r="R37" s="24" t="n"/>
      <c r="W37">
        <f>IF($A2="","",COUNTIF('07_Pallet_Contents'!$A$2:$A$3000,$A2))</f>
        <v/>
      </c>
      <c r="X37">
        <f>IF($A2="","",SUMIF('07_Pallet_Contents'!$A$2:$A$3000,$A2,'07_Pallet_Contents'!$D$2:$D$3000))</f>
        <v/>
      </c>
      <c r="Y37">
        <f>IF($A2="","",SUMIF('07_Pallet_Contents'!$A$2:$A$3000,$A2,'07_Pallet_Contents'!$I$2:$I$3000))</f>
        <v/>
      </c>
      <c r="Z37">
        <f>IF($A2="","",IF(COUNTIF('07_Pallet_Contents'!$A$2:$A$3000,$A2)&gt;0,"Yes",""))</f>
        <v/>
      </c>
    </row>
    <row r="38" ht="27.75" customHeight="1" s="91">
      <c r="A38" s="4" t="inlineStr">
        <is>
          <t>WH-Z1-AisleB-Bay1-Level14</t>
        </is>
      </c>
      <c r="B38" s="4" t="n"/>
      <c r="C38" t="inlineStr">
        <is>
          <t>PAL-0000038</t>
        </is>
      </c>
      <c r="D38">
        <f>IF($C38="","",IFERROR(LOOKUP(2,1/('03_Warehouse_Movements'!$C$2:$C$500=$A38),'03_Warehouse_Movements'!$E$2:$E$500),$C38))</f>
        <v/>
      </c>
      <c r="E38" t="inlineStr">
        <is>
          <t>STANDARD</t>
        </is>
      </c>
      <c r="F38" t="inlineStr">
        <is>
          <t>PAL-0000008</t>
        </is>
      </c>
      <c r="G38" s="23" t="n">
        <v>14</v>
      </c>
      <c r="H38" s="3">
        <f>IF(AND($F38="TEMP",$G38&gt;0,$M38&lt;&gt;""),$M38+$G38,"")</f>
        <v/>
      </c>
      <c r="I38" s="3" t="inlineStr">
        <is>
          <t>PAL-0000018</t>
        </is>
      </c>
      <c r="J38" s="4" t="inlineStr">
        <is>
          <t>SAMPLE-TECH</t>
        </is>
      </c>
      <c r="K38" s="3" t="n">
        <v>46052</v>
      </c>
      <c r="L38" s="4" t="inlineStr">
        <is>
          <t>B:OVERFLOW-&lt;ClientLastName&gt;-PO&lt;PO&gt;-&lt;Category&gt;-&lt;Seq&gt;</t>
        </is>
      </c>
      <c r="M38" s="45">
        <f>IF($C38="","",IFERROR(LOOKUP(2,1/('03_Warehouse_Movements'!$C$2:$C$500=$A38),'03_Warehouse_Movements'!$A$2:$A$500),""))</f>
        <v/>
      </c>
      <c r="N38" s="4">
        <f>IF($C38="","",IFERROR(LOOKUP(2,1/('03_Warehouse_Movements'!$C$2:$C$500=$A38),'03_Warehouse_Movements'!$H$2:$H$500),""))</f>
        <v/>
      </c>
      <c r="O38" s="4">
        <f>A38</f>
        <v/>
      </c>
      <c r="Q38" s="25" t="n"/>
      <c r="R38" s="24" t="n"/>
      <c r="W38">
        <f>IF($A2="","",COUNTIF('07_Pallet_Contents'!$A$2:$A$3000,$A2))</f>
        <v/>
      </c>
      <c r="X38">
        <f>IF($A2="","",SUMIF('07_Pallet_Contents'!$A$2:$A$3000,$A2,'07_Pallet_Contents'!$D$2:$D$3000))</f>
        <v/>
      </c>
      <c r="Y38">
        <f>IF($A2="","",SUMIF('07_Pallet_Contents'!$A$2:$A$3000,$A2,'07_Pallet_Contents'!$I$2:$I$3000))</f>
        <v/>
      </c>
      <c r="Z38">
        <f>IF($A2="","",IF(COUNTIF('07_Pallet_Contents'!$A$2:$A$3000,$A2)&gt;0,"Yes",""))</f>
        <v/>
      </c>
    </row>
    <row r="39" ht="27.75" customHeight="1" s="91">
      <c r="A39" s="4" t="inlineStr">
        <is>
          <t>WH-Z1-AisleB-Bay1-Level15</t>
        </is>
      </c>
      <c r="B39" s="4" t="n"/>
      <c r="C39" t="inlineStr">
        <is>
          <t>PAL-0000039</t>
        </is>
      </c>
      <c r="D39">
        <f>IF($C39="","",IFERROR(LOOKUP(2,1/('03_Warehouse_Movements'!$C$2:$C$500=$A39),'03_Warehouse_Movements'!$E$2:$E$500),$C39))</f>
        <v/>
      </c>
      <c r="E39" t="inlineStr">
        <is>
          <t>STANDARD</t>
        </is>
      </c>
      <c r="F39" t="inlineStr">
        <is>
          <t>SAMPLE: Monitors 24-40</t>
        </is>
      </c>
      <c r="G39" s="23" t="n"/>
      <c r="H39" s="3">
        <f>IF(AND($F39="TEMP",$G39&gt;0,$M39&lt;&gt;""),$M39+$G39,"")</f>
        <v/>
      </c>
      <c r="I39" s="3" t="inlineStr">
        <is>
          <t>PAL-0000009</t>
        </is>
      </c>
      <c r="J39" s="4" t="inlineStr">
        <is>
          <t>SAMPLE-TECH</t>
        </is>
      </c>
      <c r="K39" s="3" t="n">
        <v>46052</v>
      </c>
      <c r="L39" s="4" t="inlineStr">
        <is>
          <t>B:OVERFLOW-&lt;ClientLastName&gt;-PO&lt;PO&gt;-&lt;Category&gt;-&lt;Seq&gt;</t>
        </is>
      </c>
      <c r="M39" s="45">
        <f>IF($C39="","",IFERROR(LOOKUP(2,1/('03_Warehouse_Movements'!$C$2:$C$500=$A39),'03_Warehouse_Movements'!$A$2:$A$500),""))</f>
        <v/>
      </c>
      <c r="N39" s="4">
        <f>IF($C39="","",IFERROR(LOOKUP(2,1/('03_Warehouse_Movements'!$C$2:$C$500=$A39),'03_Warehouse_Movements'!$H$2:$H$500),""))</f>
        <v/>
      </c>
      <c r="O39" s="4">
        <f>A39</f>
        <v/>
      </c>
      <c r="Q39" s="25" t="n"/>
      <c r="R39" s="24" t="n"/>
      <c r="W39">
        <f>IF($A2="","",COUNTIF('07_Pallet_Contents'!$A$2:$A$3000,$A2))</f>
        <v/>
      </c>
      <c r="X39">
        <f>IF($A2="","",SUMIF('07_Pallet_Contents'!$A$2:$A$3000,$A2,'07_Pallet_Contents'!$D$2:$D$3000))</f>
        <v/>
      </c>
      <c r="Y39">
        <f>IF($A2="","",SUMIF('07_Pallet_Contents'!$A$2:$A$3000,$A2,'07_Pallet_Contents'!$I$2:$I$3000))</f>
        <v/>
      </c>
      <c r="Z39">
        <f>IF($A2="","",IF(COUNTIF('07_Pallet_Contents'!$A$2:$A$3000,$A2)&gt;0,"Yes",""))</f>
        <v/>
      </c>
    </row>
    <row r="40" ht="27.75" customHeight="1" s="91">
      <c r="A40" s="4" t="inlineStr">
        <is>
          <t>WH-Z1-AisleB-Bay1-Level16</t>
        </is>
      </c>
      <c r="B40" s="4" t="n"/>
      <c r="C40" t="inlineStr">
        <is>
          <t>PAL-0000040</t>
        </is>
      </c>
      <c r="D40">
        <f>IF($C40="","",IFERROR(LOOKUP(2,1/('03_Warehouse_Movements'!$C$2:$C$500=$A40),'03_Warehouse_Movements'!$E$2:$E$500),$C40))</f>
        <v/>
      </c>
      <c r="E40" t="inlineStr">
        <is>
          <t>STANDARD</t>
        </is>
      </c>
      <c r="F40" t="inlineStr">
        <is>
          <t>SAMPLE: Monitors 24-40</t>
        </is>
      </c>
      <c r="G40" s="23" t="n"/>
      <c r="H40" s="3">
        <f>IF(AND($F40="TEMP",$G40&gt;0,$M40&lt;&gt;""),$M40+$G40,"")</f>
        <v/>
      </c>
      <c r="I40" s="3" t="inlineStr">
        <is>
          <t>PAL-0000010</t>
        </is>
      </c>
      <c r="J40" s="4" t="inlineStr">
        <is>
          <t>SAMPLE-TECH</t>
        </is>
      </c>
      <c r="K40" s="3" t="n">
        <v>46052</v>
      </c>
      <c r="L40" s="4" t="inlineStr">
        <is>
          <t>B:OVERFLOW-&lt;ClientLastName&gt;-PO&lt;PO&gt;-&lt;Category&gt;-&lt;Seq&gt;</t>
        </is>
      </c>
      <c r="M40" s="45">
        <f>IF($C40="","",IFERROR(LOOKUP(2,1/('03_Warehouse_Movements'!$C$2:$C$500=$A40),'03_Warehouse_Movements'!$A$2:$A$500),""))</f>
        <v/>
      </c>
      <c r="N40" s="4">
        <f>IF($C40="","",IFERROR(LOOKUP(2,1/('03_Warehouse_Movements'!$C$2:$C$500=$A40),'03_Warehouse_Movements'!$H$2:$H$500),""))</f>
        <v/>
      </c>
      <c r="O40" s="4">
        <f>A40</f>
        <v/>
      </c>
      <c r="Q40" s="25" t="n"/>
      <c r="R40" s="24" t="n"/>
      <c r="W40">
        <f>IF($A2="","",COUNTIF('07_Pallet_Contents'!$A$2:$A$3000,$A2))</f>
        <v/>
      </c>
      <c r="X40">
        <f>IF($A2="","",SUMIF('07_Pallet_Contents'!$A$2:$A$3000,$A2,'07_Pallet_Contents'!$D$2:$D$3000))</f>
        <v/>
      </c>
      <c r="Y40">
        <f>IF($A2="","",SUMIF('07_Pallet_Contents'!$A$2:$A$3000,$A2,'07_Pallet_Contents'!$I$2:$I$3000))</f>
        <v/>
      </c>
      <c r="Z40">
        <f>IF($A2="","",IF(COUNTIF('07_Pallet_Contents'!$A$2:$A$3000,$A2)&gt;0,"Yes",""))</f>
        <v/>
      </c>
    </row>
    <row r="41" ht="27.75" customHeight="1" s="91">
      <c r="A41" s="4" t="inlineStr">
        <is>
          <t>WH-Z1-AisleB-Bay1-Level17</t>
        </is>
      </c>
      <c r="B41" s="4" t="n"/>
      <c r="C41" t="inlineStr">
        <is>
          <t>PAL-0000041</t>
        </is>
      </c>
      <c r="D41">
        <f>IF($C41="","",IFERROR(LOOKUP(2,1/('03_Warehouse_Movements'!$C$2:$C$500=$A41),'03_Warehouse_Movements'!$E$2:$E$500),$C41))</f>
        <v/>
      </c>
      <c r="E41" t="inlineStr">
        <is>
          <t>STANDARD</t>
        </is>
      </c>
      <c r="F41" t="inlineStr">
        <is>
          <t>SAMPLE: Monitors 24-40</t>
        </is>
      </c>
      <c r="G41" s="23" t="n"/>
      <c r="H41" s="3">
        <f>IF(AND($F41="TEMP",$G41&gt;0,$M41&lt;&gt;""),$M41+$G41,"")</f>
        <v/>
      </c>
      <c r="I41" s="3" t="inlineStr">
        <is>
          <t>B</t>
        </is>
      </c>
      <c r="J41" s="4" t="inlineStr">
        <is>
          <t>SAMPLE-TECH</t>
        </is>
      </c>
      <c r="K41" s="3" t="n">
        <v>46052</v>
      </c>
      <c r="L41" s="4" t="inlineStr">
        <is>
          <t>B:OVERFLOW-&lt;ClientLastName&gt;-PO&lt;PO&gt;-&lt;Category&gt;-&lt;Seq&gt;</t>
        </is>
      </c>
      <c r="M41" s="45">
        <f>IF($C41="","",IFERROR(LOOKUP(2,1/('03_Warehouse_Movements'!$C$2:$C$500=$A41),'03_Warehouse_Movements'!$A$2:$A$500),""))</f>
        <v/>
      </c>
      <c r="N41" s="4">
        <f>IF($C41="","",IFERROR(LOOKUP(2,1/('03_Warehouse_Movements'!$C$2:$C$500=$A41),'03_Warehouse_Movements'!$H$2:$H$500),""))</f>
        <v/>
      </c>
      <c r="O41" s="4">
        <f>A41</f>
        <v/>
      </c>
      <c r="Q41" s="25" t="n"/>
      <c r="R41" s="24" t="n"/>
      <c r="W41">
        <f>IF($A2="","",COUNTIF('07_Pallet_Contents'!$A$2:$A$3000,$A2))</f>
        <v/>
      </c>
      <c r="X41">
        <f>IF($A2="","",SUMIF('07_Pallet_Contents'!$A$2:$A$3000,$A2,'07_Pallet_Contents'!$D$2:$D$3000))</f>
        <v/>
      </c>
      <c r="Y41">
        <f>IF($A2="","",SUMIF('07_Pallet_Contents'!$A$2:$A$3000,$A2,'07_Pallet_Contents'!$I$2:$I$3000))</f>
        <v/>
      </c>
      <c r="Z41">
        <f>IF($A2="","",IF(COUNTIF('07_Pallet_Contents'!$A$2:$A$3000,$A2)&gt;0,"Yes",""))</f>
        <v/>
      </c>
    </row>
    <row r="42" ht="27.75" customHeight="1" s="91">
      <c r="A42" s="4" t="inlineStr">
        <is>
          <t>WH-Z1-AisleB-Bay1-Level18</t>
        </is>
      </c>
      <c r="B42" s="4" t="n"/>
      <c r="C42" t="inlineStr">
        <is>
          <t>PAL-0000042</t>
        </is>
      </c>
      <c r="D42">
        <f>IF($C42="","",IFERROR(LOOKUP(2,1/('03_Warehouse_Movements'!$C$2:$C$500=$A42),'03_Warehouse_Movements'!$E$2:$E$500),$C42))</f>
        <v/>
      </c>
      <c r="E42" t="inlineStr">
        <is>
          <t>STANDARD</t>
        </is>
      </c>
      <c r="F42" t="inlineStr">
        <is>
          <t>SAMPLE: Monitors 24-40</t>
        </is>
      </c>
      <c r="G42" s="23" t="n"/>
      <c r="H42" s="3">
        <f>IF(AND($F42="TEMP",$G42&gt;0,$M42&lt;&gt;""),$M42+$G42,"")</f>
        <v/>
      </c>
      <c r="I42" s="3" t="inlineStr">
        <is>
          <t>PAL-0000012</t>
        </is>
      </c>
      <c r="J42" s="4" t="inlineStr">
        <is>
          <t>SAMPLE-TECH</t>
        </is>
      </c>
      <c r="K42" s="3" t="n">
        <v>46052</v>
      </c>
      <c r="L42" s="4" t="inlineStr">
        <is>
          <t>B:OVERFLOW-&lt;ClientLastName&gt;-PO&lt;PO&gt;-&lt;Category&gt;-&lt;Seq&gt;</t>
        </is>
      </c>
      <c r="M42" s="45">
        <f>IF($C42="","",IFERROR(LOOKUP(2,1/('03_Warehouse_Movements'!$C$2:$C$500=$A42),'03_Warehouse_Movements'!$A$2:$A$500),""))</f>
        <v/>
      </c>
      <c r="N42" s="4">
        <f>IF($C42="","",IFERROR(LOOKUP(2,1/('03_Warehouse_Movements'!$C$2:$C$500=$A42),'03_Warehouse_Movements'!$H$2:$H$500),""))</f>
        <v/>
      </c>
      <c r="O42" s="4">
        <f>A42</f>
        <v/>
      </c>
      <c r="Q42" s="25" t="n"/>
      <c r="R42" s="24" t="n"/>
      <c r="W42">
        <f>IF($A2="","",COUNTIF('07_Pallet_Contents'!$A$2:$A$3000,$A2))</f>
        <v/>
      </c>
      <c r="X42">
        <f>IF($A2="","",SUMIF('07_Pallet_Contents'!$A$2:$A$3000,$A2,'07_Pallet_Contents'!$D$2:$D$3000))</f>
        <v/>
      </c>
      <c r="Y42">
        <f>IF($A2="","",SUMIF('07_Pallet_Contents'!$A$2:$A$3000,$A2,'07_Pallet_Contents'!$I$2:$I$3000))</f>
        <v/>
      </c>
      <c r="Z42">
        <f>IF($A2="","",IF(COUNTIF('07_Pallet_Contents'!$A$2:$A$3000,$A2)&gt;0,"Yes",""))</f>
        <v/>
      </c>
    </row>
    <row r="43" ht="27.75" customHeight="1" s="91">
      <c r="A43" s="4" t="inlineStr">
        <is>
          <t>WH-Z1-AisleB-Bay1-Level19</t>
        </is>
      </c>
      <c r="B43" s="4" t="n"/>
      <c r="C43" t="inlineStr">
        <is>
          <t>PAL-0000043</t>
        </is>
      </c>
      <c r="D43">
        <f>IF($C43="","",IFERROR(LOOKUP(2,1/('03_Warehouse_Movements'!$C$2:$C$500=$A43),'03_Warehouse_Movements'!$E$2:$E$500),$C43))</f>
        <v/>
      </c>
      <c r="E43" t="inlineStr">
        <is>
          <t>STANDARD</t>
        </is>
      </c>
      <c r="F43" t="inlineStr">
        <is>
          <t>SAMPLE: Monitors 24-40</t>
        </is>
      </c>
      <c r="G43" s="23" t="n"/>
      <c r="H43" s="3">
        <f>IF(AND($F43="TEMP",$G43&gt;0,$M43&lt;&gt;""),$M43+$G43,"")</f>
        <v/>
      </c>
      <c r="I43" s="3" t="inlineStr">
        <is>
          <t>SAMPLE: replace with real notes / serials / constraints</t>
        </is>
      </c>
      <c r="J43" s="4" t="inlineStr">
        <is>
          <t>SAMPLE-TECH</t>
        </is>
      </c>
      <c r="K43" s="3" t="n">
        <v>46052</v>
      </c>
      <c r="L43" s="4" t="inlineStr">
        <is>
          <t>B:OVERFLOW-&lt;ClientLastName&gt;-PO&lt;PO&gt;-&lt;Category&gt;-&lt;Seq&gt;</t>
        </is>
      </c>
      <c r="M43" s="45">
        <f>IF($C43="","",IFERROR(LOOKUP(2,1/('03_Warehouse_Movements'!$C$2:$C$500=$A43),'03_Warehouse_Movements'!$A$2:$A$500),""))</f>
        <v/>
      </c>
      <c r="N43" s="4">
        <f>IF($C43="","",IFERROR(LOOKUP(2,1/('03_Warehouse_Movements'!$C$2:$C$500=$A43),'03_Warehouse_Movements'!$H$2:$H$500),""))</f>
        <v/>
      </c>
      <c r="O43" s="4">
        <f>A43</f>
        <v/>
      </c>
      <c r="Q43" s="25" t="n"/>
      <c r="R43" s="24" t="n"/>
      <c r="W43">
        <f>IF($A2="","",COUNTIF('07_Pallet_Contents'!$A$2:$A$3000,$A2))</f>
        <v/>
      </c>
      <c r="X43">
        <f>IF($A2="","",SUMIF('07_Pallet_Contents'!$A$2:$A$3000,$A2,'07_Pallet_Contents'!$D$2:$D$3000))</f>
        <v/>
      </c>
      <c r="Y43">
        <f>IF($A2="","",SUMIF('07_Pallet_Contents'!$A$2:$A$3000,$A2,'07_Pallet_Contents'!$I$2:$I$3000))</f>
        <v/>
      </c>
      <c r="Z43">
        <f>IF($A2="","",IF(COUNTIF('07_Pallet_Contents'!$A$2:$A$3000,$A2)&gt;0,"Yes",""))</f>
        <v/>
      </c>
    </row>
    <row r="44" ht="27.75" customHeight="1" s="91">
      <c r="A44" s="4" t="inlineStr">
        <is>
          <t>OVERFLOW-SAMPLE-PO1042-CAT3-PAL043</t>
        </is>
      </c>
      <c r="B44" s="4" t="inlineStr">
        <is>
          <t>WH-Z1-AisleB-Bay1-Level20</t>
        </is>
      </c>
      <c r="C44" t="inlineStr">
        <is>
          <t>PAL-0000044</t>
        </is>
      </c>
      <c r="D44">
        <f>IF($C44="","",IFERROR(LOOKUP(2,1/('03_Warehouse_Movements'!$C$2:$C$500=$A44),'03_Warehouse_Movements'!$E$2:$E$500),$C44))</f>
        <v/>
      </c>
      <c r="E44" t="inlineStr">
        <is>
          <t>STANDARD</t>
        </is>
      </c>
      <c r="F44" t="inlineStr">
        <is>
          <t>PAL-0000008</t>
        </is>
      </c>
      <c r="G44" s="23" t="n">
        <v>14</v>
      </c>
      <c r="H44" s="3">
        <f>IF(AND($F44="TEMP",$G44&gt;0,$M44&lt;&gt;""),$M44+$G44,"")</f>
        <v/>
      </c>
      <c r="I44" s="3" t="inlineStr">
        <is>
          <t>PAL-0000014</t>
        </is>
      </c>
      <c r="J44" s="4" t="inlineStr">
        <is>
          <t>SAMPLE-TECH</t>
        </is>
      </c>
      <c r="K44" s="3" t="n">
        <v>46052</v>
      </c>
      <c r="L44" s="4" t="inlineStr">
        <is>
          <t>B:OVERFLOW-&lt;ClientLastName&gt;-PO&lt;PO&gt;-&lt;Category&gt;-&lt;Seq&gt;</t>
        </is>
      </c>
      <c r="M44" s="45">
        <f>IF($C44="","",IFERROR(LOOKUP(2,1/('03_Warehouse_Movements'!$C$2:$C$500=$A44),'03_Warehouse_Movements'!$A$2:$A$500),""))</f>
        <v/>
      </c>
      <c r="N44" s="4">
        <f>IF($C44="","",IFERROR(LOOKUP(2,1/('03_Warehouse_Movements'!$C$2:$C$500=$A44),'03_Warehouse_Movements'!$H$2:$H$500),""))</f>
        <v/>
      </c>
      <c r="O44" s="4">
        <f>A44</f>
        <v/>
      </c>
      <c r="Q44" s="25" t="n"/>
      <c r="R44" s="24" t="n"/>
      <c r="W44">
        <f>IF($A2="","",COUNTIF('07_Pallet_Contents'!$A$2:$A$3000,$A2))</f>
        <v/>
      </c>
      <c r="X44">
        <f>IF($A2="","",SUMIF('07_Pallet_Contents'!$A$2:$A$3000,$A2,'07_Pallet_Contents'!$D$2:$D$3000))</f>
        <v/>
      </c>
      <c r="Y44">
        <f>IF($A2="","",SUMIF('07_Pallet_Contents'!$A$2:$A$3000,$A2,'07_Pallet_Contents'!$I$2:$I$3000))</f>
        <v/>
      </c>
      <c r="Z44">
        <f>IF($A2="","",IF(COUNTIF('07_Pallet_Contents'!$A$2:$A$3000,$A2)&gt;0,"Yes",""))</f>
        <v/>
      </c>
    </row>
    <row r="45" ht="27.75" customHeight="1" s="91">
      <c r="A45" s="4" t="inlineStr">
        <is>
          <t>WH-Z1-AisleC-Bay1-Level1</t>
        </is>
      </c>
      <c r="B45" s="4" t="n"/>
      <c r="C45" t="inlineStr">
        <is>
          <t>PAL-0000045</t>
        </is>
      </c>
      <c r="D45">
        <f>IF($C45="","",IFERROR(LOOKUP(2,1/('03_Warehouse_Movements'!$C$2:$C$500=$A45),'03_Warehouse_Movements'!$E$2:$E$500),$C45))</f>
        <v/>
      </c>
      <c r="E45" t="inlineStr">
        <is>
          <t>STANDARD</t>
        </is>
      </c>
      <c r="F45" t="inlineStr">
        <is>
          <t>SAMPLE: Monitors 24-40</t>
        </is>
      </c>
      <c r="G45" s="23" t="n"/>
      <c r="H45" s="3">
        <f>IF(AND($F45="TEMP",$G45&gt;0,$M45&lt;&gt;""),$M45+$G45,"")</f>
        <v/>
      </c>
      <c r="I45" s="3" t="inlineStr">
        <is>
          <t>PAL-0000015</t>
        </is>
      </c>
      <c r="J45" s="4" t="inlineStr">
        <is>
          <t>SAMPLE-TECH</t>
        </is>
      </c>
      <c r="K45" s="3" t="n">
        <v>46052</v>
      </c>
      <c r="L45" s="4" t="inlineStr">
        <is>
          <t>B:OVERFLOW-&lt;ClientLastName&gt;-PO&lt;PO&gt;-&lt;Category&gt;-&lt;Seq&gt;</t>
        </is>
      </c>
      <c r="M45" s="45">
        <f>IF($C45="","",IFERROR(LOOKUP(2,1/('03_Warehouse_Movements'!$C$2:$C$500=$A45),'03_Warehouse_Movements'!$A$2:$A$500),""))</f>
        <v/>
      </c>
      <c r="N45" s="4">
        <f>IF($C45="","",IFERROR(LOOKUP(2,1/('03_Warehouse_Movements'!$C$2:$C$500=$A45),'03_Warehouse_Movements'!$H$2:$H$500),""))</f>
        <v/>
      </c>
      <c r="O45" s="4">
        <f>A45</f>
        <v/>
      </c>
      <c r="Q45" s="25" t="n"/>
      <c r="R45" s="24" t="n"/>
      <c r="W45">
        <f>IF($A2="","",COUNTIF('07_Pallet_Contents'!$A$2:$A$3000,$A2))</f>
        <v/>
      </c>
      <c r="X45">
        <f>IF($A2="","",SUMIF('07_Pallet_Contents'!$A$2:$A$3000,$A2,'07_Pallet_Contents'!$D$2:$D$3000))</f>
        <v/>
      </c>
      <c r="Y45">
        <f>IF($A2="","",SUMIF('07_Pallet_Contents'!$A$2:$A$3000,$A2,'07_Pallet_Contents'!$I$2:$I$3000))</f>
        <v/>
      </c>
      <c r="Z45">
        <f>IF($A2="","",IF(COUNTIF('07_Pallet_Contents'!$A$2:$A$3000,$A2)&gt;0,"Yes",""))</f>
        <v/>
      </c>
    </row>
    <row r="46" ht="27.75" customHeight="1" s="91">
      <c r="A46" s="4" t="inlineStr">
        <is>
          <t>WH-Z1-AisleC-Bay1-Level2</t>
        </is>
      </c>
      <c r="B46" s="4" t="n"/>
      <c r="C46" t="inlineStr">
        <is>
          <t>PAL-0000046</t>
        </is>
      </c>
      <c r="D46">
        <f>IF($C46="","",IFERROR(LOOKUP(2,1/('03_Warehouse_Movements'!$C$2:$C$500=$A46),'03_Warehouse_Movements'!$E$2:$E$500),$C46))</f>
        <v/>
      </c>
      <c r="E46" t="inlineStr">
        <is>
          <t>STANDARD</t>
        </is>
      </c>
      <c r="F46" t="inlineStr">
        <is>
          <t>SAMPLE: Monitors 24-40</t>
        </is>
      </c>
      <c r="G46" s="23" t="n"/>
      <c r="H46" s="3">
        <f>IF(AND($F46="TEMP",$G46&gt;0,$M46&lt;&gt;""),$M46+$G46,"")</f>
        <v/>
      </c>
      <c r="I46" s="3" t="inlineStr">
        <is>
          <t>PAL-0000016</t>
        </is>
      </c>
      <c r="J46" s="4" t="inlineStr">
        <is>
          <t>SAMPLE-TECH</t>
        </is>
      </c>
      <c r="K46" s="3" t="n">
        <v>46052</v>
      </c>
      <c r="L46" s="4" t="inlineStr">
        <is>
          <t>B:OVERFLOW-&lt;ClientLastName&gt;-PO&lt;PO&gt;-&lt;Category&gt;-&lt;Seq&gt;</t>
        </is>
      </c>
      <c r="M46" s="45">
        <f>IF($C46="","",IFERROR(LOOKUP(2,1/('03_Warehouse_Movements'!$C$2:$C$500=$A46),'03_Warehouse_Movements'!$A$2:$A$500),""))</f>
        <v/>
      </c>
      <c r="N46" s="4">
        <f>IF($C46="","",IFERROR(LOOKUP(2,1/('03_Warehouse_Movements'!$C$2:$C$500=$A46),'03_Warehouse_Movements'!$H$2:$H$500),""))</f>
        <v/>
      </c>
      <c r="O46" s="4">
        <f>A46</f>
        <v/>
      </c>
      <c r="Q46" s="25" t="n"/>
      <c r="R46" s="24" t="n"/>
      <c r="W46">
        <f>IF($A2="","",COUNTIF('07_Pallet_Contents'!$A$2:$A$3000,$A2))</f>
        <v/>
      </c>
      <c r="X46">
        <f>IF($A2="","",SUMIF('07_Pallet_Contents'!$A$2:$A$3000,$A2,'07_Pallet_Contents'!$D$2:$D$3000))</f>
        <v/>
      </c>
      <c r="Y46">
        <f>IF($A2="","",SUMIF('07_Pallet_Contents'!$A$2:$A$3000,$A2,'07_Pallet_Contents'!$I$2:$I$3000))</f>
        <v/>
      </c>
      <c r="Z46">
        <f>IF($A2="","",IF(COUNTIF('07_Pallet_Contents'!$A$2:$A$3000,$A2)&gt;0,"Yes",""))</f>
        <v/>
      </c>
    </row>
    <row r="47" ht="27.75" customHeight="1" s="91">
      <c r="A47" s="4" t="inlineStr">
        <is>
          <t>WH-Z1-AisleC-Bay1-Level3</t>
        </is>
      </c>
      <c r="B47" s="4" t="n"/>
      <c r="C47" t="inlineStr">
        <is>
          <t>PAL-0000047</t>
        </is>
      </c>
      <c r="D47">
        <f>IF($C47="","",IFERROR(LOOKUP(2,1/('03_Warehouse_Movements'!$C$2:$C$500=$A47),'03_Warehouse_Movements'!$E$2:$E$500),$C47))</f>
        <v/>
      </c>
      <c r="E47" t="inlineStr">
        <is>
          <t>STANDARD</t>
        </is>
      </c>
      <c r="F47" t="inlineStr">
        <is>
          <t>SAMPLE: Monitors 24-40</t>
        </is>
      </c>
      <c r="G47" s="23" t="n"/>
      <c r="H47" s="3">
        <f>IF(AND($F47="TEMP",$G47&gt;0,$M47&lt;&gt;""),$M47+$G47,"")</f>
        <v/>
      </c>
      <c r="I47" s="3" t="inlineStr">
        <is>
          <t>PAL-0000017</t>
        </is>
      </c>
      <c r="J47" s="4" t="inlineStr">
        <is>
          <t>SAMPLE-TECH</t>
        </is>
      </c>
      <c r="K47" s="3" t="n">
        <v>46052</v>
      </c>
      <c r="L47" s="4" t="inlineStr">
        <is>
          <t>B:OVERFLOW-&lt;ClientLastName&gt;-PO&lt;PO&gt;-&lt;Category&gt;-&lt;Seq&gt;</t>
        </is>
      </c>
      <c r="M47" s="45">
        <f>IF($C47="","",IFERROR(LOOKUP(2,1/('03_Warehouse_Movements'!$C$2:$C$500=$A47),'03_Warehouse_Movements'!$A$2:$A$500),""))</f>
        <v/>
      </c>
      <c r="N47" s="4">
        <f>IF($C47="","",IFERROR(LOOKUP(2,1/('03_Warehouse_Movements'!$C$2:$C$500=$A47),'03_Warehouse_Movements'!$H$2:$H$500),""))</f>
        <v/>
      </c>
      <c r="O47" s="4">
        <f>A47</f>
        <v/>
      </c>
      <c r="Q47" s="25" t="n"/>
      <c r="R47" s="24" t="n"/>
      <c r="W47">
        <f>IF($A2="","",COUNTIF('07_Pallet_Contents'!$A$2:$A$3000,$A2))</f>
        <v/>
      </c>
      <c r="X47">
        <f>IF($A2="","",SUMIF('07_Pallet_Contents'!$A$2:$A$3000,$A2,'07_Pallet_Contents'!$D$2:$D$3000))</f>
        <v/>
      </c>
      <c r="Y47">
        <f>IF($A2="","",SUMIF('07_Pallet_Contents'!$A$2:$A$3000,$A2,'07_Pallet_Contents'!$I$2:$I$3000))</f>
        <v/>
      </c>
      <c r="Z47">
        <f>IF($A2="","",IF(COUNTIF('07_Pallet_Contents'!$A$2:$A$3000,$A2)&gt;0,"Yes",""))</f>
        <v/>
      </c>
    </row>
    <row r="48" ht="27.75" customHeight="1" s="91">
      <c r="A48" s="4" t="inlineStr">
        <is>
          <t>WH-Z1-AisleC-Bay1-Level4</t>
        </is>
      </c>
      <c r="B48" s="4" t="n"/>
      <c r="C48" t="inlineStr">
        <is>
          <t>PAL-0000048</t>
        </is>
      </c>
      <c r="D48">
        <f>IF($C48="","",IFERROR(LOOKUP(2,1/('03_Warehouse_Movements'!$C$2:$C$500=$A48),'03_Warehouse_Movements'!$E$2:$E$500),$C48))</f>
        <v/>
      </c>
      <c r="E48" t="inlineStr">
        <is>
          <t>STANDARD</t>
        </is>
      </c>
      <c r="F48" t="inlineStr">
        <is>
          <t>SAMPLE: Monitors 24-40</t>
        </is>
      </c>
      <c r="G48" s="23" t="n"/>
      <c r="H48" s="3">
        <f>IF(AND($F48="TEMP",$G48&gt;0,$M48&lt;&gt;""),$M48+$G48,"")</f>
        <v/>
      </c>
      <c r="I48" s="3" t="inlineStr">
        <is>
          <t>PAL-0000018</t>
        </is>
      </c>
      <c r="J48" s="4" t="inlineStr">
        <is>
          <t>SAMPLE-TECH</t>
        </is>
      </c>
      <c r="K48" s="3" t="n">
        <v>46052</v>
      </c>
      <c r="L48" s="4" t="inlineStr">
        <is>
          <t>B:OVERFLOW-&lt;ClientLastName&gt;-PO&lt;PO&gt;-&lt;Category&gt;-&lt;Seq&gt;</t>
        </is>
      </c>
      <c r="M48" s="45">
        <f>IF($C48="","",IFERROR(LOOKUP(2,1/('03_Warehouse_Movements'!$C$2:$C$500=$A48),'03_Warehouse_Movements'!$A$2:$A$500),""))</f>
        <v/>
      </c>
      <c r="N48" s="4">
        <f>IF($C48="","",IFERROR(LOOKUP(2,1/('03_Warehouse_Movements'!$C$2:$C$500=$A48),'03_Warehouse_Movements'!$H$2:$H$500),""))</f>
        <v/>
      </c>
      <c r="O48" s="4">
        <f>A48</f>
        <v/>
      </c>
      <c r="Q48" s="25" t="n"/>
      <c r="R48" s="24" t="n"/>
      <c r="W48">
        <f>IF($A2="","",COUNTIF('07_Pallet_Contents'!$A$2:$A$3000,$A2))</f>
        <v/>
      </c>
      <c r="X48">
        <f>IF($A2="","",SUMIF('07_Pallet_Contents'!$A$2:$A$3000,$A2,'07_Pallet_Contents'!$D$2:$D$3000))</f>
        <v/>
      </c>
      <c r="Y48">
        <f>IF($A2="","",SUMIF('07_Pallet_Contents'!$A$2:$A$3000,$A2,'07_Pallet_Contents'!$I$2:$I$3000))</f>
        <v/>
      </c>
      <c r="Z48">
        <f>IF($A2="","",IF(COUNTIF('07_Pallet_Contents'!$A$2:$A$3000,$A2)&gt;0,"Yes",""))</f>
        <v/>
      </c>
    </row>
    <row r="49" ht="27.75" customHeight="1" s="91">
      <c r="A49" s="4" t="inlineStr">
        <is>
          <t>WH-Z1-AisleC-Bay1-Level5</t>
        </is>
      </c>
      <c r="B49" s="4" t="n"/>
      <c r="C49" t="inlineStr">
        <is>
          <t>PAL-0000049</t>
        </is>
      </c>
      <c r="D49">
        <f>IF($C49="","",IFERROR(LOOKUP(2,1/('03_Warehouse_Movements'!$C$2:$C$500=$A49),'03_Warehouse_Movements'!$E$2:$E$500),$C49))</f>
        <v/>
      </c>
      <c r="E49" t="inlineStr">
        <is>
          <t>STANDARD</t>
        </is>
      </c>
      <c r="F49" t="inlineStr">
        <is>
          <t>SAMPLE: Monitors 24-40</t>
        </is>
      </c>
      <c r="G49" s="23" t="n"/>
      <c r="H49" s="3">
        <f>IF(AND($F49="TEMP",$G49&gt;0,$M49&lt;&gt;""),$M49+$G49,"")</f>
        <v/>
      </c>
      <c r="I49" s="3" t="inlineStr">
        <is>
          <t>PAL-0000009</t>
        </is>
      </c>
      <c r="J49" s="4" t="inlineStr">
        <is>
          <t>SAMPLE-TECH</t>
        </is>
      </c>
      <c r="K49" s="3" t="n">
        <v>46052</v>
      </c>
      <c r="L49" s="4" t="inlineStr">
        <is>
          <t>B:OVERFLOW-&lt;ClientLastName&gt;-PO&lt;PO&gt;-&lt;Category&gt;-&lt;Seq&gt;</t>
        </is>
      </c>
      <c r="M49" s="45">
        <f>IF($C49="","",IFERROR(LOOKUP(2,1/('03_Warehouse_Movements'!$C$2:$C$500=$A49),'03_Warehouse_Movements'!$A$2:$A$500),""))</f>
        <v/>
      </c>
      <c r="N49" s="4">
        <f>IF($C49="","",IFERROR(LOOKUP(2,1/('03_Warehouse_Movements'!$C$2:$C$500=$A49),'03_Warehouse_Movements'!$H$2:$H$500),""))</f>
        <v/>
      </c>
      <c r="O49" s="4">
        <f>A49</f>
        <v/>
      </c>
      <c r="Q49" s="25" t="n"/>
      <c r="R49" s="24" t="n"/>
      <c r="W49">
        <f>IF($A2="","",COUNTIF('07_Pallet_Contents'!$A$2:$A$3000,$A2))</f>
        <v/>
      </c>
      <c r="X49">
        <f>IF($A2="","",SUMIF('07_Pallet_Contents'!$A$2:$A$3000,$A2,'07_Pallet_Contents'!$D$2:$D$3000))</f>
        <v/>
      </c>
      <c r="Y49">
        <f>IF($A2="","",SUMIF('07_Pallet_Contents'!$A$2:$A$3000,$A2,'07_Pallet_Contents'!$I$2:$I$3000))</f>
        <v/>
      </c>
      <c r="Z49">
        <f>IF($A2="","",IF(COUNTIF('07_Pallet_Contents'!$A$2:$A$3000,$A2)&gt;0,"Yes",""))</f>
        <v/>
      </c>
    </row>
    <row r="50" ht="27.75" customHeight="1" s="91">
      <c r="A50" s="4" t="inlineStr">
        <is>
          <t>WH-Z1-AisleC-Bay1-Level6</t>
        </is>
      </c>
      <c r="B50" s="4" t="n"/>
      <c r="C50" t="inlineStr">
        <is>
          <t>PAL-0000050</t>
        </is>
      </c>
      <c r="D50">
        <f>IF($C50="","",IFERROR(LOOKUP(2,1/('03_Warehouse_Movements'!$C$2:$C$500=$A50),'03_Warehouse_Movements'!$E$2:$E$500),$C50))</f>
        <v/>
      </c>
      <c r="E50" t="inlineStr">
        <is>
          <t>STANDARD</t>
        </is>
      </c>
      <c r="F50" t="inlineStr">
        <is>
          <t>PAL-0000008</t>
        </is>
      </c>
      <c r="G50" s="23" t="n">
        <v>14</v>
      </c>
      <c r="H50" s="3">
        <f>IF(AND($F50="TEMP",$G50&gt;0,$M50&lt;&gt;""),$M50+$G50,"")</f>
        <v/>
      </c>
      <c r="I50" s="3" t="inlineStr">
        <is>
          <t>PAL-0000010</t>
        </is>
      </c>
      <c r="J50" s="4" t="inlineStr">
        <is>
          <t>SAMPLE-TECH</t>
        </is>
      </c>
      <c r="K50" s="3" t="n">
        <v>46052</v>
      </c>
      <c r="L50" s="4" t="inlineStr">
        <is>
          <t>B:OVERFLOW-&lt;ClientLastName&gt;-PO&lt;PO&gt;-&lt;Category&gt;-&lt;Seq&gt;</t>
        </is>
      </c>
      <c r="M50" s="45">
        <f>IF($C50="","",IFERROR(LOOKUP(2,1/('03_Warehouse_Movements'!$C$2:$C$500=$A50),'03_Warehouse_Movements'!$A$2:$A$500),""))</f>
        <v/>
      </c>
      <c r="N50" s="4">
        <f>IF($C50="","",IFERROR(LOOKUP(2,1/('03_Warehouse_Movements'!$C$2:$C$500=$A50),'03_Warehouse_Movements'!$H$2:$H$500),""))</f>
        <v/>
      </c>
      <c r="O50" s="4">
        <f>A50</f>
        <v/>
      </c>
      <c r="Q50" s="25" t="n"/>
      <c r="R50" s="24" t="n"/>
      <c r="W50">
        <f>IF($A2="","",COUNTIF('07_Pallet_Contents'!$A$2:$A$3000,$A2))</f>
        <v/>
      </c>
      <c r="X50">
        <f>IF($A2="","",SUMIF('07_Pallet_Contents'!$A$2:$A$3000,$A2,'07_Pallet_Contents'!$D$2:$D$3000))</f>
        <v/>
      </c>
      <c r="Y50">
        <f>IF($A2="","",SUMIF('07_Pallet_Contents'!$A$2:$A$3000,$A2,'07_Pallet_Contents'!$I$2:$I$3000))</f>
        <v/>
      </c>
      <c r="Z50">
        <f>IF($A2="","",IF(COUNTIF('07_Pallet_Contents'!$A$2:$A$3000,$A2)&gt;0,"Yes",""))</f>
        <v/>
      </c>
    </row>
    <row r="51" ht="27.75" customHeight="1" s="91">
      <c r="A51" s="4" t="inlineStr">
        <is>
          <t>OVERFLOW-SAMPLE-PO1049-CAT5-PAL050</t>
        </is>
      </c>
      <c r="B51" s="4" t="inlineStr">
        <is>
          <t>WH-Z1-AisleC-Bay1-Level7</t>
        </is>
      </c>
      <c r="C51" t="inlineStr">
        <is>
          <t>RETIRED</t>
        </is>
      </c>
      <c r="D51">
        <f>IF($C51="","",IFERROR(LOOKUP(2,1/('03_Warehouse_Movements'!$C$2:$C$500=$A51),'03_Warehouse_Movements'!$E$2:$E$500),$C51))</f>
        <v/>
      </c>
      <c r="E51" t="inlineStr">
        <is>
          <t>PAL-0000051</t>
        </is>
      </c>
      <c r="F51" t="inlineStr">
        <is>
          <t>SAMPLE: Monitors 24-40</t>
        </is>
      </c>
      <c r="G51" s="23" t="n"/>
      <c r="H51" s="3">
        <f>IF(AND($F51="TEMP",$G51&gt;0,$M51&lt;&gt;""),$M51+$G51,"")</f>
        <v/>
      </c>
      <c r="I51" s="3" t="inlineStr">
        <is>
          <t>B</t>
        </is>
      </c>
      <c r="J51" s="4" t="inlineStr">
        <is>
          <t>SAMPLE-TECH</t>
        </is>
      </c>
      <c r="K51" s="3" t="n">
        <v>46052</v>
      </c>
      <c r="L51" s="4" t="inlineStr">
        <is>
          <t>B:OVERFLOW-&lt;ClientLastName&gt;-PO&lt;PO&gt;-&lt;Category&gt;-&lt;Seq&gt;</t>
        </is>
      </c>
      <c r="M51" s="45">
        <f>IF($C51="","",IFERROR(LOOKUP(2,1/('03_Warehouse_Movements'!$C$2:$C$500=$A51),'03_Warehouse_Movements'!$A$2:$A$500),""))</f>
        <v/>
      </c>
      <c r="N51" s="4">
        <f>IF($C51="","",IFERROR(LOOKUP(2,1/('03_Warehouse_Movements'!$C$2:$C$500=$A51),'03_Warehouse_Movements'!$H$2:$H$500),""))</f>
        <v/>
      </c>
      <c r="O51" s="4">
        <f>A51</f>
        <v/>
      </c>
      <c r="Q51" s="25" t="n"/>
      <c r="R51" s="24" t="n"/>
      <c r="W51">
        <f>IF($A2="","",COUNTIF('07_Pallet_Contents'!$A$2:$A$3000,$A2))</f>
        <v/>
      </c>
      <c r="X51">
        <f>IF($A2="","",SUMIF('07_Pallet_Contents'!$A$2:$A$3000,$A2,'07_Pallet_Contents'!$D$2:$D$3000))</f>
        <v/>
      </c>
      <c r="Y51">
        <f>IF($A2="","",SUMIF('07_Pallet_Contents'!$A$2:$A$3000,$A2,'07_Pallet_Contents'!$I$2:$I$3000))</f>
        <v/>
      </c>
      <c r="Z51">
        <f>IF($A2="","",IF(COUNTIF('07_Pallet_Contents'!$A$2:$A$3000,$A2)&gt;0,"Yes",""))</f>
        <v/>
      </c>
    </row>
    <row r="52" ht="27.75" customHeight="1" s="91">
      <c r="A52" s="4" t="inlineStr">
        <is>
          <t>WH-Z1-AisleC-Bay1-Level8</t>
        </is>
      </c>
      <c r="B52" s="4" t="n"/>
      <c r="C52" t="inlineStr">
        <is>
          <t>PAL-0000052</t>
        </is>
      </c>
      <c r="D52">
        <f>IF($C52="","",IFERROR(LOOKUP(2,1/('03_Warehouse_Movements'!$C$2:$C$500=$A52),'03_Warehouse_Movements'!$E$2:$E$500),$C52))</f>
        <v/>
      </c>
      <c r="E52" t="inlineStr">
        <is>
          <t>PAL-0000051</t>
        </is>
      </c>
      <c r="F52" t="inlineStr">
        <is>
          <t>SAMPLE: Monitors 24-40</t>
        </is>
      </c>
      <c r="G52" s="23" t="n"/>
      <c r="H52" s="3">
        <f>IF(AND($F52="TEMP",$G52&gt;0,$M52&lt;&gt;""),$M52+$G52,"")</f>
        <v/>
      </c>
      <c r="I52" s="3" t="inlineStr">
        <is>
          <t>PAL-0000012</t>
        </is>
      </c>
      <c r="J52" s="4" t="inlineStr">
        <is>
          <t>SAMPLE-TECH</t>
        </is>
      </c>
      <c r="K52" s="3" t="n">
        <v>46052</v>
      </c>
      <c r="L52" s="4" t="inlineStr">
        <is>
          <t>B:OVERFLOW-&lt;ClientLastName&gt;-PO&lt;PO&gt;-&lt;Category&gt;-&lt;Seq&gt;</t>
        </is>
      </c>
      <c r="M52" s="45">
        <f>IF($C52="","",IFERROR(LOOKUP(2,1/('03_Warehouse_Movements'!$C$2:$C$500=$A52),'03_Warehouse_Movements'!$A$2:$A$500),""))</f>
        <v/>
      </c>
      <c r="N52" s="4">
        <f>IF($C52="","",IFERROR(LOOKUP(2,1/('03_Warehouse_Movements'!$C$2:$C$500=$A52),'03_Warehouse_Movements'!$H$2:$H$500),""))</f>
        <v/>
      </c>
      <c r="O52" s="4">
        <f>A52</f>
        <v/>
      </c>
      <c r="Q52" s="25" t="n"/>
      <c r="R52" s="24" t="n"/>
      <c r="W52">
        <f>IF($A2="","",COUNTIF('07_Pallet_Contents'!$A$2:$A$3000,$A2))</f>
        <v/>
      </c>
      <c r="X52">
        <f>IF($A2="","",SUMIF('07_Pallet_Contents'!$A$2:$A$3000,$A2,'07_Pallet_Contents'!$D$2:$D$3000))</f>
        <v/>
      </c>
      <c r="Y52">
        <f>IF($A2="","",SUMIF('07_Pallet_Contents'!$A$2:$A$3000,$A2,'07_Pallet_Contents'!$I$2:$I$3000))</f>
        <v/>
      </c>
      <c r="Z52">
        <f>IF($A2="","",IF(COUNTIF('07_Pallet_Contents'!$A$2:$A$3000,$A2)&gt;0,"Yes",""))</f>
        <v/>
      </c>
    </row>
    <row r="53" ht="27.75" customHeight="1" s="91">
      <c r="A53" s="4" t="inlineStr">
        <is>
          <t>WH-Z1-AisleC-Bay1-Level9</t>
        </is>
      </c>
      <c r="B53" s="4" t="n"/>
      <c r="C53" t="inlineStr">
        <is>
          <t>PAL-0000053</t>
        </is>
      </c>
      <c r="D53">
        <f>IF($C53="","",IFERROR(LOOKUP(2,1/('03_Warehouse_Movements'!$C$2:$C$500=$A53),'03_Warehouse_Movements'!$E$2:$E$500),$C53))</f>
        <v/>
      </c>
      <c r="E53" t="inlineStr">
        <is>
          <t>STANDARD</t>
        </is>
      </c>
      <c r="F53" t="inlineStr">
        <is>
          <t>SAMPLE: Monitors 24-40</t>
        </is>
      </c>
      <c r="G53" s="23" t="n"/>
      <c r="H53" s="3">
        <f>IF(AND($F53="TEMP",$G53&gt;0,$M53&lt;&gt;""),$M53+$G53,"")</f>
        <v/>
      </c>
      <c r="I53" s="3" t="inlineStr">
        <is>
          <t>SAMPLE: replace with real notes / serials / constraints</t>
        </is>
      </c>
      <c r="J53" s="4" t="inlineStr">
        <is>
          <t>SAMPLE-TECH</t>
        </is>
      </c>
      <c r="K53" s="3" t="n">
        <v>46052</v>
      </c>
      <c r="L53" s="4" t="inlineStr">
        <is>
          <t>B:OVERFLOW-&lt;ClientLastName&gt;-PO&lt;PO&gt;-&lt;Category&gt;-&lt;Seq&gt;</t>
        </is>
      </c>
      <c r="M53" s="45">
        <f>IF($C53="","",IFERROR(LOOKUP(2,1/('03_Warehouse_Movements'!$C$2:$C$500=$A53),'03_Warehouse_Movements'!$A$2:$A$500),""))</f>
        <v/>
      </c>
      <c r="N53" s="4">
        <f>IF($C53="","",IFERROR(LOOKUP(2,1/('03_Warehouse_Movements'!$C$2:$C$500=$A53),'03_Warehouse_Movements'!$H$2:$H$500),""))</f>
        <v/>
      </c>
      <c r="O53" s="4">
        <f>A53</f>
        <v/>
      </c>
      <c r="Q53" s="25" t="n"/>
      <c r="R53" s="24" t="n"/>
      <c r="W53">
        <f>IF($A2="","",COUNTIF('07_Pallet_Contents'!$A$2:$A$3000,$A2))</f>
        <v/>
      </c>
      <c r="X53">
        <f>IF($A2="","",SUMIF('07_Pallet_Contents'!$A$2:$A$3000,$A2,'07_Pallet_Contents'!$D$2:$D$3000))</f>
        <v/>
      </c>
      <c r="Y53">
        <f>IF($A2="","",SUMIF('07_Pallet_Contents'!$A$2:$A$3000,$A2,'07_Pallet_Contents'!$I$2:$I$3000))</f>
        <v/>
      </c>
      <c r="Z53">
        <f>IF($A2="","",IF(COUNTIF('07_Pallet_Contents'!$A$2:$A$3000,$A2)&gt;0,"Yes",""))</f>
        <v/>
      </c>
    </row>
    <row r="54" ht="27.75" customHeight="1" s="91">
      <c r="A54" s="4" t="inlineStr">
        <is>
          <t>WH-Z1-AisleC-Bay1-Level10</t>
        </is>
      </c>
      <c r="B54" s="4" t="n"/>
      <c r="C54" t="inlineStr">
        <is>
          <t>PAL-0000054</t>
        </is>
      </c>
      <c r="D54">
        <f>IF($C54="","",IFERROR(LOOKUP(2,1/('03_Warehouse_Movements'!$C$2:$C$500=$A54),'03_Warehouse_Movements'!$E$2:$E$500),$C54))</f>
        <v/>
      </c>
      <c r="E54" t="inlineStr">
        <is>
          <t>STANDARD</t>
        </is>
      </c>
      <c r="F54" t="inlineStr">
        <is>
          <t>SAMPLE: Monitors 24-40</t>
        </is>
      </c>
      <c r="G54" s="23" t="n"/>
      <c r="H54" s="3">
        <f>IF(AND($F54="TEMP",$G54&gt;0,$M54&lt;&gt;""),$M54+$G54,"")</f>
        <v/>
      </c>
      <c r="I54" s="3" t="inlineStr">
        <is>
          <t>PAL-0000014</t>
        </is>
      </c>
      <c r="J54" s="4" t="inlineStr">
        <is>
          <t>SAMPLE-TECH</t>
        </is>
      </c>
      <c r="K54" s="3" t="n">
        <v>46052</v>
      </c>
      <c r="L54" s="4" t="inlineStr">
        <is>
          <t>B:OVERFLOW-&lt;ClientLastName&gt;-PO&lt;PO&gt;-&lt;Category&gt;-&lt;Seq&gt;</t>
        </is>
      </c>
      <c r="M54" s="45">
        <f>IF($C54="","",IFERROR(LOOKUP(2,1/('03_Warehouse_Movements'!$C$2:$C$500=$A54),'03_Warehouse_Movements'!$A$2:$A$500),""))</f>
        <v/>
      </c>
      <c r="N54" s="4">
        <f>IF($C54="","",IFERROR(LOOKUP(2,1/('03_Warehouse_Movements'!$C$2:$C$500=$A54),'03_Warehouse_Movements'!$H$2:$H$500),""))</f>
        <v/>
      </c>
      <c r="O54" s="4">
        <f>A54</f>
        <v/>
      </c>
      <c r="Q54" s="25" t="n"/>
      <c r="R54" s="24" t="n"/>
      <c r="W54">
        <f>IF($A2="","",COUNTIF('07_Pallet_Contents'!$A$2:$A$3000,$A2))</f>
        <v/>
      </c>
      <c r="X54">
        <f>IF($A2="","",SUMIF('07_Pallet_Contents'!$A$2:$A$3000,$A2,'07_Pallet_Contents'!$D$2:$D$3000))</f>
        <v/>
      </c>
      <c r="Y54">
        <f>IF($A2="","",SUMIF('07_Pallet_Contents'!$A$2:$A$3000,$A2,'07_Pallet_Contents'!$I$2:$I$3000))</f>
        <v/>
      </c>
      <c r="Z54">
        <f>IF($A2="","",IF(COUNTIF('07_Pallet_Contents'!$A$2:$A$3000,$A2)&gt;0,"Yes",""))</f>
        <v/>
      </c>
    </row>
    <row r="55" ht="27.75" customHeight="1" s="91">
      <c r="A55" s="4" t="inlineStr">
        <is>
          <t>WH-Z1-AisleC-Bay1-Level11</t>
        </is>
      </c>
      <c r="B55" s="4" t="n"/>
      <c r="C55" t="inlineStr">
        <is>
          <t>PAL-0000055</t>
        </is>
      </c>
      <c r="D55">
        <f>IF($C55="","",IFERROR(LOOKUP(2,1/('03_Warehouse_Movements'!$C$2:$C$500=$A55),'03_Warehouse_Movements'!$E$2:$E$500),$C55))</f>
        <v/>
      </c>
      <c r="E55" t="inlineStr">
        <is>
          <t>STANDARD</t>
        </is>
      </c>
      <c r="F55" t="inlineStr">
        <is>
          <t>SAMPLE: Monitors 24-40</t>
        </is>
      </c>
      <c r="G55" s="23" t="n"/>
      <c r="H55" s="3">
        <f>IF(AND($F55="TEMP",$G55&gt;0,$M55&lt;&gt;""),$M55+$G55,"")</f>
        <v/>
      </c>
      <c r="I55" s="3" t="inlineStr">
        <is>
          <t>PAL-0000015</t>
        </is>
      </c>
      <c r="J55" s="4" t="inlineStr">
        <is>
          <t>SAMPLE-TECH</t>
        </is>
      </c>
      <c r="K55" s="3" t="n">
        <v>46052</v>
      </c>
      <c r="L55" s="4" t="inlineStr">
        <is>
          <t>B:OVERFLOW-&lt;ClientLastName&gt;-PO&lt;PO&gt;-&lt;Category&gt;-&lt;Seq&gt;</t>
        </is>
      </c>
      <c r="M55" s="45">
        <f>IF($C55="","",IFERROR(LOOKUP(2,1/('03_Warehouse_Movements'!$C$2:$C$500=$A55),'03_Warehouse_Movements'!$A$2:$A$500),""))</f>
        <v/>
      </c>
      <c r="N55" s="4">
        <f>IF($C55="","",IFERROR(LOOKUP(2,1/('03_Warehouse_Movements'!$C$2:$C$500=$A55),'03_Warehouse_Movements'!$H$2:$H$500),""))</f>
        <v/>
      </c>
      <c r="O55" s="4">
        <f>A55</f>
        <v/>
      </c>
      <c r="Q55" s="25" t="n"/>
      <c r="R55" s="24" t="n"/>
      <c r="W55">
        <f>IF($A2="","",COUNTIF('07_Pallet_Contents'!$A$2:$A$3000,$A2))</f>
        <v/>
      </c>
      <c r="X55">
        <f>IF($A2="","",SUMIF('07_Pallet_Contents'!$A$2:$A$3000,$A2,'07_Pallet_Contents'!$D$2:$D$3000))</f>
        <v/>
      </c>
      <c r="Y55">
        <f>IF($A2="","",SUMIF('07_Pallet_Contents'!$A$2:$A$3000,$A2,'07_Pallet_Contents'!$I$2:$I$3000))</f>
        <v/>
      </c>
      <c r="Z55">
        <f>IF($A2="","",IF(COUNTIF('07_Pallet_Contents'!$A$2:$A$3000,$A2)&gt;0,"Yes",""))</f>
        <v/>
      </c>
    </row>
    <row r="56" ht="27.75" customHeight="1" s="91">
      <c r="A56" s="4" t="inlineStr">
        <is>
          <t>WH-Z1-AisleC-Bay1-Level12</t>
        </is>
      </c>
      <c r="B56" s="4" t="n"/>
      <c r="C56" t="inlineStr">
        <is>
          <t>PAL-0000056</t>
        </is>
      </c>
      <c r="D56">
        <f>IF($C56="","",IFERROR(LOOKUP(2,1/('03_Warehouse_Movements'!$C$2:$C$500=$A56),'03_Warehouse_Movements'!$E$2:$E$500),$C56))</f>
        <v/>
      </c>
      <c r="E56" t="inlineStr">
        <is>
          <t>STANDARD</t>
        </is>
      </c>
      <c r="F56" t="inlineStr">
        <is>
          <t>PAL-0000008</t>
        </is>
      </c>
      <c r="G56" s="23" t="n">
        <v>14</v>
      </c>
      <c r="H56" s="3">
        <f>IF(AND($F56="TEMP",$G56&gt;0,$M56&lt;&gt;""),$M56+$G56,"")</f>
        <v/>
      </c>
      <c r="I56" s="3" t="inlineStr">
        <is>
          <t>PAL-0000016</t>
        </is>
      </c>
      <c r="J56" s="4" t="inlineStr">
        <is>
          <t>SAMPLE-TECH</t>
        </is>
      </c>
      <c r="K56" s="3" t="n">
        <v>46052</v>
      </c>
      <c r="L56" s="4" t="inlineStr">
        <is>
          <t>B:OVERFLOW-&lt;ClientLastName&gt;-PO&lt;PO&gt;-&lt;Category&gt;-&lt;Seq&gt;</t>
        </is>
      </c>
      <c r="M56" s="45">
        <f>IF($C56="","",IFERROR(LOOKUP(2,1/('03_Warehouse_Movements'!$C$2:$C$500=$A56),'03_Warehouse_Movements'!$A$2:$A$500),""))</f>
        <v/>
      </c>
      <c r="N56" s="4">
        <f>IF($C56="","",IFERROR(LOOKUP(2,1/('03_Warehouse_Movements'!$C$2:$C$500=$A56),'03_Warehouse_Movements'!$H$2:$H$500),""))</f>
        <v/>
      </c>
      <c r="O56" s="4">
        <f>A56</f>
        <v/>
      </c>
      <c r="Q56" s="25" t="n"/>
      <c r="R56" s="24" t="n"/>
      <c r="W56">
        <f>IF($A2="","",COUNTIF('07_Pallet_Contents'!$A$2:$A$3000,$A2))</f>
        <v/>
      </c>
      <c r="X56">
        <f>IF($A2="","",SUMIF('07_Pallet_Contents'!$A$2:$A$3000,$A2,'07_Pallet_Contents'!$D$2:$D$3000))</f>
        <v/>
      </c>
      <c r="Y56">
        <f>IF($A2="","",SUMIF('07_Pallet_Contents'!$A$2:$A$3000,$A2,'07_Pallet_Contents'!$I$2:$I$3000))</f>
        <v/>
      </c>
      <c r="Z56">
        <f>IF($A2="","",IF(COUNTIF('07_Pallet_Contents'!$A$2:$A$3000,$A2)&gt;0,"Yes",""))</f>
        <v/>
      </c>
    </row>
    <row r="57" ht="27.75" customHeight="1" s="91">
      <c r="A57" s="4" t="inlineStr">
        <is>
          <t>WH-Z1-AisleC-Bay1-Level13</t>
        </is>
      </c>
      <c r="B57" s="4" t="n"/>
      <c r="C57" t="inlineStr">
        <is>
          <t>PAL-0000057</t>
        </is>
      </c>
      <c r="D57">
        <f>IF($C57="","",IFERROR(LOOKUP(2,1/('03_Warehouse_Movements'!$C$2:$C$500=$A57),'03_Warehouse_Movements'!$E$2:$E$500),$C57))</f>
        <v/>
      </c>
      <c r="E57" t="inlineStr">
        <is>
          <t>STANDARD</t>
        </is>
      </c>
      <c r="F57" t="inlineStr">
        <is>
          <t>SAMPLE: Monitors 24-40</t>
        </is>
      </c>
      <c r="G57" s="23" t="n"/>
      <c r="H57" s="3">
        <f>IF(AND($F57="TEMP",$G57&gt;0,$M57&lt;&gt;""),$M57+$G57,"")</f>
        <v/>
      </c>
      <c r="I57" s="3" t="inlineStr">
        <is>
          <t>PAL-0000017</t>
        </is>
      </c>
      <c r="J57" s="4" t="inlineStr">
        <is>
          <t>SAMPLE-TECH</t>
        </is>
      </c>
      <c r="K57" s="3" t="n">
        <v>46052</v>
      </c>
      <c r="L57" s="4" t="inlineStr">
        <is>
          <t>B:OVERFLOW-&lt;ClientLastName&gt;-PO&lt;PO&gt;-&lt;Category&gt;-&lt;Seq&gt;</t>
        </is>
      </c>
      <c r="M57" s="45">
        <f>IF($C57="","",IFERROR(LOOKUP(2,1/('03_Warehouse_Movements'!$C$2:$C$500=$A57),'03_Warehouse_Movements'!$A$2:$A$500),""))</f>
        <v/>
      </c>
      <c r="N57" s="4">
        <f>IF($C57="","",IFERROR(LOOKUP(2,1/('03_Warehouse_Movements'!$C$2:$C$500=$A57),'03_Warehouse_Movements'!$H$2:$H$500),""))</f>
        <v/>
      </c>
      <c r="O57" s="4">
        <f>A57</f>
        <v/>
      </c>
      <c r="Q57" s="25" t="n"/>
      <c r="R57" s="24" t="n"/>
      <c r="W57">
        <f>IF($A2="","",COUNTIF('07_Pallet_Contents'!$A$2:$A$3000,$A2))</f>
        <v/>
      </c>
      <c r="X57">
        <f>IF($A2="","",SUMIF('07_Pallet_Contents'!$A$2:$A$3000,$A2,'07_Pallet_Contents'!$D$2:$D$3000))</f>
        <v/>
      </c>
      <c r="Y57">
        <f>IF($A2="","",SUMIF('07_Pallet_Contents'!$A$2:$A$3000,$A2,'07_Pallet_Contents'!$I$2:$I$3000))</f>
        <v/>
      </c>
      <c r="Z57">
        <f>IF($A2="","",IF(COUNTIF('07_Pallet_Contents'!$A$2:$A$3000,$A2)&gt;0,"Yes",""))</f>
        <v/>
      </c>
    </row>
    <row r="58" ht="27.75" customHeight="1" s="91">
      <c r="A58" s="4" t="inlineStr">
        <is>
          <t>OVERFLOW-SAMPLE-PO1056-CAT2-PAL057</t>
        </is>
      </c>
      <c r="B58" s="4" t="inlineStr">
        <is>
          <t>WH-Z1-AisleC-Bay1-Level14</t>
        </is>
      </c>
      <c r="C58" t="inlineStr">
        <is>
          <t>PAL-0000058</t>
        </is>
      </c>
      <c r="D58">
        <f>IF($C58="","",IFERROR(LOOKUP(2,1/('03_Warehouse_Movements'!$C$2:$C$500=$A58),'03_Warehouse_Movements'!$E$2:$E$500),$C58))</f>
        <v/>
      </c>
      <c r="E58" t="inlineStr">
        <is>
          <t>STANDARD</t>
        </is>
      </c>
      <c r="F58" t="inlineStr">
        <is>
          <t>SAMPLE: Monitors 24-40</t>
        </is>
      </c>
      <c r="G58" s="23" t="n"/>
      <c r="H58" s="3">
        <f>IF(AND($F58="TEMP",$G58&gt;0,$M58&lt;&gt;""),$M58+$G58,"")</f>
        <v/>
      </c>
      <c r="I58" s="3" t="inlineStr">
        <is>
          <t>PAL-0000018</t>
        </is>
      </c>
      <c r="J58" s="4" t="inlineStr">
        <is>
          <t>SAMPLE-TECH</t>
        </is>
      </c>
      <c r="K58" s="3" t="n">
        <v>46052</v>
      </c>
      <c r="L58" s="4" t="inlineStr">
        <is>
          <t>B:OVERFLOW-&lt;ClientLastName&gt;-PO&lt;PO&gt;-&lt;Category&gt;-&lt;Seq&gt;</t>
        </is>
      </c>
      <c r="M58" s="45">
        <f>IF($C58="","",IFERROR(LOOKUP(2,1/('03_Warehouse_Movements'!$C$2:$C$500=$A58),'03_Warehouse_Movements'!$A$2:$A$500),""))</f>
        <v/>
      </c>
      <c r="N58" s="4">
        <f>IF($C58="","",IFERROR(LOOKUP(2,1/('03_Warehouse_Movements'!$C$2:$C$500=$A58),'03_Warehouse_Movements'!$H$2:$H$500),""))</f>
        <v/>
      </c>
      <c r="O58" s="4">
        <f>A58</f>
        <v/>
      </c>
      <c r="Q58" s="25" t="n"/>
      <c r="R58" s="24" t="n"/>
      <c r="W58">
        <f>IF($A2="","",COUNTIF('07_Pallet_Contents'!$A$2:$A$3000,$A2))</f>
        <v/>
      </c>
      <c r="X58">
        <f>IF($A2="","",SUMIF('07_Pallet_Contents'!$A$2:$A$3000,$A2,'07_Pallet_Contents'!$D$2:$D$3000))</f>
        <v/>
      </c>
      <c r="Y58">
        <f>IF($A2="","",SUMIF('07_Pallet_Contents'!$A$2:$A$3000,$A2,'07_Pallet_Contents'!$I$2:$I$3000))</f>
        <v/>
      </c>
      <c r="Z58">
        <f>IF($A2="","",IF(COUNTIF('07_Pallet_Contents'!$A$2:$A$3000,$A2)&gt;0,"Yes",""))</f>
        <v/>
      </c>
    </row>
    <row r="59" ht="27.75" customHeight="1" s="91">
      <c r="A59" s="4" t="inlineStr">
        <is>
          <t>WH-Z1-AisleC-Bay1-Level15</t>
        </is>
      </c>
      <c r="B59" s="4" t="n"/>
      <c r="C59" t="inlineStr">
        <is>
          <t>PAL-0000059</t>
        </is>
      </c>
      <c r="D59">
        <f>IF($C59="","",IFERROR(LOOKUP(2,1/('03_Warehouse_Movements'!$C$2:$C$500=$A59),'03_Warehouse_Movements'!$E$2:$E$500),$C59))</f>
        <v/>
      </c>
      <c r="E59" t="inlineStr">
        <is>
          <t>STANDARD</t>
        </is>
      </c>
      <c r="F59" t="inlineStr">
        <is>
          <t>SAMPLE: Monitors 24-40</t>
        </is>
      </c>
      <c r="G59" s="23" t="n"/>
      <c r="H59" s="3">
        <f>IF(AND($F59="TEMP",$G59&gt;0,$M59&lt;&gt;""),$M59+$G59,"")</f>
        <v/>
      </c>
      <c r="I59" s="3" t="inlineStr">
        <is>
          <t>PAL-0000009</t>
        </is>
      </c>
      <c r="J59" s="4" t="inlineStr">
        <is>
          <t>SAMPLE-TECH</t>
        </is>
      </c>
      <c r="K59" s="3" t="n">
        <v>46052</v>
      </c>
      <c r="L59" s="4" t="inlineStr">
        <is>
          <t>B:OVERFLOW-&lt;ClientLastName&gt;-PO&lt;PO&gt;-&lt;Category&gt;-&lt;Seq&gt;</t>
        </is>
      </c>
      <c r="M59" s="45">
        <f>IF($C59="","",IFERROR(LOOKUP(2,1/('03_Warehouse_Movements'!$C$2:$C$500=$A59),'03_Warehouse_Movements'!$A$2:$A$500),""))</f>
        <v/>
      </c>
      <c r="N59" s="4">
        <f>IF($C59="","",IFERROR(LOOKUP(2,1/('03_Warehouse_Movements'!$C$2:$C$500=$A59),'03_Warehouse_Movements'!$H$2:$H$500),""))</f>
        <v/>
      </c>
      <c r="O59" s="4">
        <f>A59</f>
        <v/>
      </c>
      <c r="Q59" s="25" t="n"/>
      <c r="R59" s="24" t="n"/>
      <c r="W59">
        <f>IF($A2="","",COUNTIF('07_Pallet_Contents'!$A$2:$A$3000,$A2))</f>
        <v/>
      </c>
      <c r="X59">
        <f>IF($A2="","",SUMIF('07_Pallet_Contents'!$A$2:$A$3000,$A2,'07_Pallet_Contents'!$D$2:$D$3000))</f>
        <v/>
      </c>
      <c r="Y59">
        <f>IF($A2="","",SUMIF('07_Pallet_Contents'!$A$2:$A$3000,$A2,'07_Pallet_Contents'!$I$2:$I$3000))</f>
        <v/>
      </c>
      <c r="Z59">
        <f>IF($A2="","",IF(COUNTIF('07_Pallet_Contents'!$A$2:$A$3000,$A2)&gt;0,"Yes",""))</f>
        <v/>
      </c>
    </row>
    <row r="60" ht="27.75" customHeight="1" s="91">
      <c r="A60" s="4" t="inlineStr">
        <is>
          <t>WH-Z1-AisleC-Bay1-Level16</t>
        </is>
      </c>
      <c r="B60" s="4" t="n"/>
      <c r="C60" t="inlineStr">
        <is>
          <t>PAL-0000060</t>
        </is>
      </c>
      <c r="D60">
        <f>IF($C60="","",IFERROR(LOOKUP(2,1/('03_Warehouse_Movements'!$C$2:$C$500=$A60),'03_Warehouse_Movements'!$E$2:$E$500),$C60))</f>
        <v/>
      </c>
      <c r="E60" t="inlineStr">
        <is>
          <t>STANDARD</t>
        </is>
      </c>
      <c r="F60" t="inlineStr">
        <is>
          <t>SAMPLE: Monitors 24-40</t>
        </is>
      </c>
      <c r="G60" s="23" t="n"/>
      <c r="H60" s="3">
        <f>IF(AND($F60="TEMP",$G60&gt;0,$M60&lt;&gt;""),$M60+$G60,"")</f>
        <v/>
      </c>
      <c r="I60" s="3" t="inlineStr">
        <is>
          <t>PAL-0000010</t>
        </is>
      </c>
      <c r="J60" s="4" t="inlineStr">
        <is>
          <t>SAMPLE-TECH</t>
        </is>
      </c>
      <c r="K60" s="3" t="n">
        <v>46052</v>
      </c>
      <c r="L60" s="4" t="inlineStr">
        <is>
          <t>B:OVERFLOW-&lt;ClientLastName&gt;-PO&lt;PO&gt;-&lt;Category&gt;-&lt;Seq&gt;</t>
        </is>
      </c>
      <c r="M60" s="45">
        <f>IF($C60="","",IFERROR(LOOKUP(2,1/('03_Warehouse_Movements'!$C$2:$C$500=$A60),'03_Warehouse_Movements'!$A$2:$A$500),""))</f>
        <v/>
      </c>
      <c r="N60" s="4">
        <f>IF($C60="","",IFERROR(LOOKUP(2,1/('03_Warehouse_Movements'!$C$2:$C$500=$A60),'03_Warehouse_Movements'!$H$2:$H$500),""))</f>
        <v/>
      </c>
      <c r="O60" s="4">
        <f>A60</f>
        <v/>
      </c>
      <c r="Q60" s="25" t="n"/>
      <c r="R60" s="24" t="n"/>
      <c r="W60">
        <f>IF($A2="","",COUNTIF('07_Pallet_Contents'!$A$2:$A$3000,$A2))</f>
        <v/>
      </c>
      <c r="X60">
        <f>IF($A2="","",SUMIF('07_Pallet_Contents'!$A$2:$A$3000,$A2,'07_Pallet_Contents'!$D$2:$D$3000))</f>
        <v/>
      </c>
      <c r="Y60">
        <f>IF($A2="","",SUMIF('07_Pallet_Contents'!$A$2:$A$3000,$A2,'07_Pallet_Contents'!$I$2:$I$3000))</f>
        <v/>
      </c>
      <c r="Z60">
        <f>IF($A2="","",IF(COUNTIF('07_Pallet_Contents'!$A$2:$A$3000,$A2)&gt;0,"Yes",""))</f>
        <v/>
      </c>
    </row>
    <row r="61" ht="27.75" customHeight="1" s="91">
      <c r="A61" s="4" t="inlineStr">
        <is>
          <t>WH-Z1-AisleC-Bay1-Level17</t>
        </is>
      </c>
      <c r="B61" s="4" t="n"/>
      <c r="C61" t="inlineStr">
        <is>
          <t>PAL-0000061</t>
        </is>
      </c>
      <c r="D61">
        <f>IF($C61="","",IFERROR(LOOKUP(2,1/('03_Warehouse_Movements'!$C$2:$C$500=$A61),'03_Warehouse_Movements'!$E$2:$E$500),$C61))</f>
        <v/>
      </c>
      <c r="E61" t="inlineStr">
        <is>
          <t>STANDARD</t>
        </is>
      </c>
      <c r="F61" t="inlineStr">
        <is>
          <t>SAMPLE: Monitors 24-40</t>
        </is>
      </c>
      <c r="G61" s="23" t="n"/>
      <c r="H61" s="3">
        <f>IF(AND($F61="TEMP",$G61&gt;0,$M61&lt;&gt;""),$M61+$G61,"")</f>
        <v/>
      </c>
      <c r="I61" s="3" t="inlineStr">
        <is>
          <t>B</t>
        </is>
      </c>
      <c r="J61" s="4" t="inlineStr">
        <is>
          <t>SAMPLE-TECH</t>
        </is>
      </c>
      <c r="K61" s="3" t="n">
        <v>46052</v>
      </c>
      <c r="L61" s="4" t="inlineStr">
        <is>
          <t>B:OVERFLOW-&lt;ClientLastName&gt;-PO&lt;PO&gt;-&lt;Category&gt;-&lt;Seq&gt;</t>
        </is>
      </c>
      <c r="M61" s="45">
        <f>IF($C61="","",IFERROR(LOOKUP(2,1/('03_Warehouse_Movements'!$C$2:$C$500=$A61),'03_Warehouse_Movements'!$A$2:$A$500),""))</f>
        <v/>
      </c>
      <c r="N61" s="4">
        <f>IF($C61="","",IFERROR(LOOKUP(2,1/('03_Warehouse_Movements'!$C$2:$C$500=$A61),'03_Warehouse_Movements'!$H$2:$H$500),""))</f>
        <v/>
      </c>
      <c r="O61" s="4">
        <f>A61</f>
        <v/>
      </c>
      <c r="Q61" s="25" t="n"/>
      <c r="R61" s="24" t="n"/>
      <c r="W61">
        <f>IF($A2="","",COUNTIF('07_Pallet_Contents'!$A$2:$A$3000,$A2))</f>
        <v/>
      </c>
      <c r="X61">
        <f>IF($A2="","",SUMIF('07_Pallet_Contents'!$A$2:$A$3000,$A2,'07_Pallet_Contents'!$D$2:$D$3000))</f>
        <v/>
      </c>
      <c r="Y61">
        <f>IF($A2="","",SUMIF('07_Pallet_Contents'!$A$2:$A$3000,$A2,'07_Pallet_Contents'!$I$2:$I$3000))</f>
        <v/>
      </c>
      <c r="Z61">
        <f>IF($A2="","",IF(COUNTIF('07_Pallet_Contents'!$A$2:$A$3000,$A2)&gt;0,"Yes",""))</f>
        <v/>
      </c>
    </row>
    <row r="62" ht="27.75" customHeight="1" s="91">
      <c r="A62" s="4" t="inlineStr">
        <is>
          <t>PAL-0000062</t>
        </is>
      </c>
      <c r="B62" s="4" t="n"/>
      <c r="D62">
        <f>IF($C62="","",IFERROR(LOOKUP(2,1/('03_Warehouse_Movements'!$C$2:$C$500=$A62),'03_Warehouse_Movements'!$E$2:$E$500),$C62))</f>
        <v/>
      </c>
      <c r="E62" t="inlineStr">
        <is>
          <t>STANDARD</t>
        </is>
      </c>
      <c r="G62" s="23" t="n"/>
      <c r="H62" s="3">
        <f>IF(AND($F62="TEMP",$G62&gt;0,$M62&lt;&gt;""),$M62+$G62,"")</f>
        <v/>
      </c>
      <c r="I62" s="3" t="n"/>
      <c r="J62" s="4" t="n"/>
      <c r="K62" s="3" t="n"/>
      <c r="L62" s="4" t="n"/>
      <c r="M62" s="45">
        <f>IF($C62="","",IFERROR(LOOKUP(2,1/('03_Warehouse_Movements'!$C$2:$C$500=$A62),'03_Warehouse_Movements'!$A$2:$A$500),""))</f>
        <v/>
      </c>
      <c r="N62" s="4">
        <f>IF($C62="","",IFERROR(LOOKUP(2,1/('03_Warehouse_Movements'!$C$2:$C$500=$A62),'03_Warehouse_Movements'!$H$2:$H$500),""))</f>
        <v/>
      </c>
      <c r="O62" s="4">
        <f>A62</f>
        <v/>
      </c>
      <c r="Q62" s="25" t="n"/>
      <c r="R62" s="24" t="n"/>
      <c r="W62">
        <f>IF($A2="","",COUNTIF('07_Pallet_Contents'!$A$2:$A$3000,$A2))</f>
        <v/>
      </c>
      <c r="X62">
        <f>IF($A2="","",SUMIF('07_Pallet_Contents'!$A$2:$A$3000,$A2,'07_Pallet_Contents'!$D$2:$D$3000))</f>
        <v/>
      </c>
      <c r="Y62">
        <f>IF($A2="","",SUMIF('07_Pallet_Contents'!$A$2:$A$3000,$A2,'07_Pallet_Contents'!$I$2:$I$3000))</f>
        <v/>
      </c>
      <c r="Z62">
        <f>IF($A2="","",IF(COUNTIF('07_Pallet_Contents'!$A$2:$A$3000,$A2)&gt;0,"Yes",""))</f>
        <v/>
      </c>
    </row>
    <row r="63" ht="27.75" customHeight="1" s="91">
      <c r="A63" s="4" t="inlineStr">
        <is>
          <t>PAL-0000063</t>
        </is>
      </c>
      <c r="B63" s="4" t="n"/>
      <c r="D63">
        <f>IF($C63="","",IFERROR(LOOKUP(2,1/('03_Warehouse_Movements'!$C$2:$C$500=$A63),'03_Warehouse_Movements'!$E$2:$E$500),$C63))</f>
        <v/>
      </c>
      <c r="E63" t="inlineStr">
        <is>
          <t>STANDARD</t>
        </is>
      </c>
      <c r="G63" s="23" t="n"/>
      <c r="H63" s="3">
        <f>IF(AND($F63="TEMP",$G63&gt;0,$M63&lt;&gt;""),$M63+$G63,"")</f>
        <v/>
      </c>
      <c r="I63" s="3" t="n"/>
      <c r="J63" s="4" t="n"/>
      <c r="K63" s="3" t="n"/>
      <c r="L63" s="4" t="n"/>
      <c r="M63" s="45">
        <f>IF($C63="","",IFERROR(LOOKUP(2,1/('03_Warehouse_Movements'!$C$2:$C$500=$A63),'03_Warehouse_Movements'!$A$2:$A$500),""))</f>
        <v/>
      </c>
      <c r="N63" s="4">
        <f>IF($C63="","",IFERROR(LOOKUP(2,1/('03_Warehouse_Movements'!$C$2:$C$500=$A63),'03_Warehouse_Movements'!$H$2:$H$500),""))</f>
        <v/>
      </c>
      <c r="O63" s="4">
        <f>A63</f>
        <v/>
      </c>
      <c r="Q63" s="25" t="n"/>
      <c r="R63" s="24" t="n"/>
      <c r="W63">
        <f>IF($A2="","",COUNTIF('07_Pallet_Contents'!$A$2:$A$3000,$A2))</f>
        <v/>
      </c>
      <c r="X63">
        <f>IF($A2="","",SUMIF('07_Pallet_Contents'!$A$2:$A$3000,$A2,'07_Pallet_Contents'!$D$2:$D$3000))</f>
        <v/>
      </c>
      <c r="Y63">
        <f>IF($A2="","",SUMIF('07_Pallet_Contents'!$A$2:$A$3000,$A2,'07_Pallet_Contents'!$I$2:$I$3000))</f>
        <v/>
      </c>
      <c r="Z63">
        <f>IF($A2="","",IF(COUNTIF('07_Pallet_Contents'!$A$2:$A$3000,$A2)&gt;0,"Yes",""))</f>
        <v/>
      </c>
    </row>
    <row r="64" ht="27.75" customHeight="1" s="91">
      <c r="A64" s="4" t="inlineStr">
        <is>
          <t>PAL-0000064</t>
        </is>
      </c>
      <c r="B64" s="4" t="n"/>
      <c r="D64">
        <f>IF($C64="","",IFERROR(LOOKUP(2,1/('03_Warehouse_Movements'!$C$2:$C$500=$A64),'03_Warehouse_Movements'!$E$2:$E$500),$C64))</f>
        <v/>
      </c>
      <c r="E64" t="inlineStr">
        <is>
          <t>STANDARD</t>
        </is>
      </c>
      <c r="G64" s="23" t="n"/>
      <c r="H64" s="3">
        <f>IF(AND($F64="TEMP",$G64&gt;0,$M64&lt;&gt;""),$M64+$G64,"")</f>
        <v/>
      </c>
      <c r="I64" s="3" t="n"/>
      <c r="J64" s="4" t="n"/>
      <c r="K64" s="3" t="n"/>
      <c r="L64" s="4" t="n"/>
      <c r="M64" s="45">
        <f>IF($C64="","",IFERROR(LOOKUP(2,1/('03_Warehouse_Movements'!$C$2:$C$500=$A64),'03_Warehouse_Movements'!$A$2:$A$500),""))</f>
        <v/>
      </c>
      <c r="N64" s="4">
        <f>IF($C64="","",IFERROR(LOOKUP(2,1/('03_Warehouse_Movements'!$C$2:$C$500=$A64),'03_Warehouse_Movements'!$H$2:$H$500),""))</f>
        <v/>
      </c>
      <c r="O64" s="4">
        <f>A64</f>
        <v/>
      </c>
      <c r="Q64" s="25" t="n"/>
      <c r="R64" s="24" t="n"/>
      <c r="W64">
        <f>IF($A2="","",COUNTIF('07_Pallet_Contents'!$A$2:$A$3000,$A2))</f>
        <v/>
      </c>
      <c r="X64">
        <f>IF($A2="","",SUMIF('07_Pallet_Contents'!$A$2:$A$3000,$A2,'07_Pallet_Contents'!$D$2:$D$3000))</f>
        <v/>
      </c>
      <c r="Y64">
        <f>IF($A2="","",SUMIF('07_Pallet_Contents'!$A$2:$A$3000,$A2,'07_Pallet_Contents'!$I$2:$I$3000))</f>
        <v/>
      </c>
      <c r="Z64">
        <f>IF($A2="","",IF(COUNTIF('07_Pallet_Contents'!$A$2:$A$3000,$A2)&gt;0,"Yes",""))</f>
        <v/>
      </c>
    </row>
    <row r="65" ht="27.75" customHeight="1" s="91">
      <c r="A65" s="4" t="inlineStr">
        <is>
          <t>PAL-0000065</t>
        </is>
      </c>
      <c r="B65" s="4" t="n"/>
      <c r="D65">
        <f>IF($C65="","",IFERROR(LOOKUP(2,1/('03_Warehouse_Movements'!$C$2:$C$500=$A65),'03_Warehouse_Movements'!$E$2:$E$500),$C65))</f>
        <v/>
      </c>
      <c r="E65" t="inlineStr">
        <is>
          <t>STANDARD</t>
        </is>
      </c>
      <c r="G65" s="23" t="n"/>
      <c r="H65" s="3">
        <f>IF(AND($F65="TEMP",$G65&gt;0,$M65&lt;&gt;""),$M65+$G65,"")</f>
        <v/>
      </c>
      <c r="I65" s="3" t="n"/>
      <c r="J65" s="4" t="n"/>
      <c r="K65" s="3" t="n"/>
      <c r="L65" s="4" t="n"/>
      <c r="M65" s="45">
        <f>IF($C65="","",IFERROR(LOOKUP(2,1/('03_Warehouse_Movements'!$C$2:$C$500=$A65),'03_Warehouse_Movements'!$A$2:$A$500),""))</f>
        <v/>
      </c>
      <c r="N65" s="4">
        <f>IF($C65="","",IFERROR(LOOKUP(2,1/('03_Warehouse_Movements'!$C$2:$C$500=$A65),'03_Warehouse_Movements'!$H$2:$H$500),""))</f>
        <v/>
      </c>
      <c r="O65" s="4">
        <f>A65</f>
        <v/>
      </c>
      <c r="Q65" s="25" t="n"/>
      <c r="R65" s="24" t="n"/>
      <c r="W65">
        <f>IF($A2="","",COUNTIF('07_Pallet_Contents'!$A$2:$A$3000,$A2))</f>
        <v/>
      </c>
      <c r="X65">
        <f>IF($A2="","",SUMIF('07_Pallet_Contents'!$A$2:$A$3000,$A2,'07_Pallet_Contents'!$D$2:$D$3000))</f>
        <v/>
      </c>
      <c r="Y65">
        <f>IF($A2="","",SUMIF('07_Pallet_Contents'!$A$2:$A$3000,$A2,'07_Pallet_Contents'!$I$2:$I$3000))</f>
        <v/>
      </c>
      <c r="Z65">
        <f>IF($A2="","",IF(COUNTIF('07_Pallet_Contents'!$A$2:$A$3000,$A2)&gt;0,"Yes",""))</f>
        <v/>
      </c>
    </row>
    <row r="66" ht="27.75" customHeight="1" s="91">
      <c r="A66" s="4" t="inlineStr">
        <is>
          <t>PAL-0000066</t>
        </is>
      </c>
      <c r="B66" s="4" t="n"/>
      <c r="D66">
        <f>IF($C66="","",IFERROR(LOOKUP(2,1/('03_Warehouse_Movements'!$C$2:$C$500=$A66),'03_Warehouse_Movements'!$E$2:$E$500),$C66))</f>
        <v/>
      </c>
      <c r="E66" t="inlineStr">
        <is>
          <t>STANDARD</t>
        </is>
      </c>
      <c r="G66" s="23" t="n"/>
      <c r="H66" s="3">
        <f>IF(AND($F66="TEMP",$G66&gt;0,$M66&lt;&gt;""),$M66+$G66,"")</f>
        <v/>
      </c>
      <c r="I66" s="3" t="n"/>
      <c r="J66" s="4" t="n"/>
      <c r="K66" s="3" t="n"/>
      <c r="L66" s="4" t="n"/>
      <c r="M66" s="45">
        <f>IF($C66="","",IFERROR(LOOKUP(2,1/('03_Warehouse_Movements'!$C$2:$C$500=$A66),'03_Warehouse_Movements'!$A$2:$A$500),""))</f>
        <v/>
      </c>
      <c r="N66" s="4">
        <f>IF($C66="","",IFERROR(LOOKUP(2,1/('03_Warehouse_Movements'!$C$2:$C$500=$A66),'03_Warehouse_Movements'!$H$2:$H$500),""))</f>
        <v/>
      </c>
      <c r="O66" s="4">
        <f>A66</f>
        <v/>
      </c>
      <c r="Q66" s="25" t="n"/>
      <c r="R66" s="24" t="n"/>
      <c r="W66">
        <f>IF($A2="","",COUNTIF('07_Pallet_Contents'!$A$2:$A$3000,$A2))</f>
        <v/>
      </c>
      <c r="X66">
        <f>IF($A2="","",SUMIF('07_Pallet_Contents'!$A$2:$A$3000,$A2,'07_Pallet_Contents'!$D$2:$D$3000))</f>
        <v/>
      </c>
      <c r="Y66">
        <f>IF($A2="","",SUMIF('07_Pallet_Contents'!$A$2:$A$3000,$A2,'07_Pallet_Contents'!$I$2:$I$3000))</f>
        <v/>
      </c>
      <c r="Z66">
        <f>IF($A2="","",IF(COUNTIF('07_Pallet_Contents'!$A$2:$A$3000,$A2)&gt;0,"Yes",""))</f>
        <v/>
      </c>
    </row>
    <row r="67" ht="27.75" customHeight="1" s="91">
      <c r="A67" s="4" t="inlineStr">
        <is>
          <t>PAL-0000067</t>
        </is>
      </c>
      <c r="B67" s="4" t="n"/>
      <c r="D67">
        <f>IF($C67="","",IFERROR(LOOKUP(2,1/('03_Warehouse_Movements'!$C$2:$C$500=$A67),'03_Warehouse_Movements'!$E$2:$E$500),$C67))</f>
        <v/>
      </c>
      <c r="E67" t="inlineStr">
        <is>
          <t>STANDARD</t>
        </is>
      </c>
      <c r="G67" s="23" t="n"/>
      <c r="H67" s="3">
        <f>IF(AND($F67="TEMP",$G67&gt;0,$M67&lt;&gt;""),$M67+$G67,"")</f>
        <v/>
      </c>
      <c r="I67" s="3" t="n"/>
      <c r="J67" s="4" t="n"/>
      <c r="K67" s="3" t="n"/>
      <c r="L67" s="4" t="n"/>
      <c r="M67" s="45">
        <f>IF($C67="","",IFERROR(LOOKUP(2,1/('03_Warehouse_Movements'!$C$2:$C$500=$A67),'03_Warehouse_Movements'!$A$2:$A$500),""))</f>
        <v/>
      </c>
      <c r="N67" s="4">
        <f>IF($C67="","",IFERROR(LOOKUP(2,1/('03_Warehouse_Movements'!$C$2:$C$500=$A67),'03_Warehouse_Movements'!$H$2:$H$500),""))</f>
        <v/>
      </c>
      <c r="O67" s="4">
        <f>A67</f>
        <v/>
      </c>
      <c r="Q67" s="25" t="n"/>
      <c r="R67" s="24" t="n"/>
      <c r="W67">
        <f>IF($A2="","",COUNTIF('07_Pallet_Contents'!$A$2:$A$3000,$A2))</f>
        <v/>
      </c>
      <c r="X67">
        <f>IF($A2="","",SUMIF('07_Pallet_Contents'!$A$2:$A$3000,$A2,'07_Pallet_Contents'!$D$2:$D$3000))</f>
        <v/>
      </c>
      <c r="Y67">
        <f>IF($A2="","",SUMIF('07_Pallet_Contents'!$A$2:$A$3000,$A2,'07_Pallet_Contents'!$I$2:$I$3000))</f>
        <v/>
      </c>
      <c r="Z67">
        <f>IF($A2="","",IF(COUNTIF('07_Pallet_Contents'!$A$2:$A$3000,$A2)&gt;0,"Yes",""))</f>
        <v/>
      </c>
    </row>
    <row r="68" ht="27.75" customHeight="1" s="91">
      <c r="A68" s="4" t="inlineStr">
        <is>
          <t>PAL-0000068</t>
        </is>
      </c>
      <c r="B68" s="4" t="n"/>
      <c r="D68">
        <f>IF($C68="","",IFERROR(LOOKUP(2,1/('03_Warehouse_Movements'!$C$2:$C$500=$A68),'03_Warehouse_Movements'!$E$2:$E$500),$C68))</f>
        <v/>
      </c>
      <c r="E68" t="inlineStr">
        <is>
          <t>STANDARD</t>
        </is>
      </c>
      <c r="G68" s="23" t="n"/>
      <c r="H68" s="3">
        <f>IF(AND($F68="TEMP",$G68&gt;0,$M68&lt;&gt;""),$M68+$G68,"")</f>
        <v/>
      </c>
      <c r="I68" s="3" t="n"/>
      <c r="J68" s="4" t="n"/>
      <c r="K68" s="3" t="n"/>
      <c r="L68" s="4" t="n"/>
      <c r="M68" s="45">
        <f>IF($C68="","",IFERROR(LOOKUP(2,1/('03_Warehouse_Movements'!$C$2:$C$500=$A68),'03_Warehouse_Movements'!$A$2:$A$500),""))</f>
        <v/>
      </c>
      <c r="N68" s="4">
        <f>IF($C68="","",IFERROR(LOOKUP(2,1/('03_Warehouse_Movements'!$C$2:$C$500=$A68),'03_Warehouse_Movements'!$H$2:$H$500),""))</f>
        <v/>
      </c>
      <c r="O68" s="4">
        <f>A68</f>
        <v/>
      </c>
      <c r="Q68" s="25" t="n"/>
      <c r="R68" s="24" t="n"/>
      <c r="W68">
        <f>IF($A2="","",COUNTIF('07_Pallet_Contents'!$A$2:$A$3000,$A2))</f>
        <v/>
      </c>
      <c r="X68">
        <f>IF($A2="","",SUMIF('07_Pallet_Contents'!$A$2:$A$3000,$A2,'07_Pallet_Contents'!$D$2:$D$3000))</f>
        <v/>
      </c>
      <c r="Y68">
        <f>IF($A2="","",SUMIF('07_Pallet_Contents'!$A$2:$A$3000,$A2,'07_Pallet_Contents'!$I$2:$I$3000))</f>
        <v/>
      </c>
      <c r="Z68">
        <f>IF($A2="","",IF(COUNTIF('07_Pallet_Contents'!$A$2:$A$3000,$A2)&gt;0,"Yes",""))</f>
        <v/>
      </c>
    </row>
    <row r="69" ht="27.75" customHeight="1" s="91">
      <c r="A69" s="4" t="inlineStr">
        <is>
          <t>PAL-0000069</t>
        </is>
      </c>
      <c r="B69" s="4" t="n"/>
      <c r="D69">
        <f>IF($C69="","",IFERROR(LOOKUP(2,1/('03_Warehouse_Movements'!$C$2:$C$500=$A69),'03_Warehouse_Movements'!$E$2:$E$500),$C69))</f>
        <v/>
      </c>
      <c r="E69" t="inlineStr">
        <is>
          <t>STANDARD</t>
        </is>
      </c>
      <c r="G69" s="23" t="n"/>
      <c r="H69" s="3">
        <f>IF(AND($F69="TEMP",$G69&gt;0,$M69&lt;&gt;""),$M69+$G69,"")</f>
        <v/>
      </c>
      <c r="I69" s="3" t="n"/>
      <c r="J69" s="4" t="n"/>
      <c r="K69" s="3" t="n"/>
      <c r="L69" s="4" t="n"/>
      <c r="M69" s="45">
        <f>IF($C69="","",IFERROR(LOOKUP(2,1/('03_Warehouse_Movements'!$C$2:$C$500=$A69),'03_Warehouse_Movements'!$A$2:$A$500),""))</f>
        <v/>
      </c>
      <c r="N69" s="4">
        <f>IF($C69="","",IFERROR(LOOKUP(2,1/('03_Warehouse_Movements'!$C$2:$C$500=$A69),'03_Warehouse_Movements'!$H$2:$H$500),""))</f>
        <v/>
      </c>
      <c r="O69" s="4">
        <f>A69</f>
        <v/>
      </c>
      <c r="Q69" s="25" t="n"/>
      <c r="R69" s="24" t="n"/>
      <c r="W69">
        <f>IF($A2="","",COUNTIF('07_Pallet_Contents'!$A$2:$A$3000,$A2))</f>
        <v/>
      </c>
      <c r="X69">
        <f>IF($A2="","",SUMIF('07_Pallet_Contents'!$A$2:$A$3000,$A2,'07_Pallet_Contents'!$D$2:$D$3000))</f>
        <v/>
      </c>
      <c r="Y69">
        <f>IF($A2="","",SUMIF('07_Pallet_Contents'!$A$2:$A$3000,$A2,'07_Pallet_Contents'!$I$2:$I$3000))</f>
        <v/>
      </c>
      <c r="Z69">
        <f>IF($A2="","",IF(COUNTIF('07_Pallet_Contents'!$A$2:$A$3000,$A2)&gt;0,"Yes",""))</f>
        <v/>
      </c>
    </row>
    <row r="70" ht="27.75" customHeight="1" s="91">
      <c r="A70" s="4" t="inlineStr">
        <is>
          <t>PAL-0000070</t>
        </is>
      </c>
      <c r="B70" s="4" t="n"/>
      <c r="D70">
        <f>IF($C70="","",IFERROR(LOOKUP(2,1/('03_Warehouse_Movements'!$C$2:$C$500=$A70),'03_Warehouse_Movements'!$E$2:$E$500),$C70))</f>
        <v/>
      </c>
      <c r="E70" t="inlineStr">
        <is>
          <t>STANDARD</t>
        </is>
      </c>
      <c r="G70" s="23" t="n"/>
      <c r="H70" s="3">
        <f>IF(AND($F70="TEMP",$G70&gt;0,$M70&lt;&gt;""),$M70+$G70,"")</f>
        <v/>
      </c>
      <c r="I70" s="3" t="n"/>
      <c r="J70" s="4" t="n"/>
      <c r="K70" s="3" t="n"/>
      <c r="L70" s="4" t="n"/>
      <c r="M70" s="45">
        <f>IF($C70="","",IFERROR(LOOKUP(2,1/('03_Warehouse_Movements'!$C$2:$C$500=$A70),'03_Warehouse_Movements'!$A$2:$A$500),""))</f>
        <v/>
      </c>
      <c r="N70" s="4">
        <f>IF($C70="","",IFERROR(LOOKUP(2,1/('03_Warehouse_Movements'!$C$2:$C$500=$A70),'03_Warehouse_Movements'!$H$2:$H$500),""))</f>
        <v/>
      </c>
      <c r="O70" s="4">
        <f>A70</f>
        <v/>
      </c>
      <c r="Q70" s="25" t="n"/>
      <c r="R70" s="24" t="n"/>
      <c r="W70">
        <f>IF($A2="","",COUNTIF('07_Pallet_Contents'!$A$2:$A$3000,$A2))</f>
        <v/>
      </c>
      <c r="X70">
        <f>IF($A2="","",SUMIF('07_Pallet_Contents'!$A$2:$A$3000,$A2,'07_Pallet_Contents'!$D$2:$D$3000))</f>
        <v/>
      </c>
      <c r="Y70">
        <f>IF($A2="","",SUMIF('07_Pallet_Contents'!$A$2:$A$3000,$A2,'07_Pallet_Contents'!$I$2:$I$3000))</f>
        <v/>
      </c>
      <c r="Z70">
        <f>IF($A2="","",IF(COUNTIF('07_Pallet_Contents'!$A$2:$A$3000,$A2)&gt;0,"Yes",""))</f>
        <v/>
      </c>
    </row>
    <row r="71" ht="27.75" customHeight="1" s="91">
      <c r="A71" s="4" t="inlineStr">
        <is>
          <t>PAL-0000071</t>
        </is>
      </c>
      <c r="B71" s="4" t="n"/>
      <c r="D71">
        <f>IF($C71="","",IFERROR(LOOKUP(2,1/('03_Warehouse_Movements'!$C$2:$C$500=$A71),'03_Warehouse_Movements'!$E$2:$E$500),$C71))</f>
        <v/>
      </c>
      <c r="E71" t="inlineStr">
        <is>
          <t>STANDARD</t>
        </is>
      </c>
      <c r="G71" s="23" t="n"/>
      <c r="H71" s="3">
        <f>IF(AND($F71="TEMP",$G71&gt;0,$M71&lt;&gt;""),$M71+$G71,"")</f>
        <v/>
      </c>
      <c r="I71" s="3" t="n"/>
      <c r="J71" s="4" t="n"/>
      <c r="K71" s="3" t="n"/>
      <c r="L71" s="4" t="n"/>
      <c r="M71" s="45">
        <f>IF($C71="","",IFERROR(LOOKUP(2,1/('03_Warehouse_Movements'!$C$2:$C$500=$A71),'03_Warehouse_Movements'!$A$2:$A$500),""))</f>
        <v/>
      </c>
      <c r="N71" s="4">
        <f>IF($C71="","",IFERROR(LOOKUP(2,1/('03_Warehouse_Movements'!$C$2:$C$500=$A71),'03_Warehouse_Movements'!$H$2:$H$500),""))</f>
        <v/>
      </c>
      <c r="O71" s="4">
        <f>A71</f>
        <v/>
      </c>
      <c r="Q71" s="25" t="n"/>
      <c r="R71" s="24" t="n"/>
      <c r="W71">
        <f>IF($A2="","",COUNTIF('07_Pallet_Contents'!$A$2:$A$3000,$A2))</f>
        <v/>
      </c>
      <c r="X71">
        <f>IF($A2="","",SUMIF('07_Pallet_Contents'!$A$2:$A$3000,$A2,'07_Pallet_Contents'!$D$2:$D$3000))</f>
        <v/>
      </c>
      <c r="Y71">
        <f>IF($A2="","",SUMIF('07_Pallet_Contents'!$A$2:$A$3000,$A2,'07_Pallet_Contents'!$I$2:$I$3000))</f>
        <v/>
      </c>
      <c r="Z71">
        <f>IF($A2="","",IF(COUNTIF('07_Pallet_Contents'!$A$2:$A$3000,$A2)&gt;0,"Yes",""))</f>
        <v/>
      </c>
    </row>
    <row r="72" ht="27.75" customHeight="1" s="91">
      <c r="A72" s="4" t="inlineStr">
        <is>
          <t>PAL-0000072</t>
        </is>
      </c>
      <c r="B72" s="4" t="n"/>
      <c r="D72">
        <f>IF($C72="","",IFERROR(LOOKUP(2,1/('03_Warehouse_Movements'!$C$2:$C$500=$A72),'03_Warehouse_Movements'!$E$2:$E$500),$C72))</f>
        <v/>
      </c>
      <c r="E72" t="inlineStr">
        <is>
          <t>STANDARD</t>
        </is>
      </c>
      <c r="G72" s="23" t="n"/>
      <c r="H72" s="3">
        <f>IF(AND($F72="TEMP",$G72&gt;0,$M72&lt;&gt;""),$M72+$G72,"")</f>
        <v/>
      </c>
      <c r="I72" s="3" t="n"/>
      <c r="J72" s="4" t="n"/>
      <c r="K72" s="3" t="n"/>
      <c r="L72" s="4" t="n"/>
      <c r="M72" s="45">
        <f>IF($C72="","",IFERROR(LOOKUP(2,1/('03_Warehouse_Movements'!$C$2:$C$500=$A72),'03_Warehouse_Movements'!$A$2:$A$500),""))</f>
        <v/>
      </c>
      <c r="N72" s="4">
        <f>IF($C72="","",IFERROR(LOOKUP(2,1/('03_Warehouse_Movements'!$C$2:$C$500=$A72),'03_Warehouse_Movements'!$H$2:$H$500),""))</f>
        <v/>
      </c>
      <c r="O72" s="4">
        <f>A72</f>
        <v/>
      </c>
      <c r="Q72" s="25" t="n"/>
      <c r="R72" s="24" t="n"/>
      <c r="W72">
        <f>IF($A2="","",COUNTIF('07_Pallet_Contents'!$A$2:$A$3000,$A2))</f>
        <v/>
      </c>
      <c r="X72">
        <f>IF($A2="","",SUMIF('07_Pallet_Contents'!$A$2:$A$3000,$A2,'07_Pallet_Contents'!$D$2:$D$3000))</f>
        <v/>
      </c>
      <c r="Y72">
        <f>IF($A2="","",SUMIF('07_Pallet_Contents'!$A$2:$A$3000,$A2,'07_Pallet_Contents'!$I$2:$I$3000))</f>
        <v/>
      </c>
      <c r="Z72">
        <f>IF($A2="","",IF(COUNTIF('07_Pallet_Contents'!$A$2:$A$3000,$A2)&gt;0,"Yes",""))</f>
        <v/>
      </c>
    </row>
    <row r="73" ht="27.75" customHeight="1" s="91">
      <c r="A73" s="4" t="inlineStr">
        <is>
          <t>PAL-0000073</t>
        </is>
      </c>
      <c r="B73" s="4" t="n"/>
      <c r="D73">
        <f>IF($C73="","",IFERROR(LOOKUP(2,1/('03_Warehouse_Movements'!$C$2:$C$500=$A73),'03_Warehouse_Movements'!$E$2:$E$500),$C73))</f>
        <v/>
      </c>
      <c r="E73" t="inlineStr">
        <is>
          <t>STANDARD</t>
        </is>
      </c>
      <c r="G73" s="23" t="n"/>
      <c r="H73" s="3">
        <f>IF(AND($F73="TEMP",$G73&gt;0,$M73&lt;&gt;""),$M73+$G73,"")</f>
        <v/>
      </c>
      <c r="I73" s="3" t="n"/>
      <c r="J73" s="4" t="n"/>
      <c r="K73" s="3" t="n"/>
      <c r="L73" s="4" t="n"/>
      <c r="M73" s="45">
        <f>IF($C73="","",IFERROR(LOOKUP(2,1/('03_Warehouse_Movements'!$C$2:$C$500=$A73),'03_Warehouse_Movements'!$A$2:$A$500),""))</f>
        <v/>
      </c>
      <c r="N73" s="4">
        <f>IF($C73="","",IFERROR(LOOKUP(2,1/('03_Warehouse_Movements'!$C$2:$C$500=$A73),'03_Warehouse_Movements'!$H$2:$H$500),""))</f>
        <v/>
      </c>
      <c r="O73" s="4">
        <f>A73</f>
        <v/>
      </c>
      <c r="Q73" s="25" t="n"/>
      <c r="R73" s="24" t="n"/>
      <c r="W73">
        <f>IF($A2="","",COUNTIF('07_Pallet_Contents'!$A$2:$A$3000,$A2))</f>
        <v/>
      </c>
      <c r="X73">
        <f>IF($A2="","",SUMIF('07_Pallet_Contents'!$A$2:$A$3000,$A2,'07_Pallet_Contents'!$D$2:$D$3000))</f>
        <v/>
      </c>
      <c r="Y73">
        <f>IF($A2="","",SUMIF('07_Pallet_Contents'!$A$2:$A$3000,$A2,'07_Pallet_Contents'!$I$2:$I$3000))</f>
        <v/>
      </c>
      <c r="Z73">
        <f>IF($A2="","",IF(COUNTIF('07_Pallet_Contents'!$A$2:$A$3000,$A2)&gt;0,"Yes",""))</f>
        <v/>
      </c>
    </row>
    <row r="74" ht="27.75" customHeight="1" s="91">
      <c r="A74" s="4" t="inlineStr">
        <is>
          <t>PAL-0000074</t>
        </is>
      </c>
      <c r="B74" s="4" t="n"/>
      <c r="D74">
        <f>IF($C74="","",IFERROR(LOOKUP(2,1/('03_Warehouse_Movements'!$C$2:$C$500=$A74),'03_Warehouse_Movements'!$E$2:$E$500),$C74))</f>
        <v/>
      </c>
      <c r="E74" t="inlineStr">
        <is>
          <t>STANDARD</t>
        </is>
      </c>
      <c r="G74" s="23" t="n"/>
      <c r="H74" s="3">
        <f>IF(AND($F74="TEMP",$G74&gt;0,$M74&lt;&gt;""),$M74+$G74,"")</f>
        <v/>
      </c>
      <c r="I74" s="3" t="n"/>
      <c r="J74" s="4" t="n"/>
      <c r="K74" s="3" t="n"/>
      <c r="L74" s="4" t="n"/>
      <c r="M74" s="45">
        <f>IF($C74="","",IFERROR(LOOKUP(2,1/('03_Warehouse_Movements'!$C$2:$C$500=$A74),'03_Warehouse_Movements'!$A$2:$A$500),""))</f>
        <v/>
      </c>
      <c r="N74" s="4">
        <f>IF($C74="","",IFERROR(LOOKUP(2,1/('03_Warehouse_Movements'!$C$2:$C$500=$A74),'03_Warehouse_Movements'!$H$2:$H$500),""))</f>
        <v/>
      </c>
      <c r="O74" s="4">
        <f>A74</f>
        <v/>
      </c>
      <c r="Q74" s="25" t="n"/>
      <c r="R74" s="24" t="n"/>
      <c r="W74">
        <f>IF($A2="","",COUNTIF('07_Pallet_Contents'!$A$2:$A$3000,$A2))</f>
        <v/>
      </c>
      <c r="X74">
        <f>IF($A2="","",SUMIF('07_Pallet_Contents'!$A$2:$A$3000,$A2,'07_Pallet_Contents'!$D$2:$D$3000))</f>
        <v/>
      </c>
      <c r="Y74">
        <f>IF($A2="","",SUMIF('07_Pallet_Contents'!$A$2:$A$3000,$A2,'07_Pallet_Contents'!$I$2:$I$3000))</f>
        <v/>
      </c>
      <c r="Z74">
        <f>IF($A2="","",IF(COUNTIF('07_Pallet_Contents'!$A$2:$A$3000,$A2)&gt;0,"Yes",""))</f>
        <v/>
      </c>
    </row>
    <row r="75" ht="27.75" customHeight="1" s="91">
      <c r="A75" s="4" t="inlineStr">
        <is>
          <t>PAL-0000075</t>
        </is>
      </c>
      <c r="B75" s="4" t="n"/>
      <c r="D75">
        <f>IF($C75="","",IFERROR(LOOKUP(2,1/('03_Warehouse_Movements'!$C$2:$C$500=$A75),'03_Warehouse_Movements'!$E$2:$E$500),$C75))</f>
        <v/>
      </c>
      <c r="E75" t="inlineStr">
        <is>
          <t>STANDARD</t>
        </is>
      </c>
      <c r="G75" s="23" t="n"/>
      <c r="H75" s="3">
        <f>IF(AND($F75="TEMP",$G75&gt;0,$M75&lt;&gt;""),$M75+$G75,"")</f>
        <v/>
      </c>
      <c r="I75" s="3" t="n"/>
      <c r="J75" s="4" t="n"/>
      <c r="K75" s="3" t="n"/>
      <c r="L75" s="4" t="n"/>
      <c r="M75" s="45">
        <f>IF($C75="","",IFERROR(LOOKUP(2,1/('03_Warehouse_Movements'!$C$2:$C$500=$A75),'03_Warehouse_Movements'!$A$2:$A$500),""))</f>
        <v/>
      </c>
      <c r="N75" s="4">
        <f>IF($C75="","",IFERROR(LOOKUP(2,1/('03_Warehouse_Movements'!$C$2:$C$500=$A75),'03_Warehouse_Movements'!$H$2:$H$500),""))</f>
        <v/>
      </c>
      <c r="O75" s="4">
        <f>A75</f>
        <v/>
      </c>
      <c r="Q75" s="25" t="n"/>
      <c r="R75" s="24" t="n"/>
      <c r="W75">
        <f>IF($A2="","",COUNTIF('07_Pallet_Contents'!$A$2:$A$3000,$A2))</f>
        <v/>
      </c>
      <c r="X75">
        <f>IF($A2="","",SUMIF('07_Pallet_Contents'!$A$2:$A$3000,$A2,'07_Pallet_Contents'!$D$2:$D$3000))</f>
        <v/>
      </c>
      <c r="Y75">
        <f>IF($A2="","",SUMIF('07_Pallet_Contents'!$A$2:$A$3000,$A2,'07_Pallet_Contents'!$I$2:$I$3000))</f>
        <v/>
      </c>
      <c r="Z75">
        <f>IF($A2="","",IF(COUNTIF('07_Pallet_Contents'!$A$2:$A$3000,$A2)&gt;0,"Yes",""))</f>
        <v/>
      </c>
    </row>
    <row r="76" ht="27.75" customHeight="1" s="91">
      <c r="A76" s="4" t="inlineStr">
        <is>
          <t>PAL-0000076</t>
        </is>
      </c>
      <c r="B76" s="4" t="n"/>
      <c r="D76">
        <f>IF($C76="","",IFERROR(LOOKUP(2,1/('03_Warehouse_Movements'!$C$2:$C$500=$A76),'03_Warehouse_Movements'!$E$2:$E$500),$C76))</f>
        <v/>
      </c>
      <c r="E76" t="inlineStr">
        <is>
          <t>STANDARD</t>
        </is>
      </c>
      <c r="G76" s="23" t="n"/>
      <c r="H76" s="3">
        <f>IF(AND($F76="TEMP",$G76&gt;0,$M76&lt;&gt;""),$M76+$G76,"")</f>
        <v/>
      </c>
      <c r="I76" s="3" t="n"/>
      <c r="J76" s="4" t="n"/>
      <c r="K76" s="3" t="n"/>
      <c r="L76" s="4" t="n"/>
      <c r="M76" s="45">
        <f>IF($C76="","",IFERROR(LOOKUP(2,1/('03_Warehouse_Movements'!$C$2:$C$500=$A76),'03_Warehouse_Movements'!$A$2:$A$500),""))</f>
        <v/>
      </c>
      <c r="N76" s="4">
        <f>IF($C76="","",IFERROR(LOOKUP(2,1/('03_Warehouse_Movements'!$C$2:$C$500=$A76),'03_Warehouse_Movements'!$H$2:$H$500),""))</f>
        <v/>
      </c>
      <c r="O76" s="4">
        <f>A76</f>
        <v/>
      </c>
      <c r="Q76" s="25" t="n"/>
      <c r="R76" s="24" t="n"/>
      <c r="W76">
        <f>IF($A2="","",COUNTIF('07_Pallet_Contents'!$A$2:$A$3000,$A2))</f>
        <v/>
      </c>
      <c r="X76">
        <f>IF($A2="","",SUMIF('07_Pallet_Contents'!$A$2:$A$3000,$A2,'07_Pallet_Contents'!$D$2:$D$3000))</f>
        <v/>
      </c>
      <c r="Y76">
        <f>IF($A2="","",SUMIF('07_Pallet_Contents'!$A$2:$A$3000,$A2,'07_Pallet_Contents'!$I$2:$I$3000))</f>
        <v/>
      </c>
      <c r="Z76">
        <f>IF($A2="","",IF(COUNTIF('07_Pallet_Contents'!$A$2:$A$3000,$A2)&gt;0,"Yes",""))</f>
        <v/>
      </c>
    </row>
    <row r="77" ht="27.75" customHeight="1" s="91">
      <c r="A77" s="4" t="inlineStr">
        <is>
          <t>PAL-0000077</t>
        </is>
      </c>
      <c r="B77" s="4" t="n"/>
      <c r="D77">
        <f>IF($C77="","",IFERROR(LOOKUP(2,1/('03_Warehouse_Movements'!$C$2:$C$500=$A77),'03_Warehouse_Movements'!$E$2:$E$500),$C77))</f>
        <v/>
      </c>
      <c r="E77" t="inlineStr">
        <is>
          <t>STANDARD</t>
        </is>
      </c>
      <c r="G77" s="23" t="n"/>
      <c r="H77" s="3">
        <f>IF(AND($F77="TEMP",$G77&gt;0,$M77&lt;&gt;""),$M77+$G77,"")</f>
        <v/>
      </c>
      <c r="I77" s="3" t="n"/>
      <c r="J77" s="4" t="n"/>
      <c r="K77" s="3" t="n"/>
      <c r="L77" s="4" t="n"/>
      <c r="M77" s="45">
        <f>IF($C77="","",IFERROR(LOOKUP(2,1/('03_Warehouse_Movements'!$C$2:$C$500=$A77),'03_Warehouse_Movements'!$A$2:$A$500),""))</f>
        <v/>
      </c>
      <c r="N77" s="4">
        <f>IF($C77="","",IFERROR(LOOKUP(2,1/('03_Warehouse_Movements'!$C$2:$C$500=$A77),'03_Warehouse_Movements'!$H$2:$H$500),""))</f>
        <v/>
      </c>
      <c r="O77" s="4">
        <f>A77</f>
        <v/>
      </c>
      <c r="Q77" s="25" t="n"/>
      <c r="R77" s="24" t="n"/>
      <c r="W77">
        <f>IF($A2="","",COUNTIF('07_Pallet_Contents'!$A$2:$A$3000,$A2))</f>
        <v/>
      </c>
      <c r="X77">
        <f>IF($A2="","",SUMIF('07_Pallet_Contents'!$A$2:$A$3000,$A2,'07_Pallet_Contents'!$D$2:$D$3000))</f>
        <v/>
      </c>
      <c r="Y77">
        <f>IF($A2="","",SUMIF('07_Pallet_Contents'!$A$2:$A$3000,$A2,'07_Pallet_Contents'!$I$2:$I$3000))</f>
        <v/>
      </c>
      <c r="Z77">
        <f>IF($A2="","",IF(COUNTIF('07_Pallet_Contents'!$A$2:$A$3000,$A2)&gt;0,"Yes",""))</f>
        <v/>
      </c>
    </row>
    <row r="78" ht="27.75" customHeight="1" s="91">
      <c r="A78" s="4" t="inlineStr">
        <is>
          <t>PAL-0000078</t>
        </is>
      </c>
      <c r="B78" s="4" t="n"/>
      <c r="D78">
        <f>IF($C78="","",IFERROR(LOOKUP(2,1/('03_Warehouse_Movements'!$C$2:$C$500=$A78),'03_Warehouse_Movements'!$E$2:$E$500),$C78))</f>
        <v/>
      </c>
      <c r="E78" t="inlineStr">
        <is>
          <t>STANDARD</t>
        </is>
      </c>
      <c r="G78" s="23" t="n"/>
      <c r="H78" s="3">
        <f>IF(AND($F78="TEMP",$G78&gt;0,$M78&lt;&gt;""),$M78+$G78,"")</f>
        <v/>
      </c>
      <c r="I78" s="3" t="n"/>
      <c r="J78" s="4" t="n"/>
      <c r="K78" s="3" t="n"/>
      <c r="L78" s="4" t="n"/>
      <c r="M78" s="45">
        <f>IF($C78="","",IFERROR(LOOKUP(2,1/('03_Warehouse_Movements'!$C$2:$C$500=$A78),'03_Warehouse_Movements'!$A$2:$A$500),""))</f>
        <v/>
      </c>
      <c r="N78" s="4">
        <f>IF($C78="","",IFERROR(LOOKUP(2,1/('03_Warehouse_Movements'!$C$2:$C$500=$A78),'03_Warehouse_Movements'!$H$2:$H$500),""))</f>
        <v/>
      </c>
      <c r="O78" s="4">
        <f>A78</f>
        <v/>
      </c>
      <c r="Q78" s="25" t="n"/>
      <c r="R78" s="24" t="n"/>
      <c r="W78">
        <f>IF($A2="","",COUNTIF('07_Pallet_Contents'!$A$2:$A$3000,$A2))</f>
        <v/>
      </c>
      <c r="X78">
        <f>IF($A2="","",SUMIF('07_Pallet_Contents'!$A$2:$A$3000,$A2,'07_Pallet_Contents'!$D$2:$D$3000))</f>
        <v/>
      </c>
      <c r="Y78">
        <f>IF($A2="","",SUMIF('07_Pallet_Contents'!$A$2:$A$3000,$A2,'07_Pallet_Contents'!$I$2:$I$3000))</f>
        <v/>
      </c>
      <c r="Z78">
        <f>IF($A2="","",IF(COUNTIF('07_Pallet_Contents'!$A$2:$A$3000,$A2)&gt;0,"Yes",""))</f>
        <v/>
      </c>
    </row>
    <row r="79" ht="27.75" customHeight="1" s="91">
      <c r="A79" s="4" t="inlineStr">
        <is>
          <t>PAL-0000079</t>
        </is>
      </c>
      <c r="B79" s="4" t="n"/>
      <c r="D79">
        <f>IF($C79="","",IFERROR(LOOKUP(2,1/('03_Warehouse_Movements'!$C$2:$C$500=$A79),'03_Warehouse_Movements'!$E$2:$E$500),$C79))</f>
        <v/>
      </c>
      <c r="E79" t="inlineStr">
        <is>
          <t>STANDARD</t>
        </is>
      </c>
      <c r="G79" s="23" t="n"/>
      <c r="H79" s="3">
        <f>IF(AND($F79="TEMP",$G79&gt;0,$M79&lt;&gt;""),$M79+$G79,"")</f>
        <v/>
      </c>
      <c r="I79" s="3" t="n"/>
      <c r="J79" s="4" t="n"/>
      <c r="K79" s="3" t="n"/>
      <c r="L79" s="4" t="n"/>
      <c r="M79" s="45">
        <f>IF($C79="","",IFERROR(LOOKUP(2,1/('03_Warehouse_Movements'!$C$2:$C$500=$A79),'03_Warehouse_Movements'!$A$2:$A$500),""))</f>
        <v/>
      </c>
      <c r="N79" s="4">
        <f>IF($C79="","",IFERROR(LOOKUP(2,1/('03_Warehouse_Movements'!$C$2:$C$500=$A79),'03_Warehouse_Movements'!$H$2:$H$500),""))</f>
        <v/>
      </c>
      <c r="O79" s="4">
        <f>A79</f>
        <v/>
      </c>
      <c r="Q79" s="25" t="n"/>
      <c r="R79" s="24" t="n"/>
      <c r="W79">
        <f>IF($A2="","",COUNTIF('07_Pallet_Contents'!$A$2:$A$3000,$A2))</f>
        <v/>
      </c>
      <c r="X79">
        <f>IF($A2="","",SUMIF('07_Pallet_Contents'!$A$2:$A$3000,$A2,'07_Pallet_Contents'!$D$2:$D$3000))</f>
        <v/>
      </c>
      <c r="Y79">
        <f>IF($A2="","",SUMIF('07_Pallet_Contents'!$A$2:$A$3000,$A2,'07_Pallet_Contents'!$I$2:$I$3000))</f>
        <v/>
      </c>
      <c r="Z79">
        <f>IF($A2="","",IF(COUNTIF('07_Pallet_Contents'!$A$2:$A$3000,$A2)&gt;0,"Yes",""))</f>
        <v/>
      </c>
    </row>
    <row r="80" ht="27.75" customHeight="1" s="91">
      <c r="A80" s="4" t="inlineStr">
        <is>
          <t>PAL-0000080</t>
        </is>
      </c>
      <c r="B80" s="4" t="n"/>
      <c r="D80">
        <f>IF($C80="","",IFERROR(LOOKUP(2,1/('03_Warehouse_Movements'!$C$2:$C$500=$A80),'03_Warehouse_Movements'!$E$2:$E$500),$C80))</f>
        <v/>
      </c>
      <c r="E80" t="inlineStr">
        <is>
          <t>STANDARD</t>
        </is>
      </c>
      <c r="G80" s="23" t="n"/>
      <c r="H80" s="3">
        <f>IF(AND($F80="TEMP",$G80&gt;0,$M80&lt;&gt;""),$M80+$G80,"")</f>
        <v/>
      </c>
      <c r="I80" s="3" t="n"/>
      <c r="J80" s="4" t="n"/>
      <c r="K80" s="3" t="n"/>
      <c r="L80" s="4" t="n"/>
      <c r="M80" s="45">
        <f>IF($C80="","",IFERROR(LOOKUP(2,1/('03_Warehouse_Movements'!$C$2:$C$500=$A80),'03_Warehouse_Movements'!$A$2:$A$500),""))</f>
        <v/>
      </c>
      <c r="N80" s="4">
        <f>IF($C80="","",IFERROR(LOOKUP(2,1/('03_Warehouse_Movements'!$C$2:$C$500=$A80),'03_Warehouse_Movements'!$H$2:$H$500),""))</f>
        <v/>
      </c>
      <c r="O80" s="4">
        <f>A80</f>
        <v/>
      </c>
      <c r="Q80" s="25" t="n"/>
      <c r="R80" s="24" t="n"/>
      <c r="W80">
        <f>IF($A2="","",COUNTIF('07_Pallet_Contents'!$A$2:$A$3000,$A2))</f>
        <v/>
      </c>
      <c r="X80">
        <f>IF($A2="","",SUMIF('07_Pallet_Contents'!$A$2:$A$3000,$A2,'07_Pallet_Contents'!$D$2:$D$3000))</f>
        <v/>
      </c>
      <c r="Y80">
        <f>IF($A2="","",SUMIF('07_Pallet_Contents'!$A$2:$A$3000,$A2,'07_Pallet_Contents'!$I$2:$I$3000))</f>
        <v/>
      </c>
      <c r="Z80">
        <f>IF($A2="","",IF(COUNTIF('07_Pallet_Contents'!$A$2:$A$3000,$A2)&gt;0,"Yes",""))</f>
        <v/>
      </c>
    </row>
    <row r="81" ht="27.75" customHeight="1" s="91">
      <c r="A81" s="4" t="inlineStr">
        <is>
          <t>PAL-0000081</t>
        </is>
      </c>
      <c r="B81" s="4" t="n"/>
      <c r="D81">
        <f>IF($C81="","",IFERROR(LOOKUP(2,1/('03_Warehouse_Movements'!$C$2:$C$500=$A81),'03_Warehouse_Movements'!$E$2:$E$500),$C81))</f>
        <v/>
      </c>
      <c r="E81" t="inlineStr">
        <is>
          <t>STANDARD</t>
        </is>
      </c>
      <c r="G81" s="23" t="n"/>
      <c r="H81" s="3">
        <f>IF(AND($F81="TEMP",$G81&gt;0,$M81&lt;&gt;""),$M81+$G81,"")</f>
        <v/>
      </c>
      <c r="I81" s="3" t="n"/>
      <c r="J81" s="4" t="n"/>
      <c r="K81" s="3" t="n"/>
      <c r="L81" s="4" t="n"/>
      <c r="M81" s="45">
        <f>IF($C81="","",IFERROR(LOOKUP(2,1/('03_Warehouse_Movements'!$C$2:$C$500=$A81),'03_Warehouse_Movements'!$A$2:$A$500),""))</f>
        <v/>
      </c>
      <c r="N81" s="4">
        <f>IF($C81="","",IFERROR(LOOKUP(2,1/('03_Warehouse_Movements'!$C$2:$C$500=$A81),'03_Warehouse_Movements'!$H$2:$H$500),""))</f>
        <v/>
      </c>
      <c r="O81" s="4">
        <f>A81</f>
        <v/>
      </c>
      <c r="Q81" s="25" t="n"/>
      <c r="R81" s="24" t="n"/>
      <c r="W81">
        <f>IF($A2="","",COUNTIF('07_Pallet_Contents'!$A$2:$A$3000,$A2))</f>
        <v/>
      </c>
      <c r="X81">
        <f>IF($A2="","",SUMIF('07_Pallet_Contents'!$A$2:$A$3000,$A2,'07_Pallet_Contents'!$D$2:$D$3000))</f>
        <v/>
      </c>
      <c r="Y81">
        <f>IF($A2="","",SUMIF('07_Pallet_Contents'!$A$2:$A$3000,$A2,'07_Pallet_Contents'!$I$2:$I$3000))</f>
        <v/>
      </c>
      <c r="Z81">
        <f>IF($A2="","",IF(COUNTIF('07_Pallet_Contents'!$A$2:$A$3000,$A2)&gt;0,"Yes",""))</f>
        <v/>
      </c>
    </row>
    <row r="82" ht="27.75" customHeight="1" s="91">
      <c r="A82" s="4" t="inlineStr">
        <is>
          <t>PAL-0000082</t>
        </is>
      </c>
      <c r="B82" s="4" t="n"/>
      <c r="D82">
        <f>IF($C82="","",IFERROR(LOOKUP(2,1/('03_Warehouse_Movements'!$C$2:$C$500=$A82),'03_Warehouse_Movements'!$E$2:$E$500),$C82))</f>
        <v/>
      </c>
      <c r="E82" t="inlineStr">
        <is>
          <t>STANDARD</t>
        </is>
      </c>
      <c r="G82" s="23" t="n"/>
      <c r="H82" s="3">
        <f>IF(AND($F82="TEMP",$G82&gt;0,$M82&lt;&gt;""),$M82+$G82,"")</f>
        <v/>
      </c>
      <c r="I82" s="3" t="n"/>
      <c r="J82" s="4" t="n"/>
      <c r="K82" s="3" t="n"/>
      <c r="L82" s="4" t="n"/>
      <c r="M82" s="45">
        <f>IF($C82="","",IFERROR(LOOKUP(2,1/('03_Warehouse_Movements'!$C$2:$C$500=$A82),'03_Warehouse_Movements'!$A$2:$A$500),""))</f>
        <v/>
      </c>
      <c r="N82" s="4">
        <f>IF($C82="","",IFERROR(LOOKUP(2,1/('03_Warehouse_Movements'!$C$2:$C$500=$A82),'03_Warehouse_Movements'!$H$2:$H$500),""))</f>
        <v/>
      </c>
      <c r="O82" s="4">
        <f>A82</f>
        <v/>
      </c>
      <c r="Q82" s="25" t="n"/>
      <c r="R82" s="24" t="n"/>
      <c r="W82">
        <f>IF($A2="","",COUNTIF('07_Pallet_Contents'!$A$2:$A$3000,$A2))</f>
        <v/>
      </c>
      <c r="X82">
        <f>IF($A2="","",SUMIF('07_Pallet_Contents'!$A$2:$A$3000,$A2,'07_Pallet_Contents'!$D$2:$D$3000))</f>
        <v/>
      </c>
      <c r="Y82">
        <f>IF($A2="","",SUMIF('07_Pallet_Contents'!$A$2:$A$3000,$A2,'07_Pallet_Contents'!$I$2:$I$3000))</f>
        <v/>
      </c>
      <c r="Z82">
        <f>IF($A2="","",IF(COUNTIF('07_Pallet_Contents'!$A$2:$A$3000,$A2)&gt;0,"Yes",""))</f>
        <v/>
      </c>
    </row>
    <row r="83" ht="27.75" customHeight="1" s="91">
      <c r="A83" s="4" t="inlineStr">
        <is>
          <t>PAL-0000083</t>
        </is>
      </c>
      <c r="B83" s="4" t="n"/>
      <c r="D83">
        <f>IF($C83="","",IFERROR(LOOKUP(2,1/('03_Warehouse_Movements'!$C$2:$C$500=$A83),'03_Warehouse_Movements'!$E$2:$E$500),$C83))</f>
        <v/>
      </c>
      <c r="E83" t="inlineStr">
        <is>
          <t>STANDARD</t>
        </is>
      </c>
      <c r="G83" s="23" t="n"/>
      <c r="H83" s="3">
        <f>IF(AND($F83="TEMP",$G83&gt;0,$M83&lt;&gt;""),$M83+$G83,"")</f>
        <v/>
      </c>
      <c r="I83" s="3" t="n"/>
      <c r="J83" s="4" t="n"/>
      <c r="K83" s="3" t="n"/>
      <c r="L83" s="4" t="n"/>
      <c r="M83" s="45">
        <f>IF($C83="","",IFERROR(LOOKUP(2,1/('03_Warehouse_Movements'!$C$2:$C$500=$A83),'03_Warehouse_Movements'!$A$2:$A$500),""))</f>
        <v/>
      </c>
      <c r="N83" s="4">
        <f>IF($C83="","",IFERROR(LOOKUP(2,1/('03_Warehouse_Movements'!$C$2:$C$500=$A83),'03_Warehouse_Movements'!$H$2:$H$500),""))</f>
        <v/>
      </c>
      <c r="O83" s="4">
        <f>A83</f>
        <v/>
      </c>
      <c r="Q83" s="25" t="n"/>
      <c r="R83" s="24" t="n"/>
      <c r="W83">
        <f>IF($A2="","",COUNTIF('07_Pallet_Contents'!$A$2:$A$3000,$A2))</f>
        <v/>
      </c>
      <c r="X83">
        <f>IF($A2="","",SUMIF('07_Pallet_Contents'!$A$2:$A$3000,$A2,'07_Pallet_Contents'!$D$2:$D$3000))</f>
        <v/>
      </c>
      <c r="Y83">
        <f>IF($A2="","",SUMIF('07_Pallet_Contents'!$A$2:$A$3000,$A2,'07_Pallet_Contents'!$I$2:$I$3000))</f>
        <v/>
      </c>
      <c r="Z83">
        <f>IF($A2="","",IF(COUNTIF('07_Pallet_Contents'!$A$2:$A$3000,$A2)&gt;0,"Yes",""))</f>
        <v/>
      </c>
    </row>
    <row r="84" ht="27.75" customHeight="1" s="91">
      <c r="A84" s="4" t="inlineStr">
        <is>
          <t>PAL-0000084</t>
        </is>
      </c>
      <c r="B84" s="4" t="n"/>
      <c r="D84">
        <f>IF($C84="","",IFERROR(LOOKUP(2,1/('03_Warehouse_Movements'!$C$2:$C$500=$A84),'03_Warehouse_Movements'!$E$2:$E$500),$C84))</f>
        <v/>
      </c>
      <c r="E84" t="inlineStr">
        <is>
          <t>STANDARD</t>
        </is>
      </c>
      <c r="G84" s="23" t="n"/>
      <c r="H84" s="3">
        <f>IF(AND($F84="TEMP",$G84&gt;0,$M84&lt;&gt;""),$M84+$G84,"")</f>
        <v/>
      </c>
      <c r="I84" s="3" t="n"/>
      <c r="J84" s="4" t="n"/>
      <c r="K84" s="3" t="n"/>
      <c r="L84" s="4" t="n"/>
      <c r="M84" s="45">
        <f>IF($C84="","",IFERROR(LOOKUP(2,1/('03_Warehouse_Movements'!$C$2:$C$500=$A84),'03_Warehouse_Movements'!$A$2:$A$500),""))</f>
        <v/>
      </c>
      <c r="N84" s="4">
        <f>IF($C84="","",IFERROR(LOOKUP(2,1/('03_Warehouse_Movements'!$C$2:$C$500=$A84),'03_Warehouse_Movements'!$H$2:$H$500),""))</f>
        <v/>
      </c>
      <c r="O84" s="4">
        <f>A84</f>
        <v/>
      </c>
      <c r="Q84" s="25" t="n"/>
      <c r="R84" s="24" t="n"/>
      <c r="W84">
        <f>IF($A2="","",COUNTIF('07_Pallet_Contents'!$A$2:$A$3000,$A2))</f>
        <v/>
      </c>
      <c r="X84">
        <f>IF($A2="","",SUMIF('07_Pallet_Contents'!$A$2:$A$3000,$A2,'07_Pallet_Contents'!$D$2:$D$3000))</f>
        <v/>
      </c>
      <c r="Y84">
        <f>IF($A2="","",SUMIF('07_Pallet_Contents'!$A$2:$A$3000,$A2,'07_Pallet_Contents'!$I$2:$I$3000))</f>
        <v/>
      </c>
      <c r="Z84">
        <f>IF($A2="","",IF(COUNTIF('07_Pallet_Contents'!$A$2:$A$3000,$A2)&gt;0,"Yes",""))</f>
        <v/>
      </c>
    </row>
    <row r="85" ht="27.75" customHeight="1" s="91">
      <c r="A85" s="4" t="inlineStr">
        <is>
          <t>PAL-0000085</t>
        </is>
      </c>
      <c r="B85" s="4" t="n"/>
      <c r="D85">
        <f>IF($C85="","",IFERROR(LOOKUP(2,1/('03_Warehouse_Movements'!$C$2:$C$500=$A85),'03_Warehouse_Movements'!$E$2:$E$500),$C85))</f>
        <v/>
      </c>
      <c r="E85" t="inlineStr">
        <is>
          <t>STANDARD</t>
        </is>
      </c>
      <c r="G85" s="23" t="n"/>
      <c r="H85" s="3">
        <f>IF(AND($F85="TEMP",$G85&gt;0,$M85&lt;&gt;""),$M85+$G85,"")</f>
        <v/>
      </c>
      <c r="I85" s="3" t="n"/>
      <c r="J85" s="4" t="n"/>
      <c r="K85" s="3" t="n"/>
      <c r="L85" s="4" t="n"/>
      <c r="M85" s="45">
        <f>IF($C85="","",IFERROR(LOOKUP(2,1/('03_Warehouse_Movements'!$C$2:$C$500=$A85),'03_Warehouse_Movements'!$A$2:$A$500),""))</f>
        <v/>
      </c>
      <c r="N85" s="4">
        <f>IF($C85="","",IFERROR(LOOKUP(2,1/('03_Warehouse_Movements'!$C$2:$C$500=$A85),'03_Warehouse_Movements'!$H$2:$H$500),""))</f>
        <v/>
      </c>
      <c r="O85" s="4">
        <f>A85</f>
        <v/>
      </c>
      <c r="Q85" s="25" t="n"/>
      <c r="R85" s="24" t="n"/>
      <c r="W85">
        <f>IF($A2="","",COUNTIF('07_Pallet_Contents'!$A$2:$A$3000,$A2))</f>
        <v/>
      </c>
      <c r="X85">
        <f>IF($A2="","",SUMIF('07_Pallet_Contents'!$A$2:$A$3000,$A2,'07_Pallet_Contents'!$D$2:$D$3000))</f>
        <v/>
      </c>
      <c r="Y85">
        <f>IF($A2="","",SUMIF('07_Pallet_Contents'!$A$2:$A$3000,$A2,'07_Pallet_Contents'!$I$2:$I$3000))</f>
        <v/>
      </c>
      <c r="Z85">
        <f>IF($A2="","",IF(COUNTIF('07_Pallet_Contents'!$A$2:$A$3000,$A2)&gt;0,"Yes",""))</f>
        <v/>
      </c>
    </row>
    <row r="86" ht="27.75" customHeight="1" s="91">
      <c r="A86" s="4" t="inlineStr">
        <is>
          <t>PAL-0000086</t>
        </is>
      </c>
      <c r="B86" s="4" t="n"/>
      <c r="D86">
        <f>IF($C86="","",IFERROR(LOOKUP(2,1/('03_Warehouse_Movements'!$C$2:$C$500=$A86),'03_Warehouse_Movements'!$E$2:$E$500),$C86))</f>
        <v/>
      </c>
      <c r="E86" t="inlineStr">
        <is>
          <t>STANDARD</t>
        </is>
      </c>
      <c r="G86" s="23" t="n"/>
      <c r="H86" s="3">
        <f>IF(AND($F86="TEMP",$G86&gt;0,$M86&lt;&gt;""),$M86+$G86,"")</f>
        <v/>
      </c>
      <c r="I86" s="3" t="n"/>
      <c r="J86" s="4" t="n"/>
      <c r="K86" s="3" t="n"/>
      <c r="L86" s="4" t="n"/>
      <c r="M86" s="45">
        <f>IF($C86="","",IFERROR(LOOKUP(2,1/('03_Warehouse_Movements'!$C$2:$C$500=$A86),'03_Warehouse_Movements'!$A$2:$A$500),""))</f>
        <v/>
      </c>
      <c r="N86" s="4">
        <f>IF($C86="","",IFERROR(LOOKUP(2,1/('03_Warehouse_Movements'!$C$2:$C$500=$A86),'03_Warehouse_Movements'!$H$2:$H$500),""))</f>
        <v/>
      </c>
      <c r="O86" s="4">
        <f>A86</f>
        <v/>
      </c>
      <c r="Q86" s="25" t="n"/>
      <c r="R86" s="24" t="n"/>
      <c r="W86">
        <f>IF($A2="","",COUNTIF('07_Pallet_Contents'!$A$2:$A$3000,$A2))</f>
        <v/>
      </c>
      <c r="X86">
        <f>IF($A2="","",SUMIF('07_Pallet_Contents'!$A$2:$A$3000,$A2,'07_Pallet_Contents'!$D$2:$D$3000))</f>
        <v/>
      </c>
      <c r="Y86">
        <f>IF($A2="","",SUMIF('07_Pallet_Contents'!$A$2:$A$3000,$A2,'07_Pallet_Contents'!$I$2:$I$3000))</f>
        <v/>
      </c>
      <c r="Z86">
        <f>IF($A2="","",IF(COUNTIF('07_Pallet_Contents'!$A$2:$A$3000,$A2)&gt;0,"Yes",""))</f>
        <v/>
      </c>
    </row>
    <row r="87" ht="27.75" customHeight="1" s="91">
      <c r="A87" s="4" t="inlineStr">
        <is>
          <t>PAL-0000087</t>
        </is>
      </c>
      <c r="B87" s="4" t="n"/>
      <c r="D87">
        <f>IF($C87="","",IFERROR(LOOKUP(2,1/('03_Warehouse_Movements'!$C$2:$C$500=$A87),'03_Warehouse_Movements'!$E$2:$E$500),$C87))</f>
        <v/>
      </c>
      <c r="E87" t="inlineStr">
        <is>
          <t>STANDARD</t>
        </is>
      </c>
      <c r="G87" s="23" t="n"/>
      <c r="H87" s="3">
        <f>IF(AND($F87="TEMP",$G87&gt;0,$M87&lt;&gt;""),$M87+$G87,"")</f>
        <v/>
      </c>
      <c r="I87" s="3" t="n"/>
      <c r="J87" s="4" t="n"/>
      <c r="K87" s="3" t="n"/>
      <c r="L87" s="4" t="n"/>
      <c r="M87" s="45">
        <f>IF($C87="","",IFERROR(LOOKUP(2,1/('03_Warehouse_Movements'!$C$2:$C$500=$A87),'03_Warehouse_Movements'!$A$2:$A$500),""))</f>
        <v/>
      </c>
      <c r="N87" s="4">
        <f>IF($C87="","",IFERROR(LOOKUP(2,1/('03_Warehouse_Movements'!$C$2:$C$500=$A87),'03_Warehouse_Movements'!$H$2:$H$500),""))</f>
        <v/>
      </c>
      <c r="O87" s="4">
        <f>A87</f>
        <v/>
      </c>
      <c r="Q87" s="25" t="n"/>
      <c r="R87" s="24" t="n"/>
      <c r="W87">
        <f>IF($A2="","",COUNTIF('07_Pallet_Contents'!$A$2:$A$3000,$A2))</f>
        <v/>
      </c>
      <c r="X87">
        <f>IF($A2="","",SUMIF('07_Pallet_Contents'!$A$2:$A$3000,$A2,'07_Pallet_Contents'!$D$2:$D$3000))</f>
        <v/>
      </c>
      <c r="Y87">
        <f>IF($A2="","",SUMIF('07_Pallet_Contents'!$A$2:$A$3000,$A2,'07_Pallet_Contents'!$I$2:$I$3000))</f>
        <v/>
      </c>
      <c r="Z87">
        <f>IF($A2="","",IF(COUNTIF('07_Pallet_Contents'!$A$2:$A$3000,$A2)&gt;0,"Yes",""))</f>
        <v/>
      </c>
    </row>
    <row r="88" ht="27.75" customHeight="1" s="91">
      <c r="A88" s="4" t="inlineStr">
        <is>
          <t>PAL-0000088</t>
        </is>
      </c>
      <c r="B88" s="4" t="n"/>
      <c r="D88">
        <f>IF($C88="","",IFERROR(LOOKUP(2,1/('03_Warehouse_Movements'!$C$2:$C$500=$A88),'03_Warehouse_Movements'!$E$2:$E$500),$C88))</f>
        <v/>
      </c>
      <c r="E88" t="inlineStr">
        <is>
          <t>STANDARD</t>
        </is>
      </c>
      <c r="G88" s="23" t="n"/>
      <c r="H88" s="3">
        <f>IF(AND($F88="TEMP",$G88&gt;0,$M88&lt;&gt;""),$M88+$G88,"")</f>
        <v/>
      </c>
      <c r="I88" s="3" t="n"/>
      <c r="J88" s="4" t="n"/>
      <c r="K88" s="3" t="n"/>
      <c r="L88" s="4" t="n"/>
      <c r="M88" s="45">
        <f>IF($C88="","",IFERROR(LOOKUP(2,1/('03_Warehouse_Movements'!$C$2:$C$500=$A88),'03_Warehouse_Movements'!$A$2:$A$500),""))</f>
        <v/>
      </c>
      <c r="N88" s="4">
        <f>IF($C88="","",IFERROR(LOOKUP(2,1/('03_Warehouse_Movements'!$C$2:$C$500=$A88),'03_Warehouse_Movements'!$H$2:$H$500),""))</f>
        <v/>
      </c>
      <c r="O88" s="4">
        <f>A88</f>
        <v/>
      </c>
      <c r="Q88" s="25" t="n"/>
      <c r="R88" s="24" t="n"/>
      <c r="W88">
        <f>IF($A2="","",COUNTIF('07_Pallet_Contents'!$A$2:$A$3000,$A2))</f>
        <v/>
      </c>
      <c r="X88">
        <f>IF($A2="","",SUMIF('07_Pallet_Contents'!$A$2:$A$3000,$A2,'07_Pallet_Contents'!$D$2:$D$3000))</f>
        <v/>
      </c>
      <c r="Y88">
        <f>IF($A2="","",SUMIF('07_Pallet_Contents'!$A$2:$A$3000,$A2,'07_Pallet_Contents'!$I$2:$I$3000))</f>
        <v/>
      </c>
      <c r="Z88">
        <f>IF($A2="","",IF(COUNTIF('07_Pallet_Contents'!$A$2:$A$3000,$A2)&gt;0,"Yes",""))</f>
        <v/>
      </c>
    </row>
    <row r="89" ht="27.75" customHeight="1" s="91">
      <c r="A89" s="4" t="inlineStr">
        <is>
          <t>PAL-0000089</t>
        </is>
      </c>
      <c r="B89" s="4" t="n"/>
      <c r="D89">
        <f>IF($C89="","",IFERROR(LOOKUP(2,1/('03_Warehouse_Movements'!$C$2:$C$500=$A89),'03_Warehouse_Movements'!$E$2:$E$500),$C89))</f>
        <v/>
      </c>
      <c r="E89" t="inlineStr">
        <is>
          <t>STANDARD</t>
        </is>
      </c>
      <c r="G89" s="23" t="n"/>
      <c r="H89" s="3">
        <f>IF(AND($F89="TEMP",$G89&gt;0,$M89&lt;&gt;""),$M89+$G89,"")</f>
        <v/>
      </c>
      <c r="I89" s="3" t="n"/>
      <c r="J89" s="4" t="n"/>
      <c r="K89" s="3" t="n"/>
      <c r="L89" s="4" t="n"/>
      <c r="M89" s="45">
        <f>IF($C89="","",IFERROR(LOOKUP(2,1/('03_Warehouse_Movements'!$C$2:$C$500=$A89),'03_Warehouse_Movements'!$A$2:$A$500),""))</f>
        <v/>
      </c>
      <c r="N89" s="4">
        <f>IF($C89="","",IFERROR(LOOKUP(2,1/('03_Warehouse_Movements'!$C$2:$C$500=$A89),'03_Warehouse_Movements'!$H$2:$H$500),""))</f>
        <v/>
      </c>
      <c r="O89" s="4">
        <f>A89</f>
        <v/>
      </c>
      <c r="Q89" s="25" t="n"/>
      <c r="R89" s="24" t="n"/>
      <c r="W89">
        <f>IF($A2="","",COUNTIF('07_Pallet_Contents'!$A$2:$A$3000,$A2))</f>
        <v/>
      </c>
      <c r="X89">
        <f>IF($A2="","",SUMIF('07_Pallet_Contents'!$A$2:$A$3000,$A2,'07_Pallet_Contents'!$D$2:$D$3000))</f>
        <v/>
      </c>
      <c r="Y89">
        <f>IF($A2="","",SUMIF('07_Pallet_Contents'!$A$2:$A$3000,$A2,'07_Pallet_Contents'!$I$2:$I$3000))</f>
        <v/>
      </c>
      <c r="Z89">
        <f>IF($A2="","",IF(COUNTIF('07_Pallet_Contents'!$A$2:$A$3000,$A2)&gt;0,"Yes",""))</f>
        <v/>
      </c>
    </row>
    <row r="90" ht="27.75" customHeight="1" s="91">
      <c r="A90" s="4" t="inlineStr">
        <is>
          <t>PAL-0000090</t>
        </is>
      </c>
      <c r="B90" s="4" t="n"/>
      <c r="D90">
        <f>IF($C90="","",IFERROR(LOOKUP(2,1/('03_Warehouse_Movements'!$C$2:$C$500=$A90),'03_Warehouse_Movements'!$E$2:$E$500),$C90))</f>
        <v/>
      </c>
      <c r="E90" t="inlineStr">
        <is>
          <t>STANDARD</t>
        </is>
      </c>
      <c r="G90" s="23" t="n"/>
      <c r="H90" s="3">
        <f>IF(AND($F90="TEMP",$G90&gt;0,$M90&lt;&gt;""),$M90+$G90,"")</f>
        <v/>
      </c>
      <c r="I90" s="3" t="n"/>
      <c r="J90" s="4" t="n"/>
      <c r="K90" s="3" t="n"/>
      <c r="L90" s="4" t="n"/>
      <c r="M90" s="45">
        <f>IF($C90="","",IFERROR(LOOKUP(2,1/('03_Warehouse_Movements'!$C$2:$C$500=$A90),'03_Warehouse_Movements'!$A$2:$A$500),""))</f>
        <v/>
      </c>
      <c r="N90" s="4">
        <f>IF($C90="","",IFERROR(LOOKUP(2,1/('03_Warehouse_Movements'!$C$2:$C$500=$A90),'03_Warehouse_Movements'!$H$2:$H$500),""))</f>
        <v/>
      </c>
      <c r="O90" s="4">
        <f>A90</f>
        <v/>
      </c>
      <c r="Q90" s="25" t="n"/>
      <c r="R90" s="24" t="n"/>
      <c r="W90">
        <f>IF($A2="","",COUNTIF('07_Pallet_Contents'!$A$2:$A$3000,$A2))</f>
        <v/>
      </c>
      <c r="X90">
        <f>IF($A2="","",SUMIF('07_Pallet_Contents'!$A$2:$A$3000,$A2,'07_Pallet_Contents'!$D$2:$D$3000))</f>
        <v/>
      </c>
      <c r="Y90">
        <f>IF($A2="","",SUMIF('07_Pallet_Contents'!$A$2:$A$3000,$A2,'07_Pallet_Contents'!$I$2:$I$3000))</f>
        <v/>
      </c>
      <c r="Z90">
        <f>IF($A2="","",IF(COUNTIF('07_Pallet_Contents'!$A$2:$A$3000,$A2)&gt;0,"Yes",""))</f>
        <v/>
      </c>
    </row>
    <row r="91" ht="27.75" customHeight="1" s="91">
      <c r="A91" s="4" t="inlineStr">
        <is>
          <t>PAL-0000091</t>
        </is>
      </c>
      <c r="B91" s="4" t="n"/>
      <c r="D91">
        <f>IF($C91="","",IFERROR(LOOKUP(2,1/('03_Warehouse_Movements'!$C$2:$C$500=$A91),'03_Warehouse_Movements'!$E$2:$E$500),$C91))</f>
        <v/>
      </c>
      <c r="E91" t="inlineStr">
        <is>
          <t>STANDARD</t>
        </is>
      </c>
      <c r="G91" s="23" t="n"/>
      <c r="H91" s="3">
        <f>IF(AND($F91="TEMP",$G91&gt;0,$M91&lt;&gt;""),$M91+$G91,"")</f>
        <v/>
      </c>
      <c r="I91" s="3" t="n"/>
      <c r="J91" s="4" t="n"/>
      <c r="K91" s="3" t="n"/>
      <c r="L91" s="4" t="n"/>
      <c r="M91" s="45">
        <f>IF($C91="","",IFERROR(LOOKUP(2,1/('03_Warehouse_Movements'!$C$2:$C$500=$A91),'03_Warehouse_Movements'!$A$2:$A$500),""))</f>
        <v/>
      </c>
      <c r="N91" s="4">
        <f>IF($C91="","",IFERROR(LOOKUP(2,1/('03_Warehouse_Movements'!$C$2:$C$500=$A91),'03_Warehouse_Movements'!$H$2:$H$500),""))</f>
        <v/>
      </c>
      <c r="O91" s="4">
        <f>A91</f>
        <v/>
      </c>
      <c r="Q91" s="25" t="n"/>
      <c r="R91" s="24" t="n"/>
      <c r="W91">
        <f>IF($A2="","",COUNTIF('07_Pallet_Contents'!$A$2:$A$3000,$A2))</f>
        <v/>
      </c>
      <c r="X91">
        <f>IF($A2="","",SUMIF('07_Pallet_Contents'!$A$2:$A$3000,$A2,'07_Pallet_Contents'!$D$2:$D$3000))</f>
        <v/>
      </c>
      <c r="Y91">
        <f>IF($A2="","",SUMIF('07_Pallet_Contents'!$A$2:$A$3000,$A2,'07_Pallet_Contents'!$I$2:$I$3000))</f>
        <v/>
      </c>
      <c r="Z91">
        <f>IF($A2="","",IF(COUNTIF('07_Pallet_Contents'!$A$2:$A$3000,$A2)&gt;0,"Yes",""))</f>
        <v/>
      </c>
    </row>
    <row r="92" ht="27.75" customHeight="1" s="91">
      <c r="A92" s="4" t="inlineStr">
        <is>
          <t>PAL-0000092</t>
        </is>
      </c>
      <c r="B92" s="4" t="n"/>
      <c r="D92">
        <f>IF($C92="","",IFERROR(LOOKUP(2,1/('03_Warehouse_Movements'!$C$2:$C$500=$A92),'03_Warehouse_Movements'!$E$2:$E$500),$C92))</f>
        <v/>
      </c>
      <c r="E92" t="inlineStr">
        <is>
          <t>STANDARD</t>
        </is>
      </c>
      <c r="G92" s="23" t="n"/>
      <c r="H92" s="3">
        <f>IF(AND($F92="TEMP",$G92&gt;0,$M92&lt;&gt;""),$M92+$G92,"")</f>
        <v/>
      </c>
      <c r="I92" s="3" t="n"/>
      <c r="J92" s="4" t="n"/>
      <c r="K92" s="3" t="n"/>
      <c r="L92" s="4" t="n"/>
      <c r="M92" s="45">
        <f>IF($C92="","",IFERROR(LOOKUP(2,1/('03_Warehouse_Movements'!$C$2:$C$500=$A92),'03_Warehouse_Movements'!$A$2:$A$500),""))</f>
        <v/>
      </c>
      <c r="N92" s="4">
        <f>IF($C92="","",IFERROR(LOOKUP(2,1/('03_Warehouse_Movements'!$C$2:$C$500=$A92),'03_Warehouse_Movements'!$H$2:$H$500),""))</f>
        <v/>
      </c>
      <c r="O92" s="4">
        <f>A92</f>
        <v/>
      </c>
      <c r="Q92" s="25" t="n"/>
      <c r="R92" s="24" t="n"/>
      <c r="W92">
        <f>IF($A2="","",COUNTIF('07_Pallet_Contents'!$A$2:$A$3000,$A2))</f>
        <v/>
      </c>
      <c r="X92">
        <f>IF($A2="","",SUMIF('07_Pallet_Contents'!$A$2:$A$3000,$A2,'07_Pallet_Contents'!$D$2:$D$3000))</f>
        <v/>
      </c>
      <c r="Y92">
        <f>IF($A2="","",SUMIF('07_Pallet_Contents'!$A$2:$A$3000,$A2,'07_Pallet_Contents'!$I$2:$I$3000))</f>
        <v/>
      </c>
      <c r="Z92">
        <f>IF($A2="","",IF(COUNTIF('07_Pallet_Contents'!$A$2:$A$3000,$A2)&gt;0,"Yes",""))</f>
        <v/>
      </c>
    </row>
    <row r="93" ht="27.75" customHeight="1" s="91">
      <c r="A93" s="4" t="inlineStr">
        <is>
          <t>PAL-0000093</t>
        </is>
      </c>
      <c r="B93" s="4" t="n"/>
      <c r="D93">
        <f>IF($C93="","",IFERROR(LOOKUP(2,1/('03_Warehouse_Movements'!$C$2:$C$500=$A93),'03_Warehouse_Movements'!$E$2:$E$500),$C93))</f>
        <v/>
      </c>
      <c r="E93" t="inlineStr">
        <is>
          <t>STANDARD</t>
        </is>
      </c>
      <c r="G93" s="23" t="n"/>
      <c r="H93" s="3">
        <f>IF(AND($F93="TEMP",$G93&gt;0,$M93&lt;&gt;""),$M93+$G93,"")</f>
        <v/>
      </c>
      <c r="I93" s="3" t="n"/>
      <c r="J93" s="4" t="n"/>
      <c r="K93" s="3" t="n"/>
      <c r="L93" s="4" t="n"/>
      <c r="M93" s="45">
        <f>IF($C93="","",IFERROR(LOOKUP(2,1/('03_Warehouse_Movements'!$C$2:$C$500=$A93),'03_Warehouse_Movements'!$A$2:$A$500),""))</f>
        <v/>
      </c>
      <c r="N93" s="4">
        <f>IF($C93="","",IFERROR(LOOKUP(2,1/('03_Warehouse_Movements'!$C$2:$C$500=$A93),'03_Warehouse_Movements'!$H$2:$H$500),""))</f>
        <v/>
      </c>
      <c r="O93" s="4">
        <f>A93</f>
        <v/>
      </c>
      <c r="Q93" s="25" t="n"/>
      <c r="R93" s="24" t="n"/>
      <c r="W93">
        <f>IF($A2="","",COUNTIF('07_Pallet_Contents'!$A$2:$A$3000,$A2))</f>
        <v/>
      </c>
      <c r="X93">
        <f>IF($A2="","",SUMIF('07_Pallet_Contents'!$A$2:$A$3000,$A2,'07_Pallet_Contents'!$D$2:$D$3000))</f>
        <v/>
      </c>
      <c r="Y93">
        <f>IF($A2="","",SUMIF('07_Pallet_Contents'!$A$2:$A$3000,$A2,'07_Pallet_Contents'!$I$2:$I$3000))</f>
        <v/>
      </c>
      <c r="Z93">
        <f>IF($A2="","",IF(COUNTIF('07_Pallet_Contents'!$A$2:$A$3000,$A2)&gt;0,"Yes",""))</f>
        <v/>
      </c>
    </row>
    <row r="94" ht="27.75" customHeight="1" s="91">
      <c r="A94" s="4" t="inlineStr">
        <is>
          <t>PAL-0000094</t>
        </is>
      </c>
      <c r="B94" s="4" t="n"/>
      <c r="D94">
        <f>IF($C94="","",IFERROR(LOOKUP(2,1/('03_Warehouse_Movements'!$C$2:$C$500=$A94),'03_Warehouse_Movements'!$E$2:$E$500),$C94))</f>
        <v/>
      </c>
      <c r="E94" t="inlineStr">
        <is>
          <t>STANDARD</t>
        </is>
      </c>
      <c r="G94" s="23" t="n"/>
      <c r="H94" s="3">
        <f>IF(AND($F94="TEMP",$G94&gt;0,$M94&lt;&gt;""),$M94+$G94,"")</f>
        <v/>
      </c>
      <c r="I94" s="3" t="n"/>
      <c r="J94" s="4" t="n"/>
      <c r="K94" s="3" t="n"/>
      <c r="L94" s="4" t="n"/>
      <c r="M94" s="45">
        <f>IF($C94="","",IFERROR(LOOKUP(2,1/('03_Warehouse_Movements'!$C$2:$C$500=$A94),'03_Warehouse_Movements'!$A$2:$A$500),""))</f>
        <v/>
      </c>
      <c r="N94" s="4">
        <f>IF($C94="","",IFERROR(LOOKUP(2,1/('03_Warehouse_Movements'!$C$2:$C$500=$A94),'03_Warehouse_Movements'!$H$2:$H$500),""))</f>
        <v/>
      </c>
      <c r="O94" s="4">
        <f>A94</f>
        <v/>
      </c>
      <c r="Q94" s="25" t="n"/>
      <c r="R94" s="24" t="n"/>
      <c r="W94">
        <f>IF($A2="","",COUNTIF('07_Pallet_Contents'!$A$2:$A$3000,$A2))</f>
        <v/>
      </c>
      <c r="X94">
        <f>IF($A2="","",SUMIF('07_Pallet_Contents'!$A$2:$A$3000,$A2,'07_Pallet_Contents'!$D$2:$D$3000))</f>
        <v/>
      </c>
      <c r="Y94">
        <f>IF($A2="","",SUMIF('07_Pallet_Contents'!$A$2:$A$3000,$A2,'07_Pallet_Contents'!$I$2:$I$3000))</f>
        <v/>
      </c>
      <c r="Z94">
        <f>IF($A2="","",IF(COUNTIF('07_Pallet_Contents'!$A$2:$A$3000,$A2)&gt;0,"Yes",""))</f>
        <v/>
      </c>
    </row>
    <row r="95" ht="27.75" customHeight="1" s="91">
      <c r="A95" s="4" t="inlineStr">
        <is>
          <t>PAL-0000095</t>
        </is>
      </c>
      <c r="B95" s="4" t="n"/>
      <c r="D95">
        <f>IF($C95="","",IFERROR(LOOKUP(2,1/('03_Warehouse_Movements'!$C$2:$C$500=$A95),'03_Warehouse_Movements'!$E$2:$E$500),$C95))</f>
        <v/>
      </c>
      <c r="E95" t="inlineStr">
        <is>
          <t>STANDARD</t>
        </is>
      </c>
      <c r="G95" s="23" t="n"/>
      <c r="H95" s="3">
        <f>IF(AND($F95="TEMP",$G95&gt;0,$M95&lt;&gt;""),$M95+$G95,"")</f>
        <v/>
      </c>
      <c r="I95" s="3" t="n"/>
      <c r="J95" s="4" t="n"/>
      <c r="K95" s="3" t="n"/>
      <c r="L95" s="4" t="n"/>
      <c r="M95" s="45">
        <f>IF($C95="","",IFERROR(LOOKUP(2,1/('03_Warehouse_Movements'!$C$2:$C$500=$A95),'03_Warehouse_Movements'!$A$2:$A$500),""))</f>
        <v/>
      </c>
      <c r="N95" s="4">
        <f>IF($C95="","",IFERROR(LOOKUP(2,1/('03_Warehouse_Movements'!$C$2:$C$500=$A95),'03_Warehouse_Movements'!$H$2:$H$500),""))</f>
        <v/>
      </c>
      <c r="O95" s="4">
        <f>A95</f>
        <v/>
      </c>
      <c r="Q95" s="25" t="n"/>
      <c r="R95" s="24" t="n"/>
      <c r="W95">
        <f>IF($A2="","",COUNTIF('07_Pallet_Contents'!$A$2:$A$3000,$A2))</f>
        <v/>
      </c>
      <c r="X95">
        <f>IF($A2="","",SUMIF('07_Pallet_Contents'!$A$2:$A$3000,$A2,'07_Pallet_Contents'!$D$2:$D$3000))</f>
        <v/>
      </c>
      <c r="Y95">
        <f>IF($A2="","",SUMIF('07_Pallet_Contents'!$A$2:$A$3000,$A2,'07_Pallet_Contents'!$I$2:$I$3000))</f>
        <v/>
      </c>
      <c r="Z95">
        <f>IF($A2="","",IF(COUNTIF('07_Pallet_Contents'!$A$2:$A$3000,$A2)&gt;0,"Yes",""))</f>
        <v/>
      </c>
    </row>
    <row r="96" ht="27.75" customHeight="1" s="91">
      <c r="A96" s="4" t="inlineStr">
        <is>
          <t>PAL-0000096</t>
        </is>
      </c>
      <c r="B96" s="4" t="n"/>
      <c r="D96">
        <f>IF($C96="","",IFERROR(LOOKUP(2,1/('03_Warehouse_Movements'!$C$2:$C$500=$A96),'03_Warehouse_Movements'!$E$2:$E$500),$C96))</f>
        <v/>
      </c>
      <c r="E96" t="inlineStr">
        <is>
          <t>STANDARD</t>
        </is>
      </c>
      <c r="G96" s="23" t="n"/>
      <c r="H96" s="3">
        <f>IF(AND($F96="TEMP",$G96&gt;0,$M96&lt;&gt;""),$M96+$G96,"")</f>
        <v/>
      </c>
      <c r="I96" s="3" t="n"/>
      <c r="J96" s="4" t="n"/>
      <c r="K96" s="3" t="n"/>
      <c r="L96" s="4" t="n"/>
      <c r="M96" s="45">
        <f>IF($C96="","",IFERROR(LOOKUP(2,1/('03_Warehouse_Movements'!$C$2:$C$500=$A96),'03_Warehouse_Movements'!$A$2:$A$500),""))</f>
        <v/>
      </c>
      <c r="N96" s="4">
        <f>IF($C96="","",IFERROR(LOOKUP(2,1/('03_Warehouse_Movements'!$C$2:$C$500=$A96),'03_Warehouse_Movements'!$H$2:$H$500),""))</f>
        <v/>
      </c>
      <c r="O96" s="4">
        <f>A96</f>
        <v/>
      </c>
      <c r="Q96" s="25" t="n"/>
      <c r="R96" s="24" t="n"/>
      <c r="W96">
        <f>IF($A2="","",COUNTIF('07_Pallet_Contents'!$A$2:$A$3000,$A2))</f>
        <v/>
      </c>
      <c r="X96">
        <f>IF($A2="","",SUMIF('07_Pallet_Contents'!$A$2:$A$3000,$A2,'07_Pallet_Contents'!$D$2:$D$3000))</f>
        <v/>
      </c>
      <c r="Y96">
        <f>IF($A2="","",SUMIF('07_Pallet_Contents'!$A$2:$A$3000,$A2,'07_Pallet_Contents'!$I$2:$I$3000))</f>
        <v/>
      </c>
      <c r="Z96">
        <f>IF($A2="","",IF(COUNTIF('07_Pallet_Contents'!$A$2:$A$3000,$A2)&gt;0,"Yes",""))</f>
        <v/>
      </c>
    </row>
    <row r="97" ht="27.75" customHeight="1" s="91">
      <c r="A97" s="4" t="inlineStr">
        <is>
          <t>PAL-0000097</t>
        </is>
      </c>
      <c r="B97" s="4" t="n"/>
      <c r="D97">
        <f>IF($C97="","",IFERROR(LOOKUP(2,1/('03_Warehouse_Movements'!$C$2:$C$500=$A97),'03_Warehouse_Movements'!$E$2:$E$500),$C97))</f>
        <v/>
      </c>
      <c r="E97" t="inlineStr">
        <is>
          <t>STANDARD</t>
        </is>
      </c>
      <c r="G97" s="23" t="n"/>
      <c r="H97" s="3">
        <f>IF(AND($F97="TEMP",$G97&gt;0,$M97&lt;&gt;""),$M97+$G97,"")</f>
        <v/>
      </c>
      <c r="I97" s="3" t="n"/>
      <c r="J97" s="4" t="n"/>
      <c r="K97" s="3" t="n"/>
      <c r="L97" s="4" t="n"/>
      <c r="M97" s="45">
        <f>IF($C97="","",IFERROR(LOOKUP(2,1/('03_Warehouse_Movements'!$C$2:$C$500=$A97),'03_Warehouse_Movements'!$A$2:$A$500),""))</f>
        <v/>
      </c>
      <c r="N97" s="4">
        <f>IF($C97="","",IFERROR(LOOKUP(2,1/('03_Warehouse_Movements'!$C$2:$C$500=$A97),'03_Warehouse_Movements'!$H$2:$H$500),""))</f>
        <v/>
      </c>
      <c r="O97" s="4">
        <f>A97</f>
        <v/>
      </c>
      <c r="Q97" s="25" t="n"/>
      <c r="R97" s="24" t="n"/>
      <c r="W97">
        <f>IF($A2="","",COUNTIF('07_Pallet_Contents'!$A$2:$A$3000,$A2))</f>
        <v/>
      </c>
      <c r="X97">
        <f>IF($A2="","",SUMIF('07_Pallet_Contents'!$A$2:$A$3000,$A2,'07_Pallet_Contents'!$D$2:$D$3000))</f>
        <v/>
      </c>
      <c r="Y97">
        <f>IF($A2="","",SUMIF('07_Pallet_Contents'!$A$2:$A$3000,$A2,'07_Pallet_Contents'!$I$2:$I$3000))</f>
        <v/>
      </c>
      <c r="Z97">
        <f>IF($A2="","",IF(COUNTIF('07_Pallet_Contents'!$A$2:$A$3000,$A2)&gt;0,"Yes",""))</f>
        <v/>
      </c>
    </row>
    <row r="98" ht="27.75" customHeight="1" s="91">
      <c r="A98" s="4" t="inlineStr">
        <is>
          <t>PAL-0000098</t>
        </is>
      </c>
      <c r="B98" s="4" t="n"/>
      <c r="D98">
        <f>IF($C98="","",IFERROR(LOOKUP(2,1/('03_Warehouse_Movements'!$C$2:$C$500=$A98),'03_Warehouse_Movements'!$E$2:$E$500),$C98))</f>
        <v/>
      </c>
      <c r="E98" t="inlineStr">
        <is>
          <t>STANDARD</t>
        </is>
      </c>
      <c r="G98" s="23" t="n"/>
      <c r="H98" s="3">
        <f>IF(AND($F98="TEMP",$G98&gt;0,$M98&lt;&gt;""),$M98+$G98,"")</f>
        <v/>
      </c>
      <c r="I98" s="3" t="n"/>
      <c r="J98" s="4" t="n"/>
      <c r="K98" s="3" t="n"/>
      <c r="L98" s="4" t="n"/>
      <c r="M98" s="45">
        <f>IF($C98="","",IFERROR(LOOKUP(2,1/('03_Warehouse_Movements'!$C$2:$C$500=$A98),'03_Warehouse_Movements'!$A$2:$A$500),""))</f>
        <v/>
      </c>
      <c r="N98" s="4">
        <f>IF($C98="","",IFERROR(LOOKUP(2,1/('03_Warehouse_Movements'!$C$2:$C$500=$A98),'03_Warehouse_Movements'!$H$2:$H$500),""))</f>
        <v/>
      </c>
      <c r="O98" s="4">
        <f>A98</f>
        <v/>
      </c>
      <c r="Q98" s="25" t="n"/>
      <c r="R98" s="24" t="n"/>
      <c r="W98">
        <f>IF($A2="","",COUNTIF('07_Pallet_Contents'!$A$2:$A$3000,$A2))</f>
        <v/>
      </c>
      <c r="X98">
        <f>IF($A2="","",SUMIF('07_Pallet_Contents'!$A$2:$A$3000,$A2,'07_Pallet_Contents'!$D$2:$D$3000))</f>
        <v/>
      </c>
      <c r="Y98">
        <f>IF($A2="","",SUMIF('07_Pallet_Contents'!$A$2:$A$3000,$A2,'07_Pallet_Contents'!$I$2:$I$3000))</f>
        <v/>
      </c>
      <c r="Z98">
        <f>IF($A2="","",IF(COUNTIF('07_Pallet_Contents'!$A$2:$A$3000,$A2)&gt;0,"Yes",""))</f>
        <v/>
      </c>
    </row>
    <row r="99" ht="27.75" customHeight="1" s="91">
      <c r="A99" s="4" t="inlineStr">
        <is>
          <t>PAL-0000099</t>
        </is>
      </c>
      <c r="B99" s="4" t="n"/>
      <c r="D99">
        <f>IF($C99="","",IFERROR(LOOKUP(2,1/('03_Warehouse_Movements'!$C$2:$C$500=$A99),'03_Warehouse_Movements'!$E$2:$E$500),$C99))</f>
        <v/>
      </c>
      <c r="E99" t="inlineStr">
        <is>
          <t>STANDARD</t>
        </is>
      </c>
      <c r="G99" s="23" t="n"/>
      <c r="H99" s="3">
        <f>IF(AND($F99="TEMP",$G99&gt;0,$M99&lt;&gt;""),$M99+$G99,"")</f>
        <v/>
      </c>
      <c r="I99" s="3" t="n"/>
      <c r="J99" s="4" t="n"/>
      <c r="K99" s="3" t="n"/>
      <c r="L99" s="4" t="n"/>
      <c r="M99" s="45">
        <f>IF($C99="","",IFERROR(LOOKUP(2,1/('03_Warehouse_Movements'!$C$2:$C$500=$A99),'03_Warehouse_Movements'!$A$2:$A$500),""))</f>
        <v/>
      </c>
      <c r="N99" s="4">
        <f>IF($C99="","",IFERROR(LOOKUP(2,1/('03_Warehouse_Movements'!$C$2:$C$500=$A99),'03_Warehouse_Movements'!$H$2:$H$500),""))</f>
        <v/>
      </c>
      <c r="O99" s="4">
        <f>A99</f>
        <v/>
      </c>
      <c r="Q99" s="25" t="n"/>
      <c r="R99" s="24" t="n"/>
      <c r="W99">
        <f>IF($A2="","",COUNTIF('07_Pallet_Contents'!$A$2:$A$3000,$A2))</f>
        <v/>
      </c>
      <c r="X99">
        <f>IF($A2="","",SUMIF('07_Pallet_Contents'!$A$2:$A$3000,$A2,'07_Pallet_Contents'!$D$2:$D$3000))</f>
        <v/>
      </c>
      <c r="Y99">
        <f>IF($A2="","",SUMIF('07_Pallet_Contents'!$A$2:$A$3000,$A2,'07_Pallet_Contents'!$I$2:$I$3000))</f>
        <v/>
      </c>
      <c r="Z99">
        <f>IF($A2="","",IF(COUNTIF('07_Pallet_Contents'!$A$2:$A$3000,$A2)&gt;0,"Yes",""))</f>
        <v/>
      </c>
    </row>
    <row r="100" ht="27.75" customHeight="1" s="91">
      <c r="A100" s="4" t="inlineStr">
        <is>
          <t>PAL-0000100</t>
        </is>
      </c>
      <c r="B100" s="4" t="n"/>
      <c r="D100">
        <f>IF($C100="","",IFERROR(LOOKUP(2,1/('03_Warehouse_Movements'!$C$2:$C$500=$A100),'03_Warehouse_Movements'!$E$2:$E$500),$C100))</f>
        <v/>
      </c>
      <c r="E100" t="inlineStr">
        <is>
          <t>STANDARD</t>
        </is>
      </c>
      <c r="G100" s="23" t="n"/>
      <c r="H100" s="3">
        <f>IF(AND($F100="TEMP",$G100&gt;0,$M100&lt;&gt;""),$M100+$G100,"")</f>
        <v/>
      </c>
      <c r="I100" s="3" t="n"/>
      <c r="J100" s="4" t="n"/>
      <c r="K100" s="3" t="n"/>
      <c r="L100" s="4" t="n"/>
      <c r="M100" s="45">
        <f>IF($C100="","",IFERROR(LOOKUP(2,1/('03_Warehouse_Movements'!$C$2:$C$500=$A100),'03_Warehouse_Movements'!$A$2:$A$500),""))</f>
        <v/>
      </c>
      <c r="N100" s="4">
        <f>IF($C100="","",IFERROR(LOOKUP(2,1/('03_Warehouse_Movements'!$C$2:$C$500=$A100),'03_Warehouse_Movements'!$H$2:$H$500),""))</f>
        <v/>
      </c>
      <c r="O100" s="4">
        <f>A100</f>
        <v/>
      </c>
      <c r="Q100" s="25" t="n"/>
      <c r="R100" s="24" t="n"/>
      <c r="W100">
        <f>IF($A2="","",COUNTIF('07_Pallet_Contents'!$A$2:$A$3000,$A2))</f>
        <v/>
      </c>
      <c r="X100">
        <f>IF($A2="","",SUMIF('07_Pallet_Contents'!$A$2:$A$3000,$A2,'07_Pallet_Contents'!$D$2:$D$3000))</f>
        <v/>
      </c>
      <c r="Y100">
        <f>IF($A2="","",SUMIF('07_Pallet_Contents'!$A$2:$A$3000,$A2,'07_Pallet_Contents'!$I$2:$I$3000))</f>
        <v/>
      </c>
      <c r="Z100">
        <f>IF($A2="","",IF(COUNTIF('07_Pallet_Contents'!$A$2:$A$3000,$A2)&gt;0,"Yes",""))</f>
        <v/>
      </c>
    </row>
    <row r="101" ht="27.75" customHeight="1" s="91">
      <c r="A101" s="4" t="inlineStr">
        <is>
          <t>PAL-0000101</t>
        </is>
      </c>
      <c r="B101" s="4" t="n"/>
      <c r="D101">
        <f>IF($C101="","",IFERROR(LOOKUP(2,1/('03_Warehouse_Movements'!$C$2:$C$500=$A101),'03_Warehouse_Movements'!$E$2:$E$500),$C101))</f>
        <v/>
      </c>
      <c r="E101" t="inlineStr">
        <is>
          <t>STANDARD</t>
        </is>
      </c>
      <c r="G101" s="23" t="n"/>
      <c r="H101" s="3">
        <f>IF(AND($F101="TEMP",$G101&gt;0,$M101&lt;&gt;""),$M101+$G101,"")</f>
        <v/>
      </c>
      <c r="I101" s="3" t="n"/>
      <c r="J101" s="4" t="n"/>
      <c r="K101" s="3" t="n"/>
      <c r="L101" s="4" t="n"/>
      <c r="M101" s="45">
        <f>IF($C101="","",IFERROR(LOOKUP(2,1/('03_Warehouse_Movements'!$C$2:$C$500=$A101),'03_Warehouse_Movements'!$A$2:$A$500),""))</f>
        <v/>
      </c>
      <c r="N101" s="4">
        <f>IF($C101="","",IFERROR(LOOKUP(2,1/('03_Warehouse_Movements'!$C$2:$C$500=$A101),'03_Warehouse_Movements'!$H$2:$H$500),""))</f>
        <v/>
      </c>
      <c r="O101" s="4">
        <f>A101</f>
        <v/>
      </c>
      <c r="Q101" s="25" t="n"/>
      <c r="R101" s="24" t="n"/>
      <c r="W101">
        <f>IF($A2="","",COUNTIF('07_Pallet_Contents'!$A$2:$A$3000,$A2))</f>
        <v/>
      </c>
      <c r="X101">
        <f>IF($A2="","",SUMIF('07_Pallet_Contents'!$A$2:$A$3000,$A2,'07_Pallet_Contents'!$D$2:$D$3000))</f>
        <v/>
      </c>
      <c r="Y101">
        <f>IF($A2="","",SUMIF('07_Pallet_Contents'!$A$2:$A$3000,$A2,'07_Pallet_Contents'!$I$2:$I$3000))</f>
        <v/>
      </c>
      <c r="Z101">
        <f>IF($A2="","",IF(COUNTIF('07_Pallet_Contents'!$A$2:$A$3000,$A2)&gt;0,"Yes",""))</f>
        <v/>
      </c>
    </row>
    <row r="102" ht="27.75" customHeight="1" s="91">
      <c r="A102" s="4" t="inlineStr">
        <is>
          <t>PAL-0000102</t>
        </is>
      </c>
      <c r="B102" s="4" t="n"/>
      <c r="D102">
        <f>IF($C102="","",IFERROR(LOOKUP(2,1/('03_Warehouse_Movements'!$C$2:$C$500=$A102),'03_Warehouse_Movements'!$E$2:$E$500),$C102))</f>
        <v/>
      </c>
      <c r="E102" t="inlineStr">
        <is>
          <t>STANDARD</t>
        </is>
      </c>
      <c r="G102" s="23" t="n"/>
      <c r="H102" s="3">
        <f>IF(AND($F102="TEMP",$G102&gt;0,$M102&lt;&gt;""),$M102+$G102,"")</f>
        <v/>
      </c>
      <c r="I102" s="3" t="n"/>
      <c r="J102" s="4" t="n"/>
      <c r="K102" s="3" t="n"/>
      <c r="L102" s="4" t="n"/>
      <c r="M102" s="45">
        <f>IF($C102="","",IFERROR(LOOKUP(2,1/('03_Warehouse_Movements'!$C$2:$C$500=$A102),'03_Warehouse_Movements'!$A$2:$A$500),""))</f>
        <v/>
      </c>
      <c r="N102" s="4">
        <f>IF($C102="","",IFERROR(LOOKUP(2,1/('03_Warehouse_Movements'!$C$2:$C$500=$A102),'03_Warehouse_Movements'!$H$2:$H$500),""))</f>
        <v/>
      </c>
      <c r="O102" s="4">
        <f>A102</f>
        <v/>
      </c>
      <c r="Q102" s="25" t="n"/>
      <c r="R102" s="24" t="n"/>
      <c r="W102">
        <f>IF($A2="","",COUNTIF('07_Pallet_Contents'!$A$2:$A$3000,$A2))</f>
        <v/>
      </c>
      <c r="X102">
        <f>IF($A2="","",SUMIF('07_Pallet_Contents'!$A$2:$A$3000,$A2,'07_Pallet_Contents'!$D$2:$D$3000))</f>
        <v/>
      </c>
      <c r="Y102">
        <f>IF($A2="","",SUMIF('07_Pallet_Contents'!$A$2:$A$3000,$A2,'07_Pallet_Contents'!$I$2:$I$3000))</f>
        <v/>
      </c>
      <c r="Z102">
        <f>IF($A2="","",IF(COUNTIF('07_Pallet_Contents'!$A$2:$A$3000,$A2)&gt;0,"Yes",""))</f>
        <v/>
      </c>
    </row>
    <row r="103" ht="27.75" customHeight="1" s="91">
      <c r="A103" s="4" t="inlineStr">
        <is>
          <t>PAL-0000103</t>
        </is>
      </c>
      <c r="B103" s="4" t="n"/>
      <c r="D103">
        <f>IF($C103="","",IFERROR(LOOKUP(2,1/('03_Warehouse_Movements'!$C$2:$C$500=$A103),'03_Warehouse_Movements'!$E$2:$E$500),$C103))</f>
        <v/>
      </c>
      <c r="E103" t="inlineStr">
        <is>
          <t>STANDARD</t>
        </is>
      </c>
      <c r="G103" s="23" t="n"/>
      <c r="H103" s="3">
        <f>IF(AND($F103="TEMP",$G103&gt;0,$M103&lt;&gt;""),$M103+$G103,"")</f>
        <v/>
      </c>
      <c r="I103" s="3" t="n"/>
      <c r="J103" s="4" t="n"/>
      <c r="K103" s="3" t="n"/>
      <c r="L103" s="4" t="n"/>
      <c r="M103" s="45">
        <f>IF($C103="","",IFERROR(LOOKUP(2,1/('03_Warehouse_Movements'!$C$2:$C$500=$A103),'03_Warehouse_Movements'!$A$2:$A$500),""))</f>
        <v/>
      </c>
      <c r="N103" s="4">
        <f>IF($C103="","",IFERROR(LOOKUP(2,1/('03_Warehouse_Movements'!$C$2:$C$500=$A103),'03_Warehouse_Movements'!$H$2:$H$500),""))</f>
        <v/>
      </c>
      <c r="O103" s="4">
        <f>A103</f>
        <v/>
      </c>
      <c r="Q103" s="25" t="n"/>
      <c r="R103" s="24" t="n"/>
      <c r="W103">
        <f>IF($A2="","",COUNTIF('07_Pallet_Contents'!$A$2:$A$3000,$A2))</f>
        <v/>
      </c>
      <c r="X103">
        <f>IF($A2="","",SUMIF('07_Pallet_Contents'!$A$2:$A$3000,$A2,'07_Pallet_Contents'!$D$2:$D$3000))</f>
        <v/>
      </c>
      <c r="Y103">
        <f>IF($A2="","",SUMIF('07_Pallet_Contents'!$A$2:$A$3000,$A2,'07_Pallet_Contents'!$I$2:$I$3000))</f>
        <v/>
      </c>
      <c r="Z103">
        <f>IF($A2="","",IF(COUNTIF('07_Pallet_Contents'!$A$2:$A$3000,$A2)&gt;0,"Yes",""))</f>
        <v/>
      </c>
    </row>
    <row r="104" ht="27.75" customHeight="1" s="91">
      <c r="A104" s="4" t="inlineStr">
        <is>
          <t>PAL-0000104</t>
        </is>
      </c>
      <c r="B104" s="4" t="n"/>
      <c r="D104">
        <f>IF($C104="","",IFERROR(LOOKUP(2,1/('03_Warehouse_Movements'!$C$2:$C$500=$A104),'03_Warehouse_Movements'!$E$2:$E$500),$C104))</f>
        <v/>
      </c>
      <c r="E104" t="inlineStr">
        <is>
          <t>STANDARD</t>
        </is>
      </c>
      <c r="G104" s="23" t="n"/>
      <c r="H104" s="3">
        <f>IF(AND($F104="TEMP",$G104&gt;0,$M104&lt;&gt;""),$M104+$G104,"")</f>
        <v/>
      </c>
      <c r="I104" s="3" t="n"/>
      <c r="J104" s="4" t="n"/>
      <c r="K104" s="3" t="n"/>
      <c r="L104" s="4" t="n"/>
      <c r="M104" s="45">
        <f>IF($C104="","",IFERROR(LOOKUP(2,1/('03_Warehouse_Movements'!$C$2:$C$500=$A104),'03_Warehouse_Movements'!$A$2:$A$500),""))</f>
        <v/>
      </c>
      <c r="N104" s="4">
        <f>IF($C104="","",IFERROR(LOOKUP(2,1/('03_Warehouse_Movements'!$C$2:$C$500=$A104),'03_Warehouse_Movements'!$H$2:$H$500),""))</f>
        <v/>
      </c>
      <c r="O104" s="4">
        <f>A104</f>
        <v/>
      </c>
      <c r="Q104" s="25" t="n"/>
      <c r="R104" s="24" t="n"/>
      <c r="W104">
        <f>IF($A2="","",COUNTIF('07_Pallet_Contents'!$A$2:$A$3000,$A2))</f>
        <v/>
      </c>
      <c r="X104">
        <f>IF($A2="","",SUMIF('07_Pallet_Contents'!$A$2:$A$3000,$A2,'07_Pallet_Contents'!$D$2:$D$3000))</f>
        <v/>
      </c>
      <c r="Y104">
        <f>IF($A2="","",SUMIF('07_Pallet_Contents'!$A$2:$A$3000,$A2,'07_Pallet_Contents'!$I$2:$I$3000))</f>
        <v/>
      </c>
      <c r="Z104">
        <f>IF($A2="","",IF(COUNTIF('07_Pallet_Contents'!$A$2:$A$3000,$A2)&gt;0,"Yes",""))</f>
        <v/>
      </c>
    </row>
    <row r="105" ht="27.75" customHeight="1" s="91">
      <c r="A105" s="4" t="inlineStr">
        <is>
          <t>PAL-0000105</t>
        </is>
      </c>
      <c r="B105" s="4" t="n"/>
      <c r="D105">
        <f>IF($C105="","",IFERROR(LOOKUP(2,1/('03_Warehouse_Movements'!$C$2:$C$500=$A105),'03_Warehouse_Movements'!$E$2:$E$500),$C105))</f>
        <v/>
      </c>
      <c r="E105" t="inlineStr">
        <is>
          <t>STANDARD</t>
        </is>
      </c>
      <c r="G105" s="23" t="n"/>
      <c r="H105" s="3">
        <f>IF(AND($F105="TEMP",$G105&gt;0,$M105&lt;&gt;""),$M105+$G105,"")</f>
        <v/>
      </c>
      <c r="I105" s="3" t="n"/>
      <c r="J105" s="4" t="n"/>
      <c r="K105" s="3" t="n"/>
      <c r="L105" s="4" t="n"/>
      <c r="M105" s="45">
        <f>IF($C105="","",IFERROR(LOOKUP(2,1/('03_Warehouse_Movements'!$C$2:$C$500=$A105),'03_Warehouse_Movements'!$A$2:$A$500),""))</f>
        <v/>
      </c>
      <c r="N105" s="4">
        <f>IF($C105="","",IFERROR(LOOKUP(2,1/('03_Warehouse_Movements'!$C$2:$C$500=$A105),'03_Warehouse_Movements'!$H$2:$H$500),""))</f>
        <v/>
      </c>
      <c r="O105" s="4">
        <f>A105</f>
        <v/>
      </c>
      <c r="Q105" s="25" t="n"/>
      <c r="R105" s="24" t="n"/>
      <c r="W105">
        <f>IF($A2="","",COUNTIF('07_Pallet_Contents'!$A$2:$A$3000,$A2))</f>
        <v/>
      </c>
      <c r="X105">
        <f>IF($A2="","",SUMIF('07_Pallet_Contents'!$A$2:$A$3000,$A2,'07_Pallet_Contents'!$D$2:$D$3000))</f>
        <v/>
      </c>
      <c r="Y105">
        <f>IF($A2="","",SUMIF('07_Pallet_Contents'!$A$2:$A$3000,$A2,'07_Pallet_Contents'!$I$2:$I$3000))</f>
        <v/>
      </c>
      <c r="Z105">
        <f>IF($A2="","",IF(COUNTIF('07_Pallet_Contents'!$A$2:$A$3000,$A2)&gt;0,"Yes",""))</f>
        <v/>
      </c>
    </row>
    <row r="106" ht="27.75" customHeight="1" s="91">
      <c r="A106" s="4" t="inlineStr">
        <is>
          <t>PAL-0000106</t>
        </is>
      </c>
      <c r="B106" s="4" t="n"/>
      <c r="D106">
        <f>IF($C106="","",IFERROR(LOOKUP(2,1/('03_Warehouse_Movements'!$C$2:$C$500=$A106),'03_Warehouse_Movements'!$E$2:$E$500),$C106))</f>
        <v/>
      </c>
      <c r="E106" t="inlineStr">
        <is>
          <t>STANDARD</t>
        </is>
      </c>
      <c r="G106" s="23" t="n"/>
      <c r="H106" s="3">
        <f>IF(AND($F106="TEMP",$G106&gt;0,$M106&lt;&gt;""),$M106+$G106,"")</f>
        <v/>
      </c>
      <c r="I106" s="3" t="n"/>
      <c r="J106" s="4" t="n"/>
      <c r="K106" s="3" t="n"/>
      <c r="L106" s="4" t="n"/>
      <c r="M106" s="45">
        <f>IF($C106="","",IFERROR(LOOKUP(2,1/('03_Warehouse_Movements'!$C$2:$C$500=$A106),'03_Warehouse_Movements'!$A$2:$A$500),""))</f>
        <v/>
      </c>
      <c r="N106" s="4">
        <f>IF($C106="","",IFERROR(LOOKUP(2,1/('03_Warehouse_Movements'!$C$2:$C$500=$A106),'03_Warehouse_Movements'!$H$2:$H$500),""))</f>
        <v/>
      </c>
      <c r="O106" s="4">
        <f>A106</f>
        <v/>
      </c>
      <c r="Q106" s="25" t="n"/>
      <c r="R106" s="24" t="n"/>
      <c r="W106">
        <f>IF($A2="","",COUNTIF('07_Pallet_Contents'!$A$2:$A$3000,$A2))</f>
        <v/>
      </c>
      <c r="X106">
        <f>IF($A2="","",SUMIF('07_Pallet_Contents'!$A$2:$A$3000,$A2,'07_Pallet_Contents'!$D$2:$D$3000))</f>
        <v/>
      </c>
      <c r="Y106">
        <f>IF($A2="","",SUMIF('07_Pallet_Contents'!$A$2:$A$3000,$A2,'07_Pallet_Contents'!$I$2:$I$3000))</f>
        <v/>
      </c>
      <c r="Z106">
        <f>IF($A2="","",IF(COUNTIF('07_Pallet_Contents'!$A$2:$A$3000,$A2)&gt;0,"Yes",""))</f>
        <v/>
      </c>
    </row>
    <row r="107" ht="27.75" customHeight="1" s="91">
      <c r="A107" s="4" t="inlineStr">
        <is>
          <t>PAL-0000107</t>
        </is>
      </c>
      <c r="B107" s="4" t="n"/>
      <c r="D107">
        <f>IF($C107="","",IFERROR(LOOKUP(2,1/('03_Warehouse_Movements'!$C$2:$C$500=$A107),'03_Warehouse_Movements'!$E$2:$E$500),$C107))</f>
        <v/>
      </c>
      <c r="E107" t="inlineStr">
        <is>
          <t>STANDARD</t>
        </is>
      </c>
      <c r="G107" s="23" t="n"/>
      <c r="H107" s="3">
        <f>IF(AND($F107="TEMP",$G107&gt;0,$M107&lt;&gt;""),$M107+$G107,"")</f>
        <v/>
      </c>
      <c r="I107" s="3" t="n"/>
      <c r="J107" s="4" t="n"/>
      <c r="K107" s="3" t="n"/>
      <c r="L107" s="4" t="n"/>
      <c r="M107" s="45">
        <f>IF($C107="","",IFERROR(LOOKUP(2,1/('03_Warehouse_Movements'!$C$2:$C$500=$A107),'03_Warehouse_Movements'!$A$2:$A$500),""))</f>
        <v/>
      </c>
      <c r="N107" s="4">
        <f>IF($C107="","",IFERROR(LOOKUP(2,1/('03_Warehouse_Movements'!$C$2:$C$500=$A107),'03_Warehouse_Movements'!$H$2:$H$500),""))</f>
        <v/>
      </c>
      <c r="O107" s="4">
        <f>A107</f>
        <v/>
      </c>
      <c r="Q107" s="25" t="n"/>
      <c r="R107" s="24" t="n"/>
      <c r="W107">
        <f>IF($A2="","",COUNTIF('07_Pallet_Contents'!$A$2:$A$3000,$A2))</f>
        <v/>
      </c>
      <c r="X107">
        <f>IF($A2="","",SUMIF('07_Pallet_Contents'!$A$2:$A$3000,$A2,'07_Pallet_Contents'!$D$2:$D$3000))</f>
        <v/>
      </c>
      <c r="Y107">
        <f>IF($A2="","",SUMIF('07_Pallet_Contents'!$A$2:$A$3000,$A2,'07_Pallet_Contents'!$I$2:$I$3000))</f>
        <v/>
      </c>
      <c r="Z107">
        <f>IF($A2="","",IF(COUNTIF('07_Pallet_Contents'!$A$2:$A$3000,$A2)&gt;0,"Yes",""))</f>
        <v/>
      </c>
    </row>
    <row r="108" ht="27.75" customHeight="1" s="91">
      <c r="A108" s="4" t="inlineStr">
        <is>
          <t>PAL-0000108</t>
        </is>
      </c>
      <c r="B108" s="4" t="n"/>
      <c r="D108">
        <f>IF($C108="","",IFERROR(LOOKUP(2,1/('03_Warehouse_Movements'!$C$2:$C$500=$A108),'03_Warehouse_Movements'!$E$2:$E$500),$C108))</f>
        <v/>
      </c>
      <c r="E108" t="inlineStr">
        <is>
          <t>STANDARD</t>
        </is>
      </c>
      <c r="G108" s="23" t="n"/>
      <c r="H108" s="3">
        <f>IF(AND($F108="TEMP",$G108&gt;0,$M108&lt;&gt;""),$M108+$G108,"")</f>
        <v/>
      </c>
      <c r="I108" s="3" t="n"/>
      <c r="J108" s="4" t="n"/>
      <c r="K108" s="3" t="n"/>
      <c r="L108" s="4" t="n"/>
      <c r="M108" s="45">
        <f>IF($C108="","",IFERROR(LOOKUP(2,1/('03_Warehouse_Movements'!$C$2:$C$500=$A108),'03_Warehouse_Movements'!$A$2:$A$500),""))</f>
        <v/>
      </c>
      <c r="N108" s="4">
        <f>IF($C108="","",IFERROR(LOOKUP(2,1/('03_Warehouse_Movements'!$C$2:$C$500=$A108),'03_Warehouse_Movements'!$H$2:$H$500),""))</f>
        <v/>
      </c>
      <c r="O108" s="4">
        <f>A108</f>
        <v/>
      </c>
      <c r="Q108" s="25" t="n"/>
      <c r="R108" s="24" t="n"/>
      <c r="W108">
        <f>IF($A2="","",COUNTIF('07_Pallet_Contents'!$A$2:$A$3000,$A2))</f>
        <v/>
      </c>
      <c r="X108">
        <f>IF($A2="","",SUMIF('07_Pallet_Contents'!$A$2:$A$3000,$A2,'07_Pallet_Contents'!$D$2:$D$3000))</f>
        <v/>
      </c>
      <c r="Y108">
        <f>IF($A2="","",SUMIF('07_Pallet_Contents'!$A$2:$A$3000,$A2,'07_Pallet_Contents'!$I$2:$I$3000))</f>
        <v/>
      </c>
      <c r="Z108">
        <f>IF($A2="","",IF(COUNTIF('07_Pallet_Contents'!$A$2:$A$3000,$A2)&gt;0,"Yes",""))</f>
        <v/>
      </c>
    </row>
    <row r="109" ht="27.75" customHeight="1" s="91">
      <c r="A109" s="4" t="inlineStr">
        <is>
          <t>PAL-0000109</t>
        </is>
      </c>
      <c r="B109" s="4" t="n"/>
      <c r="D109">
        <f>IF($C109="","",IFERROR(LOOKUP(2,1/('03_Warehouse_Movements'!$C$2:$C$500=$A109),'03_Warehouse_Movements'!$E$2:$E$500),$C109))</f>
        <v/>
      </c>
      <c r="E109" t="inlineStr">
        <is>
          <t>STANDARD</t>
        </is>
      </c>
      <c r="G109" s="23" t="n"/>
      <c r="H109" s="3">
        <f>IF(AND($F109="TEMP",$G109&gt;0,$M109&lt;&gt;""),$M109+$G109,"")</f>
        <v/>
      </c>
      <c r="I109" s="3" t="n"/>
      <c r="J109" s="4" t="n"/>
      <c r="K109" s="3" t="n"/>
      <c r="L109" s="4" t="n"/>
      <c r="M109" s="45">
        <f>IF($C109="","",IFERROR(LOOKUP(2,1/('03_Warehouse_Movements'!$C$2:$C$500=$A109),'03_Warehouse_Movements'!$A$2:$A$500),""))</f>
        <v/>
      </c>
      <c r="N109" s="4">
        <f>IF($C109="","",IFERROR(LOOKUP(2,1/('03_Warehouse_Movements'!$C$2:$C$500=$A109),'03_Warehouse_Movements'!$H$2:$H$500),""))</f>
        <v/>
      </c>
      <c r="O109" s="4">
        <f>A109</f>
        <v/>
      </c>
      <c r="Q109" s="25" t="n"/>
      <c r="R109" s="24" t="n"/>
      <c r="W109">
        <f>IF($A2="","",COUNTIF('07_Pallet_Contents'!$A$2:$A$3000,$A2))</f>
        <v/>
      </c>
      <c r="X109">
        <f>IF($A2="","",SUMIF('07_Pallet_Contents'!$A$2:$A$3000,$A2,'07_Pallet_Contents'!$D$2:$D$3000))</f>
        <v/>
      </c>
      <c r="Y109">
        <f>IF($A2="","",SUMIF('07_Pallet_Contents'!$A$2:$A$3000,$A2,'07_Pallet_Contents'!$I$2:$I$3000))</f>
        <v/>
      </c>
      <c r="Z109">
        <f>IF($A2="","",IF(COUNTIF('07_Pallet_Contents'!$A$2:$A$3000,$A2)&gt;0,"Yes",""))</f>
        <v/>
      </c>
    </row>
    <row r="110" ht="27.75" customHeight="1" s="91">
      <c r="A110" s="4" t="inlineStr">
        <is>
          <t>PAL-0000110</t>
        </is>
      </c>
      <c r="B110" s="4" t="n"/>
      <c r="D110">
        <f>IF($C110="","",IFERROR(LOOKUP(2,1/('03_Warehouse_Movements'!$C$2:$C$500=$A110),'03_Warehouse_Movements'!$E$2:$E$500),$C110))</f>
        <v/>
      </c>
      <c r="E110" t="inlineStr">
        <is>
          <t>STANDARD</t>
        </is>
      </c>
      <c r="G110" s="23" t="n"/>
      <c r="H110" s="3">
        <f>IF(AND($F110="TEMP",$G110&gt;0,$M110&lt;&gt;""),$M110+$G110,"")</f>
        <v/>
      </c>
      <c r="I110" s="3" t="n"/>
      <c r="J110" s="4" t="n"/>
      <c r="K110" s="3" t="n"/>
      <c r="L110" s="4" t="n"/>
      <c r="M110" s="45">
        <f>IF($C110="","",IFERROR(LOOKUP(2,1/('03_Warehouse_Movements'!$C$2:$C$500=$A110),'03_Warehouse_Movements'!$A$2:$A$500),""))</f>
        <v/>
      </c>
      <c r="N110" s="4">
        <f>IF($C110="","",IFERROR(LOOKUP(2,1/('03_Warehouse_Movements'!$C$2:$C$500=$A110),'03_Warehouse_Movements'!$H$2:$H$500),""))</f>
        <v/>
      </c>
      <c r="O110" s="4">
        <f>A110</f>
        <v/>
      </c>
      <c r="Q110" s="25" t="n"/>
      <c r="R110" s="24" t="n"/>
      <c r="W110">
        <f>IF($A2="","",COUNTIF('07_Pallet_Contents'!$A$2:$A$3000,$A2))</f>
        <v/>
      </c>
      <c r="X110">
        <f>IF($A2="","",SUMIF('07_Pallet_Contents'!$A$2:$A$3000,$A2,'07_Pallet_Contents'!$D$2:$D$3000))</f>
        <v/>
      </c>
      <c r="Y110">
        <f>IF($A2="","",SUMIF('07_Pallet_Contents'!$A$2:$A$3000,$A2,'07_Pallet_Contents'!$I$2:$I$3000))</f>
        <v/>
      </c>
      <c r="Z110">
        <f>IF($A2="","",IF(COUNTIF('07_Pallet_Contents'!$A$2:$A$3000,$A2)&gt;0,"Yes",""))</f>
        <v/>
      </c>
    </row>
    <row r="111" ht="27.75" customHeight="1" s="91">
      <c r="A111" s="4" t="inlineStr">
        <is>
          <t>PAL-0000111</t>
        </is>
      </c>
      <c r="B111" s="4" t="n"/>
      <c r="D111">
        <f>IF($C111="","",IFERROR(LOOKUP(2,1/('03_Warehouse_Movements'!$C$2:$C$500=$A111),'03_Warehouse_Movements'!$E$2:$E$500),$C111))</f>
        <v/>
      </c>
      <c r="E111" t="inlineStr">
        <is>
          <t>STANDARD</t>
        </is>
      </c>
      <c r="G111" s="23" t="n"/>
      <c r="H111" s="3">
        <f>IF(AND($F111="TEMP",$G111&gt;0,$M111&lt;&gt;""),$M111+$G111,"")</f>
        <v/>
      </c>
      <c r="I111" s="3" t="n"/>
      <c r="J111" s="4" t="n"/>
      <c r="K111" s="3" t="n"/>
      <c r="L111" s="4" t="n"/>
      <c r="M111" s="45">
        <f>IF($C111="","",IFERROR(LOOKUP(2,1/('03_Warehouse_Movements'!$C$2:$C$500=$A111),'03_Warehouse_Movements'!$A$2:$A$500),""))</f>
        <v/>
      </c>
      <c r="N111" s="4">
        <f>IF($C111="","",IFERROR(LOOKUP(2,1/('03_Warehouse_Movements'!$C$2:$C$500=$A111),'03_Warehouse_Movements'!$H$2:$H$500),""))</f>
        <v/>
      </c>
      <c r="O111" s="4">
        <f>A111</f>
        <v/>
      </c>
      <c r="Q111" s="25" t="n"/>
      <c r="R111" s="24" t="n"/>
      <c r="W111">
        <f>IF($A2="","",COUNTIF('07_Pallet_Contents'!$A$2:$A$3000,$A2))</f>
        <v/>
      </c>
      <c r="X111">
        <f>IF($A2="","",SUMIF('07_Pallet_Contents'!$A$2:$A$3000,$A2,'07_Pallet_Contents'!$D$2:$D$3000))</f>
        <v/>
      </c>
      <c r="Y111">
        <f>IF($A2="","",SUMIF('07_Pallet_Contents'!$A$2:$A$3000,$A2,'07_Pallet_Contents'!$I$2:$I$3000))</f>
        <v/>
      </c>
      <c r="Z111">
        <f>IF($A2="","",IF(COUNTIF('07_Pallet_Contents'!$A$2:$A$3000,$A2)&gt;0,"Yes",""))</f>
        <v/>
      </c>
    </row>
    <row r="112" ht="27.75" customHeight="1" s="91">
      <c r="A112" s="4" t="inlineStr">
        <is>
          <t>PAL-0000112</t>
        </is>
      </c>
      <c r="B112" s="4" t="n"/>
      <c r="D112">
        <f>IF($C112="","",IFERROR(LOOKUP(2,1/('03_Warehouse_Movements'!$C$2:$C$500=$A112),'03_Warehouse_Movements'!$E$2:$E$500),$C112))</f>
        <v/>
      </c>
      <c r="E112" t="inlineStr">
        <is>
          <t>STANDARD</t>
        </is>
      </c>
      <c r="G112" s="23" t="n"/>
      <c r="H112" s="3">
        <f>IF(AND($F112="TEMP",$G112&gt;0,$M112&lt;&gt;""),$M112+$G112,"")</f>
        <v/>
      </c>
      <c r="I112" s="3" t="n"/>
      <c r="J112" s="4" t="n"/>
      <c r="K112" s="3" t="n"/>
      <c r="L112" s="4" t="n"/>
      <c r="M112" s="45">
        <f>IF($C112="","",IFERROR(LOOKUP(2,1/('03_Warehouse_Movements'!$C$2:$C$500=$A112),'03_Warehouse_Movements'!$A$2:$A$500),""))</f>
        <v/>
      </c>
      <c r="N112" s="4">
        <f>IF($C112="","",IFERROR(LOOKUP(2,1/('03_Warehouse_Movements'!$C$2:$C$500=$A112),'03_Warehouse_Movements'!$H$2:$H$500),""))</f>
        <v/>
      </c>
      <c r="O112" s="4">
        <f>A112</f>
        <v/>
      </c>
      <c r="Q112" s="25" t="n"/>
      <c r="R112" s="24" t="n"/>
      <c r="W112">
        <f>IF($A2="","",COUNTIF('07_Pallet_Contents'!$A$2:$A$3000,$A2))</f>
        <v/>
      </c>
      <c r="X112">
        <f>IF($A2="","",SUMIF('07_Pallet_Contents'!$A$2:$A$3000,$A2,'07_Pallet_Contents'!$D$2:$D$3000))</f>
        <v/>
      </c>
      <c r="Y112">
        <f>IF($A2="","",SUMIF('07_Pallet_Contents'!$A$2:$A$3000,$A2,'07_Pallet_Contents'!$I$2:$I$3000))</f>
        <v/>
      </c>
      <c r="Z112">
        <f>IF($A2="","",IF(COUNTIF('07_Pallet_Contents'!$A$2:$A$3000,$A2)&gt;0,"Yes",""))</f>
        <v/>
      </c>
    </row>
    <row r="113" ht="27.75" customHeight="1" s="91">
      <c r="A113" s="4" t="inlineStr">
        <is>
          <t>PAL-0000113</t>
        </is>
      </c>
      <c r="B113" s="4" t="n"/>
      <c r="D113">
        <f>IF($C113="","",IFERROR(LOOKUP(2,1/('03_Warehouse_Movements'!$C$2:$C$500=$A113),'03_Warehouse_Movements'!$E$2:$E$500),$C113))</f>
        <v/>
      </c>
      <c r="E113" t="inlineStr">
        <is>
          <t>STANDARD</t>
        </is>
      </c>
      <c r="G113" s="23" t="n"/>
      <c r="H113" s="3">
        <f>IF(AND($F113="TEMP",$G113&gt;0,$M113&lt;&gt;""),$M113+$G113,"")</f>
        <v/>
      </c>
      <c r="I113" s="3" t="n"/>
      <c r="J113" s="4" t="n"/>
      <c r="K113" s="3" t="n"/>
      <c r="L113" s="4" t="n"/>
      <c r="M113" s="45">
        <f>IF($C113="","",IFERROR(LOOKUP(2,1/('03_Warehouse_Movements'!$C$2:$C$500=$A113),'03_Warehouse_Movements'!$A$2:$A$500),""))</f>
        <v/>
      </c>
      <c r="N113" s="4">
        <f>IF($C113="","",IFERROR(LOOKUP(2,1/('03_Warehouse_Movements'!$C$2:$C$500=$A113),'03_Warehouse_Movements'!$H$2:$H$500),""))</f>
        <v/>
      </c>
      <c r="O113" s="4">
        <f>A113</f>
        <v/>
      </c>
      <c r="Q113" s="25" t="n"/>
      <c r="R113" s="24" t="n"/>
      <c r="W113">
        <f>IF($A2="","",COUNTIF('07_Pallet_Contents'!$A$2:$A$3000,$A2))</f>
        <v/>
      </c>
      <c r="X113">
        <f>IF($A2="","",SUMIF('07_Pallet_Contents'!$A$2:$A$3000,$A2,'07_Pallet_Contents'!$D$2:$D$3000))</f>
        <v/>
      </c>
      <c r="Y113">
        <f>IF($A2="","",SUMIF('07_Pallet_Contents'!$A$2:$A$3000,$A2,'07_Pallet_Contents'!$I$2:$I$3000))</f>
        <v/>
      </c>
      <c r="Z113">
        <f>IF($A2="","",IF(COUNTIF('07_Pallet_Contents'!$A$2:$A$3000,$A2)&gt;0,"Yes",""))</f>
        <v/>
      </c>
    </row>
    <row r="114" ht="27.75" customHeight="1" s="91">
      <c r="A114" s="4" t="inlineStr">
        <is>
          <t>PAL-0000114</t>
        </is>
      </c>
      <c r="B114" s="4" t="n"/>
      <c r="D114">
        <f>IF($C114="","",IFERROR(LOOKUP(2,1/('03_Warehouse_Movements'!$C$2:$C$500=$A114),'03_Warehouse_Movements'!$E$2:$E$500),$C114))</f>
        <v/>
      </c>
      <c r="E114" t="inlineStr">
        <is>
          <t>STANDARD</t>
        </is>
      </c>
      <c r="G114" s="23" t="n"/>
      <c r="H114" s="3">
        <f>IF(AND($F114="TEMP",$G114&gt;0,$M114&lt;&gt;""),$M114+$G114,"")</f>
        <v/>
      </c>
      <c r="I114" s="3" t="n"/>
      <c r="J114" s="4" t="n"/>
      <c r="K114" s="3" t="n"/>
      <c r="L114" s="4" t="n"/>
      <c r="M114" s="45">
        <f>IF($C114="","",IFERROR(LOOKUP(2,1/('03_Warehouse_Movements'!$C$2:$C$500=$A114),'03_Warehouse_Movements'!$A$2:$A$500),""))</f>
        <v/>
      </c>
      <c r="N114" s="4">
        <f>IF($C114="","",IFERROR(LOOKUP(2,1/('03_Warehouse_Movements'!$C$2:$C$500=$A114),'03_Warehouse_Movements'!$H$2:$H$500),""))</f>
        <v/>
      </c>
      <c r="O114" s="4">
        <f>A114</f>
        <v/>
      </c>
      <c r="Q114" s="25" t="n"/>
      <c r="R114" s="24" t="n"/>
      <c r="W114">
        <f>IF($A2="","",COUNTIF('07_Pallet_Contents'!$A$2:$A$3000,$A2))</f>
        <v/>
      </c>
      <c r="X114">
        <f>IF($A2="","",SUMIF('07_Pallet_Contents'!$A$2:$A$3000,$A2,'07_Pallet_Contents'!$D$2:$D$3000))</f>
        <v/>
      </c>
      <c r="Y114">
        <f>IF($A2="","",SUMIF('07_Pallet_Contents'!$A$2:$A$3000,$A2,'07_Pallet_Contents'!$I$2:$I$3000))</f>
        <v/>
      </c>
      <c r="Z114">
        <f>IF($A2="","",IF(COUNTIF('07_Pallet_Contents'!$A$2:$A$3000,$A2)&gt;0,"Yes",""))</f>
        <v/>
      </c>
    </row>
    <row r="115" ht="27.75" customHeight="1" s="91">
      <c r="A115" s="4" t="inlineStr">
        <is>
          <t>PAL-0000115</t>
        </is>
      </c>
      <c r="B115" s="4" t="n"/>
      <c r="D115">
        <f>IF($C115="","",IFERROR(LOOKUP(2,1/('03_Warehouse_Movements'!$C$2:$C$500=$A115),'03_Warehouse_Movements'!$E$2:$E$500),$C115))</f>
        <v/>
      </c>
      <c r="E115" t="inlineStr">
        <is>
          <t>STANDARD</t>
        </is>
      </c>
      <c r="G115" s="23" t="n"/>
      <c r="H115" s="3">
        <f>IF(AND($F115="TEMP",$G115&gt;0,$M115&lt;&gt;""),$M115+$G115,"")</f>
        <v/>
      </c>
      <c r="I115" s="3" t="n"/>
      <c r="J115" s="4" t="n"/>
      <c r="K115" s="3" t="n"/>
      <c r="L115" s="4" t="n"/>
      <c r="M115" s="45">
        <f>IF($C115="","",IFERROR(LOOKUP(2,1/('03_Warehouse_Movements'!$C$2:$C$500=$A115),'03_Warehouse_Movements'!$A$2:$A$500),""))</f>
        <v/>
      </c>
      <c r="N115" s="4">
        <f>IF($C115="","",IFERROR(LOOKUP(2,1/('03_Warehouse_Movements'!$C$2:$C$500=$A115),'03_Warehouse_Movements'!$H$2:$H$500),""))</f>
        <v/>
      </c>
      <c r="O115" s="4">
        <f>A115</f>
        <v/>
      </c>
      <c r="Q115" s="25" t="n"/>
      <c r="R115" s="24" t="n"/>
      <c r="W115">
        <f>IF($A2="","",COUNTIF('07_Pallet_Contents'!$A$2:$A$3000,$A2))</f>
        <v/>
      </c>
      <c r="X115">
        <f>IF($A2="","",SUMIF('07_Pallet_Contents'!$A$2:$A$3000,$A2,'07_Pallet_Contents'!$D$2:$D$3000))</f>
        <v/>
      </c>
      <c r="Y115">
        <f>IF($A2="","",SUMIF('07_Pallet_Contents'!$A$2:$A$3000,$A2,'07_Pallet_Contents'!$I$2:$I$3000))</f>
        <v/>
      </c>
      <c r="Z115">
        <f>IF($A2="","",IF(COUNTIF('07_Pallet_Contents'!$A$2:$A$3000,$A2)&gt;0,"Yes",""))</f>
        <v/>
      </c>
    </row>
    <row r="116" ht="27.75" customHeight="1" s="91">
      <c r="A116" s="4" t="inlineStr">
        <is>
          <t>PAL-0000116</t>
        </is>
      </c>
      <c r="B116" s="4" t="n"/>
      <c r="D116">
        <f>IF($C116="","",IFERROR(LOOKUP(2,1/('03_Warehouse_Movements'!$C$2:$C$500=$A116),'03_Warehouse_Movements'!$E$2:$E$500),$C116))</f>
        <v/>
      </c>
      <c r="E116" t="inlineStr">
        <is>
          <t>STANDARD</t>
        </is>
      </c>
      <c r="G116" s="23" t="n"/>
      <c r="H116" s="3">
        <f>IF(AND($F116="TEMP",$G116&gt;0,$M116&lt;&gt;""),$M116+$G116,"")</f>
        <v/>
      </c>
      <c r="I116" s="3" t="n"/>
      <c r="J116" s="4" t="n"/>
      <c r="K116" s="3" t="n"/>
      <c r="L116" s="4" t="n"/>
      <c r="M116" s="45">
        <f>IF($C116="","",IFERROR(LOOKUP(2,1/('03_Warehouse_Movements'!$C$2:$C$500=$A116),'03_Warehouse_Movements'!$A$2:$A$500),""))</f>
        <v/>
      </c>
      <c r="N116" s="4">
        <f>IF($C116="","",IFERROR(LOOKUP(2,1/('03_Warehouse_Movements'!$C$2:$C$500=$A116),'03_Warehouse_Movements'!$H$2:$H$500),""))</f>
        <v/>
      </c>
      <c r="O116" s="4">
        <f>A116</f>
        <v/>
      </c>
      <c r="Q116" s="25" t="n"/>
      <c r="R116" s="24" t="n"/>
      <c r="W116">
        <f>IF($A2="","",COUNTIF('07_Pallet_Contents'!$A$2:$A$3000,$A2))</f>
        <v/>
      </c>
      <c r="X116">
        <f>IF($A2="","",SUMIF('07_Pallet_Contents'!$A$2:$A$3000,$A2,'07_Pallet_Contents'!$D$2:$D$3000))</f>
        <v/>
      </c>
      <c r="Y116">
        <f>IF($A2="","",SUMIF('07_Pallet_Contents'!$A$2:$A$3000,$A2,'07_Pallet_Contents'!$I$2:$I$3000))</f>
        <v/>
      </c>
      <c r="Z116">
        <f>IF($A2="","",IF(COUNTIF('07_Pallet_Contents'!$A$2:$A$3000,$A2)&gt;0,"Yes",""))</f>
        <v/>
      </c>
    </row>
    <row r="117" ht="27.75" customHeight="1" s="91">
      <c r="A117" s="4" t="inlineStr">
        <is>
          <t>PAL-0000117</t>
        </is>
      </c>
      <c r="B117" s="4" t="n"/>
      <c r="D117">
        <f>IF($C117="","",IFERROR(LOOKUP(2,1/('03_Warehouse_Movements'!$C$2:$C$500=$A117),'03_Warehouse_Movements'!$E$2:$E$500),$C117))</f>
        <v/>
      </c>
      <c r="E117" t="inlineStr">
        <is>
          <t>STANDARD</t>
        </is>
      </c>
      <c r="G117" s="23" t="n"/>
      <c r="H117" s="3">
        <f>IF(AND($F117="TEMP",$G117&gt;0,$M117&lt;&gt;""),$M117+$G117,"")</f>
        <v/>
      </c>
      <c r="I117" s="3" t="n"/>
      <c r="J117" s="4" t="n"/>
      <c r="K117" s="3" t="n"/>
      <c r="L117" s="4" t="n"/>
      <c r="M117" s="45">
        <f>IF($C117="","",IFERROR(LOOKUP(2,1/('03_Warehouse_Movements'!$C$2:$C$500=$A117),'03_Warehouse_Movements'!$A$2:$A$500),""))</f>
        <v/>
      </c>
      <c r="N117" s="4">
        <f>IF($C117="","",IFERROR(LOOKUP(2,1/('03_Warehouse_Movements'!$C$2:$C$500=$A117),'03_Warehouse_Movements'!$H$2:$H$500),""))</f>
        <v/>
      </c>
      <c r="O117" s="4">
        <f>A117</f>
        <v/>
      </c>
      <c r="Q117" s="25" t="n"/>
      <c r="R117" s="24" t="n"/>
      <c r="W117">
        <f>IF($A2="","",COUNTIF('07_Pallet_Contents'!$A$2:$A$3000,$A2))</f>
        <v/>
      </c>
      <c r="X117">
        <f>IF($A2="","",SUMIF('07_Pallet_Contents'!$A$2:$A$3000,$A2,'07_Pallet_Contents'!$D$2:$D$3000))</f>
        <v/>
      </c>
      <c r="Y117">
        <f>IF($A2="","",SUMIF('07_Pallet_Contents'!$A$2:$A$3000,$A2,'07_Pallet_Contents'!$I$2:$I$3000))</f>
        <v/>
      </c>
      <c r="Z117">
        <f>IF($A2="","",IF(COUNTIF('07_Pallet_Contents'!$A$2:$A$3000,$A2)&gt;0,"Yes",""))</f>
        <v/>
      </c>
    </row>
    <row r="118" ht="27.75" customHeight="1" s="91">
      <c r="A118" s="4" t="inlineStr">
        <is>
          <t>PAL-0000118</t>
        </is>
      </c>
      <c r="B118" s="4" t="n"/>
      <c r="D118">
        <f>IF($C118="","",IFERROR(LOOKUP(2,1/('03_Warehouse_Movements'!$C$2:$C$500=$A118),'03_Warehouse_Movements'!$E$2:$E$500),$C118))</f>
        <v/>
      </c>
      <c r="E118" t="inlineStr">
        <is>
          <t>STANDARD</t>
        </is>
      </c>
      <c r="G118" s="23" t="n"/>
      <c r="H118" s="3">
        <f>IF(AND($F118="TEMP",$G118&gt;0,$M118&lt;&gt;""),$M118+$G118,"")</f>
        <v/>
      </c>
      <c r="I118" s="3" t="n"/>
      <c r="J118" s="4" t="n"/>
      <c r="K118" s="3" t="n"/>
      <c r="L118" s="4" t="n"/>
      <c r="M118" s="45">
        <f>IF($C118="","",IFERROR(LOOKUP(2,1/('03_Warehouse_Movements'!$C$2:$C$500=$A118),'03_Warehouse_Movements'!$A$2:$A$500),""))</f>
        <v/>
      </c>
      <c r="N118" s="4">
        <f>IF($C118="","",IFERROR(LOOKUP(2,1/('03_Warehouse_Movements'!$C$2:$C$500=$A118),'03_Warehouse_Movements'!$H$2:$H$500),""))</f>
        <v/>
      </c>
      <c r="O118" s="4">
        <f>A118</f>
        <v/>
      </c>
      <c r="Q118" s="25" t="n"/>
      <c r="R118" s="24" t="n"/>
      <c r="W118">
        <f>IF($A2="","",COUNTIF('07_Pallet_Contents'!$A$2:$A$3000,$A2))</f>
        <v/>
      </c>
      <c r="X118">
        <f>IF($A2="","",SUMIF('07_Pallet_Contents'!$A$2:$A$3000,$A2,'07_Pallet_Contents'!$D$2:$D$3000))</f>
        <v/>
      </c>
      <c r="Y118">
        <f>IF($A2="","",SUMIF('07_Pallet_Contents'!$A$2:$A$3000,$A2,'07_Pallet_Contents'!$I$2:$I$3000))</f>
        <v/>
      </c>
      <c r="Z118">
        <f>IF($A2="","",IF(COUNTIF('07_Pallet_Contents'!$A$2:$A$3000,$A2)&gt;0,"Yes",""))</f>
        <v/>
      </c>
    </row>
    <row r="119" ht="27.75" customHeight="1" s="91">
      <c r="A119" s="4" t="inlineStr">
        <is>
          <t>PAL-0000119</t>
        </is>
      </c>
      <c r="B119" s="4" t="n"/>
      <c r="D119">
        <f>IF($C119="","",IFERROR(LOOKUP(2,1/('03_Warehouse_Movements'!$C$2:$C$500=$A119),'03_Warehouse_Movements'!$E$2:$E$500),$C119))</f>
        <v/>
      </c>
      <c r="E119" t="inlineStr">
        <is>
          <t>STANDARD</t>
        </is>
      </c>
      <c r="G119" s="23" t="n"/>
      <c r="H119" s="3">
        <f>IF(AND($F119="TEMP",$G119&gt;0,$M119&lt;&gt;""),$M119+$G119,"")</f>
        <v/>
      </c>
      <c r="I119" s="3" t="n"/>
      <c r="J119" s="4" t="n"/>
      <c r="K119" s="3" t="n"/>
      <c r="L119" s="4" t="n"/>
      <c r="M119" s="45">
        <f>IF($C119="","",IFERROR(LOOKUP(2,1/('03_Warehouse_Movements'!$C$2:$C$500=$A119),'03_Warehouse_Movements'!$A$2:$A$500),""))</f>
        <v/>
      </c>
      <c r="N119" s="4">
        <f>IF($C119="","",IFERROR(LOOKUP(2,1/('03_Warehouse_Movements'!$C$2:$C$500=$A119),'03_Warehouse_Movements'!$H$2:$H$500),""))</f>
        <v/>
      </c>
      <c r="O119" s="4">
        <f>A119</f>
        <v/>
      </c>
      <c r="Q119" s="25" t="n"/>
      <c r="R119" s="24" t="n"/>
      <c r="W119">
        <f>IF($A2="","",COUNTIF('07_Pallet_Contents'!$A$2:$A$3000,$A2))</f>
        <v/>
      </c>
      <c r="X119">
        <f>IF($A2="","",SUMIF('07_Pallet_Contents'!$A$2:$A$3000,$A2,'07_Pallet_Contents'!$D$2:$D$3000))</f>
        <v/>
      </c>
      <c r="Y119">
        <f>IF($A2="","",SUMIF('07_Pallet_Contents'!$A$2:$A$3000,$A2,'07_Pallet_Contents'!$I$2:$I$3000))</f>
        <v/>
      </c>
      <c r="Z119">
        <f>IF($A2="","",IF(COUNTIF('07_Pallet_Contents'!$A$2:$A$3000,$A2)&gt;0,"Yes",""))</f>
        <v/>
      </c>
    </row>
    <row r="120" ht="27.75" customHeight="1" s="91">
      <c r="A120" s="4" t="inlineStr">
        <is>
          <t>PAL-0000120</t>
        </is>
      </c>
      <c r="B120" s="4" t="n"/>
      <c r="D120">
        <f>IF($C120="","",IFERROR(LOOKUP(2,1/('03_Warehouse_Movements'!$C$2:$C$500=$A120),'03_Warehouse_Movements'!$E$2:$E$500),$C120))</f>
        <v/>
      </c>
      <c r="E120" t="inlineStr">
        <is>
          <t>STANDARD</t>
        </is>
      </c>
      <c r="G120" s="23" t="n"/>
      <c r="H120" s="3">
        <f>IF(AND($F120="TEMP",$G120&gt;0,$M120&lt;&gt;""),$M120+$G120,"")</f>
        <v/>
      </c>
      <c r="I120" s="3" t="n"/>
      <c r="J120" s="4" t="n"/>
      <c r="K120" s="3" t="n"/>
      <c r="L120" s="4" t="n"/>
      <c r="M120" s="45">
        <f>IF($C120="","",IFERROR(LOOKUP(2,1/('03_Warehouse_Movements'!$C$2:$C$500=$A120),'03_Warehouse_Movements'!$A$2:$A$500),""))</f>
        <v/>
      </c>
      <c r="N120" s="4">
        <f>IF($C120="","",IFERROR(LOOKUP(2,1/('03_Warehouse_Movements'!$C$2:$C$500=$A120),'03_Warehouse_Movements'!$H$2:$H$500),""))</f>
        <v/>
      </c>
      <c r="O120" s="4">
        <f>A120</f>
        <v/>
      </c>
      <c r="Q120" s="25" t="n"/>
      <c r="R120" s="24" t="n"/>
      <c r="W120">
        <f>IF($A2="","",COUNTIF('07_Pallet_Contents'!$A$2:$A$3000,$A2))</f>
        <v/>
      </c>
      <c r="X120">
        <f>IF($A2="","",SUMIF('07_Pallet_Contents'!$A$2:$A$3000,$A2,'07_Pallet_Contents'!$D$2:$D$3000))</f>
        <v/>
      </c>
      <c r="Y120">
        <f>IF($A2="","",SUMIF('07_Pallet_Contents'!$A$2:$A$3000,$A2,'07_Pallet_Contents'!$I$2:$I$3000))</f>
        <v/>
      </c>
      <c r="Z120">
        <f>IF($A2="","",IF(COUNTIF('07_Pallet_Contents'!$A$2:$A$3000,$A2)&gt;0,"Yes",""))</f>
        <v/>
      </c>
    </row>
    <row r="121" ht="27.75" customHeight="1" s="91">
      <c r="A121" s="4" t="inlineStr">
        <is>
          <t>PAL-0000121</t>
        </is>
      </c>
      <c r="B121" s="4" t="n"/>
      <c r="D121">
        <f>IF($C121="","",IFERROR(LOOKUP(2,1/('03_Warehouse_Movements'!$C$2:$C$500=$A121),'03_Warehouse_Movements'!$E$2:$E$500),$C121))</f>
        <v/>
      </c>
      <c r="E121" t="inlineStr">
        <is>
          <t>STANDARD</t>
        </is>
      </c>
      <c r="G121" s="23" t="n"/>
      <c r="H121" s="3">
        <f>IF(AND($F121="TEMP",$G121&gt;0,$M121&lt;&gt;""),$M121+$G121,"")</f>
        <v/>
      </c>
      <c r="I121" s="3" t="n"/>
      <c r="J121" s="4" t="n"/>
      <c r="K121" s="3" t="n"/>
      <c r="L121" s="4" t="n"/>
      <c r="M121" s="45">
        <f>IF($C121="","",IFERROR(LOOKUP(2,1/('03_Warehouse_Movements'!$C$2:$C$500=$A121),'03_Warehouse_Movements'!$A$2:$A$500),""))</f>
        <v/>
      </c>
      <c r="N121" s="4">
        <f>IF($C121="","",IFERROR(LOOKUP(2,1/('03_Warehouse_Movements'!$C$2:$C$500=$A121),'03_Warehouse_Movements'!$H$2:$H$500),""))</f>
        <v/>
      </c>
      <c r="O121" s="4">
        <f>A121</f>
        <v/>
      </c>
      <c r="Q121" s="25" t="n"/>
      <c r="R121" s="24" t="n"/>
      <c r="W121">
        <f>IF($A2="","",COUNTIF('07_Pallet_Contents'!$A$2:$A$3000,$A2))</f>
        <v/>
      </c>
      <c r="X121">
        <f>IF($A2="","",SUMIF('07_Pallet_Contents'!$A$2:$A$3000,$A2,'07_Pallet_Contents'!$D$2:$D$3000))</f>
        <v/>
      </c>
      <c r="Y121">
        <f>IF($A2="","",SUMIF('07_Pallet_Contents'!$A$2:$A$3000,$A2,'07_Pallet_Contents'!$I$2:$I$3000))</f>
        <v/>
      </c>
      <c r="Z121">
        <f>IF($A2="","",IF(COUNTIF('07_Pallet_Contents'!$A$2:$A$3000,$A2)&gt;0,"Yes",""))</f>
        <v/>
      </c>
    </row>
    <row r="122" ht="27.75" customHeight="1" s="91">
      <c r="A122" s="4" t="inlineStr">
        <is>
          <t>PAL-0000122</t>
        </is>
      </c>
      <c r="B122" s="4" t="n"/>
      <c r="D122">
        <f>IF($C122="","",IFERROR(LOOKUP(2,1/('03_Warehouse_Movements'!$C$2:$C$500=$A122),'03_Warehouse_Movements'!$E$2:$E$500),$C122))</f>
        <v/>
      </c>
      <c r="E122" t="inlineStr">
        <is>
          <t>STANDARD</t>
        </is>
      </c>
      <c r="G122" s="23" t="n"/>
      <c r="H122" s="3">
        <f>IF(AND($F122="TEMP",$G122&gt;0,$M122&lt;&gt;""),$M122+$G122,"")</f>
        <v/>
      </c>
      <c r="I122" s="3" t="n"/>
      <c r="J122" s="4" t="n"/>
      <c r="K122" s="3" t="n"/>
      <c r="L122" s="4" t="n"/>
      <c r="M122" s="45">
        <f>IF($C122="","",IFERROR(LOOKUP(2,1/('03_Warehouse_Movements'!$C$2:$C$500=$A122),'03_Warehouse_Movements'!$A$2:$A$500),""))</f>
        <v/>
      </c>
      <c r="N122" s="4">
        <f>IF($C122="","",IFERROR(LOOKUP(2,1/('03_Warehouse_Movements'!$C$2:$C$500=$A122),'03_Warehouse_Movements'!$H$2:$H$500),""))</f>
        <v/>
      </c>
      <c r="O122" s="4">
        <f>A122</f>
        <v/>
      </c>
      <c r="Q122" s="25" t="n"/>
      <c r="R122" s="24" t="n"/>
      <c r="W122">
        <f>IF($A2="","",COUNTIF('07_Pallet_Contents'!$A$2:$A$3000,$A2))</f>
        <v/>
      </c>
      <c r="X122">
        <f>IF($A2="","",SUMIF('07_Pallet_Contents'!$A$2:$A$3000,$A2,'07_Pallet_Contents'!$D$2:$D$3000))</f>
        <v/>
      </c>
      <c r="Y122">
        <f>IF($A2="","",SUMIF('07_Pallet_Contents'!$A$2:$A$3000,$A2,'07_Pallet_Contents'!$I$2:$I$3000))</f>
        <v/>
      </c>
      <c r="Z122">
        <f>IF($A2="","",IF(COUNTIF('07_Pallet_Contents'!$A$2:$A$3000,$A2)&gt;0,"Yes",""))</f>
        <v/>
      </c>
    </row>
    <row r="123" ht="27.75" customHeight="1" s="91">
      <c r="A123" s="4" t="inlineStr">
        <is>
          <t>PAL-0000123</t>
        </is>
      </c>
      <c r="B123" s="4" t="n"/>
      <c r="D123">
        <f>IF($C123="","",IFERROR(LOOKUP(2,1/('03_Warehouse_Movements'!$C$2:$C$500=$A123),'03_Warehouse_Movements'!$E$2:$E$500),$C123))</f>
        <v/>
      </c>
      <c r="E123" t="inlineStr">
        <is>
          <t>STANDARD</t>
        </is>
      </c>
      <c r="G123" s="23" t="n"/>
      <c r="H123" s="3">
        <f>IF(AND($F123="TEMP",$G123&gt;0,$M123&lt;&gt;""),$M123+$G123,"")</f>
        <v/>
      </c>
      <c r="I123" s="3" t="n"/>
      <c r="J123" s="4" t="n"/>
      <c r="K123" s="3" t="n"/>
      <c r="L123" s="4" t="n"/>
      <c r="M123" s="45">
        <f>IF($C123="","",IFERROR(LOOKUP(2,1/('03_Warehouse_Movements'!$C$2:$C$500=$A123),'03_Warehouse_Movements'!$A$2:$A$500),""))</f>
        <v/>
      </c>
      <c r="N123" s="4">
        <f>IF($C123="","",IFERROR(LOOKUP(2,1/('03_Warehouse_Movements'!$C$2:$C$500=$A123),'03_Warehouse_Movements'!$H$2:$H$500),""))</f>
        <v/>
      </c>
      <c r="O123" s="4">
        <f>A123</f>
        <v/>
      </c>
      <c r="Q123" s="25" t="n"/>
      <c r="R123" s="24" t="n"/>
      <c r="W123">
        <f>IF($A2="","",COUNTIF('07_Pallet_Contents'!$A$2:$A$3000,$A2))</f>
        <v/>
      </c>
      <c r="X123">
        <f>IF($A2="","",SUMIF('07_Pallet_Contents'!$A$2:$A$3000,$A2,'07_Pallet_Contents'!$D$2:$D$3000))</f>
        <v/>
      </c>
      <c r="Y123">
        <f>IF($A2="","",SUMIF('07_Pallet_Contents'!$A$2:$A$3000,$A2,'07_Pallet_Contents'!$I$2:$I$3000))</f>
        <v/>
      </c>
      <c r="Z123">
        <f>IF($A2="","",IF(COUNTIF('07_Pallet_Contents'!$A$2:$A$3000,$A2)&gt;0,"Yes",""))</f>
        <v/>
      </c>
    </row>
    <row r="124" ht="27.75" customHeight="1" s="91">
      <c r="A124" s="4" t="inlineStr">
        <is>
          <t>PAL-0000124</t>
        </is>
      </c>
      <c r="B124" s="4" t="n"/>
      <c r="D124">
        <f>IF($C124="","",IFERROR(LOOKUP(2,1/('03_Warehouse_Movements'!$C$2:$C$500=$A124),'03_Warehouse_Movements'!$E$2:$E$500),$C124))</f>
        <v/>
      </c>
      <c r="E124" t="inlineStr">
        <is>
          <t>STANDARD</t>
        </is>
      </c>
      <c r="G124" s="23" t="n"/>
      <c r="H124" s="3">
        <f>IF(AND($F124="TEMP",$G124&gt;0,$M124&lt;&gt;""),$M124+$G124,"")</f>
        <v/>
      </c>
      <c r="I124" s="3" t="n"/>
      <c r="J124" s="4" t="n"/>
      <c r="K124" s="3" t="n"/>
      <c r="L124" s="4" t="n"/>
      <c r="M124" s="45">
        <f>IF($C124="","",IFERROR(LOOKUP(2,1/('03_Warehouse_Movements'!$C$2:$C$500=$A124),'03_Warehouse_Movements'!$A$2:$A$500),""))</f>
        <v/>
      </c>
      <c r="N124" s="4">
        <f>IF($C124="","",IFERROR(LOOKUP(2,1/('03_Warehouse_Movements'!$C$2:$C$500=$A124),'03_Warehouse_Movements'!$H$2:$H$500),""))</f>
        <v/>
      </c>
      <c r="O124" s="4">
        <f>A124</f>
        <v/>
      </c>
      <c r="Q124" s="25" t="n"/>
      <c r="R124" s="24" t="n"/>
      <c r="W124">
        <f>IF($A2="","",COUNTIF('07_Pallet_Contents'!$A$2:$A$3000,$A2))</f>
        <v/>
      </c>
      <c r="X124">
        <f>IF($A2="","",SUMIF('07_Pallet_Contents'!$A$2:$A$3000,$A2,'07_Pallet_Contents'!$D$2:$D$3000))</f>
        <v/>
      </c>
      <c r="Y124">
        <f>IF($A2="","",SUMIF('07_Pallet_Contents'!$A$2:$A$3000,$A2,'07_Pallet_Contents'!$I$2:$I$3000))</f>
        <v/>
      </c>
      <c r="Z124">
        <f>IF($A2="","",IF(COUNTIF('07_Pallet_Contents'!$A$2:$A$3000,$A2)&gt;0,"Yes",""))</f>
        <v/>
      </c>
    </row>
    <row r="125" ht="27.75" customHeight="1" s="91">
      <c r="A125" s="4" t="inlineStr">
        <is>
          <t>PAL-0000125</t>
        </is>
      </c>
      <c r="B125" s="4" t="n"/>
      <c r="D125">
        <f>IF($C125="","",IFERROR(LOOKUP(2,1/('03_Warehouse_Movements'!$C$2:$C$500=$A125),'03_Warehouse_Movements'!$E$2:$E$500),$C125))</f>
        <v/>
      </c>
      <c r="E125" t="inlineStr">
        <is>
          <t>STANDARD</t>
        </is>
      </c>
      <c r="G125" s="23" t="n"/>
      <c r="H125" s="3">
        <f>IF(AND($F125="TEMP",$G125&gt;0,$M125&lt;&gt;""),$M125+$G125,"")</f>
        <v/>
      </c>
      <c r="I125" s="3" t="n"/>
      <c r="J125" s="4" t="n"/>
      <c r="K125" s="3" t="n"/>
      <c r="L125" s="4" t="n"/>
      <c r="M125" s="45">
        <f>IF($C125="","",IFERROR(LOOKUP(2,1/('03_Warehouse_Movements'!$C$2:$C$500=$A125),'03_Warehouse_Movements'!$A$2:$A$500),""))</f>
        <v/>
      </c>
      <c r="N125" s="4">
        <f>IF($C125="","",IFERROR(LOOKUP(2,1/('03_Warehouse_Movements'!$C$2:$C$500=$A125),'03_Warehouse_Movements'!$H$2:$H$500),""))</f>
        <v/>
      </c>
      <c r="O125" s="4">
        <f>A125</f>
        <v/>
      </c>
      <c r="Q125" s="25" t="n"/>
      <c r="R125" s="24" t="n"/>
      <c r="W125">
        <f>IF($A2="","",COUNTIF('07_Pallet_Contents'!$A$2:$A$3000,$A2))</f>
        <v/>
      </c>
      <c r="X125">
        <f>IF($A2="","",SUMIF('07_Pallet_Contents'!$A$2:$A$3000,$A2,'07_Pallet_Contents'!$D$2:$D$3000))</f>
        <v/>
      </c>
      <c r="Y125">
        <f>IF($A2="","",SUMIF('07_Pallet_Contents'!$A$2:$A$3000,$A2,'07_Pallet_Contents'!$I$2:$I$3000))</f>
        <v/>
      </c>
      <c r="Z125">
        <f>IF($A2="","",IF(COUNTIF('07_Pallet_Contents'!$A$2:$A$3000,$A2)&gt;0,"Yes",""))</f>
        <v/>
      </c>
    </row>
    <row r="126" ht="27.75" customHeight="1" s="91">
      <c r="A126" s="4" t="inlineStr">
        <is>
          <t>PAL-0000126</t>
        </is>
      </c>
      <c r="B126" s="4" t="n"/>
      <c r="D126">
        <f>IF($C126="","",IFERROR(LOOKUP(2,1/('03_Warehouse_Movements'!$C$2:$C$500=$A126),'03_Warehouse_Movements'!$E$2:$E$500),$C126))</f>
        <v/>
      </c>
      <c r="E126" t="inlineStr">
        <is>
          <t>STANDARD</t>
        </is>
      </c>
      <c r="G126" s="23" t="n"/>
      <c r="H126" s="3">
        <f>IF(AND($F126="TEMP",$G126&gt;0,$M126&lt;&gt;""),$M126+$G126,"")</f>
        <v/>
      </c>
      <c r="I126" s="3" t="n"/>
      <c r="J126" s="4" t="n"/>
      <c r="K126" s="3" t="n"/>
      <c r="L126" s="4" t="n"/>
      <c r="M126" s="45">
        <f>IF($C126="","",IFERROR(LOOKUP(2,1/('03_Warehouse_Movements'!$C$2:$C$500=$A126),'03_Warehouse_Movements'!$A$2:$A$500),""))</f>
        <v/>
      </c>
      <c r="N126" s="4">
        <f>IF($C126="","",IFERROR(LOOKUP(2,1/('03_Warehouse_Movements'!$C$2:$C$500=$A126),'03_Warehouse_Movements'!$H$2:$H$500),""))</f>
        <v/>
      </c>
      <c r="O126" s="4">
        <f>A126</f>
        <v/>
      </c>
      <c r="Q126" s="25" t="n"/>
      <c r="R126" s="24" t="n"/>
      <c r="W126">
        <f>IF($A2="","",COUNTIF('07_Pallet_Contents'!$A$2:$A$3000,$A2))</f>
        <v/>
      </c>
      <c r="X126">
        <f>IF($A2="","",SUMIF('07_Pallet_Contents'!$A$2:$A$3000,$A2,'07_Pallet_Contents'!$D$2:$D$3000))</f>
        <v/>
      </c>
      <c r="Y126">
        <f>IF($A2="","",SUMIF('07_Pallet_Contents'!$A$2:$A$3000,$A2,'07_Pallet_Contents'!$I$2:$I$3000))</f>
        <v/>
      </c>
      <c r="Z126">
        <f>IF($A2="","",IF(COUNTIF('07_Pallet_Contents'!$A$2:$A$3000,$A2)&gt;0,"Yes",""))</f>
        <v/>
      </c>
    </row>
    <row r="127" ht="27.75" customHeight="1" s="91">
      <c r="A127" s="4" t="inlineStr">
        <is>
          <t>PAL-0000127</t>
        </is>
      </c>
      <c r="B127" s="4" t="n"/>
      <c r="D127">
        <f>IF($C127="","",IFERROR(LOOKUP(2,1/('03_Warehouse_Movements'!$C$2:$C$500=$A127),'03_Warehouse_Movements'!$E$2:$E$500),$C127))</f>
        <v/>
      </c>
      <c r="E127" t="inlineStr">
        <is>
          <t>STANDARD</t>
        </is>
      </c>
      <c r="G127" s="23" t="n"/>
      <c r="H127" s="3">
        <f>IF(AND($F127="TEMP",$G127&gt;0,$M127&lt;&gt;""),$M127+$G127,"")</f>
        <v/>
      </c>
      <c r="I127" s="3" t="n"/>
      <c r="J127" s="4" t="n"/>
      <c r="K127" s="3" t="n"/>
      <c r="L127" s="4" t="n"/>
      <c r="M127" s="45">
        <f>IF($C127="","",IFERROR(LOOKUP(2,1/('03_Warehouse_Movements'!$C$2:$C$500=$A127),'03_Warehouse_Movements'!$A$2:$A$500),""))</f>
        <v/>
      </c>
      <c r="N127" s="4">
        <f>IF($C127="","",IFERROR(LOOKUP(2,1/('03_Warehouse_Movements'!$C$2:$C$500=$A127),'03_Warehouse_Movements'!$H$2:$H$500),""))</f>
        <v/>
      </c>
      <c r="O127" s="4">
        <f>A127</f>
        <v/>
      </c>
      <c r="Q127" s="25" t="n"/>
      <c r="R127" s="24" t="n"/>
      <c r="W127">
        <f>IF($A2="","",COUNTIF('07_Pallet_Contents'!$A$2:$A$3000,$A2))</f>
        <v/>
      </c>
      <c r="X127">
        <f>IF($A2="","",SUMIF('07_Pallet_Contents'!$A$2:$A$3000,$A2,'07_Pallet_Contents'!$D$2:$D$3000))</f>
        <v/>
      </c>
      <c r="Y127">
        <f>IF($A2="","",SUMIF('07_Pallet_Contents'!$A$2:$A$3000,$A2,'07_Pallet_Contents'!$I$2:$I$3000))</f>
        <v/>
      </c>
      <c r="Z127">
        <f>IF($A2="","",IF(COUNTIF('07_Pallet_Contents'!$A$2:$A$3000,$A2)&gt;0,"Yes",""))</f>
        <v/>
      </c>
    </row>
    <row r="128" ht="27.75" customHeight="1" s="91">
      <c r="A128" s="4" t="inlineStr">
        <is>
          <t>PAL-0000128</t>
        </is>
      </c>
      <c r="B128" s="4" t="n"/>
      <c r="D128">
        <f>IF($C128="","",IFERROR(LOOKUP(2,1/('03_Warehouse_Movements'!$C$2:$C$500=$A128),'03_Warehouse_Movements'!$E$2:$E$500),$C128))</f>
        <v/>
      </c>
      <c r="E128" t="inlineStr">
        <is>
          <t>STANDARD</t>
        </is>
      </c>
      <c r="G128" s="23" t="n"/>
      <c r="H128" s="3">
        <f>IF(AND($F128="TEMP",$G128&gt;0,$M128&lt;&gt;""),$M128+$G128,"")</f>
        <v/>
      </c>
      <c r="I128" s="3" t="n"/>
      <c r="J128" s="4" t="n"/>
      <c r="K128" s="3" t="n"/>
      <c r="L128" s="4" t="n"/>
      <c r="M128" s="45">
        <f>IF($C128="","",IFERROR(LOOKUP(2,1/('03_Warehouse_Movements'!$C$2:$C$500=$A128),'03_Warehouse_Movements'!$A$2:$A$500),""))</f>
        <v/>
      </c>
      <c r="N128" s="4">
        <f>IF($C128="","",IFERROR(LOOKUP(2,1/('03_Warehouse_Movements'!$C$2:$C$500=$A128),'03_Warehouse_Movements'!$H$2:$H$500),""))</f>
        <v/>
      </c>
      <c r="O128" s="4">
        <f>A128</f>
        <v/>
      </c>
      <c r="Q128" s="25" t="n"/>
      <c r="R128" s="24" t="n"/>
      <c r="W128">
        <f>IF($A2="","",COUNTIF('07_Pallet_Contents'!$A$2:$A$3000,$A2))</f>
        <v/>
      </c>
      <c r="X128">
        <f>IF($A2="","",SUMIF('07_Pallet_Contents'!$A$2:$A$3000,$A2,'07_Pallet_Contents'!$D$2:$D$3000))</f>
        <v/>
      </c>
      <c r="Y128">
        <f>IF($A2="","",SUMIF('07_Pallet_Contents'!$A$2:$A$3000,$A2,'07_Pallet_Contents'!$I$2:$I$3000))</f>
        <v/>
      </c>
      <c r="Z128">
        <f>IF($A2="","",IF(COUNTIF('07_Pallet_Contents'!$A$2:$A$3000,$A2)&gt;0,"Yes",""))</f>
        <v/>
      </c>
    </row>
    <row r="129" ht="27.75" customHeight="1" s="91">
      <c r="A129" s="4" t="inlineStr">
        <is>
          <t>PAL-0000129</t>
        </is>
      </c>
      <c r="B129" s="4" t="n"/>
      <c r="D129">
        <f>IF($C129="","",IFERROR(LOOKUP(2,1/('03_Warehouse_Movements'!$C$2:$C$500=$A129),'03_Warehouse_Movements'!$E$2:$E$500),$C129))</f>
        <v/>
      </c>
      <c r="E129" t="inlineStr">
        <is>
          <t>STANDARD</t>
        </is>
      </c>
      <c r="G129" s="23" t="n"/>
      <c r="H129" s="3">
        <f>IF(AND($F129="TEMP",$G129&gt;0,$M129&lt;&gt;""),$M129+$G129,"")</f>
        <v/>
      </c>
      <c r="I129" s="3" t="n"/>
      <c r="J129" s="4" t="n"/>
      <c r="K129" s="3" t="n"/>
      <c r="L129" s="4" t="n"/>
      <c r="M129" s="45">
        <f>IF($C129="","",IFERROR(LOOKUP(2,1/('03_Warehouse_Movements'!$C$2:$C$500=$A129),'03_Warehouse_Movements'!$A$2:$A$500),""))</f>
        <v/>
      </c>
      <c r="N129" s="4">
        <f>IF($C129="","",IFERROR(LOOKUP(2,1/('03_Warehouse_Movements'!$C$2:$C$500=$A129),'03_Warehouse_Movements'!$H$2:$H$500),""))</f>
        <v/>
      </c>
      <c r="O129" s="4">
        <f>A129</f>
        <v/>
      </c>
      <c r="Q129" s="25" t="n"/>
      <c r="R129" s="24" t="n"/>
      <c r="W129">
        <f>IF($A2="","",COUNTIF('07_Pallet_Contents'!$A$2:$A$3000,$A2))</f>
        <v/>
      </c>
      <c r="X129">
        <f>IF($A2="","",SUMIF('07_Pallet_Contents'!$A$2:$A$3000,$A2,'07_Pallet_Contents'!$D$2:$D$3000))</f>
        <v/>
      </c>
      <c r="Y129">
        <f>IF($A2="","",SUMIF('07_Pallet_Contents'!$A$2:$A$3000,$A2,'07_Pallet_Contents'!$I$2:$I$3000))</f>
        <v/>
      </c>
      <c r="Z129">
        <f>IF($A2="","",IF(COUNTIF('07_Pallet_Contents'!$A$2:$A$3000,$A2)&gt;0,"Yes",""))</f>
        <v/>
      </c>
    </row>
    <row r="130" ht="27.75" customHeight="1" s="91">
      <c r="A130" s="4" t="inlineStr">
        <is>
          <t>PAL-0000130</t>
        </is>
      </c>
      <c r="B130" s="4" t="n"/>
      <c r="D130">
        <f>IF($C130="","",IFERROR(LOOKUP(2,1/('03_Warehouse_Movements'!$C$2:$C$500=$A130),'03_Warehouse_Movements'!$E$2:$E$500),$C130))</f>
        <v/>
      </c>
      <c r="E130" t="inlineStr">
        <is>
          <t>STANDARD</t>
        </is>
      </c>
      <c r="G130" s="23" t="n"/>
      <c r="H130" s="3">
        <f>IF(AND($F130="TEMP",$G130&gt;0,$M130&lt;&gt;""),$M130+$G130,"")</f>
        <v/>
      </c>
      <c r="I130" s="3" t="n"/>
      <c r="J130" s="4" t="n"/>
      <c r="K130" s="3" t="n"/>
      <c r="L130" s="4" t="n"/>
      <c r="M130" s="45">
        <f>IF($C130="","",IFERROR(LOOKUP(2,1/('03_Warehouse_Movements'!$C$2:$C$500=$A130),'03_Warehouse_Movements'!$A$2:$A$500),""))</f>
        <v/>
      </c>
      <c r="N130" s="4">
        <f>IF($C130="","",IFERROR(LOOKUP(2,1/('03_Warehouse_Movements'!$C$2:$C$500=$A130),'03_Warehouse_Movements'!$H$2:$H$500),""))</f>
        <v/>
      </c>
      <c r="O130" s="4">
        <f>A130</f>
        <v/>
      </c>
      <c r="Q130" s="25" t="n"/>
      <c r="R130" s="24" t="n"/>
      <c r="W130">
        <f>IF($A2="","",COUNTIF('07_Pallet_Contents'!$A$2:$A$3000,$A2))</f>
        <v/>
      </c>
      <c r="X130">
        <f>IF($A2="","",SUMIF('07_Pallet_Contents'!$A$2:$A$3000,$A2,'07_Pallet_Contents'!$D$2:$D$3000))</f>
        <v/>
      </c>
      <c r="Y130">
        <f>IF($A2="","",SUMIF('07_Pallet_Contents'!$A$2:$A$3000,$A2,'07_Pallet_Contents'!$I$2:$I$3000))</f>
        <v/>
      </c>
      <c r="Z130">
        <f>IF($A2="","",IF(COUNTIF('07_Pallet_Contents'!$A$2:$A$3000,$A2)&gt;0,"Yes",""))</f>
        <v/>
      </c>
    </row>
    <row r="131" ht="27.75" customHeight="1" s="91">
      <c r="A131" s="4" t="inlineStr">
        <is>
          <t>PAL-0000131</t>
        </is>
      </c>
      <c r="B131" s="4" t="n"/>
      <c r="D131">
        <f>IF($C131="","",IFERROR(LOOKUP(2,1/('03_Warehouse_Movements'!$C$2:$C$500=$A131),'03_Warehouse_Movements'!$E$2:$E$500),$C131))</f>
        <v/>
      </c>
      <c r="E131" t="inlineStr">
        <is>
          <t>STANDARD</t>
        </is>
      </c>
      <c r="G131" s="23" t="n"/>
      <c r="H131" s="3">
        <f>IF(AND($F131="TEMP",$G131&gt;0,$M131&lt;&gt;""),$M131+$G131,"")</f>
        <v/>
      </c>
      <c r="I131" s="3" t="n"/>
      <c r="J131" s="4" t="n"/>
      <c r="K131" s="3" t="n"/>
      <c r="L131" s="4" t="n"/>
      <c r="M131" s="45">
        <f>IF($C131="","",IFERROR(LOOKUP(2,1/('03_Warehouse_Movements'!$C$2:$C$500=$A131),'03_Warehouse_Movements'!$A$2:$A$500),""))</f>
        <v/>
      </c>
      <c r="N131" s="4">
        <f>IF($C131="","",IFERROR(LOOKUP(2,1/('03_Warehouse_Movements'!$C$2:$C$500=$A131),'03_Warehouse_Movements'!$H$2:$H$500),""))</f>
        <v/>
      </c>
      <c r="O131" s="4">
        <f>A131</f>
        <v/>
      </c>
      <c r="Q131" s="25" t="n"/>
      <c r="R131" s="24" t="n"/>
      <c r="W131">
        <f>IF($A2="","",COUNTIF('07_Pallet_Contents'!$A$2:$A$3000,$A2))</f>
        <v/>
      </c>
      <c r="X131">
        <f>IF($A2="","",SUMIF('07_Pallet_Contents'!$A$2:$A$3000,$A2,'07_Pallet_Contents'!$D$2:$D$3000))</f>
        <v/>
      </c>
      <c r="Y131">
        <f>IF($A2="","",SUMIF('07_Pallet_Contents'!$A$2:$A$3000,$A2,'07_Pallet_Contents'!$I$2:$I$3000))</f>
        <v/>
      </c>
      <c r="Z131">
        <f>IF($A2="","",IF(COUNTIF('07_Pallet_Contents'!$A$2:$A$3000,$A2)&gt;0,"Yes",""))</f>
        <v/>
      </c>
    </row>
    <row r="132" ht="27.75" customHeight="1" s="91">
      <c r="A132" s="4" t="inlineStr">
        <is>
          <t>PAL-0000132</t>
        </is>
      </c>
      <c r="B132" s="4" t="n"/>
      <c r="D132">
        <f>IF($C132="","",IFERROR(LOOKUP(2,1/('03_Warehouse_Movements'!$C$2:$C$500=$A132),'03_Warehouse_Movements'!$E$2:$E$500),$C132))</f>
        <v/>
      </c>
      <c r="E132" t="inlineStr">
        <is>
          <t>STANDARD</t>
        </is>
      </c>
      <c r="G132" s="23" t="n"/>
      <c r="H132" s="3">
        <f>IF(AND($F132="TEMP",$G132&gt;0,$M132&lt;&gt;""),$M132+$G132,"")</f>
        <v/>
      </c>
      <c r="I132" s="3" t="n"/>
      <c r="J132" s="4" t="n"/>
      <c r="K132" s="3" t="n"/>
      <c r="L132" s="4" t="n"/>
      <c r="M132" s="45">
        <f>IF($C132="","",IFERROR(LOOKUP(2,1/('03_Warehouse_Movements'!$C$2:$C$500=$A132),'03_Warehouse_Movements'!$A$2:$A$500),""))</f>
        <v/>
      </c>
      <c r="N132" s="4">
        <f>IF($C132="","",IFERROR(LOOKUP(2,1/('03_Warehouse_Movements'!$C$2:$C$500=$A132),'03_Warehouse_Movements'!$H$2:$H$500),""))</f>
        <v/>
      </c>
      <c r="O132" s="4">
        <f>A132</f>
        <v/>
      </c>
      <c r="Q132" s="25" t="n"/>
      <c r="R132" s="24" t="n"/>
      <c r="W132">
        <f>IF($A2="","",COUNTIF('07_Pallet_Contents'!$A$2:$A$3000,$A2))</f>
        <v/>
      </c>
      <c r="X132">
        <f>IF($A2="","",SUMIF('07_Pallet_Contents'!$A$2:$A$3000,$A2,'07_Pallet_Contents'!$D$2:$D$3000))</f>
        <v/>
      </c>
      <c r="Y132">
        <f>IF($A2="","",SUMIF('07_Pallet_Contents'!$A$2:$A$3000,$A2,'07_Pallet_Contents'!$I$2:$I$3000))</f>
        <v/>
      </c>
      <c r="Z132">
        <f>IF($A2="","",IF(COUNTIF('07_Pallet_Contents'!$A$2:$A$3000,$A2)&gt;0,"Yes",""))</f>
        <v/>
      </c>
    </row>
    <row r="133" ht="27.75" customHeight="1" s="91">
      <c r="A133" s="4" t="inlineStr">
        <is>
          <t>PAL-0000133</t>
        </is>
      </c>
      <c r="B133" s="4" t="n"/>
      <c r="D133">
        <f>IF($C133="","",IFERROR(LOOKUP(2,1/('03_Warehouse_Movements'!$C$2:$C$500=$A133),'03_Warehouse_Movements'!$E$2:$E$500),$C133))</f>
        <v/>
      </c>
      <c r="E133" t="inlineStr">
        <is>
          <t>STANDARD</t>
        </is>
      </c>
      <c r="G133" s="23" t="n"/>
      <c r="H133" s="3">
        <f>IF(AND($F133="TEMP",$G133&gt;0,$M133&lt;&gt;""),$M133+$G133,"")</f>
        <v/>
      </c>
      <c r="I133" s="3" t="n"/>
      <c r="J133" s="4" t="n"/>
      <c r="K133" s="3" t="n"/>
      <c r="L133" s="4" t="n"/>
      <c r="M133" s="45">
        <f>IF($C133="","",IFERROR(LOOKUP(2,1/('03_Warehouse_Movements'!$C$2:$C$500=$A133),'03_Warehouse_Movements'!$A$2:$A$500),""))</f>
        <v/>
      </c>
      <c r="N133" s="4">
        <f>IF($C133="","",IFERROR(LOOKUP(2,1/('03_Warehouse_Movements'!$C$2:$C$500=$A133),'03_Warehouse_Movements'!$H$2:$H$500),""))</f>
        <v/>
      </c>
      <c r="O133" s="4">
        <f>A133</f>
        <v/>
      </c>
      <c r="Q133" s="25" t="n"/>
      <c r="R133" s="24" t="n"/>
      <c r="W133">
        <f>IF($A2="","",COUNTIF('07_Pallet_Contents'!$A$2:$A$3000,$A2))</f>
        <v/>
      </c>
      <c r="X133">
        <f>IF($A2="","",SUMIF('07_Pallet_Contents'!$A$2:$A$3000,$A2,'07_Pallet_Contents'!$D$2:$D$3000))</f>
        <v/>
      </c>
      <c r="Y133">
        <f>IF($A2="","",SUMIF('07_Pallet_Contents'!$A$2:$A$3000,$A2,'07_Pallet_Contents'!$I$2:$I$3000))</f>
        <v/>
      </c>
      <c r="Z133">
        <f>IF($A2="","",IF(COUNTIF('07_Pallet_Contents'!$A$2:$A$3000,$A2)&gt;0,"Yes",""))</f>
        <v/>
      </c>
    </row>
    <row r="134" ht="27.75" customHeight="1" s="91">
      <c r="A134" s="4" t="inlineStr">
        <is>
          <t>PAL-0000134</t>
        </is>
      </c>
      <c r="B134" s="4" t="n"/>
      <c r="D134">
        <f>IF($C134="","",IFERROR(LOOKUP(2,1/('03_Warehouse_Movements'!$C$2:$C$500=$A134),'03_Warehouse_Movements'!$E$2:$E$500),$C134))</f>
        <v/>
      </c>
      <c r="E134" t="inlineStr">
        <is>
          <t>STANDARD</t>
        </is>
      </c>
      <c r="G134" s="23" t="n"/>
      <c r="H134" s="3">
        <f>IF(AND($F134="TEMP",$G134&gt;0,$M134&lt;&gt;""),$M134+$G134,"")</f>
        <v/>
      </c>
      <c r="I134" s="3" t="n"/>
      <c r="J134" s="4" t="n"/>
      <c r="K134" s="3" t="n"/>
      <c r="L134" s="4" t="n"/>
      <c r="M134" s="45">
        <f>IF($C134="","",IFERROR(LOOKUP(2,1/('03_Warehouse_Movements'!$C$2:$C$500=$A134),'03_Warehouse_Movements'!$A$2:$A$500),""))</f>
        <v/>
      </c>
      <c r="N134" s="4">
        <f>IF($C134="","",IFERROR(LOOKUP(2,1/('03_Warehouse_Movements'!$C$2:$C$500=$A134),'03_Warehouse_Movements'!$H$2:$H$500),""))</f>
        <v/>
      </c>
      <c r="O134" s="4">
        <f>A134</f>
        <v/>
      </c>
      <c r="Q134" s="25" t="n"/>
      <c r="R134" s="24" t="n"/>
      <c r="W134">
        <f>IF($A2="","",COUNTIF('07_Pallet_Contents'!$A$2:$A$3000,$A2))</f>
        <v/>
      </c>
      <c r="X134">
        <f>IF($A2="","",SUMIF('07_Pallet_Contents'!$A$2:$A$3000,$A2,'07_Pallet_Contents'!$D$2:$D$3000))</f>
        <v/>
      </c>
      <c r="Y134">
        <f>IF($A2="","",SUMIF('07_Pallet_Contents'!$A$2:$A$3000,$A2,'07_Pallet_Contents'!$I$2:$I$3000))</f>
        <v/>
      </c>
      <c r="Z134">
        <f>IF($A2="","",IF(COUNTIF('07_Pallet_Contents'!$A$2:$A$3000,$A2)&gt;0,"Yes",""))</f>
        <v/>
      </c>
    </row>
    <row r="135" ht="27.75" customHeight="1" s="91">
      <c r="A135" s="4" t="inlineStr">
        <is>
          <t>PAL-0000135</t>
        </is>
      </c>
      <c r="B135" s="4" t="n"/>
      <c r="D135">
        <f>IF($C135="","",IFERROR(LOOKUP(2,1/('03_Warehouse_Movements'!$C$2:$C$500=$A135),'03_Warehouse_Movements'!$E$2:$E$500),$C135))</f>
        <v/>
      </c>
      <c r="E135" t="inlineStr">
        <is>
          <t>STANDARD</t>
        </is>
      </c>
      <c r="G135" s="23" t="n"/>
      <c r="H135" s="3">
        <f>IF(AND($F135="TEMP",$G135&gt;0,$M135&lt;&gt;""),$M135+$G135,"")</f>
        <v/>
      </c>
      <c r="I135" s="3" t="n"/>
      <c r="J135" s="4" t="n"/>
      <c r="K135" s="3" t="n"/>
      <c r="L135" s="4" t="n"/>
      <c r="M135" s="45">
        <f>IF($C135="","",IFERROR(LOOKUP(2,1/('03_Warehouse_Movements'!$C$2:$C$500=$A135),'03_Warehouse_Movements'!$A$2:$A$500),""))</f>
        <v/>
      </c>
      <c r="N135" s="4">
        <f>IF($C135="","",IFERROR(LOOKUP(2,1/('03_Warehouse_Movements'!$C$2:$C$500=$A135),'03_Warehouse_Movements'!$H$2:$H$500),""))</f>
        <v/>
      </c>
      <c r="O135" s="4">
        <f>A135</f>
        <v/>
      </c>
      <c r="Q135" s="25" t="n"/>
      <c r="R135" s="24" t="n"/>
      <c r="W135">
        <f>IF($A2="","",COUNTIF('07_Pallet_Contents'!$A$2:$A$3000,$A2))</f>
        <v/>
      </c>
      <c r="X135">
        <f>IF($A2="","",SUMIF('07_Pallet_Contents'!$A$2:$A$3000,$A2,'07_Pallet_Contents'!$D$2:$D$3000))</f>
        <v/>
      </c>
      <c r="Y135">
        <f>IF($A2="","",SUMIF('07_Pallet_Contents'!$A$2:$A$3000,$A2,'07_Pallet_Contents'!$I$2:$I$3000))</f>
        <v/>
      </c>
      <c r="Z135">
        <f>IF($A2="","",IF(COUNTIF('07_Pallet_Contents'!$A$2:$A$3000,$A2)&gt;0,"Yes",""))</f>
        <v/>
      </c>
    </row>
    <row r="136" ht="27.75" customHeight="1" s="91">
      <c r="A136" s="4" t="inlineStr">
        <is>
          <t>PAL-0000136</t>
        </is>
      </c>
      <c r="B136" s="4" t="n"/>
      <c r="D136">
        <f>IF($C136="","",IFERROR(LOOKUP(2,1/('03_Warehouse_Movements'!$C$2:$C$500=$A136),'03_Warehouse_Movements'!$E$2:$E$500),$C136))</f>
        <v/>
      </c>
      <c r="E136" t="inlineStr">
        <is>
          <t>STANDARD</t>
        </is>
      </c>
      <c r="G136" s="23" t="n"/>
      <c r="H136" s="3">
        <f>IF(AND($F136="TEMP",$G136&gt;0,$M136&lt;&gt;""),$M136+$G136,"")</f>
        <v/>
      </c>
      <c r="I136" s="3" t="n"/>
      <c r="J136" s="4" t="n"/>
      <c r="K136" s="3" t="n"/>
      <c r="L136" s="4" t="n"/>
      <c r="M136" s="45">
        <f>IF($C136="","",IFERROR(LOOKUP(2,1/('03_Warehouse_Movements'!$C$2:$C$500=$A136),'03_Warehouse_Movements'!$A$2:$A$500),""))</f>
        <v/>
      </c>
      <c r="N136" s="4">
        <f>IF($C136="","",IFERROR(LOOKUP(2,1/('03_Warehouse_Movements'!$C$2:$C$500=$A136),'03_Warehouse_Movements'!$H$2:$H$500),""))</f>
        <v/>
      </c>
      <c r="O136" s="4">
        <f>A136</f>
        <v/>
      </c>
      <c r="Q136" s="25" t="n"/>
      <c r="R136" s="24" t="n"/>
      <c r="W136">
        <f>IF($A2="","",COUNTIF('07_Pallet_Contents'!$A$2:$A$3000,$A2))</f>
        <v/>
      </c>
      <c r="X136">
        <f>IF($A2="","",SUMIF('07_Pallet_Contents'!$A$2:$A$3000,$A2,'07_Pallet_Contents'!$D$2:$D$3000))</f>
        <v/>
      </c>
      <c r="Y136">
        <f>IF($A2="","",SUMIF('07_Pallet_Contents'!$A$2:$A$3000,$A2,'07_Pallet_Contents'!$I$2:$I$3000))</f>
        <v/>
      </c>
      <c r="Z136">
        <f>IF($A2="","",IF(COUNTIF('07_Pallet_Contents'!$A$2:$A$3000,$A2)&gt;0,"Yes",""))</f>
        <v/>
      </c>
    </row>
    <row r="137" ht="27.75" customHeight="1" s="91">
      <c r="A137" s="4" t="inlineStr">
        <is>
          <t>PAL-0000137</t>
        </is>
      </c>
      <c r="B137" s="4" t="n"/>
      <c r="D137">
        <f>IF($C137="","",IFERROR(LOOKUP(2,1/('03_Warehouse_Movements'!$C$2:$C$500=$A137),'03_Warehouse_Movements'!$E$2:$E$500),$C137))</f>
        <v/>
      </c>
      <c r="E137" t="inlineStr">
        <is>
          <t>STANDARD</t>
        </is>
      </c>
      <c r="G137" s="23" t="n"/>
      <c r="H137" s="3">
        <f>IF(AND($F137="TEMP",$G137&gt;0,$M137&lt;&gt;""),$M137+$G137,"")</f>
        <v/>
      </c>
      <c r="I137" s="3" t="n"/>
      <c r="J137" s="4" t="n"/>
      <c r="K137" s="3" t="n"/>
      <c r="L137" s="4" t="n"/>
      <c r="M137" s="45">
        <f>IF($C137="","",IFERROR(LOOKUP(2,1/('03_Warehouse_Movements'!$C$2:$C$500=$A137),'03_Warehouse_Movements'!$A$2:$A$500),""))</f>
        <v/>
      </c>
      <c r="N137" s="4">
        <f>IF($C137="","",IFERROR(LOOKUP(2,1/('03_Warehouse_Movements'!$C$2:$C$500=$A137),'03_Warehouse_Movements'!$H$2:$H$500),""))</f>
        <v/>
      </c>
      <c r="O137" s="4">
        <f>A137</f>
        <v/>
      </c>
      <c r="Q137" s="25" t="n"/>
      <c r="R137" s="24" t="n"/>
      <c r="W137">
        <f>IF($A2="","",COUNTIF('07_Pallet_Contents'!$A$2:$A$3000,$A2))</f>
        <v/>
      </c>
      <c r="X137">
        <f>IF($A2="","",SUMIF('07_Pallet_Contents'!$A$2:$A$3000,$A2,'07_Pallet_Contents'!$D$2:$D$3000))</f>
        <v/>
      </c>
      <c r="Y137">
        <f>IF($A2="","",SUMIF('07_Pallet_Contents'!$A$2:$A$3000,$A2,'07_Pallet_Contents'!$I$2:$I$3000))</f>
        <v/>
      </c>
      <c r="Z137">
        <f>IF($A2="","",IF(COUNTIF('07_Pallet_Contents'!$A$2:$A$3000,$A2)&gt;0,"Yes",""))</f>
        <v/>
      </c>
    </row>
    <row r="138" ht="27.75" customHeight="1" s="91">
      <c r="A138" s="4" t="inlineStr">
        <is>
          <t>PAL-0000138</t>
        </is>
      </c>
      <c r="B138" s="4" t="n"/>
      <c r="D138">
        <f>IF($C138="","",IFERROR(LOOKUP(2,1/('03_Warehouse_Movements'!$C$2:$C$500=$A138),'03_Warehouse_Movements'!$E$2:$E$500),$C138))</f>
        <v/>
      </c>
      <c r="E138" t="inlineStr">
        <is>
          <t>STANDARD</t>
        </is>
      </c>
      <c r="G138" s="23" t="n"/>
      <c r="H138" s="3">
        <f>IF(AND($F138="TEMP",$G138&gt;0,$M138&lt;&gt;""),$M138+$G138,"")</f>
        <v/>
      </c>
      <c r="I138" s="3" t="n"/>
      <c r="J138" s="4" t="n"/>
      <c r="K138" s="3" t="n"/>
      <c r="L138" s="4" t="n"/>
      <c r="M138" s="45">
        <f>IF($C138="","",IFERROR(LOOKUP(2,1/('03_Warehouse_Movements'!$C$2:$C$500=$A138),'03_Warehouse_Movements'!$A$2:$A$500),""))</f>
        <v/>
      </c>
      <c r="N138" s="4">
        <f>IF($C138="","",IFERROR(LOOKUP(2,1/('03_Warehouse_Movements'!$C$2:$C$500=$A138),'03_Warehouse_Movements'!$H$2:$H$500),""))</f>
        <v/>
      </c>
      <c r="O138" s="4">
        <f>A138</f>
        <v/>
      </c>
      <c r="Q138" s="25" t="n"/>
      <c r="R138" s="24" t="n"/>
      <c r="W138">
        <f>IF($A2="","",COUNTIF('07_Pallet_Contents'!$A$2:$A$3000,$A2))</f>
        <v/>
      </c>
      <c r="X138">
        <f>IF($A2="","",SUMIF('07_Pallet_Contents'!$A$2:$A$3000,$A2,'07_Pallet_Contents'!$D$2:$D$3000))</f>
        <v/>
      </c>
      <c r="Y138">
        <f>IF($A2="","",SUMIF('07_Pallet_Contents'!$A$2:$A$3000,$A2,'07_Pallet_Contents'!$I$2:$I$3000))</f>
        <v/>
      </c>
      <c r="Z138">
        <f>IF($A2="","",IF(COUNTIF('07_Pallet_Contents'!$A$2:$A$3000,$A2)&gt;0,"Yes",""))</f>
        <v/>
      </c>
    </row>
    <row r="139" ht="27.75" customHeight="1" s="91">
      <c r="A139" s="4" t="inlineStr">
        <is>
          <t>PAL-0000139</t>
        </is>
      </c>
      <c r="B139" s="4" t="n"/>
      <c r="D139">
        <f>IF($C139="","",IFERROR(LOOKUP(2,1/('03_Warehouse_Movements'!$C$2:$C$500=$A139),'03_Warehouse_Movements'!$E$2:$E$500),$C139))</f>
        <v/>
      </c>
      <c r="E139" t="inlineStr">
        <is>
          <t>STANDARD</t>
        </is>
      </c>
      <c r="G139" s="23" t="n"/>
      <c r="H139" s="3">
        <f>IF(AND($F139="TEMP",$G139&gt;0,$M139&lt;&gt;""),$M139+$G139,"")</f>
        <v/>
      </c>
      <c r="I139" s="3" t="n"/>
      <c r="J139" s="4" t="n"/>
      <c r="K139" s="3" t="n"/>
      <c r="L139" s="4" t="n"/>
      <c r="M139" s="45">
        <f>IF($C139="","",IFERROR(LOOKUP(2,1/('03_Warehouse_Movements'!$C$2:$C$500=$A139),'03_Warehouse_Movements'!$A$2:$A$500),""))</f>
        <v/>
      </c>
      <c r="N139" s="4">
        <f>IF($C139="","",IFERROR(LOOKUP(2,1/('03_Warehouse_Movements'!$C$2:$C$500=$A139),'03_Warehouse_Movements'!$H$2:$H$500),""))</f>
        <v/>
      </c>
      <c r="O139" s="4">
        <f>A139</f>
        <v/>
      </c>
      <c r="Q139" s="25" t="n"/>
      <c r="R139" s="24" t="n"/>
      <c r="W139">
        <f>IF($A2="","",COUNTIF('07_Pallet_Contents'!$A$2:$A$3000,$A2))</f>
        <v/>
      </c>
      <c r="X139">
        <f>IF($A2="","",SUMIF('07_Pallet_Contents'!$A$2:$A$3000,$A2,'07_Pallet_Contents'!$D$2:$D$3000))</f>
        <v/>
      </c>
      <c r="Y139">
        <f>IF($A2="","",SUMIF('07_Pallet_Contents'!$A$2:$A$3000,$A2,'07_Pallet_Contents'!$I$2:$I$3000))</f>
        <v/>
      </c>
      <c r="Z139">
        <f>IF($A2="","",IF(COUNTIF('07_Pallet_Contents'!$A$2:$A$3000,$A2)&gt;0,"Yes",""))</f>
        <v/>
      </c>
    </row>
    <row r="140" ht="27.75" customHeight="1" s="91">
      <c r="A140" s="4" t="inlineStr">
        <is>
          <t>PAL-0000140</t>
        </is>
      </c>
      <c r="B140" s="4" t="n"/>
      <c r="D140">
        <f>IF($C140="","",IFERROR(LOOKUP(2,1/('03_Warehouse_Movements'!$C$2:$C$500=$A140),'03_Warehouse_Movements'!$E$2:$E$500),$C140))</f>
        <v/>
      </c>
      <c r="E140" t="inlineStr">
        <is>
          <t>STANDARD</t>
        </is>
      </c>
      <c r="G140" s="23" t="n"/>
      <c r="H140" s="3">
        <f>IF(AND($F140="TEMP",$G140&gt;0,$M140&lt;&gt;""),$M140+$G140,"")</f>
        <v/>
      </c>
      <c r="I140" s="3" t="n"/>
      <c r="J140" s="4" t="n"/>
      <c r="K140" s="3" t="n"/>
      <c r="L140" s="4" t="n"/>
      <c r="M140" s="45">
        <f>IF($C140="","",IFERROR(LOOKUP(2,1/('03_Warehouse_Movements'!$C$2:$C$500=$A140),'03_Warehouse_Movements'!$A$2:$A$500),""))</f>
        <v/>
      </c>
      <c r="N140" s="4">
        <f>IF($C140="","",IFERROR(LOOKUP(2,1/('03_Warehouse_Movements'!$C$2:$C$500=$A140),'03_Warehouse_Movements'!$H$2:$H$500),""))</f>
        <v/>
      </c>
      <c r="O140" s="4">
        <f>A140</f>
        <v/>
      </c>
      <c r="Q140" s="25" t="n"/>
      <c r="R140" s="24" t="n"/>
      <c r="W140">
        <f>IF($A2="","",COUNTIF('07_Pallet_Contents'!$A$2:$A$3000,$A2))</f>
        <v/>
      </c>
      <c r="X140">
        <f>IF($A2="","",SUMIF('07_Pallet_Contents'!$A$2:$A$3000,$A2,'07_Pallet_Contents'!$D$2:$D$3000))</f>
        <v/>
      </c>
      <c r="Y140">
        <f>IF($A2="","",SUMIF('07_Pallet_Contents'!$A$2:$A$3000,$A2,'07_Pallet_Contents'!$I$2:$I$3000))</f>
        <v/>
      </c>
      <c r="Z140">
        <f>IF($A2="","",IF(COUNTIF('07_Pallet_Contents'!$A$2:$A$3000,$A2)&gt;0,"Yes",""))</f>
        <v/>
      </c>
    </row>
    <row r="141" ht="27.75" customHeight="1" s="91">
      <c r="A141" s="4" t="inlineStr">
        <is>
          <t>PAL-0000141</t>
        </is>
      </c>
      <c r="B141" s="4" t="n"/>
      <c r="D141">
        <f>IF($C141="","",IFERROR(LOOKUP(2,1/('03_Warehouse_Movements'!$C$2:$C$500=$A141),'03_Warehouse_Movements'!$E$2:$E$500),$C141))</f>
        <v/>
      </c>
      <c r="E141" t="inlineStr">
        <is>
          <t>STANDARD</t>
        </is>
      </c>
      <c r="G141" s="23" t="n"/>
      <c r="H141" s="3">
        <f>IF(AND($F141="TEMP",$G141&gt;0,$M141&lt;&gt;""),$M141+$G141,"")</f>
        <v/>
      </c>
      <c r="I141" s="3" t="n"/>
      <c r="J141" s="4" t="n"/>
      <c r="K141" s="3" t="n"/>
      <c r="L141" s="4" t="n"/>
      <c r="M141" s="45">
        <f>IF($C141="","",IFERROR(LOOKUP(2,1/('03_Warehouse_Movements'!$C$2:$C$500=$A141),'03_Warehouse_Movements'!$A$2:$A$500),""))</f>
        <v/>
      </c>
      <c r="N141" s="4">
        <f>IF($C141="","",IFERROR(LOOKUP(2,1/('03_Warehouse_Movements'!$C$2:$C$500=$A141),'03_Warehouse_Movements'!$H$2:$H$500),""))</f>
        <v/>
      </c>
      <c r="O141" s="4">
        <f>A141</f>
        <v/>
      </c>
      <c r="Q141" s="25" t="n"/>
      <c r="R141" s="24" t="n"/>
      <c r="W141">
        <f>IF($A2="","",COUNTIF('07_Pallet_Contents'!$A$2:$A$3000,$A2))</f>
        <v/>
      </c>
      <c r="X141">
        <f>IF($A2="","",SUMIF('07_Pallet_Contents'!$A$2:$A$3000,$A2,'07_Pallet_Contents'!$D$2:$D$3000))</f>
        <v/>
      </c>
      <c r="Y141">
        <f>IF($A2="","",SUMIF('07_Pallet_Contents'!$A$2:$A$3000,$A2,'07_Pallet_Contents'!$I$2:$I$3000))</f>
        <v/>
      </c>
      <c r="Z141">
        <f>IF($A2="","",IF(COUNTIF('07_Pallet_Contents'!$A$2:$A$3000,$A2)&gt;0,"Yes",""))</f>
        <v/>
      </c>
    </row>
    <row r="142" ht="27.75" customHeight="1" s="91">
      <c r="A142" s="4" t="inlineStr">
        <is>
          <t>PAL-0000142</t>
        </is>
      </c>
      <c r="B142" s="4" t="n"/>
      <c r="D142">
        <f>IF($C142="","",IFERROR(LOOKUP(2,1/('03_Warehouse_Movements'!$C$2:$C$500=$A142),'03_Warehouse_Movements'!$E$2:$E$500),$C142))</f>
        <v/>
      </c>
      <c r="E142" t="inlineStr">
        <is>
          <t>STANDARD</t>
        </is>
      </c>
      <c r="G142" s="23" t="n"/>
      <c r="H142" s="3">
        <f>IF(AND($F142="TEMP",$G142&gt;0,$M142&lt;&gt;""),$M142+$G142,"")</f>
        <v/>
      </c>
      <c r="I142" s="3" t="n"/>
      <c r="J142" s="4" t="n"/>
      <c r="K142" s="3" t="n"/>
      <c r="L142" s="4" t="n"/>
      <c r="M142" s="45">
        <f>IF($C142="","",IFERROR(LOOKUP(2,1/('03_Warehouse_Movements'!$C$2:$C$500=$A142),'03_Warehouse_Movements'!$A$2:$A$500),""))</f>
        <v/>
      </c>
      <c r="N142" s="4">
        <f>IF($C142="","",IFERROR(LOOKUP(2,1/('03_Warehouse_Movements'!$C$2:$C$500=$A142),'03_Warehouse_Movements'!$H$2:$H$500),""))</f>
        <v/>
      </c>
      <c r="O142" s="4">
        <f>A142</f>
        <v/>
      </c>
      <c r="Q142" s="25" t="n"/>
      <c r="R142" s="24" t="n"/>
      <c r="W142">
        <f>IF($A2="","",COUNTIF('07_Pallet_Contents'!$A$2:$A$3000,$A2))</f>
        <v/>
      </c>
      <c r="X142">
        <f>IF($A2="","",SUMIF('07_Pallet_Contents'!$A$2:$A$3000,$A2,'07_Pallet_Contents'!$D$2:$D$3000))</f>
        <v/>
      </c>
      <c r="Y142">
        <f>IF($A2="","",SUMIF('07_Pallet_Contents'!$A$2:$A$3000,$A2,'07_Pallet_Contents'!$I$2:$I$3000))</f>
        <v/>
      </c>
      <c r="Z142">
        <f>IF($A2="","",IF(COUNTIF('07_Pallet_Contents'!$A$2:$A$3000,$A2)&gt;0,"Yes",""))</f>
        <v/>
      </c>
    </row>
    <row r="143" ht="27.75" customHeight="1" s="91">
      <c r="A143" s="4" t="inlineStr">
        <is>
          <t>PAL-0000143</t>
        </is>
      </c>
      <c r="B143" s="4" t="n"/>
      <c r="D143">
        <f>IF($C143="","",IFERROR(LOOKUP(2,1/('03_Warehouse_Movements'!$C$2:$C$500=$A143),'03_Warehouse_Movements'!$E$2:$E$500),$C143))</f>
        <v/>
      </c>
      <c r="E143" t="inlineStr">
        <is>
          <t>STANDARD</t>
        </is>
      </c>
      <c r="G143" s="23" t="n"/>
      <c r="H143" s="3">
        <f>IF(AND($F143="TEMP",$G143&gt;0,$M143&lt;&gt;""),$M143+$G143,"")</f>
        <v/>
      </c>
      <c r="I143" s="3" t="n"/>
      <c r="J143" s="4" t="n"/>
      <c r="K143" s="3" t="n"/>
      <c r="L143" s="4" t="n"/>
      <c r="M143" s="45">
        <f>IF($C143="","",IFERROR(LOOKUP(2,1/('03_Warehouse_Movements'!$C$2:$C$500=$A143),'03_Warehouse_Movements'!$A$2:$A$500),""))</f>
        <v/>
      </c>
      <c r="N143" s="4">
        <f>IF($C143="","",IFERROR(LOOKUP(2,1/('03_Warehouse_Movements'!$C$2:$C$500=$A143),'03_Warehouse_Movements'!$H$2:$H$500),""))</f>
        <v/>
      </c>
      <c r="O143" s="4">
        <f>A143</f>
        <v/>
      </c>
      <c r="Q143" s="25" t="n"/>
      <c r="R143" s="24" t="n"/>
      <c r="W143">
        <f>IF($A2="","",COUNTIF('07_Pallet_Contents'!$A$2:$A$3000,$A2))</f>
        <v/>
      </c>
      <c r="X143">
        <f>IF($A2="","",SUMIF('07_Pallet_Contents'!$A$2:$A$3000,$A2,'07_Pallet_Contents'!$D$2:$D$3000))</f>
        <v/>
      </c>
      <c r="Y143">
        <f>IF($A2="","",SUMIF('07_Pallet_Contents'!$A$2:$A$3000,$A2,'07_Pallet_Contents'!$I$2:$I$3000))</f>
        <v/>
      </c>
      <c r="Z143">
        <f>IF($A2="","",IF(COUNTIF('07_Pallet_Contents'!$A$2:$A$3000,$A2)&gt;0,"Yes",""))</f>
        <v/>
      </c>
    </row>
    <row r="144" ht="27.75" customHeight="1" s="91">
      <c r="A144" s="4" t="inlineStr">
        <is>
          <t>PAL-0000144</t>
        </is>
      </c>
      <c r="B144" s="4" t="n"/>
      <c r="D144">
        <f>IF($C144="","",IFERROR(LOOKUP(2,1/('03_Warehouse_Movements'!$C$2:$C$500=$A144),'03_Warehouse_Movements'!$E$2:$E$500),$C144))</f>
        <v/>
      </c>
      <c r="E144" t="inlineStr">
        <is>
          <t>STANDARD</t>
        </is>
      </c>
      <c r="G144" s="23" t="n"/>
      <c r="H144" s="3">
        <f>IF(AND($F144="TEMP",$G144&gt;0,$M144&lt;&gt;""),$M144+$G144,"")</f>
        <v/>
      </c>
      <c r="I144" s="3" t="n"/>
      <c r="J144" s="4" t="n"/>
      <c r="K144" s="3" t="n"/>
      <c r="L144" s="4" t="n"/>
      <c r="M144" s="45">
        <f>IF($C144="","",IFERROR(LOOKUP(2,1/('03_Warehouse_Movements'!$C$2:$C$500=$A144),'03_Warehouse_Movements'!$A$2:$A$500),""))</f>
        <v/>
      </c>
      <c r="N144" s="4">
        <f>IF($C144="","",IFERROR(LOOKUP(2,1/('03_Warehouse_Movements'!$C$2:$C$500=$A144),'03_Warehouse_Movements'!$H$2:$H$500),""))</f>
        <v/>
      </c>
      <c r="O144" s="4">
        <f>A144</f>
        <v/>
      </c>
      <c r="Q144" s="25" t="n"/>
      <c r="R144" s="24" t="n"/>
      <c r="W144">
        <f>IF($A2="","",COUNTIF('07_Pallet_Contents'!$A$2:$A$3000,$A2))</f>
        <v/>
      </c>
      <c r="X144">
        <f>IF($A2="","",SUMIF('07_Pallet_Contents'!$A$2:$A$3000,$A2,'07_Pallet_Contents'!$D$2:$D$3000))</f>
        <v/>
      </c>
      <c r="Y144">
        <f>IF($A2="","",SUMIF('07_Pallet_Contents'!$A$2:$A$3000,$A2,'07_Pallet_Contents'!$I$2:$I$3000))</f>
        <v/>
      </c>
      <c r="Z144">
        <f>IF($A2="","",IF(COUNTIF('07_Pallet_Contents'!$A$2:$A$3000,$A2)&gt;0,"Yes",""))</f>
        <v/>
      </c>
    </row>
    <row r="145" ht="27.75" customHeight="1" s="91">
      <c r="A145" s="4" t="inlineStr">
        <is>
          <t>PAL-0000145</t>
        </is>
      </c>
      <c r="B145" s="4" t="n"/>
      <c r="D145">
        <f>IF($C145="","",IFERROR(LOOKUP(2,1/('03_Warehouse_Movements'!$C$2:$C$500=$A145),'03_Warehouse_Movements'!$E$2:$E$500),$C145))</f>
        <v/>
      </c>
      <c r="E145" t="inlineStr">
        <is>
          <t>STANDARD</t>
        </is>
      </c>
      <c r="G145" s="23" t="n"/>
      <c r="H145" s="3">
        <f>IF(AND($F145="TEMP",$G145&gt;0,$M145&lt;&gt;""),$M145+$G145,"")</f>
        <v/>
      </c>
      <c r="I145" s="3" t="n"/>
      <c r="J145" s="4" t="n"/>
      <c r="K145" s="3" t="n"/>
      <c r="L145" s="4" t="n"/>
      <c r="M145" s="45">
        <f>IF($C145="","",IFERROR(LOOKUP(2,1/('03_Warehouse_Movements'!$C$2:$C$500=$A145),'03_Warehouse_Movements'!$A$2:$A$500),""))</f>
        <v/>
      </c>
      <c r="N145" s="4">
        <f>IF($C145="","",IFERROR(LOOKUP(2,1/('03_Warehouse_Movements'!$C$2:$C$500=$A145),'03_Warehouse_Movements'!$H$2:$H$500),""))</f>
        <v/>
      </c>
      <c r="O145" s="4">
        <f>A145</f>
        <v/>
      </c>
      <c r="Q145" s="25" t="n"/>
      <c r="R145" s="24" t="n"/>
      <c r="W145">
        <f>IF($A2="","",COUNTIF('07_Pallet_Contents'!$A$2:$A$3000,$A2))</f>
        <v/>
      </c>
      <c r="X145">
        <f>IF($A2="","",SUMIF('07_Pallet_Contents'!$A$2:$A$3000,$A2,'07_Pallet_Contents'!$D$2:$D$3000))</f>
        <v/>
      </c>
      <c r="Y145">
        <f>IF($A2="","",SUMIF('07_Pallet_Contents'!$A$2:$A$3000,$A2,'07_Pallet_Contents'!$I$2:$I$3000))</f>
        <v/>
      </c>
      <c r="Z145">
        <f>IF($A2="","",IF(COUNTIF('07_Pallet_Contents'!$A$2:$A$3000,$A2)&gt;0,"Yes",""))</f>
        <v/>
      </c>
    </row>
    <row r="146" ht="27.75" customHeight="1" s="91">
      <c r="A146" s="4" t="inlineStr">
        <is>
          <t>PAL-0000146</t>
        </is>
      </c>
      <c r="B146" s="4" t="n"/>
      <c r="D146">
        <f>IF($C146="","",IFERROR(LOOKUP(2,1/('03_Warehouse_Movements'!$C$2:$C$500=$A146),'03_Warehouse_Movements'!$E$2:$E$500),$C146))</f>
        <v/>
      </c>
      <c r="E146" t="inlineStr">
        <is>
          <t>STANDARD</t>
        </is>
      </c>
      <c r="G146" s="23" t="n"/>
      <c r="H146" s="3">
        <f>IF(AND($F146="TEMP",$G146&gt;0,$M146&lt;&gt;""),$M146+$G146,"")</f>
        <v/>
      </c>
      <c r="I146" s="3" t="n"/>
      <c r="J146" s="4" t="n"/>
      <c r="K146" s="3" t="n"/>
      <c r="L146" s="4" t="n"/>
      <c r="M146" s="45">
        <f>IF($C146="","",IFERROR(LOOKUP(2,1/('03_Warehouse_Movements'!$C$2:$C$500=$A146),'03_Warehouse_Movements'!$A$2:$A$500),""))</f>
        <v/>
      </c>
      <c r="N146" s="4">
        <f>IF($C146="","",IFERROR(LOOKUP(2,1/('03_Warehouse_Movements'!$C$2:$C$500=$A146),'03_Warehouse_Movements'!$H$2:$H$500),""))</f>
        <v/>
      </c>
      <c r="O146" s="4">
        <f>A146</f>
        <v/>
      </c>
      <c r="Q146" s="25" t="n"/>
      <c r="R146" s="24" t="n"/>
      <c r="W146">
        <f>IF($A2="","",COUNTIF('07_Pallet_Contents'!$A$2:$A$3000,$A2))</f>
        <v/>
      </c>
      <c r="X146">
        <f>IF($A2="","",SUMIF('07_Pallet_Contents'!$A$2:$A$3000,$A2,'07_Pallet_Contents'!$D$2:$D$3000))</f>
        <v/>
      </c>
      <c r="Y146">
        <f>IF($A2="","",SUMIF('07_Pallet_Contents'!$A$2:$A$3000,$A2,'07_Pallet_Contents'!$I$2:$I$3000))</f>
        <v/>
      </c>
      <c r="Z146">
        <f>IF($A2="","",IF(COUNTIF('07_Pallet_Contents'!$A$2:$A$3000,$A2)&gt;0,"Yes",""))</f>
        <v/>
      </c>
    </row>
    <row r="147" ht="27.75" customHeight="1" s="91">
      <c r="A147" s="4" t="inlineStr">
        <is>
          <t>PAL-0000147</t>
        </is>
      </c>
      <c r="B147" s="4" t="n"/>
      <c r="D147">
        <f>IF($C147="","",IFERROR(LOOKUP(2,1/('03_Warehouse_Movements'!$C$2:$C$500=$A147),'03_Warehouse_Movements'!$E$2:$E$500),$C147))</f>
        <v/>
      </c>
      <c r="E147" t="inlineStr">
        <is>
          <t>STANDARD</t>
        </is>
      </c>
      <c r="G147" s="23" t="n"/>
      <c r="H147" s="3">
        <f>IF(AND($F147="TEMP",$G147&gt;0,$M147&lt;&gt;""),$M147+$G147,"")</f>
        <v/>
      </c>
      <c r="I147" s="3" t="n"/>
      <c r="J147" s="4" t="n"/>
      <c r="K147" s="3" t="n"/>
      <c r="L147" s="4" t="n"/>
      <c r="M147" s="45">
        <f>IF($C147="","",IFERROR(LOOKUP(2,1/('03_Warehouse_Movements'!$C$2:$C$500=$A147),'03_Warehouse_Movements'!$A$2:$A$500),""))</f>
        <v/>
      </c>
      <c r="N147" s="4">
        <f>IF($C147="","",IFERROR(LOOKUP(2,1/('03_Warehouse_Movements'!$C$2:$C$500=$A147),'03_Warehouse_Movements'!$H$2:$H$500),""))</f>
        <v/>
      </c>
      <c r="O147" s="4">
        <f>A147</f>
        <v/>
      </c>
      <c r="Q147" s="25" t="n"/>
      <c r="R147" s="24" t="n"/>
      <c r="W147">
        <f>IF($A2="","",COUNTIF('07_Pallet_Contents'!$A$2:$A$3000,$A2))</f>
        <v/>
      </c>
      <c r="X147">
        <f>IF($A2="","",SUMIF('07_Pallet_Contents'!$A$2:$A$3000,$A2,'07_Pallet_Contents'!$D$2:$D$3000))</f>
        <v/>
      </c>
      <c r="Y147">
        <f>IF($A2="","",SUMIF('07_Pallet_Contents'!$A$2:$A$3000,$A2,'07_Pallet_Contents'!$I$2:$I$3000))</f>
        <v/>
      </c>
      <c r="Z147">
        <f>IF($A2="","",IF(COUNTIF('07_Pallet_Contents'!$A$2:$A$3000,$A2)&gt;0,"Yes",""))</f>
        <v/>
      </c>
    </row>
    <row r="148" ht="27.75" customHeight="1" s="91">
      <c r="A148" s="4" t="inlineStr">
        <is>
          <t>PAL-0000148</t>
        </is>
      </c>
      <c r="B148" s="4" t="n"/>
      <c r="D148">
        <f>IF($C148="","",IFERROR(LOOKUP(2,1/('03_Warehouse_Movements'!$C$2:$C$500=$A148),'03_Warehouse_Movements'!$E$2:$E$500),$C148))</f>
        <v/>
      </c>
      <c r="E148" t="inlineStr">
        <is>
          <t>STANDARD</t>
        </is>
      </c>
      <c r="G148" s="23" t="n"/>
      <c r="H148" s="3">
        <f>IF(AND($F148="TEMP",$G148&gt;0,$M148&lt;&gt;""),$M148+$G148,"")</f>
        <v/>
      </c>
      <c r="I148" s="3" t="n"/>
      <c r="J148" s="4" t="n"/>
      <c r="K148" s="3" t="n"/>
      <c r="L148" s="4" t="n"/>
      <c r="M148" s="45">
        <f>IF($C148="","",IFERROR(LOOKUP(2,1/('03_Warehouse_Movements'!$C$2:$C$500=$A148),'03_Warehouse_Movements'!$A$2:$A$500),""))</f>
        <v/>
      </c>
      <c r="N148" s="4">
        <f>IF($C148="","",IFERROR(LOOKUP(2,1/('03_Warehouse_Movements'!$C$2:$C$500=$A148),'03_Warehouse_Movements'!$H$2:$H$500),""))</f>
        <v/>
      </c>
      <c r="O148" s="4">
        <f>A148</f>
        <v/>
      </c>
      <c r="Q148" s="25" t="n"/>
      <c r="R148" s="24" t="n"/>
      <c r="W148">
        <f>IF($A2="","",COUNTIF('07_Pallet_Contents'!$A$2:$A$3000,$A2))</f>
        <v/>
      </c>
      <c r="X148">
        <f>IF($A2="","",SUMIF('07_Pallet_Contents'!$A$2:$A$3000,$A2,'07_Pallet_Contents'!$D$2:$D$3000))</f>
        <v/>
      </c>
      <c r="Y148">
        <f>IF($A2="","",SUMIF('07_Pallet_Contents'!$A$2:$A$3000,$A2,'07_Pallet_Contents'!$I$2:$I$3000))</f>
        <v/>
      </c>
      <c r="Z148">
        <f>IF($A2="","",IF(COUNTIF('07_Pallet_Contents'!$A$2:$A$3000,$A2)&gt;0,"Yes",""))</f>
        <v/>
      </c>
    </row>
    <row r="149" ht="27.75" customHeight="1" s="91">
      <c r="A149" s="4" t="inlineStr">
        <is>
          <t>PAL-0000149</t>
        </is>
      </c>
      <c r="B149" s="4" t="n"/>
      <c r="D149">
        <f>IF($C149="","",IFERROR(LOOKUP(2,1/('03_Warehouse_Movements'!$C$2:$C$500=$A149),'03_Warehouse_Movements'!$E$2:$E$500),$C149))</f>
        <v/>
      </c>
      <c r="E149" t="inlineStr">
        <is>
          <t>STANDARD</t>
        </is>
      </c>
      <c r="G149" s="23" t="n"/>
      <c r="H149" s="3">
        <f>IF(AND($F149="TEMP",$G149&gt;0,$M149&lt;&gt;""),$M149+$G149,"")</f>
        <v/>
      </c>
      <c r="I149" s="3" t="n"/>
      <c r="J149" s="4" t="n"/>
      <c r="K149" s="3" t="n"/>
      <c r="L149" s="4" t="n"/>
      <c r="M149" s="45">
        <f>IF($C149="","",IFERROR(LOOKUP(2,1/('03_Warehouse_Movements'!$C$2:$C$500=$A149),'03_Warehouse_Movements'!$A$2:$A$500),""))</f>
        <v/>
      </c>
      <c r="N149" s="4">
        <f>IF($C149="","",IFERROR(LOOKUP(2,1/('03_Warehouse_Movements'!$C$2:$C$500=$A149),'03_Warehouse_Movements'!$H$2:$H$500),""))</f>
        <v/>
      </c>
      <c r="O149" s="4">
        <f>A149</f>
        <v/>
      </c>
      <c r="Q149" s="25" t="n"/>
      <c r="R149" s="24" t="n"/>
      <c r="W149">
        <f>IF($A2="","",COUNTIF('07_Pallet_Contents'!$A$2:$A$3000,$A2))</f>
        <v/>
      </c>
      <c r="X149">
        <f>IF($A2="","",SUMIF('07_Pallet_Contents'!$A$2:$A$3000,$A2,'07_Pallet_Contents'!$D$2:$D$3000))</f>
        <v/>
      </c>
      <c r="Y149">
        <f>IF($A2="","",SUMIF('07_Pallet_Contents'!$A$2:$A$3000,$A2,'07_Pallet_Contents'!$I$2:$I$3000))</f>
        <v/>
      </c>
      <c r="Z149">
        <f>IF($A2="","",IF(COUNTIF('07_Pallet_Contents'!$A$2:$A$3000,$A2)&gt;0,"Yes",""))</f>
        <v/>
      </c>
    </row>
    <row r="150" ht="27.75" customHeight="1" s="91">
      <c r="A150" s="4" t="inlineStr">
        <is>
          <t>PAL-0000150</t>
        </is>
      </c>
      <c r="B150" s="4" t="n"/>
      <c r="D150">
        <f>IF($C150="","",IFERROR(LOOKUP(2,1/('03_Warehouse_Movements'!$C$2:$C$500=$A150),'03_Warehouse_Movements'!$E$2:$E$500),$C150))</f>
        <v/>
      </c>
      <c r="E150" t="inlineStr">
        <is>
          <t>STANDARD</t>
        </is>
      </c>
      <c r="G150" s="23" t="n"/>
      <c r="H150" s="3">
        <f>IF(AND($F150="TEMP",$G150&gt;0,$M150&lt;&gt;""),$M150+$G150,"")</f>
        <v/>
      </c>
      <c r="I150" s="3" t="n"/>
      <c r="J150" s="4" t="n"/>
      <c r="K150" s="3" t="n"/>
      <c r="L150" s="4" t="n"/>
      <c r="M150" s="45">
        <f>IF($C150="","",IFERROR(LOOKUP(2,1/('03_Warehouse_Movements'!$C$2:$C$500=$A150),'03_Warehouse_Movements'!$A$2:$A$500),""))</f>
        <v/>
      </c>
      <c r="N150" s="4">
        <f>IF($C150="","",IFERROR(LOOKUP(2,1/('03_Warehouse_Movements'!$C$2:$C$500=$A150),'03_Warehouse_Movements'!$H$2:$H$500),""))</f>
        <v/>
      </c>
      <c r="O150" s="4">
        <f>A150</f>
        <v/>
      </c>
      <c r="Q150" s="25" t="n"/>
      <c r="R150" s="24" t="n"/>
      <c r="W150">
        <f>IF($A2="","",COUNTIF('07_Pallet_Contents'!$A$2:$A$3000,$A2))</f>
        <v/>
      </c>
      <c r="X150">
        <f>IF($A2="","",SUMIF('07_Pallet_Contents'!$A$2:$A$3000,$A2,'07_Pallet_Contents'!$D$2:$D$3000))</f>
        <v/>
      </c>
      <c r="Y150">
        <f>IF($A2="","",SUMIF('07_Pallet_Contents'!$A$2:$A$3000,$A2,'07_Pallet_Contents'!$I$2:$I$3000))</f>
        <v/>
      </c>
      <c r="Z150">
        <f>IF($A2="","",IF(COUNTIF('07_Pallet_Contents'!$A$2:$A$3000,$A2)&gt;0,"Yes",""))</f>
        <v/>
      </c>
    </row>
    <row r="151" ht="27.75" customHeight="1" s="91">
      <c r="A151" s="4" t="inlineStr">
        <is>
          <t>PAL-0000151</t>
        </is>
      </c>
      <c r="B151" s="4" t="n"/>
      <c r="D151">
        <f>IF($C151="","",IFERROR(LOOKUP(2,1/('03_Warehouse_Movements'!$C$2:$C$500=$A151),'03_Warehouse_Movements'!$E$2:$E$500),$C151))</f>
        <v/>
      </c>
      <c r="E151" t="inlineStr">
        <is>
          <t>STANDARD</t>
        </is>
      </c>
      <c r="G151" s="23" t="n"/>
      <c r="H151" s="3">
        <f>IF(AND($F151="TEMP",$G151&gt;0,$M151&lt;&gt;""),$M151+$G151,"")</f>
        <v/>
      </c>
      <c r="I151" s="3" t="n"/>
      <c r="J151" s="4" t="n"/>
      <c r="K151" s="3" t="n"/>
      <c r="L151" s="4" t="n"/>
      <c r="M151" s="45">
        <f>IF($C151="","",IFERROR(LOOKUP(2,1/('03_Warehouse_Movements'!$C$2:$C$500=$A151),'03_Warehouse_Movements'!$A$2:$A$500),""))</f>
        <v/>
      </c>
      <c r="N151" s="4">
        <f>IF($C151="","",IFERROR(LOOKUP(2,1/('03_Warehouse_Movements'!$C$2:$C$500=$A151),'03_Warehouse_Movements'!$H$2:$H$500),""))</f>
        <v/>
      </c>
      <c r="O151" s="4">
        <f>A151</f>
        <v/>
      </c>
      <c r="Q151" s="25" t="n"/>
      <c r="R151" s="24" t="n"/>
      <c r="W151">
        <f>IF($A2="","",COUNTIF('07_Pallet_Contents'!$A$2:$A$3000,$A2))</f>
        <v/>
      </c>
      <c r="X151">
        <f>IF($A2="","",SUMIF('07_Pallet_Contents'!$A$2:$A$3000,$A2,'07_Pallet_Contents'!$D$2:$D$3000))</f>
        <v/>
      </c>
      <c r="Y151">
        <f>IF($A2="","",SUMIF('07_Pallet_Contents'!$A$2:$A$3000,$A2,'07_Pallet_Contents'!$I$2:$I$3000))</f>
        <v/>
      </c>
      <c r="Z151">
        <f>IF($A2="","",IF(COUNTIF('07_Pallet_Contents'!$A$2:$A$3000,$A2)&gt;0,"Yes",""))</f>
        <v/>
      </c>
    </row>
    <row r="152" ht="27.75" customHeight="1" s="91">
      <c r="A152" s="4" t="inlineStr">
        <is>
          <t>PAL-0000152</t>
        </is>
      </c>
      <c r="B152" s="4" t="n"/>
      <c r="D152">
        <f>IF($C152="","",IFERROR(LOOKUP(2,1/('03_Warehouse_Movements'!$C$2:$C$500=$A152),'03_Warehouse_Movements'!$E$2:$E$500),$C152))</f>
        <v/>
      </c>
      <c r="E152" t="inlineStr">
        <is>
          <t>STANDARD</t>
        </is>
      </c>
      <c r="G152" s="23" t="n"/>
      <c r="H152" s="3">
        <f>IF(AND($F152="TEMP",$G152&gt;0,$M152&lt;&gt;""),$M152+$G152,"")</f>
        <v/>
      </c>
      <c r="I152" s="3" t="n"/>
      <c r="J152" s="4" t="n"/>
      <c r="K152" s="3" t="n"/>
      <c r="L152" s="4" t="n"/>
      <c r="M152" s="45">
        <f>IF($C152="","",IFERROR(LOOKUP(2,1/('03_Warehouse_Movements'!$C$2:$C$500=$A152),'03_Warehouse_Movements'!$A$2:$A$500),""))</f>
        <v/>
      </c>
      <c r="N152" s="4">
        <f>IF($C152="","",IFERROR(LOOKUP(2,1/('03_Warehouse_Movements'!$C$2:$C$500=$A152),'03_Warehouse_Movements'!$H$2:$H$500),""))</f>
        <v/>
      </c>
      <c r="O152" s="4">
        <f>A152</f>
        <v/>
      </c>
      <c r="Q152" s="25" t="n"/>
      <c r="R152" s="24" t="n"/>
      <c r="W152">
        <f>IF($A2="","",COUNTIF('07_Pallet_Contents'!$A$2:$A$3000,$A2))</f>
        <v/>
      </c>
      <c r="X152">
        <f>IF($A2="","",SUMIF('07_Pallet_Contents'!$A$2:$A$3000,$A2,'07_Pallet_Contents'!$D$2:$D$3000))</f>
        <v/>
      </c>
      <c r="Y152">
        <f>IF($A2="","",SUMIF('07_Pallet_Contents'!$A$2:$A$3000,$A2,'07_Pallet_Contents'!$I$2:$I$3000))</f>
        <v/>
      </c>
      <c r="Z152">
        <f>IF($A2="","",IF(COUNTIF('07_Pallet_Contents'!$A$2:$A$3000,$A2)&gt;0,"Yes",""))</f>
        <v/>
      </c>
    </row>
    <row r="153" ht="27.75" customHeight="1" s="91">
      <c r="A153" s="4" t="inlineStr">
        <is>
          <t>PAL-0000153</t>
        </is>
      </c>
      <c r="B153" s="4" t="n"/>
      <c r="D153">
        <f>IF($C153="","",IFERROR(LOOKUP(2,1/('03_Warehouse_Movements'!$C$2:$C$500=$A153),'03_Warehouse_Movements'!$E$2:$E$500),$C153))</f>
        <v/>
      </c>
      <c r="E153" t="inlineStr">
        <is>
          <t>STANDARD</t>
        </is>
      </c>
      <c r="G153" s="23" t="n"/>
      <c r="H153" s="3">
        <f>IF(AND($F153="TEMP",$G153&gt;0,$M153&lt;&gt;""),$M153+$G153,"")</f>
        <v/>
      </c>
      <c r="I153" s="3" t="n"/>
      <c r="J153" s="4" t="n"/>
      <c r="K153" s="3" t="n"/>
      <c r="L153" s="4" t="n"/>
      <c r="M153" s="45">
        <f>IF($C153="","",IFERROR(LOOKUP(2,1/('03_Warehouse_Movements'!$C$2:$C$500=$A153),'03_Warehouse_Movements'!$A$2:$A$500),""))</f>
        <v/>
      </c>
      <c r="N153" s="4">
        <f>IF($C153="","",IFERROR(LOOKUP(2,1/('03_Warehouse_Movements'!$C$2:$C$500=$A153),'03_Warehouse_Movements'!$H$2:$H$500),""))</f>
        <v/>
      </c>
      <c r="O153" s="4">
        <f>A153</f>
        <v/>
      </c>
      <c r="Q153" s="25" t="n"/>
      <c r="R153" s="24" t="n"/>
      <c r="W153">
        <f>IF($A2="","",COUNTIF('07_Pallet_Contents'!$A$2:$A$3000,$A2))</f>
        <v/>
      </c>
      <c r="X153">
        <f>IF($A2="","",SUMIF('07_Pallet_Contents'!$A$2:$A$3000,$A2,'07_Pallet_Contents'!$D$2:$D$3000))</f>
        <v/>
      </c>
      <c r="Y153">
        <f>IF($A2="","",SUMIF('07_Pallet_Contents'!$A$2:$A$3000,$A2,'07_Pallet_Contents'!$I$2:$I$3000))</f>
        <v/>
      </c>
      <c r="Z153">
        <f>IF($A2="","",IF(COUNTIF('07_Pallet_Contents'!$A$2:$A$3000,$A2)&gt;0,"Yes",""))</f>
        <v/>
      </c>
    </row>
    <row r="154" ht="27.75" customHeight="1" s="91">
      <c r="A154" s="4" t="inlineStr">
        <is>
          <t>PAL-0000154</t>
        </is>
      </c>
      <c r="B154" s="4" t="n"/>
      <c r="D154">
        <f>IF($C154="","",IFERROR(LOOKUP(2,1/('03_Warehouse_Movements'!$C$2:$C$500=$A154),'03_Warehouse_Movements'!$E$2:$E$500),$C154))</f>
        <v/>
      </c>
      <c r="E154" t="inlineStr">
        <is>
          <t>STANDARD</t>
        </is>
      </c>
      <c r="G154" s="23" t="n"/>
      <c r="H154" s="3">
        <f>IF(AND($F154="TEMP",$G154&gt;0,$M154&lt;&gt;""),$M154+$G154,"")</f>
        <v/>
      </c>
      <c r="I154" s="3" t="n"/>
      <c r="J154" s="4" t="n"/>
      <c r="K154" s="3" t="n"/>
      <c r="L154" s="4" t="n"/>
      <c r="M154" s="45">
        <f>IF($C154="","",IFERROR(LOOKUP(2,1/('03_Warehouse_Movements'!$C$2:$C$500=$A154),'03_Warehouse_Movements'!$A$2:$A$500),""))</f>
        <v/>
      </c>
      <c r="N154" s="4">
        <f>IF($C154="","",IFERROR(LOOKUP(2,1/('03_Warehouse_Movements'!$C$2:$C$500=$A154),'03_Warehouse_Movements'!$H$2:$H$500),""))</f>
        <v/>
      </c>
      <c r="O154" s="4">
        <f>A154</f>
        <v/>
      </c>
      <c r="Q154" s="25" t="n"/>
      <c r="R154" s="24" t="n"/>
      <c r="W154">
        <f>IF($A2="","",COUNTIF('07_Pallet_Contents'!$A$2:$A$3000,$A2))</f>
        <v/>
      </c>
      <c r="X154">
        <f>IF($A2="","",SUMIF('07_Pallet_Contents'!$A$2:$A$3000,$A2,'07_Pallet_Contents'!$D$2:$D$3000))</f>
        <v/>
      </c>
      <c r="Y154">
        <f>IF($A2="","",SUMIF('07_Pallet_Contents'!$A$2:$A$3000,$A2,'07_Pallet_Contents'!$I$2:$I$3000))</f>
        <v/>
      </c>
      <c r="Z154">
        <f>IF($A2="","",IF(COUNTIF('07_Pallet_Contents'!$A$2:$A$3000,$A2)&gt;0,"Yes",""))</f>
        <v/>
      </c>
    </row>
    <row r="155" ht="27.75" customHeight="1" s="91">
      <c r="A155" s="4" t="inlineStr">
        <is>
          <t>PAL-0000155</t>
        </is>
      </c>
      <c r="B155" s="4" t="n"/>
      <c r="D155">
        <f>IF($C155="","",IFERROR(LOOKUP(2,1/('03_Warehouse_Movements'!$C$2:$C$500=$A155),'03_Warehouse_Movements'!$E$2:$E$500),$C155))</f>
        <v/>
      </c>
      <c r="E155" t="inlineStr">
        <is>
          <t>STANDARD</t>
        </is>
      </c>
      <c r="G155" s="23" t="n"/>
      <c r="H155" s="3">
        <f>IF(AND($F155="TEMP",$G155&gt;0,$M155&lt;&gt;""),$M155+$G155,"")</f>
        <v/>
      </c>
      <c r="I155" s="3" t="n"/>
      <c r="J155" s="4" t="n"/>
      <c r="K155" s="3" t="n"/>
      <c r="L155" s="4" t="n"/>
      <c r="M155" s="45">
        <f>IF($C155="","",IFERROR(LOOKUP(2,1/('03_Warehouse_Movements'!$C$2:$C$500=$A155),'03_Warehouse_Movements'!$A$2:$A$500),""))</f>
        <v/>
      </c>
      <c r="N155" s="4">
        <f>IF($C155="","",IFERROR(LOOKUP(2,1/('03_Warehouse_Movements'!$C$2:$C$500=$A155),'03_Warehouse_Movements'!$H$2:$H$500),""))</f>
        <v/>
      </c>
      <c r="O155" s="4">
        <f>A155</f>
        <v/>
      </c>
      <c r="Q155" s="25" t="n"/>
      <c r="R155" s="24" t="n"/>
      <c r="W155">
        <f>IF($A2="","",COUNTIF('07_Pallet_Contents'!$A$2:$A$3000,$A2))</f>
        <v/>
      </c>
      <c r="X155">
        <f>IF($A2="","",SUMIF('07_Pallet_Contents'!$A$2:$A$3000,$A2,'07_Pallet_Contents'!$D$2:$D$3000))</f>
        <v/>
      </c>
      <c r="Y155">
        <f>IF($A2="","",SUMIF('07_Pallet_Contents'!$A$2:$A$3000,$A2,'07_Pallet_Contents'!$I$2:$I$3000))</f>
        <v/>
      </c>
      <c r="Z155">
        <f>IF($A2="","",IF(COUNTIF('07_Pallet_Contents'!$A$2:$A$3000,$A2)&gt;0,"Yes",""))</f>
        <v/>
      </c>
    </row>
    <row r="156" ht="27.75" customHeight="1" s="91">
      <c r="A156" s="4" t="inlineStr">
        <is>
          <t>PAL-0000156</t>
        </is>
      </c>
      <c r="B156" s="4" t="n"/>
      <c r="D156">
        <f>IF($C156="","",IFERROR(LOOKUP(2,1/('03_Warehouse_Movements'!$C$2:$C$500=$A156),'03_Warehouse_Movements'!$E$2:$E$500),$C156))</f>
        <v/>
      </c>
      <c r="E156" t="inlineStr">
        <is>
          <t>STANDARD</t>
        </is>
      </c>
      <c r="G156" s="23" t="n"/>
      <c r="H156" s="3">
        <f>IF(AND($F156="TEMP",$G156&gt;0,$M156&lt;&gt;""),$M156+$G156,"")</f>
        <v/>
      </c>
      <c r="I156" s="3" t="n"/>
      <c r="J156" s="4" t="n"/>
      <c r="K156" s="3" t="n"/>
      <c r="L156" s="4" t="n"/>
      <c r="M156" s="45">
        <f>IF($C156="","",IFERROR(LOOKUP(2,1/('03_Warehouse_Movements'!$C$2:$C$500=$A156),'03_Warehouse_Movements'!$A$2:$A$500),""))</f>
        <v/>
      </c>
      <c r="N156" s="4">
        <f>IF($C156="","",IFERROR(LOOKUP(2,1/('03_Warehouse_Movements'!$C$2:$C$500=$A156),'03_Warehouse_Movements'!$H$2:$H$500),""))</f>
        <v/>
      </c>
      <c r="O156" s="4">
        <f>A156</f>
        <v/>
      </c>
      <c r="Q156" s="25" t="n"/>
      <c r="R156" s="24" t="n"/>
      <c r="W156">
        <f>IF($A2="","",COUNTIF('07_Pallet_Contents'!$A$2:$A$3000,$A2))</f>
        <v/>
      </c>
      <c r="X156">
        <f>IF($A2="","",SUMIF('07_Pallet_Contents'!$A$2:$A$3000,$A2,'07_Pallet_Contents'!$D$2:$D$3000))</f>
        <v/>
      </c>
      <c r="Y156">
        <f>IF($A2="","",SUMIF('07_Pallet_Contents'!$A$2:$A$3000,$A2,'07_Pallet_Contents'!$I$2:$I$3000))</f>
        <v/>
      </c>
      <c r="Z156">
        <f>IF($A2="","",IF(COUNTIF('07_Pallet_Contents'!$A$2:$A$3000,$A2)&gt;0,"Yes",""))</f>
        <v/>
      </c>
    </row>
    <row r="157" ht="27.75" customHeight="1" s="91">
      <c r="A157" s="4" t="inlineStr">
        <is>
          <t>PAL-0000157</t>
        </is>
      </c>
      <c r="B157" s="4" t="n"/>
      <c r="D157">
        <f>IF($C157="","",IFERROR(LOOKUP(2,1/('03_Warehouse_Movements'!$C$2:$C$500=$A157),'03_Warehouse_Movements'!$E$2:$E$500),$C157))</f>
        <v/>
      </c>
      <c r="E157" t="inlineStr">
        <is>
          <t>STANDARD</t>
        </is>
      </c>
      <c r="G157" s="23" t="n"/>
      <c r="H157" s="3">
        <f>IF(AND($F157="TEMP",$G157&gt;0,$M157&lt;&gt;""),$M157+$G157,"")</f>
        <v/>
      </c>
      <c r="I157" s="3" t="n"/>
      <c r="J157" s="4" t="n"/>
      <c r="K157" s="3" t="n"/>
      <c r="L157" s="4" t="n"/>
      <c r="M157" s="45">
        <f>IF($C157="","",IFERROR(LOOKUP(2,1/('03_Warehouse_Movements'!$C$2:$C$500=$A157),'03_Warehouse_Movements'!$A$2:$A$500),""))</f>
        <v/>
      </c>
      <c r="N157" s="4">
        <f>IF($C157="","",IFERROR(LOOKUP(2,1/('03_Warehouse_Movements'!$C$2:$C$500=$A157),'03_Warehouse_Movements'!$H$2:$H$500),""))</f>
        <v/>
      </c>
      <c r="O157" s="4">
        <f>A157</f>
        <v/>
      </c>
      <c r="Q157" s="25" t="n"/>
      <c r="R157" s="24" t="n"/>
      <c r="W157">
        <f>IF($A2="","",COUNTIF('07_Pallet_Contents'!$A$2:$A$3000,$A2))</f>
        <v/>
      </c>
      <c r="X157">
        <f>IF($A2="","",SUMIF('07_Pallet_Contents'!$A$2:$A$3000,$A2,'07_Pallet_Contents'!$D$2:$D$3000))</f>
        <v/>
      </c>
      <c r="Y157">
        <f>IF($A2="","",SUMIF('07_Pallet_Contents'!$A$2:$A$3000,$A2,'07_Pallet_Contents'!$I$2:$I$3000))</f>
        <v/>
      </c>
      <c r="Z157">
        <f>IF($A2="","",IF(COUNTIF('07_Pallet_Contents'!$A$2:$A$3000,$A2)&gt;0,"Yes",""))</f>
        <v/>
      </c>
    </row>
    <row r="158" ht="27.75" customHeight="1" s="91">
      <c r="A158" s="4" t="inlineStr">
        <is>
          <t>PAL-0000158</t>
        </is>
      </c>
      <c r="B158" s="4" t="n"/>
      <c r="D158">
        <f>IF($C158="","",IFERROR(LOOKUP(2,1/('03_Warehouse_Movements'!$C$2:$C$500=$A158),'03_Warehouse_Movements'!$E$2:$E$500),$C158))</f>
        <v/>
      </c>
      <c r="E158" t="inlineStr">
        <is>
          <t>STANDARD</t>
        </is>
      </c>
      <c r="G158" s="23" t="n"/>
      <c r="H158" s="3">
        <f>IF(AND($F158="TEMP",$G158&gt;0,$M158&lt;&gt;""),$M158+$G158,"")</f>
        <v/>
      </c>
      <c r="I158" s="3" t="n"/>
      <c r="J158" s="4" t="n"/>
      <c r="K158" s="3" t="n"/>
      <c r="L158" s="4" t="n"/>
      <c r="M158" s="45">
        <f>IF($C158="","",IFERROR(LOOKUP(2,1/('03_Warehouse_Movements'!$C$2:$C$500=$A158),'03_Warehouse_Movements'!$A$2:$A$500),""))</f>
        <v/>
      </c>
      <c r="N158" s="4">
        <f>IF($C158="","",IFERROR(LOOKUP(2,1/('03_Warehouse_Movements'!$C$2:$C$500=$A158),'03_Warehouse_Movements'!$H$2:$H$500),""))</f>
        <v/>
      </c>
      <c r="O158" s="4">
        <f>A158</f>
        <v/>
      </c>
      <c r="Q158" s="25" t="n"/>
      <c r="R158" s="24" t="n"/>
      <c r="W158">
        <f>IF($A2="","",COUNTIF('07_Pallet_Contents'!$A$2:$A$3000,$A2))</f>
        <v/>
      </c>
      <c r="X158">
        <f>IF($A2="","",SUMIF('07_Pallet_Contents'!$A$2:$A$3000,$A2,'07_Pallet_Contents'!$D$2:$D$3000))</f>
        <v/>
      </c>
      <c r="Y158">
        <f>IF($A2="","",SUMIF('07_Pallet_Contents'!$A$2:$A$3000,$A2,'07_Pallet_Contents'!$I$2:$I$3000))</f>
        <v/>
      </c>
      <c r="Z158">
        <f>IF($A2="","",IF(COUNTIF('07_Pallet_Contents'!$A$2:$A$3000,$A2)&gt;0,"Yes",""))</f>
        <v/>
      </c>
    </row>
    <row r="159" ht="27.75" customHeight="1" s="91">
      <c r="A159" s="4" t="inlineStr">
        <is>
          <t>PAL-0000159</t>
        </is>
      </c>
      <c r="B159" s="4" t="n"/>
      <c r="D159">
        <f>IF($C159="","",IFERROR(LOOKUP(2,1/('03_Warehouse_Movements'!$C$2:$C$500=$A159),'03_Warehouse_Movements'!$E$2:$E$500),$C159))</f>
        <v/>
      </c>
      <c r="E159" t="inlineStr">
        <is>
          <t>STANDARD</t>
        </is>
      </c>
      <c r="G159" s="23" t="n"/>
      <c r="H159" s="3">
        <f>IF(AND($F159="TEMP",$G159&gt;0,$M159&lt;&gt;""),$M159+$G159,"")</f>
        <v/>
      </c>
      <c r="I159" s="3" t="n"/>
      <c r="J159" s="4" t="n"/>
      <c r="K159" s="3" t="n"/>
      <c r="L159" s="4" t="n"/>
      <c r="M159" s="45">
        <f>IF($C159="","",IFERROR(LOOKUP(2,1/('03_Warehouse_Movements'!$C$2:$C$500=$A159),'03_Warehouse_Movements'!$A$2:$A$500),""))</f>
        <v/>
      </c>
      <c r="N159" s="4">
        <f>IF($C159="","",IFERROR(LOOKUP(2,1/('03_Warehouse_Movements'!$C$2:$C$500=$A159),'03_Warehouse_Movements'!$H$2:$H$500),""))</f>
        <v/>
      </c>
      <c r="O159" s="4">
        <f>A159</f>
        <v/>
      </c>
      <c r="Q159" s="25" t="n"/>
      <c r="R159" s="24" t="n"/>
      <c r="W159">
        <f>IF($A2="","",COUNTIF('07_Pallet_Contents'!$A$2:$A$3000,$A2))</f>
        <v/>
      </c>
      <c r="X159">
        <f>IF($A2="","",SUMIF('07_Pallet_Contents'!$A$2:$A$3000,$A2,'07_Pallet_Contents'!$D$2:$D$3000))</f>
        <v/>
      </c>
      <c r="Y159">
        <f>IF($A2="","",SUMIF('07_Pallet_Contents'!$A$2:$A$3000,$A2,'07_Pallet_Contents'!$I$2:$I$3000))</f>
        <v/>
      </c>
      <c r="Z159">
        <f>IF($A2="","",IF(COUNTIF('07_Pallet_Contents'!$A$2:$A$3000,$A2)&gt;0,"Yes",""))</f>
        <v/>
      </c>
    </row>
    <row r="160" ht="27.75" customHeight="1" s="91">
      <c r="A160" s="4" t="inlineStr">
        <is>
          <t>PAL-0000160</t>
        </is>
      </c>
      <c r="B160" s="4" t="n"/>
      <c r="D160">
        <f>IF($C160="","",IFERROR(LOOKUP(2,1/('03_Warehouse_Movements'!$C$2:$C$500=$A160),'03_Warehouse_Movements'!$E$2:$E$500),$C160))</f>
        <v/>
      </c>
      <c r="E160" t="inlineStr">
        <is>
          <t>STANDARD</t>
        </is>
      </c>
      <c r="G160" s="23" t="n"/>
      <c r="H160" s="3">
        <f>IF(AND($F160="TEMP",$G160&gt;0,$M160&lt;&gt;""),$M160+$G160,"")</f>
        <v/>
      </c>
      <c r="I160" s="3" t="n"/>
      <c r="J160" s="4" t="n"/>
      <c r="K160" s="3" t="n"/>
      <c r="L160" s="4" t="n"/>
      <c r="M160" s="45">
        <f>IF($C160="","",IFERROR(LOOKUP(2,1/('03_Warehouse_Movements'!$C$2:$C$500=$A160),'03_Warehouse_Movements'!$A$2:$A$500),""))</f>
        <v/>
      </c>
      <c r="N160" s="4">
        <f>IF($C160="","",IFERROR(LOOKUP(2,1/('03_Warehouse_Movements'!$C$2:$C$500=$A160),'03_Warehouse_Movements'!$H$2:$H$500),""))</f>
        <v/>
      </c>
      <c r="O160" s="4">
        <f>A160</f>
        <v/>
      </c>
      <c r="Q160" s="25" t="n"/>
      <c r="R160" s="24" t="n"/>
      <c r="W160">
        <f>IF($A2="","",COUNTIF('07_Pallet_Contents'!$A$2:$A$3000,$A2))</f>
        <v/>
      </c>
      <c r="X160">
        <f>IF($A2="","",SUMIF('07_Pallet_Contents'!$A$2:$A$3000,$A2,'07_Pallet_Contents'!$D$2:$D$3000))</f>
        <v/>
      </c>
      <c r="Y160">
        <f>IF($A2="","",SUMIF('07_Pallet_Contents'!$A$2:$A$3000,$A2,'07_Pallet_Contents'!$I$2:$I$3000))</f>
        <v/>
      </c>
      <c r="Z160">
        <f>IF($A2="","",IF(COUNTIF('07_Pallet_Contents'!$A$2:$A$3000,$A2)&gt;0,"Yes",""))</f>
        <v/>
      </c>
    </row>
    <row r="161" ht="27.75" customHeight="1" s="91">
      <c r="A161" s="4" t="inlineStr">
        <is>
          <t>PAL-0000161</t>
        </is>
      </c>
      <c r="B161" s="4" t="n"/>
      <c r="D161">
        <f>IF($C161="","",IFERROR(LOOKUP(2,1/('03_Warehouse_Movements'!$C$2:$C$500=$A161),'03_Warehouse_Movements'!$E$2:$E$500),$C161))</f>
        <v/>
      </c>
      <c r="E161" t="inlineStr">
        <is>
          <t>STANDARD</t>
        </is>
      </c>
      <c r="G161" s="23" t="n"/>
      <c r="H161" s="3">
        <f>IF(AND($F161="TEMP",$G161&gt;0,$M161&lt;&gt;""),$M161+$G161,"")</f>
        <v/>
      </c>
      <c r="I161" s="3" t="n"/>
      <c r="J161" s="4" t="n"/>
      <c r="K161" s="3" t="n"/>
      <c r="L161" s="4" t="n"/>
      <c r="M161" s="45">
        <f>IF($C161="","",IFERROR(LOOKUP(2,1/('03_Warehouse_Movements'!$C$2:$C$500=$A161),'03_Warehouse_Movements'!$A$2:$A$500),""))</f>
        <v/>
      </c>
      <c r="N161" s="4">
        <f>IF($C161="","",IFERROR(LOOKUP(2,1/('03_Warehouse_Movements'!$C$2:$C$500=$A161),'03_Warehouse_Movements'!$H$2:$H$500),""))</f>
        <v/>
      </c>
      <c r="O161" s="4">
        <f>A161</f>
        <v/>
      </c>
      <c r="Q161" s="25" t="n"/>
      <c r="R161" s="24" t="n"/>
      <c r="W161">
        <f>IF($A2="","",COUNTIF('07_Pallet_Contents'!$A$2:$A$3000,$A2))</f>
        <v/>
      </c>
      <c r="X161">
        <f>IF($A2="","",SUMIF('07_Pallet_Contents'!$A$2:$A$3000,$A2,'07_Pallet_Contents'!$D$2:$D$3000))</f>
        <v/>
      </c>
      <c r="Y161">
        <f>IF($A2="","",SUMIF('07_Pallet_Contents'!$A$2:$A$3000,$A2,'07_Pallet_Contents'!$I$2:$I$3000))</f>
        <v/>
      </c>
      <c r="Z161">
        <f>IF($A2="","",IF(COUNTIF('07_Pallet_Contents'!$A$2:$A$3000,$A2)&gt;0,"Yes",""))</f>
        <v/>
      </c>
    </row>
    <row r="162" ht="27.75" customHeight="1" s="91">
      <c r="A162" s="4" t="inlineStr">
        <is>
          <t>PAL-0000162</t>
        </is>
      </c>
      <c r="B162" s="4" t="n"/>
      <c r="D162">
        <f>IF($C162="","",IFERROR(LOOKUP(2,1/('03_Warehouse_Movements'!$C$2:$C$500=$A162),'03_Warehouse_Movements'!$E$2:$E$500),$C162))</f>
        <v/>
      </c>
      <c r="E162" t="inlineStr">
        <is>
          <t>STANDARD</t>
        </is>
      </c>
      <c r="G162" s="23" t="n"/>
      <c r="H162" s="3">
        <f>IF(AND($F162="TEMP",$G162&gt;0,$M162&lt;&gt;""),$M162+$G162,"")</f>
        <v/>
      </c>
      <c r="I162" s="3" t="n"/>
      <c r="J162" s="4" t="n"/>
      <c r="K162" s="3" t="n"/>
      <c r="L162" s="4" t="n"/>
      <c r="M162" s="45">
        <f>IF($C162="","",IFERROR(LOOKUP(2,1/('03_Warehouse_Movements'!$C$2:$C$500=$A162),'03_Warehouse_Movements'!$A$2:$A$500),""))</f>
        <v/>
      </c>
      <c r="N162" s="4">
        <f>IF($C162="","",IFERROR(LOOKUP(2,1/('03_Warehouse_Movements'!$C$2:$C$500=$A162),'03_Warehouse_Movements'!$H$2:$H$500),""))</f>
        <v/>
      </c>
      <c r="O162" s="4">
        <f>A162</f>
        <v/>
      </c>
      <c r="Q162" s="25" t="n"/>
      <c r="R162" s="24" t="n"/>
      <c r="W162">
        <f>IF($A2="","",COUNTIF('07_Pallet_Contents'!$A$2:$A$3000,$A2))</f>
        <v/>
      </c>
      <c r="X162">
        <f>IF($A2="","",SUMIF('07_Pallet_Contents'!$A$2:$A$3000,$A2,'07_Pallet_Contents'!$D$2:$D$3000))</f>
        <v/>
      </c>
      <c r="Y162">
        <f>IF($A2="","",SUMIF('07_Pallet_Contents'!$A$2:$A$3000,$A2,'07_Pallet_Contents'!$I$2:$I$3000))</f>
        <v/>
      </c>
      <c r="Z162">
        <f>IF($A2="","",IF(COUNTIF('07_Pallet_Contents'!$A$2:$A$3000,$A2)&gt;0,"Yes",""))</f>
        <v/>
      </c>
    </row>
    <row r="163" ht="27.75" customHeight="1" s="91">
      <c r="A163" s="4" t="inlineStr">
        <is>
          <t>PAL-0000163</t>
        </is>
      </c>
      <c r="B163" s="4" t="n"/>
      <c r="D163">
        <f>IF($C163="","",IFERROR(LOOKUP(2,1/('03_Warehouse_Movements'!$C$2:$C$500=$A163),'03_Warehouse_Movements'!$E$2:$E$500),$C163))</f>
        <v/>
      </c>
      <c r="E163" t="inlineStr">
        <is>
          <t>STANDARD</t>
        </is>
      </c>
      <c r="G163" s="23" t="n"/>
      <c r="H163" s="3">
        <f>IF(AND($F163="TEMP",$G163&gt;0,$M163&lt;&gt;""),$M163+$G163,"")</f>
        <v/>
      </c>
      <c r="I163" s="3" t="n"/>
      <c r="J163" s="4" t="n"/>
      <c r="K163" s="3" t="n"/>
      <c r="L163" s="4" t="n"/>
      <c r="M163" s="45">
        <f>IF($C163="","",IFERROR(LOOKUP(2,1/('03_Warehouse_Movements'!$C$2:$C$500=$A163),'03_Warehouse_Movements'!$A$2:$A$500),""))</f>
        <v/>
      </c>
      <c r="N163" s="4">
        <f>IF($C163="","",IFERROR(LOOKUP(2,1/('03_Warehouse_Movements'!$C$2:$C$500=$A163),'03_Warehouse_Movements'!$H$2:$H$500),""))</f>
        <v/>
      </c>
      <c r="O163" s="4">
        <f>A163</f>
        <v/>
      </c>
      <c r="Q163" s="25" t="n"/>
      <c r="R163" s="24" t="n"/>
      <c r="W163">
        <f>IF($A2="","",COUNTIF('07_Pallet_Contents'!$A$2:$A$3000,$A2))</f>
        <v/>
      </c>
      <c r="X163">
        <f>IF($A2="","",SUMIF('07_Pallet_Contents'!$A$2:$A$3000,$A2,'07_Pallet_Contents'!$D$2:$D$3000))</f>
        <v/>
      </c>
      <c r="Y163">
        <f>IF($A2="","",SUMIF('07_Pallet_Contents'!$A$2:$A$3000,$A2,'07_Pallet_Contents'!$I$2:$I$3000))</f>
        <v/>
      </c>
      <c r="Z163">
        <f>IF($A2="","",IF(COUNTIF('07_Pallet_Contents'!$A$2:$A$3000,$A2)&gt;0,"Yes",""))</f>
        <v/>
      </c>
    </row>
    <row r="164" ht="27.75" customHeight="1" s="91">
      <c r="A164" s="4" t="inlineStr">
        <is>
          <t>PAL-0000164</t>
        </is>
      </c>
      <c r="B164" s="4" t="n"/>
      <c r="D164">
        <f>IF($C164="","",IFERROR(LOOKUP(2,1/('03_Warehouse_Movements'!$C$2:$C$500=$A164),'03_Warehouse_Movements'!$E$2:$E$500),$C164))</f>
        <v/>
      </c>
      <c r="E164" t="inlineStr">
        <is>
          <t>STANDARD</t>
        </is>
      </c>
      <c r="G164" s="23" t="n"/>
      <c r="H164" s="3">
        <f>IF(AND($F164="TEMP",$G164&gt;0,$M164&lt;&gt;""),$M164+$G164,"")</f>
        <v/>
      </c>
      <c r="I164" s="3" t="n"/>
      <c r="J164" s="4" t="n"/>
      <c r="K164" s="3" t="n"/>
      <c r="L164" s="4" t="n"/>
      <c r="M164" s="45">
        <f>IF($C164="","",IFERROR(LOOKUP(2,1/('03_Warehouse_Movements'!$C$2:$C$500=$A164),'03_Warehouse_Movements'!$A$2:$A$500),""))</f>
        <v/>
      </c>
      <c r="N164" s="4">
        <f>IF($C164="","",IFERROR(LOOKUP(2,1/('03_Warehouse_Movements'!$C$2:$C$500=$A164),'03_Warehouse_Movements'!$H$2:$H$500),""))</f>
        <v/>
      </c>
      <c r="O164" s="4">
        <f>A164</f>
        <v/>
      </c>
      <c r="Q164" s="25" t="n"/>
      <c r="R164" s="24" t="n"/>
      <c r="W164">
        <f>IF($A2="","",COUNTIF('07_Pallet_Contents'!$A$2:$A$3000,$A2))</f>
        <v/>
      </c>
      <c r="X164">
        <f>IF($A2="","",SUMIF('07_Pallet_Contents'!$A$2:$A$3000,$A2,'07_Pallet_Contents'!$D$2:$D$3000))</f>
        <v/>
      </c>
      <c r="Y164">
        <f>IF($A2="","",SUMIF('07_Pallet_Contents'!$A$2:$A$3000,$A2,'07_Pallet_Contents'!$I$2:$I$3000))</f>
        <v/>
      </c>
      <c r="Z164">
        <f>IF($A2="","",IF(COUNTIF('07_Pallet_Contents'!$A$2:$A$3000,$A2)&gt;0,"Yes",""))</f>
        <v/>
      </c>
    </row>
    <row r="165" ht="27.75" customHeight="1" s="91">
      <c r="A165" s="4" t="inlineStr">
        <is>
          <t>PAL-0000165</t>
        </is>
      </c>
      <c r="B165" s="4" t="n"/>
      <c r="D165">
        <f>IF($C165="","",IFERROR(LOOKUP(2,1/('03_Warehouse_Movements'!$C$2:$C$500=$A165),'03_Warehouse_Movements'!$E$2:$E$500),$C165))</f>
        <v/>
      </c>
      <c r="E165" t="inlineStr">
        <is>
          <t>STANDARD</t>
        </is>
      </c>
      <c r="G165" s="23" t="n"/>
      <c r="H165" s="3">
        <f>IF(AND($F165="TEMP",$G165&gt;0,$M165&lt;&gt;""),$M165+$G165,"")</f>
        <v/>
      </c>
      <c r="I165" s="3" t="n"/>
      <c r="J165" s="4" t="n"/>
      <c r="K165" s="3" t="n"/>
      <c r="L165" s="4" t="n"/>
      <c r="M165" s="45">
        <f>IF($C165="","",IFERROR(LOOKUP(2,1/('03_Warehouse_Movements'!$C$2:$C$500=$A165),'03_Warehouse_Movements'!$A$2:$A$500),""))</f>
        <v/>
      </c>
      <c r="N165" s="4">
        <f>IF($C165="","",IFERROR(LOOKUP(2,1/('03_Warehouse_Movements'!$C$2:$C$500=$A165),'03_Warehouse_Movements'!$H$2:$H$500),""))</f>
        <v/>
      </c>
      <c r="O165" s="4">
        <f>A165</f>
        <v/>
      </c>
      <c r="Q165" s="25" t="n"/>
      <c r="R165" s="24" t="n"/>
      <c r="W165">
        <f>IF($A2="","",COUNTIF('07_Pallet_Contents'!$A$2:$A$3000,$A2))</f>
        <v/>
      </c>
      <c r="X165">
        <f>IF($A2="","",SUMIF('07_Pallet_Contents'!$A$2:$A$3000,$A2,'07_Pallet_Contents'!$D$2:$D$3000))</f>
        <v/>
      </c>
      <c r="Y165">
        <f>IF($A2="","",SUMIF('07_Pallet_Contents'!$A$2:$A$3000,$A2,'07_Pallet_Contents'!$I$2:$I$3000))</f>
        <v/>
      </c>
      <c r="Z165">
        <f>IF($A2="","",IF(COUNTIF('07_Pallet_Contents'!$A$2:$A$3000,$A2)&gt;0,"Yes",""))</f>
        <v/>
      </c>
    </row>
    <row r="166" ht="27.75" customHeight="1" s="91">
      <c r="A166" s="4" t="inlineStr">
        <is>
          <t>PAL-0000166</t>
        </is>
      </c>
      <c r="B166" s="4" t="n"/>
      <c r="D166">
        <f>IF($C166="","",IFERROR(LOOKUP(2,1/('03_Warehouse_Movements'!$C$2:$C$500=$A166),'03_Warehouse_Movements'!$E$2:$E$500),$C166))</f>
        <v/>
      </c>
      <c r="E166" t="inlineStr">
        <is>
          <t>STANDARD</t>
        </is>
      </c>
      <c r="G166" s="23" t="n"/>
      <c r="H166" s="3">
        <f>IF(AND($F166="TEMP",$G166&gt;0,$M166&lt;&gt;""),$M166+$G166,"")</f>
        <v/>
      </c>
      <c r="I166" s="3" t="n"/>
      <c r="J166" s="4" t="n"/>
      <c r="K166" s="3" t="n"/>
      <c r="L166" s="4" t="n"/>
      <c r="M166" s="45">
        <f>IF($C166="","",IFERROR(LOOKUP(2,1/('03_Warehouse_Movements'!$C$2:$C$500=$A166),'03_Warehouse_Movements'!$A$2:$A$500),""))</f>
        <v/>
      </c>
      <c r="N166" s="4">
        <f>IF($C166="","",IFERROR(LOOKUP(2,1/('03_Warehouse_Movements'!$C$2:$C$500=$A166),'03_Warehouse_Movements'!$H$2:$H$500),""))</f>
        <v/>
      </c>
      <c r="O166" s="4">
        <f>A166</f>
        <v/>
      </c>
      <c r="Q166" s="25" t="n"/>
      <c r="R166" s="24" t="n"/>
      <c r="W166">
        <f>IF($A2="","",COUNTIF('07_Pallet_Contents'!$A$2:$A$3000,$A2))</f>
        <v/>
      </c>
      <c r="X166">
        <f>IF($A2="","",SUMIF('07_Pallet_Contents'!$A$2:$A$3000,$A2,'07_Pallet_Contents'!$D$2:$D$3000))</f>
        <v/>
      </c>
      <c r="Y166">
        <f>IF($A2="","",SUMIF('07_Pallet_Contents'!$A$2:$A$3000,$A2,'07_Pallet_Contents'!$I$2:$I$3000))</f>
        <v/>
      </c>
      <c r="Z166">
        <f>IF($A2="","",IF(COUNTIF('07_Pallet_Contents'!$A$2:$A$3000,$A2)&gt;0,"Yes",""))</f>
        <v/>
      </c>
    </row>
    <row r="167" ht="27.75" customHeight="1" s="91">
      <c r="A167" s="4" t="inlineStr">
        <is>
          <t>PAL-0000167</t>
        </is>
      </c>
      <c r="B167" s="4" t="n"/>
      <c r="D167">
        <f>IF($C167="","",IFERROR(LOOKUP(2,1/('03_Warehouse_Movements'!$C$2:$C$500=$A167),'03_Warehouse_Movements'!$E$2:$E$500),$C167))</f>
        <v/>
      </c>
      <c r="E167" t="inlineStr">
        <is>
          <t>STANDARD</t>
        </is>
      </c>
      <c r="G167" s="23" t="n"/>
      <c r="H167" s="3">
        <f>IF(AND($F167="TEMP",$G167&gt;0,$M167&lt;&gt;""),$M167+$G167,"")</f>
        <v/>
      </c>
      <c r="I167" s="3" t="n"/>
      <c r="J167" s="4" t="n"/>
      <c r="K167" s="3" t="n"/>
      <c r="L167" s="4" t="n"/>
      <c r="M167" s="45">
        <f>IF($C167="","",IFERROR(LOOKUP(2,1/('03_Warehouse_Movements'!$C$2:$C$500=$A167),'03_Warehouse_Movements'!$A$2:$A$500),""))</f>
        <v/>
      </c>
      <c r="N167" s="4">
        <f>IF($C167="","",IFERROR(LOOKUP(2,1/('03_Warehouse_Movements'!$C$2:$C$500=$A167),'03_Warehouse_Movements'!$H$2:$H$500),""))</f>
        <v/>
      </c>
      <c r="O167" s="4">
        <f>A167</f>
        <v/>
      </c>
      <c r="Q167" s="25" t="n"/>
      <c r="R167" s="24" t="n"/>
      <c r="W167">
        <f>IF($A2="","",COUNTIF('07_Pallet_Contents'!$A$2:$A$3000,$A2))</f>
        <v/>
      </c>
      <c r="X167">
        <f>IF($A2="","",SUMIF('07_Pallet_Contents'!$A$2:$A$3000,$A2,'07_Pallet_Contents'!$D$2:$D$3000))</f>
        <v/>
      </c>
      <c r="Y167">
        <f>IF($A2="","",SUMIF('07_Pallet_Contents'!$A$2:$A$3000,$A2,'07_Pallet_Contents'!$I$2:$I$3000))</f>
        <v/>
      </c>
      <c r="Z167">
        <f>IF($A2="","",IF(COUNTIF('07_Pallet_Contents'!$A$2:$A$3000,$A2)&gt;0,"Yes",""))</f>
        <v/>
      </c>
    </row>
    <row r="168" ht="27.75" customHeight="1" s="91">
      <c r="A168" s="4" t="inlineStr">
        <is>
          <t>PAL-0000168</t>
        </is>
      </c>
      <c r="B168" s="4" t="n"/>
      <c r="D168">
        <f>IF($C168="","",IFERROR(LOOKUP(2,1/('03_Warehouse_Movements'!$C$2:$C$500=$A168),'03_Warehouse_Movements'!$E$2:$E$500),$C168))</f>
        <v/>
      </c>
      <c r="E168" t="inlineStr">
        <is>
          <t>STANDARD</t>
        </is>
      </c>
      <c r="G168" s="23" t="n"/>
      <c r="H168" s="3">
        <f>IF(AND($F168="TEMP",$G168&gt;0,$M168&lt;&gt;""),$M168+$G168,"")</f>
        <v/>
      </c>
      <c r="I168" s="3" t="n"/>
      <c r="J168" s="4" t="n"/>
      <c r="K168" s="3" t="n"/>
      <c r="L168" s="4" t="n"/>
      <c r="M168" s="45">
        <f>IF($C168="","",IFERROR(LOOKUP(2,1/('03_Warehouse_Movements'!$C$2:$C$500=$A168),'03_Warehouse_Movements'!$A$2:$A$500),""))</f>
        <v/>
      </c>
      <c r="N168" s="4">
        <f>IF($C168="","",IFERROR(LOOKUP(2,1/('03_Warehouse_Movements'!$C$2:$C$500=$A168),'03_Warehouse_Movements'!$H$2:$H$500),""))</f>
        <v/>
      </c>
      <c r="O168" s="4">
        <f>A168</f>
        <v/>
      </c>
      <c r="Q168" s="25" t="n"/>
      <c r="R168" s="24" t="n"/>
      <c r="W168">
        <f>IF($A2="","",COUNTIF('07_Pallet_Contents'!$A$2:$A$3000,$A2))</f>
        <v/>
      </c>
      <c r="X168">
        <f>IF($A2="","",SUMIF('07_Pallet_Contents'!$A$2:$A$3000,$A2,'07_Pallet_Contents'!$D$2:$D$3000))</f>
        <v/>
      </c>
      <c r="Y168">
        <f>IF($A2="","",SUMIF('07_Pallet_Contents'!$A$2:$A$3000,$A2,'07_Pallet_Contents'!$I$2:$I$3000))</f>
        <v/>
      </c>
      <c r="Z168">
        <f>IF($A2="","",IF(COUNTIF('07_Pallet_Contents'!$A$2:$A$3000,$A2)&gt;0,"Yes",""))</f>
        <v/>
      </c>
    </row>
    <row r="169" ht="27.75" customHeight="1" s="91">
      <c r="A169" s="4" t="inlineStr">
        <is>
          <t>PAL-0000169</t>
        </is>
      </c>
      <c r="B169" s="4" t="n"/>
      <c r="D169">
        <f>IF($C169="","",IFERROR(LOOKUP(2,1/('03_Warehouse_Movements'!$C$2:$C$500=$A169),'03_Warehouse_Movements'!$E$2:$E$500),$C169))</f>
        <v/>
      </c>
      <c r="E169" t="inlineStr">
        <is>
          <t>STANDARD</t>
        </is>
      </c>
      <c r="G169" s="23" t="n"/>
      <c r="H169" s="3">
        <f>IF(AND($F169="TEMP",$G169&gt;0,$M169&lt;&gt;""),$M169+$G169,"")</f>
        <v/>
      </c>
      <c r="I169" s="3" t="n"/>
      <c r="J169" s="4" t="n"/>
      <c r="K169" s="3" t="n"/>
      <c r="L169" s="4" t="n"/>
      <c r="M169" s="45">
        <f>IF($C169="","",IFERROR(LOOKUP(2,1/('03_Warehouse_Movements'!$C$2:$C$500=$A169),'03_Warehouse_Movements'!$A$2:$A$500),""))</f>
        <v/>
      </c>
      <c r="N169" s="4">
        <f>IF($C169="","",IFERROR(LOOKUP(2,1/('03_Warehouse_Movements'!$C$2:$C$500=$A169),'03_Warehouse_Movements'!$H$2:$H$500),""))</f>
        <v/>
      </c>
      <c r="O169" s="4">
        <f>A169</f>
        <v/>
      </c>
      <c r="Q169" s="25" t="n"/>
      <c r="R169" s="24" t="n"/>
      <c r="W169">
        <f>IF($A2="","",COUNTIF('07_Pallet_Contents'!$A$2:$A$3000,$A2))</f>
        <v/>
      </c>
      <c r="X169">
        <f>IF($A2="","",SUMIF('07_Pallet_Contents'!$A$2:$A$3000,$A2,'07_Pallet_Contents'!$D$2:$D$3000))</f>
        <v/>
      </c>
      <c r="Y169">
        <f>IF($A2="","",SUMIF('07_Pallet_Contents'!$A$2:$A$3000,$A2,'07_Pallet_Contents'!$I$2:$I$3000))</f>
        <v/>
      </c>
      <c r="Z169">
        <f>IF($A2="","",IF(COUNTIF('07_Pallet_Contents'!$A$2:$A$3000,$A2)&gt;0,"Yes",""))</f>
        <v/>
      </c>
    </row>
    <row r="170" ht="27.75" customHeight="1" s="91">
      <c r="A170" s="4" t="inlineStr">
        <is>
          <t>PAL-0000170</t>
        </is>
      </c>
      <c r="B170" s="4" t="n"/>
      <c r="D170">
        <f>IF($C170="","",IFERROR(LOOKUP(2,1/('03_Warehouse_Movements'!$C$2:$C$500=$A170),'03_Warehouse_Movements'!$E$2:$E$500),$C170))</f>
        <v/>
      </c>
      <c r="E170" t="inlineStr">
        <is>
          <t>STANDARD</t>
        </is>
      </c>
      <c r="G170" s="23" t="n"/>
      <c r="H170" s="3">
        <f>IF(AND($F170="TEMP",$G170&gt;0,$M170&lt;&gt;""),$M170+$G170,"")</f>
        <v/>
      </c>
      <c r="I170" s="3" t="n"/>
      <c r="J170" s="4" t="n"/>
      <c r="K170" s="3" t="n"/>
      <c r="L170" s="4" t="n"/>
      <c r="M170" s="45">
        <f>IF($C170="","",IFERROR(LOOKUP(2,1/('03_Warehouse_Movements'!$C$2:$C$500=$A170),'03_Warehouse_Movements'!$A$2:$A$500),""))</f>
        <v/>
      </c>
      <c r="N170" s="4">
        <f>IF($C170="","",IFERROR(LOOKUP(2,1/('03_Warehouse_Movements'!$C$2:$C$500=$A170),'03_Warehouse_Movements'!$H$2:$H$500),""))</f>
        <v/>
      </c>
      <c r="O170" s="4">
        <f>A170</f>
        <v/>
      </c>
      <c r="Q170" s="25" t="n"/>
      <c r="R170" s="24" t="n"/>
      <c r="W170">
        <f>IF($A2="","",COUNTIF('07_Pallet_Contents'!$A$2:$A$3000,$A2))</f>
        <v/>
      </c>
      <c r="X170">
        <f>IF($A2="","",SUMIF('07_Pallet_Contents'!$A$2:$A$3000,$A2,'07_Pallet_Contents'!$D$2:$D$3000))</f>
        <v/>
      </c>
      <c r="Y170">
        <f>IF($A2="","",SUMIF('07_Pallet_Contents'!$A$2:$A$3000,$A2,'07_Pallet_Contents'!$I$2:$I$3000))</f>
        <v/>
      </c>
      <c r="Z170">
        <f>IF($A2="","",IF(COUNTIF('07_Pallet_Contents'!$A$2:$A$3000,$A2)&gt;0,"Yes",""))</f>
        <v/>
      </c>
    </row>
    <row r="171" ht="27.75" customHeight="1" s="91">
      <c r="A171" s="4" t="inlineStr">
        <is>
          <t>PAL-0000171</t>
        </is>
      </c>
      <c r="B171" s="4" t="n"/>
      <c r="D171">
        <f>IF($C171="","",IFERROR(LOOKUP(2,1/('03_Warehouse_Movements'!$C$2:$C$500=$A171),'03_Warehouse_Movements'!$E$2:$E$500),$C171))</f>
        <v/>
      </c>
      <c r="E171" t="inlineStr">
        <is>
          <t>STANDARD</t>
        </is>
      </c>
      <c r="G171" s="23" t="n"/>
      <c r="H171" s="3">
        <f>IF(AND($F171="TEMP",$G171&gt;0,$M171&lt;&gt;""),$M171+$G171,"")</f>
        <v/>
      </c>
      <c r="I171" s="3" t="n"/>
      <c r="J171" s="4" t="n"/>
      <c r="K171" s="3" t="n"/>
      <c r="L171" s="4" t="n"/>
      <c r="M171" s="45">
        <f>IF($C171="","",IFERROR(LOOKUP(2,1/('03_Warehouse_Movements'!$C$2:$C$500=$A171),'03_Warehouse_Movements'!$A$2:$A$500),""))</f>
        <v/>
      </c>
      <c r="N171" s="4">
        <f>IF($C171="","",IFERROR(LOOKUP(2,1/('03_Warehouse_Movements'!$C$2:$C$500=$A171),'03_Warehouse_Movements'!$H$2:$H$500),""))</f>
        <v/>
      </c>
      <c r="O171" s="4">
        <f>A171</f>
        <v/>
      </c>
      <c r="Q171" s="25" t="n"/>
      <c r="R171" s="24" t="n"/>
      <c r="W171">
        <f>IF($A2="","",COUNTIF('07_Pallet_Contents'!$A$2:$A$3000,$A2))</f>
        <v/>
      </c>
      <c r="X171">
        <f>IF($A2="","",SUMIF('07_Pallet_Contents'!$A$2:$A$3000,$A2,'07_Pallet_Contents'!$D$2:$D$3000))</f>
        <v/>
      </c>
      <c r="Y171">
        <f>IF($A2="","",SUMIF('07_Pallet_Contents'!$A$2:$A$3000,$A2,'07_Pallet_Contents'!$I$2:$I$3000))</f>
        <v/>
      </c>
      <c r="Z171">
        <f>IF($A2="","",IF(COUNTIF('07_Pallet_Contents'!$A$2:$A$3000,$A2)&gt;0,"Yes",""))</f>
        <v/>
      </c>
    </row>
    <row r="172" ht="27.75" customHeight="1" s="91">
      <c r="A172" s="4" t="inlineStr">
        <is>
          <t>PAL-0000172</t>
        </is>
      </c>
      <c r="B172" s="4" t="n"/>
      <c r="D172">
        <f>IF($C172="","",IFERROR(LOOKUP(2,1/('03_Warehouse_Movements'!$C$2:$C$500=$A172),'03_Warehouse_Movements'!$E$2:$E$500),$C172))</f>
        <v/>
      </c>
      <c r="E172" t="inlineStr">
        <is>
          <t>STANDARD</t>
        </is>
      </c>
      <c r="G172" s="23" t="n"/>
      <c r="H172" s="3">
        <f>IF(AND($F172="TEMP",$G172&gt;0,$M172&lt;&gt;""),$M172+$G172,"")</f>
        <v/>
      </c>
      <c r="I172" s="3" t="n"/>
      <c r="J172" s="4" t="n"/>
      <c r="K172" s="3" t="n"/>
      <c r="L172" s="4" t="n"/>
      <c r="M172" s="45">
        <f>IF($C172="","",IFERROR(LOOKUP(2,1/('03_Warehouse_Movements'!$C$2:$C$500=$A172),'03_Warehouse_Movements'!$A$2:$A$500),""))</f>
        <v/>
      </c>
      <c r="N172" s="4">
        <f>IF($C172="","",IFERROR(LOOKUP(2,1/('03_Warehouse_Movements'!$C$2:$C$500=$A172),'03_Warehouse_Movements'!$H$2:$H$500),""))</f>
        <v/>
      </c>
      <c r="O172" s="4">
        <f>A172</f>
        <v/>
      </c>
      <c r="Q172" s="25" t="n"/>
      <c r="R172" s="24" t="n"/>
      <c r="W172">
        <f>IF($A2="","",COUNTIF('07_Pallet_Contents'!$A$2:$A$3000,$A2))</f>
        <v/>
      </c>
      <c r="X172">
        <f>IF($A2="","",SUMIF('07_Pallet_Contents'!$A$2:$A$3000,$A2,'07_Pallet_Contents'!$D$2:$D$3000))</f>
        <v/>
      </c>
      <c r="Y172">
        <f>IF($A2="","",SUMIF('07_Pallet_Contents'!$A$2:$A$3000,$A2,'07_Pallet_Contents'!$I$2:$I$3000))</f>
        <v/>
      </c>
      <c r="Z172">
        <f>IF($A2="","",IF(COUNTIF('07_Pallet_Contents'!$A$2:$A$3000,$A2)&gt;0,"Yes",""))</f>
        <v/>
      </c>
    </row>
    <row r="173" ht="27.75" customHeight="1" s="91">
      <c r="A173" s="4" t="inlineStr">
        <is>
          <t>PAL-0000173</t>
        </is>
      </c>
      <c r="B173" s="4" t="n"/>
      <c r="D173">
        <f>IF($C173="","",IFERROR(LOOKUP(2,1/('03_Warehouse_Movements'!$C$2:$C$500=$A173),'03_Warehouse_Movements'!$E$2:$E$500),$C173))</f>
        <v/>
      </c>
      <c r="E173" t="inlineStr">
        <is>
          <t>STANDARD</t>
        </is>
      </c>
      <c r="G173" s="23" t="n"/>
      <c r="H173" s="3">
        <f>IF(AND($F173="TEMP",$G173&gt;0,$M173&lt;&gt;""),$M173+$G173,"")</f>
        <v/>
      </c>
      <c r="I173" s="3" t="n"/>
      <c r="J173" s="4" t="n"/>
      <c r="K173" s="3" t="n"/>
      <c r="L173" s="4" t="n"/>
      <c r="M173" s="45">
        <f>IF($C173="","",IFERROR(LOOKUP(2,1/('03_Warehouse_Movements'!$C$2:$C$500=$A173),'03_Warehouse_Movements'!$A$2:$A$500),""))</f>
        <v/>
      </c>
      <c r="N173" s="4">
        <f>IF($C173="","",IFERROR(LOOKUP(2,1/('03_Warehouse_Movements'!$C$2:$C$500=$A173),'03_Warehouse_Movements'!$H$2:$H$500),""))</f>
        <v/>
      </c>
      <c r="O173" s="4">
        <f>A173</f>
        <v/>
      </c>
      <c r="Q173" s="25" t="n"/>
      <c r="R173" s="24" t="n"/>
      <c r="W173">
        <f>IF($A2="","",COUNTIF('07_Pallet_Contents'!$A$2:$A$3000,$A2))</f>
        <v/>
      </c>
      <c r="X173">
        <f>IF($A2="","",SUMIF('07_Pallet_Contents'!$A$2:$A$3000,$A2,'07_Pallet_Contents'!$D$2:$D$3000))</f>
        <v/>
      </c>
      <c r="Y173">
        <f>IF($A2="","",SUMIF('07_Pallet_Contents'!$A$2:$A$3000,$A2,'07_Pallet_Contents'!$I$2:$I$3000))</f>
        <v/>
      </c>
      <c r="Z173">
        <f>IF($A2="","",IF(COUNTIF('07_Pallet_Contents'!$A$2:$A$3000,$A2)&gt;0,"Yes",""))</f>
        <v/>
      </c>
    </row>
    <row r="174" ht="27.75" customHeight="1" s="91">
      <c r="A174" s="4" t="inlineStr">
        <is>
          <t>PAL-0000174</t>
        </is>
      </c>
      <c r="B174" s="4" t="n"/>
      <c r="D174">
        <f>IF($C174="","",IFERROR(LOOKUP(2,1/('03_Warehouse_Movements'!$C$2:$C$500=$A174),'03_Warehouse_Movements'!$E$2:$E$500),$C174))</f>
        <v/>
      </c>
      <c r="E174" t="inlineStr">
        <is>
          <t>STANDARD</t>
        </is>
      </c>
      <c r="G174" s="23" t="n"/>
      <c r="H174" s="3">
        <f>IF(AND($F174="TEMP",$G174&gt;0,$M174&lt;&gt;""),$M174+$G174,"")</f>
        <v/>
      </c>
      <c r="I174" s="3" t="n"/>
      <c r="J174" s="4" t="n"/>
      <c r="K174" s="3" t="n"/>
      <c r="L174" s="4" t="n"/>
      <c r="M174" s="45">
        <f>IF($C174="","",IFERROR(LOOKUP(2,1/('03_Warehouse_Movements'!$C$2:$C$500=$A174),'03_Warehouse_Movements'!$A$2:$A$500),""))</f>
        <v/>
      </c>
      <c r="N174" s="4">
        <f>IF($C174="","",IFERROR(LOOKUP(2,1/('03_Warehouse_Movements'!$C$2:$C$500=$A174),'03_Warehouse_Movements'!$H$2:$H$500),""))</f>
        <v/>
      </c>
      <c r="O174" s="4">
        <f>A174</f>
        <v/>
      </c>
      <c r="Q174" s="25" t="n"/>
      <c r="R174" s="24" t="n"/>
      <c r="W174">
        <f>IF($A2="","",COUNTIF('07_Pallet_Contents'!$A$2:$A$3000,$A2))</f>
        <v/>
      </c>
      <c r="X174">
        <f>IF($A2="","",SUMIF('07_Pallet_Contents'!$A$2:$A$3000,$A2,'07_Pallet_Contents'!$D$2:$D$3000))</f>
        <v/>
      </c>
      <c r="Y174">
        <f>IF($A2="","",SUMIF('07_Pallet_Contents'!$A$2:$A$3000,$A2,'07_Pallet_Contents'!$I$2:$I$3000))</f>
        <v/>
      </c>
      <c r="Z174">
        <f>IF($A2="","",IF(COUNTIF('07_Pallet_Contents'!$A$2:$A$3000,$A2)&gt;0,"Yes",""))</f>
        <v/>
      </c>
    </row>
    <row r="175" ht="27.75" customHeight="1" s="91">
      <c r="A175" s="4" t="inlineStr">
        <is>
          <t>PAL-0000175</t>
        </is>
      </c>
      <c r="B175" s="4" t="n"/>
      <c r="D175">
        <f>IF($C175="","",IFERROR(LOOKUP(2,1/('03_Warehouse_Movements'!$C$2:$C$500=$A175),'03_Warehouse_Movements'!$E$2:$E$500),$C175))</f>
        <v/>
      </c>
      <c r="E175" t="inlineStr">
        <is>
          <t>STANDARD</t>
        </is>
      </c>
      <c r="G175" s="23" t="n"/>
      <c r="H175" s="3">
        <f>IF(AND($F175="TEMP",$G175&gt;0,$M175&lt;&gt;""),$M175+$G175,"")</f>
        <v/>
      </c>
      <c r="I175" s="3" t="n"/>
      <c r="J175" s="4" t="n"/>
      <c r="K175" s="3" t="n"/>
      <c r="L175" s="4" t="n"/>
      <c r="M175" s="45">
        <f>IF($C175="","",IFERROR(LOOKUP(2,1/('03_Warehouse_Movements'!$C$2:$C$500=$A175),'03_Warehouse_Movements'!$A$2:$A$500),""))</f>
        <v/>
      </c>
      <c r="N175" s="4">
        <f>IF($C175="","",IFERROR(LOOKUP(2,1/('03_Warehouse_Movements'!$C$2:$C$500=$A175),'03_Warehouse_Movements'!$H$2:$H$500),""))</f>
        <v/>
      </c>
      <c r="O175" s="4">
        <f>A175</f>
        <v/>
      </c>
      <c r="Q175" s="25" t="n"/>
      <c r="R175" s="24" t="n"/>
      <c r="W175">
        <f>IF($A2="","",COUNTIF('07_Pallet_Contents'!$A$2:$A$3000,$A2))</f>
        <v/>
      </c>
      <c r="X175">
        <f>IF($A2="","",SUMIF('07_Pallet_Contents'!$A$2:$A$3000,$A2,'07_Pallet_Contents'!$D$2:$D$3000))</f>
        <v/>
      </c>
      <c r="Y175">
        <f>IF($A2="","",SUMIF('07_Pallet_Contents'!$A$2:$A$3000,$A2,'07_Pallet_Contents'!$I$2:$I$3000))</f>
        <v/>
      </c>
      <c r="Z175">
        <f>IF($A2="","",IF(COUNTIF('07_Pallet_Contents'!$A$2:$A$3000,$A2)&gt;0,"Yes",""))</f>
        <v/>
      </c>
    </row>
    <row r="176" ht="27.75" customHeight="1" s="91">
      <c r="A176" s="4" t="inlineStr">
        <is>
          <t>PAL-0000176</t>
        </is>
      </c>
      <c r="B176" s="4" t="n"/>
      <c r="D176">
        <f>IF($C176="","",IFERROR(LOOKUP(2,1/('03_Warehouse_Movements'!$C$2:$C$500=$A176),'03_Warehouse_Movements'!$E$2:$E$500),$C176))</f>
        <v/>
      </c>
      <c r="E176" t="inlineStr">
        <is>
          <t>STANDARD</t>
        </is>
      </c>
      <c r="G176" s="23" t="n"/>
      <c r="H176" s="3">
        <f>IF(AND($F176="TEMP",$G176&gt;0,$M176&lt;&gt;""),$M176+$G176,"")</f>
        <v/>
      </c>
      <c r="I176" s="3" t="n"/>
      <c r="J176" s="4" t="n"/>
      <c r="K176" s="3" t="n"/>
      <c r="L176" s="4" t="n"/>
      <c r="M176" s="45">
        <f>IF($C176="","",IFERROR(LOOKUP(2,1/('03_Warehouse_Movements'!$C$2:$C$500=$A176),'03_Warehouse_Movements'!$A$2:$A$500),""))</f>
        <v/>
      </c>
      <c r="N176" s="4">
        <f>IF($C176="","",IFERROR(LOOKUP(2,1/('03_Warehouse_Movements'!$C$2:$C$500=$A176),'03_Warehouse_Movements'!$H$2:$H$500),""))</f>
        <v/>
      </c>
      <c r="O176" s="4">
        <f>A176</f>
        <v/>
      </c>
      <c r="Q176" s="25" t="n"/>
      <c r="R176" s="24" t="n"/>
      <c r="W176">
        <f>IF($A2="","",COUNTIF('07_Pallet_Contents'!$A$2:$A$3000,$A2))</f>
        <v/>
      </c>
      <c r="X176">
        <f>IF($A2="","",SUMIF('07_Pallet_Contents'!$A$2:$A$3000,$A2,'07_Pallet_Contents'!$D$2:$D$3000))</f>
        <v/>
      </c>
      <c r="Y176">
        <f>IF($A2="","",SUMIF('07_Pallet_Contents'!$A$2:$A$3000,$A2,'07_Pallet_Contents'!$I$2:$I$3000))</f>
        <v/>
      </c>
      <c r="Z176">
        <f>IF($A2="","",IF(COUNTIF('07_Pallet_Contents'!$A$2:$A$3000,$A2)&gt;0,"Yes",""))</f>
        <v/>
      </c>
    </row>
    <row r="177" ht="27.75" customHeight="1" s="91">
      <c r="A177" s="4" t="inlineStr">
        <is>
          <t>PAL-0000177</t>
        </is>
      </c>
      <c r="B177" s="4" t="n"/>
      <c r="D177">
        <f>IF($C177="","",IFERROR(LOOKUP(2,1/('03_Warehouse_Movements'!$C$2:$C$500=$A177),'03_Warehouse_Movements'!$E$2:$E$500),$C177))</f>
        <v/>
      </c>
      <c r="E177" t="inlineStr">
        <is>
          <t>STANDARD</t>
        </is>
      </c>
      <c r="G177" s="23" t="n"/>
      <c r="H177" s="3">
        <f>IF(AND($F177="TEMP",$G177&gt;0,$M177&lt;&gt;""),$M177+$G177,"")</f>
        <v/>
      </c>
      <c r="I177" s="3" t="n"/>
      <c r="J177" s="4" t="n"/>
      <c r="K177" s="3" t="n"/>
      <c r="L177" s="4" t="n"/>
      <c r="M177" s="45">
        <f>IF($C177="","",IFERROR(LOOKUP(2,1/('03_Warehouse_Movements'!$C$2:$C$500=$A177),'03_Warehouse_Movements'!$A$2:$A$500),""))</f>
        <v/>
      </c>
      <c r="N177" s="4">
        <f>IF($C177="","",IFERROR(LOOKUP(2,1/('03_Warehouse_Movements'!$C$2:$C$500=$A177),'03_Warehouse_Movements'!$H$2:$H$500),""))</f>
        <v/>
      </c>
      <c r="O177" s="4">
        <f>A177</f>
        <v/>
      </c>
      <c r="Q177" s="25" t="n"/>
      <c r="R177" s="24" t="n"/>
      <c r="W177">
        <f>IF($A2="","",COUNTIF('07_Pallet_Contents'!$A$2:$A$3000,$A2))</f>
        <v/>
      </c>
      <c r="X177">
        <f>IF($A2="","",SUMIF('07_Pallet_Contents'!$A$2:$A$3000,$A2,'07_Pallet_Contents'!$D$2:$D$3000))</f>
        <v/>
      </c>
      <c r="Y177">
        <f>IF($A2="","",SUMIF('07_Pallet_Contents'!$A$2:$A$3000,$A2,'07_Pallet_Contents'!$I$2:$I$3000))</f>
        <v/>
      </c>
      <c r="Z177">
        <f>IF($A2="","",IF(COUNTIF('07_Pallet_Contents'!$A$2:$A$3000,$A2)&gt;0,"Yes",""))</f>
        <v/>
      </c>
    </row>
    <row r="178" ht="27.75" customHeight="1" s="91">
      <c r="A178" s="4" t="inlineStr">
        <is>
          <t>PAL-0000178</t>
        </is>
      </c>
      <c r="B178" s="4" t="n"/>
      <c r="D178">
        <f>IF($C178="","",IFERROR(LOOKUP(2,1/('03_Warehouse_Movements'!$C$2:$C$500=$A178),'03_Warehouse_Movements'!$E$2:$E$500),$C178))</f>
        <v/>
      </c>
      <c r="E178" t="inlineStr">
        <is>
          <t>STANDARD</t>
        </is>
      </c>
      <c r="G178" s="23" t="n"/>
      <c r="H178" s="3">
        <f>IF(AND($F178="TEMP",$G178&gt;0,$M178&lt;&gt;""),$M178+$G178,"")</f>
        <v/>
      </c>
      <c r="I178" s="3" t="n"/>
      <c r="J178" s="4" t="n"/>
      <c r="K178" s="3" t="n"/>
      <c r="L178" s="4" t="n"/>
      <c r="M178" s="45">
        <f>IF($C178="","",IFERROR(LOOKUP(2,1/('03_Warehouse_Movements'!$C$2:$C$500=$A178),'03_Warehouse_Movements'!$A$2:$A$500),""))</f>
        <v/>
      </c>
      <c r="N178" s="4">
        <f>IF($C178="","",IFERROR(LOOKUP(2,1/('03_Warehouse_Movements'!$C$2:$C$500=$A178),'03_Warehouse_Movements'!$H$2:$H$500),""))</f>
        <v/>
      </c>
      <c r="O178" s="4">
        <f>A178</f>
        <v/>
      </c>
      <c r="Q178" s="25" t="n"/>
      <c r="R178" s="24" t="n"/>
      <c r="W178">
        <f>IF($A2="","",COUNTIF('07_Pallet_Contents'!$A$2:$A$3000,$A2))</f>
        <v/>
      </c>
      <c r="X178">
        <f>IF($A2="","",SUMIF('07_Pallet_Contents'!$A$2:$A$3000,$A2,'07_Pallet_Contents'!$D$2:$D$3000))</f>
        <v/>
      </c>
      <c r="Y178">
        <f>IF($A2="","",SUMIF('07_Pallet_Contents'!$A$2:$A$3000,$A2,'07_Pallet_Contents'!$I$2:$I$3000))</f>
        <v/>
      </c>
      <c r="Z178">
        <f>IF($A2="","",IF(COUNTIF('07_Pallet_Contents'!$A$2:$A$3000,$A2)&gt;0,"Yes",""))</f>
        <v/>
      </c>
    </row>
    <row r="179" ht="27.75" customHeight="1" s="91">
      <c r="A179" s="4" t="inlineStr">
        <is>
          <t>PAL-0000179</t>
        </is>
      </c>
      <c r="B179" s="4" t="n"/>
      <c r="D179">
        <f>IF($C179="","",IFERROR(LOOKUP(2,1/('03_Warehouse_Movements'!$C$2:$C$500=$A179),'03_Warehouse_Movements'!$E$2:$E$500),$C179))</f>
        <v/>
      </c>
      <c r="E179" t="inlineStr">
        <is>
          <t>STANDARD</t>
        </is>
      </c>
      <c r="G179" s="23" t="n"/>
      <c r="H179" s="3">
        <f>IF(AND($F179="TEMP",$G179&gt;0,$M179&lt;&gt;""),$M179+$G179,"")</f>
        <v/>
      </c>
      <c r="I179" s="3" t="n"/>
      <c r="J179" s="4" t="n"/>
      <c r="K179" s="3" t="n"/>
      <c r="L179" s="4" t="n"/>
      <c r="M179" s="45">
        <f>IF($C179="","",IFERROR(LOOKUP(2,1/('03_Warehouse_Movements'!$C$2:$C$500=$A179),'03_Warehouse_Movements'!$A$2:$A$500),""))</f>
        <v/>
      </c>
      <c r="N179" s="4">
        <f>IF($C179="","",IFERROR(LOOKUP(2,1/('03_Warehouse_Movements'!$C$2:$C$500=$A179),'03_Warehouse_Movements'!$H$2:$H$500),""))</f>
        <v/>
      </c>
      <c r="O179" s="4">
        <f>A179</f>
        <v/>
      </c>
      <c r="Q179" s="25" t="n"/>
      <c r="R179" s="24" t="n"/>
      <c r="W179">
        <f>IF($A2="","",COUNTIF('07_Pallet_Contents'!$A$2:$A$3000,$A2))</f>
        <v/>
      </c>
      <c r="X179">
        <f>IF($A2="","",SUMIF('07_Pallet_Contents'!$A$2:$A$3000,$A2,'07_Pallet_Contents'!$D$2:$D$3000))</f>
        <v/>
      </c>
      <c r="Y179">
        <f>IF($A2="","",SUMIF('07_Pallet_Contents'!$A$2:$A$3000,$A2,'07_Pallet_Contents'!$I$2:$I$3000))</f>
        <v/>
      </c>
      <c r="Z179">
        <f>IF($A2="","",IF(COUNTIF('07_Pallet_Contents'!$A$2:$A$3000,$A2)&gt;0,"Yes",""))</f>
        <v/>
      </c>
    </row>
    <row r="180" ht="27.75" customHeight="1" s="91">
      <c r="A180" s="4" t="inlineStr">
        <is>
          <t>PAL-0000180</t>
        </is>
      </c>
      <c r="B180" s="4" t="n"/>
      <c r="D180">
        <f>IF($C180="","",IFERROR(LOOKUP(2,1/('03_Warehouse_Movements'!$C$2:$C$500=$A180),'03_Warehouse_Movements'!$E$2:$E$500),$C180))</f>
        <v/>
      </c>
      <c r="E180" t="inlineStr">
        <is>
          <t>STANDARD</t>
        </is>
      </c>
      <c r="G180" s="23" t="n"/>
      <c r="H180" s="3">
        <f>IF(AND($F180="TEMP",$G180&gt;0,$M180&lt;&gt;""),$M180+$G180,"")</f>
        <v/>
      </c>
      <c r="I180" s="3" t="n"/>
      <c r="J180" s="4" t="n"/>
      <c r="K180" s="3" t="n"/>
      <c r="L180" s="4" t="n"/>
      <c r="M180" s="45">
        <f>IF($C180="","",IFERROR(LOOKUP(2,1/('03_Warehouse_Movements'!$C$2:$C$500=$A180),'03_Warehouse_Movements'!$A$2:$A$500),""))</f>
        <v/>
      </c>
      <c r="N180" s="4">
        <f>IF($C180="","",IFERROR(LOOKUP(2,1/('03_Warehouse_Movements'!$C$2:$C$500=$A180),'03_Warehouse_Movements'!$H$2:$H$500),""))</f>
        <v/>
      </c>
      <c r="O180" s="4">
        <f>A180</f>
        <v/>
      </c>
      <c r="Q180" s="25" t="n"/>
      <c r="R180" s="24" t="n"/>
      <c r="W180">
        <f>IF($A2="","",COUNTIF('07_Pallet_Contents'!$A$2:$A$3000,$A2))</f>
        <v/>
      </c>
      <c r="X180">
        <f>IF($A2="","",SUMIF('07_Pallet_Contents'!$A$2:$A$3000,$A2,'07_Pallet_Contents'!$D$2:$D$3000))</f>
        <v/>
      </c>
      <c r="Y180">
        <f>IF($A2="","",SUMIF('07_Pallet_Contents'!$A$2:$A$3000,$A2,'07_Pallet_Contents'!$I$2:$I$3000))</f>
        <v/>
      </c>
      <c r="Z180">
        <f>IF($A2="","",IF(COUNTIF('07_Pallet_Contents'!$A$2:$A$3000,$A2)&gt;0,"Yes",""))</f>
        <v/>
      </c>
    </row>
    <row r="181" ht="27.75" customHeight="1" s="91">
      <c r="A181" s="4" t="inlineStr">
        <is>
          <t>PAL-0000181</t>
        </is>
      </c>
      <c r="B181" s="4" t="n"/>
      <c r="D181">
        <f>IF($C181="","",IFERROR(LOOKUP(2,1/('03_Warehouse_Movements'!$C$2:$C$500=$A181),'03_Warehouse_Movements'!$E$2:$E$500),$C181))</f>
        <v/>
      </c>
      <c r="E181" t="inlineStr">
        <is>
          <t>STANDARD</t>
        </is>
      </c>
      <c r="G181" s="23" t="n"/>
      <c r="H181" s="3">
        <f>IF(AND($F181="TEMP",$G181&gt;0,$M181&lt;&gt;""),$M181+$G181,"")</f>
        <v/>
      </c>
      <c r="I181" s="3" t="n"/>
      <c r="J181" s="4" t="n"/>
      <c r="K181" s="3" t="n"/>
      <c r="L181" s="4" t="n"/>
      <c r="M181" s="45">
        <f>IF($C181="","",IFERROR(LOOKUP(2,1/('03_Warehouse_Movements'!$C$2:$C$500=$A181),'03_Warehouse_Movements'!$A$2:$A$500),""))</f>
        <v/>
      </c>
      <c r="N181" s="4">
        <f>IF($C181="","",IFERROR(LOOKUP(2,1/('03_Warehouse_Movements'!$C$2:$C$500=$A181),'03_Warehouse_Movements'!$H$2:$H$500),""))</f>
        <v/>
      </c>
      <c r="O181" s="4">
        <f>A181</f>
        <v/>
      </c>
      <c r="Q181" s="25" t="n"/>
      <c r="R181" s="24" t="n"/>
      <c r="W181">
        <f>IF($A2="","",COUNTIF('07_Pallet_Contents'!$A$2:$A$3000,$A2))</f>
        <v/>
      </c>
      <c r="X181">
        <f>IF($A2="","",SUMIF('07_Pallet_Contents'!$A$2:$A$3000,$A2,'07_Pallet_Contents'!$D$2:$D$3000))</f>
        <v/>
      </c>
      <c r="Y181">
        <f>IF($A2="","",SUMIF('07_Pallet_Contents'!$A$2:$A$3000,$A2,'07_Pallet_Contents'!$I$2:$I$3000))</f>
        <v/>
      </c>
      <c r="Z181">
        <f>IF($A2="","",IF(COUNTIF('07_Pallet_Contents'!$A$2:$A$3000,$A2)&gt;0,"Yes",""))</f>
        <v/>
      </c>
    </row>
    <row r="182" ht="27.75" customHeight="1" s="91">
      <c r="A182" s="4" t="inlineStr">
        <is>
          <t>PAL-0000182</t>
        </is>
      </c>
      <c r="B182" s="4" t="n"/>
      <c r="D182">
        <f>IF($C182="","",IFERROR(LOOKUP(2,1/('03_Warehouse_Movements'!$C$2:$C$500=$A182),'03_Warehouse_Movements'!$E$2:$E$500),$C182))</f>
        <v/>
      </c>
      <c r="E182" t="inlineStr">
        <is>
          <t>STANDARD</t>
        </is>
      </c>
      <c r="G182" s="23" t="n"/>
      <c r="H182" s="3">
        <f>IF(AND($F182="TEMP",$G182&gt;0,$M182&lt;&gt;""),$M182+$G182,"")</f>
        <v/>
      </c>
      <c r="I182" s="3" t="n"/>
      <c r="J182" s="4" t="n"/>
      <c r="K182" s="3" t="n"/>
      <c r="L182" s="4" t="n"/>
      <c r="M182" s="45">
        <f>IF($C182="","",IFERROR(LOOKUP(2,1/('03_Warehouse_Movements'!$C$2:$C$500=$A182),'03_Warehouse_Movements'!$A$2:$A$500),""))</f>
        <v/>
      </c>
      <c r="N182" s="4">
        <f>IF($C182="","",IFERROR(LOOKUP(2,1/('03_Warehouse_Movements'!$C$2:$C$500=$A182),'03_Warehouse_Movements'!$H$2:$H$500),""))</f>
        <v/>
      </c>
      <c r="O182" s="4">
        <f>A182</f>
        <v/>
      </c>
      <c r="Q182" s="25" t="n"/>
      <c r="R182" s="24" t="n"/>
      <c r="W182">
        <f>IF($A2="","",COUNTIF('07_Pallet_Contents'!$A$2:$A$3000,$A2))</f>
        <v/>
      </c>
      <c r="X182">
        <f>IF($A2="","",SUMIF('07_Pallet_Contents'!$A$2:$A$3000,$A2,'07_Pallet_Contents'!$D$2:$D$3000))</f>
        <v/>
      </c>
      <c r="Y182">
        <f>IF($A2="","",SUMIF('07_Pallet_Contents'!$A$2:$A$3000,$A2,'07_Pallet_Contents'!$I$2:$I$3000))</f>
        <v/>
      </c>
      <c r="Z182">
        <f>IF($A2="","",IF(COUNTIF('07_Pallet_Contents'!$A$2:$A$3000,$A2)&gt;0,"Yes",""))</f>
        <v/>
      </c>
    </row>
    <row r="183" ht="27.75" customHeight="1" s="91">
      <c r="A183" s="4" t="inlineStr">
        <is>
          <t>PAL-0000183</t>
        </is>
      </c>
      <c r="B183" s="4" t="n"/>
      <c r="D183">
        <f>IF($C183="","",IFERROR(LOOKUP(2,1/('03_Warehouse_Movements'!$C$2:$C$500=$A183),'03_Warehouse_Movements'!$E$2:$E$500),$C183))</f>
        <v/>
      </c>
      <c r="E183" t="inlineStr">
        <is>
          <t>STANDARD</t>
        </is>
      </c>
      <c r="G183" s="23" t="n"/>
      <c r="H183" s="3">
        <f>IF(AND($F183="TEMP",$G183&gt;0,$M183&lt;&gt;""),$M183+$G183,"")</f>
        <v/>
      </c>
      <c r="I183" s="3" t="n"/>
      <c r="J183" s="4" t="n"/>
      <c r="K183" s="3" t="n"/>
      <c r="L183" s="4" t="n"/>
      <c r="M183" s="45">
        <f>IF($C183="","",IFERROR(LOOKUP(2,1/('03_Warehouse_Movements'!$C$2:$C$500=$A183),'03_Warehouse_Movements'!$A$2:$A$500),""))</f>
        <v/>
      </c>
      <c r="N183" s="4">
        <f>IF($C183="","",IFERROR(LOOKUP(2,1/('03_Warehouse_Movements'!$C$2:$C$500=$A183),'03_Warehouse_Movements'!$H$2:$H$500),""))</f>
        <v/>
      </c>
      <c r="O183" s="4">
        <f>A183</f>
        <v/>
      </c>
      <c r="Q183" s="25" t="n"/>
      <c r="R183" s="24" t="n"/>
      <c r="W183">
        <f>IF($A2="","",COUNTIF('07_Pallet_Contents'!$A$2:$A$3000,$A2))</f>
        <v/>
      </c>
      <c r="X183">
        <f>IF($A2="","",SUMIF('07_Pallet_Contents'!$A$2:$A$3000,$A2,'07_Pallet_Contents'!$D$2:$D$3000))</f>
        <v/>
      </c>
      <c r="Y183">
        <f>IF($A2="","",SUMIF('07_Pallet_Contents'!$A$2:$A$3000,$A2,'07_Pallet_Contents'!$I$2:$I$3000))</f>
        <v/>
      </c>
      <c r="Z183">
        <f>IF($A2="","",IF(COUNTIF('07_Pallet_Contents'!$A$2:$A$3000,$A2)&gt;0,"Yes",""))</f>
        <v/>
      </c>
    </row>
    <row r="184" ht="27.75" customHeight="1" s="91">
      <c r="A184" s="4" t="inlineStr">
        <is>
          <t>PAL-0000184</t>
        </is>
      </c>
      <c r="B184" s="4" t="n"/>
      <c r="D184">
        <f>IF($C184="","",IFERROR(LOOKUP(2,1/('03_Warehouse_Movements'!$C$2:$C$500=$A184),'03_Warehouse_Movements'!$E$2:$E$500),$C184))</f>
        <v/>
      </c>
      <c r="E184" t="inlineStr">
        <is>
          <t>STANDARD</t>
        </is>
      </c>
      <c r="G184" s="23" t="n"/>
      <c r="H184" s="3">
        <f>IF(AND($F184="TEMP",$G184&gt;0,$M184&lt;&gt;""),$M184+$G184,"")</f>
        <v/>
      </c>
      <c r="I184" s="3" t="n"/>
      <c r="J184" s="4" t="n"/>
      <c r="K184" s="3" t="n"/>
      <c r="L184" s="4" t="n"/>
      <c r="M184" s="45">
        <f>IF($C184="","",IFERROR(LOOKUP(2,1/('03_Warehouse_Movements'!$C$2:$C$500=$A184),'03_Warehouse_Movements'!$A$2:$A$500),""))</f>
        <v/>
      </c>
      <c r="N184" s="4">
        <f>IF($C184="","",IFERROR(LOOKUP(2,1/('03_Warehouse_Movements'!$C$2:$C$500=$A184),'03_Warehouse_Movements'!$H$2:$H$500),""))</f>
        <v/>
      </c>
      <c r="O184" s="4">
        <f>A184</f>
        <v/>
      </c>
      <c r="Q184" s="25" t="n"/>
      <c r="R184" s="24" t="n"/>
      <c r="W184">
        <f>IF($A2="","",COUNTIF('07_Pallet_Contents'!$A$2:$A$3000,$A2))</f>
        <v/>
      </c>
      <c r="X184">
        <f>IF($A2="","",SUMIF('07_Pallet_Contents'!$A$2:$A$3000,$A2,'07_Pallet_Contents'!$D$2:$D$3000))</f>
        <v/>
      </c>
      <c r="Y184">
        <f>IF($A2="","",SUMIF('07_Pallet_Contents'!$A$2:$A$3000,$A2,'07_Pallet_Contents'!$I$2:$I$3000))</f>
        <v/>
      </c>
      <c r="Z184">
        <f>IF($A2="","",IF(COUNTIF('07_Pallet_Contents'!$A$2:$A$3000,$A2)&gt;0,"Yes",""))</f>
        <v/>
      </c>
    </row>
    <row r="185" ht="27.75" customHeight="1" s="91">
      <c r="A185" s="4" t="inlineStr">
        <is>
          <t>PAL-0000185</t>
        </is>
      </c>
      <c r="B185" s="4" t="n"/>
      <c r="D185">
        <f>IF($C185="","",IFERROR(LOOKUP(2,1/('03_Warehouse_Movements'!$C$2:$C$500=$A185),'03_Warehouse_Movements'!$E$2:$E$500),$C185))</f>
        <v/>
      </c>
      <c r="E185" t="inlineStr">
        <is>
          <t>STANDARD</t>
        </is>
      </c>
      <c r="G185" s="23" t="n"/>
      <c r="H185" s="3">
        <f>IF(AND($F185="TEMP",$G185&gt;0,$M185&lt;&gt;""),$M185+$G185,"")</f>
        <v/>
      </c>
      <c r="I185" s="3" t="n"/>
      <c r="J185" s="4" t="n"/>
      <c r="K185" s="3" t="n"/>
      <c r="L185" s="4" t="n"/>
      <c r="M185" s="45">
        <f>IF($C185="","",IFERROR(LOOKUP(2,1/('03_Warehouse_Movements'!$C$2:$C$500=$A185),'03_Warehouse_Movements'!$A$2:$A$500),""))</f>
        <v/>
      </c>
      <c r="N185" s="4">
        <f>IF($C185="","",IFERROR(LOOKUP(2,1/('03_Warehouse_Movements'!$C$2:$C$500=$A185),'03_Warehouse_Movements'!$H$2:$H$500),""))</f>
        <v/>
      </c>
      <c r="O185" s="4">
        <f>A185</f>
        <v/>
      </c>
      <c r="Q185" s="25" t="n"/>
      <c r="R185" s="24" t="n"/>
      <c r="W185">
        <f>IF($A2="","",COUNTIF('07_Pallet_Contents'!$A$2:$A$3000,$A2))</f>
        <v/>
      </c>
      <c r="X185">
        <f>IF($A2="","",SUMIF('07_Pallet_Contents'!$A$2:$A$3000,$A2,'07_Pallet_Contents'!$D$2:$D$3000))</f>
        <v/>
      </c>
      <c r="Y185">
        <f>IF($A2="","",SUMIF('07_Pallet_Contents'!$A$2:$A$3000,$A2,'07_Pallet_Contents'!$I$2:$I$3000))</f>
        <v/>
      </c>
      <c r="Z185">
        <f>IF($A2="","",IF(COUNTIF('07_Pallet_Contents'!$A$2:$A$3000,$A2)&gt;0,"Yes",""))</f>
        <v/>
      </c>
    </row>
    <row r="186" ht="27.75" customHeight="1" s="91">
      <c r="A186" s="4" t="inlineStr">
        <is>
          <t>PAL-0000186</t>
        </is>
      </c>
      <c r="B186" s="4" t="n"/>
      <c r="D186">
        <f>IF($C186="","",IFERROR(LOOKUP(2,1/('03_Warehouse_Movements'!$C$2:$C$500=$A186),'03_Warehouse_Movements'!$E$2:$E$500),$C186))</f>
        <v/>
      </c>
      <c r="E186" t="inlineStr">
        <is>
          <t>STANDARD</t>
        </is>
      </c>
      <c r="G186" s="23" t="n"/>
      <c r="H186" s="3">
        <f>IF(AND($F186="TEMP",$G186&gt;0,$M186&lt;&gt;""),$M186+$G186,"")</f>
        <v/>
      </c>
      <c r="I186" s="3" t="n"/>
      <c r="J186" s="4" t="n"/>
      <c r="K186" s="3" t="n"/>
      <c r="L186" s="4" t="n"/>
      <c r="M186" s="45">
        <f>IF($C186="","",IFERROR(LOOKUP(2,1/('03_Warehouse_Movements'!$C$2:$C$500=$A186),'03_Warehouse_Movements'!$A$2:$A$500),""))</f>
        <v/>
      </c>
      <c r="N186" s="4">
        <f>IF($C186="","",IFERROR(LOOKUP(2,1/('03_Warehouse_Movements'!$C$2:$C$500=$A186),'03_Warehouse_Movements'!$H$2:$H$500),""))</f>
        <v/>
      </c>
      <c r="O186" s="4">
        <f>A186</f>
        <v/>
      </c>
      <c r="Q186" s="25" t="n"/>
      <c r="R186" s="24" t="n"/>
      <c r="W186">
        <f>IF($A2="","",COUNTIF('07_Pallet_Contents'!$A$2:$A$3000,$A2))</f>
        <v/>
      </c>
      <c r="X186">
        <f>IF($A2="","",SUMIF('07_Pallet_Contents'!$A$2:$A$3000,$A2,'07_Pallet_Contents'!$D$2:$D$3000))</f>
        <v/>
      </c>
      <c r="Y186">
        <f>IF($A2="","",SUMIF('07_Pallet_Contents'!$A$2:$A$3000,$A2,'07_Pallet_Contents'!$I$2:$I$3000))</f>
        <v/>
      </c>
      <c r="Z186">
        <f>IF($A2="","",IF(COUNTIF('07_Pallet_Contents'!$A$2:$A$3000,$A2)&gt;0,"Yes",""))</f>
        <v/>
      </c>
    </row>
    <row r="187" ht="27.75" customHeight="1" s="91">
      <c r="A187" s="4" t="inlineStr">
        <is>
          <t>PAL-0000187</t>
        </is>
      </c>
      <c r="B187" s="4" t="n"/>
      <c r="D187">
        <f>IF($C187="","",IFERROR(LOOKUP(2,1/('03_Warehouse_Movements'!$C$2:$C$500=$A187),'03_Warehouse_Movements'!$E$2:$E$500),$C187))</f>
        <v/>
      </c>
      <c r="E187" t="inlineStr">
        <is>
          <t>STANDARD</t>
        </is>
      </c>
      <c r="G187" s="23" t="n"/>
      <c r="H187" s="3">
        <f>IF(AND($F187="TEMP",$G187&gt;0,$M187&lt;&gt;""),$M187+$G187,"")</f>
        <v/>
      </c>
      <c r="I187" s="3" t="n"/>
      <c r="J187" s="4" t="n"/>
      <c r="K187" s="3" t="n"/>
      <c r="L187" s="4" t="n"/>
      <c r="M187" s="45">
        <f>IF($C187="","",IFERROR(LOOKUP(2,1/('03_Warehouse_Movements'!$C$2:$C$500=$A187),'03_Warehouse_Movements'!$A$2:$A$500),""))</f>
        <v/>
      </c>
      <c r="N187" s="4">
        <f>IF($C187="","",IFERROR(LOOKUP(2,1/('03_Warehouse_Movements'!$C$2:$C$500=$A187),'03_Warehouse_Movements'!$H$2:$H$500),""))</f>
        <v/>
      </c>
      <c r="O187" s="4">
        <f>A187</f>
        <v/>
      </c>
      <c r="Q187" s="25" t="n"/>
      <c r="R187" s="24" t="n"/>
      <c r="W187">
        <f>IF($A2="","",COUNTIF('07_Pallet_Contents'!$A$2:$A$3000,$A2))</f>
        <v/>
      </c>
      <c r="X187">
        <f>IF($A2="","",SUMIF('07_Pallet_Contents'!$A$2:$A$3000,$A2,'07_Pallet_Contents'!$D$2:$D$3000))</f>
        <v/>
      </c>
      <c r="Y187">
        <f>IF($A2="","",SUMIF('07_Pallet_Contents'!$A$2:$A$3000,$A2,'07_Pallet_Contents'!$I$2:$I$3000))</f>
        <v/>
      </c>
      <c r="Z187">
        <f>IF($A2="","",IF(COUNTIF('07_Pallet_Contents'!$A$2:$A$3000,$A2)&gt;0,"Yes",""))</f>
        <v/>
      </c>
    </row>
    <row r="188" ht="27.75" customHeight="1" s="91">
      <c r="A188" s="4" t="inlineStr">
        <is>
          <t>PAL-0000188</t>
        </is>
      </c>
      <c r="B188" s="4" t="n"/>
      <c r="D188">
        <f>IF($C188="","",IFERROR(LOOKUP(2,1/('03_Warehouse_Movements'!$C$2:$C$500=$A188),'03_Warehouse_Movements'!$E$2:$E$500),$C188))</f>
        <v/>
      </c>
      <c r="E188" t="inlineStr">
        <is>
          <t>STANDARD</t>
        </is>
      </c>
      <c r="G188" s="23" t="n"/>
      <c r="H188" s="3">
        <f>IF(AND($F188="TEMP",$G188&gt;0,$M188&lt;&gt;""),$M188+$G188,"")</f>
        <v/>
      </c>
      <c r="I188" s="3" t="n"/>
      <c r="J188" s="4" t="n"/>
      <c r="K188" s="3" t="n"/>
      <c r="L188" s="4" t="n"/>
      <c r="M188" s="45">
        <f>IF($C188="","",IFERROR(LOOKUP(2,1/('03_Warehouse_Movements'!$C$2:$C$500=$A188),'03_Warehouse_Movements'!$A$2:$A$500),""))</f>
        <v/>
      </c>
      <c r="N188" s="4">
        <f>IF($C188="","",IFERROR(LOOKUP(2,1/('03_Warehouse_Movements'!$C$2:$C$500=$A188),'03_Warehouse_Movements'!$H$2:$H$500),""))</f>
        <v/>
      </c>
      <c r="O188" s="4">
        <f>A188</f>
        <v/>
      </c>
      <c r="Q188" s="25" t="n"/>
      <c r="R188" s="24" t="n"/>
      <c r="W188">
        <f>IF($A2="","",COUNTIF('07_Pallet_Contents'!$A$2:$A$3000,$A2))</f>
        <v/>
      </c>
      <c r="X188">
        <f>IF($A2="","",SUMIF('07_Pallet_Contents'!$A$2:$A$3000,$A2,'07_Pallet_Contents'!$D$2:$D$3000))</f>
        <v/>
      </c>
      <c r="Y188">
        <f>IF($A2="","",SUMIF('07_Pallet_Contents'!$A$2:$A$3000,$A2,'07_Pallet_Contents'!$I$2:$I$3000))</f>
        <v/>
      </c>
      <c r="Z188">
        <f>IF($A2="","",IF(COUNTIF('07_Pallet_Contents'!$A$2:$A$3000,$A2)&gt;0,"Yes",""))</f>
        <v/>
      </c>
    </row>
    <row r="189" ht="27.75" customHeight="1" s="91">
      <c r="A189" s="4" t="inlineStr">
        <is>
          <t>PAL-0000189</t>
        </is>
      </c>
      <c r="B189" s="4" t="n"/>
      <c r="D189">
        <f>IF($C189="","",IFERROR(LOOKUP(2,1/('03_Warehouse_Movements'!$C$2:$C$500=$A189),'03_Warehouse_Movements'!$E$2:$E$500),$C189))</f>
        <v/>
      </c>
      <c r="E189" t="inlineStr">
        <is>
          <t>STANDARD</t>
        </is>
      </c>
      <c r="G189" s="23" t="n"/>
      <c r="H189" s="3">
        <f>IF(AND($F189="TEMP",$G189&gt;0,$M189&lt;&gt;""),$M189+$G189,"")</f>
        <v/>
      </c>
      <c r="I189" s="3" t="n"/>
      <c r="J189" s="4" t="n"/>
      <c r="K189" s="3" t="n"/>
      <c r="L189" s="4" t="n"/>
      <c r="M189" s="45">
        <f>IF($C189="","",IFERROR(LOOKUP(2,1/('03_Warehouse_Movements'!$C$2:$C$500=$A189),'03_Warehouse_Movements'!$A$2:$A$500),""))</f>
        <v/>
      </c>
      <c r="N189" s="4">
        <f>IF($C189="","",IFERROR(LOOKUP(2,1/('03_Warehouse_Movements'!$C$2:$C$500=$A189),'03_Warehouse_Movements'!$H$2:$H$500),""))</f>
        <v/>
      </c>
      <c r="O189" s="4">
        <f>A189</f>
        <v/>
      </c>
      <c r="Q189" s="25" t="n"/>
      <c r="R189" s="24" t="n"/>
      <c r="W189">
        <f>IF($A2="","",COUNTIF('07_Pallet_Contents'!$A$2:$A$3000,$A2))</f>
        <v/>
      </c>
      <c r="X189">
        <f>IF($A2="","",SUMIF('07_Pallet_Contents'!$A$2:$A$3000,$A2,'07_Pallet_Contents'!$D$2:$D$3000))</f>
        <v/>
      </c>
      <c r="Y189">
        <f>IF($A2="","",SUMIF('07_Pallet_Contents'!$A$2:$A$3000,$A2,'07_Pallet_Contents'!$I$2:$I$3000))</f>
        <v/>
      </c>
      <c r="Z189">
        <f>IF($A2="","",IF(COUNTIF('07_Pallet_Contents'!$A$2:$A$3000,$A2)&gt;0,"Yes",""))</f>
        <v/>
      </c>
    </row>
    <row r="190" ht="27.75" customHeight="1" s="91">
      <c r="A190" s="4" t="inlineStr">
        <is>
          <t>PAL-0000190</t>
        </is>
      </c>
      <c r="B190" s="4" t="n"/>
      <c r="D190">
        <f>IF($C190="","",IFERROR(LOOKUP(2,1/('03_Warehouse_Movements'!$C$2:$C$500=$A190),'03_Warehouse_Movements'!$E$2:$E$500),$C190))</f>
        <v/>
      </c>
      <c r="E190" t="inlineStr">
        <is>
          <t>STANDARD</t>
        </is>
      </c>
      <c r="G190" s="23" t="n"/>
      <c r="H190" s="3">
        <f>IF(AND($F190="TEMP",$G190&gt;0,$M190&lt;&gt;""),$M190+$G190,"")</f>
        <v/>
      </c>
      <c r="I190" s="3" t="n"/>
      <c r="J190" s="4" t="n"/>
      <c r="K190" s="3" t="n"/>
      <c r="L190" s="4" t="n"/>
      <c r="M190" s="45">
        <f>IF($C190="","",IFERROR(LOOKUP(2,1/('03_Warehouse_Movements'!$C$2:$C$500=$A190),'03_Warehouse_Movements'!$A$2:$A$500),""))</f>
        <v/>
      </c>
      <c r="N190" s="4">
        <f>IF($C190="","",IFERROR(LOOKUP(2,1/('03_Warehouse_Movements'!$C$2:$C$500=$A190),'03_Warehouse_Movements'!$H$2:$H$500),""))</f>
        <v/>
      </c>
      <c r="O190" s="4">
        <f>A190</f>
        <v/>
      </c>
      <c r="Q190" s="25" t="n"/>
      <c r="R190" s="24" t="n"/>
      <c r="W190">
        <f>IF($A2="","",COUNTIF('07_Pallet_Contents'!$A$2:$A$3000,$A2))</f>
        <v/>
      </c>
      <c r="X190">
        <f>IF($A2="","",SUMIF('07_Pallet_Contents'!$A$2:$A$3000,$A2,'07_Pallet_Contents'!$D$2:$D$3000))</f>
        <v/>
      </c>
      <c r="Y190">
        <f>IF($A2="","",SUMIF('07_Pallet_Contents'!$A$2:$A$3000,$A2,'07_Pallet_Contents'!$I$2:$I$3000))</f>
        <v/>
      </c>
      <c r="Z190">
        <f>IF($A2="","",IF(COUNTIF('07_Pallet_Contents'!$A$2:$A$3000,$A2)&gt;0,"Yes",""))</f>
        <v/>
      </c>
    </row>
    <row r="191" ht="27.75" customHeight="1" s="91">
      <c r="A191" s="4" t="inlineStr">
        <is>
          <t>PAL-0000191</t>
        </is>
      </c>
      <c r="B191" s="4" t="n"/>
      <c r="D191">
        <f>IF($C191="","",IFERROR(LOOKUP(2,1/('03_Warehouse_Movements'!$C$2:$C$500=$A191),'03_Warehouse_Movements'!$E$2:$E$500),$C191))</f>
        <v/>
      </c>
      <c r="E191" t="inlineStr">
        <is>
          <t>STANDARD</t>
        </is>
      </c>
      <c r="G191" s="23" t="n"/>
      <c r="H191" s="3">
        <f>IF(AND($F191="TEMP",$G191&gt;0,$M191&lt;&gt;""),$M191+$G191,"")</f>
        <v/>
      </c>
      <c r="I191" s="3" t="n"/>
      <c r="J191" s="4" t="n"/>
      <c r="K191" s="3" t="n"/>
      <c r="L191" s="4" t="n"/>
      <c r="M191" s="45">
        <f>IF($C191="","",IFERROR(LOOKUP(2,1/('03_Warehouse_Movements'!$C$2:$C$500=$A191),'03_Warehouse_Movements'!$A$2:$A$500),""))</f>
        <v/>
      </c>
      <c r="N191" s="4">
        <f>IF($C191="","",IFERROR(LOOKUP(2,1/('03_Warehouse_Movements'!$C$2:$C$500=$A191),'03_Warehouse_Movements'!$H$2:$H$500),""))</f>
        <v/>
      </c>
      <c r="O191" s="4">
        <f>A191</f>
        <v/>
      </c>
      <c r="Q191" s="25" t="n"/>
      <c r="R191" s="24" t="n"/>
      <c r="W191">
        <f>IF($A2="","",COUNTIF('07_Pallet_Contents'!$A$2:$A$3000,$A2))</f>
        <v/>
      </c>
      <c r="X191">
        <f>IF($A2="","",SUMIF('07_Pallet_Contents'!$A$2:$A$3000,$A2,'07_Pallet_Contents'!$D$2:$D$3000))</f>
        <v/>
      </c>
      <c r="Y191">
        <f>IF($A2="","",SUMIF('07_Pallet_Contents'!$A$2:$A$3000,$A2,'07_Pallet_Contents'!$I$2:$I$3000))</f>
        <v/>
      </c>
      <c r="Z191">
        <f>IF($A2="","",IF(COUNTIF('07_Pallet_Contents'!$A$2:$A$3000,$A2)&gt;0,"Yes",""))</f>
        <v/>
      </c>
    </row>
    <row r="192" ht="27.75" customHeight="1" s="91">
      <c r="A192" s="4" t="inlineStr">
        <is>
          <t>PAL-0000192</t>
        </is>
      </c>
      <c r="B192" s="4" t="n"/>
      <c r="D192">
        <f>IF($C192="","",IFERROR(LOOKUP(2,1/('03_Warehouse_Movements'!$C$2:$C$500=$A192),'03_Warehouse_Movements'!$E$2:$E$500),$C192))</f>
        <v/>
      </c>
      <c r="E192" t="inlineStr">
        <is>
          <t>STANDARD</t>
        </is>
      </c>
      <c r="G192" s="23" t="n"/>
      <c r="H192" s="3">
        <f>IF(AND($F192="TEMP",$G192&gt;0,$M192&lt;&gt;""),$M192+$G192,"")</f>
        <v/>
      </c>
      <c r="I192" s="3" t="n"/>
      <c r="J192" s="4" t="n"/>
      <c r="K192" s="3" t="n"/>
      <c r="L192" s="4" t="n"/>
      <c r="M192" s="45">
        <f>IF($C192="","",IFERROR(LOOKUP(2,1/('03_Warehouse_Movements'!$C$2:$C$500=$A192),'03_Warehouse_Movements'!$A$2:$A$500),""))</f>
        <v/>
      </c>
      <c r="N192" s="4">
        <f>IF($C192="","",IFERROR(LOOKUP(2,1/('03_Warehouse_Movements'!$C$2:$C$500=$A192),'03_Warehouse_Movements'!$H$2:$H$500),""))</f>
        <v/>
      </c>
      <c r="O192" s="4">
        <f>A192</f>
        <v/>
      </c>
      <c r="Q192" s="25" t="n"/>
      <c r="R192" s="24" t="n"/>
      <c r="W192">
        <f>IF($A2="","",COUNTIF('07_Pallet_Contents'!$A$2:$A$3000,$A2))</f>
        <v/>
      </c>
      <c r="X192">
        <f>IF($A2="","",SUMIF('07_Pallet_Contents'!$A$2:$A$3000,$A2,'07_Pallet_Contents'!$D$2:$D$3000))</f>
        <v/>
      </c>
      <c r="Y192">
        <f>IF($A2="","",SUMIF('07_Pallet_Contents'!$A$2:$A$3000,$A2,'07_Pallet_Contents'!$I$2:$I$3000))</f>
        <v/>
      </c>
      <c r="Z192">
        <f>IF($A2="","",IF(COUNTIF('07_Pallet_Contents'!$A$2:$A$3000,$A2)&gt;0,"Yes",""))</f>
        <v/>
      </c>
    </row>
    <row r="193" ht="27.75" customHeight="1" s="91">
      <c r="A193" s="4" t="inlineStr">
        <is>
          <t>PAL-0000193</t>
        </is>
      </c>
      <c r="B193" s="4" t="n"/>
      <c r="D193">
        <f>IF($C193="","",IFERROR(LOOKUP(2,1/('03_Warehouse_Movements'!$C$2:$C$500=$A193),'03_Warehouse_Movements'!$E$2:$E$500),$C193))</f>
        <v/>
      </c>
      <c r="E193" t="inlineStr">
        <is>
          <t>STANDARD</t>
        </is>
      </c>
      <c r="G193" s="23" t="n"/>
      <c r="H193" s="3">
        <f>IF(AND($F193="TEMP",$G193&gt;0,$M193&lt;&gt;""),$M193+$G193,"")</f>
        <v/>
      </c>
      <c r="I193" s="3" t="n"/>
      <c r="J193" s="4" t="n"/>
      <c r="K193" s="3" t="n"/>
      <c r="L193" s="4" t="n"/>
      <c r="M193" s="45">
        <f>IF($C193="","",IFERROR(LOOKUP(2,1/('03_Warehouse_Movements'!$C$2:$C$500=$A193),'03_Warehouse_Movements'!$A$2:$A$500),""))</f>
        <v/>
      </c>
      <c r="N193" s="4">
        <f>IF($C193="","",IFERROR(LOOKUP(2,1/('03_Warehouse_Movements'!$C$2:$C$500=$A193),'03_Warehouse_Movements'!$H$2:$H$500),""))</f>
        <v/>
      </c>
      <c r="O193" s="4">
        <f>A193</f>
        <v/>
      </c>
      <c r="Q193" s="25" t="n"/>
      <c r="R193" s="24" t="n"/>
      <c r="W193">
        <f>IF($A2="","",COUNTIF('07_Pallet_Contents'!$A$2:$A$3000,$A2))</f>
        <v/>
      </c>
      <c r="X193">
        <f>IF($A2="","",SUMIF('07_Pallet_Contents'!$A$2:$A$3000,$A2,'07_Pallet_Contents'!$D$2:$D$3000))</f>
        <v/>
      </c>
      <c r="Y193">
        <f>IF($A2="","",SUMIF('07_Pallet_Contents'!$A$2:$A$3000,$A2,'07_Pallet_Contents'!$I$2:$I$3000))</f>
        <v/>
      </c>
      <c r="Z193">
        <f>IF($A2="","",IF(COUNTIF('07_Pallet_Contents'!$A$2:$A$3000,$A2)&gt;0,"Yes",""))</f>
        <v/>
      </c>
    </row>
    <row r="194" ht="27.75" customHeight="1" s="91">
      <c r="A194" s="4" t="inlineStr">
        <is>
          <t>PAL-0000194</t>
        </is>
      </c>
      <c r="B194" s="4" t="n"/>
      <c r="D194">
        <f>IF($C194="","",IFERROR(LOOKUP(2,1/('03_Warehouse_Movements'!$C$2:$C$500=$A194),'03_Warehouse_Movements'!$E$2:$E$500),$C194))</f>
        <v/>
      </c>
      <c r="E194" t="inlineStr">
        <is>
          <t>STANDARD</t>
        </is>
      </c>
      <c r="G194" s="23" t="n"/>
      <c r="H194" s="3">
        <f>IF(AND($F194="TEMP",$G194&gt;0,$M194&lt;&gt;""),$M194+$G194,"")</f>
        <v/>
      </c>
      <c r="I194" s="3" t="n"/>
      <c r="J194" s="4" t="n"/>
      <c r="K194" s="3" t="n"/>
      <c r="L194" s="4" t="n"/>
      <c r="M194" s="45">
        <f>IF($C194="","",IFERROR(LOOKUP(2,1/('03_Warehouse_Movements'!$C$2:$C$500=$A194),'03_Warehouse_Movements'!$A$2:$A$500),""))</f>
        <v/>
      </c>
      <c r="N194" s="4">
        <f>IF($C194="","",IFERROR(LOOKUP(2,1/('03_Warehouse_Movements'!$C$2:$C$500=$A194),'03_Warehouse_Movements'!$H$2:$H$500),""))</f>
        <v/>
      </c>
      <c r="O194" s="4">
        <f>A194</f>
        <v/>
      </c>
      <c r="Q194" s="25" t="n"/>
      <c r="R194" s="24" t="n"/>
      <c r="W194">
        <f>IF($A2="","",COUNTIF('07_Pallet_Contents'!$A$2:$A$3000,$A2))</f>
        <v/>
      </c>
      <c r="X194">
        <f>IF($A2="","",SUMIF('07_Pallet_Contents'!$A$2:$A$3000,$A2,'07_Pallet_Contents'!$D$2:$D$3000))</f>
        <v/>
      </c>
      <c r="Y194">
        <f>IF($A2="","",SUMIF('07_Pallet_Contents'!$A$2:$A$3000,$A2,'07_Pallet_Contents'!$I$2:$I$3000))</f>
        <v/>
      </c>
      <c r="Z194">
        <f>IF($A2="","",IF(COUNTIF('07_Pallet_Contents'!$A$2:$A$3000,$A2)&gt;0,"Yes",""))</f>
        <v/>
      </c>
    </row>
    <row r="195" ht="27.75" customHeight="1" s="91">
      <c r="A195" s="4" t="inlineStr">
        <is>
          <t>PAL-0000195</t>
        </is>
      </c>
      <c r="B195" s="4" t="n"/>
      <c r="D195">
        <f>IF($C195="","",IFERROR(LOOKUP(2,1/('03_Warehouse_Movements'!$C$2:$C$500=$A195),'03_Warehouse_Movements'!$E$2:$E$500),$C195))</f>
        <v/>
      </c>
      <c r="E195" t="inlineStr">
        <is>
          <t>STANDARD</t>
        </is>
      </c>
      <c r="G195" s="23" t="n"/>
      <c r="H195" s="3">
        <f>IF(AND($F195="TEMP",$G195&gt;0,$M195&lt;&gt;""),$M195+$G195,"")</f>
        <v/>
      </c>
      <c r="I195" s="3" t="n"/>
      <c r="J195" s="4" t="n"/>
      <c r="K195" s="3" t="n"/>
      <c r="L195" s="4" t="n"/>
      <c r="M195" s="45">
        <f>IF($C195="","",IFERROR(LOOKUP(2,1/('03_Warehouse_Movements'!$C$2:$C$500=$A195),'03_Warehouse_Movements'!$A$2:$A$500),""))</f>
        <v/>
      </c>
      <c r="N195" s="4">
        <f>IF($C195="","",IFERROR(LOOKUP(2,1/('03_Warehouse_Movements'!$C$2:$C$500=$A195),'03_Warehouse_Movements'!$H$2:$H$500),""))</f>
        <v/>
      </c>
      <c r="O195" s="4">
        <f>A195</f>
        <v/>
      </c>
      <c r="Q195" s="25" t="n"/>
      <c r="R195" s="24" t="n"/>
      <c r="W195">
        <f>IF($A2="","",COUNTIF('07_Pallet_Contents'!$A$2:$A$3000,$A2))</f>
        <v/>
      </c>
      <c r="X195">
        <f>IF($A2="","",SUMIF('07_Pallet_Contents'!$A$2:$A$3000,$A2,'07_Pallet_Contents'!$D$2:$D$3000))</f>
        <v/>
      </c>
      <c r="Y195">
        <f>IF($A2="","",SUMIF('07_Pallet_Contents'!$A$2:$A$3000,$A2,'07_Pallet_Contents'!$I$2:$I$3000))</f>
        <v/>
      </c>
      <c r="Z195">
        <f>IF($A2="","",IF(COUNTIF('07_Pallet_Contents'!$A$2:$A$3000,$A2)&gt;0,"Yes",""))</f>
        <v/>
      </c>
    </row>
    <row r="196" ht="27.75" customHeight="1" s="91">
      <c r="A196" s="4" t="inlineStr">
        <is>
          <t>PAL-0000196</t>
        </is>
      </c>
      <c r="B196" s="4" t="n"/>
      <c r="D196">
        <f>IF($C196="","",IFERROR(LOOKUP(2,1/('03_Warehouse_Movements'!$C$2:$C$500=$A196),'03_Warehouse_Movements'!$E$2:$E$500),$C196))</f>
        <v/>
      </c>
      <c r="E196" t="inlineStr">
        <is>
          <t>STANDARD</t>
        </is>
      </c>
      <c r="G196" s="23" t="n"/>
      <c r="H196" s="3">
        <f>IF(AND($F196="TEMP",$G196&gt;0,$M196&lt;&gt;""),$M196+$G196,"")</f>
        <v/>
      </c>
      <c r="I196" s="3" t="n"/>
      <c r="J196" s="4" t="n"/>
      <c r="K196" s="3" t="n"/>
      <c r="L196" s="4" t="n"/>
      <c r="M196" s="45">
        <f>IF($C196="","",IFERROR(LOOKUP(2,1/('03_Warehouse_Movements'!$C$2:$C$500=$A196),'03_Warehouse_Movements'!$A$2:$A$500),""))</f>
        <v/>
      </c>
      <c r="N196" s="4">
        <f>IF($C196="","",IFERROR(LOOKUP(2,1/('03_Warehouse_Movements'!$C$2:$C$500=$A196),'03_Warehouse_Movements'!$H$2:$H$500),""))</f>
        <v/>
      </c>
      <c r="O196" s="4">
        <f>A196</f>
        <v/>
      </c>
      <c r="Q196" s="25" t="n"/>
      <c r="R196" s="24" t="n"/>
      <c r="W196">
        <f>IF($A2="","",COUNTIF('07_Pallet_Contents'!$A$2:$A$3000,$A2))</f>
        <v/>
      </c>
      <c r="X196">
        <f>IF($A2="","",SUMIF('07_Pallet_Contents'!$A$2:$A$3000,$A2,'07_Pallet_Contents'!$D$2:$D$3000))</f>
        <v/>
      </c>
      <c r="Y196">
        <f>IF($A2="","",SUMIF('07_Pallet_Contents'!$A$2:$A$3000,$A2,'07_Pallet_Contents'!$I$2:$I$3000))</f>
        <v/>
      </c>
      <c r="Z196">
        <f>IF($A2="","",IF(COUNTIF('07_Pallet_Contents'!$A$2:$A$3000,$A2)&gt;0,"Yes",""))</f>
        <v/>
      </c>
    </row>
    <row r="197" ht="27.75" customHeight="1" s="91">
      <c r="A197" s="4" t="inlineStr">
        <is>
          <t>PAL-0000197</t>
        </is>
      </c>
      <c r="B197" s="4" t="n"/>
      <c r="D197">
        <f>IF($C197="","",IFERROR(LOOKUP(2,1/('03_Warehouse_Movements'!$C$2:$C$500=$A197),'03_Warehouse_Movements'!$E$2:$E$500),$C197))</f>
        <v/>
      </c>
      <c r="E197" t="inlineStr">
        <is>
          <t>STANDARD</t>
        </is>
      </c>
      <c r="G197" s="23" t="n"/>
      <c r="H197" s="3">
        <f>IF(AND($F197="TEMP",$G197&gt;0,$M197&lt;&gt;""),$M197+$G197,"")</f>
        <v/>
      </c>
      <c r="I197" s="3" t="n"/>
      <c r="J197" s="4" t="n"/>
      <c r="K197" s="3" t="n"/>
      <c r="L197" s="4" t="n"/>
      <c r="M197" s="45">
        <f>IF($C197="","",IFERROR(LOOKUP(2,1/('03_Warehouse_Movements'!$C$2:$C$500=$A197),'03_Warehouse_Movements'!$A$2:$A$500),""))</f>
        <v/>
      </c>
      <c r="N197" s="4">
        <f>IF($C197="","",IFERROR(LOOKUP(2,1/('03_Warehouse_Movements'!$C$2:$C$500=$A197),'03_Warehouse_Movements'!$H$2:$H$500),""))</f>
        <v/>
      </c>
      <c r="O197" s="4">
        <f>A197</f>
        <v/>
      </c>
      <c r="Q197" s="25" t="n"/>
      <c r="R197" s="24" t="n"/>
      <c r="W197">
        <f>IF($A2="","",COUNTIF('07_Pallet_Contents'!$A$2:$A$3000,$A2))</f>
        <v/>
      </c>
      <c r="X197">
        <f>IF($A2="","",SUMIF('07_Pallet_Contents'!$A$2:$A$3000,$A2,'07_Pallet_Contents'!$D$2:$D$3000))</f>
        <v/>
      </c>
      <c r="Y197">
        <f>IF($A2="","",SUMIF('07_Pallet_Contents'!$A$2:$A$3000,$A2,'07_Pallet_Contents'!$I$2:$I$3000))</f>
        <v/>
      </c>
      <c r="Z197">
        <f>IF($A2="","",IF(COUNTIF('07_Pallet_Contents'!$A$2:$A$3000,$A2)&gt;0,"Yes",""))</f>
        <v/>
      </c>
    </row>
    <row r="198" ht="27.75" customHeight="1" s="91">
      <c r="A198" s="4" t="inlineStr">
        <is>
          <t>PAL-0000198</t>
        </is>
      </c>
      <c r="B198" s="4" t="n"/>
      <c r="D198">
        <f>IF($C198="","",IFERROR(LOOKUP(2,1/('03_Warehouse_Movements'!$C$2:$C$500=$A198),'03_Warehouse_Movements'!$E$2:$E$500),$C198))</f>
        <v/>
      </c>
      <c r="E198" t="inlineStr">
        <is>
          <t>STANDARD</t>
        </is>
      </c>
      <c r="G198" s="23" t="n"/>
      <c r="H198" s="3">
        <f>IF(AND($F198="TEMP",$G198&gt;0,$M198&lt;&gt;""),$M198+$G198,"")</f>
        <v/>
      </c>
      <c r="I198" s="3" t="n"/>
      <c r="J198" s="4" t="n"/>
      <c r="K198" s="3" t="n"/>
      <c r="L198" s="4" t="n"/>
      <c r="M198" s="45">
        <f>IF($C198="","",IFERROR(LOOKUP(2,1/('03_Warehouse_Movements'!$C$2:$C$500=$A198),'03_Warehouse_Movements'!$A$2:$A$500),""))</f>
        <v/>
      </c>
      <c r="N198" s="4">
        <f>IF($C198="","",IFERROR(LOOKUP(2,1/('03_Warehouse_Movements'!$C$2:$C$500=$A198),'03_Warehouse_Movements'!$H$2:$H$500),""))</f>
        <v/>
      </c>
      <c r="O198" s="4">
        <f>A198</f>
        <v/>
      </c>
      <c r="Q198" s="25" t="n"/>
      <c r="R198" s="24" t="n"/>
      <c r="W198">
        <f>IF($A2="","",COUNTIF('07_Pallet_Contents'!$A$2:$A$3000,$A2))</f>
        <v/>
      </c>
      <c r="X198">
        <f>IF($A2="","",SUMIF('07_Pallet_Contents'!$A$2:$A$3000,$A2,'07_Pallet_Contents'!$D$2:$D$3000))</f>
        <v/>
      </c>
      <c r="Y198">
        <f>IF($A2="","",SUMIF('07_Pallet_Contents'!$A$2:$A$3000,$A2,'07_Pallet_Contents'!$I$2:$I$3000))</f>
        <v/>
      </c>
      <c r="Z198">
        <f>IF($A2="","",IF(COUNTIF('07_Pallet_Contents'!$A$2:$A$3000,$A2)&gt;0,"Yes",""))</f>
        <v/>
      </c>
    </row>
    <row r="199" ht="27.75" customHeight="1" s="91">
      <c r="A199" s="4" t="inlineStr">
        <is>
          <t>PAL-0000199</t>
        </is>
      </c>
      <c r="B199" s="4" t="n"/>
      <c r="D199">
        <f>IF($C199="","",IFERROR(LOOKUP(2,1/('03_Warehouse_Movements'!$C$2:$C$500=$A199),'03_Warehouse_Movements'!$E$2:$E$500),$C199))</f>
        <v/>
      </c>
      <c r="E199" t="inlineStr">
        <is>
          <t>STANDARD</t>
        </is>
      </c>
      <c r="G199" s="23" t="n"/>
      <c r="H199" s="3">
        <f>IF(AND($F199="TEMP",$G199&gt;0,$M199&lt;&gt;""),$M199+$G199,"")</f>
        <v/>
      </c>
      <c r="I199" s="3" t="n"/>
      <c r="J199" s="4" t="n"/>
      <c r="K199" s="3" t="n"/>
      <c r="L199" s="4" t="n"/>
      <c r="M199" s="45">
        <f>IF($C199="","",IFERROR(LOOKUP(2,1/('03_Warehouse_Movements'!$C$2:$C$500=$A199),'03_Warehouse_Movements'!$A$2:$A$500),""))</f>
        <v/>
      </c>
      <c r="N199" s="4">
        <f>IF($C199="","",IFERROR(LOOKUP(2,1/('03_Warehouse_Movements'!$C$2:$C$500=$A199),'03_Warehouse_Movements'!$H$2:$H$500),""))</f>
        <v/>
      </c>
      <c r="O199" s="4">
        <f>A199</f>
        <v/>
      </c>
      <c r="Q199" s="25" t="n"/>
      <c r="R199" s="24" t="n"/>
      <c r="W199">
        <f>IF($A2="","",COUNTIF('07_Pallet_Contents'!$A$2:$A$3000,$A2))</f>
        <v/>
      </c>
      <c r="X199">
        <f>IF($A2="","",SUMIF('07_Pallet_Contents'!$A$2:$A$3000,$A2,'07_Pallet_Contents'!$D$2:$D$3000))</f>
        <v/>
      </c>
      <c r="Y199">
        <f>IF($A2="","",SUMIF('07_Pallet_Contents'!$A$2:$A$3000,$A2,'07_Pallet_Contents'!$I$2:$I$3000))</f>
        <v/>
      </c>
      <c r="Z199">
        <f>IF($A2="","",IF(COUNTIF('07_Pallet_Contents'!$A$2:$A$3000,$A2)&gt;0,"Yes",""))</f>
        <v/>
      </c>
    </row>
    <row r="200">
      <c r="A200" s="4" t="inlineStr">
        <is>
          <t>PAL-0000200</t>
        </is>
      </c>
      <c r="B200" s="22" t="n"/>
      <c r="D200">
        <f>IF($C200="","",IFERROR(LOOKUP(2,1/('03_Warehouse_Movements'!$C$2:$C$500=$A200),'03_Warehouse_Movements'!$E$2:$E$500),$C200))</f>
        <v/>
      </c>
      <c r="E200" t="inlineStr">
        <is>
          <t>STANDARD</t>
        </is>
      </c>
      <c r="G200" s="25" t="n"/>
      <c r="H200" s="24">
        <f>IF(AND($F200="TEMP",$G200&gt;0,$M200&lt;&gt;""),$M200+$G200,"")</f>
        <v/>
      </c>
      <c r="I200" s="22" t="n"/>
      <c r="J200" s="22" t="n"/>
      <c r="K200" s="24" t="n"/>
      <c r="M200" s="46">
        <f>IF($C200="","",IFERROR(LOOKUP(2,1/('03_Warehouse_Movements'!$C$2:$C$500=$A200),'03_Warehouse_Movements'!$A$2:$A$500),""))</f>
        <v/>
      </c>
      <c r="N200">
        <f>IF($C200="","",IFERROR(LOOKUP(2,1/('03_Warehouse_Movements'!$C$2:$C$500=$A200),'03_Warehouse_Movements'!$H$2:$H$500),""))</f>
        <v/>
      </c>
      <c r="O200">
        <f>A200</f>
        <v/>
      </c>
      <c r="Q200" s="25" t="n"/>
      <c r="R200" s="24" t="n"/>
      <c r="W200">
        <f>IF($A2="","",COUNTIF('07_Pallet_Contents'!$A$2:$A$3000,$A2))</f>
        <v/>
      </c>
      <c r="X200">
        <f>IF($A2="","",SUMIF('07_Pallet_Contents'!$A$2:$A$3000,$A2,'07_Pallet_Contents'!$D$2:$D$3000))</f>
        <v/>
      </c>
      <c r="Y200">
        <f>IF($A2="","",SUMIF('07_Pallet_Contents'!$A$2:$A$3000,$A2,'07_Pallet_Contents'!$I$2:$I$3000))</f>
        <v/>
      </c>
      <c r="Z200">
        <f>IF($A2="","",IF(COUNTIF('07_Pallet_Contents'!$A$2:$A$3000,$A2)&gt;0,"Yes",""))</f>
        <v/>
      </c>
    </row>
    <row r="201">
      <c r="A201" s="4" t="inlineStr">
        <is>
          <t>PAL-0000201</t>
        </is>
      </c>
      <c r="B201" s="22" t="n"/>
      <c r="D201">
        <f>IF($C201="","",IFERROR(LOOKUP(2,1/('03_Warehouse_Movements'!$C$2:$C$500=$A201),'03_Warehouse_Movements'!$E$2:$E$500),$C201))</f>
        <v/>
      </c>
      <c r="E201" t="inlineStr">
        <is>
          <t>STANDARD</t>
        </is>
      </c>
      <c r="G201" s="25" t="n"/>
      <c r="H201" s="24">
        <f>IF(AND($F201="TEMP",$G201&gt;0,$M201&lt;&gt;""),$M201+$G201,"")</f>
        <v/>
      </c>
      <c r="I201" s="22" t="n"/>
      <c r="J201" s="22" t="n"/>
      <c r="K201" s="24" t="n"/>
      <c r="M201" s="46">
        <f>IF($C201="","",IFERROR(LOOKUP(2,1/('03_Warehouse_Movements'!$C$2:$C$500=$A201),'03_Warehouse_Movements'!$A$2:$A$500),""))</f>
        <v/>
      </c>
      <c r="N201">
        <f>IF($C201="","",IFERROR(LOOKUP(2,1/('03_Warehouse_Movements'!$C$2:$C$500=$A201),'03_Warehouse_Movements'!$H$2:$H$500),""))</f>
        <v/>
      </c>
      <c r="O201">
        <f>A201</f>
        <v/>
      </c>
      <c r="Q201" s="25" t="n"/>
      <c r="R201" s="24" t="n"/>
      <c r="W201">
        <f>IF($A2="","",COUNTIF('07_Pallet_Contents'!$A$2:$A$3000,$A2))</f>
        <v/>
      </c>
      <c r="X201">
        <f>IF($A2="","",SUMIF('07_Pallet_Contents'!$A$2:$A$3000,$A2,'07_Pallet_Contents'!$D$2:$D$3000))</f>
        <v/>
      </c>
      <c r="Y201">
        <f>IF($A2="","",SUMIF('07_Pallet_Contents'!$A$2:$A$3000,$A2,'07_Pallet_Contents'!$I$2:$I$3000))</f>
        <v/>
      </c>
      <c r="Z201">
        <f>IF($A2="","",IF(COUNTIF('07_Pallet_Contents'!$A$2:$A$3000,$A2)&gt;0,"Yes",""))</f>
        <v/>
      </c>
    </row>
    <row r="202">
      <c r="A202" s="4" t="inlineStr">
        <is>
          <t>PAL-0000202</t>
        </is>
      </c>
      <c r="B202" s="22" t="n"/>
      <c r="D202">
        <f>IF($C202="","",IFERROR(LOOKUP(2,1/('03_Warehouse_Movements'!$C$2:$C$500=$A202),'03_Warehouse_Movements'!$E$2:$E$500),$C202))</f>
        <v/>
      </c>
      <c r="E202" t="inlineStr">
        <is>
          <t>STANDARD</t>
        </is>
      </c>
      <c r="G202" s="25" t="n"/>
      <c r="H202" s="24">
        <f>IF(AND($F202="TEMP",$G202&gt;0,$M202&lt;&gt;""),$M202+$G202,"")</f>
        <v/>
      </c>
      <c r="I202" s="22" t="n"/>
      <c r="J202" s="22" t="n"/>
      <c r="K202" s="24" t="n"/>
      <c r="M202" s="46">
        <f>IF($C202="","",IFERROR(LOOKUP(2,1/('03_Warehouse_Movements'!$C$2:$C$500=$A202),'03_Warehouse_Movements'!$A$2:$A$500),""))</f>
        <v/>
      </c>
      <c r="N202">
        <f>IF($C202="","",IFERROR(LOOKUP(2,1/('03_Warehouse_Movements'!$C$2:$C$500=$A202),'03_Warehouse_Movements'!$H$2:$H$500),""))</f>
        <v/>
      </c>
      <c r="O202">
        <f>A202</f>
        <v/>
      </c>
      <c r="Q202" s="25" t="n"/>
      <c r="R202" s="24" t="n"/>
      <c r="W202">
        <f>IF($A2="","",COUNTIF('07_Pallet_Contents'!$A$2:$A$3000,$A2))</f>
        <v/>
      </c>
      <c r="X202">
        <f>IF($A2="","",SUMIF('07_Pallet_Contents'!$A$2:$A$3000,$A2,'07_Pallet_Contents'!$D$2:$D$3000))</f>
        <v/>
      </c>
      <c r="Y202">
        <f>IF($A2="","",SUMIF('07_Pallet_Contents'!$A$2:$A$3000,$A2,'07_Pallet_Contents'!$I$2:$I$3000))</f>
        <v/>
      </c>
      <c r="Z202">
        <f>IF($A2="","",IF(COUNTIF('07_Pallet_Contents'!$A$2:$A$3000,$A2)&gt;0,"Yes",""))</f>
        <v/>
      </c>
    </row>
    <row r="203">
      <c r="A203" s="4" t="inlineStr">
        <is>
          <t>PAL-0000203</t>
        </is>
      </c>
      <c r="B203" s="22" t="n"/>
      <c r="D203">
        <f>IF($C203="","",IFERROR(LOOKUP(2,1/('03_Warehouse_Movements'!$C$2:$C$500=$A203),'03_Warehouse_Movements'!$E$2:$E$500),$C203))</f>
        <v/>
      </c>
      <c r="E203" t="inlineStr">
        <is>
          <t>STANDARD</t>
        </is>
      </c>
      <c r="G203" s="25" t="n"/>
      <c r="H203" s="24">
        <f>IF(AND($F203="TEMP",$G203&gt;0,$M203&lt;&gt;""),$M203+$G203,"")</f>
        <v/>
      </c>
      <c r="I203" s="22" t="n"/>
      <c r="J203" s="22" t="n"/>
      <c r="K203" s="24" t="n"/>
      <c r="M203" s="46">
        <f>IF($C203="","",IFERROR(LOOKUP(2,1/('03_Warehouse_Movements'!$C$2:$C$500=$A203),'03_Warehouse_Movements'!$A$2:$A$500),""))</f>
        <v/>
      </c>
      <c r="N203">
        <f>IF($C203="","",IFERROR(LOOKUP(2,1/('03_Warehouse_Movements'!$C$2:$C$500=$A203),'03_Warehouse_Movements'!$H$2:$H$500),""))</f>
        <v/>
      </c>
      <c r="O203">
        <f>A203</f>
        <v/>
      </c>
      <c r="Q203" s="25" t="n"/>
      <c r="R203" s="24" t="n"/>
      <c r="W203">
        <f>IF($A2="","",COUNTIF('07_Pallet_Contents'!$A$2:$A$3000,$A2))</f>
        <v/>
      </c>
      <c r="X203">
        <f>IF($A2="","",SUMIF('07_Pallet_Contents'!$A$2:$A$3000,$A2,'07_Pallet_Contents'!$D$2:$D$3000))</f>
        <v/>
      </c>
      <c r="Y203">
        <f>IF($A2="","",SUMIF('07_Pallet_Contents'!$A$2:$A$3000,$A2,'07_Pallet_Contents'!$I$2:$I$3000))</f>
        <v/>
      </c>
      <c r="Z203">
        <f>IF($A2="","",IF(COUNTIF('07_Pallet_Contents'!$A$2:$A$3000,$A2)&gt;0,"Yes",""))</f>
        <v/>
      </c>
    </row>
    <row r="204">
      <c r="A204" s="4" t="inlineStr">
        <is>
          <t>PAL-0000204</t>
        </is>
      </c>
      <c r="B204" s="22" t="n"/>
      <c r="D204">
        <f>IF($C204="","",IFERROR(LOOKUP(2,1/('03_Warehouse_Movements'!$C$2:$C$500=$A204),'03_Warehouse_Movements'!$E$2:$E$500),$C204))</f>
        <v/>
      </c>
      <c r="E204" t="inlineStr">
        <is>
          <t>STANDARD</t>
        </is>
      </c>
      <c r="G204" s="25" t="n"/>
      <c r="H204" s="24">
        <f>IF(AND($F204="TEMP",$G204&gt;0,$M204&lt;&gt;""),$M204+$G204,"")</f>
        <v/>
      </c>
      <c r="I204" s="22" t="n"/>
      <c r="J204" s="22" t="n"/>
      <c r="K204" s="24" t="n"/>
      <c r="M204" s="46">
        <f>IF($C204="","",IFERROR(LOOKUP(2,1/('03_Warehouse_Movements'!$C$2:$C$500=$A204),'03_Warehouse_Movements'!$A$2:$A$500),""))</f>
        <v/>
      </c>
      <c r="N204">
        <f>IF($C204="","",IFERROR(LOOKUP(2,1/('03_Warehouse_Movements'!$C$2:$C$500=$A204),'03_Warehouse_Movements'!$H$2:$H$500),""))</f>
        <v/>
      </c>
      <c r="O204">
        <f>A204</f>
        <v/>
      </c>
      <c r="Q204" s="25" t="n"/>
      <c r="R204" s="24" t="n"/>
      <c r="W204">
        <f>IF($A2="","",COUNTIF('07_Pallet_Contents'!$A$2:$A$3000,$A2))</f>
        <v/>
      </c>
      <c r="X204">
        <f>IF($A2="","",SUMIF('07_Pallet_Contents'!$A$2:$A$3000,$A2,'07_Pallet_Contents'!$D$2:$D$3000))</f>
        <v/>
      </c>
      <c r="Y204">
        <f>IF($A2="","",SUMIF('07_Pallet_Contents'!$A$2:$A$3000,$A2,'07_Pallet_Contents'!$I$2:$I$3000))</f>
        <v/>
      </c>
      <c r="Z204">
        <f>IF($A2="","",IF(COUNTIF('07_Pallet_Contents'!$A$2:$A$3000,$A2)&gt;0,"Yes",""))</f>
        <v/>
      </c>
    </row>
    <row r="205">
      <c r="A205" s="4" t="inlineStr">
        <is>
          <t>PAL-0000205</t>
        </is>
      </c>
      <c r="B205" s="22" t="n"/>
      <c r="D205">
        <f>IF($C205="","",IFERROR(LOOKUP(2,1/('03_Warehouse_Movements'!$C$2:$C$500=$A205),'03_Warehouse_Movements'!$E$2:$E$500),$C205))</f>
        <v/>
      </c>
      <c r="E205" t="inlineStr">
        <is>
          <t>STANDARD</t>
        </is>
      </c>
      <c r="G205" s="25" t="n"/>
      <c r="H205" s="24">
        <f>IF(AND($F205="TEMP",$G205&gt;0,$M205&lt;&gt;""),$M205+$G205,"")</f>
        <v/>
      </c>
      <c r="I205" s="22" t="n"/>
      <c r="J205" s="22" t="n"/>
      <c r="K205" s="24" t="n"/>
      <c r="M205" s="46">
        <f>IF($C205="","",IFERROR(LOOKUP(2,1/('03_Warehouse_Movements'!$C$2:$C$500=$A205),'03_Warehouse_Movements'!$A$2:$A$500),""))</f>
        <v/>
      </c>
      <c r="N205">
        <f>IF($C205="","",IFERROR(LOOKUP(2,1/('03_Warehouse_Movements'!$C$2:$C$500=$A205),'03_Warehouse_Movements'!$H$2:$H$500),""))</f>
        <v/>
      </c>
      <c r="O205">
        <f>A205</f>
        <v/>
      </c>
      <c r="Q205" s="25" t="n"/>
      <c r="R205" s="24" t="n"/>
      <c r="W205">
        <f>IF($A2="","",COUNTIF('07_Pallet_Contents'!$A$2:$A$3000,$A2))</f>
        <v/>
      </c>
      <c r="X205">
        <f>IF($A2="","",SUMIF('07_Pallet_Contents'!$A$2:$A$3000,$A2,'07_Pallet_Contents'!$D$2:$D$3000))</f>
        <v/>
      </c>
      <c r="Y205">
        <f>IF($A2="","",SUMIF('07_Pallet_Contents'!$A$2:$A$3000,$A2,'07_Pallet_Contents'!$I$2:$I$3000))</f>
        <v/>
      </c>
      <c r="Z205">
        <f>IF($A2="","",IF(COUNTIF('07_Pallet_Contents'!$A$2:$A$3000,$A2)&gt;0,"Yes",""))</f>
        <v/>
      </c>
    </row>
    <row r="206">
      <c r="A206" s="4" t="inlineStr">
        <is>
          <t>PAL-0000206</t>
        </is>
      </c>
      <c r="B206" s="22" t="n"/>
      <c r="D206">
        <f>IF($C206="","",IFERROR(LOOKUP(2,1/('03_Warehouse_Movements'!$C$2:$C$500=$A206),'03_Warehouse_Movements'!$E$2:$E$500),$C206))</f>
        <v/>
      </c>
      <c r="E206" t="inlineStr">
        <is>
          <t>STANDARD</t>
        </is>
      </c>
      <c r="G206" s="25" t="n"/>
      <c r="H206" s="24">
        <f>IF(AND($F206="TEMP",$G206&gt;0,$M206&lt;&gt;""),$M206+$G206,"")</f>
        <v/>
      </c>
      <c r="I206" s="22" t="n"/>
      <c r="J206" s="22" t="n"/>
      <c r="K206" s="24" t="n"/>
      <c r="M206" s="46">
        <f>IF($C206="","",IFERROR(LOOKUP(2,1/('03_Warehouse_Movements'!$C$2:$C$500=$A206),'03_Warehouse_Movements'!$A$2:$A$500),""))</f>
        <v/>
      </c>
      <c r="N206">
        <f>IF($C206="","",IFERROR(LOOKUP(2,1/('03_Warehouse_Movements'!$C$2:$C$500=$A206),'03_Warehouse_Movements'!$H$2:$H$500),""))</f>
        <v/>
      </c>
      <c r="O206">
        <f>A206</f>
        <v/>
      </c>
      <c r="Q206" s="25" t="n"/>
      <c r="R206" s="24" t="n"/>
      <c r="W206">
        <f>IF($A2="","",COUNTIF('07_Pallet_Contents'!$A$2:$A$3000,$A2))</f>
        <v/>
      </c>
      <c r="X206">
        <f>IF($A2="","",SUMIF('07_Pallet_Contents'!$A$2:$A$3000,$A2,'07_Pallet_Contents'!$D$2:$D$3000))</f>
        <v/>
      </c>
      <c r="Y206">
        <f>IF($A2="","",SUMIF('07_Pallet_Contents'!$A$2:$A$3000,$A2,'07_Pallet_Contents'!$I$2:$I$3000))</f>
        <v/>
      </c>
      <c r="Z206">
        <f>IF($A2="","",IF(COUNTIF('07_Pallet_Contents'!$A$2:$A$3000,$A2)&gt;0,"Yes",""))</f>
        <v/>
      </c>
    </row>
    <row r="207">
      <c r="A207" s="4" t="inlineStr">
        <is>
          <t>PAL-0000207</t>
        </is>
      </c>
      <c r="B207" s="22" t="n"/>
      <c r="D207">
        <f>IF($C207="","",IFERROR(LOOKUP(2,1/('03_Warehouse_Movements'!$C$2:$C$500=$A207),'03_Warehouse_Movements'!$E$2:$E$500),$C207))</f>
        <v/>
      </c>
      <c r="E207" t="inlineStr">
        <is>
          <t>STANDARD</t>
        </is>
      </c>
      <c r="G207" s="25" t="n"/>
      <c r="H207" s="24">
        <f>IF(AND($F207="TEMP",$G207&gt;0,$M207&lt;&gt;""),$M207+$G207,"")</f>
        <v/>
      </c>
      <c r="I207" s="22" t="n"/>
      <c r="J207" s="22" t="n"/>
      <c r="K207" s="24" t="n"/>
      <c r="M207" s="46">
        <f>IF($C207="","",IFERROR(LOOKUP(2,1/('03_Warehouse_Movements'!$C$2:$C$500=$A207),'03_Warehouse_Movements'!$A$2:$A$500),""))</f>
        <v/>
      </c>
      <c r="N207">
        <f>IF($C207="","",IFERROR(LOOKUP(2,1/('03_Warehouse_Movements'!$C$2:$C$500=$A207),'03_Warehouse_Movements'!$H$2:$H$500),""))</f>
        <v/>
      </c>
      <c r="O207">
        <f>A207</f>
        <v/>
      </c>
      <c r="Q207" s="25" t="n"/>
      <c r="R207" s="24" t="n"/>
      <c r="W207">
        <f>IF($A2="","",COUNTIF('07_Pallet_Contents'!$A$2:$A$3000,$A2))</f>
        <v/>
      </c>
      <c r="X207">
        <f>IF($A2="","",SUMIF('07_Pallet_Contents'!$A$2:$A$3000,$A2,'07_Pallet_Contents'!$D$2:$D$3000))</f>
        <v/>
      </c>
      <c r="Y207">
        <f>IF($A2="","",SUMIF('07_Pallet_Contents'!$A$2:$A$3000,$A2,'07_Pallet_Contents'!$I$2:$I$3000))</f>
        <v/>
      </c>
      <c r="Z207">
        <f>IF($A2="","",IF(COUNTIF('07_Pallet_Contents'!$A$2:$A$3000,$A2)&gt;0,"Yes",""))</f>
        <v/>
      </c>
    </row>
    <row r="208">
      <c r="A208" s="4" t="inlineStr">
        <is>
          <t>PAL-0000208</t>
        </is>
      </c>
      <c r="B208" s="22" t="n"/>
      <c r="D208">
        <f>IF($C208="","",IFERROR(LOOKUP(2,1/('03_Warehouse_Movements'!$C$2:$C$500=$A208),'03_Warehouse_Movements'!$E$2:$E$500),$C208))</f>
        <v/>
      </c>
      <c r="E208" t="inlineStr">
        <is>
          <t>STANDARD</t>
        </is>
      </c>
      <c r="G208" s="25" t="n"/>
      <c r="H208" s="24">
        <f>IF(AND($F208="TEMP",$G208&gt;0,$M208&lt;&gt;""),$M208+$G208,"")</f>
        <v/>
      </c>
      <c r="I208" s="22" t="n"/>
      <c r="J208" s="22" t="n"/>
      <c r="K208" s="24" t="n"/>
      <c r="M208" s="46">
        <f>IF($C208="","",IFERROR(LOOKUP(2,1/('03_Warehouse_Movements'!$C$2:$C$500=$A208),'03_Warehouse_Movements'!$A$2:$A$500),""))</f>
        <v/>
      </c>
      <c r="N208">
        <f>IF($C208="","",IFERROR(LOOKUP(2,1/('03_Warehouse_Movements'!$C$2:$C$500=$A208),'03_Warehouse_Movements'!$H$2:$H$500),""))</f>
        <v/>
      </c>
      <c r="O208">
        <f>A208</f>
        <v/>
      </c>
      <c r="Q208" s="25" t="n"/>
      <c r="R208" s="24" t="n"/>
      <c r="W208">
        <f>IF($A2="","",COUNTIF('07_Pallet_Contents'!$A$2:$A$3000,$A2))</f>
        <v/>
      </c>
      <c r="X208">
        <f>IF($A2="","",SUMIF('07_Pallet_Contents'!$A$2:$A$3000,$A2,'07_Pallet_Contents'!$D$2:$D$3000))</f>
        <v/>
      </c>
      <c r="Y208">
        <f>IF($A2="","",SUMIF('07_Pallet_Contents'!$A$2:$A$3000,$A2,'07_Pallet_Contents'!$I$2:$I$3000))</f>
        <v/>
      </c>
      <c r="Z208">
        <f>IF($A2="","",IF(COUNTIF('07_Pallet_Contents'!$A$2:$A$3000,$A2)&gt;0,"Yes",""))</f>
        <v/>
      </c>
    </row>
    <row r="209">
      <c r="A209" s="4" t="inlineStr">
        <is>
          <t>PAL-0000209</t>
        </is>
      </c>
      <c r="B209" s="22" t="n"/>
      <c r="D209">
        <f>IF($C209="","",IFERROR(LOOKUP(2,1/('03_Warehouse_Movements'!$C$2:$C$500=$A209),'03_Warehouse_Movements'!$E$2:$E$500),$C209))</f>
        <v/>
      </c>
      <c r="E209" t="inlineStr">
        <is>
          <t>STANDARD</t>
        </is>
      </c>
      <c r="G209" s="25" t="n"/>
      <c r="H209" s="24">
        <f>IF(AND($F209="TEMP",$G209&gt;0,$M209&lt;&gt;""),$M209+$G209,"")</f>
        <v/>
      </c>
      <c r="I209" s="22" t="n"/>
      <c r="J209" s="22" t="n"/>
      <c r="K209" s="24" t="n"/>
      <c r="M209" s="46">
        <f>IF($C209="","",IFERROR(LOOKUP(2,1/('03_Warehouse_Movements'!$C$2:$C$500=$A209),'03_Warehouse_Movements'!$A$2:$A$500),""))</f>
        <v/>
      </c>
      <c r="N209">
        <f>IF($C209="","",IFERROR(LOOKUP(2,1/('03_Warehouse_Movements'!$C$2:$C$500=$A209),'03_Warehouse_Movements'!$H$2:$H$500),""))</f>
        <v/>
      </c>
      <c r="O209">
        <f>A209</f>
        <v/>
      </c>
      <c r="Q209" s="25" t="n"/>
      <c r="R209" s="24" t="n"/>
      <c r="W209">
        <f>IF($A2="","",COUNTIF('07_Pallet_Contents'!$A$2:$A$3000,$A2))</f>
        <v/>
      </c>
      <c r="X209">
        <f>IF($A2="","",SUMIF('07_Pallet_Contents'!$A$2:$A$3000,$A2,'07_Pallet_Contents'!$D$2:$D$3000))</f>
        <v/>
      </c>
      <c r="Y209">
        <f>IF($A2="","",SUMIF('07_Pallet_Contents'!$A$2:$A$3000,$A2,'07_Pallet_Contents'!$I$2:$I$3000))</f>
        <v/>
      </c>
      <c r="Z209">
        <f>IF($A2="","",IF(COUNTIF('07_Pallet_Contents'!$A$2:$A$3000,$A2)&gt;0,"Yes",""))</f>
        <v/>
      </c>
    </row>
    <row r="210">
      <c r="A210" s="4" t="inlineStr">
        <is>
          <t>PAL-0000210</t>
        </is>
      </c>
      <c r="B210" s="22" t="n"/>
      <c r="D210">
        <f>IF($C210="","",IFERROR(LOOKUP(2,1/('03_Warehouse_Movements'!$C$2:$C$500=$A210),'03_Warehouse_Movements'!$E$2:$E$500),$C210))</f>
        <v/>
      </c>
      <c r="E210" t="inlineStr">
        <is>
          <t>STANDARD</t>
        </is>
      </c>
      <c r="G210" s="25" t="n"/>
      <c r="H210" s="24">
        <f>IF(AND($F210="TEMP",$G210&gt;0,$M210&lt;&gt;""),$M210+$G210,"")</f>
        <v/>
      </c>
      <c r="I210" s="22" t="n"/>
      <c r="J210" s="22" t="n"/>
      <c r="K210" s="24" t="n"/>
      <c r="M210" s="46">
        <f>IF($C210="","",IFERROR(LOOKUP(2,1/('03_Warehouse_Movements'!$C$2:$C$500=$A210),'03_Warehouse_Movements'!$A$2:$A$500),""))</f>
        <v/>
      </c>
      <c r="N210">
        <f>IF($C210="","",IFERROR(LOOKUP(2,1/('03_Warehouse_Movements'!$C$2:$C$500=$A210),'03_Warehouse_Movements'!$H$2:$H$500),""))</f>
        <v/>
      </c>
      <c r="O210">
        <f>A210</f>
        <v/>
      </c>
      <c r="Q210" s="25" t="n"/>
      <c r="R210" s="24" t="n"/>
      <c r="W210">
        <f>IF($A2="","",COUNTIF('07_Pallet_Contents'!$A$2:$A$3000,$A2))</f>
        <v/>
      </c>
      <c r="X210">
        <f>IF($A2="","",SUMIF('07_Pallet_Contents'!$A$2:$A$3000,$A2,'07_Pallet_Contents'!$D$2:$D$3000))</f>
        <v/>
      </c>
      <c r="Y210">
        <f>IF($A2="","",SUMIF('07_Pallet_Contents'!$A$2:$A$3000,$A2,'07_Pallet_Contents'!$I$2:$I$3000))</f>
        <v/>
      </c>
      <c r="Z210">
        <f>IF($A2="","",IF(COUNTIF('07_Pallet_Contents'!$A$2:$A$3000,$A2)&gt;0,"Yes",""))</f>
        <v/>
      </c>
    </row>
    <row r="211">
      <c r="A211" s="4" t="inlineStr">
        <is>
          <t>PAL-0000211</t>
        </is>
      </c>
      <c r="B211" s="22" t="n"/>
      <c r="D211">
        <f>IF($C211="","",IFERROR(LOOKUP(2,1/('03_Warehouse_Movements'!$C$2:$C$500=$A211),'03_Warehouse_Movements'!$E$2:$E$500),$C211))</f>
        <v/>
      </c>
      <c r="E211" t="inlineStr">
        <is>
          <t>STANDARD</t>
        </is>
      </c>
      <c r="G211" s="25" t="n"/>
      <c r="H211" s="24">
        <f>IF(AND($F211="TEMP",$G211&gt;0,$M211&lt;&gt;""),$M211+$G211,"")</f>
        <v/>
      </c>
      <c r="I211" s="22" t="n"/>
      <c r="J211" s="22" t="n"/>
      <c r="K211" s="24" t="n"/>
      <c r="M211" s="46">
        <f>IF($C211="","",IFERROR(LOOKUP(2,1/('03_Warehouse_Movements'!$C$2:$C$500=$A211),'03_Warehouse_Movements'!$A$2:$A$500),""))</f>
        <v/>
      </c>
      <c r="N211">
        <f>IF($C211="","",IFERROR(LOOKUP(2,1/('03_Warehouse_Movements'!$C$2:$C$500=$A211),'03_Warehouse_Movements'!$H$2:$H$500),""))</f>
        <v/>
      </c>
      <c r="O211">
        <f>A211</f>
        <v/>
      </c>
      <c r="Q211" s="25" t="n"/>
      <c r="R211" s="24" t="n"/>
      <c r="W211">
        <f>IF($A2="","",COUNTIF('07_Pallet_Contents'!$A$2:$A$3000,$A2))</f>
        <v/>
      </c>
      <c r="X211">
        <f>IF($A2="","",SUMIF('07_Pallet_Contents'!$A$2:$A$3000,$A2,'07_Pallet_Contents'!$D$2:$D$3000))</f>
        <v/>
      </c>
      <c r="Y211">
        <f>IF($A2="","",SUMIF('07_Pallet_Contents'!$A$2:$A$3000,$A2,'07_Pallet_Contents'!$I$2:$I$3000))</f>
        <v/>
      </c>
      <c r="Z211">
        <f>IF($A2="","",IF(COUNTIF('07_Pallet_Contents'!$A$2:$A$3000,$A2)&gt;0,"Yes",""))</f>
        <v/>
      </c>
    </row>
    <row r="212">
      <c r="A212" s="4" t="inlineStr">
        <is>
          <t>PAL-0000212</t>
        </is>
      </c>
      <c r="B212" s="22" t="n"/>
      <c r="D212">
        <f>IF($C212="","",IFERROR(LOOKUP(2,1/('03_Warehouse_Movements'!$C$2:$C$500=$A212),'03_Warehouse_Movements'!$E$2:$E$500),$C212))</f>
        <v/>
      </c>
      <c r="E212" t="inlineStr">
        <is>
          <t>STANDARD</t>
        </is>
      </c>
      <c r="G212" s="25" t="n"/>
      <c r="H212" s="24">
        <f>IF(AND($F212="TEMP",$G212&gt;0,$M212&lt;&gt;""),$M212+$G212,"")</f>
        <v/>
      </c>
      <c r="I212" s="22" t="n"/>
      <c r="J212" s="22" t="n"/>
      <c r="K212" s="24" t="n"/>
      <c r="M212" s="46">
        <f>IF($C212="","",IFERROR(LOOKUP(2,1/('03_Warehouse_Movements'!$C$2:$C$500=$A212),'03_Warehouse_Movements'!$A$2:$A$500),""))</f>
        <v/>
      </c>
      <c r="N212">
        <f>IF($C212="","",IFERROR(LOOKUP(2,1/('03_Warehouse_Movements'!$C$2:$C$500=$A212),'03_Warehouse_Movements'!$H$2:$H$500),""))</f>
        <v/>
      </c>
      <c r="O212">
        <f>A212</f>
        <v/>
      </c>
      <c r="Q212" s="25" t="n"/>
      <c r="R212" s="24" t="n"/>
      <c r="W212">
        <f>IF($A2="","",COUNTIF('07_Pallet_Contents'!$A$2:$A$3000,$A2))</f>
        <v/>
      </c>
      <c r="X212">
        <f>IF($A2="","",SUMIF('07_Pallet_Contents'!$A$2:$A$3000,$A2,'07_Pallet_Contents'!$D$2:$D$3000))</f>
        <v/>
      </c>
      <c r="Y212">
        <f>IF($A2="","",SUMIF('07_Pallet_Contents'!$A$2:$A$3000,$A2,'07_Pallet_Contents'!$I$2:$I$3000))</f>
        <v/>
      </c>
      <c r="Z212">
        <f>IF($A2="","",IF(COUNTIF('07_Pallet_Contents'!$A$2:$A$3000,$A2)&gt;0,"Yes",""))</f>
        <v/>
      </c>
    </row>
    <row r="213">
      <c r="A213" s="4" t="inlineStr">
        <is>
          <t>PAL-0000213</t>
        </is>
      </c>
      <c r="B213" s="22" t="n"/>
      <c r="D213">
        <f>IF($C213="","",IFERROR(LOOKUP(2,1/('03_Warehouse_Movements'!$C$2:$C$500=$A213),'03_Warehouse_Movements'!$E$2:$E$500),$C213))</f>
        <v/>
      </c>
      <c r="E213" t="inlineStr">
        <is>
          <t>STANDARD</t>
        </is>
      </c>
      <c r="G213" s="25" t="n"/>
      <c r="H213" s="24">
        <f>IF(AND($F213="TEMP",$G213&gt;0,$M213&lt;&gt;""),$M213+$G213,"")</f>
        <v/>
      </c>
      <c r="I213" s="22" t="n"/>
      <c r="J213" s="22" t="n"/>
      <c r="K213" s="24" t="n"/>
      <c r="M213" s="46">
        <f>IF($C213="","",IFERROR(LOOKUP(2,1/('03_Warehouse_Movements'!$C$2:$C$500=$A213),'03_Warehouse_Movements'!$A$2:$A$500),""))</f>
        <v/>
      </c>
      <c r="N213">
        <f>IF($C213="","",IFERROR(LOOKUP(2,1/('03_Warehouse_Movements'!$C$2:$C$500=$A213),'03_Warehouse_Movements'!$H$2:$H$500),""))</f>
        <v/>
      </c>
      <c r="O213">
        <f>A213</f>
        <v/>
      </c>
      <c r="Q213" s="25" t="n"/>
      <c r="R213" s="24" t="n"/>
      <c r="W213">
        <f>IF($A2="","",COUNTIF('07_Pallet_Contents'!$A$2:$A$3000,$A2))</f>
        <v/>
      </c>
      <c r="X213">
        <f>IF($A2="","",SUMIF('07_Pallet_Contents'!$A$2:$A$3000,$A2,'07_Pallet_Contents'!$D$2:$D$3000))</f>
        <v/>
      </c>
      <c r="Y213">
        <f>IF($A2="","",SUMIF('07_Pallet_Contents'!$A$2:$A$3000,$A2,'07_Pallet_Contents'!$I$2:$I$3000))</f>
        <v/>
      </c>
      <c r="Z213">
        <f>IF($A2="","",IF(COUNTIF('07_Pallet_Contents'!$A$2:$A$3000,$A2)&gt;0,"Yes",""))</f>
        <v/>
      </c>
    </row>
    <row r="214">
      <c r="A214" s="4" t="inlineStr">
        <is>
          <t>PAL-0000214</t>
        </is>
      </c>
      <c r="B214" s="22" t="n"/>
      <c r="D214">
        <f>IF($C214="","",IFERROR(LOOKUP(2,1/('03_Warehouse_Movements'!$C$2:$C$500=$A214),'03_Warehouse_Movements'!$E$2:$E$500),$C214))</f>
        <v/>
      </c>
      <c r="E214" t="inlineStr">
        <is>
          <t>STANDARD</t>
        </is>
      </c>
      <c r="G214" s="25" t="n"/>
      <c r="H214" s="24">
        <f>IF(AND($F214="TEMP",$G214&gt;0,$M214&lt;&gt;""),$M214+$G214,"")</f>
        <v/>
      </c>
      <c r="I214" s="22" t="n"/>
      <c r="J214" s="22" t="n"/>
      <c r="K214" s="24" t="n"/>
      <c r="M214" s="46">
        <f>IF($C214="","",IFERROR(LOOKUP(2,1/('03_Warehouse_Movements'!$C$2:$C$500=$A214),'03_Warehouse_Movements'!$A$2:$A$500),""))</f>
        <v/>
      </c>
      <c r="N214">
        <f>IF($C214="","",IFERROR(LOOKUP(2,1/('03_Warehouse_Movements'!$C$2:$C$500=$A214),'03_Warehouse_Movements'!$H$2:$H$500),""))</f>
        <v/>
      </c>
      <c r="O214">
        <f>A214</f>
        <v/>
      </c>
      <c r="Q214" s="25" t="n"/>
      <c r="R214" s="24" t="n"/>
      <c r="W214">
        <f>IF($A2="","",COUNTIF('07_Pallet_Contents'!$A$2:$A$3000,$A2))</f>
        <v/>
      </c>
      <c r="X214">
        <f>IF($A2="","",SUMIF('07_Pallet_Contents'!$A$2:$A$3000,$A2,'07_Pallet_Contents'!$D$2:$D$3000))</f>
        <v/>
      </c>
      <c r="Y214">
        <f>IF($A2="","",SUMIF('07_Pallet_Contents'!$A$2:$A$3000,$A2,'07_Pallet_Contents'!$I$2:$I$3000))</f>
        <v/>
      </c>
      <c r="Z214">
        <f>IF($A2="","",IF(COUNTIF('07_Pallet_Contents'!$A$2:$A$3000,$A2)&gt;0,"Yes",""))</f>
        <v/>
      </c>
    </row>
    <row r="215">
      <c r="A215" s="4" t="inlineStr">
        <is>
          <t>PAL-0000215</t>
        </is>
      </c>
      <c r="B215" s="22" t="n"/>
      <c r="D215">
        <f>IF($C215="","",IFERROR(LOOKUP(2,1/('03_Warehouse_Movements'!$C$2:$C$500=$A215),'03_Warehouse_Movements'!$E$2:$E$500),$C215))</f>
        <v/>
      </c>
      <c r="E215" t="inlineStr">
        <is>
          <t>STANDARD</t>
        </is>
      </c>
      <c r="G215" s="25" t="n"/>
      <c r="H215" s="24">
        <f>IF(AND($F215="TEMP",$G215&gt;0,$M215&lt;&gt;""),$M215+$G215,"")</f>
        <v/>
      </c>
      <c r="I215" s="22" t="n"/>
      <c r="J215" s="22" t="n"/>
      <c r="K215" s="24" t="n"/>
      <c r="M215" s="46">
        <f>IF($C215="","",IFERROR(LOOKUP(2,1/('03_Warehouse_Movements'!$C$2:$C$500=$A215),'03_Warehouse_Movements'!$A$2:$A$500),""))</f>
        <v/>
      </c>
      <c r="N215">
        <f>IF($C215="","",IFERROR(LOOKUP(2,1/('03_Warehouse_Movements'!$C$2:$C$500=$A215),'03_Warehouse_Movements'!$H$2:$H$500),""))</f>
        <v/>
      </c>
      <c r="O215">
        <f>A215</f>
        <v/>
      </c>
      <c r="Q215" s="25" t="n"/>
      <c r="R215" s="24" t="n"/>
      <c r="W215">
        <f>IF($A2="","",COUNTIF('07_Pallet_Contents'!$A$2:$A$3000,$A2))</f>
        <v/>
      </c>
      <c r="X215">
        <f>IF($A2="","",SUMIF('07_Pallet_Contents'!$A$2:$A$3000,$A2,'07_Pallet_Contents'!$D$2:$D$3000))</f>
        <v/>
      </c>
      <c r="Y215">
        <f>IF($A2="","",SUMIF('07_Pallet_Contents'!$A$2:$A$3000,$A2,'07_Pallet_Contents'!$I$2:$I$3000))</f>
        <v/>
      </c>
      <c r="Z215">
        <f>IF($A2="","",IF(COUNTIF('07_Pallet_Contents'!$A$2:$A$3000,$A2)&gt;0,"Yes",""))</f>
        <v/>
      </c>
    </row>
    <row r="216">
      <c r="A216" s="4" t="inlineStr">
        <is>
          <t>PAL-0000216</t>
        </is>
      </c>
      <c r="B216" s="22" t="n"/>
      <c r="D216">
        <f>IF($C216="","",IFERROR(LOOKUP(2,1/('03_Warehouse_Movements'!$C$2:$C$500=$A216),'03_Warehouse_Movements'!$E$2:$E$500),$C216))</f>
        <v/>
      </c>
      <c r="E216" t="inlineStr">
        <is>
          <t>STANDARD</t>
        </is>
      </c>
      <c r="G216" s="25" t="n"/>
      <c r="H216" s="24">
        <f>IF(AND($F216="TEMP",$G216&gt;0,$M216&lt;&gt;""),$M216+$G216,"")</f>
        <v/>
      </c>
      <c r="I216" s="22" t="n"/>
      <c r="J216" s="22" t="n"/>
      <c r="K216" s="24" t="n"/>
      <c r="M216" s="46">
        <f>IF($C216="","",IFERROR(LOOKUP(2,1/('03_Warehouse_Movements'!$C$2:$C$500=$A216),'03_Warehouse_Movements'!$A$2:$A$500),""))</f>
        <v/>
      </c>
      <c r="N216">
        <f>IF($C216="","",IFERROR(LOOKUP(2,1/('03_Warehouse_Movements'!$C$2:$C$500=$A216),'03_Warehouse_Movements'!$H$2:$H$500),""))</f>
        <v/>
      </c>
      <c r="O216">
        <f>A216</f>
        <v/>
      </c>
      <c r="Q216" s="25" t="n"/>
      <c r="R216" s="24" t="n"/>
      <c r="W216">
        <f>IF($A2="","",COUNTIF('07_Pallet_Contents'!$A$2:$A$3000,$A2))</f>
        <v/>
      </c>
      <c r="X216">
        <f>IF($A2="","",SUMIF('07_Pallet_Contents'!$A$2:$A$3000,$A2,'07_Pallet_Contents'!$D$2:$D$3000))</f>
        <v/>
      </c>
      <c r="Y216">
        <f>IF($A2="","",SUMIF('07_Pallet_Contents'!$A$2:$A$3000,$A2,'07_Pallet_Contents'!$I$2:$I$3000))</f>
        <v/>
      </c>
      <c r="Z216">
        <f>IF($A2="","",IF(COUNTIF('07_Pallet_Contents'!$A$2:$A$3000,$A2)&gt;0,"Yes",""))</f>
        <v/>
      </c>
    </row>
    <row r="217">
      <c r="A217" s="4" t="inlineStr">
        <is>
          <t>PAL-0000217</t>
        </is>
      </c>
      <c r="B217" s="22" t="n"/>
      <c r="D217">
        <f>IF($C217="","",IFERROR(LOOKUP(2,1/('03_Warehouse_Movements'!$C$2:$C$500=$A217),'03_Warehouse_Movements'!$E$2:$E$500),$C217))</f>
        <v/>
      </c>
      <c r="E217" t="inlineStr">
        <is>
          <t>STANDARD</t>
        </is>
      </c>
      <c r="G217" s="25" t="n"/>
      <c r="H217" s="24">
        <f>IF(AND($F217="TEMP",$G217&gt;0,$M217&lt;&gt;""),$M217+$G217,"")</f>
        <v/>
      </c>
      <c r="I217" s="22" t="n"/>
      <c r="J217" s="22" t="n"/>
      <c r="K217" s="24" t="n"/>
      <c r="M217" s="46">
        <f>IF($C217="","",IFERROR(LOOKUP(2,1/('03_Warehouse_Movements'!$C$2:$C$500=$A217),'03_Warehouse_Movements'!$A$2:$A$500),""))</f>
        <v/>
      </c>
      <c r="N217">
        <f>IF($C217="","",IFERROR(LOOKUP(2,1/('03_Warehouse_Movements'!$C$2:$C$500=$A217),'03_Warehouse_Movements'!$H$2:$H$500),""))</f>
        <v/>
      </c>
      <c r="O217">
        <f>A217</f>
        <v/>
      </c>
      <c r="Q217" s="25" t="n"/>
      <c r="R217" s="24" t="n"/>
      <c r="W217">
        <f>IF($A2="","",COUNTIF('07_Pallet_Contents'!$A$2:$A$3000,$A2))</f>
        <v/>
      </c>
      <c r="X217">
        <f>IF($A2="","",SUMIF('07_Pallet_Contents'!$A$2:$A$3000,$A2,'07_Pallet_Contents'!$D$2:$D$3000))</f>
        <v/>
      </c>
      <c r="Y217">
        <f>IF($A2="","",SUMIF('07_Pallet_Contents'!$A$2:$A$3000,$A2,'07_Pallet_Contents'!$I$2:$I$3000))</f>
        <v/>
      </c>
      <c r="Z217">
        <f>IF($A2="","",IF(COUNTIF('07_Pallet_Contents'!$A$2:$A$3000,$A2)&gt;0,"Yes",""))</f>
        <v/>
      </c>
    </row>
    <row r="218">
      <c r="A218" s="4" t="inlineStr">
        <is>
          <t>PAL-0000218</t>
        </is>
      </c>
      <c r="B218" s="22" t="n"/>
      <c r="D218">
        <f>IF($C218="","",IFERROR(LOOKUP(2,1/('03_Warehouse_Movements'!$C$2:$C$500=$A218),'03_Warehouse_Movements'!$E$2:$E$500),$C218))</f>
        <v/>
      </c>
      <c r="E218" t="inlineStr">
        <is>
          <t>STANDARD</t>
        </is>
      </c>
      <c r="G218" s="25" t="n"/>
      <c r="H218" s="24">
        <f>IF(AND($F218="TEMP",$G218&gt;0,$M218&lt;&gt;""),$M218+$G218,"")</f>
        <v/>
      </c>
      <c r="I218" s="22" t="n"/>
      <c r="J218" s="22" t="n"/>
      <c r="K218" s="24" t="n"/>
      <c r="M218" s="46">
        <f>IF($C218="","",IFERROR(LOOKUP(2,1/('03_Warehouse_Movements'!$C$2:$C$500=$A218),'03_Warehouse_Movements'!$A$2:$A$500),""))</f>
        <v/>
      </c>
      <c r="N218">
        <f>IF($C218="","",IFERROR(LOOKUP(2,1/('03_Warehouse_Movements'!$C$2:$C$500=$A218),'03_Warehouse_Movements'!$H$2:$H$500),""))</f>
        <v/>
      </c>
      <c r="O218">
        <f>A218</f>
        <v/>
      </c>
      <c r="Q218" s="25" t="n"/>
      <c r="R218" s="24" t="n"/>
      <c r="W218">
        <f>IF($A2="","",COUNTIF('07_Pallet_Contents'!$A$2:$A$3000,$A2))</f>
        <v/>
      </c>
      <c r="X218">
        <f>IF($A2="","",SUMIF('07_Pallet_Contents'!$A$2:$A$3000,$A2,'07_Pallet_Contents'!$D$2:$D$3000))</f>
        <v/>
      </c>
      <c r="Y218">
        <f>IF($A2="","",SUMIF('07_Pallet_Contents'!$A$2:$A$3000,$A2,'07_Pallet_Contents'!$I$2:$I$3000))</f>
        <v/>
      </c>
      <c r="Z218">
        <f>IF($A2="","",IF(COUNTIF('07_Pallet_Contents'!$A$2:$A$3000,$A2)&gt;0,"Yes",""))</f>
        <v/>
      </c>
    </row>
    <row r="219">
      <c r="A219" s="4" t="inlineStr">
        <is>
          <t>PAL-0000219</t>
        </is>
      </c>
      <c r="B219" s="22" t="n"/>
      <c r="D219">
        <f>IF($C219="","",IFERROR(LOOKUP(2,1/('03_Warehouse_Movements'!$C$2:$C$500=$A219),'03_Warehouse_Movements'!$E$2:$E$500),$C219))</f>
        <v/>
      </c>
      <c r="E219" t="inlineStr">
        <is>
          <t>STANDARD</t>
        </is>
      </c>
      <c r="G219" s="25" t="n"/>
      <c r="H219" s="24">
        <f>IF(AND($F219="TEMP",$G219&gt;0,$M219&lt;&gt;""),$M219+$G219,"")</f>
        <v/>
      </c>
      <c r="I219" s="22" t="n"/>
      <c r="J219" s="22" t="n"/>
      <c r="K219" s="24" t="n"/>
      <c r="M219" s="46">
        <f>IF($C219="","",IFERROR(LOOKUP(2,1/('03_Warehouse_Movements'!$C$2:$C$500=$A219),'03_Warehouse_Movements'!$A$2:$A$500),""))</f>
        <v/>
      </c>
      <c r="N219">
        <f>IF($C219="","",IFERROR(LOOKUP(2,1/('03_Warehouse_Movements'!$C$2:$C$500=$A219),'03_Warehouse_Movements'!$H$2:$H$500),""))</f>
        <v/>
      </c>
      <c r="O219">
        <f>A219</f>
        <v/>
      </c>
      <c r="Q219" s="25" t="n"/>
      <c r="R219" s="24" t="n"/>
      <c r="W219">
        <f>IF($A2="","",COUNTIF('07_Pallet_Contents'!$A$2:$A$3000,$A2))</f>
        <v/>
      </c>
      <c r="X219">
        <f>IF($A2="","",SUMIF('07_Pallet_Contents'!$A$2:$A$3000,$A2,'07_Pallet_Contents'!$D$2:$D$3000))</f>
        <v/>
      </c>
      <c r="Y219">
        <f>IF($A2="","",SUMIF('07_Pallet_Contents'!$A$2:$A$3000,$A2,'07_Pallet_Contents'!$I$2:$I$3000))</f>
        <v/>
      </c>
      <c r="Z219">
        <f>IF($A2="","",IF(COUNTIF('07_Pallet_Contents'!$A$2:$A$3000,$A2)&gt;0,"Yes",""))</f>
        <v/>
      </c>
    </row>
    <row r="220">
      <c r="A220" s="4" t="inlineStr">
        <is>
          <t>PAL-0000220</t>
        </is>
      </c>
      <c r="B220" s="22" t="n"/>
      <c r="D220">
        <f>IF($C220="","",IFERROR(LOOKUP(2,1/('03_Warehouse_Movements'!$C$2:$C$500=$A220),'03_Warehouse_Movements'!$E$2:$E$500),$C220))</f>
        <v/>
      </c>
      <c r="E220" t="inlineStr">
        <is>
          <t>STANDARD</t>
        </is>
      </c>
      <c r="G220" s="25" t="n"/>
      <c r="H220" s="24">
        <f>IF(AND($F220="TEMP",$G220&gt;0,$M220&lt;&gt;""),$M220+$G220,"")</f>
        <v/>
      </c>
      <c r="I220" s="22" t="n"/>
      <c r="J220" s="22" t="n"/>
      <c r="K220" s="24" t="n"/>
      <c r="M220" s="46">
        <f>IF($C220="","",IFERROR(LOOKUP(2,1/('03_Warehouse_Movements'!$C$2:$C$500=$A220),'03_Warehouse_Movements'!$A$2:$A$500),""))</f>
        <v/>
      </c>
      <c r="N220">
        <f>IF($C220="","",IFERROR(LOOKUP(2,1/('03_Warehouse_Movements'!$C$2:$C$500=$A220),'03_Warehouse_Movements'!$H$2:$H$500),""))</f>
        <v/>
      </c>
      <c r="O220">
        <f>A220</f>
        <v/>
      </c>
      <c r="Q220" s="25" t="n"/>
      <c r="R220" s="24" t="n"/>
      <c r="W220">
        <f>IF($A2="","",COUNTIF('07_Pallet_Contents'!$A$2:$A$3000,$A2))</f>
        <v/>
      </c>
      <c r="X220">
        <f>IF($A2="","",SUMIF('07_Pallet_Contents'!$A$2:$A$3000,$A2,'07_Pallet_Contents'!$D$2:$D$3000))</f>
        <v/>
      </c>
      <c r="Y220">
        <f>IF($A2="","",SUMIF('07_Pallet_Contents'!$A$2:$A$3000,$A2,'07_Pallet_Contents'!$I$2:$I$3000))</f>
        <v/>
      </c>
      <c r="Z220">
        <f>IF($A2="","",IF(COUNTIF('07_Pallet_Contents'!$A$2:$A$3000,$A2)&gt;0,"Yes",""))</f>
        <v/>
      </c>
    </row>
    <row r="221">
      <c r="A221" s="4" t="inlineStr">
        <is>
          <t>PAL-0000221</t>
        </is>
      </c>
      <c r="B221" s="22" t="n"/>
      <c r="D221">
        <f>IF($C221="","",IFERROR(LOOKUP(2,1/('03_Warehouse_Movements'!$C$2:$C$500=$A221),'03_Warehouse_Movements'!$E$2:$E$500),$C221))</f>
        <v/>
      </c>
      <c r="E221" t="inlineStr">
        <is>
          <t>STANDARD</t>
        </is>
      </c>
      <c r="G221" s="25" t="n"/>
      <c r="H221" s="24">
        <f>IF(AND($F221="TEMP",$G221&gt;0,$M221&lt;&gt;""),$M221+$G221,"")</f>
        <v/>
      </c>
      <c r="I221" s="22" t="n"/>
      <c r="J221" s="22" t="n"/>
      <c r="K221" s="24" t="n"/>
      <c r="M221" s="46">
        <f>IF($C221="","",IFERROR(LOOKUP(2,1/('03_Warehouse_Movements'!$C$2:$C$500=$A221),'03_Warehouse_Movements'!$A$2:$A$500),""))</f>
        <v/>
      </c>
      <c r="N221">
        <f>IF($C221="","",IFERROR(LOOKUP(2,1/('03_Warehouse_Movements'!$C$2:$C$500=$A221),'03_Warehouse_Movements'!$H$2:$H$500),""))</f>
        <v/>
      </c>
      <c r="O221">
        <f>A221</f>
        <v/>
      </c>
      <c r="Q221" s="25" t="n"/>
      <c r="R221" s="24" t="n"/>
      <c r="W221">
        <f>IF($A2="","",COUNTIF('07_Pallet_Contents'!$A$2:$A$3000,$A2))</f>
        <v/>
      </c>
      <c r="X221">
        <f>IF($A2="","",SUMIF('07_Pallet_Contents'!$A$2:$A$3000,$A2,'07_Pallet_Contents'!$D$2:$D$3000))</f>
        <v/>
      </c>
      <c r="Y221">
        <f>IF($A2="","",SUMIF('07_Pallet_Contents'!$A$2:$A$3000,$A2,'07_Pallet_Contents'!$I$2:$I$3000))</f>
        <v/>
      </c>
      <c r="Z221">
        <f>IF($A2="","",IF(COUNTIF('07_Pallet_Contents'!$A$2:$A$3000,$A2)&gt;0,"Yes",""))</f>
        <v/>
      </c>
    </row>
    <row r="222">
      <c r="A222" s="4" t="inlineStr">
        <is>
          <t>PAL-0000222</t>
        </is>
      </c>
      <c r="B222" s="22" t="n"/>
      <c r="D222">
        <f>IF($C222="","",IFERROR(LOOKUP(2,1/('03_Warehouse_Movements'!$C$2:$C$500=$A222),'03_Warehouse_Movements'!$E$2:$E$500),$C222))</f>
        <v/>
      </c>
      <c r="E222" t="inlineStr">
        <is>
          <t>STANDARD</t>
        </is>
      </c>
      <c r="G222" s="25" t="n"/>
      <c r="H222" s="24">
        <f>IF(AND($F222="TEMP",$G222&gt;0,$M222&lt;&gt;""),$M222+$G222,"")</f>
        <v/>
      </c>
      <c r="I222" s="22" t="n"/>
      <c r="J222" s="22" t="n"/>
      <c r="K222" s="24" t="n"/>
      <c r="M222" s="46">
        <f>IF($C222="","",IFERROR(LOOKUP(2,1/('03_Warehouse_Movements'!$C$2:$C$500=$A222),'03_Warehouse_Movements'!$A$2:$A$500),""))</f>
        <v/>
      </c>
      <c r="N222">
        <f>IF($C222="","",IFERROR(LOOKUP(2,1/('03_Warehouse_Movements'!$C$2:$C$500=$A222),'03_Warehouse_Movements'!$H$2:$H$500),""))</f>
        <v/>
      </c>
      <c r="O222">
        <f>A222</f>
        <v/>
      </c>
      <c r="Q222" s="25" t="n"/>
      <c r="R222" s="24" t="n"/>
      <c r="W222">
        <f>IF($A2="","",COUNTIF('07_Pallet_Contents'!$A$2:$A$3000,$A2))</f>
        <v/>
      </c>
      <c r="X222">
        <f>IF($A2="","",SUMIF('07_Pallet_Contents'!$A$2:$A$3000,$A2,'07_Pallet_Contents'!$D$2:$D$3000))</f>
        <v/>
      </c>
      <c r="Y222">
        <f>IF($A2="","",SUMIF('07_Pallet_Contents'!$A$2:$A$3000,$A2,'07_Pallet_Contents'!$I$2:$I$3000))</f>
        <v/>
      </c>
      <c r="Z222">
        <f>IF($A2="","",IF(COUNTIF('07_Pallet_Contents'!$A$2:$A$3000,$A2)&gt;0,"Yes",""))</f>
        <v/>
      </c>
    </row>
    <row r="223">
      <c r="A223" s="4" t="inlineStr">
        <is>
          <t>PAL-0000223</t>
        </is>
      </c>
      <c r="B223" s="22" t="n"/>
      <c r="D223">
        <f>IF($C223="","",IFERROR(LOOKUP(2,1/('03_Warehouse_Movements'!$C$2:$C$500=$A223),'03_Warehouse_Movements'!$E$2:$E$500),$C223))</f>
        <v/>
      </c>
      <c r="E223" t="inlineStr">
        <is>
          <t>STANDARD</t>
        </is>
      </c>
      <c r="G223" s="25" t="n"/>
      <c r="H223" s="24">
        <f>IF(AND($F223="TEMP",$G223&gt;0,$M223&lt;&gt;""),$M223+$G223,"")</f>
        <v/>
      </c>
      <c r="I223" s="22" t="n"/>
      <c r="J223" s="22" t="n"/>
      <c r="K223" s="24" t="n"/>
      <c r="M223" s="46">
        <f>IF($C223="","",IFERROR(LOOKUP(2,1/('03_Warehouse_Movements'!$C$2:$C$500=$A223),'03_Warehouse_Movements'!$A$2:$A$500),""))</f>
        <v/>
      </c>
      <c r="N223">
        <f>IF($C223="","",IFERROR(LOOKUP(2,1/('03_Warehouse_Movements'!$C$2:$C$500=$A223),'03_Warehouse_Movements'!$H$2:$H$500),""))</f>
        <v/>
      </c>
      <c r="O223">
        <f>A223</f>
        <v/>
      </c>
      <c r="Q223" s="25" t="n"/>
      <c r="R223" s="24" t="n"/>
      <c r="W223">
        <f>IF($A2="","",COUNTIF('07_Pallet_Contents'!$A$2:$A$3000,$A2))</f>
        <v/>
      </c>
      <c r="X223">
        <f>IF($A2="","",SUMIF('07_Pallet_Contents'!$A$2:$A$3000,$A2,'07_Pallet_Contents'!$D$2:$D$3000))</f>
        <v/>
      </c>
      <c r="Y223">
        <f>IF($A2="","",SUMIF('07_Pallet_Contents'!$A$2:$A$3000,$A2,'07_Pallet_Contents'!$I$2:$I$3000))</f>
        <v/>
      </c>
      <c r="Z223">
        <f>IF($A2="","",IF(COUNTIF('07_Pallet_Contents'!$A$2:$A$3000,$A2)&gt;0,"Yes",""))</f>
        <v/>
      </c>
    </row>
    <row r="224">
      <c r="A224" s="4" t="inlineStr">
        <is>
          <t>PAL-0000224</t>
        </is>
      </c>
      <c r="B224" s="22" t="n"/>
      <c r="D224">
        <f>IF($C224="","",IFERROR(LOOKUP(2,1/('03_Warehouse_Movements'!$C$2:$C$500=$A224),'03_Warehouse_Movements'!$E$2:$E$500),$C224))</f>
        <v/>
      </c>
      <c r="E224" t="inlineStr">
        <is>
          <t>STANDARD</t>
        </is>
      </c>
      <c r="G224" s="25" t="n"/>
      <c r="H224" s="24">
        <f>IF(AND($F224="TEMP",$G224&gt;0,$M224&lt;&gt;""),$M224+$G224,"")</f>
        <v/>
      </c>
      <c r="I224" s="22" t="n"/>
      <c r="J224" s="22" t="n"/>
      <c r="K224" s="24" t="n"/>
      <c r="M224" s="46">
        <f>IF($C224="","",IFERROR(LOOKUP(2,1/('03_Warehouse_Movements'!$C$2:$C$500=$A224),'03_Warehouse_Movements'!$A$2:$A$500),""))</f>
        <v/>
      </c>
      <c r="N224">
        <f>IF($C224="","",IFERROR(LOOKUP(2,1/('03_Warehouse_Movements'!$C$2:$C$500=$A224),'03_Warehouse_Movements'!$H$2:$H$500),""))</f>
        <v/>
      </c>
      <c r="O224">
        <f>A224</f>
        <v/>
      </c>
      <c r="Q224" s="25" t="n"/>
      <c r="R224" s="24" t="n"/>
      <c r="W224">
        <f>IF($A2="","",COUNTIF('07_Pallet_Contents'!$A$2:$A$3000,$A2))</f>
        <v/>
      </c>
      <c r="X224">
        <f>IF($A2="","",SUMIF('07_Pallet_Contents'!$A$2:$A$3000,$A2,'07_Pallet_Contents'!$D$2:$D$3000))</f>
        <v/>
      </c>
      <c r="Y224">
        <f>IF($A2="","",SUMIF('07_Pallet_Contents'!$A$2:$A$3000,$A2,'07_Pallet_Contents'!$I$2:$I$3000))</f>
        <v/>
      </c>
      <c r="Z224">
        <f>IF($A2="","",IF(COUNTIF('07_Pallet_Contents'!$A$2:$A$3000,$A2)&gt;0,"Yes",""))</f>
        <v/>
      </c>
    </row>
    <row r="225">
      <c r="A225" s="4" t="inlineStr">
        <is>
          <t>PAL-0000225</t>
        </is>
      </c>
      <c r="B225" s="22" t="n"/>
      <c r="D225">
        <f>IF($C225="","",IFERROR(LOOKUP(2,1/('03_Warehouse_Movements'!$C$2:$C$500=$A225),'03_Warehouse_Movements'!$E$2:$E$500),$C225))</f>
        <v/>
      </c>
      <c r="E225" t="inlineStr">
        <is>
          <t>STANDARD</t>
        </is>
      </c>
      <c r="G225" s="25" t="n"/>
      <c r="H225" s="24">
        <f>IF(AND($F225="TEMP",$G225&gt;0,$M225&lt;&gt;""),$M225+$G225,"")</f>
        <v/>
      </c>
      <c r="I225" s="22" t="n"/>
      <c r="J225" s="22" t="n"/>
      <c r="K225" s="24" t="n"/>
      <c r="M225" s="46">
        <f>IF($C225="","",IFERROR(LOOKUP(2,1/('03_Warehouse_Movements'!$C$2:$C$500=$A225),'03_Warehouse_Movements'!$A$2:$A$500),""))</f>
        <v/>
      </c>
      <c r="N225">
        <f>IF($C225="","",IFERROR(LOOKUP(2,1/('03_Warehouse_Movements'!$C$2:$C$500=$A225),'03_Warehouse_Movements'!$H$2:$H$500),""))</f>
        <v/>
      </c>
      <c r="O225">
        <f>A225</f>
        <v/>
      </c>
      <c r="Q225" s="25" t="n"/>
      <c r="R225" s="24" t="n"/>
      <c r="W225">
        <f>IF($A2="","",COUNTIF('07_Pallet_Contents'!$A$2:$A$3000,$A2))</f>
        <v/>
      </c>
      <c r="X225">
        <f>IF($A2="","",SUMIF('07_Pallet_Contents'!$A$2:$A$3000,$A2,'07_Pallet_Contents'!$D$2:$D$3000))</f>
        <v/>
      </c>
      <c r="Y225">
        <f>IF($A2="","",SUMIF('07_Pallet_Contents'!$A$2:$A$3000,$A2,'07_Pallet_Contents'!$I$2:$I$3000))</f>
        <v/>
      </c>
      <c r="Z225">
        <f>IF($A2="","",IF(COUNTIF('07_Pallet_Contents'!$A$2:$A$3000,$A2)&gt;0,"Yes",""))</f>
        <v/>
      </c>
    </row>
    <row r="226">
      <c r="A226" s="4" t="inlineStr">
        <is>
          <t>PAL-0000226</t>
        </is>
      </c>
      <c r="B226" s="22" t="n"/>
      <c r="D226">
        <f>IF($C226="","",IFERROR(LOOKUP(2,1/('03_Warehouse_Movements'!$C$2:$C$500=$A226),'03_Warehouse_Movements'!$E$2:$E$500),$C226))</f>
        <v/>
      </c>
      <c r="E226" t="inlineStr">
        <is>
          <t>STANDARD</t>
        </is>
      </c>
      <c r="G226" s="25" t="n"/>
      <c r="H226" s="24">
        <f>IF(AND($F226="TEMP",$G226&gt;0,$M226&lt;&gt;""),$M226+$G226,"")</f>
        <v/>
      </c>
      <c r="I226" s="22" t="n"/>
      <c r="J226" s="22" t="n"/>
      <c r="K226" s="24" t="n"/>
      <c r="M226" s="46">
        <f>IF($C226="","",IFERROR(LOOKUP(2,1/('03_Warehouse_Movements'!$C$2:$C$500=$A226),'03_Warehouse_Movements'!$A$2:$A$500),""))</f>
        <v/>
      </c>
      <c r="N226">
        <f>IF($C226="","",IFERROR(LOOKUP(2,1/('03_Warehouse_Movements'!$C$2:$C$500=$A226),'03_Warehouse_Movements'!$H$2:$H$500),""))</f>
        <v/>
      </c>
      <c r="O226">
        <f>A226</f>
        <v/>
      </c>
      <c r="Q226" s="25" t="n"/>
      <c r="R226" s="24" t="n"/>
      <c r="W226">
        <f>IF($A2="","",COUNTIF('07_Pallet_Contents'!$A$2:$A$3000,$A2))</f>
        <v/>
      </c>
      <c r="X226">
        <f>IF($A2="","",SUMIF('07_Pallet_Contents'!$A$2:$A$3000,$A2,'07_Pallet_Contents'!$D$2:$D$3000))</f>
        <v/>
      </c>
      <c r="Y226">
        <f>IF($A2="","",SUMIF('07_Pallet_Contents'!$A$2:$A$3000,$A2,'07_Pallet_Contents'!$I$2:$I$3000))</f>
        <v/>
      </c>
      <c r="Z226">
        <f>IF($A2="","",IF(COUNTIF('07_Pallet_Contents'!$A$2:$A$3000,$A2)&gt;0,"Yes",""))</f>
        <v/>
      </c>
    </row>
    <row r="227">
      <c r="A227" s="4" t="inlineStr">
        <is>
          <t>PAL-0000227</t>
        </is>
      </c>
      <c r="B227" s="22" t="n"/>
      <c r="D227">
        <f>IF($C227="","",IFERROR(LOOKUP(2,1/('03_Warehouse_Movements'!$C$2:$C$500=$A227),'03_Warehouse_Movements'!$E$2:$E$500),$C227))</f>
        <v/>
      </c>
      <c r="E227" t="inlineStr">
        <is>
          <t>STANDARD</t>
        </is>
      </c>
      <c r="G227" s="25" t="n"/>
      <c r="H227" s="24">
        <f>IF(AND($F227="TEMP",$G227&gt;0,$M227&lt;&gt;""),$M227+$G227,"")</f>
        <v/>
      </c>
      <c r="I227" s="22" t="n"/>
      <c r="J227" s="22" t="n"/>
      <c r="K227" s="24" t="n"/>
      <c r="M227" s="46">
        <f>IF($C227="","",IFERROR(LOOKUP(2,1/('03_Warehouse_Movements'!$C$2:$C$500=$A227),'03_Warehouse_Movements'!$A$2:$A$500),""))</f>
        <v/>
      </c>
      <c r="N227">
        <f>IF($C227="","",IFERROR(LOOKUP(2,1/('03_Warehouse_Movements'!$C$2:$C$500=$A227),'03_Warehouse_Movements'!$H$2:$H$500),""))</f>
        <v/>
      </c>
      <c r="O227">
        <f>A227</f>
        <v/>
      </c>
      <c r="Q227" s="25" t="n"/>
      <c r="R227" s="24" t="n"/>
      <c r="W227">
        <f>IF($A2="","",COUNTIF('07_Pallet_Contents'!$A$2:$A$3000,$A2))</f>
        <v/>
      </c>
      <c r="X227">
        <f>IF($A2="","",SUMIF('07_Pallet_Contents'!$A$2:$A$3000,$A2,'07_Pallet_Contents'!$D$2:$D$3000))</f>
        <v/>
      </c>
      <c r="Y227">
        <f>IF($A2="","",SUMIF('07_Pallet_Contents'!$A$2:$A$3000,$A2,'07_Pallet_Contents'!$I$2:$I$3000))</f>
        <v/>
      </c>
      <c r="Z227">
        <f>IF($A2="","",IF(COUNTIF('07_Pallet_Contents'!$A$2:$A$3000,$A2)&gt;0,"Yes",""))</f>
        <v/>
      </c>
    </row>
    <row r="228">
      <c r="A228" s="4" t="inlineStr">
        <is>
          <t>PAL-0000228</t>
        </is>
      </c>
      <c r="B228" s="22" t="n"/>
      <c r="D228">
        <f>IF($C228="","",IFERROR(LOOKUP(2,1/('03_Warehouse_Movements'!$C$2:$C$500=$A228),'03_Warehouse_Movements'!$E$2:$E$500),$C228))</f>
        <v/>
      </c>
      <c r="E228" t="inlineStr">
        <is>
          <t>STANDARD</t>
        </is>
      </c>
      <c r="G228" s="25" t="n"/>
      <c r="H228" s="24">
        <f>IF(AND($F228="TEMP",$G228&gt;0,$M228&lt;&gt;""),$M228+$G228,"")</f>
        <v/>
      </c>
      <c r="I228" s="22" t="n"/>
      <c r="J228" s="22" t="n"/>
      <c r="K228" s="24" t="n"/>
      <c r="M228" s="46">
        <f>IF($C228="","",IFERROR(LOOKUP(2,1/('03_Warehouse_Movements'!$C$2:$C$500=$A228),'03_Warehouse_Movements'!$A$2:$A$500),""))</f>
        <v/>
      </c>
      <c r="N228">
        <f>IF($C228="","",IFERROR(LOOKUP(2,1/('03_Warehouse_Movements'!$C$2:$C$500=$A228),'03_Warehouse_Movements'!$H$2:$H$500),""))</f>
        <v/>
      </c>
      <c r="O228">
        <f>A228</f>
        <v/>
      </c>
      <c r="Q228" s="25" t="n"/>
      <c r="R228" s="24" t="n"/>
      <c r="W228">
        <f>IF($A2="","",COUNTIF('07_Pallet_Contents'!$A$2:$A$3000,$A2))</f>
        <v/>
      </c>
      <c r="X228">
        <f>IF($A2="","",SUMIF('07_Pallet_Contents'!$A$2:$A$3000,$A2,'07_Pallet_Contents'!$D$2:$D$3000))</f>
        <v/>
      </c>
      <c r="Y228">
        <f>IF($A2="","",SUMIF('07_Pallet_Contents'!$A$2:$A$3000,$A2,'07_Pallet_Contents'!$I$2:$I$3000))</f>
        <v/>
      </c>
      <c r="Z228">
        <f>IF($A2="","",IF(COUNTIF('07_Pallet_Contents'!$A$2:$A$3000,$A2)&gt;0,"Yes",""))</f>
        <v/>
      </c>
    </row>
    <row r="229">
      <c r="A229" s="4" t="inlineStr">
        <is>
          <t>PAL-0000229</t>
        </is>
      </c>
      <c r="B229" s="22" t="n"/>
      <c r="D229">
        <f>IF($C229="","",IFERROR(LOOKUP(2,1/('03_Warehouse_Movements'!$C$2:$C$500=$A229),'03_Warehouse_Movements'!$E$2:$E$500),$C229))</f>
        <v/>
      </c>
      <c r="E229" t="inlineStr">
        <is>
          <t>STANDARD</t>
        </is>
      </c>
      <c r="G229" s="25" t="n"/>
      <c r="H229" s="24">
        <f>IF(AND($F229="TEMP",$G229&gt;0,$M229&lt;&gt;""),$M229+$G229,"")</f>
        <v/>
      </c>
      <c r="I229" s="22" t="n"/>
      <c r="J229" s="22" t="n"/>
      <c r="K229" s="24" t="n"/>
      <c r="M229" s="46">
        <f>IF($C229="","",IFERROR(LOOKUP(2,1/('03_Warehouse_Movements'!$C$2:$C$500=$A229),'03_Warehouse_Movements'!$A$2:$A$500),""))</f>
        <v/>
      </c>
      <c r="N229">
        <f>IF($C229="","",IFERROR(LOOKUP(2,1/('03_Warehouse_Movements'!$C$2:$C$500=$A229),'03_Warehouse_Movements'!$H$2:$H$500),""))</f>
        <v/>
      </c>
      <c r="O229">
        <f>A229</f>
        <v/>
      </c>
      <c r="Q229" s="25" t="n"/>
      <c r="R229" s="24" t="n"/>
      <c r="W229">
        <f>IF($A2="","",COUNTIF('07_Pallet_Contents'!$A$2:$A$3000,$A2))</f>
        <v/>
      </c>
      <c r="X229">
        <f>IF($A2="","",SUMIF('07_Pallet_Contents'!$A$2:$A$3000,$A2,'07_Pallet_Contents'!$D$2:$D$3000))</f>
        <v/>
      </c>
      <c r="Y229">
        <f>IF($A2="","",SUMIF('07_Pallet_Contents'!$A$2:$A$3000,$A2,'07_Pallet_Contents'!$I$2:$I$3000))</f>
        <v/>
      </c>
      <c r="Z229">
        <f>IF($A2="","",IF(COUNTIF('07_Pallet_Contents'!$A$2:$A$3000,$A2)&gt;0,"Yes",""))</f>
        <v/>
      </c>
    </row>
    <row r="230">
      <c r="A230" s="4" t="inlineStr">
        <is>
          <t>PAL-0000230</t>
        </is>
      </c>
      <c r="B230" s="22" t="n"/>
      <c r="D230">
        <f>IF($C230="","",IFERROR(LOOKUP(2,1/('03_Warehouse_Movements'!$C$2:$C$500=$A230),'03_Warehouse_Movements'!$E$2:$E$500),$C230))</f>
        <v/>
      </c>
      <c r="E230" t="inlineStr">
        <is>
          <t>STANDARD</t>
        </is>
      </c>
      <c r="G230" s="25" t="n"/>
      <c r="H230" s="24">
        <f>IF(AND($F230="TEMP",$G230&gt;0,$M230&lt;&gt;""),$M230+$G230,"")</f>
        <v/>
      </c>
      <c r="I230" s="22" t="n"/>
      <c r="J230" s="22" t="n"/>
      <c r="K230" s="24" t="n"/>
      <c r="M230" s="46">
        <f>IF($C230="","",IFERROR(LOOKUP(2,1/('03_Warehouse_Movements'!$C$2:$C$500=$A230),'03_Warehouse_Movements'!$A$2:$A$500),""))</f>
        <v/>
      </c>
      <c r="N230">
        <f>IF($C230="","",IFERROR(LOOKUP(2,1/('03_Warehouse_Movements'!$C$2:$C$500=$A230),'03_Warehouse_Movements'!$H$2:$H$500),""))</f>
        <v/>
      </c>
      <c r="O230">
        <f>A230</f>
        <v/>
      </c>
      <c r="Q230" s="25" t="n"/>
      <c r="R230" s="24" t="n"/>
      <c r="W230">
        <f>IF($A2="","",COUNTIF('07_Pallet_Contents'!$A$2:$A$3000,$A2))</f>
        <v/>
      </c>
      <c r="X230">
        <f>IF($A2="","",SUMIF('07_Pallet_Contents'!$A$2:$A$3000,$A2,'07_Pallet_Contents'!$D$2:$D$3000))</f>
        <v/>
      </c>
      <c r="Y230">
        <f>IF($A2="","",SUMIF('07_Pallet_Contents'!$A$2:$A$3000,$A2,'07_Pallet_Contents'!$I$2:$I$3000))</f>
        <v/>
      </c>
      <c r="Z230">
        <f>IF($A2="","",IF(COUNTIF('07_Pallet_Contents'!$A$2:$A$3000,$A2)&gt;0,"Yes",""))</f>
        <v/>
      </c>
    </row>
    <row r="231">
      <c r="A231" s="4" t="inlineStr">
        <is>
          <t>PAL-0000231</t>
        </is>
      </c>
      <c r="B231" s="22" t="n"/>
      <c r="D231">
        <f>IF($C231="","",IFERROR(LOOKUP(2,1/('03_Warehouse_Movements'!$C$2:$C$500=$A231),'03_Warehouse_Movements'!$E$2:$E$500),$C231))</f>
        <v/>
      </c>
      <c r="E231" t="inlineStr">
        <is>
          <t>STANDARD</t>
        </is>
      </c>
      <c r="G231" s="25" t="n"/>
      <c r="H231" s="24">
        <f>IF(AND($F231="TEMP",$G231&gt;0,$M231&lt;&gt;""),$M231+$G231,"")</f>
        <v/>
      </c>
      <c r="I231" s="22" t="n"/>
      <c r="J231" s="22" t="n"/>
      <c r="K231" s="24" t="n"/>
      <c r="M231" s="46">
        <f>IF($C231="","",IFERROR(LOOKUP(2,1/('03_Warehouse_Movements'!$C$2:$C$500=$A231),'03_Warehouse_Movements'!$A$2:$A$500),""))</f>
        <v/>
      </c>
      <c r="N231">
        <f>IF($C231="","",IFERROR(LOOKUP(2,1/('03_Warehouse_Movements'!$C$2:$C$500=$A231),'03_Warehouse_Movements'!$H$2:$H$500),""))</f>
        <v/>
      </c>
      <c r="O231">
        <f>A231</f>
        <v/>
      </c>
      <c r="Q231" s="25" t="n"/>
      <c r="R231" s="24" t="n"/>
      <c r="W231">
        <f>IF($A2="","",COUNTIF('07_Pallet_Contents'!$A$2:$A$3000,$A2))</f>
        <v/>
      </c>
      <c r="X231">
        <f>IF($A2="","",SUMIF('07_Pallet_Contents'!$A$2:$A$3000,$A2,'07_Pallet_Contents'!$D$2:$D$3000))</f>
        <v/>
      </c>
      <c r="Y231">
        <f>IF($A2="","",SUMIF('07_Pallet_Contents'!$A$2:$A$3000,$A2,'07_Pallet_Contents'!$I$2:$I$3000))</f>
        <v/>
      </c>
      <c r="Z231">
        <f>IF($A2="","",IF(COUNTIF('07_Pallet_Contents'!$A$2:$A$3000,$A2)&gt;0,"Yes",""))</f>
        <v/>
      </c>
    </row>
    <row r="232">
      <c r="A232" s="4" t="inlineStr">
        <is>
          <t>PAL-0000232</t>
        </is>
      </c>
      <c r="B232" s="22" t="n"/>
      <c r="D232">
        <f>IF($C232="","",IFERROR(LOOKUP(2,1/('03_Warehouse_Movements'!$C$2:$C$500=$A232),'03_Warehouse_Movements'!$E$2:$E$500),$C232))</f>
        <v/>
      </c>
      <c r="E232" t="inlineStr">
        <is>
          <t>STANDARD</t>
        </is>
      </c>
      <c r="G232" s="25" t="n"/>
      <c r="H232" s="24">
        <f>IF(AND($F232="TEMP",$G232&gt;0,$M232&lt;&gt;""),$M232+$G232,"")</f>
        <v/>
      </c>
      <c r="I232" s="22" t="n"/>
      <c r="J232" s="22" t="n"/>
      <c r="K232" s="24" t="n"/>
      <c r="M232" s="46">
        <f>IF($C232="","",IFERROR(LOOKUP(2,1/('03_Warehouse_Movements'!$C$2:$C$500=$A232),'03_Warehouse_Movements'!$A$2:$A$500),""))</f>
        <v/>
      </c>
      <c r="N232">
        <f>IF($C232="","",IFERROR(LOOKUP(2,1/('03_Warehouse_Movements'!$C$2:$C$500=$A232),'03_Warehouse_Movements'!$H$2:$H$500),""))</f>
        <v/>
      </c>
      <c r="O232">
        <f>A232</f>
        <v/>
      </c>
      <c r="Q232" s="25" t="n"/>
      <c r="R232" s="24" t="n"/>
      <c r="W232">
        <f>IF($A2="","",COUNTIF('07_Pallet_Contents'!$A$2:$A$3000,$A2))</f>
        <v/>
      </c>
      <c r="X232">
        <f>IF($A2="","",SUMIF('07_Pallet_Contents'!$A$2:$A$3000,$A2,'07_Pallet_Contents'!$D$2:$D$3000))</f>
        <v/>
      </c>
      <c r="Y232">
        <f>IF($A2="","",SUMIF('07_Pallet_Contents'!$A$2:$A$3000,$A2,'07_Pallet_Contents'!$I$2:$I$3000))</f>
        <v/>
      </c>
      <c r="Z232">
        <f>IF($A2="","",IF(COUNTIF('07_Pallet_Contents'!$A$2:$A$3000,$A2)&gt;0,"Yes",""))</f>
        <v/>
      </c>
    </row>
    <row r="233">
      <c r="A233" s="4" t="inlineStr">
        <is>
          <t>PAL-0000233</t>
        </is>
      </c>
      <c r="B233" s="22" t="n"/>
      <c r="D233">
        <f>IF($C233="","",IFERROR(LOOKUP(2,1/('03_Warehouse_Movements'!$C$2:$C$500=$A233),'03_Warehouse_Movements'!$E$2:$E$500),$C233))</f>
        <v/>
      </c>
      <c r="E233" t="inlineStr">
        <is>
          <t>STANDARD</t>
        </is>
      </c>
      <c r="G233" s="25" t="n"/>
      <c r="H233" s="24">
        <f>IF(AND($F233="TEMP",$G233&gt;0,$M233&lt;&gt;""),$M233+$G233,"")</f>
        <v/>
      </c>
      <c r="I233" s="22" t="n"/>
      <c r="J233" s="22" t="n"/>
      <c r="K233" s="24" t="n"/>
      <c r="M233" s="46">
        <f>IF($C233="","",IFERROR(LOOKUP(2,1/('03_Warehouse_Movements'!$C$2:$C$500=$A233),'03_Warehouse_Movements'!$A$2:$A$500),""))</f>
        <v/>
      </c>
      <c r="N233">
        <f>IF($C233="","",IFERROR(LOOKUP(2,1/('03_Warehouse_Movements'!$C$2:$C$500=$A233),'03_Warehouse_Movements'!$H$2:$H$500),""))</f>
        <v/>
      </c>
      <c r="O233">
        <f>A233</f>
        <v/>
      </c>
      <c r="Q233" s="25" t="n"/>
      <c r="R233" s="24" t="n"/>
      <c r="W233">
        <f>IF($A2="","",COUNTIF('07_Pallet_Contents'!$A$2:$A$3000,$A2))</f>
        <v/>
      </c>
      <c r="X233">
        <f>IF($A2="","",SUMIF('07_Pallet_Contents'!$A$2:$A$3000,$A2,'07_Pallet_Contents'!$D$2:$D$3000))</f>
        <v/>
      </c>
      <c r="Y233">
        <f>IF($A2="","",SUMIF('07_Pallet_Contents'!$A$2:$A$3000,$A2,'07_Pallet_Contents'!$I$2:$I$3000))</f>
        <v/>
      </c>
      <c r="Z233">
        <f>IF($A2="","",IF(COUNTIF('07_Pallet_Contents'!$A$2:$A$3000,$A2)&gt;0,"Yes",""))</f>
        <v/>
      </c>
    </row>
    <row r="234">
      <c r="A234" s="4" t="inlineStr">
        <is>
          <t>PAL-0000234</t>
        </is>
      </c>
      <c r="B234" s="22" t="n"/>
      <c r="D234">
        <f>IF($C234="","",IFERROR(LOOKUP(2,1/('03_Warehouse_Movements'!$C$2:$C$500=$A234),'03_Warehouse_Movements'!$E$2:$E$500),$C234))</f>
        <v/>
      </c>
      <c r="E234" t="inlineStr">
        <is>
          <t>STANDARD</t>
        </is>
      </c>
      <c r="G234" s="25" t="n"/>
      <c r="H234" s="24">
        <f>IF(AND($F234="TEMP",$G234&gt;0,$M234&lt;&gt;""),$M234+$G234,"")</f>
        <v/>
      </c>
      <c r="I234" s="22" t="n"/>
      <c r="J234" s="22" t="n"/>
      <c r="K234" s="24" t="n"/>
      <c r="M234" s="46">
        <f>IF($C234="","",IFERROR(LOOKUP(2,1/('03_Warehouse_Movements'!$C$2:$C$500=$A234),'03_Warehouse_Movements'!$A$2:$A$500),""))</f>
        <v/>
      </c>
      <c r="N234">
        <f>IF($C234="","",IFERROR(LOOKUP(2,1/('03_Warehouse_Movements'!$C$2:$C$500=$A234),'03_Warehouse_Movements'!$H$2:$H$500),""))</f>
        <v/>
      </c>
      <c r="O234">
        <f>A234</f>
        <v/>
      </c>
      <c r="Q234" s="25" t="n"/>
      <c r="R234" s="24" t="n"/>
      <c r="W234">
        <f>IF($A2="","",COUNTIF('07_Pallet_Contents'!$A$2:$A$3000,$A2))</f>
        <v/>
      </c>
      <c r="X234">
        <f>IF($A2="","",SUMIF('07_Pallet_Contents'!$A$2:$A$3000,$A2,'07_Pallet_Contents'!$D$2:$D$3000))</f>
        <v/>
      </c>
      <c r="Y234">
        <f>IF($A2="","",SUMIF('07_Pallet_Contents'!$A$2:$A$3000,$A2,'07_Pallet_Contents'!$I$2:$I$3000))</f>
        <v/>
      </c>
      <c r="Z234">
        <f>IF($A2="","",IF(COUNTIF('07_Pallet_Contents'!$A$2:$A$3000,$A2)&gt;0,"Yes",""))</f>
        <v/>
      </c>
    </row>
    <row r="235">
      <c r="A235" s="4" t="inlineStr">
        <is>
          <t>PAL-0000235</t>
        </is>
      </c>
      <c r="B235" s="22" t="n"/>
      <c r="D235">
        <f>IF($C235="","",IFERROR(LOOKUP(2,1/('03_Warehouse_Movements'!$C$2:$C$500=$A235),'03_Warehouse_Movements'!$E$2:$E$500),$C235))</f>
        <v/>
      </c>
      <c r="E235" t="inlineStr">
        <is>
          <t>STANDARD</t>
        </is>
      </c>
      <c r="G235" s="25" t="n"/>
      <c r="H235" s="24">
        <f>IF(AND($F235="TEMP",$G235&gt;0,$M235&lt;&gt;""),$M235+$G235,"")</f>
        <v/>
      </c>
      <c r="I235" s="22" t="n"/>
      <c r="J235" s="22" t="n"/>
      <c r="K235" s="24" t="n"/>
      <c r="M235" s="46">
        <f>IF($C235="","",IFERROR(LOOKUP(2,1/('03_Warehouse_Movements'!$C$2:$C$500=$A235),'03_Warehouse_Movements'!$A$2:$A$500),""))</f>
        <v/>
      </c>
      <c r="N235">
        <f>IF($C235="","",IFERROR(LOOKUP(2,1/('03_Warehouse_Movements'!$C$2:$C$500=$A235),'03_Warehouse_Movements'!$H$2:$H$500),""))</f>
        <v/>
      </c>
      <c r="O235">
        <f>A235</f>
        <v/>
      </c>
      <c r="Q235" s="25" t="n"/>
      <c r="R235" s="24" t="n"/>
      <c r="W235">
        <f>IF($A2="","",COUNTIF('07_Pallet_Contents'!$A$2:$A$3000,$A2))</f>
        <v/>
      </c>
      <c r="X235">
        <f>IF($A2="","",SUMIF('07_Pallet_Contents'!$A$2:$A$3000,$A2,'07_Pallet_Contents'!$D$2:$D$3000))</f>
        <v/>
      </c>
      <c r="Y235">
        <f>IF($A2="","",SUMIF('07_Pallet_Contents'!$A$2:$A$3000,$A2,'07_Pallet_Contents'!$I$2:$I$3000))</f>
        <v/>
      </c>
      <c r="Z235">
        <f>IF($A2="","",IF(COUNTIF('07_Pallet_Contents'!$A$2:$A$3000,$A2)&gt;0,"Yes",""))</f>
        <v/>
      </c>
    </row>
    <row r="236">
      <c r="A236" s="4" t="inlineStr">
        <is>
          <t>PAL-0000236</t>
        </is>
      </c>
      <c r="B236" s="22" t="n"/>
      <c r="D236">
        <f>IF($C236="","",IFERROR(LOOKUP(2,1/('03_Warehouse_Movements'!$C$2:$C$500=$A236),'03_Warehouse_Movements'!$E$2:$E$500),$C236))</f>
        <v/>
      </c>
      <c r="E236" t="inlineStr">
        <is>
          <t>STANDARD</t>
        </is>
      </c>
      <c r="G236" s="25" t="n"/>
      <c r="H236" s="24">
        <f>IF(AND($F236="TEMP",$G236&gt;0,$M236&lt;&gt;""),$M236+$G236,"")</f>
        <v/>
      </c>
      <c r="I236" s="22" t="n"/>
      <c r="J236" s="22" t="n"/>
      <c r="K236" s="24" t="n"/>
      <c r="M236" s="46">
        <f>IF($C236="","",IFERROR(LOOKUP(2,1/('03_Warehouse_Movements'!$C$2:$C$500=$A236),'03_Warehouse_Movements'!$A$2:$A$500),""))</f>
        <v/>
      </c>
      <c r="N236">
        <f>IF($C236="","",IFERROR(LOOKUP(2,1/('03_Warehouse_Movements'!$C$2:$C$500=$A236),'03_Warehouse_Movements'!$H$2:$H$500),""))</f>
        <v/>
      </c>
      <c r="O236">
        <f>A236</f>
        <v/>
      </c>
      <c r="Q236" s="25" t="n"/>
      <c r="R236" s="24" t="n"/>
      <c r="W236">
        <f>IF($A2="","",COUNTIF('07_Pallet_Contents'!$A$2:$A$3000,$A2))</f>
        <v/>
      </c>
      <c r="X236">
        <f>IF($A2="","",SUMIF('07_Pallet_Contents'!$A$2:$A$3000,$A2,'07_Pallet_Contents'!$D$2:$D$3000))</f>
        <v/>
      </c>
      <c r="Y236">
        <f>IF($A2="","",SUMIF('07_Pallet_Contents'!$A$2:$A$3000,$A2,'07_Pallet_Contents'!$I$2:$I$3000))</f>
        <v/>
      </c>
      <c r="Z236">
        <f>IF($A2="","",IF(COUNTIF('07_Pallet_Contents'!$A$2:$A$3000,$A2)&gt;0,"Yes",""))</f>
        <v/>
      </c>
    </row>
    <row r="237">
      <c r="A237" s="4" t="inlineStr">
        <is>
          <t>PAL-0000237</t>
        </is>
      </c>
      <c r="B237" s="22" t="n"/>
      <c r="D237">
        <f>IF($C237="","",IFERROR(LOOKUP(2,1/('03_Warehouse_Movements'!$C$2:$C$500=$A237),'03_Warehouse_Movements'!$E$2:$E$500),$C237))</f>
        <v/>
      </c>
      <c r="E237" t="inlineStr">
        <is>
          <t>STANDARD</t>
        </is>
      </c>
      <c r="G237" s="25" t="n"/>
      <c r="H237" s="24">
        <f>IF(AND($F237="TEMP",$G237&gt;0,$M237&lt;&gt;""),$M237+$G237,"")</f>
        <v/>
      </c>
      <c r="I237" s="22" t="n"/>
      <c r="J237" s="22" t="n"/>
      <c r="K237" s="24" t="n"/>
      <c r="M237" s="46">
        <f>IF($C237="","",IFERROR(LOOKUP(2,1/('03_Warehouse_Movements'!$C$2:$C$500=$A237),'03_Warehouse_Movements'!$A$2:$A$500),""))</f>
        <v/>
      </c>
      <c r="N237">
        <f>IF($C237="","",IFERROR(LOOKUP(2,1/('03_Warehouse_Movements'!$C$2:$C$500=$A237),'03_Warehouse_Movements'!$H$2:$H$500),""))</f>
        <v/>
      </c>
      <c r="O237">
        <f>A237</f>
        <v/>
      </c>
      <c r="Q237" s="25" t="n"/>
      <c r="R237" s="24" t="n"/>
      <c r="W237">
        <f>IF($A2="","",COUNTIF('07_Pallet_Contents'!$A$2:$A$3000,$A2))</f>
        <v/>
      </c>
      <c r="X237">
        <f>IF($A2="","",SUMIF('07_Pallet_Contents'!$A$2:$A$3000,$A2,'07_Pallet_Contents'!$D$2:$D$3000))</f>
        <v/>
      </c>
      <c r="Y237">
        <f>IF($A2="","",SUMIF('07_Pallet_Contents'!$A$2:$A$3000,$A2,'07_Pallet_Contents'!$I$2:$I$3000))</f>
        <v/>
      </c>
      <c r="Z237">
        <f>IF($A2="","",IF(COUNTIF('07_Pallet_Contents'!$A$2:$A$3000,$A2)&gt;0,"Yes",""))</f>
        <v/>
      </c>
    </row>
    <row r="238">
      <c r="A238" s="4" t="inlineStr">
        <is>
          <t>PAL-0000238</t>
        </is>
      </c>
      <c r="B238" s="22" t="n"/>
      <c r="D238">
        <f>IF($C238="","",IFERROR(LOOKUP(2,1/('03_Warehouse_Movements'!$C$2:$C$500=$A238),'03_Warehouse_Movements'!$E$2:$E$500),$C238))</f>
        <v/>
      </c>
      <c r="E238" t="inlineStr">
        <is>
          <t>STANDARD</t>
        </is>
      </c>
      <c r="G238" s="25" t="n"/>
      <c r="H238" s="24">
        <f>IF(AND($F238="TEMP",$G238&gt;0,$M238&lt;&gt;""),$M238+$G238,"")</f>
        <v/>
      </c>
      <c r="I238" s="22" t="n"/>
      <c r="J238" s="22" t="n"/>
      <c r="K238" s="24" t="n"/>
      <c r="M238" s="46">
        <f>IF($C238="","",IFERROR(LOOKUP(2,1/('03_Warehouse_Movements'!$C$2:$C$500=$A238),'03_Warehouse_Movements'!$A$2:$A$500),""))</f>
        <v/>
      </c>
      <c r="N238">
        <f>IF($C238="","",IFERROR(LOOKUP(2,1/('03_Warehouse_Movements'!$C$2:$C$500=$A238),'03_Warehouse_Movements'!$H$2:$H$500),""))</f>
        <v/>
      </c>
      <c r="O238">
        <f>A238</f>
        <v/>
      </c>
      <c r="Q238" s="25" t="n"/>
      <c r="R238" s="24" t="n"/>
      <c r="W238">
        <f>IF($A2="","",COUNTIF('07_Pallet_Contents'!$A$2:$A$3000,$A2))</f>
        <v/>
      </c>
      <c r="X238">
        <f>IF($A2="","",SUMIF('07_Pallet_Contents'!$A$2:$A$3000,$A2,'07_Pallet_Contents'!$D$2:$D$3000))</f>
        <v/>
      </c>
      <c r="Y238">
        <f>IF($A2="","",SUMIF('07_Pallet_Contents'!$A$2:$A$3000,$A2,'07_Pallet_Contents'!$I$2:$I$3000))</f>
        <v/>
      </c>
      <c r="Z238">
        <f>IF($A2="","",IF(COUNTIF('07_Pallet_Contents'!$A$2:$A$3000,$A2)&gt;0,"Yes",""))</f>
        <v/>
      </c>
    </row>
    <row r="239">
      <c r="A239" s="4" t="inlineStr">
        <is>
          <t>PAL-0000239</t>
        </is>
      </c>
      <c r="B239" s="22" t="n"/>
      <c r="D239">
        <f>IF($C239="","",IFERROR(LOOKUP(2,1/('03_Warehouse_Movements'!$C$2:$C$500=$A239),'03_Warehouse_Movements'!$E$2:$E$500),$C239))</f>
        <v/>
      </c>
      <c r="E239" t="inlineStr">
        <is>
          <t>STANDARD</t>
        </is>
      </c>
      <c r="G239" s="25" t="n"/>
      <c r="H239" s="24">
        <f>IF(AND($F239="TEMP",$G239&gt;0,$M239&lt;&gt;""),$M239+$G239,"")</f>
        <v/>
      </c>
      <c r="I239" s="22" t="n"/>
      <c r="J239" s="22" t="n"/>
      <c r="K239" s="24" t="n"/>
      <c r="M239" s="46">
        <f>IF($C239="","",IFERROR(LOOKUP(2,1/('03_Warehouse_Movements'!$C$2:$C$500=$A239),'03_Warehouse_Movements'!$A$2:$A$500),""))</f>
        <v/>
      </c>
      <c r="N239">
        <f>IF($C239="","",IFERROR(LOOKUP(2,1/('03_Warehouse_Movements'!$C$2:$C$500=$A239),'03_Warehouse_Movements'!$H$2:$H$500),""))</f>
        <v/>
      </c>
      <c r="O239">
        <f>A239</f>
        <v/>
      </c>
      <c r="Q239" s="25" t="n"/>
      <c r="R239" s="24" t="n"/>
      <c r="W239">
        <f>IF($A2="","",COUNTIF('07_Pallet_Contents'!$A$2:$A$3000,$A2))</f>
        <v/>
      </c>
      <c r="X239">
        <f>IF($A2="","",SUMIF('07_Pallet_Contents'!$A$2:$A$3000,$A2,'07_Pallet_Contents'!$D$2:$D$3000))</f>
        <v/>
      </c>
      <c r="Y239">
        <f>IF($A2="","",SUMIF('07_Pallet_Contents'!$A$2:$A$3000,$A2,'07_Pallet_Contents'!$I$2:$I$3000))</f>
        <v/>
      </c>
      <c r="Z239">
        <f>IF($A2="","",IF(COUNTIF('07_Pallet_Contents'!$A$2:$A$3000,$A2)&gt;0,"Yes",""))</f>
        <v/>
      </c>
    </row>
    <row r="240">
      <c r="A240" s="4" t="inlineStr">
        <is>
          <t>PAL-0000240</t>
        </is>
      </c>
      <c r="B240" s="22" t="n"/>
      <c r="D240">
        <f>IF($C240="","",IFERROR(LOOKUP(2,1/('03_Warehouse_Movements'!$C$2:$C$500=$A240),'03_Warehouse_Movements'!$E$2:$E$500),$C240))</f>
        <v/>
      </c>
      <c r="E240" t="inlineStr">
        <is>
          <t>STANDARD</t>
        </is>
      </c>
      <c r="G240" s="25" t="n"/>
      <c r="H240" s="24">
        <f>IF(AND($F240="TEMP",$G240&gt;0,$M240&lt;&gt;""),$M240+$G240,"")</f>
        <v/>
      </c>
      <c r="I240" s="22" t="n"/>
      <c r="J240" s="22" t="n"/>
      <c r="K240" s="24" t="n"/>
      <c r="M240" s="46">
        <f>IF($C240="","",IFERROR(LOOKUP(2,1/('03_Warehouse_Movements'!$C$2:$C$500=$A240),'03_Warehouse_Movements'!$A$2:$A$500),""))</f>
        <v/>
      </c>
      <c r="N240">
        <f>IF($C240="","",IFERROR(LOOKUP(2,1/('03_Warehouse_Movements'!$C$2:$C$500=$A240),'03_Warehouse_Movements'!$H$2:$H$500),""))</f>
        <v/>
      </c>
      <c r="O240">
        <f>A240</f>
        <v/>
      </c>
      <c r="Q240" s="25" t="n"/>
      <c r="R240" s="24" t="n"/>
      <c r="W240">
        <f>IF($A2="","",COUNTIF('07_Pallet_Contents'!$A$2:$A$3000,$A2))</f>
        <v/>
      </c>
      <c r="X240">
        <f>IF($A2="","",SUMIF('07_Pallet_Contents'!$A$2:$A$3000,$A2,'07_Pallet_Contents'!$D$2:$D$3000))</f>
        <v/>
      </c>
      <c r="Y240">
        <f>IF($A2="","",SUMIF('07_Pallet_Contents'!$A$2:$A$3000,$A2,'07_Pallet_Contents'!$I$2:$I$3000))</f>
        <v/>
      </c>
      <c r="Z240">
        <f>IF($A2="","",IF(COUNTIF('07_Pallet_Contents'!$A$2:$A$3000,$A2)&gt;0,"Yes",""))</f>
        <v/>
      </c>
    </row>
    <row r="241">
      <c r="A241" s="4" t="inlineStr">
        <is>
          <t>PAL-0000241</t>
        </is>
      </c>
      <c r="B241" s="22" t="n"/>
      <c r="D241">
        <f>IF($C241="","",IFERROR(LOOKUP(2,1/('03_Warehouse_Movements'!$C$2:$C$500=$A241),'03_Warehouse_Movements'!$E$2:$E$500),$C241))</f>
        <v/>
      </c>
      <c r="E241" t="inlineStr">
        <is>
          <t>STANDARD</t>
        </is>
      </c>
      <c r="G241" s="25" t="n"/>
      <c r="H241" s="24">
        <f>IF(AND($F241="TEMP",$G241&gt;0,$M241&lt;&gt;""),$M241+$G241,"")</f>
        <v/>
      </c>
      <c r="I241" s="22" t="n"/>
      <c r="J241" s="22" t="n"/>
      <c r="K241" s="24" t="n"/>
      <c r="M241" s="46">
        <f>IF($C241="","",IFERROR(LOOKUP(2,1/('03_Warehouse_Movements'!$C$2:$C$500=$A241),'03_Warehouse_Movements'!$A$2:$A$500),""))</f>
        <v/>
      </c>
      <c r="N241">
        <f>IF($C241="","",IFERROR(LOOKUP(2,1/('03_Warehouse_Movements'!$C$2:$C$500=$A241),'03_Warehouse_Movements'!$H$2:$H$500),""))</f>
        <v/>
      </c>
      <c r="O241">
        <f>A241</f>
        <v/>
      </c>
      <c r="Q241" s="25" t="n"/>
      <c r="R241" s="24" t="n"/>
      <c r="W241">
        <f>IF($A2="","",COUNTIF('07_Pallet_Contents'!$A$2:$A$3000,$A2))</f>
        <v/>
      </c>
      <c r="X241">
        <f>IF($A2="","",SUMIF('07_Pallet_Contents'!$A$2:$A$3000,$A2,'07_Pallet_Contents'!$D$2:$D$3000))</f>
        <v/>
      </c>
      <c r="Y241">
        <f>IF($A2="","",SUMIF('07_Pallet_Contents'!$A$2:$A$3000,$A2,'07_Pallet_Contents'!$I$2:$I$3000))</f>
        <v/>
      </c>
      <c r="Z241">
        <f>IF($A2="","",IF(COUNTIF('07_Pallet_Contents'!$A$2:$A$3000,$A2)&gt;0,"Yes",""))</f>
        <v/>
      </c>
    </row>
    <row r="242">
      <c r="A242" s="4" t="inlineStr">
        <is>
          <t>PAL-0000242</t>
        </is>
      </c>
      <c r="B242" s="22" t="n"/>
      <c r="D242">
        <f>IF($C242="","",IFERROR(LOOKUP(2,1/('03_Warehouse_Movements'!$C$2:$C$500=$A242),'03_Warehouse_Movements'!$E$2:$E$500),$C242))</f>
        <v/>
      </c>
      <c r="E242" t="inlineStr">
        <is>
          <t>STANDARD</t>
        </is>
      </c>
      <c r="G242" s="25" t="n"/>
      <c r="H242" s="24">
        <f>IF(AND($F242="TEMP",$G242&gt;0,$M242&lt;&gt;""),$M242+$G242,"")</f>
        <v/>
      </c>
      <c r="I242" s="22" t="n"/>
      <c r="J242" s="22" t="n"/>
      <c r="K242" s="24" t="n"/>
      <c r="M242" s="46">
        <f>IF($C242="","",IFERROR(LOOKUP(2,1/('03_Warehouse_Movements'!$C$2:$C$500=$A242),'03_Warehouse_Movements'!$A$2:$A$500),""))</f>
        <v/>
      </c>
      <c r="N242">
        <f>IF($C242="","",IFERROR(LOOKUP(2,1/('03_Warehouse_Movements'!$C$2:$C$500=$A242),'03_Warehouse_Movements'!$H$2:$H$500),""))</f>
        <v/>
      </c>
      <c r="O242">
        <f>A242</f>
        <v/>
      </c>
      <c r="Q242" s="25" t="n"/>
      <c r="R242" s="24" t="n"/>
      <c r="W242">
        <f>IF($A2="","",COUNTIF('07_Pallet_Contents'!$A$2:$A$3000,$A2))</f>
        <v/>
      </c>
      <c r="X242">
        <f>IF($A2="","",SUMIF('07_Pallet_Contents'!$A$2:$A$3000,$A2,'07_Pallet_Contents'!$D$2:$D$3000))</f>
        <v/>
      </c>
      <c r="Y242">
        <f>IF($A2="","",SUMIF('07_Pallet_Contents'!$A$2:$A$3000,$A2,'07_Pallet_Contents'!$I$2:$I$3000))</f>
        <v/>
      </c>
      <c r="Z242">
        <f>IF($A2="","",IF(COUNTIF('07_Pallet_Contents'!$A$2:$A$3000,$A2)&gt;0,"Yes",""))</f>
        <v/>
      </c>
    </row>
    <row r="243">
      <c r="A243" s="4" t="inlineStr">
        <is>
          <t>PAL-0000243</t>
        </is>
      </c>
      <c r="B243" s="22" t="n"/>
      <c r="D243">
        <f>IF($C243="","",IFERROR(LOOKUP(2,1/('03_Warehouse_Movements'!$C$2:$C$500=$A243),'03_Warehouse_Movements'!$E$2:$E$500),$C243))</f>
        <v/>
      </c>
      <c r="E243" t="inlineStr">
        <is>
          <t>STANDARD</t>
        </is>
      </c>
      <c r="G243" s="25" t="n"/>
      <c r="H243" s="24">
        <f>IF(AND($F243="TEMP",$G243&gt;0,$M243&lt;&gt;""),$M243+$G243,"")</f>
        <v/>
      </c>
      <c r="I243" s="22" t="n"/>
      <c r="J243" s="22" t="n"/>
      <c r="K243" s="24" t="n"/>
      <c r="M243" s="46">
        <f>IF($C243="","",IFERROR(LOOKUP(2,1/('03_Warehouse_Movements'!$C$2:$C$500=$A243),'03_Warehouse_Movements'!$A$2:$A$500),""))</f>
        <v/>
      </c>
      <c r="N243">
        <f>IF($C243="","",IFERROR(LOOKUP(2,1/('03_Warehouse_Movements'!$C$2:$C$500=$A243),'03_Warehouse_Movements'!$H$2:$H$500),""))</f>
        <v/>
      </c>
      <c r="O243">
        <f>A243</f>
        <v/>
      </c>
      <c r="Q243" s="25" t="n"/>
      <c r="R243" s="24" t="n"/>
      <c r="W243">
        <f>IF($A2="","",COUNTIF('07_Pallet_Contents'!$A$2:$A$3000,$A2))</f>
        <v/>
      </c>
      <c r="X243">
        <f>IF($A2="","",SUMIF('07_Pallet_Contents'!$A$2:$A$3000,$A2,'07_Pallet_Contents'!$D$2:$D$3000))</f>
        <v/>
      </c>
      <c r="Y243">
        <f>IF($A2="","",SUMIF('07_Pallet_Contents'!$A$2:$A$3000,$A2,'07_Pallet_Contents'!$I$2:$I$3000))</f>
        <v/>
      </c>
      <c r="Z243">
        <f>IF($A2="","",IF(COUNTIF('07_Pallet_Contents'!$A$2:$A$3000,$A2)&gt;0,"Yes",""))</f>
        <v/>
      </c>
    </row>
    <row r="244">
      <c r="A244" s="4" t="inlineStr">
        <is>
          <t>PAL-0000244</t>
        </is>
      </c>
      <c r="B244" s="22" t="n"/>
      <c r="D244">
        <f>IF($C244="","",IFERROR(LOOKUP(2,1/('03_Warehouse_Movements'!$C$2:$C$500=$A244),'03_Warehouse_Movements'!$E$2:$E$500),$C244))</f>
        <v/>
      </c>
      <c r="E244" t="inlineStr">
        <is>
          <t>STANDARD</t>
        </is>
      </c>
      <c r="G244" s="25" t="n"/>
      <c r="H244" s="24">
        <f>IF(AND($F244="TEMP",$G244&gt;0,$M244&lt;&gt;""),$M244+$G244,"")</f>
        <v/>
      </c>
      <c r="I244" s="22" t="n"/>
      <c r="J244" s="22" t="n"/>
      <c r="K244" s="24" t="n"/>
      <c r="M244" s="46">
        <f>IF($C244="","",IFERROR(LOOKUP(2,1/('03_Warehouse_Movements'!$C$2:$C$500=$A244),'03_Warehouse_Movements'!$A$2:$A$500),""))</f>
        <v/>
      </c>
      <c r="N244">
        <f>IF($C244="","",IFERROR(LOOKUP(2,1/('03_Warehouse_Movements'!$C$2:$C$500=$A244),'03_Warehouse_Movements'!$H$2:$H$500),""))</f>
        <v/>
      </c>
      <c r="O244">
        <f>A244</f>
        <v/>
      </c>
      <c r="Q244" s="25" t="n"/>
      <c r="R244" s="24" t="n"/>
      <c r="W244">
        <f>IF($A2="","",COUNTIF('07_Pallet_Contents'!$A$2:$A$3000,$A2))</f>
        <v/>
      </c>
      <c r="X244">
        <f>IF($A2="","",SUMIF('07_Pallet_Contents'!$A$2:$A$3000,$A2,'07_Pallet_Contents'!$D$2:$D$3000))</f>
        <v/>
      </c>
      <c r="Y244">
        <f>IF($A2="","",SUMIF('07_Pallet_Contents'!$A$2:$A$3000,$A2,'07_Pallet_Contents'!$I$2:$I$3000))</f>
        <v/>
      </c>
      <c r="Z244">
        <f>IF($A2="","",IF(COUNTIF('07_Pallet_Contents'!$A$2:$A$3000,$A2)&gt;0,"Yes",""))</f>
        <v/>
      </c>
    </row>
    <row r="245">
      <c r="A245" s="4" t="inlineStr">
        <is>
          <t>PAL-0000245</t>
        </is>
      </c>
      <c r="B245" s="22" t="n"/>
      <c r="D245">
        <f>IF($C245="","",IFERROR(LOOKUP(2,1/('03_Warehouse_Movements'!$C$2:$C$500=$A245),'03_Warehouse_Movements'!$E$2:$E$500),$C245))</f>
        <v/>
      </c>
      <c r="E245" t="inlineStr">
        <is>
          <t>STANDARD</t>
        </is>
      </c>
      <c r="G245" s="25" t="n"/>
      <c r="H245" s="24">
        <f>IF(AND($F245="TEMP",$G245&gt;0,$M245&lt;&gt;""),$M245+$G245,"")</f>
        <v/>
      </c>
      <c r="I245" s="22" t="n"/>
      <c r="J245" s="22" t="n"/>
      <c r="K245" s="24" t="n"/>
      <c r="M245" s="46">
        <f>IF($C245="","",IFERROR(LOOKUP(2,1/('03_Warehouse_Movements'!$C$2:$C$500=$A245),'03_Warehouse_Movements'!$A$2:$A$500),""))</f>
        <v/>
      </c>
      <c r="N245">
        <f>IF($C245="","",IFERROR(LOOKUP(2,1/('03_Warehouse_Movements'!$C$2:$C$500=$A245),'03_Warehouse_Movements'!$H$2:$H$500),""))</f>
        <v/>
      </c>
      <c r="O245">
        <f>A245</f>
        <v/>
      </c>
      <c r="Q245" s="25" t="n"/>
      <c r="R245" s="24" t="n"/>
      <c r="W245">
        <f>IF($A2="","",COUNTIF('07_Pallet_Contents'!$A$2:$A$3000,$A2))</f>
        <v/>
      </c>
      <c r="X245">
        <f>IF($A2="","",SUMIF('07_Pallet_Contents'!$A$2:$A$3000,$A2,'07_Pallet_Contents'!$D$2:$D$3000))</f>
        <v/>
      </c>
      <c r="Y245">
        <f>IF($A2="","",SUMIF('07_Pallet_Contents'!$A$2:$A$3000,$A2,'07_Pallet_Contents'!$I$2:$I$3000))</f>
        <v/>
      </c>
      <c r="Z245">
        <f>IF($A2="","",IF(COUNTIF('07_Pallet_Contents'!$A$2:$A$3000,$A2)&gt;0,"Yes",""))</f>
        <v/>
      </c>
    </row>
    <row r="246">
      <c r="A246" s="4" t="inlineStr">
        <is>
          <t>PAL-0000246</t>
        </is>
      </c>
      <c r="B246" s="22" t="n"/>
      <c r="D246">
        <f>IF($C246="","",IFERROR(LOOKUP(2,1/('03_Warehouse_Movements'!$C$2:$C$500=$A246),'03_Warehouse_Movements'!$E$2:$E$500),$C246))</f>
        <v/>
      </c>
      <c r="E246" t="inlineStr">
        <is>
          <t>STANDARD</t>
        </is>
      </c>
      <c r="G246" s="25" t="n"/>
      <c r="H246" s="24">
        <f>IF(AND($F246="TEMP",$G246&gt;0,$M246&lt;&gt;""),$M246+$G246,"")</f>
        <v/>
      </c>
      <c r="I246" s="22" t="n"/>
      <c r="J246" s="22" t="n"/>
      <c r="K246" s="24" t="n"/>
      <c r="M246" s="46">
        <f>IF($C246="","",IFERROR(LOOKUP(2,1/('03_Warehouse_Movements'!$C$2:$C$500=$A246),'03_Warehouse_Movements'!$A$2:$A$500),""))</f>
        <v/>
      </c>
      <c r="N246">
        <f>IF($C246="","",IFERROR(LOOKUP(2,1/('03_Warehouse_Movements'!$C$2:$C$500=$A246),'03_Warehouse_Movements'!$H$2:$H$500),""))</f>
        <v/>
      </c>
      <c r="O246">
        <f>A246</f>
        <v/>
      </c>
      <c r="Q246" s="25" t="n"/>
      <c r="R246" s="24" t="n"/>
      <c r="W246">
        <f>IF($A2="","",COUNTIF('07_Pallet_Contents'!$A$2:$A$3000,$A2))</f>
        <v/>
      </c>
      <c r="X246">
        <f>IF($A2="","",SUMIF('07_Pallet_Contents'!$A$2:$A$3000,$A2,'07_Pallet_Contents'!$D$2:$D$3000))</f>
        <v/>
      </c>
      <c r="Y246">
        <f>IF($A2="","",SUMIF('07_Pallet_Contents'!$A$2:$A$3000,$A2,'07_Pallet_Contents'!$I$2:$I$3000))</f>
        <v/>
      </c>
      <c r="Z246">
        <f>IF($A2="","",IF(COUNTIF('07_Pallet_Contents'!$A$2:$A$3000,$A2)&gt;0,"Yes",""))</f>
        <v/>
      </c>
    </row>
    <row r="247">
      <c r="A247" s="4" t="inlineStr">
        <is>
          <t>PAL-0000247</t>
        </is>
      </c>
      <c r="B247" s="22" t="n"/>
      <c r="D247">
        <f>IF($C247="","",IFERROR(LOOKUP(2,1/('03_Warehouse_Movements'!$C$2:$C$500=$A247),'03_Warehouse_Movements'!$E$2:$E$500),$C247))</f>
        <v/>
      </c>
      <c r="E247" t="inlineStr">
        <is>
          <t>STANDARD</t>
        </is>
      </c>
      <c r="G247" s="25" t="n"/>
      <c r="H247" s="24">
        <f>IF(AND($F247="TEMP",$G247&gt;0,$M247&lt;&gt;""),$M247+$G247,"")</f>
        <v/>
      </c>
      <c r="I247" s="22" t="n"/>
      <c r="J247" s="22" t="n"/>
      <c r="K247" s="24" t="n"/>
      <c r="M247" s="46">
        <f>IF($C247="","",IFERROR(LOOKUP(2,1/('03_Warehouse_Movements'!$C$2:$C$500=$A247),'03_Warehouse_Movements'!$A$2:$A$500),""))</f>
        <v/>
      </c>
      <c r="N247">
        <f>IF($C247="","",IFERROR(LOOKUP(2,1/('03_Warehouse_Movements'!$C$2:$C$500=$A247),'03_Warehouse_Movements'!$H$2:$H$500),""))</f>
        <v/>
      </c>
      <c r="O247">
        <f>A247</f>
        <v/>
      </c>
      <c r="Q247" s="25" t="n"/>
      <c r="R247" s="24" t="n"/>
      <c r="W247">
        <f>IF($A2="","",COUNTIF('07_Pallet_Contents'!$A$2:$A$3000,$A2))</f>
        <v/>
      </c>
      <c r="X247">
        <f>IF($A2="","",SUMIF('07_Pallet_Contents'!$A$2:$A$3000,$A2,'07_Pallet_Contents'!$D$2:$D$3000))</f>
        <v/>
      </c>
      <c r="Y247">
        <f>IF($A2="","",SUMIF('07_Pallet_Contents'!$A$2:$A$3000,$A2,'07_Pallet_Contents'!$I$2:$I$3000))</f>
        <v/>
      </c>
      <c r="Z247">
        <f>IF($A2="","",IF(COUNTIF('07_Pallet_Contents'!$A$2:$A$3000,$A2)&gt;0,"Yes",""))</f>
        <v/>
      </c>
    </row>
    <row r="248">
      <c r="A248" s="4" t="inlineStr">
        <is>
          <t>PAL-0000248</t>
        </is>
      </c>
      <c r="B248" s="22" t="n"/>
      <c r="D248">
        <f>IF($C248="","",IFERROR(LOOKUP(2,1/('03_Warehouse_Movements'!$C$2:$C$500=$A248),'03_Warehouse_Movements'!$E$2:$E$500),$C248))</f>
        <v/>
      </c>
      <c r="E248" t="inlineStr">
        <is>
          <t>STANDARD</t>
        </is>
      </c>
      <c r="G248" s="25" t="n"/>
      <c r="H248" s="24">
        <f>IF(AND($F248="TEMP",$G248&gt;0,$M248&lt;&gt;""),$M248+$G248,"")</f>
        <v/>
      </c>
      <c r="I248" s="22" t="n"/>
      <c r="J248" s="22" t="n"/>
      <c r="K248" s="24" t="n"/>
      <c r="M248" s="46">
        <f>IF($C248="","",IFERROR(LOOKUP(2,1/('03_Warehouse_Movements'!$C$2:$C$500=$A248),'03_Warehouse_Movements'!$A$2:$A$500),""))</f>
        <v/>
      </c>
      <c r="N248">
        <f>IF($C248="","",IFERROR(LOOKUP(2,1/('03_Warehouse_Movements'!$C$2:$C$500=$A248),'03_Warehouse_Movements'!$H$2:$H$500),""))</f>
        <v/>
      </c>
      <c r="O248">
        <f>A248</f>
        <v/>
      </c>
      <c r="Q248" s="25" t="n"/>
      <c r="R248" s="24" t="n"/>
      <c r="W248">
        <f>IF($A2="","",COUNTIF('07_Pallet_Contents'!$A$2:$A$3000,$A2))</f>
        <v/>
      </c>
      <c r="X248">
        <f>IF($A2="","",SUMIF('07_Pallet_Contents'!$A$2:$A$3000,$A2,'07_Pallet_Contents'!$D$2:$D$3000))</f>
        <v/>
      </c>
      <c r="Y248">
        <f>IF($A2="","",SUMIF('07_Pallet_Contents'!$A$2:$A$3000,$A2,'07_Pallet_Contents'!$I$2:$I$3000))</f>
        <v/>
      </c>
      <c r="Z248">
        <f>IF($A2="","",IF(COUNTIF('07_Pallet_Contents'!$A$2:$A$3000,$A2)&gt;0,"Yes",""))</f>
        <v/>
      </c>
    </row>
    <row r="249">
      <c r="A249" s="4" t="inlineStr">
        <is>
          <t>PAL-0000249</t>
        </is>
      </c>
      <c r="B249" s="22" t="n"/>
      <c r="D249">
        <f>IF($C249="","",IFERROR(LOOKUP(2,1/('03_Warehouse_Movements'!$C$2:$C$500=$A249),'03_Warehouse_Movements'!$E$2:$E$500),$C249))</f>
        <v/>
      </c>
      <c r="E249" t="inlineStr">
        <is>
          <t>STANDARD</t>
        </is>
      </c>
      <c r="G249" s="25" t="n"/>
      <c r="H249" s="24">
        <f>IF(AND($F249="TEMP",$G249&gt;0,$M249&lt;&gt;""),$M249+$G249,"")</f>
        <v/>
      </c>
      <c r="I249" s="22" t="n"/>
      <c r="J249" s="22" t="n"/>
      <c r="K249" s="24" t="n"/>
      <c r="M249" s="46">
        <f>IF($C249="","",IFERROR(LOOKUP(2,1/('03_Warehouse_Movements'!$C$2:$C$500=$A249),'03_Warehouse_Movements'!$A$2:$A$500),""))</f>
        <v/>
      </c>
      <c r="N249">
        <f>IF($C249="","",IFERROR(LOOKUP(2,1/('03_Warehouse_Movements'!$C$2:$C$500=$A249),'03_Warehouse_Movements'!$H$2:$H$500),""))</f>
        <v/>
      </c>
      <c r="O249">
        <f>A249</f>
        <v/>
      </c>
      <c r="Q249" s="25" t="n"/>
      <c r="R249" s="24" t="n"/>
      <c r="W249">
        <f>IF($A2="","",COUNTIF('07_Pallet_Contents'!$A$2:$A$3000,$A2))</f>
        <v/>
      </c>
      <c r="X249">
        <f>IF($A2="","",SUMIF('07_Pallet_Contents'!$A$2:$A$3000,$A2,'07_Pallet_Contents'!$D$2:$D$3000))</f>
        <v/>
      </c>
      <c r="Y249">
        <f>IF($A2="","",SUMIF('07_Pallet_Contents'!$A$2:$A$3000,$A2,'07_Pallet_Contents'!$I$2:$I$3000))</f>
        <v/>
      </c>
      <c r="Z249">
        <f>IF($A2="","",IF(COUNTIF('07_Pallet_Contents'!$A$2:$A$3000,$A2)&gt;0,"Yes",""))</f>
        <v/>
      </c>
    </row>
    <row r="250">
      <c r="A250" s="4" t="inlineStr">
        <is>
          <t>PAL-0000250</t>
        </is>
      </c>
      <c r="B250" s="22" t="n"/>
      <c r="D250">
        <f>IF($C250="","",IFERROR(LOOKUP(2,1/('03_Warehouse_Movements'!$C$2:$C$500=$A250),'03_Warehouse_Movements'!$E$2:$E$500),$C250))</f>
        <v/>
      </c>
      <c r="E250" t="inlineStr">
        <is>
          <t>STANDARD</t>
        </is>
      </c>
      <c r="G250" s="25" t="n"/>
      <c r="H250" s="24">
        <f>IF(AND($F250="TEMP",$G250&gt;0,$M250&lt;&gt;""),$M250+$G250,"")</f>
        <v/>
      </c>
      <c r="I250" s="22" t="n"/>
      <c r="J250" s="22" t="n"/>
      <c r="K250" s="24" t="n"/>
      <c r="M250" s="46">
        <f>IF($C250="","",IFERROR(LOOKUP(2,1/('03_Warehouse_Movements'!$C$2:$C$500=$A250),'03_Warehouse_Movements'!$A$2:$A$500),""))</f>
        <v/>
      </c>
      <c r="N250">
        <f>IF($C250="","",IFERROR(LOOKUP(2,1/('03_Warehouse_Movements'!$C$2:$C$500=$A250),'03_Warehouse_Movements'!$H$2:$H$500),""))</f>
        <v/>
      </c>
      <c r="O250">
        <f>A250</f>
        <v/>
      </c>
      <c r="Q250" s="25" t="n"/>
      <c r="R250" s="24" t="n"/>
      <c r="W250">
        <f>IF($A2="","",COUNTIF('07_Pallet_Contents'!$A$2:$A$3000,$A2))</f>
        <v/>
      </c>
      <c r="X250">
        <f>IF($A2="","",SUMIF('07_Pallet_Contents'!$A$2:$A$3000,$A2,'07_Pallet_Contents'!$D$2:$D$3000))</f>
        <v/>
      </c>
      <c r="Y250">
        <f>IF($A2="","",SUMIF('07_Pallet_Contents'!$A$2:$A$3000,$A2,'07_Pallet_Contents'!$I$2:$I$3000))</f>
        <v/>
      </c>
      <c r="Z250">
        <f>IF($A2="","",IF(COUNTIF('07_Pallet_Contents'!$A$2:$A$3000,$A2)&gt;0,"Yes",""))</f>
        <v/>
      </c>
    </row>
    <row r="251">
      <c r="A251" s="4" t="inlineStr">
        <is>
          <t>PAL-0000251</t>
        </is>
      </c>
      <c r="B251" s="22" t="n"/>
      <c r="D251">
        <f>IF($C251="","",IFERROR(LOOKUP(2,1/('03_Warehouse_Movements'!$C$2:$C$500=$A251),'03_Warehouse_Movements'!$E$2:$E$500),$C251))</f>
        <v/>
      </c>
      <c r="E251" t="inlineStr">
        <is>
          <t>STANDARD</t>
        </is>
      </c>
      <c r="G251" s="25" t="n"/>
      <c r="H251" s="24">
        <f>IF(AND($F251="TEMP",$G251&gt;0,$M251&lt;&gt;""),$M251+$G251,"")</f>
        <v/>
      </c>
      <c r="I251" s="22" t="n"/>
      <c r="J251" s="22" t="n"/>
      <c r="K251" s="24" t="n"/>
      <c r="M251" s="46">
        <f>IF($C251="","",IFERROR(LOOKUP(2,1/('03_Warehouse_Movements'!$C$2:$C$500=$A251),'03_Warehouse_Movements'!$A$2:$A$500),""))</f>
        <v/>
      </c>
      <c r="N251">
        <f>IF($C251="","",IFERROR(LOOKUP(2,1/('03_Warehouse_Movements'!$C$2:$C$500=$A251),'03_Warehouse_Movements'!$H$2:$H$500),""))</f>
        <v/>
      </c>
      <c r="O251">
        <f>A251</f>
        <v/>
      </c>
      <c r="Q251" s="25" t="n"/>
      <c r="R251" s="24" t="n"/>
      <c r="W251">
        <f>IF($A2="","",COUNTIF('07_Pallet_Contents'!$A$2:$A$3000,$A2))</f>
        <v/>
      </c>
      <c r="X251">
        <f>IF($A2="","",SUMIF('07_Pallet_Contents'!$A$2:$A$3000,$A2,'07_Pallet_Contents'!$D$2:$D$3000))</f>
        <v/>
      </c>
      <c r="Y251">
        <f>IF($A2="","",SUMIF('07_Pallet_Contents'!$A$2:$A$3000,$A2,'07_Pallet_Contents'!$I$2:$I$3000))</f>
        <v/>
      </c>
      <c r="Z251">
        <f>IF($A2="","",IF(COUNTIF('07_Pallet_Contents'!$A$2:$A$3000,$A2)&gt;0,"Yes",""))</f>
        <v/>
      </c>
    </row>
    <row r="252">
      <c r="A252" s="4" t="inlineStr">
        <is>
          <t>PAL-0000252</t>
        </is>
      </c>
      <c r="B252" s="22" t="n"/>
      <c r="D252">
        <f>IF($C252="","",IFERROR(LOOKUP(2,1/('03_Warehouse_Movements'!$C$2:$C$500=$A252),'03_Warehouse_Movements'!$E$2:$E$500),$C252))</f>
        <v/>
      </c>
      <c r="E252" t="inlineStr">
        <is>
          <t>STANDARD</t>
        </is>
      </c>
      <c r="G252" s="25" t="n"/>
      <c r="H252" s="24">
        <f>IF(AND($F252="TEMP",$G252&gt;0,$M252&lt;&gt;""),$M252+$G252,"")</f>
        <v/>
      </c>
      <c r="I252" s="22" t="n"/>
      <c r="J252" s="22" t="n"/>
      <c r="K252" s="24" t="n"/>
      <c r="M252" s="46">
        <f>IF($C252="","",IFERROR(LOOKUP(2,1/('03_Warehouse_Movements'!$C$2:$C$500=$A252),'03_Warehouse_Movements'!$A$2:$A$500),""))</f>
        <v/>
      </c>
      <c r="N252">
        <f>IF($C252="","",IFERROR(LOOKUP(2,1/('03_Warehouse_Movements'!$C$2:$C$500=$A252),'03_Warehouse_Movements'!$H$2:$H$500),""))</f>
        <v/>
      </c>
      <c r="O252">
        <f>A252</f>
        <v/>
      </c>
      <c r="Q252" s="25" t="n"/>
      <c r="R252" s="24" t="n"/>
      <c r="W252">
        <f>IF($A2="","",COUNTIF('07_Pallet_Contents'!$A$2:$A$3000,$A2))</f>
        <v/>
      </c>
      <c r="X252">
        <f>IF($A2="","",SUMIF('07_Pallet_Contents'!$A$2:$A$3000,$A2,'07_Pallet_Contents'!$D$2:$D$3000))</f>
        <v/>
      </c>
      <c r="Y252">
        <f>IF($A2="","",SUMIF('07_Pallet_Contents'!$A$2:$A$3000,$A2,'07_Pallet_Contents'!$I$2:$I$3000))</f>
        <v/>
      </c>
      <c r="Z252">
        <f>IF($A2="","",IF(COUNTIF('07_Pallet_Contents'!$A$2:$A$3000,$A2)&gt;0,"Yes",""))</f>
        <v/>
      </c>
    </row>
    <row r="253">
      <c r="A253" s="4" t="inlineStr">
        <is>
          <t>PAL-0000253</t>
        </is>
      </c>
      <c r="B253" s="22" t="n"/>
      <c r="D253">
        <f>IF($C253="","",IFERROR(LOOKUP(2,1/('03_Warehouse_Movements'!$C$2:$C$500=$A253),'03_Warehouse_Movements'!$E$2:$E$500),$C253))</f>
        <v/>
      </c>
      <c r="E253" t="inlineStr">
        <is>
          <t>STANDARD</t>
        </is>
      </c>
      <c r="G253" s="25" t="n"/>
      <c r="H253" s="24">
        <f>IF(AND($F253="TEMP",$G253&gt;0,$M253&lt;&gt;""),$M253+$G253,"")</f>
        <v/>
      </c>
      <c r="I253" s="22" t="n"/>
      <c r="J253" s="22" t="n"/>
      <c r="K253" s="24" t="n"/>
      <c r="M253" s="46">
        <f>IF($C253="","",IFERROR(LOOKUP(2,1/('03_Warehouse_Movements'!$C$2:$C$500=$A253),'03_Warehouse_Movements'!$A$2:$A$500),""))</f>
        <v/>
      </c>
      <c r="N253">
        <f>IF($C253="","",IFERROR(LOOKUP(2,1/('03_Warehouse_Movements'!$C$2:$C$500=$A253),'03_Warehouse_Movements'!$H$2:$H$500),""))</f>
        <v/>
      </c>
      <c r="O253">
        <f>A253</f>
        <v/>
      </c>
      <c r="Q253" s="25" t="n"/>
      <c r="R253" s="24" t="n"/>
      <c r="W253">
        <f>IF($A2="","",COUNTIF('07_Pallet_Contents'!$A$2:$A$3000,$A2))</f>
        <v/>
      </c>
      <c r="X253">
        <f>IF($A2="","",SUMIF('07_Pallet_Contents'!$A$2:$A$3000,$A2,'07_Pallet_Contents'!$D$2:$D$3000))</f>
        <v/>
      </c>
      <c r="Y253">
        <f>IF($A2="","",SUMIF('07_Pallet_Contents'!$A$2:$A$3000,$A2,'07_Pallet_Contents'!$I$2:$I$3000))</f>
        <v/>
      </c>
      <c r="Z253">
        <f>IF($A2="","",IF(COUNTIF('07_Pallet_Contents'!$A$2:$A$3000,$A2)&gt;0,"Yes",""))</f>
        <v/>
      </c>
    </row>
    <row r="254">
      <c r="A254" s="4" t="inlineStr">
        <is>
          <t>PAL-0000254</t>
        </is>
      </c>
      <c r="B254" s="22" t="n"/>
      <c r="D254">
        <f>IF($C254="","",IFERROR(LOOKUP(2,1/('03_Warehouse_Movements'!$C$2:$C$500=$A254),'03_Warehouse_Movements'!$E$2:$E$500),$C254))</f>
        <v/>
      </c>
      <c r="E254" t="inlineStr">
        <is>
          <t>STANDARD</t>
        </is>
      </c>
      <c r="G254" s="25" t="n"/>
      <c r="H254" s="24">
        <f>IF(AND($F254="TEMP",$G254&gt;0,$M254&lt;&gt;""),$M254+$G254,"")</f>
        <v/>
      </c>
      <c r="I254" s="22" t="n"/>
      <c r="J254" s="22" t="n"/>
      <c r="K254" s="24" t="n"/>
      <c r="M254" s="46">
        <f>IF($C254="","",IFERROR(LOOKUP(2,1/('03_Warehouse_Movements'!$C$2:$C$500=$A254),'03_Warehouse_Movements'!$A$2:$A$500),""))</f>
        <v/>
      </c>
      <c r="N254">
        <f>IF($C254="","",IFERROR(LOOKUP(2,1/('03_Warehouse_Movements'!$C$2:$C$500=$A254),'03_Warehouse_Movements'!$H$2:$H$500),""))</f>
        <v/>
      </c>
      <c r="O254">
        <f>A254</f>
        <v/>
      </c>
      <c r="Q254" s="25" t="n"/>
      <c r="R254" s="24" t="n"/>
      <c r="W254">
        <f>IF($A2="","",COUNTIF('07_Pallet_Contents'!$A$2:$A$3000,$A2))</f>
        <v/>
      </c>
      <c r="X254">
        <f>IF($A2="","",SUMIF('07_Pallet_Contents'!$A$2:$A$3000,$A2,'07_Pallet_Contents'!$D$2:$D$3000))</f>
        <v/>
      </c>
      <c r="Y254">
        <f>IF($A2="","",SUMIF('07_Pallet_Contents'!$A$2:$A$3000,$A2,'07_Pallet_Contents'!$I$2:$I$3000))</f>
        <v/>
      </c>
      <c r="Z254">
        <f>IF($A2="","",IF(COUNTIF('07_Pallet_Contents'!$A$2:$A$3000,$A2)&gt;0,"Yes",""))</f>
        <v/>
      </c>
    </row>
    <row r="255">
      <c r="A255" s="4" t="inlineStr">
        <is>
          <t>PAL-0000255</t>
        </is>
      </c>
      <c r="B255" s="22" t="n"/>
      <c r="D255">
        <f>IF($C255="","",IFERROR(LOOKUP(2,1/('03_Warehouse_Movements'!$C$2:$C$500=$A255),'03_Warehouse_Movements'!$E$2:$E$500),$C255))</f>
        <v/>
      </c>
      <c r="E255" t="inlineStr">
        <is>
          <t>STANDARD</t>
        </is>
      </c>
      <c r="G255" s="25" t="n"/>
      <c r="H255" s="24">
        <f>IF(AND($F255="TEMP",$G255&gt;0,$M255&lt;&gt;""),$M255+$G255,"")</f>
        <v/>
      </c>
      <c r="I255" s="22" t="n"/>
      <c r="J255" s="22" t="n"/>
      <c r="K255" s="24" t="n"/>
      <c r="M255" s="46">
        <f>IF($C255="","",IFERROR(LOOKUP(2,1/('03_Warehouse_Movements'!$C$2:$C$500=$A255),'03_Warehouse_Movements'!$A$2:$A$500),""))</f>
        <v/>
      </c>
      <c r="N255">
        <f>IF($C255="","",IFERROR(LOOKUP(2,1/('03_Warehouse_Movements'!$C$2:$C$500=$A255),'03_Warehouse_Movements'!$H$2:$H$500),""))</f>
        <v/>
      </c>
      <c r="O255">
        <f>A255</f>
        <v/>
      </c>
      <c r="Q255" s="25" t="n"/>
      <c r="R255" s="24" t="n"/>
      <c r="W255">
        <f>IF($A2="","",COUNTIF('07_Pallet_Contents'!$A$2:$A$3000,$A2))</f>
        <v/>
      </c>
      <c r="X255">
        <f>IF($A2="","",SUMIF('07_Pallet_Contents'!$A$2:$A$3000,$A2,'07_Pallet_Contents'!$D$2:$D$3000))</f>
        <v/>
      </c>
      <c r="Y255">
        <f>IF($A2="","",SUMIF('07_Pallet_Contents'!$A$2:$A$3000,$A2,'07_Pallet_Contents'!$I$2:$I$3000))</f>
        <v/>
      </c>
      <c r="Z255">
        <f>IF($A2="","",IF(COUNTIF('07_Pallet_Contents'!$A$2:$A$3000,$A2)&gt;0,"Yes",""))</f>
        <v/>
      </c>
    </row>
    <row r="256">
      <c r="A256" s="4" t="inlineStr">
        <is>
          <t>PAL-0000256</t>
        </is>
      </c>
      <c r="B256" s="22" t="n"/>
      <c r="D256">
        <f>IF($C256="","",IFERROR(LOOKUP(2,1/('03_Warehouse_Movements'!$C$2:$C$500=$A256),'03_Warehouse_Movements'!$E$2:$E$500),$C256))</f>
        <v/>
      </c>
      <c r="E256" t="inlineStr">
        <is>
          <t>STANDARD</t>
        </is>
      </c>
      <c r="G256" s="25" t="n"/>
      <c r="H256" s="24">
        <f>IF(AND($F256="TEMP",$G256&gt;0,$M256&lt;&gt;""),$M256+$G256,"")</f>
        <v/>
      </c>
      <c r="I256" s="22" t="n"/>
      <c r="J256" s="22" t="n"/>
      <c r="K256" s="24" t="n"/>
      <c r="M256" s="46">
        <f>IF($C256="","",IFERROR(LOOKUP(2,1/('03_Warehouse_Movements'!$C$2:$C$500=$A256),'03_Warehouse_Movements'!$A$2:$A$500),""))</f>
        <v/>
      </c>
      <c r="N256">
        <f>IF($C256="","",IFERROR(LOOKUP(2,1/('03_Warehouse_Movements'!$C$2:$C$500=$A256),'03_Warehouse_Movements'!$H$2:$H$500),""))</f>
        <v/>
      </c>
      <c r="O256">
        <f>A256</f>
        <v/>
      </c>
      <c r="Q256" s="25" t="n"/>
      <c r="R256" s="24" t="n"/>
      <c r="W256">
        <f>IF($A2="","",COUNTIF('07_Pallet_Contents'!$A$2:$A$3000,$A2))</f>
        <v/>
      </c>
      <c r="X256">
        <f>IF($A2="","",SUMIF('07_Pallet_Contents'!$A$2:$A$3000,$A2,'07_Pallet_Contents'!$D$2:$D$3000))</f>
        <v/>
      </c>
      <c r="Y256">
        <f>IF($A2="","",SUMIF('07_Pallet_Contents'!$A$2:$A$3000,$A2,'07_Pallet_Contents'!$I$2:$I$3000))</f>
        <v/>
      </c>
      <c r="Z256">
        <f>IF($A2="","",IF(COUNTIF('07_Pallet_Contents'!$A$2:$A$3000,$A2)&gt;0,"Yes",""))</f>
        <v/>
      </c>
    </row>
    <row r="257">
      <c r="A257" s="4" t="inlineStr">
        <is>
          <t>PAL-0000257</t>
        </is>
      </c>
      <c r="B257" s="22" t="n"/>
      <c r="D257">
        <f>IF($C257="","",IFERROR(LOOKUP(2,1/('03_Warehouse_Movements'!$C$2:$C$500=$A257),'03_Warehouse_Movements'!$E$2:$E$500),$C257))</f>
        <v/>
      </c>
      <c r="E257" t="inlineStr">
        <is>
          <t>STANDARD</t>
        </is>
      </c>
      <c r="G257" s="25" t="n"/>
      <c r="H257" s="24">
        <f>IF(AND($F257="TEMP",$G257&gt;0,$M257&lt;&gt;""),$M257+$G257,"")</f>
        <v/>
      </c>
      <c r="I257" s="22" t="n"/>
      <c r="J257" s="22" t="n"/>
      <c r="K257" s="24" t="n"/>
      <c r="M257" s="46">
        <f>IF($C257="","",IFERROR(LOOKUP(2,1/('03_Warehouse_Movements'!$C$2:$C$500=$A257),'03_Warehouse_Movements'!$A$2:$A$500),""))</f>
        <v/>
      </c>
      <c r="N257">
        <f>IF($C257="","",IFERROR(LOOKUP(2,1/('03_Warehouse_Movements'!$C$2:$C$500=$A257),'03_Warehouse_Movements'!$H$2:$H$500),""))</f>
        <v/>
      </c>
      <c r="O257">
        <f>A257</f>
        <v/>
      </c>
      <c r="Q257" s="25" t="n"/>
      <c r="R257" s="24" t="n"/>
      <c r="W257">
        <f>IF($A2="","",COUNTIF('07_Pallet_Contents'!$A$2:$A$3000,$A2))</f>
        <v/>
      </c>
      <c r="X257">
        <f>IF($A2="","",SUMIF('07_Pallet_Contents'!$A$2:$A$3000,$A2,'07_Pallet_Contents'!$D$2:$D$3000))</f>
        <v/>
      </c>
      <c r="Y257">
        <f>IF($A2="","",SUMIF('07_Pallet_Contents'!$A$2:$A$3000,$A2,'07_Pallet_Contents'!$I$2:$I$3000))</f>
        <v/>
      </c>
      <c r="Z257">
        <f>IF($A2="","",IF(COUNTIF('07_Pallet_Contents'!$A$2:$A$3000,$A2)&gt;0,"Yes",""))</f>
        <v/>
      </c>
    </row>
    <row r="258">
      <c r="A258" s="4" t="inlineStr">
        <is>
          <t>PAL-0000258</t>
        </is>
      </c>
      <c r="B258" s="22" t="n"/>
      <c r="D258">
        <f>IF($C258="","",IFERROR(LOOKUP(2,1/('03_Warehouse_Movements'!$C$2:$C$500=$A258),'03_Warehouse_Movements'!$E$2:$E$500),$C258))</f>
        <v/>
      </c>
      <c r="E258" t="inlineStr">
        <is>
          <t>STANDARD</t>
        </is>
      </c>
      <c r="G258" s="25" t="n"/>
      <c r="H258" s="24">
        <f>IF(AND($F258="TEMP",$G258&gt;0,$M258&lt;&gt;""),$M258+$G258,"")</f>
        <v/>
      </c>
      <c r="I258" s="22" t="n"/>
      <c r="J258" s="22" t="n"/>
      <c r="K258" s="24" t="n"/>
      <c r="M258" s="46">
        <f>IF($C258="","",IFERROR(LOOKUP(2,1/('03_Warehouse_Movements'!$C$2:$C$500=$A258),'03_Warehouse_Movements'!$A$2:$A$500),""))</f>
        <v/>
      </c>
      <c r="N258">
        <f>IF($C258="","",IFERROR(LOOKUP(2,1/('03_Warehouse_Movements'!$C$2:$C$500=$A258),'03_Warehouse_Movements'!$H$2:$H$500),""))</f>
        <v/>
      </c>
      <c r="O258">
        <f>A258</f>
        <v/>
      </c>
      <c r="Q258" s="25" t="n"/>
      <c r="R258" s="24" t="n"/>
      <c r="W258">
        <f>IF($A2="","",COUNTIF('07_Pallet_Contents'!$A$2:$A$3000,$A2))</f>
        <v/>
      </c>
      <c r="X258">
        <f>IF($A2="","",SUMIF('07_Pallet_Contents'!$A$2:$A$3000,$A2,'07_Pallet_Contents'!$D$2:$D$3000))</f>
        <v/>
      </c>
      <c r="Y258">
        <f>IF($A2="","",SUMIF('07_Pallet_Contents'!$A$2:$A$3000,$A2,'07_Pallet_Contents'!$I$2:$I$3000))</f>
        <v/>
      </c>
      <c r="Z258">
        <f>IF($A2="","",IF(COUNTIF('07_Pallet_Contents'!$A$2:$A$3000,$A2)&gt;0,"Yes",""))</f>
        <v/>
      </c>
    </row>
    <row r="259">
      <c r="A259" s="4" t="inlineStr">
        <is>
          <t>PAL-0000259</t>
        </is>
      </c>
      <c r="B259" s="22" t="n"/>
      <c r="D259">
        <f>IF($C259="","",IFERROR(LOOKUP(2,1/('03_Warehouse_Movements'!$C$2:$C$500=$A259),'03_Warehouse_Movements'!$E$2:$E$500),$C259))</f>
        <v/>
      </c>
      <c r="E259" t="inlineStr">
        <is>
          <t>STANDARD</t>
        </is>
      </c>
      <c r="G259" s="25" t="n"/>
      <c r="H259" s="24">
        <f>IF(AND($F259="TEMP",$G259&gt;0,$M259&lt;&gt;""),$M259+$G259,"")</f>
        <v/>
      </c>
      <c r="I259" s="22" t="n"/>
      <c r="J259" s="22" t="n"/>
      <c r="K259" s="24" t="n"/>
      <c r="M259" s="46">
        <f>IF($C259="","",IFERROR(LOOKUP(2,1/('03_Warehouse_Movements'!$C$2:$C$500=$A259),'03_Warehouse_Movements'!$A$2:$A$500),""))</f>
        <v/>
      </c>
      <c r="N259">
        <f>IF($C259="","",IFERROR(LOOKUP(2,1/('03_Warehouse_Movements'!$C$2:$C$500=$A259),'03_Warehouse_Movements'!$H$2:$H$500),""))</f>
        <v/>
      </c>
      <c r="O259">
        <f>A259</f>
        <v/>
      </c>
      <c r="Q259" s="25" t="n"/>
      <c r="R259" s="24" t="n"/>
      <c r="W259">
        <f>IF($A2="","",COUNTIF('07_Pallet_Contents'!$A$2:$A$3000,$A2))</f>
        <v/>
      </c>
      <c r="X259">
        <f>IF($A2="","",SUMIF('07_Pallet_Contents'!$A$2:$A$3000,$A2,'07_Pallet_Contents'!$D$2:$D$3000))</f>
        <v/>
      </c>
      <c r="Y259">
        <f>IF($A2="","",SUMIF('07_Pallet_Contents'!$A$2:$A$3000,$A2,'07_Pallet_Contents'!$I$2:$I$3000))</f>
        <v/>
      </c>
      <c r="Z259">
        <f>IF($A2="","",IF(COUNTIF('07_Pallet_Contents'!$A$2:$A$3000,$A2)&gt;0,"Yes",""))</f>
        <v/>
      </c>
    </row>
    <row r="260">
      <c r="A260" s="4" t="inlineStr">
        <is>
          <t>PAL-0000260</t>
        </is>
      </c>
      <c r="B260" s="22" t="n"/>
      <c r="D260">
        <f>IF($C260="","",IFERROR(LOOKUP(2,1/('03_Warehouse_Movements'!$C$2:$C$500=$A260),'03_Warehouse_Movements'!$E$2:$E$500),$C260))</f>
        <v/>
      </c>
      <c r="E260" t="inlineStr">
        <is>
          <t>STANDARD</t>
        </is>
      </c>
      <c r="G260" s="25" t="n"/>
      <c r="H260" s="24">
        <f>IF(AND($F260="TEMP",$G260&gt;0,$M260&lt;&gt;""),$M260+$G260,"")</f>
        <v/>
      </c>
      <c r="I260" s="22" t="n"/>
      <c r="J260" s="22" t="n"/>
      <c r="K260" s="24" t="n"/>
      <c r="M260" s="46">
        <f>IF($C260="","",IFERROR(LOOKUP(2,1/('03_Warehouse_Movements'!$C$2:$C$500=$A260),'03_Warehouse_Movements'!$A$2:$A$500),""))</f>
        <v/>
      </c>
      <c r="N260">
        <f>IF($C260="","",IFERROR(LOOKUP(2,1/('03_Warehouse_Movements'!$C$2:$C$500=$A260),'03_Warehouse_Movements'!$H$2:$H$500),""))</f>
        <v/>
      </c>
      <c r="O260">
        <f>A260</f>
        <v/>
      </c>
      <c r="Q260" s="25" t="n"/>
      <c r="R260" s="24" t="n"/>
      <c r="W260">
        <f>IF($A2="","",COUNTIF('07_Pallet_Contents'!$A$2:$A$3000,$A2))</f>
        <v/>
      </c>
      <c r="X260">
        <f>IF($A2="","",SUMIF('07_Pallet_Contents'!$A$2:$A$3000,$A2,'07_Pallet_Contents'!$D$2:$D$3000))</f>
        <v/>
      </c>
      <c r="Y260">
        <f>IF($A2="","",SUMIF('07_Pallet_Contents'!$A$2:$A$3000,$A2,'07_Pallet_Contents'!$I$2:$I$3000))</f>
        <v/>
      </c>
      <c r="Z260">
        <f>IF($A2="","",IF(COUNTIF('07_Pallet_Contents'!$A$2:$A$3000,$A2)&gt;0,"Yes",""))</f>
        <v/>
      </c>
    </row>
    <row r="261">
      <c r="A261" s="4" t="inlineStr">
        <is>
          <t>PAL-0000261</t>
        </is>
      </c>
      <c r="B261" s="22" t="n"/>
      <c r="D261">
        <f>IF($C261="","",IFERROR(LOOKUP(2,1/('03_Warehouse_Movements'!$C$2:$C$500=$A261),'03_Warehouse_Movements'!$E$2:$E$500),$C261))</f>
        <v/>
      </c>
      <c r="E261" t="inlineStr">
        <is>
          <t>STANDARD</t>
        </is>
      </c>
      <c r="G261" s="25" t="n"/>
      <c r="H261" s="24">
        <f>IF(AND($F261="TEMP",$G261&gt;0,$M261&lt;&gt;""),$M261+$G261,"")</f>
        <v/>
      </c>
      <c r="I261" s="22" t="n"/>
      <c r="J261" s="22" t="n"/>
      <c r="K261" s="24" t="n"/>
      <c r="M261" s="46">
        <f>IF($C261="","",IFERROR(LOOKUP(2,1/('03_Warehouse_Movements'!$C$2:$C$500=$A261),'03_Warehouse_Movements'!$A$2:$A$500),""))</f>
        <v/>
      </c>
      <c r="N261">
        <f>IF($C261="","",IFERROR(LOOKUP(2,1/('03_Warehouse_Movements'!$C$2:$C$500=$A261),'03_Warehouse_Movements'!$H$2:$H$500),""))</f>
        <v/>
      </c>
      <c r="O261">
        <f>A261</f>
        <v/>
      </c>
      <c r="Q261" s="25" t="n"/>
      <c r="R261" s="24" t="n"/>
      <c r="W261">
        <f>IF($A2="","",COUNTIF('07_Pallet_Contents'!$A$2:$A$3000,$A2))</f>
        <v/>
      </c>
      <c r="X261">
        <f>IF($A2="","",SUMIF('07_Pallet_Contents'!$A$2:$A$3000,$A2,'07_Pallet_Contents'!$D$2:$D$3000))</f>
        <v/>
      </c>
      <c r="Y261">
        <f>IF($A2="","",SUMIF('07_Pallet_Contents'!$A$2:$A$3000,$A2,'07_Pallet_Contents'!$I$2:$I$3000))</f>
        <v/>
      </c>
      <c r="Z261">
        <f>IF($A2="","",IF(COUNTIF('07_Pallet_Contents'!$A$2:$A$3000,$A2)&gt;0,"Yes",""))</f>
        <v/>
      </c>
    </row>
    <row r="262">
      <c r="A262" s="4" t="inlineStr">
        <is>
          <t>PAL-0000262</t>
        </is>
      </c>
      <c r="B262" s="22" t="n"/>
      <c r="D262">
        <f>IF($C262="","",IFERROR(LOOKUP(2,1/('03_Warehouse_Movements'!$C$2:$C$500=$A262),'03_Warehouse_Movements'!$E$2:$E$500),$C262))</f>
        <v/>
      </c>
      <c r="E262" t="inlineStr">
        <is>
          <t>STANDARD</t>
        </is>
      </c>
      <c r="G262" s="25" t="n"/>
      <c r="H262" s="24">
        <f>IF(AND($F262="TEMP",$G262&gt;0,$M262&lt;&gt;""),$M262+$G262,"")</f>
        <v/>
      </c>
      <c r="I262" s="22" t="n"/>
      <c r="J262" s="22" t="n"/>
      <c r="K262" s="24" t="n"/>
      <c r="M262" s="46">
        <f>IF($C262="","",IFERROR(LOOKUP(2,1/('03_Warehouse_Movements'!$C$2:$C$500=$A262),'03_Warehouse_Movements'!$A$2:$A$500),""))</f>
        <v/>
      </c>
      <c r="N262">
        <f>IF($C262="","",IFERROR(LOOKUP(2,1/('03_Warehouse_Movements'!$C$2:$C$500=$A262),'03_Warehouse_Movements'!$H$2:$H$500),""))</f>
        <v/>
      </c>
      <c r="O262">
        <f>A262</f>
        <v/>
      </c>
      <c r="Q262" s="25" t="n"/>
      <c r="R262" s="24" t="n"/>
      <c r="W262">
        <f>IF($A2="","",COUNTIF('07_Pallet_Contents'!$A$2:$A$3000,$A2))</f>
        <v/>
      </c>
      <c r="X262">
        <f>IF($A2="","",SUMIF('07_Pallet_Contents'!$A$2:$A$3000,$A2,'07_Pallet_Contents'!$D$2:$D$3000))</f>
        <v/>
      </c>
      <c r="Y262">
        <f>IF($A2="","",SUMIF('07_Pallet_Contents'!$A$2:$A$3000,$A2,'07_Pallet_Contents'!$I$2:$I$3000))</f>
        <v/>
      </c>
      <c r="Z262">
        <f>IF($A2="","",IF(COUNTIF('07_Pallet_Contents'!$A$2:$A$3000,$A2)&gt;0,"Yes",""))</f>
        <v/>
      </c>
    </row>
    <row r="263">
      <c r="A263" s="4" t="inlineStr">
        <is>
          <t>PAL-0000263</t>
        </is>
      </c>
      <c r="B263" s="22" t="n"/>
      <c r="D263">
        <f>IF($C263="","",IFERROR(LOOKUP(2,1/('03_Warehouse_Movements'!$C$2:$C$500=$A263),'03_Warehouse_Movements'!$E$2:$E$500),$C263))</f>
        <v/>
      </c>
      <c r="E263" t="inlineStr">
        <is>
          <t>STANDARD</t>
        </is>
      </c>
      <c r="G263" s="25" t="n"/>
      <c r="H263" s="24">
        <f>IF(AND($F263="TEMP",$G263&gt;0,$M263&lt;&gt;""),$M263+$G263,"")</f>
        <v/>
      </c>
      <c r="I263" s="22" t="n"/>
      <c r="J263" s="22" t="n"/>
      <c r="K263" s="24" t="n"/>
      <c r="M263" s="46">
        <f>IF($C263="","",IFERROR(LOOKUP(2,1/('03_Warehouse_Movements'!$C$2:$C$500=$A263),'03_Warehouse_Movements'!$A$2:$A$500),""))</f>
        <v/>
      </c>
      <c r="N263">
        <f>IF($C263="","",IFERROR(LOOKUP(2,1/('03_Warehouse_Movements'!$C$2:$C$500=$A263),'03_Warehouse_Movements'!$H$2:$H$500),""))</f>
        <v/>
      </c>
      <c r="O263">
        <f>A263</f>
        <v/>
      </c>
      <c r="Q263" s="25" t="n"/>
      <c r="R263" s="24" t="n"/>
      <c r="W263">
        <f>IF($A2="","",COUNTIF('07_Pallet_Contents'!$A$2:$A$3000,$A2))</f>
        <v/>
      </c>
      <c r="X263">
        <f>IF($A2="","",SUMIF('07_Pallet_Contents'!$A$2:$A$3000,$A2,'07_Pallet_Contents'!$D$2:$D$3000))</f>
        <v/>
      </c>
      <c r="Y263">
        <f>IF($A2="","",SUMIF('07_Pallet_Contents'!$A$2:$A$3000,$A2,'07_Pallet_Contents'!$I$2:$I$3000))</f>
        <v/>
      </c>
      <c r="Z263">
        <f>IF($A2="","",IF(COUNTIF('07_Pallet_Contents'!$A$2:$A$3000,$A2)&gt;0,"Yes",""))</f>
        <v/>
      </c>
    </row>
    <row r="264">
      <c r="A264" s="4" t="inlineStr">
        <is>
          <t>PAL-0000264</t>
        </is>
      </c>
      <c r="B264" s="22" t="n"/>
      <c r="D264">
        <f>IF($C264="","",IFERROR(LOOKUP(2,1/('03_Warehouse_Movements'!$C$2:$C$500=$A264),'03_Warehouse_Movements'!$E$2:$E$500),$C264))</f>
        <v/>
      </c>
      <c r="E264" t="inlineStr">
        <is>
          <t>STANDARD</t>
        </is>
      </c>
      <c r="G264" s="25" t="n"/>
      <c r="H264" s="24">
        <f>IF(AND($F264="TEMP",$G264&gt;0,$M264&lt;&gt;""),$M264+$G264,"")</f>
        <v/>
      </c>
      <c r="I264" s="22" t="n"/>
      <c r="J264" s="22" t="n"/>
      <c r="K264" s="24" t="n"/>
      <c r="M264" s="46">
        <f>IF($C264="","",IFERROR(LOOKUP(2,1/('03_Warehouse_Movements'!$C$2:$C$500=$A264),'03_Warehouse_Movements'!$A$2:$A$500),""))</f>
        <v/>
      </c>
      <c r="N264">
        <f>IF($C264="","",IFERROR(LOOKUP(2,1/('03_Warehouse_Movements'!$C$2:$C$500=$A264),'03_Warehouse_Movements'!$H$2:$H$500),""))</f>
        <v/>
      </c>
      <c r="O264">
        <f>A264</f>
        <v/>
      </c>
      <c r="Q264" s="25" t="n"/>
      <c r="R264" s="24" t="n"/>
      <c r="W264">
        <f>IF($A2="","",COUNTIF('07_Pallet_Contents'!$A$2:$A$3000,$A2))</f>
        <v/>
      </c>
      <c r="X264">
        <f>IF($A2="","",SUMIF('07_Pallet_Contents'!$A$2:$A$3000,$A2,'07_Pallet_Contents'!$D$2:$D$3000))</f>
        <v/>
      </c>
      <c r="Y264">
        <f>IF($A2="","",SUMIF('07_Pallet_Contents'!$A$2:$A$3000,$A2,'07_Pallet_Contents'!$I$2:$I$3000))</f>
        <v/>
      </c>
      <c r="Z264">
        <f>IF($A2="","",IF(COUNTIF('07_Pallet_Contents'!$A$2:$A$3000,$A2)&gt;0,"Yes",""))</f>
        <v/>
      </c>
    </row>
    <row r="265">
      <c r="A265" s="4" t="inlineStr">
        <is>
          <t>PAL-0000265</t>
        </is>
      </c>
      <c r="B265" s="22" t="n"/>
      <c r="D265">
        <f>IF($C265="","",IFERROR(LOOKUP(2,1/('03_Warehouse_Movements'!$C$2:$C$500=$A265),'03_Warehouse_Movements'!$E$2:$E$500),$C265))</f>
        <v/>
      </c>
      <c r="E265" t="inlineStr">
        <is>
          <t>STANDARD</t>
        </is>
      </c>
      <c r="G265" s="25" t="n"/>
      <c r="H265" s="24">
        <f>IF(AND($F265="TEMP",$G265&gt;0,$M265&lt;&gt;""),$M265+$G265,"")</f>
        <v/>
      </c>
      <c r="I265" s="22" t="n"/>
      <c r="J265" s="22" t="n"/>
      <c r="K265" s="24" t="n"/>
      <c r="M265" s="46">
        <f>IF($C265="","",IFERROR(LOOKUP(2,1/('03_Warehouse_Movements'!$C$2:$C$500=$A265),'03_Warehouse_Movements'!$A$2:$A$500),""))</f>
        <v/>
      </c>
      <c r="N265">
        <f>IF($C265="","",IFERROR(LOOKUP(2,1/('03_Warehouse_Movements'!$C$2:$C$500=$A265),'03_Warehouse_Movements'!$H$2:$H$500),""))</f>
        <v/>
      </c>
      <c r="O265">
        <f>A265</f>
        <v/>
      </c>
      <c r="Q265" s="25" t="n"/>
      <c r="R265" s="24" t="n"/>
      <c r="W265">
        <f>IF($A2="","",COUNTIF('07_Pallet_Contents'!$A$2:$A$3000,$A2))</f>
        <v/>
      </c>
      <c r="X265">
        <f>IF($A2="","",SUMIF('07_Pallet_Contents'!$A$2:$A$3000,$A2,'07_Pallet_Contents'!$D$2:$D$3000))</f>
        <v/>
      </c>
      <c r="Y265">
        <f>IF($A2="","",SUMIF('07_Pallet_Contents'!$A$2:$A$3000,$A2,'07_Pallet_Contents'!$I$2:$I$3000))</f>
        <v/>
      </c>
      <c r="Z265">
        <f>IF($A2="","",IF(COUNTIF('07_Pallet_Contents'!$A$2:$A$3000,$A2)&gt;0,"Yes",""))</f>
        <v/>
      </c>
    </row>
    <row r="266">
      <c r="A266" s="4" t="inlineStr">
        <is>
          <t>PAL-0000266</t>
        </is>
      </c>
      <c r="B266" s="22" t="n"/>
      <c r="D266">
        <f>IF($C266="","",IFERROR(LOOKUP(2,1/('03_Warehouse_Movements'!$C$2:$C$500=$A266),'03_Warehouse_Movements'!$E$2:$E$500),$C266))</f>
        <v/>
      </c>
      <c r="E266" t="inlineStr">
        <is>
          <t>STANDARD</t>
        </is>
      </c>
      <c r="G266" s="25" t="n"/>
      <c r="H266" s="24">
        <f>IF(AND($F266="TEMP",$G266&gt;0,$M266&lt;&gt;""),$M266+$G266,"")</f>
        <v/>
      </c>
      <c r="I266" s="22" t="n"/>
      <c r="J266" s="22" t="n"/>
      <c r="K266" s="24" t="n"/>
      <c r="M266" s="46">
        <f>IF($C266="","",IFERROR(LOOKUP(2,1/('03_Warehouse_Movements'!$C$2:$C$500=$A266),'03_Warehouse_Movements'!$A$2:$A$500),""))</f>
        <v/>
      </c>
      <c r="N266">
        <f>IF($C266="","",IFERROR(LOOKUP(2,1/('03_Warehouse_Movements'!$C$2:$C$500=$A266),'03_Warehouse_Movements'!$H$2:$H$500),""))</f>
        <v/>
      </c>
      <c r="O266">
        <f>A266</f>
        <v/>
      </c>
      <c r="Q266" s="25" t="n"/>
      <c r="R266" s="24" t="n"/>
      <c r="W266">
        <f>IF($A2="","",COUNTIF('07_Pallet_Contents'!$A$2:$A$3000,$A2))</f>
        <v/>
      </c>
      <c r="X266">
        <f>IF($A2="","",SUMIF('07_Pallet_Contents'!$A$2:$A$3000,$A2,'07_Pallet_Contents'!$D$2:$D$3000))</f>
        <v/>
      </c>
      <c r="Y266">
        <f>IF($A2="","",SUMIF('07_Pallet_Contents'!$A$2:$A$3000,$A2,'07_Pallet_Contents'!$I$2:$I$3000))</f>
        <v/>
      </c>
      <c r="Z266">
        <f>IF($A2="","",IF(COUNTIF('07_Pallet_Contents'!$A$2:$A$3000,$A2)&gt;0,"Yes",""))</f>
        <v/>
      </c>
    </row>
    <row r="267">
      <c r="A267" s="4" t="inlineStr">
        <is>
          <t>PAL-0000267</t>
        </is>
      </c>
      <c r="B267" s="22" t="n"/>
      <c r="D267">
        <f>IF($C267="","",IFERROR(LOOKUP(2,1/('03_Warehouse_Movements'!$C$2:$C$500=$A267),'03_Warehouse_Movements'!$E$2:$E$500),$C267))</f>
        <v/>
      </c>
      <c r="E267" t="inlineStr">
        <is>
          <t>STANDARD</t>
        </is>
      </c>
      <c r="G267" s="25" t="n"/>
      <c r="H267" s="24">
        <f>IF(AND($F267="TEMP",$G267&gt;0,$M267&lt;&gt;""),$M267+$G267,"")</f>
        <v/>
      </c>
      <c r="I267" s="22" t="n"/>
      <c r="J267" s="22" t="n"/>
      <c r="K267" s="24" t="n"/>
      <c r="M267" s="46">
        <f>IF($C267="","",IFERROR(LOOKUP(2,1/('03_Warehouse_Movements'!$C$2:$C$500=$A267),'03_Warehouse_Movements'!$A$2:$A$500),""))</f>
        <v/>
      </c>
      <c r="N267">
        <f>IF($C267="","",IFERROR(LOOKUP(2,1/('03_Warehouse_Movements'!$C$2:$C$500=$A267),'03_Warehouse_Movements'!$H$2:$H$500),""))</f>
        <v/>
      </c>
      <c r="O267">
        <f>A267</f>
        <v/>
      </c>
      <c r="Q267" s="25" t="n"/>
      <c r="R267" s="24" t="n"/>
      <c r="W267">
        <f>IF($A2="","",COUNTIF('07_Pallet_Contents'!$A$2:$A$3000,$A2))</f>
        <v/>
      </c>
      <c r="X267">
        <f>IF($A2="","",SUMIF('07_Pallet_Contents'!$A$2:$A$3000,$A2,'07_Pallet_Contents'!$D$2:$D$3000))</f>
        <v/>
      </c>
      <c r="Y267">
        <f>IF($A2="","",SUMIF('07_Pallet_Contents'!$A$2:$A$3000,$A2,'07_Pallet_Contents'!$I$2:$I$3000))</f>
        <v/>
      </c>
      <c r="Z267">
        <f>IF($A2="","",IF(COUNTIF('07_Pallet_Contents'!$A$2:$A$3000,$A2)&gt;0,"Yes",""))</f>
        <v/>
      </c>
    </row>
    <row r="268">
      <c r="A268" s="4" t="inlineStr">
        <is>
          <t>PAL-0000268</t>
        </is>
      </c>
      <c r="B268" s="22" t="n"/>
      <c r="D268">
        <f>IF($C268="","",IFERROR(LOOKUP(2,1/('03_Warehouse_Movements'!$C$2:$C$500=$A268),'03_Warehouse_Movements'!$E$2:$E$500),$C268))</f>
        <v/>
      </c>
      <c r="E268" t="inlineStr">
        <is>
          <t>STANDARD</t>
        </is>
      </c>
      <c r="G268" s="25" t="n"/>
      <c r="H268" s="24">
        <f>IF(AND($F268="TEMP",$G268&gt;0,$M268&lt;&gt;""),$M268+$G268,"")</f>
        <v/>
      </c>
      <c r="I268" s="22" t="n"/>
      <c r="J268" s="22" t="n"/>
      <c r="K268" s="24" t="n"/>
      <c r="M268" s="46">
        <f>IF($C268="","",IFERROR(LOOKUP(2,1/('03_Warehouse_Movements'!$C$2:$C$500=$A268),'03_Warehouse_Movements'!$A$2:$A$500),""))</f>
        <v/>
      </c>
      <c r="N268">
        <f>IF($C268="","",IFERROR(LOOKUP(2,1/('03_Warehouse_Movements'!$C$2:$C$500=$A268),'03_Warehouse_Movements'!$H$2:$H$500),""))</f>
        <v/>
      </c>
      <c r="O268">
        <f>A268</f>
        <v/>
      </c>
      <c r="Q268" s="25" t="n"/>
      <c r="R268" s="24" t="n"/>
      <c r="W268">
        <f>IF($A2="","",COUNTIF('07_Pallet_Contents'!$A$2:$A$3000,$A2))</f>
        <v/>
      </c>
      <c r="X268">
        <f>IF($A2="","",SUMIF('07_Pallet_Contents'!$A$2:$A$3000,$A2,'07_Pallet_Contents'!$D$2:$D$3000))</f>
        <v/>
      </c>
      <c r="Y268">
        <f>IF($A2="","",SUMIF('07_Pallet_Contents'!$A$2:$A$3000,$A2,'07_Pallet_Contents'!$I$2:$I$3000))</f>
        <v/>
      </c>
      <c r="Z268">
        <f>IF($A2="","",IF(COUNTIF('07_Pallet_Contents'!$A$2:$A$3000,$A2)&gt;0,"Yes",""))</f>
        <v/>
      </c>
    </row>
    <row r="269">
      <c r="A269" s="4" t="inlineStr">
        <is>
          <t>PAL-0000269</t>
        </is>
      </c>
      <c r="B269" s="22" t="n"/>
      <c r="D269">
        <f>IF($C269="","",IFERROR(LOOKUP(2,1/('03_Warehouse_Movements'!$C$2:$C$500=$A269),'03_Warehouse_Movements'!$E$2:$E$500),$C269))</f>
        <v/>
      </c>
      <c r="E269" t="inlineStr">
        <is>
          <t>STANDARD</t>
        </is>
      </c>
      <c r="G269" s="25" t="n"/>
      <c r="H269" s="24">
        <f>IF(AND($F269="TEMP",$G269&gt;0,$M269&lt;&gt;""),$M269+$G269,"")</f>
        <v/>
      </c>
      <c r="I269" s="22" t="n"/>
      <c r="J269" s="22" t="n"/>
      <c r="K269" s="24" t="n"/>
      <c r="M269" s="46">
        <f>IF($C269="","",IFERROR(LOOKUP(2,1/('03_Warehouse_Movements'!$C$2:$C$500=$A269),'03_Warehouse_Movements'!$A$2:$A$500),""))</f>
        <v/>
      </c>
      <c r="N269">
        <f>IF($C269="","",IFERROR(LOOKUP(2,1/('03_Warehouse_Movements'!$C$2:$C$500=$A269),'03_Warehouse_Movements'!$H$2:$H$500),""))</f>
        <v/>
      </c>
      <c r="O269">
        <f>A269</f>
        <v/>
      </c>
      <c r="Q269" s="25" t="n"/>
      <c r="R269" s="24" t="n"/>
      <c r="W269">
        <f>IF($A2="","",COUNTIF('07_Pallet_Contents'!$A$2:$A$3000,$A2))</f>
        <v/>
      </c>
      <c r="X269">
        <f>IF($A2="","",SUMIF('07_Pallet_Contents'!$A$2:$A$3000,$A2,'07_Pallet_Contents'!$D$2:$D$3000))</f>
        <v/>
      </c>
      <c r="Y269">
        <f>IF($A2="","",SUMIF('07_Pallet_Contents'!$A$2:$A$3000,$A2,'07_Pallet_Contents'!$I$2:$I$3000))</f>
        <v/>
      </c>
      <c r="Z269">
        <f>IF($A2="","",IF(COUNTIF('07_Pallet_Contents'!$A$2:$A$3000,$A2)&gt;0,"Yes",""))</f>
        <v/>
      </c>
    </row>
    <row r="270">
      <c r="A270" s="4" t="inlineStr">
        <is>
          <t>PAL-0000270</t>
        </is>
      </c>
      <c r="B270" s="22" t="n"/>
      <c r="D270">
        <f>IF($C270="","",IFERROR(LOOKUP(2,1/('03_Warehouse_Movements'!$C$2:$C$500=$A270),'03_Warehouse_Movements'!$E$2:$E$500),$C270))</f>
        <v/>
      </c>
      <c r="E270" t="inlineStr">
        <is>
          <t>STANDARD</t>
        </is>
      </c>
      <c r="G270" s="25" t="n"/>
      <c r="H270" s="24">
        <f>IF(AND($F270="TEMP",$G270&gt;0,$M270&lt;&gt;""),$M270+$G270,"")</f>
        <v/>
      </c>
      <c r="I270" s="22" t="n"/>
      <c r="J270" s="22" t="n"/>
      <c r="K270" s="24" t="n"/>
      <c r="M270" s="46">
        <f>IF($C270="","",IFERROR(LOOKUP(2,1/('03_Warehouse_Movements'!$C$2:$C$500=$A270),'03_Warehouse_Movements'!$A$2:$A$500),""))</f>
        <v/>
      </c>
      <c r="N270">
        <f>IF($C270="","",IFERROR(LOOKUP(2,1/('03_Warehouse_Movements'!$C$2:$C$500=$A270),'03_Warehouse_Movements'!$H$2:$H$500),""))</f>
        <v/>
      </c>
      <c r="O270">
        <f>A270</f>
        <v/>
      </c>
      <c r="Q270" s="25" t="n"/>
      <c r="R270" s="24" t="n"/>
      <c r="W270">
        <f>IF($A2="","",COUNTIF('07_Pallet_Contents'!$A$2:$A$3000,$A2))</f>
        <v/>
      </c>
      <c r="X270">
        <f>IF($A2="","",SUMIF('07_Pallet_Contents'!$A$2:$A$3000,$A2,'07_Pallet_Contents'!$D$2:$D$3000))</f>
        <v/>
      </c>
      <c r="Y270">
        <f>IF($A2="","",SUMIF('07_Pallet_Contents'!$A$2:$A$3000,$A2,'07_Pallet_Contents'!$I$2:$I$3000))</f>
        <v/>
      </c>
      <c r="Z270">
        <f>IF($A2="","",IF(COUNTIF('07_Pallet_Contents'!$A$2:$A$3000,$A2)&gt;0,"Yes",""))</f>
        <v/>
      </c>
    </row>
    <row r="271">
      <c r="A271" s="4" t="inlineStr">
        <is>
          <t>PAL-0000271</t>
        </is>
      </c>
      <c r="B271" s="22" t="n"/>
      <c r="D271">
        <f>IF($C271="","",IFERROR(LOOKUP(2,1/('03_Warehouse_Movements'!$C$2:$C$500=$A271),'03_Warehouse_Movements'!$E$2:$E$500),$C271))</f>
        <v/>
      </c>
      <c r="E271" t="inlineStr">
        <is>
          <t>STANDARD</t>
        </is>
      </c>
      <c r="G271" s="25" t="n"/>
      <c r="H271" s="24">
        <f>IF(AND($F271="TEMP",$G271&gt;0,$M271&lt;&gt;""),$M271+$G271,"")</f>
        <v/>
      </c>
      <c r="I271" s="22" t="n"/>
      <c r="J271" s="22" t="n"/>
      <c r="K271" s="24" t="n"/>
      <c r="M271" s="46">
        <f>IF($C271="","",IFERROR(LOOKUP(2,1/('03_Warehouse_Movements'!$C$2:$C$500=$A271),'03_Warehouse_Movements'!$A$2:$A$500),""))</f>
        <v/>
      </c>
      <c r="N271">
        <f>IF($C271="","",IFERROR(LOOKUP(2,1/('03_Warehouse_Movements'!$C$2:$C$500=$A271),'03_Warehouse_Movements'!$H$2:$H$500),""))</f>
        <v/>
      </c>
      <c r="O271">
        <f>A271</f>
        <v/>
      </c>
      <c r="Q271" s="25" t="n"/>
      <c r="R271" s="24" t="n"/>
      <c r="W271">
        <f>IF($A2="","",COUNTIF('07_Pallet_Contents'!$A$2:$A$3000,$A2))</f>
        <v/>
      </c>
      <c r="X271">
        <f>IF($A2="","",SUMIF('07_Pallet_Contents'!$A$2:$A$3000,$A2,'07_Pallet_Contents'!$D$2:$D$3000))</f>
        <v/>
      </c>
      <c r="Y271">
        <f>IF($A2="","",SUMIF('07_Pallet_Contents'!$A$2:$A$3000,$A2,'07_Pallet_Contents'!$I$2:$I$3000))</f>
        <v/>
      </c>
      <c r="Z271">
        <f>IF($A2="","",IF(COUNTIF('07_Pallet_Contents'!$A$2:$A$3000,$A2)&gt;0,"Yes",""))</f>
        <v/>
      </c>
    </row>
    <row r="272">
      <c r="A272" s="4" t="inlineStr">
        <is>
          <t>PAL-0000272</t>
        </is>
      </c>
      <c r="B272" s="22" t="n"/>
      <c r="D272">
        <f>IF($C272="","",IFERROR(LOOKUP(2,1/('03_Warehouse_Movements'!$C$2:$C$500=$A272),'03_Warehouse_Movements'!$E$2:$E$500),$C272))</f>
        <v/>
      </c>
      <c r="E272" t="inlineStr">
        <is>
          <t>STANDARD</t>
        </is>
      </c>
      <c r="G272" s="25" t="n"/>
      <c r="H272" s="24">
        <f>IF(AND($F272="TEMP",$G272&gt;0,$M272&lt;&gt;""),$M272+$G272,"")</f>
        <v/>
      </c>
      <c r="I272" s="22" t="n"/>
      <c r="J272" s="22" t="n"/>
      <c r="K272" s="24" t="n"/>
      <c r="M272" s="46">
        <f>IF($C272="","",IFERROR(LOOKUP(2,1/('03_Warehouse_Movements'!$C$2:$C$500=$A272),'03_Warehouse_Movements'!$A$2:$A$500),""))</f>
        <v/>
      </c>
      <c r="N272">
        <f>IF($C272="","",IFERROR(LOOKUP(2,1/('03_Warehouse_Movements'!$C$2:$C$500=$A272),'03_Warehouse_Movements'!$H$2:$H$500),""))</f>
        <v/>
      </c>
      <c r="O272">
        <f>A272</f>
        <v/>
      </c>
      <c r="Q272" s="25" t="n"/>
      <c r="R272" s="24" t="n"/>
      <c r="W272">
        <f>IF($A2="","",COUNTIF('07_Pallet_Contents'!$A$2:$A$3000,$A2))</f>
        <v/>
      </c>
      <c r="X272">
        <f>IF($A2="","",SUMIF('07_Pallet_Contents'!$A$2:$A$3000,$A2,'07_Pallet_Contents'!$D$2:$D$3000))</f>
        <v/>
      </c>
      <c r="Y272">
        <f>IF($A2="","",SUMIF('07_Pallet_Contents'!$A$2:$A$3000,$A2,'07_Pallet_Contents'!$I$2:$I$3000))</f>
        <v/>
      </c>
      <c r="Z272">
        <f>IF($A2="","",IF(COUNTIF('07_Pallet_Contents'!$A$2:$A$3000,$A2)&gt;0,"Yes",""))</f>
        <v/>
      </c>
    </row>
    <row r="273">
      <c r="A273" s="4" t="inlineStr">
        <is>
          <t>PAL-0000273</t>
        </is>
      </c>
      <c r="B273" s="22" t="n"/>
      <c r="D273">
        <f>IF($C273="","",IFERROR(LOOKUP(2,1/('03_Warehouse_Movements'!$C$2:$C$500=$A273),'03_Warehouse_Movements'!$E$2:$E$500),$C273))</f>
        <v/>
      </c>
      <c r="E273" t="inlineStr">
        <is>
          <t>STANDARD</t>
        </is>
      </c>
      <c r="G273" s="25" t="n"/>
      <c r="H273" s="24">
        <f>IF(AND($F273="TEMP",$G273&gt;0,$M273&lt;&gt;""),$M273+$G273,"")</f>
        <v/>
      </c>
      <c r="I273" s="22" t="n"/>
      <c r="J273" s="22" t="n"/>
      <c r="K273" s="24" t="n"/>
      <c r="M273" s="46">
        <f>IF($C273="","",IFERROR(LOOKUP(2,1/('03_Warehouse_Movements'!$C$2:$C$500=$A273),'03_Warehouse_Movements'!$A$2:$A$500),""))</f>
        <v/>
      </c>
      <c r="N273">
        <f>IF($C273="","",IFERROR(LOOKUP(2,1/('03_Warehouse_Movements'!$C$2:$C$500=$A273),'03_Warehouse_Movements'!$H$2:$H$500),""))</f>
        <v/>
      </c>
      <c r="O273">
        <f>A273</f>
        <v/>
      </c>
      <c r="Q273" s="25" t="n"/>
      <c r="R273" s="24" t="n"/>
      <c r="W273">
        <f>IF($A2="","",COUNTIF('07_Pallet_Contents'!$A$2:$A$3000,$A2))</f>
        <v/>
      </c>
      <c r="X273">
        <f>IF($A2="","",SUMIF('07_Pallet_Contents'!$A$2:$A$3000,$A2,'07_Pallet_Contents'!$D$2:$D$3000))</f>
        <v/>
      </c>
      <c r="Y273">
        <f>IF($A2="","",SUMIF('07_Pallet_Contents'!$A$2:$A$3000,$A2,'07_Pallet_Contents'!$I$2:$I$3000))</f>
        <v/>
      </c>
      <c r="Z273">
        <f>IF($A2="","",IF(COUNTIF('07_Pallet_Contents'!$A$2:$A$3000,$A2)&gt;0,"Yes",""))</f>
        <v/>
      </c>
    </row>
    <row r="274">
      <c r="A274" s="4" t="inlineStr">
        <is>
          <t>PAL-0000274</t>
        </is>
      </c>
      <c r="B274" s="22" t="n"/>
      <c r="D274">
        <f>IF($C274="","",IFERROR(LOOKUP(2,1/('03_Warehouse_Movements'!$C$2:$C$500=$A274),'03_Warehouse_Movements'!$E$2:$E$500),$C274))</f>
        <v/>
      </c>
      <c r="E274" t="inlineStr">
        <is>
          <t>STANDARD</t>
        </is>
      </c>
      <c r="G274" s="25" t="n"/>
      <c r="H274" s="24">
        <f>IF(AND($F274="TEMP",$G274&gt;0,$M274&lt;&gt;""),$M274+$G274,"")</f>
        <v/>
      </c>
      <c r="I274" s="22" t="n"/>
      <c r="J274" s="22" t="n"/>
      <c r="K274" s="24" t="n"/>
      <c r="M274" s="46">
        <f>IF($C274="","",IFERROR(LOOKUP(2,1/('03_Warehouse_Movements'!$C$2:$C$500=$A274),'03_Warehouse_Movements'!$A$2:$A$500),""))</f>
        <v/>
      </c>
      <c r="N274">
        <f>IF($C274="","",IFERROR(LOOKUP(2,1/('03_Warehouse_Movements'!$C$2:$C$500=$A274),'03_Warehouse_Movements'!$H$2:$H$500),""))</f>
        <v/>
      </c>
      <c r="O274">
        <f>A274</f>
        <v/>
      </c>
      <c r="Q274" s="25" t="n"/>
      <c r="R274" s="24" t="n"/>
      <c r="W274">
        <f>IF($A2="","",COUNTIF('07_Pallet_Contents'!$A$2:$A$3000,$A2))</f>
        <v/>
      </c>
      <c r="X274">
        <f>IF($A2="","",SUMIF('07_Pallet_Contents'!$A$2:$A$3000,$A2,'07_Pallet_Contents'!$D$2:$D$3000))</f>
        <v/>
      </c>
      <c r="Y274">
        <f>IF($A2="","",SUMIF('07_Pallet_Contents'!$A$2:$A$3000,$A2,'07_Pallet_Contents'!$I$2:$I$3000))</f>
        <v/>
      </c>
      <c r="Z274">
        <f>IF($A2="","",IF(COUNTIF('07_Pallet_Contents'!$A$2:$A$3000,$A2)&gt;0,"Yes",""))</f>
        <v/>
      </c>
    </row>
    <row r="275">
      <c r="A275" s="4" t="inlineStr">
        <is>
          <t>PAL-0000275</t>
        </is>
      </c>
      <c r="B275" s="22" t="n"/>
      <c r="D275">
        <f>IF($C275="","",IFERROR(LOOKUP(2,1/('03_Warehouse_Movements'!$C$2:$C$500=$A275),'03_Warehouse_Movements'!$E$2:$E$500),$C275))</f>
        <v/>
      </c>
      <c r="E275" t="inlineStr">
        <is>
          <t>STANDARD</t>
        </is>
      </c>
      <c r="G275" s="25" t="n"/>
      <c r="H275" s="24">
        <f>IF(AND($F275="TEMP",$G275&gt;0,$M275&lt;&gt;""),$M275+$G275,"")</f>
        <v/>
      </c>
      <c r="I275" s="22" t="n"/>
      <c r="J275" s="22" t="n"/>
      <c r="K275" s="24" t="n"/>
      <c r="M275" s="46">
        <f>IF($C275="","",IFERROR(LOOKUP(2,1/('03_Warehouse_Movements'!$C$2:$C$500=$A275),'03_Warehouse_Movements'!$A$2:$A$500),""))</f>
        <v/>
      </c>
      <c r="N275">
        <f>IF($C275="","",IFERROR(LOOKUP(2,1/('03_Warehouse_Movements'!$C$2:$C$500=$A275),'03_Warehouse_Movements'!$H$2:$H$500),""))</f>
        <v/>
      </c>
      <c r="O275">
        <f>A275</f>
        <v/>
      </c>
      <c r="Q275" s="25" t="n"/>
      <c r="R275" s="24" t="n"/>
      <c r="W275">
        <f>IF($A2="","",COUNTIF('07_Pallet_Contents'!$A$2:$A$3000,$A2))</f>
        <v/>
      </c>
      <c r="X275">
        <f>IF($A2="","",SUMIF('07_Pallet_Contents'!$A$2:$A$3000,$A2,'07_Pallet_Contents'!$D$2:$D$3000))</f>
        <v/>
      </c>
      <c r="Y275">
        <f>IF($A2="","",SUMIF('07_Pallet_Contents'!$A$2:$A$3000,$A2,'07_Pallet_Contents'!$I$2:$I$3000))</f>
        <v/>
      </c>
      <c r="Z275">
        <f>IF($A2="","",IF(COUNTIF('07_Pallet_Contents'!$A$2:$A$3000,$A2)&gt;0,"Yes",""))</f>
        <v/>
      </c>
    </row>
    <row r="276">
      <c r="A276" s="4" t="inlineStr">
        <is>
          <t>PAL-0000276</t>
        </is>
      </c>
      <c r="B276" s="22" t="n"/>
      <c r="D276">
        <f>IF($C276="","",IFERROR(LOOKUP(2,1/('03_Warehouse_Movements'!$C$2:$C$500=$A276),'03_Warehouse_Movements'!$E$2:$E$500),$C276))</f>
        <v/>
      </c>
      <c r="E276" t="inlineStr">
        <is>
          <t>STANDARD</t>
        </is>
      </c>
      <c r="G276" s="25" t="n"/>
      <c r="H276" s="24">
        <f>IF(AND($F276="TEMP",$G276&gt;0,$M276&lt;&gt;""),$M276+$G276,"")</f>
        <v/>
      </c>
      <c r="I276" s="22" t="n"/>
      <c r="J276" s="22" t="n"/>
      <c r="K276" s="24" t="n"/>
      <c r="M276" s="46">
        <f>IF($C276="","",IFERROR(LOOKUP(2,1/('03_Warehouse_Movements'!$C$2:$C$500=$A276),'03_Warehouse_Movements'!$A$2:$A$500),""))</f>
        <v/>
      </c>
      <c r="N276">
        <f>IF($C276="","",IFERROR(LOOKUP(2,1/('03_Warehouse_Movements'!$C$2:$C$500=$A276),'03_Warehouse_Movements'!$H$2:$H$500),""))</f>
        <v/>
      </c>
      <c r="O276">
        <f>A276</f>
        <v/>
      </c>
      <c r="Q276" s="25" t="n"/>
      <c r="R276" s="24" t="n"/>
      <c r="W276">
        <f>IF($A2="","",COUNTIF('07_Pallet_Contents'!$A$2:$A$3000,$A2))</f>
        <v/>
      </c>
      <c r="X276">
        <f>IF($A2="","",SUMIF('07_Pallet_Contents'!$A$2:$A$3000,$A2,'07_Pallet_Contents'!$D$2:$D$3000))</f>
        <v/>
      </c>
      <c r="Y276">
        <f>IF($A2="","",SUMIF('07_Pallet_Contents'!$A$2:$A$3000,$A2,'07_Pallet_Contents'!$I$2:$I$3000))</f>
        <v/>
      </c>
      <c r="Z276">
        <f>IF($A2="","",IF(COUNTIF('07_Pallet_Contents'!$A$2:$A$3000,$A2)&gt;0,"Yes",""))</f>
        <v/>
      </c>
    </row>
    <row r="277">
      <c r="A277" s="4" t="inlineStr">
        <is>
          <t>PAL-0000277</t>
        </is>
      </c>
      <c r="B277" s="22" t="n"/>
      <c r="D277">
        <f>IF($C277="","",IFERROR(LOOKUP(2,1/('03_Warehouse_Movements'!$C$2:$C$500=$A277),'03_Warehouse_Movements'!$E$2:$E$500),$C277))</f>
        <v/>
      </c>
      <c r="E277" t="inlineStr">
        <is>
          <t>STANDARD</t>
        </is>
      </c>
      <c r="G277" s="25" t="n"/>
      <c r="H277" s="24">
        <f>IF(AND($F277="TEMP",$G277&gt;0,$M277&lt;&gt;""),$M277+$G277,"")</f>
        <v/>
      </c>
      <c r="I277" s="22" t="n"/>
      <c r="J277" s="22" t="n"/>
      <c r="K277" s="24" t="n"/>
      <c r="M277" s="46">
        <f>IF($C277="","",IFERROR(LOOKUP(2,1/('03_Warehouse_Movements'!$C$2:$C$500=$A277),'03_Warehouse_Movements'!$A$2:$A$500),""))</f>
        <v/>
      </c>
      <c r="N277">
        <f>IF($C277="","",IFERROR(LOOKUP(2,1/('03_Warehouse_Movements'!$C$2:$C$500=$A277),'03_Warehouse_Movements'!$H$2:$H$500),""))</f>
        <v/>
      </c>
      <c r="O277">
        <f>A277</f>
        <v/>
      </c>
      <c r="Q277" s="25" t="n"/>
      <c r="R277" s="24" t="n"/>
      <c r="W277">
        <f>IF($A2="","",COUNTIF('07_Pallet_Contents'!$A$2:$A$3000,$A2))</f>
        <v/>
      </c>
      <c r="X277">
        <f>IF($A2="","",SUMIF('07_Pallet_Contents'!$A$2:$A$3000,$A2,'07_Pallet_Contents'!$D$2:$D$3000))</f>
        <v/>
      </c>
      <c r="Y277">
        <f>IF($A2="","",SUMIF('07_Pallet_Contents'!$A$2:$A$3000,$A2,'07_Pallet_Contents'!$I$2:$I$3000))</f>
        <v/>
      </c>
      <c r="Z277">
        <f>IF($A2="","",IF(COUNTIF('07_Pallet_Contents'!$A$2:$A$3000,$A2)&gt;0,"Yes",""))</f>
        <v/>
      </c>
    </row>
    <row r="278">
      <c r="A278" s="4" t="inlineStr">
        <is>
          <t>PAL-0000278</t>
        </is>
      </c>
      <c r="B278" s="22" t="n"/>
      <c r="D278">
        <f>IF($C278="","",IFERROR(LOOKUP(2,1/('03_Warehouse_Movements'!$C$2:$C$500=$A278),'03_Warehouse_Movements'!$E$2:$E$500),$C278))</f>
        <v/>
      </c>
      <c r="E278" t="inlineStr">
        <is>
          <t>STANDARD</t>
        </is>
      </c>
      <c r="G278" s="25" t="n"/>
      <c r="H278" s="24">
        <f>IF(AND($F278="TEMP",$G278&gt;0,$M278&lt;&gt;""),$M278+$G278,"")</f>
        <v/>
      </c>
      <c r="I278" s="22" t="n"/>
      <c r="J278" s="22" t="n"/>
      <c r="K278" s="24" t="n"/>
      <c r="M278" s="46">
        <f>IF($C278="","",IFERROR(LOOKUP(2,1/('03_Warehouse_Movements'!$C$2:$C$500=$A278),'03_Warehouse_Movements'!$A$2:$A$500),""))</f>
        <v/>
      </c>
      <c r="N278">
        <f>IF($C278="","",IFERROR(LOOKUP(2,1/('03_Warehouse_Movements'!$C$2:$C$500=$A278),'03_Warehouse_Movements'!$H$2:$H$500),""))</f>
        <v/>
      </c>
      <c r="O278">
        <f>A278</f>
        <v/>
      </c>
      <c r="Q278" s="25" t="n"/>
      <c r="R278" s="24" t="n"/>
      <c r="W278">
        <f>IF($A2="","",COUNTIF('07_Pallet_Contents'!$A$2:$A$3000,$A2))</f>
        <v/>
      </c>
      <c r="X278">
        <f>IF($A2="","",SUMIF('07_Pallet_Contents'!$A$2:$A$3000,$A2,'07_Pallet_Contents'!$D$2:$D$3000))</f>
        <v/>
      </c>
      <c r="Y278">
        <f>IF($A2="","",SUMIF('07_Pallet_Contents'!$A$2:$A$3000,$A2,'07_Pallet_Contents'!$I$2:$I$3000))</f>
        <v/>
      </c>
      <c r="Z278">
        <f>IF($A2="","",IF(COUNTIF('07_Pallet_Contents'!$A$2:$A$3000,$A2)&gt;0,"Yes",""))</f>
        <v/>
      </c>
    </row>
    <row r="279">
      <c r="A279" s="4" t="inlineStr">
        <is>
          <t>PAL-0000279</t>
        </is>
      </c>
      <c r="B279" s="22" t="n"/>
      <c r="D279">
        <f>IF($C279="","",IFERROR(LOOKUP(2,1/('03_Warehouse_Movements'!$C$2:$C$500=$A279),'03_Warehouse_Movements'!$E$2:$E$500),$C279))</f>
        <v/>
      </c>
      <c r="E279" t="inlineStr">
        <is>
          <t>STANDARD</t>
        </is>
      </c>
      <c r="G279" s="25" t="n"/>
      <c r="H279" s="24">
        <f>IF(AND($F279="TEMP",$G279&gt;0,$M279&lt;&gt;""),$M279+$G279,"")</f>
        <v/>
      </c>
      <c r="I279" s="22" t="n"/>
      <c r="J279" s="22" t="n"/>
      <c r="K279" s="24" t="n"/>
      <c r="M279" s="46">
        <f>IF($C279="","",IFERROR(LOOKUP(2,1/('03_Warehouse_Movements'!$C$2:$C$500=$A279),'03_Warehouse_Movements'!$A$2:$A$500),""))</f>
        <v/>
      </c>
      <c r="N279">
        <f>IF($C279="","",IFERROR(LOOKUP(2,1/('03_Warehouse_Movements'!$C$2:$C$500=$A279),'03_Warehouse_Movements'!$H$2:$H$500),""))</f>
        <v/>
      </c>
      <c r="O279">
        <f>A279</f>
        <v/>
      </c>
      <c r="Q279" s="25" t="n"/>
      <c r="R279" s="24" t="n"/>
      <c r="W279">
        <f>IF($A2="","",COUNTIF('07_Pallet_Contents'!$A$2:$A$3000,$A2))</f>
        <v/>
      </c>
      <c r="X279">
        <f>IF($A2="","",SUMIF('07_Pallet_Contents'!$A$2:$A$3000,$A2,'07_Pallet_Contents'!$D$2:$D$3000))</f>
        <v/>
      </c>
      <c r="Y279">
        <f>IF($A2="","",SUMIF('07_Pallet_Contents'!$A$2:$A$3000,$A2,'07_Pallet_Contents'!$I$2:$I$3000))</f>
        <v/>
      </c>
      <c r="Z279">
        <f>IF($A2="","",IF(COUNTIF('07_Pallet_Contents'!$A$2:$A$3000,$A2)&gt;0,"Yes",""))</f>
        <v/>
      </c>
    </row>
    <row r="280">
      <c r="A280" s="4" t="inlineStr">
        <is>
          <t>PAL-0000280</t>
        </is>
      </c>
      <c r="B280" s="22" t="n"/>
      <c r="D280">
        <f>IF($C280="","",IFERROR(LOOKUP(2,1/('03_Warehouse_Movements'!$C$2:$C$500=$A280),'03_Warehouse_Movements'!$E$2:$E$500),$C280))</f>
        <v/>
      </c>
      <c r="E280" t="inlineStr">
        <is>
          <t>STANDARD</t>
        </is>
      </c>
      <c r="G280" s="25" t="n"/>
      <c r="H280" s="24">
        <f>IF(AND($F280="TEMP",$G280&gt;0,$M280&lt;&gt;""),$M280+$G280,"")</f>
        <v/>
      </c>
      <c r="I280" s="22" t="n"/>
      <c r="J280" s="22" t="n"/>
      <c r="K280" s="24" t="n"/>
      <c r="M280" s="46">
        <f>IF($C280="","",IFERROR(LOOKUP(2,1/('03_Warehouse_Movements'!$C$2:$C$500=$A280),'03_Warehouse_Movements'!$A$2:$A$500),""))</f>
        <v/>
      </c>
      <c r="N280">
        <f>IF($C280="","",IFERROR(LOOKUP(2,1/('03_Warehouse_Movements'!$C$2:$C$500=$A280),'03_Warehouse_Movements'!$H$2:$H$500),""))</f>
        <v/>
      </c>
      <c r="O280">
        <f>A280</f>
        <v/>
      </c>
      <c r="Q280" s="25" t="n"/>
      <c r="R280" s="24" t="n"/>
      <c r="W280">
        <f>IF($A2="","",COUNTIF('07_Pallet_Contents'!$A$2:$A$3000,$A2))</f>
        <v/>
      </c>
      <c r="X280">
        <f>IF($A2="","",SUMIF('07_Pallet_Contents'!$A$2:$A$3000,$A2,'07_Pallet_Contents'!$D$2:$D$3000))</f>
        <v/>
      </c>
      <c r="Y280">
        <f>IF($A2="","",SUMIF('07_Pallet_Contents'!$A$2:$A$3000,$A2,'07_Pallet_Contents'!$I$2:$I$3000))</f>
        <v/>
      </c>
      <c r="Z280">
        <f>IF($A2="","",IF(COUNTIF('07_Pallet_Contents'!$A$2:$A$3000,$A2)&gt;0,"Yes",""))</f>
        <v/>
      </c>
    </row>
    <row r="281">
      <c r="A281" s="4" t="inlineStr">
        <is>
          <t>PAL-0000281</t>
        </is>
      </c>
      <c r="B281" s="22" t="n"/>
      <c r="D281">
        <f>IF($C281="","",IFERROR(LOOKUP(2,1/('03_Warehouse_Movements'!$C$2:$C$500=$A281),'03_Warehouse_Movements'!$E$2:$E$500),$C281))</f>
        <v/>
      </c>
      <c r="E281" t="inlineStr">
        <is>
          <t>STANDARD</t>
        </is>
      </c>
      <c r="G281" s="25" t="n"/>
      <c r="H281" s="24">
        <f>IF(AND($F281="TEMP",$G281&gt;0,$M281&lt;&gt;""),$M281+$G281,"")</f>
        <v/>
      </c>
      <c r="I281" s="22" t="n"/>
      <c r="J281" s="22" t="n"/>
      <c r="K281" s="24" t="n"/>
      <c r="M281" s="46">
        <f>IF($C281="","",IFERROR(LOOKUP(2,1/('03_Warehouse_Movements'!$C$2:$C$500=$A281),'03_Warehouse_Movements'!$A$2:$A$500),""))</f>
        <v/>
      </c>
      <c r="N281">
        <f>IF($C281="","",IFERROR(LOOKUP(2,1/('03_Warehouse_Movements'!$C$2:$C$500=$A281),'03_Warehouse_Movements'!$H$2:$H$500),""))</f>
        <v/>
      </c>
      <c r="O281">
        <f>A281</f>
        <v/>
      </c>
      <c r="Q281" s="25" t="n"/>
      <c r="R281" s="24" t="n"/>
      <c r="W281">
        <f>IF($A2="","",COUNTIF('07_Pallet_Contents'!$A$2:$A$3000,$A2))</f>
        <v/>
      </c>
      <c r="X281">
        <f>IF($A2="","",SUMIF('07_Pallet_Contents'!$A$2:$A$3000,$A2,'07_Pallet_Contents'!$D$2:$D$3000))</f>
        <v/>
      </c>
      <c r="Y281">
        <f>IF($A2="","",SUMIF('07_Pallet_Contents'!$A$2:$A$3000,$A2,'07_Pallet_Contents'!$I$2:$I$3000))</f>
        <v/>
      </c>
      <c r="Z281">
        <f>IF($A2="","",IF(COUNTIF('07_Pallet_Contents'!$A$2:$A$3000,$A2)&gt;0,"Yes",""))</f>
        <v/>
      </c>
    </row>
    <row r="282">
      <c r="A282" s="4" t="inlineStr">
        <is>
          <t>PAL-0000282</t>
        </is>
      </c>
      <c r="B282" s="22" t="n"/>
      <c r="D282">
        <f>IF($C282="","",IFERROR(LOOKUP(2,1/('03_Warehouse_Movements'!$C$2:$C$500=$A282),'03_Warehouse_Movements'!$E$2:$E$500),$C282))</f>
        <v/>
      </c>
      <c r="E282" t="inlineStr">
        <is>
          <t>STANDARD</t>
        </is>
      </c>
      <c r="G282" s="25" t="n"/>
      <c r="H282" s="24">
        <f>IF(AND($F282="TEMP",$G282&gt;0,$M282&lt;&gt;""),$M282+$G282,"")</f>
        <v/>
      </c>
      <c r="I282" s="22" t="n"/>
      <c r="J282" s="22" t="n"/>
      <c r="K282" s="24" t="n"/>
      <c r="M282" s="46">
        <f>IF($C282="","",IFERROR(LOOKUP(2,1/('03_Warehouse_Movements'!$C$2:$C$500=$A282),'03_Warehouse_Movements'!$A$2:$A$500),""))</f>
        <v/>
      </c>
      <c r="N282">
        <f>IF($C282="","",IFERROR(LOOKUP(2,1/('03_Warehouse_Movements'!$C$2:$C$500=$A282),'03_Warehouse_Movements'!$H$2:$H$500),""))</f>
        <v/>
      </c>
      <c r="O282">
        <f>A282</f>
        <v/>
      </c>
      <c r="Q282" s="25" t="n"/>
      <c r="R282" s="24" t="n"/>
      <c r="W282">
        <f>IF($A2="","",COUNTIF('07_Pallet_Contents'!$A$2:$A$3000,$A2))</f>
        <v/>
      </c>
      <c r="X282">
        <f>IF($A2="","",SUMIF('07_Pallet_Contents'!$A$2:$A$3000,$A2,'07_Pallet_Contents'!$D$2:$D$3000))</f>
        <v/>
      </c>
      <c r="Y282">
        <f>IF($A2="","",SUMIF('07_Pallet_Contents'!$A$2:$A$3000,$A2,'07_Pallet_Contents'!$I$2:$I$3000))</f>
        <v/>
      </c>
      <c r="Z282">
        <f>IF($A2="","",IF(COUNTIF('07_Pallet_Contents'!$A$2:$A$3000,$A2)&gt;0,"Yes",""))</f>
        <v/>
      </c>
    </row>
    <row r="283">
      <c r="A283" s="4" t="inlineStr">
        <is>
          <t>PAL-0000283</t>
        </is>
      </c>
      <c r="B283" s="22" t="n"/>
      <c r="D283">
        <f>IF($C283="","",IFERROR(LOOKUP(2,1/('03_Warehouse_Movements'!$C$2:$C$500=$A283),'03_Warehouse_Movements'!$E$2:$E$500),$C283))</f>
        <v/>
      </c>
      <c r="E283" t="inlineStr">
        <is>
          <t>STANDARD</t>
        </is>
      </c>
      <c r="G283" s="25" t="n"/>
      <c r="H283" s="24">
        <f>IF(AND($F283="TEMP",$G283&gt;0,$M283&lt;&gt;""),$M283+$G283,"")</f>
        <v/>
      </c>
      <c r="I283" s="22" t="n"/>
      <c r="J283" s="22" t="n"/>
      <c r="K283" s="24" t="n"/>
      <c r="M283" s="46">
        <f>IF($C283="","",IFERROR(LOOKUP(2,1/('03_Warehouse_Movements'!$C$2:$C$500=$A283),'03_Warehouse_Movements'!$A$2:$A$500),""))</f>
        <v/>
      </c>
      <c r="N283">
        <f>IF($C283="","",IFERROR(LOOKUP(2,1/('03_Warehouse_Movements'!$C$2:$C$500=$A283),'03_Warehouse_Movements'!$H$2:$H$500),""))</f>
        <v/>
      </c>
      <c r="O283">
        <f>A283</f>
        <v/>
      </c>
      <c r="Q283" s="25" t="n"/>
      <c r="R283" s="24" t="n"/>
      <c r="W283">
        <f>IF($A2="","",COUNTIF('07_Pallet_Contents'!$A$2:$A$3000,$A2))</f>
        <v/>
      </c>
      <c r="X283">
        <f>IF($A2="","",SUMIF('07_Pallet_Contents'!$A$2:$A$3000,$A2,'07_Pallet_Contents'!$D$2:$D$3000))</f>
        <v/>
      </c>
      <c r="Y283">
        <f>IF($A2="","",SUMIF('07_Pallet_Contents'!$A$2:$A$3000,$A2,'07_Pallet_Contents'!$I$2:$I$3000))</f>
        <v/>
      </c>
      <c r="Z283">
        <f>IF($A2="","",IF(COUNTIF('07_Pallet_Contents'!$A$2:$A$3000,$A2)&gt;0,"Yes",""))</f>
        <v/>
      </c>
    </row>
    <row r="284">
      <c r="A284" s="4" t="inlineStr">
        <is>
          <t>PAL-0000284</t>
        </is>
      </c>
      <c r="B284" s="22" t="n"/>
      <c r="D284">
        <f>IF($C284="","",IFERROR(LOOKUP(2,1/('03_Warehouse_Movements'!$C$2:$C$500=$A284),'03_Warehouse_Movements'!$E$2:$E$500),$C284))</f>
        <v/>
      </c>
      <c r="E284" t="inlineStr">
        <is>
          <t>STANDARD</t>
        </is>
      </c>
      <c r="G284" s="25" t="n"/>
      <c r="H284" s="24">
        <f>IF(AND($F284="TEMP",$G284&gt;0,$M284&lt;&gt;""),$M284+$G284,"")</f>
        <v/>
      </c>
      <c r="I284" s="22" t="n"/>
      <c r="J284" s="22" t="n"/>
      <c r="K284" s="24" t="n"/>
      <c r="M284" s="46">
        <f>IF($C284="","",IFERROR(LOOKUP(2,1/('03_Warehouse_Movements'!$C$2:$C$500=$A284),'03_Warehouse_Movements'!$A$2:$A$500),""))</f>
        <v/>
      </c>
      <c r="N284">
        <f>IF($C284="","",IFERROR(LOOKUP(2,1/('03_Warehouse_Movements'!$C$2:$C$500=$A284),'03_Warehouse_Movements'!$H$2:$H$500),""))</f>
        <v/>
      </c>
      <c r="O284">
        <f>A284</f>
        <v/>
      </c>
      <c r="Q284" s="25" t="n"/>
      <c r="R284" s="24" t="n"/>
      <c r="W284">
        <f>IF($A2="","",COUNTIF('07_Pallet_Contents'!$A$2:$A$3000,$A2))</f>
        <v/>
      </c>
      <c r="X284">
        <f>IF($A2="","",SUMIF('07_Pallet_Contents'!$A$2:$A$3000,$A2,'07_Pallet_Contents'!$D$2:$D$3000))</f>
        <v/>
      </c>
      <c r="Y284">
        <f>IF($A2="","",SUMIF('07_Pallet_Contents'!$A$2:$A$3000,$A2,'07_Pallet_Contents'!$I$2:$I$3000))</f>
        <v/>
      </c>
      <c r="Z284">
        <f>IF($A2="","",IF(COUNTIF('07_Pallet_Contents'!$A$2:$A$3000,$A2)&gt;0,"Yes",""))</f>
        <v/>
      </c>
    </row>
    <row r="285">
      <c r="A285" s="4" t="inlineStr">
        <is>
          <t>PAL-0000285</t>
        </is>
      </c>
      <c r="B285" s="22" t="n"/>
      <c r="D285">
        <f>IF($C285="","",IFERROR(LOOKUP(2,1/('03_Warehouse_Movements'!$C$2:$C$500=$A285),'03_Warehouse_Movements'!$E$2:$E$500),$C285))</f>
        <v/>
      </c>
      <c r="E285" t="inlineStr">
        <is>
          <t>STANDARD</t>
        </is>
      </c>
      <c r="G285" s="25" t="n"/>
      <c r="H285" s="24">
        <f>IF(AND($F285="TEMP",$G285&gt;0,$M285&lt;&gt;""),$M285+$G285,"")</f>
        <v/>
      </c>
      <c r="I285" s="22" t="n"/>
      <c r="J285" s="22" t="n"/>
      <c r="K285" s="24" t="n"/>
      <c r="M285" s="46">
        <f>IF($C285="","",IFERROR(LOOKUP(2,1/('03_Warehouse_Movements'!$C$2:$C$500=$A285),'03_Warehouse_Movements'!$A$2:$A$500),""))</f>
        <v/>
      </c>
      <c r="N285">
        <f>IF($C285="","",IFERROR(LOOKUP(2,1/('03_Warehouse_Movements'!$C$2:$C$500=$A285),'03_Warehouse_Movements'!$H$2:$H$500),""))</f>
        <v/>
      </c>
      <c r="O285">
        <f>A285</f>
        <v/>
      </c>
      <c r="Q285" s="25" t="n"/>
      <c r="R285" s="24" t="n"/>
      <c r="W285">
        <f>IF($A2="","",COUNTIF('07_Pallet_Contents'!$A$2:$A$3000,$A2))</f>
        <v/>
      </c>
      <c r="X285">
        <f>IF($A2="","",SUMIF('07_Pallet_Contents'!$A$2:$A$3000,$A2,'07_Pallet_Contents'!$D$2:$D$3000))</f>
        <v/>
      </c>
      <c r="Y285">
        <f>IF($A2="","",SUMIF('07_Pallet_Contents'!$A$2:$A$3000,$A2,'07_Pallet_Contents'!$I$2:$I$3000))</f>
        <v/>
      </c>
      <c r="Z285">
        <f>IF($A2="","",IF(COUNTIF('07_Pallet_Contents'!$A$2:$A$3000,$A2)&gt;0,"Yes",""))</f>
        <v/>
      </c>
    </row>
    <row r="286">
      <c r="A286" s="4" t="inlineStr">
        <is>
          <t>PAL-0000286</t>
        </is>
      </c>
      <c r="B286" s="22" t="n"/>
      <c r="D286">
        <f>IF($C286="","",IFERROR(LOOKUP(2,1/('03_Warehouse_Movements'!$C$2:$C$500=$A286),'03_Warehouse_Movements'!$E$2:$E$500),$C286))</f>
        <v/>
      </c>
      <c r="E286" t="inlineStr">
        <is>
          <t>STANDARD</t>
        </is>
      </c>
      <c r="G286" s="25" t="n"/>
      <c r="H286" s="24">
        <f>IF(AND($F286="TEMP",$G286&gt;0,$M286&lt;&gt;""),$M286+$G286,"")</f>
        <v/>
      </c>
      <c r="I286" s="22" t="n"/>
      <c r="J286" s="22" t="n"/>
      <c r="K286" s="24" t="n"/>
      <c r="M286" s="46">
        <f>IF($C286="","",IFERROR(LOOKUP(2,1/('03_Warehouse_Movements'!$C$2:$C$500=$A286),'03_Warehouse_Movements'!$A$2:$A$500),""))</f>
        <v/>
      </c>
      <c r="N286">
        <f>IF($C286="","",IFERROR(LOOKUP(2,1/('03_Warehouse_Movements'!$C$2:$C$500=$A286),'03_Warehouse_Movements'!$H$2:$H$500),""))</f>
        <v/>
      </c>
      <c r="O286">
        <f>A286</f>
        <v/>
      </c>
      <c r="Q286" s="25" t="n"/>
      <c r="R286" s="24" t="n"/>
      <c r="W286">
        <f>IF($A2="","",COUNTIF('07_Pallet_Contents'!$A$2:$A$3000,$A2))</f>
        <v/>
      </c>
      <c r="X286">
        <f>IF($A2="","",SUMIF('07_Pallet_Contents'!$A$2:$A$3000,$A2,'07_Pallet_Contents'!$D$2:$D$3000))</f>
        <v/>
      </c>
      <c r="Y286">
        <f>IF($A2="","",SUMIF('07_Pallet_Contents'!$A$2:$A$3000,$A2,'07_Pallet_Contents'!$I$2:$I$3000))</f>
        <v/>
      </c>
      <c r="Z286">
        <f>IF($A2="","",IF(COUNTIF('07_Pallet_Contents'!$A$2:$A$3000,$A2)&gt;0,"Yes",""))</f>
        <v/>
      </c>
    </row>
    <row r="287">
      <c r="A287" s="4" t="inlineStr">
        <is>
          <t>PAL-0000287</t>
        </is>
      </c>
      <c r="B287" s="22" t="n"/>
      <c r="D287">
        <f>IF($C287="","",IFERROR(LOOKUP(2,1/('03_Warehouse_Movements'!$C$2:$C$500=$A287),'03_Warehouse_Movements'!$E$2:$E$500),$C287))</f>
        <v/>
      </c>
      <c r="E287" t="inlineStr">
        <is>
          <t>STANDARD</t>
        </is>
      </c>
      <c r="G287" s="25" t="n"/>
      <c r="H287" s="24">
        <f>IF(AND($F287="TEMP",$G287&gt;0,$M287&lt;&gt;""),$M287+$G287,"")</f>
        <v/>
      </c>
      <c r="I287" s="22" t="n"/>
      <c r="J287" s="22" t="n"/>
      <c r="K287" s="24" t="n"/>
      <c r="M287" s="46">
        <f>IF($C287="","",IFERROR(LOOKUP(2,1/('03_Warehouse_Movements'!$C$2:$C$500=$A287),'03_Warehouse_Movements'!$A$2:$A$500),""))</f>
        <v/>
      </c>
      <c r="N287">
        <f>IF($C287="","",IFERROR(LOOKUP(2,1/('03_Warehouse_Movements'!$C$2:$C$500=$A287),'03_Warehouse_Movements'!$H$2:$H$500),""))</f>
        <v/>
      </c>
      <c r="O287">
        <f>A287</f>
        <v/>
      </c>
      <c r="Q287" s="25" t="n"/>
      <c r="R287" s="24" t="n"/>
      <c r="W287">
        <f>IF($A2="","",COUNTIF('07_Pallet_Contents'!$A$2:$A$3000,$A2))</f>
        <v/>
      </c>
      <c r="X287">
        <f>IF($A2="","",SUMIF('07_Pallet_Contents'!$A$2:$A$3000,$A2,'07_Pallet_Contents'!$D$2:$D$3000))</f>
        <v/>
      </c>
      <c r="Y287">
        <f>IF($A2="","",SUMIF('07_Pallet_Contents'!$A$2:$A$3000,$A2,'07_Pallet_Contents'!$I$2:$I$3000))</f>
        <v/>
      </c>
      <c r="Z287">
        <f>IF($A2="","",IF(COUNTIF('07_Pallet_Contents'!$A$2:$A$3000,$A2)&gt;0,"Yes",""))</f>
        <v/>
      </c>
    </row>
    <row r="288">
      <c r="A288" s="4" t="inlineStr">
        <is>
          <t>PAL-0000288</t>
        </is>
      </c>
      <c r="B288" s="22" t="n"/>
      <c r="D288">
        <f>IF($C288="","",IFERROR(LOOKUP(2,1/('03_Warehouse_Movements'!$C$2:$C$500=$A288),'03_Warehouse_Movements'!$E$2:$E$500),$C288))</f>
        <v/>
      </c>
      <c r="E288" t="inlineStr">
        <is>
          <t>STANDARD</t>
        </is>
      </c>
      <c r="G288" s="25" t="n"/>
      <c r="H288" s="24">
        <f>IF(AND($F288="TEMP",$G288&gt;0,$M288&lt;&gt;""),$M288+$G288,"")</f>
        <v/>
      </c>
      <c r="I288" s="22" t="n"/>
      <c r="J288" s="22" t="n"/>
      <c r="K288" s="24" t="n"/>
      <c r="M288" s="46">
        <f>IF($C288="","",IFERROR(LOOKUP(2,1/('03_Warehouse_Movements'!$C$2:$C$500=$A288),'03_Warehouse_Movements'!$A$2:$A$500),""))</f>
        <v/>
      </c>
      <c r="N288">
        <f>IF($C288="","",IFERROR(LOOKUP(2,1/('03_Warehouse_Movements'!$C$2:$C$500=$A288),'03_Warehouse_Movements'!$H$2:$H$500),""))</f>
        <v/>
      </c>
      <c r="O288">
        <f>A288</f>
        <v/>
      </c>
      <c r="Q288" s="25" t="n"/>
      <c r="R288" s="24" t="n"/>
      <c r="W288">
        <f>IF($A2="","",COUNTIF('07_Pallet_Contents'!$A$2:$A$3000,$A2))</f>
        <v/>
      </c>
      <c r="X288">
        <f>IF($A2="","",SUMIF('07_Pallet_Contents'!$A$2:$A$3000,$A2,'07_Pallet_Contents'!$D$2:$D$3000))</f>
        <v/>
      </c>
      <c r="Y288">
        <f>IF($A2="","",SUMIF('07_Pallet_Contents'!$A$2:$A$3000,$A2,'07_Pallet_Contents'!$I$2:$I$3000))</f>
        <v/>
      </c>
      <c r="Z288">
        <f>IF($A2="","",IF(COUNTIF('07_Pallet_Contents'!$A$2:$A$3000,$A2)&gt;0,"Yes",""))</f>
        <v/>
      </c>
    </row>
    <row r="289">
      <c r="A289" s="4" t="inlineStr">
        <is>
          <t>PAL-0000289</t>
        </is>
      </c>
      <c r="B289" s="22" t="n"/>
      <c r="D289">
        <f>IF($C289="","",IFERROR(LOOKUP(2,1/('03_Warehouse_Movements'!$C$2:$C$500=$A289),'03_Warehouse_Movements'!$E$2:$E$500),$C289))</f>
        <v/>
      </c>
      <c r="E289" t="inlineStr">
        <is>
          <t>STANDARD</t>
        </is>
      </c>
      <c r="G289" s="25" t="n"/>
      <c r="H289" s="24">
        <f>IF(AND($F289="TEMP",$G289&gt;0,$M289&lt;&gt;""),$M289+$G289,"")</f>
        <v/>
      </c>
      <c r="I289" s="22" t="n"/>
      <c r="J289" s="22" t="n"/>
      <c r="K289" s="24" t="n"/>
      <c r="M289" s="46">
        <f>IF($C289="","",IFERROR(LOOKUP(2,1/('03_Warehouse_Movements'!$C$2:$C$500=$A289),'03_Warehouse_Movements'!$A$2:$A$500),""))</f>
        <v/>
      </c>
      <c r="N289">
        <f>IF($C289="","",IFERROR(LOOKUP(2,1/('03_Warehouse_Movements'!$C$2:$C$500=$A289),'03_Warehouse_Movements'!$H$2:$H$500),""))</f>
        <v/>
      </c>
      <c r="O289">
        <f>A289</f>
        <v/>
      </c>
      <c r="Q289" s="25" t="n"/>
      <c r="R289" s="24" t="n"/>
      <c r="W289">
        <f>IF($A2="","",COUNTIF('07_Pallet_Contents'!$A$2:$A$3000,$A2))</f>
        <v/>
      </c>
      <c r="X289">
        <f>IF($A2="","",SUMIF('07_Pallet_Contents'!$A$2:$A$3000,$A2,'07_Pallet_Contents'!$D$2:$D$3000))</f>
        <v/>
      </c>
      <c r="Y289">
        <f>IF($A2="","",SUMIF('07_Pallet_Contents'!$A$2:$A$3000,$A2,'07_Pallet_Contents'!$I$2:$I$3000))</f>
        <v/>
      </c>
      <c r="Z289">
        <f>IF($A2="","",IF(COUNTIF('07_Pallet_Contents'!$A$2:$A$3000,$A2)&gt;0,"Yes",""))</f>
        <v/>
      </c>
    </row>
    <row r="290">
      <c r="A290" s="4" t="inlineStr">
        <is>
          <t>PAL-0000290</t>
        </is>
      </c>
      <c r="B290" s="22" t="n"/>
      <c r="D290">
        <f>IF($C290="","",IFERROR(LOOKUP(2,1/('03_Warehouse_Movements'!$C$2:$C$500=$A290),'03_Warehouse_Movements'!$E$2:$E$500),$C290))</f>
        <v/>
      </c>
      <c r="E290" t="inlineStr">
        <is>
          <t>STANDARD</t>
        </is>
      </c>
      <c r="G290" s="25" t="n"/>
      <c r="H290" s="24">
        <f>IF(AND($F290="TEMP",$G290&gt;0,$M290&lt;&gt;""),$M290+$G290,"")</f>
        <v/>
      </c>
      <c r="I290" s="22" t="n"/>
      <c r="J290" s="22" t="n"/>
      <c r="K290" s="24" t="n"/>
      <c r="M290" s="46">
        <f>IF($C290="","",IFERROR(LOOKUP(2,1/('03_Warehouse_Movements'!$C$2:$C$500=$A290),'03_Warehouse_Movements'!$A$2:$A$500),""))</f>
        <v/>
      </c>
      <c r="N290">
        <f>IF($C290="","",IFERROR(LOOKUP(2,1/('03_Warehouse_Movements'!$C$2:$C$500=$A290),'03_Warehouse_Movements'!$H$2:$H$500),""))</f>
        <v/>
      </c>
      <c r="O290">
        <f>A290</f>
        <v/>
      </c>
      <c r="Q290" s="25" t="n"/>
      <c r="R290" s="24" t="n"/>
      <c r="W290">
        <f>IF($A2="","",COUNTIF('07_Pallet_Contents'!$A$2:$A$3000,$A2))</f>
        <v/>
      </c>
      <c r="X290">
        <f>IF($A2="","",SUMIF('07_Pallet_Contents'!$A$2:$A$3000,$A2,'07_Pallet_Contents'!$D$2:$D$3000))</f>
        <v/>
      </c>
      <c r="Y290">
        <f>IF($A2="","",SUMIF('07_Pallet_Contents'!$A$2:$A$3000,$A2,'07_Pallet_Contents'!$I$2:$I$3000))</f>
        <v/>
      </c>
      <c r="Z290">
        <f>IF($A2="","",IF(COUNTIF('07_Pallet_Contents'!$A$2:$A$3000,$A2)&gt;0,"Yes",""))</f>
        <v/>
      </c>
    </row>
    <row r="291">
      <c r="A291" s="4" t="inlineStr">
        <is>
          <t>PAL-0000291</t>
        </is>
      </c>
      <c r="B291" s="22" t="n"/>
      <c r="D291">
        <f>IF($C291="","",IFERROR(LOOKUP(2,1/('03_Warehouse_Movements'!$C$2:$C$500=$A291),'03_Warehouse_Movements'!$E$2:$E$500),$C291))</f>
        <v/>
      </c>
      <c r="E291" t="inlineStr">
        <is>
          <t>STANDARD</t>
        </is>
      </c>
      <c r="G291" s="25" t="n"/>
      <c r="H291" s="24">
        <f>IF(AND($F291="TEMP",$G291&gt;0,$M291&lt;&gt;""),$M291+$G291,"")</f>
        <v/>
      </c>
      <c r="I291" s="22" t="n"/>
      <c r="J291" s="22" t="n"/>
      <c r="K291" s="24" t="n"/>
      <c r="M291" s="46">
        <f>IF($C291="","",IFERROR(LOOKUP(2,1/('03_Warehouse_Movements'!$C$2:$C$500=$A291),'03_Warehouse_Movements'!$A$2:$A$500),""))</f>
        <v/>
      </c>
      <c r="N291">
        <f>IF($C291="","",IFERROR(LOOKUP(2,1/('03_Warehouse_Movements'!$C$2:$C$500=$A291),'03_Warehouse_Movements'!$H$2:$H$500),""))</f>
        <v/>
      </c>
      <c r="O291">
        <f>A291</f>
        <v/>
      </c>
      <c r="Q291" s="25" t="n"/>
      <c r="R291" s="24" t="n"/>
      <c r="W291">
        <f>IF($A2="","",COUNTIF('07_Pallet_Contents'!$A$2:$A$3000,$A2))</f>
        <v/>
      </c>
      <c r="X291">
        <f>IF($A2="","",SUMIF('07_Pallet_Contents'!$A$2:$A$3000,$A2,'07_Pallet_Contents'!$D$2:$D$3000))</f>
        <v/>
      </c>
      <c r="Y291">
        <f>IF($A2="","",SUMIF('07_Pallet_Contents'!$A$2:$A$3000,$A2,'07_Pallet_Contents'!$I$2:$I$3000))</f>
        <v/>
      </c>
      <c r="Z291">
        <f>IF($A2="","",IF(COUNTIF('07_Pallet_Contents'!$A$2:$A$3000,$A2)&gt;0,"Yes",""))</f>
        <v/>
      </c>
    </row>
    <row r="292">
      <c r="A292" s="4" t="inlineStr">
        <is>
          <t>PAL-0000292</t>
        </is>
      </c>
      <c r="B292" s="22" t="n"/>
      <c r="D292">
        <f>IF($C292="","",IFERROR(LOOKUP(2,1/('03_Warehouse_Movements'!$C$2:$C$500=$A292),'03_Warehouse_Movements'!$E$2:$E$500),$C292))</f>
        <v/>
      </c>
      <c r="E292" t="inlineStr">
        <is>
          <t>STANDARD</t>
        </is>
      </c>
      <c r="G292" s="25" t="n"/>
      <c r="H292" s="24">
        <f>IF(AND($F292="TEMP",$G292&gt;0,$M292&lt;&gt;""),$M292+$G292,"")</f>
        <v/>
      </c>
      <c r="I292" s="22" t="n"/>
      <c r="J292" s="22" t="n"/>
      <c r="K292" s="24" t="n"/>
      <c r="M292" s="46">
        <f>IF($C292="","",IFERROR(LOOKUP(2,1/('03_Warehouse_Movements'!$C$2:$C$500=$A292),'03_Warehouse_Movements'!$A$2:$A$500),""))</f>
        <v/>
      </c>
      <c r="N292">
        <f>IF($C292="","",IFERROR(LOOKUP(2,1/('03_Warehouse_Movements'!$C$2:$C$500=$A292),'03_Warehouse_Movements'!$H$2:$H$500),""))</f>
        <v/>
      </c>
      <c r="O292">
        <f>A292</f>
        <v/>
      </c>
      <c r="Q292" s="25" t="n"/>
      <c r="R292" s="24" t="n"/>
      <c r="W292">
        <f>IF($A2="","",COUNTIF('07_Pallet_Contents'!$A$2:$A$3000,$A2))</f>
        <v/>
      </c>
      <c r="X292">
        <f>IF($A2="","",SUMIF('07_Pallet_Contents'!$A$2:$A$3000,$A2,'07_Pallet_Contents'!$D$2:$D$3000))</f>
        <v/>
      </c>
      <c r="Y292">
        <f>IF($A2="","",SUMIF('07_Pallet_Contents'!$A$2:$A$3000,$A2,'07_Pallet_Contents'!$I$2:$I$3000))</f>
        <v/>
      </c>
      <c r="Z292">
        <f>IF($A2="","",IF(COUNTIF('07_Pallet_Contents'!$A$2:$A$3000,$A2)&gt;0,"Yes",""))</f>
        <v/>
      </c>
    </row>
    <row r="293">
      <c r="A293" s="4" t="inlineStr">
        <is>
          <t>PAL-0000293</t>
        </is>
      </c>
      <c r="B293" s="22" t="n"/>
      <c r="D293">
        <f>IF($C293="","",IFERROR(LOOKUP(2,1/('03_Warehouse_Movements'!$C$2:$C$500=$A293),'03_Warehouse_Movements'!$E$2:$E$500),$C293))</f>
        <v/>
      </c>
      <c r="E293" t="inlineStr">
        <is>
          <t>STANDARD</t>
        </is>
      </c>
      <c r="G293" s="25" t="n"/>
      <c r="H293" s="24">
        <f>IF(AND($F293="TEMP",$G293&gt;0,$M293&lt;&gt;""),$M293+$G293,"")</f>
        <v/>
      </c>
      <c r="I293" s="22" t="n"/>
      <c r="J293" s="22" t="n"/>
      <c r="K293" s="24" t="n"/>
      <c r="M293" s="46">
        <f>IF($C293="","",IFERROR(LOOKUP(2,1/('03_Warehouse_Movements'!$C$2:$C$500=$A293),'03_Warehouse_Movements'!$A$2:$A$500),""))</f>
        <v/>
      </c>
      <c r="N293">
        <f>IF($C293="","",IFERROR(LOOKUP(2,1/('03_Warehouse_Movements'!$C$2:$C$500=$A293),'03_Warehouse_Movements'!$H$2:$H$500),""))</f>
        <v/>
      </c>
      <c r="O293">
        <f>A293</f>
        <v/>
      </c>
      <c r="Q293" s="25" t="n"/>
      <c r="R293" s="24" t="n"/>
      <c r="W293">
        <f>IF($A2="","",COUNTIF('07_Pallet_Contents'!$A$2:$A$3000,$A2))</f>
        <v/>
      </c>
      <c r="X293">
        <f>IF($A2="","",SUMIF('07_Pallet_Contents'!$A$2:$A$3000,$A2,'07_Pallet_Contents'!$D$2:$D$3000))</f>
        <v/>
      </c>
      <c r="Y293">
        <f>IF($A2="","",SUMIF('07_Pallet_Contents'!$A$2:$A$3000,$A2,'07_Pallet_Contents'!$I$2:$I$3000))</f>
        <v/>
      </c>
      <c r="Z293">
        <f>IF($A2="","",IF(COUNTIF('07_Pallet_Contents'!$A$2:$A$3000,$A2)&gt;0,"Yes",""))</f>
        <v/>
      </c>
    </row>
    <row r="294">
      <c r="A294" s="4" t="inlineStr">
        <is>
          <t>PAL-0000294</t>
        </is>
      </c>
      <c r="B294" s="22" t="n"/>
      <c r="D294">
        <f>IF($C294="","",IFERROR(LOOKUP(2,1/('03_Warehouse_Movements'!$C$2:$C$500=$A294),'03_Warehouse_Movements'!$E$2:$E$500),$C294))</f>
        <v/>
      </c>
      <c r="E294" t="inlineStr">
        <is>
          <t>STANDARD</t>
        </is>
      </c>
      <c r="G294" s="25" t="n"/>
      <c r="H294" s="24">
        <f>IF(AND($F294="TEMP",$G294&gt;0,$M294&lt;&gt;""),$M294+$G294,"")</f>
        <v/>
      </c>
      <c r="I294" s="22" t="n"/>
      <c r="J294" s="22" t="n"/>
      <c r="K294" s="24" t="n"/>
      <c r="M294" s="46">
        <f>IF($C294="","",IFERROR(LOOKUP(2,1/('03_Warehouse_Movements'!$C$2:$C$500=$A294),'03_Warehouse_Movements'!$A$2:$A$500),""))</f>
        <v/>
      </c>
      <c r="N294">
        <f>IF($C294="","",IFERROR(LOOKUP(2,1/('03_Warehouse_Movements'!$C$2:$C$500=$A294),'03_Warehouse_Movements'!$H$2:$H$500),""))</f>
        <v/>
      </c>
      <c r="O294">
        <f>A294</f>
        <v/>
      </c>
      <c r="Q294" s="25" t="n"/>
      <c r="R294" s="24" t="n"/>
      <c r="W294">
        <f>IF($A2="","",COUNTIF('07_Pallet_Contents'!$A$2:$A$3000,$A2))</f>
        <v/>
      </c>
      <c r="X294">
        <f>IF($A2="","",SUMIF('07_Pallet_Contents'!$A$2:$A$3000,$A2,'07_Pallet_Contents'!$D$2:$D$3000))</f>
        <v/>
      </c>
      <c r="Y294">
        <f>IF($A2="","",SUMIF('07_Pallet_Contents'!$A$2:$A$3000,$A2,'07_Pallet_Contents'!$I$2:$I$3000))</f>
        <v/>
      </c>
      <c r="Z294">
        <f>IF($A2="","",IF(COUNTIF('07_Pallet_Contents'!$A$2:$A$3000,$A2)&gt;0,"Yes",""))</f>
        <v/>
      </c>
    </row>
    <row r="295">
      <c r="A295" s="4" t="inlineStr">
        <is>
          <t>PAL-0000295</t>
        </is>
      </c>
      <c r="B295" s="22" t="n"/>
      <c r="D295">
        <f>IF($C295="","",IFERROR(LOOKUP(2,1/('03_Warehouse_Movements'!$C$2:$C$500=$A295),'03_Warehouse_Movements'!$E$2:$E$500),$C295))</f>
        <v/>
      </c>
      <c r="E295" t="inlineStr">
        <is>
          <t>STANDARD</t>
        </is>
      </c>
      <c r="G295" s="25" t="n"/>
      <c r="H295" s="24">
        <f>IF(AND($F295="TEMP",$G295&gt;0,$M295&lt;&gt;""),$M295+$G295,"")</f>
        <v/>
      </c>
      <c r="I295" s="22" t="n"/>
      <c r="J295" s="22" t="n"/>
      <c r="K295" s="24" t="n"/>
      <c r="M295" s="46">
        <f>IF($C295="","",IFERROR(LOOKUP(2,1/('03_Warehouse_Movements'!$C$2:$C$500=$A295),'03_Warehouse_Movements'!$A$2:$A$500),""))</f>
        <v/>
      </c>
      <c r="N295">
        <f>IF($C295="","",IFERROR(LOOKUP(2,1/('03_Warehouse_Movements'!$C$2:$C$500=$A295),'03_Warehouse_Movements'!$H$2:$H$500),""))</f>
        <v/>
      </c>
      <c r="O295">
        <f>A295</f>
        <v/>
      </c>
      <c r="Q295" s="25" t="n"/>
      <c r="R295" s="24" t="n"/>
      <c r="W295">
        <f>IF($A2="","",COUNTIF('07_Pallet_Contents'!$A$2:$A$3000,$A2))</f>
        <v/>
      </c>
      <c r="X295">
        <f>IF($A2="","",SUMIF('07_Pallet_Contents'!$A$2:$A$3000,$A2,'07_Pallet_Contents'!$D$2:$D$3000))</f>
        <v/>
      </c>
      <c r="Y295">
        <f>IF($A2="","",SUMIF('07_Pallet_Contents'!$A$2:$A$3000,$A2,'07_Pallet_Contents'!$I$2:$I$3000))</f>
        <v/>
      </c>
      <c r="Z295">
        <f>IF($A2="","",IF(COUNTIF('07_Pallet_Contents'!$A$2:$A$3000,$A2)&gt;0,"Yes",""))</f>
        <v/>
      </c>
    </row>
    <row r="296">
      <c r="A296" s="4" t="inlineStr">
        <is>
          <t>PAL-0000296</t>
        </is>
      </c>
      <c r="B296" s="22" t="n"/>
      <c r="D296">
        <f>IF($C296="","",IFERROR(LOOKUP(2,1/('03_Warehouse_Movements'!$C$2:$C$500=$A296),'03_Warehouse_Movements'!$E$2:$E$500),$C296))</f>
        <v/>
      </c>
      <c r="E296" t="inlineStr">
        <is>
          <t>STANDARD</t>
        </is>
      </c>
      <c r="G296" s="25" t="n"/>
      <c r="H296" s="24">
        <f>IF(AND($F296="TEMP",$G296&gt;0,$M296&lt;&gt;""),$M296+$G296,"")</f>
        <v/>
      </c>
      <c r="I296" s="22" t="n"/>
      <c r="J296" s="22" t="n"/>
      <c r="K296" s="24" t="n"/>
      <c r="M296" s="46">
        <f>IF($C296="","",IFERROR(LOOKUP(2,1/('03_Warehouse_Movements'!$C$2:$C$500=$A296),'03_Warehouse_Movements'!$A$2:$A$500),""))</f>
        <v/>
      </c>
      <c r="N296">
        <f>IF($C296="","",IFERROR(LOOKUP(2,1/('03_Warehouse_Movements'!$C$2:$C$500=$A296),'03_Warehouse_Movements'!$H$2:$H$500),""))</f>
        <v/>
      </c>
      <c r="O296">
        <f>A296</f>
        <v/>
      </c>
      <c r="Q296" s="25" t="n"/>
      <c r="R296" s="24" t="n"/>
      <c r="W296">
        <f>IF($A2="","",COUNTIF('07_Pallet_Contents'!$A$2:$A$3000,$A2))</f>
        <v/>
      </c>
      <c r="X296">
        <f>IF($A2="","",SUMIF('07_Pallet_Contents'!$A$2:$A$3000,$A2,'07_Pallet_Contents'!$D$2:$D$3000))</f>
        <v/>
      </c>
      <c r="Y296">
        <f>IF($A2="","",SUMIF('07_Pallet_Contents'!$A$2:$A$3000,$A2,'07_Pallet_Contents'!$I$2:$I$3000))</f>
        <v/>
      </c>
      <c r="Z296">
        <f>IF($A2="","",IF(COUNTIF('07_Pallet_Contents'!$A$2:$A$3000,$A2)&gt;0,"Yes",""))</f>
        <v/>
      </c>
    </row>
    <row r="297">
      <c r="A297" s="4" t="inlineStr">
        <is>
          <t>PAL-0000297</t>
        </is>
      </c>
      <c r="B297" s="22" t="n"/>
      <c r="D297">
        <f>IF($C297="","",IFERROR(LOOKUP(2,1/('03_Warehouse_Movements'!$C$2:$C$500=$A297),'03_Warehouse_Movements'!$E$2:$E$500),$C297))</f>
        <v/>
      </c>
      <c r="E297" t="inlineStr">
        <is>
          <t>STANDARD</t>
        </is>
      </c>
      <c r="G297" s="25" t="n"/>
      <c r="H297" s="24">
        <f>IF(AND($F297="TEMP",$G297&gt;0,$M297&lt;&gt;""),$M297+$G297,"")</f>
        <v/>
      </c>
      <c r="I297" s="22" t="n"/>
      <c r="J297" s="22" t="n"/>
      <c r="K297" s="24" t="n"/>
      <c r="M297" s="46">
        <f>IF($C297="","",IFERROR(LOOKUP(2,1/('03_Warehouse_Movements'!$C$2:$C$500=$A297),'03_Warehouse_Movements'!$A$2:$A$500),""))</f>
        <v/>
      </c>
      <c r="N297">
        <f>IF($C297="","",IFERROR(LOOKUP(2,1/('03_Warehouse_Movements'!$C$2:$C$500=$A297),'03_Warehouse_Movements'!$H$2:$H$500),""))</f>
        <v/>
      </c>
      <c r="O297">
        <f>A297</f>
        <v/>
      </c>
      <c r="Q297" s="25" t="n"/>
      <c r="R297" s="24" t="n"/>
      <c r="W297">
        <f>IF($A2="","",COUNTIF('07_Pallet_Contents'!$A$2:$A$3000,$A2))</f>
        <v/>
      </c>
      <c r="X297">
        <f>IF($A2="","",SUMIF('07_Pallet_Contents'!$A$2:$A$3000,$A2,'07_Pallet_Contents'!$D$2:$D$3000))</f>
        <v/>
      </c>
      <c r="Y297">
        <f>IF($A2="","",SUMIF('07_Pallet_Contents'!$A$2:$A$3000,$A2,'07_Pallet_Contents'!$I$2:$I$3000))</f>
        <v/>
      </c>
      <c r="Z297">
        <f>IF($A2="","",IF(COUNTIF('07_Pallet_Contents'!$A$2:$A$3000,$A2)&gt;0,"Yes",""))</f>
        <v/>
      </c>
    </row>
    <row r="298">
      <c r="A298" s="4" t="inlineStr">
        <is>
          <t>PAL-0000298</t>
        </is>
      </c>
      <c r="B298" s="22" t="n"/>
      <c r="D298">
        <f>IF($C298="","",IFERROR(LOOKUP(2,1/('03_Warehouse_Movements'!$C$2:$C$500=$A298),'03_Warehouse_Movements'!$E$2:$E$500),$C298))</f>
        <v/>
      </c>
      <c r="E298" t="inlineStr">
        <is>
          <t>STANDARD</t>
        </is>
      </c>
      <c r="G298" s="25" t="n"/>
      <c r="H298" s="24">
        <f>IF(AND($F298="TEMP",$G298&gt;0,$M298&lt;&gt;""),$M298+$G298,"")</f>
        <v/>
      </c>
      <c r="I298" s="22" t="n"/>
      <c r="J298" s="22" t="n"/>
      <c r="K298" s="24" t="n"/>
      <c r="M298" s="46">
        <f>IF($C298="","",IFERROR(LOOKUP(2,1/('03_Warehouse_Movements'!$C$2:$C$500=$A298),'03_Warehouse_Movements'!$A$2:$A$500),""))</f>
        <v/>
      </c>
      <c r="N298">
        <f>IF($C298="","",IFERROR(LOOKUP(2,1/('03_Warehouse_Movements'!$C$2:$C$500=$A298),'03_Warehouse_Movements'!$H$2:$H$500),""))</f>
        <v/>
      </c>
      <c r="O298">
        <f>A298</f>
        <v/>
      </c>
      <c r="Q298" s="25" t="n"/>
      <c r="R298" s="24" t="n"/>
      <c r="W298">
        <f>IF($A2="","",COUNTIF('07_Pallet_Contents'!$A$2:$A$3000,$A2))</f>
        <v/>
      </c>
      <c r="X298">
        <f>IF($A2="","",SUMIF('07_Pallet_Contents'!$A$2:$A$3000,$A2,'07_Pallet_Contents'!$D$2:$D$3000))</f>
        <v/>
      </c>
      <c r="Y298">
        <f>IF($A2="","",SUMIF('07_Pallet_Contents'!$A$2:$A$3000,$A2,'07_Pallet_Contents'!$I$2:$I$3000))</f>
        <v/>
      </c>
      <c r="Z298">
        <f>IF($A2="","",IF(COUNTIF('07_Pallet_Contents'!$A$2:$A$3000,$A2)&gt;0,"Yes",""))</f>
        <v/>
      </c>
    </row>
    <row r="299">
      <c r="A299" s="4" t="inlineStr">
        <is>
          <t>PAL-0000299</t>
        </is>
      </c>
      <c r="B299" s="22" t="n"/>
      <c r="D299">
        <f>IF($C299="","",IFERROR(LOOKUP(2,1/('03_Warehouse_Movements'!$C$2:$C$500=$A299),'03_Warehouse_Movements'!$E$2:$E$500),$C299))</f>
        <v/>
      </c>
      <c r="E299" t="inlineStr">
        <is>
          <t>STANDARD</t>
        </is>
      </c>
      <c r="G299" s="25" t="n"/>
      <c r="H299" s="24">
        <f>IF(AND($F299="TEMP",$G299&gt;0,$M299&lt;&gt;""),$M299+$G299,"")</f>
        <v/>
      </c>
      <c r="I299" s="22" t="n"/>
      <c r="J299" s="22" t="n"/>
      <c r="K299" s="24" t="n"/>
      <c r="M299" s="46">
        <f>IF($C299="","",IFERROR(LOOKUP(2,1/('03_Warehouse_Movements'!$C$2:$C$500=$A299),'03_Warehouse_Movements'!$A$2:$A$500),""))</f>
        <v/>
      </c>
      <c r="N299">
        <f>IF($C299="","",IFERROR(LOOKUP(2,1/('03_Warehouse_Movements'!$C$2:$C$500=$A299),'03_Warehouse_Movements'!$H$2:$H$500),""))</f>
        <v/>
      </c>
      <c r="O299">
        <f>A299</f>
        <v/>
      </c>
      <c r="Q299" s="25" t="n"/>
      <c r="R299" s="24" t="n"/>
      <c r="W299">
        <f>IF($A2="","",COUNTIF('07_Pallet_Contents'!$A$2:$A$3000,$A2))</f>
        <v/>
      </c>
      <c r="X299">
        <f>IF($A2="","",SUMIF('07_Pallet_Contents'!$A$2:$A$3000,$A2,'07_Pallet_Contents'!$D$2:$D$3000))</f>
        <v/>
      </c>
      <c r="Y299">
        <f>IF($A2="","",SUMIF('07_Pallet_Contents'!$A$2:$A$3000,$A2,'07_Pallet_Contents'!$I$2:$I$3000))</f>
        <v/>
      </c>
      <c r="Z299">
        <f>IF($A2="","",IF(COUNTIF('07_Pallet_Contents'!$A$2:$A$3000,$A2)&gt;0,"Yes",""))</f>
        <v/>
      </c>
    </row>
    <row r="300">
      <c r="A300" s="4" t="inlineStr">
        <is>
          <t>PAL-0000300</t>
        </is>
      </c>
      <c r="B300" s="22" t="n"/>
      <c r="D300">
        <f>IF($C300="","",IFERROR(LOOKUP(2,1/('03_Warehouse_Movements'!$C$2:$C$500=$A300),'03_Warehouse_Movements'!$E$2:$E$500),$C300))</f>
        <v/>
      </c>
      <c r="E300" t="inlineStr">
        <is>
          <t>STANDARD</t>
        </is>
      </c>
      <c r="G300" s="25" t="n"/>
      <c r="H300" s="24">
        <f>IF(AND($F300="TEMP",$G300&gt;0,$M300&lt;&gt;""),$M300+$G300,"")</f>
        <v/>
      </c>
      <c r="I300" s="22" t="n"/>
      <c r="J300" s="22" t="n"/>
      <c r="K300" s="24" t="n"/>
      <c r="M300" s="46">
        <f>IF($C300="","",IFERROR(LOOKUP(2,1/('03_Warehouse_Movements'!$C$2:$C$500=$A300),'03_Warehouse_Movements'!$A$2:$A$500),""))</f>
        <v/>
      </c>
      <c r="N300">
        <f>IF($C300="","",IFERROR(LOOKUP(2,1/('03_Warehouse_Movements'!$C$2:$C$500=$A300),'03_Warehouse_Movements'!$H$2:$H$500),""))</f>
        <v/>
      </c>
      <c r="O300">
        <f>A300</f>
        <v/>
      </c>
      <c r="Q300" s="25" t="n"/>
      <c r="R300" s="24" t="n"/>
      <c r="W300">
        <f>IF($A2="","",COUNTIF('07_Pallet_Contents'!$A$2:$A$3000,$A2))</f>
        <v/>
      </c>
      <c r="X300">
        <f>IF($A2="","",SUMIF('07_Pallet_Contents'!$A$2:$A$3000,$A2,'07_Pallet_Contents'!$D$2:$D$3000))</f>
        <v/>
      </c>
      <c r="Y300">
        <f>IF($A2="","",SUMIF('07_Pallet_Contents'!$A$2:$A$3000,$A2,'07_Pallet_Contents'!$I$2:$I$3000))</f>
        <v/>
      </c>
      <c r="Z300">
        <f>IF($A2="","",IF(COUNTIF('07_Pallet_Contents'!$A$2:$A$3000,$A2)&gt;0,"Yes",""))</f>
        <v/>
      </c>
    </row>
    <row r="301">
      <c r="A301" s="4" t="inlineStr">
        <is>
          <t>PAL-0000301</t>
        </is>
      </c>
      <c r="B301" s="22" t="n"/>
      <c r="D301">
        <f>IF($C301="","",IFERROR(LOOKUP(2,1/('03_Warehouse_Movements'!$C$2:$C$500=$A301),'03_Warehouse_Movements'!$E$2:$E$500),$C301))</f>
        <v/>
      </c>
      <c r="E301" t="inlineStr">
        <is>
          <t>STANDARD</t>
        </is>
      </c>
      <c r="G301" s="25" t="n"/>
      <c r="H301" s="24">
        <f>IF(AND($F301="TEMP",$G301&gt;0,$M301&lt;&gt;""),$M301+$G301,"")</f>
        <v/>
      </c>
      <c r="I301" s="22" t="n"/>
      <c r="J301" s="22" t="n"/>
      <c r="K301" s="24" t="n"/>
      <c r="M301" s="46">
        <f>IF($C301="","",IFERROR(LOOKUP(2,1/('03_Warehouse_Movements'!$C$2:$C$500=$A301),'03_Warehouse_Movements'!$A$2:$A$500),""))</f>
        <v/>
      </c>
      <c r="N301">
        <f>IF($C301="","",IFERROR(LOOKUP(2,1/('03_Warehouse_Movements'!$C$2:$C$500=$A301),'03_Warehouse_Movements'!$H$2:$H$500),""))</f>
        <v/>
      </c>
      <c r="O301">
        <f>A301</f>
        <v/>
      </c>
      <c r="Q301" s="25" t="n"/>
      <c r="R301" s="24" t="n"/>
      <c r="W301">
        <f>IF($A2="","",COUNTIF('07_Pallet_Contents'!$A$2:$A$3000,$A2))</f>
        <v/>
      </c>
      <c r="X301">
        <f>IF($A2="","",SUMIF('07_Pallet_Contents'!$A$2:$A$3000,$A2,'07_Pallet_Contents'!$D$2:$D$3000))</f>
        <v/>
      </c>
      <c r="Y301">
        <f>IF($A2="","",SUMIF('07_Pallet_Contents'!$A$2:$A$3000,$A2,'07_Pallet_Contents'!$I$2:$I$3000))</f>
        <v/>
      </c>
      <c r="Z301">
        <f>IF($A2="","",IF(COUNTIF('07_Pallet_Contents'!$A$2:$A$3000,$A2)&gt;0,"Yes",""))</f>
        <v/>
      </c>
    </row>
    <row r="302">
      <c r="A302" s="4" t="inlineStr">
        <is>
          <t>PAL-0000302</t>
        </is>
      </c>
      <c r="B302" s="22" t="n"/>
      <c r="D302">
        <f>IF($C302="","",IFERROR(LOOKUP(2,1/('03_Warehouse_Movements'!$C$2:$C$500=$A302),'03_Warehouse_Movements'!$E$2:$E$500),$C302))</f>
        <v/>
      </c>
      <c r="E302" t="inlineStr">
        <is>
          <t>STANDARD</t>
        </is>
      </c>
      <c r="G302" s="25" t="n"/>
      <c r="H302" s="24">
        <f>IF(AND($F302="TEMP",$G302&gt;0,$M302&lt;&gt;""),$M302+$G302,"")</f>
        <v/>
      </c>
      <c r="I302" s="22" t="n"/>
      <c r="J302" s="22" t="n"/>
      <c r="K302" s="24" t="n"/>
      <c r="M302" s="46">
        <f>IF($C302="","",IFERROR(LOOKUP(2,1/('03_Warehouse_Movements'!$C$2:$C$500=$A302),'03_Warehouse_Movements'!$A$2:$A$500),""))</f>
        <v/>
      </c>
      <c r="N302">
        <f>IF($C302="","",IFERROR(LOOKUP(2,1/('03_Warehouse_Movements'!$C$2:$C$500=$A302),'03_Warehouse_Movements'!$H$2:$H$500),""))</f>
        <v/>
      </c>
      <c r="O302">
        <f>A302</f>
        <v/>
      </c>
      <c r="Q302" s="25" t="n"/>
      <c r="R302" s="24" t="n"/>
      <c r="W302">
        <f>IF($A2="","",COUNTIF('07_Pallet_Contents'!$A$2:$A$3000,$A2))</f>
        <v/>
      </c>
      <c r="X302">
        <f>IF($A2="","",SUMIF('07_Pallet_Contents'!$A$2:$A$3000,$A2,'07_Pallet_Contents'!$D$2:$D$3000))</f>
        <v/>
      </c>
      <c r="Y302">
        <f>IF($A2="","",SUMIF('07_Pallet_Contents'!$A$2:$A$3000,$A2,'07_Pallet_Contents'!$I$2:$I$3000))</f>
        <v/>
      </c>
      <c r="Z302">
        <f>IF($A2="","",IF(COUNTIF('07_Pallet_Contents'!$A$2:$A$3000,$A2)&gt;0,"Yes",""))</f>
        <v/>
      </c>
    </row>
    <row r="303">
      <c r="A303" s="4" t="inlineStr">
        <is>
          <t>PAL-0000303</t>
        </is>
      </c>
      <c r="B303" s="22" t="n"/>
      <c r="D303">
        <f>IF($C303="","",IFERROR(LOOKUP(2,1/('03_Warehouse_Movements'!$C$2:$C$500=$A303),'03_Warehouse_Movements'!$E$2:$E$500),$C303))</f>
        <v/>
      </c>
      <c r="E303" t="inlineStr">
        <is>
          <t>STANDARD</t>
        </is>
      </c>
      <c r="G303" s="25" t="n"/>
      <c r="H303" s="24">
        <f>IF(AND($F303="TEMP",$G303&gt;0,$M303&lt;&gt;""),$M303+$G303,"")</f>
        <v/>
      </c>
      <c r="I303" s="22" t="n"/>
      <c r="J303" s="22" t="n"/>
      <c r="K303" s="24" t="n"/>
      <c r="M303" s="46">
        <f>IF($C303="","",IFERROR(LOOKUP(2,1/('03_Warehouse_Movements'!$C$2:$C$500=$A303),'03_Warehouse_Movements'!$A$2:$A$500),""))</f>
        <v/>
      </c>
      <c r="N303">
        <f>IF($C303="","",IFERROR(LOOKUP(2,1/('03_Warehouse_Movements'!$C$2:$C$500=$A303),'03_Warehouse_Movements'!$H$2:$H$500),""))</f>
        <v/>
      </c>
      <c r="O303">
        <f>A303</f>
        <v/>
      </c>
      <c r="Q303" s="25" t="n"/>
      <c r="R303" s="24" t="n"/>
      <c r="W303">
        <f>IF($A2="","",COUNTIF('07_Pallet_Contents'!$A$2:$A$3000,$A2))</f>
        <v/>
      </c>
      <c r="X303">
        <f>IF($A2="","",SUMIF('07_Pallet_Contents'!$A$2:$A$3000,$A2,'07_Pallet_Contents'!$D$2:$D$3000))</f>
        <v/>
      </c>
      <c r="Y303">
        <f>IF($A2="","",SUMIF('07_Pallet_Contents'!$A$2:$A$3000,$A2,'07_Pallet_Contents'!$I$2:$I$3000))</f>
        <v/>
      </c>
      <c r="Z303">
        <f>IF($A2="","",IF(COUNTIF('07_Pallet_Contents'!$A$2:$A$3000,$A2)&gt;0,"Yes",""))</f>
        <v/>
      </c>
    </row>
    <row r="304">
      <c r="A304" s="4" t="inlineStr">
        <is>
          <t>PAL-0000304</t>
        </is>
      </c>
      <c r="B304" s="22" t="n"/>
      <c r="D304">
        <f>IF($C304="","",IFERROR(LOOKUP(2,1/('03_Warehouse_Movements'!$C$2:$C$500=$A304),'03_Warehouse_Movements'!$E$2:$E$500),$C304))</f>
        <v/>
      </c>
      <c r="E304" t="inlineStr">
        <is>
          <t>STANDARD</t>
        </is>
      </c>
      <c r="G304" s="25" t="n"/>
      <c r="H304" s="24">
        <f>IF(AND($F304="TEMP",$G304&gt;0,$M304&lt;&gt;""),$M304+$G304,"")</f>
        <v/>
      </c>
      <c r="I304" s="22" t="n"/>
      <c r="J304" s="22" t="n"/>
      <c r="K304" s="24" t="n"/>
      <c r="M304" s="46">
        <f>IF($C304="","",IFERROR(LOOKUP(2,1/('03_Warehouse_Movements'!$C$2:$C$500=$A304),'03_Warehouse_Movements'!$A$2:$A$500),""))</f>
        <v/>
      </c>
      <c r="N304">
        <f>IF($C304="","",IFERROR(LOOKUP(2,1/('03_Warehouse_Movements'!$C$2:$C$500=$A304),'03_Warehouse_Movements'!$H$2:$H$500),""))</f>
        <v/>
      </c>
      <c r="O304">
        <f>A304</f>
        <v/>
      </c>
      <c r="Q304" s="25" t="n"/>
      <c r="R304" s="24" t="n"/>
      <c r="W304">
        <f>IF($A2="","",COUNTIF('07_Pallet_Contents'!$A$2:$A$3000,$A2))</f>
        <v/>
      </c>
      <c r="X304">
        <f>IF($A2="","",SUMIF('07_Pallet_Contents'!$A$2:$A$3000,$A2,'07_Pallet_Contents'!$D$2:$D$3000))</f>
        <v/>
      </c>
      <c r="Y304">
        <f>IF($A2="","",SUMIF('07_Pallet_Contents'!$A$2:$A$3000,$A2,'07_Pallet_Contents'!$I$2:$I$3000))</f>
        <v/>
      </c>
      <c r="Z304">
        <f>IF($A2="","",IF(COUNTIF('07_Pallet_Contents'!$A$2:$A$3000,$A2)&gt;0,"Yes",""))</f>
        <v/>
      </c>
    </row>
    <row r="305">
      <c r="A305" s="4" t="inlineStr">
        <is>
          <t>PAL-0000305</t>
        </is>
      </c>
      <c r="B305" s="22" t="n"/>
      <c r="D305">
        <f>IF($C305="","",IFERROR(LOOKUP(2,1/('03_Warehouse_Movements'!$C$2:$C$500=$A305),'03_Warehouse_Movements'!$E$2:$E$500),$C305))</f>
        <v/>
      </c>
      <c r="E305" t="inlineStr">
        <is>
          <t>STANDARD</t>
        </is>
      </c>
      <c r="G305" s="25" t="n"/>
      <c r="H305" s="24">
        <f>IF(AND($F305="TEMP",$G305&gt;0,$M305&lt;&gt;""),$M305+$G305,"")</f>
        <v/>
      </c>
      <c r="I305" s="22" t="n"/>
      <c r="J305" s="22" t="n"/>
      <c r="K305" s="24" t="n"/>
      <c r="M305" s="46">
        <f>IF($C305="","",IFERROR(LOOKUP(2,1/('03_Warehouse_Movements'!$C$2:$C$500=$A305),'03_Warehouse_Movements'!$A$2:$A$500),""))</f>
        <v/>
      </c>
      <c r="N305">
        <f>IF($C305="","",IFERROR(LOOKUP(2,1/('03_Warehouse_Movements'!$C$2:$C$500=$A305),'03_Warehouse_Movements'!$H$2:$H$500),""))</f>
        <v/>
      </c>
      <c r="O305">
        <f>A305</f>
        <v/>
      </c>
      <c r="Q305" s="25" t="n"/>
      <c r="R305" s="24" t="n"/>
      <c r="W305">
        <f>IF($A2="","",COUNTIF('07_Pallet_Contents'!$A$2:$A$3000,$A2))</f>
        <v/>
      </c>
      <c r="X305">
        <f>IF($A2="","",SUMIF('07_Pallet_Contents'!$A$2:$A$3000,$A2,'07_Pallet_Contents'!$D$2:$D$3000))</f>
        <v/>
      </c>
      <c r="Y305">
        <f>IF($A2="","",SUMIF('07_Pallet_Contents'!$A$2:$A$3000,$A2,'07_Pallet_Contents'!$I$2:$I$3000))</f>
        <v/>
      </c>
      <c r="Z305">
        <f>IF($A2="","",IF(COUNTIF('07_Pallet_Contents'!$A$2:$A$3000,$A2)&gt;0,"Yes",""))</f>
        <v/>
      </c>
    </row>
    <row r="306">
      <c r="A306" s="4" t="inlineStr">
        <is>
          <t>PAL-0000306</t>
        </is>
      </c>
      <c r="B306" s="22" t="n"/>
      <c r="D306">
        <f>IF($C306="","",IFERROR(LOOKUP(2,1/('03_Warehouse_Movements'!$C$2:$C$500=$A306),'03_Warehouse_Movements'!$E$2:$E$500),$C306))</f>
        <v/>
      </c>
      <c r="E306" t="inlineStr">
        <is>
          <t>STANDARD</t>
        </is>
      </c>
      <c r="G306" s="25" t="n"/>
      <c r="H306" s="24">
        <f>IF(AND($F306="TEMP",$G306&gt;0,$M306&lt;&gt;""),$M306+$G306,"")</f>
        <v/>
      </c>
      <c r="I306" s="22" t="n"/>
      <c r="J306" s="22" t="n"/>
      <c r="K306" s="24" t="n"/>
      <c r="M306" s="46">
        <f>IF($C306="","",IFERROR(LOOKUP(2,1/('03_Warehouse_Movements'!$C$2:$C$500=$A306),'03_Warehouse_Movements'!$A$2:$A$500),""))</f>
        <v/>
      </c>
      <c r="N306">
        <f>IF($C306="","",IFERROR(LOOKUP(2,1/('03_Warehouse_Movements'!$C$2:$C$500=$A306),'03_Warehouse_Movements'!$H$2:$H$500),""))</f>
        <v/>
      </c>
      <c r="O306">
        <f>A306</f>
        <v/>
      </c>
      <c r="Q306" s="25" t="n"/>
      <c r="R306" s="24" t="n"/>
      <c r="W306">
        <f>IF($A2="","",COUNTIF('07_Pallet_Contents'!$A$2:$A$3000,$A2))</f>
        <v/>
      </c>
      <c r="X306">
        <f>IF($A2="","",SUMIF('07_Pallet_Contents'!$A$2:$A$3000,$A2,'07_Pallet_Contents'!$D$2:$D$3000))</f>
        <v/>
      </c>
      <c r="Y306">
        <f>IF($A2="","",SUMIF('07_Pallet_Contents'!$A$2:$A$3000,$A2,'07_Pallet_Contents'!$I$2:$I$3000))</f>
        <v/>
      </c>
      <c r="Z306">
        <f>IF($A2="","",IF(COUNTIF('07_Pallet_Contents'!$A$2:$A$3000,$A2)&gt;0,"Yes",""))</f>
        <v/>
      </c>
    </row>
    <row r="307">
      <c r="A307" s="4" t="inlineStr">
        <is>
          <t>PAL-0000307</t>
        </is>
      </c>
      <c r="B307" s="22" t="n"/>
      <c r="D307">
        <f>IF($C307="","",IFERROR(LOOKUP(2,1/('03_Warehouse_Movements'!$C$2:$C$500=$A307),'03_Warehouse_Movements'!$E$2:$E$500),$C307))</f>
        <v/>
      </c>
      <c r="E307" t="inlineStr">
        <is>
          <t>STANDARD</t>
        </is>
      </c>
      <c r="G307" s="25" t="n"/>
      <c r="H307" s="24">
        <f>IF(AND($F307="TEMP",$G307&gt;0,$M307&lt;&gt;""),$M307+$G307,"")</f>
        <v/>
      </c>
      <c r="I307" s="22" t="n"/>
      <c r="J307" s="22" t="n"/>
      <c r="K307" s="24" t="n"/>
      <c r="M307" s="46">
        <f>IF($C307="","",IFERROR(LOOKUP(2,1/('03_Warehouse_Movements'!$C$2:$C$500=$A307),'03_Warehouse_Movements'!$A$2:$A$500),""))</f>
        <v/>
      </c>
      <c r="N307">
        <f>IF($C307="","",IFERROR(LOOKUP(2,1/('03_Warehouse_Movements'!$C$2:$C$500=$A307),'03_Warehouse_Movements'!$H$2:$H$500),""))</f>
        <v/>
      </c>
      <c r="O307">
        <f>A307</f>
        <v/>
      </c>
      <c r="Q307" s="25" t="n"/>
      <c r="R307" s="24" t="n"/>
      <c r="W307">
        <f>IF($A2="","",COUNTIF('07_Pallet_Contents'!$A$2:$A$3000,$A2))</f>
        <v/>
      </c>
      <c r="X307">
        <f>IF($A2="","",SUMIF('07_Pallet_Contents'!$A$2:$A$3000,$A2,'07_Pallet_Contents'!$D$2:$D$3000))</f>
        <v/>
      </c>
      <c r="Y307">
        <f>IF($A2="","",SUMIF('07_Pallet_Contents'!$A$2:$A$3000,$A2,'07_Pallet_Contents'!$I$2:$I$3000))</f>
        <v/>
      </c>
      <c r="Z307">
        <f>IF($A2="","",IF(COUNTIF('07_Pallet_Contents'!$A$2:$A$3000,$A2)&gt;0,"Yes",""))</f>
        <v/>
      </c>
    </row>
    <row r="308">
      <c r="A308" s="4" t="inlineStr">
        <is>
          <t>PAL-0000308</t>
        </is>
      </c>
      <c r="B308" s="22" t="n"/>
      <c r="D308">
        <f>IF($C308="","",IFERROR(LOOKUP(2,1/('03_Warehouse_Movements'!$C$2:$C$500=$A308),'03_Warehouse_Movements'!$E$2:$E$500),$C308))</f>
        <v/>
      </c>
      <c r="E308" t="inlineStr">
        <is>
          <t>STANDARD</t>
        </is>
      </c>
      <c r="G308" s="25" t="n"/>
      <c r="H308" s="24">
        <f>IF(AND($F308="TEMP",$G308&gt;0,$M308&lt;&gt;""),$M308+$G308,"")</f>
        <v/>
      </c>
      <c r="I308" s="22" t="n"/>
      <c r="J308" s="22" t="n"/>
      <c r="K308" s="24" t="n"/>
      <c r="M308" s="46">
        <f>IF($C308="","",IFERROR(LOOKUP(2,1/('03_Warehouse_Movements'!$C$2:$C$500=$A308),'03_Warehouse_Movements'!$A$2:$A$500),""))</f>
        <v/>
      </c>
      <c r="N308">
        <f>IF($C308="","",IFERROR(LOOKUP(2,1/('03_Warehouse_Movements'!$C$2:$C$500=$A308),'03_Warehouse_Movements'!$H$2:$H$500),""))</f>
        <v/>
      </c>
      <c r="O308">
        <f>A308</f>
        <v/>
      </c>
      <c r="Q308" s="25" t="n"/>
      <c r="R308" s="24" t="n"/>
      <c r="W308">
        <f>IF($A2="","",COUNTIF('07_Pallet_Contents'!$A$2:$A$3000,$A2))</f>
        <v/>
      </c>
      <c r="X308">
        <f>IF($A2="","",SUMIF('07_Pallet_Contents'!$A$2:$A$3000,$A2,'07_Pallet_Contents'!$D$2:$D$3000))</f>
        <v/>
      </c>
      <c r="Y308">
        <f>IF($A2="","",SUMIF('07_Pallet_Contents'!$A$2:$A$3000,$A2,'07_Pallet_Contents'!$I$2:$I$3000))</f>
        <v/>
      </c>
      <c r="Z308">
        <f>IF($A2="","",IF(COUNTIF('07_Pallet_Contents'!$A$2:$A$3000,$A2)&gt;0,"Yes",""))</f>
        <v/>
      </c>
    </row>
    <row r="309">
      <c r="A309" s="4" t="inlineStr">
        <is>
          <t>PAL-0000309</t>
        </is>
      </c>
      <c r="B309" s="22" t="n"/>
      <c r="D309">
        <f>IF($C309="","",IFERROR(LOOKUP(2,1/('03_Warehouse_Movements'!$C$2:$C$500=$A309),'03_Warehouse_Movements'!$E$2:$E$500),$C309))</f>
        <v/>
      </c>
      <c r="E309" t="inlineStr">
        <is>
          <t>STANDARD</t>
        </is>
      </c>
      <c r="G309" s="25" t="n"/>
      <c r="H309" s="24">
        <f>IF(AND($F309="TEMP",$G309&gt;0,$M309&lt;&gt;""),$M309+$G309,"")</f>
        <v/>
      </c>
      <c r="I309" s="22" t="n"/>
      <c r="J309" s="22" t="n"/>
      <c r="K309" s="24" t="n"/>
      <c r="M309" s="46">
        <f>IF($C309="","",IFERROR(LOOKUP(2,1/('03_Warehouse_Movements'!$C$2:$C$500=$A309),'03_Warehouse_Movements'!$A$2:$A$500),""))</f>
        <v/>
      </c>
      <c r="N309">
        <f>IF($C309="","",IFERROR(LOOKUP(2,1/('03_Warehouse_Movements'!$C$2:$C$500=$A309),'03_Warehouse_Movements'!$H$2:$H$500),""))</f>
        <v/>
      </c>
      <c r="O309">
        <f>A309</f>
        <v/>
      </c>
      <c r="Q309" s="25" t="n"/>
      <c r="R309" s="24" t="n"/>
      <c r="W309">
        <f>IF($A2="","",COUNTIF('07_Pallet_Contents'!$A$2:$A$3000,$A2))</f>
        <v/>
      </c>
      <c r="X309">
        <f>IF($A2="","",SUMIF('07_Pallet_Contents'!$A$2:$A$3000,$A2,'07_Pallet_Contents'!$D$2:$D$3000))</f>
        <v/>
      </c>
      <c r="Y309">
        <f>IF($A2="","",SUMIF('07_Pallet_Contents'!$A$2:$A$3000,$A2,'07_Pallet_Contents'!$I$2:$I$3000))</f>
        <v/>
      </c>
      <c r="Z309">
        <f>IF($A2="","",IF(COUNTIF('07_Pallet_Contents'!$A$2:$A$3000,$A2)&gt;0,"Yes",""))</f>
        <v/>
      </c>
    </row>
    <row r="310">
      <c r="A310" s="4" t="inlineStr">
        <is>
          <t>PAL-0000310</t>
        </is>
      </c>
      <c r="B310" s="22" t="n"/>
      <c r="D310">
        <f>IF($C310="","",IFERROR(LOOKUP(2,1/('03_Warehouse_Movements'!$C$2:$C$500=$A310),'03_Warehouse_Movements'!$E$2:$E$500),$C310))</f>
        <v/>
      </c>
      <c r="E310" t="inlineStr">
        <is>
          <t>STANDARD</t>
        </is>
      </c>
      <c r="G310" s="25" t="n"/>
      <c r="H310" s="24">
        <f>IF(AND($F310="TEMP",$G310&gt;0,$M310&lt;&gt;""),$M310+$G310,"")</f>
        <v/>
      </c>
      <c r="I310" s="22" t="n"/>
      <c r="J310" s="22" t="n"/>
      <c r="K310" s="24" t="n"/>
      <c r="M310" s="46">
        <f>IF($C310="","",IFERROR(LOOKUP(2,1/('03_Warehouse_Movements'!$C$2:$C$500=$A310),'03_Warehouse_Movements'!$A$2:$A$500),""))</f>
        <v/>
      </c>
      <c r="N310">
        <f>IF($C310="","",IFERROR(LOOKUP(2,1/('03_Warehouse_Movements'!$C$2:$C$500=$A310),'03_Warehouse_Movements'!$H$2:$H$500),""))</f>
        <v/>
      </c>
      <c r="O310">
        <f>A310</f>
        <v/>
      </c>
      <c r="Q310" s="25" t="n"/>
      <c r="R310" s="24" t="n"/>
      <c r="W310">
        <f>IF($A2="","",COUNTIF('07_Pallet_Contents'!$A$2:$A$3000,$A2))</f>
        <v/>
      </c>
      <c r="X310">
        <f>IF($A2="","",SUMIF('07_Pallet_Contents'!$A$2:$A$3000,$A2,'07_Pallet_Contents'!$D$2:$D$3000))</f>
        <v/>
      </c>
      <c r="Y310">
        <f>IF($A2="","",SUMIF('07_Pallet_Contents'!$A$2:$A$3000,$A2,'07_Pallet_Contents'!$I$2:$I$3000))</f>
        <v/>
      </c>
      <c r="Z310">
        <f>IF($A2="","",IF(COUNTIF('07_Pallet_Contents'!$A$2:$A$3000,$A2)&gt;0,"Yes",""))</f>
        <v/>
      </c>
    </row>
    <row r="311">
      <c r="A311" s="4" t="inlineStr">
        <is>
          <t>PAL-0000311</t>
        </is>
      </c>
      <c r="B311" s="22" t="n"/>
      <c r="D311">
        <f>IF($C311="","",IFERROR(LOOKUP(2,1/('03_Warehouse_Movements'!$C$2:$C$500=$A311),'03_Warehouse_Movements'!$E$2:$E$500),$C311))</f>
        <v/>
      </c>
      <c r="E311" t="inlineStr">
        <is>
          <t>STANDARD</t>
        </is>
      </c>
      <c r="G311" s="25" t="n"/>
      <c r="H311" s="24">
        <f>IF(AND($F311="TEMP",$G311&gt;0,$M311&lt;&gt;""),$M311+$G311,"")</f>
        <v/>
      </c>
      <c r="I311" s="22" t="n"/>
      <c r="J311" s="22" t="n"/>
      <c r="K311" s="24" t="n"/>
      <c r="M311" s="46">
        <f>IF($C311="","",IFERROR(LOOKUP(2,1/('03_Warehouse_Movements'!$C$2:$C$500=$A311),'03_Warehouse_Movements'!$A$2:$A$500),""))</f>
        <v/>
      </c>
      <c r="N311">
        <f>IF($C311="","",IFERROR(LOOKUP(2,1/('03_Warehouse_Movements'!$C$2:$C$500=$A311),'03_Warehouse_Movements'!$H$2:$H$500),""))</f>
        <v/>
      </c>
      <c r="O311">
        <f>A311</f>
        <v/>
      </c>
      <c r="Q311" s="25" t="n"/>
      <c r="R311" s="24" t="n"/>
      <c r="W311">
        <f>IF($A2="","",COUNTIF('07_Pallet_Contents'!$A$2:$A$3000,$A2))</f>
        <v/>
      </c>
      <c r="X311">
        <f>IF($A2="","",SUMIF('07_Pallet_Contents'!$A$2:$A$3000,$A2,'07_Pallet_Contents'!$D$2:$D$3000))</f>
        <v/>
      </c>
      <c r="Y311">
        <f>IF($A2="","",SUMIF('07_Pallet_Contents'!$A$2:$A$3000,$A2,'07_Pallet_Contents'!$I$2:$I$3000))</f>
        <v/>
      </c>
      <c r="Z311">
        <f>IF($A2="","",IF(COUNTIF('07_Pallet_Contents'!$A$2:$A$3000,$A2)&gt;0,"Yes",""))</f>
        <v/>
      </c>
    </row>
    <row r="312">
      <c r="A312" s="4" t="inlineStr">
        <is>
          <t>PAL-0000312</t>
        </is>
      </c>
      <c r="B312" s="22" t="n"/>
      <c r="D312">
        <f>IF($C312="","",IFERROR(LOOKUP(2,1/('03_Warehouse_Movements'!$C$2:$C$500=$A312),'03_Warehouse_Movements'!$E$2:$E$500),$C312))</f>
        <v/>
      </c>
      <c r="E312" t="inlineStr">
        <is>
          <t>STANDARD</t>
        </is>
      </c>
      <c r="G312" s="25" t="n"/>
      <c r="H312" s="24">
        <f>IF(AND($F312="TEMP",$G312&gt;0,$M312&lt;&gt;""),$M312+$G312,"")</f>
        <v/>
      </c>
      <c r="I312" s="22" t="n"/>
      <c r="J312" s="22" t="n"/>
      <c r="K312" s="24" t="n"/>
      <c r="M312" s="46">
        <f>IF($C312="","",IFERROR(LOOKUP(2,1/('03_Warehouse_Movements'!$C$2:$C$500=$A312),'03_Warehouse_Movements'!$A$2:$A$500),""))</f>
        <v/>
      </c>
      <c r="N312">
        <f>IF($C312="","",IFERROR(LOOKUP(2,1/('03_Warehouse_Movements'!$C$2:$C$500=$A312),'03_Warehouse_Movements'!$H$2:$H$500),""))</f>
        <v/>
      </c>
      <c r="O312">
        <f>A312</f>
        <v/>
      </c>
      <c r="Q312" s="25" t="n"/>
      <c r="R312" s="24" t="n"/>
      <c r="W312">
        <f>IF($A2="","",COUNTIF('07_Pallet_Contents'!$A$2:$A$3000,$A2))</f>
        <v/>
      </c>
      <c r="X312">
        <f>IF($A2="","",SUMIF('07_Pallet_Contents'!$A$2:$A$3000,$A2,'07_Pallet_Contents'!$D$2:$D$3000))</f>
        <v/>
      </c>
      <c r="Y312">
        <f>IF($A2="","",SUMIF('07_Pallet_Contents'!$A$2:$A$3000,$A2,'07_Pallet_Contents'!$I$2:$I$3000))</f>
        <v/>
      </c>
      <c r="Z312">
        <f>IF($A2="","",IF(COUNTIF('07_Pallet_Contents'!$A$2:$A$3000,$A2)&gt;0,"Yes",""))</f>
        <v/>
      </c>
    </row>
    <row r="313">
      <c r="A313" s="4" t="inlineStr">
        <is>
          <t>PAL-0000313</t>
        </is>
      </c>
      <c r="B313" s="22" t="n"/>
      <c r="D313">
        <f>IF($C313="","",IFERROR(LOOKUP(2,1/('03_Warehouse_Movements'!$C$2:$C$500=$A313),'03_Warehouse_Movements'!$E$2:$E$500),$C313))</f>
        <v/>
      </c>
      <c r="E313" t="inlineStr">
        <is>
          <t>STANDARD</t>
        </is>
      </c>
      <c r="G313" s="25" t="n"/>
      <c r="H313" s="24">
        <f>IF(AND($F313="TEMP",$G313&gt;0,$M313&lt;&gt;""),$M313+$G313,"")</f>
        <v/>
      </c>
      <c r="I313" s="22" t="n"/>
      <c r="J313" s="22" t="n"/>
      <c r="K313" s="24" t="n"/>
      <c r="M313" s="46">
        <f>IF($C313="","",IFERROR(LOOKUP(2,1/('03_Warehouse_Movements'!$C$2:$C$500=$A313),'03_Warehouse_Movements'!$A$2:$A$500),""))</f>
        <v/>
      </c>
      <c r="N313">
        <f>IF($C313="","",IFERROR(LOOKUP(2,1/('03_Warehouse_Movements'!$C$2:$C$500=$A313),'03_Warehouse_Movements'!$H$2:$H$500),""))</f>
        <v/>
      </c>
      <c r="O313">
        <f>A313</f>
        <v/>
      </c>
      <c r="Q313" s="25" t="n"/>
      <c r="R313" s="24" t="n"/>
      <c r="W313">
        <f>IF($A2="","",COUNTIF('07_Pallet_Contents'!$A$2:$A$3000,$A2))</f>
        <v/>
      </c>
      <c r="X313">
        <f>IF($A2="","",SUMIF('07_Pallet_Contents'!$A$2:$A$3000,$A2,'07_Pallet_Contents'!$D$2:$D$3000))</f>
        <v/>
      </c>
      <c r="Y313">
        <f>IF($A2="","",SUMIF('07_Pallet_Contents'!$A$2:$A$3000,$A2,'07_Pallet_Contents'!$I$2:$I$3000))</f>
        <v/>
      </c>
      <c r="Z313">
        <f>IF($A2="","",IF(COUNTIF('07_Pallet_Contents'!$A$2:$A$3000,$A2)&gt;0,"Yes",""))</f>
        <v/>
      </c>
    </row>
    <row r="314">
      <c r="A314" s="4" t="inlineStr">
        <is>
          <t>PAL-0000314</t>
        </is>
      </c>
      <c r="B314" s="22" t="n"/>
      <c r="D314">
        <f>IF($C314="","",IFERROR(LOOKUP(2,1/('03_Warehouse_Movements'!$C$2:$C$500=$A314),'03_Warehouse_Movements'!$E$2:$E$500),$C314))</f>
        <v/>
      </c>
      <c r="E314" t="inlineStr">
        <is>
          <t>STANDARD</t>
        </is>
      </c>
      <c r="G314" s="25" t="n"/>
      <c r="H314" s="24">
        <f>IF(AND($F314="TEMP",$G314&gt;0,$M314&lt;&gt;""),$M314+$G314,"")</f>
        <v/>
      </c>
      <c r="I314" s="22" t="n"/>
      <c r="J314" s="22" t="n"/>
      <c r="K314" s="24" t="n"/>
      <c r="M314" s="46">
        <f>IF($C314="","",IFERROR(LOOKUP(2,1/('03_Warehouse_Movements'!$C$2:$C$500=$A314),'03_Warehouse_Movements'!$A$2:$A$500),""))</f>
        <v/>
      </c>
      <c r="N314">
        <f>IF($C314="","",IFERROR(LOOKUP(2,1/('03_Warehouse_Movements'!$C$2:$C$500=$A314),'03_Warehouse_Movements'!$H$2:$H$500),""))</f>
        <v/>
      </c>
      <c r="O314">
        <f>A314</f>
        <v/>
      </c>
      <c r="Q314" s="25" t="n"/>
      <c r="R314" s="24" t="n"/>
      <c r="W314">
        <f>IF($A2="","",COUNTIF('07_Pallet_Contents'!$A$2:$A$3000,$A2))</f>
        <v/>
      </c>
      <c r="X314">
        <f>IF($A2="","",SUMIF('07_Pallet_Contents'!$A$2:$A$3000,$A2,'07_Pallet_Contents'!$D$2:$D$3000))</f>
        <v/>
      </c>
      <c r="Y314">
        <f>IF($A2="","",SUMIF('07_Pallet_Contents'!$A$2:$A$3000,$A2,'07_Pallet_Contents'!$I$2:$I$3000))</f>
        <v/>
      </c>
      <c r="Z314">
        <f>IF($A2="","",IF(COUNTIF('07_Pallet_Contents'!$A$2:$A$3000,$A2)&gt;0,"Yes",""))</f>
        <v/>
      </c>
    </row>
    <row r="315">
      <c r="A315" s="4" t="inlineStr">
        <is>
          <t>PAL-0000315</t>
        </is>
      </c>
      <c r="B315" s="22" t="n"/>
      <c r="D315">
        <f>IF($C315="","",IFERROR(LOOKUP(2,1/('03_Warehouse_Movements'!$C$2:$C$500=$A315),'03_Warehouse_Movements'!$E$2:$E$500),$C315))</f>
        <v/>
      </c>
      <c r="E315" t="inlineStr">
        <is>
          <t>STANDARD</t>
        </is>
      </c>
      <c r="G315" s="25" t="n"/>
      <c r="H315" s="24">
        <f>IF(AND($F315="TEMP",$G315&gt;0,$M315&lt;&gt;""),$M315+$G315,"")</f>
        <v/>
      </c>
      <c r="I315" s="22" t="n"/>
      <c r="J315" s="22" t="n"/>
      <c r="K315" s="24" t="n"/>
      <c r="M315" s="46">
        <f>IF($C315="","",IFERROR(LOOKUP(2,1/('03_Warehouse_Movements'!$C$2:$C$500=$A315),'03_Warehouse_Movements'!$A$2:$A$500),""))</f>
        <v/>
      </c>
      <c r="N315">
        <f>IF($C315="","",IFERROR(LOOKUP(2,1/('03_Warehouse_Movements'!$C$2:$C$500=$A315),'03_Warehouse_Movements'!$H$2:$H$500),""))</f>
        <v/>
      </c>
      <c r="O315">
        <f>A315</f>
        <v/>
      </c>
      <c r="Q315" s="25" t="n"/>
      <c r="R315" s="24" t="n"/>
      <c r="W315">
        <f>IF($A2="","",COUNTIF('07_Pallet_Contents'!$A$2:$A$3000,$A2))</f>
        <v/>
      </c>
      <c r="X315">
        <f>IF($A2="","",SUMIF('07_Pallet_Contents'!$A$2:$A$3000,$A2,'07_Pallet_Contents'!$D$2:$D$3000))</f>
        <v/>
      </c>
      <c r="Y315">
        <f>IF($A2="","",SUMIF('07_Pallet_Contents'!$A$2:$A$3000,$A2,'07_Pallet_Contents'!$I$2:$I$3000))</f>
        <v/>
      </c>
      <c r="Z315">
        <f>IF($A2="","",IF(COUNTIF('07_Pallet_Contents'!$A$2:$A$3000,$A2)&gt;0,"Yes",""))</f>
        <v/>
      </c>
    </row>
    <row r="316">
      <c r="A316" s="4" t="inlineStr">
        <is>
          <t>PAL-0000316</t>
        </is>
      </c>
      <c r="B316" s="22" t="n"/>
      <c r="D316">
        <f>IF($C316="","",IFERROR(LOOKUP(2,1/('03_Warehouse_Movements'!$C$2:$C$500=$A316),'03_Warehouse_Movements'!$E$2:$E$500),$C316))</f>
        <v/>
      </c>
      <c r="E316" t="inlineStr">
        <is>
          <t>STANDARD</t>
        </is>
      </c>
      <c r="G316" s="25" t="n"/>
      <c r="H316" s="24">
        <f>IF(AND($F316="TEMP",$G316&gt;0,$M316&lt;&gt;""),$M316+$G316,"")</f>
        <v/>
      </c>
      <c r="I316" s="22" t="n"/>
      <c r="J316" s="22" t="n"/>
      <c r="K316" s="24" t="n"/>
      <c r="M316" s="46">
        <f>IF($C316="","",IFERROR(LOOKUP(2,1/('03_Warehouse_Movements'!$C$2:$C$500=$A316),'03_Warehouse_Movements'!$A$2:$A$500),""))</f>
        <v/>
      </c>
      <c r="N316">
        <f>IF($C316="","",IFERROR(LOOKUP(2,1/('03_Warehouse_Movements'!$C$2:$C$500=$A316),'03_Warehouse_Movements'!$H$2:$H$500),""))</f>
        <v/>
      </c>
      <c r="O316">
        <f>A316</f>
        <v/>
      </c>
      <c r="Q316" s="25" t="n"/>
      <c r="R316" s="24" t="n"/>
      <c r="W316">
        <f>IF($A2="","",COUNTIF('07_Pallet_Contents'!$A$2:$A$3000,$A2))</f>
        <v/>
      </c>
      <c r="X316">
        <f>IF($A2="","",SUMIF('07_Pallet_Contents'!$A$2:$A$3000,$A2,'07_Pallet_Contents'!$D$2:$D$3000))</f>
        <v/>
      </c>
      <c r="Y316">
        <f>IF($A2="","",SUMIF('07_Pallet_Contents'!$A$2:$A$3000,$A2,'07_Pallet_Contents'!$I$2:$I$3000))</f>
        <v/>
      </c>
      <c r="Z316">
        <f>IF($A2="","",IF(COUNTIF('07_Pallet_Contents'!$A$2:$A$3000,$A2)&gt;0,"Yes",""))</f>
        <v/>
      </c>
    </row>
    <row r="317">
      <c r="A317" s="4" t="inlineStr">
        <is>
          <t>PAL-0000317</t>
        </is>
      </c>
      <c r="B317" s="22" t="n"/>
      <c r="D317">
        <f>IF($C317="","",IFERROR(LOOKUP(2,1/('03_Warehouse_Movements'!$C$2:$C$500=$A317),'03_Warehouse_Movements'!$E$2:$E$500),$C317))</f>
        <v/>
      </c>
      <c r="E317" t="inlineStr">
        <is>
          <t>STANDARD</t>
        </is>
      </c>
      <c r="G317" s="25" t="n"/>
      <c r="H317" s="24">
        <f>IF(AND($F317="TEMP",$G317&gt;0,$M317&lt;&gt;""),$M317+$G317,"")</f>
        <v/>
      </c>
      <c r="I317" s="22" t="n"/>
      <c r="J317" s="22" t="n"/>
      <c r="K317" s="24" t="n"/>
      <c r="M317" s="46">
        <f>IF($C317="","",IFERROR(LOOKUP(2,1/('03_Warehouse_Movements'!$C$2:$C$500=$A317),'03_Warehouse_Movements'!$A$2:$A$500),""))</f>
        <v/>
      </c>
      <c r="N317">
        <f>IF($C317="","",IFERROR(LOOKUP(2,1/('03_Warehouse_Movements'!$C$2:$C$500=$A317),'03_Warehouse_Movements'!$H$2:$H$500),""))</f>
        <v/>
      </c>
      <c r="O317">
        <f>A317</f>
        <v/>
      </c>
      <c r="Q317" s="25" t="n"/>
      <c r="R317" s="24" t="n"/>
      <c r="W317">
        <f>IF($A2="","",COUNTIF('07_Pallet_Contents'!$A$2:$A$3000,$A2))</f>
        <v/>
      </c>
      <c r="X317">
        <f>IF($A2="","",SUMIF('07_Pallet_Contents'!$A$2:$A$3000,$A2,'07_Pallet_Contents'!$D$2:$D$3000))</f>
        <v/>
      </c>
      <c r="Y317">
        <f>IF($A2="","",SUMIF('07_Pallet_Contents'!$A$2:$A$3000,$A2,'07_Pallet_Contents'!$I$2:$I$3000))</f>
        <v/>
      </c>
      <c r="Z317">
        <f>IF($A2="","",IF(COUNTIF('07_Pallet_Contents'!$A$2:$A$3000,$A2)&gt;0,"Yes",""))</f>
        <v/>
      </c>
    </row>
    <row r="318">
      <c r="A318" s="4" t="inlineStr">
        <is>
          <t>PAL-0000318</t>
        </is>
      </c>
      <c r="B318" s="22" t="n"/>
      <c r="D318">
        <f>IF($C318="","",IFERROR(LOOKUP(2,1/('03_Warehouse_Movements'!$C$2:$C$500=$A318),'03_Warehouse_Movements'!$E$2:$E$500),$C318))</f>
        <v/>
      </c>
      <c r="E318" t="inlineStr">
        <is>
          <t>STANDARD</t>
        </is>
      </c>
      <c r="G318" s="25" t="n"/>
      <c r="H318" s="24">
        <f>IF(AND($F318="TEMP",$G318&gt;0,$M318&lt;&gt;""),$M318+$G318,"")</f>
        <v/>
      </c>
      <c r="I318" s="22" t="n"/>
      <c r="J318" s="22" t="n"/>
      <c r="K318" s="24" t="n"/>
      <c r="M318" s="46">
        <f>IF($C318="","",IFERROR(LOOKUP(2,1/('03_Warehouse_Movements'!$C$2:$C$500=$A318),'03_Warehouse_Movements'!$A$2:$A$500),""))</f>
        <v/>
      </c>
      <c r="N318">
        <f>IF($C318="","",IFERROR(LOOKUP(2,1/('03_Warehouse_Movements'!$C$2:$C$500=$A318),'03_Warehouse_Movements'!$H$2:$H$500),""))</f>
        <v/>
      </c>
      <c r="O318">
        <f>A318</f>
        <v/>
      </c>
      <c r="Q318" s="25" t="n"/>
      <c r="R318" s="24" t="n"/>
      <c r="W318">
        <f>IF($A2="","",COUNTIF('07_Pallet_Contents'!$A$2:$A$3000,$A2))</f>
        <v/>
      </c>
      <c r="X318">
        <f>IF($A2="","",SUMIF('07_Pallet_Contents'!$A$2:$A$3000,$A2,'07_Pallet_Contents'!$D$2:$D$3000))</f>
        <v/>
      </c>
      <c r="Y318">
        <f>IF($A2="","",SUMIF('07_Pallet_Contents'!$A$2:$A$3000,$A2,'07_Pallet_Contents'!$I$2:$I$3000))</f>
        <v/>
      </c>
      <c r="Z318">
        <f>IF($A2="","",IF(COUNTIF('07_Pallet_Contents'!$A$2:$A$3000,$A2)&gt;0,"Yes",""))</f>
        <v/>
      </c>
    </row>
    <row r="319">
      <c r="A319" s="4" t="inlineStr">
        <is>
          <t>PAL-0000319</t>
        </is>
      </c>
      <c r="B319" s="22" t="n"/>
      <c r="D319">
        <f>IF($C319="","",IFERROR(LOOKUP(2,1/('03_Warehouse_Movements'!$C$2:$C$500=$A319),'03_Warehouse_Movements'!$E$2:$E$500),$C319))</f>
        <v/>
      </c>
      <c r="E319" t="inlineStr">
        <is>
          <t>STANDARD</t>
        </is>
      </c>
      <c r="G319" s="25" t="n"/>
      <c r="H319" s="24">
        <f>IF(AND($F319="TEMP",$G319&gt;0,$M319&lt;&gt;""),$M319+$G319,"")</f>
        <v/>
      </c>
      <c r="I319" s="22" t="n"/>
      <c r="J319" s="22" t="n"/>
      <c r="K319" s="24" t="n"/>
      <c r="M319" s="46">
        <f>IF($C319="","",IFERROR(LOOKUP(2,1/('03_Warehouse_Movements'!$C$2:$C$500=$A319),'03_Warehouse_Movements'!$A$2:$A$500),""))</f>
        <v/>
      </c>
      <c r="N319">
        <f>IF($C319="","",IFERROR(LOOKUP(2,1/('03_Warehouse_Movements'!$C$2:$C$500=$A319),'03_Warehouse_Movements'!$H$2:$H$500),""))</f>
        <v/>
      </c>
      <c r="O319">
        <f>A319</f>
        <v/>
      </c>
      <c r="Q319" s="25" t="n"/>
      <c r="R319" s="24" t="n"/>
      <c r="W319">
        <f>IF($A2="","",COUNTIF('07_Pallet_Contents'!$A$2:$A$3000,$A2))</f>
        <v/>
      </c>
      <c r="X319">
        <f>IF($A2="","",SUMIF('07_Pallet_Contents'!$A$2:$A$3000,$A2,'07_Pallet_Contents'!$D$2:$D$3000))</f>
        <v/>
      </c>
      <c r="Y319">
        <f>IF($A2="","",SUMIF('07_Pallet_Contents'!$A$2:$A$3000,$A2,'07_Pallet_Contents'!$I$2:$I$3000))</f>
        <v/>
      </c>
      <c r="Z319">
        <f>IF($A2="","",IF(COUNTIF('07_Pallet_Contents'!$A$2:$A$3000,$A2)&gt;0,"Yes",""))</f>
        <v/>
      </c>
    </row>
    <row r="320">
      <c r="A320" s="4" t="inlineStr">
        <is>
          <t>PAL-0000320</t>
        </is>
      </c>
      <c r="B320" s="22" t="n"/>
      <c r="D320">
        <f>IF($C320="","",IFERROR(LOOKUP(2,1/('03_Warehouse_Movements'!$C$2:$C$500=$A320),'03_Warehouse_Movements'!$E$2:$E$500),$C320))</f>
        <v/>
      </c>
      <c r="E320" t="inlineStr">
        <is>
          <t>STANDARD</t>
        </is>
      </c>
      <c r="G320" s="25" t="n"/>
      <c r="H320" s="24">
        <f>IF(AND($F320="TEMP",$G320&gt;0,$M320&lt;&gt;""),$M320+$G320,"")</f>
        <v/>
      </c>
      <c r="I320" s="22" t="n"/>
      <c r="J320" s="22" t="n"/>
      <c r="K320" s="24" t="n"/>
      <c r="M320" s="46">
        <f>IF($C320="","",IFERROR(LOOKUP(2,1/('03_Warehouse_Movements'!$C$2:$C$500=$A320),'03_Warehouse_Movements'!$A$2:$A$500),""))</f>
        <v/>
      </c>
      <c r="N320">
        <f>IF($C320="","",IFERROR(LOOKUP(2,1/('03_Warehouse_Movements'!$C$2:$C$500=$A320),'03_Warehouse_Movements'!$H$2:$H$500),""))</f>
        <v/>
      </c>
      <c r="O320">
        <f>A320</f>
        <v/>
      </c>
      <c r="Q320" s="25" t="n"/>
      <c r="R320" s="24" t="n"/>
      <c r="W320">
        <f>IF($A2="","",COUNTIF('07_Pallet_Contents'!$A$2:$A$3000,$A2))</f>
        <v/>
      </c>
      <c r="X320">
        <f>IF($A2="","",SUMIF('07_Pallet_Contents'!$A$2:$A$3000,$A2,'07_Pallet_Contents'!$D$2:$D$3000))</f>
        <v/>
      </c>
      <c r="Y320">
        <f>IF($A2="","",SUMIF('07_Pallet_Contents'!$A$2:$A$3000,$A2,'07_Pallet_Contents'!$I$2:$I$3000))</f>
        <v/>
      </c>
      <c r="Z320">
        <f>IF($A2="","",IF(COUNTIF('07_Pallet_Contents'!$A$2:$A$3000,$A2)&gt;0,"Yes",""))</f>
        <v/>
      </c>
    </row>
    <row r="321">
      <c r="A321" s="4" t="inlineStr">
        <is>
          <t>PAL-0000321</t>
        </is>
      </c>
      <c r="B321" s="22" t="n"/>
      <c r="D321">
        <f>IF($C321="","",IFERROR(LOOKUP(2,1/('03_Warehouse_Movements'!$C$2:$C$500=$A321),'03_Warehouse_Movements'!$E$2:$E$500),$C321))</f>
        <v/>
      </c>
      <c r="E321" t="inlineStr">
        <is>
          <t>STANDARD</t>
        </is>
      </c>
      <c r="G321" s="25" t="n"/>
      <c r="H321" s="24">
        <f>IF(AND($F321="TEMP",$G321&gt;0,$M321&lt;&gt;""),$M321+$G321,"")</f>
        <v/>
      </c>
      <c r="I321" s="22" t="n"/>
      <c r="J321" s="22" t="n"/>
      <c r="K321" s="24" t="n"/>
      <c r="M321" s="46">
        <f>IF($C321="","",IFERROR(LOOKUP(2,1/('03_Warehouse_Movements'!$C$2:$C$500=$A321),'03_Warehouse_Movements'!$A$2:$A$500),""))</f>
        <v/>
      </c>
      <c r="N321">
        <f>IF($C321="","",IFERROR(LOOKUP(2,1/('03_Warehouse_Movements'!$C$2:$C$500=$A321),'03_Warehouse_Movements'!$H$2:$H$500),""))</f>
        <v/>
      </c>
      <c r="O321">
        <f>A321</f>
        <v/>
      </c>
      <c r="Q321" s="25" t="n"/>
      <c r="R321" s="24" t="n"/>
      <c r="W321">
        <f>IF($A2="","",COUNTIF('07_Pallet_Contents'!$A$2:$A$3000,$A2))</f>
        <v/>
      </c>
      <c r="X321">
        <f>IF($A2="","",SUMIF('07_Pallet_Contents'!$A$2:$A$3000,$A2,'07_Pallet_Contents'!$D$2:$D$3000))</f>
        <v/>
      </c>
      <c r="Y321">
        <f>IF($A2="","",SUMIF('07_Pallet_Contents'!$A$2:$A$3000,$A2,'07_Pallet_Contents'!$I$2:$I$3000))</f>
        <v/>
      </c>
      <c r="Z321">
        <f>IF($A2="","",IF(COUNTIF('07_Pallet_Contents'!$A$2:$A$3000,$A2)&gt;0,"Yes",""))</f>
        <v/>
      </c>
    </row>
    <row r="322">
      <c r="A322" s="4" t="inlineStr">
        <is>
          <t>PAL-0000322</t>
        </is>
      </c>
      <c r="B322" s="22" t="n"/>
      <c r="D322">
        <f>IF($C322="","",IFERROR(LOOKUP(2,1/('03_Warehouse_Movements'!$C$2:$C$500=$A322),'03_Warehouse_Movements'!$E$2:$E$500),$C322))</f>
        <v/>
      </c>
      <c r="E322" t="inlineStr">
        <is>
          <t>STANDARD</t>
        </is>
      </c>
      <c r="G322" s="25" t="n"/>
      <c r="H322" s="24">
        <f>IF(AND($F322="TEMP",$G322&gt;0,$M322&lt;&gt;""),$M322+$G322,"")</f>
        <v/>
      </c>
      <c r="I322" s="22" t="n"/>
      <c r="J322" s="22" t="n"/>
      <c r="K322" s="24" t="n"/>
      <c r="M322" s="46">
        <f>IF($C322="","",IFERROR(LOOKUP(2,1/('03_Warehouse_Movements'!$C$2:$C$500=$A322),'03_Warehouse_Movements'!$A$2:$A$500),""))</f>
        <v/>
      </c>
      <c r="N322">
        <f>IF($C322="","",IFERROR(LOOKUP(2,1/('03_Warehouse_Movements'!$C$2:$C$500=$A322),'03_Warehouse_Movements'!$H$2:$H$500),""))</f>
        <v/>
      </c>
      <c r="O322">
        <f>A322</f>
        <v/>
      </c>
      <c r="Q322" s="25" t="n"/>
      <c r="R322" s="24" t="n"/>
      <c r="W322">
        <f>IF($A2="","",COUNTIF('07_Pallet_Contents'!$A$2:$A$3000,$A2))</f>
        <v/>
      </c>
      <c r="X322">
        <f>IF($A2="","",SUMIF('07_Pallet_Contents'!$A$2:$A$3000,$A2,'07_Pallet_Contents'!$D$2:$D$3000))</f>
        <v/>
      </c>
      <c r="Y322">
        <f>IF($A2="","",SUMIF('07_Pallet_Contents'!$A$2:$A$3000,$A2,'07_Pallet_Contents'!$I$2:$I$3000))</f>
        <v/>
      </c>
      <c r="Z322">
        <f>IF($A2="","",IF(COUNTIF('07_Pallet_Contents'!$A$2:$A$3000,$A2)&gt;0,"Yes",""))</f>
        <v/>
      </c>
    </row>
    <row r="323">
      <c r="A323" s="4" t="inlineStr">
        <is>
          <t>PAL-0000323</t>
        </is>
      </c>
      <c r="B323" s="22" t="n"/>
      <c r="D323">
        <f>IF($C323="","",IFERROR(LOOKUP(2,1/('03_Warehouse_Movements'!$C$2:$C$500=$A323),'03_Warehouse_Movements'!$E$2:$E$500),$C323))</f>
        <v/>
      </c>
      <c r="E323" t="inlineStr">
        <is>
          <t>STANDARD</t>
        </is>
      </c>
      <c r="G323" s="25" t="n"/>
      <c r="H323" s="24">
        <f>IF(AND($F323="TEMP",$G323&gt;0,$M323&lt;&gt;""),$M323+$G323,"")</f>
        <v/>
      </c>
      <c r="I323" s="22" t="n"/>
      <c r="J323" s="22" t="n"/>
      <c r="K323" s="24" t="n"/>
      <c r="M323" s="46">
        <f>IF($C323="","",IFERROR(LOOKUP(2,1/('03_Warehouse_Movements'!$C$2:$C$500=$A323),'03_Warehouse_Movements'!$A$2:$A$500),""))</f>
        <v/>
      </c>
      <c r="N323">
        <f>IF($C323="","",IFERROR(LOOKUP(2,1/('03_Warehouse_Movements'!$C$2:$C$500=$A323),'03_Warehouse_Movements'!$H$2:$H$500),""))</f>
        <v/>
      </c>
      <c r="O323">
        <f>A323</f>
        <v/>
      </c>
      <c r="Q323" s="25" t="n"/>
      <c r="R323" s="24" t="n"/>
      <c r="W323">
        <f>IF($A2="","",COUNTIF('07_Pallet_Contents'!$A$2:$A$3000,$A2))</f>
        <v/>
      </c>
      <c r="X323">
        <f>IF($A2="","",SUMIF('07_Pallet_Contents'!$A$2:$A$3000,$A2,'07_Pallet_Contents'!$D$2:$D$3000))</f>
        <v/>
      </c>
      <c r="Y323">
        <f>IF($A2="","",SUMIF('07_Pallet_Contents'!$A$2:$A$3000,$A2,'07_Pallet_Contents'!$I$2:$I$3000))</f>
        <v/>
      </c>
      <c r="Z323">
        <f>IF($A2="","",IF(COUNTIF('07_Pallet_Contents'!$A$2:$A$3000,$A2)&gt;0,"Yes",""))</f>
        <v/>
      </c>
    </row>
    <row r="324">
      <c r="A324" s="4" t="inlineStr">
        <is>
          <t>PAL-0000324</t>
        </is>
      </c>
      <c r="B324" s="22" t="n"/>
      <c r="D324">
        <f>IF($C324="","",IFERROR(LOOKUP(2,1/('03_Warehouse_Movements'!$C$2:$C$500=$A324),'03_Warehouse_Movements'!$E$2:$E$500),$C324))</f>
        <v/>
      </c>
      <c r="E324" t="inlineStr">
        <is>
          <t>STANDARD</t>
        </is>
      </c>
      <c r="G324" s="25" t="n"/>
      <c r="H324" s="24">
        <f>IF(AND($F324="TEMP",$G324&gt;0,$M324&lt;&gt;""),$M324+$G324,"")</f>
        <v/>
      </c>
      <c r="I324" s="22" t="n"/>
      <c r="J324" s="22" t="n"/>
      <c r="K324" s="24" t="n"/>
      <c r="M324" s="46">
        <f>IF($C324="","",IFERROR(LOOKUP(2,1/('03_Warehouse_Movements'!$C$2:$C$500=$A324),'03_Warehouse_Movements'!$A$2:$A$500),""))</f>
        <v/>
      </c>
      <c r="N324">
        <f>IF($C324="","",IFERROR(LOOKUP(2,1/('03_Warehouse_Movements'!$C$2:$C$500=$A324),'03_Warehouse_Movements'!$H$2:$H$500),""))</f>
        <v/>
      </c>
      <c r="O324">
        <f>A324</f>
        <v/>
      </c>
      <c r="Q324" s="25" t="n"/>
      <c r="R324" s="24" t="n"/>
      <c r="W324">
        <f>IF($A2="","",COUNTIF('07_Pallet_Contents'!$A$2:$A$3000,$A2))</f>
        <v/>
      </c>
      <c r="X324">
        <f>IF($A2="","",SUMIF('07_Pallet_Contents'!$A$2:$A$3000,$A2,'07_Pallet_Contents'!$D$2:$D$3000))</f>
        <v/>
      </c>
      <c r="Y324">
        <f>IF($A2="","",SUMIF('07_Pallet_Contents'!$A$2:$A$3000,$A2,'07_Pallet_Contents'!$I$2:$I$3000))</f>
        <v/>
      </c>
      <c r="Z324">
        <f>IF($A2="","",IF(COUNTIF('07_Pallet_Contents'!$A$2:$A$3000,$A2)&gt;0,"Yes",""))</f>
        <v/>
      </c>
    </row>
    <row r="325">
      <c r="A325" s="4" t="inlineStr">
        <is>
          <t>PAL-0000325</t>
        </is>
      </c>
      <c r="B325" s="22" t="n"/>
      <c r="D325">
        <f>IF($C325="","",IFERROR(LOOKUP(2,1/('03_Warehouse_Movements'!$C$2:$C$500=$A325),'03_Warehouse_Movements'!$E$2:$E$500),$C325))</f>
        <v/>
      </c>
      <c r="E325" t="inlineStr">
        <is>
          <t>STANDARD</t>
        </is>
      </c>
      <c r="G325" s="25" t="n"/>
      <c r="H325" s="24">
        <f>IF(AND($F325="TEMP",$G325&gt;0,$M325&lt;&gt;""),$M325+$G325,"")</f>
        <v/>
      </c>
      <c r="I325" s="22" t="n"/>
      <c r="J325" s="22" t="n"/>
      <c r="K325" s="24" t="n"/>
      <c r="M325" s="46">
        <f>IF($C325="","",IFERROR(LOOKUP(2,1/('03_Warehouse_Movements'!$C$2:$C$500=$A325),'03_Warehouse_Movements'!$A$2:$A$500),""))</f>
        <v/>
      </c>
      <c r="N325">
        <f>IF($C325="","",IFERROR(LOOKUP(2,1/('03_Warehouse_Movements'!$C$2:$C$500=$A325),'03_Warehouse_Movements'!$H$2:$H$500),""))</f>
        <v/>
      </c>
      <c r="O325">
        <f>A325</f>
        <v/>
      </c>
      <c r="Q325" s="25" t="n"/>
      <c r="R325" s="24" t="n"/>
      <c r="W325">
        <f>IF($A2="","",COUNTIF('07_Pallet_Contents'!$A$2:$A$3000,$A2))</f>
        <v/>
      </c>
      <c r="X325">
        <f>IF($A2="","",SUMIF('07_Pallet_Contents'!$A$2:$A$3000,$A2,'07_Pallet_Contents'!$D$2:$D$3000))</f>
        <v/>
      </c>
      <c r="Y325">
        <f>IF($A2="","",SUMIF('07_Pallet_Contents'!$A$2:$A$3000,$A2,'07_Pallet_Contents'!$I$2:$I$3000))</f>
        <v/>
      </c>
      <c r="Z325">
        <f>IF($A2="","",IF(COUNTIF('07_Pallet_Contents'!$A$2:$A$3000,$A2)&gt;0,"Yes",""))</f>
        <v/>
      </c>
    </row>
    <row r="326">
      <c r="A326" s="4" t="inlineStr">
        <is>
          <t>PAL-0000326</t>
        </is>
      </c>
      <c r="B326" s="22" t="n"/>
      <c r="D326">
        <f>IF($C326="","",IFERROR(LOOKUP(2,1/('03_Warehouse_Movements'!$C$2:$C$500=$A326),'03_Warehouse_Movements'!$E$2:$E$500),$C326))</f>
        <v/>
      </c>
      <c r="E326" t="inlineStr">
        <is>
          <t>STANDARD</t>
        </is>
      </c>
      <c r="G326" s="25" t="n"/>
      <c r="H326" s="24">
        <f>IF(AND($F326="TEMP",$G326&gt;0,$M326&lt;&gt;""),$M326+$G326,"")</f>
        <v/>
      </c>
      <c r="I326" s="22" t="n"/>
      <c r="J326" s="22" t="n"/>
      <c r="K326" s="24" t="n"/>
      <c r="M326" s="46">
        <f>IF($C326="","",IFERROR(LOOKUP(2,1/('03_Warehouse_Movements'!$C$2:$C$500=$A326),'03_Warehouse_Movements'!$A$2:$A$500),""))</f>
        <v/>
      </c>
      <c r="N326">
        <f>IF($C326="","",IFERROR(LOOKUP(2,1/('03_Warehouse_Movements'!$C$2:$C$500=$A326),'03_Warehouse_Movements'!$H$2:$H$500),""))</f>
        <v/>
      </c>
      <c r="O326">
        <f>A326</f>
        <v/>
      </c>
      <c r="Q326" s="25" t="n"/>
      <c r="R326" s="24" t="n"/>
      <c r="W326">
        <f>IF($A2="","",COUNTIF('07_Pallet_Contents'!$A$2:$A$3000,$A2))</f>
        <v/>
      </c>
      <c r="X326">
        <f>IF($A2="","",SUMIF('07_Pallet_Contents'!$A$2:$A$3000,$A2,'07_Pallet_Contents'!$D$2:$D$3000))</f>
        <v/>
      </c>
      <c r="Y326">
        <f>IF($A2="","",SUMIF('07_Pallet_Contents'!$A$2:$A$3000,$A2,'07_Pallet_Contents'!$I$2:$I$3000))</f>
        <v/>
      </c>
      <c r="Z326">
        <f>IF($A2="","",IF(COUNTIF('07_Pallet_Contents'!$A$2:$A$3000,$A2)&gt;0,"Yes",""))</f>
        <v/>
      </c>
    </row>
    <row r="327">
      <c r="A327" s="4" t="inlineStr">
        <is>
          <t>PAL-0000327</t>
        </is>
      </c>
      <c r="B327" s="22" t="n"/>
      <c r="D327">
        <f>IF($C327="","",IFERROR(LOOKUP(2,1/('03_Warehouse_Movements'!$C$2:$C$500=$A327),'03_Warehouse_Movements'!$E$2:$E$500),$C327))</f>
        <v/>
      </c>
      <c r="E327" t="inlineStr">
        <is>
          <t>STANDARD</t>
        </is>
      </c>
      <c r="G327" s="25" t="n"/>
      <c r="H327" s="24">
        <f>IF(AND($F327="TEMP",$G327&gt;0,$M327&lt;&gt;""),$M327+$G327,"")</f>
        <v/>
      </c>
      <c r="I327" s="22" t="n"/>
      <c r="J327" s="22" t="n"/>
      <c r="K327" s="24" t="n"/>
      <c r="M327" s="46">
        <f>IF($C327="","",IFERROR(LOOKUP(2,1/('03_Warehouse_Movements'!$C$2:$C$500=$A327),'03_Warehouse_Movements'!$A$2:$A$500),""))</f>
        <v/>
      </c>
      <c r="N327">
        <f>IF($C327="","",IFERROR(LOOKUP(2,1/('03_Warehouse_Movements'!$C$2:$C$500=$A327),'03_Warehouse_Movements'!$H$2:$H$500),""))</f>
        <v/>
      </c>
      <c r="O327">
        <f>A327</f>
        <v/>
      </c>
      <c r="Q327" s="25" t="n"/>
      <c r="R327" s="24" t="n"/>
      <c r="W327">
        <f>IF($A2="","",COUNTIF('07_Pallet_Contents'!$A$2:$A$3000,$A2))</f>
        <v/>
      </c>
      <c r="X327">
        <f>IF($A2="","",SUMIF('07_Pallet_Contents'!$A$2:$A$3000,$A2,'07_Pallet_Contents'!$D$2:$D$3000))</f>
        <v/>
      </c>
      <c r="Y327">
        <f>IF($A2="","",SUMIF('07_Pallet_Contents'!$A$2:$A$3000,$A2,'07_Pallet_Contents'!$I$2:$I$3000))</f>
        <v/>
      </c>
      <c r="Z327">
        <f>IF($A2="","",IF(COUNTIF('07_Pallet_Contents'!$A$2:$A$3000,$A2)&gt;0,"Yes",""))</f>
        <v/>
      </c>
    </row>
    <row r="328">
      <c r="A328" s="4" t="inlineStr">
        <is>
          <t>PAL-0000328</t>
        </is>
      </c>
      <c r="B328" s="22" t="n"/>
      <c r="D328">
        <f>IF($C328="","",IFERROR(LOOKUP(2,1/('03_Warehouse_Movements'!$C$2:$C$500=$A328),'03_Warehouse_Movements'!$E$2:$E$500),$C328))</f>
        <v/>
      </c>
      <c r="E328" t="inlineStr">
        <is>
          <t>STANDARD</t>
        </is>
      </c>
      <c r="G328" s="25" t="n"/>
      <c r="H328" s="24">
        <f>IF(AND($F328="TEMP",$G328&gt;0,$M328&lt;&gt;""),$M328+$G328,"")</f>
        <v/>
      </c>
      <c r="I328" s="22" t="n"/>
      <c r="J328" s="22" t="n"/>
      <c r="K328" s="24" t="n"/>
      <c r="M328" s="46">
        <f>IF($C328="","",IFERROR(LOOKUP(2,1/('03_Warehouse_Movements'!$C$2:$C$500=$A328),'03_Warehouse_Movements'!$A$2:$A$500),""))</f>
        <v/>
      </c>
      <c r="N328">
        <f>IF($C328="","",IFERROR(LOOKUP(2,1/('03_Warehouse_Movements'!$C$2:$C$500=$A328),'03_Warehouse_Movements'!$H$2:$H$500),""))</f>
        <v/>
      </c>
      <c r="O328">
        <f>A328</f>
        <v/>
      </c>
      <c r="Q328" s="25" t="n"/>
      <c r="R328" s="24" t="n"/>
      <c r="W328">
        <f>IF($A2="","",COUNTIF('07_Pallet_Contents'!$A$2:$A$3000,$A2))</f>
        <v/>
      </c>
      <c r="X328">
        <f>IF($A2="","",SUMIF('07_Pallet_Contents'!$A$2:$A$3000,$A2,'07_Pallet_Contents'!$D$2:$D$3000))</f>
        <v/>
      </c>
      <c r="Y328">
        <f>IF($A2="","",SUMIF('07_Pallet_Contents'!$A$2:$A$3000,$A2,'07_Pallet_Contents'!$I$2:$I$3000))</f>
        <v/>
      </c>
      <c r="Z328">
        <f>IF($A2="","",IF(COUNTIF('07_Pallet_Contents'!$A$2:$A$3000,$A2)&gt;0,"Yes",""))</f>
        <v/>
      </c>
    </row>
    <row r="329">
      <c r="A329" s="4" t="inlineStr">
        <is>
          <t>PAL-0000329</t>
        </is>
      </c>
      <c r="B329" s="22" t="n"/>
      <c r="D329">
        <f>IF($C329="","",IFERROR(LOOKUP(2,1/('03_Warehouse_Movements'!$C$2:$C$500=$A329),'03_Warehouse_Movements'!$E$2:$E$500),$C329))</f>
        <v/>
      </c>
      <c r="E329" t="inlineStr">
        <is>
          <t>STANDARD</t>
        </is>
      </c>
      <c r="G329" s="25" t="n"/>
      <c r="H329" s="24">
        <f>IF(AND($F329="TEMP",$G329&gt;0,$M329&lt;&gt;""),$M329+$G329,"")</f>
        <v/>
      </c>
      <c r="I329" s="22" t="n"/>
      <c r="J329" s="22" t="n"/>
      <c r="K329" s="24" t="n"/>
      <c r="M329" s="46">
        <f>IF($C329="","",IFERROR(LOOKUP(2,1/('03_Warehouse_Movements'!$C$2:$C$500=$A329),'03_Warehouse_Movements'!$A$2:$A$500),""))</f>
        <v/>
      </c>
      <c r="N329">
        <f>IF($C329="","",IFERROR(LOOKUP(2,1/('03_Warehouse_Movements'!$C$2:$C$500=$A329),'03_Warehouse_Movements'!$H$2:$H$500),""))</f>
        <v/>
      </c>
      <c r="O329">
        <f>A329</f>
        <v/>
      </c>
      <c r="Q329" s="25" t="n"/>
      <c r="R329" s="24" t="n"/>
      <c r="W329">
        <f>IF($A2="","",COUNTIF('07_Pallet_Contents'!$A$2:$A$3000,$A2))</f>
        <v/>
      </c>
      <c r="X329">
        <f>IF($A2="","",SUMIF('07_Pallet_Contents'!$A$2:$A$3000,$A2,'07_Pallet_Contents'!$D$2:$D$3000))</f>
        <v/>
      </c>
      <c r="Y329">
        <f>IF($A2="","",SUMIF('07_Pallet_Contents'!$A$2:$A$3000,$A2,'07_Pallet_Contents'!$I$2:$I$3000))</f>
        <v/>
      </c>
      <c r="Z329">
        <f>IF($A2="","",IF(COUNTIF('07_Pallet_Contents'!$A$2:$A$3000,$A2)&gt;0,"Yes",""))</f>
        <v/>
      </c>
    </row>
    <row r="330">
      <c r="A330" s="4" t="inlineStr">
        <is>
          <t>PAL-0000330</t>
        </is>
      </c>
      <c r="B330" s="22" t="n"/>
      <c r="D330">
        <f>IF($C330="","",IFERROR(LOOKUP(2,1/('03_Warehouse_Movements'!$C$2:$C$500=$A330),'03_Warehouse_Movements'!$E$2:$E$500),$C330))</f>
        <v/>
      </c>
      <c r="E330" t="inlineStr">
        <is>
          <t>STANDARD</t>
        </is>
      </c>
      <c r="G330" s="25" t="n"/>
      <c r="H330" s="24">
        <f>IF(AND($F330="TEMP",$G330&gt;0,$M330&lt;&gt;""),$M330+$G330,"")</f>
        <v/>
      </c>
      <c r="I330" s="22" t="n"/>
      <c r="J330" s="22" t="n"/>
      <c r="K330" s="24" t="n"/>
      <c r="M330" s="46">
        <f>IF($C330="","",IFERROR(LOOKUP(2,1/('03_Warehouse_Movements'!$C$2:$C$500=$A330),'03_Warehouse_Movements'!$A$2:$A$500),""))</f>
        <v/>
      </c>
      <c r="N330">
        <f>IF($C330="","",IFERROR(LOOKUP(2,1/('03_Warehouse_Movements'!$C$2:$C$500=$A330),'03_Warehouse_Movements'!$H$2:$H$500),""))</f>
        <v/>
      </c>
      <c r="O330">
        <f>A330</f>
        <v/>
      </c>
      <c r="Q330" s="25" t="n"/>
      <c r="R330" s="24" t="n"/>
      <c r="W330">
        <f>IF($A2="","",COUNTIF('07_Pallet_Contents'!$A$2:$A$3000,$A2))</f>
        <v/>
      </c>
      <c r="X330">
        <f>IF($A2="","",SUMIF('07_Pallet_Contents'!$A$2:$A$3000,$A2,'07_Pallet_Contents'!$D$2:$D$3000))</f>
        <v/>
      </c>
      <c r="Y330">
        <f>IF($A2="","",SUMIF('07_Pallet_Contents'!$A$2:$A$3000,$A2,'07_Pallet_Contents'!$I$2:$I$3000))</f>
        <v/>
      </c>
      <c r="Z330">
        <f>IF($A2="","",IF(COUNTIF('07_Pallet_Contents'!$A$2:$A$3000,$A2)&gt;0,"Yes",""))</f>
        <v/>
      </c>
    </row>
    <row r="331">
      <c r="A331" s="4" t="inlineStr">
        <is>
          <t>PAL-0000331</t>
        </is>
      </c>
      <c r="B331" s="22" t="n"/>
      <c r="D331">
        <f>IF($C331="","",IFERROR(LOOKUP(2,1/('03_Warehouse_Movements'!$C$2:$C$500=$A331),'03_Warehouse_Movements'!$E$2:$E$500),$C331))</f>
        <v/>
      </c>
      <c r="E331" t="inlineStr">
        <is>
          <t>STANDARD</t>
        </is>
      </c>
      <c r="G331" s="25" t="n"/>
      <c r="H331" s="24">
        <f>IF(AND($F331="TEMP",$G331&gt;0,$M331&lt;&gt;""),$M331+$G331,"")</f>
        <v/>
      </c>
      <c r="I331" s="22" t="n"/>
      <c r="J331" s="22" t="n"/>
      <c r="K331" s="24" t="n"/>
      <c r="M331" s="46">
        <f>IF($C331="","",IFERROR(LOOKUP(2,1/('03_Warehouse_Movements'!$C$2:$C$500=$A331),'03_Warehouse_Movements'!$A$2:$A$500),""))</f>
        <v/>
      </c>
      <c r="N331">
        <f>IF($C331="","",IFERROR(LOOKUP(2,1/('03_Warehouse_Movements'!$C$2:$C$500=$A331),'03_Warehouse_Movements'!$H$2:$H$500),""))</f>
        <v/>
      </c>
      <c r="O331">
        <f>A331</f>
        <v/>
      </c>
      <c r="Q331" s="25" t="n"/>
      <c r="R331" s="24" t="n"/>
      <c r="W331">
        <f>IF($A2="","",COUNTIF('07_Pallet_Contents'!$A$2:$A$3000,$A2))</f>
        <v/>
      </c>
      <c r="X331">
        <f>IF($A2="","",SUMIF('07_Pallet_Contents'!$A$2:$A$3000,$A2,'07_Pallet_Contents'!$D$2:$D$3000))</f>
        <v/>
      </c>
      <c r="Y331">
        <f>IF($A2="","",SUMIF('07_Pallet_Contents'!$A$2:$A$3000,$A2,'07_Pallet_Contents'!$I$2:$I$3000))</f>
        <v/>
      </c>
      <c r="Z331">
        <f>IF($A2="","",IF(COUNTIF('07_Pallet_Contents'!$A$2:$A$3000,$A2)&gt;0,"Yes",""))</f>
        <v/>
      </c>
    </row>
    <row r="332">
      <c r="A332" s="4" t="inlineStr">
        <is>
          <t>PAL-0000332</t>
        </is>
      </c>
      <c r="B332" s="22" t="n"/>
      <c r="D332">
        <f>IF($C332="","",IFERROR(LOOKUP(2,1/('03_Warehouse_Movements'!$C$2:$C$500=$A332),'03_Warehouse_Movements'!$E$2:$E$500),$C332))</f>
        <v/>
      </c>
      <c r="E332" t="inlineStr">
        <is>
          <t>STANDARD</t>
        </is>
      </c>
      <c r="G332" s="25" t="n"/>
      <c r="H332" s="24">
        <f>IF(AND($F332="TEMP",$G332&gt;0,$M332&lt;&gt;""),$M332+$G332,"")</f>
        <v/>
      </c>
      <c r="I332" s="22" t="n"/>
      <c r="J332" s="22" t="n"/>
      <c r="K332" s="24" t="n"/>
      <c r="M332" s="46">
        <f>IF($C332="","",IFERROR(LOOKUP(2,1/('03_Warehouse_Movements'!$C$2:$C$500=$A332),'03_Warehouse_Movements'!$A$2:$A$500),""))</f>
        <v/>
      </c>
      <c r="N332">
        <f>IF($C332="","",IFERROR(LOOKUP(2,1/('03_Warehouse_Movements'!$C$2:$C$500=$A332),'03_Warehouse_Movements'!$H$2:$H$500),""))</f>
        <v/>
      </c>
      <c r="O332">
        <f>A332</f>
        <v/>
      </c>
      <c r="Q332" s="25" t="n"/>
      <c r="R332" s="24" t="n"/>
      <c r="W332">
        <f>IF($A2="","",COUNTIF('07_Pallet_Contents'!$A$2:$A$3000,$A2))</f>
        <v/>
      </c>
      <c r="X332">
        <f>IF($A2="","",SUMIF('07_Pallet_Contents'!$A$2:$A$3000,$A2,'07_Pallet_Contents'!$D$2:$D$3000))</f>
        <v/>
      </c>
      <c r="Y332">
        <f>IF($A2="","",SUMIF('07_Pallet_Contents'!$A$2:$A$3000,$A2,'07_Pallet_Contents'!$I$2:$I$3000))</f>
        <v/>
      </c>
      <c r="Z332">
        <f>IF($A2="","",IF(COUNTIF('07_Pallet_Contents'!$A$2:$A$3000,$A2)&gt;0,"Yes",""))</f>
        <v/>
      </c>
    </row>
    <row r="333">
      <c r="A333" s="4" t="inlineStr">
        <is>
          <t>PAL-0000333</t>
        </is>
      </c>
      <c r="B333" s="22" t="n"/>
      <c r="D333">
        <f>IF($C333="","",IFERROR(LOOKUP(2,1/('03_Warehouse_Movements'!$C$2:$C$500=$A333),'03_Warehouse_Movements'!$E$2:$E$500),$C333))</f>
        <v/>
      </c>
      <c r="E333" t="inlineStr">
        <is>
          <t>STANDARD</t>
        </is>
      </c>
      <c r="G333" s="25" t="n"/>
      <c r="H333" s="24">
        <f>IF(AND($F333="TEMP",$G333&gt;0,$M333&lt;&gt;""),$M333+$G333,"")</f>
        <v/>
      </c>
      <c r="I333" s="22" t="n"/>
      <c r="J333" s="22" t="n"/>
      <c r="K333" s="24" t="n"/>
      <c r="M333" s="46">
        <f>IF($C333="","",IFERROR(LOOKUP(2,1/('03_Warehouse_Movements'!$C$2:$C$500=$A333),'03_Warehouse_Movements'!$A$2:$A$500),""))</f>
        <v/>
      </c>
      <c r="N333">
        <f>IF($C333="","",IFERROR(LOOKUP(2,1/('03_Warehouse_Movements'!$C$2:$C$500=$A333),'03_Warehouse_Movements'!$H$2:$H$500),""))</f>
        <v/>
      </c>
      <c r="O333">
        <f>A333</f>
        <v/>
      </c>
      <c r="Q333" s="25" t="n"/>
      <c r="R333" s="24" t="n"/>
      <c r="W333">
        <f>IF($A2="","",COUNTIF('07_Pallet_Contents'!$A$2:$A$3000,$A2))</f>
        <v/>
      </c>
      <c r="X333">
        <f>IF($A2="","",SUMIF('07_Pallet_Contents'!$A$2:$A$3000,$A2,'07_Pallet_Contents'!$D$2:$D$3000))</f>
        <v/>
      </c>
      <c r="Y333">
        <f>IF($A2="","",SUMIF('07_Pallet_Contents'!$A$2:$A$3000,$A2,'07_Pallet_Contents'!$I$2:$I$3000))</f>
        <v/>
      </c>
      <c r="Z333">
        <f>IF($A2="","",IF(COUNTIF('07_Pallet_Contents'!$A$2:$A$3000,$A2)&gt;0,"Yes",""))</f>
        <v/>
      </c>
    </row>
    <row r="334">
      <c r="A334" s="4" t="inlineStr">
        <is>
          <t>PAL-0000334</t>
        </is>
      </c>
      <c r="B334" s="22" t="n"/>
      <c r="D334">
        <f>IF($C334="","",IFERROR(LOOKUP(2,1/('03_Warehouse_Movements'!$C$2:$C$500=$A334),'03_Warehouse_Movements'!$E$2:$E$500),$C334))</f>
        <v/>
      </c>
      <c r="E334" t="inlineStr">
        <is>
          <t>STANDARD</t>
        </is>
      </c>
      <c r="G334" s="25" t="n"/>
      <c r="H334" s="24">
        <f>IF(AND($F334="TEMP",$G334&gt;0,$M334&lt;&gt;""),$M334+$G334,"")</f>
        <v/>
      </c>
      <c r="I334" s="22" t="n"/>
      <c r="J334" s="22" t="n"/>
      <c r="K334" s="24" t="n"/>
      <c r="M334" s="46">
        <f>IF($C334="","",IFERROR(LOOKUP(2,1/('03_Warehouse_Movements'!$C$2:$C$500=$A334),'03_Warehouse_Movements'!$A$2:$A$500),""))</f>
        <v/>
      </c>
      <c r="N334">
        <f>IF($C334="","",IFERROR(LOOKUP(2,1/('03_Warehouse_Movements'!$C$2:$C$500=$A334),'03_Warehouse_Movements'!$H$2:$H$500),""))</f>
        <v/>
      </c>
      <c r="O334">
        <f>A334</f>
        <v/>
      </c>
      <c r="Q334" s="25" t="n"/>
      <c r="R334" s="24" t="n"/>
      <c r="W334">
        <f>IF($A2="","",COUNTIF('07_Pallet_Contents'!$A$2:$A$3000,$A2))</f>
        <v/>
      </c>
      <c r="X334">
        <f>IF($A2="","",SUMIF('07_Pallet_Contents'!$A$2:$A$3000,$A2,'07_Pallet_Contents'!$D$2:$D$3000))</f>
        <v/>
      </c>
      <c r="Y334">
        <f>IF($A2="","",SUMIF('07_Pallet_Contents'!$A$2:$A$3000,$A2,'07_Pallet_Contents'!$I$2:$I$3000))</f>
        <v/>
      </c>
      <c r="Z334">
        <f>IF($A2="","",IF(COUNTIF('07_Pallet_Contents'!$A$2:$A$3000,$A2)&gt;0,"Yes",""))</f>
        <v/>
      </c>
    </row>
    <row r="335">
      <c r="A335" s="4" t="inlineStr">
        <is>
          <t>PAL-0000335</t>
        </is>
      </c>
      <c r="B335" s="22" t="n"/>
      <c r="D335">
        <f>IF($C335="","",IFERROR(LOOKUP(2,1/('03_Warehouse_Movements'!$C$2:$C$500=$A335),'03_Warehouse_Movements'!$E$2:$E$500),$C335))</f>
        <v/>
      </c>
      <c r="E335" t="inlineStr">
        <is>
          <t>STANDARD</t>
        </is>
      </c>
      <c r="G335" s="25" t="n"/>
      <c r="H335" s="24">
        <f>IF(AND($F335="TEMP",$G335&gt;0,$M335&lt;&gt;""),$M335+$G335,"")</f>
        <v/>
      </c>
      <c r="I335" s="22" t="n"/>
      <c r="J335" s="22" t="n"/>
      <c r="K335" s="24" t="n"/>
      <c r="M335" s="46">
        <f>IF($C335="","",IFERROR(LOOKUP(2,1/('03_Warehouse_Movements'!$C$2:$C$500=$A335),'03_Warehouse_Movements'!$A$2:$A$500),""))</f>
        <v/>
      </c>
      <c r="N335">
        <f>IF($C335="","",IFERROR(LOOKUP(2,1/('03_Warehouse_Movements'!$C$2:$C$500=$A335),'03_Warehouse_Movements'!$H$2:$H$500),""))</f>
        <v/>
      </c>
      <c r="O335">
        <f>A335</f>
        <v/>
      </c>
      <c r="Q335" s="25" t="n"/>
      <c r="R335" s="24" t="n"/>
      <c r="W335">
        <f>IF($A2="","",COUNTIF('07_Pallet_Contents'!$A$2:$A$3000,$A2))</f>
        <v/>
      </c>
      <c r="X335">
        <f>IF($A2="","",SUMIF('07_Pallet_Contents'!$A$2:$A$3000,$A2,'07_Pallet_Contents'!$D$2:$D$3000))</f>
        <v/>
      </c>
      <c r="Y335">
        <f>IF($A2="","",SUMIF('07_Pallet_Contents'!$A$2:$A$3000,$A2,'07_Pallet_Contents'!$I$2:$I$3000))</f>
        <v/>
      </c>
      <c r="Z335">
        <f>IF($A2="","",IF(COUNTIF('07_Pallet_Contents'!$A$2:$A$3000,$A2)&gt;0,"Yes",""))</f>
        <v/>
      </c>
    </row>
    <row r="336">
      <c r="A336" s="4" t="inlineStr">
        <is>
          <t>PAL-0000336</t>
        </is>
      </c>
      <c r="B336" s="22" t="n"/>
      <c r="D336">
        <f>IF($C336="","",IFERROR(LOOKUP(2,1/('03_Warehouse_Movements'!$C$2:$C$500=$A336),'03_Warehouse_Movements'!$E$2:$E$500),$C336))</f>
        <v/>
      </c>
      <c r="E336" t="inlineStr">
        <is>
          <t>STANDARD</t>
        </is>
      </c>
      <c r="G336" s="25" t="n"/>
      <c r="H336" s="24">
        <f>IF(AND($F336="TEMP",$G336&gt;0,$M336&lt;&gt;""),$M336+$G336,"")</f>
        <v/>
      </c>
      <c r="I336" s="22" t="n"/>
      <c r="J336" s="22" t="n"/>
      <c r="K336" s="24" t="n"/>
      <c r="M336" s="46">
        <f>IF($C336="","",IFERROR(LOOKUP(2,1/('03_Warehouse_Movements'!$C$2:$C$500=$A336),'03_Warehouse_Movements'!$A$2:$A$500),""))</f>
        <v/>
      </c>
      <c r="N336">
        <f>IF($C336="","",IFERROR(LOOKUP(2,1/('03_Warehouse_Movements'!$C$2:$C$500=$A336),'03_Warehouse_Movements'!$H$2:$H$500),""))</f>
        <v/>
      </c>
      <c r="O336">
        <f>A336</f>
        <v/>
      </c>
      <c r="Q336" s="25" t="n"/>
      <c r="R336" s="24" t="n"/>
      <c r="W336">
        <f>IF($A2="","",COUNTIF('07_Pallet_Contents'!$A$2:$A$3000,$A2))</f>
        <v/>
      </c>
      <c r="X336">
        <f>IF($A2="","",SUMIF('07_Pallet_Contents'!$A$2:$A$3000,$A2,'07_Pallet_Contents'!$D$2:$D$3000))</f>
        <v/>
      </c>
      <c r="Y336">
        <f>IF($A2="","",SUMIF('07_Pallet_Contents'!$A$2:$A$3000,$A2,'07_Pallet_Contents'!$I$2:$I$3000))</f>
        <v/>
      </c>
      <c r="Z336">
        <f>IF($A2="","",IF(COUNTIF('07_Pallet_Contents'!$A$2:$A$3000,$A2)&gt;0,"Yes",""))</f>
        <v/>
      </c>
    </row>
    <row r="337">
      <c r="A337" s="4" t="inlineStr">
        <is>
          <t>PAL-0000337</t>
        </is>
      </c>
      <c r="B337" s="22" t="n"/>
      <c r="D337">
        <f>IF($C337="","",IFERROR(LOOKUP(2,1/('03_Warehouse_Movements'!$C$2:$C$500=$A337),'03_Warehouse_Movements'!$E$2:$E$500),$C337))</f>
        <v/>
      </c>
      <c r="E337" t="inlineStr">
        <is>
          <t>STANDARD</t>
        </is>
      </c>
      <c r="G337" s="25" t="n"/>
      <c r="H337" s="24">
        <f>IF(AND($F337="TEMP",$G337&gt;0,$M337&lt;&gt;""),$M337+$G337,"")</f>
        <v/>
      </c>
      <c r="I337" s="22" t="n"/>
      <c r="J337" s="22" t="n"/>
      <c r="K337" s="24" t="n"/>
      <c r="M337" s="46">
        <f>IF($C337="","",IFERROR(LOOKUP(2,1/('03_Warehouse_Movements'!$C$2:$C$500=$A337),'03_Warehouse_Movements'!$A$2:$A$500),""))</f>
        <v/>
      </c>
      <c r="N337">
        <f>IF($C337="","",IFERROR(LOOKUP(2,1/('03_Warehouse_Movements'!$C$2:$C$500=$A337),'03_Warehouse_Movements'!$H$2:$H$500),""))</f>
        <v/>
      </c>
      <c r="O337">
        <f>A337</f>
        <v/>
      </c>
      <c r="Q337" s="25" t="n"/>
      <c r="R337" s="24" t="n"/>
      <c r="W337">
        <f>IF($A2="","",COUNTIF('07_Pallet_Contents'!$A$2:$A$3000,$A2))</f>
        <v/>
      </c>
      <c r="X337">
        <f>IF($A2="","",SUMIF('07_Pallet_Contents'!$A$2:$A$3000,$A2,'07_Pallet_Contents'!$D$2:$D$3000))</f>
        <v/>
      </c>
      <c r="Y337">
        <f>IF($A2="","",SUMIF('07_Pallet_Contents'!$A$2:$A$3000,$A2,'07_Pallet_Contents'!$I$2:$I$3000))</f>
        <v/>
      </c>
      <c r="Z337">
        <f>IF($A2="","",IF(COUNTIF('07_Pallet_Contents'!$A$2:$A$3000,$A2)&gt;0,"Yes",""))</f>
        <v/>
      </c>
    </row>
    <row r="338">
      <c r="A338" s="4" t="inlineStr">
        <is>
          <t>PAL-0000338</t>
        </is>
      </c>
      <c r="B338" s="22" t="n"/>
      <c r="D338">
        <f>IF($C338="","",IFERROR(LOOKUP(2,1/('03_Warehouse_Movements'!$C$2:$C$500=$A338),'03_Warehouse_Movements'!$E$2:$E$500),$C338))</f>
        <v/>
      </c>
      <c r="E338" t="inlineStr">
        <is>
          <t>STANDARD</t>
        </is>
      </c>
      <c r="G338" s="25" t="n"/>
      <c r="H338" s="24">
        <f>IF(AND($F338="TEMP",$G338&gt;0,$M338&lt;&gt;""),$M338+$G338,"")</f>
        <v/>
      </c>
      <c r="I338" s="22" t="n"/>
      <c r="J338" s="22" t="n"/>
      <c r="K338" s="24" t="n"/>
      <c r="M338" s="46">
        <f>IF($C338="","",IFERROR(LOOKUP(2,1/('03_Warehouse_Movements'!$C$2:$C$500=$A338),'03_Warehouse_Movements'!$A$2:$A$500),""))</f>
        <v/>
      </c>
      <c r="N338">
        <f>IF($C338="","",IFERROR(LOOKUP(2,1/('03_Warehouse_Movements'!$C$2:$C$500=$A338),'03_Warehouse_Movements'!$H$2:$H$500),""))</f>
        <v/>
      </c>
      <c r="O338">
        <f>A338</f>
        <v/>
      </c>
      <c r="Q338" s="25" t="n"/>
      <c r="R338" s="24" t="n"/>
      <c r="W338">
        <f>IF($A2="","",COUNTIF('07_Pallet_Contents'!$A$2:$A$3000,$A2))</f>
        <v/>
      </c>
      <c r="X338">
        <f>IF($A2="","",SUMIF('07_Pallet_Contents'!$A$2:$A$3000,$A2,'07_Pallet_Contents'!$D$2:$D$3000))</f>
        <v/>
      </c>
      <c r="Y338">
        <f>IF($A2="","",SUMIF('07_Pallet_Contents'!$A$2:$A$3000,$A2,'07_Pallet_Contents'!$I$2:$I$3000))</f>
        <v/>
      </c>
      <c r="Z338">
        <f>IF($A2="","",IF(COUNTIF('07_Pallet_Contents'!$A$2:$A$3000,$A2)&gt;0,"Yes",""))</f>
        <v/>
      </c>
    </row>
    <row r="339">
      <c r="A339" s="4" t="inlineStr">
        <is>
          <t>PAL-0000339</t>
        </is>
      </c>
      <c r="B339" s="22" t="n"/>
      <c r="D339">
        <f>IF($C339="","",IFERROR(LOOKUP(2,1/('03_Warehouse_Movements'!$C$2:$C$500=$A339),'03_Warehouse_Movements'!$E$2:$E$500),$C339))</f>
        <v/>
      </c>
      <c r="E339" t="inlineStr">
        <is>
          <t>STANDARD</t>
        </is>
      </c>
      <c r="G339" s="25" t="n"/>
      <c r="H339" s="24">
        <f>IF(AND($F339="TEMP",$G339&gt;0,$M339&lt;&gt;""),$M339+$G339,"")</f>
        <v/>
      </c>
      <c r="I339" s="22" t="n"/>
      <c r="J339" s="22" t="n"/>
      <c r="K339" s="24" t="n"/>
      <c r="M339" s="46">
        <f>IF($C339="","",IFERROR(LOOKUP(2,1/('03_Warehouse_Movements'!$C$2:$C$500=$A339),'03_Warehouse_Movements'!$A$2:$A$500),""))</f>
        <v/>
      </c>
      <c r="N339">
        <f>IF($C339="","",IFERROR(LOOKUP(2,1/('03_Warehouse_Movements'!$C$2:$C$500=$A339),'03_Warehouse_Movements'!$H$2:$H$500),""))</f>
        <v/>
      </c>
      <c r="O339">
        <f>A339</f>
        <v/>
      </c>
      <c r="Q339" s="25" t="n"/>
      <c r="R339" s="24" t="n"/>
      <c r="W339">
        <f>IF($A2="","",COUNTIF('07_Pallet_Contents'!$A$2:$A$3000,$A2))</f>
        <v/>
      </c>
      <c r="X339">
        <f>IF($A2="","",SUMIF('07_Pallet_Contents'!$A$2:$A$3000,$A2,'07_Pallet_Contents'!$D$2:$D$3000))</f>
        <v/>
      </c>
      <c r="Y339">
        <f>IF($A2="","",SUMIF('07_Pallet_Contents'!$A$2:$A$3000,$A2,'07_Pallet_Contents'!$I$2:$I$3000))</f>
        <v/>
      </c>
      <c r="Z339">
        <f>IF($A2="","",IF(COUNTIF('07_Pallet_Contents'!$A$2:$A$3000,$A2)&gt;0,"Yes",""))</f>
        <v/>
      </c>
    </row>
    <row r="340">
      <c r="A340" s="4" t="inlineStr">
        <is>
          <t>PAL-0000340</t>
        </is>
      </c>
      <c r="B340" s="22" t="n"/>
      <c r="D340">
        <f>IF($C340="","",IFERROR(LOOKUP(2,1/('03_Warehouse_Movements'!$C$2:$C$500=$A340),'03_Warehouse_Movements'!$E$2:$E$500),$C340))</f>
        <v/>
      </c>
      <c r="E340" t="inlineStr">
        <is>
          <t>STANDARD</t>
        </is>
      </c>
      <c r="G340" s="25" t="n"/>
      <c r="H340" s="24">
        <f>IF(AND($F340="TEMP",$G340&gt;0,$M340&lt;&gt;""),$M340+$G340,"")</f>
        <v/>
      </c>
      <c r="I340" s="22" t="n"/>
      <c r="J340" s="22" t="n"/>
      <c r="K340" s="24" t="n"/>
      <c r="M340" s="46">
        <f>IF($C340="","",IFERROR(LOOKUP(2,1/('03_Warehouse_Movements'!$C$2:$C$500=$A340),'03_Warehouse_Movements'!$A$2:$A$500),""))</f>
        <v/>
      </c>
      <c r="N340">
        <f>IF($C340="","",IFERROR(LOOKUP(2,1/('03_Warehouse_Movements'!$C$2:$C$500=$A340),'03_Warehouse_Movements'!$H$2:$H$500),""))</f>
        <v/>
      </c>
      <c r="O340">
        <f>A340</f>
        <v/>
      </c>
      <c r="Q340" s="25" t="n"/>
      <c r="R340" s="24" t="n"/>
      <c r="W340">
        <f>IF($A2="","",COUNTIF('07_Pallet_Contents'!$A$2:$A$3000,$A2))</f>
        <v/>
      </c>
      <c r="X340">
        <f>IF($A2="","",SUMIF('07_Pallet_Contents'!$A$2:$A$3000,$A2,'07_Pallet_Contents'!$D$2:$D$3000))</f>
        <v/>
      </c>
      <c r="Y340">
        <f>IF($A2="","",SUMIF('07_Pallet_Contents'!$A$2:$A$3000,$A2,'07_Pallet_Contents'!$I$2:$I$3000))</f>
        <v/>
      </c>
      <c r="Z340">
        <f>IF($A2="","",IF(COUNTIF('07_Pallet_Contents'!$A$2:$A$3000,$A2)&gt;0,"Yes",""))</f>
        <v/>
      </c>
    </row>
    <row r="341">
      <c r="A341" s="4" t="inlineStr">
        <is>
          <t>PAL-0000341</t>
        </is>
      </c>
      <c r="B341" s="22" t="n"/>
      <c r="D341">
        <f>IF($C341="","",IFERROR(LOOKUP(2,1/('03_Warehouse_Movements'!$C$2:$C$500=$A341),'03_Warehouse_Movements'!$E$2:$E$500),$C341))</f>
        <v/>
      </c>
      <c r="E341" t="inlineStr">
        <is>
          <t>STANDARD</t>
        </is>
      </c>
      <c r="G341" s="25" t="n"/>
      <c r="H341" s="24">
        <f>IF(AND($F341="TEMP",$G341&gt;0,$M341&lt;&gt;""),$M341+$G341,"")</f>
        <v/>
      </c>
      <c r="I341" s="22" t="n"/>
      <c r="J341" s="22" t="n"/>
      <c r="K341" s="24" t="n"/>
      <c r="M341" s="46">
        <f>IF($C341="","",IFERROR(LOOKUP(2,1/('03_Warehouse_Movements'!$C$2:$C$500=$A341),'03_Warehouse_Movements'!$A$2:$A$500),""))</f>
        <v/>
      </c>
      <c r="N341">
        <f>IF($C341="","",IFERROR(LOOKUP(2,1/('03_Warehouse_Movements'!$C$2:$C$500=$A341),'03_Warehouse_Movements'!$H$2:$H$500),""))</f>
        <v/>
      </c>
      <c r="O341">
        <f>A341</f>
        <v/>
      </c>
      <c r="Q341" s="25" t="n"/>
      <c r="R341" s="24" t="n"/>
      <c r="W341">
        <f>IF($A2="","",COUNTIF('07_Pallet_Contents'!$A$2:$A$3000,$A2))</f>
        <v/>
      </c>
      <c r="X341">
        <f>IF($A2="","",SUMIF('07_Pallet_Contents'!$A$2:$A$3000,$A2,'07_Pallet_Contents'!$D$2:$D$3000))</f>
        <v/>
      </c>
      <c r="Y341">
        <f>IF($A2="","",SUMIF('07_Pallet_Contents'!$A$2:$A$3000,$A2,'07_Pallet_Contents'!$I$2:$I$3000))</f>
        <v/>
      </c>
      <c r="Z341">
        <f>IF($A2="","",IF(COUNTIF('07_Pallet_Contents'!$A$2:$A$3000,$A2)&gt;0,"Yes",""))</f>
        <v/>
      </c>
    </row>
    <row r="342">
      <c r="A342" s="4" t="inlineStr">
        <is>
          <t>PAL-0000342</t>
        </is>
      </c>
      <c r="B342" s="22" t="n"/>
      <c r="D342">
        <f>IF($C342="","",IFERROR(LOOKUP(2,1/('03_Warehouse_Movements'!$C$2:$C$500=$A342),'03_Warehouse_Movements'!$E$2:$E$500),$C342))</f>
        <v/>
      </c>
      <c r="E342" t="inlineStr">
        <is>
          <t>STANDARD</t>
        </is>
      </c>
      <c r="G342" s="25" t="n"/>
      <c r="H342" s="24">
        <f>IF(AND($F342="TEMP",$G342&gt;0,$M342&lt;&gt;""),$M342+$G342,"")</f>
        <v/>
      </c>
      <c r="I342" s="22" t="n"/>
      <c r="J342" s="22" t="n"/>
      <c r="K342" s="24" t="n"/>
      <c r="M342" s="46">
        <f>IF($C342="","",IFERROR(LOOKUP(2,1/('03_Warehouse_Movements'!$C$2:$C$500=$A342),'03_Warehouse_Movements'!$A$2:$A$500),""))</f>
        <v/>
      </c>
      <c r="N342">
        <f>IF($C342="","",IFERROR(LOOKUP(2,1/('03_Warehouse_Movements'!$C$2:$C$500=$A342),'03_Warehouse_Movements'!$H$2:$H$500),""))</f>
        <v/>
      </c>
      <c r="O342">
        <f>A342</f>
        <v/>
      </c>
      <c r="Q342" s="25" t="n"/>
      <c r="R342" s="24" t="n"/>
      <c r="W342">
        <f>IF($A2="","",COUNTIF('07_Pallet_Contents'!$A$2:$A$3000,$A2))</f>
        <v/>
      </c>
      <c r="X342">
        <f>IF($A2="","",SUMIF('07_Pallet_Contents'!$A$2:$A$3000,$A2,'07_Pallet_Contents'!$D$2:$D$3000))</f>
        <v/>
      </c>
      <c r="Y342">
        <f>IF($A2="","",SUMIF('07_Pallet_Contents'!$A$2:$A$3000,$A2,'07_Pallet_Contents'!$I$2:$I$3000))</f>
        <v/>
      </c>
      <c r="Z342">
        <f>IF($A2="","",IF(COUNTIF('07_Pallet_Contents'!$A$2:$A$3000,$A2)&gt;0,"Yes",""))</f>
        <v/>
      </c>
    </row>
    <row r="343">
      <c r="A343" s="4" t="inlineStr">
        <is>
          <t>PAL-0000343</t>
        </is>
      </c>
      <c r="B343" s="22" t="n"/>
      <c r="D343">
        <f>IF($C343="","",IFERROR(LOOKUP(2,1/('03_Warehouse_Movements'!$C$2:$C$500=$A343),'03_Warehouse_Movements'!$E$2:$E$500),$C343))</f>
        <v/>
      </c>
      <c r="E343" t="inlineStr">
        <is>
          <t>STANDARD</t>
        </is>
      </c>
      <c r="G343" s="25" t="n"/>
      <c r="H343" s="24">
        <f>IF(AND($F343="TEMP",$G343&gt;0,$M343&lt;&gt;""),$M343+$G343,"")</f>
        <v/>
      </c>
      <c r="I343" s="22" t="n"/>
      <c r="J343" s="22" t="n"/>
      <c r="K343" s="24" t="n"/>
      <c r="M343" s="46">
        <f>IF($C343="","",IFERROR(LOOKUP(2,1/('03_Warehouse_Movements'!$C$2:$C$500=$A343),'03_Warehouse_Movements'!$A$2:$A$500),""))</f>
        <v/>
      </c>
      <c r="N343">
        <f>IF($C343="","",IFERROR(LOOKUP(2,1/('03_Warehouse_Movements'!$C$2:$C$500=$A343),'03_Warehouse_Movements'!$H$2:$H$500),""))</f>
        <v/>
      </c>
      <c r="O343">
        <f>A343</f>
        <v/>
      </c>
      <c r="Q343" s="25" t="n"/>
      <c r="R343" s="24" t="n"/>
      <c r="W343">
        <f>IF($A2="","",COUNTIF('07_Pallet_Contents'!$A$2:$A$3000,$A2))</f>
        <v/>
      </c>
      <c r="X343">
        <f>IF($A2="","",SUMIF('07_Pallet_Contents'!$A$2:$A$3000,$A2,'07_Pallet_Contents'!$D$2:$D$3000))</f>
        <v/>
      </c>
      <c r="Y343">
        <f>IF($A2="","",SUMIF('07_Pallet_Contents'!$A$2:$A$3000,$A2,'07_Pallet_Contents'!$I$2:$I$3000))</f>
        <v/>
      </c>
      <c r="Z343">
        <f>IF($A2="","",IF(COUNTIF('07_Pallet_Contents'!$A$2:$A$3000,$A2)&gt;0,"Yes",""))</f>
        <v/>
      </c>
    </row>
    <row r="344">
      <c r="A344" s="4" t="inlineStr">
        <is>
          <t>PAL-0000344</t>
        </is>
      </c>
      <c r="B344" s="22" t="n"/>
      <c r="D344">
        <f>IF($C344="","",IFERROR(LOOKUP(2,1/('03_Warehouse_Movements'!$C$2:$C$500=$A344),'03_Warehouse_Movements'!$E$2:$E$500),$C344))</f>
        <v/>
      </c>
      <c r="E344" t="inlineStr">
        <is>
          <t>STANDARD</t>
        </is>
      </c>
      <c r="G344" s="25" t="n"/>
      <c r="H344" s="24">
        <f>IF(AND($F344="TEMP",$G344&gt;0,$M344&lt;&gt;""),$M344+$G344,"")</f>
        <v/>
      </c>
      <c r="I344" s="22" t="n"/>
      <c r="J344" s="22" t="n"/>
      <c r="K344" s="24" t="n"/>
      <c r="M344" s="46">
        <f>IF($C344="","",IFERROR(LOOKUP(2,1/('03_Warehouse_Movements'!$C$2:$C$500=$A344),'03_Warehouse_Movements'!$A$2:$A$500),""))</f>
        <v/>
      </c>
      <c r="N344">
        <f>IF($C344="","",IFERROR(LOOKUP(2,1/('03_Warehouse_Movements'!$C$2:$C$500=$A344),'03_Warehouse_Movements'!$H$2:$H$500),""))</f>
        <v/>
      </c>
      <c r="O344">
        <f>A344</f>
        <v/>
      </c>
      <c r="Q344" s="25" t="n"/>
      <c r="R344" s="24" t="n"/>
      <c r="W344">
        <f>IF($A2="","",COUNTIF('07_Pallet_Contents'!$A$2:$A$3000,$A2))</f>
        <v/>
      </c>
      <c r="X344">
        <f>IF($A2="","",SUMIF('07_Pallet_Contents'!$A$2:$A$3000,$A2,'07_Pallet_Contents'!$D$2:$D$3000))</f>
        <v/>
      </c>
      <c r="Y344">
        <f>IF($A2="","",SUMIF('07_Pallet_Contents'!$A$2:$A$3000,$A2,'07_Pallet_Contents'!$I$2:$I$3000))</f>
        <v/>
      </c>
      <c r="Z344">
        <f>IF($A2="","",IF(COUNTIF('07_Pallet_Contents'!$A$2:$A$3000,$A2)&gt;0,"Yes",""))</f>
        <v/>
      </c>
    </row>
    <row r="345">
      <c r="A345" s="4" t="inlineStr">
        <is>
          <t>PAL-0000345</t>
        </is>
      </c>
      <c r="B345" s="22" t="n"/>
      <c r="D345">
        <f>IF($C345="","",IFERROR(LOOKUP(2,1/('03_Warehouse_Movements'!$C$2:$C$500=$A345),'03_Warehouse_Movements'!$E$2:$E$500),$C345))</f>
        <v/>
      </c>
      <c r="E345" t="inlineStr">
        <is>
          <t>STANDARD</t>
        </is>
      </c>
      <c r="G345" s="25" t="n"/>
      <c r="H345" s="24">
        <f>IF(AND($F345="TEMP",$G345&gt;0,$M345&lt;&gt;""),$M345+$G345,"")</f>
        <v/>
      </c>
      <c r="I345" s="22" t="n"/>
      <c r="J345" s="22" t="n"/>
      <c r="K345" s="24" t="n"/>
      <c r="M345" s="46">
        <f>IF($C345="","",IFERROR(LOOKUP(2,1/('03_Warehouse_Movements'!$C$2:$C$500=$A345),'03_Warehouse_Movements'!$A$2:$A$500),""))</f>
        <v/>
      </c>
      <c r="N345">
        <f>IF($C345="","",IFERROR(LOOKUP(2,1/('03_Warehouse_Movements'!$C$2:$C$500=$A345),'03_Warehouse_Movements'!$H$2:$H$500),""))</f>
        <v/>
      </c>
      <c r="O345">
        <f>A345</f>
        <v/>
      </c>
      <c r="Q345" s="25" t="n"/>
      <c r="R345" s="24" t="n"/>
      <c r="W345">
        <f>IF($A2="","",COUNTIF('07_Pallet_Contents'!$A$2:$A$3000,$A2))</f>
        <v/>
      </c>
      <c r="X345">
        <f>IF($A2="","",SUMIF('07_Pallet_Contents'!$A$2:$A$3000,$A2,'07_Pallet_Contents'!$D$2:$D$3000))</f>
        <v/>
      </c>
      <c r="Y345">
        <f>IF($A2="","",SUMIF('07_Pallet_Contents'!$A$2:$A$3000,$A2,'07_Pallet_Contents'!$I$2:$I$3000))</f>
        <v/>
      </c>
      <c r="Z345">
        <f>IF($A2="","",IF(COUNTIF('07_Pallet_Contents'!$A$2:$A$3000,$A2)&gt;0,"Yes",""))</f>
        <v/>
      </c>
    </row>
    <row r="346">
      <c r="A346" s="4" t="inlineStr">
        <is>
          <t>PAL-0000346</t>
        </is>
      </c>
      <c r="B346" s="22" t="n"/>
      <c r="D346">
        <f>IF($C346="","",IFERROR(LOOKUP(2,1/('03_Warehouse_Movements'!$C$2:$C$500=$A346),'03_Warehouse_Movements'!$E$2:$E$500),$C346))</f>
        <v/>
      </c>
      <c r="E346" t="inlineStr">
        <is>
          <t>STANDARD</t>
        </is>
      </c>
      <c r="G346" s="25" t="n"/>
      <c r="H346" s="24">
        <f>IF(AND($F346="TEMP",$G346&gt;0,$M346&lt;&gt;""),$M346+$G346,"")</f>
        <v/>
      </c>
      <c r="I346" s="22" t="n"/>
      <c r="J346" s="22" t="n"/>
      <c r="K346" s="24" t="n"/>
      <c r="M346" s="46">
        <f>IF($C346="","",IFERROR(LOOKUP(2,1/('03_Warehouse_Movements'!$C$2:$C$500=$A346),'03_Warehouse_Movements'!$A$2:$A$500),""))</f>
        <v/>
      </c>
      <c r="N346">
        <f>IF($C346="","",IFERROR(LOOKUP(2,1/('03_Warehouse_Movements'!$C$2:$C$500=$A346),'03_Warehouse_Movements'!$H$2:$H$500),""))</f>
        <v/>
      </c>
      <c r="O346">
        <f>A346</f>
        <v/>
      </c>
      <c r="Q346" s="25" t="n"/>
      <c r="R346" s="24" t="n"/>
      <c r="W346">
        <f>IF($A2="","",COUNTIF('07_Pallet_Contents'!$A$2:$A$3000,$A2))</f>
        <v/>
      </c>
      <c r="X346">
        <f>IF($A2="","",SUMIF('07_Pallet_Contents'!$A$2:$A$3000,$A2,'07_Pallet_Contents'!$D$2:$D$3000))</f>
        <v/>
      </c>
      <c r="Y346">
        <f>IF($A2="","",SUMIF('07_Pallet_Contents'!$A$2:$A$3000,$A2,'07_Pallet_Contents'!$I$2:$I$3000))</f>
        <v/>
      </c>
      <c r="Z346">
        <f>IF($A2="","",IF(COUNTIF('07_Pallet_Contents'!$A$2:$A$3000,$A2)&gt;0,"Yes",""))</f>
        <v/>
      </c>
    </row>
    <row r="347">
      <c r="A347" s="4" t="inlineStr">
        <is>
          <t>PAL-0000347</t>
        </is>
      </c>
      <c r="B347" s="22" t="n"/>
      <c r="D347">
        <f>IF($C347="","",IFERROR(LOOKUP(2,1/('03_Warehouse_Movements'!$C$2:$C$500=$A347),'03_Warehouse_Movements'!$E$2:$E$500),$C347))</f>
        <v/>
      </c>
      <c r="E347" t="inlineStr">
        <is>
          <t>STANDARD</t>
        </is>
      </c>
      <c r="G347" s="25" t="n"/>
      <c r="H347" s="24">
        <f>IF(AND($F347="TEMP",$G347&gt;0,$M347&lt;&gt;""),$M347+$G347,"")</f>
        <v/>
      </c>
      <c r="I347" s="22" t="n"/>
      <c r="J347" s="22" t="n"/>
      <c r="K347" s="24" t="n"/>
      <c r="M347" s="46">
        <f>IF($C347="","",IFERROR(LOOKUP(2,1/('03_Warehouse_Movements'!$C$2:$C$500=$A347),'03_Warehouse_Movements'!$A$2:$A$500),""))</f>
        <v/>
      </c>
      <c r="N347">
        <f>IF($C347="","",IFERROR(LOOKUP(2,1/('03_Warehouse_Movements'!$C$2:$C$500=$A347),'03_Warehouse_Movements'!$H$2:$H$500),""))</f>
        <v/>
      </c>
      <c r="O347">
        <f>A347</f>
        <v/>
      </c>
      <c r="Q347" s="25" t="n"/>
      <c r="R347" s="24" t="n"/>
      <c r="W347">
        <f>IF($A2="","",COUNTIF('07_Pallet_Contents'!$A$2:$A$3000,$A2))</f>
        <v/>
      </c>
      <c r="X347">
        <f>IF($A2="","",SUMIF('07_Pallet_Contents'!$A$2:$A$3000,$A2,'07_Pallet_Contents'!$D$2:$D$3000))</f>
        <v/>
      </c>
      <c r="Y347">
        <f>IF($A2="","",SUMIF('07_Pallet_Contents'!$A$2:$A$3000,$A2,'07_Pallet_Contents'!$I$2:$I$3000))</f>
        <v/>
      </c>
      <c r="Z347">
        <f>IF($A2="","",IF(COUNTIF('07_Pallet_Contents'!$A$2:$A$3000,$A2)&gt;0,"Yes",""))</f>
        <v/>
      </c>
    </row>
    <row r="348">
      <c r="A348" s="4" t="inlineStr">
        <is>
          <t>PAL-0000348</t>
        </is>
      </c>
      <c r="B348" s="22" t="n"/>
      <c r="D348">
        <f>IF($C348="","",IFERROR(LOOKUP(2,1/('03_Warehouse_Movements'!$C$2:$C$500=$A348),'03_Warehouse_Movements'!$E$2:$E$500),$C348))</f>
        <v/>
      </c>
      <c r="E348" t="inlineStr">
        <is>
          <t>STANDARD</t>
        </is>
      </c>
      <c r="G348" s="25" t="n"/>
      <c r="H348" s="24">
        <f>IF(AND($F348="TEMP",$G348&gt;0,$M348&lt;&gt;""),$M348+$G348,"")</f>
        <v/>
      </c>
      <c r="I348" s="22" t="n"/>
      <c r="J348" s="22" t="n"/>
      <c r="K348" s="24" t="n"/>
      <c r="M348" s="46">
        <f>IF($C348="","",IFERROR(LOOKUP(2,1/('03_Warehouse_Movements'!$C$2:$C$500=$A348),'03_Warehouse_Movements'!$A$2:$A$500),""))</f>
        <v/>
      </c>
      <c r="N348">
        <f>IF($C348="","",IFERROR(LOOKUP(2,1/('03_Warehouse_Movements'!$C$2:$C$500=$A348),'03_Warehouse_Movements'!$H$2:$H$500),""))</f>
        <v/>
      </c>
      <c r="O348">
        <f>A348</f>
        <v/>
      </c>
      <c r="Q348" s="25" t="n"/>
      <c r="R348" s="24" t="n"/>
      <c r="W348">
        <f>IF($A2="","",COUNTIF('07_Pallet_Contents'!$A$2:$A$3000,$A2))</f>
        <v/>
      </c>
      <c r="X348">
        <f>IF($A2="","",SUMIF('07_Pallet_Contents'!$A$2:$A$3000,$A2,'07_Pallet_Contents'!$D$2:$D$3000))</f>
        <v/>
      </c>
      <c r="Y348">
        <f>IF($A2="","",SUMIF('07_Pallet_Contents'!$A$2:$A$3000,$A2,'07_Pallet_Contents'!$I$2:$I$3000))</f>
        <v/>
      </c>
      <c r="Z348">
        <f>IF($A2="","",IF(COUNTIF('07_Pallet_Contents'!$A$2:$A$3000,$A2)&gt;0,"Yes",""))</f>
        <v/>
      </c>
    </row>
    <row r="349">
      <c r="A349" s="4" t="inlineStr">
        <is>
          <t>PAL-0000349</t>
        </is>
      </c>
      <c r="B349" s="22" t="n"/>
      <c r="D349">
        <f>IF($C349="","",IFERROR(LOOKUP(2,1/('03_Warehouse_Movements'!$C$2:$C$500=$A349),'03_Warehouse_Movements'!$E$2:$E$500),$C349))</f>
        <v/>
      </c>
      <c r="E349" t="inlineStr">
        <is>
          <t>STANDARD</t>
        </is>
      </c>
      <c r="G349" s="25" t="n"/>
      <c r="H349" s="24">
        <f>IF(AND($F349="TEMP",$G349&gt;0,$M349&lt;&gt;""),$M349+$G349,"")</f>
        <v/>
      </c>
      <c r="I349" s="22" t="n"/>
      <c r="J349" s="22" t="n"/>
      <c r="K349" s="24" t="n"/>
      <c r="M349" s="46">
        <f>IF($C349="","",IFERROR(LOOKUP(2,1/('03_Warehouse_Movements'!$C$2:$C$500=$A349),'03_Warehouse_Movements'!$A$2:$A$500),""))</f>
        <v/>
      </c>
      <c r="N349">
        <f>IF($C349="","",IFERROR(LOOKUP(2,1/('03_Warehouse_Movements'!$C$2:$C$500=$A349),'03_Warehouse_Movements'!$H$2:$H$500),""))</f>
        <v/>
      </c>
      <c r="O349">
        <f>A349</f>
        <v/>
      </c>
      <c r="Q349" s="25" t="n"/>
      <c r="R349" s="24" t="n"/>
      <c r="W349">
        <f>IF($A2="","",COUNTIF('07_Pallet_Contents'!$A$2:$A$3000,$A2))</f>
        <v/>
      </c>
      <c r="X349">
        <f>IF($A2="","",SUMIF('07_Pallet_Contents'!$A$2:$A$3000,$A2,'07_Pallet_Contents'!$D$2:$D$3000))</f>
        <v/>
      </c>
      <c r="Y349">
        <f>IF($A2="","",SUMIF('07_Pallet_Contents'!$A$2:$A$3000,$A2,'07_Pallet_Contents'!$I$2:$I$3000))</f>
        <v/>
      </c>
      <c r="Z349">
        <f>IF($A2="","",IF(COUNTIF('07_Pallet_Contents'!$A$2:$A$3000,$A2)&gt;0,"Yes",""))</f>
        <v/>
      </c>
    </row>
    <row r="350">
      <c r="A350" s="4" t="inlineStr">
        <is>
          <t>PAL-0000350</t>
        </is>
      </c>
      <c r="B350" s="22" t="n"/>
      <c r="D350">
        <f>IF($C350="","",IFERROR(LOOKUP(2,1/('03_Warehouse_Movements'!$C$2:$C$500=$A350),'03_Warehouse_Movements'!$E$2:$E$500),$C350))</f>
        <v/>
      </c>
      <c r="E350" t="inlineStr">
        <is>
          <t>STANDARD</t>
        </is>
      </c>
      <c r="G350" s="25" t="n"/>
      <c r="H350" s="24">
        <f>IF(AND($F350="TEMP",$G350&gt;0,$M350&lt;&gt;""),$M350+$G350,"")</f>
        <v/>
      </c>
      <c r="I350" s="22" t="n"/>
      <c r="J350" s="22" t="n"/>
      <c r="K350" s="24" t="n"/>
      <c r="M350" s="46">
        <f>IF($C350="","",IFERROR(LOOKUP(2,1/('03_Warehouse_Movements'!$C$2:$C$500=$A350),'03_Warehouse_Movements'!$A$2:$A$500),""))</f>
        <v/>
      </c>
      <c r="N350">
        <f>IF($C350="","",IFERROR(LOOKUP(2,1/('03_Warehouse_Movements'!$C$2:$C$500=$A350),'03_Warehouse_Movements'!$H$2:$H$500),""))</f>
        <v/>
      </c>
      <c r="O350">
        <f>A350</f>
        <v/>
      </c>
      <c r="Q350" s="25" t="n"/>
      <c r="R350" s="24" t="n"/>
      <c r="W350">
        <f>IF($A2="","",COUNTIF('07_Pallet_Contents'!$A$2:$A$3000,$A2))</f>
        <v/>
      </c>
      <c r="X350">
        <f>IF($A2="","",SUMIF('07_Pallet_Contents'!$A$2:$A$3000,$A2,'07_Pallet_Contents'!$D$2:$D$3000))</f>
        <v/>
      </c>
      <c r="Y350">
        <f>IF($A2="","",SUMIF('07_Pallet_Contents'!$A$2:$A$3000,$A2,'07_Pallet_Contents'!$I$2:$I$3000))</f>
        <v/>
      </c>
      <c r="Z350">
        <f>IF($A2="","",IF(COUNTIF('07_Pallet_Contents'!$A$2:$A$3000,$A2)&gt;0,"Yes",""))</f>
        <v/>
      </c>
    </row>
    <row r="351">
      <c r="A351" s="4" t="inlineStr">
        <is>
          <t>PAL-0000351</t>
        </is>
      </c>
      <c r="B351" s="22" t="n"/>
      <c r="D351">
        <f>IF($C351="","",IFERROR(LOOKUP(2,1/('03_Warehouse_Movements'!$C$2:$C$500=$A351),'03_Warehouse_Movements'!$E$2:$E$500),$C351))</f>
        <v/>
      </c>
      <c r="E351" t="inlineStr">
        <is>
          <t>STANDARD</t>
        </is>
      </c>
      <c r="G351" s="25" t="n"/>
      <c r="H351" s="24">
        <f>IF(AND($F351="TEMP",$G351&gt;0,$M351&lt;&gt;""),$M351+$G351,"")</f>
        <v/>
      </c>
      <c r="I351" s="22" t="n"/>
      <c r="J351" s="22" t="n"/>
      <c r="K351" s="24" t="n"/>
      <c r="M351" s="46">
        <f>IF($C351="","",IFERROR(LOOKUP(2,1/('03_Warehouse_Movements'!$C$2:$C$500=$A351),'03_Warehouse_Movements'!$A$2:$A$500),""))</f>
        <v/>
      </c>
      <c r="N351">
        <f>IF($C351="","",IFERROR(LOOKUP(2,1/('03_Warehouse_Movements'!$C$2:$C$500=$A351),'03_Warehouse_Movements'!$H$2:$H$500),""))</f>
        <v/>
      </c>
      <c r="O351">
        <f>A351</f>
        <v/>
      </c>
      <c r="Q351" s="25" t="n"/>
      <c r="R351" s="24" t="n"/>
      <c r="W351">
        <f>IF($A2="","",COUNTIF('07_Pallet_Contents'!$A$2:$A$3000,$A2))</f>
        <v/>
      </c>
      <c r="X351">
        <f>IF($A2="","",SUMIF('07_Pallet_Contents'!$A$2:$A$3000,$A2,'07_Pallet_Contents'!$D$2:$D$3000))</f>
        <v/>
      </c>
      <c r="Y351">
        <f>IF($A2="","",SUMIF('07_Pallet_Contents'!$A$2:$A$3000,$A2,'07_Pallet_Contents'!$I$2:$I$3000))</f>
        <v/>
      </c>
      <c r="Z351">
        <f>IF($A2="","",IF(COUNTIF('07_Pallet_Contents'!$A$2:$A$3000,$A2)&gt;0,"Yes",""))</f>
        <v/>
      </c>
    </row>
    <row r="352">
      <c r="A352" s="4" t="inlineStr">
        <is>
          <t>PAL-0000352</t>
        </is>
      </c>
      <c r="B352" s="22" t="n"/>
      <c r="D352">
        <f>IF($C352="","",IFERROR(LOOKUP(2,1/('03_Warehouse_Movements'!$C$2:$C$500=$A352),'03_Warehouse_Movements'!$E$2:$E$500),$C352))</f>
        <v/>
      </c>
      <c r="E352" t="inlineStr">
        <is>
          <t>STANDARD</t>
        </is>
      </c>
      <c r="G352" s="25" t="n"/>
      <c r="H352" s="24">
        <f>IF(AND($F352="TEMP",$G352&gt;0,$M352&lt;&gt;""),$M352+$G352,"")</f>
        <v/>
      </c>
      <c r="I352" s="22" t="n"/>
      <c r="J352" s="22" t="n"/>
      <c r="K352" s="24" t="n"/>
      <c r="M352" s="46">
        <f>IF($C352="","",IFERROR(LOOKUP(2,1/('03_Warehouse_Movements'!$C$2:$C$500=$A352),'03_Warehouse_Movements'!$A$2:$A$500),""))</f>
        <v/>
      </c>
      <c r="N352">
        <f>IF($C352="","",IFERROR(LOOKUP(2,1/('03_Warehouse_Movements'!$C$2:$C$500=$A352),'03_Warehouse_Movements'!$H$2:$H$500),""))</f>
        <v/>
      </c>
      <c r="O352">
        <f>A352</f>
        <v/>
      </c>
      <c r="Q352" s="25" t="n"/>
      <c r="R352" s="24" t="n"/>
      <c r="W352">
        <f>IF($A2="","",COUNTIF('07_Pallet_Contents'!$A$2:$A$3000,$A2))</f>
        <v/>
      </c>
      <c r="X352">
        <f>IF($A2="","",SUMIF('07_Pallet_Contents'!$A$2:$A$3000,$A2,'07_Pallet_Contents'!$D$2:$D$3000))</f>
        <v/>
      </c>
      <c r="Y352">
        <f>IF($A2="","",SUMIF('07_Pallet_Contents'!$A$2:$A$3000,$A2,'07_Pallet_Contents'!$I$2:$I$3000))</f>
        <v/>
      </c>
      <c r="Z352">
        <f>IF($A2="","",IF(COUNTIF('07_Pallet_Contents'!$A$2:$A$3000,$A2)&gt;0,"Yes",""))</f>
        <v/>
      </c>
    </row>
    <row r="353">
      <c r="A353" s="4" t="inlineStr">
        <is>
          <t>PAL-0000353</t>
        </is>
      </c>
      <c r="B353" s="22" t="n"/>
      <c r="D353">
        <f>IF($C353="","",IFERROR(LOOKUP(2,1/('03_Warehouse_Movements'!$C$2:$C$500=$A353),'03_Warehouse_Movements'!$E$2:$E$500),$C353))</f>
        <v/>
      </c>
      <c r="E353" t="inlineStr">
        <is>
          <t>STANDARD</t>
        </is>
      </c>
      <c r="G353" s="25" t="n"/>
      <c r="H353" s="24">
        <f>IF(AND($F353="TEMP",$G353&gt;0,$M353&lt;&gt;""),$M353+$G353,"")</f>
        <v/>
      </c>
      <c r="I353" s="22" t="n"/>
      <c r="J353" s="22" t="n"/>
      <c r="K353" s="24" t="n"/>
      <c r="M353" s="46">
        <f>IF($C353="","",IFERROR(LOOKUP(2,1/('03_Warehouse_Movements'!$C$2:$C$500=$A353),'03_Warehouse_Movements'!$A$2:$A$500),""))</f>
        <v/>
      </c>
      <c r="N353">
        <f>IF($C353="","",IFERROR(LOOKUP(2,1/('03_Warehouse_Movements'!$C$2:$C$500=$A353),'03_Warehouse_Movements'!$H$2:$H$500),""))</f>
        <v/>
      </c>
      <c r="O353">
        <f>A353</f>
        <v/>
      </c>
      <c r="Q353" s="25" t="n"/>
      <c r="R353" s="24" t="n"/>
      <c r="W353">
        <f>IF($A2="","",COUNTIF('07_Pallet_Contents'!$A$2:$A$3000,$A2))</f>
        <v/>
      </c>
      <c r="X353">
        <f>IF($A2="","",SUMIF('07_Pallet_Contents'!$A$2:$A$3000,$A2,'07_Pallet_Contents'!$D$2:$D$3000))</f>
        <v/>
      </c>
      <c r="Y353">
        <f>IF($A2="","",SUMIF('07_Pallet_Contents'!$A$2:$A$3000,$A2,'07_Pallet_Contents'!$I$2:$I$3000))</f>
        <v/>
      </c>
      <c r="Z353">
        <f>IF($A2="","",IF(COUNTIF('07_Pallet_Contents'!$A$2:$A$3000,$A2)&gt;0,"Yes",""))</f>
        <v/>
      </c>
    </row>
    <row r="354">
      <c r="A354" s="4" t="inlineStr">
        <is>
          <t>PAL-0000354</t>
        </is>
      </c>
      <c r="B354" s="22" t="n"/>
      <c r="D354">
        <f>IF($C354="","",IFERROR(LOOKUP(2,1/('03_Warehouse_Movements'!$C$2:$C$500=$A354),'03_Warehouse_Movements'!$E$2:$E$500),$C354))</f>
        <v/>
      </c>
      <c r="E354" t="inlineStr">
        <is>
          <t>STANDARD</t>
        </is>
      </c>
      <c r="G354" s="25" t="n"/>
      <c r="H354" s="24">
        <f>IF(AND($F354="TEMP",$G354&gt;0,$M354&lt;&gt;""),$M354+$G354,"")</f>
        <v/>
      </c>
      <c r="I354" s="22" t="n"/>
      <c r="J354" s="22" t="n"/>
      <c r="K354" s="24" t="n"/>
      <c r="M354" s="46">
        <f>IF($C354="","",IFERROR(LOOKUP(2,1/('03_Warehouse_Movements'!$C$2:$C$500=$A354),'03_Warehouse_Movements'!$A$2:$A$500),""))</f>
        <v/>
      </c>
      <c r="N354">
        <f>IF($C354="","",IFERROR(LOOKUP(2,1/('03_Warehouse_Movements'!$C$2:$C$500=$A354),'03_Warehouse_Movements'!$H$2:$H$500),""))</f>
        <v/>
      </c>
      <c r="O354">
        <f>A354</f>
        <v/>
      </c>
      <c r="Q354" s="25" t="n"/>
      <c r="R354" s="24" t="n"/>
      <c r="W354">
        <f>IF($A2="","",COUNTIF('07_Pallet_Contents'!$A$2:$A$3000,$A2))</f>
        <v/>
      </c>
      <c r="X354">
        <f>IF($A2="","",SUMIF('07_Pallet_Contents'!$A$2:$A$3000,$A2,'07_Pallet_Contents'!$D$2:$D$3000))</f>
        <v/>
      </c>
      <c r="Y354">
        <f>IF($A2="","",SUMIF('07_Pallet_Contents'!$A$2:$A$3000,$A2,'07_Pallet_Contents'!$I$2:$I$3000))</f>
        <v/>
      </c>
      <c r="Z354">
        <f>IF($A2="","",IF(COUNTIF('07_Pallet_Contents'!$A$2:$A$3000,$A2)&gt;0,"Yes",""))</f>
        <v/>
      </c>
    </row>
    <row r="355">
      <c r="A355" s="4" t="inlineStr">
        <is>
          <t>PAL-0000355</t>
        </is>
      </c>
      <c r="B355" s="22" t="n"/>
      <c r="D355">
        <f>IF($C355="","",IFERROR(LOOKUP(2,1/('03_Warehouse_Movements'!$C$2:$C$500=$A355),'03_Warehouse_Movements'!$E$2:$E$500),$C355))</f>
        <v/>
      </c>
      <c r="E355" t="inlineStr">
        <is>
          <t>STANDARD</t>
        </is>
      </c>
      <c r="G355" s="25" t="n"/>
      <c r="H355" s="24">
        <f>IF(AND($F355="TEMP",$G355&gt;0,$M355&lt;&gt;""),$M355+$G355,"")</f>
        <v/>
      </c>
      <c r="I355" s="22" t="n"/>
      <c r="J355" s="22" t="n"/>
      <c r="K355" s="24" t="n"/>
      <c r="M355" s="46">
        <f>IF($C355="","",IFERROR(LOOKUP(2,1/('03_Warehouse_Movements'!$C$2:$C$500=$A355),'03_Warehouse_Movements'!$A$2:$A$500),""))</f>
        <v/>
      </c>
      <c r="N355">
        <f>IF($C355="","",IFERROR(LOOKUP(2,1/('03_Warehouse_Movements'!$C$2:$C$500=$A355),'03_Warehouse_Movements'!$H$2:$H$500),""))</f>
        <v/>
      </c>
      <c r="O355">
        <f>A355</f>
        <v/>
      </c>
      <c r="Q355" s="25" t="n"/>
      <c r="R355" s="24" t="n"/>
      <c r="W355">
        <f>IF($A2="","",COUNTIF('07_Pallet_Contents'!$A$2:$A$3000,$A2))</f>
        <v/>
      </c>
      <c r="X355">
        <f>IF($A2="","",SUMIF('07_Pallet_Contents'!$A$2:$A$3000,$A2,'07_Pallet_Contents'!$D$2:$D$3000))</f>
        <v/>
      </c>
      <c r="Y355">
        <f>IF($A2="","",SUMIF('07_Pallet_Contents'!$A$2:$A$3000,$A2,'07_Pallet_Contents'!$I$2:$I$3000))</f>
        <v/>
      </c>
      <c r="Z355">
        <f>IF($A2="","",IF(COUNTIF('07_Pallet_Contents'!$A$2:$A$3000,$A2)&gt;0,"Yes",""))</f>
        <v/>
      </c>
    </row>
    <row r="356">
      <c r="A356" s="4" t="inlineStr">
        <is>
          <t>PAL-0000356</t>
        </is>
      </c>
      <c r="B356" s="22" t="n"/>
      <c r="D356">
        <f>IF($C356="","",IFERROR(LOOKUP(2,1/('03_Warehouse_Movements'!$C$2:$C$500=$A356),'03_Warehouse_Movements'!$E$2:$E$500),$C356))</f>
        <v/>
      </c>
      <c r="E356" t="inlineStr">
        <is>
          <t>STANDARD</t>
        </is>
      </c>
      <c r="G356" s="25" t="n"/>
      <c r="H356" s="24">
        <f>IF(AND($F356="TEMP",$G356&gt;0,$M356&lt;&gt;""),$M356+$G356,"")</f>
        <v/>
      </c>
      <c r="I356" s="22" t="n"/>
      <c r="J356" s="22" t="n"/>
      <c r="K356" s="24" t="n"/>
      <c r="M356" s="46">
        <f>IF($C356="","",IFERROR(LOOKUP(2,1/('03_Warehouse_Movements'!$C$2:$C$500=$A356),'03_Warehouse_Movements'!$A$2:$A$500),""))</f>
        <v/>
      </c>
      <c r="N356">
        <f>IF($C356="","",IFERROR(LOOKUP(2,1/('03_Warehouse_Movements'!$C$2:$C$500=$A356),'03_Warehouse_Movements'!$H$2:$H$500),""))</f>
        <v/>
      </c>
      <c r="O356">
        <f>A356</f>
        <v/>
      </c>
      <c r="Q356" s="25" t="n"/>
      <c r="R356" s="24" t="n"/>
      <c r="W356">
        <f>IF($A2="","",COUNTIF('07_Pallet_Contents'!$A$2:$A$3000,$A2))</f>
        <v/>
      </c>
      <c r="X356">
        <f>IF($A2="","",SUMIF('07_Pallet_Contents'!$A$2:$A$3000,$A2,'07_Pallet_Contents'!$D$2:$D$3000))</f>
        <v/>
      </c>
      <c r="Y356">
        <f>IF($A2="","",SUMIF('07_Pallet_Contents'!$A$2:$A$3000,$A2,'07_Pallet_Contents'!$I$2:$I$3000))</f>
        <v/>
      </c>
      <c r="Z356">
        <f>IF($A2="","",IF(COUNTIF('07_Pallet_Contents'!$A$2:$A$3000,$A2)&gt;0,"Yes",""))</f>
        <v/>
      </c>
    </row>
    <row r="357">
      <c r="A357" s="4" t="inlineStr">
        <is>
          <t>PAL-0000357</t>
        </is>
      </c>
      <c r="B357" s="22" t="n"/>
      <c r="D357">
        <f>IF($C357="","",IFERROR(LOOKUP(2,1/('03_Warehouse_Movements'!$C$2:$C$500=$A357),'03_Warehouse_Movements'!$E$2:$E$500),$C357))</f>
        <v/>
      </c>
      <c r="E357" t="inlineStr">
        <is>
          <t>STANDARD</t>
        </is>
      </c>
      <c r="G357" s="25" t="n"/>
      <c r="H357" s="24">
        <f>IF(AND($F357="TEMP",$G357&gt;0,$M357&lt;&gt;""),$M357+$G357,"")</f>
        <v/>
      </c>
      <c r="I357" s="22" t="n"/>
      <c r="J357" s="22" t="n"/>
      <c r="K357" s="24" t="n"/>
      <c r="M357" s="46">
        <f>IF($C357="","",IFERROR(LOOKUP(2,1/('03_Warehouse_Movements'!$C$2:$C$500=$A357),'03_Warehouse_Movements'!$A$2:$A$500),""))</f>
        <v/>
      </c>
      <c r="N357">
        <f>IF($C357="","",IFERROR(LOOKUP(2,1/('03_Warehouse_Movements'!$C$2:$C$500=$A357),'03_Warehouse_Movements'!$H$2:$H$500),""))</f>
        <v/>
      </c>
      <c r="O357">
        <f>A357</f>
        <v/>
      </c>
      <c r="Q357" s="25" t="n"/>
      <c r="R357" s="24" t="n"/>
      <c r="W357">
        <f>IF($A2="","",COUNTIF('07_Pallet_Contents'!$A$2:$A$3000,$A2))</f>
        <v/>
      </c>
      <c r="X357">
        <f>IF($A2="","",SUMIF('07_Pallet_Contents'!$A$2:$A$3000,$A2,'07_Pallet_Contents'!$D$2:$D$3000))</f>
        <v/>
      </c>
      <c r="Y357">
        <f>IF($A2="","",SUMIF('07_Pallet_Contents'!$A$2:$A$3000,$A2,'07_Pallet_Contents'!$I$2:$I$3000))</f>
        <v/>
      </c>
      <c r="Z357">
        <f>IF($A2="","",IF(COUNTIF('07_Pallet_Contents'!$A$2:$A$3000,$A2)&gt;0,"Yes",""))</f>
        <v/>
      </c>
    </row>
    <row r="358">
      <c r="A358" s="4" t="inlineStr">
        <is>
          <t>PAL-0000358</t>
        </is>
      </c>
      <c r="B358" s="22" t="n"/>
      <c r="D358">
        <f>IF($C358="","",IFERROR(LOOKUP(2,1/('03_Warehouse_Movements'!$C$2:$C$500=$A358),'03_Warehouse_Movements'!$E$2:$E$500),$C358))</f>
        <v/>
      </c>
      <c r="E358" t="inlineStr">
        <is>
          <t>STANDARD</t>
        </is>
      </c>
      <c r="G358" s="25" t="n"/>
      <c r="H358" s="24">
        <f>IF(AND($F358="TEMP",$G358&gt;0,$M358&lt;&gt;""),$M358+$G358,"")</f>
        <v/>
      </c>
      <c r="I358" s="22" t="n"/>
      <c r="J358" s="22" t="n"/>
      <c r="K358" s="24" t="n"/>
      <c r="M358" s="46">
        <f>IF($C358="","",IFERROR(LOOKUP(2,1/('03_Warehouse_Movements'!$C$2:$C$500=$A358),'03_Warehouse_Movements'!$A$2:$A$500),""))</f>
        <v/>
      </c>
      <c r="N358">
        <f>IF($C358="","",IFERROR(LOOKUP(2,1/('03_Warehouse_Movements'!$C$2:$C$500=$A358),'03_Warehouse_Movements'!$H$2:$H$500),""))</f>
        <v/>
      </c>
      <c r="O358">
        <f>A358</f>
        <v/>
      </c>
      <c r="Q358" s="25" t="n"/>
      <c r="R358" s="24" t="n"/>
      <c r="W358">
        <f>IF($A2="","",COUNTIF('07_Pallet_Contents'!$A$2:$A$3000,$A2))</f>
        <v/>
      </c>
      <c r="X358">
        <f>IF($A2="","",SUMIF('07_Pallet_Contents'!$A$2:$A$3000,$A2,'07_Pallet_Contents'!$D$2:$D$3000))</f>
        <v/>
      </c>
      <c r="Y358">
        <f>IF($A2="","",SUMIF('07_Pallet_Contents'!$A$2:$A$3000,$A2,'07_Pallet_Contents'!$I$2:$I$3000))</f>
        <v/>
      </c>
      <c r="Z358">
        <f>IF($A2="","",IF(COUNTIF('07_Pallet_Contents'!$A$2:$A$3000,$A2)&gt;0,"Yes",""))</f>
        <v/>
      </c>
    </row>
    <row r="359">
      <c r="A359" s="4" t="inlineStr">
        <is>
          <t>PAL-0000359</t>
        </is>
      </c>
      <c r="B359" s="22" t="n"/>
      <c r="D359">
        <f>IF($C359="","",IFERROR(LOOKUP(2,1/('03_Warehouse_Movements'!$C$2:$C$500=$A359),'03_Warehouse_Movements'!$E$2:$E$500),$C359))</f>
        <v/>
      </c>
      <c r="E359" t="inlineStr">
        <is>
          <t>STANDARD</t>
        </is>
      </c>
      <c r="G359" s="25" t="n"/>
      <c r="H359" s="24">
        <f>IF(AND($F359="TEMP",$G359&gt;0,$M359&lt;&gt;""),$M359+$G359,"")</f>
        <v/>
      </c>
      <c r="I359" s="22" t="n"/>
      <c r="J359" s="22" t="n"/>
      <c r="K359" s="24" t="n"/>
      <c r="M359" s="46">
        <f>IF($C359="","",IFERROR(LOOKUP(2,1/('03_Warehouse_Movements'!$C$2:$C$500=$A359),'03_Warehouse_Movements'!$A$2:$A$500),""))</f>
        <v/>
      </c>
      <c r="N359">
        <f>IF($C359="","",IFERROR(LOOKUP(2,1/('03_Warehouse_Movements'!$C$2:$C$500=$A359),'03_Warehouse_Movements'!$H$2:$H$500),""))</f>
        <v/>
      </c>
      <c r="O359">
        <f>A359</f>
        <v/>
      </c>
      <c r="Q359" s="25" t="n"/>
      <c r="R359" s="24" t="n"/>
      <c r="W359">
        <f>IF($A2="","",COUNTIF('07_Pallet_Contents'!$A$2:$A$3000,$A2))</f>
        <v/>
      </c>
      <c r="X359">
        <f>IF($A2="","",SUMIF('07_Pallet_Contents'!$A$2:$A$3000,$A2,'07_Pallet_Contents'!$D$2:$D$3000))</f>
        <v/>
      </c>
      <c r="Y359">
        <f>IF($A2="","",SUMIF('07_Pallet_Contents'!$A$2:$A$3000,$A2,'07_Pallet_Contents'!$I$2:$I$3000))</f>
        <v/>
      </c>
      <c r="Z359">
        <f>IF($A2="","",IF(COUNTIF('07_Pallet_Contents'!$A$2:$A$3000,$A2)&gt;0,"Yes",""))</f>
        <v/>
      </c>
    </row>
    <row r="360">
      <c r="A360" s="4" t="inlineStr">
        <is>
          <t>PAL-0000360</t>
        </is>
      </c>
      <c r="B360" s="22" t="n"/>
      <c r="D360">
        <f>IF($C360="","",IFERROR(LOOKUP(2,1/('03_Warehouse_Movements'!$C$2:$C$500=$A360),'03_Warehouse_Movements'!$E$2:$E$500),$C360))</f>
        <v/>
      </c>
      <c r="E360" t="inlineStr">
        <is>
          <t>STANDARD</t>
        </is>
      </c>
      <c r="G360" s="25" t="n"/>
      <c r="H360" s="24">
        <f>IF(AND($F360="TEMP",$G360&gt;0,$M360&lt;&gt;""),$M360+$G360,"")</f>
        <v/>
      </c>
      <c r="I360" s="22" t="n"/>
      <c r="J360" s="22" t="n"/>
      <c r="K360" s="24" t="n"/>
      <c r="M360" s="46">
        <f>IF($C360="","",IFERROR(LOOKUP(2,1/('03_Warehouse_Movements'!$C$2:$C$500=$A360),'03_Warehouse_Movements'!$A$2:$A$500),""))</f>
        <v/>
      </c>
      <c r="N360">
        <f>IF($C360="","",IFERROR(LOOKUP(2,1/('03_Warehouse_Movements'!$C$2:$C$500=$A360),'03_Warehouse_Movements'!$H$2:$H$500),""))</f>
        <v/>
      </c>
      <c r="O360">
        <f>A360</f>
        <v/>
      </c>
      <c r="Q360" s="25" t="n"/>
      <c r="R360" s="24" t="n"/>
      <c r="W360">
        <f>IF($A2="","",COUNTIF('07_Pallet_Contents'!$A$2:$A$3000,$A2))</f>
        <v/>
      </c>
      <c r="X360">
        <f>IF($A2="","",SUMIF('07_Pallet_Contents'!$A$2:$A$3000,$A2,'07_Pallet_Contents'!$D$2:$D$3000))</f>
        <v/>
      </c>
      <c r="Y360">
        <f>IF($A2="","",SUMIF('07_Pallet_Contents'!$A$2:$A$3000,$A2,'07_Pallet_Contents'!$I$2:$I$3000))</f>
        <v/>
      </c>
      <c r="Z360">
        <f>IF($A2="","",IF(COUNTIF('07_Pallet_Contents'!$A$2:$A$3000,$A2)&gt;0,"Yes",""))</f>
        <v/>
      </c>
    </row>
    <row r="361">
      <c r="A361" s="4" t="inlineStr">
        <is>
          <t>PAL-0000361</t>
        </is>
      </c>
      <c r="B361" s="22" t="n"/>
      <c r="D361">
        <f>IF($C361="","",IFERROR(LOOKUP(2,1/('03_Warehouse_Movements'!$C$2:$C$500=$A361),'03_Warehouse_Movements'!$E$2:$E$500),$C361))</f>
        <v/>
      </c>
      <c r="E361" t="inlineStr">
        <is>
          <t>STANDARD</t>
        </is>
      </c>
      <c r="G361" s="25" t="n"/>
      <c r="H361" s="24">
        <f>IF(AND($F361="TEMP",$G361&gt;0,$M361&lt;&gt;""),$M361+$G361,"")</f>
        <v/>
      </c>
      <c r="I361" s="22" t="n"/>
      <c r="J361" s="22" t="n"/>
      <c r="K361" s="24" t="n"/>
      <c r="M361" s="46">
        <f>IF($C361="","",IFERROR(LOOKUP(2,1/('03_Warehouse_Movements'!$C$2:$C$500=$A361),'03_Warehouse_Movements'!$A$2:$A$500),""))</f>
        <v/>
      </c>
      <c r="N361">
        <f>IF($C361="","",IFERROR(LOOKUP(2,1/('03_Warehouse_Movements'!$C$2:$C$500=$A361),'03_Warehouse_Movements'!$H$2:$H$500),""))</f>
        <v/>
      </c>
      <c r="O361">
        <f>A361</f>
        <v/>
      </c>
      <c r="Q361" s="25" t="n"/>
      <c r="R361" s="24" t="n"/>
      <c r="W361">
        <f>IF($A2="","",COUNTIF('07_Pallet_Contents'!$A$2:$A$3000,$A2))</f>
        <v/>
      </c>
      <c r="X361">
        <f>IF($A2="","",SUMIF('07_Pallet_Contents'!$A$2:$A$3000,$A2,'07_Pallet_Contents'!$D$2:$D$3000))</f>
        <v/>
      </c>
      <c r="Y361">
        <f>IF($A2="","",SUMIF('07_Pallet_Contents'!$A$2:$A$3000,$A2,'07_Pallet_Contents'!$I$2:$I$3000))</f>
        <v/>
      </c>
      <c r="Z361">
        <f>IF($A2="","",IF(COUNTIF('07_Pallet_Contents'!$A$2:$A$3000,$A2)&gt;0,"Yes",""))</f>
        <v/>
      </c>
    </row>
    <row r="362">
      <c r="A362" s="4" t="inlineStr">
        <is>
          <t>PAL-0000362</t>
        </is>
      </c>
      <c r="B362" s="22" t="n"/>
      <c r="D362">
        <f>IF($C362="","",IFERROR(LOOKUP(2,1/('03_Warehouse_Movements'!$C$2:$C$500=$A362),'03_Warehouse_Movements'!$E$2:$E$500),$C362))</f>
        <v/>
      </c>
      <c r="E362" t="inlineStr">
        <is>
          <t>STANDARD</t>
        </is>
      </c>
      <c r="G362" s="25" t="n"/>
      <c r="H362" s="24">
        <f>IF(AND($F362="TEMP",$G362&gt;0,$M362&lt;&gt;""),$M362+$G362,"")</f>
        <v/>
      </c>
      <c r="I362" s="22" t="n"/>
      <c r="J362" s="22" t="n"/>
      <c r="K362" s="24" t="n"/>
      <c r="M362" s="46">
        <f>IF($C362="","",IFERROR(LOOKUP(2,1/('03_Warehouse_Movements'!$C$2:$C$500=$A362),'03_Warehouse_Movements'!$A$2:$A$500),""))</f>
        <v/>
      </c>
      <c r="N362">
        <f>IF($C362="","",IFERROR(LOOKUP(2,1/('03_Warehouse_Movements'!$C$2:$C$500=$A362),'03_Warehouse_Movements'!$H$2:$H$500),""))</f>
        <v/>
      </c>
      <c r="O362">
        <f>A362</f>
        <v/>
      </c>
      <c r="Q362" s="25" t="n"/>
      <c r="R362" s="24" t="n"/>
      <c r="W362">
        <f>IF($A2="","",COUNTIF('07_Pallet_Contents'!$A$2:$A$3000,$A2))</f>
        <v/>
      </c>
      <c r="X362">
        <f>IF($A2="","",SUMIF('07_Pallet_Contents'!$A$2:$A$3000,$A2,'07_Pallet_Contents'!$D$2:$D$3000))</f>
        <v/>
      </c>
      <c r="Y362">
        <f>IF($A2="","",SUMIF('07_Pallet_Contents'!$A$2:$A$3000,$A2,'07_Pallet_Contents'!$I$2:$I$3000))</f>
        <v/>
      </c>
      <c r="Z362">
        <f>IF($A2="","",IF(COUNTIF('07_Pallet_Contents'!$A$2:$A$3000,$A2)&gt;0,"Yes",""))</f>
        <v/>
      </c>
    </row>
    <row r="363">
      <c r="A363" s="4" t="inlineStr">
        <is>
          <t>PAL-0000363</t>
        </is>
      </c>
      <c r="B363" s="22" t="n"/>
      <c r="D363">
        <f>IF($C363="","",IFERROR(LOOKUP(2,1/('03_Warehouse_Movements'!$C$2:$C$500=$A363),'03_Warehouse_Movements'!$E$2:$E$500),$C363))</f>
        <v/>
      </c>
      <c r="E363" t="inlineStr">
        <is>
          <t>STANDARD</t>
        </is>
      </c>
      <c r="G363" s="25" t="n"/>
      <c r="H363" s="24">
        <f>IF(AND($F363="TEMP",$G363&gt;0,$M363&lt;&gt;""),$M363+$G363,"")</f>
        <v/>
      </c>
      <c r="I363" s="22" t="n"/>
      <c r="J363" s="22" t="n"/>
      <c r="K363" s="24" t="n"/>
      <c r="M363" s="46">
        <f>IF($C363="","",IFERROR(LOOKUP(2,1/('03_Warehouse_Movements'!$C$2:$C$500=$A363),'03_Warehouse_Movements'!$A$2:$A$500),""))</f>
        <v/>
      </c>
      <c r="N363">
        <f>IF($C363="","",IFERROR(LOOKUP(2,1/('03_Warehouse_Movements'!$C$2:$C$500=$A363),'03_Warehouse_Movements'!$H$2:$H$500),""))</f>
        <v/>
      </c>
      <c r="O363">
        <f>A363</f>
        <v/>
      </c>
      <c r="Q363" s="25" t="n"/>
      <c r="R363" s="24" t="n"/>
      <c r="W363">
        <f>IF($A2="","",COUNTIF('07_Pallet_Contents'!$A$2:$A$3000,$A2))</f>
        <v/>
      </c>
      <c r="X363">
        <f>IF($A2="","",SUMIF('07_Pallet_Contents'!$A$2:$A$3000,$A2,'07_Pallet_Contents'!$D$2:$D$3000))</f>
        <v/>
      </c>
      <c r="Y363">
        <f>IF($A2="","",SUMIF('07_Pallet_Contents'!$A$2:$A$3000,$A2,'07_Pallet_Contents'!$I$2:$I$3000))</f>
        <v/>
      </c>
      <c r="Z363">
        <f>IF($A2="","",IF(COUNTIF('07_Pallet_Contents'!$A$2:$A$3000,$A2)&gt;0,"Yes",""))</f>
        <v/>
      </c>
    </row>
    <row r="364">
      <c r="A364" s="4" t="inlineStr">
        <is>
          <t>PAL-0000364</t>
        </is>
      </c>
      <c r="B364" s="22" t="n"/>
      <c r="D364">
        <f>IF($C364="","",IFERROR(LOOKUP(2,1/('03_Warehouse_Movements'!$C$2:$C$500=$A364),'03_Warehouse_Movements'!$E$2:$E$500),$C364))</f>
        <v/>
      </c>
      <c r="E364" t="inlineStr">
        <is>
          <t>STANDARD</t>
        </is>
      </c>
      <c r="G364" s="25" t="n"/>
      <c r="H364" s="24">
        <f>IF(AND($F364="TEMP",$G364&gt;0,$M364&lt;&gt;""),$M364+$G364,"")</f>
        <v/>
      </c>
      <c r="I364" s="22" t="n"/>
      <c r="J364" s="22" t="n"/>
      <c r="K364" s="24" t="n"/>
      <c r="M364" s="46">
        <f>IF($C364="","",IFERROR(LOOKUP(2,1/('03_Warehouse_Movements'!$C$2:$C$500=$A364),'03_Warehouse_Movements'!$A$2:$A$500),""))</f>
        <v/>
      </c>
      <c r="N364">
        <f>IF($C364="","",IFERROR(LOOKUP(2,1/('03_Warehouse_Movements'!$C$2:$C$500=$A364),'03_Warehouse_Movements'!$H$2:$H$500),""))</f>
        <v/>
      </c>
      <c r="O364">
        <f>A364</f>
        <v/>
      </c>
      <c r="Q364" s="25" t="n"/>
      <c r="R364" s="24" t="n"/>
      <c r="W364">
        <f>IF($A2="","",COUNTIF('07_Pallet_Contents'!$A$2:$A$3000,$A2))</f>
        <v/>
      </c>
      <c r="X364">
        <f>IF($A2="","",SUMIF('07_Pallet_Contents'!$A$2:$A$3000,$A2,'07_Pallet_Contents'!$D$2:$D$3000))</f>
        <v/>
      </c>
      <c r="Y364">
        <f>IF($A2="","",SUMIF('07_Pallet_Contents'!$A$2:$A$3000,$A2,'07_Pallet_Contents'!$I$2:$I$3000))</f>
        <v/>
      </c>
      <c r="Z364">
        <f>IF($A2="","",IF(COUNTIF('07_Pallet_Contents'!$A$2:$A$3000,$A2)&gt;0,"Yes",""))</f>
        <v/>
      </c>
    </row>
    <row r="365">
      <c r="A365" s="4" t="inlineStr">
        <is>
          <t>PAL-0000365</t>
        </is>
      </c>
      <c r="B365" s="22" t="n"/>
      <c r="D365">
        <f>IF($C365="","",IFERROR(LOOKUP(2,1/('03_Warehouse_Movements'!$C$2:$C$500=$A365),'03_Warehouse_Movements'!$E$2:$E$500),$C365))</f>
        <v/>
      </c>
      <c r="E365" t="inlineStr">
        <is>
          <t>STANDARD</t>
        </is>
      </c>
      <c r="G365" s="25" t="n"/>
      <c r="H365" s="24">
        <f>IF(AND($F365="TEMP",$G365&gt;0,$M365&lt;&gt;""),$M365+$G365,"")</f>
        <v/>
      </c>
      <c r="I365" s="22" t="n"/>
      <c r="J365" s="22" t="n"/>
      <c r="K365" s="24" t="n"/>
      <c r="M365" s="46">
        <f>IF($C365="","",IFERROR(LOOKUP(2,1/('03_Warehouse_Movements'!$C$2:$C$500=$A365),'03_Warehouse_Movements'!$A$2:$A$500),""))</f>
        <v/>
      </c>
      <c r="N365">
        <f>IF($C365="","",IFERROR(LOOKUP(2,1/('03_Warehouse_Movements'!$C$2:$C$500=$A365),'03_Warehouse_Movements'!$H$2:$H$500),""))</f>
        <v/>
      </c>
      <c r="O365">
        <f>A365</f>
        <v/>
      </c>
      <c r="Q365" s="25" t="n"/>
      <c r="R365" s="24" t="n"/>
      <c r="W365">
        <f>IF($A2="","",COUNTIF('07_Pallet_Contents'!$A$2:$A$3000,$A2))</f>
        <v/>
      </c>
      <c r="X365">
        <f>IF($A2="","",SUMIF('07_Pallet_Contents'!$A$2:$A$3000,$A2,'07_Pallet_Contents'!$D$2:$D$3000))</f>
        <v/>
      </c>
      <c r="Y365">
        <f>IF($A2="","",SUMIF('07_Pallet_Contents'!$A$2:$A$3000,$A2,'07_Pallet_Contents'!$I$2:$I$3000))</f>
        <v/>
      </c>
      <c r="Z365">
        <f>IF($A2="","",IF(COUNTIF('07_Pallet_Contents'!$A$2:$A$3000,$A2)&gt;0,"Yes",""))</f>
        <v/>
      </c>
    </row>
    <row r="366">
      <c r="A366" s="4" t="inlineStr">
        <is>
          <t>PAL-0000366</t>
        </is>
      </c>
      <c r="B366" s="22" t="n"/>
      <c r="D366">
        <f>IF($C366="","",IFERROR(LOOKUP(2,1/('03_Warehouse_Movements'!$C$2:$C$500=$A366),'03_Warehouse_Movements'!$E$2:$E$500),$C366))</f>
        <v/>
      </c>
      <c r="E366" t="inlineStr">
        <is>
          <t>STANDARD</t>
        </is>
      </c>
      <c r="G366" s="25" t="n"/>
      <c r="H366" s="24">
        <f>IF(AND($F366="TEMP",$G366&gt;0,$M366&lt;&gt;""),$M366+$G366,"")</f>
        <v/>
      </c>
      <c r="I366" s="22" t="n"/>
      <c r="J366" s="22" t="n"/>
      <c r="K366" s="24" t="n"/>
      <c r="M366" s="46">
        <f>IF($C366="","",IFERROR(LOOKUP(2,1/('03_Warehouse_Movements'!$C$2:$C$500=$A366),'03_Warehouse_Movements'!$A$2:$A$500),""))</f>
        <v/>
      </c>
      <c r="N366">
        <f>IF($C366="","",IFERROR(LOOKUP(2,1/('03_Warehouse_Movements'!$C$2:$C$500=$A366),'03_Warehouse_Movements'!$H$2:$H$500),""))</f>
        <v/>
      </c>
      <c r="O366">
        <f>A366</f>
        <v/>
      </c>
      <c r="Q366" s="25" t="n"/>
      <c r="R366" s="24" t="n"/>
      <c r="W366">
        <f>IF($A2="","",COUNTIF('07_Pallet_Contents'!$A$2:$A$3000,$A2))</f>
        <v/>
      </c>
      <c r="X366">
        <f>IF($A2="","",SUMIF('07_Pallet_Contents'!$A$2:$A$3000,$A2,'07_Pallet_Contents'!$D$2:$D$3000))</f>
        <v/>
      </c>
      <c r="Y366">
        <f>IF($A2="","",SUMIF('07_Pallet_Contents'!$A$2:$A$3000,$A2,'07_Pallet_Contents'!$I$2:$I$3000))</f>
        <v/>
      </c>
      <c r="Z366">
        <f>IF($A2="","",IF(COUNTIF('07_Pallet_Contents'!$A$2:$A$3000,$A2)&gt;0,"Yes",""))</f>
        <v/>
      </c>
    </row>
    <row r="367">
      <c r="A367" s="4" t="inlineStr">
        <is>
          <t>PAL-0000367</t>
        </is>
      </c>
      <c r="B367" s="22" t="n"/>
      <c r="D367">
        <f>IF($C367="","",IFERROR(LOOKUP(2,1/('03_Warehouse_Movements'!$C$2:$C$500=$A367),'03_Warehouse_Movements'!$E$2:$E$500),$C367))</f>
        <v/>
      </c>
      <c r="E367" t="inlineStr">
        <is>
          <t>STANDARD</t>
        </is>
      </c>
      <c r="G367" s="25" t="n"/>
      <c r="H367" s="24">
        <f>IF(AND($F367="TEMP",$G367&gt;0,$M367&lt;&gt;""),$M367+$G367,"")</f>
        <v/>
      </c>
      <c r="I367" s="22" t="n"/>
      <c r="J367" s="22" t="n"/>
      <c r="K367" s="24" t="n"/>
      <c r="M367" s="46">
        <f>IF($C367="","",IFERROR(LOOKUP(2,1/('03_Warehouse_Movements'!$C$2:$C$500=$A367),'03_Warehouse_Movements'!$A$2:$A$500),""))</f>
        <v/>
      </c>
      <c r="N367">
        <f>IF($C367="","",IFERROR(LOOKUP(2,1/('03_Warehouse_Movements'!$C$2:$C$500=$A367),'03_Warehouse_Movements'!$H$2:$H$500),""))</f>
        <v/>
      </c>
      <c r="O367">
        <f>A367</f>
        <v/>
      </c>
      <c r="Q367" s="25" t="n"/>
      <c r="R367" s="24" t="n"/>
      <c r="W367">
        <f>IF($A2="","",COUNTIF('07_Pallet_Contents'!$A$2:$A$3000,$A2))</f>
        <v/>
      </c>
      <c r="X367">
        <f>IF($A2="","",SUMIF('07_Pallet_Contents'!$A$2:$A$3000,$A2,'07_Pallet_Contents'!$D$2:$D$3000))</f>
        <v/>
      </c>
      <c r="Y367">
        <f>IF($A2="","",SUMIF('07_Pallet_Contents'!$A$2:$A$3000,$A2,'07_Pallet_Contents'!$I$2:$I$3000))</f>
        <v/>
      </c>
      <c r="Z367">
        <f>IF($A2="","",IF(COUNTIF('07_Pallet_Contents'!$A$2:$A$3000,$A2)&gt;0,"Yes",""))</f>
        <v/>
      </c>
    </row>
    <row r="368">
      <c r="A368" s="4" t="inlineStr">
        <is>
          <t>PAL-0000368</t>
        </is>
      </c>
      <c r="B368" s="22" t="n"/>
      <c r="D368">
        <f>IF($C368="","",IFERROR(LOOKUP(2,1/('03_Warehouse_Movements'!$C$2:$C$500=$A368),'03_Warehouse_Movements'!$E$2:$E$500),$C368))</f>
        <v/>
      </c>
      <c r="E368" t="inlineStr">
        <is>
          <t>STANDARD</t>
        </is>
      </c>
      <c r="G368" s="25" t="n"/>
      <c r="H368" s="24">
        <f>IF(AND($F368="TEMP",$G368&gt;0,$M368&lt;&gt;""),$M368+$G368,"")</f>
        <v/>
      </c>
      <c r="I368" s="22" t="n"/>
      <c r="J368" s="22" t="n"/>
      <c r="K368" s="24" t="n"/>
      <c r="M368" s="46">
        <f>IF($C368="","",IFERROR(LOOKUP(2,1/('03_Warehouse_Movements'!$C$2:$C$500=$A368),'03_Warehouse_Movements'!$A$2:$A$500),""))</f>
        <v/>
      </c>
      <c r="N368">
        <f>IF($C368="","",IFERROR(LOOKUP(2,1/('03_Warehouse_Movements'!$C$2:$C$500=$A368),'03_Warehouse_Movements'!$H$2:$H$500),""))</f>
        <v/>
      </c>
      <c r="O368">
        <f>A368</f>
        <v/>
      </c>
      <c r="Q368" s="25" t="n"/>
      <c r="R368" s="24" t="n"/>
      <c r="W368">
        <f>IF($A2="","",COUNTIF('07_Pallet_Contents'!$A$2:$A$3000,$A2))</f>
        <v/>
      </c>
      <c r="X368">
        <f>IF($A2="","",SUMIF('07_Pallet_Contents'!$A$2:$A$3000,$A2,'07_Pallet_Contents'!$D$2:$D$3000))</f>
        <v/>
      </c>
      <c r="Y368">
        <f>IF($A2="","",SUMIF('07_Pallet_Contents'!$A$2:$A$3000,$A2,'07_Pallet_Contents'!$I$2:$I$3000))</f>
        <v/>
      </c>
      <c r="Z368">
        <f>IF($A2="","",IF(COUNTIF('07_Pallet_Contents'!$A$2:$A$3000,$A2)&gt;0,"Yes",""))</f>
        <v/>
      </c>
    </row>
    <row r="369">
      <c r="A369" s="4" t="inlineStr">
        <is>
          <t>PAL-0000369</t>
        </is>
      </c>
      <c r="B369" s="22" t="n"/>
      <c r="D369">
        <f>IF($C369="","",IFERROR(LOOKUP(2,1/('03_Warehouse_Movements'!$C$2:$C$500=$A369),'03_Warehouse_Movements'!$E$2:$E$500),$C369))</f>
        <v/>
      </c>
      <c r="E369" t="inlineStr">
        <is>
          <t>STANDARD</t>
        </is>
      </c>
      <c r="G369" s="25" t="n"/>
      <c r="H369" s="24">
        <f>IF(AND($F369="TEMP",$G369&gt;0,$M369&lt;&gt;""),$M369+$G369,"")</f>
        <v/>
      </c>
      <c r="I369" s="22" t="n"/>
      <c r="J369" s="22" t="n"/>
      <c r="K369" s="24" t="n"/>
      <c r="M369" s="46">
        <f>IF($C369="","",IFERROR(LOOKUP(2,1/('03_Warehouse_Movements'!$C$2:$C$500=$A369),'03_Warehouse_Movements'!$A$2:$A$500),""))</f>
        <v/>
      </c>
      <c r="N369">
        <f>IF($C369="","",IFERROR(LOOKUP(2,1/('03_Warehouse_Movements'!$C$2:$C$500=$A369),'03_Warehouse_Movements'!$H$2:$H$500),""))</f>
        <v/>
      </c>
      <c r="O369">
        <f>A369</f>
        <v/>
      </c>
      <c r="Q369" s="25" t="n"/>
      <c r="R369" s="24" t="n"/>
      <c r="W369">
        <f>IF($A2="","",COUNTIF('07_Pallet_Contents'!$A$2:$A$3000,$A2))</f>
        <v/>
      </c>
      <c r="X369">
        <f>IF($A2="","",SUMIF('07_Pallet_Contents'!$A$2:$A$3000,$A2,'07_Pallet_Contents'!$D$2:$D$3000))</f>
        <v/>
      </c>
      <c r="Y369">
        <f>IF($A2="","",SUMIF('07_Pallet_Contents'!$A$2:$A$3000,$A2,'07_Pallet_Contents'!$I$2:$I$3000))</f>
        <v/>
      </c>
      <c r="Z369">
        <f>IF($A2="","",IF(COUNTIF('07_Pallet_Contents'!$A$2:$A$3000,$A2)&gt;0,"Yes",""))</f>
        <v/>
      </c>
    </row>
    <row r="370">
      <c r="A370" s="4" t="inlineStr">
        <is>
          <t>PAL-0000370</t>
        </is>
      </c>
      <c r="B370" s="22" t="n"/>
      <c r="D370">
        <f>IF($C370="","",IFERROR(LOOKUP(2,1/('03_Warehouse_Movements'!$C$2:$C$500=$A370),'03_Warehouse_Movements'!$E$2:$E$500),$C370))</f>
        <v/>
      </c>
      <c r="E370" t="inlineStr">
        <is>
          <t>STANDARD</t>
        </is>
      </c>
      <c r="G370" s="25" t="n"/>
      <c r="H370" s="24">
        <f>IF(AND($F370="TEMP",$G370&gt;0,$M370&lt;&gt;""),$M370+$G370,"")</f>
        <v/>
      </c>
      <c r="I370" s="22" t="n"/>
      <c r="J370" s="22" t="n"/>
      <c r="K370" s="24" t="n"/>
      <c r="M370" s="46">
        <f>IF($C370="","",IFERROR(LOOKUP(2,1/('03_Warehouse_Movements'!$C$2:$C$500=$A370),'03_Warehouse_Movements'!$A$2:$A$500),""))</f>
        <v/>
      </c>
      <c r="N370">
        <f>IF($C370="","",IFERROR(LOOKUP(2,1/('03_Warehouse_Movements'!$C$2:$C$500=$A370),'03_Warehouse_Movements'!$H$2:$H$500),""))</f>
        <v/>
      </c>
      <c r="O370">
        <f>A370</f>
        <v/>
      </c>
      <c r="Q370" s="25" t="n"/>
      <c r="R370" s="24" t="n"/>
      <c r="W370">
        <f>IF($A2="","",COUNTIF('07_Pallet_Contents'!$A$2:$A$3000,$A2))</f>
        <v/>
      </c>
      <c r="X370">
        <f>IF($A2="","",SUMIF('07_Pallet_Contents'!$A$2:$A$3000,$A2,'07_Pallet_Contents'!$D$2:$D$3000))</f>
        <v/>
      </c>
      <c r="Y370">
        <f>IF($A2="","",SUMIF('07_Pallet_Contents'!$A$2:$A$3000,$A2,'07_Pallet_Contents'!$I$2:$I$3000))</f>
        <v/>
      </c>
      <c r="Z370">
        <f>IF($A2="","",IF(COUNTIF('07_Pallet_Contents'!$A$2:$A$3000,$A2)&gt;0,"Yes",""))</f>
        <v/>
      </c>
    </row>
    <row r="371">
      <c r="A371" s="4" t="inlineStr">
        <is>
          <t>PAL-0000371</t>
        </is>
      </c>
      <c r="B371" s="22" t="n"/>
      <c r="D371">
        <f>IF($C371="","",IFERROR(LOOKUP(2,1/('03_Warehouse_Movements'!$C$2:$C$500=$A371),'03_Warehouse_Movements'!$E$2:$E$500),$C371))</f>
        <v/>
      </c>
      <c r="E371" t="inlineStr">
        <is>
          <t>STANDARD</t>
        </is>
      </c>
      <c r="G371" s="25" t="n"/>
      <c r="H371" s="24">
        <f>IF(AND($F371="TEMP",$G371&gt;0,$M371&lt;&gt;""),$M371+$G371,"")</f>
        <v/>
      </c>
      <c r="I371" s="22" t="n"/>
      <c r="J371" s="22" t="n"/>
      <c r="K371" s="24" t="n"/>
      <c r="M371" s="46">
        <f>IF($C371="","",IFERROR(LOOKUP(2,1/('03_Warehouse_Movements'!$C$2:$C$500=$A371),'03_Warehouse_Movements'!$A$2:$A$500),""))</f>
        <v/>
      </c>
      <c r="N371">
        <f>IF($C371="","",IFERROR(LOOKUP(2,1/('03_Warehouse_Movements'!$C$2:$C$500=$A371),'03_Warehouse_Movements'!$H$2:$H$500),""))</f>
        <v/>
      </c>
      <c r="O371">
        <f>A371</f>
        <v/>
      </c>
      <c r="Q371" s="25" t="n"/>
      <c r="R371" s="24" t="n"/>
      <c r="W371">
        <f>IF($A2="","",COUNTIF('07_Pallet_Contents'!$A$2:$A$3000,$A2))</f>
        <v/>
      </c>
      <c r="X371">
        <f>IF($A2="","",SUMIF('07_Pallet_Contents'!$A$2:$A$3000,$A2,'07_Pallet_Contents'!$D$2:$D$3000))</f>
        <v/>
      </c>
      <c r="Y371">
        <f>IF($A2="","",SUMIF('07_Pallet_Contents'!$A$2:$A$3000,$A2,'07_Pallet_Contents'!$I$2:$I$3000))</f>
        <v/>
      </c>
      <c r="Z371">
        <f>IF($A2="","",IF(COUNTIF('07_Pallet_Contents'!$A$2:$A$3000,$A2)&gt;0,"Yes",""))</f>
        <v/>
      </c>
    </row>
    <row r="372">
      <c r="A372" s="4" t="inlineStr">
        <is>
          <t>PAL-0000372</t>
        </is>
      </c>
      <c r="B372" s="22" t="n"/>
      <c r="D372">
        <f>IF($C372="","",IFERROR(LOOKUP(2,1/('03_Warehouse_Movements'!$C$2:$C$500=$A372),'03_Warehouse_Movements'!$E$2:$E$500),$C372))</f>
        <v/>
      </c>
      <c r="E372" t="inlineStr">
        <is>
          <t>STANDARD</t>
        </is>
      </c>
      <c r="G372" s="25" t="n"/>
      <c r="H372" s="24">
        <f>IF(AND($F372="TEMP",$G372&gt;0,$M372&lt;&gt;""),$M372+$G372,"")</f>
        <v/>
      </c>
      <c r="I372" s="22" t="n"/>
      <c r="J372" s="22" t="n"/>
      <c r="K372" s="24" t="n"/>
      <c r="M372" s="46">
        <f>IF($C372="","",IFERROR(LOOKUP(2,1/('03_Warehouse_Movements'!$C$2:$C$500=$A372),'03_Warehouse_Movements'!$A$2:$A$500),""))</f>
        <v/>
      </c>
      <c r="N372">
        <f>IF($C372="","",IFERROR(LOOKUP(2,1/('03_Warehouse_Movements'!$C$2:$C$500=$A372),'03_Warehouse_Movements'!$H$2:$H$500),""))</f>
        <v/>
      </c>
      <c r="O372">
        <f>A372</f>
        <v/>
      </c>
      <c r="Q372" s="25" t="n"/>
      <c r="R372" s="24" t="n"/>
      <c r="W372">
        <f>IF($A2="","",COUNTIF('07_Pallet_Contents'!$A$2:$A$3000,$A2))</f>
        <v/>
      </c>
      <c r="X372">
        <f>IF($A2="","",SUMIF('07_Pallet_Contents'!$A$2:$A$3000,$A2,'07_Pallet_Contents'!$D$2:$D$3000))</f>
        <v/>
      </c>
      <c r="Y372">
        <f>IF($A2="","",SUMIF('07_Pallet_Contents'!$A$2:$A$3000,$A2,'07_Pallet_Contents'!$I$2:$I$3000))</f>
        <v/>
      </c>
      <c r="Z372">
        <f>IF($A2="","",IF(COUNTIF('07_Pallet_Contents'!$A$2:$A$3000,$A2)&gt;0,"Yes",""))</f>
        <v/>
      </c>
    </row>
    <row r="373">
      <c r="A373" s="4" t="inlineStr">
        <is>
          <t>PAL-0000373</t>
        </is>
      </c>
      <c r="B373" s="22" t="n"/>
      <c r="D373">
        <f>IF($C373="","",IFERROR(LOOKUP(2,1/('03_Warehouse_Movements'!$C$2:$C$500=$A373),'03_Warehouse_Movements'!$E$2:$E$500),$C373))</f>
        <v/>
      </c>
      <c r="E373" t="inlineStr">
        <is>
          <t>STANDARD</t>
        </is>
      </c>
      <c r="G373" s="25" t="n"/>
      <c r="H373" s="24">
        <f>IF(AND($F373="TEMP",$G373&gt;0,$M373&lt;&gt;""),$M373+$G373,"")</f>
        <v/>
      </c>
      <c r="I373" s="22" t="n"/>
      <c r="J373" s="22" t="n"/>
      <c r="K373" s="24" t="n"/>
      <c r="M373" s="46">
        <f>IF($C373="","",IFERROR(LOOKUP(2,1/('03_Warehouse_Movements'!$C$2:$C$500=$A373),'03_Warehouse_Movements'!$A$2:$A$500),""))</f>
        <v/>
      </c>
      <c r="N373">
        <f>IF($C373="","",IFERROR(LOOKUP(2,1/('03_Warehouse_Movements'!$C$2:$C$500=$A373),'03_Warehouse_Movements'!$H$2:$H$500),""))</f>
        <v/>
      </c>
      <c r="O373">
        <f>A373</f>
        <v/>
      </c>
      <c r="Q373" s="25" t="n"/>
      <c r="R373" s="24" t="n"/>
      <c r="W373">
        <f>IF($A2="","",COUNTIF('07_Pallet_Contents'!$A$2:$A$3000,$A2))</f>
        <v/>
      </c>
      <c r="X373">
        <f>IF($A2="","",SUMIF('07_Pallet_Contents'!$A$2:$A$3000,$A2,'07_Pallet_Contents'!$D$2:$D$3000))</f>
        <v/>
      </c>
      <c r="Y373">
        <f>IF($A2="","",SUMIF('07_Pallet_Contents'!$A$2:$A$3000,$A2,'07_Pallet_Contents'!$I$2:$I$3000))</f>
        <v/>
      </c>
      <c r="Z373">
        <f>IF($A2="","",IF(COUNTIF('07_Pallet_Contents'!$A$2:$A$3000,$A2)&gt;0,"Yes",""))</f>
        <v/>
      </c>
    </row>
    <row r="374">
      <c r="A374" s="4" t="inlineStr">
        <is>
          <t>PAL-0000374</t>
        </is>
      </c>
      <c r="B374" s="22" t="n"/>
      <c r="D374">
        <f>IF($C374="","",IFERROR(LOOKUP(2,1/('03_Warehouse_Movements'!$C$2:$C$500=$A374),'03_Warehouse_Movements'!$E$2:$E$500),$C374))</f>
        <v/>
      </c>
      <c r="E374" t="inlineStr">
        <is>
          <t>STANDARD</t>
        </is>
      </c>
      <c r="G374" s="25" t="n"/>
      <c r="H374" s="24">
        <f>IF(AND($F374="TEMP",$G374&gt;0,$M374&lt;&gt;""),$M374+$G374,"")</f>
        <v/>
      </c>
      <c r="I374" s="22" t="n"/>
      <c r="J374" s="22" t="n"/>
      <c r="K374" s="24" t="n"/>
      <c r="M374" s="46">
        <f>IF($C374="","",IFERROR(LOOKUP(2,1/('03_Warehouse_Movements'!$C$2:$C$500=$A374),'03_Warehouse_Movements'!$A$2:$A$500),""))</f>
        <v/>
      </c>
      <c r="N374">
        <f>IF($C374="","",IFERROR(LOOKUP(2,1/('03_Warehouse_Movements'!$C$2:$C$500=$A374),'03_Warehouse_Movements'!$H$2:$H$500),""))</f>
        <v/>
      </c>
      <c r="O374">
        <f>A374</f>
        <v/>
      </c>
      <c r="Q374" s="25" t="n"/>
      <c r="R374" s="24" t="n"/>
      <c r="W374">
        <f>IF($A2="","",COUNTIF('07_Pallet_Contents'!$A$2:$A$3000,$A2))</f>
        <v/>
      </c>
      <c r="X374">
        <f>IF($A2="","",SUMIF('07_Pallet_Contents'!$A$2:$A$3000,$A2,'07_Pallet_Contents'!$D$2:$D$3000))</f>
        <v/>
      </c>
      <c r="Y374">
        <f>IF($A2="","",SUMIF('07_Pallet_Contents'!$A$2:$A$3000,$A2,'07_Pallet_Contents'!$I$2:$I$3000))</f>
        <v/>
      </c>
      <c r="Z374">
        <f>IF($A2="","",IF(COUNTIF('07_Pallet_Contents'!$A$2:$A$3000,$A2)&gt;0,"Yes",""))</f>
        <v/>
      </c>
    </row>
    <row r="375">
      <c r="A375" s="4" t="inlineStr">
        <is>
          <t>PAL-0000375</t>
        </is>
      </c>
      <c r="B375" s="22" t="n"/>
      <c r="D375">
        <f>IF($C375="","",IFERROR(LOOKUP(2,1/('03_Warehouse_Movements'!$C$2:$C$500=$A375),'03_Warehouse_Movements'!$E$2:$E$500),$C375))</f>
        <v/>
      </c>
      <c r="E375" t="inlineStr">
        <is>
          <t>STANDARD</t>
        </is>
      </c>
      <c r="G375" s="25" t="n"/>
      <c r="H375" s="24">
        <f>IF(AND($F375="TEMP",$G375&gt;0,$M375&lt;&gt;""),$M375+$G375,"")</f>
        <v/>
      </c>
      <c r="I375" s="22" t="n"/>
      <c r="J375" s="22" t="n"/>
      <c r="K375" s="24" t="n"/>
      <c r="M375" s="46">
        <f>IF($C375="","",IFERROR(LOOKUP(2,1/('03_Warehouse_Movements'!$C$2:$C$500=$A375),'03_Warehouse_Movements'!$A$2:$A$500),""))</f>
        <v/>
      </c>
      <c r="N375">
        <f>IF($C375="","",IFERROR(LOOKUP(2,1/('03_Warehouse_Movements'!$C$2:$C$500=$A375),'03_Warehouse_Movements'!$H$2:$H$500),""))</f>
        <v/>
      </c>
      <c r="O375">
        <f>A375</f>
        <v/>
      </c>
      <c r="Q375" s="25" t="n"/>
      <c r="R375" s="24" t="n"/>
      <c r="W375">
        <f>IF($A2="","",COUNTIF('07_Pallet_Contents'!$A$2:$A$3000,$A2))</f>
        <v/>
      </c>
      <c r="X375">
        <f>IF($A2="","",SUMIF('07_Pallet_Contents'!$A$2:$A$3000,$A2,'07_Pallet_Contents'!$D$2:$D$3000))</f>
        <v/>
      </c>
      <c r="Y375">
        <f>IF($A2="","",SUMIF('07_Pallet_Contents'!$A$2:$A$3000,$A2,'07_Pallet_Contents'!$I$2:$I$3000))</f>
        <v/>
      </c>
      <c r="Z375">
        <f>IF($A2="","",IF(COUNTIF('07_Pallet_Contents'!$A$2:$A$3000,$A2)&gt;0,"Yes",""))</f>
        <v/>
      </c>
    </row>
    <row r="376">
      <c r="A376" s="4" t="inlineStr">
        <is>
          <t>PAL-0000376</t>
        </is>
      </c>
      <c r="B376" s="22" t="n"/>
      <c r="D376">
        <f>IF($C376="","",IFERROR(LOOKUP(2,1/('03_Warehouse_Movements'!$C$2:$C$500=$A376),'03_Warehouse_Movements'!$E$2:$E$500),$C376))</f>
        <v/>
      </c>
      <c r="E376" t="inlineStr">
        <is>
          <t>STANDARD</t>
        </is>
      </c>
      <c r="G376" s="25" t="n"/>
      <c r="H376" s="24">
        <f>IF(AND($F376="TEMP",$G376&gt;0,$M376&lt;&gt;""),$M376+$G376,"")</f>
        <v/>
      </c>
      <c r="I376" s="22" t="n"/>
      <c r="J376" s="22" t="n"/>
      <c r="K376" s="24" t="n"/>
      <c r="M376" s="46">
        <f>IF($C376="","",IFERROR(LOOKUP(2,1/('03_Warehouse_Movements'!$C$2:$C$500=$A376),'03_Warehouse_Movements'!$A$2:$A$500),""))</f>
        <v/>
      </c>
      <c r="N376">
        <f>IF($C376="","",IFERROR(LOOKUP(2,1/('03_Warehouse_Movements'!$C$2:$C$500=$A376),'03_Warehouse_Movements'!$H$2:$H$500),""))</f>
        <v/>
      </c>
      <c r="O376">
        <f>A376</f>
        <v/>
      </c>
      <c r="Q376" s="25" t="n"/>
      <c r="R376" s="24" t="n"/>
      <c r="W376">
        <f>IF($A2="","",COUNTIF('07_Pallet_Contents'!$A$2:$A$3000,$A2))</f>
        <v/>
      </c>
      <c r="X376">
        <f>IF($A2="","",SUMIF('07_Pallet_Contents'!$A$2:$A$3000,$A2,'07_Pallet_Contents'!$D$2:$D$3000))</f>
        <v/>
      </c>
      <c r="Y376">
        <f>IF($A2="","",SUMIF('07_Pallet_Contents'!$A$2:$A$3000,$A2,'07_Pallet_Contents'!$I$2:$I$3000))</f>
        <v/>
      </c>
      <c r="Z376">
        <f>IF($A2="","",IF(COUNTIF('07_Pallet_Contents'!$A$2:$A$3000,$A2)&gt;0,"Yes",""))</f>
        <v/>
      </c>
    </row>
    <row r="377">
      <c r="A377" s="4" t="inlineStr">
        <is>
          <t>PAL-0000377</t>
        </is>
      </c>
      <c r="B377" s="22" t="n"/>
      <c r="D377">
        <f>IF($C377="","",IFERROR(LOOKUP(2,1/('03_Warehouse_Movements'!$C$2:$C$500=$A377),'03_Warehouse_Movements'!$E$2:$E$500),$C377))</f>
        <v/>
      </c>
      <c r="E377" t="inlineStr">
        <is>
          <t>STANDARD</t>
        </is>
      </c>
      <c r="G377" s="25" t="n"/>
      <c r="H377" s="24">
        <f>IF(AND($F377="TEMP",$G377&gt;0,$M377&lt;&gt;""),$M377+$G377,"")</f>
        <v/>
      </c>
      <c r="I377" s="22" t="n"/>
      <c r="J377" s="22" t="n"/>
      <c r="K377" s="24" t="n"/>
      <c r="M377" s="46">
        <f>IF($C377="","",IFERROR(LOOKUP(2,1/('03_Warehouse_Movements'!$C$2:$C$500=$A377),'03_Warehouse_Movements'!$A$2:$A$500),""))</f>
        <v/>
      </c>
      <c r="N377">
        <f>IF($C377="","",IFERROR(LOOKUP(2,1/('03_Warehouse_Movements'!$C$2:$C$500=$A377),'03_Warehouse_Movements'!$H$2:$H$500),""))</f>
        <v/>
      </c>
      <c r="O377">
        <f>A377</f>
        <v/>
      </c>
      <c r="Q377" s="25" t="n"/>
      <c r="R377" s="24" t="n"/>
      <c r="W377">
        <f>IF($A2="","",COUNTIF('07_Pallet_Contents'!$A$2:$A$3000,$A2))</f>
        <v/>
      </c>
      <c r="X377">
        <f>IF($A2="","",SUMIF('07_Pallet_Contents'!$A$2:$A$3000,$A2,'07_Pallet_Contents'!$D$2:$D$3000))</f>
        <v/>
      </c>
      <c r="Y377">
        <f>IF($A2="","",SUMIF('07_Pallet_Contents'!$A$2:$A$3000,$A2,'07_Pallet_Contents'!$I$2:$I$3000))</f>
        <v/>
      </c>
      <c r="Z377">
        <f>IF($A2="","",IF(COUNTIF('07_Pallet_Contents'!$A$2:$A$3000,$A2)&gt;0,"Yes",""))</f>
        <v/>
      </c>
    </row>
    <row r="378">
      <c r="A378" s="4" t="inlineStr">
        <is>
          <t>PAL-0000378</t>
        </is>
      </c>
      <c r="B378" s="22" t="n"/>
      <c r="D378">
        <f>IF($C378="","",IFERROR(LOOKUP(2,1/('03_Warehouse_Movements'!$C$2:$C$500=$A378),'03_Warehouse_Movements'!$E$2:$E$500),$C378))</f>
        <v/>
      </c>
      <c r="E378" t="inlineStr">
        <is>
          <t>STANDARD</t>
        </is>
      </c>
      <c r="G378" s="25" t="n"/>
      <c r="H378" s="24">
        <f>IF(AND($F378="TEMP",$G378&gt;0,$M378&lt;&gt;""),$M378+$G378,"")</f>
        <v/>
      </c>
      <c r="I378" s="22" t="n"/>
      <c r="J378" s="22" t="n"/>
      <c r="K378" s="24" t="n"/>
      <c r="M378" s="46">
        <f>IF($C378="","",IFERROR(LOOKUP(2,1/('03_Warehouse_Movements'!$C$2:$C$500=$A378),'03_Warehouse_Movements'!$A$2:$A$500),""))</f>
        <v/>
      </c>
      <c r="N378">
        <f>IF($C378="","",IFERROR(LOOKUP(2,1/('03_Warehouse_Movements'!$C$2:$C$500=$A378),'03_Warehouse_Movements'!$H$2:$H$500),""))</f>
        <v/>
      </c>
      <c r="O378">
        <f>A378</f>
        <v/>
      </c>
      <c r="Q378" s="25" t="n"/>
      <c r="R378" s="24" t="n"/>
      <c r="W378">
        <f>IF($A2="","",COUNTIF('07_Pallet_Contents'!$A$2:$A$3000,$A2))</f>
        <v/>
      </c>
      <c r="X378">
        <f>IF($A2="","",SUMIF('07_Pallet_Contents'!$A$2:$A$3000,$A2,'07_Pallet_Contents'!$D$2:$D$3000))</f>
        <v/>
      </c>
      <c r="Y378">
        <f>IF($A2="","",SUMIF('07_Pallet_Contents'!$A$2:$A$3000,$A2,'07_Pallet_Contents'!$I$2:$I$3000))</f>
        <v/>
      </c>
      <c r="Z378">
        <f>IF($A2="","",IF(COUNTIF('07_Pallet_Contents'!$A$2:$A$3000,$A2)&gt;0,"Yes",""))</f>
        <v/>
      </c>
    </row>
    <row r="379">
      <c r="A379" s="4" t="inlineStr">
        <is>
          <t>PAL-0000379</t>
        </is>
      </c>
      <c r="B379" s="22" t="n"/>
      <c r="D379">
        <f>IF($C379="","",IFERROR(LOOKUP(2,1/('03_Warehouse_Movements'!$C$2:$C$500=$A379),'03_Warehouse_Movements'!$E$2:$E$500),$C379))</f>
        <v/>
      </c>
      <c r="E379" t="inlineStr">
        <is>
          <t>STANDARD</t>
        </is>
      </c>
      <c r="G379" s="25" t="n"/>
      <c r="H379" s="24">
        <f>IF(AND($F379="TEMP",$G379&gt;0,$M379&lt;&gt;""),$M379+$G379,"")</f>
        <v/>
      </c>
      <c r="I379" s="22" t="n"/>
      <c r="J379" s="22" t="n"/>
      <c r="K379" s="24" t="n"/>
      <c r="M379" s="46">
        <f>IF($C379="","",IFERROR(LOOKUP(2,1/('03_Warehouse_Movements'!$C$2:$C$500=$A379),'03_Warehouse_Movements'!$A$2:$A$500),""))</f>
        <v/>
      </c>
      <c r="N379">
        <f>IF($C379="","",IFERROR(LOOKUP(2,1/('03_Warehouse_Movements'!$C$2:$C$500=$A379),'03_Warehouse_Movements'!$H$2:$H$500),""))</f>
        <v/>
      </c>
      <c r="O379">
        <f>A379</f>
        <v/>
      </c>
      <c r="Q379" s="25" t="n"/>
      <c r="R379" s="24" t="n"/>
      <c r="W379">
        <f>IF($A2="","",COUNTIF('07_Pallet_Contents'!$A$2:$A$3000,$A2))</f>
        <v/>
      </c>
      <c r="X379">
        <f>IF($A2="","",SUMIF('07_Pallet_Contents'!$A$2:$A$3000,$A2,'07_Pallet_Contents'!$D$2:$D$3000))</f>
        <v/>
      </c>
      <c r="Y379">
        <f>IF($A2="","",SUMIF('07_Pallet_Contents'!$A$2:$A$3000,$A2,'07_Pallet_Contents'!$I$2:$I$3000))</f>
        <v/>
      </c>
      <c r="Z379">
        <f>IF($A2="","",IF(COUNTIF('07_Pallet_Contents'!$A$2:$A$3000,$A2)&gt;0,"Yes",""))</f>
        <v/>
      </c>
    </row>
    <row r="380">
      <c r="A380" s="4" t="inlineStr">
        <is>
          <t>PAL-0000380</t>
        </is>
      </c>
      <c r="B380" s="22" t="n"/>
      <c r="D380">
        <f>IF($C380="","",IFERROR(LOOKUP(2,1/('03_Warehouse_Movements'!$C$2:$C$500=$A380),'03_Warehouse_Movements'!$E$2:$E$500),$C380))</f>
        <v/>
      </c>
      <c r="E380" t="inlineStr">
        <is>
          <t>STANDARD</t>
        </is>
      </c>
      <c r="G380" s="25" t="n"/>
      <c r="H380" s="24">
        <f>IF(AND($F380="TEMP",$G380&gt;0,$M380&lt;&gt;""),$M380+$G380,"")</f>
        <v/>
      </c>
      <c r="I380" s="22" t="n"/>
      <c r="J380" s="22" t="n"/>
      <c r="K380" s="24" t="n"/>
      <c r="M380" s="46">
        <f>IF($C380="","",IFERROR(LOOKUP(2,1/('03_Warehouse_Movements'!$C$2:$C$500=$A380),'03_Warehouse_Movements'!$A$2:$A$500),""))</f>
        <v/>
      </c>
      <c r="N380">
        <f>IF($C380="","",IFERROR(LOOKUP(2,1/('03_Warehouse_Movements'!$C$2:$C$500=$A380),'03_Warehouse_Movements'!$H$2:$H$500),""))</f>
        <v/>
      </c>
      <c r="O380">
        <f>A380</f>
        <v/>
      </c>
      <c r="Q380" s="25" t="n"/>
      <c r="R380" s="24" t="n"/>
      <c r="W380">
        <f>IF($A2="","",COUNTIF('07_Pallet_Contents'!$A$2:$A$3000,$A2))</f>
        <v/>
      </c>
      <c r="X380">
        <f>IF($A2="","",SUMIF('07_Pallet_Contents'!$A$2:$A$3000,$A2,'07_Pallet_Contents'!$D$2:$D$3000))</f>
        <v/>
      </c>
      <c r="Y380">
        <f>IF($A2="","",SUMIF('07_Pallet_Contents'!$A$2:$A$3000,$A2,'07_Pallet_Contents'!$I$2:$I$3000))</f>
        <v/>
      </c>
      <c r="Z380">
        <f>IF($A2="","",IF(COUNTIF('07_Pallet_Contents'!$A$2:$A$3000,$A2)&gt;0,"Yes",""))</f>
        <v/>
      </c>
    </row>
    <row r="381">
      <c r="A381" s="4" t="inlineStr">
        <is>
          <t>PAL-0000381</t>
        </is>
      </c>
      <c r="B381" s="22" t="n"/>
      <c r="D381">
        <f>IF($C381="","",IFERROR(LOOKUP(2,1/('03_Warehouse_Movements'!$C$2:$C$500=$A381),'03_Warehouse_Movements'!$E$2:$E$500),$C381))</f>
        <v/>
      </c>
      <c r="E381" t="inlineStr">
        <is>
          <t>STANDARD</t>
        </is>
      </c>
      <c r="G381" s="25" t="n"/>
      <c r="H381" s="24">
        <f>IF(AND($F381="TEMP",$G381&gt;0,$M381&lt;&gt;""),$M381+$G381,"")</f>
        <v/>
      </c>
      <c r="I381" s="22" t="n"/>
      <c r="J381" s="22" t="n"/>
      <c r="K381" s="24" t="n"/>
      <c r="M381" s="46">
        <f>IF($C381="","",IFERROR(LOOKUP(2,1/('03_Warehouse_Movements'!$C$2:$C$500=$A381),'03_Warehouse_Movements'!$A$2:$A$500),""))</f>
        <v/>
      </c>
      <c r="N381">
        <f>IF($C381="","",IFERROR(LOOKUP(2,1/('03_Warehouse_Movements'!$C$2:$C$500=$A381),'03_Warehouse_Movements'!$H$2:$H$500),""))</f>
        <v/>
      </c>
      <c r="O381">
        <f>A381</f>
        <v/>
      </c>
      <c r="Q381" s="25" t="n"/>
      <c r="R381" s="24" t="n"/>
      <c r="W381">
        <f>IF($A2="","",COUNTIF('07_Pallet_Contents'!$A$2:$A$3000,$A2))</f>
        <v/>
      </c>
      <c r="X381">
        <f>IF($A2="","",SUMIF('07_Pallet_Contents'!$A$2:$A$3000,$A2,'07_Pallet_Contents'!$D$2:$D$3000))</f>
        <v/>
      </c>
      <c r="Y381">
        <f>IF($A2="","",SUMIF('07_Pallet_Contents'!$A$2:$A$3000,$A2,'07_Pallet_Contents'!$I$2:$I$3000))</f>
        <v/>
      </c>
      <c r="Z381">
        <f>IF($A2="","",IF(COUNTIF('07_Pallet_Contents'!$A$2:$A$3000,$A2)&gt;0,"Yes",""))</f>
        <v/>
      </c>
    </row>
    <row r="382">
      <c r="A382" s="4" t="inlineStr">
        <is>
          <t>PAL-0000382</t>
        </is>
      </c>
      <c r="B382" s="22" t="n"/>
      <c r="D382">
        <f>IF($C382="","",IFERROR(LOOKUP(2,1/('03_Warehouse_Movements'!$C$2:$C$500=$A382),'03_Warehouse_Movements'!$E$2:$E$500),$C382))</f>
        <v/>
      </c>
      <c r="E382" t="inlineStr">
        <is>
          <t>STANDARD</t>
        </is>
      </c>
      <c r="G382" s="25" t="n"/>
      <c r="H382" s="24">
        <f>IF(AND($F382="TEMP",$G382&gt;0,$M382&lt;&gt;""),$M382+$G382,"")</f>
        <v/>
      </c>
      <c r="I382" s="22" t="n"/>
      <c r="J382" s="22" t="n"/>
      <c r="K382" s="24" t="n"/>
      <c r="M382" s="46">
        <f>IF($C382="","",IFERROR(LOOKUP(2,1/('03_Warehouse_Movements'!$C$2:$C$500=$A382),'03_Warehouse_Movements'!$A$2:$A$500),""))</f>
        <v/>
      </c>
      <c r="N382">
        <f>IF($C382="","",IFERROR(LOOKUP(2,1/('03_Warehouse_Movements'!$C$2:$C$500=$A382),'03_Warehouse_Movements'!$H$2:$H$500),""))</f>
        <v/>
      </c>
      <c r="O382">
        <f>A382</f>
        <v/>
      </c>
      <c r="Q382" s="25" t="n"/>
      <c r="R382" s="24" t="n"/>
      <c r="W382">
        <f>IF($A2="","",COUNTIF('07_Pallet_Contents'!$A$2:$A$3000,$A2))</f>
        <v/>
      </c>
      <c r="X382">
        <f>IF($A2="","",SUMIF('07_Pallet_Contents'!$A$2:$A$3000,$A2,'07_Pallet_Contents'!$D$2:$D$3000))</f>
        <v/>
      </c>
      <c r="Y382">
        <f>IF($A2="","",SUMIF('07_Pallet_Contents'!$A$2:$A$3000,$A2,'07_Pallet_Contents'!$I$2:$I$3000))</f>
        <v/>
      </c>
      <c r="Z382">
        <f>IF($A2="","",IF(COUNTIF('07_Pallet_Contents'!$A$2:$A$3000,$A2)&gt;0,"Yes",""))</f>
        <v/>
      </c>
    </row>
    <row r="383">
      <c r="A383" s="4" t="inlineStr">
        <is>
          <t>PAL-0000383</t>
        </is>
      </c>
      <c r="B383" s="22" t="n"/>
      <c r="D383">
        <f>IF($C383="","",IFERROR(LOOKUP(2,1/('03_Warehouse_Movements'!$C$2:$C$500=$A383),'03_Warehouse_Movements'!$E$2:$E$500),$C383))</f>
        <v/>
      </c>
      <c r="E383" t="inlineStr">
        <is>
          <t>STANDARD</t>
        </is>
      </c>
      <c r="G383" s="25" t="n"/>
      <c r="H383" s="24">
        <f>IF(AND($F383="TEMP",$G383&gt;0,$M383&lt;&gt;""),$M383+$G383,"")</f>
        <v/>
      </c>
      <c r="I383" s="22" t="n"/>
      <c r="J383" s="22" t="n"/>
      <c r="K383" s="24" t="n"/>
      <c r="M383" s="46">
        <f>IF($C383="","",IFERROR(LOOKUP(2,1/('03_Warehouse_Movements'!$C$2:$C$500=$A383),'03_Warehouse_Movements'!$A$2:$A$500),""))</f>
        <v/>
      </c>
      <c r="N383">
        <f>IF($C383="","",IFERROR(LOOKUP(2,1/('03_Warehouse_Movements'!$C$2:$C$500=$A383),'03_Warehouse_Movements'!$H$2:$H$500),""))</f>
        <v/>
      </c>
      <c r="O383">
        <f>A383</f>
        <v/>
      </c>
      <c r="Q383" s="25" t="n"/>
      <c r="R383" s="24" t="n"/>
      <c r="W383">
        <f>IF($A2="","",COUNTIF('07_Pallet_Contents'!$A$2:$A$3000,$A2))</f>
        <v/>
      </c>
      <c r="X383">
        <f>IF($A2="","",SUMIF('07_Pallet_Contents'!$A$2:$A$3000,$A2,'07_Pallet_Contents'!$D$2:$D$3000))</f>
        <v/>
      </c>
      <c r="Y383">
        <f>IF($A2="","",SUMIF('07_Pallet_Contents'!$A$2:$A$3000,$A2,'07_Pallet_Contents'!$I$2:$I$3000))</f>
        <v/>
      </c>
      <c r="Z383">
        <f>IF($A2="","",IF(COUNTIF('07_Pallet_Contents'!$A$2:$A$3000,$A2)&gt;0,"Yes",""))</f>
        <v/>
      </c>
    </row>
    <row r="384">
      <c r="A384" s="4" t="inlineStr">
        <is>
          <t>PAL-0000384</t>
        </is>
      </c>
      <c r="B384" s="22" t="n"/>
      <c r="D384">
        <f>IF($C384="","",IFERROR(LOOKUP(2,1/('03_Warehouse_Movements'!$C$2:$C$500=$A384),'03_Warehouse_Movements'!$E$2:$E$500),$C384))</f>
        <v/>
      </c>
      <c r="E384" t="inlineStr">
        <is>
          <t>STANDARD</t>
        </is>
      </c>
      <c r="G384" s="25" t="n"/>
      <c r="H384" s="24">
        <f>IF(AND($F384="TEMP",$G384&gt;0,$M384&lt;&gt;""),$M384+$G384,"")</f>
        <v/>
      </c>
      <c r="I384" s="22" t="n"/>
      <c r="J384" s="22" t="n"/>
      <c r="K384" s="24" t="n"/>
      <c r="M384" s="46">
        <f>IF($C384="","",IFERROR(LOOKUP(2,1/('03_Warehouse_Movements'!$C$2:$C$500=$A384),'03_Warehouse_Movements'!$A$2:$A$500),""))</f>
        <v/>
      </c>
      <c r="N384">
        <f>IF($C384="","",IFERROR(LOOKUP(2,1/('03_Warehouse_Movements'!$C$2:$C$500=$A384),'03_Warehouse_Movements'!$H$2:$H$500),""))</f>
        <v/>
      </c>
      <c r="O384">
        <f>A384</f>
        <v/>
      </c>
      <c r="Q384" s="25" t="n"/>
      <c r="R384" s="24" t="n"/>
      <c r="W384">
        <f>IF($A2="","",COUNTIF('07_Pallet_Contents'!$A$2:$A$3000,$A2))</f>
        <v/>
      </c>
      <c r="X384">
        <f>IF($A2="","",SUMIF('07_Pallet_Contents'!$A$2:$A$3000,$A2,'07_Pallet_Contents'!$D$2:$D$3000))</f>
        <v/>
      </c>
      <c r="Y384">
        <f>IF($A2="","",SUMIF('07_Pallet_Contents'!$A$2:$A$3000,$A2,'07_Pallet_Contents'!$I$2:$I$3000))</f>
        <v/>
      </c>
      <c r="Z384">
        <f>IF($A2="","",IF(COUNTIF('07_Pallet_Contents'!$A$2:$A$3000,$A2)&gt;0,"Yes",""))</f>
        <v/>
      </c>
    </row>
    <row r="385">
      <c r="A385" s="4" t="inlineStr">
        <is>
          <t>PAL-0000385</t>
        </is>
      </c>
      <c r="B385" s="22" t="n"/>
      <c r="D385">
        <f>IF($C385="","",IFERROR(LOOKUP(2,1/('03_Warehouse_Movements'!$C$2:$C$500=$A385),'03_Warehouse_Movements'!$E$2:$E$500),$C385))</f>
        <v/>
      </c>
      <c r="E385" t="inlineStr">
        <is>
          <t>STANDARD</t>
        </is>
      </c>
      <c r="G385" s="25" t="n"/>
      <c r="H385" s="24">
        <f>IF(AND($F385="TEMP",$G385&gt;0,$M385&lt;&gt;""),$M385+$G385,"")</f>
        <v/>
      </c>
      <c r="I385" s="22" t="n"/>
      <c r="J385" s="22" t="n"/>
      <c r="K385" s="24" t="n"/>
      <c r="M385" s="46">
        <f>IF($C385="","",IFERROR(LOOKUP(2,1/('03_Warehouse_Movements'!$C$2:$C$500=$A385),'03_Warehouse_Movements'!$A$2:$A$500),""))</f>
        <v/>
      </c>
      <c r="N385">
        <f>IF($C385="","",IFERROR(LOOKUP(2,1/('03_Warehouse_Movements'!$C$2:$C$500=$A385),'03_Warehouse_Movements'!$H$2:$H$500),""))</f>
        <v/>
      </c>
      <c r="O385">
        <f>A385</f>
        <v/>
      </c>
      <c r="Q385" s="25" t="n"/>
      <c r="R385" s="24" t="n"/>
      <c r="W385">
        <f>IF($A2="","",COUNTIF('07_Pallet_Contents'!$A$2:$A$3000,$A2))</f>
        <v/>
      </c>
      <c r="X385">
        <f>IF($A2="","",SUMIF('07_Pallet_Contents'!$A$2:$A$3000,$A2,'07_Pallet_Contents'!$D$2:$D$3000))</f>
        <v/>
      </c>
      <c r="Y385">
        <f>IF($A2="","",SUMIF('07_Pallet_Contents'!$A$2:$A$3000,$A2,'07_Pallet_Contents'!$I$2:$I$3000))</f>
        <v/>
      </c>
      <c r="Z385">
        <f>IF($A2="","",IF(COUNTIF('07_Pallet_Contents'!$A$2:$A$3000,$A2)&gt;0,"Yes",""))</f>
        <v/>
      </c>
    </row>
    <row r="386">
      <c r="A386" s="4" t="inlineStr">
        <is>
          <t>PAL-0000386</t>
        </is>
      </c>
      <c r="B386" s="22" t="n"/>
      <c r="D386">
        <f>IF($C386="","",IFERROR(LOOKUP(2,1/('03_Warehouse_Movements'!$C$2:$C$500=$A386),'03_Warehouse_Movements'!$E$2:$E$500),$C386))</f>
        <v/>
      </c>
      <c r="E386" t="inlineStr">
        <is>
          <t>STANDARD</t>
        </is>
      </c>
      <c r="G386" s="25" t="n"/>
      <c r="H386" s="24">
        <f>IF(AND($F386="TEMP",$G386&gt;0,$M386&lt;&gt;""),$M386+$G386,"")</f>
        <v/>
      </c>
      <c r="I386" s="22" t="n"/>
      <c r="J386" s="22" t="n"/>
      <c r="K386" s="24" t="n"/>
      <c r="M386" s="46">
        <f>IF($C386="","",IFERROR(LOOKUP(2,1/('03_Warehouse_Movements'!$C$2:$C$500=$A386),'03_Warehouse_Movements'!$A$2:$A$500),""))</f>
        <v/>
      </c>
      <c r="N386">
        <f>IF($C386="","",IFERROR(LOOKUP(2,1/('03_Warehouse_Movements'!$C$2:$C$500=$A386),'03_Warehouse_Movements'!$H$2:$H$500),""))</f>
        <v/>
      </c>
      <c r="O386">
        <f>A386</f>
        <v/>
      </c>
      <c r="Q386" s="25" t="n"/>
      <c r="R386" s="24" t="n"/>
      <c r="W386">
        <f>IF($A2="","",COUNTIF('07_Pallet_Contents'!$A$2:$A$3000,$A2))</f>
        <v/>
      </c>
      <c r="X386">
        <f>IF($A2="","",SUMIF('07_Pallet_Contents'!$A$2:$A$3000,$A2,'07_Pallet_Contents'!$D$2:$D$3000))</f>
        <v/>
      </c>
      <c r="Y386">
        <f>IF($A2="","",SUMIF('07_Pallet_Contents'!$A$2:$A$3000,$A2,'07_Pallet_Contents'!$I$2:$I$3000))</f>
        <v/>
      </c>
      <c r="Z386">
        <f>IF($A2="","",IF(COUNTIF('07_Pallet_Contents'!$A$2:$A$3000,$A2)&gt;0,"Yes",""))</f>
        <v/>
      </c>
    </row>
    <row r="387">
      <c r="A387" s="4" t="inlineStr">
        <is>
          <t>PAL-0000387</t>
        </is>
      </c>
      <c r="B387" s="22" t="n"/>
      <c r="D387">
        <f>IF($C387="","",IFERROR(LOOKUP(2,1/('03_Warehouse_Movements'!$C$2:$C$500=$A387),'03_Warehouse_Movements'!$E$2:$E$500),$C387))</f>
        <v/>
      </c>
      <c r="E387" t="inlineStr">
        <is>
          <t>STANDARD</t>
        </is>
      </c>
      <c r="G387" s="25" t="n"/>
      <c r="H387" s="24">
        <f>IF(AND($F387="TEMP",$G387&gt;0,$M387&lt;&gt;""),$M387+$G387,"")</f>
        <v/>
      </c>
      <c r="I387" s="22" t="n"/>
      <c r="J387" s="22" t="n"/>
      <c r="K387" s="24" t="n"/>
      <c r="M387" s="46">
        <f>IF($C387="","",IFERROR(LOOKUP(2,1/('03_Warehouse_Movements'!$C$2:$C$500=$A387),'03_Warehouse_Movements'!$A$2:$A$500),""))</f>
        <v/>
      </c>
      <c r="N387">
        <f>IF($C387="","",IFERROR(LOOKUP(2,1/('03_Warehouse_Movements'!$C$2:$C$500=$A387),'03_Warehouse_Movements'!$H$2:$H$500),""))</f>
        <v/>
      </c>
      <c r="O387">
        <f>A387</f>
        <v/>
      </c>
      <c r="Q387" s="25" t="n"/>
      <c r="R387" s="24" t="n"/>
      <c r="W387">
        <f>IF($A2="","",COUNTIF('07_Pallet_Contents'!$A$2:$A$3000,$A2))</f>
        <v/>
      </c>
      <c r="X387">
        <f>IF($A2="","",SUMIF('07_Pallet_Contents'!$A$2:$A$3000,$A2,'07_Pallet_Contents'!$D$2:$D$3000))</f>
        <v/>
      </c>
      <c r="Y387">
        <f>IF($A2="","",SUMIF('07_Pallet_Contents'!$A$2:$A$3000,$A2,'07_Pallet_Contents'!$I$2:$I$3000))</f>
        <v/>
      </c>
      <c r="Z387">
        <f>IF($A2="","",IF(COUNTIF('07_Pallet_Contents'!$A$2:$A$3000,$A2)&gt;0,"Yes",""))</f>
        <v/>
      </c>
    </row>
    <row r="388">
      <c r="A388" s="4" t="inlineStr">
        <is>
          <t>PAL-0000388</t>
        </is>
      </c>
      <c r="B388" s="22" t="n"/>
      <c r="D388">
        <f>IF($C388="","",IFERROR(LOOKUP(2,1/('03_Warehouse_Movements'!$C$2:$C$500=$A388),'03_Warehouse_Movements'!$E$2:$E$500),$C388))</f>
        <v/>
      </c>
      <c r="E388" t="inlineStr">
        <is>
          <t>STANDARD</t>
        </is>
      </c>
      <c r="G388" s="25" t="n"/>
      <c r="H388" s="24">
        <f>IF(AND($F388="TEMP",$G388&gt;0,$M388&lt;&gt;""),$M388+$G388,"")</f>
        <v/>
      </c>
      <c r="I388" s="22" t="n"/>
      <c r="J388" s="22" t="n"/>
      <c r="K388" s="24" t="n"/>
      <c r="M388" s="46">
        <f>IF($C388="","",IFERROR(LOOKUP(2,1/('03_Warehouse_Movements'!$C$2:$C$500=$A388),'03_Warehouse_Movements'!$A$2:$A$500),""))</f>
        <v/>
      </c>
      <c r="N388">
        <f>IF($C388="","",IFERROR(LOOKUP(2,1/('03_Warehouse_Movements'!$C$2:$C$500=$A388),'03_Warehouse_Movements'!$H$2:$H$500),""))</f>
        <v/>
      </c>
      <c r="O388">
        <f>A388</f>
        <v/>
      </c>
      <c r="Q388" s="25" t="n"/>
      <c r="R388" s="24" t="n"/>
      <c r="W388">
        <f>IF($A2="","",COUNTIF('07_Pallet_Contents'!$A$2:$A$3000,$A2))</f>
        <v/>
      </c>
      <c r="X388">
        <f>IF($A2="","",SUMIF('07_Pallet_Contents'!$A$2:$A$3000,$A2,'07_Pallet_Contents'!$D$2:$D$3000))</f>
        <v/>
      </c>
      <c r="Y388">
        <f>IF($A2="","",SUMIF('07_Pallet_Contents'!$A$2:$A$3000,$A2,'07_Pallet_Contents'!$I$2:$I$3000))</f>
        <v/>
      </c>
      <c r="Z388">
        <f>IF($A2="","",IF(COUNTIF('07_Pallet_Contents'!$A$2:$A$3000,$A2)&gt;0,"Yes",""))</f>
        <v/>
      </c>
    </row>
    <row r="389">
      <c r="A389" s="4" t="inlineStr">
        <is>
          <t>PAL-0000389</t>
        </is>
      </c>
      <c r="B389" s="22" t="n"/>
      <c r="D389">
        <f>IF($C389="","",IFERROR(LOOKUP(2,1/('03_Warehouse_Movements'!$C$2:$C$500=$A389),'03_Warehouse_Movements'!$E$2:$E$500),$C389))</f>
        <v/>
      </c>
      <c r="E389" t="inlineStr">
        <is>
          <t>STANDARD</t>
        </is>
      </c>
      <c r="G389" s="25" t="n"/>
      <c r="H389" s="24">
        <f>IF(AND($F389="TEMP",$G389&gt;0,$M389&lt;&gt;""),$M389+$G389,"")</f>
        <v/>
      </c>
      <c r="I389" s="22" t="n"/>
      <c r="J389" s="22" t="n"/>
      <c r="K389" s="24" t="n"/>
      <c r="M389" s="46">
        <f>IF($C389="","",IFERROR(LOOKUP(2,1/('03_Warehouse_Movements'!$C$2:$C$500=$A389),'03_Warehouse_Movements'!$A$2:$A$500),""))</f>
        <v/>
      </c>
      <c r="N389">
        <f>IF($C389="","",IFERROR(LOOKUP(2,1/('03_Warehouse_Movements'!$C$2:$C$500=$A389),'03_Warehouse_Movements'!$H$2:$H$500),""))</f>
        <v/>
      </c>
      <c r="O389">
        <f>A389</f>
        <v/>
      </c>
      <c r="Q389" s="25" t="n"/>
      <c r="R389" s="24" t="n"/>
      <c r="W389">
        <f>IF($A2="","",COUNTIF('07_Pallet_Contents'!$A$2:$A$3000,$A2))</f>
        <v/>
      </c>
      <c r="X389">
        <f>IF($A2="","",SUMIF('07_Pallet_Contents'!$A$2:$A$3000,$A2,'07_Pallet_Contents'!$D$2:$D$3000))</f>
        <v/>
      </c>
      <c r="Y389">
        <f>IF($A2="","",SUMIF('07_Pallet_Contents'!$A$2:$A$3000,$A2,'07_Pallet_Contents'!$I$2:$I$3000))</f>
        <v/>
      </c>
      <c r="Z389">
        <f>IF($A2="","",IF(COUNTIF('07_Pallet_Contents'!$A$2:$A$3000,$A2)&gt;0,"Yes",""))</f>
        <v/>
      </c>
    </row>
    <row r="390">
      <c r="A390" s="4" t="inlineStr">
        <is>
          <t>PAL-0000390</t>
        </is>
      </c>
      <c r="B390" s="22" t="n"/>
      <c r="D390">
        <f>IF($C390="","",IFERROR(LOOKUP(2,1/('03_Warehouse_Movements'!$C$2:$C$500=$A390),'03_Warehouse_Movements'!$E$2:$E$500),$C390))</f>
        <v/>
      </c>
      <c r="E390" t="inlineStr">
        <is>
          <t>STANDARD</t>
        </is>
      </c>
      <c r="G390" s="25" t="n"/>
      <c r="H390" s="24">
        <f>IF(AND($F390="TEMP",$G390&gt;0,$M390&lt;&gt;""),$M390+$G390,"")</f>
        <v/>
      </c>
      <c r="I390" s="22" t="n"/>
      <c r="J390" s="22" t="n"/>
      <c r="K390" s="24" t="n"/>
      <c r="M390" s="46">
        <f>IF($C390="","",IFERROR(LOOKUP(2,1/('03_Warehouse_Movements'!$C$2:$C$500=$A390),'03_Warehouse_Movements'!$A$2:$A$500),""))</f>
        <v/>
      </c>
      <c r="N390">
        <f>IF($C390="","",IFERROR(LOOKUP(2,1/('03_Warehouse_Movements'!$C$2:$C$500=$A390),'03_Warehouse_Movements'!$H$2:$H$500),""))</f>
        <v/>
      </c>
      <c r="O390">
        <f>A390</f>
        <v/>
      </c>
      <c r="Q390" s="25" t="n"/>
      <c r="R390" s="24" t="n"/>
      <c r="W390">
        <f>IF($A2="","",COUNTIF('07_Pallet_Contents'!$A$2:$A$3000,$A2))</f>
        <v/>
      </c>
      <c r="X390">
        <f>IF($A2="","",SUMIF('07_Pallet_Contents'!$A$2:$A$3000,$A2,'07_Pallet_Contents'!$D$2:$D$3000))</f>
        <v/>
      </c>
      <c r="Y390">
        <f>IF($A2="","",SUMIF('07_Pallet_Contents'!$A$2:$A$3000,$A2,'07_Pallet_Contents'!$I$2:$I$3000))</f>
        <v/>
      </c>
      <c r="Z390">
        <f>IF($A2="","",IF(COUNTIF('07_Pallet_Contents'!$A$2:$A$3000,$A2)&gt;0,"Yes",""))</f>
        <v/>
      </c>
    </row>
    <row r="391">
      <c r="A391" s="4" t="inlineStr">
        <is>
          <t>PAL-0000391</t>
        </is>
      </c>
      <c r="B391" s="22" t="n"/>
      <c r="D391">
        <f>IF($C391="","",IFERROR(LOOKUP(2,1/('03_Warehouse_Movements'!$C$2:$C$500=$A391),'03_Warehouse_Movements'!$E$2:$E$500),$C391))</f>
        <v/>
      </c>
      <c r="E391" t="inlineStr">
        <is>
          <t>STANDARD</t>
        </is>
      </c>
      <c r="G391" s="25" t="n"/>
      <c r="H391" s="24">
        <f>IF(AND($F391="TEMP",$G391&gt;0,$M391&lt;&gt;""),$M391+$G391,"")</f>
        <v/>
      </c>
      <c r="I391" s="22" t="n"/>
      <c r="J391" s="22" t="n"/>
      <c r="K391" s="24" t="n"/>
      <c r="M391" s="46">
        <f>IF($C391="","",IFERROR(LOOKUP(2,1/('03_Warehouse_Movements'!$C$2:$C$500=$A391),'03_Warehouse_Movements'!$A$2:$A$500),""))</f>
        <v/>
      </c>
      <c r="N391">
        <f>IF($C391="","",IFERROR(LOOKUP(2,1/('03_Warehouse_Movements'!$C$2:$C$500=$A391),'03_Warehouse_Movements'!$H$2:$H$500),""))</f>
        <v/>
      </c>
      <c r="O391">
        <f>A391</f>
        <v/>
      </c>
      <c r="Q391" s="25" t="n"/>
      <c r="R391" s="24" t="n"/>
      <c r="W391">
        <f>IF($A2="","",COUNTIF('07_Pallet_Contents'!$A$2:$A$3000,$A2))</f>
        <v/>
      </c>
      <c r="X391">
        <f>IF($A2="","",SUMIF('07_Pallet_Contents'!$A$2:$A$3000,$A2,'07_Pallet_Contents'!$D$2:$D$3000))</f>
        <v/>
      </c>
      <c r="Y391">
        <f>IF($A2="","",SUMIF('07_Pallet_Contents'!$A$2:$A$3000,$A2,'07_Pallet_Contents'!$I$2:$I$3000))</f>
        <v/>
      </c>
      <c r="Z391">
        <f>IF($A2="","",IF(COUNTIF('07_Pallet_Contents'!$A$2:$A$3000,$A2)&gt;0,"Yes",""))</f>
        <v/>
      </c>
    </row>
    <row r="392">
      <c r="A392" s="4" t="inlineStr">
        <is>
          <t>PAL-0000392</t>
        </is>
      </c>
      <c r="B392" s="22" t="n"/>
      <c r="D392">
        <f>IF($C392="","",IFERROR(LOOKUP(2,1/('03_Warehouse_Movements'!$C$2:$C$500=$A392),'03_Warehouse_Movements'!$E$2:$E$500),$C392))</f>
        <v/>
      </c>
      <c r="E392" t="inlineStr">
        <is>
          <t>STANDARD</t>
        </is>
      </c>
      <c r="G392" s="25" t="n"/>
      <c r="H392" s="24">
        <f>IF(AND($F392="TEMP",$G392&gt;0,$M392&lt;&gt;""),$M392+$G392,"")</f>
        <v/>
      </c>
      <c r="I392" s="22" t="n"/>
      <c r="J392" s="22" t="n"/>
      <c r="K392" s="24" t="n"/>
      <c r="M392" s="46">
        <f>IF($C392="","",IFERROR(LOOKUP(2,1/('03_Warehouse_Movements'!$C$2:$C$500=$A392),'03_Warehouse_Movements'!$A$2:$A$500),""))</f>
        <v/>
      </c>
      <c r="N392">
        <f>IF($C392="","",IFERROR(LOOKUP(2,1/('03_Warehouse_Movements'!$C$2:$C$500=$A392),'03_Warehouse_Movements'!$H$2:$H$500),""))</f>
        <v/>
      </c>
      <c r="O392">
        <f>A392</f>
        <v/>
      </c>
      <c r="Q392" s="25" t="n"/>
      <c r="R392" s="24" t="n"/>
      <c r="W392">
        <f>IF($A2="","",COUNTIF('07_Pallet_Contents'!$A$2:$A$3000,$A2))</f>
        <v/>
      </c>
      <c r="X392">
        <f>IF($A2="","",SUMIF('07_Pallet_Contents'!$A$2:$A$3000,$A2,'07_Pallet_Contents'!$D$2:$D$3000))</f>
        <v/>
      </c>
      <c r="Y392">
        <f>IF($A2="","",SUMIF('07_Pallet_Contents'!$A$2:$A$3000,$A2,'07_Pallet_Contents'!$I$2:$I$3000))</f>
        <v/>
      </c>
      <c r="Z392">
        <f>IF($A2="","",IF(COUNTIF('07_Pallet_Contents'!$A$2:$A$3000,$A2)&gt;0,"Yes",""))</f>
        <v/>
      </c>
    </row>
    <row r="393">
      <c r="A393" s="4" t="inlineStr">
        <is>
          <t>PAL-0000393</t>
        </is>
      </c>
      <c r="B393" s="22" t="n"/>
      <c r="D393">
        <f>IF($C393="","",IFERROR(LOOKUP(2,1/('03_Warehouse_Movements'!$C$2:$C$500=$A393),'03_Warehouse_Movements'!$E$2:$E$500),$C393))</f>
        <v/>
      </c>
      <c r="E393" t="inlineStr">
        <is>
          <t>STANDARD</t>
        </is>
      </c>
      <c r="G393" s="25" t="n"/>
      <c r="H393" s="24">
        <f>IF(AND($F393="TEMP",$G393&gt;0,$M393&lt;&gt;""),$M393+$G393,"")</f>
        <v/>
      </c>
      <c r="I393" s="22" t="n"/>
      <c r="J393" s="22" t="n"/>
      <c r="K393" s="24" t="n"/>
      <c r="M393" s="46">
        <f>IF($C393="","",IFERROR(LOOKUP(2,1/('03_Warehouse_Movements'!$C$2:$C$500=$A393),'03_Warehouse_Movements'!$A$2:$A$500),""))</f>
        <v/>
      </c>
      <c r="N393">
        <f>IF($C393="","",IFERROR(LOOKUP(2,1/('03_Warehouse_Movements'!$C$2:$C$500=$A393),'03_Warehouse_Movements'!$H$2:$H$500),""))</f>
        <v/>
      </c>
      <c r="O393">
        <f>A393</f>
        <v/>
      </c>
      <c r="Q393" s="25" t="n"/>
      <c r="R393" s="24" t="n"/>
      <c r="W393">
        <f>IF($A2="","",COUNTIF('07_Pallet_Contents'!$A$2:$A$3000,$A2))</f>
        <v/>
      </c>
      <c r="X393">
        <f>IF($A2="","",SUMIF('07_Pallet_Contents'!$A$2:$A$3000,$A2,'07_Pallet_Contents'!$D$2:$D$3000))</f>
        <v/>
      </c>
      <c r="Y393">
        <f>IF($A2="","",SUMIF('07_Pallet_Contents'!$A$2:$A$3000,$A2,'07_Pallet_Contents'!$I$2:$I$3000))</f>
        <v/>
      </c>
      <c r="Z393">
        <f>IF($A2="","",IF(COUNTIF('07_Pallet_Contents'!$A$2:$A$3000,$A2)&gt;0,"Yes",""))</f>
        <v/>
      </c>
    </row>
    <row r="394">
      <c r="A394" s="4" t="inlineStr">
        <is>
          <t>PAL-0000394</t>
        </is>
      </c>
      <c r="B394" s="22" t="n"/>
      <c r="D394">
        <f>IF($C394="","",IFERROR(LOOKUP(2,1/('03_Warehouse_Movements'!$C$2:$C$500=$A394),'03_Warehouse_Movements'!$E$2:$E$500),$C394))</f>
        <v/>
      </c>
      <c r="E394" t="inlineStr">
        <is>
          <t>STANDARD</t>
        </is>
      </c>
      <c r="G394" s="25" t="n"/>
      <c r="H394" s="24">
        <f>IF(AND($F394="TEMP",$G394&gt;0,$M394&lt;&gt;""),$M394+$G394,"")</f>
        <v/>
      </c>
      <c r="I394" s="22" t="n"/>
      <c r="J394" s="22" t="n"/>
      <c r="K394" s="24" t="n"/>
      <c r="M394" s="46">
        <f>IF($C394="","",IFERROR(LOOKUP(2,1/('03_Warehouse_Movements'!$C$2:$C$500=$A394),'03_Warehouse_Movements'!$A$2:$A$500),""))</f>
        <v/>
      </c>
      <c r="N394">
        <f>IF($C394="","",IFERROR(LOOKUP(2,1/('03_Warehouse_Movements'!$C$2:$C$500=$A394),'03_Warehouse_Movements'!$H$2:$H$500),""))</f>
        <v/>
      </c>
      <c r="O394">
        <f>A394</f>
        <v/>
      </c>
      <c r="Q394" s="25" t="n"/>
      <c r="R394" s="24" t="n"/>
      <c r="W394">
        <f>IF($A2="","",COUNTIF('07_Pallet_Contents'!$A$2:$A$3000,$A2))</f>
        <v/>
      </c>
      <c r="X394">
        <f>IF($A2="","",SUMIF('07_Pallet_Contents'!$A$2:$A$3000,$A2,'07_Pallet_Contents'!$D$2:$D$3000))</f>
        <v/>
      </c>
      <c r="Y394">
        <f>IF($A2="","",SUMIF('07_Pallet_Contents'!$A$2:$A$3000,$A2,'07_Pallet_Contents'!$I$2:$I$3000))</f>
        <v/>
      </c>
      <c r="Z394">
        <f>IF($A2="","",IF(COUNTIF('07_Pallet_Contents'!$A$2:$A$3000,$A2)&gt;0,"Yes",""))</f>
        <v/>
      </c>
    </row>
    <row r="395">
      <c r="A395" s="4" t="inlineStr">
        <is>
          <t>PAL-0000395</t>
        </is>
      </c>
      <c r="B395" s="22" t="n"/>
      <c r="D395">
        <f>IF($C395="","",IFERROR(LOOKUP(2,1/('03_Warehouse_Movements'!$C$2:$C$500=$A395),'03_Warehouse_Movements'!$E$2:$E$500),$C395))</f>
        <v/>
      </c>
      <c r="E395" t="inlineStr">
        <is>
          <t>STANDARD</t>
        </is>
      </c>
      <c r="G395" s="25" t="n"/>
      <c r="H395" s="24">
        <f>IF(AND($F395="TEMP",$G395&gt;0,$M395&lt;&gt;""),$M395+$G395,"")</f>
        <v/>
      </c>
      <c r="I395" s="22" t="n"/>
      <c r="J395" s="22" t="n"/>
      <c r="K395" s="24" t="n"/>
      <c r="M395" s="46">
        <f>IF($C395="","",IFERROR(LOOKUP(2,1/('03_Warehouse_Movements'!$C$2:$C$500=$A395),'03_Warehouse_Movements'!$A$2:$A$500),""))</f>
        <v/>
      </c>
      <c r="N395">
        <f>IF($C395="","",IFERROR(LOOKUP(2,1/('03_Warehouse_Movements'!$C$2:$C$500=$A395),'03_Warehouse_Movements'!$H$2:$H$500),""))</f>
        <v/>
      </c>
      <c r="O395">
        <f>A395</f>
        <v/>
      </c>
      <c r="Q395" s="25" t="n"/>
      <c r="R395" s="24" t="n"/>
      <c r="W395">
        <f>IF($A2="","",COUNTIF('07_Pallet_Contents'!$A$2:$A$3000,$A2))</f>
        <v/>
      </c>
      <c r="X395">
        <f>IF($A2="","",SUMIF('07_Pallet_Contents'!$A$2:$A$3000,$A2,'07_Pallet_Contents'!$D$2:$D$3000))</f>
        <v/>
      </c>
      <c r="Y395">
        <f>IF($A2="","",SUMIF('07_Pallet_Contents'!$A$2:$A$3000,$A2,'07_Pallet_Contents'!$I$2:$I$3000))</f>
        <v/>
      </c>
      <c r="Z395">
        <f>IF($A2="","",IF(COUNTIF('07_Pallet_Contents'!$A$2:$A$3000,$A2)&gt;0,"Yes",""))</f>
        <v/>
      </c>
    </row>
    <row r="396">
      <c r="A396" s="4" t="inlineStr">
        <is>
          <t>PAL-0000396</t>
        </is>
      </c>
      <c r="B396" s="22" t="n"/>
      <c r="D396">
        <f>IF($C396="","",IFERROR(LOOKUP(2,1/('03_Warehouse_Movements'!$C$2:$C$500=$A396),'03_Warehouse_Movements'!$E$2:$E$500),$C396))</f>
        <v/>
      </c>
      <c r="E396" t="inlineStr">
        <is>
          <t>STANDARD</t>
        </is>
      </c>
      <c r="G396" s="25" t="n"/>
      <c r="H396" s="24">
        <f>IF(AND($F396="TEMP",$G396&gt;0,$M396&lt;&gt;""),$M396+$G396,"")</f>
        <v/>
      </c>
      <c r="I396" s="22" t="n"/>
      <c r="J396" s="22" t="n"/>
      <c r="K396" s="24" t="n"/>
      <c r="M396" s="46">
        <f>IF($C396="","",IFERROR(LOOKUP(2,1/('03_Warehouse_Movements'!$C$2:$C$500=$A396),'03_Warehouse_Movements'!$A$2:$A$500),""))</f>
        <v/>
      </c>
      <c r="N396">
        <f>IF($C396="","",IFERROR(LOOKUP(2,1/('03_Warehouse_Movements'!$C$2:$C$500=$A396),'03_Warehouse_Movements'!$H$2:$H$500),""))</f>
        <v/>
      </c>
      <c r="O396">
        <f>A396</f>
        <v/>
      </c>
      <c r="Q396" s="25" t="n"/>
      <c r="R396" s="24" t="n"/>
      <c r="W396">
        <f>IF($A2="","",COUNTIF('07_Pallet_Contents'!$A$2:$A$3000,$A2))</f>
        <v/>
      </c>
      <c r="X396">
        <f>IF($A2="","",SUMIF('07_Pallet_Contents'!$A$2:$A$3000,$A2,'07_Pallet_Contents'!$D$2:$D$3000))</f>
        <v/>
      </c>
      <c r="Y396">
        <f>IF($A2="","",SUMIF('07_Pallet_Contents'!$A$2:$A$3000,$A2,'07_Pallet_Contents'!$I$2:$I$3000))</f>
        <v/>
      </c>
      <c r="Z396">
        <f>IF($A2="","",IF(COUNTIF('07_Pallet_Contents'!$A$2:$A$3000,$A2)&gt;0,"Yes",""))</f>
        <v/>
      </c>
    </row>
    <row r="397">
      <c r="A397" s="4" t="inlineStr">
        <is>
          <t>PAL-0000397</t>
        </is>
      </c>
      <c r="B397" s="22" t="n"/>
      <c r="D397">
        <f>IF($C397="","",IFERROR(LOOKUP(2,1/('03_Warehouse_Movements'!$C$2:$C$500=$A397),'03_Warehouse_Movements'!$E$2:$E$500),$C397))</f>
        <v/>
      </c>
      <c r="E397" t="inlineStr">
        <is>
          <t>STANDARD</t>
        </is>
      </c>
      <c r="G397" s="25" t="n"/>
      <c r="H397" s="24">
        <f>IF(AND($F397="TEMP",$G397&gt;0,$M397&lt;&gt;""),$M397+$G397,"")</f>
        <v/>
      </c>
      <c r="I397" s="22" t="n"/>
      <c r="J397" s="22" t="n"/>
      <c r="K397" s="24" t="n"/>
      <c r="M397" s="46">
        <f>IF($C397="","",IFERROR(LOOKUP(2,1/('03_Warehouse_Movements'!$C$2:$C$500=$A397),'03_Warehouse_Movements'!$A$2:$A$500),""))</f>
        <v/>
      </c>
      <c r="N397">
        <f>IF($C397="","",IFERROR(LOOKUP(2,1/('03_Warehouse_Movements'!$C$2:$C$500=$A397),'03_Warehouse_Movements'!$H$2:$H$500),""))</f>
        <v/>
      </c>
      <c r="O397">
        <f>A397</f>
        <v/>
      </c>
      <c r="Q397" s="25" t="n"/>
      <c r="R397" s="24" t="n"/>
      <c r="W397">
        <f>IF($A2="","",COUNTIF('07_Pallet_Contents'!$A$2:$A$3000,$A2))</f>
        <v/>
      </c>
      <c r="X397">
        <f>IF($A2="","",SUMIF('07_Pallet_Contents'!$A$2:$A$3000,$A2,'07_Pallet_Contents'!$D$2:$D$3000))</f>
        <v/>
      </c>
      <c r="Y397">
        <f>IF($A2="","",SUMIF('07_Pallet_Contents'!$A$2:$A$3000,$A2,'07_Pallet_Contents'!$I$2:$I$3000))</f>
        <v/>
      </c>
      <c r="Z397">
        <f>IF($A2="","",IF(COUNTIF('07_Pallet_Contents'!$A$2:$A$3000,$A2)&gt;0,"Yes",""))</f>
        <v/>
      </c>
    </row>
    <row r="398">
      <c r="A398" s="4" t="inlineStr">
        <is>
          <t>PAL-0000398</t>
        </is>
      </c>
      <c r="B398" s="22" t="n"/>
      <c r="D398">
        <f>IF($C398="","",IFERROR(LOOKUP(2,1/('03_Warehouse_Movements'!$C$2:$C$500=$A398),'03_Warehouse_Movements'!$E$2:$E$500),$C398))</f>
        <v/>
      </c>
      <c r="E398" t="inlineStr">
        <is>
          <t>STANDARD</t>
        </is>
      </c>
      <c r="G398" s="25" t="n"/>
      <c r="H398" s="24">
        <f>IF(AND($F398="TEMP",$G398&gt;0,$M398&lt;&gt;""),$M398+$G398,"")</f>
        <v/>
      </c>
      <c r="I398" s="22" t="n"/>
      <c r="J398" s="22" t="n"/>
      <c r="K398" s="24" t="n"/>
      <c r="M398" s="46">
        <f>IF($C398="","",IFERROR(LOOKUP(2,1/('03_Warehouse_Movements'!$C$2:$C$500=$A398),'03_Warehouse_Movements'!$A$2:$A$500),""))</f>
        <v/>
      </c>
      <c r="N398">
        <f>IF($C398="","",IFERROR(LOOKUP(2,1/('03_Warehouse_Movements'!$C$2:$C$500=$A398),'03_Warehouse_Movements'!$H$2:$H$500),""))</f>
        <v/>
      </c>
      <c r="O398">
        <f>A398</f>
        <v/>
      </c>
      <c r="Q398" s="25" t="n"/>
      <c r="R398" s="24" t="n"/>
      <c r="W398">
        <f>IF($A2="","",COUNTIF('07_Pallet_Contents'!$A$2:$A$3000,$A2))</f>
        <v/>
      </c>
      <c r="X398">
        <f>IF($A2="","",SUMIF('07_Pallet_Contents'!$A$2:$A$3000,$A2,'07_Pallet_Contents'!$D$2:$D$3000))</f>
        <v/>
      </c>
      <c r="Y398">
        <f>IF($A2="","",SUMIF('07_Pallet_Contents'!$A$2:$A$3000,$A2,'07_Pallet_Contents'!$I$2:$I$3000))</f>
        <v/>
      </c>
      <c r="Z398">
        <f>IF($A2="","",IF(COUNTIF('07_Pallet_Contents'!$A$2:$A$3000,$A2)&gt;0,"Yes",""))</f>
        <v/>
      </c>
    </row>
    <row r="399">
      <c r="A399" s="4" t="inlineStr">
        <is>
          <t>PAL-0000399</t>
        </is>
      </c>
      <c r="B399" s="22" t="n"/>
      <c r="D399">
        <f>IF($C399="","",IFERROR(LOOKUP(2,1/('03_Warehouse_Movements'!$C$2:$C$500=$A399),'03_Warehouse_Movements'!$E$2:$E$500),$C399))</f>
        <v/>
      </c>
      <c r="E399" t="inlineStr">
        <is>
          <t>STANDARD</t>
        </is>
      </c>
      <c r="G399" s="25" t="n"/>
      <c r="H399" s="24">
        <f>IF(AND($F399="TEMP",$G399&gt;0,$M399&lt;&gt;""),$M399+$G399,"")</f>
        <v/>
      </c>
      <c r="I399" s="22" t="n"/>
      <c r="J399" s="22" t="n"/>
      <c r="K399" s="24" t="n"/>
      <c r="M399" s="46">
        <f>IF($C399="","",IFERROR(LOOKUP(2,1/('03_Warehouse_Movements'!$C$2:$C$500=$A399),'03_Warehouse_Movements'!$A$2:$A$500),""))</f>
        <v/>
      </c>
      <c r="N399">
        <f>IF($C399="","",IFERROR(LOOKUP(2,1/('03_Warehouse_Movements'!$C$2:$C$500=$A399),'03_Warehouse_Movements'!$H$2:$H$500),""))</f>
        <v/>
      </c>
      <c r="O399">
        <f>A399</f>
        <v/>
      </c>
      <c r="Q399" s="25" t="n"/>
      <c r="R399" s="24" t="n"/>
      <c r="W399">
        <f>IF($A2="","",COUNTIF('07_Pallet_Contents'!$A$2:$A$3000,$A2))</f>
        <v/>
      </c>
      <c r="X399">
        <f>IF($A2="","",SUMIF('07_Pallet_Contents'!$A$2:$A$3000,$A2,'07_Pallet_Contents'!$D$2:$D$3000))</f>
        <v/>
      </c>
      <c r="Y399">
        <f>IF($A2="","",SUMIF('07_Pallet_Contents'!$A$2:$A$3000,$A2,'07_Pallet_Contents'!$I$2:$I$3000))</f>
        <v/>
      </c>
      <c r="Z399">
        <f>IF($A2="","",IF(COUNTIF('07_Pallet_Contents'!$A$2:$A$3000,$A2)&gt;0,"Yes",""))</f>
        <v/>
      </c>
    </row>
    <row r="400">
      <c r="A400" s="4" t="inlineStr">
        <is>
          <t>PAL-0000400</t>
        </is>
      </c>
      <c r="B400" s="22" t="n"/>
      <c r="D400">
        <f>IF($C400="","",IFERROR(LOOKUP(2,1/('03_Warehouse_Movements'!$C$2:$C$500=$A400),'03_Warehouse_Movements'!$E$2:$E$500),$C400))</f>
        <v/>
      </c>
      <c r="E400" t="inlineStr">
        <is>
          <t>STANDARD</t>
        </is>
      </c>
      <c r="G400" s="25" t="n"/>
      <c r="H400" s="24">
        <f>IF(AND($F400="TEMP",$G400&gt;0,$M400&lt;&gt;""),$M400+$G400,"")</f>
        <v/>
      </c>
      <c r="I400" s="22" t="n"/>
      <c r="J400" s="22" t="n"/>
      <c r="K400" s="24" t="n"/>
      <c r="M400" s="46">
        <f>IF($C400="","",IFERROR(LOOKUP(2,1/('03_Warehouse_Movements'!$C$2:$C$500=$A400),'03_Warehouse_Movements'!$A$2:$A$500),""))</f>
        <v/>
      </c>
      <c r="N400">
        <f>IF($C400="","",IFERROR(LOOKUP(2,1/('03_Warehouse_Movements'!$C$2:$C$500=$A400),'03_Warehouse_Movements'!$H$2:$H$500),""))</f>
        <v/>
      </c>
      <c r="O400">
        <f>A400</f>
        <v/>
      </c>
      <c r="Q400" s="25" t="n"/>
      <c r="R400" s="24" t="n"/>
      <c r="W400">
        <f>IF($A2="","",COUNTIF('07_Pallet_Contents'!$A$2:$A$3000,$A2))</f>
        <v/>
      </c>
      <c r="X400">
        <f>IF($A2="","",SUMIF('07_Pallet_Contents'!$A$2:$A$3000,$A2,'07_Pallet_Contents'!$D$2:$D$3000))</f>
        <v/>
      </c>
      <c r="Y400">
        <f>IF($A2="","",SUMIF('07_Pallet_Contents'!$A$2:$A$3000,$A2,'07_Pallet_Contents'!$I$2:$I$3000))</f>
        <v/>
      </c>
      <c r="Z400">
        <f>IF($A2="","",IF(COUNTIF('07_Pallet_Contents'!$A$2:$A$3000,$A2)&gt;0,"Yes",""))</f>
        <v/>
      </c>
    </row>
    <row r="401">
      <c r="A401" s="4" t="inlineStr">
        <is>
          <t>PAL-0000401</t>
        </is>
      </c>
      <c r="B401" s="22" t="n"/>
      <c r="D401">
        <f>IF($C401="","",IFERROR(LOOKUP(2,1/('03_Warehouse_Movements'!$C$2:$C$500=$A401),'03_Warehouse_Movements'!$E$2:$E$500),$C401))</f>
        <v/>
      </c>
      <c r="E401" t="inlineStr">
        <is>
          <t>STANDARD</t>
        </is>
      </c>
      <c r="G401" s="25" t="n"/>
      <c r="H401" s="24">
        <f>IF(AND($F401="TEMP",$G401&gt;0,$M401&lt;&gt;""),$M401+$G401,"")</f>
        <v/>
      </c>
      <c r="I401" s="22" t="n"/>
      <c r="J401" s="22" t="n"/>
      <c r="K401" s="24" t="n"/>
      <c r="M401" s="46">
        <f>IF($C401="","",IFERROR(LOOKUP(2,1/('03_Warehouse_Movements'!$C$2:$C$500=$A401),'03_Warehouse_Movements'!$A$2:$A$500),""))</f>
        <v/>
      </c>
      <c r="N401">
        <f>IF($C401="","",IFERROR(LOOKUP(2,1/('03_Warehouse_Movements'!$C$2:$C$500=$A401),'03_Warehouse_Movements'!$H$2:$H$500),""))</f>
        <v/>
      </c>
      <c r="O401">
        <f>A401</f>
        <v/>
      </c>
      <c r="Q401" s="25" t="n"/>
      <c r="R401" s="24" t="n"/>
      <c r="W401">
        <f>IF($A2="","",COUNTIF('07_Pallet_Contents'!$A$2:$A$3000,$A2))</f>
        <v/>
      </c>
      <c r="X401">
        <f>IF($A2="","",SUMIF('07_Pallet_Contents'!$A$2:$A$3000,$A2,'07_Pallet_Contents'!$D$2:$D$3000))</f>
        <v/>
      </c>
      <c r="Y401">
        <f>IF($A2="","",SUMIF('07_Pallet_Contents'!$A$2:$A$3000,$A2,'07_Pallet_Contents'!$I$2:$I$3000))</f>
        <v/>
      </c>
      <c r="Z401">
        <f>IF($A2="","",IF(COUNTIF('07_Pallet_Contents'!$A$2:$A$3000,$A2)&gt;0,"Yes",""))</f>
        <v/>
      </c>
    </row>
    <row r="402">
      <c r="A402" s="4" t="inlineStr">
        <is>
          <t>PAL-0000402</t>
        </is>
      </c>
      <c r="B402" s="22" t="n"/>
      <c r="D402">
        <f>IF($C402="","",IFERROR(LOOKUP(2,1/('03_Warehouse_Movements'!$C$2:$C$500=$A402),'03_Warehouse_Movements'!$E$2:$E$500),$C402))</f>
        <v/>
      </c>
      <c r="E402" t="inlineStr">
        <is>
          <t>STANDARD</t>
        </is>
      </c>
      <c r="G402" s="25" t="n"/>
      <c r="H402" s="24">
        <f>IF(AND($F402="TEMP",$G402&gt;0,$M402&lt;&gt;""),$M402+$G402,"")</f>
        <v/>
      </c>
      <c r="I402" s="22" t="n"/>
      <c r="J402" s="22" t="n"/>
      <c r="K402" s="24" t="n"/>
      <c r="M402" s="46">
        <f>IF($C402="","",IFERROR(LOOKUP(2,1/('03_Warehouse_Movements'!$C$2:$C$500=$A402),'03_Warehouse_Movements'!$A$2:$A$500),""))</f>
        <v/>
      </c>
      <c r="N402">
        <f>IF($C402="","",IFERROR(LOOKUP(2,1/('03_Warehouse_Movements'!$C$2:$C$500=$A402),'03_Warehouse_Movements'!$H$2:$H$500),""))</f>
        <v/>
      </c>
      <c r="O402">
        <f>A402</f>
        <v/>
      </c>
      <c r="Q402" s="25" t="n"/>
      <c r="R402" s="24" t="n"/>
      <c r="W402">
        <f>IF($A2="","",COUNTIF('07_Pallet_Contents'!$A$2:$A$3000,$A2))</f>
        <v/>
      </c>
      <c r="X402">
        <f>IF($A2="","",SUMIF('07_Pallet_Contents'!$A$2:$A$3000,$A2,'07_Pallet_Contents'!$D$2:$D$3000))</f>
        <v/>
      </c>
      <c r="Y402">
        <f>IF($A2="","",SUMIF('07_Pallet_Contents'!$A$2:$A$3000,$A2,'07_Pallet_Contents'!$I$2:$I$3000))</f>
        <v/>
      </c>
      <c r="Z402">
        <f>IF($A2="","",IF(COUNTIF('07_Pallet_Contents'!$A$2:$A$3000,$A2)&gt;0,"Yes",""))</f>
        <v/>
      </c>
    </row>
    <row r="403">
      <c r="A403" s="4" t="inlineStr">
        <is>
          <t>PAL-0000403</t>
        </is>
      </c>
      <c r="B403" s="22" t="n"/>
      <c r="D403">
        <f>IF($C403="","",IFERROR(LOOKUP(2,1/('03_Warehouse_Movements'!$C$2:$C$500=$A403),'03_Warehouse_Movements'!$E$2:$E$500),$C403))</f>
        <v/>
      </c>
      <c r="E403" t="inlineStr">
        <is>
          <t>STANDARD</t>
        </is>
      </c>
      <c r="G403" s="25" t="n"/>
      <c r="H403" s="24">
        <f>IF(AND($F403="TEMP",$G403&gt;0,$M403&lt;&gt;""),$M403+$G403,"")</f>
        <v/>
      </c>
      <c r="I403" s="22" t="n"/>
      <c r="J403" s="22" t="n"/>
      <c r="K403" s="24" t="n"/>
      <c r="M403" s="46">
        <f>IF($C403="","",IFERROR(LOOKUP(2,1/('03_Warehouse_Movements'!$C$2:$C$500=$A403),'03_Warehouse_Movements'!$A$2:$A$500),""))</f>
        <v/>
      </c>
      <c r="N403">
        <f>IF($C403="","",IFERROR(LOOKUP(2,1/('03_Warehouse_Movements'!$C$2:$C$500=$A403),'03_Warehouse_Movements'!$H$2:$H$500),""))</f>
        <v/>
      </c>
      <c r="O403">
        <f>A403</f>
        <v/>
      </c>
      <c r="Q403" s="25" t="n"/>
      <c r="R403" s="24" t="n"/>
      <c r="W403">
        <f>IF($A2="","",COUNTIF('07_Pallet_Contents'!$A$2:$A$3000,$A2))</f>
        <v/>
      </c>
      <c r="X403">
        <f>IF($A2="","",SUMIF('07_Pallet_Contents'!$A$2:$A$3000,$A2,'07_Pallet_Contents'!$D$2:$D$3000))</f>
        <v/>
      </c>
      <c r="Y403">
        <f>IF($A2="","",SUMIF('07_Pallet_Contents'!$A$2:$A$3000,$A2,'07_Pallet_Contents'!$I$2:$I$3000))</f>
        <v/>
      </c>
      <c r="Z403">
        <f>IF($A2="","",IF(COUNTIF('07_Pallet_Contents'!$A$2:$A$3000,$A2)&gt;0,"Yes",""))</f>
        <v/>
      </c>
    </row>
    <row r="404">
      <c r="A404" s="4" t="inlineStr">
        <is>
          <t>PAL-0000404</t>
        </is>
      </c>
      <c r="B404" s="22" t="n"/>
      <c r="D404">
        <f>IF($C404="","",IFERROR(LOOKUP(2,1/('03_Warehouse_Movements'!$C$2:$C$500=$A404),'03_Warehouse_Movements'!$E$2:$E$500),$C404))</f>
        <v/>
      </c>
      <c r="E404" t="inlineStr">
        <is>
          <t>STANDARD</t>
        </is>
      </c>
      <c r="G404" s="25" t="n"/>
      <c r="H404" s="24">
        <f>IF(AND($F404="TEMP",$G404&gt;0,$M404&lt;&gt;""),$M404+$G404,"")</f>
        <v/>
      </c>
      <c r="I404" s="22" t="n"/>
      <c r="J404" s="22" t="n"/>
      <c r="K404" s="24" t="n"/>
      <c r="M404" s="46">
        <f>IF($C404="","",IFERROR(LOOKUP(2,1/('03_Warehouse_Movements'!$C$2:$C$500=$A404),'03_Warehouse_Movements'!$A$2:$A$500),""))</f>
        <v/>
      </c>
      <c r="N404">
        <f>IF($C404="","",IFERROR(LOOKUP(2,1/('03_Warehouse_Movements'!$C$2:$C$500=$A404),'03_Warehouse_Movements'!$H$2:$H$500),""))</f>
        <v/>
      </c>
      <c r="O404">
        <f>A404</f>
        <v/>
      </c>
      <c r="Q404" s="25" t="n"/>
      <c r="R404" s="24" t="n"/>
      <c r="W404">
        <f>IF($A2="","",COUNTIF('07_Pallet_Contents'!$A$2:$A$3000,$A2))</f>
        <v/>
      </c>
      <c r="X404">
        <f>IF($A2="","",SUMIF('07_Pallet_Contents'!$A$2:$A$3000,$A2,'07_Pallet_Contents'!$D$2:$D$3000))</f>
        <v/>
      </c>
      <c r="Y404">
        <f>IF($A2="","",SUMIF('07_Pallet_Contents'!$A$2:$A$3000,$A2,'07_Pallet_Contents'!$I$2:$I$3000))</f>
        <v/>
      </c>
      <c r="Z404">
        <f>IF($A2="","",IF(COUNTIF('07_Pallet_Contents'!$A$2:$A$3000,$A2)&gt;0,"Yes",""))</f>
        <v/>
      </c>
    </row>
    <row r="405">
      <c r="A405" s="4" t="inlineStr">
        <is>
          <t>PAL-0000405</t>
        </is>
      </c>
      <c r="B405" s="22" t="n"/>
      <c r="D405">
        <f>IF($C405="","",IFERROR(LOOKUP(2,1/('03_Warehouse_Movements'!$C$2:$C$500=$A405),'03_Warehouse_Movements'!$E$2:$E$500),$C405))</f>
        <v/>
      </c>
      <c r="E405" t="inlineStr">
        <is>
          <t>STANDARD</t>
        </is>
      </c>
      <c r="G405" s="25" t="n"/>
      <c r="H405" s="24">
        <f>IF(AND($F405="TEMP",$G405&gt;0,$M405&lt;&gt;""),$M405+$G405,"")</f>
        <v/>
      </c>
      <c r="I405" s="22" t="n"/>
      <c r="J405" s="22" t="n"/>
      <c r="K405" s="24" t="n"/>
      <c r="M405" s="46">
        <f>IF($C405="","",IFERROR(LOOKUP(2,1/('03_Warehouse_Movements'!$C$2:$C$500=$A405),'03_Warehouse_Movements'!$A$2:$A$500),""))</f>
        <v/>
      </c>
      <c r="N405">
        <f>IF($C405="","",IFERROR(LOOKUP(2,1/('03_Warehouse_Movements'!$C$2:$C$500=$A405),'03_Warehouse_Movements'!$H$2:$H$500),""))</f>
        <v/>
      </c>
      <c r="O405">
        <f>A405</f>
        <v/>
      </c>
      <c r="Q405" s="25" t="n"/>
      <c r="R405" s="24" t="n"/>
      <c r="W405">
        <f>IF($A2="","",COUNTIF('07_Pallet_Contents'!$A$2:$A$3000,$A2))</f>
        <v/>
      </c>
      <c r="X405">
        <f>IF($A2="","",SUMIF('07_Pallet_Contents'!$A$2:$A$3000,$A2,'07_Pallet_Contents'!$D$2:$D$3000))</f>
        <v/>
      </c>
      <c r="Y405">
        <f>IF($A2="","",SUMIF('07_Pallet_Contents'!$A$2:$A$3000,$A2,'07_Pallet_Contents'!$I$2:$I$3000))</f>
        <v/>
      </c>
      <c r="Z405">
        <f>IF($A2="","",IF(COUNTIF('07_Pallet_Contents'!$A$2:$A$3000,$A2)&gt;0,"Yes",""))</f>
        <v/>
      </c>
    </row>
    <row r="406">
      <c r="A406" s="4" t="inlineStr">
        <is>
          <t>PAL-0000406</t>
        </is>
      </c>
      <c r="B406" s="22" t="n"/>
      <c r="D406">
        <f>IF($C406="","",IFERROR(LOOKUP(2,1/('03_Warehouse_Movements'!$C$2:$C$500=$A406),'03_Warehouse_Movements'!$E$2:$E$500),$C406))</f>
        <v/>
      </c>
      <c r="E406" t="inlineStr">
        <is>
          <t>STANDARD</t>
        </is>
      </c>
      <c r="G406" s="25" t="n"/>
      <c r="H406" s="24">
        <f>IF(AND($F406="TEMP",$G406&gt;0,$M406&lt;&gt;""),$M406+$G406,"")</f>
        <v/>
      </c>
      <c r="I406" s="22" t="n"/>
      <c r="J406" s="22" t="n"/>
      <c r="K406" s="24" t="n"/>
      <c r="M406" s="46">
        <f>IF($C406="","",IFERROR(LOOKUP(2,1/('03_Warehouse_Movements'!$C$2:$C$500=$A406),'03_Warehouse_Movements'!$A$2:$A$500),""))</f>
        <v/>
      </c>
      <c r="N406">
        <f>IF($C406="","",IFERROR(LOOKUP(2,1/('03_Warehouse_Movements'!$C$2:$C$500=$A406),'03_Warehouse_Movements'!$H$2:$H$500),""))</f>
        <v/>
      </c>
      <c r="O406">
        <f>A406</f>
        <v/>
      </c>
      <c r="Q406" s="25" t="n"/>
      <c r="R406" s="24" t="n"/>
      <c r="W406">
        <f>IF($A2="","",COUNTIF('07_Pallet_Contents'!$A$2:$A$3000,$A2))</f>
        <v/>
      </c>
      <c r="X406">
        <f>IF($A2="","",SUMIF('07_Pallet_Contents'!$A$2:$A$3000,$A2,'07_Pallet_Contents'!$D$2:$D$3000))</f>
        <v/>
      </c>
      <c r="Y406">
        <f>IF($A2="","",SUMIF('07_Pallet_Contents'!$A$2:$A$3000,$A2,'07_Pallet_Contents'!$I$2:$I$3000))</f>
        <v/>
      </c>
      <c r="Z406">
        <f>IF($A2="","",IF(COUNTIF('07_Pallet_Contents'!$A$2:$A$3000,$A2)&gt;0,"Yes",""))</f>
        <v/>
      </c>
    </row>
    <row r="407">
      <c r="A407" s="4" t="inlineStr">
        <is>
          <t>PAL-0000407</t>
        </is>
      </c>
      <c r="B407" s="22" t="n"/>
      <c r="D407">
        <f>IF($C407="","",IFERROR(LOOKUP(2,1/('03_Warehouse_Movements'!$C$2:$C$500=$A407),'03_Warehouse_Movements'!$E$2:$E$500),$C407))</f>
        <v/>
      </c>
      <c r="E407" t="inlineStr">
        <is>
          <t>STANDARD</t>
        </is>
      </c>
      <c r="G407" s="25" t="n"/>
      <c r="H407" s="24">
        <f>IF(AND($F407="TEMP",$G407&gt;0,$M407&lt;&gt;""),$M407+$G407,"")</f>
        <v/>
      </c>
      <c r="I407" s="22" t="n"/>
      <c r="J407" s="22" t="n"/>
      <c r="K407" s="24" t="n"/>
      <c r="M407" s="46">
        <f>IF($C407="","",IFERROR(LOOKUP(2,1/('03_Warehouse_Movements'!$C$2:$C$500=$A407),'03_Warehouse_Movements'!$A$2:$A$500),""))</f>
        <v/>
      </c>
      <c r="N407">
        <f>IF($C407="","",IFERROR(LOOKUP(2,1/('03_Warehouse_Movements'!$C$2:$C$500=$A407),'03_Warehouse_Movements'!$H$2:$H$500),""))</f>
        <v/>
      </c>
      <c r="O407">
        <f>A407</f>
        <v/>
      </c>
      <c r="Q407" s="25" t="n"/>
      <c r="R407" s="24" t="n"/>
      <c r="W407">
        <f>IF($A2="","",COUNTIF('07_Pallet_Contents'!$A$2:$A$3000,$A2))</f>
        <v/>
      </c>
      <c r="X407">
        <f>IF($A2="","",SUMIF('07_Pallet_Contents'!$A$2:$A$3000,$A2,'07_Pallet_Contents'!$D$2:$D$3000))</f>
        <v/>
      </c>
      <c r="Y407">
        <f>IF($A2="","",SUMIF('07_Pallet_Contents'!$A$2:$A$3000,$A2,'07_Pallet_Contents'!$I$2:$I$3000))</f>
        <v/>
      </c>
      <c r="Z407">
        <f>IF($A2="","",IF(COUNTIF('07_Pallet_Contents'!$A$2:$A$3000,$A2)&gt;0,"Yes",""))</f>
        <v/>
      </c>
    </row>
    <row r="408">
      <c r="A408" s="4" t="inlineStr">
        <is>
          <t>PAL-0000408</t>
        </is>
      </c>
      <c r="B408" s="22" t="n"/>
      <c r="D408">
        <f>IF($C408="","",IFERROR(LOOKUP(2,1/('03_Warehouse_Movements'!$C$2:$C$500=$A408),'03_Warehouse_Movements'!$E$2:$E$500),$C408))</f>
        <v/>
      </c>
      <c r="E408" t="inlineStr">
        <is>
          <t>STANDARD</t>
        </is>
      </c>
      <c r="G408" s="25" t="n"/>
      <c r="H408" s="24">
        <f>IF(AND($F408="TEMP",$G408&gt;0,$M408&lt;&gt;""),$M408+$G408,"")</f>
        <v/>
      </c>
      <c r="I408" s="22" t="n"/>
      <c r="J408" s="22" t="n"/>
      <c r="K408" s="24" t="n"/>
      <c r="M408" s="46">
        <f>IF($C408="","",IFERROR(LOOKUP(2,1/('03_Warehouse_Movements'!$C$2:$C$500=$A408),'03_Warehouse_Movements'!$A$2:$A$500),""))</f>
        <v/>
      </c>
      <c r="N408">
        <f>IF($C408="","",IFERROR(LOOKUP(2,1/('03_Warehouse_Movements'!$C$2:$C$500=$A408),'03_Warehouse_Movements'!$H$2:$H$500),""))</f>
        <v/>
      </c>
      <c r="O408">
        <f>A408</f>
        <v/>
      </c>
      <c r="Q408" s="25" t="n"/>
      <c r="R408" s="24" t="n"/>
      <c r="W408">
        <f>IF($A2="","",COUNTIF('07_Pallet_Contents'!$A$2:$A$3000,$A2))</f>
        <v/>
      </c>
      <c r="X408">
        <f>IF($A2="","",SUMIF('07_Pallet_Contents'!$A$2:$A$3000,$A2,'07_Pallet_Contents'!$D$2:$D$3000))</f>
        <v/>
      </c>
      <c r="Y408">
        <f>IF($A2="","",SUMIF('07_Pallet_Contents'!$A$2:$A$3000,$A2,'07_Pallet_Contents'!$I$2:$I$3000))</f>
        <v/>
      </c>
      <c r="Z408">
        <f>IF($A2="","",IF(COUNTIF('07_Pallet_Contents'!$A$2:$A$3000,$A2)&gt;0,"Yes",""))</f>
        <v/>
      </c>
    </row>
    <row r="409">
      <c r="A409" s="4" t="inlineStr">
        <is>
          <t>PAL-0000409</t>
        </is>
      </c>
      <c r="B409" s="22" t="n"/>
      <c r="D409">
        <f>IF($C409="","",IFERROR(LOOKUP(2,1/('03_Warehouse_Movements'!$C$2:$C$500=$A409),'03_Warehouse_Movements'!$E$2:$E$500),$C409))</f>
        <v/>
      </c>
      <c r="E409" t="inlineStr">
        <is>
          <t>STANDARD</t>
        </is>
      </c>
      <c r="G409" s="25" t="n"/>
      <c r="H409" s="24">
        <f>IF(AND($F409="TEMP",$G409&gt;0,$M409&lt;&gt;""),$M409+$G409,"")</f>
        <v/>
      </c>
      <c r="I409" s="22" t="n"/>
      <c r="J409" s="22" t="n"/>
      <c r="K409" s="24" t="n"/>
      <c r="M409" s="46">
        <f>IF($C409="","",IFERROR(LOOKUP(2,1/('03_Warehouse_Movements'!$C$2:$C$500=$A409),'03_Warehouse_Movements'!$A$2:$A$500),""))</f>
        <v/>
      </c>
      <c r="N409">
        <f>IF($C409="","",IFERROR(LOOKUP(2,1/('03_Warehouse_Movements'!$C$2:$C$500=$A409),'03_Warehouse_Movements'!$H$2:$H$500),""))</f>
        <v/>
      </c>
      <c r="O409">
        <f>A409</f>
        <v/>
      </c>
      <c r="Q409" s="25" t="n"/>
      <c r="R409" s="24" t="n"/>
      <c r="W409">
        <f>IF($A2="","",COUNTIF('07_Pallet_Contents'!$A$2:$A$3000,$A2))</f>
        <v/>
      </c>
      <c r="X409">
        <f>IF($A2="","",SUMIF('07_Pallet_Contents'!$A$2:$A$3000,$A2,'07_Pallet_Contents'!$D$2:$D$3000))</f>
        <v/>
      </c>
      <c r="Y409">
        <f>IF($A2="","",SUMIF('07_Pallet_Contents'!$A$2:$A$3000,$A2,'07_Pallet_Contents'!$I$2:$I$3000))</f>
        <v/>
      </c>
      <c r="Z409">
        <f>IF($A2="","",IF(COUNTIF('07_Pallet_Contents'!$A$2:$A$3000,$A2)&gt;0,"Yes",""))</f>
        <v/>
      </c>
    </row>
    <row r="410">
      <c r="A410" s="4" t="inlineStr">
        <is>
          <t>PAL-0000410</t>
        </is>
      </c>
      <c r="B410" s="22" t="n"/>
      <c r="D410">
        <f>IF($C410="","",IFERROR(LOOKUP(2,1/('03_Warehouse_Movements'!$C$2:$C$500=$A410),'03_Warehouse_Movements'!$E$2:$E$500),$C410))</f>
        <v/>
      </c>
      <c r="E410" t="inlineStr">
        <is>
          <t>STANDARD</t>
        </is>
      </c>
      <c r="G410" s="25" t="n"/>
      <c r="H410" s="24">
        <f>IF(AND($F410="TEMP",$G410&gt;0,$M410&lt;&gt;""),$M410+$G410,"")</f>
        <v/>
      </c>
      <c r="I410" s="22" t="n"/>
      <c r="J410" s="22" t="n"/>
      <c r="K410" s="24" t="n"/>
      <c r="M410" s="46">
        <f>IF($C410="","",IFERROR(LOOKUP(2,1/('03_Warehouse_Movements'!$C$2:$C$500=$A410),'03_Warehouse_Movements'!$A$2:$A$500),""))</f>
        <v/>
      </c>
      <c r="N410">
        <f>IF($C410="","",IFERROR(LOOKUP(2,1/('03_Warehouse_Movements'!$C$2:$C$500=$A410),'03_Warehouse_Movements'!$H$2:$H$500),""))</f>
        <v/>
      </c>
      <c r="O410">
        <f>A410</f>
        <v/>
      </c>
      <c r="Q410" s="25" t="n"/>
      <c r="R410" s="24" t="n"/>
      <c r="W410">
        <f>IF($A2="","",COUNTIF('07_Pallet_Contents'!$A$2:$A$3000,$A2))</f>
        <v/>
      </c>
      <c r="X410">
        <f>IF($A2="","",SUMIF('07_Pallet_Contents'!$A$2:$A$3000,$A2,'07_Pallet_Contents'!$D$2:$D$3000))</f>
        <v/>
      </c>
      <c r="Y410">
        <f>IF($A2="","",SUMIF('07_Pallet_Contents'!$A$2:$A$3000,$A2,'07_Pallet_Contents'!$I$2:$I$3000))</f>
        <v/>
      </c>
      <c r="Z410">
        <f>IF($A2="","",IF(COUNTIF('07_Pallet_Contents'!$A$2:$A$3000,$A2)&gt;0,"Yes",""))</f>
        <v/>
      </c>
    </row>
    <row r="411">
      <c r="A411" s="4" t="inlineStr">
        <is>
          <t>PAL-0000411</t>
        </is>
      </c>
      <c r="B411" s="22" t="n"/>
      <c r="D411">
        <f>IF($C411="","",IFERROR(LOOKUP(2,1/('03_Warehouse_Movements'!$C$2:$C$500=$A411),'03_Warehouse_Movements'!$E$2:$E$500),$C411))</f>
        <v/>
      </c>
      <c r="E411" t="inlineStr">
        <is>
          <t>STANDARD</t>
        </is>
      </c>
      <c r="G411" s="25" t="n"/>
      <c r="H411" s="24">
        <f>IF(AND($F411="TEMP",$G411&gt;0,$M411&lt;&gt;""),$M411+$G411,"")</f>
        <v/>
      </c>
      <c r="I411" s="22" t="n"/>
      <c r="J411" s="22" t="n"/>
      <c r="K411" s="24" t="n"/>
      <c r="M411" s="46">
        <f>IF($C411="","",IFERROR(LOOKUP(2,1/('03_Warehouse_Movements'!$C$2:$C$500=$A411),'03_Warehouse_Movements'!$A$2:$A$500),""))</f>
        <v/>
      </c>
      <c r="N411">
        <f>IF($C411="","",IFERROR(LOOKUP(2,1/('03_Warehouse_Movements'!$C$2:$C$500=$A411),'03_Warehouse_Movements'!$H$2:$H$500),""))</f>
        <v/>
      </c>
      <c r="O411">
        <f>A411</f>
        <v/>
      </c>
      <c r="Q411" s="25" t="n"/>
      <c r="R411" s="24" t="n"/>
      <c r="W411">
        <f>IF($A2="","",COUNTIF('07_Pallet_Contents'!$A$2:$A$3000,$A2))</f>
        <v/>
      </c>
      <c r="X411">
        <f>IF($A2="","",SUMIF('07_Pallet_Contents'!$A$2:$A$3000,$A2,'07_Pallet_Contents'!$D$2:$D$3000))</f>
        <v/>
      </c>
      <c r="Y411">
        <f>IF($A2="","",SUMIF('07_Pallet_Contents'!$A$2:$A$3000,$A2,'07_Pallet_Contents'!$I$2:$I$3000))</f>
        <v/>
      </c>
      <c r="Z411">
        <f>IF($A2="","",IF(COUNTIF('07_Pallet_Contents'!$A$2:$A$3000,$A2)&gt;0,"Yes",""))</f>
        <v/>
      </c>
    </row>
    <row r="412">
      <c r="A412" s="4" t="inlineStr">
        <is>
          <t>PAL-0000412</t>
        </is>
      </c>
      <c r="B412" s="22" t="n"/>
      <c r="D412">
        <f>IF($C412="","",IFERROR(LOOKUP(2,1/('03_Warehouse_Movements'!$C$2:$C$500=$A412),'03_Warehouse_Movements'!$E$2:$E$500),$C412))</f>
        <v/>
      </c>
      <c r="E412" t="inlineStr">
        <is>
          <t>STANDARD</t>
        </is>
      </c>
      <c r="G412" s="25" t="n"/>
      <c r="H412" s="24">
        <f>IF(AND($F412="TEMP",$G412&gt;0,$M412&lt;&gt;""),$M412+$G412,"")</f>
        <v/>
      </c>
      <c r="I412" s="22" t="n"/>
      <c r="J412" s="22" t="n"/>
      <c r="K412" s="24" t="n"/>
      <c r="M412" s="46">
        <f>IF($C412="","",IFERROR(LOOKUP(2,1/('03_Warehouse_Movements'!$C$2:$C$500=$A412),'03_Warehouse_Movements'!$A$2:$A$500),""))</f>
        <v/>
      </c>
      <c r="N412">
        <f>IF($C412="","",IFERROR(LOOKUP(2,1/('03_Warehouse_Movements'!$C$2:$C$500=$A412),'03_Warehouse_Movements'!$H$2:$H$500),""))</f>
        <v/>
      </c>
      <c r="O412">
        <f>A412</f>
        <v/>
      </c>
      <c r="Q412" s="25" t="n"/>
      <c r="R412" s="24" t="n"/>
      <c r="W412">
        <f>IF($A2="","",COUNTIF('07_Pallet_Contents'!$A$2:$A$3000,$A2))</f>
        <v/>
      </c>
      <c r="X412">
        <f>IF($A2="","",SUMIF('07_Pallet_Contents'!$A$2:$A$3000,$A2,'07_Pallet_Contents'!$D$2:$D$3000))</f>
        <v/>
      </c>
      <c r="Y412">
        <f>IF($A2="","",SUMIF('07_Pallet_Contents'!$A$2:$A$3000,$A2,'07_Pallet_Contents'!$I$2:$I$3000))</f>
        <v/>
      </c>
      <c r="Z412">
        <f>IF($A2="","",IF(COUNTIF('07_Pallet_Contents'!$A$2:$A$3000,$A2)&gt;0,"Yes",""))</f>
        <v/>
      </c>
    </row>
    <row r="413">
      <c r="A413" s="4" t="inlineStr">
        <is>
          <t>PAL-0000413</t>
        </is>
      </c>
      <c r="B413" s="22" t="n"/>
      <c r="D413">
        <f>IF($C413="","",IFERROR(LOOKUP(2,1/('03_Warehouse_Movements'!$C$2:$C$500=$A413),'03_Warehouse_Movements'!$E$2:$E$500),$C413))</f>
        <v/>
      </c>
      <c r="E413" t="inlineStr">
        <is>
          <t>STANDARD</t>
        </is>
      </c>
      <c r="G413" s="25" t="n"/>
      <c r="H413" s="24">
        <f>IF(AND($F413="TEMP",$G413&gt;0,$M413&lt;&gt;""),$M413+$G413,"")</f>
        <v/>
      </c>
      <c r="I413" s="22" t="n"/>
      <c r="J413" s="22" t="n"/>
      <c r="K413" s="24" t="n"/>
      <c r="M413" s="46">
        <f>IF($C413="","",IFERROR(LOOKUP(2,1/('03_Warehouse_Movements'!$C$2:$C$500=$A413),'03_Warehouse_Movements'!$A$2:$A$500),""))</f>
        <v/>
      </c>
      <c r="N413">
        <f>IF($C413="","",IFERROR(LOOKUP(2,1/('03_Warehouse_Movements'!$C$2:$C$500=$A413),'03_Warehouse_Movements'!$H$2:$H$500),""))</f>
        <v/>
      </c>
      <c r="O413">
        <f>A413</f>
        <v/>
      </c>
      <c r="Q413" s="25" t="n"/>
      <c r="R413" s="24" t="n"/>
      <c r="W413">
        <f>IF($A2="","",COUNTIF('07_Pallet_Contents'!$A$2:$A$3000,$A2))</f>
        <v/>
      </c>
      <c r="X413">
        <f>IF($A2="","",SUMIF('07_Pallet_Contents'!$A$2:$A$3000,$A2,'07_Pallet_Contents'!$D$2:$D$3000))</f>
        <v/>
      </c>
      <c r="Y413">
        <f>IF($A2="","",SUMIF('07_Pallet_Contents'!$A$2:$A$3000,$A2,'07_Pallet_Contents'!$I$2:$I$3000))</f>
        <v/>
      </c>
      <c r="Z413">
        <f>IF($A2="","",IF(COUNTIF('07_Pallet_Contents'!$A$2:$A$3000,$A2)&gt;0,"Yes",""))</f>
        <v/>
      </c>
    </row>
    <row r="414">
      <c r="A414" s="4" t="inlineStr">
        <is>
          <t>PAL-0000414</t>
        </is>
      </c>
      <c r="B414" s="22" t="n"/>
      <c r="D414">
        <f>IF($C414="","",IFERROR(LOOKUP(2,1/('03_Warehouse_Movements'!$C$2:$C$500=$A414),'03_Warehouse_Movements'!$E$2:$E$500),$C414))</f>
        <v/>
      </c>
      <c r="E414" t="inlineStr">
        <is>
          <t>STANDARD</t>
        </is>
      </c>
      <c r="G414" s="25" t="n"/>
      <c r="H414" s="24">
        <f>IF(AND($F414="TEMP",$G414&gt;0,$M414&lt;&gt;""),$M414+$G414,"")</f>
        <v/>
      </c>
      <c r="I414" s="22" t="n"/>
      <c r="J414" s="22" t="n"/>
      <c r="K414" s="24" t="n"/>
      <c r="M414" s="46">
        <f>IF($C414="","",IFERROR(LOOKUP(2,1/('03_Warehouse_Movements'!$C$2:$C$500=$A414),'03_Warehouse_Movements'!$A$2:$A$500),""))</f>
        <v/>
      </c>
      <c r="N414">
        <f>IF($C414="","",IFERROR(LOOKUP(2,1/('03_Warehouse_Movements'!$C$2:$C$500=$A414),'03_Warehouse_Movements'!$H$2:$H$500),""))</f>
        <v/>
      </c>
      <c r="O414">
        <f>A414</f>
        <v/>
      </c>
      <c r="Q414" s="25" t="n"/>
      <c r="R414" s="24" t="n"/>
      <c r="W414">
        <f>IF($A2="","",COUNTIF('07_Pallet_Contents'!$A$2:$A$3000,$A2))</f>
        <v/>
      </c>
      <c r="X414">
        <f>IF($A2="","",SUMIF('07_Pallet_Contents'!$A$2:$A$3000,$A2,'07_Pallet_Contents'!$D$2:$D$3000))</f>
        <v/>
      </c>
      <c r="Y414">
        <f>IF($A2="","",SUMIF('07_Pallet_Contents'!$A$2:$A$3000,$A2,'07_Pallet_Contents'!$I$2:$I$3000))</f>
        <v/>
      </c>
      <c r="Z414">
        <f>IF($A2="","",IF(COUNTIF('07_Pallet_Contents'!$A$2:$A$3000,$A2)&gt;0,"Yes",""))</f>
        <v/>
      </c>
    </row>
    <row r="415">
      <c r="A415" s="4" t="inlineStr">
        <is>
          <t>PAL-0000415</t>
        </is>
      </c>
      <c r="B415" s="22" t="n"/>
      <c r="D415">
        <f>IF($C415="","",IFERROR(LOOKUP(2,1/('03_Warehouse_Movements'!$C$2:$C$500=$A415),'03_Warehouse_Movements'!$E$2:$E$500),$C415))</f>
        <v/>
      </c>
      <c r="E415" t="inlineStr">
        <is>
          <t>STANDARD</t>
        </is>
      </c>
      <c r="G415" s="25" t="n"/>
      <c r="H415" s="24">
        <f>IF(AND($F415="TEMP",$G415&gt;0,$M415&lt;&gt;""),$M415+$G415,"")</f>
        <v/>
      </c>
      <c r="I415" s="22" t="n"/>
      <c r="J415" s="22" t="n"/>
      <c r="K415" s="24" t="n"/>
      <c r="M415" s="46">
        <f>IF($C415="","",IFERROR(LOOKUP(2,1/('03_Warehouse_Movements'!$C$2:$C$500=$A415),'03_Warehouse_Movements'!$A$2:$A$500),""))</f>
        <v/>
      </c>
      <c r="N415">
        <f>IF($C415="","",IFERROR(LOOKUP(2,1/('03_Warehouse_Movements'!$C$2:$C$500=$A415),'03_Warehouse_Movements'!$H$2:$H$500),""))</f>
        <v/>
      </c>
      <c r="O415">
        <f>A415</f>
        <v/>
      </c>
      <c r="Q415" s="25" t="n"/>
      <c r="R415" s="24" t="n"/>
      <c r="W415">
        <f>IF($A2="","",COUNTIF('07_Pallet_Contents'!$A$2:$A$3000,$A2))</f>
        <v/>
      </c>
      <c r="X415">
        <f>IF($A2="","",SUMIF('07_Pallet_Contents'!$A$2:$A$3000,$A2,'07_Pallet_Contents'!$D$2:$D$3000))</f>
        <v/>
      </c>
      <c r="Y415">
        <f>IF($A2="","",SUMIF('07_Pallet_Contents'!$A$2:$A$3000,$A2,'07_Pallet_Contents'!$I$2:$I$3000))</f>
        <v/>
      </c>
      <c r="Z415">
        <f>IF($A2="","",IF(COUNTIF('07_Pallet_Contents'!$A$2:$A$3000,$A2)&gt;0,"Yes",""))</f>
        <v/>
      </c>
    </row>
    <row r="416">
      <c r="A416" s="4" t="inlineStr">
        <is>
          <t>PAL-0000416</t>
        </is>
      </c>
      <c r="B416" s="22" t="n"/>
      <c r="D416">
        <f>IF($C416="","",IFERROR(LOOKUP(2,1/('03_Warehouse_Movements'!$C$2:$C$500=$A416),'03_Warehouse_Movements'!$E$2:$E$500),$C416))</f>
        <v/>
      </c>
      <c r="E416" t="inlineStr">
        <is>
          <t>STANDARD</t>
        </is>
      </c>
      <c r="G416" s="25" t="n"/>
      <c r="H416" s="24">
        <f>IF(AND($F416="TEMP",$G416&gt;0,$M416&lt;&gt;""),$M416+$G416,"")</f>
        <v/>
      </c>
      <c r="I416" s="22" t="n"/>
      <c r="J416" s="22" t="n"/>
      <c r="K416" s="24" t="n"/>
      <c r="M416" s="46">
        <f>IF($C416="","",IFERROR(LOOKUP(2,1/('03_Warehouse_Movements'!$C$2:$C$500=$A416),'03_Warehouse_Movements'!$A$2:$A$500),""))</f>
        <v/>
      </c>
      <c r="N416">
        <f>IF($C416="","",IFERROR(LOOKUP(2,1/('03_Warehouse_Movements'!$C$2:$C$500=$A416),'03_Warehouse_Movements'!$H$2:$H$500),""))</f>
        <v/>
      </c>
      <c r="O416">
        <f>A416</f>
        <v/>
      </c>
      <c r="Q416" s="25" t="n"/>
      <c r="R416" s="24" t="n"/>
      <c r="W416">
        <f>IF($A2="","",COUNTIF('07_Pallet_Contents'!$A$2:$A$3000,$A2))</f>
        <v/>
      </c>
      <c r="X416">
        <f>IF($A2="","",SUMIF('07_Pallet_Contents'!$A$2:$A$3000,$A2,'07_Pallet_Contents'!$D$2:$D$3000))</f>
        <v/>
      </c>
      <c r="Y416">
        <f>IF($A2="","",SUMIF('07_Pallet_Contents'!$A$2:$A$3000,$A2,'07_Pallet_Contents'!$I$2:$I$3000))</f>
        <v/>
      </c>
      <c r="Z416">
        <f>IF($A2="","",IF(COUNTIF('07_Pallet_Contents'!$A$2:$A$3000,$A2)&gt;0,"Yes",""))</f>
        <v/>
      </c>
    </row>
    <row r="417">
      <c r="A417" s="4" t="inlineStr">
        <is>
          <t>PAL-0000417</t>
        </is>
      </c>
      <c r="B417" s="22" t="n"/>
      <c r="D417">
        <f>IF($C417="","",IFERROR(LOOKUP(2,1/('03_Warehouse_Movements'!$C$2:$C$500=$A417),'03_Warehouse_Movements'!$E$2:$E$500),$C417))</f>
        <v/>
      </c>
      <c r="E417" t="inlineStr">
        <is>
          <t>STANDARD</t>
        </is>
      </c>
      <c r="G417" s="25" t="n"/>
      <c r="H417" s="24">
        <f>IF(AND($F417="TEMP",$G417&gt;0,$M417&lt;&gt;""),$M417+$G417,"")</f>
        <v/>
      </c>
      <c r="I417" s="22" t="n"/>
      <c r="J417" s="22" t="n"/>
      <c r="K417" s="24" t="n"/>
      <c r="M417" s="46">
        <f>IF($C417="","",IFERROR(LOOKUP(2,1/('03_Warehouse_Movements'!$C$2:$C$500=$A417),'03_Warehouse_Movements'!$A$2:$A$500),""))</f>
        <v/>
      </c>
      <c r="N417">
        <f>IF($C417="","",IFERROR(LOOKUP(2,1/('03_Warehouse_Movements'!$C$2:$C$500=$A417),'03_Warehouse_Movements'!$H$2:$H$500),""))</f>
        <v/>
      </c>
      <c r="O417">
        <f>A417</f>
        <v/>
      </c>
      <c r="Q417" s="25" t="n"/>
      <c r="R417" s="24" t="n"/>
      <c r="W417">
        <f>IF($A2="","",COUNTIF('07_Pallet_Contents'!$A$2:$A$3000,$A2))</f>
        <v/>
      </c>
      <c r="X417">
        <f>IF($A2="","",SUMIF('07_Pallet_Contents'!$A$2:$A$3000,$A2,'07_Pallet_Contents'!$D$2:$D$3000))</f>
        <v/>
      </c>
      <c r="Y417">
        <f>IF($A2="","",SUMIF('07_Pallet_Contents'!$A$2:$A$3000,$A2,'07_Pallet_Contents'!$I$2:$I$3000))</f>
        <v/>
      </c>
      <c r="Z417">
        <f>IF($A2="","",IF(COUNTIF('07_Pallet_Contents'!$A$2:$A$3000,$A2)&gt;0,"Yes",""))</f>
        <v/>
      </c>
    </row>
    <row r="418">
      <c r="A418" s="4" t="inlineStr">
        <is>
          <t>PAL-0000418</t>
        </is>
      </c>
      <c r="B418" s="22" t="n"/>
      <c r="D418">
        <f>IF($C418="","",IFERROR(LOOKUP(2,1/('03_Warehouse_Movements'!$C$2:$C$500=$A418),'03_Warehouse_Movements'!$E$2:$E$500),$C418))</f>
        <v/>
      </c>
      <c r="E418" t="inlineStr">
        <is>
          <t>STANDARD</t>
        </is>
      </c>
      <c r="G418" s="25" t="n"/>
      <c r="H418" s="24">
        <f>IF(AND($F418="TEMP",$G418&gt;0,$M418&lt;&gt;""),$M418+$G418,"")</f>
        <v/>
      </c>
      <c r="I418" s="22" t="n"/>
      <c r="J418" s="22" t="n"/>
      <c r="K418" s="24" t="n"/>
      <c r="M418" s="46">
        <f>IF($C418="","",IFERROR(LOOKUP(2,1/('03_Warehouse_Movements'!$C$2:$C$500=$A418),'03_Warehouse_Movements'!$A$2:$A$500),""))</f>
        <v/>
      </c>
      <c r="N418">
        <f>IF($C418="","",IFERROR(LOOKUP(2,1/('03_Warehouse_Movements'!$C$2:$C$500=$A418),'03_Warehouse_Movements'!$H$2:$H$500),""))</f>
        <v/>
      </c>
      <c r="O418">
        <f>A418</f>
        <v/>
      </c>
      <c r="Q418" s="25" t="n"/>
      <c r="R418" s="24" t="n"/>
      <c r="W418">
        <f>IF($A2="","",COUNTIF('07_Pallet_Contents'!$A$2:$A$3000,$A2))</f>
        <v/>
      </c>
      <c r="X418">
        <f>IF($A2="","",SUMIF('07_Pallet_Contents'!$A$2:$A$3000,$A2,'07_Pallet_Contents'!$D$2:$D$3000))</f>
        <v/>
      </c>
      <c r="Y418">
        <f>IF($A2="","",SUMIF('07_Pallet_Contents'!$A$2:$A$3000,$A2,'07_Pallet_Contents'!$I$2:$I$3000))</f>
        <v/>
      </c>
      <c r="Z418">
        <f>IF($A2="","",IF(COUNTIF('07_Pallet_Contents'!$A$2:$A$3000,$A2)&gt;0,"Yes",""))</f>
        <v/>
      </c>
    </row>
    <row r="419">
      <c r="A419" s="4" t="inlineStr">
        <is>
          <t>PAL-0000419</t>
        </is>
      </c>
      <c r="B419" s="22" t="n"/>
      <c r="D419">
        <f>IF($C419="","",IFERROR(LOOKUP(2,1/('03_Warehouse_Movements'!$C$2:$C$500=$A419),'03_Warehouse_Movements'!$E$2:$E$500),$C419))</f>
        <v/>
      </c>
      <c r="E419" t="inlineStr">
        <is>
          <t>STANDARD</t>
        </is>
      </c>
      <c r="G419" s="25" t="n"/>
      <c r="H419" s="24">
        <f>IF(AND($F419="TEMP",$G419&gt;0,$M419&lt;&gt;""),$M419+$G419,"")</f>
        <v/>
      </c>
      <c r="I419" s="22" t="n"/>
      <c r="J419" s="22" t="n"/>
      <c r="K419" s="24" t="n"/>
      <c r="M419" s="46">
        <f>IF($C419="","",IFERROR(LOOKUP(2,1/('03_Warehouse_Movements'!$C$2:$C$500=$A419),'03_Warehouse_Movements'!$A$2:$A$500),""))</f>
        <v/>
      </c>
      <c r="N419">
        <f>IF($C419="","",IFERROR(LOOKUP(2,1/('03_Warehouse_Movements'!$C$2:$C$500=$A419),'03_Warehouse_Movements'!$H$2:$H$500),""))</f>
        <v/>
      </c>
      <c r="O419">
        <f>A419</f>
        <v/>
      </c>
      <c r="Q419" s="25" t="n"/>
      <c r="R419" s="24" t="n"/>
      <c r="W419">
        <f>IF($A2="","",COUNTIF('07_Pallet_Contents'!$A$2:$A$3000,$A2))</f>
        <v/>
      </c>
      <c r="X419">
        <f>IF($A2="","",SUMIF('07_Pallet_Contents'!$A$2:$A$3000,$A2,'07_Pallet_Contents'!$D$2:$D$3000))</f>
        <v/>
      </c>
      <c r="Y419">
        <f>IF($A2="","",SUMIF('07_Pallet_Contents'!$A$2:$A$3000,$A2,'07_Pallet_Contents'!$I$2:$I$3000))</f>
        <v/>
      </c>
      <c r="Z419">
        <f>IF($A2="","",IF(COUNTIF('07_Pallet_Contents'!$A$2:$A$3000,$A2)&gt;0,"Yes",""))</f>
        <v/>
      </c>
    </row>
    <row r="420">
      <c r="A420" s="4" t="inlineStr">
        <is>
          <t>PAL-0000420</t>
        </is>
      </c>
      <c r="B420" s="22" t="n"/>
      <c r="D420">
        <f>IF($C420="","",IFERROR(LOOKUP(2,1/('03_Warehouse_Movements'!$C$2:$C$500=$A420),'03_Warehouse_Movements'!$E$2:$E$500),$C420))</f>
        <v/>
      </c>
      <c r="E420" t="inlineStr">
        <is>
          <t>STANDARD</t>
        </is>
      </c>
      <c r="G420" s="25" t="n"/>
      <c r="H420" s="24">
        <f>IF(AND($F420="TEMP",$G420&gt;0,$M420&lt;&gt;""),$M420+$G420,"")</f>
        <v/>
      </c>
      <c r="I420" s="22" t="n"/>
      <c r="J420" s="22" t="n"/>
      <c r="K420" s="24" t="n"/>
      <c r="M420" s="46">
        <f>IF($C420="","",IFERROR(LOOKUP(2,1/('03_Warehouse_Movements'!$C$2:$C$500=$A420),'03_Warehouse_Movements'!$A$2:$A$500),""))</f>
        <v/>
      </c>
      <c r="N420">
        <f>IF($C420="","",IFERROR(LOOKUP(2,1/('03_Warehouse_Movements'!$C$2:$C$500=$A420),'03_Warehouse_Movements'!$H$2:$H$500),""))</f>
        <v/>
      </c>
      <c r="O420">
        <f>A420</f>
        <v/>
      </c>
      <c r="Q420" s="25" t="n"/>
      <c r="R420" s="24" t="n"/>
      <c r="W420">
        <f>IF($A2="","",COUNTIF('07_Pallet_Contents'!$A$2:$A$3000,$A2))</f>
        <v/>
      </c>
      <c r="X420">
        <f>IF($A2="","",SUMIF('07_Pallet_Contents'!$A$2:$A$3000,$A2,'07_Pallet_Contents'!$D$2:$D$3000))</f>
        <v/>
      </c>
      <c r="Y420">
        <f>IF($A2="","",SUMIF('07_Pallet_Contents'!$A$2:$A$3000,$A2,'07_Pallet_Contents'!$I$2:$I$3000))</f>
        <v/>
      </c>
      <c r="Z420">
        <f>IF($A2="","",IF(COUNTIF('07_Pallet_Contents'!$A$2:$A$3000,$A2)&gt;0,"Yes",""))</f>
        <v/>
      </c>
    </row>
    <row r="421">
      <c r="A421" s="4" t="inlineStr">
        <is>
          <t>PAL-0000421</t>
        </is>
      </c>
      <c r="B421" s="22" t="n"/>
      <c r="D421">
        <f>IF($C421="","",IFERROR(LOOKUP(2,1/('03_Warehouse_Movements'!$C$2:$C$500=$A421),'03_Warehouse_Movements'!$E$2:$E$500),$C421))</f>
        <v/>
      </c>
      <c r="E421" t="inlineStr">
        <is>
          <t>STANDARD</t>
        </is>
      </c>
      <c r="G421" s="25" t="n"/>
      <c r="H421" s="24">
        <f>IF(AND($F421="TEMP",$G421&gt;0,$M421&lt;&gt;""),$M421+$G421,"")</f>
        <v/>
      </c>
      <c r="I421" s="22" t="n"/>
      <c r="J421" s="22" t="n"/>
      <c r="K421" s="24" t="n"/>
      <c r="M421" s="46">
        <f>IF($C421="","",IFERROR(LOOKUP(2,1/('03_Warehouse_Movements'!$C$2:$C$500=$A421),'03_Warehouse_Movements'!$A$2:$A$500),""))</f>
        <v/>
      </c>
      <c r="N421">
        <f>IF($C421="","",IFERROR(LOOKUP(2,1/('03_Warehouse_Movements'!$C$2:$C$500=$A421),'03_Warehouse_Movements'!$H$2:$H$500),""))</f>
        <v/>
      </c>
      <c r="O421">
        <f>A421</f>
        <v/>
      </c>
      <c r="Q421" s="25" t="n"/>
      <c r="R421" s="24" t="n"/>
      <c r="W421">
        <f>IF($A2="","",COUNTIF('07_Pallet_Contents'!$A$2:$A$3000,$A2))</f>
        <v/>
      </c>
      <c r="X421">
        <f>IF($A2="","",SUMIF('07_Pallet_Contents'!$A$2:$A$3000,$A2,'07_Pallet_Contents'!$D$2:$D$3000))</f>
        <v/>
      </c>
      <c r="Y421">
        <f>IF($A2="","",SUMIF('07_Pallet_Contents'!$A$2:$A$3000,$A2,'07_Pallet_Contents'!$I$2:$I$3000))</f>
        <v/>
      </c>
      <c r="Z421">
        <f>IF($A2="","",IF(COUNTIF('07_Pallet_Contents'!$A$2:$A$3000,$A2)&gt;0,"Yes",""))</f>
        <v/>
      </c>
    </row>
    <row r="422">
      <c r="A422" s="4" t="inlineStr">
        <is>
          <t>PAL-0000422</t>
        </is>
      </c>
      <c r="B422" s="22" t="n"/>
      <c r="D422">
        <f>IF($C422="","",IFERROR(LOOKUP(2,1/('03_Warehouse_Movements'!$C$2:$C$500=$A422),'03_Warehouse_Movements'!$E$2:$E$500),$C422))</f>
        <v/>
      </c>
      <c r="E422" t="inlineStr">
        <is>
          <t>STANDARD</t>
        </is>
      </c>
      <c r="G422" s="25" t="n"/>
      <c r="H422" s="24">
        <f>IF(AND($F422="TEMP",$G422&gt;0,$M422&lt;&gt;""),$M422+$G422,"")</f>
        <v/>
      </c>
      <c r="I422" s="22" t="n"/>
      <c r="J422" s="22" t="n"/>
      <c r="K422" s="24" t="n"/>
      <c r="M422" s="46">
        <f>IF($C422="","",IFERROR(LOOKUP(2,1/('03_Warehouse_Movements'!$C$2:$C$500=$A422),'03_Warehouse_Movements'!$A$2:$A$500),""))</f>
        <v/>
      </c>
      <c r="N422">
        <f>IF($C422="","",IFERROR(LOOKUP(2,1/('03_Warehouse_Movements'!$C$2:$C$500=$A422),'03_Warehouse_Movements'!$H$2:$H$500),""))</f>
        <v/>
      </c>
      <c r="O422">
        <f>A422</f>
        <v/>
      </c>
      <c r="Q422" s="25" t="n"/>
      <c r="R422" s="24" t="n"/>
      <c r="W422">
        <f>IF($A2="","",COUNTIF('07_Pallet_Contents'!$A$2:$A$3000,$A2))</f>
        <v/>
      </c>
      <c r="X422">
        <f>IF($A2="","",SUMIF('07_Pallet_Contents'!$A$2:$A$3000,$A2,'07_Pallet_Contents'!$D$2:$D$3000))</f>
        <v/>
      </c>
      <c r="Y422">
        <f>IF($A2="","",SUMIF('07_Pallet_Contents'!$A$2:$A$3000,$A2,'07_Pallet_Contents'!$I$2:$I$3000))</f>
        <v/>
      </c>
      <c r="Z422">
        <f>IF($A2="","",IF(COUNTIF('07_Pallet_Contents'!$A$2:$A$3000,$A2)&gt;0,"Yes",""))</f>
        <v/>
      </c>
    </row>
    <row r="423">
      <c r="A423" s="4" t="inlineStr">
        <is>
          <t>PAL-0000423</t>
        </is>
      </c>
      <c r="B423" s="22" t="n"/>
      <c r="D423">
        <f>IF($C423="","",IFERROR(LOOKUP(2,1/('03_Warehouse_Movements'!$C$2:$C$500=$A423),'03_Warehouse_Movements'!$E$2:$E$500),$C423))</f>
        <v/>
      </c>
      <c r="E423" t="inlineStr">
        <is>
          <t>STANDARD</t>
        </is>
      </c>
      <c r="G423" s="25" t="n"/>
      <c r="H423" s="24">
        <f>IF(AND($F423="TEMP",$G423&gt;0,$M423&lt;&gt;""),$M423+$G423,"")</f>
        <v/>
      </c>
      <c r="I423" s="22" t="n"/>
      <c r="J423" s="22" t="n"/>
      <c r="K423" s="24" t="n"/>
      <c r="M423" s="46">
        <f>IF($C423="","",IFERROR(LOOKUP(2,1/('03_Warehouse_Movements'!$C$2:$C$500=$A423),'03_Warehouse_Movements'!$A$2:$A$500),""))</f>
        <v/>
      </c>
      <c r="N423">
        <f>IF($C423="","",IFERROR(LOOKUP(2,1/('03_Warehouse_Movements'!$C$2:$C$500=$A423),'03_Warehouse_Movements'!$H$2:$H$500),""))</f>
        <v/>
      </c>
      <c r="O423">
        <f>A423</f>
        <v/>
      </c>
      <c r="Q423" s="25" t="n"/>
      <c r="R423" s="24" t="n"/>
      <c r="W423">
        <f>IF($A2="","",COUNTIF('07_Pallet_Contents'!$A$2:$A$3000,$A2))</f>
        <v/>
      </c>
      <c r="X423">
        <f>IF($A2="","",SUMIF('07_Pallet_Contents'!$A$2:$A$3000,$A2,'07_Pallet_Contents'!$D$2:$D$3000))</f>
        <v/>
      </c>
      <c r="Y423">
        <f>IF($A2="","",SUMIF('07_Pallet_Contents'!$A$2:$A$3000,$A2,'07_Pallet_Contents'!$I$2:$I$3000))</f>
        <v/>
      </c>
      <c r="Z423">
        <f>IF($A2="","",IF(COUNTIF('07_Pallet_Contents'!$A$2:$A$3000,$A2)&gt;0,"Yes",""))</f>
        <v/>
      </c>
    </row>
    <row r="424">
      <c r="A424" s="4" t="inlineStr">
        <is>
          <t>PAL-0000424</t>
        </is>
      </c>
      <c r="B424" s="22" t="n"/>
      <c r="D424">
        <f>IF($C424="","",IFERROR(LOOKUP(2,1/('03_Warehouse_Movements'!$C$2:$C$500=$A424),'03_Warehouse_Movements'!$E$2:$E$500),$C424))</f>
        <v/>
      </c>
      <c r="E424" t="inlineStr">
        <is>
          <t>STANDARD</t>
        </is>
      </c>
      <c r="G424" s="25" t="n"/>
      <c r="H424" s="24">
        <f>IF(AND($F424="TEMP",$G424&gt;0,$M424&lt;&gt;""),$M424+$G424,"")</f>
        <v/>
      </c>
      <c r="I424" s="22" t="n"/>
      <c r="J424" s="22" t="n"/>
      <c r="K424" s="24" t="n"/>
      <c r="M424" s="46">
        <f>IF($C424="","",IFERROR(LOOKUP(2,1/('03_Warehouse_Movements'!$C$2:$C$500=$A424),'03_Warehouse_Movements'!$A$2:$A$500),""))</f>
        <v/>
      </c>
      <c r="N424">
        <f>IF($C424="","",IFERROR(LOOKUP(2,1/('03_Warehouse_Movements'!$C$2:$C$500=$A424),'03_Warehouse_Movements'!$H$2:$H$500),""))</f>
        <v/>
      </c>
      <c r="O424">
        <f>A424</f>
        <v/>
      </c>
      <c r="Q424" s="25" t="n"/>
      <c r="R424" s="24" t="n"/>
      <c r="W424">
        <f>IF($A2="","",COUNTIF('07_Pallet_Contents'!$A$2:$A$3000,$A2))</f>
        <v/>
      </c>
      <c r="X424">
        <f>IF($A2="","",SUMIF('07_Pallet_Contents'!$A$2:$A$3000,$A2,'07_Pallet_Contents'!$D$2:$D$3000))</f>
        <v/>
      </c>
      <c r="Y424">
        <f>IF($A2="","",SUMIF('07_Pallet_Contents'!$A$2:$A$3000,$A2,'07_Pallet_Contents'!$I$2:$I$3000))</f>
        <v/>
      </c>
      <c r="Z424">
        <f>IF($A2="","",IF(COUNTIF('07_Pallet_Contents'!$A$2:$A$3000,$A2)&gt;0,"Yes",""))</f>
        <v/>
      </c>
    </row>
    <row r="425">
      <c r="A425" s="4" t="inlineStr">
        <is>
          <t>PAL-0000425</t>
        </is>
      </c>
      <c r="B425" s="22" t="n"/>
      <c r="D425">
        <f>IF($C425="","",IFERROR(LOOKUP(2,1/('03_Warehouse_Movements'!$C$2:$C$500=$A425),'03_Warehouse_Movements'!$E$2:$E$500),$C425))</f>
        <v/>
      </c>
      <c r="E425" t="inlineStr">
        <is>
          <t>STANDARD</t>
        </is>
      </c>
      <c r="G425" s="25" t="n"/>
      <c r="H425" s="24">
        <f>IF(AND($F425="TEMP",$G425&gt;0,$M425&lt;&gt;""),$M425+$G425,"")</f>
        <v/>
      </c>
      <c r="I425" s="22" t="n"/>
      <c r="J425" s="22" t="n"/>
      <c r="K425" s="24" t="n"/>
      <c r="M425" s="46">
        <f>IF($C425="","",IFERROR(LOOKUP(2,1/('03_Warehouse_Movements'!$C$2:$C$500=$A425),'03_Warehouse_Movements'!$A$2:$A$500),""))</f>
        <v/>
      </c>
      <c r="N425">
        <f>IF($C425="","",IFERROR(LOOKUP(2,1/('03_Warehouse_Movements'!$C$2:$C$500=$A425),'03_Warehouse_Movements'!$H$2:$H$500),""))</f>
        <v/>
      </c>
      <c r="O425">
        <f>A425</f>
        <v/>
      </c>
      <c r="Q425" s="25" t="n"/>
      <c r="R425" s="24" t="n"/>
      <c r="W425">
        <f>IF($A2="","",COUNTIF('07_Pallet_Contents'!$A$2:$A$3000,$A2))</f>
        <v/>
      </c>
      <c r="X425">
        <f>IF($A2="","",SUMIF('07_Pallet_Contents'!$A$2:$A$3000,$A2,'07_Pallet_Contents'!$D$2:$D$3000))</f>
        <v/>
      </c>
      <c r="Y425">
        <f>IF($A2="","",SUMIF('07_Pallet_Contents'!$A$2:$A$3000,$A2,'07_Pallet_Contents'!$I$2:$I$3000))</f>
        <v/>
      </c>
      <c r="Z425">
        <f>IF($A2="","",IF(COUNTIF('07_Pallet_Contents'!$A$2:$A$3000,$A2)&gt;0,"Yes",""))</f>
        <v/>
      </c>
    </row>
    <row r="426">
      <c r="A426" s="4" t="inlineStr">
        <is>
          <t>PAL-0000426</t>
        </is>
      </c>
      <c r="B426" s="22" t="n"/>
      <c r="D426">
        <f>IF($C426="","",IFERROR(LOOKUP(2,1/('03_Warehouse_Movements'!$C$2:$C$500=$A426),'03_Warehouse_Movements'!$E$2:$E$500),$C426))</f>
        <v/>
      </c>
      <c r="E426" t="inlineStr">
        <is>
          <t>STANDARD</t>
        </is>
      </c>
      <c r="G426" s="25" t="n"/>
      <c r="H426" s="24">
        <f>IF(AND($F426="TEMP",$G426&gt;0,$M426&lt;&gt;""),$M426+$G426,"")</f>
        <v/>
      </c>
      <c r="I426" s="22" t="n"/>
      <c r="J426" s="22" t="n"/>
      <c r="K426" s="24" t="n"/>
      <c r="M426" s="46">
        <f>IF($C426="","",IFERROR(LOOKUP(2,1/('03_Warehouse_Movements'!$C$2:$C$500=$A426),'03_Warehouse_Movements'!$A$2:$A$500),""))</f>
        <v/>
      </c>
      <c r="N426">
        <f>IF($C426="","",IFERROR(LOOKUP(2,1/('03_Warehouse_Movements'!$C$2:$C$500=$A426),'03_Warehouse_Movements'!$H$2:$H$500),""))</f>
        <v/>
      </c>
      <c r="O426">
        <f>A426</f>
        <v/>
      </c>
      <c r="Q426" s="25" t="n"/>
      <c r="R426" s="24" t="n"/>
      <c r="W426">
        <f>IF($A2="","",COUNTIF('07_Pallet_Contents'!$A$2:$A$3000,$A2))</f>
        <v/>
      </c>
      <c r="X426">
        <f>IF($A2="","",SUMIF('07_Pallet_Contents'!$A$2:$A$3000,$A2,'07_Pallet_Contents'!$D$2:$D$3000))</f>
        <v/>
      </c>
      <c r="Y426">
        <f>IF($A2="","",SUMIF('07_Pallet_Contents'!$A$2:$A$3000,$A2,'07_Pallet_Contents'!$I$2:$I$3000))</f>
        <v/>
      </c>
      <c r="Z426">
        <f>IF($A2="","",IF(COUNTIF('07_Pallet_Contents'!$A$2:$A$3000,$A2)&gt;0,"Yes",""))</f>
        <v/>
      </c>
    </row>
    <row r="427">
      <c r="A427" s="4" t="inlineStr">
        <is>
          <t>PAL-0000427</t>
        </is>
      </c>
      <c r="B427" s="22" t="n"/>
      <c r="D427">
        <f>IF($C427="","",IFERROR(LOOKUP(2,1/('03_Warehouse_Movements'!$C$2:$C$500=$A427),'03_Warehouse_Movements'!$E$2:$E$500),$C427))</f>
        <v/>
      </c>
      <c r="E427" t="inlineStr">
        <is>
          <t>STANDARD</t>
        </is>
      </c>
      <c r="G427" s="25" t="n"/>
      <c r="H427" s="24">
        <f>IF(AND($F427="TEMP",$G427&gt;0,$M427&lt;&gt;""),$M427+$G427,"")</f>
        <v/>
      </c>
      <c r="I427" s="22" t="n"/>
      <c r="J427" s="22" t="n"/>
      <c r="K427" s="24" t="n"/>
      <c r="M427" s="46">
        <f>IF($C427="","",IFERROR(LOOKUP(2,1/('03_Warehouse_Movements'!$C$2:$C$500=$A427),'03_Warehouse_Movements'!$A$2:$A$500),""))</f>
        <v/>
      </c>
      <c r="N427">
        <f>IF($C427="","",IFERROR(LOOKUP(2,1/('03_Warehouse_Movements'!$C$2:$C$500=$A427),'03_Warehouse_Movements'!$H$2:$H$500),""))</f>
        <v/>
      </c>
      <c r="O427">
        <f>A427</f>
        <v/>
      </c>
      <c r="Q427" s="25" t="n"/>
      <c r="R427" s="24" t="n"/>
      <c r="W427">
        <f>IF($A2="","",COUNTIF('07_Pallet_Contents'!$A$2:$A$3000,$A2))</f>
        <v/>
      </c>
      <c r="X427">
        <f>IF($A2="","",SUMIF('07_Pallet_Contents'!$A$2:$A$3000,$A2,'07_Pallet_Contents'!$D$2:$D$3000))</f>
        <v/>
      </c>
      <c r="Y427">
        <f>IF($A2="","",SUMIF('07_Pallet_Contents'!$A$2:$A$3000,$A2,'07_Pallet_Contents'!$I$2:$I$3000))</f>
        <v/>
      </c>
      <c r="Z427">
        <f>IF($A2="","",IF(COUNTIF('07_Pallet_Contents'!$A$2:$A$3000,$A2)&gt;0,"Yes",""))</f>
        <v/>
      </c>
    </row>
    <row r="428">
      <c r="A428" s="4" t="inlineStr">
        <is>
          <t>PAL-0000428</t>
        </is>
      </c>
      <c r="B428" s="22" t="n"/>
      <c r="D428">
        <f>IF($C428="","",IFERROR(LOOKUP(2,1/('03_Warehouse_Movements'!$C$2:$C$500=$A428),'03_Warehouse_Movements'!$E$2:$E$500),$C428))</f>
        <v/>
      </c>
      <c r="E428" t="inlineStr">
        <is>
          <t>STANDARD</t>
        </is>
      </c>
      <c r="G428" s="25" t="n"/>
      <c r="H428" s="24">
        <f>IF(AND($F428="TEMP",$G428&gt;0,$M428&lt;&gt;""),$M428+$G428,"")</f>
        <v/>
      </c>
      <c r="I428" s="22" t="n"/>
      <c r="J428" s="22" t="n"/>
      <c r="K428" s="24" t="n"/>
      <c r="M428" s="46">
        <f>IF($C428="","",IFERROR(LOOKUP(2,1/('03_Warehouse_Movements'!$C$2:$C$500=$A428),'03_Warehouse_Movements'!$A$2:$A$500),""))</f>
        <v/>
      </c>
      <c r="N428">
        <f>IF($C428="","",IFERROR(LOOKUP(2,1/('03_Warehouse_Movements'!$C$2:$C$500=$A428),'03_Warehouse_Movements'!$H$2:$H$500),""))</f>
        <v/>
      </c>
      <c r="O428">
        <f>A428</f>
        <v/>
      </c>
      <c r="Q428" s="25" t="n"/>
      <c r="R428" s="24" t="n"/>
      <c r="W428">
        <f>IF($A2="","",COUNTIF('07_Pallet_Contents'!$A$2:$A$3000,$A2))</f>
        <v/>
      </c>
      <c r="X428">
        <f>IF($A2="","",SUMIF('07_Pallet_Contents'!$A$2:$A$3000,$A2,'07_Pallet_Contents'!$D$2:$D$3000))</f>
        <v/>
      </c>
      <c r="Y428">
        <f>IF($A2="","",SUMIF('07_Pallet_Contents'!$A$2:$A$3000,$A2,'07_Pallet_Contents'!$I$2:$I$3000))</f>
        <v/>
      </c>
      <c r="Z428">
        <f>IF($A2="","",IF(COUNTIF('07_Pallet_Contents'!$A$2:$A$3000,$A2)&gt;0,"Yes",""))</f>
        <v/>
      </c>
    </row>
    <row r="429">
      <c r="A429" s="4" t="inlineStr">
        <is>
          <t>PAL-0000429</t>
        </is>
      </c>
      <c r="B429" s="22" t="n"/>
      <c r="D429">
        <f>IF($C429="","",IFERROR(LOOKUP(2,1/('03_Warehouse_Movements'!$C$2:$C$500=$A429),'03_Warehouse_Movements'!$E$2:$E$500),$C429))</f>
        <v/>
      </c>
      <c r="E429" t="inlineStr">
        <is>
          <t>STANDARD</t>
        </is>
      </c>
      <c r="G429" s="25" t="n"/>
      <c r="H429" s="24">
        <f>IF(AND($F429="TEMP",$G429&gt;0,$M429&lt;&gt;""),$M429+$G429,"")</f>
        <v/>
      </c>
      <c r="I429" s="22" t="n"/>
      <c r="J429" s="22" t="n"/>
      <c r="K429" s="24" t="n"/>
      <c r="M429" s="46">
        <f>IF($C429="","",IFERROR(LOOKUP(2,1/('03_Warehouse_Movements'!$C$2:$C$500=$A429),'03_Warehouse_Movements'!$A$2:$A$500),""))</f>
        <v/>
      </c>
      <c r="N429">
        <f>IF($C429="","",IFERROR(LOOKUP(2,1/('03_Warehouse_Movements'!$C$2:$C$500=$A429),'03_Warehouse_Movements'!$H$2:$H$500),""))</f>
        <v/>
      </c>
      <c r="O429">
        <f>A429</f>
        <v/>
      </c>
      <c r="Q429" s="25" t="n"/>
      <c r="R429" s="24" t="n"/>
      <c r="W429">
        <f>IF($A2="","",COUNTIF('07_Pallet_Contents'!$A$2:$A$3000,$A2))</f>
        <v/>
      </c>
      <c r="X429">
        <f>IF($A2="","",SUMIF('07_Pallet_Contents'!$A$2:$A$3000,$A2,'07_Pallet_Contents'!$D$2:$D$3000))</f>
        <v/>
      </c>
      <c r="Y429">
        <f>IF($A2="","",SUMIF('07_Pallet_Contents'!$A$2:$A$3000,$A2,'07_Pallet_Contents'!$I$2:$I$3000))</f>
        <v/>
      </c>
      <c r="Z429">
        <f>IF($A2="","",IF(COUNTIF('07_Pallet_Contents'!$A$2:$A$3000,$A2)&gt;0,"Yes",""))</f>
        <v/>
      </c>
    </row>
    <row r="430">
      <c r="A430" s="4" t="inlineStr">
        <is>
          <t>PAL-0000430</t>
        </is>
      </c>
      <c r="B430" s="22" t="n"/>
      <c r="D430">
        <f>IF($C430="","",IFERROR(LOOKUP(2,1/('03_Warehouse_Movements'!$C$2:$C$500=$A430),'03_Warehouse_Movements'!$E$2:$E$500),$C430))</f>
        <v/>
      </c>
      <c r="E430" t="inlineStr">
        <is>
          <t>STANDARD</t>
        </is>
      </c>
      <c r="G430" s="25" t="n"/>
      <c r="H430" s="24">
        <f>IF(AND($F430="TEMP",$G430&gt;0,$M430&lt;&gt;""),$M430+$G430,"")</f>
        <v/>
      </c>
      <c r="I430" s="22" t="n"/>
      <c r="J430" s="22" t="n"/>
      <c r="K430" s="24" t="n"/>
      <c r="M430" s="46">
        <f>IF($C430="","",IFERROR(LOOKUP(2,1/('03_Warehouse_Movements'!$C$2:$C$500=$A430),'03_Warehouse_Movements'!$A$2:$A$500),""))</f>
        <v/>
      </c>
      <c r="N430">
        <f>IF($C430="","",IFERROR(LOOKUP(2,1/('03_Warehouse_Movements'!$C$2:$C$500=$A430),'03_Warehouse_Movements'!$H$2:$H$500),""))</f>
        <v/>
      </c>
      <c r="O430">
        <f>A430</f>
        <v/>
      </c>
      <c r="Q430" s="25" t="n"/>
      <c r="R430" s="24" t="n"/>
      <c r="W430">
        <f>IF($A2="","",COUNTIF('07_Pallet_Contents'!$A$2:$A$3000,$A2))</f>
        <v/>
      </c>
      <c r="X430">
        <f>IF($A2="","",SUMIF('07_Pallet_Contents'!$A$2:$A$3000,$A2,'07_Pallet_Contents'!$D$2:$D$3000))</f>
        <v/>
      </c>
      <c r="Y430">
        <f>IF($A2="","",SUMIF('07_Pallet_Contents'!$A$2:$A$3000,$A2,'07_Pallet_Contents'!$I$2:$I$3000))</f>
        <v/>
      </c>
      <c r="Z430">
        <f>IF($A2="","",IF(COUNTIF('07_Pallet_Contents'!$A$2:$A$3000,$A2)&gt;0,"Yes",""))</f>
        <v/>
      </c>
    </row>
    <row r="431">
      <c r="A431" s="4" t="inlineStr">
        <is>
          <t>PAL-0000431</t>
        </is>
      </c>
      <c r="B431" s="22" t="n"/>
      <c r="D431">
        <f>IF($C431="","",IFERROR(LOOKUP(2,1/('03_Warehouse_Movements'!$C$2:$C$500=$A431),'03_Warehouse_Movements'!$E$2:$E$500),$C431))</f>
        <v/>
      </c>
      <c r="E431" t="inlineStr">
        <is>
          <t>STANDARD</t>
        </is>
      </c>
      <c r="G431" s="25" t="n"/>
      <c r="H431" s="24">
        <f>IF(AND($F431="TEMP",$G431&gt;0,$M431&lt;&gt;""),$M431+$G431,"")</f>
        <v/>
      </c>
      <c r="I431" s="22" t="n"/>
      <c r="J431" s="22" t="n"/>
      <c r="K431" s="24" t="n"/>
      <c r="M431" s="46">
        <f>IF($C431="","",IFERROR(LOOKUP(2,1/('03_Warehouse_Movements'!$C$2:$C$500=$A431),'03_Warehouse_Movements'!$A$2:$A$500),""))</f>
        <v/>
      </c>
      <c r="N431">
        <f>IF($C431="","",IFERROR(LOOKUP(2,1/('03_Warehouse_Movements'!$C$2:$C$500=$A431),'03_Warehouse_Movements'!$H$2:$H$500),""))</f>
        <v/>
      </c>
      <c r="O431">
        <f>A431</f>
        <v/>
      </c>
      <c r="Q431" s="25" t="n"/>
      <c r="R431" s="24" t="n"/>
      <c r="W431">
        <f>IF($A2="","",COUNTIF('07_Pallet_Contents'!$A$2:$A$3000,$A2))</f>
        <v/>
      </c>
      <c r="X431">
        <f>IF($A2="","",SUMIF('07_Pallet_Contents'!$A$2:$A$3000,$A2,'07_Pallet_Contents'!$D$2:$D$3000))</f>
        <v/>
      </c>
      <c r="Y431">
        <f>IF($A2="","",SUMIF('07_Pallet_Contents'!$A$2:$A$3000,$A2,'07_Pallet_Contents'!$I$2:$I$3000))</f>
        <v/>
      </c>
      <c r="Z431">
        <f>IF($A2="","",IF(COUNTIF('07_Pallet_Contents'!$A$2:$A$3000,$A2)&gt;0,"Yes",""))</f>
        <v/>
      </c>
    </row>
    <row r="432">
      <c r="A432" s="4" t="inlineStr">
        <is>
          <t>PAL-0000432</t>
        </is>
      </c>
      <c r="B432" s="22" t="n"/>
      <c r="D432">
        <f>IF($C432="","",IFERROR(LOOKUP(2,1/('03_Warehouse_Movements'!$C$2:$C$500=$A432),'03_Warehouse_Movements'!$E$2:$E$500),$C432))</f>
        <v/>
      </c>
      <c r="E432" t="inlineStr">
        <is>
          <t>STANDARD</t>
        </is>
      </c>
      <c r="G432" s="25" t="n"/>
      <c r="H432" s="24">
        <f>IF(AND($F432="TEMP",$G432&gt;0,$M432&lt;&gt;""),$M432+$G432,"")</f>
        <v/>
      </c>
      <c r="I432" s="22" t="n"/>
      <c r="J432" s="22" t="n"/>
      <c r="K432" s="24" t="n"/>
      <c r="M432" s="46">
        <f>IF($C432="","",IFERROR(LOOKUP(2,1/('03_Warehouse_Movements'!$C$2:$C$500=$A432),'03_Warehouse_Movements'!$A$2:$A$500),""))</f>
        <v/>
      </c>
      <c r="N432">
        <f>IF($C432="","",IFERROR(LOOKUP(2,1/('03_Warehouse_Movements'!$C$2:$C$500=$A432),'03_Warehouse_Movements'!$H$2:$H$500),""))</f>
        <v/>
      </c>
      <c r="O432">
        <f>A432</f>
        <v/>
      </c>
      <c r="Q432" s="25" t="n"/>
      <c r="R432" s="24" t="n"/>
      <c r="W432">
        <f>IF($A2="","",COUNTIF('07_Pallet_Contents'!$A$2:$A$3000,$A2))</f>
        <v/>
      </c>
      <c r="X432">
        <f>IF($A2="","",SUMIF('07_Pallet_Contents'!$A$2:$A$3000,$A2,'07_Pallet_Contents'!$D$2:$D$3000))</f>
        <v/>
      </c>
      <c r="Y432">
        <f>IF($A2="","",SUMIF('07_Pallet_Contents'!$A$2:$A$3000,$A2,'07_Pallet_Contents'!$I$2:$I$3000))</f>
        <v/>
      </c>
      <c r="Z432">
        <f>IF($A2="","",IF(COUNTIF('07_Pallet_Contents'!$A$2:$A$3000,$A2)&gt;0,"Yes",""))</f>
        <v/>
      </c>
    </row>
    <row r="433">
      <c r="A433" s="4" t="inlineStr">
        <is>
          <t>PAL-0000433</t>
        </is>
      </c>
      <c r="B433" s="22" t="n"/>
      <c r="D433">
        <f>IF($C433="","",IFERROR(LOOKUP(2,1/('03_Warehouse_Movements'!$C$2:$C$500=$A433),'03_Warehouse_Movements'!$E$2:$E$500),$C433))</f>
        <v/>
      </c>
      <c r="E433" t="inlineStr">
        <is>
          <t>STANDARD</t>
        </is>
      </c>
      <c r="G433" s="25" t="n"/>
      <c r="H433" s="24">
        <f>IF(AND($F433="TEMP",$G433&gt;0,$M433&lt;&gt;""),$M433+$G433,"")</f>
        <v/>
      </c>
      <c r="I433" s="22" t="n"/>
      <c r="J433" s="22" t="n"/>
      <c r="K433" s="24" t="n"/>
      <c r="M433" s="46">
        <f>IF($C433="","",IFERROR(LOOKUP(2,1/('03_Warehouse_Movements'!$C$2:$C$500=$A433),'03_Warehouse_Movements'!$A$2:$A$500),""))</f>
        <v/>
      </c>
      <c r="N433">
        <f>IF($C433="","",IFERROR(LOOKUP(2,1/('03_Warehouse_Movements'!$C$2:$C$500=$A433),'03_Warehouse_Movements'!$H$2:$H$500),""))</f>
        <v/>
      </c>
      <c r="O433">
        <f>A433</f>
        <v/>
      </c>
      <c r="Q433" s="25" t="n"/>
      <c r="R433" s="24" t="n"/>
      <c r="W433">
        <f>IF($A2="","",COUNTIF('07_Pallet_Contents'!$A$2:$A$3000,$A2))</f>
        <v/>
      </c>
      <c r="X433">
        <f>IF($A2="","",SUMIF('07_Pallet_Contents'!$A$2:$A$3000,$A2,'07_Pallet_Contents'!$D$2:$D$3000))</f>
        <v/>
      </c>
      <c r="Y433">
        <f>IF($A2="","",SUMIF('07_Pallet_Contents'!$A$2:$A$3000,$A2,'07_Pallet_Contents'!$I$2:$I$3000))</f>
        <v/>
      </c>
      <c r="Z433">
        <f>IF($A2="","",IF(COUNTIF('07_Pallet_Contents'!$A$2:$A$3000,$A2)&gt;0,"Yes",""))</f>
        <v/>
      </c>
    </row>
    <row r="434">
      <c r="A434" s="4" t="inlineStr">
        <is>
          <t>PAL-0000434</t>
        </is>
      </c>
      <c r="B434" s="22" t="n"/>
      <c r="D434">
        <f>IF($C434="","",IFERROR(LOOKUP(2,1/('03_Warehouse_Movements'!$C$2:$C$500=$A434),'03_Warehouse_Movements'!$E$2:$E$500),$C434))</f>
        <v/>
      </c>
      <c r="E434" t="inlineStr">
        <is>
          <t>STANDARD</t>
        </is>
      </c>
      <c r="G434" s="25" t="n"/>
      <c r="H434" s="24">
        <f>IF(AND($F434="TEMP",$G434&gt;0,$M434&lt;&gt;""),$M434+$G434,"")</f>
        <v/>
      </c>
      <c r="I434" s="22" t="n"/>
      <c r="J434" s="22" t="n"/>
      <c r="K434" s="24" t="n"/>
      <c r="M434" s="46">
        <f>IF($C434="","",IFERROR(LOOKUP(2,1/('03_Warehouse_Movements'!$C$2:$C$500=$A434),'03_Warehouse_Movements'!$A$2:$A$500),""))</f>
        <v/>
      </c>
      <c r="N434">
        <f>IF($C434="","",IFERROR(LOOKUP(2,1/('03_Warehouse_Movements'!$C$2:$C$500=$A434),'03_Warehouse_Movements'!$H$2:$H$500),""))</f>
        <v/>
      </c>
      <c r="O434">
        <f>A434</f>
        <v/>
      </c>
      <c r="Q434" s="25" t="n"/>
      <c r="R434" s="24" t="n"/>
      <c r="W434">
        <f>IF($A2="","",COUNTIF('07_Pallet_Contents'!$A$2:$A$3000,$A2))</f>
        <v/>
      </c>
      <c r="X434">
        <f>IF($A2="","",SUMIF('07_Pallet_Contents'!$A$2:$A$3000,$A2,'07_Pallet_Contents'!$D$2:$D$3000))</f>
        <v/>
      </c>
      <c r="Y434">
        <f>IF($A2="","",SUMIF('07_Pallet_Contents'!$A$2:$A$3000,$A2,'07_Pallet_Contents'!$I$2:$I$3000))</f>
        <v/>
      </c>
      <c r="Z434">
        <f>IF($A2="","",IF(COUNTIF('07_Pallet_Contents'!$A$2:$A$3000,$A2)&gt;0,"Yes",""))</f>
        <v/>
      </c>
    </row>
    <row r="435">
      <c r="A435" s="4" t="inlineStr">
        <is>
          <t>PAL-0000435</t>
        </is>
      </c>
      <c r="B435" s="22" t="n"/>
      <c r="D435">
        <f>IF($C435="","",IFERROR(LOOKUP(2,1/('03_Warehouse_Movements'!$C$2:$C$500=$A435),'03_Warehouse_Movements'!$E$2:$E$500),$C435))</f>
        <v/>
      </c>
      <c r="E435" t="inlineStr">
        <is>
          <t>STANDARD</t>
        </is>
      </c>
      <c r="G435" s="25" t="n"/>
      <c r="H435" s="24">
        <f>IF(AND($F435="TEMP",$G435&gt;0,$M435&lt;&gt;""),$M435+$G435,"")</f>
        <v/>
      </c>
      <c r="I435" s="22" t="n"/>
      <c r="J435" s="22" t="n"/>
      <c r="K435" s="24" t="n"/>
      <c r="M435" s="46">
        <f>IF($C435="","",IFERROR(LOOKUP(2,1/('03_Warehouse_Movements'!$C$2:$C$500=$A435),'03_Warehouse_Movements'!$A$2:$A$500),""))</f>
        <v/>
      </c>
      <c r="N435">
        <f>IF($C435="","",IFERROR(LOOKUP(2,1/('03_Warehouse_Movements'!$C$2:$C$500=$A435),'03_Warehouse_Movements'!$H$2:$H$500),""))</f>
        <v/>
      </c>
      <c r="O435">
        <f>A435</f>
        <v/>
      </c>
      <c r="Q435" s="25" t="n"/>
      <c r="R435" s="24" t="n"/>
      <c r="W435">
        <f>IF($A2="","",COUNTIF('07_Pallet_Contents'!$A$2:$A$3000,$A2))</f>
        <v/>
      </c>
      <c r="X435">
        <f>IF($A2="","",SUMIF('07_Pallet_Contents'!$A$2:$A$3000,$A2,'07_Pallet_Contents'!$D$2:$D$3000))</f>
        <v/>
      </c>
      <c r="Y435">
        <f>IF($A2="","",SUMIF('07_Pallet_Contents'!$A$2:$A$3000,$A2,'07_Pallet_Contents'!$I$2:$I$3000))</f>
        <v/>
      </c>
      <c r="Z435">
        <f>IF($A2="","",IF(COUNTIF('07_Pallet_Contents'!$A$2:$A$3000,$A2)&gt;0,"Yes",""))</f>
        <v/>
      </c>
    </row>
    <row r="436">
      <c r="A436" s="4" t="inlineStr">
        <is>
          <t>PAL-0000436</t>
        </is>
      </c>
      <c r="B436" s="22" t="n"/>
      <c r="D436">
        <f>IF($C436="","",IFERROR(LOOKUP(2,1/('03_Warehouse_Movements'!$C$2:$C$500=$A436),'03_Warehouse_Movements'!$E$2:$E$500),$C436))</f>
        <v/>
      </c>
      <c r="E436" t="inlineStr">
        <is>
          <t>STANDARD</t>
        </is>
      </c>
      <c r="G436" s="25" t="n"/>
      <c r="H436" s="24">
        <f>IF(AND($F436="TEMP",$G436&gt;0,$M436&lt;&gt;""),$M436+$G436,"")</f>
        <v/>
      </c>
      <c r="I436" s="22" t="n"/>
      <c r="J436" s="22" t="n"/>
      <c r="K436" s="24" t="n"/>
      <c r="M436" s="46">
        <f>IF($C436="","",IFERROR(LOOKUP(2,1/('03_Warehouse_Movements'!$C$2:$C$500=$A436),'03_Warehouse_Movements'!$A$2:$A$500),""))</f>
        <v/>
      </c>
      <c r="N436">
        <f>IF($C436="","",IFERROR(LOOKUP(2,1/('03_Warehouse_Movements'!$C$2:$C$500=$A436),'03_Warehouse_Movements'!$H$2:$H$500),""))</f>
        <v/>
      </c>
      <c r="O436">
        <f>A436</f>
        <v/>
      </c>
      <c r="Q436" s="25" t="n"/>
      <c r="R436" s="24" t="n"/>
      <c r="W436">
        <f>IF($A2="","",COUNTIF('07_Pallet_Contents'!$A$2:$A$3000,$A2))</f>
        <v/>
      </c>
      <c r="X436">
        <f>IF($A2="","",SUMIF('07_Pallet_Contents'!$A$2:$A$3000,$A2,'07_Pallet_Contents'!$D$2:$D$3000))</f>
        <v/>
      </c>
      <c r="Y436">
        <f>IF($A2="","",SUMIF('07_Pallet_Contents'!$A$2:$A$3000,$A2,'07_Pallet_Contents'!$I$2:$I$3000))</f>
        <v/>
      </c>
      <c r="Z436">
        <f>IF($A2="","",IF(COUNTIF('07_Pallet_Contents'!$A$2:$A$3000,$A2)&gt;0,"Yes",""))</f>
        <v/>
      </c>
    </row>
    <row r="437">
      <c r="A437" s="4" t="inlineStr">
        <is>
          <t>PAL-0000437</t>
        </is>
      </c>
      <c r="B437" s="22" t="n"/>
      <c r="D437">
        <f>IF($C437="","",IFERROR(LOOKUP(2,1/('03_Warehouse_Movements'!$C$2:$C$500=$A437),'03_Warehouse_Movements'!$E$2:$E$500),$C437))</f>
        <v/>
      </c>
      <c r="E437" t="inlineStr">
        <is>
          <t>STANDARD</t>
        </is>
      </c>
      <c r="G437" s="25" t="n"/>
      <c r="H437" s="24">
        <f>IF(AND($F437="TEMP",$G437&gt;0,$M437&lt;&gt;""),$M437+$G437,"")</f>
        <v/>
      </c>
      <c r="I437" s="22" t="n"/>
      <c r="J437" s="22" t="n"/>
      <c r="K437" s="24" t="n"/>
      <c r="M437" s="46">
        <f>IF($C437="","",IFERROR(LOOKUP(2,1/('03_Warehouse_Movements'!$C$2:$C$500=$A437),'03_Warehouse_Movements'!$A$2:$A$500),""))</f>
        <v/>
      </c>
      <c r="N437">
        <f>IF($C437="","",IFERROR(LOOKUP(2,1/('03_Warehouse_Movements'!$C$2:$C$500=$A437),'03_Warehouse_Movements'!$H$2:$H$500),""))</f>
        <v/>
      </c>
      <c r="O437">
        <f>A437</f>
        <v/>
      </c>
      <c r="Q437" s="25" t="n"/>
      <c r="R437" s="24" t="n"/>
      <c r="W437">
        <f>IF($A2="","",COUNTIF('07_Pallet_Contents'!$A$2:$A$3000,$A2))</f>
        <v/>
      </c>
      <c r="X437">
        <f>IF($A2="","",SUMIF('07_Pallet_Contents'!$A$2:$A$3000,$A2,'07_Pallet_Contents'!$D$2:$D$3000))</f>
        <v/>
      </c>
      <c r="Y437">
        <f>IF($A2="","",SUMIF('07_Pallet_Contents'!$A$2:$A$3000,$A2,'07_Pallet_Contents'!$I$2:$I$3000))</f>
        <v/>
      </c>
      <c r="Z437">
        <f>IF($A2="","",IF(COUNTIF('07_Pallet_Contents'!$A$2:$A$3000,$A2)&gt;0,"Yes",""))</f>
        <v/>
      </c>
    </row>
    <row r="438">
      <c r="A438" s="4" t="inlineStr">
        <is>
          <t>PAL-0000438</t>
        </is>
      </c>
      <c r="B438" s="22" t="n"/>
      <c r="D438">
        <f>IF($C438="","",IFERROR(LOOKUP(2,1/('03_Warehouse_Movements'!$C$2:$C$500=$A438),'03_Warehouse_Movements'!$E$2:$E$500),$C438))</f>
        <v/>
      </c>
      <c r="E438" t="inlineStr">
        <is>
          <t>STANDARD</t>
        </is>
      </c>
      <c r="G438" s="25" t="n"/>
      <c r="H438" s="24">
        <f>IF(AND($F438="TEMP",$G438&gt;0,$M438&lt;&gt;""),$M438+$G438,"")</f>
        <v/>
      </c>
      <c r="I438" s="22" t="n"/>
      <c r="J438" s="22" t="n"/>
      <c r="K438" s="24" t="n"/>
      <c r="M438" s="46">
        <f>IF($C438="","",IFERROR(LOOKUP(2,1/('03_Warehouse_Movements'!$C$2:$C$500=$A438),'03_Warehouse_Movements'!$A$2:$A$500),""))</f>
        <v/>
      </c>
      <c r="N438">
        <f>IF($C438="","",IFERROR(LOOKUP(2,1/('03_Warehouse_Movements'!$C$2:$C$500=$A438),'03_Warehouse_Movements'!$H$2:$H$500),""))</f>
        <v/>
      </c>
      <c r="O438">
        <f>A438</f>
        <v/>
      </c>
      <c r="Q438" s="25" t="n"/>
      <c r="R438" s="24" t="n"/>
      <c r="W438">
        <f>IF($A2="","",COUNTIF('07_Pallet_Contents'!$A$2:$A$3000,$A2))</f>
        <v/>
      </c>
      <c r="X438">
        <f>IF($A2="","",SUMIF('07_Pallet_Contents'!$A$2:$A$3000,$A2,'07_Pallet_Contents'!$D$2:$D$3000))</f>
        <v/>
      </c>
      <c r="Y438">
        <f>IF($A2="","",SUMIF('07_Pallet_Contents'!$A$2:$A$3000,$A2,'07_Pallet_Contents'!$I$2:$I$3000))</f>
        <v/>
      </c>
      <c r="Z438">
        <f>IF($A2="","",IF(COUNTIF('07_Pallet_Contents'!$A$2:$A$3000,$A2)&gt;0,"Yes",""))</f>
        <v/>
      </c>
    </row>
    <row r="439">
      <c r="A439" s="4" t="inlineStr">
        <is>
          <t>PAL-0000439</t>
        </is>
      </c>
      <c r="B439" s="22" t="n"/>
      <c r="D439">
        <f>IF($C439="","",IFERROR(LOOKUP(2,1/('03_Warehouse_Movements'!$C$2:$C$500=$A439),'03_Warehouse_Movements'!$E$2:$E$500),$C439))</f>
        <v/>
      </c>
      <c r="E439" t="inlineStr">
        <is>
          <t>STANDARD</t>
        </is>
      </c>
      <c r="G439" s="25" t="n"/>
      <c r="H439" s="24">
        <f>IF(AND($F439="TEMP",$G439&gt;0,$M439&lt;&gt;""),$M439+$G439,"")</f>
        <v/>
      </c>
      <c r="I439" s="22" t="n"/>
      <c r="J439" s="22" t="n"/>
      <c r="K439" s="24" t="n"/>
      <c r="M439" s="46">
        <f>IF($C439="","",IFERROR(LOOKUP(2,1/('03_Warehouse_Movements'!$C$2:$C$500=$A439),'03_Warehouse_Movements'!$A$2:$A$500),""))</f>
        <v/>
      </c>
      <c r="N439">
        <f>IF($C439="","",IFERROR(LOOKUP(2,1/('03_Warehouse_Movements'!$C$2:$C$500=$A439),'03_Warehouse_Movements'!$H$2:$H$500),""))</f>
        <v/>
      </c>
      <c r="O439">
        <f>A439</f>
        <v/>
      </c>
      <c r="Q439" s="25" t="n"/>
      <c r="R439" s="24" t="n"/>
      <c r="W439">
        <f>IF($A2="","",COUNTIF('07_Pallet_Contents'!$A$2:$A$3000,$A2))</f>
        <v/>
      </c>
      <c r="X439">
        <f>IF($A2="","",SUMIF('07_Pallet_Contents'!$A$2:$A$3000,$A2,'07_Pallet_Contents'!$D$2:$D$3000))</f>
        <v/>
      </c>
      <c r="Y439">
        <f>IF($A2="","",SUMIF('07_Pallet_Contents'!$A$2:$A$3000,$A2,'07_Pallet_Contents'!$I$2:$I$3000))</f>
        <v/>
      </c>
      <c r="Z439">
        <f>IF($A2="","",IF(COUNTIF('07_Pallet_Contents'!$A$2:$A$3000,$A2)&gt;0,"Yes",""))</f>
        <v/>
      </c>
    </row>
    <row r="440">
      <c r="A440" s="4" t="inlineStr">
        <is>
          <t>PAL-0000440</t>
        </is>
      </c>
      <c r="B440" s="22" t="n"/>
      <c r="D440">
        <f>IF($C440="","",IFERROR(LOOKUP(2,1/('03_Warehouse_Movements'!$C$2:$C$500=$A440),'03_Warehouse_Movements'!$E$2:$E$500),$C440))</f>
        <v/>
      </c>
      <c r="E440" t="inlineStr">
        <is>
          <t>STANDARD</t>
        </is>
      </c>
      <c r="G440" s="25" t="n"/>
      <c r="H440" s="24">
        <f>IF(AND($F440="TEMP",$G440&gt;0,$M440&lt;&gt;""),$M440+$G440,"")</f>
        <v/>
      </c>
      <c r="I440" s="22" t="n"/>
      <c r="J440" s="22" t="n"/>
      <c r="K440" s="24" t="n"/>
      <c r="M440" s="46">
        <f>IF($C440="","",IFERROR(LOOKUP(2,1/('03_Warehouse_Movements'!$C$2:$C$500=$A440),'03_Warehouse_Movements'!$A$2:$A$500),""))</f>
        <v/>
      </c>
      <c r="N440">
        <f>IF($C440="","",IFERROR(LOOKUP(2,1/('03_Warehouse_Movements'!$C$2:$C$500=$A440),'03_Warehouse_Movements'!$H$2:$H$500),""))</f>
        <v/>
      </c>
      <c r="O440">
        <f>A440</f>
        <v/>
      </c>
      <c r="Q440" s="25" t="n"/>
      <c r="R440" s="24" t="n"/>
      <c r="W440">
        <f>IF($A2="","",COUNTIF('07_Pallet_Contents'!$A$2:$A$3000,$A2))</f>
        <v/>
      </c>
      <c r="X440">
        <f>IF($A2="","",SUMIF('07_Pallet_Contents'!$A$2:$A$3000,$A2,'07_Pallet_Contents'!$D$2:$D$3000))</f>
        <v/>
      </c>
      <c r="Y440">
        <f>IF($A2="","",SUMIF('07_Pallet_Contents'!$A$2:$A$3000,$A2,'07_Pallet_Contents'!$I$2:$I$3000))</f>
        <v/>
      </c>
      <c r="Z440">
        <f>IF($A2="","",IF(COUNTIF('07_Pallet_Contents'!$A$2:$A$3000,$A2)&gt;0,"Yes",""))</f>
        <v/>
      </c>
    </row>
    <row r="441">
      <c r="A441" s="4" t="inlineStr">
        <is>
          <t>PAL-0000441</t>
        </is>
      </c>
      <c r="B441" s="22" t="n"/>
      <c r="D441">
        <f>IF($C441="","",IFERROR(LOOKUP(2,1/('03_Warehouse_Movements'!$C$2:$C$500=$A441),'03_Warehouse_Movements'!$E$2:$E$500),$C441))</f>
        <v/>
      </c>
      <c r="E441" t="inlineStr">
        <is>
          <t>STANDARD</t>
        </is>
      </c>
      <c r="G441" s="25" t="n"/>
      <c r="H441" s="24">
        <f>IF(AND($F441="TEMP",$G441&gt;0,$M441&lt;&gt;""),$M441+$G441,"")</f>
        <v/>
      </c>
      <c r="I441" s="22" t="n"/>
      <c r="J441" s="22" t="n"/>
      <c r="K441" s="24" t="n"/>
      <c r="M441" s="46">
        <f>IF($C441="","",IFERROR(LOOKUP(2,1/('03_Warehouse_Movements'!$C$2:$C$500=$A441),'03_Warehouse_Movements'!$A$2:$A$500),""))</f>
        <v/>
      </c>
      <c r="N441">
        <f>IF($C441="","",IFERROR(LOOKUP(2,1/('03_Warehouse_Movements'!$C$2:$C$500=$A441),'03_Warehouse_Movements'!$H$2:$H$500),""))</f>
        <v/>
      </c>
      <c r="O441">
        <f>A441</f>
        <v/>
      </c>
      <c r="Q441" s="25" t="n"/>
      <c r="R441" s="24" t="n"/>
      <c r="W441">
        <f>IF($A2="","",COUNTIF('07_Pallet_Contents'!$A$2:$A$3000,$A2))</f>
        <v/>
      </c>
      <c r="X441">
        <f>IF($A2="","",SUMIF('07_Pallet_Contents'!$A$2:$A$3000,$A2,'07_Pallet_Contents'!$D$2:$D$3000))</f>
        <v/>
      </c>
      <c r="Y441">
        <f>IF($A2="","",SUMIF('07_Pallet_Contents'!$A$2:$A$3000,$A2,'07_Pallet_Contents'!$I$2:$I$3000))</f>
        <v/>
      </c>
      <c r="Z441">
        <f>IF($A2="","",IF(COUNTIF('07_Pallet_Contents'!$A$2:$A$3000,$A2)&gt;0,"Yes",""))</f>
        <v/>
      </c>
    </row>
    <row r="442">
      <c r="A442" s="4" t="inlineStr">
        <is>
          <t>PAL-0000442</t>
        </is>
      </c>
      <c r="B442" s="22" t="n"/>
      <c r="D442">
        <f>IF($C442="","",IFERROR(LOOKUP(2,1/('03_Warehouse_Movements'!$C$2:$C$500=$A442),'03_Warehouse_Movements'!$E$2:$E$500),$C442))</f>
        <v/>
      </c>
      <c r="E442" t="inlineStr">
        <is>
          <t>STANDARD</t>
        </is>
      </c>
      <c r="G442" s="25" t="n"/>
      <c r="H442" s="24">
        <f>IF(AND($F442="TEMP",$G442&gt;0,$M442&lt;&gt;""),$M442+$G442,"")</f>
        <v/>
      </c>
      <c r="I442" s="22" t="n"/>
      <c r="J442" s="22" t="n"/>
      <c r="K442" s="24" t="n"/>
      <c r="M442" s="46">
        <f>IF($C442="","",IFERROR(LOOKUP(2,1/('03_Warehouse_Movements'!$C$2:$C$500=$A442),'03_Warehouse_Movements'!$A$2:$A$500),""))</f>
        <v/>
      </c>
      <c r="N442">
        <f>IF($C442="","",IFERROR(LOOKUP(2,1/('03_Warehouse_Movements'!$C$2:$C$500=$A442),'03_Warehouse_Movements'!$H$2:$H$500),""))</f>
        <v/>
      </c>
      <c r="O442">
        <f>A442</f>
        <v/>
      </c>
      <c r="Q442" s="25" t="n"/>
      <c r="R442" s="24" t="n"/>
      <c r="W442">
        <f>IF($A2="","",COUNTIF('07_Pallet_Contents'!$A$2:$A$3000,$A2))</f>
        <v/>
      </c>
      <c r="X442">
        <f>IF($A2="","",SUMIF('07_Pallet_Contents'!$A$2:$A$3000,$A2,'07_Pallet_Contents'!$D$2:$D$3000))</f>
        <v/>
      </c>
      <c r="Y442">
        <f>IF($A2="","",SUMIF('07_Pallet_Contents'!$A$2:$A$3000,$A2,'07_Pallet_Contents'!$I$2:$I$3000))</f>
        <v/>
      </c>
      <c r="Z442">
        <f>IF($A2="","",IF(COUNTIF('07_Pallet_Contents'!$A$2:$A$3000,$A2)&gt;0,"Yes",""))</f>
        <v/>
      </c>
    </row>
    <row r="443">
      <c r="A443" s="4" t="inlineStr">
        <is>
          <t>PAL-0000443</t>
        </is>
      </c>
      <c r="B443" s="22" t="n"/>
      <c r="D443">
        <f>IF($C443="","",IFERROR(LOOKUP(2,1/('03_Warehouse_Movements'!$C$2:$C$500=$A443),'03_Warehouse_Movements'!$E$2:$E$500),$C443))</f>
        <v/>
      </c>
      <c r="E443" t="inlineStr">
        <is>
          <t>STANDARD</t>
        </is>
      </c>
      <c r="G443" s="25" t="n"/>
      <c r="H443" s="24">
        <f>IF(AND($F443="TEMP",$G443&gt;0,$M443&lt;&gt;""),$M443+$G443,"")</f>
        <v/>
      </c>
      <c r="I443" s="22" t="n"/>
      <c r="J443" s="22" t="n"/>
      <c r="K443" s="24" t="n"/>
      <c r="M443" s="46">
        <f>IF($C443="","",IFERROR(LOOKUP(2,1/('03_Warehouse_Movements'!$C$2:$C$500=$A443),'03_Warehouse_Movements'!$A$2:$A$500),""))</f>
        <v/>
      </c>
      <c r="N443">
        <f>IF($C443="","",IFERROR(LOOKUP(2,1/('03_Warehouse_Movements'!$C$2:$C$500=$A443),'03_Warehouse_Movements'!$H$2:$H$500),""))</f>
        <v/>
      </c>
      <c r="O443">
        <f>A443</f>
        <v/>
      </c>
      <c r="Q443" s="25" t="n"/>
      <c r="R443" s="24" t="n"/>
      <c r="W443">
        <f>IF($A2="","",COUNTIF('07_Pallet_Contents'!$A$2:$A$3000,$A2))</f>
        <v/>
      </c>
      <c r="X443">
        <f>IF($A2="","",SUMIF('07_Pallet_Contents'!$A$2:$A$3000,$A2,'07_Pallet_Contents'!$D$2:$D$3000))</f>
        <v/>
      </c>
      <c r="Y443">
        <f>IF($A2="","",SUMIF('07_Pallet_Contents'!$A$2:$A$3000,$A2,'07_Pallet_Contents'!$I$2:$I$3000))</f>
        <v/>
      </c>
      <c r="Z443">
        <f>IF($A2="","",IF(COUNTIF('07_Pallet_Contents'!$A$2:$A$3000,$A2)&gt;0,"Yes",""))</f>
        <v/>
      </c>
    </row>
    <row r="444">
      <c r="A444" s="4" t="inlineStr">
        <is>
          <t>PAL-0000444</t>
        </is>
      </c>
      <c r="B444" s="22" t="n"/>
      <c r="D444">
        <f>IF($C444="","",IFERROR(LOOKUP(2,1/('03_Warehouse_Movements'!$C$2:$C$500=$A444),'03_Warehouse_Movements'!$E$2:$E$500),$C444))</f>
        <v/>
      </c>
      <c r="E444" t="inlineStr">
        <is>
          <t>STANDARD</t>
        </is>
      </c>
      <c r="G444" s="25" t="n"/>
      <c r="H444" s="24">
        <f>IF(AND($F444="TEMP",$G444&gt;0,$M444&lt;&gt;""),$M444+$G444,"")</f>
        <v/>
      </c>
      <c r="I444" s="22" t="n"/>
      <c r="J444" s="22" t="n"/>
      <c r="K444" s="24" t="n"/>
      <c r="M444" s="46">
        <f>IF($C444="","",IFERROR(LOOKUP(2,1/('03_Warehouse_Movements'!$C$2:$C$500=$A444),'03_Warehouse_Movements'!$A$2:$A$500),""))</f>
        <v/>
      </c>
      <c r="N444">
        <f>IF($C444="","",IFERROR(LOOKUP(2,1/('03_Warehouse_Movements'!$C$2:$C$500=$A444),'03_Warehouse_Movements'!$H$2:$H$500),""))</f>
        <v/>
      </c>
      <c r="O444">
        <f>A444</f>
        <v/>
      </c>
      <c r="Q444" s="25" t="n"/>
      <c r="R444" s="24" t="n"/>
      <c r="W444">
        <f>IF($A2="","",COUNTIF('07_Pallet_Contents'!$A$2:$A$3000,$A2))</f>
        <v/>
      </c>
      <c r="X444">
        <f>IF($A2="","",SUMIF('07_Pallet_Contents'!$A$2:$A$3000,$A2,'07_Pallet_Contents'!$D$2:$D$3000))</f>
        <v/>
      </c>
      <c r="Y444">
        <f>IF($A2="","",SUMIF('07_Pallet_Contents'!$A$2:$A$3000,$A2,'07_Pallet_Contents'!$I$2:$I$3000))</f>
        <v/>
      </c>
      <c r="Z444">
        <f>IF($A2="","",IF(COUNTIF('07_Pallet_Contents'!$A$2:$A$3000,$A2)&gt;0,"Yes",""))</f>
        <v/>
      </c>
    </row>
    <row r="445">
      <c r="A445" s="4" t="inlineStr">
        <is>
          <t>PAL-0000445</t>
        </is>
      </c>
      <c r="B445" s="22" t="n"/>
      <c r="D445">
        <f>IF($C445="","",IFERROR(LOOKUP(2,1/('03_Warehouse_Movements'!$C$2:$C$500=$A445),'03_Warehouse_Movements'!$E$2:$E$500),$C445))</f>
        <v/>
      </c>
      <c r="E445" t="inlineStr">
        <is>
          <t>STANDARD</t>
        </is>
      </c>
      <c r="G445" s="25" t="n"/>
      <c r="H445" s="24">
        <f>IF(AND($F445="TEMP",$G445&gt;0,$M445&lt;&gt;""),$M445+$G445,"")</f>
        <v/>
      </c>
      <c r="I445" s="22" t="n"/>
      <c r="J445" s="22" t="n"/>
      <c r="K445" s="24" t="n"/>
      <c r="M445" s="46">
        <f>IF($C445="","",IFERROR(LOOKUP(2,1/('03_Warehouse_Movements'!$C$2:$C$500=$A445),'03_Warehouse_Movements'!$A$2:$A$500),""))</f>
        <v/>
      </c>
      <c r="N445">
        <f>IF($C445="","",IFERROR(LOOKUP(2,1/('03_Warehouse_Movements'!$C$2:$C$500=$A445),'03_Warehouse_Movements'!$H$2:$H$500),""))</f>
        <v/>
      </c>
      <c r="O445">
        <f>A445</f>
        <v/>
      </c>
      <c r="Q445" s="25" t="n"/>
      <c r="R445" s="24" t="n"/>
      <c r="W445">
        <f>IF($A2="","",COUNTIF('07_Pallet_Contents'!$A$2:$A$3000,$A2))</f>
        <v/>
      </c>
      <c r="X445">
        <f>IF($A2="","",SUMIF('07_Pallet_Contents'!$A$2:$A$3000,$A2,'07_Pallet_Contents'!$D$2:$D$3000))</f>
        <v/>
      </c>
      <c r="Y445">
        <f>IF($A2="","",SUMIF('07_Pallet_Contents'!$A$2:$A$3000,$A2,'07_Pallet_Contents'!$I$2:$I$3000))</f>
        <v/>
      </c>
      <c r="Z445">
        <f>IF($A2="","",IF(COUNTIF('07_Pallet_Contents'!$A$2:$A$3000,$A2)&gt;0,"Yes",""))</f>
        <v/>
      </c>
    </row>
    <row r="446">
      <c r="A446" s="4" t="inlineStr">
        <is>
          <t>PAL-0000446</t>
        </is>
      </c>
      <c r="B446" s="22" t="n"/>
      <c r="D446">
        <f>IF($C446="","",IFERROR(LOOKUP(2,1/('03_Warehouse_Movements'!$C$2:$C$500=$A446),'03_Warehouse_Movements'!$E$2:$E$500),$C446))</f>
        <v/>
      </c>
      <c r="E446" t="inlineStr">
        <is>
          <t>STANDARD</t>
        </is>
      </c>
      <c r="G446" s="25" t="n"/>
      <c r="H446" s="24">
        <f>IF(AND($F446="TEMP",$G446&gt;0,$M446&lt;&gt;""),$M446+$G446,"")</f>
        <v/>
      </c>
      <c r="I446" s="22" t="n"/>
      <c r="J446" s="22" t="n"/>
      <c r="K446" s="24" t="n"/>
      <c r="M446" s="46">
        <f>IF($C446="","",IFERROR(LOOKUP(2,1/('03_Warehouse_Movements'!$C$2:$C$500=$A446),'03_Warehouse_Movements'!$A$2:$A$500),""))</f>
        <v/>
      </c>
      <c r="N446">
        <f>IF($C446="","",IFERROR(LOOKUP(2,1/('03_Warehouse_Movements'!$C$2:$C$500=$A446),'03_Warehouse_Movements'!$H$2:$H$500),""))</f>
        <v/>
      </c>
      <c r="O446">
        <f>A446</f>
        <v/>
      </c>
      <c r="Q446" s="25" t="n"/>
      <c r="R446" s="24" t="n"/>
      <c r="W446">
        <f>IF($A2="","",COUNTIF('07_Pallet_Contents'!$A$2:$A$3000,$A2))</f>
        <v/>
      </c>
      <c r="X446">
        <f>IF($A2="","",SUMIF('07_Pallet_Contents'!$A$2:$A$3000,$A2,'07_Pallet_Contents'!$D$2:$D$3000))</f>
        <v/>
      </c>
      <c r="Y446">
        <f>IF($A2="","",SUMIF('07_Pallet_Contents'!$A$2:$A$3000,$A2,'07_Pallet_Contents'!$I$2:$I$3000))</f>
        <v/>
      </c>
      <c r="Z446">
        <f>IF($A2="","",IF(COUNTIF('07_Pallet_Contents'!$A$2:$A$3000,$A2)&gt;0,"Yes",""))</f>
        <v/>
      </c>
    </row>
    <row r="447">
      <c r="A447" s="4" t="inlineStr">
        <is>
          <t>PAL-0000447</t>
        </is>
      </c>
      <c r="B447" s="22" t="n"/>
      <c r="D447">
        <f>IF($C447="","",IFERROR(LOOKUP(2,1/('03_Warehouse_Movements'!$C$2:$C$500=$A447),'03_Warehouse_Movements'!$E$2:$E$500),$C447))</f>
        <v/>
      </c>
      <c r="E447" t="inlineStr">
        <is>
          <t>STANDARD</t>
        </is>
      </c>
      <c r="G447" s="25" t="n"/>
      <c r="H447" s="24">
        <f>IF(AND($F447="TEMP",$G447&gt;0,$M447&lt;&gt;""),$M447+$G447,"")</f>
        <v/>
      </c>
      <c r="I447" s="22" t="n"/>
      <c r="J447" s="22" t="n"/>
      <c r="K447" s="24" t="n"/>
      <c r="M447" s="46">
        <f>IF($C447="","",IFERROR(LOOKUP(2,1/('03_Warehouse_Movements'!$C$2:$C$500=$A447),'03_Warehouse_Movements'!$A$2:$A$500),""))</f>
        <v/>
      </c>
      <c r="N447">
        <f>IF($C447="","",IFERROR(LOOKUP(2,1/('03_Warehouse_Movements'!$C$2:$C$500=$A447),'03_Warehouse_Movements'!$H$2:$H$500),""))</f>
        <v/>
      </c>
      <c r="O447">
        <f>A447</f>
        <v/>
      </c>
      <c r="Q447" s="25" t="n"/>
      <c r="R447" s="24" t="n"/>
      <c r="W447">
        <f>IF($A2="","",COUNTIF('07_Pallet_Contents'!$A$2:$A$3000,$A2))</f>
        <v/>
      </c>
      <c r="X447">
        <f>IF($A2="","",SUMIF('07_Pallet_Contents'!$A$2:$A$3000,$A2,'07_Pallet_Contents'!$D$2:$D$3000))</f>
        <v/>
      </c>
      <c r="Y447">
        <f>IF($A2="","",SUMIF('07_Pallet_Contents'!$A$2:$A$3000,$A2,'07_Pallet_Contents'!$I$2:$I$3000))</f>
        <v/>
      </c>
      <c r="Z447">
        <f>IF($A2="","",IF(COUNTIF('07_Pallet_Contents'!$A$2:$A$3000,$A2)&gt;0,"Yes",""))</f>
        <v/>
      </c>
    </row>
    <row r="448">
      <c r="A448" s="4" t="inlineStr">
        <is>
          <t>PAL-0000448</t>
        </is>
      </c>
      <c r="B448" s="22" t="n"/>
      <c r="D448">
        <f>IF($C448="","",IFERROR(LOOKUP(2,1/('03_Warehouse_Movements'!$C$2:$C$500=$A448),'03_Warehouse_Movements'!$E$2:$E$500),$C448))</f>
        <v/>
      </c>
      <c r="E448" t="inlineStr">
        <is>
          <t>STANDARD</t>
        </is>
      </c>
      <c r="G448" s="25" t="n"/>
      <c r="H448" s="24">
        <f>IF(AND($F448="TEMP",$G448&gt;0,$M448&lt;&gt;""),$M448+$G448,"")</f>
        <v/>
      </c>
      <c r="I448" s="22" t="n"/>
      <c r="J448" s="22" t="n"/>
      <c r="K448" s="24" t="n"/>
      <c r="M448" s="46">
        <f>IF($C448="","",IFERROR(LOOKUP(2,1/('03_Warehouse_Movements'!$C$2:$C$500=$A448),'03_Warehouse_Movements'!$A$2:$A$500),""))</f>
        <v/>
      </c>
      <c r="N448">
        <f>IF($C448="","",IFERROR(LOOKUP(2,1/('03_Warehouse_Movements'!$C$2:$C$500=$A448),'03_Warehouse_Movements'!$H$2:$H$500),""))</f>
        <v/>
      </c>
      <c r="O448">
        <f>A448</f>
        <v/>
      </c>
      <c r="Q448" s="25" t="n"/>
      <c r="R448" s="24" t="n"/>
      <c r="W448">
        <f>IF($A2="","",COUNTIF('07_Pallet_Contents'!$A$2:$A$3000,$A2))</f>
        <v/>
      </c>
      <c r="X448">
        <f>IF($A2="","",SUMIF('07_Pallet_Contents'!$A$2:$A$3000,$A2,'07_Pallet_Contents'!$D$2:$D$3000))</f>
        <v/>
      </c>
      <c r="Y448">
        <f>IF($A2="","",SUMIF('07_Pallet_Contents'!$A$2:$A$3000,$A2,'07_Pallet_Contents'!$I$2:$I$3000))</f>
        <v/>
      </c>
      <c r="Z448">
        <f>IF($A2="","",IF(COUNTIF('07_Pallet_Contents'!$A$2:$A$3000,$A2)&gt;0,"Yes",""))</f>
        <v/>
      </c>
    </row>
    <row r="449">
      <c r="A449" s="4" t="inlineStr">
        <is>
          <t>PAL-0000449</t>
        </is>
      </c>
      <c r="B449" s="22" t="n"/>
      <c r="D449">
        <f>IF($C449="","",IFERROR(LOOKUP(2,1/('03_Warehouse_Movements'!$C$2:$C$500=$A449),'03_Warehouse_Movements'!$E$2:$E$500),$C449))</f>
        <v/>
      </c>
      <c r="E449" t="inlineStr">
        <is>
          <t>STANDARD</t>
        </is>
      </c>
      <c r="G449" s="25" t="n"/>
      <c r="H449" s="24">
        <f>IF(AND($F449="TEMP",$G449&gt;0,$M449&lt;&gt;""),$M449+$G449,"")</f>
        <v/>
      </c>
      <c r="I449" s="22" t="n"/>
      <c r="J449" s="22" t="n"/>
      <c r="K449" s="24" t="n"/>
      <c r="M449" s="46">
        <f>IF($C449="","",IFERROR(LOOKUP(2,1/('03_Warehouse_Movements'!$C$2:$C$500=$A449),'03_Warehouse_Movements'!$A$2:$A$500),""))</f>
        <v/>
      </c>
      <c r="N449">
        <f>IF($C449="","",IFERROR(LOOKUP(2,1/('03_Warehouse_Movements'!$C$2:$C$500=$A449),'03_Warehouse_Movements'!$H$2:$H$500),""))</f>
        <v/>
      </c>
      <c r="O449">
        <f>A449</f>
        <v/>
      </c>
      <c r="Q449" s="25" t="n"/>
      <c r="R449" s="24" t="n"/>
      <c r="W449">
        <f>IF($A2="","",COUNTIF('07_Pallet_Contents'!$A$2:$A$3000,$A2))</f>
        <v/>
      </c>
      <c r="X449">
        <f>IF($A2="","",SUMIF('07_Pallet_Contents'!$A$2:$A$3000,$A2,'07_Pallet_Contents'!$D$2:$D$3000))</f>
        <v/>
      </c>
      <c r="Y449">
        <f>IF($A2="","",SUMIF('07_Pallet_Contents'!$A$2:$A$3000,$A2,'07_Pallet_Contents'!$I$2:$I$3000))</f>
        <v/>
      </c>
      <c r="Z449">
        <f>IF($A2="","",IF(COUNTIF('07_Pallet_Contents'!$A$2:$A$3000,$A2)&gt;0,"Yes",""))</f>
        <v/>
      </c>
    </row>
    <row r="450">
      <c r="A450" s="4" t="inlineStr">
        <is>
          <t>PAL-0000450</t>
        </is>
      </c>
      <c r="B450" s="22" t="n"/>
      <c r="D450">
        <f>IF($C450="","",IFERROR(LOOKUP(2,1/('03_Warehouse_Movements'!$C$2:$C$500=$A450),'03_Warehouse_Movements'!$E$2:$E$500),$C450))</f>
        <v/>
      </c>
      <c r="E450" t="inlineStr">
        <is>
          <t>STANDARD</t>
        </is>
      </c>
      <c r="G450" s="25" t="n"/>
      <c r="H450" s="24">
        <f>IF(AND($F450="TEMP",$G450&gt;0,$M450&lt;&gt;""),$M450+$G450,"")</f>
        <v/>
      </c>
      <c r="I450" s="22" t="n"/>
      <c r="J450" s="22" t="n"/>
      <c r="K450" s="24" t="n"/>
      <c r="M450" s="46">
        <f>IF($C450="","",IFERROR(LOOKUP(2,1/('03_Warehouse_Movements'!$C$2:$C$500=$A450),'03_Warehouse_Movements'!$A$2:$A$500),""))</f>
        <v/>
      </c>
      <c r="N450">
        <f>IF($C450="","",IFERROR(LOOKUP(2,1/('03_Warehouse_Movements'!$C$2:$C$500=$A450),'03_Warehouse_Movements'!$H$2:$H$500),""))</f>
        <v/>
      </c>
      <c r="O450">
        <f>A450</f>
        <v/>
      </c>
      <c r="Q450" s="25" t="n"/>
      <c r="R450" s="24" t="n"/>
      <c r="W450">
        <f>IF($A2="","",COUNTIF('07_Pallet_Contents'!$A$2:$A$3000,$A2))</f>
        <v/>
      </c>
      <c r="X450">
        <f>IF($A2="","",SUMIF('07_Pallet_Contents'!$A$2:$A$3000,$A2,'07_Pallet_Contents'!$D$2:$D$3000))</f>
        <v/>
      </c>
      <c r="Y450">
        <f>IF($A2="","",SUMIF('07_Pallet_Contents'!$A$2:$A$3000,$A2,'07_Pallet_Contents'!$I$2:$I$3000))</f>
        <v/>
      </c>
      <c r="Z450">
        <f>IF($A2="","",IF(COUNTIF('07_Pallet_Contents'!$A$2:$A$3000,$A2)&gt;0,"Yes",""))</f>
        <v/>
      </c>
    </row>
    <row r="451">
      <c r="A451" s="4" t="inlineStr">
        <is>
          <t>PAL-0000451</t>
        </is>
      </c>
      <c r="B451" s="22" t="n"/>
      <c r="D451">
        <f>IF($C451="","",IFERROR(LOOKUP(2,1/('03_Warehouse_Movements'!$C$2:$C$500=$A451),'03_Warehouse_Movements'!$E$2:$E$500),$C451))</f>
        <v/>
      </c>
      <c r="E451" t="inlineStr">
        <is>
          <t>STANDARD</t>
        </is>
      </c>
      <c r="G451" s="25" t="n"/>
      <c r="H451" s="24">
        <f>IF(AND($F451="TEMP",$G451&gt;0,$M451&lt;&gt;""),$M451+$G451,"")</f>
        <v/>
      </c>
      <c r="I451" s="22" t="n"/>
      <c r="J451" s="22" t="n"/>
      <c r="K451" s="24" t="n"/>
      <c r="M451" s="46">
        <f>IF($C451="","",IFERROR(LOOKUP(2,1/('03_Warehouse_Movements'!$C$2:$C$500=$A451),'03_Warehouse_Movements'!$A$2:$A$500),""))</f>
        <v/>
      </c>
      <c r="N451">
        <f>IF($C451="","",IFERROR(LOOKUP(2,1/('03_Warehouse_Movements'!$C$2:$C$500=$A451),'03_Warehouse_Movements'!$H$2:$H$500),""))</f>
        <v/>
      </c>
      <c r="O451">
        <f>A451</f>
        <v/>
      </c>
      <c r="Q451" s="25" t="n"/>
      <c r="R451" s="24" t="n"/>
      <c r="W451">
        <f>IF($A2="","",COUNTIF('07_Pallet_Contents'!$A$2:$A$3000,$A2))</f>
        <v/>
      </c>
      <c r="X451">
        <f>IF($A2="","",SUMIF('07_Pallet_Contents'!$A$2:$A$3000,$A2,'07_Pallet_Contents'!$D$2:$D$3000))</f>
        <v/>
      </c>
      <c r="Y451">
        <f>IF($A2="","",SUMIF('07_Pallet_Contents'!$A$2:$A$3000,$A2,'07_Pallet_Contents'!$I$2:$I$3000))</f>
        <v/>
      </c>
      <c r="Z451">
        <f>IF($A2="","",IF(COUNTIF('07_Pallet_Contents'!$A$2:$A$3000,$A2)&gt;0,"Yes",""))</f>
        <v/>
      </c>
    </row>
    <row r="452">
      <c r="A452" s="4" t="inlineStr">
        <is>
          <t>PAL-0000452</t>
        </is>
      </c>
      <c r="B452" s="22" t="n"/>
      <c r="D452">
        <f>IF($C452="","",IFERROR(LOOKUP(2,1/('03_Warehouse_Movements'!$C$2:$C$500=$A452),'03_Warehouse_Movements'!$E$2:$E$500),$C452))</f>
        <v/>
      </c>
      <c r="E452" t="inlineStr">
        <is>
          <t>STANDARD</t>
        </is>
      </c>
      <c r="G452" s="25" t="n"/>
      <c r="H452" s="24">
        <f>IF(AND($F452="TEMP",$G452&gt;0,$M452&lt;&gt;""),$M452+$G452,"")</f>
        <v/>
      </c>
      <c r="I452" s="22" t="n"/>
      <c r="J452" s="22" t="n"/>
      <c r="K452" s="24" t="n"/>
      <c r="M452" s="46">
        <f>IF($C452="","",IFERROR(LOOKUP(2,1/('03_Warehouse_Movements'!$C$2:$C$500=$A452),'03_Warehouse_Movements'!$A$2:$A$500),""))</f>
        <v/>
      </c>
      <c r="N452">
        <f>IF($C452="","",IFERROR(LOOKUP(2,1/('03_Warehouse_Movements'!$C$2:$C$500=$A452),'03_Warehouse_Movements'!$H$2:$H$500),""))</f>
        <v/>
      </c>
      <c r="O452">
        <f>A452</f>
        <v/>
      </c>
      <c r="Q452" s="25" t="n"/>
      <c r="R452" s="24" t="n"/>
      <c r="W452">
        <f>IF($A2="","",COUNTIF('07_Pallet_Contents'!$A$2:$A$3000,$A2))</f>
        <v/>
      </c>
      <c r="X452">
        <f>IF($A2="","",SUMIF('07_Pallet_Contents'!$A$2:$A$3000,$A2,'07_Pallet_Contents'!$D$2:$D$3000))</f>
        <v/>
      </c>
      <c r="Y452">
        <f>IF($A2="","",SUMIF('07_Pallet_Contents'!$A$2:$A$3000,$A2,'07_Pallet_Contents'!$I$2:$I$3000))</f>
        <v/>
      </c>
      <c r="Z452">
        <f>IF($A2="","",IF(COUNTIF('07_Pallet_Contents'!$A$2:$A$3000,$A2)&gt;0,"Yes",""))</f>
        <v/>
      </c>
    </row>
    <row r="453">
      <c r="A453" s="4" t="inlineStr">
        <is>
          <t>PAL-0000453</t>
        </is>
      </c>
      <c r="B453" s="22" t="n"/>
      <c r="D453">
        <f>IF($C453="","",IFERROR(LOOKUP(2,1/('03_Warehouse_Movements'!$C$2:$C$500=$A453),'03_Warehouse_Movements'!$E$2:$E$500),$C453))</f>
        <v/>
      </c>
      <c r="E453" t="inlineStr">
        <is>
          <t>STANDARD</t>
        </is>
      </c>
      <c r="G453" s="25" t="n"/>
      <c r="H453" s="24">
        <f>IF(AND($F453="TEMP",$G453&gt;0,$M453&lt;&gt;""),$M453+$G453,"")</f>
        <v/>
      </c>
      <c r="I453" s="22" t="n"/>
      <c r="J453" s="22" t="n"/>
      <c r="K453" s="24" t="n"/>
      <c r="M453" s="46">
        <f>IF($C453="","",IFERROR(LOOKUP(2,1/('03_Warehouse_Movements'!$C$2:$C$500=$A453),'03_Warehouse_Movements'!$A$2:$A$500),""))</f>
        <v/>
      </c>
      <c r="N453">
        <f>IF($C453="","",IFERROR(LOOKUP(2,1/('03_Warehouse_Movements'!$C$2:$C$500=$A453),'03_Warehouse_Movements'!$H$2:$H$500),""))</f>
        <v/>
      </c>
      <c r="O453">
        <f>A453</f>
        <v/>
      </c>
      <c r="Q453" s="25" t="n"/>
      <c r="R453" s="24" t="n"/>
      <c r="W453">
        <f>IF($A2="","",COUNTIF('07_Pallet_Contents'!$A$2:$A$3000,$A2))</f>
        <v/>
      </c>
      <c r="X453">
        <f>IF($A2="","",SUMIF('07_Pallet_Contents'!$A$2:$A$3000,$A2,'07_Pallet_Contents'!$D$2:$D$3000))</f>
        <v/>
      </c>
      <c r="Y453">
        <f>IF($A2="","",SUMIF('07_Pallet_Contents'!$A$2:$A$3000,$A2,'07_Pallet_Contents'!$I$2:$I$3000))</f>
        <v/>
      </c>
      <c r="Z453">
        <f>IF($A2="","",IF(COUNTIF('07_Pallet_Contents'!$A$2:$A$3000,$A2)&gt;0,"Yes",""))</f>
        <v/>
      </c>
    </row>
    <row r="454">
      <c r="A454" s="4" t="inlineStr">
        <is>
          <t>PAL-0000454</t>
        </is>
      </c>
      <c r="B454" s="22" t="n"/>
      <c r="D454">
        <f>IF($C454="","",IFERROR(LOOKUP(2,1/('03_Warehouse_Movements'!$C$2:$C$500=$A454),'03_Warehouse_Movements'!$E$2:$E$500),$C454))</f>
        <v/>
      </c>
      <c r="E454" t="inlineStr">
        <is>
          <t>STANDARD</t>
        </is>
      </c>
      <c r="G454" s="25" t="n"/>
      <c r="H454" s="24">
        <f>IF(AND($F454="TEMP",$G454&gt;0,$M454&lt;&gt;""),$M454+$G454,"")</f>
        <v/>
      </c>
      <c r="I454" s="22" t="n"/>
      <c r="J454" s="22" t="n"/>
      <c r="K454" s="24" t="n"/>
      <c r="M454" s="46">
        <f>IF($C454="","",IFERROR(LOOKUP(2,1/('03_Warehouse_Movements'!$C$2:$C$500=$A454),'03_Warehouse_Movements'!$A$2:$A$500),""))</f>
        <v/>
      </c>
      <c r="N454">
        <f>IF($C454="","",IFERROR(LOOKUP(2,1/('03_Warehouse_Movements'!$C$2:$C$500=$A454),'03_Warehouse_Movements'!$H$2:$H$500),""))</f>
        <v/>
      </c>
      <c r="O454">
        <f>A454</f>
        <v/>
      </c>
      <c r="Q454" s="25" t="n"/>
      <c r="R454" s="24" t="n"/>
      <c r="W454">
        <f>IF($A2="","",COUNTIF('07_Pallet_Contents'!$A$2:$A$3000,$A2))</f>
        <v/>
      </c>
      <c r="X454">
        <f>IF($A2="","",SUMIF('07_Pallet_Contents'!$A$2:$A$3000,$A2,'07_Pallet_Contents'!$D$2:$D$3000))</f>
        <v/>
      </c>
      <c r="Y454">
        <f>IF($A2="","",SUMIF('07_Pallet_Contents'!$A$2:$A$3000,$A2,'07_Pallet_Contents'!$I$2:$I$3000))</f>
        <v/>
      </c>
      <c r="Z454">
        <f>IF($A2="","",IF(COUNTIF('07_Pallet_Contents'!$A$2:$A$3000,$A2)&gt;0,"Yes",""))</f>
        <v/>
      </c>
    </row>
    <row r="455">
      <c r="A455" s="4" t="inlineStr">
        <is>
          <t>PAL-0000455</t>
        </is>
      </c>
      <c r="B455" s="22" t="n"/>
      <c r="D455">
        <f>IF($C455="","",IFERROR(LOOKUP(2,1/('03_Warehouse_Movements'!$C$2:$C$500=$A455),'03_Warehouse_Movements'!$E$2:$E$500),$C455))</f>
        <v/>
      </c>
      <c r="E455" t="inlineStr">
        <is>
          <t>STANDARD</t>
        </is>
      </c>
      <c r="G455" s="25" t="n"/>
      <c r="H455" s="24">
        <f>IF(AND($F455="TEMP",$G455&gt;0,$M455&lt;&gt;""),$M455+$G455,"")</f>
        <v/>
      </c>
      <c r="I455" s="22" t="n"/>
      <c r="J455" s="22" t="n"/>
      <c r="K455" s="24" t="n"/>
      <c r="M455" s="46">
        <f>IF($C455="","",IFERROR(LOOKUP(2,1/('03_Warehouse_Movements'!$C$2:$C$500=$A455),'03_Warehouse_Movements'!$A$2:$A$500),""))</f>
        <v/>
      </c>
      <c r="N455">
        <f>IF($C455="","",IFERROR(LOOKUP(2,1/('03_Warehouse_Movements'!$C$2:$C$500=$A455),'03_Warehouse_Movements'!$H$2:$H$500),""))</f>
        <v/>
      </c>
      <c r="O455">
        <f>A455</f>
        <v/>
      </c>
      <c r="Q455" s="25" t="n"/>
      <c r="R455" s="24" t="n"/>
      <c r="W455">
        <f>IF($A2="","",COUNTIF('07_Pallet_Contents'!$A$2:$A$3000,$A2))</f>
        <v/>
      </c>
      <c r="X455">
        <f>IF($A2="","",SUMIF('07_Pallet_Contents'!$A$2:$A$3000,$A2,'07_Pallet_Contents'!$D$2:$D$3000))</f>
        <v/>
      </c>
      <c r="Y455">
        <f>IF($A2="","",SUMIF('07_Pallet_Contents'!$A$2:$A$3000,$A2,'07_Pallet_Contents'!$I$2:$I$3000))</f>
        <v/>
      </c>
      <c r="Z455">
        <f>IF($A2="","",IF(COUNTIF('07_Pallet_Contents'!$A$2:$A$3000,$A2)&gt;0,"Yes",""))</f>
        <v/>
      </c>
    </row>
    <row r="456">
      <c r="A456" s="4" t="inlineStr">
        <is>
          <t>PAL-0000456</t>
        </is>
      </c>
      <c r="B456" s="22" t="n"/>
      <c r="D456">
        <f>IF($C456="","",IFERROR(LOOKUP(2,1/('03_Warehouse_Movements'!$C$2:$C$500=$A456),'03_Warehouse_Movements'!$E$2:$E$500),$C456))</f>
        <v/>
      </c>
      <c r="E456" t="inlineStr">
        <is>
          <t>STANDARD</t>
        </is>
      </c>
      <c r="G456" s="25" t="n"/>
      <c r="H456" s="24">
        <f>IF(AND($F456="TEMP",$G456&gt;0,$M456&lt;&gt;""),$M456+$G456,"")</f>
        <v/>
      </c>
      <c r="I456" s="22" t="n"/>
      <c r="J456" s="22" t="n"/>
      <c r="K456" s="24" t="n"/>
      <c r="M456" s="46">
        <f>IF($C456="","",IFERROR(LOOKUP(2,1/('03_Warehouse_Movements'!$C$2:$C$500=$A456),'03_Warehouse_Movements'!$A$2:$A$500),""))</f>
        <v/>
      </c>
      <c r="N456">
        <f>IF($C456="","",IFERROR(LOOKUP(2,1/('03_Warehouse_Movements'!$C$2:$C$500=$A456),'03_Warehouse_Movements'!$H$2:$H$500),""))</f>
        <v/>
      </c>
      <c r="O456">
        <f>A456</f>
        <v/>
      </c>
      <c r="Q456" s="25" t="n"/>
      <c r="R456" s="24" t="n"/>
      <c r="W456">
        <f>IF($A2="","",COUNTIF('07_Pallet_Contents'!$A$2:$A$3000,$A2))</f>
        <v/>
      </c>
      <c r="X456">
        <f>IF($A2="","",SUMIF('07_Pallet_Contents'!$A$2:$A$3000,$A2,'07_Pallet_Contents'!$D$2:$D$3000))</f>
        <v/>
      </c>
      <c r="Y456">
        <f>IF($A2="","",SUMIF('07_Pallet_Contents'!$A$2:$A$3000,$A2,'07_Pallet_Contents'!$I$2:$I$3000))</f>
        <v/>
      </c>
      <c r="Z456">
        <f>IF($A2="","",IF(COUNTIF('07_Pallet_Contents'!$A$2:$A$3000,$A2)&gt;0,"Yes",""))</f>
        <v/>
      </c>
    </row>
    <row r="457">
      <c r="A457" s="4" t="inlineStr">
        <is>
          <t>PAL-0000457</t>
        </is>
      </c>
      <c r="B457" s="22" t="n"/>
      <c r="D457">
        <f>IF($C457="","",IFERROR(LOOKUP(2,1/('03_Warehouse_Movements'!$C$2:$C$500=$A457),'03_Warehouse_Movements'!$E$2:$E$500),$C457))</f>
        <v/>
      </c>
      <c r="E457" t="inlineStr">
        <is>
          <t>STANDARD</t>
        </is>
      </c>
      <c r="G457" s="25" t="n"/>
      <c r="H457" s="24">
        <f>IF(AND($F457="TEMP",$G457&gt;0,$M457&lt;&gt;""),$M457+$G457,"")</f>
        <v/>
      </c>
      <c r="I457" s="22" t="n"/>
      <c r="J457" s="22" t="n"/>
      <c r="K457" s="24" t="n"/>
      <c r="M457" s="46">
        <f>IF($C457="","",IFERROR(LOOKUP(2,1/('03_Warehouse_Movements'!$C$2:$C$500=$A457),'03_Warehouse_Movements'!$A$2:$A$500),""))</f>
        <v/>
      </c>
      <c r="N457">
        <f>IF($C457="","",IFERROR(LOOKUP(2,1/('03_Warehouse_Movements'!$C$2:$C$500=$A457),'03_Warehouse_Movements'!$H$2:$H$500),""))</f>
        <v/>
      </c>
      <c r="O457">
        <f>A457</f>
        <v/>
      </c>
      <c r="Q457" s="25" t="n"/>
      <c r="R457" s="24" t="n"/>
      <c r="W457">
        <f>IF($A2="","",COUNTIF('07_Pallet_Contents'!$A$2:$A$3000,$A2))</f>
        <v/>
      </c>
      <c r="X457">
        <f>IF($A2="","",SUMIF('07_Pallet_Contents'!$A$2:$A$3000,$A2,'07_Pallet_Contents'!$D$2:$D$3000))</f>
        <v/>
      </c>
      <c r="Y457">
        <f>IF($A2="","",SUMIF('07_Pallet_Contents'!$A$2:$A$3000,$A2,'07_Pallet_Contents'!$I$2:$I$3000))</f>
        <v/>
      </c>
      <c r="Z457">
        <f>IF($A2="","",IF(COUNTIF('07_Pallet_Contents'!$A$2:$A$3000,$A2)&gt;0,"Yes",""))</f>
        <v/>
      </c>
    </row>
    <row r="458">
      <c r="A458" s="4" t="inlineStr">
        <is>
          <t>PAL-0000458</t>
        </is>
      </c>
      <c r="B458" s="22" t="n"/>
      <c r="D458">
        <f>IF($C458="","",IFERROR(LOOKUP(2,1/('03_Warehouse_Movements'!$C$2:$C$500=$A458),'03_Warehouse_Movements'!$E$2:$E$500),$C458))</f>
        <v/>
      </c>
      <c r="E458" t="inlineStr">
        <is>
          <t>STANDARD</t>
        </is>
      </c>
      <c r="G458" s="25" t="n"/>
      <c r="H458" s="24">
        <f>IF(AND($F458="TEMP",$G458&gt;0,$M458&lt;&gt;""),$M458+$G458,"")</f>
        <v/>
      </c>
      <c r="I458" s="22" t="n"/>
      <c r="J458" s="22" t="n"/>
      <c r="K458" s="24" t="n"/>
      <c r="M458" s="46">
        <f>IF($C458="","",IFERROR(LOOKUP(2,1/('03_Warehouse_Movements'!$C$2:$C$500=$A458),'03_Warehouse_Movements'!$A$2:$A$500),""))</f>
        <v/>
      </c>
      <c r="N458">
        <f>IF($C458="","",IFERROR(LOOKUP(2,1/('03_Warehouse_Movements'!$C$2:$C$500=$A458),'03_Warehouse_Movements'!$H$2:$H$500),""))</f>
        <v/>
      </c>
      <c r="O458">
        <f>A458</f>
        <v/>
      </c>
      <c r="Q458" s="25" t="n"/>
      <c r="R458" s="24" t="n"/>
      <c r="W458">
        <f>IF($A2="","",COUNTIF('07_Pallet_Contents'!$A$2:$A$3000,$A2))</f>
        <v/>
      </c>
      <c r="X458">
        <f>IF($A2="","",SUMIF('07_Pallet_Contents'!$A$2:$A$3000,$A2,'07_Pallet_Contents'!$D$2:$D$3000))</f>
        <v/>
      </c>
      <c r="Y458">
        <f>IF($A2="","",SUMIF('07_Pallet_Contents'!$A$2:$A$3000,$A2,'07_Pallet_Contents'!$I$2:$I$3000))</f>
        <v/>
      </c>
      <c r="Z458">
        <f>IF($A2="","",IF(COUNTIF('07_Pallet_Contents'!$A$2:$A$3000,$A2)&gt;0,"Yes",""))</f>
        <v/>
      </c>
    </row>
    <row r="459">
      <c r="A459" s="4" t="inlineStr">
        <is>
          <t>PAL-0000459</t>
        </is>
      </c>
      <c r="B459" s="22" t="n"/>
      <c r="D459">
        <f>IF($C459="","",IFERROR(LOOKUP(2,1/('03_Warehouse_Movements'!$C$2:$C$500=$A459),'03_Warehouse_Movements'!$E$2:$E$500),$C459))</f>
        <v/>
      </c>
      <c r="E459" t="inlineStr">
        <is>
          <t>STANDARD</t>
        </is>
      </c>
      <c r="G459" s="25" t="n"/>
      <c r="H459" s="24">
        <f>IF(AND($F459="TEMP",$G459&gt;0,$M459&lt;&gt;""),$M459+$G459,"")</f>
        <v/>
      </c>
      <c r="I459" s="22" t="n"/>
      <c r="J459" s="22" t="n"/>
      <c r="K459" s="24" t="n"/>
      <c r="M459" s="46">
        <f>IF($C459="","",IFERROR(LOOKUP(2,1/('03_Warehouse_Movements'!$C$2:$C$500=$A459),'03_Warehouse_Movements'!$A$2:$A$500),""))</f>
        <v/>
      </c>
      <c r="N459">
        <f>IF($C459="","",IFERROR(LOOKUP(2,1/('03_Warehouse_Movements'!$C$2:$C$500=$A459),'03_Warehouse_Movements'!$H$2:$H$500),""))</f>
        <v/>
      </c>
      <c r="O459">
        <f>A459</f>
        <v/>
      </c>
      <c r="Q459" s="25" t="n"/>
      <c r="R459" s="24" t="n"/>
      <c r="W459">
        <f>IF($A2="","",COUNTIF('07_Pallet_Contents'!$A$2:$A$3000,$A2))</f>
        <v/>
      </c>
      <c r="X459">
        <f>IF($A2="","",SUMIF('07_Pallet_Contents'!$A$2:$A$3000,$A2,'07_Pallet_Contents'!$D$2:$D$3000))</f>
        <v/>
      </c>
      <c r="Y459">
        <f>IF($A2="","",SUMIF('07_Pallet_Contents'!$A$2:$A$3000,$A2,'07_Pallet_Contents'!$I$2:$I$3000))</f>
        <v/>
      </c>
      <c r="Z459">
        <f>IF($A2="","",IF(COUNTIF('07_Pallet_Contents'!$A$2:$A$3000,$A2)&gt;0,"Yes",""))</f>
        <v/>
      </c>
    </row>
    <row r="460">
      <c r="A460" s="4" t="inlineStr">
        <is>
          <t>PAL-0000460</t>
        </is>
      </c>
      <c r="B460" s="22" t="n"/>
      <c r="D460">
        <f>IF($C460="","",IFERROR(LOOKUP(2,1/('03_Warehouse_Movements'!$C$2:$C$500=$A460),'03_Warehouse_Movements'!$E$2:$E$500),$C460))</f>
        <v/>
      </c>
      <c r="E460" t="inlineStr">
        <is>
          <t>STANDARD</t>
        </is>
      </c>
      <c r="G460" s="25" t="n"/>
      <c r="H460" s="24">
        <f>IF(AND($F460="TEMP",$G460&gt;0,$M460&lt;&gt;""),$M460+$G460,"")</f>
        <v/>
      </c>
      <c r="I460" s="22" t="n"/>
      <c r="J460" s="22" t="n"/>
      <c r="K460" s="24" t="n"/>
      <c r="M460" s="46">
        <f>IF($C460="","",IFERROR(LOOKUP(2,1/('03_Warehouse_Movements'!$C$2:$C$500=$A460),'03_Warehouse_Movements'!$A$2:$A$500),""))</f>
        <v/>
      </c>
      <c r="N460">
        <f>IF($C460="","",IFERROR(LOOKUP(2,1/('03_Warehouse_Movements'!$C$2:$C$500=$A460),'03_Warehouse_Movements'!$H$2:$H$500),""))</f>
        <v/>
      </c>
      <c r="O460">
        <f>A460</f>
        <v/>
      </c>
      <c r="Q460" s="25" t="n"/>
      <c r="R460" s="24" t="n"/>
      <c r="W460">
        <f>IF($A2="","",COUNTIF('07_Pallet_Contents'!$A$2:$A$3000,$A2))</f>
        <v/>
      </c>
      <c r="X460">
        <f>IF($A2="","",SUMIF('07_Pallet_Contents'!$A$2:$A$3000,$A2,'07_Pallet_Contents'!$D$2:$D$3000))</f>
        <v/>
      </c>
      <c r="Y460">
        <f>IF($A2="","",SUMIF('07_Pallet_Contents'!$A$2:$A$3000,$A2,'07_Pallet_Contents'!$I$2:$I$3000))</f>
        <v/>
      </c>
      <c r="Z460">
        <f>IF($A2="","",IF(COUNTIF('07_Pallet_Contents'!$A$2:$A$3000,$A2)&gt;0,"Yes",""))</f>
        <v/>
      </c>
    </row>
    <row r="461">
      <c r="A461" s="4" t="inlineStr">
        <is>
          <t>PAL-0000461</t>
        </is>
      </c>
      <c r="B461" s="22" t="n"/>
      <c r="D461">
        <f>IF($C461="","",IFERROR(LOOKUP(2,1/('03_Warehouse_Movements'!$C$2:$C$500=$A461),'03_Warehouse_Movements'!$E$2:$E$500),$C461))</f>
        <v/>
      </c>
      <c r="E461" t="inlineStr">
        <is>
          <t>STANDARD</t>
        </is>
      </c>
      <c r="G461" s="25" t="n"/>
      <c r="H461" s="24">
        <f>IF(AND($F461="TEMP",$G461&gt;0,$M461&lt;&gt;""),$M461+$G461,"")</f>
        <v/>
      </c>
      <c r="I461" s="22" t="n"/>
      <c r="J461" s="22" t="n"/>
      <c r="K461" s="24" t="n"/>
      <c r="M461" s="46">
        <f>IF($C461="","",IFERROR(LOOKUP(2,1/('03_Warehouse_Movements'!$C$2:$C$500=$A461),'03_Warehouse_Movements'!$A$2:$A$500),""))</f>
        <v/>
      </c>
      <c r="N461">
        <f>IF($C461="","",IFERROR(LOOKUP(2,1/('03_Warehouse_Movements'!$C$2:$C$500=$A461),'03_Warehouse_Movements'!$H$2:$H$500),""))</f>
        <v/>
      </c>
      <c r="O461">
        <f>A461</f>
        <v/>
      </c>
      <c r="Q461" s="25" t="n"/>
      <c r="R461" s="24" t="n"/>
      <c r="W461">
        <f>IF($A2="","",COUNTIF('07_Pallet_Contents'!$A$2:$A$3000,$A2))</f>
        <v/>
      </c>
      <c r="X461">
        <f>IF($A2="","",SUMIF('07_Pallet_Contents'!$A$2:$A$3000,$A2,'07_Pallet_Contents'!$D$2:$D$3000))</f>
        <v/>
      </c>
      <c r="Y461">
        <f>IF($A2="","",SUMIF('07_Pallet_Contents'!$A$2:$A$3000,$A2,'07_Pallet_Contents'!$I$2:$I$3000))</f>
        <v/>
      </c>
      <c r="Z461">
        <f>IF($A2="","",IF(COUNTIF('07_Pallet_Contents'!$A$2:$A$3000,$A2)&gt;0,"Yes",""))</f>
        <v/>
      </c>
    </row>
    <row r="462">
      <c r="A462" s="4" t="inlineStr">
        <is>
          <t>PAL-0000462</t>
        </is>
      </c>
      <c r="B462" s="22" t="n"/>
      <c r="D462">
        <f>IF($C462="","",IFERROR(LOOKUP(2,1/('03_Warehouse_Movements'!$C$2:$C$500=$A462),'03_Warehouse_Movements'!$E$2:$E$500),$C462))</f>
        <v/>
      </c>
      <c r="E462" t="inlineStr">
        <is>
          <t>STANDARD</t>
        </is>
      </c>
      <c r="G462" s="25" t="n"/>
      <c r="H462" s="24">
        <f>IF(AND($F462="TEMP",$G462&gt;0,$M462&lt;&gt;""),$M462+$G462,"")</f>
        <v/>
      </c>
      <c r="I462" s="22" t="n"/>
      <c r="J462" s="22" t="n"/>
      <c r="K462" s="24" t="n"/>
      <c r="M462" s="46">
        <f>IF($C462="","",IFERROR(LOOKUP(2,1/('03_Warehouse_Movements'!$C$2:$C$500=$A462),'03_Warehouse_Movements'!$A$2:$A$500),""))</f>
        <v/>
      </c>
      <c r="N462">
        <f>IF($C462="","",IFERROR(LOOKUP(2,1/('03_Warehouse_Movements'!$C$2:$C$500=$A462),'03_Warehouse_Movements'!$H$2:$H$500),""))</f>
        <v/>
      </c>
      <c r="O462">
        <f>A462</f>
        <v/>
      </c>
      <c r="Q462" s="25" t="n"/>
      <c r="R462" s="24" t="n"/>
      <c r="W462">
        <f>IF($A2="","",COUNTIF('07_Pallet_Contents'!$A$2:$A$3000,$A2))</f>
        <v/>
      </c>
      <c r="X462">
        <f>IF($A2="","",SUMIF('07_Pallet_Contents'!$A$2:$A$3000,$A2,'07_Pallet_Contents'!$D$2:$D$3000))</f>
        <v/>
      </c>
      <c r="Y462">
        <f>IF($A2="","",SUMIF('07_Pallet_Contents'!$A$2:$A$3000,$A2,'07_Pallet_Contents'!$I$2:$I$3000))</f>
        <v/>
      </c>
      <c r="Z462">
        <f>IF($A2="","",IF(COUNTIF('07_Pallet_Contents'!$A$2:$A$3000,$A2)&gt;0,"Yes",""))</f>
        <v/>
      </c>
    </row>
    <row r="463">
      <c r="A463" s="4" t="inlineStr">
        <is>
          <t>PAL-0000463</t>
        </is>
      </c>
      <c r="B463" s="22" t="n"/>
      <c r="D463">
        <f>IF($C463="","",IFERROR(LOOKUP(2,1/('03_Warehouse_Movements'!$C$2:$C$500=$A463),'03_Warehouse_Movements'!$E$2:$E$500),$C463))</f>
        <v/>
      </c>
      <c r="E463" t="inlineStr">
        <is>
          <t>STANDARD</t>
        </is>
      </c>
      <c r="G463" s="25" t="n"/>
      <c r="H463" s="24">
        <f>IF(AND($F463="TEMP",$G463&gt;0,$M463&lt;&gt;""),$M463+$G463,"")</f>
        <v/>
      </c>
      <c r="I463" s="22" t="n"/>
      <c r="J463" s="22" t="n"/>
      <c r="K463" s="24" t="n"/>
      <c r="M463" s="46">
        <f>IF($C463="","",IFERROR(LOOKUP(2,1/('03_Warehouse_Movements'!$C$2:$C$500=$A463),'03_Warehouse_Movements'!$A$2:$A$500),""))</f>
        <v/>
      </c>
      <c r="N463">
        <f>IF($C463="","",IFERROR(LOOKUP(2,1/('03_Warehouse_Movements'!$C$2:$C$500=$A463),'03_Warehouse_Movements'!$H$2:$H$500),""))</f>
        <v/>
      </c>
      <c r="O463">
        <f>A463</f>
        <v/>
      </c>
      <c r="Q463" s="25" t="n"/>
      <c r="R463" s="24" t="n"/>
      <c r="W463">
        <f>IF($A2="","",COUNTIF('07_Pallet_Contents'!$A$2:$A$3000,$A2))</f>
        <v/>
      </c>
      <c r="X463">
        <f>IF($A2="","",SUMIF('07_Pallet_Contents'!$A$2:$A$3000,$A2,'07_Pallet_Contents'!$D$2:$D$3000))</f>
        <v/>
      </c>
      <c r="Y463">
        <f>IF($A2="","",SUMIF('07_Pallet_Contents'!$A$2:$A$3000,$A2,'07_Pallet_Contents'!$I$2:$I$3000))</f>
        <v/>
      </c>
      <c r="Z463">
        <f>IF($A2="","",IF(COUNTIF('07_Pallet_Contents'!$A$2:$A$3000,$A2)&gt;0,"Yes",""))</f>
        <v/>
      </c>
    </row>
    <row r="464">
      <c r="A464" s="4" t="inlineStr">
        <is>
          <t>PAL-0000464</t>
        </is>
      </c>
      <c r="B464" s="22" t="n"/>
      <c r="D464">
        <f>IF($C464="","",IFERROR(LOOKUP(2,1/('03_Warehouse_Movements'!$C$2:$C$500=$A464),'03_Warehouse_Movements'!$E$2:$E$500),$C464))</f>
        <v/>
      </c>
      <c r="E464" t="inlineStr">
        <is>
          <t>STANDARD</t>
        </is>
      </c>
      <c r="G464" s="25" t="n"/>
      <c r="H464" s="24">
        <f>IF(AND($F464="TEMP",$G464&gt;0,$M464&lt;&gt;""),$M464+$G464,"")</f>
        <v/>
      </c>
      <c r="I464" s="22" t="n"/>
      <c r="J464" s="22" t="n"/>
      <c r="K464" s="24" t="n"/>
      <c r="M464" s="46">
        <f>IF($C464="","",IFERROR(LOOKUP(2,1/('03_Warehouse_Movements'!$C$2:$C$500=$A464),'03_Warehouse_Movements'!$A$2:$A$500),""))</f>
        <v/>
      </c>
      <c r="N464">
        <f>IF($C464="","",IFERROR(LOOKUP(2,1/('03_Warehouse_Movements'!$C$2:$C$500=$A464),'03_Warehouse_Movements'!$H$2:$H$500),""))</f>
        <v/>
      </c>
      <c r="O464">
        <f>A464</f>
        <v/>
      </c>
      <c r="Q464" s="25" t="n"/>
      <c r="R464" s="24" t="n"/>
      <c r="W464">
        <f>IF($A2="","",COUNTIF('07_Pallet_Contents'!$A$2:$A$3000,$A2))</f>
        <v/>
      </c>
      <c r="X464">
        <f>IF($A2="","",SUMIF('07_Pallet_Contents'!$A$2:$A$3000,$A2,'07_Pallet_Contents'!$D$2:$D$3000))</f>
        <v/>
      </c>
      <c r="Y464">
        <f>IF($A2="","",SUMIF('07_Pallet_Contents'!$A$2:$A$3000,$A2,'07_Pallet_Contents'!$I$2:$I$3000))</f>
        <v/>
      </c>
      <c r="Z464">
        <f>IF($A2="","",IF(COUNTIF('07_Pallet_Contents'!$A$2:$A$3000,$A2)&gt;0,"Yes",""))</f>
        <v/>
      </c>
    </row>
    <row r="465">
      <c r="A465" s="4" t="inlineStr">
        <is>
          <t>PAL-0000465</t>
        </is>
      </c>
      <c r="B465" s="22" t="n"/>
      <c r="D465">
        <f>IF($C465="","",IFERROR(LOOKUP(2,1/('03_Warehouse_Movements'!$C$2:$C$500=$A465),'03_Warehouse_Movements'!$E$2:$E$500),$C465))</f>
        <v/>
      </c>
      <c r="E465" t="inlineStr">
        <is>
          <t>STANDARD</t>
        </is>
      </c>
      <c r="G465" s="25" t="n"/>
      <c r="H465" s="24">
        <f>IF(AND($F465="TEMP",$G465&gt;0,$M465&lt;&gt;""),$M465+$G465,"")</f>
        <v/>
      </c>
      <c r="I465" s="22" t="n"/>
      <c r="J465" s="22" t="n"/>
      <c r="K465" s="24" t="n"/>
      <c r="M465" s="46">
        <f>IF($C465="","",IFERROR(LOOKUP(2,1/('03_Warehouse_Movements'!$C$2:$C$500=$A465),'03_Warehouse_Movements'!$A$2:$A$500),""))</f>
        <v/>
      </c>
      <c r="N465">
        <f>IF($C465="","",IFERROR(LOOKUP(2,1/('03_Warehouse_Movements'!$C$2:$C$500=$A465),'03_Warehouse_Movements'!$H$2:$H$500),""))</f>
        <v/>
      </c>
      <c r="O465">
        <f>A465</f>
        <v/>
      </c>
      <c r="Q465" s="25" t="n"/>
      <c r="R465" s="24" t="n"/>
      <c r="W465">
        <f>IF($A2="","",COUNTIF('07_Pallet_Contents'!$A$2:$A$3000,$A2))</f>
        <v/>
      </c>
      <c r="X465">
        <f>IF($A2="","",SUMIF('07_Pallet_Contents'!$A$2:$A$3000,$A2,'07_Pallet_Contents'!$D$2:$D$3000))</f>
        <v/>
      </c>
      <c r="Y465">
        <f>IF($A2="","",SUMIF('07_Pallet_Contents'!$A$2:$A$3000,$A2,'07_Pallet_Contents'!$I$2:$I$3000))</f>
        <v/>
      </c>
      <c r="Z465">
        <f>IF($A2="","",IF(COUNTIF('07_Pallet_Contents'!$A$2:$A$3000,$A2)&gt;0,"Yes",""))</f>
        <v/>
      </c>
    </row>
    <row r="466">
      <c r="A466" s="4" t="inlineStr">
        <is>
          <t>PAL-0000466</t>
        </is>
      </c>
      <c r="B466" s="22" t="n"/>
      <c r="D466">
        <f>IF($C466="","",IFERROR(LOOKUP(2,1/('03_Warehouse_Movements'!$C$2:$C$500=$A466),'03_Warehouse_Movements'!$E$2:$E$500),$C466))</f>
        <v/>
      </c>
      <c r="E466" t="inlineStr">
        <is>
          <t>STANDARD</t>
        </is>
      </c>
      <c r="G466" s="25" t="n"/>
      <c r="H466" s="24">
        <f>IF(AND($F466="TEMP",$G466&gt;0,$M466&lt;&gt;""),$M466+$G466,"")</f>
        <v/>
      </c>
      <c r="I466" s="22" t="n"/>
      <c r="J466" s="22" t="n"/>
      <c r="K466" s="24" t="n"/>
      <c r="M466" s="46">
        <f>IF($C466="","",IFERROR(LOOKUP(2,1/('03_Warehouse_Movements'!$C$2:$C$500=$A466),'03_Warehouse_Movements'!$A$2:$A$500),""))</f>
        <v/>
      </c>
      <c r="N466">
        <f>IF($C466="","",IFERROR(LOOKUP(2,1/('03_Warehouse_Movements'!$C$2:$C$500=$A466),'03_Warehouse_Movements'!$H$2:$H$500),""))</f>
        <v/>
      </c>
      <c r="O466">
        <f>A466</f>
        <v/>
      </c>
      <c r="Q466" s="25" t="n"/>
      <c r="R466" s="24" t="n"/>
      <c r="W466">
        <f>IF($A2="","",COUNTIF('07_Pallet_Contents'!$A$2:$A$3000,$A2))</f>
        <v/>
      </c>
      <c r="X466">
        <f>IF($A2="","",SUMIF('07_Pallet_Contents'!$A$2:$A$3000,$A2,'07_Pallet_Contents'!$D$2:$D$3000))</f>
        <v/>
      </c>
      <c r="Y466">
        <f>IF($A2="","",SUMIF('07_Pallet_Contents'!$A$2:$A$3000,$A2,'07_Pallet_Contents'!$I$2:$I$3000))</f>
        <v/>
      </c>
      <c r="Z466">
        <f>IF($A2="","",IF(COUNTIF('07_Pallet_Contents'!$A$2:$A$3000,$A2)&gt;0,"Yes",""))</f>
        <v/>
      </c>
    </row>
    <row r="467">
      <c r="A467" s="4" t="inlineStr">
        <is>
          <t>PAL-0000467</t>
        </is>
      </c>
      <c r="B467" s="22" t="n"/>
      <c r="D467">
        <f>IF($C467="","",IFERROR(LOOKUP(2,1/('03_Warehouse_Movements'!$C$2:$C$500=$A467),'03_Warehouse_Movements'!$E$2:$E$500),$C467))</f>
        <v/>
      </c>
      <c r="E467" t="inlineStr">
        <is>
          <t>STANDARD</t>
        </is>
      </c>
      <c r="G467" s="25" t="n"/>
      <c r="H467" s="24">
        <f>IF(AND($F467="TEMP",$G467&gt;0,$M467&lt;&gt;""),$M467+$G467,"")</f>
        <v/>
      </c>
      <c r="I467" s="22" t="n"/>
      <c r="J467" s="22" t="n"/>
      <c r="K467" s="24" t="n"/>
      <c r="M467" s="46">
        <f>IF($C467="","",IFERROR(LOOKUP(2,1/('03_Warehouse_Movements'!$C$2:$C$500=$A467),'03_Warehouse_Movements'!$A$2:$A$500),""))</f>
        <v/>
      </c>
      <c r="N467">
        <f>IF($C467="","",IFERROR(LOOKUP(2,1/('03_Warehouse_Movements'!$C$2:$C$500=$A467),'03_Warehouse_Movements'!$H$2:$H$500),""))</f>
        <v/>
      </c>
      <c r="O467">
        <f>A467</f>
        <v/>
      </c>
      <c r="Q467" s="25" t="n"/>
      <c r="R467" s="24" t="n"/>
      <c r="W467">
        <f>IF($A2="","",COUNTIF('07_Pallet_Contents'!$A$2:$A$3000,$A2))</f>
        <v/>
      </c>
      <c r="X467">
        <f>IF($A2="","",SUMIF('07_Pallet_Contents'!$A$2:$A$3000,$A2,'07_Pallet_Contents'!$D$2:$D$3000))</f>
        <v/>
      </c>
      <c r="Y467">
        <f>IF($A2="","",SUMIF('07_Pallet_Contents'!$A$2:$A$3000,$A2,'07_Pallet_Contents'!$I$2:$I$3000))</f>
        <v/>
      </c>
      <c r="Z467">
        <f>IF($A2="","",IF(COUNTIF('07_Pallet_Contents'!$A$2:$A$3000,$A2)&gt;0,"Yes",""))</f>
        <v/>
      </c>
    </row>
    <row r="468">
      <c r="A468" s="4" t="inlineStr">
        <is>
          <t>PAL-0000468</t>
        </is>
      </c>
      <c r="B468" s="22" t="n"/>
      <c r="D468">
        <f>IF($C468="","",IFERROR(LOOKUP(2,1/('03_Warehouse_Movements'!$C$2:$C$500=$A468),'03_Warehouse_Movements'!$E$2:$E$500),$C468))</f>
        <v/>
      </c>
      <c r="E468" t="inlineStr">
        <is>
          <t>STANDARD</t>
        </is>
      </c>
      <c r="G468" s="25" t="n"/>
      <c r="H468" s="24">
        <f>IF(AND($F468="TEMP",$G468&gt;0,$M468&lt;&gt;""),$M468+$G468,"")</f>
        <v/>
      </c>
      <c r="I468" s="22" t="n"/>
      <c r="J468" s="22" t="n"/>
      <c r="K468" s="24" t="n"/>
      <c r="M468" s="46">
        <f>IF($C468="","",IFERROR(LOOKUP(2,1/('03_Warehouse_Movements'!$C$2:$C$500=$A468),'03_Warehouse_Movements'!$A$2:$A$500),""))</f>
        <v/>
      </c>
      <c r="N468">
        <f>IF($C468="","",IFERROR(LOOKUP(2,1/('03_Warehouse_Movements'!$C$2:$C$500=$A468),'03_Warehouse_Movements'!$H$2:$H$500),""))</f>
        <v/>
      </c>
      <c r="O468">
        <f>A468</f>
        <v/>
      </c>
      <c r="Q468" s="25" t="n"/>
      <c r="R468" s="24" t="n"/>
      <c r="W468">
        <f>IF($A2="","",COUNTIF('07_Pallet_Contents'!$A$2:$A$3000,$A2))</f>
        <v/>
      </c>
      <c r="X468">
        <f>IF($A2="","",SUMIF('07_Pallet_Contents'!$A$2:$A$3000,$A2,'07_Pallet_Contents'!$D$2:$D$3000))</f>
        <v/>
      </c>
      <c r="Y468">
        <f>IF($A2="","",SUMIF('07_Pallet_Contents'!$A$2:$A$3000,$A2,'07_Pallet_Contents'!$I$2:$I$3000))</f>
        <v/>
      </c>
      <c r="Z468">
        <f>IF($A2="","",IF(COUNTIF('07_Pallet_Contents'!$A$2:$A$3000,$A2)&gt;0,"Yes",""))</f>
        <v/>
      </c>
    </row>
    <row r="469">
      <c r="A469" s="4" t="inlineStr">
        <is>
          <t>PAL-0000469</t>
        </is>
      </c>
      <c r="B469" s="22" t="n"/>
      <c r="D469">
        <f>IF($C469="","",IFERROR(LOOKUP(2,1/('03_Warehouse_Movements'!$C$2:$C$500=$A469),'03_Warehouse_Movements'!$E$2:$E$500),$C469))</f>
        <v/>
      </c>
      <c r="E469" t="inlineStr">
        <is>
          <t>STANDARD</t>
        </is>
      </c>
      <c r="G469" s="25" t="n"/>
      <c r="H469" s="24">
        <f>IF(AND($F469="TEMP",$G469&gt;0,$M469&lt;&gt;""),$M469+$G469,"")</f>
        <v/>
      </c>
      <c r="I469" s="22" t="n"/>
      <c r="J469" s="22" t="n"/>
      <c r="K469" s="24" t="n"/>
      <c r="M469" s="46">
        <f>IF($C469="","",IFERROR(LOOKUP(2,1/('03_Warehouse_Movements'!$C$2:$C$500=$A469),'03_Warehouse_Movements'!$A$2:$A$500),""))</f>
        <v/>
      </c>
      <c r="N469">
        <f>IF($C469="","",IFERROR(LOOKUP(2,1/('03_Warehouse_Movements'!$C$2:$C$500=$A469),'03_Warehouse_Movements'!$H$2:$H$500),""))</f>
        <v/>
      </c>
      <c r="O469">
        <f>A469</f>
        <v/>
      </c>
      <c r="Q469" s="25" t="n"/>
      <c r="R469" s="24" t="n"/>
      <c r="W469">
        <f>IF($A2="","",COUNTIF('07_Pallet_Contents'!$A$2:$A$3000,$A2))</f>
        <v/>
      </c>
      <c r="X469">
        <f>IF($A2="","",SUMIF('07_Pallet_Contents'!$A$2:$A$3000,$A2,'07_Pallet_Contents'!$D$2:$D$3000))</f>
        <v/>
      </c>
      <c r="Y469">
        <f>IF($A2="","",SUMIF('07_Pallet_Contents'!$A$2:$A$3000,$A2,'07_Pallet_Contents'!$I$2:$I$3000))</f>
        <v/>
      </c>
      <c r="Z469">
        <f>IF($A2="","",IF(COUNTIF('07_Pallet_Contents'!$A$2:$A$3000,$A2)&gt;0,"Yes",""))</f>
        <v/>
      </c>
    </row>
    <row r="470">
      <c r="A470" s="4" t="inlineStr">
        <is>
          <t>PAL-0000470</t>
        </is>
      </c>
      <c r="B470" s="22" t="n"/>
      <c r="D470">
        <f>IF($C470="","",IFERROR(LOOKUP(2,1/('03_Warehouse_Movements'!$C$2:$C$500=$A470),'03_Warehouse_Movements'!$E$2:$E$500),$C470))</f>
        <v/>
      </c>
      <c r="E470" t="inlineStr">
        <is>
          <t>STANDARD</t>
        </is>
      </c>
      <c r="G470" s="25" t="n"/>
      <c r="H470" s="24">
        <f>IF(AND($F470="TEMP",$G470&gt;0,$M470&lt;&gt;""),$M470+$G470,"")</f>
        <v/>
      </c>
      <c r="I470" s="22" t="n"/>
      <c r="J470" s="22" t="n"/>
      <c r="K470" s="24" t="n"/>
      <c r="M470" s="46">
        <f>IF($C470="","",IFERROR(LOOKUP(2,1/('03_Warehouse_Movements'!$C$2:$C$500=$A470),'03_Warehouse_Movements'!$A$2:$A$500),""))</f>
        <v/>
      </c>
      <c r="N470">
        <f>IF($C470="","",IFERROR(LOOKUP(2,1/('03_Warehouse_Movements'!$C$2:$C$500=$A470),'03_Warehouse_Movements'!$H$2:$H$500),""))</f>
        <v/>
      </c>
      <c r="O470">
        <f>A470</f>
        <v/>
      </c>
      <c r="Q470" s="25" t="n"/>
      <c r="R470" s="24" t="n"/>
      <c r="W470">
        <f>IF($A2="","",COUNTIF('07_Pallet_Contents'!$A$2:$A$3000,$A2))</f>
        <v/>
      </c>
      <c r="X470">
        <f>IF($A2="","",SUMIF('07_Pallet_Contents'!$A$2:$A$3000,$A2,'07_Pallet_Contents'!$D$2:$D$3000))</f>
        <v/>
      </c>
      <c r="Y470">
        <f>IF($A2="","",SUMIF('07_Pallet_Contents'!$A$2:$A$3000,$A2,'07_Pallet_Contents'!$I$2:$I$3000))</f>
        <v/>
      </c>
      <c r="Z470">
        <f>IF($A2="","",IF(COUNTIF('07_Pallet_Contents'!$A$2:$A$3000,$A2)&gt;0,"Yes",""))</f>
        <v/>
      </c>
    </row>
    <row r="471">
      <c r="A471" s="4" t="inlineStr">
        <is>
          <t>PAL-0000471</t>
        </is>
      </c>
      <c r="B471" s="22" t="n"/>
      <c r="D471">
        <f>IF($C471="","",IFERROR(LOOKUP(2,1/('03_Warehouse_Movements'!$C$2:$C$500=$A471),'03_Warehouse_Movements'!$E$2:$E$500),$C471))</f>
        <v/>
      </c>
      <c r="E471" t="inlineStr">
        <is>
          <t>STANDARD</t>
        </is>
      </c>
      <c r="G471" s="25" t="n"/>
      <c r="H471" s="24">
        <f>IF(AND($F471="TEMP",$G471&gt;0,$M471&lt;&gt;""),$M471+$G471,"")</f>
        <v/>
      </c>
      <c r="I471" s="22" t="n"/>
      <c r="J471" s="22" t="n"/>
      <c r="K471" s="24" t="n"/>
      <c r="M471" s="46">
        <f>IF($C471="","",IFERROR(LOOKUP(2,1/('03_Warehouse_Movements'!$C$2:$C$500=$A471),'03_Warehouse_Movements'!$A$2:$A$500),""))</f>
        <v/>
      </c>
      <c r="N471">
        <f>IF($C471="","",IFERROR(LOOKUP(2,1/('03_Warehouse_Movements'!$C$2:$C$500=$A471),'03_Warehouse_Movements'!$H$2:$H$500),""))</f>
        <v/>
      </c>
      <c r="O471">
        <f>A471</f>
        <v/>
      </c>
      <c r="Q471" s="25" t="n"/>
      <c r="R471" s="24" t="n"/>
      <c r="W471">
        <f>IF($A2="","",COUNTIF('07_Pallet_Contents'!$A$2:$A$3000,$A2))</f>
        <v/>
      </c>
      <c r="X471">
        <f>IF($A2="","",SUMIF('07_Pallet_Contents'!$A$2:$A$3000,$A2,'07_Pallet_Contents'!$D$2:$D$3000))</f>
        <v/>
      </c>
      <c r="Y471">
        <f>IF($A2="","",SUMIF('07_Pallet_Contents'!$A$2:$A$3000,$A2,'07_Pallet_Contents'!$I$2:$I$3000))</f>
        <v/>
      </c>
      <c r="Z471">
        <f>IF($A2="","",IF(COUNTIF('07_Pallet_Contents'!$A$2:$A$3000,$A2)&gt;0,"Yes",""))</f>
        <v/>
      </c>
    </row>
    <row r="472">
      <c r="A472" s="4" t="inlineStr">
        <is>
          <t>PAL-0000472</t>
        </is>
      </c>
      <c r="B472" s="22" t="n"/>
      <c r="D472">
        <f>IF($C472="","",IFERROR(LOOKUP(2,1/('03_Warehouse_Movements'!$C$2:$C$500=$A472),'03_Warehouse_Movements'!$E$2:$E$500),$C472))</f>
        <v/>
      </c>
      <c r="E472" t="inlineStr">
        <is>
          <t>STANDARD</t>
        </is>
      </c>
      <c r="G472" s="25" t="n"/>
      <c r="H472" s="24">
        <f>IF(AND($F472="TEMP",$G472&gt;0,$M472&lt;&gt;""),$M472+$G472,"")</f>
        <v/>
      </c>
      <c r="I472" s="22" t="n"/>
      <c r="J472" s="22" t="n"/>
      <c r="K472" s="24" t="n"/>
      <c r="M472" s="46">
        <f>IF($C472="","",IFERROR(LOOKUP(2,1/('03_Warehouse_Movements'!$C$2:$C$500=$A472),'03_Warehouse_Movements'!$A$2:$A$500),""))</f>
        <v/>
      </c>
      <c r="N472">
        <f>IF($C472="","",IFERROR(LOOKUP(2,1/('03_Warehouse_Movements'!$C$2:$C$500=$A472),'03_Warehouse_Movements'!$H$2:$H$500),""))</f>
        <v/>
      </c>
      <c r="O472">
        <f>A472</f>
        <v/>
      </c>
      <c r="Q472" s="25" t="n"/>
      <c r="R472" s="24" t="n"/>
      <c r="W472">
        <f>IF($A2="","",COUNTIF('07_Pallet_Contents'!$A$2:$A$3000,$A2))</f>
        <v/>
      </c>
      <c r="X472">
        <f>IF($A2="","",SUMIF('07_Pallet_Contents'!$A$2:$A$3000,$A2,'07_Pallet_Contents'!$D$2:$D$3000))</f>
        <v/>
      </c>
      <c r="Y472">
        <f>IF($A2="","",SUMIF('07_Pallet_Contents'!$A$2:$A$3000,$A2,'07_Pallet_Contents'!$I$2:$I$3000))</f>
        <v/>
      </c>
      <c r="Z472">
        <f>IF($A2="","",IF(COUNTIF('07_Pallet_Contents'!$A$2:$A$3000,$A2)&gt;0,"Yes",""))</f>
        <v/>
      </c>
    </row>
    <row r="473">
      <c r="A473" s="4" t="inlineStr">
        <is>
          <t>PAL-0000473</t>
        </is>
      </c>
      <c r="B473" s="22" t="n"/>
      <c r="D473">
        <f>IF($C473="","",IFERROR(LOOKUP(2,1/('03_Warehouse_Movements'!$C$2:$C$500=$A473),'03_Warehouse_Movements'!$E$2:$E$500),$C473))</f>
        <v/>
      </c>
      <c r="E473" t="inlineStr">
        <is>
          <t>STANDARD</t>
        </is>
      </c>
      <c r="G473" s="25" t="n"/>
      <c r="H473" s="24">
        <f>IF(AND($F473="TEMP",$G473&gt;0,$M473&lt;&gt;""),$M473+$G473,"")</f>
        <v/>
      </c>
      <c r="I473" s="22" t="n"/>
      <c r="J473" s="22" t="n"/>
      <c r="K473" s="24" t="n"/>
      <c r="M473" s="46">
        <f>IF($C473="","",IFERROR(LOOKUP(2,1/('03_Warehouse_Movements'!$C$2:$C$500=$A473),'03_Warehouse_Movements'!$A$2:$A$500),""))</f>
        <v/>
      </c>
      <c r="N473">
        <f>IF($C473="","",IFERROR(LOOKUP(2,1/('03_Warehouse_Movements'!$C$2:$C$500=$A473),'03_Warehouse_Movements'!$H$2:$H$500),""))</f>
        <v/>
      </c>
      <c r="O473">
        <f>A473</f>
        <v/>
      </c>
      <c r="Q473" s="25" t="n"/>
      <c r="R473" s="24" t="n"/>
      <c r="W473">
        <f>IF($A2="","",COUNTIF('07_Pallet_Contents'!$A$2:$A$3000,$A2))</f>
        <v/>
      </c>
      <c r="X473">
        <f>IF($A2="","",SUMIF('07_Pallet_Contents'!$A$2:$A$3000,$A2,'07_Pallet_Contents'!$D$2:$D$3000))</f>
        <v/>
      </c>
      <c r="Y473">
        <f>IF($A2="","",SUMIF('07_Pallet_Contents'!$A$2:$A$3000,$A2,'07_Pallet_Contents'!$I$2:$I$3000))</f>
        <v/>
      </c>
      <c r="Z473">
        <f>IF($A2="","",IF(COUNTIF('07_Pallet_Contents'!$A$2:$A$3000,$A2)&gt;0,"Yes",""))</f>
        <v/>
      </c>
    </row>
    <row r="474">
      <c r="A474" s="4" t="inlineStr">
        <is>
          <t>PAL-0000474</t>
        </is>
      </c>
      <c r="B474" s="22" t="n"/>
      <c r="D474">
        <f>IF($C474="","",IFERROR(LOOKUP(2,1/('03_Warehouse_Movements'!$C$2:$C$500=$A474),'03_Warehouse_Movements'!$E$2:$E$500),$C474))</f>
        <v/>
      </c>
      <c r="E474" t="inlineStr">
        <is>
          <t>STANDARD</t>
        </is>
      </c>
      <c r="G474" s="25" t="n"/>
      <c r="H474" s="24">
        <f>IF(AND($F474="TEMP",$G474&gt;0,$M474&lt;&gt;""),$M474+$G474,"")</f>
        <v/>
      </c>
      <c r="I474" s="22" t="n"/>
      <c r="J474" s="22" t="n"/>
      <c r="K474" s="24" t="n"/>
      <c r="M474" s="46">
        <f>IF($C474="","",IFERROR(LOOKUP(2,1/('03_Warehouse_Movements'!$C$2:$C$500=$A474),'03_Warehouse_Movements'!$A$2:$A$500),""))</f>
        <v/>
      </c>
      <c r="N474">
        <f>IF($C474="","",IFERROR(LOOKUP(2,1/('03_Warehouse_Movements'!$C$2:$C$500=$A474),'03_Warehouse_Movements'!$H$2:$H$500),""))</f>
        <v/>
      </c>
      <c r="O474">
        <f>A474</f>
        <v/>
      </c>
      <c r="Q474" s="25" t="n"/>
      <c r="R474" s="24" t="n"/>
      <c r="W474">
        <f>IF($A2="","",COUNTIF('07_Pallet_Contents'!$A$2:$A$3000,$A2))</f>
        <v/>
      </c>
      <c r="X474">
        <f>IF($A2="","",SUMIF('07_Pallet_Contents'!$A$2:$A$3000,$A2,'07_Pallet_Contents'!$D$2:$D$3000))</f>
        <v/>
      </c>
      <c r="Y474">
        <f>IF($A2="","",SUMIF('07_Pallet_Contents'!$A$2:$A$3000,$A2,'07_Pallet_Contents'!$I$2:$I$3000))</f>
        <v/>
      </c>
      <c r="Z474">
        <f>IF($A2="","",IF(COUNTIF('07_Pallet_Contents'!$A$2:$A$3000,$A2)&gt;0,"Yes",""))</f>
        <v/>
      </c>
    </row>
    <row r="475">
      <c r="A475" s="4" t="inlineStr">
        <is>
          <t>PAL-0000475</t>
        </is>
      </c>
      <c r="B475" s="22" t="n"/>
      <c r="D475">
        <f>IF($C475="","",IFERROR(LOOKUP(2,1/('03_Warehouse_Movements'!$C$2:$C$500=$A475),'03_Warehouse_Movements'!$E$2:$E$500),$C475))</f>
        <v/>
      </c>
      <c r="E475" t="inlineStr">
        <is>
          <t>STANDARD</t>
        </is>
      </c>
      <c r="G475" s="25" t="n"/>
      <c r="H475" s="24">
        <f>IF(AND($F475="TEMP",$G475&gt;0,$M475&lt;&gt;""),$M475+$G475,"")</f>
        <v/>
      </c>
      <c r="I475" s="22" t="n"/>
      <c r="J475" s="22" t="n"/>
      <c r="K475" s="24" t="n"/>
      <c r="M475" s="46">
        <f>IF($C475="","",IFERROR(LOOKUP(2,1/('03_Warehouse_Movements'!$C$2:$C$500=$A475),'03_Warehouse_Movements'!$A$2:$A$500),""))</f>
        <v/>
      </c>
      <c r="N475">
        <f>IF($C475="","",IFERROR(LOOKUP(2,1/('03_Warehouse_Movements'!$C$2:$C$500=$A475),'03_Warehouse_Movements'!$H$2:$H$500),""))</f>
        <v/>
      </c>
      <c r="O475">
        <f>A475</f>
        <v/>
      </c>
      <c r="Q475" s="25" t="n"/>
      <c r="R475" s="24" t="n"/>
      <c r="W475">
        <f>IF($A2="","",COUNTIF('07_Pallet_Contents'!$A$2:$A$3000,$A2))</f>
        <v/>
      </c>
      <c r="X475">
        <f>IF($A2="","",SUMIF('07_Pallet_Contents'!$A$2:$A$3000,$A2,'07_Pallet_Contents'!$D$2:$D$3000))</f>
        <v/>
      </c>
      <c r="Y475">
        <f>IF($A2="","",SUMIF('07_Pallet_Contents'!$A$2:$A$3000,$A2,'07_Pallet_Contents'!$I$2:$I$3000))</f>
        <v/>
      </c>
      <c r="Z475">
        <f>IF($A2="","",IF(COUNTIF('07_Pallet_Contents'!$A$2:$A$3000,$A2)&gt;0,"Yes",""))</f>
        <v/>
      </c>
    </row>
    <row r="476">
      <c r="A476" s="4" t="inlineStr">
        <is>
          <t>PAL-0000476</t>
        </is>
      </c>
      <c r="B476" s="22" t="n"/>
      <c r="D476">
        <f>IF($C476="","",IFERROR(LOOKUP(2,1/('03_Warehouse_Movements'!$C$2:$C$500=$A476),'03_Warehouse_Movements'!$E$2:$E$500),$C476))</f>
        <v/>
      </c>
      <c r="E476" t="inlineStr">
        <is>
          <t>STANDARD</t>
        </is>
      </c>
      <c r="G476" s="25" t="n"/>
      <c r="H476" s="24">
        <f>IF(AND($F476="TEMP",$G476&gt;0,$M476&lt;&gt;""),$M476+$G476,"")</f>
        <v/>
      </c>
      <c r="I476" s="22" t="n"/>
      <c r="J476" s="22" t="n"/>
      <c r="K476" s="24" t="n"/>
      <c r="M476" s="46">
        <f>IF($C476="","",IFERROR(LOOKUP(2,1/('03_Warehouse_Movements'!$C$2:$C$500=$A476),'03_Warehouse_Movements'!$A$2:$A$500),""))</f>
        <v/>
      </c>
      <c r="N476">
        <f>IF($C476="","",IFERROR(LOOKUP(2,1/('03_Warehouse_Movements'!$C$2:$C$500=$A476),'03_Warehouse_Movements'!$H$2:$H$500),""))</f>
        <v/>
      </c>
      <c r="O476">
        <f>A476</f>
        <v/>
      </c>
      <c r="Q476" s="25" t="n"/>
      <c r="R476" s="24" t="n"/>
      <c r="W476">
        <f>IF($A2="","",COUNTIF('07_Pallet_Contents'!$A$2:$A$3000,$A2))</f>
        <v/>
      </c>
      <c r="X476">
        <f>IF($A2="","",SUMIF('07_Pallet_Contents'!$A$2:$A$3000,$A2,'07_Pallet_Contents'!$D$2:$D$3000))</f>
        <v/>
      </c>
      <c r="Y476">
        <f>IF($A2="","",SUMIF('07_Pallet_Contents'!$A$2:$A$3000,$A2,'07_Pallet_Contents'!$I$2:$I$3000))</f>
        <v/>
      </c>
      <c r="Z476">
        <f>IF($A2="","",IF(COUNTIF('07_Pallet_Contents'!$A$2:$A$3000,$A2)&gt;0,"Yes",""))</f>
        <v/>
      </c>
    </row>
    <row r="477">
      <c r="A477" s="4" t="inlineStr">
        <is>
          <t>PAL-0000477</t>
        </is>
      </c>
      <c r="B477" s="22" t="n"/>
      <c r="D477">
        <f>IF($C477="","",IFERROR(LOOKUP(2,1/('03_Warehouse_Movements'!$C$2:$C$500=$A477),'03_Warehouse_Movements'!$E$2:$E$500),$C477))</f>
        <v/>
      </c>
      <c r="E477" t="inlineStr">
        <is>
          <t>STANDARD</t>
        </is>
      </c>
      <c r="G477" s="25" t="n"/>
      <c r="H477" s="24">
        <f>IF(AND($F477="TEMP",$G477&gt;0,$M477&lt;&gt;""),$M477+$G477,"")</f>
        <v/>
      </c>
      <c r="I477" s="22" t="n"/>
      <c r="J477" s="22" t="n"/>
      <c r="K477" s="24" t="n"/>
      <c r="M477" s="46">
        <f>IF($C477="","",IFERROR(LOOKUP(2,1/('03_Warehouse_Movements'!$C$2:$C$500=$A477),'03_Warehouse_Movements'!$A$2:$A$500),""))</f>
        <v/>
      </c>
      <c r="N477">
        <f>IF($C477="","",IFERROR(LOOKUP(2,1/('03_Warehouse_Movements'!$C$2:$C$500=$A477),'03_Warehouse_Movements'!$H$2:$H$500),""))</f>
        <v/>
      </c>
      <c r="O477">
        <f>A477</f>
        <v/>
      </c>
      <c r="Q477" s="25" t="n"/>
      <c r="R477" s="24" t="n"/>
      <c r="W477">
        <f>IF($A2="","",COUNTIF('07_Pallet_Contents'!$A$2:$A$3000,$A2))</f>
        <v/>
      </c>
      <c r="X477">
        <f>IF($A2="","",SUMIF('07_Pallet_Contents'!$A$2:$A$3000,$A2,'07_Pallet_Contents'!$D$2:$D$3000))</f>
        <v/>
      </c>
      <c r="Y477">
        <f>IF($A2="","",SUMIF('07_Pallet_Contents'!$A$2:$A$3000,$A2,'07_Pallet_Contents'!$I$2:$I$3000))</f>
        <v/>
      </c>
      <c r="Z477">
        <f>IF($A2="","",IF(COUNTIF('07_Pallet_Contents'!$A$2:$A$3000,$A2)&gt;0,"Yes",""))</f>
        <v/>
      </c>
    </row>
    <row r="478">
      <c r="A478" s="4" t="inlineStr">
        <is>
          <t>PAL-0000478</t>
        </is>
      </c>
      <c r="B478" s="22" t="n"/>
      <c r="D478">
        <f>IF($C478="","",IFERROR(LOOKUP(2,1/('03_Warehouse_Movements'!$C$2:$C$500=$A478),'03_Warehouse_Movements'!$E$2:$E$500),$C478))</f>
        <v/>
      </c>
      <c r="E478" t="inlineStr">
        <is>
          <t>STANDARD</t>
        </is>
      </c>
      <c r="G478" s="25" t="n"/>
      <c r="H478" s="24">
        <f>IF(AND($F478="TEMP",$G478&gt;0,$M478&lt;&gt;""),$M478+$G478,"")</f>
        <v/>
      </c>
      <c r="I478" s="22" t="n"/>
      <c r="J478" s="22" t="n"/>
      <c r="K478" s="24" t="n"/>
      <c r="M478" s="46">
        <f>IF($C478="","",IFERROR(LOOKUP(2,1/('03_Warehouse_Movements'!$C$2:$C$500=$A478),'03_Warehouse_Movements'!$A$2:$A$500),""))</f>
        <v/>
      </c>
      <c r="N478">
        <f>IF($C478="","",IFERROR(LOOKUP(2,1/('03_Warehouse_Movements'!$C$2:$C$500=$A478),'03_Warehouse_Movements'!$H$2:$H$500),""))</f>
        <v/>
      </c>
      <c r="O478">
        <f>A478</f>
        <v/>
      </c>
      <c r="Q478" s="25" t="n"/>
      <c r="R478" s="24" t="n"/>
      <c r="W478">
        <f>IF($A2="","",COUNTIF('07_Pallet_Contents'!$A$2:$A$3000,$A2))</f>
        <v/>
      </c>
      <c r="X478">
        <f>IF($A2="","",SUMIF('07_Pallet_Contents'!$A$2:$A$3000,$A2,'07_Pallet_Contents'!$D$2:$D$3000))</f>
        <v/>
      </c>
      <c r="Y478">
        <f>IF($A2="","",SUMIF('07_Pallet_Contents'!$A$2:$A$3000,$A2,'07_Pallet_Contents'!$I$2:$I$3000))</f>
        <v/>
      </c>
      <c r="Z478">
        <f>IF($A2="","",IF(COUNTIF('07_Pallet_Contents'!$A$2:$A$3000,$A2)&gt;0,"Yes",""))</f>
        <v/>
      </c>
    </row>
    <row r="479">
      <c r="A479" s="4" t="inlineStr">
        <is>
          <t>PAL-0000479</t>
        </is>
      </c>
      <c r="B479" s="22" t="n"/>
      <c r="D479">
        <f>IF($C479="","",IFERROR(LOOKUP(2,1/('03_Warehouse_Movements'!$C$2:$C$500=$A479),'03_Warehouse_Movements'!$E$2:$E$500),$C479))</f>
        <v/>
      </c>
      <c r="E479" t="inlineStr">
        <is>
          <t>STANDARD</t>
        </is>
      </c>
      <c r="G479" s="25" t="n"/>
      <c r="H479" s="24">
        <f>IF(AND($F479="TEMP",$G479&gt;0,$M479&lt;&gt;""),$M479+$G479,"")</f>
        <v/>
      </c>
      <c r="I479" s="22" t="n"/>
      <c r="J479" s="22" t="n"/>
      <c r="K479" s="24" t="n"/>
      <c r="M479" s="46">
        <f>IF($C479="","",IFERROR(LOOKUP(2,1/('03_Warehouse_Movements'!$C$2:$C$500=$A479),'03_Warehouse_Movements'!$A$2:$A$500),""))</f>
        <v/>
      </c>
      <c r="N479">
        <f>IF($C479="","",IFERROR(LOOKUP(2,1/('03_Warehouse_Movements'!$C$2:$C$500=$A479),'03_Warehouse_Movements'!$H$2:$H$500),""))</f>
        <v/>
      </c>
      <c r="O479">
        <f>A479</f>
        <v/>
      </c>
      <c r="Q479" s="25" t="n"/>
      <c r="R479" s="24" t="n"/>
      <c r="W479">
        <f>IF($A2="","",COUNTIF('07_Pallet_Contents'!$A$2:$A$3000,$A2))</f>
        <v/>
      </c>
      <c r="X479">
        <f>IF($A2="","",SUMIF('07_Pallet_Contents'!$A$2:$A$3000,$A2,'07_Pallet_Contents'!$D$2:$D$3000))</f>
        <v/>
      </c>
      <c r="Y479">
        <f>IF($A2="","",SUMIF('07_Pallet_Contents'!$A$2:$A$3000,$A2,'07_Pallet_Contents'!$I$2:$I$3000))</f>
        <v/>
      </c>
      <c r="Z479">
        <f>IF($A2="","",IF(COUNTIF('07_Pallet_Contents'!$A$2:$A$3000,$A2)&gt;0,"Yes",""))</f>
        <v/>
      </c>
    </row>
    <row r="480">
      <c r="A480" s="4" t="inlineStr">
        <is>
          <t>PAL-0000480</t>
        </is>
      </c>
      <c r="B480" s="22" t="n"/>
      <c r="D480">
        <f>IF($C480="","",IFERROR(LOOKUP(2,1/('03_Warehouse_Movements'!$C$2:$C$500=$A480),'03_Warehouse_Movements'!$E$2:$E$500),$C480))</f>
        <v/>
      </c>
      <c r="E480" t="inlineStr">
        <is>
          <t>STANDARD</t>
        </is>
      </c>
      <c r="G480" s="25" t="n"/>
      <c r="H480" s="24">
        <f>IF(AND($F480="TEMP",$G480&gt;0,$M480&lt;&gt;""),$M480+$G480,"")</f>
        <v/>
      </c>
      <c r="I480" s="22" t="n"/>
      <c r="J480" s="22" t="n"/>
      <c r="K480" s="24" t="n"/>
      <c r="M480" s="46">
        <f>IF($C480="","",IFERROR(LOOKUP(2,1/('03_Warehouse_Movements'!$C$2:$C$500=$A480),'03_Warehouse_Movements'!$A$2:$A$500),""))</f>
        <v/>
      </c>
      <c r="N480">
        <f>IF($C480="","",IFERROR(LOOKUP(2,1/('03_Warehouse_Movements'!$C$2:$C$500=$A480),'03_Warehouse_Movements'!$H$2:$H$500),""))</f>
        <v/>
      </c>
      <c r="O480">
        <f>A480</f>
        <v/>
      </c>
      <c r="Q480" s="25" t="n"/>
      <c r="R480" s="24" t="n"/>
      <c r="W480">
        <f>IF($A2="","",COUNTIF('07_Pallet_Contents'!$A$2:$A$3000,$A2))</f>
        <v/>
      </c>
      <c r="X480">
        <f>IF($A2="","",SUMIF('07_Pallet_Contents'!$A$2:$A$3000,$A2,'07_Pallet_Contents'!$D$2:$D$3000))</f>
        <v/>
      </c>
      <c r="Y480">
        <f>IF($A2="","",SUMIF('07_Pallet_Contents'!$A$2:$A$3000,$A2,'07_Pallet_Contents'!$I$2:$I$3000))</f>
        <v/>
      </c>
      <c r="Z480">
        <f>IF($A2="","",IF(COUNTIF('07_Pallet_Contents'!$A$2:$A$3000,$A2)&gt;0,"Yes",""))</f>
        <v/>
      </c>
    </row>
    <row r="481">
      <c r="A481" s="4" t="inlineStr">
        <is>
          <t>PAL-0000481</t>
        </is>
      </c>
      <c r="B481" s="22" t="n"/>
      <c r="D481">
        <f>IF($C481="","",IFERROR(LOOKUP(2,1/('03_Warehouse_Movements'!$C$2:$C$500=$A481),'03_Warehouse_Movements'!$E$2:$E$500),$C481))</f>
        <v/>
      </c>
      <c r="E481" t="inlineStr">
        <is>
          <t>STANDARD</t>
        </is>
      </c>
      <c r="G481" s="25" t="n"/>
      <c r="H481" s="24">
        <f>IF(AND($F481="TEMP",$G481&gt;0,$M481&lt;&gt;""),$M481+$G481,"")</f>
        <v/>
      </c>
      <c r="I481" s="22" t="n"/>
      <c r="J481" s="22" t="n"/>
      <c r="K481" s="24" t="n"/>
      <c r="M481" s="46">
        <f>IF($C481="","",IFERROR(LOOKUP(2,1/('03_Warehouse_Movements'!$C$2:$C$500=$A481),'03_Warehouse_Movements'!$A$2:$A$500),""))</f>
        <v/>
      </c>
      <c r="N481">
        <f>IF($C481="","",IFERROR(LOOKUP(2,1/('03_Warehouse_Movements'!$C$2:$C$500=$A481),'03_Warehouse_Movements'!$H$2:$H$500),""))</f>
        <v/>
      </c>
      <c r="O481">
        <f>A481</f>
        <v/>
      </c>
      <c r="Q481" s="25" t="n"/>
      <c r="R481" s="24" t="n"/>
      <c r="W481">
        <f>IF($A2="","",COUNTIF('07_Pallet_Contents'!$A$2:$A$3000,$A2))</f>
        <v/>
      </c>
      <c r="X481">
        <f>IF($A2="","",SUMIF('07_Pallet_Contents'!$A$2:$A$3000,$A2,'07_Pallet_Contents'!$D$2:$D$3000))</f>
        <v/>
      </c>
      <c r="Y481">
        <f>IF($A2="","",SUMIF('07_Pallet_Contents'!$A$2:$A$3000,$A2,'07_Pallet_Contents'!$I$2:$I$3000))</f>
        <v/>
      </c>
      <c r="Z481">
        <f>IF($A2="","",IF(COUNTIF('07_Pallet_Contents'!$A$2:$A$3000,$A2)&gt;0,"Yes",""))</f>
        <v/>
      </c>
    </row>
    <row r="482">
      <c r="A482" s="4" t="inlineStr">
        <is>
          <t>PAL-0000482</t>
        </is>
      </c>
      <c r="B482" s="22" t="n"/>
      <c r="D482">
        <f>IF($C482="","",IFERROR(LOOKUP(2,1/('03_Warehouse_Movements'!$C$2:$C$500=$A482),'03_Warehouse_Movements'!$E$2:$E$500),$C482))</f>
        <v/>
      </c>
      <c r="E482" t="inlineStr">
        <is>
          <t>STANDARD</t>
        </is>
      </c>
      <c r="G482" s="25" t="n"/>
      <c r="H482" s="24">
        <f>IF(AND($F482="TEMP",$G482&gt;0,$M482&lt;&gt;""),$M482+$G482,"")</f>
        <v/>
      </c>
      <c r="I482" s="22" t="n"/>
      <c r="J482" s="22" t="n"/>
      <c r="K482" s="24" t="n"/>
      <c r="M482" s="46">
        <f>IF($C482="","",IFERROR(LOOKUP(2,1/('03_Warehouse_Movements'!$C$2:$C$500=$A482),'03_Warehouse_Movements'!$A$2:$A$500),""))</f>
        <v/>
      </c>
      <c r="N482">
        <f>IF($C482="","",IFERROR(LOOKUP(2,1/('03_Warehouse_Movements'!$C$2:$C$500=$A482),'03_Warehouse_Movements'!$H$2:$H$500),""))</f>
        <v/>
      </c>
      <c r="O482">
        <f>A482</f>
        <v/>
      </c>
      <c r="Q482" s="25" t="n"/>
      <c r="R482" s="24" t="n"/>
      <c r="W482">
        <f>IF($A2="","",COUNTIF('07_Pallet_Contents'!$A$2:$A$3000,$A2))</f>
        <v/>
      </c>
      <c r="X482">
        <f>IF($A2="","",SUMIF('07_Pallet_Contents'!$A$2:$A$3000,$A2,'07_Pallet_Contents'!$D$2:$D$3000))</f>
        <v/>
      </c>
      <c r="Y482">
        <f>IF($A2="","",SUMIF('07_Pallet_Contents'!$A$2:$A$3000,$A2,'07_Pallet_Contents'!$I$2:$I$3000))</f>
        <v/>
      </c>
      <c r="Z482">
        <f>IF($A2="","",IF(COUNTIF('07_Pallet_Contents'!$A$2:$A$3000,$A2)&gt;0,"Yes",""))</f>
        <v/>
      </c>
    </row>
    <row r="483">
      <c r="A483" s="4" t="inlineStr">
        <is>
          <t>PAL-0000483</t>
        </is>
      </c>
      <c r="B483" s="22" t="n"/>
      <c r="D483">
        <f>IF($C483="","",IFERROR(LOOKUP(2,1/('03_Warehouse_Movements'!$C$2:$C$500=$A483),'03_Warehouse_Movements'!$E$2:$E$500),$C483))</f>
        <v/>
      </c>
      <c r="E483" t="inlineStr">
        <is>
          <t>STANDARD</t>
        </is>
      </c>
      <c r="G483" s="25" t="n"/>
      <c r="H483" s="24">
        <f>IF(AND($F483="TEMP",$G483&gt;0,$M483&lt;&gt;""),$M483+$G483,"")</f>
        <v/>
      </c>
      <c r="I483" s="22" t="n"/>
      <c r="J483" s="22" t="n"/>
      <c r="K483" s="24" t="n"/>
      <c r="M483" s="46">
        <f>IF($C483="","",IFERROR(LOOKUP(2,1/('03_Warehouse_Movements'!$C$2:$C$500=$A483),'03_Warehouse_Movements'!$A$2:$A$500),""))</f>
        <v/>
      </c>
      <c r="N483">
        <f>IF($C483="","",IFERROR(LOOKUP(2,1/('03_Warehouse_Movements'!$C$2:$C$500=$A483),'03_Warehouse_Movements'!$H$2:$H$500),""))</f>
        <v/>
      </c>
      <c r="O483">
        <f>A483</f>
        <v/>
      </c>
      <c r="Q483" s="25" t="n"/>
      <c r="R483" s="24" t="n"/>
      <c r="W483">
        <f>IF($A2="","",COUNTIF('07_Pallet_Contents'!$A$2:$A$3000,$A2))</f>
        <v/>
      </c>
      <c r="X483">
        <f>IF($A2="","",SUMIF('07_Pallet_Contents'!$A$2:$A$3000,$A2,'07_Pallet_Contents'!$D$2:$D$3000))</f>
        <v/>
      </c>
      <c r="Y483">
        <f>IF($A2="","",SUMIF('07_Pallet_Contents'!$A$2:$A$3000,$A2,'07_Pallet_Contents'!$I$2:$I$3000))</f>
        <v/>
      </c>
      <c r="Z483">
        <f>IF($A2="","",IF(COUNTIF('07_Pallet_Contents'!$A$2:$A$3000,$A2)&gt;0,"Yes",""))</f>
        <v/>
      </c>
    </row>
    <row r="484">
      <c r="A484" s="4" t="inlineStr">
        <is>
          <t>PAL-0000484</t>
        </is>
      </c>
      <c r="B484" s="22" t="n"/>
      <c r="D484">
        <f>IF($C484="","",IFERROR(LOOKUP(2,1/('03_Warehouse_Movements'!$C$2:$C$500=$A484),'03_Warehouse_Movements'!$E$2:$E$500),$C484))</f>
        <v/>
      </c>
      <c r="E484" t="inlineStr">
        <is>
          <t>STANDARD</t>
        </is>
      </c>
      <c r="G484" s="25" t="n"/>
      <c r="H484" s="24">
        <f>IF(AND($F484="TEMP",$G484&gt;0,$M484&lt;&gt;""),$M484+$G484,"")</f>
        <v/>
      </c>
      <c r="I484" s="22" t="n"/>
      <c r="J484" s="22" t="n"/>
      <c r="K484" s="24" t="n"/>
      <c r="M484" s="46">
        <f>IF($C484="","",IFERROR(LOOKUP(2,1/('03_Warehouse_Movements'!$C$2:$C$500=$A484),'03_Warehouse_Movements'!$A$2:$A$500),""))</f>
        <v/>
      </c>
      <c r="N484">
        <f>IF($C484="","",IFERROR(LOOKUP(2,1/('03_Warehouse_Movements'!$C$2:$C$500=$A484),'03_Warehouse_Movements'!$H$2:$H$500),""))</f>
        <v/>
      </c>
      <c r="O484">
        <f>A484</f>
        <v/>
      </c>
      <c r="Q484" s="25" t="n"/>
      <c r="R484" s="24" t="n"/>
      <c r="W484">
        <f>IF($A2="","",COUNTIF('07_Pallet_Contents'!$A$2:$A$3000,$A2))</f>
        <v/>
      </c>
      <c r="X484">
        <f>IF($A2="","",SUMIF('07_Pallet_Contents'!$A$2:$A$3000,$A2,'07_Pallet_Contents'!$D$2:$D$3000))</f>
        <v/>
      </c>
      <c r="Y484">
        <f>IF($A2="","",SUMIF('07_Pallet_Contents'!$A$2:$A$3000,$A2,'07_Pallet_Contents'!$I$2:$I$3000))</f>
        <v/>
      </c>
      <c r="Z484">
        <f>IF($A2="","",IF(COUNTIF('07_Pallet_Contents'!$A$2:$A$3000,$A2)&gt;0,"Yes",""))</f>
        <v/>
      </c>
    </row>
    <row r="485">
      <c r="A485" s="4" t="inlineStr">
        <is>
          <t>PAL-0000485</t>
        </is>
      </c>
      <c r="B485" s="22" t="n"/>
      <c r="D485">
        <f>IF($C485="","",IFERROR(LOOKUP(2,1/('03_Warehouse_Movements'!$C$2:$C$500=$A485),'03_Warehouse_Movements'!$E$2:$E$500),$C485))</f>
        <v/>
      </c>
      <c r="E485" t="inlineStr">
        <is>
          <t>STANDARD</t>
        </is>
      </c>
      <c r="G485" s="25" t="n"/>
      <c r="H485" s="24">
        <f>IF(AND($F485="TEMP",$G485&gt;0,$M485&lt;&gt;""),$M485+$G485,"")</f>
        <v/>
      </c>
      <c r="I485" s="22" t="n"/>
      <c r="J485" s="22" t="n"/>
      <c r="K485" s="24" t="n"/>
      <c r="M485" s="46">
        <f>IF($C485="","",IFERROR(LOOKUP(2,1/('03_Warehouse_Movements'!$C$2:$C$500=$A485),'03_Warehouse_Movements'!$A$2:$A$500),""))</f>
        <v/>
      </c>
      <c r="N485">
        <f>IF($C485="","",IFERROR(LOOKUP(2,1/('03_Warehouse_Movements'!$C$2:$C$500=$A485),'03_Warehouse_Movements'!$H$2:$H$500),""))</f>
        <v/>
      </c>
      <c r="O485">
        <f>A485</f>
        <v/>
      </c>
      <c r="Q485" s="25" t="n"/>
      <c r="R485" s="24" t="n"/>
      <c r="W485">
        <f>IF($A2="","",COUNTIF('07_Pallet_Contents'!$A$2:$A$3000,$A2))</f>
        <v/>
      </c>
      <c r="X485">
        <f>IF($A2="","",SUMIF('07_Pallet_Contents'!$A$2:$A$3000,$A2,'07_Pallet_Contents'!$D$2:$D$3000))</f>
        <v/>
      </c>
      <c r="Y485">
        <f>IF($A2="","",SUMIF('07_Pallet_Contents'!$A$2:$A$3000,$A2,'07_Pallet_Contents'!$I$2:$I$3000))</f>
        <v/>
      </c>
      <c r="Z485">
        <f>IF($A2="","",IF(COUNTIF('07_Pallet_Contents'!$A$2:$A$3000,$A2)&gt;0,"Yes",""))</f>
        <v/>
      </c>
    </row>
    <row r="486">
      <c r="A486" s="4" t="inlineStr">
        <is>
          <t>PAL-0000486</t>
        </is>
      </c>
      <c r="B486" s="22" t="n"/>
      <c r="D486">
        <f>IF($C486="","",IFERROR(LOOKUP(2,1/('03_Warehouse_Movements'!$C$2:$C$500=$A486),'03_Warehouse_Movements'!$E$2:$E$500),$C486))</f>
        <v/>
      </c>
      <c r="E486" t="inlineStr">
        <is>
          <t>STANDARD</t>
        </is>
      </c>
      <c r="G486" s="25" t="n"/>
      <c r="H486" s="24">
        <f>IF(AND($F486="TEMP",$G486&gt;0,$M486&lt;&gt;""),$M486+$G486,"")</f>
        <v/>
      </c>
      <c r="I486" s="22" t="n"/>
      <c r="J486" s="22" t="n"/>
      <c r="K486" s="24" t="n"/>
      <c r="M486" s="46">
        <f>IF($C486="","",IFERROR(LOOKUP(2,1/('03_Warehouse_Movements'!$C$2:$C$500=$A486),'03_Warehouse_Movements'!$A$2:$A$500),""))</f>
        <v/>
      </c>
      <c r="N486">
        <f>IF($C486="","",IFERROR(LOOKUP(2,1/('03_Warehouse_Movements'!$C$2:$C$500=$A486),'03_Warehouse_Movements'!$H$2:$H$500),""))</f>
        <v/>
      </c>
      <c r="O486">
        <f>A486</f>
        <v/>
      </c>
      <c r="Q486" s="25" t="n"/>
      <c r="R486" s="24" t="n"/>
      <c r="W486">
        <f>IF($A2="","",COUNTIF('07_Pallet_Contents'!$A$2:$A$3000,$A2))</f>
        <v/>
      </c>
      <c r="X486">
        <f>IF($A2="","",SUMIF('07_Pallet_Contents'!$A$2:$A$3000,$A2,'07_Pallet_Contents'!$D$2:$D$3000))</f>
        <v/>
      </c>
      <c r="Y486">
        <f>IF($A2="","",SUMIF('07_Pallet_Contents'!$A$2:$A$3000,$A2,'07_Pallet_Contents'!$I$2:$I$3000))</f>
        <v/>
      </c>
      <c r="Z486">
        <f>IF($A2="","",IF(COUNTIF('07_Pallet_Contents'!$A$2:$A$3000,$A2)&gt;0,"Yes",""))</f>
        <v/>
      </c>
    </row>
    <row r="487">
      <c r="A487" s="4" t="inlineStr">
        <is>
          <t>PAL-0000487</t>
        </is>
      </c>
      <c r="B487" s="22" t="n"/>
      <c r="D487">
        <f>IF($C487="","",IFERROR(LOOKUP(2,1/('03_Warehouse_Movements'!$C$2:$C$500=$A487),'03_Warehouse_Movements'!$E$2:$E$500),$C487))</f>
        <v/>
      </c>
      <c r="E487" t="inlineStr">
        <is>
          <t>STANDARD</t>
        </is>
      </c>
      <c r="G487" s="25" t="n"/>
      <c r="H487" s="24">
        <f>IF(AND($F487="TEMP",$G487&gt;0,$M487&lt;&gt;""),$M487+$G487,"")</f>
        <v/>
      </c>
      <c r="I487" s="22" t="n"/>
      <c r="J487" s="22" t="n"/>
      <c r="K487" s="24" t="n"/>
      <c r="M487" s="46">
        <f>IF($C487="","",IFERROR(LOOKUP(2,1/('03_Warehouse_Movements'!$C$2:$C$500=$A487),'03_Warehouse_Movements'!$A$2:$A$500),""))</f>
        <v/>
      </c>
      <c r="N487">
        <f>IF($C487="","",IFERROR(LOOKUP(2,1/('03_Warehouse_Movements'!$C$2:$C$500=$A487),'03_Warehouse_Movements'!$H$2:$H$500),""))</f>
        <v/>
      </c>
      <c r="O487">
        <f>A487</f>
        <v/>
      </c>
      <c r="Q487" s="25" t="n"/>
      <c r="R487" s="24" t="n"/>
      <c r="W487">
        <f>IF($A2="","",COUNTIF('07_Pallet_Contents'!$A$2:$A$3000,$A2))</f>
        <v/>
      </c>
      <c r="X487">
        <f>IF($A2="","",SUMIF('07_Pallet_Contents'!$A$2:$A$3000,$A2,'07_Pallet_Contents'!$D$2:$D$3000))</f>
        <v/>
      </c>
      <c r="Y487">
        <f>IF($A2="","",SUMIF('07_Pallet_Contents'!$A$2:$A$3000,$A2,'07_Pallet_Contents'!$I$2:$I$3000))</f>
        <v/>
      </c>
      <c r="Z487">
        <f>IF($A2="","",IF(COUNTIF('07_Pallet_Contents'!$A$2:$A$3000,$A2)&gt;0,"Yes",""))</f>
        <v/>
      </c>
    </row>
    <row r="488">
      <c r="A488" s="4" t="inlineStr">
        <is>
          <t>PAL-0000488</t>
        </is>
      </c>
      <c r="B488" s="22" t="n"/>
      <c r="D488">
        <f>IF($C488="","",IFERROR(LOOKUP(2,1/('03_Warehouse_Movements'!$C$2:$C$500=$A488),'03_Warehouse_Movements'!$E$2:$E$500),$C488))</f>
        <v/>
      </c>
      <c r="E488" t="inlineStr">
        <is>
          <t>STANDARD</t>
        </is>
      </c>
      <c r="G488" s="25" t="n"/>
      <c r="H488" s="24">
        <f>IF(AND($F488="TEMP",$G488&gt;0,$M488&lt;&gt;""),$M488+$G488,"")</f>
        <v/>
      </c>
      <c r="I488" s="22" t="n"/>
      <c r="J488" s="22" t="n"/>
      <c r="K488" s="24" t="n"/>
      <c r="M488" s="46">
        <f>IF($C488="","",IFERROR(LOOKUP(2,1/('03_Warehouse_Movements'!$C$2:$C$500=$A488),'03_Warehouse_Movements'!$A$2:$A$500),""))</f>
        <v/>
      </c>
      <c r="N488">
        <f>IF($C488="","",IFERROR(LOOKUP(2,1/('03_Warehouse_Movements'!$C$2:$C$500=$A488),'03_Warehouse_Movements'!$H$2:$H$500),""))</f>
        <v/>
      </c>
      <c r="O488">
        <f>A488</f>
        <v/>
      </c>
      <c r="Q488" s="25" t="n"/>
      <c r="R488" s="24" t="n"/>
      <c r="W488">
        <f>IF($A2="","",COUNTIF('07_Pallet_Contents'!$A$2:$A$3000,$A2))</f>
        <v/>
      </c>
      <c r="X488">
        <f>IF($A2="","",SUMIF('07_Pallet_Contents'!$A$2:$A$3000,$A2,'07_Pallet_Contents'!$D$2:$D$3000))</f>
        <v/>
      </c>
      <c r="Y488">
        <f>IF($A2="","",SUMIF('07_Pallet_Contents'!$A$2:$A$3000,$A2,'07_Pallet_Contents'!$I$2:$I$3000))</f>
        <v/>
      </c>
      <c r="Z488">
        <f>IF($A2="","",IF(COUNTIF('07_Pallet_Contents'!$A$2:$A$3000,$A2)&gt;0,"Yes",""))</f>
        <v/>
      </c>
    </row>
    <row r="489">
      <c r="A489" s="4" t="inlineStr">
        <is>
          <t>PAL-0000489</t>
        </is>
      </c>
      <c r="B489" s="22" t="n"/>
      <c r="D489">
        <f>IF($C489="","",IFERROR(LOOKUP(2,1/('03_Warehouse_Movements'!$C$2:$C$500=$A489),'03_Warehouse_Movements'!$E$2:$E$500),$C489))</f>
        <v/>
      </c>
      <c r="E489" t="inlineStr">
        <is>
          <t>STANDARD</t>
        </is>
      </c>
      <c r="G489" s="25" t="n"/>
      <c r="H489" s="24">
        <f>IF(AND($F489="TEMP",$G489&gt;0,$M489&lt;&gt;""),$M489+$G489,"")</f>
        <v/>
      </c>
      <c r="I489" s="22" t="n"/>
      <c r="J489" s="22" t="n"/>
      <c r="K489" s="24" t="n"/>
      <c r="M489" s="46">
        <f>IF($C489="","",IFERROR(LOOKUP(2,1/('03_Warehouse_Movements'!$C$2:$C$500=$A489),'03_Warehouse_Movements'!$A$2:$A$500),""))</f>
        <v/>
      </c>
      <c r="N489">
        <f>IF($C489="","",IFERROR(LOOKUP(2,1/('03_Warehouse_Movements'!$C$2:$C$500=$A489),'03_Warehouse_Movements'!$H$2:$H$500),""))</f>
        <v/>
      </c>
      <c r="O489">
        <f>A489</f>
        <v/>
      </c>
      <c r="Q489" s="25" t="n"/>
      <c r="R489" s="24" t="n"/>
      <c r="W489">
        <f>IF($A2="","",COUNTIF('07_Pallet_Contents'!$A$2:$A$3000,$A2))</f>
        <v/>
      </c>
      <c r="X489">
        <f>IF($A2="","",SUMIF('07_Pallet_Contents'!$A$2:$A$3000,$A2,'07_Pallet_Contents'!$D$2:$D$3000))</f>
        <v/>
      </c>
      <c r="Y489">
        <f>IF($A2="","",SUMIF('07_Pallet_Contents'!$A$2:$A$3000,$A2,'07_Pallet_Contents'!$I$2:$I$3000))</f>
        <v/>
      </c>
      <c r="Z489">
        <f>IF($A2="","",IF(COUNTIF('07_Pallet_Contents'!$A$2:$A$3000,$A2)&gt;0,"Yes",""))</f>
        <v/>
      </c>
    </row>
    <row r="490">
      <c r="A490" s="4" t="inlineStr">
        <is>
          <t>PAL-0000490</t>
        </is>
      </c>
      <c r="B490" s="22" t="n"/>
      <c r="D490">
        <f>IF($C490="","",IFERROR(LOOKUP(2,1/('03_Warehouse_Movements'!$C$2:$C$500=$A490),'03_Warehouse_Movements'!$E$2:$E$500),$C490))</f>
        <v/>
      </c>
      <c r="E490" t="inlineStr">
        <is>
          <t>STANDARD</t>
        </is>
      </c>
      <c r="G490" s="25" t="n"/>
      <c r="H490" s="24">
        <f>IF(AND($F490="TEMP",$G490&gt;0,$M490&lt;&gt;""),$M490+$G490,"")</f>
        <v/>
      </c>
      <c r="I490" s="22" t="n"/>
      <c r="J490" s="22" t="n"/>
      <c r="K490" s="24" t="n"/>
      <c r="M490" s="46">
        <f>IF($C490="","",IFERROR(LOOKUP(2,1/('03_Warehouse_Movements'!$C$2:$C$500=$A490),'03_Warehouse_Movements'!$A$2:$A$500),""))</f>
        <v/>
      </c>
      <c r="N490">
        <f>IF($C490="","",IFERROR(LOOKUP(2,1/('03_Warehouse_Movements'!$C$2:$C$500=$A490),'03_Warehouse_Movements'!$H$2:$H$500),""))</f>
        <v/>
      </c>
      <c r="O490">
        <f>A490</f>
        <v/>
      </c>
      <c r="Q490" s="25" t="n"/>
      <c r="R490" s="24" t="n"/>
      <c r="W490">
        <f>IF($A2="","",COUNTIF('07_Pallet_Contents'!$A$2:$A$3000,$A2))</f>
        <v/>
      </c>
      <c r="X490">
        <f>IF($A2="","",SUMIF('07_Pallet_Contents'!$A$2:$A$3000,$A2,'07_Pallet_Contents'!$D$2:$D$3000))</f>
        <v/>
      </c>
      <c r="Y490">
        <f>IF($A2="","",SUMIF('07_Pallet_Contents'!$A$2:$A$3000,$A2,'07_Pallet_Contents'!$I$2:$I$3000))</f>
        <v/>
      </c>
      <c r="Z490">
        <f>IF($A2="","",IF(COUNTIF('07_Pallet_Contents'!$A$2:$A$3000,$A2)&gt;0,"Yes",""))</f>
        <v/>
      </c>
    </row>
    <row r="491">
      <c r="A491" s="4" t="inlineStr">
        <is>
          <t>PAL-0000491</t>
        </is>
      </c>
      <c r="B491" s="22" t="n"/>
      <c r="D491">
        <f>IF($C491="","",IFERROR(LOOKUP(2,1/('03_Warehouse_Movements'!$C$2:$C$500=$A491),'03_Warehouse_Movements'!$E$2:$E$500),$C491))</f>
        <v/>
      </c>
      <c r="E491" t="inlineStr">
        <is>
          <t>STANDARD</t>
        </is>
      </c>
      <c r="G491" s="25" t="n"/>
      <c r="H491" s="24">
        <f>IF(AND($F491="TEMP",$G491&gt;0,$M491&lt;&gt;""),$M491+$G491,"")</f>
        <v/>
      </c>
      <c r="I491" s="22" t="n"/>
      <c r="J491" s="22" t="n"/>
      <c r="K491" s="24" t="n"/>
      <c r="M491" s="46">
        <f>IF($C491="","",IFERROR(LOOKUP(2,1/('03_Warehouse_Movements'!$C$2:$C$500=$A491),'03_Warehouse_Movements'!$A$2:$A$500),""))</f>
        <v/>
      </c>
      <c r="N491">
        <f>IF($C491="","",IFERROR(LOOKUP(2,1/('03_Warehouse_Movements'!$C$2:$C$500=$A491),'03_Warehouse_Movements'!$H$2:$H$500),""))</f>
        <v/>
      </c>
      <c r="O491">
        <f>A491</f>
        <v/>
      </c>
      <c r="Q491" s="25" t="n"/>
      <c r="R491" s="24" t="n"/>
      <c r="W491">
        <f>IF($A2="","",COUNTIF('07_Pallet_Contents'!$A$2:$A$3000,$A2))</f>
        <v/>
      </c>
      <c r="X491">
        <f>IF($A2="","",SUMIF('07_Pallet_Contents'!$A$2:$A$3000,$A2,'07_Pallet_Contents'!$D$2:$D$3000))</f>
        <v/>
      </c>
      <c r="Y491">
        <f>IF($A2="","",SUMIF('07_Pallet_Contents'!$A$2:$A$3000,$A2,'07_Pallet_Contents'!$I$2:$I$3000))</f>
        <v/>
      </c>
      <c r="Z491">
        <f>IF($A2="","",IF(COUNTIF('07_Pallet_Contents'!$A$2:$A$3000,$A2)&gt;0,"Yes",""))</f>
        <v/>
      </c>
    </row>
    <row r="492">
      <c r="A492" s="4" t="inlineStr">
        <is>
          <t>PAL-0000492</t>
        </is>
      </c>
      <c r="B492" s="22" t="n"/>
      <c r="D492">
        <f>IF($C492="","",IFERROR(LOOKUP(2,1/('03_Warehouse_Movements'!$C$2:$C$500=$A492),'03_Warehouse_Movements'!$E$2:$E$500),$C492))</f>
        <v/>
      </c>
      <c r="E492" t="inlineStr">
        <is>
          <t>STANDARD</t>
        </is>
      </c>
      <c r="G492" s="25" t="n"/>
      <c r="H492" s="24">
        <f>IF(AND($F492="TEMP",$G492&gt;0,$M492&lt;&gt;""),$M492+$G492,"")</f>
        <v/>
      </c>
      <c r="I492" s="22" t="n"/>
      <c r="J492" s="22" t="n"/>
      <c r="K492" s="24" t="n"/>
      <c r="M492" s="46">
        <f>IF($C492="","",IFERROR(LOOKUP(2,1/('03_Warehouse_Movements'!$C$2:$C$500=$A492),'03_Warehouse_Movements'!$A$2:$A$500),""))</f>
        <v/>
      </c>
      <c r="N492">
        <f>IF($C492="","",IFERROR(LOOKUP(2,1/('03_Warehouse_Movements'!$C$2:$C$500=$A492),'03_Warehouse_Movements'!$H$2:$H$500),""))</f>
        <v/>
      </c>
      <c r="O492">
        <f>A492</f>
        <v/>
      </c>
      <c r="Q492" s="25" t="n"/>
      <c r="R492" s="24" t="n"/>
      <c r="W492">
        <f>IF($A2="","",COUNTIF('07_Pallet_Contents'!$A$2:$A$3000,$A2))</f>
        <v/>
      </c>
      <c r="X492">
        <f>IF($A2="","",SUMIF('07_Pallet_Contents'!$A$2:$A$3000,$A2,'07_Pallet_Contents'!$D$2:$D$3000))</f>
        <v/>
      </c>
      <c r="Y492">
        <f>IF($A2="","",SUMIF('07_Pallet_Contents'!$A$2:$A$3000,$A2,'07_Pallet_Contents'!$I$2:$I$3000))</f>
        <v/>
      </c>
      <c r="Z492">
        <f>IF($A2="","",IF(COUNTIF('07_Pallet_Contents'!$A$2:$A$3000,$A2)&gt;0,"Yes",""))</f>
        <v/>
      </c>
    </row>
    <row r="493">
      <c r="A493" s="4" t="inlineStr">
        <is>
          <t>PAL-0000493</t>
        </is>
      </c>
      <c r="B493" s="22" t="n"/>
      <c r="D493">
        <f>IF($C493="","",IFERROR(LOOKUP(2,1/('03_Warehouse_Movements'!$C$2:$C$500=$A493),'03_Warehouse_Movements'!$E$2:$E$500),$C493))</f>
        <v/>
      </c>
      <c r="E493" t="inlineStr">
        <is>
          <t>STANDARD</t>
        </is>
      </c>
      <c r="G493" s="25" t="n"/>
      <c r="H493" s="24">
        <f>IF(AND($F493="TEMP",$G493&gt;0,$M493&lt;&gt;""),$M493+$G493,"")</f>
        <v/>
      </c>
      <c r="I493" s="22" t="n"/>
      <c r="J493" s="22" t="n"/>
      <c r="K493" s="24" t="n"/>
      <c r="M493" s="46">
        <f>IF($C493="","",IFERROR(LOOKUP(2,1/('03_Warehouse_Movements'!$C$2:$C$500=$A493),'03_Warehouse_Movements'!$A$2:$A$500),""))</f>
        <v/>
      </c>
      <c r="N493">
        <f>IF($C493="","",IFERROR(LOOKUP(2,1/('03_Warehouse_Movements'!$C$2:$C$500=$A493),'03_Warehouse_Movements'!$H$2:$H$500),""))</f>
        <v/>
      </c>
      <c r="O493">
        <f>A493</f>
        <v/>
      </c>
      <c r="Q493" s="25" t="n"/>
      <c r="R493" s="24" t="n"/>
      <c r="W493">
        <f>IF($A2="","",COUNTIF('07_Pallet_Contents'!$A$2:$A$3000,$A2))</f>
        <v/>
      </c>
      <c r="X493">
        <f>IF($A2="","",SUMIF('07_Pallet_Contents'!$A$2:$A$3000,$A2,'07_Pallet_Contents'!$D$2:$D$3000))</f>
        <v/>
      </c>
      <c r="Y493">
        <f>IF($A2="","",SUMIF('07_Pallet_Contents'!$A$2:$A$3000,$A2,'07_Pallet_Contents'!$I$2:$I$3000))</f>
        <v/>
      </c>
      <c r="Z493">
        <f>IF($A2="","",IF(COUNTIF('07_Pallet_Contents'!$A$2:$A$3000,$A2)&gt;0,"Yes",""))</f>
        <v/>
      </c>
    </row>
    <row r="494">
      <c r="A494" s="4" t="inlineStr">
        <is>
          <t>PAL-0000494</t>
        </is>
      </c>
      <c r="B494" s="22" t="n"/>
      <c r="D494">
        <f>IF($C494="","",IFERROR(LOOKUP(2,1/('03_Warehouse_Movements'!$C$2:$C$500=$A494),'03_Warehouse_Movements'!$E$2:$E$500),$C494))</f>
        <v/>
      </c>
      <c r="E494" t="inlineStr">
        <is>
          <t>STANDARD</t>
        </is>
      </c>
      <c r="G494" s="25" t="n"/>
      <c r="H494" s="24">
        <f>IF(AND($F494="TEMP",$G494&gt;0,$M494&lt;&gt;""),$M494+$G494,"")</f>
        <v/>
      </c>
      <c r="I494" s="22" t="n"/>
      <c r="J494" s="22" t="n"/>
      <c r="K494" s="24" t="n"/>
      <c r="M494" s="46">
        <f>IF($C494="","",IFERROR(LOOKUP(2,1/('03_Warehouse_Movements'!$C$2:$C$500=$A494),'03_Warehouse_Movements'!$A$2:$A$500),""))</f>
        <v/>
      </c>
      <c r="N494">
        <f>IF($C494="","",IFERROR(LOOKUP(2,1/('03_Warehouse_Movements'!$C$2:$C$500=$A494),'03_Warehouse_Movements'!$H$2:$H$500),""))</f>
        <v/>
      </c>
      <c r="O494">
        <f>A494</f>
        <v/>
      </c>
      <c r="Q494" s="25" t="n"/>
      <c r="R494" s="24" t="n"/>
      <c r="W494">
        <f>IF($A2="","",COUNTIF('07_Pallet_Contents'!$A$2:$A$3000,$A2))</f>
        <v/>
      </c>
      <c r="X494">
        <f>IF($A2="","",SUMIF('07_Pallet_Contents'!$A$2:$A$3000,$A2,'07_Pallet_Contents'!$D$2:$D$3000))</f>
        <v/>
      </c>
      <c r="Y494">
        <f>IF($A2="","",SUMIF('07_Pallet_Contents'!$A$2:$A$3000,$A2,'07_Pallet_Contents'!$I$2:$I$3000))</f>
        <v/>
      </c>
      <c r="Z494">
        <f>IF($A2="","",IF(COUNTIF('07_Pallet_Contents'!$A$2:$A$3000,$A2)&gt;0,"Yes",""))</f>
        <v/>
      </c>
    </row>
    <row r="495">
      <c r="A495" s="4" t="inlineStr">
        <is>
          <t>PAL-0000495</t>
        </is>
      </c>
      <c r="B495" s="22" t="n"/>
      <c r="D495">
        <f>IF($C495="","",IFERROR(LOOKUP(2,1/('03_Warehouse_Movements'!$C$2:$C$500=$A495),'03_Warehouse_Movements'!$E$2:$E$500),$C495))</f>
        <v/>
      </c>
      <c r="E495" t="inlineStr">
        <is>
          <t>STANDARD</t>
        </is>
      </c>
      <c r="G495" s="25" t="n"/>
      <c r="H495" s="24">
        <f>IF(AND($F495="TEMP",$G495&gt;0,$M495&lt;&gt;""),$M495+$G495,"")</f>
        <v/>
      </c>
      <c r="I495" s="22" t="n"/>
      <c r="J495" s="22" t="n"/>
      <c r="K495" s="24" t="n"/>
      <c r="M495" s="46">
        <f>IF($C495="","",IFERROR(LOOKUP(2,1/('03_Warehouse_Movements'!$C$2:$C$500=$A495),'03_Warehouse_Movements'!$A$2:$A$500),""))</f>
        <v/>
      </c>
      <c r="N495">
        <f>IF($C495="","",IFERROR(LOOKUP(2,1/('03_Warehouse_Movements'!$C$2:$C$500=$A495),'03_Warehouse_Movements'!$H$2:$H$500),""))</f>
        <v/>
      </c>
      <c r="O495">
        <f>A495</f>
        <v/>
      </c>
      <c r="Q495" s="25" t="n"/>
      <c r="R495" s="24" t="n"/>
      <c r="W495">
        <f>IF($A2="","",COUNTIF('07_Pallet_Contents'!$A$2:$A$3000,$A2))</f>
        <v/>
      </c>
      <c r="X495">
        <f>IF($A2="","",SUMIF('07_Pallet_Contents'!$A$2:$A$3000,$A2,'07_Pallet_Contents'!$D$2:$D$3000))</f>
        <v/>
      </c>
      <c r="Y495">
        <f>IF($A2="","",SUMIF('07_Pallet_Contents'!$A$2:$A$3000,$A2,'07_Pallet_Contents'!$I$2:$I$3000))</f>
        <v/>
      </c>
      <c r="Z495">
        <f>IF($A2="","",IF(COUNTIF('07_Pallet_Contents'!$A$2:$A$3000,$A2)&gt;0,"Yes",""))</f>
        <v/>
      </c>
    </row>
    <row r="496">
      <c r="A496" s="4" t="inlineStr">
        <is>
          <t>PAL-0000496</t>
        </is>
      </c>
      <c r="B496" s="22" t="n"/>
      <c r="D496">
        <f>IF($C496="","",IFERROR(LOOKUP(2,1/('03_Warehouse_Movements'!$C$2:$C$500=$A496),'03_Warehouse_Movements'!$E$2:$E$500),$C496))</f>
        <v/>
      </c>
      <c r="E496" t="inlineStr">
        <is>
          <t>STANDARD</t>
        </is>
      </c>
      <c r="G496" s="25" t="n"/>
      <c r="H496" s="24">
        <f>IF(AND($F496="TEMP",$G496&gt;0,$M496&lt;&gt;""),$M496+$G496,"")</f>
        <v/>
      </c>
      <c r="I496" s="22" t="n"/>
      <c r="J496" s="22" t="n"/>
      <c r="K496" s="24" t="n"/>
      <c r="M496" s="46">
        <f>IF($C496="","",IFERROR(LOOKUP(2,1/('03_Warehouse_Movements'!$C$2:$C$500=$A496),'03_Warehouse_Movements'!$A$2:$A$500),""))</f>
        <v/>
      </c>
      <c r="N496">
        <f>IF($C496="","",IFERROR(LOOKUP(2,1/('03_Warehouse_Movements'!$C$2:$C$500=$A496),'03_Warehouse_Movements'!$H$2:$H$500),""))</f>
        <v/>
      </c>
      <c r="O496">
        <f>A496</f>
        <v/>
      </c>
      <c r="Q496" s="25" t="n"/>
      <c r="R496" s="24" t="n"/>
      <c r="W496">
        <f>IF($A2="","",COUNTIF('07_Pallet_Contents'!$A$2:$A$3000,$A2))</f>
        <v/>
      </c>
      <c r="X496">
        <f>IF($A2="","",SUMIF('07_Pallet_Contents'!$A$2:$A$3000,$A2,'07_Pallet_Contents'!$D$2:$D$3000))</f>
        <v/>
      </c>
      <c r="Y496">
        <f>IF($A2="","",SUMIF('07_Pallet_Contents'!$A$2:$A$3000,$A2,'07_Pallet_Contents'!$I$2:$I$3000))</f>
        <v/>
      </c>
      <c r="Z496">
        <f>IF($A2="","",IF(COUNTIF('07_Pallet_Contents'!$A$2:$A$3000,$A2)&gt;0,"Yes",""))</f>
        <v/>
      </c>
    </row>
    <row r="497">
      <c r="A497" s="4" t="inlineStr">
        <is>
          <t>PAL-0000497</t>
        </is>
      </c>
      <c r="B497" s="22" t="n"/>
      <c r="D497">
        <f>IF($C497="","",IFERROR(LOOKUP(2,1/('03_Warehouse_Movements'!$C$2:$C$500=$A497),'03_Warehouse_Movements'!$E$2:$E$500),$C497))</f>
        <v/>
      </c>
      <c r="E497" t="inlineStr">
        <is>
          <t>STANDARD</t>
        </is>
      </c>
      <c r="G497" s="25" t="n"/>
      <c r="H497" s="24">
        <f>IF(AND($F497="TEMP",$G497&gt;0,$M497&lt;&gt;""),$M497+$G497,"")</f>
        <v/>
      </c>
      <c r="I497" s="22" t="n"/>
      <c r="J497" s="22" t="n"/>
      <c r="K497" s="24" t="n"/>
      <c r="M497" s="46">
        <f>IF($C497="","",IFERROR(LOOKUP(2,1/('03_Warehouse_Movements'!$C$2:$C$500=$A497),'03_Warehouse_Movements'!$A$2:$A$500),""))</f>
        <v/>
      </c>
      <c r="N497">
        <f>IF($C497="","",IFERROR(LOOKUP(2,1/('03_Warehouse_Movements'!$C$2:$C$500=$A497),'03_Warehouse_Movements'!$H$2:$H$500),""))</f>
        <v/>
      </c>
      <c r="O497">
        <f>A497</f>
        <v/>
      </c>
      <c r="Q497" s="25" t="n"/>
      <c r="R497" s="24" t="n"/>
      <c r="W497">
        <f>IF($A2="","",COUNTIF('07_Pallet_Contents'!$A$2:$A$3000,$A2))</f>
        <v/>
      </c>
      <c r="X497">
        <f>IF($A2="","",SUMIF('07_Pallet_Contents'!$A$2:$A$3000,$A2,'07_Pallet_Contents'!$D$2:$D$3000))</f>
        <v/>
      </c>
      <c r="Y497">
        <f>IF($A2="","",SUMIF('07_Pallet_Contents'!$A$2:$A$3000,$A2,'07_Pallet_Contents'!$I$2:$I$3000))</f>
        <v/>
      </c>
      <c r="Z497">
        <f>IF($A2="","",IF(COUNTIF('07_Pallet_Contents'!$A$2:$A$3000,$A2)&gt;0,"Yes",""))</f>
        <v/>
      </c>
    </row>
    <row r="498">
      <c r="A498" s="4" t="inlineStr">
        <is>
          <t>PAL-0000498</t>
        </is>
      </c>
      <c r="B498" s="22" t="n"/>
      <c r="D498">
        <f>IF($C498="","",IFERROR(LOOKUP(2,1/('03_Warehouse_Movements'!$C$2:$C$500=$A498),'03_Warehouse_Movements'!$E$2:$E$500),$C498))</f>
        <v/>
      </c>
      <c r="E498" t="inlineStr">
        <is>
          <t>STANDARD</t>
        </is>
      </c>
      <c r="G498" s="25" t="n"/>
      <c r="H498" s="24">
        <f>IF(AND($F498="TEMP",$G498&gt;0,$M498&lt;&gt;""),$M498+$G498,"")</f>
        <v/>
      </c>
      <c r="I498" s="22" t="n"/>
      <c r="J498" s="22" t="n"/>
      <c r="K498" s="24" t="n"/>
      <c r="M498" s="46">
        <f>IF($C498="","",IFERROR(LOOKUP(2,1/('03_Warehouse_Movements'!$C$2:$C$500=$A498),'03_Warehouse_Movements'!$A$2:$A$500),""))</f>
        <v/>
      </c>
      <c r="N498">
        <f>IF($C498="","",IFERROR(LOOKUP(2,1/('03_Warehouse_Movements'!$C$2:$C$500=$A498),'03_Warehouse_Movements'!$H$2:$H$500),""))</f>
        <v/>
      </c>
      <c r="O498">
        <f>A498</f>
        <v/>
      </c>
      <c r="Q498" s="25" t="n"/>
      <c r="R498" s="24" t="n"/>
      <c r="W498">
        <f>IF($A2="","",COUNTIF('07_Pallet_Contents'!$A$2:$A$3000,$A2))</f>
        <v/>
      </c>
      <c r="X498">
        <f>IF($A2="","",SUMIF('07_Pallet_Contents'!$A$2:$A$3000,$A2,'07_Pallet_Contents'!$D$2:$D$3000))</f>
        <v/>
      </c>
      <c r="Y498">
        <f>IF($A2="","",SUMIF('07_Pallet_Contents'!$A$2:$A$3000,$A2,'07_Pallet_Contents'!$I$2:$I$3000))</f>
        <v/>
      </c>
      <c r="Z498">
        <f>IF($A2="","",IF(COUNTIF('07_Pallet_Contents'!$A$2:$A$3000,$A2)&gt;0,"Yes",""))</f>
        <v/>
      </c>
    </row>
    <row r="499">
      <c r="A499" s="4" t="inlineStr">
        <is>
          <t>PAL-0000499</t>
        </is>
      </c>
      <c r="B499" s="22" t="n"/>
      <c r="D499">
        <f>IF($C499="","",IFERROR(LOOKUP(2,1/('03_Warehouse_Movements'!$C$2:$C$500=$A499),'03_Warehouse_Movements'!$E$2:$E$500),$C499))</f>
        <v/>
      </c>
      <c r="E499" t="inlineStr">
        <is>
          <t>STANDARD</t>
        </is>
      </c>
      <c r="G499" s="25" t="n"/>
      <c r="H499" s="24">
        <f>IF(AND($F499="TEMP",$G499&gt;0,$M499&lt;&gt;""),$M499+$G499,"")</f>
        <v/>
      </c>
      <c r="I499" s="22" t="n"/>
      <c r="J499" s="22" t="n"/>
      <c r="K499" s="24" t="n"/>
      <c r="M499" s="46">
        <f>IF($C499="","",IFERROR(LOOKUP(2,1/('03_Warehouse_Movements'!$C$2:$C$500=$A499),'03_Warehouse_Movements'!$A$2:$A$500),""))</f>
        <v/>
      </c>
      <c r="N499">
        <f>IF($C499="","",IFERROR(LOOKUP(2,1/('03_Warehouse_Movements'!$C$2:$C$500=$A499),'03_Warehouse_Movements'!$H$2:$H$500),""))</f>
        <v/>
      </c>
      <c r="O499">
        <f>A499</f>
        <v/>
      </c>
      <c r="Q499" s="25" t="n"/>
      <c r="R499" s="24" t="n"/>
      <c r="W499">
        <f>IF($A2="","",COUNTIF('07_Pallet_Contents'!$A$2:$A$3000,$A2))</f>
        <v/>
      </c>
      <c r="X499">
        <f>IF($A2="","",SUMIF('07_Pallet_Contents'!$A$2:$A$3000,$A2,'07_Pallet_Contents'!$D$2:$D$3000))</f>
        <v/>
      </c>
      <c r="Y499">
        <f>IF($A2="","",SUMIF('07_Pallet_Contents'!$A$2:$A$3000,$A2,'07_Pallet_Contents'!$I$2:$I$3000))</f>
        <v/>
      </c>
      <c r="Z499">
        <f>IF($A2="","",IF(COUNTIF('07_Pallet_Contents'!$A$2:$A$3000,$A2)&gt;0,"Yes",""))</f>
        <v/>
      </c>
    </row>
    <row r="500">
      <c r="A500" s="4" t="inlineStr">
        <is>
          <t>PAL-0000500</t>
        </is>
      </c>
      <c r="B500" s="22" t="n"/>
      <c r="D500">
        <f>IF($C500="","",IFERROR(LOOKUP(2,1/('03_Warehouse_Movements'!$C$2:$C$500=$A500),'03_Warehouse_Movements'!$E$2:$E$500),$C500))</f>
        <v/>
      </c>
      <c r="E500" t="inlineStr">
        <is>
          <t>STANDARD</t>
        </is>
      </c>
      <c r="G500" s="25" t="n"/>
      <c r="H500" s="24">
        <f>IF(AND($F500="TEMP",$G500&gt;0,$M500&lt;&gt;""),$M500+$G500,"")</f>
        <v/>
      </c>
      <c r="I500" s="22" t="n"/>
      <c r="J500" s="22" t="n"/>
      <c r="K500" s="24" t="n"/>
      <c r="M500" s="46">
        <f>IF($C500="","",IFERROR(LOOKUP(2,1/('03_Warehouse_Movements'!$C$2:$C$500=$A500),'03_Warehouse_Movements'!$A$2:$A$500),""))</f>
        <v/>
      </c>
      <c r="N500">
        <f>IF($C500="","",IFERROR(LOOKUP(2,1/('03_Warehouse_Movements'!$C$2:$C$500=$A500),'03_Warehouse_Movements'!$H$2:$H$500),""))</f>
        <v/>
      </c>
      <c r="O500">
        <f>A500</f>
        <v/>
      </c>
      <c r="Q500" s="25" t="n"/>
      <c r="R500" s="24" t="n"/>
      <c r="W500">
        <f>IF($A2="","",COUNTIF('07_Pallet_Contents'!$A$2:$A$3000,$A2))</f>
        <v/>
      </c>
      <c r="X500">
        <f>IF($A2="","",SUMIF('07_Pallet_Contents'!$A$2:$A$3000,$A2,'07_Pallet_Contents'!$D$2:$D$3000))</f>
        <v/>
      </c>
      <c r="Y500">
        <f>IF($A2="","",SUMIF('07_Pallet_Contents'!$A$2:$A$3000,$A2,'07_Pallet_Contents'!$I$2:$I$3000))</f>
        <v/>
      </c>
      <c r="Z500">
        <f>IF($A2="","",IF(COUNTIF('07_Pallet_Contents'!$A$2:$A$3000,$A2)&gt;0,"Yes",""))</f>
        <v/>
      </c>
    </row>
    <row r="501">
      <c r="A501" s="4" t="inlineStr">
        <is>
          <t>end</t>
        </is>
      </c>
      <c r="B501" s="22" t="n"/>
      <c r="G501" s="25" t="n"/>
      <c r="H501" s="24">
        <f>IF(AND($F501="TEMP",$G501&gt;0,$M501&lt;&gt;""),$M501+$G501,"")</f>
        <v/>
      </c>
      <c r="I501" s="22" t="n"/>
      <c r="J501" s="22" t="n"/>
      <c r="K501" s="24" t="n"/>
      <c r="W501">
        <f>IF($A2="","",COUNTIF('07_Pallet_Contents'!$A$2:$A$3000,$A2))</f>
        <v/>
      </c>
      <c r="X501">
        <f>IF($A2="","",SUMIF('07_Pallet_Contents'!$A$2:$A$3000,$A2,'07_Pallet_Contents'!$D$2:$D$3000))</f>
        <v/>
      </c>
      <c r="Y501">
        <f>IF($A2="","",SUMIF('07_Pallet_Contents'!$A$2:$A$3000,$A2,'07_Pallet_Contents'!$I$2:$I$3000))</f>
        <v/>
      </c>
      <c r="Z501">
        <f>IF($A2="","",IF(COUNTIF('07_Pallet_Contents'!$A$2:$A$3000,$A2)&gt;0,"Yes",""))</f>
        <v/>
      </c>
    </row>
    <row r="502">
      <c r="A502" t="inlineStr">
        <is>
          <t>END</t>
        </is>
      </c>
      <c r="B502" s="22" t="n"/>
      <c r="G502" s="25" t="n"/>
      <c r="H502" s="24">
        <f>IF(AND($F502="TEMP",$G502&gt;0,$M502&lt;&gt;""),$M502+$G502,"")</f>
        <v/>
      </c>
      <c r="I502" s="22" t="n"/>
      <c r="J502" s="22" t="n"/>
      <c r="K502" s="24" t="n"/>
      <c r="W502">
        <f>IF($A2="","",COUNTIF('07_Pallet_Contents'!$A$2:$A$3000,$A2))</f>
        <v/>
      </c>
      <c r="X502">
        <f>IF($A2="","",SUMIF('07_Pallet_Contents'!$A$2:$A$3000,$A2,'07_Pallet_Contents'!$D$2:$D$3000))</f>
        <v/>
      </c>
      <c r="Y502">
        <f>IF($A2="","",SUMIF('07_Pallet_Contents'!$A$2:$A$3000,$A2,'07_Pallet_Contents'!$I$2:$I$3000))</f>
        <v/>
      </c>
      <c r="Z502">
        <f>IF($A2="","",IF(COUNTIF('07_Pallet_Contents'!$A$2:$A$3000,$A2)&gt;0,"Yes",""))</f>
        <v/>
      </c>
    </row>
    <row r="503">
      <c r="B503" s="22" t="n"/>
      <c r="G503" s="25" t="n"/>
      <c r="H503" s="24">
        <f>IF(AND($F503="TEMP",$G503&gt;0,$M503&lt;&gt;""),$M503+$G503,"")</f>
        <v/>
      </c>
      <c r="I503" s="22" t="n"/>
      <c r="J503" s="22" t="n"/>
      <c r="K503" s="24" t="n"/>
      <c r="W503">
        <f>IF($A2="","",COUNTIF('07_Pallet_Contents'!$A$2:$A$3000,$A2))</f>
        <v/>
      </c>
      <c r="X503">
        <f>IF($A2="","",SUMIF('07_Pallet_Contents'!$A$2:$A$3000,$A2,'07_Pallet_Contents'!$D$2:$D$3000))</f>
        <v/>
      </c>
      <c r="Y503">
        <f>IF($A2="","",SUMIF('07_Pallet_Contents'!$A$2:$A$3000,$A2,'07_Pallet_Contents'!$I$2:$I$3000))</f>
        <v/>
      </c>
      <c r="Z503">
        <f>IF($A2="","",IF(COUNTIF('07_Pallet_Contents'!$A$2:$A$3000,$A2)&gt;0,"Yes",""))</f>
        <v/>
      </c>
    </row>
    <row r="504">
      <c r="B504" s="22" t="n"/>
      <c r="G504" s="25" t="n"/>
      <c r="H504" s="24">
        <f>IF(AND($F504="TEMP",$G504&gt;0,$M504&lt;&gt;""),$M504+$G504,"")</f>
        <v/>
      </c>
      <c r="I504" s="22" t="n"/>
      <c r="J504" s="22" t="n"/>
      <c r="K504" s="24" t="n"/>
      <c r="W504">
        <f>IF($A2="","",COUNTIF('07_Pallet_Contents'!$A$2:$A$3000,$A2))</f>
        <v/>
      </c>
      <c r="X504">
        <f>IF($A2="","",SUMIF('07_Pallet_Contents'!$A$2:$A$3000,$A2,'07_Pallet_Contents'!$D$2:$D$3000))</f>
        <v/>
      </c>
      <c r="Y504">
        <f>IF($A2="","",SUMIF('07_Pallet_Contents'!$A$2:$A$3000,$A2,'07_Pallet_Contents'!$I$2:$I$3000))</f>
        <v/>
      </c>
      <c r="Z504">
        <f>IF($A2="","",IF(COUNTIF('07_Pallet_Contents'!$A$2:$A$3000,$A2)&gt;0,"Yes",""))</f>
        <v/>
      </c>
    </row>
    <row r="505">
      <c r="B505" s="22" t="n"/>
      <c r="G505" s="25" t="n"/>
      <c r="H505" s="24">
        <f>IF(AND($F505="TEMP",$G505&gt;0,$M505&lt;&gt;""),$M505+$G505,"")</f>
        <v/>
      </c>
      <c r="I505" s="22" t="n"/>
      <c r="J505" s="22" t="n"/>
      <c r="K505" s="24" t="n"/>
      <c r="W505">
        <f>IF($A2="","",COUNTIF('07_Pallet_Contents'!$A$2:$A$3000,$A2))</f>
        <v/>
      </c>
      <c r="X505">
        <f>IF($A2="","",SUMIF('07_Pallet_Contents'!$A$2:$A$3000,$A2,'07_Pallet_Contents'!$D$2:$D$3000))</f>
        <v/>
      </c>
      <c r="Y505">
        <f>IF($A2="","",SUMIF('07_Pallet_Contents'!$A$2:$A$3000,$A2,'07_Pallet_Contents'!$I$2:$I$3000))</f>
        <v/>
      </c>
      <c r="Z505">
        <f>IF($A2="","",IF(COUNTIF('07_Pallet_Contents'!$A$2:$A$3000,$A2)&gt;0,"Yes",""))</f>
        <v/>
      </c>
    </row>
    <row r="506">
      <c r="B506" s="22" t="n"/>
      <c r="G506" s="25" t="n"/>
      <c r="H506" s="24">
        <f>IF(AND($F506="TEMP",$G506&gt;0,$M506&lt;&gt;""),$M506+$G506,"")</f>
        <v/>
      </c>
      <c r="I506" s="22" t="n"/>
      <c r="J506" s="22" t="n"/>
      <c r="K506" s="24" t="n"/>
      <c r="W506">
        <f>IF($A2="","",COUNTIF('07_Pallet_Contents'!$A$2:$A$3000,$A2))</f>
        <v/>
      </c>
      <c r="X506">
        <f>IF($A2="","",SUMIF('07_Pallet_Contents'!$A$2:$A$3000,$A2,'07_Pallet_Contents'!$D$2:$D$3000))</f>
        <v/>
      </c>
      <c r="Y506">
        <f>IF($A2="","",SUMIF('07_Pallet_Contents'!$A$2:$A$3000,$A2,'07_Pallet_Contents'!$I$2:$I$3000))</f>
        <v/>
      </c>
      <c r="Z506">
        <f>IF($A2="","",IF(COUNTIF('07_Pallet_Contents'!$A$2:$A$3000,$A2)&gt;0,"Yes",""))</f>
        <v/>
      </c>
    </row>
    <row r="507">
      <c r="B507" s="22" t="n"/>
      <c r="G507" s="25" t="n"/>
      <c r="H507" s="24">
        <f>IF(AND($F507="TEMP",$G507&gt;0,$M507&lt;&gt;""),$M507+$G507,"")</f>
        <v/>
      </c>
      <c r="I507" s="22" t="n"/>
      <c r="J507" s="22" t="n"/>
      <c r="K507" s="24" t="n"/>
      <c r="W507">
        <f>IF($A2="","",COUNTIF('07_Pallet_Contents'!$A$2:$A$3000,$A2))</f>
        <v/>
      </c>
      <c r="X507">
        <f>IF($A2="","",SUMIF('07_Pallet_Contents'!$A$2:$A$3000,$A2,'07_Pallet_Contents'!$D$2:$D$3000))</f>
        <v/>
      </c>
      <c r="Y507">
        <f>IF($A2="","",SUMIF('07_Pallet_Contents'!$A$2:$A$3000,$A2,'07_Pallet_Contents'!$I$2:$I$3000))</f>
        <v/>
      </c>
      <c r="Z507">
        <f>IF($A2="","",IF(COUNTIF('07_Pallet_Contents'!$A$2:$A$3000,$A2)&gt;0,"Yes",""))</f>
        <v/>
      </c>
    </row>
    <row r="508">
      <c r="B508" s="22" t="n"/>
      <c r="G508" s="25" t="n"/>
      <c r="H508" s="24">
        <f>IF(AND($F508="TEMP",$G508&gt;0,$M508&lt;&gt;""),$M508+$G508,"")</f>
        <v/>
      </c>
      <c r="I508" s="22" t="n"/>
      <c r="J508" s="22" t="n"/>
      <c r="K508" s="24" t="n"/>
      <c r="W508">
        <f>IF($A2="","",COUNTIF('07_Pallet_Contents'!$A$2:$A$3000,$A2))</f>
        <v/>
      </c>
      <c r="X508">
        <f>IF($A2="","",SUMIF('07_Pallet_Contents'!$A$2:$A$3000,$A2,'07_Pallet_Contents'!$D$2:$D$3000))</f>
        <v/>
      </c>
      <c r="Y508">
        <f>IF($A2="","",SUMIF('07_Pallet_Contents'!$A$2:$A$3000,$A2,'07_Pallet_Contents'!$I$2:$I$3000))</f>
        <v/>
      </c>
      <c r="Z508">
        <f>IF($A2="","",IF(COUNTIF('07_Pallet_Contents'!$A$2:$A$3000,$A2)&gt;0,"Yes",""))</f>
        <v/>
      </c>
    </row>
    <row r="509">
      <c r="B509" s="22" t="n"/>
      <c r="G509" s="25" t="n"/>
      <c r="H509" s="24">
        <f>IF(AND($F509="TEMP",$G509&gt;0,$M509&lt;&gt;""),$M509+$G509,"")</f>
        <v/>
      </c>
      <c r="I509" s="22" t="n"/>
      <c r="J509" s="22" t="n"/>
      <c r="K509" s="24" t="n"/>
      <c r="W509">
        <f>IF($A2="","",COUNTIF('07_Pallet_Contents'!$A$2:$A$3000,$A2))</f>
        <v/>
      </c>
      <c r="X509">
        <f>IF($A2="","",SUMIF('07_Pallet_Contents'!$A$2:$A$3000,$A2,'07_Pallet_Contents'!$D$2:$D$3000))</f>
        <v/>
      </c>
      <c r="Y509">
        <f>IF($A2="","",SUMIF('07_Pallet_Contents'!$A$2:$A$3000,$A2,'07_Pallet_Contents'!$I$2:$I$3000))</f>
        <v/>
      </c>
      <c r="Z509">
        <f>IF($A2="","",IF(COUNTIF('07_Pallet_Contents'!$A$2:$A$3000,$A2)&gt;0,"Yes",""))</f>
        <v/>
      </c>
    </row>
    <row r="510">
      <c r="B510" s="22" t="n"/>
      <c r="G510" s="25" t="n"/>
      <c r="H510" s="24">
        <f>IF(AND($F510="TEMP",$G510&gt;0,$M510&lt;&gt;""),$M510+$G510,"")</f>
        <v/>
      </c>
      <c r="I510" s="22" t="n"/>
      <c r="J510" s="22" t="n"/>
      <c r="K510" s="24" t="n"/>
      <c r="W510">
        <f>IF($A2="","",COUNTIF('07_Pallet_Contents'!$A$2:$A$3000,$A2))</f>
        <v/>
      </c>
      <c r="X510">
        <f>IF($A2="","",SUMIF('07_Pallet_Contents'!$A$2:$A$3000,$A2,'07_Pallet_Contents'!$D$2:$D$3000))</f>
        <v/>
      </c>
      <c r="Y510">
        <f>IF($A2="","",SUMIF('07_Pallet_Contents'!$A$2:$A$3000,$A2,'07_Pallet_Contents'!$I$2:$I$3000))</f>
        <v/>
      </c>
      <c r="Z510">
        <f>IF($A2="","",IF(COUNTIF('07_Pallet_Contents'!$A$2:$A$3000,$A2)&gt;0,"Yes",""))</f>
        <v/>
      </c>
    </row>
    <row r="511">
      <c r="B511" s="22" t="n"/>
      <c r="G511" s="25" t="n"/>
      <c r="H511" s="24">
        <f>IF(AND($F511="TEMP",$G511&gt;0,$M511&lt;&gt;""),$M511+$G511,"")</f>
        <v/>
      </c>
      <c r="I511" s="22" t="n"/>
      <c r="J511" s="22" t="n"/>
      <c r="K511" s="24" t="n"/>
      <c r="W511">
        <f>IF($A2="","",COUNTIF('07_Pallet_Contents'!$A$2:$A$3000,$A2))</f>
        <v/>
      </c>
      <c r="X511">
        <f>IF($A2="","",SUMIF('07_Pallet_Contents'!$A$2:$A$3000,$A2,'07_Pallet_Contents'!$D$2:$D$3000))</f>
        <v/>
      </c>
      <c r="Y511">
        <f>IF($A2="","",SUMIF('07_Pallet_Contents'!$A$2:$A$3000,$A2,'07_Pallet_Contents'!$I$2:$I$3000))</f>
        <v/>
      </c>
      <c r="Z511">
        <f>IF($A2="","",IF(COUNTIF('07_Pallet_Contents'!$A$2:$A$3000,$A2)&gt;0,"Yes",""))</f>
        <v/>
      </c>
    </row>
    <row r="512">
      <c r="B512" s="22" t="n"/>
      <c r="G512" s="25" t="n"/>
      <c r="H512" s="24">
        <f>IF(AND($F512="TEMP",$G512&gt;0,$M512&lt;&gt;""),$M512+$G512,"")</f>
        <v/>
      </c>
      <c r="I512" s="22" t="n"/>
      <c r="J512" s="22" t="n"/>
      <c r="K512" s="24" t="n"/>
      <c r="W512">
        <f>IF($A2="","",COUNTIF('07_Pallet_Contents'!$A$2:$A$3000,$A2))</f>
        <v/>
      </c>
      <c r="X512">
        <f>IF($A2="","",SUMIF('07_Pallet_Contents'!$A$2:$A$3000,$A2,'07_Pallet_Contents'!$D$2:$D$3000))</f>
        <v/>
      </c>
      <c r="Y512">
        <f>IF($A2="","",SUMIF('07_Pallet_Contents'!$A$2:$A$3000,$A2,'07_Pallet_Contents'!$I$2:$I$3000))</f>
        <v/>
      </c>
      <c r="Z512">
        <f>IF($A2="","",IF(COUNTIF('07_Pallet_Contents'!$A$2:$A$3000,$A2)&gt;0,"Yes",""))</f>
        <v/>
      </c>
    </row>
    <row r="513">
      <c r="B513" s="22" t="n"/>
      <c r="G513" s="25" t="n"/>
      <c r="H513" s="24">
        <f>IF(AND($F513="TEMP",$G513&gt;0,$M513&lt;&gt;""),$M513+$G513,"")</f>
        <v/>
      </c>
      <c r="I513" s="22" t="n"/>
      <c r="J513" s="22" t="n"/>
      <c r="K513" s="24" t="n"/>
      <c r="W513">
        <f>IF($A2="","",COUNTIF('07_Pallet_Contents'!$A$2:$A$3000,$A2))</f>
        <v/>
      </c>
      <c r="X513">
        <f>IF($A2="","",SUMIF('07_Pallet_Contents'!$A$2:$A$3000,$A2,'07_Pallet_Contents'!$D$2:$D$3000))</f>
        <v/>
      </c>
      <c r="Y513">
        <f>IF($A2="","",SUMIF('07_Pallet_Contents'!$A$2:$A$3000,$A2,'07_Pallet_Contents'!$I$2:$I$3000))</f>
        <v/>
      </c>
      <c r="Z513">
        <f>IF($A2="","",IF(COUNTIF('07_Pallet_Contents'!$A$2:$A$3000,$A2)&gt;0,"Yes",""))</f>
        <v/>
      </c>
    </row>
    <row r="514">
      <c r="B514" s="22" t="n"/>
      <c r="G514" s="25" t="n"/>
      <c r="H514" s="24">
        <f>IF(AND($F514="TEMP",$G514&gt;0,$M514&lt;&gt;""),$M514+$G514,"")</f>
        <v/>
      </c>
      <c r="I514" s="22" t="n"/>
      <c r="J514" s="22" t="n"/>
      <c r="K514" s="24" t="n"/>
      <c r="W514">
        <f>IF($A2="","",COUNTIF('07_Pallet_Contents'!$A$2:$A$3000,$A2))</f>
        <v/>
      </c>
      <c r="X514">
        <f>IF($A2="","",SUMIF('07_Pallet_Contents'!$A$2:$A$3000,$A2,'07_Pallet_Contents'!$D$2:$D$3000))</f>
        <v/>
      </c>
      <c r="Y514">
        <f>IF($A2="","",SUMIF('07_Pallet_Contents'!$A$2:$A$3000,$A2,'07_Pallet_Contents'!$I$2:$I$3000))</f>
        <v/>
      </c>
      <c r="Z514">
        <f>IF($A2="","",IF(COUNTIF('07_Pallet_Contents'!$A$2:$A$3000,$A2)&gt;0,"Yes",""))</f>
        <v/>
      </c>
    </row>
    <row r="515">
      <c r="B515" s="22" t="n"/>
      <c r="G515" s="25" t="n"/>
      <c r="H515" s="24">
        <f>IF(AND($F515="TEMP",$G515&gt;0,$M515&lt;&gt;""),$M515+$G515,"")</f>
        <v/>
      </c>
      <c r="I515" s="22" t="n"/>
      <c r="J515" s="22" t="n"/>
      <c r="K515" s="24" t="n"/>
      <c r="W515">
        <f>IF($A2="","",COUNTIF('07_Pallet_Contents'!$A$2:$A$3000,$A2))</f>
        <v/>
      </c>
      <c r="X515">
        <f>IF($A2="","",SUMIF('07_Pallet_Contents'!$A$2:$A$3000,$A2,'07_Pallet_Contents'!$D$2:$D$3000))</f>
        <v/>
      </c>
      <c r="Y515">
        <f>IF($A2="","",SUMIF('07_Pallet_Contents'!$A$2:$A$3000,$A2,'07_Pallet_Contents'!$I$2:$I$3000))</f>
        <v/>
      </c>
      <c r="Z515">
        <f>IF($A2="","",IF(COUNTIF('07_Pallet_Contents'!$A$2:$A$3000,$A2)&gt;0,"Yes",""))</f>
        <v/>
      </c>
    </row>
    <row r="516">
      <c r="B516" s="22" t="n"/>
      <c r="G516" s="25" t="n"/>
      <c r="H516" s="24">
        <f>IF(AND($F516="TEMP",$G516&gt;0,$M516&lt;&gt;""),$M516+$G516,"")</f>
        <v/>
      </c>
      <c r="I516" s="22" t="n"/>
      <c r="J516" s="22" t="n"/>
      <c r="K516" s="24" t="n"/>
      <c r="W516">
        <f>IF($A2="","",COUNTIF('07_Pallet_Contents'!$A$2:$A$3000,$A2))</f>
        <v/>
      </c>
      <c r="X516">
        <f>IF($A2="","",SUMIF('07_Pallet_Contents'!$A$2:$A$3000,$A2,'07_Pallet_Contents'!$D$2:$D$3000))</f>
        <v/>
      </c>
      <c r="Y516">
        <f>IF($A2="","",SUMIF('07_Pallet_Contents'!$A$2:$A$3000,$A2,'07_Pallet_Contents'!$I$2:$I$3000))</f>
        <v/>
      </c>
      <c r="Z516">
        <f>IF($A2="","",IF(COUNTIF('07_Pallet_Contents'!$A$2:$A$3000,$A2)&gt;0,"Yes",""))</f>
        <v/>
      </c>
    </row>
    <row r="517">
      <c r="B517" s="22" t="n"/>
      <c r="G517" s="25" t="n"/>
      <c r="H517" s="24">
        <f>IF(AND($F517="TEMP",$G517&gt;0,$M517&lt;&gt;""),$M517+$G517,"")</f>
        <v/>
      </c>
      <c r="I517" s="22" t="n"/>
      <c r="J517" s="22" t="n"/>
      <c r="K517" s="24" t="n"/>
      <c r="W517">
        <f>IF($A2="","",COUNTIF('07_Pallet_Contents'!$A$2:$A$3000,$A2))</f>
        <v/>
      </c>
      <c r="X517">
        <f>IF($A2="","",SUMIF('07_Pallet_Contents'!$A$2:$A$3000,$A2,'07_Pallet_Contents'!$D$2:$D$3000))</f>
        <v/>
      </c>
      <c r="Y517">
        <f>IF($A2="","",SUMIF('07_Pallet_Contents'!$A$2:$A$3000,$A2,'07_Pallet_Contents'!$I$2:$I$3000))</f>
        <v/>
      </c>
      <c r="Z517">
        <f>IF($A2="","",IF(COUNTIF('07_Pallet_Contents'!$A$2:$A$3000,$A2)&gt;0,"Yes",""))</f>
        <v/>
      </c>
    </row>
    <row r="518">
      <c r="B518" s="22" t="n"/>
      <c r="G518" s="25" t="n"/>
      <c r="H518" s="24">
        <f>IF(AND($F518="TEMP",$G518&gt;0,$M518&lt;&gt;""),$M518+$G518,"")</f>
        <v/>
      </c>
      <c r="I518" s="22" t="n"/>
      <c r="J518" s="22" t="n"/>
      <c r="K518" s="24" t="n"/>
      <c r="W518">
        <f>IF($A2="","",COUNTIF('07_Pallet_Contents'!$A$2:$A$3000,$A2))</f>
        <v/>
      </c>
      <c r="X518">
        <f>IF($A2="","",SUMIF('07_Pallet_Contents'!$A$2:$A$3000,$A2,'07_Pallet_Contents'!$D$2:$D$3000))</f>
        <v/>
      </c>
      <c r="Y518">
        <f>IF($A2="","",SUMIF('07_Pallet_Contents'!$A$2:$A$3000,$A2,'07_Pallet_Contents'!$I$2:$I$3000))</f>
        <v/>
      </c>
      <c r="Z518">
        <f>IF($A2="","",IF(COUNTIF('07_Pallet_Contents'!$A$2:$A$3000,$A2)&gt;0,"Yes",""))</f>
        <v/>
      </c>
    </row>
    <row r="519">
      <c r="B519" s="22" t="n"/>
      <c r="G519" s="25" t="n"/>
      <c r="H519" s="24">
        <f>IF(AND($F519="TEMP",$G519&gt;0,$M519&lt;&gt;""),$M519+$G519,"")</f>
        <v/>
      </c>
      <c r="I519" s="22" t="n"/>
      <c r="J519" s="22" t="n"/>
      <c r="K519" s="24" t="n"/>
      <c r="W519">
        <f>IF($A2="","",COUNTIF('07_Pallet_Contents'!$A$2:$A$3000,$A2))</f>
        <v/>
      </c>
      <c r="X519">
        <f>IF($A2="","",SUMIF('07_Pallet_Contents'!$A$2:$A$3000,$A2,'07_Pallet_Contents'!$D$2:$D$3000))</f>
        <v/>
      </c>
      <c r="Y519">
        <f>IF($A2="","",SUMIF('07_Pallet_Contents'!$A$2:$A$3000,$A2,'07_Pallet_Contents'!$I$2:$I$3000))</f>
        <v/>
      </c>
      <c r="Z519">
        <f>IF($A2="","",IF(COUNTIF('07_Pallet_Contents'!$A$2:$A$3000,$A2)&gt;0,"Yes",""))</f>
        <v/>
      </c>
    </row>
    <row r="520">
      <c r="B520" s="22" t="n"/>
      <c r="G520" s="25" t="n"/>
      <c r="H520" s="24">
        <f>IF(AND($F520="TEMP",$G520&gt;0,$M520&lt;&gt;""),$M520+$G520,"")</f>
        <v/>
      </c>
      <c r="I520" s="22" t="n"/>
      <c r="J520" s="22" t="n"/>
      <c r="K520" s="24" t="n"/>
      <c r="W520">
        <f>IF($A2="","",COUNTIF('07_Pallet_Contents'!$A$2:$A$3000,$A2))</f>
        <v/>
      </c>
      <c r="X520">
        <f>IF($A2="","",SUMIF('07_Pallet_Contents'!$A$2:$A$3000,$A2,'07_Pallet_Contents'!$D$2:$D$3000))</f>
        <v/>
      </c>
      <c r="Y520">
        <f>IF($A2="","",SUMIF('07_Pallet_Contents'!$A$2:$A$3000,$A2,'07_Pallet_Contents'!$I$2:$I$3000))</f>
        <v/>
      </c>
      <c r="Z520">
        <f>IF($A2="","",IF(COUNTIF('07_Pallet_Contents'!$A$2:$A$3000,$A2)&gt;0,"Yes",""))</f>
        <v/>
      </c>
    </row>
    <row r="521">
      <c r="B521" s="22" t="n"/>
      <c r="G521" s="25" t="n"/>
      <c r="H521" s="24">
        <f>IF(AND($F521="TEMP",$G521&gt;0,$M521&lt;&gt;""),$M521+$G521,"")</f>
        <v/>
      </c>
      <c r="I521" s="22" t="n"/>
      <c r="J521" s="22" t="n"/>
      <c r="K521" s="24" t="n"/>
      <c r="W521">
        <f>IF($A2="","",COUNTIF('07_Pallet_Contents'!$A$2:$A$3000,$A2))</f>
        <v/>
      </c>
      <c r="X521">
        <f>IF($A2="","",SUMIF('07_Pallet_Contents'!$A$2:$A$3000,$A2,'07_Pallet_Contents'!$D$2:$D$3000))</f>
        <v/>
      </c>
      <c r="Y521">
        <f>IF($A2="","",SUMIF('07_Pallet_Contents'!$A$2:$A$3000,$A2,'07_Pallet_Contents'!$I$2:$I$3000))</f>
        <v/>
      </c>
      <c r="Z521">
        <f>IF($A2="","",IF(COUNTIF('07_Pallet_Contents'!$A$2:$A$3000,$A2)&gt;0,"Yes",""))</f>
        <v/>
      </c>
    </row>
    <row r="522">
      <c r="B522" s="22" t="n"/>
      <c r="G522" s="25" t="n"/>
      <c r="H522" s="24">
        <f>IF(AND($F522="TEMP",$G522&gt;0,$M522&lt;&gt;""),$M522+$G522,"")</f>
        <v/>
      </c>
      <c r="I522" s="22" t="n"/>
      <c r="J522" s="22" t="n"/>
      <c r="K522" s="24" t="n"/>
      <c r="W522">
        <f>IF($A2="","",COUNTIF('07_Pallet_Contents'!$A$2:$A$3000,$A2))</f>
        <v/>
      </c>
      <c r="X522">
        <f>IF($A2="","",SUMIF('07_Pallet_Contents'!$A$2:$A$3000,$A2,'07_Pallet_Contents'!$D$2:$D$3000))</f>
        <v/>
      </c>
      <c r="Y522">
        <f>IF($A2="","",SUMIF('07_Pallet_Contents'!$A$2:$A$3000,$A2,'07_Pallet_Contents'!$I$2:$I$3000))</f>
        <v/>
      </c>
      <c r="Z522">
        <f>IF($A2="","",IF(COUNTIF('07_Pallet_Contents'!$A$2:$A$3000,$A2)&gt;0,"Yes",""))</f>
        <v/>
      </c>
    </row>
    <row r="523">
      <c r="B523" s="22" t="n"/>
      <c r="G523" s="25" t="n"/>
      <c r="H523" s="24">
        <f>IF(AND($F523="TEMP",$G523&gt;0,$M523&lt;&gt;""),$M523+$G523,"")</f>
        <v/>
      </c>
      <c r="I523" s="22" t="n"/>
      <c r="J523" s="22" t="n"/>
      <c r="K523" s="24" t="n"/>
      <c r="W523">
        <f>IF($A2="","",COUNTIF('07_Pallet_Contents'!$A$2:$A$3000,$A2))</f>
        <v/>
      </c>
      <c r="X523">
        <f>IF($A2="","",SUMIF('07_Pallet_Contents'!$A$2:$A$3000,$A2,'07_Pallet_Contents'!$D$2:$D$3000))</f>
        <v/>
      </c>
      <c r="Y523">
        <f>IF($A2="","",SUMIF('07_Pallet_Contents'!$A$2:$A$3000,$A2,'07_Pallet_Contents'!$I$2:$I$3000))</f>
        <v/>
      </c>
      <c r="Z523">
        <f>IF($A2="","",IF(COUNTIF('07_Pallet_Contents'!$A$2:$A$3000,$A2)&gt;0,"Yes",""))</f>
        <v/>
      </c>
    </row>
    <row r="524">
      <c r="B524" s="22" t="n"/>
      <c r="G524" s="25" t="n"/>
      <c r="H524" s="24">
        <f>IF(AND($F524="TEMP",$G524&gt;0,$M524&lt;&gt;""),$M524+$G524,"")</f>
        <v/>
      </c>
      <c r="I524" s="22" t="n"/>
      <c r="J524" s="22" t="n"/>
      <c r="K524" s="24" t="n"/>
      <c r="W524">
        <f>IF($A2="","",COUNTIF('07_Pallet_Contents'!$A$2:$A$3000,$A2))</f>
        <v/>
      </c>
      <c r="X524">
        <f>IF($A2="","",SUMIF('07_Pallet_Contents'!$A$2:$A$3000,$A2,'07_Pallet_Contents'!$D$2:$D$3000))</f>
        <v/>
      </c>
      <c r="Y524">
        <f>IF($A2="","",SUMIF('07_Pallet_Contents'!$A$2:$A$3000,$A2,'07_Pallet_Contents'!$I$2:$I$3000))</f>
        <v/>
      </c>
      <c r="Z524">
        <f>IF($A2="","",IF(COUNTIF('07_Pallet_Contents'!$A$2:$A$3000,$A2)&gt;0,"Yes",""))</f>
        <v/>
      </c>
    </row>
    <row r="525">
      <c r="B525" s="22" t="n"/>
      <c r="G525" s="25" t="n"/>
      <c r="H525" s="24">
        <f>IF(AND($F525="TEMP",$G525&gt;0,$M525&lt;&gt;""),$M525+$G525,"")</f>
        <v/>
      </c>
      <c r="I525" s="22" t="n"/>
      <c r="J525" s="22" t="n"/>
      <c r="K525" s="24" t="n"/>
      <c r="W525">
        <f>IF($A2="","",COUNTIF('07_Pallet_Contents'!$A$2:$A$3000,$A2))</f>
        <v/>
      </c>
      <c r="X525">
        <f>IF($A2="","",SUMIF('07_Pallet_Contents'!$A$2:$A$3000,$A2,'07_Pallet_Contents'!$D$2:$D$3000))</f>
        <v/>
      </c>
      <c r="Y525">
        <f>IF($A2="","",SUMIF('07_Pallet_Contents'!$A$2:$A$3000,$A2,'07_Pallet_Contents'!$I$2:$I$3000))</f>
        <v/>
      </c>
      <c r="Z525">
        <f>IF($A2="","",IF(COUNTIF('07_Pallet_Contents'!$A$2:$A$3000,$A2)&gt;0,"Yes",""))</f>
        <v/>
      </c>
    </row>
    <row r="526">
      <c r="B526" s="22" t="n"/>
      <c r="G526" s="25" t="n"/>
      <c r="H526" s="24">
        <f>IF(AND($F526="TEMP",$G526&gt;0,$M526&lt;&gt;""),$M526+$G526,"")</f>
        <v/>
      </c>
      <c r="I526" s="22" t="n"/>
      <c r="J526" s="22" t="n"/>
      <c r="K526" s="24" t="n"/>
      <c r="W526">
        <f>IF($A2="","",COUNTIF('07_Pallet_Contents'!$A$2:$A$3000,$A2))</f>
        <v/>
      </c>
      <c r="X526">
        <f>IF($A2="","",SUMIF('07_Pallet_Contents'!$A$2:$A$3000,$A2,'07_Pallet_Contents'!$D$2:$D$3000))</f>
        <v/>
      </c>
      <c r="Y526">
        <f>IF($A2="","",SUMIF('07_Pallet_Contents'!$A$2:$A$3000,$A2,'07_Pallet_Contents'!$I$2:$I$3000))</f>
        <v/>
      </c>
      <c r="Z526">
        <f>IF($A2="","",IF(COUNTIF('07_Pallet_Contents'!$A$2:$A$3000,$A2)&gt;0,"Yes",""))</f>
        <v/>
      </c>
    </row>
    <row r="527">
      <c r="B527" s="22" t="n"/>
      <c r="G527" s="25" t="n"/>
      <c r="H527" s="24">
        <f>IF(AND($F527="TEMP",$G527&gt;0,$M527&lt;&gt;""),$M527+$G527,"")</f>
        <v/>
      </c>
      <c r="I527" s="22" t="n"/>
      <c r="J527" s="22" t="n"/>
      <c r="K527" s="24" t="n"/>
      <c r="W527">
        <f>IF($A2="","",COUNTIF('07_Pallet_Contents'!$A$2:$A$3000,$A2))</f>
        <v/>
      </c>
      <c r="X527">
        <f>IF($A2="","",SUMIF('07_Pallet_Contents'!$A$2:$A$3000,$A2,'07_Pallet_Contents'!$D$2:$D$3000))</f>
        <v/>
      </c>
      <c r="Y527">
        <f>IF($A2="","",SUMIF('07_Pallet_Contents'!$A$2:$A$3000,$A2,'07_Pallet_Contents'!$I$2:$I$3000))</f>
        <v/>
      </c>
      <c r="Z527">
        <f>IF($A2="","",IF(COUNTIF('07_Pallet_Contents'!$A$2:$A$3000,$A2)&gt;0,"Yes",""))</f>
        <v/>
      </c>
    </row>
    <row r="528">
      <c r="B528" s="22" t="n"/>
      <c r="G528" s="25" t="n"/>
      <c r="H528" s="24">
        <f>IF(AND($F528="TEMP",$G528&gt;0,$M528&lt;&gt;""),$M528+$G528,"")</f>
        <v/>
      </c>
      <c r="I528" s="22" t="n"/>
      <c r="J528" s="22" t="n"/>
      <c r="K528" s="24" t="n"/>
      <c r="W528">
        <f>IF($A2="","",COUNTIF('07_Pallet_Contents'!$A$2:$A$3000,$A2))</f>
        <v/>
      </c>
      <c r="X528">
        <f>IF($A2="","",SUMIF('07_Pallet_Contents'!$A$2:$A$3000,$A2,'07_Pallet_Contents'!$D$2:$D$3000))</f>
        <v/>
      </c>
      <c r="Y528">
        <f>IF($A2="","",SUMIF('07_Pallet_Contents'!$A$2:$A$3000,$A2,'07_Pallet_Contents'!$I$2:$I$3000))</f>
        <v/>
      </c>
      <c r="Z528">
        <f>IF($A2="","",IF(COUNTIF('07_Pallet_Contents'!$A$2:$A$3000,$A2)&gt;0,"Yes",""))</f>
        <v/>
      </c>
    </row>
    <row r="529">
      <c r="B529" s="22" t="n"/>
      <c r="G529" s="25" t="n"/>
      <c r="H529" s="24">
        <f>IF(AND($F529="TEMP",$G529&gt;0,$M529&lt;&gt;""),$M529+$G529,"")</f>
        <v/>
      </c>
      <c r="I529" s="22" t="n"/>
      <c r="J529" s="22" t="n"/>
      <c r="K529" s="24" t="n"/>
      <c r="W529">
        <f>IF($A2="","",COUNTIF('07_Pallet_Contents'!$A$2:$A$3000,$A2))</f>
        <v/>
      </c>
      <c r="X529">
        <f>IF($A2="","",SUMIF('07_Pallet_Contents'!$A$2:$A$3000,$A2,'07_Pallet_Contents'!$D$2:$D$3000))</f>
        <v/>
      </c>
      <c r="Y529">
        <f>IF($A2="","",SUMIF('07_Pallet_Contents'!$A$2:$A$3000,$A2,'07_Pallet_Contents'!$I$2:$I$3000))</f>
        <v/>
      </c>
      <c r="Z529">
        <f>IF($A2="","",IF(COUNTIF('07_Pallet_Contents'!$A$2:$A$3000,$A2)&gt;0,"Yes",""))</f>
        <v/>
      </c>
    </row>
    <row r="530">
      <c r="B530" s="22" t="n"/>
      <c r="G530" s="25" t="n"/>
      <c r="H530" s="24">
        <f>IF(AND($F530="TEMP",$G530&gt;0,$M530&lt;&gt;""),$M530+$G530,"")</f>
        <v/>
      </c>
      <c r="I530" s="22" t="n"/>
      <c r="J530" s="22" t="n"/>
      <c r="K530" s="24" t="n"/>
      <c r="W530">
        <f>IF($A2="","",COUNTIF('07_Pallet_Contents'!$A$2:$A$3000,$A2))</f>
        <v/>
      </c>
      <c r="X530">
        <f>IF($A2="","",SUMIF('07_Pallet_Contents'!$A$2:$A$3000,$A2,'07_Pallet_Contents'!$D$2:$D$3000))</f>
        <v/>
      </c>
      <c r="Y530">
        <f>IF($A2="","",SUMIF('07_Pallet_Contents'!$A$2:$A$3000,$A2,'07_Pallet_Contents'!$I$2:$I$3000))</f>
        <v/>
      </c>
      <c r="Z530">
        <f>IF($A2="","",IF(COUNTIF('07_Pallet_Contents'!$A$2:$A$3000,$A2)&gt;0,"Yes",""))</f>
        <v/>
      </c>
    </row>
    <row r="531">
      <c r="B531" s="22" t="n"/>
      <c r="G531" s="25" t="n"/>
      <c r="H531" s="24">
        <f>IF(AND($F531="TEMP",$G531&gt;0,$M531&lt;&gt;""),$M531+$G531,"")</f>
        <v/>
      </c>
      <c r="I531" s="22" t="n"/>
      <c r="J531" s="22" t="n"/>
      <c r="K531" s="24" t="n"/>
      <c r="W531">
        <f>IF($A2="","",COUNTIF('07_Pallet_Contents'!$A$2:$A$3000,$A2))</f>
        <v/>
      </c>
      <c r="X531">
        <f>IF($A2="","",SUMIF('07_Pallet_Contents'!$A$2:$A$3000,$A2,'07_Pallet_Contents'!$D$2:$D$3000))</f>
        <v/>
      </c>
      <c r="Y531">
        <f>IF($A2="","",SUMIF('07_Pallet_Contents'!$A$2:$A$3000,$A2,'07_Pallet_Contents'!$I$2:$I$3000))</f>
        <v/>
      </c>
      <c r="Z531">
        <f>IF($A2="","",IF(COUNTIF('07_Pallet_Contents'!$A$2:$A$3000,$A2)&gt;0,"Yes",""))</f>
        <v/>
      </c>
    </row>
    <row r="532">
      <c r="B532" s="22" t="n"/>
      <c r="G532" s="25" t="n"/>
      <c r="H532" s="24">
        <f>IF(AND($F532="TEMP",$G532&gt;0,$M532&lt;&gt;""),$M532+$G532,"")</f>
        <v/>
      </c>
      <c r="I532" s="22" t="n"/>
      <c r="J532" s="22" t="n"/>
      <c r="K532" s="24" t="n"/>
      <c r="W532">
        <f>IF($A2="","",COUNTIF('07_Pallet_Contents'!$A$2:$A$3000,$A2))</f>
        <v/>
      </c>
      <c r="X532">
        <f>IF($A2="","",SUMIF('07_Pallet_Contents'!$A$2:$A$3000,$A2,'07_Pallet_Contents'!$D$2:$D$3000))</f>
        <v/>
      </c>
      <c r="Y532">
        <f>IF($A2="","",SUMIF('07_Pallet_Contents'!$A$2:$A$3000,$A2,'07_Pallet_Contents'!$I$2:$I$3000))</f>
        <v/>
      </c>
      <c r="Z532">
        <f>IF($A2="","",IF(COUNTIF('07_Pallet_Contents'!$A$2:$A$3000,$A2)&gt;0,"Yes",""))</f>
        <v/>
      </c>
    </row>
    <row r="533">
      <c r="B533" s="22" t="n"/>
      <c r="G533" s="25" t="n"/>
      <c r="H533" s="24">
        <f>IF(AND($F533="TEMP",$G533&gt;0,$M533&lt;&gt;""),$M533+$G533,"")</f>
        <v/>
      </c>
      <c r="I533" s="22" t="n"/>
      <c r="J533" s="22" t="n"/>
      <c r="K533" s="24" t="n"/>
      <c r="W533">
        <f>IF($A2="","",COUNTIF('07_Pallet_Contents'!$A$2:$A$3000,$A2))</f>
        <v/>
      </c>
      <c r="X533">
        <f>IF($A2="","",SUMIF('07_Pallet_Contents'!$A$2:$A$3000,$A2,'07_Pallet_Contents'!$D$2:$D$3000))</f>
        <v/>
      </c>
      <c r="Y533">
        <f>IF($A2="","",SUMIF('07_Pallet_Contents'!$A$2:$A$3000,$A2,'07_Pallet_Contents'!$I$2:$I$3000))</f>
        <v/>
      </c>
      <c r="Z533">
        <f>IF($A2="","",IF(COUNTIF('07_Pallet_Contents'!$A$2:$A$3000,$A2)&gt;0,"Yes",""))</f>
        <v/>
      </c>
    </row>
    <row r="534">
      <c r="B534" s="22" t="n"/>
      <c r="G534" s="25" t="n"/>
      <c r="H534" s="24">
        <f>IF(AND($F534="TEMP",$G534&gt;0,$M534&lt;&gt;""),$M534+$G534,"")</f>
        <v/>
      </c>
      <c r="I534" s="22" t="n"/>
      <c r="J534" s="22" t="n"/>
      <c r="K534" s="24" t="n"/>
      <c r="W534">
        <f>IF($A2="","",COUNTIF('07_Pallet_Contents'!$A$2:$A$3000,$A2))</f>
        <v/>
      </c>
      <c r="X534">
        <f>IF($A2="","",SUMIF('07_Pallet_Contents'!$A$2:$A$3000,$A2,'07_Pallet_Contents'!$D$2:$D$3000))</f>
        <v/>
      </c>
      <c r="Y534">
        <f>IF($A2="","",SUMIF('07_Pallet_Contents'!$A$2:$A$3000,$A2,'07_Pallet_Contents'!$I$2:$I$3000))</f>
        <v/>
      </c>
      <c r="Z534">
        <f>IF($A2="","",IF(COUNTIF('07_Pallet_Contents'!$A$2:$A$3000,$A2)&gt;0,"Yes",""))</f>
        <v/>
      </c>
    </row>
    <row r="535">
      <c r="B535" s="22" t="n"/>
      <c r="G535" s="25" t="n"/>
      <c r="H535" s="24">
        <f>IF(AND($F535="TEMP",$G535&gt;0,$M535&lt;&gt;""),$M535+$G535,"")</f>
        <v/>
      </c>
      <c r="I535" s="22" t="n"/>
      <c r="J535" s="22" t="n"/>
      <c r="K535" s="24" t="n"/>
      <c r="W535">
        <f>IF($A2="","",COUNTIF('07_Pallet_Contents'!$A$2:$A$3000,$A2))</f>
        <v/>
      </c>
      <c r="X535">
        <f>IF($A2="","",SUMIF('07_Pallet_Contents'!$A$2:$A$3000,$A2,'07_Pallet_Contents'!$D$2:$D$3000))</f>
        <v/>
      </c>
      <c r="Y535">
        <f>IF($A2="","",SUMIF('07_Pallet_Contents'!$A$2:$A$3000,$A2,'07_Pallet_Contents'!$I$2:$I$3000))</f>
        <v/>
      </c>
      <c r="Z535">
        <f>IF($A2="","",IF(COUNTIF('07_Pallet_Contents'!$A$2:$A$3000,$A2)&gt;0,"Yes",""))</f>
        <v/>
      </c>
    </row>
    <row r="536">
      <c r="B536" s="22" t="n"/>
      <c r="G536" s="25" t="n"/>
      <c r="H536" s="24">
        <f>IF(AND($F536="TEMP",$G536&gt;0,$M536&lt;&gt;""),$M536+$G536,"")</f>
        <v/>
      </c>
      <c r="I536" s="22" t="n"/>
      <c r="J536" s="22" t="n"/>
      <c r="K536" s="24" t="n"/>
      <c r="W536">
        <f>IF($A2="","",COUNTIF('07_Pallet_Contents'!$A$2:$A$3000,$A2))</f>
        <v/>
      </c>
      <c r="X536">
        <f>IF($A2="","",SUMIF('07_Pallet_Contents'!$A$2:$A$3000,$A2,'07_Pallet_Contents'!$D$2:$D$3000))</f>
        <v/>
      </c>
      <c r="Y536">
        <f>IF($A2="","",SUMIF('07_Pallet_Contents'!$A$2:$A$3000,$A2,'07_Pallet_Contents'!$I$2:$I$3000))</f>
        <v/>
      </c>
      <c r="Z536">
        <f>IF($A2="","",IF(COUNTIF('07_Pallet_Contents'!$A$2:$A$3000,$A2)&gt;0,"Yes",""))</f>
        <v/>
      </c>
    </row>
    <row r="537">
      <c r="B537" s="22" t="n"/>
      <c r="G537" s="25" t="n"/>
      <c r="H537" s="24">
        <f>IF(AND($F537="TEMP",$G537&gt;0,$M537&lt;&gt;""),$M537+$G537,"")</f>
        <v/>
      </c>
      <c r="I537" s="22" t="n"/>
      <c r="J537" s="22" t="n"/>
      <c r="K537" s="24" t="n"/>
      <c r="W537">
        <f>IF($A2="","",COUNTIF('07_Pallet_Contents'!$A$2:$A$3000,$A2))</f>
        <v/>
      </c>
      <c r="X537">
        <f>IF($A2="","",SUMIF('07_Pallet_Contents'!$A$2:$A$3000,$A2,'07_Pallet_Contents'!$D$2:$D$3000))</f>
        <v/>
      </c>
      <c r="Y537">
        <f>IF($A2="","",SUMIF('07_Pallet_Contents'!$A$2:$A$3000,$A2,'07_Pallet_Contents'!$I$2:$I$3000))</f>
        <v/>
      </c>
      <c r="Z537">
        <f>IF($A2="","",IF(COUNTIF('07_Pallet_Contents'!$A$2:$A$3000,$A2)&gt;0,"Yes",""))</f>
        <v/>
      </c>
    </row>
    <row r="538">
      <c r="B538" s="22" t="n"/>
      <c r="G538" s="25" t="n"/>
      <c r="H538" s="24">
        <f>IF(AND($F538="TEMP",$G538&gt;0,$M538&lt;&gt;""),$M538+$G538,"")</f>
        <v/>
      </c>
      <c r="I538" s="22" t="n"/>
      <c r="J538" s="22" t="n"/>
      <c r="K538" s="24" t="n"/>
      <c r="W538">
        <f>IF($A2="","",COUNTIF('07_Pallet_Contents'!$A$2:$A$3000,$A2))</f>
        <v/>
      </c>
      <c r="X538">
        <f>IF($A2="","",SUMIF('07_Pallet_Contents'!$A$2:$A$3000,$A2,'07_Pallet_Contents'!$D$2:$D$3000))</f>
        <v/>
      </c>
      <c r="Y538">
        <f>IF($A2="","",SUMIF('07_Pallet_Contents'!$A$2:$A$3000,$A2,'07_Pallet_Contents'!$I$2:$I$3000))</f>
        <v/>
      </c>
      <c r="Z538">
        <f>IF($A2="","",IF(COUNTIF('07_Pallet_Contents'!$A$2:$A$3000,$A2)&gt;0,"Yes",""))</f>
        <v/>
      </c>
    </row>
    <row r="539">
      <c r="B539" s="22" t="n"/>
      <c r="G539" s="25" t="n"/>
      <c r="H539" s="24">
        <f>IF(AND($F539="TEMP",$G539&gt;0,$M539&lt;&gt;""),$M539+$G539,"")</f>
        <v/>
      </c>
      <c r="I539" s="22" t="n"/>
      <c r="J539" s="22" t="n"/>
      <c r="K539" s="24" t="n"/>
      <c r="W539">
        <f>IF($A2="","",COUNTIF('07_Pallet_Contents'!$A$2:$A$3000,$A2))</f>
        <v/>
      </c>
      <c r="X539">
        <f>IF($A2="","",SUMIF('07_Pallet_Contents'!$A$2:$A$3000,$A2,'07_Pallet_Contents'!$D$2:$D$3000))</f>
        <v/>
      </c>
      <c r="Y539">
        <f>IF($A2="","",SUMIF('07_Pallet_Contents'!$A$2:$A$3000,$A2,'07_Pallet_Contents'!$I$2:$I$3000))</f>
        <v/>
      </c>
      <c r="Z539">
        <f>IF($A2="","",IF(COUNTIF('07_Pallet_Contents'!$A$2:$A$3000,$A2)&gt;0,"Yes",""))</f>
        <v/>
      </c>
    </row>
    <row r="540">
      <c r="B540" s="22" t="n"/>
      <c r="G540" s="25" t="n"/>
      <c r="H540" s="24">
        <f>IF(AND($F540="TEMP",$G540&gt;0,$M540&lt;&gt;""),$M540+$G540,"")</f>
        <v/>
      </c>
      <c r="I540" s="22" t="n"/>
      <c r="J540" s="22" t="n"/>
      <c r="K540" s="24" t="n"/>
      <c r="W540">
        <f>IF($A2="","",COUNTIF('07_Pallet_Contents'!$A$2:$A$3000,$A2))</f>
        <v/>
      </c>
      <c r="X540">
        <f>IF($A2="","",SUMIF('07_Pallet_Contents'!$A$2:$A$3000,$A2,'07_Pallet_Contents'!$D$2:$D$3000))</f>
        <v/>
      </c>
      <c r="Y540">
        <f>IF($A2="","",SUMIF('07_Pallet_Contents'!$A$2:$A$3000,$A2,'07_Pallet_Contents'!$I$2:$I$3000))</f>
        <v/>
      </c>
      <c r="Z540">
        <f>IF($A2="","",IF(COUNTIF('07_Pallet_Contents'!$A$2:$A$3000,$A2)&gt;0,"Yes",""))</f>
        <v/>
      </c>
    </row>
    <row r="541">
      <c r="B541" s="22" t="n"/>
      <c r="G541" s="25" t="n"/>
      <c r="H541" s="24">
        <f>IF(AND($F541="TEMP",$G541&gt;0,$M541&lt;&gt;""),$M541+$G541,"")</f>
        <v/>
      </c>
      <c r="I541" s="22" t="n"/>
      <c r="J541" s="22" t="n"/>
      <c r="K541" s="24" t="n"/>
      <c r="W541">
        <f>IF($A2="","",COUNTIF('07_Pallet_Contents'!$A$2:$A$3000,$A2))</f>
        <v/>
      </c>
      <c r="X541">
        <f>IF($A2="","",SUMIF('07_Pallet_Contents'!$A$2:$A$3000,$A2,'07_Pallet_Contents'!$D$2:$D$3000))</f>
        <v/>
      </c>
      <c r="Y541">
        <f>IF($A2="","",SUMIF('07_Pallet_Contents'!$A$2:$A$3000,$A2,'07_Pallet_Contents'!$I$2:$I$3000))</f>
        <v/>
      </c>
      <c r="Z541">
        <f>IF($A2="","",IF(COUNTIF('07_Pallet_Contents'!$A$2:$A$3000,$A2)&gt;0,"Yes",""))</f>
        <v/>
      </c>
    </row>
    <row r="542">
      <c r="B542" s="22" t="n"/>
      <c r="G542" s="25" t="n"/>
      <c r="H542" s="24">
        <f>IF(AND($F542="TEMP",$G542&gt;0,$M542&lt;&gt;""),$M542+$G542,"")</f>
        <v/>
      </c>
      <c r="I542" s="22" t="n"/>
      <c r="J542" s="22" t="n"/>
      <c r="K542" s="24" t="n"/>
      <c r="W542">
        <f>IF($A2="","",COUNTIF('07_Pallet_Contents'!$A$2:$A$3000,$A2))</f>
        <v/>
      </c>
      <c r="X542">
        <f>IF($A2="","",SUMIF('07_Pallet_Contents'!$A$2:$A$3000,$A2,'07_Pallet_Contents'!$D$2:$D$3000))</f>
        <v/>
      </c>
      <c r="Y542">
        <f>IF($A2="","",SUMIF('07_Pallet_Contents'!$A$2:$A$3000,$A2,'07_Pallet_Contents'!$I$2:$I$3000))</f>
        <v/>
      </c>
      <c r="Z542">
        <f>IF($A2="","",IF(COUNTIF('07_Pallet_Contents'!$A$2:$A$3000,$A2)&gt;0,"Yes",""))</f>
        <v/>
      </c>
    </row>
    <row r="543">
      <c r="B543" s="22" t="n"/>
      <c r="G543" s="25" t="n"/>
      <c r="H543" s="24">
        <f>IF(AND($F543="TEMP",$G543&gt;0,$M543&lt;&gt;""),$M543+$G543,"")</f>
        <v/>
      </c>
      <c r="I543" s="22" t="n"/>
      <c r="J543" s="22" t="n"/>
      <c r="K543" s="24" t="n"/>
      <c r="W543">
        <f>IF($A2="","",COUNTIF('07_Pallet_Contents'!$A$2:$A$3000,$A2))</f>
        <v/>
      </c>
      <c r="X543">
        <f>IF($A2="","",SUMIF('07_Pallet_Contents'!$A$2:$A$3000,$A2,'07_Pallet_Contents'!$D$2:$D$3000))</f>
        <v/>
      </c>
      <c r="Y543">
        <f>IF($A2="","",SUMIF('07_Pallet_Contents'!$A$2:$A$3000,$A2,'07_Pallet_Contents'!$I$2:$I$3000))</f>
        <v/>
      </c>
      <c r="Z543">
        <f>IF($A2="","",IF(COUNTIF('07_Pallet_Contents'!$A$2:$A$3000,$A2)&gt;0,"Yes",""))</f>
        <v/>
      </c>
    </row>
    <row r="544">
      <c r="B544" s="22" t="n"/>
      <c r="G544" s="25" t="n"/>
      <c r="H544" s="24">
        <f>IF(AND($F544="TEMP",$G544&gt;0,$M544&lt;&gt;""),$M544+$G544,"")</f>
        <v/>
      </c>
      <c r="I544" s="22" t="n"/>
      <c r="J544" s="22" t="n"/>
      <c r="K544" s="24" t="n"/>
      <c r="W544">
        <f>IF($A2="","",COUNTIF('07_Pallet_Contents'!$A$2:$A$3000,$A2))</f>
        <v/>
      </c>
      <c r="X544">
        <f>IF($A2="","",SUMIF('07_Pallet_Contents'!$A$2:$A$3000,$A2,'07_Pallet_Contents'!$D$2:$D$3000))</f>
        <v/>
      </c>
      <c r="Y544">
        <f>IF($A2="","",SUMIF('07_Pallet_Contents'!$A$2:$A$3000,$A2,'07_Pallet_Contents'!$I$2:$I$3000))</f>
        <v/>
      </c>
      <c r="Z544">
        <f>IF($A2="","",IF(COUNTIF('07_Pallet_Contents'!$A$2:$A$3000,$A2)&gt;0,"Yes",""))</f>
        <v/>
      </c>
    </row>
    <row r="545">
      <c r="B545" s="22" t="n"/>
      <c r="G545" s="25" t="n"/>
      <c r="H545" s="24">
        <f>IF(AND($F545="TEMP",$G545&gt;0,$M545&lt;&gt;""),$M545+$G545,"")</f>
        <v/>
      </c>
      <c r="I545" s="22" t="n"/>
      <c r="J545" s="22" t="n"/>
      <c r="K545" s="24" t="n"/>
      <c r="W545">
        <f>IF($A2="","",COUNTIF('07_Pallet_Contents'!$A$2:$A$3000,$A2))</f>
        <v/>
      </c>
      <c r="X545">
        <f>IF($A2="","",SUMIF('07_Pallet_Contents'!$A$2:$A$3000,$A2,'07_Pallet_Contents'!$D$2:$D$3000))</f>
        <v/>
      </c>
      <c r="Y545">
        <f>IF($A2="","",SUMIF('07_Pallet_Contents'!$A$2:$A$3000,$A2,'07_Pallet_Contents'!$I$2:$I$3000))</f>
        <v/>
      </c>
      <c r="Z545">
        <f>IF($A2="","",IF(COUNTIF('07_Pallet_Contents'!$A$2:$A$3000,$A2)&gt;0,"Yes",""))</f>
        <v/>
      </c>
    </row>
    <row r="546">
      <c r="B546" s="22" t="n"/>
      <c r="G546" s="25" t="n"/>
      <c r="H546" s="24">
        <f>IF(AND($F546="TEMP",$G546&gt;0,$M546&lt;&gt;""),$M546+$G546,"")</f>
        <v/>
      </c>
      <c r="I546" s="22" t="n"/>
      <c r="J546" s="22" t="n"/>
      <c r="K546" s="24" t="n"/>
      <c r="W546">
        <f>IF($A2="","",COUNTIF('07_Pallet_Contents'!$A$2:$A$3000,$A2))</f>
        <v/>
      </c>
      <c r="X546">
        <f>IF($A2="","",SUMIF('07_Pallet_Contents'!$A$2:$A$3000,$A2,'07_Pallet_Contents'!$D$2:$D$3000))</f>
        <v/>
      </c>
      <c r="Y546">
        <f>IF($A2="","",SUMIF('07_Pallet_Contents'!$A$2:$A$3000,$A2,'07_Pallet_Contents'!$I$2:$I$3000))</f>
        <v/>
      </c>
      <c r="Z546">
        <f>IF($A2="","",IF(COUNTIF('07_Pallet_Contents'!$A$2:$A$3000,$A2)&gt;0,"Yes",""))</f>
        <v/>
      </c>
    </row>
    <row r="547">
      <c r="B547" s="22" t="n"/>
      <c r="G547" s="25" t="n"/>
      <c r="H547" s="24">
        <f>IF(AND($F547="TEMP",$G547&gt;0,$M547&lt;&gt;""),$M547+$G547,"")</f>
        <v/>
      </c>
      <c r="I547" s="22" t="n"/>
      <c r="J547" s="22" t="n"/>
      <c r="K547" s="24" t="n"/>
      <c r="W547">
        <f>IF($A2="","",COUNTIF('07_Pallet_Contents'!$A$2:$A$3000,$A2))</f>
        <v/>
      </c>
      <c r="X547">
        <f>IF($A2="","",SUMIF('07_Pallet_Contents'!$A$2:$A$3000,$A2,'07_Pallet_Contents'!$D$2:$D$3000))</f>
        <v/>
      </c>
      <c r="Y547">
        <f>IF($A2="","",SUMIF('07_Pallet_Contents'!$A$2:$A$3000,$A2,'07_Pallet_Contents'!$I$2:$I$3000))</f>
        <v/>
      </c>
      <c r="Z547">
        <f>IF($A2="","",IF(COUNTIF('07_Pallet_Contents'!$A$2:$A$3000,$A2)&gt;0,"Yes",""))</f>
        <v/>
      </c>
    </row>
    <row r="548">
      <c r="B548" s="22" t="n"/>
      <c r="G548" s="25" t="n"/>
      <c r="H548" s="24">
        <f>IF(AND($F548="TEMP",$G548&gt;0,$M548&lt;&gt;""),$M548+$G548,"")</f>
        <v/>
      </c>
      <c r="I548" s="22" t="n"/>
      <c r="J548" s="22" t="n"/>
      <c r="K548" s="24" t="n"/>
      <c r="W548">
        <f>IF($A2="","",COUNTIF('07_Pallet_Contents'!$A$2:$A$3000,$A2))</f>
        <v/>
      </c>
      <c r="X548">
        <f>IF($A2="","",SUMIF('07_Pallet_Contents'!$A$2:$A$3000,$A2,'07_Pallet_Contents'!$D$2:$D$3000))</f>
        <v/>
      </c>
      <c r="Y548">
        <f>IF($A2="","",SUMIF('07_Pallet_Contents'!$A$2:$A$3000,$A2,'07_Pallet_Contents'!$I$2:$I$3000))</f>
        <v/>
      </c>
      <c r="Z548">
        <f>IF($A2="","",IF(COUNTIF('07_Pallet_Contents'!$A$2:$A$3000,$A2)&gt;0,"Yes",""))</f>
        <v/>
      </c>
    </row>
    <row r="549">
      <c r="B549" s="22" t="n"/>
      <c r="G549" s="25" t="n"/>
      <c r="H549" s="24">
        <f>IF(AND($F549="TEMP",$G549&gt;0,$M549&lt;&gt;""),$M549+$G549,"")</f>
        <v/>
      </c>
      <c r="I549" s="22" t="n"/>
      <c r="J549" s="22" t="n"/>
      <c r="K549" s="24" t="n"/>
      <c r="W549">
        <f>IF($A2="","",COUNTIF('07_Pallet_Contents'!$A$2:$A$3000,$A2))</f>
        <v/>
      </c>
      <c r="X549">
        <f>IF($A2="","",SUMIF('07_Pallet_Contents'!$A$2:$A$3000,$A2,'07_Pallet_Contents'!$D$2:$D$3000))</f>
        <v/>
      </c>
      <c r="Y549">
        <f>IF($A2="","",SUMIF('07_Pallet_Contents'!$A$2:$A$3000,$A2,'07_Pallet_Contents'!$I$2:$I$3000))</f>
        <v/>
      </c>
      <c r="Z549">
        <f>IF($A2="","",IF(COUNTIF('07_Pallet_Contents'!$A$2:$A$3000,$A2)&gt;0,"Yes",""))</f>
        <v/>
      </c>
    </row>
    <row r="550">
      <c r="B550" s="22" t="n"/>
      <c r="G550" s="25" t="n"/>
      <c r="H550" s="24">
        <f>IF(AND($F550="TEMP",$G550&gt;0,$M550&lt;&gt;""),$M550+$G550,"")</f>
        <v/>
      </c>
      <c r="I550" s="22" t="n"/>
      <c r="J550" s="22" t="n"/>
      <c r="K550" s="24" t="n"/>
      <c r="W550">
        <f>IF($A2="","",COUNTIF('07_Pallet_Contents'!$A$2:$A$3000,$A2))</f>
        <v/>
      </c>
      <c r="X550">
        <f>IF($A2="","",SUMIF('07_Pallet_Contents'!$A$2:$A$3000,$A2,'07_Pallet_Contents'!$D$2:$D$3000))</f>
        <v/>
      </c>
      <c r="Y550">
        <f>IF($A2="","",SUMIF('07_Pallet_Contents'!$A$2:$A$3000,$A2,'07_Pallet_Contents'!$I$2:$I$3000))</f>
        <v/>
      </c>
      <c r="Z550">
        <f>IF($A2="","",IF(COUNTIF('07_Pallet_Contents'!$A$2:$A$3000,$A2)&gt;0,"Yes",""))</f>
        <v/>
      </c>
    </row>
    <row r="551">
      <c r="B551" s="22" t="n"/>
      <c r="G551" s="25" t="n"/>
      <c r="H551" s="24">
        <f>IF(AND($F551="TEMP",$G551&gt;0,$M551&lt;&gt;""),$M551+$G551,"")</f>
        <v/>
      </c>
      <c r="I551" s="22" t="n"/>
      <c r="J551" s="22" t="n"/>
      <c r="K551" s="24" t="n"/>
      <c r="W551">
        <f>IF($A2="","",COUNTIF('07_Pallet_Contents'!$A$2:$A$3000,$A2))</f>
        <v/>
      </c>
      <c r="X551">
        <f>IF($A2="","",SUMIF('07_Pallet_Contents'!$A$2:$A$3000,$A2,'07_Pallet_Contents'!$D$2:$D$3000))</f>
        <v/>
      </c>
      <c r="Y551">
        <f>IF($A2="","",SUMIF('07_Pallet_Contents'!$A$2:$A$3000,$A2,'07_Pallet_Contents'!$I$2:$I$3000))</f>
        <v/>
      </c>
      <c r="Z551">
        <f>IF($A2="","",IF(COUNTIF('07_Pallet_Contents'!$A$2:$A$3000,$A2)&gt;0,"Yes",""))</f>
        <v/>
      </c>
    </row>
    <row r="552">
      <c r="B552" s="22" t="n"/>
      <c r="G552" s="25" t="n"/>
      <c r="H552" s="24">
        <f>IF(AND($F552="TEMP",$G552&gt;0,$M552&lt;&gt;""),$M552+$G552,"")</f>
        <v/>
      </c>
      <c r="I552" s="22" t="n"/>
      <c r="J552" s="22" t="n"/>
      <c r="K552" s="24" t="n"/>
      <c r="W552">
        <f>IF($A2="","",COUNTIF('07_Pallet_Contents'!$A$2:$A$3000,$A2))</f>
        <v/>
      </c>
      <c r="X552">
        <f>IF($A2="","",SUMIF('07_Pallet_Contents'!$A$2:$A$3000,$A2,'07_Pallet_Contents'!$D$2:$D$3000))</f>
        <v/>
      </c>
      <c r="Y552">
        <f>IF($A2="","",SUMIF('07_Pallet_Contents'!$A$2:$A$3000,$A2,'07_Pallet_Contents'!$I$2:$I$3000))</f>
        <v/>
      </c>
      <c r="Z552">
        <f>IF($A2="","",IF(COUNTIF('07_Pallet_Contents'!$A$2:$A$3000,$A2)&gt;0,"Yes",""))</f>
        <v/>
      </c>
    </row>
    <row r="553">
      <c r="B553" s="22" t="n"/>
      <c r="G553" s="25" t="n"/>
      <c r="H553" s="24">
        <f>IF(AND($F553="TEMP",$G553&gt;0,$M553&lt;&gt;""),$M553+$G553,"")</f>
        <v/>
      </c>
      <c r="I553" s="22" t="n"/>
      <c r="J553" s="22" t="n"/>
      <c r="K553" s="24" t="n"/>
      <c r="W553">
        <f>IF($A2="","",COUNTIF('07_Pallet_Contents'!$A$2:$A$3000,$A2))</f>
        <v/>
      </c>
      <c r="X553">
        <f>IF($A2="","",SUMIF('07_Pallet_Contents'!$A$2:$A$3000,$A2,'07_Pallet_Contents'!$D$2:$D$3000))</f>
        <v/>
      </c>
      <c r="Y553">
        <f>IF($A2="","",SUMIF('07_Pallet_Contents'!$A$2:$A$3000,$A2,'07_Pallet_Contents'!$I$2:$I$3000))</f>
        <v/>
      </c>
      <c r="Z553">
        <f>IF($A2="","",IF(COUNTIF('07_Pallet_Contents'!$A$2:$A$3000,$A2)&gt;0,"Yes",""))</f>
        <v/>
      </c>
    </row>
    <row r="554">
      <c r="B554" s="22" t="n"/>
      <c r="G554" s="25" t="n"/>
      <c r="H554" s="24">
        <f>IF(AND($F554="TEMP",$G554&gt;0,$M554&lt;&gt;""),$M554+$G554,"")</f>
        <v/>
      </c>
      <c r="I554" s="22" t="n"/>
      <c r="J554" s="22" t="n"/>
      <c r="K554" s="24" t="n"/>
      <c r="W554">
        <f>IF($A2="","",COUNTIF('07_Pallet_Contents'!$A$2:$A$3000,$A2))</f>
        <v/>
      </c>
      <c r="X554">
        <f>IF($A2="","",SUMIF('07_Pallet_Contents'!$A$2:$A$3000,$A2,'07_Pallet_Contents'!$D$2:$D$3000))</f>
        <v/>
      </c>
      <c r="Y554">
        <f>IF($A2="","",SUMIF('07_Pallet_Contents'!$A$2:$A$3000,$A2,'07_Pallet_Contents'!$I$2:$I$3000))</f>
        <v/>
      </c>
      <c r="Z554">
        <f>IF($A2="","",IF(COUNTIF('07_Pallet_Contents'!$A$2:$A$3000,$A2)&gt;0,"Yes",""))</f>
        <v/>
      </c>
    </row>
    <row r="555">
      <c r="B555" s="22" t="n"/>
      <c r="G555" s="25" t="n"/>
      <c r="H555" s="24">
        <f>IF(AND($F555="TEMP",$G555&gt;0,$M555&lt;&gt;""),$M555+$G555,"")</f>
        <v/>
      </c>
      <c r="I555" s="22" t="n"/>
      <c r="J555" s="22" t="n"/>
      <c r="K555" s="24" t="n"/>
      <c r="W555">
        <f>IF($A2="","",COUNTIF('07_Pallet_Contents'!$A$2:$A$3000,$A2))</f>
        <v/>
      </c>
      <c r="X555">
        <f>IF($A2="","",SUMIF('07_Pallet_Contents'!$A$2:$A$3000,$A2,'07_Pallet_Contents'!$D$2:$D$3000))</f>
        <v/>
      </c>
      <c r="Y555">
        <f>IF($A2="","",SUMIF('07_Pallet_Contents'!$A$2:$A$3000,$A2,'07_Pallet_Contents'!$I$2:$I$3000))</f>
        <v/>
      </c>
      <c r="Z555">
        <f>IF($A2="","",IF(COUNTIF('07_Pallet_Contents'!$A$2:$A$3000,$A2)&gt;0,"Yes",""))</f>
        <v/>
      </c>
    </row>
    <row r="556">
      <c r="B556" s="22" t="n"/>
      <c r="G556" s="25" t="n"/>
      <c r="H556" s="24">
        <f>IF(AND($F556="TEMP",$G556&gt;0,$M556&lt;&gt;""),$M556+$G556,"")</f>
        <v/>
      </c>
      <c r="I556" s="22" t="n"/>
      <c r="J556" s="22" t="n"/>
      <c r="K556" s="24" t="n"/>
      <c r="W556">
        <f>IF($A2="","",COUNTIF('07_Pallet_Contents'!$A$2:$A$3000,$A2))</f>
        <v/>
      </c>
      <c r="X556">
        <f>IF($A2="","",SUMIF('07_Pallet_Contents'!$A$2:$A$3000,$A2,'07_Pallet_Contents'!$D$2:$D$3000))</f>
        <v/>
      </c>
      <c r="Y556">
        <f>IF($A2="","",SUMIF('07_Pallet_Contents'!$A$2:$A$3000,$A2,'07_Pallet_Contents'!$I$2:$I$3000))</f>
        <v/>
      </c>
      <c r="Z556">
        <f>IF($A2="","",IF(COUNTIF('07_Pallet_Contents'!$A$2:$A$3000,$A2)&gt;0,"Yes",""))</f>
        <v/>
      </c>
    </row>
    <row r="557">
      <c r="B557" s="22" t="n"/>
      <c r="G557" s="25" t="n"/>
      <c r="H557" s="24">
        <f>IF(AND($F557="TEMP",$G557&gt;0,$M557&lt;&gt;""),$M557+$G557,"")</f>
        <v/>
      </c>
      <c r="I557" s="22" t="n"/>
      <c r="J557" s="22" t="n"/>
      <c r="K557" s="24" t="n"/>
      <c r="W557">
        <f>IF($A2="","",COUNTIF('07_Pallet_Contents'!$A$2:$A$3000,$A2))</f>
        <v/>
      </c>
      <c r="X557">
        <f>IF($A2="","",SUMIF('07_Pallet_Contents'!$A$2:$A$3000,$A2,'07_Pallet_Contents'!$D$2:$D$3000))</f>
        <v/>
      </c>
      <c r="Y557">
        <f>IF($A2="","",SUMIF('07_Pallet_Contents'!$A$2:$A$3000,$A2,'07_Pallet_Contents'!$I$2:$I$3000))</f>
        <v/>
      </c>
      <c r="Z557">
        <f>IF($A2="","",IF(COUNTIF('07_Pallet_Contents'!$A$2:$A$3000,$A2)&gt;0,"Yes",""))</f>
        <v/>
      </c>
    </row>
    <row r="558">
      <c r="B558" s="22" t="n"/>
      <c r="G558" s="25" t="n"/>
      <c r="H558" s="24">
        <f>IF(AND($F558="TEMP",$G558&gt;0,$M558&lt;&gt;""),$M558+$G558,"")</f>
        <v/>
      </c>
      <c r="I558" s="22" t="n"/>
      <c r="J558" s="22" t="n"/>
      <c r="K558" s="24" t="n"/>
      <c r="W558">
        <f>IF($A2="","",COUNTIF('07_Pallet_Contents'!$A$2:$A$3000,$A2))</f>
        <v/>
      </c>
      <c r="X558">
        <f>IF($A2="","",SUMIF('07_Pallet_Contents'!$A$2:$A$3000,$A2,'07_Pallet_Contents'!$D$2:$D$3000))</f>
        <v/>
      </c>
      <c r="Y558">
        <f>IF($A2="","",SUMIF('07_Pallet_Contents'!$A$2:$A$3000,$A2,'07_Pallet_Contents'!$I$2:$I$3000))</f>
        <v/>
      </c>
      <c r="Z558">
        <f>IF($A2="","",IF(COUNTIF('07_Pallet_Contents'!$A$2:$A$3000,$A2)&gt;0,"Yes",""))</f>
        <v/>
      </c>
    </row>
    <row r="559">
      <c r="B559" s="22" t="n"/>
      <c r="G559" s="25" t="n"/>
      <c r="H559" s="24">
        <f>IF(AND($F559="TEMP",$G559&gt;0,$M559&lt;&gt;""),$M559+$G559,"")</f>
        <v/>
      </c>
      <c r="I559" s="22" t="n"/>
      <c r="J559" s="22" t="n"/>
      <c r="K559" s="24" t="n"/>
      <c r="W559">
        <f>IF($A2="","",COUNTIF('07_Pallet_Contents'!$A$2:$A$3000,$A2))</f>
        <v/>
      </c>
      <c r="X559">
        <f>IF($A2="","",SUMIF('07_Pallet_Contents'!$A$2:$A$3000,$A2,'07_Pallet_Contents'!$D$2:$D$3000))</f>
        <v/>
      </c>
      <c r="Y559">
        <f>IF($A2="","",SUMIF('07_Pallet_Contents'!$A$2:$A$3000,$A2,'07_Pallet_Contents'!$I$2:$I$3000))</f>
        <v/>
      </c>
      <c r="Z559">
        <f>IF($A2="","",IF(COUNTIF('07_Pallet_Contents'!$A$2:$A$3000,$A2)&gt;0,"Yes",""))</f>
        <v/>
      </c>
    </row>
    <row r="560">
      <c r="B560" s="22" t="n"/>
      <c r="G560" s="25" t="n"/>
      <c r="H560" s="24">
        <f>IF(AND($F560="TEMP",$G560&gt;0,$M560&lt;&gt;""),$M560+$G560,"")</f>
        <v/>
      </c>
      <c r="I560" s="22" t="n"/>
      <c r="J560" s="22" t="n"/>
      <c r="K560" s="24" t="n"/>
      <c r="W560">
        <f>IF($A2="","",COUNTIF('07_Pallet_Contents'!$A$2:$A$3000,$A2))</f>
        <v/>
      </c>
      <c r="X560">
        <f>IF($A2="","",SUMIF('07_Pallet_Contents'!$A$2:$A$3000,$A2,'07_Pallet_Contents'!$D$2:$D$3000))</f>
        <v/>
      </c>
      <c r="Y560">
        <f>IF($A2="","",SUMIF('07_Pallet_Contents'!$A$2:$A$3000,$A2,'07_Pallet_Contents'!$I$2:$I$3000))</f>
        <v/>
      </c>
      <c r="Z560">
        <f>IF($A2="","",IF(COUNTIF('07_Pallet_Contents'!$A$2:$A$3000,$A2)&gt;0,"Yes",""))</f>
        <v/>
      </c>
    </row>
    <row r="561">
      <c r="B561" s="22" t="n"/>
      <c r="G561" s="25" t="n"/>
      <c r="H561" s="24">
        <f>IF(AND($F561="TEMP",$G561&gt;0,$M561&lt;&gt;""),$M561+$G561,"")</f>
        <v/>
      </c>
      <c r="I561" s="22" t="n"/>
      <c r="J561" s="22" t="n"/>
      <c r="K561" s="24" t="n"/>
      <c r="W561">
        <f>IF($A2="","",COUNTIF('07_Pallet_Contents'!$A$2:$A$3000,$A2))</f>
        <v/>
      </c>
      <c r="X561">
        <f>IF($A2="","",SUMIF('07_Pallet_Contents'!$A$2:$A$3000,$A2,'07_Pallet_Contents'!$D$2:$D$3000))</f>
        <v/>
      </c>
      <c r="Y561">
        <f>IF($A2="","",SUMIF('07_Pallet_Contents'!$A$2:$A$3000,$A2,'07_Pallet_Contents'!$I$2:$I$3000))</f>
        <v/>
      </c>
      <c r="Z561">
        <f>IF($A2="","",IF(COUNTIF('07_Pallet_Contents'!$A$2:$A$3000,$A2)&gt;0,"Yes",""))</f>
        <v/>
      </c>
    </row>
    <row r="562">
      <c r="B562" s="22" t="n"/>
      <c r="G562" s="25" t="n"/>
      <c r="H562" s="24">
        <f>IF(AND($F562="TEMP",$G562&gt;0,$M562&lt;&gt;""),$M562+$G562,"")</f>
        <v/>
      </c>
      <c r="I562" s="22" t="n"/>
      <c r="J562" s="22" t="n"/>
      <c r="K562" s="24" t="n"/>
      <c r="W562">
        <f>IF($A2="","",COUNTIF('07_Pallet_Contents'!$A$2:$A$3000,$A2))</f>
        <v/>
      </c>
      <c r="X562">
        <f>IF($A2="","",SUMIF('07_Pallet_Contents'!$A$2:$A$3000,$A2,'07_Pallet_Contents'!$D$2:$D$3000))</f>
        <v/>
      </c>
      <c r="Y562">
        <f>IF($A2="","",SUMIF('07_Pallet_Contents'!$A$2:$A$3000,$A2,'07_Pallet_Contents'!$I$2:$I$3000))</f>
        <v/>
      </c>
      <c r="Z562">
        <f>IF($A2="","",IF(COUNTIF('07_Pallet_Contents'!$A$2:$A$3000,$A2)&gt;0,"Yes",""))</f>
        <v/>
      </c>
    </row>
    <row r="563">
      <c r="B563" s="22" t="n"/>
      <c r="G563" s="25" t="n"/>
      <c r="H563" s="24">
        <f>IF(AND($F563="TEMP",$G563&gt;0,$M563&lt;&gt;""),$M563+$G563,"")</f>
        <v/>
      </c>
      <c r="I563" s="22" t="n"/>
      <c r="J563" s="22" t="n"/>
      <c r="K563" s="24" t="n"/>
      <c r="W563">
        <f>IF($A2="","",COUNTIF('07_Pallet_Contents'!$A$2:$A$3000,$A2))</f>
        <v/>
      </c>
      <c r="X563">
        <f>IF($A2="","",SUMIF('07_Pallet_Contents'!$A$2:$A$3000,$A2,'07_Pallet_Contents'!$D$2:$D$3000))</f>
        <v/>
      </c>
      <c r="Y563">
        <f>IF($A2="","",SUMIF('07_Pallet_Contents'!$A$2:$A$3000,$A2,'07_Pallet_Contents'!$I$2:$I$3000))</f>
        <v/>
      </c>
      <c r="Z563">
        <f>IF($A2="","",IF(COUNTIF('07_Pallet_Contents'!$A$2:$A$3000,$A2)&gt;0,"Yes",""))</f>
        <v/>
      </c>
    </row>
    <row r="564">
      <c r="B564" s="22" t="n"/>
      <c r="G564" s="25" t="n"/>
      <c r="H564" s="24">
        <f>IF(AND($F564="TEMP",$G564&gt;0,$M564&lt;&gt;""),$M564+$G564,"")</f>
        <v/>
      </c>
      <c r="I564" s="22" t="n"/>
      <c r="J564" s="22" t="n"/>
      <c r="K564" s="24" t="n"/>
      <c r="W564">
        <f>IF($A2="","",COUNTIF('07_Pallet_Contents'!$A$2:$A$3000,$A2))</f>
        <v/>
      </c>
      <c r="X564">
        <f>IF($A2="","",SUMIF('07_Pallet_Contents'!$A$2:$A$3000,$A2,'07_Pallet_Contents'!$D$2:$D$3000))</f>
        <v/>
      </c>
      <c r="Y564">
        <f>IF($A2="","",SUMIF('07_Pallet_Contents'!$A$2:$A$3000,$A2,'07_Pallet_Contents'!$I$2:$I$3000))</f>
        <v/>
      </c>
      <c r="Z564">
        <f>IF($A2="","",IF(COUNTIF('07_Pallet_Contents'!$A$2:$A$3000,$A2)&gt;0,"Yes",""))</f>
        <v/>
      </c>
    </row>
    <row r="565">
      <c r="B565" s="22" t="n"/>
      <c r="G565" s="25" t="n"/>
      <c r="H565" s="24">
        <f>IF(AND($F565="TEMP",$G565&gt;0,$M565&lt;&gt;""),$M565+$G565,"")</f>
        <v/>
      </c>
      <c r="I565" s="22" t="n"/>
      <c r="J565" s="22" t="n"/>
      <c r="K565" s="24" t="n"/>
      <c r="W565">
        <f>IF($A2="","",COUNTIF('07_Pallet_Contents'!$A$2:$A$3000,$A2))</f>
        <v/>
      </c>
      <c r="X565">
        <f>IF($A2="","",SUMIF('07_Pallet_Contents'!$A$2:$A$3000,$A2,'07_Pallet_Contents'!$D$2:$D$3000))</f>
        <v/>
      </c>
      <c r="Y565">
        <f>IF($A2="","",SUMIF('07_Pallet_Contents'!$A$2:$A$3000,$A2,'07_Pallet_Contents'!$I$2:$I$3000))</f>
        <v/>
      </c>
      <c r="Z565">
        <f>IF($A2="","",IF(COUNTIF('07_Pallet_Contents'!$A$2:$A$3000,$A2)&gt;0,"Yes",""))</f>
        <v/>
      </c>
    </row>
    <row r="566">
      <c r="B566" s="22" t="n"/>
      <c r="G566" s="25" t="n"/>
      <c r="H566" s="24">
        <f>IF(AND($F566="TEMP",$G566&gt;0,$M566&lt;&gt;""),$M566+$G566,"")</f>
        <v/>
      </c>
      <c r="I566" s="22" t="n"/>
      <c r="J566" s="22" t="n"/>
      <c r="K566" s="24" t="n"/>
      <c r="W566">
        <f>IF($A2="","",COUNTIF('07_Pallet_Contents'!$A$2:$A$3000,$A2))</f>
        <v/>
      </c>
      <c r="X566">
        <f>IF($A2="","",SUMIF('07_Pallet_Contents'!$A$2:$A$3000,$A2,'07_Pallet_Contents'!$D$2:$D$3000))</f>
        <v/>
      </c>
      <c r="Y566">
        <f>IF($A2="","",SUMIF('07_Pallet_Contents'!$A$2:$A$3000,$A2,'07_Pallet_Contents'!$I$2:$I$3000))</f>
        <v/>
      </c>
      <c r="Z566">
        <f>IF($A2="","",IF(COUNTIF('07_Pallet_Contents'!$A$2:$A$3000,$A2)&gt;0,"Yes",""))</f>
        <v/>
      </c>
    </row>
    <row r="567">
      <c r="B567" s="22" t="n"/>
      <c r="G567" s="25" t="n"/>
      <c r="H567" s="24">
        <f>IF(AND($F567="TEMP",$G567&gt;0,$M567&lt;&gt;""),$M567+$G567,"")</f>
        <v/>
      </c>
      <c r="I567" s="22" t="n"/>
      <c r="J567" s="22" t="n"/>
      <c r="K567" s="24" t="n"/>
      <c r="W567">
        <f>IF($A2="","",COUNTIF('07_Pallet_Contents'!$A$2:$A$3000,$A2))</f>
        <v/>
      </c>
      <c r="X567">
        <f>IF($A2="","",SUMIF('07_Pallet_Contents'!$A$2:$A$3000,$A2,'07_Pallet_Contents'!$D$2:$D$3000))</f>
        <v/>
      </c>
      <c r="Y567">
        <f>IF($A2="","",SUMIF('07_Pallet_Contents'!$A$2:$A$3000,$A2,'07_Pallet_Contents'!$I$2:$I$3000))</f>
        <v/>
      </c>
      <c r="Z567">
        <f>IF($A2="","",IF(COUNTIF('07_Pallet_Contents'!$A$2:$A$3000,$A2)&gt;0,"Yes",""))</f>
        <v/>
      </c>
    </row>
    <row r="568">
      <c r="B568" s="22" t="n"/>
      <c r="G568" s="25" t="n"/>
      <c r="H568" s="24">
        <f>IF(AND($F568="TEMP",$G568&gt;0,$M568&lt;&gt;""),$M568+$G568,"")</f>
        <v/>
      </c>
      <c r="I568" s="22" t="n"/>
      <c r="J568" s="22" t="n"/>
      <c r="K568" s="24" t="n"/>
      <c r="W568">
        <f>IF($A2="","",COUNTIF('07_Pallet_Contents'!$A$2:$A$3000,$A2))</f>
        <v/>
      </c>
      <c r="X568">
        <f>IF($A2="","",SUMIF('07_Pallet_Contents'!$A$2:$A$3000,$A2,'07_Pallet_Contents'!$D$2:$D$3000))</f>
        <v/>
      </c>
      <c r="Y568">
        <f>IF($A2="","",SUMIF('07_Pallet_Contents'!$A$2:$A$3000,$A2,'07_Pallet_Contents'!$I$2:$I$3000))</f>
        <v/>
      </c>
      <c r="Z568">
        <f>IF($A2="","",IF(COUNTIF('07_Pallet_Contents'!$A$2:$A$3000,$A2)&gt;0,"Yes",""))</f>
        <v/>
      </c>
    </row>
    <row r="569">
      <c r="B569" s="22" t="n"/>
      <c r="G569" s="25" t="n"/>
      <c r="H569" s="24">
        <f>IF(AND($F569="TEMP",$G569&gt;0,$M569&lt;&gt;""),$M569+$G569,"")</f>
        <v/>
      </c>
      <c r="I569" s="22" t="n"/>
      <c r="J569" s="22" t="n"/>
      <c r="K569" s="24" t="n"/>
      <c r="W569">
        <f>IF($A2="","",COUNTIF('07_Pallet_Contents'!$A$2:$A$3000,$A2))</f>
        <v/>
      </c>
      <c r="X569">
        <f>IF($A2="","",SUMIF('07_Pallet_Contents'!$A$2:$A$3000,$A2,'07_Pallet_Contents'!$D$2:$D$3000))</f>
        <v/>
      </c>
      <c r="Y569">
        <f>IF($A2="","",SUMIF('07_Pallet_Contents'!$A$2:$A$3000,$A2,'07_Pallet_Contents'!$I$2:$I$3000))</f>
        <v/>
      </c>
      <c r="Z569">
        <f>IF($A2="","",IF(COUNTIF('07_Pallet_Contents'!$A$2:$A$3000,$A2)&gt;0,"Yes",""))</f>
        <v/>
      </c>
    </row>
    <row r="570">
      <c r="B570" s="22" t="n"/>
      <c r="G570" s="25" t="n"/>
      <c r="H570" s="24">
        <f>IF(AND($F570="TEMP",$G570&gt;0,$M570&lt;&gt;""),$M570+$G570,"")</f>
        <v/>
      </c>
      <c r="I570" s="22" t="n"/>
      <c r="J570" s="22" t="n"/>
      <c r="K570" s="24" t="n"/>
      <c r="W570">
        <f>IF($A2="","",COUNTIF('07_Pallet_Contents'!$A$2:$A$3000,$A2))</f>
        <v/>
      </c>
      <c r="X570">
        <f>IF($A2="","",SUMIF('07_Pallet_Contents'!$A$2:$A$3000,$A2,'07_Pallet_Contents'!$D$2:$D$3000))</f>
        <v/>
      </c>
      <c r="Y570">
        <f>IF($A2="","",SUMIF('07_Pallet_Contents'!$A$2:$A$3000,$A2,'07_Pallet_Contents'!$I$2:$I$3000))</f>
        <v/>
      </c>
      <c r="Z570">
        <f>IF($A2="","",IF(COUNTIF('07_Pallet_Contents'!$A$2:$A$3000,$A2)&gt;0,"Yes",""))</f>
        <v/>
      </c>
    </row>
    <row r="571">
      <c r="B571" s="22" t="n"/>
      <c r="G571" s="25" t="n"/>
      <c r="H571" s="24">
        <f>IF(AND($F571="TEMP",$G571&gt;0,$M571&lt;&gt;""),$M571+$G571,"")</f>
        <v/>
      </c>
      <c r="I571" s="22" t="n"/>
      <c r="J571" s="22" t="n"/>
      <c r="K571" s="24" t="n"/>
      <c r="W571">
        <f>IF($A2="","",COUNTIF('07_Pallet_Contents'!$A$2:$A$3000,$A2))</f>
        <v/>
      </c>
      <c r="X571">
        <f>IF($A2="","",SUMIF('07_Pallet_Contents'!$A$2:$A$3000,$A2,'07_Pallet_Contents'!$D$2:$D$3000))</f>
        <v/>
      </c>
      <c r="Y571">
        <f>IF($A2="","",SUMIF('07_Pallet_Contents'!$A$2:$A$3000,$A2,'07_Pallet_Contents'!$I$2:$I$3000))</f>
        <v/>
      </c>
      <c r="Z571">
        <f>IF($A2="","",IF(COUNTIF('07_Pallet_Contents'!$A$2:$A$3000,$A2)&gt;0,"Yes",""))</f>
        <v/>
      </c>
    </row>
    <row r="572">
      <c r="B572" s="22" t="n"/>
      <c r="G572" s="25" t="n"/>
      <c r="H572" s="24">
        <f>IF(AND($F572="TEMP",$G572&gt;0,$M572&lt;&gt;""),$M572+$G572,"")</f>
        <v/>
      </c>
      <c r="I572" s="22" t="n"/>
      <c r="J572" s="22" t="n"/>
      <c r="K572" s="24" t="n"/>
      <c r="W572">
        <f>IF($A2="","",COUNTIF('07_Pallet_Contents'!$A$2:$A$3000,$A2))</f>
        <v/>
      </c>
      <c r="X572">
        <f>IF($A2="","",SUMIF('07_Pallet_Contents'!$A$2:$A$3000,$A2,'07_Pallet_Contents'!$D$2:$D$3000))</f>
        <v/>
      </c>
      <c r="Y572">
        <f>IF($A2="","",SUMIF('07_Pallet_Contents'!$A$2:$A$3000,$A2,'07_Pallet_Contents'!$I$2:$I$3000))</f>
        <v/>
      </c>
      <c r="Z572">
        <f>IF($A2="","",IF(COUNTIF('07_Pallet_Contents'!$A$2:$A$3000,$A2)&gt;0,"Yes",""))</f>
        <v/>
      </c>
    </row>
    <row r="573">
      <c r="B573" s="22" t="n"/>
      <c r="G573" s="25" t="n"/>
      <c r="H573" s="24">
        <f>IF(AND($F573="TEMP",$G573&gt;0,$M573&lt;&gt;""),$M573+$G573,"")</f>
        <v/>
      </c>
      <c r="I573" s="22" t="n"/>
      <c r="J573" s="22" t="n"/>
      <c r="K573" s="24" t="n"/>
      <c r="W573">
        <f>IF($A2="","",COUNTIF('07_Pallet_Contents'!$A$2:$A$3000,$A2))</f>
        <v/>
      </c>
      <c r="X573">
        <f>IF($A2="","",SUMIF('07_Pallet_Contents'!$A$2:$A$3000,$A2,'07_Pallet_Contents'!$D$2:$D$3000))</f>
        <v/>
      </c>
      <c r="Y573">
        <f>IF($A2="","",SUMIF('07_Pallet_Contents'!$A$2:$A$3000,$A2,'07_Pallet_Contents'!$I$2:$I$3000))</f>
        <v/>
      </c>
      <c r="Z573">
        <f>IF($A2="","",IF(COUNTIF('07_Pallet_Contents'!$A$2:$A$3000,$A2)&gt;0,"Yes",""))</f>
        <v/>
      </c>
    </row>
    <row r="574">
      <c r="B574" s="22" t="n"/>
      <c r="G574" s="25" t="n"/>
      <c r="H574" s="24">
        <f>IF(AND($F574="TEMP",$G574&gt;0,$M574&lt;&gt;""),$M574+$G574,"")</f>
        <v/>
      </c>
      <c r="I574" s="22" t="n"/>
      <c r="J574" s="22" t="n"/>
      <c r="K574" s="24" t="n"/>
      <c r="W574">
        <f>IF($A2="","",COUNTIF('07_Pallet_Contents'!$A$2:$A$3000,$A2))</f>
        <v/>
      </c>
      <c r="X574">
        <f>IF($A2="","",SUMIF('07_Pallet_Contents'!$A$2:$A$3000,$A2,'07_Pallet_Contents'!$D$2:$D$3000))</f>
        <v/>
      </c>
      <c r="Y574">
        <f>IF($A2="","",SUMIF('07_Pallet_Contents'!$A$2:$A$3000,$A2,'07_Pallet_Contents'!$I$2:$I$3000))</f>
        <v/>
      </c>
      <c r="Z574">
        <f>IF($A2="","",IF(COUNTIF('07_Pallet_Contents'!$A$2:$A$3000,$A2)&gt;0,"Yes",""))</f>
        <v/>
      </c>
    </row>
    <row r="575">
      <c r="B575" s="22" t="n"/>
      <c r="G575" s="25" t="n"/>
      <c r="H575" s="24">
        <f>IF(AND($F575="TEMP",$G575&gt;0,$M575&lt;&gt;""),$M575+$G575,"")</f>
        <v/>
      </c>
      <c r="I575" s="22" t="n"/>
      <c r="J575" s="22" t="n"/>
      <c r="K575" s="24" t="n"/>
      <c r="W575">
        <f>IF($A2="","",COUNTIF('07_Pallet_Contents'!$A$2:$A$3000,$A2))</f>
        <v/>
      </c>
      <c r="X575">
        <f>IF($A2="","",SUMIF('07_Pallet_Contents'!$A$2:$A$3000,$A2,'07_Pallet_Contents'!$D$2:$D$3000))</f>
        <v/>
      </c>
      <c r="Y575">
        <f>IF($A2="","",SUMIF('07_Pallet_Contents'!$A$2:$A$3000,$A2,'07_Pallet_Contents'!$I$2:$I$3000))</f>
        <v/>
      </c>
      <c r="Z575">
        <f>IF($A2="","",IF(COUNTIF('07_Pallet_Contents'!$A$2:$A$3000,$A2)&gt;0,"Yes",""))</f>
        <v/>
      </c>
    </row>
    <row r="576">
      <c r="B576" s="22" t="n"/>
      <c r="G576" s="25" t="n"/>
      <c r="H576" s="24">
        <f>IF(AND($F576="TEMP",$G576&gt;0,$M576&lt;&gt;""),$M576+$G576,"")</f>
        <v/>
      </c>
      <c r="I576" s="22" t="n"/>
      <c r="J576" s="22" t="n"/>
      <c r="K576" s="24" t="n"/>
      <c r="W576">
        <f>IF($A2="","",COUNTIF('07_Pallet_Contents'!$A$2:$A$3000,$A2))</f>
        <v/>
      </c>
      <c r="X576">
        <f>IF($A2="","",SUMIF('07_Pallet_Contents'!$A$2:$A$3000,$A2,'07_Pallet_Contents'!$D$2:$D$3000))</f>
        <v/>
      </c>
      <c r="Y576">
        <f>IF($A2="","",SUMIF('07_Pallet_Contents'!$A$2:$A$3000,$A2,'07_Pallet_Contents'!$I$2:$I$3000))</f>
        <v/>
      </c>
      <c r="Z576">
        <f>IF($A2="","",IF(COUNTIF('07_Pallet_Contents'!$A$2:$A$3000,$A2)&gt;0,"Yes",""))</f>
        <v/>
      </c>
    </row>
    <row r="577">
      <c r="B577" s="22" t="n"/>
      <c r="G577" s="25" t="n"/>
      <c r="H577" s="24">
        <f>IF(AND($F577="TEMP",$G577&gt;0,$M577&lt;&gt;""),$M577+$G577,"")</f>
        <v/>
      </c>
      <c r="I577" s="22" t="n"/>
      <c r="J577" s="22" t="n"/>
      <c r="K577" s="24" t="n"/>
      <c r="W577">
        <f>IF($A2="","",COUNTIF('07_Pallet_Contents'!$A$2:$A$3000,$A2))</f>
        <v/>
      </c>
      <c r="X577">
        <f>IF($A2="","",SUMIF('07_Pallet_Contents'!$A$2:$A$3000,$A2,'07_Pallet_Contents'!$D$2:$D$3000))</f>
        <v/>
      </c>
      <c r="Y577">
        <f>IF($A2="","",SUMIF('07_Pallet_Contents'!$A$2:$A$3000,$A2,'07_Pallet_Contents'!$I$2:$I$3000))</f>
        <v/>
      </c>
      <c r="Z577">
        <f>IF($A2="","",IF(COUNTIF('07_Pallet_Contents'!$A$2:$A$3000,$A2)&gt;0,"Yes",""))</f>
        <v/>
      </c>
    </row>
    <row r="578">
      <c r="B578" s="22" t="n"/>
      <c r="G578" s="25" t="n"/>
      <c r="H578" s="24">
        <f>IF(AND($F578="TEMP",$G578&gt;0,$M578&lt;&gt;""),$M578+$G578,"")</f>
        <v/>
      </c>
      <c r="I578" s="22" t="n"/>
      <c r="J578" s="22" t="n"/>
      <c r="K578" s="24" t="n"/>
      <c r="W578">
        <f>IF($A2="","",COUNTIF('07_Pallet_Contents'!$A$2:$A$3000,$A2))</f>
        <v/>
      </c>
      <c r="X578">
        <f>IF($A2="","",SUMIF('07_Pallet_Contents'!$A$2:$A$3000,$A2,'07_Pallet_Contents'!$D$2:$D$3000))</f>
        <v/>
      </c>
      <c r="Y578">
        <f>IF($A2="","",SUMIF('07_Pallet_Contents'!$A$2:$A$3000,$A2,'07_Pallet_Contents'!$I$2:$I$3000))</f>
        <v/>
      </c>
      <c r="Z578">
        <f>IF($A2="","",IF(COUNTIF('07_Pallet_Contents'!$A$2:$A$3000,$A2)&gt;0,"Yes",""))</f>
        <v/>
      </c>
    </row>
    <row r="579">
      <c r="B579" s="22" t="n"/>
      <c r="G579" s="25" t="n"/>
      <c r="H579" s="24">
        <f>IF(AND($F579="TEMP",$G579&gt;0,$M579&lt;&gt;""),$M579+$G579,"")</f>
        <v/>
      </c>
      <c r="I579" s="22" t="n"/>
      <c r="J579" s="22" t="n"/>
      <c r="K579" s="24" t="n"/>
      <c r="W579">
        <f>IF($A2="","",COUNTIF('07_Pallet_Contents'!$A$2:$A$3000,$A2))</f>
        <v/>
      </c>
      <c r="X579">
        <f>IF($A2="","",SUMIF('07_Pallet_Contents'!$A$2:$A$3000,$A2,'07_Pallet_Contents'!$D$2:$D$3000))</f>
        <v/>
      </c>
      <c r="Y579">
        <f>IF($A2="","",SUMIF('07_Pallet_Contents'!$A$2:$A$3000,$A2,'07_Pallet_Contents'!$I$2:$I$3000))</f>
        <v/>
      </c>
      <c r="Z579">
        <f>IF($A2="","",IF(COUNTIF('07_Pallet_Contents'!$A$2:$A$3000,$A2)&gt;0,"Yes",""))</f>
        <v/>
      </c>
    </row>
    <row r="580">
      <c r="B580" s="22" t="n"/>
      <c r="G580" s="25" t="n"/>
      <c r="H580" s="24">
        <f>IF(AND($F580="TEMP",$G580&gt;0,$M580&lt;&gt;""),$M580+$G580,"")</f>
        <v/>
      </c>
      <c r="I580" s="22" t="n"/>
      <c r="J580" s="22" t="n"/>
      <c r="K580" s="24" t="n"/>
      <c r="W580">
        <f>IF($A2="","",COUNTIF('07_Pallet_Contents'!$A$2:$A$3000,$A2))</f>
        <v/>
      </c>
      <c r="X580">
        <f>IF($A2="","",SUMIF('07_Pallet_Contents'!$A$2:$A$3000,$A2,'07_Pallet_Contents'!$D$2:$D$3000))</f>
        <v/>
      </c>
      <c r="Y580">
        <f>IF($A2="","",SUMIF('07_Pallet_Contents'!$A$2:$A$3000,$A2,'07_Pallet_Contents'!$I$2:$I$3000))</f>
        <v/>
      </c>
      <c r="Z580">
        <f>IF($A2="","",IF(COUNTIF('07_Pallet_Contents'!$A$2:$A$3000,$A2)&gt;0,"Yes",""))</f>
        <v/>
      </c>
    </row>
    <row r="581">
      <c r="B581" s="22" t="n"/>
      <c r="G581" s="25" t="n"/>
      <c r="H581" s="24">
        <f>IF(AND($F581="TEMP",$G581&gt;0,$M581&lt;&gt;""),$M581+$G581,"")</f>
        <v/>
      </c>
      <c r="I581" s="22" t="n"/>
      <c r="J581" s="22" t="n"/>
      <c r="K581" s="24" t="n"/>
      <c r="W581">
        <f>IF($A2="","",COUNTIF('07_Pallet_Contents'!$A$2:$A$3000,$A2))</f>
        <v/>
      </c>
      <c r="X581">
        <f>IF($A2="","",SUMIF('07_Pallet_Contents'!$A$2:$A$3000,$A2,'07_Pallet_Contents'!$D$2:$D$3000))</f>
        <v/>
      </c>
      <c r="Y581">
        <f>IF($A2="","",SUMIF('07_Pallet_Contents'!$A$2:$A$3000,$A2,'07_Pallet_Contents'!$I$2:$I$3000))</f>
        <v/>
      </c>
      <c r="Z581">
        <f>IF($A2="","",IF(COUNTIF('07_Pallet_Contents'!$A$2:$A$3000,$A2)&gt;0,"Yes",""))</f>
        <v/>
      </c>
    </row>
    <row r="582">
      <c r="B582" s="22" t="n"/>
      <c r="G582" s="25" t="n"/>
      <c r="H582" s="24">
        <f>IF(AND($F582="TEMP",$G582&gt;0,$M582&lt;&gt;""),$M582+$G582,"")</f>
        <v/>
      </c>
      <c r="I582" s="22" t="n"/>
      <c r="J582" s="22" t="n"/>
      <c r="K582" s="24" t="n"/>
      <c r="W582">
        <f>IF($A2="","",COUNTIF('07_Pallet_Contents'!$A$2:$A$3000,$A2))</f>
        <v/>
      </c>
      <c r="X582">
        <f>IF($A2="","",SUMIF('07_Pallet_Contents'!$A$2:$A$3000,$A2,'07_Pallet_Contents'!$D$2:$D$3000))</f>
        <v/>
      </c>
      <c r="Y582">
        <f>IF($A2="","",SUMIF('07_Pallet_Contents'!$A$2:$A$3000,$A2,'07_Pallet_Contents'!$I$2:$I$3000))</f>
        <v/>
      </c>
      <c r="Z582">
        <f>IF($A2="","",IF(COUNTIF('07_Pallet_Contents'!$A$2:$A$3000,$A2)&gt;0,"Yes",""))</f>
        <v/>
      </c>
    </row>
    <row r="583">
      <c r="B583" s="22" t="n"/>
      <c r="G583" s="25" t="n"/>
      <c r="H583" s="24">
        <f>IF(AND($F583="TEMP",$G583&gt;0,$M583&lt;&gt;""),$M583+$G583,"")</f>
        <v/>
      </c>
      <c r="I583" s="22" t="n"/>
      <c r="J583" s="22" t="n"/>
      <c r="K583" s="24" t="n"/>
      <c r="W583">
        <f>IF($A2="","",COUNTIF('07_Pallet_Contents'!$A$2:$A$3000,$A2))</f>
        <v/>
      </c>
      <c r="X583">
        <f>IF($A2="","",SUMIF('07_Pallet_Contents'!$A$2:$A$3000,$A2,'07_Pallet_Contents'!$D$2:$D$3000))</f>
        <v/>
      </c>
      <c r="Y583">
        <f>IF($A2="","",SUMIF('07_Pallet_Contents'!$A$2:$A$3000,$A2,'07_Pallet_Contents'!$I$2:$I$3000))</f>
        <v/>
      </c>
      <c r="Z583">
        <f>IF($A2="","",IF(COUNTIF('07_Pallet_Contents'!$A$2:$A$3000,$A2)&gt;0,"Yes",""))</f>
        <v/>
      </c>
    </row>
    <row r="584">
      <c r="B584" s="22" t="n"/>
      <c r="G584" s="25" t="n"/>
      <c r="H584" s="24">
        <f>IF(AND($F584="TEMP",$G584&gt;0,$M584&lt;&gt;""),$M584+$G584,"")</f>
        <v/>
      </c>
      <c r="I584" s="22" t="n"/>
      <c r="J584" s="22" t="n"/>
      <c r="K584" s="24" t="n"/>
      <c r="W584">
        <f>IF($A2="","",COUNTIF('07_Pallet_Contents'!$A$2:$A$3000,$A2))</f>
        <v/>
      </c>
      <c r="X584">
        <f>IF($A2="","",SUMIF('07_Pallet_Contents'!$A$2:$A$3000,$A2,'07_Pallet_Contents'!$D$2:$D$3000))</f>
        <v/>
      </c>
      <c r="Y584">
        <f>IF($A2="","",SUMIF('07_Pallet_Contents'!$A$2:$A$3000,$A2,'07_Pallet_Contents'!$I$2:$I$3000))</f>
        <v/>
      </c>
      <c r="Z584">
        <f>IF($A2="","",IF(COUNTIF('07_Pallet_Contents'!$A$2:$A$3000,$A2)&gt;0,"Yes",""))</f>
        <v/>
      </c>
    </row>
    <row r="585">
      <c r="B585" s="22" t="n"/>
      <c r="G585" s="25" t="n"/>
      <c r="H585" s="24">
        <f>IF(AND($F585="TEMP",$G585&gt;0,$M585&lt;&gt;""),$M585+$G585,"")</f>
        <v/>
      </c>
      <c r="I585" s="22" t="n"/>
      <c r="J585" s="22" t="n"/>
      <c r="K585" s="24" t="n"/>
      <c r="W585">
        <f>IF($A2="","",COUNTIF('07_Pallet_Contents'!$A$2:$A$3000,$A2))</f>
        <v/>
      </c>
      <c r="X585">
        <f>IF($A2="","",SUMIF('07_Pallet_Contents'!$A$2:$A$3000,$A2,'07_Pallet_Contents'!$D$2:$D$3000))</f>
        <v/>
      </c>
      <c r="Y585">
        <f>IF($A2="","",SUMIF('07_Pallet_Contents'!$A$2:$A$3000,$A2,'07_Pallet_Contents'!$I$2:$I$3000))</f>
        <v/>
      </c>
      <c r="Z585">
        <f>IF($A2="","",IF(COUNTIF('07_Pallet_Contents'!$A$2:$A$3000,$A2)&gt;0,"Yes",""))</f>
        <v/>
      </c>
    </row>
    <row r="586">
      <c r="B586" s="22" t="n"/>
      <c r="G586" s="25" t="n"/>
      <c r="H586" s="24">
        <f>IF(AND($F586="TEMP",$G586&gt;0,$M586&lt;&gt;""),$M586+$G586,"")</f>
        <v/>
      </c>
      <c r="I586" s="22" t="n"/>
      <c r="J586" s="22" t="n"/>
      <c r="K586" s="24" t="n"/>
      <c r="W586">
        <f>IF($A2="","",COUNTIF('07_Pallet_Contents'!$A$2:$A$3000,$A2))</f>
        <v/>
      </c>
      <c r="X586">
        <f>IF($A2="","",SUMIF('07_Pallet_Contents'!$A$2:$A$3000,$A2,'07_Pallet_Contents'!$D$2:$D$3000))</f>
        <v/>
      </c>
      <c r="Y586">
        <f>IF($A2="","",SUMIF('07_Pallet_Contents'!$A$2:$A$3000,$A2,'07_Pallet_Contents'!$I$2:$I$3000))</f>
        <v/>
      </c>
      <c r="Z586">
        <f>IF($A2="","",IF(COUNTIF('07_Pallet_Contents'!$A$2:$A$3000,$A2)&gt;0,"Yes",""))</f>
        <v/>
      </c>
    </row>
    <row r="587">
      <c r="B587" s="22" t="n"/>
      <c r="G587" s="25" t="n"/>
      <c r="H587" s="24">
        <f>IF(AND($F587="TEMP",$G587&gt;0,$M587&lt;&gt;""),$M587+$G587,"")</f>
        <v/>
      </c>
      <c r="I587" s="22" t="n"/>
      <c r="J587" s="22" t="n"/>
      <c r="K587" s="24" t="n"/>
      <c r="W587">
        <f>IF($A2="","",COUNTIF('07_Pallet_Contents'!$A$2:$A$3000,$A2))</f>
        <v/>
      </c>
      <c r="X587">
        <f>IF($A2="","",SUMIF('07_Pallet_Contents'!$A$2:$A$3000,$A2,'07_Pallet_Contents'!$D$2:$D$3000))</f>
        <v/>
      </c>
      <c r="Y587">
        <f>IF($A2="","",SUMIF('07_Pallet_Contents'!$A$2:$A$3000,$A2,'07_Pallet_Contents'!$I$2:$I$3000))</f>
        <v/>
      </c>
      <c r="Z587">
        <f>IF($A2="","",IF(COUNTIF('07_Pallet_Contents'!$A$2:$A$3000,$A2)&gt;0,"Yes",""))</f>
        <v/>
      </c>
    </row>
    <row r="588">
      <c r="B588" s="22" t="n"/>
      <c r="G588" s="25" t="n"/>
      <c r="H588" s="24">
        <f>IF(AND($F588="TEMP",$G588&gt;0,$M588&lt;&gt;""),$M588+$G588,"")</f>
        <v/>
      </c>
      <c r="I588" s="22" t="n"/>
      <c r="J588" s="22" t="n"/>
      <c r="K588" s="24" t="n"/>
      <c r="W588">
        <f>IF($A2="","",COUNTIF('07_Pallet_Contents'!$A$2:$A$3000,$A2))</f>
        <v/>
      </c>
      <c r="X588">
        <f>IF($A2="","",SUMIF('07_Pallet_Contents'!$A$2:$A$3000,$A2,'07_Pallet_Contents'!$D$2:$D$3000))</f>
        <v/>
      </c>
      <c r="Y588">
        <f>IF($A2="","",SUMIF('07_Pallet_Contents'!$A$2:$A$3000,$A2,'07_Pallet_Contents'!$I$2:$I$3000))</f>
        <v/>
      </c>
      <c r="Z588">
        <f>IF($A2="","",IF(COUNTIF('07_Pallet_Contents'!$A$2:$A$3000,$A2)&gt;0,"Yes",""))</f>
        <v/>
      </c>
    </row>
    <row r="589">
      <c r="B589" s="22" t="n"/>
      <c r="G589" s="25" t="n"/>
      <c r="H589" s="24">
        <f>IF(AND($F589="TEMP",$G589&gt;0,$M589&lt;&gt;""),$M589+$G589,"")</f>
        <v/>
      </c>
      <c r="I589" s="22" t="n"/>
      <c r="J589" s="22" t="n"/>
      <c r="K589" s="24" t="n"/>
      <c r="W589">
        <f>IF($A2="","",COUNTIF('07_Pallet_Contents'!$A$2:$A$3000,$A2))</f>
        <v/>
      </c>
      <c r="X589">
        <f>IF($A2="","",SUMIF('07_Pallet_Contents'!$A$2:$A$3000,$A2,'07_Pallet_Contents'!$D$2:$D$3000))</f>
        <v/>
      </c>
      <c r="Y589">
        <f>IF($A2="","",SUMIF('07_Pallet_Contents'!$A$2:$A$3000,$A2,'07_Pallet_Contents'!$I$2:$I$3000))</f>
        <v/>
      </c>
      <c r="Z589">
        <f>IF($A2="","",IF(COUNTIF('07_Pallet_Contents'!$A$2:$A$3000,$A2)&gt;0,"Yes",""))</f>
        <v/>
      </c>
    </row>
    <row r="590">
      <c r="B590" s="22" t="n"/>
      <c r="G590" s="25" t="n"/>
      <c r="H590" s="24">
        <f>IF(AND($F590="TEMP",$G590&gt;0,$M590&lt;&gt;""),$M590+$G590,"")</f>
        <v/>
      </c>
      <c r="I590" s="22" t="n"/>
      <c r="J590" s="22" t="n"/>
      <c r="K590" s="24" t="n"/>
      <c r="W590">
        <f>IF($A2="","",COUNTIF('07_Pallet_Contents'!$A$2:$A$3000,$A2))</f>
        <v/>
      </c>
      <c r="X590">
        <f>IF($A2="","",SUMIF('07_Pallet_Contents'!$A$2:$A$3000,$A2,'07_Pallet_Contents'!$D$2:$D$3000))</f>
        <v/>
      </c>
      <c r="Y590">
        <f>IF($A2="","",SUMIF('07_Pallet_Contents'!$A$2:$A$3000,$A2,'07_Pallet_Contents'!$I$2:$I$3000))</f>
        <v/>
      </c>
      <c r="Z590">
        <f>IF($A2="","",IF(COUNTIF('07_Pallet_Contents'!$A$2:$A$3000,$A2)&gt;0,"Yes",""))</f>
        <v/>
      </c>
    </row>
    <row r="591">
      <c r="B591" s="22" t="n"/>
      <c r="G591" s="25" t="n"/>
      <c r="H591" s="24">
        <f>IF(AND($F591="TEMP",$G591&gt;0,$M591&lt;&gt;""),$M591+$G591,"")</f>
        <v/>
      </c>
      <c r="I591" s="22" t="n"/>
      <c r="J591" s="22" t="n"/>
      <c r="K591" s="24" t="n"/>
      <c r="W591">
        <f>IF($A2="","",COUNTIF('07_Pallet_Contents'!$A$2:$A$3000,$A2))</f>
        <v/>
      </c>
      <c r="X591">
        <f>IF($A2="","",SUMIF('07_Pallet_Contents'!$A$2:$A$3000,$A2,'07_Pallet_Contents'!$D$2:$D$3000))</f>
        <v/>
      </c>
      <c r="Y591">
        <f>IF($A2="","",SUMIF('07_Pallet_Contents'!$A$2:$A$3000,$A2,'07_Pallet_Contents'!$I$2:$I$3000))</f>
        <v/>
      </c>
      <c r="Z591">
        <f>IF($A2="","",IF(COUNTIF('07_Pallet_Contents'!$A$2:$A$3000,$A2)&gt;0,"Yes",""))</f>
        <v/>
      </c>
    </row>
    <row r="592">
      <c r="B592" s="22" t="n"/>
      <c r="G592" s="25" t="n"/>
      <c r="H592" s="24">
        <f>IF(AND($F592="TEMP",$G592&gt;0,$M592&lt;&gt;""),$M592+$G592,"")</f>
        <v/>
      </c>
      <c r="I592" s="22" t="n"/>
      <c r="J592" s="22" t="n"/>
      <c r="K592" s="24" t="n"/>
      <c r="W592">
        <f>IF($A2="","",COUNTIF('07_Pallet_Contents'!$A$2:$A$3000,$A2))</f>
        <v/>
      </c>
      <c r="X592">
        <f>IF($A2="","",SUMIF('07_Pallet_Contents'!$A$2:$A$3000,$A2,'07_Pallet_Contents'!$D$2:$D$3000))</f>
        <v/>
      </c>
      <c r="Y592">
        <f>IF($A2="","",SUMIF('07_Pallet_Contents'!$A$2:$A$3000,$A2,'07_Pallet_Contents'!$I$2:$I$3000))</f>
        <v/>
      </c>
      <c r="Z592">
        <f>IF($A2="","",IF(COUNTIF('07_Pallet_Contents'!$A$2:$A$3000,$A2)&gt;0,"Yes",""))</f>
        <v/>
      </c>
    </row>
    <row r="593">
      <c r="B593" s="22" t="n"/>
      <c r="G593" s="25" t="n"/>
      <c r="H593" s="24">
        <f>IF(AND($F593="TEMP",$G593&gt;0,$M593&lt;&gt;""),$M593+$G593,"")</f>
        <v/>
      </c>
      <c r="I593" s="22" t="n"/>
      <c r="J593" s="22" t="n"/>
      <c r="K593" s="24" t="n"/>
      <c r="W593">
        <f>IF($A2="","",COUNTIF('07_Pallet_Contents'!$A$2:$A$3000,$A2))</f>
        <v/>
      </c>
      <c r="X593">
        <f>IF($A2="","",SUMIF('07_Pallet_Contents'!$A$2:$A$3000,$A2,'07_Pallet_Contents'!$D$2:$D$3000))</f>
        <v/>
      </c>
      <c r="Y593">
        <f>IF($A2="","",SUMIF('07_Pallet_Contents'!$A$2:$A$3000,$A2,'07_Pallet_Contents'!$I$2:$I$3000))</f>
        <v/>
      </c>
      <c r="Z593">
        <f>IF($A2="","",IF(COUNTIF('07_Pallet_Contents'!$A$2:$A$3000,$A2)&gt;0,"Yes",""))</f>
        <v/>
      </c>
    </row>
    <row r="594">
      <c r="B594" s="22" t="n"/>
      <c r="G594" s="25" t="n"/>
      <c r="H594" s="24">
        <f>IF(AND($F594="TEMP",$G594&gt;0,$M594&lt;&gt;""),$M594+$G594,"")</f>
        <v/>
      </c>
      <c r="I594" s="22" t="n"/>
      <c r="J594" s="22" t="n"/>
      <c r="K594" s="24" t="n"/>
      <c r="W594">
        <f>IF($A2="","",COUNTIF('07_Pallet_Contents'!$A$2:$A$3000,$A2))</f>
        <v/>
      </c>
      <c r="X594">
        <f>IF($A2="","",SUMIF('07_Pallet_Contents'!$A$2:$A$3000,$A2,'07_Pallet_Contents'!$D$2:$D$3000))</f>
        <v/>
      </c>
      <c r="Y594">
        <f>IF($A2="","",SUMIF('07_Pallet_Contents'!$A$2:$A$3000,$A2,'07_Pallet_Contents'!$I$2:$I$3000))</f>
        <v/>
      </c>
      <c r="Z594">
        <f>IF($A2="","",IF(COUNTIF('07_Pallet_Contents'!$A$2:$A$3000,$A2)&gt;0,"Yes",""))</f>
        <v/>
      </c>
    </row>
    <row r="595">
      <c r="B595" s="22" t="n"/>
      <c r="G595" s="25" t="n"/>
      <c r="H595" s="24">
        <f>IF(AND($F595="TEMP",$G595&gt;0,$M595&lt;&gt;""),$M595+$G595,"")</f>
        <v/>
      </c>
      <c r="I595" s="22" t="n"/>
      <c r="J595" s="22" t="n"/>
      <c r="K595" s="24" t="n"/>
      <c r="W595">
        <f>IF($A2="","",COUNTIF('07_Pallet_Contents'!$A$2:$A$3000,$A2))</f>
        <v/>
      </c>
      <c r="X595">
        <f>IF($A2="","",SUMIF('07_Pallet_Contents'!$A$2:$A$3000,$A2,'07_Pallet_Contents'!$D$2:$D$3000))</f>
        <v/>
      </c>
      <c r="Y595">
        <f>IF($A2="","",SUMIF('07_Pallet_Contents'!$A$2:$A$3000,$A2,'07_Pallet_Contents'!$I$2:$I$3000))</f>
        <v/>
      </c>
      <c r="Z595">
        <f>IF($A2="","",IF(COUNTIF('07_Pallet_Contents'!$A$2:$A$3000,$A2)&gt;0,"Yes",""))</f>
        <v/>
      </c>
    </row>
    <row r="596">
      <c r="B596" s="22" t="n"/>
      <c r="G596" s="25" t="n"/>
      <c r="H596" s="24">
        <f>IF(AND($F596="TEMP",$G596&gt;0,$M596&lt;&gt;""),$M596+$G596,"")</f>
        <v/>
      </c>
      <c r="I596" s="22" t="n"/>
      <c r="J596" s="22" t="n"/>
      <c r="K596" s="24" t="n"/>
      <c r="W596">
        <f>IF($A2="","",COUNTIF('07_Pallet_Contents'!$A$2:$A$3000,$A2))</f>
        <v/>
      </c>
      <c r="X596">
        <f>IF($A2="","",SUMIF('07_Pallet_Contents'!$A$2:$A$3000,$A2,'07_Pallet_Contents'!$D$2:$D$3000))</f>
        <v/>
      </c>
      <c r="Y596">
        <f>IF($A2="","",SUMIF('07_Pallet_Contents'!$A$2:$A$3000,$A2,'07_Pallet_Contents'!$I$2:$I$3000))</f>
        <v/>
      </c>
      <c r="Z596">
        <f>IF($A2="","",IF(COUNTIF('07_Pallet_Contents'!$A$2:$A$3000,$A2)&gt;0,"Yes",""))</f>
        <v/>
      </c>
    </row>
    <row r="597">
      <c r="B597" s="22" t="n"/>
      <c r="G597" s="25" t="n"/>
      <c r="H597" s="24">
        <f>IF(AND($F597="TEMP",$G597&gt;0,$M597&lt;&gt;""),$M597+$G597,"")</f>
        <v/>
      </c>
      <c r="I597" s="22" t="n"/>
      <c r="J597" s="22" t="n"/>
      <c r="K597" s="24" t="n"/>
      <c r="W597">
        <f>IF($A2="","",COUNTIF('07_Pallet_Contents'!$A$2:$A$3000,$A2))</f>
        <v/>
      </c>
      <c r="X597">
        <f>IF($A2="","",SUMIF('07_Pallet_Contents'!$A$2:$A$3000,$A2,'07_Pallet_Contents'!$D$2:$D$3000))</f>
        <v/>
      </c>
      <c r="Y597">
        <f>IF($A2="","",SUMIF('07_Pallet_Contents'!$A$2:$A$3000,$A2,'07_Pallet_Contents'!$I$2:$I$3000))</f>
        <v/>
      </c>
      <c r="Z597">
        <f>IF($A2="","",IF(COUNTIF('07_Pallet_Contents'!$A$2:$A$3000,$A2)&gt;0,"Yes",""))</f>
        <v/>
      </c>
    </row>
    <row r="598">
      <c r="B598" s="22" t="n"/>
      <c r="G598" s="25" t="n"/>
      <c r="H598" s="24">
        <f>IF(AND($F598="TEMP",$G598&gt;0,$M598&lt;&gt;""),$M598+$G598,"")</f>
        <v/>
      </c>
      <c r="I598" s="22" t="n"/>
      <c r="J598" s="22" t="n"/>
      <c r="K598" s="24" t="n"/>
      <c r="W598">
        <f>IF($A2="","",COUNTIF('07_Pallet_Contents'!$A$2:$A$3000,$A2))</f>
        <v/>
      </c>
      <c r="X598">
        <f>IF($A2="","",SUMIF('07_Pallet_Contents'!$A$2:$A$3000,$A2,'07_Pallet_Contents'!$D$2:$D$3000))</f>
        <v/>
      </c>
      <c r="Y598">
        <f>IF($A2="","",SUMIF('07_Pallet_Contents'!$A$2:$A$3000,$A2,'07_Pallet_Contents'!$I$2:$I$3000))</f>
        <v/>
      </c>
      <c r="Z598">
        <f>IF($A2="","",IF(COUNTIF('07_Pallet_Contents'!$A$2:$A$3000,$A2)&gt;0,"Yes",""))</f>
        <v/>
      </c>
    </row>
    <row r="599">
      <c r="B599" s="22" t="n"/>
      <c r="G599" s="25" t="n"/>
      <c r="H599" s="24">
        <f>IF(AND($F599="TEMP",$G599&gt;0,$M599&lt;&gt;""),$M599+$G599,"")</f>
        <v/>
      </c>
      <c r="I599" s="22" t="n"/>
      <c r="J599" s="22" t="n"/>
      <c r="K599" s="24" t="n"/>
      <c r="W599">
        <f>IF($A2="","",COUNTIF('07_Pallet_Contents'!$A$2:$A$3000,$A2))</f>
        <v/>
      </c>
      <c r="X599">
        <f>IF($A2="","",SUMIF('07_Pallet_Contents'!$A$2:$A$3000,$A2,'07_Pallet_Contents'!$D$2:$D$3000))</f>
        <v/>
      </c>
      <c r="Y599">
        <f>IF($A2="","",SUMIF('07_Pallet_Contents'!$A$2:$A$3000,$A2,'07_Pallet_Contents'!$I$2:$I$3000))</f>
        <v/>
      </c>
      <c r="Z599">
        <f>IF($A2="","",IF(COUNTIF('07_Pallet_Contents'!$A$2:$A$3000,$A2)&gt;0,"Yes",""))</f>
        <v/>
      </c>
    </row>
    <row r="600">
      <c r="B600" s="22" t="n"/>
      <c r="G600" s="25" t="n"/>
      <c r="H600" s="24">
        <f>IF(AND($F600="TEMP",$G600&gt;0,$M600&lt;&gt;""),$M600+$G600,"")</f>
        <v/>
      </c>
      <c r="I600" s="22" t="n"/>
      <c r="J600" s="22" t="n"/>
      <c r="K600" s="24" t="n"/>
      <c r="W600">
        <f>IF($A2="","",COUNTIF('07_Pallet_Contents'!$A$2:$A$3000,$A2))</f>
        <v/>
      </c>
      <c r="X600">
        <f>IF($A2="","",SUMIF('07_Pallet_Contents'!$A$2:$A$3000,$A2,'07_Pallet_Contents'!$D$2:$D$3000))</f>
        <v/>
      </c>
      <c r="Y600">
        <f>IF($A2="","",SUMIF('07_Pallet_Contents'!$A$2:$A$3000,$A2,'07_Pallet_Contents'!$I$2:$I$3000))</f>
        <v/>
      </c>
      <c r="Z600">
        <f>IF($A2="","",IF(COUNTIF('07_Pallet_Contents'!$A$2:$A$3000,$A2)&gt;0,"Yes",""))</f>
        <v/>
      </c>
    </row>
    <row r="601">
      <c r="B601" s="22" t="n"/>
      <c r="G601" s="25" t="n"/>
      <c r="H601" s="24">
        <f>IF(AND($F601="TEMP",$G601&gt;0,$M601&lt;&gt;""),$M601+$G601,"")</f>
        <v/>
      </c>
      <c r="I601" s="22" t="n"/>
      <c r="J601" s="22" t="n"/>
      <c r="K601" s="24" t="n"/>
      <c r="W601">
        <f>IF($A2="","",COUNTIF('07_Pallet_Contents'!$A$2:$A$3000,$A2))</f>
        <v/>
      </c>
      <c r="X601">
        <f>IF($A2="","",SUMIF('07_Pallet_Contents'!$A$2:$A$3000,$A2,'07_Pallet_Contents'!$D$2:$D$3000))</f>
        <v/>
      </c>
      <c r="Y601">
        <f>IF($A2="","",SUMIF('07_Pallet_Contents'!$A$2:$A$3000,$A2,'07_Pallet_Contents'!$I$2:$I$3000))</f>
        <v/>
      </c>
      <c r="Z601">
        <f>IF($A2="","",IF(COUNTIF('07_Pallet_Contents'!$A$2:$A$3000,$A2)&gt;0,"Yes",""))</f>
        <v/>
      </c>
    </row>
    <row r="602">
      <c r="B602" s="22" t="n"/>
      <c r="G602" s="25" t="n"/>
      <c r="H602" s="24">
        <f>IF(AND($F602="TEMP",$G602&gt;0,$M602&lt;&gt;""),$M602+$G602,"")</f>
        <v/>
      </c>
      <c r="I602" s="22" t="n"/>
      <c r="J602" s="22" t="n"/>
      <c r="K602" s="24" t="n"/>
      <c r="W602">
        <f>IF($A2="","",COUNTIF('07_Pallet_Contents'!$A$2:$A$3000,$A2))</f>
        <v/>
      </c>
      <c r="X602">
        <f>IF($A2="","",SUMIF('07_Pallet_Contents'!$A$2:$A$3000,$A2,'07_Pallet_Contents'!$D$2:$D$3000))</f>
        <v/>
      </c>
      <c r="Y602">
        <f>IF($A2="","",SUMIF('07_Pallet_Contents'!$A$2:$A$3000,$A2,'07_Pallet_Contents'!$I$2:$I$3000))</f>
        <v/>
      </c>
      <c r="Z602">
        <f>IF($A2="","",IF(COUNTIF('07_Pallet_Contents'!$A$2:$A$3000,$A2)&gt;0,"Yes",""))</f>
        <v/>
      </c>
    </row>
    <row r="603">
      <c r="B603" s="22" t="n"/>
      <c r="G603" s="25" t="n"/>
      <c r="H603" s="24">
        <f>IF(AND($F603="TEMP",$G603&gt;0,$M603&lt;&gt;""),$M603+$G603,"")</f>
        <v/>
      </c>
      <c r="I603" s="22" t="n"/>
      <c r="J603" s="22" t="n"/>
      <c r="K603" s="24" t="n"/>
      <c r="W603">
        <f>IF($A2="","",COUNTIF('07_Pallet_Contents'!$A$2:$A$3000,$A2))</f>
        <v/>
      </c>
      <c r="X603">
        <f>IF($A2="","",SUMIF('07_Pallet_Contents'!$A$2:$A$3000,$A2,'07_Pallet_Contents'!$D$2:$D$3000))</f>
        <v/>
      </c>
      <c r="Y603">
        <f>IF($A2="","",SUMIF('07_Pallet_Contents'!$A$2:$A$3000,$A2,'07_Pallet_Contents'!$I$2:$I$3000))</f>
        <v/>
      </c>
      <c r="Z603">
        <f>IF($A2="","",IF(COUNTIF('07_Pallet_Contents'!$A$2:$A$3000,$A2)&gt;0,"Yes",""))</f>
        <v/>
      </c>
    </row>
    <row r="604">
      <c r="B604" s="22" t="n"/>
      <c r="G604" s="25" t="n"/>
      <c r="H604" s="24">
        <f>IF(AND($F604="TEMP",$G604&gt;0,$M604&lt;&gt;""),$M604+$G604,"")</f>
        <v/>
      </c>
      <c r="I604" s="22" t="n"/>
      <c r="J604" s="22" t="n"/>
      <c r="K604" s="24" t="n"/>
      <c r="W604">
        <f>IF($A2="","",COUNTIF('07_Pallet_Contents'!$A$2:$A$3000,$A2))</f>
        <v/>
      </c>
      <c r="X604">
        <f>IF($A2="","",SUMIF('07_Pallet_Contents'!$A$2:$A$3000,$A2,'07_Pallet_Contents'!$D$2:$D$3000))</f>
        <v/>
      </c>
      <c r="Y604">
        <f>IF($A2="","",SUMIF('07_Pallet_Contents'!$A$2:$A$3000,$A2,'07_Pallet_Contents'!$I$2:$I$3000))</f>
        <v/>
      </c>
      <c r="Z604">
        <f>IF($A2="","",IF(COUNTIF('07_Pallet_Contents'!$A$2:$A$3000,$A2)&gt;0,"Yes",""))</f>
        <v/>
      </c>
    </row>
    <row r="605">
      <c r="B605" s="22" t="n"/>
      <c r="G605" s="25" t="n"/>
      <c r="H605" s="24">
        <f>IF(AND($F605="TEMP",$G605&gt;0,$M605&lt;&gt;""),$M605+$G605,"")</f>
        <v/>
      </c>
      <c r="I605" s="22" t="n"/>
      <c r="J605" s="22" t="n"/>
      <c r="K605" s="24" t="n"/>
      <c r="W605">
        <f>IF($A2="","",COUNTIF('07_Pallet_Contents'!$A$2:$A$3000,$A2))</f>
        <v/>
      </c>
      <c r="X605">
        <f>IF($A2="","",SUMIF('07_Pallet_Contents'!$A$2:$A$3000,$A2,'07_Pallet_Contents'!$D$2:$D$3000))</f>
        <v/>
      </c>
      <c r="Y605">
        <f>IF($A2="","",SUMIF('07_Pallet_Contents'!$A$2:$A$3000,$A2,'07_Pallet_Contents'!$I$2:$I$3000))</f>
        <v/>
      </c>
      <c r="Z605">
        <f>IF($A2="","",IF(COUNTIF('07_Pallet_Contents'!$A$2:$A$3000,$A2)&gt;0,"Yes",""))</f>
        <v/>
      </c>
    </row>
    <row r="606">
      <c r="B606" s="22" t="n"/>
      <c r="G606" s="25" t="n"/>
      <c r="H606" s="24">
        <f>IF(AND($F606="TEMP",$G606&gt;0,$M606&lt;&gt;""),$M606+$G606,"")</f>
        <v/>
      </c>
      <c r="I606" s="22" t="n"/>
      <c r="J606" s="22" t="n"/>
      <c r="K606" s="24" t="n"/>
      <c r="W606">
        <f>IF($A2="","",COUNTIF('07_Pallet_Contents'!$A$2:$A$3000,$A2))</f>
        <v/>
      </c>
      <c r="X606">
        <f>IF($A2="","",SUMIF('07_Pallet_Contents'!$A$2:$A$3000,$A2,'07_Pallet_Contents'!$D$2:$D$3000))</f>
        <v/>
      </c>
      <c r="Y606">
        <f>IF($A2="","",SUMIF('07_Pallet_Contents'!$A$2:$A$3000,$A2,'07_Pallet_Contents'!$I$2:$I$3000))</f>
        <v/>
      </c>
      <c r="Z606">
        <f>IF($A2="","",IF(COUNTIF('07_Pallet_Contents'!$A$2:$A$3000,$A2)&gt;0,"Yes",""))</f>
        <v/>
      </c>
    </row>
    <row r="607">
      <c r="B607" s="22" t="n"/>
      <c r="G607" s="25" t="n"/>
      <c r="H607" s="24">
        <f>IF(AND($F607="TEMP",$G607&gt;0,$M607&lt;&gt;""),$M607+$G607,"")</f>
        <v/>
      </c>
      <c r="I607" s="22" t="n"/>
      <c r="J607" s="22" t="n"/>
      <c r="K607" s="24" t="n"/>
      <c r="W607">
        <f>IF($A2="","",COUNTIF('07_Pallet_Contents'!$A$2:$A$3000,$A2))</f>
        <v/>
      </c>
      <c r="X607">
        <f>IF($A2="","",SUMIF('07_Pallet_Contents'!$A$2:$A$3000,$A2,'07_Pallet_Contents'!$D$2:$D$3000))</f>
        <v/>
      </c>
      <c r="Y607">
        <f>IF($A2="","",SUMIF('07_Pallet_Contents'!$A$2:$A$3000,$A2,'07_Pallet_Contents'!$I$2:$I$3000))</f>
        <v/>
      </c>
      <c r="Z607">
        <f>IF($A2="","",IF(COUNTIF('07_Pallet_Contents'!$A$2:$A$3000,$A2)&gt;0,"Yes",""))</f>
        <v/>
      </c>
    </row>
    <row r="608">
      <c r="B608" s="22" t="n"/>
      <c r="G608" s="25" t="n"/>
      <c r="H608" s="24">
        <f>IF(AND($F608="TEMP",$G608&gt;0,$M608&lt;&gt;""),$M608+$G608,"")</f>
        <v/>
      </c>
      <c r="I608" s="22" t="n"/>
      <c r="J608" s="22" t="n"/>
      <c r="K608" s="24" t="n"/>
      <c r="W608">
        <f>IF($A2="","",COUNTIF('07_Pallet_Contents'!$A$2:$A$3000,$A2))</f>
        <v/>
      </c>
      <c r="X608">
        <f>IF($A2="","",SUMIF('07_Pallet_Contents'!$A$2:$A$3000,$A2,'07_Pallet_Contents'!$D$2:$D$3000))</f>
        <v/>
      </c>
      <c r="Y608">
        <f>IF($A2="","",SUMIF('07_Pallet_Contents'!$A$2:$A$3000,$A2,'07_Pallet_Contents'!$I$2:$I$3000))</f>
        <v/>
      </c>
      <c r="Z608">
        <f>IF($A2="","",IF(COUNTIF('07_Pallet_Contents'!$A$2:$A$3000,$A2)&gt;0,"Yes",""))</f>
        <v/>
      </c>
    </row>
    <row r="609">
      <c r="B609" s="22" t="n"/>
      <c r="G609" s="25" t="n"/>
      <c r="H609" s="24">
        <f>IF(AND($F609="TEMP",$G609&gt;0,$M609&lt;&gt;""),$M609+$G609,"")</f>
        <v/>
      </c>
      <c r="I609" s="22" t="n"/>
      <c r="J609" s="22" t="n"/>
      <c r="K609" s="24" t="n"/>
      <c r="W609">
        <f>IF($A2="","",COUNTIF('07_Pallet_Contents'!$A$2:$A$3000,$A2))</f>
        <v/>
      </c>
      <c r="X609">
        <f>IF($A2="","",SUMIF('07_Pallet_Contents'!$A$2:$A$3000,$A2,'07_Pallet_Contents'!$D$2:$D$3000))</f>
        <v/>
      </c>
      <c r="Y609">
        <f>IF($A2="","",SUMIF('07_Pallet_Contents'!$A$2:$A$3000,$A2,'07_Pallet_Contents'!$I$2:$I$3000))</f>
        <v/>
      </c>
      <c r="Z609">
        <f>IF($A2="","",IF(COUNTIF('07_Pallet_Contents'!$A$2:$A$3000,$A2)&gt;0,"Yes",""))</f>
        <v/>
      </c>
    </row>
    <row r="610">
      <c r="B610" s="22" t="n"/>
      <c r="G610" s="25" t="n"/>
      <c r="H610" s="24">
        <f>IF(AND($F610="TEMP",$G610&gt;0,$M610&lt;&gt;""),$M610+$G610,"")</f>
        <v/>
      </c>
      <c r="I610" s="22" t="n"/>
      <c r="J610" s="22" t="n"/>
      <c r="K610" s="24" t="n"/>
      <c r="W610">
        <f>IF($A2="","",COUNTIF('07_Pallet_Contents'!$A$2:$A$3000,$A2))</f>
        <v/>
      </c>
      <c r="X610">
        <f>IF($A2="","",SUMIF('07_Pallet_Contents'!$A$2:$A$3000,$A2,'07_Pallet_Contents'!$D$2:$D$3000))</f>
        <v/>
      </c>
      <c r="Y610">
        <f>IF($A2="","",SUMIF('07_Pallet_Contents'!$A$2:$A$3000,$A2,'07_Pallet_Contents'!$I$2:$I$3000))</f>
        <v/>
      </c>
      <c r="Z610">
        <f>IF($A2="","",IF(COUNTIF('07_Pallet_Contents'!$A$2:$A$3000,$A2)&gt;0,"Yes",""))</f>
        <v/>
      </c>
    </row>
    <row r="611">
      <c r="B611" s="22" t="n"/>
      <c r="G611" s="25" t="n"/>
      <c r="H611" s="24">
        <f>IF(AND($F611="TEMP",$G611&gt;0,$M611&lt;&gt;""),$M611+$G611,"")</f>
        <v/>
      </c>
      <c r="I611" s="22" t="n"/>
      <c r="J611" s="22" t="n"/>
      <c r="K611" s="24" t="n"/>
      <c r="W611">
        <f>IF($A2="","",COUNTIF('07_Pallet_Contents'!$A$2:$A$3000,$A2))</f>
        <v/>
      </c>
      <c r="X611">
        <f>IF($A2="","",SUMIF('07_Pallet_Contents'!$A$2:$A$3000,$A2,'07_Pallet_Contents'!$D$2:$D$3000))</f>
        <v/>
      </c>
      <c r="Y611">
        <f>IF($A2="","",SUMIF('07_Pallet_Contents'!$A$2:$A$3000,$A2,'07_Pallet_Contents'!$I$2:$I$3000))</f>
        <v/>
      </c>
      <c r="Z611">
        <f>IF($A2="","",IF(COUNTIF('07_Pallet_Contents'!$A$2:$A$3000,$A2)&gt;0,"Yes",""))</f>
        <v/>
      </c>
    </row>
    <row r="612">
      <c r="B612" s="22" t="n"/>
      <c r="G612" s="25" t="n"/>
      <c r="H612" s="24">
        <f>IF(AND($F612="TEMP",$G612&gt;0,$M612&lt;&gt;""),$M612+$G612,"")</f>
        <v/>
      </c>
      <c r="I612" s="22" t="n"/>
      <c r="J612" s="22" t="n"/>
      <c r="K612" s="24" t="n"/>
      <c r="W612">
        <f>IF($A2="","",COUNTIF('07_Pallet_Contents'!$A$2:$A$3000,$A2))</f>
        <v/>
      </c>
      <c r="X612">
        <f>IF($A2="","",SUMIF('07_Pallet_Contents'!$A$2:$A$3000,$A2,'07_Pallet_Contents'!$D$2:$D$3000))</f>
        <v/>
      </c>
      <c r="Y612">
        <f>IF($A2="","",SUMIF('07_Pallet_Contents'!$A$2:$A$3000,$A2,'07_Pallet_Contents'!$I$2:$I$3000))</f>
        <v/>
      </c>
      <c r="Z612">
        <f>IF($A2="","",IF(COUNTIF('07_Pallet_Contents'!$A$2:$A$3000,$A2)&gt;0,"Yes",""))</f>
        <v/>
      </c>
    </row>
    <row r="613">
      <c r="B613" s="22" t="n"/>
      <c r="G613" s="25" t="n"/>
      <c r="H613" s="24">
        <f>IF(AND($F613="TEMP",$G613&gt;0,$M613&lt;&gt;""),$M613+$G613,"")</f>
        <v/>
      </c>
      <c r="I613" s="22" t="n"/>
      <c r="J613" s="22" t="n"/>
      <c r="K613" s="24" t="n"/>
      <c r="W613">
        <f>IF($A2="","",COUNTIF('07_Pallet_Contents'!$A$2:$A$3000,$A2))</f>
        <v/>
      </c>
      <c r="X613">
        <f>IF($A2="","",SUMIF('07_Pallet_Contents'!$A$2:$A$3000,$A2,'07_Pallet_Contents'!$D$2:$D$3000))</f>
        <v/>
      </c>
      <c r="Y613">
        <f>IF($A2="","",SUMIF('07_Pallet_Contents'!$A$2:$A$3000,$A2,'07_Pallet_Contents'!$I$2:$I$3000))</f>
        <v/>
      </c>
      <c r="Z613">
        <f>IF($A2="","",IF(COUNTIF('07_Pallet_Contents'!$A$2:$A$3000,$A2)&gt;0,"Yes",""))</f>
        <v/>
      </c>
    </row>
    <row r="614">
      <c r="B614" s="22" t="n"/>
      <c r="G614" s="25" t="n"/>
      <c r="H614" s="24">
        <f>IF(AND($F614="TEMP",$G614&gt;0,$M614&lt;&gt;""),$M614+$G614,"")</f>
        <v/>
      </c>
      <c r="I614" s="22" t="n"/>
      <c r="J614" s="22" t="n"/>
      <c r="K614" s="24" t="n"/>
      <c r="W614">
        <f>IF($A2="","",COUNTIF('07_Pallet_Contents'!$A$2:$A$3000,$A2))</f>
        <v/>
      </c>
      <c r="X614">
        <f>IF($A2="","",SUMIF('07_Pallet_Contents'!$A$2:$A$3000,$A2,'07_Pallet_Contents'!$D$2:$D$3000))</f>
        <v/>
      </c>
      <c r="Y614">
        <f>IF($A2="","",SUMIF('07_Pallet_Contents'!$A$2:$A$3000,$A2,'07_Pallet_Contents'!$I$2:$I$3000))</f>
        <v/>
      </c>
      <c r="Z614">
        <f>IF($A2="","",IF(COUNTIF('07_Pallet_Contents'!$A$2:$A$3000,$A2)&gt;0,"Yes",""))</f>
        <v/>
      </c>
    </row>
    <row r="615">
      <c r="B615" s="22" t="n"/>
      <c r="G615" s="25" t="n"/>
      <c r="H615" s="24">
        <f>IF(AND($F615="TEMP",$G615&gt;0,$M615&lt;&gt;""),$M615+$G615,"")</f>
        <v/>
      </c>
      <c r="I615" s="22" t="n"/>
      <c r="J615" s="22" t="n"/>
      <c r="K615" s="24" t="n"/>
      <c r="W615">
        <f>IF($A2="","",COUNTIF('07_Pallet_Contents'!$A$2:$A$3000,$A2))</f>
        <v/>
      </c>
      <c r="X615">
        <f>IF($A2="","",SUMIF('07_Pallet_Contents'!$A$2:$A$3000,$A2,'07_Pallet_Contents'!$D$2:$D$3000))</f>
        <v/>
      </c>
      <c r="Y615">
        <f>IF($A2="","",SUMIF('07_Pallet_Contents'!$A$2:$A$3000,$A2,'07_Pallet_Contents'!$I$2:$I$3000))</f>
        <v/>
      </c>
      <c r="Z615">
        <f>IF($A2="","",IF(COUNTIF('07_Pallet_Contents'!$A$2:$A$3000,$A2)&gt;0,"Yes",""))</f>
        <v/>
      </c>
    </row>
    <row r="616">
      <c r="B616" s="22" t="n"/>
      <c r="G616" s="25" t="n"/>
      <c r="H616" s="24">
        <f>IF(AND($F616="TEMP",$G616&gt;0,$M616&lt;&gt;""),$M616+$G616,"")</f>
        <v/>
      </c>
      <c r="I616" s="22" t="n"/>
      <c r="J616" s="22" t="n"/>
      <c r="K616" s="24" t="n"/>
      <c r="W616">
        <f>IF($A2="","",COUNTIF('07_Pallet_Contents'!$A$2:$A$3000,$A2))</f>
        <v/>
      </c>
      <c r="X616">
        <f>IF($A2="","",SUMIF('07_Pallet_Contents'!$A$2:$A$3000,$A2,'07_Pallet_Contents'!$D$2:$D$3000))</f>
        <v/>
      </c>
      <c r="Y616">
        <f>IF($A2="","",SUMIF('07_Pallet_Contents'!$A$2:$A$3000,$A2,'07_Pallet_Contents'!$I$2:$I$3000))</f>
        <v/>
      </c>
      <c r="Z616">
        <f>IF($A2="","",IF(COUNTIF('07_Pallet_Contents'!$A$2:$A$3000,$A2)&gt;0,"Yes",""))</f>
        <v/>
      </c>
    </row>
    <row r="617">
      <c r="B617" s="22" t="n"/>
      <c r="G617" s="25" t="n"/>
      <c r="H617" s="24">
        <f>IF(AND($F617="TEMP",$G617&gt;0,$M617&lt;&gt;""),$M617+$G617,"")</f>
        <v/>
      </c>
      <c r="I617" s="22" t="n"/>
      <c r="J617" s="22" t="n"/>
      <c r="K617" s="24" t="n"/>
      <c r="W617">
        <f>IF($A2="","",COUNTIF('07_Pallet_Contents'!$A$2:$A$3000,$A2))</f>
        <v/>
      </c>
      <c r="X617">
        <f>IF($A2="","",SUMIF('07_Pallet_Contents'!$A$2:$A$3000,$A2,'07_Pallet_Contents'!$D$2:$D$3000))</f>
        <v/>
      </c>
      <c r="Y617">
        <f>IF($A2="","",SUMIF('07_Pallet_Contents'!$A$2:$A$3000,$A2,'07_Pallet_Contents'!$I$2:$I$3000))</f>
        <v/>
      </c>
      <c r="Z617">
        <f>IF($A2="","",IF(COUNTIF('07_Pallet_Contents'!$A$2:$A$3000,$A2)&gt;0,"Yes",""))</f>
        <v/>
      </c>
    </row>
    <row r="618">
      <c r="B618" s="22" t="n"/>
      <c r="G618" s="25" t="n"/>
      <c r="H618" s="24">
        <f>IF(AND($F618="TEMP",$G618&gt;0,$M618&lt;&gt;""),$M618+$G618,"")</f>
        <v/>
      </c>
      <c r="I618" s="22" t="n"/>
      <c r="J618" s="22" t="n"/>
      <c r="K618" s="24" t="n"/>
      <c r="W618">
        <f>IF($A2="","",COUNTIF('07_Pallet_Contents'!$A$2:$A$3000,$A2))</f>
        <v/>
      </c>
      <c r="X618">
        <f>IF($A2="","",SUMIF('07_Pallet_Contents'!$A$2:$A$3000,$A2,'07_Pallet_Contents'!$D$2:$D$3000))</f>
        <v/>
      </c>
      <c r="Y618">
        <f>IF($A2="","",SUMIF('07_Pallet_Contents'!$A$2:$A$3000,$A2,'07_Pallet_Contents'!$I$2:$I$3000))</f>
        <v/>
      </c>
      <c r="Z618">
        <f>IF($A2="","",IF(COUNTIF('07_Pallet_Contents'!$A$2:$A$3000,$A2)&gt;0,"Yes",""))</f>
        <v/>
      </c>
    </row>
    <row r="619">
      <c r="B619" s="22" t="n"/>
      <c r="G619" s="25" t="n"/>
      <c r="H619" s="24">
        <f>IF(AND($F619="TEMP",$G619&gt;0,$M619&lt;&gt;""),$M619+$G619,"")</f>
        <v/>
      </c>
      <c r="I619" s="22" t="n"/>
      <c r="J619" s="22" t="n"/>
      <c r="K619" s="24" t="n"/>
      <c r="W619">
        <f>IF($A2="","",COUNTIF('07_Pallet_Contents'!$A$2:$A$3000,$A2))</f>
        <v/>
      </c>
      <c r="X619">
        <f>IF($A2="","",SUMIF('07_Pallet_Contents'!$A$2:$A$3000,$A2,'07_Pallet_Contents'!$D$2:$D$3000))</f>
        <v/>
      </c>
      <c r="Y619">
        <f>IF($A2="","",SUMIF('07_Pallet_Contents'!$A$2:$A$3000,$A2,'07_Pallet_Contents'!$I$2:$I$3000))</f>
        <v/>
      </c>
      <c r="Z619">
        <f>IF($A2="","",IF(COUNTIF('07_Pallet_Contents'!$A$2:$A$3000,$A2)&gt;0,"Yes",""))</f>
        <v/>
      </c>
    </row>
    <row r="620">
      <c r="B620" s="22" t="n"/>
      <c r="G620" s="25" t="n"/>
      <c r="H620" s="24">
        <f>IF(AND($F620="TEMP",$G620&gt;0,$M620&lt;&gt;""),$M620+$G620,"")</f>
        <v/>
      </c>
      <c r="I620" s="22" t="n"/>
      <c r="J620" s="22" t="n"/>
      <c r="K620" s="24" t="n"/>
      <c r="W620">
        <f>IF($A2="","",COUNTIF('07_Pallet_Contents'!$A$2:$A$3000,$A2))</f>
        <v/>
      </c>
      <c r="X620">
        <f>IF($A2="","",SUMIF('07_Pallet_Contents'!$A$2:$A$3000,$A2,'07_Pallet_Contents'!$D$2:$D$3000))</f>
        <v/>
      </c>
      <c r="Y620">
        <f>IF($A2="","",SUMIF('07_Pallet_Contents'!$A$2:$A$3000,$A2,'07_Pallet_Contents'!$I$2:$I$3000))</f>
        <v/>
      </c>
      <c r="Z620">
        <f>IF($A2="","",IF(COUNTIF('07_Pallet_Contents'!$A$2:$A$3000,$A2)&gt;0,"Yes",""))</f>
        <v/>
      </c>
    </row>
    <row r="621">
      <c r="B621" s="22" t="n"/>
      <c r="G621" s="25" t="n"/>
      <c r="H621" s="24">
        <f>IF(AND($F621="TEMP",$G621&gt;0,$M621&lt;&gt;""),$M621+$G621,"")</f>
        <v/>
      </c>
      <c r="I621" s="22" t="n"/>
      <c r="J621" s="22" t="n"/>
      <c r="K621" s="24" t="n"/>
      <c r="W621">
        <f>IF($A2="","",COUNTIF('07_Pallet_Contents'!$A$2:$A$3000,$A2))</f>
        <v/>
      </c>
      <c r="X621">
        <f>IF($A2="","",SUMIF('07_Pallet_Contents'!$A$2:$A$3000,$A2,'07_Pallet_Contents'!$D$2:$D$3000))</f>
        <v/>
      </c>
      <c r="Y621">
        <f>IF($A2="","",SUMIF('07_Pallet_Contents'!$A$2:$A$3000,$A2,'07_Pallet_Contents'!$I$2:$I$3000))</f>
        <v/>
      </c>
      <c r="Z621">
        <f>IF($A2="","",IF(COUNTIF('07_Pallet_Contents'!$A$2:$A$3000,$A2)&gt;0,"Yes",""))</f>
        <v/>
      </c>
    </row>
    <row r="622">
      <c r="B622" s="22" t="n"/>
      <c r="G622" s="25" t="n"/>
      <c r="H622" s="24">
        <f>IF(AND($F622="TEMP",$G622&gt;0,$M622&lt;&gt;""),$M622+$G622,"")</f>
        <v/>
      </c>
      <c r="I622" s="22" t="n"/>
      <c r="J622" s="22" t="n"/>
      <c r="K622" s="24" t="n"/>
      <c r="W622">
        <f>IF($A2="","",COUNTIF('07_Pallet_Contents'!$A$2:$A$3000,$A2))</f>
        <v/>
      </c>
      <c r="X622">
        <f>IF($A2="","",SUMIF('07_Pallet_Contents'!$A$2:$A$3000,$A2,'07_Pallet_Contents'!$D$2:$D$3000))</f>
        <v/>
      </c>
      <c r="Y622">
        <f>IF($A2="","",SUMIF('07_Pallet_Contents'!$A$2:$A$3000,$A2,'07_Pallet_Contents'!$I$2:$I$3000))</f>
        <v/>
      </c>
      <c r="Z622">
        <f>IF($A2="","",IF(COUNTIF('07_Pallet_Contents'!$A$2:$A$3000,$A2)&gt;0,"Yes",""))</f>
        <v/>
      </c>
    </row>
    <row r="623">
      <c r="B623" s="22" t="n"/>
      <c r="G623" s="25" t="n"/>
      <c r="H623" s="24">
        <f>IF(AND($F623="TEMP",$G623&gt;0,$M623&lt;&gt;""),$M623+$G623,"")</f>
        <v/>
      </c>
      <c r="I623" s="22" t="n"/>
      <c r="J623" s="22" t="n"/>
      <c r="K623" s="24" t="n"/>
      <c r="W623">
        <f>IF($A2="","",COUNTIF('07_Pallet_Contents'!$A$2:$A$3000,$A2))</f>
        <v/>
      </c>
      <c r="X623">
        <f>IF($A2="","",SUMIF('07_Pallet_Contents'!$A$2:$A$3000,$A2,'07_Pallet_Contents'!$D$2:$D$3000))</f>
        <v/>
      </c>
      <c r="Y623">
        <f>IF($A2="","",SUMIF('07_Pallet_Contents'!$A$2:$A$3000,$A2,'07_Pallet_Contents'!$I$2:$I$3000))</f>
        <v/>
      </c>
      <c r="Z623">
        <f>IF($A2="","",IF(COUNTIF('07_Pallet_Contents'!$A$2:$A$3000,$A2)&gt;0,"Yes",""))</f>
        <v/>
      </c>
    </row>
    <row r="624">
      <c r="B624" s="22" t="n"/>
      <c r="G624" s="25" t="n"/>
      <c r="H624" s="24">
        <f>IF(AND($F624="TEMP",$G624&gt;0,$M624&lt;&gt;""),$M624+$G624,"")</f>
        <v/>
      </c>
      <c r="I624" s="22" t="n"/>
      <c r="J624" s="22" t="n"/>
      <c r="K624" s="24" t="n"/>
      <c r="W624">
        <f>IF($A2="","",COUNTIF('07_Pallet_Contents'!$A$2:$A$3000,$A2))</f>
        <v/>
      </c>
      <c r="X624">
        <f>IF($A2="","",SUMIF('07_Pallet_Contents'!$A$2:$A$3000,$A2,'07_Pallet_Contents'!$D$2:$D$3000))</f>
        <v/>
      </c>
      <c r="Y624">
        <f>IF($A2="","",SUMIF('07_Pallet_Contents'!$A$2:$A$3000,$A2,'07_Pallet_Contents'!$I$2:$I$3000))</f>
        <v/>
      </c>
      <c r="Z624">
        <f>IF($A2="","",IF(COUNTIF('07_Pallet_Contents'!$A$2:$A$3000,$A2)&gt;0,"Yes",""))</f>
        <v/>
      </c>
    </row>
    <row r="625">
      <c r="B625" s="22" t="n"/>
      <c r="G625" s="25" t="n"/>
      <c r="H625" s="24">
        <f>IF(AND($F625="TEMP",$G625&gt;0,$M625&lt;&gt;""),$M625+$G625,"")</f>
        <v/>
      </c>
      <c r="I625" s="22" t="n"/>
      <c r="J625" s="22" t="n"/>
      <c r="K625" s="24" t="n"/>
      <c r="W625">
        <f>IF($A2="","",COUNTIF('07_Pallet_Contents'!$A$2:$A$3000,$A2))</f>
        <v/>
      </c>
      <c r="X625">
        <f>IF($A2="","",SUMIF('07_Pallet_Contents'!$A$2:$A$3000,$A2,'07_Pallet_Contents'!$D$2:$D$3000))</f>
        <v/>
      </c>
      <c r="Y625">
        <f>IF($A2="","",SUMIF('07_Pallet_Contents'!$A$2:$A$3000,$A2,'07_Pallet_Contents'!$I$2:$I$3000))</f>
        <v/>
      </c>
      <c r="Z625">
        <f>IF($A2="","",IF(COUNTIF('07_Pallet_Contents'!$A$2:$A$3000,$A2)&gt;0,"Yes",""))</f>
        <v/>
      </c>
    </row>
    <row r="626">
      <c r="B626" s="22" t="n"/>
      <c r="G626" s="25" t="n"/>
      <c r="H626" s="24">
        <f>IF(AND($F626="TEMP",$G626&gt;0,$M626&lt;&gt;""),$M626+$G626,"")</f>
        <v/>
      </c>
      <c r="I626" s="22" t="n"/>
      <c r="J626" s="22" t="n"/>
      <c r="K626" s="24" t="n"/>
      <c r="W626">
        <f>IF($A2="","",COUNTIF('07_Pallet_Contents'!$A$2:$A$3000,$A2))</f>
        <v/>
      </c>
      <c r="X626">
        <f>IF($A2="","",SUMIF('07_Pallet_Contents'!$A$2:$A$3000,$A2,'07_Pallet_Contents'!$D$2:$D$3000))</f>
        <v/>
      </c>
      <c r="Y626">
        <f>IF($A2="","",SUMIF('07_Pallet_Contents'!$A$2:$A$3000,$A2,'07_Pallet_Contents'!$I$2:$I$3000))</f>
        <v/>
      </c>
      <c r="Z626">
        <f>IF($A2="","",IF(COUNTIF('07_Pallet_Contents'!$A$2:$A$3000,$A2)&gt;0,"Yes",""))</f>
        <v/>
      </c>
    </row>
    <row r="627">
      <c r="B627" s="22" t="n"/>
      <c r="G627" s="25" t="n"/>
      <c r="H627" s="24">
        <f>IF(AND($F627="TEMP",$G627&gt;0,$M627&lt;&gt;""),$M627+$G627,"")</f>
        <v/>
      </c>
      <c r="I627" s="22" t="n"/>
      <c r="J627" s="22" t="n"/>
      <c r="K627" s="24" t="n"/>
      <c r="W627">
        <f>IF($A2="","",COUNTIF('07_Pallet_Contents'!$A$2:$A$3000,$A2))</f>
        <v/>
      </c>
      <c r="X627">
        <f>IF($A2="","",SUMIF('07_Pallet_Contents'!$A$2:$A$3000,$A2,'07_Pallet_Contents'!$D$2:$D$3000))</f>
        <v/>
      </c>
      <c r="Y627">
        <f>IF($A2="","",SUMIF('07_Pallet_Contents'!$A$2:$A$3000,$A2,'07_Pallet_Contents'!$I$2:$I$3000))</f>
        <v/>
      </c>
      <c r="Z627">
        <f>IF($A2="","",IF(COUNTIF('07_Pallet_Contents'!$A$2:$A$3000,$A2)&gt;0,"Yes",""))</f>
        <v/>
      </c>
    </row>
    <row r="628">
      <c r="B628" s="22" t="n"/>
      <c r="G628" s="25" t="n"/>
      <c r="H628" s="24">
        <f>IF(AND($F628="TEMP",$G628&gt;0,$M628&lt;&gt;""),$M628+$G628,"")</f>
        <v/>
      </c>
      <c r="I628" s="22" t="n"/>
      <c r="J628" s="22" t="n"/>
      <c r="K628" s="24" t="n"/>
      <c r="W628">
        <f>IF($A2="","",COUNTIF('07_Pallet_Contents'!$A$2:$A$3000,$A2))</f>
        <v/>
      </c>
      <c r="X628">
        <f>IF($A2="","",SUMIF('07_Pallet_Contents'!$A$2:$A$3000,$A2,'07_Pallet_Contents'!$D$2:$D$3000))</f>
        <v/>
      </c>
      <c r="Y628">
        <f>IF($A2="","",SUMIF('07_Pallet_Contents'!$A$2:$A$3000,$A2,'07_Pallet_Contents'!$I$2:$I$3000))</f>
        <v/>
      </c>
      <c r="Z628">
        <f>IF($A2="","",IF(COUNTIF('07_Pallet_Contents'!$A$2:$A$3000,$A2)&gt;0,"Yes",""))</f>
        <v/>
      </c>
    </row>
    <row r="629">
      <c r="B629" s="22" t="n"/>
      <c r="G629" s="25" t="n"/>
      <c r="H629" s="24">
        <f>IF(AND($F629="TEMP",$G629&gt;0,$M629&lt;&gt;""),$M629+$G629,"")</f>
        <v/>
      </c>
      <c r="I629" s="22" t="n"/>
      <c r="J629" s="22" t="n"/>
      <c r="K629" s="24" t="n"/>
      <c r="W629">
        <f>IF($A2="","",COUNTIF('07_Pallet_Contents'!$A$2:$A$3000,$A2))</f>
        <v/>
      </c>
      <c r="X629">
        <f>IF($A2="","",SUMIF('07_Pallet_Contents'!$A$2:$A$3000,$A2,'07_Pallet_Contents'!$D$2:$D$3000))</f>
        <v/>
      </c>
      <c r="Y629">
        <f>IF($A2="","",SUMIF('07_Pallet_Contents'!$A$2:$A$3000,$A2,'07_Pallet_Contents'!$I$2:$I$3000))</f>
        <v/>
      </c>
      <c r="Z629">
        <f>IF($A2="","",IF(COUNTIF('07_Pallet_Contents'!$A$2:$A$3000,$A2)&gt;0,"Yes",""))</f>
        <v/>
      </c>
    </row>
    <row r="630">
      <c r="B630" s="22" t="n"/>
      <c r="G630" s="25" t="n"/>
      <c r="H630" s="24">
        <f>IF(AND($F630="TEMP",$G630&gt;0,$M630&lt;&gt;""),$M630+$G630,"")</f>
        <v/>
      </c>
      <c r="I630" s="22" t="n"/>
      <c r="J630" s="22" t="n"/>
      <c r="K630" s="24" t="n"/>
      <c r="W630">
        <f>IF($A2="","",COUNTIF('07_Pallet_Contents'!$A$2:$A$3000,$A2))</f>
        <v/>
      </c>
      <c r="X630">
        <f>IF($A2="","",SUMIF('07_Pallet_Contents'!$A$2:$A$3000,$A2,'07_Pallet_Contents'!$D$2:$D$3000))</f>
        <v/>
      </c>
      <c r="Y630">
        <f>IF($A2="","",SUMIF('07_Pallet_Contents'!$A$2:$A$3000,$A2,'07_Pallet_Contents'!$I$2:$I$3000))</f>
        <v/>
      </c>
      <c r="Z630">
        <f>IF($A2="","",IF(COUNTIF('07_Pallet_Contents'!$A$2:$A$3000,$A2)&gt;0,"Yes",""))</f>
        <v/>
      </c>
    </row>
    <row r="631">
      <c r="B631" s="22" t="n"/>
      <c r="G631" s="25" t="n"/>
      <c r="H631" s="24">
        <f>IF(AND($F631="TEMP",$G631&gt;0,$M631&lt;&gt;""),$M631+$G631,"")</f>
        <v/>
      </c>
      <c r="I631" s="22" t="n"/>
      <c r="J631" s="22" t="n"/>
      <c r="K631" s="24" t="n"/>
      <c r="W631">
        <f>IF($A2="","",COUNTIF('07_Pallet_Contents'!$A$2:$A$3000,$A2))</f>
        <v/>
      </c>
      <c r="X631">
        <f>IF($A2="","",SUMIF('07_Pallet_Contents'!$A$2:$A$3000,$A2,'07_Pallet_Contents'!$D$2:$D$3000))</f>
        <v/>
      </c>
      <c r="Y631">
        <f>IF($A2="","",SUMIF('07_Pallet_Contents'!$A$2:$A$3000,$A2,'07_Pallet_Contents'!$I$2:$I$3000))</f>
        <v/>
      </c>
      <c r="Z631">
        <f>IF($A2="","",IF(COUNTIF('07_Pallet_Contents'!$A$2:$A$3000,$A2)&gt;0,"Yes",""))</f>
        <v/>
      </c>
    </row>
    <row r="632">
      <c r="B632" s="22" t="n"/>
      <c r="G632" s="25" t="n"/>
      <c r="H632" s="24">
        <f>IF(AND($F632="TEMP",$G632&gt;0,$M632&lt;&gt;""),$M632+$G632,"")</f>
        <v/>
      </c>
      <c r="I632" s="22" t="n"/>
      <c r="J632" s="22" t="n"/>
      <c r="K632" s="24" t="n"/>
      <c r="W632">
        <f>IF($A2="","",COUNTIF('07_Pallet_Contents'!$A$2:$A$3000,$A2))</f>
        <v/>
      </c>
      <c r="X632">
        <f>IF($A2="","",SUMIF('07_Pallet_Contents'!$A$2:$A$3000,$A2,'07_Pallet_Contents'!$D$2:$D$3000))</f>
        <v/>
      </c>
      <c r="Y632">
        <f>IF($A2="","",SUMIF('07_Pallet_Contents'!$A$2:$A$3000,$A2,'07_Pallet_Contents'!$I$2:$I$3000))</f>
        <v/>
      </c>
      <c r="Z632">
        <f>IF($A2="","",IF(COUNTIF('07_Pallet_Contents'!$A$2:$A$3000,$A2)&gt;0,"Yes",""))</f>
        <v/>
      </c>
    </row>
    <row r="633">
      <c r="B633" s="22" t="n"/>
      <c r="G633" s="25" t="n"/>
      <c r="H633" s="24">
        <f>IF(AND($F633="TEMP",$G633&gt;0,$M633&lt;&gt;""),$M633+$G633,"")</f>
        <v/>
      </c>
      <c r="I633" s="22" t="n"/>
      <c r="J633" s="22" t="n"/>
      <c r="K633" s="24" t="n"/>
      <c r="W633">
        <f>IF($A2="","",COUNTIF('07_Pallet_Contents'!$A$2:$A$3000,$A2))</f>
        <v/>
      </c>
      <c r="X633">
        <f>IF($A2="","",SUMIF('07_Pallet_Contents'!$A$2:$A$3000,$A2,'07_Pallet_Contents'!$D$2:$D$3000))</f>
        <v/>
      </c>
      <c r="Y633">
        <f>IF($A2="","",SUMIF('07_Pallet_Contents'!$A$2:$A$3000,$A2,'07_Pallet_Contents'!$I$2:$I$3000))</f>
        <v/>
      </c>
      <c r="Z633">
        <f>IF($A2="","",IF(COUNTIF('07_Pallet_Contents'!$A$2:$A$3000,$A2)&gt;0,"Yes",""))</f>
        <v/>
      </c>
    </row>
    <row r="634">
      <c r="B634" s="22" t="n"/>
      <c r="G634" s="25" t="n"/>
      <c r="H634" s="24">
        <f>IF(AND($F634="TEMP",$G634&gt;0,$M634&lt;&gt;""),$M634+$G634,"")</f>
        <v/>
      </c>
      <c r="I634" s="22" t="n"/>
      <c r="J634" s="22" t="n"/>
      <c r="K634" s="24" t="n"/>
      <c r="W634">
        <f>IF($A2="","",COUNTIF('07_Pallet_Contents'!$A$2:$A$3000,$A2))</f>
        <v/>
      </c>
      <c r="X634">
        <f>IF($A2="","",SUMIF('07_Pallet_Contents'!$A$2:$A$3000,$A2,'07_Pallet_Contents'!$D$2:$D$3000))</f>
        <v/>
      </c>
      <c r="Y634">
        <f>IF($A2="","",SUMIF('07_Pallet_Contents'!$A$2:$A$3000,$A2,'07_Pallet_Contents'!$I$2:$I$3000))</f>
        <v/>
      </c>
      <c r="Z634">
        <f>IF($A2="","",IF(COUNTIF('07_Pallet_Contents'!$A$2:$A$3000,$A2)&gt;0,"Yes",""))</f>
        <v/>
      </c>
    </row>
    <row r="635">
      <c r="B635" s="22" t="n"/>
      <c r="G635" s="25" t="n"/>
      <c r="H635" s="24">
        <f>IF(AND($F635="TEMP",$G635&gt;0,$M635&lt;&gt;""),$M635+$G635,"")</f>
        <v/>
      </c>
      <c r="I635" s="22" t="n"/>
      <c r="J635" s="22" t="n"/>
      <c r="K635" s="24" t="n"/>
      <c r="W635">
        <f>IF($A2="","",COUNTIF('07_Pallet_Contents'!$A$2:$A$3000,$A2))</f>
        <v/>
      </c>
      <c r="X635">
        <f>IF($A2="","",SUMIF('07_Pallet_Contents'!$A$2:$A$3000,$A2,'07_Pallet_Contents'!$D$2:$D$3000))</f>
        <v/>
      </c>
      <c r="Y635">
        <f>IF($A2="","",SUMIF('07_Pallet_Contents'!$A$2:$A$3000,$A2,'07_Pallet_Contents'!$I$2:$I$3000))</f>
        <v/>
      </c>
      <c r="Z635">
        <f>IF($A2="","",IF(COUNTIF('07_Pallet_Contents'!$A$2:$A$3000,$A2)&gt;0,"Yes",""))</f>
        <v/>
      </c>
    </row>
    <row r="636">
      <c r="B636" s="22" t="n"/>
      <c r="G636" s="25" t="n"/>
      <c r="H636" s="24">
        <f>IF(AND($F636="TEMP",$G636&gt;0,$M636&lt;&gt;""),$M636+$G636,"")</f>
        <v/>
      </c>
      <c r="I636" s="22" t="n"/>
      <c r="J636" s="22" t="n"/>
      <c r="K636" s="24" t="n"/>
      <c r="W636">
        <f>IF($A2="","",COUNTIF('07_Pallet_Contents'!$A$2:$A$3000,$A2))</f>
        <v/>
      </c>
      <c r="X636">
        <f>IF($A2="","",SUMIF('07_Pallet_Contents'!$A$2:$A$3000,$A2,'07_Pallet_Contents'!$D$2:$D$3000))</f>
        <v/>
      </c>
      <c r="Y636">
        <f>IF($A2="","",SUMIF('07_Pallet_Contents'!$A$2:$A$3000,$A2,'07_Pallet_Contents'!$I$2:$I$3000))</f>
        <v/>
      </c>
      <c r="Z636">
        <f>IF($A2="","",IF(COUNTIF('07_Pallet_Contents'!$A$2:$A$3000,$A2)&gt;0,"Yes",""))</f>
        <v/>
      </c>
    </row>
    <row r="637">
      <c r="B637" s="22" t="n"/>
      <c r="G637" s="25" t="n"/>
      <c r="H637" s="24">
        <f>IF(AND($F637="TEMP",$G637&gt;0,$M637&lt;&gt;""),$M637+$G637,"")</f>
        <v/>
      </c>
      <c r="I637" s="22" t="n"/>
      <c r="J637" s="22" t="n"/>
      <c r="K637" s="24" t="n"/>
      <c r="W637">
        <f>IF($A2="","",COUNTIF('07_Pallet_Contents'!$A$2:$A$3000,$A2))</f>
        <v/>
      </c>
      <c r="X637">
        <f>IF($A2="","",SUMIF('07_Pallet_Contents'!$A$2:$A$3000,$A2,'07_Pallet_Contents'!$D$2:$D$3000))</f>
        <v/>
      </c>
      <c r="Y637">
        <f>IF($A2="","",SUMIF('07_Pallet_Contents'!$A$2:$A$3000,$A2,'07_Pallet_Contents'!$I$2:$I$3000))</f>
        <v/>
      </c>
      <c r="Z637">
        <f>IF($A2="","",IF(COUNTIF('07_Pallet_Contents'!$A$2:$A$3000,$A2)&gt;0,"Yes",""))</f>
        <v/>
      </c>
    </row>
    <row r="638">
      <c r="B638" s="22" t="n"/>
      <c r="G638" s="25" t="n"/>
      <c r="H638" s="24">
        <f>IF(AND($F638="TEMP",$G638&gt;0,$M638&lt;&gt;""),$M638+$G638,"")</f>
        <v/>
      </c>
      <c r="I638" s="22" t="n"/>
      <c r="J638" s="22" t="n"/>
      <c r="K638" s="24" t="n"/>
      <c r="W638">
        <f>IF($A2="","",COUNTIF('07_Pallet_Contents'!$A$2:$A$3000,$A2))</f>
        <v/>
      </c>
      <c r="X638">
        <f>IF($A2="","",SUMIF('07_Pallet_Contents'!$A$2:$A$3000,$A2,'07_Pallet_Contents'!$D$2:$D$3000))</f>
        <v/>
      </c>
      <c r="Y638">
        <f>IF($A2="","",SUMIF('07_Pallet_Contents'!$A$2:$A$3000,$A2,'07_Pallet_Contents'!$I$2:$I$3000))</f>
        <v/>
      </c>
      <c r="Z638">
        <f>IF($A2="","",IF(COUNTIF('07_Pallet_Contents'!$A$2:$A$3000,$A2)&gt;0,"Yes",""))</f>
        <v/>
      </c>
    </row>
    <row r="639">
      <c r="B639" s="22" t="n"/>
      <c r="G639" s="25" t="n"/>
      <c r="H639" s="24">
        <f>IF(AND($F639="TEMP",$G639&gt;0,$M639&lt;&gt;""),$M639+$G639,"")</f>
        <v/>
      </c>
      <c r="I639" s="22" t="n"/>
      <c r="J639" s="22" t="n"/>
      <c r="K639" s="24" t="n"/>
      <c r="W639">
        <f>IF($A2="","",COUNTIF('07_Pallet_Contents'!$A$2:$A$3000,$A2))</f>
        <v/>
      </c>
      <c r="X639">
        <f>IF($A2="","",SUMIF('07_Pallet_Contents'!$A$2:$A$3000,$A2,'07_Pallet_Contents'!$D$2:$D$3000))</f>
        <v/>
      </c>
      <c r="Y639">
        <f>IF($A2="","",SUMIF('07_Pallet_Contents'!$A$2:$A$3000,$A2,'07_Pallet_Contents'!$I$2:$I$3000))</f>
        <v/>
      </c>
      <c r="Z639">
        <f>IF($A2="","",IF(COUNTIF('07_Pallet_Contents'!$A$2:$A$3000,$A2)&gt;0,"Yes",""))</f>
        <v/>
      </c>
    </row>
    <row r="640">
      <c r="B640" s="22" t="n"/>
      <c r="G640" s="25" t="n"/>
      <c r="H640" s="24">
        <f>IF(AND($F640="TEMP",$G640&gt;0,$M640&lt;&gt;""),$M640+$G640,"")</f>
        <v/>
      </c>
      <c r="I640" s="22" t="n"/>
      <c r="J640" s="22" t="n"/>
      <c r="K640" s="24" t="n"/>
      <c r="W640">
        <f>IF($A2="","",COUNTIF('07_Pallet_Contents'!$A$2:$A$3000,$A2))</f>
        <v/>
      </c>
      <c r="X640">
        <f>IF($A2="","",SUMIF('07_Pallet_Contents'!$A$2:$A$3000,$A2,'07_Pallet_Contents'!$D$2:$D$3000))</f>
        <v/>
      </c>
      <c r="Y640">
        <f>IF($A2="","",SUMIF('07_Pallet_Contents'!$A$2:$A$3000,$A2,'07_Pallet_Contents'!$I$2:$I$3000))</f>
        <v/>
      </c>
      <c r="Z640">
        <f>IF($A2="","",IF(COUNTIF('07_Pallet_Contents'!$A$2:$A$3000,$A2)&gt;0,"Yes",""))</f>
        <v/>
      </c>
    </row>
    <row r="641">
      <c r="B641" s="22" t="n"/>
      <c r="G641" s="25" t="n"/>
      <c r="H641" s="24">
        <f>IF(AND($F641="TEMP",$G641&gt;0,$M641&lt;&gt;""),$M641+$G641,"")</f>
        <v/>
      </c>
      <c r="I641" s="22" t="n"/>
      <c r="J641" s="22" t="n"/>
      <c r="K641" s="24" t="n"/>
      <c r="W641">
        <f>IF($A2="","",COUNTIF('07_Pallet_Contents'!$A$2:$A$3000,$A2))</f>
        <v/>
      </c>
      <c r="X641">
        <f>IF($A2="","",SUMIF('07_Pallet_Contents'!$A$2:$A$3000,$A2,'07_Pallet_Contents'!$D$2:$D$3000))</f>
        <v/>
      </c>
      <c r="Y641">
        <f>IF($A2="","",SUMIF('07_Pallet_Contents'!$A$2:$A$3000,$A2,'07_Pallet_Contents'!$I$2:$I$3000))</f>
        <v/>
      </c>
      <c r="Z641">
        <f>IF($A2="","",IF(COUNTIF('07_Pallet_Contents'!$A$2:$A$3000,$A2)&gt;0,"Yes",""))</f>
        <v/>
      </c>
    </row>
    <row r="642">
      <c r="B642" s="22" t="n"/>
      <c r="G642" s="25" t="n"/>
      <c r="H642" s="24">
        <f>IF(AND($F642="TEMP",$G642&gt;0,$M642&lt;&gt;""),$M642+$G642,"")</f>
        <v/>
      </c>
      <c r="I642" s="22" t="n"/>
      <c r="J642" s="22" t="n"/>
      <c r="K642" s="24" t="n"/>
      <c r="W642">
        <f>IF($A2="","",COUNTIF('07_Pallet_Contents'!$A$2:$A$3000,$A2))</f>
        <v/>
      </c>
      <c r="X642">
        <f>IF($A2="","",SUMIF('07_Pallet_Contents'!$A$2:$A$3000,$A2,'07_Pallet_Contents'!$D$2:$D$3000))</f>
        <v/>
      </c>
      <c r="Y642">
        <f>IF($A2="","",SUMIF('07_Pallet_Contents'!$A$2:$A$3000,$A2,'07_Pallet_Contents'!$I$2:$I$3000))</f>
        <v/>
      </c>
      <c r="Z642">
        <f>IF($A2="","",IF(COUNTIF('07_Pallet_Contents'!$A$2:$A$3000,$A2)&gt;0,"Yes",""))</f>
        <v/>
      </c>
    </row>
    <row r="643">
      <c r="B643" s="22" t="n"/>
      <c r="G643" s="25" t="n"/>
      <c r="H643" s="24">
        <f>IF(AND($F643="TEMP",$G643&gt;0,$M643&lt;&gt;""),$M643+$G643,"")</f>
        <v/>
      </c>
      <c r="I643" s="22" t="n"/>
      <c r="J643" s="22" t="n"/>
      <c r="K643" s="24" t="n"/>
      <c r="W643">
        <f>IF($A2="","",COUNTIF('07_Pallet_Contents'!$A$2:$A$3000,$A2))</f>
        <v/>
      </c>
      <c r="X643">
        <f>IF($A2="","",SUMIF('07_Pallet_Contents'!$A$2:$A$3000,$A2,'07_Pallet_Contents'!$D$2:$D$3000))</f>
        <v/>
      </c>
      <c r="Y643">
        <f>IF($A2="","",SUMIF('07_Pallet_Contents'!$A$2:$A$3000,$A2,'07_Pallet_Contents'!$I$2:$I$3000))</f>
        <v/>
      </c>
      <c r="Z643">
        <f>IF($A2="","",IF(COUNTIF('07_Pallet_Contents'!$A$2:$A$3000,$A2)&gt;0,"Yes",""))</f>
        <v/>
      </c>
    </row>
    <row r="644">
      <c r="B644" s="22" t="n"/>
      <c r="G644" s="25" t="n"/>
      <c r="H644" s="24">
        <f>IF(AND($F644="TEMP",$G644&gt;0,$M644&lt;&gt;""),$M644+$G644,"")</f>
        <v/>
      </c>
      <c r="I644" s="22" t="n"/>
      <c r="J644" s="22" t="n"/>
      <c r="K644" s="24" t="n"/>
      <c r="W644">
        <f>IF($A2="","",COUNTIF('07_Pallet_Contents'!$A$2:$A$3000,$A2))</f>
        <v/>
      </c>
      <c r="X644">
        <f>IF($A2="","",SUMIF('07_Pallet_Contents'!$A$2:$A$3000,$A2,'07_Pallet_Contents'!$D$2:$D$3000))</f>
        <v/>
      </c>
      <c r="Y644">
        <f>IF($A2="","",SUMIF('07_Pallet_Contents'!$A$2:$A$3000,$A2,'07_Pallet_Contents'!$I$2:$I$3000))</f>
        <v/>
      </c>
      <c r="Z644">
        <f>IF($A2="","",IF(COUNTIF('07_Pallet_Contents'!$A$2:$A$3000,$A2)&gt;0,"Yes",""))</f>
        <v/>
      </c>
    </row>
    <row r="645">
      <c r="B645" s="22" t="n"/>
      <c r="G645" s="25" t="n"/>
      <c r="H645" s="24">
        <f>IF(AND($F645="TEMP",$G645&gt;0,$M645&lt;&gt;""),$M645+$G645,"")</f>
        <v/>
      </c>
      <c r="I645" s="22" t="n"/>
      <c r="J645" s="22" t="n"/>
      <c r="K645" s="24" t="n"/>
      <c r="W645">
        <f>IF($A2="","",COUNTIF('07_Pallet_Contents'!$A$2:$A$3000,$A2))</f>
        <v/>
      </c>
      <c r="X645">
        <f>IF($A2="","",SUMIF('07_Pallet_Contents'!$A$2:$A$3000,$A2,'07_Pallet_Contents'!$D$2:$D$3000))</f>
        <v/>
      </c>
      <c r="Y645">
        <f>IF($A2="","",SUMIF('07_Pallet_Contents'!$A$2:$A$3000,$A2,'07_Pallet_Contents'!$I$2:$I$3000))</f>
        <v/>
      </c>
      <c r="Z645">
        <f>IF($A2="","",IF(COUNTIF('07_Pallet_Contents'!$A$2:$A$3000,$A2)&gt;0,"Yes",""))</f>
        <v/>
      </c>
    </row>
    <row r="646">
      <c r="B646" s="22" t="n"/>
      <c r="G646" s="25" t="n"/>
      <c r="H646" s="24">
        <f>IF(AND($F646="TEMP",$G646&gt;0,$M646&lt;&gt;""),$M646+$G646,"")</f>
        <v/>
      </c>
      <c r="I646" s="22" t="n"/>
      <c r="J646" s="22" t="n"/>
      <c r="K646" s="24" t="n"/>
      <c r="W646">
        <f>IF($A2="","",COUNTIF('07_Pallet_Contents'!$A$2:$A$3000,$A2))</f>
        <v/>
      </c>
      <c r="X646">
        <f>IF($A2="","",SUMIF('07_Pallet_Contents'!$A$2:$A$3000,$A2,'07_Pallet_Contents'!$D$2:$D$3000))</f>
        <v/>
      </c>
      <c r="Y646">
        <f>IF($A2="","",SUMIF('07_Pallet_Contents'!$A$2:$A$3000,$A2,'07_Pallet_Contents'!$I$2:$I$3000))</f>
        <v/>
      </c>
      <c r="Z646">
        <f>IF($A2="","",IF(COUNTIF('07_Pallet_Contents'!$A$2:$A$3000,$A2)&gt;0,"Yes",""))</f>
        <v/>
      </c>
    </row>
    <row r="647">
      <c r="B647" s="22" t="n"/>
      <c r="G647" s="25" t="n"/>
      <c r="H647" s="24">
        <f>IF(AND($F647="TEMP",$G647&gt;0,$M647&lt;&gt;""),$M647+$G647,"")</f>
        <v/>
      </c>
      <c r="I647" s="22" t="n"/>
      <c r="J647" s="22" t="n"/>
      <c r="K647" s="24" t="n"/>
      <c r="W647">
        <f>IF($A2="","",COUNTIF('07_Pallet_Contents'!$A$2:$A$3000,$A2))</f>
        <v/>
      </c>
      <c r="X647">
        <f>IF($A2="","",SUMIF('07_Pallet_Contents'!$A$2:$A$3000,$A2,'07_Pallet_Contents'!$D$2:$D$3000))</f>
        <v/>
      </c>
      <c r="Y647">
        <f>IF($A2="","",SUMIF('07_Pallet_Contents'!$A$2:$A$3000,$A2,'07_Pallet_Contents'!$I$2:$I$3000))</f>
        <v/>
      </c>
      <c r="Z647">
        <f>IF($A2="","",IF(COUNTIF('07_Pallet_Contents'!$A$2:$A$3000,$A2)&gt;0,"Yes",""))</f>
        <v/>
      </c>
    </row>
    <row r="648">
      <c r="B648" s="22" t="n"/>
      <c r="G648" s="25" t="n"/>
      <c r="H648" s="24">
        <f>IF(AND($F648="TEMP",$G648&gt;0,$M648&lt;&gt;""),$M648+$G648,"")</f>
        <v/>
      </c>
      <c r="I648" s="22" t="n"/>
      <c r="J648" s="22" t="n"/>
      <c r="K648" s="24" t="n"/>
      <c r="W648">
        <f>IF($A2="","",COUNTIF('07_Pallet_Contents'!$A$2:$A$3000,$A2))</f>
        <v/>
      </c>
      <c r="X648">
        <f>IF($A2="","",SUMIF('07_Pallet_Contents'!$A$2:$A$3000,$A2,'07_Pallet_Contents'!$D$2:$D$3000))</f>
        <v/>
      </c>
      <c r="Y648">
        <f>IF($A2="","",SUMIF('07_Pallet_Contents'!$A$2:$A$3000,$A2,'07_Pallet_Contents'!$I$2:$I$3000))</f>
        <v/>
      </c>
      <c r="Z648">
        <f>IF($A2="","",IF(COUNTIF('07_Pallet_Contents'!$A$2:$A$3000,$A2)&gt;0,"Yes",""))</f>
        <v/>
      </c>
    </row>
    <row r="649">
      <c r="B649" s="22" t="n"/>
      <c r="G649" s="25" t="n"/>
      <c r="H649" s="24">
        <f>IF(AND($F649="TEMP",$G649&gt;0,$M649&lt;&gt;""),$M649+$G649,"")</f>
        <v/>
      </c>
      <c r="I649" s="22" t="n"/>
      <c r="J649" s="22" t="n"/>
      <c r="K649" s="24" t="n"/>
      <c r="W649">
        <f>IF($A2="","",COUNTIF('07_Pallet_Contents'!$A$2:$A$3000,$A2))</f>
        <v/>
      </c>
      <c r="X649">
        <f>IF($A2="","",SUMIF('07_Pallet_Contents'!$A$2:$A$3000,$A2,'07_Pallet_Contents'!$D$2:$D$3000))</f>
        <v/>
      </c>
      <c r="Y649">
        <f>IF($A2="","",SUMIF('07_Pallet_Contents'!$A$2:$A$3000,$A2,'07_Pallet_Contents'!$I$2:$I$3000))</f>
        <v/>
      </c>
      <c r="Z649">
        <f>IF($A2="","",IF(COUNTIF('07_Pallet_Contents'!$A$2:$A$3000,$A2)&gt;0,"Yes",""))</f>
        <v/>
      </c>
    </row>
    <row r="650">
      <c r="B650" s="22" t="n"/>
      <c r="G650" s="25" t="n"/>
      <c r="H650" s="24">
        <f>IF(AND($F650="TEMP",$G650&gt;0,$M650&lt;&gt;""),$M650+$G650,"")</f>
        <v/>
      </c>
      <c r="I650" s="22" t="n"/>
      <c r="J650" s="22" t="n"/>
      <c r="K650" s="24" t="n"/>
      <c r="W650">
        <f>IF($A2="","",COUNTIF('07_Pallet_Contents'!$A$2:$A$3000,$A2))</f>
        <v/>
      </c>
      <c r="X650">
        <f>IF($A2="","",SUMIF('07_Pallet_Contents'!$A$2:$A$3000,$A2,'07_Pallet_Contents'!$D$2:$D$3000))</f>
        <v/>
      </c>
      <c r="Y650">
        <f>IF($A2="","",SUMIF('07_Pallet_Contents'!$A$2:$A$3000,$A2,'07_Pallet_Contents'!$I$2:$I$3000))</f>
        <v/>
      </c>
      <c r="Z650">
        <f>IF($A2="","",IF(COUNTIF('07_Pallet_Contents'!$A$2:$A$3000,$A2)&gt;0,"Yes",""))</f>
        <v/>
      </c>
    </row>
    <row r="651">
      <c r="B651" s="22" t="n"/>
      <c r="G651" s="25" t="n"/>
      <c r="H651" s="24">
        <f>IF(AND($F651="TEMP",$G651&gt;0,$M651&lt;&gt;""),$M651+$G651,"")</f>
        <v/>
      </c>
      <c r="I651" s="22" t="n"/>
      <c r="J651" s="22" t="n"/>
      <c r="K651" s="24" t="n"/>
      <c r="W651">
        <f>IF($A2="","",COUNTIF('07_Pallet_Contents'!$A$2:$A$3000,$A2))</f>
        <v/>
      </c>
      <c r="X651">
        <f>IF($A2="","",SUMIF('07_Pallet_Contents'!$A$2:$A$3000,$A2,'07_Pallet_Contents'!$D$2:$D$3000))</f>
        <v/>
      </c>
      <c r="Y651">
        <f>IF($A2="","",SUMIF('07_Pallet_Contents'!$A$2:$A$3000,$A2,'07_Pallet_Contents'!$I$2:$I$3000))</f>
        <v/>
      </c>
      <c r="Z651">
        <f>IF($A2="","",IF(COUNTIF('07_Pallet_Contents'!$A$2:$A$3000,$A2)&gt;0,"Yes",""))</f>
        <v/>
      </c>
    </row>
    <row r="652">
      <c r="B652" s="22" t="n"/>
      <c r="G652" s="25" t="n"/>
      <c r="H652" s="24">
        <f>IF(AND($F652="TEMP",$G652&gt;0,$M652&lt;&gt;""),$M652+$G652,"")</f>
        <v/>
      </c>
      <c r="I652" s="22" t="n"/>
      <c r="J652" s="22" t="n"/>
      <c r="K652" s="24" t="n"/>
      <c r="W652">
        <f>IF($A2="","",COUNTIF('07_Pallet_Contents'!$A$2:$A$3000,$A2))</f>
        <v/>
      </c>
      <c r="X652">
        <f>IF($A2="","",SUMIF('07_Pallet_Contents'!$A$2:$A$3000,$A2,'07_Pallet_Contents'!$D$2:$D$3000))</f>
        <v/>
      </c>
      <c r="Y652">
        <f>IF($A2="","",SUMIF('07_Pallet_Contents'!$A$2:$A$3000,$A2,'07_Pallet_Contents'!$I$2:$I$3000))</f>
        <v/>
      </c>
      <c r="Z652">
        <f>IF($A2="","",IF(COUNTIF('07_Pallet_Contents'!$A$2:$A$3000,$A2)&gt;0,"Yes",""))</f>
        <v/>
      </c>
    </row>
    <row r="653">
      <c r="B653" s="22" t="n"/>
      <c r="G653" s="25" t="n"/>
      <c r="H653" s="24">
        <f>IF(AND($F653="TEMP",$G653&gt;0,$M653&lt;&gt;""),$M653+$G653,"")</f>
        <v/>
      </c>
      <c r="I653" s="22" t="n"/>
      <c r="J653" s="22" t="n"/>
      <c r="K653" s="24" t="n"/>
      <c r="W653">
        <f>IF($A2="","",COUNTIF('07_Pallet_Contents'!$A$2:$A$3000,$A2))</f>
        <v/>
      </c>
      <c r="X653">
        <f>IF($A2="","",SUMIF('07_Pallet_Contents'!$A$2:$A$3000,$A2,'07_Pallet_Contents'!$D$2:$D$3000))</f>
        <v/>
      </c>
      <c r="Y653">
        <f>IF($A2="","",SUMIF('07_Pallet_Contents'!$A$2:$A$3000,$A2,'07_Pallet_Contents'!$I$2:$I$3000))</f>
        <v/>
      </c>
      <c r="Z653">
        <f>IF($A2="","",IF(COUNTIF('07_Pallet_Contents'!$A$2:$A$3000,$A2)&gt;0,"Yes",""))</f>
        <v/>
      </c>
    </row>
    <row r="654">
      <c r="B654" s="22" t="n"/>
      <c r="G654" s="25" t="n"/>
      <c r="H654" s="24">
        <f>IF(AND($F654="TEMP",$G654&gt;0,$M654&lt;&gt;""),$M654+$G654,"")</f>
        <v/>
      </c>
      <c r="I654" s="22" t="n"/>
      <c r="J654" s="22" t="n"/>
      <c r="K654" s="24" t="n"/>
      <c r="W654">
        <f>IF($A2="","",COUNTIF('07_Pallet_Contents'!$A$2:$A$3000,$A2))</f>
        <v/>
      </c>
      <c r="X654">
        <f>IF($A2="","",SUMIF('07_Pallet_Contents'!$A$2:$A$3000,$A2,'07_Pallet_Contents'!$D$2:$D$3000))</f>
        <v/>
      </c>
      <c r="Y654">
        <f>IF($A2="","",SUMIF('07_Pallet_Contents'!$A$2:$A$3000,$A2,'07_Pallet_Contents'!$I$2:$I$3000))</f>
        <v/>
      </c>
      <c r="Z654">
        <f>IF($A2="","",IF(COUNTIF('07_Pallet_Contents'!$A$2:$A$3000,$A2)&gt;0,"Yes",""))</f>
        <v/>
      </c>
    </row>
    <row r="655">
      <c r="B655" s="22" t="n"/>
      <c r="G655" s="25" t="n"/>
      <c r="H655" s="24">
        <f>IF(AND($F655="TEMP",$G655&gt;0,$M655&lt;&gt;""),$M655+$G655,"")</f>
        <v/>
      </c>
      <c r="I655" s="22" t="n"/>
      <c r="J655" s="22" t="n"/>
      <c r="K655" s="24" t="n"/>
      <c r="W655">
        <f>IF($A2="","",COUNTIF('07_Pallet_Contents'!$A$2:$A$3000,$A2))</f>
        <v/>
      </c>
      <c r="X655">
        <f>IF($A2="","",SUMIF('07_Pallet_Contents'!$A$2:$A$3000,$A2,'07_Pallet_Contents'!$D$2:$D$3000))</f>
        <v/>
      </c>
      <c r="Y655">
        <f>IF($A2="","",SUMIF('07_Pallet_Contents'!$A$2:$A$3000,$A2,'07_Pallet_Contents'!$I$2:$I$3000))</f>
        <v/>
      </c>
      <c r="Z655">
        <f>IF($A2="","",IF(COUNTIF('07_Pallet_Contents'!$A$2:$A$3000,$A2)&gt;0,"Yes",""))</f>
        <v/>
      </c>
    </row>
    <row r="656">
      <c r="B656" s="22" t="n"/>
      <c r="G656" s="25" t="n"/>
      <c r="H656" s="24">
        <f>IF(AND($F656="TEMP",$G656&gt;0,$M656&lt;&gt;""),$M656+$G656,"")</f>
        <v/>
      </c>
      <c r="I656" s="22" t="n"/>
      <c r="J656" s="22" t="n"/>
      <c r="K656" s="24" t="n"/>
      <c r="W656">
        <f>IF($A2="","",COUNTIF('07_Pallet_Contents'!$A$2:$A$3000,$A2))</f>
        <v/>
      </c>
      <c r="X656">
        <f>IF($A2="","",SUMIF('07_Pallet_Contents'!$A$2:$A$3000,$A2,'07_Pallet_Contents'!$D$2:$D$3000))</f>
        <v/>
      </c>
      <c r="Y656">
        <f>IF($A2="","",SUMIF('07_Pallet_Contents'!$A$2:$A$3000,$A2,'07_Pallet_Contents'!$I$2:$I$3000))</f>
        <v/>
      </c>
      <c r="Z656">
        <f>IF($A2="","",IF(COUNTIF('07_Pallet_Contents'!$A$2:$A$3000,$A2)&gt;0,"Yes",""))</f>
        <v/>
      </c>
    </row>
    <row r="657">
      <c r="B657" s="22" t="n"/>
      <c r="G657" s="25" t="n"/>
      <c r="H657" s="24">
        <f>IF(AND($F657="TEMP",$G657&gt;0,$M657&lt;&gt;""),$M657+$G657,"")</f>
        <v/>
      </c>
      <c r="I657" s="22" t="n"/>
      <c r="J657" s="22" t="n"/>
      <c r="K657" s="24" t="n"/>
      <c r="W657">
        <f>IF($A2="","",COUNTIF('07_Pallet_Contents'!$A$2:$A$3000,$A2))</f>
        <v/>
      </c>
      <c r="X657">
        <f>IF($A2="","",SUMIF('07_Pallet_Contents'!$A$2:$A$3000,$A2,'07_Pallet_Contents'!$D$2:$D$3000))</f>
        <v/>
      </c>
      <c r="Y657">
        <f>IF($A2="","",SUMIF('07_Pallet_Contents'!$A$2:$A$3000,$A2,'07_Pallet_Contents'!$I$2:$I$3000))</f>
        <v/>
      </c>
      <c r="Z657">
        <f>IF($A2="","",IF(COUNTIF('07_Pallet_Contents'!$A$2:$A$3000,$A2)&gt;0,"Yes",""))</f>
        <v/>
      </c>
    </row>
    <row r="658">
      <c r="B658" s="22" t="n"/>
      <c r="G658" s="25" t="n"/>
      <c r="H658" s="24">
        <f>IF(AND($F658="TEMP",$G658&gt;0,$M658&lt;&gt;""),$M658+$G658,"")</f>
        <v/>
      </c>
      <c r="I658" s="22" t="n"/>
      <c r="J658" s="22" t="n"/>
      <c r="K658" s="24" t="n"/>
      <c r="W658">
        <f>IF($A2="","",COUNTIF('07_Pallet_Contents'!$A$2:$A$3000,$A2))</f>
        <v/>
      </c>
      <c r="X658">
        <f>IF($A2="","",SUMIF('07_Pallet_Contents'!$A$2:$A$3000,$A2,'07_Pallet_Contents'!$D$2:$D$3000))</f>
        <v/>
      </c>
      <c r="Y658">
        <f>IF($A2="","",SUMIF('07_Pallet_Contents'!$A$2:$A$3000,$A2,'07_Pallet_Contents'!$I$2:$I$3000))</f>
        <v/>
      </c>
      <c r="Z658">
        <f>IF($A2="","",IF(COUNTIF('07_Pallet_Contents'!$A$2:$A$3000,$A2)&gt;0,"Yes",""))</f>
        <v/>
      </c>
    </row>
    <row r="659">
      <c r="B659" s="22" t="n"/>
      <c r="G659" s="25" t="n"/>
      <c r="H659" s="24">
        <f>IF(AND($F659="TEMP",$G659&gt;0,$M659&lt;&gt;""),$M659+$G659,"")</f>
        <v/>
      </c>
      <c r="I659" s="22" t="n"/>
      <c r="J659" s="22" t="n"/>
      <c r="K659" s="24" t="n"/>
      <c r="W659">
        <f>IF($A2="","",COUNTIF('07_Pallet_Contents'!$A$2:$A$3000,$A2))</f>
        <v/>
      </c>
      <c r="X659">
        <f>IF($A2="","",SUMIF('07_Pallet_Contents'!$A$2:$A$3000,$A2,'07_Pallet_Contents'!$D$2:$D$3000))</f>
        <v/>
      </c>
      <c r="Y659">
        <f>IF($A2="","",SUMIF('07_Pallet_Contents'!$A$2:$A$3000,$A2,'07_Pallet_Contents'!$I$2:$I$3000))</f>
        <v/>
      </c>
      <c r="Z659">
        <f>IF($A2="","",IF(COUNTIF('07_Pallet_Contents'!$A$2:$A$3000,$A2)&gt;0,"Yes",""))</f>
        <v/>
      </c>
    </row>
    <row r="660">
      <c r="B660" s="22" t="n"/>
      <c r="G660" s="25" t="n"/>
      <c r="H660" s="24">
        <f>IF(AND($F660="TEMP",$G660&gt;0,$M660&lt;&gt;""),$M660+$G660,"")</f>
        <v/>
      </c>
      <c r="I660" s="22" t="n"/>
      <c r="J660" s="22" t="n"/>
      <c r="K660" s="24" t="n"/>
      <c r="W660">
        <f>IF($A2="","",COUNTIF('07_Pallet_Contents'!$A$2:$A$3000,$A2))</f>
        <v/>
      </c>
      <c r="X660">
        <f>IF($A2="","",SUMIF('07_Pallet_Contents'!$A$2:$A$3000,$A2,'07_Pallet_Contents'!$D$2:$D$3000))</f>
        <v/>
      </c>
      <c r="Y660">
        <f>IF($A2="","",SUMIF('07_Pallet_Contents'!$A$2:$A$3000,$A2,'07_Pallet_Contents'!$I$2:$I$3000))</f>
        <v/>
      </c>
      <c r="Z660">
        <f>IF($A2="","",IF(COUNTIF('07_Pallet_Contents'!$A$2:$A$3000,$A2)&gt;0,"Yes",""))</f>
        <v/>
      </c>
    </row>
    <row r="661">
      <c r="B661" s="22" t="n"/>
      <c r="G661" s="25" t="n"/>
      <c r="H661" s="24">
        <f>IF(AND($F661="TEMP",$G661&gt;0,$M661&lt;&gt;""),$M661+$G661,"")</f>
        <v/>
      </c>
      <c r="I661" s="22" t="n"/>
      <c r="J661" s="22" t="n"/>
      <c r="K661" s="24" t="n"/>
      <c r="W661">
        <f>IF($A2="","",COUNTIF('07_Pallet_Contents'!$A$2:$A$3000,$A2))</f>
        <v/>
      </c>
      <c r="X661">
        <f>IF($A2="","",SUMIF('07_Pallet_Contents'!$A$2:$A$3000,$A2,'07_Pallet_Contents'!$D$2:$D$3000))</f>
        <v/>
      </c>
      <c r="Y661">
        <f>IF($A2="","",SUMIF('07_Pallet_Contents'!$A$2:$A$3000,$A2,'07_Pallet_Contents'!$I$2:$I$3000))</f>
        <v/>
      </c>
      <c r="Z661">
        <f>IF($A2="","",IF(COUNTIF('07_Pallet_Contents'!$A$2:$A$3000,$A2)&gt;0,"Yes",""))</f>
        <v/>
      </c>
    </row>
    <row r="662">
      <c r="B662" s="22" t="n"/>
      <c r="G662" s="25" t="n"/>
      <c r="H662" s="24">
        <f>IF(AND($F662="TEMP",$G662&gt;0,$M662&lt;&gt;""),$M662+$G662,"")</f>
        <v/>
      </c>
      <c r="I662" s="22" t="n"/>
      <c r="J662" s="22" t="n"/>
      <c r="K662" s="24" t="n"/>
      <c r="W662">
        <f>IF($A2="","",COUNTIF('07_Pallet_Contents'!$A$2:$A$3000,$A2))</f>
        <v/>
      </c>
      <c r="X662">
        <f>IF($A2="","",SUMIF('07_Pallet_Contents'!$A$2:$A$3000,$A2,'07_Pallet_Contents'!$D$2:$D$3000))</f>
        <v/>
      </c>
      <c r="Y662">
        <f>IF($A2="","",SUMIF('07_Pallet_Contents'!$A$2:$A$3000,$A2,'07_Pallet_Contents'!$I$2:$I$3000))</f>
        <v/>
      </c>
      <c r="Z662">
        <f>IF($A2="","",IF(COUNTIF('07_Pallet_Contents'!$A$2:$A$3000,$A2)&gt;0,"Yes",""))</f>
        <v/>
      </c>
    </row>
    <row r="663">
      <c r="B663" s="22" t="n"/>
      <c r="G663" s="25" t="n"/>
      <c r="H663" s="24">
        <f>IF(AND($F663="TEMP",$G663&gt;0,$M663&lt;&gt;""),$M663+$G663,"")</f>
        <v/>
      </c>
      <c r="I663" s="22" t="n"/>
      <c r="J663" s="22" t="n"/>
      <c r="K663" s="24" t="n"/>
      <c r="W663">
        <f>IF($A2="","",COUNTIF('07_Pallet_Contents'!$A$2:$A$3000,$A2))</f>
        <v/>
      </c>
      <c r="X663">
        <f>IF($A2="","",SUMIF('07_Pallet_Contents'!$A$2:$A$3000,$A2,'07_Pallet_Contents'!$D$2:$D$3000))</f>
        <v/>
      </c>
      <c r="Y663">
        <f>IF($A2="","",SUMIF('07_Pallet_Contents'!$A$2:$A$3000,$A2,'07_Pallet_Contents'!$I$2:$I$3000))</f>
        <v/>
      </c>
      <c r="Z663">
        <f>IF($A2="","",IF(COUNTIF('07_Pallet_Contents'!$A$2:$A$3000,$A2)&gt;0,"Yes",""))</f>
        <v/>
      </c>
    </row>
    <row r="664">
      <c r="B664" s="22" t="n"/>
      <c r="G664" s="25" t="n"/>
      <c r="H664" s="24">
        <f>IF(AND($F664="TEMP",$G664&gt;0,$M664&lt;&gt;""),$M664+$G664,"")</f>
        <v/>
      </c>
      <c r="I664" s="22" t="n"/>
      <c r="J664" s="22" t="n"/>
      <c r="K664" s="24" t="n"/>
      <c r="W664">
        <f>IF($A2="","",COUNTIF('07_Pallet_Contents'!$A$2:$A$3000,$A2))</f>
        <v/>
      </c>
      <c r="X664">
        <f>IF($A2="","",SUMIF('07_Pallet_Contents'!$A$2:$A$3000,$A2,'07_Pallet_Contents'!$D$2:$D$3000))</f>
        <v/>
      </c>
      <c r="Y664">
        <f>IF($A2="","",SUMIF('07_Pallet_Contents'!$A$2:$A$3000,$A2,'07_Pallet_Contents'!$I$2:$I$3000))</f>
        <v/>
      </c>
      <c r="Z664">
        <f>IF($A2="","",IF(COUNTIF('07_Pallet_Contents'!$A$2:$A$3000,$A2)&gt;0,"Yes",""))</f>
        <v/>
      </c>
    </row>
    <row r="665">
      <c r="B665" s="22" t="n"/>
      <c r="G665" s="25" t="n"/>
      <c r="H665" s="24">
        <f>IF(AND($F665="TEMP",$G665&gt;0,$M665&lt;&gt;""),$M665+$G665,"")</f>
        <v/>
      </c>
      <c r="I665" s="22" t="n"/>
      <c r="J665" s="22" t="n"/>
      <c r="K665" s="24" t="n"/>
      <c r="W665">
        <f>IF($A2="","",COUNTIF('07_Pallet_Contents'!$A$2:$A$3000,$A2))</f>
        <v/>
      </c>
      <c r="X665">
        <f>IF($A2="","",SUMIF('07_Pallet_Contents'!$A$2:$A$3000,$A2,'07_Pallet_Contents'!$D$2:$D$3000))</f>
        <v/>
      </c>
      <c r="Y665">
        <f>IF($A2="","",SUMIF('07_Pallet_Contents'!$A$2:$A$3000,$A2,'07_Pallet_Contents'!$I$2:$I$3000))</f>
        <v/>
      </c>
      <c r="Z665">
        <f>IF($A2="","",IF(COUNTIF('07_Pallet_Contents'!$A$2:$A$3000,$A2)&gt;0,"Yes",""))</f>
        <v/>
      </c>
    </row>
    <row r="666">
      <c r="B666" s="22" t="n"/>
      <c r="G666" s="25" t="n"/>
      <c r="H666" s="24">
        <f>IF(AND($F666="TEMP",$G666&gt;0,$M666&lt;&gt;""),$M666+$G666,"")</f>
        <v/>
      </c>
      <c r="I666" s="22" t="n"/>
      <c r="J666" s="22" t="n"/>
      <c r="K666" s="24" t="n"/>
      <c r="W666">
        <f>IF($A2="","",COUNTIF('07_Pallet_Contents'!$A$2:$A$3000,$A2))</f>
        <v/>
      </c>
      <c r="X666">
        <f>IF($A2="","",SUMIF('07_Pallet_Contents'!$A$2:$A$3000,$A2,'07_Pallet_Contents'!$D$2:$D$3000))</f>
        <v/>
      </c>
      <c r="Y666">
        <f>IF($A2="","",SUMIF('07_Pallet_Contents'!$A$2:$A$3000,$A2,'07_Pallet_Contents'!$I$2:$I$3000))</f>
        <v/>
      </c>
      <c r="Z666">
        <f>IF($A2="","",IF(COUNTIF('07_Pallet_Contents'!$A$2:$A$3000,$A2)&gt;0,"Yes",""))</f>
        <v/>
      </c>
    </row>
    <row r="667">
      <c r="B667" s="22" t="n"/>
      <c r="G667" s="25" t="n"/>
      <c r="H667" s="24">
        <f>IF(AND($F667="TEMP",$G667&gt;0,$M667&lt;&gt;""),$M667+$G667,"")</f>
        <v/>
      </c>
      <c r="I667" s="22" t="n"/>
      <c r="J667" s="22" t="n"/>
      <c r="K667" s="24" t="n"/>
      <c r="W667">
        <f>IF($A2="","",COUNTIF('07_Pallet_Contents'!$A$2:$A$3000,$A2))</f>
        <v/>
      </c>
      <c r="X667">
        <f>IF($A2="","",SUMIF('07_Pallet_Contents'!$A$2:$A$3000,$A2,'07_Pallet_Contents'!$D$2:$D$3000))</f>
        <v/>
      </c>
      <c r="Y667">
        <f>IF($A2="","",SUMIF('07_Pallet_Contents'!$A$2:$A$3000,$A2,'07_Pallet_Contents'!$I$2:$I$3000))</f>
        <v/>
      </c>
      <c r="Z667">
        <f>IF($A2="","",IF(COUNTIF('07_Pallet_Contents'!$A$2:$A$3000,$A2)&gt;0,"Yes",""))</f>
        <v/>
      </c>
    </row>
    <row r="668">
      <c r="B668" s="22" t="n"/>
      <c r="G668" s="25" t="n"/>
      <c r="H668" s="24">
        <f>IF(AND($F668="TEMP",$G668&gt;0,$M668&lt;&gt;""),$M668+$G668,"")</f>
        <v/>
      </c>
      <c r="I668" s="22" t="n"/>
      <c r="J668" s="22" t="n"/>
      <c r="K668" s="24" t="n"/>
      <c r="W668">
        <f>IF($A2="","",COUNTIF('07_Pallet_Contents'!$A$2:$A$3000,$A2))</f>
        <v/>
      </c>
      <c r="X668">
        <f>IF($A2="","",SUMIF('07_Pallet_Contents'!$A$2:$A$3000,$A2,'07_Pallet_Contents'!$D$2:$D$3000))</f>
        <v/>
      </c>
      <c r="Y668">
        <f>IF($A2="","",SUMIF('07_Pallet_Contents'!$A$2:$A$3000,$A2,'07_Pallet_Contents'!$I$2:$I$3000))</f>
        <v/>
      </c>
      <c r="Z668">
        <f>IF($A2="","",IF(COUNTIF('07_Pallet_Contents'!$A$2:$A$3000,$A2)&gt;0,"Yes",""))</f>
        <v/>
      </c>
    </row>
    <row r="669">
      <c r="B669" s="22" t="n"/>
      <c r="G669" s="25" t="n"/>
      <c r="H669" s="24">
        <f>IF(AND($F669="TEMP",$G669&gt;0,$M669&lt;&gt;""),$M669+$G669,"")</f>
        <v/>
      </c>
      <c r="I669" s="22" t="n"/>
      <c r="J669" s="22" t="n"/>
      <c r="K669" s="24" t="n"/>
      <c r="W669">
        <f>IF($A2="","",COUNTIF('07_Pallet_Contents'!$A$2:$A$3000,$A2))</f>
        <v/>
      </c>
      <c r="X669">
        <f>IF($A2="","",SUMIF('07_Pallet_Contents'!$A$2:$A$3000,$A2,'07_Pallet_Contents'!$D$2:$D$3000))</f>
        <v/>
      </c>
      <c r="Y669">
        <f>IF($A2="","",SUMIF('07_Pallet_Contents'!$A$2:$A$3000,$A2,'07_Pallet_Contents'!$I$2:$I$3000))</f>
        <v/>
      </c>
      <c r="Z669">
        <f>IF($A2="","",IF(COUNTIF('07_Pallet_Contents'!$A$2:$A$3000,$A2)&gt;0,"Yes",""))</f>
        <v/>
      </c>
    </row>
    <row r="670">
      <c r="B670" s="22" t="n"/>
      <c r="G670" s="25" t="n"/>
      <c r="H670" s="24">
        <f>IF(AND($F670="TEMP",$G670&gt;0,$M670&lt;&gt;""),$M670+$G670,"")</f>
        <v/>
      </c>
      <c r="I670" s="22" t="n"/>
      <c r="J670" s="22" t="n"/>
      <c r="K670" s="24" t="n"/>
      <c r="W670">
        <f>IF($A2="","",COUNTIF('07_Pallet_Contents'!$A$2:$A$3000,$A2))</f>
        <v/>
      </c>
      <c r="X670">
        <f>IF($A2="","",SUMIF('07_Pallet_Contents'!$A$2:$A$3000,$A2,'07_Pallet_Contents'!$D$2:$D$3000))</f>
        <v/>
      </c>
      <c r="Y670">
        <f>IF($A2="","",SUMIF('07_Pallet_Contents'!$A$2:$A$3000,$A2,'07_Pallet_Contents'!$I$2:$I$3000))</f>
        <v/>
      </c>
      <c r="Z670">
        <f>IF($A2="","",IF(COUNTIF('07_Pallet_Contents'!$A$2:$A$3000,$A2)&gt;0,"Yes",""))</f>
        <v/>
      </c>
    </row>
    <row r="671">
      <c r="B671" s="22" t="n"/>
      <c r="G671" s="25" t="n"/>
      <c r="H671" s="24">
        <f>IF(AND($F671="TEMP",$G671&gt;0,$M671&lt;&gt;""),$M671+$G671,"")</f>
        <v/>
      </c>
      <c r="I671" s="22" t="n"/>
      <c r="J671" s="22" t="n"/>
      <c r="K671" s="24" t="n"/>
      <c r="W671">
        <f>IF($A2="","",COUNTIF('07_Pallet_Contents'!$A$2:$A$3000,$A2))</f>
        <v/>
      </c>
      <c r="X671">
        <f>IF($A2="","",SUMIF('07_Pallet_Contents'!$A$2:$A$3000,$A2,'07_Pallet_Contents'!$D$2:$D$3000))</f>
        <v/>
      </c>
      <c r="Y671">
        <f>IF($A2="","",SUMIF('07_Pallet_Contents'!$A$2:$A$3000,$A2,'07_Pallet_Contents'!$I$2:$I$3000))</f>
        <v/>
      </c>
      <c r="Z671">
        <f>IF($A2="","",IF(COUNTIF('07_Pallet_Contents'!$A$2:$A$3000,$A2)&gt;0,"Yes",""))</f>
        <v/>
      </c>
    </row>
    <row r="672">
      <c r="B672" s="22" t="n"/>
      <c r="G672" s="25" t="n"/>
      <c r="H672" s="24">
        <f>IF(AND($F672="TEMP",$G672&gt;0,$M672&lt;&gt;""),$M672+$G672,"")</f>
        <v/>
      </c>
      <c r="I672" s="22" t="n"/>
      <c r="J672" s="22" t="n"/>
      <c r="K672" s="24" t="n"/>
      <c r="W672">
        <f>IF($A2="","",COUNTIF('07_Pallet_Contents'!$A$2:$A$3000,$A2))</f>
        <v/>
      </c>
      <c r="X672">
        <f>IF($A2="","",SUMIF('07_Pallet_Contents'!$A$2:$A$3000,$A2,'07_Pallet_Contents'!$D$2:$D$3000))</f>
        <v/>
      </c>
      <c r="Y672">
        <f>IF($A2="","",SUMIF('07_Pallet_Contents'!$A$2:$A$3000,$A2,'07_Pallet_Contents'!$I$2:$I$3000))</f>
        <v/>
      </c>
      <c r="Z672">
        <f>IF($A2="","",IF(COUNTIF('07_Pallet_Contents'!$A$2:$A$3000,$A2)&gt;0,"Yes",""))</f>
        <v/>
      </c>
    </row>
    <row r="673">
      <c r="B673" s="22" t="n"/>
      <c r="G673" s="25" t="n"/>
      <c r="H673" s="24">
        <f>IF(AND($F673="TEMP",$G673&gt;0,$M673&lt;&gt;""),$M673+$G673,"")</f>
        <v/>
      </c>
      <c r="I673" s="22" t="n"/>
      <c r="J673" s="22" t="n"/>
      <c r="K673" s="24" t="n"/>
      <c r="W673">
        <f>IF($A2="","",COUNTIF('07_Pallet_Contents'!$A$2:$A$3000,$A2))</f>
        <v/>
      </c>
      <c r="X673">
        <f>IF($A2="","",SUMIF('07_Pallet_Contents'!$A$2:$A$3000,$A2,'07_Pallet_Contents'!$D$2:$D$3000))</f>
        <v/>
      </c>
      <c r="Y673">
        <f>IF($A2="","",SUMIF('07_Pallet_Contents'!$A$2:$A$3000,$A2,'07_Pallet_Contents'!$I$2:$I$3000))</f>
        <v/>
      </c>
      <c r="Z673">
        <f>IF($A2="","",IF(COUNTIF('07_Pallet_Contents'!$A$2:$A$3000,$A2)&gt;0,"Yes",""))</f>
        <v/>
      </c>
    </row>
    <row r="674">
      <c r="B674" s="22" t="n"/>
      <c r="G674" s="25" t="n"/>
      <c r="H674" s="24">
        <f>IF(AND($F674="TEMP",$G674&gt;0,$M674&lt;&gt;""),$M674+$G674,"")</f>
        <v/>
      </c>
      <c r="I674" s="22" t="n"/>
      <c r="J674" s="22" t="n"/>
      <c r="K674" s="24" t="n"/>
      <c r="W674">
        <f>IF($A2="","",COUNTIF('07_Pallet_Contents'!$A$2:$A$3000,$A2))</f>
        <v/>
      </c>
      <c r="X674">
        <f>IF($A2="","",SUMIF('07_Pallet_Contents'!$A$2:$A$3000,$A2,'07_Pallet_Contents'!$D$2:$D$3000))</f>
        <v/>
      </c>
      <c r="Y674">
        <f>IF($A2="","",SUMIF('07_Pallet_Contents'!$A$2:$A$3000,$A2,'07_Pallet_Contents'!$I$2:$I$3000))</f>
        <v/>
      </c>
      <c r="Z674">
        <f>IF($A2="","",IF(COUNTIF('07_Pallet_Contents'!$A$2:$A$3000,$A2)&gt;0,"Yes",""))</f>
        <v/>
      </c>
    </row>
    <row r="675">
      <c r="B675" s="22" t="n"/>
      <c r="G675" s="25" t="n"/>
      <c r="H675" s="24">
        <f>IF(AND($F675="TEMP",$G675&gt;0,$M675&lt;&gt;""),$M675+$G675,"")</f>
        <v/>
      </c>
      <c r="I675" s="22" t="n"/>
      <c r="J675" s="22" t="n"/>
      <c r="K675" s="24" t="n"/>
      <c r="W675">
        <f>IF($A2="","",COUNTIF('07_Pallet_Contents'!$A$2:$A$3000,$A2))</f>
        <v/>
      </c>
      <c r="X675">
        <f>IF($A2="","",SUMIF('07_Pallet_Contents'!$A$2:$A$3000,$A2,'07_Pallet_Contents'!$D$2:$D$3000))</f>
        <v/>
      </c>
      <c r="Y675">
        <f>IF($A2="","",SUMIF('07_Pallet_Contents'!$A$2:$A$3000,$A2,'07_Pallet_Contents'!$I$2:$I$3000))</f>
        <v/>
      </c>
      <c r="Z675">
        <f>IF($A2="","",IF(COUNTIF('07_Pallet_Contents'!$A$2:$A$3000,$A2)&gt;0,"Yes",""))</f>
        <v/>
      </c>
    </row>
    <row r="676">
      <c r="B676" s="22" t="n"/>
      <c r="G676" s="25" t="n"/>
      <c r="H676" s="24">
        <f>IF(AND($F676="TEMP",$G676&gt;0,$M676&lt;&gt;""),$M676+$G676,"")</f>
        <v/>
      </c>
      <c r="I676" s="22" t="n"/>
      <c r="J676" s="22" t="n"/>
      <c r="K676" s="24" t="n"/>
      <c r="W676">
        <f>IF($A2="","",COUNTIF('07_Pallet_Contents'!$A$2:$A$3000,$A2))</f>
        <v/>
      </c>
      <c r="X676">
        <f>IF($A2="","",SUMIF('07_Pallet_Contents'!$A$2:$A$3000,$A2,'07_Pallet_Contents'!$D$2:$D$3000))</f>
        <v/>
      </c>
      <c r="Y676">
        <f>IF($A2="","",SUMIF('07_Pallet_Contents'!$A$2:$A$3000,$A2,'07_Pallet_Contents'!$I$2:$I$3000))</f>
        <v/>
      </c>
      <c r="Z676">
        <f>IF($A2="","",IF(COUNTIF('07_Pallet_Contents'!$A$2:$A$3000,$A2)&gt;0,"Yes",""))</f>
        <v/>
      </c>
    </row>
    <row r="677">
      <c r="B677" s="22" t="n"/>
      <c r="G677" s="25" t="n"/>
      <c r="H677" s="24">
        <f>IF(AND($F677="TEMP",$G677&gt;0,$M677&lt;&gt;""),$M677+$G677,"")</f>
        <v/>
      </c>
      <c r="I677" s="22" t="n"/>
      <c r="J677" s="22" t="n"/>
      <c r="K677" s="24" t="n"/>
      <c r="W677">
        <f>IF($A2="","",COUNTIF('07_Pallet_Contents'!$A$2:$A$3000,$A2))</f>
        <v/>
      </c>
      <c r="X677">
        <f>IF($A2="","",SUMIF('07_Pallet_Contents'!$A$2:$A$3000,$A2,'07_Pallet_Contents'!$D$2:$D$3000))</f>
        <v/>
      </c>
      <c r="Y677">
        <f>IF($A2="","",SUMIF('07_Pallet_Contents'!$A$2:$A$3000,$A2,'07_Pallet_Contents'!$I$2:$I$3000))</f>
        <v/>
      </c>
      <c r="Z677">
        <f>IF($A2="","",IF(COUNTIF('07_Pallet_Contents'!$A$2:$A$3000,$A2)&gt;0,"Yes",""))</f>
        <v/>
      </c>
    </row>
    <row r="678">
      <c r="B678" s="22" t="n"/>
      <c r="G678" s="25" t="n"/>
      <c r="H678" s="24">
        <f>IF(AND($F678="TEMP",$G678&gt;0,$M678&lt;&gt;""),$M678+$G678,"")</f>
        <v/>
      </c>
      <c r="I678" s="22" t="n"/>
      <c r="J678" s="22" t="n"/>
      <c r="K678" s="24" t="n"/>
      <c r="W678">
        <f>IF($A2="","",COUNTIF('07_Pallet_Contents'!$A$2:$A$3000,$A2))</f>
        <v/>
      </c>
      <c r="X678">
        <f>IF($A2="","",SUMIF('07_Pallet_Contents'!$A$2:$A$3000,$A2,'07_Pallet_Contents'!$D$2:$D$3000))</f>
        <v/>
      </c>
      <c r="Y678">
        <f>IF($A2="","",SUMIF('07_Pallet_Contents'!$A$2:$A$3000,$A2,'07_Pallet_Contents'!$I$2:$I$3000))</f>
        <v/>
      </c>
      <c r="Z678">
        <f>IF($A2="","",IF(COUNTIF('07_Pallet_Contents'!$A$2:$A$3000,$A2)&gt;0,"Yes",""))</f>
        <v/>
      </c>
    </row>
    <row r="679">
      <c r="B679" s="22" t="n"/>
      <c r="G679" s="25" t="n"/>
      <c r="H679" s="24">
        <f>IF(AND($F679="TEMP",$G679&gt;0,$M679&lt;&gt;""),$M679+$G679,"")</f>
        <v/>
      </c>
      <c r="I679" s="22" t="n"/>
      <c r="J679" s="22" t="n"/>
      <c r="K679" s="24" t="n"/>
      <c r="W679">
        <f>IF($A2="","",COUNTIF('07_Pallet_Contents'!$A$2:$A$3000,$A2))</f>
        <v/>
      </c>
      <c r="X679">
        <f>IF($A2="","",SUMIF('07_Pallet_Contents'!$A$2:$A$3000,$A2,'07_Pallet_Contents'!$D$2:$D$3000))</f>
        <v/>
      </c>
      <c r="Y679">
        <f>IF($A2="","",SUMIF('07_Pallet_Contents'!$A$2:$A$3000,$A2,'07_Pallet_Contents'!$I$2:$I$3000))</f>
        <v/>
      </c>
      <c r="Z679">
        <f>IF($A2="","",IF(COUNTIF('07_Pallet_Contents'!$A$2:$A$3000,$A2)&gt;0,"Yes",""))</f>
        <v/>
      </c>
    </row>
    <row r="680">
      <c r="B680" s="22" t="n"/>
      <c r="G680" s="25" t="n"/>
      <c r="H680" s="24">
        <f>IF(AND($F680="TEMP",$G680&gt;0,$M680&lt;&gt;""),$M680+$G680,"")</f>
        <v/>
      </c>
      <c r="I680" s="22" t="n"/>
      <c r="J680" s="22" t="n"/>
      <c r="K680" s="24" t="n"/>
      <c r="W680">
        <f>IF($A2="","",COUNTIF('07_Pallet_Contents'!$A$2:$A$3000,$A2))</f>
        <v/>
      </c>
      <c r="X680">
        <f>IF($A2="","",SUMIF('07_Pallet_Contents'!$A$2:$A$3000,$A2,'07_Pallet_Contents'!$D$2:$D$3000))</f>
        <v/>
      </c>
      <c r="Y680">
        <f>IF($A2="","",SUMIF('07_Pallet_Contents'!$A$2:$A$3000,$A2,'07_Pallet_Contents'!$I$2:$I$3000))</f>
        <v/>
      </c>
      <c r="Z680">
        <f>IF($A2="","",IF(COUNTIF('07_Pallet_Contents'!$A$2:$A$3000,$A2)&gt;0,"Yes",""))</f>
        <v/>
      </c>
    </row>
    <row r="681">
      <c r="B681" s="22" t="n"/>
      <c r="G681" s="25" t="n"/>
      <c r="H681" s="24">
        <f>IF(AND($F681="TEMP",$G681&gt;0,$M681&lt;&gt;""),$M681+$G681,"")</f>
        <v/>
      </c>
      <c r="I681" s="22" t="n"/>
      <c r="J681" s="22" t="n"/>
      <c r="K681" s="24" t="n"/>
      <c r="W681">
        <f>IF($A2="","",COUNTIF('07_Pallet_Contents'!$A$2:$A$3000,$A2))</f>
        <v/>
      </c>
      <c r="X681">
        <f>IF($A2="","",SUMIF('07_Pallet_Contents'!$A$2:$A$3000,$A2,'07_Pallet_Contents'!$D$2:$D$3000))</f>
        <v/>
      </c>
      <c r="Y681">
        <f>IF($A2="","",SUMIF('07_Pallet_Contents'!$A$2:$A$3000,$A2,'07_Pallet_Contents'!$I$2:$I$3000))</f>
        <v/>
      </c>
      <c r="Z681">
        <f>IF($A2="","",IF(COUNTIF('07_Pallet_Contents'!$A$2:$A$3000,$A2)&gt;0,"Yes",""))</f>
        <v/>
      </c>
    </row>
    <row r="682">
      <c r="B682" s="22" t="n"/>
      <c r="G682" s="25" t="n"/>
      <c r="H682" s="24">
        <f>IF(AND($F682="TEMP",$G682&gt;0,$M682&lt;&gt;""),$M682+$G682,"")</f>
        <v/>
      </c>
      <c r="I682" s="22" t="n"/>
      <c r="J682" s="22" t="n"/>
      <c r="K682" s="24" t="n"/>
      <c r="W682">
        <f>IF($A2="","",COUNTIF('07_Pallet_Contents'!$A$2:$A$3000,$A2))</f>
        <v/>
      </c>
      <c r="X682">
        <f>IF($A2="","",SUMIF('07_Pallet_Contents'!$A$2:$A$3000,$A2,'07_Pallet_Contents'!$D$2:$D$3000))</f>
        <v/>
      </c>
      <c r="Y682">
        <f>IF($A2="","",SUMIF('07_Pallet_Contents'!$A$2:$A$3000,$A2,'07_Pallet_Contents'!$I$2:$I$3000))</f>
        <v/>
      </c>
      <c r="Z682">
        <f>IF($A2="","",IF(COUNTIF('07_Pallet_Contents'!$A$2:$A$3000,$A2)&gt;0,"Yes",""))</f>
        <v/>
      </c>
    </row>
    <row r="683">
      <c r="B683" s="22" t="n"/>
      <c r="G683" s="25" t="n"/>
      <c r="H683" s="24">
        <f>IF(AND($F683="TEMP",$G683&gt;0,$M683&lt;&gt;""),$M683+$G683,"")</f>
        <v/>
      </c>
      <c r="I683" s="22" t="n"/>
      <c r="J683" s="22" t="n"/>
      <c r="K683" s="24" t="n"/>
      <c r="W683">
        <f>IF($A2="","",COUNTIF('07_Pallet_Contents'!$A$2:$A$3000,$A2))</f>
        <v/>
      </c>
      <c r="X683">
        <f>IF($A2="","",SUMIF('07_Pallet_Contents'!$A$2:$A$3000,$A2,'07_Pallet_Contents'!$D$2:$D$3000))</f>
        <v/>
      </c>
      <c r="Y683">
        <f>IF($A2="","",SUMIF('07_Pallet_Contents'!$A$2:$A$3000,$A2,'07_Pallet_Contents'!$I$2:$I$3000))</f>
        <v/>
      </c>
      <c r="Z683">
        <f>IF($A2="","",IF(COUNTIF('07_Pallet_Contents'!$A$2:$A$3000,$A2)&gt;0,"Yes",""))</f>
        <v/>
      </c>
    </row>
    <row r="684">
      <c r="B684" s="22" t="n"/>
      <c r="G684" s="25" t="n"/>
      <c r="H684" s="24">
        <f>IF(AND($F684="TEMP",$G684&gt;0,$M684&lt;&gt;""),$M684+$G684,"")</f>
        <v/>
      </c>
      <c r="I684" s="22" t="n"/>
      <c r="J684" s="22" t="n"/>
      <c r="K684" s="24" t="n"/>
      <c r="W684">
        <f>IF($A2="","",COUNTIF('07_Pallet_Contents'!$A$2:$A$3000,$A2))</f>
        <v/>
      </c>
      <c r="X684">
        <f>IF($A2="","",SUMIF('07_Pallet_Contents'!$A$2:$A$3000,$A2,'07_Pallet_Contents'!$D$2:$D$3000))</f>
        <v/>
      </c>
      <c r="Y684">
        <f>IF($A2="","",SUMIF('07_Pallet_Contents'!$A$2:$A$3000,$A2,'07_Pallet_Contents'!$I$2:$I$3000))</f>
        <v/>
      </c>
      <c r="Z684">
        <f>IF($A2="","",IF(COUNTIF('07_Pallet_Contents'!$A$2:$A$3000,$A2)&gt;0,"Yes",""))</f>
        <v/>
      </c>
    </row>
    <row r="685">
      <c r="B685" s="22" t="n"/>
      <c r="G685" s="25" t="n"/>
      <c r="H685" s="24">
        <f>IF(AND($F685="TEMP",$G685&gt;0,$M685&lt;&gt;""),$M685+$G685,"")</f>
        <v/>
      </c>
      <c r="I685" s="22" t="n"/>
      <c r="J685" s="22" t="n"/>
      <c r="K685" s="24" t="n"/>
      <c r="W685">
        <f>IF($A2="","",COUNTIF('07_Pallet_Contents'!$A$2:$A$3000,$A2))</f>
        <v/>
      </c>
      <c r="X685">
        <f>IF($A2="","",SUMIF('07_Pallet_Contents'!$A$2:$A$3000,$A2,'07_Pallet_Contents'!$D$2:$D$3000))</f>
        <v/>
      </c>
      <c r="Y685">
        <f>IF($A2="","",SUMIF('07_Pallet_Contents'!$A$2:$A$3000,$A2,'07_Pallet_Contents'!$I$2:$I$3000))</f>
        <v/>
      </c>
      <c r="Z685">
        <f>IF($A2="","",IF(COUNTIF('07_Pallet_Contents'!$A$2:$A$3000,$A2)&gt;0,"Yes",""))</f>
        <v/>
      </c>
    </row>
    <row r="686">
      <c r="B686" s="22" t="n"/>
      <c r="G686" s="25" t="n"/>
      <c r="H686" s="24">
        <f>IF(AND($F686="TEMP",$G686&gt;0,$M686&lt;&gt;""),$M686+$G686,"")</f>
        <v/>
      </c>
      <c r="I686" s="22" t="n"/>
      <c r="J686" s="22" t="n"/>
      <c r="K686" s="24" t="n"/>
      <c r="W686">
        <f>IF($A2="","",COUNTIF('07_Pallet_Contents'!$A$2:$A$3000,$A2))</f>
        <v/>
      </c>
      <c r="X686">
        <f>IF($A2="","",SUMIF('07_Pallet_Contents'!$A$2:$A$3000,$A2,'07_Pallet_Contents'!$D$2:$D$3000))</f>
        <v/>
      </c>
      <c r="Y686">
        <f>IF($A2="","",SUMIF('07_Pallet_Contents'!$A$2:$A$3000,$A2,'07_Pallet_Contents'!$I$2:$I$3000))</f>
        <v/>
      </c>
      <c r="Z686">
        <f>IF($A2="","",IF(COUNTIF('07_Pallet_Contents'!$A$2:$A$3000,$A2)&gt;0,"Yes",""))</f>
        <v/>
      </c>
    </row>
    <row r="687">
      <c r="B687" s="22" t="n"/>
      <c r="G687" s="25" t="n"/>
      <c r="H687" s="24">
        <f>IF(AND($F687="TEMP",$G687&gt;0,$M687&lt;&gt;""),$M687+$G687,"")</f>
        <v/>
      </c>
      <c r="I687" s="22" t="n"/>
      <c r="J687" s="22" t="n"/>
      <c r="K687" s="24" t="n"/>
      <c r="W687">
        <f>IF($A2="","",COUNTIF('07_Pallet_Contents'!$A$2:$A$3000,$A2))</f>
        <v/>
      </c>
      <c r="X687">
        <f>IF($A2="","",SUMIF('07_Pallet_Contents'!$A$2:$A$3000,$A2,'07_Pallet_Contents'!$D$2:$D$3000))</f>
        <v/>
      </c>
      <c r="Y687">
        <f>IF($A2="","",SUMIF('07_Pallet_Contents'!$A$2:$A$3000,$A2,'07_Pallet_Contents'!$I$2:$I$3000))</f>
        <v/>
      </c>
      <c r="Z687">
        <f>IF($A2="","",IF(COUNTIF('07_Pallet_Contents'!$A$2:$A$3000,$A2)&gt;0,"Yes",""))</f>
        <v/>
      </c>
    </row>
    <row r="688">
      <c r="B688" s="22" t="n"/>
      <c r="G688" s="25" t="n"/>
      <c r="H688" s="24">
        <f>IF(AND($F688="TEMP",$G688&gt;0,$M688&lt;&gt;""),$M688+$G688,"")</f>
        <v/>
      </c>
      <c r="I688" s="22" t="n"/>
      <c r="J688" s="22" t="n"/>
      <c r="K688" s="24" t="n"/>
      <c r="W688">
        <f>IF($A2="","",COUNTIF('07_Pallet_Contents'!$A$2:$A$3000,$A2))</f>
        <v/>
      </c>
      <c r="X688">
        <f>IF($A2="","",SUMIF('07_Pallet_Contents'!$A$2:$A$3000,$A2,'07_Pallet_Contents'!$D$2:$D$3000))</f>
        <v/>
      </c>
      <c r="Y688">
        <f>IF($A2="","",SUMIF('07_Pallet_Contents'!$A$2:$A$3000,$A2,'07_Pallet_Contents'!$I$2:$I$3000))</f>
        <v/>
      </c>
      <c r="Z688">
        <f>IF($A2="","",IF(COUNTIF('07_Pallet_Contents'!$A$2:$A$3000,$A2)&gt;0,"Yes",""))</f>
        <v/>
      </c>
    </row>
    <row r="689">
      <c r="B689" s="22" t="n"/>
      <c r="G689" s="25" t="n"/>
      <c r="H689" s="24">
        <f>IF(AND($F689="TEMP",$G689&gt;0,$M689&lt;&gt;""),$M689+$G689,"")</f>
        <v/>
      </c>
      <c r="I689" s="22" t="n"/>
      <c r="J689" s="22" t="n"/>
      <c r="K689" s="24" t="n"/>
      <c r="W689">
        <f>IF($A2="","",COUNTIF('07_Pallet_Contents'!$A$2:$A$3000,$A2))</f>
        <v/>
      </c>
      <c r="X689">
        <f>IF($A2="","",SUMIF('07_Pallet_Contents'!$A$2:$A$3000,$A2,'07_Pallet_Contents'!$D$2:$D$3000))</f>
        <v/>
      </c>
      <c r="Y689">
        <f>IF($A2="","",SUMIF('07_Pallet_Contents'!$A$2:$A$3000,$A2,'07_Pallet_Contents'!$I$2:$I$3000))</f>
        <v/>
      </c>
      <c r="Z689">
        <f>IF($A2="","",IF(COUNTIF('07_Pallet_Contents'!$A$2:$A$3000,$A2)&gt;0,"Yes",""))</f>
        <v/>
      </c>
    </row>
    <row r="690">
      <c r="B690" s="22" t="n"/>
      <c r="G690" s="25" t="n"/>
      <c r="H690" s="24">
        <f>IF(AND($F690="TEMP",$G690&gt;0,$M690&lt;&gt;""),$M690+$G690,"")</f>
        <v/>
      </c>
      <c r="I690" s="22" t="n"/>
      <c r="J690" s="22" t="n"/>
      <c r="K690" s="24" t="n"/>
      <c r="W690">
        <f>IF($A2="","",COUNTIF('07_Pallet_Contents'!$A$2:$A$3000,$A2))</f>
        <v/>
      </c>
      <c r="X690">
        <f>IF($A2="","",SUMIF('07_Pallet_Contents'!$A$2:$A$3000,$A2,'07_Pallet_Contents'!$D$2:$D$3000))</f>
        <v/>
      </c>
      <c r="Y690">
        <f>IF($A2="","",SUMIF('07_Pallet_Contents'!$A$2:$A$3000,$A2,'07_Pallet_Contents'!$I$2:$I$3000))</f>
        <v/>
      </c>
      <c r="Z690">
        <f>IF($A2="","",IF(COUNTIF('07_Pallet_Contents'!$A$2:$A$3000,$A2)&gt;0,"Yes",""))</f>
        <v/>
      </c>
    </row>
    <row r="691">
      <c r="B691" s="22" t="n"/>
      <c r="G691" s="25" t="n"/>
      <c r="H691" s="24">
        <f>IF(AND($F691="TEMP",$G691&gt;0,$M691&lt;&gt;""),$M691+$G691,"")</f>
        <v/>
      </c>
      <c r="I691" s="22" t="n"/>
      <c r="J691" s="22" t="n"/>
      <c r="K691" s="24" t="n"/>
      <c r="W691">
        <f>IF($A2="","",COUNTIF('07_Pallet_Contents'!$A$2:$A$3000,$A2))</f>
        <v/>
      </c>
      <c r="X691">
        <f>IF($A2="","",SUMIF('07_Pallet_Contents'!$A$2:$A$3000,$A2,'07_Pallet_Contents'!$D$2:$D$3000))</f>
        <v/>
      </c>
      <c r="Y691">
        <f>IF($A2="","",SUMIF('07_Pallet_Contents'!$A$2:$A$3000,$A2,'07_Pallet_Contents'!$I$2:$I$3000))</f>
        <v/>
      </c>
      <c r="Z691">
        <f>IF($A2="","",IF(COUNTIF('07_Pallet_Contents'!$A$2:$A$3000,$A2)&gt;0,"Yes",""))</f>
        <v/>
      </c>
    </row>
    <row r="692">
      <c r="B692" s="22" t="n"/>
      <c r="G692" s="25" t="n"/>
      <c r="H692" s="24">
        <f>IF(AND($F692="TEMP",$G692&gt;0,$M692&lt;&gt;""),$M692+$G692,"")</f>
        <v/>
      </c>
      <c r="I692" s="22" t="n"/>
      <c r="J692" s="22" t="n"/>
      <c r="K692" s="24" t="n"/>
      <c r="W692">
        <f>IF($A2="","",COUNTIF('07_Pallet_Contents'!$A$2:$A$3000,$A2))</f>
        <v/>
      </c>
      <c r="X692">
        <f>IF($A2="","",SUMIF('07_Pallet_Contents'!$A$2:$A$3000,$A2,'07_Pallet_Contents'!$D$2:$D$3000))</f>
        <v/>
      </c>
      <c r="Y692">
        <f>IF($A2="","",SUMIF('07_Pallet_Contents'!$A$2:$A$3000,$A2,'07_Pallet_Contents'!$I$2:$I$3000))</f>
        <v/>
      </c>
      <c r="Z692">
        <f>IF($A2="","",IF(COUNTIF('07_Pallet_Contents'!$A$2:$A$3000,$A2)&gt;0,"Yes",""))</f>
        <v/>
      </c>
    </row>
    <row r="693">
      <c r="B693" s="22" t="n"/>
      <c r="G693" s="25" t="n"/>
      <c r="H693" s="24">
        <f>IF(AND($F693="TEMP",$G693&gt;0,$M693&lt;&gt;""),$M693+$G693,"")</f>
        <v/>
      </c>
      <c r="I693" s="22" t="n"/>
      <c r="J693" s="22" t="n"/>
      <c r="K693" s="24" t="n"/>
      <c r="W693">
        <f>IF($A2="","",COUNTIF('07_Pallet_Contents'!$A$2:$A$3000,$A2))</f>
        <v/>
      </c>
      <c r="X693">
        <f>IF($A2="","",SUMIF('07_Pallet_Contents'!$A$2:$A$3000,$A2,'07_Pallet_Contents'!$D$2:$D$3000))</f>
        <v/>
      </c>
      <c r="Y693">
        <f>IF($A2="","",SUMIF('07_Pallet_Contents'!$A$2:$A$3000,$A2,'07_Pallet_Contents'!$I$2:$I$3000))</f>
        <v/>
      </c>
      <c r="Z693">
        <f>IF($A2="","",IF(COUNTIF('07_Pallet_Contents'!$A$2:$A$3000,$A2)&gt;0,"Yes",""))</f>
        <v/>
      </c>
    </row>
    <row r="694">
      <c r="B694" s="22" t="n"/>
      <c r="G694" s="25" t="n"/>
      <c r="H694" s="24">
        <f>IF(AND($F694="TEMP",$G694&gt;0,$M694&lt;&gt;""),$M694+$G694,"")</f>
        <v/>
      </c>
      <c r="I694" s="22" t="n"/>
      <c r="J694" s="22" t="n"/>
      <c r="K694" s="24" t="n"/>
      <c r="W694">
        <f>IF($A2="","",COUNTIF('07_Pallet_Contents'!$A$2:$A$3000,$A2))</f>
        <v/>
      </c>
      <c r="X694">
        <f>IF($A2="","",SUMIF('07_Pallet_Contents'!$A$2:$A$3000,$A2,'07_Pallet_Contents'!$D$2:$D$3000))</f>
        <v/>
      </c>
      <c r="Y694">
        <f>IF($A2="","",SUMIF('07_Pallet_Contents'!$A$2:$A$3000,$A2,'07_Pallet_Contents'!$I$2:$I$3000))</f>
        <v/>
      </c>
      <c r="Z694">
        <f>IF($A2="","",IF(COUNTIF('07_Pallet_Contents'!$A$2:$A$3000,$A2)&gt;0,"Yes",""))</f>
        <v/>
      </c>
    </row>
    <row r="695">
      <c r="B695" s="22" t="n"/>
      <c r="G695" s="25" t="n"/>
      <c r="H695" s="24">
        <f>IF(AND($F695="TEMP",$G695&gt;0,$M695&lt;&gt;""),$M695+$G695,"")</f>
        <v/>
      </c>
      <c r="I695" s="22" t="n"/>
      <c r="J695" s="22" t="n"/>
      <c r="K695" s="24" t="n"/>
      <c r="W695">
        <f>IF($A2="","",COUNTIF('07_Pallet_Contents'!$A$2:$A$3000,$A2))</f>
        <v/>
      </c>
      <c r="X695">
        <f>IF($A2="","",SUMIF('07_Pallet_Contents'!$A$2:$A$3000,$A2,'07_Pallet_Contents'!$D$2:$D$3000))</f>
        <v/>
      </c>
      <c r="Y695">
        <f>IF($A2="","",SUMIF('07_Pallet_Contents'!$A$2:$A$3000,$A2,'07_Pallet_Contents'!$I$2:$I$3000))</f>
        <v/>
      </c>
      <c r="Z695">
        <f>IF($A2="","",IF(COUNTIF('07_Pallet_Contents'!$A$2:$A$3000,$A2)&gt;0,"Yes",""))</f>
        <v/>
      </c>
    </row>
    <row r="696">
      <c r="B696" s="22" t="n"/>
      <c r="G696" s="25" t="n"/>
      <c r="H696" s="24">
        <f>IF(AND($F696="TEMP",$G696&gt;0,$M696&lt;&gt;""),$M696+$G696,"")</f>
        <v/>
      </c>
      <c r="I696" s="22" t="n"/>
      <c r="J696" s="22" t="n"/>
      <c r="K696" s="24" t="n"/>
      <c r="W696">
        <f>IF($A2="","",COUNTIF('07_Pallet_Contents'!$A$2:$A$3000,$A2))</f>
        <v/>
      </c>
      <c r="X696">
        <f>IF($A2="","",SUMIF('07_Pallet_Contents'!$A$2:$A$3000,$A2,'07_Pallet_Contents'!$D$2:$D$3000))</f>
        <v/>
      </c>
      <c r="Y696">
        <f>IF($A2="","",SUMIF('07_Pallet_Contents'!$A$2:$A$3000,$A2,'07_Pallet_Contents'!$I$2:$I$3000))</f>
        <v/>
      </c>
      <c r="Z696">
        <f>IF($A2="","",IF(COUNTIF('07_Pallet_Contents'!$A$2:$A$3000,$A2)&gt;0,"Yes",""))</f>
        <v/>
      </c>
    </row>
    <row r="697">
      <c r="B697" s="22" t="n"/>
      <c r="G697" s="25" t="n"/>
      <c r="H697" s="24">
        <f>IF(AND($F697="TEMP",$G697&gt;0,$M697&lt;&gt;""),$M697+$G697,"")</f>
        <v/>
      </c>
      <c r="I697" s="22" t="n"/>
      <c r="J697" s="22" t="n"/>
      <c r="K697" s="24" t="n"/>
      <c r="W697">
        <f>IF($A2="","",COUNTIF('07_Pallet_Contents'!$A$2:$A$3000,$A2))</f>
        <v/>
      </c>
      <c r="X697">
        <f>IF($A2="","",SUMIF('07_Pallet_Contents'!$A$2:$A$3000,$A2,'07_Pallet_Contents'!$D$2:$D$3000))</f>
        <v/>
      </c>
      <c r="Y697">
        <f>IF($A2="","",SUMIF('07_Pallet_Contents'!$A$2:$A$3000,$A2,'07_Pallet_Contents'!$I$2:$I$3000))</f>
        <v/>
      </c>
      <c r="Z697">
        <f>IF($A2="","",IF(COUNTIF('07_Pallet_Contents'!$A$2:$A$3000,$A2)&gt;0,"Yes",""))</f>
        <v/>
      </c>
    </row>
    <row r="698">
      <c r="B698" s="22" t="n"/>
      <c r="G698" s="25" t="n"/>
      <c r="H698" s="24">
        <f>IF(AND($F698="TEMP",$G698&gt;0,$M698&lt;&gt;""),$M698+$G698,"")</f>
        <v/>
      </c>
      <c r="I698" s="22" t="n"/>
      <c r="J698" s="22" t="n"/>
      <c r="K698" s="24" t="n"/>
      <c r="W698">
        <f>IF($A2="","",COUNTIF('07_Pallet_Contents'!$A$2:$A$3000,$A2))</f>
        <v/>
      </c>
      <c r="X698">
        <f>IF($A2="","",SUMIF('07_Pallet_Contents'!$A$2:$A$3000,$A2,'07_Pallet_Contents'!$D$2:$D$3000))</f>
        <v/>
      </c>
      <c r="Y698">
        <f>IF($A2="","",SUMIF('07_Pallet_Contents'!$A$2:$A$3000,$A2,'07_Pallet_Contents'!$I$2:$I$3000))</f>
        <v/>
      </c>
      <c r="Z698">
        <f>IF($A2="","",IF(COUNTIF('07_Pallet_Contents'!$A$2:$A$3000,$A2)&gt;0,"Yes",""))</f>
        <v/>
      </c>
    </row>
    <row r="699">
      <c r="B699" s="22" t="n"/>
      <c r="G699" s="25" t="n"/>
      <c r="H699" s="24">
        <f>IF(AND($F699="TEMP",$G699&gt;0,$M699&lt;&gt;""),$M699+$G699,"")</f>
        <v/>
      </c>
      <c r="I699" s="22" t="n"/>
      <c r="J699" s="22" t="n"/>
      <c r="K699" s="24" t="n"/>
      <c r="W699">
        <f>IF($A2="","",COUNTIF('07_Pallet_Contents'!$A$2:$A$3000,$A2))</f>
        <v/>
      </c>
      <c r="X699">
        <f>IF($A2="","",SUMIF('07_Pallet_Contents'!$A$2:$A$3000,$A2,'07_Pallet_Contents'!$D$2:$D$3000))</f>
        <v/>
      </c>
      <c r="Y699">
        <f>IF($A2="","",SUMIF('07_Pallet_Contents'!$A$2:$A$3000,$A2,'07_Pallet_Contents'!$I$2:$I$3000))</f>
        <v/>
      </c>
      <c r="Z699">
        <f>IF($A2="","",IF(COUNTIF('07_Pallet_Contents'!$A$2:$A$3000,$A2)&gt;0,"Yes",""))</f>
        <v/>
      </c>
    </row>
    <row r="700">
      <c r="B700" s="22" t="n"/>
      <c r="G700" s="25" t="n"/>
      <c r="H700" s="24">
        <f>IF(AND($F700="TEMP",$G700&gt;0,$M700&lt;&gt;""),$M700+$G700,"")</f>
        <v/>
      </c>
      <c r="I700" s="22" t="n"/>
      <c r="J700" s="22" t="n"/>
      <c r="K700" s="24" t="n"/>
      <c r="W700">
        <f>IF($A2="","",COUNTIF('07_Pallet_Contents'!$A$2:$A$3000,$A2))</f>
        <v/>
      </c>
      <c r="X700">
        <f>IF($A2="","",SUMIF('07_Pallet_Contents'!$A$2:$A$3000,$A2,'07_Pallet_Contents'!$D$2:$D$3000))</f>
        <v/>
      </c>
      <c r="Y700">
        <f>IF($A2="","",SUMIF('07_Pallet_Contents'!$A$2:$A$3000,$A2,'07_Pallet_Contents'!$I$2:$I$3000))</f>
        <v/>
      </c>
      <c r="Z700">
        <f>IF($A2="","",IF(COUNTIF('07_Pallet_Contents'!$A$2:$A$3000,$A2)&gt;0,"Yes",""))</f>
        <v/>
      </c>
    </row>
    <row r="701">
      <c r="B701" s="22" t="n"/>
      <c r="G701" s="25" t="n"/>
      <c r="H701" s="24">
        <f>IF(AND($F701="TEMP",$G701&gt;0,$M701&lt;&gt;""),$M701+$G701,"")</f>
        <v/>
      </c>
      <c r="I701" s="22" t="n"/>
      <c r="J701" s="22" t="n"/>
      <c r="K701" s="24" t="n"/>
      <c r="W701">
        <f>IF($A2="","",COUNTIF('07_Pallet_Contents'!$A$2:$A$3000,$A2))</f>
        <v/>
      </c>
      <c r="X701">
        <f>IF($A2="","",SUMIF('07_Pallet_Contents'!$A$2:$A$3000,$A2,'07_Pallet_Contents'!$D$2:$D$3000))</f>
        <v/>
      </c>
      <c r="Y701">
        <f>IF($A2="","",SUMIF('07_Pallet_Contents'!$A$2:$A$3000,$A2,'07_Pallet_Contents'!$I$2:$I$3000))</f>
        <v/>
      </c>
      <c r="Z701">
        <f>IF($A2="","",IF(COUNTIF('07_Pallet_Contents'!$A$2:$A$3000,$A2)&gt;0,"Yes",""))</f>
        <v/>
      </c>
    </row>
    <row r="702">
      <c r="B702" s="22" t="n"/>
      <c r="G702" s="25" t="n"/>
      <c r="H702" s="24">
        <f>IF(AND($F702="TEMP",$G702&gt;0,$M702&lt;&gt;""),$M702+$G702,"")</f>
        <v/>
      </c>
      <c r="I702" s="22" t="n"/>
      <c r="J702" s="22" t="n"/>
      <c r="K702" s="24" t="n"/>
      <c r="W702">
        <f>IF($A2="","",COUNTIF('07_Pallet_Contents'!$A$2:$A$3000,$A2))</f>
        <v/>
      </c>
      <c r="X702">
        <f>IF($A2="","",SUMIF('07_Pallet_Contents'!$A$2:$A$3000,$A2,'07_Pallet_Contents'!$D$2:$D$3000))</f>
        <v/>
      </c>
      <c r="Y702">
        <f>IF($A2="","",SUMIF('07_Pallet_Contents'!$A$2:$A$3000,$A2,'07_Pallet_Contents'!$I$2:$I$3000))</f>
        <v/>
      </c>
      <c r="Z702">
        <f>IF($A2="","",IF(COUNTIF('07_Pallet_Contents'!$A$2:$A$3000,$A2)&gt;0,"Yes",""))</f>
        <v/>
      </c>
    </row>
    <row r="703">
      <c r="B703" s="22" t="n"/>
      <c r="G703" s="25" t="n"/>
      <c r="H703" s="24">
        <f>IF(AND($F703="TEMP",$G703&gt;0,$M703&lt;&gt;""),$M703+$G703,"")</f>
        <v/>
      </c>
      <c r="I703" s="22" t="n"/>
      <c r="J703" s="22" t="n"/>
      <c r="K703" s="24" t="n"/>
      <c r="W703">
        <f>IF($A2="","",COUNTIF('07_Pallet_Contents'!$A$2:$A$3000,$A2))</f>
        <v/>
      </c>
      <c r="X703">
        <f>IF($A2="","",SUMIF('07_Pallet_Contents'!$A$2:$A$3000,$A2,'07_Pallet_Contents'!$D$2:$D$3000))</f>
        <v/>
      </c>
      <c r="Y703">
        <f>IF($A2="","",SUMIF('07_Pallet_Contents'!$A$2:$A$3000,$A2,'07_Pallet_Contents'!$I$2:$I$3000))</f>
        <v/>
      </c>
      <c r="Z703">
        <f>IF($A2="","",IF(COUNTIF('07_Pallet_Contents'!$A$2:$A$3000,$A2)&gt;0,"Yes",""))</f>
        <v/>
      </c>
    </row>
    <row r="704">
      <c r="B704" s="22" t="n"/>
      <c r="G704" s="25" t="n"/>
      <c r="H704" s="24">
        <f>IF(AND($F704="TEMP",$G704&gt;0,$M704&lt;&gt;""),$M704+$G704,"")</f>
        <v/>
      </c>
      <c r="I704" s="22" t="n"/>
      <c r="J704" s="22" t="n"/>
      <c r="K704" s="24" t="n"/>
      <c r="W704">
        <f>IF($A2="","",COUNTIF('07_Pallet_Contents'!$A$2:$A$3000,$A2))</f>
        <v/>
      </c>
      <c r="X704">
        <f>IF($A2="","",SUMIF('07_Pallet_Contents'!$A$2:$A$3000,$A2,'07_Pallet_Contents'!$D$2:$D$3000))</f>
        <v/>
      </c>
      <c r="Y704">
        <f>IF($A2="","",SUMIF('07_Pallet_Contents'!$A$2:$A$3000,$A2,'07_Pallet_Contents'!$I$2:$I$3000))</f>
        <v/>
      </c>
      <c r="Z704">
        <f>IF($A2="","",IF(COUNTIF('07_Pallet_Contents'!$A$2:$A$3000,$A2)&gt;0,"Yes",""))</f>
        <v/>
      </c>
    </row>
    <row r="705">
      <c r="B705" s="22" t="n"/>
      <c r="G705" s="25" t="n"/>
      <c r="H705" s="24">
        <f>IF(AND($F705="TEMP",$G705&gt;0,$M705&lt;&gt;""),$M705+$G705,"")</f>
        <v/>
      </c>
      <c r="I705" s="22" t="n"/>
      <c r="J705" s="22" t="n"/>
      <c r="K705" s="24" t="n"/>
      <c r="W705">
        <f>IF($A2="","",COUNTIF('07_Pallet_Contents'!$A$2:$A$3000,$A2))</f>
        <v/>
      </c>
      <c r="X705">
        <f>IF($A2="","",SUMIF('07_Pallet_Contents'!$A$2:$A$3000,$A2,'07_Pallet_Contents'!$D$2:$D$3000))</f>
        <v/>
      </c>
      <c r="Y705">
        <f>IF($A2="","",SUMIF('07_Pallet_Contents'!$A$2:$A$3000,$A2,'07_Pallet_Contents'!$I$2:$I$3000))</f>
        <v/>
      </c>
      <c r="Z705">
        <f>IF($A2="","",IF(COUNTIF('07_Pallet_Contents'!$A$2:$A$3000,$A2)&gt;0,"Yes",""))</f>
        <v/>
      </c>
    </row>
    <row r="706">
      <c r="B706" s="22" t="n"/>
      <c r="G706" s="25" t="n"/>
      <c r="H706" s="24">
        <f>IF(AND($F706="TEMP",$G706&gt;0,$M706&lt;&gt;""),$M706+$G706,"")</f>
        <v/>
      </c>
      <c r="I706" s="22" t="n"/>
      <c r="J706" s="22" t="n"/>
      <c r="K706" s="24" t="n"/>
      <c r="W706">
        <f>IF($A2="","",COUNTIF('07_Pallet_Contents'!$A$2:$A$3000,$A2))</f>
        <v/>
      </c>
      <c r="X706">
        <f>IF($A2="","",SUMIF('07_Pallet_Contents'!$A$2:$A$3000,$A2,'07_Pallet_Contents'!$D$2:$D$3000))</f>
        <v/>
      </c>
      <c r="Y706">
        <f>IF($A2="","",SUMIF('07_Pallet_Contents'!$A$2:$A$3000,$A2,'07_Pallet_Contents'!$I$2:$I$3000))</f>
        <v/>
      </c>
      <c r="Z706">
        <f>IF($A2="","",IF(COUNTIF('07_Pallet_Contents'!$A$2:$A$3000,$A2)&gt;0,"Yes",""))</f>
        <v/>
      </c>
    </row>
    <row r="707">
      <c r="B707" s="22" t="n"/>
      <c r="G707" s="25" t="n"/>
      <c r="H707" s="24">
        <f>IF(AND($F707="TEMP",$G707&gt;0,$M707&lt;&gt;""),$M707+$G707,"")</f>
        <v/>
      </c>
      <c r="I707" s="22" t="n"/>
      <c r="J707" s="22" t="n"/>
      <c r="K707" s="24" t="n"/>
      <c r="W707">
        <f>IF($A2="","",COUNTIF('07_Pallet_Contents'!$A$2:$A$3000,$A2))</f>
        <v/>
      </c>
      <c r="X707">
        <f>IF($A2="","",SUMIF('07_Pallet_Contents'!$A$2:$A$3000,$A2,'07_Pallet_Contents'!$D$2:$D$3000))</f>
        <v/>
      </c>
      <c r="Y707">
        <f>IF($A2="","",SUMIF('07_Pallet_Contents'!$A$2:$A$3000,$A2,'07_Pallet_Contents'!$I$2:$I$3000))</f>
        <v/>
      </c>
      <c r="Z707">
        <f>IF($A2="","",IF(COUNTIF('07_Pallet_Contents'!$A$2:$A$3000,$A2)&gt;0,"Yes",""))</f>
        <v/>
      </c>
    </row>
    <row r="708">
      <c r="B708" s="22" t="n"/>
      <c r="G708" s="25" t="n"/>
      <c r="H708" s="24">
        <f>IF(AND($F708="TEMP",$G708&gt;0,$M708&lt;&gt;""),$M708+$G708,"")</f>
        <v/>
      </c>
      <c r="I708" s="22" t="n"/>
      <c r="J708" s="22" t="n"/>
      <c r="K708" s="24" t="n"/>
      <c r="W708">
        <f>IF($A2="","",COUNTIF('07_Pallet_Contents'!$A$2:$A$3000,$A2))</f>
        <v/>
      </c>
      <c r="X708">
        <f>IF($A2="","",SUMIF('07_Pallet_Contents'!$A$2:$A$3000,$A2,'07_Pallet_Contents'!$D$2:$D$3000))</f>
        <v/>
      </c>
      <c r="Y708">
        <f>IF($A2="","",SUMIF('07_Pallet_Contents'!$A$2:$A$3000,$A2,'07_Pallet_Contents'!$I$2:$I$3000))</f>
        <v/>
      </c>
      <c r="Z708">
        <f>IF($A2="","",IF(COUNTIF('07_Pallet_Contents'!$A$2:$A$3000,$A2)&gt;0,"Yes",""))</f>
        <v/>
      </c>
    </row>
    <row r="709">
      <c r="B709" s="22" t="n"/>
      <c r="G709" s="25" t="n"/>
      <c r="H709" s="24">
        <f>IF(AND($F709="TEMP",$G709&gt;0,$M709&lt;&gt;""),$M709+$G709,"")</f>
        <v/>
      </c>
      <c r="I709" s="22" t="n"/>
      <c r="J709" s="22" t="n"/>
      <c r="K709" s="24" t="n"/>
      <c r="W709">
        <f>IF($A2="","",COUNTIF('07_Pallet_Contents'!$A$2:$A$3000,$A2))</f>
        <v/>
      </c>
      <c r="X709">
        <f>IF($A2="","",SUMIF('07_Pallet_Contents'!$A$2:$A$3000,$A2,'07_Pallet_Contents'!$D$2:$D$3000))</f>
        <v/>
      </c>
      <c r="Y709">
        <f>IF($A2="","",SUMIF('07_Pallet_Contents'!$A$2:$A$3000,$A2,'07_Pallet_Contents'!$I$2:$I$3000))</f>
        <v/>
      </c>
      <c r="Z709">
        <f>IF($A2="","",IF(COUNTIF('07_Pallet_Contents'!$A$2:$A$3000,$A2)&gt;0,"Yes",""))</f>
        <v/>
      </c>
    </row>
    <row r="710">
      <c r="B710" s="22" t="n"/>
      <c r="G710" s="25" t="n"/>
      <c r="H710" s="24">
        <f>IF(AND($F710="TEMP",$G710&gt;0,$M710&lt;&gt;""),$M710+$G710,"")</f>
        <v/>
      </c>
      <c r="I710" s="22" t="n"/>
      <c r="J710" s="22" t="n"/>
      <c r="K710" s="24" t="n"/>
      <c r="W710">
        <f>IF($A2="","",COUNTIF('07_Pallet_Contents'!$A$2:$A$3000,$A2))</f>
        <v/>
      </c>
      <c r="X710">
        <f>IF($A2="","",SUMIF('07_Pallet_Contents'!$A$2:$A$3000,$A2,'07_Pallet_Contents'!$D$2:$D$3000))</f>
        <v/>
      </c>
      <c r="Y710">
        <f>IF($A2="","",SUMIF('07_Pallet_Contents'!$A$2:$A$3000,$A2,'07_Pallet_Contents'!$I$2:$I$3000))</f>
        <v/>
      </c>
      <c r="Z710">
        <f>IF($A2="","",IF(COUNTIF('07_Pallet_Contents'!$A$2:$A$3000,$A2)&gt;0,"Yes",""))</f>
        <v/>
      </c>
    </row>
    <row r="711">
      <c r="B711" s="22" t="n"/>
      <c r="G711" s="25" t="n"/>
      <c r="H711" s="24">
        <f>IF(AND($F711="TEMP",$G711&gt;0,$M711&lt;&gt;""),$M711+$G711,"")</f>
        <v/>
      </c>
      <c r="I711" s="22" t="n"/>
      <c r="J711" s="22" t="n"/>
      <c r="K711" s="24" t="n"/>
      <c r="W711">
        <f>IF($A2="","",COUNTIF('07_Pallet_Contents'!$A$2:$A$3000,$A2))</f>
        <v/>
      </c>
      <c r="X711">
        <f>IF($A2="","",SUMIF('07_Pallet_Contents'!$A$2:$A$3000,$A2,'07_Pallet_Contents'!$D$2:$D$3000))</f>
        <v/>
      </c>
      <c r="Y711">
        <f>IF($A2="","",SUMIF('07_Pallet_Contents'!$A$2:$A$3000,$A2,'07_Pallet_Contents'!$I$2:$I$3000))</f>
        <v/>
      </c>
      <c r="Z711">
        <f>IF($A2="","",IF(COUNTIF('07_Pallet_Contents'!$A$2:$A$3000,$A2)&gt;0,"Yes",""))</f>
        <v/>
      </c>
    </row>
    <row r="712">
      <c r="B712" s="22" t="n"/>
      <c r="G712" s="25" t="n"/>
      <c r="H712" s="24">
        <f>IF(AND($F712="TEMP",$G712&gt;0,$M712&lt;&gt;""),$M712+$G712,"")</f>
        <v/>
      </c>
      <c r="I712" s="22" t="n"/>
      <c r="J712" s="22" t="n"/>
      <c r="K712" s="24" t="n"/>
      <c r="W712">
        <f>IF($A2="","",COUNTIF('07_Pallet_Contents'!$A$2:$A$3000,$A2))</f>
        <v/>
      </c>
      <c r="X712">
        <f>IF($A2="","",SUMIF('07_Pallet_Contents'!$A$2:$A$3000,$A2,'07_Pallet_Contents'!$D$2:$D$3000))</f>
        <v/>
      </c>
      <c r="Y712">
        <f>IF($A2="","",SUMIF('07_Pallet_Contents'!$A$2:$A$3000,$A2,'07_Pallet_Contents'!$I$2:$I$3000))</f>
        <v/>
      </c>
      <c r="Z712">
        <f>IF($A2="","",IF(COUNTIF('07_Pallet_Contents'!$A$2:$A$3000,$A2)&gt;0,"Yes",""))</f>
        <v/>
      </c>
    </row>
    <row r="713">
      <c r="B713" s="22" t="n"/>
      <c r="G713" s="25" t="n"/>
      <c r="H713" s="24">
        <f>IF(AND($F713="TEMP",$G713&gt;0,$M713&lt;&gt;""),$M713+$G713,"")</f>
        <v/>
      </c>
      <c r="I713" s="22" t="n"/>
      <c r="J713" s="22" t="n"/>
      <c r="K713" s="24" t="n"/>
      <c r="W713">
        <f>IF($A2="","",COUNTIF('07_Pallet_Contents'!$A$2:$A$3000,$A2))</f>
        <v/>
      </c>
      <c r="X713">
        <f>IF($A2="","",SUMIF('07_Pallet_Contents'!$A$2:$A$3000,$A2,'07_Pallet_Contents'!$D$2:$D$3000))</f>
        <v/>
      </c>
      <c r="Y713">
        <f>IF($A2="","",SUMIF('07_Pallet_Contents'!$A$2:$A$3000,$A2,'07_Pallet_Contents'!$I$2:$I$3000))</f>
        <v/>
      </c>
      <c r="Z713">
        <f>IF($A2="","",IF(COUNTIF('07_Pallet_Contents'!$A$2:$A$3000,$A2)&gt;0,"Yes",""))</f>
        <v/>
      </c>
    </row>
    <row r="714">
      <c r="B714" s="22" t="n"/>
      <c r="G714" s="25" t="n"/>
      <c r="H714" s="24">
        <f>IF(AND($F714="TEMP",$G714&gt;0,$M714&lt;&gt;""),$M714+$G714,"")</f>
        <v/>
      </c>
      <c r="I714" s="22" t="n"/>
      <c r="J714" s="22" t="n"/>
      <c r="K714" s="24" t="n"/>
      <c r="W714">
        <f>IF($A2="","",COUNTIF('07_Pallet_Contents'!$A$2:$A$3000,$A2))</f>
        <v/>
      </c>
      <c r="X714">
        <f>IF($A2="","",SUMIF('07_Pallet_Contents'!$A$2:$A$3000,$A2,'07_Pallet_Contents'!$D$2:$D$3000))</f>
        <v/>
      </c>
      <c r="Y714">
        <f>IF($A2="","",SUMIF('07_Pallet_Contents'!$A$2:$A$3000,$A2,'07_Pallet_Contents'!$I$2:$I$3000))</f>
        <v/>
      </c>
      <c r="Z714">
        <f>IF($A2="","",IF(COUNTIF('07_Pallet_Contents'!$A$2:$A$3000,$A2)&gt;0,"Yes",""))</f>
        <v/>
      </c>
    </row>
    <row r="715">
      <c r="B715" s="22" t="n"/>
      <c r="G715" s="25" t="n"/>
      <c r="H715" s="24">
        <f>IF(AND($F715="TEMP",$G715&gt;0,$M715&lt;&gt;""),$M715+$G715,"")</f>
        <v/>
      </c>
      <c r="I715" s="22" t="n"/>
      <c r="J715" s="22" t="n"/>
      <c r="K715" s="24" t="n"/>
      <c r="W715">
        <f>IF($A2="","",COUNTIF('07_Pallet_Contents'!$A$2:$A$3000,$A2))</f>
        <v/>
      </c>
      <c r="X715">
        <f>IF($A2="","",SUMIF('07_Pallet_Contents'!$A$2:$A$3000,$A2,'07_Pallet_Contents'!$D$2:$D$3000))</f>
        <v/>
      </c>
      <c r="Y715">
        <f>IF($A2="","",SUMIF('07_Pallet_Contents'!$A$2:$A$3000,$A2,'07_Pallet_Contents'!$I$2:$I$3000))</f>
        <v/>
      </c>
      <c r="Z715">
        <f>IF($A2="","",IF(COUNTIF('07_Pallet_Contents'!$A$2:$A$3000,$A2)&gt;0,"Yes",""))</f>
        <v/>
      </c>
    </row>
    <row r="716">
      <c r="B716" s="22" t="n"/>
      <c r="G716" s="25" t="n"/>
      <c r="H716" s="24">
        <f>IF(AND($F716="TEMP",$G716&gt;0,$M716&lt;&gt;""),$M716+$G716,"")</f>
        <v/>
      </c>
      <c r="I716" s="22" t="n"/>
      <c r="J716" s="22" t="n"/>
      <c r="K716" s="24" t="n"/>
      <c r="W716">
        <f>IF($A2="","",COUNTIF('07_Pallet_Contents'!$A$2:$A$3000,$A2))</f>
        <v/>
      </c>
      <c r="X716">
        <f>IF($A2="","",SUMIF('07_Pallet_Contents'!$A$2:$A$3000,$A2,'07_Pallet_Contents'!$D$2:$D$3000))</f>
        <v/>
      </c>
      <c r="Y716">
        <f>IF($A2="","",SUMIF('07_Pallet_Contents'!$A$2:$A$3000,$A2,'07_Pallet_Contents'!$I$2:$I$3000))</f>
        <v/>
      </c>
      <c r="Z716">
        <f>IF($A2="","",IF(COUNTIF('07_Pallet_Contents'!$A$2:$A$3000,$A2)&gt;0,"Yes",""))</f>
        <v/>
      </c>
    </row>
    <row r="717">
      <c r="B717" s="22" t="n"/>
      <c r="G717" s="25" t="n"/>
      <c r="H717" s="24">
        <f>IF(AND($F717="TEMP",$G717&gt;0,$M717&lt;&gt;""),$M717+$G717,"")</f>
        <v/>
      </c>
      <c r="I717" s="22" t="n"/>
      <c r="J717" s="22" t="n"/>
      <c r="K717" s="24" t="n"/>
      <c r="W717">
        <f>IF($A2="","",COUNTIF('07_Pallet_Contents'!$A$2:$A$3000,$A2))</f>
        <v/>
      </c>
      <c r="X717">
        <f>IF($A2="","",SUMIF('07_Pallet_Contents'!$A$2:$A$3000,$A2,'07_Pallet_Contents'!$D$2:$D$3000))</f>
        <v/>
      </c>
      <c r="Y717">
        <f>IF($A2="","",SUMIF('07_Pallet_Contents'!$A$2:$A$3000,$A2,'07_Pallet_Contents'!$I$2:$I$3000))</f>
        <v/>
      </c>
      <c r="Z717">
        <f>IF($A2="","",IF(COUNTIF('07_Pallet_Contents'!$A$2:$A$3000,$A2)&gt;0,"Yes",""))</f>
        <v/>
      </c>
    </row>
    <row r="718">
      <c r="B718" s="22" t="n"/>
      <c r="G718" s="25" t="n"/>
      <c r="H718" s="24">
        <f>IF(AND($F718="TEMP",$G718&gt;0,$M718&lt;&gt;""),$M718+$G718,"")</f>
        <v/>
      </c>
      <c r="I718" s="22" t="n"/>
      <c r="J718" s="22" t="n"/>
      <c r="K718" s="24" t="n"/>
      <c r="W718">
        <f>IF($A2="","",COUNTIF('07_Pallet_Contents'!$A$2:$A$3000,$A2))</f>
        <v/>
      </c>
      <c r="X718">
        <f>IF($A2="","",SUMIF('07_Pallet_Contents'!$A$2:$A$3000,$A2,'07_Pallet_Contents'!$D$2:$D$3000))</f>
        <v/>
      </c>
      <c r="Y718">
        <f>IF($A2="","",SUMIF('07_Pallet_Contents'!$A$2:$A$3000,$A2,'07_Pallet_Contents'!$I$2:$I$3000))</f>
        <v/>
      </c>
      <c r="Z718">
        <f>IF($A2="","",IF(COUNTIF('07_Pallet_Contents'!$A$2:$A$3000,$A2)&gt;0,"Yes",""))</f>
        <v/>
      </c>
    </row>
    <row r="719">
      <c r="B719" s="22" t="n"/>
      <c r="G719" s="25" t="n"/>
      <c r="H719" s="24">
        <f>IF(AND($F719="TEMP",$G719&gt;0,$M719&lt;&gt;""),$M719+$G719,"")</f>
        <v/>
      </c>
      <c r="I719" s="22" t="n"/>
      <c r="J719" s="22" t="n"/>
      <c r="K719" s="24" t="n"/>
      <c r="W719">
        <f>IF($A2="","",COUNTIF('07_Pallet_Contents'!$A$2:$A$3000,$A2))</f>
        <v/>
      </c>
      <c r="X719">
        <f>IF($A2="","",SUMIF('07_Pallet_Contents'!$A$2:$A$3000,$A2,'07_Pallet_Contents'!$D$2:$D$3000))</f>
        <v/>
      </c>
      <c r="Y719">
        <f>IF($A2="","",SUMIF('07_Pallet_Contents'!$A$2:$A$3000,$A2,'07_Pallet_Contents'!$I$2:$I$3000))</f>
        <v/>
      </c>
      <c r="Z719">
        <f>IF($A2="","",IF(COUNTIF('07_Pallet_Contents'!$A$2:$A$3000,$A2)&gt;0,"Yes",""))</f>
        <v/>
      </c>
    </row>
    <row r="720">
      <c r="B720" s="22" t="n"/>
      <c r="G720" s="25" t="n"/>
      <c r="H720" s="24">
        <f>IF(AND($F720="TEMP",$G720&gt;0,$M720&lt;&gt;""),$M720+$G720,"")</f>
        <v/>
      </c>
      <c r="I720" s="22" t="n"/>
      <c r="J720" s="22" t="n"/>
      <c r="K720" s="24" t="n"/>
      <c r="W720">
        <f>IF($A2="","",COUNTIF('07_Pallet_Contents'!$A$2:$A$3000,$A2))</f>
        <v/>
      </c>
      <c r="X720">
        <f>IF($A2="","",SUMIF('07_Pallet_Contents'!$A$2:$A$3000,$A2,'07_Pallet_Contents'!$D$2:$D$3000))</f>
        <v/>
      </c>
      <c r="Y720">
        <f>IF($A2="","",SUMIF('07_Pallet_Contents'!$A$2:$A$3000,$A2,'07_Pallet_Contents'!$I$2:$I$3000))</f>
        <v/>
      </c>
      <c r="Z720">
        <f>IF($A2="","",IF(COUNTIF('07_Pallet_Contents'!$A$2:$A$3000,$A2)&gt;0,"Yes",""))</f>
        <v/>
      </c>
    </row>
    <row r="721">
      <c r="B721" s="22" t="n"/>
      <c r="G721" s="25" t="n"/>
      <c r="H721" s="24">
        <f>IF(AND($F721="TEMP",$G721&gt;0,$M721&lt;&gt;""),$M721+$G721,"")</f>
        <v/>
      </c>
      <c r="I721" s="22" t="n"/>
      <c r="J721" s="22" t="n"/>
      <c r="K721" s="24" t="n"/>
      <c r="W721">
        <f>IF($A2="","",COUNTIF('07_Pallet_Contents'!$A$2:$A$3000,$A2))</f>
        <v/>
      </c>
      <c r="X721">
        <f>IF($A2="","",SUMIF('07_Pallet_Contents'!$A$2:$A$3000,$A2,'07_Pallet_Contents'!$D$2:$D$3000))</f>
        <v/>
      </c>
      <c r="Y721">
        <f>IF($A2="","",SUMIF('07_Pallet_Contents'!$A$2:$A$3000,$A2,'07_Pallet_Contents'!$I$2:$I$3000))</f>
        <v/>
      </c>
      <c r="Z721">
        <f>IF($A2="","",IF(COUNTIF('07_Pallet_Contents'!$A$2:$A$3000,$A2)&gt;0,"Yes",""))</f>
        <v/>
      </c>
    </row>
    <row r="722">
      <c r="B722" s="22" t="n"/>
      <c r="G722" s="25" t="n"/>
      <c r="H722" s="24">
        <f>IF(AND($F722="TEMP",$G722&gt;0,$M722&lt;&gt;""),$M722+$G722,"")</f>
        <v/>
      </c>
      <c r="I722" s="22" t="n"/>
      <c r="J722" s="22" t="n"/>
      <c r="K722" s="24" t="n"/>
      <c r="W722">
        <f>IF($A2="","",COUNTIF('07_Pallet_Contents'!$A$2:$A$3000,$A2))</f>
        <v/>
      </c>
      <c r="X722">
        <f>IF($A2="","",SUMIF('07_Pallet_Contents'!$A$2:$A$3000,$A2,'07_Pallet_Contents'!$D$2:$D$3000))</f>
        <v/>
      </c>
      <c r="Y722">
        <f>IF($A2="","",SUMIF('07_Pallet_Contents'!$A$2:$A$3000,$A2,'07_Pallet_Contents'!$I$2:$I$3000))</f>
        <v/>
      </c>
      <c r="Z722">
        <f>IF($A2="","",IF(COUNTIF('07_Pallet_Contents'!$A$2:$A$3000,$A2)&gt;0,"Yes",""))</f>
        <v/>
      </c>
    </row>
    <row r="723">
      <c r="B723" s="22" t="n"/>
      <c r="G723" s="25" t="n"/>
      <c r="H723" s="24">
        <f>IF(AND($F723="TEMP",$G723&gt;0,$M723&lt;&gt;""),$M723+$G723,"")</f>
        <v/>
      </c>
      <c r="I723" s="22" t="n"/>
      <c r="J723" s="22" t="n"/>
      <c r="K723" s="24" t="n"/>
      <c r="W723">
        <f>IF($A2="","",COUNTIF('07_Pallet_Contents'!$A$2:$A$3000,$A2))</f>
        <v/>
      </c>
      <c r="X723">
        <f>IF($A2="","",SUMIF('07_Pallet_Contents'!$A$2:$A$3000,$A2,'07_Pallet_Contents'!$D$2:$D$3000))</f>
        <v/>
      </c>
      <c r="Y723">
        <f>IF($A2="","",SUMIF('07_Pallet_Contents'!$A$2:$A$3000,$A2,'07_Pallet_Contents'!$I$2:$I$3000))</f>
        <v/>
      </c>
      <c r="Z723">
        <f>IF($A2="","",IF(COUNTIF('07_Pallet_Contents'!$A$2:$A$3000,$A2)&gt;0,"Yes",""))</f>
        <v/>
      </c>
    </row>
    <row r="724">
      <c r="B724" s="22" t="n"/>
      <c r="G724" s="25" t="n"/>
      <c r="H724" s="24">
        <f>IF(AND($F724="TEMP",$G724&gt;0,$M724&lt;&gt;""),$M724+$G724,"")</f>
        <v/>
      </c>
      <c r="I724" s="22" t="n"/>
      <c r="J724" s="22" t="n"/>
      <c r="K724" s="24" t="n"/>
      <c r="W724">
        <f>IF($A2="","",COUNTIF('07_Pallet_Contents'!$A$2:$A$3000,$A2))</f>
        <v/>
      </c>
      <c r="X724">
        <f>IF($A2="","",SUMIF('07_Pallet_Contents'!$A$2:$A$3000,$A2,'07_Pallet_Contents'!$D$2:$D$3000))</f>
        <v/>
      </c>
      <c r="Y724">
        <f>IF($A2="","",SUMIF('07_Pallet_Contents'!$A$2:$A$3000,$A2,'07_Pallet_Contents'!$I$2:$I$3000))</f>
        <v/>
      </c>
      <c r="Z724">
        <f>IF($A2="","",IF(COUNTIF('07_Pallet_Contents'!$A$2:$A$3000,$A2)&gt;0,"Yes",""))</f>
        <v/>
      </c>
    </row>
    <row r="725">
      <c r="B725" s="22" t="n"/>
      <c r="G725" s="25" t="n"/>
      <c r="H725" s="24">
        <f>IF(AND($F725="TEMP",$G725&gt;0,$M725&lt;&gt;""),$M725+$G725,"")</f>
        <v/>
      </c>
      <c r="I725" s="22" t="n"/>
      <c r="J725" s="22" t="n"/>
      <c r="K725" s="24" t="n"/>
      <c r="W725">
        <f>IF($A2="","",COUNTIF('07_Pallet_Contents'!$A$2:$A$3000,$A2))</f>
        <v/>
      </c>
      <c r="X725">
        <f>IF($A2="","",SUMIF('07_Pallet_Contents'!$A$2:$A$3000,$A2,'07_Pallet_Contents'!$D$2:$D$3000))</f>
        <v/>
      </c>
      <c r="Y725">
        <f>IF($A2="","",SUMIF('07_Pallet_Contents'!$A$2:$A$3000,$A2,'07_Pallet_Contents'!$I$2:$I$3000))</f>
        <v/>
      </c>
      <c r="Z725">
        <f>IF($A2="","",IF(COUNTIF('07_Pallet_Contents'!$A$2:$A$3000,$A2)&gt;0,"Yes",""))</f>
        <v/>
      </c>
    </row>
    <row r="726">
      <c r="B726" s="22" t="n"/>
      <c r="G726" s="25" t="n"/>
      <c r="H726" s="24">
        <f>IF(AND($F726="TEMP",$G726&gt;0,$M726&lt;&gt;""),$M726+$G726,"")</f>
        <v/>
      </c>
      <c r="I726" s="22" t="n"/>
      <c r="J726" s="22" t="n"/>
      <c r="K726" s="24" t="n"/>
      <c r="W726">
        <f>IF($A2="","",COUNTIF('07_Pallet_Contents'!$A$2:$A$3000,$A2))</f>
        <v/>
      </c>
      <c r="X726">
        <f>IF($A2="","",SUMIF('07_Pallet_Contents'!$A$2:$A$3000,$A2,'07_Pallet_Contents'!$D$2:$D$3000))</f>
        <v/>
      </c>
      <c r="Y726">
        <f>IF($A2="","",SUMIF('07_Pallet_Contents'!$A$2:$A$3000,$A2,'07_Pallet_Contents'!$I$2:$I$3000))</f>
        <v/>
      </c>
      <c r="Z726">
        <f>IF($A2="","",IF(COUNTIF('07_Pallet_Contents'!$A$2:$A$3000,$A2)&gt;0,"Yes",""))</f>
        <v/>
      </c>
    </row>
    <row r="727">
      <c r="B727" s="22" t="n"/>
      <c r="G727" s="25" t="n"/>
      <c r="H727" s="24">
        <f>IF(AND($F727="TEMP",$G727&gt;0,$M727&lt;&gt;""),$M727+$G727,"")</f>
        <v/>
      </c>
      <c r="I727" s="22" t="n"/>
      <c r="J727" s="22" t="n"/>
      <c r="K727" s="24" t="n"/>
      <c r="W727">
        <f>IF($A2="","",COUNTIF('07_Pallet_Contents'!$A$2:$A$3000,$A2))</f>
        <v/>
      </c>
      <c r="X727">
        <f>IF($A2="","",SUMIF('07_Pallet_Contents'!$A$2:$A$3000,$A2,'07_Pallet_Contents'!$D$2:$D$3000))</f>
        <v/>
      </c>
      <c r="Y727">
        <f>IF($A2="","",SUMIF('07_Pallet_Contents'!$A$2:$A$3000,$A2,'07_Pallet_Contents'!$I$2:$I$3000))</f>
        <v/>
      </c>
      <c r="Z727">
        <f>IF($A2="","",IF(COUNTIF('07_Pallet_Contents'!$A$2:$A$3000,$A2)&gt;0,"Yes",""))</f>
        <v/>
      </c>
    </row>
    <row r="728">
      <c r="B728" s="22" t="n"/>
      <c r="G728" s="25" t="n"/>
      <c r="H728" s="24">
        <f>IF(AND($F728="TEMP",$G728&gt;0,$M728&lt;&gt;""),$M728+$G728,"")</f>
        <v/>
      </c>
      <c r="I728" s="22" t="n"/>
      <c r="J728" s="22" t="n"/>
      <c r="K728" s="24" t="n"/>
      <c r="W728">
        <f>IF($A2="","",COUNTIF('07_Pallet_Contents'!$A$2:$A$3000,$A2))</f>
        <v/>
      </c>
      <c r="X728">
        <f>IF($A2="","",SUMIF('07_Pallet_Contents'!$A$2:$A$3000,$A2,'07_Pallet_Contents'!$D$2:$D$3000))</f>
        <v/>
      </c>
      <c r="Y728">
        <f>IF($A2="","",SUMIF('07_Pallet_Contents'!$A$2:$A$3000,$A2,'07_Pallet_Contents'!$I$2:$I$3000))</f>
        <v/>
      </c>
      <c r="Z728">
        <f>IF($A2="","",IF(COUNTIF('07_Pallet_Contents'!$A$2:$A$3000,$A2)&gt;0,"Yes",""))</f>
        <v/>
      </c>
    </row>
    <row r="729">
      <c r="B729" s="22" t="n"/>
      <c r="G729" s="25" t="n"/>
      <c r="H729" s="24">
        <f>IF(AND($F729="TEMP",$G729&gt;0,$M729&lt;&gt;""),$M729+$G729,"")</f>
        <v/>
      </c>
      <c r="I729" s="22" t="n"/>
      <c r="J729" s="22" t="n"/>
      <c r="K729" s="24" t="n"/>
      <c r="W729">
        <f>IF($A2="","",COUNTIF('07_Pallet_Contents'!$A$2:$A$3000,$A2))</f>
        <v/>
      </c>
      <c r="X729">
        <f>IF($A2="","",SUMIF('07_Pallet_Contents'!$A$2:$A$3000,$A2,'07_Pallet_Contents'!$D$2:$D$3000))</f>
        <v/>
      </c>
      <c r="Y729">
        <f>IF($A2="","",SUMIF('07_Pallet_Contents'!$A$2:$A$3000,$A2,'07_Pallet_Contents'!$I$2:$I$3000))</f>
        <v/>
      </c>
      <c r="Z729">
        <f>IF($A2="","",IF(COUNTIF('07_Pallet_Contents'!$A$2:$A$3000,$A2)&gt;0,"Yes",""))</f>
        <v/>
      </c>
    </row>
    <row r="730">
      <c r="B730" s="22" t="n"/>
      <c r="G730" s="25" t="n"/>
      <c r="H730" s="24">
        <f>IF(AND($F730="TEMP",$G730&gt;0,$M730&lt;&gt;""),$M730+$G730,"")</f>
        <v/>
      </c>
      <c r="I730" s="22" t="n"/>
      <c r="J730" s="22" t="n"/>
      <c r="K730" s="24" t="n"/>
      <c r="W730">
        <f>IF($A2="","",COUNTIF('07_Pallet_Contents'!$A$2:$A$3000,$A2))</f>
        <v/>
      </c>
      <c r="X730">
        <f>IF($A2="","",SUMIF('07_Pallet_Contents'!$A$2:$A$3000,$A2,'07_Pallet_Contents'!$D$2:$D$3000))</f>
        <v/>
      </c>
      <c r="Y730">
        <f>IF($A2="","",SUMIF('07_Pallet_Contents'!$A$2:$A$3000,$A2,'07_Pallet_Contents'!$I$2:$I$3000))</f>
        <v/>
      </c>
      <c r="Z730">
        <f>IF($A2="","",IF(COUNTIF('07_Pallet_Contents'!$A$2:$A$3000,$A2)&gt;0,"Yes",""))</f>
        <v/>
      </c>
    </row>
    <row r="731">
      <c r="B731" s="22" t="n"/>
      <c r="G731" s="25" t="n"/>
      <c r="H731" s="24">
        <f>IF(AND($F731="TEMP",$G731&gt;0,$M731&lt;&gt;""),$M731+$G731,"")</f>
        <v/>
      </c>
      <c r="I731" s="22" t="n"/>
      <c r="J731" s="22" t="n"/>
      <c r="K731" s="24" t="n"/>
      <c r="W731">
        <f>IF($A2="","",COUNTIF('07_Pallet_Contents'!$A$2:$A$3000,$A2))</f>
        <v/>
      </c>
      <c r="X731">
        <f>IF($A2="","",SUMIF('07_Pallet_Contents'!$A$2:$A$3000,$A2,'07_Pallet_Contents'!$D$2:$D$3000))</f>
        <v/>
      </c>
      <c r="Y731">
        <f>IF($A2="","",SUMIF('07_Pallet_Contents'!$A$2:$A$3000,$A2,'07_Pallet_Contents'!$I$2:$I$3000))</f>
        <v/>
      </c>
      <c r="Z731">
        <f>IF($A2="","",IF(COUNTIF('07_Pallet_Contents'!$A$2:$A$3000,$A2)&gt;0,"Yes",""))</f>
        <v/>
      </c>
    </row>
    <row r="732">
      <c r="B732" s="22" t="n"/>
      <c r="G732" s="25" t="n"/>
      <c r="H732" s="24">
        <f>IF(AND($F732="TEMP",$G732&gt;0,$M732&lt;&gt;""),$M732+$G732,"")</f>
        <v/>
      </c>
      <c r="I732" s="22" t="n"/>
      <c r="J732" s="22" t="n"/>
      <c r="K732" s="24" t="n"/>
      <c r="W732">
        <f>IF($A2="","",COUNTIF('07_Pallet_Contents'!$A$2:$A$3000,$A2))</f>
        <v/>
      </c>
      <c r="X732">
        <f>IF($A2="","",SUMIF('07_Pallet_Contents'!$A$2:$A$3000,$A2,'07_Pallet_Contents'!$D$2:$D$3000))</f>
        <v/>
      </c>
      <c r="Y732">
        <f>IF($A2="","",SUMIF('07_Pallet_Contents'!$A$2:$A$3000,$A2,'07_Pallet_Contents'!$I$2:$I$3000))</f>
        <v/>
      </c>
      <c r="Z732">
        <f>IF($A2="","",IF(COUNTIF('07_Pallet_Contents'!$A$2:$A$3000,$A2)&gt;0,"Yes",""))</f>
        <v/>
      </c>
    </row>
    <row r="733">
      <c r="B733" s="22" t="n"/>
      <c r="G733" s="25" t="n"/>
      <c r="H733" s="24">
        <f>IF(AND($F733="TEMP",$G733&gt;0,$M733&lt;&gt;""),$M733+$G733,"")</f>
        <v/>
      </c>
      <c r="I733" s="22" t="n"/>
      <c r="J733" s="22" t="n"/>
      <c r="K733" s="24" t="n"/>
      <c r="W733">
        <f>IF($A2="","",COUNTIF('07_Pallet_Contents'!$A$2:$A$3000,$A2))</f>
        <v/>
      </c>
      <c r="X733">
        <f>IF($A2="","",SUMIF('07_Pallet_Contents'!$A$2:$A$3000,$A2,'07_Pallet_Contents'!$D$2:$D$3000))</f>
        <v/>
      </c>
      <c r="Y733">
        <f>IF($A2="","",SUMIF('07_Pallet_Contents'!$A$2:$A$3000,$A2,'07_Pallet_Contents'!$I$2:$I$3000))</f>
        <v/>
      </c>
      <c r="Z733">
        <f>IF($A2="","",IF(COUNTIF('07_Pallet_Contents'!$A$2:$A$3000,$A2)&gt;0,"Yes",""))</f>
        <v/>
      </c>
    </row>
    <row r="734">
      <c r="B734" s="22" t="n"/>
      <c r="G734" s="25" t="n"/>
      <c r="H734" s="24">
        <f>IF(AND($F734="TEMP",$G734&gt;0,$M734&lt;&gt;""),$M734+$G734,"")</f>
        <v/>
      </c>
      <c r="I734" s="22" t="n"/>
      <c r="J734" s="22" t="n"/>
      <c r="K734" s="24" t="n"/>
      <c r="W734">
        <f>IF($A2="","",COUNTIF('07_Pallet_Contents'!$A$2:$A$3000,$A2))</f>
        <v/>
      </c>
      <c r="X734">
        <f>IF($A2="","",SUMIF('07_Pallet_Contents'!$A$2:$A$3000,$A2,'07_Pallet_Contents'!$D$2:$D$3000))</f>
        <v/>
      </c>
      <c r="Y734">
        <f>IF($A2="","",SUMIF('07_Pallet_Contents'!$A$2:$A$3000,$A2,'07_Pallet_Contents'!$I$2:$I$3000))</f>
        <v/>
      </c>
      <c r="Z734">
        <f>IF($A2="","",IF(COUNTIF('07_Pallet_Contents'!$A$2:$A$3000,$A2)&gt;0,"Yes",""))</f>
        <v/>
      </c>
    </row>
    <row r="735">
      <c r="B735" s="22" t="n"/>
      <c r="G735" s="25" t="n"/>
      <c r="H735" s="24">
        <f>IF(AND($F735="TEMP",$G735&gt;0,$M735&lt;&gt;""),$M735+$G735,"")</f>
        <v/>
      </c>
      <c r="I735" s="22" t="n"/>
      <c r="J735" s="22" t="n"/>
      <c r="K735" s="24" t="n"/>
      <c r="W735">
        <f>IF($A2="","",COUNTIF('07_Pallet_Contents'!$A$2:$A$3000,$A2))</f>
        <v/>
      </c>
      <c r="X735">
        <f>IF($A2="","",SUMIF('07_Pallet_Contents'!$A$2:$A$3000,$A2,'07_Pallet_Contents'!$D$2:$D$3000))</f>
        <v/>
      </c>
      <c r="Y735">
        <f>IF($A2="","",SUMIF('07_Pallet_Contents'!$A$2:$A$3000,$A2,'07_Pallet_Contents'!$I$2:$I$3000))</f>
        <v/>
      </c>
      <c r="Z735">
        <f>IF($A2="","",IF(COUNTIF('07_Pallet_Contents'!$A$2:$A$3000,$A2)&gt;0,"Yes",""))</f>
        <v/>
      </c>
    </row>
    <row r="736">
      <c r="B736" s="22" t="n"/>
      <c r="G736" s="25" t="n"/>
      <c r="H736" s="24">
        <f>IF(AND($F736="TEMP",$G736&gt;0,$M736&lt;&gt;""),$M736+$G736,"")</f>
        <v/>
      </c>
      <c r="I736" s="22" t="n"/>
      <c r="J736" s="22" t="n"/>
      <c r="K736" s="24" t="n"/>
      <c r="W736">
        <f>IF($A2="","",COUNTIF('07_Pallet_Contents'!$A$2:$A$3000,$A2))</f>
        <v/>
      </c>
      <c r="X736">
        <f>IF($A2="","",SUMIF('07_Pallet_Contents'!$A$2:$A$3000,$A2,'07_Pallet_Contents'!$D$2:$D$3000))</f>
        <v/>
      </c>
      <c r="Y736">
        <f>IF($A2="","",SUMIF('07_Pallet_Contents'!$A$2:$A$3000,$A2,'07_Pallet_Contents'!$I$2:$I$3000))</f>
        <v/>
      </c>
      <c r="Z736">
        <f>IF($A2="","",IF(COUNTIF('07_Pallet_Contents'!$A$2:$A$3000,$A2)&gt;0,"Yes",""))</f>
        <v/>
      </c>
    </row>
    <row r="737">
      <c r="B737" s="22" t="n"/>
      <c r="G737" s="25" t="n"/>
      <c r="H737" s="24">
        <f>IF(AND($F737="TEMP",$G737&gt;0,$M737&lt;&gt;""),$M737+$G737,"")</f>
        <v/>
      </c>
      <c r="I737" s="22" t="n"/>
      <c r="J737" s="22" t="n"/>
      <c r="K737" s="24" t="n"/>
      <c r="W737">
        <f>IF($A2="","",COUNTIF('07_Pallet_Contents'!$A$2:$A$3000,$A2))</f>
        <v/>
      </c>
      <c r="X737">
        <f>IF($A2="","",SUMIF('07_Pallet_Contents'!$A$2:$A$3000,$A2,'07_Pallet_Contents'!$D$2:$D$3000))</f>
        <v/>
      </c>
      <c r="Y737">
        <f>IF($A2="","",SUMIF('07_Pallet_Contents'!$A$2:$A$3000,$A2,'07_Pallet_Contents'!$I$2:$I$3000))</f>
        <v/>
      </c>
      <c r="Z737">
        <f>IF($A2="","",IF(COUNTIF('07_Pallet_Contents'!$A$2:$A$3000,$A2)&gt;0,"Yes",""))</f>
        <v/>
      </c>
    </row>
    <row r="738">
      <c r="B738" s="22" t="n"/>
      <c r="G738" s="25" t="n"/>
      <c r="H738" s="24">
        <f>IF(AND($F738="TEMP",$G738&gt;0,$M738&lt;&gt;""),$M738+$G738,"")</f>
        <v/>
      </c>
      <c r="I738" s="22" t="n"/>
      <c r="J738" s="22" t="n"/>
      <c r="K738" s="24" t="n"/>
      <c r="W738">
        <f>IF($A2="","",COUNTIF('07_Pallet_Contents'!$A$2:$A$3000,$A2))</f>
        <v/>
      </c>
      <c r="X738">
        <f>IF($A2="","",SUMIF('07_Pallet_Contents'!$A$2:$A$3000,$A2,'07_Pallet_Contents'!$D$2:$D$3000))</f>
        <v/>
      </c>
      <c r="Y738">
        <f>IF($A2="","",SUMIF('07_Pallet_Contents'!$A$2:$A$3000,$A2,'07_Pallet_Contents'!$I$2:$I$3000))</f>
        <v/>
      </c>
      <c r="Z738">
        <f>IF($A2="","",IF(COUNTIF('07_Pallet_Contents'!$A$2:$A$3000,$A2)&gt;0,"Yes",""))</f>
        <v/>
      </c>
    </row>
    <row r="739">
      <c r="B739" s="22" t="n"/>
      <c r="G739" s="25" t="n"/>
      <c r="H739" s="24">
        <f>IF(AND($F739="TEMP",$G739&gt;0,$M739&lt;&gt;""),$M739+$G739,"")</f>
        <v/>
      </c>
      <c r="I739" s="22" t="n"/>
      <c r="J739" s="22" t="n"/>
      <c r="K739" s="24" t="n"/>
      <c r="W739">
        <f>IF($A2="","",COUNTIF('07_Pallet_Contents'!$A$2:$A$3000,$A2))</f>
        <v/>
      </c>
      <c r="X739">
        <f>IF($A2="","",SUMIF('07_Pallet_Contents'!$A$2:$A$3000,$A2,'07_Pallet_Contents'!$D$2:$D$3000))</f>
        <v/>
      </c>
      <c r="Y739">
        <f>IF($A2="","",SUMIF('07_Pallet_Contents'!$A$2:$A$3000,$A2,'07_Pallet_Contents'!$I$2:$I$3000))</f>
        <v/>
      </c>
      <c r="Z739">
        <f>IF($A2="","",IF(COUNTIF('07_Pallet_Contents'!$A$2:$A$3000,$A2)&gt;0,"Yes",""))</f>
        <v/>
      </c>
    </row>
    <row r="740">
      <c r="B740" s="22" t="n"/>
      <c r="G740" s="25" t="n"/>
      <c r="H740" s="24">
        <f>IF(AND($F740="TEMP",$G740&gt;0,$M740&lt;&gt;""),$M740+$G740,"")</f>
        <v/>
      </c>
      <c r="I740" s="22" t="n"/>
      <c r="J740" s="22" t="n"/>
      <c r="K740" s="24" t="n"/>
      <c r="W740">
        <f>IF($A2="","",COUNTIF('07_Pallet_Contents'!$A$2:$A$3000,$A2))</f>
        <v/>
      </c>
      <c r="X740">
        <f>IF($A2="","",SUMIF('07_Pallet_Contents'!$A$2:$A$3000,$A2,'07_Pallet_Contents'!$D$2:$D$3000))</f>
        <v/>
      </c>
      <c r="Y740">
        <f>IF($A2="","",SUMIF('07_Pallet_Contents'!$A$2:$A$3000,$A2,'07_Pallet_Contents'!$I$2:$I$3000))</f>
        <v/>
      </c>
      <c r="Z740">
        <f>IF($A2="","",IF(COUNTIF('07_Pallet_Contents'!$A$2:$A$3000,$A2)&gt;0,"Yes",""))</f>
        <v/>
      </c>
    </row>
    <row r="741">
      <c r="B741" s="22" t="n"/>
      <c r="G741" s="25" t="n"/>
      <c r="H741" s="24">
        <f>IF(AND($F741="TEMP",$G741&gt;0,$M741&lt;&gt;""),$M741+$G741,"")</f>
        <v/>
      </c>
      <c r="I741" s="22" t="n"/>
      <c r="J741" s="22" t="n"/>
      <c r="K741" s="24" t="n"/>
      <c r="W741">
        <f>IF($A2="","",COUNTIF('07_Pallet_Contents'!$A$2:$A$3000,$A2))</f>
        <v/>
      </c>
      <c r="X741">
        <f>IF($A2="","",SUMIF('07_Pallet_Contents'!$A$2:$A$3000,$A2,'07_Pallet_Contents'!$D$2:$D$3000))</f>
        <v/>
      </c>
      <c r="Y741">
        <f>IF($A2="","",SUMIF('07_Pallet_Contents'!$A$2:$A$3000,$A2,'07_Pallet_Contents'!$I$2:$I$3000))</f>
        <v/>
      </c>
      <c r="Z741">
        <f>IF($A2="","",IF(COUNTIF('07_Pallet_Contents'!$A$2:$A$3000,$A2)&gt;0,"Yes",""))</f>
        <v/>
      </c>
    </row>
    <row r="742">
      <c r="B742" s="22" t="n"/>
      <c r="G742" s="25" t="n"/>
      <c r="H742" s="24">
        <f>IF(AND($F742="TEMP",$G742&gt;0,$M742&lt;&gt;""),$M742+$G742,"")</f>
        <v/>
      </c>
      <c r="I742" s="22" t="n"/>
      <c r="J742" s="22" t="n"/>
      <c r="K742" s="24" t="n"/>
      <c r="W742">
        <f>IF($A2="","",COUNTIF('07_Pallet_Contents'!$A$2:$A$3000,$A2))</f>
        <v/>
      </c>
      <c r="X742">
        <f>IF($A2="","",SUMIF('07_Pallet_Contents'!$A$2:$A$3000,$A2,'07_Pallet_Contents'!$D$2:$D$3000))</f>
        <v/>
      </c>
      <c r="Y742">
        <f>IF($A2="","",SUMIF('07_Pallet_Contents'!$A$2:$A$3000,$A2,'07_Pallet_Contents'!$I$2:$I$3000))</f>
        <v/>
      </c>
      <c r="Z742">
        <f>IF($A2="","",IF(COUNTIF('07_Pallet_Contents'!$A$2:$A$3000,$A2)&gt;0,"Yes",""))</f>
        <v/>
      </c>
    </row>
    <row r="743">
      <c r="B743" s="22" t="n"/>
      <c r="G743" s="25" t="n"/>
      <c r="H743" s="24">
        <f>IF(AND($F743="TEMP",$G743&gt;0,$M743&lt;&gt;""),$M743+$G743,"")</f>
        <v/>
      </c>
      <c r="I743" s="22" t="n"/>
      <c r="J743" s="22" t="n"/>
      <c r="K743" s="24" t="n"/>
      <c r="W743">
        <f>IF($A2="","",COUNTIF('07_Pallet_Contents'!$A$2:$A$3000,$A2))</f>
        <v/>
      </c>
      <c r="X743">
        <f>IF($A2="","",SUMIF('07_Pallet_Contents'!$A$2:$A$3000,$A2,'07_Pallet_Contents'!$D$2:$D$3000))</f>
        <v/>
      </c>
      <c r="Y743">
        <f>IF($A2="","",SUMIF('07_Pallet_Contents'!$A$2:$A$3000,$A2,'07_Pallet_Contents'!$I$2:$I$3000))</f>
        <v/>
      </c>
      <c r="Z743">
        <f>IF($A2="","",IF(COUNTIF('07_Pallet_Contents'!$A$2:$A$3000,$A2)&gt;0,"Yes",""))</f>
        <v/>
      </c>
    </row>
    <row r="744">
      <c r="B744" s="22" t="n"/>
      <c r="G744" s="25" t="n"/>
      <c r="H744" s="24">
        <f>IF(AND($F744="TEMP",$G744&gt;0,$M744&lt;&gt;""),$M744+$G744,"")</f>
        <v/>
      </c>
      <c r="I744" s="22" t="n"/>
      <c r="J744" s="22" t="n"/>
      <c r="K744" s="24" t="n"/>
      <c r="W744">
        <f>IF($A2="","",COUNTIF('07_Pallet_Contents'!$A$2:$A$3000,$A2))</f>
        <v/>
      </c>
      <c r="X744">
        <f>IF($A2="","",SUMIF('07_Pallet_Contents'!$A$2:$A$3000,$A2,'07_Pallet_Contents'!$D$2:$D$3000))</f>
        <v/>
      </c>
      <c r="Y744">
        <f>IF($A2="","",SUMIF('07_Pallet_Contents'!$A$2:$A$3000,$A2,'07_Pallet_Contents'!$I$2:$I$3000))</f>
        <v/>
      </c>
      <c r="Z744">
        <f>IF($A2="","",IF(COUNTIF('07_Pallet_Contents'!$A$2:$A$3000,$A2)&gt;0,"Yes",""))</f>
        <v/>
      </c>
    </row>
    <row r="745">
      <c r="B745" s="22" t="n"/>
      <c r="G745" s="25" t="n"/>
      <c r="H745" s="24">
        <f>IF(AND($F745="TEMP",$G745&gt;0,$M745&lt;&gt;""),$M745+$G745,"")</f>
        <v/>
      </c>
      <c r="I745" s="22" t="n"/>
      <c r="J745" s="22" t="n"/>
      <c r="K745" s="24" t="n"/>
      <c r="W745">
        <f>IF($A2="","",COUNTIF('07_Pallet_Contents'!$A$2:$A$3000,$A2))</f>
        <v/>
      </c>
      <c r="X745">
        <f>IF($A2="","",SUMIF('07_Pallet_Contents'!$A$2:$A$3000,$A2,'07_Pallet_Contents'!$D$2:$D$3000))</f>
        <v/>
      </c>
      <c r="Y745">
        <f>IF($A2="","",SUMIF('07_Pallet_Contents'!$A$2:$A$3000,$A2,'07_Pallet_Contents'!$I$2:$I$3000))</f>
        <v/>
      </c>
      <c r="Z745">
        <f>IF($A2="","",IF(COUNTIF('07_Pallet_Contents'!$A$2:$A$3000,$A2)&gt;0,"Yes",""))</f>
        <v/>
      </c>
    </row>
    <row r="746">
      <c r="B746" s="22" t="n"/>
      <c r="G746" s="25" t="n"/>
      <c r="H746" s="24">
        <f>IF(AND($F746="TEMP",$G746&gt;0,$M746&lt;&gt;""),$M746+$G746,"")</f>
        <v/>
      </c>
      <c r="I746" s="22" t="n"/>
      <c r="J746" s="22" t="n"/>
      <c r="K746" s="24" t="n"/>
      <c r="W746">
        <f>IF($A2="","",COUNTIF('07_Pallet_Contents'!$A$2:$A$3000,$A2))</f>
        <v/>
      </c>
      <c r="X746">
        <f>IF($A2="","",SUMIF('07_Pallet_Contents'!$A$2:$A$3000,$A2,'07_Pallet_Contents'!$D$2:$D$3000))</f>
        <v/>
      </c>
      <c r="Y746">
        <f>IF($A2="","",SUMIF('07_Pallet_Contents'!$A$2:$A$3000,$A2,'07_Pallet_Contents'!$I$2:$I$3000))</f>
        <v/>
      </c>
      <c r="Z746">
        <f>IF($A2="","",IF(COUNTIF('07_Pallet_Contents'!$A$2:$A$3000,$A2)&gt;0,"Yes",""))</f>
        <v/>
      </c>
    </row>
    <row r="747">
      <c r="B747" s="22" t="n"/>
      <c r="G747" s="25" t="n"/>
      <c r="H747" s="24">
        <f>IF(AND($F747="TEMP",$G747&gt;0,$M747&lt;&gt;""),$M747+$G747,"")</f>
        <v/>
      </c>
      <c r="I747" s="22" t="n"/>
      <c r="J747" s="22" t="n"/>
      <c r="K747" s="24" t="n"/>
      <c r="W747">
        <f>IF($A2="","",COUNTIF('07_Pallet_Contents'!$A$2:$A$3000,$A2))</f>
        <v/>
      </c>
      <c r="X747">
        <f>IF($A2="","",SUMIF('07_Pallet_Contents'!$A$2:$A$3000,$A2,'07_Pallet_Contents'!$D$2:$D$3000))</f>
        <v/>
      </c>
      <c r="Y747">
        <f>IF($A2="","",SUMIF('07_Pallet_Contents'!$A$2:$A$3000,$A2,'07_Pallet_Contents'!$I$2:$I$3000))</f>
        <v/>
      </c>
      <c r="Z747">
        <f>IF($A2="","",IF(COUNTIF('07_Pallet_Contents'!$A$2:$A$3000,$A2)&gt;0,"Yes",""))</f>
        <v/>
      </c>
    </row>
    <row r="748">
      <c r="B748" s="22" t="n"/>
      <c r="G748" s="25" t="n"/>
      <c r="H748" s="24">
        <f>IF(AND($F748="TEMP",$G748&gt;0,$M748&lt;&gt;""),$M748+$G748,"")</f>
        <v/>
      </c>
      <c r="I748" s="22" t="n"/>
      <c r="J748" s="22" t="n"/>
      <c r="K748" s="24" t="n"/>
      <c r="W748">
        <f>IF($A2="","",COUNTIF('07_Pallet_Contents'!$A$2:$A$3000,$A2))</f>
        <v/>
      </c>
      <c r="X748">
        <f>IF($A2="","",SUMIF('07_Pallet_Contents'!$A$2:$A$3000,$A2,'07_Pallet_Contents'!$D$2:$D$3000))</f>
        <v/>
      </c>
      <c r="Y748">
        <f>IF($A2="","",SUMIF('07_Pallet_Contents'!$A$2:$A$3000,$A2,'07_Pallet_Contents'!$I$2:$I$3000))</f>
        <v/>
      </c>
      <c r="Z748">
        <f>IF($A2="","",IF(COUNTIF('07_Pallet_Contents'!$A$2:$A$3000,$A2)&gt;0,"Yes",""))</f>
        <v/>
      </c>
    </row>
    <row r="749">
      <c r="B749" s="22" t="n"/>
      <c r="G749" s="25" t="n"/>
      <c r="H749" s="24">
        <f>IF(AND($F749="TEMP",$G749&gt;0,$M749&lt;&gt;""),$M749+$G749,"")</f>
        <v/>
      </c>
      <c r="I749" s="22" t="n"/>
      <c r="J749" s="22" t="n"/>
      <c r="K749" s="24" t="n"/>
      <c r="W749">
        <f>IF($A2="","",COUNTIF('07_Pallet_Contents'!$A$2:$A$3000,$A2))</f>
        <v/>
      </c>
      <c r="X749">
        <f>IF($A2="","",SUMIF('07_Pallet_Contents'!$A$2:$A$3000,$A2,'07_Pallet_Contents'!$D$2:$D$3000))</f>
        <v/>
      </c>
      <c r="Y749">
        <f>IF($A2="","",SUMIF('07_Pallet_Contents'!$A$2:$A$3000,$A2,'07_Pallet_Contents'!$I$2:$I$3000))</f>
        <v/>
      </c>
      <c r="Z749">
        <f>IF($A2="","",IF(COUNTIF('07_Pallet_Contents'!$A$2:$A$3000,$A2)&gt;0,"Yes",""))</f>
        <v/>
      </c>
    </row>
    <row r="750">
      <c r="B750" s="22" t="n"/>
      <c r="G750" s="25" t="n"/>
      <c r="H750" s="24">
        <f>IF(AND($F750="TEMP",$G750&gt;0,$M750&lt;&gt;""),$M750+$G750,"")</f>
        <v/>
      </c>
      <c r="I750" s="22" t="n"/>
      <c r="J750" s="22" t="n"/>
      <c r="K750" s="24" t="n"/>
      <c r="W750">
        <f>IF($A2="","",COUNTIF('07_Pallet_Contents'!$A$2:$A$3000,$A2))</f>
        <v/>
      </c>
      <c r="X750">
        <f>IF($A2="","",SUMIF('07_Pallet_Contents'!$A$2:$A$3000,$A2,'07_Pallet_Contents'!$D$2:$D$3000))</f>
        <v/>
      </c>
      <c r="Y750">
        <f>IF($A2="","",SUMIF('07_Pallet_Contents'!$A$2:$A$3000,$A2,'07_Pallet_Contents'!$I$2:$I$3000))</f>
        <v/>
      </c>
      <c r="Z750">
        <f>IF($A2="","",IF(COUNTIF('07_Pallet_Contents'!$A$2:$A$3000,$A2)&gt;0,"Yes",""))</f>
        <v/>
      </c>
    </row>
    <row r="751">
      <c r="B751" s="22" t="n"/>
      <c r="G751" s="25" t="n"/>
      <c r="H751" s="24">
        <f>IF(AND($F751="TEMP",$G751&gt;0,$M751&lt;&gt;""),$M751+$G751,"")</f>
        <v/>
      </c>
      <c r="I751" s="22" t="n"/>
      <c r="J751" s="22" t="n"/>
      <c r="K751" s="24" t="n"/>
      <c r="W751">
        <f>IF($A2="","",COUNTIF('07_Pallet_Contents'!$A$2:$A$3000,$A2))</f>
        <v/>
      </c>
      <c r="X751">
        <f>IF($A2="","",SUMIF('07_Pallet_Contents'!$A$2:$A$3000,$A2,'07_Pallet_Contents'!$D$2:$D$3000))</f>
        <v/>
      </c>
      <c r="Y751">
        <f>IF($A2="","",SUMIF('07_Pallet_Contents'!$A$2:$A$3000,$A2,'07_Pallet_Contents'!$I$2:$I$3000))</f>
        <v/>
      </c>
      <c r="Z751">
        <f>IF($A2="","",IF(COUNTIF('07_Pallet_Contents'!$A$2:$A$3000,$A2)&gt;0,"Yes",""))</f>
        <v/>
      </c>
    </row>
    <row r="752">
      <c r="B752" s="22" t="n"/>
      <c r="G752" s="25" t="n"/>
      <c r="H752" s="24">
        <f>IF(AND($F752="TEMP",$G752&gt;0,$M752&lt;&gt;""),$M752+$G752,"")</f>
        <v/>
      </c>
      <c r="I752" s="22" t="n"/>
      <c r="J752" s="22" t="n"/>
      <c r="K752" s="24" t="n"/>
      <c r="W752">
        <f>IF($A2="","",COUNTIF('07_Pallet_Contents'!$A$2:$A$3000,$A2))</f>
        <v/>
      </c>
      <c r="X752">
        <f>IF($A2="","",SUMIF('07_Pallet_Contents'!$A$2:$A$3000,$A2,'07_Pallet_Contents'!$D$2:$D$3000))</f>
        <v/>
      </c>
      <c r="Y752">
        <f>IF($A2="","",SUMIF('07_Pallet_Contents'!$A$2:$A$3000,$A2,'07_Pallet_Contents'!$I$2:$I$3000))</f>
        <v/>
      </c>
      <c r="Z752">
        <f>IF($A2="","",IF(COUNTIF('07_Pallet_Contents'!$A$2:$A$3000,$A2)&gt;0,"Yes",""))</f>
        <v/>
      </c>
    </row>
    <row r="753">
      <c r="B753" s="22" t="n"/>
      <c r="G753" s="25" t="n"/>
      <c r="H753" s="24">
        <f>IF(AND($F753="TEMP",$G753&gt;0,$M753&lt;&gt;""),$M753+$G753,"")</f>
        <v/>
      </c>
      <c r="I753" s="22" t="n"/>
      <c r="J753" s="22" t="n"/>
      <c r="K753" s="24" t="n"/>
      <c r="W753">
        <f>IF($A2="","",COUNTIF('07_Pallet_Contents'!$A$2:$A$3000,$A2))</f>
        <v/>
      </c>
      <c r="X753">
        <f>IF($A2="","",SUMIF('07_Pallet_Contents'!$A$2:$A$3000,$A2,'07_Pallet_Contents'!$D$2:$D$3000))</f>
        <v/>
      </c>
      <c r="Y753">
        <f>IF($A2="","",SUMIF('07_Pallet_Contents'!$A$2:$A$3000,$A2,'07_Pallet_Contents'!$I$2:$I$3000))</f>
        <v/>
      </c>
      <c r="Z753">
        <f>IF($A2="","",IF(COUNTIF('07_Pallet_Contents'!$A$2:$A$3000,$A2)&gt;0,"Yes",""))</f>
        <v/>
      </c>
    </row>
    <row r="754">
      <c r="B754" s="22" t="n"/>
      <c r="G754" s="25" t="n"/>
      <c r="H754" s="24">
        <f>IF(AND($F754="TEMP",$G754&gt;0,$M754&lt;&gt;""),$M754+$G754,"")</f>
        <v/>
      </c>
      <c r="I754" s="22" t="n"/>
      <c r="J754" s="22" t="n"/>
      <c r="K754" s="24" t="n"/>
      <c r="W754">
        <f>IF($A2="","",COUNTIF('07_Pallet_Contents'!$A$2:$A$3000,$A2))</f>
        <v/>
      </c>
      <c r="X754">
        <f>IF($A2="","",SUMIF('07_Pallet_Contents'!$A$2:$A$3000,$A2,'07_Pallet_Contents'!$D$2:$D$3000))</f>
        <v/>
      </c>
      <c r="Y754">
        <f>IF($A2="","",SUMIF('07_Pallet_Contents'!$A$2:$A$3000,$A2,'07_Pallet_Contents'!$I$2:$I$3000))</f>
        <v/>
      </c>
      <c r="Z754">
        <f>IF($A2="","",IF(COUNTIF('07_Pallet_Contents'!$A$2:$A$3000,$A2)&gt;0,"Yes",""))</f>
        <v/>
      </c>
    </row>
    <row r="755">
      <c r="B755" s="22" t="n"/>
      <c r="G755" s="25" t="n"/>
      <c r="H755" s="24">
        <f>IF(AND($F755="TEMP",$G755&gt;0,$M755&lt;&gt;""),$M755+$G755,"")</f>
        <v/>
      </c>
      <c r="I755" s="22" t="n"/>
      <c r="J755" s="22" t="n"/>
      <c r="K755" s="24" t="n"/>
      <c r="W755">
        <f>IF($A2="","",COUNTIF('07_Pallet_Contents'!$A$2:$A$3000,$A2))</f>
        <v/>
      </c>
      <c r="X755">
        <f>IF($A2="","",SUMIF('07_Pallet_Contents'!$A$2:$A$3000,$A2,'07_Pallet_Contents'!$D$2:$D$3000))</f>
        <v/>
      </c>
      <c r="Y755">
        <f>IF($A2="","",SUMIF('07_Pallet_Contents'!$A$2:$A$3000,$A2,'07_Pallet_Contents'!$I$2:$I$3000))</f>
        <v/>
      </c>
      <c r="Z755">
        <f>IF($A2="","",IF(COUNTIF('07_Pallet_Contents'!$A$2:$A$3000,$A2)&gt;0,"Yes",""))</f>
        <v/>
      </c>
    </row>
    <row r="756">
      <c r="B756" s="22" t="n"/>
      <c r="G756" s="25" t="n"/>
      <c r="H756" s="24">
        <f>IF(AND($F756="TEMP",$G756&gt;0,$M756&lt;&gt;""),$M756+$G756,"")</f>
        <v/>
      </c>
      <c r="I756" s="22" t="n"/>
      <c r="J756" s="22" t="n"/>
      <c r="K756" s="24" t="n"/>
      <c r="W756">
        <f>IF($A2="","",COUNTIF('07_Pallet_Contents'!$A$2:$A$3000,$A2))</f>
        <v/>
      </c>
      <c r="X756">
        <f>IF($A2="","",SUMIF('07_Pallet_Contents'!$A$2:$A$3000,$A2,'07_Pallet_Contents'!$D$2:$D$3000))</f>
        <v/>
      </c>
      <c r="Y756">
        <f>IF($A2="","",SUMIF('07_Pallet_Contents'!$A$2:$A$3000,$A2,'07_Pallet_Contents'!$I$2:$I$3000))</f>
        <v/>
      </c>
      <c r="Z756">
        <f>IF($A2="","",IF(COUNTIF('07_Pallet_Contents'!$A$2:$A$3000,$A2)&gt;0,"Yes",""))</f>
        <v/>
      </c>
    </row>
    <row r="757">
      <c r="B757" s="22" t="n"/>
      <c r="G757" s="25" t="n"/>
      <c r="H757" s="24">
        <f>IF(AND($F757="TEMP",$G757&gt;0,$M757&lt;&gt;""),$M757+$G757,"")</f>
        <v/>
      </c>
      <c r="I757" s="22" t="n"/>
      <c r="J757" s="22" t="n"/>
      <c r="K757" s="24" t="n"/>
      <c r="W757">
        <f>IF($A2="","",COUNTIF('07_Pallet_Contents'!$A$2:$A$3000,$A2))</f>
        <v/>
      </c>
      <c r="X757">
        <f>IF($A2="","",SUMIF('07_Pallet_Contents'!$A$2:$A$3000,$A2,'07_Pallet_Contents'!$D$2:$D$3000))</f>
        <v/>
      </c>
      <c r="Y757">
        <f>IF($A2="","",SUMIF('07_Pallet_Contents'!$A$2:$A$3000,$A2,'07_Pallet_Contents'!$I$2:$I$3000))</f>
        <v/>
      </c>
      <c r="Z757">
        <f>IF($A2="","",IF(COUNTIF('07_Pallet_Contents'!$A$2:$A$3000,$A2)&gt;0,"Yes",""))</f>
        <v/>
      </c>
    </row>
    <row r="758">
      <c r="B758" s="22" t="n"/>
      <c r="G758" s="25" t="n"/>
      <c r="H758" s="24">
        <f>IF(AND($F758="TEMP",$G758&gt;0,$M758&lt;&gt;""),$M758+$G758,"")</f>
        <v/>
      </c>
      <c r="I758" s="22" t="n"/>
      <c r="J758" s="22" t="n"/>
      <c r="K758" s="24" t="n"/>
      <c r="W758">
        <f>IF($A2="","",COUNTIF('07_Pallet_Contents'!$A$2:$A$3000,$A2))</f>
        <v/>
      </c>
      <c r="X758">
        <f>IF($A2="","",SUMIF('07_Pallet_Contents'!$A$2:$A$3000,$A2,'07_Pallet_Contents'!$D$2:$D$3000))</f>
        <v/>
      </c>
      <c r="Y758">
        <f>IF($A2="","",SUMIF('07_Pallet_Contents'!$A$2:$A$3000,$A2,'07_Pallet_Contents'!$I$2:$I$3000))</f>
        <v/>
      </c>
      <c r="Z758">
        <f>IF($A2="","",IF(COUNTIF('07_Pallet_Contents'!$A$2:$A$3000,$A2)&gt;0,"Yes",""))</f>
        <v/>
      </c>
    </row>
    <row r="759">
      <c r="B759" s="22" t="n"/>
      <c r="G759" s="25" t="n"/>
      <c r="H759" s="24">
        <f>IF(AND($F759="TEMP",$G759&gt;0,$M759&lt;&gt;""),$M759+$G759,"")</f>
        <v/>
      </c>
      <c r="I759" s="22" t="n"/>
      <c r="J759" s="22" t="n"/>
      <c r="K759" s="24" t="n"/>
      <c r="W759">
        <f>IF($A2="","",COUNTIF('07_Pallet_Contents'!$A$2:$A$3000,$A2))</f>
        <v/>
      </c>
      <c r="X759">
        <f>IF($A2="","",SUMIF('07_Pallet_Contents'!$A$2:$A$3000,$A2,'07_Pallet_Contents'!$D$2:$D$3000))</f>
        <v/>
      </c>
      <c r="Y759">
        <f>IF($A2="","",SUMIF('07_Pallet_Contents'!$A$2:$A$3000,$A2,'07_Pallet_Contents'!$I$2:$I$3000))</f>
        <v/>
      </c>
      <c r="Z759">
        <f>IF($A2="","",IF(COUNTIF('07_Pallet_Contents'!$A$2:$A$3000,$A2)&gt;0,"Yes",""))</f>
        <v/>
      </c>
    </row>
    <row r="760">
      <c r="B760" s="22" t="n"/>
      <c r="G760" s="25" t="n"/>
      <c r="H760" s="24">
        <f>IF(AND($F760="TEMP",$G760&gt;0,$M760&lt;&gt;""),$M760+$G760,"")</f>
        <v/>
      </c>
      <c r="I760" s="22" t="n"/>
      <c r="J760" s="22" t="n"/>
      <c r="K760" s="24" t="n"/>
      <c r="W760">
        <f>IF($A2="","",COUNTIF('07_Pallet_Contents'!$A$2:$A$3000,$A2))</f>
        <v/>
      </c>
      <c r="X760">
        <f>IF($A2="","",SUMIF('07_Pallet_Contents'!$A$2:$A$3000,$A2,'07_Pallet_Contents'!$D$2:$D$3000))</f>
        <v/>
      </c>
      <c r="Y760">
        <f>IF($A2="","",SUMIF('07_Pallet_Contents'!$A$2:$A$3000,$A2,'07_Pallet_Contents'!$I$2:$I$3000))</f>
        <v/>
      </c>
      <c r="Z760">
        <f>IF($A2="","",IF(COUNTIF('07_Pallet_Contents'!$A$2:$A$3000,$A2)&gt;0,"Yes",""))</f>
        <v/>
      </c>
    </row>
    <row r="761">
      <c r="B761" s="22" t="n"/>
      <c r="G761" s="25" t="n"/>
      <c r="H761" s="24">
        <f>IF(AND($F761="TEMP",$G761&gt;0,$M761&lt;&gt;""),$M761+$G761,"")</f>
        <v/>
      </c>
      <c r="I761" s="22" t="n"/>
      <c r="J761" s="22" t="n"/>
      <c r="K761" s="24" t="n"/>
      <c r="W761">
        <f>IF($A2="","",COUNTIF('07_Pallet_Contents'!$A$2:$A$3000,$A2))</f>
        <v/>
      </c>
      <c r="X761">
        <f>IF($A2="","",SUMIF('07_Pallet_Contents'!$A$2:$A$3000,$A2,'07_Pallet_Contents'!$D$2:$D$3000))</f>
        <v/>
      </c>
      <c r="Y761">
        <f>IF($A2="","",SUMIF('07_Pallet_Contents'!$A$2:$A$3000,$A2,'07_Pallet_Contents'!$I$2:$I$3000))</f>
        <v/>
      </c>
      <c r="Z761">
        <f>IF($A2="","",IF(COUNTIF('07_Pallet_Contents'!$A$2:$A$3000,$A2)&gt;0,"Yes",""))</f>
        <v/>
      </c>
    </row>
    <row r="762">
      <c r="B762" s="22" t="n"/>
      <c r="G762" s="25" t="n"/>
      <c r="H762" s="24">
        <f>IF(AND($F762="TEMP",$G762&gt;0,$M762&lt;&gt;""),$M762+$G762,"")</f>
        <v/>
      </c>
      <c r="I762" s="22" t="n"/>
      <c r="J762" s="22" t="n"/>
      <c r="K762" s="24" t="n"/>
      <c r="W762">
        <f>IF($A2="","",COUNTIF('07_Pallet_Contents'!$A$2:$A$3000,$A2))</f>
        <v/>
      </c>
      <c r="X762">
        <f>IF($A2="","",SUMIF('07_Pallet_Contents'!$A$2:$A$3000,$A2,'07_Pallet_Contents'!$D$2:$D$3000))</f>
        <v/>
      </c>
      <c r="Y762">
        <f>IF($A2="","",SUMIF('07_Pallet_Contents'!$A$2:$A$3000,$A2,'07_Pallet_Contents'!$I$2:$I$3000))</f>
        <v/>
      </c>
      <c r="Z762">
        <f>IF($A2="","",IF(COUNTIF('07_Pallet_Contents'!$A$2:$A$3000,$A2)&gt;0,"Yes",""))</f>
        <v/>
      </c>
    </row>
    <row r="763">
      <c r="B763" s="22" t="n"/>
      <c r="G763" s="25" t="n"/>
      <c r="H763" s="24">
        <f>IF(AND($F763="TEMP",$G763&gt;0,$M763&lt;&gt;""),$M763+$G763,"")</f>
        <v/>
      </c>
      <c r="I763" s="22" t="n"/>
      <c r="J763" s="22" t="n"/>
      <c r="K763" s="24" t="n"/>
      <c r="W763">
        <f>IF($A2="","",COUNTIF('07_Pallet_Contents'!$A$2:$A$3000,$A2))</f>
        <v/>
      </c>
      <c r="X763">
        <f>IF($A2="","",SUMIF('07_Pallet_Contents'!$A$2:$A$3000,$A2,'07_Pallet_Contents'!$D$2:$D$3000))</f>
        <v/>
      </c>
      <c r="Y763">
        <f>IF($A2="","",SUMIF('07_Pallet_Contents'!$A$2:$A$3000,$A2,'07_Pallet_Contents'!$I$2:$I$3000))</f>
        <v/>
      </c>
      <c r="Z763">
        <f>IF($A2="","",IF(COUNTIF('07_Pallet_Contents'!$A$2:$A$3000,$A2)&gt;0,"Yes",""))</f>
        <v/>
      </c>
    </row>
    <row r="764">
      <c r="B764" s="22" t="n"/>
      <c r="G764" s="25" t="n"/>
      <c r="H764" s="24">
        <f>IF(AND($F764="TEMP",$G764&gt;0,$M764&lt;&gt;""),$M764+$G764,"")</f>
        <v/>
      </c>
      <c r="I764" s="22" t="n"/>
      <c r="J764" s="22" t="n"/>
      <c r="K764" s="24" t="n"/>
      <c r="W764">
        <f>IF($A2="","",COUNTIF('07_Pallet_Contents'!$A$2:$A$3000,$A2))</f>
        <v/>
      </c>
      <c r="X764">
        <f>IF($A2="","",SUMIF('07_Pallet_Contents'!$A$2:$A$3000,$A2,'07_Pallet_Contents'!$D$2:$D$3000))</f>
        <v/>
      </c>
      <c r="Y764">
        <f>IF($A2="","",SUMIF('07_Pallet_Contents'!$A$2:$A$3000,$A2,'07_Pallet_Contents'!$I$2:$I$3000))</f>
        <v/>
      </c>
      <c r="Z764">
        <f>IF($A2="","",IF(COUNTIF('07_Pallet_Contents'!$A$2:$A$3000,$A2)&gt;0,"Yes",""))</f>
        <v/>
      </c>
    </row>
    <row r="765">
      <c r="B765" s="22" t="n"/>
      <c r="G765" s="25" t="n"/>
      <c r="H765" s="24">
        <f>IF(AND($F765="TEMP",$G765&gt;0,$M765&lt;&gt;""),$M765+$G765,"")</f>
        <v/>
      </c>
      <c r="I765" s="22" t="n"/>
      <c r="J765" s="22" t="n"/>
      <c r="K765" s="24" t="n"/>
      <c r="W765">
        <f>IF($A2="","",COUNTIF('07_Pallet_Contents'!$A$2:$A$3000,$A2))</f>
        <v/>
      </c>
      <c r="X765">
        <f>IF($A2="","",SUMIF('07_Pallet_Contents'!$A$2:$A$3000,$A2,'07_Pallet_Contents'!$D$2:$D$3000))</f>
        <v/>
      </c>
      <c r="Y765">
        <f>IF($A2="","",SUMIF('07_Pallet_Contents'!$A$2:$A$3000,$A2,'07_Pallet_Contents'!$I$2:$I$3000))</f>
        <v/>
      </c>
      <c r="Z765">
        <f>IF($A2="","",IF(COUNTIF('07_Pallet_Contents'!$A$2:$A$3000,$A2)&gt;0,"Yes",""))</f>
        <v/>
      </c>
    </row>
    <row r="766">
      <c r="B766" s="22" t="n"/>
      <c r="G766" s="25" t="n"/>
      <c r="H766" s="24">
        <f>IF(AND($F766="TEMP",$G766&gt;0,$M766&lt;&gt;""),$M766+$G766,"")</f>
        <v/>
      </c>
      <c r="I766" s="22" t="n"/>
      <c r="J766" s="22" t="n"/>
      <c r="K766" s="24" t="n"/>
      <c r="W766">
        <f>IF($A2="","",COUNTIF('07_Pallet_Contents'!$A$2:$A$3000,$A2))</f>
        <v/>
      </c>
      <c r="X766">
        <f>IF($A2="","",SUMIF('07_Pallet_Contents'!$A$2:$A$3000,$A2,'07_Pallet_Contents'!$D$2:$D$3000))</f>
        <v/>
      </c>
      <c r="Y766">
        <f>IF($A2="","",SUMIF('07_Pallet_Contents'!$A$2:$A$3000,$A2,'07_Pallet_Contents'!$I$2:$I$3000))</f>
        <v/>
      </c>
      <c r="Z766">
        <f>IF($A2="","",IF(COUNTIF('07_Pallet_Contents'!$A$2:$A$3000,$A2)&gt;0,"Yes",""))</f>
        <v/>
      </c>
    </row>
    <row r="767">
      <c r="B767" s="22" t="n"/>
      <c r="G767" s="25" t="n"/>
      <c r="H767" s="24">
        <f>IF(AND($F767="TEMP",$G767&gt;0,$M767&lt;&gt;""),$M767+$G767,"")</f>
        <v/>
      </c>
      <c r="I767" s="22" t="n"/>
      <c r="J767" s="22" t="n"/>
      <c r="K767" s="24" t="n"/>
      <c r="W767">
        <f>IF($A2="","",COUNTIF('07_Pallet_Contents'!$A$2:$A$3000,$A2))</f>
        <v/>
      </c>
      <c r="X767">
        <f>IF($A2="","",SUMIF('07_Pallet_Contents'!$A$2:$A$3000,$A2,'07_Pallet_Contents'!$D$2:$D$3000))</f>
        <v/>
      </c>
      <c r="Y767">
        <f>IF($A2="","",SUMIF('07_Pallet_Contents'!$A$2:$A$3000,$A2,'07_Pallet_Contents'!$I$2:$I$3000))</f>
        <v/>
      </c>
      <c r="Z767">
        <f>IF($A2="","",IF(COUNTIF('07_Pallet_Contents'!$A$2:$A$3000,$A2)&gt;0,"Yes",""))</f>
        <v/>
      </c>
    </row>
    <row r="768">
      <c r="B768" s="22" t="n"/>
      <c r="G768" s="25" t="n"/>
      <c r="H768" s="24">
        <f>IF(AND($F768="TEMP",$G768&gt;0,$M768&lt;&gt;""),$M768+$G768,"")</f>
        <v/>
      </c>
      <c r="I768" s="22" t="n"/>
      <c r="J768" s="22" t="n"/>
      <c r="K768" s="24" t="n"/>
      <c r="W768">
        <f>IF($A2="","",COUNTIF('07_Pallet_Contents'!$A$2:$A$3000,$A2))</f>
        <v/>
      </c>
      <c r="X768">
        <f>IF($A2="","",SUMIF('07_Pallet_Contents'!$A$2:$A$3000,$A2,'07_Pallet_Contents'!$D$2:$D$3000))</f>
        <v/>
      </c>
      <c r="Y768">
        <f>IF($A2="","",SUMIF('07_Pallet_Contents'!$A$2:$A$3000,$A2,'07_Pallet_Contents'!$I$2:$I$3000))</f>
        <v/>
      </c>
      <c r="Z768">
        <f>IF($A2="","",IF(COUNTIF('07_Pallet_Contents'!$A$2:$A$3000,$A2)&gt;0,"Yes",""))</f>
        <v/>
      </c>
    </row>
    <row r="769">
      <c r="B769" s="22" t="n"/>
      <c r="G769" s="25" t="n"/>
      <c r="H769" s="24">
        <f>IF(AND($F769="TEMP",$G769&gt;0,$M769&lt;&gt;""),$M769+$G769,"")</f>
        <v/>
      </c>
      <c r="I769" s="22" t="n"/>
      <c r="J769" s="22" t="n"/>
      <c r="K769" s="24" t="n"/>
      <c r="W769">
        <f>IF($A2="","",COUNTIF('07_Pallet_Contents'!$A$2:$A$3000,$A2))</f>
        <v/>
      </c>
      <c r="X769">
        <f>IF($A2="","",SUMIF('07_Pallet_Contents'!$A$2:$A$3000,$A2,'07_Pallet_Contents'!$D$2:$D$3000))</f>
        <v/>
      </c>
      <c r="Y769">
        <f>IF($A2="","",SUMIF('07_Pallet_Contents'!$A$2:$A$3000,$A2,'07_Pallet_Contents'!$I$2:$I$3000))</f>
        <v/>
      </c>
      <c r="Z769">
        <f>IF($A2="","",IF(COUNTIF('07_Pallet_Contents'!$A$2:$A$3000,$A2)&gt;0,"Yes",""))</f>
        <v/>
      </c>
    </row>
    <row r="770">
      <c r="B770" s="22" t="n"/>
      <c r="G770" s="25" t="n"/>
      <c r="H770" s="24">
        <f>IF(AND($F770="TEMP",$G770&gt;0,$M770&lt;&gt;""),$M770+$G770,"")</f>
        <v/>
      </c>
      <c r="I770" s="22" t="n"/>
      <c r="J770" s="22" t="n"/>
      <c r="K770" s="24" t="n"/>
      <c r="W770">
        <f>IF($A2="","",COUNTIF('07_Pallet_Contents'!$A$2:$A$3000,$A2))</f>
        <v/>
      </c>
      <c r="X770">
        <f>IF($A2="","",SUMIF('07_Pallet_Contents'!$A$2:$A$3000,$A2,'07_Pallet_Contents'!$D$2:$D$3000))</f>
        <v/>
      </c>
      <c r="Y770">
        <f>IF($A2="","",SUMIF('07_Pallet_Contents'!$A$2:$A$3000,$A2,'07_Pallet_Contents'!$I$2:$I$3000))</f>
        <v/>
      </c>
      <c r="Z770">
        <f>IF($A2="","",IF(COUNTIF('07_Pallet_Contents'!$A$2:$A$3000,$A2)&gt;0,"Yes",""))</f>
        <v/>
      </c>
    </row>
    <row r="771">
      <c r="B771" s="22" t="n"/>
      <c r="G771" s="25" t="n"/>
      <c r="H771" s="24">
        <f>IF(AND($F771="TEMP",$G771&gt;0,$M771&lt;&gt;""),$M771+$G771,"")</f>
        <v/>
      </c>
      <c r="I771" s="22" t="n"/>
      <c r="J771" s="22" t="n"/>
      <c r="K771" s="24" t="n"/>
      <c r="W771">
        <f>IF($A2="","",COUNTIF('07_Pallet_Contents'!$A$2:$A$3000,$A2))</f>
        <v/>
      </c>
      <c r="X771">
        <f>IF($A2="","",SUMIF('07_Pallet_Contents'!$A$2:$A$3000,$A2,'07_Pallet_Contents'!$D$2:$D$3000))</f>
        <v/>
      </c>
      <c r="Y771">
        <f>IF($A2="","",SUMIF('07_Pallet_Contents'!$A$2:$A$3000,$A2,'07_Pallet_Contents'!$I$2:$I$3000))</f>
        <v/>
      </c>
      <c r="Z771">
        <f>IF($A2="","",IF(COUNTIF('07_Pallet_Contents'!$A$2:$A$3000,$A2)&gt;0,"Yes",""))</f>
        <v/>
      </c>
    </row>
    <row r="772">
      <c r="B772" s="22" t="n"/>
      <c r="G772" s="25" t="n"/>
      <c r="H772" s="24">
        <f>IF(AND($F772="TEMP",$G772&gt;0,$M772&lt;&gt;""),$M772+$G772,"")</f>
        <v/>
      </c>
      <c r="I772" s="22" t="n"/>
      <c r="J772" s="22" t="n"/>
      <c r="K772" s="24" t="n"/>
      <c r="W772">
        <f>IF($A2="","",COUNTIF('07_Pallet_Contents'!$A$2:$A$3000,$A2))</f>
        <v/>
      </c>
      <c r="X772">
        <f>IF($A2="","",SUMIF('07_Pallet_Contents'!$A$2:$A$3000,$A2,'07_Pallet_Contents'!$D$2:$D$3000))</f>
        <v/>
      </c>
      <c r="Y772">
        <f>IF($A2="","",SUMIF('07_Pallet_Contents'!$A$2:$A$3000,$A2,'07_Pallet_Contents'!$I$2:$I$3000))</f>
        <v/>
      </c>
      <c r="Z772">
        <f>IF($A2="","",IF(COUNTIF('07_Pallet_Contents'!$A$2:$A$3000,$A2)&gt;0,"Yes",""))</f>
        <v/>
      </c>
    </row>
    <row r="773">
      <c r="B773" s="22" t="n"/>
      <c r="G773" s="25" t="n"/>
      <c r="H773" s="24">
        <f>IF(AND($F773="TEMP",$G773&gt;0,$M773&lt;&gt;""),$M773+$G773,"")</f>
        <v/>
      </c>
      <c r="I773" s="22" t="n"/>
      <c r="J773" s="22" t="n"/>
      <c r="K773" s="24" t="n"/>
      <c r="W773">
        <f>IF($A2="","",COUNTIF('07_Pallet_Contents'!$A$2:$A$3000,$A2))</f>
        <v/>
      </c>
      <c r="X773">
        <f>IF($A2="","",SUMIF('07_Pallet_Contents'!$A$2:$A$3000,$A2,'07_Pallet_Contents'!$D$2:$D$3000))</f>
        <v/>
      </c>
      <c r="Y773">
        <f>IF($A2="","",SUMIF('07_Pallet_Contents'!$A$2:$A$3000,$A2,'07_Pallet_Contents'!$I$2:$I$3000))</f>
        <v/>
      </c>
      <c r="Z773">
        <f>IF($A2="","",IF(COUNTIF('07_Pallet_Contents'!$A$2:$A$3000,$A2)&gt;0,"Yes",""))</f>
        <v/>
      </c>
    </row>
    <row r="774">
      <c r="B774" s="22" t="n"/>
      <c r="G774" s="25" t="n"/>
      <c r="H774" s="24">
        <f>IF(AND($F774="TEMP",$G774&gt;0,$M774&lt;&gt;""),$M774+$G774,"")</f>
        <v/>
      </c>
      <c r="I774" s="22" t="n"/>
      <c r="J774" s="22" t="n"/>
      <c r="K774" s="24" t="n"/>
      <c r="W774">
        <f>IF($A2="","",COUNTIF('07_Pallet_Contents'!$A$2:$A$3000,$A2))</f>
        <v/>
      </c>
      <c r="X774">
        <f>IF($A2="","",SUMIF('07_Pallet_Contents'!$A$2:$A$3000,$A2,'07_Pallet_Contents'!$D$2:$D$3000))</f>
        <v/>
      </c>
      <c r="Y774">
        <f>IF($A2="","",SUMIF('07_Pallet_Contents'!$A$2:$A$3000,$A2,'07_Pallet_Contents'!$I$2:$I$3000))</f>
        <v/>
      </c>
      <c r="Z774">
        <f>IF($A2="","",IF(COUNTIF('07_Pallet_Contents'!$A$2:$A$3000,$A2)&gt;0,"Yes",""))</f>
        <v/>
      </c>
    </row>
    <row r="775">
      <c r="B775" s="22" t="n"/>
      <c r="G775" s="25" t="n"/>
      <c r="H775" s="24">
        <f>IF(AND($F775="TEMP",$G775&gt;0,$M775&lt;&gt;""),$M775+$G775,"")</f>
        <v/>
      </c>
      <c r="I775" s="22" t="n"/>
      <c r="J775" s="22" t="n"/>
      <c r="K775" s="24" t="n"/>
      <c r="W775">
        <f>IF($A2="","",COUNTIF('07_Pallet_Contents'!$A$2:$A$3000,$A2))</f>
        <v/>
      </c>
      <c r="X775">
        <f>IF($A2="","",SUMIF('07_Pallet_Contents'!$A$2:$A$3000,$A2,'07_Pallet_Contents'!$D$2:$D$3000))</f>
        <v/>
      </c>
      <c r="Y775">
        <f>IF($A2="","",SUMIF('07_Pallet_Contents'!$A$2:$A$3000,$A2,'07_Pallet_Contents'!$I$2:$I$3000))</f>
        <v/>
      </c>
      <c r="Z775">
        <f>IF($A2="","",IF(COUNTIF('07_Pallet_Contents'!$A$2:$A$3000,$A2)&gt;0,"Yes",""))</f>
        <v/>
      </c>
    </row>
    <row r="776">
      <c r="B776" s="22" t="n"/>
      <c r="G776" s="25" t="n"/>
      <c r="H776" s="24">
        <f>IF(AND($F776="TEMP",$G776&gt;0,$M776&lt;&gt;""),$M776+$G776,"")</f>
        <v/>
      </c>
      <c r="I776" s="22" t="n"/>
      <c r="J776" s="22" t="n"/>
      <c r="K776" s="24" t="n"/>
      <c r="W776">
        <f>IF($A2="","",COUNTIF('07_Pallet_Contents'!$A$2:$A$3000,$A2))</f>
        <v/>
      </c>
      <c r="X776">
        <f>IF($A2="","",SUMIF('07_Pallet_Contents'!$A$2:$A$3000,$A2,'07_Pallet_Contents'!$D$2:$D$3000))</f>
        <v/>
      </c>
      <c r="Y776">
        <f>IF($A2="","",SUMIF('07_Pallet_Contents'!$A$2:$A$3000,$A2,'07_Pallet_Contents'!$I$2:$I$3000))</f>
        <v/>
      </c>
      <c r="Z776">
        <f>IF($A2="","",IF(COUNTIF('07_Pallet_Contents'!$A$2:$A$3000,$A2)&gt;0,"Yes",""))</f>
        <v/>
      </c>
    </row>
    <row r="777">
      <c r="B777" s="22" t="n"/>
      <c r="G777" s="25" t="n"/>
      <c r="H777" s="24">
        <f>IF(AND($F777="TEMP",$G777&gt;0,$M777&lt;&gt;""),$M777+$G777,"")</f>
        <v/>
      </c>
      <c r="I777" s="22" t="n"/>
      <c r="J777" s="22" t="n"/>
      <c r="K777" s="24" t="n"/>
      <c r="W777">
        <f>IF($A2="","",COUNTIF('07_Pallet_Contents'!$A$2:$A$3000,$A2))</f>
        <v/>
      </c>
      <c r="X777">
        <f>IF($A2="","",SUMIF('07_Pallet_Contents'!$A$2:$A$3000,$A2,'07_Pallet_Contents'!$D$2:$D$3000))</f>
        <v/>
      </c>
      <c r="Y777">
        <f>IF($A2="","",SUMIF('07_Pallet_Contents'!$A$2:$A$3000,$A2,'07_Pallet_Contents'!$I$2:$I$3000))</f>
        <v/>
      </c>
      <c r="Z777">
        <f>IF($A2="","",IF(COUNTIF('07_Pallet_Contents'!$A$2:$A$3000,$A2)&gt;0,"Yes",""))</f>
        <v/>
      </c>
    </row>
    <row r="778">
      <c r="B778" s="22" t="n"/>
      <c r="G778" s="25" t="n"/>
      <c r="H778" s="24">
        <f>IF(AND($F778="TEMP",$G778&gt;0,$M778&lt;&gt;""),$M778+$G778,"")</f>
        <v/>
      </c>
      <c r="I778" s="22" t="n"/>
      <c r="J778" s="22" t="n"/>
      <c r="K778" s="24" t="n"/>
      <c r="W778">
        <f>IF($A2="","",COUNTIF('07_Pallet_Contents'!$A$2:$A$3000,$A2))</f>
        <v/>
      </c>
      <c r="X778">
        <f>IF($A2="","",SUMIF('07_Pallet_Contents'!$A$2:$A$3000,$A2,'07_Pallet_Contents'!$D$2:$D$3000))</f>
        <v/>
      </c>
      <c r="Y778">
        <f>IF($A2="","",SUMIF('07_Pallet_Contents'!$A$2:$A$3000,$A2,'07_Pallet_Contents'!$I$2:$I$3000))</f>
        <v/>
      </c>
      <c r="Z778">
        <f>IF($A2="","",IF(COUNTIF('07_Pallet_Contents'!$A$2:$A$3000,$A2)&gt;0,"Yes",""))</f>
        <v/>
      </c>
    </row>
    <row r="779">
      <c r="B779" s="22" t="n"/>
      <c r="G779" s="25" t="n"/>
      <c r="H779" s="24">
        <f>IF(AND($F779="TEMP",$G779&gt;0,$M779&lt;&gt;""),$M779+$G779,"")</f>
        <v/>
      </c>
      <c r="I779" s="22" t="n"/>
      <c r="J779" s="22" t="n"/>
      <c r="K779" s="24" t="n"/>
      <c r="W779">
        <f>IF($A2="","",COUNTIF('07_Pallet_Contents'!$A$2:$A$3000,$A2))</f>
        <v/>
      </c>
      <c r="X779">
        <f>IF($A2="","",SUMIF('07_Pallet_Contents'!$A$2:$A$3000,$A2,'07_Pallet_Contents'!$D$2:$D$3000))</f>
        <v/>
      </c>
      <c r="Y779">
        <f>IF($A2="","",SUMIF('07_Pallet_Contents'!$A$2:$A$3000,$A2,'07_Pallet_Contents'!$I$2:$I$3000))</f>
        <v/>
      </c>
      <c r="Z779">
        <f>IF($A2="","",IF(COUNTIF('07_Pallet_Contents'!$A$2:$A$3000,$A2)&gt;0,"Yes",""))</f>
        <v/>
      </c>
    </row>
    <row r="780">
      <c r="B780" s="22" t="n"/>
      <c r="G780" s="25" t="n"/>
      <c r="H780" s="24">
        <f>IF(AND($F780="TEMP",$G780&gt;0,$M780&lt;&gt;""),$M780+$G780,"")</f>
        <v/>
      </c>
      <c r="I780" s="22" t="n"/>
      <c r="J780" s="22" t="n"/>
      <c r="K780" s="24" t="n"/>
      <c r="W780">
        <f>IF($A2="","",COUNTIF('07_Pallet_Contents'!$A$2:$A$3000,$A2))</f>
        <v/>
      </c>
      <c r="X780">
        <f>IF($A2="","",SUMIF('07_Pallet_Contents'!$A$2:$A$3000,$A2,'07_Pallet_Contents'!$D$2:$D$3000))</f>
        <v/>
      </c>
      <c r="Y780">
        <f>IF($A2="","",SUMIF('07_Pallet_Contents'!$A$2:$A$3000,$A2,'07_Pallet_Contents'!$I$2:$I$3000))</f>
        <v/>
      </c>
      <c r="Z780">
        <f>IF($A2="","",IF(COUNTIF('07_Pallet_Contents'!$A$2:$A$3000,$A2)&gt;0,"Yes",""))</f>
        <v/>
      </c>
    </row>
    <row r="781">
      <c r="B781" s="22" t="n"/>
      <c r="G781" s="25" t="n"/>
      <c r="H781" s="24">
        <f>IF(AND($F781="TEMP",$G781&gt;0,$M781&lt;&gt;""),$M781+$G781,"")</f>
        <v/>
      </c>
      <c r="I781" s="22" t="n"/>
      <c r="J781" s="22" t="n"/>
      <c r="K781" s="24" t="n"/>
      <c r="W781">
        <f>IF($A2="","",COUNTIF('07_Pallet_Contents'!$A$2:$A$3000,$A2))</f>
        <v/>
      </c>
      <c r="X781">
        <f>IF($A2="","",SUMIF('07_Pallet_Contents'!$A$2:$A$3000,$A2,'07_Pallet_Contents'!$D$2:$D$3000))</f>
        <v/>
      </c>
      <c r="Y781">
        <f>IF($A2="","",SUMIF('07_Pallet_Contents'!$A$2:$A$3000,$A2,'07_Pallet_Contents'!$I$2:$I$3000))</f>
        <v/>
      </c>
      <c r="Z781">
        <f>IF($A2="","",IF(COUNTIF('07_Pallet_Contents'!$A$2:$A$3000,$A2)&gt;0,"Yes",""))</f>
        <v/>
      </c>
    </row>
    <row r="782">
      <c r="B782" s="22" t="n"/>
      <c r="G782" s="25" t="n"/>
      <c r="H782" s="24">
        <f>IF(AND($F782="TEMP",$G782&gt;0,$M782&lt;&gt;""),$M782+$G782,"")</f>
        <v/>
      </c>
      <c r="I782" s="22" t="n"/>
      <c r="J782" s="22" t="n"/>
      <c r="K782" s="24" t="n"/>
      <c r="W782">
        <f>IF($A2="","",COUNTIF('07_Pallet_Contents'!$A$2:$A$3000,$A2))</f>
        <v/>
      </c>
      <c r="X782">
        <f>IF($A2="","",SUMIF('07_Pallet_Contents'!$A$2:$A$3000,$A2,'07_Pallet_Contents'!$D$2:$D$3000))</f>
        <v/>
      </c>
      <c r="Y782">
        <f>IF($A2="","",SUMIF('07_Pallet_Contents'!$A$2:$A$3000,$A2,'07_Pallet_Contents'!$I$2:$I$3000))</f>
        <v/>
      </c>
      <c r="Z782">
        <f>IF($A2="","",IF(COUNTIF('07_Pallet_Contents'!$A$2:$A$3000,$A2)&gt;0,"Yes",""))</f>
        <v/>
      </c>
    </row>
    <row r="783">
      <c r="B783" s="22" t="n"/>
      <c r="G783" s="25" t="n"/>
      <c r="H783" s="24">
        <f>IF(AND($F783="TEMP",$G783&gt;0,$M783&lt;&gt;""),$M783+$G783,"")</f>
        <v/>
      </c>
      <c r="I783" s="22" t="n"/>
      <c r="J783" s="22" t="n"/>
      <c r="K783" s="24" t="n"/>
      <c r="W783">
        <f>IF($A2="","",COUNTIF('07_Pallet_Contents'!$A$2:$A$3000,$A2))</f>
        <v/>
      </c>
      <c r="X783">
        <f>IF($A2="","",SUMIF('07_Pallet_Contents'!$A$2:$A$3000,$A2,'07_Pallet_Contents'!$D$2:$D$3000))</f>
        <v/>
      </c>
      <c r="Y783">
        <f>IF($A2="","",SUMIF('07_Pallet_Contents'!$A$2:$A$3000,$A2,'07_Pallet_Contents'!$I$2:$I$3000))</f>
        <v/>
      </c>
      <c r="Z783">
        <f>IF($A2="","",IF(COUNTIF('07_Pallet_Contents'!$A$2:$A$3000,$A2)&gt;0,"Yes",""))</f>
        <v/>
      </c>
    </row>
    <row r="784">
      <c r="B784" s="22" t="n"/>
      <c r="G784" s="25" t="n"/>
      <c r="H784" s="24">
        <f>IF(AND($F784="TEMP",$G784&gt;0,$M784&lt;&gt;""),$M784+$G784,"")</f>
        <v/>
      </c>
      <c r="I784" s="22" t="n"/>
      <c r="J784" s="22" t="n"/>
      <c r="K784" s="24" t="n"/>
      <c r="W784">
        <f>IF($A2="","",COUNTIF('07_Pallet_Contents'!$A$2:$A$3000,$A2))</f>
        <v/>
      </c>
      <c r="X784">
        <f>IF($A2="","",SUMIF('07_Pallet_Contents'!$A$2:$A$3000,$A2,'07_Pallet_Contents'!$D$2:$D$3000))</f>
        <v/>
      </c>
      <c r="Y784">
        <f>IF($A2="","",SUMIF('07_Pallet_Contents'!$A$2:$A$3000,$A2,'07_Pallet_Contents'!$I$2:$I$3000))</f>
        <v/>
      </c>
      <c r="Z784">
        <f>IF($A2="","",IF(COUNTIF('07_Pallet_Contents'!$A$2:$A$3000,$A2)&gt;0,"Yes",""))</f>
        <v/>
      </c>
    </row>
    <row r="785">
      <c r="B785" s="22" t="n"/>
      <c r="G785" s="25" t="n"/>
      <c r="H785" s="24">
        <f>IF(AND($F785="TEMP",$G785&gt;0,$M785&lt;&gt;""),$M785+$G785,"")</f>
        <v/>
      </c>
      <c r="I785" s="22" t="n"/>
      <c r="J785" s="22" t="n"/>
      <c r="K785" s="24" t="n"/>
      <c r="W785">
        <f>IF($A2="","",COUNTIF('07_Pallet_Contents'!$A$2:$A$3000,$A2))</f>
        <v/>
      </c>
      <c r="X785">
        <f>IF($A2="","",SUMIF('07_Pallet_Contents'!$A$2:$A$3000,$A2,'07_Pallet_Contents'!$D$2:$D$3000))</f>
        <v/>
      </c>
      <c r="Y785">
        <f>IF($A2="","",SUMIF('07_Pallet_Contents'!$A$2:$A$3000,$A2,'07_Pallet_Contents'!$I$2:$I$3000))</f>
        <v/>
      </c>
      <c r="Z785">
        <f>IF($A2="","",IF(COUNTIF('07_Pallet_Contents'!$A$2:$A$3000,$A2)&gt;0,"Yes",""))</f>
        <v/>
      </c>
    </row>
    <row r="786">
      <c r="B786" s="22" t="n"/>
      <c r="G786" s="25" t="n"/>
      <c r="H786" s="24">
        <f>IF(AND($F786="TEMP",$G786&gt;0,$M786&lt;&gt;""),$M786+$G786,"")</f>
        <v/>
      </c>
      <c r="I786" s="22" t="n"/>
      <c r="J786" s="22" t="n"/>
      <c r="K786" s="24" t="n"/>
      <c r="W786">
        <f>IF($A2="","",COUNTIF('07_Pallet_Contents'!$A$2:$A$3000,$A2))</f>
        <v/>
      </c>
      <c r="X786">
        <f>IF($A2="","",SUMIF('07_Pallet_Contents'!$A$2:$A$3000,$A2,'07_Pallet_Contents'!$D$2:$D$3000))</f>
        <v/>
      </c>
      <c r="Y786">
        <f>IF($A2="","",SUMIF('07_Pallet_Contents'!$A$2:$A$3000,$A2,'07_Pallet_Contents'!$I$2:$I$3000))</f>
        <v/>
      </c>
      <c r="Z786">
        <f>IF($A2="","",IF(COUNTIF('07_Pallet_Contents'!$A$2:$A$3000,$A2)&gt;0,"Yes",""))</f>
        <v/>
      </c>
    </row>
    <row r="787">
      <c r="B787" s="22" t="n"/>
      <c r="G787" s="25" t="n"/>
      <c r="H787" s="24">
        <f>IF(AND($F787="TEMP",$G787&gt;0,$M787&lt;&gt;""),$M787+$G787,"")</f>
        <v/>
      </c>
      <c r="I787" s="22" t="n"/>
      <c r="J787" s="22" t="n"/>
      <c r="K787" s="24" t="n"/>
      <c r="W787">
        <f>IF($A2="","",COUNTIF('07_Pallet_Contents'!$A$2:$A$3000,$A2))</f>
        <v/>
      </c>
      <c r="X787">
        <f>IF($A2="","",SUMIF('07_Pallet_Contents'!$A$2:$A$3000,$A2,'07_Pallet_Contents'!$D$2:$D$3000))</f>
        <v/>
      </c>
      <c r="Y787">
        <f>IF($A2="","",SUMIF('07_Pallet_Contents'!$A$2:$A$3000,$A2,'07_Pallet_Contents'!$I$2:$I$3000))</f>
        <v/>
      </c>
      <c r="Z787">
        <f>IF($A2="","",IF(COUNTIF('07_Pallet_Contents'!$A$2:$A$3000,$A2)&gt;0,"Yes",""))</f>
        <v/>
      </c>
    </row>
    <row r="788">
      <c r="B788" s="22" t="n"/>
      <c r="G788" s="25" t="n"/>
      <c r="H788" s="24">
        <f>IF(AND($F788="TEMP",$G788&gt;0,$M788&lt;&gt;""),$M788+$G788,"")</f>
        <v/>
      </c>
      <c r="I788" s="22" t="n"/>
      <c r="J788" s="22" t="n"/>
      <c r="K788" s="24" t="n"/>
      <c r="W788">
        <f>IF($A2="","",COUNTIF('07_Pallet_Contents'!$A$2:$A$3000,$A2))</f>
        <v/>
      </c>
      <c r="X788">
        <f>IF($A2="","",SUMIF('07_Pallet_Contents'!$A$2:$A$3000,$A2,'07_Pallet_Contents'!$D$2:$D$3000))</f>
        <v/>
      </c>
      <c r="Y788">
        <f>IF($A2="","",SUMIF('07_Pallet_Contents'!$A$2:$A$3000,$A2,'07_Pallet_Contents'!$I$2:$I$3000))</f>
        <v/>
      </c>
      <c r="Z788">
        <f>IF($A2="","",IF(COUNTIF('07_Pallet_Contents'!$A$2:$A$3000,$A2)&gt;0,"Yes",""))</f>
        <v/>
      </c>
    </row>
    <row r="789">
      <c r="B789" s="22" t="n"/>
      <c r="G789" s="25" t="n"/>
      <c r="H789" s="24">
        <f>IF(AND($F789="TEMP",$G789&gt;0,$M789&lt;&gt;""),$M789+$G789,"")</f>
        <v/>
      </c>
      <c r="I789" s="22" t="n"/>
      <c r="J789" s="22" t="n"/>
      <c r="K789" s="24" t="n"/>
      <c r="W789">
        <f>IF($A2="","",COUNTIF('07_Pallet_Contents'!$A$2:$A$3000,$A2))</f>
        <v/>
      </c>
      <c r="X789">
        <f>IF($A2="","",SUMIF('07_Pallet_Contents'!$A$2:$A$3000,$A2,'07_Pallet_Contents'!$D$2:$D$3000))</f>
        <v/>
      </c>
      <c r="Y789">
        <f>IF($A2="","",SUMIF('07_Pallet_Contents'!$A$2:$A$3000,$A2,'07_Pallet_Contents'!$I$2:$I$3000))</f>
        <v/>
      </c>
      <c r="Z789">
        <f>IF($A2="","",IF(COUNTIF('07_Pallet_Contents'!$A$2:$A$3000,$A2)&gt;0,"Yes",""))</f>
        <v/>
      </c>
    </row>
    <row r="790">
      <c r="B790" s="22" t="n"/>
      <c r="G790" s="25" t="n"/>
      <c r="H790" s="24">
        <f>IF(AND($F790="TEMP",$G790&gt;0,$M790&lt;&gt;""),$M790+$G790,"")</f>
        <v/>
      </c>
      <c r="I790" s="22" t="n"/>
      <c r="J790" s="22" t="n"/>
      <c r="K790" s="24" t="n"/>
      <c r="W790">
        <f>IF($A2="","",COUNTIF('07_Pallet_Contents'!$A$2:$A$3000,$A2))</f>
        <v/>
      </c>
      <c r="X790">
        <f>IF($A2="","",SUMIF('07_Pallet_Contents'!$A$2:$A$3000,$A2,'07_Pallet_Contents'!$D$2:$D$3000))</f>
        <v/>
      </c>
      <c r="Y790">
        <f>IF($A2="","",SUMIF('07_Pallet_Contents'!$A$2:$A$3000,$A2,'07_Pallet_Contents'!$I$2:$I$3000))</f>
        <v/>
      </c>
      <c r="Z790">
        <f>IF($A2="","",IF(COUNTIF('07_Pallet_Contents'!$A$2:$A$3000,$A2)&gt;0,"Yes",""))</f>
        <v/>
      </c>
    </row>
    <row r="791">
      <c r="B791" s="22" t="n"/>
      <c r="G791" s="25" t="n"/>
      <c r="H791" s="24">
        <f>IF(AND($F791="TEMP",$G791&gt;0,$M791&lt;&gt;""),$M791+$G791,"")</f>
        <v/>
      </c>
      <c r="I791" s="22" t="n"/>
      <c r="J791" s="22" t="n"/>
      <c r="K791" s="24" t="n"/>
      <c r="W791">
        <f>IF($A2="","",COUNTIF('07_Pallet_Contents'!$A$2:$A$3000,$A2))</f>
        <v/>
      </c>
      <c r="X791">
        <f>IF($A2="","",SUMIF('07_Pallet_Contents'!$A$2:$A$3000,$A2,'07_Pallet_Contents'!$D$2:$D$3000))</f>
        <v/>
      </c>
      <c r="Y791">
        <f>IF($A2="","",SUMIF('07_Pallet_Contents'!$A$2:$A$3000,$A2,'07_Pallet_Contents'!$I$2:$I$3000))</f>
        <v/>
      </c>
      <c r="Z791">
        <f>IF($A2="","",IF(COUNTIF('07_Pallet_Contents'!$A$2:$A$3000,$A2)&gt;0,"Yes",""))</f>
        <v/>
      </c>
    </row>
    <row r="792">
      <c r="B792" s="22" t="n"/>
      <c r="G792" s="25" t="n"/>
      <c r="H792" s="24">
        <f>IF(AND($F792="TEMP",$G792&gt;0,$M792&lt;&gt;""),$M792+$G792,"")</f>
        <v/>
      </c>
      <c r="I792" s="22" t="n"/>
      <c r="J792" s="22" t="n"/>
      <c r="K792" s="24" t="n"/>
      <c r="W792">
        <f>IF($A2="","",COUNTIF('07_Pallet_Contents'!$A$2:$A$3000,$A2))</f>
        <v/>
      </c>
      <c r="X792">
        <f>IF($A2="","",SUMIF('07_Pallet_Contents'!$A$2:$A$3000,$A2,'07_Pallet_Contents'!$D$2:$D$3000))</f>
        <v/>
      </c>
      <c r="Y792">
        <f>IF($A2="","",SUMIF('07_Pallet_Contents'!$A$2:$A$3000,$A2,'07_Pallet_Contents'!$I$2:$I$3000))</f>
        <v/>
      </c>
      <c r="Z792">
        <f>IF($A2="","",IF(COUNTIF('07_Pallet_Contents'!$A$2:$A$3000,$A2)&gt;0,"Yes",""))</f>
        <v/>
      </c>
    </row>
    <row r="793">
      <c r="B793" s="22" t="n"/>
      <c r="G793" s="25" t="n"/>
      <c r="H793" s="24">
        <f>IF(AND($F793="TEMP",$G793&gt;0,$M793&lt;&gt;""),$M793+$G793,"")</f>
        <v/>
      </c>
      <c r="I793" s="22" t="n"/>
      <c r="J793" s="22" t="n"/>
      <c r="K793" s="24" t="n"/>
      <c r="W793">
        <f>IF($A2="","",COUNTIF('07_Pallet_Contents'!$A$2:$A$3000,$A2))</f>
        <v/>
      </c>
      <c r="X793">
        <f>IF($A2="","",SUMIF('07_Pallet_Contents'!$A$2:$A$3000,$A2,'07_Pallet_Contents'!$D$2:$D$3000))</f>
        <v/>
      </c>
      <c r="Y793">
        <f>IF($A2="","",SUMIF('07_Pallet_Contents'!$A$2:$A$3000,$A2,'07_Pallet_Contents'!$I$2:$I$3000))</f>
        <v/>
      </c>
      <c r="Z793">
        <f>IF($A2="","",IF(COUNTIF('07_Pallet_Contents'!$A$2:$A$3000,$A2)&gt;0,"Yes",""))</f>
        <v/>
      </c>
    </row>
    <row r="794">
      <c r="B794" s="22" t="n"/>
      <c r="G794" s="25" t="n"/>
      <c r="H794" s="24">
        <f>IF(AND($F794="TEMP",$G794&gt;0,$M794&lt;&gt;""),$M794+$G794,"")</f>
        <v/>
      </c>
      <c r="I794" s="22" t="n"/>
      <c r="J794" s="22" t="n"/>
      <c r="K794" s="24" t="n"/>
      <c r="W794">
        <f>IF($A2="","",COUNTIF('07_Pallet_Contents'!$A$2:$A$3000,$A2))</f>
        <v/>
      </c>
      <c r="X794">
        <f>IF($A2="","",SUMIF('07_Pallet_Contents'!$A$2:$A$3000,$A2,'07_Pallet_Contents'!$D$2:$D$3000))</f>
        <v/>
      </c>
      <c r="Y794">
        <f>IF($A2="","",SUMIF('07_Pallet_Contents'!$A$2:$A$3000,$A2,'07_Pallet_Contents'!$I$2:$I$3000))</f>
        <v/>
      </c>
      <c r="Z794">
        <f>IF($A2="","",IF(COUNTIF('07_Pallet_Contents'!$A$2:$A$3000,$A2)&gt;0,"Yes",""))</f>
        <v/>
      </c>
    </row>
    <row r="795">
      <c r="B795" s="22" t="n"/>
      <c r="G795" s="25" t="n"/>
      <c r="H795" s="24">
        <f>IF(AND($F795="TEMP",$G795&gt;0,$M795&lt;&gt;""),$M795+$G795,"")</f>
        <v/>
      </c>
      <c r="I795" s="22" t="n"/>
      <c r="J795" s="22" t="n"/>
      <c r="K795" s="24" t="n"/>
      <c r="W795">
        <f>IF($A2="","",COUNTIF('07_Pallet_Contents'!$A$2:$A$3000,$A2))</f>
        <v/>
      </c>
      <c r="X795">
        <f>IF($A2="","",SUMIF('07_Pallet_Contents'!$A$2:$A$3000,$A2,'07_Pallet_Contents'!$D$2:$D$3000))</f>
        <v/>
      </c>
      <c r="Y795">
        <f>IF($A2="","",SUMIF('07_Pallet_Contents'!$A$2:$A$3000,$A2,'07_Pallet_Contents'!$I$2:$I$3000))</f>
        <v/>
      </c>
      <c r="Z795">
        <f>IF($A2="","",IF(COUNTIF('07_Pallet_Contents'!$A$2:$A$3000,$A2)&gt;0,"Yes",""))</f>
        <v/>
      </c>
    </row>
    <row r="796">
      <c r="B796" s="22" t="n"/>
      <c r="G796" s="25" t="n"/>
      <c r="H796" s="24">
        <f>IF(AND($F796="TEMP",$G796&gt;0,$M796&lt;&gt;""),$M796+$G796,"")</f>
        <v/>
      </c>
      <c r="I796" s="22" t="n"/>
      <c r="J796" s="22" t="n"/>
      <c r="K796" s="24" t="n"/>
      <c r="W796">
        <f>IF($A2="","",COUNTIF('07_Pallet_Contents'!$A$2:$A$3000,$A2))</f>
        <v/>
      </c>
      <c r="X796">
        <f>IF($A2="","",SUMIF('07_Pallet_Contents'!$A$2:$A$3000,$A2,'07_Pallet_Contents'!$D$2:$D$3000))</f>
        <v/>
      </c>
      <c r="Y796">
        <f>IF($A2="","",SUMIF('07_Pallet_Contents'!$A$2:$A$3000,$A2,'07_Pallet_Contents'!$I$2:$I$3000))</f>
        <v/>
      </c>
      <c r="Z796">
        <f>IF($A2="","",IF(COUNTIF('07_Pallet_Contents'!$A$2:$A$3000,$A2)&gt;0,"Yes",""))</f>
        <v/>
      </c>
    </row>
    <row r="797">
      <c r="B797" s="22" t="n"/>
      <c r="G797" s="25" t="n"/>
      <c r="H797" s="24">
        <f>IF(AND($F797="TEMP",$G797&gt;0,$M797&lt;&gt;""),$M797+$G797,"")</f>
        <v/>
      </c>
      <c r="I797" s="22" t="n"/>
      <c r="J797" s="22" t="n"/>
      <c r="K797" s="24" t="n"/>
      <c r="W797">
        <f>IF($A2="","",COUNTIF('07_Pallet_Contents'!$A$2:$A$3000,$A2))</f>
        <v/>
      </c>
      <c r="X797">
        <f>IF($A2="","",SUMIF('07_Pallet_Contents'!$A$2:$A$3000,$A2,'07_Pallet_Contents'!$D$2:$D$3000))</f>
        <v/>
      </c>
      <c r="Y797">
        <f>IF($A2="","",SUMIF('07_Pallet_Contents'!$A$2:$A$3000,$A2,'07_Pallet_Contents'!$I$2:$I$3000))</f>
        <v/>
      </c>
      <c r="Z797">
        <f>IF($A2="","",IF(COUNTIF('07_Pallet_Contents'!$A$2:$A$3000,$A2)&gt;0,"Yes",""))</f>
        <v/>
      </c>
    </row>
    <row r="798">
      <c r="B798" s="22" t="n"/>
      <c r="G798" s="25" t="n"/>
      <c r="H798" s="24">
        <f>IF(AND($F798="TEMP",$G798&gt;0,$M798&lt;&gt;""),$M798+$G798,"")</f>
        <v/>
      </c>
      <c r="I798" s="22" t="n"/>
      <c r="J798" s="22" t="n"/>
      <c r="K798" s="24" t="n"/>
      <c r="W798">
        <f>IF($A2="","",COUNTIF('07_Pallet_Contents'!$A$2:$A$3000,$A2))</f>
        <v/>
      </c>
      <c r="X798">
        <f>IF($A2="","",SUMIF('07_Pallet_Contents'!$A$2:$A$3000,$A2,'07_Pallet_Contents'!$D$2:$D$3000))</f>
        <v/>
      </c>
      <c r="Y798">
        <f>IF($A2="","",SUMIF('07_Pallet_Contents'!$A$2:$A$3000,$A2,'07_Pallet_Contents'!$I$2:$I$3000))</f>
        <v/>
      </c>
      <c r="Z798">
        <f>IF($A2="","",IF(COUNTIF('07_Pallet_Contents'!$A$2:$A$3000,$A2)&gt;0,"Yes",""))</f>
        <v/>
      </c>
    </row>
    <row r="799">
      <c r="B799" s="22" t="n"/>
      <c r="G799" s="25" t="n"/>
      <c r="H799" s="24">
        <f>IF(AND($F799="TEMP",$G799&gt;0,$M799&lt;&gt;""),$M799+$G799,"")</f>
        <v/>
      </c>
      <c r="I799" s="22" t="n"/>
      <c r="J799" s="22" t="n"/>
      <c r="K799" s="24" t="n"/>
      <c r="W799">
        <f>IF($A2="","",COUNTIF('07_Pallet_Contents'!$A$2:$A$3000,$A2))</f>
        <v/>
      </c>
      <c r="X799">
        <f>IF($A2="","",SUMIF('07_Pallet_Contents'!$A$2:$A$3000,$A2,'07_Pallet_Contents'!$D$2:$D$3000))</f>
        <v/>
      </c>
      <c r="Y799">
        <f>IF($A2="","",SUMIF('07_Pallet_Contents'!$A$2:$A$3000,$A2,'07_Pallet_Contents'!$I$2:$I$3000))</f>
        <v/>
      </c>
      <c r="Z799">
        <f>IF($A2="","",IF(COUNTIF('07_Pallet_Contents'!$A$2:$A$3000,$A2)&gt;0,"Yes",""))</f>
        <v/>
      </c>
    </row>
    <row r="800">
      <c r="B800" s="22" t="n"/>
      <c r="G800" s="25" t="n"/>
      <c r="H800" s="24">
        <f>IF(AND($F800="TEMP",$G800&gt;0,$M800&lt;&gt;""),$M800+$G800,"")</f>
        <v/>
      </c>
      <c r="I800" s="22" t="n"/>
      <c r="J800" s="22" t="n"/>
      <c r="K800" s="24" t="n"/>
      <c r="W800">
        <f>IF($A2="","",COUNTIF('07_Pallet_Contents'!$A$2:$A$3000,$A2))</f>
        <v/>
      </c>
      <c r="X800">
        <f>IF($A2="","",SUMIF('07_Pallet_Contents'!$A$2:$A$3000,$A2,'07_Pallet_Contents'!$D$2:$D$3000))</f>
        <v/>
      </c>
      <c r="Y800">
        <f>IF($A2="","",SUMIF('07_Pallet_Contents'!$A$2:$A$3000,$A2,'07_Pallet_Contents'!$I$2:$I$3000))</f>
        <v/>
      </c>
      <c r="Z800">
        <f>IF($A2="","",IF(COUNTIF('07_Pallet_Contents'!$A$2:$A$3000,$A2)&gt;0,"Yes",""))</f>
        <v/>
      </c>
    </row>
    <row r="801">
      <c r="B801" s="22" t="n"/>
      <c r="G801" s="25" t="n"/>
      <c r="H801" s="24">
        <f>IF(AND($F801="TEMP",$G801&gt;0,$M801&lt;&gt;""),$M801+$G801,"")</f>
        <v/>
      </c>
      <c r="I801" s="22" t="n"/>
      <c r="J801" s="22" t="n"/>
      <c r="K801" s="24" t="n"/>
      <c r="W801">
        <f>IF($A2="","",COUNTIF('07_Pallet_Contents'!$A$2:$A$3000,$A2))</f>
        <v/>
      </c>
      <c r="X801">
        <f>IF($A2="","",SUMIF('07_Pallet_Contents'!$A$2:$A$3000,$A2,'07_Pallet_Contents'!$D$2:$D$3000))</f>
        <v/>
      </c>
      <c r="Y801">
        <f>IF($A2="","",SUMIF('07_Pallet_Contents'!$A$2:$A$3000,$A2,'07_Pallet_Contents'!$I$2:$I$3000))</f>
        <v/>
      </c>
      <c r="Z801">
        <f>IF($A2="","",IF(COUNTIF('07_Pallet_Contents'!$A$2:$A$3000,$A2)&gt;0,"Yes",""))</f>
        <v/>
      </c>
    </row>
    <row r="802">
      <c r="B802" s="22" t="n"/>
      <c r="G802" s="25" t="n"/>
      <c r="H802" s="24">
        <f>IF(AND($F802="TEMP",$G802&gt;0,$M802&lt;&gt;""),$M802+$G802,"")</f>
        <v/>
      </c>
      <c r="I802" s="22" t="n"/>
      <c r="J802" s="22" t="n"/>
      <c r="K802" s="24" t="n"/>
      <c r="W802">
        <f>IF($A2="","",COUNTIF('07_Pallet_Contents'!$A$2:$A$3000,$A2))</f>
        <v/>
      </c>
      <c r="X802">
        <f>IF($A2="","",SUMIF('07_Pallet_Contents'!$A$2:$A$3000,$A2,'07_Pallet_Contents'!$D$2:$D$3000))</f>
        <v/>
      </c>
      <c r="Y802">
        <f>IF($A2="","",SUMIF('07_Pallet_Contents'!$A$2:$A$3000,$A2,'07_Pallet_Contents'!$I$2:$I$3000))</f>
        <v/>
      </c>
      <c r="Z802">
        <f>IF($A2="","",IF(COUNTIF('07_Pallet_Contents'!$A$2:$A$3000,$A2)&gt;0,"Yes",""))</f>
        <v/>
      </c>
    </row>
    <row r="803">
      <c r="B803" s="22" t="n"/>
      <c r="G803" s="25" t="n"/>
      <c r="H803" s="24">
        <f>IF(AND($F803="TEMP",$G803&gt;0,$M803&lt;&gt;""),$M803+$G803,"")</f>
        <v/>
      </c>
      <c r="I803" s="22" t="n"/>
      <c r="J803" s="22" t="n"/>
      <c r="K803" s="24" t="n"/>
      <c r="W803">
        <f>IF($A2="","",COUNTIF('07_Pallet_Contents'!$A$2:$A$3000,$A2))</f>
        <v/>
      </c>
      <c r="X803">
        <f>IF($A2="","",SUMIF('07_Pallet_Contents'!$A$2:$A$3000,$A2,'07_Pallet_Contents'!$D$2:$D$3000))</f>
        <v/>
      </c>
      <c r="Y803">
        <f>IF($A2="","",SUMIF('07_Pallet_Contents'!$A$2:$A$3000,$A2,'07_Pallet_Contents'!$I$2:$I$3000))</f>
        <v/>
      </c>
      <c r="Z803">
        <f>IF($A2="","",IF(COUNTIF('07_Pallet_Contents'!$A$2:$A$3000,$A2)&gt;0,"Yes",""))</f>
        <v/>
      </c>
    </row>
    <row r="804">
      <c r="B804" s="22" t="n"/>
      <c r="G804" s="25" t="n"/>
      <c r="H804" s="24">
        <f>IF(AND($F804="TEMP",$G804&gt;0,$M804&lt;&gt;""),$M804+$G804,"")</f>
        <v/>
      </c>
      <c r="I804" s="22" t="n"/>
      <c r="J804" s="22" t="n"/>
      <c r="K804" s="24" t="n"/>
      <c r="W804">
        <f>IF($A2="","",COUNTIF('07_Pallet_Contents'!$A$2:$A$3000,$A2))</f>
        <v/>
      </c>
      <c r="X804">
        <f>IF($A2="","",SUMIF('07_Pallet_Contents'!$A$2:$A$3000,$A2,'07_Pallet_Contents'!$D$2:$D$3000))</f>
        <v/>
      </c>
      <c r="Y804">
        <f>IF($A2="","",SUMIF('07_Pallet_Contents'!$A$2:$A$3000,$A2,'07_Pallet_Contents'!$I$2:$I$3000))</f>
        <v/>
      </c>
      <c r="Z804">
        <f>IF($A2="","",IF(COUNTIF('07_Pallet_Contents'!$A$2:$A$3000,$A2)&gt;0,"Yes",""))</f>
        <v/>
      </c>
    </row>
    <row r="805">
      <c r="B805" s="22" t="n"/>
      <c r="G805" s="25" t="n"/>
      <c r="H805" s="24">
        <f>IF(AND($F805="TEMP",$G805&gt;0,$M805&lt;&gt;""),$M805+$G805,"")</f>
        <v/>
      </c>
      <c r="I805" s="22" t="n"/>
      <c r="J805" s="22" t="n"/>
      <c r="K805" s="24" t="n"/>
      <c r="W805">
        <f>IF($A2="","",COUNTIF('07_Pallet_Contents'!$A$2:$A$3000,$A2))</f>
        <v/>
      </c>
      <c r="X805">
        <f>IF($A2="","",SUMIF('07_Pallet_Contents'!$A$2:$A$3000,$A2,'07_Pallet_Contents'!$D$2:$D$3000))</f>
        <v/>
      </c>
      <c r="Y805">
        <f>IF($A2="","",SUMIF('07_Pallet_Contents'!$A$2:$A$3000,$A2,'07_Pallet_Contents'!$I$2:$I$3000))</f>
        <v/>
      </c>
      <c r="Z805">
        <f>IF($A2="","",IF(COUNTIF('07_Pallet_Contents'!$A$2:$A$3000,$A2)&gt;0,"Yes",""))</f>
        <v/>
      </c>
    </row>
    <row r="806">
      <c r="B806" s="22" t="n"/>
      <c r="G806" s="25" t="n"/>
      <c r="H806" s="24">
        <f>IF(AND($F806="TEMP",$G806&gt;0,$M806&lt;&gt;""),$M806+$G806,"")</f>
        <v/>
      </c>
      <c r="I806" s="22" t="n"/>
      <c r="J806" s="22" t="n"/>
      <c r="K806" s="24" t="n"/>
      <c r="W806">
        <f>IF($A2="","",COUNTIF('07_Pallet_Contents'!$A$2:$A$3000,$A2))</f>
        <v/>
      </c>
      <c r="X806">
        <f>IF($A2="","",SUMIF('07_Pallet_Contents'!$A$2:$A$3000,$A2,'07_Pallet_Contents'!$D$2:$D$3000))</f>
        <v/>
      </c>
      <c r="Y806">
        <f>IF($A2="","",SUMIF('07_Pallet_Contents'!$A$2:$A$3000,$A2,'07_Pallet_Contents'!$I$2:$I$3000))</f>
        <v/>
      </c>
      <c r="Z806">
        <f>IF($A2="","",IF(COUNTIF('07_Pallet_Contents'!$A$2:$A$3000,$A2)&gt;0,"Yes",""))</f>
        <v/>
      </c>
    </row>
    <row r="807">
      <c r="B807" s="22" t="n"/>
      <c r="G807" s="25" t="n"/>
      <c r="H807" s="24">
        <f>IF(AND($F807="TEMP",$G807&gt;0,$M807&lt;&gt;""),$M807+$G807,"")</f>
        <v/>
      </c>
      <c r="I807" s="22" t="n"/>
      <c r="J807" s="22" t="n"/>
      <c r="K807" s="24" t="n"/>
      <c r="W807">
        <f>IF($A2="","",COUNTIF('07_Pallet_Contents'!$A$2:$A$3000,$A2))</f>
        <v/>
      </c>
      <c r="X807">
        <f>IF($A2="","",SUMIF('07_Pallet_Contents'!$A$2:$A$3000,$A2,'07_Pallet_Contents'!$D$2:$D$3000))</f>
        <v/>
      </c>
      <c r="Y807">
        <f>IF($A2="","",SUMIF('07_Pallet_Contents'!$A$2:$A$3000,$A2,'07_Pallet_Contents'!$I$2:$I$3000))</f>
        <v/>
      </c>
      <c r="Z807">
        <f>IF($A2="","",IF(COUNTIF('07_Pallet_Contents'!$A$2:$A$3000,$A2)&gt;0,"Yes",""))</f>
        <v/>
      </c>
    </row>
    <row r="808">
      <c r="B808" s="22" t="n"/>
      <c r="G808" s="25" t="n"/>
      <c r="H808" s="24">
        <f>IF(AND($F808="TEMP",$G808&gt;0,$M808&lt;&gt;""),$M808+$G808,"")</f>
        <v/>
      </c>
      <c r="I808" s="22" t="n"/>
      <c r="J808" s="22" t="n"/>
      <c r="K808" s="24" t="n"/>
      <c r="W808">
        <f>IF($A2="","",COUNTIF('07_Pallet_Contents'!$A$2:$A$3000,$A2))</f>
        <v/>
      </c>
      <c r="X808">
        <f>IF($A2="","",SUMIF('07_Pallet_Contents'!$A$2:$A$3000,$A2,'07_Pallet_Contents'!$D$2:$D$3000))</f>
        <v/>
      </c>
      <c r="Y808">
        <f>IF($A2="","",SUMIF('07_Pallet_Contents'!$A$2:$A$3000,$A2,'07_Pallet_Contents'!$I$2:$I$3000))</f>
        <v/>
      </c>
      <c r="Z808">
        <f>IF($A2="","",IF(COUNTIF('07_Pallet_Contents'!$A$2:$A$3000,$A2)&gt;0,"Yes",""))</f>
        <v/>
      </c>
    </row>
    <row r="809">
      <c r="B809" s="22" t="n"/>
      <c r="G809" s="25" t="n"/>
      <c r="H809" s="24">
        <f>IF(AND($F809="TEMP",$G809&gt;0,$M809&lt;&gt;""),$M809+$G809,"")</f>
        <v/>
      </c>
      <c r="I809" s="22" t="n"/>
      <c r="J809" s="22" t="n"/>
      <c r="K809" s="24" t="n"/>
      <c r="W809">
        <f>IF($A2="","",COUNTIF('07_Pallet_Contents'!$A$2:$A$3000,$A2))</f>
        <v/>
      </c>
      <c r="X809">
        <f>IF($A2="","",SUMIF('07_Pallet_Contents'!$A$2:$A$3000,$A2,'07_Pallet_Contents'!$D$2:$D$3000))</f>
        <v/>
      </c>
      <c r="Y809">
        <f>IF($A2="","",SUMIF('07_Pallet_Contents'!$A$2:$A$3000,$A2,'07_Pallet_Contents'!$I$2:$I$3000))</f>
        <v/>
      </c>
      <c r="Z809">
        <f>IF($A2="","",IF(COUNTIF('07_Pallet_Contents'!$A$2:$A$3000,$A2)&gt;0,"Yes",""))</f>
        <v/>
      </c>
    </row>
    <row r="810">
      <c r="B810" s="22" t="n"/>
      <c r="G810" s="25" t="n"/>
      <c r="H810" s="24">
        <f>IF(AND($F810="TEMP",$G810&gt;0,$M810&lt;&gt;""),$M810+$G810,"")</f>
        <v/>
      </c>
      <c r="I810" s="22" t="n"/>
      <c r="J810" s="22" t="n"/>
      <c r="K810" s="24" t="n"/>
      <c r="W810">
        <f>IF($A2="","",COUNTIF('07_Pallet_Contents'!$A$2:$A$3000,$A2))</f>
        <v/>
      </c>
      <c r="X810">
        <f>IF($A2="","",SUMIF('07_Pallet_Contents'!$A$2:$A$3000,$A2,'07_Pallet_Contents'!$D$2:$D$3000))</f>
        <v/>
      </c>
      <c r="Y810">
        <f>IF($A2="","",SUMIF('07_Pallet_Contents'!$A$2:$A$3000,$A2,'07_Pallet_Contents'!$I$2:$I$3000))</f>
        <v/>
      </c>
      <c r="Z810">
        <f>IF($A2="","",IF(COUNTIF('07_Pallet_Contents'!$A$2:$A$3000,$A2)&gt;0,"Yes",""))</f>
        <v/>
      </c>
    </row>
    <row r="811">
      <c r="B811" s="22" t="n"/>
      <c r="G811" s="25" t="n"/>
      <c r="H811" s="24">
        <f>IF(AND($F811="TEMP",$G811&gt;0,$M811&lt;&gt;""),$M811+$G811,"")</f>
        <v/>
      </c>
      <c r="I811" s="22" t="n"/>
      <c r="J811" s="22" t="n"/>
      <c r="K811" s="24" t="n"/>
      <c r="W811">
        <f>IF($A2="","",COUNTIF('07_Pallet_Contents'!$A$2:$A$3000,$A2))</f>
        <v/>
      </c>
      <c r="X811">
        <f>IF($A2="","",SUMIF('07_Pallet_Contents'!$A$2:$A$3000,$A2,'07_Pallet_Contents'!$D$2:$D$3000))</f>
        <v/>
      </c>
      <c r="Y811">
        <f>IF($A2="","",SUMIF('07_Pallet_Contents'!$A$2:$A$3000,$A2,'07_Pallet_Contents'!$I$2:$I$3000))</f>
        <v/>
      </c>
      <c r="Z811">
        <f>IF($A2="","",IF(COUNTIF('07_Pallet_Contents'!$A$2:$A$3000,$A2)&gt;0,"Yes",""))</f>
        <v/>
      </c>
    </row>
    <row r="812">
      <c r="B812" s="22" t="n"/>
      <c r="G812" s="25" t="n"/>
      <c r="H812" s="24">
        <f>IF(AND($F812="TEMP",$G812&gt;0,$M812&lt;&gt;""),$M812+$G812,"")</f>
        <v/>
      </c>
      <c r="I812" s="22" t="n"/>
      <c r="J812" s="22" t="n"/>
      <c r="K812" s="24" t="n"/>
      <c r="W812">
        <f>IF($A2="","",COUNTIF('07_Pallet_Contents'!$A$2:$A$3000,$A2))</f>
        <v/>
      </c>
      <c r="X812">
        <f>IF($A2="","",SUMIF('07_Pallet_Contents'!$A$2:$A$3000,$A2,'07_Pallet_Contents'!$D$2:$D$3000))</f>
        <v/>
      </c>
      <c r="Y812">
        <f>IF($A2="","",SUMIF('07_Pallet_Contents'!$A$2:$A$3000,$A2,'07_Pallet_Contents'!$I$2:$I$3000))</f>
        <v/>
      </c>
      <c r="Z812">
        <f>IF($A2="","",IF(COUNTIF('07_Pallet_Contents'!$A$2:$A$3000,$A2)&gt;0,"Yes",""))</f>
        <v/>
      </c>
    </row>
    <row r="813">
      <c r="B813" s="22" t="n"/>
      <c r="G813" s="25" t="n"/>
      <c r="H813" s="24">
        <f>IF(AND($F813="TEMP",$G813&gt;0,$M813&lt;&gt;""),$M813+$G813,"")</f>
        <v/>
      </c>
      <c r="I813" s="22" t="n"/>
      <c r="J813" s="22" t="n"/>
      <c r="K813" s="24" t="n"/>
      <c r="W813">
        <f>IF($A2="","",COUNTIF('07_Pallet_Contents'!$A$2:$A$3000,$A2))</f>
        <v/>
      </c>
      <c r="X813">
        <f>IF($A2="","",SUMIF('07_Pallet_Contents'!$A$2:$A$3000,$A2,'07_Pallet_Contents'!$D$2:$D$3000))</f>
        <v/>
      </c>
      <c r="Y813">
        <f>IF($A2="","",SUMIF('07_Pallet_Contents'!$A$2:$A$3000,$A2,'07_Pallet_Contents'!$I$2:$I$3000))</f>
        <v/>
      </c>
      <c r="Z813">
        <f>IF($A2="","",IF(COUNTIF('07_Pallet_Contents'!$A$2:$A$3000,$A2)&gt;0,"Yes",""))</f>
        <v/>
      </c>
    </row>
    <row r="814">
      <c r="B814" s="22" t="n"/>
      <c r="G814" s="25" t="n"/>
      <c r="H814" s="24">
        <f>IF(AND($F814="TEMP",$G814&gt;0,$M814&lt;&gt;""),$M814+$G814,"")</f>
        <v/>
      </c>
      <c r="I814" s="22" t="n"/>
      <c r="J814" s="22" t="n"/>
      <c r="K814" s="24" t="n"/>
      <c r="W814">
        <f>IF($A2="","",COUNTIF('07_Pallet_Contents'!$A$2:$A$3000,$A2))</f>
        <v/>
      </c>
      <c r="X814">
        <f>IF($A2="","",SUMIF('07_Pallet_Contents'!$A$2:$A$3000,$A2,'07_Pallet_Contents'!$D$2:$D$3000))</f>
        <v/>
      </c>
      <c r="Y814">
        <f>IF($A2="","",SUMIF('07_Pallet_Contents'!$A$2:$A$3000,$A2,'07_Pallet_Contents'!$I$2:$I$3000))</f>
        <v/>
      </c>
      <c r="Z814">
        <f>IF($A2="","",IF(COUNTIF('07_Pallet_Contents'!$A$2:$A$3000,$A2)&gt;0,"Yes",""))</f>
        <v/>
      </c>
    </row>
    <row r="815">
      <c r="B815" s="22" t="n"/>
      <c r="G815" s="25" t="n"/>
      <c r="H815" s="24">
        <f>IF(AND($F815="TEMP",$G815&gt;0,$M815&lt;&gt;""),$M815+$G815,"")</f>
        <v/>
      </c>
      <c r="I815" s="22" t="n"/>
      <c r="J815" s="22" t="n"/>
      <c r="K815" s="24" t="n"/>
      <c r="W815">
        <f>IF($A2="","",COUNTIF('07_Pallet_Contents'!$A$2:$A$3000,$A2))</f>
        <v/>
      </c>
      <c r="X815">
        <f>IF($A2="","",SUMIF('07_Pallet_Contents'!$A$2:$A$3000,$A2,'07_Pallet_Contents'!$D$2:$D$3000))</f>
        <v/>
      </c>
      <c r="Y815">
        <f>IF($A2="","",SUMIF('07_Pallet_Contents'!$A$2:$A$3000,$A2,'07_Pallet_Contents'!$I$2:$I$3000))</f>
        <v/>
      </c>
      <c r="Z815">
        <f>IF($A2="","",IF(COUNTIF('07_Pallet_Contents'!$A$2:$A$3000,$A2)&gt;0,"Yes",""))</f>
        <v/>
      </c>
    </row>
    <row r="816">
      <c r="B816" s="22" t="n"/>
      <c r="G816" s="25" t="n"/>
      <c r="H816" s="24">
        <f>IF(AND($F816="TEMP",$G816&gt;0,$M816&lt;&gt;""),$M816+$G816,"")</f>
        <v/>
      </c>
      <c r="I816" s="22" t="n"/>
      <c r="J816" s="22" t="n"/>
      <c r="K816" s="24" t="n"/>
      <c r="W816">
        <f>IF($A2="","",COUNTIF('07_Pallet_Contents'!$A$2:$A$3000,$A2))</f>
        <v/>
      </c>
      <c r="X816">
        <f>IF($A2="","",SUMIF('07_Pallet_Contents'!$A$2:$A$3000,$A2,'07_Pallet_Contents'!$D$2:$D$3000))</f>
        <v/>
      </c>
      <c r="Y816">
        <f>IF($A2="","",SUMIF('07_Pallet_Contents'!$A$2:$A$3000,$A2,'07_Pallet_Contents'!$I$2:$I$3000))</f>
        <v/>
      </c>
      <c r="Z816">
        <f>IF($A2="","",IF(COUNTIF('07_Pallet_Contents'!$A$2:$A$3000,$A2)&gt;0,"Yes",""))</f>
        <v/>
      </c>
    </row>
    <row r="817">
      <c r="B817" s="22" t="n"/>
      <c r="G817" s="25" t="n"/>
      <c r="H817" s="24">
        <f>IF(AND($F817="TEMP",$G817&gt;0,$M817&lt;&gt;""),$M817+$G817,"")</f>
        <v/>
      </c>
      <c r="I817" s="22" t="n"/>
      <c r="J817" s="22" t="n"/>
      <c r="K817" s="24" t="n"/>
      <c r="W817">
        <f>IF($A2="","",COUNTIF('07_Pallet_Contents'!$A$2:$A$3000,$A2))</f>
        <v/>
      </c>
      <c r="X817">
        <f>IF($A2="","",SUMIF('07_Pallet_Contents'!$A$2:$A$3000,$A2,'07_Pallet_Contents'!$D$2:$D$3000))</f>
        <v/>
      </c>
      <c r="Y817">
        <f>IF($A2="","",SUMIF('07_Pallet_Contents'!$A$2:$A$3000,$A2,'07_Pallet_Contents'!$I$2:$I$3000))</f>
        <v/>
      </c>
      <c r="Z817">
        <f>IF($A2="","",IF(COUNTIF('07_Pallet_Contents'!$A$2:$A$3000,$A2)&gt;0,"Yes",""))</f>
        <v/>
      </c>
    </row>
    <row r="818">
      <c r="B818" s="22" t="n"/>
      <c r="G818" s="25" t="n"/>
      <c r="H818" s="24">
        <f>IF(AND($F818="TEMP",$G818&gt;0,$M818&lt;&gt;""),$M818+$G818,"")</f>
        <v/>
      </c>
      <c r="I818" s="22" t="n"/>
      <c r="J818" s="22" t="n"/>
      <c r="K818" s="24" t="n"/>
      <c r="W818">
        <f>IF($A2="","",COUNTIF('07_Pallet_Contents'!$A$2:$A$3000,$A2))</f>
        <v/>
      </c>
      <c r="X818">
        <f>IF($A2="","",SUMIF('07_Pallet_Contents'!$A$2:$A$3000,$A2,'07_Pallet_Contents'!$D$2:$D$3000))</f>
        <v/>
      </c>
      <c r="Y818">
        <f>IF($A2="","",SUMIF('07_Pallet_Contents'!$A$2:$A$3000,$A2,'07_Pallet_Contents'!$I$2:$I$3000))</f>
        <v/>
      </c>
      <c r="Z818">
        <f>IF($A2="","",IF(COUNTIF('07_Pallet_Contents'!$A$2:$A$3000,$A2)&gt;0,"Yes",""))</f>
        <v/>
      </c>
    </row>
    <row r="819">
      <c r="B819" s="22" t="n"/>
      <c r="G819" s="25" t="n"/>
      <c r="H819" s="24">
        <f>IF(AND($F819="TEMP",$G819&gt;0,$M819&lt;&gt;""),$M819+$G819,"")</f>
        <v/>
      </c>
      <c r="I819" s="22" t="n"/>
      <c r="J819" s="22" t="n"/>
      <c r="K819" s="24" t="n"/>
      <c r="W819">
        <f>IF($A2="","",COUNTIF('07_Pallet_Contents'!$A$2:$A$3000,$A2))</f>
        <v/>
      </c>
      <c r="X819">
        <f>IF($A2="","",SUMIF('07_Pallet_Contents'!$A$2:$A$3000,$A2,'07_Pallet_Contents'!$D$2:$D$3000))</f>
        <v/>
      </c>
      <c r="Y819">
        <f>IF($A2="","",SUMIF('07_Pallet_Contents'!$A$2:$A$3000,$A2,'07_Pallet_Contents'!$I$2:$I$3000))</f>
        <v/>
      </c>
      <c r="Z819">
        <f>IF($A2="","",IF(COUNTIF('07_Pallet_Contents'!$A$2:$A$3000,$A2)&gt;0,"Yes",""))</f>
        <v/>
      </c>
    </row>
    <row r="820">
      <c r="B820" s="22" t="n"/>
      <c r="G820" s="25" t="n"/>
      <c r="H820" s="24">
        <f>IF(AND($F820="TEMP",$G820&gt;0,$M820&lt;&gt;""),$M820+$G820,"")</f>
        <v/>
      </c>
      <c r="I820" s="22" t="n"/>
      <c r="J820" s="22" t="n"/>
      <c r="K820" s="24" t="n"/>
      <c r="W820">
        <f>IF($A2="","",COUNTIF('07_Pallet_Contents'!$A$2:$A$3000,$A2))</f>
        <v/>
      </c>
      <c r="X820">
        <f>IF($A2="","",SUMIF('07_Pallet_Contents'!$A$2:$A$3000,$A2,'07_Pallet_Contents'!$D$2:$D$3000))</f>
        <v/>
      </c>
      <c r="Y820">
        <f>IF($A2="","",SUMIF('07_Pallet_Contents'!$A$2:$A$3000,$A2,'07_Pallet_Contents'!$I$2:$I$3000))</f>
        <v/>
      </c>
      <c r="Z820">
        <f>IF($A2="","",IF(COUNTIF('07_Pallet_Contents'!$A$2:$A$3000,$A2)&gt;0,"Yes",""))</f>
        <v/>
      </c>
    </row>
    <row r="821">
      <c r="B821" s="22" t="n"/>
      <c r="G821" s="25" t="n"/>
      <c r="H821" s="24">
        <f>IF(AND($F821="TEMP",$G821&gt;0,$M821&lt;&gt;""),$M821+$G821,"")</f>
        <v/>
      </c>
      <c r="I821" s="22" t="n"/>
      <c r="J821" s="22" t="n"/>
      <c r="K821" s="24" t="n"/>
      <c r="W821">
        <f>IF($A2="","",COUNTIF('07_Pallet_Contents'!$A$2:$A$3000,$A2))</f>
        <v/>
      </c>
      <c r="X821">
        <f>IF($A2="","",SUMIF('07_Pallet_Contents'!$A$2:$A$3000,$A2,'07_Pallet_Contents'!$D$2:$D$3000))</f>
        <v/>
      </c>
      <c r="Y821">
        <f>IF($A2="","",SUMIF('07_Pallet_Contents'!$A$2:$A$3000,$A2,'07_Pallet_Contents'!$I$2:$I$3000))</f>
        <v/>
      </c>
      <c r="Z821">
        <f>IF($A2="","",IF(COUNTIF('07_Pallet_Contents'!$A$2:$A$3000,$A2)&gt;0,"Yes",""))</f>
        <v/>
      </c>
    </row>
    <row r="822">
      <c r="B822" s="22" t="n"/>
      <c r="G822" s="25" t="n"/>
      <c r="H822" s="24">
        <f>IF(AND($F822="TEMP",$G822&gt;0,$M822&lt;&gt;""),$M822+$G822,"")</f>
        <v/>
      </c>
      <c r="I822" s="22" t="n"/>
      <c r="J822" s="22" t="n"/>
      <c r="K822" s="24" t="n"/>
      <c r="W822">
        <f>IF($A2="","",COUNTIF('07_Pallet_Contents'!$A$2:$A$3000,$A2))</f>
        <v/>
      </c>
      <c r="X822">
        <f>IF($A2="","",SUMIF('07_Pallet_Contents'!$A$2:$A$3000,$A2,'07_Pallet_Contents'!$D$2:$D$3000))</f>
        <v/>
      </c>
      <c r="Y822">
        <f>IF($A2="","",SUMIF('07_Pallet_Contents'!$A$2:$A$3000,$A2,'07_Pallet_Contents'!$I$2:$I$3000))</f>
        <v/>
      </c>
      <c r="Z822">
        <f>IF($A2="","",IF(COUNTIF('07_Pallet_Contents'!$A$2:$A$3000,$A2)&gt;0,"Yes",""))</f>
        <v/>
      </c>
    </row>
    <row r="823">
      <c r="B823" s="22" t="n"/>
      <c r="G823" s="25" t="n"/>
      <c r="H823" s="24">
        <f>IF(AND($F823="TEMP",$G823&gt;0,$M823&lt;&gt;""),$M823+$G823,"")</f>
        <v/>
      </c>
      <c r="I823" s="22" t="n"/>
      <c r="J823" s="22" t="n"/>
      <c r="K823" s="24" t="n"/>
      <c r="W823">
        <f>IF($A2="","",COUNTIF('07_Pallet_Contents'!$A$2:$A$3000,$A2))</f>
        <v/>
      </c>
      <c r="X823">
        <f>IF($A2="","",SUMIF('07_Pallet_Contents'!$A$2:$A$3000,$A2,'07_Pallet_Contents'!$D$2:$D$3000))</f>
        <v/>
      </c>
      <c r="Y823">
        <f>IF($A2="","",SUMIF('07_Pallet_Contents'!$A$2:$A$3000,$A2,'07_Pallet_Contents'!$I$2:$I$3000))</f>
        <v/>
      </c>
      <c r="Z823">
        <f>IF($A2="","",IF(COUNTIF('07_Pallet_Contents'!$A$2:$A$3000,$A2)&gt;0,"Yes",""))</f>
        <v/>
      </c>
    </row>
    <row r="824">
      <c r="B824" s="22" t="n"/>
      <c r="G824" s="25" t="n"/>
      <c r="H824" s="24">
        <f>IF(AND($F824="TEMP",$G824&gt;0,$M824&lt;&gt;""),$M824+$G824,"")</f>
        <v/>
      </c>
      <c r="I824" s="22" t="n"/>
      <c r="J824" s="22" t="n"/>
      <c r="K824" s="24" t="n"/>
      <c r="W824">
        <f>IF($A2="","",COUNTIF('07_Pallet_Contents'!$A$2:$A$3000,$A2))</f>
        <v/>
      </c>
      <c r="X824">
        <f>IF($A2="","",SUMIF('07_Pallet_Contents'!$A$2:$A$3000,$A2,'07_Pallet_Contents'!$D$2:$D$3000))</f>
        <v/>
      </c>
      <c r="Y824">
        <f>IF($A2="","",SUMIF('07_Pallet_Contents'!$A$2:$A$3000,$A2,'07_Pallet_Contents'!$I$2:$I$3000))</f>
        <v/>
      </c>
      <c r="Z824">
        <f>IF($A2="","",IF(COUNTIF('07_Pallet_Contents'!$A$2:$A$3000,$A2)&gt;0,"Yes",""))</f>
        <v/>
      </c>
    </row>
    <row r="825">
      <c r="B825" s="22" t="n"/>
      <c r="G825" s="25" t="n"/>
      <c r="H825" s="24">
        <f>IF(AND($F825="TEMP",$G825&gt;0,$M825&lt;&gt;""),$M825+$G825,"")</f>
        <v/>
      </c>
      <c r="I825" s="22" t="n"/>
      <c r="J825" s="22" t="n"/>
      <c r="K825" s="24" t="n"/>
      <c r="W825">
        <f>IF($A2="","",COUNTIF('07_Pallet_Contents'!$A$2:$A$3000,$A2))</f>
        <v/>
      </c>
      <c r="X825">
        <f>IF($A2="","",SUMIF('07_Pallet_Contents'!$A$2:$A$3000,$A2,'07_Pallet_Contents'!$D$2:$D$3000))</f>
        <v/>
      </c>
      <c r="Y825">
        <f>IF($A2="","",SUMIF('07_Pallet_Contents'!$A$2:$A$3000,$A2,'07_Pallet_Contents'!$I$2:$I$3000))</f>
        <v/>
      </c>
      <c r="Z825">
        <f>IF($A2="","",IF(COUNTIF('07_Pallet_Contents'!$A$2:$A$3000,$A2)&gt;0,"Yes",""))</f>
        <v/>
      </c>
    </row>
    <row r="826">
      <c r="B826" s="22" t="n"/>
      <c r="G826" s="25" t="n"/>
      <c r="H826" s="24">
        <f>IF(AND($F826="TEMP",$G826&gt;0,$M826&lt;&gt;""),$M826+$G826,"")</f>
        <v/>
      </c>
      <c r="I826" s="22" t="n"/>
      <c r="J826" s="22" t="n"/>
      <c r="K826" s="24" t="n"/>
      <c r="W826">
        <f>IF($A2="","",COUNTIF('07_Pallet_Contents'!$A$2:$A$3000,$A2))</f>
        <v/>
      </c>
      <c r="X826">
        <f>IF($A2="","",SUMIF('07_Pallet_Contents'!$A$2:$A$3000,$A2,'07_Pallet_Contents'!$D$2:$D$3000))</f>
        <v/>
      </c>
      <c r="Y826">
        <f>IF($A2="","",SUMIF('07_Pallet_Contents'!$A$2:$A$3000,$A2,'07_Pallet_Contents'!$I$2:$I$3000))</f>
        <v/>
      </c>
      <c r="Z826">
        <f>IF($A2="","",IF(COUNTIF('07_Pallet_Contents'!$A$2:$A$3000,$A2)&gt;0,"Yes",""))</f>
        <v/>
      </c>
    </row>
    <row r="827">
      <c r="B827" s="22" t="n"/>
      <c r="G827" s="25" t="n"/>
      <c r="H827" s="24">
        <f>IF(AND($F827="TEMP",$G827&gt;0,$M827&lt;&gt;""),$M827+$G827,"")</f>
        <v/>
      </c>
      <c r="I827" s="22" t="n"/>
      <c r="J827" s="22" t="n"/>
      <c r="K827" s="24" t="n"/>
      <c r="W827">
        <f>IF($A2="","",COUNTIF('07_Pallet_Contents'!$A$2:$A$3000,$A2))</f>
        <v/>
      </c>
      <c r="X827">
        <f>IF($A2="","",SUMIF('07_Pallet_Contents'!$A$2:$A$3000,$A2,'07_Pallet_Contents'!$D$2:$D$3000))</f>
        <v/>
      </c>
      <c r="Y827">
        <f>IF($A2="","",SUMIF('07_Pallet_Contents'!$A$2:$A$3000,$A2,'07_Pallet_Contents'!$I$2:$I$3000))</f>
        <v/>
      </c>
      <c r="Z827">
        <f>IF($A2="","",IF(COUNTIF('07_Pallet_Contents'!$A$2:$A$3000,$A2)&gt;0,"Yes",""))</f>
        <v/>
      </c>
    </row>
    <row r="828">
      <c r="B828" s="22" t="n"/>
      <c r="G828" s="25" t="n"/>
      <c r="H828" s="24">
        <f>IF(AND($F828="TEMP",$G828&gt;0,$M828&lt;&gt;""),$M828+$G828,"")</f>
        <v/>
      </c>
      <c r="I828" s="22" t="n"/>
      <c r="J828" s="22" t="n"/>
      <c r="K828" s="24" t="n"/>
      <c r="W828">
        <f>IF($A2="","",COUNTIF('07_Pallet_Contents'!$A$2:$A$3000,$A2))</f>
        <v/>
      </c>
      <c r="X828">
        <f>IF($A2="","",SUMIF('07_Pallet_Contents'!$A$2:$A$3000,$A2,'07_Pallet_Contents'!$D$2:$D$3000))</f>
        <v/>
      </c>
      <c r="Y828">
        <f>IF($A2="","",SUMIF('07_Pallet_Contents'!$A$2:$A$3000,$A2,'07_Pallet_Contents'!$I$2:$I$3000))</f>
        <v/>
      </c>
      <c r="Z828">
        <f>IF($A2="","",IF(COUNTIF('07_Pallet_Contents'!$A$2:$A$3000,$A2)&gt;0,"Yes",""))</f>
        <v/>
      </c>
    </row>
    <row r="829">
      <c r="B829" s="22" t="n"/>
      <c r="G829" s="25" t="n"/>
      <c r="H829" s="24">
        <f>IF(AND($F829="TEMP",$G829&gt;0,$M829&lt;&gt;""),$M829+$G829,"")</f>
        <v/>
      </c>
      <c r="I829" s="22" t="n"/>
      <c r="J829" s="22" t="n"/>
      <c r="K829" s="24" t="n"/>
      <c r="W829">
        <f>IF($A2="","",COUNTIF('07_Pallet_Contents'!$A$2:$A$3000,$A2))</f>
        <v/>
      </c>
      <c r="X829">
        <f>IF($A2="","",SUMIF('07_Pallet_Contents'!$A$2:$A$3000,$A2,'07_Pallet_Contents'!$D$2:$D$3000))</f>
        <v/>
      </c>
      <c r="Y829">
        <f>IF($A2="","",SUMIF('07_Pallet_Contents'!$A$2:$A$3000,$A2,'07_Pallet_Contents'!$I$2:$I$3000))</f>
        <v/>
      </c>
      <c r="Z829">
        <f>IF($A2="","",IF(COUNTIF('07_Pallet_Contents'!$A$2:$A$3000,$A2)&gt;0,"Yes",""))</f>
        <v/>
      </c>
    </row>
    <row r="830">
      <c r="B830" s="22" t="n"/>
      <c r="G830" s="25" t="n"/>
      <c r="H830" s="24">
        <f>IF(AND($F830="TEMP",$G830&gt;0,$M830&lt;&gt;""),$M830+$G830,"")</f>
        <v/>
      </c>
      <c r="I830" s="22" t="n"/>
      <c r="J830" s="22" t="n"/>
      <c r="K830" s="24" t="n"/>
      <c r="W830">
        <f>IF($A2="","",COUNTIF('07_Pallet_Contents'!$A$2:$A$3000,$A2))</f>
        <v/>
      </c>
      <c r="X830">
        <f>IF($A2="","",SUMIF('07_Pallet_Contents'!$A$2:$A$3000,$A2,'07_Pallet_Contents'!$D$2:$D$3000))</f>
        <v/>
      </c>
      <c r="Y830">
        <f>IF($A2="","",SUMIF('07_Pallet_Contents'!$A$2:$A$3000,$A2,'07_Pallet_Contents'!$I$2:$I$3000))</f>
        <v/>
      </c>
      <c r="Z830">
        <f>IF($A2="","",IF(COUNTIF('07_Pallet_Contents'!$A$2:$A$3000,$A2)&gt;0,"Yes",""))</f>
        <v/>
      </c>
    </row>
    <row r="831">
      <c r="B831" s="22" t="n"/>
      <c r="G831" s="25" t="n"/>
      <c r="H831" s="24">
        <f>IF(AND($F831="TEMP",$G831&gt;0,$M831&lt;&gt;""),$M831+$G831,"")</f>
        <v/>
      </c>
      <c r="I831" s="22" t="n"/>
      <c r="J831" s="22" t="n"/>
      <c r="K831" s="24" t="n"/>
      <c r="W831">
        <f>IF($A2="","",COUNTIF('07_Pallet_Contents'!$A$2:$A$3000,$A2))</f>
        <v/>
      </c>
      <c r="X831">
        <f>IF($A2="","",SUMIF('07_Pallet_Contents'!$A$2:$A$3000,$A2,'07_Pallet_Contents'!$D$2:$D$3000))</f>
        <v/>
      </c>
      <c r="Y831">
        <f>IF($A2="","",SUMIF('07_Pallet_Contents'!$A$2:$A$3000,$A2,'07_Pallet_Contents'!$I$2:$I$3000))</f>
        <v/>
      </c>
      <c r="Z831">
        <f>IF($A2="","",IF(COUNTIF('07_Pallet_Contents'!$A$2:$A$3000,$A2)&gt;0,"Yes",""))</f>
        <v/>
      </c>
    </row>
    <row r="832">
      <c r="B832" s="22" t="n"/>
      <c r="G832" s="25" t="n"/>
      <c r="H832" s="24">
        <f>IF(AND($F832="TEMP",$G832&gt;0,$M832&lt;&gt;""),$M832+$G832,"")</f>
        <v/>
      </c>
      <c r="I832" s="22" t="n"/>
      <c r="J832" s="22" t="n"/>
      <c r="K832" s="24" t="n"/>
      <c r="W832">
        <f>IF($A2="","",COUNTIF('07_Pallet_Contents'!$A$2:$A$3000,$A2))</f>
        <v/>
      </c>
      <c r="X832">
        <f>IF($A2="","",SUMIF('07_Pallet_Contents'!$A$2:$A$3000,$A2,'07_Pallet_Contents'!$D$2:$D$3000))</f>
        <v/>
      </c>
      <c r="Y832">
        <f>IF($A2="","",SUMIF('07_Pallet_Contents'!$A$2:$A$3000,$A2,'07_Pallet_Contents'!$I$2:$I$3000))</f>
        <v/>
      </c>
      <c r="Z832">
        <f>IF($A2="","",IF(COUNTIF('07_Pallet_Contents'!$A$2:$A$3000,$A2)&gt;0,"Yes",""))</f>
        <v/>
      </c>
    </row>
    <row r="833">
      <c r="B833" s="22" t="n"/>
      <c r="G833" s="25" t="n"/>
      <c r="H833" s="24">
        <f>IF(AND($F833="TEMP",$G833&gt;0,$M833&lt;&gt;""),$M833+$G833,"")</f>
        <v/>
      </c>
      <c r="I833" s="22" t="n"/>
      <c r="J833" s="22" t="n"/>
      <c r="K833" s="24" t="n"/>
      <c r="W833">
        <f>IF($A2="","",COUNTIF('07_Pallet_Contents'!$A$2:$A$3000,$A2))</f>
        <v/>
      </c>
      <c r="X833">
        <f>IF($A2="","",SUMIF('07_Pallet_Contents'!$A$2:$A$3000,$A2,'07_Pallet_Contents'!$D$2:$D$3000))</f>
        <v/>
      </c>
      <c r="Y833">
        <f>IF($A2="","",SUMIF('07_Pallet_Contents'!$A$2:$A$3000,$A2,'07_Pallet_Contents'!$I$2:$I$3000))</f>
        <v/>
      </c>
      <c r="Z833">
        <f>IF($A2="","",IF(COUNTIF('07_Pallet_Contents'!$A$2:$A$3000,$A2)&gt;0,"Yes",""))</f>
        <v/>
      </c>
    </row>
    <row r="834">
      <c r="B834" s="22" t="n"/>
      <c r="G834" s="25" t="n"/>
      <c r="H834" s="24">
        <f>IF(AND($F834="TEMP",$G834&gt;0,$M834&lt;&gt;""),$M834+$G834,"")</f>
        <v/>
      </c>
      <c r="I834" s="22" t="n"/>
      <c r="J834" s="22" t="n"/>
      <c r="K834" s="24" t="n"/>
      <c r="W834">
        <f>IF($A2="","",COUNTIF('07_Pallet_Contents'!$A$2:$A$3000,$A2))</f>
        <v/>
      </c>
      <c r="X834">
        <f>IF($A2="","",SUMIF('07_Pallet_Contents'!$A$2:$A$3000,$A2,'07_Pallet_Contents'!$D$2:$D$3000))</f>
        <v/>
      </c>
      <c r="Y834">
        <f>IF($A2="","",SUMIF('07_Pallet_Contents'!$A$2:$A$3000,$A2,'07_Pallet_Contents'!$I$2:$I$3000))</f>
        <v/>
      </c>
      <c r="Z834">
        <f>IF($A2="","",IF(COUNTIF('07_Pallet_Contents'!$A$2:$A$3000,$A2)&gt;0,"Yes",""))</f>
        <v/>
      </c>
    </row>
    <row r="835">
      <c r="B835" s="22" t="n"/>
      <c r="G835" s="25" t="n"/>
      <c r="H835" s="24">
        <f>IF(AND($F835="TEMP",$G835&gt;0,$M835&lt;&gt;""),$M835+$G835,"")</f>
        <v/>
      </c>
      <c r="I835" s="22" t="n"/>
      <c r="J835" s="22" t="n"/>
      <c r="K835" s="24" t="n"/>
      <c r="W835">
        <f>IF($A2="","",COUNTIF('07_Pallet_Contents'!$A$2:$A$3000,$A2))</f>
        <v/>
      </c>
      <c r="X835">
        <f>IF($A2="","",SUMIF('07_Pallet_Contents'!$A$2:$A$3000,$A2,'07_Pallet_Contents'!$D$2:$D$3000))</f>
        <v/>
      </c>
      <c r="Y835">
        <f>IF($A2="","",SUMIF('07_Pallet_Contents'!$A$2:$A$3000,$A2,'07_Pallet_Contents'!$I$2:$I$3000))</f>
        <v/>
      </c>
      <c r="Z835">
        <f>IF($A2="","",IF(COUNTIF('07_Pallet_Contents'!$A$2:$A$3000,$A2)&gt;0,"Yes",""))</f>
        <v/>
      </c>
    </row>
    <row r="836">
      <c r="B836" s="22" t="n"/>
      <c r="G836" s="25" t="n"/>
      <c r="H836" s="24">
        <f>IF(AND($F836="TEMP",$G836&gt;0,$M836&lt;&gt;""),$M836+$G836,"")</f>
        <v/>
      </c>
      <c r="I836" s="22" t="n"/>
      <c r="J836" s="22" t="n"/>
      <c r="K836" s="24" t="n"/>
      <c r="W836">
        <f>IF($A2="","",COUNTIF('07_Pallet_Contents'!$A$2:$A$3000,$A2))</f>
        <v/>
      </c>
      <c r="X836">
        <f>IF($A2="","",SUMIF('07_Pallet_Contents'!$A$2:$A$3000,$A2,'07_Pallet_Contents'!$D$2:$D$3000))</f>
        <v/>
      </c>
      <c r="Y836">
        <f>IF($A2="","",SUMIF('07_Pallet_Contents'!$A$2:$A$3000,$A2,'07_Pallet_Contents'!$I$2:$I$3000))</f>
        <v/>
      </c>
      <c r="Z836">
        <f>IF($A2="","",IF(COUNTIF('07_Pallet_Contents'!$A$2:$A$3000,$A2)&gt;0,"Yes",""))</f>
        <v/>
      </c>
    </row>
    <row r="837">
      <c r="B837" s="22" t="n"/>
      <c r="G837" s="25" t="n"/>
      <c r="H837" s="24">
        <f>IF(AND($F837="TEMP",$G837&gt;0,$M837&lt;&gt;""),$M837+$G837,"")</f>
        <v/>
      </c>
      <c r="I837" s="22" t="n"/>
      <c r="J837" s="22" t="n"/>
      <c r="K837" s="24" t="n"/>
      <c r="W837">
        <f>IF($A2="","",COUNTIF('07_Pallet_Contents'!$A$2:$A$3000,$A2))</f>
        <v/>
      </c>
      <c r="X837">
        <f>IF($A2="","",SUMIF('07_Pallet_Contents'!$A$2:$A$3000,$A2,'07_Pallet_Contents'!$D$2:$D$3000))</f>
        <v/>
      </c>
      <c r="Y837">
        <f>IF($A2="","",SUMIF('07_Pallet_Contents'!$A$2:$A$3000,$A2,'07_Pallet_Contents'!$I$2:$I$3000))</f>
        <v/>
      </c>
      <c r="Z837">
        <f>IF($A2="","",IF(COUNTIF('07_Pallet_Contents'!$A$2:$A$3000,$A2)&gt;0,"Yes",""))</f>
        <v/>
      </c>
    </row>
    <row r="838">
      <c r="B838" s="22" t="n"/>
      <c r="G838" s="25" t="n"/>
      <c r="H838" s="24">
        <f>IF(AND($F838="TEMP",$G838&gt;0,$M838&lt;&gt;""),$M838+$G838,"")</f>
        <v/>
      </c>
      <c r="I838" s="22" t="n"/>
      <c r="J838" s="22" t="n"/>
      <c r="K838" s="24" t="n"/>
      <c r="W838">
        <f>IF($A2="","",COUNTIF('07_Pallet_Contents'!$A$2:$A$3000,$A2))</f>
        <v/>
      </c>
      <c r="X838">
        <f>IF($A2="","",SUMIF('07_Pallet_Contents'!$A$2:$A$3000,$A2,'07_Pallet_Contents'!$D$2:$D$3000))</f>
        <v/>
      </c>
      <c r="Y838">
        <f>IF($A2="","",SUMIF('07_Pallet_Contents'!$A$2:$A$3000,$A2,'07_Pallet_Contents'!$I$2:$I$3000))</f>
        <v/>
      </c>
      <c r="Z838">
        <f>IF($A2="","",IF(COUNTIF('07_Pallet_Contents'!$A$2:$A$3000,$A2)&gt;0,"Yes",""))</f>
        <v/>
      </c>
    </row>
    <row r="839">
      <c r="B839" s="22" t="n"/>
      <c r="G839" s="25" t="n"/>
      <c r="H839" s="24">
        <f>IF(AND($F839="TEMP",$G839&gt;0,$M839&lt;&gt;""),$M839+$G839,"")</f>
        <v/>
      </c>
      <c r="I839" s="22" t="n"/>
      <c r="J839" s="22" t="n"/>
      <c r="K839" s="24" t="n"/>
      <c r="W839">
        <f>IF($A2="","",COUNTIF('07_Pallet_Contents'!$A$2:$A$3000,$A2))</f>
        <v/>
      </c>
      <c r="X839">
        <f>IF($A2="","",SUMIF('07_Pallet_Contents'!$A$2:$A$3000,$A2,'07_Pallet_Contents'!$D$2:$D$3000))</f>
        <v/>
      </c>
      <c r="Y839">
        <f>IF($A2="","",SUMIF('07_Pallet_Contents'!$A$2:$A$3000,$A2,'07_Pallet_Contents'!$I$2:$I$3000))</f>
        <v/>
      </c>
      <c r="Z839">
        <f>IF($A2="","",IF(COUNTIF('07_Pallet_Contents'!$A$2:$A$3000,$A2)&gt;0,"Yes",""))</f>
        <v/>
      </c>
    </row>
    <row r="840">
      <c r="B840" s="22" t="n"/>
      <c r="G840" s="25" t="n"/>
      <c r="H840" s="24">
        <f>IF(AND($F840="TEMP",$G840&gt;0,$M840&lt;&gt;""),$M840+$G840,"")</f>
        <v/>
      </c>
      <c r="I840" s="22" t="n"/>
      <c r="J840" s="22" t="n"/>
      <c r="K840" s="24" t="n"/>
      <c r="W840">
        <f>IF($A2="","",COUNTIF('07_Pallet_Contents'!$A$2:$A$3000,$A2))</f>
        <v/>
      </c>
      <c r="X840">
        <f>IF($A2="","",SUMIF('07_Pallet_Contents'!$A$2:$A$3000,$A2,'07_Pallet_Contents'!$D$2:$D$3000))</f>
        <v/>
      </c>
      <c r="Y840">
        <f>IF($A2="","",SUMIF('07_Pallet_Contents'!$A$2:$A$3000,$A2,'07_Pallet_Contents'!$I$2:$I$3000))</f>
        <v/>
      </c>
      <c r="Z840">
        <f>IF($A2="","",IF(COUNTIF('07_Pallet_Contents'!$A$2:$A$3000,$A2)&gt;0,"Yes",""))</f>
        <v/>
      </c>
    </row>
    <row r="841">
      <c r="B841" s="22" t="n"/>
      <c r="G841" s="25" t="n"/>
      <c r="H841" s="24">
        <f>IF(AND($F841="TEMP",$G841&gt;0,$M841&lt;&gt;""),$M841+$G841,"")</f>
        <v/>
      </c>
      <c r="I841" s="22" t="n"/>
      <c r="J841" s="22" t="n"/>
      <c r="K841" s="24" t="n"/>
      <c r="W841">
        <f>IF($A2="","",COUNTIF('07_Pallet_Contents'!$A$2:$A$3000,$A2))</f>
        <v/>
      </c>
      <c r="X841">
        <f>IF($A2="","",SUMIF('07_Pallet_Contents'!$A$2:$A$3000,$A2,'07_Pallet_Contents'!$D$2:$D$3000))</f>
        <v/>
      </c>
      <c r="Y841">
        <f>IF($A2="","",SUMIF('07_Pallet_Contents'!$A$2:$A$3000,$A2,'07_Pallet_Contents'!$I$2:$I$3000))</f>
        <v/>
      </c>
      <c r="Z841">
        <f>IF($A2="","",IF(COUNTIF('07_Pallet_Contents'!$A$2:$A$3000,$A2)&gt;0,"Yes",""))</f>
        <v/>
      </c>
    </row>
    <row r="842">
      <c r="B842" s="22" t="n"/>
      <c r="G842" s="25" t="n"/>
      <c r="H842" s="24">
        <f>IF(AND($F842="TEMP",$G842&gt;0,$M842&lt;&gt;""),$M842+$G842,"")</f>
        <v/>
      </c>
      <c r="I842" s="22" t="n"/>
      <c r="J842" s="22" t="n"/>
      <c r="K842" s="24" t="n"/>
      <c r="W842">
        <f>IF($A2="","",COUNTIF('07_Pallet_Contents'!$A$2:$A$3000,$A2))</f>
        <v/>
      </c>
      <c r="X842">
        <f>IF($A2="","",SUMIF('07_Pallet_Contents'!$A$2:$A$3000,$A2,'07_Pallet_Contents'!$D$2:$D$3000))</f>
        <v/>
      </c>
      <c r="Y842">
        <f>IF($A2="","",SUMIF('07_Pallet_Contents'!$A$2:$A$3000,$A2,'07_Pallet_Contents'!$I$2:$I$3000))</f>
        <v/>
      </c>
      <c r="Z842">
        <f>IF($A2="","",IF(COUNTIF('07_Pallet_Contents'!$A$2:$A$3000,$A2)&gt;0,"Yes",""))</f>
        <v/>
      </c>
    </row>
    <row r="843">
      <c r="B843" s="22" t="n"/>
      <c r="G843" s="25" t="n"/>
      <c r="H843" s="24">
        <f>IF(AND($F843="TEMP",$G843&gt;0,$M843&lt;&gt;""),$M843+$G843,"")</f>
        <v/>
      </c>
      <c r="I843" s="22" t="n"/>
      <c r="J843" s="22" t="n"/>
      <c r="K843" s="24" t="n"/>
      <c r="W843">
        <f>IF($A2="","",COUNTIF('07_Pallet_Contents'!$A$2:$A$3000,$A2))</f>
        <v/>
      </c>
      <c r="X843">
        <f>IF($A2="","",SUMIF('07_Pallet_Contents'!$A$2:$A$3000,$A2,'07_Pallet_Contents'!$D$2:$D$3000))</f>
        <v/>
      </c>
      <c r="Y843">
        <f>IF($A2="","",SUMIF('07_Pallet_Contents'!$A$2:$A$3000,$A2,'07_Pallet_Contents'!$I$2:$I$3000))</f>
        <v/>
      </c>
      <c r="Z843">
        <f>IF($A2="","",IF(COUNTIF('07_Pallet_Contents'!$A$2:$A$3000,$A2)&gt;0,"Yes",""))</f>
        <v/>
      </c>
    </row>
    <row r="844">
      <c r="B844" s="22" t="n"/>
      <c r="G844" s="25" t="n"/>
      <c r="H844" s="24">
        <f>IF(AND($F844="TEMP",$G844&gt;0,$M844&lt;&gt;""),$M844+$G844,"")</f>
        <v/>
      </c>
      <c r="I844" s="22" t="n"/>
      <c r="J844" s="22" t="n"/>
      <c r="K844" s="24" t="n"/>
      <c r="W844">
        <f>IF($A2="","",COUNTIF('07_Pallet_Contents'!$A$2:$A$3000,$A2))</f>
        <v/>
      </c>
      <c r="X844">
        <f>IF($A2="","",SUMIF('07_Pallet_Contents'!$A$2:$A$3000,$A2,'07_Pallet_Contents'!$D$2:$D$3000))</f>
        <v/>
      </c>
      <c r="Y844">
        <f>IF($A2="","",SUMIF('07_Pallet_Contents'!$A$2:$A$3000,$A2,'07_Pallet_Contents'!$I$2:$I$3000))</f>
        <v/>
      </c>
      <c r="Z844">
        <f>IF($A2="","",IF(COUNTIF('07_Pallet_Contents'!$A$2:$A$3000,$A2)&gt;0,"Yes",""))</f>
        <v/>
      </c>
    </row>
    <row r="845">
      <c r="B845" s="22" t="n"/>
      <c r="G845" s="25" t="n"/>
      <c r="H845" s="24">
        <f>IF(AND($F845="TEMP",$G845&gt;0,$M845&lt;&gt;""),$M845+$G845,"")</f>
        <v/>
      </c>
      <c r="I845" s="22" t="n"/>
      <c r="J845" s="22" t="n"/>
      <c r="K845" s="24" t="n"/>
      <c r="W845">
        <f>IF($A2="","",COUNTIF('07_Pallet_Contents'!$A$2:$A$3000,$A2))</f>
        <v/>
      </c>
      <c r="X845">
        <f>IF($A2="","",SUMIF('07_Pallet_Contents'!$A$2:$A$3000,$A2,'07_Pallet_Contents'!$D$2:$D$3000))</f>
        <v/>
      </c>
      <c r="Y845">
        <f>IF($A2="","",SUMIF('07_Pallet_Contents'!$A$2:$A$3000,$A2,'07_Pallet_Contents'!$I$2:$I$3000))</f>
        <v/>
      </c>
      <c r="Z845">
        <f>IF($A2="","",IF(COUNTIF('07_Pallet_Contents'!$A$2:$A$3000,$A2)&gt;0,"Yes",""))</f>
        <v/>
      </c>
    </row>
    <row r="846">
      <c r="B846" s="22" t="n"/>
      <c r="G846" s="25" t="n"/>
      <c r="H846" s="24">
        <f>IF(AND($F846="TEMP",$G846&gt;0,$M846&lt;&gt;""),$M846+$G846,"")</f>
        <v/>
      </c>
      <c r="I846" s="22" t="n"/>
      <c r="J846" s="22" t="n"/>
      <c r="K846" s="24" t="n"/>
      <c r="W846">
        <f>IF($A2="","",COUNTIF('07_Pallet_Contents'!$A$2:$A$3000,$A2))</f>
        <v/>
      </c>
      <c r="X846">
        <f>IF($A2="","",SUMIF('07_Pallet_Contents'!$A$2:$A$3000,$A2,'07_Pallet_Contents'!$D$2:$D$3000))</f>
        <v/>
      </c>
      <c r="Y846">
        <f>IF($A2="","",SUMIF('07_Pallet_Contents'!$A$2:$A$3000,$A2,'07_Pallet_Contents'!$I$2:$I$3000))</f>
        <v/>
      </c>
      <c r="Z846">
        <f>IF($A2="","",IF(COUNTIF('07_Pallet_Contents'!$A$2:$A$3000,$A2)&gt;0,"Yes",""))</f>
        <v/>
      </c>
    </row>
    <row r="847">
      <c r="B847" s="22" t="n"/>
      <c r="G847" s="25" t="n"/>
      <c r="H847" s="24">
        <f>IF(AND($F847="TEMP",$G847&gt;0,$M847&lt;&gt;""),$M847+$G847,"")</f>
        <v/>
      </c>
      <c r="I847" s="22" t="n"/>
      <c r="J847" s="22" t="n"/>
      <c r="K847" s="24" t="n"/>
      <c r="W847">
        <f>IF($A2="","",COUNTIF('07_Pallet_Contents'!$A$2:$A$3000,$A2))</f>
        <v/>
      </c>
      <c r="X847">
        <f>IF($A2="","",SUMIF('07_Pallet_Contents'!$A$2:$A$3000,$A2,'07_Pallet_Contents'!$D$2:$D$3000))</f>
        <v/>
      </c>
      <c r="Y847">
        <f>IF($A2="","",SUMIF('07_Pallet_Contents'!$A$2:$A$3000,$A2,'07_Pallet_Contents'!$I$2:$I$3000))</f>
        <v/>
      </c>
      <c r="Z847">
        <f>IF($A2="","",IF(COUNTIF('07_Pallet_Contents'!$A$2:$A$3000,$A2)&gt;0,"Yes",""))</f>
        <v/>
      </c>
    </row>
    <row r="848">
      <c r="B848" s="22" t="n"/>
      <c r="G848" s="25" t="n"/>
      <c r="H848" s="24">
        <f>IF(AND($F848="TEMP",$G848&gt;0,$M848&lt;&gt;""),$M848+$G848,"")</f>
        <v/>
      </c>
      <c r="I848" s="22" t="n"/>
      <c r="J848" s="22" t="n"/>
      <c r="K848" s="24" t="n"/>
      <c r="W848">
        <f>IF($A2="","",COUNTIF('07_Pallet_Contents'!$A$2:$A$3000,$A2))</f>
        <v/>
      </c>
      <c r="X848">
        <f>IF($A2="","",SUMIF('07_Pallet_Contents'!$A$2:$A$3000,$A2,'07_Pallet_Contents'!$D$2:$D$3000))</f>
        <v/>
      </c>
      <c r="Y848">
        <f>IF($A2="","",SUMIF('07_Pallet_Contents'!$A$2:$A$3000,$A2,'07_Pallet_Contents'!$I$2:$I$3000))</f>
        <v/>
      </c>
      <c r="Z848">
        <f>IF($A2="","",IF(COUNTIF('07_Pallet_Contents'!$A$2:$A$3000,$A2)&gt;0,"Yes",""))</f>
        <v/>
      </c>
    </row>
    <row r="849">
      <c r="B849" s="22" t="n"/>
      <c r="G849" s="25" t="n"/>
      <c r="H849" s="24">
        <f>IF(AND($F849="TEMP",$G849&gt;0,$M849&lt;&gt;""),$M849+$G849,"")</f>
        <v/>
      </c>
      <c r="I849" s="22" t="n"/>
      <c r="J849" s="22" t="n"/>
      <c r="K849" s="24" t="n"/>
      <c r="W849">
        <f>IF($A2="","",COUNTIF('07_Pallet_Contents'!$A$2:$A$3000,$A2))</f>
        <v/>
      </c>
      <c r="X849">
        <f>IF($A2="","",SUMIF('07_Pallet_Contents'!$A$2:$A$3000,$A2,'07_Pallet_Contents'!$D$2:$D$3000))</f>
        <v/>
      </c>
      <c r="Y849">
        <f>IF($A2="","",SUMIF('07_Pallet_Contents'!$A$2:$A$3000,$A2,'07_Pallet_Contents'!$I$2:$I$3000))</f>
        <v/>
      </c>
      <c r="Z849">
        <f>IF($A2="","",IF(COUNTIF('07_Pallet_Contents'!$A$2:$A$3000,$A2)&gt;0,"Yes",""))</f>
        <v/>
      </c>
    </row>
    <row r="850">
      <c r="B850" s="22" t="n"/>
      <c r="G850" s="25" t="n"/>
      <c r="H850" s="24">
        <f>IF(AND($F850="TEMP",$G850&gt;0,$M850&lt;&gt;""),$M850+$G850,"")</f>
        <v/>
      </c>
      <c r="I850" s="22" t="n"/>
      <c r="J850" s="22" t="n"/>
      <c r="K850" s="24" t="n"/>
      <c r="W850">
        <f>IF($A2="","",COUNTIF('07_Pallet_Contents'!$A$2:$A$3000,$A2))</f>
        <v/>
      </c>
      <c r="X850">
        <f>IF($A2="","",SUMIF('07_Pallet_Contents'!$A$2:$A$3000,$A2,'07_Pallet_Contents'!$D$2:$D$3000))</f>
        <v/>
      </c>
      <c r="Y850">
        <f>IF($A2="","",SUMIF('07_Pallet_Contents'!$A$2:$A$3000,$A2,'07_Pallet_Contents'!$I$2:$I$3000))</f>
        <v/>
      </c>
      <c r="Z850">
        <f>IF($A2="","",IF(COUNTIF('07_Pallet_Contents'!$A$2:$A$3000,$A2)&gt;0,"Yes",""))</f>
        <v/>
      </c>
    </row>
    <row r="851">
      <c r="B851" s="22" t="n"/>
      <c r="G851" s="25" t="n"/>
      <c r="H851" s="24">
        <f>IF(AND($F851="TEMP",$G851&gt;0,$M851&lt;&gt;""),$M851+$G851,"")</f>
        <v/>
      </c>
      <c r="I851" s="22" t="n"/>
      <c r="J851" s="22" t="n"/>
      <c r="K851" s="24" t="n"/>
      <c r="W851">
        <f>IF($A2="","",COUNTIF('07_Pallet_Contents'!$A$2:$A$3000,$A2))</f>
        <v/>
      </c>
      <c r="X851">
        <f>IF($A2="","",SUMIF('07_Pallet_Contents'!$A$2:$A$3000,$A2,'07_Pallet_Contents'!$D$2:$D$3000))</f>
        <v/>
      </c>
      <c r="Y851">
        <f>IF($A2="","",SUMIF('07_Pallet_Contents'!$A$2:$A$3000,$A2,'07_Pallet_Contents'!$I$2:$I$3000))</f>
        <v/>
      </c>
      <c r="Z851">
        <f>IF($A2="","",IF(COUNTIF('07_Pallet_Contents'!$A$2:$A$3000,$A2)&gt;0,"Yes",""))</f>
        <v/>
      </c>
    </row>
    <row r="852">
      <c r="B852" s="22" t="n"/>
      <c r="G852" s="25" t="n"/>
      <c r="H852" s="24">
        <f>IF(AND($F852="TEMP",$G852&gt;0,$M852&lt;&gt;""),$M852+$G852,"")</f>
        <v/>
      </c>
      <c r="I852" s="22" t="n"/>
      <c r="J852" s="22" t="n"/>
      <c r="K852" s="24" t="n"/>
      <c r="W852">
        <f>IF($A2="","",COUNTIF('07_Pallet_Contents'!$A$2:$A$3000,$A2))</f>
        <v/>
      </c>
      <c r="X852">
        <f>IF($A2="","",SUMIF('07_Pallet_Contents'!$A$2:$A$3000,$A2,'07_Pallet_Contents'!$D$2:$D$3000))</f>
        <v/>
      </c>
      <c r="Y852">
        <f>IF($A2="","",SUMIF('07_Pallet_Contents'!$A$2:$A$3000,$A2,'07_Pallet_Contents'!$I$2:$I$3000))</f>
        <v/>
      </c>
      <c r="Z852">
        <f>IF($A2="","",IF(COUNTIF('07_Pallet_Contents'!$A$2:$A$3000,$A2)&gt;0,"Yes",""))</f>
        <v/>
      </c>
    </row>
    <row r="853">
      <c r="B853" s="22" t="n"/>
      <c r="G853" s="25" t="n"/>
      <c r="H853" s="24">
        <f>IF(AND($F853="TEMP",$G853&gt;0,$M853&lt;&gt;""),$M853+$G853,"")</f>
        <v/>
      </c>
      <c r="I853" s="22" t="n"/>
      <c r="J853" s="22" t="n"/>
      <c r="K853" s="24" t="n"/>
      <c r="W853">
        <f>IF($A2="","",COUNTIF('07_Pallet_Contents'!$A$2:$A$3000,$A2))</f>
        <v/>
      </c>
      <c r="X853">
        <f>IF($A2="","",SUMIF('07_Pallet_Contents'!$A$2:$A$3000,$A2,'07_Pallet_Contents'!$D$2:$D$3000))</f>
        <v/>
      </c>
      <c r="Y853">
        <f>IF($A2="","",SUMIF('07_Pallet_Contents'!$A$2:$A$3000,$A2,'07_Pallet_Contents'!$I$2:$I$3000))</f>
        <v/>
      </c>
      <c r="Z853">
        <f>IF($A2="","",IF(COUNTIF('07_Pallet_Contents'!$A$2:$A$3000,$A2)&gt;0,"Yes",""))</f>
        <v/>
      </c>
    </row>
    <row r="854">
      <c r="B854" s="22" t="n"/>
      <c r="G854" s="25" t="n"/>
      <c r="H854" s="24">
        <f>IF(AND($F854="TEMP",$G854&gt;0,$M854&lt;&gt;""),$M854+$G854,"")</f>
        <v/>
      </c>
      <c r="I854" s="22" t="n"/>
      <c r="J854" s="22" t="n"/>
      <c r="K854" s="24" t="n"/>
      <c r="W854">
        <f>IF($A2="","",COUNTIF('07_Pallet_Contents'!$A$2:$A$3000,$A2))</f>
        <v/>
      </c>
      <c r="X854">
        <f>IF($A2="","",SUMIF('07_Pallet_Contents'!$A$2:$A$3000,$A2,'07_Pallet_Contents'!$D$2:$D$3000))</f>
        <v/>
      </c>
      <c r="Y854">
        <f>IF($A2="","",SUMIF('07_Pallet_Contents'!$A$2:$A$3000,$A2,'07_Pallet_Contents'!$I$2:$I$3000))</f>
        <v/>
      </c>
      <c r="Z854">
        <f>IF($A2="","",IF(COUNTIF('07_Pallet_Contents'!$A$2:$A$3000,$A2)&gt;0,"Yes",""))</f>
        <v/>
      </c>
    </row>
    <row r="855">
      <c r="B855" s="22" t="n"/>
      <c r="G855" s="25" t="n"/>
      <c r="H855" s="24">
        <f>IF(AND($F855="TEMP",$G855&gt;0,$M855&lt;&gt;""),$M855+$G855,"")</f>
        <v/>
      </c>
      <c r="I855" s="22" t="n"/>
      <c r="J855" s="22" t="n"/>
      <c r="K855" s="24" t="n"/>
      <c r="W855">
        <f>IF($A2="","",COUNTIF('07_Pallet_Contents'!$A$2:$A$3000,$A2))</f>
        <v/>
      </c>
      <c r="X855">
        <f>IF($A2="","",SUMIF('07_Pallet_Contents'!$A$2:$A$3000,$A2,'07_Pallet_Contents'!$D$2:$D$3000))</f>
        <v/>
      </c>
      <c r="Y855">
        <f>IF($A2="","",SUMIF('07_Pallet_Contents'!$A$2:$A$3000,$A2,'07_Pallet_Contents'!$I$2:$I$3000))</f>
        <v/>
      </c>
      <c r="Z855">
        <f>IF($A2="","",IF(COUNTIF('07_Pallet_Contents'!$A$2:$A$3000,$A2)&gt;0,"Yes",""))</f>
        <v/>
      </c>
    </row>
    <row r="856">
      <c r="B856" s="22" t="n"/>
      <c r="G856" s="25" t="n"/>
      <c r="H856" s="24">
        <f>IF(AND($F856="TEMP",$G856&gt;0,$M856&lt;&gt;""),$M856+$G856,"")</f>
        <v/>
      </c>
      <c r="I856" s="22" t="n"/>
      <c r="J856" s="22" t="n"/>
      <c r="K856" s="24" t="n"/>
      <c r="W856">
        <f>IF($A2="","",COUNTIF('07_Pallet_Contents'!$A$2:$A$3000,$A2))</f>
        <v/>
      </c>
      <c r="X856">
        <f>IF($A2="","",SUMIF('07_Pallet_Contents'!$A$2:$A$3000,$A2,'07_Pallet_Contents'!$D$2:$D$3000))</f>
        <v/>
      </c>
      <c r="Y856">
        <f>IF($A2="","",SUMIF('07_Pallet_Contents'!$A$2:$A$3000,$A2,'07_Pallet_Contents'!$I$2:$I$3000))</f>
        <v/>
      </c>
      <c r="Z856">
        <f>IF($A2="","",IF(COUNTIF('07_Pallet_Contents'!$A$2:$A$3000,$A2)&gt;0,"Yes",""))</f>
        <v/>
      </c>
    </row>
    <row r="857">
      <c r="B857" s="22" t="n"/>
      <c r="G857" s="25" t="n"/>
      <c r="H857" s="24">
        <f>IF(AND($F857="TEMP",$G857&gt;0,$M857&lt;&gt;""),$M857+$G857,"")</f>
        <v/>
      </c>
      <c r="I857" s="22" t="n"/>
      <c r="J857" s="22" t="n"/>
      <c r="K857" s="24" t="n"/>
      <c r="W857">
        <f>IF($A2="","",COUNTIF('07_Pallet_Contents'!$A$2:$A$3000,$A2))</f>
        <v/>
      </c>
      <c r="X857">
        <f>IF($A2="","",SUMIF('07_Pallet_Contents'!$A$2:$A$3000,$A2,'07_Pallet_Contents'!$D$2:$D$3000))</f>
        <v/>
      </c>
      <c r="Y857">
        <f>IF($A2="","",SUMIF('07_Pallet_Contents'!$A$2:$A$3000,$A2,'07_Pallet_Contents'!$I$2:$I$3000))</f>
        <v/>
      </c>
      <c r="Z857">
        <f>IF($A2="","",IF(COUNTIF('07_Pallet_Contents'!$A$2:$A$3000,$A2)&gt;0,"Yes",""))</f>
        <v/>
      </c>
    </row>
    <row r="858">
      <c r="B858" s="22" t="n"/>
      <c r="G858" s="25" t="n"/>
      <c r="H858" s="24">
        <f>IF(AND($F858="TEMP",$G858&gt;0,$M858&lt;&gt;""),$M858+$G858,"")</f>
        <v/>
      </c>
      <c r="I858" s="22" t="n"/>
      <c r="J858" s="22" t="n"/>
      <c r="K858" s="24" t="n"/>
      <c r="W858">
        <f>IF($A2="","",COUNTIF('07_Pallet_Contents'!$A$2:$A$3000,$A2))</f>
        <v/>
      </c>
      <c r="X858">
        <f>IF($A2="","",SUMIF('07_Pallet_Contents'!$A$2:$A$3000,$A2,'07_Pallet_Contents'!$D$2:$D$3000))</f>
        <v/>
      </c>
      <c r="Y858">
        <f>IF($A2="","",SUMIF('07_Pallet_Contents'!$A$2:$A$3000,$A2,'07_Pallet_Contents'!$I$2:$I$3000))</f>
        <v/>
      </c>
      <c r="Z858">
        <f>IF($A2="","",IF(COUNTIF('07_Pallet_Contents'!$A$2:$A$3000,$A2)&gt;0,"Yes",""))</f>
        <v/>
      </c>
    </row>
    <row r="859">
      <c r="B859" s="22" t="n"/>
      <c r="G859" s="25" t="n"/>
      <c r="H859" s="24">
        <f>IF(AND($F859="TEMP",$G859&gt;0,$M859&lt;&gt;""),$M859+$G859,"")</f>
        <v/>
      </c>
      <c r="I859" s="22" t="n"/>
      <c r="J859" s="22" t="n"/>
      <c r="K859" s="24" t="n"/>
      <c r="W859">
        <f>IF($A2="","",COUNTIF('07_Pallet_Contents'!$A$2:$A$3000,$A2))</f>
        <v/>
      </c>
      <c r="X859">
        <f>IF($A2="","",SUMIF('07_Pallet_Contents'!$A$2:$A$3000,$A2,'07_Pallet_Contents'!$D$2:$D$3000))</f>
        <v/>
      </c>
      <c r="Y859">
        <f>IF($A2="","",SUMIF('07_Pallet_Contents'!$A$2:$A$3000,$A2,'07_Pallet_Contents'!$I$2:$I$3000))</f>
        <v/>
      </c>
      <c r="Z859">
        <f>IF($A2="","",IF(COUNTIF('07_Pallet_Contents'!$A$2:$A$3000,$A2)&gt;0,"Yes",""))</f>
        <v/>
      </c>
    </row>
    <row r="860">
      <c r="B860" s="22" t="n"/>
      <c r="G860" s="25" t="n"/>
      <c r="H860" s="24">
        <f>IF(AND($F860="TEMP",$G860&gt;0,$M860&lt;&gt;""),$M860+$G860,"")</f>
        <v/>
      </c>
      <c r="I860" s="22" t="n"/>
      <c r="J860" s="22" t="n"/>
      <c r="K860" s="24" t="n"/>
      <c r="W860">
        <f>IF($A2="","",COUNTIF('07_Pallet_Contents'!$A$2:$A$3000,$A2))</f>
        <v/>
      </c>
      <c r="X860">
        <f>IF($A2="","",SUMIF('07_Pallet_Contents'!$A$2:$A$3000,$A2,'07_Pallet_Contents'!$D$2:$D$3000))</f>
        <v/>
      </c>
      <c r="Y860">
        <f>IF($A2="","",SUMIF('07_Pallet_Contents'!$A$2:$A$3000,$A2,'07_Pallet_Contents'!$I$2:$I$3000))</f>
        <v/>
      </c>
      <c r="Z860">
        <f>IF($A2="","",IF(COUNTIF('07_Pallet_Contents'!$A$2:$A$3000,$A2)&gt;0,"Yes",""))</f>
        <v/>
      </c>
    </row>
    <row r="861">
      <c r="B861" s="22" t="n"/>
      <c r="G861" s="25" t="n"/>
      <c r="H861" s="24">
        <f>IF(AND($F861="TEMP",$G861&gt;0,$M861&lt;&gt;""),$M861+$G861,"")</f>
        <v/>
      </c>
      <c r="I861" s="22" t="n"/>
      <c r="J861" s="22" t="n"/>
      <c r="K861" s="24" t="n"/>
      <c r="W861">
        <f>IF($A2="","",COUNTIF('07_Pallet_Contents'!$A$2:$A$3000,$A2))</f>
        <v/>
      </c>
      <c r="X861">
        <f>IF($A2="","",SUMIF('07_Pallet_Contents'!$A$2:$A$3000,$A2,'07_Pallet_Contents'!$D$2:$D$3000))</f>
        <v/>
      </c>
      <c r="Y861">
        <f>IF($A2="","",SUMIF('07_Pallet_Contents'!$A$2:$A$3000,$A2,'07_Pallet_Contents'!$I$2:$I$3000))</f>
        <v/>
      </c>
      <c r="Z861">
        <f>IF($A2="","",IF(COUNTIF('07_Pallet_Contents'!$A$2:$A$3000,$A2)&gt;0,"Yes",""))</f>
        <v/>
      </c>
    </row>
    <row r="862">
      <c r="B862" s="22" t="n"/>
      <c r="G862" s="25" t="n"/>
      <c r="H862" s="24">
        <f>IF(AND($F862="TEMP",$G862&gt;0,$M862&lt;&gt;""),$M862+$G862,"")</f>
        <v/>
      </c>
      <c r="I862" s="22" t="n"/>
      <c r="J862" s="22" t="n"/>
      <c r="K862" s="24" t="n"/>
      <c r="W862">
        <f>IF($A2="","",COUNTIF('07_Pallet_Contents'!$A$2:$A$3000,$A2))</f>
        <v/>
      </c>
      <c r="X862">
        <f>IF($A2="","",SUMIF('07_Pallet_Contents'!$A$2:$A$3000,$A2,'07_Pallet_Contents'!$D$2:$D$3000))</f>
        <v/>
      </c>
      <c r="Y862">
        <f>IF($A2="","",SUMIF('07_Pallet_Contents'!$A$2:$A$3000,$A2,'07_Pallet_Contents'!$I$2:$I$3000))</f>
        <v/>
      </c>
      <c r="Z862">
        <f>IF($A2="","",IF(COUNTIF('07_Pallet_Contents'!$A$2:$A$3000,$A2)&gt;0,"Yes",""))</f>
        <v/>
      </c>
    </row>
    <row r="863">
      <c r="B863" s="22" t="n"/>
      <c r="G863" s="25" t="n"/>
      <c r="H863" s="24">
        <f>IF(AND($F863="TEMP",$G863&gt;0,$M863&lt;&gt;""),$M863+$G863,"")</f>
        <v/>
      </c>
      <c r="I863" s="22" t="n"/>
      <c r="J863" s="22" t="n"/>
      <c r="K863" s="24" t="n"/>
      <c r="W863">
        <f>IF($A2="","",COUNTIF('07_Pallet_Contents'!$A$2:$A$3000,$A2))</f>
        <v/>
      </c>
      <c r="X863">
        <f>IF($A2="","",SUMIF('07_Pallet_Contents'!$A$2:$A$3000,$A2,'07_Pallet_Contents'!$D$2:$D$3000))</f>
        <v/>
      </c>
      <c r="Y863">
        <f>IF($A2="","",SUMIF('07_Pallet_Contents'!$A$2:$A$3000,$A2,'07_Pallet_Contents'!$I$2:$I$3000))</f>
        <v/>
      </c>
      <c r="Z863">
        <f>IF($A2="","",IF(COUNTIF('07_Pallet_Contents'!$A$2:$A$3000,$A2)&gt;0,"Yes",""))</f>
        <v/>
      </c>
    </row>
    <row r="864">
      <c r="B864" s="22" t="n"/>
      <c r="G864" s="25" t="n"/>
      <c r="H864" s="24">
        <f>IF(AND($F864="TEMP",$G864&gt;0,$M864&lt;&gt;""),$M864+$G864,"")</f>
        <v/>
      </c>
      <c r="I864" s="22" t="n"/>
      <c r="J864" s="22" t="n"/>
      <c r="K864" s="24" t="n"/>
      <c r="W864">
        <f>IF($A2="","",COUNTIF('07_Pallet_Contents'!$A$2:$A$3000,$A2))</f>
        <v/>
      </c>
      <c r="X864">
        <f>IF($A2="","",SUMIF('07_Pallet_Contents'!$A$2:$A$3000,$A2,'07_Pallet_Contents'!$D$2:$D$3000))</f>
        <v/>
      </c>
      <c r="Y864">
        <f>IF($A2="","",SUMIF('07_Pallet_Contents'!$A$2:$A$3000,$A2,'07_Pallet_Contents'!$I$2:$I$3000))</f>
        <v/>
      </c>
      <c r="Z864">
        <f>IF($A2="","",IF(COUNTIF('07_Pallet_Contents'!$A$2:$A$3000,$A2)&gt;0,"Yes",""))</f>
        <v/>
      </c>
    </row>
    <row r="865">
      <c r="B865" s="22" t="n"/>
      <c r="G865" s="25" t="n"/>
      <c r="H865" s="24">
        <f>IF(AND($F865="TEMP",$G865&gt;0,$M865&lt;&gt;""),$M865+$G865,"")</f>
        <v/>
      </c>
      <c r="I865" s="22" t="n"/>
      <c r="J865" s="22" t="n"/>
      <c r="K865" s="24" t="n"/>
      <c r="W865">
        <f>IF($A2="","",COUNTIF('07_Pallet_Contents'!$A$2:$A$3000,$A2))</f>
        <v/>
      </c>
      <c r="X865">
        <f>IF($A2="","",SUMIF('07_Pallet_Contents'!$A$2:$A$3000,$A2,'07_Pallet_Contents'!$D$2:$D$3000))</f>
        <v/>
      </c>
      <c r="Y865">
        <f>IF($A2="","",SUMIF('07_Pallet_Contents'!$A$2:$A$3000,$A2,'07_Pallet_Contents'!$I$2:$I$3000))</f>
        <v/>
      </c>
      <c r="Z865">
        <f>IF($A2="","",IF(COUNTIF('07_Pallet_Contents'!$A$2:$A$3000,$A2)&gt;0,"Yes",""))</f>
        <v/>
      </c>
    </row>
    <row r="866">
      <c r="B866" s="22" t="n"/>
      <c r="G866" s="25" t="n"/>
      <c r="H866" s="24">
        <f>IF(AND($F866="TEMP",$G866&gt;0,$M866&lt;&gt;""),$M866+$G866,"")</f>
        <v/>
      </c>
      <c r="I866" s="22" t="n"/>
      <c r="J866" s="22" t="n"/>
      <c r="K866" s="24" t="n"/>
      <c r="W866">
        <f>IF($A2="","",COUNTIF('07_Pallet_Contents'!$A$2:$A$3000,$A2))</f>
        <v/>
      </c>
      <c r="X866">
        <f>IF($A2="","",SUMIF('07_Pallet_Contents'!$A$2:$A$3000,$A2,'07_Pallet_Contents'!$D$2:$D$3000))</f>
        <v/>
      </c>
      <c r="Y866">
        <f>IF($A2="","",SUMIF('07_Pallet_Contents'!$A$2:$A$3000,$A2,'07_Pallet_Contents'!$I$2:$I$3000))</f>
        <v/>
      </c>
      <c r="Z866">
        <f>IF($A2="","",IF(COUNTIF('07_Pallet_Contents'!$A$2:$A$3000,$A2)&gt;0,"Yes",""))</f>
        <v/>
      </c>
    </row>
    <row r="867">
      <c r="B867" s="22" t="n"/>
      <c r="G867" s="25" t="n"/>
      <c r="H867" s="24">
        <f>IF(AND($F867="TEMP",$G867&gt;0,$M867&lt;&gt;""),$M867+$G867,"")</f>
        <v/>
      </c>
      <c r="I867" s="22" t="n"/>
      <c r="J867" s="22" t="n"/>
      <c r="K867" s="24" t="n"/>
      <c r="W867">
        <f>IF($A2="","",COUNTIF('07_Pallet_Contents'!$A$2:$A$3000,$A2))</f>
        <v/>
      </c>
      <c r="X867">
        <f>IF($A2="","",SUMIF('07_Pallet_Contents'!$A$2:$A$3000,$A2,'07_Pallet_Contents'!$D$2:$D$3000))</f>
        <v/>
      </c>
      <c r="Y867">
        <f>IF($A2="","",SUMIF('07_Pallet_Contents'!$A$2:$A$3000,$A2,'07_Pallet_Contents'!$I$2:$I$3000))</f>
        <v/>
      </c>
      <c r="Z867">
        <f>IF($A2="","",IF(COUNTIF('07_Pallet_Contents'!$A$2:$A$3000,$A2)&gt;0,"Yes",""))</f>
        <v/>
      </c>
    </row>
    <row r="868">
      <c r="B868" s="22" t="n"/>
      <c r="G868" s="25" t="n"/>
      <c r="H868" s="24">
        <f>IF(AND($F868="TEMP",$G868&gt;0,$M868&lt;&gt;""),$M868+$G868,"")</f>
        <v/>
      </c>
      <c r="I868" s="22" t="n"/>
      <c r="J868" s="22" t="n"/>
      <c r="K868" s="24" t="n"/>
      <c r="W868">
        <f>IF($A2="","",COUNTIF('07_Pallet_Contents'!$A$2:$A$3000,$A2))</f>
        <v/>
      </c>
      <c r="X868">
        <f>IF($A2="","",SUMIF('07_Pallet_Contents'!$A$2:$A$3000,$A2,'07_Pallet_Contents'!$D$2:$D$3000))</f>
        <v/>
      </c>
      <c r="Y868">
        <f>IF($A2="","",SUMIF('07_Pallet_Contents'!$A$2:$A$3000,$A2,'07_Pallet_Contents'!$I$2:$I$3000))</f>
        <v/>
      </c>
      <c r="Z868">
        <f>IF($A2="","",IF(COUNTIF('07_Pallet_Contents'!$A$2:$A$3000,$A2)&gt;0,"Yes",""))</f>
        <v/>
      </c>
    </row>
    <row r="869">
      <c r="B869" s="22" t="n"/>
      <c r="G869" s="25" t="n"/>
      <c r="H869" s="24">
        <f>IF(AND($F869="TEMP",$G869&gt;0,$M869&lt;&gt;""),$M869+$G869,"")</f>
        <v/>
      </c>
      <c r="I869" s="22" t="n"/>
      <c r="J869" s="22" t="n"/>
      <c r="K869" s="24" t="n"/>
      <c r="W869">
        <f>IF($A2="","",COUNTIF('07_Pallet_Contents'!$A$2:$A$3000,$A2))</f>
        <v/>
      </c>
      <c r="X869">
        <f>IF($A2="","",SUMIF('07_Pallet_Contents'!$A$2:$A$3000,$A2,'07_Pallet_Contents'!$D$2:$D$3000))</f>
        <v/>
      </c>
      <c r="Y869">
        <f>IF($A2="","",SUMIF('07_Pallet_Contents'!$A$2:$A$3000,$A2,'07_Pallet_Contents'!$I$2:$I$3000))</f>
        <v/>
      </c>
      <c r="Z869">
        <f>IF($A2="","",IF(COUNTIF('07_Pallet_Contents'!$A$2:$A$3000,$A2)&gt;0,"Yes",""))</f>
        <v/>
      </c>
    </row>
    <row r="870">
      <c r="B870" s="22" t="n"/>
      <c r="G870" s="25" t="n"/>
      <c r="H870" s="24">
        <f>IF(AND($F870="TEMP",$G870&gt;0,$M870&lt;&gt;""),$M870+$G870,"")</f>
        <v/>
      </c>
      <c r="I870" s="22" t="n"/>
      <c r="J870" s="22" t="n"/>
      <c r="K870" s="24" t="n"/>
      <c r="W870">
        <f>IF($A2="","",COUNTIF('07_Pallet_Contents'!$A$2:$A$3000,$A2))</f>
        <v/>
      </c>
      <c r="X870">
        <f>IF($A2="","",SUMIF('07_Pallet_Contents'!$A$2:$A$3000,$A2,'07_Pallet_Contents'!$D$2:$D$3000))</f>
        <v/>
      </c>
      <c r="Y870">
        <f>IF($A2="","",SUMIF('07_Pallet_Contents'!$A$2:$A$3000,$A2,'07_Pallet_Contents'!$I$2:$I$3000))</f>
        <v/>
      </c>
      <c r="Z870">
        <f>IF($A2="","",IF(COUNTIF('07_Pallet_Contents'!$A$2:$A$3000,$A2)&gt;0,"Yes",""))</f>
        <v/>
      </c>
    </row>
    <row r="871">
      <c r="B871" s="22" t="n"/>
      <c r="G871" s="25" t="n"/>
      <c r="H871" s="24">
        <f>IF(AND($F871="TEMP",$G871&gt;0,$M871&lt;&gt;""),$M871+$G871,"")</f>
        <v/>
      </c>
      <c r="I871" s="22" t="n"/>
      <c r="J871" s="22" t="n"/>
      <c r="K871" s="24" t="n"/>
      <c r="W871">
        <f>IF($A2="","",COUNTIF('07_Pallet_Contents'!$A$2:$A$3000,$A2))</f>
        <v/>
      </c>
      <c r="X871">
        <f>IF($A2="","",SUMIF('07_Pallet_Contents'!$A$2:$A$3000,$A2,'07_Pallet_Contents'!$D$2:$D$3000))</f>
        <v/>
      </c>
      <c r="Y871">
        <f>IF($A2="","",SUMIF('07_Pallet_Contents'!$A$2:$A$3000,$A2,'07_Pallet_Contents'!$I$2:$I$3000))</f>
        <v/>
      </c>
      <c r="Z871">
        <f>IF($A2="","",IF(COUNTIF('07_Pallet_Contents'!$A$2:$A$3000,$A2)&gt;0,"Yes",""))</f>
        <v/>
      </c>
    </row>
    <row r="872">
      <c r="B872" s="22" t="n"/>
      <c r="G872" s="25" t="n"/>
      <c r="H872" s="24">
        <f>IF(AND($F872="TEMP",$G872&gt;0,$M872&lt;&gt;""),$M872+$G872,"")</f>
        <v/>
      </c>
      <c r="I872" s="22" t="n"/>
      <c r="J872" s="22" t="n"/>
      <c r="K872" s="24" t="n"/>
      <c r="W872">
        <f>IF($A2="","",COUNTIF('07_Pallet_Contents'!$A$2:$A$3000,$A2))</f>
        <v/>
      </c>
      <c r="X872">
        <f>IF($A2="","",SUMIF('07_Pallet_Contents'!$A$2:$A$3000,$A2,'07_Pallet_Contents'!$D$2:$D$3000))</f>
        <v/>
      </c>
      <c r="Y872">
        <f>IF($A2="","",SUMIF('07_Pallet_Contents'!$A$2:$A$3000,$A2,'07_Pallet_Contents'!$I$2:$I$3000))</f>
        <v/>
      </c>
      <c r="Z872">
        <f>IF($A2="","",IF(COUNTIF('07_Pallet_Contents'!$A$2:$A$3000,$A2)&gt;0,"Yes",""))</f>
        <v/>
      </c>
    </row>
    <row r="873">
      <c r="B873" s="22" t="n"/>
      <c r="G873" s="25" t="n"/>
      <c r="H873" s="24">
        <f>IF(AND($F873="TEMP",$G873&gt;0,$M873&lt;&gt;""),$M873+$G873,"")</f>
        <v/>
      </c>
      <c r="I873" s="22" t="n"/>
      <c r="J873" s="22" t="n"/>
      <c r="K873" s="24" t="n"/>
      <c r="W873">
        <f>IF($A2="","",COUNTIF('07_Pallet_Contents'!$A$2:$A$3000,$A2))</f>
        <v/>
      </c>
      <c r="X873">
        <f>IF($A2="","",SUMIF('07_Pallet_Contents'!$A$2:$A$3000,$A2,'07_Pallet_Contents'!$D$2:$D$3000))</f>
        <v/>
      </c>
      <c r="Y873">
        <f>IF($A2="","",SUMIF('07_Pallet_Contents'!$A$2:$A$3000,$A2,'07_Pallet_Contents'!$I$2:$I$3000))</f>
        <v/>
      </c>
      <c r="Z873">
        <f>IF($A2="","",IF(COUNTIF('07_Pallet_Contents'!$A$2:$A$3000,$A2)&gt;0,"Yes",""))</f>
        <v/>
      </c>
    </row>
    <row r="874">
      <c r="B874" s="22" t="n"/>
      <c r="G874" s="25" t="n"/>
      <c r="H874" s="24">
        <f>IF(AND($F874="TEMP",$G874&gt;0,$M874&lt;&gt;""),$M874+$G874,"")</f>
        <v/>
      </c>
      <c r="I874" s="22" t="n"/>
      <c r="J874" s="22" t="n"/>
      <c r="K874" s="24" t="n"/>
      <c r="W874">
        <f>IF($A2="","",COUNTIF('07_Pallet_Contents'!$A$2:$A$3000,$A2))</f>
        <v/>
      </c>
      <c r="X874">
        <f>IF($A2="","",SUMIF('07_Pallet_Contents'!$A$2:$A$3000,$A2,'07_Pallet_Contents'!$D$2:$D$3000))</f>
        <v/>
      </c>
      <c r="Y874">
        <f>IF($A2="","",SUMIF('07_Pallet_Contents'!$A$2:$A$3000,$A2,'07_Pallet_Contents'!$I$2:$I$3000))</f>
        <v/>
      </c>
      <c r="Z874">
        <f>IF($A2="","",IF(COUNTIF('07_Pallet_Contents'!$A$2:$A$3000,$A2)&gt;0,"Yes",""))</f>
        <v/>
      </c>
    </row>
    <row r="875">
      <c r="B875" s="22" t="n"/>
      <c r="G875" s="25" t="n"/>
      <c r="H875" s="24">
        <f>IF(AND($F875="TEMP",$G875&gt;0,$M875&lt;&gt;""),$M875+$G875,"")</f>
        <v/>
      </c>
      <c r="I875" s="22" t="n"/>
      <c r="J875" s="22" t="n"/>
      <c r="K875" s="24" t="n"/>
      <c r="W875">
        <f>IF($A2="","",COUNTIF('07_Pallet_Contents'!$A$2:$A$3000,$A2))</f>
        <v/>
      </c>
      <c r="X875">
        <f>IF($A2="","",SUMIF('07_Pallet_Contents'!$A$2:$A$3000,$A2,'07_Pallet_Contents'!$D$2:$D$3000))</f>
        <v/>
      </c>
      <c r="Y875">
        <f>IF($A2="","",SUMIF('07_Pallet_Contents'!$A$2:$A$3000,$A2,'07_Pallet_Contents'!$I$2:$I$3000))</f>
        <v/>
      </c>
      <c r="Z875">
        <f>IF($A2="","",IF(COUNTIF('07_Pallet_Contents'!$A$2:$A$3000,$A2)&gt;0,"Yes",""))</f>
        <v/>
      </c>
    </row>
    <row r="876">
      <c r="B876" s="22" t="n"/>
      <c r="G876" s="25" t="n"/>
      <c r="H876" s="24">
        <f>IF(AND($F876="TEMP",$G876&gt;0,$M876&lt;&gt;""),$M876+$G876,"")</f>
        <v/>
      </c>
      <c r="I876" s="22" t="n"/>
      <c r="J876" s="22" t="n"/>
      <c r="K876" s="24" t="n"/>
      <c r="W876">
        <f>IF($A2="","",COUNTIF('07_Pallet_Contents'!$A$2:$A$3000,$A2))</f>
        <v/>
      </c>
      <c r="X876">
        <f>IF($A2="","",SUMIF('07_Pallet_Contents'!$A$2:$A$3000,$A2,'07_Pallet_Contents'!$D$2:$D$3000))</f>
        <v/>
      </c>
      <c r="Y876">
        <f>IF($A2="","",SUMIF('07_Pallet_Contents'!$A$2:$A$3000,$A2,'07_Pallet_Contents'!$I$2:$I$3000))</f>
        <v/>
      </c>
      <c r="Z876">
        <f>IF($A2="","",IF(COUNTIF('07_Pallet_Contents'!$A$2:$A$3000,$A2)&gt;0,"Yes",""))</f>
        <v/>
      </c>
    </row>
    <row r="877">
      <c r="B877" s="22" t="n"/>
      <c r="G877" s="25" t="n"/>
      <c r="H877" s="24">
        <f>IF(AND($F877="TEMP",$G877&gt;0,$M877&lt;&gt;""),$M877+$G877,"")</f>
        <v/>
      </c>
      <c r="I877" s="22" t="n"/>
      <c r="J877" s="22" t="n"/>
      <c r="K877" s="24" t="n"/>
      <c r="W877">
        <f>IF($A2="","",COUNTIF('07_Pallet_Contents'!$A$2:$A$3000,$A2))</f>
        <v/>
      </c>
      <c r="X877">
        <f>IF($A2="","",SUMIF('07_Pallet_Contents'!$A$2:$A$3000,$A2,'07_Pallet_Contents'!$D$2:$D$3000))</f>
        <v/>
      </c>
      <c r="Y877">
        <f>IF($A2="","",SUMIF('07_Pallet_Contents'!$A$2:$A$3000,$A2,'07_Pallet_Contents'!$I$2:$I$3000))</f>
        <v/>
      </c>
      <c r="Z877">
        <f>IF($A2="","",IF(COUNTIF('07_Pallet_Contents'!$A$2:$A$3000,$A2)&gt;0,"Yes",""))</f>
        <v/>
      </c>
    </row>
    <row r="878">
      <c r="B878" s="22" t="n"/>
      <c r="G878" s="25" t="n"/>
      <c r="H878" s="24">
        <f>IF(AND($F878="TEMP",$G878&gt;0,$M878&lt;&gt;""),$M878+$G878,"")</f>
        <v/>
      </c>
      <c r="I878" s="22" t="n"/>
      <c r="J878" s="22" t="n"/>
      <c r="K878" s="24" t="n"/>
      <c r="W878">
        <f>IF($A2="","",COUNTIF('07_Pallet_Contents'!$A$2:$A$3000,$A2))</f>
        <v/>
      </c>
      <c r="X878">
        <f>IF($A2="","",SUMIF('07_Pallet_Contents'!$A$2:$A$3000,$A2,'07_Pallet_Contents'!$D$2:$D$3000))</f>
        <v/>
      </c>
      <c r="Y878">
        <f>IF($A2="","",SUMIF('07_Pallet_Contents'!$A$2:$A$3000,$A2,'07_Pallet_Contents'!$I$2:$I$3000))</f>
        <v/>
      </c>
      <c r="Z878">
        <f>IF($A2="","",IF(COUNTIF('07_Pallet_Contents'!$A$2:$A$3000,$A2)&gt;0,"Yes",""))</f>
        <v/>
      </c>
    </row>
    <row r="879">
      <c r="B879" s="22" t="n"/>
      <c r="G879" s="25" t="n"/>
      <c r="H879" s="24">
        <f>IF(AND($F879="TEMP",$G879&gt;0,$M879&lt;&gt;""),$M879+$G879,"")</f>
        <v/>
      </c>
      <c r="I879" s="22" t="n"/>
      <c r="J879" s="22" t="n"/>
      <c r="K879" s="24" t="n"/>
      <c r="W879">
        <f>IF($A2="","",COUNTIF('07_Pallet_Contents'!$A$2:$A$3000,$A2))</f>
        <v/>
      </c>
      <c r="X879">
        <f>IF($A2="","",SUMIF('07_Pallet_Contents'!$A$2:$A$3000,$A2,'07_Pallet_Contents'!$D$2:$D$3000))</f>
        <v/>
      </c>
      <c r="Y879">
        <f>IF($A2="","",SUMIF('07_Pallet_Contents'!$A$2:$A$3000,$A2,'07_Pallet_Contents'!$I$2:$I$3000))</f>
        <v/>
      </c>
      <c r="Z879">
        <f>IF($A2="","",IF(COUNTIF('07_Pallet_Contents'!$A$2:$A$3000,$A2)&gt;0,"Yes",""))</f>
        <v/>
      </c>
    </row>
    <row r="880">
      <c r="B880" s="22" t="n"/>
      <c r="G880" s="25" t="n"/>
      <c r="H880" s="24">
        <f>IF(AND($F880="TEMP",$G880&gt;0,$M880&lt;&gt;""),$M880+$G880,"")</f>
        <v/>
      </c>
      <c r="I880" s="22" t="n"/>
      <c r="J880" s="22" t="n"/>
      <c r="K880" s="24" t="n"/>
      <c r="W880">
        <f>IF($A2="","",COUNTIF('07_Pallet_Contents'!$A$2:$A$3000,$A2))</f>
        <v/>
      </c>
      <c r="X880">
        <f>IF($A2="","",SUMIF('07_Pallet_Contents'!$A$2:$A$3000,$A2,'07_Pallet_Contents'!$D$2:$D$3000))</f>
        <v/>
      </c>
      <c r="Y880">
        <f>IF($A2="","",SUMIF('07_Pallet_Contents'!$A$2:$A$3000,$A2,'07_Pallet_Contents'!$I$2:$I$3000))</f>
        <v/>
      </c>
      <c r="Z880">
        <f>IF($A2="","",IF(COUNTIF('07_Pallet_Contents'!$A$2:$A$3000,$A2)&gt;0,"Yes",""))</f>
        <v/>
      </c>
    </row>
    <row r="881">
      <c r="B881" s="22" t="n"/>
      <c r="G881" s="25" t="n"/>
      <c r="H881" s="24">
        <f>IF(AND($F881="TEMP",$G881&gt;0,$M881&lt;&gt;""),$M881+$G881,"")</f>
        <v/>
      </c>
      <c r="I881" s="22" t="n"/>
      <c r="J881" s="22" t="n"/>
      <c r="K881" s="24" t="n"/>
      <c r="W881">
        <f>IF($A2="","",COUNTIF('07_Pallet_Contents'!$A$2:$A$3000,$A2))</f>
        <v/>
      </c>
      <c r="X881">
        <f>IF($A2="","",SUMIF('07_Pallet_Contents'!$A$2:$A$3000,$A2,'07_Pallet_Contents'!$D$2:$D$3000))</f>
        <v/>
      </c>
      <c r="Y881">
        <f>IF($A2="","",SUMIF('07_Pallet_Contents'!$A$2:$A$3000,$A2,'07_Pallet_Contents'!$I$2:$I$3000))</f>
        <v/>
      </c>
      <c r="Z881">
        <f>IF($A2="","",IF(COUNTIF('07_Pallet_Contents'!$A$2:$A$3000,$A2)&gt;0,"Yes",""))</f>
        <v/>
      </c>
    </row>
    <row r="882">
      <c r="B882" s="22" t="n"/>
      <c r="G882" s="25" t="n"/>
      <c r="H882" s="24">
        <f>IF(AND($F882="TEMP",$G882&gt;0,$M882&lt;&gt;""),$M882+$G882,"")</f>
        <v/>
      </c>
      <c r="I882" s="22" t="n"/>
      <c r="J882" s="22" t="n"/>
      <c r="K882" s="24" t="n"/>
      <c r="W882">
        <f>IF($A2="","",COUNTIF('07_Pallet_Contents'!$A$2:$A$3000,$A2))</f>
        <v/>
      </c>
      <c r="X882">
        <f>IF($A2="","",SUMIF('07_Pallet_Contents'!$A$2:$A$3000,$A2,'07_Pallet_Contents'!$D$2:$D$3000))</f>
        <v/>
      </c>
      <c r="Y882">
        <f>IF($A2="","",SUMIF('07_Pallet_Contents'!$A$2:$A$3000,$A2,'07_Pallet_Contents'!$I$2:$I$3000))</f>
        <v/>
      </c>
      <c r="Z882">
        <f>IF($A2="","",IF(COUNTIF('07_Pallet_Contents'!$A$2:$A$3000,$A2)&gt;0,"Yes",""))</f>
        <v/>
      </c>
    </row>
    <row r="883">
      <c r="B883" s="22" t="n"/>
      <c r="G883" s="25" t="n"/>
      <c r="H883" s="24">
        <f>IF(AND($F883="TEMP",$G883&gt;0,$M883&lt;&gt;""),$M883+$G883,"")</f>
        <v/>
      </c>
      <c r="I883" s="22" t="n"/>
      <c r="J883" s="22" t="n"/>
      <c r="K883" s="24" t="n"/>
      <c r="W883">
        <f>IF($A2="","",COUNTIF('07_Pallet_Contents'!$A$2:$A$3000,$A2))</f>
        <v/>
      </c>
      <c r="X883">
        <f>IF($A2="","",SUMIF('07_Pallet_Contents'!$A$2:$A$3000,$A2,'07_Pallet_Contents'!$D$2:$D$3000))</f>
        <v/>
      </c>
      <c r="Y883">
        <f>IF($A2="","",SUMIF('07_Pallet_Contents'!$A$2:$A$3000,$A2,'07_Pallet_Contents'!$I$2:$I$3000))</f>
        <v/>
      </c>
      <c r="Z883">
        <f>IF($A2="","",IF(COUNTIF('07_Pallet_Contents'!$A$2:$A$3000,$A2)&gt;0,"Yes",""))</f>
        <v/>
      </c>
    </row>
    <row r="884">
      <c r="B884" s="22" t="n"/>
      <c r="G884" s="25" t="n"/>
      <c r="H884" s="24">
        <f>IF(AND($F884="TEMP",$G884&gt;0,$M884&lt;&gt;""),$M884+$G884,"")</f>
        <v/>
      </c>
      <c r="I884" s="22" t="n"/>
      <c r="J884" s="22" t="n"/>
      <c r="K884" s="24" t="n"/>
      <c r="W884">
        <f>IF($A2="","",COUNTIF('07_Pallet_Contents'!$A$2:$A$3000,$A2))</f>
        <v/>
      </c>
      <c r="X884">
        <f>IF($A2="","",SUMIF('07_Pallet_Contents'!$A$2:$A$3000,$A2,'07_Pallet_Contents'!$D$2:$D$3000))</f>
        <v/>
      </c>
      <c r="Y884">
        <f>IF($A2="","",SUMIF('07_Pallet_Contents'!$A$2:$A$3000,$A2,'07_Pallet_Contents'!$I$2:$I$3000))</f>
        <v/>
      </c>
      <c r="Z884">
        <f>IF($A2="","",IF(COUNTIF('07_Pallet_Contents'!$A$2:$A$3000,$A2)&gt;0,"Yes",""))</f>
        <v/>
      </c>
    </row>
    <row r="885">
      <c r="B885" s="22" t="n"/>
      <c r="G885" s="25" t="n"/>
      <c r="H885" s="24">
        <f>IF(AND($F885="TEMP",$G885&gt;0,$M885&lt;&gt;""),$M885+$G885,"")</f>
        <v/>
      </c>
      <c r="I885" s="22" t="n"/>
      <c r="J885" s="22" t="n"/>
      <c r="K885" s="24" t="n"/>
      <c r="W885">
        <f>IF($A2="","",COUNTIF('07_Pallet_Contents'!$A$2:$A$3000,$A2))</f>
        <v/>
      </c>
      <c r="X885">
        <f>IF($A2="","",SUMIF('07_Pallet_Contents'!$A$2:$A$3000,$A2,'07_Pallet_Contents'!$D$2:$D$3000))</f>
        <v/>
      </c>
      <c r="Y885">
        <f>IF($A2="","",SUMIF('07_Pallet_Contents'!$A$2:$A$3000,$A2,'07_Pallet_Contents'!$I$2:$I$3000))</f>
        <v/>
      </c>
      <c r="Z885">
        <f>IF($A2="","",IF(COUNTIF('07_Pallet_Contents'!$A$2:$A$3000,$A2)&gt;0,"Yes",""))</f>
        <v/>
      </c>
    </row>
    <row r="886">
      <c r="B886" s="22" t="n"/>
      <c r="G886" s="25" t="n"/>
      <c r="H886" s="24">
        <f>IF(AND($F886="TEMP",$G886&gt;0,$M886&lt;&gt;""),$M886+$G886,"")</f>
        <v/>
      </c>
      <c r="I886" s="22" t="n"/>
      <c r="J886" s="22" t="n"/>
      <c r="K886" s="24" t="n"/>
      <c r="W886">
        <f>IF($A2="","",COUNTIF('07_Pallet_Contents'!$A$2:$A$3000,$A2))</f>
        <v/>
      </c>
      <c r="X886">
        <f>IF($A2="","",SUMIF('07_Pallet_Contents'!$A$2:$A$3000,$A2,'07_Pallet_Contents'!$D$2:$D$3000))</f>
        <v/>
      </c>
      <c r="Y886">
        <f>IF($A2="","",SUMIF('07_Pallet_Contents'!$A$2:$A$3000,$A2,'07_Pallet_Contents'!$I$2:$I$3000))</f>
        <v/>
      </c>
      <c r="Z886">
        <f>IF($A2="","",IF(COUNTIF('07_Pallet_Contents'!$A$2:$A$3000,$A2)&gt;0,"Yes",""))</f>
        <v/>
      </c>
    </row>
    <row r="887">
      <c r="B887" s="22" t="n"/>
      <c r="G887" s="25" t="n"/>
      <c r="H887" s="24">
        <f>IF(AND($F887="TEMP",$G887&gt;0,$M887&lt;&gt;""),$M887+$G887,"")</f>
        <v/>
      </c>
      <c r="I887" s="22" t="n"/>
      <c r="J887" s="22" t="n"/>
      <c r="K887" s="24" t="n"/>
      <c r="W887">
        <f>IF($A2="","",COUNTIF('07_Pallet_Contents'!$A$2:$A$3000,$A2))</f>
        <v/>
      </c>
      <c r="X887">
        <f>IF($A2="","",SUMIF('07_Pallet_Contents'!$A$2:$A$3000,$A2,'07_Pallet_Contents'!$D$2:$D$3000))</f>
        <v/>
      </c>
      <c r="Y887">
        <f>IF($A2="","",SUMIF('07_Pallet_Contents'!$A$2:$A$3000,$A2,'07_Pallet_Contents'!$I$2:$I$3000))</f>
        <v/>
      </c>
      <c r="Z887">
        <f>IF($A2="","",IF(COUNTIF('07_Pallet_Contents'!$A$2:$A$3000,$A2)&gt;0,"Yes",""))</f>
        <v/>
      </c>
    </row>
    <row r="888">
      <c r="B888" s="22" t="n"/>
      <c r="G888" s="25" t="n"/>
      <c r="H888" s="24">
        <f>IF(AND($F888="TEMP",$G888&gt;0,$M888&lt;&gt;""),$M888+$G888,"")</f>
        <v/>
      </c>
      <c r="I888" s="22" t="n"/>
      <c r="J888" s="22" t="n"/>
      <c r="K888" s="24" t="n"/>
      <c r="W888">
        <f>IF($A2="","",COUNTIF('07_Pallet_Contents'!$A$2:$A$3000,$A2))</f>
        <v/>
      </c>
      <c r="X888">
        <f>IF($A2="","",SUMIF('07_Pallet_Contents'!$A$2:$A$3000,$A2,'07_Pallet_Contents'!$D$2:$D$3000))</f>
        <v/>
      </c>
      <c r="Y888">
        <f>IF($A2="","",SUMIF('07_Pallet_Contents'!$A$2:$A$3000,$A2,'07_Pallet_Contents'!$I$2:$I$3000))</f>
        <v/>
      </c>
      <c r="Z888">
        <f>IF($A2="","",IF(COUNTIF('07_Pallet_Contents'!$A$2:$A$3000,$A2)&gt;0,"Yes",""))</f>
        <v/>
      </c>
    </row>
    <row r="889">
      <c r="B889" s="22" t="n"/>
      <c r="G889" s="25" t="n"/>
      <c r="H889" s="24">
        <f>IF(AND($F889="TEMP",$G889&gt;0,$M889&lt;&gt;""),$M889+$G889,"")</f>
        <v/>
      </c>
      <c r="I889" s="22" t="n"/>
      <c r="J889" s="22" t="n"/>
      <c r="K889" s="24" t="n"/>
      <c r="W889">
        <f>IF($A2="","",COUNTIF('07_Pallet_Contents'!$A$2:$A$3000,$A2))</f>
        <v/>
      </c>
      <c r="X889">
        <f>IF($A2="","",SUMIF('07_Pallet_Contents'!$A$2:$A$3000,$A2,'07_Pallet_Contents'!$D$2:$D$3000))</f>
        <v/>
      </c>
      <c r="Y889">
        <f>IF($A2="","",SUMIF('07_Pallet_Contents'!$A$2:$A$3000,$A2,'07_Pallet_Contents'!$I$2:$I$3000))</f>
        <v/>
      </c>
      <c r="Z889">
        <f>IF($A2="","",IF(COUNTIF('07_Pallet_Contents'!$A$2:$A$3000,$A2)&gt;0,"Yes",""))</f>
        <v/>
      </c>
    </row>
    <row r="890">
      <c r="B890" s="22" t="n"/>
      <c r="G890" s="25" t="n"/>
      <c r="H890" s="24">
        <f>IF(AND($F890="TEMP",$G890&gt;0,$M890&lt;&gt;""),$M890+$G890,"")</f>
        <v/>
      </c>
      <c r="I890" s="22" t="n"/>
      <c r="J890" s="22" t="n"/>
      <c r="K890" s="24" t="n"/>
      <c r="W890">
        <f>IF($A2="","",COUNTIF('07_Pallet_Contents'!$A$2:$A$3000,$A2))</f>
        <v/>
      </c>
      <c r="X890">
        <f>IF($A2="","",SUMIF('07_Pallet_Contents'!$A$2:$A$3000,$A2,'07_Pallet_Contents'!$D$2:$D$3000))</f>
        <v/>
      </c>
      <c r="Y890">
        <f>IF($A2="","",SUMIF('07_Pallet_Contents'!$A$2:$A$3000,$A2,'07_Pallet_Contents'!$I$2:$I$3000))</f>
        <v/>
      </c>
      <c r="Z890">
        <f>IF($A2="","",IF(COUNTIF('07_Pallet_Contents'!$A$2:$A$3000,$A2)&gt;0,"Yes",""))</f>
        <v/>
      </c>
    </row>
    <row r="891">
      <c r="B891" s="22" t="n"/>
      <c r="G891" s="25" t="n"/>
      <c r="H891" s="24">
        <f>IF(AND($F891="TEMP",$G891&gt;0,$M891&lt;&gt;""),$M891+$G891,"")</f>
        <v/>
      </c>
      <c r="I891" s="22" t="n"/>
      <c r="J891" s="22" t="n"/>
      <c r="K891" s="24" t="n"/>
      <c r="W891">
        <f>IF($A2="","",COUNTIF('07_Pallet_Contents'!$A$2:$A$3000,$A2))</f>
        <v/>
      </c>
      <c r="X891">
        <f>IF($A2="","",SUMIF('07_Pallet_Contents'!$A$2:$A$3000,$A2,'07_Pallet_Contents'!$D$2:$D$3000))</f>
        <v/>
      </c>
      <c r="Y891">
        <f>IF($A2="","",SUMIF('07_Pallet_Contents'!$A$2:$A$3000,$A2,'07_Pallet_Contents'!$I$2:$I$3000))</f>
        <v/>
      </c>
      <c r="Z891">
        <f>IF($A2="","",IF(COUNTIF('07_Pallet_Contents'!$A$2:$A$3000,$A2)&gt;0,"Yes",""))</f>
        <v/>
      </c>
    </row>
    <row r="892">
      <c r="B892" s="22" t="n"/>
      <c r="G892" s="25" t="n"/>
      <c r="H892" s="24">
        <f>IF(AND($F892="TEMP",$G892&gt;0,$M892&lt;&gt;""),$M892+$G892,"")</f>
        <v/>
      </c>
      <c r="I892" s="22" t="n"/>
      <c r="J892" s="22" t="n"/>
      <c r="K892" s="24" t="n"/>
      <c r="W892">
        <f>IF($A2="","",COUNTIF('07_Pallet_Contents'!$A$2:$A$3000,$A2))</f>
        <v/>
      </c>
      <c r="X892">
        <f>IF($A2="","",SUMIF('07_Pallet_Contents'!$A$2:$A$3000,$A2,'07_Pallet_Contents'!$D$2:$D$3000))</f>
        <v/>
      </c>
      <c r="Y892">
        <f>IF($A2="","",SUMIF('07_Pallet_Contents'!$A$2:$A$3000,$A2,'07_Pallet_Contents'!$I$2:$I$3000))</f>
        <v/>
      </c>
      <c r="Z892">
        <f>IF($A2="","",IF(COUNTIF('07_Pallet_Contents'!$A$2:$A$3000,$A2)&gt;0,"Yes",""))</f>
        <v/>
      </c>
    </row>
    <row r="893">
      <c r="B893" s="22" t="n"/>
      <c r="G893" s="25" t="n"/>
      <c r="H893" s="24">
        <f>IF(AND($F893="TEMP",$G893&gt;0,$M893&lt;&gt;""),$M893+$G893,"")</f>
        <v/>
      </c>
      <c r="I893" s="22" t="n"/>
      <c r="J893" s="22" t="n"/>
      <c r="K893" s="24" t="n"/>
      <c r="W893">
        <f>IF($A2="","",COUNTIF('07_Pallet_Contents'!$A$2:$A$3000,$A2))</f>
        <v/>
      </c>
      <c r="X893">
        <f>IF($A2="","",SUMIF('07_Pallet_Contents'!$A$2:$A$3000,$A2,'07_Pallet_Contents'!$D$2:$D$3000))</f>
        <v/>
      </c>
      <c r="Y893">
        <f>IF($A2="","",SUMIF('07_Pallet_Contents'!$A$2:$A$3000,$A2,'07_Pallet_Contents'!$I$2:$I$3000))</f>
        <v/>
      </c>
      <c r="Z893">
        <f>IF($A2="","",IF(COUNTIF('07_Pallet_Contents'!$A$2:$A$3000,$A2)&gt;0,"Yes",""))</f>
        <v/>
      </c>
    </row>
    <row r="894">
      <c r="B894" s="22" t="n"/>
      <c r="G894" s="25" t="n"/>
      <c r="H894" s="24">
        <f>IF(AND($F894="TEMP",$G894&gt;0,$M894&lt;&gt;""),$M894+$G894,"")</f>
        <v/>
      </c>
      <c r="I894" s="22" t="n"/>
      <c r="J894" s="22" t="n"/>
      <c r="K894" s="24" t="n"/>
      <c r="W894">
        <f>IF($A2="","",COUNTIF('07_Pallet_Contents'!$A$2:$A$3000,$A2))</f>
        <v/>
      </c>
      <c r="X894">
        <f>IF($A2="","",SUMIF('07_Pallet_Contents'!$A$2:$A$3000,$A2,'07_Pallet_Contents'!$D$2:$D$3000))</f>
        <v/>
      </c>
      <c r="Y894">
        <f>IF($A2="","",SUMIF('07_Pallet_Contents'!$A$2:$A$3000,$A2,'07_Pallet_Contents'!$I$2:$I$3000))</f>
        <v/>
      </c>
      <c r="Z894">
        <f>IF($A2="","",IF(COUNTIF('07_Pallet_Contents'!$A$2:$A$3000,$A2)&gt;0,"Yes",""))</f>
        <v/>
      </c>
    </row>
    <row r="895">
      <c r="B895" s="22" t="n"/>
      <c r="G895" s="25" t="n"/>
      <c r="H895" s="24">
        <f>IF(AND($F895="TEMP",$G895&gt;0,$M895&lt;&gt;""),$M895+$G895,"")</f>
        <v/>
      </c>
      <c r="I895" s="22" t="n"/>
      <c r="J895" s="22" t="n"/>
      <c r="K895" s="24" t="n"/>
      <c r="W895">
        <f>IF($A2="","",COUNTIF('07_Pallet_Contents'!$A$2:$A$3000,$A2))</f>
        <v/>
      </c>
      <c r="X895">
        <f>IF($A2="","",SUMIF('07_Pallet_Contents'!$A$2:$A$3000,$A2,'07_Pallet_Contents'!$D$2:$D$3000))</f>
        <v/>
      </c>
      <c r="Y895">
        <f>IF($A2="","",SUMIF('07_Pallet_Contents'!$A$2:$A$3000,$A2,'07_Pallet_Contents'!$I$2:$I$3000))</f>
        <v/>
      </c>
      <c r="Z895">
        <f>IF($A2="","",IF(COUNTIF('07_Pallet_Contents'!$A$2:$A$3000,$A2)&gt;0,"Yes",""))</f>
        <v/>
      </c>
    </row>
    <row r="896">
      <c r="B896" s="22" t="n"/>
      <c r="G896" s="25" t="n"/>
      <c r="H896" s="24">
        <f>IF(AND($F896="TEMP",$G896&gt;0,$M896&lt;&gt;""),$M896+$G896,"")</f>
        <v/>
      </c>
      <c r="I896" s="22" t="n"/>
      <c r="J896" s="22" t="n"/>
      <c r="K896" s="24" t="n"/>
      <c r="W896">
        <f>IF($A2="","",COUNTIF('07_Pallet_Contents'!$A$2:$A$3000,$A2))</f>
        <v/>
      </c>
      <c r="X896">
        <f>IF($A2="","",SUMIF('07_Pallet_Contents'!$A$2:$A$3000,$A2,'07_Pallet_Contents'!$D$2:$D$3000))</f>
        <v/>
      </c>
      <c r="Y896">
        <f>IF($A2="","",SUMIF('07_Pallet_Contents'!$A$2:$A$3000,$A2,'07_Pallet_Contents'!$I$2:$I$3000))</f>
        <v/>
      </c>
      <c r="Z896">
        <f>IF($A2="","",IF(COUNTIF('07_Pallet_Contents'!$A$2:$A$3000,$A2)&gt;0,"Yes",""))</f>
        <v/>
      </c>
    </row>
    <row r="897">
      <c r="B897" s="22" t="n"/>
      <c r="G897" s="25" t="n"/>
      <c r="H897" s="24">
        <f>IF(AND($F897="TEMP",$G897&gt;0,$M897&lt;&gt;""),$M897+$G897,"")</f>
        <v/>
      </c>
      <c r="I897" s="22" t="n"/>
      <c r="J897" s="22" t="n"/>
      <c r="K897" s="24" t="n"/>
      <c r="W897">
        <f>IF($A2="","",COUNTIF('07_Pallet_Contents'!$A$2:$A$3000,$A2))</f>
        <v/>
      </c>
      <c r="X897">
        <f>IF($A2="","",SUMIF('07_Pallet_Contents'!$A$2:$A$3000,$A2,'07_Pallet_Contents'!$D$2:$D$3000))</f>
        <v/>
      </c>
      <c r="Y897">
        <f>IF($A2="","",SUMIF('07_Pallet_Contents'!$A$2:$A$3000,$A2,'07_Pallet_Contents'!$I$2:$I$3000))</f>
        <v/>
      </c>
      <c r="Z897">
        <f>IF($A2="","",IF(COUNTIF('07_Pallet_Contents'!$A$2:$A$3000,$A2)&gt;0,"Yes",""))</f>
        <v/>
      </c>
    </row>
    <row r="898">
      <c r="B898" s="22" t="n"/>
      <c r="G898" s="25" t="n"/>
      <c r="H898" s="24">
        <f>IF(AND($F898="TEMP",$G898&gt;0,$M898&lt;&gt;""),$M898+$G898,"")</f>
        <v/>
      </c>
      <c r="I898" s="22" t="n"/>
      <c r="J898" s="22" t="n"/>
      <c r="K898" s="24" t="n"/>
      <c r="W898">
        <f>IF($A2="","",COUNTIF('07_Pallet_Contents'!$A$2:$A$3000,$A2))</f>
        <v/>
      </c>
      <c r="X898">
        <f>IF($A2="","",SUMIF('07_Pallet_Contents'!$A$2:$A$3000,$A2,'07_Pallet_Contents'!$D$2:$D$3000))</f>
        <v/>
      </c>
      <c r="Y898">
        <f>IF($A2="","",SUMIF('07_Pallet_Contents'!$A$2:$A$3000,$A2,'07_Pallet_Contents'!$I$2:$I$3000))</f>
        <v/>
      </c>
      <c r="Z898">
        <f>IF($A2="","",IF(COUNTIF('07_Pallet_Contents'!$A$2:$A$3000,$A2)&gt;0,"Yes",""))</f>
        <v/>
      </c>
    </row>
    <row r="899">
      <c r="B899" s="22" t="n"/>
      <c r="G899" s="25" t="n"/>
      <c r="H899" s="24">
        <f>IF(AND($F899="TEMP",$G899&gt;0,$M899&lt;&gt;""),$M899+$G899,"")</f>
        <v/>
      </c>
      <c r="I899" s="22" t="n"/>
      <c r="J899" s="22" t="n"/>
      <c r="K899" s="24" t="n"/>
      <c r="W899">
        <f>IF($A2="","",COUNTIF('07_Pallet_Contents'!$A$2:$A$3000,$A2))</f>
        <v/>
      </c>
      <c r="X899">
        <f>IF($A2="","",SUMIF('07_Pallet_Contents'!$A$2:$A$3000,$A2,'07_Pallet_Contents'!$D$2:$D$3000))</f>
        <v/>
      </c>
      <c r="Y899">
        <f>IF($A2="","",SUMIF('07_Pallet_Contents'!$A$2:$A$3000,$A2,'07_Pallet_Contents'!$I$2:$I$3000))</f>
        <v/>
      </c>
      <c r="Z899">
        <f>IF($A2="","",IF(COUNTIF('07_Pallet_Contents'!$A$2:$A$3000,$A2)&gt;0,"Yes",""))</f>
        <v/>
      </c>
    </row>
    <row r="900">
      <c r="B900" s="22" t="n"/>
      <c r="G900" s="25" t="n"/>
      <c r="H900" s="24">
        <f>IF(AND($F900="TEMP",$G900&gt;0,$M900&lt;&gt;""),$M900+$G900,"")</f>
        <v/>
      </c>
      <c r="I900" s="22" t="n"/>
      <c r="J900" s="22" t="n"/>
      <c r="K900" s="24" t="n"/>
      <c r="W900">
        <f>IF($A2="","",COUNTIF('07_Pallet_Contents'!$A$2:$A$3000,$A2))</f>
        <v/>
      </c>
      <c r="X900">
        <f>IF($A2="","",SUMIF('07_Pallet_Contents'!$A$2:$A$3000,$A2,'07_Pallet_Contents'!$D$2:$D$3000))</f>
        <v/>
      </c>
      <c r="Y900">
        <f>IF($A2="","",SUMIF('07_Pallet_Contents'!$A$2:$A$3000,$A2,'07_Pallet_Contents'!$I$2:$I$3000))</f>
        <v/>
      </c>
      <c r="Z900">
        <f>IF($A2="","",IF(COUNTIF('07_Pallet_Contents'!$A$2:$A$3000,$A2)&gt;0,"Yes",""))</f>
        <v/>
      </c>
    </row>
    <row r="901">
      <c r="B901" s="22" t="n"/>
      <c r="G901" s="25" t="n"/>
      <c r="H901" s="24">
        <f>IF(AND($F901="TEMP",$G901&gt;0,$M901&lt;&gt;""),$M901+$G901,"")</f>
        <v/>
      </c>
      <c r="I901" s="22" t="n"/>
      <c r="J901" s="22" t="n"/>
      <c r="K901" s="24" t="n"/>
      <c r="W901">
        <f>IF($A2="","",COUNTIF('07_Pallet_Contents'!$A$2:$A$3000,$A2))</f>
        <v/>
      </c>
      <c r="X901">
        <f>IF($A2="","",SUMIF('07_Pallet_Contents'!$A$2:$A$3000,$A2,'07_Pallet_Contents'!$D$2:$D$3000))</f>
        <v/>
      </c>
      <c r="Y901">
        <f>IF($A2="","",SUMIF('07_Pallet_Contents'!$A$2:$A$3000,$A2,'07_Pallet_Contents'!$I$2:$I$3000))</f>
        <v/>
      </c>
      <c r="Z901">
        <f>IF($A2="","",IF(COUNTIF('07_Pallet_Contents'!$A$2:$A$3000,$A2)&gt;0,"Yes",""))</f>
        <v/>
      </c>
    </row>
    <row r="902">
      <c r="B902" s="22" t="n"/>
      <c r="G902" s="25" t="n"/>
      <c r="H902" s="24">
        <f>IF(AND($F902="TEMP",$G902&gt;0,$M902&lt;&gt;""),$M902+$G902,"")</f>
        <v/>
      </c>
      <c r="I902" s="22" t="n"/>
      <c r="J902" s="22" t="n"/>
      <c r="K902" s="24" t="n"/>
      <c r="W902">
        <f>IF($A2="","",COUNTIF('07_Pallet_Contents'!$A$2:$A$3000,$A2))</f>
        <v/>
      </c>
      <c r="X902">
        <f>IF($A2="","",SUMIF('07_Pallet_Contents'!$A$2:$A$3000,$A2,'07_Pallet_Contents'!$D$2:$D$3000))</f>
        <v/>
      </c>
      <c r="Y902">
        <f>IF($A2="","",SUMIF('07_Pallet_Contents'!$A$2:$A$3000,$A2,'07_Pallet_Contents'!$I$2:$I$3000))</f>
        <v/>
      </c>
      <c r="Z902">
        <f>IF($A2="","",IF(COUNTIF('07_Pallet_Contents'!$A$2:$A$3000,$A2)&gt;0,"Yes",""))</f>
        <v/>
      </c>
    </row>
    <row r="903">
      <c r="B903" s="22" t="n"/>
      <c r="G903" s="25" t="n"/>
      <c r="H903" s="24">
        <f>IF(AND($F903="TEMP",$G903&gt;0,$M903&lt;&gt;""),$M903+$G903,"")</f>
        <v/>
      </c>
      <c r="I903" s="22" t="n"/>
      <c r="J903" s="22" t="n"/>
      <c r="K903" s="24" t="n"/>
      <c r="W903">
        <f>IF($A2="","",COUNTIF('07_Pallet_Contents'!$A$2:$A$3000,$A2))</f>
        <v/>
      </c>
      <c r="X903">
        <f>IF($A2="","",SUMIF('07_Pallet_Contents'!$A$2:$A$3000,$A2,'07_Pallet_Contents'!$D$2:$D$3000))</f>
        <v/>
      </c>
      <c r="Y903">
        <f>IF($A2="","",SUMIF('07_Pallet_Contents'!$A$2:$A$3000,$A2,'07_Pallet_Contents'!$I$2:$I$3000))</f>
        <v/>
      </c>
      <c r="Z903">
        <f>IF($A2="","",IF(COUNTIF('07_Pallet_Contents'!$A$2:$A$3000,$A2)&gt;0,"Yes",""))</f>
        <v/>
      </c>
    </row>
    <row r="904">
      <c r="B904" s="22" t="n"/>
      <c r="G904" s="25" t="n"/>
      <c r="H904" s="24">
        <f>IF(AND($F904="TEMP",$G904&gt;0,$M904&lt;&gt;""),$M904+$G904,"")</f>
        <v/>
      </c>
      <c r="I904" s="22" t="n"/>
      <c r="J904" s="22" t="n"/>
      <c r="K904" s="24" t="n"/>
      <c r="W904">
        <f>IF($A2="","",COUNTIF('07_Pallet_Contents'!$A$2:$A$3000,$A2))</f>
        <v/>
      </c>
      <c r="X904">
        <f>IF($A2="","",SUMIF('07_Pallet_Contents'!$A$2:$A$3000,$A2,'07_Pallet_Contents'!$D$2:$D$3000))</f>
        <v/>
      </c>
      <c r="Y904">
        <f>IF($A2="","",SUMIF('07_Pallet_Contents'!$A$2:$A$3000,$A2,'07_Pallet_Contents'!$I$2:$I$3000))</f>
        <v/>
      </c>
      <c r="Z904">
        <f>IF($A2="","",IF(COUNTIF('07_Pallet_Contents'!$A$2:$A$3000,$A2)&gt;0,"Yes",""))</f>
        <v/>
      </c>
    </row>
    <row r="905">
      <c r="B905" s="22" t="n"/>
      <c r="G905" s="25" t="n"/>
      <c r="H905" s="24">
        <f>IF(AND($F905="TEMP",$G905&gt;0,$M905&lt;&gt;""),$M905+$G905,"")</f>
        <v/>
      </c>
      <c r="I905" s="22" t="n"/>
      <c r="J905" s="22" t="n"/>
      <c r="K905" s="24" t="n"/>
      <c r="W905">
        <f>IF($A2="","",COUNTIF('07_Pallet_Contents'!$A$2:$A$3000,$A2))</f>
        <v/>
      </c>
      <c r="X905">
        <f>IF($A2="","",SUMIF('07_Pallet_Contents'!$A$2:$A$3000,$A2,'07_Pallet_Contents'!$D$2:$D$3000))</f>
        <v/>
      </c>
      <c r="Y905">
        <f>IF($A2="","",SUMIF('07_Pallet_Contents'!$A$2:$A$3000,$A2,'07_Pallet_Contents'!$I$2:$I$3000))</f>
        <v/>
      </c>
      <c r="Z905">
        <f>IF($A2="","",IF(COUNTIF('07_Pallet_Contents'!$A$2:$A$3000,$A2)&gt;0,"Yes",""))</f>
        <v/>
      </c>
    </row>
    <row r="906">
      <c r="B906" s="22" t="n"/>
      <c r="G906" s="25" t="n"/>
      <c r="H906" s="24">
        <f>IF(AND($F906="TEMP",$G906&gt;0,$M906&lt;&gt;""),$M906+$G906,"")</f>
        <v/>
      </c>
      <c r="I906" s="22" t="n"/>
      <c r="J906" s="22" t="n"/>
      <c r="K906" s="24" t="n"/>
      <c r="W906">
        <f>IF($A2="","",COUNTIF('07_Pallet_Contents'!$A$2:$A$3000,$A2))</f>
        <v/>
      </c>
      <c r="X906">
        <f>IF($A2="","",SUMIF('07_Pallet_Contents'!$A$2:$A$3000,$A2,'07_Pallet_Contents'!$D$2:$D$3000))</f>
        <v/>
      </c>
      <c r="Y906">
        <f>IF($A2="","",SUMIF('07_Pallet_Contents'!$A$2:$A$3000,$A2,'07_Pallet_Contents'!$I$2:$I$3000))</f>
        <v/>
      </c>
      <c r="Z906">
        <f>IF($A2="","",IF(COUNTIF('07_Pallet_Contents'!$A$2:$A$3000,$A2)&gt;0,"Yes",""))</f>
        <v/>
      </c>
    </row>
    <row r="907">
      <c r="B907" s="22" t="n"/>
      <c r="G907" s="25" t="n"/>
      <c r="H907" s="24">
        <f>IF(AND($F907="TEMP",$G907&gt;0,$M907&lt;&gt;""),$M907+$G907,"")</f>
        <v/>
      </c>
      <c r="I907" s="22" t="n"/>
      <c r="J907" s="22" t="n"/>
      <c r="K907" s="24" t="n"/>
      <c r="W907">
        <f>IF($A2="","",COUNTIF('07_Pallet_Contents'!$A$2:$A$3000,$A2))</f>
        <v/>
      </c>
      <c r="X907">
        <f>IF($A2="","",SUMIF('07_Pallet_Contents'!$A$2:$A$3000,$A2,'07_Pallet_Contents'!$D$2:$D$3000))</f>
        <v/>
      </c>
      <c r="Y907">
        <f>IF($A2="","",SUMIF('07_Pallet_Contents'!$A$2:$A$3000,$A2,'07_Pallet_Contents'!$I$2:$I$3000))</f>
        <v/>
      </c>
      <c r="Z907">
        <f>IF($A2="","",IF(COUNTIF('07_Pallet_Contents'!$A$2:$A$3000,$A2)&gt;0,"Yes",""))</f>
        <v/>
      </c>
    </row>
    <row r="908">
      <c r="B908" s="22" t="n"/>
      <c r="G908" s="25" t="n"/>
      <c r="H908" s="24">
        <f>IF(AND($F908="TEMP",$G908&gt;0,$M908&lt;&gt;""),$M908+$G908,"")</f>
        <v/>
      </c>
      <c r="I908" s="22" t="n"/>
      <c r="J908" s="22" t="n"/>
      <c r="K908" s="24" t="n"/>
      <c r="W908">
        <f>IF($A2="","",COUNTIF('07_Pallet_Contents'!$A$2:$A$3000,$A2))</f>
        <v/>
      </c>
      <c r="X908">
        <f>IF($A2="","",SUMIF('07_Pallet_Contents'!$A$2:$A$3000,$A2,'07_Pallet_Contents'!$D$2:$D$3000))</f>
        <v/>
      </c>
      <c r="Y908">
        <f>IF($A2="","",SUMIF('07_Pallet_Contents'!$A$2:$A$3000,$A2,'07_Pallet_Contents'!$I$2:$I$3000))</f>
        <v/>
      </c>
      <c r="Z908">
        <f>IF($A2="","",IF(COUNTIF('07_Pallet_Contents'!$A$2:$A$3000,$A2)&gt;0,"Yes",""))</f>
        <v/>
      </c>
    </row>
    <row r="909">
      <c r="B909" s="22" t="n"/>
      <c r="G909" s="25" t="n"/>
      <c r="H909" s="24">
        <f>IF(AND($F909="TEMP",$G909&gt;0,$M909&lt;&gt;""),$M909+$G909,"")</f>
        <v/>
      </c>
      <c r="I909" s="22" t="n"/>
      <c r="J909" s="22" t="n"/>
      <c r="K909" s="24" t="n"/>
      <c r="W909">
        <f>IF($A2="","",COUNTIF('07_Pallet_Contents'!$A$2:$A$3000,$A2))</f>
        <v/>
      </c>
      <c r="X909">
        <f>IF($A2="","",SUMIF('07_Pallet_Contents'!$A$2:$A$3000,$A2,'07_Pallet_Contents'!$D$2:$D$3000))</f>
        <v/>
      </c>
      <c r="Y909">
        <f>IF($A2="","",SUMIF('07_Pallet_Contents'!$A$2:$A$3000,$A2,'07_Pallet_Contents'!$I$2:$I$3000))</f>
        <v/>
      </c>
      <c r="Z909">
        <f>IF($A2="","",IF(COUNTIF('07_Pallet_Contents'!$A$2:$A$3000,$A2)&gt;0,"Yes",""))</f>
        <v/>
      </c>
    </row>
    <row r="910">
      <c r="B910" s="22" t="n"/>
      <c r="G910" s="25" t="n"/>
      <c r="H910" s="24">
        <f>IF(AND($F910="TEMP",$G910&gt;0,$M910&lt;&gt;""),$M910+$G910,"")</f>
        <v/>
      </c>
      <c r="I910" s="22" t="n"/>
      <c r="J910" s="22" t="n"/>
      <c r="K910" s="24" t="n"/>
      <c r="W910">
        <f>IF($A2="","",COUNTIF('07_Pallet_Contents'!$A$2:$A$3000,$A2))</f>
        <v/>
      </c>
      <c r="X910">
        <f>IF($A2="","",SUMIF('07_Pallet_Contents'!$A$2:$A$3000,$A2,'07_Pallet_Contents'!$D$2:$D$3000))</f>
        <v/>
      </c>
      <c r="Y910">
        <f>IF($A2="","",SUMIF('07_Pallet_Contents'!$A$2:$A$3000,$A2,'07_Pallet_Contents'!$I$2:$I$3000))</f>
        <v/>
      </c>
      <c r="Z910">
        <f>IF($A2="","",IF(COUNTIF('07_Pallet_Contents'!$A$2:$A$3000,$A2)&gt;0,"Yes",""))</f>
        <v/>
      </c>
    </row>
    <row r="911">
      <c r="B911" s="22" t="n"/>
      <c r="G911" s="25" t="n"/>
      <c r="H911" s="24">
        <f>IF(AND($F911="TEMP",$G911&gt;0,$M911&lt;&gt;""),$M911+$G911,"")</f>
        <v/>
      </c>
      <c r="I911" s="22" t="n"/>
      <c r="J911" s="22" t="n"/>
      <c r="K911" s="24" t="n"/>
      <c r="W911">
        <f>IF($A2="","",COUNTIF('07_Pallet_Contents'!$A$2:$A$3000,$A2))</f>
        <v/>
      </c>
      <c r="X911">
        <f>IF($A2="","",SUMIF('07_Pallet_Contents'!$A$2:$A$3000,$A2,'07_Pallet_Contents'!$D$2:$D$3000))</f>
        <v/>
      </c>
      <c r="Y911">
        <f>IF($A2="","",SUMIF('07_Pallet_Contents'!$A$2:$A$3000,$A2,'07_Pallet_Contents'!$I$2:$I$3000))</f>
        <v/>
      </c>
      <c r="Z911">
        <f>IF($A2="","",IF(COUNTIF('07_Pallet_Contents'!$A$2:$A$3000,$A2)&gt;0,"Yes",""))</f>
        <v/>
      </c>
    </row>
    <row r="912">
      <c r="B912" s="22" t="n"/>
      <c r="G912" s="25" t="n"/>
      <c r="H912" s="24">
        <f>IF(AND($F912="TEMP",$G912&gt;0,$M912&lt;&gt;""),$M912+$G912,"")</f>
        <v/>
      </c>
      <c r="I912" s="22" t="n"/>
      <c r="J912" s="22" t="n"/>
      <c r="K912" s="24" t="n"/>
      <c r="W912">
        <f>IF($A2="","",COUNTIF('07_Pallet_Contents'!$A$2:$A$3000,$A2))</f>
        <v/>
      </c>
      <c r="X912">
        <f>IF($A2="","",SUMIF('07_Pallet_Contents'!$A$2:$A$3000,$A2,'07_Pallet_Contents'!$D$2:$D$3000))</f>
        <v/>
      </c>
      <c r="Y912">
        <f>IF($A2="","",SUMIF('07_Pallet_Contents'!$A$2:$A$3000,$A2,'07_Pallet_Contents'!$I$2:$I$3000))</f>
        <v/>
      </c>
      <c r="Z912">
        <f>IF($A2="","",IF(COUNTIF('07_Pallet_Contents'!$A$2:$A$3000,$A2)&gt;0,"Yes",""))</f>
        <v/>
      </c>
    </row>
    <row r="913">
      <c r="B913" s="22" t="n"/>
      <c r="G913" s="25" t="n"/>
      <c r="H913" s="24">
        <f>IF(AND($F913="TEMP",$G913&gt;0,$M913&lt;&gt;""),$M913+$G913,"")</f>
        <v/>
      </c>
      <c r="I913" s="22" t="n"/>
      <c r="J913" s="22" t="n"/>
      <c r="K913" s="24" t="n"/>
      <c r="W913">
        <f>IF($A2="","",COUNTIF('07_Pallet_Contents'!$A$2:$A$3000,$A2))</f>
        <v/>
      </c>
      <c r="X913">
        <f>IF($A2="","",SUMIF('07_Pallet_Contents'!$A$2:$A$3000,$A2,'07_Pallet_Contents'!$D$2:$D$3000))</f>
        <v/>
      </c>
      <c r="Y913">
        <f>IF($A2="","",SUMIF('07_Pallet_Contents'!$A$2:$A$3000,$A2,'07_Pallet_Contents'!$I$2:$I$3000))</f>
        <v/>
      </c>
      <c r="Z913">
        <f>IF($A2="","",IF(COUNTIF('07_Pallet_Contents'!$A$2:$A$3000,$A2)&gt;0,"Yes",""))</f>
        <v/>
      </c>
    </row>
    <row r="914">
      <c r="B914" s="22" t="n"/>
      <c r="G914" s="25" t="n"/>
      <c r="H914" s="24">
        <f>IF(AND($F914="TEMP",$G914&gt;0,$M914&lt;&gt;""),$M914+$G914,"")</f>
        <v/>
      </c>
      <c r="I914" s="22" t="n"/>
      <c r="J914" s="22" t="n"/>
      <c r="K914" s="24" t="n"/>
      <c r="W914">
        <f>IF($A2="","",COUNTIF('07_Pallet_Contents'!$A$2:$A$3000,$A2))</f>
        <v/>
      </c>
      <c r="X914">
        <f>IF($A2="","",SUMIF('07_Pallet_Contents'!$A$2:$A$3000,$A2,'07_Pallet_Contents'!$D$2:$D$3000))</f>
        <v/>
      </c>
      <c r="Y914">
        <f>IF($A2="","",SUMIF('07_Pallet_Contents'!$A$2:$A$3000,$A2,'07_Pallet_Contents'!$I$2:$I$3000))</f>
        <v/>
      </c>
      <c r="Z914">
        <f>IF($A2="","",IF(COUNTIF('07_Pallet_Contents'!$A$2:$A$3000,$A2)&gt;0,"Yes",""))</f>
        <v/>
      </c>
    </row>
    <row r="915">
      <c r="B915" s="22" t="n"/>
      <c r="G915" s="25" t="n"/>
      <c r="H915" s="24">
        <f>IF(AND($F915="TEMP",$G915&gt;0,$M915&lt;&gt;""),$M915+$G915,"")</f>
        <v/>
      </c>
      <c r="I915" s="22" t="n"/>
      <c r="J915" s="22" t="n"/>
      <c r="K915" s="24" t="n"/>
      <c r="W915">
        <f>IF($A2="","",COUNTIF('07_Pallet_Contents'!$A$2:$A$3000,$A2))</f>
        <v/>
      </c>
      <c r="X915">
        <f>IF($A2="","",SUMIF('07_Pallet_Contents'!$A$2:$A$3000,$A2,'07_Pallet_Contents'!$D$2:$D$3000))</f>
        <v/>
      </c>
      <c r="Y915">
        <f>IF($A2="","",SUMIF('07_Pallet_Contents'!$A$2:$A$3000,$A2,'07_Pallet_Contents'!$I$2:$I$3000))</f>
        <v/>
      </c>
      <c r="Z915">
        <f>IF($A2="","",IF(COUNTIF('07_Pallet_Contents'!$A$2:$A$3000,$A2)&gt;0,"Yes",""))</f>
        <v/>
      </c>
    </row>
    <row r="916">
      <c r="B916" s="22" t="n"/>
      <c r="G916" s="25" t="n"/>
      <c r="H916" s="24">
        <f>IF(AND($F916="TEMP",$G916&gt;0,$M916&lt;&gt;""),$M916+$G916,"")</f>
        <v/>
      </c>
      <c r="I916" s="22" t="n"/>
      <c r="J916" s="22" t="n"/>
      <c r="K916" s="24" t="n"/>
      <c r="W916">
        <f>IF($A2="","",COUNTIF('07_Pallet_Contents'!$A$2:$A$3000,$A2))</f>
        <v/>
      </c>
      <c r="X916">
        <f>IF($A2="","",SUMIF('07_Pallet_Contents'!$A$2:$A$3000,$A2,'07_Pallet_Contents'!$D$2:$D$3000))</f>
        <v/>
      </c>
      <c r="Y916">
        <f>IF($A2="","",SUMIF('07_Pallet_Contents'!$A$2:$A$3000,$A2,'07_Pallet_Contents'!$I$2:$I$3000))</f>
        <v/>
      </c>
      <c r="Z916">
        <f>IF($A2="","",IF(COUNTIF('07_Pallet_Contents'!$A$2:$A$3000,$A2)&gt;0,"Yes",""))</f>
        <v/>
      </c>
    </row>
    <row r="917">
      <c r="B917" s="22" t="n"/>
      <c r="G917" s="25" t="n"/>
      <c r="H917" s="24">
        <f>IF(AND($F917="TEMP",$G917&gt;0,$M917&lt;&gt;""),$M917+$G917,"")</f>
        <v/>
      </c>
      <c r="I917" s="22" t="n"/>
      <c r="J917" s="22" t="n"/>
      <c r="K917" s="24" t="n"/>
      <c r="W917">
        <f>IF($A2="","",COUNTIF('07_Pallet_Contents'!$A$2:$A$3000,$A2))</f>
        <v/>
      </c>
      <c r="X917">
        <f>IF($A2="","",SUMIF('07_Pallet_Contents'!$A$2:$A$3000,$A2,'07_Pallet_Contents'!$D$2:$D$3000))</f>
        <v/>
      </c>
      <c r="Y917">
        <f>IF($A2="","",SUMIF('07_Pallet_Contents'!$A$2:$A$3000,$A2,'07_Pallet_Contents'!$I$2:$I$3000))</f>
        <v/>
      </c>
      <c r="Z917">
        <f>IF($A2="","",IF(COUNTIF('07_Pallet_Contents'!$A$2:$A$3000,$A2)&gt;0,"Yes",""))</f>
        <v/>
      </c>
    </row>
    <row r="918">
      <c r="B918" s="22" t="n"/>
      <c r="G918" s="25" t="n"/>
      <c r="H918" s="24">
        <f>IF(AND($F918="TEMP",$G918&gt;0,$M918&lt;&gt;""),$M918+$G918,"")</f>
        <v/>
      </c>
      <c r="I918" s="22" t="n"/>
      <c r="J918" s="22" t="n"/>
      <c r="K918" s="24" t="n"/>
      <c r="W918">
        <f>IF($A2="","",COUNTIF('07_Pallet_Contents'!$A$2:$A$3000,$A2))</f>
        <v/>
      </c>
      <c r="X918">
        <f>IF($A2="","",SUMIF('07_Pallet_Contents'!$A$2:$A$3000,$A2,'07_Pallet_Contents'!$D$2:$D$3000))</f>
        <v/>
      </c>
      <c r="Y918">
        <f>IF($A2="","",SUMIF('07_Pallet_Contents'!$A$2:$A$3000,$A2,'07_Pallet_Contents'!$I$2:$I$3000))</f>
        <v/>
      </c>
      <c r="Z918">
        <f>IF($A2="","",IF(COUNTIF('07_Pallet_Contents'!$A$2:$A$3000,$A2)&gt;0,"Yes",""))</f>
        <v/>
      </c>
    </row>
    <row r="919">
      <c r="B919" s="22" t="n"/>
      <c r="G919" s="25" t="n"/>
      <c r="H919" s="24">
        <f>IF(AND($F919="TEMP",$G919&gt;0,$M919&lt;&gt;""),$M919+$G919,"")</f>
        <v/>
      </c>
      <c r="I919" s="22" t="n"/>
      <c r="J919" s="22" t="n"/>
      <c r="K919" s="24" t="n"/>
      <c r="W919">
        <f>IF($A2="","",COUNTIF('07_Pallet_Contents'!$A$2:$A$3000,$A2))</f>
        <v/>
      </c>
      <c r="X919">
        <f>IF($A2="","",SUMIF('07_Pallet_Contents'!$A$2:$A$3000,$A2,'07_Pallet_Contents'!$D$2:$D$3000))</f>
        <v/>
      </c>
      <c r="Y919">
        <f>IF($A2="","",SUMIF('07_Pallet_Contents'!$A$2:$A$3000,$A2,'07_Pallet_Contents'!$I$2:$I$3000))</f>
        <v/>
      </c>
      <c r="Z919">
        <f>IF($A2="","",IF(COUNTIF('07_Pallet_Contents'!$A$2:$A$3000,$A2)&gt;0,"Yes",""))</f>
        <v/>
      </c>
    </row>
    <row r="920">
      <c r="B920" s="22" t="n"/>
      <c r="G920" s="25" t="n"/>
      <c r="H920" s="24">
        <f>IF(AND($F920="TEMP",$G920&gt;0,$M920&lt;&gt;""),$M920+$G920,"")</f>
        <v/>
      </c>
      <c r="I920" s="22" t="n"/>
      <c r="J920" s="22" t="n"/>
      <c r="K920" s="24" t="n"/>
      <c r="W920">
        <f>IF($A2="","",COUNTIF('07_Pallet_Contents'!$A$2:$A$3000,$A2))</f>
        <v/>
      </c>
      <c r="X920">
        <f>IF($A2="","",SUMIF('07_Pallet_Contents'!$A$2:$A$3000,$A2,'07_Pallet_Contents'!$D$2:$D$3000))</f>
        <v/>
      </c>
      <c r="Y920">
        <f>IF($A2="","",SUMIF('07_Pallet_Contents'!$A$2:$A$3000,$A2,'07_Pallet_Contents'!$I$2:$I$3000))</f>
        <v/>
      </c>
      <c r="Z920">
        <f>IF($A2="","",IF(COUNTIF('07_Pallet_Contents'!$A$2:$A$3000,$A2)&gt;0,"Yes",""))</f>
        <v/>
      </c>
    </row>
    <row r="921">
      <c r="B921" s="22" t="n"/>
      <c r="G921" s="25" t="n"/>
      <c r="H921" s="24">
        <f>IF(AND($F921="TEMP",$G921&gt;0,$M921&lt;&gt;""),$M921+$G921,"")</f>
        <v/>
      </c>
      <c r="I921" s="22" t="n"/>
      <c r="J921" s="22" t="n"/>
      <c r="K921" s="24" t="n"/>
      <c r="W921">
        <f>IF($A2="","",COUNTIF('07_Pallet_Contents'!$A$2:$A$3000,$A2))</f>
        <v/>
      </c>
      <c r="X921">
        <f>IF($A2="","",SUMIF('07_Pallet_Contents'!$A$2:$A$3000,$A2,'07_Pallet_Contents'!$D$2:$D$3000))</f>
        <v/>
      </c>
      <c r="Y921">
        <f>IF($A2="","",SUMIF('07_Pallet_Contents'!$A$2:$A$3000,$A2,'07_Pallet_Contents'!$I$2:$I$3000))</f>
        <v/>
      </c>
      <c r="Z921">
        <f>IF($A2="","",IF(COUNTIF('07_Pallet_Contents'!$A$2:$A$3000,$A2)&gt;0,"Yes",""))</f>
        <v/>
      </c>
    </row>
    <row r="922">
      <c r="B922" s="22" t="n"/>
      <c r="G922" s="25" t="n"/>
      <c r="H922" s="24">
        <f>IF(AND($F922="TEMP",$G922&gt;0,$M922&lt;&gt;""),$M922+$G922,"")</f>
        <v/>
      </c>
      <c r="I922" s="22" t="n"/>
      <c r="J922" s="22" t="n"/>
      <c r="K922" s="24" t="n"/>
      <c r="W922">
        <f>IF($A2="","",COUNTIF('07_Pallet_Contents'!$A$2:$A$3000,$A2))</f>
        <v/>
      </c>
      <c r="X922">
        <f>IF($A2="","",SUMIF('07_Pallet_Contents'!$A$2:$A$3000,$A2,'07_Pallet_Contents'!$D$2:$D$3000))</f>
        <v/>
      </c>
      <c r="Y922">
        <f>IF($A2="","",SUMIF('07_Pallet_Contents'!$A$2:$A$3000,$A2,'07_Pallet_Contents'!$I$2:$I$3000))</f>
        <v/>
      </c>
      <c r="Z922">
        <f>IF($A2="","",IF(COUNTIF('07_Pallet_Contents'!$A$2:$A$3000,$A2)&gt;0,"Yes",""))</f>
        <v/>
      </c>
    </row>
    <row r="923">
      <c r="B923" s="22" t="n"/>
      <c r="G923" s="25" t="n"/>
      <c r="H923" s="24">
        <f>IF(AND($F923="TEMP",$G923&gt;0,$M923&lt;&gt;""),$M923+$G923,"")</f>
        <v/>
      </c>
      <c r="I923" s="22" t="n"/>
      <c r="J923" s="22" t="n"/>
      <c r="K923" s="24" t="n"/>
      <c r="W923">
        <f>IF($A2="","",COUNTIF('07_Pallet_Contents'!$A$2:$A$3000,$A2))</f>
        <v/>
      </c>
      <c r="X923">
        <f>IF($A2="","",SUMIF('07_Pallet_Contents'!$A$2:$A$3000,$A2,'07_Pallet_Contents'!$D$2:$D$3000))</f>
        <v/>
      </c>
      <c r="Y923">
        <f>IF($A2="","",SUMIF('07_Pallet_Contents'!$A$2:$A$3000,$A2,'07_Pallet_Contents'!$I$2:$I$3000))</f>
        <v/>
      </c>
      <c r="Z923">
        <f>IF($A2="","",IF(COUNTIF('07_Pallet_Contents'!$A$2:$A$3000,$A2)&gt;0,"Yes",""))</f>
        <v/>
      </c>
    </row>
    <row r="924">
      <c r="B924" s="22" t="n"/>
      <c r="G924" s="25" t="n"/>
      <c r="H924" s="24">
        <f>IF(AND($F924="TEMP",$G924&gt;0,$M924&lt;&gt;""),$M924+$G924,"")</f>
        <v/>
      </c>
      <c r="I924" s="22" t="n"/>
      <c r="J924" s="22" t="n"/>
      <c r="K924" s="24" t="n"/>
      <c r="W924">
        <f>IF($A2="","",COUNTIF('07_Pallet_Contents'!$A$2:$A$3000,$A2))</f>
        <v/>
      </c>
      <c r="X924">
        <f>IF($A2="","",SUMIF('07_Pallet_Contents'!$A$2:$A$3000,$A2,'07_Pallet_Contents'!$D$2:$D$3000))</f>
        <v/>
      </c>
      <c r="Y924">
        <f>IF($A2="","",SUMIF('07_Pallet_Contents'!$A$2:$A$3000,$A2,'07_Pallet_Contents'!$I$2:$I$3000))</f>
        <v/>
      </c>
      <c r="Z924">
        <f>IF($A2="","",IF(COUNTIF('07_Pallet_Contents'!$A$2:$A$3000,$A2)&gt;0,"Yes",""))</f>
        <v/>
      </c>
    </row>
    <row r="925">
      <c r="B925" s="22" t="n"/>
      <c r="G925" s="25" t="n"/>
      <c r="H925" s="24">
        <f>IF(AND($F925="TEMP",$G925&gt;0,$M925&lt;&gt;""),$M925+$G925,"")</f>
        <v/>
      </c>
      <c r="I925" s="22" t="n"/>
      <c r="J925" s="22" t="n"/>
      <c r="K925" s="24" t="n"/>
      <c r="W925">
        <f>IF($A2="","",COUNTIF('07_Pallet_Contents'!$A$2:$A$3000,$A2))</f>
        <v/>
      </c>
      <c r="X925">
        <f>IF($A2="","",SUMIF('07_Pallet_Contents'!$A$2:$A$3000,$A2,'07_Pallet_Contents'!$D$2:$D$3000))</f>
        <v/>
      </c>
      <c r="Y925">
        <f>IF($A2="","",SUMIF('07_Pallet_Contents'!$A$2:$A$3000,$A2,'07_Pallet_Contents'!$I$2:$I$3000))</f>
        <v/>
      </c>
      <c r="Z925">
        <f>IF($A2="","",IF(COUNTIF('07_Pallet_Contents'!$A$2:$A$3000,$A2)&gt;0,"Yes",""))</f>
        <v/>
      </c>
    </row>
    <row r="926">
      <c r="B926" s="22" t="n"/>
      <c r="G926" s="25" t="n"/>
      <c r="H926" s="24">
        <f>IF(AND($F926="TEMP",$G926&gt;0,$M926&lt;&gt;""),$M926+$G926,"")</f>
        <v/>
      </c>
      <c r="I926" s="22" t="n"/>
      <c r="J926" s="22" t="n"/>
      <c r="K926" s="24" t="n"/>
      <c r="W926">
        <f>IF($A2="","",COUNTIF('07_Pallet_Contents'!$A$2:$A$3000,$A2))</f>
        <v/>
      </c>
      <c r="X926">
        <f>IF($A2="","",SUMIF('07_Pallet_Contents'!$A$2:$A$3000,$A2,'07_Pallet_Contents'!$D$2:$D$3000))</f>
        <v/>
      </c>
      <c r="Y926">
        <f>IF($A2="","",SUMIF('07_Pallet_Contents'!$A$2:$A$3000,$A2,'07_Pallet_Contents'!$I$2:$I$3000))</f>
        <v/>
      </c>
      <c r="Z926">
        <f>IF($A2="","",IF(COUNTIF('07_Pallet_Contents'!$A$2:$A$3000,$A2)&gt;0,"Yes",""))</f>
        <v/>
      </c>
    </row>
    <row r="927">
      <c r="B927" s="22" t="n"/>
      <c r="G927" s="25" t="n"/>
      <c r="H927" s="24">
        <f>IF(AND($F927="TEMP",$G927&gt;0,$M927&lt;&gt;""),$M927+$G927,"")</f>
        <v/>
      </c>
      <c r="I927" s="22" t="n"/>
      <c r="J927" s="22" t="n"/>
      <c r="K927" s="24" t="n"/>
      <c r="W927">
        <f>IF($A2="","",COUNTIF('07_Pallet_Contents'!$A$2:$A$3000,$A2))</f>
        <v/>
      </c>
      <c r="X927">
        <f>IF($A2="","",SUMIF('07_Pallet_Contents'!$A$2:$A$3000,$A2,'07_Pallet_Contents'!$D$2:$D$3000))</f>
        <v/>
      </c>
      <c r="Y927">
        <f>IF($A2="","",SUMIF('07_Pallet_Contents'!$A$2:$A$3000,$A2,'07_Pallet_Contents'!$I$2:$I$3000))</f>
        <v/>
      </c>
      <c r="Z927">
        <f>IF($A2="","",IF(COUNTIF('07_Pallet_Contents'!$A$2:$A$3000,$A2)&gt;0,"Yes",""))</f>
        <v/>
      </c>
    </row>
    <row r="928">
      <c r="B928" s="22" t="n"/>
      <c r="G928" s="25" t="n"/>
      <c r="H928" s="24">
        <f>IF(AND($F928="TEMP",$G928&gt;0,$M928&lt;&gt;""),$M928+$G928,"")</f>
        <v/>
      </c>
      <c r="I928" s="22" t="n"/>
      <c r="J928" s="22" t="n"/>
      <c r="K928" s="24" t="n"/>
      <c r="W928">
        <f>IF($A2="","",COUNTIF('07_Pallet_Contents'!$A$2:$A$3000,$A2))</f>
        <v/>
      </c>
      <c r="X928">
        <f>IF($A2="","",SUMIF('07_Pallet_Contents'!$A$2:$A$3000,$A2,'07_Pallet_Contents'!$D$2:$D$3000))</f>
        <v/>
      </c>
      <c r="Y928">
        <f>IF($A2="","",SUMIF('07_Pallet_Contents'!$A$2:$A$3000,$A2,'07_Pallet_Contents'!$I$2:$I$3000))</f>
        <v/>
      </c>
      <c r="Z928">
        <f>IF($A2="","",IF(COUNTIF('07_Pallet_Contents'!$A$2:$A$3000,$A2)&gt;0,"Yes",""))</f>
        <v/>
      </c>
    </row>
    <row r="929">
      <c r="B929" s="22" t="n"/>
      <c r="G929" s="25" t="n"/>
      <c r="H929" s="24">
        <f>IF(AND($F929="TEMP",$G929&gt;0,$M929&lt;&gt;""),$M929+$G929,"")</f>
        <v/>
      </c>
      <c r="I929" s="22" t="n"/>
      <c r="J929" s="22" t="n"/>
      <c r="K929" s="24" t="n"/>
      <c r="W929">
        <f>IF($A2="","",COUNTIF('07_Pallet_Contents'!$A$2:$A$3000,$A2))</f>
        <v/>
      </c>
      <c r="X929">
        <f>IF($A2="","",SUMIF('07_Pallet_Contents'!$A$2:$A$3000,$A2,'07_Pallet_Contents'!$D$2:$D$3000))</f>
        <v/>
      </c>
      <c r="Y929">
        <f>IF($A2="","",SUMIF('07_Pallet_Contents'!$A$2:$A$3000,$A2,'07_Pallet_Contents'!$I$2:$I$3000))</f>
        <v/>
      </c>
      <c r="Z929">
        <f>IF($A2="","",IF(COUNTIF('07_Pallet_Contents'!$A$2:$A$3000,$A2)&gt;0,"Yes",""))</f>
        <v/>
      </c>
    </row>
    <row r="930">
      <c r="B930" s="22" t="n"/>
      <c r="G930" s="25" t="n"/>
      <c r="H930" s="24">
        <f>IF(AND($F930="TEMP",$G930&gt;0,$M930&lt;&gt;""),$M930+$G930,"")</f>
        <v/>
      </c>
      <c r="I930" s="22" t="n"/>
      <c r="J930" s="22" t="n"/>
      <c r="K930" s="24" t="n"/>
      <c r="W930">
        <f>IF($A2="","",COUNTIF('07_Pallet_Contents'!$A$2:$A$3000,$A2))</f>
        <v/>
      </c>
      <c r="X930">
        <f>IF($A2="","",SUMIF('07_Pallet_Contents'!$A$2:$A$3000,$A2,'07_Pallet_Contents'!$D$2:$D$3000))</f>
        <v/>
      </c>
      <c r="Y930">
        <f>IF($A2="","",SUMIF('07_Pallet_Contents'!$A$2:$A$3000,$A2,'07_Pallet_Contents'!$I$2:$I$3000))</f>
        <v/>
      </c>
      <c r="Z930">
        <f>IF($A2="","",IF(COUNTIF('07_Pallet_Contents'!$A$2:$A$3000,$A2)&gt;0,"Yes",""))</f>
        <v/>
      </c>
    </row>
    <row r="931">
      <c r="B931" s="22" t="n"/>
      <c r="G931" s="25" t="n"/>
      <c r="H931" s="24">
        <f>IF(AND($F931="TEMP",$G931&gt;0,$M931&lt;&gt;""),$M931+$G931,"")</f>
        <v/>
      </c>
      <c r="I931" s="22" t="n"/>
      <c r="J931" s="22" t="n"/>
      <c r="K931" s="24" t="n"/>
      <c r="W931">
        <f>IF($A2="","",COUNTIF('07_Pallet_Contents'!$A$2:$A$3000,$A2))</f>
        <v/>
      </c>
      <c r="X931">
        <f>IF($A2="","",SUMIF('07_Pallet_Contents'!$A$2:$A$3000,$A2,'07_Pallet_Contents'!$D$2:$D$3000))</f>
        <v/>
      </c>
      <c r="Y931">
        <f>IF($A2="","",SUMIF('07_Pallet_Contents'!$A$2:$A$3000,$A2,'07_Pallet_Contents'!$I$2:$I$3000))</f>
        <v/>
      </c>
      <c r="Z931">
        <f>IF($A2="","",IF(COUNTIF('07_Pallet_Contents'!$A$2:$A$3000,$A2)&gt;0,"Yes",""))</f>
        <v/>
      </c>
    </row>
    <row r="932">
      <c r="B932" s="22" t="n"/>
      <c r="G932" s="25" t="n"/>
      <c r="H932" s="24">
        <f>IF(AND($F932="TEMP",$G932&gt;0,$M932&lt;&gt;""),$M932+$G932,"")</f>
        <v/>
      </c>
      <c r="I932" s="22" t="n"/>
      <c r="J932" s="22" t="n"/>
      <c r="K932" s="24" t="n"/>
      <c r="W932">
        <f>IF($A2="","",COUNTIF('07_Pallet_Contents'!$A$2:$A$3000,$A2))</f>
        <v/>
      </c>
      <c r="X932">
        <f>IF($A2="","",SUMIF('07_Pallet_Contents'!$A$2:$A$3000,$A2,'07_Pallet_Contents'!$D$2:$D$3000))</f>
        <v/>
      </c>
      <c r="Y932">
        <f>IF($A2="","",SUMIF('07_Pallet_Contents'!$A$2:$A$3000,$A2,'07_Pallet_Contents'!$I$2:$I$3000))</f>
        <v/>
      </c>
      <c r="Z932">
        <f>IF($A2="","",IF(COUNTIF('07_Pallet_Contents'!$A$2:$A$3000,$A2)&gt;0,"Yes",""))</f>
        <v/>
      </c>
    </row>
    <row r="933">
      <c r="B933" s="22" t="n"/>
      <c r="G933" s="25" t="n"/>
      <c r="H933" s="24">
        <f>IF(AND($F933="TEMP",$G933&gt;0,$M933&lt;&gt;""),$M933+$G933,"")</f>
        <v/>
      </c>
      <c r="I933" s="22" t="n"/>
      <c r="J933" s="22" t="n"/>
      <c r="K933" s="24" t="n"/>
      <c r="W933">
        <f>IF($A2="","",COUNTIF('07_Pallet_Contents'!$A$2:$A$3000,$A2))</f>
        <v/>
      </c>
      <c r="X933">
        <f>IF($A2="","",SUMIF('07_Pallet_Contents'!$A$2:$A$3000,$A2,'07_Pallet_Contents'!$D$2:$D$3000))</f>
        <v/>
      </c>
      <c r="Y933">
        <f>IF($A2="","",SUMIF('07_Pallet_Contents'!$A$2:$A$3000,$A2,'07_Pallet_Contents'!$I$2:$I$3000))</f>
        <v/>
      </c>
      <c r="Z933">
        <f>IF($A2="","",IF(COUNTIF('07_Pallet_Contents'!$A$2:$A$3000,$A2)&gt;0,"Yes",""))</f>
        <v/>
      </c>
    </row>
    <row r="934">
      <c r="B934" s="22" t="n"/>
      <c r="G934" s="25" t="n"/>
      <c r="H934" s="24">
        <f>IF(AND($F934="TEMP",$G934&gt;0,$M934&lt;&gt;""),$M934+$G934,"")</f>
        <v/>
      </c>
      <c r="I934" s="22" t="n"/>
      <c r="J934" s="22" t="n"/>
      <c r="K934" s="24" t="n"/>
      <c r="W934">
        <f>IF($A2="","",COUNTIF('07_Pallet_Contents'!$A$2:$A$3000,$A2))</f>
        <v/>
      </c>
      <c r="X934">
        <f>IF($A2="","",SUMIF('07_Pallet_Contents'!$A$2:$A$3000,$A2,'07_Pallet_Contents'!$D$2:$D$3000))</f>
        <v/>
      </c>
      <c r="Y934">
        <f>IF($A2="","",SUMIF('07_Pallet_Contents'!$A$2:$A$3000,$A2,'07_Pallet_Contents'!$I$2:$I$3000))</f>
        <v/>
      </c>
      <c r="Z934">
        <f>IF($A2="","",IF(COUNTIF('07_Pallet_Contents'!$A$2:$A$3000,$A2)&gt;0,"Yes",""))</f>
        <v/>
      </c>
    </row>
    <row r="935">
      <c r="B935" s="22" t="n"/>
      <c r="G935" s="25" t="n"/>
      <c r="H935" s="24">
        <f>IF(AND($F935="TEMP",$G935&gt;0,$M935&lt;&gt;""),$M935+$G935,"")</f>
        <v/>
      </c>
      <c r="I935" s="22" t="n"/>
      <c r="J935" s="22" t="n"/>
      <c r="K935" s="24" t="n"/>
      <c r="W935">
        <f>IF($A2="","",COUNTIF('07_Pallet_Contents'!$A$2:$A$3000,$A2))</f>
        <v/>
      </c>
      <c r="X935">
        <f>IF($A2="","",SUMIF('07_Pallet_Contents'!$A$2:$A$3000,$A2,'07_Pallet_Contents'!$D$2:$D$3000))</f>
        <v/>
      </c>
      <c r="Y935">
        <f>IF($A2="","",SUMIF('07_Pallet_Contents'!$A$2:$A$3000,$A2,'07_Pallet_Contents'!$I$2:$I$3000))</f>
        <v/>
      </c>
      <c r="Z935">
        <f>IF($A2="","",IF(COUNTIF('07_Pallet_Contents'!$A$2:$A$3000,$A2)&gt;0,"Yes",""))</f>
        <v/>
      </c>
    </row>
    <row r="936">
      <c r="B936" s="22" t="n"/>
      <c r="G936" s="25" t="n"/>
      <c r="H936" s="24">
        <f>IF(AND($F936="TEMP",$G936&gt;0,$M936&lt;&gt;""),$M936+$G936,"")</f>
        <v/>
      </c>
      <c r="I936" s="22" t="n"/>
      <c r="J936" s="22" t="n"/>
      <c r="K936" s="24" t="n"/>
      <c r="W936">
        <f>IF($A2="","",COUNTIF('07_Pallet_Contents'!$A$2:$A$3000,$A2))</f>
        <v/>
      </c>
      <c r="X936">
        <f>IF($A2="","",SUMIF('07_Pallet_Contents'!$A$2:$A$3000,$A2,'07_Pallet_Contents'!$D$2:$D$3000))</f>
        <v/>
      </c>
      <c r="Y936">
        <f>IF($A2="","",SUMIF('07_Pallet_Contents'!$A$2:$A$3000,$A2,'07_Pallet_Contents'!$I$2:$I$3000))</f>
        <v/>
      </c>
      <c r="Z936">
        <f>IF($A2="","",IF(COUNTIF('07_Pallet_Contents'!$A$2:$A$3000,$A2)&gt;0,"Yes",""))</f>
        <v/>
      </c>
    </row>
    <row r="937">
      <c r="B937" s="22" t="n"/>
      <c r="G937" s="25" t="n"/>
      <c r="H937" s="24">
        <f>IF(AND($F937="TEMP",$G937&gt;0,$M937&lt;&gt;""),$M937+$G937,"")</f>
        <v/>
      </c>
      <c r="I937" s="22" t="n"/>
      <c r="J937" s="22" t="n"/>
      <c r="K937" s="24" t="n"/>
      <c r="W937">
        <f>IF($A2="","",COUNTIF('07_Pallet_Contents'!$A$2:$A$3000,$A2))</f>
        <v/>
      </c>
      <c r="X937">
        <f>IF($A2="","",SUMIF('07_Pallet_Contents'!$A$2:$A$3000,$A2,'07_Pallet_Contents'!$D$2:$D$3000))</f>
        <v/>
      </c>
      <c r="Y937">
        <f>IF($A2="","",SUMIF('07_Pallet_Contents'!$A$2:$A$3000,$A2,'07_Pallet_Contents'!$I$2:$I$3000))</f>
        <v/>
      </c>
      <c r="Z937">
        <f>IF($A2="","",IF(COUNTIF('07_Pallet_Contents'!$A$2:$A$3000,$A2)&gt;0,"Yes",""))</f>
        <v/>
      </c>
    </row>
    <row r="938">
      <c r="B938" s="22" t="n"/>
      <c r="G938" s="25" t="n"/>
      <c r="H938" s="24">
        <f>IF(AND($F938="TEMP",$G938&gt;0,$M938&lt;&gt;""),$M938+$G938,"")</f>
        <v/>
      </c>
      <c r="I938" s="22" t="n"/>
      <c r="J938" s="22" t="n"/>
      <c r="K938" s="24" t="n"/>
      <c r="W938">
        <f>IF($A2="","",COUNTIF('07_Pallet_Contents'!$A$2:$A$3000,$A2))</f>
        <v/>
      </c>
      <c r="X938">
        <f>IF($A2="","",SUMIF('07_Pallet_Contents'!$A$2:$A$3000,$A2,'07_Pallet_Contents'!$D$2:$D$3000))</f>
        <v/>
      </c>
      <c r="Y938">
        <f>IF($A2="","",SUMIF('07_Pallet_Contents'!$A$2:$A$3000,$A2,'07_Pallet_Contents'!$I$2:$I$3000))</f>
        <v/>
      </c>
      <c r="Z938">
        <f>IF($A2="","",IF(COUNTIF('07_Pallet_Contents'!$A$2:$A$3000,$A2)&gt;0,"Yes",""))</f>
        <v/>
      </c>
    </row>
    <row r="939">
      <c r="B939" s="22" t="n"/>
      <c r="G939" s="25" t="n"/>
      <c r="H939" s="24">
        <f>IF(AND($F939="TEMP",$G939&gt;0,$M939&lt;&gt;""),$M939+$G939,"")</f>
        <v/>
      </c>
      <c r="I939" s="22" t="n"/>
      <c r="J939" s="22" t="n"/>
      <c r="K939" s="24" t="n"/>
      <c r="W939">
        <f>IF($A2="","",COUNTIF('07_Pallet_Contents'!$A$2:$A$3000,$A2))</f>
        <v/>
      </c>
      <c r="X939">
        <f>IF($A2="","",SUMIF('07_Pallet_Contents'!$A$2:$A$3000,$A2,'07_Pallet_Contents'!$D$2:$D$3000))</f>
        <v/>
      </c>
      <c r="Y939">
        <f>IF($A2="","",SUMIF('07_Pallet_Contents'!$A$2:$A$3000,$A2,'07_Pallet_Contents'!$I$2:$I$3000))</f>
        <v/>
      </c>
      <c r="Z939">
        <f>IF($A2="","",IF(COUNTIF('07_Pallet_Contents'!$A$2:$A$3000,$A2)&gt;0,"Yes",""))</f>
        <v/>
      </c>
    </row>
    <row r="940">
      <c r="B940" s="22" t="n"/>
      <c r="G940" s="25" t="n"/>
      <c r="H940" s="24">
        <f>IF(AND($F940="TEMP",$G940&gt;0,$M940&lt;&gt;""),$M940+$G940,"")</f>
        <v/>
      </c>
      <c r="I940" s="22" t="n"/>
      <c r="J940" s="22" t="n"/>
      <c r="K940" s="24" t="n"/>
      <c r="W940">
        <f>IF($A2="","",COUNTIF('07_Pallet_Contents'!$A$2:$A$3000,$A2))</f>
        <v/>
      </c>
      <c r="X940">
        <f>IF($A2="","",SUMIF('07_Pallet_Contents'!$A$2:$A$3000,$A2,'07_Pallet_Contents'!$D$2:$D$3000))</f>
        <v/>
      </c>
      <c r="Y940">
        <f>IF($A2="","",SUMIF('07_Pallet_Contents'!$A$2:$A$3000,$A2,'07_Pallet_Contents'!$I$2:$I$3000))</f>
        <v/>
      </c>
      <c r="Z940">
        <f>IF($A2="","",IF(COUNTIF('07_Pallet_Contents'!$A$2:$A$3000,$A2)&gt;0,"Yes",""))</f>
        <v/>
      </c>
    </row>
    <row r="941">
      <c r="B941" s="22" t="n"/>
      <c r="G941" s="25" t="n"/>
      <c r="H941" s="24">
        <f>IF(AND($F941="TEMP",$G941&gt;0,$M941&lt;&gt;""),$M941+$G941,"")</f>
        <v/>
      </c>
      <c r="I941" s="22" t="n"/>
      <c r="J941" s="22" t="n"/>
      <c r="K941" s="24" t="n"/>
      <c r="W941">
        <f>IF($A2="","",COUNTIF('07_Pallet_Contents'!$A$2:$A$3000,$A2))</f>
        <v/>
      </c>
      <c r="X941">
        <f>IF($A2="","",SUMIF('07_Pallet_Contents'!$A$2:$A$3000,$A2,'07_Pallet_Contents'!$D$2:$D$3000))</f>
        <v/>
      </c>
      <c r="Y941">
        <f>IF($A2="","",SUMIF('07_Pallet_Contents'!$A$2:$A$3000,$A2,'07_Pallet_Contents'!$I$2:$I$3000))</f>
        <v/>
      </c>
      <c r="Z941">
        <f>IF($A2="","",IF(COUNTIF('07_Pallet_Contents'!$A$2:$A$3000,$A2)&gt;0,"Yes",""))</f>
        <v/>
      </c>
    </row>
    <row r="942">
      <c r="B942" s="22" t="n"/>
      <c r="G942" s="25" t="n"/>
      <c r="H942" s="24">
        <f>IF(AND($F942="TEMP",$G942&gt;0,$M942&lt;&gt;""),$M942+$G942,"")</f>
        <v/>
      </c>
      <c r="I942" s="22" t="n"/>
      <c r="J942" s="22" t="n"/>
      <c r="K942" s="24" t="n"/>
      <c r="W942">
        <f>IF($A2="","",COUNTIF('07_Pallet_Contents'!$A$2:$A$3000,$A2))</f>
        <v/>
      </c>
      <c r="X942">
        <f>IF($A2="","",SUMIF('07_Pallet_Contents'!$A$2:$A$3000,$A2,'07_Pallet_Contents'!$D$2:$D$3000))</f>
        <v/>
      </c>
      <c r="Y942">
        <f>IF($A2="","",SUMIF('07_Pallet_Contents'!$A$2:$A$3000,$A2,'07_Pallet_Contents'!$I$2:$I$3000))</f>
        <v/>
      </c>
      <c r="Z942">
        <f>IF($A2="","",IF(COUNTIF('07_Pallet_Contents'!$A$2:$A$3000,$A2)&gt;0,"Yes",""))</f>
        <v/>
      </c>
    </row>
    <row r="943">
      <c r="B943" s="22" t="n"/>
      <c r="G943" s="25" t="n"/>
      <c r="H943" s="24">
        <f>IF(AND($F943="TEMP",$G943&gt;0,$M943&lt;&gt;""),$M943+$G943,"")</f>
        <v/>
      </c>
      <c r="I943" s="22" t="n"/>
      <c r="J943" s="22" t="n"/>
      <c r="K943" s="24" t="n"/>
      <c r="W943">
        <f>IF($A2="","",COUNTIF('07_Pallet_Contents'!$A$2:$A$3000,$A2))</f>
        <v/>
      </c>
      <c r="X943">
        <f>IF($A2="","",SUMIF('07_Pallet_Contents'!$A$2:$A$3000,$A2,'07_Pallet_Contents'!$D$2:$D$3000))</f>
        <v/>
      </c>
      <c r="Y943">
        <f>IF($A2="","",SUMIF('07_Pallet_Contents'!$A$2:$A$3000,$A2,'07_Pallet_Contents'!$I$2:$I$3000))</f>
        <v/>
      </c>
      <c r="Z943">
        <f>IF($A2="","",IF(COUNTIF('07_Pallet_Contents'!$A$2:$A$3000,$A2)&gt;0,"Yes",""))</f>
        <v/>
      </c>
    </row>
    <row r="944">
      <c r="B944" s="22" t="n"/>
      <c r="G944" s="25" t="n"/>
      <c r="H944" s="24">
        <f>IF(AND($F944="TEMP",$G944&gt;0,$M944&lt;&gt;""),$M944+$G944,"")</f>
        <v/>
      </c>
      <c r="I944" s="22" t="n"/>
      <c r="J944" s="22" t="n"/>
      <c r="K944" s="24" t="n"/>
      <c r="W944">
        <f>IF($A2="","",COUNTIF('07_Pallet_Contents'!$A$2:$A$3000,$A2))</f>
        <v/>
      </c>
      <c r="X944">
        <f>IF($A2="","",SUMIF('07_Pallet_Contents'!$A$2:$A$3000,$A2,'07_Pallet_Contents'!$D$2:$D$3000))</f>
        <v/>
      </c>
      <c r="Y944">
        <f>IF($A2="","",SUMIF('07_Pallet_Contents'!$A$2:$A$3000,$A2,'07_Pallet_Contents'!$I$2:$I$3000))</f>
        <v/>
      </c>
      <c r="Z944">
        <f>IF($A2="","",IF(COUNTIF('07_Pallet_Contents'!$A$2:$A$3000,$A2)&gt;0,"Yes",""))</f>
        <v/>
      </c>
    </row>
    <row r="945">
      <c r="B945" s="22" t="n"/>
      <c r="G945" s="25" t="n"/>
      <c r="H945" s="24">
        <f>IF(AND($F945="TEMP",$G945&gt;0,$M945&lt;&gt;""),$M945+$G945,"")</f>
        <v/>
      </c>
      <c r="I945" s="22" t="n"/>
      <c r="J945" s="22" t="n"/>
      <c r="K945" s="24" t="n"/>
      <c r="W945">
        <f>IF($A2="","",COUNTIF('07_Pallet_Contents'!$A$2:$A$3000,$A2))</f>
        <v/>
      </c>
      <c r="X945">
        <f>IF($A2="","",SUMIF('07_Pallet_Contents'!$A$2:$A$3000,$A2,'07_Pallet_Contents'!$D$2:$D$3000))</f>
        <v/>
      </c>
      <c r="Y945">
        <f>IF($A2="","",SUMIF('07_Pallet_Contents'!$A$2:$A$3000,$A2,'07_Pallet_Contents'!$I$2:$I$3000))</f>
        <v/>
      </c>
      <c r="Z945">
        <f>IF($A2="","",IF(COUNTIF('07_Pallet_Contents'!$A$2:$A$3000,$A2)&gt;0,"Yes",""))</f>
        <v/>
      </c>
    </row>
    <row r="946">
      <c r="B946" s="22" t="n"/>
      <c r="G946" s="25" t="n"/>
      <c r="H946" s="24">
        <f>IF(AND($F946="TEMP",$G946&gt;0,$M946&lt;&gt;""),$M946+$G946,"")</f>
        <v/>
      </c>
      <c r="I946" s="22" t="n"/>
      <c r="J946" s="22" t="n"/>
      <c r="K946" s="24" t="n"/>
      <c r="W946">
        <f>IF($A2="","",COUNTIF('07_Pallet_Contents'!$A$2:$A$3000,$A2))</f>
        <v/>
      </c>
      <c r="X946">
        <f>IF($A2="","",SUMIF('07_Pallet_Contents'!$A$2:$A$3000,$A2,'07_Pallet_Contents'!$D$2:$D$3000))</f>
        <v/>
      </c>
      <c r="Y946">
        <f>IF($A2="","",SUMIF('07_Pallet_Contents'!$A$2:$A$3000,$A2,'07_Pallet_Contents'!$I$2:$I$3000))</f>
        <v/>
      </c>
      <c r="Z946">
        <f>IF($A2="","",IF(COUNTIF('07_Pallet_Contents'!$A$2:$A$3000,$A2)&gt;0,"Yes",""))</f>
        <v/>
      </c>
    </row>
    <row r="947">
      <c r="B947" s="22" t="n"/>
      <c r="G947" s="25" t="n"/>
      <c r="H947" s="24">
        <f>IF(AND($F947="TEMP",$G947&gt;0,$M947&lt;&gt;""),$M947+$G947,"")</f>
        <v/>
      </c>
      <c r="I947" s="22" t="n"/>
      <c r="J947" s="22" t="n"/>
      <c r="K947" s="24" t="n"/>
      <c r="W947">
        <f>IF($A2="","",COUNTIF('07_Pallet_Contents'!$A$2:$A$3000,$A2))</f>
        <v/>
      </c>
      <c r="X947">
        <f>IF($A2="","",SUMIF('07_Pallet_Contents'!$A$2:$A$3000,$A2,'07_Pallet_Contents'!$D$2:$D$3000))</f>
        <v/>
      </c>
      <c r="Y947">
        <f>IF($A2="","",SUMIF('07_Pallet_Contents'!$A$2:$A$3000,$A2,'07_Pallet_Contents'!$I$2:$I$3000))</f>
        <v/>
      </c>
      <c r="Z947">
        <f>IF($A2="","",IF(COUNTIF('07_Pallet_Contents'!$A$2:$A$3000,$A2)&gt;0,"Yes",""))</f>
        <v/>
      </c>
    </row>
    <row r="948">
      <c r="B948" s="22" t="n"/>
      <c r="G948" s="25" t="n"/>
      <c r="H948" s="24">
        <f>IF(AND($F948="TEMP",$G948&gt;0,$M948&lt;&gt;""),$M948+$G948,"")</f>
        <v/>
      </c>
      <c r="I948" s="22" t="n"/>
      <c r="J948" s="22" t="n"/>
      <c r="K948" s="24" t="n"/>
      <c r="W948">
        <f>IF($A2="","",COUNTIF('07_Pallet_Contents'!$A$2:$A$3000,$A2))</f>
        <v/>
      </c>
      <c r="X948">
        <f>IF($A2="","",SUMIF('07_Pallet_Contents'!$A$2:$A$3000,$A2,'07_Pallet_Contents'!$D$2:$D$3000))</f>
        <v/>
      </c>
      <c r="Y948">
        <f>IF($A2="","",SUMIF('07_Pallet_Contents'!$A$2:$A$3000,$A2,'07_Pallet_Contents'!$I$2:$I$3000))</f>
        <v/>
      </c>
      <c r="Z948">
        <f>IF($A2="","",IF(COUNTIF('07_Pallet_Contents'!$A$2:$A$3000,$A2)&gt;0,"Yes",""))</f>
        <v/>
      </c>
    </row>
    <row r="949">
      <c r="B949" s="22" t="n"/>
      <c r="G949" s="25" t="n"/>
      <c r="H949" s="24">
        <f>IF(AND($F949="TEMP",$G949&gt;0,$M949&lt;&gt;""),$M949+$G949,"")</f>
        <v/>
      </c>
      <c r="I949" s="22" t="n"/>
      <c r="J949" s="22" t="n"/>
      <c r="K949" s="24" t="n"/>
      <c r="W949">
        <f>IF($A2="","",COUNTIF('07_Pallet_Contents'!$A$2:$A$3000,$A2))</f>
        <v/>
      </c>
      <c r="X949">
        <f>IF($A2="","",SUMIF('07_Pallet_Contents'!$A$2:$A$3000,$A2,'07_Pallet_Contents'!$D$2:$D$3000))</f>
        <v/>
      </c>
      <c r="Y949">
        <f>IF($A2="","",SUMIF('07_Pallet_Contents'!$A$2:$A$3000,$A2,'07_Pallet_Contents'!$I$2:$I$3000))</f>
        <v/>
      </c>
      <c r="Z949">
        <f>IF($A2="","",IF(COUNTIF('07_Pallet_Contents'!$A$2:$A$3000,$A2)&gt;0,"Yes",""))</f>
        <v/>
      </c>
    </row>
    <row r="950">
      <c r="B950" s="22" t="n"/>
      <c r="G950" s="25" t="n"/>
      <c r="H950" s="24">
        <f>IF(AND($F950="TEMP",$G950&gt;0,$M950&lt;&gt;""),$M950+$G950,"")</f>
        <v/>
      </c>
      <c r="I950" s="22" t="n"/>
      <c r="J950" s="22" t="n"/>
      <c r="K950" s="24" t="n"/>
      <c r="W950">
        <f>IF($A2="","",COUNTIF('07_Pallet_Contents'!$A$2:$A$3000,$A2))</f>
        <v/>
      </c>
      <c r="X950">
        <f>IF($A2="","",SUMIF('07_Pallet_Contents'!$A$2:$A$3000,$A2,'07_Pallet_Contents'!$D$2:$D$3000))</f>
        <v/>
      </c>
      <c r="Y950">
        <f>IF($A2="","",SUMIF('07_Pallet_Contents'!$A$2:$A$3000,$A2,'07_Pallet_Contents'!$I$2:$I$3000))</f>
        <v/>
      </c>
      <c r="Z950">
        <f>IF($A2="","",IF(COUNTIF('07_Pallet_Contents'!$A$2:$A$3000,$A2)&gt;0,"Yes",""))</f>
        <v/>
      </c>
    </row>
    <row r="951">
      <c r="B951" s="22" t="n"/>
      <c r="G951" s="25" t="n"/>
      <c r="H951" s="24">
        <f>IF(AND($F951="TEMP",$G951&gt;0,$M951&lt;&gt;""),$M951+$G951,"")</f>
        <v/>
      </c>
      <c r="I951" s="22" t="n"/>
      <c r="J951" s="22" t="n"/>
      <c r="K951" s="24" t="n"/>
      <c r="W951">
        <f>IF($A2="","",COUNTIF('07_Pallet_Contents'!$A$2:$A$3000,$A2))</f>
        <v/>
      </c>
      <c r="X951">
        <f>IF($A2="","",SUMIF('07_Pallet_Contents'!$A$2:$A$3000,$A2,'07_Pallet_Contents'!$D$2:$D$3000))</f>
        <v/>
      </c>
      <c r="Y951">
        <f>IF($A2="","",SUMIF('07_Pallet_Contents'!$A$2:$A$3000,$A2,'07_Pallet_Contents'!$I$2:$I$3000))</f>
        <v/>
      </c>
      <c r="Z951">
        <f>IF($A2="","",IF(COUNTIF('07_Pallet_Contents'!$A$2:$A$3000,$A2)&gt;0,"Yes",""))</f>
        <v/>
      </c>
    </row>
    <row r="952">
      <c r="B952" s="22" t="n"/>
      <c r="G952" s="25" t="n"/>
      <c r="H952" s="24">
        <f>IF(AND($F952="TEMP",$G952&gt;0,$M952&lt;&gt;""),$M952+$G952,"")</f>
        <v/>
      </c>
      <c r="I952" s="22" t="n"/>
      <c r="J952" s="22" t="n"/>
      <c r="K952" s="24" t="n"/>
      <c r="W952">
        <f>IF($A2="","",COUNTIF('07_Pallet_Contents'!$A$2:$A$3000,$A2))</f>
        <v/>
      </c>
      <c r="X952">
        <f>IF($A2="","",SUMIF('07_Pallet_Contents'!$A$2:$A$3000,$A2,'07_Pallet_Contents'!$D$2:$D$3000))</f>
        <v/>
      </c>
      <c r="Y952">
        <f>IF($A2="","",SUMIF('07_Pallet_Contents'!$A$2:$A$3000,$A2,'07_Pallet_Contents'!$I$2:$I$3000))</f>
        <v/>
      </c>
      <c r="Z952">
        <f>IF($A2="","",IF(COUNTIF('07_Pallet_Contents'!$A$2:$A$3000,$A2)&gt;0,"Yes",""))</f>
        <v/>
      </c>
    </row>
    <row r="953">
      <c r="B953" s="22" t="n"/>
      <c r="G953" s="25" t="n"/>
      <c r="H953" s="24">
        <f>IF(AND($F953="TEMP",$G953&gt;0,$M953&lt;&gt;""),$M953+$G953,"")</f>
        <v/>
      </c>
      <c r="I953" s="22" t="n"/>
      <c r="J953" s="22" t="n"/>
      <c r="K953" s="24" t="n"/>
      <c r="W953">
        <f>IF($A2="","",COUNTIF('07_Pallet_Contents'!$A$2:$A$3000,$A2))</f>
        <v/>
      </c>
      <c r="X953">
        <f>IF($A2="","",SUMIF('07_Pallet_Contents'!$A$2:$A$3000,$A2,'07_Pallet_Contents'!$D$2:$D$3000))</f>
        <v/>
      </c>
      <c r="Y953">
        <f>IF($A2="","",SUMIF('07_Pallet_Contents'!$A$2:$A$3000,$A2,'07_Pallet_Contents'!$I$2:$I$3000))</f>
        <v/>
      </c>
      <c r="Z953">
        <f>IF($A2="","",IF(COUNTIF('07_Pallet_Contents'!$A$2:$A$3000,$A2)&gt;0,"Yes",""))</f>
        <v/>
      </c>
    </row>
    <row r="954">
      <c r="B954" s="22" t="n"/>
      <c r="G954" s="25" t="n"/>
      <c r="H954" s="24">
        <f>IF(AND($F954="TEMP",$G954&gt;0,$M954&lt;&gt;""),$M954+$G954,"")</f>
        <v/>
      </c>
      <c r="I954" s="22" t="n"/>
      <c r="J954" s="22" t="n"/>
      <c r="K954" s="24" t="n"/>
      <c r="W954">
        <f>IF($A2="","",COUNTIF('07_Pallet_Contents'!$A$2:$A$3000,$A2))</f>
        <v/>
      </c>
      <c r="X954">
        <f>IF($A2="","",SUMIF('07_Pallet_Contents'!$A$2:$A$3000,$A2,'07_Pallet_Contents'!$D$2:$D$3000))</f>
        <v/>
      </c>
      <c r="Y954">
        <f>IF($A2="","",SUMIF('07_Pallet_Contents'!$A$2:$A$3000,$A2,'07_Pallet_Contents'!$I$2:$I$3000))</f>
        <v/>
      </c>
      <c r="Z954">
        <f>IF($A2="","",IF(COUNTIF('07_Pallet_Contents'!$A$2:$A$3000,$A2)&gt;0,"Yes",""))</f>
        <v/>
      </c>
    </row>
    <row r="955">
      <c r="B955" s="22" t="n"/>
      <c r="G955" s="25" t="n"/>
      <c r="H955" s="24">
        <f>IF(AND($F955="TEMP",$G955&gt;0,$M955&lt;&gt;""),$M955+$G955,"")</f>
        <v/>
      </c>
      <c r="I955" s="22" t="n"/>
      <c r="J955" s="22" t="n"/>
      <c r="K955" s="24" t="n"/>
      <c r="W955">
        <f>IF($A2="","",COUNTIF('07_Pallet_Contents'!$A$2:$A$3000,$A2))</f>
        <v/>
      </c>
      <c r="X955">
        <f>IF($A2="","",SUMIF('07_Pallet_Contents'!$A$2:$A$3000,$A2,'07_Pallet_Contents'!$D$2:$D$3000))</f>
        <v/>
      </c>
      <c r="Y955">
        <f>IF($A2="","",SUMIF('07_Pallet_Contents'!$A$2:$A$3000,$A2,'07_Pallet_Contents'!$I$2:$I$3000))</f>
        <v/>
      </c>
      <c r="Z955">
        <f>IF($A2="","",IF(COUNTIF('07_Pallet_Contents'!$A$2:$A$3000,$A2)&gt;0,"Yes",""))</f>
        <v/>
      </c>
    </row>
    <row r="956">
      <c r="B956" s="22" t="n"/>
      <c r="G956" s="25" t="n"/>
      <c r="H956" s="24">
        <f>IF(AND($F956="TEMP",$G956&gt;0,$M956&lt;&gt;""),$M956+$G956,"")</f>
        <v/>
      </c>
      <c r="I956" s="22" t="n"/>
      <c r="J956" s="22" t="n"/>
      <c r="K956" s="24" t="n"/>
      <c r="W956">
        <f>IF($A2="","",COUNTIF('07_Pallet_Contents'!$A$2:$A$3000,$A2))</f>
        <v/>
      </c>
      <c r="X956">
        <f>IF($A2="","",SUMIF('07_Pallet_Contents'!$A$2:$A$3000,$A2,'07_Pallet_Contents'!$D$2:$D$3000))</f>
        <v/>
      </c>
      <c r="Y956">
        <f>IF($A2="","",SUMIF('07_Pallet_Contents'!$A$2:$A$3000,$A2,'07_Pallet_Contents'!$I$2:$I$3000))</f>
        <v/>
      </c>
      <c r="Z956">
        <f>IF($A2="","",IF(COUNTIF('07_Pallet_Contents'!$A$2:$A$3000,$A2)&gt;0,"Yes",""))</f>
        <v/>
      </c>
    </row>
    <row r="957">
      <c r="B957" s="22" t="n"/>
      <c r="G957" s="25" t="n"/>
      <c r="H957" s="24">
        <f>IF(AND($F957="TEMP",$G957&gt;0,$M957&lt;&gt;""),$M957+$G957,"")</f>
        <v/>
      </c>
      <c r="I957" s="22" t="n"/>
      <c r="J957" s="22" t="n"/>
      <c r="K957" s="24" t="n"/>
      <c r="W957">
        <f>IF($A2="","",COUNTIF('07_Pallet_Contents'!$A$2:$A$3000,$A2))</f>
        <v/>
      </c>
      <c r="X957">
        <f>IF($A2="","",SUMIF('07_Pallet_Contents'!$A$2:$A$3000,$A2,'07_Pallet_Contents'!$D$2:$D$3000))</f>
        <v/>
      </c>
      <c r="Y957">
        <f>IF($A2="","",SUMIF('07_Pallet_Contents'!$A$2:$A$3000,$A2,'07_Pallet_Contents'!$I$2:$I$3000))</f>
        <v/>
      </c>
      <c r="Z957">
        <f>IF($A2="","",IF(COUNTIF('07_Pallet_Contents'!$A$2:$A$3000,$A2)&gt;0,"Yes",""))</f>
        <v/>
      </c>
    </row>
    <row r="958">
      <c r="B958" s="22" t="n"/>
      <c r="G958" s="25" t="n"/>
      <c r="H958" s="24">
        <f>IF(AND($F958="TEMP",$G958&gt;0,$M958&lt;&gt;""),$M958+$G958,"")</f>
        <v/>
      </c>
      <c r="I958" s="22" t="n"/>
      <c r="J958" s="22" t="n"/>
      <c r="K958" s="24" t="n"/>
      <c r="W958">
        <f>IF($A2="","",COUNTIF('07_Pallet_Contents'!$A$2:$A$3000,$A2))</f>
        <v/>
      </c>
      <c r="X958">
        <f>IF($A2="","",SUMIF('07_Pallet_Contents'!$A$2:$A$3000,$A2,'07_Pallet_Contents'!$D$2:$D$3000))</f>
        <v/>
      </c>
      <c r="Y958">
        <f>IF($A2="","",SUMIF('07_Pallet_Contents'!$A$2:$A$3000,$A2,'07_Pallet_Contents'!$I$2:$I$3000))</f>
        <v/>
      </c>
      <c r="Z958">
        <f>IF($A2="","",IF(COUNTIF('07_Pallet_Contents'!$A$2:$A$3000,$A2)&gt;0,"Yes",""))</f>
        <v/>
      </c>
    </row>
    <row r="959">
      <c r="B959" s="22" t="n"/>
      <c r="G959" s="25" t="n"/>
      <c r="H959" s="24">
        <f>IF(AND($F959="TEMP",$G959&gt;0,$M959&lt;&gt;""),$M959+$G959,"")</f>
        <v/>
      </c>
      <c r="I959" s="22" t="n"/>
      <c r="J959" s="22" t="n"/>
      <c r="K959" s="24" t="n"/>
      <c r="W959">
        <f>IF($A2="","",COUNTIF('07_Pallet_Contents'!$A$2:$A$3000,$A2))</f>
        <v/>
      </c>
      <c r="X959">
        <f>IF($A2="","",SUMIF('07_Pallet_Contents'!$A$2:$A$3000,$A2,'07_Pallet_Contents'!$D$2:$D$3000))</f>
        <v/>
      </c>
      <c r="Y959">
        <f>IF($A2="","",SUMIF('07_Pallet_Contents'!$A$2:$A$3000,$A2,'07_Pallet_Contents'!$I$2:$I$3000))</f>
        <v/>
      </c>
      <c r="Z959">
        <f>IF($A2="","",IF(COUNTIF('07_Pallet_Contents'!$A$2:$A$3000,$A2)&gt;0,"Yes",""))</f>
        <v/>
      </c>
    </row>
    <row r="960">
      <c r="B960" s="22" t="n"/>
      <c r="G960" s="25" t="n"/>
      <c r="H960" s="24">
        <f>IF(AND($F960="TEMP",$G960&gt;0,$M960&lt;&gt;""),$M960+$G960,"")</f>
        <v/>
      </c>
      <c r="I960" s="22" t="n"/>
      <c r="J960" s="22" t="n"/>
      <c r="K960" s="24" t="n"/>
      <c r="W960">
        <f>IF($A2="","",COUNTIF('07_Pallet_Contents'!$A$2:$A$3000,$A2))</f>
        <v/>
      </c>
      <c r="X960">
        <f>IF($A2="","",SUMIF('07_Pallet_Contents'!$A$2:$A$3000,$A2,'07_Pallet_Contents'!$D$2:$D$3000))</f>
        <v/>
      </c>
      <c r="Y960">
        <f>IF($A2="","",SUMIF('07_Pallet_Contents'!$A$2:$A$3000,$A2,'07_Pallet_Contents'!$I$2:$I$3000))</f>
        <v/>
      </c>
      <c r="Z960">
        <f>IF($A2="","",IF(COUNTIF('07_Pallet_Contents'!$A$2:$A$3000,$A2)&gt;0,"Yes",""))</f>
        <v/>
      </c>
    </row>
    <row r="961">
      <c r="B961" s="22" t="n"/>
      <c r="G961" s="25" t="n"/>
      <c r="H961" s="24">
        <f>IF(AND($F961="TEMP",$G961&gt;0,$M961&lt;&gt;""),$M961+$G961,"")</f>
        <v/>
      </c>
      <c r="I961" s="22" t="n"/>
      <c r="J961" s="22" t="n"/>
      <c r="K961" s="24" t="n"/>
      <c r="W961">
        <f>IF($A2="","",COUNTIF('07_Pallet_Contents'!$A$2:$A$3000,$A2))</f>
        <v/>
      </c>
      <c r="X961">
        <f>IF($A2="","",SUMIF('07_Pallet_Contents'!$A$2:$A$3000,$A2,'07_Pallet_Contents'!$D$2:$D$3000))</f>
        <v/>
      </c>
      <c r="Y961">
        <f>IF($A2="","",SUMIF('07_Pallet_Contents'!$A$2:$A$3000,$A2,'07_Pallet_Contents'!$I$2:$I$3000))</f>
        <v/>
      </c>
      <c r="Z961">
        <f>IF($A2="","",IF(COUNTIF('07_Pallet_Contents'!$A$2:$A$3000,$A2)&gt;0,"Yes",""))</f>
        <v/>
      </c>
    </row>
    <row r="962">
      <c r="B962" s="22" t="n"/>
      <c r="G962" s="25" t="n"/>
      <c r="H962" s="24">
        <f>IF(AND($F962="TEMP",$G962&gt;0,$M962&lt;&gt;""),$M962+$G962,"")</f>
        <v/>
      </c>
      <c r="I962" s="22" t="n"/>
      <c r="J962" s="22" t="n"/>
      <c r="K962" s="24" t="n"/>
      <c r="W962">
        <f>IF($A2="","",COUNTIF('07_Pallet_Contents'!$A$2:$A$3000,$A2))</f>
        <v/>
      </c>
      <c r="X962">
        <f>IF($A2="","",SUMIF('07_Pallet_Contents'!$A$2:$A$3000,$A2,'07_Pallet_Contents'!$D$2:$D$3000))</f>
        <v/>
      </c>
      <c r="Y962">
        <f>IF($A2="","",SUMIF('07_Pallet_Contents'!$A$2:$A$3000,$A2,'07_Pallet_Contents'!$I$2:$I$3000))</f>
        <v/>
      </c>
      <c r="Z962">
        <f>IF($A2="","",IF(COUNTIF('07_Pallet_Contents'!$A$2:$A$3000,$A2)&gt;0,"Yes",""))</f>
        <v/>
      </c>
    </row>
    <row r="963">
      <c r="B963" s="22" t="n"/>
      <c r="G963" s="25" t="n"/>
      <c r="H963" s="24">
        <f>IF(AND($F963="TEMP",$G963&gt;0,$M963&lt;&gt;""),$M963+$G963,"")</f>
        <v/>
      </c>
      <c r="I963" s="22" t="n"/>
      <c r="J963" s="22" t="n"/>
      <c r="K963" s="24" t="n"/>
      <c r="W963">
        <f>IF($A2="","",COUNTIF('07_Pallet_Contents'!$A$2:$A$3000,$A2))</f>
        <v/>
      </c>
      <c r="X963">
        <f>IF($A2="","",SUMIF('07_Pallet_Contents'!$A$2:$A$3000,$A2,'07_Pallet_Contents'!$D$2:$D$3000))</f>
        <v/>
      </c>
      <c r="Y963">
        <f>IF($A2="","",SUMIF('07_Pallet_Contents'!$A$2:$A$3000,$A2,'07_Pallet_Contents'!$I$2:$I$3000))</f>
        <v/>
      </c>
      <c r="Z963">
        <f>IF($A2="","",IF(COUNTIF('07_Pallet_Contents'!$A$2:$A$3000,$A2)&gt;0,"Yes",""))</f>
        <v/>
      </c>
    </row>
    <row r="964">
      <c r="B964" s="22" t="n"/>
      <c r="G964" s="25" t="n"/>
      <c r="H964" s="24">
        <f>IF(AND($F964="TEMP",$G964&gt;0,$M964&lt;&gt;""),$M964+$G964,"")</f>
        <v/>
      </c>
      <c r="I964" s="22" t="n"/>
      <c r="J964" s="22" t="n"/>
      <c r="K964" s="24" t="n"/>
      <c r="W964">
        <f>IF($A2="","",COUNTIF('07_Pallet_Contents'!$A$2:$A$3000,$A2))</f>
        <v/>
      </c>
      <c r="X964">
        <f>IF($A2="","",SUMIF('07_Pallet_Contents'!$A$2:$A$3000,$A2,'07_Pallet_Contents'!$D$2:$D$3000))</f>
        <v/>
      </c>
      <c r="Y964">
        <f>IF($A2="","",SUMIF('07_Pallet_Contents'!$A$2:$A$3000,$A2,'07_Pallet_Contents'!$I$2:$I$3000))</f>
        <v/>
      </c>
      <c r="Z964">
        <f>IF($A2="","",IF(COUNTIF('07_Pallet_Contents'!$A$2:$A$3000,$A2)&gt;0,"Yes",""))</f>
        <v/>
      </c>
    </row>
    <row r="965">
      <c r="B965" s="22" t="n"/>
      <c r="G965" s="25" t="n"/>
      <c r="H965" s="24">
        <f>IF(AND($F965="TEMP",$G965&gt;0,$M965&lt;&gt;""),$M965+$G965,"")</f>
        <v/>
      </c>
      <c r="I965" s="22" t="n"/>
      <c r="J965" s="22" t="n"/>
      <c r="K965" s="24" t="n"/>
      <c r="W965">
        <f>IF($A2="","",COUNTIF('07_Pallet_Contents'!$A$2:$A$3000,$A2))</f>
        <v/>
      </c>
      <c r="X965">
        <f>IF($A2="","",SUMIF('07_Pallet_Contents'!$A$2:$A$3000,$A2,'07_Pallet_Contents'!$D$2:$D$3000))</f>
        <v/>
      </c>
      <c r="Y965">
        <f>IF($A2="","",SUMIF('07_Pallet_Contents'!$A$2:$A$3000,$A2,'07_Pallet_Contents'!$I$2:$I$3000))</f>
        <v/>
      </c>
      <c r="Z965">
        <f>IF($A2="","",IF(COUNTIF('07_Pallet_Contents'!$A$2:$A$3000,$A2)&gt;0,"Yes",""))</f>
        <v/>
      </c>
    </row>
    <row r="966">
      <c r="B966" s="22" t="n"/>
      <c r="G966" s="25" t="n"/>
      <c r="H966" s="24">
        <f>IF(AND($F966="TEMP",$G966&gt;0,$M966&lt;&gt;""),$M966+$G966,"")</f>
        <v/>
      </c>
      <c r="I966" s="22" t="n"/>
      <c r="J966" s="22" t="n"/>
      <c r="K966" s="24" t="n"/>
      <c r="W966">
        <f>IF($A2="","",COUNTIF('07_Pallet_Contents'!$A$2:$A$3000,$A2))</f>
        <v/>
      </c>
      <c r="X966">
        <f>IF($A2="","",SUMIF('07_Pallet_Contents'!$A$2:$A$3000,$A2,'07_Pallet_Contents'!$D$2:$D$3000))</f>
        <v/>
      </c>
      <c r="Y966">
        <f>IF($A2="","",SUMIF('07_Pallet_Contents'!$A$2:$A$3000,$A2,'07_Pallet_Contents'!$I$2:$I$3000))</f>
        <v/>
      </c>
      <c r="Z966">
        <f>IF($A2="","",IF(COUNTIF('07_Pallet_Contents'!$A$2:$A$3000,$A2)&gt;0,"Yes",""))</f>
        <v/>
      </c>
    </row>
    <row r="967">
      <c r="B967" s="22" t="n"/>
      <c r="G967" s="25" t="n"/>
      <c r="H967" s="24">
        <f>IF(AND($F967="TEMP",$G967&gt;0,$M967&lt;&gt;""),$M967+$G967,"")</f>
        <v/>
      </c>
      <c r="I967" s="22" t="n"/>
      <c r="J967" s="22" t="n"/>
      <c r="K967" s="24" t="n"/>
      <c r="W967">
        <f>IF($A2="","",COUNTIF('07_Pallet_Contents'!$A$2:$A$3000,$A2))</f>
        <v/>
      </c>
      <c r="X967">
        <f>IF($A2="","",SUMIF('07_Pallet_Contents'!$A$2:$A$3000,$A2,'07_Pallet_Contents'!$D$2:$D$3000))</f>
        <v/>
      </c>
      <c r="Y967">
        <f>IF($A2="","",SUMIF('07_Pallet_Contents'!$A$2:$A$3000,$A2,'07_Pallet_Contents'!$I$2:$I$3000))</f>
        <v/>
      </c>
      <c r="Z967">
        <f>IF($A2="","",IF(COUNTIF('07_Pallet_Contents'!$A$2:$A$3000,$A2)&gt;0,"Yes",""))</f>
        <v/>
      </c>
    </row>
    <row r="968">
      <c r="B968" s="22" t="n"/>
      <c r="G968" s="25" t="n"/>
      <c r="H968" s="24">
        <f>IF(AND($F968="TEMP",$G968&gt;0,$M968&lt;&gt;""),$M968+$G968,"")</f>
        <v/>
      </c>
      <c r="I968" s="22" t="n"/>
      <c r="J968" s="22" t="n"/>
      <c r="K968" s="24" t="n"/>
      <c r="W968">
        <f>IF($A2="","",COUNTIF('07_Pallet_Contents'!$A$2:$A$3000,$A2))</f>
        <v/>
      </c>
      <c r="X968">
        <f>IF($A2="","",SUMIF('07_Pallet_Contents'!$A$2:$A$3000,$A2,'07_Pallet_Contents'!$D$2:$D$3000))</f>
        <v/>
      </c>
      <c r="Y968">
        <f>IF($A2="","",SUMIF('07_Pallet_Contents'!$A$2:$A$3000,$A2,'07_Pallet_Contents'!$I$2:$I$3000))</f>
        <v/>
      </c>
      <c r="Z968">
        <f>IF($A2="","",IF(COUNTIF('07_Pallet_Contents'!$A$2:$A$3000,$A2)&gt;0,"Yes",""))</f>
        <v/>
      </c>
    </row>
    <row r="969">
      <c r="B969" s="22" t="n"/>
      <c r="G969" s="25" t="n"/>
      <c r="H969" s="24">
        <f>IF(AND($F969="TEMP",$G969&gt;0,$M969&lt;&gt;""),$M969+$G969,"")</f>
        <v/>
      </c>
      <c r="I969" s="22" t="n"/>
      <c r="J969" s="22" t="n"/>
      <c r="K969" s="24" t="n"/>
      <c r="W969">
        <f>IF($A2="","",COUNTIF('07_Pallet_Contents'!$A$2:$A$3000,$A2))</f>
        <v/>
      </c>
      <c r="X969">
        <f>IF($A2="","",SUMIF('07_Pallet_Contents'!$A$2:$A$3000,$A2,'07_Pallet_Contents'!$D$2:$D$3000))</f>
        <v/>
      </c>
      <c r="Y969">
        <f>IF($A2="","",SUMIF('07_Pallet_Contents'!$A$2:$A$3000,$A2,'07_Pallet_Contents'!$I$2:$I$3000))</f>
        <v/>
      </c>
      <c r="Z969">
        <f>IF($A2="","",IF(COUNTIF('07_Pallet_Contents'!$A$2:$A$3000,$A2)&gt;0,"Yes",""))</f>
        <v/>
      </c>
    </row>
    <row r="970">
      <c r="B970" s="22" t="n"/>
      <c r="G970" s="25" t="n"/>
      <c r="H970" s="24">
        <f>IF(AND($F970="TEMP",$G970&gt;0,$M970&lt;&gt;""),$M970+$G970,"")</f>
        <v/>
      </c>
      <c r="I970" s="22" t="n"/>
      <c r="J970" s="22" t="n"/>
      <c r="K970" s="24" t="n"/>
      <c r="W970">
        <f>IF($A2="","",COUNTIF('07_Pallet_Contents'!$A$2:$A$3000,$A2))</f>
        <v/>
      </c>
      <c r="X970">
        <f>IF($A2="","",SUMIF('07_Pallet_Contents'!$A$2:$A$3000,$A2,'07_Pallet_Contents'!$D$2:$D$3000))</f>
        <v/>
      </c>
      <c r="Y970">
        <f>IF($A2="","",SUMIF('07_Pallet_Contents'!$A$2:$A$3000,$A2,'07_Pallet_Contents'!$I$2:$I$3000))</f>
        <v/>
      </c>
      <c r="Z970">
        <f>IF($A2="","",IF(COUNTIF('07_Pallet_Contents'!$A$2:$A$3000,$A2)&gt;0,"Yes",""))</f>
        <v/>
      </c>
    </row>
    <row r="971">
      <c r="B971" s="22" t="n"/>
      <c r="G971" s="25" t="n"/>
      <c r="H971" s="24">
        <f>IF(AND($F971="TEMP",$G971&gt;0,$M971&lt;&gt;""),$M971+$G971,"")</f>
        <v/>
      </c>
      <c r="I971" s="22" t="n"/>
      <c r="J971" s="22" t="n"/>
      <c r="K971" s="24" t="n"/>
      <c r="W971">
        <f>IF($A2="","",COUNTIF('07_Pallet_Contents'!$A$2:$A$3000,$A2))</f>
        <v/>
      </c>
      <c r="X971">
        <f>IF($A2="","",SUMIF('07_Pallet_Contents'!$A$2:$A$3000,$A2,'07_Pallet_Contents'!$D$2:$D$3000))</f>
        <v/>
      </c>
      <c r="Y971">
        <f>IF($A2="","",SUMIF('07_Pallet_Contents'!$A$2:$A$3000,$A2,'07_Pallet_Contents'!$I$2:$I$3000))</f>
        <v/>
      </c>
      <c r="Z971">
        <f>IF($A2="","",IF(COUNTIF('07_Pallet_Contents'!$A$2:$A$3000,$A2)&gt;0,"Yes",""))</f>
        <v/>
      </c>
    </row>
    <row r="972">
      <c r="B972" s="22" t="n"/>
      <c r="G972" s="25" t="n"/>
      <c r="H972" s="24">
        <f>IF(AND($F972="TEMP",$G972&gt;0,$M972&lt;&gt;""),$M972+$G972,"")</f>
        <v/>
      </c>
      <c r="I972" s="22" t="n"/>
      <c r="J972" s="22" t="n"/>
      <c r="K972" s="24" t="n"/>
      <c r="W972">
        <f>IF($A2="","",COUNTIF('07_Pallet_Contents'!$A$2:$A$3000,$A2))</f>
        <v/>
      </c>
      <c r="X972">
        <f>IF($A2="","",SUMIF('07_Pallet_Contents'!$A$2:$A$3000,$A2,'07_Pallet_Contents'!$D$2:$D$3000))</f>
        <v/>
      </c>
      <c r="Y972">
        <f>IF($A2="","",SUMIF('07_Pallet_Contents'!$A$2:$A$3000,$A2,'07_Pallet_Contents'!$I$2:$I$3000))</f>
        <v/>
      </c>
      <c r="Z972">
        <f>IF($A2="","",IF(COUNTIF('07_Pallet_Contents'!$A$2:$A$3000,$A2)&gt;0,"Yes",""))</f>
        <v/>
      </c>
    </row>
    <row r="973">
      <c r="B973" s="22" t="n"/>
      <c r="G973" s="25" t="n"/>
      <c r="H973" s="24">
        <f>IF(AND($F973="TEMP",$G973&gt;0,$M973&lt;&gt;""),$M973+$G973,"")</f>
        <v/>
      </c>
      <c r="I973" s="22" t="n"/>
      <c r="J973" s="22" t="n"/>
      <c r="K973" s="24" t="n"/>
      <c r="W973">
        <f>IF($A2="","",COUNTIF('07_Pallet_Contents'!$A$2:$A$3000,$A2))</f>
        <v/>
      </c>
      <c r="X973">
        <f>IF($A2="","",SUMIF('07_Pallet_Contents'!$A$2:$A$3000,$A2,'07_Pallet_Contents'!$D$2:$D$3000))</f>
        <v/>
      </c>
      <c r="Y973">
        <f>IF($A2="","",SUMIF('07_Pallet_Contents'!$A$2:$A$3000,$A2,'07_Pallet_Contents'!$I$2:$I$3000))</f>
        <v/>
      </c>
      <c r="Z973">
        <f>IF($A2="","",IF(COUNTIF('07_Pallet_Contents'!$A$2:$A$3000,$A2)&gt;0,"Yes",""))</f>
        <v/>
      </c>
    </row>
    <row r="974">
      <c r="B974" s="22" t="n"/>
      <c r="G974" s="25" t="n"/>
      <c r="H974" s="24">
        <f>IF(AND($F974="TEMP",$G974&gt;0,$M974&lt;&gt;""),$M974+$G974,"")</f>
        <v/>
      </c>
      <c r="I974" s="22" t="n"/>
      <c r="J974" s="22" t="n"/>
      <c r="K974" s="24" t="n"/>
      <c r="W974">
        <f>IF($A2="","",COUNTIF('07_Pallet_Contents'!$A$2:$A$3000,$A2))</f>
        <v/>
      </c>
      <c r="X974">
        <f>IF($A2="","",SUMIF('07_Pallet_Contents'!$A$2:$A$3000,$A2,'07_Pallet_Contents'!$D$2:$D$3000))</f>
        <v/>
      </c>
      <c r="Y974">
        <f>IF($A2="","",SUMIF('07_Pallet_Contents'!$A$2:$A$3000,$A2,'07_Pallet_Contents'!$I$2:$I$3000))</f>
        <v/>
      </c>
      <c r="Z974">
        <f>IF($A2="","",IF(COUNTIF('07_Pallet_Contents'!$A$2:$A$3000,$A2)&gt;0,"Yes",""))</f>
        <v/>
      </c>
    </row>
    <row r="975">
      <c r="B975" s="22" t="n"/>
      <c r="G975" s="25" t="n"/>
      <c r="H975" s="24">
        <f>IF(AND($F975="TEMP",$G975&gt;0,$M975&lt;&gt;""),$M975+$G975,"")</f>
        <v/>
      </c>
      <c r="I975" s="22" t="n"/>
      <c r="J975" s="22" t="n"/>
      <c r="K975" s="24" t="n"/>
      <c r="W975">
        <f>IF($A2="","",COUNTIF('07_Pallet_Contents'!$A$2:$A$3000,$A2))</f>
        <v/>
      </c>
      <c r="X975">
        <f>IF($A2="","",SUMIF('07_Pallet_Contents'!$A$2:$A$3000,$A2,'07_Pallet_Contents'!$D$2:$D$3000))</f>
        <v/>
      </c>
      <c r="Y975">
        <f>IF($A2="","",SUMIF('07_Pallet_Contents'!$A$2:$A$3000,$A2,'07_Pallet_Contents'!$I$2:$I$3000))</f>
        <v/>
      </c>
      <c r="Z975">
        <f>IF($A2="","",IF(COUNTIF('07_Pallet_Contents'!$A$2:$A$3000,$A2)&gt;0,"Yes",""))</f>
        <v/>
      </c>
    </row>
    <row r="976">
      <c r="B976" s="22" t="n"/>
      <c r="G976" s="25" t="n"/>
      <c r="H976" s="24">
        <f>IF(AND($F976="TEMP",$G976&gt;0,$M976&lt;&gt;""),$M976+$G976,"")</f>
        <v/>
      </c>
      <c r="I976" s="22" t="n"/>
      <c r="J976" s="22" t="n"/>
      <c r="K976" s="24" t="n"/>
      <c r="W976">
        <f>IF($A2="","",COUNTIF('07_Pallet_Contents'!$A$2:$A$3000,$A2))</f>
        <v/>
      </c>
      <c r="X976">
        <f>IF($A2="","",SUMIF('07_Pallet_Contents'!$A$2:$A$3000,$A2,'07_Pallet_Contents'!$D$2:$D$3000))</f>
        <v/>
      </c>
      <c r="Y976">
        <f>IF($A2="","",SUMIF('07_Pallet_Contents'!$A$2:$A$3000,$A2,'07_Pallet_Contents'!$I$2:$I$3000))</f>
        <v/>
      </c>
      <c r="Z976">
        <f>IF($A2="","",IF(COUNTIF('07_Pallet_Contents'!$A$2:$A$3000,$A2)&gt;0,"Yes",""))</f>
        <v/>
      </c>
    </row>
    <row r="977">
      <c r="B977" s="22" t="n"/>
      <c r="G977" s="25" t="n"/>
      <c r="H977" s="24">
        <f>IF(AND($F977="TEMP",$G977&gt;0,$M977&lt;&gt;""),$M977+$G977,"")</f>
        <v/>
      </c>
      <c r="I977" s="22" t="n"/>
      <c r="J977" s="22" t="n"/>
      <c r="K977" s="24" t="n"/>
      <c r="W977">
        <f>IF($A2="","",COUNTIF('07_Pallet_Contents'!$A$2:$A$3000,$A2))</f>
        <v/>
      </c>
      <c r="X977">
        <f>IF($A2="","",SUMIF('07_Pallet_Contents'!$A$2:$A$3000,$A2,'07_Pallet_Contents'!$D$2:$D$3000))</f>
        <v/>
      </c>
      <c r="Y977">
        <f>IF($A2="","",SUMIF('07_Pallet_Contents'!$A$2:$A$3000,$A2,'07_Pallet_Contents'!$I$2:$I$3000))</f>
        <v/>
      </c>
      <c r="Z977">
        <f>IF($A2="","",IF(COUNTIF('07_Pallet_Contents'!$A$2:$A$3000,$A2)&gt;0,"Yes",""))</f>
        <v/>
      </c>
    </row>
    <row r="978">
      <c r="B978" s="22" t="n"/>
      <c r="G978" s="25" t="n"/>
      <c r="H978" s="24">
        <f>IF(AND($F978="TEMP",$G978&gt;0,$M978&lt;&gt;""),$M978+$G978,"")</f>
        <v/>
      </c>
      <c r="I978" s="22" t="n"/>
      <c r="J978" s="22" t="n"/>
      <c r="K978" s="24" t="n"/>
      <c r="W978">
        <f>IF($A2="","",COUNTIF('07_Pallet_Contents'!$A$2:$A$3000,$A2))</f>
        <v/>
      </c>
      <c r="X978">
        <f>IF($A2="","",SUMIF('07_Pallet_Contents'!$A$2:$A$3000,$A2,'07_Pallet_Contents'!$D$2:$D$3000))</f>
        <v/>
      </c>
      <c r="Y978">
        <f>IF($A2="","",SUMIF('07_Pallet_Contents'!$A$2:$A$3000,$A2,'07_Pallet_Contents'!$I$2:$I$3000))</f>
        <v/>
      </c>
      <c r="Z978">
        <f>IF($A2="","",IF(COUNTIF('07_Pallet_Contents'!$A$2:$A$3000,$A2)&gt;0,"Yes",""))</f>
        <v/>
      </c>
    </row>
    <row r="979">
      <c r="B979" s="22" t="n"/>
      <c r="G979" s="25" t="n"/>
      <c r="H979" s="24">
        <f>IF(AND($F979="TEMP",$G979&gt;0,$M979&lt;&gt;""),$M979+$G979,"")</f>
        <v/>
      </c>
      <c r="I979" s="22" t="n"/>
      <c r="J979" s="22" t="n"/>
      <c r="K979" s="24" t="n"/>
      <c r="W979">
        <f>IF($A2="","",COUNTIF('07_Pallet_Contents'!$A$2:$A$3000,$A2))</f>
        <v/>
      </c>
      <c r="X979">
        <f>IF($A2="","",SUMIF('07_Pallet_Contents'!$A$2:$A$3000,$A2,'07_Pallet_Contents'!$D$2:$D$3000))</f>
        <v/>
      </c>
      <c r="Y979">
        <f>IF($A2="","",SUMIF('07_Pallet_Contents'!$A$2:$A$3000,$A2,'07_Pallet_Contents'!$I$2:$I$3000))</f>
        <v/>
      </c>
      <c r="Z979">
        <f>IF($A2="","",IF(COUNTIF('07_Pallet_Contents'!$A$2:$A$3000,$A2)&gt;0,"Yes",""))</f>
        <v/>
      </c>
    </row>
    <row r="980">
      <c r="B980" s="22" t="n"/>
      <c r="G980" s="25" t="n"/>
      <c r="H980" s="24">
        <f>IF(AND($F980="TEMP",$G980&gt;0,$M980&lt;&gt;""),$M980+$G980,"")</f>
        <v/>
      </c>
      <c r="I980" s="22" t="n"/>
      <c r="J980" s="22" t="n"/>
      <c r="K980" s="24" t="n"/>
      <c r="W980">
        <f>IF($A2="","",COUNTIF('07_Pallet_Contents'!$A$2:$A$3000,$A2))</f>
        <v/>
      </c>
      <c r="X980">
        <f>IF($A2="","",SUMIF('07_Pallet_Contents'!$A$2:$A$3000,$A2,'07_Pallet_Contents'!$D$2:$D$3000))</f>
        <v/>
      </c>
      <c r="Y980">
        <f>IF($A2="","",SUMIF('07_Pallet_Contents'!$A$2:$A$3000,$A2,'07_Pallet_Contents'!$I$2:$I$3000))</f>
        <v/>
      </c>
      <c r="Z980">
        <f>IF($A2="","",IF(COUNTIF('07_Pallet_Contents'!$A$2:$A$3000,$A2)&gt;0,"Yes",""))</f>
        <v/>
      </c>
    </row>
    <row r="981">
      <c r="B981" s="22" t="n"/>
      <c r="G981" s="25" t="n"/>
      <c r="H981" s="24">
        <f>IF(AND($F981="TEMP",$G981&gt;0,$M981&lt;&gt;""),$M981+$G981,"")</f>
        <v/>
      </c>
      <c r="I981" s="22" t="n"/>
      <c r="J981" s="22" t="n"/>
      <c r="K981" s="24" t="n"/>
      <c r="W981">
        <f>IF($A2="","",COUNTIF('07_Pallet_Contents'!$A$2:$A$3000,$A2))</f>
        <v/>
      </c>
      <c r="X981">
        <f>IF($A2="","",SUMIF('07_Pallet_Contents'!$A$2:$A$3000,$A2,'07_Pallet_Contents'!$D$2:$D$3000))</f>
        <v/>
      </c>
      <c r="Y981">
        <f>IF($A2="","",SUMIF('07_Pallet_Contents'!$A$2:$A$3000,$A2,'07_Pallet_Contents'!$I$2:$I$3000))</f>
        <v/>
      </c>
      <c r="Z981">
        <f>IF($A2="","",IF(COUNTIF('07_Pallet_Contents'!$A$2:$A$3000,$A2)&gt;0,"Yes",""))</f>
        <v/>
      </c>
    </row>
    <row r="982">
      <c r="B982" s="22" t="n"/>
      <c r="G982" s="25" t="n"/>
      <c r="H982" s="24">
        <f>IF(AND($F982="TEMP",$G982&gt;0,$M982&lt;&gt;""),$M982+$G982,"")</f>
        <v/>
      </c>
      <c r="I982" s="22" t="n"/>
      <c r="J982" s="22" t="n"/>
      <c r="K982" s="24" t="n"/>
      <c r="W982">
        <f>IF($A2="","",COUNTIF('07_Pallet_Contents'!$A$2:$A$3000,$A2))</f>
        <v/>
      </c>
      <c r="X982">
        <f>IF($A2="","",SUMIF('07_Pallet_Contents'!$A$2:$A$3000,$A2,'07_Pallet_Contents'!$D$2:$D$3000))</f>
        <v/>
      </c>
      <c r="Y982">
        <f>IF($A2="","",SUMIF('07_Pallet_Contents'!$A$2:$A$3000,$A2,'07_Pallet_Contents'!$I$2:$I$3000))</f>
        <v/>
      </c>
      <c r="Z982">
        <f>IF($A2="","",IF(COUNTIF('07_Pallet_Contents'!$A$2:$A$3000,$A2)&gt;0,"Yes",""))</f>
        <v/>
      </c>
    </row>
    <row r="983">
      <c r="B983" s="22" t="n"/>
      <c r="G983" s="25" t="n"/>
      <c r="H983" s="24">
        <f>IF(AND($F983="TEMP",$G983&gt;0,$M983&lt;&gt;""),$M983+$G983,"")</f>
        <v/>
      </c>
      <c r="I983" s="22" t="n"/>
      <c r="J983" s="22" t="n"/>
      <c r="K983" s="24" t="n"/>
      <c r="W983">
        <f>IF($A2="","",COUNTIF('07_Pallet_Contents'!$A$2:$A$3000,$A2))</f>
        <v/>
      </c>
      <c r="X983">
        <f>IF($A2="","",SUMIF('07_Pallet_Contents'!$A$2:$A$3000,$A2,'07_Pallet_Contents'!$D$2:$D$3000))</f>
        <v/>
      </c>
      <c r="Y983">
        <f>IF($A2="","",SUMIF('07_Pallet_Contents'!$A$2:$A$3000,$A2,'07_Pallet_Contents'!$I$2:$I$3000))</f>
        <v/>
      </c>
      <c r="Z983">
        <f>IF($A2="","",IF(COUNTIF('07_Pallet_Contents'!$A$2:$A$3000,$A2)&gt;0,"Yes",""))</f>
        <v/>
      </c>
    </row>
    <row r="984">
      <c r="B984" s="22" t="n"/>
      <c r="G984" s="25" t="n"/>
      <c r="H984" s="24">
        <f>IF(AND($F984="TEMP",$G984&gt;0,$M984&lt;&gt;""),$M984+$G984,"")</f>
        <v/>
      </c>
      <c r="I984" s="22" t="n"/>
      <c r="J984" s="22" t="n"/>
      <c r="K984" s="24" t="n"/>
      <c r="W984">
        <f>IF($A2="","",COUNTIF('07_Pallet_Contents'!$A$2:$A$3000,$A2))</f>
        <v/>
      </c>
      <c r="X984">
        <f>IF($A2="","",SUMIF('07_Pallet_Contents'!$A$2:$A$3000,$A2,'07_Pallet_Contents'!$D$2:$D$3000))</f>
        <v/>
      </c>
      <c r="Y984">
        <f>IF($A2="","",SUMIF('07_Pallet_Contents'!$A$2:$A$3000,$A2,'07_Pallet_Contents'!$I$2:$I$3000))</f>
        <v/>
      </c>
      <c r="Z984">
        <f>IF($A2="","",IF(COUNTIF('07_Pallet_Contents'!$A$2:$A$3000,$A2)&gt;0,"Yes",""))</f>
        <v/>
      </c>
    </row>
    <row r="985">
      <c r="B985" s="22" t="n"/>
      <c r="G985" s="25" t="n"/>
      <c r="H985" s="24">
        <f>IF(AND($F985="TEMP",$G985&gt;0,$M985&lt;&gt;""),$M985+$G985,"")</f>
        <v/>
      </c>
      <c r="I985" s="22" t="n"/>
      <c r="J985" s="22" t="n"/>
      <c r="K985" s="24" t="n"/>
      <c r="W985">
        <f>IF($A2="","",COUNTIF('07_Pallet_Contents'!$A$2:$A$3000,$A2))</f>
        <v/>
      </c>
      <c r="X985">
        <f>IF($A2="","",SUMIF('07_Pallet_Contents'!$A$2:$A$3000,$A2,'07_Pallet_Contents'!$D$2:$D$3000))</f>
        <v/>
      </c>
      <c r="Y985">
        <f>IF($A2="","",SUMIF('07_Pallet_Contents'!$A$2:$A$3000,$A2,'07_Pallet_Contents'!$I$2:$I$3000))</f>
        <v/>
      </c>
      <c r="Z985">
        <f>IF($A2="","",IF(COUNTIF('07_Pallet_Contents'!$A$2:$A$3000,$A2)&gt;0,"Yes",""))</f>
        <v/>
      </c>
    </row>
    <row r="986">
      <c r="B986" s="22" t="n"/>
      <c r="G986" s="25" t="n"/>
      <c r="H986" s="24">
        <f>IF(AND($F986="TEMP",$G986&gt;0,$M986&lt;&gt;""),$M986+$G986,"")</f>
        <v/>
      </c>
      <c r="I986" s="22" t="n"/>
      <c r="J986" s="22" t="n"/>
      <c r="K986" s="24" t="n"/>
      <c r="W986">
        <f>IF($A2="","",COUNTIF('07_Pallet_Contents'!$A$2:$A$3000,$A2))</f>
        <v/>
      </c>
      <c r="X986">
        <f>IF($A2="","",SUMIF('07_Pallet_Contents'!$A$2:$A$3000,$A2,'07_Pallet_Contents'!$D$2:$D$3000))</f>
        <v/>
      </c>
      <c r="Y986">
        <f>IF($A2="","",SUMIF('07_Pallet_Contents'!$A$2:$A$3000,$A2,'07_Pallet_Contents'!$I$2:$I$3000))</f>
        <v/>
      </c>
      <c r="Z986">
        <f>IF($A2="","",IF(COUNTIF('07_Pallet_Contents'!$A$2:$A$3000,$A2)&gt;0,"Yes",""))</f>
        <v/>
      </c>
    </row>
    <row r="987">
      <c r="B987" s="22" t="n"/>
      <c r="G987" s="25" t="n"/>
      <c r="H987" s="24">
        <f>IF(AND($F987="TEMP",$G987&gt;0,$M987&lt;&gt;""),$M987+$G987,"")</f>
        <v/>
      </c>
      <c r="I987" s="22" t="n"/>
      <c r="J987" s="22" t="n"/>
      <c r="K987" s="24" t="n"/>
      <c r="W987">
        <f>IF($A2="","",COUNTIF('07_Pallet_Contents'!$A$2:$A$3000,$A2))</f>
        <v/>
      </c>
      <c r="X987">
        <f>IF($A2="","",SUMIF('07_Pallet_Contents'!$A$2:$A$3000,$A2,'07_Pallet_Contents'!$D$2:$D$3000))</f>
        <v/>
      </c>
      <c r="Y987">
        <f>IF($A2="","",SUMIF('07_Pallet_Contents'!$A$2:$A$3000,$A2,'07_Pallet_Contents'!$I$2:$I$3000))</f>
        <v/>
      </c>
      <c r="Z987">
        <f>IF($A2="","",IF(COUNTIF('07_Pallet_Contents'!$A$2:$A$3000,$A2)&gt;0,"Yes",""))</f>
        <v/>
      </c>
    </row>
    <row r="988">
      <c r="B988" s="22" t="n"/>
      <c r="G988" s="25" t="n"/>
      <c r="H988" s="24">
        <f>IF(AND($F988="TEMP",$G988&gt;0,$M988&lt;&gt;""),$M988+$G988,"")</f>
        <v/>
      </c>
      <c r="I988" s="22" t="n"/>
      <c r="J988" s="22" t="n"/>
      <c r="K988" s="24" t="n"/>
      <c r="W988">
        <f>IF($A2="","",COUNTIF('07_Pallet_Contents'!$A$2:$A$3000,$A2))</f>
        <v/>
      </c>
      <c r="X988">
        <f>IF($A2="","",SUMIF('07_Pallet_Contents'!$A$2:$A$3000,$A2,'07_Pallet_Contents'!$D$2:$D$3000))</f>
        <v/>
      </c>
      <c r="Y988">
        <f>IF($A2="","",SUMIF('07_Pallet_Contents'!$A$2:$A$3000,$A2,'07_Pallet_Contents'!$I$2:$I$3000))</f>
        <v/>
      </c>
      <c r="Z988">
        <f>IF($A2="","",IF(COUNTIF('07_Pallet_Contents'!$A$2:$A$3000,$A2)&gt;0,"Yes",""))</f>
        <v/>
      </c>
    </row>
    <row r="989">
      <c r="B989" s="22" t="n"/>
      <c r="G989" s="25" t="n"/>
      <c r="H989" s="24">
        <f>IF(AND($F989="TEMP",$G989&gt;0,$M989&lt;&gt;""),$M989+$G989,"")</f>
        <v/>
      </c>
      <c r="I989" s="22" t="n"/>
      <c r="J989" s="22" t="n"/>
      <c r="K989" s="24" t="n"/>
      <c r="W989">
        <f>IF($A2="","",COUNTIF('07_Pallet_Contents'!$A$2:$A$3000,$A2))</f>
        <v/>
      </c>
      <c r="X989">
        <f>IF($A2="","",SUMIF('07_Pallet_Contents'!$A$2:$A$3000,$A2,'07_Pallet_Contents'!$D$2:$D$3000))</f>
        <v/>
      </c>
      <c r="Y989">
        <f>IF($A2="","",SUMIF('07_Pallet_Contents'!$A$2:$A$3000,$A2,'07_Pallet_Contents'!$I$2:$I$3000))</f>
        <v/>
      </c>
      <c r="Z989">
        <f>IF($A2="","",IF(COUNTIF('07_Pallet_Contents'!$A$2:$A$3000,$A2)&gt;0,"Yes",""))</f>
        <v/>
      </c>
    </row>
    <row r="990">
      <c r="B990" s="22" t="n"/>
      <c r="G990" s="25" t="n"/>
      <c r="H990" s="24">
        <f>IF(AND($F990="TEMP",$G990&gt;0,$M990&lt;&gt;""),$M990+$G990,"")</f>
        <v/>
      </c>
      <c r="I990" s="22" t="n"/>
      <c r="J990" s="22" t="n"/>
      <c r="K990" s="24" t="n"/>
      <c r="W990">
        <f>IF($A2="","",COUNTIF('07_Pallet_Contents'!$A$2:$A$3000,$A2))</f>
        <v/>
      </c>
      <c r="X990">
        <f>IF($A2="","",SUMIF('07_Pallet_Contents'!$A$2:$A$3000,$A2,'07_Pallet_Contents'!$D$2:$D$3000))</f>
        <v/>
      </c>
      <c r="Y990">
        <f>IF($A2="","",SUMIF('07_Pallet_Contents'!$A$2:$A$3000,$A2,'07_Pallet_Contents'!$I$2:$I$3000))</f>
        <v/>
      </c>
      <c r="Z990">
        <f>IF($A2="","",IF(COUNTIF('07_Pallet_Contents'!$A$2:$A$3000,$A2)&gt;0,"Yes",""))</f>
        <v/>
      </c>
    </row>
    <row r="991">
      <c r="B991" s="22" t="n"/>
      <c r="G991" s="25" t="n"/>
      <c r="H991" s="24">
        <f>IF(AND($F991="TEMP",$G991&gt;0,$M991&lt;&gt;""),$M991+$G991,"")</f>
        <v/>
      </c>
      <c r="I991" s="22" t="n"/>
      <c r="J991" s="22" t="n"/>
      <c r="K991" s="24" t="n"/>
      <c r="W991">
        <f>IF($A2="","",COUNTIF('07_Pallet_Contents'!$A$2:$A$3000,$A2))</f>
        <v/>
      </c>
      <c r="X991">
        <f>IF($A2="","",SUMIF('07_Pallet_Contents'!$A$2:$A$3000,$A2,'07_Pallet_Contents'!$D$2:$D$3000))</f>
        <v/>
      </c>
      <c r="Y991">
        <f>IF($A2="","",SUMIF('07_Pallet_Contents'!$A$2:$A$3000,$A2,'07_Pallet_Contents'!$I$2:$I$3000))</f>
        <v/>
      </c>
      <c r="Z991">
        <f>IF($A2="","",IF(COUNTIF('07_Pallet_Contents'!$A$2:$A$3000,$A2)&gt;0,"Yes",""))</f>
        <v/>
      </c>
    </row>
    <row r="992">
      <c r="B992" s="22" t="n"/>
      <c r="G992" s="25" t="n"/>
      <c r="H992" s="24">
        <f>IF(AND($F992="TEMP",$G992&gt;0,$M992&lt;&gt;""),$M992+$G992,"")</f>
        <v/>
      </c>
      <c r="I992" s="22" t="n"/>
      <c r="J992" s="22" t="n"/>
      <c r="K992" s="24" t="n"/>
      <c r="W992">
        <f>IF($A2="","",COUNTIF('07_Pallet_Contents'!$A$2:$A$3000,$A2))</f>
        <v/>
      </c>
      <c r="X992">
        <f>IF($A2="","",SUMIF('07_Pallet_Contents'!$A$2:$A$3000,$A2,'07_Pallet_Contents'!$D$2:$D$3000))</f>
        <v/>
      </c>
      <c r="Y992">
        <f>IF($A2="","",SUMIF('07_Pallet_Contents'!$A$2:$A$3000,$A2,'07_Pallet_Contents'!$I$2:$I$3000))</f>
        <v/>
      </c>
      <c r="Z992">
        <f>IF($A2="","",IF(COUNTIF('07_Pallet_Contents'!$A$2:$A$3000,$A2)&gt;0,"Yes",""))</f>
        <v/>
      </c>
    </row>
    <row r="993">
      <c r="B993" s="22" t="n"/>
      <c r="G993" s="25" t="n"/>
      <c r="H993" s="24">
        <f>IF(AND($F993="TEMP",$G993&gt;0,$M993&lt;&gt;""),$M993+$G993,"")</f>
        <v/>
      </c>
      <c r="I993" s="22" t="n"/>
      <c r="J993" s="22" t="n"/>
      <c r="K993" s="24" t="n"/>
      <c r="W993">
        <f>IF($A2="","",COUNTIF('07_Pallet_Contents'!$A$2:$A$3000,$A2))</f>
        <v/>
      </c>
      <c r="X993">
        <f>IF($A2="","",SUMIF('07_Pallet_Contents'!$A$2:$A$3000,$A2,'07_Pallet_Contents'!$D$2:$D$3000))</f>
        <v/>
      </c>
      <c r="Y993">
        <f>IF($A2="","",SUMIF('07_Pallet_Contents'!$A$2:$A$3000,$A2,'07_Pallet_Contents'!$I$2:$I$3000))</f>
        <v/>
      </c>
      <c r="Z993">
        <f>IF($A2="","",IF(COUNTIF('07_Pallet_Contents'!$A$2:$A$3000,$A2)&gt;0,"Yes",""))</f>
        <v/>
      </c>
    </row>
    <row r="994">
      <c r="B994" s="22" t="n"/>
      <c r="G994" s="25" t="n"/>
      <c r="H994" s="24">
        <f>IF(AND($F994="TEMP",$G994&gt;0,$M994&lt;&gt;""),$M994+$G994,"")</f>
        <v/>
      </c>
      <c r="I994" s="22" t="n"/>
      <c r="J994" s="22" t="n"/>
      <c r="K994" s="24" t="n"/>
      <c r="W994">
        <f>IF($A2="","",COUNTIF('07_Pallet_Contents'!$A$2:$A$3000,$A2))</f>
        <v/>
      </c>
      <c r="X994">
        <f>IF($A2="","",SUMIF('07_Pallet_Contents'!$A$2:$A$3000,$A2,'07_Pallet_Contents'!$D$2:$D$3000))</f>
        <v/>
      </c>
      <c r="Y994">
        <f>IF($A2="","",SUMIF('07_Pallet_Contents'!$A$2:$A$3000,$A2,'07_Pallet_Contents'!$I$2:$I$3000))</f>
        <v/>
      </c>
      <c r="Z994">
        <f>IF($A2="","",IF(COUNTIF('07_Pallet_Contents'!$A$2:$A$3000,$A2)&gt;0,"Yes",""))</f>
        <v/>
      </c>
    </row>
    <row r="995">
      <c r="B995" s="22" t="n"/>
      <c r="G995" s="25" t="n"/>
      <c r="H995" s="24">
        <f>IF(AND($F995="TEMP",$G995&gt;0,$M995&lt;&gt;""),$M995+$G995,"")</f>
        <v/>
      </c>
      <c r="I995" s="22" t="n"/>
      <c r="J995" s="22" t="n"/>
      <c r="K995" s="24" t="n"/>
      <c r="W995">
        <f>IF($A2="","",COUNTIF('07_Pallet_Contents'!$A$2:$A$3000,$A2))</f>
        <v/>
      </c>
      <c r="X995">
        <f>IF($A2="","",SUMIF('07_Pallet_Contents'!$A$2:$A$3000,$A2,'07_Pallet_Contents'!$D$2:$D$3000))</f>
        <v/>
      </c>
      <c r="Y995">
        <f>IF($A2="","",SUMIF('07_Pallet_Contents'!$A$2:$A$3000,$A2,'07_Pallet_Contents'!$I$2:$I$3000))</f>
        <v/>
      </c>
      <c r="Z995">
        <f>IF($A2="","",IF(COUNTIF('07_Pallet_Contents'!$A$2:$A$3000,$A2)&gt;0,"Yes",""))</f>
        <v/>
      </c>
    </row>
    <row r="996">
      <c r="B996" s="22" t="n"/>
      <c r="G996" s="25" t="n"/>
      <c r="H996" s="24">
        <f>IF(AND($F996="TEMP",$G996&gt;0,$M996&lt;&gt;""),$M996+$G996,"")</f>
        <v/>
      </c>
      <c r="I996" s="22" t="n"/>
      <c r="J996" s="22" t="n"/>
      <c r="K996" s="24" t="n"/>
      <c r="W996">
        <f>IF($A2="","",COUNTIF('07_Pallet_Contents'!$A$2:$A$3000,$A2))</f>
        <v/>
      </c>
      <c r="X996">
        <f>IF($A2="","",SUMIF('07_Pallet_Contents'!$A$2:$A$3000,$A2,'07_Pallet_Contents'!$D$2:$D$3000))</f>
        <v/>
      </c>
      <c r="Y996">
        <f>IF($A2="","",SUMIF('07_Pallet_Contents'!$A$2:$A$3000,$A2,'07_Pallet_Contents'!$I$2:$I$3000))</f>
        <v/>
      </c>
      <c r="Z996">
        <f>IF($A2="","",IF(COUNTIF('07_Pallet_Contents'!$A$2:$A$3000,$A2)&gt;0,"Yes",""))</f>
        <v/>
      </c>
    </row>
    <row r="997">
      <c r="B997" s="22" t="n"/>
      <c r="G997" s="25" t="n"/>
      <c r="H997" s="24">
        <f>IF(AND($F997="TEMP",$G997&gt;0,$M997&lt;&gt;""),$M997+$G997,"")</f>
        <v/>
      </c>
      <c r="I997" s="22" t="n"/>
      <c r="J997" s="22" t="n"/>
      <c r="K997" s="24" t="n"/>
      <c r="W997">
        <f>IF($A2="","",COUNTIF('07_Pallet_Contents'!$A$2:$A$3000,$A2))</f>
        <v/>
      </c>
      <c r="X997">
        <f>IF($A2="","",SUMIF('07_Pallet_Contents'!$A$2:$A$3000,$A2,'07_Pallet_Contents'!$D$2:$D$3000))</f>
        <v/>
      </c>
      <c r="Y997">
        <f>IF($A2="","",SUMIF('07_Pallet_Contents'!$A$2:$A$3000,$A2,'07_Pallet_Contents'!$I$2:$I$3000))</f>
        <v/>
      </c>
      <c r="Z997">
        <f>IF($A2="","",IF(COUNTIF('07_Pallet_Contents'!$A$2:$A$3000,$A2)&gt;0,"Yes",""))</f>
        <v/>
      </c>
    </row>
    <row r="998">
      <c r="B998" s="22" t="n"/>
      <c r="G998" s="25" t="n"/>
      <c r="H998" s="24">
        <f>IF(AND($F998="TEMP",$G998&gt;0,$M998&lt;&gt;""),$M998+$G998,"")</f>
        <v/>
      </c>
      <c r="I998" s="22" t="n"/>
      <c r="J998" s="22" t="n"/>
      <c r="K998" s="24" t="n"/>
      <c r="W998">
        <f>IF($A2="","",COUNTIF('07_Pallet_Contents'!$A$2:$A$3000,$A2))</f>
        <v/>
      </c>
      <c r="X998">
        <f>IF($A2="","",SUMIF('07_Pallet_Contents'!$A$2:$A$3000,$A2,'07_Pallet_Contents'!$D$2:$D$3000))</f>
        <v/>
      </c>
      <c r="Y998">
        <f>IF($A2="","",SUMIF('07_Pallet_Contents'!$A$2:$A$3000,$A2,'07_Pallet_Contents'!$I$2:$I$3000))</f>
        <v/>
      </c>
      <c r="Z998">
        <f>IF($A2="","",IF(COUNTIF('07_Pallet_Contents'!$A$2:$A$3000,$A2)&gt;0,"Yes",""))</f>
        <v/>
      </c>
    </row>
    <row r="999">
      <c r="B999" s="22" t="n"/>
      <c r="G999" s="25" t="n"/>
      <c r="H999" s="24">
        <f>IF(AND($F999="TEMP",$G999&gt;0,$M999&lt;&gt;""),$M999+$G999,"")</f>
        <v/>
      </c>
      <c r="I999" s="22" t="n"/>
      <c r="J999" s="22" t="n"/>
      <c r="K999" s="24" t="n"/>
      <c r="W999">
        <f>IF($A2="","",COUNTIF('07_Pallet_Contents'!$A$2:$A$3000,$A2))</f>
        <v/>
      </c>
      <c r="X999">
        <f>IF($A2="","",SUMIF('07_Pallet_Contents'!$A$2:$A$3000,$A2,'07_Pallet_Contents'!$D$2:$D$3000))</f>
        <v/>
      </c>
      <c r="Y999">
        <f>IF($A2="","",SUMIF('07_Pallet_Contents'!$A$2:$A$3000,$A2,'07_Pallet_Contents'!$I$2:$I$3000))</f>
        <v/>
      </c>
      <c r="Z999">
        <f>IF($A2="","",IF(COUNTIF('07_Pallet_Contents'!$A$2:$A$3000,$A2)&gt;0,"Yes",""))</f>
        <v/>
      </c>
    </row>
    <row r="1000">
      <c r="B1000" s="22" t="n"/>
      <c r="G1000" s="25" t="n"/>
      <c r="H1000" s="24">
        <f>IF(AND($F1000="TEMP",$G1000&gt;0,$M1000&lt;&gt;""),$M1000+$G1000,"")</f>
        <v/>
      </c>
      <c r="I1000" s="22" t="n"/>
      <c r="J1000" s="22" t="n"/>
      <c r="K1000" s="24" t="n"/>
      <c r="W1000">
        <f>IF($A2="","",COUNTIF('07_Pallet_Contents'!$A$2:$A$3000,$A2))</f>
        <v/>
      </c>
      <c r="X1000">
        <f>IF($A2="","",SUMIF('07_Pallet_Contents'!$A$2:$A$3000,$A2,'07_Pallet_Contents'!$D$2:$D$3000))</f>
        <v/>
      </c>
      <c r="Y1000">
        <f>IF($A2="","",SUMIF('07_Pallet_Contents'!$A$2:$A$3000,$A2,'07_Pallet_Contents'!$I$2:$I$3000))</f>
        <v/>
      </c>
      <c r="Z1000">
        <f>IF($A2="","",IF(COUNTIF('07_Pallet_Contents'!$A$2:$A$3000,$A2)&gt;0,"Yes",""))</f>
        <v/>
      </c>
    </row>
    <row r="1001">
      <c r="B1001" s="22" t="n"/>
      <c r="G1001" s="25" t="n"/>
      <c r="H1001" s="24">
        <f>IF(AND($F1001="TEMP",$G1001&gt;0,$M1001&lt;&gt;""),$M1001+$G1001,"")</f>
        <v/>
      </c>
      <c r="I1001" s="22" t="n"/>
      <c r="J1001" s="22" t="n"/>
      <c r="K1001" s="24" t="n"/>
      <c r="W1001">
        <f>IF($A2="","",COUNTIF('07_Pallet_Contents'!$A$2:$A$3000,$A2))</f>
        <v/>
      </c>
      <c r="X1001">
        <f>IF($A2="","",SUMIF('07_Pallet_Contents'!$A$2:$A$3000,$A2,'07_Pallet_Contents'!$D$2:$D$3000))</f>
        <v/>
      </c>
      <c r="Y1001">
        <f>IF($A2="","",SUMIF('07_Pallet_Contents'!$A$2:$A$3000,$A2,'07_Pallet_Contents'!$I$2:$I$3000))</f>
        <v/>
      </c>
      <c r="Z1001">
        <f>IF($A2="","",IF(COUNTIF('07_Pallet_Contents'!$A$2:$A$3000,$A2)&gt;0,"Yes",""))</f>
        <v/>
      </c>
    </row>
    <row r="1002">
      <c r="B1002" s="22" t="n"/>
      <c r="G1002" s="25" t="n"/>
      <c r="H1002" s="24">
        <f>IF(AND($F1002="TEMP",$G1002&gt;0,$M1002&lt;&gt;""),$M1002+$G1002,"")</f>
        <v/>
      </c>
      <c r="I1002" s="22" t="n"/>
      <c r="J1002" s="22" t="n"/>
      <c r="K1002" s="24" t="n"/>
      <c r="W1002">
        <f>IF($A2="","",COUNTIF('07_Pallet_Contents'!$A$2:$A$3000,$A2))</f>
        <v/>
      </c>
      <c r="X1002">
        <f>IF($A2="","",SUMIF('07_Pallet_Contents'!$A$2:$A$3000,$A2,'07_Pallet_Contents'!$D$2:$D$3000))</f>
        <v/>
      </c>
      <c r="Y1002">
        <f>IF($A2="","",SUMIF('07_Pallet_Contents'!$A$2:$A$3000,$A2,'07_Pallet_Contents'!$I$2:$I$3000))</f>
        <v/>
      </c>
      <c r="Z1002">
        <f>IF($A2="","",IF(COUNTIF('07_Pallet_Contents'!$A$2:$A$3000,$A2)&gt;0,"Yes",""))</f>
        <v/>
      </c>
    </row>
    <row r="1003">
      <c r="B1003" s="22" t="n"/>
      <c r="G1003" s="25" t="n"/>
      <c r="H1003" s="24">
        <f>IF(AND($F1003="TEMP",$G1003&gt;0,$M1003&lt;&gt;""),$M1003+$G1003,"")</f>
        <v/>
      </c>
      <c r="I1003" s="22" t="n"/>
      <c r="J1003" s="22" t="n"/>
      <c r="K1003" s="24" t="n"/>
      <c r="W1003">
        <f>IF($A2="","",COUNTIF('07_Pallet_Contents'!$A$2:$A$3000,$A2))</f>
        <v/>
      </c>
      <c r="X1003">
        <f>IF($A2="","",SUMIF('07_Pallet_Contents'!$A$2:$A$3000,$A2,'07_Pallet_Contents'!$D$2:$D$3000))</f>
        <v/>
      </c>
      <c r="Y1003">
        <f>IF($A2="","",SUMIF('07_Pallet_Contents'!$A$2:$A$3000,$A2,'07_Pallet_Contents'!$I$2:$I$3000))</f>
        <v/>
      </c>
      <c r="Z1003">
        <f>IF($A2="","",IF(COUNTIF('07_Pallet_Contents'!$A$2:$A$3000,$A2)&gt;0,"Yes",""))</f>
        <v/>
      </c>
    </row>
    <row r="1004">
      <c r="B1004" s="22" t="n"/>
      <c r="G1004" s="25" t="n"/>
      <c r="H1004" s="24">
        <f>IF(AND($F1004="TEMP",$G1004&gt;0,$M1004&lt;&gt;""),$M1004+$G1004,"")</f>
        <v/>
      </c>
      <c r="I1004" s="22" t="n"/>
      <c r="J1004" s="22" t="n"/>
      <c r="K1004" s="24" t="n"/>
      <c r="W1004">
        <f>IF($A2="","",COUNTIF('07_Pallet_Contents'!$A$2:$A$3000,$A2))</f>
        <v/>
      </c>
      <c r="X1004">
        <f>IF($A2="","",SUMIF('07_Pallet_Contents'!$A$2:$A$3000,$A2,'07_Pallet_Contents'!$D$2:$D$3000))</f>
        <v/>
      </c>
      <c r="Y1004">
        <f>IF($A2="","",SUMIF('07_Pallet_Contents'!$A$2:$A$3000,$A2,'07_Pallet_Contents'!$I$2:$I$3000))</f>
        <v/>
      </c>
      <c r="Z1004">
        <f>IF($A2="","",IF(COUNTIF('07_Pallet_Contents'!$A$2:$A$3000,$A2)&gt;0,"Yes",""))</f>
        <v/>
      </c>
    </row>
    <row r="1005">
      <c r="B1005" s="22" t="n"/>
      <c r="G1005" s="25" t="n"/>
      <c r="H1005" s="24">
        <f>IF(AND($F1005="TEMP",$G1005&gt;0,$M1005&lt;&gt;""),$M1005+$G1005,"")</f>
        <v/>
      </c>
      <c r="I1005" s="22" t="n"/>
      <c r="J1005" s="22" t="n"/>
      <c r="K1005" s="24" t="n"/>
      <c r="W1005">
        <f>IF($A2="","",COUNTIF('07_Pallet_Contents'!$A$2:$A$3000,$A2))</f>
        <v/>
      </c>
      <c r="X1005">
        <f>IF($A2="","",SUMIF('07_Pallet_Contents'!$A$2:$A$3000,$A2,'07_Pallet_Contents'!$D$2:$D$3000))</f>
        <v/>
      </c>
      <c r="Y1005">
        <f>IF($A2="","",SUMIF('07_Pallet_Contents'!$A$2:$A$3000,$A2,'07_Pallet_Contents'!$I$2:$I$3000))</f>
        <v/>
      </c>
      <c r="Z1005">
        <f>IF($A2="","",IF(COUNTIF('07_Pallet_Contents'!$A$2:$A$3000,$A2)&gt;0,"Yes",""))</f>
        <v/>
      </c>
    </row>
    <row r="1006">
      <c r="B1006" s="22" t="n"/>
      <c r="G1006" s="25" t="n"/>
      <c r="H1006" s="24">
        <f>IF(AND($F1006="TEMP",$G1006&gt;0,$M1006&lt;&gt;""),$M1006+$G1006,"")</f>
        <v/>
      </c>
      <c r="I1006" s="22" t="n"/>
      <c r="J1006" s="22" t="n"/>
      <c r="K1006" s="24" t="n"/>
      <c r="W1006">
        <f>IF($A2="","",COUNTIF('07_Pallet_Contents'!$A$2:$A$3000,$A2))</f>
        <v/>
      </c>
      <c r="X1006">
        <f>IF($A2="","",SUMIF('07_Pallet_Contents'!$A$2:$A$3000,$A2,'07_Pallet_Contents'!$D$2:$D$3000))</f>
        <v/>
      </c>
      <c r="Y1006">
        <f>IF($A2="","",SUMIF('07_Pallet_Contents'!$A$2:$A$3000,$A2,'07_Pallet_Contents'!$I$2:$I$3000))</f>
        <v/>
      </c>
      <c r="Z1006">
        <f>IF($A2="","",IF(COUNTIF('07_Pallet_Contents'!$A$2:$A$3000,$A2)&gt;0,"Yes",""))</f>
        <v/>
      </c>
    </row>
    <row r="1007">
      <c r="B1007" s="22" t="n"/>
      <c r="G1007" s="25" t="n"/>
      <c r="H1007" s="24">
        <f>IF(AND($F1007="TEMP",$G1007&gt;0,$M1007&lt;&gt;""),$M1007+$G1007,"")</f>
        <v/>
      </c>
      <c r="I1007" s="22" t="n"/>
      <c r="J1007" s="22" t="n"/>
      <c r="K1007" s="24" t="n"/>
      <c r="W1007">
        <f>IF($A2="","",COUNTIF('07_Pallet_Contents'!$A$2:$A$3000,$A2))</f>
        <v/>
      </c>
      <c r="X1007">
        <f>IF($A2="","",SUMIF('07_Pallet_Contents'!$A$2:$A$3000,$A2,'07_Pallet_Contents'!$D$2:$D$3000))</f>
        <v/>
      </c>
      <c r="Y1007">
        <f>IF($A2="","",SUMIF('07_Pallet_Contents'!$A$2:$A$3000,$A2,'07_Pallet_Contents'!$I$2:$I$3000))</f>
        <v/>
      </c>
      <c r="Z1007">
        <f>IF($A2="","",IF(COUNTIF('07_Pallet_Contents'!$A$2:$A$3000,$A2)&gt;0,"Yes",""))</f>
        <v/>
      </c>
    </row>
    <row r="1008">
      <c r="B1008" s="22" t="n"/>
      <c r="G1008" s="25" t="n"/>
      <c r="H1008" s="24">
        <f>IF(AND($F1008="TEMP",$G1008&gt;0,$M1008&lt;&gt;""),$M1008+$G1008,"")</f>
        <v/>
      </c>
      <c r="I1008" s="22" t="n"/>
      <c r="J1008" s="22" t="n"/>
      <c r="K1008" s="24" t="n"/>
      <c r="W1008">
        <f>IF($A2="","",COUNTIF('07_Pallet_Contents'!$A$2:$A$3000,$A2))</f>
        <v/>
      </c>
      <c r="X1008">
        <f>IF($A2="","",SUMIF('07_Pallet_Contents'!$A$2:$A$3000,$A2,'07_Pallet_Contents'!$D$2:$D$3000))</f>
        <v/>
      </c>
      <c r="Y1008">
        <f>IF($A2="","",SUMIF('07_Pallet_Contents'!$A$2:$A$3000,$A2,'07_Pallet_Contents'!$I$2:$I$3000))</f>
        <v/>
      </c>
      <c r="Z1008">
        <f>IF($A2="","",IF(COUNTIF('07_Pallet_Contents'!$A$2:$A$3000,$A2)&gt;0,"Yes",""))</f>
        <v/>
      </c>
    </row>
    <row r="1009">
      <c r="B1009" s="22" t="n"/>
      <c r="G1009" s="25" t="n"/>
      <c r="H1009" s="24">
        <f>IF(AND($F1009="TEMP",$G1009&gt;0,$M1009&lt;&gt;""),$M1009+$G1009,"")</f>
        <v/>
      </c>
      <c r="I1009" s="22" t="n"/>
      <c r="J1009" s="22" t="n"/>
      <c r="K1009" s="24" t="n"/>
      <c r="W1009">
        <f>IF($A2="","",COUNTIF('07_Pallet_Contents'!$A$2:$A$3000,$A2))</f>
        <v/>
      </c>
      <c r="X1009">
        <f>IF($A2="","",SUMIF('07_Pallet_Contents'!$A$2:$A$3000,$A2,'07_Pallet_Contents'!$D$2:$D$3000))</f>
        <v/>
      </c>
      <c r="Y1009">
        <f>IF($A2="","",SUMIF('07_Pallet_Contents'!$A$2:$A$3000,$A2,'07_Pallet_Contents'!$I$2:$I$3000))</f>
        <v/>
      </c>
      <c r="Z1009">
        <f>IF($A2="","",IF(COUNTIF('07_Pallet_Contents'!$A$2:$A$3000,$A2)&gt;0,"Yes",""))</f>
        <v/>
      </c>
    </row>
    <row r="1010">
      <c r="B1010" s="22" t="n"/>
      <c r="G1010" s="25" t="n"/>
      <c r="H1010" s="24">
        <f>IF(AND($F1010="TEMP",$G1010&gt;0,$M1010&lt;&gt;""),$M1010+$G1010,"")</f>
        <v/>
      </c>
      <c r="I1010" s="22" t="n"/>
      <c r="J1010" s="22" t="n"/>
      <c r="K1010" s="24" t="n"/>
      <c r="W1010">
        <f>IF($A2="","",COUNTIF('07_Pallet_Contents'!$A$2:$A$3000,$A2))</f>
        <v/>
      </c>
      <c r="X1010">
        <f>IF($A2="","",SUMIF('07_Pallet_Contents'!$A$2:$A$3000,$A2,'07_Pallet_Contents'!$D$2:$D$3000))</f>
        <v/>
      </c>
      <c r="Y1010">
        <f>IF($A2="","",SUMIF('07_Pallet_Contents'!$A$2:$A$3000,$A2,'07_Pallet_Contents'!$I$2:$I$3000))</f>
        <v/>
      </c>
      <c r="Z1010">
        <f>IF($A2="","",IF(COUNTIF('07_Pallet_Contents'!$A$2:$A$3000,$A2)&gt;0,"Yes",""))</f>
        <v/>
      </c>
    </row>
    <row r="1011">
      <c r="B1011" s="22" t="n"/>
      <c r="G1011" s="25" t="n"/>
      <c r="H1011" s="24">
        <f>IF(AND($F1011="TEMP",$G1011&gt;0,$M1011&lt;&gt;""),$M1011+$G1011,"")</f>
        <v/>
      </c>
      <c r="I1011" s="22" t="n"/>
      <c r="J1011" s="22" t="n"/>
      <c r="K1011" s="24" t="n"/>
      <c r="W1011">
        <f>IF($A2="","",COUNTIF('07_Pallet_Contents'!$A$2:$A$3000,$A2))</f>
        <v/>
      </c>
      <c r="X1011">
        <f>IF($A2="","",SUMIF('07_Pallet_Contents'!$A$2:$A$3000,$A2,'07_Pallet_Contents'!$D$2:$D$3000))</f>
        <v/>
      </c>
      <c r="Y1011">
        <f>IF($A2="","",SUMIF('07_Pallet_Contents'!$A$2:$A$3000,$A2,'07_Pallet_Contents'!$I$2:$I$3000))</f>
        <v/>
      </c>
      <c r="Z1011">
        <f>IF($A2="","",IF(COUNTIF('07_Pallet_Contents'!$A$2:$A$3000,$A2)&gt;0,"Yes",""))</f>
        <v/>
      </c>
    </row>
    <row r="1012">
      <c r="B1012" s="22" t="n"/>
      <c r="G1012" s="25" t="n"/>
      <c r="H1012" s="24">
        <f>IF(AND($F1012="TEMP",$G1012&gt;0,$M1012&lt;&gt;""),$M1012+$G1012,"")</f>
        <v/>
      </c>
      <c r="I1012" s="22" t="n"/>
      <c r="J1012" s="22" t="n"/>
      <c r="K1012" s="24" t="n"/>
      <c r="W1012">
        <f>IF($A2="","",COUNTIF('07_Pallet_Contents'!$A$2:$A$3000,$A2))</f>
        <v/>
      </c>
      <c r="X1012">
        <f>IF($A2="","",SUMIF('07_Pallet_Contents'!$A$2:$A$3000,$A2,'07_Pallet_Contents'!$D$2:$D$3000))</f>
        <v/>
      </c>
      <c r="Y1012">
        <f>IF($A2="","",SUMIF('07_Pallet_Contents'!$A$2:$A$3000,$A2,'07_Pallet_Contents'!$I$2:$I$3000))</f>
        <v/>
      </c>
      <c r="Z1012">
        <f>IF($A2="","",IF(COUNTIF('07_Pallet_Contents'!$A$2:$A$3000,$A2)&gt;0,"Yes",""))</f>
        <v/>
      </c>
    </row>
    <row r="1013">
      <c r="B1013" s="22" t="n"/>
      <c r="G1013" s="25" t="n"/>
      <c r="H1013" s="24">
        <f>IF(AND($F1013="TEMP",$G1013&gt;0,$M1013&lt;&gt;""),$M1013+$G1013,"")</f>
        <v/>
      </c>
      <c r="I1013" s="22" t="n"/>
      <c r="J1013" s="22" t="n"/>
      <c r="K1013" s="24" t="n"/>
      <c r="W1013">
        <f>IF($A2="","",COUNTIF('07_Pallet_Contents'!$A$2:$A$3000,$A2))</f>
        <v/>
      </c>
      <c r="X1013">
        <f>IF($A2="","",SUMIF('07_Pallet_Contents'!$A$2:$A$3000,$A2,'07_Pallet_Contents'!$D$2:$D$3000))</f>
        <v/>
      </c>
      <c r="Y1013">
        <f>IF($A2="","",SUMIF('07_Pallet_Contents'!$A$2:$A$3000,$A2,'07_Pallet_Contents'!$I$2:$I$3000))</f>
        <v/>
      </c>
      <c r="Z1013">
        <f>IF($A2="","",IF(COUNTIF('07_Pallet_Contents'!$A$2:$A$3000,$A2)&gt;0,"Yes",""))</f>
        <v/>
      </c>
    </row>
    <row r="1014">
      <c r="B1014" s="22" t="n"/>
      <c r="G1014" s="25" t="n"/>
      <c r="H1014" s="24">
        <f>IF(AND($F1014="TEMP",$G1014&gt;0,$M1014&lt;&gt;""),$M1014+$G1014,"")</f>
        <v/>
      </c>
      <c r="I1014" s="22" t="n"/>
      <c r="J1014" s="22" t="n"/>
      <c r="K1014" s="24" t="n"/>
      <c r="W1014">
        <f>IF($A2="","",COUNTIF('07_Pallet_Contents'!$A$2:$A$3000,$A2))</f>
        <v/>
      </c>
      <c r="X1014">
        <f>IF($A2="","",SUMIF('07_Pallet_Contents'!$A$2:$A$3000,$A2,'07_Pallet_Contents'!$D$2:$D$3000))</f>
        <v/>
      </c>
      <c r="Y1014">
        <f>IF($A2="","",SUMIF('07_Pallet_Contents'!$A$2:$A$3000,$A2,'07_Pallet_Contents'!$I$2:$I$3000))</f>
        <v/>
      </c>
      <c r="Z1014">
        <f>IF($A2="","",IF(COUNTIF('07_Pallet_Contents'!$A$2:$A$3000,$A2)&gt;0,"Yes",""))</f>
        <v/>
      </c>
    </row>
    <row r="1015">
      <c r="B1015" s="22" t="n"/>
      <c r="G1015" s="25" t="n"/>
      <c r="H1015" s="24">
        <f>IF(AND($F1015="TEMP",$G1015&gt;0,$M1015&lt;&gt;""),$M1015+$G1015,"")</f>
        <v/>
      </c>
      <c r="I1015" s="22" t="n"/>
      <c r="J1015" s="22" t="n"/>
      <c r="K1015" s="24" t="n"/>
      <c r="W1015">
        <f>IF($A2="","",COUNTIF('07_Pallet_Contents'!$A$2:$A$3000,$A2))</f>
        <v/>
      </c>
      <c r="X1015">
        <f>IF($A2="","",SUMIF('07_Pallet_Contents'!$A$2:$A$3000,$A2,'07_Pallet_Contents'!$D$2:$D$3000))</f>
        <v/>
      </c>
      <c r="Y1015">
        <f>IF($A2="","",SUMIF('07_Pallet_Contents'!$A$2:$A$3000,$A2,'07_Pallet_Contents'!$I$2:$I$3000))</f>
        <v/>
      </c>
      <c r="Z1015">
        <f>IF($A2="","",IF(COUNTIF('07_Pallet_Contents'!$A$2:$A$3000,$A2)&gt;0,"Yes",""))</f>
        <v/>
      </c>
    </row>
    <row r="1016">
      <c r="B1016" s="22" t="n"/>
      <c r="G1016" s="25" t="n"/>
      <c r="H1016" s="24">
        <f>IF(AND($F1016="TEMP",$G1016&gt;0,$M1016&lt;&gt;""),$M1016+$G1016,"")</f>
        <v/>
      </c>
      <c r="I1016" s="22" t="n"/>
      <c r="J1016" s="22" t="n"/>
      <c r="K1016" s="24" t="n"/>
      <c r="W1016">
        <f>IF($A2="","",COUNTIF('07_Pallet_Contents'!$A$2:$A$3000,$A2))</f>
        <v/>
      </c>
      <c r="X1016">
        <f>IF($A2="","",SUMIF('07_Pallet_Contents'!$A$2:$A$3000,$A2,'07_Pallet_Contents'!$D$2:$D$3000))</f>
        <v/>
      </c>
      <c r="Y1016">
        <f>IF($A2="","",SUMIF('07_Pallet_Contents'!$A$2:$A$3000,$A2,'07_Pallet_Contents'!$I$2:$I$3000))</f>
        <v/>
      </c>
      <c r="Z1016">
        <f>IF($A2="","",IF(COUNTIF('07_Pallet_Contents'!$A$2:$A$3000,$A2)&gt;0,"Yes",""))</f>
        <v/>
      </c>
    </row>
    <row r="1017">
      <c r="B1017" s="22" t="n"/>
      <c r="G1017" s="25" t="n"/>
      <c r="H1017" s="24">
        <f>IF(AND($F1017="TEMP",$G1017&gt;0,$M1017&lt;&gt;""),$M1017+$G1017,"")</f>
        <v/>
      </c>
      <c r="I1017" s="22" t="n"/>
      <c r="J1017" s="22" t="n"/>
      <c r="K1017" s="24" t="n"/>
      <c r="W1017">
        <f>IF($A2="","",COUNTIF('07_Pallet_Contents'!$A$2:$A$3000,$A2))</f>
        <v/>
      </c>
      <c r="X1017">
        <f>IF($A2="","",SUMIF('07_Pallet_Contents'!$A$2:$A$3000,$A2,'07_Pallet_Contents'!$D$2:$D$3000))</f>
        <v/>
      </c>
      <c r="Y1017">
        <f>IF($A2="","",SUMIF('07_Pallet_Contents'!$A$2:$A$3000,$A2,'07_Pallet_Contents'!$I$2:$I$3000))</f>
        <v/>
      </c>
      <c r="Z1017">
        <f>IF($A2="","",IF(COUNTIF('07_Pallet_Contents'!$A$2:$A$3000,$A2)&gt;0,"Yes",""))</f>
        <v/>
      </c>
    </row>
    <row r="1018">
      <c r="B1018" s="22" t="n"/>
      <c r="G1018" s="25" t="n"/>
      <c r="H1018" s="24">
        <f>IF(AND($F1018="TEMP",$G1018&gt;0,$M1018&lt;&gt;""),$M1018+$G1018,"")</f>
        <v/>
      </c>
      <c r="I1018" s="22" t="n"/>
      <c r="J1018" s="22" t="n"/>
      <c r="K1018" s="24" t="n"/>
      <c r="W1018">
        <f>IF($A2="","",COUNTIF('07_Pallet_Contents'!$A$2:$A$3000,$A2))</f>
        <v/>
      </c>
      <c r="X1018">
        <f>IF($A2="","",SUMIF('07_Pallet_Contents'!$A$2:$A$3000,$A2,'07_Pallet_Contents'!$D$2:$D$3000))</f>
        <v/>
      </c>
      <c r="Y1018">
        <f>IF($A2="","",SUMIF('07_Pallet_Contents'!$A$2:$A$3000,$A2,'07_Pallet_Contents'!$I$2:$I$3000))</f>
        <v/>
      </c>
      <c r="Z1018">
        <f>IF($A2="","",IF(COUNTIF('07_Pallet_Contents'!$A$2:$A$3000,$A2)&gt;0,"Yes",""))</f>
        <v/>
      </c>
    </row>
    <row r="1019">
      <c r="B1019" s="22" t="n"/>
      <c r="G1019" s="25" t="n"/>
      <c r="H1019" s="24">
        <f>IF(AND($F1019="TEMP",$G1019&gt;0,$M1019&lt;&gt;""),$M1019+$G1019,"")</f>
        <v/>
      </c>
      <c r="I1019" s="22" t="n"/>
      <c r="J1019" s="22" t="n"/>
      <c r="K1019" s="24" t="n"/>
      <c r="W1019">
        <f>IF($A2="","",COUNTIF('07_Pallet_Contents'!$A$2:$A$3000,$A2))</f>
        <v/>
      </c>
      <c r="X1019">
        <f>IF($A2="","",SUMIF('07_Pallet_Contents'!$A$2:$A$3000,$A2,'07_Pallet_Contents'!$D$2:$D$3000))</f>
        <v/>
      </c>
      <c r="Y1019">
        <f>IF($A2="","",SUMIF('07_Pallet_Contents'!$A$2:$A$3000,$A2,'07_Pallet_Contents'!$I$2:$I$3000))</f>
        <v/>
      </c>
      <c r="Z1019">
        <f>IF($A2="","",IF(COUNTIF('07_Pallet_Contents'!$A$2:$A$3000,$A2)&gt;0,"Yes",""))</f>
        <v/>
      </c>
    </row>
    <row r="1020">
      <c r="B1020" s="22" t="n"/>
      <c r="G1020" s="25" t="n"/>
      <c r="H1020" s="24">
        <f>IF(AND($F1020="TEMP",$G1020&gt;0,$M1020&lt;&gt;""),$M1020+$G1020,"")</f>
        <v/>
      </c>
      <c r="I1020" s="22" t="n"/>
      <c r="J1020" s="22" t="n"/>
      <c r="K1020" s="24" t="n"/>
      <c r="W1020">
        <f>IF($A2="","",COUNTIF('07_Pallet_Contents'!$A$2:$A$3000,$A2))</f>
        <v/>
      </c>
      <c r="X1020">
        <f>IF($A2="","",SUMIF('07_Pallet_Contents'!$A$2:$A$3000,$A2,'07_Pallet_Contents'!$D$2:$D$3000))</f>
        <v/>
      </c>
      <c r="Y1020">
        <f>IF($A2="","",SUMIF('07_Pallet_Contents'!$A$2:$A$3000,$A2,'07_Pallet_Contents'!$I$2:$I$3000))</f>
        <v/>
      </c>
      <c r="Z1020">
        <f>IF($A2="","",IF(COUNTIF('07_Pallet_Contents'!$A$2:$A$3000,$A2)&gt;0,"Yes",""))</f>
        <v/>
      </c>
    </row>
    <row r="1021">
      <c r="B1021" s="22" t="n"/>
      <c r="G1021" s="25" t="n"/>
      <c r="H1021" s="24">
        <f>IF(AND($F1021="TEMP",$G1021&gt;0,$M1021&lt;&gt;""),$M1021+$G1021,"")</f>
        <v/>
      </c>
      <c r="I1021" s="22" t="n"/>
      <c r="J1021" s="22" t="n"/>
      <c r="K1021" s="24" t="n"/>
      <c r="W1021">
        <f>IF($A2="","",COUNTIF('07_Pallet_Contents'!$A$2:$A$3000,$A2))</f>
        <v/>
      </c>
      <c r="X1021">
        <f>IF($A2="","",SUMIF('07_Pallet_Contents'!$A$2:$A$3000,$A2,'07_Pallet_Contents'!$D$2:$D$3000))</f>
        <v/>
      </c>
      <c r="Y1021">
        <f>IF($A2="","",SUMIF('07_Pallet_Contents'!$A$2:$A$3000,$A2,'07_Pallet_Contents'!$I$2:$I$3000))</f>
        <v/>
      </c>
      <c r="Z1021">
        <f>IF($A2="","",IF(COUNTIF('07_Pallet_Contents'!$A$2:$A$3000,$A2)&gt;0,"Yes",""))</f>
        <v/>
      </c>
    </row>
    <row r="1022">
      <c r="B1022" s="22" t="n"/>
      <c r="G1022" s="25" t="n"/>
      <c r="H1022" s="24">
        <f>IF(AND($F1022="TEMP",$G1022&gt;0,$M1022&lt;&gt;""),$M1022+$G1022,"")</f>
        <v/>
      </c>
      <c r="I1022" s="22" t="n"/>
      <c r="J1022" s="22" t="n"/>
      <c r="K1022" s="24" t="n"/>
      <c r="W1022">
        <f>IF($A2="","",COUNTIF('07_Pallet_Contents'!$A$2:$A$3000,$A2))</f>
        <v/>
      </c>
      <c r="X1022">
        <f>IF($A2="","",SUMIF('07_Pallet_Contents'!$A$2:$A$3000,$A2,'07_Pallet_Contents'!$D$2:$D$3000))</f>
        <v/>
      </c>
      <c r="Y1022">
        <f>IF($A2="","",SUMIF('07_Pallet_Contents'!$A$2:$A$3000,$A2,'07_Pallet_Contents'!$I$2:$I$3000))</f>
        <v/>
      </c>
      <c r="Z1022">
        <f>IF($A2="","",IF(COUNTIF('07_Pallet_Contents'!$A$2:$A$3000,$A2)&gt;0,"Yes",""))</f>
        <v/>
      </c>
    </row>
    <row r="1023">
      <c r="B1023" s="22" t="n"/>
      <c r="G1023" s="25" t="n"/>
      <c r="H1023" s="24">
        <f>IF(AND($F1023="TEMP",$G1023&gt;0,$M1023&lt;&gt;""),$M1023+$G1023,"")</f>
        <v/>
      </c>
      <c r="I1023" s="22" t="n"/>
      <c r="J1023" s="22" t="n"/>
      <c r="K1023" s="24" t="n"/>
      <c r="W1023">
        <f>IF($A2="","",COUNTIF('07_Pallet_Contents'!$A$2:$A$3000,$A2))</f>
        <v/>
      </c>
      <c r="X1023">
        <f>IF($A2="","",SUMIF('07_Pallet_Contents'!$A$2:$A$3000,$A2,'07_Pallet_Contents'!$D$2:$D$3000))</f>
        <v/>
      </c>
      <c r="Y1023">
        <f>IF($A2="","",SUMIF('07_Pallet_Contents'!$A$2:$A$3000,$A2,'07_Pallet_Contents'!$I$2:$I$3000))</f>
        <v/>
      </c>
      <c r="Z1023">
        <f>IF($A2="","",IF(COUNTIF('07_Pallet_Contents'!$A$2:$A$3000,$A2)&gt;0,"Yes",""))</f>
        <v/>
      </c>
    </row>
    <row r="1024">
      <c r="B1024" s="22" t="n"/>
      <c r="G1024" s="25" t="n"/>
      <c r="H1024" s="24">
        <f>IF(AND($F1024="TEMP",$G1024&gt;0,$M1024&lt;&gt;""),$M1024+$G1024,"")</f>
        <v/>
      </c>
      <c r="I1024" s="22" t="n"/>
      <c r="J1024" s="22" t="n"/>
      <c r="K1024" s="24" t="n"/>
      <c r="W1024">
        <f>IF($A2="","",COUNTIF('07_Pallet_Contents'!$A$2:$A$3000,$A2))</f>
        <v/>
      </c>
      <c r="X1024">
        <f>IF($A2="","",SUMIF('07_Pallet_Contents'!$A$2:$A$3000,$A2,'07_Pallet_Contents'!$D$2:$D$3000))</f>
        <v/>
      </c>
      <c r="Y1024">
        <f>IF($A2="","",SUMIF('07_Pallet_Contents'!$A$2:$A$3000,$A2,'07_Pallet_Contents'!$I$2:$I$3000))</f>
        <v/>
      </c>
      <c r="Z1024">
        <f>IF($A2="","",IF(COUNTIF('07_Pallet_Contents'!$A$2:$A$3000,$A2)&gt;0,"Yes",""))</f>
        <v/>
      </c>
    </row>
    <row r="1025">
      <c r="B1025" s="22" t="n"/>
      <c r="G1025" s="25" t="n"/>
      <c r="H1025" s="24">
        <f>IF(AND($F1025="TEMP",$G1025&gt;0,$M1025&lt;&gt;""),$M1025+$G1025,"")</f>
        <v/>
      </c>
      <c r="I1025" s="22" t="n"/>
      <c r="J1025" s="22" t="n"/>
      <c r="K1025" s="24" t="n"/>
      <c r="W1025">
        <f>IF($A2="","",COUNTIF('07_Pallet_Contents'!$A$2:$A$3000,$A2))</f>
        <v/>
      </c>
      <c r="X1025">
        <f>IF($A2="","",SUMIF('07_Pallet_Contents'!$A$2:$A$3000,$A2,'07_Pallet_Contents'!$D$2:$D$3000))</f>
        <v/>
      </c>
      <c r="Y1025">
        <f>IF($A2="","",SUMIF('07_Pallet_Contents'!$A$2:$A$3000,$A2,'07_Pallet_Contents'!$I$2:$I$3000))</f>
        <v/>
      </c>
      <c r="Z1025">
        <f>IF($A2="","",IF(COUNTIF('07_Pallet_Contents'!$A$2:$A$3000,$A2)&gt;0,"Yes",""))</f>
        <v/>
      </c>
    </row>
    <row r="1026">
      <c r="B1026" s="22" t="n"/>
      <c r="G1026" s="25" t="n"/>
      <c r="H1026" s="24">
        <f>IF(AND($F1026="TEMP",$G1026&gt;0,$M1026&lt;&gt;""),$M1026+$G1026,"")</f>
        <v/>
      </c>
      <c r="I1026" s="22" t="n"/>
      <c r="J1026" s="22" t="n"/>
      <c r="K1026" s="24" t="n"/>
      <c r="W1026">
        <f>IF($A2="","",COUNTIF('07_Pallet_Contents'!$A$2:$A$3000,$A2))</f>
        <v/>
      </c>
      <c r="X1026">
        <f>IF($A2="","",SUMIF('07_Pallet_Contents'!$A$2:$A$3000,$A2,'07_Pallet_Contents'!$D$2:$D$3000))</f>
        <v/>
      </c>
      <c r="Y1026">
        <f>IF($A2="","",SUMIF('07_Pallet_Contents'!$A$2:$A$3000,$A2,'07_Pallet_Contents'!$I$2:$I$3000))</f>
        <v/>
      </c>
      <c r="Z1026">
        <f>IF($A2="","",IF(COUNTIF('07_Pallet_Contents'!$A$2:$A$3000,$A2)&gt;0,"Yes",""))</f>
        <v/>
      </c>
    </row>
    <row r="1027">
      <c r="B1027" s="22" t="n"/>
      <c r="G1027" s="25" t="n"/>
      <c r="H1027" s="24">
        <f>IF(AND($F1027="TEMP",$G1027&gt;0,$M1027&lt;&gt;""),$M1027+$G1027,"")</f>
        <v/>
      </c>
      <c r="I1027" s="22" t="n"/>
      <c r="J1027" s="22" t="n"/>
      <c r="K1027" s="24" t="n"/>
      <c r="W1027">
        <f>IF($A2="","",COUNTIF('07_Pallet_Contents'!$A$2:$A$3000,$A2))</f>
        <v/>
      </c>
      <c r="X1027">
        <f>IF($A2="","",SUMIF('07_Pallet_Contents'!$A$2:$A$3000,$A2,'07_Pallet_Contents'!$D$2:$D$3000))</f>
        <v/>
      </c>
      <c r="Y1027">
        <f>IF($A2="","",SUMIF('07_Pallet_Contents'!$A$2:$A$3000,$A2,'07_Pallet_Contents'!$I$2:$I$3000))</f>
        <v/>
      </c>
      <c r="Z1027">
        <f>IF($A2="","",IF(COUNTIF('07_Pallet_Contents'!$A$2:$A$3000,$A2)&gt;0,"Yes",""))</f>
        <v/>
      </c>
    </row>
    <row r="1028">
      <c r="B1028" s="22" t="n"/>
      <c r="G1028" s="25" t="n"/>
      <c r="H1028" s="24">
        <f>IF(AND($F1028="TEMP",$G1028&gt;0,$M1028&lt;&gt;""),$M1028+$G1028,"")</f>
        <v/>
      </c>
      <c r="I1028" s="22" t="n"/>
      <c r="J1028" s="22" t="n"/>
      <c r="K1028" s="24" t="n"/>
      <c r="W1028">
        <f>IF($A2="","",COUNTIF('07_Pallet_Contents'!$A$2:$A$3000,$A2))</f>
        <v/>
      </c>
      <c r="X1028">
        <f>IF($A2="","",SUMIF('07_Pallet_Contents'!$A$2:$A$3000,$A2,'07_Pallet_Contents'!$D$2:$D$3000))</f>
        <v/>
      </c>
      <c r="Y1028">
        <f>IF($A2="","",SUMIF('07_Pallet_Contents'!$A$2:$A$3000,$A2,'07_Pallet_Contents'!$I$2:$I$3000))</f>
        <v/>
      </c>
      <c r="Z1028">
        <f>IF($A2="","",IF(COUNTIF('07_Pallet_Contents'!$A$2:$A$3000,$A2)&gt;0,"Yes",""))</f>
        <v/>
      </c>
    </row>
    <row r="1029">
      <c r="B1029" s="22" t="n"/>
      <c r="G1029" s="25" t="n"/>
      <c r="H1029" s="24">
        <f>IF(AND($F1029="TEMP",$G1029&gt;0,$M1029&lt;&gt;""),$M1029+$G1029,"")</f>
        <v/>
      </c>
      <c r="I1029" s="22" t="n"/>
      <c r="J1029" s="22" t="n"/>
      <c r="K1029" s="24" t="n"/>
      <c r="W1029">
        <f>IF($A2="","",COUNTIF('07_Pallet_Contents'!$A$2:$A$3000,$A2))</f>
        <v/>
      </c>
      <c r="X1029">
        <f>IF($A2="","",SUMIF('07_Pallet_Contents'!$A$2:$A$3000,$A2,'07_Pallet_Contents'!$D$2:$D$3000))</f>
        <v/>
      </c>
      <c r="Y1029">
        <f>IF($A2="","",SUMIF('07_Pallet_Contents'!$A$2:$A$3000,$A2,'07_Pallet_Contents'!$I$2:$I$3000))</f>
        <v/>
      </c>
      <c r="Z1029">
        <f>IF($A2="","",IF(COUNTIF('07_Pallet_Contents'!$A$2:$A$3000,$A2)&gt;0,"Yes",""))</f>
        <v/>
      </c>
    </row>
    <row r="1030">
      <c r="B1030" s="22" t="n"/>
      <c r="G1030" s="25" t="n"/>
      <c r="H1030" s="24">
        <f>IF(AND($F1030="TEMP",$G1030&gt;0,$M1030&lt;&gt;""),$M1030+$G1030,"")</f>
        <v/>
      </c>
      <c r="I1030" s="22" t="n"/>
      <c r="J1030" s="22" t="n"/>
      <c r="K1030" s="24" t="n"/>
      <c r="W1030">
        <f>IF($A2="","",COUNTIF('07_Pallet_Contents'!$A$2:$A$3000,$A2))</f>
        <v/>
      </c>
      <c r="X1030">
        <f>IF($A2="","",SUMIF('07_Pallet_Contents'!$A$2:$A$3000,$A2,'07_Pallet_Contents'!$D$2:$D$3000))</f>
        <v/>
      </c>
      <c r="Y1030">
        <f>IF($A2="","",SUMIF('07_Pallet_Contents'!$A$2:$A$3000,$A2,'07_Pallet_Contents'!$I$2:$I$3000))</f>
        <v/>
      </c>
      <c r="Z1030">
        <f>IF($A2="","",IF(COUNTIF('07_Pallet_Contents'!$A$2:$A$3000,$A2)&gt;0,"Yes",""))</f>
        <v/>
      </c>
    </row>
    <row r="1031">
      <c r="B1031" s="22" t="n"/>
      <c r="G1031" s="25" t="n"/>
      <c r="H1031" s="24">
        <f>IF(AND($F1031="TEMP",$G1031&gt;0,$M1031&lt;&gt;""),$M1031+$G1031,"")</f>
        <v/>
      </c>
      <c r="I1031" s="22" t="n"/>
      <c r="J1031" s="22" t="n"/>
      <c r="K1031" s="24" t="n"/>
      <c r="W1031">
        <f>IF($A2="","",COUNTIF('07_Pallet_Contents'!$A$2:$A$3000,$A2))</f>
        <v/>
      </c>
      <c r="X1031">
        <f>IF($A2="","",SUMIF('07_Pallet_Contents'!$A$2:$A$3000,$A2,'07_Pallet_Contents'!$D$2:$D$3000))</f>
        <v/>
      </c>
      <c r="Y1031">
        <f>IF($A2="","",SUMIF('07_Pallet_Contents'!$A$2:$A$3000,$A2,'07_Pallet_Contents'!$I$2:$I$3000))</f>
        <v/>
      </c>
      <c r="Z1031">
        <f>IF($A2="","",IF(COUNTIF('07_Pallet_Contents'!$A$2:$A$3000,$A2)&gt;0,"Yes",""))</f>
        <v/>
      </c>
    </row>
    <row r="1032">
      <c r="B1032" s="22" t="n"/>
      <c r="G1032" s="25" t="n"/>
      <c r="H1032" s="24">
        <f>IF(AND($F1032="TEMP",$G1032&gt;0,$M1032&lt;&gt;""),$M1032+$G1032,"")</f>
        <v/>
      </c>
      <c r="I1032" s="22" t="n"/>
      <c r="J1032" s="22" t="n"/>
      <c r="K1032" s="24" t="n"/>
      <c r="W1032">
        <f>IF($A2="","",COUNTIF('07_Pallet_Contents'!$A$2:$A$3000,$A2))</f>
        <v/>
      </c>
      <c r="X1032">
        <f>IF($A2="","",SUMIF('07_Pallet_Contents'!$A$2:$A$3000,$A2,'07_Pallet_Contents'!$D$2:$D$3000))</f>
        <v/>
      </c>
      <c r="Y1032">
        <f>IF($A2="","",SUMIF('07_Pallet_Contents'!$A$2:$A$3000,$A2,'07_Pallet_Contents'!$I$2:$I$3000))</f>
        <v/>
      </c>
      <c r="Z1032">
        <f>IF($A2="","",IF(COUNTIF('07_Pallet_Contents'!$A$2:$A$3000,$A2)&gt;0,"Yes",""))</f>
        <v/>
      </c>
    </row>
    <row r="1033">
      <c r="B1033" s="22" t="n"/>
      <c r="G1033" s="25" t="n"/>
      <c r="H1033" s="24">
        <f>IF(AND($F1033="TEMP",$G1033&gt;0,$M1033&lt;&gt;""),$M1033+$G1033,"")</f>
        <v/>
      </c>
      <c r="I1033" s="22" t="n"/>
      <c r="J1033" s="22" t="n"/>
      <c r="K1033" s="24" t="n"/>
      <c r="W1033">
        <f>IF($A2="","",COUNTIF('07_Pallet_Contents'!$A$2:$A$3000,$A2))</f>
        <v/>
      </c>
      <c r="X1033">
        <f>IF($A2="","",SUMIF('07_Pallet_Contents'!$A$2:$A$3000,$A2,'07_Pallet_Contents'!$D$2:$D$3000))</f>
        <v/>
      </c>
      <c r="Y1033">
        <f>IF($A2="","",SUMIF('07_Pallet_Contents'!$A$2:$A$3000,$A2,'07_Pallet_Contents'!$I$2:$I$3000))</f>
        <v/>
      </c>
      <c r="Z1033">
        <f>IF($A2="","",IF(COUNTIF('07_Pallet_Contents'!$A$2:$A$3000,$A2)&gt;0,"Yes",""))</f>
        <v/>
      </c>
    </row>
    <row r="1034">
      <c r="B1034" s="22" t="n"/>
      <c r="G1034" s="25" t="n"/>
      <c r="H1034" s="24">
        <f>IF(AND($F1034="TEMP",$G1034&gt;0,$M1034&lt;&gt;""),$M1034+$G1034,"")</f>
        <v/>
      </c>
      <c r="I1034" s="22" t="n"/>
      <c r="J1034" s="22" t="n"/>
      <c r="K1034" s="24" t="n"/>
      <c r="W1034">
        <f>IF($A2="","",COUNTIF('07_Pallet_Contents'!$A$2:$A$3000,$A2))</f>
        <v/>
      </c>
      <c r="X1034">
        <f>IF($A2="","",SUMIF('07_Pallet_Contents'!$A$2:$A$3000,$A2,'07_Pallet_Contents'!$D$2:$D$3000))</f>
        <v/>
      </c>
      <c r="Y1034">
        <f>IF($A2="","",SUMIF('07_Pallet_Contents'!$A$2:$A$3000,$A2,'07_Pallet_Contents'!$I$2:$I$3000))</f>
        <v/>
      </c>
      <c r="Z1034">
        <f>IF($A2="","",IF(COUNTIF('07_Pallet_Contents'!$A$2:$A$3000,$A2)&gt;0,"Yes",""))</f>
        <v/>
      </c>
    </row>
    <row r="1035">
      <c r="B1035" s="22" t="n"/>
      <c r="G1035" s="25" t="n"/>
      <c r="H1035" s="24">
        <f>IF(AND($F1035="TEMP",$G1035&gt;0,$M1035&lt;&gt;""),$M1035+$G1035,"")</f>
        <v/>
      </c>
      <c r="I1035" s="22" t="n"/>
      <c r="J1035" s="22" t="n"/>
      <c r="K1035" s="24" t="n"/>
      <c r="W1035">
        <f>IF($A2="","",COUNTIF('07_Pallet_Contents'!$A$2:$A$3000,$A2))</f>
        <v/>
      </c>
      <c r="X1035">
        <f>IF($A2="","",SUMIF('07_Pallet_Contents'!$A$2:$A$3000,$A2,'07_Pallet_Contents'!$D$2:$D$3000))</f>
        <v/>
      </c>
      <c r="Y1035">
        <f>IF($A2="","",SUMIF('07_Pallet_Contents'!$A$2:$A$3000,$A2,'07_Pallet_Contents'!$I$2:$I$3000))</f>
        <v/>
      </c>
      <c r="Z1035">
        <f>IF($A2="","",IF(COUNTIF('07_Pallet_Contents'!$A$2:$A$3000,$A2)&gt;0,"Yes",""))</f>
        <v/>
      </c>
    </row>
    <row r="1036">
      <c r="B1036" s="22" t="n"/>
      <c r="G1036" s="25" t="n"/>
      <c r="H1036" s="24">
        <f>IF(AND($F1036="TEMP",$G1036&gt;0,$M1036&lt;&gt;""),$M1036+$G1036,"")</f>
        <v/>
      </c>
      <c r="I1036" s="22" t="n"/>
      <c r="J1036" s="22" t="n"/>
      <c r="K1036" s="24" t="n"/>
      <c r="W1036">
        <f>IF($A2="","",COUNTIF('07_Pallet_Contents'!$A$2:$A$3000,$A2))</f>
        <v/>
      </c>
      <c r="X1036">
        <f>IF($A2="","",SUMIF('07_Pallet_Contents'!$A$2:$A$3000,$A2,'07_Pallet_Contents'!$D$2:$D$3000))</f>
        <v/>
      </c>
      <c r="Y1036">
        <f>IF($A2="","",SUMIF('07_Pallet_Contents'!$A$2:$A$3000,$A2,'07_Pallet_Contents'!$I$2:$I$3000))</f>
        <v/>
      </c>
      <c r="Z1036">
        <f>IF($A2="","",IF(COUNTIF('07_Pallet_Contents'!$A$2:$A$3000,$A2)&gt;0,"Yes",""))</f>
        <v/>
      </c>
    </row>
    <row r="1037">
      <c r="B1037" s="22" t="n"/>
      <c r="G1037" s="25" t="n"/>
      <c r="H1037" s="24">
        <f>IF(AND($F1037="TEMP",$G1037&gt;0,$M1037&lt;&gt;""),$M1037+$G1037,"")</f>
        <v/>
      </c>
      <c r="I1037" s="22" t="n"/>
      <c r="J1037" s="22" t="n"/>
      <c r="K1037" s="24" t="n"/>
      <c r="W1037">
        <f>IF($A2="","",COUNTIF('07_Pallet_Contents'!$A$2:$A$3000,$A2))</f>
        <v/>
      </c>
      <c r="X1037">
        <f>IF($A2="","",SUMIF('07_Pallet_Contents'!$A$2:$A$3000,$A2,'07_Pallet_Contents'!$D$2:$D$3000))</f>
        <v/>
      </c>
      <c r="Y1037">
        <f>IF($A2="","",SUMIF('07_Pallet_Contents'!$A$2:$A$3000,$A2,'07_Pallet_Contents'!$I$2:$I$3000))</f>
        <v/>
      </c>
      <c r="Z1037">
        <f>IF($A2="","",IF(COUNTIF('07_Pallet_Contents'!$A$2:$A$3000,$A2)&gt;0,"Yes",""))</f>
        <v/>
      </c>
    </row>
    <row r="1038">
      <c r="B1038" s="22" t="n"/>
      <c r="G1038" s="25" t="n"/>
      <c r="H1038" s="24">
        <f>IF(AND($F1038="TEMP",$G1038&gt;0,$M1038&lt;&gt;""),$M1038+$G1038,"")</f>
        <v/>
      </c>
      <c r="I1038" s="22" t="n"/>
      <c r="J1038" s="22" t="n"/>
      <c r="K1038" s="24" t="n"/>
      <c r="W1038">
        <f>IF($A2="","",COUNTIF('07_Pallet_Contents'!$A$2:$A$3000,$A2))</f>
        <v/>
      </c>
      <c r="X1038">
        <f>IF($A2="","",SUMIF('07_Pallet_Contents'!$A$2:$A$3000,$A2,'07_Pallet_Contents'!$D$2:$D$3000))</f>
        <v/>
      </c>
      <c r="Y1038">
        <f>IF($A2="","",SUMIF('07_Pallet_Contents'!$A$2:$A$3000,$A2,'07_Pallet_Contents'!$I$2:$I$3000))</f>
        <v/>
      </c>
      <c r="Z1038">
        <f>IF($A2="","",IF(COUNTIF('07_Pallet_Contents'!$A$2:$A$3000,$A2)&gt;0,"Yes",""))</f>
        <v/>
      </c>
    </row>
    <row r="1039">
      <c r="B1039" s="22" t="n"/>
      <c r="G1039" s="25" t="n"/>
      <c r="H1039" s="24">
        <f>IF(AND($F1039="TEMP",$G1039&gt;0,$M1039&lt;&gt;""),$M1039+$G1039,"")</f>
        <v/>
      </c>
      <c r="I1039" s="22" t="n"/>
      <c r="J1039" s="22" t="n"/>
      <c r="K1039" s="24" t="n"/>
      <c r="W1039">
        <f>IF($A2="","",COUNTIF('07_Pallet_Contents'!$A$2:$A$3000,$A2))</f>
        <v/>
      </c>
      <c r="X1039">
        <f>IF($A2="","",SUMIF('07_Pallet_Contents'!$A$2:$A$3000,$A2,'07_Pallet_Contents'!$D$2:$D$3000))</f>
        <v/>
      </c>
      <c r="Y1039">
        <f>IF($A2="","",SUMIF('07_Pallet_Contents'!$A$2:$A$3000,$A2,'07_Pallet_Contents'!$I$2:$I$3000))</f>
        <v/>
      </c>
      <c r="Z1039">
        <f>IF($A2="","",IF(COUNTIF('07_Pallet_Contents'!$A$2:$A$3000,$A2)&gt;0,"Yes",""))</f>
        <v/>
      </c>
    </row>
    <row r="1040">
      <c r="B1040" s="22" t="n"/>
      <c r="G1040" s="25" t="n"/>
      <c r="H1040" s="24">
        <f>IF(AND($F1040="TEMP",$G1040&gt;0,$M1040&lt;&gt;""),$M1040+$G1040,"")</f>
        <v/>
      </c>
      <c r="I1040" s="22" t="n"/>
      <c r="J1040" s="22" t="n"/>
      <c r="K1040" s="24" t="n"/>
      <c r="W1040">
        <f>IF($A2="","",COUNTIF('07_Pallet_Contents'!$A$2:$A$3000,$A2))</f>
        <v/>
      </c>
      <c r="X1040">
        <f>IF($A2="","",SUMIF('07_Pallet_Contents'!$A$2:$A$3000,$A2,'07_Pallet_Contents'!$D$2:$D$3000))</f>
        <v/>
      </c>
      <c r="Y1040">
        <f>IF($A2="","",SUMIF('07_Pallet_Contents'!$A$2:$A$3000,$A2,'07_Pallet_Contents'!$I$2:$I$3000))</f>
        <v/>
      </c>
      <c r="Z1040">
        <f>IF($A2="","",IF(COUNTIF('07_Pallet_Contents'!$A$2:$A$3000,$A2)&gt;0,"Yes",""))</f>
        <v/>
      </c>
    </row>
    <row r="1041">
      <c r="B1041" s="22" t="n"/>
      <c r="G1041" s="25" t="n"/>
      <c r="H1041" s="24">
        <f>IF(AND($F1041="TEMP",$G1041&gt;0,$M1041&lt;&gt;""),$M1041+$G1041,"")</f>
        <v/>
      </c>
      <c r="I1041" s="22" t="n"/>
      <c r="J1041" s="22" t="n"/>
      <c r="K1041" s="24" t="n"/>
      <c r="W1041">
        <f>IF($A2="","",COUNTIF('07_Pallet_Contents'!$A$2:$A$3000,$A2))</f>
        <v/>
      </c>
      <c r="X1041">
        <f>IF($A2="","",SUMIF('07_Pallet_Contents'!$A$2:$A$3000,$A2,'07_Pallet_Contents'!$D$2:$D$3000))</f>
        <v/>
      </c>
      <c r="Y1041">
        <f>IF($A2="","",SUMIF('07_Pallet_Contents'!$A$2:$A$3000,$A2,'07_Pallet_Contents'!$I$2:$I$3000))</f>
        <v/>
      </c>
      <c r="Z1041">
        <f>IF($A2="","",IF(COUNTIF('07_Pallet_Contents'!$A$2:$A$3000,$A2)&gt;0,"Yes",""))</f>
        <v/>
      </c>
    </row>
    <row r="1042">
      <c r="B1042" s="22" t="n"/>
      <c r="G1042" s="25" t="n"/>
      <c r="H1042" s="24">
        <f>IF(AND($F1042="TEMP",$G1042&gt;0,$M1042&lt;&gt;""),$M1042+$G1042,"")</f>
        <v/>
      </c>
      <c r="I1042" s="22" t="n"/>
      <c r="J1042" s="22" t="n"/>
      <c r="K1042" s="24" t="n"/>
      <c r="W1042">
        <f>IF($A2="","",COUNTIF('07_Pallet_Contents'!$A$2:$A$3000,$A2))</f>
        <v/>
      </c>
      <c r="X1042">
        <f>IF($A2="","",SUMIF('07_Pallet_Contents'!$A$2:$A$3000,$A2,'07_Pallet_Contents'!$D$2:$D$3000))</f>
        <v/>
      </c>
      <c r="Y1042">
        <f>IF($A2="","",SUMIF('07_Pallet_Contents'!$A$2:$A$3000,$A2,'07_Pallet_Contents'!$I$2:$I$3000))</f>
        <v/>
      </c>
      <c r="Z1042">
        <f>IF($A2="","",IF(COUNTIF('07_Pallet_Contents'!$A$2:$A$3000,$A2)&gt;0,"Yes",""))</f>
        <v/>
      </c>
    </row>
    <row r="1043">
      <c r="B1043" s="22" t="n"/>
      <c r="G1043" s="25" t="n"/>
      <c r="H1043" s="24">
        <f>IF(AND($F1043="TEMP",$G1043&gt;0,$M1043&lt;&gt;""),$M1043+$G1043,"")</f>
        <v/>
      </c>
      <c r="I1043" s="22" t="n"/>
      <c r="J1043" s="22" t="n"/>
      <c r="K1043" s="24" t="n"/>
      <c r="W1043">
        <f>IF($A2="","",COUNTIF('07_Pallet_Contents'!$A$2:$A$3000,$A2))</f>
        <v/>
      </c>
      <c r="X1043">
        <f>IF($A2="","",SUMIF('07_Pallet_Contents'!$A$2:$A$3000,$A2,'07_Pallet_Contents'!$D$2:$D$3000))</f>
        <v/>
      </c>
      <c r="Y1043">
        <f>IF($A2="","",SUMIF('07_Pallet_Contents'!$A$2:$A$3000,$A2,'07_Pallet_Contents'!$I$2:$I$3000))</f>
        <v/>
      </c>
      <c r="Z1043">
        <f>IF($A2="","",IF(COUNTIF('07_Pallet_Contents'!$A$2:$A$3000,$A2)&gt;0,"Yes",""))</f>
        <v/>
      </c>
    </row>
    <row r="1044">
      <c r="B1044" s="22" t="n"/>
      <c r="G1044" s="25" t="n"/>
      <c r="H1044" s="24">
        <f>IF(AND($F1044="TEMP",$G1044&gt;0,$M1044&lt;&gt;""),$M1044+$G1044,"")</f>
        <v/>
      </c>
      <c r="I1044" s="22" t="n"/>
      <c r="J1044" s="22" t="n"/>
      <c r="K1044" s="24" t="n"/>
      <c r="W1044">
        <f>IF($A2="","",COUNTIF('07_Pallet_Contents'!$A$2:$A$3000,$A2))</f>
        <v/>
      </c>
      <c r="X1044">
        <f>IF($A2="","",SUMIF('07_Pallet_Contents'!$A$2:$A$3000,$A2,'07_Pallet_Contents'!$D$2:$D$3000))</f>
        <v/>
      </c>
      <c r="Y1044">
        <f>IF($A2="","",SUMIF('07_Pallet_Contents'!$A$2:$A$3000,$A2,'07_Pallet_Contents'!$I$2:$I$3000))</f>
        <v/>
      </c>
      <c r="Z1044">
        <f>IF($A2="","",IF(COUNTIF('07_Pallet_Contents'!$A$2:$A$3000,$A2)&gt;0,"Yes",""))</f>
        <v/>
      </c>
    </row>
    <row r="1045">
      <c r="B1045" s="22" t="n"/>
      <c r="G1045" s="25" t="n"/>
      <c r="H1045" s="24">
        <f>IF(AND($F1045="TEMP",$G1045&gt;0,$M1045&lt;&gt;""),$M1045+$G1045,"")</f>
        <v/>
      </c>
      <c r="I1045" s="22" t="n"/>
      <c r="J1045" s="22" t="n"/>
      <c r="K1045" s="24" t="n"/>
      <c r="W1045">
        <f>IF($A2="","",COUNTIF('07_Pallet_Contents'!$A$2:$A$3000,$A2))</f>
        <v/>
      </c>
      <c r="X1045">
        <f>IF($A2="","",SUMIF('07_Pallet_Contents'!$A$2:$A$3000,$A2,'07_Pallet_Contents'!$D$2:$D$3000))</f>
        <v/>
      </c>
      <c r="Y1045">
        <f>IF($A2="","",SUMIF('07_Pallet_Contents'!$A$2:$A$3000,$A2,'07_Pallet_Contents'!$I$2:$I$3000))</f>
        <v/>
      </c>
      <c r="Z1045">
        <f>IF($A2="","",IF(COUNTIF('07_Pallet_Contents'!$A$2:$A$3000,$A2)&gt;0,"Yes",""))</f>
        <v/>
      </c>
    </row>
    <row r="1046">
      <c r="B1046" s="22" t="n"/>
      <c r="G1046" s="25" t="n"/>
      <c r="H1046" s="24">
        <f>IF(AND($F1046="TEMP",$G1046&gt;0,$M1046&lt;&gt;""),$M1046+$G1046,"")</f>
        <v/>
      </c>
      <c r="I1046" s="22" t="n"/>
      <c r="J1046" s="22" t="n"/>
      <c r="K1046" s="24" t="n"/>
      <c r="W1046">
        <f>IF($A2="","",COUNTIF('07_Pallet_Contents'!$A$2:$A$3000,$A2))</f>
        <v/>
      </c>
      <c r="X1046">
        <f>IF($A2="","",SUMIF('07_Pallet_Contents'!$A$2:$A$3000,$A2,'07_Pallet_Contents'!$D$2:$D$3000))</f>
        <v/>
      </c>
      <c r="Y1046">
        <f>IF($A2="","",SUMIF('07_Pallet_Contents'!$A$2:$A$3000,$A2,'07_Pallet_Contents'!$I$2:$I$3000))</f>
        <v/>
      </c>
      <c r="Z1046">
        <f>IF($A2="","",IF(COUNTIF('07_Pallet_Contents'!$A$2:$A$3000,$A2)&gt;0,"Yes",""))</f>
        <v/>
      </c>
    </row>
    <row r="1047">
      <c r="B1047" s="22" t="n"/>
      <c r="G1047" s="25" t="n"/>
      <c r="H1047" s="24">
        <f>IF(AND($F1047="TEMP",$G1047&gt;0,$M1047&lt;&gt;""),$M1047+$G1047,"")</f>
        <v/>
      </c>
      <c r="I1047" s="22" t="n"/>
      <c r="J1047" s="22" t="n"/>
      <c r="K1047" s="24" t="n"/>
      <c r="W1047">
        <f>IF($A2="","",COUNTIF('07_Pallet_Contents'!$A$2:$A$3000,$A2))</f>
        <v/>
      </c>
      <c r="X1047">
        <f>IF($A2="","",SUMIF('07_Pallet_Contents'!$A$2:$A$3000,$A2,'07_Pallet_Contents'!$D$2:$D$3000))</f>
        <v/>
      </c>
      <c r="Y1047">
        <f>IF($A2="","",SUMIF('07_Pallet_Contents'!$A$2:$A$3000,$A2,'07_Pallet_Contents'!$I$2:$I$3000))</f>
        <v/>
      </c>
      <c r="Z1047">
        <f>IF($A2="","",IF(COUNTIF('07_Pallet_Contents'!$A$2:$A$3000,$A2)&gt;0,"Yes",""))</f>
        <v/>
      </c>
    </row>
    <row r="1048">
      <c r="B1048" s="22" t="n"/>
      <c r="G1048" s="25" t="n"/>
      <c r="H1048" s="24">
        <f>IF(AND($F1048="TEMP",$G1048&gt;0,$M1048&lt;&gt;""),$M1048+$G1048,"")</f>
        <v/>
      </c>
      <c r="I1048" s="22" t="n"/>
      <c r="J1048" s="22" t="n"/>
      <c r="K1048" s="24" t="n"/>
      <c r="W1048">
        <f>IF($A2="","",COUNTIF('07_Pallet_Contents'!$A$2:$A$3000,$A2))</f>
        <v/>
      </c>
      <c r="X1048">
        <f>IF($A2="","",SUMIF('07_Pallet_Contents'!$A$2:$A$3000,$A2,'07_Pallet_Contents'!$D$2:$D$3000))</f>
        <v/>
      </c>
      <c r="Y1048">
        <f>IF($A2="","",SUMIF('07_Pallet_Contents'!$A$2:$A$3000,$A2,'07_Pallet_Contents'!$I$2:$I$3000))</f>
        <v/>
      </c>
      <c r="Z1048">
        <f>IF($A2="","",IF(COUNTIF('07_Pallet_Contents'!$A$2:$A$3000,$A2)&gt;0,"Yes",""))</f>
        <v/>
      </c>
    </row>
    <row r="1049">
      <c r="B1049" s="22" t="n"/>
      <c r="G1049" s="25" t="n"/>
      <c r="H1049" s="24">
        <f>IF(AND($F1049="TEMP",$G1049&gt;0,$M1049&lt;&gt;""),$M1049+$G1049,"")</f>
        <v/>
      </c>
      <c r="I1049" s="22" t="n"/>
      <c r="J1049" s="22" t="n"/>
      <c r="K1049" s="24" t="n"/>
      <c r="W1049">
        <f>IF($A2="","",COUNTIF('07_Pallet_Contents'!$A$2:$A$3000,$A2))</f>
        <v/>
      </c>
      <c r="X1049">
        <f>IF($A2="","",SUMIF('07_Pallet_Contents'!$A$2:$A$3000,$A2,'07_Pallet_Contents'!$D$2:$D$3000))</f>
        <v/>
      </c>
      <c r="Y1049">
        <f>IF($A2="","",SUMIF('07_Pallet_Contents'!$A$2:$A$3000,$A2,'07_Pallet_Contents'!$I$2:$I$3000))</f>
        <v/>
      </c>
      <c r="Z1049">
        <f>IF($A2="","",IF(COUNTIF('07_Pallet_Contents'!$A$2:$A$3000,$A2)&gt;0,"Yes",""))</f>
        <v/>
      </c>
    </row>
    <row r="1050">
      <c r="B1050" s="22" t="n"/>
      <c r="G1050" s="25" t="n"/>
      <c r="H1050" s="24">
        <f>IF(AND($F1050="TEMP",$G1050&gt;0,$M1050&lt;&gt;""),$M1050+$G1050,"")</f>
        <v/>
      </c>
      <c r="I1050" s="22" t="n"/>
      <c r="J1050" s="22" t="n"/>
      <c r="K1050" s="24" t="n"/>
      <c r="W1050">
        <f>IF($A2="","",COUNTIF('07_Pallet_Contents'!$A$2:$A$3000,$A2))</f>
        <v/>
      </c>
      <c r="X1050">
        <f>IF($A2="","",SUMIF('07_Pallet_Contents'!$A$2:$A$3000,$A2,'07_Pallet_Contents'!$D$2:$D$3000))</f>
        <v/>
      </c>
      <c r="Y1050">
        <f>IF($A2="","",SUMIF('07_Pallet_Contents'!$A$2:$A$3000,$A2,'07_Pallet_Contents'!$I$2:$I$3000))</f>
        <v/>
      </c>
      <c r="Z1050">
        <f>IF($A2="","",IF(COUNTIF('07_Pallet_Contents'!$A$2:$A$3000,$A2)&gt;0,"Yes",""))</f>
        <v/>
      </c>
    </row>
    <row r="1051">
      <c r="B1051" s="22" t="n"/>
      <c r="G1051" s="25" t="n"/>
      <c r="H1051" s="24">
        <f>IF(AND($F1051="TEMP",$G1051&gt;0,$M1051&lt;&gt;""),$M1051+$G1051,"")</f>
        <v/>
      </c>
      <c r="I1051" s="22" t="n"/>
      <c r="J1051" s="22" t="n"/>
      <c r="K1051" s="24" t="n"/>
      <c r="W1051">
        <f>IF($A2="","",COUNTIF('07_Pallet_Contents'!$A$2:$A$3000,$A2))</f>
        <v/>
      </c>
      <c r="X1051">
        <f>IF($A2="","",SUMIF('07_Pallet_Contents'!$A$2:$A$3000,$A2,'07_Pallet_Contents'!$D$2:$D$3000))</f>
        <v/>
      </c>
      <c r="Y1051">
        <f>IF($A2="","",SUMIF('07_Pallet_Contents'!$A$2:$A$3000,$A2,'07_Pallet_Contents'!$I$2:$I$3000))</f>
        <v/>
      </c>
      <c r="Z1051">
        <f>IF($A2="","",IF(COUNTIF('07_Pallet_Contents'!$A$2:$A$3000,$A2)&gt;0,"Yes",""))</f>
        <v/>
      </c>
    </row>
    <row r="1052">
      <c r="B1052" s="22" t="n"/>
      <c r="G1052" s="25" t="n"/>
      <c r="H1052" s="24">
        <f>IF(AND($F1052="TEMP",$G1052&gt;0,$M1052&lt;&gt;""),$M1052+$G1052,"")</f>
        <v/>
      </c>
      <c r="I1052" s="22" t="n"/>
      <c r="J1052" s="22" t="n"/>
      <c r="K1052" s="24" t="n"/>
      <c r="W1052">
        <f>IF($A2="","",COUNTIF('07_Pallet_Contents'!$A$2:$A$3000,$A2))</f>
        <v/>
      </c>
      <c r="X1052">
        <f>IF($A2="","",SUMIF('07_Pallet_Contents'!$A$2:$A$3000,$A2,'07_Pallet_Contents'!$D$2:$D$3000))</f>
        <v/>
      </c>
      <c r="Y1052">
        <f>IF($A2="","",SUMIF('07_Pallet_Contents'!$A$2:$A$3000,$A2,'07_Pallet_Contents'!$I$2:$I$3000))</f>
        <v/>
      </c>
      <c r="Z1052">
        <f>IF($A2="","",IF(COUNTIF('07_Pallet_Contents'!$A$2:$A$3000,$A2)&gt;0,"Yes",""))</f>
        <v/>
      </c>
    </row>
    <row r="1053">
      <c r="B1053" s="22" t="n"/>
      <c r="G1053" s="25" t="n"/>
      <c r="H1053" s="24">
        <f>IF(AND($F1053="TEMP",$G1053&gt;0,$M1053&lt;&gt;""),$M1053+$G1053,"")</f>
        <v/>
      </c>
      <c r="I1053" s="22" t="n"/>
      <c r="J1053" s="22" t="n"/>
      <c r="K1053" s="24" t="n"/>
      <c r="W1053">
        <f>IF($A2="","",COUNTIF('07_Pallet_Contents'!$A$2:$A$3000,$A2))</f>
        <v/>
      </c>
      <c r="X1053">
        <f>IF($A2="","",SUMIF('07_Pallet_Contents'!$A$2:$A$3000,$A2,'07_Pallet_Contents'!$D$2:$D$3000))</f>
        <v/>
      </c>
      <c r="Y1053">
        <f>IF($A2="","",SUMIF('07_Pallet_Contents'!$A$2:$A$3000,$A2,'07_Pallet_Contents'!$I$2:$I$3000))</f>
        <v/>
      </c>
      <c r="Z1053">
        <f>IF($A2="","",IF(COUNTIF('07_Pallet_Contents'!$A$2:$A$3000,$A2)&gt;0,"Yes",""))</f>
        <v/>
      </c>
    </row>
    <row r="1054">
      <c r="B1054" s="22" t="n"/>
      <c r="G1054" s="25" t="n"/>
      <c r="H1054" s="24">
        <f>IF(AND($F1054="TEMP",$G1054&gt;0,$M1054&lt;&gt;""),$M1054+$G1054,"")</f>
        <v/>
      </c>
      <c r="I1054" s="22" t="n"/>
      <c r="J1054" s="22" t="n"/>
      <c r="K1054" s="24" t="n"/>
      <c r="W1054">
        <f>IF($A2="","",COUNTIF('07_Pallet_Contents'!$A$2:$A$3000,$A2))</f>
        <v/>
      </c>
      <c r="X1054">
        <f>IF($A2="","",SUMIF('07_Pallet_Contents'!$A$2:$A$3000,$A2,'07_Pallet_Contents'!$D$2:$D$3000))</f>
        <v/>
      </c>
      <c r="Y1054">
        <f>IF($A2="","",SUMIF('07_Pallet_Contents'!$A$2:$A$3000,$A2,'07_Pallet_Contents'!$I$2:$I$3000))</f>
        <v/>
      </c>
      <c r="Z1054">
        <f>IF($A2="","",IF(COUNTIF('07_Pallet_Contents'!$A$2:$A$3000,$A2)&gt;0,"Yes",""))</f>
        <v/>
      </c>
    </row>
    <row r="1055">
      <c r="B1055" s="22" t="n"/>
      <c r="G1055" s="25" t="n"/>
      <c r="H1055" s="24">
        <f>IF(AND($F1055="TEMP",$G1055&gt;0,$M1055&lt;&gt;""),$M1055+$G1055,"")</f>
        <v/>
      </c>
      <c r="I1055" s="22" t="n"/>
      <c r="J1055" s="22" t="n"/>
      <c r="K1055" s="24" t="n"/>
      <c r="W1055">
        <f>IF($A2="","",COUNTIF('07_Pallet_Contents'!$A$2:$A$3000,$A2))</f>
        <v/>
      </c>
      <c r="X1055">
        <f>IF($A2="","",SUMIF('07_Pallet_Contents'!$A$2:$A$3000,$A2,'07_Pallet_Contents'!$D$2:$D$3000))</f>
        <v/>
      </c>
      <c r="Y1055">
        <f>IF($A2="","",SUMIF('07_Pallet_Contents'!$A$2:$A$3000,$A2,'07_Pallet_Contents'!$I$2:$I$3000))</f>
        <v/>
      </c>
      <c r="Z1055">
        <f>IF($A2="","",IF(COUNTIF('07_Pallet_Contents'!$A$2:$A$3000,$A2)&gt;0,"Yes",""))</f>
        <v/>
      </c>
    </row>
    <row r="1056">
      <c r="B1056" s="22" t="n"/>
      <c r="G1056" s="25" t="n"/>
      <c r="H1056" s="24">
        <f>IF(AND($F1056="TEMP",$G1056&gt;0,$M1056&lt;&gt;""),$M1056+$G1056,"")</f>
        <v/>
      </c>
      <c r="I1056" s="22" t="n"/>
      <c r="J1056" s="22" t="n"/>
      <c r="K1056" s="24" t="n"/>
      <c r="W1056">
        <f>IF($A2="","",COUNTIF('07_Pallet_Contents'!$A$2:$A$3000,$A2))</f>
        <v/>
      </c>
      <c r="X1056">
        <f>IF($A2="","",SUMIF('07_Pallet_Contents'!$A$2:$A$3000,$A2,'07_Pallet_Contents'!$D$2:$D$3000))</f>
        <v/>
      </c>
      <c r="Y1056">
        <f>IF($A2="","",SUMIF('07_Pallet_Contents'!$A$2:$A$3000,$A2,'07_Pallet_Contents'!$I$2:$I$3000))</f>
        <v/>
      </c>
      <c r="Z1056">
        <f>IF($A2="","",IF(COUNTIF('07_Pallet_Contents'!$A$2:$A$3000,$A2)&gt;0,"Yes",""))</f>
        <v/>
      </c>
    </row>
    <row r="1057">
      <c r="B1057" s="22" t="n"/>
      <c r="G1057" s="25" t="n"/>
      <c r="H1057" s="24">
        <f>IF(AND($F1057="TEMP",$G1057&gt;0,$M1057&lt;&gt;""),$M1057+$G1057,"")</f>
        <v/>
      </c>
      <c r="I1057" s="22" t="n"/>
      <c r="J1057" s="22" t="n"/>
      <c r="K1057" s="24" t="n"/>
      <c r="W1057">
        <f>IF($A2="","",COUNTIF('07_Pallet_Contents'!$A$2:$A$3000,$A2))</f>
        <v/>
      </c>
      <c r="X1057">
        <f>IF($A2="","",SUMIF('07_Pallet_Contents'!$A$2:$A$3000,$A2,'07_Pallet_Contents'!$D$2:$D$3000))</f>
        <v/>
      </c>
      <c r="Y1057">
        <f>IF($A2="","",SUMIF('07_Pallet_Contents'!$A$2:$A$3000,$A2,'07_Pallet_Contents'!$I$2:$I$3000))</f>
        <v/>
      </c>
      <c r="Z1057">
        <f>IF($A2="","",IF(COUNTIF('07_Pallet_Contents'!$A$2:$A$3000,$A2)&gt;0,"Yes",""))</f>
        <v/>
      </c>
    </row>
    <row r="1058">
      <c r="B1058" s="22" t="n"/>
      <c r="G1058" s="25" t="n"/>
      <c r="H1058" s="24">
        <f>IF(AND($F1058="TEMP",$G1058&gt;0,$M1058&lt;&gt;""),$M1058+$G1058,"")</f>
        <v/>
      </c>
      <c r="I1058" s="22" t="n"/>
      <c r="J1058" s="22" t="n"/>
      <c r="K1058" s="24" t="n"/>
      <c r="W1058">
        <f>IF($A2="","",COUNTIF('07_Pallet_Contents'!$A$2:$A$3000,$A2))</f>
        <v/>
      </c>
      <c r="X1058">
        <f>IF($A2="","",SUMIF('07_Pallet_Contents'!$A$2:$A$3000,$A2,'07_Pallet_Contents'!$D$2:$D$3000))</f>
        <v/>
      </c>
      <c r="Y1058">
        <f>IF($A2="","",SUMIF('07_Pallet_Contents'!$A$2:$A$3000,$A2,'07_Pallet_Contents'!$I$2:$I$3000))</f>
        <v/>
      </c>
      <c r="Z1058">
        <f>IF($A2="","",IF(COUNTIF('07_Pallet_Contents'!$A$2:$A$3000,$A2)&gt;0,"Yes",""))</f>
        <v/>
      </c>
    </row>
    <row r="1059">
      <c r="B1059" s="22" t="n"/>
      <c r="G1059" s="25" t="n"/>
      <c r="H1059" s="24">
        <f>IF(AND($F1059="TEMP",$G1059&gt;0,$M1059&lt;&gt;""),$M1059+$G1059,"")</f>
        <v/>
      </c>
      <c r="I1059" s="22" t="n"/>
      <c r="J1059" s="22" t="n"/>
      <c r="K1059" s="24" t="n"/>
      <c r="W1059">
        <f>IF($A2="","",COUNTIF('07_Pallet_Contents'!$A$2:$A$3000,$A2))</f>
        <v/>
      </c>
      <c r="X1059">
        <f>IF($A2="","",SUMIF('07_Pallet_Contents'!$A$2:$A$3000,$A2,'07_Pallet_Contents'!$D$2:$D$3000))</f>
        <v/>
      </c>
      <c r="Y1059">
        <f>IF($A2="","",SUMIF('07_Pallet_Contents'!$A$2:$A$3000,$A2,'07_Pallet_Contents'!$I$2:$I$3000))</f>
        <v/>
      </c>
      <c r="Z1059">
        <f>IF($A2="","",IF(COUNTIF('07_Pallet_Contents'!$A$2:$A$3000,$A2)&gt;0,"Yes",""))</f>
        <v/>
      </c>
    </row>
    <row r="1060">
      <c r="B1060" s="22" t="n"/>
      <c r="G1060" s="25" t="n"/>
      <c r="H1060" s="24">
        <f>IF(AND($F1060="TEMP",$G1060&gt;0,$M1060&lt;&gt;""),$M1060+$G1060,"")</f>
        <v/>
      </c>
      <c r="I1060" s="22" t="n"/>
      <c r="J1060" s="22" t="n"/>
      <c r="K1060" s="24" t="n"/>
      <c r="W1060">
        <f>IF($A2="","",COUNTIF('07_Pallet_Contents'!$A$2:$A$3000,$A2))</f>
        <v/>
      </c>
      <c r="X1060">
        <f>IF($A2="","",SUMIF('07_Pallet_Contents'!$A$2:$A$3000,$A2,'07_Pallet_Contents'!$D$2:$D$3000))</f>
        <v/>
      </c>
      <c r="Y1060">
        <f>IF($A2="","",SUMIF('07_Pallet_Contents'!$A$2:$A$3000,$A2,'07_Pallet_Contents'!$I$2:$I$3000))</f>
        <v/>
      </c>
      <c r="Z1060">
        <f>IF($A2="","",IF(COUNTIF('07_Pallet_Contents'!$A$2:$A$3000,$A2)&gt;0,"Yes",""))</f>
        <v/>
      </c>
    </row>
    <row r="1061">
      <c r="B1061" s="22" t="n"/>
      <c r="G1061" s="25" t="n"/>
      <c r="H1061" s="24">
        <f>IF(AND($F1061="TEMP",$G1061&gt;0,$M1061&lt;&gt;""),$M1061+$G1061,"")</f>
        <v/>
      </c>
      <c r="I1061" s="22" t="n"/>
      <c r="J1061" s="22" t="n"/>
      <c r="K1061" s="24" t="n"/>
      <c r="W1061">
        <f>IF($A2="","",COUNTIF('07_Pallet_Contents'!$A$2:$A$3000,$A2))</f>
        <v/>
      </c>
      <c r="X1061">
        <f>IF($A2="","",SUMIF('07_Pallet_Contents'!$A$2:$A$3000,$A2,'07_Pallet_Contents'!$D$2:$D$3000))</f>
        <v/>
      </c>
      <c r="Y1061">
        <f>IF($A2="","",SUMIF('07_Pallet_Contents'!$A$2:$A$3000,$A2,'07_Pallet_Contents'!$I$2:$I$3000))</f>
        <v/>
      </c>
      <c r="Z1061">
        <f>IF($A2="","",IF(COUNTIF('07_Pallet_Contents'!$A$2:$A$3000,$A2)&gt;0,"Yes",""))</f>
        <v/>
      </c>
    </row>
    <row r="1062">
      <c r="B1062" s="22" t="n"/>
      <c r="G1062" s="25" t="n"/>
      <c r="H1062" s="24">
        <f>IF(AND($F1062="TEMP",$G1062&gt;0,$M1062&lt;&gt;""),$M1062+$G1062,"")</f>
        <v/>
      </c>
      <c r="I1062" s="22" t="n"/>
      <c r="J1062" s="22" t="n"/>
      <c r="K1062" s="24" t="n"/>
      <c r="W1062">
        <f>IF($A2="","",COUNTIF('07_Pallet_Contents'!$A$2:$A$3000,$A2))</f>
        <v/>
      </c>
      <c r="X1062">
        <f>IF($A2="","",SUMIF('07_Pallet_Contents'!$A$2:$A$3000,$A2,'07_Pallet_Contents'!$D$2:$D$3000))</f>
        <v/>
      </c>
      <c r="Y1062">
        <f>IF($A2="","",SUMIF('07_Pallet_Contents'!$A$2:$A$3000,$A2,'07_Pallet_Contents'!$I$2:$I$3000))</f>
        <v/>
      </c>
      <c r="Z1062">
        <f>IF($A2="","",IF(COUNTIF('07_Pallet_Contents'!$A$2:$A$3000,$A2)&gt;0,"Yes",""))</f>
        <v/>
      </c>
    </row>
    <row r="1063">
      <c r="B1063" s="22" t="n"/>
      <c r="G1063" s="25" t="n"/>
      <c r="H1063" s="24">
        <f>IF(AND($F1063="TEMP",$G1063&gt;0,$M1063&lt;&gt;""),$M1063+$G1063,"")</f>
        <v/>
      </c>
      <c r="I1063" s="22" t="n"/>
      <c r="J1063" s="22" t="n"/>
      <c r="K1063" s="24" t="n"/>
      <c r="W1063">
        <f>IF($A2="","",COUNTIF('07_Pallet_Contents'!$A$2:$A$3000,$A2))</f>
        <v/>
      </c>
      <c r="X1063">
        <f>IF($A2="","",SUMIF('07_Pallet_Contents'!$A$2:$A$3000,$A2,'07_Pallet_Contents'!$D$2:$D$3000))</f>
        <v/>
      </c>
      <c r="Y1063">
        <f>IF($A2="","",SUMIF('07_Pallet_Contents'!$A$2:$A$3000,$A2,'07_Pallet_Contents'!$I$2:$I$3000))</f>
        <v/>
      </c>
      <c r="Z1063">
        <f>IF($A2="","",IF(COUNTIF('07_Pallet_Contents'!$A$2:$A$3000,$A2)&gt;0,"Yes",""))</f>
        <v/>
      </c>
    </row>
    <row r="1064">
      <c r="B1064" s="22" t="n"/>
      <c r="G1064" s="25" t="n"/>
      <c r="H1064" s="24">
        <f>IF(AND($F1064="TEMP",$G1064&gt;0,$M1064&lt;&gt;""),$M1064+$G1064,"")</f>
        <v/>
      </c>
      <c r="I1064" s="22" t="n"/>
      <c r="J1064" s="22" t="n"/>
      <c r="K1064" s="24" t="n"/>
      <c r="W1064">
        <f>IF($A2="","",COUNTIF('07_Pallet_Contents'!$A$2:$A$3000,$A2))</f>
        <v/>
      </c>
      <c r="X1064">
        <f>IF($A2="","",SUMIF('07_Pallet_Contents'!$A$2:$A$3000,$A2,'07_Pallet_Contents'!$D$2:$D$3000))</f>
        <v/>
      </c>
      <c r="Y1064">
        <f>IF($A2="","",SUMIF('07_Pallet_Contents'!$A$2:$A$3000,$A2,'07_Pallet_Contents'!$I$2:$I$3000))</f>
        <v/>
      </c>
      <c r="Z1064">
        <f>IF($A2="","",IF(COUNTIF('07_Pallet_Contents'!$A$2:$A$3000,$A2)&gt;0,"Yes",""))</f>
        <v/>
      </c>
    </row>
    <row r="1065">
      <c r="B1065" s="22" t="n"/>
      <c r="G1065" s="25" t="n"/>
      <c r="H1065" s="24">
        <f>IF(AND($F1065="TEMP",$G1065&gt;0,$M1065&lt;&gt;""),$M1065+$G1065,"")</f>
        <v/>
      </c>
      <c r="I1065" s="22" t="n"/>
      <c r="J1065" s="22" t="n"/>
      <c r="K1065" s="24" t="n"/>
      <c r="W1065">
        <f>IF($A2="","",COUNTIF('07_Pallet_Contents'!$A$2:$A$3000,$A2))</f>
        <v/>
      </c>
      <c r="X1065">
        <f>IF($A2="","",SUMIF('07_Pallet_Contents'!$A$2:$A$3000,$A2,'07_Pallet_Contents'!$D$2:$D$3000))</f>
        <v/>
      </c>
      <c r="Y1065">
        <f>IF($A2="","",SUMIF('07_Pallet_Contents'!$A$2:$A$3000,$A2,'07_Pallet_Contents'!$I$2:$I$3000))</f>
        <v/>
      </c>
      <c r="Z1065">
        <f>IF($A2="","",IF(COUNTIF('07_Pallet_Contents'!$A$2:$A$3000,$A2)&gt;0,"Yes",""))</f>
        <v/>
      </c>
    </row>
    <row r="1066">
      <c r="B1066" s="22" t="n"/>
      <c r="G1066" s="25" t="n"/>
      <c r="H1066" s="24">
        <f>IF(AND($F1066="TEMP",$G1066&gt;0,$M1066&lt;&gt;""),$M1066+$G1066,"")</f>
        <v/>
      </c>
      <c r="I1066" s="22" t="n"/>
      <c r="J1066" s="22" t="n"/>
      <c r="K1066" s="24" t="n"/>
      <c r="W1066">
        <f>IF($A2="","",COUNTIF('07_Pallet_Contents'!$A$2:$A$3000,$A2))</f>
        <v/>
      </c>
      <c r="X1066">
        <f>IF($A2="","",SUMIF('07_Pallet_Contents'!$A$2:$A$3000,$A2,'07_Pallet_Contents'!$D$2:$D$3000))</f>
        <v/>
      </c>
      <c r="Y1066">
        <f>IF($A2="","",SUMIF('07_Pallet_Contents'!$A$2:$A$3000,$A2,'07_Pallet_Contents'!$I$2:$I$3000))</f>
        <v/>
      </c>
      <c r="Z1066">
        <f>IF($A2="","",IF(COUNTIF('07_Pallet_Contents'!$A$2:$A$3000,$A2)&gt;0,"Yes",""))</f>
        <v/>
      </c>
    </row>
    <row r="1067">
      <c r="B1067" s="22" t="n"/>
      <c r="G1067" s="25" t="n"/>
      <c r="H1067" s="24">
        <f>IF(AND($F1067="TEMP",$G1067&gt;0,$M1067&lt;&gt;""),$M1067+$G1067,"")</f>
        <v/>
      </c>
      <c r="I1067" s="22" t="n"/>
      <c r="J1067" s="22" t="n"/>
      <c r="K1067" s="24" t="n"/>
      <c r="W1067">
        <f>IF($A2="","",COUNTIF('07_Pallet_Contents'!$A$2:$A$3000,$A2))</f>
        <v/>
      </c>
      <c r="X1067">
        <f>IF($A2="","",SUMIF('07_Pallet_Contents'!$A$2:$A$3000,$A2,'07_Pallet_Contents'!$D$2:$D$3000))</f>
        <v/>
      </c>
      <c r="Y1067">
        <f>IF($A2="","",SUMIF('07_Pallet_Contents'!$A$2:$A$3000,$A2,'07_Pallet_Contents'!$I$2:$I$3000))</f>
        <v/>
      </c>
      <c r="Z1067">
        <f>IF($A2="","",IF(COUNTIF('07_Pallet_Contents'!$A$2:$A$3000,$A2)&gt;0,"Yes",""))</f>
        <v/>
      </c>
    </row>
    <row r="1068">
      <c r="B1068" s="22" t="n"/>
      <c r="G1068" s="25" t="n"/>
      <c r="H1068" s="24">
        <f>IF(AND($F1068="TEMP",$G1068&gt;0,$M1068&lt;&gt;""),$M1068+$G1068,"")</f>
        <v/>
      </c>
      <c r="I1068" s="22" t="n"/>
      <c r="J1068" s="22" t="n"/>
      <c r="K1068" s="24" t="n"/>
      <c r="W1068">
        <f>IF($A2="","",COUNTIF('07_Pallet_Contents'!$A$2:$A$3000,$A2))</f>
        <v/>
      </c>
      <c r="X1068">
        <f>IF($A2="","",SUMIF('07_Pallet_Contents'!$A$2:$A$3000,$A2,'07_Pallet_Contents'!$D$2:$D$3000))</f>
        <v/>
      </c>
      <c r="Y1068">
        <f>IF($A2="","",SUMIF('07_Pallet_Contents'!$A$2:$A$3000,$A2,'07_Pallet_Contents'!$I$2:$I$3000))</f>
        <v/>
      </c>
      <c r="Z1068">
        <f>IF($A2="","",IF(COUNTIF('07_Pallet_Contents'!$A$2:$A$3000,$A2)&gt;0,"Yes",""))</f>
        <v/>
      </c>
    </row>
    <row r="1069">
      <c r="B1069" s="22" t="n"/>
      <c r="G1069" s="25" t="n"/>
      <c r="H1069" s="24">
        <f>IF(AND($F1069="TEMP",$G1069&gt;0,$M1069&lt;&gt;""),$M1069+$G1069,"")</f>
        <v/>
      </c>
      <c r="I1069" s="22" t="n"/>
      <c r="J1069" s="22" t="n"/>
      <c r="K1069" s="24" t="n"/>
      <c r="W1069">
        <f>IF($A2="","",COUNTIF('07_Pallet_Contents'!$A$2:$A$3000,$A2))</f>
        <v/>
      </c>
      <c r="X1069">
        <f>IF($A2="","",SUMIF('07_Pallet_Contents'!$A$2:$A$3000,$A2,'07_Pallet_Contents'!$D$2:$D$3000))</f>
        <v/>
      </c>
      <c r="Y1069">
        <f>IF($A2="","",SUMIF('07_Pallet_Contents'!$A$2:$A$3000,$A2,'07_Pallet_Contents'!$I$2:$I$3000))</f>
        <v/>
      </c>
      <c r="Z1069">
        <f>IF($A2="","",IF(COUNTIF('07_Pallet_Contents'!$A$2:$A$3000,$A2)&gt;0,"Yes",""))</f>
        <v/>
      </c>
    </row>
    <row r="1070">
      <c r="B1070" s="22" t="n"/>
      <c r="G1070" s="25" t="n"/>
      <c r="H1070" s="24">
        <f>IF(AND($F1070="TEMP",$G1070&gt;0,$M1070&lt;&gt;""),$M1070+$G1070,"")</f>
        <v/>
      </c>
      <c r="I1070" s="22" t="n"/>
      <c r="J1070" s="22" t="n"/>
      <c r="K1070" s="24" t="n"/>
      <c r="W1070">
        <f>IF($A2="","",COUNTIF('07_Pallet_Contents'!$A$2:$A$3000,$A2))</f>
        <v/>
      </c>
      <c r="X1070">
        <f>IF($A2="","",SUMIF('07_Pallet_Contents'!$A$2:$A$3000,$A2,'07_Pallet_Contents'!$D$2:$D$3000))</f>
        <v/>
      </c>
      <c r="Y1070">
        <f>IF($A2="","",SUMIF('07_Pallet_Contents'!$A$2:$A$3000,$A2,'07_Pallet_Contents'!$I$2:$I$3000))</f>
        <v/>
      </c>
      <c r="Z1070">
        <f>IF($A2="","",IF(COUNTIF('07_Pallet_Contents'!$A$2:$A$3000,$A2)&gt;0,"Yes",""))</f>
        <v/>
      </c>
    </row>
    <row r="1071">
      <c r="B1071" s="22" t="n"/>
      <c r="G1071" s="25" t="n"/>
      <c r="H1071" s="24">
        <f>IF(AND($F1071="TEMP",$G1071&gt;0,$M1071&lt;&gt;""),$M1071+$G1071,"")</f>
        <v/>
      </c>
      <c r="I1071" s="22" t="n"/>
      <c r="J1071" s="22" t="n"/>
      <c r="K1071" s="24" t="n"/>
      <c r="W1071">
        <f>IF($A2="","",COUNTIF('07_Pallet_Contents'!$A$2:$A$3000,$A2))</f>
        <v/>
      </c>
      <c r="X1071">
        <f>IF($A2="","",SUMIF('07_Pallet_Contents'!$A$2:$A$3000,$A2,'07_Pallet_Contents'!$D$2:$D$3000))</f>
        <v/>
      </c>
      <c r="Y1071">
        <f>IF($A2="","",SUMIF('07_Pallet_Contents'!$A$2:$A$3000,$A2,'07_Pallet_Contents'!$I$2:$I$3000))</f>
        <v/>
      </c>
      <c r="Z1071">
        <f>IF($A2="","",IF(COUNTIF('07_Pallet_Contents'!$A$2:$A$3000,$A2)&gt;0,"Yes",""))</f>
        <v/>
      </c>
    </row>
    <row r="1072">
      <c r="B1072" s="22" t="n"/>
      <c r="G1072" s="25" t="n"/>
      <c r="H1072" s="24">
        <f>IF(AND($F1072="TEMP",$G1072&gt;0,$M1072&lt;&gt;""),$M1072+$G1072,"")</f>
        <v/>
      </c>
      <c r="I1072" s="22" t="n"/>
      <c r="J1072" s="22" t="n"/>
      <c r="K1072" s="24" t="n"/>
      <c r="W1072">
        <f>IF($A2="","",COUNTIF('07_Pallet_Contents'!$A$2:$A$3000,$A2))</f>
        <v/>
      </c>
      <c r="X1072">
        <f>IF($A2="","",SUMIF('07_Pallet_Contents'!$A$2:$A$3000,$A2,'07_Pallet_Contents'!$D$2:$D$3000))</f>
        <v/>
      </c>
      <c r="Y1072">
        <f>IF($A2="","",SUMIF('07_Pallet_Contents'!$A$2:$A$3000,$A2,'07_Pallet_Contents'!$I$2:$I$3000))</f>
        <v/>
      </c>
      <c r="Z1072">
        <f>IF($A2="","",IF(COUNTIF('07_Pallet_Contents'!$A$2:$A$3000,$A2)&gt;0,"Yes",""))</f>
        <v/>
      </c>
    </row>
    <row r="1073">
      <c r="B1073" s="22" t="n"/>
      <c r="G1073" s="25" t="n"/>
      <c r="H1073" s="24">
        <f>IF(AND($F1073="TEMP",$G1073&gt;0,$M1073&lt;&gt;""),$M1073+$G1073,"")</f>
        <v/>
      </c>
      <c r="I1073" s="22" t="n"/>
      <c r="J1073" s="22" t="n"/>
      <c r="K1073" s="24" t="n"/>
      <c r="W1073">
        <f>IF($A2="","",COUNTIF('07_Pallet_Contents'!$A$2:$A$3000,$A2))</f>
        <v/>
      </c>
      <c r="X1073">
        <f>IF($A2="","",SUMIF('07_Pallet_Contents'!$A$2:$A$3000,$A2,'07_Pallet_Contents'!$D$2:$D$3000))</f>
        <v/>
      </c>
      <c r="Y1073">
        <f>IF($A2="","",SUMIF('07_Pallet_Contents'!$A$2:$A$3000,$A2,'07_Pallet_Contents'!$I$2:$I$3000))</f>
        <v/>
      </c>
      <c r="Z1073">
        <f>IF($A2="","",IF(COUNTIF('07_Pallet_Contents'!$A$2:$A$3000,$A2)&gt;0,"Yes",""))</f>
        <v/>
      </c>
    </row>
    <row r="1074">
      <c r="B1074" s="22" t="n"/>
      <c r="G1074" s="25" t="n"/>
      <c r="H1074" s="24">
        <f>IF(AND($F1074="TEMP",$G1074&gt;0,$M1074&lt;&gt;""),$M1074+$G1074,"")</f>
        <v/>
      </c>
      <c r="I1074" s="22" t="n"/>
      <c r="J1074" s="22" t="n"/>
      <c r="K1074" s="24" t="n"/>
      <c r="W1074">
        <f>IF($A2="","",COUNTIF('07_Pallet_Contents'!$A$2:$A$3000,$A2))</f>
        <v/>
      </c>
      <c r="X1074">
        <f>IF($A2="","",SUMIF('07_Pallet_Contents'!$A$2:$A$3000,$A2,'07_Pallet_Contents'!$D$2:$D$3000))</f>
        <v/>
      </c>
      <c r="Y1074">
        <f>IF($A2="","",SUMIF('07_Pallet_Contents'!$A$2:$A$3000,$A2,'07_Pallet_Contents'!$I$2:$I$3000))</f>
        <v/>
      </c>
      <c r="Z1074">
        <f>IF($A2="","",IF(COUNTIF('07_Pallet_Contents'!$A$2:$A$3000,$A2)&gt;0,"Yes",""))</f>
        <v/>
      </c>
    </row>
    <row r="1075">
      <c r="B1075" s="22" t="n"/>
      <c r="G1075" s="25" t="n"/>
      <c r="H1075" s="24">
        <f>IF(AND($F1075="TEMP",$G1075&gt;0,$M1075&lt;&gt;""),$M1075+$G1075,"")</f>
        <v/>
      </c>
      <c r="I1075" s="22" t="n"/>
      <c r="J1075" s="22" t="n"/>
      <c r="K1075" s="24" t="n"/>
      <c r="W1075">
        <f>IF($A2="","",COUNTIF('07_Pallet_Contents'!$A$2:$A$3000,$A2))</f>
        <v/>
      </c>
      <c r="X1075">
        <f>IF($A2="","",SUMIF('07_Pallet_Contents'!$A$2:$A$3000,$A2,'07_Pallet_Contents'!$D$2:$D$3000))</f>
        <v/>
      </c>
      <c r="Y1075">
        <f>IF($A2="","",SUMIF('07_Pallet_Contents'!$A$2:$A$3000,$A2,'07_Pallet_Contents'!$I$2:$I$3000))</f>
        <v/>
      </c>
      <c r="Z1075">
        <f>IF($A2="","",IF(COUNTIF('07_Pallet_Contents'!$A$2:$A$3000,$A2)&gt;0,"Yes",""))</f>
        <v/>
      </c>
    </row>
    <row r="1076">
      <c r="B1076" s="22" t="n"/>
      <c r="G1076" s="25" t="n"/>
      <c r="H1076" s="24">
        <f>IF(AND($F1076="TEMP",$G1076&gt;0,$M1076&lt;&gt;""),$M1076+$G1076,"")</f>
        <v/>
      </c>
      <c r="I1076" s="22" t="n"/>
      <c r="J1076" s="22" t="n"/>
      <c r="K1076" s="24" t="n"/>
      <c r="W1076">
        <f>IF($A2="","",COUNTIF('07_Pallet_Contents'!$A$2:$A$3000,$A2))</f>
        <v/>
      </c>
      <c r="X1076">
        <f>IF($A2="","",SUMIF('07_Pallet_Contents'!$A$2:$A$3000,$A2,'07_Pallet_Contents'!$D$2:$D$3000))</f>
        <v/>
      </c>
      <c r="Y1076">
        <f>IF($A2="","",SUMIF('07_Pallet_Contents'!$A$2:$A$3000,$A2,'07_Pallet_Contents'!$I$2:$I$3000))</f>
        <v/>
      </c>
      <c r="Z1076">
        <f>IF($A2="","",IF(COUNTIF('07_Pallet_Contents'!$A$2:$A$3000,$A2)&gt;0,"Yes",""))</f>
        <v/>
      </c>
    </row>
    <row r="1077">
      <c r="B1077" s="22" t="n"/>
      <c r="G1077" s="25" t="n"/>
      <c r="H1077" s="24">
        <f>IF(AND($F1077="TEMP",$G1077&gt;0,$M1077&lt;&gt;""),$M1077+$G1077,"")</f>
        <v/>
      </c>
      <c r="I1077" s="22" t="n"/>
      <c r="J1077" s="22" t="n"/>
      <c r="K1077" s="24" t="n"/>
      <c r="W1077">
        <f>IF($A2="","",COUNTIF('07_Pallet_Contents'!$A$2:$A$3000,$A2))</f>
        <v/>
      </c>
      <c r="X1077">
        <f>IF($A2="","",SUMIF('07_Pallet_Contents'!$A$2:$A$3000,$A2,'07_Pallet_Contents'!$D$2:$D$3000))</f>
        <v/>
      </c>
      <c r="Y1077">
        <f>IF($A2="","",SUMIF('07_Pallet_Contents'!$A$2:$A$3000,$A2,'07_Pallet_Contents'!$I$2:$I$3000))</f>
        <v/>
      </c>
      <c r="Z1077">
        <f>IF($A2="","",IF(COUNTIF('07_Pallet_Contents'!$A$2:$A$3000,$A2)&gt;0,"Yes",""))</f>
        <v/>
      </c>
    </row>
    <row r="1078">
      <c r="B1078" s="22" t="n"/>
      <c r="G1078" s="25" t="n"/>
      <c r="H1078" s="24">
        <f>IF(AND($F1078="TEMP",$G1078&gt;0,$M1078&lt;&gt;""),$M1078+$G1078,"")</f>
        <v/>
      </c>
      <c r="I1078" s="22" t="n"/>
      <c r="J1078" s="22" t="n"/>
      <c r="K1078" s="24" t="n"/>
      <c r="W1078">
        <f>IF($A2="","",COUNTIF('07_Pallet_Contents'!$A$2:$A$3000,$A2))</f>
        <v/>
      </c>
      <c r="X1078">
        <f>IF($A2="","",SUMIF('07_Pallet_Contents'!$A$2:$A$3000,$A2,'07_Pallet_Contents'!$D$2:$D$3000))</f>
        <v/>
      </c>
      <c r="Y1078">
        <f>IF($A2="","",SUMIF('07_Pallet_Contents'!$A$2:$A$3000,$A2,'07_Pallet_Contents'!$I$2:$I$3000))</f>
        <v/>
      </c>
      <c r="Z1078">
        <f>IF($A2="","",IF(COUNTIF('07_Pallet_Contents'!$A$2:$A$3000,$A2)&gt;0,"Yes",""))</f>
        <v/>
      </c>
    </row>
    <row r="1079">
      <c r="B1079" s="22" t="n"/>
      <c r="G1079" s="25" t="n"/>
      <c r="H1079" s="24">
        <f>IF(AND($F1079="TEMP",$G1079&gt;0,$M1079&lt;&gt;""),$M1079+$G1079,"")</f>
        <v/>
      </c>
      <c r="I1079" s="22" t="n"/>
      <c r="J1079" s="22" t="n"/>
      <c r="K1079" s="24" t="n"/>
      <c r="W1079">
        <f>IF($A2="","",COUNTIF('07_Pallet_Contents'!$A$2:$A$3000,$A2))</f>
        <v/>
      </c>
      <c r="X1079">
        <f>IF($A2="","",SUMIF('07_Pallet_Contents'!$A$2:$A$3000,$A2,'07_Pallet_Contents'!$D$2:$D$3000))</f>
        <v/>
      </c>
      <c r="Y1079">
        <f>IF($A2="","",SUMIF('07_Pallet_Contents'!$A$2:$A$3000,$A2,'07_Pallet_Contents'!$I$2:$I$3000))</f>
        <v/>
      </c>
      <c r="Z1079">
        <f>IF($A2="","",IF(COUNTIF('07_Pallet_Contents'!$A$2:$A$3000,$A2)&gt;0,"Yes",""))</f>
        <v/>
      </c>
    </row>
    <row r="1080">
      <c r="B1080" s="22" t="n"/>
      <c r="G1080" s="25" t="n"/>
      <c r="H1080" s="24">
        <f>IF(AND($F1080="TEMP",$G1080&gt;0,$M1080&lt;&gt;""),$M1080+$G1080,"")</f>
        <v/>
      </c>
      <c r="I1080" s="22" t="n"/>
      <c r="J1080" s="22" t="n"/>
      <c r="K1080" s="24" t="n"/>
      <c r="W1080">
        <f>IF($A2="","",COUNTIF('07_Pallet_Contents'!$A$2:$A$3000,$A2))</f>
        <v/>
      </c>
      <c r="X1080">
        <f>IF($A2="","",SUMIF('07_Pallet_Contents'!$A$2:$A$3000,$A2,'07_Pallet_Contents'!$D$2:$D$3000))</f>
        <v/>
      </c>
      <c r="Y1080">
        <f>IF($A2="","",SUMIF('07_Pallet_Contents'!$A$2:$A$3000,$A2,'07_Pallet_Contents'!$I$2:$I$3000))</f>
        <v/>
      </c>
      <c r="Z1080">
        <f>IF($A2="","",IF(COUNTIF('07_Pallet_Contents'!$A$2:$A$3000,$A2)&gt;0,"Yes",""))</f>
        <v/>
      </c>
    </row>
    <row r="1081">
      <c r="B1081" s="22" t="n"/>
      <c r="G1081" s="25" t="n"/>
      <c r="H1081" s="24">
        <f>IF(AND($F1081="TEMP",$G1081&gt;0,$M1081&lt;&gt;""),$M1081+$G1081,"")</f>
        <v/>
      </c>
      <c r="I1081" s="22" t="n"/>
      <c r="J1081" s="22" t="n"/>
      <c r="K1081" s="24" t="n"/>
      <c r="W1081">
        <f>IF($A2="","",COUNTIF('07_Pallet_Contents'!$A$2:$A$3000,$A2))</f>
        <v/>
      </c>
      <c r="X1081">
        <f>IF($A2="","",SUMIF('07_Pallet_Contents'!$A$2:$A$3000,$A2,'07_Pallet_Contents'!$D$2:$D$3000))</f>
        <v/>
      </c>
      <c r="Y1081">
        <f>IF($A2="","",SUMIF('07_Pallet_Contents'!$A$2:$A$3000,$A2,'07_Pallet_Contents'!$I$2:$I$3000))</f>
        <v/>
      </c>
      <c r="Z1081">
        <f>IF($A2="","",IF(COUNTIF('07_Pallet_Contents'!$A$2:$A$3000,$A2)&gt;0,"Yes",""))</f>
        <v/>
      </c>
    </row>
    <row r="1082">
      <c r="B1082" s="22" t="n"/>
      <c r="G1082" s="25" t="n"/>
      <c r="H1082" s="24">
        <f>IF(AND($F1082="TEMP",$G1082&gt;0,$M1082&lt;&gt;""),$M1082+$G1082,"")</f>
        <v/>
      </c>
      <c r="I1082" s="22" t="n"/>
      <c r="J1082" s="22" t="n"/>
      <c r="K1082" s="24" t="n"/>
      <c r="W1082">
        <f>IF($A2="","",COUNTIF('07_Pallet_Contents'!$A$2:$A$3000,$A2))</f>
        <v/>
      </c>
      <c r="X1082">
        <f>IF($A2="","",SUMIF('07_Pallet_Contents'!$A$2:$A$3000,$A2,'07_Pallet_Contents'!$D$2:$D$3000))</f>
        <v/>
      </c>
      <c r="Y1082">
        <f>IF($A2="","",SUMIF('07_Pallet_Contents'!$A$2:$A$3000,$A2,'07_Pallet_Contents'!$I$2:$I$3000))</f>
        <v/>
      </c>
      <c r="Z1082">
        <f>IF($A2="","",IF(COUNTIF('07_Pallet_Contents'!$A$2:$A$3000,$A2)&gt;0,"Yes",""))</f>
        <v/>
      </c>
    </row>
    <row r="1083">
      <c r="B1083" s="22" t="n"/>
      <c r="G1083" s="25" t="n"/>
      <c r="H1083" s="24">
        <f>IF(AND($F1083="TEMP",$G1083&gt;0,$M1083&lt;&gt;""),$M1083+$G1083,"")</f>
        <v/>
      </c>
      <c r="I1083" s="22" t="n"/>
      <c r="J1083" s="22" t="n"/>
      <c r="K1083" s="24" t="n"/>
      <c r="W1083">
        <f>IF($A2="","",COUNTIF('07_Pallet_Contents'!$A$2:$A$3000,$A2))</f>
        <v/>
      </c>
      <c r="X1083">
        <f>IF($A2="","",SUMIF('07_Pallet_Contents'!$A$2:$A$3000,$A2,'07_Pallet_Contents'!$D$2:$D$3000))</f>
        <v/>
      </c>
      <c r="Y1083">
        <f>IF($A2="","",SUMIF('07_Pallet_Contents'!$A$2:$A$3000,$A2,'07_Pallet_Contents'!$I$2:$I$3000))</f>
        <v/>
      </c>
      <c r="Z1083">
        <f>IF($A2="","",IF(COUNTIF('07_Pallet_Contents'!$A$2:$A$3000,$A2)&gt;0,"Yes",""))</f>
        <v/>
      </c>
    </row>
    <row r="1084">
      <c r="B1084" s="22" t="n"/>
      <c r="G1084" s="25" t="n"/>
      <c r="H1084" s="24">
        <f>IF(AND($F1084="TEMP",$G1084&gt;0,$M1084&lt;&gt;""),$M1084+$G1084,"")</f>
        <v/>
      </c>
      <c r="I1084" s="22" t="n"/>
      <c r="J1084" s="22" t="n"/>
      <c r="K1084" s="24" t="n"/>
      <c r="W1084">
        <f>IF($A2="","",COUNTIF('07_Pallet_Contents'!$A$2:$A$3000,$A2))</f>
        <v/>
      </c>
      <c r="X1084">
        <f>IF($A2="","",SUMIF('07_Pallet_Contents'!$A$2:$A$3000,$A2,'07_Pallet_Contents'!$D$2:$D$3000))</f>
        <v/>
      </c>
      <c r="Y1084">
        <f>IF($A2="","",SUMIF('07_Pallet_Contents'!$A$2:$A$3000,$A2,'07_Pallet_Contents'!$I$2:$I$3000))</f>
        <v/>
      </c>
      <c r="Z1084">
        <f>IF($A2="","",IF(COUNTIF('07_Pallet_Contents'!$A$2:$A$3000,$A2)&gt;0,"Yes",""))</f>
        <v/>
      </c>
    </row>
    <row r="1085">
      <c r="B1085" s="22" t="n"/>
      <c r="G1085" s="25" t="n"/>
      <c r="H1085" s="24">
        <f>IF(AND($F1085="TEMP",$G1085&gt;0,$M1085&lt;&gt;""),$M1085+$G1085,"")</f>
        <v/>
      </c>
      <c r="I1085" s="22" t="n"/>
      <c r="J1085" s="22" t="n"/>
      <c r="K1085" s="24" t="n"/>
      <c r="W1085">
        <f>IF($A2="","",COUNTIF('07_Pallet_Contents'!$A$2:$A$3000,$A2))</f>
        <v/>
      </c>
      <c r="X1085">
        <f>IF($A2="","",SUMIF('07_Pallet_Contents'!$A$2:$A$3000,$A2,'07_Pallet_Contents'!$D$2:$D$3000))</f>
        <v/>
      </c>
      <c r="Y1085">
        <f>IF($A2="","",SUMIF('07_Pallet_Contents'!$A$2:$A$3000,$A2,'07_Pallet_Contents'!$I$2:$I$3000))</f>
        <v/>
      </c>
      <c r="Z1085">
        <f>IF($A2="","",IF(COUNTIF('07_Pallet_Contents'!$A$2:$A$3000,$A2)&gt;0,"Yes",""))</f>
        <v/>
      </c>
    </row>
    <row r="1086">
      <c r="B1086" s="22" t="n"/>
      <c r="G1086" s="25" t="n"/>
      <c r="H1086" s="24">
        <f>IF(AND($F1086="TEMP",$G1086&gt;0,$M1086&lt;&gt;""),$M1086+$G1086,"")</f>
        <v/>
      </c>
      <c r="I1086" s="22" t="n"/>
      <c r="J1086" s="22" t="n"/>
      <c r="K1086" s="24" t="n"/>
      <c r="W1086">
        <f>IF($A2="","",COUNTIF('07_Pallet_Contents'!$A$2:$A$3000,$A2))</f>
        <v/>
      </c>
      <c r="X1086">
        <f>IF($A2="","",SUMIF('07_Pallet_Contents'!$A$2:$A$3000,$A2,'07_Pallet_Contents'!$D$2:$D$3000))</f>
        <v/>
      </c>
      <c r="Y1086">
        <f>IF($A2="","",SUMIF('07_Pallet_Contents'!$A$2:$A$3000,$A2,'07_Pallet_Contents'!$I$2:$I$3000))</f>
        <v/>
      </c>
      <c r="Z1086">
        <f>IF($A2="","",IF(COUNTIF('07_Pallet_Contents'!$A$2:$A$3000,$A2)&gt;0,"Yes",""))</f>
        <v/>
      </c>
    </row>
    <row r="1087">
      <c r="B1087" s="22" t="n"/>
      <c r="G1087" s="25" t="n"/>
      <c r="H1087" s="24">
        <f>IF(AND($F1087="TEMP",$G1087&gt;0,$M1087&lt;&gt;""),$M1087+$G1087,"")</f>
        <v/>
      </c>
      <c r="I1087" s="22" t="n"/>
      <c r="J1087" s="22" t="n"/>
      <c r="K1087" s="24" t="n"/>
      <c r="W1087">
        <f>IF($A2="","",COUNTIF('07_Pallet_Contents'!$A$2:$A$3000,$A2))</f>
        <v/>
      </c>
      <c r="X1087">
        <f>IF($A2="","",SUMIF('07_Pallet_Contents'!$A$2:$A$3000,$A2,'07_Pallet_Contents'!$D$2:$D$3000))</f>
        <v/>
      </c>
      <c r="Y1087">
        <f>IF($A2="","",SUMIF('07_Pallet_Contents'!$A$2:$A$3000,$A2,'07_Pallet_Contents'!$I$2:$I$3000))</f>
        <v/>
      </c>
      <c r="Z1087">
        <f>IF($A2="","",IF(COUNTIF('07_Pallet_Contents'!$A$2:$A$3000,$A2)&gt;0,"Yes",""))</f>
        <v/>
      </c>
    </row>
    <row r="1088">
      <c r="B1088" s="22" t="n"/>
      <c r="G1088" s="25" t="n"/>
      <c r="H1088" s="24">
        <f>IF(AND($F1088="TEMP",$G1088&gt;0,$M1088&lt;&gt;""),$M1088+$G1088,"")</f>
        <v/>
      </c>
      <c r="I1088" s="22" t="n"/>
      <c r="J1088" s="22" t="n"/>
      <c r="K1088" s="24" t="n"/>
      <c r="W1088">
        <f>IF($A2="","",COUNTIF('07_Pallet_Contents'!$A$2:$A$3000,$A2))</f>
        <v/>
      </c>
      <c r="X1088">
        <f>IF($A2="","",SUMIF('07_Pallet_Contents'!$A$2:$A$3000,$A2,'07_Pallet_Contents'!$D$2:$D$3000))</f>
        <v/>
      </c>
      <c r="Y1088">
        <f>IF($A2="","",SUMIF('07_Pallet_Contents'!$A$2:$A$3000,$A2,'07_Pallet_Contents'!$I$2:$I$3000))</f>
        <v/>
      </c>
      <c r="Z1088">
        <f>IF($A2="","",IF(COUNTIF('07_Pallet_Contents'!$A$2:$A$3000,$A2)&gt;0,"Yes",""))</f>
        <v/>
      </c>
    </row>
    <row r="1089">
      <c r="B1089" s="22" t="n"/>
      <c r="G1089" s="25" t="n"/>
      <c r="H1089" s="24">
        <f>IF(AND($F1089="TEMP",$G1089&gt;0,$M1089&lt;&gt;""),$M1089+$G1089,"")</f>
        <v/>
      </c>
      <c r="I1089" s="22" t="n"/>
      <c r="J1089" s="22" t="n"/>
      <c r="K1089" s="24" t="n"/>
      <c r="W1089">
        <f>IF($A2="","",COUNTIF('07_Pallet_Contents'!$A$2:$A$3000,$A2))</f>
        <v/>
      </c>
      <c r="X1089">
        <f>IF($A2="","",SUMIF('07_Pallet_Contents'!$A$2:$A$3000,$A2,'07_Pallet_Contents'!$D$2:$D$3000))</f>
        <v/>
      </c>
      <c r="Y1089">
        <f>IF($A2="","",SUMIF('07_Pallet_Contents'!$A$2:$A$3000,$A2,'07_Pallet_Contents'!$I$2:$I$3000))</f>
        <v/>
      </c>
      <c r="Z1089">
        <f>IF($A2="","",IF(COUNTIF('07_Pallet_Contents'!$A$2:$A$3000,$A2)&gt;0,"Yes",""))</f>
        <v/>
      </c>
    </row>
    <row r="1090">
      <c r="B1090" s="22" t="n"/>
      <c r="G1090" s="25" t="n"/>
      <c r="H1090" s="24">
        <f>IF(AND($F1090="TEMP",$G1090&gt;0,$M1090&lt;&gt;""),$M1090+$G1090,"")</f>
        <v/>
      </c>
      <c r="I1090" s="22" t="n"/>
      <c r="J1090" s="22" t="n"/>
      <c r="K1090" s="24" t="n"/>
      <c r="W1090">
        <f>IF($A2="","",COUNTIF('07_Pallet_Contents'!$A$2:$A$3000,$A2))</f>
        <v/>
      </c>
      <c r="X1090">
        <f>IF($A2="","",SUMIF('07_Pallet_Contents'!$A$2:$A$3000,$A2,'07_Pallet_Contents'!$D$2:$D$3000))</f>
        <v/>
      </c>
      <c r="Y1090">
        <f>IF($A2="","",SUMIF('07_Pallet_Contents'!$A$2:$A$3000,$A2,'07_Pallet_Contents'!$I$2:$I$3000))</f>
        <v/>
      </c>
      <c r="Z1090">
        <f>IF($A2="","",IF(COUNTIF('07_Pallet_Contents'!$A$2:$A$3000,$A2)&gt;0,"Yes",""))</f>
        <v/>
      </c>
    </row>
    <row r="1091">
      <c r="B1091" s="22" t="n"/>
      <c r="G1091" s="25" t="n"/>
      <c r="H1091" s="24">
        <f>IF(AND($F1091="TEMP",$G1091&gt;0,$M1091&lt;&gt;""),$M1091+$G1091,"")</f>
        <v/>
      </c>
      <c r="I1091" s="22" t="n"/>
      <c r="J1091" s="22" t="n"/>
      <c r="K1091" s="24" t="n"/>
      <c r="W1091">
        <f>IF($A2="","",COUNTIF('07_Pallet_Contents'!$A$2:$A$3000,$A2))</f>
        <v/>
      </c>
      <c r="X1091">
        <f>IF($A2="","",SUMIF('07_Pallet_Contents'!$A$2:$A$3000,$A2,'07_Pallet_Contents'!$D$2:$D$3000))</f>
        <v/>
      </c>
      <c r="Y1091">
        <f>IF($A2="","",SUMIF('07_Pallet_Contents'!$A$2:$A$3000,$A2,'07_Pallet_Contents'!$I$2:$I$3000))</f>
        <v/>
      </c>
      <c r="Z1091">
        <f>IF($A2="","",IF(COUNTIF('07_Pallet_Contents'!$A$2:$A$3000,$A2)&gt;0,"Yes",""))</f>
        <v/>
      </c>
    </row>
    <row r="1092">
      <c r="B1092" s="22" t="n"/>
      <c r="G1092" s="25" t="n"/>
      <c r="H1092" s="24">
        <f>IF(AND($F1092="TEMP",$G1092&gt;0,$M1092&lt;&gt;""),$M1092+$G1092,"")</f>
        <v/>
      </c>
      <c r="I1092" s="22" t="n"/>
      <c r="J1092" s="22" t="n"/>
      <c r="K1092" s="24" t="n"/>
      <c r="W1092">
        <f>IF($A2="","",COUNTIF('07_Pallet_Contents'!$A$2:$A$3000,$A2))</f>
        <v/>
      </c>
      <c r="X1092">
        <f>IF($A2="","",SUMIF('07_Pallet_Contents'!$A$2:$A$3000,$A2,'07_Pallet_Contents'!$D$2:$D$3000))</f>
        <v/>
      </c>
      <c r="Y1092">
        <f>IF($A2="","",SUMIF('07_Pallet_Contents'!$A$2:$A$3000,$A2,'07_Pallet_Contents'!$I$2:$I$3000))</f>
        <v/>
      </c>
      <c r="Z1092">
        <f>IF($A2="","",IF(COUNTIF('07_Pallet_Contents'!$A$2:$A$3000,$A2)&gt;0,"Yes",""))</f>
        <v/>
      </c>
    </row>
    <row r="1093">
      <c r="B1093" s="22" t="n"/>
      <c r="G1093" s="25" t="n"/>
      <c r="H1093" s="24">
        <f>IF(AND($F1093="TEMP",$G1093&gt;0,$M1093&lt;&gt;""),$M1093+$G1093,"")</f>
        <v/>
      </c>
      <c r="I1093" s="22" t="n"/>
      <c r="J1093" s="22" t="n"/>
      <c r="K1093" s="24" t="n"/>
      <c r="W1093">
        <f>IF($A2="","",COUNTIF('07_Pallet_Contents'!$A$2:$A$3000,$A2))</f>
        <v/>
      </c>
      <c r="X1093">
        <f>IF($A2="","",SUMIF('07_Pallet_Contents'!$A$2:$A$3000,$A2,'07_Pallet_Contents'!$D$2:$D$3000))</f>
        <v/>
      </c>
      <c r="Y1093">
        <f>IF($A2="","",SUMIF('07_Pallet_Contents'!$A$2:$A$3000,$A2,'07_Pallet_Contents'!$I$2:$I$3000))</f>
        <v/>
      </c>
      <c r="Z1093">
        <f>IF($A2="","",IF(COUNTIF('07_Pallet_Contents'!$A$2:$A$3000,$A2)&gt;0,"Yes",""))</f>
        <v/>
      </c>
    </row>
    <row r="1094">
      <c r="B1094" s="22" t="n"/>
      <c r="G1094" s="25" t="n"/>
      <c r="H1094" s="24">
        <f>IF(AND($F1094="TEMP",$G1094&gt;0,$M1094&lt;&gt;""),$M1094+$G1094,"")</f>
        <v/>
      </c>
      <c r="I1094" s="22" t="n"/>
      <c r="J1094" s="22" t="n"/>
      <c r="K1094" s="24" t="n"/>
      <c r="W1094">
        <f>IF($A2="","",COUNTIF('07_Pallet_Contents'!$A$2:$A$3000,$A2))</f>
        <v/>
      </c>
      <c r="X1094">
        <f>IF($A2="","",SUMIF('07_Pallet_Contents'!$A$2:$A$3000,$A2,'07_Pallet_Contents'!$D$2:$D$3000))</f>
        <v/>
      </c>
      <c r="Y1094">
        <f>IF($A2="","",SUMIF('07_Pallet_Contents'!$A$2:$A$3000,$A2,'07_Pallet_Contents'!$I$2:$I$3000))</f>
        <v/>
      </c>
      <c r="Z1094">
        <f>IF($A2="","",IF(COUNTIF('07_Pallet_Contents'!$A$2:$A$3000,$A2)&gt;0,"Yes",""))</f>
        <v/>
      </c>
    </row>
    <row r="1095">
      <c r="B1095" s="22" t="n"/>
      <c r="G1095" s="25" t="n"/>
      <c r="H1095" s="24">
        <f>IF(AND($F1095="TEMP",$G1095&gt;0,$M1095&lt;&gt;""),$M1095+$G1095,"")</f>
        <v/>
      </c>
      <c r="I1095" s="22" t="n"/>
      <c r="J1095" s="22" t="n"/>
      <c r="K1095" s="24" t="n"/>
      <c r="W1095">
        <f>IF($A2="","",COUNTIF('07_Pallet_Contents'!$A$2:$A$3000,$A2))</f>
        <v/>
      </c>
      <c r="X1095">
        <f>IF($A2="","",SUMIF('07_Pallet_Contents'!$A$2:$A$3000,$A2,'07_Pallet_Contents'!$D$2:$D$3000))</f>
        <v/>
      </c>
      <c r="Y1095">
        <f>IF($A2="","",SUMIF('07_Pallet_Contents'!$A$2:$A$3000,$A2,'07_Pallet_Contents'!$I$2:$I$3000))</f>
        <v/>
      </c>
      <c r="Z1095">
        <f>IF($A2="","",IF(COUNTIF('07_Pallet_Contents'!$A$2:$A$3000,$A2)&gt;0,"Yes",""))</f>
        <v/>
      </c>
    </row>
    <row r="1096">
      <c r="B1096" s="22" t="n"/>
      <c r="G1096" s="25" t="n"/>
      <c r="H1096" s="24">
        <f>IF(AND($F1096="TEMP",$G1096&gt;0,$M1096&lt;&gt;""),$M1096+$G1096,"")</f>
        <v/>
      </c>
      <c r="I1096" s="22" t="n"/>
      <c r="J1096" s="22" t="n"/>
      <c r="K1096" s="24" t="n"/>
      <c r="W1096">
        <f>IF($A2="","",COUNTIF('07_Pallet_Contents'!$A$2:$A$3000,$A2))</f>
        <v/>
      </c>
      <c r="X1096">
        <f>IF($A2="","",SUMIF('07_Pallet_Contents'!$A$2:$A$3000,$A2,'07_Pallet_Contents'!$D$2:$D$3000))</f>
        <v/>
      </c>
      <c r="Y1096">
        <f>IF($A2="","",SUMIF('07_Pallet_Contents'!$A$2:$A$3000,$A2,'07_Pallet_Contents'!$I$2:$I$3000))</f>
        <v/>
      </c>
      <c r="Z1096">
        <f>IF($A2="","",IF(COUNTIF('07_Pallet_Contents'!$A$2:$A$3000,$A2)&gt;0,"Yes",""))</f>
        <v/>
      </c>
    </row>
    <row r="1097">
      <c r="B1097" s="22" t="n"/>
      <c r="G1097" s="25" t="n"/>
      <c r="H1097" s="24">
        <f>IF(AND($F1097="TEMP",$G1097&gt;0,$M1097&lt;&gt;""),$M1097+$G1097,"")</f>
        <v/>
      </c>
      <c r="I1097" s="22" t="n"/>
      <c r="J1097" s="22" t="n"/>
      <c r="K1097" s="24" t="n"/>
      <c r="W1097">
        <f>IF($A2="","",COUNTIF('07_Pallet_Contents'!$A$2:$A$3000,$A2))</f>
        <v/>
      </c>
      <c r="X1097">
        <f>IF($A2="","",SUMIF('07_Pallet_Contents'!$A$2:$A$3000,$A2,'07_Pallet_Contents'!$D$2:$D$3000))</f>
        <v/>
      </c>
      <c r="Y1097">
        <f>IF($A2="","",SUMIF('07_Pallet_Contents'!$A$2:$A$3000,$A2,'07_Pallet_Contents'!$I$2:$I$3000))</f>
        <v/>
      </c>
      <c r="Z1097">
        <f>IF($A2="","",IF(COUNTIF('07_Pallet_Contents'!$A$2:$A$3000,$A2)&gt;0,"Yes",""))</f>
        <v/>
      </c>
    </row>
    <row r="1098">
      <c r="B1098" s="22" t="n"/>
      <c r="G1098" s="25" t="n"/>
      <c r="H1098" s="24">
        <f>IF(AND($F1098="TEMP",$G1098&gt;0,$M1098&lt;&gt;""),$M1098+$G1098,"")</f>
        <v/>
      </c>
      <c r="I1098" s="22" t="n"/>
      <c r="J1098" s="22" t="n"/>
      <c r="K1098" s="24" t="n"/>
      <c r="W1098">
        <f>IF($A2="","",COUNTIF('07_Pallet_Contents'!$A$2:$A$3000,$A2))</f>
        <v/>
      </c>
      <c r="X1098">
        <f>IF($A2="","",SUMIF('07_Pallet_Contents'!$A$2:$A$3000,$A2,'07_Pallet_Contents'!$D$2:$D$3000))</f>
        <v/>
      </c>
      <c r="Y1098">
        <f>IF($A2="","",SUMIF('07_Pallet_Contents'!$A$2:$A$3000,$A2,'07_Pallet_Contents'!$I$2:$I$3000))</f>
        <v/>
      </c>
      <c r="Z1098">
        <f>IF($A2="","",IF(COUNTIF('07_Pallet_Contents'!$A$2:$A$3000,$A2)&gt;0,"Yes",""))</f>
        <v/>
      </c>
    </row>
    <row r="1099">
      <c r="B1099" s="22" t="n"/>
      <c r="G1099" s="25" t="n"/>
      <c r="H1099" s="24">
        <f>IF(AND($F1099="TEMP",$G1099&gt;0,$M1099&lt;&gt;""),$M1099+$G1099,"")</f>
        <v/>
      </c>
      <c r="I1099" s="22" t="n"/>
      <c r="J1099" s="22" t="n"/>
      <c r="K1099" s="24" t="n"/>
      <c r="W1099">
        <f>IF($A2="","",COUNTIF('07_Pallet_Contents'!$A$2:$A$3000,$A2))</f>
        <v/>
      </c>
      <c r="X1099">
        <f>IF($A2="","",SUMIF('07_Pallet_Contents'!$A$2:$A$3000,$A2,'07_Pallet_Contents'!$D$2:$D$3000))</f>
        <v/>
      </c>
      <c r="Y1099">
        <f>IF($A2="","",SUMIF('07_Pallet_Contents'!$A$2:$A$3000,$A2,'07_Pallet_Contents'!$I$2:$I$3000))</f>
        <v/>
      </c>
      <c r="Z1099">
        <f>IF($A2="","",IF(COUNTIF('07_Pallet_Contents'!$A$2:$A$3000,$A2)&gt;0,"Yes",""))</f>
        <v/>
      </c>
    </row>
    <row r="1100">
      <c r="B1100" s="22" t="n"/>
      <c r="G1100" s="25" t="n"/>
      <c r="H1100" s="24">
        <f>IF(AND($F1100="TEMP",$G1100&gt;0,$M1100&lt;&gt;""),$M1100+$G1100,"")</f>
        <v/>
      </c>
      <c r="I1100" s="22" t="n"/>
      <c r="J1100" s="22" t="n"/>
      <c r="K1100" s="24" t="n"/>
      <c r="W1100">
        <f>IF($A2="","",COUNTIF('07_Pallet_Contents'!$A$2:$A$3000,$A2))</f>
        <v/>
      </c>
      <c r="X1100">
        <f>IF($A2="","",SUMIF('07_Pallet_Contents'!$A$2:$A$3000,$A2,'07_Pallet_Contents'!$D$2:$D$3000))</f>
        <v/>
      </c>
      <c r="Y1100">
        <f>IF($A2="","",SUMIF('07_Pallet_Contents'!$A$2:$A$3000,$A2,'07_Pallet_Contents'!$I$2:$I$3000))</f>
        <v/>
      </c>
      <c r="Z1100">
        <f>IF($A2="","",IF(COUNTIF('07_Pallet_Contents'!$A$2:$A$3000,$A2)&gt;0,"Yes",""))</f>
        <v/>
      </c>
    </row>
    <row r="1101">
      <c r="B1101" s="22" t="n"/>
      <c r="G1101" s="25" t="n"/>
      <c r="H1101" s="24">
        <f>IF(AND($F1101="TEMP",$G1101&gt;0,$M1101&lt;&gt;""),$M1101+$G1101,"")</f>
        <v/>
      </c>
      <c r="I1101" s="22" t="n"/>
      <c r="J1101" s="22" t="n"/>
      <c r="K1101" s="24" t="n"/>
      <c r="W1101">
        <f>IF($A2="","",COUNTIF('07_Pallet_Contents'!$A$2:$A$3000,$A2))</f>
        <v/>
      </c>
      <c r="X1101">
        <f>IF($A2="","",SUMIF('07_Pallet_Contents'!$A$2:$A$3000,$A2,'07_Pallet_Contents'!$D$2:$D$3000))</f>
        <v/>
      </c>
      <c r="Y1101">
        <f>IF($A2="","",SUMIF('07_Pallet_Contents'!$A$2:$A$3000,$A2,'07_Pallet_Contents'!$I$2:$I$3000))</f>
        <v/>
      </c>
      <c r="Z1101">
        <f>IF($A2="","",IF(COUNTIF('07_Pallet_Contents'!$A$2:$A$3000,$A2)&gt;0,"Yes",""))</f>
        <v/>
      </c>
    </row>
    <row r="1102">
      <c r="B1102" s="22" t="n"/>
      <c r="G1102" s="25" t="n"/>
      <c r="H1102" s="24">
        <f>IF(AND($F1102="TEMP",$G1102&gt;0,$M1102&lt;&gt;""),$M1102+$G1102,"")</f>
        <v/>
      </c>
      <c r="I1102" s="22" t="n"/>
      <c r="J1102" s="22" t="n"/>
      <c r="K1102" s="24" t="n"/>
      <c r="W1102">
        <f>IF($A2="","",COUNTIF('07_Pallet_Contents'!$A$2:$A$3000,$A2))</f>
        <v/>
      </c>
      <c r="X1102">
        <f>IF($A2="","",SUMIF('07_Pallet_Contents'!$A$2:$A$3000,$A2,'07_Pallet_Contents'!$D$2:$D$3000))</f>
        <v/>
      </c>
      <c r="Y1102">
        <f>IF($A2="","",SUMIF('07_Pallet_Contents'!$A$2:$A$3000,$A2,'07_Pallet_Contents'!$I$2:$I$3000))</f>
        <v/>
      </c>
      <c r="Z1102">
        <f>IF($A2="","",IF(COUNTIF('07_Pallet_Contents'!$A$2:$A$3000,$A2)&gt;0,"Yes",""))</f>
        <v/>
      </c>
    </row>
    <row r="1103">
      <c r="B1103" s="22" t="n"/>
      <c r="G1103" s="25" t="n"/>
      <c r="H1103" s="24">
        <f>IF(AND($F1103="TEMP",$G1103&gt;0,$M1103&lt;&gt;""),$M1103+$G1103,"")</f>
        <v/>
      </c>
      <c r="I1103" s="22" t="n"/>
      <c r="J1103" s="22" t="n"/>
      <c r="K1103" s="24" t="n"/>
      <c r="W1103">
        <f>IF($A2="","",COUNTIF('07_Pallet_Contents'!$A$2:$A$3000,$A2))</f>
        <v/>
      </c>
      <c r="X1103">
        <f>IF($A2="","",SUMIF('07_Pallet_Contents'!$A$2:$A$3000,$A2,'07_Pallet_Contents'!$D$2:$D$3000))</f>
        <v/>
      </c>
      <c r="Y1103">
        <f>IF($A2="","",SUMIF('07_Pallet_Contents'!$A$2:$A$3000,$A2,'07_Pallet_Contents'!$I$2:$I$3000))</f>
        <v/>
      </c>
      <c r="Z1103">
        <f>IF($A2="","",IF(COUNTIF('07_Pallet_Contents'!$A$2:$A$3000,$A2)&gt;0,"Yes",""))</f>
        <v/>
      </c>
    </row>
    <row r="1104">
      <c r="B1104" s="22" t="n"/>
      <c r="G1104" s="25" t="n"/>
      <c r="H1104" s="24">
        <f>IF(AND($F1104="TEMP",$G1104&gt;0,$M1104&lt;&gt;""),$M1104+$G1104,"")</f>
        <v/>
      </c>
      <c r="I1104" s="22" t="n"/>
      <c r="J1104" s="22" t="n"/>
      <c r="K1104" s="24" t="n"/>
      <c r="W1104">
        <f>IF($A2="","",COUNTIF('07_Pallet_Contents'!$A$2:$A$3000,$A2))</f>
        <v/>
      </c>
      <c r="X1104">
        <f>IF($A2="","",SUMIF('07_Pallet_Contents'!$A$2:$A$3000,$A2,'07_Pallet_Contents'!$D$2:$D$3000))</f>
        <v/>
      </c>
      <c r="Y1104">
        <f>IF($A2="","",SUMIF('07_Pallet_Contents'!$A$2:$A$3000,$A2,'07_Pallet_Contents'!$I$2:$I$3000))</f>
        <v/>
      </c>
      <c r="Z1104">
        <f>IF($A2="","",IF(COUNTIF('07_Pallet_Contents'!$A$2:$A$3000,$A2)&gt;0,"Yes",""))</f>
        <v/>
      </c>
    </row>
    <row r="1105">
      <c r="B1105" s="22" t="n"/>
      <c r="G1105" s="25" t="n"/>
      <c r="H1105" s="24">
        <f>IF(AND($F1105="TEMP",$G1105&gt;0,$M1105&lt;&gt;""),$M1105+$G1105,"")</f>
        <v/>
      </c>
      <c r="I1105" s="22" t="n"/>
      <c r="J1105" s="22" t="n"/>
      <c r="K1105" s="24" t="n"/>
      <c r="W1105">
        <f>IF($A2="","",COUNTIF('07_Pallet_Contents'!$A$2:$A$3000,$A2))</f>
        <v/>
      </c>
      <c r="X1105">
        <f>IF($A2="","",SUMIF('07_Pallet_Contents'!$A$2:$A$3000,$A2,'07_Pallet_Contents'!$D$2:$D$3000))</f>
        <v/>
      </c>
      <c r="Y1105">
        <f>IF($A2="","",SUMIF('07_Pallet_Contents'!$A$2:$A$3000,$A2,'07_Pallet_Contents'!$I$2:$I$3000))</f>
        <v/>
      </c>
      <c r="Z1105">
        <f>IF($A2="","",IF(COUNTIF('07_Pallet_Contents'!$A$2:$A$3000,$A2)&gt;0,"Yes",""))</f>
        <v/>
      </c>
    </row>
    <row r="1106">
      <c r="B1106" s="22" t="n"/>
      <c r="G1106" s="25" t="n"/>
      <c r="H1106" s="24">
        <f>IF(AND($F1106="TEMP",$G1106&gt;0,$M1106&lt;&gt;""),$M1106+$G1106,"")</f>
        <v/>
      </c>
      <c r="I1106" s="22" t="n"/>
      <c r="J1106" s="22" t="n"/>
      <c r="K1106" s="24" t="n"/>
      <c r="W1106">
        <f>IF($A2="","",COUNTIF('07_Pallet_Contents'!$A$2:$A$3000,$A2))</f>
        <v/>
      </c>
      <c r="X1106">
        <f>IF($A2="","",SUMIF('07_Pallet_Contents'!$A$2:$A$3000,$A2,'07_Pallet_Contents'!$D$2:$D$3000))</f>
        <v/>
      </c>
      <c r="Y1106">
        <f>IF($A2="","",SUMIF('07_Pallet_Contents'!$A$2:$A$3000,$A2,'07_Pallet_Contents'!$I$2:$I$3000))</f>
        <v/>
      </c>
      <c r="Z1106">
        <f>IF($A2="","",IF(COUNTIF('07_Pallet_Contents'!$A$2:$A$3000,$A2)&gt;0,"Yes",""))</f>
        <v/>
      </c>
    </row>
    <row r="1107">
      <c r="B1107" s="22" t="n"/>
      <c r="G1107" s="25" t="n"/>
      <c r="H1107" s="24">
        <f>IF(AND($F1107="TEMP",$G1107&gt;0,$M1107&lt;&gt;""),$M1107+$G1107,"")</f>
        <v/>
      </c>
      <c r="I1107" s="22" t="n"/>
      <c r="J1107" s="22" t="n"/>
      <c r="K1107" s="24" t="n"/>
      <c r="W1107">
        <f>IF($A2="","",COUNTIF('07_Pallet_Contents'!$A$2:$A$3000,$A2))</f>
        <v/>
      </c>
      <c r="X1107">
        <f>IF($A2="","",SUMIF('07_Pallet_Contents'!$A$2:$A$3000,$A2,'07_Pallet_Contents'!$D$2:$D$3000))</f>
        <v/>
      </c>
      <c r="Y1107">
        <f>IF($A2="","",SUMIF('07_Pallet_Contents'!$A$2:$A$3000,$A2,'07_Pallet_Contents'!$I$2:$I$3000))</f>
        <v/>
      </c>
      <c r="Z1107">
        <f>IF($A2="","",IF(COUNTIF('07_Pallet_Contents'!$A$2:$A$3000,$A2)&gt;0,"Yes",""))</f>
        <v/>
      </c>
    </row>
    <row r="1108">
      <c r="B1108" s="22" t="n"/>
      <c r="G1108" s="25" t="n"/>
      <c r="H1108" s="24">
        <f>IF(AND($F1108="TEMP",$G1108&gt;0,$M1108&lt;&gt;""),$M1108+$G1108,"")</f>
        <v/>
      </c>
      <c r="I1108" s="22" t="n"/>
      <c r="J1108" s="22" t="n"/>
      <c r="K1108" s="24" t="n"/>
      <c r="W1108">
        <f>IF($A2="","",COUNTIF('07_Pallet_Contents'!$A$2:$A$3000,$A2))</f>
        <v/>
      </c>
      <c r="X1108">
        <f>IF($A2="","",SUMIF('07_Pallet_Contents'!$A$2:$A$3000,$A2,'07_Pallet_Contents'!$D$2:$D$3000))</f>
        <v/>
      </c>
      <c r="Y1108">
        <f>IF($A2="","",SUMIF('07_Pallet_Contents'!$A$2:$A$3000,$A2,'07_Pallet_Contents'!$I$2:$I$3000))</f>
        <v/>
      </c>
      <c r="Z1108">
        <f>IF($A2="","",IF(COUNTIF('07_Pallet_Contents'!$A$2:$A$3000,$A2)&gt;0,"Yes",""))</f>
        <v/>
      </c>
    </row>
    <row r="1109">
      <c r="B1109" s="22" t="n"/>
      <c r="G1109" s="25" t="n"/>
      <c r="H1109" s="24">
        <f>IF(AND($F1109="TEMP",$G1109&gt;0,$M1109&lt;&gt;""),$M1109+$G1109,"")</f>
        <v/>
      </c>
      <c r="I1109" s="22" t="n"/>
      <c r="J1109" s="22" t="n"/>
      <c r="K1109" s="24" t="n"/>
      <c r="W1109">
        <f>IF($A2="","",COUNTIF('07_Pallet_Contents'!$A$2:$A$3000,$A2))</f>
        <v/>
      </c>
      <c r="X1109">
        <f>IF($A2="","",SUMIF('07_Pallet_Contents'!$A$2:$A$3000,$A2,'07_Pallet_Contents'!$D$2:$D$3000))</f>
        <v/>
      </c>
      <c r="Y1109">
        <f>IF($A2="","",SUMIF('07_Pallet_Contents'!$A$2:$A$3000,$A2,'07_Pallet_Contents'!$I$2:$I$3000))</f>
        <v/>
      </c>
      <c r="Z1109">
        <f>IF($A2="","",IF(COUNTIF('07_Pallet_Contents'!$A$2:$A$3000,$A2)&gt;0,"Yes",""))</f>
        <v/>
      </c>
    </row>
    <row r="1110">
      <c r="B1110" s="22" t="n"/>
      <c r="G1110" s="25" t="n"/>
      <c r="H1110" s="24">
        <f>IF(AND($F1110="TEMP",$G1110&gt;0,$M1110&lt;&gt;""),$M1110+$G1110,"")</f>
        <v/>
      </c>
      <c r="I1110" s="22" t="n"/>
      <c r="J1110" s="22" t="n"/>
      <c r="K1110" s="24" t="n"/>
      <c r="W1110">
        <f>IF($A2="","",COUNTIF('07_Pallet_Contents'!$A$2:$A$3000,$A2))</f>
        <v/>
      </c>
      <c r="X1110">
        <f>IF($A2="","",SUMIF('07_Pallet_Contents'!$A$2:$A$3000,$A2,'07_Pallet_Contents'!$D$2:$D$3000))</f>
        <v/>
      </c>
      <c r="Y1110">
        <f>IF($A2="","",SUMIF('07_Pallet_Contents'!$A$2:$A$3000,$A2,'07_Pallet_Contents'!$I$2:$I$3000))</f>
        <v/>
      </c>
      <c r="Z1110">
        <f>IF($A2="","",IF(COUNTIF('07_Pallet_Contents'!$A$2:$A$3000,$A2)&gt;0,"Yes",""))</f>
        <v/>
      </c>
    </row>
    <row r="1111">
      <c r="B1111" s="22" t="n"/>
      <c r="G1111" s="25" t="n"/>
      <c r="H1111" s="24">
        <f>IF(AND($F1111="TEMP",$G1111&gt;0,$M1111&lt;&gt;""),$M1111+$G1111,"")</f>
        <v/>
      </c>
      <c r="I1111" s="22" t="n"/>
      <c r="J1111" s="22" t="n"/>
      <c r="K1111" s="24" t="n"/>
      <c r="W1111">
        <f>IF($A2="","",COUNTIF('07_Pallet_Contents'!$A$2:$A$3000,$A2))</f>
        <v/>
      </c>
      <c r="X1111">
        <f>IF($A2="","",SUMIF('07_Pallet_Contents'!$A$2:$A$3000,$A2,'07_Pallet_Contents'!$D$2:$D$3000))</f>
        <v/>
      </c>
      <c r="Y1111">
        <f>IF($A2="","",SUMIF('07_Pallet_Contents'!$A$2:$A$3000,$A2,'07_Pallet_Contents'!$I$2:$I$3000))</f>
        <v/>
      </c>
      <c r="Z1111">
        <f>IF($A2="","",IF(COUNTIF('07_Pallet_Contents'!$A$2:$A$3000,$A2)&gt;0,"Yes",""))</f>
        <v/>
      </c>
    </row>
    <row r="1112">
      <c r="B1112" s="22" t="n"/>
      <c r="G1112" s="25" t="n"/>
      <c r="H1112" s="24">
        <f>IF(AND($F1112="TEMP",$G1112&gt;0,$M1112&lt;&gt;""),$M1112+$G1112,"")</f>
        <v/>
      </c>
      <c r="I1112" s="22" t="n"/>
      <c r="J1112" s="22" t="n"/>
      <c r="K1112" s="24" t="n"/>
      <c r="W1112">
        <f>IF($A2="","",COUNTIF('07_Pallet_Contents'!$A$2:$A$3000,$A2))</f>
        <v/>
      </c>
      <c r="X1112">
        <f>IF($A2="","",SUMIF('07_Pallet_Contents'!$A$2:$A$3000,$A2,'07_Pallet_Contents'!$D$2:$D$3000))</f>
        <v/>
      </c>
      <c r="Y1112">
        <f>IF($A2="","",SUMIF('07_Pallet_Contents'!$A$2:$A$3000,$A2,'07_Pallet_Contents'!$I$2:$I$3000))</f>
        <v/>
      </c>
      <c r="Z1112">
        <f>IF($A2="","",IF(COUNTIF('07_Pallet_Contents'!$A$2:$A$3000,$A2)&gt;0,"Yes",""))</f>
        <v/>
      </c>
    </row>
    <row r="1113">
      <c r="B1113" s="22" t="n"/>
      <c r="G1113" s="25" t="n"/>
      <c r="H1113" s="24">
        <f>IF(AND($F1113="TEMP",$G1113&gt;0,$M1113&lt;&gt;""),$M1113+$G1113,"")</f>
        <v/>
      </c>
      <c r="I1113" s="22" t="n"/>
      <c r="J1113" s="22" t="n"/>
      <c r="K1113" s="24" t="n"/>
      <c r="W1113">
        <f>IF($A2="","",COUNTIF('07_Pallet_Contents'!$A$2:$A$3000,$A2))</f>
        <v/>
      </c>
      <c r="X1113">
        <f>IF($A2="","",SUMIF('07_Pallet_Contents'!$A$2:$A$3000,$A2,'07_Pallet_Contents'!$D$2:$D$3000))</f>
        <v/>
      </c>
      <c r="Y1113">
        <f>IF($A2="","",SUMIF('07_Pallet_Contents'!$A$2:$A$3000,$A2,'07_Pallet_Contents'!$I$2:$I$3000))</f>
        <v/>
      </c>
      <c r="Z1113">
        <f>IF($A2="","",IF(COUNTIF('07_Pallet_Contents'!$A$2:$A$3000,$A2)&gt;0,"Yes",""))</f>
        <v/>
      </c>
    </row>
    <row r="1114">
      <c r="B1114" s="22" t="n"/>
      <c r="G1114" s="25" t="n"/>
      <c r="H1114" s="24">
        <f>IF(AND($F1114="TEMP",$G1114&gt;0,$M1114&lt;&gt;""),$M1114+$G1114,"")</f>
        <v/>
      </c>
      <c r="I1114" s="22" t="n"/>
      <c r="J1114" s="22" t="n"/>
      <c r="K1114" s="24" t="n"/>
      <c r="W1114">
        <f>IF($A2="","",COUNTIF('07_Pallet_Contents'!$A$2:$A$3000,$A2))</f>
        <v/>
      </c>
      <c r="X1114">
        <f>IF($A2="","",SUMIF('07_Pallet_Contents'!$A$2:$A$3000,$A2,'07_Pallet_Contents'!$D$2:$D$3000))</f>
        <v/>
      </c>
      <c r="Y1114">
        <f>IF($A2="","",SUMIF('07_Pallet_Contents'!$A$2:$A$3000,$A2,'07_Pallet_Contents'!$I$2:$I$3000))</f>
        <v/>
      </c>
      <c r="Z1114">
        <f>IF($A2="","",IF(COUNTIF('07_Pallet_Contents'!$A$2:$A$3000,$A2)&gt;0,"Yes",""))</f>
        <v/>
      </c>
    </row>
    <row r="1115">
      <c r="B1115" s="22" t="n"/>
      <c r="G1115" s="25" t="n"/>
      <c r="H1115" s="24">
        <f>IF(AND($F1115="TEMP",$G1115&gt;0,$M1115&lt;&gt;""),$M1115+$G1115,"")</f>
        <v/>
      </c>
      <c r="I1115" s="22" t="n"/>
      <c r="J1115" s="22" t="n"/>
      <c r="K1115" s="24" t="n"/>
      <c r="W1115">
        <f>IF($A2="","",COUNTIF('07_Pallet_Contents'!$A$2:$A$3000,$A2))</f>
        <v/>
      </c>
      <c r="X1115">
        <f>IF($A2="","",SUMIF('07_Pallet_Contents'!$A$2:$A$3000,$A2,'07_Pallet_Contents'!$D$2:$D$3000))</f>
        <v/>
      </c>
      <c r="Y1115">
        <f>IF($A2="","",SUMIF('07_Pallet_Contents'!$A$2:$A$3000,$A2,'07_Pallet_Contents'!$I$2:$I$3000))</f>
        <v/>
      </c>
      <c r="Z1115">
        <f>IF($A2="","",IF(COUNTIF('07_Pallet_Contents'!$A$2:$A$3000,$A2)&gt;0,"Yes",""))</f>
        <v/>
      </c>
    </row>
    <row r="1116">
      <c r="B1116" s="22" t="n"/>
      <c r="G1116" s="25" t="n"/>
      <c r="H1116" s="24">
        <f>IF(AND($F1116="TEMP",$G1116&gt;0,$M1116&lt;&gt;""),$M1116+$G1116,"")</f>
        <v/>
      </c>
      <c r="I1116" s="22" t="n"/>
      <c r="J1116" s="22" t="n"/>
      <c r="K1116" s="24" t="n"/>
      <c r="W1116">
        <f>IF($A2="","",COUNTIF('07_Pallet_Contents'!$A$2:$A$3000,$A2))</f>
        <v/>
      </c>
      <c r="X1116">
        <f>IF($A2="","",SUMIF('07_Pallet_Contents'!$A$2:$A$3000,$A2,'07_Pallet_Contents'!$D$2:$D$3000))</f>
        <v/>
      </c>
      <c r="Y1116">
        <f>IF($A2="","",SUMIF('07_Pallet_Contents'!$A$2:$A$3000,$A2,'07_Pallet_Contents'!$I$2:$I$3000))</f>
        <v/>
      </c>
      <c r="Z1116">
        <f>IF($A2="","",IF(COUNTIF('07_Pallet_Contents'!$A$2:$A$3000,$A2)&gt;0,"Yes",""))</f>
        <v/>
      </c>
    </row>
    <row r="1117">
      <c r="B1117" s="22" t="n"/>
      <c r="G1117" s="25" t="n"/>
      <c r="H1117" s="24">
        <f>IF(AND($F1117="TEMP",$G1117&gt;0,$M1117&lt;&gt;""),$M1117+$G1117,"")</f>
        <v/>
      </c>
      <c r="I1117" s="22" t="n"/>
      <c r="J1117" s="22" t="n"/>
      <c r="K1117" s="24" t="n"/>
      <c r="W1117">
        <f>IF($A2="","",COUNTIF('07_Pallet_Contents'!$A$2:$A$3000,$A2))</f>
        <v/>
      </c>
      <c r="X1117">
        <f>IF($A2="","",SUMIF('07_Pallet_Contents'!$A$2:$A$3000,$A2,'07_Pallet_Contents'!$D$2:$D$3000))</f>
        <v/>
      </c>
      <c r="Y1117">
        <f>IF($A2="","",SUMIF('07_Pallet_Contents'!$A$2:$A$3000,$A2,'07_Pallet_Contents'!$I$2:$I$3000))</f>
        <v/>
      </c>
      <c r="Z1117">
        <f>IF($A2="","",IF(COUNTIF('07_Pallet_Contents'!$A$2:$A$3000,$A2)&gt;0,"Yes",""))</f>
        <v/>
      </c>
    </row>
    <row r="1118">
      <c r="B1118" s="22" t="n"/>
      <c r="G1118" s="25" t="n"/>
      <c r="H1118" s="24">
        <f>IF(AND($F1118="TEMP",$G1118&gt;0,$M1118&lt;&gt;""),$M1118+$G1118,"")</f>
        <v/>
      </c>
      <c r="I1118" s="22" t="n"/>
      <c r="J1118" s="22" t="n"/>
      <c r="K1118" s="24" t="n"/>
      <c r="W1118">
        <f>IF($A2="","",COUNTIF('07_Pallet_Contents'!$A$2:$A$3000,$A2))</f>
        <v/>
      </c>
      <c r="X1118">
        <f>IF($A2="","",SUMIF('07_Pallet_Contents'!$A$2:$A$3000,$A2,'07_Pallet_Contents'!$D$2:$D$3000))</f>
        <v/>
      </c>
      <c r="Y1118">
        <f>IF($A2="","",SUMIF('07_Pallet_Contents'!$A$2:$A$3000,$A2,'07_Pallet_Contents'!$I$2:$I$3000))</f>
        <v/>
      </c>
      <c r="Z1118">
        <f>IF($A2="","",IF(COUNTIF('07_Pallet_Contents'!$A$2:$A$3000,$A2)&gt;0,"Yes",""))</f>
        <v/>
      </c>
    </row>
    <row r="1119">
      <c r="B1119" s="22" t="n"/>
      <c r="G1119" s="25" t="n"/>
      <c r="H1119" s="24">
        <f>IF(AND($F1119="TEMP",$G1119&gt;0,$M1119&lt;&gt;""),$M1119+$G1119,"")</f>
        <v/>
      </c>
      <c r="I1119" s="22" t="n"/>
      <c r="J1119" s="22" t="n"/>
      <c r="K1119" s="24" t="n"/>
      <c r="W1119">
        <f>IF($A2="","",COUNTIF('07_Pallet_Contents'!$A$2:$A$3000,$A2))</f>
        <v/>
      </c>
      <c r="X1119">
        <f>IF($A2="","",SUMIF('07_Pallet_Contents'!$A$2:$A$3000,$A2,'07_Pallet_Contents'!$D$2:$D$3000))</f>
        <v/>
      </c>
      <c r="Y1119">
        <f>IF($A2="","",SUMIF('07_Pallet_Contents'!$A$2:$A$3000,$A2,'07_Pallet_Contents'!$I$2:$I$3000))</f>
        <v/>
      </c>
      <c r="Z1119">
        <f>IF($A2="","",IF(COUNTIF('07_Pallet_Contents'!$A$2:$A$3000,$A2)&gt;0,"Yes",""))</f>
        <v/>
      </c>
    </row>
    <row r="1120">
      <c r="B1120" s="22" t="n"/>
      <c r="G1120" s="25" t="n"/>
      <c r="H1120" s="24">
        <f>IF(AND($F1120="TEMP",$G1120&gt;0,$M1120&lt;&gt;""),$M1120+$G1120,"")</f>
        <v/>
      </c>
      <c r="I1120" s="22" t="n"/>
      <c r="J1120" s="22" t="n"/>
      <c r="K1120" s="24" t="n"/>
      <c r="W1120">
        <f>IF($A2="","",COUNTIF('07_Pallet_Contents'!$A$2:$A$3000,$A2))</f>
        <v/>
      </c>
      <c r="X1120">
        <f>IF($A2="","",SUMIF('07_Pallet_Contents'!$A$2:$A$3000,$A2,'07_Pallet_Contents'!$D$2:$D$3000))</f>
        <v/>
      </c>
      <c r="Y1120">
        <f>IF($A2="","",SUMIF('07_Pallet_Contents'!$A$2:$A$3000,$A2,'07_Pallet_Contents'!$I$2:$I$3000))</f>
        <v/>
      </c>
      <c r="Z1120">
        <f>IF($A2="","",IF(COUNTIF('07_Pallet_Contents'!$A$2:$A$3000,$A2)&gt;0,"Yes",""))</f>
        <v/>
      </c>
    </row>
    <row r="1121">
      <c r="B1121" s="22" t="n"/>
      <c r="G1121" s="25" t="n"/>
      <c r="H1121" s="24">
        <f>IF(AND($F1121="TEMP",$G1121&gt;0,$M1121&lt;&gt;""),$M1121+$G1121,"")</f>
        <v/>
      </c>
      <c r="I1121" s="22" t="n"/>
      <c r="J1121" s="22" t="n"/>
      <c r="K1121" s="24" t="n"/>
      <c r="W1121">
        <f>IF($A2="","",COUNTIF('07_Pallet_Contents'!$A$2:$A$3000,$A2))</f>
        <v/>
      </c>
      <c r="X1121">
        <f>IF($A2="","",SUMIF('07_Pallet_Contents'!$A$2:$A$3000,$A2,'07_Pallet_Contents'!$D$2:$D$3000))</f>
        <v/>
      </c>
      <c r="Y1121">
        <f>IF($A2="","",SUMIF('07_Pallet_Contents'!$A$2:$A$3000,$A2,'07_Pallet_Contents'!$I$2:$I$3000))</f>
        <v/>
      </c>
      <c r="Z1121">
        <f>IF($A2="","",IF(COUNTIF('07_Pallet_Contents'!$A$2:$A$3000,$A2)&gt;0,"Yes",""))</f>
        <v/>
      </c>
    </row>
    <row r="1122">
      <c r="B1122" s="22" t="n"/>
      <c r="G1122" s="25" t="n"/>
      <c r="H1122" s="24">
        <f>IF(AND($F1122="TEMP",$G1122&gt;0,$M1122&lt;&gt;""),$M1122+$G1122,"")</f>
        <v/>
      </c>
      <c r="I1122" s="22" t="n"/>
      <c r="J1122" s="22" t="n"/>
      <c r="K1122" s="24" t="n"/>
      <c r="W1122">
        <f>IF($A2="","",COUNTIF('07_Pallet_Contents'!$A$2:$A$3000,$A2))</f>
        <v/>
      </c>
      <c r="X1122">
        <f>IF($A2="","",SUMIF('07_Pallet_Contents'!$A$2:$A$3000,$A2,'07_Pallet_Contents'!$D$2:$D$3000))</f>
        <v/>
      </c>
      <c r="Y1122">
        <f>IF($A2="","",SUMIF('07_Pallet_Contents'!$A$2:$A$3000,$A2,'07_Pallet_Contents'!$I$2:$I$3000))</f>
        <v/>
      </c>
      <c r="Z1122">
        <f>IF($A2="","",IF(COUNTIF('07_Pallet_Contents'!$A$2:$A$3000,$A2)&gt;0,"Yes",""))</f>
        <v/>
      </c>
    </row>
    <row r="1123">
      <c r="B1123" s="22" t="n"/>
      <c r="G1123" s="25" t="n"/>
      <c r="H1123" s="24">
        <f>IF(AND($F1123="TEMP",$G1123&gt;0,$M1123&lt;&gt;""),$M1123+$G1123,"")</f>
        <v/>
      </c>
      <c r="I1123" s="22" t="n"/>
      <c r="J1123" s="22" t="n"/>
      <c r="K1123" s="24" t="n"/>
      <c r="W1123">
        <f>IF($A2="","",COUNTIF('07_Pallet_Contents'!$A$2:$A$3000,$A2))</f>
        <v/>
      </c>
      <c r="X1123">
        <f>IF($A2="","",SUMIF('07_Pallet_Contents'!$A$2:$A$3000,$A2,'07_Pallet_Contents'!$D$2:$D$3000))</f>
        <v/>
      </c>
      <c r="Y1123">
        <f>IF($A2="","",SUMIF('07_Pallet_Contents'!$A$2:$A$3000,$A2,'07_Pallet_Contents'!$I$2:$I$3000))</f>
        <v/>
      </c>
      <c r="Z1123">
        <f>IF($A2="","",IF(COUNTIF('07_Pallet_Contents'!$A$2:$A$3000,$A2)&gt;0,"Yes",""))</f>
        <v/>
      </c>
    </row>
    <row r="1124">
      <c r="B1124" s="22" t="n"/>
      <c r="G1124" s="25" t="n"/>
      <c r="H1124" s="24">
        <f>IF(AND($F1124="TEMP",$G1124&gt;0,$M1124&lt;&gt;""),$M1124+$G1124,"")</f>
        <v/>
      </c>
      <c r="I1124" s="22" t="n"/>
      <c r="J1124" s="22" t="n"/>
      <c r="K1124" s="24" t="n"/>
      <c r="W1124">
        <f>IF($A2="","",COUNTIF('07_Pallet_Contents'!$A$2:$A$3000,$A2))</f>
        <v/>
      </c>
      <c r="X1124">
        <f>IF($A2="","",SUMIF('07_Pallet_Contents'!$A$2:$A$3000,$A2,'07_Pallet_Contents'!$D$2:$D$3000))</f>
        <v/>
      </c>
      <c r="Y1124">
        <f>IF($A2="","",SUMIF('07_Pallet_Contents'!$A$2:$A$3000,$A2,'07_Pallet_Contents'!$I$2:$I$3000))</f>
        <v/>
      </c>
      <c r="Z1124">
        <f>IF($A2="","",IF(COUNTIF('07_Pallet_Contents'!$A$2:$A$3000,$A2)&gt;0,"Yes",""))</f>
        <v/>
      </c>
    </row>
    <row r="1125">
      <c r="B1125" s="22" t="n"/>
      <c r="G1125" s="25" t="n"/>
      <c r="H1125" s="24">
        <f>IF(AND($F1125="TEMP",$G1125&gt;0,$M1125&lt;&gt;""),$M1125+$G1125,"")</f>
        <v/>
      </c>
      <c r="I1125" s="22" t="n"/>
      <c r="J1125" s="22" t="n"/>
      <c r="K1125" s="24" t="n"/>
      <c r="W1125">
        <f>IF($A2="","",COUNTIF('07_Pallet_Contents'!$A$2:$A$3000,$A2))</f>
        <v/>
      </c>
      <c r="X1125">
        <f>IF($A2="","",SUMIF('07_Pallet_Contents'!$A$2:$A$3000,$A2,'07_Pallet_Contents'!$D$2:$D$3000))</f>
        <v/>
      </c>
      <c r="Y1125">
        <f>IF($A2="","",SUMIF('07_Pallet_Contents'!$A$2:$A$3000,$A2,'07_Pallet_Contents'!$I$2:$I$3000))</f>
        <v/>
      </c>
      <c r="Z1125">
        <f>IF($A2="","",IF(COUNTIF('07_Pallet_Contents'!$A$2:$A$3000,$A2)&gt;0,"Yes",""))</f>
        <v/>
      </c>
    </row>
    <row r="1126">
      <c r="B1126" s="22" t="n"/>
      <c r="G1126" s="25" t="n"/>
      <c r="H1126" s="24">
        <f>IF(AND($F1126="TEMP",$G1126&gt;0,$M1126&lt;&gt;""),$M1126+$G1126,"")</f>
        <v/>
      </c>
      <c r="I1126" s="22" t="n"/>
      <c r="J1126" s="22" t="n"/>
      <c r="K1126" s="24" t="n"/>
      <c r="W1126">
        <f>IF($A2="","",COUNTIF('07_Pallet_Contents'!$A$2:$A$3000,$A2))</f>
        <v/>
      </c>
      <c r="X1126">
        <f>IF($A2="","",SUMIF('07_Pallet_Contents'!$A$2:$A$3000,$A2,'07_Pallet_Contents'!$D$2:$D$3000))</f>
        <v/>
      </c>
      <c r="Y1126">
        <f>IF($A2="","",SUMIF('07_Pallet_Contents'!$A$2:$A$3000,$A2,'07_Pallet_Contents'!$I$2:$I$3000))</f>
        <v/>
      </c>
      <c r="Z1126">
        <f>IF($A2="","",IF(COUNTIF('07_Pallet_Contents'!$A$2:$A$3000,$A2)&gt;0,"Yes",""))</f>
        <v/>
      </c>
    </row>
    <row r="1127">
      <c r="B1127" s="22" t="n"/>
      <c r="G1127" s="25" t="n"/>
      <c r="H1127" s="24">
        <f>IF(AND($F1127="TEMP",$G1127&gt;0,$M1127&lt;&gt;""),$M1127+$G1127,"")</f>
        <v/>
      </c>
      <c r="I1127" s="22" t="n"/>
      <c r="J1127" s="22" t="n"/>
      <c r="K1127" s="24" t="n"/>
      <c r="W1127">
        <f>IF($A2="","",COUNTIF('07_Pallet_Contents'!$A$2:$A$3000,$A2))</f>
        <v/>
      </c>
      <c r="X1127">
        <f>IF($A2="","",SUMIF('07_Pallet_Contents'!$A$2:$A$3000,$A2,'07_Pallet_Contents'!$D$2:$D$3000))</f>
        <v/>
      </c>
      <c r="Y1127">
        <f>IF($A2="","",SUMIF('07_Pallet_Contents'!$A$2:$A$3000,$A2,'07_Pallet_Contents'!$I$2:$I$3000))</f>
        <v/>
      </c>
      <c r="Z1127">
        <f>IF($A2="","",IF(COUNTIF('07_Pallet_Contents'!$A$2:$A$3000,$A2)&gt;0,"Yes",""))</f>
        <v/>
      </c>
    </row>
    <row r="1128">
      <c r="B1128" s="22" t="n"/>
      <c r="G1128" s="25" t="n"/>
      <c r="H1128" s="24">
        <f>IF(AND($F1128="TEMP",$G1128&gt;0,$M1128&lt;&gt;""),$M1128+$G1128,"")</f>
        <v/>
      </c>
      <c r="I1128" s="22" t="n"/>
      <c r="J1128" s="22" t="n"/>
      <c r="K1128" s="24" t="n"/>
      <c r="W1128">
        <f>IF($A2="","",COUNTIF('07_Pallet_Contents'!$A$2:$A$3000,$A2))</f>
        <v/>
      </c>
      <c r="X1128">
        <f>IF($A2="","",SUMIF('07_Pallet_Contents'!$A$2:$A$3000,$A2,'07_Pallet_Contents'!$D$2:$D$3000))</f>
        <v/>
      </c>
      <c r="Y1128">
        <f>IF($A2="","",SUMIF('07_Pallet_Contents'!$A$2:$A$3000,$A2,'07_Pallet_Contents'!$I$2:$I$3000))</f>
        <v/>
      </c>
      <c r="Z1128">
        <f>IF($A2="","",IF(COUNTIF('07_Pallet_Contents'!$A$2:$A$3000,$A2)&gt;0,"Yes",""))</f>
        <v/>
      </c>
    </row>
    <row r="1129">
      <c r="B1129" s="22" t="n"/>
      <c r="G1129" s="25" t="n"/>
      <c r="H1129" s="24">
        <f>IF(AND($F1129="TEMP",$G1129&gt;0,$M1129&lt;&gt;""),$M1129+$G1129,"")</f>
        <v/>
      </c>
      <c r="I1129" s="22" t="n"/>
      <c r="J1129" s="22" t="n"/>
      <c r="K1129" s="24" t="n"/>
      <c r="W1129">
        <f>IF($A2="","",COUNTIF('07_Pallet_Contents'!$A$2:$A$3000,$A2))</f>
        <v/>
      </c>
      <c r="X1129">
        <f>IF($A2="","",SUMIF('07_Pallet_Contents'!$A$2:$A$3000,$A2,'07_Pallet_Contents'!$D$2:$D$3000))</f>
        <v/>
      </c>
      <c r="Y1129">
        <f>IF($A2="","",SUMIF('07_Pallet_Contents'!$A$2:$A$3000,$A2,'07_Pallet_Contents'!$I$2:$I$3000))</f>
        <v/>
      </c>
      <c r="Z1129">
        <f>IF($A2="","",IF(COUNTIF('07_Pallet_Contents'!$A$2:$A$3000,$A2)&gt;0,"Yes",""))</f>
        <v/>
      </c>
    </row>
    <row r="1130">
      <c r="B1130" s="22" t="n"/>
      <c r="G1130" s="25" t="n"/>
      <c r="H1130" s="24">
        <f>IF(AND($F1130="TEMP",$G1130&gt;0,$M1130&lt;&gt;""),$M1130+$G1130,"")</f>
        <v/>
      </c>
      <c r="I1130" s="22" t="n"/>
      <c r="J1130" s="22" t="n"/>
      <c r="K1130" s="24" t="n"/>
      <c r="W1130">
        <f>IF($A2="","",COUNTIF('07_Pallet_Contents'!$A$2:$A$3000,$A2))</f>
        <v/>
      </c>
      <c r="X1130">
        <f>IF($A2="","",SUMIF('07_Pallet_Contents'!$A$2:$A$3000,$A2,'07_Pallet_Contents'!$D$2:$D$3000))</f>
        <v/>
      </c>
      <c r="Y1130">
        <f>IF($A2="","",SUMIF('07_Pallet_Contents'!$A$2:$A$3000,$A2,'07_Pallet_Contents'!$I$2:$I$3000))</f>
        <v/>
      </c>
      <c r="Z1130">
        <f>IF($A2="","",IF(COUNTIF('07_Pallet_Contents'!$A$2:$A$3000,$A2)&gt;0,"Yes",""))</f>
        <v/>
      </c>
    </row>
    <row r="1131">
      <c r="B1131" s="22" t="n"/>
      <c r="G1131" s="25" t="n"/>
      <c r="H1131" s="24">
        <f>IF(AND($F1131="TEMP",$G1131&gt;0,$M1131&lt;&gt;""),$M1131+$G1131,"")</f>
        <v/>
      </c>
      <c r="I1131" s="22" t="n"/>
      <c r="J1131" s="22" t="n"/>
      <c r="K1131" s="24" t="n"/>
      <c r="W1131">
        <f>IF($A2="","",COUNTIF('07_Pallet_Contents'!$A$2:$A$3000,$A2))</f>
        <v/>
      </c>
      <c r="X1131">
        <f>IF($A2="","",SUMIF('07_Pallet_Contents'!$A$2:$A$3000,$A2,'07_Pallet_Contents'!$D$2:$D$3000))</f>
        <v/>
      </c>
      <c r="Y1131">
        <f>IF($A2="","",SUMIF('07_Pallet_Contents'!$A$2:$A$3000,$A2,'07_Pallet_Contents'!$I$2:$I$3000))</f>
        <v/>
      </c>
      <c r="Z1131">
        <f>IF($A2="","",IF(COUNTIF('07_Pallet_Contents'!$A$2:$A$3000,$A2)&gt;0,"Yes",""))</f>
        <v/>
      </c>
    </row>
    <row r="1132">
      <c r="B1132" s="22" t="n"/>
      <c r="G1132" s="25" t="n"/>
      <c r="H1132" s="24">
        <f>IF(AND($F1132="TEMP",$G1132&gt;0,$M1132&lt;&gt;""),$M1132+$G1132,"")</f>
        <v/>
      </c>
      <c r="I1132" s="22" t="n"/>
      <c r="J1132" s="22" t="n"/>
      <c r="K1132" s="24" t="n"/>
      <c r="W1132">
        <f>IF($A2="","",COUNTIF('07_Pallet_Contents'!$A$2:$A$3000,$A2))</f>
        <v/>
      </c>
      <c r="X1132">
        <f>IF($A2="","",SUMIF('07_Pallet_Contents'!$A$2:$A$3000,$A2,'07_Pallet_Contents'!$D$2:$D$3000))</f>
        <v/>
      </c>
      <c r="Y1132">
        <f>IF($A2="","",SUMIF('07_Pallet_Contents'!$A$2:$A$3000,$A2,'07_Pallet_Contents'!$I$2:$I$3000))</f>
        <v/>
      </c>
      <c r="Z1132">
        <f>IF($A2="","",IF(COUNTIF('07_Pallet_Contents'!$A$2:$A$3000,$A2)&gt;0,"Yes",""))</f>
        <v/>
      </c>
    </row>
    <row r="1133">
      <c r="B1133" s="22" t="n"/>
      <c r="G1133" s="25" t="n"/>
      <c r="H1133" s="24">
        <f>IF(AND($F1133="TEMP",$G1133&gt;0,$M1133&lt;&gt;""),$M1133+$G1133,"")</f>
        <v/>
      </c>
      <c r="I1133" s="22" t="n"/>
      <c r="J1133" s="22" t="n"/>
      <c r="K1133" s="24" t="n"/>
      <c r="W1133">
        <f>IF($A2="","",COUNTIF('07_Pallet_Contents'!$A$2:$A$3000,$A2))</f>
        <v/>
      </c>
      <c r="X1133">
        <f>IF($A2="","",SUMIF('07_Pallet_Contents'!$A$2:$A$3000,$A2,'07_Pallet_Contents'!$D$2:$D$3000))</f>
        <v/>
      </c>
      <c r="Y1133">
        <f>IF($A2="","",SUMIF('07_Pallet_Contents'!$A$2:$A$3000,$A2,'07_Pallet_Contents'!$I$2:$I$3000))</f>
        <v/>
      </c>
      <c r="Z1133">
        <f>IF($A2="","",IF(COUNTIF('07_Pallet_Contents'!$A$2:$A$3000,$A2)&gt;0,"Yes",""))</f>
        <v/>
      </c>
    </row>
    <row r="1134">
      <c r="B1134" s="22" t="n"/>
      <c r="G1134" s="25" t="n"/>
      <c r="H1134" s="24">
        <f>IF(AND($F1134="TEMP",$G1134&gt;0,$M1134&lt;&gt;""),$M1134+$G1134,"")</f>
        <v/>
      </c>
      <c r="I1134" s="22" t="n"/>
      <c r="J1134" s="22" t="n"/>
      <c r="K1134" s="24" t="n"/>
      <c r="W1134">
        <f>IF($A2="","",COUNTIF('07_Pallet_Contents'!$A$2:$A$3000,$A2))</f>
        <v/>
      </c>
      <c r="X1134">
        <f>IF($A2="","",SUMIF('07_Pallet_Contents'!$A$2:$A$3000,$A2,'07_Pallet_Contents'!$D$2:$D$3000))</f>
        <v/>
      </c>
      <c r="Y1134">
        <f>IF($A2="","",SUMIF('07_Pallet_Contents'!$A$2:$A$3000,$A2,'07_Pallet_Contents'!$I$2:$I$3000))</f>
        <v/>
      </c>
      <c r="Z1134">
        <f>IF($A2="","",IF(COUNTIF('07_Pallet_Contents'!$A$2:$A$3000,$A2)&gt;0,"Yes",""))</f>
        <v/>
      </c>
    </row>
    <row r="1135">
      <c r="B1135" s="22" t="n"/>
      <c r="G1135" s="25" t="n"/>
      <c r="H1135" s="24">
        <f>IF(AND($F1135="TEMP",$G1135&gt;0,$M1135&lt;&gt;""),$M1135+$G1135,"")</f>
        <v/>
      </c>
      <c r="I1135" s="22" t="n"/>
      <c r="J1135" s="22" t="n"/>
      <c r="K1135" s="24" t="n"/>
      <c r="W1135">
        <f>IF($A2="","",COUNTIF('07_Pallet_Contents'!$A$2:$A$3000,$A2))</f>
        <v/>
      </c>
      <c r="X1135">
        <f>IF($A2="","",SUMIF('07_Pallet_Contents'!$A$2:$A$3000,$A2,'07_Pallet_Contents'!$D$2:$D$3000))</f>
        <v/>
      </c>
      <c r="Y1135">
        <f>IF($A2="","",SUMIF('07_Pallet_Contents'!$A$2:$A$3000,$A2,'07_Pallet_Contents'!$I$2:$I$3000))</f>
        <v/>
      </c>
      <c r="Z1135">
        <f>IF($A2="","",IF(COUNTIF('07_Pallet_Contents'!$A$2:$A$3000,$A2)&gt;0,"Yes",""))</f>
        <v/>
      </c>
    </row>
    <row r="1136">
      <c r="B1136" s="22" t="n"/>
      <c r="G1136" s="25" t="n"/>
      <c r="H1136" s="24">
        <f>IF(AND($F1136="TEMP",$G1136&gt;0,$M1136&lt;&gt;""),$M1136+$G1136,"")</f>
        <v/>
      </c>
      <c r="I1136" s="22" t="n"/>
      <c r="J1136" s="22" t="n"/>
      <c r="K1136" s="24" t="n"/>
      <c r="W1136">
        <f>IF($A2="","",COUNTIF('07_Pallet_Contents'!$A$2:$A$3000,$A2))</f>
        <v/>
      </c>
      <c r="X1136">
        <f>IF($A2="","",SUMIF('07_Pallet_Contents'!$A$2:$A$3000,$A2,'07_Pallet_Contents'!$D$2:$D$3000))</f>
        <v/>
      </c>
      <c r="Y1136">
        <f>IF($A2="","",SUMIF('07_Pallet_Contents'!$A$2:$A$3000,$A2,'07_Pallet_Contents'!$I$2:$I$3000))</f>
        <v/>
      </c>
      <c r="Z1136">
        <f>IF($A2="","",IF(COUNTIF('07_Pallet_Contents'!$A$2:$A$3000,$A2)&gt;0,"Yes",""))</f>
        <v/>
      </c>
    </row>
    <row r="1137">
      <c r="B1137" s="22" t="n"/>
      <c r="G1137" s="25" t="n"/>
      <c r="H1137" s="24">
        <f>IF(AND($F1137="TEMP",$G1137&gt;0,$M1137&lt;&gt;""),$M1137+$G1137,"")</f>
        <v/>
      </c>
      <c r="I1137" s="22" t="n"/>
      <c r="J1137" s="22" t="n"/>
      <c r="K1137" s="24" t="n"/>
      <c r="W1137">
        <f>IF($A2="","",COUNTIF('07_Pallet_Contents'!$A$2:$A$3000,$A2))</f>
        <v/>
      </c>
      <c r="X1137">
        <f>IF($A2="","",SUMIF('07_Pallet_Contents'!$A$2:$A$3000,$A2,'07_Pallet_Contents'!$D$2:$D$3000))</f>
        <v/>
      </c>
      <c r="Y1137">
        <f>IF($A2="","",SUMIF('07_Pallet_Contents'!$A$2:$A$3000,$A2,'07_Pallet_Contents'!$I$2:$I$3000))</f>
        <v/>
      </c>
      <c r="Z1137">
        <f>IF($A2="","",IF(COUNTIF('07_Pallet_Contents'!$A$2:$A$3000,$A2)&gt;0,"Yes",""))</f>
        <v/>
      </c>
    </row>
    <row r="1138">
      <c r="B1138" s="22" t="n"/>
      <c r="G1138" s="25" t="n"/>
      <c r="H1138" s="24">
        <f>IF(AND($F1138="TEMP",$G1138&gt;0,$M1138&lt;&gt;""),$M1138+$G1138,"")</f>
        <v/>
      </c>
      <c r="I1138" s="22" t="n"/>
      <c r="J1138" s="22" t="n"/>
      <c r="K1138" s="24" t="n"/>
      <c r="W1138">
        <f>IF($A2="","",COUNTIF('07_Pallet_Contents'!$A$2:$A$3000,$A2))</f>
        <v/>
      </c>
      <c r="X1138">
        <f>IF($A2="","",SUMIF('07_Pallet_Contents'!$A$2:$A$3000,$A2,'07_Pallet_Contents'!$D$2:$D$3000))</f>
        <v/>
      </c>
      <c r="Y1138">
        <f>IF($A2="","",SUMIF('07_Pallet_Contents'!$A$2:$A$3000,$A2,'07_Pallet_Contents'!$I$2:$I$3000))</f>
        <v/>
      </c>
      <c r="Z1138">
        <f>IF($A2="","",IF(COUNTIF('07_Pallet_Contents'!$A$2:$A$3000,$A2)&gt;0,"Yes",""))</f>
        <v/>
      </c>
    </row>
    <row r="1139">
      <c r="B1139" s="22" t="n"/>
      <c r="G1139" s="25" t="n"/>
      <c r="H1139" s="24">
        <f>IF(AND($F1139="TEMP",$G1139&gt;0,$M1139&lt;&gt;""),$M1139+$G1139,"")</f>
        <v/>
      </c>
      <c r="I1139" s="22" t="n"/>
      <c r="J1139" s="22" t="n"/>
      <c r="K1139" s="24" t="n"/>
      <c r="W1139">
        <f>IF($A2="","",COUNTIF('07_Pallet_Contents'!$A$2:$A$3000,$A2))</f>
        <v/>
      </c>
      <c r="X1139">
        <f>IF($A2="","",SUMIF('07_Pallet_Contents'!$A$2:$A$3000,$A2,'07_Pallet_Contents'!$D$2:$D$3000))</f>
        <v/>
      </c>
      <c r="Y1139">
        <f>IF($A2="","",SUMIF('07_Pallet_Contents'!$A$2:$A$3000,$A2,'07_Pallet_Contents'!$I$2:$I$3000))</f>
        <v/>
      </c>
      <c r="Z1139">
        <f>IF($A2="","",IF(COUNTIF('07_Pallet_Contents'!$A$2:$A$3000,$A2)&gt;0,"Yes",""))</f>
        <v/>
      </c>
    </row>
    <row r="1140">
      <c r="B1140" s="22" t="n"/>
      <c r="G1140" s="25" t="n"/>
      <c r="H1140" s="24">
        <f>IF(AND($F1140="TEMP",$G1140&gt;0,$M1140&lt;&gt;""),$M1140+$G1140,"")</f>
        <v/>
      </c>
      <c r="I1140" s="22" t="n"/>
      <c r="J1140" s="22" t="n"/>
      <c r="K1140" s="24" t="n"/>
      <c r="W1140">
        <f>IF($A2="","",COUNTIF('07_Pallet_Contents'!$A$2:$A$3000,$A2))</f>
        <v/>
      </c>
      <c r="X1140">
        <f>IF($A2="","",SUMIF('07_Pallet_Contents'!$A$2:$A$3000,$A2,'07_Pallet_Contents'!$D$2:$D$3000))</f>
        <v/>
      </c>
      <c r="Y1140">
        <f>IF($A2="","",SUMIF('07_Pallet_Contents'!$A$2:$A$3000,$A2,'07_Pallet_Contents'!$I$2:$I$3000))</f>
        <v/>
      </c>
      <c r="Z1140">
        <f>IF($A2="","",IF(COUNTIF('07_Pallet_Contents'!$A$2:$A$3000,$A2)&gt;0,"Yes",""))</f>
        <v/>
      </c>
    </row>
    <row r="1141">
      <c r="B1141" s="22" t="n"/>
      <c r="G1141" s="25" t="n"/>
      <c r="H1141" s="24">
        <f>IF(AND($F1141="TEMP",$G1141&gt;0,$M1141&lt;&gt;""),$M1141+$G1141,"")</f>
        <v/>
      </c>
      <c r="I1141" s="22" t="n"/>
      <c r="J1141" s="22" t="n"/>
      <c r="K1141" s="24" t="n"/>
      <c r="W1141">
        <f>IF($A2="","",COUNTIF('07_Pallet_Contents'!$A$2:$A$3000,$A2))</f>
        <v/>
      </c>
      <c r="X1141">
        <f>IF($A2="","",SUMIF('07_Pallet_Contents'!$A$2:$A$3000,$A2,'07_Pallet_Contents'!$D$2:$D$3000))</f>
        <v/>
      </c>
      <c r="Y1141">
        <f>IF($A2="","",SUMIF('07_Pallet_Contents'!$A$2:$A$3000,$A2,'07_Pallet_Contents'!$I$2:$I$3000))</f>
        <v/>
      </c>
      <c r="Z1141">
        <f>IF($A2="","",IF(COUNTIF('07_Pallet_Contents'!$A$2:$A$3000,$A2)&gt;0,"Yes",""))</f>
        <v/>
      </c>
    </row>
    <row r="1142">
      <c r="B1142" s="22" t="n"/>
      <c r="G1142" s="25" t="n"/>
      <c r="H1142" s="24">
        <f>IF(AND($F1142="TEMP",$G1142&gt;0,$M1142&lt;&gt;""),$M1142+$G1142,"")</f>
        <v/>
      </c>
      <c r="I1142" s="22" t="n"/>
      <c r="J1142" s="22" t="n"/>
      <c r="K1142" s="24" t="n"/>
      <c r="W1142">
        <f>IF($A2="","",COUNTIF('07_Pallet_Contents'!$A$2:$A$3000,$A2))</f>
        <v/>
      </c>
      <c r="X1142">
        <f>IF($A2="","",SUMIF('07_Pallet_Contents'!$A$2:$A$3000,$A2,'07_Pallet_Contents'!$D$2:$D$3000))</f>
        <v/>
      </c>
      <c r="Y1142">
        <f>IF($A2="","",SUMIF('07_Pallet_Contents'!$A$2:$A$3000,$A2,'07_Pallet_Contents'!$I$2:$I$3000))</f>
        <v/>
      </c>
      <c r="Z1142">
        <f>IF($A2="","",IF(COUNTIF('07_Pallet_Contents'!$A$2:$A$3000,$A2)&gt;0,"Yes",""))</f>
        <v/>
      </c>
    </row>
    <row r="1143">
      <c r="B1143" s="22" t="n"/>
      <c r="G1143" s="25" t="n"/>
      <c r="H1143" s="24">
        <f>IF(AND($F1143="TEMP",$G1143&gt;0,$M1143&lt;&gt;""),$M1143+$G1143,"")</f>
        <v/>
      </c>
      <c r="I1143" s="22" t="n"/>
      <c r="J1143" s="22" t="n"/>
      <c r="K1143" s="24" t="n"/>
      <c r="W1143">
        <f>IF($A2="","",COUNTIF('07_Pallet_Contents'!$A$2:$A$3000,$A2))</f>
        <v/>
      </c>
      <c r="X1143">
        <f>IF($A2="","",SUMIF('07_Pallet_Contents'!$A$2:$A$3000,$A2,'07_Pallet_Contents'!$D$2:$D$3000))</f>
        <v/>
      </c>
      <c r="Y1143">
        <f>IF($A2="","",SUMIF('07_Pallet_Contents'!$A$2:$A$3000,$A2,'07_Pallet_Contents'!$I$2:$I$3000))</f>
        <v/>
      </c>
      <c r="Z1143">
        <f>IF($A2="","",IF(COUNTIF('07_Pallet_Contents'!$A$2:$A$3000,$A2)&gt;0,"Yes",""))</f>
        <v/>
      </c>
    </row>
    <row r="1144">
      <c r="B1144" s="22" t="n"/>
      <c r="G1144" s="25" t="n"/>
      <c r="H1144" s="24">
        <f>IF(AND($F1144="TEMP",$G1144&gt;0,$M1144&lt;&gt;""),$M1144+$G1144,"")</f>
        <v/>
      </c>
      <c r="I1144" s="22" t="n"/>
      <c r="J1144" s="22" t="n"/>
      <c r="K1144" s="24" t="n"/>
      <c r="W1144">
        <f>IF($A2="","",COUNTIF('07_Pallet_Contents'!$A$2:$A$3000,$A2))</f>
        <v/>
      </c>
      <c r="X1144">
        <f>IF($A2="","",SUMIF('07_Pallet_Contents'!$A$2:$A$3000,$A2,'07_Pallet_Contents'!$D$2:$D$3000))</f>
        <v/>
      </c>
      <c r="Y1144">
        <f>IF($A2="","",SUMIF('07_Pallet_Contents'!$A$2:$A$3000,$A2,'07_Pallet_Contents'!$I$2:$I$3000))</f>
        <v/>
      </c>
      <c r="Z1144">
        <f>IF($A2="","",IF(COUNTIF('07_Pallet_Contents'!$A$2:$A$3000,$A2)&gt;0,"Yes",""))</f>
        <v/>
      </c>
    </row>
    <row r="1145">
      <c r="B1145" s="22" t="n"/>
      <c r="G1145" s="25" t="n"/>
      <c r="H1145" s="24">
        <f>IF(AND($F1145="TEMP",$G1145&gt;0,$M1145&lt;&gt;""),$M1145+$G1145,"")</f>
        <v/>
      </c>
      <c r="I1145" s="22" t="n"/>
      <c r="J1145" s="22" t="n"/>
      <c r="K1145" s="24" t="n"/>
      <c r="W1145">
        <f>IF($A2="","",COUNTIF('07_Pallet_Contents'!$A$2:$A$3000,$A2))</f>
        <v/>
      </c>
      <c r="X1145">
        <f>IF($A2="","",SUMIF('07_Pallet_Contents'!$A$2:$A$3000,$A2,'07_Pallet_Contents'!$D$2:$D$3000))</f>
        <v/>
      </c>
      <c r="Y1145">
        <f>IF($A2="","",SUMIF('07_Pallet_Contents'!$A$2:$A$3000,$A2,'07_Pallet_Contents'!$I$2:$I$3000))</f>
        <v/>
      </c>
      <c r="Z1145">
        <f>IF($A2="","",IF(COUNTIF('07_Pallet_Contents'!$A$2:$A$3000,$A2)&gt;0,"Yes",""))</f>
        <v/>
      </c>
    </row>
    <row r="1146">
      <c r="B1146" s="22" t="n"/>
      <c r="G1146" s="25" t="n"/>
      <c r="H1146" s="24">
        <f>IF(AND($F1146="TEMP",$G1146&gt;0,$M1146&lt;&gt;""),$M1146+$G1146,"")</f>
        <v/>
      </c>
      <c r="I1146" s="22" t="n"/>
      <c r="J1146" s="22" t="n"/>
      <c r="K1146" s="24" t="n"/>
      <c r="W1146">
        <f>IF($A2="","",COUNTIF('07_Pallet_Contents'!$A$2:$A$3000,$A2))</f>
        <v/>
      </c>
      <c r="X1146">
        <f>IF($A2="","",SUMIF('07_Pallet_Contents'!$A$2:$A$3000,$A2,'07_Pallet_Contents'!$D$2:$D$3000))</f>
        <v/>
      </c>
      <c r="Y1146">
        <f>IF($A2="","",SUMIF('07_Pallet_Contents'!$A$2:$A$3000,$A2,'07_Pallet_Contents'!$I$2:$I$3000))</f>
        <v/>
      </c>
      <c r="Z1146">
        <f>IF($A2="","",IF(COUNTIF('07_Pallet_Contents'!$A$2:$A$3000,$A2)&gt;0,"Yes",""))</f>
        <v/>
      </c>
    </row>
    <row r="1147">
      <c r="B1147" s="22" t="n"/>
      <c r="G1147" s="25" t="n"/>
      <c r="H1147" s="24">
        <f>IF(AND($F1147="TEMP",$G1147&gt;0,$M1147&lt;&gt;""),$M1147+$G1147,"")</f>
        <v/>
      </c>
      <c r="I1147" s="22" t="n"/>
      <c r="J1147" s="22" t="n"/>
      <c r="K1147" s="24" t="n"/>
      <c r="W1147">
        <f>IF($A2="","",COUNTIF('07_Pallet_Contents'!$A$2:$A$3000,$A2))</f>
        <v/>
      </c>
      <c r="X1147">
        <f>IF($A2="","",SUMIF('07_Pallet_Contents'!$A$2:$A$3000,$A2,'07_Pallet_Contents'!$D$2:$D$3000))</f>
        <v/>
      </c>
      <c r="Y1147">
        <f>IF($A2="","",SUMIF('07_Pallet_Contents'!$A$2:$A$3000,$A2,'07_Pallet_Contents'!$I$2:$I$3000))</f>
        <v/>
      </c>
      <c r="Z1147">
        <f>IF($A2="","",IF(COUNTIF('07_Pallet_Contents'!$A$2:$A$3000,$A2)&gt;0,"Yes",""))</f>
        <v/>
      </c>
    </row>
    <row r="1148">
      <c r="B1148" s="22" t="n"/>
      <c r="G1148" s="25" t="n"/>
      <c r="H1148" s="24">
        <f>IF(AND($F1148="TEMP",$G1148&gt;0,$M1148&lt;&gt;""),$M1148+$G1148,"")</f>
        <v/>
      </c>
      <c r="I1148" s="22" t="n"/>
      <c r="J1148" s="22" t="n"/>
      <c r="K1148" s="24" t="n"/>
      <c r="W1148">
        <f>IF($A2="","",COUNTIF('07_Pallet_Contents'!$A$2:$A$3000,$A2))</f>
        <v/>
      </c>
      <c r="X1148">
        <f>IF($A2="","",SUMIF('07_Pallet_Contents'!$A$2:$A$3000,$A2,'07_Pallet_Contents'!$D$2:$D$3000))</f>
        <v/>
      </c>
      <c r="Y1148">
        <f>IF($A2="","",SUMIF('07_Pallet_Contents'!$A$2:$A$3000,$A2,'07_Pallet_Contents'!$I$2:$I$3000))</f>
        <v/>
      </c>
      <c r="Z1148">
        <f>IF($A2="","",IF(COUNTIF('07_Pallet_Contents'!$A$2:$A$3000,$A2)&gt;0,"Yes",""))</f>
        <v/>
      </c>
    </row>
    <row r="1149">
      <c r="B1149" s="22" t="n"/>
      <c r="G1149" s="25" t="n"/>
      <c r="H1149" s="24">
        <f>IF(AND($F1149="TEMP",$G1149&gt;0,$M1149&lt;&gt;""),$M1149+$G1149,"")</f>
        <v/>
      </c>
      <c r="I1149" s="22" t="n"/>
      <c r="J1149" s="22" t="n"/>
      <c r="K1149" s="24" t="n"/>
      <c r="W1149">
        <f>IF($A2="","",COUNTIF('07_Pallet_Contents'!$A$2:$A$3000,$A2))</f>
        <v/>
      </c>
      <c r="X1149">
        <f>IF($A2="","",SUMIF('07_Pallet_Contents'!$A$2:$A$3000,$A2,'07_Pallet_Contents'!$D$2:$D$3000))</f>
        <v/>
      </c>
      <c r="Y1149">
        <f>IF($A2="","",SUMIF('07_Pallet_Contents'!$A$2:$A$3000,$A2,'07_Pallet_Contents'!$I$2:$I$3000))</f>
        <v/>
      </c>
      <c r="Z1149">
        <f>IF($A2="","",IF(COUNTIF('07_Pallet_Contents'!$A$2:$A$3000,$A2)&gt;0,"Yes",""))</f>
        <v/>
      </c>
    </row>
    <row r="1150">
      <c r="B1150" s="22" t="n"/>
      <c r="G1150" s="25" t="n"/>
      <c r="H1150" s="24">
        <f>IF(AND($F1150="TEMP",$G1150&gt;0,$M1150&lt;&gt;""),$M1150+$G1150,"")</f>
        <v/>
      </c>
      <c r="I1150" s="22" t="n"/>
      <c r="J1150" s="22" t="n"/>
      <c r="K1150" s="24" t="n"/>
      <c r="W1150">
        <f>IF($A2="","",COUNTIF('07_Pallet_Contents'!$A$2:$A$3000,$A2))</f>
        <v/>
      </c>
      <c r="X1150">
        <f>IF($A2="","",SUMIF('07_Pallet_Contents'!$A$2:$A$3000,$A2,'07_Pallet_Contents'!$D$2:$D$3000))</f>
        <v/>
      </c>
      <c r="Y1150">
        <f>IF($A2="","",SUMIF('07_Pallet_Contents'!$A$2:$A$3000,$A2,'07_Pallet_Contents'!$I$2:$I$3000))</f>
        <v/>
      </c>
      <c r="Z1150">
        <f>IF($A2="","",IF(COUNTIF('07_Pallet_Contents'!$A$2:$A$3000,$A2)&gt;0,"Yes",""))</f>
        <v/>
      </c>
    </row>
    <row r="1151">
      <c r="B1151" s="22" t="n"/>
      <c r="G1151" s="25" t="n"/>
      <c r="H1151" s="24">
        <f>IF(AND($F1151="TEMP",$G1151&gt;0,$M1151&lt;&gt;""),$M1151+$G1151,"")</f>
        <v/>
      </c>
      <c r="I1151" s="22" t="n"/>
      <c r="J1151" s="22" t="n"/>
      <c r="K1151" s="24" t="n"/>
      <c r="W1151">
        <f>IF($A2="","",COUNTIF('07_Pallet_Contents'!$A$2:$A$3000,$A2))</f>
        <v/>
      </c>
      <c r="X1151">
        <f>IF($A2="","",SUMIF('07_Pallet_Contents'!$A$2:$A$3000,$A2,'07_Pallet_Contents'!$D$2:$D$3000))</f>
        <v/>
      </c>
      <c r="Y1151">
        <f>IF($A2="","",SUMIF('07_Pallet_Contents'!$A$2:$A$3000,$A2,'07_Pallet_Contents'!$I$2:$I$3000))</f>
        <v/>
      </c>
      <c r="Z1151">
        <f>IF($A2="","",IF(COUNTIF('07_Pallet_Contents'!$A$2:$A$3000,$A2)&gt;0,"Yes",""))</f>
        <v/>
      </c>
    </row>
    <row r="1152">
      <c r="B1152" s="22" t="n"/>
      <c r="G1152" s="25" t="n"/>
      <c r="H1152" s="24">
        <f>IF(AND($F1152="TEMP",$G1152&gt;0,$M1152&lt;&gt;""),$M1152+$G1152,"")</f>
        <v/>
      </c>
      <c r="I1152" s="22" t="n"/>
      <c r="J1152" s="22" t="n"/>
      <c r="K1152" s="24" t="n"/>
      <c r="W1152">
        <f>IF($A2="","",COUNTIF('07_Pallet_Contents'!$A$2:$A$3000,$A2))</f>
        <v/>
      </c>
      <c r="X1152">
        <f>IF($A2="","",SUMIF('07_Pallet_Contents'!$A$2:$A$3000,$A2,'07_Pallet_Contents'!$D$2:$D$3000))</f>
        <v/>
      </c>
      <c r="Y1152">
        <f>IF($A2="","",SUMIF('07_Pallet_Contents'!$A$2:$A$3000,$A2,'07_Pallet_Contents'!$I$2:$I$3000))</f>
        <v/>
      </c>
      <c r="Z1152">
        <f>IF($A2="","",IF(COUNTIF('07_Pallet_Contents'!$A$2:$A$3000,$A2)&gt;0,"Yes",""))</f>
        <v/>
      </c>
    </row>
    <row r="1153">
      <c r="B1153" s="22" t="n"/>
      <c r="G1153" s="25" t="n"/>
      <c r="H1153" s="24">
        <f>IF(AND($F1153="TEMP",$G1153&gt;0,$M1153&lt;&gt;""),$M1153+$G1153,"")</f>
        <v/>
      </c>
      <c r="I1153" s="22" t="n"/>
      <c r="J1153" s="22" t="n"/>
      <c r="K1153" s="24" t="n"/>
      <c r="W1153">
        <f>IF($A2="","",COUNTIF('07_Pallet_Contents'!$A$2:$A$3000,$A2))</f>
        <v/>
      </c>
      <c r="X1153">
        <f>IF($A2="","",SUMIF('07_Pallet_Contents'!$A$2:$A$3000,$A2,'07_Pallet_Contents'!$D$2:$D$3000))</f>
        <v/>
      </c>
      <c r="Y1153">
        <f>IF($A2="","",SUMIF('07_Pallet_Contents'!$A$2:$A$3000,$A2,'07_Pallet_Contents'!$I$2:$I$3000))</f>
        <v/>
      </c>
      <c r="Z1153">
        <f>IF($A2="","",IF(COUNTIF('07_Pallet_Contents'!$A$2:$A$3000,$A2)&gt;0,"Yes",""))</f>
        <v/>
      </c>
    </row>
    <row r="1154">
      <c r="B1154" s="22" t="n"/>
      <c r="G1154" s="25" t="n"/>
      <c r="H1154" s="24">
        <f>IF(AND($F1154="TEMP",$G1154&gt;0,$M1154&lt;&gt;""),$M1154+$G1154,"")</f>
        <v/>
      </c>
      <c r="I1154" s="22" t="n"/>
      <c r="J1154" s="22" t="n"/>
      <c r="K1154" s="24" t="n"/>
      <c r="W1154">
        <f>IF($A2="","",COUNTIF('07_Pallet_Contents'!$A$2:$A$3000,$A2))</f>
        <v/>
      </c>
      <c r="X1154">
        <f>IF($A2="","",SUMIF('07_Pallet_Contents'!$A$2:$A$3000,$A2,'07_Pallet_Contents'!$D$2:$D$3000))</f>
        <v/>
      </c>
      <c r="Y1154">
        <f>IF($A2="","",SUMIF('07_Pallet_Contents'!$A$2:$A$3000,$A2,'07_Pallet_Contents'!$I$2:$I$3000))</f>
        <v/>
      </c>
      <c r="Z1154">
        <f>IF($A2="","",IF(COUNTIF('07_Pallet_Contents'!$A$2:$A$3000,$A2)&gt;0,"Yes",""))</f>
        <v/>
      </c>
    </row>
    <row r="1155">
      <c r="B1155" s="22" t="n"/>
      <c r="G1155" s="25" t="n"/>
      <c r="H1155" s="24">
        <f>IF(AND($F1155="TEMP",$G1155&gt;0,$M1155&lt;&gt;""),$M1155+$G1155,"")</f>
        <v/>
      </c>
      <c r="I1155" s="22" t="n"/>
      <c r="J1155" s="22" t="n"/>
      <c r="K1155" s="24" t="n"/>
      <c r="W1155">
        <f>IF($A2="","",COUNTIF('07_Pallet_Contents'!$A$2:$A$3000,$A2))</f>
        <v/>
      </c>
      <c r="X1155">
        <f>IF($A2="","",SUMIF('07_Pallet_Contents'!$A$2:$A$3000,$A2,'07_Pallet_Contents'!$D$2:$D$3000))</f>
        <v/>
      </c>
      <c r="Y1155">
        <f>IF($A2="","",SUMIF('07_Pallet_Contents'!$A$2:$A$3000,$A2,'07_Pallet_Contents'!$I$2:$I$3000))</f>
        <v/>
      </c>
      <c r="Z1155">
        <f>IF($A2="","",IF(COUNTIF('07_Pallet_Contents'!$A$2:$A$3000,$A2)&gt;0,"Yes",""))</f>
        <v/>
      </c>
    </row>
    <row r="1156">
      <c r="B1156" s="22" t="n"/>
      <c r="G1156" s="25" t="n"/>
      <c r="H1156" s="24">
        <f>IF(AND($F1156="TEMP",$G1156&gt;0,$M1156&lt;&gt;""),$M1156+$G1156,"")</f>
        <v/>
      </c>
      <c r="I1156" s="22" t="n"/>
      <c r="J1156" s="22" t="n"/>
      <c r="K1156" s="24" t="n"/>
      <c r="W1156">
        <f>IF($A2="","",COUNTIF('07_Pallet_Contents'!$A$2:$A$3000,$A2))</f>
        <v/>
      </c>
      <c r="X1156">
        <f>IF($A2="","",SUMIF('07_Pallet_Contents'!$A$2:$A$3000,$A2,'07_Pallet_Contents'!$D$2:$D$3000))</f>
        <v/>
      </c>
      <c r="Y1156">
        <f>IF($A2="","",SUMIF('07_Pallet_Contents'!$A$2:$A$3000,$A2,'07_Pallet_Contents'!$I$2:$I$3000))</f>
        <v/>
      </c>
      <c r="Z1156">
        <f>IF($A2="","",IF(COUNTIF('07_Pallet_Contents'!$A$2:$A$3000,$A2)&gt;0,"Yes",""))</f>
        <v/>
      </c>
    </row>
    <row r="1157">
      <c r="B1157" s="22" t="n"/>
      <c r="G1157" s="25" t="n"/>
      <c r="H1157" s="24">
        <f>IF(AND($F1157="TEMP",$G1157&gt;0,$M1157&lt;&gt;""),$M1157+$G1157,"")</f>
        <v/>
      </c>
      <c r="I1157" s="22" t="n"/>
      <c r="J1157" s="22" t="n"/>
      <c r="K1157" s="24" t="n"/>
      <c r="W1157">
        <f>IF($A2="","",COUNTIF('07_Pallet_Contents'!$A$2:$A$3000,$A2))</f>
        <v/>
      </c>
      <c r="X1157">
        <f>IF($A2="","",SUMIF('07_Pallet_Contents'!$A$2:$A$3000,$A2,'07_Pallet_Contents'!$D$2:$D$3000))</f>
        <v/>
      </c>
      <c r="Y1157">
        <f>IF($A2="","",SUMIF('07_Pallet_Contents'!$A$2:$A$3000,$A2,'07_Pallet_Contents'!$I$2:$I$3000))</f>
        <v/>
      </c>
      <c r="Z1157">
        <f>IF($A2="","",IF(COUNTIF('07_Pallet_Contents'!$A$2:$A$3000,$A2)&gt;0,"Yes",""))</f>
        <v/>
      </c>
    </row>
    <row r="1158">
      <c r="B1158" s="22" t="n"/>
      <c r="G1158" s="25" t="n"/>
      <c r="H1158" s="24">
        <f>IF(AND($F1158="TEMP",$G1158&gt;0,$M1158&lt;&gt;""),$M1158+$G1158,"")</f>
        <v/>
      </c>
      <c r="I1158" s="22" t="n"/>
      <c r="J1158" s="22" t="n"/>
      <c r="K1158" s="24" t="n"/>
      <c r="W1158">
        <f>IF($A2="","",COUNTIF('07_Pallet_Contents'!$A$2:$A$3000,$A2))</f>
        <v/>
      </c>
      <c r="X1158">
        <f>IF($A2="","",SUMIF('07_Pallet_Contents'!$A$2:$A$3000,$A2,'07_Pallet_Contents'!$D$2:$D$3000))</f>
        <v/>
      </c>
      <c r="Y1158">
        <f>IF($A2="","",SUMIF('07_Pallet_Contents'!$A$2:$A$3000,$A2,'07_Pallet_Contents'!$I$2:$I$3000))</f>
        <v/>
      </c>
      <c r="Z1158">
        <f>IF($A2="","",IF(COUNTIF('07_Pallet_Contents'!$A$2:$A$3000,$A2)&gt;0,"Yes",""))</f>
        <v/>
      </c>
    </row>
    <row r="1159">
      <c r="B1159" s="22" t="n"/>
      <c r="G1159" s="25" t="n"/>
      <c r="H1159" s="24">
        <f>IF(AND($F1159="TEMP",$G1159&gt;0,$M1159&lt;&gt;""),$M1159+$G1159,"")</f>
        <v/>
      </c>
      <c r="I1159" s="22" t="n"/>
      <c r="J1159" s="22" t="n"/>
      <c r="K1159" s="24" t="n"/>
      <c r="W1159">
        <f>IF($A2="","",COUNTIF('07_Pallet_Contents'!$A$2:$A$3000,$A2))</f>
        <v/>
      </c>
      <c r="X1159">
        <f>IF($A2="","",SUMIF('07_Pallet_Contents'!$A$2:$A$3000,$A2,'07_Pallet_Contents'!$D$2:$D$3000))</f>
        <v/>
      </c>
      <c r="Y1159">
        <f>IF($A2="","",SUMIF('07_Pallet_Contents'!$A$2:$A$3000,$A2,'07_Pallet_Contents'!$I$2:$I$3000))</f>
        <v/>
      </c>
      <c r="Z1159">
        <f>IF($A2="","",IF(COUNTIF('07_Pallet_Contents'!$A$2:$A$3000,$A2)&gt;0,"Yes",""))</f>
        <v/>
      </c>
    </row>
    <row r="1160">
      <c r="B1160" s="22" t="n"/>
      <c r="G1160" s="25" t="n"/>
      <c r="H1160" s="24">
        <f>IF(AND($F1160="TEMP",$G1160&gt;0,$M1160&lt;&gt;""),$M1160+$G1160,"")</f>
        <v/>
      </c>
      <c r="I1160" s="22" t="n"/>
      <c r="J1160" s="22" t="n"/>
      <c r="K1160" s="24" t="n"/>
      <c r="W1160">
        <f>IF($A2="","",COUNTIF('07_Pallet_Contents'!$A$2:$A$3000,$A2))</f>
        <v/>
      </c>
      <c r="X1160">
        <f>IF($A2="","",SUMIF('07_Pallet_Contents'!$A$2:$A$3000,$A2,'07_Pallet_Contents'!$D$2:$D$3000))</f>
        <v/>
      </c>
      <c r="Y1160">
        <f>IF($A2="","",SUMIF('07_Pallet_Contents'!$A$2:$A$3000,$A2,'07_Pallet_Contents'!$I$2:$I$3000))</f>
        <v/>
      </c>
      <c r="Z1160">
        <f>IF($A2="","",IF(COUNTIF('07_Pallet_Contents'!$A$2:$A$3000,$A2)&gt;0,"Yes",""))</f>
        <v/>
      </c>
    </row>
    <row r="1161">
      <c r="B1161" s="22" t="n"/>
      <c r="G1161" s="25" t="n"/>
      <c r="H1161" s="24">
        <f>IF(AND($F1161="TEMP",$G1161&gt;0,$M1161&lt;&gt;""),$M1161+$G1161,"")</f>
        <v/>
      </c>
      <c r="I1161" s="22" t="n"/>
      <c r="J1161" s="22" t="n"/>
      <c r="K1161" s="24" t="n"/>
      <c r="W1161">
        <f>IF($A2="","",COUNTIF('07_Pallet_Contents'!$A$2:$A$3000,$A2))</f>
        <v/>
      </c>
      <c r="X1161">
        <f>IF($A2="","",SUMIF('07_Pallet_Contents'!$A$2:$A$3000,$A2,'07_Pallet_Contents'!$D$2:$D$3000))</f>
        <v/>
      </c>
      <c r="Y1161">
        <f>IF($A2="","",SUMIF('07_Pallet_Contents'!$A$2:$A$3000,$A2,'07_Pallet_Contents'!$I$2:$I$3000))</f>
        <v/>
      </c>
      <c r="Z1161">
        <f>IF($A2="","",IF(COUNTIF('07_Pallet_Contents'!$A$2:$A$3000,$A2)&gt;0,"Yes",""))</f>
        <v/>
      </c>
    </row>
    <row r="1162">
      <c r="B1162" s="22" t="n"/>
      <c r="G1162" s="25" t="n"/>
      <c r="H1162" s="24">
        <f>IF(AND($F1162="TEMP",$G1162&gt;0,$M1162&lt;&gt;""),$M1162+$G1162,"")</f>
        <v/>
      </c>
      <c r="I1162" s="22" t="n"/>
      <c r="J1162" s="22" t="n"/>
      <c r="K1162" s="24" t="n"/>
      <c r="W1162">
        <f>IF($A2="","",COUNTIF('07_Pallet_Contents'!$A$2:$A$3000,$A2))</f>
        <v/>
      </c>
      <c r="X1162">
        <f>IF($A2="","",SUMIF('07_Pallet_Contents'!$A$2:$A$3000,$A2,'07_Pallet_Contents'!$D$2:$D$3000))</f>
        <v/>
      </c>
      <c r="Y1162">
        <f>IF($A2="","",SUMIF('07_Pallet_Contents'!$A$2:$A$3000,$A2,'07_Pallet_Contents'!$I$2:$I$3000))</f>
        <v/>
      </c>
      <c r="Z1162">
        <f>IF($A2="","",IF(COUNTIF('07_Pallet_Contents'!$A$2:$A$3000,$A2)&gt;0,"Yes",""))</f>
        <v/>
      </c>
    </row>
    <row r="1163">
      <c r="B1163" s="22" t="n"/>
      <c r="G1163" s="25" t="n"/>
      <c r="H1163" s="24">
        <f>IF(AND($F1163="TEMP",$G1163&gt;0,$M1163&lt;&gt;""),$M1163+$G1163,"")</f>
        <v/>
      </c>
      <c r="I1163" s="22" t="n"/>
      <c r="J1163" s="22" t="n"/>
      <c r="K1163" s="24" t="n"/>
      <c r="W1163">
        <f>IF($A2="","",COUNTIF('07_Pallet_Contents'!$A$2:$A$3000,$A2))</f>
        <v/>
      </c>
      <c r="X1163">
        <f>IF($A2="","",SUMIF('07_Pallet_Contents'!$A$2:$A$3000,$A2,'07_Pallet_Contents'!$D$2:$D$3000))</f>
        <v/>
      </c>
      <c r="Y1163">
        <f>IF($A2="","",SUMIF('07_Pallet_Contents'!$A$2:$A$3000,$A2,'07_Pallet_Contents'!$I$2:$I$3000))</f>
        <v/>
      </c>
      <c r="Z1163">
        <f>IF($A2="","",IF(COUNTIF('07_Pallet_Contents'!$A$2:$A$3000,$A2)&gt;0,"Yes",""))</f>
        <v/>
      </c>
    </row>
    <row r="1164">
      <c r="B1164" s="22" t="n"/>
      <c r="G1164" s="25" t="n"/>
      <c r="H1164" s="24">
        <f>IF(AND($F1164="TEMP",$G1164&gt;0,$M1164&lt;&gt;""),$M1164+$G1164,"")</f>
        <v/>
      </c>
      <c r="I1164" s="22" t="n"/>
      <c r="J1164" s="22" t="n"/>
      <c r="K1164" s="24" t="n"/>
      <c r="W1164">
        <f>IF($A2="","",COUNTIF('07_Pallet_Contents'!$A$2:$A$3000,$A2))</f>
        <v/>
      </c>
      <c r="X1164">
        <f>IF($A2="","",SUMIF('07_Pallet_Contents'!$A$2:$A$3000,$A2,'07_Pallet_Contents'!$D$2:$D$3000))</f>
        <v/>
      </c>
      <c r="Y1164">
        <f>IF($A2="","",SUMIF('07_Pallet_Contents'!$A$2:$A$3000,$A2,'07_Pallet_Contents'!$I$2:$I$3000))</f>
        <v/>
      </c>
      <c r="Z1164">
        <f>IF($A2="","",IF(COUNTIF('07_Pallet_Contents'!$A$2:$A$3000,$A2)&gt;0,"Yes",""))</f>
        <v/>
      </c>
    </row>
    <row r="1165">
      <c r="B1165" s="22" t="n"/>
      <c r="G1165" s="25" t="n"/>
      <c r="H1165" s="24">
        <f>IF(AND($F1165="TEMP",$G1165&gt;0,$M1165&lt;&gt;""),$M1165+$G1165,"")</f>
        <v/>
      </c>
      <c r="I1165" s="22" t="n"/>
      <c r="J1165" s="22" t="n"/>
      <c r="K1165" s="24" t="n"/>
      <c r="W1165">
        <f>IF($A2="","",COUNTIF('07_Pallet_Contents'!$A$2:$A$3000,$A2))</f>
        <v/>
      </c>
      <c r="X1165">
        <f>IF($A2="","",SUMIF('07_Pallet_Contents'!$A$2:$A$3000,$A2,'07_Pallet_Contents'!$D$2:$D$3000))</f>
        <v/>
      </c>
      <c r="Y1165">
        <f>IF($A2="","",SUMIF('07_Pallet_Contents'!$A$2:$A$3000,$A2,'07_Pallet_Contents'!$I$2:$I$3000))</f>
        <v/>
      </c>
      <c r="Z1165">
        <f>IF($A2="","",IF(COUNTIF('07_Pallet_Contents'!$A$2:$A$3000,$A2)&gt;0,"Yes",""))</f>
        <v/>
      </c>
    </row>
    <row r="1166">
      <c r="B1166" s="22" t="n"/>
      <c r="G1166" s="25" t="n"/>
      <c r="H1166" s="24">
        <f>IF(AND($F1166="TEMP",$G1166&gt;0,$M1166&lt;&gt;""),$M1166+$G1166,"")</f>
        <v/>
      </c>
      <c r="I1166" s="22" t="n"/>
      <c r="J1166" s="22" t="n"/>
      <c r="K1166" s="24" t="n"/>
      <c r="W1166">
        <f>IF($A2="","",COUNTIF('07_Pallet_Contents'!$A$2:$A$3000,$A2))</f>
        <v/>
      </c>
      <c r="X1166">
        <f>IF($A2="","",SUMIF('07_Pallet_Contents'!$A$2:$A$3000,$A2,'07_Pallet_Contents'!$D$2:$D$3000))</f>
        <v/>
      </c>
      <c r="Y1166">
        <f>IF($A2="","",SUMIF('07_Pallet_Contents'!$A$2:$A$3000,$A2,'07_Pallet_Contents'!$I$2:$I$3000))</f>
        <v/>
      </c>
      <c r="Z1166">
        <f>IF($A2="","",IF(COUNTIF('07_Pallet_Contents'!$A$2:$A$3000,$A2)&gt;0,"Yes",""))</f>
        <v/>
      </c>
    </row>
    <row r="1167">
      <c r="B1167" s="22" t="n"/>
      <c r="G1167" s="25" t="n"/>
      <c r="H1167" s="24">
        <f>IF(AND($F1167="TEMP",$G1167&gt;0,$M1167&lt;&gt;""),$M1167+$G1167,"")</f>
        <v/>
      </c>
      <c r="I1167" s="22" t="n"/>
      <c r="J1167" s="22" t="n"/>
      <c r="K1167" s="24" t="n"/>
      <c r="W1167">
        <f>IF($A2="","",COUNTIF('07_Pallet_Contents'!$A$2:$A$3000,$A2))</f>
        <v/>
      </c>
      <c r="X1167">
        <f>IF($A2="","",SUMIF('07_Pallet_Contents'!$A$2:$A$3000,$A2,'07_Pallet_Contents'!$D$2:$D$3000))</f>
        <v/>
      </c>
      <c r="Y1167">
        <f>IF($A2="","",SUMIF('07_Pallet_Contents'!$A$2:$A$3000,$A2,'07_Pallet_Contents'!$I$2:$I$3000))</f>
        <v/>
      </c>
      <c r="Z1167">
        <f>IF($A2="","",IF(COUNTIF('07_Pallet_Contents'!$A$2:$A$3000,$A2)&gt;0,"Yes",""))</f>
        <v/>
      </c>
    </row>
    <row r="1168">
      <c r="B1168" s="22" t="n"/>
      <c r="G1168" s="25" t="n"/>
      <c r="H1168" s="24">
        <f>IF(AND($F1168="TEMP",$G1168&gt;0,$M1168&lt;&gt;""),$M1168+$G1168,"")</f>
        <v/>
      </c>
      <c r="I1168" s="22" t="n"/>
      <c r="J1168" s="22" t="n"/>
      <c r="K1168" s="24" t="n"/>
      <c r="W1168">
        <f>IF($A2="","",COUNTIF('07_Pallet_Contents'!$A$2:$A$3000,$A2))</f>
        <v/>
      </c>
      <c r="X1168">
        <f>IF($A2="","",SUMIF('07_Pallet_Contents'!$A$2:$A$3000,$A2,'07_Pallet_Contents'!$D$2:$D$3000))</f>
        <v/>
      </c>
      <c r="Y1168">
        <f>IF($A2="","",SUMIF('07_Pallet_Contents'!$A$2:$A$3000,$A2,'07_Pallet_Contents'!$I$2:$I$3000))</f>
        <v/>
      </c>
      <c r="Z1168">
        <f>IF($A2="","",IF(COUNTIF('07_Pallet_Contents'!$A$2:$A$3000,$A2)&gt;0,"Yes",""))</f>
        <v/>
      </c>
    </row>
    <row r="1169">
      <c r="B1169" s="22" t="n"/>
      <c r="G1169" s="25" t="n"/>
      <c r="H1169" s="24">
        <f>IF(AND($F1169="TEMP",$G1169&gt;0,$M1169&lt;&gt;""),$M1169+$G1169,"")</f>
        <v/>
      </c>
      <c r="I1169" s="22" t="n"/>
      <c r="J1169" s="22" t="n"/>
      <c r="K1169" s="24" t="n"/>
      <c r="W1169">
        <f>IF($A2="","",COUNTIF('07_Pallet_Contents'!$A$2:$A$3000,$A2))</f>
        <v/>
      </c>
      <c r="X1169">
        <f>IF($A2="","",SUMIF('07_Pallet_Contents'!$A$2:$A$3000,$A2,'07_Pallet_Contents'!$D$2:$D$3000))</f>
        <v/>
      </c>
      <c r="Y1169">
        <f>IF($A2="","",SUMIF('07_Pallet_Contents'!$A$2:$A$3000,$A2,'07_Pallet_Contents'!$I$2:$I$3000))</f>
        <v/>
      </c>
      <c r="Z1169">
        <f>IF($A2="","",IF(COUNTIF('07_Pallet_Contents'!$A$2:$A$3000,$A2)&gt;0,"Yes",""))</f>
        <v/>
      </c>
    </row>
    <row r="1170">
      <c r="B1170" s="22" t="n"/>
      <c r="G1170" s="25" t="n"/>
      <c r="H1170" s="24">
        <f>IF(AND($F1170="TEMP",$G1170&gt;0,$M1170&lt;&gt;""),$M1170+$G1170,"")</f>
        <v/>
      </c>
      <c r="I1170" s="22" t="n"/>
      <c r="J1170" s="22" t="n"/>
      <c r="K1170" s="24" t="n"/>
      <c r="W1170">
        <f>IF($A2="","",COUNTIF('07_Pallet_Contents'!$A$2:$A$3000,$A2))</f>
        <v/>
      </c>
      <c r="X1170">
        <f>IF($A2="","",SUMIF('07_Pallet_Contents'!$A$2:$A$3000,$A2,'07_Pallet_Contents'!$D$2:$D$3000))</f>
        <v/>
      </c>
      <c r="Y1170">
        <f>IF($A2="","",SUMIF('07_Pallet_Contents'!$A$2:$A$3000,$A2,'07_Pallet_Contents'!$I$2:$I$3000))</f>
        <v/>
      </c>
      <c r="Z1170">
        <f>IF($A2="","",IF(COUNTIF('07_Pallet_Contents'!$A$2:$A$3000,$A2)&gt;0,"Yes",""))</f>
        <v/>
      </c>
    </row>
    <row r="1171">
      <c r="B1171" s="22" t="n"/>
      <c r="G1171" s="25" t="n"/>
      <c r="H1171" s="24">
        <f>IF(AND($F1171="TEMP",$G1171&gt;0,$M1171&lt;&gt;""),$M1171+$G1171,"")</f>
        <v/>
      </c>
      <c r="I1171" s="22" t="n"/>
      <c r="J1171" s="22" t="n"/>
      <c r="K1171" s="24" t="n"/>
      <c r="W1171">
        <f>IF($A2="","",COUNTIF('07_Pallet_Contents'!$A$2:$A$3000,$A2))</f>
        <v/>
      </c>
      <c r="X1171">
        <f>IF($A2="","",SUMIF('07_Pallet_Contents'!$A$2:$A$3000,$A2,'07_Pallet_Contents'!$D$2:$D$3000))</f>
        <v/>
      </c>
      <c r="Y1171">
        <f>IF($A2="","",SUMIF('07_Pallet_Contents'!$A$2:$A$3000,$A2,'07_Pallet_Contents'!$I$2:$I$3000))</f>
        <v/>
      </c>
      <c r="Z1171">
        <f>IF($A2="","",IF(COUNTIF('07_Pallet_Contents'!$A$2:$A$3000,$A2)&gt;0,"Yes",""))</f>
        <v/>
      </c>
    </row>
    <row r="1172">
      <c r="B1172" s="22" t="n"/>
      <c r="G1172" s="25" t="n"/>
      <c r="H1172" s="24">
        <f>IF(AND($F1172="TEMP",$G1172&gt;0,$M1172&lt;&gt;""),$M1172+$G1172,"")</f>
        <v/>
      </c>
      <c r="I1172" s="22" t="n"/>
      <c r="J1172" s="22" t="n"/>
      <c r="K1172" s="24" t="n"/>
      <c r="W1172">
        <f>IF($A2="","",COUNTIF('07_Pallet_Contents'!$A$2:$A$3000,$A2))</f>
        <v/>
      </c>
      <c r="X1172">
        <f>IF($A2="","",SUMIF('07_Pallet_Contents'!$A$2:$A$3000,$A2,'07_Pallet_Contents'!$D$2:$D$3000))</f>
        <v/>
      </c>
      <c r="Y1172">
        <f>IF($A2="","",SUMIF('07_Pallet_Contents'!$A$2:$A$3000,$A2,'07_Pallet_Contents'!$I$2:$I$3000))</f>
        <v/>
      </c>
      <c r="Z1172">
        <f>IF($A2="","",IF(COUNTIF('07_Pallet_Contents'!$A$2:$A$3000,$A2)&gt;0,"Yes",""))</f>
        <v/>
      </c>
    </row>
    <row r="1173">
      <c r="B1173" s="22" t="n"/>
      <c r="G1173" s="25" t="n"/>
      <c r="H1173" s="24">
        <f>IF(AND($F1173="TEMP",$G1173&gt;0,$M1173&lt;&gt;""),$M1173+$G1173,"")</f>
        <v/>
      </c>
      <c r="I1173" s="22" t="n"/>
      <c r="J1173" s="22" t="n"/>
      <c r="K1173" s="24" t="n"/>
      <c r="W1173">
        <f>IF($A2="","",COUNTIF('07_Pallet_Contents'!$A$2:$A$3000,$A2))</f>
        <v/>
      </c>
      <c r="X1173">
        <f>IF($A2="","",SUMIF('07_Pallet_Contents'!$A$2:$A$3000,$A2,'07_Pallet_Contents'!$D$2:$D$3000))</f>
        <v/>
      </c>
      <c r="Y1173">
        <f>IF($A2="","",SUMIF('07_Pallet_Contents'!$A$2:$A$3000,$A2,'07_Pallet_Contents'!$I$2:$I$3000))</f>
        <v/>
      </c>
      <c r="Z1173">
        <f>IF($A2="","",IF(COUNTIF('07_Pallet_Contents'!$A$2:$A$3000,$A2)&gt;0,"Yes",""))</f>
        <v/>
      </c>
    </row>
    <row r="1174">
      <c r="B1174" s="22" t="n"/>
      <c r="G1174" s="25" t="n"/>
      <c r="H1174" s="24">
        <f>IF(AND($F1174="TEMP",$G1174&gt;0,$M1174&lt;&gt;""),$M1174+$G1174,"")</f>
        <v/>
      </c>
      <c r="I1174" s="22" t="n"/>
      <c r="J1174" s="22" t="n"/>
      <c r="K1174" s="24" t="n"/>
      <c r="W1174">
        <f>IF($A2="","",COUNTIF('07_Pallet_Contents'!$A$2:$A$3000,$A2))</f>
        <v/>
      </c>
      <c r="X1174">
        <f>IF($A2="","",SUMIF('07_Pallet_Contents'!$A$2:$A$3000,$A2,'07_Pallet_Contents'!$D$2:$D$3000))</f>
        <v/>
      </c>
      <c r="Y1174">
        <f>IF($A2="","",SUMIF('07_Pallet_Contents'!$A$2:$A$3000,$A2,'07_Pallet_Contents'!$I$2:$I$3000))</f>
        <v/>
      </c>
      <c r="Z1174">
        <f>IF($A2="","",IF(COUNTIF('07_Pallet_Contents'!$A$2:$A$3000,$A2)&gt;0,"Yes",""))</f>
        <v/>
      </c>
    </row>
    <row r="1175">
      <c r="B1175" s="22" t="n"/>
      <c r="G1175" s="25" t="n"/>
      <c r="H1175" s="24">
        <f>IF(AND($F1175="TEMP",$G1175&gt;0,$M1175&lt;&gt;""),$M1175+$G1175,"")</f>
        <v/>
      </c>
      <c r="I1175" s="22" t="n"/>
      <c r="J1175" s="22" t="n"/>
      <c r="K1175" s="24" t="n"/>
      <c r="W1175">
        <f>IF($A2="","",COUNTIF('07_Pallet_Contents'!$A$2:$A$3000,$A2))</f>
        <v/>
      </c>
      <c r="X1175">
        <f>IF($A2="","",SUMIF('07_Pallet_Contents'!$A$2:$A$3000,$A2,'07_Pallet_Contents'!$D$2:$D$3000))</f>
        <v/>
      </c>
      <c r="Y1175">
        <f>IF($A2="","",SUMIF('07_Pallet_Contents'!$A$2:$A$3000,$A2,'07_Pallet_Contents'!$I$2:$I$3000))</f>
        <v/>
      </c>
      <c r="Z1175">
        <f>IF($A2="","",IF(COUNTIF('07_Pallet_Contents'!$A$2:$A$3000,$A2)&gt;0,"Yes",""))</f>
        <v/>
      </c>
    </row>
    <row r="1176">
      <c r="B1176" s="22" t="n"/>
      <c r="G1176" s="25" t="n"/>
      <c r="H1176" s="24">
        <f>IF(AND($F1176="TEMP",$G1176&gt;0,$M1176&lt;&gt;""),$M1176+$G1176,"")</f>
        <v/>
      </c>
      <c r="I1176" s="22" t="n"/>
      <c r="J1176" s="22" t="n"/>
      <c r="K1176" s="24" t="n"/>
      <c r="W1176">
        <f>IF($A2="","",COUNTIF('07_Pallet_Contents'!$A$2:$A$3000,$A2))</f>
        <v/>
      </c>
      <c r="X1176">
        <f>IF($A2="","",SUMIF('07_Pallet_Contents'!$A$2:$A$3000,$A2,'07_Pallet_Contents'!$D$2:$D$3000))</f>
        <v/>
      </c>
      <c r="Y1176">
        <f>IF($A2="","",SUMIF('07_Pallet_Contents'!$A$2:$A$3000,$A2,'07_Pallet_Contents'!$I$2:$I$3000))</f>
        <v/>
      </c>
      <c r="Z1176">
        <f>IF($A2="","",IF(COUNTIF('07_Pallet_Contents'!$A$2:$A$3000,$A2)&gt;0,"Yes",""))</f>
        <v/>
      </c>
    </row>
    <row r="1177">
      <c r="B1177" s="22" t="n"/>
      <c r="G1177" s="25" t="n"/>
      <c r="H1177" s="24">
        <f>IF(AND($F1177="TEMP",$G1177&gt;0,$M1177&lt;&gt;""),$M1177+$G1177,"")</f>
        <v/>
      </c>
      <c r="I1177" s="22" t="n"/>
      <c r="J1177" s="22" t="n"/>
      <c r="K1177" s="24" t="n"/>
      <c r="W1177">
        <f>IF($A2="","",COUNTIF('07_Pallet_Contents'!$A$2:$A$3000,$A2))</f>
        <v/>
      </c>
      <c r="X1177">
        <f>IF($A2="","",SUMIF('07_Pallet_Contents'!$A$2:$A$3000,$A2,'07_Pallet_Contents'!$D$2:$D$3000))</f>
        <v/>
      </c>
      <c r="Y1177">
        <f>IF($A2="","",SUMIF('07_Pallet_Contents'!$A$2:$A$3000,$A2,'07_Pallet_Contents'!$I$2:$I$3000))</f>
        <v/>
      </c>
      <c r="Z1177">
        <f>IF($A2="","",IF(COUNTIF('07_Pallet_Contents'!$A$2:$A$3000,$A2)&gt;0,"Yes",""))</f>
        <v/>
      </c>
    </row>
    <row r="1178">
      <c r="B1178" s="22" t="n"/>
      <c r="G1178" s="25" t="n"/>
      <c r="H1178" s="24">
        <f>IF(AND($F1178="TEMP",$G1178&gt;0,$M1178&lt;&gt;""),$M1178+$G1178,"")</f>
        <v/>
      </c>
      <c r="I1178" s="22" t="n"/>
      <c r="J1178" s="22" t="n"/>
      <c r="K1178" s="24" t="n"/>
      <c r="W1178">
        <f>IF($A2="","",COUNTIF('07_Pallet_Contents'!$A$2:$A$3000,$A2))</f>
        <v/>
      </c>
      <c r="X1178">
        <f>IF($A2="","",SUMIF('07_Pallet_Contents'!$A$2:$A$3000,$A2,'07_Pallet_Contents'!$D$2:$D$3000))</f>
        <v/>
      </c>
      <c r="Y1178">
        <f>IF($A2="","",SUMIF('07_Pallet_Contents'!$A$2:$A$3000,$A2,'07_Pallet_Contents'!$I$2:$I$3000))</f>
        <v/>
      </c>
      <c r="Z1178">
        <f>IF($A2="","",IF(COUNTIF('07_Pallet_Contents'!$A$2:$A$3000,$A2)&gt;0,"Yes",""))</f>
        <v/>
      </c>
    </row>
    <row r="1179">
      <c r="B1179" s="22" t="n"/>
      <c r="G1179" s="25" t="n"/>
      <c r="H1179" s="24">
        <f>IF(AND($F1179="TEMP",$G1179&gt;0,$M1179&lt;&gt;""),$M1179+$G1179,"")</f>
        <v/>
      </c>
      <c r="I1179" s="22" t="n"/>
      <c r="J1179" s="22" t="n"/>
      <c r="K1179" s="24" t="n"/>
      <c r="W1179">
        <f>IF($A2="","",COUNTIF('07_Pallet_Contents'!$A$2:$A$3000,$A2))</f>
        <v/>
      </c>
      <c r="X1179">
        <f>IF($A2="","",SUMIF('07_Pallet_Contents'!$A$2:$A$3000,$A2,'07_Pallet_Contents'!$D$2:$D$3000))</f>
        <v/>
      </c>
      <c r="Y1179">
        <f>IF($A2="","",SUMIF('07_Pallet_Contents'!$A$2:$A$3000,$A2,'07_Pallet_Contents'!$I$2:$I$3000))</f>
        <v/>
      </c>
      <c r="Z1179">
        <f>IF($A2="","",IF(COUNTIF('07_Pallet_Contents'!$A$2:$A$3000,$A2)&gt;0,"Yes",""))</f>
        <v/>
      </c>
    </row>
    <row r="1180">
      <c r="B1180" s="22" t="n"/>
      <c r="G1180" s="25" t="n"/>
      <c r="H1180" s="24">
        <f>IF(AND($F1180="TEMP",$G1180&gt;0,$M1180&lt;&gt;""),$M1180+$G1180,"")</f>
        <v/>
      </c>
      <c r="I1180" s="22" t="n"/>
      <c r="J1180" s="22" t="n"/>
      <c r="K1180" s="24" t="n"/>
      <c r="W1180">
        <f>IF($A2="","",COUNTIF('07_Pallet_Contents'!$A$2:$A$3000,$A2))</f>
        <v/>
      </c>
      <c r="X1180">
        <f>IF($A2="","",SUMIF('07_Pallet_Contents'!$A$2:$A$3000,$A2,'07_Pallet_Contents'!$D$2:$D$3000))</f>
        <v/>
      </c>
      <c r="Y1180">
        <f>IF($A2="","",SUMIF('07_Pallet_Contents'!$A$2:$A$3000,$A2,'07_Pallet_Contents'!$I$2:$I$3000))</f>
        <v/>
      </c>
      <c r="Z1180">
        <f>IF($A2="","",IF(COUNTIF('07_Pallet_Contents'!$A$2:$A$3000,$A2)&gt;0,"Yes",""))</f>
        <v/>
      </c>
    </row>
    <row r="1181">
      <c r="B1181" s="22" t="n"/>
      <c r="G1181" s="25" t="n"/>
      <c r="H1181" s="24">
        <f>IF(AND($F1181="TEMP",$G1181&gt;0,$M1181&lt;&gt;""),$M1181+$G1181,"")</f>
        <v/>
      </c>
      <c r="I1181" s="22" t="n"/>
      <c r="J1181" s="22" t="n"/>
      <c r="K1181" s="24" t="n"/>
      <c r="W1181">
        <f>IF($A2="","",COUNTIF('07_Pallet_Contents'!$A$2:$A$3000,$A2))</f>
        <v/>
      </c>
      <c r="X1181">
        <f>IF($A2="","",SUMIF('07_Pallet_Contents'!$A$2:$A$3000,$A2,'07_Pallet_Contents'!$D$2:$D$3000))</f>
        <v/>
      </c>
      <c r="Y1181">
        <f>IF($A2="","",SUMIF('07_Pallet_Contents'!$A$2:$A$3000,$A2,'07_Pallet_Contents'!$I$2:$I$3000))</f>
        <v/>
      </c>
      <c r="Z1181">
        <f>IF($A2="","",IF(COUNTIF('07_Pallet_Contents'!$A$2:$A$3000,$A2)&gt;0,"Yes",""))</f>
        <v/>
      </c>
    </row>
    <row r="1182">
      <c r="B1182" s="22" t="n"/>
      <c r="G1182" s="25" t="n"/>
      <c r="H1182" s="24">
        <f>IF(AND($F1182="TEMP",$G1182&gt;0,$M1182&lt;&gt;""),$M1182+$G1182,"")</f>
        <v/>
      </c>
      <c r="I1182" s="22" t="n"/>
      <c r="J1182" s="22" t="n"/>
      <c r="K1182" s="24" t="n"/>
      <c r="W1182">
        <f>IF($A2="","",COUNTIF('07_Pallet_Contents'!$A$2:$A$3000,$A2))</f>
        <v/>
      </c>
      <c r="X1182">
        <f>IF($A2="","",SUMIF('07_Pallet_Contents'!$A$2:$A$3000,$A2,'07_Pallet_Contents'!$D$2:$D$3000))</f>
        <v/>
      </c>
      <c r="Y1182">
        <f>IF($A2="","",SUMIF('07_Pallet_Contents'!$A$2:$A$3000,$A2,'07_Pallet_Contents'!$I$2:$I$3000))</f>
        <v/>
      </c>
      <c r="Z1182">
        <f>IF($A2="","",IF(COUNTIF('07_Pallet_Contents'!$A$2:$A$3000,$A2)&gt;0,"Yes",""))</f>
        <v/>
      </c>
    </row>
    <row r="1183">
      <c r="B1183" s="22" t="n"/>
      <c r="G1183" s="25" t="n"/>
      <c r="H1183" s="24">
        <f>IF(AND($F1183="TEMP",$G1183&gt;0,$M1183&lt;&gt;""),$M1183+$G1183,"")</f>
        <v/>
      </c>
      <c r="I1183" s="22" t="n"/>
      <c r="J1183" s="22" t="n"/>
      <c r="K1183" s="24" t="n"/>
      <c r="W1183">
        <f>IF($A2="","",COUNTIF('07_Pallet_Contents'!$A$2:$A$3000,$A2))</f>
        <v/>
      </c>
      <c r="X1183">
        <f>IF($A2="","",SUMIF('07_Pallet_Contents'!$A$2:$A$3000,$A2,'07_Pallet_Contents'!$D$2:$D$3000))</f>
        <v/>
      </c>
      <c r="Y1183">
        <f>IF($A2="","",SUMIF('07_Pallet_Contents'!$A$2:$A$3000,$A2,'07_Pallet_Contents'!$I$2:$I$3000))</f>
        <v/>
      </c>
      <c r="Z1183">
        <f>IF($A2="","",IF(COUNTIF('07_Pallet_Contents'!$A$2:$A$3000,$A2)&gt;0,"Yes",""))</f>
        <v/>
      </c>
    </row>
    <row r="1184">
      <c r="B1184" s="22" t="n"/>
      <c r="G1184" s="25" t="n"/>
      <c r="H1184" s="24">
        <f>IF(AND($F1184="TEMP",$G1184&gt;0,$M1184&lt;&gt;""),$M1184+$G1184,"")</f>
        <v/>
      </c>
      <c r="I1184" s="22" t="n"/>
      <c r="J1184" s="22" t="n"/>
      <c r="K1184" s="24" t="n"/>
      <c r="W1184">
        <f>IF($A2="","",COUNTIF('07_Pallet_Contents'!$A$2:$A$3000,$A2))</f>
        <v/>
      </c>
      <c r="X1184">
        <f>IF($A2="","",SUMIF('07_Pallet_Contents'!$A$2:$A$3000,$A2,'07_Pallet_Contents'!$D$2:$D$3000))</f>
        <v/>
      </c>
      <c r="Y1184">
        <f>IF($A2="","",SUMIF('07_Pallet_Contents'!$A$2:$A$3000,$A2,'07_Pallet_Contents'!$I$2:$I$3000))</f>
        <v/>
      </c>
      <c r="Z1184">
        <f>IF($A2="","",IF(COUNTIF('07_Pallet_Contents'!$A$2:$A$3000,$A2)&gt;0,"Yes",""))</f>
        <v/>
      </c>
    </row>
    <row r="1185">
      <c r="B1185" s="22" t="n"/>
      <c r="G1185" s="25" t="n"/>
      <c r="H1185" s="24">
        <f>IF(AND($F1185="TEMP",$G1185&gt;0,$M1185&lt;&gt;""),$M1185+$G1185,"")</f>
        <v/>
      </c>
      <c r="I1185" s="22" t="n"/>
      <c r="J1185" s="22" t="n"/>
      <c r="K1185" s="24" t="n"/>
      <c r="W1185">
        <f>IF($A2="","",COUNTIF('07_Pallet_Contents'!$A$2:$A$3000,$A2))</f>
        <v/>
      </c>
      <c r="X1185">
        <f>IF($A2="","",SUMIF('07_Pallet_Contents'!$A$2:$A$3000,$A2,'07_Pallet_Contents'!$D$2:$D$3000))</f>
        <v/>
      </c>
      <c r="Y1185">
        <f>IF($A2="","",SUMIF('07_Pallet_Contents'!$A$2:$A$3000,$A2,'07_Pallet_Contents'!$I$2:$I$3000))</f>
        <v/>
      </c>
      <c r="Z1185">
        <f>IF($A2="","",IF(COUNTIF('07_Pallet_Contents'!$A$2:$A$3000,$A2)&gt;0,"Yes",""))</f>
        <v/>
      </c>
    </row>
    <row r="1186">
      <c r="B1186" s="22" t="n"/>
      <c r="G1186" s="25" t="n"/>
      <c r="H1186" s="24">
        <f>IF(AND($F1186="TEMP",$G1186&gt;0,$M1186&lt;&gt;""),$M1186+$G1186,"")</f>
        <v/>
      </c>
      <c r="I1186" s="22" t="n"/>
      <c r="J1186" s="22" t="n"/>
      <c r="K1186" s="24" t="n"/>
      <c r="W1186">
        <f>IF($A2="","",COUNTIF('07_Pallet_Contents'!$A$2:$A$3000,$A2))</f>
        <v/>
      </c>
      <c r="X1186">
        <f>IF($A2="","",SUMIF('07_Pallet_Contents'!$A$2:$A$3000,$A2,'07_Pallet_Contents'!$D$2:$D$3000))</f>
        <v/>
      </c>
      <c r="Y1186">
        <f>IF($A2="","",SUMIF('07_Pallet_Contents'!$A$2:$A$3000,$A2,'07_Pallet_Contents'!$I$2:$I$3000))</f>
        <v/>
      </c>
      <c r="Z1186">
        <f>IF($A2="","",IF(COUNTIF('07_Pallet_Contents'!$A$2:$A$3000,$A2)&gt;0,"Yes",""))</f>
        <v/>
      </c>
    </row>
    <row r="1187">
      <c r="B1187" s="22" t="n"/>
      <c r="G1187" s="25" t="n"/>
      <c r="H1187" s="24">
        <f>IF(AND($F1187="TEMP",$G1187&gt;0,$M1187&lt;&gt;""),$M1187+$G1187,"")</f>
        <v/>
      </c>
      <c r="I1187" s="22" t="n"/>
      <c r="J1187" s="22" t="n"/>
      <c r="K1187" s="24" t="n"/>
      <c r="W1187">
        <f>IF($A2="","",COUNTIF('07_Pallet_Contents'!$A$2:$A$3000,$A2))</f>
        <v/>
      </c>
      <c r="X1187">
        <f>IF($A2="","",SUMIF('07_Pallet_Contents'!$A$2:$A$3000,$A2,'07_Pallet_Contents'!$D$2:$D$3000))</f>
        <v/>
      </c>
      <c r="Y1187">
        <f>IF($A2="","",SUMIF('07_Pallet_Contents'!$A$2:$A$3000,$A2,'07_Pallet_Contents'!$I$2:$I$3000))</f>
        <v/>
      </c>
      <c r="Z1187">
        <f>IF($A2="","",IF(COUNTIF('07_Pallet_Contents'!$A$2:$A$3000,$A2)&gt;0,"Yes",""))</f>
        <v/>
      </c>
    </row>
    <row r="1188">
      <c r="B1188" s="22" t="n"/>
      <c r="G1188" s="25" t="n"/>
      <c r="H1188" s="24">
        <f>IF(AND($F1188="TEMP",$G1188&gt;0,$M1188&lt;&gt;""),$M1188+$G1188,"")</f>
        <v/>
      </c>
      <c r="I1188" s="22" t="n"/>
      <c r="J1188" s="22" t="n"/>
      <c r="K1188" s="24" t="n"/>
      <c r="W1188">
        <f>IF($A2="","",COUNTIF('07_Pallet_Contents'!$A$2:$A$3000,$A2))</f>
        <v/>
      </c>
      <c r="X1188">
        <f>IF($A2="","",SUMIF('07_Pallet_Contents'!$A$2:$A$3000,$A2,'07_Pallet_Contents'!$D$2:$D$3000))</f>
        <v/>
      </c>
      <c r="Y1188">
        <f>IF($A2="","",SUMIF('07_Pallet_Contents'!$A$2:$A$3000,$A2,'07_Pallet_Contents'!$I$2:$I$3000))</f>
        <v/>
      </c>
      <c r="Z1188">
        <f>IF($A2="","",IF(COUNTIF('07_Pallet_Contents'!$A$2:$A$3000,$A2)&gt;0,"Yes",""))</f>
        <v/>
      </c>
    </row>
    <row r="1189">
      <c r="B1189" s="22" t="n"/>
      <c r="G1189" s="25" t="n"/>
      <c r="H1189" s="24">
        <f>IF(AND($F1189="TEMP",$G1189&gt;0,$M1189&lt;&gt;""),$M1189+$G1189,"")</f>
        <v/>
      </c>
      <c r="I1189" s="22" t="n"/>
      <c r="J1189" s="22" t="n"/>
      <c r="K1189" s="24" t="n"/>
      <c r="W1189">
        <f>IF($A2="","",COUNTIF('07_Pallet_Contents'!$A$2:$A$3000,$A2))</f>
        <v/>
      </c>
      <c r="X1189">
        <f>IF($A2="","",SUMIF('07_Pallet_Contents'!$A$2:$A$3000,$A2,'07_Pallet_Contents'!$D$2:$D$3000))</f>
        <v/>
      </c>
      <c r="Y1189">
        <f>IF($A2="","",SUMIF('07_Pallet_Contents'!$A$2:$A$3000,$A2,'07_Pallet_Contents'!$I$2:$I$3000))</f>
        <v/>
      </c>
      <c r="Z1189">
        <f>IF($A2="","",IF(COUNTIF('07_Pallet_Contents'!$A$2:$A$3000,$A2)&gt;0,"Yes",""))</f>
        <v/>
      </c>
    </row>
    <row r="1190">
      <c r="B1190" s="22" t="n"/>
      <c r="G1190" s="25" t="n"/>
      <c r="H1190" s="24">
        <f>IF(AND($F1190="TEMP",$G1190&gt;0,$M1190&lt;&gt;""),$M1190+$G1190,"")</f>
        <v/>
      </c>
      <c r="I1190" s="22" t="n"/>
      <c r="J1190" s="22" t="n"/>
      <c r="K1190" s="24" t="n"/>
      <c r="W1190">
        <f>IF($A2="","",COUNTIF('07_Pallet_Contents'!$A$2:$A$3000,$A2))</f>
        <v/>
      </c>
      <c r="X1190">
        <f>IF($A2="","",SUMIF('07_Pallet_Contents'!$A$2:$A$3000,$A2,'07_Pallet_Contents'!$D$2:$D$3000))</f>
        <v/>
      </c>
      <c r="Y1190">
        <f>IF($A2="","",SUMIF('07_Pallet_Contents'!$A$2:$A$3000,$A2,'07_Pallet_Contents'!$I$2:$I$3000))</f>
        <v/>
      </c>
      <c r="Z1190">
        <f>IF($A2="","",IF(COUNTIF('07_Pallet_Contents'!$A$2:$A$3000,$A2)&gt;0,"Yes",""))</f>
        <v/>
      </c>
    </row>
    <row r="1191">
      <c r="B1191" s="22" t="n"/>
      <c r="G1191" s="25" t="n"/>
      <c r="H1191" s="24">
        <f>IF(AND($F1191="TEMP",$G1191&gt;0,$M1191&lt;&gt;""),$M1191+$G1191,"")</f>
        <v/>
      </c>
      <c r="I1191" s="22" t="n"/>
      <c r="J1191" s="22" t="n"/>
      <c r="K1191" s="24" t="n"/>
      <c r="W1191">
        <f>IF($A2="","",COUNTIF('07_Pallet_Contents'!$A$2:$A$3000,$A2))</f>
        <v/>
      </c>
      <c r="X1191">
        <f>IF($A2="","",SUMIF('07_Pallet_Contents'!$A$2:$A$3000,$A2,'07_Pallet_Contents'!$D$2:$D$3000))</f>
        <v/>
      </c>
      <c r="Y1191">
        <f>IF($A2="","",SUMIF('07_Pallet_Contents'!$A$2:$A$3000,$A2,'07_Pallet_Contents'!$I$2:$I$3000))</f>
        <v/>
      </c>
      <c r="Z1191">
        <f>IF($A2="","",IF(COUNTIF('07_Pallet_Contents'!$A$2:$A$3000,$A2)&gt;0,"Yes",""))</f>
        <v/>
      </c>
    </row>
    <row r="1192">
      <c r="B1192" s="22" t="n"/>
      <c r="G1192" s="25" t="n"/>
      <c r="H1192" s="24">
        <f>IF(AND($F1192="TEMP",$G1192&gt;0,$M1192&lt;&gt;""),$M1192+$G1192,"")</f>
        <v/>
      </c>
      <c r="I1192" s="22" t="n"/>
      <c r="J1192" s="22" t="n"/>
      <c r="K1192" s="24" t="n"/>
      <c r="W1192">
        <f>IF($A2="","",COUNTIF('07_Pallet_Contents'!$A$2:$A$3000,$A2))</f>
        <v/>
      </c>
      <c r="X1192">
        <f>IF($A2="","",SUMIF('07_Pallet_Contents'!$A$2:$A$3000,$A2,'07_Pallet_Contents'!$D$2:$D$3000))</f>
        <v/>
      </c>
      <c r="Y1192">
        <f>IF($A2="","",SUMIF('07_Pallet_Contents'!$A$2:$A$3000,$A2,'07_Pallet_Contents'!$I$2:$I$3000))</f>
        <v/>
      </c>
      <c r="Z1192">
        <f>IF($A2="","",IF(COUNTIF('07_Pallet_Contents'!$A$2:$A$3000,$A2)&gt;0,"Yes",""))</f>
        <v/>
      </c>
    </row>
    <row r="1193">
      <c r="B1193" s="22" t="n"/>
      <c r="G1193" s="25" t="n"/>
      <c r="H1193" s="24">
        <f>IF(AND($F1193="TEMP",$G1193&gt;0,$M1193&lt;&gt;""),$M1193+$G1193,"")</f>
        <v/>
      </c>
      <c r="I1193" s="22" t="n"/>
      <c r="J1193" s="22" t="n"/>
      <c r="K1193" s="24" t="n"/>
      <c r="W1193">
        <f>IF($A2="","",COUNTIF('07_Pallet_Contents'!$A$2:$A$3000,$A2))</f>
        <v/>
      </c>
      <c r="X1193">
        <f>IF($A2="","",SUMIF('07_Pallet_Contents'!$A$2:$A$3000,$A2,'07_Pallet_Contents'!$D$2:$D$3000))</f>
        <v/>
      </c>
      <c r="Y1193">
        <f>IF($A2="","",SUMIF('07_Pallet_Contents'!$A$2:$A$3000,$A2,'07_Pallet_Contents'!$I$2:$I$3000))</f>
        <v/>
      </c>
      <c r="Z1193">
        <f>IF($A2="","",IF(COUNTIF('07_Pallet_Contents'!$A$2:$A$3000,$A2)&gt;0,"Yes",""))</f>
        <v/>
      </c>
    </row>
    <row r="1194">
      <c r="B1194" s="22" t="n"/>
      <c r="G1194" s="25" t="n"/>
      <c r="H1194" s="24">
        <f>IF(AND($F1194="TEMP",$G1194&gt;0,$M1194&lt;&gt;""),$M1194+$G1194,"")</f>
        <v/>
      </c>
      <c r="I1194" s="22" t="n"/>
      <c r="J1194" s="22" t="n"/>
      <c r="K1194" s="24" t="n"/>
      <c r="W1194">
        <f>IF($A2="","",COUNTIF('07_Pallet_Contents'!$A$2:$A$3000,$A2))</f>
        <v/>
      </c>
      <c r="X1194">
        <f>IF($A2="","",SUMIF('07_Pallet_Contents'!$A$2:$A$3000,$A2,'07_Pallet_Contents'!$D$2:$D$3000))</f>
        <v/>
      </c>
      <c r="Y1194">
        <f>IF($A2="","",SUMIF('07_Pallet_Contents'!$A$2:$A$3000,$A2,'07_Pallet_Contents'!$I$2:$I$3000))</f>
        <v/>
      </c>
      <c r="Z1194">
        <f>IF($A2="","",IF(COUNTIF('07_Pallet_Contents'!$A$2:$A$3000,$A2)&gt;0,"Yes",""))</f>
        <v/>
      </c>
    </row>
    <row r="1195">
      <c r="B1195" s="22" t="n"/>
      <c r="G1195" s="25" t="n"/>
      <c r="H1195" s="24">
        <f>IF(AND($F1195="TEMP",$G1195&gt;0,$M1195&lt;&gt;""),$M1195+$G1195,"")</f>
        <v/>
      </c>
      <c r="I1195" s="22" t="n"/>
      <c r="J1195" s="22" t="n"/>
      <c r="K1195" s="24" t="n"/>
      <c r="W1195">
        <f>IF($A2="","",COUNTIF('07_Pallet_Contents'!$A$2:$A$3000,$A2))</f>
        <v/>
      </c>
      <c r="X1195">
        <f>IF($A2="","",SUMIF('07_Pallet_Contents'!$A$2:$A$3000,$A2,'07_Pallet_Contents'!$D$2:$D$3000))</f>
        <v/>
      </c>
      <c r="Y1195">
        <f>IF($A2="","",SUMIF('07_Pallet_Contents'!$A$2:$A$3000,$A2,'07_Pallet_Contents'!$I$2:$I$3000))</f>
        <v/>
      </c>
      <c r="Z1195">
        <f>IF($A2="","",IF(COUNTIF('07_Pallet_Contents'!$A$2:$A$3000,$A2)&gt;0,"Yes",""))</f>
        <v/>
      </c>
    </row>
    <row r="1196">
      <c r="B1196" s="22" t="n"/>
      <c r="G1196" s="25" t="n"/>
      <c r="H1196" s="24">
        <f>IF(AND($F1196="TEMP",$G1196&gt;0,$M1196&lt;&gt;""),$M1196+$G1196,"")</f>
        <v/>
      </c>
      <c r="I1196" s="22" t="n"/>
      <c r="J1196" s="22" t="n"/>
      <c r="K1196" s="24" t="n"/>
      <c r="W1196">
        <f>IF($A2="","",COUNTIF('07_Pallet_Contents'!$A$2:$A$3000,$A2))</f>
        <v/>
      </c>
      <c r="X1196">
        <f>IF($A2="","",SUMIF('07_Pallet_Contents'!$A$2:$A$3000,$A2,'07_Pallet_Contents'!$D$2:$D$3000))</f>
        <v/>
      </c>
      <c r="Y1196">
        <f>IF($A2="","",SUMIF('07_Pallet_Contents'!$A$2:$A$3000,$A2,'07_Pallet_Contents'!$I$2:$I$3000))</f>
        <v/>
      </c>
      <c r="Z1196">
        <f>IF($A2="","",IF(COUNTIF('07_Pallet_Contents'!$A$2:$A$3000,$A2)&gt;0,"Yes",""))</f>
        <v/>
      </c>
    </row>
    <row r="1197">
      <c r="B1197" s="22" t="n"/>
      <c r="G1197" s="25" t="n"/>
      <c r="H1197" s="24">
        <f>IF(AND($F1197="TEMP",$G1197&gt;0,$M1197&lt;&gt;""),$M1197+$G1197,"")</f>
        <v/>
      </c>
      <c r="I1197" s="22" t="n"/>
      <c r="J1197" s="22" t="n"/>
      <c r="K1197" s="24" t="n"/>
      <c r="W1197">
        <f>IF($A2="","",COUNTIF('07_Pallet_Contents'!$A$2:$A$3000,$A2))</f>
        <v/>
      </c>
      <c r="X1197">
        <f>IF($A2="","",SUMIF('07_Pallet_Contents'!$A$2:$A$3000,$A2,'07_Pallet_Contents'!$D$2:$D$3000))</f>
        <v/>
      </c>
      <c r="Y1197">
        <f>IF($A2="","",SUMIF('07_Pallet_Contents'!$A$2:$A$3000,$A2,'07_Pallet_Contents'!$I$2:$I$3000))</f>
        <v/>
      </c>
      <c r="Z1197">
        <f>IF($A2="","",IF(COUNTIF('07_Pallet_Contents'!$A$2:$A$3000,$A2)&gt;0,"Yes",""))</f>
        <v/>
      </c>
    </row>
    <row r="1198">
      <c r="B1198" s="22" t="n"/>
      <c r="G1198" s="25" t="n"/>
      <c r="H1198" s="24">
        <f>IF(AND($F1198="TEMP",$G1198&gt;0,$M1198&lt;&gt;""),$M1198+$G1198,"")</f>
        <v/>
      </c>
      <c r="I1198" s="22" t="n"/>
      <c r="J1198" s="22" t="n"/>
      <c r="K1198" s="24" t="n"/>
      <c r="W1198">
        <f>IF($A2="","",COUNTIF('07_Pallet_Contents'!$A$2:$A$3000,$A2))</f>
        <v/>
      </c>
      <c r="X1198">
        <f>IF($A2="","",SUMIF('07_Pallet_Contents'!$A$2:$A$3000,$A2,'07_Pallet_Contents'!$D$2:$D$3000))</f>
        <v/>
      </c>
      <c r="Y1198">
        <f>IF($A2="","",SUMIF('07_Pallet_Contents'!$A$2:$A$3000,$A2,'07_Pallet_Contents'!$I$2:$I$3000))</f>
        <v/>
      </c>
      <c r="Z1198">
        <f>IF($A2="","",IF(COUNTIF('07_Pallet_Contents'!$A$2:$A$3000,$A2)&gt;0,"Yes",""))</f>
        <v/>
      </c>
    </row>
    <row r="1199">
      <c r="B1199" s="22" t="n"/>
      <c r="G1199" s="25" t="n"/>
      <c r="H1199" s="24">
        <f>IF(AND($F1199="TEMP",$G1199&gt;0,$M1199&lt;&gt;""),$M1199+$G1199,"")</f>
        <v/>
      </c>
      <c r="I1199" s="22" t="n"/>
      <c r="J1199" s="22" t="n"/>
      <c r="K1199" s="24" t="n"/>
      <c r="W1199">
        <f>IF($A2="","",COUNTIF('07_Pallet_Contents'!$A$2:$A$3000,$A2))</f>
        <v/>
      </c>
      <c r="X1199">
        <f>IF($A2="","",SUMIF('07_Pallet_Contents'!$A$2:$A$3000,$A2,'07_Pallet_Contents'!$D$2:$D$3000))</f>
        <v/>
      </c>
      <c r="Y1199">
        <f>IF($A2="","",SUMIF('07_Pallet_Contents'!$A$2:$A$3000,$A2,'07_Pallet_Contents'!$I$2:$I$3000))</f>
        <v/>
      </c>
      <c r="Z1199">
        <f>IF($A2="","",IF(COUNTIF('07_Pallet_Contents'!$A$2:$A$3000,$A2)&gt;0,"Yes",""))</f>
        <v/>
      </c>
    </row>
    <row r="1200">
      <c r="B1200" s="22" t="n"/>
      <c r="G1200" s="25" t="n"/>
      <c r="H1200" s="24">
        <f>IF(AND($F1200="TEMP",$G1200&gt;0,$M1200&lt;&gt;""),$M1200+$G1200,"")</f>
        <v/>
      </c>
      <c r="I1200" s="22" t="n"/>
      <c r="J1200" s="22" t="n"/>
      <c r="K1200" s="24" t="n"/>
      <c r="W1200">
        <f>IF($A2="","",COUNTIF('07_Pallet_Contents'!$A$2:$A$3000,$A2))</f>
        <v/>
      </c>
      <c r="X1200">
        <f>IF($A2="","",SUMIF('07_Pallet_Contents'!$A$2:$A$3000,$A2,'07_Pallet_Contents'!$D$2:$D$3000))</f>
        <v/>
      </c>
      <c r="Y1200">
        <f>IF($A2="","",SUMIF('07_Pallet_Contents'!$A$2:$A$3000,$A2,'07_Pallet_Contents'!$I$2:$I$3000))</f>
        <v/>
      </c>
      <c r="Z1200">
        <f>IF($A2="","",IF(COUNTIF('07_Pallet_Contents'!$A$2:$A$3000,$A2)&gt;0,"Yes",""))</f>
        <v/>
      </c>
    </row>
    <row r="1201">
      <c r="B1201" s="22" t="n"/>
      <c r="G1201" s="25" t="n"/>
      <c r="H1201" s="24">
        <f>IF(AND($F1201="TEMP",$G1201&gt;0,$M1201&lt;&gt;""),$M1201+$G1201,"")</f>
        <v/>
      </c>
      <c r="I1201" s="22" t="n"/>
      <c r="J1201" s="22" t="n"/>
      <c r="K1201" s="24" t="n"/>
      <c r="W1201">
        <f>IF($A2="","",COUNTIF('07_Pallet_Contents'!$A$2:$A$3000,$A2))</f>
        <v/>
      </c>
      <c r="X1201">
        <f>IF($A2="","",SUMIF('07_Pallet_Contents'!$A$2:$A$3000,$A2,'07_Pallet_Contents'!$D$2:$D$3000))</f>
        <v/>
      </c>
      <c r="Y1201">
        <f>IF($A2="","",SUMIF('07_Pallet_Contents'!$A$2:$A$3000,$A2,'07_Pallet_Contents'!$I$2:$I$3000))</f>
        <v/>
      </c>
      <c r="Z1201">
        <f>IF($A2="","",IF(COUNTIF('07_Pallet_Contents'!$A$2:$A$3000,$A2)&gt;0,"Yes",""))</f>
        <v/>
      </c>
    </row>
    <row r="1202">
      <c r="B1202" s="22" t="n"/>
      <c r="G1202" s="25" t="n"/>
      <c r="H1202" s="24">
        <f>IF(AND($F1202="TEMP",$G1202&gt;0,$M1202&lt;&gt;""),$M1202+$G1202,"")</f>
        <v/>
      </c>
      <c r="I1202" s="22" t="n"/>
      <c r="J1202" s="22" t="n"/>
      <c r="K1202" s="24" t="n"/>
      <c r="W1202">
        <f>IF($A2="","",COUNTIF('07_Pallet_Contents'!$A$2:$A$3000,$A2))</f>
        <v/>
      </c>
      <c r="X1202">
        <f>IF($A2="","",SUMIF('07_Pallet_Contents'!$A$2:$A$3000,$A2,'07_Pallet_Contents'!$D$2:$D$3000))</f>
        <v/>
      </c>
      <c r="Y1202">
        <f>IF($A2="","",SUMIF('07_Pallet_Contents'!$A$2:$A$3000,$A2,'07_Pallet_Contents'!$I$2:$I$3000))</f>
        <v/>
      </c>
      <c r="Z1202">
        <f>IF($A2="","",IF(COUNTIF('07_Pallet_Contents'!$A$2:$A$3000,$A2)&gt;0,"Yes",""))</f>
        <v/>
      </c>
    </row>
    <row r="1203">
      <c r="B1203" s="22" t="n"/>
      <c r="G1203" s="25" t="n"/>
      <c r="H1203" s="24">
        <f>IF(AND($F1203="TEMP",$G1203&gt;0,$M1203&lt;&gt;""),$M1203+$G1203,"")</f>
        <v/>
      </c>
      <c r="I1203" s="22" t="n"/>
      <c r="J1203" s="22" t="n"/>
      <c r="K1203" s="24" t="n"/>
      <c r="W1203">
        <f>IF($A2="","",COUNTIF('07_Pallet_Contents'!$A$2:$A$3000,$A2))</f>
        <v/>
      </c>
      <c r="X1203">
        <f>IF($A2="","",SUMIF('07_Pallet_Contents'!$A$2:$A$3000,$A2,'07_Pallet_Contents'!$D$2:$D$3000))</f>
        <v/>
      </c>
      <c r="Y1203">
        <f>IF($A2="","",SUMIF('07_Pallet_Contents'!$A$2:$A$3000,$A2,'07_Pallet_Contents'!$I$2:$I$3000))</f>
        <v/>
      </c>
      <c r="Z1203">
        <f>IF($A2="","",IF(COUNTIF('07_Pallet_Contents'!$A$2:$A$3000,$A2)&gt;0,"Yes",""))</f>
        <v/>
      </c>
    </row>
    <row r="1204">
      <c r="B1204" s="22" t="n"/>
      <c r="G1204" s="25" t="n"/>
      <c r="H1204" s="24">
        <f>IF(AND($F1204="TEMP",$G1204&gt;0,$M1204&lt;&gt;""),$M1204+$G1204,"")</f>
        <v/>
      </c>
      <c r="I1204" s="22" t="n"/>
      <c r="J1204" s="22" t="n"/>
      <c r="K1204" s="24" t="n"/>
      <c r="W1204">
        <f>IF($A2="","",COUNTIF('07_Pallet_Contents'!$A$2:$A$3000,$A2))</f>
        <v/>
      </c>
      <c r="X1204">
        <f>IF($A2="","",SUMIF('07_Pallet_Contents'!$A$2:$A$3000,$A2,'07_Pallet_Contents'!$D$2:$D$3000))</f>
        <v/>
      </c>
      <c r="Y1204">
        <f>IF($A2="","",SUMIF('07_Pallet_Contents'!$A$2:$A$3000,$A2,'07_Pallet_Contents'!$I$2:$I$3000))</f>
        <v/>
      </c>
      <c r="Z1204">
        <f>IF($A2="","",IF(COUNTIF('07_Pallet_Contents'!$A$2:$A$3000,$A2)&gt;0,"Yes",""))</f>
        <v/>
      </c>
    </row>
    <row r="1205">
      <c r="B1205" s="22" t="n"/>
      <c r="G1205" s="25" t="n"/>
      <c r="H1205" s="24">
        <f>IF(AND($F1205="TEMP",$G1205&gt;0,$M1205&lt;&gt;""),$M1205+$G1205,"")</f>
        <v/>
      </c>
      <c r="I1205" s="22" t="n"/>
      <c r="J1205" s="22" t="n"/>
      <c r="K1205" s="24" t="n"/>
      <c r="W1205">
        <f>IF($A2="","",COUNTIF('07_Pallet_Contents'!$A$2:$A$3000,$A2))</f>
        <v/>
      </c>
      <c r="X1205">
        <f>IF($A2="","",SUMIF('07_Pallet_Contents'!$A$2:$A$3000,$A2,'07_Pallet_Contents'!$D$2:$D$3000))</f>
        <v/>
      </c>
      <c r="Y1205">
        <f>IF($A2="","",SUMIF('07_Pallet_Contents'!$A$2:$A$3000,$A2,'07_Pallet_Contents'!$I$2:$I$3000))</f>
        <v/>
      </c>
      <c r="Z1205">
        <f>IF($A2="","",IF(COUNTIF('07_Pallet_Contents'!$A$2:$A$3000,$A2)&gt;0,"Yes",""))</f>
        <v/>
      </c>
    </row>
    <row r="1206">
      <c r="B1206" s="22" t="n"/>
      <c r="G1206" s="25" t="n"/>
      <c r="H1206" s="24">
        <f>IF(AND($F1206="TEMP",$G1206&gt;0,$M1206&lt;&gt;""),$M1206+$G1206,"")</f>
        <v/>
      </c>
      <c r="I1206" s="22" t="n"/>
      <c r="J1206" s="22" t="n"/>
      <c r="K1206" s="24" t="n"/>
      <c r="W1206">
        <f>IF($A2="","",COUNTIF('07_Pallet_Contents'!$A$2:$A$3000,$A2))</f>
        <v/>
      </c>
      <c r="X1206">
        <f>IF($A2="","",SUMIF('07_Pallet_Contents'!$A$2:$A$3000,$A2,'07_Pallet_Contents'!$D$2:$D$3000))</f>
        <v/>
      </c>
      <c r="Y1206">
        <f>IF($A2="","",SUMIF('07_Pallet_Contents'!$A$2:$A$3000,$A2,'07_Pallet_Contents'!$I$2:$I$3000))</f>
        <v/>
      </c>
      <c r="Z1206">
        <f>IF($A2="","",IF(COUNTIF('07_Pallet_Contents'!$A$2:$A$3000,$A2)&gt;0,"Yes",""))</f>
        <v/>
      </c>
    </row>
    <row r="1207">
      <c r="B1207" s="22" t="n"/>
      <c r="G1207" s="25" t="n"/>
      <c r="H1207" s="24">
        <f>IF(AND($F1207="TEMP",$G1207&gt;0,$M1207&lt;&gt;""),$M1207+$G1207,"")</f>
        <v/>
      </c>
      <c r="I1207" s="22" t="n"/>
      <c r="J1207" s="22" t="n"/>
      <c r="K1207" s="24" t="n"/>
      <c r="W1207">
        <f>IF($A2="","",COUNTIF('07_Pallet_Contents'!$A$2:$A$3000,$A2))</f>
        <v/>
      </c>
      <c r="X1207">
        <f>IF($A2="","",SUMIF('07_Pallet_Contents'!$A$2:$A$3000,$A2,'07_Pallet_Contents'!$D$2:$D$3000))</f>
        <v/>
      </c>
      <c r="Y1207">
        <f>IF($A2="","",SUMIF('07_Pallet_Contents'!$A$2:$A$3000,$A2,'07_Pallet_Contents'!$I$2:$I$3000))</f>
        <v/>
      </c>
      <c r="Z1207">
        <f>IF($A2="","",IF(COUNTIF('07_Pallet_Contents'!$A$2:$A$3000,$A2)&gt;0,"Yes",""))</f>
        <v/>
      </c>
    </row>
    <row r="1208">
      <c r="B1208" s="22" t="n"/>
      <c r="G1208" s="25" t="n"/>
      <c r="H1208" s="24">
        <f>IF(AND($F1208="TEMP",$G1208&gt;0,$M1208&lt;&gt;""),$M1208+$G1208,"")</f>
        <v/>
      </c>
      <c r="I1208" s="22" t="n"/>
      <c r="J1208" s="22" t="n"/>
      <c r="K1208" s="24" t="n"/>
      <c r="W1208">
        <f>IF($A2="","",COUNTIF('07_Pallet_Contents'!$A$2:$A$3000,$A2))</f>
        <v/>
      </c>
      <c r="X1208">
        <f>IF($A2="","",SUMIF('07_Pallet_Contents'!$A$2:$A$3000,$A2,'07_Pallet_Contents'!$D$2:$D$3000))</f>
        <v/>
      </c>
      <c r="Y1208">
        <f>IF($A2="","",SUMIF('07_Pallet_Contents'!$A$2:$A$3000,$A2,'07_Pallet_Contents'!$I$2:$I$3000))</f>
        <v/>
      </c>
      <c r="Z1208">
        <f>IF($A2="","",IF(COUNTIF('07_Pallet_Contents'!$A$2:$A$3000,$A2)&gt;0,"Yes",""))</f>
        <v/>
      </c>
    </row>
    <row r="1209">
      <c r="B1209" s="22" t="n"/>
      <c r="G1209" s="25" t="n"/>
      <c r="H1209" s="24">
        <f>IF(AND($F1209="TEMP",$G1209&gt;0,$M1209&lt;&gt;""),$M1209+$G1209,"")</f>
        <v/>
      </c>
      <c r="I1209" s="22" t="n"/>
      <c r="J1209" s="22" t="n"/>
      <c r="K1209" s="24" t="n"/>
      <c r="W1209">
        <f>IF($A2="","",COUNTIF('07_Pallet_Contents'!$A$2:$A$3000,$A2))</f>
        <v/>
      </c>
      <c r="X1209">
        <f>IF($A2="","",SUMIF('07_Pallet_Contents'!$A$2:$A$3000,$A2,'07_Pallet_Contents'!$D$2:$D$3000))</f>
        <v/>
      </c>
      <c r="Y1209">
        <f>IF($A2="","",SUMIF('07_Pallet_Contents'!$A$2:$A$3000,$A2,'07_Pallet_Contents'!$I$2:$I$3000))</f>
        <v/>
      </c>
      <c r="Z1209">
        <f>IF($A2="","",IF(COUNTIF('07_Pallet_Contents'!$A$2:$A$3000,$A2)&gt;0,"Yes",""))</f>
        <v/>
      </c>
    </row>
    <row r="1210">
      <c r="B1210" s="22" t="n"/>
      <c r="G1210" s="25" t="n"/>
      <c r="H1210" s="24">
        <f>IF(AND($F1210="TEMP",$G1210&gt;0,$M1210&lt;&gt;""),$M1210+$G1210,"")</f>
        <v/>
      </c>
      <c r="I1210" s="22" t="n"/>
      <c r="J1210" s="22" t="n"/>
      <c r="K1210" s="24" t="n"/>
      <c r="W1210">
        <f>IF($A2="","",COUNTIF('07_Pallet_Contents'!$A$2:$A$3000,$A2))</f>
        <v/>
      </c>
      <c r="X1210">
        <f>IF($A2="","",SUMIF('07_Pallet_Contents'!$A$2:$A$3000,$A2,'07_Pallet_Contents'!$D$2:$D$3000))</f>
        <v/>
      </c>
      <c r="Y1210">
        <f>IF($A2="","",SUMIF('07_Pallet_Contents'!$A$2:$A$3000,$A2,'07_Pallet_Contents'!$I$2:$I$3000))</f>
        <v/>
      </c>
      <c r="Z1210">
        <f>IF($A2="","",IF(COUNTIF('07_Pallet_Contents'!$A$2:$A$3000,$A2)&gt;0,"Yes",""))</f>
        <v/>
      </c>
    </row>
    <row r="1211">
      <c r="B1211" s="22" t="n"/>
      <c r="G1211" s="25" t="n"/>
      <c r="H1211" s="24">
        <f>IF(AND($F1211="TEMP",$G1211&gt;0,$M1211&lt;&gt;""),$M1211+$G1211,"")</f>
        <v/>
      </c>
      <c r="I1211" s="22" t="n"/>
      <c r="J1211" s="22" t="n"/>
      <c r="K1211" s="24" t="n"/>
      <c r="W1211">
        <f>IF($A2="","",COUNTIF('07_Pallet_Contents'!$A$2:$A$3000,$A2))</f>
        <v/>
      </c>
      <c r="X1211">
        <f>IF($A2="","",SUMIF('07_Pallet_Contents'!$A$2:$A$3000,$A2,'07_Pallet_Contents'!$D$2:$D$3000))</f>
        <v/>
      </c>
      <c r="Y1211">
        <f>IF($A2="","",SUMIF('07_Pallet_Contents'!$A$2:$A$3000,$A2,'07_Pallet_Contents'!$I$2:$I$3000))</f>
        <v/>
      </c>
      <c r="Z1211">
        <f>IF($A2="","",IF(COUNTIF('07_Pallet_Contents'!$A$2:$A$3000,$A2)&gt;0,"Yes",""))</f>
        <v/>
      </c>
    </row>
    <row r="1212">
      <c r="B1212" s="22" t="n"/>
      <c r="G1212" s="25" t="n"/>
      <c r="H1212" s="24">
        <f>IF(AND($F1212="TEMP",$G1212&gt;0,$M1212&lt;&gt;""),$M1212+$G1212,"")</f>
        <v/>
      </c>
      <c r="I1212" s="22" t="n"/>
      <c r="J1212" s="22" t="n"/>
      <c r="K1212" s="24" t="n"/>
      <c r="W1212">
        <f>IF($A2="","",COUNTIF('07_Pallet_Contents'!$A$2:$A$3000,$A2))</f>
        <v/>
      </c>
      <c r="X1212">
        <f>IF($A2="","",SUMIF('07_Pallet_Contents'!$A$2:$A$3000,$A2,'07_Pallet_Contents'!$D$2:$D$3000))</f>
        <v/>
      </c>
      <c r="Y1212">
        <f>IF($A2="","",SUMIF('07_Pallet_Contents'!$A$2:$A$3000,$A2,'07_Pallet_Contents'!$I$2:$I$3000))</f>
        <v/>
      </c>
      <c r="Z1212">
        <f>IF($A2="","",IF(COUNTIF('07_Pallet_Contents'!$A$2:$A$3000,$A2)&gt;0,"Yes",""))</f>
        <v/>
      </c>
    </row>
    <row r="1213">
      <c r="B1213" s="22" t="n"/>
      <c r="G1213" s="25" t="n"/>
      <c r="H1213" s="24">
        <f>IF(AND($F1213="TEMP",$G1213&gt;0,$M1213&lt;&gt;""),$M1213+$G1213,"")</f>
        <v/>
      </c>
      <c r="I1213" s="22" t="n"/>
      <c r="J1213" s="22" t="n"/>
      <c r="K1213" s="24" t="n"/>
      <c r="W1213">
        <f>IF($A2="","",COUNTIF('07_Pallet_Contents'!$A$2:$A$3000,$A2))</f>
        <v/>
      </c>
      <c r="X1213">
        <f>IF($A2="","",SUMIF('07_Pallet_Contents'!$A$2:$A$3000,$A2,'07_Pallet_Contents'!$D$2:$D$3000))</f>
        <v/>
      </c>
      <c r="Y1213">
        <f>IF($A2="","",SUMIF('07_Pallet_Contents'!$A$2:$A$3000,$A2,'07_Pallet_Contents'!$I$2:$I$3000))</f>
        <v/>
      </c>
      <c r="Z1213">
        <f>IF($A2="","",IF(COUNTIF('07_Pallet_Contents'!$A$2:$A$3000,$A2)&gt;0,"Yes",""))</f>
        <v/>
      </c>
    </row>
    <row r="1214">
      <c r="B1214" s="22" t="n"/>
      <c r="G1214" s="25" t="n"/>
      <c r="H1214" s="24">
        <f>IF(AND($F1214="TEMP",$G1214&gt;0,$M1214&lt;&gt;""),$M1214+$G1214,"")</f>
        <v/>
      </c>
      <c r="I1214" s="22" t="n"/>
      <c r="J1214" s="22" t="n"/>
      <c r="K1214" s="24" t="n"/>
      <c r="W1214">
        <f>IF($A2="","",COUNTIF('07_Pallet_Contents'!$A$2:$A$3000,$A2))</f>
        <v/>
      </c>
      <c r="X1214">
        <f>IF($A2="","",SUMIF('07_Pallet_Contents'!$A$2:$A$3000,$A2,'07_Pallet_Contents'!$D$2:$D$3000))</f>
        <v/>
      </c>
      <c r="Y1214">
        <f>IF($A2="","",SUMIF('07_Pallet_Contents'!$A$2:$A$3000,$A2,'07_Pallet_Contents'!$I$2:$I$3000))</f>
        <v/>
      </c>
      <c r="Z1214">
        <f>IF($A2="","",IF(COUNTIF('07_Pallet_Contents'!$A$2:$A$3000,$A2)&gt;0,"Yes",""))</f>
        <v/>
      </c>
    </row>
    <row r="1215">
      <c r="B1215" s="22" t="n"/>
      <c r="G1215" s="25" t="n"/>
      <c r="H1215" s="24">
        <f>IF(AND($F1215="TEMP",$G1215&gt;0,$M1215&lt;&gt;""),$M1215+$G1215,"")</f>
        <v/>
      </c>
      <c r="I1215" s="22" t="n"/>
      <c r="J1215" s="22" t="n"/>
      <c r="K1215" s="24" t="n"/>
      <c r="W1215">
        <f>IF($A2="","",COUNTIF('07_Pallet_Contents'!$A$2:$A$3000,$A2))</f>
        <v/>
      </c>
      <c r="X1215">
        <f>IF($A2="","",SUMIF('07_Pallet_Contents'!$A$2:$A$3000,$A2,'07_Pallet_Contents'!$D$2:$D$3000))</f>
        <v/>
      </c>
      <c r="Y1215">
        <f>IF($A2="","",SUMIF('07_Pallet_Contents'!$A$2:$A$3000,$A2,'07_Pallet_Contents'!$I$2:$I$3000))</f>
        <v/>
      </c>
      <c r="Z1215">
        <f>IF($A2="","",IF(COUNTIF('07_Pallet_Contents'!$A$2:$A$3000,$A2)&gt;0,"Yes",""))</f>
        <v/>
      </c>
    </row>
    <row r="1216">
      <c r="B1216" s="22" t="n"/>
      <c r="G1216" s="25" t="n"/>
      <c r="H1216" s="24">
        <f>IF(AND($F1216="TEMP",$G1216&gt;0,$M1216&lt;&gt;""),$M1216+$G1216,"")</f>
        <v/>
      </c>
      <c r="I1216" s="22" t="n"/>
      <c r="J1216" s="22" t="n"/>
      <c r="K1216" s="24" t="n"/>
      <c r="W1216">
        <f>IF($A2="","",COUNTIF('07_Pallet_Contents'!$A$2:$A$3000,$A2))</f>
        <v/>
      </c>
      <c r="X1216">
        <f>IF($A2="","",SUMIF('07_Pallet_Contents'!$A$2:$A$3000,$A2,'07_Pallet_Contents'!$D$2:$D$3000))</f>
        <v/>
      </c>
      <c r="Y1216">
        <f>IF($A2="","",SUMIF('07_Pallet_Contents'!$A$2:$A$3000,$A2,'07_Pallet_Contents'!$I$2:$I$3000))</f>
        <v/>
      </c>
      <c r="Z1216">
        <f>IF($A2="","",IF(COUNTIF('07_Pallet_Contents'!$A$2:$A$3000,$A2)&gt;0,"Yes",""))</f>
        <v/>
      </c>
    </row>
    <row r="1217">
      <c r="B1217" s="22" t="n"/>
      <c r="G1217" s="25" t="n"/>
      <c r="H1217" s="24">
        <f>IF(AND($F1217="TEMP",$G1217&gt;0,$M1217&lt;&gt;""),$M1217+$G1217,"")</f>
        <v/>
      </c>
      <c r="I1217" s="22" t="n"/>
      <c r="J1217" s="22" t="n"/>
      <c r="K1217" s="24" t="n"/>
      <c r="W1217">
        <f>IF($A2="","",COUNTIF('07_Pallet_Contents'!$A$2:$A$3000,$A2))</f>
        <v/>
      </c>
      <c r="X1217">
        <f>IF($A2="","",SUMIF('07_Pallet_Contents'!$A$2:$A$3000,$A2,'07_Pallet_Contents'!$D$2:$D$3000))</f>
        <v/>
      </c>
      <c r="Y1217">
        <f>IF($A2="","",SUMIF('07_Pallet_Contents'!$A$2:$A$3000,$A2,'07_Pallet_Contents'!$I$2:$I$3000))</f>
        <v/>
      </c>
      <c r="Z1217">
        <f>IF($A2="","",IF(COUNTIF('07_Pallet_Contents'!$A$2:$A$3000,$A2)&gt;0,"Yes",""))</f>
        <v/>
      </c>
    </row>
    <row r="1218">
      <c r="B1218" s="22" t="n"/>
      <c r="G1218" s="25" t="n"/>
      <c r="H1218" s="24">
        <f>IF(AND($F1218="TEMP",$G1218&gt;0,$M1218&lt;&gt;""),$M1218+$G1218,"")</f>
        <v/>
      </c>
      <c r="I1218" s="22" t="n"/>
      <c r="J1218" s="22" t="n"/>
      <c r="K1218" s="24" t="n"/>
      <c r="W1218">
        <f>IF($A2="","",COUNTIF('07_Pallet_Contents'!$A$2:$A$3000,$A2))</f>
        <v/>
      </c>
      <c r="X1218">
        <f>IF($A2="","",SUMIF('07_Pallet_Contents'!$A$2:$A$3000,$A2,'07_Pallet_Contents'!$D$2:$D$3000))</f>
        <v/>
      </c>
      <c r="Y1218">
        <f>IF($A2="","",SUMIF('07_Pallet_Contents'!$A$2:$A$3000,$A2,'07_Pallet_Contents'!$I$2:$I$3000))</f>
        <v/>
      </c>
      <c r="Z1218">
        <f>IF($A2="","",IF(COUNTIF('07_Pallet_Contents'!$A$2:$A$3000,$A2)&gt;0,"Yes",""))</f>
        <v/>
      </c>
    </row>
    <row r="1219">
      <c r="B1219" s="22" t="n"/>
      <c r="G1219" s="25" t="n"/>
      <c r="H1219" s="24">
        <f>IF(AND($F1219="TEMP",$G1219&gt;0,$M1219&lt;&gt;""),$M1219+$G1219,"")</f>
        <v/>
      </c>
      <c r="I1219" s="22" t="n"/>
      <c r="J1219" s="22" t="n"/>
      <c r="K1219" s="24" t="n"/>
      <c r="W1219">
        <f>IF($A2="","",COUNTIF('07_Pallet_Contents'!$A$2:$A$3000,$A2))</f>
        <v/>
      </c>
      <c r="X1219">
        <f>IF($A2="","",SUMIF('07_Pallet_Contents'!$A$2:$A$3000,$A2,'07_Pallet_Contents'!$D$2:$D$3000))</f>
        <v/>
      </c>
      <c r="Y1219">
        <f>IF($A2="","",SUMIF('07_Pallet_Contents'!$A$2:$A$3000,$A2,'07_Pallet_Contents'!$I$2:$I$3000))</f>
        <v/>
      </c>
      <c r="Z1219">
        <f>IF($A2="","",IF(COUNTIF('07_Pallet_Contents'!$A$2:$A$3000,$A2)&gt;0,"Yes",""))</f>
        <v/>
      </c>
    </row>
    <row r="1220">
      <c r="B1220" s="22" t="n"/>
      <c r="G1220" s="25" t="n"/>
      <c r="H1220" s="24">
        <f>IF(AND($F1220="TEMP",$G1220&gt;0,$M1220&lt;&gt;""),$M1220+$G1220,"")</f>
        <v/>
      </c>
      <c r="I1220" s="22" t="n"/>
      <c r="J1220" s="22" t="n"/>
      <c r="K1220" s="24" t="n"/>
      <c r="W1220">
        <f>IF($A2="","",COUNTIF('07_Pallet_Contents'!$A$2:$A$3000,$A2))</f>
        <v/>
      </c>
      <c r="X1220">
        <f>IF($A2="","",SUMIF('07_Pallet_Contents'!$A$2:$A$3000,$A2,'07_Pallet_Contents'!$D$2:$D$3000))</f>
        <v/>
      </c>
      <c r="Y1220">
        <f>IF($A2="","",SUMIF('07_Pallet_Contents'!$A$2:$A$3000,$A2,'07_Pallet_Contents'!$I$2:$I$3000))</f>
        <v/>
      </c>
      <c r="Z1220">
        <f>IF($A2="","",IF(COUNTIF('07_Pallet_Contents'!$A$2:$A$3000,$A2)&gt;0,"Yes",""))</f>
        <v/>
      </c>
    </row>
    <row r="1221">
      <c r="B1221" s="22" t="n"/>
      <c r="G1221" s="25" t="n"/>
      <c r="H1221" s="24">
        <f>IF(AND($F1221="TEMP",$G1221&gt;0,$M1221&lt;&gt;""),$M1221+$G1221,"")</f>
        <v/>
      </c>
      <c r="I1221" s="22" t="n"/>
      <c r="J1221" s="22" t="n"/>
      <c r="K1221" s="24" t="n"/>
      <c r="W1221">
        <f>IF($A2="","",COUNTIF('07_Pallet_Contents'!$A$2:$A$3000,$A2))</f>
        <v/>
      </c>
      <c r="X1221">
        <f>IF($A2="","",SUMIF('07_Pallet_Contents'!$A$2:$A$3000,$A2,'07_Pallet_Contents'!$D$2:$D$3000))</f>
        <v/>
      </c>
      <c r="Y1221">
        <f>IF($A2="","",SUMIF('07_Pallet_Contents'!$A$2:$A$3000,$A2,'07_Pallet_Contents'!$I$2:$I$3000))</f>
        <v/>
      </c>
      <c r="Z1221">
        <f>IF($A2="","",IF(COUNTIF('07_Pallet_Contents'!$A$2:$A$3000,$A2)&gt;0,"Yes",""))</f>
        <v/>
      </c>
    </row>
    <row r="1222">
      <c r="B1222" s="22" t="n"/>
      <c r="G1222" s="25" t="n"/>
      <c r="H1222" s="24">
        <f>IF(AND($F1222="TEMP",$G1222&gt;0,$M1222&lt;&gt;""),$M1222+$G1222,"")</f>
        <v/>
      </c>
      <c r="I1222" s="22" t="n"/>
      <c r="J1222" s="22" t="n"/>
      <c r="K1222" s="24" t="n"/>
      <c r="W1222">
        <f>IF($A2="","",COUNTIF('07_Pallet_Contents'!$A$2:$A$3000,$A2))</f>
        <v/>
      </c>
      <c r="X1222">
        <f>IF($A2="","",SUMIF('07_Pallet_Contents'!$A$2:$A$3000,$A2,'07_Pallet_Contents'!$D$2:$D$3000))</f>
        <v/>
      </c>
      <c r="Y1222">
        <f>IF($A2="","",SUMIF('07_Pallet_Contents'!$A$2:$A$3000,$A2,'07_Pallet_Contents'!$I$2:$I$3000))</f>
        <v/>
      </c>
      <c r="Z1222">
        <f>IF($A2="","",IF(COUNTIF('07_Pallet_Contents'!$A$2:$A$3000,$A2)&gt;0,"Yes",""))</f>
        <v/>
      </c>
    </row>
    <row r="1223">
      <c r="B1223" s="22" t="n"/>
      <c r="G1223" s="25" t="n"/>
      <c r="H1223" s="24">
        <f>IF(AND($F1223="TEMP",$G1223&gt;0,$M1223&lt;&gt;""),$M1223+$G1223,"")</f>
        <v/>
      </c>
      <c r="I1223" s="22" t="n"/>
      <c r="J1223" s="22" t="n"/>
      <c r="K1223" s="24" t="n"/>
      <c r="W1223">
        <f>IF($A2="","",COUNTIF('07_Pallet_Contents'!$A$2:$A$3000,$A2))</f>
        <v/>
      </c>
      <c r="X1223">
        <f>IF($A2="","",SUMIF('07_Pallet_Contents'!$A$2:$A$3000,$A2,'07_Pallet_Contents'!$D$2:$D$3000))</f>
        <v/>
      </c>
      <c r="Y1223">
        <f>IF($A2="","",SUMIF('07_Pallet_Contents'!$A$2:$A$3000,$A2,'07_Pallet_Contents'!$I$2:$I$3000))</f>
        <v/>
      </c>
      <c r="Z1223">
        <f>IF($A2="","",IF(COUNTIF('07_Pallet_Contents'!$A$2:$A$3000,$A2)&gt;0,"Yes",""))</f>
        <v/>
      </c>
    </row>
    <row r="1224">
      <c r="B1224" s="22" t="n"/>
      <c r="G1224" s="25" t="n"/>
      <c r="H1224" s="24">
        <f>IF(AND($F1224="TEMP",$G1224&gt;0,$M1224&lt;&gt;""),$M1224+$G1224,"")</f>
        <v/>
      </c>
      <c r="I1224" s="22" t="n"/>
      <c r="J1224" s="22" t="n"/>
      <c r="K1224" s="24" t="n"/>
      <c r="W1224">
        <f>IF($A2="","",COUNTIF('07_Pallet_Contents'!$A$2:$A$3000,$A2))</f>
        <v/>
      </c>
      <c r="X1224">
        <f>IF($A2="","",SUMIF('07_Pallet_Contents'!$A$2:$A$3000,$A2,'07_Pallet_Contents'!$D$2:$D$3000))</f>
        <v/>
      </c>
      <c r="Y1224">
        <f>IF($A2="","",SUMIF('07_Pallet_Contents'!$A$2:$A$3000,$A2,'07_Pallet_Contents'!$I$2:$I$3000))</f>
        <v/>
      </c>
      <c r="Z1224">
        <f>IF($A2="","",IF(COUNTIF('07_Pallet_Contents'!$A$2:$A$3000,$A2)&gt;0,"Yes",""))</f>
        <v/>
      </c>
    </row>
    <row r="1225">
      <c r="B1225" s="22" t="n"/>
      <c r="G1225" s="25" t="n"/>
      <c r="H1225" s="24">
        <f>IF(AND($F1225="TEMP",$G1225&gt;0,$M1225&lt;&gt;""),$M1225+$G1225,"")</f>
        <v/>
      </c>
      <c r="I1225" s="22" t="n"/>
      <c r="J1225" s="22" t="n"/>
      <c r="K1225" s="24" t="n"/>
      <c r="W1225">
        <f>IF($A2="","",COUNTIF('07_Pallet_Contents'!$A$2:$A$3000,$A2))</f>
        <v/>
      </c>
      <c r="X1225">
        <f>IF($A2="","",SUMIF('07_Pallet_Contents'!$A$2:$A$3000,$A2,'07_Pallet_Contents'!$D$2:$D$3000))</f>
        <v/>
      </c>
      <c r="Y1225">
        <f>IF($A2="","",SUMIF('07_Pallet_Contents'!$A$2:$A$3000,$A2,'07_Pallet_Contents'!$I$2:$I$3000))</f>
        <v/>
      </c>
      <c r="Z1225">
        <f>IF($A2="","",IF(COUNTIF('07_Pallet_Contents'!$A$2:$A$3000,$A2)&gt;0,"Yes",""))</f>
        <v/>
      </c>
    </row>
    <row r="1226">
      <c r="B1226" s="22" t="n"/>
      <c r="G1226" s="25" t="n"/>
      <c r="H1226" s="24">
        <f>IF(AND($F1226="TEMP",$G1226&gt;0,$M1226&lt;&gt;""),$M1226+$G1226,"")</f>
        <v/>
      </c>
      <c r="I1226" s="22" t="n"/>
      <c r="J1226" s="22" t="n"/>
      <c r="K1226" s="24" t="n"/>
      <c r="W1226">
        <f>IF($A2="","",COUNTIF('07_Pallet_Contents'!$A$2:$A$3000,$A2))</f>
        <v/>
      </c>
      <c r="X1226">
        <f>IF($A2="","",SUMIF('07_Pallet_Contents'!$A$2:$A$3000,$A2,'07_Pallet_Contents'!$D$2:$D$3000))</f>
        <v/>
      </c>
      <c r="Y1226">
        <f>IF($A2="","",SUMIF('07_Pallet_Contents'!$A$2:$A$3000,$A2,'07_Pallet_Contents'!$I$2:$I$3000))</f>
        <v/>
      </c>
      <c r="Z1226">
        <f>IF($A2="","",IF(COUNTIF('07_Pallet_Contents'!$A$2:$A$3000,$A2)&gt;0,"Yes",""))</f>
        <v/>
      </c>
    </row>
    <row r="1227">
      <c r="B1227" s="22" t="n"/>
      <c r="G1227" s="25" t="n"/>
      <c r="H1227" s="24">
        <f>IF(AND($F1227="TEMP",$G1227&gt;0,$M1227&lt;&gt;""),$M1227+$G1227,"")</f>
        <v/>
      </c>
      <c r="I1227" s="22" t="n"/>
      <c r="J1227" s="22" t="n"/>
      <c r="K1227" s="24" t="n"/>
      <c r="W1227">
        <f>IF($A2="","",COUNTIF('07_Pallet_Contents'!$A$2:$A$3000,$A2))</f>
        <v/>
      </c>
      <c r="X1227">
        <f>IF($A2="","",SUMIF('07_Pallet_Contents'!$A$2:$A$3000,$A2,'07_Pallet_Contents'!$D$2:$D$3000))</f>
        <v/>
      </c>
      <c r="Y1227">
        <f>IF($A2="","",SUMIF('07_Pallet_Contents'!$A$2:$A$3000,$A2,'07_Pallet_Contents'!$I$2:$I$3000))</f>
        <v/>
      </c>
      <c r="Z1227">
        <f>IF($A2="","",IF(COUNTIF('07_Pallet_Contents'!$A$2:$A$3000,$A2)&gt;0,"Yes",""))</f>
        <v/>
      </c>
    </row>
    <row r="1228">
      <c r="B1228" s="22" t="n"/>
      <c r="G1228" s="25" t="n"/>
      <c r="H1228" s="24">
        <f>IF(AND($F1228="TEMP",$G1228&gt;0,$M1228&lt;&gt;""),$M1228+$G1228,"")</f>
        <v/>
      </c>
      <c r="I1228" s="22" t="n"/>
      <c r="J1228" s="22" t="n"/>
      <c r="K1228" s="24" t="n"/>
      <c r="W1228">
        <f>IF($A2="","",COUNTIF('07_Pallet_Contents'!$A$2:$A$3000,$A2))</f>
        <v/>
      </c>
      <c r="X1228">
        <f>IF($A2="","",SUMIF('07_Pallet_Contents'!$A$2:$A$3000,$A2,'07_Pallet_Contents'!$D$2:$D$3000))</f>
        <v/>
      </c>
      <c r="Y1228">
        <f>IF($A2="","",SUMIF('07_Pallet_Contents'!$A$2:$A$3000,$A2,'07_Pallet_Contents'!$I$2:$I$3000))</f>
        <v/>
      </c>
      <c r="Z1228">
        <f>IF($A2="","",IF(COUNTIF('07_Pallet_Contents'!$A$2:$A$3000,$A2)&gt;0,"Yes",""))</f>
        <v/>
      </c>
    </row>
    <row r="1229">
      <c r="B1229" s="22" t="n"/>
      <c r="G1229" s="25" t="n"/>
      <c r="H1229" s="24">
        <f>IF(AND($F1229="TEMP",$G1229&gt;0,$M1229&lt;&gt;""),$M1229+$G1229,"")</f>
        <v/>
      </c>
      <c r="I1229" s="22" t="n"/>
      <c r="J1229" s="22" t="n"/>
      <c r="K1229" s="24" t="n"/>
      <c r="W1229">
        <f>IF($A2="","",COUNTIF('07_Pallet_Contents'!$A$2:$A$3000,$A2))</f>
        <v/>
      </c>
      <c r="X1229">
        <f>IF($A2="","",SUMIF('07_Pallet_Contents'!$A$2:$A$3000,$A2,'07_Pallet_Contents'!$D$2:$D$3000))</f>
        <v/>
      </c>
      <c r="Y1229">
        <f>IF($A2="","",SUMIF('07_Pallet_Contents'!$A$2:$A$3000,$A2,'07_Pallet_Contents'!$I$2:$I$3000))</f>
        <v/>
      </c>
      <c r="Z1229">
        <f>IF($A2="","",IF(COUNTIF('07_Pallet_Contents'!$A$2:$A$3000,$A2)&gt;0,"Yes",""))</f>
        <v/>
      </c>
    </row>
    <row r="1230">
      <c r="B1230" s="22" t="n"/>
      <c r="G1230" s="25" t="n"/>
      <c r="H1230" s="24">
        <f>IF(AND($F1230="TEMP",$G1230&gt;0,$M1230&lt;&gt;""),$M1230+$G1230,"")</f>
        <v/>
      </c>
      <c r="I1230" s="22" t="n"/>
      <c r="J1230" s="22" t="n"/>
      <c r="K1230" s="24" t="n"/>
      <c r="W1230">
        <f>IF($A2="","",COUNTIF('07_Pallet_Contents'!$A$2:$A$3000,$A2))</f>
        <v/>
      </c>
      <c r="X1230">
        <f>IF($A2="","",SUMIF('07_Pallet_Contents'!$A$2:$A$3000,$A2,'07_Pallet_Contents'!$D$2:$D$3000))</f>
        <v/>
      </c>
      <c r="Y1230">
        <f>IF($A2="","",SUMIF('07_Pallet_Contents'!$A$2:$A$3000,$A2,'07_Pallet_Contents'!$I$2:$I$3000))</f>
        <v/>
      </c>
      <c r="Z1230">
        <f>IF($A2="","",IF(COUNTIF('07_Pallet_Contents'!$A$2:$A$3000,$A2)&gt;0,"Yes",""))</f>
        <v/>
      </c>
    </row>
    <row r="1231">
      <c r="B1231" s="22" t="n"/>
      <c r="G1231" s="25" t="n"/>
      <c r="H1231" s="24">
        <f>IF(AND($F1231="TEMP",$G1231&gt;0,$M1231&lt;&gt;""),$M1231+$G1231,"")</f>
        <v/>
      </c>
      <c r="I1231" s="22" t="n"/>
      <c r="J1231" s="22" t="n"/>
      <c r="K1231" s="24" t="n"/>
      <c r="W1231">
        <f>IF($A2="","",COUNTIF('07_Pallet_Contents'!$A$2:$A$3000,$A2))</f>
        <v/>
      </c>
      <c r="X1231">
        <f>IF($A2="","",SUMIF('07_Pallet_Contents'!$A$2:$A$3000,$A2,'07_Pallet_Contents'!$D$2:$D$3000))</f>
        <v/>
      </c>
      <c r="Y1231">
        <f>IF($A2="","",SUMIF('07_Pallet_Contents'!$A$2:$A$3000,$A2,'07_Pallet_Contents'!$I$2:$I$3000))</f>
        <v/>
      </c>
      <c r="Z1231">
        <f>IF($A2="","",IF(COUNTIF('07_Pallet_Contents'!$A$2:$A$3000,$A2)&gt;0,"Yes",""))</f>
        <v/>
      </c>
    </row>
    <row r="1232">
      <c r="B1232" s="22" t="n"/>
      <c r="G1232" s="25" t="n"/>
      <c r="H1232" s="24">
        <f>IF(AND($F1232="TEMP",$G1232&gt;0,$M1232&lt;&gt;""),$M1232+$G1232,"")</f>
        <v/>
      </c>
      <c r="I1232" s="22" t="n"/>
      <c r="J1232" s="22" t="n"/>
      <c r="K1232" s="24" t="n"/>
      <c r="W1232">
        <f>IF($A2="","",COUNTIF('07_Pallet_Contents'!$A$2:$A$3000,$A2))</f>
        <v/>
      </c>
      <c r="X1232">
        <f>IF($A2="","",SUMIF('07_Pallet_Contents'!$A$2:$A$3000,$A2,'07_Pallet_Contents'!$D$2:$D$3000))</f>
        <v/>
      </c>
      <c r="Y1232">
        <f>IF($A2="","",SUMIF('07_Pallet_Contents'!$A$2:$A$3000,$A2,'07_Pallet_Contents'!$I$2:$I$3000))</f>
        <v/>
      </c>
      <c r="Z1232">
        <f>IF($A2="","",IF(COUNTIF('07_Pallet_Contents'!$A$2:$A$3000,$A2)&gt;0,"Yes",""))</f>
        <v/>
      </c>
    </row>
    <row r="1233">
      <c r="B1233" s="22" t="n"/>
      <c r="G1233" s="25" t="n"/>
      <c r="H1233" s="24">
        <f>IF(AND($F1233="TEMP",$G1233&gt;0,$M1233&lt;&gt;""),$M1233+$G1233,"")</f>
        <v/>
      </c>
      <c r="I1233" s="22" t="n"/>
      <c r="J1233" s="22" t="n"/>
      <c r="K1233" s="24" t="n"/>
      <c r="W1233">
        <f>IF($A2="","",COUNTIF('07_Pallet_Contents'!$A$2:$A$3000,$A2))</f>
        <v/>
      </c>
      <c r="X1233">
        <f>IF($A2="","",SUMIF('07_Pallet_Contents'!$A$2:$A$3000,$A2,'07_Pallet_Contents'!$D$2:$D$3000))</f>
        <v/>
      </c>
      <c r="Y1233">
        <f>IF($A2="","",SUMIF('07_Pallet_Contents'!$A$2:$A$3000,$A2,'07_Pallet_Contents'!$I$2:$I$3000))</f>
        <v/>
      </c>
      <c r="Z1233">
        <f>IF($A2="","",IF(COUNTIF('07_Pallet_Contents'!$A$2:$A$3000,$A2)&gt;0,"Yes",""))</f>
        <v/>
      </c>
    </row>
    <row r="1234">
      <c r="B1234" s="22" t="n"/>
      <c r="G1234" s="25" t="n"/>
      <c r="H1234" s="24">
        <f>IF(AND($F1234="TEMP",$G1234&gt;0,$M1234&lt;&gt;""),$M1234+$G1234,"")</f>
        <v/>
      </c>
      <c r="I1234" s="22" t="n"/>
      <c r="J1234" s="22" t="n"/>
      <c r="K1234" s="24" t="n"/>
      <c r="W1234">
        <f>IF($A2="","",COUNTIF('07_Pallet_Contents'!$A$2:$A$3000,$A2))</f>
        <v/>
      </c>
      <c r="X1234">
        <f>IF($A2="","",SUMIF('07_Pallet_Contents'!$A$2:$A$3000,$A2,'07_Pallet_Contents'!$D$2:$D$3000))</f>
        <v/>
      </c>
      <c r="Y1234">
        <f>IF($A2="","",SUMIF('07_Pallet_Contents'!$A$2:$A$3000,$A2,'07_Pallet_Contents'!$I$2:$I$3000))</f>
        <v/>
      </c>
      <c r="Z1234">
        <f>IF($A2="","",IF(COUNTIF('07_Pallet_Contents'!$A$2:$A$3000,$A2)&gt;0,"Yes",""))</f>
        <v/>
      </c>
    </row>
    <row r="1235">
      <c r="B1235" s="22" t="n"/>
      <c r="G1235" s="25" t="n"/>
      <c r="H1235" s="24">
        <f>IF(AND($F1235="TEMP",$G1235&gt;0,$M1235&lt;&gt;""),$M1235+$G1235,"")</f>
        <v/>
      </c>
      <c r="I1235" s="22" t="n"/>
      <c r="J1235" s="22" t="n"/>
      <c r="K1235" s="24" t="n"/>
      <c r="W1235">
        <f>IF($A2="","",COUNTIF('07_Pallet_Contents'!$A$2:$A$3000,$A2))</f>
        <v/>
      </c>
      <c r="X1235">
        <f>IF($A2="","",SUMIF('07_Pallet_Contents'!$A$2:$A$3000,$A2,'07_Pallet_Contents'!$D$2:$D$3000))</f>
        <v/>
      </c>
      <c r="Y1235">
        <f>IF($A2="","",SUMIF('07_Pallet_Contents'!$A$2:$A$3000,$A2,'07_Pallet_Contents'!$I$2:$I$3000))</f>
        <v/>
      </c>
      <c r="Z1235">
        <f>IF($A2="","",IF(COUNTIF('07_Pallet_Contents'!$A$2:$A$3000,$A2)&gt;0,"Yes",""))</f>
        <v/>
      </c>
    </row>
    <row r="1236">
      <c r="B1236" s="22" t="n"/>
      <c r="G1236" s="25" t="n"/>
      <c r="H1236" s="24">
        <f>IF(AND($F1236="TEMP",$G1236&gt;0,$M1236&lt;&gt;""),$M1236+$G1236,"")</f>
        <v/>
      </c>
      <c r="I1236" s="22" t="n"/>
      <c r="J1236" s="22" t="n"/>
      <c r="K1236" s="24" t="n"/>
      <c r="W1236">
        <f>IF($A2="","",COUNTIF('07_Pallet_Contents'!$A$2:$A$3000,$A2))</f>
        <v/>
      </c>
      <c r="X1236">
        <f>IF($A2="","",SUMIF('07_Pallet_Contents'!$A$2:$A$3000,$A2,'07_Pallet_Contents'!$D$2:$D$3000))</f>
        <v/>
      </c>
      <c r="Y1236">
        <f>IF($A2="","",SUMIF('07_Pallet_Contents'!$A$2:$A$3000,$A2,'07_Pallet_Contents'!$I$2:$I$3000))</f>
        <v/>
      </c>
      <c r="Z1236">
        <f>IF($A2="","",IF(COUNTIF('07_Pallet_Contents'!$A$2:$A$3000,$A2)&gt;0,"Yes",""))</f>
        <v/>
      </c>
    </row>
    <row r="1237">
      <c r="B1237" s="22" t="n"/>
      <c r="G1237" s="25" t="n"/>
      <c r="H1237" s="24">
        <f>IF(AND($F1237="TEMP",$G1237&gt;0,$M1237&lt;&gt;""),$M1237+$G1237,"")</f>
        <v/>
      </c>
      <c r="I1237" s="22" t="n"/>
      <c r="J1237" s="22" t="n"/>
      <c r="K1237" s="24" t="n"/>
      <c r="W1237">
        <f>IF($A2="","",COUNTIF('07_Pallet_Contents'!$A$2:$A$3000,$A2))</f>
        <v/>
      </c>
      <c r="X1237">
        <f>IF($A2="","",SUMIF('07_Pallet_Contents'!$A$2:$A$3000,$A2,'07_Pallet_Contents'!$D$2:$D$3000))</f>
        <v/>
      </c>
      <c r="Y1237">
        <f>IF($A2="","",SUMIF('07_Pallet_Contents'!$A$2:$A$3000,$A2,'07_Pallet_Contents'!$I$2:$I$3000))</f>
        <v/>
      </c>
      <c r="Z1237">
        <f>IF($A2="","",IF(COUNTIF('07_Pallet_Contents'!$A$2:$A$3000,$A2)&gt;0,"Yes",""))</f>
        <v/>
      </c>
    </row>
    <row r="1238">
      <c r="B1238" s="22" t="n"/>
      <c r="G1238" s="25" t="n"/>
      <c r="H1238" s="24">
        <f>IF(AND($F1238="TEMP",$G1238&gt;0,$M1238&lt;&gt;""),$M1238+$G1238,"")</f>
        <v/>
      </c>
      <c r="I1238" s="22" t="n"/>
      <c r="J1238" s="22" t="n"/>
      <c r="K1238" s="24" t="n"/>
      <c r="W1238">
        <f>IF($A2="","",COUNTIF('07_Pallet_Contents'!$A$2:$A$3000,$A2))</f>
        <v/>
      </c>
      <c r="X1238">
        <f>IF($A2="","",SUMIF('07_Pallet_Contents'!$A$2:$A$3000,$A2,'07_Pallet_Contents'!$D$2:$D$3000))</f>
        <v/>
      </c>
      <c r="Y1238">
        <f>IF($A2="","",SUMIF('07_Pallet_Contents'!$A$2:$A$3000,$A2,'07_Pallet_Contents'!$I$2:$I$3000))</f>
        <v/>
      </c>
      <c r="Z1238">
        <f>IF($A2="","",IF(COUNTIF('07_Pallet_Contents'!$A$2:$A$3000,$A2)&gt;0,"Yes",""))</f>
        <v/>
      </c>
    </row>
    <row r="1239">
      <c r="B1239" s="22" t="n"/>
      <c r="G1239" s="25" t="n"/>
      <c r="H1239" s="24">
        <f>IF(AND($F1239="TEMP",$G1239&gt;0,$M1239&lt;&gt;""),$M1239+$G1239,"")</f>
        <v/>
      </c>
      <c r="I1239" s="22" t="n"/>
      <c r="J1239" s="22" t="n"/>
      <c r="K1239" s="24" t="n"/>
      <c r="W1239">
        <f>IF($A2="","",COUNTIF('07_Pallet_Contents'!$A$2:$A$3000,$A2))</f>
        <v/>
      </c>
      <c r="X1239">
        <f>IF($A2="","",SUMIF('07_Pallet_Contents'!$A$2:$A$3000,$A2,'07_Pallet_Contents'!$D$2:$D$3000))</f>
        <v/>
      </c>
      <c r="Y1239">
        <f>IF($A2="","",SUMIF('07_Pallet_Contents'!$A$2:$A$3000,$A2,'07_Pallet_Contents'!$I$2:$I$3000))</f>
        <v/>
      </c>
      <c r="Z1239">
        <f>IF($A2="","",IF(COUNTIF('07_Pallet_Contents'!$A$2:$A$3000,$A2)&gt;0,"Yes",""))</f>
        <v/>
      </c>
    </row>
    <row r="1240">
      <c r="B1240" s="22" t="n"/>
      <c r="G1240" s="25" t="n"/>
      <c r="H1240" s="24">
        <f>IF(AND($F1240="TEMP",$G1240&gt;0,$M1240&lt;&gt;""),$M1240+$G1240,"")</f>
        <v/>
      </c>
      <c r="I1240" s="22" t="n"/>
      <c r="J1240" s="22" t="n"/>
      <c r="K1240" s="24" t="n"/>
      <c r="W1240">
        <f>IF($A2="","",COUNTIF('07_Pallet_Contents'!$A$2:$A$3000,$A2))</f>
        <v/>
      </c>
      <c r="X1240">
        <f>IF($A2="","",SUMIF('07_Pallet_Contents'!$A$2:$A$3000,$A2,'07_Pallet_Contents'!$D$2:$D$3000))</f>
        <v/>
      </c>
      <c r="Y1240">
        <f>IF($A2="","",SUMIF('07_Pallet_Contents'!$A$2:$A$3000,$A2,'07_Pallet_Contents'!$I$2:$I$3000))</f>
        <v/>
      </c>
      <c r="Z1240">
        <f>IF($A2="","",IF(COUNTIF('07_Pallet_Contents'!$A$2:$A$3000,$A2)&gt;0,"Yes",""))</f>
        <v/>
      </c>
    </row>
    <row r="1241">
      <c r="B1241" s="22" t="n"/>
      <c r="G1241" s="25" t="n"/>
      <c r="H1241" s="24">
        <f>IF(AND($F1241="TEMP",$G1241&gt;0,$M1241&lt;&gt;""),$M1241+$G1241,"")</f>
        <v/>
      </c>
      <c r="I1241" s="22" t="n"/>
      <c r="J1241" s="22" t="n"/>
      <c r="K1241" s="24" t="n"/>
      <c r="W1241">
        <f>IF($A2="","",COUNTIF('07_Pallet_Contents'!$A$2:$A$3000,$A2))</f>
        <v/>
      </c>
      <c r="X1241">
        <f>IF($A2="","",SUMIF('07_Pallet_Contents'!$A$2:$A$3000,$A2,'07_Pallet_Contents'!$D$2:$D$3000))</f>
        <v/>
      </c>
      <c r="Y1241">
        <f>IF($A2="","",SUMIF('07_Pallet_Contents'!$A$2:$A$3000,$A2,'07_Pallet_Contents'!$I$2:$I$3000))</f>
        <v/>
      </c>
      <c r="Z1241">
        <f>IF($A2="","",IF(COUNTIF('07_Pallet_Contents'!$A$2:$A$3000,$A2)&gt;0,"Yes",""))</f>
        <v/>
      </c>
    </row>
    <row r="1242">
      <c r="B1242" s="22" t="n"/>
      <c r="G1242" s="25" t="n"/>
      <c r="H1242" s="24">
        <f>IF(AND($F1242="TEMP",$G1242&gt;0,$M1242&lt;&gt;""),$M1242+$G1242,"")</f>
        <v/>
      </c>
      <c r="I1242" s="22" t="n"/>
      <c r="J1242" s="22" t="n"/>
      <c r="K1242" s="24" t="n"/>
      <c r="W1242">
        <f>IF($A2="","",COUNTIF('07_Pallet_Contents'!$A$2:$A$3000,$A2))</f>
        <v/>
      </c>
      <c r="X1242">
        <f>IF($A2="","",SUMIF('07_Pallet_Contents'!$A$2:$A$3000,$A2,'07_Pallet_Contents'!$D$2:$D$3000))</f>
        <v/>
      </c>
      <c r="Y1242">
        <f>IF($A2="","",SUMIF('07_Pallet_Contents'!$A$2:$A$3000,$A2,'07_Pallet_Contents'!$I$2:$I$3000))</f>
        <v/>
      </c>
      <c r="Z1242">
        <f>IF($A2="","",IF(COUNTIF('07_Pallet_Contents'!$A$2:$A$3000,$A2)&gt;0,"Yes",""))</f>
        <v/>
      </c>
    </row>
    <row r="1243">
      <c r="B1243" s="22" t="n"/>
      <c r="G1243" s="25" t="n"/>
      <c r="H1243" s="24">
        <f>IF(AND($F1243="TEMP",$G1243&gt;0,$M1243&lt;&gt;""),$M1243+$G1243,"")</f>
        <v/>
      </c>
      <c r="I1243" s="22" t="n"/>
      <c r="J1243" s="22" t="n"/>
      <c r="K1243" s="24" t="n"/>
      <c r="W1243">
        <f>IF($A2="","",COUNTIF('07_Pallet_Contents'!$A$2:$A$3000,$A2))</f>
        <v/>
      </c>
      <c r="X1243">
        <f>IF($A2="","",SUMIF('07_Pallet_Contents'!$A$2:$A$3000,$A2,'07_Pallet_Contents'!$D$2:$D$3000))</f>
        <v/>
      </c>
      <c r="Y1243">
        <f>IF($A2="","",SUMIF('07_Pallet_Contents'!$A$2:$A$3000,$A2,'07_Pallet_Contents'!$I$2:$I$3000))</f>
        <v/>
      </c>
      <c r="Z1243">
        <f>IF($A2="","",IF(COUNTIF('07_Pallet_Contents'!$A$2:$A$3000,$A2)&gt;0,"Yes",""))</f>
        <v/>
      </c>
    </row>
    <row r="1244">
      <c r="B1244" s="22" t="n"/>
      <c r="G1244" s="25" t="n"/>
      <c r="H1244" s="24">
        <f>IF(AND($F1244="TEMP",$G1244&gt;0,$M1244&lt;&gt;""),$M1244+$G1244,"")</f>
        <v/>
      </c>
      <c r="I1244" s="22" t="n"/>
      <c r="J1244" s="22" t="n"/>
      <c r="K1244" s="24" t="n"/>
      <c r="W1244">
        <f>IF($A2="","",COUNTIF('07_Pallet_Contents'!$A$2:$A$3000,$A2))</f>
        <v/>
      </c>
      <c r="X1244">
        <f>IF($A2="","",SUMIF('07_Pallet_Contents'!$A$2:$A$3000,$A2,'07_Pallet_Contents'!$D$2:$D$3000))</f>
        <v/>
      </c>
      <c r="Y1244">
        <f>IF($A2="","",SUMIF('07_Pallet_Contents'!$A$2:$A$3000,$A2,'07_Pallet_Contents'!$I$2:$I$3000))</f>
        <v/>
      </c>
      <c r="Z1244">
        <f>IF($A2="","",IF(COUNTIF('07_Pallet_Contents'!$A$2:$A$3000,$A2)&gt;0,"Yes",""))</f>
        <v/>
      </c>
    </row>
    <row r="1245">
      <c r="B1245" s="22" t="n"/>
      <c r="G1245" s="25" t="n"/>
      <c r="H1245" s="24">
        <f>IF(AND($F1245="TEMP",$G1245&gt;0,$M1245&lt;&gt;""),$M1245+$G1245,"")</f>
        <v/>
      </c>
      <c r="I1245" s="22" t="n"/>
      <c r="J1245" s="22" t="n"/>
      <c r="K1245" s="24" t="n"/>
      <c r="W1245">
        <f>IF($A2="","",COUNTIF('07_Pallet_Contents'!$A$2:$A$3000,$A2))</f>
        <v/>
      </c>
      <c r="X1245">
        <f>IF($A2="","",SUMIF('07_Pallet_Contents'!$A$2:$A$3000,$A2,'07_Pallet_Contents'!$D$2:$D$3000))</f>
        <v/>
      </c>
      <c r="Y1245">
        <f>IF($A2="","",SUMIF('07_Pallet_Contents'!$A$2:$A$3000,$A2,'07_Pallet_Contents'!$I$2:$I$3000))</f>
        <v/>
      </c>
      <c r="Z1245">
        <f>IF($A2="","",IF(COUNTIF('07_Pallet_Contents'!$A$2:$A$3000,$A2)&gt;0,"Yes",""))</f>
        <v/>
      </c>
    </row>
    <row r="1246">
      <c r="B1246" s="22" t="n"/>
      <c r="G1246" s="25" t="n"/>
      <c r="H1246" s="24">
        <f>IF(AND($F1246="TEMP",$G1246&gt;0,$M1246&lt;&gt;""),$M1246+$G1246,"")</f>
        <v/>
      </c>
      <c r="I1246" s="22" t="n"/>
      <c r="J1246" s="22" t="n"/>
      <c r="K1246" s="24" t="n"/>
      <c r="W1246">
        <f>IF($A2="","",COUNTIF('07_Pallet_Contents'!$A$2:$A$3000,$A2))</f>
        <v/>
      </c>
      <c r="X1246">
        <f>IF($A2="","",SUMIF('07_Pallet_Contents'!$A$2:$A$3000,$A2,'07_Pallet_Contents'!$D$2:$D$3000))</f>
        <v/>
      </c>
      <c r="Y1246">
        <f>IF($A2="","",SUMIF('07_Pallet_Contents'!$A$2:$A$3000,$A2,'07_Pallet_Contents'!$I$2:$I$3000))</f>
        <v/>
      </c>
      <c r="Z1246">
        <f>IF($A2="","",IF(COUNTIF('07_Pallet_Contents'!$A$2:$A$3000,$A2)&gt;0,"Yes",""))</f>
        <v/>
      </c>
    </row>
    <row r="1247">
      <c r="B1247" s="22" t="n"/>
      <c r="G1247" s="25" t="n"/>
      <c r="H1247" s="24">
        <f>IF(AND($F1247="TEMP",$G1247&gt;0,$M1247&lt;&gt;""),$M1247+$G1247,"")</f>
        <v/>
      </c>
      <c r="I1247" s="22" t="n"/>
      <c r="J1247" s="22" t="n"/>
      <c r="K1247" s="24" t="n"/>
      <c r="W1247">
        <f>IF($A2="","",COUNTIF('07_Pallet_Contents'!$A$2:$A$3000,$A2))</f>
        <v/>
      </c>
      <c r="X1247">
        <f>IF($A2="","",SUMIF('07_Pallet_Contents'!$A$2:$A$3000,$A2,'07_Pallet_Contents'!$D$2:$D$3000))</f>
        <v/>
      </c>
      <c r="Y1247">
        <f>IF($A2="","",SUMIF('07_Pallet_Contents'!$A$2:$A$3000,$A2,'07_Pallet_Contents'!$I$2:$I$3000))</f>
        <v/>
      </c>
      <c r="Z1247">
        <f>IF($A2="","",IF(COUNTIF('07_Pallet_Contents'!$A$2:$A$3000,$A2)&gt;0,"Yes",""))</f>
        <v/>
      </c>
    </row>
    <row r="1248">
      <c r="B1248" s="22" t="n"/>
      <c r="G1248" s="25" t="n"/>
      <c r="H1248" s="24">
        <f>IF(AND($F1248="TEMP",$G1248&gt;0,$M1248&lt;&gt;""),$M1248+$G1248,"")</f>
        <v/>
      </c>
      <c r="I1248" s="22" t="n"/>
      <c r="J1248" s="22" t="n"/>
      <c r="K1248" s="24" t="n"/>
      <c r="W1248">
        <f>IF($A2="","",COUNTIF('07_Pallet_Contents'!$A$2:$A$3000,$A2))</f>
        <v/>
      </c>
      <c r="X1248">
        <f>IF($A2="","",SUMIF('07_Pallet_Contents'!$A$2:$A$3000,$A2,'07_Pallet_Contents'!$D$2:$D$3000))</f>
        <v/>
      </c>
      <c r="Y1248">
        <f>IF($A2="","",SUMIF('07_Pallet_Contents'!$A$2:$A$3000,$A2,'07_Pallet_Contents'!$I$2:$I$3000))</f>
        <v/>
      </c>
      <c r="Z1248">
        <f>IF($A2="","",IF(COUNTIF('07_Pallet_Contents'!$A$2:$A$3000,$A2)&gt;0,"Yes",""))</f>
        <v/>
      </c>
    </row>
    <row r="1249">
      <c r="B1249" s="22" t="n"/>
      <c r="G1249" s="25" t="n"/>
      <c r="H1249" s="24">
        <f>IF(AND($F1249="TEMP",$G1249&gt;0,$M1249&lt;&gt;""),$M1249+$G1249,"")</f>
        <v/>
      </c>
      <c r="I1249" s="22" t="n"/>
      <c r="J1249" s="22" t="n"/>
      <c r="K1249" s="24" t="n"/>
      <c r="W1249">
        <f>IF($A2="","",COUNTIF('07_Pallet_Contents'!$A$2:$A$3000,$A2))</f>
        <v/>
      </c>
      <c r="X1249">
        <f>IF($A2="","",SUMIF('07_Pallet_Contents'!$A$2:$A$3000,$A2,'07_Pallet_Contents'!$D$2:$D$3000))</f>
        <v/>
      </c>
      <c r="Y1249">
        <f>IF($A2="","",SUMIF('07_Pallet_Contents'!$A$2:$A$3000,$A2,'07_Pallet_Contents'!$I$2:$I$3000))</f>
        <v/>
      </c>
      <c r="Z1249">
        <f>IF($A2="","",IF(COUNTIF('07_Pallet_Contents'!$A$2:$A$3000,$A2)&gt;0,"Yes",""))</f>
        <v/>
      </c>
    </row>
    <row r="1250">
      <c r="B1250" s="22" t="n"/>
      <c r="G1250" s="25" t="n"/>
      <c r="H1250" s="24">
        <f>IF(AND($F1250="TEMP",$G1250&gt;0,$M1250&lt;&gt;""),$M1250+$G1250,"")</f>
        <v/>
      </c>
      <c r="I1250" s="22" t="n"/>
      <c r="J1250" s="22" t="n"/>
      <c r="K1250" s="24" t="n"/>
      <c r="W1250">
        <f>IF($A2="","",COUNTIF('07_Pallet_Contents'!$A$2:$A$3000,$A2))</f>
        <v/>
      </c>
      <c r="X1250">
        <f>IF($A2="","",SUMIF('07_Pallet_Contents'!$A$2:$A$3000,$A2,'07_Pallet_Contents'!$D$2:$D$3000))</f>
        <v/>
      </c>
      <c r="Y1250">
        <f>IF($A2="","",SUMIF('07_Pallet_Contents'!$A$2:$A$3000,$A2,'07_Pallet_Contents'!$I$2:$I$3000))</f>
        <v/>
      </c>
      <c r="Z1250">
        <f>IF($A2="","",IF(COUNTIF('07_Pallet_Contents'!$A$2:$A$3000,$A2)&gt;0,"Yes",""))</f>
        <v/>
      </c>
    </row>
    <row r="1251">
      <c r="B1251" s="22" t="n"/>
      <c r="G1251" s="25" t="n"/>
      <c r="H1251" s="24">
        <f>IF(AND($F1251="TEMP",$G1251&gt;0,$M1251&lt;&gt;""),$M1251+$G1251,"")</f>
        <v/>
      </c>
      <c r="I1251" s="22" t="n"/>
      <c r="J1251" s="22" t="n"/>
      <c r="K1251" s="24" t="n"/>
      <c r="W1251">
        <f>IF($A2="","",COUNTIF('07_Pallet_Contents'!$A$2:$A$3000,$A2))</f>
        <v/>
      </c>
      <c r="X1251">
        <f>IF($A2="","",SUMIF('07_Pallet_Contents'!$A$2:$A$3000,$A2,'07_Pallet_Contents'!$D$2:$D$3000))</f>
        <v/>
      </c>
      <c r="Y1251">
        <f>IF($A2="","",SUMIF('07_Pallet_Contents'!$A$2:$A$3000,$A2,'07_Pallet_Contents'!$I$2:$I$3000))</f>
        <v/>
      </c>
      <c r="Z1251">
        <f>IF($A2="","",IF(COUNTIF('07_Pallet_Contents'!$A$2:$A$3000,$A2)&gt;0,"Yes",""))</f>
        <v/>
      </c>
    </row>
    <row r="1252">
      <c r="B1252" s="22" t="n"/>
      <c r="G1252" s="25" t="n"/>
      <c r="H1252" s="24">
        <f>IF(AND($F1252="TEMP",$G1252&gt;0,$M1252&lt;&gt;""),$M1252+$G1252,"")</f>
        <v/>
      </c>
      <c r="I1252" s="22" t="n"/>
      <c r="J1252" s="22" t="n"/>
      <c r="K1252" s="24" t="n"/>
      <c r="W1252">
        <f>IF($A2="","",COUNTIF('07_Pallet_Contents'!$A$2:$A$3000,$A2))</f>
        <v/>
      </c>
      <c r="X1252">
        <f>IF($A2="","",SUMIF('07_Pallet_Contents'!$A$2:$A$3000,$A2,'07_Pallet_Contents'!$D$2:$D$3000))</f>
        <v/>
      </c>
      <c r="Y1252">
        <f>IF($A2="","",SUMIF('07_Pallet_Contents'!$A$2:$A$3000,$A2,'07_Pallet_Contents'!$I$2:$I$3000))</f>
        <v/>
      </c>
      <c r="Z1252">
        <f>IF($A2="","",IF(COUNTIF('07_Pallet_Contents'!$A$2:$A$3000,$A2)&gt;0,"Yes",""))</f>
        <v/>
      </c>
    </row>
    <row r="1253">
      <c r="B1253" s="22" t="n"/>
      <c r="G1253" s="25" t="n"/>
      <c r="H1253" s="24">
        <f>IF(AND($F1253="TEMP",$G1253&gt;0,$M1253&lt;&gt;""),$M1253+$G1253,"")</f>
        <v/>
      </c>
      <c r="I1253" s="22" t="n"/>
      <c r="J1253" s="22" t="n"/>
      <c r="K1253" s="24" t="n"/>
      <c r="W1253">
        <f>IF($A2="","",COUNTIF('07_Pallet_Contents'!$A$2:$A$3000,$A2))</f>
        <v/>
      </c>
      <c r="X1253">
        <f>IF($A2="","",SUMIF('07_Pallet_Contents'!$A$2:$A$3000,$A2,'07_Pallet_Contents'!$D$2:$D$3000))</f>
        <v/>
      </c>
      <c r="Y1253">
        <f>IF($A2="","",SUMIF('07_Pallet_Contents'!$A$2:$A$3000,$A2,'07_Pallet_Contents'!$I$2:$I$3000))</f>
        <v/>
      </c>
      <c r="Z1253">
        <f>IF($A2="","",IF(COUNTIF('07_Pallet_Contents'!$A$2:$A$3000,$A2)&gt;0,"Yes",""))</f>
        <v/>
      </c>
    </row>
    <row r="1254">
      <c r="B1254" s="22" t="n"/>
      <c r="G1254" s="25" t="n"/>
      <c r="H1254" s="24">
        <f>IF(AND($F1254="TEMP",$G1254&gt;0,$M1254&lt;&gt;""),$M1254+$G1254,"")</f>
        <v/>
      </c>
      <c r="I1254" s="22" t="n"/>
      <c r="J1254" s="22" t="n"/>
      <c r="K1254" s="24" t="n"/>
      <c r="W1254">
        <f>IF($A2="","",COUNTIF('07_Pallet_Contents'!$A$2:$A$3000,$A2))</f>
        <v/>
      </c>
      <c r="X1254">
        <f>IF($A2="","",SUMIF('07_Pallet_Contents'!$A$2:$A$3000,$A2,'07_Pallet_Contents'!$D$2:$D$3000))</f>
        <v/>
      </c>
      <c r="Y1254">
        <f>IF($A2="","",SUMIF('07_Pallet_Contents'!$A$2:$A$3000,$A2,'07_Pallet_Contents'!$I$2:$I$3000))</f>
        <v/>
      </c>
      <c r="Z1254">
        <f>IF($A2="","",IF(COUNTIF('07_Pallet_Contents'!$A$2:$A$3000,$A2)&gt;0,"Yes",""))</f>
        <v/>
      </c>
    </row>
    <row r="1255">
      <c r="B1255" s="22" t="n"/>
      <c r="G1255" s="25" t="n"/>
      <c r="H1255" s="24">
        <f>IF(AND($F1255="TEMP",$G1255&gt;0,$M1255&lt;&gt;""),$M1255+$G1255,"")</f>
        <v/>
      </c>
      <c r="I1255" s="22" t="n"/>
      <c r="J1255" s="22" t="n"/>
      <c r="K1255" s="24" t="n"/>
      <c r="W1255">
        <f>IF($A2="","",COUNTIF('07_Pallet_Contents'!$A$2:$A$3000,$A2))</f>
        <v/>
      </c>
      <c r="X1255">
        <f>IF($A2="","",SUMIF('07_Pallet_Contents'!$A$2:$A$3000,$A2,'07_Pallet_Contents'!$D$2:$D$3000))</f>
        <v/>
      </c>
      <c r="Y1255">
        <f>IF($A2="","",SUMIF('07_Pallet_Contents'!$A$2:$A$3000,$A2,'07_Pallet_Contents'!$I$2:$I$3000))</f>
        <v/>
      </c>
      <c r="Z1255">
        <f>IF($A2="","",IF(COUNTIF('07_Pallet_Contents'!$A$2:$A$3000,$A2)&gt;0,"Yes",""))</f>
        <v/>
      </c>
    </row>
    <row r="1256">
      <c r="B1256" s="22" t="n"/>
      <c r="G1256" s="25" t="n"/>
      <c r="H1256" s="24">
        <f>IF(AND($F1256="TEMP",$G1256&gt;0,$M1256&lt;&gt;""),$M1256+$G1256,"")</f>
        <v/>
      </c>
      <c r="I1256" s="22" t="n"/>
      <c r="J1256" s="22" t="n"/>
      <c r="K1256" s="24" t="n"/>
      <c r="W1256">
        <f>IF($A2="","",COUNTIF('07_Pallet_Contents'!$A$2:$A$3000,$A2))</f>
        <v/>
      </c>
      <c r="X1256">
        <f>IF($A2="","",SUMIF('07_Pallet_Contents'!$A$2:$A$3000,$A2,'07_Pallet_Contents'!$D$2:$D$3000))</f>
        <v/>
      </c>
      <c r="Y1256">
        <f>IF($A2="","",SUMIF('07_Pallet_Contents'!$A$2:$A$3000,$A2,'07_Pallet_Contents'!$I$2:$I$3000))</f>
        <v/>
      </c>
      <c r="Z1256">
        <f>IF($A2="","",IF(COUNTIF('07_Pallet_Contents'!$A$2:$A$3000,$A2)&gt;0,"Yes",""))</f>
        <v/>
      </c>
    </row>
    <row r="1257">
      <c r="B1257" s="22" t="n"/>
      <c r="G1257" s="25" t="n"/>
      <c r="H1257" s="24">
        <f>IF(AND($F1257="TEMP",$G1257&gt;0,$M1257&lt;&gt;""),$M1257+$G1257,"")</f>
        <v/>
      </c>
      <c r="I1257" s="22" t="n"/>
      <c r="J1257" s="22" t="n"/>
      <c r="K1257" s="24" t="n"/>
      <c r="W1257">
        <f>IF($A2="","",COUNTIF('07_Pallet_Contents'!$A$2:$A$3000,$A2))</f>
        <v/>
      </c>
      <c r="X1257">
        <f>IF($A2="","",SUMIF('07_Pallet_Contents'!$A$2:$A$3000,$A2,'07_Pallet_Contents'!$D$2:$D$3000))</f>
        <v/>
      </c>
      <c r="Y1257">
        <f>IF($A2="","",SUMIF('07_Pallet_Contents'!$A$2:$A$3000,$A2,'07_Pallet_Contents'!$I$2:$I$3000))</f>
        <v/>
      </c>
      <c r="Z1257">
        <f>IF($A2="","",IF(COUNTIF('07_Pallet_Contents'!$A$2:$A$3000,$A2)&gt;0,"Yes",""))</f>
        <v/>
      </c>
    </row>
    <row r="1258">
      <c r="B1258" s="22" t="n"/>
      <c r="G1258" s="25" t="n"/>
      <c r="H1258" s="24">
        <f>IF(AND($F1258="TEMP",$G1258&gt;0,$M1258&lt;&gt;""),$M1258+$G1258,"")</f>
        <v/>
      </c>
      <c r="I1258" s="22" t="n"/>
      <c r="J1258" s="22" t="n"/>
      <c r="K1258" s="24" t="n"/>
      <c r="W1258">
        <f>IF($A2="","",COUNTIF('07_Pallet_Contents'!$A$2:$A$3000,$A2))</f>
        <v/>
      </c>
      <c r="X1258">
        <f>IF($A2="","",SUMIF('07_Pallet_Contents'!$A$2:$A$3000,$A2,'07_Pallet_Contents'!$D$2:$D$3000))</f>
        <v/>
      </c>
      <c r="Y1258">
        <f>IF($A2="","",SUMIF('07_Pallet_Contents'!$A$2:$A$3000,$A2,'07_Pallet_Contents'!$I$2:$I$3000))</f>
        <v/>
      </c>
      <c r="Z1258">
        <f>IF($A2="","",IF(COUNTIF('07_Pallet_Contents'!$A$2:$A$3000,$A2)&gt;0,"Yes",""))</f>
        <v/>
      </c>
    </row>
    <row r="1259">
      <c r="B1259" s="22" t="n"/>
      <c r="G1259" s="25" t="n"/>
      <c r="H1259" s="24">
        <f>IF(AND($F1259="TEMP",$G1259&gt;0,$M1259&lt;&gt;""),$M1259+$G1259,"")</f>
        <v/>
      </c>
      <c r="I1259" s="22" t="n"/>
      <c r="J1259" s="22" t="n"/>
      <c r="K1259" s="24" t="n"/>
      <c r="W1259">
        <f>IF($A2="","",COUNTIF('07_Pallet_Contents'!$A$2:$A$3000,$A2))</f>
        <v/>
      </c>
      <c r="X1259">
        <f>IF($A2="","",SUMIF('07_Pallet_Contents'!$A$2:$A$3000,$A2,'07_Pallet_Contents'!$D$2:$D$3000))</f>
        <v/>
      </c>
      <c r="Y1259">
        <f>IF($A2="","",SUMIF('07_Pallet_Contents'!$A$2:$A$3000,$A2,'07_Pallet_Contents'!$I$2:$I$3000))</f>
        <v/>
      </c>
      <c r="Z1259">
        <f>IF($A2="","",IF(COUNTIF('07_Pallet_Contents'!$A$2:$A$3000,$A2)&gt;0,"Yes",""))</f>
        <v/>
      </c>
    </row>
    <row r="1260">
      <c r="B1260" s="22" t="n"/>
      <c r="G1260" s="25" t="n"/>
      <c r="H1260" s="24">
        <f>IF(AND($F1260="TEMP",$G1260&gt;0,$M1260&lt;&gt;""),$M1260+$G1260,"")</f>
        <v/>
      </c>
      <c r="I1260" s="22" t="n"/>
      <c r="J1260" s="22" t="n"/>
      <c r="K1260" s="24" t="n"/>
      <c r="W1260">
        <f>IF($A2="","",COUNTIF('07_Pallet_Contents'!$A$2:$A$3000,$A2))</f>
        <v/>
      </c>
      <c r="X1260">
        <f>IF($A2="","",SUMIF('07_Pallet_Contents'!$A$2:$A$3000,$A2,'07_Pallet_Contents'!$D$2:$D$3000))</f>
        <v/>
      </c>
      <c r="Y1260">
        <f>IF($A2="","",SUMIF('07_Pallet_Contents'!$A$2:$A$3000,$A2,'07_Pallet_Contents'!$I$2:$I$3000))</f>
        <v/>
      </c>
      <c r="Z1260">
        <f>IF($A2="","",IF(COUNTIF('07_Pallet_Contents'!$A$2:$A$3000,$A2)&gt;0,"Yes",""))</f>
        <v/>
      </c>
    </row>
    <row r="1261">
      <c r="B1261" s="22" t="n"/>
      <c r="G1261" s="25" t="n"/>
      <c r="H1261" s="24">
        <f>IF(AND($F1261="TEMP",$G1261&gt;0,$M1261&lt;&gt;""),$M1261+$G1261,"")</f>
        <v/>
      </c>
      <c r="I1261" s="22" t="n"/>
      <c r="J1261" s="22" t="n"/>
      <c r="K1261" s="24" t="n"/>
      <c r="W1261">
        <f>IF($A2="","",COUNTIF('07_Pallet_Contents'!$A$2:$A$3000,$A2))</f>
        <v/>
      </c>
      <c r="X1261">
        <f>IF($A2="","",SUMIF('07_Pallet_Contents'!$A$2:$A$3000,$A2,'07_Pallet_Contents'!$D$2:$D$3000))</f>
        <v/>
      </c>
      <c r="Y1261">
        <f>IF($A2="","",SUMIF('07_Pallet_Contents'!$A$2:$A$3000,$A2,'07_Pallet_Contents'!$I$2:$I$3000))</f>
        <v/>
      </c>
      <c r="Z1261">
        <f>IF($A2="","",IF(COUNTIF('07_Pallet_Contents'!$A$2:$A$3000,$A2)&gt;0,"Yes",""))</f>
        <v/>
      </c>
    </row>
    <row r="1262">
      <c r="B1262" s="22" t="n"/>
      <c r="G1262" s="25" t="n"/>
      <c r="H1262" s="24">
        <f>IF(AND($F1262="TEMP",$G1262&gt;0,$M1262&lt;&gt;""),$M1262+$G1262,"")</f>
        <v/>
      </c>
      <c r="I1262" s="22" t="n"/>
      <c r="J1262" s="22" t="n"/>
      <c r="K1262" s="24" t="n"/>
      <c r="W1262">
        <f>IF($A2="","",COUNTIF('07_Pallet_Contents'!$A$2:$A$3000,$A2))</f>
        <v/>
      </c>
      <c r="X1262">
        <f>IF($A2="","",SUMIF('07_Pallet_Contents'!$A$2:$A$3000,$A2,'07_Pallet_Contents'!$D$2:$D$3000))</f>
        <v/>
      </c>
      <c r="Y1262">
        <f>IF($A2="","",SUMIF('07_Pallet_Contents'!$A$2:$A$3000,$A2,'07_Pallet_Contents'!$I$2:$I$3000))</f>
        <v/>
      </c>
      <c r="Z1262">
        <f>IF($A2="","",IF(COUNTIF('07_Pallet_Contents'!$A$2:$A$3000,$A2)&gt;0,"Yes",""))</f>
        <v/>
      </c>
    </row>
    <row r="1263">
      <c r="B1263" s="22" t="n"/>
      <c r="G1263" s="25" t="n"/>
      <c r="H1263" s="24">
        <f>IF(AND($F1263="TEMP",$G1263&gt;0,$M1263&lt;&gt;""),$M1263+$G1263,"")</f>
        <v/>
      </c>
      <c r="I1263" s="22" t="n"/>
      <c r="J1263" s="22" t="n"/>
      <c r="K1263" s="24" t="n"/>
      <c r="W1263">
        <f>IF($A2="","",COUNTIF('07_Pallet_Contents'!$A$2:$A$3000,$A2))</f>
        <v/>
      </c>
      <c r="X1263">
        <f>IF($A2="","",SUMIF('07_Pallet_Contents'!$A$2:$A$3000,$A2,'07_Pallet_Contents'!$D$2:$D$3000))</f>
        <v/>
      </c>
      <c r="Y1263">
        <f>IF($A2="","",SUMIF('07_Pallet_Contents'!$A$2:$A$3000,$A2,'07_Pallet_Contents'!$I$2:$I$3000))</f>
        <v/>
      </c>
      <c r="Z1263">
        <f>IF($A2="","",IF(COUNTIF('07_Pallet_Contents'!$A$2:$A$3000,$A2)&gt;0,"Yes",""))</f>
        <v/>
      </c>
    </row>
    <row r="1264">
      <c r="B1264" s="22" t="n"/>
      <c r="G1264" s="25" t="n"/>
      <c r="H1264" s="24">
        <f>IF(AND($F1264="TEMP",$G1264&gt;0,$M1264&lt;&gt;""),$M1264+$G1264,"")</f>
        <v/>
      </c>
      <c r="I1264" s="22" t="n"/>
      <c r="J1264" s="22" t="n"/>
      <c r="K1264" s="24" t="n"/>
      <c r="W1264">
        <f>IF($A2="","",COUNTIF('07_Pallet_Contents'!$A$2:$A$3000,$A2))</f>
        <v/>
      </c>
      <c r="X1264">
        <f>IF($A2="","",SUMIF('07_Pallet_Contents'!$A$2:$A$3000,$A2,'07_Pallet_Contents'!$D$2:$D$3000))</f>
        <v/>
      </c>
      <c r="Y1264">
        <f>IF($A2="","",SUMIF('07_Pallet_Contents'!$A$2:$A$3000,$A2,'07_Pallet_Contents'!$I$2:$I$3000))</f>
        <v/>
      </c>
      <c r="Z1264">
        <f>IF($A2="","",IF(COUNTIF('07_Pallet_Contents'!$A$2:$A$3000,$A2)&gt;0,"Yes",""))</f>
        <v/>
      </c>
    </row>
    <row r="1265">
      <c r="B1265" s="22" t="n"/>
      <c r="G1265" s="25" t="n"/>
      <c r="H1265" s="24">
        <f>IF(AND($F1265="TEMP",$G1265&gt;0,$M1265&lt;&gt;""),$M1265+$G1265,"")</f>
        <v/>
      </c>
      <c r="I1265" s="22" t="n"/>
      <c r="J1265" s="22" t="n"/>
      <c r="K1265" s="24" t="n"/>
      <c r="W1265">
        <f>IF($A2="","",COUNTIF('07_Pallet_Contents'!$A$2:$A$3000,$A2))</f>
        <v/>
      </c>
      <c r="X1265">
        <f>IF($A2="","",SUMIF('07_Pallet_Contents'!$A$2:$A$3000,$A2,'07_Pallet_Contents'!$D$2:$D$3000))</f>
        <v/>
      </c>
      <c r="Y1265">
        <f>IF($A2="","",SUMIF('07_Pallet_Contents'!$A$2:$A$3000,$A2,'07_Pallet_Contents'!$I$2:$I$3000))</f>
        <v/>
      </c>
      <c r="Z1265">
        <f>IF($A2="","",IF(COUNTIF('07_Pallet_Contents'!$A$2:$A$3000,$A2)&gt;0,"Yes",""))</f>
        <v/>
      </c>
    </row>
    <row r="1266">
      <c r="B1266" s="22" t="n"/>
      <c r="G1266" s="25" t="n"/>
      <c r="H1266" s="24">
        <f>IF(AND($F1266="TEMP",$G1266&gt;0,$M1266&lt;&gt;""),$M1266+$G1266,"")</f>
        <v/>
      </c>
      <c r="I1266" s="22" t="n"/>
      <c r="J1266" s="22" t="n"/>
      <c r="K1266" s="24" t="n"/>
      <c r="W1266">
        <f>IF($A2="","",COUNTIF('07_Pallet_Contents'!$A$2:$A$3000,$A2))</f>
        <v/>
      </c>
      <c r="X1266">
        <f>IF($A2="","",SUMIF('07_Pallet_Contents'!$A$2:$A$3000,$A2,'07_Pallet_Contents'!$D$2:$D$3000))</f>
        <v/>
      </c>
      <c r="Y1266">
        <f>IF($A2="","",SUMIF('07_Pallet_Contents'!$A$2:$A$3000,$A2,'07_Pallet_Contents'!$I$2:$I$3000))</f>
        <v/>
      </c>
      <c r="Z1266">
        <f>IF($A2="","",IF(COUNTIF('07_Pallet_Contents'!$A$2:$A$3000,$A2)&gt;0,"Yes",""))</f>
        <v/>
      </c>
    </row>
    <row r="1267">
      <c r="B1267" s="22" t="n"/>
      <c r="G1267" s="25" t="n"/>
      <c r="H1267" s="24">
        <f>IF(AND($F1267="TEMP",$G1267&gt;0,$M1267&lt;&gt;""),$M1267+$G1267,"")</f>
        <v/>
      </c>
      <c r="I1267" s="22" t="n"/>
      <c r="J1267" s="22" t="n"/>
      <c r="K1267" s="24" t="n"/>
      <c r="W1267">
        <f>IF($A2="","",COUNTIF('07_Pallet_Contents'!$A$2:$A$3000,$A2))</f>
        <v/>
      </c>
      <c r="X1267">
        <f>IF($A2="","",SUMIF('07_Pallet_Contents'!$A$2:$A$3000,$A2,'07_Pallet_Contents'!$D$2:$D$3000))</f>
        <v/>
      </c>
      <c r="Y1267">
        <f>IF($A2="","",SUMIF('07_Pallet_Contents'!$A$2:$A$3000,$A2,'07_Pallet_Contents'!$I$2:$I$3000))</f>
        <v/>
      </c>
      <c r="Z1267">
        <f>IF($A2="","",IF(COUNTIF('07_Pallet_Contents'!$A$2:$A$3000,$A2)&gt;0,"Yes",""))</f>
        <v/>
      </c>
    </row>
    <row r="1268">
      <c r="B1268" s="22" t="n"/>
      <c r="G1268" s="25" t="n"/>
      <c r="H1268" s="24">
        <f>IF(AND($F1268="TEMP",$G1268&gt;0,$M1268&lt;&gt;""),$M1268+$G1268,"")</f>
        <v/>
      </c>
      <c r="I1268" s="22" t="n"/>
      <c r="J1268" s="22" t="n"/>
      <c r="K1268" s="24" t="n"/>
      <c r="W1268">
        <f>IF($A2="","",COUNTIF('07_Pallet_Contents'!$A$2:$A$3000,$A2))</f>
        <v/>
      </c>
      <c r="X1268">
        <f>IF($A2="","",SUMIF('07_Pallet_Contents'!$A$2:$A$3000,$A2,'07_Pallet_Contents'!$D$2:$D$3000))</f>
        <v/>
      </c>
      <c r="Y1268">
        <f>IF($A2="","",SUMIF('07_Pallet_Contents'!$A$2:$A$3000,$A2,'07_Pallet_Contents'!$I$2:$I$3000))</f>
        <v/>
      </c>
      <c r="Z1268">
        <f>IF($A2="","",IF(COUNTIF('07_Pallet_Contents'!$A$2:$A$3000,$A2)&gt;0,"Yes",""))</f>
        <v/>
      </c>
    </row>
    <row r="1269">
      <c r="B1269" s="22" t="n"/>
      <c r="G1269" s="25" t="n"/>
      <c r="H1269" s="24">
        <f>IF(AND($F1269="TEMP",$G1269&gt;0,$M1269&lt;&gt;""),$M1269+$G1269,"")</f>
        <v/>
      </c>
      <c r="I1269" s="22" t="n"/>
      <c r="J1269" s="22" t="n"/>
      <c r="K1269" s="24" t="n"/>
      <c r="W1269">
        <f>IF($A2="","",COUNTIF('07_Pallet_Contents'!$A$2:$A$3000,$A2))</f>
        <v/>
      </c>
      <c r="X1269">
        <f>IF($A2="","",SUMIF('07_Pallet_Contents'!$A$2:$A$3000,$A2,'07_Pallet_Contents'!$D$2:$D$3000))</f>
        <v/>
      </c>
      <c r="Y1269">
        <f>IF($A2="","",SUMIF('07_Pallet_Contents'!$A$2:$A$3000,$A2,'07_Pallet_Contents'!$I$2:$I$3000))</f>
        <v/>
      </c>
      <c r="Z1269">
        <f>IF($A2="","",IF(COUNTIF('07_Pallet_Contents'!$A$2:$A$3000,$A2)&gt;0,"Yes",""))</f>
        <v/>
      </c>
    </row>
    <row r="1270">
      <c r="B1270" s="22" t="n"/>
      <c r="G1270" s="25" t="n"/>
      <c r="H1270" s="24">
        <f>IF(AND($F1270="TEMP",$G1270&gt;0,$M1270&lt;&gt;""),$M1270+$G1270,"")</f>
        <v/>
      </c>
      <c r="I1270" s="22" t="n"/>
      <c r="J1270" s="22" t="n"/>
      <c r="K1270" s="24" t="n"/>
      <c r="W1270">
        <f>IF($A2="","",COUNTIF('07_Pallet_Contents'!$A$2:$A$3000,$A2))</f>
        <v/>
      </c>
      <c r="X1270">
        <f>IF($A2="","",SUMIF('07_Pallet_Contents'!$A$2:$A$3000,$A2,'07_Pallet_Contents'!$D$2:$D$3000))</f>
        <v/>
      </c>
      <c r="Y1270">
        <f>IF($A2="","",SUMIF('07_Pallet_Contents'!$A$2:$A$3000,$A2,'07_Pallet_Contents'!$I$2:$I$3000))</f>
        <v/>
      </c>
      <c r="Z1270">
        <f>IF($A2="","",IF(COUNTIF('07_Pallet_Contents'!$A$2:$A$3000,$A2)&gt;0,"Yes",""))</f>
        <v/>
      </c>
    </row>
    <row r="1271">
      <c r="B1271" s="22" t="n"/>
      <c r="G1271" s="25" t="n"/>
      <c r="H1271" s="24">
        <f>IF(AND($F1271="TEMP",$G1271&gt;0,$M1271&lt;&gt;""),$M1271+$G1271,"")</f>
        <v/>
      </c>
      <c r="I1271" s="22" t="n"/>
      <c r="J1271" s="22" t="n"/>
      <c r="K1271" s="24" t="n"/>
      <c r="W1271">
        <f>IF($A2="","",COUNTIF('07_Pallet_Contents'!$A$2:$A$3000,$A2))</f>
        <v/>
      </c>
      <c r="X1271">
        <f>IF($A2="","",SUMIF('07_Pallet_Contents'!$A$2:$A$3000,$A2,'07_Pallet_Contents'!$D$2:$D$3000))</f>
        <v/>
      </c>
      <c r="Y1271">
        <f>IF($A2="","",SUMIF('07_Pallet_Contents'!$A$2:$A$3000,$A2,'07_Pallet_Contents'!$I$2:$I$3000))</f>
        <v/>
      </c>
      <c r="Z1271">
        <f>IF($A2="","",IF(COUNTIF('07_Pallet_Contents'!$A$2:$A$3000,$A2)&gt;0,"Yes",""))</f>
        <v/>
      </c>
    </row>
    <row r="1272">
      <c r="B1272" s="22" t="n"/>
      <c r="G1272" s="25" t="n"/>
      <c r="H1272" s="24">
        <f>IF(AND($F1272="TEMP",$G1272&gt;0,$M1272&lt;&gt;""),$M1272+$G1272,"")</f>
        <v/>
      </c>
      <c r="I1272" s="22" t="n"/>
      <c r="J1272" s="22" t="n"/>
      <c r="K1272" s="24" t="n"/>
      <c r="W1272">
        <f>IF($A2="","",COUNTIF('07_Pallet_Contents'!$A$2:$A$3000,$A2))</f>
        <v/>
      </c>
      <c r="X1272">
        <f>IF($A2="","",SUMIF('07_Pallet_Contents'!$A$2:$A$3000,$A2,'07_Pallet_Contents'!$D$2:$D$3000))</f>
        <v/>
      </c>
      <c r="Y1272">
        <f>IF($A2="","",SUMIF('07_Pallet_Contents'!$A$2:$A$3000,$A2,'07_Pallet_Contents'!$I$2:$I$3000))</f>
        <v/>
      </c>
      <c r="Z1272">
        <f>IF($A2="","",IF(COUNTIF('07_Pallet_Contents'!$A$2:$A$3000,$A2)&gt;0,"Yes",""))</f>
        <v/>
      </c>
    </row>
    <row r="1273">
      <c r="B1273" s="22" t="n"/>
      <c r="G1273" s="25" t="n"/>
      <c r="H1273" s="24">
        <f>IF(AND($F1273="TEMP",$G1273&gt;0,$M1273&lt;&gt;""),$M1273+$G1273,"")</f>
        <v/>
      </c>
      <c r="I1273" s="22" t="n"/>
      <c r="J1273" s="22" t="n"/>
      <c r="K1273" s="24" t="n"/>
      <c r="W1273">
        <f>IF($A2="","",COUNTIF('07_Pallet_Contents'!$A$2:$A$3000,$A2))</f>
        <v/>
      </c>
      <c r="X1273">
        <f>IF($A2="","",SUMIF('07_Pallet_Contents'!$A$2:$A$3000,$A2,'07_Pallet_Contents'!$D$2:$D$3000))</f>
        <v/>
      </c>
      <c r="Y1273">
        <f>IF($A2="","",SUMIF('07_Pallet_Contents'!$A$2:$A$3000,$A2,'07_Pallet_Contents'!$I$2:$I$3000))</f>
        <v/>
      </c>
      <c r="Z1273">
        <f>IF($A2="","",IF(COUNTIF('07_Pallet_Contents'!$A$2:$A$3000,$A2)&gt;0,"Yes",""))</f>
        <v/>
      </c>
    </row>
    <row r="1274">
      <c r="B1274" s="22" t="n"/>
      <c r="G1274" s="25" t="n"/>
      <c r="H1274" s="24">
        <f>IF(AND($F1274="TEMP",$G1274&gt;0,$M1274&lt;&gt;""),$M1274+$G1274,"")</f>
        <v/>
      </c>
      <c r="I1274" s="22" t="n"/>
      <c r="J1274" s="22" t="n"/>
      <c r="K1274" s="24" t="n"/>
      <c r="W1274">
        <f>IF($A2="","",COUNTIF('07_Pallet_Contents'!$A$2:$A$3000,$A2))</f>
        <v/>
      </c>
      <c r="X1274">
        <f>IF($A2="","",SUMIF('07_Pallet_Contents'!$A$2:$A$3000,$A2,'07_Pallet_Contents'!$D$2:$D$3000))</f>
        <v/>
      </c>
      <c r="Y1274">
        <f>IF($A2="","",SUMIF('07_Pallet_Contents'!$A$2:$A$3000,$A2,'07_Pallet_Contents'!$I$2:$I$3000))</f>
        <v/>
      </c>
      <c r="Z1274">
        <f>IF($A2="","",IF(COUNTIF('07_Pallet_Contents'!$A$2:$A$3000,$A2)&gt;0,"Yes",""))</f>
        <v/>
      </c>
    </row>
    <row r="1275">
      <c r="B1275" s="22" t="n"/>
      <c r="G1275" s="25" t="n"/>
      <c r="H1275" s="24">
        <f>IF(AND($F1275="TEMP",$G1275&gt;0,$M1275&lt;&gt;""),$M1275+$G1275,"")</f>
        <v/>
      </c>
      <c r="I1275" s="22" t="n"/>
      <c r="J1275" s="22" t="n"/>
      <c r="K1275" s="24" t="n"/>
      <c r="W1275">
        <f>IF($A2="","",COUNTIF('07_Pallet_Contents'!$A$2:$A$3000,$A2))</f>
        <v/>
      </c>
      <c r="X1275">
        <f>IF($A2="","",SUMIF('07_Pallet_Contents'!$A$2:$A$3000,$A2,'07_Pallet_Contents'!$D$2:$D$3000))</f>
        <v/>
      </c>
      <c r="Y1275">
        <f>IF($A2="","",SUMIF('07_Pallet_Contents'!$A$2:$A$3000,$A2,'07_Pallet_Contents'!$I$2:$I$3000))</f>
        <v/>
      </c>
      <c r="Z1275">
        <f>IF($A2="","",IF(COUNTIF('07_Pallet_Contents'!$A$2:$A$3000,$A2)&gt;0,"Yes",""))</f>
        <v/>
      </c>
    </row>
    <row r="1276">
      <c r="B1276" s="22" t="n"/>
      <c r="G1276" s="25" t="n"/>
      <c r="H1276" s="24">
        <f>IF(AND($F1276="TEMP",$G1276&gt;0,$M1276&lt;&gt;""),$M1276+$G1276,"")</f>
        <v/>
      </c>
      <c r="I1276" s="22" t="n"/>
      <c r="J1276" s="22" t="n"/>
      <c r="K1276" s="24" t="n"/>
      <c r="W1276">
        <f>IF($A2="","",COUNTIF('07_Pallet_Contents'!$A$2:$A$3000,$A2))</f>
        <v/>
      </c>
      <c r="X1276">
        <f>IF($A2="","",SUMIF('07_Pallet_Contents'!$A$2:$A$3000,$A2,'07_Pallet_Contents'!$D$2:$D$3000))</f>
        <v/>
      </c>
      <c r="Y1276">
        <f>IF($A2="","",SUMIF('07_Pallet_Contents'!$A$2:$A$3000,$A2,'07_Pallet_Contents'!$I$2:$I$3000))</f>
        <v/>
      </c>
      <c r="Z1276">
        <f>IF($A2="","",IF(COUNTIF('07_Pallet_Contents'!$A$2:$A$3000,$A2)&gt;0,"Yes",""))</f>
        <v/>
      </c>
    </row>
    <row r="1277">
      <c r="B1277" s="22" t="n"/>
      <c r="G1277" s="25" t="n"/>
      <c r="H1277" s="24">
        <f>IF(AND($F1277="TEMP",$G1277&gt;0,$M1277&lt;&gt;""),$M1277+$G1277,"")</f>
        <v/>
      </c>
      <c r="I1277" s="22" t="n"/>
      <c r="J1277" s="22" t="n"/>
      <c r="K1277" s="24" t="n"/>
      <c r="W1277">
        <f>IF($A2="","",COUNTIF('07_Pallet_Contents'!$A$2:$A$3000,$A2))</f>
        <v/>
      </c>
      <c r="X1277">
        <f>IF($A2="","",SUMIF('07_Pallet_Contents'!$A$2:$A$3000,$A2,'07_Pallet_Contents'!$D$2:$D$3000))</f>
        <v/>
      </c>
      <c r="Y1277">
        <f>IF($A2="","",SUMIF('07_Pallet_Contents'!$A$2:$A$3000,$A2,'07_Pallet_Contents'!$I$2:$I$3000))</f>
        <v/>
      </c>
      <c r="Z1277">
        <f>IF($A2="","",IF(COUNTIF('07_Pallet_Contents'!$A$2:$A$3000,$A2)&gt;0,"Yes",""))</f>
        <v/>
      </c>
    </row>
    <row r="1278">
      <c r="B1278" s="22" t="n"/>
      <c r="G1278" s="25" t="n"/>
      <c r="H1278" s="24">
        <f>IF(AND($F1278="TEMP",$G1278&gt;0,$M1278&lt;&gt;""),$M1278+$G1278,"")</f>
        <v/>
      </c>
      <c r="I1278" s="22" t="n"/>
      <c r="J1278" s="22" t="n"/>
      <c r="K1278" s="24" t="n"/>
      <c r="W1278">
        <f>IF($A2="","",COUNTIF('07_Pallet_Contents'!$A$2:$A$3000,$A2))</f>
        <v/>
      </c>
      <c r="X1278">
        <f>IF($A2="","",SUMIF('07_Pallet_Contents'!$A$2:$A$3000,$A2,'07_Pallet_Contents'!$D$2:$D$3000))</f>
        <v/>
      </c>
      <c r="Y1278">
        <f>IF($A2="","",SUMIF('07_Pallet_Contents'!$A$2:$A$3000,$A2,'07_Pallet_Contents'!$I$2:$I$3000))</f>
        <v/>
      </c>
      <c r="Z1278">
        <f>IF($A2="","",IF(COUNTIF('07_Pallet_Contents'!$A$2:$A$3000,$A2)&gt;0,"Yes",""))</f>
        <v/>
      </c>
    </row>
    <row r="1279">
      <c r="B1279" s="22" t="n"/>
      <c r="G1279" s="25" t="n"/>
      <c r="H1279" s="24">
        <f>IF(AND($F1279="TEMP",$G1279&gt;0,$M1279&lt;&gt;""),$M1279+$G1279,"")</f>
        <v/>
      </c>
      <c r="I1279" s="22" t="n"/>
      <c r="J1279" s="22" t="n"/>
      <c r="K1279" s="24" t="n"/>
      <c r="W1279">
        <f>IF($A2="","",COUNTIF('07_Pallet_Contents'!$A$2:$A$3000,$A2))</f>
        <v/>
      </c>
      <c r="X1279">
        <f>IF($A2="","",SUMIF('07_Pallet_Contents'!$A$2:$A$3000,$A2,'07_Pallet_Contents'!$D$2:$D$3000))</f>
        <v/>
      </c>
      <c r="Y1279">
        <f>IF($A2="","",SUMIF('07_Pallet_Contents'!$A$2:$A$3000,$A2,'07_Pallet_Contents'!$I$2:$I$3000))</f>
        <v/>
      </c>
      <c r="Z1279">
        <f>IF($A2="","",IF(COUNTIF('07_Pallet_Contents'!$A$2:$A$3000,$A2)&gt;0,"Yes",""))</f>
        <v/>
      </c>
    </row>
    <row r="1280">
      <c r="B1280" s="22" t="n"/>
      <c r="G1280" s="25" t="n"/>
      <c r="H1280" s="24">
        <f>IF(AND($F1280="TEMP",$G1280&gt;0,$M1280&lt;&gt;""),$M1280+$G1280,"")</f>
        <v/>
      </c>
      <c r="I1280" s="22" t="n"/>
      <c r="J1280" s="22" t="n"/>
      <c r="K1280" s="24" t="n"/>
      <c r="W1280">
        <f>IF($A2="","",COUNTIF('07_Pallet_Contents'!$A$2:$A$3000,$A2))</f>
        <v/>
      </c>
      <c r="X1280">
        <f>IF($A2="","",SUMIF('07_Pallet_Contents'!$A$2:$A$3000,$A2,'07_Pallet_Contents'!$D$2:$D$3000))</f>
        <v/>
      </c>
      <c r="Y1280">
        <f>IF($A2="","",SUMIF('07_Pallet_Contents'!$A$2:$A$3000,$A2,'07_Pallet_Contents'!$I$2:$I$3000))</f>
        <v/>
      </c>
      <c r="Z1280">
        <f>IF($A2="","",IF(COUNTIF('07_Pallet_Contents'!$A$2:$A$3000,$A2)&gt;0,"Yes",""))</f>
        <v/>
      </c>
    </row>
    <row r="1281">
      <c r="B1281" s="22" t="n"/>
      <c r="G1281" s="25" t="n"/>
      <c r="H1281" s="24">
        <f>IF(AND($F1281="TEMP",$G1281&gt;0,$M1281&lt;&gt;""),$M1281+$G1281,"")</f>
        <v/>
      </c>
      <c r="I1281" s="22" t="n"/>
      <c r="J1281" s="22" t="n"/>
      <c r="K1281" s="24" t="n"/>
      <c r="W1281">
        <f>IF($A2="","",COUNTIF('07_Pallet_Contents'!$A$2:$A$3000,$A2))</f>
        <v/>
      </c>
      <c r="X1281">
        <f>IF($A2="","",SUMIF('07_Pallet_Contents'!$A$2:$A$3000,$A2,'07_Pallet_Contents'!$D$2:$D$3000))</f>
        <v/>
      </c>
      <c r="Y1281">
        <f>IF($A2="","",SUMIF('07_Pallet_Contents'!$A$2:$A$3000,$A2,'07_Pallet_Contents'!$I$2:$I$3000))</f>
        <v/>
      </c>
      <c r="Z1281">
        <f>IF($A2="","",IF(COUNTIF('07_Pallet_Contents'!$A$2:$A$3000,$A2)&gt;0,"Yes",""))</f>
        <v/>
      </c>
    </row>
    <row r="1282">
      <c r="B1282" s="22" t="n"/>
      <c r="G1282" s="25" t="n"/>
      <c r="H1282" s="24">
        <f>IF(AND($F1282="TEMP",$G1282&gt;0,$M1282&lt;&gt;""),$M1282+$G1282,"")</f>
        <v/>
      </c>
      <c r="I1282" s="22" t="n"/>
      <c r="J1282" s="22" t="n"/>
      <c r="K1282" s="24" t="n"/>
      <c r="W1282">
        <f>IF($A2="","",COUNTIF('07_Pallet_Contents'!$A$2:$A$3000,$A2))</f>
        <v/>
      </c>
      <c r="X1282">
        <f>IF($A2="","",SUMIF('07_Pallet_Contents'!$A$2:$A$3000,$A2,'07_Pallet_Contents'!$D$2:$D$3000))</f>
        <v/>
      </c>
      <c r="Y1282">
        <f>IF($A2="","",SUMIF('07_Pallet_Contents'!$A$2:$A$3000,$A2,'07_Pallet_Contents'!$I$2:$I$3000))</f>
        <v/>
      </c>
      <c r="Z1282">
        <f>IF($A2="","",IF(COUNTIF('07_Pallet_Contents'!$A$2:$A$3000,$A2)&gt;0,"Yes",""))</f>
        <v/>
      </c>
    </row>
    <row r="1283">
      <c r="B1283" s="22" t="n"/>
      <c r="G1283" s="25" t="n"/>
      <c r="H1283" s="24">
        <f>IF(AND($F1283="TEMP",$G1283&gt;0,$M1283&lt;&gt;""),$M1283+$G1283,"")</f>
        <v/>
      </c>
      <c r="I1283" s="22" t="n"/>
      <c r="J1283" s="22" t="n"/>
      <c r="K1283" s="24" t="n"/>
      <c r="W1283">
        <f>IF($A2="","",COUNTIF('07_Pallet_Contents'!$A$2:$A$3000,$A2))</f>
        <v/>
      </c>
      <c r="X1283">
        <f>IF($A2="","",SUMIF('07_Pallet_Contents'!$A$2:$A$3000,$A2,'07_Pallet_Contents'!$D$2:$D$3000))</f>
        <v/>
      </c>
      <c r="Y1283">
        <f>IF($A2="","",SUMIF('07_Pallet_Contents'!$A$2:$A$3000,$A2,'07_Pallet_Contents'!$I$2:$I$3000))</f>
        <v/>
      </c>
      <c r="Z1283">
        <f>IF($A2="","",IF(COUNTIF('07_Pallet_Contents'!$A$2:$A$3000,$A2)&gt;0,"Yes",""))</f>
        <v/>
      </c>
    </row>
    <row r="1284">
      <c r="B1284" s="22" t="n"/>
      <c r="G1284" s="25" t="n"/>
      <c r="H1284" s="24">
        <f>IF(AND($F1284="TEMP",$G1284&gt;0,$M1284&lt;&gt;""),$M1284+$G1284,"")</f>
        <v/>
      </c>
      <c r="I1284" s="22" t="n"/>
      <c r="J1284" s="22" t="n"/>
      <c r="K1284" s="24" t="n"/>
      <c r="W1284">
        <f>IF($A2="","",COUNTIF('07_Pallet_Contents'!$A$2:$A$3000,$A2))</f>
        <v/>
      </c>
      <c r="X1284">
        <f>IF($A2="","",SUMIF('07_Pallet_Contents'!$A$2:$A$3000,$A2,'07_Pallet_Contents'!$D$2:$D$3000))</f>
        <v/>
      </c>
      <c r="Y1284">
        <f>IF($A2="","",SUMIF('07_Pallet_Contents'!$A$2:$A$3000,$A2,'07_Pallet_Contents'!$I$2:$I$3000))</f>
        <v/>
      </c>
      <c r="Z1284">
        <f>IF($A2="","",IF(COUNTIF('07_Pallet_Contents'!$A$2:$A$3000,$A2)&gt;0,"Yes",""))</f>
        <v/>
      </c>
    </row>
    <row r="1285">
      <c r="B1285" s="22" t="n"/>
      <c r="G1285" s="25" t="n"/>
      <c r="H1285" s="24">
        <f>IF(AND($F1285="TEMP",$G1285&gt;0,$M1285&lt;&gt;""),$M1285+$G1285,"")</f>
        <v/>
      </c>
      <c r="I1285" s="22" t="n"/>
      <c r="J1285" s="22" t="n"/>
      <c r="K1285" s="24" t="n"/>
      <c r="W1285">
        <f>IF($A2="","",COUNTIF('07_Pallet_Contents'!$A$2:$A$3000,$A2))</f>
        <v/>
      </c>
      <c r="X1285">
        <f>IF($A2="","",SUMIF('07_Pallet_Contents'!$A$2:$A$3000,$A2,'07_Pallet_Contents'!$D$2:$D$3000))</f>
        <v/>
      </c>
      <c r="Y1285">
        <f>IF($A2="","",SUMIF('07_Pallet_Contents'!$A$2:$A$3000,$A2,'07_Pallet_Contents'!$I$2:$I$3000))</f>
        <v/>
      </c>
      <c r="Z1285">
        <f>IF($A2="","",IF(COUNTIF('07_Pallet_Contents'!$A$2:$A$3000,$A2)&gt;0,"Yes",""))</f>
        <v/>
      </c>
    </row>
    <row r="1286">
      <c r="B1286" s="22" t="n"/>
      <c r="G1286" s="25" t="n"/>
      <c r="H1286" s="24">
        <f>IF(AND($F1286="TEMP",$G1286&gt;0,$M1286&lt;&gt;""),$M1286+$G1286,"")</f>
        <v/>
      </c>
      <c r="I1286" s="22" t="n"/>
      <c r="J1286" s="22" t="n"/>
      <c r="K1286" s="24" t="n"/>
      <c r="W1286">
        <f>IF($A2="","",COUNTIF('07_Pallet_Contents'!$A$2:$A$3000,$A2))</f>
        <v/>
      </c>
      <c r="X1286">
        <f>IF($A2="","",SUMIF('07_Pallet_Contents'!$A$2:$A$3000,$A2,'07_Pallet_Contents'!$D$2:$D$3000))</f>
        <v/>
      </c>
      <c r="Y1286">
        <f>IF($A2="","",SUMIF('07_Pallet_Contents'!$A$2:$A$3000,$A2,'07_Pallet_Contents'!$I$2:$I$3000))</f>
        <v/>
      </c>
      <c r="Z1286">
        <f>IF($A2="","",IF(COUNTIF('07_Pallet_Contents'!$A$2:$A$3000,$A2)&gt;0,"Yes",""))</f>
        <v/>
      </c>
    </row>
    <row r="1287">
      <c r="B1287" s="22" t="n"/>
      <c r="G1287" s="25" t="n"/>
      <c r="H1287" s="24">
        <f>IF(AND($F1287="TEMP",$G1287&gt;0,$M1287&lt;&gt;""),$M1287+$G1287,"")</f>
        <v/>
      </c>
      <c r="I1287" s="22" t="n"/>
      <c r="J1287" s="22" t="n"/>
      <c r="K1287" s="24" t="n"/>
      <c r="W1287">
        <f>IF($A2="","",COUNTIF('07_Pallet_Contents'!$A$2:$A$3000,$A2))</f>
        <v/>
      </c>
      <c r="X1287">
        <f>IF($A2="","",SUMIF('07_Pallet_Contents'!$A$2:$A$3000,$A2,'07_Pallet_Contents'!$D$2:$D$3000))</f>
        <v/>
      </c>
      <c r="Y1287">
        <f>IF($A2="","",SUMIF('07_Pallet_Contents'!$A$2:$A$3000,$A2,'07_Pallet_Contents'!$I$2:$I$3000))</f>
        <v/>
      </c>
      <c r="Z1287">
        <f>IF($A2="","",IF(COUNTIF('07_Pallet_Contents'!$A$2:$A$3000,$A2)&gt;0,"Yes",""))</f>
        <v/>
      </c>
    </row>
    <row r="1288">
      <c r="B1288" s="22" t="n"/>
      <c r="G1288" s="25" t="n"/>
      <c r="H1288" s="24">
        <f>IF(AND($F1288="TEMP",$G1288&gt;0,$M1288&lt;&gt;""),$M1288+$G1288,"")</f>
        <v/>
      </c>
      <c r="I1288" s="22" t="n"/>
      <c r="J1288" s="22" t="n"/>
      <c r="K1288" s="24" t="n"/>
      <c r="W1288">
        <f>IF($A2="","",COUNTIF('07_Pallet_Contents'!$A$2:$A$3000,$A2))</f>
        <v/>
      </c>
      <c r="X1288">
        <f>IF($A2="","",SUMIF('07_Pallet_Contents'!$A$2:$A$3000,$A2,'07_Pallet_Contents'!$D$2:$D$3000))</f>
        <v/>
      </c>
      <c r="Y1288">
        <f>IF($A2="","",SUMIF('07_Pallet_Contents'!$A$2:$A$3000,$A2,'07_Pallet_Contents'!$I$2:$I$3000))</f>
        <v/>
      </c>
      <c r="Z1288">
        <f>IF($A2="","",IF(COUNTIF('07_Pallet_Contents'!$A$2:$A$3000,$A2)&gt;0,"Yes",""))</f>
        <v/>
      </c>
    </row>
    <row r="1289">
      <c r="B1289" s="22" t="n"/>
      <c r="G1289" s="25" t="n"/>
      <c r="H1289" s="24">
        <f>IF(AND($F1289="TEMP",$G1289&gt;0,$M1289&lt;&gt;""),$M1289+$G1289,"")</f>
        <v/>
      </c>
      <c r="I1289" s="22" t="n"/>
      <c r="J1289" s="22" t="n"/>
      <c r="K1289" s="24" t="n"/>
      <c r="W1289">
        <f>IF($A2="","",COUNTIF('07_Pallet_Contents'!$A$2:$A$3000,$A2))</f>
        <v/>
      </c>
      <c r="X1289">
        <f>IF($A2="","",SUMIF('07_Pallet_Contents'!$A$2:$A$3000,$A2,'07_Pallet_Contents'!$D$2:$D$3000))</f>
        <v/>
      </c>
      <c r="Y1289">
        <f>IF($A2="","",SUMIF('07_Pallet_Contents'!$A$2:$A$3000,$A2,'07_Pallet_Contents'!$I$2:$I$3000))</f>
        <v/>
      </c>
      <c r="Z1289">
        <f>IF($A2="","",IF(COUNTIF('07_Pallet_Contents'!$A$2:$A$3000,$A2)&gt;0,"Yes",""))</f>
        <v/>
      </c>
    </row>
    <row r="1290">
      <c r="B1290" s="22" t="n"/>
      <c r="G1290" s="25" t="n"/>
      <c r="H1290" s="24">
        <f>IF(AND($F1290="TEMP",$G1290&gt;0,$M1290&lt;&gt;""),$M1290+$G1290,"")</f>
        <v/>
      </c>
      <c r="I1290" s="22" t="n"/>
      <c r="J1290" s="22" t="n"/>
      <c r="K1290" s="24" t="n"/>
      <c r="W1290">
        <f>IF($A2="","",COUNTIF('07_Pallet_Contents'!$A$2:$A$3000,$A2))</f>
        <v/>
      </c>
      <c r="X1290">
        <f>IF($A2="","",SUMIF('07_Pallet_Contents'!$A$2:$A$3000,$A2,'07_Pallet_Contents'!$D$2:$D$3000))</f>
        <v/>
      </c>
      <c r="Y1290">
        <f>IF($A2="","",SUMIF('07_Pallet_Contents'!$A$2:$A$3000,$A2,'07_Pallet_Contents'!$I$2:$I$3000))</f>
        <v/>
      </c>
      <c r="Z1290">
        <f>IF($A2="","",IF(COUNTIF('07_Pallet_Contents'!$A$2:$A$3000,$A2)&gt;0,"Yes",""))</f>
        <v/>
      </c>
    </row>
    <row r="1291">
      <c r="B1291" s="22" t="n"/>
      <c r="G1291" s="25" t="n"/>
      <c r="H1291" s="24">
        <f>IF(AND($F1291="TEMP",$G1291&gt;0,$M1291&lt;&gt;""),$M1291+$G1291,"")</f>
        <v/>
      </c>
      <c r="I1291" s="22" t="n"/>
      <c r="J1291" s="22" t="n"/>
      <c r="K1291" s="24" t="n"/>
      <c r="W1291">
        <f>IF($A2="","",COUNTIF('07_Pallet_Contents'!$A$2:$A$3000,$A2))</f>
        <v/>
      </c>
      <c r="X1291">
        <f>IF($A2="","",SUMIF('07_Pallet_Contents'!$A$2:$A$3000,$A2,'07_Pallet_Contents'!$D$2:$D$3000))</f>
        <v/>
      </c>
      <c r="Y1291">
        <f>IF($A2="","",SUMIF('07_Pallet_Contents'!$A$2:$A$3000,$A2,'07_Pallet_Contents'!$I$2:$I$3000))</f>
        <v/>
      </c>
      <c r="Z1291">
        <f>IF($A2="","",IF(COUNTIF('07_Pallet_Contents'!$A$2:$A$3000,$A2)&gt;0,"Yes",""))</f>
        <v/>
      </c>
    </row>
    <row r="1292">
      <c r="B1292" s="22" t="n"/>
      <c r="G1292" s="25" t="n"/>
      <c r="H1292" s="24">
        <f>IF(AND($F1292="TEMP",$G1292&gt;0,$M1292&lt;&gt;""),$M1292+$G1292,"")</f>
        <v/>
      </c>
      <c r="I1292" s="22" t="n"/>
      <c r="J1292" s="22" t="n"/>
      <c r="K1292" s="24" t="n"/>
      <c r="W1292">
        <f>IF($A2="","",COUNTIF('07_Pallet_Contents'!$A$2:$A$3000,$A2))</f>
        <v/>
      </c>
      <c r="X1292">
        <f>IF($A2="","",SUMIF('07_Pallet_Contents'!$A$2:$A$3000,$A2,'07_Pallet_Contents'!$D$2:$D$3000))</f>
        <v/>
      </c>
      <c r="Y1292">
        <f>IF($A2="","",SUMIF('07_Pallet_Contents'!$A$2:$A$3000,$A2,'07_Pallet_Contents'!$I$2:$I$3000))</f>
        <v/>
      </c>
      <c r="Z1292">
        <f>IF($A2="","",IF(COUNTIF('07_Pallet_Contents'!$A$2:$A$3000,$A2)&gt;0,"Yes",""))</f>
        <v/>
      </c>
    </row>
    <row r="1293">
      <c r="B1293" s="22" t="n"/>
      <c r="G1293" s="25" t="n"/>
      <c r="H1293" s="24">
        <f>IF(AND($F1293="TEMP",$G1293&gt;0,$M1293&lt;&gt;""),$M1293+$G1293,"")</f>
        <v/>
      </c>
      <c r="I1293" s="22" t="n"/>
      <c r="J1293" s="22" t="n"/>
      <c r="K1293" s="24" t="n"/>
      <c r="W1293">
        <f>IF($A2="","",COUNTIF('07_Pallet_Contents'!$A$2:$A$3000,$A2))</f>
        <v/>
      </c>
      <c r="X1293">
        <f>IF($A2="","",SUMIF('07_Pallet_Contents'!$A$2:$A$3000,$A2,'07_Pallet_Contents'!$D$2:$D$3000))</f>
        <v/>
      </c>
      <c r="Y1293">
        <f>IF($A2="","",SUMIF('07_Pallet_Contents'!$A$2:$A$3000,$A2,'07_Pallet_Contents'!$I$2:$I$3000))</f>
        <v/>
      </c>
      <c r="Z1293">
        <f>IF($A2="","",IF(COUNTIF('07_Pallet_Contents'!$A$2:$A$3000,$A2)&gt;0,"Yes",""))</f>
        <v/>
      </c>
    </row>
    <row r="1294">
      <c r="B1294" s="22" t="n"/>
      <c r="G1294" s="25" t="n"/>
      <c r="H1294" s="24">
        <f>IF(AND($F1294="TEMP",$G1294&gt;0,$M1294&lt;&gt;""),$M1294+$G1294,"")</f>
        <v/>
      </c>
      <c r="I1294" s="22" t="n"/>
      <c r="J1294" s="22" t="n"/>
      <c r="K1294" s="24" t="n"/>
      <c r="W1294">
        <f>IF($A2="","",COUNTIF('07_Pallet_Contents'!$A$2:$A$3000,$A2))</f>
        <v/>
      </c>
      <c r="X1294">
        <f>IF($A2="","",SUMIF('07_Pallet_Contents'!$A$2:$A$3000,$A2,'07_Pallet_Contents'!$D$2:$D$3000))</f>
        <v/>
      </c>
      <c r="Y1294">
        <f>IF($A2="","",SUMIF('07_Pallet_Contents'!$A$2:$A$3000,$A2,'07_Pallet_Contents'!$I$2:$I$3000))</f>
        <v/>
      </c>
      <c r="Z1294">
        <f>IF($A2="","",IF(COUNTIF('07_Pallet_Contents'!$A$2:$A$3000,$A2)&gt;0,"Yes",""))</f>
        <v/>
      </c>
    </row>
    <row r="1295">
      <c r="B1295" s="22" t="n"/>
      <c r="G1295" s="25" t="n"/>
      <c r="H1295" s="24">
        <f>IF(AND($F1295="TEMP",$G1295&gt;0,$M1295&lt;&gt;""),$M1295+$G1295,"")</f>
        <v/>
      </c>
      <c r="I1295" s="22" t="n"/>
      <c r="J1295" s="22" t="n"/>
      <c r="K1295" s="24" t="n"/>
      <c r="W1295">
        <f>IF($A2="","",COUNTIF('07_Pallet_Contents'!$A$2:$A$3000,$A2))</f>
        <v/>
      </c>
      <c r="X1295">
        <f>IF($A2="","",SUMIF('07_Pallet_Contents'!$A$2:$A$3000,$A2,'07_Pallet_Contents'!$D$2:$D$3000))</f>
        <v/>
      </c>
      <c r="Y1295">
        <f>IF($A2="","",SUMIF('07_Pallet_Contents'!$A$2:$A$3000,$A2,'07_Pallet_Contents'!$I$2:$I$3000))</f>
        <v/>
      </c>
      <c r="Z1295">
        <f>IF($A2="","",IF(COUNTIF('07_Pallet_Contents'!$A$2:$A$3000,$A2)&gt;0,"Yes",""))</f>
        <v/>
      </c>
    </row>
    <row r="1296">
      <c r="B1296" s="22" t="n"/>
      <c r="G1296" s="25" t="n"/>
      <c r="H1296" s="24">
        <f>IF(AND($F1296="TEMP",$G1296&gt;0,$M1296&lt;&gt;""),$M1296+$G1296,"")</f>
        <v/>
      </c>
      <c r="I1296" s="22" t="n"/>
      <c r="J1296" s="22" t="n"/>
      <c r="K1296" s="24" t="n"/>
      <c r="W1296">
        <f>IF($A2="","",COUNTIF('07_Pallet_Contents'!$A$2:$A$3000,$A2))</f>
        <v/>
      </c>
      <c r="X1296">
        <f>IF($A2="","",SUMIF('07_Pallet_Contents'!$A$2:$A$3000,$A2,'07_Pallet_Contents'!$D$2:$D$3000))</f>
        <v/>
      </c>
      <c r="Y1296">
        <f>IF($A2="","",SUMIF('07_Pallet_Contents'!$A$2:$A$3000,$A2,'07_Pallet_Contents'!$I$2:$I$3000))</f>
        <v/>
      </c>
      <c r="Z1296">
        <f>IF($A2="","",IF(COUNTIF('07_Pallet_Contents'!$A$2:$A$3000,$A2)&gt;0,"Yes",""))</f>
        <v/>
      </c>
    </row>
    <row r="1297">
      <c r="B1297" s="22" t="n"/>
      <c r="G1297" s="25" t="n"/>
      <c r="H1297" s="24">
        <f>IF(AND($F1297="TEMP",$G1297&gt;0,$M1297&lt;&gt;""),$M1297+$G1297,"")</f>
        <v/>
      </c>
      <c r="I1297" s="22" t="n"/>
      <c r="J1297" s="22" t="n"/>
      <c r="K1297" s="24" t="n"/>
      <c r="W1297">
        <f>IF($A2="","",COUNTIF('07_Pallet_Contents'!$A$2:$A$3000,$A2))</f>
        <v/>
      </c>
      <c r="X1297">
        <f>IF($A2="","",SUMIF('07_Pallet_Contents'!$A$2:$A$3000,$A2,'07_Pallet_Contents'!$D$2:$D$3000))</f>
        <v/>
      </c>
      <c r="Y1297">
        <f>IF($A2="","",SUMIF('07_Pallet_Contents'!$A$2:$A$3000,$A2,'07_Pallet_Contents'!$I$2:$I$3000))</f>
        <v/>
      </c>
      <c r="Z1297">
        <f>IF($A2="","",IF(COUNTIF('07_Pallet_Contents'!$A$2:$A$3000,$A2)&gt;0,"Yes",""))</f>
        <v/>
      </c>
    </row>
    <row r="1298">
      <c r="B1298" s="22" t="n"/>
      <c r="G1298" s="25" t="n"/>
      <c r="H1298" s="24">
        <f>IF(AND($F1298="TEMP",$G1298&gt;0,$M1298&lt;&gt;""),$M1298+$G1298,"")</f>
        <v/>
      </c>
      <c r="I1298" s="22" t="n"/>
      <c r="J1298" s="22" t="n"/>
      <c r="K1298" s="24" t="n"/>
      <c r="W1298">
        <f>IF($A2="","",COUNTIF('07_Pallet_Contents'!$A$2:$A$3000,$A2))</f>
        <v/>
      </c>
      <c r="X1298">
        <f>IF($A2="","",SUMIF('07_Pallet_Contents'!$A$2:$A$3000,$A2,'07_Pallet_Contents'!$D$2:$D$3000))</f>
        <v/>
      </c>
      <c r="Y1298">
        <f>IF($A2="","",SUMIF('07_Pallet_Contents'!$A$2:$A$3000,$A2,'07_Pallet_Contents'!$I$2:$I$3000))</f>
        <v/>
      </c>
      <c r="Z1298">
        <f>IF($A2="","",IF(COUNTIF('07_Pallet_Contents'!$A$2:$A$3000,$A2)&gt;0,"Yes",""))</f>
        <v/>
      </c>
    </row>
    <row r="1299">
      <c r="B1299" s="22" t="n"/>
      <c r="G1299" s="25" t="n"/>
      <c r="H1299" s="24">
        <f>IF(AND($F1299="TEMP",$G1299&gt;0,$M1299&lt;&gt;""),$M1299+$G1299,"")</f>
        <v/>
      </c>
      <c r="I1299" s="22" t="n"/>
      <c r="J1299" s="22" t="n"/>
      <c r="K1299" s="24" t="n"/>
      <c r="W1299">
        <f>IF($A2="","",COUNTIF('07_Pallet_Contents'!$A$2:$A$3000,$A2))</f>
        <v/>
      </c>
      <c r="X1299">
        <f>IF($A2="","",SUMIF('07_Pallet_Contents'!$A$2:$A$3000,$A2,'07_Pallet_Contents'!$D$2:$D$3000))</f>
        <v/>
      </c>
      <c r="Y1299">
        <f>IF($A2="","",SUMIF('07_Pallet_Contents'!$A$2:$A$3000,$A2,'07_Pallet_Contents'!$I$2:$I$3000))</f>
        <v/>
      </c>
      <c r="Z1299">
        <f>IF($A2="","",IF(COUNTIF('07_Pallet_Contents'!$A$2:$A$3000,$A2)&gt;0,"Yes",""))</f>
        <v/>
      </c>
    </row>
    <row r="1300">
      <c r="B1300" s="22" t="n"/>
      <c r="G1300" s="25" t="n"/>
      <c r="H1300" s="24">
        <f>IF(AND($F1300="TEMP",$G1300&gt;0,$M1300&lt;&gt;""),$M1300+$G1300,"")</f>
        <v/>
      </c>
      <c r="I1300" s="22" t="n"/>
      <c r="J1300" s="22" t="n"/>
      <c r="K1300" s="24" t="n"/>
      <c r="W1300">
        <f>IF($A2="","",COUNTIF('07_Pallet_Contents'!$A$2:$A$3000,$A2))</f>
        <v/>
      </c>
      <c r="X1300">
        <f>IF($A2="","",SUMIF('07_Pallet_Contents'!$A$2:$A$3000,$A2,'07_Pallet_Contents'!$D$2:$D$3000))</f>
        <v/>
      </c>
      <c r="Y1300">
        <f>IF($A2="","",SUMIF('07_Pallet_Contents'!$A$2:$A$3000,$A2,'07_Pallet_Contents'!$I$2:$I$3000))</f>
        <v/>
      </c>
      <c r="Z1300">
        <f>IF($A2="","",IF(COUNTIF('07_Pallet_Contents'!$A$2:$A$3000,$A2)&gt;0,"Yes",""))</f>
        <v/>
      </c>
    </row>
    <row r="1301">
      <c r="B1301" s="22" t="n"/>
      <c r="G1301" s="25" t="n"/>
      <c r="H1301" s="24">
        <f>IF(AND($F1301="TEMP",$G1301&gt;0,$M1301&lt;&gt;""),$M1301+$G1301,"")</f>
        <v/>
      </c>
      <c r="I1301" s="22" t="n"/>
      <c r="J1301" s="22" t="n"/>
      <c r="K1301" s="24" t="n"/>
      <c r="W1301">
        <f>IF($A2="","",COUNTIF('07_Pallet_Contents'!$A$2:$A$3000,$A2))</f>
        <v/>
      </c>
      <c r="X1301">
        <f>IF($A2="","",SUMIF('07_Pallet_Contents'!$A$2:$A$3000,$A2,'07_Pallet_Contents'!$D$2:$D$3000))</f>
        <v/>
      </c>
      <c r="Y1301">
        <f>IF($A2="","",SUMIF('07_Pallet_Contents'!$A$2:$A$3000,$A2,'07_Pallet_Contents'!$I$2:$I$3000))</f>
        <v/>
      </c>
      <c r="Z1301">
        <f>IF($A2="","",IF(COUNTIF('07_Pallet_Contents'!$A$2:$A$3000,$A2)&gt;0,"Yes",""))</f>
        <v/>
      </c>
    </row>
    <row r="1302">
      <c r="B1302" s="22" t="n"/>
      <c r="G1302" s="25" t="n"/>
      <c r="H1302" s="24">
        <f>IF(AND($F1302="TEMP",$G1302&gt;0,$M1302&lt;&gt;""),$M1302+$G1302,"")</f>
        <v/>
      </c>
      <c r="I1302" s="22" t="n"/>
      <c r="J1302" s="22" t="n"/>
      <c r="K1302" s="24" t="n"/>
      <c r="W1302">
        <f>IF($A2="","",COUNTIF('07_Pallet_Contents'!$A$2:$A$3000,$A2))</f>
        <v/>
      </c>
      <c r="X1302">
        <f>IF($A2="","",SUMIF('07_Pallet_Contents'!$A$2:$A$3000,$A2,'07_Pallet_Contents'!$D$2:$D$3000))</f>
        <v/>
      </c>
      <c r="Y1302">
        <f>IF($A2="","",SUMIF('07_Pallet_Contents'!$A$2:$A$3000,$A2,'07_Pallet_Contents'!$I$2:$I$3000))</f>
        <v/>
      </c>
      <c r="Z1302">
        <f>IF($A2="","",IF(COUNTIF('07_Pallet_Contents'!$A$2:$A$3000,$A2)&gt;0,"Yes",""))</f>
        <v/>
      </c>
    </row>
    <row r="1303">
      <c r="B1303" s="22" t="n"/>
      <c r="G1303" s="25" t="n"/>
      <c r="H1303" s="24">
        <f>IF(AND($F1303="TEMP",$G1303&gt;0,$M1303&lt;&gt;""),$M1303+$G1303,"")</f>
        <v/>
      </c>
      <c r="I1303" s="22" t="n"/>
      <c r="J1303" s="22" t="n"/>
      <c r="K1303" s="24" t="n"/>
      <c r="W1303">
        <f>IF($A2="","",COUNTIF('07_Pallet_Contents'!$A$2:$A$3000,$A2))</f>
        <v/>
      </c>
      <c r="X1303">
        <f>IF($A2="","",SUMIF('07_Pallet_Contents'!$A$2:$A$3000,$A2,'07_Pallet_Contents'!$D$2:$D$3000))</f>
        <v/>
      </c>
      <c r="Y1303">
        <f>IF($A2="","",SUMIF('07_Pallet_Contents'!$A$2:$A$3000,$A2,'07_Pallet_Contents'!$I$2:$I$3000))</f>
        <v/>
      </c>
      <c r="Z1303">
        <f>IF($A2="","",IF(COUNTIF('07_Pallet_Contents'!$A$2:$A$3000,$A2)&gt;0,"Yes",""))</f>
        <v/>
      </c>
    </row>
    <row r="1304">
      <c r="B1304" s="22" t="n"/>
      <c r="G1304" s="25" t="n"/>
      <c r="H1304" s="24">
        <f>IF(AND($F1304="TEMP",$G1304&gt;0,$M1304&lt;&gt;""),$M1304+$G1304,"")</f>
        <v/>
      </c>
      <c r="I1304" s="22" t="n"/>
      <c r="J1304" s="22" t="n"/>
      <c r="K1304" s="24" t="n"/>
      <c r="W1304">
        <f>IF($A2="","",COUNTIF('07_Pallet_Contents'!$A$2:$A$3000,$A2))</f>
        <v/>
      </c>
      <c r="X1304">
        <f>IF($A2="","",SUMIF('07_Pallet_Contents'!$A$2:$A$3000,$A2,'07_Pallet_Contents'!$D$2:$D$3000))</f>
        <v/>
      </c>
      <c r="Y1304">
        <f>IF($A2="","",SUMIF('07_Pallet_Contents'!$A$2:$A$3000,$A2,'07_Pallet_Contents'!$I$2:$I$3000))</f>
        <v/>
      </c>
      <c r="Z1304">
        <f>IF($A2="","",IF(COUNTIF('07_Pallet_Contents'!$A$2:$A$3000,$A2)&gt;0,"Yes",""))</f>
        <v/>
      </c>
    </row>
    <row r="1305">
      <c r="B1305" s="22" t="n"/>
      <c r="G1305" s="25" t="n"/>
      <c r="H1305" s="24">
        <f>IF(AND($F1305="TEMP",$G1305&gt;0,$M1305&lt;&gt;""),$M1305+$G1305,"")</f>
        <v/>
      </c>
      <c r="I1305" s="22" t="n"/>
      <c r="J1305" s="22" t="n"/>
      <c r="K1305" s="24" t="n"/>
      <c r="W1305">
        <f>IF($A2="","",COUNTIF('07_Pallet_Contents'!$A$2:$A$3000,$A2))</f>
        <v/>
      </c>
      <c r="X1305">
        <f>IF($A2="","",SUMIF('07_Pallet_Contents'!$A$2:$A$3000,$A2,'07_Pallet_Contents'!$D$2:$D$3000))</f>
        <v/>
      </c>
      <c r="Y1305">
        <f>IF($A2="","",SUMIF('07_Pallet_Contents'!$A$2:$A$3000,$A2,'07_Pallet_Contents'!$I$2:$I$3000))</f>
        <v/>
      </c>
      <c r="Z1305">
        <f>IF($A2="","",IF(COUNTIF('07_Pallet_Contents'!$A$2:$A$3000,$A2)&gt;0,"Yes",""))</f>
        <v/>
      </c>
    </row>
    <row r="1306">
      <c r="B1306" s="22" t="n"/>
      <c r="G1306" s="25" t="n"/>
      <c r="H1306" s="24">
        <f>IF(AND($F1306="TEMP",$G1306&gt;0,$M1306&lt;&gt;""),$M1306+$G1306,"")</f>
        <v/>
      </c>
      <c r="I1306" s="22" t="n"/>
      <c r="J1306" s="22" t="n"/>
      <c r="K1306" s="24" t="n"/>
      <c r="W1306">
        <f>IF($A2="","",COUNTIF('07_Pallet_Contents'!$A$2:$A$3000,$A2))</f>
        <v/>
      </c>
      <c r="X1306">
        <f>IF($A2="","",SUMIF('07_Pallet_Contents'!$A$2:$A$3000,$A2,'07_Pallet_Contents'!$D$2:$D$3000))</f>
        <v/>
      </c>
      <c r="Y1306">
        <f>IF($A2="","",SUMIF('07_Pallet_Contents'!$A$2:$A$3000,$A2,'07_Pallet_Contents'!$I$2:$I$3000))</f>
        <v/>
      </c>
      <c r="Z1306">
        <f>IF($A2="","",IF(COUNTIF('07_Pallet_Contents'!$A$2:$A$3000,$A2)&gt;0,"Yes",""))</f>
        <v/>
      </c>
    </row>
    <row r="1307">
      <c r="B1307" s="22" t="n"/>
      <c r="G1307" s="25" t="n"/>
      <c r="H1307" s="24">
        <f>IF(AND($F1307="TEMP",$G1307&gt;0,$M1307&lt;&gt;""),$M1307+$G1307,"")</f>
        <v/>
      </c>
      <c r="I1307" s="22" t="n"/>
      <c r="J1307" s="22" t="n"/>
      <c r="K1307" s="24" t="n"/>
      <c r="W1307">
        <f>IF($A2="","",COUNTIF('07_Pallet_Contents'!$A$2:$A$3000,$A2))</f>
        <v/>
      </c>
      <c r="X1307">
        <f>IF($A2="","",SUMIF('07_Pallet_Contents'!$A$2:$A$3000,$A2,'07_Pallet_Contents'!$D$2:$D$3000))</f>
        <v/>
      </c>
      <c r="Y1307">
        <f>IF($A2="","",SUMIF('07_Pallet_Contents'!$A$2:$A$3000,$A2,'07_Pallet_Contents'!$I$2:$I$3000))</f>
        <v/>
      </c>
      <c r="Z1307">
        <f>IF($A2="","",IF(COUNTIF('07_Pallet_Contents'!$A$2:$A$3000,$A2)&gt;0,"Yes",""))</f>
        <v/>
      </c>
    </row>
    <row r="1308">
      <c r="B1308" s="22" t="n"/>
      <c r="G1308" s="25" t="n"/>
      <c r="H1308" s="24">
        <f>IF(AND($F1308="TEMP",$G1308&gt;0,$M1308&lt;&gt;""),$M1308+$G1308,"")</f>
        <v/>
      </c>
      <c r="I1308" s="22" t="n"/>
      <c r="J1308" s="22" t="n"/>
      <c r="K1308" s="24" t="n"/>
      <c r="W1308">
        <f>IF($A2="","",COUNTIF('07_Pallet_Contents'!$A$2:$A$3000,$A2))</f>
        <v/>
      </c>
      <c r="X1308">
        <f>IF($A2="","",SUMIF('07_Pallet_Contents'!$A$2:$A$3000,$A2,'07_Pallet_Contents'!$D$2:$D$3000))</f>
        <v/>
      </c>
      <c r="Y1308">
        <f>IF($A2="","",SUMIF('07_Pallet_Contents'!$A$2:$A$3000,$A2,'07_Pallet_Contents'!$I$2:$I$3000))</f>
        <v/>
      </c>
      <c r="Z1308">
        <f>IF($A2="","",IF(COUNTIF('07_Pallet_Contents'!$A$2:$A$3000,$A2)&gt;0,"Yes",""))</f>
        <v/>
      </c>
    </row>
    <row r="1309">
      <c r="B1309" s="22" t="n"/>
      <c r="G1309" s="25" t="n"/>
      <c r="H1309" s="24">
        <f>IF(AND($F1309="TEMP",$G1309&gt;0,$M1309&lt;&gt;""),$M1309+$G1309,"")</f>
        <v/>
      </c>
      <c r="I1309" s="22" t="n"/>
      <c r="J1309" s="22" t="n"/>
      <c r="K1309" s="24" t="n"/>
      <c r="W1309">
        <f>IF($A2="","",COUNTIF('07_Pallet_Contents'!$A$2:$A$3000,$A2))</f>
        <v/>
      </c>
      <c r="X1309">
        <f>IF($A2="","",SUMIF('07_Pallet_Contents'!$A$2:$A$3000,$A2,'07_Pallet_Contents'!$D$2:$D$3000))</f>
        <v/>
      </c>
      <c r="Y1309">
        <f>IF($A2="","",SUMIF('07_Pallet_Contents'!$A$2:$A$3000,$A2,'07_Pallet_Contents'!$I$2:$I$3000))</f>
        <v/>
      </c>
      <c r="Z1309">
        <f>IF($A2="","",IF(COUNTIF('07_Pallet_Contents'!$A$2:$A$3000,$A2)&gt;0,"Yes",""))</f>
        <v/>
      </c>
    </row>
    <row r="1310">
      <c r="B1310" s="22" t="n"/>
      <c r="G1310" s="25" t="n"/>
      <c r="H1310" s="24">
        <f>IF(AND($F1310="TEMP",$G1310&gt;0,$M1310&lt;&gt;""),$M1310+$G1310,"")</f>
        <v/>
      </c>
      <c r="I1310" s="22" t="n"/>
      <c r="J1310" s="22" t="n"/>
      <c r="K1310" s="24" t="n"/>
      <c r="W1310">
        <f>IF($A2="","",COUNTIF('07_Pallet_Contents'!$A$2:$A$3000,$A2))</f>
        <v/>
      </c>
      <c r="X1310">
        <f>IF($A2="","",SUMIF('07_Pallet_Contents'!$A$2:$A$3000,$A2,'07_Pallet_Contents'!$D$2:$D$3000))</f>
        <v/>
      </c>
      <c r="Y1310">
        <f>IF($A2="","",SUMIF('07_Pallet_Contents'!$A$2:$A$3000,$A2,'07_Pallet_Contents'!$I$2:$I$3000))</f>
        <v/>
      </c>
      <c r="Z1310">
        <f>IF($A2="","",IF(COUNTIF('07_Pallet_Contents'!$A$2:$A$3000,$A2)&gt;0,"Yes",""))</f>
        <v/>
      </c>
    </row>
    <row r="1311">
      <c r="B1311" s="22" t="n"/>
      <c r="G1311" s="25" t="n"/>
      <c r="H1311" s="24">
        <f>IF(AND($F1311="TEMP",$G1311&gt;0,$M1311&lt;&gt;""),$M1311+$G1311,"")</f>
        <v/>
      </c>
      <c r="I1311" s="22" t="n"/>
      <c r="J1311" s="22" t="n"/>
      <c r="K1311" s="24" t="n"/>
      <c r="W1311">
        <f>IF($A2="","",COUNTIF('07_Pallet_Contents'!$A$2:$A$3000,$A2))</f>
        <v/>
      </c>
      <c r="X1311">
        <f>IF($A2="","",SUMIF('07_Pallet_Contents'!$A$2:$A$3000,$A2,'07_Pallet_Contents'!$D$2:$D$3000))</f>
        <v/>
      </c>
      <c r="Y1311">
        <f>IF($A2="","",SUMIF('07_Pallet_Contents'!$A$2:$A$3000,$A2,'07_Pallet_Contents'!$I$2:$I$3000))</f>
        <v/>
      </c>
      <c r="Z1311">
        <f>IF($A2="","",IF(COUNTIF('07_Pallet_Contents'!$A$2:$A$3000,$A2)&gt;0,"Yes",""))</f>
        <v/>
      </c>
    </row>
    <row r="1312">
      <c r="B1312" s="22" t="n"/>
      <c r="G1312" s="25" t="n"/>
      <c r="H1312" s="24">
        <f>IF(AND($F1312="TEMP",$G1312&gt;0,$M1312&lt;&gt;""),$M1312+$G1312,"")</f>
        <v/>
      </c>
      <c r="I1312" s="22" t="n"/>
      <c r="J1312" s="22" t="n"/>
      <c r="K1312" s="24" t="n"/>
      <c r="W1312">
        <f>IF($A2="","",COUNTIF('07_Pallet_Contents'!$A$2:$A$3000,$A2))</f>
        <v/>
      </c>
      <c r="X1312">
        <f>IF($A2="","",SUMIF('07_Pallet_Contents'!$A$2:$A$3000,$A2,'07_Pallet_Contents'!$D$2:$D$3000))</f>
        <v/>
      </c>
      <c r="Y1312">
        <f>IF($A2="","",SUMIF('07_Pallet_Contents'!$A$2:$A$3000,$A2,'07_Pallet_Contents'!$I$2:$I$3000))</f>
        <v/>
      </c>
      <c r="Z1312">
        <f>IF($A2="","",IF(COUNTIF('07_Pallet_Contents'!$A$2:$A$3000,$A2)&gt;0,"Yes",""))</f>
        <v/>
      </c>
    </row>
    <row r="1313">
      <c r="B1313" s="22" t="n"/>
      <c r="G1313" s="25" t="n"/>
      <c r="H1313" s="24">
        <f>IF(AND($F1313="TEMP",$G1313&gt;0,$M1313&lt;&gt;""),$M1313+$G1313,"")</f>
        <v/>
      </c>
      <c r="I1313" s="22" t="n"/>
      <c r="J1313" s="22" t="n"/>
      <c r="K1313" s="24" t="n"/>
      <c r="W1313">
        <f>IF($A2="","",COUNTIF('07_Pallet_Contents'!$A$2:$A$3000,$A2))</f>
        <v/>
      </c>
      <c r="X1313">
        <f>IF($A2="","",SUMIF('07_Pallet_Contents'!$A$2:$A$3000,$A2,'07_Pallet_Contents'!$D$2:$D$3000))</f>
        <v/>
      </c>
      <c r="Y1313">
        <f>IF($A2="","",SUMIF('07_Pallet_Contents'!$A$2:$A$3000,$A2,'07_Pallet_Contents'!$I$2:$I$3000))</f>
        <v/>
      </c>
      <c r="Z1313">
        <f>IF($A2="","",IF(COUNTIF('07_Pallet_Contents'!$A$2:$A$3000,$A2)&gt;0,"Yes",""))</f>
        <v/>
      </c>
    </row>
    <row r="1314">
      <c r="B1314" s="22" t="n"/>
      <c r="G1314" s="25" t="n"/>
      <c r="H1314" s="24">
        <f>IF(AND($F1314="TEMP",$G1314&gt;0,$M1314&lt;&gt;""),$M1314+$G1314,"")</f>
        <v/>
      </c>
      <c r="I1314" s="22" t="n"/>
      <c r="J1314" s="22" t="n"/>
      <c r="K1314" s="24" t="n"/>
      <c r="W1314">
        <f>IF($A2="","",COUNTIF('07_Pallet_Contents'!$A$2:$A$3000,$A2))</f>
        <v/>
      </c>
      <c r="X1314">
        <f>IF($A2="","",SUMIF('07_Pallet_Contents'!$A$2:$A$3000,$A2,'07_Pallet_Contents'!$D$2:$D$3000))</f>
        <v/>
      </c>
      <c r="Y1314">
        <f>IF($A2="","",SUMIF('07_Pallet_Contents'!$A$2:$A$3000,$A2,'07_Pallet_Contents'!$I$2:$I$3000))</f>
        <v/>
      </c>
      <c r="Z1314">
        <f>IF($A2="","",IF(COUNTIF('07_Pallet_Contents'!$A$2:$A$3000,$A2)&gt;0,"Yes",""))</f>
        <v/>
      </c>
    </row>
    <row r="1315">
      <c r="B1315" s="22" t="n"/>
      <c r="G1315" s="25" t="n"/>
      <c r="H1315" s="24">
        <f>IF(AND($F1315="TEMP",$G1315&gt;0,$M1315&lt;&gt;""),$M1315+$G1315,"")</f>
        <v/>
      </c>
      <c r="I1315" s="22" t="n"/>
      <c r="J1315" s="22" t="n"/>
      <c r="K1315" s="24" t="n"/>
      <c r="W1315">
        <f>IF($A2="","",COUNTIF('07_Pallet_Contents'!$A$2:$A$3000,$A2))</f>
        <v/>
      </c>
      <c r="X1315">
        <f>IF($A2="","",SUMIF('07_Pallet_Contents'!$A$2:$A$3000,$A2,'07_Pallet_Contents'!$D$2:$D$3000))</f>
        <v/>
      </c>
      <c r="Y1315">
        <f>IF($A2="","",SUMIF('07_Pallet_Contents'!$A$2:$A$3000,$A2,'07_Pallet_Contents'!$I$2:$I$3000))</f>
        <v/>
      </c>
      <c r="Z1315">
        <f>IF($A2="","",IF(COUNTIF('07_Pallet_Contents'!$A$2:$A$3000,$A2)&gt;0,"Yes",""))</f>
        <v/>
      </c>
    </row>
    <row r="1316">
      <c r="B1316" s="22" t="n"/>
      <c r="G1316" s="25" t="n"/>
      <c r="H1316" s="24">
        <f>IF(AND($F1316="TEMP",$G1316&gt;0,$M1316&lt;&gt;""),$M1316+$G1316,"")</f>
        <v/>
      </c>
      <c r="I1316" s="22" t="n"/>
      <c r="J1316" s="22" t="n"/>
      <c r="K1316" s="24" t="n"/>
      <c r="W1316">
        <f>IF($A2="","",COUNTIF('07_Pallet_Contents'!$A$2:$A$3000,$A2))</f>
        <v/>
      </c>
      <c r="X1316">
        <f>IF($A2="","",SUMIF('07_Pallet_Contents'!$A$2:$A$3000,$A2,'07_Pallet_Contents'!$D$2:$D$3000))</f>
        <v/>
      </c>
      <c r="Y1316">
        <f>IF($A2="","",SUMIF('07_Pallet_Contents'!$A$2:$A$3000,$A2,'07_Pallet_Contents'!$I$2:$I$3000))</f>
        <v/>
      </c>
      <c r="Z1316">
        <f>IF($A2="","",IF(COUNTIF('07_Pallet_Contents'!$A$2:$A$3000,$A2)&gt;0,"Yes",""))</f>
        <v/>
      </c>
    </row>
    <row r="1317">
      <c r="B1317" s="22" t="n"/>
      <c r="G1317" s="25" t="n"/>
      <c r="H1317" s="24">
        <f>IF(AND($F1317="TEMP",$G1317&gt;0,$M1317&lt;&gt;""),$M1317+$G1317,"")</f>
        <v/>
      </c>
      <c r="I1317" s="22" t="n"/>
      <c r="J1317" s="22" t="n"/>
      <c r="K1317" s="24" t="n"/>
      <c r="W1317">
        <f>IF($A2="","",COUNTIF('07_Pallet_Contents'!$A$2:$A$3000,$A2))</f>
        <v/>
      </c>
      <c r="X1317">
        <f>IF($A2="","",SUMIF('07_Pallet_Contents'!$A$2:$A$3000,$A2,'07_Pallet_Contents'!$D$2:$D$3000))</f>
        <v/>
      </c>
      <c r="Y1317">
        <f>IF($A2="","",SUMIF('07_Pallet_Contents'!$A$2:$A$3000,$A2,'07_Pallet_Contents'!$I$2:$I$3000))</f>
        <v/>
      </c>
      <c r="Z1317">
        <f>IF($A2="","",IF(COUNTIF('07_Pallet_Contents'!$A$2:$A$3000,$A2)&gt;0,"Yes",""))</f>
        <v/>
      </c>
    </row>
    <row r="1318">
      <c r="B1318" s="22" t="n"/>
      <c r="G1318" s="25" t="n"/>
      <c r="H1318" s="24">
        <f>IF(AND($F1318="TEMP",$G1318&gt;0,$M1318&lt;&gt;""),$M1318+$G1318,"")</f>
        <v/>
      </c>
      <c r="I1318" s="22" t="n"/>
      <c r="J1318" s="22" t="n"/>
      <c r="K1318" s="24" t="n"/>
      <c r="W1318">
        <f>IF($A2="","",COUNTIF('07_Pallet_Contents'!$A$2:$A$3000,$A2))</f>
        <v/>
      </c>
      <c r="X1318">
        <f>IF($A2="","",SUMIF('07_Pallet_Contents'!$A$2:$A$3000,$A2,'07_Pallet_Contents'!$D$2:$D$3000))</f>
        <v/>
      </c>
      <c r="Y1318">
        <f>IF($A2="","",SUMIF('07_Pallet_Contents'!$A$2:$A$3000,$A2,'07_Pallet_Contents'!$I$2:$I$3000))</f>
        <v/>
      </c>
      <c r="Z1318">
        <f>IF($A2="","",IF(COUNTIF('07_Pallet_Contents'!$A$2:$A$3000,$A2)&gt;0,"Yes",""))</f>
        <v/>
      </c>
    </row>
    <row r="1319">
      <c r="B1319" s="22" t="n"/>
      <c r="G1319" s="25" t="n"/>
      <c r="H1319" s="24">
        <f>IF(AND($F1319="TEMP",$G1319&gt;0,$M1319&lt;&gt;""),$M1319+$G1319,"")</f>
        <v/>
      </c>
      <c r="I1319" s="22" t="n"/>
      <c r="J1319" s="22" t="n"/>
      <c r="K1319" s="24" t="n"/>
      <c r="W1319">
        <f>IF($A2="","",COUNTIF('07_Pallet_Contents'!$A$2:$A$3000,$A2))</f>
        <v/>
      </c>
      <c r="X1319">
        <f>IF($A2="","",SUMIF('07_Pallet_Contents'!$A$2:$A$3000,$A2,'07_Pallet_Contents'!$D$2:$D$3000))</f>
        <v/>
      </c>
      <c r="Y1319">
        <f>IF($A2="","",SUMIF('07_Pallet_Contents'!$A$2:$A$3000,$A2,'07_Pallet_Contents'!$I$2:$I$3000))</f>
        <v/>
      </c>
      <c r="Z1319">
        <f>IF($A2="","",IF(COUNTIF('07_Pallet_Contents'!$A$2:$A$3000,$A2)&gt;0,"Yes",""))</f>
        <v/>
      </c>
    </row>
    <row r="1320">
      <c r="B1320" s="22" t="n"/>
      <c r="G1320" s="25" t="n"/>
      <c r="H1320" s="24">
        <f>IF(AND($F1320="TEMP",$G1320&gt;0,$M1320&lt;&gt;""),$M1320+$G1320,"")</f>
        <v/>
      </c>
      <c r="I1320" s="22" t="n"/>
      <c r="J1320" s="22" t="n"/>
      <c r="K1320" s="24" t="n"/>
      <c r="W1320">
        <f>IF($A2="","",COUNTIF('07_Pallet_Contents'!$A$2:$A$3000,$A2))</f>
        <v/>
      </c>
      <c r="X1320">
        <f>IF($A2="","",SUMIF('07_Pallet_Contents'!$A$2:$A$3000,$A2,'07_Pallet_Contents'!$D$2:$D$3000))</f>
        <v/>
      </c>
      <c r="Y1320">
        <f>IF($A2="","",SUMIF('07_Pallet_Contents'!$A$2:$A$3000,$A2,'07_Pallet_Contents'!$I$2:$I$3000))</f>
        <v/>
      </c>
      <c r="Z1320">
        <f>IF($A2="","",IF(COUNTIF('07_Pallet_Contents'!$A$2:$A$3000,$A2)&gt;0,"Yes",""))</f>
        <v/>
      </c>
    </row>
    <row r="1321">
      <c r="B1321" s="22" t="n"/>
      <c r="G1321" s="25" t="n"/>
      <c r="H1321" s="24">
        <f>IF(AND($F1321="TEMP",$G1321&gt;0,$M1321&lt;&gt;""),$M1321+$G1321,"")</f>
        <v/>
      </c>
      <c r="I1321" s="22" t="n"/>
      <c r="J1321" s="22" t="n"/>
      <c r="K1321" s="24" t="n"/>
      <c r="W1321">
        <f>IF($A2="","",COUNTIF('07_Pallet_Contents'!$A$2:$A$3000,$A2))</f>
        <v/>
      </c>
      <c r="X1321">
        <f>IF($A2="","",SUMIF('07_Pallet_Contents'!$A$2:$A$3000,$A2,'07_Pallet_Contents'!$D$2:$D$3000))</f>
        <v/>
      </c>
      <c r="Y1321">
        <f>IF($A2="","",SUMIF('07_Pallet_Contents'!$A$2:$A$3000,$A2,'07_Pallet_Contents'!$I$2:$I$3000))</f>
        <v/>
      </c>
      <c r="Z1321">
        <f>IF($A2="","",IF(COUNTIF('07_Pallet_Contents'!$A$2:$A$3000,$A2)&gt;0,"Yes",""))</f>
        <v/>
      </c>
    </row>
    <row r="1322">
      <c r="B1322" s="22" t="n"/>
      <c r="G1322" s="25" t="n"/>
      <c r="H1322" s="24">
        <f>IF(AND($F1322="TEMP",$G1322&gt;0,$M1322&lt;&gt;""),$M1322+$G1322,"")</f>
        <v/>
      </c>
      <c r="I1322" s="22" t="n"/>
      <c r="J1322" s="22" t="n"/>
      <c r="K1322" s="24" t="n"/>
      <c r="W1322">
        <f>IF($A2="","",COUNTIF('07_Pallet_Contents'!$A$2:$A$3000,$A2))</f>
        <v/>
      </c>
      <c r="X1322">
        <f>IF($A2="","",SUMIF('07_Pallet_Contents'!$A$2:$A$3000,$A2,'07_Pallet_Contents'!$D$2:$D$3000))</f>
        <v/>
      </c>
      <c r="Y1322">
        <f>IF($A2="","",SUMIF('07_Pallet_Contents'!$A$2:$A$3000,$A2,'07_Pallet_Contents'!$I$2:$I$3000))</f>
        <v/>
      </c>
      <c r="Z1322">
        <f>IF($A2="","",IF(COUNTIF('07_Pallet_Contents'!$A$2:$A$3000,$A2)&gt;0,"Yes",""))</f>
        <v/>
      </c>
    </row>
    <row r="1323">
      <c r="B1323" s="22" t="n"/>
      <c r="G1323" s="25" t="n"/>
      <c r="H1323" s="24">
        <f>IF(AND($F1323="TEMP",$G1323&gt;0,$M1323&lt;&gt;""),$M1323+$G1323,"")</f>
        <v/>
      </c>
      <c r="I1323" s="22" t="n"/>
      <c r="J1323" s="22" t="n"/>
      <c r="K1323" s="24" t="n"/>
      <c r="W1323">
        <f>IF($A2="","",COUNTIF('07_Pallet_Contents'!$A$2:$A$3000,$A2))</f>
        <v/>
      </c>
      <c r="X1323">
        <f>IF($A2="","",SUMIF('07_Pallet_Contents'!$A$2:$A$3000,$A2,'07_Pallet_Contents'!$D$2:$D$3000))</f>
        <v/>
      </c>
      <c r="Y1323">
        <f>IF($A2="","",SUMIF('07_Pallet_Contents'!$A$2:$A$3000,$A2,'07_Pallet_Contents'!$I$2:$I$3000))</f>
        <v/>
      </c>
      <c r="Z1323">
        <f>IF($A2="","",IF(COUNTIF('07_Pallet_Contents'!$A$2:$A$3000,$A2)&gt;0,"Yes",""))</f>
        <v/>
      </c>
    </row>
    <row r="1324">
      <c r="B1324" s="22" t="n"/>
      <c r="G1324" s="25" t="n"/>
      <c r="H1324" s="24">
        <f>IF(AND($F1324="TEMP",$G1324&gt;0,$M1324&lt;&gt;""),$M1324+$G1324,"")</f>
        <v/>
      </c>
      <c r="I1324" s="22" t="n"/>
      <c r="J1324" s="22" t="n"/>
      <c r="K1324" s="24" t="n"/>
      <c r="W1324">
        <f>IF($A2="","",COUNTIF('07_Pallet_Contents'!$A$2:$A$3000,$A2))</f>
        <v/>
      </c>
      <c r="X1324">
        <f>IF($A2="","",SUMIF('07_Pallet_Contents'!$A$2:$A$3000,$A2,'07_Pallet_Contents'!$D$2:$D$3000))</f>
        <v/>
      </c>
      <c r="Y1324">
        <f>IF($A2="","",SUMIF('07_Pallet_Contents'!$A$2:$A$3000,$A2,'07_Pallet_Contents'!$I$2:$I$3000))</f>
        <v/>
      </c>
      <c r="Z1324">
        <f>IF($A2="","",IF(COUNTIF('07_Pallet_Contents'!$A$2:$A$3000,$A2)&gt;0,"Yes",""))</f>
        <v/>
      </c>
    </row>
    <row r="1325">
      <c r="B1325" s="22" t="n"/>
      <c r="G1325" s="25" t="n"/>
      <c r="H1325" s="24">
        <f>IF(AND($F1325="TEMP",$G1325&gt;0,$M1325&lt;&gt;""),$M1325+$G1325,"")</f>
        <v/>
      </c>
      <c r="I1325" s="22" t="n"/>
      <c r="J1325" s="22" t="n"/>
      <c r="K1325" s="24" t="n"/>
      <c r="W1325">
        <f>IF($A2="","",COUNTIF('07_Pallet_Contents'!$A$2:$A$3000,$A2))</f>
        <v/>
      </c>
      <c r="X1325">
        <f>IF($A2="","",SUMIF('07_Pallet_Contents'!$A$2:$A$3000,$A2,'07_Pallet_Contents'!$D$2:$D$3000))</f>
        <v/>
      </c>
      <c r="Y1325">
        <f>IF($A2="","",SUMIF('07_Pallet_Contents'!$A$2:$A$3000,$A2,'07_Pallet_Contents'!$I$2:$I$3000))</f>
        <v/>
      </c>
      <c r="Z1325">
        <f>IF($A2="","",IF(COUNTIF('07_Pallet_Contents'!$A$2:$A$3000,$A2)&gt;0,"Yes",""))</f>
        <v/>
      </c>
    </row>
    <row r="1326">
      <c r="B1326" s="22" t="n"/>
      <c r="G1326" s="25" t="n"/>
      <c r="H1326" s="24">
        <f>IF(AND($F1326="TEMP",$G1326&gt;0,$M1326&lt;&gt;""),$M1326+$G1326,"")</f>
        <v/>
      </c>
      <c r="I1326" s="22" t="n"/>
      <c r="J1326" s="22" t="n"/>
      <c r="K1326" s="24" t="n"/>
      <c r="W1326">
        <f>IF($A2="","",COUNTIF('07_Pallet_Contents'!$A$2:$A$3000,$A2))</f>
        <v/>
      </c>
      <c r="X1326">
        <f>IF($A2="","",SUMIF('07_Pallet_Contents'!$A$2:$A$3000,$A2,'07_Pallet_Contents'!$D$2:$D$3000))</f>
        <v/>
      </c>
      <c r="Y1326">
        <f>IF($A2="","",SUMIF('07_Pallet_Contents'!$A$2:$A$3000,$A2,'07_Pallet_Contents'!$I$2:$I$3000))</f>
        <v/>
      </c>
      <c r="Z1326">
        <f>IF($A2="","",IF(COUNTIF('07_Pallet_Contents'!$A$2:$A$3000,$A2)&gt;0,"Yes",""))</f>
        <v/>
      </c>
    </row>
    <row r="1327">
      <c r="B1327" s="22" t="n"/>
      <c r="G1327" s="25" t="n"/>
      <c r="H1327" s="24">
        <f>IF(AND($F1327="TEMP",$G1327&gt;0,$M1327&lt;&gt;""),$M1327+$G1327,"")</f>
        <v/>
      </c>
      <c r="I1327" s="22" t="n"/>
      <c r="J1327" s="22" t="n"/>
      <c r="K1327" s="24" t="n"/>
      <c r="W1327">
        <f>IF($A2="","",COUNTIF('07_Pallet_Contents'!$A$2:$A$3000,$A2))</f>
        <v/>
      </c>
      <c r="X1327">
        <f>IF($A2="","",SUMIF('07_Pallet_Contents'!$A$2:$A$3000,$A2,'07_Pallet_Contents'!$D$2:$D$3000))</f>
        <v/>
      </c>
      <c r="Y1327">
        <f>IF($A2="","",SUMIF('07_Pallet_Contents'!$A$2:$A$3000,$A2,'07_Pallet_Contents'!$I$2:$I$3000))</f>
        <v/>
      </c>
      <c r="Z1327">
        <f>IF($A2="","",IF(COUNTIF('07_Pallet_Contents'!$A$2:$A$3000,$A2)&gt;0,"Yes",""))</f>
        <v/>
      </c>
    </row>
    <row r="1328">
      <c r="B1328" s="22" t="n"/>
      <c r="G1328" s="25" t="n"/>
      <c r="H1328" s="24">
        <f>IF(AND($F1328="TEMP",$G1328&gt;0,$M1328&lt;&gt;""),$M1328+$G1328,"")</f>
        <v/>
      </c>
      <c r="I1328" s="22" t="n"/>
      <c r="J1328" s="22" t="n"/>
      <c r="K1328" s="24" t="n"/>
      <c r="W1328">
        <f>IF($A2="","",COUNTIF('07_Pallet_Contents'!$A$2:$A$3000,$A2))</f>
        <v/>
      </c>
      <c r="X1328">
        <f>IF($A2="","",SUMIF('07_Pallet_Contents'!$A$2:$A$3000,$A2,'07_Pallet_Contents'!$D$2:$D$3000))</f>
        <v/>
      </c>
      <c r="Y1328">
        <f>IF($A2="","",SUMIF('07_Pallet_Contents'!$A$2:$A$3000,$A2,'07_Pallet_Contents'!$I$2:$I$3000))</f>
        <v/>
      </c>
      <c r="Z1328">
        <f>IF($A2="","",IF(COUNTIF('07_Pallet_Contents'!$A$2:$A$3000,$A2)&gt;0,"Yes",""))</f>
        <v/>
      </c>
    </row>
    <row r="1329">
      <c r="B1329" s="22" t="n"/>
      <c r="G1329" s="25" t="n"/>
      <c r="H1329" s="24">
        <f>IF(AND($F1329="TEMP",$G1329&gt;0,$M1329&lt;&gt;""),$M1329+$G1329,"")</f>
        <v/>
      </c>
      <c r="I1329" s="22" t="n"/>
      <c r="J1329" s="22" t="n"/>
      <c r="K1329" s="24" t="n"/>
      <c r="W1329">
        <f>IF($A2="","",COUNTIF('07_Pallet_Contents'!$A$2:$A$3000,$A2))</f>
        <v/>
      </c>
      <c r="X1329">
        <f>IF($A2="","",SUMIF('07_Pallet_Contents'!$A$2:$A$3000,$A2,'07_Pallet_Contents'!$D$2:$D$3000))</f>
        <v/>
      </c>
      <c r="Y1329">
        <f>IF($A2="","",SUMIF('07_Pallet_Contents'!$A$2:$A$3000,$A2,'07_Pallet_Contents'!$I$2:$I$3000))</f>
        <v/>
      </c>
      <c r="Z1329">
        <f>IF($A2="","",IF(COUNTIF('07_Pallet_Contents'!$A$2:$A$3000,$A2)&gt;0,"Yes",""))</f>
        <v/>
      </c>
    </row>
    <row r="1330">
      <c r="B1330" s="22" t="n"/>
      <c r="G1330" s="25" t="n"/>
      <c r="H1330" s="24">
        <f>IF(AND($F1330="TEMP",$G1330&gt;0,$M1330&lt;&gt;""),$M1330+$G1330,"")</f>
        <v/>
      </c>
      <c r="I1330" s="22" t="n"/>
      <c r="J1330" s="22" t="n"/>
      <c r="K1330" s="24" t="n"/>
      <c r="W1330">
        <f>IF($A2="","",COUNTIF('07_Pallet_Contents'!$A$2:$A$3000,$A2))</f>
        <v/>
      </c>
      <c r="X1330">
        <f>IF($A2="","",SUMIF('07_Pallet_Contents'!$A$2:$A$3000,$A2,'07_Pallet_Contents'!$D$2:$D$3000))</f>
        <v/>
      </c>
      <c r="Y1330">
        <f>IF($A2="","",SUMIF('07_Pallet_Contents'!$A$2:$A$3000,$A2,'07_Pallet_Contents'!$I$2:$I$3000))</f>
        <v/>
      </c>
      <c r="Z1330">
        <f>IF($A2="","",IF(COUNTIF('07_Pallet_Contents'!$A$2:$A$3000,$A2)&gt;0,"Yes",""))</f>
        <v/>
      </c>
    </row>
    <row r="1331">
      <c r="B1331" s="22" t="n"/>
      <c r="G1331" s="25" t="n"/>
      <c r="H1331" s="24">
        <f>IF(AND($F1331="TEMP",$G1331&gt;0,$M1331&lt;&gt;""),$M1331+$G1331,"")</f>
        <v/>
      </c>
      <c r="I1331" s="22" t="n"/>
      <c r="J1331" s="22" t="n"/>
      <c r="K1331" s="24" t="n"/>
      <c r="W1331">
        <f>IF($A2="","",COUNTIF('07_Pallet_Contents'!$A$2:$A$3000,$A2))</f>
        <v/>
      </c>
      <c r="X1331">
        <f>IF($A2="","",SUMIF('07_Pallet_Contents'!$A$2:$A$3000,$A2,'07_Pallet_Contents'!$D$2:$D$3000))</f>
        <v/>
      </c>
      <c r="Y1331">
        <f>IF($A2="","",SUMIF('07_Pallet_Contents'!$A$2:$A$3000,$A2,'07_Pallet_Contents'!$I$2:$I$3000))</f>
        <v/>
      </c>
      <c r="Z1331">
        <f>IF($A2="","",IF(COUNTIF('07_Pallet_Contents'!$A$2:$A$3000,$A2)&gt;0,"Yes",""))</f>
        <v/>
      </c>
    </row>
    <row r="1332">
      <c r="B1332" s="22" t="n"/>
      <c r="G1332" s="25" t="n"/>
      <c r="H1332" s="24">
        <f>IF(AND($F1332="TEMP",$G1332&gt;0,$M1332&lt;&gt;""),$M1332+$G1332,"")</f>
        <v/>
      </c>
      <c r="I1332" s="22" t="n"/>
      <c r="J1332" s="22" t="n"/>
      <c r="K1332" s="24" t="n"/>
      <c r="W1332">
        <f>IF($A2="","",COUNTIF('07_Pallet_Contents'!$A$2:$A$3000,$A2))</f>
        <v/>
      </c>
      <c r="X1332">
        <f>IF($A2="","",SUMIF('07_Pallet_Contents'!$A$2:$A$3000,$A2,'07_Pallet_Contents'!$D$2:$D$3000))</f>
        <v/>
      </c>
      <c r="Y1332">
        <f>IF($A2="","",SUMIF('07_Pallet_Contents'!$A$2:$A$3000,$A2,'07_Pallet_Contents'!$I$2:$I$3000))</f>
        <v/>
      </c>
      <c r="Z1332">
        <f>IF($A2="","",IF(COUNTIF('07_Pallet_Contents'!$A$2:$A$3000,$A2)&gt;0,"Yes",""))</f>
        <v/>
      </c>
    </row>
    <row r="1333">
      <c r="B1333" s="22" t="n"/>
      <c r="G1333" s="25" t="n"/>
      <c r="H1333" s="24">
        <f>IF(AND($F1333="TEMP",$G1333&gt;0,$M1333&lt;&gt;""),$M1333+$G1333,"")</f>
        <v/>
      </c>
      <c r="I1333" s="22" t="n"/>
      <c r="J1333" s="22" t="n"/>
      <c r="K1333" s="24" t="n"/>
      <c r="W1333">
        <f>IF($A2="","",COUNTIF('07_Pallet_Contents'!$A$2:$A$3000,$A2))</f>
        <v/>
      </c>
      <c r="X1333">
        <f>IF($A2="","",SUMIF('07_Pallet_Contents'!$A$2:$A$3000,$A2,'07_Pallet_Contents'!$D$2:$D$3000))</f>
        <v/>
      </c>
      <c r="Y1333">
        <f>IF($A2="","",SUMIF('07_Pallet_Contents'!$A$2:$A$3000,$A2,'07_Pallet_Contents'!$I$2:$I$3000))</f>
        <v/>
      </c>
      <c r="Z1333">
        <f>IF($A2="","",IF(COUNTIF('07_Pallet_Contents'!$A$2:$A$3000,$A2)&gt;0,"Yes",""))</f>
        <v/>
      </c>
    </row>
    <row r="1334">
      <c r="B1334" s="22" t="n"/>
      <c r="G1334" s="25" t="n"/>
      <c r="H1334" s="24">
        <f>IF(AND($F1334="TEMP",$G1334&gt;0,$M1334&lt;&gt;""),$M1334+$G1334,"")</f>
        <v/>
      </c>
      <c r="I1334" s="22" t="n"/>
      <c r="J1334" s="22" t="n"/>
      <c r="K1334" s="24" t="n"/>
      <c r="W1334">
        <f>IF($A2="","",COUNTIF('07_Pallet_Contents'!$A$2:$A$3000,$A2))</f>
        <v/>
      </c>
      <c r="X1334">
        <f>IF($A2="","",SUMIF('07_Pallet_Contents'!$A$2:$A$3000,$A2,'07_Pallet_Contents'!$D$2:$D$3000))</f>
        <v/>
      </c>
      <c r="Y1334">
        <f>IF($A2="","",SUMIF('07_Pallet_Contents'!$A$2:$A$3000,$A2,'07_Pallet_Contents'!$I$2:$I$3000))</f>
        <v/>
      </c>
      <c r="Z1334">
        <f>IF($A2="","",IF(COUNTIF('07_Pallet_Contents'!$A$2:$A$3000,$A2)&gt;0,"Yes",""))</f>
        <v/>
      </c>
    </row>
    <row r="1335">
      <c r="B1335" s="22" t="n"/>
      <c r="G1335" s="25" t="n"/>
      <c r="H1335" s="24">
        <f>IF(AND($F1335="TEMP",$G1335&gt;0,$M1335&lt;&gt;""),$M1335+$G1335,"")</f>
        <v/>
      </c>
      <c r="I1335" s="22" t="n"/>
      <c r="J1335" s="22" t="n"/>
      <c r="K1335" s="24" t="n"/>
      <c r="W1335">
        <f>IF($A2="","",COUNTIF('07_Pallet_Contents'!$A$2:$A$3000,$A2))</f>
        <v/>
      </c>
      <c r="X1335">
        <f>IF($A2="","",SUMIF('07_Pallet_Contents'!$A$2:$A$3000,$A2,'07_Pallet_Contents'!$D$2:$D$3000))</f>
        <v/>
      </c>
      <c r="Y1335">
        <f>IF($A2="","",SUMIF('07_Pallet_Contents'!$A$2:$A$3000,$A2,'07_Pallet_Contents'!$I$2:$I$3000))</f>
        <v/>
      </c>
      <c r="Z1335">
        <f>IF($A2="","",IF(COUNTIF('07_Pallet_Contents'!$A$2:$A$3000,$A2)&gt;0,"Yes",""))</f>
        <v/>
      </c>
    </row>
    <row r="1336">
      <c r="B1336" s="22" t="n"/>
      <c r="G1336" s="25" t="n"/>
      <c r="H1336" s="24">
        <f>IF(AND($F1336="TEMP",$G1336&gt;0,$M1336&lt;&gt;""),$M1336+$G1336,"")</f>
        <v/>
      </c>
      <c r="I1336" s="22" t="n"/>
      <c r="J1336" s="22" t="n"/>
      <c r="K1336" s="24" t="n"/>
      <c r="W1336">
        <f>IF($A2="","",COUNTIF('07_Pallet_Contents'!$A$2:$A$3000,$A2))</f>
        <v/>
      </c>
      <c r="X1336">
        <f>IF($A2="","",SUMIF('07_Pallet_Contents'!$A$2:$A$3000,$A2,'07_Pallet_Contents'!$D$2:$D$3000))</f>
        <v/>
      </c>
      <c r="Y1336">
        <f>IF($A2="","",SUMIF('07_Pallet_Contents'!$A$2:$A$3000,$A2,'07_Pallet_Contents'!$I$2:$I$3000))</f>
        <v/>
      </c>
      <c r="Z1336">
        <f>IF($A2="","",IF(COUNTIF('07_Pallet_Contents'!$A$2:$A$3000,$A2)&gt;0,"Yes",""))</f>
        <v/>
      </c>
    </row>
    <row r="1337">
      <c r="B1337" s="22" t="n"/>
      <c r="G1337" s="25" t="n"/>
      <c r="H1337" s="24">
        <f>IF(AND($F1337="TEMP",$G1337&gt;0,$M1337&lt;&gt;""),$M1337+$G1337,"")</f>
        <v/>
      </c>
      <c r="I1337" s="22" t="n"/>
      <c r="J1337" s="22" t="n"/>
      <c r="K1337" s="24" t="n"/>
      <c r="W1337">
        <f>IF($A2="","",COUNTIF('07_Pallet_Contents'!$A$2:$A$3000,$A2))</f>
        <v/>
      </c>
      <c r="X1337">
        <f>IF($A2="","",SUMIF('07_Pallet_Contents'!$A$2:$A$3000,$A2,'07_Pallet_Contents'!$D$2:$D$3000))</f>
        <v/>
      </c>
      <c r="Y1337">
        <f>IF($A2="","",SUMIF('07_Pallet_Contents'!$A$2:$A$3000,$A2,'07_Pallet_Contents'!$I$2:$I$3000))</f>
        <v/>
      </c>
      <c r="Z1337">
        <f>IF($A2="","",IF(COUNTIF('07_Pallet_Contents'!$A$2:$A$3000,$A2)&gt;0,"Yes",""))</f>
        <v/>
      </c>
    </row>
    <row r="1338">
      <c r="B1338" s="22" t="n"/>
      <c r="G1338" s="25" t="n"/>
      <c r="H1338" s="24">
        <f>IF(AND($F1338="TEMP",$G1338&gt;0,$M1338&lt;&gt;""),$M1338+$G1338,"")</f>
        <v/>
      </c>
      <c r="I1338" s="22" t="n"/>
      <c r="J1338" s="22" t="n"/>
      <c r="K1338" s="24" t="n"/>
      <c r="W1338">
        <f>IF($A2="","",COUNTIF('07_Pallet_Contents'!$A$2:$A$3000,$A2))</f>
        <v/>
      </c>
      <c r="X1338">
        <f>IF($A2="","",SUMIF('07_Pallet_Contents'!$A$2:$A$3000,$A2,'07_Pallet_Contents'!$D$2:$D$3000))</f>
        <v/>
      </c>
      <c r="Y1338">
        <f>IF($A2="","",SUMIF('07_Pallet_Contents'!$A$2:$A$3000,$A2,'07_Pallet_Contents'!$I$2:$I$3000))</f>
        <v/>
      </c>
      <c r="Z1338">
        <f>IF($A2="","",IF(COUNTIF('07_Pallet_Contents'!$A$2:$A$3000,$A2)&gt;0,"Yes",""))</f>
        <v/>
      </c>
    </row>
    <row r="1339">
      <c r="B1339" s="22" t="n"/>
      <c r="G1339" s="25" t="n"/>
      <c r="H1339" s="24">
        <f>IF(AND($F1339="TEMP",$G1339&gt;0,$M1339&lt;&gt;""),$M1339+$G1339,"")</f>
        <v/>
      </c>
      <c r="I1339" s="22" t="n"/>
      <c r="J1339" s="22" t="n"/>
      <c r="K1339" s="24" t="n"/>
      <c r="W1339">
        <f>IF($A2="","",COUNTIF('07_Pallet_Contents'!$A$2:$A$3000,$A2))</f>
        <v/>
      </c>
      <c r="X1339">
        <f>IF($A2="","",SUMIF('07_Pallet_Contents'!$A$2:$A$3000,$A2,'07_Pallet_Contents'!$D$2:$D$3000))</f>
        <v/>
      </c>
      <c r="Y1339">
        <f>IF($A2="","",SUMIF('07_Pallet_Contents'!$A$2:$A$3000,$A2,'07_Pallet_Contents'!$I$2:$I$3000))</f>
        <v/>
      </c>
      <c r="Z1339">
        <f>IF($A2="","",IF(COUNTIF('07_Pallet_Contents'!$A$2:$A$3000,$A2)&gt;0,"Yes",""))</f>
        <v/>
      </c>
    </row>
    <row r="1340">
      <c r="B1340" s="22" t="n"/>
      <c r="G1340" s="25" t="n"/>
      <c r="H1340" s="24">
        <f>IF(AND($F1340="TEMP",$G1340&gt;0,$M1340&lt;&gt;""),$M1340+$G1340,"")</f>
        <v/>
      </c>
      <c r="I1340" s="22" t="n"/>
      <c r="J1340" s="22" t="n"/>
      <c r="K1340" s="24" t="n"/>
      <c r="W1340">
        <f>IF($A2="","",COUNTIF('07_Pallet_Contents'!$A$2:$A$3000,$A2))</f>
        <v/>
      </c>
      <c r="X1340">
        <f>IF($A2="","",SUMIF('07_Pallet_Contents'!$A$2:$A$3000,$A2,'07_Pallet_Contents'!$D$2:$D$3000))</f>
        <v/>
      </c>
      <c r="Y1340">
        <f>IF($A2="","",SUMIF('07_Pallet_Contents'!$A$2:$A$3000,$A2,'07_Pallet_Contents'!$I$2:$I$3000))</f>
        <v/>
      </c>
      <c r="Z1340">
        <f>IF($A2="","",IF(COUNTIF('07_Pallet_Contents'!$A$2:$A$3000,$A2)&gt;0,"Yes",""))</f>
        <v/>
      </c>
    </row>
    <row r="1341">
      <c r="B1341" s="22" t="n"/>
      <c r="G1341" s="25" t="n"/>
      <c r="H1341" s="24">
        <f>IF(AND($F1341="TEMP",$G1341&gt;0,$M1341&lt;&gt;""),$M1341+$G1341,"")</f>
        <v/>
      </c>
      <c r="I1341" s="22" t="n"/>
      <c r="J1341" s="22" t="n"/>
      <c r="K1341" s="24" t="n"/>
      <c r="W1341">
        <f>IF($A2="","",COUNTIF('07_Pallet_Contents'!$A$2:$A$3000,$A2))</f>
        <v/>
      </c>
      <c r="X1341">
        <f>IF($A2="","",SUMIF('07_Pallet_Contents'!$A$2:$A$3000,$A2,'07_Pallet_Contents'!$D$2:$D$3000))</f>
        <v/>
      </c>
      <c r="Y1341">
        <f>IF($A2="","",SUMIF('07_Pallet_Contents'!$A$2:$A$3000,$A2,'07_Pallet_Contents'!$I$2:$I$3000))</f>
        <v/>
      </c>
      <c r="Z1341">
        <f>IF($A2="","",IF(COUNTIF('07_Pallet_Contents'!$A$2:$A$3000,$A2)&gt;0,"Yes",""))</f>
        <v/>
      </c>
    </row>
    <row r="1342">
      <c r="B1342" s="22" t="n"/>
      <c r="G1342" s="25" t="n"/>
      <c r="H1342" s="24">
        <f>IF(AND($F1342="TEMP",$G1342&gt;0,$M1342&lt;&gt;""),$M1342+$G1342,"")</f>
        <v/>
      </c>
      <c r="I1342" s="22" t="n"/>
      <c r="J1342" s="22" t="n"/>
      <c r="K1342" s="24" t="n"/>
      <c r="W1342">
        <f>IF($A2="","",COUNTIF('07_Pallet_Contents'!$A$2:$A$3000,$A2))</f>
        <v/>
      </c>
      <c r="X1342">
        <f>IF($A2="","",SUMIF('07_Pallet_Contents'!$A$2:$A$3000,$A2,'07_Pallet_Contents'!$D$2:$D$3000))</f>
        <v/>
      </c>
      <c r="Y1342">
        <f>IF($A2="","",SUMIF('07_Pallet_Contents'!$A$2:$A$3000,$A2,'07_Pallet_Contents'!$I$2:$I$3000))</f>
        <v/>
      </c>
      <c r="Z1342">
        <f>IF($A2="","",IF(COUNTIF('07_Pallet_Contents'!$A$2:$A$3000,$A2)&gt;0,"Yes",""))</f>
        <v/>
      </c>
    </row>
    <row r="1343">
      <c r="B1343" s="22" t="n"/>
      <c r="G1343" s="25" t="n"/>
      <c r="H1343" s="24">
        <f>IF(AND($F1343="TEMP",$G1343&gt;0,$M1343&lt;&gt;""),$M1343+$G1343,"")</f>
        <v/>
      </c>
      <c r="I1343" s="22" t="n"/>
      <c r="J1343" s="22" t="n"/>
      <c r="K1343" s="24" t="n"/>
      <c r="W1343">
        <f>IF($A2="","",COUNTIF('07_Pallet_Contents'!$A$2:$A$3000,$A2))</f>
        <v/>
      </c>
      <c r="X1343">
        <f>IF($A2="","",SUMIF('07_Pallet_Contents'!$A$2:$A$3000,$A2,'07_Pallet_Contents'!$D$2:$D$3000))</f>
        <v/>
      </c>
      <c r="Y1343">
        <f>IF($A2="","",SUMIF('07_Pallet_Contents'!$A$2:$A$3000,$A2,'07_Pallet_Contents'!$I$2:$I$3000))</f>
        <v/>
      </c>
      <c r="Z1343">
        <f>IF($A2="","",IF(COUNTIF('07_Pallet_Contents'!$A$2:$A$3000,$A2)&gt;0,"Yes",""))</f>
        <v/>
      </c>
    </row>
    <row r="1344">
      <c r="B1344" s="22" t="n"/>
      <c r="G1344" s="25" t="n"/>
      <c r="H1344" s="24">
        <f>IF(AND($F1344="TEMP",$G1344&gt;0,$M1344&lt;&gt;""),$M1344+$G1344,"")</f>
        <v/>
      </c>
      <c r="I1344" s="22" t="n"/>
      <c r="J1344" s="22" t="n"/>
      <c r="K1344" s="24" t="n"/>
      <c r="W1344">
        <f>IF($A2="","",COUNTIF('07_Pallet_Contents'!$A$2:$A$3000,$A2))</f>
        <v/>
      </c>
      <c r="X1344">
        <f>IF($A2="","",SUMIF('07_Pallet_Contents'!$A$2:$A$3000,$A2,'07_Pallet_Contents'!$D$2:$D$3000))</f>
        <v/>
      </c>
      <c r="Y1344">
        <f>IF($A2="","",SUMIF('07_Pallet_Contents'!$A$2:$A$3000,$A2,'07_Pallet_Contents'!$I$2:$I$3000))</f>
        <v/>
      </c>
      <c r="Z1344">
        <f>IF($A2="","",IF(COUNTIF('07_Pallet_Contents'!$A$2:$A$3000,$A2)&gt;0,"Yes",""))</f>
        <v/>
      </c>
    </row>
    <row r="1345">
      <c r="B1345" s="22" t="n"/>
      <c r="G1345" s="25" t="n"/>
      <c r="H1345" s="24">
        <f>IF(AND($F1345="TEMP",$G1345&gt;0,$M1345&lt;&gt;""),$M1345+$G1345,"")</f>
        <v/>
      </c>
      <c r="I1345" s="22" t="n"/>
      <c r="J1345" s="22" t="n"/>
      <c r="K1345" s="24" t="n"/>
      <c r="W1345">
        <f>IF($A2="","",COUNTIF('07_Pallet_Contents'!$A$2:$A$3000,$A2))</f>
        <v/>
      </c>
      <c r="X1345">
        <f>IF($A2="","",SUMIF('07_Pallet_Contents'!$A$2:$A$3000,$A2,'07_Pallet_Contents'!$D$2:$D$3000))</f>
        <v/>
      </c>
      <c r="Y1345">
        <f>IF($A2="","",SUMIF('07_Pallet_Contents'!$A$2:$A$3000,$A2,'07_Pallet_Contents'!$I$2:$I$3000))</f>
        <v/>
      </c>
      <c r="Z1345">
        <f>IF($A2="","",IF(COUNTIF('07_Pallet_Contents'!$A$2:$A$3000,$A2)&gt;0,"Yes",""))</f>
        <v/>
      </c>
    </row>
    <row r="1346">
      <c r="B1346" s="22" t="n"/>
      <c r="G1346" s="25" t="n"/>
      <c r="H1346" s="24">
        <f>IF(AND($F1346="TEMP",$G1346&gt;0,$M1346&lt;&gt;""),$M1346+$G1346,"")</f>
        <v/>
      </c>
      <c r="I1346" s="22" t="n"/>
      <c r="J1346" s="22" t="n"/>
      <c r="K1346" s="24" t="n"/>
      <c r="W1346">
        <f>IF($A2="","",COUNTIF('07_Pallet_Contents'!$A$2:$A$3000,$A2))</f>
        <v/>
      </c>
      <c r="X1346">
        <f>IF($A2="","",SUMIF('07_Pallet_Contents'!$A$2:$A$3000,$A2,'07_Pallet_Contents'!$D$2:$D$3000))</f>
        <v/>
      </c>
      <c r="Y1346">
        <f>IF($A2="","",SUMIF('07_Pallet_Contents'!$A$2:$A$3000,$A2,'07_Pallet_Contents'!$I$2:$I$3000))</f>
        <v/>
      </c>
      <c r="Z1346">
        <f>IF($A2="","",IF(COUNTIF('07_Pallet_Contents'!$A$2:$A$3000,$A2)&gt;0,"Yes",""))</f>
        <v/>
      </c>
    </row>
    <row r="1347">
      <c r="B1347" s="22" t="n"/>
      <c r="G1347" s="25" t="n"/>
      <c r="H1347" s="24">
        <f>IF(AND($F1347="TEMP",$G1347&gt;0,$M1347&lt;&gt;""),$M1347+$G1347,"")</f>
        <v/>
      </c>
      <c r="I1347" s="22" t="n"/>
      <c r="J1347" s="22" t="n"/>
      <c r="K1347" s="24" t="n"/>
      <c r="W1347">
        <f>IF($A2="","",COUNTIF('07_Pallet_Contents'!$A$2:$A$3000,$A2))</f>
        <v/>
      </c>
      <c r="X1347">
        <f>IF($A2="","",SUMIF('07_Pallet_Contents'!$A$2:$A$3000,$A2,'07_Pallet_Contents'!$D$2:$D$3000))</f>
        <v/>
      </c>
      <c r="Y1347">
        <f>IF($A2="","",SUMIF('07_Pallet_Contents'!$A$2:$A$3000,$A2,'07_Pallet_Contents'!$I$2:$I$3000))</f>
        <v/>
      </c>
      <c r="Z1347">
        <f>IF($A2="","",IF(COUNTIF('07_Pallet_Contents'!$A$2:$A$3000,$A2)&gt;0,"Yes",""))</f>
        <v/>
      </c>
    </row>
    <row r="1348">
      <c r="B1348" s="22" t="n"/>
      <c r="G1348" s="25" t="n"/>
      <c r="H1348" s="24">
        <f>IF(AND($F1348="TEMP",$G1348&gt;0,$M1348&lt;&gt;""),$M1348+$G1348,"")</f>
        <v/>
      </c>
      <c r="I1348" s="22" t="n"/>
      <c r="J1348" s="22" t="n"/>
      <c r="K1348" s="24" t="n"/>
      <c r="W1348">
        <f>IF($A2="","",COUNTIF('07_Pallet_Contents'!$A$2:$A$3000,$A2))</f>
        <v/>
      </c>
      <c r="X1348">
        <f>IF($A2="","",SUMIF('07_Pallet_Contents'!$A$2:$A$3000,$A2,'07_Pallet_Contents'!$D$2:$D$3000))</f>
        <v/>
      </c>
      <c r="Y1348">
        <f>IF($A2="","",SUMIF('07_Pallet_Contents'!$A$2:$A$3000,$A2,'07_Pallet_Contents'!$I$2:$I$3000))</f>
        <v/>
      </c>
      <c r="Z1348">
        <f>IF($A2="","",IF(COUNTIF('07_Pallet_Contents'!$A$2:$A$3000,$A2)&gt;0,"Yes",""))</f>
        <v/>
      </c>
    </row>
    <row r="1349">
      <c r="B1349" s="22" t="n"/>
      <c r="G1349" s="25" t="n"/>
      <c r="H1349" s="24">
        <f>IF(AND($F1349="TEMP",$G1349&gt;0,$M1349&lt;&gt;""),$M1349+$G1349,"")</f>
        <v/>
      </c>
      <c r="I1349" s="22" t="n"/>
      <c r="J1349" s="22" t="n"/>
      <c r="K1349" s="24" t="n"/>
      <c r="W1349">
        <f>IF($A2="","",COUNTIF('07_Pallet_Contents'!$A$2:$A$3000,$A2))</f>
        <v/>
      </c>
      <c r="X1349">
        <f>IF($A2="","",SUMIF('07_Pallet_Contents'!$A$2:$A$3000,$A2,'07_Pallet_Contents'!$D$2:$D$3000))</f>
        <v/>
      </c>
      <c r="Y1349">
        <f>IF($A2="","",SUMIF('07_Pallet_Contents'!$A$2:$A$3000,$A2,'07_Pallet_Contents'!$I$2:$I$3000))</f>
        <v/>
      </c>
      <c r="Z1349">
        <f>IF($A2="","",IF(COUNTIF('07_Pallet_Contents'!$A$2:$A$3000,$A2)&gt;0,"Yes",""))</f>
        <v/>
      </c>
    </row>
    <row r="1350">
      <c r="B1350" s="22" t="n"/>
      <c r="G1350" s="25" t="n"/>
      <c r="H1350" s="24">
        <f>IF(AND($F1350="TEMP",$G1350&gt;0,$M1350&lt;&gt;""),$M1350+$G1350,"")</f>
        <v/>
      </c>
      <c r="I1350" s="22" t="n"/>
      <c r="J1350" s="22" t="n"/>
      <c r="K1350" s="24" t="n"/>
      <c r="W1350">
        <f>IF($A2="","",COUNTIF('07_Pallet_Contents'!$A$2:$A$3000,$A2))</f>
        <v/>
      </c>
      <c r="X1350">
        <f>IF($A2="","",SUMIF('07_Pallet_Contents'!$A$2:$A$3000,$A2,'07_Pallet_Contents'!$D$2:$D$3000))</f>
        <v/>
      </c>
      <c r="Y1350">
        <f>IF($A2="","",SUMIF('07_Pallet_Contents'!$A$2:$A$3000,$A2,'07_Pallet_Contents'!$I$2:$I$3000))</f>
        <v/>
      </c>
      <c r="Z1350">
        <f>IF($A2="","",IF(COUNTIF('07_Pallet_Contents'!$A$2:$A$3000,$A2)&gt;0,"Yes",""))</f>
        <v/>
      </c>
    </row>
    <row r="1351">
      <c r="B1351" s="22" t="n"/>
      <c r="G1351" s="25" t="n"/>
      <c r="H1351" s="24">
        <f>IF(AND($F1351="TEMP",$G1351&gt;0,$M1351&lt;&gt;""),$M1351+$G1351,"")</f>
        <v/>
      </c>
      <c r="I1351" s="22" t="n"/>
      <c r="J1351" s="22" t="n"/>
      <c r="K1351" s="24" t="n"/>
      <c r="W1351">
        <f>IF($A2="","",COUNTIF('07_Pallet_Contents'!$A$2:$A$3000,$A2))</f>
        <v/>
      </c>
      <c r="X1351">
        <f>IF($A2="","",SUMIF('07_Pallet_Contents'!$A$2:$A$3000,$A2,'07_Pallet_Contents'!$D$2:$D$3000))</f>
        <v/>
      </c>
      <c r="Y1351">
        <f>IF($A2="","",SUMIF('07_Pallet_Contents'!$A$2:$A$3000,$A2,'07_Pallet_Contents'!$I$2:$I$3000))</f>
        <v/>
      </c>
      <c r="Z1351">
        <f>IF($A2="","",IF(COUNTIF('07_Pallet_Contents'!$A$2:$A$3000,$A2)&gt;0,"Yes",""))</f>
        <v/>
      </c>
    </row>
    <row r="1352">
      <c r="B1352" s="22" t="n"/>
      <c r="G1352" s="25" t="n"/>
      <c r="H1352" s="24">
        <f>IF(AND($F1352="TEMP",$G1352&gt;0,$M1352&lt;&gt;""),$M1352+$G1352,"")</f>
        <v/>
      </c>
      <c r="I1352" s="22" t="n"/>
      <c r="J1352" s="22" t="n"/>
      <c r="K1352" s="24" t="n"/>
      <c r="W1352">
        <f>IF($A2="","",COUNTIF('07_Pallet_Contents'!$A$2:$A$3000,$A2))</f>
        <v/>
      </c>
      <c r="X1352">
        <f>IF($A2="","",SUMIF('07_Pallet_Contents'!$A$2:$A$3000,$A2,'07_Pallet_Contents'!$D$2:$D$3000))</f>
        <v/>
      </c>
      <c r="Y1352">
        <f>IF($A2="","",SUMIF('07_Pallet_Contents'!$A$2:$A$3000,$A2,'07_Pallet_Contents'!$I$2:$I$3000))</f>
        <v/>
      </c>
      <c r="Z1352">
        <f>IF($A2="","",IF(COUNTIF('07_Pallet_Contents'!$A$2:$A$3000,$A2)&gt;0,"Yes",""))</f>
        <v/>
      </c>
    </row>
    <row r="1353">
      <c r="B1353" s="22" t="n"/>
      <c r="G1353" s="25" t="n"/>
      <c r="H1353" s="24">
        <f>IF(AND($F1353="TEMP",$G1353&gt;0,$M1353&lt;&gt;""),$M1353+$G1353,"")</f>
        <v/>
      </c>
      <c r="I1353" s="22" t="n"/>
      <c r="J1353" s="22" t="n"/>
      <c r="K1353" s="24" t="n"/>
      <c r="W1353">
        <f>IF($A2="","",COUNTIF('07_Pallet_Contents'!$A$2:$A$3000,$A2))</f>
        <v/>
      </c>
      <c r="X1353">
        <f>IF($A2="","",SUMIF('07_Pallet_Contents'!$A$2:$A$3000,$A2,'07_Pallet_Contents'!$D$2:$D$3000))</f>
        <v/>
      </c>
      <c r="Y1353">
        <f>IF($A2="","",SUMIF('07_Pallet_Contents'!$A$2:$A$3000,$A2,'07_Pallet_Contents'!$I$2:$I$3000))</f>
        <v/>
      </c>
      <c r="Z1353">
        <f>IF($A2="","",IF(COUNTIF('07_Pallet_Contents'!$A$2:$A$3000,$A2)&gt;0,"Yes",""))</f>
        <v/>
      </c>
    </row>
    <row r="1354">
      <c r="B1354" s="22" t="n"/>
      <c r="G1354" s="25" t="n"/>
      <c r="H1354" s="24">
        <f>IF(AND($F1354="TEMP",$G1354&gt;0,$M1354&lt;&gt;""),$M1354+$G1354,"")</f>
        <v/>
      </c>
      <c r="I1354" s="22" t="n"/>
      <c r="J1354" s="22" t="n"/>
      <c r="K1354" s="24" t="n"/>
      <c r="W1354">
        <f>IF($A2="","",COUNTIF('07_Pallet_Contents'!$A$2:$A$3000,$A2))</f>
        <v/>
      </c>
      <c r="X1354">
        <f>IF($A2="","",SUMIF('07_Pallet_Contents'!$A$2:$A$3000,$A2,'07_Pallet_Contents'!$D$2:$D$3000))</f>
        <v/>
      </c>
      <c r="Y1354">
        <f>IF($A2="","",SUMIF('07_Pallet_Contents'!$A$2:$A$3000,$A2,'07_Pallet_Contents'!$I$2:$I$3000))</f>
        <v/>
      </c>
      <c r="Z1354">
        <f>IF($A2="","",IF(COUNTIF('07_Pallet_Contents'!$A$2:$A$3000,$A2)&gt;0,"Yes",""))</f>
        <v/>
      </c>
    </row>
    <row r="1355">
      <c r="B1355" s="22" t="n"/>
      <c r="G1355" s="25" t="n"/>
      <c r="H1355" s="24">
        <f>IF(AND($F1355="TEMP",$G1355&gt;0,$M1355&lt;&gt;""),$M1355+$G1355,"")</f>
        <v/>
      </c>
      <c r="I1355" s="22" t="n"/>
      <c r="J1355" s="22" t="n"/>
      <c r="K1355" s="24" t="n"/>
      <c r="W1355">
        <f>IF($A2="","",COUNTIF('07_Pallet_Contents'!$A$2:$A$3000,$A2))</f>
        <v/>
      </c>
      <c r="X1355">
        <f>IF($A2="","",SUMIF('07_Pallet_Contents'!$A$2:$A$3000,$A2,'07_Pallet_Contents'!$D$2:$D$3000))</f>
        <v/>
      </c>
      <c r="Y1355">
        <f>IF($A2="","",SUMIF('07_Pallet_Contents'!$A$2:$A$3000,$A2,'07_Pallet_Contents'!$I$2:$I$3000))</f>
        <v/>
      </c>
      <c r="Z1355">
        <f>IF($A2="","",IF(COUNTIF('07_Pallet_Contents'!$A$2:$A$3000,$A2)&gt;0,"Yes",""))</f>
        <v/>
      </c>
    </row>
    <row r="1356">
      <c r="B1356" s="22" t="n"/>
      <c r="G1356" s="25" t="n"/>
      <c r="H1356" s="24">
        <f>IF(AND($F1356="TEMP",$G1356&gt;0,$M1356&lt;&gt;""),$M1356+$G1356,"")</f>
        <v/>
      </c>
      <c r="I1356" s="22" t="n"/>
      <c r="J1356" s="22" t="n"/>
      <c r="K1356" s="24" t="n"/>
      <c r="W1356">
        <f>IF($A2="","",COUNTIF('07_Pallet_Contents'!$A$2:$A$3000,$A2))</f>
        <v/>
      </c>
      <c r="X1356">
        <f>IF($A2="","",SUMIF('07_Pallet_Contents'!$A$2:$A$3000,$A2,'07_Pallet_Contents'!$D$2:$D$3000))</f>
        <v/>
      </c>
      <c r="Y1356">
        <f>IF($A2="","",SUMIF('07_Pallet_Contents'!$A$2:$A$3000,$A2,'07_Pallet_Contents'!$I$2:$I$3000))</f>
        <v/>
      </c>
      <c r="Z1356">
        <f>IF($A2="","",IF(COUNTIF('07_Pallet_Contents'!$A$2:$A$3000,$A2)&gt;0,"Yes",""))</f>
        <v/>
      </c>
    </row>
    <row r="1357">
      <c r="B1357" s="22" t="n"/>
      <c r="G1357" s="25" t="n"/>
      <c r="H1357" s="24">
        <f>IF(AND($F1357="TEMP",$G1357&gt;0,$M1357&lt;&gt;""),$M1357+$G1357,"")</f>
        <v/>
      </c>
      <c r="I1357" s="22" t="n"/>
      <c r="J1357" s="22" t="n"/>
      <c r="K1357" s="24" t="n"/>
      <c r="W1357">
        <f>IF($A2="","",COUNTIF('07_Pallet_Contents'!$A$2:$A$3000,$A2))</f>
        <v/>
      </c>
      <c r="X1357">
        <f>IF($A2="","",SUMIF('07_Pallet_Contents'!$A$2:$A$3000,$A2,'07_Pallet_Contents'!$D$2:$D$3000))</f>
        <v/>
      </c>
      <c r="Y1357">
        <f>IF($A2="","",SUMIF('07_Pallet_Contents'!$A$2:$A$3000,$A2,'07_Pallet_Contents'!$I$2:$I$3000))</f>
        <v/>
      </c>
      <c r="Z1357">
        <f>IF($A2="","",IF(COUNTIF('07_Pallet_Contents'!$A$2:$A$3000,$A2)&gt;0,"Yes",""))</f>
        <v/>
      </c>
    </row>
    <row r="1358">
      <c r="B1358" s="22" t="n"/>
      <c r="G1358" s="25" t="n"/>
      <c r="H1358" s="24">
        <f>IF(AND($F1358="TEMP",$G1358&gt;0,$M1358&lt;&gt;""),$M1358+$G1358,"")</f>
        <v/>
      </c>
      <c r="I1358" s="22" t="n"/>
      <c r="J1358" s="22" t="n"/>
      <c r="K1358" s="24" t="n"/>
      <c r="W1358">
        <f>IF($A2="","",COUNTIF('07_Pallet_Contents'!$A$2:$A$3000,$A2))</f>
        <v/>
      </c>
      <c r="X1358">
        <f>IF($A2="","",SUMIF('07_Pallet_Contents'!$A$2:$A$3000,$A2,'07_Pallet_Contents'!$D$2:$D$3000))</f>
        <v/>
      </c>
      <c r="Y1358">
        <f>IF($A2="","",SUMIF('07_Pallet_Contents'!$A$2:$A$3000,$A2,'07_Pallet_Contents'!$I$2:$I$3000))</f>
        <v/>
      </c>
      <c r="Z1358">
        <f>IF($A2="","",IF(COUNTIF('07_Pallet_Contents'!$A$2:$A$3000,$A2)&gt;0,"Yes",""))</f>
        <v/>
      </c>
    </row>
    <row r="1359">
      <c r="B1359" s="22" t="n"/>
      <c r="G1359" s="25" t="n"/>
      <c r="H1359" s="24">
        <f>IF(AND($F1359="TEMP",$G1359&gt;0,$M1359&lt;&gt;""),$M1359+$G1359,"")</f>
        <v/>
      </c>
      <c r="I1359" s="22" t="n"/>
      <c r="J1359" s="22" t="n"/>
      <c r="K1359" s="24" t="n"/>
      <c r="W1359">
        <f>IF($A2="","",COUNTIF('07_Pallet_Contents'!$A$2:$A$3000,$A2))</f>
        <v/>
      </c>
      <c r="X1359">
        <f>IF($A2="","",SUMIF('07_Pallet_Contents'!$A$2:$A$3000,$A2,'07_Pallet_Contents'!$D$2:$D$3000))</f>
        <v/>
      </c>
      <c r="Y1359">
        <f>IF($A2="","",SUMIF('07_Pallet_Contents'!$A$2:$A$3000,$A2,'07_Pallet_Contents'!$I$2:$I$3000))</f>
        <v/>
      </c>
      <c r="Z1359">
        <f>IF($A2="","",IF(COUNTIF('07_Pallet_Contents'!$A$2:$A$3000,$A2)&gt;0,"Yes",""))</f>
        <v/>
      </c>
    </row>
    <row r="1360">
      <c r="B1360" s="22" t="n"/>
      <c r="G1360" s="25" t="n"/>
      <c r="H1360" s="24">
        <f>IF(AND($F1360="TEMP",$G1360&gt;0,$M1360&lt;&gt;""),$M1360+$G1360,"")</f>
        <v/>
      </c>
      <c r="I1360" s="22" t="n"/>
      <c r="J1360" s="22" t="n"/>
      <c r="K1360" s="24" t="n"/>
      <c r="W1360">
        <f>IF($A2="","",COUNTIF('07_Pallet_Contents'!$A$2:$A$3000,$A2))</f>
        <v/>
      </c>
      <c r="X1360">
        <f>IF($A2="","",SUMIF('07_Pallet_Contents'!$A$2:$A$3000,$A2,'07_Pallet_Contents'!$D$2:$D$3000))</f>
        <v/>
      </c>
      <c r="Y1360">
        <f>IF($A2="","",SUMIF('07_Pallet_Contents'!$A$2:$A$3000,$A2,'07_Pallet_Contents'!$I$2:$I$3000))</f>
        <v/>
      </c>
      <c r="Z1360">
        <f>IF($A2="","",IF(COUNTIF('07_Pallet_Contents'!$A$2:$A$3000,$A2)&gt;0,"Yes",""))</f>
        <v/>
      </c>
    </row>
    <row r="1361">
      <c r="B1361" s="22" t="n"/>
      <c r="G1361" s="25" t="n"/>
      <c r="H1361" s="24">
        <f>IF(AND($F1361="TEMP",$G1361&gt;0,$M1361&lt;&gt;""),$M1361+$G1361,"")</f>
        <v/>
      </c>
      <c r="I1361" s="22" t="n"/>
      <c r="J1361" s="22" t="n"/>
      <c r="K1361" s="24" t="n"/>
      <c r="W1361">
        <f>IF($A2="","",COUNTIF('07_Pallet_Contents'!$A$2:$A$3000,$A2))</f>
        <v/>
      </c>
      <c r="X1361">
        <f>IF($A2="","",SUMIF('07_Pallet_Contents'!$A$2:$A$3000,$A2,'07_Pallet_Contents'!$D$2:$D$3000))</f>
        <v/>
      </c>
      <c r="Y1361">
        <f>IF($A2="","",SUMIF('07_Pallet_Contents'!$A$2:$A$3000,$A2,'07_Pallet_Contents'!$I$2:$I$3000))</f>
        <v/>
      </c>
      <c r="Z1361">
        <f>IF($A2="","",IF(COUNTIF('07_Pallet_Contents'!$A$2:$A$3000,$A2)&gt;0,"Yes",""))</f>
        <v/>
      </c>
    </row>
    <row r="1362">
      <c r="B1362" s="22" t="n"/>
      <c r="G1362" s="25" t="n"/>
      <c r="H1362" s="24">
        <f>IF(AND($F1362="TEMP",$G1362&gt;0,$M1362&lt;&gt;""),$M1362+$G1362,"")</f>
        <v/>
      </c>
      <c r="I1362" s="22" t="n"/>
      <c r="J1362" s="22" t="n"/>
      <c r="K1362" s="24" t="n"/>
      <c r="W1362">
        <f>IF($A2="","",COUNTIF('07_Pallet_Contents'!$A$2:$A$3000,$A2))</f>
        <v/>
      </c>
      <c r="X1362">
        <f>IF($A2="","",SUMIF('07_Pallet_Contents'!$A$2:$A$3000,$A2,'07_Pallet_Contents'!$D$2:$D$3000))</f>
        <v/>
      </c>
      <c r="Y1362">
        <f>IF($A2="","",SUMIF('07_Pallet_Contents'!$A$2:$A$3000,$A2,'07_Pallet_Contents'!$I$2:$I$3000))</f>
        <v/>
      </c>
      <c r="Z1362">
        <f>IF($A2="","",IF(COUNTIF('07_Pallet_Contents'!$A$2:$A$3000,$A2)&gt;0,"Yes",""))</f>
        <v/>
      </c>
    </row>
    <row r="1363">
      <c r="B1363" s="22" t="n"/>
      <c r="G1363" s="25" t="n"/>
      <c r="H1363" s="24">
        <f>IF(AND($F1363="TEMP",$G1363&gt;0,$M1363&lt;&gt;""),$M1363+$G1363,"")</f>
        <v/>
      </c>
      <c r="I1363" s="22" t="n"/>
      <c r="J1363" s="22" t="n"/>
      <c r="K1363" s="24" t="n"/>
      <c r="W1363">
        <f>IF($A2="","",COUNTIF('07_Pallet_Contents'!$A$2:$A$3000,$A2))</f>
        <v/>
      </c>
      <c r="X1363">
        <f>IF($A2="","",SUMIF('07_Pallet_Contents'!$A$2:$A$3000,$A2,'07_Pallet_Contents'!$D$2:$D$3000))</f>
        <v/>
      </c>
      <c r="Y1363">
        <f>IF($A2="","",SUMIF('07_Pallet_Contents'!$A$2:$A$3000,$A2,'07_Pallet_Contents'!$I$2:$I$3000))</f>
        <v/>
      </c>
      <c r="Z1363">
        <f>IF($A2="","",IF(COUNTIF('07_Pallet_Contents'!$A$2:$A$3000,$A2)&gt;0,"Yes",""))</f>
        <v/>
      </c>
    </row>
    <row r="1364">
      <c r="B1364" s="22" t="n"/>
      <c r="G1364" s="25" t="n"/>
      <c r="H1364" s="24">
        <f>IF(AND($F1364="TEMP",$G1364&gt;0,$M1364&lt;&gt;""),$M1364+$G1364,"")</f>
        <v/>
      </c>
      <c r="I1364" s="22" t="n"/>
      <c r="J1364" s="22" t="n"/>
      <c r="K1364" s="24" t="n"/>
      <c r="W1364">
        <f>IF($A2="","",COUNTIF('07_Pallet_Contents'!$A$2:$A$3000,$A2))</f>
        <v/>
      </c>
      <c r="X1364">
        <f>IF($A2="","",SUMIF('07_Pallet_Contents'!$A$2:$A$3000,$A2,'07_Pallet_Contents'!$D$2:$D$3000))</f>
        <v/>
      </c>
      <c r="Y1364">
        <f>IF($A2="","",SUMIF('07_Pallet_Contents'!$A$2:$A$3000,$A2,'07_Pallet_Contents'!$I$2:$I$3000))</f>
        <v/>
      </c>
      <c r="Z1364">
        <f>IF($A2="","",IF(COUNTIF('07_Pallet_Contents'!$A$2:$A$3000,$A2)&gt;0,"Yes",""))</f>
        <v/>
      </c>
    </row>
    <row r="1365">
      <c r="B1365" s="22" t="n"/>
      <c r="G1365" s="25" t="n"/>
      <c r="H1365" s="24">
        <f>IF(AND($F1365="TEMP",$G1365&gt;0,$M1365&lt;&gt;""),$M1365+$G1365,"")</f>
        <v/>
      </c>
      <c r="I1365" s="22" t="n"/>
      <c r="J1365" s="22" t="n"/>
      <c r="K1365" s="24" t="n"/>
      <c r="W1365">
        <f>IF($A2="","",COUNTIF('07_Pallet_Contents'!$A$2:$A$3000,$A2))</f>
        <v/>
      </c>
      <c r="X1365">
        <f>IF($A2="","",SUMIF('07_Pallet_Contents'!$A$2:$A$3000,$A2,'07_Pallet_Contents'!$D$2:$D$3000))</f>
        <v/>
      </c>
      <c r="Y1365">
        <f>IF($A2="","",SUMIF('07_Pallet_Contents'!$A$2:$A$3000,$A2,'07_Pallet_Contents'!$I$2:$I$3000))</f>
        <v/>
      </c>
      <c r="Z1365">
        <f>IF($A2="","",IF(COUNTIF('07_Pallet_Contents'!$A$2:$A$3000,$A2)&gt;0,"Yes",""))</f>
        <v/>
      </c>
    </row>
    <row r="1366">
      <c r="B1366" s="22" t="n"/>
      <c r="G1366" s="25" t="n"/>
      <c r="H1366" s="24">
        <f>IF(AND($F1366="TEMP",$G1366&gt;0,$M1366&lt;&gt;""),$M1366+$G1366,"")</f>
        <v/>
      </c>
      <c r="I1366" s="22" t="n"/>
      <c r="J1366" s="22" t="n"/>
      <c r="K1366" s="24" t="n"/>
      <c r="W1366">
        <f>IF($A2="","",COUNTIF('07_Pallet_Contents'!$A$2:$A$3000,$A2))</f>
        <v/>
      </c>
      <c r="X1366">
        <f>IF($A2="","",SUMIF('07_Pallet_Contents'!$A$2:$A$3000,$A2,'07_Pallet_Contents'!$D$2:$D$3000))</f>
        <v/>
      </c>
      <c r="Y1366">
        <f>IF($A2="","",SUMIF('07_Pallet_Contents'!$A$2:$A$3000,$A2,'07_Pallet_Contents'!$I$2:$I$3000))</f>
        <v/>
      </c>
      <c r="Z1366">
        <f>IF($A2="","",IF(COUNTIF('07_Pallet_Contents'!$A$2:$A$3000,$A2)&gt;0,"Yes",""))</f>
        <v/>
      </c>
    </row>
    <row r="1367">
      <c r="B1367" s="22" t="n"/>
      <c r="G1367" s="25" t="n"/>
      <c r="H1367" s="24">
        <f>IF(AND($F1367="TEMP",$G1367&gt;0,$M1367&lt;&gt;""),$M1367+$G1367,"")</f>
        <v/>
      </c>
      <c r="I1367" s="22" t="n"/>
      <c r="J1367" s="22" t="n"/>
      <c r="K1367" s="24" t="n"/>
      <c r="W1367">
        <f>IF($A2="","",COUNTIF('07_Pallet_Contents'!$A$2:$A$3000,$A2))</f>
        <v/>
      </c>
      <c r="X1367">
        <f>IF($A2="","",SUMIF('07_Pallet_Contents'!$A$2:$A$3000,$A2,'07_Pallet_Contents'!$D$2:$D$3000))</f>
        <v/>
      </c>
      <c r="Y1367">
        <f>IF($A2="","",SUMIF('07_Pallet_Contents'!$A$2:$A$3000,$A2,'07_Pallet_Contents'!$I$2:$I$3000))</f>
        <v/>
      </c>
      <c r="Z1367">
        <f>IF($A2="","",IF(COUNTIF('07_Pallet_Contents'!$A$2:$A$3000,$A2)&gt;0,"Yes",""))</f>
        <v/>
      </c>
    </row>
    <row r="1368">
      <c r="B1368" s="22" t="n"/>
      <c r="G1368" s="25" t="n"/>
      <c r="H1368" s="24">
        <f>IF(AND($F1368="TEMP",$G1368&gt;0,$M1368&lt;&gt;""),$M1368+$G1368,"")</f>
        <v/>
      </c>
      <c r="I1368" s="22" t="n"/>
      <c r="J1368" s="22" t="n"/>
      <c r="K1368" s="24" t="n"/>
      <c r="W1368">
        <f>IF($A2="","",COUNTIF('07_Pallet_Contents'!$A$2:$A$3000,$A2))</f>
        <v/>
      </c>
      <c r="X1368">
        <f>IF($A2="","",SUMIF('07_Pallet_Contents'!$A$2:$A$3000,$A2,'07_Pallet_Contents'!$D$2:$D$3000))</f>
        <v/>
      </c>
      <c r="Y1368">
        <f>IF($A2="","",SUMIF('07_Pallet_Contents'!$A$2:$A$3000,$A2,'07_Pallet_Contents'!$I$2:$I$3000))</f>
        <v/>
      </c>
      <c r="Z1368">
        <f>IF($A2="","",IF(COUNTIF('07_Pallet_Contents'!$A$2:$A$3000,$A2)&gt;0,"Yes",""))</f>
        <v/>
      </c>
    </row>
    <row r="1369">
      <c r="B1369" s="22" t="n"/>
      <c r="G1369" s="25" t="n"/>
      <c r="H1369" s="24">
        <f>IF(AND($F1369="TEMP",$G1369&gt;0,$M1369&lt;&gt;""),$M1369+$G1369,"")</f>
        <v/>
      </c>
      <c r="I1369" s="22" t="n"/>
      <c r="J1369" s="22" t="n"/>
      <c r="K1369" s="24" t="n"/>
      <c r="W1369">
        <f>IF($A2="","",COUNTIF('07_Pallet_Contents'!$A$2:$A$3000,$A2))</f>
        <v/>
      </c>
      <c r="X1369">
        <f>IF($A2="","",SUMIF('07_Pallet_Contents'!$A$2:$A$3000,$A2,'07_Pallet_Contents'!$D$2:$D$3000))</f>
        <v/>
      </c>
      <c r="Y1369">
        <f>IF($A2="","",SUMIF('07_Pallet_Contents'!$A$2:$A$3000,$A2,'07_Pallet_Contents'!$I$2:$I$3000))</f>
        <v/>
      </c>
      <c r="Z1369">
        <f>IF($A2="","",IF(COUNTIF('07_Pallet_Contents'!$A$2:$A$3000,$A2)&gt;0,"Yes",""))</f>
        <v/>
      </c>
    </row>
    <row r="1370">
      <c r="B1370" s="22" t="n"/>
      <c r="G1370" s="25" t="n"/>
      <c r="H1370" s="24">
        <f>IF(AND($F1370="TEMP",$G1370&gt;0,$M1370&lt;&gt;""),$M1370+$G1370,"")</f>
        <v/>
      </c>
      <c r="I1370" s="22" t="n"/>
      <c r="J1370" s="22" t="n"/>
      <c r="K1370" s="24" t="n"/>
      <c r="W1370">
        <f>IF($A2="","",COUNTIF('07_Pallet_Contents'!$A$2:$A$3000,$A2))</f>
        <v/>
      </c>
      <c r="X1370">
        <f>IF($A2="","",SUMIF('07_Pallet_Contents'!$A$2:$A$3000,$A2,'07_Pallet_Contents'!$D$2:$D$3000))</f>
        <v/>
      </c>
      <c r="Y1370">
        <f>IF($A2="","",SUMIF('07_Pallet_Contents'!$A$2:$A$3000,$A2,'07_Pallet_Contents'!$I$2:$I$3000))</f>
        <v/>
      </c>
      <c r="Z1370">
        <f>IF($A2="","",IF(COUNTIF('07_Pallet_Contents'!$A$2:$A$3000,$A2)&gt;0,"Yes",""))</f>
        <v/>
      </c>
    </row>
    <row r="1371">
      <c r="B1371" s="22" t="n"/>
      <c r="G1371" s="25" t="n"/>
      <c r="H1371" s="24">
        <f>IF(AND($F1371="TEMP",$G1371&gt;0,$M1371&lt;&gt;""),$M1371+$G1371,"")</f>
        <v/>
      </c>
      <c r="I1371" s="22" t="n"/>
      <c r="J1371" s="22" t="n"/>
      <c r="K1371" s="24" t="n"/>
      <c r="W1371">
        <f>IF($A2="","",COUNTIF('07_Pallet_Contents'!$A$2:$A$3000,$A2))</f>
        <v/>
      </c>
      <c r="X1371">
        <f>IF($A2="","",SUMIF('07_Pallet_Contents'!$A$2:$A$3000,$A2,'07_Pallet_Contents'!$D$2:$D$3000))</f>
        <v/>
      </c>
      <c r="Y1371">
        <f>IF($A2="","",SUMIF('07_Pallet_Contents'!$A$2:$A$3000,$A2,'07_Pallet_Contents'!$I$2:$I$3000))</f>
        <v/>
      </c>
      <c r="Z1371">
        <f>IF($A2="","",IF(COUNTIF('07_Pallet_Contents'!$A$2:$A$3000,$A2)&gt;0,"Yes",""))</f>
        <v/>
      </c>
    </row>
    <row r="1372">
      <c r="B1372" s="22" t="n"/>
      <c r="G1372" s="25" t="n"/>
      <c r="H1372" s="24">
        <f>IF(AND($F1372="TEMP",$G1372&gt;0,$M1372&lt;&gt;""),$M1372+$G1372,"")</f>
        <v/>
      </c>
      <c r="I1372" s="22" t="n"/>
      <c r="J1372" s="22" t="n"/>
      <c r="K1372" s="24" t="n"/>
      <c r="W1372">
        <f>IF($A2="","",COUNTIF('07_Pallet_Contents'!$A$2:$A$3000,$A2))</f>
        <v/>
      </c>
      <c r="X1372">
        <f>IF($A2="","",SUMIF('07_Pallet_Contents'!$A$2:$A$3000,$A2,'07_Pallet_Contents'!$D$2:$D$3000))</f>
        <v/>
      </c>
      <c r="Y1372">
        <f>IF($A2="","",SUMIF('07_Pallet_Contents'!$A$2:$A$3000,$A2,'07_Pallet_Contents'!$I$2:$I$3000))</f>
        <v/>
      </c>
      <c r="Z1372">
        <f>IF($A2="","",IF(COUNTIF('07_Pallet_Contents'!$A$2:$A$3000,$A2)&gt;0,"Yes",""))</f>
        <v/>
      </c>
    </row>
    <row r="1373">
      <c r="B1373" s="22" t="n"/>
      <c r="G1373" s="25" t="n"/>
      <c r="H1373" s="24">
        <f>IF(AND($F1373="TEMP",$G1373&gt;0,$M1373&lt;&gt;""),$M1373+$G1373,"")</f>
        <v/>
      </c>
      <c r="I1373" s="22" t="n"/>
      <c r="J1373" s="22" t="n"/>
      <c r="K1373" s="24" t="n"/>
      <c r="W1373">
        <f>IF($A2="","",COUNTIF('07_Pallet_Contents'!$A$2:$A$3000,$A2))</f>
        <v/>
      </c>
      <c r="X1373">
        <f>IF($A2="","",SUMIF('07_Pallet_Contents'!$A$2:$A$3000,$A2,'07_Pallet_Contents'!$D$2:$D$3000))</f>
        <v/>
      </c>
      <c r="Y1373">
        <f>IF($A2="","",SUMIF('07_Pallet_Contents'!$A$2:$A$3000,$A2,'07_Pallet_Contents'!$I$2:$I$3000))</f>
        <v/>
      </c>
      <c r="Z1373">
        <f>IF($A2="","",IF(COUNTIF('07_Pallet_Contents'!$A$2:$A$3000,$A2)&gt;0,"Yes",""))</f>
        <v/>
      </c>
    </row>
    <row r="1374">
      <c r="B1374" s="22" t="n"/>
      <c r="G1374" s="25" t="n"/>
      <c r="H1374" s="24">
        <f>IF(AND($F1374="TEMP",$G1374&gt;0,$M1374&lt;&gt;""),$M1374+$G1374,"")</f>
        <v/>
      </c>
      <c r="I1374" s="22" t="n"/>
      <c r="J1374" s="22" t="n"/>
      <c r="K1374" s="24" t="n"/>
      <c r="W1374">
        <f>IF($A2="","",COUNTIF('07_Pallet_Contents'!$A$2:$A$3000,$A2))</f>
        <v/>
      </c>
      <c r="X1374">
        <f>IF($A2="","",SUMIF('07_Pallet_Contents'!$A$2:$A$3000,$A2,'07_Pallet_Contents'!$D$2:$D$3000))</f>
        <v/>
      </c>
      <c r="Y1374">
        <f>IF($A2="","",SUMIF('07_Pallet_Contents'!$A$2:$A$3000,$A2,'07_Pallet_Contents'!$I$2:$I$3000))</f>
        <v/>
      </c>
      <c r="Z1374">
        <f>IF($A2="","",IF(COUNTIF('07_Pallet_Contents'!$A$2:$A$3000,$A2)&gt;0,"Yes",""))</f>
        <v/>
      </c>
    </row>
    <row r="1375">
      <c r="B1375" s="22" t="n"/>
      <c r="G1375" s="25" t="n"/>
      <c r="H1375" s="24">
        <f>IF(AND($F1375="TEMP",$G1375&gt;0,$M1375&lt;&gt;""),$M1375+$G1375,"")</f>
        <v/>
      </c>
      <c r="I1375" s="22" t="n"/>
      <c r="J1375" s="22" t="n"/>
      <c r="K1375" s="24" t="n"/>
      <c r="W1375">
        <f>IF($A2="","",COUNTIF('07_Pallet_Contents'!$A$2:$A$3000,$A2))</f>
        <v/>
      </c>
      <c r="X1375">
        <f>IF($A2="","",SUMIF('07_Pallet_Contents'!$A$2:$A$3000,$A2,'07_Pallet_Contents'!$D$2:$D$3000))</f>
        <v/>
      </c>
      <c r="Y1375">
        <f>IF($A2="","",SUMIF('07_Pallet_Contents'!$A$2:$A$3000,$A2,'07_Pallet_Contents'!$I$2:$I$3000))</f>
        <v/>
      </c>
      <c r="Z1375">
        <f>IF($A2="","",IF(COUNTIF('07_Pallet_Contents'!$A$2:$A$3000,$A2)&gt;0,"Yes",""))</f>
        <v/>
      </c>
    </row>
    <row r="1376">
      <c r="B1376" s="22" t="n"/>
      <c r="G1376" s="25" t="n"/>
      <c r="H1376" s="24">
        <f>IF(AND($F1376="TEMP",$G1376&gt;0,$M1376&lt;&gt;""),$M1376+$G1376,"")</f>
        <v/>
      </c>
      <c r="I1376" s="22" t="n"/>
      <c r="J1376" s="22" t="n"/>
      <c r="K1376" s="24" t="n"/>
      <c r="W1376">
        <f>IF($A2="","",COUNTIF('07_Pallet_Contents'!$A$2:$A$3000,$A2))</f>
        <v/>
      </c>
      <c r="X1376">
        <f>IF($A2="","",SUMIF('07_Pallet_Contents'!$A$2:$A$3000,$A2,'07_Pallet_Contents'!$D$2:$D$3000))</f>
        <v/>
      </c>
      <c r="Y1376">
        <f>IF($A2="","",SUMIF('07_Pallet_Contents'!$A$2:$A$3000,$A2,'07_Pallet_Contents'!$I$2:$I$3000))</f>
        <v/>
      </c>
      <c r="Z1376">
        <f>IF($A2="","",IF(COUNTIF('07_Pallet_Contents'!$A$2:$A$3000,$A2)&gt;0,"Yes",""))</f>
        <v/>
      </c>
    </row>
    <row r="1377">
      <c r="B1377" s="22" t="n"/>
      <c r="G1377" s="25" t="n"/>
      <c r="H1377" s="24">
        <f>IF(AND($F1377="TEMP",$G1377&gt;0,$M1377&lt;&gt;""),$M1377+$G1377,"")</f>
        <v/>
      </c>
      <c r="I1377" s="22" t="n"/>
      <c r="J1377" s="22" t="n"/>
      <c r="K1377" s="24" t="n"/>
      <c r="W1377">
        <f>IF($A2="","",COUNTIF('07_Pallet_Contents'!$A$2:$A$3000,$A2))</f>
        <v/>
      </c>
      <c r="X1377">
        <f>IF($A2="","",SUMIF('07_Pallet_Contents'!$A$2:$A$3000,$A2,'07_Pallet_Contents'!$D$2:$D$3000))</f>
        <v/>
      </c>
      <c r="Y1377">
        <f>IF($A2="","",SUMIF('07_Pallet_Contents'!$A$2:$A$3000,$A2,'07_Pallet_Contents'!$I$2:$I$3000))</f>
        <v/>
      </c>
      <c r="Z1377">
        <f>IF($A2="","",IF(COUNTIF('07_Pallet_Contents'!$A$2:$A$3000,$A2)&gt;0,"Yes",""))</f>
        <v/>
      </c>
    </row>
    <row r="1378">
      <c r="B1378" s="22" t="n"/>
      <c r="G1378" s="25" t="n"/>
      <c r="H1378" s="24">
        <f>IF(AND($F1378="TEMP",$G1378&gt;0,$M1378&lt;&gt;""),$M1378+$G1378,"")</f>
        <v/>
      </c>
      <c r="I1378" s="22" t="n"/>
      <c r="J1378" s="22" t="n"/>
      <c r="K1378" s="24" t="n"/>
      <c r="W1378">
        <f>IF($A2="","",COUNTIF('07_Pallet_Contents'!$A$2:$A$3000,$A2))</f>
        <v/>
      </c>
      <c r="X1378">
        <f>IF($A2="","",SUMIF('07_Pallet_Contents'!$A$2:$A$3000,$A2,'07_Pallet_Contents'!$D$2:$D$3000))</f>
        <v/>
      </c>
      <c r="Y1378">
        <f>IF($A2="","",SUMIF('07_Pallet_Contents'!$A$2:$A$3000,$A2,'07_Pallet_Contents'!$I$2:$I$3000))</f>
        <v/>
      </c>
      <c r="Z1378">
        <f>IF($A2="","",IF(COUNTIF('07_Pallet_Contents'!$A$2:$A$3000,$A2)&gt;0,"Yes",""))</f>
        <v/>
      </c>
    </row>
    <row r="1379">
      <c r="B1379" s="22" t="n"/>
      <c r="G1379" s="25" t="n"/>
      <c r="H1379" s="24">
        <f>IF(AND($F1379="TEMP",$G1379&gt;0,$M1379&lt;&gt;""),$M1379+$G1379,"")</f>
        <v/>
      </c>
      <c r="I1379" s="22" t="n"/>
      <c r="J1379" s="22" t="n"/>
      <c r="K1379" s="24" t="n"/>
      <c r="W1379">
        <f>IF($A2="","",COUNTIF('07_Pallet_Contents'!$A$2:$A$3000,$A2))</f>
        <v/>
      </c>
      <c r="X1379">
        <f>IF($A2="","",SUMIF('07_Pallet_Contents'!$A$2:$A$3000,$A2,'07_Pallet_Contents'!$D$2:$D$3000))</f>
        <v/>
      </c>
      <c r="Y1379">
        <f>IF($A2="","",SUMIF('07_Pallet_Contents'!$A$2:$A$3000,$A2,'07_Pallet_Contents'!$I$2:$I$3000))</f>
        <v/>
      </c>
      <c r="Z1379">
        <f>IF($A2="","",IF(COUNTIF('07_Pallet_Contents'!$A$2:$A$3000,$A2)&gt;0,"Yes",""))</f>
        <v/>
      </c>
    </row>
    <row r="1380">
      <c r="B1380" s="22" t="n"/>
      <c r="G1380" s="25" t="n"/>
      <c r="H1380" s="24">
        <f>IF(AND($F1380="TEMP",$G1380&gt;0,$M1380&lt;&gt;""),$M1380+$G1380,"")</f>
        <v/>
      </c>
      <c r="I1380" s="22" t="n"/>
      <c r="J1380" s="22" t="n"/>
      <c r="K1380" s="24" t="n"/>
      <c r="W1380">
        <f>IF($A2="","",COUNTIF('07_Pallet_Contents'!$A$2:$A$3000,$A2))</f>
        <v/>
      </c>
      <c r="X1380">
        <f>IF($A2="","",SUMIF('07_Pallet_Contents'!$A$2:$A$3000,$A2,'07_Pallet_Contents'!$D$2:$D$3000))</f>
        <v/>
      </c>
      <c r="Y1380">
        <f>IF($A2="","",SUMIF('07_Pallet_Contents'!$A$2:$A$3000,$A2,'07_Pallet_Contents'!$I$2:$I$3000))</f>
        <v/>
      </c>
      <c r="Z1380">
        <f>IF($A2="","",IF(COUNTIF('07_Pallet_Contents'!$A$2:$A$3000,$A2)&gt;0,"Yes",""))</f>
        <v/>
      </c>
    </row>
    <row r="1381">
      <c r="B1381" s="22" t="n"/>
      <c r="G1381" s="25" t="n"/>
      <c r="H1381" s="24">
        <f>IF(AND($F1381="TEMP",$G1381&gt;0,$M1381&lt;&gt;""),$M1381+$G1381,"")</f>
        <v/>
      </c>
      <c r="I1381" s="22" t="n"/>
      <c r="J1381" s="22" t="n"/>
      <c r="K1381" s="24" t="n"/>
      <c r="W1381">
        <f>IF($A2="","",COUNTIF('07_Pallet_Contents'!$A$2:$A$3000,$A2))</f>
        <v/>
      </c>
      <c r="X1381">
        <f>IF($A2="","",SUMIF('07_Pallet_Contents'!$A$2:$A$3000,$A2,'07_Pallet_Contents'!$D$2:$D$3000))</f>
        <v/>
      </c>
      <c r="Y1381">
        <f>IF($A2="","",SUMIF('07_Pallet_Contents'!$A$2:$A$3000,$A2,'07_Pallet_Contents'!$I$2:$I$3000))</f>
        <v/>
      </c>
      <c r="Z1381">
        <f>IF($A2="","",IF(COUNTIF('07_Pallet_Contents'!$A$2:$A$3000,$A2)&gt;0,"Yes",""))</f>
        <v/>
      </c>
    </row>
    <row r="1382">
      <c r="B1382" s="22" t="n"/>
      <c r="G1382" s="25" t="n"/>
      <c r="H1382" s="24">
        <f>IF(AND($F1382="TEMP",$G1382&gt;0,$M1382&lt;&gt;""),$M1382+$G1382,"")</f>
        <v/>
      </c>
      <c r="I1382" s="22" t="n"/>
      <c r="J1382" s="22" t="n"/>
      <c r="K1382" s="24" t="n"/>
      <c r="W1382">
        <f>IF($A2="","",COUNTIF('07_Pallet_Contents'!$A$2:$A$3000,$A2))</f>
        <v/>
      </c>
      <c r="X1382">
        <f>IF($A2="","",SUMIF('07_Pallet_Contents'!$A$2:$A$3000,$A2,'07_Pallet_Contents'!$D$2:$D$3000))</f>
        <v/>
      </c>
      <c r="Y1382">
        <f>IF($A2="","",SUMIF('07_Pallet_Contents'!$A$2:$A$3000,$A2,'07_Pallet_Contents'!$I$2:$I$3000))</f>
        <v/>
      </c>
      <c r="Z1382">
        <f>IF($A2="","",IF(COUNTIF('07_Pallet_Contents'!$A$2:$A$3000,$A2)&gt;0,"Yes",""))</f>
        <v/>
      </c>
    </row>
    <row r="1383">
      <c r="B1383" s="22" t="n"/>
      <c r="G1383" s="25" t="n"/>
      <c r="H1383" s="24">
        <f>IF(AND($F1383="TEMP",$G1383&gt;0,$M1383&lt;&gt;""),$M1383+$G1383,"")</f>
        <v/>
      </c>
      <c r="I1383" s="22" t="n"/>
      <c r="J1383" s="22" t="n"/>
      <c r="K1383" s="24" t="n"/>
      <c r="W1383">
        <f>IF($A2="","",COUNTIF('07_Pallet_Contents'!$A$2:$A$3000,$A2))</f>
        <v/>
      </c>
      <c r="X1383">
        <f>IF($A2="","",SUMIF('07_Pallet_Contents'!$A$2:$A$3000,$A2,'07_Pallet_Contents'!$D$2:$D$3000))</f>
        <v/>
      </c>
      <c r="Y1383">
        <f>IF($A2="","",SUMIF('07_Pallet_Contents'!$A$2:$A$3000,$A2,'07_Pallet_Contents'!$I$2:$I$3000))</f>
        <v/>
      </c>
      <c r="Z1383">
        <f>IF($A2="","",IF(COUNTIF('07_Pallet_Contents'!$A$2:$A$3000,$A2)&gt;0,"Yes",""))</f>
        <v/>
      </c>
    </row>
    <row r="1384">
      <c r="B1384" s="22" t="n"/>
      <c r="G1384" s="25" t="n"/>
      <c r="H1384" s="24">
        <f>IF(AND($F1384="TEMP",$G1384&gt;0,$M1384&lt;&gt;""),$M1384+$G1384,"")</f>
        <v/>
      </c>
      <c r="I1384" s="22" t="n"/>
      <c r="J1384" s="22" t="n"/>
      <c r="K1384" s="24" t="n"/>
      <c r="W1384">
        <f>IF($A2="","",COUNTIF('07_Pallet_Contents'!$A$2:$A$3000,$A2))</f>
        <v/>
      </c>
      <c r="X1384">
        <f>IF($A2="","",SUMIF('07_Pallet_Contents'!$A$2:$A$3000,$A2,'07_Pallet_Contents'!$D$2:$D$3000))</f>
        <v/>
      </c>
      <c r="Y1384">
        <f>IF($A2="","",SUMIF('07_Pallet_Contents'!$A$2:$A$3000,$A2,'07_Pallet_Contents'!$I$2:$I$3000))</f>
        <v/>
      </c>
      <c r="Z1384">
        <f>IF($A2="","",IF(COUNTIF('07_Pallet_Contents'!$A$2:$A$3000,$A2)&gt;0,"Yes",""))</f>
        <v/>
      </c>
    </row>
    <row r="1385">
      <c r="B1385" s="22" t="n"/>
      <c r="G1385" s="25" t="n"/>
      <c r="H1385" s="24">
        <f>IF(AND($F1385="TEMP",$G1385&gt;0,$M1385&lt;&gt;""),$M1385+$G1385,"")</f>
        <v/>
      </c>
      <c r="I1385" s="22" t="n"/>
      <c r="J1385" s="22" t="n"/>
      <c r="K1385" s="24" t="n"/>
      <c r="W1385">
        <f>IF($A2="","",COUNTIF('07_Pallet_Contents'!$A$2:$A$3000,$A2))</f>
        <v/>
      </c>
      <c r="X1385">
        <f>IF($A2="","",SUMIF('07_Pallet_Contents'!$A$2:$A$3000,$A2,'07_Pallet_Contents'!$D$2:$D$3000))</f>
        <v/>
      </c>
      <c r="Y1385">
        <f>IF($A2="","",SUMIF('07_Pallet_Contents'!$A$2:$A$3000,$A2,'07_Pallet_Contents'!$I$2:$I$3000))</f>
        <v/>
      </c>
      <c r="Z1385">
        <f>IF($A2="","",IF(COUNTIF('07_Pallet_Contents'!$A$2:$A$3000,$A2)&gt;0,"Yes",""))</f>
        <v/>
      </c>
    </row>
    <row r="1386">
      <c r="B1386" s="22" t="n"/>
      <c r="G1386" s="25" t="n"/>
      <c r="H1386" s="24">
        <f>IF(AND($F1386="TEMP",$G1386&gt;0,$M1386&lt;&gt;""),$M1386+$G1386,"")</f>
        <v/>
      </c>
      <c r="I1386" s="22" t="n"/>
      <c r="J1386" s="22" t="n"/>
      <c r="K1386" s="24" t="n"/>
      <c r="W1386">
        <f>IF($A2="","",COUNTIF('07_Pallet_Contents'!$A$2:$A$3000,$A2))</f>
        <v/>
      </c>
      <c r="X1386">
        <f>IF($A2="","",SUMIF('07_Pallet_Contents'!$A$2:$A$3000,$A2,'07_Pallet_Contents'!$D$2:$D$3000))</f>
        <v/>
      </c>
      <c r="Y1386">
        <f>IF($A2="","",SUMIF('07_Pallet_Contents'!$A$2:$A$3000,$A2,'07_Pallet_Contents'!$I$2:$I$3000))</f>
        <v/>
      </c>
      <c r="Z1386">
        <f>IF($A2="","",IF(COUNTIF('07_Pallet_Contents'!$A$2:$A$3000,$A2)&gt;0,"Yes",""))</f>
        <v/>
      </c>
    </row>
    <row r="1387">
      <c r="B1387" s="22" t="n"/>
      <c r="G1387" s="25" t="n"/>
      <c r="H1387" s="24">
        <f>IF(AND($F1387="TEMP",$G1387&gt;0,$M1387&lt;&gt;""),$M1387+$G1387,"")</f>
        <v/>
      </c>
      <c r="I1387" s="22" t="n"/>
      <c r="J1387" s="22" t="n"/>
      <c r="K1387" s="24" t="n"/>
      <c r="W1387">
        <f>IF($A2="","",COUNTIF('07_Pallet_Contents'!$A$2:$A$3000,$A2))</f>
        <v/>
      </c>
      <c r="X1387">
        <f>IF($A2="","",SUMIF('07_Pallet_Contents'!$A$2:$A$3000,$A2,'07_Pallet_Contents'!$D$2:$D$3000))</f>
        <v/>
      </c>
      <c r="Y1387">
        <f>IF($A2="","",SUMIF('07_Pallet_Contents'!$A$2:$A$3000,$A2,'07_Pallet_Contents'!$I$2:$I$3000))</f>
        <v/>
      </c>
      <c r="Z1387">
        <f>IF($A2="","",IF(COUNTIF('07_Pallet_Contents'!$A$2:$A$3000,$A2)&gt;0,"Yes",""))</f>
        <v/>
      </c>
    </row>
    <row r="1388">
      <c r="B1388" s="22" t="n"/>
      <c r="G1388" s="25" t="n"/>
      <c r="H1388" s="24">
        <f>IF(AND($F1388="TEMP",$G1388&gt;0,$M1388&lt;&gt;""),$M1388+$G1388,"")</f>
        <v/>
      </c>
      <c r="I1388" s="22" t="n"/>
      <c r="J1388" s="22" t="n"/>
      <c r="K1388" s="24" t="n"/>
      <c r="W1388">
        <f>IF($A2="","",COUNTIF('07_Pallet_Contents'!$A$2:$A$3000,$A2))</f>
        <v/>
      </c>
      <c r="X1388">
        <f>IF($A2="","",SUMIF('07_Pallet_Contents'!$A$2:$A$3000,$A2,'07_Pallet_Contents'!$D$2:$D$3000))</f>
        <v/>
      </c>
      <c r="Y1388">
        <f>IF($A2="","",SUMIF('07_Pallet_Contents'!$A$2:$A$3000,$A2,'07_Pallet_Contents'!$I$2:$I$3000))</f>
        <v/>
      </c>
      <c r="Z1388">
        <f>IF($A2="","",IF(COUNTIF('07_Pallet_Contents'!$A$2:$A$3000,$A2)&gt;0,"Yes",""))</f>
        <v/>
      </c>
    </row>
    <row r="1389">
      <c r="B1389" s="22" t="n"/>
      <c r="G1389" s="25" t="n"/>
      <c r="H1389" s="24">
        <f>IF(AND($F1389="TEMP",$G1389&gt;0,$M1389&lt;&gt;""),$M1389+$G1389,"")</f>
        <v/>
      </c>
      <c r="I1389" s="22" t="n"/>
      <c r="J1389" s="22" t="n"/>
      <c r="K1389" s="24" t="n"/>
      <c r="W1389">
        <f>IF($A2="","",COUNTIF('07_Pallet_Contents'!$A$2:$A$3000,$A2))</f>
        <v/>
      </c>
      <c r="X1389">
        <f>IF($A2="","",SUMIF('07_Pallet_Contents'!$A$2:$A$3000,$A2,'07_Pallet_Contents'!$D$2:$D$3000))</f>
        <v/>
      </c>
      <c r="Y1389">
        <f>IF($A2="","",SUMIF('07_Pallet_Contents'!$A$2:$A$3000,$A2,'07_Pallet_Contents'!$I$2:$I$3000))</f>
        <v/>
      </c>
      <c r="Z1389">
        <f>IF($A2="","",IF(COUNTIF('07_Pallet_Contents'!$A$2:$A$3000,$A2)&gt;0,"Yes",""))</f>
        <v/>
      </c>
    </row>
    <row r="1390">
      <c r="B1390" s="22" t="n"/>
      <c r="G1390" s="25" t="n"/>
      <c r="H1390" s="24">
        <f>IF(AND($F1390="TEMP",$G1390&gt;0,$M1390&lt;&gt;""),$M1390+$G1390,"")</f>
        <v/>
      </c>
      <c r="I1390" s="22" t="n"/>
      <c r="J1390" s="22" t="n"/>
      <c r="K1390" s="24" t="n"/>
      <c r="W1390">
        <f>IF($A2="","",COUNTIF('07_Pallet_Contents'!$A$2:$A$3000,$A2))</f>
        <v/>
      </c>
      <c r="X1390">
        <f>IF($A2="","",SUMIF('07_Pallet_Contents'!$A$2:$A$3000,$A2,'07_Pallet_Contents'!$D$2:$D$3000))</f>
        <v/>
      </c>
      <c r="Y1390">
        <f>IF($A2="","",SUMIF('07_Pallet_Contents'!$A$2:$A$3000,$A2,'07_Pallet_Contents'!$I$2:$I$3000))</f>
        <v/>
      </c>
      <c r="Z1390">
        <f>IF($A2="","",IF(COUNTIF('07_Pallet_Contents'!$A$2:$A$3000,$A2)&gt;0,"Yes",""))</f>
        <v/>
      </c>
    </row>
    <row r="1391">
      <c r="B1391" s="22" t="n"/>
      <c r="G1391" s="25" t="n"/>
      <c r="H1391" s="24">
        <f>IF(AND($F1391="TEMP",$G1391&gt;0,$M1391&lt;&gt;""),$M1391+$G1391,"")</f>
        <v/>
      </c>
      <c r="I1391" s="22" t="n"/>
      <c r="J1391" s="22" t="n"/>
      <c r="K1391" s="24" t="n"/>
      <c r="W1391">
        <f>IF($A2="","",COUNTIF('07_Pallet_Contents'!$A$2:$A$3000,$A2))</f>
        <v/>
      </c>
      <c r="X1391">
        <f>IF($A2="","",SUMIF('07_Pallet_Contents'!$A$2:$A$3000,$A2,'07_Pallet_Contents'!$D$2:$D$3000))</f>
        <v/>
      </c>
      <c r="Y1391">
        <f>IF($A2="","",SUMIF('07_Pallet_Contents'!$A$2:$A$3000,$A2,'07_Pallet_Contents'!$I$2:$I$3000))</f>
        <v/>
      </c>
      <c r="Z1391">
        <f>IF($A2="","",IF(COUNTIF('07_Pallet_Contents'!$A$2:$A$3000,$A2)&gt;0,"Yes",""))</f>
        <v/>
      </c>
    </row>
    <row r="1392">
      <c r="B1392" s="22" t="n"/>
      <c r="G1392" s="25" t="n"/>
      <c r="H1392" s="24">
        <f>IF(AND($F1392="TEMP",$G1392&gt;0,$M1392&lt;&gt;""),$M1392+$G1392,"")</f>
        <v/>
      </c>
      <c r="I1392" s="22" t="n"/>
      <c r="J1392" s="22" t="n"/>
      <c r="K1392" s="24" t="n"/>
      <c r="W1392">
        <f>IF($A2="","",COUNTIF('07_Pallet_Contents'!$A$2:$A$3000,$A2))</f>
        <v/>
      </c>
      <c r="X1392">
        <f>IF($A2="","",SUMIF('07_Pallet_Contents'!$A$2:$A$3000,$A2,'07_Pallet_Contents'!$D$2:$D$3000))</f>
        <v/>
      </c>
      <c r="Y1392">
        <f>IF($A2="","",SUMIF('07_Pallet_Contents'!$A$2:$A$3000,$A2,'07_Pallet_Contents'!$I$2:$I$3000))</f>
        <v/>
      </c>
      <c r="Z1392">
        <f>IF($A2="","",IF(COUNTIF('07_Pallet_Contents'!$A$2:$A$3000,$A2)&gt;0,"Yes",""))</f>
        <v/>
      </c>
    </row>
    <row r="1393">
      <c r="B1393" s="22" t="n"/>
      <c r="G1393" s="25" t="n"/>
      <c r="H1393" s="24">
        <f>IF(AND($F1393="TEMP",$G1393&gt;0,$M1393&lt;&gt;""),$M1393+$G1393,"")</f>
        <v/>
      </c>
      <c r="I1393" s="22" t="n"/>
      <c r="J1393" s="22" t="n"/>
      <c r="K1393" s="24" t="n"/>
      <c r="W1393">
        <f>IF($A2="","",COUNTIF('07_Pallet_Contents'!$A$2:$A$3000,$A2))</f>
        <v/>
      </c>
      <c r="X1393">
        <f>IF($A2="","",SUMIF('07_Pallet_Contents'!$A$2:$A$3000,$A2,'07_Pallet_Contents'!$D$2:$D$3000))</f>
        <v/>
      </c>
      <c r="Y1393">
        <f>IF($A2="","",SUMIF('07_Pallet_Contents'!$A$2:$A$3000,$A2,'07_Pallet_Contents'!$I$2:$I$3000))</f>
        <v/>
      </c>
      <c r="Z1393">
        <f>IF($A2="","",IF(COUNTIF('07_Pallet_Contents'!$A$2:$A$3000,$A2)&gt;0,"Yes",""))</f>
        <v/>
      </c>
    </row>
    <row r="1394">
      <c r="B1394" s="22" t="n"/>
      <c r="G1394" s="25" t="n"/>
      <c r="H1394" s="24">
        <f>IF(AND($F1394="TEMP",$G1394&gt;0,$M1394&lt;&gt;""),$M1394+$G1394,"")</f>
        <v/>
      </c>
      <c r="I1394" s="22" t="n"/>
      <c r="J1394" s="22" t="n"/>
      <c r="K1394" s="24" t="n"/>
      <c r="W1394">
        <f>IF($A2="","",COUNTIF('07_Pallet_Contents'!$A$2:$A$3000,$A2))</f>
        <v/>
      </c>
      <c r="X1394">
        <f>IF($A2="","",SUMIF('07_Pallet_Contents'!$A$2:$A$3000,$A2,'07_Pallet_Contents'!$D$2:$D$3000))</f>
        <v/>
      </c>
      <c r="Y1394">
        <f>IF($A2="","",SUMIF('07_Pallet_Contents'!$A$2:$A$3000,$A2,'07_Pallet_Contents'!$I$2:$I$3000))</f>
        <v/>
      </c>
      <c r="Z1394">
        <f>IF($A2="","",IF(COUNTIF('07_Pallet_Contents'!$A$2:$A$3000,$A2)&gt;0,"Yes",""))</f>
        <v/>
      </c>
    </row>
    <row r="1395">
      <c r="B1395" s="22" t="n"/>
      <c r="G1395" s="25" t="n"/>
      <c r="H1395" s="24">
        <f>IF(AND($F1395="TEMP",$G1395&gt;0,$M1395&lt;&gt;""),$M1395+$G1395,"")</f>
        <v/>
      </c>
      <c r="I1395" s="22" t="n"/>
      <c r="J1395" s="22" t="n"/>
      <c r="K1395" s="24" t="n"/>
      <c r="W1395">
        <f>IF($A2="","",COUNTIF('07_Pallet_Contents'!$A$2:$A$3000,$A2))</f>
        <v/>
      </c>
      <c r="X1395">
        <f>IF($A2="","",SUMIF('07_Pallet_Contents'!$A$2:$A$3000,$A2,'07_Pallet_Contents'!$D$2:$D$3000))</f>
        <v/>
      </c>
      <c r="Y1395">
        <f>IF($A2="","",SUMIF('07_Pallet_Contents'!$A$2:$A$3000,$A2,'07_Pallet_Contents'!$I$2:$I$3000))</f>
        <v/>
      </c>
      <c r="Z1395">
        <f>IF($A2="","",IF(COUNTIF('07_Pallet_Contents'!$A$2:$A$3000,$A2)&gt;0,"Yes",""))</f>
        <v/>
      </c>
    </row>
    <row r="1396">
      <c r="B1396" s="22" t="n"/>
      <c r="G1396" s="25" t="n"/>
      <c r="H1396" s="24">
        <f>IF(AND($F1396="TEMP",$G1396&gt;0,$M1396&lt;&gt;""),$M1396+$G1396,"")</f>
        <v/>
      </c>
      <c r="I1396" s="22" t="n"/>
      <c r="J1396" s="22" t="n"/>
      <c r="K1396" s="24" t="n"/>
      <c r="W1396">
        <f>IF($A2="","",COUNTIF('07_Pallet_Contents'!$A$2:$A$3000,$A2))</f>
        <v/>
      </c>
      <c r="X1396">
        <f>IF($A2="","",SUMIF('07_Pallet_Contents'!$A$2:$A$3000,$A2,'07_Pallet_Contents'!$D$2:$D$3000))</f>
        <v/>
      </c>
      <c r="Y1396">
        <f>IF($A2="","",SUMIF('07_Pallet_Contents'!$A$2:$A$3000,$A2,'07_Pallet_Contents'!$I$2:$I$3000))</f>
        <v/>
      </c>
      <c r="Z1396">
        <f>IF($A2="","",IF(COUNTIF('07_Pallet_Contents'!$A$2:$A$3000,$A2)&gt;0,"Yes",""))</f>
        <v/>
      </c>
    </row>
    <row r="1397">
      <c r="B1397" s="22" t="n"/>
      <c r="G1397" s="25" t="n"/>
      <c r="H1397" s="24">
        <f>IF(AND($F1397="TEMP",$G1397&gt;0,$M1397&lt;&gt;""),$M1397+$G1397,"")</f>
        <v/>
      </c>
      <c r="I1397" s="22" t="n"/>
      <c r="J1397" s="22" t="n"/>
      <c r="K1397" s="24" t="n"/>
      <c r="W1397">
        <f>IF($A2="","",COUNTIF('07_Pallet_Contents'!$A$2:$A$3000,$A2))</f>
        <v/>
      </c>
      <c r="X1397">
        <f>IF($A2="","",SUMIF('07_Pallet_Contents'!$A$2:$A$3000,$A2,'07_Pallet_Contents'!$D$2:$D$3000))</f>
        <v/>
      </c>
      <c r="Y1397">
        <f>IF($A2="","",SUMIF('07_Pallet_Contents'!$A$2:$A$3000,$A2,'07_Pallet_Contents'!$I$2:$I$3000))</f>
        <v/>
      </c>
      <c r="Z1397">
        <f>IF($A2="","",IF(COUNTIF('07_Pallet_Contents'!$A$2:$A$3000,$A2)&gt;0,"Yes",""))</f>
        <v/>
      </c>
    </row>
    <row r="1398">
      <c r="B1398" s="22" t="n"/>
      <c r="G1398" s="25" t="n"/>
      <c r="H1398" s="24">
        <f>IF(AND($F1398="TEMP",$G1398&gt;0,$M1398&lt;&gt;""),$M1398+$G1398,"")</f>
        <v/>
      </c>
      <c r="I1398" s="22" t="n"/>
      <c r="J1398" s="22" t="n"/>
      <c r="K1398" s="24" t="n"/>
      <c r="W1398">
        <f>IF($A2="","",COUNTIF('07_Pallet_Contents'!$A$2:$A$3000,$A2))</f>
        <v/>
      </c>
      <c r="X1398">
        <f>IF($A2="","",SUMIF('07_Pallet_Contents'!$A$2:$A$3000,$A2,'07_Pallet_Contents'!$D$2:$D$3000))</f>
        <v/>
      </c>
      <c r="Y1398">
        <f>IF($A2="","",SUMIF('07_Pallet_Contents'!$A$2:$A$3000,$A2,'07_Pallet_Contents'!$I$2:$I$3000))</f>
        <v/>
      </c>
      <c r="Z1398">
        <f>IF($A2="","",IF(COUNTIF('07_Pallet_Contents'!$A$2:$A$3000,$A2)&gt;0,"Yes",""))</f>
        <v/>
      </c>
    </row>
    <row r="1399">
      <c r="B1399" s="22" t="n"/>
      <c r="G1399" s="25" t="n"/>
      <c r="H1399" s="24">
        <f>IF(AND($F1399="TEMP",$G1399&gt;0,$M1399&lt;&gt;""),$M1399+$G1399,"")</f>
        <v/>
      </c>
      <c r="I1399" s="22" t="n"/>
      <c r="J1399" s="22" t="n"/>
      <c r="K1399" s="24" t="n"/>
      <c r="W1399">
        <f>IF($A2="","",COUNTIF('07_Pallet_Contents'!$A$2:$A$3000,$A2))</f>
        <v/>
      </c>
      <c r="X1399">
        <f>IF($A2="","",SUMIF('07_Pallet_Contents'!$A$2:$A$3000,$A2,'07_Pallet_Contents'!$D$2:$D$3000))</f>
        <v/>
      </c>
      <c r="Y1399">
        <f>IF($A2="","",SUMIF('07_Pallet_Contents'!$A$2:$A$3000,$A2,'07_Pallet_Contents'!$I$2:$I$3000))</f>
        <v/>
      </c>
      <c r="Z1399">
        <f>IF($A2="","",IF(COUNTIF('07_Pallet_Contents'!$A$2:$A$3000,$A2)&gt;0,"Yes",""))</f>
        <v/>
      </c>
    </row>
    <row r="1400">
      <c r="B1400" s="22" t="n"/>
      <c r="G1400" s="25" t="n"/>
      <c r="H1400" s="24">
        <f>IF(AND($F1400="TEMP",$G1400&gt;0,$M1400&lt;&gt;""),$M1400+$G1400,"")</f>
        <v/>
      </c>
      <c r="I1400" s="22" t="n"/>
      <c r="J1400" s="22" t="n"/>
      <c r="K1400" s="24" t="n"/>
      <c r="W1400">
        <f>IF($A2="","",COUNTIF('07_Pallet_Contents'!$A$2:$A$3000,$A2))</f>
        <v/>
      </c>
      <c r="X1400">
        <f>IF($A2="","",SUMIF('07_Pallet_Contents'!$A$2:$A$3000,$A2,'07_Pallet_Contents'!$D$2:$D$3000))</f>
        <v/>
      </c>
      <c r="Y1400">
        <f>IF($A2="","",SUMIF('07_Pallet_Contents'!$A$2:$A$3000,$A2,'07_Pallet_Contents'!$I$2:$I$3000))</f>
        <v/>
      </c>
      <c r="Z1400">
        <f>IF($A2="","",IF(COUNTIF('07_Pallet_Contents'!$A$2:$A$3000,$A2)&gt;0,"Yes",""))</f>
        <v/>
      </c>
    </row>
    <row r="1401">
      <c r="B1401" s="22" t="n"/>
      <c r="G1401" s="25" t="n"/>
      <c r="H1401" s="24">
        <f>IF(AND($F1401="TEMP",$G1401&gt;0,$M1401&lt;&gt;""),$M1401+$G1401,"")</f>
        <v/>
      </c>
      <c r="I1401" s="22" t="n"/>
      <c r="J1401" s="22" t="n"/>
      <c r="K1401" s="24" t="n"/>
      <c r="W1401">
        <f>IF($A2="","",COUNTIF('07_Pallet_Contents'!$A$2:$A$3000,$A2))</f>
        <v/>
      </c>
      <c r="X1401">
        <f>IF($A2="","",SUMIF('07_Pallet_Contents'!$A$2:$A$3000,$A2,'07_Pallet_Contents'!$D$2:$D$3000))</f>
        <v/>
      </c>
      <c r="Y1401">
        <f>IF($A2="","",SUMIF('07_Pallet_Contents'!$A$2:$A$3000,$A2,'07_Pallet_Contents'!$I$2:$I$3000))</f>
        <v/>
      </c>
      <c r="Z1401">
        <f>IF($A2="","",IF(COUNTIF('07_Pallet_Contents'!$A$2:$A$3000,$A2)&gt;0,"Yes",""))</f>
        <v/>
      </c>
    </row>
    <row r="1402">
      <c r="B1402" s="22" t="n"/>
      <c r="G1402" s="25" t="n"/>
      <c r="H1402" s="24">
        <f>IF(AND($F1402="TEMP",$G1402&gt;0,$M1402&lt;&gt;""),$M1402+$G1402,"")</f>
        <v/>
      </c>
      <c r="I1402" s="22" t="n"/>
      <c r="J1402" s="22" t="n"/>
      <c r="K1402" s="24" t="n"/>
      <c r="W1402">
        <f>IF($A2="","",COUNTIF('07_Pallet_Contents'!$A$2:$A$3000,$A2))</f>
        <v/>
      </c>
      <c r="X1402">
        <f>IF($A2="","",SUMIF('07_Pallet_Contents'!$A$2:$A$3000,$A2,'07_Pallet_Contents'!$D$2:$D$3000))</f>
        <v/>
      </c>
      <c r="Y1402">
        <f>IF($A2="","",SUMIF('07_Pallet_Contents'!$A$2:$A$3000,$A2,'07_Pallet_Contents'!$I$2:$I$3000))</f>
        <v/>
      </c>
      <c r="Z1402">
        <f>IF($A2="","",IF(COUNTIF('07_Pallet_Contents'!$A$2:$A$3000,$A2)&gt;0,"Yes",""))</f>
        <v/>
      </c>
    </row>
    <row r="1403">
      <c r="B1403" s="22" t="n"/>
      <c r="G1403" s="25" t="n"/>
      <c r="H1403" s="24">
        <f>IF(AND($F1403="TEMP",$G1403&gt;0,$M1403&lt;&gt;""),$M1403+$G1403,"")</f>
        <v/>
      </c>
      <c r="I1403" s="22" t="n"/>
      <c r="J1403" s="22" t="n"/>
      <c r="K1403" s="24" t="n"/>
      <c r="W1403">
        <f>IF($A2="","",COUNTIF('07_Pallet_Contents'!$A$2:$A$3000,$A2))</f>
        <v/>
      </c>
      <c r="X1403">
        <f>IF($A2="","",SUMIF('07_Pallet_Contents'!$A$2:$A$3000,$A2,'07_Pallet_Contents'!$D$2:$D$3000))</f>
        <v/>
      </c>
      <c r="Y1403">
        <f>IF($A2="","",SUMIF('07_Pallet_Contents'!$A$2:$A$3000,$A2,'07_Pallet_Contents'!$I$2:$I$3000))</f>
        <v/>
      </c>
      <c r="Z1403">
        <f>IF($A2="","",IF(COUNTIF('07_Pallet_Contents'!$A$2:$A$3000,$A2)&gt;0,"Yes",""))</f>
        <v/>
      </c>
    </row>
    <row r="1404">
      <c r="B1404" s="22" t="n"/>
      <c r="G1404" s="25" t="n"/>
      <c r="H1404" s="24">
        <f>IF(AND($F1404="TEMP",$G1404&gt;0,$M1404&lt;&gt;""),$M1404+$G1404,"")</f>
        <v/>
      </c>
      <c r="I1404" s="22" t="n"/>
      <c r="J1404" s="22" t="n"/>
      <c r="K1404" s="24" t="n"/>
      <c r="W1404">
        <f>IF($A2="","",COUNTIF('07_Pallet_Contents'!$A$2:$A$3000,$A2))</f>
        <v/>
      </c>
      <c r="X1404">
        <f>IF($A2="","",SUMIF('07_Pallet_Contents'!$A$2:$A$3000,$A2,'07_Pallet_Contents'!$D$2:$D$3000))</f>
        <v/>
      </c>
      <c r="Y1404">
        <f>IF($A2="","",SUMIF('07_Pallet_Contents'!$A$2:$A$3000,$A2,'07_Pallet_Contents'!$I$2:$I$3000))</f>
        <v/>
      </c>
      <c r="Z1404">
        <f>IF($A2="","",IF(COUNTIF('07_Pallet_Contents'!$A$2:$A$3000,$A2)&gt;0,"Yes",""))</f>
        <v/>
      </c>
    </row>
    <row r="1405">
      <c r="B1405" s="22" t="n"/>
      <c r="G1405" s="25" t="n"/>
      <c r="H1405" s="24">
        <f>IF(AND($F1405="TEMP",$G1405&gt;0,$M1405&lt;&gt;""),$M1405+$G1405,"")</f>
        <v/>
      </c>
      <c r="I1405" s="22" t="n"/>
      <c r="J1405" s="22" t="n"/>
      <c r="K1405" s="24" t="n"/>
      <c r="W1405">
        <f>IF($A2="","",COUNTIF('07_Pallet_Contents'!$A$2:$A$3000,$A2))</f>
        <v/>
      </c>
      <c r="X1405">
        <f>IF($A2="","",SUMIF('07_Pallet_Contents'!$A$2:$A$3000,$A2,'07_Pallet_Contents'!$D$2:$D$3000))</f>
        <v/>
      </c>
      <c r="Y1405">
        <f>IF($A2="","",SUMIF('07_Pallet_Contents'!$A$2:$A$3000,$A2,'07_Pallet_Contents'!$I$2:$I$3000))</f>
        <v/>
      </c>
      <c r="Z1405">
        <f>IF($A2="","",IF(COUNTIF('07_Pallet_Contents'!$A$2:$A$3000,$A2)&gt;0,"Yes",""))</f>
        <v/>
      </c>
    </row>
    <row r="1406">
      <c r="B1406" s="22" t="n"/>
      <c r="G1406" s="25" t="n"/>
      <c r="H1406" s="24">
        <f>IF(AND($F1406="TEMP",$G1406&gt;0,$M1406&lt;&gt;""),$M1406+$G1406,"")</f>
        <v/>
      </c>
      <c r="I1406" s="22" t="n"/>
      <c r="J1406" s="22" t="n"/>
      <c r="K1406" s="24" t="n"/>
      <c r="W1406">
        <f>IF($A2="","",COUNTIF('07_Pallet_Contents'!$A$2:$A$3000,$A2))</f>
        <v/>
      </c>
      <c r="X1406">
        <f>IF($A2="","",SUMIF('07_Pallet_Contents'!$A$2:$A$3000,$A2,'07_Pallet_Contents'!$D$2:$D$3000))</f>
        <v/>
      </c>
      <c r="Y1406">
        <f>IF($A2="","",SUMIF('07_Pallet_Contents'!$A$2:$A$3000,$A2,'07_Pallet_Contents'!$I$2:$I$3000))</f>
        <v/>
      </c>
      <c r="Z1406">
        <f>IF($A2="","",IF(COUNTIF('07_Pallet_Contents'!$A$2:$A$3000,$A2)&gt;0,"Yes",""))</f>
        <v/>
      </c>
    </row>
    <row r="1407">
      <c r="B1407" s="22" t="n"/>
      <c r="G1407" s="25" t="n"/>
      <c r="H1407" s="24">
        <f>IF(AND($F1407="TEMP",$G1407&gt;0,$M1407&lt;&gt;""),$M1407+$G1407,"")</f>
        <v/>
      </c>
      <c r="I1407" s="22" t="n"/>
      <c r="J1407" s="22" t="n"/>
      <c r="K1407" s="24" t="n"/>
      <c r="W1407">
        <f>IF($A2="","",COUNTIF('07_Pallet_Contents'!$A$2:$A$3000,$A2))</f>
        <v/>
      </c>
      <c r="X1407">
        <f>IF($A2="","",SUMIF('07_Pallet_Contents'!$A$2:$A$3000,$A2,'07_Pallet_Contents'!$D$2:$D$3000))</f>
        <v/>
      </c>
      <c r="Y1407">
        <f>IF($A2="","",SUMIF('07_Pallet_Contents'!$A$2:$A$3000,$A2,'07_Pallet_Contents'!$I$2:$I$3000))</f>
        <v/>
      </c>
      <c r="Z1407">
        <f>IF($A2="","",IF(COUNTIF('07_Pallet_Contents'!$A$2:$A$3000,$A2)&gt;0,"Yes",""))</f>
        <v/>
      </c>
    </row>
    <row r="1408">
      <c r="B1408" s="22" t="n"/>
      <c r="G1408" s="25" t="n"/>
      <c r="H1408" s="24">
        <f>IF(AND($F1408="TEMP",$G1408&gt;0,$M1408&lt;&gt;""),$M1408+$G1408,"")</f>
        <v/>
      </c>
      <c r="I1408" s="22" t="n"/>
      <c r="J1408" s="22" t="n"/>
      <c r="K1408" s="24" t="n"/>
      <c r="W1408">
        <f>IF($A2="","",COUNTIF('07_Pallet_Contents'!$A$2:$A$3000,$A2))</f>
        <v/>
      </c>
      <c r="X1408">
        <f>IF($A2="","",SUMIF('07_Pallet_Contents'!$A$2:$A$3000,$A2,'07_Pallet_Contents'!$D$2:$D$3000))</f>
        <v/>
      </c>
      <c r="Y1408">
        <f>IF($A2="","",SUMIF('07_Pallet_Contents'!$A$2:$A$3000,$A2,'07_Pallet_Contents'!$I$2:$I$3000))</f>
        <v/>
      </c>
      <c r="Z1408">
        <f>IF($A2="","",IF(COUNTIF('07_Pallet_Contents'!$A$2:$A$3000,$A2)&gt;0,"Yes",""))</f>
        <v/>
      </c>
    </row>
    <row r="1409">
      <c r="B1409" s="22" t="n"/>
      <c r="G1409" s="25" t="n"/>
      <c r="H1409" s="24">
        <f>IF(AND($F1409="TEMP",$G1409&gt;0,$M1409&lt;&gt;""),$M1409+$G1409,"")</f>
        <v/>
      </c>
      <c r="I1409" s="22" t="n"/>
      <c r="J1409" s="22" t="n"/>
      <c r="K1409" s="24" t="n"/>
      <c r="W1409">
        <f>IF($A2="","",COUNTIF('07_Pallet_Contents'!$A$2:$A$3000,$A2))</f>
        <v/>
      </c>
      <c r="X1409">
        <f>IF($A2="","",SUMIF('07_Pallet_Contents'!$A$2:$A$3000,$A2,'07_Pallet_Contents'!$D$2:$D$3000))</f>
        <v/>
      </c>
      <c r="Y1409">
        <f>IF($A2="","",SUMIF('07_Pallet_Contents'!$A$2:$A$3000,$A2,'07_Pallet_Contents'!$I$2:$I$3000))</f>
        <v/>
      </c>
      <c r="Z1409">
        <f>IF($A2="","",IF(COUNTIF('07_Pallet_Contents'!$A$2:$A$3000,$A2)&gt;0,"Yes",""))</f>
        <v/>
      </c>
    </row>
    <row r="1410">
      <c r="B1410" s="22" t="n"/>
      <c r="G1410" s="25" t="n"/>
      <c r="H1410" s="24">
        <f>IF(AND($F1410="TEMP",$G1410&gt;0,$M1410&lt;&gt;""),$M1410+$G1410,"")</f>
        <v/>
      </c>
      <c r="I1410" s="22" t="n"/>
      <c r="J1410" s="22" t="n"/>
      <c r="K1410" s="24" t="n"/>
      <c r="W1410">
        <f>IF($A2="","",COUNTIF('07_Pallet_Contents'!$A$2:$A$3000,$A2))</f>
        <v/>
      </c>
      <c r="X1410">
        <f>IF($A2="","",SUMIF('07_Pallet_Contents'!$A$2:$A$3000,$A2,'07_Pallet_Contents'!$D$2:$D$3000))</f>
        <v/>
      </c>
      <c r="Y1410">
        <f>IF($A2="","",SUMIF('07_Pallet_Contents'!$A$2:$A$3000,$A2,'07_Pallet_Contents'!$I$2:$I$3000))</f>
        <v/>
      </c>
      <c r="Z1410">
        <f>IF($A2="","",IF(COUNTIF('07_Pallet_Contents'!$A$2:$A$3000,$A2)&gt;0,"Yes",""))</f>
        <v/>
      </c>
    </row>
    <row r="1411">
      <c r="B1411" s="22" t="n"/>
      <c r="G1411" s="25" t="n"/>
      <c r="H1411" s="24">
        <f>IF(AND($F1411="TEMP",$G1411&gt;0,$M1411&lt;&gt;""),$M1411+$G1411,"")</f>
        <v/>
      </c>
      <c r="I1411" s="22" t="n"/>
      <c r="J1411" s="22" t="n"/>
      <c r="K1411" s="24" t="n"/>
      <c r="W1411">
        <f>IF($A2="","",COUNTIF('07_Pallet_Contents'!$A$2:$A$3000,$A2))</f>
        <v/>
      </c>
      <c r="X1411">
        <f>IF($A2="","",SUMIF('07_Pallet_Contents'!$A$2:$A$3000,$A2,'07_Pallet_Contents'!$D$2:$D$3000))</f>
        <v/>
      </c>
      <c r="Y1411">
        <f>IF($A2="","",SUMIF('07_Pallet_Contents'!$A$2:$A$3000,$A2,'07_Pallet_Contents'!$I$2:$I$3000))</f>
        <v/>
      </c>
      <c r="Z1411">
        <f>IF($A2="","",IF(COUNTIF('07_Pallet_Contents'!$A$2:$A$3000,$A2)&gt;0,"Yes",""))</f>
        <v/>
      </c>
    </row>
    <row r="1412">
      <c r="B1412" s="22" t="n"/>
      <c r="G1412" s="25" t="n"/>
      <c r="H1412" s="24">
        <f>IF(AND($F1412="TEMP",$G1412&gt;0,$M1412&lt;&gt;""),$M1412+$G1412,"")</f>
        <v/>
      </c>
      <c r="I1412" s="22" t="n"/>
      <c r="J1412" s="22" t="n"/>
      <c r="K1412" s="24" t="n"/>
      <c r="W1412">
        <f>IF($A2="","",COUNTIF('07_Pallet_Contents'!$A$2:$A$3000,$A2))</f>
        <v/>
      </c>
      <c r="X1412">
        <f>IF($A2="","",SUMIF('07_Pallet_Contents'!$A$2:$A$3000,$A2,'07_Pallet_Contents'!$D$2:$D$3000))</f>
        <v/>
      </c>
      <c r="Y1412">
        <f>IF($A2="","",SUMIF('07_Pallet_Contents'!$A$2:$A$3000,$A2,'07_Pallet_Contents'!$I$2:$I$3000))</f>
        <v/>
      </c>
      <c r="Z1412">
        <f>IF($A2="","",IF(COUNTIF('07_Pallet_Contents'!$A$2:$A$3000,$A2)&gt;0,"Yes",""))</f>
        <v/>
      </c>
    </row>
    <row r="1413">
      <c r="B1413" s="22" t="n"/>
      <c r="G1413" s="25" t="n"/>
      <c r="H1413" s="24">
        <f>IF(AND($F1413="TEMP",$G1413&gt;0,$M1413&lt;&gt;""),$M1413+$G1413,"")</f>
        <v/>
      </c>
      <c r="I1413" s="22" t="n"/>
      <c r="J1413" s="22" t="n"/>
      <c r="K1413" s="24" t="n"/>
      <c r="W1413">
        <f>IF($A2="","",COUNTIF('07_Pallet_Contents'!$A$2:$A$3000,$A2))</f>
        <v/>
      </c>
      <c r="X1413">
        <f>IF($A2="","",SUMIF('07_Pallet_Contents'!$A$2:$A$3000,$A2,'07_Pallet_Contents'!$D$2:$D$3000))</f>
        <v/>
      </c>
      <c r="Y1413">
        <f>IF($A2="","",SUMIF('07_Pallet_Contents'!$A$2:$A$3000,$A2,'07_Pallet_Contents'!$I$2:$I$3000))</f>
        <v/>
      </c>
      <c r="Z1413">
        <f>IF($A2="","",IF(COUNTIF('07_Pallet_Contents'!$A$2:$A$3000,$A2)&gt;0,"Yes",""))</f>
        <v/>
      </c>
    </row>
    <row r="1414">
      <c r="B1414" s="22" t="n"/>
      <c r="G1414" s="25" t="n"/>
      <c r="H1414" s="24">
        <f>IF(AND($F1414="TEMP",$G1414&gt;0,$M1414&lt;&gt;""),$M1414+$G1414,"")</f>
        <v/>
      </c>
      <c r="I1414" s="22" t="n"/>
      <c r="J1414" s="22" t="n"/>
      <c r="K1414" s="24" t="n"/>
      <c r="W1414">
        <f>IF($A2="","",COUNTIF('07_Pallet_Contents'!$A$2:$A$3000,$A2))</f>
        <v/>
      </c>
      <c r="X1414">
        <f>IF($A2="","",SUMIF('07_Pallet_Contents'!$A$2:$A$3000,$A2,'07_Pallet_Contents'!$D$2:$D$3000))</f>
        <v/>
      </c>
      <c r="Y1414">
        <f>IF($A2="","",SUMIF('07_Pallet_Contents'!$A$2:$A$3000,$A2,'07_Pallet_Contents'!$I$2:$I$3000))</f>
        <v/>
      </c>
      <c r="Z1414">
        <f>IF($A2="","",IF(COUNTIF('07_Pallet_Contents'!$A$2:$A$3000,$A2)&gt;0,"Yes",""))</f>
        <v/>
      </c>
    </row>
    <row r="1415">
      <c r="B1415" s="22" t="n"/>
      <c r="G1415" s="25" t="n"/>
      <c r="H1415" s="24">
        <f>IF(AND($F1415="TEMP",$G1415&gt;0,$M1415&lt;&gt;""),$M1415+$G1415,"")</f>
        <v/>
      </c>
      <c r="I1415" s="22" t="n"/>
      <c r="J1415" s="22" t="n"/>
      <c r="K1415" s="24" t="n"/>
      <c r="W1415">
        <f>IF($A2="","",COUNTIF('07_Pallet_Contents'!$A$2:$A$3000,$A2))</f>
        <v/>
      </c>
      <c r="X1415">
        <f>IF($A2="","",SUMIF('07_Pallet_Contents'!$A$2:$A$3000,$A2,'07_Pallet_Contents'!$D$2:$D$3000))</f>
        <v/>
      </c>
      <c r="Y1415">
        <f>IF($A2="","",SUMIF('07_Pallet_Contents'!$A$2:$A$3000,$A2,'07_Pallet_Contents'!$I$2:$I$3000))</f>
        <v/>
      </c>
      <c r="Z1415">
        <f>IF($A2="","",IF(COUNTIF('07_Pallet_Contents'!$A$2:$A$3000,$A2)&gt;0,"Yes",""))</f>
        <v/>
      </c>
    </row>
    <row r="1416">
      <c r="B1416" s="22" t="n"/>
      <c r="G1416" s="25" t="n"/>
      <c r="H1416" s="24">
        <f>IF(AND($F1416="TEMP",$G1416&gt;0,$M1416&lt;&gt;""),$M1416+$G1416,"")</f>
        <v/>
      </c>
      <c r="I1416" s="22" t="n"/>
      <c r="J1416" s="22" t="n"/>
      <c r="K1416" s="24" t="n"/>
      <c r="W1416">
        <f>IF($A2="","",COUNTIF('07_Pallet_Contents'!$A$2:$A$3000,$A2))</f>
        <v/>
      </c>
      <c r="X1416">
        <f>IF($A2="","",SUMIF('07_Pallet_Contents'!$A$2:$A$3000,$A2,'07_Pallet_Contents'!$D$2:$D$3000))</f>
        <v/>
      </c>
      <c r="Y1416">
        <f>IF($A2="","",SUMIF('07_Pallet_Contents'!$A$2:$A$3000,$A2,'07_Pallet_Contents'!$I$2:$I$3000))</f>
        <v/>
      </c>
      <c r="Z1416">
        <f>IF($A2="","",IF(COUNTIF('07_Pallet_Contents'!$A$2:$A$3000,$A2)&gt;0,"Yes",""))</f>
        <v/>
      </c>
    </row>
    <row r="1417">
      <c r="B1417" s="22" t="n"/>
      <c r="G1417" s="25" t="n"/>
      <c r="H1417" s="24">
        <f>IF(AND($F1417="TEMP",$G1417&gt;0,$M1417&lt;&gt;""),$M1417+$G1417,"")</f>
        <v/>
      </c>
      <c r="I1417" s="22" t="n"/>
      <c r="J1417" s="22" t="n"/>
      <c r="K1417" s="24" t="n"/>
      <c r="W1417">
        <f>IF($A2="","",COUNTIF('07_Pallet_Contents'!$A$2:$A$3000,$A2))</f>
        <v/>
      </c>
      <c r="X1417">
        <f>IF($A2="","",SUMIF('07_Pallet_Contents'!$A$2:$A$3000,$A2,'07_Pallet_Contents'!$D$2:$D$3000))</f>
        <v/>
      </c>
      <c r="Y1417">
        <f>IF($A2="","",SUMIF('07_Pallet_Contents'!$A$2:$A$3000,$A2,'07_Pallet_Contents'!$I$2:$I$3000))</f>
        <v/>
      </c>
      <c r="Z1417">
        <f>IF($A2="","",IF(COUNTIF('07_Pallet_Contents'!$A$2:$A$3000,$A2)&gt;0,"Yes",""))</f>
        <v/>
      </c>
    </row>
    <row r="1418">
      <c r="B1418" s="22" t="n"/>
      <c r="G1418" s="25" t="n"/>
      <c r="H1418" s="24">
        <f>IF(AND($F1418="TEMP",$G1418&gt;0,$M1418&lt;&gt;""),$M1418+$G1418,"")</f>
        <v/>
      </c>
      <c r="I1418" s="22" t="n"/>
      <c r="J1418" s="22" t="n"/>
      <c r="K1418" s="24" t="n"/>
      <c r="W1418">
        <f>IF($A2="","",COUNTIF('07_Pallet_Contents'!$A$2:$A$3000,$A2))</f>
        <v/>
      </c>
      <c r="X1418">
        <f>IF($A2="","",SUMIF('07_Pallet_Contents'!$A$2:$A$3000,$A2,'07_Pallet_Contents'!$D$2:$D$3000))</f>
        <v/>
      </c>
      <c r="Y1418">
        <f>IF($A2="","",SUMIF('07_Pallet_Contents'!$A$2:$A$3000,$A2,'07_Pallet_Contents'!$I$2:$I$3000))</f>
        <v/>
      </c>
      <c r="Z1418">
        <f>IF($A2="","",IF(COUNTIF('07_Pallet_Contents'!$A$2:$A$3000,$A2)&gt;0,"Yes",""))</f>
        <v/>
      </c>
    </row>
    <row r="1419">
      <c r="B1419" s="22" t="n"/>
      <c r="G1419" s="25" t="n"/>
      <c r="H1419" s="24">
        <f>IF(AND($F1419="TEMP",$G1419&gt;0,$M1419&lt;&gt;""),$M1419+$G1419,"")</f>
        <v/>
      </c>
      <c r="I1419" s="22" t="n"/>
      <c r="J1419" s="22" t="n"/>
      <c r="K1419" s="24" t="n"/>
      <c r="W1419">
        <f>IF($A2="","",COUNTIF('07_Pallet_Contents'!$A$2:$A$3000,$A2))</f>
        <v/>
      </c>
      <c r="X1419">
        <f>IF($A2="","",SUMIF('07_Pallet_Contents'!$A$2:$A$3000,$A2,'07_Pallet_Contents'!$D$2:$D$3000))</f>
        <v/>
      </c>
      <c r="Y1419">
        <f>IF($A2="","",SUMIF('07_Pallet_Contents'!$A$2:$A$3000,$A2,'07_Pallet_Contents'!$I$2:$I$3000))</f>
        <v/>
      </c>
      <c r="Z1419">
        <f>IF($A2="","",IF(COUNTIF('07_Pallet_Contents'!$A$2:$A$3000,$A2)&gt;0,"Yes",""))</f>
        <v/>
      </c>
    </row>
    <row r="1420">
      <c r="B1420" s="22" t="n"/>
      <c r="G1420" s="25" t="n"/>
      <c r="H1420" s="24">
        <f>IF(AND($F1420="TEMP",$G1420&gt;0,$M1420&lt;&gt;""),$M1420+$G1420,"")</f>
        <v/>
      </c>
      <c r="I1420" s="22" t="n"/>
      <c r="J1420" s="22" t="n"/>
      <c r="K1420" s="24" t="n"/>
      <c r="W1420">
        <f>IF($A2="","",COUNTIF('07_Pallet_Contents'!$A$2:$A$3000,$A2))</f>
        <v/>
      </c>
      <c r="X1420">
        <f>IF($A2="","",SUMIF('07_Pallet_Contents'!$A$2:$A$3000,$A2,'07_Pallet_Contents'!$D$2:$D$3000))</f>
        <v/>
      </c>
      <c r="Y1420">
        <f>IF($A2="","",SUMIF('07_Pallet_Contents'!$A$2:$A$3000,$A2,'07_Pallet_Contents'!$I$2:$I$3000))</f>
        <v/>
      </c>
      <c r="Z1420">
        <f>IF($A2="","",IF(COUNTIF('07_Pallet_Contents'!$A$2:$A$3000,$A2)&gt;0,"Yes",""))</f>
        <v/>
      </c>
    </row>
    <row r="1421">
      <c r="B1421" s="22" t="n"/>
      <c r="G1421" s="25" t="n"/>
      <c r="H1421" s="24">
        <f>IF(AND($F1421="TEMP",$G1421&gt;0,$M1421&lt;&gt;""),$M1421+$G1421,"")</f>
        <v/>
      </c>
      <c r="I1421" s="22" t="n"/>
      <c r="J1421" s="22" t="n"/>
      <c r="K1421" s="24" t="n"/>
      <c r="W1421">
        <f>IF($A2="","",COUNTIF('07_Pallet_Contents'!$A$2:$A$3000,$A2))</f>
        <v/>
      </c>
      <c r="X1421">
        <f>IF($A2="","",SUMIF('07_Pallet_Contents'!$A$2:$A$3000,$A2,'07_Pallet_Contents'!$D$2:$D$3000))</f>
        <v/>
      </c>
      <c r="Y1421">
        <f>IF($A2="","",SUMIF('07_Pallet_Contents'!$A$2:$A$3000,$A2,'07_Pallet_Contents'!$I$2:$I$3000))</f>
        <v/>
      </c>
      <c r="Z1421">
        <f>IF($A2="","",IF(COUNTIF('07_Pallet_Contents'!$A$2:$A$3000,$A2)&gt;0,"Yes",""))</f>
        <v/>
      </c>
    </row>
    <row r="1422">
      <c r="B1422" s="22" t="n"/>
      <c r="G1422" s="25" t="n"/>
      <c r="H1422" s="24">
        <f>IF(AND($F1422="TEMP",$G1422&gt;0,$M1422&lt;&gt;""),$M1422+$G1422,"")</f>
        <v/>
      </c>
      <c r="I1422" s="22" t="n"/>
      <c r="J1422" s="22" t="n"/>
      <c r="K1422" s="24" t="n"/>
      <c r="W1422">
        <f>IF($A2="","",COUNTIF('07_Pallet_Contents'!$A$2:$A$3000,$A2))</f>
        <v/>
      </c>
      <c r="X1422">
        <f>IF($A2="","",SUMIF('07_Pallet_Contents'!$A$2:$A$3000,$A2,'07_Pallet_Contents'!$D$2:$D$3000))</f>
        <v/>
      </c>
      <c r="Y1422">
        <f>IF($A2="","",SUMIF('07_Pallet_Contents'!$A$2:$A$3000,$A2,'07_Pallet_Contents'!$I$2:$I$3000))</f>
        <v/>
      </c>
      <c r="Z1422">
        <f>IF($A2="","",IF(COUNTIF('07_Pallet_Contents'!$A$2:$A$3000,$A2)&gt;0,"Yes",""))</f>
        <v/>
      </c>
    </row>
    <row r="1423">
      <c r="B1423" s="22" t="n"/>
      <c r="G1423" s="25" t="n"/>
      <c r="H1423" s="24">
        <f>IF(AND($F1423="TEMP",$G1423&gt;0,$M1423&lt;&gt;""),$M1423+$G1423,"")</f>
        <v/>
      </c>
      <c r="I1423" s="22" t="n"/>
      <c r="J1423" s="22" t="n"/>
      <c r="K1423" s="24" t="n"/>
      <c r="W1423">
        <f>IF($A2="","",COUNTIF('07_Pallet_Contents'!$A$2:$A$3000,$A2))</f>
        <v/>
      </c>
      <c r="X1423">
        <f>IF($A2="","",SUMIF('07_Pallet_Contents'!$A$2:$A$3000,$A2,'07_Pallet_Contents'!$D$2:$D$3000))</f>
        <v/>
      </c>
      <c r="Y1423">
        <f>IF($A2="","",SUMIF('07_Pallet_Contents'!$A$2:$A$3000,$A2,'07_Pallet_Contents'!$I$2:$I$3000))</f>
        <v/>
      </c>
      <c r="Z1423">
        <f>IF($A2="","",IF(COUNTIF('07_Pallet_Contents'!$A$2:$A$3000,$A2)&gt;0,"Yes",""))</f>
        <v/>
      </c>
    </row>
    <row r="1424">
      <c r="B1424" s="22" t="n"/>
      <c r="G1424" s="25" t="n"/>
      <c r="H1424" s="24">
        <f>IF(AND($F1424="TEMP",$G1424&gt;0,$M1424&lt;&gt;""),$M1424+$G1424,"")</f>
        <v/>
      </c>
      <c r="I1424" s="22" t="n"/>
      <c r="J1424" s="22" t="n"/>
      <c r="K1424" s="24" t="n"/>
      <c r="W1424">
        <f>IF($A2="","",COUNTIF('07_Pallet_Contents'!$A$2:$A$3000,$A2))</f>
        <v/>
      </c>
      <c r="X1424">
        <f>IF($A2="","",SUMIF('07_Pallet_Contents'!$A$2:$A$3000,$A2,'07_Pallet_Contents'!$D$2:$D$3000))</f>
        <v/>
      </c>
      <c r="Y1424">
        <f>IF($A2="","",SUMIF('07_Pallet_Contents'!$A$2:$A$3000,$A2,'07_Pallet_Contents'!$I$2:$I$3000))</f>
        <v/>
      </c>
      <c r="Z1424">
        <f>IF($A2="","",IF(COUNTIF('07_Pallet_Contents'!$A$2:$A$3000,$A2)&gt;0,"Yes",""))</f>
        <v/>
      </c>
    </row>
    <row r="1425">
      <c r="B1425" s="22" t="n"/>
      <c r="G1425" s="25" t="n"/>
      <c r="H1425" s="24">
        <f>IF(AND($F1425="TEMP",$G1425&gt;0,$M1425&lt;&gt;""),$M1425+$G1425,"")</f>
        <v/>
      </c>
      <c r="I1425" s="22" t="n"/>
      <c r="J1425" s="22" t="n"/>
      <c r="K1425" s="24" t="n"/>
      <c r="W1425">
        <f>IF($A2="","",COUNTIF('07_Pallet_Contents'!$A$2:$A$3000,$A2))</f>
        <v/>
      </c>
      <c r="X1425">
        <f>IF($A2="","",SUMIF('07_Pallet_Contents'!$A$2:$A$3000,$A2,'07_Pallet_Contents'!$D$2:$D$3000))</f>
        <v/>
      </c>
      <c r="Y1425">
        <f>IF($A2="","",SUMIF('07_Pallet_Contents'!$A$2:$A$3000,$A2,'07_Pallet_Contents'!$I$2:$I$3000))</f>
        <v/>
      </c>
      <c r="Z1425">
        <f>IF($A2="","",IF(COUNTIF('07_Pallet_Contents'!$A$2:$A$3000,$A2)&gt;0,"Yes",""))</f>
        <v/>
      </c>
    </row>
    <row r="1426">
      <c r="B1426" s="22" t="n"/>
      <c r="G1426" s="25" t="n"/>
      <c r="H1426" s="24">
        <f>IF(AND($F1426="TEMP",$G1426&gt;0,$M1426&lt;&gt;""),$M1426+$G1426,"")</f>
        <v/>
      </c>
      <c r="I1426" s="22" t="n"/>
      <c r="J1426" s="22" t="n"/>
      <c r="K1426" s="24" t="n"/>
      <c r="W1426">
        <f>IF($A2="","",COUNTIF('07_Pallet_Contents'!$A$2:$A$3000,$A2))</f>
        <v/>
      </c>
      <c r="X1426">
        <f>IF($A2="","",SUMIF('07_Pallet_Contents'!$A$2:$A$3000,$A2,'07_Pallet_Contents'!$D$2:$D$3000))</f>
        <v/>
      </c>
      <c r="Y1426">
        <f>IF($A2="","",SUMIF('07_Pallet_Contents'!$A$2:$A$3000,$A2,'07_Pallet_Contents'!$I$2:$I$3000))</f>
        <v/>
      </c>
      <c r="Z1426">
        <f>IF($A2="","",IF(COUNTIF('07_Pallet_Contents'!$A$2:$A$3000,$A2)&gt;0,"Yes",""))</f>
        <v/>
      </c>
    </row>
    <row r="1427">
      <c r="B1427" s="22" t="n"/>
      <c r="G1427" s="25" t="n"/>
      <c r="H1427" s="24">
        <f>IF(AND($F1427="TEMP",$G1427&gt;0,$M1427&lt;&gt;""),$M1427+$G1427,"")</f>
        <v/>
      </c>
      <c r="I1427" s="22" t="n"/>
      <c r="J1427" s="22" t="n"/>
      <c r="K1427" s="24" t="n"/>
      <c r="W1427">
        <f>IF($A2="","",COUNTIF('07_Pallet_Contents'!$A$2:$A$3000,$A2))</f>
        <v/>
      </c>
      <c r="X1427">
        <f>IF($A2="","",SUMIF('07_Pallet_Contents'!$A$2:$A$3000,$A2,'07_Pallet_Contents'!$D$2:$D$3000))</f>
        <v/>
      </c>
      <c r="Y1427">
        <f>IF($A2="","",SUMIF('07_Pallet_Contents'!$A$2:$A$3000,$A2,'07_Pallet_Contents'!$I$2:$I$3000))</f>
        <v/>
      </c>
      <c r="Z1427">
        <f>IF($A2="","",IF(COUNTIF('07_Pallet_Contents'!$A$2:$A$3000,$A2)&gt;0,"Yes",""))</f>
        <v/>
      </c>
    </row>
    <row r="1428">
      <c r="B1428" s="22" t="n"/>
      <c r="G1428" s="25" t="n"/>
      <c r="H1428" s="24">
        <f>IF(AND($F1428="TEMP",$G1428&gt;0,$M1428&lt;&gt;""),$M1428+$G1428,"")</f>
        <v/>
      </c>
      <c r="I1428" s="22" t="n"/>
      <c r="J1428" s="22" t="n"/>
      <c r="K1428" s="24" t="n"/>
      <c r="W1428">
        <f>IF($A2="","",COUNTIF('07_Pallet_Contents'!$A$2:$A$3000,$A2))</f>
        <v/>
      </c>
      <c r="X1428">
        <f>IF($A2="","",SUMIF('07_Pallet_Contents'!$A$2:$A$3000,$A2,'07_Pallet_Contents'!$D$2:$D$3000))</f>
        <v/>
      </c>
      <c r="Y1428">
        <f>IF($A2="","",SUMIF('07_Pallet_Contents'!$A$2:$A$3000,$A2,'07_Pallet_Contents'!$I$2:$I$3000))</f>
        <v/>
      </c>
      <c r="Z1428">
        <f>IF($A2="","",IF(COUNTIF('07_Pallet_Contents'!$A$2:$A$3000,$A2)&gt;0,"Yes",""))</f>
        <v/>
      </c>
    </row>
    <row r="1429">
      <c r="B1429" s="22" t="n"/>
      <c r="G1429" s="25" t="n"/>
      <c r="H1429" s="24">
        <f>IF(AND($F1429="TEMP",$G1429&gt;0,$M1429&lt;&gt;""),$M1429+$G1429,"")</f>
        <v/>
      </c>
      <c r="I1429" s="22" t="n"/>
      <c r="J1429" s="22" t="n"/>
      <c r="K1429" s="24" t="n"/>
      <c r="W1429">
        <f>IF($A2="","",COUNTIF('07_Pallet_Contents'!$A$2:$A$3000,$A2))</f>
        <v/>
      </c>
      <c r="X1429">
        <f>IF($A2="","",SUMIF('07_Pallet_Contents'!$A$2:$A$3000,$A2,'07_Pallet_Contents'!$D$2:$D$3000))</f>
        <v/>
      </c>
      <c r="Y1429">
        <f>IF($A2="","",SUMIF('07_Pallet_Contents'!$A$2:$A$3000,$A2,'07_Pallet_Contents'!$I$2:$I$3000))</f>
        <v/>
      </c>
      <c r="Z1429">
        <f>IF($A2="","",IF(COUNTIF('07_Pallet_Contents'!$A$2:$A$3000,$A2)&gt;0,"Yes",""))</f>
        <v/>
      </c>
    </row>
    <row r="1430">
      <c r="B1430" s="22" t="n"/>
      <c r="G1430" s="25" t="n"/>
      <c r="H1430" s="24">
        <f>IF(AND($F1430="TEMP",$G1430&gt;0,$M1430&lt;&gt;""),$M1430+$G1430,"")</f>
        <v/>
      </c>
      <c r="I1430" s="22" t="n"/>
      <c r="J1430" s="22" t="n"/>
      <c r="K1430" s="24" t="n"/>
      <c r="W1430">
        <f>IF($A2="","",COUNTIF('07_Pallet_Contents'!$A$2:$A$3000,$A2))</f>
        <v/>
      </c>
      <c r="X1430">
        <f>IF($A2="","",SUMIF('07_Pallet_Contents'!$A$2:$A$3000,$A2,'07_Pallet_Contents'!$D$2:$D$3000))</f>
        <v/>
      </c>
      <c r="Y1430">
        <f>IF($A2="","",SUMIF('07_Pallet_Contents'!$A$2:$A$3000,$A2,'07_Pallet_Contents'!$I$2:$I$3000))</f>
        <v/>
      </c>
      <c r="Z1430">
        <f>IF($A2="","",IF(COUNTIF('07_Pallet_Contents'!$A$2:$A$3000,$A2)&gt;0,"Yes",""))</f>
        <v/>
      </c>
    </row>
    <row r="1431">
      <c r="B1431" s="22" t="n"/>
      <c r="G1431" s="25" t="n"/>
      <c r="H1431" s="24">
        <f>IF(AND($F1431="TEMP",$G1431&gt;0,$M1431&lt;&gt;""),$M1431+$G1431,"")</f>
        <v/>
      </c>
      <c r="I1431" s="22" t="n"/>
      <c r="J1431" s="22" t="n"/>
      <c r="K1431" s="24" t="n"/>
      <c r="W1431">
        <f>IF($A2="","",COUNTIF('07_Pallet_Contents'!$A$2:$A$3000,$A2))</f>
        <v/>
      </c>
      <c r="X1431">
        <f>IF($A2="","",SUMIF('07_Pallet_Contents'!$A$2:$A$3000,$A2,'07_Pallet_Contents'!$D$2:$D$3000))</f>
        <v/>
      </c>
      <c r="Y1431">
        <f>IF($A2="","",SUMIF('07_Pallet_Contents'!$A$2:$A$3000,$A2,'07_Pallet_Contents'!$I$2:$I$3000))</f>
        <v/>
      </c>
      <c r="Z1431">
        <f>IF($A2="","",IF(COUNTIF('07_Pallet_Contents'!$A$2:$A$3000,$A2)&gt;0,"Yes",""))</f>
        <v/>
      </c>
    </row>
    <row r="1432">
      <c r="B1432" s="22" t="n"/>
      <c r="G1432" s="25" t="n"/>
      <c r="H1432" s="24">
        <f>IF(AND($F1432="TEMP",$G1432&gt;0,$M1432&lt;&gt;""),$M1432+$G1432,"")</f>
        <v/>
      </c>
      <c r="I1432" s="22" t="n"/>
      <c r="J1432" s="22" t="n"/>
      <c r="K1432" s="24" t="n"/>
      <c r="W1432">
        <f>IF($A2="","",COUNTIF('07_Pallet_Contents'!$A$2:$A$3000,$A2))</f>
        <v/>
      </c>
      <c r="X1432">
        <f>IF($A2="","",SUMIF('07_Pallet_Contents'!$A$2:$A$3000,$A2,'07_Pallet_Contents'!$D$2:$D$3000))</f>
        <v/>
      </c>
      <c r="Y1432">
        <f>IF($A2="","",SUMIF('07_Pallet_Contents'!$A$2:$A$3000,$A2,'07_Pallet_Contents'!$I$2:$I$3000))</f>
        <v/>
      </c>
      <c r="Z1432">
        <f>IF($A2="","",IF(COUNTIF('07_Pallet_Contents'!$A$2:$A$3000,$A2)&gt;0,"Yes",""))</f>
        <v/>
      </c>
    </row>
    <row r="1433">
      <c r="B1433" s="22" t="n"/>
      <c r="G1433" s="25" t="n"/>
      <c r="H1433" s="24">
        <f>IF(AND($F1433="TEMP",$G1433&gt;0,$M1433&lt;&gt;""),$M1433+$G1433,"")</f>
        <v/>
      </c>
      <c r="I1433" s="22" t="n"/>
      <c r="J1433" s="22" t="n"/>
      <c r="K1433" s="24" t="n"/>
      <c r="W1433">
        <f>IF($A2="","",COUNTIF('07_Pallet_Contents'!$A$2:$A$3000,$A2))</f>
        <v/>
      </c>
      <c r="X1433">
        <f>IF($A2="","",SUMIF('07_Pallet_Contents'!$A$2:$A$3000,$A2,'07_Pallet_Contents'!$D$2:$D$3000))</f>
        <v/>
      </c>
      <c r="Y1433">
        <f>IF($A2="","",SUMIF('07_Pallet_Contents'!$A$2:$A$3000,$A2,'07_Pallet_Contents'!$I$2:$I$3000))</f>
        <v/>
      </c>
      <c r="Z1433">
        <f>IF($A2="","",IF(COUNTIF('07_Pallet_Contents'!$A$2:$A$3000,$A2)&gt;0,"Yes",""))</f>
        <v/>
      </c>
    </row>
    <row r="1434">
      <c r="B1434" s="22" t="n"/>
      <c r="G1434" s="25" t="n"/>
      <c r="H1434" s="24">
        <f>IF(AND($F1434="TEMP",$G1434&gt;0,$M1434&lt;&gt;""),$M1434+$G1434,"")</f>
        <v/>
      </c>
      <c r="I1434" s="22" t="n"/>
      <c r="J1434" s="22" t="n"/>
      <c r="K1434" s="24" t="n"/>
      <c r="W1434">
        <f>IF($A2="","",COUNTIF('07_Pallet_Contents'!$A$2:$A$3000,$A2))</f>
        <v/>
      </c>
      <c r="X1434">
        <f>IF($A2="","",SUMIF('07_Pallet_Contents'!$A$2:$A$3000,$A2,'07_Pallet_Contents'!$D$2:$D$3000))</f>
        <v/>
      </c>
      <c r="Y1434">
        <f>IF($A2="","",SUMIF('07_Pallet_Contents'!$A$2:$A$3000,$A2,'07_Pallet_Contents'!$I$2:$I$3000))</f>
        <v/>
      </c>
      <c r="Z1434">
        <f>IF($A2="","",IF(COUNTIF('07_Pallet_Contents'!$A$2:$A$3000,$A2)&gt;0,"Yes",""))</f>
        <v/>
      </c>
    </row>
    <row r="1435">
      <c r="B1435" s="22" t="n"/>
      <c r="G1435" s="25" t="n"/>
      <c r="H1435" s="24">
        <f>IF(AND($F1435="TEMP",$G1435&gt;0,$M1435&lt;&gt;""),$M1435+$G1435,"")</f>
        <v/>
      </c>
      <c r="I1435" s="22" t="n"/>
      <c r="J1435" s="22" t="n"/>
      <c r="K1435" s="24" t="n"/>
      <c r="W1435">
        <f>IF($A2="","",COUNTIF('07_Pallet_Contents'!$A$2:$A$3000,$A2))</f>
        <v/>
      </c>
      <c r="X1435">
        <f>IF($A2="","",SUMIF('07_Pallet_Contents'!$A$2:$A$3000,$A2,'07_Pallet_Contents'!$D$2:$D$3000))</f>
        <v/>
      </c>
      <c r="Y1435">
        <f>IF($A2="","",SUMIF('07_Pallet_Contents'!$A$2:$A$3000,$A2,'07_Pallet_Contents'!$I$2:$I$3000))</f>
        <v/>
      </c>
      <c r="Z1435">
        <f>IF($A2="","",IF(COUNTIF('07_Pallet_Contents'!$A$2:$A$3000,$A2)&gt;0,"Yes",""))</f>
        <v/>
      </c>
    </row>
    <row r="1436">
      <c r="B1436" s="22" t="n"/>
      <c r="G1436" s="25" t="n"/>
      <c r="H1436" s="24">
        <f>IF(AND($F1436="TEMP",$G1436&gt;0,$M1436&lt;&gt;""),$M1436+$G1436,"")</f>
        <v/>
      </c>
      <c r="I1436" s="22" t="n"/>
      <c r="J1436" s="22" t="n"/>
      <c r="K1436" s="24" t="n"/>
      <c r="W1436">
        <f>IF($A2="","",COUNTIF('07_Pallet_Contents'!$A$2:$A$3000,$A2))</f>
        <v/>
      </c>
      <c r="X1436">
        <f>IF($A2="","",SUMIF('07_Pallet_Contents'!$A$2:$A$3000,$A2,'07_Pallet_Contents'!$D$2:$D$3000))</f>
        <v/>
      </c>
      <c r="Y1436">
        <f>IF($A2="","",SUMIF('07_Pallet_Contents'!$A$2:$A$3000,$A2,'07_Pallet_Contents'!$I$2:$I$3000))</f>
        <v/>
      </c>
      <c r="Z1436">
        <f>IF($A2="","",IF(COUNTIF('07_Pallet_Contents'!$A$2:$A$3000,$A2)&gt;0,"Yes",""))</f>
        <v/>
      </c>
    </row>
    <row r="1437">
      <c r="B1437" s="22" t="n"/>
      <c r="G1437" s="25" t="n"/>
      <c r="H1437" s="24">
        <f>IF(AND($F1437="TEMP",$G1437&gt;0,$M1437&lt;&gt;""),$M1437+$G1437,"")</f>
        <v/>
      </c>
      <c r="I1437" s="22" t="n"/>
      <c r="J1437" s="22" t="n"/>
      <c r="K1437" s="24" t="n"/>
      <c r="W1437">
        <f>IF($A2="","",COUNTIF('07_Pallet_Contents'!$A$2:$A$3000,$A2))</f>
        <v/>
      </c>
      <c r="X1437">
        <f>IF($A2="","",SUMIF('07_Pallet_Contents'!$A$2:$A$3000,$A2,'07_Pallet_Contents'!$D$2:$D$3000))</f>
        <v/>
      </c>
      <c r="Y1437">
        <f>IF($A2="","",SUMIF('07_Pallet_Contents'!$A$2:$A$3000,$A2,'07_Pallet_Contents'!$I$2:$I$3000))</f>
        <v/>
      </c>
      <c r="Z1437">
        <f>IF($A2="","",IF(COUNTIF('07_Pallet_Contents'!$A$2:$A$3000,$A2)&gt;0,"Yes",""))</f>
        <v/>
      </c>
    </row>
    <row r="1438">
      <c r="B1438" s="22" t="n"/>
      <c r="G1438" s="25" t="n"/>
      <c r="H1438" s="24">
        <f>IF(AND($F1438="TEMP",$G1438&gt;0,$M1438&lt;&gt;""),$M1438+$G1438,"")</f>
        <v/>
      </c>
      <c r="I1438" s="22" t="n"/>
      <c r="J1438" s="22" t="n"/>
      <c r="K1438" s="24" t="n"/>
      <c r="W1438">
        <f>IF($A2="","",COUNTIF('07_Pallet_Contents'!$A$2:$A$3000,$A2))</f>
        <v/>
      </c>
      <c r="X1438">
        <f>IF($A2="","",SUMIF('07_Pallet_Contents'!$A$2:$A$3000,$A2,'07_Pallet_Contents'!$D$2:$D$3000))</f>
        <v/>
      </c>
      <c r="Y1438">
        <f>IF($A2="","",SUMIF('07_Pallet_Contents'!$A$2:$A$3000,$A2,'07_Pallet_Contents'!$I$2:$I$3000))</f>
        <v/>
      </c>
      <c r="Z1438">
        <f>IF($A2="","",IF(COUNTIF('07_Pallet_Contents'!$A$2:$A$3000,$A2)&gt;0,"Yes",""))</f>
        <v/>
      </c>
    </row>
    <row r="1439">
      <c r="B1439" s="22" t="n"/>
      <c r="G1439" s="25" t="n"/>
      <c r="H1439" s="24">
        <f>IF(AND($F1439="TEMP",$G1439&gt;0,$M1439&lt;&gt;""),$M1439+$G1439,"")</f>
        <v/>
      </c>
      <c r="I1439" s="22" t="n"/>
      <c r="J1439" s="22" t="n"/>
      <c r="K1439" s="24" t="n"/>
      <c r="W1439">
        <f>IF($A2="","",COUNTIF('07_Pallet_Contents'!$A$2:$A$3000,$A2))</f>
        <v/>
      </c>
      <c r="X1439">
        <f>IF($A2="","",SUMIF('07_Pallet_Contents'!$A$2:$A$3000,$A2,'07_Pallet_Contents'!$D$2:$D$3000))</f>
        <v/>
      </c>
      <c r="Y1439">
        <f>IF($A2="","",SUMIF('07_Pallet_Contents'!$A$2:$A$3000,$A2,'07_Pallet_Contents'!$I$2:$I$3000))</f>
        <v/>
      </c>
      <c r="Z1439">
        <f>IF($A2="","",IF(COUNTIF('07_Pallet_Contents'!$A$2:$A$3000,$A2)&gt;0,"Yes",""))</f>
        <v/>
      </c>
    </row>
    <row r="1440">
      <c r="B1440" s="22" t="n"/>
      <c r="G1440" s="25" t="n"/>
      <c r="H1440" s="24">
        <f>IF(AND($F1440="TEMP",$G1440&gt;0,$M1440&lt;&gt;""),$M1440+$G1440,"")</f>
        <v/>
      </c>
      <c r="I1440" s="22" t="n"/>
      <c r="J1440" s="22" t="n"/>
      <c r="K1440" s="24" t="n"/>
      <c r="W1440">
        <f>IF($A2="","",COUNTIF('07_Pallet_Contents'!$A$2:$A$3000,$A2))</f>
        <v/>
      </c>
      <c r="X1440">
        <f>IF($A2="","",SUMIF('07_Pallet_Contents'!$A$2:$A$3000,$A2,'07_Pallet_Contents'!$D$2:$D$3000))</f>
        <v/>
      </c>
      <c r="Y1440">
        <f>IF($A2="","",SUMIF('07_Pallet_Contents'!$A$2:$A$3000,$A2,'07_Pallet_Contents'!$I$2:$I$3000))</f>
        <v/>
      </c>
      <c r="Z1440">
        <f>IF($A2="","",IF(COUNTIF('07_Pallet_Contents'!$A$2:$A$3000,$A2)&gt;0,"Yes",""))</f>
        <v/>
      </c>
    </row>
    <row r="1441">
      <c r="B1441" s="22" t="n"/>
      <c r="G1441" s="25" t="n"/>
      <c r="H1441" s="24">
        <f>IF(AND($F1441="TEMP",$G1441&gt;0,$M1441&lt;&gt;""),$M1441+$G1441,"")</f>
        <v/>
      </c>
      <c r="I1441" s="22" t="n"/>
      <c r="J1441" s="22" t="n"/>
      <c r="K1441" s="24" t="n"/>
      <c r="W1441">
        <f>IF($A2="","",COUNTIF('07_Pallet_Contents'!$A$2:$A$3000,$A2))</f>
        <v/>
      </c>
      <c r="X1441">
        <f>IF($A2="","",SUMIF('07_Pallet_Contents'!$A$2:$A$3000,$A2,'07_Pallet_Contents'!$D$2:$D$3000))</f>
        <v/>
      </c>
      <c r="Y1441">
        <f>IF($A2="","",SUMIF('07_Pallet_Contents'!$A$2:$A$3000,$A2,'07_Pallet_Contents'!$I$2:$I$3000))</f>
        <v/>
      </c>
      <c r="Z1441">
        <f>IF($A2="","",IF(COUNTIF('07_Pallet_Contents'!$A$2:$A$3000,$A2)&gt;0,"Yes",""))</f>
        <v/>
      </c>
    </row>
    <row r="1442">
      <c r="B1442" s="22" t="n"/>
      <c r="G1442" s="25" t="n"/>
      <c r="H1442" s="24">
        <f>IF(AND($F1442="TEMP",$G1442&gt;0,$M1442&lt;&gt;""),$M1442+$G1442,"")</f>
        <v/>
      </c>
      <c r="I1442" s="22" t="n"/>
      <c r="J1442" s="22" t="n"/>
      <c r="K1442" s="24" t="n"/>
      <c r="W1442">
        <f>IF($A2="","",COUNTIF('07_Pallet_Contents'!$A$2:$A$3000,$A2))</f>
        <v/>
      </c>
      <c r="X1442">
        <f>IF($A2="","",SUMIF('07_Pallet_Contents'!$A$2:$A$3000,$A2,'07_Pallet_Contents'!$D$2:$D$3000))</f>
        <v/>
      </c>
      <c r="Y1442">
        <f>IF($A2="","",SUMIF('07_Pallet_Contents'!$A$2:$A$3000,$A2,'07_Pallet_Contents'!$I$2:$I$3000))</f>
        <v/>
      </c>
      <c r="Z1442">
        <f>IF($A2="","",IF(COUNTIF('07_Pallet_Contents'!$A$2:$A$3000,$A2)&gt;0,"Yes",""))</f>
        <v/>
      </c>
    </row>
    <row r="1443">
      <c r="B1443" s="22" t="n"/>
      <c r="G1443" s="25" t="n"/>
      <c r="H1443" s="24">
        <f>IF(AND($F1443="TEMP",$G1443&gt;0,$M1443&lt;&gt;""),$M1443+$G1443,"")</f>
        <v/>
      </c>
      <c r="I1443" s="22" t="n"/>
      <c r="J1443" s="22" t="n"/>
      <c r="K1443" s="24" t="n"/>
      <c r="W1443">
        <f>IF($A2="","",COUNTIF('07_Pallet_Contents'!$A$2:$A$3000,$A2))</f>
        <v/>
      </c>
      <c r="X1443">
        <f>IF($A2="","",SUMIF('07_Pallet_Contents'!$A$2:$A$3000,$A2,'07_Pallet_Contents'!$D$2:$D$3000))</f>
        <v/>
      </c>
      <c r="Y1443">
        <f>IF($A2="","",SUMIF('07_Pallet_Contents'!$A$2:$A$3000,$A2,'07_Pallet_Contents'!$I$2:$I$3000))</f>
        <v/>
      </c>
      <c r="Z1443">
        <f>IF($A2="","",IF(COUNTIF('07_Pallet_Contents'!$A$2:$A$3000,$A2)&gt;0,"Yes",""))</f>
        <v/>
      </c>
    </row>
    <row r="1444">
      <c r="B1444" s="22" t="n"/>
      <c r="G1444" s="25" t="n"/>
      <c r="H1444" s="24">
        <f>IF(AND($F1444="TEMP",$G1444&gt;0,$M1444&lt;&gt;""),$M1444+$G1444,"")</f>
        <v/>
      </c>
      <c r="I1444" s="22" t="n"/>
      <c r="J1444" s="22" t="n"/>
      <c r="K1444" s="24" t="n"/>
      <c r="W1444">
        <f>IF($A2="","",COUNTIF('07_Pallet_Contents'!$A$2:$A$3000,$A2))</f>
        <v/>
      </c>
      <c r="X1444">
        <f>IF($A2="","",SUMIF('07_Pallet_Contents'!$A$2:$A$3000,$A2,'07_Pallet_Contents'!$D$2:$D$3000))</f>
        <v/>
      </c>
      <c r="Y1444">
        <f>IF($A2="","",SUMIF('07_Pallet_Contents'!$A$2:$A$3000,$A2,'07_Pallet_Contents'!$I$2:$I$3000))</f>
        <v/>
      </c>
      <c r="Z1444">
        <f>IF($A2="","",IF(COUNTIF('07_Pallet_Contents'!$A$2:$A$3000,$A2)&gt;0,"Yes",""))</f>
        <v/>
      </c>
    </row>
    <row r="1445">
      <c r="B1445" s="22" t="n"/>
      <c r="G1445" s="25" t="n"/>
      <c r="H1445" s="24">
        <f>IF(AND($F1445="TEMP",$G1445&gt;0,$M1445&lt;&gt;""),$M1445+$G1445,"")</f>
        <v/>
      </c>
      <c r="I1445" s="22" t="n"/>
      <c r="J1445" s="22" t="n"/>
      <c r="K1445" s="24" t="n"/>
      <c r="W1445">
        <f>IF($A2="","",COUNTIF('07_Pallet_Contents'!$A$2:$A$3000,$A2))</f>
        <v/>
      </c>
      <c r="X1445">
        <f>IF($A2="","",SUMIF('07_Pallet_Contents'!$A$2:$A$3000,$A2,'07_Pallet_Contents'!$D$2:$D$3000))</f>
        <v/>
      </c>
      <c r="Y1445">
        <f>IF($A2="","",SUMIF('07_Pallet_Contents'!$A$2:$A$3000,$A2,'07_Pallet_Contents'!$I$2:$I$3000))</f>
        <v/>
      </c>
      <c r="Z1445">
        <f>IF($A2="","",IF(COUNTIF('07_Pallet_Contents'!$A$2:$A$3000,$A2)&gt;0,"Yes",""))</f>
        <v/>
      </c>
    </row>
    <row r="1446">
      <c r="B1446" s="22" t="n"/>
      <c r="G1446" s="25" t="n"/>
      <c r="H1446" s="24">
        <f>IF(AND($F1446="TEMP",$G1446&gt;0,$M1446&lt;&gt;""),$M1446+$G1446,"")</f>
        <v/>
      </c>
      <c r="I1446" s="22" t="n"/>
      <c r="J1446" s="22" t="n"/>
      <c r="K1446" s="24" t="n"/>
      <c r="W1446">
        <f>IF($A2="","",COUNTIF('07_Pallet_Contents'!$A$2:$A$3000,$A2))</f>
        <v/>
      </c>
      <c r="X1446">
        <f>IF($A2="","",SUMIF('07_Pallet_Contents'!$A$2:$A$3000,$A2,'07_Pallet_Contents'!$D$2:$D$3000))</f>
        <v/>
      </c>
      <c r="Y1446">
        <f>IF($A2="","",SUMIF('07_Pallet_Contents'!$A$2:$A$3000,$A2,'07_Pallet_Contents'!$I$2:$I$3000))</f>
        <v/>
      </c>
      <c r="Z1446">
        <f>IF($A2="","",IF(COUNTIF('07_Pallet_Contents'!$A$2:$A$3000,$A2)&gt;0,"Yes",""))</f>
        <v/>
      </c>
    </row>
    <row r="1447">
      <c r="B1447" s="22" t="n"/>
      <c r="G1447" s="25" t="n"/>
      <c r="H1447" s="24">
        <f>IF(AND($F1447="TEMP",$G1447&gt;0,$M1447&lt;&gt;""),$M1447+$G1447,"")</f>
        <v/>
      </c>
      <c r="I1447" s="22" t="n"/>
      <c r="J1447" s="22" t="n"/>
      <c r="K1447" s="24" t="n"/>
      <c r="W1447">
        <f>IF($A2="","",COUNTIF('07_Pallet_Contents'!$A$2:$A$3000,$A2))</f>
        <v/>
      </c>
      <c r="X1447">
        <f>IF($A2="","",SUMIF('07_Pallet_Contents'!$A$2:$A$3000,$A2,'07_Pallet_Contents'!$D$2:$D$3000))</f>
        <v/>
      </c>
      <c r="Y1447">
        <f>IF($A2="","",SUMIF('07_Pallet_Contents'!$A$2:$A$3000,$A2,'07_Pallet_Contents'!$I$2:$I$3000))</f>
        <v/>
      </c>
      <c r="Z1447">
        <f>IF($A2="","",IF(COUNTIF('07_Pallet_Contents'!$A$2:$A$3000,$A2)&gt;0,"Yes",""))</f>
        <v/>
      </c>
    </row>
    <row r="1448">
      <c r="B1448" s="22" t="n"/>
      <c r="G1448" s="25" t="n"/>
      <c r="H1448" s="24">
        <f>IF(AND($F1448="TEMP",$G1448&gt;0,$M1448&lt;&gt;""),$M1448+$G1448,"")</f>
        <v/>
      </c>
      <c r="I1448" s="22" t="n"/>
      <c r="J1448" s="22" t="n"/>
      <c r="K1448" s="24" t="n"/>
      <c r="W1448">
        <f>IF($A2="","",COUNTIF('07_Pallet_Contents'!$A$2:$A$3000,$A2))</f>
        <v/>
      </c>
      <c r="X1448">
        <f>IF($A2="","",SUMIF('07_Pallet_Contents'!$A$2:$A$3000,$A2,'07_Pallet_Contents'!$D$2:$D$3000))</f>
        <v/>
      </c>
      <c r="Y1448">
        <f>IF($A2="","",SUMIF('07_Pallet_Contents'!$A$2:$A$3000,$A2,'07_Pallet_Contents'!$I$2:$I$3000))</f>
        <v/>
      </c>
      <c r="Z1448">
        <f>IF($A2="","",IF(COUNTIF('07_Pallet_Contents'!$A$2:$A$3000,$A2)&gt;0,"Yes",""))</f>
        <v/>
      </c>
    </row>
    <row r="1449">
      <c r="B1449" s="22" t="n"/>
      <c r="G1449" s="25" t="n"/>
      <c r="H1449" s="24">
        <f>IF(AND($F1449="TEMP",$G1449&gt;0,$M1449&lt;&gt;""),$M1449+$G1449,"")</f>
        <v/>
      </c>
      <c r="I1449" s="22" t="n"/>
      <c r="J1449" s="22" t="n"/>
      <c r="K1449" s="24" t="n"/>
      <c r="W1449">
        <f>IF($A2="","",COUNTIF('07_Pallet_Contents'!$A$2:$A$3000,$A2))</f>
        <v/>
      </c>
      <c r="X1449">
        <f>IF($A2="","",SUMIF('07_Pallet_Contents'!$A$2:$A$3000,$A2,'07_Pallet_Contents'!$D$2:$D$3000))</f>
        <v/>
      </c>
      <c r="Y1449">
        <f>IF($A2="","",SUMIF('07_Pallet_Contents'!$A$2:$A$3000,$A2,'07_Pallet_Contents'!$I$2:$I$3000))</f>
        <v/>
      </c>
      <c r="Z1449">
        <f>IF($A2="","",IF(COUNTIF('07_Pallet_Contents'!$A$2:$A$3000,$A2)&gt;0,"Yes",""))</f>
        <v/>
      </c>
    </row>
    <row r="1450">
      <c r="B1450" s="22" t="n"/>
      <c r="G1450" s="25" t="n"/>
      <c r="H1450" s="24">
        <f>IF(AND($F1450="TEMP",$G1450&gt;0,$M1450&lt;&gt;""),$M1450+$G1450,"")</f>
        <v/>
      </c>
      <c r="I1450" s="22" t="n"/>
      <c r="J1450" s="22" t="n"/>
      <c r="K1450" s="24" t="n"/>
      <c r="W1450">
        <f>IF($A2="","",COUNTIF('07_Pallet_Contents'!$A$2:$A$3000,$A2))</f>
        <v/>
      </c>
      <c r="X1450">
        <f>IF($A2="","",SUMIF('07_Pallet_Contents'!$A$2:$A$3000,$A2,'07_Pallet_Contents'!$D$2:$D$3000))</f>
        <v/>
      </c>
      <c r="Y1450">
        <f>IF($A2="","",SUMIF('07_Pallet_Contents'!$A$2:$A$3000,$A2,'07_Pallet_Contents'!$I$2:$I$3000))</f>
        <v/>
      </c>
      <c r="Z1450">
        <f>IF($A2="","",IF(COUNTIF('07_Pallet_Contents'!$A$2:$A$3000,$A2)&gt;0,"Yes",""))</f>
        <v/>
      </c>
    </row>
    <row r="1451">
      <c r="B1451" s="22" t="n"/>
      <c r="G1451" s="25" t="n"/>
      <c r="H1451" s="24">
        <f>IF(AND($F1451="TEMP",$G1451&gt;0,$M1451&lt;&gt;""),$M1451+$G1451,"")</f>
        <v/>
      </c>
      <c r="I1451" s="22" t="n"/>
      <c r="J1451" s="22" t="n"/>
      <c r="K1451" s="24" t="n"/>
      <c r="W1451">
        <f>IF($A2="","",COUNTIF('07_Pallet_Contents'!$A$2:$A$3000,$A2))</f>
        <v/>
      </c>
      <c r="X1451">
        <f>IF($A2="","",SUMIF('07_Pallet_Contents'!$A$2:$A$3000,$A2,'07_Pallet_Contents'!$D$2:$D$3000))</f>
        <v/>
      </c>
      <c r="Y1451">
        <f>IF($A2="","",SUMIF('07_Pallet_Contents'!$A$2:$A$3000,$A2,'07_Pallet_Contents'!$I$2:$I$3000))</f>
        <v/>
      </c>
      <c r="Z1451">
        <f>IF($A2="","",IF(COUNTIF('07_Pallet_Contents'!$A$2:$A$3000,$A2)&gt;0,"Yes",""))</f>
        <v/>
      </c>
    </row>
    <row r="1452">
      <c r="B1452" s="22" t="n"/>
      <c r="G1452" s="25" t="n"/>
      <c r="H1452" s="24">
        <f>IF(AND($F1452="TEMP",$G1452&gt;0,$M1452&lt;&gt;""),$M1452+$G1452,"")</f>
        <v/>
      </c>
      <c r="I1452" s="22" t="n"/>
      <c r="J1452" s="22" t="n"/>
      <c r="K1452" s="24" t="n"/>
      <c r="W1452">
        <f>IF($A2="","",COUNTIF('07_Pallet_Contents'!$A$2:$A$3000,$A2))</f>
        <v/>
      </c>
      <c r="X1452">
        <f>IF($A2="","",SUMIF('07_Pallet_Contents'!$A$2:$A$3000,$A2,'07_Pallet_Contents'!$D$2:$D$3000))</f>
        <v/>
      </c>
      <c r="Y1452">
        <f>IF($A2="","",SUMIF('07_Pallet_Contents'!$A$2:$A$3000,$A2,'07_Pallet_Contents'!$I$2:$I$3000))</f>
        <v/>
      </c>
      <c r="Z1452">
        <f>IF($A2="","",IF(COUNTIF('07_Pallet_Contents'!$A$2:$A$3000,$A2)&gt;0,"Yes",""))</f>
        <v/>
      </c>
    </row>
    <row r="1453">
      <c r="B1453" s="22" t="n"/>
      <c r="G1453" s="25" t="n"/>
      <c r="H1453" s="24">
        <f>IF(AND($F1453="TEMP",$G1453&gt;0,$M1453&lt;&gt;""),$M1453+$G1453,"")</f>
        <v/>
      </c>
      <c r="I1453" s="22" t="n"/>
      <c r="J1453" s="22" t="n"/>
      <c r="K1453" s="24" t="n"/>
      <c r="W1453">
        <f>IF($A2="","",COUNTIF('07_Pallet_Contents'!$A$2:$A$3000,$A2))</f>
        <v/>
      </c>
      <c r="X1453">
        <f>IF($A2="","",SUMIF('07_Pallet_Contents'!$A$2:$A$3000,$A2,'07_Pallet_Contents'!$D$2:$D$3000))</f>
        <v/>
      </c>
      <c r="Y1453">
        <f>IF($A2="","",SUMIF('07_Pallet_Contents'!$A$2:$A$3000,$A2,'07_Pallet_Contents'!$I$2:$I$3000))</f>
        <v/>
      </c>
      <c r="Z1453">
        <f>IF($A2="","",IF(COUNTIF('07_Pallet_Contents'!$A$2:$A$3000,$A2)&gt;0,"Yes",""))</f>
        <v/>
      </c>
    </row>
    <row r="1454">
      <c r="B1454" s="22" t="n"/>
      <c r="G1454" s="25" t="n"/>
      <c r="H1454" s="24">
        <f>IF(AND($F1454="TEMP",$G1454&gt;0,$M1454&lt;&gt;""),$M1454+$G1454,"")</f>
        <v/>
      </c>
      <c r="I1454" s="22" t="n"/>
      <c r="J1454" s="22" t="n"/>
      <c r="K1454" s="24" t="n"/>
      <c r="W1454">
        <f>IF($A2="","",COUNTIF('07_Pallet_Contents'!$A$2:$A$3000,$A2))</f>
        <v/>
      </c>
      <c r="X1454">
        <f>IF($A2="","",SUMIF('07_Pallet_Contents'!$A$2:$A$3000,$A2,'07_Pallet_Contents'!$D$2:$D$3000))</f>
        <v/>
      </c>
      <c r="Y1454">
        <f>IF($A2="","",SUMIF('07_Pallet_Contents'!$A$2:$A$3000,$A2,'07_Pallet_Contents'!$I$2:$I$3000))</f>
        <v/>
      </c>
      <c r="Z1454">
        <f>IF($A2="","",IF(COUNTIF('07_Pallet_Contents'!$A$2:$A$3000,$A2)&gt;0,"Yes",""))</f>
        <v/>
      </c>
    </row>
    <row r="1455">
      <c r="B1455" s="22" t="n"/>
      <c r="G1455" s="25" t="n"/>
      <c r="H1455" s="24">
        <f>IF(AND($F1455="TEMP",$G1455&gt;0,$M1455&lt;&gt;""),$M1455+$G1455,"")</f>
        <v/>
      </c>
      <c r="I1455" s="22" t="n"/>
      <c r="J1455" s="22" t="n"/>
      <c r="K1455" s="24" t="n"/>
      <c r="W1455">
        <f>IF($A2="","",COUNTIF('07_Pallet_Contents'!$A$2:$A$3000,$A2))</f>
        <v/>
      </c>
      <c r="X1455">
        <f>IF($A2="","",SUMIF('07_Pallet_Contents'!$A$2:$A$3000,$A2,'07_Pallet_Contents'!$D$2:$D$3000))</f>
        <v/>
      </c>
      <c r="Y1455">
        <f>IF($A2="","",SUMIF('07_Pallet_Contents'!$A$2:$A$3000,$A2,'07_Pallet_Contents'!$I$2:$I$3000))</f>
        <v/>
      </c>
      <c r="Z1455">
        <f>IF($A2="","",IF(COUNTIF('07_Pallet_Contents'!$A$2:$A$3000,$A2)&gt;0,"Yes",""))</f>
        <v/>
      </c>
    </row>
    <row r="1456">
      <c r="B1456" s="22" t="n"/>
      <c r="G1456" s="25" t="n"/>
      <c r="H1456" s="24">
        <f>IF(AND($F1456="TEMP",$G1456&gt;0,$M1456&lt;&gt;""),$M1456+$G1456,"")</f>
        <v/>
      </c>
      <c r="I1456" s="22" t="n"/>
      <c r="J1456" s="22" t="n"/>
      <c r="K1456" s="24" t="n"/>
      <c r="W1456">
        <f>IF($A2="","",COUNTIF('07_Pallet_Contents'!$A$2:$A$3000,$A2))</f>
        <v/>
      </c>
      <c r="X1456">
        <f>IF($A2="","",SUMIF('07_Pallet_Contents'!$A$2:$A$3000,$A2,'07_Pallet_Contents'!$D$2:$D$3000))</f>
        <v/>
      </c>
      <c r="Y1456">
        <f>IF($A2="","",SUMIF('07_Pallet_Contents'!$A$2:$A$3000,$A2,'07_Pallet_Contents'!$I$2:$I$3000))</f>
        <v/>
      </c>
      <c r="Z1456">
        <f>IF($A2="","",IF(COUNTIF('07_Pallet_Contents'!$A$2:$A$3000,$A2)&gt;0,"Yes",""))</f>
        <v/>
      </c>
    </row>
    <row r="1457">
      <c r="B1457" s="22" t="n"/>
      <c r="G1457" s="25" t="n"/>
      <c r="H1457" s="24">
        <f>IF(AND($F1457="TEMP",$G1457&gt;0,$M1457&lt;&gt;""),$M1457+$G1457,"")</f>
        <v/>
      </c>
      <c r="I1457" s="22" t="n"/>
      <c r="J1457" s="22" t="n"/>
      <c r="K1457" s="24" t="n"/>
      <c r="W1457">
        <f>IF($A2="","",COUNTIF('07_Pallet_Contents'!$A$2:$A$3000,$A2))</f>
        <v/>
      </c>
      <c r="X1457">
        <f>IF($A2="","",SUMIF('07_Pallet_Contents'!$A$2:$A$3000,$A2,'07_Pallet_Contents'!$D$2:$D$3000))</f>
        <v/>
      </c>
      <c r="Y1457">
        <f>IF($A2="","",SUMIF('07_Pallet_Contents'!$A$2:$A$3000,$A2,'07_Pallet_Contents'!$I$2:$I$3000))</f>
        <v/>
      </c>
      <c r="Z1457">
        <f>IF($A2="","",IF(COUNTIF('07_Pallet_Contents'!$A$2:$A$3000,$A2)&gt;0,"Yes",""))</f>
        <v/>
      </c>
    </row>
    <row r="1458">
      <c r="B1458" s="22" t="n"/>
      <c r="G1458" s="25" t="n"/>
      <c r="H1458" s="24">
        <f>IF(AND($F1458="TEMP",$G1458&gt;0,$M1458&lt;&gt;""),$M1458+$G1458,"")</f>
        <v/>
      </c>
      <c r="I1458" s="22" t="n"/>
      <c r="J1458" s="22" t="n"/>
      <c r="K1458" s="24" t="n"/>
      <c r="W1458">
        <f>IF($A2="","",COUNTIF('07_Pallet_Contents'!$A$2:$A$3000,$A2))</f>
        <v/>
      </c>
      <c r="X1458">
        <f>IF($A2="","",SUMIF('07_Pallet_Contents'!$A$2:$A$3000,$A2,'07_Pallet_Contents'!$D$2:$D$3000))</f>
        <v/>
      </c>
      <c r="Y1458">
        <f>IF($A2="","",SUMIF('07_Pallet_Contents'!$A$2:$A$3000,$A2,'07_Pallet_Contents'!$I$2:$I$3000))</f>
        <v/>
      </c>
      <c r="Z1458">
        <f>IF($A2="","",IF(COUNTIF('07_Pallet_Contents'!$A$2:$A$3000,$A2)&gt;0,"Yes",""))</f>
        <v/>
      </c>
    </row>
    <row r="1459">
      <c r="B1459" s="22" t="n"/>
      <c r="G1459" s="25" t="n"/>
      <c r="H1459" s="24">
        <f>IF(AND($F1459="TEMP",$G1459&gt;0,$M1459&lt;&gt;""),$M1459+$G1459,"")</f>
        <v/>
      </c>
      <c r="I1459" s="22" t="n"/>
      <c r="J1459" s="22" t="n"/>
      <c r="K1459" s="24" t="n"/>
      <c r="W1459">
        <f>IF($A2="","",COUNTIF('07_Pallet_Contents'!$A$2:$A$3000,$A2))</f>
        <v/>
      </c>
      <c r="X1459">
        <f>IF($A2="","",SUMIF('07_Pallet_Contents'!$A$2:$A$3000,$A2,'07_Pallet_Contents'!$D$2:$D$3000))</f>
        <v/>
      </c>
      <c r="Y1459">
        <f>IF($A2="","",SUMIF('07_Pallet_Contents'!$A$2:$A$3000,$A2,'07_Pallet_Contents'!$I$2:$I$3000))</f>
        <v/>
      </c>
      <c r="Z1459">
        <f>IF($A2="","",IF(COUNTIF('07_Pallet_Contents'!$A$2:$A$3000,$A2)&gt;0,"Yes",""))</f>
        <v/>
      </c>
    </row>
    <row r="1460">
      <c r="B1460" s="22" t="n"/>
      <c r="G1460" s="25" t="n"/>
      <c r="H1460" s="24">
        <f>IF(AND($F1460="TEMP",$G1460&gt;0,$M1460&lt;&gt;""),$M1460+$G1460,"")</f>
        <v/>
      </c>
      <c r="I1460" s="22" t="n"/>
      <c r="J1460" s="22" t="n"/>
      <c r="K1460" s="24" t="n"/>
      <c r="W1460">
        <f>IF($A2="","",COUNTIF('07_Pallet_Contents'!$A$2:$A$3000,$A2))</f>
        <v/>
      </c>
      <c r="X1460">
        <f>IF($A2="","",SUMIF('07_Pallet_Contents'!$A$2:$A$3000,$A2,'07_Pallet_Contents'!$D$2:$D$3000))</f>
        <v/>
      </c>
      <c r="Y1460">
        <f>IF($A2="","",SUMIF('07_Pallet_Contents'!$A$2:$A$3000,$A2,'07_Pallet_Contents'!$I$2:$I$3000))</f>
        <v/>
      </c>
      <c r="Z1460">
        <f>IF($A2="","",IF(COUNTIF('07_Pallet_Contents'!$A$2:$A$3000,$A2)&gt;0,"Yes",""))</f>
        <v/>
      </c>
    </row>
    <row r="1461">
      <c r="B1461" s="22" t="n"/>
      <c r="G1461" s="25" t="n"/>
      <c r="H1461" s="24">
        <f>IF(AND($F1461="TEMP",$G1461&gt;0,$M1461&lt;&gt;""),$M1461+$G1461,"")</f>
        <v/>
      </c>
      <c r="I1461" s="22" t="n"/>
      <c r="J1461" s="22" t="n"/>
      <c r="K1461" s="24" t="n"/>
      <c r="W1461">
        <f>IF($A2="","",COUNTIF('07_Pallet_Contents'!$A$2:$A$3000,$A2))</f>
        <v/>
      </c>
      <c r="X1461">
        <f>IF($A2="","",SUMIF('07_Pallet_Contents'!$A$2:$A$3000,$A2,'07_Pallet_Contents'!$D$2:$D$3000))</f>
        <v/>
      </c>
      <c r="Y1461">
        <f>IF($A2="","",SUMIF('07_Pallet_Contents'!$A$2:$A$3000,$A2,'07_Pallet_Contents'!$I$2:$I$3000))</f>
        <v/>
      </c>
      <c r="Z1461">
        <f>IF($A2="","",IF(COUNTIF('07_Pallet_Contents'!$A$2:$A$3000,$A2)&gt;0,"Yes",""))</f>
        <v/>
      </c>
    </row>
    <row r="1462">
      <c r="B1462" s="22" t="n"/>
      <c r="G1462" s="25" t="n"/>
      <c r="H1462" s="24">
        <f>IF(AND($F1462="TEMP",$G1462&gt;0,$M1462&lt;&gt;""),$M1462+$G1462,"")</f>
        <v/>
      </c>
      <c r="I1462" s="22" t="n"/>
      <c r="J1462" s="22" t="n"/>
      <c r="K1462" s="24" t="n"/>
      <c r="W1462">
        <f>IF($A2="","",COUNTIF('07_Pallet_Contents'!$A$2:$A$3000,$A2))</f>
        <v/>
      </c>
      <c r="X1462">
        <f>IF($A2="","",SUMIF('07_Pallet_Contents'!$A$2:$A$3000,$A2,'07_Pallet_Contents'!$D$2:$D$3000))</f>
        <v/>
      </c>
      <c r="Y1462">
        <f>IF($A2="","",SUMIF('07_Pallet_Contents'!$A$2:$A$3000,$A2,'07_Pallet_Contents'!$I$2:$I$3000))</f>
        <v/>
      </c>
      <c r="Z1462">
        <f>IF($A2="","",IF(COUNTIF('07_Pallet_Contents'!$A$2:$A$3000,$A2)&gt;0,"Yes",""))</f>
        <v/>
      </c>
    </row>
    <row r="1463">
      <c r="B1463" s="22" t="n"/>
      <c r="G1463" s="25" t="n"/>
      <c r="H1463" s="24">
        <f>IF(AND($F1463="TEMP",$G1463&gt;0,$M1463&lt;&gt;""),$M1463+$G1463,"")</f>
        <v/>
      </c>
      <c r="I1463" s="22" t="n"/>
      <c r="J1463" s="22" t="n"/>
      <c r="K1463" s="24" t="n"/>
      <c r="W1463">
        <f>IF($A2="","",COUNTIF('07_Pallet_Contents'!$A$2:$A$3000,$A2))</f>
        <v/>
      </c>
      <c r="X1463">
        <f>IF($A2="","",SUMIF('07_Pallet_Contents'!$A$2:$A$3000,$A2,'07_Pallet_Contents'!$D$2:$D$3000))</f>
        <v/>
      </c>
      <c r="Y1463">
        <f>IF($A2="","",SUMIF('07_Pallet_Contents'!$A$2:$A$3000,$A2,'07_Pallet_Contents'!$I$2:$I$3000))</f>
        <v/>
      </c>
      <c r="Z1463">
        <f>IF($A2="","",IF(COUNTIF('07_Pallet_Contents'!$A$2:$A$3000,$A2)&gt;0,"Yes",""))</f>
        <v/>
      </c>
    </row>
    <row r="1464">
      <c r="B1464" s="22" t="n"/>
      <c r="G1464" s="25" t="n"/>
      <c r="H1464" s="24">
        <f>IF(AND($F1464="TEMP",$G1464&gt;0,$M1464&lt;&gt;""),$M1464+$G1464,"")</f>
        <v/>
      </c>
      <c r="I1464" s="22" t="n"/>
      <c r="J1464" s="22" t="n"/>
      <c r="K1464" s="24" t="n"/>
      <c r="W1464">
        <f>IF($A2="","",COUNTIF('07_Pallet_Contents'!$A$2:$A$3000,$A2))</f>
        <v/>
      </c>
      <c r="X1464">
        <f>IF($A2="","",SUMIF('07_Pallet_Contents'!$A$2:$A$3000,$A2,'07_Pallet_Contents'!$D$2:$D$3000))</f>
        <v/>
      </c>
      <c r="Y1464">
        <f>IF($A2="","",SUMIF('07_Pallet_Contents'!$A$2:$A$3000,$A2,'07_Pallet_Contents'!$I$2:$I$3000))</f>
        <v/>
      </c>
      <c r="Z1464">
        <f>IF($A2="","",IF(COUNTIF('07_Pallet_Contents'!$A$2:$A$3000,$A2)&gt;0,"Yes",""))</f>
        <v/>
      </c>
    </row>
    <row r="1465">
      <c r="B1465" s="22" t="n"/>
      <c r="G1465" s="25" t="n"/>
      <c r="H1465" s="24">
        <f>IF(AND($F1465="TEMP",$G1465&gt;0,$M1465&lt;&gt;""),$M1465+$G1465,"")</f>
        <v/>
      </c>
      <c r="I1465" s="22" t="n"/>
      <c r="J1465" s="22" t="n"/>
      <c r="K1465" s="24" t="n"/>
      <c r="W1465">
        <f>IF($A2="","",COUNTIF('07_Pallet_Contents'!$A$2:$A$3000,$A2))</f>
        <v/>
      </c>
      <c r="X1465">
        <f>IF($A2="","",SUMIF('07_Pallet_Contents'!$A$2:$A$3000,$A2,'07_Pallet_Contents'!$D$2:$D$3000))</f>
        <v/>
      </c>
      <c r="Y1465">
        <f>IF($A2="","",SUMIF('07_Pallet_Contents'!$A$2:$A$3000,$A2,'07_Pallet_Contents'!$I$2:$I$3000))</f>
        <v/>
      </c>
      <c r="Z1465">
        <f>IF($A2="","",IF(COUNTIF('07_Pallet_Contents'!$A$2:$A$3000,$A2)&gt;0,"Yes",""))</f>
        <v/>
      </c>
    </row>
    <row r="1466">
      <c r="B1466" s="22" t="n"/>
      <c r="G1466" s="25" t="n"/>
      <c r="H1466" s="24">
        <f>IF(AND($F1466="TEMP",$G1466&gt;0,$M1466&lt;&gt;""),$M1466+$G1466,"")</f>
        <v/>
      </c>
      <c r="I1466" s="22" t="n"/>
      <c r="J1466" s="22" t="n"/>
      <c r="K1466" s="24" t="n"/>
      <c r="W1466">
        <f>IF($A2="","",COUNTIF('07_Pallet_Contents'!$A$2:$A$3000,$A2))</f>
        <v/>
      </c>
      <c r="X1466">
        <f>IF($A2="","",SUMIF('07_Pallet_Contents'!$A$2:$A$3000,$A2,'07_Pallet_Contents'!$D$2:$D$3000))</f>
        <v/>
      </c>
      <c r="Y1466">
        <f>IF($A2="","",SUMIF('07_Pallet_Contents'!$A$2:$A$3000,$A2,'07_Pallet_Contents'!$I$2:$I$3000))</f>
        <v/>
      </c>
      <c r="Z1466">
        <f>IF($A2="","",IF(COUNTIF('07_Pallet_Contents'!$A$2:$A$3000,$A2)&gt;0,"Yes",""))</f>
        <v/>
      </c>
    </row>
    <row r="1467">
      <c r="B1467" s="22" t="n"/>
      <c r="G1467" s="25" t="n"/>
      <c r="H1467" s="24">
        <f>IF(AND($F1467="TEMP",$G1467&gt;0,$M1467&lt;&gt;""),$M1467+$G1467,"")</f>
        <v/>
      </c>
      <c r="I1467" s="22" t="n"/>
      <c r="J1467" s="22" t="n"/>
      <c r="K1467" s="24" t="n"/>
      <c r="W1467">
        <f>IF($A2="","",COUNTIF('07_Pallet_Contents'!$A$2:$A$3000,$A2))</f>
        <v/>
      </c>
      <c r="X1467">
        <f>IF($A2="","",SUMIF('07_Pallet_Contents'!$A$2:$A$3000,$A2,'07_Pallet_Contents'!$D$2:$D$3000))</f>
        <v/>
      </c>
      <c r="Y1467">
        <f>IF($A2="","",SUMIF('07_Pallet_Contents'!$A$2:$A$3000,$A2,'07_Pallet_Contents'!$I$2:$I$3000))</f>
        <v/>
      </c>
      <c r="Z1467">
        <f>IF($A2="","",IF(COUNTIF('07_Pallet_Contents'!$A$2:$A$3000,$A2)&gt;0,"Yes",""))</f>
        <v/>
      </c>
    </row>
    <row r="1468">
      <c r="B1468" s="22" t="n"/>
      <c r="G1468" s="25" t="n"/>
      <c r="H1468" s="24">
        <f>IF(AND($F1468="TEMP",$G1468&gt;0,$M1468&lt;&gt;""),$M1468+$G1468,"")</f>
        <v/>
      </c>
      <c r="I1468" s="22" t="n"/>
      <c r="J1468" s="22" t="n"/>
      <c r="K1468" s="24" t="n"/>
      <c r="W1468">
        <f>IF($A2="","",COUNTIF('07_Pallet_Contents'!$A$2:$A$3000,$A2))</f>
        <v/>
      </c>
      <c r="X1468">
        <f>IF($A2="","",SUMIF('07_Pallet_Contents'!$A$2:$A$3000,$A2,'07_Pallet_Contents'!$D$2:$D$3000))</f>
        <v/>
      </c>
      <c r="Y1468">
        <f>IF($A2="","",SUMIF('07_Pallet_Contents'!$A$2:$A$3000,$A2,'07_Pallet_Contents'!$I$2:$I$3000))</f>
        <v/>
      </c>
      <c r="Z1468">
        <f>IF($A2="","",IF(COUNTIF('07_Pallet_Contents'!$A$2:$A$3000,$A2)&gt;0,"Yes",""))</f>
        <v/>
      </c>
    </row>
    <row r="1469">
      <c r="B1469" s="22" t="n"/>
      <c r="G1469" s="25" t="n"/>
      <c r="H1469" s="24">
        <f>IF(AND($F1469="TEMP",$G1469&gt;0,$M1469&lt;&gt;""),$M1469+$G1469,"")</f>
        <v/>
      </c>
      <c r="I1469" s="22" t="n"/>
      <c r="J1469" s="22" t="n"/>
      <c r="K1469" s="24" t="n"/>
      <c r="W1469">
        <f>IF($A2="","",COUNTIF('07_Pallet_Contents'!$A$2:$A$3000,$A2))</f>
        <v/>
      </c>
      <c r="X1469">
        <f>IF($A2="","",SUMIF('07_Pallet_Contents'!$A$2:$A$3000,$A2,'07_Pallet_Contents'!$D$2:$D$3000))</f>
        <v/>
      </c>
      <c r="Y1469">
        <f>IF($A2="","",SUMIF('07_Pallet_Contents'!$A$2:$A$3000,$A2,'07_Pallet_Contents'!$I$2:$I$3000))</f>
        <v/>
      </c>
      <c r="Z1469">
        <f>IF($A2="","",IF(COUNTIF('07_Pallet_Contents'!$A$2:$A$3000,$A2)&gt;0,"Yes",""))</f>
        <v/>
      </c>
    </row>
    <row r="1470">
      <c r="B1470" s="22" t="n"/>
      <c r="G1470" s="25" t="n"/>
      <c r="H1470" s="24">
        <f>IF(AND($F1470="TEMP",$G1470&gt;0,$M1470&lt;&gt;""),$M1470+$G1470,"")</f>
        <v/>
      </c>
      <c r="I1470" s="22" t="n"/>
      <c r="J1470" s="22" t="n"/>
      <c r="K1470" s="24" t="n"/>
      <c r="W1470">
        <f>IF($A2="","",COUNTIF('07_Pallet_Contents'!$A$2:$A$3000,$A2))</f>
        <v/>
      </c>
      <c r="X1470">
        <f>IF($A2="","",SUMIF('07_Pallet_Contents'!$A$2:$A$3000,$A2,'07_Pallet_Contents'!$D$2:$D$3000))</f>
        <v/>
      </c>
      <c r="Y1470">
        <f>IF($A2="","",SUMIF('07_Pallet_Contents'!$A$2:$A$3000,$A2,'07_Pallet_Contents'!$I$2:$I$3000))</f>
        <v/>
      </c>
      <c r="Z1470">
        <f>IF($A2="","",IF(COUNTIF('07_Pallet_Contents'!$A$2:$A$3000,$A2)&gt;0,"Yes",""))</f>
        <v/>
      </c>
    </row>
    <row r="1471">
      <c r="B1471" s="22" t="n"/>
      <c r="G1471" s="25" t="n"/>
      <c r="H1471" s="24">
        <f>IF(AND($F1471="TEMP",$G1471&gt;0,$M1471&lt;&gt;""),$M1471+$G1471,"")</f>
        <v/>
      </c>
      <c r="I1471" s="22" t="n"/>
      <c r="J1471" s="22" t="n"/>
      <c r="K1471" s="24" t="n"/>
      <c r="W1471">
        <f>IF($A2="","",COUNTIF('07_Pallet_Contents'!$A$2:$A$3000,$A2))</f>
        <v/>
      </c>
      <c r="X1471">
        <f>IF($A2="","",SUMIF('07_Pallet_Contents'!$A$2:$A$3000,$A2,'07_Pallet_Contents'!$D$2:$D$3000))</f>
        <v/>
      </c>
      <c r="Y1471">
        <f>IF($A2="","",SUMIF('07_Pallet_Contents'!$A$2:$A$3000,$A2,'07_Pallet_Contents'!$I$2:$I$3000))</f>
        <v/>
      </c>
      <c r="Z1471">
        <f>IF($A2="","",IF(COUNTIF('07_Pallet_Contents'!$A$2:$A$3000,$A2)&gt;0,"Yes",""))</f>
        <v/>
      </c>
    </row>
    <row r="1472">
      <c r="B1472" s="22" t="n"/>
      <c r="G1472" s="25" t="n"/>
      <c r="H1472" s="24">
        <f>IF(AND($F1472="TEMP",$G1472&gt;0,$M1472&lt;&gt;""),$M1472+$G1472,"")</f>
        <v/>
      </c>
      <c r="I1472" s="22" t="n"/>
      <c r="J1472" s="22" t="n"/>
      <c r="K1472" s="24" t="n"/>
      <c r="W1472">
        <f>IF($A2="","",COUNTIF('07_Pallet_Contents'!$A$2:$A$3000,$A2))</f>
        <v/>
      </c>
      <c r="X1472">
        <f>IF($A2="","",SUMIF('07_Pallet_Contents'!$A$2:$A$3000,$A2,'07_Pallet_Contents'!$D$2:$D$3000))</f>
        <v/>
      </c>
      <c r="Y1472">
        <f>IF($A2="","",SUMIF('07_Pallet_Contents'!$A$2:$A$3000,$A2,'07_Pallet_Contents'!$I$2:$I$3000))</f>
        <v/>
      </c>
      <c r="Z1472">
        <f>IF($A2="","",IF(COUNTIF('07_Pallet_Contents'!$A$2:$A$3000,$A2)&gt;0,"Yes",""))</f>
        <v/>
      </c>
    </row>
    <row r="1473">
      <c r="B1473" s="22" t="n"/>
      <c r="G1473" s="25" t="n"/>
      <c r="H1473" s="24">
        <f>IF(AND($F1473="TEMP",$G1473&gt;0,$M1473&lt;&gt;""),$M1473+$G1473,"")</f>
        <v/>
      </c>
      <c r="I1473" s="22" t="n"/>
      <c r="J1473" s="22" t="n"/>
      <c r="K1473" s="24" t="n"/>
      <c r="W1473">
        <f>IF($A2="","",COUNTIF('07_Pallet_Contents'!$A$2:$A$3000,$A2))</f>
        <v/>
      </c>
      <c r="X1473">
        <f>IF($A2="","",SUMIF('07_Pallet_Contents'!$A$2:$A$3000,$A2,'07_Pallet_Contents'!$D$2:$D$3000))</f>
        <v/>
      </c>
      <c r="Y1473">
        <f>IF($A2="","",SUMIF('07_Pallet_Contents'!$A$2:$A$3000,$A2,'07_Pallet_Contents'!$I$2:$I$3000))</f>
        <v/>
      </c>
      <c r="Z1473">
        <f>IF($A2="","",IF(COUNTIF('07_Pallet_Contents'!$A$2:$A$3000,$A2)&gt;0,"Yes",""))</f>
        <v/>
      </c>
    </row>
    <row r="1474">
      <c r="B1474" s="22" t="n"/>
      <c r="G1474" s="25" t="n"/>
      <c r="H1474" s="24">
        <f>IF(AND($F1474="TEMP",$G1474&gt;0,$M1474&lt;&gt;""),$M1474+$G1474,"")</f>
        <v/>
      </c>
      <c r="I1474" s="22" t="n"/>
      <c r="J1474" s="22" t="n"/>
      <c r="K1474" s="24" t="n"/>
      <c r="W1474">
        <f>IF($A2="","",COUNTIF('07_Pallet_Contents'!$A$2:$A$3000,$A2))</f>
        <v/>
      </c>
      <c r="X1474">
        <f>IF($A2="","",SUMIF('07_Pallet_Contents'!$A$2:$A$3000,$A2,'07_Pallet_Contents'!$D$2:$D$3000))</f>
        <v/>
      </c>
      <c r="Y1474">
        <f>IF($A2="","",SUMIF('07_Pallet_Contents'!$A$2:$A$3000,$A2,'07_Pallet_Contents'!$I$2:$I$3000))</f>
        <v/>
      </c>
      <c r="Z1474">
        <f>IF($A2="","",IF(COUNTIF('07_Pallet_Contents'!$A$2:$A$3000,$A2)&gt;0,"Yes",""))</f>
        <v/>
      </c>
    </row>
    <row r="1475">
      <c r="B1475" s="22" t="n"/>
      <c r="G1475" s="25" t="n"/>
      <c r="H1475" s="24">
        <f>IF(AND($F1475="TEMP",$G1475&gt;0,$M1475&lt;&gt;""),$M1475+$G1475,"")</f>
        <v/>
      </c>
      <c r="I1475" s="22" t="n"/>
      <c r="J1475" s="22" t="n"/>
      <c r="K1475" s="24" t="n"/>
      <c r="W1475">
        <f>IF($A2="","",COUNTIF('07_Pallet_Contents'!$A$2:$A$3000,$A2))</f>
        <v/>
      </c>
      <c r="X1475">
        <f>IF($A2="","",SUMIF('07_Pallet_Contents'!$A$2:$A$3000,$A2,'07_Pallet_Contents'!$D$2:$D$3000))</f>
        <v/>
      </c>
      <c r="Y1475">
        <f>IF($A2="","",SUMIF('07_Pallet_Contents'!$A$2:$A$3000,$A2,'07_Pallet_Contents'!$I$2:$I$3000))</f>
        <v/>
      </c>
      <c r="Z1475">
        <f>IF($A2="","",IF(COUNTIF('07_Pallet_Contents'!$A$2:$A$3000,$A2)&gt;0,"Yes",""))</f>
        <v/>
      </c>
    </row>
    <row r="1476">
      <c r="B1476" s="22" t="n"/>
      <c r="G1476" s="25" t="n"/>
      <c r="H1476" s="24">
        <f>IF(AND($F1476="TEMP",$G1476&gt;0,$M1476&lt;&gt;""),$M1476+$G1476,"")</f>
        <v/>
      </c>
      <c r="I1476" s="22" t="n"/>
      <c r="J1476" s="22" t="n"/>
      <c r="K1476" s="24" t="n"/>
      <c r="W1476">
        <f>IF($A2="","",COUNTIF('07_Pallet_Contents'!$A$2:$A$3000,$A2))</f>
        <v/>
      </c>
      <c r="X1476">
        <f>IF($A2="","",SUMIF('07_Pallet_Contents'!$A$2:$A$3000,$A2,'07_Pallet_Contents'!$D$2:$D$3000))</f>
        <v/>
      </c>
      <c r="Y1476">
        <f>IF($A2="","",SUMIF('07_Pallet_Contents'!$A$2:$A$3000,$A2,'07_Pallet_Contents'!$I$2:$I$3000))</f>
        <v/>
      </c>
      <c r="Z1476">
        <f>IF($A2="","",IF(COUNTIF('07_Pallet_Contents'!$A$2:$A$3000,$A2)&gt;0,"Yes",""))</f>
        <v/>
      </c>
    </row>
    <row r="1477">
      <c r="B1477" s="22" t="n"/>
      <c r="G1477" s="25" t="n"/>
      <c r="H1477" s="24">
        <f>IF(AND($F1477="TEMP",$G1477&gt;0,$M1477&lt;&gt;""),$M1477+$G1477,"")</f>
        <v/>
      </c>
      <c r="I1477" s="22" t="n"/>
      <c r="J1477" s="22" t="n"/>
      <c r="K1477" s="24" t="n"/>
      <c r="W1477">
        <f>IF($A2="","",COUNTIF('07_Pallet_Contents'!$A$2:$A$3000,$A2))</f>
        <v/>
      </c>
      <c r="X1477">
        <f>IF($A2="","",SUMIF('07_Pallet_Contents'!$A$2:$A$3000,$A2,'07_Pallet_Contents'!$D$2:$D$3000))</f>
        <v/>
      </c>
      <c r="Y1477">
        <f>IF($A2="","",SUMIF('07_Pallet_Contents'!$A$2:$A$3000,$A2,'07_Pallet_Contents'!$I$2:$I$3000))</f>
        <v/>
      </c>
      <c r="Z1477">
        <f>IF($A2="","",IF(COUNTIF('07_Pallet_Contents'!$A$2:$A$3000,$A2)&gt;0,"Yes",""))</f>
        <v/>
      </c>
    </row>
    <row r="1478">
      <c r="B1478" s="22" t="n"/>
      <c r="G1478" s="25" t="n"/>
      <c r="H1478" s="24">
        <f>IF(AND($F1478="TEMP",$G1478&gt;0,$M1478&lt;&gt;""),$M1478+$G1478,"")</f>
        <v/>
      </c>
      <c r="I1478" s="22" t="n"/>
      <c r="J1478" s="22" t="n"/>
      <c r="K1478" s="24" t="n"/>
      <c r="W1478">
        <f>IF($A2="","",COUNTIF('07_Pallet_Contents'!$A$2:$A$3000,$A2))</f>
        <v/>
      </c>
      <c r="X1478">
        <f>IF($A2="","",SUMIF('07_Pallet_Contents'!$A$2:$A$3000,$A2,'07_Pallet_Contents'!$D$2:$D$3000))</f>
        <v/>
      </c>
      <c r="Y1478">
        <f>IF($A2="","",SUMIF('07_Pallet_Contents'!$A$2:$A$3000,$A2,'07_Pallet_Contents'!$I$2:$I$3000))</f>
        <v/>
      </c>
      <c r="Z1478">
        <f>IF($A2="","",IF(COUNTIF('07_Pallet_Contents'!$A$2:$A$3000,$A2)&gt;0,"Yes",""))</f>
        <v/>
      </c>
    </row>
    <row r="1479">
      <c r="B1479" s="22" t="n"/>
      <c r="G1479" s="25" t="n"/>
      <c r="H1479" s="24">
        <f>IF(AND($F1479="TEMP",$G1479&gt;0,$M1479&lt;&gt;""),$M1479+$G1479,"")</f>
        <v/>
      </c>
      <c r="I1479" s="22" t="n"/>
      <c r="J1479" s="22" t="n"/>
      <c r="K1479" s="24" t="n"/>
      <c r="W1479">
        <f>IF($A2="","",COUNTIF('07_Pallet_Contents'!$A$2:$A$3000,$A2))</f>
        <v/>
      </c>
      <c r="X1479">
        <f>IF($A2="","",SUMIF('07_Pallet_Contents'!$A$2:$A$3000,$A2,'07_Pallet_Contents'!$D$2:$D$3000))</f>
        <v/>
      </c>
      <c r="Y1479">
        <f>IF($A2="","",SUMIF('07_Pallet_Contents'!$A$2:$A$3000,$A2,'07_Pallet_Contents'!$I$2:$I$3000))</f>
        <v/>
      </c>
      <c r="Z1479">
        <f>IF($A2="","",IF(COUNTIF('07_Pallet_Contents'!$A$2:$A$3000,$A2)&gt;0,"Yes",""))</f>
        <v/>
      </c>
    </row>
    <row r="1480">
      <c r="B1480" s="22" t="n"/>
      <c r="G1480" s="25" t="n"/>
      <c r="H1480" s="24">
        <f>IF(AND($F1480="TEMP",$G1480&gt;0,$M1480&lt;&gt;""),$M1480+$G1480,"")</f>
        <v/>
      </c>
      <c r="I1480" s="22" t="n"/>
      <c r="J1480" s="22" t="n"/>
      <c r="K1480" s="24" t="n"/>
      <c r="W1480">
        <f>IF($A2="","",COUNTIF('07_Pallet_Contents'!$A$2:$A$3000,$A2))</f>
        <v/>
      </c>
      <c r="X1480">
        <f>IF($A2="","",SUMIF('07_Pallet_Contents'!$A$2:$A$3000,$A2,'07_Pallet_Contents'!$D$2:$D$3000))</f>
        <v/>
      </c>
      <c r="Y1480">
        <f>IF($A2="","",SUMIF('07_Pallet_Contents'!$A$2:$A$3000,$A2,'07_Pallet_Contents'!$I$2:$I$3000))</f>
        <v/>
      </c>
      <c r="Z1480">
        <f>IF($A2="","",IF(COUNTIF('07_Pallet_Contents'!$A$2:$A$3000,$A2)&gt;0,"Yes",""))</f>
        <v/>
      </c>
    </row>
    <row r="1481">
      <c r="B1481" s="22" t="n"/>
      <c r="G1481" s="25" t="n"/>
      <c r="H1481" s="24">
        <f>IF(AND($F1481="TEMP",$G1481&gt;0,$M1481&lt;&gt;""),$M1481+$G1481,"")</f>
        <v/>
      </c>
      <c r="I1481" s="22" t="n"/>
      <c r="J1481" s="22" t="n"/>
      <c r="K1481" s="24" t="n"/>
      <c r="W1481">
        <f>IF($A2="","",COUNTIF('07_Pallet_Contents'!$A$2:$A$3000,$A2))</f>
        <v/>
      </c>
      <c r="X1481">
        <f>IF($A2="","",SUMIF('07_Pallet_Contents'!$A$2:$A$3000,$A2,'07_Pallet_Contents'!$D$2:$D$3000))</f>
        <v/>
      </c>
      <c r="Y1481">
        <f>IF($A2="","",SUMIF('07_Pallet_Contents'!$A$2:$A$3000,$A2,'07_Pallet_Contents'!$I$2:$I$3000))</f>
        <v/>
      </c>
      <c r="Z1481">
        <f>IF($A2="","",IF(COUNTIF('07_Pallet_Contents'!$A$2:$A$3000,$A2)&gt;0,"Yes",""))</f>
        <v/>
      </c>
    </row>
    <row r="1482">
      <c r="B1482" s="22" t="n"/>
      <c r="G1482" s="25" t="n"/>
      <c r="H1482" s="24">
        <f>IF(AND($F1482="TEMP",$G1482&gt;0,$M1482&lt;&gt;""),$M1482+$G1482,"")</f>
        <v/>
      </c>
      <c r="I1482" s="22" t="n"/>
      <c r="J1482" s="22" t="n"/>
      <c r="K1482" s="24" t="n"/>
      <c r="W1482">
        <f>IF($A2="","",COUNTIF('07_Pallet_Contents'!$A$2:$A$3000,$A2))</f>
        <v/>
      </c>
      <c r="X1482">
        <f>IF($A2="","",SUMIF('07_Pallet_Contents'!$A$2:$A$3000,$A2,'07_Pallet_Contents'!$D$2:$D$3000))</f>
        <v/>
      </c>
      <c r="Y1482">
        <f>IF($A2="","",SUMIF('07_Pallet_Contents'!$A$2:$A$3000,$A2,'07_Pallet_Contents'!$I$2:$I$3000))</f>
        <v/>
      </c>
      <c r="Z1482">
        <f>IF($A2="","",IF(COUNTIF('07_Pallet_Contents'!$A$2:$A$3000,$A2)&gt;0,"Yes",""))</f>
        <v/>
      </c>
    </row>
    <row r="1483">
      <c r="B1483" s="22" t="n"/>
      <c r="G1483" s="25" t="n"/>
      <c r="H1483" s="24">
        <f>IF(AND($F1483="TEMP",$G1483&gt;0,$M1483&lt;&gt;""),$M1483+$G1483,"")</f>
        <v/>
      </c>
      <c r="I1483" s="22" t="n"/>
      <c r="J1483" s="22" t="n"/>
      <c r="K1483" s="24" t="n"/>
      <c r="W1483">
        <f>IF($A2="","",COUNTIF('07_Pallet_Contents'!$A$2:$A$3000,$A2))</f>
        <v/>
      </c>
      <c r="X1483">
        <f>IF($A2="","",SUMIF('07_Pallet_Contents'!$A$2:$A$3000,$A2,'07_Pallet_Contents'!$D$2:$D$3000))</f>
        <v/>
      </c>
      <c r="Y1483">
        <f>IF($A2="","",SUMIF('07_Pallet_Contents'!$A$2:$A$3000,$A2,'07_Pallet_Contents'!$I$2:$I$3000))</f>
        <v/>
      </c>
      <c r="Z1483">
        <f>IF($A2="","",IF(COUNTIF('07_Pallet_Contents'!$A$2:$A$3000,$A2)&gt;0,"Yes",""))</f>
        <v/>
      </c>
    </row>
    <row r="1484">
      <c r="B1484" s="22" t="n"/>
      <c r="G1484" s="25" t="n"/>
      <c r="H1484" s="24">
        <f>IF(AND($F1484="TEMP",$G1484&gt;0,$M1484&lt;&gt;""),$M1484+$G1484,"")</f>
        <v/>
      </c>
      <c r="I1484" s="22" t="n"/>
      <c r="J1484" s="22" t="n"/>
      <c r="K1484" s="24" t="n"/>
      <c r="W1484">
        <f>IF($A2="","",COUNTIF('07_Pallet_Contents'!$A$2:$A$3000,$A2))</f>
        <v/>
      </c>
      <c r="X1484">
        <f>IF($A2="","",SUMIF('07_Pallet_Contents'!$A$2:$A$3000,$A2,'07_Pallet_Contents'!$D$2:$D$3000))</f>
        <v/>
      </c>
      <c r="Y1484">
        <f>IF($A2="","",SUMIF('07_Pallet_Contents'!$A$2:$A$3000,$A2,'07_Pallet_Contents'!$I$2:$I$3000))</f>
        <v/>
      </c>
      <c r="Z1484">
        <f>IF($A2="","",IF(COUNTIF('07_Pallet_Contents'!$A$2:$A$3000,$A2)&gt;0,"Yes",""))</f>
        <v/>
      </c>
    </row>
    <row r="1485">
      <c r="B1485" s="22" t="n"/>
      <c r="G1485" s="25" t="n"/>
      <c r="H1485" s="24">
        <f>IF(AND($F1485="TEMP",$G1485&gt;0,$M1485&lt;&gt;""),$M1485+$G1485,"")</f>
        <v/>
      </c>
      <c r="I1485" s="22" t="n"/>
      <c r="J1485" s="22" t="n"/>
      <c r="K1485" s="24" t="n"/>
      <c r="W1485">
        <f>IF($A2="","",COUNTIF('07_Pallet_Contents'!$A$2:$A$3000,$A2))</f>
        <v/>
      </c>
      <c r="X1485">
        <f>IF($A2="","",SUMIF('07_Pallet_Contents'!$A$2:$A$3000,$A2,'07_Pallet_Contents'!$D$2:$D$3000))</f>
        <v/>
      </c>
      <c r="Y1485">
        <f>IF($A2="","",SUMIF('07_Pallet_Contents'!$A$2:$A$3000,$A2,'07_Pallet_Contents'!$I$2:$I$3000))</f>
        <v/>
      </c>
      <c r="Z1485">
        <f>IF($A2="","",IF(COUNTIF('07_Pallet_Contents'!$A$2:$A$3000,$A2)&gt;0,"Yes",""))</f>
        <v/>
      </c>
    </row>
    <row r="1486">
      <c r="B1486" s="22" t="n"/>
      <c r="G1486" s="25" t="n"/>
      <c r="H1486" s="24">
        <f>IF(AND($F1486="TEMP",$G1486&gt;0,$M1486&lt;&gt;""),$M1486+$G1486,"")</f>
        <v/>
      </c>
      <c r="I1486" s="22" t="n"/>
      <c r="J1486" s="22" t="n"/>
      <c r="K1486" s="24" t="n"/>
      <c r="W1486">
        <f>IF($A2="","",COUNTIF('07_Pallet_Contents'!$A$2:$A$3000,$A2))</f>
        <v/>
      </c>
      <c r="X1486">
        <f>IF($A2="","",SUMIF('07_Pallet_Contents'!$A$2:$A$3000,$A2,'07_Pallet_Contents'!$D$2:$D$3000))</f>
        <v/>
      </c>
      <c r="Y1486">
        <f>IF($A2="","",SUMIF('07_Pallet_Contents'!$A$2:$A$3000,$A2,'07_Pallet_Contents'!$I$2:$I$3000))</f>
        <v/>
      </c>
      <c r="Z1486">
        <f>IF($A2="","",IF(COUNTIF('07_Pallet_Contents'!$A$2:$A$3000,$A2)&gt;0,"Yes",""))</f>
        <v/>
      </c>
    </row>
    <row r="1487">
      <c r="B1487" s="22" t="n"/>
      <c r="G1487" s="25" t="n"/>
      <c r="H1487" s="24">
        <f>IF(AND($F1487="TEMP",$G1487&gt;0,$M1487&lt;&gt;""),$M1487+$G1487,"")</f>
        <v/>
      </c>
      <c r="I1487" s="22" t="n"/>
      <c r="J1487" s="22" t="n"/>
      <c r="K1487" s="24" t="n"/>
      <c r="W1487">
        <f>IF($A2="","",COUNTIF('07_Pallet_Contents'!$A$2:$A$3000,$A2))</f>
        <v/>
      </c>
      <c r="X1487">
        <f>IF($A2="","",SUMIF('07_Pallet_Contents'!$A$2:$A$3000,$A2,'07_Pallet_Contents'!$D$2:$D$3000))</f>
        <v/>
      </c>
      <c r="Y1487">
        <f>IF($A2="","",SUMIF('07_Pallet_Contents'!$A$2:$A$3000,$A2,'07_Pallet_Contents'!$I$2:$I$3000))</f>
        <v/>
      </c>
      <c r="Z1487">
        <f>IF($A2="","",IF(COUNTIF('07_Pallet_Contents'!$A$2:$A$3000,$A2)&gt;0,"Yes",""))</f>
        <v/>
      </c>
    </row>
    <row r="1488">
      <c r="B1488" s="22" t="n"/>
      <c r="G1488" s="25" t="n"/>
      <c r="H1488" s="24">
        <f>IF(AND($F1488="TEMP",$G1488&gt;0,$M1488&lt;&gt;""),$M1488+$G1488,"")</f>
        <v/>
      </c>
      <c r="I1488" s="22" t="n"/>
      <c r="J1488" s="22" t="n"/>
      <c r="K1488" s="24" t="n"/>
      <c r="W1488">
        <f>IF($A2="","",COUNTIF('07_Pallet_Contents'!$A$2:$A$3000,$A2))</f>
        <v/>
      </c>
      <c r="X1488">
        <f>IF($A2="","",SUMIF('07_Pallet_Contents'!$A$2:$A$3000,$A2,'07_Pallet_Contents'!$D$2:$D$3000))</f>
        <v/>
      </c>
      <c r="Y1488">
        <f>IF($A2="","",SUMIF('07_Pallet_Contents'!$A$2:$A$3000,$A2,'07_Pallet_Contents'!$I$2:$I$3000))</f>
        <v/>
      </c>
      <c r="Z1488">
        <f>IF($A2="","",IF(COUNTIF('07_Pallet_Contents'!$A$2:$A$3000,$A2)&gt;0,"Yes",""))</f>
        <v/>
      </c>
    </row>
    <row r="1489">
      <c r="B1489" s="22" t="n"/>
      <c r="G1489" s="25" t="n"/>
      <c r="H1489" s="24">
        <f>IF(AND($F1489="TEMP",$G1489&gt;0,$M1489&lt;&gt;""),$M1489+$G1489,"")</f>
        <v/>
      </c>
      <c r="I1489" s="22" t="n"/>
      <c r="J1489" s="22" t="n"/>
      <c r="K1489" s="24" t="n"/>
      <c r="W1489">
        <f>IF($A2="","",COUNTIF('07_Pallet_Contents'!$A$2:$A$3000,$A2))</f>
        <v/>
      </c>
      <c r="X1489">
        <f>IF($A2="","",SUMIF('07_Pallet_Contents'!$A$2:$A$3000,$A2,'07_Pallet_Contents'!$D$2:$D$3000))</f>
        <v/>
      </c>
      <c r="Y1489">
        <f>IF($A2="","",SUMIF('07_Pallet_Contents'!$A$2:$A$3000,$A2,'07_Pallet_Contents'!$I$2:$I$3000))</f>
        <v/>
      </c>
      <c r="Z1489">
        <f>IF($A2="","",IF(COUNTIF('07_Pallet_Contents'!$A$2:$A$3000,$A2)&gt;0,"Yes",""))</f>
        <v/>
      </c>
    </row>
    <row r="1490">
      <c r="B1490" s="22" t="n"/>
      <c r="G1490" s="25" t="n"/>
      <c r="H1490" s="24">
        <f>IF(AND($F1490="TEMP",$G1490&gt;0,$M1490&lt;&gt;""),$M1490+$G1490,"")</f>
        <v/>
      </c>
      <c r="I1490" s="22" t="n"/>
      <c r="J1490" s="22" t="n"/>
      <c r="K1490" s="24" t="n"/>
      <c r="W1490">
        <f>IF($A2="","",COUNTIF('07_Pallet_Contents'!$A$2:$A$3000,$A2))</f>
        <v/>
      </c>
      <c r="X1490">
        <f>IF($A2="","",SUMIF('07_Pallet_Contents'!$A$2:$A$3000,$A2,'07_Pallet_Contents'!$D$2:$D$3000))</f>
        <v/>
      </c>
      <c r="Y1490">
        <f>IF($A2="","",SUMIF('07_Pallet_Contents'!$A$2:$A$3000,$A2,'07_Pallet_Contents'!$I$2:$I$3000))</f>
        <v/>
      </c>
      <c r="Z1490">
        <f>IF($A2="","",IF(COUNTIF('07_Pallet_Contents'!$A$2:$A$3000,$A2)&gt;0,"Yes",""))</f>
        <v/>
      </c>
    </row>
    <row r="1491">
      <c r="B1491" s="22" t="n"/>
      <c r="G1491" s="25" t="n"/>
      <c r="H1491" s="24">
        <f>IF(AND($F1491="TEMP",$G1491&gt;0,$M1491&lt;&gt;""),$M1491+$G1491,"")</f>
        <v/>
      </c>
      <c r="I1491" s="22" t="n"/>
      <c r="J1491" s="22" t="n"/>
      <c r="K1491" s="24" t="n"/>
      <c r="W1491">
        <f>IF($A2="","",COUNTIF('07_Pallet_Contents'!$A$2:$A$3000,$A2))</f>
        <v/>
      </c>
      <c r="X1491">
        <f>IF($A2="","",SUMIF('07_Pallet_Contents'!$A$2:$A$3000,$A2,'07_Pallet_Contents'!$D$2:$D$3000))</f>
        <v/>
      </c>
      <c r="Y1491">
        <f>IF($A2="","",SUMIF('07_Pallet_Contents'!$A$2:$A$3000,$A2,'07_Pallet_Contents'!$I$2:$I$3000))</f>
        <v/>
      </c>
      <c r="Z1491">
        <f>IF($A2="","",IF(COUNTIF('07_Pallet_Contents'!$A$2:$A$3000,$A2)&gt;0,"Yes",""))</f>
        <v/>
      </c>
    </row>
    <row r="1492">
      <c r="B1492" s="22" t="n"/>
      <c r="G1492" s="25" t="n"/>
      <c r="H1492" s="24">
        <f>IF(AND($F1492="TEMP",$G1492&gt;0,$M1492&lt;&gt;""),$M1492+$G1492,"")</f>
        <v/>
      </c>
      <c r="I1492" s="22" t="n"/>
      <c r="J1492" s="22" t="n"/>
      <c r="K1492" s="24" t="n"/>
      <c r="W1492">
        <f>IF($A2="","",COUNTIF('07_Pallet_Contents'!$A$2:$A$3000,$A2))</f>
        <v/>
      </c>
      <c r="X1492">
        <f>IF($A2="","",SUMIF('07_Pallet_Contents'!$A$2:$A$3000,$A2,'07_Pallet_Contents'!$D$2:$D$3000))</f>
        <v/>
      </c>
      <c r="Y1492">
        <f>IF($A2="","",SUMIF('07_Pallet_Contents'!$A$2:$A$3000,$A2,'07_Pallet_Contents'!$I$2:$I$3000))</f>
        <v/>
      </c>
      <c r="Z1492">
        <f>IF($A2="","",IF(COUNTIF('07_Pallet_Contents'!$A$2:$A$3000,$A2)&gt;0,"Yes",""))</f>
        <v/>
      </c>
    </row>
    <row r="1493">
      <c r="B1493" s="22" t="n"/>
      <c r="G1493" s="25" t="n"/>
      <c r="H1493" s="24">
        <f>IF(AND($F1493="TEMP",$G1493&gt;0,$M1493&lt;&gt;""),$M1493+$G1493,"")</f>
        <v/>
      </c>
      <c r="I1493" s="22" t="n"/>
      <c r="J1493" s="22" t="n"/>
      <c r="K1493" s="24" t="n"/>
      <c r="W1493">
        <f>IF($A2="","",COUNTIF('07_Pallet_Contents'!$A$2:$A$3000,$A2))</f>
        <v/>
      </c>
      <c r="X1493">
        <f>IF($A2="","",SUMIF('07_Pallet_Contents'!$A$2:$A$3000,$A2,'07_Pallet_Contents'!$D$2:$D$3000))</f>
        <v/>
      </c>
      <c r="Y1493">
        <f>IF($A2="","",SUMIF('07_Pallet_Contents'!$A$2:$A$3000,$A2,'07_Pallet_Contents'!$I$2:$I$3000))</f>
        <v/>
      </c>
      <c r="Z1493">
        <f>IF($A2="","",IF(COUNTIF('07_Pallet_Contents'!$A$2:$A$3000,$A2)&gt;0,"Yes",""))</f>
        <v/>
      </c>
    </row>
    <row r="1494">
      <c r="B1494" s="22" t="n"/>
      <c r="G1494" s="25" t="n"/>
      <c r="H1494" s="24">
        <f>IF(AND($F1494="TEMP",$G1494&gt;0,$M1494&lt;&gt;""),$M1494+$G1494,"")</f>
        <v/>
      </c>
      <c r="I1494" s="22" t="n"/>
      <c r="J1494" s="22" t="n"/>
      <c r="K1494" s="24" t="n"/>
      <c r="W1494">
        <f>IF($A2="","",COUNTIF('07_Pallet_Contents'!$A$2:$A$3000,$A2))</f>
        <v/>
      </c>
      <c r="X1494">
        <f>IF($A2="","",SUMIF('07_Pallet_Contents'!$A$2:$A$3000,$A2,'07_Pallet_Contents'!$D$2:$D$3000))</f>
        <v/>
      </c>
      <c r="Y1494">
        <f>IF($A2="","",SUMIF('07_Pallet_Contents'!$A$2:$A$3000,$A2,'07_Pallet_Contents'!$I$2:$I$3000))</f>
        <v/>
      </c>
      <c r="Z1494">
        <f>IF($A2="","",IF(COUNTIF('07_Pallet_Contents'!$A$2:$A$3000,$A2)&gt;0,"Yes",""))</f>
        <v/>
      </c>
    </row>
    <row r="1495">
      <c r="B1495" s="22" t="n"/>
      <c r="G1495" s="25" t="n"/>
      <c r="H1495" s="24">
        <f>IF(AND($F1495="TEMP",$G1495&gt;0,$M1495&lt;&gt;""),$M1495+$G1495,"")</f>
        <v/>
      </c>
      <c r="I1495" s="22" t="n"/>
      <c r="J1495" s="22" t="n"/>
      <c r="K1495" s="24" t="n"/>
      <c r="W1495">
        <f>IF($A2="","",COUNTIF('07_Pallet_Contents'!$A$2:$A$3000,$A2))</f>
        <v/>
      </c>
      <c r="X1495">
        <f>IF($A2="","",SUMIF('07_Pallet_Contents'!$A$2:$A$3000,$A2,'07_Pallet_Contents'!$D$2:$D$3000))</f>
        <v/>
      </c>
      <c r="Y1495">
        <f>IF($A2="","",SUMIF('07_Pallet_Contents'!$A$2:$A$3000,$A2,'07_Pallet_Contents'!$I$2:$I$3000))</f>
        <v/>
      </c>
      <c r="Z1495">
        <f>IF($A2="","",IF(COUNTIF('07_Pallet_Contents'!$A$2:$A$3000,$A2)&gt;0,"Yes",""))</f>
        <v/>
      </c>
    </row>
    <row r="1496">
      <c r="B1496" s="22" t="n"/>
      <c r="G1496" s="25" t="n"/>
      <c r="H1496" s="24">
        <f>IF(AND($F1496="TEMP",$G1496&gt;0,$M1496&lt;&gt;""),$M1496+$G1496,"")</f>
        <v/>
      </c>
      <c r="I1496" s="22" t="n"/>
      <c r="J1496" s="22" t="n"/>
      <c r="K1496" s="24" t="n"/>
      <c r="W1496">
        <f>IF($A2="","",COUNTIF('07_Pallet_Contents'!$A$2:$A$3000,$A2))</f>
        <v/>
      </c>
      <c r="X1496">
        <f>IF($A2="","",SUMIF('07_Pallet_Contents'!$A$2:$A$3000,$A2,'07_Pallet_Contents'!$D$2:$D$3000))</f>
        <v/>
      </c>
      <c r="Y1496">
        <f>IF($A2="","",SUMIF('07_Pallet_Contents'!$A$2:$A$3000,$A2,'07_Pallet_Contents'!$I$2:$I$3000))</f>
        <v/>
      </c>
      <c r="Z1496">
        <f>IF($A2="","",IF(COUNTIF('07_Pallet_Contents'!$A$2:$A$3000,$A2)&gt;0,"Yes",""))</f>
        <v/>
      </c>
    </row>
    <row r="1497">
      <c r="B1497" s="22" t="n"/>
      <c r="G1497" s="25" t="n"/>
      <c r="H1497" s="24">
        <f>IF(AND($F1497="TEMP",$G1497&gt;0,$M1497&lt;&gt;""),$M1497+$G1497,"")</f>
        <v/>
      </c>
      <c r="I1497" s="22" t="n"/>
      <c r="J1497" s="22" t="n"/>
      <c r="K1497" s="24" t="n"/>
      <c r="W1497">
        <f>IF($A2="","",COUNTIF('07_Pallet_Contents'!$A$2:$A$3000,$A2))</f>
        <v/>
      </c>
      <c r="X1497">
        <f>IF($A2="","",SUMIF('07_Pallet_Contents'!$A$2:$A$3000,$A2,'07_Pallet_Contents'!$D$2:$D$3000))</f>
        <v/>
      </c>
      <c r="Y1497">
        <f>IF($A2="","",SUMIF('07_Pallet_Contents'!$A$2:$A$3000,$A2,'07_Pallet_Contents'!$I$2:$I$3000))</f>
        <v/>
      </c>
      <c r="Z1497">
        <f>IF($A2="","",IF(COUNTIF('07_Pallet_Contents'!$A$2:$A$3000,$A2)&gt;0,"Yes",""))</f>
        <v/>
      </c>
    </row>
    <row r="1498">
      <c r="B1498" s="22" t="n"/>
      <c r="G1498" s="25" t="n"/>
      <c r="H1498" s="24">
        <f>IF(AND($F1498="TEMP",$G1498&gt;0,$M1498&lt;&gt;""),$M1498+$G1498,"")</f>
        <v/>
      </c>
      <c r="I1498" s="22" t="n"/>
      <c r="J1498" s="22" t="n"/>
      <c r="K1498" s="24" t="n"/>
      <c r="W1498">
        <f>IF($A2="","",COUNTIF('07_Pallet_Contents'!$A$2:$A$3000,$A2))</f>
        <v/>
      </c>
      <c r="X1498">
        <f>IF($A2="","",SUMIF('07_Pallet_Contents'!$A$2:$A$3000,$A2,'07_Pallet_Contents'!$D$2:$D$3000))</f>
        <v/>
      </c>
      <c r="Y1498">
        <f>IF($A2="","",SUMIF('07_Pallet_Contents'!$A$2:$A$3000,$A2,'07_Pallet_Contents'!$I$2:$I$3000))</f>
        <v/>
      </c>
      <c r="Z1498">
        <f>IF($A2="","",IF(COUNTIF('07_Pallet_Contents'!$A$2:$A$3000,$A2)&gt;0,"Yes",""))</f>
        <v/>
      </c>
    </row>
    <row r="1499">
      <c r="B1499" s="22" t="n"/>
      <c r="G1499" s="25" t="n"/>
      <c r="H1499" s="24">
        <f>IF(AND($F1499="TEMP",$G1499&gt;0,$M1499&lt;&gt;""),$M1499+$G1499,"")</f>
        <v/>
      </c>
      <c r="I1499" s="22" t="n"/>
      <c r="J1499" s="22" t="n"/>
      <c r="K1499" s="24" t="n"/>
      <c r="W1499">
        <f>IF($A2="","",COUNTIF('07_Pallet_Contents'!$A$2:$A$3000,$A2))</f>
        <v/>
      </c>
      <c r="X1499">
        <f>IF($A2="","",SUMIF('07_Pallet_Contents'!$A$2:$A$3000,$A2,'07_Pallet_Contents'!$D$2:$D$3000))</f>
        <v/>
      </c>
      <c r="Y1499">
        <f>IF($A2="","",SUMIF('07_Pallet_Contents'!$A$2:$A$3000,$A2,'07_Pallet_Contents'!$I$2:$I$3000))</f>
        <v/>
      </c>
      <c r="Z1499">
        <f>IF($A2="","",IF(COUNTIF('07_Pallet_Contents'!$A$2:$A$3000,$A2)&gt;0,"Yes",""))</f>
        <v/>
      </c>
    </row>
    <row r="1500">
      <c r="B1500" s="22" t="n"/>
      <c r="G1500" s="25" t="n"/>
      <c r="H1500" s="24">
        <f>IF(AND($F1500="TEMP",$G1500&gt;0,$M1500&lt;&gt;""),$M1500+$G1500,"")</f>
        <v/>
      </c>
      <c r="I1500" s="22" t="n"/>
      <c r="J1500" s="22" t="n"/>
      <c r="K1500" s="24" t="n"/>
      <c r="W1500">
        <f>IF($A2="","",COUNTIF('07_Pallet_Contents'!$A$2:$A$3000,$A2))</f>
        <v/>
      </c>
      <c r="X1500">
        <f>IF($A2="","",SUMIF('07_Pallet_Contents'!$A$2:$A$3000,$A2,'07_Pallet_Contents'!$D$2:$D$3000))</f>
        <v/>
      </c>
      <c r="Y1500">
        <f>IF($A2="","",SUMIF('07_Pallet_Contents'!$A$2:$A$3000,$A2,'07_Pallet_Contents'!$I$2:$I$3000))</f>
        <v/>
      </c>
      <c r="Z1500">
        <f>IF($A2="","",IF(COUNTIF('07_Pallet_Contents'!$A$2:$A$3000,$A2)&gt;0,"Yes",""))</f>
        <v/>
      </c>
    </row>
    <row r="1501">
      <c r="B1501" s="22" t="n"/>
      <c r="G1501" s="25" t="n"/>
      <c r="H1501" s="24">
        <f>IF(AND($F1501="TEMP",$G1501&gt;0,$M1501&lt;&gt;""),$M1501+$G1501,"")</f>
        <v/>
      </c>
      <c r="I1501" s="22" t="n"/>
      <c r="J1501" s="22" t="n"/>
      <c r="K1501" s="24" t="n"/>
      <c r="W1501">
        <f>IF($A2="","",COUNTIF('07_Pallet_Contents'!$A$2:$A$3000,$A2))</f>
        <v/>
      </c>
      <c r="X1501">
        <f>IF($A2="","",SUMIF('07_Pallet_Contents'!$A$2:$A$3000,$A2,'07_Pallet_Contents'!$D$2:$D$3000))</f>
        <v/>
      </c>
      <c r="Y1501">
        <f>IF($A2="","",SUMIF('07_Pallet_Contents'!$A$2:$A$3000,$A2,'07_Pallet_Contents'!$I$2:$I$3000))</f>
        <v/>
      </c>
      <c r="Z1501">
        <f>IF($A2="","",IF(COUNTIF('07_Pallet_Contents'!$A$2:$A$3000,$A2)&gt;0,"Yes",""))</f>
        <v/>
      </c>
    </row>
    <row r="1502">
      <c r="B1502" s="22" t="n"/>
      <c r="G1502" s="25" t="n"/>
      <c r="H1502" s="24">
        <f>IF(AND($F1502="TEMP",$G1502&gt;0,$M1502&lt;&gt;""),$M1502+$G1502,"")</f>
        <v/>
      </c>
      <c r="I1502" s="22" t="n"/>
      <c r="J1502" s="22" t="n"/>
      <c r="K1502" s="24" t="n"/>
      <c r="W1502">
        <f>IF($A2="","",COUNTIF('07_Pallet_Contents'!$A$2:$A$3000,$A2))</f>
        <v/>
      </c>
      <c r="X1502">
        <f>IF($A2="","",SUMIF('07_Pallet_Contents'!$A$2:$A$3000,$A2,'07_Pallet_Contents'!$D$2:$D$3000))</f>
        <v/>
      </c>
      <c r="Y1502">
        <f>IF($A2="","",SUMIF('07_Pallet_Contents'!$A$2:$A$3000,$A2,'07_Pallet_Contents'!$I$2:$I$3000))</f>
        <v/>
      </c>
      <c r="Z1502">
        <f>IF($A2="","",IF(COUNTIF('07_Pallet_Contents'!$A$2:$A$3000,$A2)&gt;0,"Yes",""))</f>
        <v/>
      </c>
    </row>
    <row r="1503">
      <c r="B1503" s="22" t="n"/>
      <c r="G1503" s="25" t="n"/>
      <c r="H1503" s="24">
        <f>IF(AND($F1503="TEMP",$G1503&gt;0,$M1503&lt;&gt;""),$M1503+$G1503,"")</f>
        <v/>
      </c>
      <c r="I1503" s="22" t="n"/>
      <c r="J1503" s="22" t="n"/>
      <c r="K1503" s="24" t="n"/>
      <c r="W1503">
        <f>IF($A2="","",COUNTIF('07_Pallet_Contents'!$A$2:$A$3000,$A2))</f>
        <v/>
      </c>
      <c r="X1503">
        <f>IF($A2="","",SUMIF('07_Pallet_Contents'!$A$2:$A$3000,$A2,'07_Pallet_Contents'!$D$2:$D$3000))</f>
        <v/>
      </c>
      <c r="Y1503">
        <f>IF($A2="","",SUMIF('07_Pallet_Contents'!$A$2:$A$3000,$A2,'07_Pallet_Contents'!$I$2:$I$3000))</f>
        <v/>
      </c>
      <c r="Z1503">
        <f>IF($A2="","",IF(COUNTIF('07_Pallet_Contents'!$A$2:$A$3000,$A2)&gt;0,"Yes",""))</f>
        <v/>
      </c>
    </row>
    <row r="1504">
      <c r="B1504" s="22" t="n"/>
      <c r="G1504" s="25" t="n"/>
      <c r="H1504" s="24">
        <f>IF(AND($F1504="TEMP",$G1504&gt;0,$M1504&lt;&gt;""),$M1504+$G1504,"")</f>
        <v/>
      </c>
      <c r="I1504" s="22" t="n"/>
      <c r="J1504" s="22" t="n"/>
      <c r="K1504" s="24" t="n"/>
      <c r="W1504">
        <f>IF($A2="","",COUNTIF('07_Pallet_Contents'!$A$2:$A$3000,$A2))</f>
        <v/>
      </c>
      <c r="X1504">
        <f>IF($A2="","",SUMIF('07_Pallet_Contents'!$A$2:$A$3000,$A2,'07_Pallet_Contents'!$D$2:$D$3000))</f>
        <v/>
      </c>
      <c r="Y1504">
        <f>IF($A2="","",SUMIF('07_Pallet_Contents'!$A$2:$A$3000,$A2,'07_Pallet_Contents'!$I$2:$I$3000))</f>
        <v/>
      </c>
      <c r="Z1504">
        <f>IF($A2="","",IF(COUNTIF('07_Pallet_Contents'!$A$2:$A$3000,$A2)&gt;0,"Yes",""))</f>
        <v/>
      </c>
    </row>
    <row r="1505">
      <c r="B1505" s="22" t="n"/>
      <c r="G1505" s="25" t="n"/>
      <c r="H1505" s="24">
        <f>IF(AND($F1505="TEMP",$G1505&gt;0,$M1505&lt;&gt;""),$M1505+$G1505,"")</f>
        <v/>
      </c>
      <c r="I1505" s="22" t="n"/>
      <c r="J1505" s="22" t="n"/>
      <c r="K1505" s="24" t="n"/>
      <c r="W1505">
        <f>IF($A2="","",COUNTIF('07_Pallet_Contents'!$A$2:$A$3000,$A2))</f>
        <v/>
      </c>
      <c r="X1505">
        <f>IF($A2="","",SUMIF('07_Pallet_Contents'!$A$2:$A$3000,$A2,'07_Pallet_Contents'!$D$2:$D$3000))</f>
        <v/>
      </c>
      <c r="Y1505">
        <f>IF($A2="","",SUMIF('07_Pallet_Contents'!$A$2:$A$3000,$A2,'07_Pallet_Contents'!$I$2:$I$3000))</f>
        <v/>
      </c>
      <c r="Z1505">
        <f>IF($A2="","",IF(COUNTIF('07_Pallet_Contents'!$A$2:$A$3000,$A2)&gt;0,"Yes",""))</f>
        <v/>
      </c>
    </row>
    <row r="1506">
      <c r="B1506" s="22" t="n"/>
      <c r="G1506" s="25" t="n"/>
      <c r="H1506" s="24">
        <f>IF(AND($F1506="TEMP",$G1506&gt;0,$M1506&lt;&gt;""),$M1506+$G1506,"")</f>
        <v/>
      </c>
      <c r="I1506" s="22" t="n"/>
      <c r="J1506" s="22" t="n"/>
      <c r="K1506" s="24" t="n"/>
      <c r="W1506">
        <f>IF($A2="","",COUNTIF('07_Pallet_Contents'!$A$2:$A$3000,$A2))</f>
        <v/>
      </c>
      <c r="X1506">
        <f>IF($A2="","",SUMIF('07_Pallet_Contents'!$A$2:$A$3000,$A2,'07_Pallet_Contents'!$D$2:$D$3000))</f>
        <v/>
      </c>
      <c r="Y1506">
        <f>IF($A2="","",SUMIF('07_Pallet_Contents'!$A$2:$A$3000,$A2,'07_Pallet_Contents'!$I$2:$I$3000))</f>
        <v/>
      </c>
      <c r="Z1506">
        <f>IF($A2="","",IF(COUNTIF('07_Pallet_Contents'!$A$2:$A$3000,$A2)&gt;0,"Yes",""))</f>
        <v/>
      </c>
    </row>
    <row r="1507">
      <c r="B1507" s="22" t="n"/>
      <c r="G1507" s="25" t="n"/>
      <c r="H1507" s="24">
        <f>IF(AND($F1507="TEMP",$G1507&gt;0,$M1507&lt;&gt;""),$M1507+$G1507,"")</f>
        <v/>
      </c>
      <c r="I1507" s="22" t="n"/>
      <c r="J1507" s="22" t="n"/>
      <c r="K1507" s="24" t="n"/>
      <c r="W1507">
        <f>IF($A2="","",COUNTIF('07_Pallet_Contents'!$A$2:$A$3000,$A2))</f>
        <v/>
      </c>
      <c r="X1507">
        <f>IF($A2="","",SUMIF('07_Pallet_Contents'!$A$2:$A$3000,$A2,'07_Pallet_Contents'!$D$2:$D$3000))</f>
        <v/>
      </c>
      <c r="Y1507">
        <f>IF($A2="","",SUMIF('07_Pallet_Contents'!$A$2:$A$3000,$A2,'07_Pallet_Contents'!$I$2:$I$3000))</f>
        <v/>
      </c>
      <c r="Z1507">
        <f>IF($A2="","",IF(COUNTIF('07_Pallet_Contents'!$A$2:$A$3000,$A2)&gt;0,"Yes",""))</f>
        <v/>
      </c>
    </row>
    <row r="1508">
      <c r="B1508" s="22" t="n"/>
      <c r="G1508" s="25" t="n"/>
      <c r="H1508" s="24">
        <f>IF(AND($F1508="TEMP",$G1508&gt;0,$M1508&lt;&gt;""),$M1508+$G1508,"")</f>
        <v/>
      </c>
      <c r="I1508" s="22" t="n"/>
      <c r="J1508" s="22" t="n"/>
      <c r="K1508" s="24" t="n"/>
      <c r="W1508">
        <f>IF($A2="","",COUNTIF('07_Pallet_Contents'!$A$2:$A$3000,$A2))</f>
        <v/>
      </c>
      <c r="X1508">
        <f>IF($A2="","",SUMIF('07_Pallet_Contents'!$A$2:$A$3000,$A2,'07_Pallet_Contents'!$D$2:$D$3000))</f>
        <v/>
      </c>
      <c r="Y1508">
        <f>IF($A2="","",SUMIF('07_Pallet_Contents'!$A$2:$A$3000,$A2,'07_Pallet_Contents'!$I$2:$I$3000))</f>
        <v/>
      </c>
      <c r="Z1508">
        <f>IF($A2="","",IF(COUNTIF('07_Pallet_Contents'!$A$2:$A$3000,$A2)&gt;0,"Yes",""))</f>
        <v/>
      </c>
    </row>
    <row r="1509">
      <c r="B1509" s="22" t="n"/>
      <c r="G1509" s="25" t="n"/>
      <c r="H1509" s="24">
        <f>IF(AND($F1509="TEMP",$G1509&gt;0,$M1509&lt;&gt;""),$M1509+$G1509,"")</f>
        <v/>
      </c>
      <c r="I1509" s="22" t="n"/>
      <c r="J1509" s="22" t="n"/>
      <c r="K1509" s="24" t="n"/>
      <c r="W1509">
        <f>IF($A2="","",COUNTIF('07_Pallet_Contents'!$A$2:$A$3000,$A2))</f>
        <v/>
      </c>
      <c r="X1509">
        <f>IF($A2="","",SUMIF('07_Pallet_Contents'!$A$2:$A$3000,$A2,'07_Pallet_Contents'!$D$2:$D$3000))</f>
        <v/>
      </c>
      <c r="Y1509">
        <f>IF($A2="","",SUMIF('07_Pallet_Contents'!$A$2:$A$3000,$A2,'07_Pallet_Contents'!$I$2:$I$3000))</f>
        <v/>
      </c>
      <c r="Z1509">
        <f>IF($A2="","",IF(COUNTIF('07_Pallet_Contents'!$A$2:$A$3000,$A2)&gt;0,"Yes",""))</f>
        <v/>
      </c>
    </row>
    <row r="1510">
      <c r="B1510" s="22" t="n"/>
      <c r="G1510" s="25" t="n"/>
      <c r="H1510" s="24">
        <f>IF(AND($F1510="TEMP",$G1510&gt;0,$M1510&lt;&gt;""),$M1510+$G1510,"")</f>
        <v/>
      </c>
      <c r="I1510" s="22" t="n"/>
      <c r="J1510" s="22" t="n"/>
      <c r="K1510" s="24" t="n"/>
      <c r="W1510">
        <f>IF($A2="","",COUNTIF('07_Pallet_Contents'!$A$2:$A$3000,$A2))</f>
        <v/>
      </c>
      <c r="X1510">
        <f>IF($A2="","",SUMIF('07_Pallet_Contents'!$A$2:$A$3000,$A2,'07_Pallet_Contents'!$D$2:$D$3000))</f>
        <v/>
      </c>
      <c r="Y1510">
        <f>IF($A2="","",SUMIF('07_Pallet_Contents'!$A$2:$A$3000,$A2,'07_Pallet_Contents'!$I$2:$I$3000))</f>
        <v/>
      </c>
      <c r="Z1510">
        <f>IF($A2="","",IF(COUNTIF('07_Pallet_Contents'!$A$2:$A$3000,$A2)&gt;0,"Yes",""))</f>
        <v/>
      </c>
    </row>
    <row r="1511">
      <c r="B1511" s="22" t="n"/>
      <c r="G1511" s="25" t="n"/>
      <c r="H1511" s="24">
        <f>IF(AND($F1511="TEMP",$G1511&gt;0,$M1511&lt;&gt;""),$M1511+$G1511,"")</f>
        <v/>
      </c>
      <c r="I1511" s="22" t="n"/>
      <c r="J1511" s="22" t="n"/>
      <c r="K1511" s="24" t="n"/>
      <c r="W1511">
        <f>IF($A2="","",COUNTIF('07_Pallet_Contents'!$A$2:$A$3000,$A2))</f>
        <v/>
      </c>
      <c r="X1511">
        <f>IF($A2="","",SUMIF('07_Pallet_Contents'!$A$2:$A$3000,$A2,'07_Pallet_Contents'!$D$2:$D$3000))</f>
        <v/>
      </c>
      <c r="Y1511">
        <f>IF($A2="","",SUMIF('07_Pallet_Contents'!$A$2:$A$3000,$A2,'07_Pallet_Contents'!$I$2:$I$3000))</f>
        <v/>
      </c>
      <c r="Z1511">
        <f>IF($A2="","",IF(COUNTIF('07_Pallet_Contents'!$A$2:$A$3000,$A2)&gt;0,"Yes",""))</f>
        <v/>
      </c>
    </row>
    <row r="1512">
      <c r="B1512" s="22" t="n"/>
      <c r="G1512" s="25" t="n"/>
      <c r="H1512" s="24">
        <f>IF(AND($F1512="TEMP",$G1512&gt;0,$M1512&lt;&gt;""),$M1512+$G1512,"")</f>
        <v/>
      </c>
      <c r="I1512" s="22" t="n"/>
      <c r="J1512" s="22" t="n"/>
      <c r="K1512" s="24" t="n"/>
      <c r="W1512">
        <f>IF($A2="","",COUNTIF('07_Pallet_Contents'!$A$2:$A$3000,$A2))</f>
        <v/>
      </c>
      <c r="X1512">
        <f>IF($A2="","",SUMIF('07_Pallet_Contents'!$A$2:$A$3000,$A2,'07_Pallet_Contents'!$D$2:$D$3000))</f>
        <v/>
      </c>
      <c r="Y1512">
        <f>IF($A2="","",SUMIF('07_Pallet_Contents'!$A$2:$A$3000,$A2,'07_Pallet_Contents'!$I$2:$I$3000))</f>
        <v/>
      </c>
      <c r="Z1512">
        <f>IF($A2="","",IF(COUNTIF('07_Pallet_Contents'!$A$2:$A$3000,$A2)&gt;0,"Yes",""))</f>
        <v/>
      </c>
    </row>
    <row r="1513">
      <c r="B1513" s="22" t="n"/>
      <c r="G1513" s="25" t="n"/>
      <c r="H1513" s="24">
        <f>IF(AND($F1513="TEMP",$G1513&gt;0,$M1513&lt;&gt;""),$M1513+$G1513,"")</f>
        <v/>
      </c>
      <c r="I1513" s="22" t="n"/>
      <c r="J1513" s="22" t="n"/>
      <c r="K1513" s="24" t="n"/>
      <c r="W1513">
        <f>IF($A2="","",COUNTIF('07_Pallet_Contents'!$A$2:$A$3000,$A2))</f>
        <v/>
      </c>
      <c r="X1513">
        <f>IF($A2="","",SUMIF('07_Pallet_Contents'!$A$2:$A$3000,$A2,'07_Pallet_Contents'!$D$2:$D$3000))</f>
        <v/>
      </c>
      <c r="Y1513">
        <f>IF($A2="","",SUMIF('07_Pallet_Contents'!$A$2:$A$3000,$A2,'07_Pallet_Contents'!$I$2:$I$3000))</f>
        <v/>
      </c>
      <c r="Z1513">
        <f>IF($A2="","",IF(COUNTIF('07_Pallet_Contents'!$A$2:$A$3000,$A2)&gt;0,"Yes",""))</f>
        <v/>
      </c>
    </row>
    <row r="1514">
      <c r="B1514" s="22" t="n"/>
      <c r="G1514" s="25" t="n"/>
      <c r="H1514" s="24">
        <f>IF(AND($F1514="TEMP",$G1514&gt;0,$M1514&lt;&gt;""),$M1514+$G1514,"")</f>
        <v/>
      </c>
      <c r="I1514" s="22" t="n"/>
      <c r="J1514" s="22" t="n"/>
      <c r="K1514" s="24" t="n"/>
      <c r="W1514">
        <f>IF($A2="","",COUNTIF('07_Pallet_Contents'!$A$2:$A$3000,$A2))</f>
        <v/>
      </c>
      <c r="X1514">
        <f>IF($A2="","",SUMIF('07_Pallet_Contents'!$A$2:$A$3000,$A2,'07_Pallet_Contents'!$D$2:$D$3000))</f>
        <v/>
      </c>
      <c r="Y1514">
        <f>IF($A2="","",SUMIF('07_Pallet_Contents'!$A$2:$A$3000,$A2,'07_Pallet_Contents'!$I$2:$I$3000))</f>
        <v/>
      </c>
      <c r="Z1514">
        <f>IF($A2="","",IF(COUNTIF('07_Pallet_Contents'!$A$2:$A$3000,$A2)&gt;0,"Yes",""))</f>
        <v/>
      </c>
    </row>
    <row r="1515">
      <c r="B1515" s="22" t="n"/>
      <c r="G1515" s="25" t="n"/>
      <c r="H1515" s="24">
        <f>IF(AND($F1515="TEMP",$G1515&gt;0,$M1515&lt;&gt;""),$M1515+$G1515,"")</f>
        <v/>
      </c>
      <c r="I1515" s="22" t="n"/>
      <c r="J1515" s="22" t="n"/>
      <c r="K1515" s="24" t="n"/>
      <c r="W1515">
        <f>IF($A2="","",COUNTIF('07_Pallet_Contents'!$A$2:$A$3000,$A2))</f>
        <v/>
      </c>
      <c r="X1515">
        <f>IF($A2="","",SUMIF('07_Pallet_Contents'!$A$2:$A$3000,$A2,'07_Pallet_Contents'!$D$2:$D$3000))</f>
        <v/>
      </c>
      <c r="Y1515">
        <f>IF($A2="","",SUMIF('07_Pallet_Contents'!$A$2:$A$3000,$A2,'07_Pallet_Contents'!$I$2:$I$3000))</f>
        <v/>
      </c>
      <c r="Z1515">
        <f>IF($A2="","",IF(COUNTIF('07_Pallet_Contents'!$A$2:$A$3000,$A2)&gt;0,"Yes",""))</f>
        <v/>
      </c>
    </row>
    <row r="1516">
      <c r="B1516" s="22" t="n"/>
      <c r="G1516" s="25" t="n"/>
      <c r="H1516" s="24">
        <f>IF(AND($F1516="TEMP",$G1516&gt;0,$M1516&lt;&gt;""),$M1516+$G1516,"")</f>
        <v/>
      </c>
      <c r="I1516" s="22" t="n"/>
      <c r="J1516" s="22" t="n"/>
      <c r="K1516" s="24" t="n"/>
      <c r="W1516">
        <f>IF($A2="","",COUNTIF('07_Pallet_Contents'!$A$2:$A$3000,$A2))</f>
        <v/>
      </c>
      <c r="X1516">
        <f>IF($A2="","",SUMIF('07_Pallet_Contents'!$A$2:$A$3000,$A2,'07_Pallet_Contents'!$D$2:$D$3000))</f>
        <v/>
      </c>
      <c r="Y1516">
        <f>IF($A2="","",SUMIF('07_Pallet_Contents'!$A$2:$A$3000,$A2,'07_Pallet_Contents'!$I$2:$I$3000))</f>
        <v/>
      </c>
      <c r="Z1516">
        <f>IF($A2="","",IF(COUNTIF('07_Pallet_Contents'!$A$2:$A$3000,$A2)&gt;0,"Yes",""))</f>
        <v/>
      </c>
    </row>
    <row r="1517">
      <c r="B1517" s="22" t="n"/>
      <c r="G1517" s="25" t="n"/>
      <c r="H1517" s="24">
        <f>IF(AND($F1517="TEMP",$G1517&gt;0,$M1517&lt;&gt;""),$M1517+$G1517,"")</f>
        <v/>
      </c>
      <c r="I1517" s="22" t="n"/>
      <c r="J1517" s="22" t="n"/>
      <c r="K1517" s="24" t="n"/>
      <c r="W1517">
        <f>IF($A2="","",COUNTIF('07_Pallet_Contents'!$A$2:$A$3000,$A2))</f>
        <v/>
      </c>
      <c r="X1517">
        <f>IF($A2="","",SUMIF('07_Pallet_Contents'!$A$2:$A$3000,$A2,'07_Pallet_Contents'!$D$2:$D$3000))</f>
        <v/>
      </c>
      <c r="Y1517">
        <f>IF($A2="","",SUMIF('07_Pallet_Contents'!$A$2:$A$3000,$A2,'07_Pallet_Contents'!$I$2:$I$3000))</f>
        <v/>
      </c>
      <c r="Z1517">
        <f>IF($A2="","",IF(COUNTIF('07_Pallet_Contents'!$A$2:$A$3000,$A2)&gt;0,"Yes",""))</f>
        <v/>
      </c>
    </row>
    <row r="1518">
      <c r="B1518" s="22" t="n"/>
      <c r="G1518" s="25" t="n"/>
      <c r="H1518" s="24">
        <f>IF(AND($F1518="TEMP",$G1518&gt;0,$M1518&lt;&gt;""),$M1518+$G1518,"")</f>
        <v/>
      </c>
      <c r="I1518" s="22" t="n"/>
      <c r="J1518" s="22" t="n"/>
      <c r="K1518" s="24" t="n"/>
      <c r="W1518">
        <f>IF($A2="","",COUNTIF('07_Pallet_Contents'!$A$2:$A$3000,$A2))</f>
        <v/>
      </c>
      <c r="X1518">
        <f>IF($A2="","",SUMIF('07_Pallet_Contents'!$A$2:$A$3000,$A2,'07_Pallet_Contents'!$D$2:$D$3000))</f>
        <v/>
      </c>
      <c r="Y1518">
        <f>IF($A2="","",SUMIF('07_Pallet_Contents'!$A$2:$A$3000,$A2,'07_Pallet_Contents'!$I$2:$I$3000))</f>
        <v/>
      </c>
      <c r="Z1518">
        <f>IF($A2="","",IF(COUNTIF('07_Pallet_Contents'!$A$2:$A$3000,$A2)&gt;0,"Yes",""))</f>
        <v/>
      </c>
    </row>
    <row r="1519">
      <c r="B1519" s="22" t="n"/>
      <c r="G1519" s="25" t="n"/>
      <c r="H1519" s="24">
        <f>IF(AND($F1519="TEMP",$G1519&gt;0,$M1519&lt;&gt;""),$M1519+$G1519,"")</f>
        <v/>
      </c>
      <c r="I1519" s="22" t="n"/>
      <c r="J1519" s="22" t="n"/>
      <c r="K1519" s="24" t="n"/>
      <c r="W1519">
        <f>IF($A2="","",COUNTIF('07_Pallet_Contents'!$A$2:$A$3000,$A2))</f>
        <v/>
      </c>
      <c r="X1519">
        <f>IF($A2="","",SUMIF('07_Pallet_Contents'!$A$2:$A$3000,$A2,'07_Pallet_Contents'!$D$2:$D$3000))</f>
        <v/>
      </c>
      <c r="Y1519">
        <f>IF($A2="","",SUMIF('07_Pallet_Contents'!$A$2:$A$3000,$A2,'07_Pallet_Contents'!$I$2:$I$3000))</f>
        <v/>
      </c>
      <c r="Z1519">
        <f>IF($A2="","",IF(COUNTIF('07_Pallet_Contents'!$A$2:$A$3000,$A2)&gt;0,"Yes",""))</f>
        <v/>
      </c>
    </row>
    <row r="1520">
      <c r="B1520" s="22" t="n"/>
      <c r="G1520" s="25" t="n"/>
      <c r="H1520" s="24">
        <f>IF(AND($F1520="TEMP",$G1520&gt;0,$M1520&lt;&gt;""),$M1520+$G1520,"")</f>
        <v/>
      </c>
      <c r="I1520" s="22" t="n"/>
      <c r="J1520" s="22" t="n"/>
      <c r="K1520" s="24" t="n"/>
      <c r="W1520">
        <f>IF($A2="","",COUNTIF('07_Pallet_Contents'!$A$2:$A$3000,$A2))</f>
        <v/>
      </c>
      <c r="X1520">
        <f>IF($A2="","",SUMIF('07_Pallet_Contents'!$A$2:$A$3000,$A2,'07_Pallet_Contents'!$D$2:$D$3000))</f>
        <v/>
      </c>
      <c r="Y1520">
        <f>IF($A2="","",SUMIF('07_Pallet_Contents'!$A$2:$A$3000,$A2,'07_Pallet_Contents'!$I$2:$I$3000))</f>
        <v/>
      </c>
      <c r="Z1520">
        <f>IF($A2="","",IF(COUNTIF('07_Pallet_Contents'!$A$2:$A$3000,$A2)&gt;0,"Yes",""))</f>
        <v/>
      </c>
    </row>
    <row r="1521">
      <c r="B1521" s="22" t="n"/>
      <c r="G1521" s="25" t="n"/>
      <c r="H1521" s="24">
        <f>IF(AND($F1521="TEMP",$G1521&gt;0,$M1521&lt;&gt;""),$M1521+$G1521,"")</f>
        <v/>
      </c>
      <c r="I1521" s="22" t="n"/>
      <c r="J1521" s="22" t="n"/>
      <c r="K1521" s="24" t="n"/>
      <c r="W1521">
        <f>IF($A2="","",COUNTIF('07_Pallet_Contents'!$A$2:$A$3000,$A2))</f>
        <v/>
      </c>
      <c r="X1521">
        <f>IF($A2="","",SUMIF('07_Pallet_Contents'!$A$2:$A$3000,$A2,'07_Pallet_Contents'!$D$2:$D$3000))</f>
        <v/>
      </c>
      <c r="Y1521">
        <f>IF($A2="","",SUMIF('07_Pallet_Contents'!$A$2:$A$3000,$A2,'07_Pallet_Contents'!$I$2:$I$3000))</f>
        <v/>
      </c>
      <c r="Z1521">
        <f>IF($A2="","",IF(COUNTIF('07_Pallet_Contents'!$A$2:$A$3000,$A2)&gt;0,"Yes",""))</f>
        <v/>
      </c>
    </row>
    <row r="1522">
      <c r="B1522" s="22" t="n"/>
      <c r="G1522" s="25" t="n"/>
      <c r="H1522" s="24">
        <f>IF(AND($F1522="TEMP",$G1522&gt;0,$M1522&lt;&gt;""),$M1522+$G1522,"")</f>
        <v/>
      </c>
      <c r="I1522" s="22" t="n"/>
      <c r="J1522" s="22" t="n"/>
      <c r="K1522" s="24" t="n"/>
      <c r="W1522">
        <f>IF($A2="","",COUNTIF('07_Pallet_Contents'!$A$2:$A$3000,$A2))</f>
        <v/>
      </c>
      <c r="X1522">
        <f>IF($A2="","",SUMIF('07_Pallet_Contents'!$A$2:$A$3000,$A2,'07_Pallet_Contents'!$D$2:$D$3000))</f>
        <v/>
      </c>
      <c r="Y1522">
        <f>IF($A2="","",SUMIF('07_Pallet_Contents'!$A$2:$A$3000,$A2,'07_Pallet_Contents'!$I$2:$I$3000))</f>
        <v/>
      </c>
      <c r="Z1522">
        <f>IF($A2="","",IF(COUNTIF('07_Pallet_Contents'!$A$2:$A$3000,$A2)&gt;0,"Yes",""))</f>
        <v/>
      </c>
    </row>
    <row r="1523">
      <c r="B1523" s="22" t="n"/>
      <c r="G1523" s="25" t="n"/>
      <c r="H1523" s="24">
        <f>IF(AND($F1523="TEMP",$G1523&gt;0,$M1523&lt;&gt;""),$M1523+$G1523,"")</f>
        <v/>
      </c>
      <c r="I1523" s="22" t="n"/>
      <c r="J1523" s="22" t="n"/>
      <c r="K1523" s="24" t="n"/>
      <c r="W1523">
        <f>IF($A2="","",COUNTIF('07_Pallet_Contents'!$A$2:$A$3000,$A2))</f>
        <v/>
      </c>
      <c r="X1523">
        <f>IF($A2="","",SUMIF('07_Pallet_Contents'!$A$2:$A$3000,$A2,'07_Pallet_Contents'!$D$2:$D$3000))</f>
        <v/>
      </c>
      <c r="Y1523">
        <f>IF($A2="","",SUMIF('07_Pallet_Contents'!$A$2:$A$3000,$A2,'07_Pallet_Contents'!$I$2:$I$3000))</f>
        <v/>
      </c>
      <c r="Z1523">
        <f>IF($A2="","",IF(COUNTIF('07_Pallet_Contents'!$A$2:$A$3000,$A2)&gt;0,"Yes",""))</f>
        <v/>
      </c>
    </row>
    <row r="1524">
      <c r="B1524" s="22" t="n"/>
      <c r="G1524" s="25" t="n"/>
      <c r="H1524" s="24">
        <f>IF(AND($F1524="TEMP",$G1524&gt;0,$M1524&lt;&gt;""),$M1524+$G1524,"")</f>
        <v/>
      </c>
      <c r="I1524" s="22" t="n"/>
      <c r="J1524" s="22" t="n"/>
      <c r="K1524" s="24" t="n"/>
      <c r="W1524">
        <f>IF($A2="","",COUNTIF('07_Pallet_Contents'!$A$2:$A$3000,$A2))</f>
        <v/>
      </c>
      <c r="X1524">
        <f>IF($A2="","",SUMIF('07_Pallet_Contents'!$A$2:$A$3000,$A2,'07_Pallet_Contents'!$D$2:$D$3000))</f>
        <v/>
      </c>
      <c r="Y1524">
        <f>IF($A2="","",SUMIF('07_Pallet_Contents'!$A$2:$A$3000,$A2,'07_Pallet_Contents'!$I$2:$I$3000))</f>
        <v/>
      </c>
      <c r="Z1524">
        <f>IF($A2="","",IF(COUNTIF('07_Pallet_Contents'!$A$2:$A$3000,$A2)&gt;0,"Yes",""))</f>
        <v/>
      </c>
    </row>
    <row r="1525">
      <c r="B1525" s="22" t="n"/>
      <c r="G1525" s="25" t="n"/>
      <c r="H1525" s="24">
        <f>IF(AND($F1525="TEMP",$G1525&gt;0,$M1525&lt;&gt;""),$M1525+$G1525,"")</f>
        <v/>
      </c>
      <c r="I1525" s="22" t="n"/>
      <c r="J1525" s="22" t="n"/>
      <c r="K1525" s="24" t="n"/>
      <c r="W1525">
        <f>IF($A2="","",COUNTIF('07_Pallet_Contents'!$A$2:$A$3000,$A2))</f>
        <v/>
      </c>
      <c r="X1525">
        <f>IF($A2="","",SUMIF('07_Pallet_Contents'!$A$2:$A$3000,$A2,'07_Pallet_Contents'!$D$2:$D$3000))</f>
        <v/>
      </c>
      <c r="Y1525">
        <f>IF($A2="","",SUMIF('07_Pallet_Contents'!$A$2:$A$3000,$A2,'07_Pallet_Contents'!$I$2:$I$3000))</f>
        <v/>
      </c>
      <c r="Z1525">
        <f>IF($A2="","",IF(COUNTIF('07_Pallet_Contents'!$A$2:$A$3000,$A2)&gt;0,"Yes",""))</f>
        <v/>
      </c>
    </row>
    <row r="1526">
      <c r="B1526" s="22" t="n"/>
      <c r="G1526" s="25" t="n"/>
      <c r="H1526" s="24">
        <f>IF(AND($F1526="TEMP",$G1526&gt;0,$M1526&lt;&gt;""),$M1526+$G1526,"")</f>
        <v/>
      </c>
      <c r="I1526" s="22" t="n"/>
      <c r="J1526" s="22" t="n"/>
      <c r="K1526" s="24" t="n"/>
      <c r="W1526">
        <f>IF($A2="","",COUNTIF('07_Pallet_Contents'!$A$2:$A$3000,$A2))</f>
        <v/>
      </c>
      <c r="X1526">
        <f>IF($A2="","",SUMIF('07_Pallet_Contents'!$A$2:$A$3000,$A2,'07_Pallet_Contents'!$D$2:$D$3000))</f>
        <v/>
      </c>
      <c r="Y1526">
        <f>IF($A2="","",SUMIF('07_Pallet_Contents'!$A$2:$A$3000,$A2,'07_Pallet_Contents'!$I$2:$I$3000))</f>
        <v/>
      </c>
      <c r="Z1526">
        <f>IF($A2="","",IF(COUNTIF('07_Pallet_Contents'!$A$2:$A$3000,$A2)&gt;0,"Yes",""))</f>
        <v/>
      </c>
    </row>
    <row r="1527">
      <c r="B1527" s="22" t="n"/>
      <c r="G1527" s="25" t="n"/>
      <c r="H1527" s="24">
        <f>IF(AND($F1527="TEMP",$G1527&gt;0,$M1527&lt;&gt;""),$M1527+$G1527,"")</f>
        <v/>
      </c>
      <c r="I1527" s="22" t="n"/>
      <c r="J1527" s="22" t="n"/>
      <c r="K1527" s="24" t="n"/>
      <c r="W1527">
        <f>IF($A2="","",COUNTIF('07_Pallet_Contents'!$A$2:$A$3000,$A2))</f>
        <v/>
      </c>
      <c r="X1527">
        <f>IF($A2="","",SUMIF('07_Pallet_Contents'!$A$2:$A$3000,$A2,'07_Pallet_Contents'!$D$2:$D$3000))</f>
        <v/>
      </c>
      <c r="Y1527">
        <f>IF($A2="","",SUMIF('07_Pallet_Contents'!$A$2:$A$3000,$A2,'07_Pallet_Contents'!$I$2:$I$3000))</f>
        <v/>
      </c>
      <c r="Z1527">
        <f>IF($A2="","",IF(COUNTIF('07_Pallet_Contents'!$A$2:$A$3000,$A2)&gt;0,"Yes",""))</f>
        <v/>
      </c>
    </row>
    <row r="1528">
      <c r="B1528" s="22" t="n"/>
      <c r="G1528" s="25" t="n"/>
      <c r="H1528" s="24">
        <f>IF(AND($F1528="TEMP",$G1528&gt;0,$M1528&lt;&gt;""),$M1528+$G1528,"")</f>
        <v/>
      </c>
      <c r="I1528" s="22" t="n"/>
      <c r="J1528" s="22" t="n"/>
      <c r="K1528" s="24" t="n"/>
      <c r="W1528">
        <f>IF($A2="","",COUNTIF('07_Pallet_Contents'!$A$2:$A$3000,$A2))</f>
        <v/>
      </c>
      <c r="X1528">
        <f>IF($A2="","",SUMIF('07_Pallet_Contents'!$A$2:$A$3000,$A2,'07_Pallet_Contents'!$D$2:$D$3000))</f>
        <v/>
      </c>
      <c r="Y1528">
        <f>IF($A2="","",SUMIF('07_Pallet_Contents'!$A$2:$A$3000,$A2,'07_Pallet_Contents'!$I$2:$I$3000))</f>
        <v/>
      </c>
      <c r="Z1528">
        <f>IF($A2="","",IF(COUNTIF('07_Pallet_Contents'!$A$2:$A$3000,$A2)&gt;0,"Yes",""))</f>
        <v/>
      </c>
    </row>
    <row r="1529">
      <c r="B1529" s="22" t="n"/>
      <c r="G1529" s="25" t="n"/>
      <c r="H1529" s="24">
        <f>IF(AND($F1529="TEMP",$G1529&gt;0,$M1529&lt;&gt;""),$M1529+$G1529,"")</f>
        <v/>
      </c>
      <c r="I1529" s="22" t="n"/>
      <c r="J1529" s="22" t="n"/>
      <c r="K1529" s="24" t="n"/>
      <c r="W1529">
        <f>IF($A2="","",COUNTIF('07_Pallet_Contents'!$A$2:$A$3000,$A2))</f>
        <v/>
      </c>
      <c r="X1529">
        <f>IF($A2="","",SUMIF('07_Pallet_Contents'!$A$2:$A$3000,$A2,'07_Pallet_Contents'!$D$2:$D$3000))</f>
        <v/>
      </c>
      <c r="Y1529">
        <f>IF($A2="","",SUMIF('07_Pallet_Contents'!$A$2:$A$3000,$A2,'07_Pallet_Contents'!$I$2:$I$3000))</f>
        <v/>
      </c>
      <c r="Z1529">
        <f>IF($A2="","",IF(COUNTIF('07_Pallet_Contents'!$A$2:$A$3000,$A2)&gt;0,"Yes",""))</f>
        <v/>
      </c>
    </row>
    <row r="1530">
      <c r="B1530" s="22" t="n"/>
      <c r="G1530" s="25" t="n"/>
      <c r="H1530" s="24">
        <f>IF(AND($F1530="TEMP",$G1530&gt;0,$M1530&lt;&gt;""),$M1530+$G1530,"")</f>
        <v/>
      </c>
      <c r="I1530" s="22" t="n"/>
      <c r="J1530" s="22" t="n"/>
      <c r="K1530" s="24" t="n"/>
      <c r="W1530">
        <f>IF($A2="","",COUNTIF('07_Pallet_Contents'!$A$2:$A$3000,$A2))</f>
        <v/>
      </c>
      <c r="X1530">
        <f>IF($A2="","",SUMIF('07_Pallet_Contents'!$A$2:$A$3000,$A2,'07_Pallet_Contents'!$D$2:$D$3000))</f>
        <v/>
      </c>
      <c r="Y1530">
        <f>IF($A2="","",SUMIF('07_Pallet_Contents'!$A$2:$A$3000,$A2,'07_Pallet_Contents'!$I$2:$I$3000))</f>
        <v/>
      </c>
      <c r="Z1530">
        <f>IF($A2="","",IF(COUNTIF('07_Pallet_Contents'!$A$2:$A$3000,$A2)&gt;0,"Yes",""))</f>
        <v/>
      </c>
    </row>
    <row r="1531">
      <c r="B1531" s="22" t="n"/>
      <c r="G1531" s="25" t="n"/>
      <c r="H1531" s="24">
        <f>IF(AND($F1531="TEMP",$G1531&gt;0,$M1531&lt;&gt;""),$M1531+$G1531,"")</f>
        <v/>
      </c>
      <c r="I1531" s="22" t="n"/>
      <c r="J1531" s="22" t="n"/>
      <c r="K1531" s="24" t="n"/>
      <c r="W1531">
        <f>IF($A2="","",COUNTIF('07_Pallet_Contents'!$A$2:$A$3000,$A2))</f>
        <v/>
      </c>
      <c r="X1531">
        <f>IF($A2="","",SUMIF('07_Pallet_Contents'!$A$2:$A$3000,$A2,'07_Pallet_Contents'!$D$2:$D$3000))</f>
        <v/>
      </c>
      <c r="Y1531">
        <f>IF($A2="","",SUMIF('07_Pallet_Contents'!$A$2:$A$3000,$A2,'07_Pallet_Contents'!$I$2:$I$3000))</f>
        <v/>
      </c>
      <c r="Z1531">
        <f>IF($A2="","",IF(COUNTIF('07_Pallet_Contents'!$A$2:$A$3000,$A2)&gt;0,"Yes",""))</f>
        <v/>
      </c>
    </row>
    <row r="1532">
      <c r="B1532" s="22" t="n"/>
      <c r="G1532" s="25" t="n"/>
      <c r="H1532" s="24">
        <f>IF(AND($F1532="TEMP",$G1532&gt;0,$M1532&lt;&gt;""),$M1532+$G1532,"")</f>
        <v/>
      </c>
      <c r="I1532" s="22" t="n"/>
      <c r="J1532" s="22" t="n"/>
      <c r="K1532" s="24" t="n"/>
      <c r="W1532">
        <f>IF($A2="","",COUNTIF('07_Pallet_Contents'!$A$2:$A$3000,$A2))</f>
        <v/>
      </c>
      <c r="X1532">
        <f>IF($A2="","",SUMIF('07_Pallet_Contents'!$A$2:$A$3000,$A2,'07_Pallet_Contents'!$D$2:$D$3000))</f>
        <v/>
      </c>
      <c r="Y1532">
        <f>IF($A2="","",SUMIF('07_Pallet_Contents'!$A$2:$A$3000,$A2,'07_Pallet_Contents'!$I$2:$I$3000))</f>
        <v/>
      </c>
      <c r="Z1532">
        <f>IF($A2="","",IF(COUNTIF('07_Pallet_Contents'!$A$2:$A$3000,$A2)&gt;0,"Yes",""))</f>
        <v/>
      </c>
    </row>
    <row r="1533">
      <c r="B1533" s="22" t="n"/>
      <c r="G1533" s="25" t="n"/>
      <c r="H1533" s="24">
        <f>IF(AND($F1533="TEMP",$G1533&gt;0,$M1533&lt;&gt;""),$M1533+$G1533,"")</f>
        <v/>
      </c>
      <c r="I1533" s="22" t="n"/>
      <c r="J1533" s="22" t="n"/>
      <c r="K1533" s="24" t="n"/>
      <c r="W1533">
        <f>IF($A2="","",COUNTIF('07_Pallet_Contents'!$A$2:$A$3000,$A2))</f>
        <v/>
      </c>
      <c r="X1533">
        <f>IF($A2="","",SUMIF('07_Pallet_Contents'!$A$2:$A$3000,$A2,'07_Pallet_Contents'!$D$2:$D$3000))</f>
        <v/>
      </c>
      <c r="Y1533">
        <f>IF($A2="","",SUMIF('07_Pallet_Contents'!$A$2:$A$3000,$A2,'07_Pallet_Contents'!$I$2:$I$3000))</f>
        <v/>
      </c>
      <c r="Z1533">
        <f>IF($A2="","",IF(COUNTIF('07_Pallet_Contents'!$A$2:$A$3000,$A2)&gt;0,"Yes",""))</f>
        <v/>
      </c>
    </row>
    <row r="1534">
      <c r="B1534" s="22" t="n"/>
      <c r="G1534" s="25" t="n"/>
      <c r="H1534" s="24">
        <f>IF(AND($F1534="TEMP",$G1534&gt;0,$M1534&lt;&gt;""),$M1534+$G1534,"")</f>
        <v/>
      </c>
      <c r="I1534" s="22" t="n"/>
      <c r="J1534" s="22" t="n"/>
      <c r="K1534" s="24" t="n"/>
      <c r="W1534">
        <f>IF($A2="","",COUNTIF('07_Pallet_Contents'!$A$2:$A$3000,$A2))</f>
        <v/>
      </c>
      <c r="X1534">
        <f>IF($A2="","",SUMIF('07_Pallet_Contents'!$A$2:$A$3000,$A2,'07_Pallet_Contents'!$D$2:$D$3000))</f>
        <v/>
      </c>
      <c r="Y1534">
        <f>IF($A2="","",SUMIF('07_Pallet_Contents'!$A$2:$A$3000,$A2,'07_Pallet_Contents'!$I$2:$I$3000))</f>
        <v/>
      </c>
      <c r="Z1534">
        <f>IF($A2="","",IF(COUNTIF('07_Pallet_Contents'!$A$2:$A$3000,$A2)&gt;0,"Yes",""))</f>
        <v/>
      </c>
    </row>
    <row r="1535">
      <c r="B1535" s="22" t="n"/>
      <c r="G1535" s="25" t="n"/>
      <c r="H1535" s="24">
        <f>IF(AND($F1535="TEMP",$G1535&gt;0,$M1535&lt;&gt;""),$M1535+$G1535,"")</f>
        <v/>
      </c>
      <c r="I1535" s="22" t="n"/>
      <c r="J1535" s="22" t="n"/>
      <c r="K1535" s="24" t="n"/>
      <c r="W1535">
        <f>IF($A2="","",COUNTIF('07_Pallet_Contents'!$A$2:$A$3000,$A2))</f>
        <v/>
      </c>
      <c r="X1535">
        <f>IF($A2="","",SUMIF('07_Pallet_Contents'!$A$2:$A$3000,$A2,'07_Pallet_Contents'!$D$2:$D$3000))</f>
        <v/>
      </c>
      <c r="Y1535">
        <f>IF($A2="","",SUMIF('07_Pallet_Contents'!$A$2:$A$3000,$A2,'07_Pallet_Contents'!$I$2:$I$3000))</f>
        <v/>
      </c>
      <c r="Z1535">
        <f>IF($A2="","",IF(COUNTIF('07_Pallet_Contents'!$A$2:$A$3000,$A2)&gt;0,"Yes",""))</f>
        <v/>
      </c>
    </row>
    <row r="1536">
      <c r="B1536" s="22" t="n"/>
      <c r="G1536" s="25" t="n"/>
      <c r="H1536" s="24">
        <f>IF(AND($F1536="TEMP",$G1536&gt;0,$M1536&lt;&gt;""),$M1536+$G1536,"")</f>
        <v/>
      </c>
      <c r="I1536" s="22" t="n"/>
      <c r="J1536" s="22" t="n"/>
      <c r="K1536" s="24" t="n"/>
      <c r="W1536">
        <f>IF($A2="","",COUNTIF('07_Pallet_Contents'!$A$2:$A$3000,$A2))</f>
        <v/>
      </c>
      <c r="X1536">
        <f>IF($A2="","",SUMIF('07_Pallet_Contents'!$A$2:$A$3000,$A2,'07_Pallet_Contents'!$D$2:$D$3000))</f>
        <v/>
      </c>
      <c r="Y1536">
        <f>IF($A2="","",SUMIF('07_Pallet_Contents'!$A$2:$A$3000,$A2,'07_Pallet_Contents'!$I$2:$I$3000))</f>
        <v/>
      </c>
      <c r="Z1536">
        <f>IF($A2="","",IF(COUNTIF('07_Pallet_Contents'!$A$2:$A$3000,$A2)&gt;0,"Yes",""))</f>
        <v/>
      </c>
    </row>
    <row r="1537">
      <c r="B1537" s="22" t="n"/>
      <c r="G1537" s="25" t="n"/>
      <c r="H1537" s="24">
        <f>IF(AND($F1537="TEMP",$G1537&gt;0,$M1537&lt;&gt;""),$M1537+$G1537,"")</f>
        <v/>
      </c>
      <c r="I1537" s="22" t="n"/>
      <c r="J1537" s="22" t="n"/>
      <c r="K1537" s="24" t="n"/>
      <c r="W1537">
        <f>IF($A2="","",COUNTIF('07_Pallet_Contents'!$A$2:$A$3000,$A2))</f>
        <v/>
      </c>
      <c r="X1537">
        <f>IF($A2="","",SUMIF('07_Pallet_Contents'!$A$2:$A$3000,$A2,'07_Pallet_Contents'!$D$2:$D$3000))</f>
        <v/>
      </c>
      <c r="Y1537">
        <f>IF($A2="","",SUMIF('07_Pallet_Contents'!$A$2:$A$3000,$A2,'07_Pallet_Contents'!$I$2:$I$3000))</f>
        <v/>
      </c>
      <c r="Z1537">
        <f>IF($A2="","",IF(COUNTIF('07_Pallet_Contents'!$A$2:$A$3000,$A2)&gt;0,"Yes",""))</f>
        <v/>
      </c>
    </row>
    <row r="1538">
      <c r="B1538" s="22" t="n"/>
      <c r="G1538" s="25" t="n"/>
      <c r="H1538" s="24">
        <f>IF(AND($F1538="TEMP",$G1538&gt;0,$M1538&lt;&gt;""),$M1538+$G1538,"")</f>
        <v/>
      </c>
      <c r="I1538" s="22" t="n"/>
      <c r="J1538" s="22" t="n"/>
      <c r="K1538" s="24" t="n"/>
      <c r="W1538">
        <f>IF($A2="","",COUNTIF('07_Pallet_Contents'!$A$2:$A$3000,$A2))</f>
        <v/>
      </c>
      <c r="X1538">
        <f>IF($A2="","",SUMIF('07_Pallet_Contents'!$A$2:$A$3000,$A2,'07_Pallet_Contents'!$D$2:$D$3000))</f>
        <v/>
      </c>
      <c r="Y1538">
        <f>IF($A2="","",SUMIF('07_Pallet_Contents'!$A$2:$A$3000,$A2,'07_Pallet_Contents'!$I$2:$I$3000))</f>
        <v/>
      </c>
      <c r="Z1538">
        <f>IF($A2="","",IF(COUNTIF('07_Pallet_Contents'!$A$2:$A$3000,$A2)&gt;0,"Yes",""))</f>
        <v/>
      </c>
    </row>
    <row r="1539">
      <c r="B1539" s="22" t="n"/>
      <c r="G1539" s="25" t="n"/>
      <c r="H1539" s="24">
        <f>IF(AND($F1539="TEMP",$G1539&gt;0,$M1539&lt;&gt;""),$M1539+$G1539,"")</f>
        <v/>
      </c>
      <c r="I1539" s="22" t="n"/>
      <c r="J1539" s="22" t="n"/>
      <c r="K1539" s="24" t="n"/>
      <c r="W1539">
        <f>IF($A2="","",COUNTIF('07_Pallet_Contents'!$A$2:$A$3000,$A2))</f>
        <v/>
      </c>
      <c r="X1539">
        <f>IF($A2="","",SUMIF('07_Pallet_Contents'!$A$2:$A$3000,$A2,'07_Pallet_Contents'!$D$2:$D$3000))</f>
        <v/>
      </c>
      <c r="Y1539">
        <f>IF($A2="","",SUMIF('07_Pallet_Contents'!$A$2:$A$3000,$A2,'07_Pallet_Contents'!$I$2:$I$3000))</f>
        <v/>
      </c>
      <c r="Z1539">
        <f>IF($A2="","",IF(COUNTIF('07_Pallet_Contents'!$A$2:$A$3000,$A2)&gt;0,"Yes",""))</f>
        <v/>
      </c>
    </row>
    <row r="1540">
      <c r="B1540" s="22" t="n"/>
      <c r="G1540" s="25" t="n"/>
      <c r="H1540" s="24">
        <f>IF(AND($F1540="TEMP",$G1540&gt;0,$M1540&lt;&gt;""),$M1540+$G1540,"")</f>
        <v/>
      </c>
      <c r="I1540" s="22" t="n"/>
      <c r="J1540" s="22" t="n"/>
      <c r="K1540" s="24" t="n"/>
      <c r="W1540">
        <f>IF($A2="","",COUNTIF('07_Pallet_Contents'!$A$2:$A$3000,$A2))</f>
        <v/>
      </c>
      <c r="X1540">
        <f>IF($A2="","",SUMIF('07_Pallet_Contents'!$A$2:$A$3000,$A2,'07_Pallet_Contents'!$D$2:$D$3000))</f>
        <v/>
      </c>
      <c r="Y1540">
        <f>IF($A2="","",SUMIF('07_Pallet_Contents'!$A$2:$A$3000,$A2,'07_Pallet_Contents'!$I$2:$I$3000))</f>
        <v/>
      </c>
      <c r="Z1540">
        <f>IF($A2="","",IF(COUNTIF('07_Pallet_Contents'!$A$2:$A$3000,$A2)&gt;0,"Yes",""))</f>
        <v/>
      </c>
    </row>
    <row r="1541">
      <c r="B1541" s="22" t="n"/>
      <c r="G1541" s="25" t="n"/>
      <c r="H1541" s="24">
        <f>IF(AND($F1541="TEMP",$G1541&gt;0,$M1541&lt;&gt;""),$M1541+$G1541,"")</f>
        <v/>
      </c>
      <c r="I1541" s="22" t="n"/>
      <c r="J1541" s="22" t="n"/>
      <c r="K1541" s="24" t="n"/>
      <c r="W1541">
        <f>IF($A2="","",COUNTIF('07_Pallet_Contents'!$A$2:$A$3000,$A2))</f>
        <v/>
      </c>
      <c r="X1541">
        <f>IF($A2="","",SUMIF('07_Pallet_Contents'!$A$2:$A$3000,$A2,'07_Pallet_Contents'!$D$2:$D$3000))</f>
        <v/>
      </c>
      <c r="Y1541">
        <f>IF($A2="","",SUMIF('07_Pallet_Contents'!$A$2:$A$3000,$A2,'07_Pallet_Contents'!$I$2:$I$3000))</f>
        <v/>
      </c>
      <c r="Z1541">
        <f>IF($A2="","",IF(COUNTIF('07_Pallet_Contents'!$A$2:$A$3000,$A2)&gt;0,"Yes",""))</f>
        <v/>
      </c>
    </row>
    <row r="1542">
      <c r="B1542" s="22" t="n"/>
      <c r="G1542" s="25" t="n"/>
      <c r="H1542" s="24">
        <f>IF(AND($F1542="TEMP",$G1542&gt;0,$M1542&lt;&gt;""),$M1542+$G1542,"")</f>
        <v/>
      </c>
      <c r="I1542" s="22" t="n"/>
      <c r="J1542" s="22" t="n"/>
      <c r="K1542" s="24" t="n"/>
      <c r="W1542">
        <f>IF($A2="","",COUNTIF('07_Pallet_Contents'!$A$2:$A$3000,$A2))</f>
        <v/>
      </c>
      <c r="X1542">
        <f>IF($A2="","",SUMIF('07_Pallet_Contents'!$A$2:$A$3000,$A2,'07_Pallet_Contents'!$D$2:$D$3000))</f>
        <v/>
      </c>
      <c r="Y1542">
        <f>IF($A2="","",SUMIF('07_Pallet_Contents'!$A$2:$A$3000,$A2,'07_Pallet_Contents'!$I$2:$I$3000))</f>
        <v/>
      </c>
      <c r="Z1542">
        <f>IF($A2="","",IF(COUNTIF('07_Pallet_Contents'!$A$2:$A$3000,$A2)&gt;0,"Yes",""))</f>
        <v/>
      </c>
    </row>
    <row r="1543">
      <c r="B1543" s="22" t="n"/>
      <c r="G1543" s="25" t="n"/>
      <c r="H1543" s="24">
        <f>IF(AND($F1543="TEMP",$G1543&gt;0,$M1543&lt;&gt;""),$M1543+$G1543,"")</f>
        <v/>
      </c>
      <c r="I1543" s="22" t="n"/>
      <c r="J1543" s="22" t="n"/>
      <c r="K1543" s="24" t="n"/>
      <c r="W1543">
        <f>IF($A2="","",COUNTIF('07_Pallet_Contents'!$A$2:$A$3000,$A2))</f>
        <v/>
      </c>
      <c r="X1543">
        <f>IF($A2="","",SUMIF('07_Pallet_Contents'!$A$2:$A$3000,$A2,'07_Pallet_Contents'!$D$2:$D$3000))</f>
        <v/>
      </c>
      <c r="Y1543">
        <f>IF($A2="","",SUMIF('07_Pallet_Contents'!$A$2:$A$3000,$A2,'07_Pallet_Contents'!$I$2:$I$3000))</f>
        <v/>
      </c>
      <c r="Z1543">
        <f>IF($A2="","",IF(COUNTIF('07_Pallet_Contents'!$A$2:$A$3000,$A2)&gt;0,"Yes",""))</f>
        <v/>
      </c>
    </row>
    <row r="1544">
      <c r="B1544" s="22" t="n"/>
      <c r="G1544" s="25" t="n"/>
      <c r="H1544" s="24">
        <f>IF(AND($F1544="TEMP",$G1544&gt;0,$M1544&lt;&gt;""),$M1544+$G1544,"")</f>
        <v/>
      </c>
      <c r="I1544" s="22" t="n"/>
      <c r="J1544" s="22" t="n"/>
      <c r="K1544" s="24" t="n"/>
      <c r="W1544">
        <f>IF($A2="","",COUNTIF('07_Pallet_Contents'!$A$2:$A$3000,$A2))</f>
        <v/>
      </c>
      <c r="X1544">
        <f>IF($A2="","",SUMIF('07_Pallet_Contents'!$A$2:$A$3000,$A2,'07_Pallet_Contents'!$D$2:$D$3000))</f>
        <v/>
      </c>
      <c r="Y1544">
        <f>IF($A2="","",SUMIF('07_Pallet_Contents'!$A$2:$A$3000,$A2,'07_Pallet_Contents'!$I$2:$I$3000))</f>
        <v/>
      </c>
      <c r="Z1544">
        <f>IF($A2="","",IF(COUNTIF('07_Pallet_Contents'!$A$2:$A$3000,$A2)&gt;0,"Yes",""))</f>
        <v/>
      </c>
    </row>
    <row r="1545">
      <c r="B1545" s="22" t="n"/>
      <c r="G1545" s="25" t="n"/>
      <c r="H1545" s="24">
        <f>IF(AND($F1545="TEMP",$G1545&gt;0,$M1545&lt;&gt;""),$M1545+$G1545,"")</f>
        <v/>
      </c>
      <c r="I1545" s="22" t="n"/>
      <c r="J1545" s="22" t="n"/>
      <c r="K1545" s="24" t="n"/>
      <c r="W1545">
        <f>IF($A2="","",COUNTIF('07_Pallet_Contents'!$A$2:$A$3000,$A2))</f>
        <v/>
      </c>
      <c r="X1545">
        <f>IF($A2="","",SUMIF('07_Pallet_Contents'!$A$2:$A$3000,$A2,'07_Pallet_Contents'!$D$2:$D$3000))</f>
        <v/>
      </c>
      <c r="Y1545">
        <f>IF($A2="","",SUMIF('07_Pallet_Contents'!$A$2:$A$3000,$A2,'07_Pallet_Contents'!$I$2:$I$3000))</f>
        <v/>
      </c>
      <c r="Z1545">
        <f>IF($A2="","",IF(COUNTIF('07_Pallet_Contents'!$A$2:$A$3000,$A2)&gt;0,"Yes",""))</f>
        <v/>
      </c>
    </row>
    <row r="1546">
      <c r="B1546" s="22" t="n"/>
      <c r="G1546" s="25" t="n"/>
      <c r="H1546" s="24">
        <f>IF(AND($F1546="TEMP",$G1546&gt;0,$M1546&lt;&gt;""),$M1546+$G1546,"")</f>
        <v/>
      </c>
      <c r="I1546" s="22" t="n"/>
      <c r="J1546" s="22" t="n"/>
      <c r="K1546" s="24" t="n"/>
      <c r="W1546">
        <f>IF($A2="","",COUNTIF('07_Pallet_Contents'!$A$2:$A$3000,$A2))</f>
        <v/>
      </c>
      <c r="X1546">
        <f>IF($A2="","",SUMIF('07_Pallet_Contents'!$A$2:$A$3000,$A2,'07_Pallet_Contents'!$D$2:$D$3000))</f>
        <v/>
      </c>
      <c r="Y1546">
        <f>IF($A2="","",SUMIF('07_Pallet_Contents'!$A$2:$A$3000,$A2,'07_Pallet_Contents'!$I$2:$I$3000))</f>
        <v/>
      </c>
      <c r="Z1546">
        <f>IF($A2="","",IF(COUNTIF('07_Pallet_Contents'!$A$2:$A$3000,$A2)&gt;0,"Yes",""))</f>
        <v/>
      </c>
    </row>
    <row r="1547">
      <c r="B1547" s="22" t="n"/>
      <c r="G1547" s="25" t="n"/>
      <c r="H1547" s="24">
        <f>IF(AND($F1547="TEMP",$G1547&gt;0,$M1547&lt;&gt;""),$M1547+$G1547,"")</f>
        <v/>
      </c>
      <c r="I1547" s="22" t="n"/>
      <c r="J1547" s="22" t="n"/>
      <c r="K1547" s="24" t="n"/>
      <c r="W1547">
        <f>IF($A2="","",COUNTIF('07_Pallet_Contents'!$A$2:$A$3000,$A2))</f>
        <v/>
      </c>
      <c r="X1547">
        <f>IF($A2="","",SUMIF('07_Pallet_Contents'!$A$2:$A$3000,$A2,'07_Pallet_Contents'!$D$2:$D$3000))</f>
        <v/>
      </c>
      <c r="Y1547">
        <f>IF($A2="","",SUMIF('07_Pallet_Contents'!$A$2:$A$3000,$A2,'07_Pallet_Contents'!$I$2:$I$3000))</f>
        <v/>
      </c>
      <c r="Z1547">
        <f>IF($A2="","",IF(COUNTIF('07_Pallet_Contents'!$A$2:$A$3000,$A2)&gt;0,"Yes",""))</f>
        <v/>
      </c>
    </row>
    <row r="1548">
      <c r="B1548" s="22" t="n"/>
      <c r="G1548" s="25" t="n"/>
      <c r="H1548" s="24">
        <f>IF(AND($F1548="TEMP",$G1548&gt;0,$M1548&lt;&gt;""),$M1548+$G1548,"")</f>
        <v/>
      </c>
      <c r="I1548" s="22" t="n"/>
      <c r="J1548" s="22" t="n"/>
      <c r="K1548" s="24" t="n"/>
      <c r="W1548">
        <f>IF($A2="","",COUNTIF('07_Pallet_Contents'!$A$2:$A$3000,$A2))</f>
        <v/>
      </c>
      <c r="X1548">
        <f>IF($A2="","",SUMIF('07_Pallet_Contents'!$A$2:$A$3000,$A2,'07_Pallet_Contents'!$D$2:$D$3000))</f>
        <v/>
      </c>
      <c r="Y1548">
        <f>IF($A2="","",SUMIF('07_Pallet_Contents'!$A$2:$A$3000,$A2,'07_Pallet_Contents'!$I$2:$I$3000))</f>
        <v/>
      </c>
      <c r="Z1548">
        <f>IF($A2="","",IF(COUNTIF('07_Pallet_Contents'!$A$2:$A$3000,$A2)&gt;0,"Yes",""))</f>
        <v/>
      </c>
    </row>
    <row r="1549">
      <c r="B1549" s="22" t="n"/>
      <c r="G1549" s="25" t="n"/>
      <c r="H1549" s="24">
        <f>IF(AND($F1549="TEMP",$G1549&gt;0,$M1549&lt;&gt;""),$M1549+$G1549,"")</f>
        <v/>
      </c>
      <c r="I1549" s="22" t="n"/>
      <c r="J1549" s="22" t="n"/>
      <c r="K1549" s="24" t="n"/>
      <c r="W1549">
        <f>IF($A2="","",COUNTIF('07_Pallet_Contents'!$A$2:$A$3000,$A2))</f>
        <v/>
      </c>
      <c r="X1549">
        <f>IF($A2="","",SUMIF('07_Pallet_Contents'!$A$2:$A$3000,$A2,'07_Pallet_Contents'!$D$2:$D$3000))</f>
        <v/>
      </c>
      <c r="Y1549">
        <f>IF($A2="","",SUMIF('07_Pallet_Contents'!$A$2:$A$3000,$A2,'07_Pallet_Contents'!$I$2:$I$3000))</f>
        <v/>
      </c>
      <c r="Z1549">
        <f>IF($A2="","",IF(COUNTIF('07_Pallet_Contents'!$A$2:$A$3000,$A2)&gt;0,"Yes",""))</f>
        <v/>
      </c>
    </row>
    <row r="1550">
      <c r="B1550" s="22" t="n"/>
      <c r="G1550" s="25" t="n"/>
      <c r="H1550" s="24">
        <f>IF(AND($F1550="TEMP",$G1550&gt;0,$M1550&lt;&gt;""),$M1550+$G1550,"")</f>
        <v/>
      </c>
      <c r="I1550" s="22" t="n"/>
      <c r="J1550" s="22" t="n"/>
      <c r="K1550" s="24" t="n"/>
      <c r="W1550">
        <f>IF($A2="","",COUNTIF('07_Pallet_Contents'!$A$2:$A$3000,$A2))</f>
        <v/>
      </c>
      <c r="X1550">
        <f>IF($A2="","",SUMIF('07_Pallet_Contents'!$A$2:$A$3000,$A2,'07_Pallet_Contents'!$D$2:$D$3000))</f>
        <v/>
      </c>
      <c r="Y1550">
        <f>IF($A2="","",SUMIF('07_Pallet_Contents'!$A$2:$A$3000,$A2,'07_Pallet_Contents'!$I$2:$I$3000))</f>
        <v/>
      </c>
      <c r="Z1550">
        <f>IF($A2="","",IF(COUNTIF('07_Pallet_Contents'!$A$2:$A$3000,$A2)&gt;0,"Yes",""))</f>
        <v/>
      </c>
    </row>
    <row r="1551">
      <c r="B1551" s="22" t="n"/>
      <c r="G1551" s="25" t="n"/>
      <c r="H1551" s="24">
        <f>IF(AND($F1551="TEMP",$G1551&gt;0,$M1551&lt;&gt;""),$M1551+$G1551,"")</f>
        <v/>
      </c>
      <c r="I1551" s="22" t="n"/>
      <c r="J1551" s="22" t="n"/>
      <c r="K1551" s="24" t="n"/>
      <c r="W1551">
        <f>IF($A2="","",COUNTIF('07_Pallet_Contents'!$A$2:$A$3000,$A2))</f>
        <v/>
      </c>
      <c r="X1551">
        <f>IF($A2="","",SUMIF('07_Pallet_Contents'!$A$2:$A$3000,$A2,'07_Pallet_Contents'!$D$2:$D$3000))</f>
        <v/>
      </c>
      <c r="Y1551">
        <f>IF($A2="","",SUMIF('07_Pallet_Contents'!$A$2:$A$3000,$A2,'07_Pallet_Contents'!$I$2:$I$3000))</f>
        <v/>
      </c>
      <c r="Z1551">
        <f>IF($A2="","",IF(COUNTIF('07_Pallet_Contents'!$A$2:$A$3000,$A2)&gt;0,"Yes",""))</f>
        <v/>
      </c>
    </row>
    <row r="1552">
      <c r="B1552" s="22" t="n"/>
      <c r="G1552" s="25" t="n"/>
      <c r="H1552" s="24">
        <f>IF(AND($F1552="TEMP",$G1552&gt;0,$M1552&lt;&gt;""),$M1552+$G1552,"")</f>
        <v/>
      </c>
      <c r="I1552" s="22" t="n"/>
      <c r="J1552" s="22" t="n"/>
      <c r="K1552" s="24" t="n"/>
      <c r="W1552">
        <f>IF($A2="","",COUNTIF('07_Pallet_Contents'!$A$2:$A$3000,$A2))</f>
        <v/>
      </c>
      <c r="X1552">
        <f>IF($A2="","",SUMIF('07_Pallet_Contents'!$A$2:$A$3000,$A2,'07_Pallet_Contents'!$D$2:$D$3000))</f>
        <v/>
      </c>
      <c r="Y1552">
        <f>IF($A2="","",SUMIF('07_Pallet_Contents'!$A$2:$A$3000,$A2,'07_Pallet_Contents'!$I$2:$I$3000))</f>
        <v/>
      </c>
      <c r="Z1552">
        <f>IF($A2="","",IF(COUNTIF('07_Pallet_Contents'!$A$2:$A$3000,$A2)&gt;0,"Yes",""))</f>
        <v/>
      </c>
    </row>
    <row r="1553">
      <c r="B1553" s="22" t="n"/>
      <c r="G1553" s="25" t="n"/>
      <c r="H1553" s="24">
        <f>IF(AND($F1553="TEMP",$G1553&gt;0,$M1553&lt;&gt;""),$M1553+$G1553,"")</f>
        <v/>
      </c>
      <c r="I1553" s="22" t="n"/>
      <c r="J1553" s="22" t="n"/>
      <c r="K1553" s="24" t="n"/>
      <c r="W1553">
        <f>IF($A2="","",COUNTIF('07_Pallet_Contents'!$A$2:$A$3000,$A2))</f>
        <v/>
      </c>
      <c r="X1553">
        <f>IF($A2="","",SUMIF('07_Pallet_Contents'!$A$2:$A$3000,$A2,'07_Pallet_Contents'!$D$2:$D$3000))</f>
        <v/>
      </c>
      <c r="Y1553">
        <f>IF($A2="","",SUMIF('07_Pallet_Contents'!$A$2:$A$3000,$A2,'07_Pallet_Contents'!$I$2:$I$3000))</f>
        <v/>
      </c>
      <c r="Z1553">
        <f>IF($A2="","",IF(COUNTIF('07_Pallet_Contents'!$A$2:$A$3000,$A2)&gt;0,"Yes",""))</f>
        <v/>
      </c>
    </row>
    <row r="1554">
      <c r="B1554" s="22" t="n"/>
      <c r="G1554" s="25" t="n"/>
      <c r="H1554" s="24">
        <f>IF(AND($F1554="TEMP",$G1554&gt;0,$M1554&lt;&gt;""),$M1554+$G1554,"")</f>
        <v/>
      </c>
      <c r="I1554" s="22" t="n"/>
      <c r="J1554" s="22" t="n"/>
      <c r="K1554" s="24" t="n"/>
      <c r="W1554">
        <f>IF($A2="","",COUNTIF('07_Pallet_Contents'!$A$2:$A$3000,$A2))</f>
        <v/>
      </c>
      <c r="X1554">
        <f>IF($A2="","",SUMIF('07_Pallet_Contents'!$A$2:$A$3000,$A2,'07_Pallet_Contents'!$D$2:$D$3000))</f>
        <v/>
      </c>
      <c r="Y1554">
        <f>IF($A2="","",SUMIF('07_Pallet_Contents'!$A$2:$A$3000,$A2,'07_Pallet_Contents'!$I$2:$I$3000))</f>
        <v/>
      </c>
      <c r="Z1554">
        <f>IF($A2="","",IF(COUNTIF('07_Pallet_Contents'!$A$2:$A$3000,$A2)&gt;0,"Yes",""))</f>
        <v/>
      </c>
    </row>
    <row r="1555">
      <c r="B1555" s="22" t="n"/>
      <c r="G1555" s="25" t="n"/>
      <c r="H1555" s="24">
        <f>IF(AND($F1555="TEMP",$G1555&gt;0,$M1555&lt;&gt;""),$M1555+$G1555,"")</f>
        <v/>
      </c>
      <c r="I1555" s="22" t="n"/>
      <c r="J1555" s="22" t="n"/>
      <c r="K1555" s="24" t="n"/>
      <c r="W1555">
        <f>IF($A2="","",COUNTIF('07_Pallet_Contents'!$A$2:$A$3000,$A2))</f>
        <v/>
      </c>
      <c r="X1555">
        <f>IF($A2="","",SUMIF('07_Pallet_Contents'!$A$2:$A$3000,$A2,'07_Pallet_Contents'!$D$2:$D$3000))</f>
        <v/>
      </c>
      <c r="Y1555">
        <f>IF($A2="","",SUMIF('07_Pallet_Contents'!$A$2:$A$3000,$A2,'07_Pallet_Contents'!$I$2:$I$3000))</f>
        <v/>
      </c>
      <c r="Z1555">
        <f>IF($A2="","",IF(COUNTIF('07_Pallet_Contents'!$A$2:$A$3000,$A2)&gt;0,"Yes",""))</f>
        <v/>
      </c>
    </row>
    <row r="1556">
      <c r="B1556" s="22" t="n"/>
      <c r="G1556" s="25" t="n"/>
      <c r="H1556" s="24">
        <f>IF(AND($F1556="TEMP",$G1556&gt;0,$M1556&lt;&gt;""),$M1556+$G1556,"")</f>
        <v/>
      </c>
      <c r="I1556" s="22" t="n"/>
      <c r="J1556" s="22" t="n"/>
      <c r="K1556" s="24" t="n"/>
      <c r="W1556">
        <f>IF($A2="","",COUNTIF('07_Pallet_Contents'!$A$2:$A$3000,$A2))</f>
        <v/>
      </c>
      <c r="X1556">
        <f>IF($A2="","",SUMIF('07_Pallet_Contents'!$A$2:$A$3000,$A2,'07_Pallet_Contents'!$D$2:$D$3000))</f>
        <v/>
      </c>
      <c r="Y1556">
        <f>IF($A2="","",SUMIF('07_Pallet_Contents'!$A$2:$A$3000,$A2,'07_Pallet_Contents'!$I$2:$I$3000))</f>
        <v/>
      </c>
      <c r="Z1556">
        <f>IF($A2="","",IF(COUNTIF('07_Pallet_Contents'!$A$2:$A$3000,$A2)&gt;0,"Yes",""))</f>
        <v/>
      </c>
    </row>
    <row r="1557">
      <c r="B1557" s="22" t="n"/>
      <c r="G1557" s="25" t="n"/>
      <c r="H1557" s="24">
        <f>IF(AND($F1557="TEMP",$G1557&gt;0,$M1557&lt;&gt;""),$M1557+$G1557,"")</f>
        <v/>
      </c>
      <c r="I1557" s="22" t="n"/>
      <c r="J1557" s="22" t="n"/>
      <c r="K1557" s="24" t="n"/>
      <c r="W1557">
        <f>IF($A2="","",COUNTIF('07_Pallet_Contents'!$A$2:$A$3000,$A2))</f>
        <v/>
      </c>
      <c r="X1557">
        <f>IF($A2="","",SUMIF('07_Pallet_Contents'!$A$2:$A$3000,$A2,'07_Pallet_Contents'!$D$2:$D$3000))</f>
        <v/>
      </c>
      <c r="Y1557">
        <f>IF($A2="","",SUMIF('07_Pallet_Contents'!$A$2:$A$3000,$A2,'07_Pallet_Contents'!$I$2:$I$3000))</f>
        <v/>
      </c>
      <c r="Z1557">
        <f>IF($A2="","",IF(COUNTIF('07_Pallet_Contents'!$A$2:$A$3000,$A2)&gt;0,"Yes",""))</f>
        <v/>
      </c>
    </row>
    <row r="1558">
      <c r="B1558" s="22" t="n"/>
      <c r="G1558" s="25" t="n"/>
      <c r="H1558" s="24">
        <f>IF(AND($F1558="TEMP",$G1558&gt;0,$M1558&lt;&gt;""),$M1558+$G1558,"")</f>
        <v/>
      </c>
      <c r="I1558" s="22" t="n"/>
      <c r="J1558" s="22" t="n"/>
      <c r="K1558" s="24" t="n"/>
      <c r="W1558">
        <f>IF($A2="","",COUNTIF('07_Pallet_Contents'!$A$2:$A$3000,$A2))</f>
        <v/>
      </c>
      <c r="X1558">
        <f>IF($A2="","",SUMIF('07_Pallet_Contents'!$A$2:$A$3000,$A2,'07_Pallet_Contents'!$D$2:$D$3000))</f>
        <v/>
      </c>
      <c r="Y1558">
        <f>IF($A2="","",SUMIF('07_Pallet_Contents'!$A$2:$A$3000,$A2,'07_Pallet_Contents'!$I$2:$I$3000))</f>
        <v/>
      </c>
      <c r="Z1558">
        <f>IF($A2="","",IF(COUNTIF('07_Pallet_Contents'!$A$2:$A$3000,$A2)&gt;0,"Yes",""))</f>
        <v/>
      </c>
    </row>
    <row r="1559">
      <c r="B1559" s="22" t="n"/>
      <c r="G1559" s="25" t="n"/>
      <c r="H1559" s="24">
        <f>IF(AND($F1559="TEMP",$G1559&gt;0,$M1559&lt;&gt;""),$M1559+$G1559,"")</f>
        <v/>
      </c>
      <c r="I1559" s="22" t="n"/>
      <c r="J1559" s="22" t="n"/>
      <c r="K1559" s="24" t="n"/>
      <c r="W1559">
        <f>IF($A2="","",COUNTIF('07_Pallet_Contents'!$A$2:$A$3000,$A2))</f>
        <v/>
      </c>
      <c r="X1559">
        <f>IF($A2="","",SUMIF('07_Pallet_Contents'!$A$2:$A$3000,$A2,'07_Pallet_Contents'!$D$2:$D$3000))</f>
        <v/>
      </c>
      <c r="Y1559">
        <f>IF($A2="","",SUMIF('07_Pallet_Contents'!$A$2:$A$3000,$A2,'07_Pallet_Contents'!$I$2:$I$3000))</f>
        <v/>
      </c>
      <c r="Z1559">
        <f>IF($A2="","",IF(COUNTIF('07_Pallet_Contents'!$A$2:$A$3000,$A2)&gt;0,"Yes",""))</f>
        <v/>
      </c>
    </row>
    <row r="1560">
      <c r="B1560" s="22" t="n"/>
      <c r="G1560" s="25" t="n"/>
      <c r="H1560" s="24">
        <f>IF(AND($F1560="TEMP",$G1560&gt;0,$M1560&lt;&gt;""),$M1560+$G1560,"")</f>
        <v/>
      </c>
      <c r="I1560" s="22" t="n"/>
      <c r="J1560" s="22" t="n"/>
      <c r="K1560" s="24" t="n"/>
      <c r="W1560">
        <f>IF($A2="","",COUNTIF('07_Pallet_Contents'!$A$2:$A$3000,$A2))</f>
        <v/>
      </c>
      <c r="X1560">
        <f>IF($A2="","",SUMIF('07_Pallet_Contents'!$A$2:$A$3000,$A2,'07_Pallet_Contents'!$D$2:$D$3000))</f>
        <v/>
      </c>
      <c r="Y1560">
        <f>IF($A2="","",SUMIF('07_Pallet_Contents'!$A$2:$A$3000,$A2,'07_Pallet_Contents'!$I$2:$I$3000))</f>
        <v/>
      </c>
      <c r="Z1560">
        <f>IF($A2="","",IF(COUNTIF('07_Pallet_Contents'!$A$2:$A$3000,$A2)&gt;0,"Yes",""))</f>
        <v/>
      </c>
    </row>
    <row r="1561">
      <c r="B1561" s="22" t="n"/>
      <c r="G1561" s="25" t="n"/>
      <c r="H1561" s="24">
        <f>IF(AND($F1561="TEMP",$G1561&gt;0,$M1561&lt;&gt;""),$M1561+$G1561,"")</f>
        <v/>
      </c>
      <c r="I1561" s="22" t="n"/>
      <c r="J1561" s="22" t="n"/>
      <c r="K1561" s="24" t="n"/>
      <c r="W1561">
        <f>IF($A2="","",COUNTIF('07_Pallet_Contents'!$A$2:$A$3000,$A2))</f>
        <v/>
      </c>
      <c r="X1561">
        <f>IF($A2="","",SUMIF('07_Pallet_Contents'!$A$2:$A$3000,$A2,'07_Pallet_Contents'!$D$2:$D$3000))</f>
        <v/>
      </c>
      <c r="Y1561">
        <f>IF($A2="","",SUMIF('07_Pallet_Contents'!$A$2:$A$3000,$A2,'07_Pallet_Contents'!$I$2:$I$3000))</f>
        <v/>
      </c>
      <c r="Z1561">
        <f>IF($A2="","",IF(COUNTIF('07_Pallet_Contents'!$A$2:$A$3000,$A2)&gt;0,"Yes",""))</f>
        <v/>
      </c>
    </row>
    <row r="1562">
      <c r="B1562" s="22" t="n"/>
      <c r="G1562" s="25" t="n"/>
      <c r="H1562" s="24">
        <f>IF(AND($F1562="TEMP",$G1562&gt;0,$M1562&lt;&gt;""),$M1562+$G1562,"")</f>
        <v/>
      </c>
      <c r="I1562" s="22" t="n"/>
      <c r="J1562" s="22" t="n"/>
      <c r="K1562" s="24" t="n"/>
      <c r="W1562">
        <f>IF($A2="","",COUNTIF('07_Pallet_Contents'!$A$2:$A$3000,$A2))</f>
        <v/>
      </c>
      <c r="X1562">
        <f>IF($A2="","",SUMIF('07_Pallet_Contents'!$A$2:$A$3000,$A2,'07_Pallet_Contents'!$D$2:$D$3000))</f>
        <v/>
      </c>
      <c r="Y1562">
        <f>IF($A2="","",SUMIF('07_Pallet_Contents'!$A$2:$A$3000,$A2,'07_Pallet_Contents'!$I$2:$I$3000))</f>
        <v/>
      </c>
      <c r="Z1562">
        <f>IF($A2="","",IF(COUNTIF('07_Pallet_Contents'!$A$2:$A$3000,$A2)&gt;0,"Yes",""))</f>
        <v/>
      </c>
    </row>
    <row r="1563">
      <c r="B1563" s="22" t="n"/>
      <c r="G1563" s="25" t="n"/>
      <c r="H1563" s="24">
        <f>IF(AND($F1563="TEMP",$G1563&gt;0,$M1563&lt;&gt;""),$M1563+$G1563,"")</f>
        <v/>
      </c>
      <c r="I1563" s="22" t="n"/>
      <c r="J1563" s="22" t="n"/>
      <c r="K1563" s="24" t="n"/>
      <c r="W1563">
        <f>IF($A2="","",COUNTIF('07_Pallet_Contents'!$A$2:$A$3000,$A2))</f>
        <v/>
      </c>
      <c r="X1563">
        <f>IF($A2="","",SUMIF('07_Pallet_Contents'!$A$2:$A$3000,$A2,'07_Pallet_Contents'!$D$2:$D$3000))</f>
        <v/>
      </c>
      <c r="Y1563">
        <f>IF($A2="","",SUMIF('07_Pallet_Contents'!$A$2:$A$3000,$A2,'07_Pallet_Contents'!$I$2:$I$3000))</f>
        <v/>
      </c>
      <c r="Z1563">
        <f>IF($A2="","",IF(COUNTIF('07_Pallet_Contents'!$A$2:$A$3000,$A2)&gt;0,"Yes",""))</f>
        <v/>
      </c>
    </row>
    <row r="1564">
      <c r="B1564" s="22" t="n"/>
      <c r="G1564" s="25" t="n"/>
      <c r="H1564" s="24">
        <f>IF(AND($F1564="TEMP",$G1564&gt;0,$M1564&lt;&gt;""),$M1564+$G1564,"")</f>
        <v/>
      </c>
      <c r="I1564" s="22" t="n"/>
      <c r="J1564" s="22" t="n"/>
      <c r="K1564" s="24" t="n"/>
      <c r="W1564">
        <f>IF($A2="","",COUNTIF('07_Pallet_Contents'!$A$2:$A$3000,$A2))</f>
        <v/>
      </c>
      <c r="X1564">
        <f>IF($A2="","",SUMIF('07_Pallet_Contents'!$A$2:$A$3000,$A2,'07_Pallet_Contents'!$D$2:$D$3000))</f>
        <v/>
      </c>
      <c r="Y1564">
        <f>IF($A2="","",SUMIF('07_Pallet_Contents'!$A$2:$A$3000,$A2,'07_Pallet_Contents'!$I$2:$I$3000))</f>
        <v/>
      </c>
      <c r="Z1564">
        <f>IF($A2="","",IF(COUNTIF('07_Pallet_Contents'!$A$2:$A$3000,$A2)&gt;0,"Yes",""))</f>
        <v/>
      </c>
    </row>
    <row r="1565">
      <c r="B1565" s="22" t="n"/>
      <c r="G1565" s="25" t="n"/>
      <c r="H1565" s="24">
        <f>IF(AND($F1565="TEMP",$G1565&gt;0,$M1565&lt;&gt;""),$M1565+$G1565,"")</f>
        <v/>
      </c>
      <c r="I1565" s="22" t="n"/>
      <c r="J1565" s="22" t="n"/>
      <c r="K1565" s="24" t="n"/>
      <c r="W1565">
        <f>IF($A2="","",COUNTIF('07_Pallet_Contents'!$A$2:$A$3000,$A2))</f>
        <v/>
      </c>
      <c r="X1565">
        <f>IF($A2="","",SUMIF('07_Pallet_Contents'!$A$2:$A$3000,$A2,'07_Pallet_Contents'!$D$2:$D$3000))</f>
        <v/>
      </c>
      <c r="Y1565">
        <f>IF($A2="","",SUMIF('07_Pallet_Contents'!$A$2:$A$3000,$A2,'07_Pallet_Contents'!$I$2:$I$3000))</f>
        <v/>
      </c>
      <c r="Z1565">
        <f>IF($A2="","",IF(COUNTIF('07_Pallet_Contents'!$A$2:$A$3000,$A2)&gt;0,"Yes",""))</f>
        <v/>
      </c>
    </row>
    <row r="1566">
      <c r="B1566" s="22" t="n"/>
      <c r="G1566" s="25" t="n"/>
      <c r="H1566" s="24">
        <f>IF(AND($F1566="TEMP",$G1566&gt;0,$M1566&lt;&gt;""),$M1566+$G1566,"")</f>
        <v/>
      </c>
      <c r="I1566" s="22" t="n"/>
      <c r="J1566" s="22" t="n"/>
      <c r="K1566" s="24" t="n"/>
      <c r="W1566">
        <f>IF($A2="","",COUNTIF('07_Pallet_Contents'!$A$2:$A$3000,$A2))</f>
        <v/>
      </c>
      <c r="X1566">
        <f>IF($A2="","",SUMIF('07_Pallet_Contents'!$A$2:$A$3000,$A2,'07_Pallet_Contents'!$D$2:$D$3000))</f>
        <v/>
      </c>
      <c r="Y1566">
        <f>IF($A2="","",SUMIF('07_Pallet_Contents'!$A$2:$A$3000,$A2,'07_Pallet_Contents'!$I$2:$I$3000))</f>
        <v/>
      </c>
      <c r="Z1566">
        <f>IF($A2="","",IF(COUNTIF('07_Pallet_Contents'!$A$2:$A$3000,$A2)&gt;0,"Yes",""))</f>
        <v/>
      </c>
    </row>
    <row r="1567">
      <c r="B1567" s="22" t="n"/>
      <c r="G1567" s="25" t="n"/>
      <c r="H1567" s="24">
        <f>IF(AND($F1567="TEMP",$G1567&gt;0,$M1567&lt;&gt;""),$M1567+$G1567,"")</f>
        <v/>
      </c>
      <c r="I1567" s="22" t="n"/>
      <c r="J1567" s="22" t="n"/>
      <c r="K1567" s="24" t="n"/>
      <c r="W1567">
        <f>IF($A2="","",COUNTIF('07_Pallet_Contents'!$A$2:$A$3000,$A2))</f>
        <v/>
      </c>
      <c r="X1567">
        <f>IF($A2="","",SUMIF('07_Pallet_Contents'!$A$2:$A$3000,$A2,'07_Pallet_Contents'!$D$2:$D$3000))</f>
        <v/>
      </c>
      <c r="Y1567">
        <f>IF($A2="","",SUMIF('07_Pallet_Contents'!$A$2:$A$3000,$A2,'07_Pallet_Contents'!$I$2:$I$3000))</f>
        <v/>
      </c>
      <c r="Z1567">
        <f>IF($A2="","",IF(COUNTIF('07_Pallet_Contents'!$A$2:$A$3000,$A2)&gt;0,"Yes",""))</f>
        <v/>
      </c>
    </row>
    <row r="1568">
      <c r="B1568" s="22" t="n"/>
      <c r="G1568" s="25" t="n"/>
      <c r="H1568" s="24">
        <f>IF(AND($F1568="TEMP",$G1568&gt;0,$M1568&lt;&gt;""),$M1568+$G1568,"")</f>
        <v/>
      </c>
      <c r="I1568" s="22" t="n"/>
      <c r="J1568" s="22" t="n"/>
      <c r="K1568" s="24" t="n"/>
      <c r="W1568">
        <f>IF($A2="","",COUNTIF('07_Pallet_Contents'!$A$2:$A$3000,$A2))</f>
        <v/>
      </c>
      <c r="X1568">
        <f>IF($A2="","",SUMIF('07_Pallet_Contents'!$A$2:$A$3000,$A2,'07_Pallet_Contents'!$D$2:$D$3000))</f>
        <v/>
      </c>
      <c r="Y1568">
        <f>IF($A2="","",SUMIF('07_Pallet_Contents'!$A$2:$A$3000,$A2,'07_Pallet_Contents'!$I$2:$I$3000))</f>
        <v/>
      </c>
      <c r="Z1568">
        <f>IF($A2="","",IF(COUNTIF('07_Pallet_Contents'!$A$2:$A$3000,$A2)&gt;0,"Yes",""))</f>
        <v/>
      </c>
    </row>
    <row r="1569">
      <c r="B1569" s="22" t="n"/>
      <c r="G1569" s="25" t="n"/>
      <c r="H1569" s="24">
        <f>IF(AND($F1569="TEMP",$G1569&gt;0,$M1569&lt;&gt;""),$M1569+$G1569,"")</f>
        <v/>
      </c>
      <c r="I1569" s="22" t="n"/>
      <c r="J1569" s="22" t="n"/>
      <c r="K1569" s="24" t="n"/>
      <c r="W1569">
        <f>IF($A2="","",COUNTIF('07_Pallet_Contents'!$A$2:$A$3000,$A2))</f>
        <v/>
      </c>
      <c r="X1569">
        <f>IF($A2="","",SUMIF('07_Pallet_Contents'!$A$2:$A$3000,$A2,'07_Pallet_Contents'!$D$2:$D$3000))</f>
        <v/>
      </c>
      <c r="Y1569">
        <f>IF($A2="","",SUMIF('07_Pallet_Contents'!$A$2:$A$3000,$A2,'07_Pallet_Contents'!$I$2:$I$3000))</f>
        <v/>
      </c>
      <c r="Z1569">
        <f>IF($A2="","",IF(COUNTIF('07_Pallet_Contents'!$A$2:$A$3000,$A2)&gt;0,"Yes",""))</f>
        <v/>
      </c>
    </row>
    <row r="1570">
      <c r="B1570" s="22" t="n"/>
      <c r="G1570" s="25" t="n"/>
      <c r="H1570" s="24">
        <f>IF(AND($F1570="TEMP",$G1570&gt;0,$M1570&lt;&gt;""),$M1570+$G1570,"")</f>
        <v/>
      </c>
      <c r="I1570" s="22" t="n"/>
      <c r="J1570" s="22" t="n"/>
      <c r="K1570" s="24" t="n"/>
      <c r="W1570">
        <f>IF($A2="","",COUNTIF('07_Pallet_Contents'!$A$2:$A$3000,$A2))</f>
        <v/>
      </c>
      <c r="X1570">
        <f>IF($A2="","",SUMIF('07_Pallet_Contents'!$A$2:$A$3000,$A2,'07_Pallet_Contents'!$D$2:$D$3000))</f>
        <v/>
      </c>
      <c r="Y1570">
        <f>IF($A2="","",SUMIF('07_Pallet_Contents'!$A$2:$A$3000,$A2,'07_Pallet_Contents'!$I$2:$I$3000))</f>
        <v/>
      </c>
      <c r="Z1570">
        <f>IF($A2="","",IF(COUNTIF('07_Pallet_Contents'!$A$2:$A$3000,$A2)&gt;0,"Yes",""))</f>
        <v/>
      </c>
    </row>
    <row r="1571">
      <c r="B1571" s="22" t="n"/>
      <c r="G1571" s="25" t="n"/>
      <c r="H1571" s="24">
        <f>IF(AND($F1571="TEMP",$G1571&gt;0,$M1571&lt;&gt;""),$M1571+$G1571,"")</f>
        <v/>
      </c>
      <c r="I1571" s="22" t="n"/>
      <c r="J1571" s="22" t="n"/>
      <c r="K1571" s="24" t="n"/>
      <c r="W1571">
        <f>IF($A2="","",COUNTIF('07_Pallet_Contents'!$A$2:$A$3000,$A2))</f>
        <v/>
      </c>
      <c r="X1571">
        <f>IF($A2="","",SUMIF('07_Pallet_Contents'!$A$2:$A$3000,$A2,'07_Pallet_Contents'!$D$2:$D$3000))</f>
        <v/>
      </c>
      <c r="Y1571">
        <f>IF($A2="","",SUMIF('07_Pallet_Contents'!$A$2:$A$3000,$A2,'07_Pallet_Contents'!$I$2:$I$3000))</f>
        <v/>
      </c>
      <c r="Z1571">
        <f>IF($A2="","",IF(COUNTIF('07_Pallet_Contents'!$A$2:$A$3000,$A2)&gt;0,"Yes",""))</f>
        <v/>
      </c>
    </row>
    <row r="1572">
      <c r="B1572" s="22" t="n"/>
      <c r="G1572" s="25" t="n"/>
      <c r="H1572" s="24">
        <f>IF(AND($F1572="TEMP",$G1572&gt;0,$M1572&lt;&gt;""),$M1572+$G1572,"")</f>
        <v/>
      </c>
      <c r="I1572" s="22" t="n"/>
      <c r="J1572" s="22" t="n"/>
      <c r="K1572" s="24" t="n"/>
      <c r="W1572">
        <f>IF($A2="","",COUNTIF('07_Pallet_Contents'!$A$2:$A$3000,$A2))</f>
        <v/>
      </c>
      <c r="X1572">
        <f>IF($A2="","",SUMIF('07_Pallet_Contents'!$A$2:$A$3000,$A2,'07_Pallet_Contents'!$D$2:$D$3000))</f>
        <v/>
      </c>
      <c r="Y1572">
        <f>IF($A2="","",SUMIF('07_Pallet_Contents'!$A$2:$A$3000,$A2,'07_Pallet_Contents'!$I$2:$I$3000))</f>
        <v/>
      </c>
      <c r="Z1572">
        <f>IF($A2="","",IF(COUNTIF('07_Pallet_Contents'!$A$2:$A$3000,$A2)&gt;0,"Yes",""))</f>
        <v/>
      </c>
    </row>
    <row r="1573">
      <c r="B1573" s="22" t="n"/>
      <c r="G1573" s="25" t="n"/>
      <c r="H1573" s="24">
        <f>IF(AND($F1573="TEMP",$G1573&gt;0,$M1573&lt;&gt;""),$M1573+$G1573,"")</f>
        <v/>
      </c>
      <c r="I1573" s="22" t="n"/>
      <c r="J1573" s="22" t="n"/>
      <c r="K1573" s="24" t="n"/>
      <c r="W1573">
        <f>IF($A2="","",COUNTIF('07_Pallet_Contents'!$A$2:$A$3000,$A2))</f>
        <v/>
      </c>
      <c r="X1573">
        <f>IF($A2="","",SUMIF('07_Pallet_Contents'!$A$2:$A$3000,$A2,'07_Pallet_Contents'!$D$2:$D$3000))</f>
        <v/>
      </c>
      <c r="Y1573">
        <f>IF($A2="","",SUMIF('07_Pallet_Contents'!$A$2:$A$3000,$A2,'07_Pallet_Contents'!$I$2:$I$3000))</f>
        <v/>
      </c>
      <c r="Z1573">
        <f>IF($A2="","",IF(COUNTIF('07_Pallet_Contents'!$A$2:$A$3000,$A2)&gt;0,"Yes",""))</f>
        <v/>
      </c>
    </row>
    <row r="1574">
      <c r="B1574" s="22" t="n"/>
      <c r="G1574" s="25" t="n"/>
      <c r="H1574" s="24">
        <f>IF(AND($F1574="TEMP",$G1574&gt;0,$M1574&lt;&gt;""),$M1574+$G1574,"")</f>
        <v/>
      </c>
      <c r="I1574" s="22" t="n"/>
      <c r="J1574" s="22" t="n"/>
      <c r="K1574" s="24" t="n"/>
      <c r="W1574">
        <f>IF($A2="","",COUNTIF('07_Pallet_Contents'!$A$2:$A$3000,$A2))</f>
        <v/>
      </c>
      <c r="X1574">
        <f>IF($A2="","",SUMIF('07_Pallet_Contents'!$A$2:$A$3000,$A2,'07_Pallet_Contents'!$D$2:$D$3000))</f>
        <v/>
      </c>
      <c r="Y1574">
        <f>IF($A2="","",SUMIF('07_Pallet_Contents'!$A$2:$A$3000,$A2,'07_Pallet_Contents'!$I$2:$I$3000))</f>
        <v/>
      </c>
      <c r="Z1574">
        <f>IF($A2="","",IF(COUNTIF('07_Pallet_Contents'!$A$2:$A$3000,$A2)&gt;0,"Yes",""))</f>
        <v/>
      </c>
    </row>
    <row r="1575">
      <c r="B1575" s="22" t="n"/>
      <c r="G1575" s="25" t="n"/>
      <c r="H1575" s="24">
        <f>IF(AND($F1575="TEMP",$G1575&gt;0,$M1575&lt;&gt;""),$M1575+$G1575,"")</f>
        <v/>
      </c>
      <c r="I1575" s="22" t="n"/>
      <c r="J1575" s="22" t="n"/>
      <c r="K1575" s="24" t="n"/>
      <c r="W1575">
        <f>IF($A2="","",COUNTIF('07_Pallet_Contents'!$A$2:$A$3000,$A2))</f>
        <v/>
      </c>
      <c r="X1575">
        <f>IF($A2="","",SUMIF('07_Pallet_Contents'!$A$2:$A$3000,$A2,'07_Pallet_Contents'!$D$2:$D$3000))</f>
        <v/>
      </c>
      <c r="Y1575">
        <f>IF($A2="","",SUMIF('07_Pallet_Contents'!$A$2:$A$3000,$A2,'07_Pallet_Contents'!$I$2:$I$3000))</f>
        <v/>
      </c>
      <c r="Z1575">
        <f>IF($A2="","",IF(COUNTIF('07_Pallet_Contents'!$A$2:$A$3000,$A2)&gt;0,"Yes",""))</f>
        <v/>
      </c>
    </row>
    <row r="1576">
      <c r="B1576" s="22" t="n"/>
      <c r="G1576" s="25" t="n"/>
      <c r="H1576" s="24">
        <f>IF(AND($F1576="TEMP",$G1576&gt;0,$M1576&lt;&gt;""),$M1576+$G1576,"")</f>
        <v/>
      </c>
      <c r="I1576" s="22" t="n"/>
      <c r="J1576" s="22" t="n"/>
      <c r="K1576" s="24" t="n"/>
      <c r="W1576">
        <f>IF($A2="","",COUNTIF('07_Pallet_Contents'!$A$2:$A$3000,$A2))</f>
        <v/>
      </c>
      <c r="X1576">
        <f>IF($A2="","",SUMIF('07_Pallet_Contents'!$A$2:$A$3000,$A2,'07_Pallet_Contents'!$D$2:$D$3000))</f>
        <v/>
      </c>
      <c r="Y1576">
        <f>IF($A2="","",SUMIF('07_Pallet_Contents'!$A$2:$A$3000,$A2,'07_Pallet_Contents'!$I$2:$I$3000))</f>
        <v/>
      </c>
      <c r="Z1576">
        <f>IF($A2="","",IF(COUNTIF('07_Pallet_Contents'!$A$2:$A$3000,$A2)&gt;0,"Yes",""))</f>
        <v/>
      </c>
    </row>
    <row r="1577">
      <c r="B1577" s="22" t="n"/>
      <c r="G1577" s="25" t="n"/>
      <c r="H1577" s="24">
        <f>IF(AND($F1577="TEMP",$G1577&gt;0,$M1577&lt;&gt;""),$M1577+$G1577,"")</f>
        <v/>
      </c>
      <c r="I1577" s="22" t="n"/>
      <c r="J1577" s="22" t="n"/>
      <c r="K1577" s="24" t="n"/>
      <c r="W1577">
        <f>IF($A2="","",COUNTIF('07_Pallet_Contents'!$A$2:$A$3000,$A2))</f>
        <v/>
      </c>
      <c r="X1577">
        <f>IF($A2="","",SUMIF('07_Pallet_Contents'!$A$2:$A$3000,$A2,'07_Pallet_Contents'!$D$2:$D$3000))</f>
        <v/>
      </c>
      <c r="Y1577">
        <f>IF($A2="","",SUMIF('07_Pallet_Contents'!$A$2:$A$3000,$A2,'07_Pallet_Contents'!$I$2:$I$3000))</f>
        <v/>
      </c>
      <c r="Z1577">
        <f>IF($A2="","",IF(COUNTIF('07_Pallet_Contents'!$A$2:$A$3000,$A2)&gt;0,"Yes",""))</f>
        <v/>
      </c>
    </row>
    <row r="1578">
      <c r="B1578" s="22" t="n"/>
      <c r="G1578" s="25" t="n"/>
      <c r="H1578" s="24">
        <f>IF(AND($F1578="TEMP",$G1578&gt;0,$M1578&lt;&gt;""),$M1578+$G1578,"")</f>
        <v/>
      </c>
      <c r="I1578" s="22" t="n"/>
      <c r="J1578" s="22" t="n"/>
      <c r="K1578" s="24" t="n"/>
      <c r="W1578">
        <f>IF($A2="","",COUNTIF('07_Pallet_Contents'!$A$2:$A$3000,$A2))</f>
        <v/>
      </c>
      <c r="X1578">
        <f>IF($A2="","",SUMIF('07_Pallet_Contents'!$A$2:$A$3000,$A2,'07_Pallet_Contents'!$D$2:$D$3000))</f>
        <v/>
      </c>
      <c r="Y1578">
        <f>IF($A2="","",SUMIF('07_Pallet_Contents'!$A$2:$A$3000,$A2,'07_Pallet_Contents'!$I$2:$I$3000))</f>
        <v/>
      </c>
      <c r="Z1578">
        <f>IF($A2="","",IF(COUNTIF('07_Pallet_Contents'!$A$2:$A$3000,$A2)&gt;0,"Yes",""))</f>
        <v/>
      </c>
    </row>
    <row r="1579">
      <c r="B1579" s="22" t="n"/>
      <c r="G1579" s="25" t="n"/>
      <c r="H1579" s="24">
        <f>IF(AND($F1579="TEMP",$G1579&gt;0,$M1579&lt;&gt;""),$M1579+$G1579,"")</f>
        <v/>
      </c>
      <c r="I1579" s="22" t="n"/>
      <c r="J1579" s="22" t="n"/>
      <c r="K1579" s="24" t="n"/>
      <c r="W1579">
        <f>IF($A2="","",COUNTIF('07_Pallet_Contents'!$A$2:$A$3000,$A2))</f>
        <v/>
      </c>
      <c r="X1579">
        <f>IF($A2="","",SUMIF('07_Pallet_Contents'!$A$2:$A$3000,$A2,'07_Pallet_Contents'!$D$2:$D$3000))</f>
        <v/>
      </c>
      <c r="Y1579">
        <f>IF($A2="","",SUMIF('07_Pallet_Contents'!$A$2:$A$3000,$A2,'07_Pallet_Contents'!$I$2:$I$3000))</f>
        <v/>
      </c>
      <c r="Z1579">
        <f>IF($A2="","",IF(COUNTIF('07_Pallet_Contents'!$A$2:$A$3000,$A2)&gt;0,"Yes",""))</f>
        <v/>
      </c>
    </row>
    <row r="1580">
      <c r="B1580" s="22" t="n"/>
      <c r="G1580" s="25" t="n"/>
      <c r="H1580" s="24">
        <f>IF(AND($F1580="TEMP",$G1580&gt;0,$M1580&lt;&gt;""),$M1580+$G1580,"")</f>
        <v/>
      </c>
      <c r="I1580" s="22" t="n"/>
      <c r="J1580" s="22" t="n"/>
      <c r="K1580" s="24" t="n"/>
      <c r="W1580">
        <f>IF($A2="","",COUNTIF('07_Pallet_Contents'!$A$2:$A$3000,$A2))</f>
        <v/>
      </c>
      <c r="X1580">
        <f>IF($A2="","",SUMIF('07_Pallet_Contents'!$A$2:$A$3000,$A2,'07_Pallet_Contents'!$D$2:$D$3000))</f>
        <v/>
      </c>
      <c r="Y1580">
        <f>IF($A2="","",SUMIF('07_Pallet_Contents'!$A$2:$A$3000,$A2,'07_Pallet_Contents'!$I$2:$I$3000))</f>
        <v/>
      </c>
      <c r="Z1580">
        <f>IF($A2="","",IF(COUNTIF('07_Pallet_Contents'!$A$2:$A$3000,$A2)&gt;0,"Yes",""))</f>
        <v/>
      </c>
    </row>
    <row r="1581">
      <c r="B1581" s="22" t="n"/>
      <c r="G1581" s="25" t="n"/>
      <c r="H1581" s="24">
        <f>IF(AND($F1581="TEMP",$G1581&gt;0,$M1581&lt;&gt;""),$M1581+$G1581,"")</f>
        <v/>
      </c>
      <c r="I1581" s="22" t="n"/>
      <c r="J1581" s="22" t="n"/>
      <c r="K1581" s="24" t="n"/>
      <c r="W1581">
        <f>IF($A2="","",COUNTIF('07_Pallet_Contents'!$A$2:$A$3000,$A2))</f>
        <v/>
      </c>
      <c r="X1581">
        <f>IF($A2="","",SUMIF('07_Pallet_Contents'!$A$2:$A$3000,$A2,'07_Pallet_Contents'!$D$2:$D$3000))</f>
        <v/>
      </c>
      <c r="Y1581">
        <f>IF($A2="","",SUMIF('07_Pallet_Contents'!$A$2:$A$3000,$A2,'07_Pallet_Contents'!$I$2:$I$3000))</f>
        <v/>
      </c>
      <c r="Z1581">
        <f>IF($A2="","",IF(COUNTIF('07_Pallet_Contents'!$A$2:$A$3000,$A2)&gt;0,"Yes",""))</f>
        <v/>
      </c>
    </row>
    <row r="1582">
      <c r="B1582" s="22" t="n"/>
      <c r="G1582" s="25" t="n"/>
      <c r="H1582" s="24">
        <f>IF(AND($F1582="TEMP",$G1582&gt;0,$M1582&lt;&gt;""),$M1582+$G1582,"")</f>
        <v/>
      </c>
      <c r="I1582" s="22" t="n"/>
      <c r="J1582" s="22" t="n"/>
      <c r="K1582" s="24" t="n"/>
      <c r="W1582">
        <f>IF($A2="","",COUNTIF('07_Pallet_Contents'!$A$2:$A$3000,$A2))</f>
        <v/>
      </c>
      <c r="X1582">
        <f>IF($A2="","",SUMIF('07_Pallet_Contents'!$A$2:$A$3000,$A2,'07_Pallet_Contents'!$D$2:$D$3000))</f>
        <v/>
      </c>
      <c r="Y1582">
        <f>IF($A2="","",SUMIF('07_Pallet_Contents'!$A$2:$A$3000,$A2,'07_Pallet_Contents'!$I$2:$I$3000))</f>
        <v/>
      </c>
      <c r="Z1582">
        <f>IF($A2="","",IF(COUNTIF('07_Pallet_Contents'!$A$2:$A$3000,$A2)&gt;0,"Yes",""))</f>
        <v/>
      </c>
    </row>
    <row r="1583">
      <c r="B1583" s="22" t="n"/>
      <c r="G1583" s="25" t="n"/>
      <c r="H1583" s="24">
        <f>IF(AND($F1583="TEMP",$G1583&gt;0,$M1583&lt;&gt;""),$M1583+$G1583,"")</f>
        <v/>
      </c>
      <c r="I1583" s="22" t="n"/>
      <c r="J1583" s="22" t="n"/>
      <c r="K1583" s="24" t="n"/>
      <c r="W1583">
        <f>IF($A2="","",COUNTIF('07_Pallet_Contents'!$A$2:$A$3000,$A2))</f>
        <v/>
      </c>
      <c r="X1583">
        <f>IF($A2="","",SUMIF('07_Pallet_Contents'!$A$2:$A$3000,$A2,'07_Pallet_Contents'!$D$2:$D$3000))</f>
        <v/>
      </c>
      <c r="Y1583">
        <f>IF($A2="","",SUMIF('07_Pallet_Contents'!$A$2:$A$3000,$A2,'07_Pallet_Contents'!$I$2:$I$3000))</f>
        <v/>
      </c>
      <c r="Z1583">
        <f>IF($A2="","",IF(COUNTIF('07_Pallet_Contents'!$A$2:$A$3000,$A2)&gt;0,"Yes",""))</f>
        <v/>
      </c>
    </row>
    <row r="1584">
      <c r="B1584" s="22" t="n"/>
      <c r="G1584" s="25" t="n"/>
      <c r="H1584" s="24">
        <f>IF(AND($F1584="TEMP",$G1584&gt;0,$M1584&lt;&gt;""),$M1584+$G1584,"")</f>
        <v/>
      </c>
      <c r="I1584" s="22" t="n"/>
      <c r="J1584" s="22" t="n"/>
      <c r="K1584" s="24" t="n"/>
      <c r="W1584">
        <f>IF($A2="","",COUNTIF('07_Pallet_Contents'!$A$2:$A$3000,$A2))</f>
        <v/>
      </c>
      <c r="X1584">
        <f>IF($A2="","",SUMIF('07_Pallet_Contents'!$A$2:$A$3000,$A2,'07_Pallet_Contents'!$D$2:$D$3000))</f>
        <v/>
      </c>
      <c r="Y1584">
        <f>IF($A2="","",SUMIF('07_Pallet_Contents'!$A$2:$A$3000,$A2,'07_Pallet_Contents'!$I$2:$I$3000))</f>
        <v/>
      </c>
      <c r="Z1584">
        <f>IF($A2="","",IF(COUNTIF('07_Pallet_Contents'!$A$2:$A$3000,$A2)&gt;0,"Yes",""))</f>
        <v/>
      </c>
    </row>
    <row r="1585">
      <c r="B1585" s="22" t="n"/>
      <c r="G1585" s="25" t="n"/>
      <c r="H1585" s="24">
        <f>IF(AND($F1585="TEMP",$G1585&gt;0,$M1585&lt;&gt;""),$M1585+$G1585,"")</f>
        <v/>
      </c>
      <c r="I1585" s="22" t="n"/>
      <c r="J1585" s="22" t="n"/>
      <c r="K1585" s="24" t="n"/>
      <c r="W1585">
        <f>IF($A2="","",COUNTIF('07_Pallet_Contents'!$A$2:$A$3000,$A2))</f>
        <v/>
      </c>
      <c r="X1585">
        <f>IF($A2="","",SUMIF('07_Pallet_Contents'!$A$2:$A$3000,$A2,'07_Pallet_Contents'!$D$2:$D$3000))</f>
        <v/>
      </c>
      <c r="Y1585">
        <f>IF($A2="","",SUMIF('07_Pallet_Contents'!$A$2:$A$3000,$A2,'07_Pallet_Contents'!$I$2:$I$3000))</f>
        <v/>
      </c>
      <c r="Z1585">
        <f>IF($A2="","",IF(COUNTIF('07_Pallet_Contents'!$A$2:$A$3000,$A2)&gt;0,"Yes",""))</f>
        <v/>
      </c>
    </row>
    <row r="1586">
      <c r="B1586" s="22" t="n"/>
      <c r="G1586" s="25" t="n"/>
      <c r="H1586" s="24">
        <f>IF(AND($F1586="TEMP",$G1586&gt;0,$M1586&lt;&gt;""),$M1586+$G1586,"")</f>
        <v/>
      </c>
      <c r="I1586" s="22" t="n"/>
      <c r="J1586" s="22" t="n"/>
      <c r="K1586" s="24" t="n"/>
      <c r="W1586">
        <f>IF($A2="","",COUNTIF('07_Pallet_Contents'!$A$2:$A$3000,$A2))</f>
        <v/>
      </c>
      <c r="X1586">
        <f>IF($A2="","",SUMIF('07_Pallet_Contents'!$A$2:$A$3000,$A2,'07_Pallet_Contents'!$D$2:$D$3000))</f>
        <v/>
      </c>
      <c r="Y1586">
        <f>IF($A2="","",SUMIF('07_Pallet_Contents'!$A$2:$A$3000,$A2,'07_Pallet_Contents'!$I$2:$I$3000))</f>
        <v/>
      </c>
      <c r="Z1586">
        <f>IF($A2="","",IF(COUNTIF('07_Pallet_Contents'!$A$2:$A$3000,$A2)&gt;0,"Yes",""))</f>
        <v/>
      </c>
    </row>
    <row r="1587">
      <c r="B1587" s="22" t="n"/>
      <c r="G1587" s="25" t="n"/>
      <c r="H1587" s="24">
        <f>IF(AND($F1587="TEMP",$G1587&gt;0,$M1587&lt;&gt;""),$M1587+$G1587,"")</f>
        <v/>
      </c>
      <c r="I1587" s="22" t="n"/>
      <c r="J1587" s="22" t="n"/>
      <c r="K1587" s="24" t="n"/>
      <c r="W1587">
        <f>IF($A2="","",COUNTIF('07_Pallet_Contents'!$A$2:$A$3000,$A2))</f>
        <v/>
      </c>
      <c r="X1587">
        <f>IF($A2="","",SUMIF('07_Pallet_Contents'!$A$2:$A$3000,$A2,'07_Pallet_Contents'!$D$2:$D$3000))</f>
        <v/>
      </c>
      <c r="Y1587">
        <f>IF($A2="","",SUMIF('07_Pallet_Contents'!$A$2:$A$3000,$A2,'07_Pallet_Contents'!$I$2:$I$3000))</f>
        <v/>
      </c>
      <c r="Z1587">
        <f>IF($A2="","",IF(COUNTIF('07_Pallet_Contents'!$A$2:$A$3000,$A2)&gt;0,"Yes",""))</f>
        <v/>
      </c>
    </row>
    <row r="1588">
      <c r="B1588" s="22" t="n"/>
      <c r="G1588" s="25" t="n"/>
      <c r="H1588" s="24">
        <f>IF(AND($F1588="TEMP",$G1588&gt;0,$M1588&lt;&gt;""),$M1588+$G1588,"")</f>
        <v/>
      </c>
      <c r="I1588" s="22" t="n"/>
      <c r="J1588" s="22" t="n"/>
      <c r="K1588" s="24" t="n"/>
      <c r="W1588">
        <f>IF($A2="","",COUNTIF('07_Pallet_Contents'!$A$2:$A$3000,$A2))</f>
        <v/>
      </c>
      <c r="X1588">
        <f>IF($A2="","",SUMIF('07_Pallet_Contents'!$A$2:$A$3000,$A2,'07_Pallet_Contents'!$D$2:$D$3000))</f>
        <v/>
      </c>
      <c r="Y1588">
        <f>IF($A2="","",SUMIF('07_Pallet_Contents'!$A$2:$A$3000,$A2,'07_Pallet_Contents'!$I$2:$I$3000))</f>
        <v/>
      </c>
      <c r="Z1588">
        <f>IF($A2="","",IF(COUNTIF('07_Pallet_Contents'!$A$2:$A$3000,$A2)&gt;0,"Yes",""))</f>
        <v/>
      </c>
    </row>
    <row r="1589">
      <c r="B1589" s="22" t="n"/>
      <c r="G1589" s="25" t="n"/>
      <c r="H1589" s="24">
        <f>IF(AND($F1589="TEMP",$G1589&gt;0,$M1589&lt;&gt;""),$M1589+$G1589,"")</f>
        <v/>
      </c>
      <c r="I1589" s="22" t="n"/>
      <c r="J1589" s="22" t="n"/>
      <c r="K1589" s="24" t="n"/>
      <c r="W1589">
        <f>IF($A2="","",COUNTIF('07_Pallet_Contents'!$A$2:$A$3000,$A2))</f>
        <v/>
      </c>
      <c r="X1589">
        <f>IF($A2="","",SUMIF('07_Pallet_Contents'!$A$2:$A$3000,$A2,'07_Pallet_Contents'!$D$2:$D$3000))</f>
        <v/>
      </c>
      <c r="Y1589">
        <f>IF($A2="","",SUMIF('07_Pallet_Contents'!$A$2:$A$3000,$A2,'07_Pallet_Contents'!$I$2:$I$3000))</f>
        <v/>
      </c>
      <c r="Z1589">
        <f>IF($A2="","",IF(COUNTIF('07_Pallet_Contents'!$A$2:$A$3000,$A2)&gt;0,"Yes",""))</f>
        <v/>
      </c>
    </row>
    <row r="1590">
      <c r="B1590" s="22" t="n"/>
      <c r="G1590" s="25" t="n"/>
      <c r="H1590" s="24">
        <f>IF(AND($F1590="TEMP",$G1590&gt;0,$M1590&lt;&gt;""),$M1590+$G1590,"")</f>
        <v/>
      </c>
      <c r="I1590" s="22" t="n"/>
      <c r="J1590" s="22" t="n"/>
      <c r="K1590" s="24" t="n"/>
      <c r="W1590">
        <f>IF($A2="","",COUNTIF('07_Pallet_Contents'!$A$2:$A$3000,$A2))</f>
        <v/>
      </c>
      <c r="X1590">
        <f>IF($A2="","",SUMIF('07_Pallet_Contents'!$A$2:$A$3000,$A2,'07_Pallet_Contents'!$D$2:$D$3000))</f>
        <v/>
      </c>
      <c r="Y1590">
        <f>IF($A2="","",SUMIF('07_Pallet_Contents'!$A$2:$A$3000,$A2,'07_Pallet_Contents'!$I$2:$I$3000))</f>
        <v/>
      </c>
      <c r="Z1590">
        <f>IF($A2="","",IF(COUNTIF('07_Pallet_Contents'!$A$2:$A$3000,$A2)&gt;0,"Yes",""))</f>
        <v/>
      </c>
    </row>
    <row r="1591">
      <c r="B1591" s="22" t="n"/>
      <c r="G1591" s="25" t="n"/>
      <c r="H1591" s="24">
        <f>IF(AND($F1591="TEMP",$G1591&gt;0,$M1591&lt;&gt;""),$M1591+$G1591,"")</f>
        <v/>
      </c>
      <c r="I1591" s="22" t="n"/>
      <c r="J1591" s="22" t="n"/>
      <c r="K1591" s="24" t="n"/>
      <c r="W1591">
        <f>IF($A2="","",COUNTIF('07_Pallet_Contents'!$A$2:$A$3000,$A2))</f>
        <v/>
      </c>
      <c r="X1591">
        <f>IF($A2="","",SUMIF('07_Pallet_Contents'!$A$2:$A$3000,$A2,'07_Pallet_Contents'!$D$2:$D$3000))</f>
        <v/>
      </c>
      <c r="Y1591">
        <f>IF($A2="","",SUMIF('07_Pallet_Contents'!$A$2:$A$3000,$A2,'07_Pallet_Contents'!$I$2:$I$3000))</f>
        <v/>
      </c>
      <c r="Z1591">
        <f>IF($A2="","",IF(COUNTIF('07_Pallet_Contents'!$A$2:$A$3000,$A2)&gt;0,"Yes",""))</f>
        <v/>
      </c>
    </row>
    <row r="1592">
      <c r="B1592" s="22" t="n"/>
      <c r="G1592" s="25" t="n"/>
      <c r="H1592" s="24">
        <f>IF(AND($F1592="TEMP",$G1592&gt;0,$M1592&lt;&gt;""),$M1592+$G1592,"")</f>
        <v/>
      </c>
      <c r="I1592" s="22" t="n"/>
      <c r="J1592" s="22" t="n"/>
      <c r="K1592" s="24" t="n"/>
      <c r="W1592">
        <f>IF($A2="","",COUNTIF('07_Pallet_Contents'!$A$2:$A$3000,$A2))</f>
        <v/>
      </c>
      <c r="X1592">
        <f>IF($A2="","",SUMIF('07_Pallet_Contents'!$A$2:$A$3000,$A2,'07_Pallet_Contents'!$D$2:$D$3000))</f>
        <v/>
      </c>
      <c r="Y1592">
        <f>IF($A2="","",SUMIF('07_Pallet_Contents'!$A$2:$A$3000,$A2,'07_Pallet_Contents'!$I$2:$I$3000))</f>
        <v/>
      </c>
      <c r="Z1592">
        <f>IF($A2="","",IF(COUNTIF('07_Pallet_Contents'!$A$2:$A$3000,$A2)&gt;0,"Yes",""))</f>
        <v/>
      </c>
    </row>
    <row r="1593">
      <c r="B1593" s="22" t="n"/>
      <c r="G1593" s="25" t="n"/>
      <c r="H1593" s="24">
        <f>IF(AND($F1593="TEMP",$G1593&gt;0,$M1593&lt;&gt;""),$M1593+$G1593,"")</f>
        <v/>
      </c>
      <c r="I1593" s="22" t="n"/>
      <c r="J1593" s="22" t="n"/>
      <c r="K1593" s="24" t="n"/>
      <c r="W1593">
        <f>IF($A2="","",COUNTIF('07_Pallet_Contents'!$A$2:$A$3000,$A2))</f>
        <v/>
      </c>
      <c r="X1593">
        <f>IF($A2="","",SUMIF('07_Pallet_Contents'!$A$2:$A$3000,$A2,'07_Pallet_Contents'!$D$2:$D$3000))</f>
        <v/>
      </c>
      <c r="Y1593">
        <f>IF($A2="","",SUMIF('07_Pallet_Contents'!$A$2:$A$3000,$A2,'07_Pallet_Contents'!$I$2:$I$3000))</f>
        <v/>
      </c>
      <c r="Z1593">
        <f>IF($A2="","",IF(COUNTIF('07_Pallet_Contents'!$A$2:$A$3000,$A2)&gt;0,"Yes",""))</f>
        <v/>
      </c>
    </row>
    <row r="1594">
      <c r="B1594" s="22" t="n"/>
      <c r="G1594" s="25" t="n"/>
      <c r="H1594" s="24">
        <f>IF(AND($F1594="TEMP",$G1594&gt;0,$M1594&lt;&gt;""),$M1594+$G1594,"")</f>
        <v/>
      </c>
      <c r="I1594" s="22" t="n"/>
      <c r="J1594" s="22" t="n"/>
      <c r="K1594" s="24" t="n"/>
      <c r="W1594">
        <f>IF($A2="","",COUNTIF('07_Pallet_Contents'!$A$2:$A$3000,$A2))</f>
        <v/>
      </c>
      <c r="X1594">
        <f>IF($A2="","",SUMIF('07_Pallet_Contents'!$A$2:$A$3000,$A2,'07_Pallet_Contents'!$D$2:$D$3000))</f>
        <v/>
      </c>
      <c r="Y1594">
        <f>IF($A2="","",SUMIF('07_Pallet_Contents'!$A$2:$A$3000,$A2,'07_Pallet_Contents'!$I$2:$I$3000))</f>
        <v/>
      </c>
      <c r="Z1594">
        <f>IF($A2="","",IF(COUNTIF('07_Pallet_Contents'!$A$2:$A$3000,$A2)&gt;0,"Yes",""))</f>
        <v/>
      </c>
    </row>
    <row r="1595">
      <c r="B1595" s="22" t="n"/>
      <c r="G1595" s="25" t="n"/>
      <c r="H1595" s="24">
        <f>IF(AND($F1595="TEMP",$G1595&gt;0,$M1595&lt;&gt;""),$M1595+$G1595,"")</f>
        <v/>
      </c>
      <c r="I1595" s="22" t="n"/>
      <c r="J1595" s="22" t="n"/>
      <c r="K1595" s="24" t="n"/>
      <c r="W1595">
        <f>IF($A2="","",COUNTIF('07_Pallet_Contents'!$A$2:$A$3000,$A2))</f>
        <v/>
      </c>
      <c r="X1595">
        <f>IF($A2="","",SUMIF('07_Pallet_Contents'!$A$2:$A$3000,$A2,'07_Pallet_Contents'!$D$2:$D$3000))</f>
        <v/>
      </c>
      <c r="Y1595">
        <f>IF($A2="","",SUMIF('07_Pallet_Contents'!$A$2:$A$3000,$A2,'07_Pallet_Contents'!$I$2:$I$3000))</f>
        <v/>
      </c>
      <c r="Z1595">
        <f>IF($A2="","",IF(COUNTIF('07_Pallet_Contents'!$A$2:$A$3000,$A2)&gt;0,"Yes",""))</f>
        <v/>
      </c>
    </row>
    <row r="1596">
      <c r="B1596" s="22" t="n"/>
      <c r="G1596" s="25" t="n"/>
      <c r="H1596" s="24">
        <f>IF(AND($F1596="TEMP",$G1596&gt;0,$M1596&lt;&gt;""),$M1596+$G1596,"")</f>
        <v/>
      </c>
      <c r="I1596" s="22" t="n"/>
      <c r="J1596" s="22" t="n"/>
      <c r="K1596" s="24" t="n"/>
      <c r="W1596">
        <f>IF($A2="","",COUNTIF('07_Pallet_Contents'!$A$2:$A$3000,$A2))</f>
        <v/>
      </c>
      <c r="X1596">
        <f>IF($A2="","",SUMIF('07_Pallet_Contents'!$A$2:$A$3000,$A2,'07_Pallet_Contents'!$D$2:$D$3000))</f>
        <v/>
      </c>
      <c r="Y1596">
        <f>IF($A2="","",SUMIF('07_Pallet_Contents'!$A$2:$A$3000,$A2,'07_Pallet_Contents'!$I$2:$I$3000))</f>
        <v/>
      </c>
      <c r="Z1596">
        <f>IF($A2="","",IF(COUNTIF('07_Pallet_Contents'!$A$2:$A$3000,$A2)&gt;0,"Yes",""))</f>
        <v/>
      </c>
    </row>
    <row r="1597">
      <c r="B1597" s="22" t="n"/>
      <c r="G1597" s="25" t="n"/>
      <c r="H1597" s="24">
        <f>IF(AND($F1597="TEMP",$G1597&gt;0,$M1597&lt;&gt;""),$M1597+$G1597,"")</f>
        <v/>
      </c>
      <c r="I1597" s="22" t="n"/>
      <c r="J1597" s="22" t="n"/>
      <c r="K1597" s="24" t="n"/>
      <c r="W1597">
        <f>IF($A2="","",COUNTIF('07_Pallet_Contents'!$A$2:$A$3000,$A2))</f>
        <v/>
      </c>
      <c r="X1597">
        <f>IF($A2="","",SUMIF('07_Pallet_Contents'!$A$2:$A$3000,$A2,'07_Pallet_Contents'!$D$2:$D$3000))</f>
        <v/>
      </c>
      <c r="Y1597">
        <f>IF($A2="","",SUMIF('07_Pallet_Contents'!$A$2:$A$3000,$A2,'07_Pallet_Contents'!$I$2:$I$3000))</f>
        <v/>
      </c>
      <c r="Z1597">
        <f>IF($A2="","",IF(COUNTIF('07_Pallet_Contents'!$A$2:$A$3000,$A2)&gt;0,"Yes",""))</f>
        <v/>
      </c>
    </row>
    <row r="1598">
      <c r="B1598" s="22" t="n"/>
      <c r="G1598" s="25" t="n"/>
      <c r="H1598" s="24">
        <f>IF(AND($F1598="TEMP",$G1598&gt;0,$M1598&lt;&gt;""),$M1598+$G1598,"")</f>
        <v/>
      </c>
      <c r="I1598" s="22" t="n"/>
      <c r="J1598" s="22" t="n"/>
      <c r="K1598" s="24" t="n"/>
      <c r="W1598">
        <f>IF($A2="","",COUNTIF('07_Pallet_Contents'!$A$2:$A$3000,$A2))</f>
        <v/>
      </c>
      <c r="X1598">
        <f>IF($A2="","",SUMIF('07_Pallet_Contents'!$A$2:$A$3000,$A2,'07_Pallet_Contents'!$D$2:$D$3000))</f>
        <v/>
      </c>
      <c r="Y1598">
        <f>IF($A2="","",SUMIF('07_Pallet_Contents'!$A$2:$A$3000,$A2,'07_Pallet_Contents'!$I$2:$I$3000))</f>
        <v/>
      </c>
      <c r="Z1598">
        <f>IF($A2="","",IF(COUNTIF('07_Pallet_Contents'!$A$2:$A$3000,$A2)&gt;0,"Yes",""))</f>
        <v/>
      </c>
    </row>
    <row r="1599">
      <c r="B1599" s="22" t="n"/>
      <c r="G1599" s="25" t="n"/>
      <c r="H1599" s="24">
        <f>IF(AND($F1599="TEMP",$G1599&gt;0,$M1599&lt;&gt;""),$M1599+$G1599,"")</f>
        <v/>
      </c>
      <c r="I1599" s="22" t="n"/>
      <c r="J1599" s="22" t="n"/>
      <c r="K1599" s="24" t="n"/>
      <c r="W1599">
        <f>IF($A2="","",COUNTIF('07_Pallet_Contents'!$A$2:$A$3000,$A2))</f>
        <v/>
      </c>
      <c r="X1599">
        <f>IF($A2="","",SUMIF('07_Pallet_Contents'!$A$2:$A$3000,$A2,'07_Pallet_Contents'!$D$2:$D$3000))</f>
        <v/>
      </c>
      <c r="Y1599">
        <f>IF($A2="","",SUMIF('07_Pallet_Contents'!$A$2:$A$3000,$A2,'07_Pallet_Contents'!$I$2:$I$3000))</f>
        <v/>
      </c>
      <c r="Z1599">
        <f>IF($A2="","",IF(COUNTIF('07_Pallet_Contents'!$A$2:$A$3000,$A2)&gt;0,"Yes",""))</f>
        <v/>
      </c>
    </row>
    <row r="1600">
      <c r="B1600" s="22" t="n"/>
      <c r="G1600" s="25" t="n"/>
      <c r="H1600" s="24">
        <f>IF(AND($F1600="TEMP",$G1600&gt;0,$M1600&lt;&gt;""),$M1600+$G1600,"")</f>
        <v/>
      </c>
      <c r="I1600" s="22" t="n"/>
      <c r="J1600" s="22" t="n"/>
      <c r="K1600" s="24" t="n"/>
      <c r="W1600">
        <f>IF($A2="","",COUNTIF('07_Pallet_Contents'!$A$2:$A$3000,$A2))</f>
        <v/>
      </c>
      <c r="X1600">
        <f>IF($A2="","",SUMIF('07_Pallet_Contents'!$A$2:$A$3000,$A2,'07_Pallet_Contents'!$D$2:$D$3000))</f>
        <v/>
      </c>
      <c r="Y1600">
        <f>IF($A2="","",SUMIF('07_Pallet_Contents'!$A$2:$A$3000,$A2,'07_Pallet_Contents'!$I$2:$I$3000))</f>
        <v/>
      </c>
      <c r="Z1600">
        <f>IF($A2="","",IF(COUNTIF('07_Pallet_Contents'!$A$2:$A$3000,$A2)&gt;0,"Yes",""))</f>
        <v/>
      </c>
    </row>
    <row r="1601">
      <c r="B1601" s="22" t="n"/>
      <c r="G1601" s="25" t="n"/>
      <c r="H1601" s="24">
        <f>IF(AND($F1601="TEMP",$G1601&gt;0,$M1601&lt;&gt;""),$M1601+$G1601,"")</f>
        <v/>
      </c>
      <c r="I1601" s="22" t="n"/>
      <c r="J1601" s="22" t="n"/>
      <c r="K1601" s="24" t="n"/>
      <c r="W1601">
        <f>IF($A2="","",COUNTIF('07_Pallet_Contents'!$A$2:$A$3000,$A2))</f>
        <v/>
      </c>
      <c r="X1601">
        <f>IF($A2="","",SUMIF('07_Pallet_Contents'!$A$2:$A$3000,$A2,'07_Pallet_Contents'!$D$2:$D$3000))</f>
        <v/>
      </c>
      <c r="Y1601">
        <f>IF($A2="","",SUMIF('07_Pallet_Contents'!$A$2:$A$3000,$A2,'07_Pallet_Contents'!$I$2:$I$3000))</f>
        <v/>
      </c>
      <c r="Z1601">
        <f>IF($A2="","",IF(COUNTIF('07_Pallet_Contents'!$A$2:$A$3000,$A2)&gt;0,"Yes",""))</f>
        <v/>
      </c>
    </row>
    <row r="1602">
      <c r="B1602" s="22" t="n"/>
      <c r="G1602" s="25" t="n"/>
      <c r="H1602" s="24">
        <f>IF(AND($F1602="TEMP",$G1602&gt;0,$M1602&lt;&gt;""),$M1602+$G1602,"")</f>
        <v/>
      </c>
      <c r="I1602" s="22" t="n"/>
      <c r="J1602" s="22" t="n"/>
      <c r="K1602" s="24" t="n"/>
      <c r="W1602">
        <f>IF($A2="","",COUNTIF('07_Pallet_Contents'!$A$2:$A$3000,$A2))</f>
        <v/>
      </c>
      <c r="X1602">
        <f>IF($A2="","",SUMIF('07_Pallet_Contents'!$A$2:$A$3000,$A2,'07_Pallet_Contents'!$D$2:$D$3000))</f>
        <v/>
      </c>
      <c r="Y1602">
        <f>IF($A2="","",SUMIF('07_Pallet_Contents'!$A$2:$A$3000,$A2,'07_Pallet_Contents'!$I$2:$I$3000))</f>
        <v/>
      </c>
      <c r="Z1602">
        <f>IF($A2="","",IF(COUNTIF('07_Pallet_Contents'!$A$2:$A$3000,$A2)&gt;0,"Yes",""))</f>
        <v/>
      </c>
    </row>
    <row r="1603">
      <c r="B1603" s="22" t="n"/>
      <c r="G1603" s="25" t="n"/>
      <c r="H1603" s="24">
        <f>IF(AND($F1603="TEMP",$G1603&gt;0,$M1603&lt;&gt;""),$M1603+$G1603,"")</f>
        <v/>
      </c>
      <c r="I1603" s="22" t="n"/>
      <c r="J1603" s="22" t="n"/>
      <c r="K1603" s="24" t="n"/>
      <c r="W1603">
        <f>IF($A2="","",COUNTIF('07_Pallet_Contents'!$A$2:$A$3000,$A2))</f>
        <v/>
      </c>
      <c r="X1603">
        <f>IF($A2="","",SUMIF('07_Pallet_Contents'!$A$2:$A$3000,$A2,'07_Pallet_Contents'!$D$2:$D$3000))</f>
        <v/>
      </c>
      <c r="Y1603">
        <f>IF($A2="","",SUMIF('07_Pallet_Contents'!$A$2:$A$3000,$A2,'07_Pallet_Contents'!$I$2:$I$3000))</f>
        <v/>
      </c>
      <c r="Z1603">
        <f>IF($A2="","",IF(COUNTIF('07_Pallet_Contents'!$A$2:$A$3000,$A2)&gt;0,"Yes",""))</f>
        <v/>
      </c>
    </row>
    <row r="1604">
      <c r="B1604" s="22" t="n"/>
      <c r="G1604" s="25" t="n"/>
      <c r="H1604" s="24">
        <f>IF(AND($F1604="TEMP",$G1604&gt;0,$M1604&lt;&gt;""),$M1604+$G1604,"")</f>
        <v/>
      </c>
      <c r="I1604" s="22" t="n"/>
      <c r="J1604" s="22" t="n"/>
      <c r="K1604" s="24" t="n"/>
      <c r="W1604">
        <f>IF($A2="","",COUNTIF('07_Pallet_Contents'!$A$2:$A$3000,$A2))</f>
        <v/>
      </c>
      <c r="X1604">
        <f>IF($A2="","",SUMIF('07_Pallet_Contents'!$A$2:$A$3000,$A2,'07_Pallet_Contents'!$D$2:$D$3000))</f>
        <v/>
      </c>
      <c r="Y1604">
        <f>IF($A2="","",SUMIF('07_Pallet_Contents'!$A$2:$A$3000,$A2,'07_Pallet_Contents'!$I$2:$I$3000))</f>
        <v/>
      </c>
      <c r="Z1604">
        <f>IF($A2="","",IF(COUNTIF('07_Pallet_Contents'!$A$2:$A$3000,$A2)&gt;0,"Yes",""))</f>
        <v/>
      </c>
    </row>
    <row r="1605">
      <c r="B1605" s="22" t="n"/>
      <c r="G1605" s="25" t="n"/>
      <c r="H1605" s="24">
        <f>IF(AND($F1605="TEMP",$G1605&gt;0,$M1605&lt;&gt;""),$M1605+$G1605,"")</f>
        <v/>
      </c>
      <c r="I1605" s="22" t="n"/>
      <c r="J1605" s="22" t="n"/>
      <c r="K1605" s="24" t="n"/>
      <c r="W1605">
        <f>IF($A2="","",COUNTIF('07_Pallet_Contents'!$A$2:$A$3000,$A2))</f>
        <v/>
      </c>
      <c r="X1605">
        <f>IF($A2="","",SUMIF('07_Pallet_Contents'!$A$2:$A$3000,$A2,'07_Pallet_Contents'!$D$2:$D$3000))</f>
        <v/>
      </c>
      <c r="Y1605">
        <f>IF($A2="","",SUMIF('07_Pallet_Contents'!$A$2:$A$3000,$A2,'07_Pallet_Contents'!$I$2:$I$3000))</f>
        <v/>
      </c>
      <c r="Z1605">
        <f>IF($A2="","",IF(COUNTIF('07_Pallet_Contents'!$A$2:$A$3000,$A2)&gt;0,"Yes",""))</f>
        <v/>
      </c>
    </row>
    <row r="1606">
      <c r="B1606" s="22" t="n"/>
      <c r="G1606" s="25" t="n"/>
      <c r="H1606" s="24">
        <f>IF(AND($F1606="TEMP",$G1606&gt;0,$M1606&lt;&gt;""),$M1606+$G1606,"")</f>
        <v/>
      </c>
      <c r="I1606" s="22" t="n"/>
      <c r="J1606" s="22" t="n"/>
      <c r="K1606" s="24" t="n"/>
      <c r="W1606">
        <f>IF($A2="","",COUNTIF('07_Pallet_Contents'!$A$2:$A$3000,$A2))</f>
        <v/>
      </c>
      <c r="X1606">
        <f>IF($A2="","",SUMIF('07_Pallet_Contents'!$A$2:$A$3000,$A2,'07_Pallet_Contents'!$D$2:$D$3000))</f>
        <v/>
      </c>
      <c r="Y1606">
        <f>IF($A2="","",SUMIF('07_Pallet_Contents'!$A$2:$A$3000,$A2,'07_Pallet_Contents'!$I$2:$I$3000))</f>
        <v/>
      </c>
      <c r="Z1606">
        <f>IF($A2="","",IF(COUNTIF('07_Pallet_Contents'!$A$2:$A$3000,$A2)&gt;0,"Yes",""))</f>
        <v/>
      </c>
    </row>
    <row r="1607">
      <c r="B1607" s="22" t="n"/>
      <c r="G1607" s="25" t="n"/>
      <c r="H1607" s="24">
        <f>IF(AND($F1607="TEMP",$G1607&gt;0,$M1607&lt;&gt;""),$M1607+$G1607,"")</f>
        <v/>
      </c>
      <c r="I1607" s="22" t="n"/>
      <c r="J1607" s="22" t="n"/>
      <c r="K1607" s="24" t="n"/>
      <c r="W1607">
        <f>IF($A2="","",COUNTIF('07_Pallet_Contents'!$A$2:$A$3000,$A2))</f>
        <v/>
      </c>
      <c r="X1607">
        <f>IF($A2="","",SUMIF('07_Pallet_Contents'!$A$2:$A$3000,$A2,'07_Pallet_Contents'!$D$2:$D$3000))</f>
        <v/>
      </c>
      <c r="Y1607">
        <f>IF($A2="","",SUMIF('07_Pallet_Contents'!$A$2:$A$3000,$A2,'07_Pallet_Contents'!$I$2:$I$3000))</f>
        <v/>
      </c>
      <c r="Z1607">
        <f>IF($A2="","",IF(COUNTIF('07_Pallet_Contents'!$A$2:$A$3000,$A2)&gt;0,"Yes",""))</f>
        <v/>
      </c>
    </row>
    <row r="1608">
      <c r="B1608" s="22" t="n"/>
      <c r="G1608" s="25" t="n"/>
      <c r="H1608" s="24">
        <f>IF(AND($F1608="TEMP",$G1608&gt;0,$M1608&lt;&gt;""),$M1608+$G1608,"")</f>
        <v/>
      </c>
      <c r="I1608" s="22" t="n"/>
      <c r="J1608" s="22" t="n"/>
      <c r="K1608" s="24" t="n"/>
      <c r="W1608">
        <f>IF($A2="","",COUNTIF('07_Pallet_Contents'!$A$2:$A$3000,$A2))</f>
        <v/>
      </c>
      <c r="X1608">
        <f>IF($A2="","",SUMIF('07_Pallet_Contents'!$A$2:$A$3000,$A2,'07_Pallet_Contents'!$D$2:$D$3000))</f>
        <v/>
      </c>
      <c r="Y1608">
        <f>IF($A2="","",SUMIF('07_Pallet_Contents'!$A$2:$A$3000,$A2,'07_Pallet_Contents'!$I$2:$I$3000))</f>
        <v/>
      </c>
      <c r="Z1608">
        <f>IF($A2="","",IF(COUNTIF('07_Pallet_Contents'!$A$2:$A$3000,$A2)&gt;0,"Yes",""))</f>
        <v/>
      </c>
    </row>
    <row r="1609">
      <c r="B1609" s="22" t="n"/>
      <c r="G1609" s="25" t="n"/>
      <c r="H1609" s="24">
        <f>IF(AND($F1609="TEMP",$G1609&gt;0,$M1609&lt;&gt;""),$M1609+$G1609,"")</f>
        <v/>
      </c>
      <c r="I1609" s="22" t="n"/>
      <c r="J1609" s="22" t="n"/>
      <c r="K1609" s="24" t="n"/>
      <c r="W1609">
        <f>IF($A2="","",COUNTIF('07_Pallet_Contents'!$A$2:$A$3000,$A2))</f>
        <v/>
      </c>
      <c r="X1609">
        <f>IF($A2="","",SUMIF('07_Pallet_Contents'!$A$2:$A$3000,$A2,'07_Pallet_Contents'!$D$2:$D$3000))</f>
        <v/>
      </c>
      <c r="Y1609">
        <f>IF($A2="","",SUMIF('07_Pallet_Contents'!$A$2:$A$3000,$A2,'07_Pallet_Contents'!$I$2:$I$3000))</f>
        <v/>
      </c>
      <c r="Z1609">
        <f>IF($A2="","",IF(COUNTIF('07_Pallet_Contents'!$A$2:$A$3000,$A2)&gt;0,"Yes",""))</f>
        <v/>
      </c>
    </row>
    <row r="1610">
      <c r="B1610" s="22" t="n"/>
      <c r="G1610" s="25" t="n"/>
      <c r="H1610" s="24">
        <f>IF(AND($F1610="TEMP",$G1610&gt;0,$M1610&lt;&gt;""),$M1610+$G1610,"")</f>
        <v/>
      </c>
      <c r="I1610" s="22" t="n"/>
      <c r="J1610" s="22" t="n"/>
      <c r="K1610" s="24" t="n"/>
      <c r="W1610">
        <f>IF($A2="","",COUNTIF('07_Pallet_Contents'!$A$2:$A$3000,$A2))</f>
        <v/>
      </c>
      <c r="X1610">
        <f>IF($A2="","",SUMIF('07_Pallet_Contents'!$A$2:$A$3000,$A2,'07_Pallet_Contents'!$D$2:$D$3000))</f>
        <v/>
      </c>
      <c r="Y1610">
        <f>IF($A2="","",SUMIF('07_Pallet_Contents'!$A$2:$A$3000,$A2,'07_Pallet_Contents'!$I$2:$I$3000))</f>
        <v/>
      </c>
      <c r="Z1610">
        <f>IF($A2="","",IF(COUNTIF('07_Pallet_Contents'!$A$2:$A$3000,$A2)&gt;0,"Yes",""))</f>
        <v/>
      </c>
    </row>
    <row r="1611">
      <c r="B1611" s="22" t="n"/>
      <c r="G1611" s="25" t="n"/>
      <c r="H1611" s="24">
        <f>IF(AND($F1611="TEMP",$G1611&gt;0,$M1611&lt;&gt;""),$M1611+$G1611,"")</f>
        <v/>
      </c>
      <c r="I1611" s="22" t="n"/>
      <c r="J1611" s="22" t="n"/>
      <c r="K1611" s="24" t="n"/>
      <c r="W1611">
        <f>IF($A2="","",COUNTIF('07_Pallet_Contents'!$A$2:$A$3000,$A2))</f>
        <v/>
      </c>
      <c r="X1611">
        <f>IF($A2="","",SUMIF('07_Pallet_Contents'!$A$2:$A$3000,$A2,'07_Pallet_Contents'!$D$2:$D$3000))</f>
        <v/>
      </c>
      <c r="Y1611">
        <f>IF($A2="","",SUMIF('07_Pallet_Contents'!$A$2:$A$3000,$A2,'07_Pallet_Contents'!$I$2:$I$3000))</f>
        <v/>
      </c>
      <c r="Z1611">
        <f>IF($A2="","",IF(COUNTIF('07_Pallet_Contents'!$A$2:$A$3000,$A2)&gt;0,"Yes",""))</f>
        <v/>
      </c>
    </row>
    <row r="1612">
      <c r="B1612" s="22" t="n"/>
      <c r="G1612" s="25" t="n"/>
      <c r="H1612" s="24">
        <f>IF(AND($F1612="TEMP",$G1612&gt;0,$M1612&lt;&gt;""),$M1612+$G1612,"")</f>
        <v/>
      </c>
      <c r="I1612" s="22" t="n"/>
      <c r="J1612" s="22" t="n"/>
      <c r="K1612" s="24" t="n"/>
      <c r="W1612">
        <f>IF($A2="","",COUNTIF('07_Pallet_Contents'!$A$2:$A$3000,$A2))</f>
        <v/>
      </c>
      <c r="X1612">
        <f>IF($A2="","",SUMIF('07_Pallet_Contents'!$A$2:$A$3000,$A2,'07_Pallet_Contents'!$D$2:$D$3000))</f>
        <v/>
      </c>
      <c r="Y1612">
        <f>IF($A2="","",SUMIF('07_Pallet_Contents'!$A$2:$A$3000,$A2,'07_Pallet_Contents'!$I$2:$I$3000))</f>
        <v/>
      </c>
      <c r="Z1612">
        <f>IF($A2="","",IF(COUNTIF('07_Pallet_Contents'!$A$2:$A$3000,$A2)&gt;0,"Yes",""))</f>
        <v/>
      </c>
    </row>
    <row r="1613">
      <c r="B1613" s="22" t="n"/>
      <c r="G1613" s="25" t="n"/>
      <c r="H1613" s="24">
        <f>IF(AND($F1613="TEMP",$G1613&gt;0,$M1613&lt;&gt;""),$M1613+$G1613,"")</f>
        <v/>
      </c>
      <c r="I1613" s="22" t="n"/>
      <c r="J1613" s="22" t="n"/>
      <c r="K1613" s="24" t="n"/>
      <c r="W1613">
        <f>IF($A2="","",COUNTIF('07_Pallet_Contents'!$A$2:$A$3000,$A2))</f>
        <v/>
      </c>
      <c r="X1613">
        <f>IF($A2="","",SUMIF('07_Pallet_Contents'!$A$2:$A$3000,$A2,'07_Pallet_Contents'!$D$2:$D$3000))</f>
        <v/>
      </c>
      <c r="Y1613">
        <f>IF($A2="","",SUMIF('07_Pallet_Contents'!$A$2:$A$3000,$A2,'07_Pallet_Contents'!$I$2:$I$3000))</f>
        <v/>
      </c>
      <c r="Z1613">
        <f>IF($A2="","",IF(COUNTIF('07_Pallet_Contents'!$A$2:$A$3000,$A2)&gt;0,"Yes",""))</f>
        <v/>
      </c>
    </row>
    <row r="1614">
      <c r="B1614" s="22" t="n"/>
      <c r="G1614" s="25" t="n"/>
      <c r="H1614" s="24">
        <f>IF(AND($F1614="TEMP",$G1614&gt;0,$M1614&lt;&gt;""),$M1614+$G1614,"")</f>
        <v/>
      </c>
      <c r="I1614" s="22" t="n"/>
      <c r="J1614" s="22" t="n"/>
      <c r="K1614" s="24" t="n"/>
      <c r="W1614">
        <f>IF($A2="","",COUNTIF('07_Pallet_Contents'!$A$2:$A$3000,$A2))</f>
        <v/>
      </c>
      <c r="X1614">
        <f>IF($A2="","",SUMIF('07_Pallet_Contents'!$A$2:$A$3000,$A2,'07_Pallet_Contents'!$D$2:$D$3000))</f>
        <v/>
      </c>
      <c r="Y1614">
        <f>IF($A2="","",SUMIF('07_Pallet_Contents'!$A$2:$A$3000,$A2,'07_Pallet_Contents'!$I$2:$I$3000))</f>
        <v/>
      </c>
      <c r="Z1614">
        <f>IF($A2="","",IF(COUNTIF('07_Pallet_Contents'!$A$2:$A$3000,$A2)&gt;0,"Yes",""))</f>
        <v/>
      </c>
    </row>
    <row r="1615">
      <c r="B1615" s="22" t="n"/>
      <c r="G1615" s="25" t="n"/>
      <c r="H1615" s="24">
        <f>IF(AND($F1615="TEMP",$G1615&gt;0,$M1615&lt;&gt;""),$M1615+$G1615,"")</f>
        <v/>
      </c>
      <c r="I1615" s="22" t="n"/>
      <c r="J1615" s="22" t="n"/>
      <c r="K1615" s="24" t="n"/>
      <c r="W1615">
        <f>IF($A2="","",COUNTIF('07_Pallet_Contents'!$A$2:$A$3000,$A2))</f>
        <v/>
      </c>
      <c r="X1615">
        <f>IF($A2="","",SUMIF('07_Pallet_Contents'!$A$2:$A$3000,$A2,'07_Pallet_Contents'!$D$2:$D$3000))</f>
        <v/>
      </c>
      <c r="Y1615">
        <f>IF($A2="","",SUMIF('07_Pallet_Contents'!$A$2:$A$3000,$A2,'07_Pallet_Contents'!$I$2:$I$3000))</f>
        <v/>
      </c>
      <c r="Z1615">
        <f>IF($A2="","",IF(COUNTIF('07_Pallet_Contents'!$A$2:$A$3000,$A2)&gt;0,"Yes",""))</f>
        <v/>
      </c>
    </row>
    <row r="1616">
      <c r="B1616" s="22" t="n"/>
      <c r="G1616" s="25" t="n"/>
      <c r="H1616" s="24">
        <f>IF(AND($F1616="TEMP",$G1616&gt;0,$M1616&lt;&gt;""),$M1616+$G1616,"")</f>
        <v/>
      </c>
      <c r="I1616" s="22" t="n"/>
      <c r="J1616" s="22" t="n"/>
      <c r="K1616" s="24" t="n"/>
      <c r="W1616">
        <f>IF($A2="","",COUNTIF('07_Pallet_Contents'!$A$2:$A$3000,$A2))</f>
        <v/>
      </c>
      <c r="X1616">
        <f>IF($A2="","",SUMIF('07_Pallet_Contents'!$A$2:$A$3000,$A2,'07_Pallet_Contents'!$D$2:$D$3000))</f>
        <v/>
      </c>
      <c r="Y1616">
        <f>IF($A2="","",SUMIF('07_Pallet_Contents'!$A$2:$A$3000,$A2,'07_Pallet_Contents'!$I$2:$I$3000))</f>
        <v/>
      </c>
      <c r="Z1616">
        <f>IF($A2="","",IF(COUNTIF('07_Pallet_Contents'!$A$2:$A$3000,$A2)&gt;0,"Yes",""))</f>
        <v/>
      </c>
    </row>
    <row r="1617">
      <c r="B1617" s="22" t="n"/>
      <c r="G1617" s="25" t="n"/>
      <c r="H1617" s="24">
        <f>IF(AND($F1617="TEMP",$G1617&gt;0,$M1617&lt;&gt;""),$M1617+$G1617,"")</f>
        <v/>
      </c>
      <c r="I1617" s="22" t="n"/>
      <c r="J1617" s="22" t="n"/>
      <c r="K1617" s="24" t="n"/>
      <c r="W1617">
        <f>IF($A2="","",COUNTIF('07_Pallet_Contents'!$A$2:$A$3000,$A2))</f>
        <v/>
      </c>
      <c r="X1617">
        <f>IF($A2="","",SUMIF('07_Pallet_Contents'!$A$2:$A$3000,$A2,'07_Pallet_Contents'!$D$2:$D$3000))</f>
        <v/>
      </c>
      <c r="Y1617">
        <f>IF($A2="","",SUMIF('07_Pallet_Contents'!$A$2:$A$3000,$A2,'07_Pallet_Contents'!$I$2:$I$3000))</f>
        <v/>
      </c>
      <c r="Z1617">
        <f>IF($A2="","",IF(COUNTIF('07_Pallet_Contents'!$A$2:$A$3000,$A2)&gt;0,"Yes",""))</f>
        <v/>
      </c>
    </row>
    <row r="1618">
      <c r="B1618" s="22" t="n"/>
      <c r="G1618" s="25" t="n"/>
      <c r="H1618" s="24">
        <f>IF(AND($F1618="TEMP",$G1618&gt;0,$M1618&lt;&gt;""),$M1618+$G1618,"")</f>
        <v/>
      </c>
      <c r="I1618" s="22" t="n"/>
      <c r="J1618" s="22" t="n"/>
      <c r="K1618" s="24" t="n"/>
      <c r="W1618">
        <f>IF($A2="","",COUNTIF('07_Pallet_Contents'!$A$2:$A$3000,$A2))</f>
        <v/>
      </c>
      <c r="X1618">
        <f>IF($A2="","",SUMIF('07_Pallet_Contents'!$A$2:$A$3000,$A2,'07_Pallet_Contents'!$D$2:$D$3000))</f>
        <v/>
      </c>
      <c r="Y1618">
        <f>IF($A2="","",SUMIF('07_Pallet_Contents'!$A$2:$A$3000,$A2,'07_Pallet_Contents'!$I$2:$I$3000))</f>
        <v/>
      </c>
      <c r="Z1618">
        <f>IF($A2="","",IF(COUNTIF('07_Pallet_Contents'!$A$2:$A$3000,$A2)&gt;0,"Yes",""))</f>
        <v/>
      </c>
    </row>
    <row r="1619">
      <c r="B1619" s="22" t="n"/>
      <c r="G1619" s="25" t="n"/>
      <c r="H1619" s="24">
        <f>IF(AND($F1619="TEMP",$G1619&gt;0,$M1619&lt;&gt;""),$M1619+$G1619,"")</f>
        <v/>
      </c>
      <c r="I1619" s="22" t="n"/>
      <c r="J1619" s="22" t="n"/>
      <c r="K1619" s="24" t="n"/>
      <c r="W1619">
        <f>IF($A2="","",COUNTIF('07_Pallet_Contents'!$A$2:$A$3000,$A2))</f>
        <v/>
      </c>
      <c r="X1619">
        <f>IF($A2="","",SUMIF('07_Pallet_Contents'!$A$2:$A$3000,$A2,'07_Pallet_Contents'!$D$2:$D$3000))</f>
        <v/>
      </c>
      <c r="Y1619">
        <f>IF($A2="","",SUMIF('07_Pallet_Contents'!$A$2:$A$3000,$A2,'07_Pallet_Contents'!$I$2:$I$3000))</f>
        <v/>
      </c>
      <c r="Z1619">
        <f>IF($A2="","",IF(COUNTIF('07_Pallet_Contents'!$A$2:$A$3000,$A2)&gt;0,"Yes",""))</f>
        <v/>
      </c>
    </row>
    <row r="1620">
      <c r="B1620" s="22" t="n"/>
      <c r="G1620" s="25" t="n"/>
      <c r="H1620" s="24">
        <f>IF(AND($F1620="TEMP",$G1620&gt;0,$M1620&lt;&gt;""),$M1620+$G1620,"")</f>
        <v/>
      </c>
      <c r="I1620" s="22" t="n"/>
      <c r="J1620" s="22" t="n"/>
      <c r="K1620" s="24" t="n"/>
      <c r="W1620">
        <f>IF($A2="","",COUNTIF('07_Pallet_Contents'!$A$2:$A$3000,$A2))</f>
        <v/>
      </c>
      <c r="X1620">
        <f>IF($A2="","",SUMIF('07_Pallet_Contents'!$A$2:$A$3000,$A2,'07_Pallet_Contents'!$D$2:$D$3000))</f>
        <v/>
      </c>
      <c r="Y1620">
        <f>IF($A2="","",SUMIF('07_Pallet_Contents'!$A$2:$A$3000,$A2,'07_Pallet_Contents'!$I$2:$I$3000))</f>
        <v/>
      </c>
      <c r="Z1620">
        <f>IF($A2="","",IF(COUNTIF('07_Pallet_Contents'!$A$2:$A$3000,$A2)&gt;0,"Yes",""))</f>
        <v/>
      </c>
    </row>
    <row r="1621">
      <c r="B1621" s="22" t="n"/>
      <c r="G1621" s="25" t="n"/>
      <c r="H1621" s="24">
        <f>IF(AND($F1621="TEMP",$G1621&gt;0,$M1621&lt;&gt;""),$M1621+$G1621,"")</f>
        <v/>
      </c>
      <c r="I1621" s="22" t="n"/>
      <c r="J1621" s="22" t="n"/>
      <c r="K1621" s="24" t="n"/>
      <c r="W1621">
        <f>IF($A2="","",COUNTIF('07_Pallet_Contents'!$A$2:$A$3000,$A2))</f>
        <v/>
      </c>
      <c r="X1621">
        <f>IF($A2="","",SUMIF('07_Pallet_Contents'!$A$2:$A$3000,$A2,'07_Pallet_Contents'!$D$2:$D$3000))</f>
        <v/>
      </c>
      <c r="Y1621">
        <f>IF($A2="","",SUMIF('07_Pallet_Contents'!$A$2:$A$3000,$A2,'07_Pallet_Contents'!$I$2:$I$3000))</f>
        <v/>
      </c>
      <c r="Z1621">
        <f>IF($A2="","",IF(COUNTIF('07_Pallet_Contents'!$A$2:$A$3000,$A2)&gt;0,"Yes",""))</f>
        <v/>
      </c>
    </row>
    <row r="1622">
      <c r="B1622" s="22" t="n"/>
      <c r="G1622" s="25" t="n"/>
      <c r="H1622" s="24">
        <f>IF(AND($F1622="TEMP",$G1622&gt;0,$M1622&lt;&gt;""),$M1622+$G1622,"")</f>
        <v/>
      </c>
      <c r="I1622" s="22" t="n"/>
      <c r="J1622" s="22" t="n"/>
      <c r="K1622" s="24" t="n"/>
      <c r="W1622">
        <f>IF($A2="","",COUNTIF('07_Pallet_Contents'!$A$2:$A$3000,$A2))</f>
        <v/>
      </c>
      <c r="X1622">
        <f>IF($A2="","",SUMIF('07_Pallet_Contents'!$A$2:$A$3000,$A2,'07_Pallet_Contents'!$D$2:$D$3000))</f>
        <v/>
      </c>
      <c r="Y1622">
        <f>IF($A2="","",SUMIF('07_Pallet_Contents'!$A$2:$A$3000,$A2,'07_Pallet_Contents'!$I$2:$I$3000))</f>
        <v/>
      </c>
      <c r="Z1622">
        <f>IF($A2="","",IF(COUNTIF('07_Pallet_Contents'!$A$2:$A$3000,$A2)&gt;0,"Yes",""))</f>
        <v/>
      </c>
    </row>
    <row r="1623">
      <c r="B1623" s="22" t="n"/>
      <c r="G1623" s="25" t="n"/>
      <c r="H1623" s="24">
        <f>IF(AND($F1623="TEMP",$G1623&gt;0,$M1623&lt;&gt;""),$M1623+$G1623,"")</f>
        <v/>
      </c>
      <c r="I1623" s="22" t="n"/>
      <c r="J1623" s="22" t="n"/>
      <c r="K1623" s="24" t="n"/>
      <c r="W1623">
        <f>IF($A2="","",COUNTIF('07_Pallet_Contents'!$A$2:$A$3000,$A2))</f>
        <v/>
      </c>
      <c r="X1623">
        <f>IF($A2="","",SUMIF('07_Pallet_Contents'!$A$2:$A$3000,$A2,'07_Pallet_Contents'!$D$2:$D$3000))</f>
        <v/>
      </c>
      <c r="Y1623">
        <f>IF($A2="","",SUMIF('07_Pallet_Contents'!$A$2:$A$3000,$A2,'07_Pallet_Contents'!$I$2:$I$3000))</f>
        <v/>
      </c>
      <c r="Z1623">
        <f>IF($A2="","",IF(COUNTIF('07_Pallet_Contents'!$A$2:$A$3000,$A2)&gt;0,"Yes",""))</f>
        <v/>
      </c>
    </row>
    <row r="1624">
      <c r="B1624" s="22" t="n"/>
      <c r="G1624" s="25" t="n"/>
      <c r="H1624" s="24">
        <f>IF(AND($F1624="TEMP",$G1624&gt;0,$M1624&lt;&gt;""),$M1624+$G1624,"")</f>
        <v/>
      </c>
      <c r="I1624" s="22" t="n"/>
      <c r="J1624" s="22" t="n"/>
      <c r="K1624" s="24" t="n"/>
      <c r="W1624">
        <f>IF($A2="","",COUNTIF('07_Pallet_Contents'!$A$2:$A$3000,$A2))</f>
        <v/>
      </c>
      <c r="X1624">
        <f>IF($A2="","",SUMIF('07_Pallet_Contents'!$A$2:$A$3000,$A2,'07_Pallet_Contents'!$D$2:$D$3000))</f>
        <v/>
      </c>
      <c r="Y1624">
        <f>IF($A2="","",SUMIF('07_Pallet_Contents'!$A$2:$A$3000,$A2,'07_Pallet_Contents'!$I$2:$I$3000))</f>
        <v/>
      </c>
      <c r="Z1624">
        <f>IF($A2="","",IF(COUNTIF('07_Pallet_Contents'!$A$2:$A$3000,$A2)&gt;0,"Yes",""))</f>
        <v/>
      </c>
    </row>
    <row r="1625">
      <c r="B1625" s="22" t="n"/>
      <c r="G1625" s="25" t="n"/>
      <c r="H1625" s="24">
        <f>IF(AND($F1625="TEMP",$G1625&gt;0,$M1625&lt;&gt;""),$M1625+$G1625,"")</f>
        <v/>
      </c>
      <c r="I1625" s="22" t="n"/>
      <c r="J1625" s="22" t="n"/>
      <c r="K1625" s="24" t="n"/>
      <c r="W1625">
        <f>IF($A2="","",COUNTIF('07_Pallet_Contents'!$A$2:$A$3000,$A2))</f>
        <v/>
      </c>
      <c r="X1625">
        <f>IF($A2="","",SUMIF('07_Pallet_Contents'!$A$2:$A$3000,$A2,'07_Pallet_Contents'!$D$2:$D$3000))</f>
        <v/>
      </c>
      <c r="Y1625">
        <f>IF($A2="","",SUMIF('07_Pallet_Contents'!$A$2:$A$3000,$A2,'07_Pallet_Contents'!$I$2:$I$3000))</f>
        <v/>
      </c>
      <c r="Z1625">
        <f>IF($A2="","",IF(COUNTIF('07_Pallet_Contents'!$A$2:$A$3000,$A2)&gt;0,"Yes",""))</f>
        <v/>
      </c>
    </row>
    <row r="1626">
      <c r="B1626" s="22" t="n"/>
      <c r="G1626" s="25" t="n"/>
      <c r="H1626" s="24">
        <f>IF(AND($F1626="TEMP",$G1626&gt;0,$M1626&lt;&gt;""),$M1626+$G1626,"")</f>
        <v/>
      </c>
      <c r="I1626" s="22" t="n"/>
      <c r="J1626" s="22" t="n"/>
      <c r="K1626" s="24" t="n"/>
      <c r="W1626">
        <f>IF($A2="","",COUNTIF('07_Pallet_Contents'!$A$2:$A$3000,$A2))</f>
        <v/>
      </c>
      <c r="X1626">
        <f>IF($A2="","",SUMIF('07_Pallet_Contents'!$A$2:$A$3000,$A2,'07_Pallet_Contents'!$D$2:$D$3000))</f>
        <v/>
      </c>
      <c r="Y1626">
        <f>IF($A2="","",SUMIF('07_Pallet_Contents'!$A$2:$A$3000,$A2,'07_Pallet_Contents'!$I$2:$I$3000))</f>
        <v/>
      </c>
      <c r="Z1626">
        <f>IF($A2="","",IF(COUNTIF('07_Pallet_Contents'!$A$2:$A$3000,$A2)&gt;0,"Yes",""))</f>
        <v/>
      </c>
    </row>
    <row r="1627">
      <c r="B1627" s="22" t="n"/>
      <c r="G1627" s="25" t="n"/>
      <c r="H1627" s="24">
        <f>IF(AND($F1627="TEMP",$G1627&gt;0,$M1627&lt;&gt;""),$M1627+$G1627,"")</f>
        <v/>
      </c>
      <c r="I1627" s="22" t="n"/>
      <c r="J1627" s="22" t="n"/>
      <c r="K1627" s="24" t="n"/>
      <c r="W1627">
        <f>IF($A2="","",COUNTIF('07_Pallet_Contents'!$A$2:$A$3000,$A2))</f>
        <v/>
      </c>
      <c r="X1627">
        <f>IF($A2="","",SUMIF('07_Pallet_Contents'!$A$2:$A$3000,$A2,'07_Pallet_Contents'!$D$2:$D$3000))</f>
        <v/>
      </c>
      <c r="Y1627">
        <f>IF($A2="","",SUMIF('07_Pallet_Contents'!$A$2:$A$3000,$A2,'07_Pallet_Contents'!$I$2:$I$3000))</f>
        <v/>
      </c>
      <c r="Z1627">
        <f>IF($A2="","",IF(COUNTIF('07_Pallet_Contents'!$A$2:$A$3000,$A2)&gt;0,"Yes",""))</f>
        <v/>
      </c>
    </row>
    <row r="1628">
      <c r="B1628" s="22" t="n"/>
      <c r="G1628" s="25" t="n"/>
      <c r="H1628" s="24">
        <f>IF(AND($F1628="TEMP",$G1628&gt;0,$M1628&lt;&gt;""),$M1628+$G1628,"")</f>
        <v/>
      </c>
      <c r="I1628" s="22" t="n"/>
      <c r="J1628" s="22" t="n"/>
      <c r="K1628" s="24" t="n"/>
      <c r="W1628">
        <f>IF($A2="","",COUNTIF('07_Pallet_Contents'!$A$2:$A$3000,$A2))</f>
        <v/>
      </c>
      <c r="X1628">
        <f>IF($A2="","",SUMIF('07_Pallet_Contents'!$A$2:$A$3000,$A2,'07_Pallet_Contents'!$D$2:$D$3000))</f>
        <v/>
      </c>
      <c r="Y1628">
        <f>IF($A2="","",SUMIF('07_Pallet_Contents'!$A$2:$A$3000,$A2,'07_Pallet_Contents'!$I$2:$I$3000))</f>
        <v/>
      </c>
      <c r="Z1628">
        <f>IF($A2="","",IF(COUNTIF('07_Pallet_Contents'!$A$2:$A$3000,$A2)&gt;0,"Yes",""))</f>
        <v/>
      </c>
    </row>
    <row r="1629">
      <c r="B1629" s="22" t="n"/>
      <c r="G1629" s="25" t="n"/>
      <c r="H1629" s="24">
        <f>IF(AND($F1629="TEMP",$G1629&gt;0,$M1629&lt;&gt;""),$M1629+$G1629,"")</f>
        <v/>
      </c>
      <c r="I1629" s="22" t="n"/>
      <c r="J1629" s="22" t="n"/>
      <c r="K1629" s="24" t="n"/>
      <c r="W1629">
        <f>IF($A2="","",COUNTIF('07_Pallet_Contents'!$A$2:$A$3000,$A2))</f>
        <v/>
      </c>
      <c r="X1629">
        <f>IF($A2="","",SUMIF('07_Pallet_Contents'!$A$2:$A$3000,$A2,'07_Pallet_Contents'!$D$2:$D$3000))</f>
        <v/>
      </c>
      <c r="Y1629">
        <f>IF($A2="","",SUMIF('07_Pallet_Contents'!$A$2:$A$3000,$A2,'07_Pallet_Contents'!$I$2:$I$3000))</f>
        <v/>
      </c>
      <c r="Z1629">
        <f>IF($A2="","",IF(COUNTIF('07_Pallet_Contents'!$A$2:$A$3000,$A2)&gt;0,"Yes",""))</f>
        <v/>
      </c>
    </row>
    <row r="1630">
      <c r="B1630" s="22" t="n"/>
      <c r="G1630" s="25" t="n"/>
      <c r="H1630" s="24">
        <f>IF(AND($F1630="TEMP",$G1630&gt;0,$M1630&lt;&gt;""),$M1630+$G1630,"")</f>
        <v/>
      </c>
      <c r="I1630" s="22" t="n"/>
      <c r="J1630" s="22" t="n"/>
      <c r="K1630" s="24" t="n"/>
      <c r="W1630">
        <f>IF($A2="","",COUNTIF('07_Pallet_Contents'!$A$2:$A$3000,$A2))</f>
        <v/>
      </c>
      <c r="X1630">
        <f>IF($A2="","",SUMIF('07_Pallet_Contents'!$A$2:$A$3000,$A2,'07_Pallet_Contents'!$D$2:$D$3000))</f>
        <v/>
      </c>
      <c r="Y1630">
        <f>IF($A2="","",SUMIF('07_Pallet_Contents'!$A$2:$A$3000,$A2,'07_Pallet_Contents'!$I$2:$I$3000))</f>
        <v/>
      </c>
      <c r="Z1630">
        <f>IF($A2="","",IF(COUNTIF('07_Pallet_Contents'!$A$2:$A$3000,$A2)&gt;0,"Yes",""))</f>
        <v/>
      </c>
    </row>
    <row r="1631">
      <c r="B1631" s="22" t="n"/>
      <c r="G1631" s="25" t="n"/>
      <c r="H1631" s="24">
        <f>IF(AND($F1631="TEMP",$G1631&gt;0,$M1631&lt;&gt;""),$M1631+$G1631,"")</f>
        <v/>
      </c>
      <c r="I1631" s="22" t="n"/>
      <c r="J1631" s="22" t="n"/>
      <c r="K1631" s="24" t="n"/>
      <c r="W1631">
        <f>IF($A2="","",COUNTIF('07_Pallet_Contents'!$A$2:$A$3000,$A2))</f>
        <v/>
      </c>
      <c r="X1631">
        <f>IF($A2="","",SUMIF('07_Pallet_Contents'!$A$2:$A$3000,$A2,'07_Pallet_Contents'!$D$2:$D$3000))</f>
        <v/>
      </c>
      <c r="Y1631">
        <f>IF($A2="","",SUMIF('07_Pallet_Contents'!$A$2:$A$3000,$A2,'07_Pallet_Contents'!$I$2:$I$3000))</f>
        <v/>
      </c>
      <c r="Z1631">
        <f>IF($A2="","",IF(COUNTIF('07_Pallet_Contents'!$A$2:$A$3000,$A2)&gt;0,"Yes",""))</f>
        <v/>
      </c>
    </row>
    <row r="1632">
      <c r="B1632" s="22" t="n"/>
      <c r="G1632" s="25" t="n"/>
      <c r="H1632" s="24">
        <f>IF(AND($F1632="TEMP",$G1632&gt;0,$M1632&lt;&gt;""),$M1632+$G1632,"")</f>
        <v/>
      </c>
      <c r="I1632" s="22" t="n"/>
      <c r="J1632" s="22" t="n"/>
      <c r="K1632" s="24" t="n"/>
      <c r="W1632">
        <f>IF($A2="","",COUNTIF('07_Pallet_Contents'!$A$2:$A$3000,$A2))</f>
        <v/>
      </c>
      <c r="X1632">
        <f>IF($A2="","",SUMIF('07_Pallet_Contents'!$A$2:$A$3000,$A2,'07_Pallet_Contents'!$D$2:$D$3000))</f>
        <v/>
      </c>
      <c r="Y1632">
        <f>IF($A2="","",SUMIF('07_Pallet_Contents'!$A$2:$A$3000,$A2,'07_Pallet_Contents'!$I$2:$I$3000))</f>
        <v/>
      </c>
      <c r="Z1632">
        <f>IF($A2="","",IF(COUNTIF('07_Pallet_Contents'!$A$2:$A$3000,$A2)&gt;0,"Yes",""))</f>
        <v/>
      </c>
    </row>
    <row r="1633">
      <c r="B1633" s="22" t="n"/>
      <c r="G1633" s="25" t="n"/>
      <c r="H1633" s="24">
        <f>IF(AND($F1633="TEMP",$G1633&gt;0,$M1633&lt;&gt;""),$M1633+$G1633,"")</f>
        <v/>
      </c>
      <c r="I1633" s="22" t="n"/>
      <c r="J1633" s="22" t="n"/>
      <c r="K1633" s="24" t="n"/>
      <c r="W1633">
        <f>IF($A2="","",COUNTIF('07_Pallet_Contents'!$A$2:$A$3000,$A2))</f>
        <v/>
      </c>
      <c r="X1633">
        <f>IF($A2="","",SUMIF('07_Pallet_Contents'!$A$2:$A$3000,$A2,'07_Pallet_Contents'!$D$2:$D$3000))</f>
        <v/>
      </c>
      <c r="Y1633">
        <f>IF($A2="","",SUMIF('07_Pallet_Contents'!$A$2:$A$3000,$A2,'07_Pallet_Contents'!$I$2:$I$3000))</f>
        <v/>
      </c>
      <c r="Z1633">
        <f>IF($A2="","",IF(COUNTIF('07_Pallet_Contents'!$A$2:$A$3000,$A2)&gt;0,"Yes",""))</f>
        <v/>
      </c>
    </row>
    <row r="1634">
      <c r="B1634" s="22" t="n"/>
      <c r="G1634" s="25" t="n"/>
      <c r="H1634" s="24">
        <f>IF(AND($F1634="TEMP",$G1634&gt;0,$M1634&lt;&gt;""),$M1634+$G1634,"")</f>
        <v/>
      </c>
      <c r="I1634" s="22" t="n"/>
      <c r="J1634" s="22" t="n"/>
      <c r="K1634" s="24" t="n"/>
      <c r="W1634">
        <f>IF($A2="","",COUNTIF('07_Pallet_Contents'!$A$2:$A$3000,$A2))</f>
        <v/>
      </c>
      <c r="X1634">
        <f>IF($A2="","",SUMIF('07_Pallet_Contents'!$A$2:$A$3000,$A2,'07_Pallet_Contents'!$D$2:$D$3000))</f>
        <v/>
      </c>
      <c r="Y1634">
        <f>IF($A2="","",SUMIF('07_Pallet_Contents'!$A$2:$A$3000,$A2,'07_Pallet_Contents'!$I$2:$I$3000))</f>
        <v/>
      </c>
      <c r="Z1634">
        <f>IF($A2="","",IF(COUNTIF('07_Pallet_Contents'!$A$2:$A$3000,$A2)&gt;0,"Yes",""))</f>
        <v/>
      </c>
    </row>
    <row r="1635">
      <c r="B1635" s="22" t="n"/>
      <c r="G1635" s="25" t="n"/>
      <c r="H1635" s="24">
        <f>IF(AND($F1635="TEMP",$G1635&gt;0,$M1635&lt;&gt;""),$M1635+$G1635,"")</f>
        <v/>
      </c>
      <c r="I1635" s="22" t="n"/>
      <c r="J1635" s="22" t="n"/>
      <c r="K1635" s="24" t="n"/>
      <c r="W1635">
        <f>IF($A2="","",COUNTIF('07_Pallet_Contents'!$A$2:$A$3000,$A2))</f>
        <v/>
      </c>
      <c r="X1635">
        <f>IF($A2="","",SUMIF('07_Pallet_Contents'!$A$2:$A$3000,$A2,'07_Pallet_Contents'!$D$2:$D$3000))</f>
        <v/>
      </c>
      <c r="Y1635">
        <f>IF($A2="","",SUMIF('07_Pallet_Contents'!$A$2:$A$3000,$A2,'07_Pallet_Contents'!$I$2:$I$3000))</f>
        <v/>
      </c>
      <c r="Z1635">
        <f>IF($A2="","",IF(COUNTIF('07_Pallet_Contents'!$A$2:$A$3000,$A2)&gt;0,"Yes",""))</f>
        <v/>
      </c>
    </row>
    <row r="1636">
      <c r="B1636" s="22" t="n"/>
      <c r="G1636" s="25" t="n"/>
      <c r="H1636" s="24">
        <f>IF(AND($F1636="TEMP",$G1636&gt;0,$M1636&lt;&gt;""),$M1636+$G1636,"")</f>
        <v/>
      </c>
      <c r="I1636" s="22" t="n"/>
      <c r="J1636" s="22" t="n"/>
      <c r="K1636" s="24" t="n"/>
      <c r="W1636">
        <f>IF($A2="","",COUNTIF('07_Pallet_Contents'!$A$2:$A$3000,$A2))</f>
        <v/>
      </c>
      <c r="X1636">
        <f>IF($A2="","",SUMIF('07_Pallet_Contents'!$A$2:$A$3000,$A2,'07_Pallet_Contents'!$D$2:$D$3000))</f>
        <v/>
      </c>
      <c r="Y1636">
        <f>IF($A2="","",SUMIF('07_Pallet_Contents'!$A$2:$A$3000,$A2,'07_Pallet_Contents'!$I$2:$I$3000))</f>
        <v/>
      </c>
      <c r="Z1636">
        <f>IF($A2="","",IF(COUNTIF('07_Pallet_Contents'!$A$2:$A$3000,$A2)&gt;0,"Yes",""))</f>
        <v/>
      </c>
    </row>
    <row r="1637">
      <c r="B1637" s="22" t="n"/>
      <c r="G1637" s="25" t="n"/>
      <c r="H1637" s="24">
        <f>IF(AND($F1637="TEMP",$G1637&gt;0,$M1637&lt;&gt;""),$M1637+$G1637,"")</f>
        <v/>
      </c>
      <c r="I1637" s="22" t="n"/>
      <c r="J1637" s="22" t="n"/>
      <c r="K1637" s="24" t="n"/>
      <c r="W1637">
        <f>IF($A2="","",COUNTIF('07_Pallet_Contents'!$A$2:$A$3000,$A2))</f>
        <v/>
      </c>
      <c r="X1637">
        <f>IF($A2="","",SUMIF('07_Pallet_Contents'!$A$2:$A$3000,$A2,'07_Pallet_Contents'!$D$2:$D$3000))</f>
        <v/>
      </c>
      <c r="Y1637">
        <f>IF($A2="","",SUMIF('07_Pallet_Contents'!$A$2:$A$3000,$A2,'07_Pallet_Contents'!$I$2:$I$3000))</f>
        <v/>
      </c>
      <c r="Z1637">
        <f>IF($A2="","",IF(COUNTIF('07_Pallet_Contents'!$A$2:$A$3000,$A2)&gt;0,"Yes",""))</f>
        <v/>
      </c>
    </row>
    <row r="1638">
      <c r="B1638" s="22" t="n"/>
      <c r="G1638" s="25" t="n"/>
      <c r="H1638" s="24">
        <f>IF(AND($F1638="TEMP",$G1638&gt;0,$M1638&lt;&gt;""),$M1638+$G1638,"")</f>
        <v/>
      </c>
      <c r="I1638" s="22" t="n"/>
      <c r="J1638" s="22" t="n"/>
      <c r="K1638" s="24" t="n"/>
      <c r="W1638">
        <f>IF($A2="","",COUNTIF('07_Pallet_Contents'!$A$2:$A$3000,$A2))</f>
        <v/>
      </c>
      <c r="X1638">
        <f>IF($A2="","",SUMIF('07_Pallet_Contents'!$A$2:$A$3000,$A2,'07_Pallet_Contents'!$D$2:$D$3000))</f>
        <v/>
      </c>
      <c r="Y1638">
        <f>IF($A2="","",SUMIF('07_Pallet_Contents'!$A$2:$A$3000,$A2,'07_Pallet_Contents'!$I$2:$I$3000))</f>
        <v/>
      </c>
      <c r="Z1638">
        <f>IF($A2="","",IF(COUNTIF('07_Pallet_Contents'!$A$2:$A$3000,$A2)&gt;0,"Yes",""))</f>
        <v/>
      </c>
    </row>
    <row r="1639">
      <c r="B1639" s="22" t="n"/>
      <c r="G1639" s="25" t="n"/>
      <c r="H1639" s="24">
        <f>IF(AND($F1639="TEMP",$G1639&gt;0,$M1639&lt;&gt;""),$M1639+$G1639,"")</f>
        <v/>
      </c>
      <c r="I1639" s="22" t="n"/>
      <c r="J1639" s="22" t="n"/>
      <c r="K1639" s="24" t="n"/>
      <c r="W1639">
        <f>IF($A2="","",COUNTIF('07_Pallet_Contents'!$A$2:$A$3000,$A2))</f>
        <v/>
      </c>
      <c r="X1639">
        <f>IF($A2="","",SUMIF('07_Pallet_Contents'!$A$2:$A$3000,$A2,'07_Pallet_Contents'!$D$2:$D$3000))</f>
        <v/>
      </c>
      <c r="Y1639">
        <f>IF($A2="","",SUMIF('07_Pallet_Contents'!$A$2:$A$3000,$A2,'07_Pallet_Contents'!$I$2:$I$3000))</f>
        <v/>
      </c>
      <c r="Z1639">
        <f>IF($A2="","",IF(COUNTIF('07_Pallet_Contents'!$A$2:$A$3000,$A2)&gt;0,"Yes",""))</f>
        <v/>
      </c>
    </row>
    <row r="1640">
      <c r="B1640" s="22" t="n"/>
      <c r="G1640" s="25" t="n"/>
      <c r="H1640" s="24">
        <f>IF(AND($F1640="TEMP",$G1640&gt;0,$M1640&lt;&gt;""),$M1640+$G1640,"")</f>
        <v/>
      </c>
      <c r="I1640" s="22" t="n"/>
      <c r="J1640" s="22" t="n"/>
      <c r="K1640" s="24" t="n"/>
      <c r="W1640">
        <f>IF($A2="","",COUNTIF('07_Pallet_Contents'!$A$2:$A$3000,$A2))</f>
        <v/>
      </c>
      <c r="X1640">
        <f>IF($A2="","",SUMIF('07_Pallet_Contents'!$A$2:$A$3000,$A2,'07_Pallet_Contents'!$D$2:$D$3000))</f>
        <v/>
      </c>
      <c r="Y1640">
        <f>IF($A2="","",SUMIF('07_Pallet_Contents'!$A$2:$A$3000,$A2,'07_Pallet_Contents'!$I$2:$I$3000))</f>
        <v/>
      </c>
      <c r="Z1640">
        <f>IF($A2="","",IF(COUNTIF('07_Pallet_Contents'!$A$2:$A$3000,$A2)&gt;0,"Yes",""))</f>
        <v/>
      </c>
    </row>
    <row r="1641">
      <c r="B1641" s="22" t="n"/>
      <c r="G1641" s="25" t="n"/>
      <c r="H1641" s="24">
        <f>IF(AND($F1641="TEMP",$G1641&gt;0,$M1641&lt;&gt;""),$M1641+$G1641,"")</f>
        <v/>
      </c>
      <c r="I1641" s="22" t="n"/>
      <c r="J1641" s="22" t="n"/>
      <c r="K1641" s="24" t="n"/>
      <c r="W1641">
        <f>IF($A2="","",COUNTIF('07_Pallet_Contents'!$A$2:$A$3000,$A2))</f>
        <v/>
      </c>
      <c r="X1641">
        <f>IF($A2="","",SUMIF('07_Pallet_Contents'!$A$2:$A$3000,$A2,'07_Pallet_Contents'!$D$2:$D$3000))</f>
        <v/>
      </c>
      <c r="Y1641">
        <f>IF($A2="","",SUMIF('07_Pallet_Contents'!$A$2:$A$3000,$A2,'07_Pallet_Contents'!$I$2:$I$3000))</f>
        <v/>
      </c>
      <c r="Z1641">
        <f>IF($A2="","",IF(COUNTIF('07_Pallet_Contents'!$A$2:$A$3000,$A2)&gt;0,"Yes",""))</f>
        <v/>
      </c>
    </row>
    <row r="1642">
      <c r="B1642" s="22" t="n"/>
      <c r="G1642" s="25" t="n"/>
      <c r="H1642" s="24">
        <f>IF(AND($F1642="TEMP",$G1642&gt;0,$M1642&lt;&gt;""),$M1642+$G1642,"")</f>
        <v/>
      </c>
      <c r="I1642" s="22" t="n"/>
      <c r="J1642" s="22" t="n"/>
      <c r="K1642" s="24" t="n"/>
      <c r="W1642">
        <f>IF($A2="","",COUNTIF('07_Pallet_Contents'!$A$2:$A$3000,$A2))</f>
        <v/>
      </c>
      <c r="X1642">
        <f>IF($A2="","",SUMIF('07_Pallet_Contents'!$A$2:$A$3000,$A2,'07_Pallet_Contents'!$D$2:$D$3000))</f>
        <v/>
      </c>
      <c r="Y1642">
        <f>IF($A2="","",SUMIF('07_Pallet_Contents'!$A$2:$A$3000,$A2,'07_Pallet_Contents'!$I$2:$I$3000))</f>
        <v/>
      </c>
      <c r="Z1642">
        <f>IF($A2="","",IF(COUNTIF('07_Pallet_Contents'!$A$2:$A$3000,$A2)&gt;0,"Yes",""))</f>
        <v/>
      </c>
    </row>
    <row r="1643">
      <c r="B1643" s="22" t="n"/>
      <c r="G1643" s="25" t="n"/>
      <c r="H1643" s="24">
        <f>IF(AND($F1643="TEMP",$G1643&gt;0,$M1643&lt;&gt;""),$M1643+$G1643,"")</f>
        <v/>
      </c>
      <c r="I1643" s="22" t="n"/>
      <c r="J1643" s="22" t="n"/>
      <c r="K1643" s="24" t="n"/>
      <c r="W1643">
        <f>IF($A2="","",COUNTIF('07_Pallet_Contents'!$A$2:$A$3000,$A2))</f>
        <v/>
      </c>
      <c r="X1643">
        <f>IF($A2="","",SUMIF('07_Pallet_Contents'!$A$2:$A$3000,$A2,'07_Pallet_Contents'!$D$2:$D$3000))</f>
        <v/>
      </c>
      <c r="Y1643">
        <f>IF($A2="","",SUMIF('07_Pallet_Contents'!$A$2:$A$3000,$A2,'07_Pallet_Contents'!$I$2:$I$3000))</f>
        <v/>
      </c>
      <c r="Z1643">
        <f>IF($A2="","",IF(COUNTIF('07_Pallet_Contents'!$A$2:$A$3000,$A2)&gt;0,"Yes",""))</f>
        <v/>
      </c>
    </row>
    <row r="1644">
      <c r="B1644" s="22" t="n"/>
      <c r="G1644" s="25" t="n"/>
      <c r="H1644" s="24">
        <f>IF(AND($F1644="TEMP",$G1644&gt;0,$M1644&lt;&gt;""),$M1644+$G1644,"")</f>
        <v/>
      </c>
      <c r="I1644" s="22" t="n"/>
      <c r="J1644" s="22" t="n"/>
      <c r="K1644" s="24" t="n"/>
      <c r="W1644">
        <f>IF($A2="","",COUNTIF('07_Pallet_Contents'!$A$2:$A$3000,$A2))</f>
        <v/>
      </c>
      <c r="X1644">
        <f>IF($A2="","",SUMIF('07_Pallet_Contents'!$A$2:$A$3000,$A2,'07_Pallet_Contents'!$D$2:$D$3000))</f>
        <v/>
      </c>
      <c r="Y1644">
        <f>IF($A2="","",SUMIF('07_Pallet_Contents'!$A$2:$A$3000,$A2,'07_Pallet_Contents'!$I$2:$I$3000))</f>
        <v/>
      </c>
      <c r="Z1644">
        <f>IF($A2="","",IF(COUNTIF('07_Pallet_Contents'!$A$2:$A$3000,$A2)&gt;0,"Yes",""))</f>
        <v/>
      </c>
    </row>
    <row r="1645">
      <c r="B1645" s="22" t="n"/>
      <c r="G1645" s="25" t="n"/>
      <c r="H1645" s="24">
        <f>IF(AND($F1645="TEMP",$G1645&gt;0,$M1645&lt;&gt;""),$M1645+$G1645,"")</f>
        <v/>
      </c>
      <c r="I1645" s="22" t="n"/>
      <c r="J1645" s="22" t="n"/>
      <c r="K1645" s="24" t="n"/>
      <c r="W1645">
        <f>IF($A2="","",COUNTIF('07_Pallet_Contents'!$A$2:$A$3000,$A2))</f>
        <v/>
      </c>
      <c r="X1645">
        <f>IF($A2="","",SUMIF('07_Pallet_Contents'!$A$2:$A$3000,$A2,'07_Pallet_Contents'!$D$2:$D$3000))</f>
        <v/>
      </c>
      <c r="Y1645">
        <f>IF($A2="","",SUMIF('07_Pallet_Contents'!$A$2:$A$3000,$A2,'07_Pallet_Contents'!$I$2:$I$3000))</f>
        <v/>
      </c>
      <c r="Z1645">
        <f>IF($A2="","",IF(COUNTIF('07_Pallet_Contents'!$A$2:$A$3000,$A2)&gt;0,"Yes",""))</f>
        <v/>
      </c>
    </row>
    <row r="1646">
      <c r="B1646" s="22" t="n"/>
      <c r="G1646" s="25" t="n"/>
      <c r="H1646" s="24">
        <f>IF(AND($F1646="TEMP",$G1646&gt;0,$M1646&lt;&gt;""),$M1646+$G1646,"")</f>
        <v/>
      </c>
      <c r="I1646" s="22" t="n"/>
      <c r="J1646" s="22" t="n"/>
      <c r="K1646" s="24" t="n"/>
      <c r="W1646">
        <f>IF($A2="","",COUNTIF('07_Pallet_Contents'!$A$2:$A$3000,$A2))</f>
        <v/>
      </c>
      <c r="X1646">
        <f>IF($A2="","",SUMIF('07_Pallet_Contents'!$A$2:$A$3000,$A2,'07_Pallet_Contents'!$D$2:$D$3000))</f>
        <v/>
      </c>
      <c r="Y1646">
        <f>IF($A2="","",SUMIF('07_Pallet_Contents'!$A$2:$A$3000,$A2,'07_Pallet_Contents'!$I$2:$I$3000))</f>
        <v/>
      </c>
      <c r="Z1646">
        <f>IF($A2="","",IF(COUNTIF('07_Pallet_Contents'!$A$2:$A$3000,$A2)&gt;0,"Yes",""))</f>
        <v/>
      </c>
    </row>
    <row r="1647">
      <c r="B1647" s="22" t="n"/>
      <c r="G1647" s="25" t="n"/>
      <c r="H1647" s="24">
        <f>IF(AND($F1647="TEMP",$G1647&gt;0,$M1647&lt;&gt;""),$M1647+$G1647,"")</f>
        <v/>
      </c>
      <c r="I1647" s="22" t="n"/>
      <c r="J1647" s="22" t="n"/>
      <c r="K1647" s="24" t="n"/>
      <c r="W1647">
        <f>IF($A2="","",COUNTIF('07_Pallet_Contents'!$A$2:$A$3000,$A2))</f>
        <v/>
      </c>
      <c r="X1647">
        <f>IF($A2="","",SUMIF('07_Pallet_Contents'!$A$2:$A$3000,$A2,'07_Pallet_Contents'!$D$2:$D$3000))</f>
        <v/>
      </c>
      <c r="Y1647">
        <f>IF($A2="","",SUMIF('07_Pallet_Contents'!$A$2:$A$3000,$A2,'07_Pallet_Contents'!$I$2:$I$3000))</f>
        <v/>
      </c>
      <c r="Z1647">
        <f>IF($A2="","",IF(COUNTIF('07_Pallet_Contents'!$A$2:$A$3000,$A2)&gt;0,"Yes",""))</f>
        <v/>
      </c>
    </row>
    <row r="1648">
      <c r="B1648" s="22" t="n"/>
      <c r="G1648" s="25" t="n"/>
      <c r="H1648" s="24">
        <f>IF(AND($F1648="TEMP",$G1648&gt;0,$M1648&lt;&gt;""),$M1648+$G1648,"")</f>
        <v/>
      </c>
      <c r="I1648" s="22" t="n"/>
      <c r="J1648" s="22" t="n"/>
      <c r="K1648" s="24" t="n"/>
      <c r="W1648">
        <f>IF($A2="","",COUNTIF('07_Pallet_Contents'!$A$2:$A$3000,$A2))</f>
        <v/>
      </c>
      <c r="X1648">
        <f>IF($A2="","",SUMIF('07_Pallet_Contents'!$A$2:$A$3000,$A2,'07_Pallet_Contents'!$D$2:$D$3000))</f>
        <v/>
      </c>
      <c r="Y1648">
        <f>IF($A2="","",SUMIF('07_Pallet_Contents'!$A$2:$A$3000,$A2,'07_Pallet_Contents'!$I$2:$I$3000))</f>
        <v/>
      </c>
      <c r="Z1648">
        <f>IF($A2="","",IF(COUNTIF('07_Pallet_Contents'!$A$2:$A$3000,$A2)&gt;0,"Yes",""))</f>
        <v/>
      </c>
    </row>
    <row r="1649">
      <c r="B1649" s="22" t="n"/>
      <c r="G1649" s="25" t="n"/>
      <c r="H1649" s="24">
        <f>IF(AND($F1649="TEMP",$G1649&gt;0,$M1649&lt;&gt;""),$M1649+$G1649,"")</f>
        <v/>
      </c>
      <c r="I1649" s="22" t="n"/>
      <c r="J1649" s="22" t="n"/>
      <c r="K1649" s="24" t="n"/>
      <c r="W1649">
        <f>IF($A2="","",COUNTIF('07_Pallet_Contents'!$A$2:$A$3000,$A2))</f>
        <v/>
      </c>
      <c r="X1649">
        <f>IF($A2="","",SUMIF('07_Pallet_Contents'!$A$2:$A$3000,$A2,'07_Pallet_Contents'!$D$2:$D$3000))</f>
        <v/>
      </c>
      <c r="Y1649">
        <f>IF($A2="","",SUMIF('07_Pallet_Contents'!$A$2:$A$3000,$A2,'07_Pallet_Contents'!$I$2:$I$3000))</f>
        <v/>
      </c>
      <c r="Z1649">
        <f>IF($A2="","",IF(COUNTIF('07_Pallet_Contents'!$A$2:$A$3000,$A2)&gt;0,"Yes",""))</f>
        <v/>
      </c>
    </row>
    <row r="1650">
      <c r="B1650" s="22" t="n"/>
      <c r="G1650" s="25" t="n"/>
      <c r="H1650" s="24">
        <f>IF(AND($F1650="TEMP",$G1650&gt;0,$M1650&lt;&gt;""),$M1650+$G1650,"")</f>
        <v/>
      </c>
      <c r="I1650" s="22" t="n"/>
      <c r="J1650" s="22" t="n"/>
      <c r="K1650" s="24" t="n"/>
      <c r="W1650">
        <f>IF($A2="","",COUNTIF('07_Pallet_Contents'!$A$2:$A$3000,$A2))</f>
        <v/>
      </c>
      <c r="X1650">
        <f>IF($A2="","",SUMIF('07_Pallet_Contents'!$A$2:$A$3000,$A2,'07_Pallet_Contents'!$D$2:$D$3000))</f>
        <v/>
      </c>
      <c r="Y1650">
        <f>IF($A2="","",SUMIF('07_Pallet_Contents'!$A$2:$A$3000,$A2,'07_Pallet_Contents'!$I$2:$I$3000))</f>
        <v/>
      </c>
      <c r="Z1650">
        <f>IF($A2="","",IF(COUNTIF('07_Pallet_Contents'!$A$2:$A$3000,$A2)&gt;0,"Yes",""))</f>
        <v/>
      </c>
    </row>
    <row r="1651">
      <c r="B1651" s="22" t="n"/>
      <c r="G1651" s="25" t="n"/>
      <c r="H1651" s="24">
        <f>IF(AND($F1651="TEMP",$G1651&gt;0,$M1651&lt;&gt;""),$M1651+$G1651,"")</f>
        <v/>
      </c>
      <c r="I1651" s="22" t="n"/>
      <c r="J1651" s="22" t="n"/>
      <c r="K1651" s="24" t="n"/>
      <c r="W1651">
        <f>IF($A2="","",COUNTIF('07_Pallet_Contents'!$A$2:$A$3000,$A2))</f>
        <v/>
      </c>
      <c r="X1651">
        <f>IF($A2="","",SUMIF('07_Pallet_Contents'!$A$2:$A$3000,$A2,'07_Pallet_Contents'!$D$2:$D$3000))</f>
        <v/>
      </c>
      <c r="Y1651">
        <f>IF($A2="","",SUMIF('07_Pallet_Contents'!$A$2:$A$3000,$A2,'07_Pallet_Contents'!$I$2:$I$3000))</f>
        <v/>
      </c>
      <c r="Z1651">
        <f>IF($A2="","",IF(COUNTIF('07_Pallet_Contents'!$A$2:$A$3000,$A2)&gt;0,"Yes",""))</f>
        <v/>
      </c>
    </row>
    <row r="1652">
      <c r="B1652" s="22" t="n"/>
      <c r="G1652" s="25" t="n"/>
      <c r="H1652" s="24">
        <f>IF(AND($F1652="TEMP",$G1652&gt;0,$M1652&lt;&gt;""),$M1652+$G1652,"")</f>
        <v/>
      </c>
      <c r="I1652" s="22" t="n"/>
      <c r="J1652" s="22" t="n"/>
      <c r="K1652" s="24" t="n"/>
      <c r="W1652">
        <f>IF($A2="","",COUNTIF('07_Pallet_Contents'!$A$2:$A$3000,$A2))</f>
        <v/>
      </c>
      <c r="X1652">
        <f>IF($A2="","",SUMIF('07_Pallet_Contents'!$A$2:$A$3000,$A2,'07_Pallet_Contents'!$D$2:$D$3000))</f>
        <v/>
      </c>
      <c r="Y1652">
        <f>IF($A2="","",SUMIF('07_Pallet_Contents'!$A$2:$A$3000,$A2,'07_Pallet_Contents'!$I$2:$I$3000))</f>
        <v/>
      </c>
      <c r="Z1652">
        <f>IF($A2="","",IF(COUNTIF('07_Pallet_Contents'!$A$2:$A$3000,$A2)&gt;0,"Yes",""))</f>
        <v/>
      </c>
    </row>
    <row r="1653">
      <c r="B1653" s="22" t="n"/>
      <c r="G1653" s="25" t="n"/>
      <c r="H1653" s="24">
        <f>IF(AND($F1653="TEMP",$G1653&gt;0,$M1653&lt;&gt;""),$M1653+$G1653,"")</f>
        <v/>
      </c>
      <c r="I1653" s="22" t="n"/>
      <c r="J1653" s="22" t="n"/>
      <c r="K1653" s="24" t="n"/>
      <c r="W1653">
        <f>IF($A2="","",COUNTIF('07_Pallet_Contents'!$A$2:$A$3000,$A2))</f>
        <v/>
      </c>
      <c r="X1653">
        <f>IF($A2="","",SUMIF('07_Pallet_Contents'!$A$2:$A$3000,$A2,'07_Pallet_Contents'!$D$2:$D$3000))</f>
        <v/>
      </c>
      <c r="Y1653">
        <f>IF($A2="","",SUMIF('07_Pallet_Contents'!$A$2:$A$3000,$A2,'07_Pallet_Contents'!$I$2:$I$3000))</f>
        <v/>
      </c>
      <c r="Z1653">
        <f>IF($A2="","",IF(COUNTIF('07_Pallet_Contents'!$A$2:$A$3000,$A2)&gt;0,"Yes",""))</f>
        <v/>
      </c>
    </row>
    <row r="1654">
      <c r="B1654" s="22" t="n"/>
      <c r="G1654" s="25" t="n"/>
      <c r="H1654" s="24">
        <f>IF(AND($F1654="TEMP",$G1654&gt;0,$M1654&lt;&gt;""),$M1654+$G1654,"")</f>
        <v/>
      </c>
      <c r="I1654" s="22" t="n"/>
      <c r="J1654" s="22" t="n"/>
      <c r="K1654" s="24" t="n"/>
      <c r="W1654">
        <f>IF($A2="","",COUNTIF('07_Pallet_Contents'!$A$2:$A$3000,$A2))</f>
        <v/>
      </c>
      <c r="X1654">
        <f>IF($A2="","",SUMIF('07_Pallet_Contents'!$A$2:$A$3000,$A2,'07_Pallet_Contents'!$D$2:$D$3000))</f>
        <v/>
      </c>
      <c r="Y1654">
        <f>IF($A2="","",SUMIF('07_Pallet_Contents'!$A$2:$A$3000,$A2,'07_Pallet_Contents'!$I$2:$I$3000))</f>
        <v/>
      </c>
      <c r="Z1654">
        <f>IF($A2="","",IF(COUNTIF('07_Pallet_Contents'!$A$2:$A$3000,$A2)&gt;0,"Yes",""))</f>
        <v/>
      </c>
    </row>
    <row r="1655">
      <c r="B1655" s="22" t="n"/>
      <c r="G1655" s="25" t="n"/>
      <c r="H1655" s="24">
        <f>IF(AND($F1655="TEMP",$G1655&gt;0,$M1655&lt;&gt;""),$M1655+$G1655,"")</f>
        <v/>
      </c>
      <c r="I1655" s="22" t="n"/>
      <c r="J1655" s="22" t="n"/>
      <c r="K1655" s="24" t="n"/>
      <c r="W1655">
        <f>IF($A2="","",COUNTIF('07_Pallet_Contents'!$A$2:$A$3000,$A2))</f>
        <v/>
      </c>
      <c r="X1655">
        <f>IF($A2="","",SUMIF('07_Pallet_Contents'!$A$2:$A$3000,$A2,'07_Pallet_Contents'!$D$2:$D$3000))</f>
        <v/>
      </c>
      <c r="Y1655">
        <f>IF($A2="","",SUMIF('07_Pallet_Contents'!$A$2:$A$3000,$A2,'07_Pallet_Contents'!$I$2:$I$3000))</f>
        <v/>
      </c>
      <c r="Z1655">
        <f>IF($A2="","",IF(COUNTIF('07_Pallet_Contents'!$A$2:$A$3000,$A2)&gt;0,"Yes",""))</f>
        <v/>
      </c>
    </row>
    <row r="1656">
      <c r="B1656" s="22" t="n"/>
      <c r="G1656" s="25" t="n"/>
      <c r="H1656" s="24">
        <f>IF(AND($F1656="TEMP",$G1656&gt;0,$M1656&lt;&gt;""),$M1656+$G1656,"")</f>
        <v/>
      </c>
      <c r="I1656" s="22" t="n"/>
      <c r="J1656" s="22" t="n"/>
      <c r="K1656" s="24" t="n"/>
      <c r="W1656">
        <f>IF($A2="","",COUNTIF('07_Pallet_Contents'!$A$2:$A$3000,$A2))</f>
        <v/>
      </c>
      <c r="X1656">
        <f>IF($A2="","",SUMIF('07_Pallet_Contents'!$A$2:$A$3000,$A2,'07_Pallet_Contents'!$D$2:$D$3000))</f>
        <v/>
      </c>
      <c r="Y1656">
        <f>IF($A2="","",SUMIF('07_Pallet_Contents'!$A$2:$A$3000,$A2,'07_Pallet_Contents'!$I$2:$I$3000))</f>
        <v/>
      </c>
      <c r="Z1656">
        <f>IF($A2="","",IF(COUNTIF('07_Pallet_Contents'!$A$2:$A$3000,$A2)&gt;0,"Yes",""))</f>
        <v/>
      </c>
    </row>
    <row r="1657">
      <c r="B1657" s="22" t="n"/>
      <c r="G1657" s="25" t="n"/>
      <c r="H1657" s="24">
        <f>IF(AND($F1657="TEMP",$G1657&gt;0,$M1657&lt;&gt;""),$M1657+$G1657,"")</f>
        <v/>
      </c>
      <c r="I1657" s="22" t="n"/>
      <c r="J1657" s="22" t="n"/>
      <c r="K1657" s="24" t="n"/>
      <c r="W1657">
        <f>IF($A2="","",COUNTIF('07_Pallet_Contents'!$A$2:$A$3000,$A2))</f>
        <v/>
      </c>
      <c r="X1657">
        <f>IF($A2="","",SUMIF('07_Pallet_Contents'!$A$2:$A$3000,$A2,'07_Pallet_Contents'!$D$2:$D$3000))</f>
        <v/>
      </c>
      <c r="Y1657">
        <f>IF($A2="","",SUMIF('07_Pallet_Contents'!$A$2:$A$3000,$A2,'07_Pallet_Contents'!$I$2:$I$3000))</f>
        <v/>
      </c>
      <c r="Z1657">
        <f>IF($A2="","",IF(COUNTIF('07_Pallet_Contents'!$A$2:$A$3000,$A2)&gt;0,"Yes",""))</f>
        <v/>
      </c>
    </row>
    <row r="1658">
      <c r="B1658" s="22" t="n"/>
      <c r="G1658" s="25" t="n"/>
      <c r="H1658" s="24">
        <f>IF(AND($F1658="TEMP",$G1658&gt;0,$M1658&lt;&gt;""),$M1658+$G1658,"")</f>
        <v/>
      </c>
      <c r="I1658" s="22" t="n"/>
      <c r="J1658" s="22" t="n"/>
      <c r="K1658" s="24" t="n"/>
      <c r="W1658">
        <f>IF($A2="","",COUNTIF('07_Pallet_Contents'!$A$2:$A$3000,$A2))</f>
        <v/>
      </c>
      <c r="X1658">
        <f>IF($A2="","",SUMIF('07_Pallet_Contents'!$A$2:$A$3000,$A2,'07_Pallet_Contents'!$D$2:$D$3000))</f>
        <v/>
      </c>
      <c r="Y1658">
        <f>IF($A2="","",SUMIF('07_Pallet_Contents'!$A$2:$A$3000,$A2,'07_Pallet_Contents'!$I$2:$I$3000))</f>
        <v/>
      </c>
      <c r="Z1658">
        <f>IF($A2="","",IF(COUNTIF('07_Pallet_Contents'!$A$2:$A$3000,$A2)&gt;0,"Yes",""))</f>
        <v/>
      </c>
    </row>
    <row r="1659">
      <c r="B1659" s="22" t="n"/>
      <c r="G1659" s="25" t="n"/>
      <c r="H1659" s="24">
        <f>IF(AND($F1659="TEMP",$G1659&gt;0,$M1659&lt;&gt;""),$M1659+$G1659,"")</f>
        <v/>
      </c>
      <c r="I1659" s="22" t="n"/>
      <c r="J1659" s="22" t="n"/>
      <c r="K1659" s="24" t="n"/>
      <c r="W1659">
        <f>IF($A2="","",COUNTIF('07_Pallet_Contents'!$A$2:$A$3000,$A2))</f>
        <v/>
      </c>
      <c r="X1659">
        <f>IF($A2="","",SUMIF('07_Pallet_Contents'!$A$2:$A$3000,$A2,'07_Pallet_Contents'!$D$2:$D$3000))</f>
        <v/>
      </c>
      <c r="Y1659">
        <f>IF($A2="","",SUMIF('07_Pallet_Contents'!$A$2:$A$3000,$A2,'07_Pallet_Contents'!$I$2:$I$3000))</f>
        <v/>
      </c>
      <c r="Z1659">
        <f>IF($A2="","",IF(COUNTIF('07_Pallet_Contents'!$A$2:$A$3000,$A2)&gt;0,"Yes",""))</f>
        <v/>
      </c>
    </row>
    <row r="1660">
      <c r="B1660" s="22" t="n"/>
      <c r="G1660" s="25" t="n"/>
      <c r="H1660" s="24">
        <f>IF(AND($F1660="TEMP",$G1660&gt;0,$M1660&lt;&gt;""),$M1660+$G1660,"")</f>
        <v/>
      </c>
      <c r="I1660" s="22" t="n"/>
      <c r="J1660" s="22" t="n"/>
      <c r="K1660" s="24" t="n"/>
      <c r="W1660">
        <f>IF($A2="","",COUNTIF('07_Pallet_Contents'!$A$2:$A$3000,$A2))</f>
        <v/>
      </c>
      <c r="X1660">
        <f>IF($A2="","",SUMIF('07_Pallet_Contents'!$A$2:$A$3000,$A2,'07_Pallet_Contents'!$D$2:$D$3000))</f>
        <v/>
      </c>
      <c r="Y1660">
        <f>IF($A2="","",SUMIF('07_Pallet_Contents'!$A$2:$A$3000,$A2,'07_Pallet_Contents'!$I$2:$I$3000))</f>
        <v/>
      </c>
      <c r="Z1660">
        <f>IF($A2="","",IF(COUNTIF('07_Pallet_Contents'!$A$2:$A$3000,$A2)&gt;0,"Yes",""))</f>
        <v/>
      </c>
    </row>
    <row r="1661">
      <c r="B1661" s="22" t="n"/>
      <c r="G1661" s="25" t="n"/>
      <c r="H1661" s="24">
        <f>IF(AND($F1661="TEMP",$G1661&gt;0,$M1661&lt;&gt;""),$M1661+$G1661,"")</f>
        <v/>
      </c>
      <c r="I1661" s="22" t="n"/>
      <c r="J1661" s="22" t="n"/>
      <c r="K1661" s="24" t="n"/>
      <c r="W1661">
        <f>IF($A2="","",COUNTIF('07_Pallet_Contents'!$A$2:$A$3000,$A2))</f>
        <v/>
      </c>
      <c r="X1661">
        <f>IF($A2="","",SUMIF('07_Pallet_Contents'!$A$2:$A$3000,$A2,'07_Pallet_Contents'!$D$2:$D$3000))</f>
        <v/>
      </c>
      <c r="Y1661">
        <f>IF($A2="","",SUMIF('07_Pallet_Contents'!$A$2:$A$3000,$A2,'07_Pallet_Contents'!$I$2:$I$3000))</f>
        <v/>
      </c>
      <c r="Z1661">
        <f>IF($A2="","",IF(COUNTIF('07_Pallet_Contents'!$A$2:$A$3000,$A2)&gt;0,"Yes",""))</f>
        <v/>
      </c>
    </row>
    <row r="1662">
      <c r="B1662" s="22" t="n"/>
      <c r="G1662" s="25" t="n"/>
      <c r="H1662" s="24">
        <f>IF(AND($F1662="TEMP",$G1662&gt;0,$M1662&lt;&gt;""),$M1662+$G1662,"")</f>
        <v/>
      </c>
      <c r="I1662" s="22" t="n"/>
      <c r="J1662" s="22" t="n"/>
      <c r="K1662" s="24" t="n"/>
      <c r="W1662">
        <f>IF($A2="","",COUNTIF('07_Pallet_Contents'!$A$2:$A$3000,$A2))</f>
        <v/>
      </c>
      <c r="X1662">
        <f>IF($A2="","",SUMIF('07_Pallet_Contents'!$A$2:$A$3000,$A2,'07_Pallet_Contents'!$D$2:$D$3000))</f>
        <v/>
      </c>
      <c r="Y1662">
        <f>IF($A2="","",SUMIF('07_Pallet_Contents'!$A$2:$A$3000,$A2,'07_Pallet_Contents'!$I$2:$I$3000))</f>
        <v/>
      </c>
      <c r="Z1662">
        <f>IF($A2="","",IF(COUNTIF('07_Pallet_Contents'!$A$2:$A$3000,$A2)&gt;0,"Yes",""))</f>
        <v/>
      </c>
    </row>
    <row r="1663">
      <c r="B1663" s="22" t="n"/>
      <c r="G1663" s="25" t="n"/>
      <c r="H1663" s="24">
        <f>IF(AND($F1663="TEMP",$G1663&gt;0,$M1663&lt;&gt;""),$M1663+$G1663,"")</f>
        <v/>
      </c>
      <c r="I1663" s="22" t="n"/>
      <c r="J1663" s="22" t="n"/>
      <c r="K1663" s="24" t="n"/>
      <c r="W1663">
        <f>IF($A2="","",COUNTIF('07_Pallet_Contents'!$A$2:$A$3000,$A2))</f>
        <v/>
      </c>
      <c r="X1663">
        <f>IF($A2="","",SUMIF('07_Pallet_Contents'!$A$2:$A$3000,$A2,'07_Pallet_Contents'!$D$2:$D$3000))</f>
        <v/>
      </c>
      <c r="Y1663">
        <f>IF($A2="","",SUMIF('07_Pallet_Contents'!$A$2:$A$3000,$A2,'07_Pallet_Contents'!$I$2:$I$3000))</f>
        <v/>
      </c>
      <c r="Z1663">
        <f>IF($A2="","",IF(COUNTIF('07_Pallet_Contents'!$A$2:$A$3000,$A2)&gt;0,"Yes",""))</f>
        <v/>
      </c>
    </row>
    <row r="1664">
      <c r="B1664" s="22" t="n"/>
      <c r="G1664" s="25" t="n"/>
      <c r="H1664" s="24">
        <f>IF(AND($F1664="TEMP",$G1664&gt;0,$M1664&lt;&gt;""),$M1664+$G1664,"")</f>
        <v/>
      </c>
      <c r="I1664" s="22" t="n"/>
      <c r="J1664" s="22" t="n"/>
      <c r="K1664" s="24" t="n"/>
      <c r="W1664">
        <f>IF($A2="","",COUNTIF('07_Pallet_Contents'!$A$2:$A$3000,$A2))</f>
        <v/>
      </c>
      <c r="X1664">
        <f>IF($A2="","",SUMIF('07_Pallet_Contents'!$A$2:$A$3000,$A2,'07_Pallet_Contents'!$D$2:$D$3000))</f>
        <v/>
      </c>
      <c r="Y1664">
        <f>IF($A2="","",SUMIF('07_Pallet_Contents'!$A$2:$A$3000,$A2,'07_Pallet_Contents'!$I$2:$I$3000))</f>
        <v/>
      </c>
      <c r="Z1664">
        <f>IF($A2="","",IF(COUNTIF('07_Pallet_Contents'!$A$2:$A$3000,$A2)&gt;0,"Yes",""))</f>
        <v/>
      </c>
    </row>
    <row r="1665">
      <c r="B1665" s="22" t="n"/>
      <c r="G1665" s="25" t="n"/>
      <c r="H1665" s="24">
        <f>IF(AND($F1665="TEMP",$G1665&gt;0,$M1665&lt;&gt;""),$M1665+$G1665,"")</f>
        <v/>
      </c>
      <c r="I1665" s="22" t="n"/>
      <c r="J1665" s="22" t="n"/>
      <c r="K1665" s="24" t="n"/>
      <c r="W1665">
        <f>IF($A2="","",COUNTIF('07_Pallet_Contents'!$A$2:$A$3000,$A2))</f>
        <v/>
      </c>
      <c r="X1665">
        <f>IF($A2="","",SUMIF('07_Pallet_Contents'!$A$2:$A$3000,$A2,'07_Pallet_Contents'!$D$2:$D$3000))</f>
        <v/>
      </c>
      <c r="Y1665">
        <f>IF($A2="","",SUMIF('07_Pallet_Contents'!$A$2:$A$3000,$A2,'07_Pallet_Contents'!$I$2:$I$3000))</f>
        <v/>
      </c>
      <c r="Z1665">
        <f>IF($A2="","",IF(COUNTIF('07_Pallet_Contents'!$A$2:$A$3000,$A2)&gt;0,"Yes",""))</f>
        <v/>
      </c>
    </row>
    <row r="1666">
      <c r="B1666" s="22" t="n"/>
      <c r="G1666" s="25" t="n"/>
      <c r="H1666" s="24">
        <f>IF(AND($F1666="TEMP",$G1666&gt;0,$M1666&lt;&gt;""),$M1666+$G1666,"")</f>
        <v/>
      </c>
      <c r="I1666" s="22" t="n"/>
      <c r="J1666" s="22" t="n"/>
      <c r="K1666" s="24" t="n"/>
      <c r="W1666">
        <f>IF($A2="","",COUNTIF('07_Pallet_Contents'!$A$2:$A$3000,$A2))</f>
        <v/>
      </c>
      <c r="X1666">
        <f>IF($A2="","",SUMIF('07_Pallet_Contents'!$A$2:$A$3000,$A2,'07_Pallet_Contents'!$D$2:$D$3000))</f>
        <v/>
      </c>
      <c r="Y1666">
        <f>IF($A2="","",SUMIF('07_Pallet_Contents'!$A$2:$A$3000,$A2,'07_Pallet_Contents'!$I$2:$I$3000))</f>
        <v/>
      </c>
      <c r="Z1666">
        <f>IF($A2="","",IF(COUNTIF('07_Pallet_Contents'!$A$2:$A$3000,$A2)&gt;0,"Yes",""))</f>
        <v/>
      </c>
    </row>
    <row r="1667">
      <c r="B1667" s="22" t="n"/>
      <c r="G1667" s="25" t="n"/>
      <c r="H1667" s="24">
        <f>IF(AND($F1667="TEMP",$G1667&gt;0,$M1667&lt;&gt;""),$M1667+$G1667,"")</f>
        <v/>
      </c>
      <c r="I1667" s="22" t="n"/>
      <c r="J1667" s="22" t="n"/>
      <c r="K1667" s="24" t="n"/>
      <c r="W1667">
        <f>IF($A2="","",COUNTIF('07_Pallet_Contents'!$A$2:$A$3000,$A2))</f>
        <v/>
      </c>
      <c r="X1667">
        <f>IF($A2="","",SUMIF('07_Pallet_Contents'!$A$2:$A$3000,$A2,'07_Pallet_Contents'!$D$2:$D$3000))</f>
        <v/>
      </c>
      <c r="Y1667">
        <f>IF($A2="","",SUMIF('07_Pallet_Contents'!$A$2:$A$3000,$A2,'07_Pallet_Contents'!$I$2:$I$3000))</f>
        <v/>
      </c>
      <c r="Z1667">
        <f>IF($A2="","",IF(COUNTIF('07_Pallet_Contents'!$A$2:$A$3000,$A2)&gt;0,"Yes",""))</f>
        <v/>
      </c>
    </row>
    <row r="1668">
      <c r="B1668" s="22" t="n"/>
      <c r="G1668" s="25" t="n"/>
      <c r="H1668" s="24">
        <f>IF(AND($F1668="TEMP",$G1668&gt;0,$M1668&lt;&gt;""),$M1668+$G1668,"")</f>
        <v/>
      </c>
      <c r="I1668" s="22" t="n"/>
      <c r="J1668" s="22" t="n"/>
      <c r="K1668" s="24" t="n"/>
      <c r="W1668">
        <f>IF($A2="","",COUNTIF('07_Pallet_Contents'!$A$2:$A$3000,$A2))</f>
        <v/>
      </c>
      <c r="X1668">
        <f>IF($A2="","",SUMIF('07_Pallet_Contents'!$A$2:$A$3000,$A2,'07_Pallet_Contents'!$D$2:$D$3000))</f>
        <v/>
      </c>
      <c r="Y1668">
        <f>IF($A2="","",SUMIF('07_Pallet_Contents'!$A$2:$A$3000,$A2,'07_Pallet_Contents'!$I$2:$I$3000))</f>
        <v/>
      </c>
      <c r="Z1668">
        <f>IF($A2="","",IF(COUNTIF('07_Pallet_Contents'!$A$2:$A$3000,$A2)&gt;0,"Yes",""))</f>
        <v/>
      </c>
    </row>
    <row r="1669">
      <c r="B1669" s="22" t="n"/>
      <c r="G1669" s="25" t="n"/>
      <c r="H1669" s="24">
        <f>IF(AND($F1669="TEMP",$G1669&gt;0,$M1669&lt;&gt;""),$M1669+$G1669,"")</f>
        <v/>
      </c>
      <c r="I1669" s="22" t="n"/>
      <c r="J1669" s="22" t="n"/>
      <c r="K1669" s="24" t="n"/>
      <c r="W1669">
        <f>IF($A2="","",COUNTIF('07_Pallet_Contents'!$A$2:$A$3000,$A2))</f>
        <v/>
      </c>
      <c r="X1669">
        <f>IF($A2="","",SUMIF('07_Pallet_Contents'!$A$2:$A$3000,$A2,'07_Pallet_Contents'!$D$2:$D$3000))</f>
        <v/>
      </c>
      <c r="Y1669">
        <f>IF($A2="","",SUMIF('07_Pallet_Contents'!$A$2:$A$3000,$A2,'07_Pallet_Contents'!$I$2:$I$3000))</f>
        <v/>
      </c>
      <c r="Z1669">
        <f>IF($A2="","",IF(COUNTIF('07_Pallet_Contents'!$A$2:$A$3000,$A2)&gt;0,"Yes",""))</f>
        <v/>
      </c>
    </row>
    <row r="1670">
      <c r="B1670" s="22" t="n"/>
      <c r="G1670" s="25" t="n"/>
      <c r="H1670" s="24">
        <f>IF(AND($F1670="TEMP",$G1670&gt;0,$M1670&lt;&gt;""),$M1670+$G1670,"")</f>
        <v/>
      </c>
      <c r="I1670" s="22" t="n"/>
      <c r="J1670" s="22" t="n"/>
      <c r="K1670" s="24" t="n"/>
      <c r="W1670">
        <f>IF($A2="","",COUNTIF('07_Pallet_Contents'!$A$2:$A$3000,$A2))</f>
        <v/>
      </c>
      <c r="X1670">
        <f>IF($A2="","",SUMIF('07_Pallet_Contents'!$A$2:$A$3000,$A2,'07_Pallet_Contents'!$D$2:$D$3000))</f>
        <v/>
      </c>
      <c r="Y1670">
        <f>IF($A2="","",SUMIF('07_Pallet_Contents'!$A$2:$A$3000,$A2,'07_Pallet_Contents'!$I$2:$I$3000))</f>
        <v/>
      </c>
      <c r="Z1670">
        <f>IF($A2="","",IF(COUNTIF('07_Pallet_Contents'!$A$2:$A$3000,$A2)&gt;0,"Yes",""))</f>
        <v/>
      </c>
    </row>
    <row r="1671">
      <c r="B1671" s="22" t="n"/>
      <c r="G1671" s="25" t="n"/>
      <c r="H1671" s="24">
        <f>IF(AND($F1671="TEMP",$G1671&gt;0,$M1671&lt;&gt;""),$M1671+$G1671,"")</f>
        <v/>
      </c>
      <c r="I1671" s="22" t="n"/>
      <c r="J1671" s="22" t="n"/>
      <c r="K1671" s="24" t="n"/>
      <c r="W1671">
        <f>IF($A2="","",COUNTIF('07_Pallet_Contents'!$A$2:$A$3000,$A2))</f>
        <v/>
      </c>
      <c r="X1671">
        <f>IF($A2="","",SUMIF('07_Pallet_Contents'!$A$2:$A$3000,$A2,'07_Pallet_Contents'!$D$2:$D$3000))</f>
        <v/>
      </c>
      <c r="Y1671">
        <f>IF($A2="","",SUMIF('07_Pallet_Contents'!$A$2:$A$3000,$A2,'07_Pallet_Contents'!$I$2:$I$3000))</f>
        <v/>
      </c>
      <c r="Z1671">
        <f>IF($A2="","",IF(COUNTIF('07_Pallet_Contents'!$A$2:$A$3000,$A2)&gt;0,"Yes",""))</f>
        <v/>
      </c>
    </row>
    <row r="1672">
      <c r="B1672" s="22" t="n"/>
      <c r="G1672" s="25" t="n"/>
      <c r="H1672" s="24">
        <f>IF(AND($F1672="TEMP",$G1672&gt;0,$M1672&lt;&gt;""),$M1672+$G1672,"")</f>
        <v/>
      </c>
      <c r="I1672" s="22" t="n"/>
      <c r="J1672" s="22" t="n"/>
      <c r="K1672" s="24" t="n"/>
      <c r="W1672">
        <f>IF($A2="","",COUNTIF('07_Pallet_Contents'!$A$2:$A$3000,$A2))</f>
        <v/>
      </c>
      <c r="X1672">
        <f>IF($A2="","",SUMIF('07_Pallet_Contents'!$A$2:$A$3000,$A2,'07_Pallet_Contents'!$D$2:$D$3000))</f>
        <v/>
      </c>
      <c r="Y1672">
        <f>IF($A2="","",SUMIF('07_Pallet_Contents'!$A$2:$A$3000,$A2,'07_Pallet_Contents'!$I$2:$I$3000))</f>
        <v/>
      </c>
      <c r="Z1672">
        <f>IF($A2="","",IF(COUNTIF('07_Pallet_Contents'!$A$2:$A$3000,$A2)&gt;0,"Yes",""))</f>
        <v/>
      </c>
    </row>
    <row r="1673">
      <c r="B1673" s="22" t="n"/>
      <c r="G1673" s="25" t="n"/>
      <c r="H1673" s="24">
        <f>IF(AND($F1673="TEMP",$G1673&gt;0,$M1673&lt;&gt;""),$M1673+$G1673,"")</f>
        <v/>
      </c>
      <c r="I1673" s="22" t="n"/>
      <c r="J1673" s="22" t="n"/>
      <c r="K1673" s="24" t="n"/>
      <c r="W1673">
        <f>IF($A2="","",COUNTIF('07_Pallet_Contents'!$A$2:$A$3000,$A2))</f>
        <v/>
      </c>
      <c r="X1673">
        <f>IF($A2="","",SUMIF('07_Pallet_Contents'!$A$2:$A$3000,$A2,'07_Pallet_Contents'!$D$2:$D$3000))</f>
        <v/>
      </c>
      <c r="Y1673">
        <f>IF($A2="","",SUMIF('07_Pallet_Contents'!$A$2:$A$3000,$A2,'07_Pallet_Contents'!$I$2:$I$3000))</f>
        <v/>
      </c>
      <c r="Z1673">
        <f>IF($A2="","",IF(COUNTIF('07_Pallet_Contents'!$A$2:$A$3000,$A2)&gt;0,"Yes",""))</f>
        <v/>
      </c>
    </row>
    <row r="1674">
      <c r="B1674" s="22" t="n"/>
      <c r="G1674" s="25" t="n"/>
      <c r="H1674" s="24">
        <f>IF(AND($F1674="TEMP",$G1674&gt;0,$M1674&lt;&gt;""),$M1674+$G1674,"")</f>
        <v/>
      </c>
      <c r="I1674" s="22" t="n"/>
      <c r="J1674" s="22" t="n"/>
      <c r="K1674" s="24" t="n"/>
      <c r="W1674">
        <f>IF($A2="","",COUNTIF('07_Pallet_Contents'!$A$2:$A$3000,$A2))</f>
        <v/>
      </c>
      <c r="X1674">
        <f>IF($A2="","",SUMIF('07_Pallet_Contents'!$A$2:$A$3000,$A2,'07_Pallet_Contents'!$D$2:$D$3000))</f>
        <v/>
      </c>
      <c r="Y1674">
        <f>IF($A2="","",SUMIF('07_Pallet_Contents'!$A$2:$A$3000,$A2,'07_Pallet_Contents'!$I$2:$I$3000))</f>
        <v/>
      </c>
      <c r="Z1674">
        <f>IF($A2="","",IF(COUNTIF('07_Pallet_Contents'!$A$2:$A$3000,$A2)&gt;0,"Yes",""))</f>
        <v/>
      </c>
    </row>
    <row r="1675">
      <c r="B1675" s="22" t="n"/>
      <c r="G1675" s="25" t="n"/>
      <c r="H1675" s="24">
        <f>IF(AND($F1675="TEMP",$G1675&gt;0,$M1675&lt;&gt;""),$M1675+$G1675,"")</f>
        <v/>
      </c>
      <c r="I1675" s="22" t="n"/>
      <c r="J1675" s="22" t="n"/>
      <c r="K1675" s="24" t="n"/>
      <c r="W1675">
        <f>IF($A2="","",COUNTIF('07_Pallet_Contents'!$A$2:$A$3000,$A2))</f>
        <v/>
      </c>
      <c r="X1675">
        <f>IF($A2="","",SUMIF('07_Pallet_Contents'!$A$2:$A$3000,$A2,'07_Pallet_Contents'!$D$2:$D$3000))</f>
        <v/>
      </c>
      <c r="Y1675">
        <f>IF($A2="","",SUMIF('07_Pallet_Contents'!$A$2:$A$3000,$A2,'07_Pallet_Contents'!$I$2:$I$3000))</f>
        <v/>
      </c>
      <c r="Z1675">
        <f>IF($A2="","",IF(COUNTIF('07_Pallet_Contents'!$A$2:$A$3000,$A2)&gt;0,"Yes",""))</f>
        <v/>
      </c>
    </row>
    <row r="1676">
      <c r="B1676" s="22" t="n"/>
      <c r="G1676" s="25" t="n"/>
      <c r="H1676" s="24">
        <f>IF(AND($F1676="TEMP",$G1676&gt;0,$M1676&lt;&gt;""),$M1676+$G1676,"")</f>
        <v/>
      </c>
      <c r="I1676" s="22" t="n"/>
      <c r="J1676" s="22" t="n"/>
      <c r="K1676" s="24" t="n"/>
      <c r="W1676">
        <f>IF($A2="","",COUNTIF('07_Pallet_Contents'!$A$2:$A$3000,$A2))</f>
        <v/>
      </c>
      <c r="X1676">
        <f>IF($A2="","",SUMIF('07_Pallet_Contents'!$A$2:$A$3000,$A2,'07_Pallet_Contents'!$D$2:$D$3000))</f>
        <v/>
      </c>
      <c r="Y1676">
        <f>IF($A2="","",SUMIF('07_Pallet_Contents'!$A$2:$A$3000,$A2,'07_Pallet_Contents'!$I$2:$I$3000))</f>
        <v/>
      </c>
      <c r="Z1676">
        <f>IF($A2="","",IF(COUNTIF('07_Pallet_Contents'!$A$2:$A$3000,$A2)&gt;0,"Yes",""))</f>
        <v/>
      </c>
    </row>
    <row r="1677">
      <c r="B1677" s="22" t="n"/>
      <c r="G1677" s="25" t="n"/>
      <c r="H1677" s="24">
        <f>IF(AND($F1677="TEMP",$G1677&gt;0,$M1677&lt;&gt;""),$M1677+$G1677,"")</f>
        <v/>
      </c>
      <c r="I1677" s="22" t="n"/>
      <c r="J1677" s="22" t="n"/>
      <c r="K1677" s="24" t="n"/>
      <c r="W1677">
        <f>IF($A2="","",COUNTIF('07_Pallet_Contents'!$A$2:$A$3000,$A2))</f>
        <v/>
      </c>
      <c r="X1677">
        <f>IF($A2="","",SUMIF('07_Pallet_Contents'!$A$2:$A$3000,$A2,'07_Pallet_Contents'!$D$2:$D$3000))</f>
        <v/>
      </c>
      <c r="Y1677">
        <f>IF($A2="","",SUMIF('07_Pallet_Contents'!$A$2:$A$3000,$A2,'07_Pallet_Contents'!$I$2:$I$3000))</f>
        <v/>
      </c>
      <c r="Z1677">
        <f>IF($A2="","",IF(COUNTIF('07_Pallet_Contents'!$A$2:$A$3000,$A2)&gt;0,"Yes",""))</f>
        <v/>
      </c>
    </row>
    <row r="1678">
      <c r="B1678" s="22" t="n"/>
      <c r="G1678" s="25" t="n"/>
      <c r="H1678" s="24">
        <f>IF(AND($F1678="TEMP",$G1678&gt;0,$M1678&lt;&gt;""),$M1678+$G1678,"")</f>
        <v/>
      </c>
      <c r="I1678" s="22" t="n"/>
      <c r="J1678" s="22" t="n"/>
      <c r="K1678" s="24" t="n"/>
      <c r="W1678">
        <f>IF($A2="","",COUNTIF('07_Pallet_Contents'!$A$2:$A$3000,$A2))</f>
        <v/>
      </c>
      <c r="X1678">
        <f>IF($A2="","",SUMIF('07_Pallet_Contents'!$A$2:$A$3000,$A2,'07_Pallet_Contents'!$D$2:$D$3000))</f>
        <v/>
      </c>
      <c r="Y1678">
        <f>IF($A2="","",SUMIF('07_Pallet_Contents'!$A$2:$A$3000,$A2,'07_Pallet_Contents'!$I$2:$I$3000))</f>
        <v/>
      </c>
      <c r="Z1678">
        <f>IF($A2="","",IF(COUNTIF('07_Pallet_Contents'!$A$2:$A$3000,$A2)&gt;0,"Yes",""))</f>
        <v/>
      </c>
    </row>
    <row r="1679">
      <c r="B1679" s="22" t="n"/>
      <c r="G1679" s="25" t="n"/>
      <c r="H1679" s="24">
        <f>IF(AND($F1679="TEMP",$G1679&gt;0,$M1679&lt;&gt;""),$M1679+$G1679,"")</f>
        <v/>
      </c>
      <c r="I1679" s="22" t="n"/>
      <c r="J1679" s="22" t="n"/>
      <c r="K1679" s="24" t="n"/>
      <c r="W1679">
        <f>IF($A2="","",COUNTIF('07_Pallet_Contents'!$A$2:$A$3000,$A2))</f>
        <v/>
      </c>
      <c r="X1679">
        <f>IF($A2="","",SUMIF('07_Pallet_Contents'!$A$2:$A$3000,$A2,'07_Pallet_Contents'!$D$2:$D$3000))</f>
        <v/>
      </c>
      <c r="Y1679">
        <f>IF($A2="","",SUMIF('07_Pallet_Contents'!$A$2:$A$3000,$A2,'07_Pallet_Contents'!$I$2:$I$3000))</f>
        <v/>
      </c>
      <c r="Z1679">
        <f>IF($A2="","",IF(COUNTIF('07_Pallet_Contents'!$A$2:$A$3000,$A2)&gt;0,"Yes",""))</f>
        <v/>
      </c>
    </row>
    <row r="1680">
      <c r="B1680" s="22" t="n"/>
      <c r="G1680" s="25" t="n"/>
      <c r="H1680" s="24">
        <f>IF(AND($F1680="TEMP",$G1680&gt;0,$M1680&lt;&gt;""),$M1680+$G1680,"")</f>
        <v/>
      </c>
      <c r="I1680" s="22" t="n"/>
      <c r="J1680" s="22" t="n"/>
      <c r="K1680" s="24" t="n"/>
      <c r="W1680">
        <f>IF($A2="","",COUNTIF('07_Pallet_Contents'!$A$2:$A$3000,$A2))</f>
        <v/>
      </c>
      <c r="X1680">
        <f>IF($A2="","",SUMIF('07_Pallet_Contents'!$A$2:$A$3000,$A2,'07_Pallet_Contents'!$D$2:$D$3000))</f>
        <v/>
      </c>
      <c r="Y1680">
        <f>IF($A2="","",SUMIF('07_Pallet_Contents'!$A$2:$A$3000,$A2,'07_Pallet_Contents'!$I$2:$I$3000))</f>
        <v/>
      </c>
      <c r="Z1680">
        <f>IF($A2="","",IF(COUNTIF('07_Pallet_Contents'!$A$2:$A$3000,$A2)&gt;0,"Yes",""))</f>
        <v/>
      </c>
    </row>
    <row r="1681">
      <c r="B1681" s="22" t="n"/>
      <c r="G1681" s="25" t="n"/>
      <c r="H1681" s="24">
        <f>IF(AND($F1681="TEMP",$G1681&gt;0,$M1681&lt;&gt;""),$M1681+$G1681,"")</f>
        <v/>
      </c>
      <c r="I1681" s="22" t="n"/>
      <c r="J1681" s="22" t="n"/>
      <c r="K1681" s="24" t="n"/>
      <c r="W1681">
        <f>IF($A2="","",COUNTIF('07_Pallet_Contents'!$A$2:$A$3000,$A2))</f>
        <v/>
      </c>
      <c r="X1681">
        <f>IF($A2="","",SUMIF('07_Pallet_Contents'!$A$2:$A$3000,$A2,'07_Pallet_Contents'!$D$2:$D$3000))</f>
        <v/>
      </c>
      <c r="Y1681">
        <f>IF($A2="","",SUMIF('07_Pallet_Contents'!$A$2:$A$3000,$A2,'07_Pallet_Contents'!$I$2:$I$3000))</f>
        <v/>
      </c>
      <c r="Z1681">
        <f>IF($A2="","",IF(COUNTIF('07_Pallet_Contents'!$A$2:$A$3000,$A2)&gt;0,"Yes",""))</f>
        <v/>
      </c>
    </row>
    <row r="1682">
      <c r="B1682" s="22" t="n"/>
      <c r="G1682" s="25" t="n"/>
      <c r="H1682" s="24">
        <f>IF(AND($F1682="TEMP",$G1682&gt;0,$M1682&lt;&gt;""),$M1682+$G1682,"")</f>
        <v/>
      </c>
      <c r="I1682" s="22" t="n"/>
      <c r="J1682" s="22" t="n"/>
      <c r="K1682" s="24" t="n"/>
      <c r="W1682">
        <f>IF($A2="","",COUNTIF('07_Pallet_Contents'!$A$2:$A$3000,$A2))</f>
        <v/>
      </c>
      <c r="X1682">
        <f>IF($A2="","",SUMIF('07_Pallet_Contents'!$A$2:$A$3000,$A2,'07_Pallet_Contents'!$D$2:$D$3000))</f>
        <v/>
      </c>
      <c r="Y1682">
        <f>IF($A2="","",SUMIF('07_Pallet_Contents'!$A$2:$A$3000,$A2,'07_Pallet_Contents'!$I$2:$I$3000))</f>
        <v/>
      </c>
      <c r="Z1682">
        <f>IF($A2="","",IF(COUNTIF('07_Pallet_Contents'!$A$2:$A$3000,$A2)&gt;0,"Yes",""))</f>
        <v/>
      </c>
    </row>
    <row r="1683">
      <c r="B1683" s="22" t="n"/>
      <c r="G1683" s="25" t="n"/>
      <c r="H1683" s="24">
        <f>IF(AND($F1683="TEMP",$G1683&gt;0,$M1683&lt;&gt;""),$M1683+$G1683,"")</f>
        <v/>
      </c>
      <c r="I1683" s="22" t="n"/>
      <c r="J1683" s="22" t="n"/>
      <c r="K1683" s="24" t="n"/>
      <c r="W1683">
        <f>IF($A2="","",COUNTIF('07_Pallet_Contents'!$A$2:$A$3000,$A2))</f>
        <v/>
      </c>
      <c r="X1683">
        <f>IF($A2="","",SUMIF('07_Pallet_Contents'!$A$2:$A$3000,$A2,'07_Pallet_Contents'!$D$2:$D$3000))</f>
        <v/>
      </c>
      <c r="Y1683">
        <f>IF($A2="","",SUMIF('07_Pallet_Contents'!$A$2:$A$3000,$A2,'07_Pallet_Contents'!$I$2:$I$3000))</f>
        <v/>
      </c>
      <c r="Z1683">
        <f>IF($A2="","",IF(COUNTIF('07_Pallet_Contents'!$A$2:$A$3000,$A2)&gt;0,"Yes",""))</f>
        <v/>
      </c>
    </row>
    <row r="1684">
      <c r="B1684" s="22" t="n"/>
      <c r="G1684" s="25" t="n"/>
      <c r="H1684" s="24">
        <f>IF(AND($F1684="TEMP",$G1684&gt;0,$M1684&lt;&gt;""),$M1684+$G1684,"")</f>
        <v/>
      </c>
      <c r="I1684" s="22" t="n"/>
      <c r="J1684" s="22" t="n"/>
      <c r="K1684" s="24" t="n"/>
      <c r="W1684">
        <f>IF($A2="","",COUNTIF('07_Pallet_Contents'!$A$2:$A$3000,$A2))</f>
        <v/>
      </c>
      <c r="X1684">
        <f>IF($A2="","",SUMIF('07_Pallet_Contents'!$A$2:$A$3000,$A2,'07_Pallet_Contents'!$D$2:$D$3000))</f>
        <v/>
      </c>
      <c r="Y1684">
        <f>IF($A2="","",SUMIF('07_Pallet_Contents'!$A$2:$A$3000,$A2,'07_Pallet_Contents'!$I$2:$I$3000))</f>
        <v/>
      </c>
      <c r="Z1684">
        <f>IF($A2="","",IF(COUNTIF('07_Pallet_Contents'!$A$2:$A$3000,$A2)&gt;0,"Yes",""))</f>
        <v/>
      </c>
    </row>
    <row r="1685">
      <c r="B1685" s="22" t="n"/>
      <c r="G1685" s="25" t="n"/>
      <c r="H1685" s="24">
        <f>IF(AND($F1685="TEMP",$G1685&gt;0,$M1685&lt;&gt;""),$M1685+$G1685,"")</f>
        <v/>
      </c>
      <c r="I1685" s="22" t="n"/>
      <c r="J1685" s="22" t="n"/>
      <c r="K1685" s="24" t="n"/>
      <c r="W1685">
        <f>IF($A2="","",COUNTIF('07_Pallet_Contents'!$A$2:$A$3000,$A2))</f>
        <v/>
      </c>
      <c r="X1685">
        <f>IF($A2="","",SUMIF('07_Pallet_Contents'!$A$2:$A$3000,$A2,'07_Pallet_Contents'!$D$2:$D$3000))</f>
        <v/>
      </c>
      <c r="Y1685">
        <f>IF($A2="","",SUMIF('07_Pallet_Contents'!$A$2:$A$3000,$A2,'07_Pallet_Contents'!$I$2:$I$3000))</f>
        <v/>
      </c>
      <c r="Z1685">
        <f>IF($A2="","",IF(COUNTIF('07_Pallet_Contents'!$A$2:$A$3000,$A2)&gt;0,"Yes",""))</f>
        <v/>
      </c>
    </row>
    <row r="1686">
      <c r="B1686" s="22" t="n"/>
      <c r="G1686" s="25" t="n"/>
      <c r="H1686" s="24">
        <f>IF(AND($F1686="TEMP",$G1686&gt;0,$M1686&lt;&gt;""),$M1686+$G1686,"")</f>
        <v/>
      </c>
      <c r="I1686" s="22" t="n"/>
      <c r="J1686" s="22" t="n"/>
      <c r="K1686" s="24" t="n"/>
      <c r="W1686">
        <f>IF($A2="","",COUNTIF('07_Pallet_Contents'!$A$2:$A$3000,$A2))</f>
        <v/>
      </c>
      <c r="X1686">
        <f>IF($A2="","",SUMIF('07_Pallet_Contents'!$A$2:$A$3000,$A2,'07_Pallet_Contents'!$D$2:$D$3000))</f>
        <v/>
      </c>
      <c r="Y1686">
        <f>IF($A2="","",SUMIF('07_Pallet_Contents'!$A$2:$A$3000,$A2,'07_Pallet_Contents'!$I$2:$I$3000))</f>
        <v/>
      </c>
      <c r="Z1686">
        <f>IF($A2="","",IF(COUNTIF('07_Pallet_Contents'!$A$2:$A$3000,$A2)&gt;0,"Yes",""))</f>
        <v/>
      </c>
    </row>
    <row r="1687">
      <c r="B1687" s="22" t="n"/>
      <c r="G1687" s="25" t="n"/>
      <c r="H1687" s="24">
        <f>IF(AND($F1687="TEMP",$G1687&gt;0,$M1687&lt;&gt;""),$M1687+$G1687,"")</f>
        <v/>
      </c>
      <c r="I1687" s="22" t="n"/>
      <c r="J1687" s="22" t="n"/>
      <c r="K1687" s="24" t="n"/>
      <c r="W1687">
        <f>IF($A2="","",COUNTIF('07_Pallet_Contents'!$A$2:$A$3000,$A2))</f>
        <v/>
      </c>
      <c r="X1687">
        <f>IF($A2="","",SUMIF('07_Pallet_Contents'!$A$2:$A$3000,$A2,'07_Pallet_Contents'!$D$2:$D$3000))</f>
        <v/>
      </c>
      <c r="Y1687">
        <f>IF($A2="","",SUMIF('07_Pallet_Contents'!$A$2:$A$3000,$A2,'07_Pallet_Contents'!$I$2:$I$3000))</f>
        <v/>
      </c>
      <c r="Z1687">
        <f>IF($A2="","",IF(COUNTIF('07_Pallet_Contents'!$A$2:$A$3000,$A2)&gt;0,"Yes",""))</f>
        <v/>
      </c>
    </row>
    <row r="1688">
      <c r="B1688" s="22" t="n"/>
      <c r="G1688" s="25" t="n"/>
      <c r="H1688" s="24">
        <f>IF(AND($F1688="TEMP",$G1688&gt;0,$M1688&lt;&gt;""),$M1688+$G1688,"")</f>
        <v/>
      </c>
      <c r="I1688" s="22" t="n"/>
      <c r="J1688" s="22" t="n"/>
      <c r="K1688" s="24" t="n"/>
      <c r="W1688">
        <f>IF($A2="","",COUNTIF('07_Pallet_Contents'!$A$2:$A$3000,$A2))</f>
        <v/>
      </c>
      <c r="X1688">
        <f>IF($A2="","",SUMIF('07_Pallet_Contents'!$A$2:$A$3000,$A2,'07_Pallet_Contents'!$D$2:$D$3000))</f>
        <v/>
      </c>
      <c r="Y1688">
        <f>IF($A2="","",SUMIF('07_Pallet_Contents'!$A$2:$A$3000,$A2,'07_Pallet_Contents'!$I$2:$I$3000))</f>
        <v/>
      </c>
      <c r="Z1688">
        <f>IF($A2="","",IF(COUNTIF('07_Pallet_Contents'!$A$2:$A$3000,$A2)&gt;0,"Yes",""))</f>
        <v/>
      </c>
    </row>
    <row r="1689">
      <c r="B1689" s="22" t="n"/>
      <c r="G1689" s="25" t="n"/>
      <c r="H1689" s="24">
        <f>IF(AND($F1689="TEMP",$G1689&gt;0,$M1689&lt;&gt;""),$M1689+$G1689,"")</f>
        <v/>
      </c>
      <c r="I1689" s="22" t="n"/>
      <c r="J1689" s="22" t="n"/>
      <c r="K1689" s="24" t="n"/>
      <c r="W1689">
        <f>IF($A2="","",COUNTIF('07_Pallet_Contents'!$A$2:$A$3000,$A2))</f>
        <v/>
      </c>
      <c r="X1689">
        <f>IF($A2="","",SUMIF('07_Pallet_Contents'!$A$2:$A$3000,$A2,'07_Pallet_Contents'!$D$2:$D$3000))</f>
        <v/>
      </c>
      <c r="Y1689">
        <f>IF($A2="","",SUMIF('07_Pallet_Contents'!$A$2:$A$3000,$A2,'07_Pallet_Contents'!$I$2:$I$3000))</f>
        <v/>
      </c>
      <c r="Z1689">
        <f>IF($A2="","",IF(COUNTIF('07_Pallet_Contents'!$A$2:$A$3000,$A2)&gt;0,"Yes",""))</f>
        <v/>
      </c>
    </row>
    <row r="1690">
      <c r="B1690" s="22" t="n"/>
      <c r="G1690" s="25" t="n"/>
      <c r="H1690" s="24">
        <f>IF(AND($F1690="TEMP",$G1690&gt;0,$M1690&lt;&gt;""),$M1690+$G1690,"")</f>
        <v/>
      </c>
      <c r="I1690" s="22" t="n"/>
      <c r="J1690" s="22" t="n"/>
      <c r="K1690" s="24" t="n"/>
      <c r="W1690">
        <f>IF($A2="","",COUNTIF('07_Pallet_Contents'!$A$2:$A$3000,$A2))</f>
        <v/>
      </c>
      <c r="X1690">
        <f>IF($A2="","",SUMIF('07_Pallet_Contents'!$A$2:$A$3000,$A2,'07_Pallet_Contents'!$D$2:$D$3000))</f>
        <v/>
      </c>
      <c r="Y1690">
        <f>IF($A2="","",SUMIF('07_Pallet_Contents'!$A$2:$A$3000,$A2,'07_Pallet_Contents'!$I$2:$I$3000))</f>
        <v/>
      </c>
      <c r="Z1690">
        <f>IF($A2="","",IF(COUNTIF('07_Pallet_Contents'!$A$2:$A$3000,$A2)&gt;0,"Yes",""))</f>
        <v/>
      </c>
    </row>
    <row r="1691">
      <c r="B1691" s="22" t="n"/>
      <c r="G1691" s="25" t="n"/>
      <c r="H1691" s="24">
        <f>IF(AND($F1691="TEMP",$G1691&gt;0,$M1691&lt;&gt;""),$M1691+$G1691,"")</f>
        <v/>
      </c>
      <c r="I1691" s="22" t="n"/>
      <c r="J1691" s="22" t="n"/>
      <c r="K1691" s="24" t="n"/>
      <c r="W1691">
        <f>IF($A2="","",COUNTIF('07_Pallet_Contents'!$A$2:$A$3000,$A2))</f>
        <v/>
      </c>
      <c r="X1691">
        <f>IF($A2="","",SUMIF('07_Pallet_Contents'!$A$2:$A$3000,$A2,'07_Pallet_Contents'!$D$2:$D$3000))</f>
        <v/>
      </c>
      <c r="Y1691">
        <f>IF($A2="","",SUMIF('07_Pallet_Contents'!$A$2:$A$3000,$A2,'07_Pallet_Contents'!$I$2:$I$3000))</f>
        <v/>
      </c>
      <c r="Z1691">
        <f>IF($A2="","",IF(COUNTIF('07_Pallet_Contents'!$A$2:$A$3000,$A2)&gt;0,"Yes",""))</f>
        <v/>
      </c>
    </row>
    <row r="1692">
      <c r="B1692" s="22" t="n"/>
      <c r="G1692" s="25" t="n"/>
      <c r="H1692" s="24">
        <f>IF(AND($F1692="TEMP",$G1692&gt;0,$M1692&lt;&gt;""),$M1692+$G1692,"")</f>
        <v/>
      </c>
      <c r="I1692" s="22" t="n"/>
      <c r="J1692" s="22" t="n"/>
      <c r="K1692" s="24" t="n"/>
      <c r="W1692">
        <f>IF($A2="","",COUNTIF('07_Pallet_Contents'!$A$2:$A$3000,$A2))</f>
        <v/>
      </c>
      <c r="X1692">
        <f>IF($A2="","",SUMIF('07_Pallet_Contents'!$A$2:$A$3000,$A2,'07_Pallet_Contents'!$D$2:$D$3000))</f>
        <v/>
      </c>
      <c r="Y1692">
        <f>IF($A2="","",SUMIF('07_Pallet_Contents'!$A$2:$A$3000,$A2,'07_Pallet_Contents'!$I$2:$I$3000))</f>
        <v/>
      </c>
      <c r="Z1692">
        <f>IF($A2="","",IF(COUNTIF('07_Pallet_Contents'!$A$2:$A$3000,$A2)&gt;0,"Yes",""))</f>
        <v/>
      </c>
    </row>
    <row r="1693">
      <c r="B1693" s="22" t="n"/>
      <c r="G1693" s="25" t="n"/>
      <c r="H1693" s="24">
        <f>IF(AND($F1693="TEMP",$G1693&gt;0,$M1693&lt;&gt;""),$M1693+$G1693,"")</f>
        <v/>
      </c>
      <c r="I1693" s="22" t="n"/>
      <c r="J1693" s="22" t="n"/>
      <c r="K1693" s="24" t="n"/>
      <c r="W1693">
        <f>IF($A2="","",COUNTIF('07_Pallet_Contents'!$A$2:$A$3000,$A2))</f>
        <v/>
      </c>
      <c r="X1693">
        <f>IF($A2="","",SUMIF('07_Pallet_Contents'!$A$2:$A$3000,$A2,'07_Pallet_Contents'!$D$2:$D$3000))</f>
        <v/>
      </c>
      <c r="Y1693">
        <f>IF($A2="","",SUMIF('07_Pallet_Contents'!$A$2:$A$3000,$A2,'07_Pallet_Contents'!$I$2:$I$3000))</f>
        <v/>
      </c>
      <c r="Z1693">
        <f>IF($A2="","",IF(COUNTIF('07_Pallet_Contents'!$A$2:$A$3000,$A2)&gt;0,"Yes",""))</f>
        <v/>
      </c>
    </row>
    <row r="1694">
      <c r="B1694" s="22" t="n"/>
      <c r="G1694" s="25" t="n"/>
      <c r="H1694" s="24">
        <f>IF(AND($F1694="TEMP",$G1694&gt;0,$M1694&lt;&gt;""),$M1694+$G1694,"")</f>
        <v/>
      </c>
      <c r="I1694" s="22" t="n"/>
      <c r="J1694" s="22" t="n"/>
      <c r="K1694" s="24" t="n"/>
      <c r="W1694">
        <f>IF($A2="","",COUNTIF('07_Pallet_Contents'!$A$2:$A$3000,$A2))</f>
        <v/>
      </c>
      <c r="X1694">
        <f>IF($A2="","",SUMIF('07_Pallet_Contents'!$A$2:$A$3000,$A2,'07_Pallet_Contents'!$D$2:$D$3000))</f>
        <v/>
      </c>
      <c r="Y1694">
        <f>IF($A2="","",SUMIF('07_Pallet_Contents'!$A$2:$A$3000,$A2,'07_Pallet_Contents'!$I$2:$I$3000))</f>
        <v/>
      </c>
      <c r="Z1694">
        <f>IF($A2="","",IF(COUNTIF('07_Pallet_Contents'!$A$2:$A$3000,$A2)&gt;0,"Yes",""))</f>
        <v/>
      </c>
    </row>
    <row r="1695">
      <c r="B1695" s="22" t="n"/>
      <c r="G1695" s="25" t="n"/>
      <c r="H1695" s="24">
        <f>IF(AND($F1695="TEMP",$G1695&gt;0,$M1695&lt;&gt;""),$M1695+$G1695,"")</f>
        <v/>
      </c>
      <c r="I1695" s="22" t="n"/>
      <c r="J1695" s="22" t="n"/>
      <c r="K1695" s="24" t="n"/>
      <c r="W1695">
        <f>IF($A2="","",COUNTIF('07_Pallet_Contents'!$A$2:$A$3000,$A2))</f>
        <v/>
      </c>
      <c r="X1695">
        <f>IF($A2="","",SUMIF('07_Pallet_Contents'!$A$2:$A$3000,$A2,'07_Pallet_Contents'!$D$2:$D$3000))</f>
        <v/>
      </c>
      <c r="Y1695">
        <f>IF($A2="","",SUMIF('07_Pallet_Contents'!$A$2:$A$3000,$A2,'07_Pallet_Contents'!$I$2:$I$3000))</f>
        <v/>
      </c>
      <c r="Z1695">
        <f>IF($A2="","",IF(COUNTIF('07_Pallet_Contents'!$A$2:$A$3000,$A2)&gt;0,"Yes",""))</f>
        <v/>
      </c>
    </row>
    <row r="1696">
      <c r="B1696" s="22" t="n"/>
      <c r="G1696" s="25" t="n"/>
      <c r="H1696" s="24">
        <f>IF(AND($F1696="TEMP",$G1696&gt;0,$M1696&lt;&gt;""),$M1696+$G1696,"")</f>
        <v/>
      </c>
      <c r="I1696" s="22" t="n"/>
      <c r="J1696" s="22" t="n"/>
      <c r="K1696" s="24" t="n"/>
      <c r="W1696">
        <f>IF($A2="","",COUNTIF('07_Pallet_Contents'!$A$2:$A$3000,$A2))</f>
        <v/>
      </c>
      <c r="X1696">
        <f>IF($A2="","",SUMIF('07_Pallet_Contents'!$A$2:$A$3000,$A2,'07_Pallet_Contents'!$D$2:$D$3000))</f>
        <v/>
      </c>
      <c r="Y1696">
        <f>IF($A2="","",SUMIF('07_Pallet_Contents'!$A$2:$A$3000,$A2,'07_Pallet_Contents'!$I$2:$I$3000))</f>
        <v/>
      </c>
      <c r="Z1696">
        <f>IF($A2="","",IF(COUNTIF('07_Pallet_Contents'!$A$2:$A$3000,$A2)&gt;0,"Yes",""))</f>
        <v/>
      </c>
    </row>
    <row r="1697">
      <c r="B1697" s="22" t="n"/>
      <c r="G1697" s="25" t="n"/>
      <c r="H1697" s="24">
        <f>IF(AND($F1697="TEMP",$G1697&gt;0,$M1697&lt;&gt;""),$M1697+$G1697,"")</f>
        <v/>
      </c>
      <c r="I1697" s="22" t="n"/>
      <c r="J1697" s="22" t="n"/>
      <c r="K1697" s="24" t="n"/>
      <c r="W1697">
        <f>IF($A2="","",COUNTIF('07_Pallet_Contents'!$A$2:$A$3000,$A2))</f>
        <v/>
      </c>
      <c r="X1697">
        <f>IF($A2="","",SUMIF('07_Pallet_Contents'!$A$2:$A$3000,$A2,'07_Pallet_Contents'!$D$2:$D$3000))</f>
        <v/>
      </c>
      <c r="Y1697">
        <f>IF($A2="","",SUMIF('07_Pallet_Contents'!$A$2:$A$3000,$A2,'07_Pallet_Contents'!$I$2:$I$3000))</f>
        <v/>
      </c>
      <c r="Z1697">
        <f>IF($A2="","",IF(COUNTIF('07_Pallet_Contents'!$A$2:$A$3000,$A2)&gt;0,"Yes",""))</f>
        <v/>
      </c>
    </row>
    <row r="1698">
      <c r="B1698" s="22" t="n"/>
      <c r="G1698" s="25" t="n"/>
      <c r="H1698" s="24">
        <f>IF(AND($F1698="TEMP",$G1698&gt;0,$M1698&lt;&gt;""),$M1698+$G1698,"")</f>
        <v/>
      </c>
      <c r="I1698" s="22" t="n"/>
      <c r="J1698" s="22" t="n"/>
      <c r="K1698" s="24" t="n"/>
      <c r="W1698">
        <f>IF($A2="","",COUNTIF('07_Pallet_Contents'!$A$2:$A$3000,$A2))</f>
        <v/>
      </c>
      <c r="X1698">
        <f>IF($A2="","",SUMIF('07_Pallet_Contents'!$A$2:$A$3000,$A2,'07_Pallet_Contents'!$D$2:$D$3000))</f>
        <v/>
      </c>
      <c r="Y1698">
        <f>IF($A2="","",SUMIF('07_Pallet_Contents'!$A$2:$A$3000,$A2,'07_Pallet_Contents'!$I$2:$I$3000))</f>
        <v/>
      </c>
      <c r="Z1698">
        <f>IF($A2="","",IF(COUNTIF('07_Pallet_Contents'!$A$2:$A$3000,$A2)&gt;0,"Yes",""))</f>
        <v/>
      </c>
    </row>
    <row r="1699">
      <c r="B1699" s="22" t="n"/>
      <c r="G1699" s="25" t="n"/>
      <c r="H1699" s="24">
        <f>IF(AND($F1699="TEMP",$G1699&gt;0,$M1699&lt;&gt;""),$M1699+$G1699,"")</f>
        <v/>
      </c>
      <c r="I1699" s="22" t="n"/>
      <c r="J1699" s="22" t="n"/>
      <c r="K1699" s="24" t="n"/>
      <c r="W1699">
        <f>IF($A2="","",COUNTIF('07_Pallet_Contents'!$A$2:$A$3000,$A2))</f>
        <v/>
      </c>
      <c r="X1699">
        <f>IF($A2="","",SUMIF('07_Pallet_Contents'!$A$2:$A$3000,$A2,'07_Pallet_Contents'!$D$2:$D$3000))</f>
        <v/>
      </c>
      <c r="Y1699">
        <f>IF($A2="","",SUMIF('07_Pallet_Contents'!$A$2:$A$3000,$A2,'07_Pallet_Contents'!$I$2:$I$3000))</f>
        <v/>
      </c>
      <c r="Z1699">
        <f>IF($A2="","",IF(COUNTIF('07_Pallet_Contents'!$A$2:$A$3000,$A2)&gt;0,"Yes",""))</f>
        <v/>
      </c>
    </row>
    <row r="1700">
      <c r="B1700" s="22" t="n"/>
      <c r="G1700" s="25" t="n"/>
      <c r="H1700" s="24">
        <f>IF(AND($F1700="TEMP",$G1700&gt;0,$M1700&lt;&gt;""),$M1700+$G1700,"")</f>
        <v/>
      </c>
      <c r="I1700" s="22" t="n"/>
      <c r="J1700" s="22" t="n"/>
      <c r="K1700" s="24" t="n"/>
      <c r="W1700">
        <f>IF($A2="","",COUNTIF('07_Pallet_Contents'!$A$2:$A$3000,$A2))</f>
        <v/>
      </c>
      <c r="X1700">
        <f>IF($A2="","",SUMIF('07_Pallet_Contents'!$A$2:$A$3000,$A2,'07_Pallet_Contents'!$D$2:$D$3000))</f>
        <v/>
      </c>
      <c r="Y1700">
        <f>IF($A2="","",SUMIF('07_Pallet_Contents'!$A$2:$A$3000,$A2,'07_Pallet_Contents'!$I$2:$I$3000))</f>
        <v/>
      </c>
      <c r="Z1700">
        <f>IF($A2="","",IF(COUNTIF('07_Pallet_Contents'!$A$2:$A$3000,$A2)&gt;0,"Yes",""))</f>
        <v/>
      </c>
    </row>
    <row r="1701">
      <c r="B1701" s="22" t="n"/>
      <c r="G1701" s="25" t="n"/>
      <c r="H1701" s="24">
        <f>IF(AND($F1701="TEMP",$G1701&gt;0,$M1701&lt;&gt;""),$M1701+$G1701,"")</f>
        <v/>
      </c>
      <c r="I1701" s="22" t="n"/>
      <c r="J1701" s="22" t="n"/>
      <c r="K1701" s="24" t="n"/>
      <c r="W1701">
        <f>IF($A2="","",COUNTIF('07_Pallet_Contents'!$A$2:$A$3000,$A2))</f>
        <v/>
      </c>
      <c r="X1701">
        <f>IF($A2="","",SUMIF('07_Pallet_Contents'!$A$2:$A$3000,$A2,'07_Pallet_Contents'!$D$2:$D$3000))</f>
        <v/>
      </c>
      <c r="Y1701">
        <f>IF($A2="","",SUMIF('07_Pallet_Contents'!$A$2:$A$3000,$A2,'07_Pallet_Contents'!$I$2:$I$3000))</f>
        <v/>
      </c>
      <c r="Z1701">
        <f>IF($A2="","",IF(COUNTIF('07_Pallet_Contents'!$A$2:$A$3000,$A2)&gt;0,"Yes",""))</f>
        <v/>
      </c>
    </row>
    <row r="1702">
      <c r="B1702" s="22" t="n"/>
      <c r="G1702" s="25" t="n"/>
      <c r="H1702" s="24">
        <f>IF(AND($F1702="TEMP",$G1702&gt;0,$M1702&lt;&gt;""),$M1702+$G1702,"")</f>
        <v/>
      </c>
      <c r="I1702" s="22" t="n"/>
      <c r="J1702" s="22" t="n"/>
      <c r="K1702" s="24" t="n"/>
      <c r="W1702">
        <f>IF($A2="","",COUNTIF('07_Pallet_Contents'!$A$2:$A$3000,$A2))</f>
        <v/>
      </c>
      <c r="X1702">
        <f>IF($A2="","",SUMIF('07_Pallet_Contents'!$A$2:$A$3000,$A2,'07_Pallet_Contents'!$D$2:$D$3000))</f>
        <v/>
      </c>
      <c r="Y1702">
        <f>IF($A2="","",SUMIF('07_Pallet_Contents'!$A$2:$A$3000,$A2,'07_Pallet_Contents'!$I$2:$I$3000))</f>
        <v/>
      </c>
      <c r="Z1702">
        <f>IF($A2="","",IF(COUNTIF('07_Pallet_Contents'!$A$2:$A$3000,$A2)&gt;0,"Yes",""))</f>
        <v/>
      </c>
    </row>
    <row r="1703">
      <c r="B1703" s="22" t="n"/>
      <c r="G1703" s="25" t="n"/>
      <c r="H1703" s="24">
        <f>IF(AND($F1703="TEMP",$G1703&gt;0,$M1703&lt;&gt;""),$M1703+$G1703,"")</f>
        <v/>
      </c>
      <c r="I1703" s="22" t="n"/>
      <c r="J1703" s="22" t="n"/>
      <c r="K1703" s="24" t="n"/>
      <c r="W1703">
        <f>IF($A2="","",COUNTIF('07_Pallet_Contents'!$A$2:$A$3000,$A2))</f>
        <v/>
      </c>
      <c r="X1703">
        <f>IF($A2="","",SUMIF('07_Pallet_Contents'!$A$2:$A$3000,$A2,'07_Pallet_Contents'!$D$2:$D$3000))</f>
        <v/>
      </c>
      <c r="Y1703">
        <f>IF($A2="","",SUMIF('07_Pallet_Contents'!$A$2:$A$3000,$A2,'07_Pallet_Contents'!$I$2:$I$3000))</f>
        <v/>
      </c>
      <c r="Z1703">
        <f>IF($A2="","",IF(COUNTIF('07_Pallet_Contents'!$A$2:$A$3000,$A2)&gt;0,"Yes",""))</f>
        <v/>
      </c>
    </row>
    <row r="1704">
      <c r="B1704" s="22" t="n"/>
      <c r="G1704" s="25" t="n"/>
      <c r="H1704" s="24">
        <f>IF(AND($F1704="TEMP",$G1704&gt;0,$M1704&lt;&gt;""),$M1704+$G1704,"")</f>
        <v/>
      </c>
      <c r="I1704" s="22" t="n"/>
      <c r="J1704" s="22" t="n"/>
      <c r="K1704" s="24" t="n"/>
      <c r="W1704">
        <f>IF($A2="","",COUNTIF('07_Pallet_Contents'!$A$2:$A$3000,$A2))</f>
        <v/>
      </c>
      <c r="X1704">
        <f>IF($A2="","",SUMIF('07_Pallet_Contents'!$A$2:$A$3000,$A2,'07_Pallet_Contents'!$D$2:$D$3000))</f>
        <v/>
      </c>
      <c r="Y1704">
        <f>IF($A2="","",SUMIF('07_Pallet_Contents'!$A$2:$A$3000,$A2,'07_Pallet_Contents'!$I$2:$I$3000))</f>
        <v/>
      </c>
      <c r="Z1704">
        <f>IF($A2="","",IF(COUNTIF('07_Pallet_Contents'!$A$2:$A$3000,$A2)&gt;0,"Yes",""))</f>
        <v/>
      </c>
    </row>
    <row r="1705">
      <c r="B1705" s="22" t="n"/>
      <c r="G1705" s="25" t="n"/>
      <c r="H1705" s="24">
        <f>IF(AND($F1705="TEMP",$G1705&gt;0,$M1705&lt;&gt;""),$M1705+$G1705,"")</f>
        <v/>
      </c>
      <c r="I1705" s="22" t="n"/>
      <c r="J1705" s="22" t="n"/>
      <c r="K1705" s="24" t="n"/>
      <c r="W1705">
        <f>IF($A2="","",COUNTIF('07_Pallet_Contents'!$A$2:$A$3000,$A2))</f>
        <v/>
      </c>
      <c r="X1705">
        <f>IF($A2="","",SUMIF('07_Pallet_Contents'!$A$2:$A$3000,$A2,'07_Pallet_Contents'!$D$2:$D$3000))</f>
        <v/>
      </c>
      <c r="Y1705">
        <f>IF($A2="","",SUMIF('07_Pallet_Contents'!$A$2:$A$3000,$A2,'07_Pallet_Contents'!$I$2:$I$3000))</f>
        <v/>
      </c>
      <c r="Z1705">
        <f>IF($A2="","",IF(COUNTIF('07_Pallet_Contents'!$A$2:$A$3000,$A2)&gt;0,"Yes",""))</f>
        <v/>
      </c>
    </row>
    <row r="1706">
      <c r="B1706" s="22" t="n"/>
      <c r="G1706" s="25" t="n"/>
      <c r="H1706" s="24">
        <f>IF(AND($F1706="TEMP",$G1706&gt;0,$M1706&lt;&gt;""),$M1706+$G1706,"")</f>
        <v/>
      </c>
      <c r="I1706" s="22" t="n"/>
      <c r="J1706" s="22" t="n"/>
      <c r="K1706" s="24" t="n"/>
      <c r="W1706">
        <f>IF($A2="","",COUNTIF('07_Pallet_Contents'!$A$2:$A$3000,$A2))</f>
        <v/>
      </c>
      <c r="X1706">
        <f>IF($A2="","",SUMIF('07_Pallet_Contents'!$A$2:$A$3000,$A2,'07_Pallet_Contents'!$D$2:$D$3000))</f>
        <v/>
      </c>
      <c r="Y1706">
        <f>IF($A2="","",SUMIF('07_Pallet_Contents'!$A$2:$A$3000,$A2,'07_Pallet_Contents'!$I$2:$I$3000))</f>
        <v/>
      </c>
      <c r="Z1706">
        <f>IF($A2="","",IF(COUNTIF('07_Pallet_Contents'!$A$2:$A$3000,$A2)&gt;0,"Yes",""))</f>
        <v/>
      </c>
    </row>
    <row r="1707">
      <c r="B1707" s="22" t="n"/>
      <c r="G1707" s="25" t="n"/>
      <c r="H1707" s="24">
        <f>IF(AND($F1707="TEMP",$G1707&gt;0,$M1707&lt;&gt;""),$M1707+$G1707,"")</f>
        <v/>
      </c>
      <c r="I1707" s="22" t="n"/>
      <c r="J1707" s="22" t="n"/>
      <c r="K1707" s="24" t="n"/>
      <c r="W1707">
        <f>IF($A2="","",COUNTIF('07_Pallet_Contents'!$A$2:$A$3000,$A2))</f>
        <v/>
      </c>
      <c r="X1707">
        <f>IF($A2="","",SUMIF('07_Pallet_Contents'!$A$2:$A$3000,$A2,'07_Pallet_Contents'!$D$2:$D$3000))</f>
        <v/>
      </c>
      <c r="Y1707">
        <f>IF($A2="","",SUMIF('07_Pallet_Contents'!$A$2:$A$3000,$A2,'07_Pallet_Contents'!$I$2:$I$3000))</f>
        <v/>
      </c>
      <c r="Z1707">
        <f>IF($A2="","",IF(COUNTIF('07_Pallet_Contents'!$A$2:$A$3000,$A2)&gt;0,"Yes",""))</f>
        <v/>
      </c>
    </row>
    <row r="1708">
      <c r="B1708" s="22" t="n"/>
      <c r="G1708" s="25" t="n"/>
      <c r="H1708" s="24">
        <f>IF(AND($F1708="TEMP",$G1708&gt;0,$M1708&lt;&gt;""),$M1708+$G1708,"")</f>
        <v/>
      </c>
      <c r="I1708" s="22" t="n"/>
      <c r="J1708" s="22" t="n"/>
      <c r="K1708" s="24" t="n"/>
      <c r="W1708">
        <f>IF($A2="","",COUNTIF('07_Pallet_Contents'!$A$2:$A$3000,$A2))</f>
        <v/>
      </c>
      <c r="X1708">
        <f>IF($A2="","",SUMIF('07_Pallet_Contents'!$A$2:$A$3000,$A2,'07_Pallet_Contents'!$D$2:$D$3000))</f>
        <v/>
      </c>
      <c r="Y1708">
        <f>IF($A2="","",SUMIF('07_Pallet_Contents'!$A$2:$A$3000,$A2,'07_Pallet_Contents'!$I$2:$I$3000))</f>
        <v/>
      </c>
      <c r="Z1708">
        <f>IF($A2="","",IF(COUNTIF('07_Pallet_Contents'!$A$2:$A$3000,$A2)&gt;0,"Yes",""))</f>
        <v/>
      </c>
    </row>
    <row r="1709">
      <c r="B1709" s="22" t="n"/>
      <c r="G1709" s="25" t="n"/>
      <c r="H1709" s="24">
        <f>IF(AND($F1709="TEMP",$G1709&gt;0,$M1709&lt;&gt;""),$M1709+$G1709,"")</f>
        <v/>
      </c>
      <c r="I1709" s="22" t="n"/>
      <c r="J1709" s="22" t="n"/>
      <c r="K1709" s="24" t="n"/>
      <c r="W1709">
        <f>IF($A2="","",COUNTIF('07_Pallet_Contents'!$A$2:$A$3000,$A2))</f>
        <v/>
      </c>
      <c r="X1709">
        <f>IF($A2="","",SUMIF('07_Pallet_Contents'!$A$2:$A$3000,$A2,'07_Pallet_Contents'!$D$2:$D$3000))</f>
        <v/>
      </c>
      <c r="Y1709">
        <f>IF($A2="","",SUMIF('07_Pallet_Contents'!$A$2:$A$3000,$A2,'07_Pallet_Contents'!$I$2:$I$3000))</f>
        <v/>
      </c>
      <c r="Z1709">
        <f>IF($A2="","",IF(COUNTIF('07_Pallet_Contents'!$A$2:$A$3000,$A2)&gt;0,"Yes",""))</f>
        <v/>
      </c>
    </row>
    <row r="1710">
      <c r="B1710" s="22" t="n"/>
      <c r="G1710" s="25" t="n"/>
      <c r="H1710" s="24">
        <f>IF(AND($F1710="TEMP",$G1710&gt;0,$M1710&lt;&gt;""),$M1710+$G1710,"")</f>
        <v/>
      </c>
      <c r="I1710" s="22" t="n"/>
      <c r="J1710" s="22" t="n"/>
      <c r="K1710" s="24" t="n"/>
      <c r="W1710">
        <f>IF($A2="","",COUNTIF('07_Pallet_Contents'!$A$2:$A$3000,$A2))</f>
        <v/>
      </c>
      <c r="X1710">
        <f>IF($A2="","",SUMIF('07_Pallet_Contents'!$A$2:$A$3000,$A2,'07_Pallet_Contents'!$D$2:$D$3000))</f>
        <v/>
      </c>
      <c r="Y1710">
        <f>IF($A2="","",SUMIF('07_Pallet_Contents'!$A$2:$A$3000,$A2,'07_Pallet_Contents'!$I$2:$I$3000))</f>
        <v/>
      </c>
      <c r="Z1710">
        <f>IF($A2="","",IF(COUNTIF('07_Pallet_Contents'!$A$2:$A$3000,$A2)&gt;0,"Yes",""))</f>
        <v/>
      </c>
    </row>
    <row r="1711">
      <c r="B1711" s="22" t="n"/>
      <c r="G1711" s="25" t="n"/>
      <c r="H1711" s="24">
        <f>IF(AND($F1711="TEMP",$G1711&gt;0,$M1711&lt;&gt;""),$M1711+$G1711,"")</f>
        <v/>
      </c>
      <c r="I1711" s="22" t="n"/>
      <c r="J1711" s="22" t="n"/>
      <c r="K1711" s="24" t="n"/>
      <c r="W1711">
        <f>IF($A2="","",COUNTIF('07_Pallet_Contents'!$A$2:$A$3000,$A2))</f>
        <v/>
      </c>
      <c r="X1711">
        <f>IF($A2="","",SUMIF('07_Pallet_Contents'!$A$2:$A$3000,$A2,'07_Pallet_Contents'!$D$2:$D$3000))</f>
        <v/>
      </c>
      <c r="Y1711">
        <f>IF($A2="","",SUMIF('07_Pallet_Contents'!$A$2:$A$3000,$A2,'07_Pallet_Contents'!$I$2:$I$3000))</f>
        <v/>
      </c>
      <c r="Z1711">
        <f>IF($A2="","",IF(COUNTIF('07_Pallet_Contents'!$A$2:$A$3000,$A2)&gt;0,"Yes",""))</f>
        <v/>
      </c>
    </row>
    <row r="1712">
      <c r="B1712" s="22" t="n"/>
      <c r="G1712" s="25" t="n"/>
      <c r="H1712" s="24">
        <f>IF(AND($F1712="TEMP",$G1712&gt;0,$M1712&lt;&gt;""),$M1712+$G1712,"")</f>
        <v/>
      </c>
      <c r="I1712" s="22" t="n"/>
      <c r="J1712" s="22" t="n"/>
      <c r="K1712" s="24" t="n"/>
      <c r="W1712">
        <f>IF($A2="","",COUNTIF('07_Pallet_Contents'!$A$2:$A$3000,$A2))</f>
        <v/>
      </c>
      <c r="X1712">
        <f>IF($A2="","",SUMIF('07_Pallet_Contents'!$A$2:$A$3000,$A2,'07_Pallet_Contents'!$D$2:$D$3000))</f>
        <v/>
      </c>
      <c r="Y1712">
        <f>IF($A2="","",SUMIF('07_Pallet_Contents'!$A$2:$A$3000,$A2,'07_Pallet_Contents'!$I$2:$I$3000))</f>
        <v/>
      </c>
      <c r="Z1712">
        <f>IF($A2="","",IF(COUNTIF('07_Pallet_Contents'!$A$2:$A$3000,$A2)&gt;0,"Yes",""))</f>
        <v/>
      </c>
    </row>
    <row r="1713">
      <c r="B1713" s="22" t="n"/>
      <c r="G1713" s="25" t="n"/>
      <c r="H1713" s="24">
        <f>IF(AND($F1713="TEMP",$G1713&gt;0,$M1713&lt;&gt;""),$M1713+$G1713,"")</f>
        <v/>
      </c>
      <c r="I1713" s="22" t="n"/>
      <c r="J1713" s="22" t="n"/>
      <c r="K1713" s="24" t="n"/>
      <c r="W1713">
        <f>IF($A2="","",COUNTIF('07_Pallet_Contents'!$A$2:$A$3000,$A2))</f>
        <v/>
      </c>
      <c r="X1713">
        <f>IF($A2="","",SUMIF('07_Pallet_Contents'!$A$2:$A$3000,$A2,'07_Pallet_Contents'!$D$2:$D$3000))</f>
        <v/>
      </c>
      <c r="Y1713">
        <f>IF($A2="","",SUMIF('07_Pallet_Contents'!$A$2:$A$3000,$A2,'07_Pallet_Contents'!$I$2:$I$3000))</f>
        <v/>
      </c>
      <c r="Z1713">
        <f>IF($A2="","",IF(COUNTIF('07_Pallet_Contents'!$A$2:$A$3000,$A2)&gt;0,"Yes",""))</f>
        <v/>
      </c>
    </row>
    <row r="1714">
      <c r="B1714" s="22" t="n"/>
      <c r="G1714" s="25" t="n"/>
      <c r="H1714" s="24">
        <f>IF(AND($F1714="TEMP",$G1714&gt;0,$M1714&lt;&gt;""),$M1714+$G1714,"")</f>
        <v/>
      </c>
      <c r="I1714" s="22" t="n"/>
      <c r="J1714" s="22" t="n"/>
      <c r="K1714" s="24" t="n"/>
      <c r="W1714">
        <f>IF($A2="","",COUNTIF('07_Pallet_Contents'!$A$2:$A$3000,$A2))</f>
        <v/>
      </c>
      <c r="X1714">
        <f>IF($A2="","",SUMIF('07_Pallet_Contents'!$A$2:$A$3000,$A2,'07_Pallet_Contents'!$D$2:$D$3000))</f>
        <v/>
      </c>
      <c r="Y1714">
        <f>IF($A2="","",SUMIF('07_Pallet_Contents'!$A$2:$A$3000,$A2,'07_Pallet_Contents'!$I$2:$I$3000))</f>
        <v/>
      </c>
      <c r="Z1714">
        <f>IF($A2="","",IF(COUNTIF('07_Pallet_Contents'!$A$2:$A$3000,$A2)&gt;0,"Yes",""))</f>
        <v/>
      </c>
    </row>
    <row r="1715">
      <c r="B1715" s="22" t="n"/>
      <c r="G1715" s="25" t="n"/>
      <c r="H1715" s="24">
        <f>IF(AND($F1715="TEMP",$G1715&gt;0,$M1715&lt;&gt;""),$M1715+$G1715,"")</f>
        <v/>
      </c>
      <c r="I1715" s="22" t="n"/>
      <c r="J1715" s="22" t="n"/>
      <c r="K1715" s="24" t="n"/>
      <c r="W1715">
        <f>IF($A2="","",COUNTIF('07_Pallet_Contents'!$A$2:$A$3000,$A2))</f>
        <v/>
      </c>
      <c r="X1715">
        <f>IF($A2="","",SUMIF('07_Pallet_Contents'!$A$2:$A$3000,$A2,'07_Pallet_Contents'!$D$2:$D$3000))</f>
        <v/>
      </c>
      <c r="Y1715">
        <f>IF($A2="","",SUMIF('07_Pallet_Contents'!$A$2:$A$3000,$A2,'07_Pallet_Contents'!$I$2:$I$3000))</f>
        <v/>
      </c>
      <c r="Z1715">
        <f>IF($A2="","",IF(COUNTIF('07_Pallet_Contents'!$A$2:$A$3000,$A2)&gt;0,"Yes",""))</f>
        <v/>
      </c>
    </row>
    <row r="1716">
      <c r="B1716" s="22" t="n"/>
      <c r="G1716" s="25" t="n"/>
      <c r="H1716" s="24">
        <f>IF(AND($F1716="TEMP",$G1716&gt;0,$M1716&lt;&gt;""),$M1716+$G1716,"")</f>
        <v/>
      </c>
      <c r="I1716" s="22" t="n"/>
      <c r="J1716" s="22" t="n"/>
      <c r="K1716" s="24" t="n"/>
      <c r="W1716">
        <f>IF($A2="","",COUNTIF('07_Pallet_Contents'!$A$2:$A$3000,$A2))</f>
        <v/>
      </c>
      <c r="X1716">
        <f>IF($A2="","",SUMIF('07_Pallet_Contents'!$A$2:$A$3000,$A2,'07_Pallet_Contents'!$D$2:$D$3000))</f>
        <v/>
      </c>
      <c r="Y1716">
        <f>IF($A2="","",SUMIF('07_Pallet_Contents'!$A$2:$A$3000,$A2,'07_Pallet_Contents'!$I$2:$I$3000))</f>
        <v/>
      </c>
      <c r="Z1716">
        <f>IF($A2="","",IF(COUNTIF('07_Pallet_Contents'!$A$2:$A$3000,$A2)&gt;0,"Yes",""))</f>
        <v/>
      </c>
    </row>
    <row r="1717">
      <c r="B1717" s="22" t="n"/>
      <c r="G1717" s="25" t="n"/>
      <c r="H1717" s="24">
        <f>IF(AND($F1717="TEMP",$G1717&gt;0,$M1717&lt;&gt;""),$M1717+$G1717,"")</f>
        <v/>
      </c>
      <c r="I1717" s="22" t="n"/>
      <c r="J1717" s="22" t="n"/>
      <c r="K1717" s="24" t="n"/>
      <c r="W1717">
        <f>IF($A2="","",COUNTIF('07_Pallet_Contents'!$A$2:$A$3000,$A2))</f>
        <v/>
      </c>
      <c r="X1717">
        <f>IF($A2="","",SUMIF('07_Pallet_Contents'!$A$2:$A$3000,$A2,'07_Pallet_Contents'!$D$2:$D$3000))</f>
        <v/>
      </c>
      <c r="Y1717">
        <f>IF($A2="","",SUMIF('07_Pallet_Contents'!$A$2:$A$3000,$A2,'07_Pallet_Contents'!$I$2:$I$3000))</f>
        <v/>
      </c>
      <c r="Z1717">
        <f>IF($A2="","",IF(COUNTIF('07_Pallet_Contents'!$A$2:$A$3000,$A2)&gt;0,"Yes",""))</f>
        <v/>
      </c>
    </row>
    <row r="1718">
      <c r="B1718" s="22" t="n"/>
      <c r="G1718" s="25" t="n"/>
      <c r="H1718" s="24">
        <f>IF(AND($F1718="TEMP",$G1718&gt;0,$M1718&lt;&gt;""),$M1718+$G1718,"")</f>
        <v/>
      </c>
      <c r="I1718" s="22" t="n"/>
      <c r="J1718" s="22" t="n"/>
      <c r="K1718" s="24" t="n"/>
      <c r="W1718">
        <f>IF($A2="","",COUNTIF('07_Pallet_Contents'!$A$2:$A$3000,$A2))</f>
        <v/>
      </c>
      <c r="X1718">
        <f>IF($A2="","",SUMIF('07_Pallet_Contents'!$A$2:$A$3000,$A2,'07_Pallet_Contents'!$D$2:$D$3000))</f>
        <v/>
      </c>
      <c r="Y1718">
        <f>IF($A2="","",SUMIF('07_Pallet_Contents'!$A$2:$A$3000,$A2,'07_Pallet_Contents'!$I$2:$I$3000))</f>
        <v/>
      </c>
      <c r="Z1718">
        <f>IF($A2="","",IF(COUNTIF('07_Pallet_Contents'!$A$2:$A$3000,$A2)&gt;0,"Yes",""))</f>
        <v/>
      </c>
    </row>
    <row r="1719">
      <c r="B1719" s="22" t="n"/>
      <c r="G1719" s="25" t="n"/>
      <c r="H1719" s="24">
        <f>IF(AND($F1719="TEMP",$G1719&gt;0,$M1719&lt;&gt;""),$M1719+$G1719,"")</f>
        <v/>
      </c>
      <c r="I1719" s="22" t="n"/>
      <c r="J1719" s="22" t="n"/>
      <c r="K1719" s="24" t="n"/>
      <c r="W1719">
        <f>IF($A2="","",COUNTIF('07_Pallet_Contents'!$A$2:$A$3000,$A2))</f>
        <v/>
      </c>
      <c r="X1719">
        <f>IF($A2="","",SUMIF('07_Pallet_Contents'!$A$2:$A$3000,$A2,'07_Pallet_Contents'!$D$2:$D$3000))</f>
        <v/>
      </c>
      <c r="Y1719">
        <f>IF($A2="","",SUMIF('07_Pallet_Contents'!$A$2:$A$3000,$A2,'07_Pallet_Contents'!$I$2:$I$3000))</f>
        <v/>
      </c>
      <c r="Z1719">
        <f>IF($A2="","",IF(COUNTIF('07_Pallet_Contents'!$A$2:$A$3000,$A2)&gt;0,"Yes",""))</f>
        <v/>
      </c>
    </row>
    <row r="1720">
      <c r="B1720" s="22" t="n"/>
      <c r="G1720" s="25" t="n"/>
      <c r="H1720" s="24">
        <f>IF(AND($F1720="TEMP",$G1720&gt;0,$M1720&lt;&gt;""),$M1720+$G1720,"")</f>
        <v/>
      </c>
      <c r="I1720" s="22" t="n"/>
      <c r="J1720" s="22" t="n"/>
      <c r="K1720" s="24" t="n"/>
      <c r="W1720">
        <f>IF($A2="","",COUNTIF('07_Pallet_Contents'!$A$2:$A$3000,$A2))</f>
        <v/>
      </c>
      <c r="X1720">
        <f>IF($A2="","",SUMIF('07_Pallet_Contents'!$A$2:$A$3000,$A2,'07_Pallet_Contents'!$D$2:$D$3000))</f>
        <v/>
      </c>
      <c r="Y1720">
        <f>IF($A2="","",SUMIF('07_Pallet_Contents'!$A$2:$A$3000,$A2,'07_Pallet_Contents'!$I$2:$I$3000))</f>
        <v/>
      </c>
      <c r="Z1720">
        <f>IF($A2="","",IF(COUNTIF('07_Pallet_Contents'!$A$2:$A$3000,$A2)&gt;0,"Yes",""))</f>
        <v/>
      </c>
    </row>
    <row r="1721">
      <c r="B1721" s="22" t="n"/>
      <c r="G1721" s="25" t="n"/>
      <c r="H1721" s="24">
        <f>IF(AND($F1721="TEMP",$G1721&gt;0,$M1721&lt;&gt;""),$M1721+$G1721,"")</f>
        <v/>
      </c>
      <c r="I1721" s="22" t="n"/>
      <c r="J1721" s="22" t="n"/>
      <c r="K1721" s="24" t="n"/>
      <c r="W1721">
        <f>IF($A2="","",COUNTIF('07_Pallet_Contents'!$A$2:$A$3000,$A2))</f>
        <v/>
      </c>
      <c r="X1721">
        <f>IF($A2="","",SUMIF('07_Pallet_Contents'!$A$2:$A$3000,$A2,'07_Pallet_Contents'!$D$2:$D$3000))</f>
        <v/>
      </c>
      <c r="Y1721">
        <f>IF($A2="","",SUMIF('07_Pallet_Contents'!$A$2:$A$3000,$A2,'07_Pallet_Contents'!$I$2:$I$3000))</f>
        <v/>
      </c>
      <c r="Z1721">
        <f>IF($A2="","",IF(COUNTIF('07_Pallet_Contents'!$A$2:$A$3000,$A2)&gt;0,"Yes",""))</f>
        <v/>
      </c>
    </row>
    <row r="1722">
      <c r="B1722" s="22" t="n"/>
      <c r="G1722" s="25" t="n"/>
      <c r="H1722" s="24">
        <f>IF(AND($F1722="TEMP",$G1722&gt;0,$M1722&lt;&gt;""),$M1722+$G1722,"")</f>
        <v/>
      </c>
      <c r="I1722" s="22" t="n"/>
      <c r="J1722" s="22" t="n"/>
      <c r="K1722" s="24" t="n"/>
      <c r="W1722">
        <f>IF($A2="","",COUNTIF('07_Pallet_Contents'!$A$2:$A$3000,$A2))</f>
        <v/>
      </c>
      <c r="X1722">
        <f>IF($A2="","",SUMIF('07_Pallet_Contents'!$A$2:$A$3000,$A2,'07_Pallet_Contents'!$D$2:$D$3000))</f>
        <v/>
      </c>
      <c r="Y1722">
        <f>IF($A2="","",SUMIF('07_Pallet_Contents'!$A$2:$A$3000,$A2,'07_Pallet_Contents'!$I$2:$I$3000))</f>
        <v/>
      </c>
      <c r="Z1722">
        <f>IF($A2="","",IF(COUNTIF('07_Pallet_Contents'!$A$2:$A$3000,$A2)&gt;0,"Yes",""))</f>
        <v/>
      </c>
    </row>
    <row r="1723">
      <c r="B1723" s="22" t="n"/>
      <c r="G1723" s="25" t="n"/>
      <c r="H1723" s="24">
        <f>IF(AND($F1723="TEMP",$G1723&gt;0,$M1723&lt;&gt;""),$M1723+$G1723,"")</f>
        <v/>
      </c>
      <c r="I1723" s="22" t="n"/>
      <c r="J1723" s="22" t="n"/>
      <c r="K1723" s="24" t="n"/>
      <c r="W1723">
        <f>IF($A2="","",COUNTIF('07_Pallet_Contents'!$A$2:$A$3000,$A2))</f>
        <v/>
      </c>
      <c r="X1723">
        <f>IF($A2="","",SUMIF('07_Pallet_Contents'!$A$2:$A$3000,$A2,'07_Pallet_Contents'!$D$2:$D$3000))</f>
        <v/>
      </c>
      <c r="Y1723">
        <f>IF($A2="","",SUMIF('07_Pallet_Contents'!$A$2:$A$3000,$A2,'07_Pallet_Contents'!$I$2:$I$3000))</f>
        <v/>
      </c>
      <c r="Z1723">
        <f>IF($A2="","",IF(COUNTIF('07_Pallet_Contents'!$A$2:$A$3000,$A2)&gt;0,"Yes",""))</f>
        <v/>
      </c>
    </row>
    <row r="1724">
      <c r="B1724" s="22" t="n"/>
      <c r="G1724" s="25" t="n"/>
      <c r="H1724" s="24">
        <f>IF(AND($F1724="TEMP",$G1724&gt;0,$M1724&lt;&gt;""),$M1724+$G1724,"")</f>
        <v/>
      </c>
      <c r="I1724" s="22" t="n"/>
      <c r="J1724" s="22" t="n"/>
      <c r="K1724" s="24" t="n"/>
      <c r="W1724">
        <f>IF($A2="","",COUNTIF('07_Pallet_Contents'!$A$2:$A$3000,$A2))</f>
        <v/>
      </c>
      <c r="X1724">
        <f>IF($A2="","",SUMIF('07_Pallet_Contents'!$A$2:$A$3000,$A2,'07_Pallet_Contents'!$D$2:$D$3000))</f>
        <v/>
      </c>
      <c r="Y1724">
        <f>IF($A2="","",SUMIF('07_Pallet_Contents'!$A$2:$A$3000,$A2,'07_Pallet_Contents'!$I$2:$I$3000))</f>
        <v/>
      </c>
      <c r="Z1724">
        <f>IF($A2="","",IF(COUNTIF('07_Pallet_Contents'!$A$2:$A$3000,$A2)&gt;0,"Yes",""))</f>
        <v/>
      </c>
    </row>
    <row r="1725">
      <c r="B1725" s="22" t="n"/>
      <c r="G1725" s="25" t="n"/>
      <c r="H1725" s="24">
        <f>IF(AND($F1725="TEMP",$G1725&gt;0,$M1725&lt;&gt;""),$M1725+$G1725,"")</f>
        <v/>
      </c>
      <c r="I1725" s="22" t="n"/>
      <c r="J1725" s="22" t="n"/>
      <c r="K1725" s="24" t="n"/>
      <c r="W1725">
        <f>IF($A2="","",COUNTIF('07_Pallet_Contents'!$A$2:$A$3000,$A2))</f>
        <v/>
      </c>
      <c r="X1725">
        <f>IF($A2="","",SUMIF('07_Pallet_Contents'!$A$2:$A$3000,$A2,'07_Pallet_Contents'!$D$2:$D$3000))</f>
        <v/>
      </c>
      <c r="Y1725">
        <f>IF($A2="","",SUMIF('07_Pallet_Contents'!$A$2:$A$3000,$A2,'07_Pallet_Contents'!$I$2:$I$3000))</f>
        <v/>
      </c>
      <c r="Z1725">
        <f>IF($A2="","",IF(COUNTIF('07_Pallet_Contents'!$A$2:$A$3000,$A2)&gt;0,"Yes",""))</f>
        <v/>
      </c>
    </row>
    <row r="1726">
      <c r="B1726" s="22" t="n"/>
      <c r="G1726" s="25" t="n"/>
      <c r="H1726" s="24">
        <f>IF(AND($F1726="TEMP",$G1726&gt;0,$M1726&lt;&gt;""),$M1726+$G1726,"")</f>
        <v/>
      </c>
      <c r="I1726" s="22" t="n"/>
      <c r="J1726" s="22" t="n"/>
      <c r="K1726" s="24" t="n"/>
      <c r="W1726">
        <f>IF($A2="","",COUNTIF('07_Pallet_Contents'!$A$2:$A$3000,$A2))</f>
        <v/>
      </c>
      <c r="X1726">
        <f>IF($A2="","",SUMIF('07_Pallet_Contents'!$A$2:$A$3000,$A2,'07_Pallet_Contents'!$D$2:$D$3000))</f>
        <v/>
      </c>
      <c r="Y1726">
        <f>IF($A2="","",SUMIF('07_Pallet_Contents'!$A$2:$A$3000,$A2,'07_Pallet_Contents'!$I$2:$I$3000))</f>
        <v/>
      </c>
      <c r="Z1726">
        <f>IF($A2="","",IF(COUNTIF('07_Pallet_Contents'!$A$2:$A$3000,$A2)&gt;0,"Yes",""))</f>
        <v/>
      </c>
    </row>
    <row r="1727">
      <c r="B1727" s="22" t="n"/>
      <c r="G1727" s="25" t="n"/>
      <c r="H1727" s="24">
        <f>IF(AND($F1727="TEMP",$G1727&gt;0,$M1727&lt;&gt;""),$M1727+$G1727,"")</f>
        <v/>
      </c>
      <c r="I1727" s="22" t="n"/>
      <c r="J1727" s="22" t="n"/>
      <c r="K1727" s="24" t="n"/>
      <c r="W1727">
        <f>IF($A2="","",COUNTIF('07_Pallet_Contents'!$A$2:$A$3000,$A2))</f>
        <v/>
      </c>
      <c r="X1727">
        <f>IF($A2="","",SUMIF('07_Pallet_Contents'!$A$2:$A$3000,$A2,'07_Pallet_Contents'!$D$2:$D$3000))</f>
        <v/>
      </c>
      <c r="Y1727">
        <f>IF($A2="","",SUMIF('07_Pallet_Contents'!$A$2:$A$3000,$A2,'07_Pallet_Contents'!$I$2:$I$3000))</f>
        <v/>
      </c>
      <c r="Z1727">
        <f>IF($A2="","",IF(COUNTIF('07_Pallet_Contents'!$A$2:$A$3000,$A2)&gt;0,"Yes",""))</f>
        <v/>
      </c>
    </row>
    <row r="1728">
      <c r="B1728" s="22" t="n"/>
      <c r="G1728" s="25" t="n"/>
      <c r="H1728" s="24">
        <f>IF(AND($F1728="TEMP",$G1728&gt;0,$M1728&lt;&gt;""),$M1728+$G1728,"")</f>
        <v/>
      </c>
      <c r="I1728" s="22" t="n"/>
      <c r="J1728" s="22" t="n"/>
      <c r="K1728" s="24" t="n"/>
      <c r="W1728">
        <f>IF($A2="","",COUNTIF('07_Pallet_Contents'!$A$2:$A$3000,$A2))</f>
        <v/>
      </c>
      <c r="X1728">
        <f>IF($A2="","",SUMIF('07_Pallet_Contents'!$A$2:$A$3000,$A2,'07_Pallet_Contents'!$D$2:$D$3000))</f>
        <v/>
      </c>
      <c r="Y1728">
        <f>IF($A2="","",SUMIF('07_Pallet_Contents'!$A$2:$A$3000,$A2,'07_Pallet_Contents'!$I$2:$I$3000))</f>
        <v/>
      </c>
      <c r="Z1728">
        <f>IF($A2="","",IF(COUNTIF('07_Pallet_Contents'!$A$2:$A$3000,$A2)&gt;0,"Yes",""))</f>
        <v/>
      </c>
    </row>
    <row r="1729">
      <c r="B1729" s="22" t="n"/>
      <c r="G1729" s="25" t="n"/>
      <c r="H1729" s="24">
        <f>IF(AND($F1729="TEMP",$G1729&gt;0,$M1729&lt;&gt;""),$M1729+$G1729,"")</f>
        <v/>
      </c>
      <c r="I1729" s="22" t="n"/>
      <c r="J1729" s="22" t="n"/>
      <c r="K1729" s="24" t="n"/>
      <c r="W1729">
        <f>IF($A2="","",COUNTIF('07_Pallet_Contents'!$A$2:$A$3000,$A2))</f>
        <v/>
      </c>
      <c r="X1729">
        <f>IF($A2="","",SUMIF('07_Pallet_Contents'!$A$2:$A$3000,$A2,'07_Pallet_Contents'!$D$2:$D$3000))</f>
        <v/>
      </c>
      <c r="Y1729">
        <f>IF($A2="","",SUMIF('07_Pallet_Contents'!$A$2:$A$3000,$A2,'07_Pallet_Contents'!$I$2:$I$3000))</f>
        <v/>
      </c>
      <c r="Z1729">
        <f>IF($A2="","",IF(COUNTIF('07_Pallet_Contents'!$A$2:$A$3000,$A2)&gt;0,"Yes",""))</f>
        <v/>
      </c>
    </row>
    <row r="1730">
      <c r="B1730" s="22" t="n"/>
      <c r="G1730" s="25" t="n"/>
      <c r="H1730" s="24">
        <f>IF(AND($F1730="TEMP",$G1730&gt;0,$M1730&lt;&gt;""),$M1730+$G1730,"")</f>
        <v/>
      </c>
      <c r="I1730" s="22" t="n"/>
      <c r="J1730" s="22" t="n"/>
      <c r="K1730" s="24" t="n"/>
      <c r="W1730">
        <f>IF($A2="","",COUNTIF('07_Pallet_Contents'!$A$2:$A$3000,$A2))</f>
        <v/>
      </c>
      <c r="X1730">
        <f>IF($A2="","",SUMIF('07_Pallet_Contents'!$A$2:$A$3000,$A2,'07_Pallet_Contents'!$D$2:$D$3000))</f>
        <v/>
      </c>
      <c r="Y1730">
        <f>IF($A2="","",SUMIF('07_Pallet_Contents'!$A$2:$A$3000,$A2,'07_Pallet_Contents'!$I$2:$I$3000))</f>
        <v/>
      </c>
      <c r="Z1730">
        <f>IF($A2="","",IF(COUNTIF('07_Pallet_Contents'!$A$2:$A$3000,$A2)&gt;0,"Yes",""))</f>
        <v/>
      </c>
    </row>
    <row r="1731">
      <c r="B1731" s="22" t="n"/>
      <c r="G1731" s="25" t="n"/>
      <c r="H1731" s="24">
        <f>IF(AND($F1731="TEMP",$G1731&gt;0,$M1731&lt;&gt;""),$M1731+$G1731,"")</f>
        <v/>
      </c>
      <c r="I1731" s="22" t="n"/>
      <c r="J1731" s="22" t="n"/>
      <c r="K1731" s="24" t="n"/>
      <c r="W1731">
        <f>IF($A2="","",COUNTIF('07_Pallet_Contents'!$A$2:$A$3000,$A2))</f>
        <v/>
      </c>
      <c r="X1731">
        <f>IF($A2="","",SUMIF('07_Pallet_Contents'!$A$2:$A$3000,$A2,'07_Pallet_Contents'!$D$2:$D$3000))</f>
        <v/>
      </c>
      <c r="Y1731">
        <f>IF($A2="","",SUMIF('07_Pallet_Contents'!$A$2:$A$3000,$A2,'07_Pallet_Contents'!$I$2:$I$3000))</f>
        <v/>
      </c>
      <c r="Z1731">
        <f>IF($A2="","",IF(COUNTIF('07_Pallet_Contents'!$A$2:$A$3000,$A2)&gt;0,"Yes",""))</f>
        <v/>
      </c>
    </row>
    <row r="1732">
      <c r="B1732" s="22" t="n"/>
      <c r="G1732" s="25" t="n"/>
      <c r="H1732" s="24">
        <f>IF(AND($F1732="TEMP",$G1732&gt;0,$M1732&lt;&gt;""),$M1732+$G1732,"")</f>
        <v/>
      </c>
      <c r="I1732" s="22" t="n"/>
      <c r="J1732" s="22" t="n"/>
      <c r="K1732" s="24" t="n"/>
      <c r="W1732">
        <f>IF($A2="","",COUNTIF('07_Pallet_Contents'!$A$2:$A$3000,$A2))</f>
        <v/>
      </c>
      <c r="X1732">
        <f>IF($A2="","",SUMIF('07_Pallet_Contents'!$A$2:$A$3000,$A2,'07_Pallet_Contents'!$D$2:$D$3000))</f>
        <v/>
      </c>
      <c r="Y1732">
        <f>IF($A2="","",SUMIF('07_Pallet_Contents'!$A$2:$A$3000,$A2,'07_Pallet_Contents'!$I$2:$I$3000))</f>
        <v/>
      </c>
      <c r="Z1732">
        <f>IF($A2="","",IF(COUNTIF('07_Pallet_Contents'!$A$2:$A$3000,$A2)&gt;0,"Yes",""))</f>
        <v/>
      </c>
    </row>
    <row r="1733">
      <c r="B1733" s="22" t="n"/>
      <c r="G1733" s="25" t="n"/>
      <c r="H1733" s="24">
        <f>IF(AND($F1733="TEMP",$G1733&gt;0,$M1733&lt;&gt;""),$M1733+$G1733,"")</f>
        <v/>
      </c>
      <c r="I1733" s="22" t="n"/>
      <c r="J1733" s="22" t="n"/>
      <c r="K1733" s="24" t="n"/>
      <c r="W1733">
        <f>IF($A2="","",COUNTIF('07_Pallet_Contents'!$A$2:$A$3000,$A2))</f>
        <v/>
      </c>
      <c r="X1733">
        <f>IF($A2="","",SUMIF('07_Pallet_Contents'!$A$2:$A$3000,$A2,'07_Pallet_Contents'!$D$2:$D$3000))</f>
        <v/>
      </c>
      <c r="Y1733">
        <f>IF($A2="","",SUMIF('07_Pallet_Contents'!$A$2:$A$3000,$A2,'07_Pallet_Contents'!$I$2:$I$3000))</f>
        <v/>
      </c>
      <c r="Z1733">
        <f>IF($A2="","",IF(COUNTIF('07_Pallet_Contents'!$A$2:$A$3000,$A2)&gt;0,"Yes",""))</f>
        <v/>
      </c>
    </row>
    <row r="1734">
      <c r="B1734" s="22" t="n"/>
      <c r="G1734" s="25" t="n"/>
      <c r="H1734" s="24">
        <f>IF(AND($F1734="TEMP",$G1734&gt;0,$M1734&lt;&gt;""),$M1734+$G1734,"")</f>
        <v/>
      </c>
      <c r="I1734" s="22" t="n"/>
      <c r="J1734" s="22" t="n"/>
      <c r="K1734" s="24" t="n"/>
      <c r="W1734">
        <f>IF($A2="","",COUNTIF('07_Pallet_Contents'!$A$2:$A$3000,$A2))</f>
        <v/>
      </c>
      <c r="X1734">
        <f>IF($A2="","",SUMIF('07_Pallet_Contents'!$A$2:$A$3000,$A2,'07_Pallet_Contents'!$D$2:$D$3000))</f>
        <v/>
      </c>
      <c r="Y1734">
        <f>IF($A2="","",SUMIF('07_Pallet_Contents'!$A$2:$A$3000,$A2,'07_Pallet_Contents'!$I$2:$I$3000))</f>
        <v/>
      </c>
      <c r="Z1734">
        <f>IF($A2="","",IF(COUNTIF('07_Pallet_Contents'!$A$2:$A$3000,$A2)&gt;0,"Yes",""))</f>
        <v/>
      </c>
    </row>
    <row r="1735">
      <c r="B1735" s="22" t="n"/>
      <c r="G1735" s="25" t="n"/>
      <c r="H1735" s="24">
        <f>IF(AND($F1735="TEMP",$G1735&gt;0,$M1735&lt;&gt;""),$M1735+$G1735,"")</f>
        <v/>
      </c>
      <c r="I1735" s="22" t="n"/>
      <c r="J1735" s="22" t="n"/>
      <c r="K1735" s="24" t="n"/>
      <c r="W1735">
        <f>IF($A2="","",COUNTIF('07_Pallet_Contents'!$A$2:$A$3000,$A2))</f>
        <v/>
      </c>
      <c r="X1735">
        <f>IF($A2="","",SUMIF('07_Pallet_Contents'!$A$2:$A$3000,$A2,'07_Pallet_Contents'!$D$2:$D$3000))</f>
        <v/>
      </c>
      <c r="Y1735">
        <f>IF($A2="","",SUMIF('07_Pallet_Contents'!$A$2:$A$3000,$A2,'07_Pallet_Contents'!$I$2:$I$3000))</f>
        <v/>
      </c>
      <c r="Z1735">
        <f>IF($A2="","",IF(COUNTIF('07_Pallet_Contents'!$A$2:$A$3000,$A2)&gt;0,"Yes",""))</f>
        <v/>
      </c>
    </row>
    <row r="1736">
      <c r="B1736" s="22" t="n"/>
      <c r="G1736" s="25" t="n"/>
      <c r="H1736" s="24">
        <f>IF(AND($F1736="TEMP",$G1736&gt;0,$M1736&lt;&gt;""),$M1736+$G1736,"")</f>
        <v/>
      </c>
      <c r="I1736" s="22" t="n"/>
      <c r="J1736" s="22" t="n"/>
      <c r="K1736" s="24" t="n"/>
      <c r="W1736">
        <f>IF($A2="","",COUNTIF('07_Pallet_Contents'!$A$2:$A$3000,$A2))</f>
        <v/>
      </c>
      <c r="X1736">
        <f>IF($A2="","",SUMIF('07_Pallet_Contents'!$A$2:$A$3000,$A2,'07_Pallet_Contents'!$D$2:$D$3000))</f>
        <v/>
      </c>
      <c r="Y1736">
        <f>IF($A2="","",SUMIF('07_Pallet_Contents'!$A$2:$A$3000,$A2,'07_Pallet_Contents'!$I$2:$I$3000))</f>
        <v/>
      </c>
      <c r="Z1736">
        <f>IF($A2="","",IF(COUNTIF('07_Pallet_Contents'!$A$2:$A$3000,$A2)&gt;0,"Yes",""))</f>
        <v/>
      </c>
    </row>
    <row r="1737">
      <c r="B1737" s="22" t="n"/>
      <c r="G1737" s="25" t="n"/>
      <c r="H1737" s="24">
        <f>IF(AND($F1737="TEMP",$G1737&gt;0,$M1737&lt;&gt;""),$M1737+$G1737,"")</f>
        <v/>
      </c>
      <c r="I1737" s="22" t="n"/>
      <c r="J1737" s="22" t="n"/>
      <c r="K1737" s="24" t="n"/>
      <c r="W1737">
        <f>IF($A2="","",COUNTIF('07_Pallet_Contents'!$A$2:$A$3000,$A2))</f>
        <v/>
      </c>
      <c r="X1737">
        <f>IF($A2="","",SUMIF('07_Pallet_Contents'!$A$2:$A$3000,$A2,'07_Pallet_Contents'!$D$2:$D$3000))</f>
        <v/>
      </c>
      <c r="Y1737">
        <f>IF($A2="","",SUMIF('07_Pallet_Contents'!$A$2:$A$3000,$A2,'07_Pallet_Contents'!$I$2:$I$3000))</f>
        <v/>
      </c>
      <c r="Z1737">
        <f>IF($A2="","",IF(COUNTIF('07_Pallet_Contents'!$A$2:$A$3000,$A2)&gt;0,"Yes",""))</f>
        <v/>
      </c>
    </row>
    <row r="1738">
      <c r="B1738" s="22" t="n"/>
      <c r="G1738" s="25" t="n"/>
      <c r="H1738" s="24">
        <f>IF(AND($F1738="TEMP",$G1738&gt;0,$M1738&lt;&gt;""),$M1738+$G1738,"")</f>
        <v/>
      </c>
      <c r="I1738" s="22" t="n"/>
      <c r="J1738" s="22" t="n"/>
      <c r="K1738" s="24" t="n"/>
      <c r="W1738">
        <f>IF($A2="","",COUNTIF('07_Pallet_Contents'!$A$2:$A$3000,$A2))</f>
        <v/>
      </c>
      <c r="X1738">
        <f>IF($A2="","",SUMIF('07_Pallet_Contents'!$A$2:$A$3000,$A2,'07_Pallet_Contents'!$D$2:$D$3000))</f>
        <v/>
      </c>
      <c r="Y1738">
        <f>IF($A2="","",SUMIF('07_Pallet_Contents'!$A$2:$A$3000,$A2,'07_Pallet_Contents'!$I$2:$I$3000))</f>
        <v/>
      </c>
      <c r="Z1738">
        <f>IF($A2="","",IF(COUNTIF('07_Pallet_Contents'!$A$2:$A$3000,$A2)&gt;0,"Yes",""))</f>
        <v/>
      </c>
    </row>
    <row r="1739">
      <c r="B1739" s="22" t="n"/>
      <c r="G1739" s="25" t="n"/>
      <c r="H1739" s="24">
        <f>IF(AND($F1739="TEMP",$G1739&gt;0,$M1739&lt;&gt;""),$M1739+$G1739,"")</f>
        <v/>
      </c>
      <c r="I1739" s="22" t="n"/>
      <c r="J1739" s="22" t="n"/>
      <c r="K1739" s="24" t="n"/>
      <c r="W1739">
        <f>IF($A2="","",COUNTIF('07_Pallet_Contents'!$A$2:$A$3000,$A2))</f>
        <v/>
      </c>
      <c r="X1739">
        <f>IF($A2="","",SUMIF('07_Pallet_Contents'!$A$2:$A$3000,$A2,'07_Pallet_Contents'!$D$2:$D$3000))</f>
        <v/>
      </c>
      <c r="Y1739">
        <f>IF($A2="","",SUMIF('07_Pallet_Contents'!$A$2:$A$3000,$A2,'07_Pallet_Contents'!$I$2:$I$3000))</f>
        <v/>
      </c>
      <c r="Z1739">
        <f>IF($A2="","",IF(COUNTIF('07_Pallet_Contents'!$A$2:$A$3000,$A2)&gt;0,"Yes",""))</f>
        <v/>
      </c>
    </row>
    <row r="1740">
      <c r="B1740" s="22" t="n"/>
      <c r="G1740" s="25" t="n"/>
      <c r="H1740" s="24">
        <f>IF(AND($F1740="TEMP",$G1740&gt;0,$M1740&lt;&gt;""),$M1740+$G1740,"")</f>
        <v/>
      </c>
      <c r="I1740" s="22" t="n"/>
      <c r="J1740" s="22" t="n"/>
      <c r="K1740" s="24" t="n"/>
      <c r="W1740">
        <f>IF($A2="","",COUNTIF('07_Pallet_Contents'!$A$2:$A$3000,$A2))</f>
        <v/>
      </c>
      <c r="X1740">
        <f>IF($A2="","",SUMIF('07_Pallet_Contents'!$A$2:$A$3000,$A2,'07_Pallet_Contents'!$D$2:$D$3000))</f>
        <v/>
      </c>
      <c r="Y1740">
        <f>IF($A2="","",SUMIF('07_Pallet_Contents'!$A$2:$A$3000,$A2,'07_Pallet_Contents'!$I$2:$I$3000))</f>
        <v/>
      </c>
      <c r="Z1740">
        <f>IF($A2="","",IF(COUNTIF('07_Pallet_Contents'!$A$2:$A$3000,$A2)&gt;0,"Yes",""))</f>
        <v/>
      </c>
    </row>
    <row r="1741">
      <c r="B1741" s="22" t="n"/>
      <c r="G1741" s="25" t="n"/>
      <c r="H1741" s="24">
        <f>IF(AND($F1741="TEMP",$G1741&gt;0,$M1741&lt;&gt;""),$M1741+$G1741,"")</f>
        <v/>
      </c>
      <c r="I1741" s="22" t="n"/>
      <c r="J1741" s="22" t="n"/>
      <c r="K1741" s="24" t="n"/>
      <c r="W1741">
        <f>IF($A2="","",COUNTIF('07_Pallet_Contents'!$A$2:$A$3000,$A2))</f>
        <v/>
      </c>
      <c r="X1741">
        <f>IF($A2="","",SUMIF('07_Pallet_Contents'!$A$2:$A$3000,$A2,'07_Pallet_Contents'!$D$2:$D$3000))</f>
        <v/>
      </c>
      <c r="Y1741">
        <f>IF($A2="","",SUMIF('07_Pallet_Contents'!$A$2:$A$3000,$A2,'07_Pallet_Contents'!$I$2:$I$3000))</f>
        <v/>
      </c>
      <c r="Z1741">
        <f>IF($A2="","",IF(COUNTIF('07_Pallet_Contents'!$A$2:$A$3000,$A2)&gt;0,"Yes",""))</f>
        <v/>
      </c>
    </row>
    <row r="1742">
      <c r="B1742" s="22" t="n"/>
      <c r="G1742" s="25" t="n"/>
      <c r="H1742" s="24">
        <f>IF(AND($F1742="TEMP",$G1742&gt;0,$M1742&lt;&gt;""),$M1742+$G1742,"")</f>
        <v/>
      </c>
      <c r="I1742" s="22" t="n"/>
      <c r="J1742" s="22" t="n"/>
      <c r="K1742" s="24" t="n"/>
      <c r="W1742">
        <f>IF($A2="","",COUNTIF('07_Pallet_Contents'!$A$2:$A$3000,$A2))</f>
        <v/>
      </c>
      <c r="X1742">
        <f>IF($A2="","",SUMIF('07_Pallet_Contents'!$A$2:$A$3000,$A2,'07_Pallet_Contents'!$D$2:$D$3000))</f>
        <v/>
      </c>
      <c r="Y1742">
        <f>IF($A2="","",SUMIF('07_Pallet_Contents'!$A$2:$A$3000,$A2,'07_Pallet_Contents'!$I$2:$I$3000))</f>
        <v/>
      </c>
      <c r="Z1742">
        <f>IF($A2="","",IF(COUNTIF('07_Pallet_Contents'!$A$2:$A$3000,$A2)&gt;0,"Yes",""))</f>
        <v/>
      </c>
    </row>
    <row r="1743">
      <c r="B1743" s="22" t="n"/>
      <c r="G1743" s="25" t="n"/>
      <c r="H1743" s="24">
        <f>IF(AND($F1743="TEMP",$G1743&gt;0,$M1743&lt;&gt;""),$M1743+$G1743,"")</f>
        <v/>
      </c>
      <c r="I1743" s="22" t="n"/>
      <c r="J1743" s="22" t="n"/>
      <c r="K1743" s="24" t="n"/>
      <c r="W1743">
        <f>IF($A2="","",COUNTIF('07_Pallet_Contents'!$A$2:$A$3000,$A2))</f>
        <v/>
      </c>
      <c r="X1743">
        <f>IF($A2="","",SUMIF('07_Pallet_Contents'!$A$2:$A$3000,$A2,'07_Pallet_Contents'!$D$2:$D$3000))</f>
        <v/>
      </c>
      <c r="Y1743">
        <f>IF($A2="","",SUMIF('07_Pallet_Contents'!$A$2:$A$3000,$A2,'07_Pallet_Contents'!$I$2:$I$3000))</f>
        <v/>
      </c>
      <c r="Z1743">
        <f>IF($A2="","",IF(COUNTIF('07_Pallet_Contents'!$A$2:$A$3000,$A2)&gt;0,"Yes",""))</f>
        <v/>
      </c>
    </row>
    <row r="1744">
      <c r="B1744" s="22" t="n"/>
      <c r="G1744" s="25" t="n"/>
      <c r="H1744" s="24">
        <f>IF(AND($F1744="TEMP",$G1744&gt;0,$M1744&lt;&gt;""),$M1744+$G1744,"")</f>
        <v/>
      </c>
      <c r="I1744" s="22" t="n"/>
      <c r="J1744" s="22" t="n"/>
      <c r="K1744" s="24" t="n"/>
      <c r="W1744">
        <f>IF($A2="","",COUNTIF('07_Pallet_Contents'!$A$2:$A$3000,$A2))</f>
        <v/>
      </c>
      <c r="X1744">
        <f>IF($A2="","",SUMIF('07_Pallet_Contents'!$A$2:$A$3000,$A2,'07_Pallet_Contents'!$D$2:$D$3000))</f>
        <v/>
      </c>
      <c r="Y1744">
        <f>IF($A2="","",SUMIF('07_Pallet_Contents'!$A$2:$A$3000,$A2,'07_Pallet_Contents'!$I$2:$I$3000))</f>
        <v/>
      </c>
      <c r="Z1744">
        <f>IF($A2="","",IF(COUNTIF('07_Pallet_Contents'!$A$2:$A$3000,$A2)&gt;0,"Yes",""))</f>
        <v/>
      </c>
    </row>
    <row r="1745">
      <c r="B1745" s="22" t="n"/>
      <c r="G1745" s="25" t="n"/>
      <c r="H1745" s="24">
        <f>IF(AND($F1745="TEMP",$G1745&gt;0,$M1745&lt;&gt;""),$M1745+$G1745,"")</f>
        <v/>
      </c>
      <c r="I1745" s="22" t="n"/>
      <c r="J1745" s="22" t="n"/>
      <c r="K1745" s="24" t="n"/>
      <c r="W1745">
        <f>IF($A2="","",COUNTIF('07_Pallet_Contents'!$A$2:$A$3000,$A2))</f>
        <v/>
      </c>
      <c r="X1745">
        <f>IF($A2="","",SUMIF('07_Pallet_Contents'!$A$2:$A$3000,$A2,'07_Pallet_Contents'!$D$2:$D$3000))</f>
        <v/>
      </c>
      <c r="Y1745">
        <f>IF($A2="","",SUMIF('07_Pallet_Contents'!$A$2:$A$3000,$A2,'07_Pallet_Contents'!$I$2:$I$3000))</f>
        <v/>
      </c>
      <c r="Z1745">
        <f>IF($A2="","",IF(COUNTIF('07_Pallet_Contents'!$A$2:$A$3000,$A2)&gt;0,"Yes",""))</f>
        <v/>
      </c>
    </row>
    <row r="1746">
      <c r="B1746" s="22" t="n"/>
      <c r="G1746" s="25" t="n"/>
      <c r="H1746" s="24">
        <f>IF(AND($F1746="TEMP",$G1746&gt;0,$M1746&lt;&gt;""),$M1746+$G1746,"")</f>
        <v/>
      </c>
      <c r="I1746" s="22" t="n"/>
      <c r="J1746" s="22" t="n"/>
      <c r="K1746" s="24" t="n"/>
      <c r="W1746">
        <f>IF($A2="","",COUNTIF('07_Pallet_Contents'!$A$2:$A$3000,$A2))</f>
        <v/>
      </c>
      <c r="X1746">
        <f>IF($A2="","",SUMIF('07_Pallet_Contents'!$A$2:$A$3000,$A2,'07_Pallet_Contents'!$D$2:$D$3000))</f>
        <v/>
      </c>
      <c r="Y1746">
        <f>IF($A2="","",SUMIF('07_Pallet_Contents'!$A$2:$A$3000,$A2,'07_Pallet_Contents'!$I$2:$I$3000))</f>
        <v/>
      </c>
      <c r="Z1746">
        <f>IF($A2="","",IF(COUNTIF('07_Pallet_Contents'!$A$2:$A$3000,$A2)&gt;0,"Yes",""))</f>
        <v/>
      </c>
    </row>
    <row r="1747">
      <c r="B1747" s="22" t="n"/>
      <c r="G1747" s="25" t="n"/>
      <c r="H1747" s="24">
        <f>IF(AND($F1747="TEMP",$G1747&gt;0,$M1747&lt;&gt;""),$M1747+$G1747,"")</f>
        <v/>
      </c>
      <c r="I1747" s="22" t="n"/>
      <c r="J1747" s="22" t="n"/>
      <c r="K1747" s="24" t="n"/>
      <c r="W1747">
        <f>IF($A2="","",COUNTIF('07_Pallet_Contents'!$A$2:$A$3000,$A2))</f>
        <v/>
      </c>
      <c r="X1747">
        <f>IF($A2="","",SUMIF('07_Pallet_Contents'!$A$2:$A$3000,$A2,'07_Pallet_Contents'!$D$2:$D$3000))</f>
        <v/>
      </c>
      <c r="Y1747">
        <f>IF($A2="","",SUMIF('07_Pallet_Contents'!$A$2:$A$3000,$A2,'07_Pallet_Contents'!$I$2:$I$3000))</f>
        <v/>
      </c>
      <c r="Z1747">
        <f>IF($A2="","",IF(COUNTIF('07_Pallet_Contents'!$A$2:$A$3000,$A2)&gt;0,"Yes",""))</f>
        <v/>
      </c>
    </row>
    <row r="1748">
      <c r="B1748" s="22" t="n"/>
      <c r="G1748" s="25" t="n"/>
      <c r="H1748" s="24">
        <f>IF(AND($F1748="TEMP",$G1748&gt;0,$M1748&lt;&gt;""),$M1748+$G1748,"")</f>
        <v/>
      </c>
      <c r="I1748" s="22" t="n"/>
      <c r="J1748" s="22" t="n"/>
      <c r="K1748" s="24" t="n"/>
      <c r="W1748">
        <f>IF($A2="","",COUNTIF('07_Pallet_Contents'!$A$2:$A$3000,$A2))</f>
        <v/>
      </c>
      <c r="X1748">
        <f>IF($A2="","",SUMIF('07_Pallet_Contents'!$A$2:$A$3000,$A2,'07_Pallet_Contents'!$D$2:$D$3000))</f>
        <v/>
      </c>
      <c r="Y1748">
        <f>IF($A2="","",SUMIF('07_Pallet_Contents'!$A$2:$A$3000,$A2,'07_Pallet_Contents'!$I$2:$I$3000))</f>
        <v/>
      </c>
      <c r="Z1748">
        <f>IF($A2="","",IF(COUNTIF('07_Pallet_Contents'!$A$2:$A$3000,$A2)&gt;0,"Yes",""))</f>
        <v/>
      </c>
    </row>
    <row r="1749">
      <c r="B1749" s="22" t="n"/>
      <c r="G1749" s="25" t="n"/>
      <c r="H1749" s="24">
        <f>IF(AND($F1749="TEMP",$G1749&gt;0,$M1749&lt;&gt;""),$M1749+$G1749,"")</f>
        <v/>
      </c>
      <c r="I1749" s="22" t="n"/>
      <c r="J1749" s="22" t="n"/>
      <c r="K1749" s="24" t="n"/>
      <c r="W1749">
        <f>IF($A2="","",COUNTIF('07_Pallet_Contents'!$A$2:$A$3000,$A2))</f>
        <v/>
      </c>
      <c r="X1749">
        <f>IF($A2="","",SUMIF('07_Pallet_Contents'!$A$2:$A$3000,$A2,'07_Pallet_Contents'!$D$2:$D$3000))</f>
        <v/>
      </c>
      <c r="Y1749">
        <f>IF($A2="","",SUMIF('07_Pallet_Contents'!$A$2:$A$3000,$A2,'07_Pallet_Contents'!$I$2:$I$3000))</f>
        <v/>
      </c>
      <c r="Z1749">
        <f>IF($A2="","",IF(COUNTIF('07_Pallet_Contents'!$A$2:$A$3000,$A2)&gt;0,"Yes",""))</f>
        <v/>
      </c>
    </row>
    <row r="1750">
      <c r="B1750" s="22" t="n"/>
      <c r="G1750" s="25" t="n"/>
      <c r="H1750" s="24">
        <f>IF(AND($F1750="TEMP",$G1750&gt;0,$M1750&lt;&gt;""),$M1750+$G1750,"")</f>
        <v/>
      </c>
      <c r="I1750" s="22" t="n"/>
      <c r="J1750" s="22" t="n"/>
      <c r="K1750" s="24" t="n"/>
      <c r="W1750">
        <f>IF($A2="","",COUNTIF('07_Pallet_Contents'!$A$2:$A$3000,$A2))</f>
        <v/>
      </c>
      <c r="X1750">
        <f>IF($A2="","",SUMIF('07_Pallet_Contents'!$A$2:$A$3000,$A2,'07_Pallet_Contents'!$D$2:$D$3000))</f>
        <v/>
      </c>
      <c r="Y1750">
        <f>IF($A2="","",SUMIF('07_Pallet_Contents'!$A$2:$A$3000,$A2,'07_Pallet_Contents'!$I$2:$I$3000))</f>
        <v/>
      </c>
      <c r="Z1750">
        <f>IF($A2="","",IF(COUNTIF('07_Pallet_Contents'!$A$2:$A$3000,$A2)&gt;0,"Yes",""))</f>
        <v/>
      </c>
    </row>
    <row r="1751">
      <c r="B1751" s="22" t="n"/>
      <c r="G1751" s="25" t="n"/>
      <c r="H1751" s="24">
        <f>IF(AND($F1751="TEMP",$G1751&gt;0,$M1751&lt;&gt;""),$M1751+$G1751,"")</f>
        <v/>
      </c>
      <c r="I1751" s="22" t="n"/>
      <c r="J1751" s="22" t="n"/>
      <c r="K1751" s="24" t="n"/>
      <c r="W1751">
        <f>IF($A2="","",COUNTIF('07_Pallet_Contents'!$A$2:$A$3000,$A2))</f>
        <v/>
      </c>
      <c r="X1751">
        <f>IF($A2="","",SUMIF('07_Pallet_Contents'!$A$2:$A$3000,$A2,'07_Pallet_Contents'!$D$2:$D$3000))</f>
        <v/>
      </c>
      <c r="Y1751">
        <f>IF($A2="","",SUMIF('07_Pallet_Contents'!$A$2:$A$3000,$A2,'07_Pallet_Contents'!$I$2:$I$3000))</f>
        <v/>
      </c>
      <c r="Z1751">
        <f>IF($A2="","",IF(COUNTIF('07_Pallet_Contents'!$A$2:$A$3000,$A2)&gt;0,"Yes",""))</f>
        <v/>
      </c>
    </row>
    <row r="1752">
      <c r="B1752" s="22" t="n"/>
      <c r="G1752" s="25" t="n"/>
      <c r="H1752" s="24">
        <f>IF(AND($F1752="TEMP",$G1752&gt;0,$M1752&lt;&gt;""),$M1752+$G1752,"")</f>
        <v/>
      </c>
      <c r="I1752" s="22" t="n"/>
      <c r="J1752" s="22" t="n"/>
      <c r="K1752" s="24" t="n"/>
      <c r="W1752">
        <f>IF($A2="","",COUNTIF('07_Pallet_Contents'!$A$2:$A$3000,$A2))</f>
        <v/>
      </c>
      <c r="X1752">
        <f>IF($A2="","",SUMIF('07_Pallet_Contents'!$A$2:$A$3000,$A2,'07_Pallet_Contents'!$D$2:$D$3000))</f>
        <v/>
      </c>
      <c r="Y1752">
        <f>IF($A2="","",SUMIF('07_Pallet_Contents'!$A$2:$A$3000,$A2,'07_Pallet_Contents'!$I$2:$I$3000))</f>
        <v/>
      </c>
      <c r="Z1752">
        <f>IF($A2="","",IF(COUNTIF('07_Pallet_Contents'!$A$2:$A$3000,$A2)&gt;0,"Yes",""))</f>
        <v/>
      </c>
    </row>
    <row r="1753">
      <c r="B1753" s="22" t="n"/>
      <c r="G1753" s="25" t="n"/>
      <c r="H1753" s="24">
        <f>IF(AND($F1753="TEMP",$G1753&gt;0,$M1753&lt;&gt;""),$M1753+$G1753,"")</f>
        <v/>
      </c>
      <c r="I1753" s="22" t="n"/>
      <c r="J1753" s="22" t="n"/>
      <c r="K1753" s="24" t="n"/>
      <c r="W1753">
        <f>IF($A2="","",COUNTIF('07_Pallet_Contents'!$A$2:$A$3000,$A2))</f>
        <v/>
      </c>
      <c r="X1753">
        <f>IF($A2="","",SUMIF('07_Pallet_Contents'!$A$2:$A$3000,$A2,'07_Pallet_Contents'!$D$2:$D$3000))</f>
        <v/>
      </c>
      <c r="Y1753">
        <f>IF($A2="","",SUMIF('07_Pallet_Contents'!$A$2:$A$3000,$A2,'07_Pallet_Contents'!$I$2:$I$3000))</f>
        <v/>
      </c>
      <c r="Z1753">
        <f>IF($A2="","",IF(COUNTIF('07_Pallet_Contents'!$A$2:$A$3000,$A2)&gt;0,"Yes",""))</f>
        <v/>
      </c>
    </row>
    <row r="1754">
      <c r="B1754" s="22" t="n"/>
      <c r="G1754" s="25" t="n"/>
      <c r="H1754" s="24">
        <f>IF(AND($F1754="TEMP",$G1754&gt;0,$M1754&lt;&gt;""),$M1754+$G1754,"")</f>
        <v/>
      </c>
      <c r="I1754" s="22" t="n"/>
      <c r="J1754" s="22" t="n"/>
      <c r="K1754" s="24" t="n"/>
      <c r="W1754">
        <f>IF($A2="","",COUNTIF('07_Pallet_Contents'!$A$2:$A$3000,$A2))</f>
        <v/>
      </c>
      <c r="X1754">
        <f>IF($A2="","",SUMIF('07_Pallet_Contents'!$A$2:$A$3000,$A2,'07_Pallet_Contents'!$D$2:$D$3000))</f>
        <v/>
      </c>
      <c r="Y1754">
        <f>IF($A2="","",SUMIF('07_Pallet_Contents'!$A$2:$A$3000,$A2,'07_Pallet_Contents'!$I$2:$I$3000))</f>
        <v/>
      </c>
      <c r="Z1754">
        <f>IF($A2="","",IF(COUNTIF('07_Pallet_Contents'!$A$2:$A$3000,$A2)&gt;0,"Yes",""))</f>
        <v/>
      </c>
    </row>
    <row r="1755">
      <c r="B1755" s="22" t="n"/>
      <c r="G1755" s="25" t="n"/>
      <c r="H1755" s="24">
        <f>IF(AND($F1755="TEMP",$G1755&gt;0,$M1755&lt;&gt;""),$M1755+$G1755,"")</f>
        <v/>
      </c>
      <c r="I1755" s="22" t="n"/>
      <c r="J1755" s="22" t="n"/>
      <c r="K1755" s="24" t="n"/>
      <c r="W1755">
        <f>IF($A2="","",COUNTIF('07_Pallet_Contents'!$A$2:$A$3000,$A2))</f>
        <v/>
      </c>
      <c r="X1755">
        <f>IF($A2="","",SUMIF('07_Pallet_Contents'!$A$2:$A$3000,$A2,'07_Pallet_Contents'!$D$2:$D$3000))</f>
        <v/>
      </c>
      <c r="Y1755">
        <f>IF($A2="","",SUMIF('07_Pallet_Contents'!$A$2:$A$3000,$A2,'07_Pallet_Contents'!$I$2:$I$3000))</f>
        <v/>
      </c>
      <c r="Z1755">
        <f>IF($A2="","",IF(COUNTIF('07_Pallet_Contents'!$A$2:$A$3000,$A2)&gt;0,"Yes",""))</f>
        <v/>
      </c>
    </row>
    <row r="1756">
      <c r="B1756" s="22" t="n"/>
      <c r="G1756" s="25" t="n"/>
      <c r="H1756" s="24">
        <f>IF(AND($F1756="TEMP",$G1756&gt;0,$M1756&lt;&gt;""),$M1756+$G1756,"")</f>
        <v/>
      </c>
      <c r="I1756" s="22" t="n"/>
      <c r="J1756" s="22" t="n"/>
      <c r="K1756" s="24" t="n"/>
      <c r="W1756">
        <f>IF($A2="","",COUNTIF('07_Pallet_Contents'!$A$2:$A$3000,$A2))</f>
        <v/>
      </c>
      <c r="X1756">
        <f>IF($A2="","",SUMIF('07_Pallet_Contents'!$A$2:$A$3000,$A2,'07_Pallet_Contents'!$D$2:$D$3000))</f>
        <v/>
      </c>
      <c r="Y1756">
        <f>IF($A2="","",SUMIF('07_Pallet_Contents'!$A$2:$A$3000,$A2,'07_Pallet_Contents'!$I$2:$I$3000))</f>
        <v/>
      </c>
      <c r="Z1756">
        <f>IF($A2="","",IF(COUNTIF('07_Pallet_Contents'!$A$2:$A$3000,$A2)&gt;0,"Yes",""))</f>
        <v/>
      </c>
    </row>
    <row r="1757">
      <c r="B1757" s="22" t="n"/>
      <c r="G1757" s="25" t="n"/>
      <c r="H1757" s="24">
        <f>IF(AND($F1757="TEMP",$G1757&gt;0,$M1757&lt;&gt;""),$M1757+$G1757,"")</f>
        <v/>
      </c>
      <c r="I1757" s="22" t="n"/>
      <c r="J1757" s="22" t="n"/>
      <c r="K1757" s="24" t="n"/>
      <c r="W1757">
        <f>IF($A2="","",COUNTIF('07_Pallet_Contents'!$A$2:$A$3000,$A2))</f>
        <v/>
      </c>
      <c r="X1757">
        <f>IF($A2="","",SUMIF('07_Pallet_Contents'!$A$2:$A$3000,$A2,'07_Pallet_Contents'!$D$2:$D$3000))</f>
        <v/>
      </c>
      <c r="Y1757">
        <f>IF($A2="","",SUMIF('07_Pallet_Contents'!$A$2:$A$3000,$A2,'07_Pallet_Contents'!$I$2:$I$3000))</f>
        <v/>
      </c>
      <c r="Z1757">
        <f>IF($A2="","",IF(COUNTIF('07_Pallet_Contents'!$A$2:$A$3000,$A2)&gt;0,"Yes",""))</f>
        <v/>
      </c>
    </row>
    <row r="1758">
      <c r="B1758" s="22" t="n"/>
      <c r="G1758" s="25" t="n"/>
      <c r="H1758" s="24">
        <f>IF(AND($F1758="TEMP",$G1758&gt;0,$M1758&lt;&gt;""),$M1758+$G1758,"")</f>
        <v/>
      </c>
      <c r="I1758" s="22" t="n"/>
      <c r="J1758" s="22" t="n"/>
      <c r="K1758" s="24" t="n"/>
      <c r="W1758">
        <f>IF($A2="","",COUNTIF('07_Pallet_Contents'!$A$2:$A$3000,$A2))</f>
        <v/>
      </c>
      <c r="X1758">
        <f>IF($A2="","",SUMIF('07_Pallet_Contents'!$A$2:$A$3000,$A2,'07_Pallet_Contents'!$D$2:$D$3000))</f>
        <v/>
      </c>
      <c r="Y1758">
        <f>IF($A2="","",SUMIF('07_Pallet_Contents'!$A$2:$A$3000,$A2,'07_Pallet_Contents'!$I$2:$I$3000))</f>
        <v/>
      </c>
      <c r="Z1758">
        <f>IF($A2="","",IF(COUNTIF('07_Pallet_Contents'!$A$2:$A$3000,$A2)&gt;0,"Yes",""))</f>
        <v/>
      </c>
    </row>
    <row r="1759">
      <c r="B1759" s="22" t="n"/>
      <c r="G1759" s="25" t="n"/>
      <c r="H1759" s="24">
        <f>IF(AND($F1759="TEMP",$G1759&gt;0,$M1759&lt;&gt;""),$M1759+$G1759,"")</f>
        <v/>
      </c>
      <c r="I1759" s="22" t="n"/>
      <c r="J1759" s="22" t="n"/>
      <c r="K1759" s="24" t="n"/>
      <c r="W1759">
        <f>IF($A2="","",COUNTIF('07_Pallet_Contents'!$A$2:$A$3000,$A2))</f>
        <v/>
      </c>
      <c r="X1759">
        <f>IF($A2="","",SUMIF('07_Pallet_Contents'!$A$2:$A$3000,$A2,'07_Pallet_Contents'!$D$2:$D$3000))</f>
        <v/>
      </c>
      <c r="Y1759">
        <f>IF($A2="","",SUMIF('07_Pallet_Contents'!$A$2:$A$3000,$A2,'07_Pallet_Contents'!$I$2:$I$3000))</f>
        <v/>
      </c>
      <c r="Z1759">
        <f>IF($A2="","",IF(COUNTIF('07_Pallet_Contents'!$A$2:$A$3000,$A2)&gt;0,"Yes",""))</f>
        <v/>
      </c>
    </row>
    <row r="1760">
      <c r="B1760" s="22" t="n"/>
      <c r="G1760" s="25" t="n"/>
      <c r="H1760" s="24">
        <f>IF(AND($F1760="TEMP",$G1760&gt;0,$M1760&lt;&gt;""),$M1760+$G1760,"")</f>
        <v/>
      </c>
      <c r="I1760" s="22" t="n"/>
      <c r="J1760" s="22" t="n"/>
      <c r="K1760" s="24" t="n"/>
      <c r="W1760">
        <f>IF($A2="","",COUNTIF('07_Pallet_Contents'!$A$2:$A$3000,$A2))</f>
        <v/>
      </c>
      <c r="X1760">
        <f>IF($A2="","",SUMIF('07_Pallet_Contents'!$A$2:$A$3000,$A2,'07_Pallet_Contents'!$D$2:$D$3000))</f>
        <v/>
      </c>
      <c r="Y1760">
        <f>IF($A2="","",SUMIF('07_Pallet_Contents'!$A$2:$A$3000,$A2,'07_Pallet_Contents'!$I$2:$I$3000))</f>
        <v/>
      </c>
      <c r="Z1760">
        <f>IF($A2="","",IF(COUNTIF('07_Pallet_Contents'!$A$2:$A$3000,$A2)&gt;0,"Yes",""))</f>
        <v/>
      </c>
    </row>
    <row r="1761">
      <c r="B1761" s="22" t="n"/>
      <c r="G1761" s="25" t="n"/>
      <c r="H1761" s="24">
        <f>IF(AND($F1761="TEMP",$G1761&gt;0,$M1761&lt;&gt;""),$M1761+$G1761,"")</f>
        <v/>
      </c>
      <c r="I1761" s="22" t="n"/>
      <c r="J1761" s="22" t="n"/>
      <c r="K1761" s="24" t="n"/>
      <c r="W1761">
        <f>IF($A2="","",COUNTIF('07_Pallet_Contents'!$A$2:$A$3000,$A2))</f>
        <v/>
      </c>
      <c r="X1761">
        <f>IF($A2="","",SUMIF('07_Pallet_Contents'!$A$2:$A$3000,$A2,'07_Pallet_Contents'!$D$2:$D$3000))</f>
        <v/>
      </c>
      <c r="Y1761">
        <f>IF($A2="","",SUMIF('07_Pallet_Contents'!$A$2:$A$3000,$A2,'07_Pallet_Contents'!$I$2:$I$3000))</f>
        <v/>
      </c>
      <c r="Z1761">
        <f>IF($A2="","",IF(COUNTIF('07_Pallet_Contents'!$A$2:$A$3000,$A2)&gt;0,"Yes",""))</f>
        <v/>
      </c>
    </row>
    <row r="1762">
      <c r="B1762" s="22" t="n"/>
      <c r="G1762" s="25" t="n"/>
      <c r="H1762" s="24">
        <f>IF(AND($F1762="TEMP",$G1762&gt;0,$M1762&lt;&gt;""),$M1762+$G1762,"")</f>
        <v/>
      </c>
      <c r="I1762" s="22" t="n"/>
      <c r="J1762" s="22" t="n"/>
      <c r="K1762" s="24" t="n"/>
      <c r="W1762">
        <f>IF($A2="","",COUNTIF('07_Pallet_Contents'!$A$2:$A$3000,$A2))</f>
        <v/>
      </c>
      <c r="X1762">
        <f>IF($A2="","",SUMIF('07_Pallet_Contents'!$A$2:$A$3000,$A2,'07_Pallet_Contents'!$D$2:$D$3000))</f>
        <v/>
      </c>
      <c r="Y1762">
        <f>IF($A2="","",SUMIF('07_Pallet_Contents'!$A$2:$A$3000,$A2,'07_Pallet_Contents'!$I$2:$I$3000))</f>
        <v/>
      </c>
      <c r="Z1762">
        <f>IF($A2="","",IF(COUNTIF('07_Pallet_Contents'!$A$2:$A$3000,$A2)&gt;0,"Yes",""))</f>
        <v/>
      </c>
    </row>
    <row r="1763">
      <c r="B1763" s="22" t="n"/>
      <c r="G1763" s="25" t="n"/>
      <c r="H1763" s="24">
        <f>IF(AND($F1763="TEMP",$G1763&gt;0,$M1763&lt;&gt;""),$M1763+$G1763,"")</f>
        <v/>
      </c>
      <c r="I1763" s="22" t="n"/>
      <c r="J1763" s="22" t="n"/>
      <c r="K1763" s="24" t="n"/>
      <c r="W1763">
        <f>IF($A2="","",COUNTIF('07_Pallet_Contents'!$A$2:$A$3000,$A2))</f>
        <v/>
      </c>
      <c r="X1763">
        <f>IF($A2="","",SUMIF('07_Pallet_Contents'!$A$2:$A$3000,$A2,'07_Pallet_Contents'!$D$2:$D$3000))</f>
        <v/>
      </c>
      <c r="Y1763">
        <f>IF($A2="","",SUMIF('07_Pallet_Contents'!$A$2:$A$3000,$A2,'07_Pallet_Contents'!$I$2:$I$3000))</f>
        <v/>
      </c>
      <c r="Z1763">
        <f>IF($A2="","",IF(COUNTIF('07_Pallet_Contents'!$A$2:$A$3000,$A2)&gt;0,"Yes",""))</f>
        <v/>
      </c>
    </row>
    <row r="1764">
      <c r="B1764" s="22" t="n"/>
      <c r="G1764" s="25" t="n"/>
      <c r="H1764" s="24">
        <f>IF(AND($F1764="TEMP",$G1764&gt;0,$M1764&lt;&gt;""),$M1764+$G1764,"")</f>
        <v/>
      </c>
      <c r="I1764" s="22" t="n"/>
      <c r="J1764" s="22" t="n"/>
      <c r="K1764" s="24" t="n"/>
      <c r="W1764">
        <f>IF($A2="","",COUNTIF('07_Pallet_Contents'!$A$2:$A$3000,$A2))</f>
        <v/>
      </c>
      <c r="X1764">
        <f>IF($A2="","",SUMIF('07_Pallet_Contents'!$A$2:$A$3000,$A2,'07_Pallet_Contents'!$D$2:$D$3000))</f>
        <v/>
      </c>
      <c r="Y1764">
        <f>IF($A2="","",SUMIF('07_Pallet_Contents'!$A$2:$A$3000,$A2,'07_Pallet_Contents'!$I$2:$I$3000))</f>
        <v/>
      </c>
      <c r="Z1764">
        <f>IF($A2="","",IF(COUNTIF('07_Pallet_Contents'!$A$2:$A$3000,$A2)&gt;0,"Yes",""))</f>
        <v/>
      </c>
    </row>
    <row r="1765">
      <c r="B1765" s="22" t="n"/>
      <c r="G1765" s="25" t="n"/>
      <c r="H1765" s="24">
        <f>IF(AND($F1765="TEMP",$G1765&gt;0,$M1765&lt;&gt;""),$M1765+$G1765,"")</f>
        <v/>
      </c>
      <c r="I1765" s="22" t="n"/>
      <c r="J1765" s="22" t="n"/>
      <c r="K1765" s="24" t="n"/>
      <c r="W1765">
        <f>IF($A2="","",COUNTIF('07_Pallet_Contents'!$A$2:$A$3000,$A2))</f>
        <v/>
      </c>
      <c r="X1765">
        <f>IF($A2="","",SUMIF('07_Pallet_Contents'!$A$2:$A$3000,$A2,'07_Pallet_Contents'!$D$2:$D$3000))</f>
        <v/>
      </c>
      <c r="Y1765">
        <f>IF($A2="","",SUMIF('07_Pallet_Contents'!$A$2:$A$3000,$A2,'07_Pallet_Contents'!$I$2:$I$3000))</f>
        <v/>
      </c>
      <c r="Z1765">
        <f>IF($A2="","",IF(COUNTIF('07_Pallet_Contents'!$A$2:$A$3000,$A2)&gt;0,"Yes",""))</f>
        <v/>
      </c>
    </row>
    <row r="1766">
      <c r="B1766" s="22" t="n"/>
      <c r="G1766" s="25" t="n"/>
      <c r="H1766" s="24">
        <f>IF(AND($F1766="TEMP",$G1766&gt;0,$M1766&lt;&gt;""),$M1766+$G1766,"")</f>
        <v/>
      </c>
      <c r="I1766" s="22" t="n"/>
      <c r="J1766" s="22" t="n"/>
      <c r="K1766" s="24" t="n"/>
      <c r="W1766">
        <f>IF($A2="","",COUNTIF('07_Pallet_Contents'!$A$2:$A$3000,$A2))</f>
        <v/>
      </c>
      <c r="X1766">
        <f>IF($A2="","",SUMIF('07_Pallet_Contents'!$A$2:$A$3000,$A2,'07_Pallet_Contents'!$D$2:$D$3000))</f>
        <v/>
      </c>
      <c r="Y1766">
        <f>IF($A2="","",SUMIF('07_Pallet_Contents'!$A$2:$A$3000,$A2,'07_Pallet_Contents'!$I$2:$I$3000))</f>
        <v/>
      </c>
      <c r="Z1766">
        <f>IF($A2="","",IF(COUNTIF('07_Pallet_Contents'!$A$2:$A$3000,$A2)&gt;0,"Yes",""))</f>
        <v/>
      </c>
    </row>
    <row r="1767">
      <c r="B1767" s="22" t="n"/>
      <c r="G1767" s="25" t="n"/>
      <c r="H1767" s="24">
        <f>IF(AND($F1767="TEMP",$G1767&gt;0,$M1767&lt;&gt;""),$M1767+$G1767,"")</f>
        <v/>
      </c>
      <c r="I1767" s="22" t="n"/>
      <c r="J1767" s="22" t="n"/>
      <c r="K1767" s="24" t="n"/>
      <c r="W1767">
        <f>IF($A2="","",COUNTIF('07_Pallet_Contents'!$A$2:$A$3000,$A2))</f>
        <v/>
      </c>
      <c r="X1767">
        <f>IF($A2="","",SUMIF('07_Pallet_Contents'!$A$2:$A$3000,$A2,'07_Pallet_Contents'!$D$2:$D$3000))</f>
        <v/>
      </c>
      <c r="Y1767">
        <f>IF($A2="","",SUMIF('07_Pallet_Contents'!$A$2:$A$3000,$A2,'07_Pallet_Contents'!$I$2:$I$3000))</f>
        <v/>
      </c>
      <c r="Z1767">
        <f>IF($A2="","",IF(COUNTIF('07_Pallet_Contents'!$A$2:$A$3000,$A2)&gt;0,"Yes",""))</f>
        <v/>
      </c>
    </row>
    <row r="1768">
      <c r="B1768" s="22" t="n"/>
      <c r="G1768" s="25" t="n"/>
      <c r="H1768" s="24">
        <f>IF(AND($F1768="TEMP",$G1768&gt;0,$M1768&lt;&gt;""),$M1768+$G1768,"")</f>
        <v/>
      </c>
      <c r="I1768" s="22" t="n"/>
      <c r="J1768" s="22" t="n"/>
      <c r="K1768" s="24" t="n"/>
      <c r="W1768">
        <f>IF($A2="","",COUNTIF('07_Pallet_Contents'!$A$2:$A$3000,$A2))</f>
        <v/>
      </c>
      <c r="X1768">
        <f>IF($A2="","",SUMIF('07_Pallet_Contents'!$A$2:$A$3000,$A2,'07_Pallet_Contents'!$D$2:$D$3000))</f>
        <v/>
      </c>
      <c r="Y1768">
        <f>IF($A2="","",SUMIF('07_Pallet_Contents'!$A$2:$A$3000,$A2,'07_Pallet_Contents'!$I$2:$I$3000))</f>
        <v/>
      </c>
      <c r="Z1768">
        <f>IF($A2="","",IF(COUNTIF('07_Pallet_Contents'!$A$2:$A$3000,$A2)&gt;0,"Yes",""))</f>
        <v/>
      </c>
    </row>
    <row r="1769">
      <c r="B1769" s="22" t="n"/>
      <c r="G1769" s="25" t="n"/>
      <c r="H1769" s="24">
        <f>IF(AND($F1769="TEMP",$G1769&gt;0,$M1769&lt;&gt;""),$M1769+$G1769,"")</f>
        <v/>
      </c>
      <c r="I1769" s="22" t="n"/>
      <c r="J1769" s="22" t="n"/>
      <c r="K1769" s="24" t="n"/>
      <c r="W1769">
        <f>IF($A2="","",COUNTIF('07_Pallet_Contents'!$A$2:$A$3000,$A2))</f>
        <v/>
      </c>
      <c r="X1769">
        <f>IF($A2="","",SUMIF('07_Pallet_Contents'!$A$2:$A$3000,$A2,'07_Pallet_Contents'!$D$2:$D$3000))</f>
        <v/>
      </c>
      <c r="Y1769">
        <f>IF($A2="","",SUMIF('07_Pallet_Contents'!$A$2:$A$3000,$A2,'07_Pallet_Contents'!$I$2:$I$3000))</f>
        <v/>
      </c>
      <c r="Z1769">
        <f>IF($A2="","",IF(COUNTIF('07_Pallet_Contents'!$A$2:$A$3000,$A2)&gt;0,"Yes",""))</f>
        <v/>
      </c>
    </row>
    <row r="1770">
      <c r="B1770" s="22" t="n"/>
      <c r="G1770" s="25" t="n"/>
      <c r="H1770" s="24">
        <f>IF(AND($F1770="TEMP",$G1770&gt;0,$M1770&lt;&gt;""),$M1770+$G1770,"")</f>
        <v/>
      </c>
      <c r="I1770" s="22" t="n"/>
      <c r="J1770" s="22" t="n"/>
      <c r="K1770" s="24" t="n"/>
      <c r="W1770">
        <f>IF($A2="","",COUNTIF('07_Pallet_Contents'!$A$2:$A$3000,$A2))</f>
        <v/>
      </c>
      <c r="X1770">
        <f>IF($A2="","",SUMIF('07_Pallet_Contents'!$A$2:$A$3000,$A2,'07_Pallet_Contents'!$D$2:$D$3000))</f>
        <v/>
      </c>
      <c r="Y1770">
        <f>IF($A2="","",SUMIF('07_Pallet_Contents'!$A$2:$A$3000,$A2,'07_Pallet_Contents'!$I$2:$I$3000))</f>
        <v/>
      </c>
      <c r="Z1770">
        <f>IF($A2="","",IF(COUNTIF('07_Pallet_Contents'!$A$2:$A$3000,$A2)&gt;0,"Yes",""))</f>
        <v/>
      </c>
    </row>
    <row r="1771">
      <c r="B1771" s="22" t="n"/>
      <c r="G1771" s="25" t="n"/>
      <c r="H1771" s="24">
        <f>IF(AND($F1771="TEMP",$G1771&gt;0,$M1771&lt;&gt;""),$M1771+$G1771,"")</f>
        <v/>
      </c>
      <c r="I1771" s="22" t="n"/>
      <c r="J1771" s="22" t="n"/>
      <c r="K1771" s="24" t="n"/>
      <c r="W1771">
        <f>IF($A2="","",COUNTIF('07_Pallet_Contents'!$A$2:$A$3000,$A2))</f>
        <v/>
      </c>
      <c r="X1771">
        <f>IF($A2="","",SUMIF('07_Pallet_Contents'!$A$2:$A$3000,$A2,'07_Pallet_Contents'!$D$2:$D$3000))</f>
        <v/>
      </c>
      <c r="Y1771">
        <f>IF($A2="","",SUMIF('07_Pallet_Contents'!$A$2:$A$3000,$A2,'07_Pallet_Contents'!$I$2:$I$3000))</f>
        <v/>
      </c>
      <c r="Z1771">
        <f>IF($A2="","",IF(COUNTIF('07_Pallet_Contents'!$A$2:$A$3000,$A2)&gt;0,"Yes",""))</f>
        <v/>
      </c>
    </row>
    <row r="1772">
      <c r="B1772" s="22" t="n"/>
      <c r="G1772" s="25" t="n"/>
      <c r="H1772" s="24">
        <f>IF(AND($F1772="TEMP",$G1772&gt;0,$M1772&lt;&gt;""),$M1772+$G1772,"")</f>
        <v/>
      </c>
      <c r="I1772" s="22" t="n"/>
      <c r="J1772" s="22" t="n"/>
      <c r="K1772" s="24" t="n"/>
      <c r="W1772">
        <f>IF($A2="","",COUNTIF('07_Pallet_Contents'!$A$2:$A$3000,$A2))</f>
        <v/>
      </c>
      <c r="X1772">
        <f>IF($A2="","",SUMIF('07_Pallet_Contents'!$A$2:$A$3000,$A2,'07_Pallet_Contents'!$D$2:$D$3000))</f>
        <v/>
      </c>
      <c r="Y1772">
        <f>IF($A2="","",SUMIF('07_Pallet_Contents'!$A$2:$A$3000,$A2,'07_Pallet_Contents'!$I$2:$I$3000))</f>
        <v/>
      </c>
      <c r="Z1772">
        <f>IF($A2="","",IF(COUNTIF('07_Pallet_Contents'!$A$2:$A$3000,$A2)&gt;0,"Yes",""))</f>
        <v/>
      </c>
    </row>
    <row r="1773">
      <c r="B1773" s="22" t="n"/>
      <c r="G1773" s="25" t="n"/>
      <c r="H1773" s="24">
        <f>IF(AND($F1773="TEMP",$G1773&gt;0,$M1773&lt;&gt;""),$M1773+$G1773,"")</f>
        <v/>
      </c>
      <c r="I1773" s="22" t="n"/>
      <c r="J1773" s="22" t="n"/>
      <c r="K1773" s="24" t="n"/>
      <c r="W1773">
        <f>IF($A2="","",COUNTIF('07_Pallet_Contents'!$A$2:$A$3000,$A2))</f>
        <v/>
      </c>
      <c r="X1773">
        <f>IF($A2="","",SUMIF('07_Pallet_Contents'!$A$2:$A$3000,$A2,'07_Pallet_Contents'!$D$2:$D$3000))</f>
        <v/>
      </c>
      <c r="Y1773">
        <f>IF($A2="","",SUMIF('07_Pallet_Contents'!$A$2:$A$3000,$A2,'07_Pallet_Contents'!$I$2:$I$3000))</f>
        <v/>
      </c>
      <c r="Z1773">
        <f>IF($A2="","",IF(COUNTIF('07_Pallet_Contents'!$A$2:$A$3000,$A2)&gt;0,"Yes",""))</f>
        <v/>
      </c>
    </row>
    <row r="1774">
      <c r="B1774" s="22" t="n"/>
      <c r="G1774" s="25" t="n"/>
      <c r="H1774" s="24">
        <f>IF(AND($F1774="TEMP",$G1774&gt;0,$M1774&lt;&gt;""),$M1774+$G1774,"")</f>
        <v/>
      </c>
      <c r="I1774" s="22" t="n"/>
      <c r="J1774" s="22" t="n"/>
      <c r="K1774" s="24" t="n"/>
      <c r="W1774">
        <f>IF($A2="","",COUNTIF('07_Pallet_Contents'!$A$2:$A$3000,$A2))</f>
        <v/>
      </c>
      <c r="X1774">
        <f>IF($A2="","",SUMIF('07_Pallet_Contents'!$A$2:$A$3000,$A2,'07_Pallet_Contents'!$D$2:$D$3000))</f>
        <v/>
      </c>
      <c r="Y1774">
        <f>IF($A2="","",SUMIF('07_Pallet_Contents'!$A$2:$A$3000,$A2,'07_Pallet_Contents'!$I$2:$I$3000))</f>
        <v/>
      </c>
      <c r="Z1774">
        <f>IF($A2="","",IF(COUNTIF('07_Pallet_Contents'!$A$2:$A$3000,$A2)&gt;0,"Yes",""))</f>
        <v/>
      </c>
    </row>
    <row r="1775">
      <c r="B1775" s="22" t="n"/>
      <c r="G1775" s="25" t="n"/>
      <c r="H1775" s="24">
        <f>IF(AND($F1775="TEMP",$G1775&gt;0,$M1775&lt;&gt;""),$M1775+$G1775,"")</f>
        <v/>
      </c>
      <c r="I1775" s="22" t="n"/>
      <c r="J1775" s="22" t="n"/>
      <c r="K1775" s="24" t="n"/>
      <c r="W1775">
        <f>IF($A2="","",COUNTIF('07_Pallet_Contents'!$A$2:$A$3000,$A2))</f>
        <v/>
      </c>
      <c r="X1775">
        <f>IF($A2="","",SUMIF('07_Pallet_Contents'!$A$2:$A$3000,$A2,'07_Pallet_Contents'!$D$2:$D$3000))</f>
        <v/>
      </c>
      <c r="Y1775">
        <f>IF($A2="","",SUMIF('07_Pallet_Contents'!$A$2:$A$3000,$A2,'07_Pallet_Contents'!$I$2:$I$3000))</f>
        <v/>
      </c>
      <c r="Z1775">
        <f>IF($A2="","",IF(COUNTIF('07_Pallet_Contents'!$A$2:$A$3000,$A2)&gt;0,"Yes",""))</f>
        <v/>
      </c>
    </row>
    <row r="1776">
      <c r="B1776" s="22" t="n"/>
      <c r="G1776" s="25" t="n"/>
      <c r="H1776" s="24">
        <f>IF(AND($F1776="TEMP",$G1776&gt;0,$M1776&lt;&gt;""),$M1776+$G1776,"")</f>
        <v/>
      </c>
      <c r="I1776" s="22" t="n"/>
      <c r="J1776" s="22" t="n"/>
      <c r="K1776" s="24" t="n"/>
      <c r="W1776">
        <f>IF($A2="","",COUNTIF('07_Pallet_Contents'!$A$2:$A$3000,$A2))</f>
        <v/>
      </c>
      <c r="X1776">
        <f>IF($A2="","",SUMIF('07_Pallet_Contents'!$A$2:$A$3000,$A2,'07_Pallet_Contents'!$D$2:$D$3000))</f>
        <v/>
      </c>
      <c r="Y1776">
        <f>IF($A2="","",SUMIF('07_Pallet_Contents'!$A$2:$A$3000,$A2,'07_Pallet_Contents'!$I$2:$I$3000))</f>
        <v/>
      </c>
      <c r="Z1776">
        <f>IF($A2="","",IF(COUNTIF('07_Pallet_Contents'!$A$2:$A$3000,$A2)&gt;0,"Yes",""))</f>
        <v/>
      </c>
    </row>
    <row r="1777">
      <c r="B1777" s="22" t="n"/>
      <c r="G1777" s="25" t="n"/>
      <c r="H1777" s="24">
        <f>IF(AND($F1777="TEMP",$G1777&gt;0,$M1777&lt;&gt;""),$M1777+$G1777,"")</f>
        <v/>
      </c>
      <c r="I1777" s="22" t="n"/>
      <c r="J1777" s="22" t="n"/>
      <c r="K1777" s="24" t="n"/>
      <c r="W1777">
        <f>IF($A2="","",COUNTIF('07_Pallet_Contents'!$A$2:$A$3000,$A2))</f>
        <v/>
      </c>
      <c r="X1777">
        <f>IF($A2="","",SUMIF('07_Pallet_Contents'!$A$2:$A$3000,$A2,'07_Pallet_Contents'!$D$2:$D$3000))</f>
        <v/>
      </c>
      <c r="Y1777">
        <f>IF($A2="","",SUMIF('07_Pallet_Contents'!$A$2:$A$3000,$A2,'07_Pallet_Contents'!$I$2:$I$3000))</f>
        <v/>
      </c>
      <c r="Z1777">
        <f>IF($A2="","",IF(COUNTIF('07_Pallet_Contents'!$A$2:$A$3000,$A2)&gt;0,"Yes",""))</f>
        <v/>
      </c>
    </row>
    <row r="1778">
      <c r="B1778" s="22" t="n"/>
      <c r="G1778" s="25" t="n"/>
      <c r="H1778" s="24">
        <f>IF(AND($F1778="TEMP",$G1778&gt;0,$M1778&lt;&gt;""),$M1778+$G1778,"")</f>
        <v/>
      </c>
      <c r="I1778" s="22" t="n"/>
      <c r="J1778" s="22" t="n"/>
      <c r="K1778" s="24" t="n"/>
      <c r="W1778">
        <f>IF($A2="","",COUNTIF('07_Pallet_Contents'!$A$2:$A$3000,$A2))</f>
        <v/>
      </c>
      <c r="X1778">
        <f>IF($A2="","",SUMIF('07_Pallet_Contents'!$A$2:$A$3000,$A2,'07_Pallet_Contents'!$D$2:$D$3000))</f>
        <v/>
      </c>
      <c r="Y1778">
        <f>IF($A2="","",SUMIF('07_Pallet_Contents'!$A$2:$A$3000,$A2,'07_Pallet_Contents'!$I$2:$I$3000))</f>
        <v/>
      </c>
      <c r="Z1778">
        <f>IF($A2="","",IF(COUNTIF('07_Pallet_Contents'!$A$2:$A$3000,$A2)&gt;0,"Yes",""))</f>
        <v/>
      </c>
    </row>
    <row r="1779">
      <c r="B1779" s="22" t="n"/>
      <c r="G1779" s="25" t="n"/>
      <c r="H1779" s="24">
        <f>IF(AND($F1779="TEMP",$G1779&gt;0,$M1779&lt;&gt;""),$M1779+$G1779,"")</f>
        <v/>
      </c>
      <c r="I1779" s="22" t="n"/>
      <c r="J1779" s="22" t="n"/>
      <c r="K1779" s="24" t="n"/>
      <c r="W1779">
        <f>IF($A2="","",COUNTIF('07_Pallet_Contents'!$A$2:$A$3000,$A2))</f>
        <v/>
      </c>
      <c r="X1779">
        <f>IF($A2="","",SUMIF('07_Pallet_Contents'!$A$2:$A$3000,$A2,'07_Pallet_Contents'!$D$2:$D$3000))</f>
        <v/>
      </c>
      <c r="Y1779">
        <f>IF($A2="","",SUMIF('07_Pallet_Contents'!$A$2:$A$3000,$A2,'07_Pallet_Contents'!$I$2:$I$3000))</f>
        <v/>
      </c>
      <c r="Z1779">
        <f>IF($A2="","",IF(COUNTIF('07_Pallet_Contents'!$A$2:$A$3000,$A2)&gt;0,"Yes",""))</f>
        <v/>
      </c>
    </row>
    <row r="1780">
      <c r="B1780" s="22" t="n"/>
      <c r="G1780" s="25" t="n"/>
      <c r="H1780" s="24">
        <f>IF(AND($F1780="TEMP",$G1780&gt;0,$M1780&lt;&gt;""),$M1780+$G1780,"")</f>
        <v/>
      </c>
      <c r="I1780" s="22" t="n"/>
      <c r="J1780" s="22" t="n"/>
      <c r="K1780" s="24" t="n"/>
      <c r="W1780">
        <f>IF($A2="","",COUNTIF('07_Pallet_Contents'!$A$2:$A$3000,$A2))</f>
        <v/>
      </c>
      <c r="X1780">
        <f>IF($A2="","",SUMIF('07_Pallet_Contents'!$A$2:$A$3000,$A2,'07_Pallet_Contents'!$D$2:$D$3000))</f>
        <v/>
      </c>
      <c r="Y1780">
        <f>IF($A2="","",SUMIF('07_Pallet_Contents'!$A$2:$A$3000,$A2,'07_Pallet_Contents'!$I$2:$I$3000))</f>
        <v/>
      </c>
      <c r="Z1780">
        <f>IF($A2="","",IF(COUNTIF('07_Pallet_Contents'!$A$2:$A$3000,$A2)&gt;0,"Yes",""))</f>
        <v/>
      </c>
    </row>
    <row r="1781">
      <c r="B1781" s="22" t="n"/>
      <c r="G1781" s="25" t="n"/>
      <c r="H1781" s="24">
        <f>IF(AND($F1781="TEMP",$G1781&gt;0,$M1781&lt;&gt;""),$M1781+$G1781,"")</f>
        <v/>
      </c>
      <c r="I1781" s="22" t="n"/>
      <c r="J1781" s="22" t="n"/>
      <c r="K1781" s="24" t="n"/>
      <c r="W1781">
        <f>IF($A2="","",COUNTIF('07_Pallet_Contents'!$A$2:$A$3000,$A2))</f>
        <v/>
      </c>
      <c r="X1781">
        <f>IF($A2="","",SUMIF('07_Pallet_Contents'!$A$2:$A$3000,$A2,'07_Pallet_Contents'!$D$2:$D$3000))</f>
        <v/>
      </c>
      <c r="Y1781">
        <f>IF($A2="","",SUMIF('07_Pallet_Contents'!$A$2:$A$3000,$A2,'07_Pallet_Contents'!$I$2:$I$3000))</f>
        <v/>
      </c>
      <c r="Z1781">
        <f>IF($A2="","",IF(COUNTIF('07_Pallet_Contents'!$A$2:$A$3000,$A2)&gt;0,"Yes",""))</f>
        <v/>
      </c>
    </row>
    <row r="1782">
      <c r="B1782" s="22" t="n"/>
      <c r="G1782" s="25" t="n"/>
      <c r="H1782" s="24">
        <f>IF(AND($F1782="TEMP",$G1782&gt;0,$M1782&lt;&gt;""),$M1782+$G1782,"")</f>
        <v/>
      </c>
      <c r="I1782" s="22" t="n"/>
      <c r="J1782" s="22" t="n"/>
      <c r="K1782" s="24" t="n"/>
      <c r="W1782">
        <f>IF($A2="","",COUNTIF('07_Pallet_Contents'!$A$2:$A$3000,$A2))</f>
        <v/>
      </c>
      <c r="X1782">
        <f>IF($A2="","",SUMIF('07_Pallet_Contents'!$A$2:$A$3000,$A2,'07_Pallet_Contents'!$D$2:$D$3000))</f>
        <v/>
      </c>
      <c r="Y1782">
        <f>IF($A2="","",SUMIF('07_Pallet_Contents'!$A$2:$A$3000,$A2,'07_Pallet_Contents'!$I$2:$I$3000))</f>
        <v/>
      </c>
      <c r="Z1782">
        <f>IF($A2="","",IF(COUNTIF('07_Pallet_Contents'!$A$2:$A$3000,$A2)&gt;0,"Yes",""))</f>
        <v/>
      </c>
    </row>
    <row r="1783">
      <c r="B1783" s="22" t="n"/>
      <c r="G1783" s="25" t="n"/>
      <c r="H1783" s="24">
        <f>IF(AND($F1783="TEMP",$G1783&gt;0,$M1783&lt;&gt;""),$M1783+$G1783,"")</f>
        <v/>
      </c>
      <c r="I1783" s="22" t="n"/>
      <c r="J1783" s="22" t="n"/>
      <c r="K1783" s="24" t="n"/>
      <c r="W1783">
        <f>IF($A2="","",COUNTIF('07_Pallet_Contents'!$A$2:$A$3000,$A2))</f>
        <v/>
      </c>
      <c r="X1783">
        <f>IF($A2="","",SUMIF('07_Pallet_Contents'!$A$2:$A$3000,$A2,'07_Pallet_Contents'!$D$2:$D$3000))</f>
        <v/>
      </c>
      <c r="Y1783">
        <f>IF($A2="","",SUMIF('07_Pallet_Contents'!$A$2:$A$3000,$A2,'07_Pallet_Contents'!$I$2:$I$3000))</f>
        <v/>
      </c>
      <c r="Z1783">
        <f>IF($A2="","",IF(COUNTIF('07_Pallet_Contents'!$A$2:$A$3000,$A2)&gt;0,"Yes",""))</f>
        <v/>
      </c>
    </row>
    <row r="1784">
      <c r="B1784" s="22" t="n"/>
      <c r="G1784" s="25" t="n"/>
      <c r="H1784" s="24">
        <f>IF(AND($F1784="TEMP",$G1784&gt;0,$M1784&lt;&gt;""),$M1784+$G1784,"")</f>
        <v/>
      </c>
      <c r="I1784" s="22" t="n"/>
      <c r="J1784" s="22" t="n"/>
      <c r="K1784" s="24" t="n"/>
      <c r="W1784">
        <f>IF($A2="","",COUNTIF('07_Pallet_Contents'!$A$2:$A$3000,$A2))</f>
        <v/>
      </c>
      <c r="X1784">
        <f>IF($A2="","",SUMIF('07_Pallet_Contents'!$A$2:$A$3000,$A2,'07_Pallet_Contents'!$D$2:$D$3000))</f>
        <v/>
      </c>
      <c r="Y1784">
        <f>IF($A2="","",SUMIF('07_Pallet_Contents'!$A$2:$A$3000,$A2,'07_Pallet_Contents'!$I$2:$I$3000))</f>
        <v/>
      </c>
      <c r="Z1784">
        <f>IF($A2="","",IF(COUNTIF('07_Pallet_Contents'!$A$2:$A$3000,$A2)&gt;0,"Yes",""))</f>
        <v/>
      </c>
    </row>
    <row r="1785">
      <c r="B1785" s="22" t="n"/>
      <c r="G1785" s="25" t="n"/>
      <c r="H1785" s="24">
        <f>IF(AND($F1785="TEMP",$G1785&gt;0,$M1785&lt;&gt;""),$M1785+$G1785,"")</f>
        <v/>
      </c>
      <c r="I1785" s="22" t="n"/>
      <c r="J1785" s="22" t="n"/>
      <c r="K1785" s="24" t="n"/>
      <c r="W1785">
        <f>IF($A2="","",COUNTIF('07_Pallet_Contents'!$A$2:$A$3000,$A2))</f>
        <v/>
      </c>
      <c r="X1785">
        <f>IF($A2="","",SUMIF('07_Pallet_Contents'!$A$2:$A$3000,$A2,'07_Pallet_Contents'!$D$2:$D$3000))</f>
        <v/>
      </c>
      <c r="Y1785">
        <f>IF($A2="","",SUMIF('07_Pallet_Contents'!$A$2:$A$3000,$A2,'07_Pallet_Contents'!$I$2:$I$3000))</f>
        <v/>
      </c>
      <c r="Z1785">
        <f>IF($A2="","",IF(COUNTIF('07_Pallet_Contents'!$A$2:$A$3000,$A2)&gt;0,"Yes",""))</f>
        <v/>
      </c>
    </row>
    <row r="1786">
      <c r="B1786" s="22" t="n"/>
      <c r="G1786" s="25" t="n"/>
      <c r="H1786" s="24">
        <f>IF(AND($F1786="TEMP",$G1786&gt;0,$M1786&lt;&gt;""),$M1786+$G1786,"")</f>
        <v/>
      </c>
      <c r="I1786" s="22" t="n"/>
      <c r="J1786" s="22" t="n"/>
      <c r="K1786" s="24" t="n"/>
      <c r="W1786">
        <f>IF($A2="","",COUNTIF('07_Pallet_Contents'!$A$2:$A$3000,$A2))</f>
        <v/>
      </c>
      <c r="X1786">
        <f>IF($A2="","",SUMIF('07_Pallet_Contents'!$A$2:$A$3000,$A2,'07_Pallet_Contents'!$D$2:$D$3000))</f>
        <v/>
      </c>
      <c r="Y1786">
        <f>IF($A2="","",SUMIF('07_Pallet_Contents'!$A$2:$A$3000,$A2,'07_Pallet_Contents'!$I$2:$I$3000))</f>
        <v/>
      </c>
      <c r="Z1786">
        <f>IF($A2="","",IF(COUNTIF('07_Pallet_Contents'!$A$2:$A$3000,$A2)&gt;0,"Yes",""))</f>
        <v/>
      </c>
    </row>
    <row r="1787">
      <c r="B1787" s="22" t="n"/>
      <c r="G1787" s="25" t="n"/>
      <c r="H1787" s="24">
        <f>IF(AND($F1787="TEMP",$G1787&gt;0,$M1787&lt;&gt;""),$M1787+$G1787,"")</f>
        <v/>
      </c>
      <c r="I1787" s="22" t="n"/>
      <c r="J1787" s="22" t="n"/>
      <c r="K1787" s="24" t="n"/>
      <c r="W1787">
        <f>IF($A2="","",COUNTIF('07_Pallet_Contents'!$A$2:$A$3000,$A2))</f>
        <v/>
      </c>
      <c r="X1787">
        <f>IF($A2="","",SUMIF('07_Pallet_Contents'!$A$2:$A$3000,$A2,'07_Pallet_Contents'!$D$2:$D$3000))</f>
        <v/>
      </c>
      <c r="Y1787">
        <f>IF($A2="","",SUMIF('07_Pallet_Contents'!$A$2:$A$3000,$A2,'07_Pallet_Contents'!$I$2:$I$3000))</f>
        <v/>
      </c>
      <c r="Z1787">
        <f>IF($A2="","",IF(COUNTIF('07_Pallet_Contents'!$A$2:$A$3000,$A2)&gt;0,"Yes",""))</f>
        <v/>
      </c>
    </row>
    <row r="1788">
      <c r="B1788" s="22" t="n"/>
      <c r="G1788" s="25" t="n"/>
      <c r="H1788" s="24">
        <f>IF(AND($F1788="TEMP",$G1788&gt;0,$M1788&lt;&gt;""),$M1788+$G1788,"")</f>
        <v/>
      </c>
      <c r="I1788" s="22" t="n"/>
      <c r="J1788" s="22" t="n"/>
      <c r="K1788" s="24" t="n"/>
      <c r="W1788">
        <f>IF($A2="","",COUNTIF('07_Pallet_Contents'!$A$2:$A$3000,$A2))</f>
        <v/>
      </c>
      <c r="X1788">
        <f>IF($A2="","",SUMIF('07_Pallet_Contents'!$A$2:$A$3000,$A2,'07_Pallet_Contents'!$D$2:$D$3000))</f>
        <v/>
      </c>
      <c r="Y1788">
        <f>IF($A2="","",SUMIF('07_Pallet_Contents'!$A$2:$A$3000,$A2,'07_Pallet_Contents'!$I$2:$I$3000))</f>
        <v/>
      </c>
      <c r="Z1788">
        <f>IF($A2="","",IF(COUNTIF('07_Pallet_Contents'!$A$2:$A$3000,$A2)&gt;0,"Yes",""))</f>
        <v/>
      </c>
    </row>
    <row r="1789">
      <c r="B1789" s="22" t="n"/>
      <c r="G1789" s="25" t="n"/>
      <c r="H1789" s="24">
        <f>IF(AND($F1789="TEMP",$G1789&gt;0,$M1789&lt;&gt;""),$M1789+$G1789,"")</f>
        <v/>
      </c>
      <c r="I1789" s="22" t="n"/>
      <c r="J1789" s="22" t="n"/>
      <c r="K1789" s="24" t="n"/>
      <c r="W1789">
        <f>IF($A2="","",COUNTIF('07_Pallet_Contents'!$A$2:$A$3000,$A2))</f>
        <v/>
      </c>
      <c r="X1789">
        <f>IF($A2="","",SUMIF('07_Pallet_Contents'!$A$2:$A$3000,$A2,'07_Pallet_Contents'!$D$2:$D$3000))</f>
        <v/>
      </c>
      <c r="Y1789">
        <f>IF($A2="","",SUMIF('07_Pallet_Contents'!$A$2:$A$3000,$A2,'07_Pallet_Contents'!$I$2:$I$3000))</f>
        <v/>
      </c>
      <c r="Z1789">
        <f>IF($A2="","",IF(COUNTIF('07_Pallet_Contents'!$A$2:$A$3000,$A2)&gt;0,"Yes",""))</f>
        <v/>
      </c>
    </row>
    <row r="1790">
      <c r="B1790" s="22" t="n"/>
      <c r="G1790" s="25" t="n"/>
      <c r="H1790" s="24">
        <f>IF(AND($F1790="TEMP",$G1790&gt;0,$M1790&lt;&gt;""),$M1790+$G1790,"")</f>
        <v/>
      </c>
      <c r="I1790" s="22" t="n"/>
      <c r="J1790" s="22" t="n"/>
      <c r="K1790" s="24" t="n"/>
      <c r="W1790">
        <f>IF($A2="","",COUNTIF('07_Pallet_Contents'!$A$2:$A$3000,$A2))</f>
        <v/>
      </c>
      <c r="X1790">
        <f>IF($A2="","",SUMIF('07_Pallet_Contents'!$A$2:$A$3000,$A2,'07_Pallet_Contents'!$D$2:$D$3000))</f>
        <v/>
      </c>
      <c r="Y1790">
        <f>IF($A2="","",SUMIF('07_Pallet_Contents'!$A$2:$A$3000,$A2,'07_Pallet_Contents'!$I$2:$I$3000))</f>
        <v/>
      </c>
      <c r="Z1790">
        <f>IF($A2="","",IF(COUNTIF('07_Pallet_Contents'!$A$2:$A$3000,$A2)&gt;0,"Yes",""))</f>
        <v/>
      </c>
    </row>
    <row r="1791">
      <c r="B1791" s="22" t="n"/>
      <c r="G1791" s="25" t="n"/>
      <c r="H1791" s="24">
        <f>IF(AND($F1791="TEMP",$G1791&gt;0,$M1791&lt;&gt;""),$M1791+$G1791,"")</f>
        <v/>
      </c>
      <c r="I1791" s="22" t="n"/>
      <c r="J1791" s="22" t="n"/>
      <c r="K1791" s="24" t="n"/>
      <c r="W1791">
        <f>IF($A2="","",COUNTIF('07_Pallet_Contents'!$A$2:$A$3000,$A2))</f>
        <v/>
      </c>
      <c r="X1791">
        <f>IF($A2="","",SUMIF('07_Pallet_Contents'!$A$2:$A$3000,$A2,'07_Pallet_Contents'!$D$2:$D$3000))</f>
        <v/>
      </c>
      <c r="Y1791">
        <f>IF($A2="","",SUMIF('07_Pallet_Contents'!$A$2:$A$3000,$A2,'07_Pallet_Contents'!$I$2:$I$3000))</f>
        <v/>
      </c>
      <c r="Z1791">
        <f>IF($A2="","",IF(COUNTIF('07_Pallet_Contents'!$A$2:$A$3000,$A2)&gt;0,"Yes",""))</f>
        <v/>
      </c>
    </row>
    <row r="1792">
      <c r="B1792" s="22" t="n"/>
      <c r="G1792" s="25" t="n"/>
      <c r="H1792" s="24">
        <f>IF(AND($F1792="TEMP",$G1792&gt;0,$M1792&lt;&gt;""),$M1792+$G1792,"")</f>
        <v/>
      </c>
      <c r="I1792" s="22" t="n"/>
      <c r="J1792" s="22" t="n"/>
      <c r="K1792" s="24" t="n"/>
      <c r="W1792">
        <f>IF($A2="","",COUNTIF('07_Pallet_Contents'!$A$2:$A$3000,$A2))</f>
        <v/>
      </c>
      <c r="X1792">
        <f>IF($A2="","",SUMIF('07_Pallet_Contents'!$A$2:$A$3000,$A2,'07_Pallet_Contents'!$D$2:$D$3000))</f>
        <v/>
      </c>
      <c r="Y1792">
        <f>IF($A2="","",SUMIF('07_Pallet_Contents'!$A$2:$A$3000,$A2,'07_Pallet_Contents'!$I$2:$I$3000))</f>
        <v/>
      </c>
      <c r="Z1792">
        <f>IF($A2="","",IF(COUNTIF('07_Pallet_Contents'!$A$2:$A$3000,$A2)&gt;0,"Yes",""))</f>
        <v/>
      </c>
    </row>
    <row r="1793">
      <c r="B1793" s="22" t="n"/>
      <c r="G1793" s="25" t="n"/>
      <c r="H1793" s="24">
        <f>IF(AND($F1793="TEMP",$G1793&gt;0,$M1793&lt;&gt;""),$M1793+$G1793,"")</f>
        <v/>
      </c>
      <c r="I1793" s="22" t="n"/>
      <c r="J1793" s="22" t="n"/>
      <c r="K1793" s="24" t="n"/>
      <c r="W1793">
        <f>IF($A2="","",COUNTIF('07_Pallet_Contents'!$A$2:$A$3000,$A2))</f>
        <v/>
      </c>
      <c r="X1793">
        <f>IF($A2="","",SUMIF('07_Pallet_Contents'!$A$2:$A$3000,$A2,'07_Pallet_Contents'!$D$2:$D$3000))</f>
        <v/>
      </c>
      <c r="Y1793">
        <f>IF($A2="","",SUMIF('07_Pallet_Contents'!$A$2:$A$3000,$A2,'07_Pallet_Contents'!$I$2:$I$3000))</f>
        <v/>
      </c>
      <c r="Z1793">
        <f>IF($A2="","",IF(COUNTIF('07_Pallet_Contents'!$A$2:$A$3000,$A2)&gt;0,"Yes",""))</f>
        <v/>
      </c>
    </row>
    <row r="1794">
      <c r="B1794" s="22" t="n"/>
      <c r="G1794" s="25" t="n"/>
      <c r="H1794" s="24">
        <f>IF(AND($F1794="TEMP",$G1794&gt;0,$M1794&lt;&gt;""),$M1794+$G1794,"")</f>
        <v/>
      </c>
      <c r="I1794" s="22" t="n"/>
      <c r="J1794" s="22" t="n"/>
      <c r="K1794" s="24" t="n"/>
      <c r="W1794">
        <f>IF($A2="","",COUNTIF('07_Pallet_Contents'!$A$2:$A$3000,$A2))</f>
        <v/>
      </c>
      <c r="X1794">
        <f>IF($A2="","",SUMIF('07_Pallet_Contents'!$A$2:$A$3000,$A2,'07_Pallet_Contents'!$D$2:$D$3000))</f>
        <v/>
      </c>
      <c r="Y1794">
        <f>IF($A2="","",SUMIF('07_Pallet_Contents'!$A$2:$A$3000,$A2,'07_Pallet_Contents'!$I$2:$I$3000))</f>
        <v/>
      </c>
      <c r="Z1794">
        <f>IF($A2="","",IF(COUNTIF('07_Pallet_Contents'!$A$2:$A$3000,$A2)&gt;0,"Yes",""))</f>
        <v/>
      </c>
    </row>
    <row r="1795">
      <c r="B1795" s="22" t="n"/>
      <c r="G1795" s="25" t="n"/>
      <c r="H1795" s="24">
        <f>IF(AND($F1795="TEMP",$G1795&gt;0,$M1795&lt;&gt;""),$M1795+$G1795,"")</f>
        <v/>
      </c>
      <c r="I1795" s="22" t="n"/>
      <c r="J1795" s="22" t="n"/>
      <c r="K1795" s="24" t="n"/>
      <c r="W1795">
        <f>IF($A2="","",COUNTIF('07_Pallet_Contents'!$A$2:$A$3000,$A2))</f>
        <v/>
      </c>
      <c r="X1795">
        <f>IF($A2="","",SUMIF('07_Pallet_Contents'!$A$2:$A$3000,$A2,'07_Pallet_Contents'!$D$2:$D$3000))</f>
        <v/>
      </c>
      <c r="Y1795">
        <f>IF($A2="","",SUMIF('07_Pallet_Contents'!$A$2:$A$3000,$A2,'07_Pallet_Contents'!$I$2:$I$3000))</f>
        <v/>
      </c>
      <c r="Z1795">
        <f>IF($A2="","",IF(COUNTIF('07_Pallet_Contents'!$A$2:$A$3000,$A2)&gt;0,"Yes",""))</f>
        <v/>
      </c>
    </row>
    <row r="1796">
      <c r="B1796" s="22" t="n"/>
      <c r="G1796" s="25" t="n"/>
      <c r="H1796" s="24">
        <f>IF(AND($F1796="TEMP",$G1796&gt;0,$M1796&lt;&gt;""),$M1796+$G1796,"")</f>
        <v/>
      </c>
      <c r="I1796" s="22" t="n"/>
      <c r="J1796" s="22" t="n"/>
      <c r="K1796" s="24" t="n"/>
      <c r="W1796">
        <f>IF($A2="","",COUNTIF('07_Pallet_Contents'!$A$2:$A$3000,$A2))</f>
        <v/>
      </c>
      <c r="X1796">
        <f>IF($A2="","",SUMIF('07_Pallet_Contents'!$A$2:$A$3000,$A2,'07_Pallet_Contents'!$D$2:$D$3000))</f>
        <v/>
      </c>
      <c r="Y1796">
        <f>IF($A2="","",SUMIF('07_Pallet_Contents'!$A$2:$A$3000,$A2,'07_Pallet_Contents'!$I$2:$I$3000))</f>
        <v/>
      </c>
      <c r="Z1796">
        <f>IF($A2="","",IF(COUNTIF('07_Pallet_Contents'!$A$2:$A$3000,$A2)&gt;0,"Yes",""))</f>
        <v/>
      </c>
    </row>
    <row r="1797">
      <c r="B1797" s="22" t="n"/>
      <c r="G1797" s="25" t="n"/>
      <c r="H1797" s="24">
        <f>IF(AND($F1797="TEMP",$G1797&gt;0,$M1797&lt;&gt;""),$M1797+$G1797,"")</f>
        <v/>
      </c>
      <c r="I1797" s="22" t="n"/>
      <c r="J1797" s="22" t="n"/>
      <c r="K1797" s="24" t="n"/>
      <c r="W1797">
        <f>IF($A2="","",COUNTIF('07_Pallet_Contents'!$A$2:$A$3000,$A2))</f>
        <v/>
      </c>
      <c r="X1797">
        <f>IF($A2="","",SUMIF('07_Pallet_Contents'!$A$2:$A$3000,$A2,'07_Pallet_Contents'!$D$2:$D$3000))</f>
        <v/>
      </c>
      <c r="Y1797">
        <f>IF($A2="","",SUMIF('07_Pallet_Contents'!$A$2:$A$3000,$A2,'07_Pallet_Contents'!$I$2:$I$3000))</f>
        <v/>
      </c>
      <c r="Z1797">
        <f>IF($A2="","",IF(COUNTIF('07_Pallet_Contents'!$A$2:$A$3000,$A2)&gt;0,"Yes",""))</f>
        <v/>
      </c>
    </row>
    <row r="1798">
      <c r="B1798" s="22" t="n"/>
      <c r="G1798" s="25" t="n"/>
      <c r="H1798" s="24">
        <f>IF(AND($F1798="TEMP",$G1798&gt;0,$M1798&lt;&gt;""),$M1798+$G1798,"")</f>
        <v/>
      </c>
      <c r="I1798" s="22" t="n"/>
      <c r="J1798" s="22" t="n"/>
      <c r="K1798" s="24" t="n"/>
      <c r="W1798">
        <f>IF($A2="","",COUNTIF('07_Pallet_Contents'!$A$2:$A$3000,$A2))</f>
        <v/>
      </c>
      <c r="X1798">
        <f>IF($A2="","",SUMIF('07_Pallet_Contents'!$A$2:$A$3000,$A2,'07_Pallet_Contents'!$D$2:$D$3000))</f>
        <v/>
      </c>
      <c r="Y1798">
        <f>IF($A2="","",SUMIF('07_Pallet_Contents'!$A$2:$A$3000,$A2,'07_Pallet_Contents'!$I$2:$I$3000))</f>
        <v/>
      </c>
      <c r="Z1798">
        <f>IF($A2="","",IF(COUNTIF('07_Pallet_Contents'!$A$2:$A$3000,$A2)&gt;0,"Yes",""))</f>
        <v/>
      </c>
    </row>
    <row r="1799">
      <c r="B1799" s="22" t="n"/>
      <c r="G1799" s="25" t="n"/>
      <c r="H1799" s="24">
        <f>IF(AND($F1799="TEMP",$G1799&gt;0,$M1799&lt;&gt;""),$M1799+$G1799,"")</f>
        <v/>
      </c>
      <c r="I1799" s="22" t="n"/>
      <c r="J1799" s="22" t="n"/>
      <c r="K1799" s="24" t="n"/>
      <c r="W1799">
        <f>IF($A2="","",COUNTIF('07_Pallet_Contents'!$A$2:$A$3000,$A2))</f>
        <v/>
      </c>
      <c r="X1799">
        <f>IF($A2="","",SUMIF('07_Pallet_Contents'!$A$2:$A$3000,$A2,'07_Pallet_Contents'!$D$2:$D$3000))</f>
        <v/>
      </c>
      <c r="Y1799">
        <f>IF($A2="","",SUMIF('07_Pallet_Contents'!$A$2:$A$3000,$A2,'07_Pallet_Contents'!$I$2:$I$3000))</f>
        <v/>
      </c>
      <c r="Z1799">
        <f>IF($A2="","",IF(COUNTIF('07_Pallet_Contents'!$A$2:$A$3000,$A2)&gt;0,"Yes",""))</f>
        <v/>
      </c>
    </row>
    <row r="1800">
      <c r="B1800" s="22" t="n"/>
      <c r="G1800" s="25" t="n"/>
      <c r="H1800" s="24">
        <f>IF(AND($F1800="TEMP",$G1800&gt;0,$M1800&lt;&gt;""),$M1800+$G1800,"")</f>
        <v/>
      </c>
      <c r="I1800" s="22" t="n"/>
      <c r="J1800" s="22" t="n"/>
      <c r="K1800" s="24" t="n"/>
      <c r="W1800">
        <f>IF($A2="","",COUNTIF('07_Pallet_Contents'!$A$2:$A$3000,$A2))</f>
        <v/>
      </c>
      <c r="X1800">
        <f>IF($A2="","",SUMIF('07_Pallet_Contents'!$A$2:$A$3000,$A2,'07_Pallet_Contents'!$D$2:$D$3000))</f>
        <v/>
      </c>
      <c r="Y1800">
        <f>IF($A2="","",SUMIF('07_Pallet_Contents'!$A$2:$A$3000,$A2,'07_Pallet_Contents'!$I$2:$I$3000))</f>
        <v/>
      </c>
      <c r="Z1800">
        <f>IF($A2="","",IF(COUNTIF('07_Pallet_Contents'!$A$2:$A$3000,$A2)&gt;0,"Yes",""))</f>
        <v/>
      </c>
    </row>
    <row r="1801">
      <c r="B1801" s="22" t="n"/>
      <c r="G1801" s="25" t="n"/>
      <c r="H1801" s="24">
        <f>IF(AND($F1801="TEMP",$G1801&gt;0,$M1801&lt;&gt;""),$M1801+$G1801,"")</f>
        <v/>
      </c>
      <c r="I1801" s="22" t="n"/>
      <c r="J1801" s="22" t="n"/>
      <c r="K1801" s="24" t="n"/>
      <c r="W1801">
        <f>IF($A2="","",COUNTIF('07_Pallet_Contents'!$A$2:$A$3000,$A2))</f>
        <v/>
      </c>
      <c r="X1801">
        <f>IF($A2="","",SUMIF('07_Pallet_Contents'!$A$2:$A$3000,$A2,'07_Pallet_Contents'!$D$2:$D$3000))</f>
        <v/>
      </c>
      <c r="Y1801">
        <f>IF($A2="","",SUMIF('07_Pallet_Contents'!$A$2:$A$3000,$A2,'07_Pallet_Contents'!$I$2:$I$3000))</f>
        <v/>
      </c>
      <c r="Z1801">
        <f>IF($A2="","",IF(COUNTIF('07_Pallet_Contents'!$A$2:$A$3000,$A2)&gt;0,"Yes",""))</f>
        <v/>
      </c>
    </row>
    <row r="1802">
      <c r="B1802" s="22" t="n"/>
      <c r="G1802" s="25" t="n"/>
      <c r="H1802" s="24">
        <f>IF(AND($F1802="TEMP",$G1802&gt;0,$M1802&lt;&gt;""),$M1802+$G1802,"")</f>
        <v/>
      </c>
      <c r="I1802" s="22" t="n"/>
      <c r="J1802" s="22" t="n"/>
      <c r="K1802" s="24" t="n"/>
      <c r="W1802">
        <f>IF($A2="","",COUNTIF('07_Pallet_Contents'!$A$2:$A$3000,$A2))</f>
        <v/>
      </c>
      <c r="X1802">
        <f>IF($A2="","",SUMIF('07_Pallet_Contents'!$A$2:$A$3000,$A2,'07_Pallet_Contents'!$D$2:$D$3000))</f>
        <v/>
      </c>
      <c r="Y1802">
        <f>IF($A2="","",SUMIF('07_Pallet_Contents'!$A$2:$A$3000,$A2,'07_Pallet_Contents'!$I$2:$I$3000))</f>
        <v/>
      </c>
      <c r="Z1802">
        <f>IF($A2="","",IF(COUNTIF('07_Pallet_Contents'!$A$2:$A$3000,$A2)&gt;0,"Yes",""))</f>
        <v/>
      </c>
    </row>
    <row r="1803">
      <c r="B1803" s="22" t="n"/>
      <c r="G1803" s="25" t="n"/>
      <c r="H1803" s="24">
        <f>IF(AND($F1803="TEMP",$G1803&gt;0,$M1803&lt;&gt;""),$M1803+$G1803,"")</f>
        <v/>
      </c>
      <c r="I1803" s="22" t="n"/>
      <c r="J1803" s="22" t="n"/>
      <c r="K1803" s="24" t="n"/>
      <c r="W1803">
        <f>IF($A2="","",COUNTIF('07_Pallet_Contents'!$A$2:$A$3000,$A2))</f>
        <v/>
      </c>
      <c r="X1803">
        <f>IF($A2="","",SUMIF('07_Pallet_Contents'!$A$2:$A$3000,$A2,'07_Pallet_Contents'!$D$2:$D$3000))</f>
        <v/>
      </c>
      <c r="Y1803">
        <f>IF($A2="","",SUMIF('07_Pallet_Contents'!$A$2:$A$3000,$A2,'07_Pallet_Contents'!$I$2:$I$3000))</f>
        <v/>
      </c>
      <c r="Z1803">
        <f>IF($A2="","",IF(COUNTIF('07_Pallet_Contents'!$A$2:$A$3000,$A2)&gt;0,"Yes",""))</f>
        <v/>
      </c>
    </row>
    <row r="1804">
      <c r="B1804" s="22" t="n"/>
      <c r="G1804" s="25" t="n"/>
      <c r="H1804" s="24">
        <f>IF(AND($F1804="TEMP",$G1804&gt;0,$M1804&lt;&gt;""),$M1804+$G1804,"")</f>
        <v/>
      </c>
      <c r="I1804" s="22" t="n"/>
      <c r="J1804" s="22" t="n"/>
      <c r="K1804" s="24" t="n"/>
      <c r="W1804">
        <f>IF($A2="","",COUNTIF('07_Pallet_Contents'!$A$2:$A$3000,$A2))</f>
        <v/>
      </c>
      <c r="X1804">
        <f>IF($A2="","",SUMIF('07_Pallet_Contents'!$A$2:$A$3000,$A2,'07_Pallet_Contents'!$D$2:$D$3000))</f>
        <v/>
      </c>
      <c r="Y1804">
        <f>IF($A2="","",SUMIF('07_Pallet_Contents'!$A$2:$A$3000,$A2,'07_Pallet_Contents'!$I$2:$I$3000))</f>
        <v/>
      </c>
      <c r="Z1804">
        <f>IF($A2="","",IF(COUNTIF('07_Pallet_Contents'!$A$2:$A$3000,$A2)&gt;0,"Yes",""))</f>
        <v/>
      </c>
    </row>
    <row r="1805">
      <c r="B1805" s="22" t="n"/>
      <c r="G1805" s="25" t="n"/>
      <c r="H1805" s="24">
        <f>IF(AND($F1805="TEMP",$G1805&gt;0,$M1805&lt;&gt;""),$M1805+$G1805,"")</f>
        <v/>
      </c>
      <c r="I1805" s="22" t="n"/>
      <c r="J1805" s="22" t="n"/>
      <c r="K1805" s="24" t="n"/>
      <c r="W1805">
        <f>IF($A2="","",COUNTIF('07_Pallet_Contents'!$A$2:$A$3000,$A2))</f>
        <v/>
      </c>
      <c r="X1805">
        <f>IF($A2="","",SUMIF('07_Pallet_Contents'!$A$2:$A$3000,$A2,'07_Pallet_Contents'!$D$2:$D$3000))</f>
        <v/>
      </c>
      <c r="Y1805">
        <f>IF($A2="","",SUMIF('07_Pallet_Contents'!$A$2:$A$3000,$A2,'07_Pallet_Contents'!$I$2:$I$3000))</f>
        <v/>
      </c>
      <c r="Z1805">
        <f>IF($A2="","",IF(COUNTIF('07_Pallet_Contents'!$A$2:$A$3000,$A2)&gt;0,"Yes",""))</f>
        <v/>
      </c>
    </row>
    <row r="1806">
      <c r="B1806" s="22" t="n"/>
      <c r="G1806" s="25" t="n"/>
      <c r="H1806" s="24">
        <f>IF(AND($F1806="TEMP",$G1806&gt;0,$M1806&lt;&gt;""),$M1806+$G1806,"")</f>
        <v/>
      </c>
      <c r="I1806" s="22" t="n"/>
      <c r="J1806" s="22" t="n"/>
      <c r="K1806" s="24" t="n"/>
      <c r="W1806">
        <f>IF($A2="","",COUNTIF('07_Pallet_Contents'!$A$2:$A$3000,$A2))</f>
        <v/>
      </c>
      <c r="X1806">
        <f>IF($A2="","",SUMIF('07_Pallet_Contents'!$A$2:$A$3000,$A2,'07_Pallet_Contents'!$D$2:$D$3000))</f>
        <v/>
      </c>
      <c r="Y1806">
        <f>IF($A2="","",SUMIF('07_Pallet_Contents'!$A$2:$A$3000,$A2,'07_Pallet_Contents'!$I$2:$I$3000))</f>
        <v/>
      </c>
      <c r="Z1806">
        <f>IF($A2="","",IF(COUNTIF('07_Pallet_Contents'!$A$2:$A$3000,$A2)&gt;0,"Yes",""))</f>
        <v/>
      </c>
    </row>
    <row r="1807">
      <c r="B1807" s="22" t="n"/>
      <c r="G1807" s="25" t="n"/>
      <c r="H1807" s="24">
        <f>IF(AND($F1807="TEMP",$G1807&gt;0,$M1807&lt;&gt;""),$M1807+$G1807,"")</f>
        <v/>
      </c>
      <c r="I1807" s="22" t="n"/>
      <c r="J1807" s="22" t="n"/>
      <c r="K1807" s="24" t="n"/>
      <c r="W1807">
        <f>IF($A2="","",COUNTIF('07_Pallet_Contents'!$A$2:$A$3000,$A2))</f>
        <v/>
      </c>
      <c r="X1807">
        <f>IF($A2="","",SUMIF('07_Pallet_Contents'!$A$2:$A$3000,$A2,'07_Pallet_Contents'!$D$2:$D$3000))</f>
        <v/>
      </c>
      <c r="Y1807">
        <f>IF($A2="","",SUMIF('07_Pallet_Contents'!$A$2:$A$3000,$A2,'07_Pallet_Contents'!$I$2:$I$3000))</f>
        <v/>
      </c>
      <c r="Z1807">
        <f>IF($A2="","",IF(COUNTIF('07_Pallet_Contents'!$A$2:$A$3000,$A2)&gt;0,"Yes",""))</f>
        <v/>
      </c>
    </row>
    <row r="1808">
      <c r="B1808" s="22" t="n"/>
      <c r="G1808" s="25" t="n"/>
      <c r="H1808" s="24">
        <f>IF(AND($F1808="TEMP",$G1808&gt;0,$M1808&lt;&gt;""),$M1808+$G1808,"")</f>
        <v/>
      </c>
      <c r="I1808" s="22" t="n"/>
      <c r="J1808" s="22" t="n"/>
      <c r="K1808" s="24" t="n"/>
      <c r="W1808">
        <f>IF($A2="","",COUNTIF('07_Pallet_Contents'!$A$2:$A$3000,$A2))</f>
        <v/>
      </c>
      <c r="X1808">
        <f>IF($A2="","",SUMIF('07_Pallet_Contents'!$A$2:$A$3000,$A2,'07_Pallet_Contents'!$D$2:$D$3000))</f>
        <v/>
      </c>
      <c r="Y1808">
        <f>IF($A2="","",SUMIF('07_Pallet_Contents'!$A$2:$A$3000,$A2,'07_Pallet_Contents'!$I$2:$I$3000))</f>
        <v/>
      </c>
      <c r="Z1808">
        <f>IF($A2="","",IF(COUNTIF('07_Pallet_Contents'!$A$2:$A$3000,$A2)&gt;0,"Yes",""))</f>
        <v/>
      </c>
    </row>
    <row r="1809">
      <c r="B1809" s="22" t="n"/>
      <c r="G1809" s="25" t="n"/>
      <c r="H1809" s="24">
        <f>IF(AND($F1809="TEMP",$G1809&gt;0,$M1809&lt;&gt;""),$M1809+$G1809,"")</f>
        <v/>
      </c>
      <c r="I1809" s="22" t="n"/>
      <c r="J1809" s="22" t="n"/>
      <c r="K1809" s="24" t="n"/>
      <c r="W1809">
        <f>IF($A2="","",COUNTIF('07_Pallet_Contents'!$A$2:$A$3000,$A2))</f>
        <v/>
      </c>
      <c r="X1809">
        <f>IF($A2="","",SUMIF('07_Pallet_Contents'!$A$2:$A$3000,$A2,'07_Pallet_Contents'!$D$2:$D$3000))</f>
        <v/>
      </c>
      <c r="Y1809">
        <f>IF($A2="","",SUMIF('07_Pallet_Contents'!$A$2:$A$3000,$A2,'07_Pallet_Contents'!$I$2:$I$3000))</f>
        <v/>
      </c>
      <c r="Z1809">
        <f>IF($A2="","",IF(COUNTIF('07_Pallet_Contents'!$A$2:$A$3000,$A2)&gt;0,"Yes",""))</f>
        <v/>
      </c>
    </row>
    <row r="1810">
      <c r="B1810" s="22" t="n"/>
      <c r="G1810" s="25" t="n"/>
      <c r="H1810" s="24">
        <f>IF(AND($F1810="TEMP",$G1810&gt;0,$M1810&lt;&gt;""),$M1810+$G1810,"")</f>
        <v/>
      </c>
      <c r="I1810" s="22" t="n"/>
      <c r="J1810" s="22" t="n"/>
      <c r="K1810" s="24" t="n"/>
      <c r="W1810">
        <f>IF($A2="","",COUNTIF('07_Pallet_Contents'!$A$2:$A$3000,$A2))</f>
        <v/>
      </c>
      <c r="X1810">
        <f>IF($A2="","",SUMIF('07_Pallet_Contents'!$A$2:$A$3000,$A2,'07_Pallet_Contents'!$D$2:$D$3000))</f>
        <v/>
      </c>
      <c r="Y1810">
        <f>IF($A2="","",SUMIF('07_Pallet_Contents'!$A$2:$A$3000,$A2,'07_Pallet_Contents'!$I$2:$I$3000))</f>
        <v/>
      </c>
      <c r="Z1810">
        <f>IF($A2="","",IF(COUNTIF('07_Pallet_Contents'!$A$2:$A$3000,$A2)&gt;0,"Yes",""))</f>
        <v/>
      </c>
    </row>
    <row r="1811">
      <c r="B1811" s="22" t="n"/>
      <c r="G1811" s="25" t="n"/>
      <c r="H1811" s="24">
        <f>IF(AND($F1811="TEMP",$G1811&gt;0,$M1811&lt;&gt;""),$M1811+$G1811,"")</f>
        <v/>
      </c>
      <c r="I1811" s="22" t="n"/>
      <c r="J1811" s="22" t="n"/>
      <c r="K1811" s="24" t="n"/>
      <c r="W1811">
        <f>IF($A2="","",COUNTIF('07_Pallet_Contents'!$A$2:$A$3000,$A2))</f>
        <v/>
      </c>
      <c r="X1811">
        <f>IF($A2="","",SUMIF('07_Pallet_Contents'!$A$2:$A$3000,$A2,'07_Pallet_Contents'!$D$2:$D$3000))</f>
        <v/>
      </c>
      <c r="Y1811">
        <f>IF($A2="","",SUMIF('07_Pallet_Contents'!$A$2:$A$3000,$A2,'07_Pallet_Contents'!$I$2:$I$3000))</f>
        <v/>
      </c>
      <c r="Z1811">
        <f>IF($A2="","",IF(COUNTIF('07_Pallet_Contents'!$A$2:$A$3000,$A2)&gt;0,"Yes",""))</f>
        <v/>
      </c>
    </row>
    <row r="1812">
      <c r="B1812" s="22" t="n"/>
      <c r="G1812" s="25" t="n"/>
      <c r="H1812" s="24">
        <f>IF(AND($F1812="TEMP",$G1812&gt;0,$M1812&lt;&gt;""),$M1812+$G1812,"")</f>
        <v/>
      </c>
      <c r="I1812" s="22" t="n"/>
      <c r="J1812" s="22" t="n"/>
      <c r="K1812" s="24" t="n"/>
      <c r="W1812">
        <f>IF($A2="","",COUNTIF('07_Pallet_Contents'!$A$2:$A$3000,$A2))</f>
        <v/>
      </c>
      <c r="X1812">
        <f>IF($A2="","",SUMIF('07_Pallet_Contents'!$A$2:$A$3000,$A2,'07_Pallet_Contents'!$D$2:$D$3000))</f>
        <v/>
      </c>
      <c r="Y1812">
        <f>IF($A2="","",SUMIF('07_Pallet_Contents'!$A$2:$A$3000,$A2,'07_Pallet_Contents'!$I$2:$I$3000))</f>
        <v/>
      </c>
      <c r="Z1812">
        <f>IF($A2="","",IF(COUNTIF('07_Pallet_Contents'!$A$2:$A$3000,$A2)&gt;0,"Yes",""))</f>
        <v/>
      </c>
    </row>
    <row r="1813">
      <c r="B1813" s="22" t="n"/>
      <c r="G1813" s="25" t="n"/>
      <c r="H1813" s="24">
        <f>IF(AND($F1813="TEMP",$G1813&gt;0,$M1813&lt;&gt;""),$M1813+$G1813,"")</f>
        <v/>
      </c>
      <c r="I1813" s="22" t="n"/>
      <c r="J1813" s="22" t="n"/>
      <c r="K1813" s="24" t="n"/>
      <c r="W1813">
        <f>IF($A2="","",COUNTIF('07_Pallet_Contents'!$A$2:$A$3000,$A2))</f>
        <v/>
      </c>
      <c r="X1813">
        <f>IF($A2="","",SUMIF('07_Pallet_Contents'!$A$2:$A$3000,$A2,'07_Pallet_Contents'!$D$2:$D$3000))</f>
        <v/>
      </c>
      <c r="Y1813">
        <f>IF($A2="","",SUMIF('07_Pallet_Contents'!$A$2:$A$3000,$A2,'07_Pallet_Contents'!$I$2:$I$3000))</f>
        <v/>
      </c>
      <c r="Z1813">
        <f>IF($A2="","",IF(COUNTIF('07_Pallet_Contents'!$A$2:$A$3000,$A2)&gt;0,"Yes",""))</f>
        <v/>
      </c>
    </row>
    <row r="1814">
      <c r="B1814" s="22" t="n"/>
      <c r="G1814" s="25" t="n"/>
      <c r="H1814" s="24">
        <f>IF(AND($F1814="TEMP",$G1814&gt;0,$M1814&lt;&gt;""),$M1814+$G1814,"")</f>
        <v/>
      </c>
      <c r="I1814" s="22" t="n"/>
      <c r="J1814" s="22" t="n"/>
      <c r="K1814" s="24" t="n"/>
      <c r="W1814">
        <f>IF($A2="","",COUNTIF('07_Pallet_Contents'!$A$2:$A$3000,$A2))</f>
        <v/>
      </c>
      <c r="X1814">
        <f>IF($A2="","",SUMIF('07_Pallet_Contents'!$A$2:$A$3000,$A2,'07_Pallet_Contents'!$D$2:$D$3000))</f>
        <v/>
      </c>
      <c r="Y1814">
        <f>IF($A2="","",SUMIF('07_Pallet_Contents'!$A$2:$A$3000,$A2,'07_Pallet_Contents'!$I$2:$I$3000))</f>
        <v/>
      </c>
      <c r="Z1814">
        <f>IF($A2="","",IF(COUNTIF('07_Pallet_Contents'!$A$2:$A$3000,$A2)&gt;0,"Yes",""))</f>
        <v/>
      </c>
    </row>
    <row r="1815">
      <c r="B1815" s="22" t="n"/>
      <c r="G1815" s="25" t="n"/>
      <c r="H1815" s="24">
        <f>IF(AND($F1815="TEMP",$G1815&gt;0,$M1815&lt;&gt;""),$M1815+$G1815,"")</f>
        <v/>
      </c>
      <c r="I1815" s="22" t="n"/>
      <c r="J1815" s="22" t="n"/>
      <c r="K1815" s="24" t="n"/>
      <c r="W1815">
        <f>IF($A2="","",COUNTIF('07_Pallet_Contents'!$A$2:$A$3000,$A2))</f>
        <v/>
      </c>
      <c r="X1815">
        <f>IF($A2="","",SUMIF('07_Pallet_Contents'!$A$2:$A$3000,$A2,'07_Pallet_Contents'!$D$2:$D$3000))</f>
        <v/>
      </c>
      <c r="Y1815">
        <f>IF($A2="","",SUMIF('07_Pallet_Contents'!$A$2:$A$3000,$A2,'07_Pallet_Contents'!$I$2:$I$3000))</f>
        <v/>
      </c>
      <c r="Z1815">
        <f>IF($A2="","",IF(COUNTIF('07_Pallet_Contents'!$A$2:$A$3000,$A2)&gt;0,"Yes",""))</f>
        <v/>
      </c>
    </row>
    <row r="1816">
      <c r="B1816" s="22" t="n"/>
      <c r="G1816" s="25" t="n"/>
      <c r="H1816" s="24">
        <f>IF(AND($F1816="TEMP",$G1816&gt;0,$M1816&lt;&gt;""),$M1816+$G1816,"")</f>
        <v/>
      </c>
      <c r="I1816" s="22" t="n"/>
      <c r="J1816" s="22" t="n"/>
      <c r="K1816" s="24" t="n"/>
      <c r="W1816">
        <f>IF($A2="","",COUNTIF('07_Pallet_Contents'!$A$2:$A$3000,$A2))</f>
        <v/>
      </c>
      <c r="X1816">
        <f>IF($A2="","",SUMIF('07_Pallet_Contents'!$A$2:$A$3000,$A2,'07_Pallet_Contents'!$D$2:$D$3000))</f>
        <v/>
      </c>
      <c r="Y1816">
        <f>IF($A2="","",SUMIF('07_Pallet_Contents'!$A$2:$A$3000,$A2,'07_Pallet_Contents'!$I$2:$I$3000))</f>
        <v/>
      </c>
      <c r="Z1816">
        <f>IF($A2="","",IF(COUNTIF('07_Pallet_Contents'!$A$2:$A$3000,$A2)&gt;0,"Yes",""))</f>
        <v/>
      </c>
    </row>
    <row r="1817">
      <c r="B1817" s="22" t="n"/>
      <c r="G1817" s="25" t="n"/>
      <c r="H1817" s="24">
        <f>IF(AND($F1817="TEMP",$G1817&gt;0,$M1817&lt;&gt;""),$M1817+$G1817,"")</f>
        <v/>
      </c>
      <c r="I1817" s="22" t="n"/>
      <c r="J1817" s="22" t="n"/>
      <c r="K1817" s="24" t="n"/>
      <c r="W1817">
        <f>IF($A2="","",COUNTIF('07_Pallet_Contents'!$A$2:$A$3000,$A2))</f>
        <v/>
      </c>
      <c r="X1817">
        <f>IF($A2="","",SUMIF('07_Pallet_Contents'!$A$2:$A$3000,$A2,'07_Pallet_Contents'!$D$2:$D$3000))</f>
        <v/>
      </c>
      <c r="Y1817">
        <f>IF($A2="","",SUMIF('07_Pallet_Contents'!$A$2:$A$3000,$A2,'07_Pallet_Contents'!$I$2:$I$3000))</f>
        <v/>
      </c>
      <c r="Z1817">
        <f>IF($A2="","",IF(COUNTIF('07_Pallet_Contents'!$A$2:$A$3000,$A2)&gt;0,"Yes",""))</f>
        <v/>
      </c>
    </row>
    <row r="1818">
      <c r="B1818" s="22" t="n"/>
      <c r="G1818" s="25" t="n"/>
      <c r="H1818" s="24">
        <f>IF(AND($F1818="TEMP",$G1818&gt;0,$M1818&lt;&gt;""),$M1818+$G1818,"")</f>
        <v/>
      </c>
      <c r="I1818" s="22" t="n"/>
      <c r="J1818" s="22" t="n"/>
      <c r="K1818" s="24" t="n"/>
      <c r="W1818">
        <f>IF($A2="","",COUNTIF('07_Pallet_Contents'!$A$2:$A$3000,$A2))</f>
        <v/>
      </c>
      <c r="X1818">
        <f>IF($A2="","",SUMIF('07_Pallet_Contents'!$A$2:$A$3000,$A2,'07_Pallet_Contents'!$D$2:$D$3000))</f>
        <v/>
      </c>
      <c r="Y1818">
        <f>IF($A2="","",SUMIF('07_Pallet_Contents'!$A$2:$A$3000,$A2,'07_Pallet_Contents'!$I$2:$I$3000))</f>
        <v/>
      </c>
      <c r="Z1818">
        <f>IF($A2="","",IF(COUNTIF('07_Pallet_Contents'!$A$2:$A$3000,$A2)&gt;0,"Yes",""))</f>
        <v/>
      </c>
    </row>
    <row r="1819">
      <c r="B1819" s="22" t="n"/>
      <c r="G1819" s="25" t="n"/>
      <c r="H1819" s="24">
        <f>IF(AND($F1819="TEMP",$G1819&gt;0,$M1819&lt;&gt;""),$M1819+$G1819,"")</f>
        <v/>
      </c>
      <c r="I1819" s="22" t="n"/>
      <c r="J1819" s="22" t="n"/>
      <c r="K1819" s="24" t="n"/>
      <c r="W1819">
        <f>IF($A2="","",COUNTIF('07_Pallet_Contents'!$A$2:$A$3000,$A2))</f>
        <v/>
      </c>
      <c r="X1819">
        <f>IF($A2="","",SUMIF('07_Pallet_Contents'!$A$2:$A$3000,$A2,'07_Pallet_Contents'!$D$2:$D$3000))</f>
        <v/>
      </c>
      <c r="Y1819">
        <f>IF($A2="","",SUMIF('07_Pallet_Contents'!$A$2:$A$3000,$A2,'07_Pallet_Contents'!$I$2:$I$3000))</f>
        <v/>
      </c>
      <c r="Z1819">
        <f>IF($A2="","",IF(COUNTIF('07_Pallet_Contents'!$A$2:$A$3000,$A2)&gt;0,"Yes",""))</f>
        <v/>
      </c>
    </row>
    <row r="1820">
      <c r="B1820" s="22" t="n"/>
      <c r="G1820" s="25" t="n"/>
      <c r="H1820" s="24">
        <f>IF(AND($F1820="TEMP",$G1820&gt;0,$M1820&lt;&gt;""),$M1820+$G1820,"")</f>
        <v/>
      </c>
      <c r="I1820" s="22" t="n"/>
      <c r="J1820" s="22" t="n"/>
      <c r="K1820" s="24" t="n"/>
      <c r="W1820">
        <f>IF($A2="","",COUNTIF('07_Pallet_Contents'!$A$2:$A$3000,$A2))</f>
        <v/>
      </c>
      <c r="X1820">
        <f>IF($A2="","",SUMIF('07_Pallet_Contents'!$A$2:$A$3000,$A2,'07_Pallet_Contents'!$D$2:$D$3000))</f>
        <v/>
      </c>
      <c r="Y1820">
        <f>IF($A2="","",SUMIF('07_Pallet_Contents'!$A$2:$A$3000,$A2,'07_Pallet_Contents'!$I$2:$I$3000))</f>
        <v/>
      </c>
      <c r="Z1820">
        <f>IF($A2="","",IF(COUNTIF('07_Pallet_Contents'!$A$2:$A$3000,$A2)&gt;0,"Yes",""))</f>
        <v/>
      </c>
    </row>
    <row r="1821">
      <c r="B1821" s="22" t="n"/>
      <c r="G1821" s="25" t="n"/>
      <c r="H1821" s="24">
        <f>IF(AND($F1821="TEMP",$G1821&gt;0,$M1821&lt;&gt;""),$M1821+$G1821,"")</f>
        <v/>
      </c>
      <c r="I1821" s="22" t="n"/>
      <c r="J1821" s="22" t="n"/>
      <c r="K1821" s="24" t="n"/>
      <c r="W1821">
        <f>IF($A2="","",COUNTIF('07_Pallet_Contents'!$A$2:$A$3000,$A2))</f>
        <v/>
      </c>
      <c r="X1821">
        <f>IF($A2="","",SUMIF('07_Pallet_Contents'!$A$2:$A$3000,$A2,'07_Pallet_Contents'!$D$2:$D$3000))</f>
        <v/>
      </c>
      <c r="Y1821">
        <f>IF($A2="","",SUMIF('07_Pallet_Contents'!$A$2:$A$3000,$A2,'07_Pallet_Contents'!$I$2:$I$3000))</f>
        <v/>
      </c>
      <c r="Z1821">
        <f>IF($A2="","",IF(COUNTIF('07_Pallet_Contents'!$A$2:$A$3000,$A2)&gt;0,"Yes",""))</f>
        <v/>
      </c>
    </row>
    <row r="1822">
      <c r="B1822" s="22" t="n"/>
      <c r="G1822" s="25" t="n"/>
      <c r="H1822" s="24">
        <f>IF(AND($F1822="TEMP",$G1822&gt;0,$M1822&lt;&gt;""),$M1822+$G1822,"")</f>
        <v/>
      </c>
      <c r="I1822" s="22" t="n"/>
      <c r="J1822" s="22" t="n"/>
      <c r="K1822" s="24" t="n"/>
      <c r="W1822">
        <f>IF($A2="","",COUNTIF('07_Pallet_Contents'!$A$2:$A$3000,$A2))</f>
        <v/>
      </c>
      <c r="X1822">
        <f>IF($A2="","",SUMIF('07_Pallet_Contents'!$A$2:$A$3000,$A2,'07_Pallet_Contents'!$D$2:$D$3000))</f>
        <v/>
      </c>
      <c r="Y1822">
        <f>IF($A2="","",SUMIF('07_Pallet_Contents'!$A$2:$A$3000,$A2,'07_Pallet_Contents'!$I$2:$I$3000))</f>
        <v/>
      </c>
      <c r="Z1822">
        <f>IF($A2="","",IF(COUNTIF('07_Pallet_Contents'!$A$2:$A$3000,$A2)&gt;0,"Yes",""))</f>
        <v/>
      </c>
    </row>
    <row r="1823">
      <c r="B1823" s="22" t="n"/>
      <c r="G1823" s="25" t="n"/>
      <c r="H1823" s="24">
        <f>IF(AND($F1823="TEMP",$G1823&gt;0,$M1823&lt;&gt;""),$M1823+$G1823,"")</f>
        <v/>
      </c>
      <c r="I1823" s="22" t="n"/>
      <c r="J1823" s="22" t="n"/>
      <c r="K1823" s="24" t="n"/>
      <c r="W1823">
        <f>IF($A2="","",COUNTIF('07_Pallet_Contents'!$A$2:$A$3000,$A2))</f>
        <v/>
      </c>
      <c r="X1823">
        <f>IF($A2="","",SUMIF('07_Pallet_Contents'!$A$2:$A$3000,$A2,'07_Pallet_Contents'!$D$2:$D$3000))</f>
        <v/>
      </c>
      <c r="Y1823">
        <f>IF($A2="","",SUMIF('07_Pallet_Contents'!$A$2:$A$3000,$A2,'07_Pallet_Contents'!$I$2:$I$3000))</f>
        <v/>
      </c>
      <c r="Z1823">
        <f>IF($A2="","",IF(COUNTIF('07_Pallet_Contents'!$A$2:$A$3000,$A2)&gt;0,"Yes",""))</f>
        <v/>
      </c>
    </row>
    <row r="1824">
      <c r="B1824" s="22" t="n"/>
      <c r="G1824" s="25" t="n"/>
      <c r="H1824" s="24">
        <f>IF(AND($F1824="TEMP",$G1824&gt;0,$M1824&lt;&gt;""),$M1824+$G1824,"")</f>
        <v/>
      </c>
      <c r="I1824" s="22" t="n"/>
      <c r="J1824" s="22" t="n"/>
      <c r="K1824" s="24" t="n"/>
      <c r="W1824">
        <f>IF($A2="","",COUNTIF('07_Pallet_Contents'!$A$2:$A$3000,$A2))</f>
        <v/>
      </c>
      <c r="X1824">
        <f>IF($A2="","",SUMIF('07_Pallet_Contents'!$A$2:$A$3000,$A2,'07_Pallet_Contents'!$D$2:$D$3000))</f>
        <v/>
      </c>
      <c r="Y1824">
        <f>IF($A2="","",SUMIF('07_Pallet_Contents'!$A$2:$A$3000,$A2,'07_Pallet_Contents'!$I$2:$I$3000))</f>
        <v/>
      </c>
      <c r="Z1824">
        <f>IF($A2="","",IF(COUNTIF('07_Pallet_Contents'!$A$2:$A$3000,$A2)&gt;0,"Yes",""))</f>
        <v/>
      </c>
    </row>
    <row r="1825">
      <c r="B1825" s="22" t="n"/>
      <c r="G1825" s="25" t="n"/>
      <c r="H1825" s="24">
        <f>IF(AND($F1825="TEMP",$G1825&gt;0,$M1825&lt;&gt;""),$M1825+$G1825,"")</f>
        <v/>
      </c>
      <c r="I1825" s="22" t="n"/>
      <c r="J1825" s="22" t="n"/>
      <c r="K1825" s="24" t="n"/>
      <c r="W1825">
        <f>IF($A2="","",COUNTIF('07_Pallet_Contents'!$A$2:$A$3000,$A2))</f>
        <v/>
      </c>
      <c r="X1825">
        <f>IF($A2="","",SUMIF('07_Pallet_Contents'!$A$2:$A$3000,$A2,'07_Pallet_Contents'!$D$2:$D$3000))</f>
        <v/>
      </c>
      <c r="Y1825">
        <f>IF($A2="","",SUMIF('07_Pallet_Contents'!$A$2:$A$3000,$A2,'07_Pallet_Contents'!$I$2:$I$3000))</f>
        <v/>
      </c>
      <c r="Z1825">
        <f>IF($A2="","",IF(COUNTIF('07_Pallet_Contents'!$A$2:$A$3000,$A2)&gt;0,"Yes",""))</f>
        <v/>
      </c>
    </row>
    <row r="1826">
      <c r="B1826" s="22" t="n"/>
      <c r="G1826" s="25" t="n"/>
      <c r="H1826" s="24">
        <f>IF(AND($F1826="TEMP",$G1826&gt;0,$M1826&lt;&gt;""),$M1826+$G1826,"")</f>
        <v/>
      </c>
      <c r="I1826" s="22" t="n"/>
      <c r="J1826" s="22" t="n"/>
      <c r="K1826" s="24" t="n"/>
      <c r="W1826">
        <f>IF($A2="","",COUNTIF('07_Pallet_Contents'!$A$2:$A$3000,$A2))</f>
        <v/>
      </c>
      <c r="X1826">
        <f>IF($A2="","",SUMIF('07_Pallet_Contents'!$A$2:$A$3000,$A2,'07_Pallet_Contents'!$D$2:$D$3000))</f>
        <v/>
      </c>
      <c r="Y1826">
        <f>IF($A2="","",SUMIF('07_Pallet_Contents'!$A$2:$A$3000,$A2,'07_Pallet_Contents'!$I$2:$I$3000))</f>
        <v/>
      </c>
      <c r="Z1826">
        <f>IF($A2="","",IF(COUNTIF('07_Pallet_Contents'!$A$2:$A$3000,$A2)&gt;0,"Yes",""))</f>
        <v/>
      </c>
    </row>
    <row r="1827">
      <c r="B1827" s="22" t="n"/>
      <c r="G1827" s="25" t="n"/>
      <c r="H1827" s="24">
        <f>IF(AND($F1827="TEMP",$G1827&gt;0,$M1827&lt;&gt;""),$M1827+$G1827,"")</f>
        <v/>
      </c>
      <c r="I1827" s="22" t="n"/>
      <c r="J1827" s="22" t="n"/>
      <c r="K1827" s="24" t="n"/>
      <c r="W1827">
        <f>IF($A2="","",COUNTIF('07_Pallet_Contents'!$A$2:$A$3000,$A2))</f>
        <v/>
      </c>
      <c r="X1827">
        <f>IF($A2="","",SUMIF('07_Pallet_Contents'!$A$2:$A$3000,$A2,'07_Pallet_Contents'!$D$2:$D$3000))</f>
        <v/>
      </c>
      <c r="Y1827">
        <f>IF($A2="","",SUMIF('07_Pallet_Contents'!$A$2:$A$3000,$A2,'07_Pallet_Contents'!$I$2:$I$3000))</f>
        <v/>
      </c>
      <c r="Z1827">
        <f>IF($A2="","",IF(COUNTIF('07_Pallet_Contents'!$A$2:$A$3000,$A2)&gt;0,"Yes",""))</f>
        <v/>
      </c>
    </row>
    <row r="1828">
      <c r="B1828" s="22" t="n"/>
      <c r="G1828" s="25" t="n"/>
      <c r="H1828" s="24">
        <f>IF(AND($F1828="TEMP",$G1828&gt;0,$M1828&lt;&gt;""),$M1828+$G1828,"")</f>
        <v/>
      </c>
      <c r="I1828" s="22" t="n"/>
      <c r="J1828" s="22" t="n"/>
      <c r="K1828" s="24" t="n"/>
      <c r="W1828">
        <f>IF($A2="","",COUNTIF('07_Pallet_Contents'!$A$2:$A$3000,$A2))</f>
        <v/>
      </c>
      <c r="X1828">
        <f>IF($A2="","",SUMIF('07_Pallet_Contents'!$A$2:$A$3000,$A2,'07_Pallet_Contents'!$D$2:$D$3000))</f>
        <v/>
      </c>
      <c r="Y1828">
        <f>IF($A2="","",SUMIF('07_Pallet_Contents'!$A$2:$A$3000,$A2,'07_Pallet_Contents'!$I$2:$I$3000))</f>
        <v/>
      </c>
      <c r="Z1828">
        <f>IF($A2="","",IF(COUNTIF('07_Pallet_Contents'!$A$2:$A$3000,$A2)&gt;0,"Yes",""))</f>
        <v/>
      </c>
    </row>
    <row r="1829">
      <c r="B1829" s="22" t="n"/>
      <c r="G1829" s="25" t="n"/>
      <c r="H1829" s="24">
        <f>IF(AND($F1829="TEMP",$G1829&gt;0,$M1829&lt;&gt;""),$M1829+$G1829,"")</f>
        <v/>
      </c>
      <c r="I1829" s="22" t="n"/>
      <c r="J1829" s="22" t="n"/>
      <c r="K1829" s="24" t="n"/>
      <c r="W1829">
        <f>IF($A2="","",COUNTIF('07_Pallet_Contents'!$A$2:$A$3000,$A2))</f>
        <v/>
      </c>
      <c r="X1829">
        <f>IF($A2="","",SUMIF('07_Pallet_Contents'!$A$2:$A$3000,$A2,'07_Pallet_Contents'!$D$2:$D$3000))</f>
        <v/>
      </c>
      <c r="Y1829">
        <f>IF($A2="","",SUMIF('07_Pallet_Contents'!$A$2:$A$3000,$A2,'07_Pallet_Contents'!$I$2:$I$3000))</f>
        <v/>
      </c>
      <c r="Z1829">
        <f>IF($A2="","",IF(COUNTIF('07_Pallet_Contents'!$A$2:$A$3000,$A2)&gt;0,"Yes",""))</f>
        <v/>
      </c>
    </row>
    <row r="1830">
      <c r="B1830" s="22" t="n"/>
      <c r="G1830" s="25" t="n"/>
      <c r="H1830" s="24">
        <f>IF(AND($F1830="TEMP",$G1830&gt;0,$M1830&lt;&gt;""),$M1830+$G1830,"")</f>
        <v/>
      </c>
      <c r="I1830" s="22" t="n"/>
      <c r="J1830" s="22" t="n"/>
      <c r="K1830" s="24" t="n"/>
      <c r="W1830">
        <f>IF($A2="","",COUNTIF('07_Pallet_Contents'!$A$2:$A$3000,$A2))</f>
        <v/>
      </c>
      <c r="X1830">
        <f>IF($A2="","",SUMIF('07_Pallet_Contents'!$A$2:$A$3000,$A2,'07_Pallet_Contents'!$D$2:$D$3000))</f>
        <v/>
      </c>
      <c r="Y1830">
        <f>IF($A2="","",SUMIF('07_Pallet_Contents'!$A$2:$A$3000,$A2,'07_Pallet_Contents'!$I$2:$I$3000))</f>
        <v/>
      </c>
      <c r="Z1830">
        <f>IF($A2="","",IF(COUNTIF('07_Pallet_Contents'!$A$2:$A$3000,$A2)&gt;0,"Yes",""))</f>
        <v/>
      </c>
    </row>
    <row r="1831">
      <c r="B1831" s="22" t="n"/>
      <c r="G1831" s="25" t="n"/>
      <c r="H1831" s="24">
        <f>IF(AND($F1831="TEMP",$G1831&gt;0,$M1831&lt;&gt;""),$M1831+$G1831,"")</f>
        <v/>
      </c>
      <c r="I1831" s="22" t="n"/>
      <c r="J1831" s="22" t="n"/>
      <c r="K1831" s="24" t="n"/>
      <c r="W1831">
        <f>IF($A2="","",COUNTIF('07_Pallet_Contents'!$A$2:$A$3000,$A2))</f>
        <v/>
      </c>
      <c r="X1831">
        <f>IF($A2="","",SUMIF('07_Pallet_Contents'!$A$2:$A$3000,$A2,'07_Pallet_Contents'!$D$2:$D$3000))</f>
        <v/>
      </c>
      <c r="Y1831">
        <f>IF($A2="","",SUMIF('07_Pallet_Contents'!$A$2:$A$3000,$A2,'07_Pallet_Contents'!$I$2:$I$3000))</f>
        <v/>
      </c>
      <c r="Z1831">
        <f>IF($A2="","",IF(COUNTIF('07_Pallet_Contents'!$A$2:$A$3000,$A2)&gt;0,"Yes",""))</f>
        <v/>
      </c>
    </row>
    <row r="1832">
      <c r="B1832" s="22" t="n"/>
      <c r="G1832" s="25" t="n"/>
      <c r="H1832" s="24">
        <f>IF(AND($F1832="TEMP",$G1832&gt;0,$M1832&lt;&gt;""),$M1832+$G1832,"")</f>
        <v/>
      </c>
      <c r="I1832" s="22" t="n"/>
      <c r="J1832" s="22" t="n"/>
      <c r="K1832" s="24" t="n"/>
      <c r="W1832">
        <f>IF($A2="","",COUNTIF('07_Pallet_Contents'!$A$2:$A$3000,$A2))</f>
        <v/>
      </c>
      <c r="X1832">
        <f>IF($A2="","",SUMIF('07_Pallet_Contents'!$A$2:$A$3000,$A2,'07_Pallet_Contents'!$D$2:$D$3000))</f>
        <v/>
      </c>
      <c r="Y1832">
        <f>IF($A2="","",SUMIF('07_Pallet_Contents'!$A$2:$A$3000,$A2,'07_Pallet_Contents'!$I$2:$I$3000))</f>
        <v/>
      </c>
      <c r="Z1832">
        <f>IF($A2="","",IF(COUNTIF('07_Pallet_Contents'!$A$2:$A$3000,$A2)&gt;0,"Yes",""))</f>
        <v/>
      </c>
    </row>
    <row r="1833">
      <c r="B1833" s="22" t="n"/>
      <c r="G1833" s="25" t="n"/>
      <c r="H1833" s="24">
        <f>IF(AND($F1833="TEMP",$G1833&gt;0,$M1833&lt;&gt;""),$M1833+$G1833,"")</f>
        <v/>
      </c>
      <c r="I1833" s="22" t="n"/>
      <c r="J1833" s="22" t="n"/>
      <c r="K1833" s="24" t="n"/>
      <c r="W1833">
        <f>IF($A2="","",COUNTIF('07_Pallet_Contents'!$A$2:$A$3000,$A2))</f>
        <v/>
      </c>
      <c r="X1833">
        <f>IF($A2="","",SUMIF('07_Pallet_Contents'!$A$2:$A$3000,$A2,'07_Pallet_Contents'!$D$2:$D$3000))</f>
        <v/>
      </c>
      <c r="Y1833">
        <f>IF($A2="","",SUMIF('07_Pallet_Contents'!$A$2:$A$3000,$A2,'07_Pallet_Contents'!$I$2:$I$3000))</f>
        <v/>
      </c>
      <c r="Z1833">
        <f>IF($A2="","",IF(COUNTIF('07_Pallet_Contents'!$A$2:$A$3000,$A2)&gt;0,"Yes",""))</f>
        <v/>
      </c>
    </row>
    <row r="1834">
      <c r="B1834" s="22" t="n"/>
      <c r="G1834" s="25" t="n"/>
      <c r="H1834" s="24">
        <f>IF(AND($F1834="TEMP",$G1834&gt;0,$M1834&lt;&gt;""),$M1834+$G1834,"")</f>
        <v/>
      </c>
      <c r="I1834" s="22" t="n"/>
      <c r="J1834" s="22" t="n"/>
      <c r="K1834" s="24" t="n"/>
      <c r="W1834">
        <f>IF($A2="","",COUNTIF('07_Pallet_Contents'!$A$2:$A$3000,$A2))</f>
        <v/>
      </c>
      <c r="X1834">
        <f>IF($A2="","",SUMIF('07_Pallet_Contents'!$A$2:$A$3000,$A2,'07_Pallet_Contents'!$D$2:$D$3000))</f>
        <v/>
      </c>
      <c r="Y1834">
        <f>IF($A2="","",SUMIF('07_Pallet_Contents'!$A$2:$A$3000,$A2,'07_Pallet_Contents'!$I$2:$I$3000))</f>
        <v/>
      </c>
      <c r="Z1834">
        <f>IF($A2="","",IF(COUNTIF('07_Pallet_Contents'!$A$2:$A$3000,$A2)&gt;0,"Yes",""))</f>
        <v/>
      </c>
    </row>
    <row r="1835">
      <c r="B1835" s="22" t="n"/>
      <c r="G1835" s="25" t="n"/>
      <c r="H1835" s="24">
        <f>IF(AND($F1835="TEMP",$G1835&gt;0,$M1835&lt;&gt;""),$M1835+$G1835,"")</f>
        <v/>
      </c>
      <c r="I1835" s="22" t="n"/>
      <c r="J1835" s="22" t="n"/>
      <c r="K1835" s="24" t="n"/>
      <c r="W1835">
        <f>IF($A2="","",COUNTIF('07_Pallet_Contents'!$A$2:$A$3000,$A2))</f>
        <v/>
      </c>
      <c r="X1835">
        <f>IF($A2="","",SUMIF('07_Pallet_Contents'!$A$2:$A$3000,$A2,'07_Pallet_Contents'!$D$2:$D$3000))</f>
        <v/>
      </c>
      <c r="Y1835">
        <f>IF($A2="","",SUMIF('07_Pallet_Contents'!$A$2:$A$3000,$A2,'07_Pallet_Contents'!$I$2:$I$3000))</f>
        <v/>
      </c>
      <c r="Z1835">
        <f>IF($A2="","",IF(COUNTIF('07_Pallet_Contents'!$A$2:$A$3000,$A2)&gt;0,"Yes",""))</f>
        <v/>
      </c>
    </row>
    <row r="1836">
      <c r="B1836" s="22" t="n"/>
      <c r="G1836" s="25" t="n"/>
      <c r="H1836" s="24">
        <f>IF(AND($F1836="TEMP",$G1836&gt;0,$M1836&lt;&gt;""),$M1836+$G1836,"")</f>
        <v/>
      </c>
      <c r="I1836" s="22" t="n"/>
      <c r="J1836" s="22" t="n"/>
      <c r="K1836" s="24" t="n"/>
      <c r="W1836">
        <f>IF($A2="","",COUNTIF('07_Pallet_Contents'!$A$2:$A$3000,$A2))</f>
        <v/>
      </c>
      <c r="X1836">
        <f>IF($A2="","",SUMIF('07_Pallet_Contents'!$A$2:$A$3000,$A2,'07_Pallet_Contents'!$D$2:$D$3000))</f>
        <v/>
      </c>
      <c r="Y1836">
        <f>IF($A2="","",SUMIF('07_Pallet_Contents'!$A$2:$A$3000,$A2,'07_Pallet_Contents'!$I$2:$I$3000))</f>
        <v/>
      </c>
      <c r="Z1836">
        <f>IF($A2="","",IF(COUNTIF('07_Pallet_Contents'!$A$2:$A$3000,$A2)&gt;0,"Yes",""))</f>
        <v/>
      </c>
    </row>
    <row r="1837">
      <c r="B1837" s="22" t="n"/>
      <c r="G1837" s="25" t="n"/>
      <c r="H1837" s="24">
        <f>IF(AND($F1837="TEMP",$G1837&gt;0,$M1837&lt;&gt;""),$M1837+$G1837,"")</f>
        <v/>
      </c>
      <c r="I1837" s="22" t="n"/>
      <c r="J1837" s="22" t="n"/>
      <c r="K1837" s="24" t="n"/>
      <c r="W1837">
        <f>IF($A2="","",COUNTIF('07_Pallet_Contents'!$A$2:$A$3000,$A2))</f>
        <v/>
      </c>
      <c r="X1837">
        <f>IF($A2="","",SUMIF('07_Pallet_Contents'!$A$2:$A$3000,$A2,'07_Pallet_Contents'!$D$2:$D$3000))</f>
        <v/>
      </c>
      <c r="Y1837">
        <f>IF($A2="","",SUMIF('07_Pallet_Contents'!$A$2:$A$3000,$A2,'07_Pallet_Contents'!$I$2:$I$3000))</f>
        <v/>
      </c>
      <c r="Z1837">
        <f>IF($A2="","",IF(COUNTIF('07_Pallet_Contents'!$A$2:$A$3000,$A2)&gt;0,"Yes",""))</f>
        <v/>
      </c>
    </row>
    <row r="1838">
      <c r="B1838" s="22" t="n"/>
      <c r="G1838" s="25" t="n"/>
      <c r="H1838" s="24">
        <f>IF(AND($F1838="TEMP",$G1838&gt;0,$M1838&lt;&gt;""),$M1838+$G1838,"")</f>
        <v/>
      </c>
      <c r="I1838" s="22" t="n"/>
      <c r="J1838" s="22" t="n"/>
      <c r="K1838" s="24" t="n"/>
      <c r="W1838">
        <f>IF($A2="","",COUNTIF('07_Pallet_Contents'!$A$2:$A$3000,$A2))</f>
        <v/>
      </c>
      <c r="X1838">
        <f>IF($A2="","",SUMIF('07_Pallet_Contents'!$A$2:$A$3000,$A2,'07_Pallet_Contents'!$D$2:$D$3000))</f>
        <v/>
      </c>
      <c r="Y1838">
        <f>IF($A2="","",SUMIF('07_Pallet_Contents'!$A$2:$A$3000,$A2,'07_Pallet_Contents'!$I$2:$I$3000))</f>
        <v/>
      </c>
      <c r="Z1838">
        <f>IF($A2="","",IF(COUNTIF('07_Pallet_Contents'!$A$2:$A$3000,$A2)&gt;0,"Yes",""))</f>
        <v/>
      </c>
    </row>
    <row r="1839">
      <c r="B1839" s="22" t="n"/>
      <c r="G1839" s="25" t="n"/>
      <c r="H1839" s="24">
        <f>IF(AND($F1839="TEMP",$G1839&gt;0,$M1839&lt;&gt;""),$M1839+$G1839,"")</f>
        <v/>
      </c>
      <c r="I1839" s="22" t="n"/>
      <c r="J1839" s="22" t="n"/>
      <c r="K1839" s="24" t="n"/>
      <c r="W1839">
        <f>IF($A2="","",COUNTIF('07_Pallet_Contents'!$A$2:$A$3000,$A2))</f>
        <v/>
      </c>
      <c r="X1839">
        <f>IF($A2="","",SUMIF('07_Pallet_Contents'!$A$2:$A$3000,$A2,'07_Pallet_Contents'!$D$2:$D$3000))</f>
        <v/>
      </c>
      <c r="Y1839">
        <f>IF($A2="","",SUMIF('07_Pallet_Contents'!$A$2:$A$3000,$A2,'07_Pallet_Contents'!$I$2:$I$3000))</f>
        <v/>
      </c>
      <c r="Z1839">
        <f>IF($A2="","",IF(COUNTIF('07_Pallet_Contents'!$A$2:$A$3000,$A2)&gt;0,"Yes",""))</f>
        <v/>
      </c>
    </row>
    <row r="1840">
      <c r="B1840" s="22" t="n"/>
      <c r="G1840" s="25" t="n"/>
      <c r="H1840" s="24">
        <f>IF(AND($F1840="TEMP",$G1840&gt;0,$M1840&lt;&gt;""),$M1840+$G1840,"")</f>
        <v/>
      </c>
      <c r="I1840" s="22" t="n"/>
      <c r="J1840" s="22" t="n"/>
      <c r="K1840" s="24" t="n"/>
      <c r="W1840">
        <f>IF($A2="","",COUNTIF('07_Pallet_Contents'!$A$2:$A$3000,$A2))</f>
        <v/>
      </c>
      <c r="X1840">
        <f>IF($A2="","",SUMIF('07_Pallet_Contents'!$A$2:$A$3000,$A2,'07_Pallet_Contents'!$D$2:$D$3000))</f>
        <v/>
      </c>
      <c r="Y1840">
        <f>IF($A2="","",SUMIF('07_Pallet_Contents'!$A$2:$A$3000,$A2,'07_Pallet_Contents'!$I$2:$I$3000))</f>
        <v/>
      </c>
      <c r="Z1840">
        <f>IF($A2="","",IF(COUNTIF('07_Pallet_Contents'!$A$2:$A$3000,$A2)&gt;0,"Yes",""))</f>
        <v/>
      </c>
    </row>
    <row r="1841">
      <c r="B1841" s="22" t="n"/>
      <c r="G1841" s="25" t="n"/>
      <c r="H1841" s="24">
        <f>IF(AND($F1841="TEMP",$G1841&gt;0,$M1841&lt;&gt;""),$M1841+$G1841,"")</f>
        <v/>
      </c>
      <c r="I1841" s="22" t="n"/>
      <c r="J1841" s="22" t="n"/>
      <c r="K1841" s="24" t="n"/>
      <c r="W1841">
        <f>IF($A2="","",COUNTIF('07_Pallet_Contents'!$A$2:$A$3000,$A2))</f>
        <v/>
      </c>
      <c r="X1841">
        <f>IF($A2="","",SUMIF('07_Pallet_Contents'!$A$2:$A$3000,$A2,'07_Pallet_Contents'!$D$2:$D$3000))</f>
        <v/>
      </c>
      <c r="Y1841">
        <f>IF($A2="","",SUMIF('07_Pallet_Contents'!$A$2:$A$3000,$A2,'07_Pallet_Contents'!$I$2:$I$3000))</f>
        <v/>
      </c>
      <c r="Z1841">
        <f>IF($A2="","",IF(COUNTIF('07_Pallet_Contents'!$A$2:$A$3000,$A2)&gt;0,"Yes",""))</f>
        <v/>
      </c>
    </row>
    <row r="1842">
      <c r="B1842" s="22" t="n"/>
      <c r="G1842" s="25" t="n"/>
      <c r="H1842" s="24">
        <f>IF(AND($F1842="TEMP",$G1842&gt;0,$M1842&lt;&gt;""),$M1842+$G1842,"")</f>
        <v/>
      </c>
      <c r="I1842" s="22" t="n"/>
      <c r="J1842" s="22" t="n"/>
      <c r="K1842" s="24" t="n"/>
      <c r="W1842">
        <f>IF($A2="","",COUNTIF('07_Pallet_Contents'!$A$2:$A$3000,$A2))</f>
        <v/>
      </c>
      <c r="X1842">
        <f>IF($A2="","",SUMIF('07_Pallet_Contents'!$A$2:$A$3000,$A2,'07_Pallet_Contents'!$D$2:$D$3000))</f>
        <v/>
      </c>
      <c r="Y1842">
        <f>IF($A2="","",SUMIF('07_Pallet_Contents'!$A$2:$A$3000,$A2,'07_Pallet_Contents'!$I$2:$I$3000))</f>
        <v/>
      </c>
      <c r="Z1842">
        <f>IF($A2="","",IF(COUNTIF('07_Pallet_Contents'!$A$2:$A$3000,$A2)&gt;0,"Yes",""))</f>
        <v/>
      </c>
    </row>
    <row r="1843">
      <c r="B1843" s="22" t="n"/>
      <c r="G1843" s="25" t="n"/>
      <c r="H1843" s="24">
        <f>IF(AND($F1843="TEMP",$G1843&gt;0,$M1843&lt;&gt;""),$M1843+$G1843,"")</f>
        <v/>
      </c>
      <c r="I1843" s="22" t="n"/>
      <c r="J1843" s="22" t="n"/>
      <c r="K1843" s="24" t="n"/>
      <c r="W1843">
        <f>IF($A2="","",COUNTIF('07_Pallet_Contents'!$A$2:$A$3000,$A2))</f>
        <v/>
      </c>
      <c r="X1843">
        <f>IF($A2="","",SUMIF('07_Pallet_Contents'!$A$2:$A$3000,$A2,'07_Pallet_Contents'!$D$2:$D$3000))</f>
        <v/>
      </c>
      <c r="Y1843">
        <f>IF($A2="","",SUMIF('07_Pallet_Contents'!$A$2:$A$3000,$A2,'07_Pallet_Contents'!$I$2:$I$3000))</f>
        <v/>
      </c>
      <c r="Z1843">
        <f>IF($A2="","",IF(COUNTIF('07_Pallet_Contents'!$A$2:$A$3000,$A2)&gt;0,"Yes",""))</f>
        <v/>
      </c>
    </row>
    <row r="1844">
      <c r="B1844" s="22" t="n"/>
      <c r="G1844" s="25" t="n"/>
      <c r="H1844" s="24">
        <f>IF(AND($F1844="TEMP",$G1844&gt;0,$M1844&lt;&gt;""),$M1844+$G1844,"")</f>
        <v/>
      </c>
      <c r="I1844" s="22" t="n"/>
      <c r="J1844" s="22" t="n"/>
      <c r="K1844" s="24" t="n"/>
      <c r="W1844">
        <f>IF($A2="","",COUNTIF('07_Pallet_Contents'!$A$2:$A$3000,$A2))</f>
        <v/>
      </c>
      <c r="X1844">
        <f>IF($A2="","",SUMIF('07_Pallet_Contents'!$A$2:$A$3000,$A2,'07_Pallet_Contents'!$D$2:$D$3000))</f>
        <v/>
      </c>
      <c r="Y1844">
        <f>IF($A2="","",SUMIF('07_Pallet_Contents'!$A$2:$A$3000,$A2,'07_Pallet_Contents'!$I$2:$I$3000))</f>
        <v/>
      </c>
      <c r="Z1844">
        <f>IF($A2="","",IF(COUNTIF('07_Pallet_Contents'!$A$2:$A$3000,$A2)&gt;0,"Yes",""))</f>
        <v/>
      </c>
    </row>
    <row r="1845">
      <c r="B1845" s="22" t="n"/>
      <c r="G1845" s="25" t="n"/>
      <c r="H1845" s="24">
        <f>IF(AND($F1845="TEMP",$G1845&gt;0,$M1845&lt;&gt;""),$M1845+$G1845,"")</f>
        <v/>
      </c>
      <c r="I1845" s="22" t="n"/>
      <c r="J1845" s="22" t="n"/>
      <c r="K1845" s="24" t="n"/>
      <c r="W1845">
        <f>IF($A2="","",COUNTIF('07_Pallet_Contents'!$A$2:$A$3000,$A2))</f>
        <v/>
      </c>
      <c r="X1845">
        <f>IF($A2="","",SUMIF('07_Pallet_Contents'!$A$2:$A$3000,$A2,'07_Pallet_Contents'!$D$2:$D$3000))</f>
        <v/>
      </c>
      <c r="Y1845">
        <f>IF($A2="","",SUMIF('07_Pallet_Contents'!$A$2:$A$3000,$A2,'07_Pallet_Contents'!$I$2:$I$3000))</f>
        <v/>
      </c>
      <c r="Z1845">
        <f>IF($A2="","",IF(COUNTIF('07_Pallet_Contents'!$A$2:$A$3000,$A2)&gt;0,"Yes",""))</f>
        <v/>
      </c>
    </row>
    <row r="1846">
      <c r="B1846" s="22" t="n"/>
      <c r="G1846" s="25" t="n"/>
      <c r="H1846" s="24">
        <f>IF(AND($F1846="TEMP",$G1846&gt;0,$M1846&lt;&gt;""),$M1846+$G1846,"")</f>
        <v/>
      </c>
      <c r="I1846" s="22" t="n"/>
      <c r="J1846" s="22" t="n"/>
      <c r="K1846" s="24" t="n"/>
      <c r="W1846">
        <f>IF($A2="","",COUNTIF('07_Pallet_Contents'!$A$2:$A$3000,$A2))</f>
        <v/>
      </c>
      <c r="X1846">
        <f>IF($A2="","",SUMIF('07_Pallet_Contents'!$A$2:$A$3000,$A2,'07_Pallet_Contents'!$D$2:$D$3000))</f>
        <v/>
      </c>
      <c r="Y1846">
        <f>IF($A2="","",SUMIF('07_Pallet_Contents'!$A$2:$A$3000,$A2,'07_Pallet_Contents'!$I$2:$I$3000))</f>
        <v/>
      </c>
      <c r="Z1846">
        <f>IF($A2="","",IF(COUNTIF('07_Pallet_Contents'!$A$2:$A$3000,$A2)&gt;0,"Yes",""))</f>
        <v/>
      </c>
    </row>
    <row r="1847">
      <c r="B1847" s="22" t="n"/>
      <c r="G1847" s="25" t="n"/>
      <c r="H1847" s="24">
        <f>IF(AND($F1847="TEMP",$G1847&gt;0,$M1847&lt;&gt;""),$M1847+$G1847,"")</f>
        <v/>
      </c>
      <c r="I1847" s="22" t="n"/>
      <c r="J1847" s="22" t="n"/>
      <c r="K1847" s="24" t="n"/>
      <c r="W1847">
        <f>IF($A2="","",COUNTIF('07_Pallet_Contents'!$A$2:$A$3000,$A2))</f>
        <v/>
      </c>
      <c r="X1847">
        <f>IF($A2="","",SUMIF('07_Pallet_Contents'!$A$2:$A$3000,$A2,'07_Pallet_Contents'!$D$2:$D$3000))</f>
        <v/>
      </c>
      <c r="Y1847">
        <f>IF($A2="","",SUMIF('07_Pallet_Contents'!$A$2:$A$3000,$A2,'07_Pallet_Contents'!$I$2:$I$3000))</f>
        <v/>
      </c>
      <c r="Z1847">
        <f>IF($A2="","",IF(COUNTIF('07_Pallet_Contents'!$A$2:$A$3000,$A2)&gt;0,"Yes",""))</f>
        <v/>
      </c>
    </row>
    <row r="1848">
      <c r="B1848" s="22" t="n"/>
      <c r="G1848" s="25" t="n"/>
      <c r="H1848" s="24">
        <f>IF(AND($F1848="TEMP",$G1848&gt;0,$M1848&lt;&gt;""),$M1848+$G1848,"")</f>
        <v/>
      </c>
      <c r="I1848" s="22" t="n"/>
      <c r="J1848" s="22" t="n"/>
      <c r="K1848" s="24" t="n"/>
      <c r="W1848">
        <f>IF($A2="","",COUNTIF('07_Pallet_Contents'!$A$2:$A$3000,$A2))</f>
        <v/>
      </c>
      <c r="X1848">
        <f>IF($A2="","",SUMIF('07_Pallet_Contents'!$A$2:$A$3000,$A2,'07_Pallet_Contents'!$D$2:$D$3000))</f>
        <v/>
      </c>
      <c r="Y1848">
        <f>IF($A2="","",SUMIF('07_Pallet_Contents'!$A$2:$A$3000,$A2,'07_Pallet_Contents'!$I$2:$I$3000))</f>
        <v/>
      </c>
      <c r="Z1848">
        <f>IF($A2="","",IF(COUNTIF('07_Pallet_Contents'!$A$2:$A$3000,$A2)&gt;0,"Yes",""))</f>
        <v/>
      </c>
    </row>
    <row r="1849">
      <c r="B1849" s="22" t="n"/>
      <c r="G1849" s="25" t="n"/>
      <c r="H1849" s="24">
        <f>IF(AND($F1849="TEMP",$G1849&gt;0,$M1849&lt;&gt;""),$M1849+$G1849,"")</f>
        <v/>
      </c>
      <c r="I1849" s="22" t="n"/>
      <c r="J1849" s="22" t="n"/>
      <c r="K1849" s="24" t="n"/>
      <c r="W1849">
        <f>IF($A2="","",COUNTIF('07_Pallet_Contents'!$A$2:$A$3000,$A2))</f>
        <v/>
      </c>
      <c r="X1849">
        <f>IF($A2="","",SUMIF('07_Pallet_Contents'!$A$2:$A$3000,$A2,'07_Pallet_Contents'!$D$2:$D$3000))</f>
        <v/>
      </c>
      <c r="Y1849">
        <f>IF($A2="","",SUMIF('07_Pallet_Contents'!$A$2:$A$3000,$A2,'07_Pallet_Contents'!$I$2:$I$3000))</f>
        <v/>
      </c>
      <c r="Z1849">
        <f>IF($A2="","",IF(COUNTIF('07_Pallet_Contents'!$A$2:$A$3000,$A2)&gt;0,"Yes",""))</f>
        <v/>
      </c>
    </row>
    <row r="1850">
      <c r="B1850" s="22" t="n"/>
      <c r="G1850" s="25" t="n"/>
      <c r="H1850" s="24">
        <f>IF(AND($F1850="TEMP",$G1850&gt;0,$M1850&lt;&gt;""),$M1850+$G1850,"")</f>
        <v/>
      </c>
      <c r="I1850" s="22" t="n"/>
      <c r="J1850" s="22" t="n"/>
      <c r="K1850" s="24" t="n"/>
      <c r="W1850">
        <f>IF($A2="","",COUNTIF('07_Pallet_Contents'!$A$2:$A$3000,$A2))</f>
        <v/>
      </c>
      <c r="X1850">
        <f>IF($A2="","",SUMIF('07_Pallet_Contents'!$A$2:$A$3000,$A2,'07_Pallet_Contents'!$D$2:$D$3000))</f>
        <v/>
      </c>
      <c r="Y1850">
        <f>IF($A2="","",SUMIF('07_Pallet_Contents'!$A$2:$A$3000,$A2,'07_Pallet_Contents'!$I$2:$I$3000))</f>
        <v/>
      </c>
      <c r="Z1850">
        <f>IF($A2="","",IF(COUNTIF('07_Pallet_Contents'!$A$2:$A$3000,$A2)&gt;0,"Yes",""))</f>
        <v/>
      </c>
    </row>
    <row r="1851">
      <c r="B1851" s="22" t="n"/>
      <c r="G1851" s="25" t="n"/>
      <c r="H1851" s="24">
        <f>IF(AND($F1851="TEMP",$G1851&gt;0,$M1851&lt;&gt;""),$M1851+$G1851,"")</f>
        <v/>
      </c>
      <c r="I1851" s="22" t="n"/>
      <c r="J1851" s="22" t="n"/>
      <c r="K1851" s="24" t="n"/>
      <c r="W1851">
        <f>IF($A2="","",COUNTIF('07_Pallet_Contents'!$A$2:$A$3000,$A2))</f>
        <v/>
      </c>
      <c r="X1851">
        <f>IF($A2="","",SUMIF('07_Pallet_Contents'!$A$2:$A$3000,$A2,'07_Pallet_Contents'!$D$2:$D$3000))</f>
        <v/>
      </c>
      <c r="Y1851">
        <f>IF($A2="","",SUMIF('07_Pallet_Contents'!$A$2:$A$3000,$A2,'07_Pallet_Contents'!$I$2:$I$3000))</f>
        <v/>
      </c>
      <c r="Z1851">
        <f>IF($A2="","",IF(COUNTIF('07_Pallet_Contents'!$A$2:$A$3000,$A2)&gt;0,"Yes",""))</f>
        <v/>
      </c>
    </row>
    <row r="1852">
      <c r="B1852" s="22" t="n"/>
      <c r="G1852" s="25" t="n"/>
      <c r="H1852" s="24">
        <f>IF(AND($F1852="TEMP",$G1852&gt;0,$M1852&lt;&gt;""),$M1852+$G1852,"")</f>
        <v/>
      </c>
      <c r="I1852" s="22" t="n"/>
      <c r="J1852" s="22" t="n"/>
      <c r="K1852" s="24" t="n"/>
      <c r="W1852">
        <f>IF($A2="","",COUNTIF('07_Pallet_Contents'!$A$2:$A$3000,$A2))</f>
        <v/>
      </c>
      <c r="X1852">
        <f>IF($A2="","",SUMIF('07_Pallet_Contents'!$A$2:$A$3000,$A2,'07_Pallet_Contents'!$D$2:$D$3000))</f>
        <v/>
      </c>
      <c r="Y1852">
        <f>IF($A2="","",SUMIF('07_Pallet_Contents'!$A$2:$A$3000,$A2,'07_Pallet_Contents'!$I$2:$I$3000))</f>
        <v/>
      </c>
      <c r="Z1852">
        <f>IF($A2="","",IF(COUNTIF('07_Pallet_Contents'!$A$2:$A$3000,$A2)&gt;0,"Yes",""))</f>
        <v/>
      </c>
    </row>
    <row r="1853">
      <c r="B1853" s="22" t="n"/>
      <c r="G1853" s="25" t="n"/>
      <c r="H1853" s="24">
        <f>IF(AND($F1853="TEMP",$G1853&gt;0,$M1853&lt;&gt;""),$M1853+$G1853,"")</f>
        <v/>
      </c>
      <c r="I1853" s="22" t="n"/>
      <c r="J1853" s="22" t="n"/>
      <c r="K1853" s="24" t="n"/>
      <c r="W1853">
        <f>IF($A2="","",COUNTIF('07_Pallet_Contents'!$A$2:$A$3000,$A2))</f>
        <v/>
      </c>
      <c r="X1853">
        <f>IF($A2="","",SUMIF('07_Pallet_Contents'!$A$2:$A$3000,$A2,'07_Pallet_Contents'!$D$2:$D$3000))</f>
        <v/>
      </c>
      <c r="Y1853">
        <f>IF($A2="","",SUMIF('07_Pallet_Contents'!$A$2:$A$3000,$A2,'07_Pallet_Contents'!$I$2:$I$3000))</f>
        <v/>
      </c>
      <c r="Z1853">
        <f>IF($A2="","",IF(COUNTIF('07_Pallet_Contents'!$A$2:$A$3000,$A2)&gt;0,"Yes",""))</f>
        <v/>
      </c>
    </row>
    <row r="1854">
      <c r="B1854" s="22" t="n"/>
      <c r="G1854" s="25" t="n"/>
      <c r="H1854" s="24">
        <f>IF(AND($F1854="TEMP",$G1854&gt;0,$M1854&lt;&gt;""),$M1854+$G1854,"")</f>
        <v/>
      </c>
      <c r="I1854" s="22" t="n"/>
      <c r="J1854" s="22" t="n"/>
      <c r="K1854" s="24" t="n"/>
      <c r="W1854">
        <f>IF($A2="","",COUNTIF('07_Pallet_Contents'!$A$2:$A$3000,$A2))</f>
        <v/>
      </c>
      <c r="X1854">
        <f>IF($A2="","",SUMIF('07_Pallet_Contents'!$A$2:$A$3000,$A2,'07_Pallet_Contents'!$D$2:$D$3000))</f>
        <v/>
      </c>
      <c r="Y1854">
        <f>IF($A2="","",SUMIF('07_Pallet_Contents'!$A$2:$A$3000,$A2,'07_Pallet_Contents'!$I$2:$I$3000))</f>
        <v/>
      </c>
      <c r="Z1854">
        <f>IF($A2="","",IF(COUNTIF('07_Pallet_Contents'!$A$2:$A$3000,$A2)&gt;0,"Yes",""))</f>
        <v/>
      </c>
    </row>
    <row r="1855">
      <c r="B1855" s="22" t="n"/>
      <c r="G1855" s="25" t="n"/>
      <c r="H1855" s="24">
        <f>IF(AND($F1855="TEMP",$G1855&gt;0,$M1855&lt;&gt;""),$M1855+$G1855,"")</f>
        <v/>
      </c>
      <c r="I1855" s="22" t="n"/>
      <c r="J1855" s="22" t="n"/>
      <c r="K1855" s="24" t="n"/>
      <c r="W1855">
        <f>IF($A2="","",COUNTIF('07_Pallet_Contents'!$A$2:$A$3000,$A2))</f>
        <v/>
      </c>
      <c r="X1855">
        <f>IF($A2="","",SUMIF('07_Pallet_Contents'!$A$2:$A$3000,$A2,'07_Pallet_Contents'!$D$2:$D$3000))</f>
        <v/>
      </c>
      <c r="Y1855">
        <f>IF($A2="","",SUMIF('07_Pallet_Contents'!$A$2:$A$3000,$A2,'07_Pallet_Contents'!$I$2:$I$3000))</f>
        <v/>
      </c>
      <c r="Z1855">
        <f>IF($A2="","",IF(COUNTIF('07_Pallet_Contents'!$A$2:$A$3000,$A2)&gt;0,"Yes",""))</f>
        <v/>
      </c>
    </row>
    <row r="1856">
      <c r="B1856" s="22" t="n"/>
      <c r="G1856" s="25" t="n"/>
      <c r="H1856" s="24">
        <f>IF(AND($F1856="TEMP",$G1856&gt;0,$M1856&lt;&gt;""),$M1856+$G1856,"")</f>
        <v/>
      </c>
      <c r="I1856" s="22" t="n"/>
      <c r="J1856" s="22" t="n"/>
      <c r="K1856" s="24" t="n"/>
      <c r="W1856">
        <f>IF($A2="","",COUNTIF('07_Pallet_Contents'!$A$2:$A$3000,$A2))</f>
        <v/>
      </c>
      <c r="X1856">
        <f>IF($A2="","",SUMIF('07_Pallet_Contents'!$A$2:$A$3000,$A2,'07_Pallet_Contents'!$D$2:$D$3000))</f>
        <v/>
      </c>
      <c r="Y1856">
        <f>IF($A2="","",SUMIF('07_Pallet_Contents'!$A$2:$A$3000,$A2,'07_Pallet_Contents'!$I$2:$I$3000))</f>
        <v/>
      </c>
      <c r="Z1856">
        <f>IF($A2="","",IF(COUNTIF('07_Pallet_Contents'!$A$2:$A$3000,$A2)&gt;0,"Yes",""))</f>
        <v/>
      </c>
    </row>
    <row r="1857">
      <c r="B1857" s="22" t="n"/>
      <c r="G1857" s="25" t="n"/>
      <c r="H1857" s="24">
        <f>IF(AND($F1857="TEMP",$G1857&gt;0,$M1857&lt;&gt;""),$M1857+$G1857,"")</f>
        <v/>
      </c>
      <c r="I1857" s="22" t="n"/>
      <c r="J1857" s="22" t="n"/>
      <c r="K1857" s="24" t="n"/>
      <c r="W1857">
        <f>IF($A2="","",COUNTIF('07_Pallet_Contents'!$A$2:$A$3000,$A2))</f>
        <v/>
      </c>
      <c r="X1857">
        <f>IF($A2="","",SUMIF('07_Pallet_Contents'!$A$2:$A$3000,$A2,'07_Pallet_Contents'!$D$2:$D$3000))</f>
        <v/>
      </c>
      <c r="Y1857">
        <f>IF($A2="","",SUMIF('07_Pallet_Contents'!$A$2:$A$3000,$A2,'07_Pallet_Contents'!$I$2:$I$3000))</f>
        <v/>
      </c>
      <c r="Z1857">
        <f>IF($A2="","",IF(COUNTIF('07_Pallet_Contents'!$A$2:$A$3000,$A2)&gt;0,"Yes",""))</f>
        <v/>
      </c>
    </row>
    <row r="1858">
      <c r="B1858" s="22" t="n"/>
      <c r="G1858" s="25" t="n"/>
      <c r="H1858" s="24">
        <f>IF(AND($F1858="TEMP",$G1858&gt;0,$M1858&lt;&gt;""),$M1858+$G1858,"")</f>
        <v/>
      </c>
      <c r="I1858" s="22" t="n"/>
      <c r="J1858" s="22" t="n"/>
      <c r="K1858" s="24" t="n"/>
      <c r="W1858">
        <f>IF($A2="","",COUNTIF('07_Pallet_Contents'!$A$2:$A$3000,$A2))</f>
        <v/>
      </c>
      <c r="X1858">
        <f>IF($A2="","",SUMIF('07_Pallet_Contents'!$A$2:$A$3000,$A2,'07_Pallet_Contents'!$D$2:$D$3000))</f>
        <v/>
      </c>
      <c r="Y1858">
        <f>IF($A2="","",SUMIF('07_Pallet_Contents'!$A$2:$A$3000,$A2,'07_Pallet_Contents'!$I$2:$I$3000))</f>
        <v/>
      </c>
      <c r="Z1858">
        <f>IF($A2="","",IF(COUNTIF('07_Pallet_Contents'!$A$2:$A$3000,$A2)&gt;0,"Yes",""))</f>
        <v/>
      </c>
    </row>
    <row r="1859">
      <c r="B1859" s="22" t="n"/>
      <c r="G1859" s="25" t="n"/>
      <c r="H1859" s="24">
        <f>IF(AND($F1859="TEMP",$G1859&gt;0,$M1859&lt;&gt;""),$M1859+$G1859,"")</f>
        <v/>
      </c>
      <c r="I1859" s="22" t="n"/>
      <c r="J1859" s="22" t="n"/>
      <c r="K1859" s="24" t="n"/>
      <c r="W1859">
        <f>IF($A2="","",COUNTIF('07_Pallet_Contents'!$A$2:$A$3000,$A2))</f>
        <v/>
      </c>
      <c r="X1859">
        <f>IF($A2="","",SUMIF('07_Pallet_Contents'!$A$2:$A$3000,$A2,'07_Pallet_Contents'!$D$2:$D$3000))</f>
        <v/>
      </c>
      <c r="Y1859">
        <f>IF($A2="","",SUMIF('07_Pallet_Contents'!$A$2:$A$3000,$A2,'07_Pallet_Contents'!$I$2:$I$3000))</f>
        <v/>
      </c>
      <c r="Z1859">
        <f>IF($A2="","",IF(COUNTIF('07_Pallet_Contents'!$A$2:$A$3000,$A2)&gt;0,"Yes",""))</f>
        <v/>
      </c>
    </row>
    <row r="1860">
      <c r="B1860" s="22" t="n"/>
      <c r="G1860" s="25" t="n"/>
      <c r="H1860" s="24">
        <f>IF(AND($F1860="TEMP",$G1860&gt;0,$M1860&lt;&gt;""),$M1860+$G1860,"")</f>
        <v/>
      </c>
      <c r="I1860" s="22" t="n"/>
      <c r="J1860" s="22" t="n"/>
      <c r="K1860" s="24" t="n"/>
      <c r="W1860">
        <f>IF($A2="","",COUNTIF('07_Pallet_Contents'!$A$2:$A$3000,$A2))</f>
        <v/>
      </c>
      <c r="X1860">
        <f>IF($A2="","",SUMIF('07_Pallet_Contents'!$A$2:$A$3000,$A2,'07_Pallet_Contents'!$D$2:$D$3000))</f>
        <v/>
      </c>
      <c r="Y1860">
        <f>IF($A2="","",SUMIF('07_Pallet_Contents'!$A$2:$A$3000,$A2,'07_Pallet_Contents'!$I$2:$I$3000))</f>
        <v/>
      </c>
      <c r="Z1860">
        <f>IF($A2="","",IF(COUNTIF('07_Pallet_Contents'!$A$2:$A$3000,$A2)&gt;0,"Yes",""))</f>
        <v/>
      </c>
    </row>
    <row r="1861">
      <c r="B1861" s="22" t="n"/>
      <c r="G1861" s="25" t="n"/>
      <c r="H1861" s="24">
        <f>IF(AND($F1861="TEMP",$G1861&gt;0,$M1861&lt;&gt;""),$M1861+$G1861,"")</f>
        <v/>
      </c>
      <c r="I1861" s="22" t="n"/>
      <c r="J1861" s="22" t="n"/>
      <c r="K1861" s="24" t="n"/>
      <c r="W1861">
        <f>IF($A2="","",COUNTIF('07_Pallet_Contents'!$A$2:$A$3000,$A2))</f>
        <v/>
      </c>
      <c r="X1861">
        <f>IF($A2="","",SUMIF('07_Pallet_Contents'!$A$2:$A$3000,$A2,'07_Pallet_Contents'!$D$2:$D$3000))</f>
        <v/>
      </c>
      <c r="Y1861">
        <f>IF($A2="","",SUMIF('07_Pallet_Contents'!$A$2:$A$3000,$A2,'07_Pallet_Contents'!$I$2:$I$3000))</f>
        <v/>
      </c>
      <c r="Z1861">
        <f>IF($A2="","",IF(COUNTIF('07_Pallet_Contents'!$A$2:$A$3000,$A2)&gt;0,"Yes",""))</f>
        <v/>
      </c>
    </row>
    <row r="1862">
      <c r="B1862" s="22" t="n"/>
      <c r="G1862" s="25" t="n"/>
      <c r="H1862" s="24">
        <f>IF(AND($F1862="TEMP",$G1862&gt;0,$M1862&lt;&gt;""),$M1862+$G1862,"")</f>
        <v/>
      </c>
      <c r="I1862" s="22" t="n"/>
      <c r="J1862" s="22" t="n"/>
      <c r="K1862" s="24" t="n"/>
      <c r="W1862">
        <f>IF($A2="","",COUNTIF('07_Pallet_Contents'!$A$2:$A$3000,$A2))</f>
        <v/>
      </c>
      <c r="X1862">
        <f>IF($A2="","",SUMIF('07_Pallet_Contents'!$A$2:$A$3000,$A2,'07_Pallet_Contents'!$D$2:$D$3000))</f>
        <v/>
      </c>
      <c r="Y1862">
        <f>IF($A2="","",SUMIF('07_Pallet_Contents'!$A$2:$A$3000,$A2,'07_Pallet_Contents'!$I$2:$I$3000))</f>
        <v/>
      </c>
      <c r="Z1862">
        <f>IF($A2="","",IF(COUNTIF('07_Pallet_Contents'!$A$2:$A$3000,$A2)&gt;0,"Yes",""))</f>
        <v/>
      </c>
    </row>
    <row r="1863">
      <c r="B1863" s="22" t="n"/>
      <c r="G1863" s="25" t="n"/>
      <c r="H1863" s="24">
        <f>IF(AND($F1863="TEMP",$G1863&gt;0,$M1863&lt;&gt;""),$M1863+$G1863,"")</f>
        <v/>
      </c>
      <c r="I1863" s="22" t="n"/>
      <c r="J1863" s="22" t="n"/>
      <c r="K1863" s="24" t="n"/>
      <c r="W1863">
        <f>IF($A2="","",COUNTIF('07_Pallet_Contents'!$A$2:$A$3000,$A2))</f>
        <v/>
      </c>
      <c r="X1863">
        <f>IF($A2="","",SUMIF('07_Pallet_Contents'!$A$2:$A$3000,$A2,'07_Pallet_Contents'!$D$2:$D$3000))</f>
        <v/>
      </c>
      <c r="Y1863">
        <f>IF($A2="","",SUMIF('07_Pallet_Contents'!$A$2:$A$3000,$A2,'07_Pallet_Contents'!$I$2:$I$3000))</f>
        <v/>
      </c>
      <c r="Z1863">
        <f>IF($A2="","",IF(COUNTIF('07_Pallet_Contents'!$A$2:$A$3000,$A2)&gt;0,"Yes",""))</f>
        <v/>
      </c>
    </row>
    <row r="1864">
      <c r="B1864" s="22" t="n"/>
      <c r="G1864" s="25" t="n"/>
      <c r="H1864" s="24">
        <f>IF(AND($F1864="TEMP",$G1864&gt;0,$M1864&lt;&gt;""),$M1864+$G1864,"")</f>
        <v/>
      </c>
      <c r="I1864" s="22" t="n"/>
      <c r="J1864" s="22" t="n"/>
      <c r="K1864" s="24" t="n"/>
      <c r="W1864">
        <f>IF($A2="","",COUNTIF('07_Pallet_Contents'!$A$2:$A$3000,$A2))</f>
        <v/>
      </c>
      <c r="X1864">
        <f>IF($A2="","",SUMIF('07_Pallet_Contents'!$A$2:$A$3000,$A2,'07_Pallet_Contents'!$D$2:$D$3000))</f>
        <v/>
      </c>
      <c r="Y1864">
        <f>IF($A2="","",SUMIF('07_Pallet_Contents'!$A$2:$A$3000,$A2,'07_Pallet_Contents'!$I$2:$I$3000))</f>
        <v/>
      </c>
      <c r="Z1864">
        <f>IF($A2="","",IF(COUNTIF('07_Pallet_Contents'!$A$2:$A$3000,$A2)&gt;0,"Yes",""))</f>
        <v/>
      </c>
    </row>
    <row r="1865">
      <c r="B1865" s="22" t="n"/>
      <c r="G1865" s="25" t="n"/>
      <c r="H1865" s="24">
        <f>IF(AND($F1865="TEMP",$G1865&gt;0,$M1865&lt;&gt;""),$M1865+$G1865,"")</f>
        <v/>
      </c>
      <c r="I1865" s="22" t="n"/>
      <c r="J1865" s="22" t="n"/>
      <c r="K1865" s="24" t="n"/>
      <c r="W1865">
        <f>IF($A2="","",COUNTIF('07_Pallet_Contents'!$A$2:$A$3000,$A2))</f>
        <v/>
      </c>
      <c r="X1865">
        <f>IF($A2="","",SUMIF('07_Pallet_Contents'!$A$2:$A$3000,$A2,'07_Pallet_Contents'!$D$2:$D$3000))</f>
        <v/>
      </c>
      <c r="Y1865">
        <f>IF($A2="","",SUMIF('07_Pallet_Contents'!$A$2:$A$3000,$A2,'07_Pallet_Contents'!$I$2:$I$3000))</f>
        <v/>
      </c>
      <c r="Z1865">
        <f>IF($A2="","",IF(COUNTIF('07_Pallet_Contents'!$A$2:$A$3000,$A2)&gt;0,"Yes",""))</f>
        <v/>
      </c>
    </row>
    <row r="1866">
      <c r="B1866" s="22" t="n"/>
      <c r="G1866" s="25" t="n"/>
      <c r="H1866" s="24">
        <f>IF(AND($F1866="TEMP",$G1866&gt;0,$M1866&lt;&gt;""),$M1866+$G1866,"")</f>
        <v/>
      </c>
      <c r="I1866" s="22" t="n"/>
      <c r="J1866" s="22" t="n"/>
      <c r="K1866" s="24" t="n"/>
      <c r="W1866">
        <f>IF($A2="","",COUNTIF('07_Pallet_Contents'!$A$2:$A$3000,$A2))</f>
        <v/>
      </c>
      <c r="X1866">
        <f>IF($A2="","",SUMIF('07_Pallet_Contents'!$A$2:$A$3000,$A2,'07_Pallet_Contents'!$D$2:$D$3000))</f>
        <v/>
      </c>
      <c r="Y1866">
        <f>IF($A2="","",SUMIF('07_Pallet_Contents'!$A$2:$A$3000,$A2,'07_Pallet_Contents'!$I$2:$I$3000))</f>
        <v/>
      </c>
      <c r="Z1866">
        <f>IF($A2="","",IF(COUNTIF('07_Pallet_Contents'!$A$2:$A$3000,$A2)&gt;0,"Yes",""))</f>
        <v/>
      </c>
    </row>
    <row r="1867">
      <c r="B1867" s="22" t="n"/>
      <c r="G1867" s="25" t="n"/>
      <c r="H1867" s="24">
        <f>IF(AND($F1867="TEMP",$G1867&gt;0,$M1867&lt;&gt;""),$M1867+$G1867,"")</f>
        <v/>
      </c>
      <c r="I1867" s="22" t="n"/>
      <c r="J1867" s="22" t="n"/>
      <c r="K1867" s="24" t="n"/>
      <c r="W1867">
        <f>IF($A2="","",COUNTIF('07_Pallet_Contents'!$A$2:$A$3000,$A2))</f>
        <v/>
      </c>
      <c r="X1867">
        <f>IF($A2="","",SUMIF('07_Pallet_Contents'!$A$2:$A$3000,$A2,'07_Pallet_Contents'!$D$2:$D$3000))</f>
        <v/>
      </c>
      <c r="Y1867">
        <f>IF($A2="","",SUMIF('07_Pallet_Contents'!$A$2:$A$3000,$A2,'07_Pallet_Contents'!$I$2:$I$3000))</f>
        <v/>
      </c>
      <c r="Z1867">
        <f>IF($A2="","",IF(COUNTIF('07_Pallet_Contents'!$A$2:$A$3000,$A2)&gt;0,"Yes",""))</f>
        <v/>
      </c>
    </row>
    <row r="1868">
      <c r="B1868" s="22" t="n"/>
      <c r="G1868" s="25" t="n"/>
      <c r="H1868" s="24">
        <f>IF(AND($F1868="TEMP",$G1868&gt;0,$M1868&lt;&gt;""),$M1868+$G1868,"")</f>
        <v/>
      </c>
      <c r="I1868" s="22" t="n"/>
      <c r="J1868" s="22" t="n"/>
      <c r="K1868" s="24" t="n"/>
      <c r="W1868">
        <f>IF($A2="","",COUNTIF('07_Pallet_Contents'!$A$2:$A$3000,$A2))</f>
        <v/>
      </c>
      <c r="X1868">
        <f>IF($A2="","",SUMIF('07_Pallet_Contents'!$A$2:$A$3000,$A2,'07_Pallet_Contents'!$D$2:$D$3000))</f>
        <v/>
      </c>
      <c r="Y1868">
        <f>IF($A2="","",SUMIF('07_Pallet_Contents'!$A$2:$A$3000,$A2,'07_Pallet_Contents'!$I$2:$I$3000))</f>
        <v/>
      </c>
      <c r="Z1868">
        <f>IF($A2="","",IF(COUNTIF('07_Pallet_Contents'!$A$2:$A$3000,$A2)&gt;0,"Yes",""))</f>
        <v/>
      </c>
    </row>
    <row r="1869">
      <c r="B1869" s="22" t="n"/>
      <c r="G1869" s="25" t="n"/>
      <c r="H1869" s="24">
        <f>IF(AND($F1869="TEMP",$G1869&gt;0,$M1869&lt;&gt;""),$M1869+$G1869,"")</f>
        <v/>
      </c>
      <c r="I1869" s="22" t="n"/>
      <c r="J1869" s="22" t="n"/>
      <c r="K1869" s="24" t="n"/>
      <c r="W1869">
        <f>IF($A2="","",COUNTIF('07_Pallet_Contents'!$A$2:$A$3000,$A2))</f>
        <v/>
      </c>
      <c r="X1869">
        <f>IF($A2="","",SUMIF('07_Pallet_Contents'!$A$2:$A$3000,$A2,'07_Pallet_Contents'!$D$2:$D$3000))</f>
        <v/>
      </c>
      <c r="Y1869">
        <f>IF($A2="","",SUMIF('07_Pallet_Contents'!$A$2:$A$3000,$A2,'07_Pallet_Contents'!$I$2:$I$3000))</f>
        <v/>
      </c>
      <c r="Z1869">
        <f>IF($A2="","",IF(COUNTIF('07_Pallet_Contents'!$A$2:$A$3000,$A2)&gt;0,"Yes",""))</f>
        <v/>
      </c>
    </row>
    <row r="1870">
      <c r="B1870" s="22" t="n"/>
      <c r="G1870" s="25" t="n"/>
      <c r="H1870" s="24">
        <f>IF(AND($F1870="TEMP",$G1870&gt;0,$M1870&lt;&gt;""),$M1870+$G1870,"")</f>
        <v/>
      </c>
      <c r="I1870" s="22" t="n"/>
      <c r="J1870" s="22" t="n"/>
      <c r="K1870" s="24" t="n"/>
      <c r="W1870">
        <f>IF($A2="","",COUNTIF('07_Pallet_Contents'!$A$2:$A$3000,$A2))</f>
        <v/>
      </c>
      <c r="X1870">
        <f>IF($A2="","",SUMIF('07_Pallet_Contents'!$A$2:$A$3000,$A2,'07_Pallet_Contents'!$D$2:$D$3000))</f>
        <v/>
      </c>
      <c r="Y1870">
        <f>IF($A2="","",SUMIF('07_Pallet_Contents'!$A$2:$A$3000,$A2,'07_Pallet_Contents'!$I$2:$I$3000))</f>
        <v/>
      </c>
      <c r="Z1870">
        <f>IF($A2="","",IF(COUNTIF('07_Pallet_Contents'!$A$2:$A$3000,$A2)&gt;0,"Yes",""))</f>
        <v/>
      </c>
    </row>
    <row r="1871">
      <c r="B1871" s="22" t="n"/>
      <c r="G1871" s="25" t="n"/>
      <c r="H1871" s="24">
        <f>IF(AND($F1871="TEMP",$G1871&gt;0,$M1871&lt;&gt;""),$M1871+$G1871,"")</f>
        <v/>
      </c>
      <c r="I1871" s="22" t="n"/>
      <c r="J1871" s="22" t="n"/>
      <c r="K1871" s="24" t="n"/>
      <c r="W1871">
        <f>IF($A2="","",COUNTIF('07_Pallet_Contents'!$A$2:$A$3000,$A2))</f>
        <v/>
      </c>
      <c r="X1871">
        <f>IF($A2="","",SUMIF('07_Pallet_Contents'!$A$2:$A$3000,$A2,'07_Pallet_Contents'!$D$2:$D$3000))</f>
        <v/>
      </c>
      <c r="Y1871">
        <f>IF($A2="","",SUMIF('07_Pallet_Contents'!$A$2:$A$3000,$A2,'07_Pallet_Contents'!$I$2:$I$3000))</f>
        <v/>
      </c>
      <c r="Z1871">
        <f>IF($A2="","",IF(COUNTIF('07_Pallet_Contents'!$A$2:$A$3000,$A2)&gt;0,"Yes",""))</f>
        <v/>
      </c>
    </row>
    <row r="1872">
      <c r="B1872" s="22" t="n"/>
      <c r="G1872" s="25" t="n"/>
      <c r="H1872" s="24">
        <f>IF(AND($F1872="TEMP",$G1872&gt;0,$M1872&lt;&gt;""),$M1872+$G1872,"")</f>
        <v/>
      </c>
      <c r="I1872" s="22" t="n"/>
      <c r="J1872" s="22" t="n"/>
      <c r="K1872" s="24" t="n"/>
      <c r="W1872">
        <f>IF($A2="","",COUNTIF('07_Pallet_Contents'!$A$2:$A$3000,$A2))</f>
        <v/>
      </c>
      <c r="X1872">
        <f>IF($A2="","",SUMIF('07_Pallet_Contents'!$A$2:$A$3000,$A2,'07_Pallet_Contents'!$D$2:$D$3000))</f>
        <v/>
      </c>
      <c r="Y1872">
        <f>IF($A2="","",SUMIF('07_Pallet_Contents'!$A$2:$A$3000,$A2,'07_Pallet_Contents'!$I$2:$I$3000))</f>
        <v/>
      </c>
      <c r="Z1872">
        <f>IF($A2="","",IF(COUNTIF('07_Pallet_Contents'!$A$2:$A$3000,$A2)&gt;0,"Yes",""))</f>
        <v/>
      </c>
    </row>
    <row r="1873">
      <c r="B1873" s="22" t="n"/>
      <c r="G1873" s="25" t="n"/>
      <c r="H1873" s="24">
        <f>IF(AND($F1873="TEMP",$G1873&gt;0,$M1873&lt;&gt;""),$M1873+$G1873,"")</f>
        <v/>
      </c>
      <c r="I1873" s="22" t="n"/>
      <c r="J1873" s="22" t="n"/>
      <c r="K1873" s="24" t="n"/>
      <c r="W1873">
        <f>IF($A2="","",COUNTIF('07_Pallet_Contents'!$A$2:$A$3000,$A2))</f>
        <v/>
      </c>
      <c r="X1873">
        <f>IF($A2="","",SUMIF('07_Pallet_Contents'!$A$2:$A$3000,$A2,'07_Pallet_Contents'!$D$2:$D$3000))</f>
        <v/>
      </c>
      <c r="Y1873">
        <f>IF($A2="","",SUMIF('07_Pallet_Contents'!$A$2:$A$3000,$A2,'07_Pallet_Contents'!$I$2:$I$3000))</f>
        <v/>
      </c>
      <c r="Z1873">
        <f>IF($A2="","",IF(COUNTIF('07_Pallet_Contents'!$A$2:$A$3000,$A2)&gt;0,"Yes",""))</f>
        <v/>
      </c>
    </row>
    <row r="1874">
      <c r="B1874" s="22" t="n"/>
      <c r="G1874" s="25" t="n"/>
      <c r="H1874" s="24">
        <f>IF(AND($F1874="TEMP",$G1874&gt;0,$M1874&lt;&gt;""),$M1874+$G1874,"")</f>
        <v/>
      </c>
      <c r="I1874" s="22" t="n"/>
      <c r="J1874" s="22" t="n"/>
      <c r="K1874" s="24" t="n"/>
      <c r="W1874">
        <f>IF($A2="","",COUNTIF('07_Pallet_Contents'!$A$2:$A$3000,$A2))</f>
        <v/>
      </c>
      <c r="X1874">
        <f>IF($A2="","",SUMIF('07_Pallet_Contents'!$A$2:$A$3000,$A2,'07_Pallet_Contents'!$D$2:$D$3000))</f>
        <v/>
      </c>
      <c r="Y1874">
        <f>IF($A2="","",SUMIF('07_Pallet_Contents'!$A$2:$A$3000,$A2,'07_Pallet_Contents'!$I$2:$I$3000))</f>
        <v/>
      </c>
      <c r="Z1874">
        <f>IF($A2="","",IF(COUNTIF('07_Pallet_Contents'!$A$2:$A$3000,$A2)&gt;0,"Yes",""))</f>
        <v/>
      </c>
    </row>
    <row r="1875">
      <c r="B1875" s="22" t="n"/>
      <c r="G1875" s="25" t="n"/>
      <c r="H1875" s="24">
        <f>IF(AND($F1875="TEMP",$G1875&gt;0,$M1875&lt;&gt;""),$M1875+$G1875,"")</f>
        <v/>
      </c>
      <c r="I1875" s="22" t="n"/>
      <c r="J1875" s="22" t="n"/>
      <c r="K1875" s="24" t="n"/>
      <c r="W1875">
        <f>IF($A2="","",COUNTIF('07_Pallet_Contents'!$A$2:$A$3000,$A2))</f>
        <v/>
      </c>
      <c r="X1875">
        <f>IF($A2="","",SUMIF('07_Pallet_Contents'!$A$2:$A$3000,$A2,'07_Pallet_Contents'!$D$2:$D$3000))</f>
        <v/>
      </c>
      <c r="Y1875">
        <f>IF($A2="","",SUMIF('07_Pallet_Contents'!$A$2:$A$3000,$A2,'07_Pallet_Contents'!$I$2:$I$3000))</f>
        <v/>
      </c>
      <c r="Z1875">
        <f>IF($A2="","",IF(COUNTIF('07_Pallet_Contents'!$A$2:$A$3000,$A2)&gt;0,"Yes",""))</f>
        <v/>
      </c>
    </row>
    <row r="1876">
      <c r="B1876" s="22" t="n"/>
      <c r="G1876" s="25" t="n"/>
      <c r="H1876" s="24">
        <f>IF(AND($F1876="TEMP",$G1876&gt;0,$M1876&lt;&gt;""),$M1876+$G1876,"")</f>
        <v/>
      </c>
      <c r="I1876" s="22" t="n"/>
      <c r="J1876" s="22" t="n"/>
      <c r="K1876" s="24" t="n"/>
      <c r="W1876">
        <f>IF($A2="","",COUNTIF('07_Pallet_Contents'!$A$2:$A$3000,$A2))</f>
        <v/>
      </c>
      <c r="X1876">
        <f>IF($A2="","",SUMIF('07_Pallet_Contents'!$A$2:$A$3000,$A2,'07_Pallet_Contents'!$D$2:$D$3000))</f>
        <v/>
      </c>
      <c r="Y1876">
        <f>IF($A2="","",SUMIF('07_Pallet_Contents'!$A$2:$A$3000,$A2,'07_Pallet_Contents'!$I$2:$I$3000))</f>
        <v/>
      </c>
      <c r="Z1876">
        <f>IF($A2="","",IF(COUNTIF('07_Pallet_Contents'!$A$2:$A$3000,$A2)&gt;0,"Yes",""))</f>
        <v/>
      </c>
    </row>
    <row r="1877">
      <c r="B1877" s="22" t="n"/>
      <c r="G1877" s="25" t="n"/>
      <c r="H1877" s="24">
        <f>IF(AND($F1877="TEMP",$G1877&gt;0,$M1877&lt;&gt;""),$M1877+$G1877,"")</f>
        <v/>
      </c>
      <c r="I1877" s="22" t="n"/>
      <c r="J1877" s="22" t="n"/>
      <c r="K1877" s="24" t="n"/>
      <c r="W1877">
        <f>IF($A2="","",COUNTIF('07_Pallet_Contents'!$A$2:$A$3000,$A2))</f>
        <v/>
      </c>
      <c r="X1877">
        <f>IF($A2="","",SUMIF('07_Pallet_Contents'!$A$2:$A$3000,$A2,'07_Pallet_Contents'!$D$2:$D$3000))</f>
        <v/>
      </c>
      <c r="Y1877">
        <f>IF($A2="","",SUMIF('07_Pallet_Contents'!$A$2:$A$3000,$A2,'07_Pallet_Contents'!$I$2:$I$3000))</f>
        <v/>
      </c>
      <c r="Z1877">
        <f>IF($A2="","",IF(COUNTIF('07_Pallet_Contents'!$A$2:$A$3000,$A2)&gt;0,"Yes",""))</f>
        <v/>
      </c>
    </row>
    <row r="1878">
      <c r="B1878" s="22" t="n"/>
      <c r="G1878" s="25" t="n"/>
      <c r="H1878" s="24">
        <f>IF(AND($F1878="TEMP",$G1878&gt;0,$M1878&lt;&gt;""),$M1878+$G1878,"")</f>
        <v/>
      </c>
      <c r="I1878" s="22" t="n"/>
      <c r="J1878" s="22" t="n"/>
      <c r="K1878" s="24" t="n"/>
      <c r="W1878">
        <f>IF($A2="","",COUNTIF('07_Pallet_Contents'!$A$2:$A$3000,$A2))</f>
        <v/>
      </c>
      <c r="X1878">
        <f>IF($A2="","",SUMIF('07_Pallet_Contents'!$A$2:$A$3000,$A2,'07_Pallet_Contents'!$D$2:$D$3000))</f>
        <v/>
      </c>
      <c r="Y1878">
        <f>IF($A2="","",SUMIF('07_Pallet_Contents'!$A$2:$A$3000,$A2,'07_Pallet_Contents'!$I$2:$I$3000))</f>
        <v/>
      </c>
      <c r="Z1878">
        <f>IF($A2="","",IF(COUNTIF('07_Pallet_Contents'!$A$2:$A$3000,$A2)&gt;0,"Yes",""))</f>
        <v/>
      </c>
    </row>
    <row r="1879">
      <c r="B1879" s="22" t="n"/>
      <c r="G1879" s="25" t="n"/>
      <c r="H1879" s="24">
        <f>IF(AND($F1879="TEMP",$G1879&gt;0,$M1879&lt;&gt;""),$M1879+$G1879,"")</f>
        <v/>
      </c>
      <c r="I1879" s="22" t="n"/>
      <c r="J1879" s="22" t="n"/>
      <c r="K1879" s="24" t="n"/>
      <c r="W1879">
        <f>IF($A2="","",COUNTIF('07_Pallet_Contents'!$A$2:$A$3000,$A2))</f>
        <v/>
      </c>
      <c r="X1879">
        <f>IF($A2="","",SUMIF('07_Pallet_Contents'!$A$2:$A$3000,$A2,'07_Pallet_Contents'!$D$2:$D$3000))</f>
        <v/>
      </c>
      <c r="Y1879">
        <f>IF($A2="","",SUMIF('07_Pallet_Contents'!$A$2:$A$3000,$A2,'07_Pallet_Contents'!$I$2:$I$3000))</f>
        <v/>
      </c>
      <c r="Z1879">
        <f>IF($A2="","",IF(COUNTIF('07_Pallet_Contents'!$A$2:$A$3000,$A2)&gt;0,"Yes",""))</f>
        <v/>
      </c>
    </row>
    <row r="1880">
      <c r="B1880" s="22" t="n"/>
      <c r="G1880" s="25" t="n"/>
      <c r="H1880" s="24">
        <f>IF(AND($F1880="TEMP",$G1880&gt;0,$M1880&lt;&gt;""),$M1880+$G1880,"")</f>
        <v/>
      </c>
      <c r="I1880" s="22" t="n"/>
      <c r="J1880" s="22" t="n"/>
      <c r="K1880" s="24" t="n"/>
      <c r="W1880">
        <f>IF($A2="","",COUNTIF('07_Pallet_Contents'!$A$2:$A$3000,$A2))</f>
        <v/>
      </c>
      <c r="X1880">
        <f>IF($A2="","",SUMIF('07_Pallet_Contents'!$A$2:$A$3000,$A2,'07_Pallet_Contents'!$D$2:$D$3000))</f>
        <v/>
      </c>
      <c r="Y1880">
        <f>IF($A2="","",SUMIF('07_Pallet_Contents'!$A$2:$A$3000,$A2,'07_Pallet_Contents'!$I$2:$I$3000))</f>
        <v/>
      </c>
      <c r="Z1880">
        <f>IF($A2="","",IF(COUNTIF('07_Pallet_Contents'!$A$2:$A$3000,$A2)&gt;0,"Yes",""))</f>
        <v/>
      </c>
    </row>
    <row r="1881">
      <c r="B1881" s="22" t="n"/>
      <c r="G1881" s="25" t="n"/>
      <c r="H1881" s="24">
        <f>IF(AND($F1881="TEMP",$G1881&gt;0,$M1881&lt;&gt;""),$M1881+$G1881,"")</f>
        <v/>
      </c>
      <c r="I1881" s="22" t="n"/>
      <c r="J1881" s="22" t="n"/>
      <c r="K1881" s="24" t="n"/>
      <c r="W1881">
        <f>IF($A2="","",COUNTIF('07_Pallet_Contents'!$A$2:$A$3000,$A2))</f>
        <v/>
      </c>
      <c r="X1881">
        <f>IF($A2="","",SUMIF('07_Pallet_Contents'!$A$2:$A$3000,$A2,'07_Pallet_Contents'!$D$2:$D$3000))</f>
        <v/>
      </c>
      <c r="Y1881">
        <f>IF($A2="","",SUMIF('07_Pallet_Contents'!$A$2:$A$3000,$A2,'07_Pallet_Contents'!$I$2:$I$3000))</f>
        <v/>
      </c>
      <c r="Z1881">
        <f>IF($A2="","",IF(COUNTIF('07_Pallet_Contents'!$A$2:$A$3000,$A2)&gt;0,"Yes",""))</f>
        <v/>
      </c>
    </row>
    <row r="1882">
      <c r="B1882" s="22" t="n"/>
      <c r="G1882" s="25" t="n"/>
      <c r="H1882" s="24">
        <f>IF(AND($F1882="TEMP",$G1882&gt;0,$M1882&lt;&gt;""),$M1882+$G1882,"")</f>
        <v/>
      </c>
      <c r="I1882" s="22" t="n"/>
      <c r="J1882" s="22" t="n"/>
      <c r="K1882" s="24" t="n"/>
      <c r="W1882">
        <f>IF($A2="","",COUNTIF('07_Pallet_Contents'!$A$2:$A$3000,$A2))</f>
        <v/>
      </c>
      <c r="X1882">
        <f>IF($A2="","",SUMIF('07_Pallet_Contents'!$A$2:$A$3000,$A2,'07_Pallet_Contents'!$D$2:$D$3000))</f>
        <v/>
      </c>
      <c r="Y1882">
        <f>IF($A2="","",SUMIF('07_Pallet_Contents'!$A$2:$A$3000,$A2,'07_Pallet_Contents'!$I$2:$I$3000))</f>
        <v/>
      </c>
      <c r="Z1882">
        <f>IF($A2="","",IF(COUNTIF('07_Pallet_Contents'!$A$2:$A$3000,$A2)&gt;0,"Yes",""))</f>
        <v/>
      </c>
    </row>
    <row r="1883">
      <c r="B1883" s="22" t="n"/>
      <c r="G1883" s="25" t="n"/>
      <c r="H1883" s="24">
        <f>IF(AND($F1883="TEMP",$G1883&gt;0,$M1883&lt;&gt;""),$M1883+$G1883,"")</f>
        <v/>
      </c>
      <c r="I1883" s="22" t="n"/>
      <c r="J1883" s="22" t="n"/>
      <c r="K1883" s="24" t="n"/>
      <c r="W1883">
        <f>IF($A2="","",COUNTIF('07_Pallet_Contents'!$A$2:$A$3000,$A2))</f>
        <v/>
      </c>
      <c r="X1883">
        <f>IF($A2="","",SUMIF('07_Pallet_Contents'!$A$2:$A$3000,$A2,'07_Pallet_Contents'!$D$2:$D$3000))</f>
        <v/>
      </c>
      <c r="Y1883">
        <f>IF($A2="","",SUMIF('07_Pallet_Contents'!$A$2:$A$3000,$A2,'07_Pallet_Contents'!$I$2:$I$3000))</f>
        <v/>
      </c>
      <c r="Z1883">
        <f>IF($A2="","",IF(COUNTIF('07_Pallet_Contents'!$A$2:$A$3000,$A2)&gt;0,"Yes",""))</f>
        <v/>
      </c>
    </row>
    <row r="1884">
      <c r="B1884" s="22" t="n"/>
      <c r="G1884" s="25" t="n"/>
      <c r="H1884" s="24">
        <f>IF(AND($F1884="TEMP",$G1884&gt;0,$M1884&lt;&gt;""),$M1884+$G1884,"")</f>
        <v/>
      </c>
      <c r="I1884" s="22" t="n"/>
      <c r="J1884" s="22" t="n"/>
      <c r="K1884" s="24" t="n"/>
      <c r="W1884">
        <f>IF($A2="","",COUNTIF('07_Pallet_Contents'!$A$2:$A$3000,$A2))</f>
        <v/>
      </c>
      <c r="X1884">
        <f>IF($A2="","",SUMIF('07_Pallet_Contents'!$A$2:$A$3000,$A2,'07_Pallet_Contents'!$D$2:$D$3000))</f>
        <v/>
      </c>
      <c r="Y1884">
        <f>IF($A2="","",SUMIF('07_Pallet_Contents'!$A$2:$A$3000,$A2,'07_Pallet_Contents'!$I$2:$I$3000))</f>
        <v/>
      </c>
      <c r="Z1884">
        <f>IF($A2="","",IF(COUNTIF('07_Pallet_Contents'!$A$2:$A$3000,$A2)&gt;0,"Yes",""))</f>
        <v/>
      </c>
    </row>
    <row r="1885">
      <c r="B1885" s="22" t="n"/>
      <c r="G1885" s="25" t="n"/>
      <c r="H1885" s="24">
        <f>IF(AND($F1885="TEMP",$G1885&gt;0,$M1885&lt;&gt;""),$M1885+$G1885,"")</f>
        <v/>
      </c>
      <c r="I1885" s="22" t="n"/>
      <c r="J1885" s="22" t="n"/>
      <c r="K1885" s="24" t="n"/>
      <c r="W1885">
        <f>IF($A2="","",COUNTIF('07_Pallet_Contents'!$A$2:$A$3000,$A2))</f>
        <v/>
      </c>
      <c r="X1885">
        <f>IF($A2="","",SUMIF('07_Pallet_Contents'!$A$2:$A$3000,$A2,'07_Pallet_Contents'!$D$2:$D$3000))</f>
        <v/>
      </c>
      <c r="Y1885">
        <f>IF($A2="","",SUMIF('07_Pallet_Contents'!$A$2:$A$3000,$A2,'07_Pallet_Contents'!$I$2:$I$3000))</f>
        <v/>
      </c>
      <c r="Z1885">
        <f>IF($A2="","",IF(COUNTIF('07_Pallet_Contents'!$A$2:$A$3000,$A2)&gt;0,"Yes",""))</f>
        <v/>
      </c>
    </row>
    <row r="1886">
      <c r="B1886" s="22" t="n"/>
      <c r="G1886" s="25" t="n"/>
      <c r="H1886" s="24">
        <f>IF(AND($F1886="TEMP",$G1886&gt;0,$M1886&lt;&gt;""),$M1886+$G1886,"")</f>
        <v/>
      </c>
      <c r="I1886" s="22" t="n"/>
      <c r="J1886" s="22" t="n"/>
      <c r="K1886" s="24" t="n"/>
      <c r="W1886">
        <f>IF($A2="","",COUNTIF('07_Pallet_Contents'!$A$2:$A$3000,$A2))</f>
        <v/>
      </c>
      <c r="X1886">
        <f>IF($A2="","",SUMIF('07_Pallet_Contents'!$A$2:$A$3000,$A2,'07_Pallet_Contents'!$D$2:$D$3000))</f>
        <v/>
      </c>
      <c r="Y1886">
        <f>IF($A2="","",SUMIF('07_Pallet_Contents'!$A$2:$A$3000,$A2,'07_Pallet_Contents'!$I$2:$I$3000))</f>
        <v/>
      </c>
      <c r="Z1886">
        <f>IF($A2="","",IF(COUNTIF('07_Pallet_Contents'!$A$2:$A$3000,$A2)&gt;0,"Yes",""))</f>
        <v/>
      </c>
    </row>
    <row r="1887">
      <c r="B1887" s="22" t="n"/>
      <c r="G1887" s="25" t="n"/>
      <c r="H1887" s="24">
        <f>IF(AND($F1887="TEMP",$G1887&gt;0,$M1887&lt;&gt;""),$M1887+$G1887,"")</f>
        <v/>
      </c>
      <c r="I1887" s="22" t="n"/>
      <c r="J1887" s="22" t="n"/>
      <c r="K1887" s="24" t="n"/>
      <c r="W1887">
        <f>IF($A2="","",COUNTIF('07_Pallet_Contents'!$A$2:$A$3000,$A2))</f>
        <v/>
      </c>
      <c r="X1887">
        <f>IF($A2="","",SUMIF('07_Pallet_Contents'!$A$2:$A$3000,$A2,'07_Pallet_Contents'!$D$2:$D$3000))</f>
        <v/>
      </c>
      <c r="Y1887">
        <f>IF($A2="","",SUMIF('07_Pallet_Contents'!$A$2:$A$3000,$A2,'07_Pallet_Contents'!$I$2:$I$3000))</f>
        <v/>
      </c>
      <c r="Z1887">
        <f>IF($A2="","",IF(COUNTIF('07_Pallet_Contents'!$A$2:$A$3000,$A2)&gt;0,"Yes",""))</f>
        <v/>
      </c>
    </row>
    <row r="1888">
      <c r="B1888" s="22" t="n"/>
      <c r="G1888" s="25" t="n"/>
      <c r="H1888" s="24">
        <f>IF(AND($F1888="TEMP",$G1888&gt;0,$M1888&lt;&gt;""),$M1888+$G1888,"")</f>
        <v/>
      </c>
      <c r="I1888" s="22" t="n"/>
      <c r="J1888" s="22" t="n"/>
      <c r="K1888" s="24" t="n"/>
      <c r="W1888">
        <f>IF($A2="","",COUNTIF('07_Pallet_Contents'!$A$2:$A$3000,$A2))</f>
        <v/>
      </c>
      <c r="X1888">
        <f>IF($A2="","",SUMIF('07_Pallet_Contents'!$A$2:$A$3000,$A2,'07_Pallet_Contents'!$D$2:$D$3000))</f>
        <v/>
      </c>
      <c r="Y1888">
        <f>IF($A2="","",SUMIF('07_Pallet_Contents'!$A$2:$A$3000,$A2,'07_Pallet_Contents'!$I$2:$I$3000))</f>
        <v/>
      </c>
      <c r="Z1888">
        <f>IF($A2="","",IF(COUNTIF('07_Pallet_Contents'!$A$2:$A$3000,$A2)&gt;0,"Yes",""))</f>
        <v/>
      </c>
    </row>
    <row r="1889">
      <c r="B1889" s="22" t="n"/>
      <c r="G1889" s="25" t="n"/>
      <c r="H1889" s="24">
        <f>IF(AND($F1889="TEMP",$G1889&gt;0,$M1889&lt;&gt;""),$M1889+$G1889,"")</f>
        <v/>
      </c>
      <c r="I1889" s="22" t="n"/>
      <c r="J1889" s="22" t="n"/>
      <c r="K1889" s="24" t="n"/>
      <c r="W1889">
        <f>IF($A2="","",COUNTIF('07_Pallet_Contents'!$A$2:$A$3000,$A2))</f>
        <v/>
      </c>
      <c r="X1889">
        <f>IF($A2="","",SUMIF('07_Pallet_Contents'!$A$2:$A$3000,$A2,'07_Pallet_Contents'!$D$2:$D$3000))</f>
        <v/>
      </c>
      <c r="Y1889">
        <f>IF($A2="","",SUMIF('07_Pallet_Contents'!$A$2:$A$3000,$A2,'07_Pallet_Contents'!$I$2:$I$3000))</f>
        <v/>
      </c>
      <c r="Z1889">
        <f>IF($A2="","",IF(COUNTIF('07_Pallet_Contents'!$A$2:$A$3000,$A2)&gt;0,"Yes",""))</f>
        <v/>
      </c>
    </row>
    <row r="1890">
      <c r="B1890" s="22" t="n"/>
      <c r="G1890" s="25" t="n"/>
      <c r="H1890" s="24">
        <f>IF(AND($F1890="TEMP",$G1890&gt;0,$M1890&lt;&gt;""),$M1890+$G1890,"")</f>
        <v/>
      </c>
      <c r="I1890" s="22" t="n"/>
      <c r="J1890" s="22" t="n"/>
      <c r="K1890" s="24" t="n"/>
      <c r="W1890">
        <f>IF($A2="","",COUNTIF('07_Pallet_Contents'!$A$2:$A$3000,$A2))</f>
        <v/>
      </c>
      <c r="X1890">
        <f>IF($A2="","",SUMIF('07_Pallet_Contents'!$A$2:$A$3000,$A2,'07_Pallet_Contents'!$D$2:$D$3000))</f>
        <v/>
      </c>
      <c r="Y1890">
        <f>IF($A2="","",SUMIF('07_Pallet_Contents'!$A$2:$A$3000,$A2,'07_Pallet_Contents'!$I$2:$I$3000))</f>
        <v/>
      </c>
      <c r="Z1890">
        <f>IF($A2="","",IF(COUNTIF('07_Pallet_Contents'!$A$2:$A$3000,$A2)&gt;0,"Yes",""))</f>
        <v/>
      </c>
    </row>
    <row r="1891">
      <c r="B1891" s="22" t="n"/>
      <c r="G1891" s="25" t="n"/>
      <c r="H1891" s="24">
        <f>IF(AND($F1891="TEMP",$G1891&gt;0,$M1891&lt;&gt;""),$M1891+$G1891,"")</f>
        <v/>
      </c>
      <c r="I1891" s="22" t="n"/>
      <c r="J1891" s="22" t="n"/>
      <c r="K1891" s="24" t="n"/>
      <c r="W1891">
        <f>IF($A2="","",COUNTIF('07_Pallet_Contents'!$A$2:$A$3000,$A2))</f>
        <v/>
      </c>
      <c r="X1891">
        <f>IF($A2="","",SUMIF('07_Pallet_Contents'!$A$2:$A$3000,$A2,'07_Pallet_Contents'!$D$2:$D$3000))</f>
        <v/>
      </c>
      <c r="Y1891">
        <f>IF($A2="","",SUMIF('07_Pallet_Contents'!$A$2:$A$3000,$A2,'07_Pallet_Contents'!$I$2:$I$3000))</f>
        <v/>
      </c>
      <c r="Z1891">
        <f>IF($A2="","",IF(COUNTIF('07_Pallet_Contents'!$A$2:$A$3000,$A2)&gt;0,"Yes",""))</f>
        <v/>
      </c>
    </row>
    <row r="1892">
      <c r="B1892" s="22" t="n"/>
      <c r="G1892" s="25" t="n"/>
      <c r="H1892" s="24">
        <f>IF(AND($F1892="TEMP",$G1892&gt;0,$M1892&lt;&gt;""),$M1892+$G1892,"")</f>
        <v/>
      </c>
      <c r="I1892" s="22" t="n"/>
      <c r="J1892" s="22" t="n"/>
      <c r="K1892" s="24" t="n"/>
      <c r="W1892">
        <f>IF($A2="","",COUNTIF('07_Pallet_Contents'!$A$2:$A$3000,$A2))</f>
        <v/>
      </c>
      <c r="X1892">
        <f>IF($A2="","",SUMIF('07_Pallet_Contents'!$A$2:$A$3000,$A2,'07_Pallet_Contents'!$D$2:$D$3000))</f>
        <v/>
      </c>
      <c r="Y1892">
        <f>IF($A2="","",SUMIF('07_Pallet_Contents'!$A$2:$A$3000,$A2,'07_Pallet_Contents'!$I$2:$I$3000))</f>
        <v/>
      </c>
      <c r="Z1892">
        <f>IF($A2="","",IF(COUNTIF('07_Pallet_Contents'!$A$2:$A$3000,$A2)&gt;0,"Yes",""))</f>
        <v/>
      </c>
    </row>
    <row r="1893">
      <c r="B1893" s="22" t="n"/>
      <c r="G1893" s="25" t="n"/>
      <c r="H1893" s="24">
        <f>IF(AND($F1893="TEMP",$G1893&gt;0,$M1893&lt;&gt;""),$M1893+$G1893,"")</f>
        <v/>
      </c>
      <c r="I1893" s="22" t="n"/>
      <c r="J1893" s="22" t="n"/>
      <c r="K1893" s="24" t="n"/>
      <c r="W1893">
        <f>IF($A2="","",COUNTIF('07_Pallet_Contents'!$A$2:$A$3000,$A2))</f>
        <v/>
      </c>
      <c r="X1893">
        <f>IF($A2="","",SUMIF('07_Pallet_Contents'!$A$2:$A$3000,$A2,'07_Pallet_Contents'!$D$2:$D$3000))</f>
        <v/>
      </c>
      <c r="Y1893">
        <f>IF($A2="","",SUMIF('07_Pallet_Contents'!$A$2:$A$3000,$A2,'07_Pallet_Contents'!$I$2:$I$3000))</f>
        <v/>
      </c>
      <c r="Z1893">
        <f>IF($A2="","",IF(COUNTIF('07_Pallet_Contents'!$A$2:$A$3000,$A2)&gt;0,"Yes",""))</f>
        <v/>
      </c>
    </row>
    <row r="1894">
      <c r="B1894" s="22" t="n"/>
      <c r="G1894" s="25" t="n"/>
      <c r="H1894" s="24">
        <f>IF(AND($F1894="TEMP",$G1894&gt;0,$M1894&lt;&gt;""),$M1894+$G1894,"")</f>
        <v/>
      </c>
      <c r="I1894" s="22" t="n"/>
      <c r="J1894" s="22" t="n"/>
      <c r="K1894" s="24" t="n"/>
      <c r="W1894">
        <f>IF($A2="","",COUNTIF('07_Pallet_Contents'!$A$2:$A$3000,$A2))</f>
        <v/>
      </c>
      <c r="X1894">
        <f>IF($A2="","",SUMIF('07_Pallet_Contents'!$A$2:$A$3000,$A2,'07_Pallet_Contents'!$D$2:$D$3000))</f>
        <v/>
      </c>
      <c r="Y1894">
        <f>IF($A2="","",SUMIF('07_Pallet_Contents'!$A$2:$A$3000,$A2,'07_Pallet_Contents'!$I$2:$I$3000))</f>
        <v/>
      </c>
      <c r="Z1894">
        <f>IF($A2="","",IF(COUNTIF('07_Pallet_Contents'!$A$2:$A$3000,$A2)&gt;0,"Yes",""))</f>
        <v/>
      </c>
    </row>
    <row r="1895">
      <c r="B1895" s="22" t="n"/>
      <c r="G1895" s="25" t="n"/>
      <c r="H1895" s="24">
        <f>IF(AND($F1895="TEMP",$G1895&gt;0,$M1895&lt;&gt;""),$M1895+$G1895,"")</f>
        <v/>
      </c>
      <c r="I1895" s="22" t="n"/>
      <c r="J1895" s="22" t="n"/>
      <c r="K1895" s="24" t="n"/>
      <c r="W1895">
        <f>IF($A2="","",COUNTIF('07_Pallet_Contents'!$A$2:$A$3000,$A2))</f>
        <v/>
      </c>
      <c r="X1895">
        <f>IF($A2="","",SUMIF('07_Pallet_Contents'!$A$2:$A$3000,$A2,'07_Pallet_Contents'!$D$2:$D$3000))</f>
        <v/>
      </c>
      <c r="Y1895">
        <f>IF($A2="","",SUMIF('07_Pallet_Contents'!$A$2:$A$3000,$A2,'07_Pallet_Contents'!$I$2:$I$3000))</f>
        <v/>
      </c>
      <c r="Z1895">
        <f>IF($A2="","",IF(COUNTIF('07_Pallet_Contents'!$A$2:$A$3000,$A2)&gt;0,"Yes",""))</f>
        <v/>
      </c>
    </row>
    <row r="1896">
      <c r="B1896" s="22" t="n"/>
      <c r="G1896" s="25" t="n"/>
      <c r="H1896" s="24">
        <f>IF(AND($F1896="TEMP",$G1896&gt;0,$M1896&lt;&gt;""),$M1896+$G1896,"")</f>
        <v/>
      </c>
      <c r="I1896" s="22" t="n"/>
      <c r="J1896" s="22" t="n"/>
      <c r="K1896" s="24" t="n"/>
      <c r="W1896">
        <f>IF($A2="","",COUNTIF('07_Pallet_Contents'!$A$2:$A$3000,$A2))</f>
        <v/>
      </c>
      <c r="X1896">
        <f>IF($A2="","",SUMIF('07_Pallet_Contents'!$A$2:$A$3000,$A2,'07_Pallet_Contents'!$D$2:$D$3000))</f>
        <v/>
      </c>
      <c r="Y1896">
        <f>IF($A2="","",SUMIF('07_Pallet_Contents'!$A$2:$A$3000,$A2,'07_Pallet_Contents'!$I$2:$I$3000))</f>
        <v/>
      </c>
      <c r="Z1896">
        <f>IF($A2="","",IF(COUNTIF('07_Pallet_Contents'!$A$2:$A$3000,$A2)&gt;0,"Yes",""))</f>
        <v/>
      </c>
    </row>
    <row r="1897">
      <c r="B1897" s="22" t="n"/>
      <c r="G1897" s="25" t="n"/>
      <c r="H1897" s="24">
        <f>IF(AND($F1897="TEMP",$G1897&gt;0,$M1897&lt;&gt;""),$M1897+$G1897,"")</f>
        <v/>
      </c>
      <c r="I1897" s="22" t="n"/>
      <c r="J1897" s="22" t="n"/>
      <c r="K1897" s="24" t="n"/>
      <c r="W1897">
        <f>IF($A2="","",COUNTIF('07_Pallet_Contents'!$A$2:$A$3000,$A2))</f>
        <v/>
      </c>
      <c r="X1897">
        <f>IF($A2="","",SUMIF('07_Pallet_Contents'!$A$2:$A$3000,$A2,'07_Pallet_Contents'!$D$2:$D$3000))</f>
        <v/>
      </c>
      <c r="Y1897">
        <f>IF($A2="","",SUMIF('07_Pallet_Contents'!$A$2:$A$3000,$A2,'07_Pallet_Contents'!$I$2:$I$3000))</f>
        <v/>
      </c>
      <c r="Z1897">
        <f>IF($A2="","",IF(COUNTIF('07_Pallet_Contents'!$A$2:$A$3000,$A2)&gt;0,"Yes",""))</f>
        <v/>
      </c>
    </row>
    <row r="1898">
      <c r="B1898" s="22" t="n"/>
      <c r="G1898" s="25" t="n"/>
      <c r="H1898" s="24">
        <f>IF(AND($F1898="TEMP",$G1898&gt;0,$M1898&lt;&gt;""),$M1898+$G1898,"")</f>
        <v/>
      </c>
      <c r="I1898" s="22" t="n"/>
      <c r="J1898" s="22" t="n"/>
      <c r="K1898" s="24" t="n"/>
      <c r="W1898">
        <f>IF($A2="","",COUNTIF('07_Pallet_Contents'!$A$2:$A$3000,$A2))</f>
        <v/>
      </c>
      <c r="X1898">
        <f>IF($A2="","",SUMIF('07_Pallet_Contents'!$A$2:$A$3000,$A2,'07_Pallet_Contents'!$D$2:$D$3000))</f>
        <v/>
      </c>
      <c r="Y1898">
        <f>IF($A2="","",SUMIF('07_Pallet_Contents'!$A$2:$A$3000,$A2,'07_Pallet_Contents'!$I$2:$I$3000))</f>
        <v/>
      </c>
      <c r="Z1898">
        <f>IF($A2="","",IF(COUNTIF('07_Pallet_Contents'!$A$2:$A$3000,$A2)&gt;0,"Yes",""))</f>
        <v/>
      </c>
    </row>
    <row r="1899">
      <c r="B1899" s="22" t="n"/>
      <c r="G1899" s="25" t="n"/>
      <c r="H1899" s="24">
        <f>IF(AND($F1899="TEMP",$G1899&gt;0,$M1899&lt;&gt;""),$M1899+$G1899,"")</f>
        <v/>
      </c>
      <c r="I1899" s="22" t="n"/>
      <c r="J1899" s="22" t="n"/>
      <c r="K1899" s="24" t="n"/>
      <c r="W1899">
        <f>IF($A2="","",COUNTIF('07_Pallet_Contents'!$A$2:$A$3000,$A2))</f>
        <v/>
      </c>
      <c r="X1899">
        <f>IF($A2="","",SUMIF('07_Pallet_Contents'!$A$2:$A$3000,$A2,'07_Pallet_Contents'!$D$2:$D$3000))</f>
        <v/>
      </c>
      <c r="Y1899">
        <f>IF($A2="","",SUMIF('07_Pallet_Contents'!$A$2:$A$3000,$A2,'07_Pallet_Contents'!$I$2:$I$3000))</f>
        <v/>
      </c>
      <c r="Z1899">
        <f>IF($A2="","",IF(COUNTIF('07_Pallet_Contents'!$A$2:$A$3000,$A2)&gt;0,"Yes",""))</f>
        <v/>
      </c>
    </row>
    <row r="1900">
      <c r="B1900" s="22" t="n"/>
      <c r="G1900" s="25" t="n"/>
      <c r="H1900" s="24">
        <f>IF(AND($F1900="TEMP",$G1900&gt;0,$M1900&lt;&gt;""),$M1900+$G1900,"")</f>
        <v/>
      </c>
      <c r="I1900" s="22" t="n"/>
      <c r="J1900" s="22" t="n"/>
      <c r="K1900" s="24" t="n"/>
      <c r="W1900">
        <f>IF($A2="","",COUNTIF('07_Pallet_Contents'!$A$2:$A$3000,$A2))</f>
        <v/>
      </c>
      <c r="X1900">
        <f>IF($A2="","",SUMIF('07_Pallet_Contents'!$A$2:$A$3000,$A2,'07_Pallet_Contents'!$D$2:$D$3000))</f>
        <v/>
      </c>
      <c r="Y1900">
        <f>IF($A2="","",SUMIF('07_Pallet_Contents'!$A$2:$A$3000,$A2,'07_Pallet_Contents'!$I$2:$I$3000))</f>
        <v/>
      </c>
      <c r="Z1900">
        <f>IF($A2="","",IF(COUNTIF('07_Pallet_Contents'!$A$2:$A$3000,$A2)&gt;0,"Yes",""))</f>
        <v/>
      </c>
    </row>
    <row r="1901">
      <c r="B1901" s="22" t="n"/>
      <c r="G1901" s="25" t="n"/>
      <c r="H1901" s="24">
        <f>IF(AND($F1901="TEMP",$G1901&gt;0,$M1901&lt;&gt;""),$M1901+$G1901,"")</f>
        <v/>
      </c>
      <c r="I1901" s="22" t="n"/>
      <c r="J1901" s="22" t="n"/>
      <c r="K1901" s="24" t="n"/>
      <c r="W1901">
        <f>IF($A2="","",COUNTIF('07_Pallet_Contents'!$A$2:$A$3000,$A2))</f>
        <v/>
      </c>
      <c r="X1901">
        <f>IF($A2="","",SUMIF('07_Pallet_Contents'!$A$2:$A$3000,$A2,'07_Pallet_Contents'!$D$2:$D$3000))</f>
        <v/>
      </c>
      <c r="Y1901">
        <f>IF($A2="","",SUMIF('07_Pallet_Contents'!$A$2:$A$3000,$A2,'07_Pallet_Contents'!$I$2:$I$3000))</f>
        <v/>
      </c>
      <c r="Z1901">
        <f>IF($A2="","",IF(COUNTIF('07_Pallet_Contents'!$A$2:$A$3000,$A2)&gt;0,"Yes",""))</f>
        <v/>
      </c>
    </row>
    <row r="1902">
      <c r="B1902" s="22" t="n"/>
      <c r="G1902" s="25" t="n"/>
      <c r="H1902" s="24">
        <f>IF(AND($F1902="TEMP",$G1902&gt;0,$M1902&lt;&gt;""),$M1902+$G1902,"")</f>
        <v/>
      </c>
      <c r="I1902" s="22" t="n"/>
      <c r="J1902" s="22" t="n"/>
      <c r="K1902" s="24" t="n"/>
      <c r="W1902">
        <f>IF($A2="","",COUNTIF('07_Pallet_Contents'!$A$2:$A$3000,$A2))</f>
        <v/>
      </c>
      <c r="X1902">
        <f>IF($A2="","",SUMIF('07_Pallet_Contents'!$A$2:$A$3000,$A2,'07_Pallet_Contents'!$D$2:$D$3000))</f>
        <v/>
      </c>
      <c r="Y1902">
        <f>IF($A2="","",SUMIF('07_Pallet_Contents'!$A$2:$A$3000,$A2,'07_Pallet_Contents'!$I$2:$I$3000))</f>
        <v/>
      </c>
      <c r="Z1902">
        <f>IF($A2="","",IF(COUNTIF('07_Pallet_Contents'!$A$2:$A$3000,$A2)&gt;0,"Yes",""))</f>
        <v/>
      </c>
    </row>
    <row r="1903">
      <c r="B1903" s="22" t="n"/>
      <c r="G1903" s="25" t="n"/>
      <c r="H1903" s="24">
        <f>IF(AND($F1903="TEMP",$G1903&gt;0,$M1903&lt;&gt;""),$M1903+$G1903,"")</f>
        <v/>
      </c>
      <c r="I1903" s="22" t="n"/>
      <c r="J1903" s="22" t="n"/>
      <c r="K1903" s="24" t="n"/>
      <c r="W1903">
        <f>IF($A2="","",COUNTIF('07_Pallet_Contents'!$A$2:$A$3000,$A2))</f>
        <v/>
      </c>
      <c r="X1903">
        <f>IF($A2="","",SUMIF('07_Pallet_Contents'!$A$2:$A$3000,$A2,'07_Pallet_Contents'!$D$2:$D$3000))</f>
        <v/>
      </c>
      <c r="Y1903">
        <f>IF($A2="","",SUMIF('07_Pallet_Contents'!$A$2:$A$3000,$A2,'07_Pallet_Contents'!$I$2:$I$3000))</f>
        <v/>
      </c>
      <c r="Z1903">
        <f>IF($A2="","",IF(COUNTIF('07_Pallet_Contents'!$A$2:$A$3000,$A2)&gt;0,"Yes",""))</f>
        <v/>
      </c>
    </row>
    <row r="1904">
      <c r="B1904" s="22" t="n"/>
      <c r="G1904" s="25" t="n"/>
      <c r="H1904" s="24">
        <f>IF(AND($F1904="TEMP",$G1904&gt;0,$M1904&lt;&gt;""),$M1904+$G1904,"")</f>
        <v/>
      </c>
      <c r="I1904" s="22" t="n"/>
      <c r="J1904" s="22" t="n"/>
      <c r="K1904" s="24" t="n"/>
      <c r="W1904">
        <f>IF($A2="","",COUNTIF('07_Pallet_Contents'!$A$2:$A$3000,$A2))</f>
        <v/>
      </c>
      <c r="X1904">
        <f>IF($A2="","",SUMIF('07_Pallet_Contents'!$A$2:$A$3000,$A2,'07_Pallet_Contents'!$D$2:$D$3000))</f>
        <v/>
      </c>
      <c r="Y1904">
        <f>IF($A2="","",SUMIF('07_Pallet_Contents'!$A$2:$A$3000,$A2,'07_Pallet_Contents'!$I$2:$I$3000))</f>
        <v/>
      </c>
      <c r="Z1904">
        <f>IF($A2="","",IF(COUNTIF('07_Pallet_Contents'!$A$2:$A$3000,$A2)&gt;0,"Yes",""))</f>
        <v/>
      </c>
    </row>
    <row r="1905">
      <c r="B1905" s="22" t="n"/>
      <c r="G1905" s="25" t="n"/>
      <c r="H1905" s="24">
        <f>IF(AND($F1905="TEMP",$G1905&gt;0,$M1905&lt;&gt;""),$M1905+$G1905,"")</f>
        <v/>
      </c>
      <c r="I1905" s="22" t="n"/>
      <c r="J1905" s="22" t="n"/>
      <c r="K1905" s="24" t="n"/>
      <c r="W1905">
        <f>IF($A2="","",COUNTIF('07_Pallet_Contents'!$A$2:$A$3000,$A2))</f>
        <v/>
      </c>
      <c r="X1905">
        <f>IF($A2="","",SUMIF('07_Pallet_Contents'!$A$2:$A$3000,$A2,'07_Pallet_Contents'!$D$2:$D$3000))</f>
        <v/>
      </c>
      <c r="Y1905">
        <f>IF($A2="","",SUMIF('07_Pallet_Contents'!$A$2:$A$3000,$A2,'07_Pallet_Contents'!$I$2:$I$3000))</f>
        <v/>
      </c>
      <c r="Z1905">
        <f>IF($A2="","",IF(COUNTIF('07_Pallet_Contents'!$A$2:$A$3000,$A2)&gt;0,"Yes",""))</f>
        <v/>
      </c>
    </row>
    <row r="1906">
      <c r="B1906" s="22" t="n"/>
      <c r="G1906" s="25" t="n"/>
      <c r="H1906" s="24">
        <f>IF(AND($F1906="TEMP",$G1906&gt;0,$M1906&lt;&gt;""),$M1906+$G1906,"")</f>
        <v/>
      </c>
      <c r="I1906" s="22" t="n"/>
      <c r="J1906" s="22" t="n"/>
      <c r="K1906" s="24" t="n"/>
      <c r="W1906">
        <f>IF($A2="","",COUNTIF('07_Pallet_Contents'!$A$2:$A$3000,$A2))</f>
        <v/>
      </c>
      <c r="X1906">
        <f>IF($A2="","",SUMIF('07_Pallet_Contents'!$A$2:$A$3000,$A2,'07_Pallet_Contents'!$D$2:$D$3000))</f>
        <v/>
      </c>
      <c r="Y1906">
        <f>IF($A2="","",SUMIF('07_Pallet_Contents'!$A$2:$A$3000,$A2,'07_Pallet_Contents'!$I$2:$I$3000))</f>
        <v/>
      </c>
      <c r="Z1906">
        <f>IF($A2="","",IF(COUNTIF('07_Pallet_Contents'!$A$2:$A$3000,$A2)&gt;0,"Yes",""))</f>
        <v/>
      </c>
    </row>
    <row r="1907">
      <c r="B1907" s="22" t="n"/>
      <c r="G1907" s="25" t="n"/>
      <c r="H1907" s="24">
        <f>IF(AND($F1907="TEMP",$G1907&gt;0,$M1907&lt;&gt;""),$M1907+$G1907,"")</f>
        <v/>
      </c>
      <c r="I1907" s="22" t="n"/>
      <c r="J1907" s="22" t="n"/>
      <c r="K1907" s="24" t="n"/>
      <c r="W1907">
        <f>IF($A2="","",COUNTIF('07_Pallet_Contents'!$A$2:$A$3000,$A2))</f>
        <v/>
      </c>
      <c r="X1907">
        <f>IF($A2="","",SUMIF('07_Pallet_Contents'!$A$2:$A$3000,$A2,'07_Pallet_Contents'!$D$2:$D$3000))</f>
        <v/>
      </c>
      <c r="Y1907">
        <f>IF($A2="","",SUMIF('07_Pallet_Contents'!$A$2:$A$3000,$A2,'07_Pallet_Contents'!$I$2:$I$3000))</f>
        <v/>
      </c>
      <c r="Z1907">
        <f>IF($A2="","",IF(COUNTIF('07_Pallet_Contents'!$A$2:$A$3000,$A2)&gt;0,"Yes",""))</f>
        <v/>
      </c>
    </row>
    <row r="1908">
      <c r="B1908" s="22" t="n"/>
      <c r="G1908" s="25" t="n"/>
      <c r="H1908" s="24">
        <f>IF(AND($F1908="TEMP",$G1908&gt;0,$M1908&lt;&gt;""),$M1908+$G1908,"")</f>
        <v/>
      </c>
      <c r="I1908" s="22" t="n"/>
      <c r="J1908" s="22" t="n"/>
      <c r="K1908" s="24" t="n"/>
      <c r="W1908">
        <f>IF($A2="","",COUNTIF('07_Pallet_Contents'!$A$2:$A$3000,$A2))</f>
        <v/>
      </c>
      <c r="X1908">
        <f>IF($A2="","",SUMIF('07_Pallet_Contents'!$A$2:$A$3000,$A2,'07_Pallet_Contents'!$D$2:$D$3000))</f>
        <v/>
      </c>
      <c r="Y1908">
        <f>IF($A2="","",SUMIF('07_Pallet_Contents'!$A$2:$A$3000,$A2,'07_Pallet_Contents'!$I$2:$I$3000))</f>
        <v/>
      </c>
      <c r="Z1908">
        <f>IF($A2="","",IF(COUNTIF('07_Pallet_Contents'!$A$2:$A$3000,$A2)&gt;0,"Yes",""))</f>
        <v/>
      </c>
    </row>
    <row r="1909">
      <c r="B1909" s="22" t="n"/>
      <c r="G1909" s="25" t="n"/>
      <c r="H1909" s="24">
        <f>IF(AND($F1909="TEMP",$G1909&gt;0,$M1909&lt;&gt;""),$M1909+$G1909,"")</f>
        <v/>
      </c>
      <c r="I1909" s="22" t="n"/>
      <c r="J1909" s="22" t="n"/>
      <c r="K1909" s="24" t="n"/>
      <c r="W1909">
        <f>IF($A2="","",COUNTIF('07_Pallet_Contents'!$A$2:$A$3000,$A2))</f>
        <v/>
      </c>
      <c r="X1909">
        <f>IF($A2="","",SUMIF('07_Pallet_Contents'!$A$2:$A$3000,$A2,'07_Pallet_Contents'!$D$2:$D$3000))</f>
        <v/>
      </c>
      <c r="Y1909">
        <f>IF($A2="","",SUMIF('07_Pallet_Contents'!$A$2:$A$3000,$A2,'07_Pallet_Contents'!$I$2:$I$3000))</f>
        <v/>
      </c>
      <c r="Z1909">
        <f>IF($A2="","",IF(COUNTIF('07_Pallet_Contents'!$A$2:$A$3000,$A2)&gt;0,"Yes",""))</f>
        <v/>
      </c>
    </row>
    <row r="1910">
      <c r="B1910" s="22" t="n"/>
      <c r="G1910" s="25" t="n"/>
      <c r="H1910" s="24">
        <f>IF(AND($F1910="TEMP",$G1910&gt;0,$M1910&lt;&gt;""),$M1910+$G1910,"")</f>
        <v/>
      </c>
      <c r="I1910" s="22" t="n"/>
      <c r="J1910" s="22" t="n"/>
      <c r="K1910" s="24" t="n"/>
      <c r="W1910">
        <f>IF($A2="","",COUNTIF('07_Pallet_Contents'!$A$2:$A$3000,$A2))</f>
        <v/>
      </c>
      <c r="X1910">
        <f>IF($A2="","",SUMIF('07_Pallet_Contents'!$A$2:$A$3000,$A2,'07_Pallet_Contents'!$D$2:$D$3000))</f>
        <v/>
      </c>
      <c r="Y1910">
        <f>IF($A2="","",SUMIF('07_Pallet_Contents'!$A$2:$A$3000,$A2,'07_Pallet_Contents'!$I$2:$I$3000))</f>
        <v/>
      </c>
      <c r="Z1910">
        <f>IF($A2="","",IF(COUNTIF('07_Pallet_Contents'!$A$2:$A$3000,$A2)&gt;0,"Yes",""))</f>
        <v/>
      </c>
    </row>
    <row r="1911">
      <c r="B1911" s="22" t="n"/>
      <c r="G1911" s="25" t="n"/>
      <c r="H1911" s="24">
        <f>IF(AND($F1911="TEMP",$G1911&gt;0,$M1911&lt;&gt;""),$M1911+$G1911,"")</f>
        <v/>
      </c>
      <c r="I1911" s="22" t="n"/>
      <c r="J1911" s="22" t="n"/>
      <c r="K1911" s="24" t="n"/>
      <c r="W1911">
        <f>IF($A2="","",COUNTIF('07_Pallet_Contents'!$A$2:$A$3000,$A2))</f>
        <v/>
      </c>
      <c r="X1911">
        <f>IF($A2="","",SUMIF('07_Pallet_Contents'!$A$2:$A$3000,$A2,'07_Pallet_Contents'!$D$2:$D$3000))</f>
        <v/>
      </c>
      <c r="Y1911">
        <f>IF($A2="","",SUMIF('07_Pallet_Contents'!$A$2:$A$3000,$A2,'07_Pallet_Contents'!$I$2:$I$3000))</f>
        <v/>
      </c>
      <c r="Z1911">
        <f>IF($A2="","",IF(COUNTIF('07_Pallet_Contents'!$A$2:$A$3000,$A2)&gt;0,"Yes",""))</f>
        <v/>
      </c>
    </row>
    <row r="1912">
      <c r="B1912" s="22" t="n"/>
      <c r="G1912" s="25" t="n"/>
      <c r="H1912" s="24">
        <f>IF(AND($F1912="TEMP",$G1912&gt;0,$M1912&lt;&gt;""),$M1912+$G1912,"")</f>
        <v/>
      </c>
      <c r="I1912" s="22" t="n"/>
      <c r="J1912" s="22" t="n"/>
      <c r="K1912" s="24" t="n"/>
      <c r="W1912">
        <f>IF($A2="","",COUNTIF('07_Pallet_Contents'!$A$2:$A$3000,$A2))</f>
        <v/>
      </c>
      <c r="X1912">
        <f>IF($A2="","",SUMIF('07_Pallet_Contents'!$A$2:$A$3000,$A2,'07_Pallet_Contents'!$D$2:$D$3000))</f>
        <v/>
      </c>
      <c r="Y1912">
        <f>IF($A2="","",SUMIF('07_Pallet_Contents'!$A$2:$A$3000,$A2,'07_Pallet_Contents'!$I$2:$I$3000))</f>
        <v/>
      </c>
      <c r="Z1912">
        <f>IF($A2="","",IF(COUNTIF('07_Pallet_Contents'!$A$2:$A$3000,$A2)&gt;0,"Yes",""))</f>
        <v/>
      </c>
    </row>
    <row r="1913">
      <c r="B1913" s="22" t="n"/>
      <c r="G1913" s="25" t="n"/>
      <c r="H1913" s="24">
        <f>IF(AND($F1913="TEMP",$G1913&gt;0,$M1913&lt;&gt;""),$M1913+$G1913,"")</f>
        <v/>
      </c>
      <c r="I1913" s="22" t="n"/>
      <c r="J1913" s="22" t="n"/>
      <c r="K1913" s="24" t="n"/>
      <c r="W1913">
        <f>IF($A2="","",COUNTIF('07_Pallet_Contents'!$A$2:$A$3000,$A2))</f>
        <v/>
      </c>
      <c r="X1913">
        <f>IF($A2="","",SUMIF('07_Pallet_Contents'!$A$2:$A$3000,$A2,'07_Pallet_Contents'!$D$2:$D$3000))</f>
        <v/>
      </c>
      <c r="Y1913">
        <f>IF($A2="","",SUMIF('07_Pallet_Contents'!$A$2:$A$3000,$A2,'07_Pallet_Contents'!$I$2:$I$3000))</f>
        <v/>
      </c>
      <c r="Z1913">
        <f>IF($A2="","",IF(COUNTIF('07_Pallet_Contents'!$A$2:$A$3000,$A2)&gt;0,"Yes",""))</f>
        <v/>
      </c>
    </row>
    <row r="1914">
      <c r="B1914" s="22" t="n"/>
      <c r="G1914" s="25" t="n"/>
      <c r="H1914" s="24">
        <f>IF(AND($F1914="TEMP",$G1914&gt;0,$M1914&lt;&gt;""),$M1914+$G1914,"")</f>
        <v/>
      </c>
      <c r="I1914" s="22" t="n"/>
      <c r="J1914" s="22" t="n"/>
      <c r="K1914" s="24" t="n"/>
      <c r="W1914">
        <f>IF($A2="","",COUNTIF('07_Pallet_Contents'!$A$2:$A$3000,$A2))</f>
        <v/>
      </c>
      <c r="X1914">
        <f>IF($A2="","",SUMIF('07_Pallet_Contents'!$A$2:$A$3000,$A2,'07_Pallet_Contents'!$D$2:$D$3000))</f>
        <v/>
      </c>
      <c r="Y1914">
        <f>IF($A2="","",SUMIF('07_Pallet_Contents'!$A$2:$A$3000,$A2,'07_Pallet_Contents'!$I$2:$I$3000))</f>
        <v/>
      </c>
      <c r="Z1914">
        <f>IF($A2="","",IF(COUNTIF('07_Pallet_Contents'!$A$2:$A$3000,$A2)&gt;0,"Yes",""))</f>
        <v/>
      </c>
    </row>
    <row r="1915">
      <c r="B1915" s="22" t="n"/>
      <c r="G1915" s="25" t="n"/>
      <c r="H1915" s="24">
        <f>IF(AND($F1915="TEMP",$G1915&gt;0,$M1915&lt;&gt;""),$M1915+$G1915,"")</f>
        <v/>
      </c>
      <c r="I1915" s="22" t="n"/>
      <c r="J1915" s="22" t="n"/>
      <c r="K1915" s="24" t="n"/>
      <c r="W1915">
        <f>IF($A2="","",COUNTIF('07_Pallet_Contents'!$A$2:$A$3000,$A2))</f>
        <v/>
      </c>
      <c r="X1915">
        <f>IF($A2="","",SUMIF('07_Pallet_Contents'!$A$2:$A$3000,$A2,'07_Pallet_Contents'!$D$2:$D$3000))</f>
        <v/>
      </c>
      <c r="Y1915">
        <f>IF($A2="","",SUMIF('07_Pallet_Contents'!$A$2:$A$3000,$A2,'07_Pallet_Contents'!$I$2:$I$3000))</f>
        <v/>
      </c>
      <c r="Z1915">
        <f>IF($A2="","",IF(COUNTIF('07_Pallet_Contents'!$A$2:$A$3000,$A2)&gt;0,"Yes",""))</f>
        <v/>
      </c>
    </row>
    <row r="1916">
      <c r="B1916" s="22" t="n"/>
      <c r="G1916" s="25" t="n"/>
      <c r="H1916" s="24">
        <f>IF(AND($F1916="TEMP",$G1916&gt;0,$M1916&lt;&gt;""),$M1916+$G1916,"")</f>
        <v/>
      </c>
      <c r="I1916" s="22" t="n"/>
      <c r="J1916" s="22" t="n"/>
      <c r="K1916" s="24" t="n"/>
      <c r="W1916">
        <f>IF($A2="","",COUNTIF('07_Pallet_Contents'!$A$2:$A$3000,$A2))</f>
        <v/>
      </c>
      <c r="X1916">
        <f>IF($A2="","",SUMIF('07_Pallet_Contents'!$A$2:$A$3000,$A2,'07_Pallet_Contents'!$D$2:$D$3000))</f>
        <v/>
      </c>
      <c r="Y1916">
        <f>IF($A2="","",SUMIF('07_Pallet_Contents'!$A$2:$A$3000,$A2,'07_Pallet_Contents'!$I$2:$I$3000))</f>
        <v/>
      </c>
      <c r="Z1916">
        <f>IF($A2="","",IF(COUNTIF('07_Pallet_Contents'!$A$2:$A$3000,$A2)&gt;0,"Yes",""))</f>
        <v/>
      </c>
    </row>
    <row r="1917">
      <c r="B1917" s="22" t="n"/>
      <c r="G1917" s="25" t="n"/>
      <c r="H1917" s="24">
        <f>IF(AND($F1917="TEMP",$G1917&gt;0,$M1917&lt;&gt;""),$M1917+$G1917,"")</f>
        <v/>
      </c>
      <c r="I1917" s="22" t="n"/>
      <c r="J1917" s="22" t="n"/>
      <c r="K1917" s="24" t="n"/>
      <c r="W1917">
        <f>IF($A2="","",COUNTIF('07_Pallet_Contents'!$A$2:$A$3000,$A2))</f>
        <v/>
      </c>
      <c r="X1917">
        <f>IF($A2="","",SUMIF('07_Pallet_Contents'!$A$2:$A$3000,$A2,'07_Pallet_Contents'!$D$2:$D$3000))</f>
        <v/>
      </c>
      <c r="Y1917">
        <f>IF($A2="","",SUMIF('07_Pallet_Contents'!$A$2:$A$3000,$A2,'07_Pallet_Contents'!$I$2:$I$3000))</f>
        <v/>
      </c>
      <c r="Z1917">
        <f>IF($A2="","",IF(COUNTIF('07_Pallet_Contents'!$A$2:$A$3000,$A2)&gt;0,"Yes",""))</f>
        <v/>
      </c>
    </row>
    <row r="1918">
      <c r="B1918" s="22" t="n"/>
      <c r="G1918" s="25" t="n"/>
      <c r="H1918" s="24">
        <f>IF(AND($F1918="TEMP",$G1918&gt;0,$M1918&lt;&gt;""),$M1918+$G1918,"")</f>
        <v/>
      </c>
      <c r="I1918" s="22" t="n"/>
      <c r="J1918" s="22" t="n"/>
      <c r="K1918" s="24" t="n"/>
      <c r="W1918">
        <f>IF($A2="","",COUNTIF('07_Pallet_Contents'!$A$2:$A$3000,$A2))</f>
        <v/>
      </c>
      <c r="X1918">
        <f>IF($A2="","",SUMIF('07_Pallet_Contents'!$A$2:$A$3000,$A2,'07_Pallet_Contents'!$D$2:$D$3000))</f>
        <v/>
      </c>
      <c r="Y1918">
        <f>IF($A2="","",SUMIF('07_Pallet_Contents'!$A$2:$A$3000,$A2,'07_Pallet_Contents'!$I$2:$I$3000))</f>
        <v/>
      </c>
      <c r="Z1918">
        <f>IF($A2="","",IF(COUNTIF('07_Pallet_Contents'!$A$2:$A$3000,$A2)&gt;0,"Yes",""))</f>
        <v/>
      </c>
    </row>
    <row r="1919">
      <c r="B1919" s="22" t="n"/>
      <c r="G1919" s="25" t="n"/>
      <c r="H1919" s="24">
        <f>IF(AND($F1919="TEMP",$G1919&gt;0,$M1919&lt;&gt;""),$M1919+$G1919,"")</f>
        <v/>
      </c>
      <c r="I1919" s="22" t="n"/>
      <c r="J1919" s="22" t="n"/>
      <c r="K1919" s="24" t="n"/>
      <c r="W1919">
        <f>IF($A2="","",COUNTIF('07_Pallet_Contents'!$A$2:$A$3000,$A2))</f>
        <v/>
      </c>
      <c r="X1919">
        <f>IF($A2="","",SUMIF('07_Pallet_Contents'!$A$2:$A$3000,$A2,'07_Pallet_Contents'!$D$2:$D$3000))</f>
        <v/>
      </c>
      <c r="Y1919">
        <f>IF($A2="","",SUMIF('07_Pallet_Contents'!$A$2:$A$3000,$A2,'07_Pallet_Contents'!$I$2:$I$3000))</f>
        <v/>
      </c>
      <c r="Z1919">
        <f>IF($A2="","",IF(COUNTIF('07_Pallet_Contents'!$A$2:$A$3000,$A2)&gt;0,"Yes",""))</f>
        <v/>
      </c>
    </row>
    <row r="1920">
      <c r="B1920" s="22" t="n"/>
      <c r="G1920" s="25" t="n"/>
      <c r="H1920" s="24">
        <f>IF(AND($F1920="TEMP",$G1920&gt;0,$M1920&lt;&gt;""),$M1920+$G1920,"")</f>
        <v/>
      </c>
      <c r="I1920" s="22" t="n"/>
      <c r="J1920" s="22" t="n"/>
      <c r="K1920" s="24" t="n"/>
      <c r="W1920">
        <f>IF($A2="","",COUNTIF('07_Pallet_Contents'!$A$2:$A$3000,$A2))</f>
        <v/>
      </c>
      <c r="X1920">
        <f>IF($A2="","",SUMIF('07_Pallet_Contents'!$A$2:$A$3000,$A2,'07_Pallet_Contents'!$D$2:$D$3000))</f>
        <v/>
      </c>
      <c r="Y1920">
        <f>IF($A2="","",SUMIF('07_Pallet_Contents'!$A$2:$A$3000,$A2,'07_Pallet_Contents'!$I$2:$I$3000))</f>
        <v/>
      </c>
      <c r="Z1920">
        <f>IF($A2="","",IF(COUNTIF('07_Pallet_Contents'!$A$2:$A$3000,$A2)&gt;0,"Yes",""))</f>
        <v/>
      </c>
    </row>
    <row r="1921">
      <c r="B1921" s="22" t="n"/>
      <c r="G1921" s="25" t="n"/>
      <c r="H1921" s="24">
        <f>IF(AND($F1921="TEMP",$G1921&gt;0,$M1921&lt;&gt;""),$M1921+$G1921,"")</f>
        <v/>
      </c>
      <c r="I1921" s="22" t="n"/>
      <c r="J1921" s="22" t="n"/>
      <c r="K1921" s="24" t="n"/>
      <c r="W1921">
        <f>IF($A2="","",COUNTIF('07_Pallet_Contents'!$A$2:$A$3000,$A2))</f>
        <v/>
      </c>
      <c r="X1921">
        <f>IF($A2="","",SUMIF('07_Pallet_Contents'!$A$2:$A$3000,$A2,'07_Pallet_Contents'!$D$2:$D$3000))</f>
        <v/>
      </c>
      <c r="Y1921">
        <f>IF($A2="","",SUMIF('07_Pallet_Contents'!$A$2:$A$3000,$A2,'07_Pallet_Contents'!$I$2:$I$3000))</f>
        <v/>
      </c>
      <c r="Z1921">
        <f>IF($A2="","",IF(COUNTIF('07_Pallet_Contents'!$A$2:$A$3000,$A2)&gt;0,"Yes",""))</f>
        <v/>
      </c>
    </row>
    <row r="1922">
      <c r="B1922" s="22" t="n"/>
      <c r="G1922" s="25" t="n"/>
      <c r="H1922" s="24">
        <f>IF(AND($F1922="TEMP",$G1922&gt;0,$M1922&lt;&gt;""),$M1922+$G1922,"")</f>
        <v/>
      </c>
      <c r="I1922" s="22" t="n"/>
      <c r="J1922" s="22" t="n"/>
      <c r="K1922" s="24" t="n"/>
      <c r="W1922">
        <f>IF($A2="","",COUNTIF('07_Pallet_Contents'!$A$2:$A$3000,$A2))</f>
        <v/>
      </c>
      <c r="X1922">
        <f>IF($A2="","",SUMIF('07_Pallet_Contents'!$A$2:$A$3000,$A2,'07_Pallet_Contents'!$D$2:$D$3000))</f>
        <v/>
      </c>
      <c r="Y1922">
        <f>IF($A2="","",SUMIF('07_Pallet_Contents'!$A$2:$A$3000,$A2,'07_Pallet_Contents'!$I$2:$I$3000))</f>
        <v/>
      </c>
      <c r="Z1922">
        <f>IF($A2="","",IF(COUNTIF('07_Pallet_Contents'!$A$2:$A$3000,$A2)&gt;0,"Yes",""))</f>
        <v/>
      </c>
    </row>
    <row r="1923">
      <c r="B1923" s="22" t="n"/>
      <c r="G1923" s="25" t="n"/>
      <c r="H1923" s="24">
        <f>IF(AND($F1923="TEMP",$G1923&gt;0,$M1923&lt;&gt;""),$M1923+$G1923,"")</f>
        <v/>
      </c>
      <c r="I1923" s="22" t="n"/>
      <c r="J1923" s="22" t="n"/>
      <c r="K1923" s="24" t="n"/>
      <c r="W1923">
        <f>IF($A2="","",COUNTIF('07_Pallet_Contents'!$A$2:$A$3000,$A2))</f>
        <v/>
      </c>
      <c r="X1923">
        <f>IF($A2="","",SUMIF('07_Pallet_Contents'!$A$2:$A$3000,$A2,'07_Pallet_Contents'!$D$2:$D$3000))</f>
        <v/>
      </c>
      <c r="Y1923">
        <f>IF($A2="","",SUMIF('07_Pallet_Contents'!$A$2:$A$3000,$A2,'07_Pallet_Contents'!$I$2:$I$3000))</f>
        <v/>
      </c>
      <c r="Z1923">
        <f>IF($A2="","",IF(COUNTIF('07_Pallet_Contents'!$A$2:$A$3000,$A2)&gt;0,"Yes",""))</f>
        <v/>
      </c>
    </row>
    <row r="1924">
      <c r="B1924" s="22" t="n"/>
      <c r="G1924" s="25" t="n"/>
      <c r="H1924" s="24">
        <f>IF(AND($F1924="TEMP",$G1924&gt;0,$M1924&lt;&gt;""),$M1924+$G1924,"")</f>
        <v/>
      </c>
      <c r="I1924" s="22" t="n"/>
      <c r="J1924" s="22" t="n"/>
      <c r="K1924" s="24" t="n"/>
      <c r="W1924">
        <f>IF($A2="","",COUNTIF('07_Pallet_Contents'!$A$2:$A$3000,$A2))</f>
        <v/>
      </c>
      <c r="X1924">
        <f>IF($A2="","",SUMIF('07_Pallet_Contents'!$A$2:$A$3000,$A2,'07_Pallet_Contents'!$D$2:$D$3000))</f>
        <v/>
      </c>
      <c r="Y1924">
        <f>IF($A2="","",SUMIF('07_Pallet_Contents'!$A$2:$A$3000,$A2,'07_Pallet_Contents'!$I$2:$I$3000))</f>
        <v/>
      </c>
      <c r="Z1924">
        <f>IF($A2="","",IF(COUNTIF('07_Pallet_Contents'!$A$2:$A$3000,$A2)&gt;0,"Yes",""))</f>
        <v/>
      </c>
    </row>
    <row r="1925">
      <c r="B1925" s="22" t="n"/>
      <c r="G1925" s="25" t="n"/>
      <c r="H1925" s="24">
        <f>IF(AND($F1925="TEMP",$G1925&gt;0,$M1925&lt;&gt;""),$M1925+$G1925,"")</f>
        <v/>
      </c>
      <c r="I1925" s="22" t="n"/>
      <c r="J1925" s="22" t="n"/>
      <c r="K1925" s="24" t="n"/>
      <c r="W1925">
        <f>IF($A2="","",COUNTIF('07_Pallet_Contents'!$A$2:$A$3000,$A2))</f>
        <v/>
      </c>
      <c r="X1925">
        <f>IF($A2="","",SUMIF('07_Pallet_Contents'!$A$2:$A$3000,$A2,'07_Pallet_Contents'!$D$2:$D$3000))</f>
        <v/>
      </c>
      <c r="Y1925">
        <f>IF($A2="","",SUMIF('07_Pallet_Contents'!$A$2:$A$3000,$A2,'07_Pallet_Contents'!$I$2:$I$3000))</f>
        <v/>
      </c>
      <c r="Z1925">
        <f>IF($A2="","",IF(COUNTIF('07_Pallet_Contents'!$A$2:$A$3000,$A2)&gt;0,"Yes",""))</f>
        <v/>
      </c>
    </row>
    <row r="1926">
      <c r="B1926" s="22" t="n"/>
      <c r="G1926" s="25" t="n"/>
      <c r="H1926" s="24">
        <f>IF(AND($F1926="TEMP",$G1926&gt;0,$M1926&lt;&gt;""),$M1926+$G1926,"")</f>
        <v/>
      </c>
      <c r="I1926" s="22" t="n"/>
      <c r="J1926" s="22" t="n"/>
      <c r="K1926" s="24" t="n"/>
      <c r="W1926">
        <f>IF($A2="","",COUNTIF('07_Pallet_Contents'!$A$2:$A$3000,$A2))</f>
        <v/>
      </c>
      <c r="X1926">
        <f>IF($A2="","",SUMIF('07_Pallet_Contents'!$A$2:$A$3000,$A2,'07_Pallet_Contents'!$D$2:$D$3000))</f>
        <v/>
      </c>
      <c r="Y1926">
        <f>IF($A2="","",SUMIF('07_Pallet_Contents'!$A$2:$A$3000,$A2,'07_Pallet_Contents'!$I$2:$I$3000))</f>
        <v/>
      </c>
      <c r="Z1926">
        <f>IF($A2="","",IF(COUNTIF('07_Pallet_Contents'!$A$2:$A$3000,$A2)&gt;0,"Yes",""))</f>
        <v/>
      </c>
    </row>
    <row r="1927">
      <c r="B1927" s="22" t="n"/>
      <c r="G1927" s="25" t="n"/>
      <c r="H1927" s="24">
        <f>IF(AND($F1927="TEMP",$G1927&gt;0,$M1927&lt;&gt;""),$M1927+$G1927,"")</f>
        <v/>
      </c>
      <c r="I1927" s="22" t="n"/>
      <c r="J1927" s="22" t="n"/>
      <c r="K1927" s="24" t="n"/>
      <c r="W1927">
        <f>IF($A2="","",COUNTIF('07_Pallet_Contents'!$A$2:$A$3000,$A2))</f>
        <v/>
      </c>
      <c r="X1927">
        <f>IF($A2="","",SUMIF('07_Pallet_Contents'!$A$2:$A$3000,$A2,'07_Pallet_Contents'!$D$2:$D$3000))</f>
        <v/>
      </c>
      <c r="Y1927">
        <f>IF($A2="","",SUMIF('07_Pallet_Contents'!$A$2:$A$3000,$A2,'07_Pallet_Contents'!$I$2:$I$3000))</f>
        <v/>
      </c>
      <c r="Z1927">
        <f>IF($A2="","",IF(COUNTIF('07_Pallet_Contents'!$A$2:$A$3000,$A2)&gt;0,"Yes",""))</f>
        <v/>
      </c>
    </row>
    <row r="1928">
      <c r="B1928" s="22" t="n"/>
      <c r="G1928" s="25" t="n"/>
      <c r="H1928" s="24">
        <f>IF(AND($F1928="TEMP",$G1928&gt;0,$M1928&lt;&gt;""),$M1928+$G1928,"")</f>
        <v/>
      </c>
      <c r="I1928" s="22" t="n"/>
      <c r="J1928" s="22" t="n"/>
      <c r="K1928" s="24" t="n"/>
      <c r="W1928">
        <f>IF($A2="","",COUNTIF('07_Pallet_Contents'!$A$2:$A$3000,$A2))</f>
        <v/>
      </c>
      <c r="X1928">
        <f>IF($A2="","",SUMIF('07_Pallet_Contents'!$A$2:$A$3000,$A2,'07_Pallet_Contents'!$D$2:$D$3000))</f>
        <v/>
      </c>
      <c r="Y1928">
        <f>IF($A2="","",SUMIF('07_Pallet_Contents'!$A$2:$A$3000,$A2,'07_Pallet_Contents'!$I$2:$I$3000))</f>
        <v/>
      </c>
      <c r="Z1928">
        <f>IF($A2="","",IF(COUNTIF('07_Pallet_Contents'!$A$2:$A$3000,$A2)&gt;0,"Yes",""))</f>
        <v/>
      </c>
    </row>
    <row r="1929">
      <c r="B1929" s="22" t="n"/>
      <c r="G1929" s="25" t="n"/>
      <c r="H1929" s="24">
        <f>IF(AND($F1929="TEMP",$G1929&gt;0,$M1929&lt;&gt;""),$M1929+$G1929,"")</f>
        <v/>
      </c>
      <c r="I1929" s="22" t="n"/>
      <c r="J1929" s="22" t="n"/>
      <c r="K1929" s="24" t="n"/>
      <c r="W1929">
        <f>IF($A2="","",COUNTIF('07_Pallet_Contents'!$A$2:$A$3000,$A2))</f>
        <v/>
      </c>
      <c r="X1929">
        <f>IF($A2="","",SUMIF('07_Pallet_Contents'!$A$2:$A$3000,$A2,'07_Pallet_Contents'!$D$2:$D$3000))</f>
        <v/>
      </c>
      <c r="Y1929">
        <f>IF($A2="","",SUMIF('07_Pallet_Contents'!$A$2:$A$3000,$A2,'07_Pallet_Contents'!$I$2:$I$3000))</f>
        <v/>
      </c>
      <c r="Z1929">
        <f>IF($A2="","",IF(COUNTIF('07_Pallet_Contents'!$A$2:$A$3000,$A2)&gt;0,"Yes",""))</f>
        <v/>
      </c>
    </row>
    <row r="1930">
      <c r="B1930" s="22" t="n"/>
      <c r="G1930" s="25" t="n"/>
      <c r="H1930" s="24">
        <f>IF(AND($F1930="TEMP",$G1930&gt;0,$M1930&lt;&gt;""),$M1930+$G1930,"")</f>
        <v/>
      </c>
      <c r="I1930" s="22" t="n"/>
      <c r="J1930" s="22" t="n"/>
      <c r="K1930" s="24" t="n"/>
      <c r="W1930">
        <f>IF($A2="","",COUNTIF('07_Pallet_Contents'!$A$2:$A$3000,$A2))</f>
        <v/>
      </c>
      <c r="X1930">
        <f>IF($A2="","",SUMIF('07_Pallet_Contents'!$A$2:$A$3000,$A2,'07_Pallet_Contents'!$D$2:$D$3000))</f>
        <v/>
      </c>
      <c r="Y1930">
        <f>IF($A2="","",SUMIF('07_Pallet_Contents'!$A$2:$A$3000,$A2,'07_Pallet_Contents'!$I$2:$I$3000))</f>
        <v/>
      </c>
      <c r="Z1930">
        <f>IF($A2="","",IF(COUNTIF('07_Pallet_Contents'!$A$2:$A$3000,$A2)&gt;0,"Yes",""))</f>
        <v/>
      </c>
    </row>
    <row r="1931">
      <c r="B1931" s="22" t="n"/>
      <c r="G1931" s="25" t="n"/>
      <c r="H1931" s="24">
        <f>IF(AND($F1931="TEMP",$G1931&gt;0,$M1931&lt;&gt;""),$M1931+$G1931,"")</f>
        <v/>
      </c>
      <c r="I1931" s="22" t="n"/>
      <c r="J1931" s="22" t="n"/>
      <c r="K1931" s="24" t="n"/>
      <c r="W1931">
        <f>IF($A2="","",COUNTIF('07_Pallet_Contents'!$A$2:$A$3000,$A2))</f>
        <v/>
      </c>
      <c r="X1931">
        <f>IF($A2="","",SUMIF('07_Pallet_Contents'!$A$2:$A$3000,$A2,'07_Pallet_Contents'!$D$2:$D$3000))</f>
        <v/>
      </c>
      <c r="Y1931">
        <f>IF($A2="","",SUMIF('07_Pallet_Contents'!$A$2:$A$3000,$A2,'07_Pallet_Contents'!$I$2:$I$3000))</f>
        <v/>
      </c>
      <c r="Z1931">
        <f>IF($A2="","",IF(COUNTIF('07_Pallet_Contents'!$A$2:$A$3000,$A2)&gt;0,"Yes",""))</f>
        <v/>
      </c>
    </row>
    <row r="1932">
      <c r="B1932" s="22" t="n"/>
      <c r="G1932" s="25" t="n"/>
      <c r="H1932" s="24">
        <f>IF(AND($F1932="TEMP",$G1932&gt;0,$M1932&lt;&gt;""),$M1932+$G1932,"")</f>
        <v/>
      </c>
      <c r="I1932" s="22" t="n"/>
      <c r="J1932" s="22" t="n"/>
      <c r="K1932" s="24" t="n"/>
      <c r="W1932">
        <f>IF($A2="","",COUNTIF('07_Pallet_Contents'!$A$2:$A$3000,$A2))</f>
        <v/>
      </c>
      <c r="X1932">
        <f>IF($A2="","",SUMIF('07_Pallet_Contents'!$A$2:$A$3000,$A2,'07_Pallet_Contents'!$D$2:$D$3000))</f>
        <v/>
      </c>
      <c r="Y1932">
        <f>IF($A2="","",SUMIF('07_Pallet_Contents'!$A$2:$A$3000,$A2,'07_Pallet_Contents'!$I$2:$I$3000))</f>
        <v/>
      </c>
      <c r="Z1932">
        <f>IF($A2="","",IF(COUNTIF('07_Pallet_Contents'!$A$2:$A$3000,$A2)&gt;0,"Yes",""))</f>
        <v/>
      </c>
    </row>
    <row r="1933">
      <c r="B1933" s="22" t="n"/>
      <c r="G1933" s="25" t="n"/>
      <c r="H1933" s="24">
        <f>IF(AND($F1933="TEMP",$G1933&gt;0,$M1933&lt;&gt;""),$M1933+$G1933,"")</f>
        <v/>
      </c>
      <c r="I1933" s="22" t="n"/>
      <c r="J1933" s="22" t="n"/>
      <c r="K1933" s="24" t="n"/>
      <c r="W1933">
        <f>IF($A2="","",COUNTIF('07_Pallet_Contents'!$A$2:$A$3000,$A2))</f>
        <v/>
      </c>
      <c r="X1933">
        <f>IF($A2="","",SUMIF('07_Pallet_Contents'!$A$2:$A$3000,$A2,'07_Pallet_Contents'!$D$2:$D$3000))</f>
        <v/>
      </c>
      <c r="Y1933">
        <f>IF($A2="","",SUMIF('07_Pallet_Contents'!$A$2:$A$3000,$A2,'07_Pallet_Contents'!$I$2:$I$3000))</f>
        <v/>
      </c>
      <c r="Z1933">
        <f>IF($A2="","",IF(COUNTIF('07_Pallet_Contents'!$A$2:$A$3000,$A2)&gt;0,"Yes",""))</f>
        <v/>
      </c>
    </row>
    <row r="1934">
      <c r="B1934" s="22" t="n"/>
      <c r="G1934" s="25" t="n"/>
      <c r="H1934" s="24">
        <f>IF(AND($F1934="TEMP",$G1934&gt;0,$M1934&lt;&gt;""),$M1934+$G1934,"")</f>
        <v/>
      </c>
      <c r="I1934" s="22" t="n"/>
      <c r="J1934" s="22" t="n"/>
      <c r="K1934" s="24" t="n"/>
      <c r="W1934">
        <f>IF($A2="","",COUNTIF('07_Pallet_Contents'!$A$2:$A$3000,$A2))</f>
        <v/>
      </c>
      <c r="X1934">
        <f>IF($A2="","",SUMIF('07_Pallet_Contents'!$A$2:$A$3000,$A2,'07_Pallet_Contents'!$D$2:$D$3000))</f>
        <v/>
      </c>
      <c r="Y1934">
        <f>IF($A2="","",SUMIF('07_Pallet_Contents'!$A$2:$A$3000,$A2,'07_Pallet_Contents'!$I$2:$I$3000))</f>
        <v/>
      </c>
      <c r="Z1934">
        <f>IF($A2="","",IF(COUNTIF('07_Pallet_Contents'!$A$2:$A$3000,$A2)&gt;0,"Yes",""))</f>
        <v/>
      </c>
    </row>
    <row r="1935">
      <c r="B1935" s="22" t="n"/>
      <c r="G1935" s="25" t="n"/>
      <c r="H1935" s="24">
        <f>IF(AND($F1935="TEMP",$G1935&gt;0,$M1935&lt;&gt;""),$M1935+$G1935,"")</f>
        <v/>
      </c>
      <c r="I1935" s="22" t="n"/>
      <c r="J1935" s="22" t="n"/>
      <c r="K1935" s="24" t="n"/>
      <c r="W1935">
        <f>IF($A2="","",COUNTIF('07_Pallet_Contents'!$A$2:$A$3000,$A2))</f>
        <v/>
      </c>
      <c r="X1935">
        <f>IF($A2="","",SUMIF('07_Pallet_Contents'!$A$2:$A$3000,$A2,'07_Pallet_Contents'!$D$2:$D$3000))</f>
        <v/>
      </c>
      <c r="Y1935">
        <f>IF($A2="","",SUMIF('07_Pallet_Contents'!$A$2:$A$3000,$A2,'07_Pallet_Contents'!$I$2:$I$3000))</f>
        <v/>
      </c>
      <c r="Z1935">
        <f>IF($A2="","",IF(COUNTIF('07_Pallet_Contents'!$A$2:$A$3000,$A2)&gt;0,"Yes",""))</f>
        <v/>
      </c>
    </row>
    <row r="1936">
      <c r="B1936" s="22" t="n"/>
      <c r="G1936" s="25" t="n"/>
      <c r="H1936" s="24">
        <f>IF(AND($F1936="TEMP",$G1936&gt;0,$M1936&lt;&gt;""),$M1936+$G1936,"")</f>
        <v/>
      </c>
      <c r="I1936" s="22" t="n"/>
      <c r="J1936" s="22" t="n"/>
      <c r="K1936" s="24" t="n"/>
      <c r="W1936">
        <f>IF($A2="","",COUNTIF('07_Pallet_Contents'!$A$2:$A$3000,$A2))</f>
        <v/>
      </c>
      <c r="X1936">
        <f>IF($A2="","",SUMIF('07_Pallet_Contents'!$A$2:$A$3000,$A2,'07_Pallet_Contents'!$D$2:$D$3000))</f>
        <v/>
      </c>
      <c r="Y1936">
        <f>IF($A2="","",SUMIF('07_Pallet_Contents'!$A$2:$A$3000,$A2,'07_Pallet_Contents'!$I$2:$I$3000))</f>
        <v/>
      </c>
      <c r="Z1936">
        <f>IF($A2="","",IF(COUNTIF('07_Pallet_Contents'!$A$2:$A$3000,$A2)&gt;0,"Yes",""))</f>
        <v/>
      </c>
    </row>
    <row r="1937">
      <c r="B1937" s="22" t="n"/>
      <c r="G1937" s="25" t="n"/>
      <c r="H1937" s="24">
        <f>IF(AND($F1937="TEMP",$G1937&gt;0,$M1937&lt;&gt;""),$M1937+$G1937,"")</f>
        <v/>
      </c>
      <c r="I1937" s="22" t="n"/>
      <c r="J1937" s="22" t="n"/>
      <c r="K1937" s="24" t="n"/>
      <c r="W1937">
        <f>IF($A2="","",COUNTIF('07_Pallet_Contents'!$A$2:$A$3000,$A2))</f>
        <v/>
      </c>
      <c r="X1937">
        <f>IF($A2="","",SUMIF('07_Pallet_Contents'!$A$2:$A$3000,$A2,'07_Pallet_Contents'!$D$2:$D$3000))</f>
        <v/>
      </c>
      <c r="Y1937">
        <f>IF($A2="","",SUMIF('07_Pallet_Contents'!$A$2:$A$3000,$A2,'07_Pallet_Contents'!$I$2:$I$3000))</f>
        <v/>
      </c>
      <c r="Z1937">
        <f>IF($A2="","",IF(COUNTIF('07_Pallet_Contents'!$A$2:$A$3000,$A2)&gt;0,"Yes",""))</f>
        <v/>
      </c>
    </row>
    <row r="1938">
      <c r="B1938" s="22" t="n"/>
      <c r="G1938" s="25" t="n"/>
      <c r="H1938" s="24">
        <f>IF(AND($F1938="TEMP",$G1938&gt;0,$M1938&lt;&gt;""),$M1938+$G1938,"")</f>
        <v/>
      </c>
      <c r="I1938" s="22" t="n"/>
      <c r="J1938" s="22" t="n"/>
      <c r="K1938" s="24" t="n"/>
      <c r="W1938">
        <f>IF($A2="","",COUNTIF('07_Pallet_Contents'!$A$2:$A$3000,$A2))</f>
        <v/>
      </c>
      <c r="X1938">
        <f>IF($A2="","",SUMIF('07_Pallet_Contents'!$A$2:$A$3000,$A2,'07_Pallet_Contents'!$D$2:$D$3000))</f>
        <v/>
      </c>
      <c r="Y1938">
        <f>IF($A2="","",SUMIF('07_Pallet_Contents'!$A$2:$A$3000,$A2,'07_Pallet_Contents'!$I$2:$I$3000))</f>
        <v/>
      </c>
      <c r="Z1938">
        <f>IF($A2="","",IF(COUNTIF('07_Pallet_Contents'!$A$2:$A$3000,$A2)&gt;0,"Yes",""))</f>
        <v/>
      </c>
    </row>
    <row r="1939">
      <c r="B1939" s="22" t="n"/>
      <c r="G1939" s="25" t="n"/>
      <c r="H1939" s="24">
        <f>IF(AND($F1939="TEMP",$G1939&gt;0,$M1939&lt;&gt;""),$M1939+$G1939,"")</f>
        <v/>
      </c>
      <c r="I1939" s="22" t="n"/>
      <c r="J1939" s="22" t="n"/>
      <c r="K1939" s="24" t="n"/>
      <c r="W1939">
        <f>IF($A2="","",COUNTIF('07_Pallet_Contents'!$A$2:$A$3000,$A2))</f>
        <v/>
      </c>
      <c r="X1939">
        <f>IF($A2="","",SUMIF('07_Pallet_Contents'!$A$2:$A$3000,$A2,'07_Pallet_Contents'!$D$2:$D$3000))</f>
        <v/>
      </c>
      <c r="Y1939">
        <f>IF($A2="","",SUMIF('07_Pallet_Contents'!$A$2:$A$3000,$A2,'07_Pallet_Contents'!$I$2:$I$3000))</f>
        <v/>
      </c>
      <c r="Z1939">
        <f>IF($A2="","",IF(COUNTIF('07_Pallet_Contents'!$A$2:$A$3000,$A2)&gt;0,"Yes",""))</f>
        <v/>
      </c>
    </row>
    <row r="1940">
      <c r="B1940" s="22" t="n"/>
      <c r="G1940" s="25" t="n"/>
      <c r="H1940" s="24">
        <f>IF(AND($F1940="TEMP",$G1940&gt;0,$M1940&lt;&gt;""),$M1940+$G1940,"")</f>
        <v/>
      </c>
      <c r="I1940" s="22" t="n"/>
      <c r="J1940" s="22" t="n"/>
      <c r="K1940" s="24" t="n"/>
      <c r="W1940">
        <f>IF($A2="","",COUNTIF('07_Pallet_Contents'!$A$2:$A$3000,$A2))</f>
        <v/>
      </c>
      <c r="X1940">
        <f>IF($A2="","",SUMIF('07_Pallet_Contents'!$A$2:$A$3000,$A2,'07_Pallet_Contents'!$D$2:$D$3000))</f>
        <v/>
      </c>
      <c r="Y1940">
        <f>IF($A2="","",SUMIF('07_Pallet_Contents'!$A$2:$A$3000,$A2,'07_Pallet_Contents'!$I$2:$I$3000))</f>
        <v/>
      </c>
      <c r="Z1940">
        <f>IF($A2="","",IF(COUNTIF('07_Pallet_Contents'!$A$2:$A$3000,$A2)&gt;0,"Yes",""))</f>
        <v/>
      </c>
    </row>
    <row r="1941">
      <c r="B1941" s="22" t="n"/>
      <c r="G1941" s="25" t="n"/>
      <c r="H1941" s="24">
        <f>IF(AND($F1941="TEMP",$G1941&gt;0,$M1941&lt;&gt;""),$M1941+$G1941,"")</f>
        <v/>
      </c>
      <c r="I1941" s="22" t="n"/>
      <c r="J1941" s="22" t="n"/>
      <c r="K1941" s="24" t="n"/>
      <c r="W1941">
        <f>IF($A2="","",COUNTIF('07_Pallet_Contents'!$A$2:$A$3000,$A2))</f>
        <v/>
      </c>
      <c r="X1941">
        <f>IF($A2="","",SUMIF('07_Pallet_Contents'!$A$2:$A$3000,$A2,'07_Pallet_Contents'!$D$2:$D$3000))</f>
        <v/>
      </c>
      <c r="Y1941">
        <f>IF($A2="","",SUMIF('07_Pallet_Contents'!$A$2:$A$3000,$A2,'07_Pallet_Contents'!$I$2:$I$3000))</f>
        <v/>
      </c>
      <c r="Z1941">
        <f>IF($A2="","",IF(COUNTIF('07_Pallet_Contents'!$A$2:$A$3000,$A2)&gt;0,"Yes",""))</f>
        <v/>
      </c>
    </row>
    <row r="1942">
      <c r="B1942" s="22" t="n"/>
      <c r="G1942" s="25" t="n"/>
      <c r="H1942" s="24">
        <f>IF(AND($F1942="TEMP",$G1942&gt;0,$M1942&lt;&gt;""),$M1942+$G1942,"")</f>
        <v/>
      </c>
      <c r="I1942" s="22" t="n"/>
      <c r="J1942" s="22" t="n"/>
      <c r="K1942" s="24" t="n"/>
      <c r="W1942">
        <f>IF($A2="","",COUNTIF('07_Pallet_Contents'!$A$2:$A$3000,$A2))</f>
        <v/>
      </c>
      <c r="X1942">
        <f>IF($A2="","",SUMIF('07_Pallet_Contents'!$A$2:$A$3000,$A2,'07_Pallet_Contents'!$D$2:$D$3000))</f>
        <v/>
      </c>
      <c r="Y1942">
        <f>IF($A2="","",SUMIF('07_Pallet_Contents'!$A$2:$A$3000,$A2,'07_Pallet_Contents'!$I$2:$I$3000))</f>
        <v/>
      </c>
      <c r="Z1942">
        <f>IF($A2="","",IF(COUNTIF('07_Pallet_Contents'!$A$2:$A$3000,$A2)&gt;0,"Yes",""))</f>
        <v/>
      </c>
    </row>
    <row r="1943">
      <c r="B1943" s="22" t="n"/>
      <c r="G1943" s="25" t="n"/>
      <c r="H1943" s="24">
        <f>IF(AND($F1943="TEMP",$G1943&gt;0,$M1943&lt;&gt;""),$M1943+$G1943,"")</f>
        <v/>
      </c>
      <c r="I1943" s="22" t="n"/>
      <c r="J1943" s="22" t="n"/>
      <c r="K1943" s="24" t="n"/>
      <c r="W1943">
        <f>IF($A2="","",COUNTIF('07_Pallet_Contents'!$A$2:$A$3000,$A2))</f>
        <v/>
      </c>
      <c r="X1943">
        <f>IF($A2="","",SUMIF('07_Pallet_Contents'!$A$2:$A$3000,$A2,'07_Pallet_Contents'!$D$2:$D$3000))</f>
        <v/>
      </c>
      <c r="Y1943">
        <f>IF($A2="","",SUMIF('07_Pallet_Contents'!$A$2:$A$3000,$A2,'07_Pallet_Contents'!$I$2:$I$3000))</f>
        <v/>
      </c>
      <c r="Z1943">
        <f>IF($A2="","",IF(COUNTIF('07_Pallet_Contents'!$A$2:$A$3000,$A2)&gt;0,"Yes",""))</f>
        <v/>
      </c>
    </row>
    <row r="1944">
      <c r="B1944" s="22" t="n"/>
      <c r="G1944" s="25" t="n"/>
      <c r="H1944" s="24">
        <f>IF(AND($F1944="TEMP",$G1944&gt;0,$M1944&lt;&gt;""),$M1944+$G1944,"")</f>
        <v/>
      </c>
      <c r="I1944" s="22" t="n"/>
      <c r="J1944" s="22" t="n"/>
      <c r="K1944" s="24" t="n"/>
      <c r="W1944">
        <f>IF($A2="","",COUNTIF('07_Pallet_Contents'!$A$2:$A$3000,$A2))</f>
        <v/>
      </c>
      <c r="X1944">
        <f>IF($A2="","",SUMIF('07_Pallet_Contents'!$A$2:$A$3000,$A2,'07_Pallet_Contents'!$D$2:$D$3000))</f>
        <v/>
      </c>
      <c r="Y1944">
        <f>IF($A2="","",SUMIF('07_Pallet_Contents'!$A$2:$A$3000,$A2,'07_Pallet_Contents'!$I$2:$I$3000))</f>
        <v/>
      </c>
      <c r="Z1944">
        <f>IF($A2="","",IF(COUNTIF('07_Pallet_Contents'!$A$2:$A$3000,$A2)&gt;0,"Yes",""))</f>
        <v/>
      </c>
    </row>
    <row r="1945">
      <c r="B1945" s="22" t="n"/>
      <c r="G1945" s="25" t="n"/>
      <c r="H1945" s="24">
        <f>IF(AND($F1945="TEMP",$G1945&gt;0,$M1945&lt;&gt;""),$M1945+$G1945,"")</f>
        <v/>
      </c>
      <c r="I1945" s="22" t="n"/>
      <c r="J1945" s="22" t="n"/>
      <c r="K1945" s="24" t="n"/>
      <c r="W1945">
        <f>IF($A2="","",COUNTIF('07_Pallet_Contents'!$A$2:$A$3000,$A2))</f>
        <v/>
      </c>
      <c r="X1945">
        <f>IF($A2="","",SUMIF('07_Pallet_Contents'!$A$2:$A$3000,$A2,'07_Pallet_Contents'!$D$2:$D$3000))</f>
        <v/>
      </c>
      <c r="Y1945">
        <f>IF($A2="","",SUMIF('07_Pallet_Contents'!$A$2:$A$3000,$A2,'07_Pallet_Contents'!$I$2:$I$3000))</f>
        <v/>
      </c>
      <c r="Z1945">
        <f>IF($A2="","",IF(COUNTIF('07_Pallet_Contents'!$A$2:$A$3000,$A2)&gt;0,"Yes",""))</f>
        <v/>
      </c>
    </row>
    <row r="1946">
      <c r="B1946" s="22" t="n"/>
      <c r="G1946" s="25" t="n"/>
      <c r="H1946" s="24">
        <f>IF(AND($F1946="TEMP",$G1946&gt;0,$M1946&lt;&gt;""),$M1946+$G1946,"")</f>
        <v/>
      </c>
      <c r="I1946" s="22" t="n"/>
      <c r="J1946" s="22" t="n"/>
      <c r="K1946" s="24" t="n"/>
      <c r="W1946">
        <f>IF($A2="","",COUNTIF('07_Pallet_Contents'!$A$2:$A$3000,$A2))</f>
        <v/>
      </c>
      <c r="X1946">
        <f>IF($A2="","",SUMIF('07_Pallet_Contents'!$A$2:$A$3000,$A2,'07_Pallet_Contents'!$D$2:$D$3000))</f>
        <v/>
      </c>
      <c r="Y1946">
        <f>IF($A2="","",SUMIF('07_Pallet_Contents'!$A$2:$A$3000,$A2,'07_Pallet_Contents'!$I$2:$I$3000))</f>
        <v/>
      </c>
      <c r="Z1946">
        <f>IF($A2="","",IF(COUNTIF('07_Pallet_Contents'!$A$2:$A$3000,$A2)&gt;0,"Yes",""))</f>
        <v/>
      </c>
    </row>
    <row r="1947">
      <c r="B1947" s="22" t="n"/>
      <c r="G1947" s="25" t="n"/>
      <c r="H1947" s="24">
        <f>IF(AND($F1947="TEMP",$G1947&gt;0,$M1947&lt;&gt;""),$M1947+$G1947,"")</f>
        <v/>
      </c>
      <c r="I1947" s="22" t="n"/>
      <c r="J1947" s="22" t="n"/>
      <c r="K1947" s="24" t="n"/>
      <c r="W1947">
        <f>IF($A2="","",COUNTIF('07_Pallet_Contents'!$A$2:$A$3000,$A2))</f>
        <v/>
      </c>
      <c r="X1947">
        <f>IF($A2="","",SUMIF('07_Pallet_Contents'!$A$2:$A$3000,$A2,'07_Pallet_Contents'!$D$2:$D$3000))</f>
        <v/>
      </c>
      <c r="Y1947">
        <f>IF($A2="","",SUMIF('07_Pallet_Contents'!$A$2:$A$3000,$A2,'07_Pallet_Contents'!$I$2:$I$3000))</f>
        <v/>
      </c>
      <c r="Z1947">
        <f>IF($A2="","",IF(COUNTIF('07_Pallet_Contents'!$A$2:$A$3000,$A2)&gt;0,"Yes",""))</f>
        <v/>
      </c>
    </row>
    <row r="1948">
      <c r="B1948" s="22" t="n"/>
      <c r="G1948" s="25" t="n"/>
      <c r="H1948" s="24">
        <f>IF(AND($F1948="TEMP",$G1948&gt;0,$M1948&lt;&gt;""),$M1948+$G1948,"")</f>
        <v/>
      </c>
      <c r="I1948" s="22" t="n"/>
      <c r="J1948" s="22" t="n"/>
      <c r="K1948" s="24" t="n"/>
      <c r="W1948">
        <f>IF($A2="","",COUNTIF('07_Pallet_Contents'!$A$2:$A$3000,$A2))</f>
        <v/>
      </c>
      <c r="X1948">
        <f>IF($A2="","",SUMIF('07_Pallet_Contents'!$A$2:$A$3000,$A2,'07_Pallet_Contents'!$D$2:$D$3000))</f>
        <v/>
      </c>
      <c r="Y1948">
        <f>IF($A2="","",SUMIF('07_Pallet_Contents'!$A$2:$A$3000,$A2,'07_Pallet_Contents'!$I$2:$I$3000))</f>
        <v/>
      </c>
      <c r="Z1948">
        <f>IF($A2="","",IF(COUNTIF('07_Pallet_Contents'!$A$2:$A$3000,$A2)&gt;0,"Yes",""))</f>
        <v/>
      </c>
    </row>
    <row r="1949">
      <c r="B1949" s="22" t="n"/>
      <c r="G1949" s="25" t="n"/>
      <c r="H1949" s="24">
        <f>IF(AND($F1949="TEMP",$G1949&gt;0,$M1949&lt;&gt;""),$M1949+$G1949,"")</f>
        <v/>
      </c>
      <c r="I1949" s="22" t="n"/>
      <c r="J1949" s="22" t="n"/>
      <c r="K1949" s="24" t="n"/>
      <c r="W1949">
        <f>IF($A2="","",COUNTIF('07_Pallet_Contents'!$A$2:$A$3000,$A2))</f>
        <v/>
      </c>
      <c r="X1949">
        <f>IF($A2="","",SUMIF('07_Pallet_Contents'!$A$2:$A$3000,$A2,'07_Pallet_Contents'!$D$2:$D$3000))</f>
        <v/>
      </c>
      <c r="Y1949">
        <f>IF($A2="","",SUMIF('07_Pallet_Contents'!$A$2:$A$3000,$A2,'07_Pallet_Contents'!$I$2:$I$3000))</f>
        <v/>
      </c>
      <c r="Z1949">
        <f>IF($A2="","",IF(COUNTIF('07_Pallet_Contents'!$A$2:$A$3000,$A2)&gt;0,"Yes",""))</f>
        <v/>
      </c>
    </row>
    <row r="1950">
      <c r="B1950" s="22" t="n"/>
      <c r="G1950" s="25" t="n"/>
      <c r="H1950" s="24">
        <f>IF(AND($F1950="TEMP",$G1950&gt;0,$M1950&lt;&gt;""),$M1950+$G1950,"")</f>
        <v/>
      </c>
      <c r="I1950" s="22" t="n"/>
      <c r="J1950" s="22" t="n"/>
      <c r="K1950" s="24" t="n"/>
      <c r="W1950">
        <f>IF($A2="","",COUNTIF('07_Pallet_Contents'!$A$2:$A$3000,$A2))</f>
        <v/>
      </c>
      <c r="X1950">
        <f>IF($A2="","",SUMIF('07_Pallet_Contents'!$A$2:$A$3000,$A2,'07_Pallet_Contents'!$D$2:$D$3000))</f>
        <v/>
      </c>
      <c r="Y1950">
        <f>IF($A2="","",SUMIF('07_Pallet_Contents'!$A$2:$A$3000,$A2,'07_Pallet_Contents'!$I$2:$I$3000))</f>
        <v/>
      </c>
      <c r="Z1950">
        <f>IF($A2="","",IF(COUNTIF('07_Pallet_Contents'!$A$2:$A$3000,$A2)&gt;0,"Yes",""))</f>
        <v/>
      </c>
    </row>
    <row r="1951">
      <c r="B1951" s="22" t="n"/>
      <c r="G1951" s="25" t="n"/>
      <c r="H1951" s="24">
        <f>IF(AND($F1951="TEMP",$G1951&gt;0,$M1951&lt;&gt;""),$M1951+$G1951,"")</f>
        <v/>
      </c>
      <c r="I1951" s="22" t="n"/>
      <c r="J1951" s="22" t="n"/>
      <c r="K1951" s="24" t="n"/>
      <c r="W1951">
        <f>IF($A2="","",COUNTIF('07_Pallet_Contents'!$A$2:$A$3000,$A2))</f>
        <v/>
      </c>
      <c r="X1951">
        <f>IF($A2="","",SUMIF('07_Pallet_Contents'!$A$2:$A$3000,$A2,'07_Pallet_Contents'!$D$2:$D$3000))</f>
        <v/>
      </c>
      <c r="Y1951">
        <f>IF($A2="","",SUMIF('07_Pallet_Contents'!$A$2:$A$3000,$A2,'07_Pallet_Contents'!$I$2:$I$3000))</f>
        <v/>
      </c>
      <c r="Z1951">
        <f>IF($A2="","",IF(COUNTIF('07_Pallet_Contents'!$A$2:$A$3000,$A2)&gt;0,"Yes",""))</f>
        <v/>
      </c>
    </row>
    <row r="1952">
      <c r="B1952" s="22" t="n"/>
      <c r="G1952" s="25" t="n"/>
      <c r="H1952" s="24">
        <f>IF(AND($F1952="TEMP",$G1952&gt;0,$M1952&lt;&gt;""),$M1952+$G1952,"")</f>
        <v/>
      </c>
      <c r="I1952" s="22" t="n"/>
      <c r="J1952" s="22" t="n"/>
      <c r="K1952" s="24" t="n"/>
      <c r="W1952">
        <f>IF($A2="","",COUNTIF('07_Pallet_Contents'!$A$2:$A$3000,$A2))</f>
        <v/>
      </c>
      <c r="X1952">
        <f>IF($A2="","",SUMIF('07_Pallet_Contents'!$A$2:$A$3000,$A2,'07_Pallet_Contents'!$D$2:$D$3000))</f>
        <v/>
      </c>
      <c r="Y1952">
        <f>IF($A2="","",SUMIF('07_Pallet_Contents'!$A$2:$A$3000,$A2,'07_Pallet_Contents'!$I$2:$I$3000))</f>
        <v/>
      </c>
      <c r="Z1952">
        <f>IF($A2="","",IF(COUNTIF('07_Pallet_Contents'!$A$2:$A$3000,$A2)&gt;0,"Yes",""))</f>
        <v/>
      </c>
    </row>
    <row r="1953">
      <c r="B1953" s="22" t="n"/>
      <c r="G1953" s="25" t="n"/>
      <c r="H1953" s="24">
        <f>IF(AND($F1953="TEMP",$G1953&gt;0,$M1953&lt;&gt;""),$M1953+$G1953,"")</f>
        <v/>
      </c>
      <c r="I1953" s="22" t="n"/>
      <c r="J1953" s="22" t="n"/>
      <c r="K1953" s="24" t="n"/>
      <c r="W1953">
        <f>IF($A2="","",COUNTIF('07_Pallet_Contents'!$A$2:$A$3000,$A2))</f>
        <v/>
      </c>
      <c r="X1953">
        <f>IF($A2="","",SUMIF('07_Pallet_Contents'!$A$2:$A$3000,$A2,'07_Pallet_Contents'!$D$2:$D$3000))</f>
        <v/>
      </c>
      <c r="Y1953">
        <f>IF($A2="","",SUMIF('07_Pallet_Contents'!$A$2:$A$3000,$A2,'07_Pallet_Contents'!$I$2:$I$3000))</f>
        <v/>
      </c>
      <c r="Z1953">
        <f>IF($A2="","",IF(COUNTIF('07_Pallet_Contents'!$A$2:$A$3000,$A2)&gt;0,"Yes",""))</f>
        <v/>
      </c>
    </row>
    <row r="1954">
      <c r="B1954" s="22" t="n"/>
      <c r="G1954" s="25" t="n"/>
      <c r="H1954" s="24">
        <f>IF(AND($F1954="TEMP",$G1954&gt;0,$M1954&lt;&gt;""),$M1954+$G1954,"")</f>
        <v/>
      </c>
      <c r="I1954" s="22" t="n"/>
      <c r="J1954" s="22" t="n"/>
      <c r="K1954" s="24" t="n"/>
      <c r="W1954">
        <f>IF($A2="","",COUNTIF('07_Pallet_Contents'!$A$2:$A$3000,$A2))</f>
        <v/>
      </c>
      <c r="X1954">
        <f>IF($A2="","",SUMIF('07_Pallet_Contents'!$A$2:$A$3000,$A2,'07_Pallet_Contents'!$D$2:$D$3000))</f>
        <v/>
      </c>
      <c r="Y1954">
        <f>IF($A2="","",SUMIF('07_Pallet_Contents'!$A$2:$A$3000,$A2,'07_Pallet_Contents'!$I$2:$I$3000))</f>
        <v/>
      </c>
      <c r="Z1954">
        <f>IF($A2="","",IF(COUNTIF('07_Pallet_Contents'!$A$2:$A$3000,$A2)&gt;0,"Yes",""))</f>
        <v/>
      </c>
    </row>
    <row r="1955">
      <c r="B1955" s="22" t="n"/>
      <c r="G1955" s="25" t="n"/>
      <c r="H1955" s="24">
        <f>IF(AND($F1955="TEMP",$G1955&gt;0,$M1955&lt;&gt;""),$M1955+$G1955,"")</f>
        <v/>
      </c>
      <c r="I1955" s="22" t="n"/>
      <c r="J1955" s="22" t="n"/>
      <c r="K1955" s="24" t="n"/>
      <c r="W1955">
        <f>IF($A2="","",COUNTIF('07_Pallet_Contents'!$A$2:$A$3000,$A2))</f>
        <v/>
      </c>
      <c r="X1955">
        <f>IF($A2="","",SUMIF('07_Pallet_Contents'!$A$2:$A$3000,$A2,'07_Pallet_Contents'!$D$2:$D$3000))</f>
        <v/>
      </c>
      <c r="Y1955">
        <f>IF($A2="","",SUMIF('07_Pallet_Contents'!$A$2:$A$3000,$A2,'07_Pallet_Contents'!$I$2:$I$3000))</f>
        <v/>
      </c>
      <c r="Z1955">
        <f>IF($A2="","",IF(COUNTIF('07_Pallet_Contents'!$A$2:$A$3000,$A2)&gt;0,"Yes",""))</f>
        <v/>
      </c>
    </row>
    <row r="1956">
      <c r="B1956" s="22" t="n"/>
      <c r="G1956" s="25" t="n"/>
      <c r="H1956" s="24">
        <f>IF(AND($F1956="TEMP",$G1956&gt;0,$M1956&lt;&gt;""),$M1956+$G1956,"")</f>
        <v/>
      </c>
      <c r="I1956" s="22" t="n"/>
      <c r="J1956" s="22" t="n"/>
      <c r="K1956" s="24" t="n"/>
      <c r="W1956">
        <f>IF($A2="","",COUNTIF('07_Pallet_Contents'!$A$2:$A$3000,$A2))</f>
        <v/>
      </c>
      <c r="X1956">
        <f>IF($A2="","",SUMIF('07_Pallet_Contents'!$A$2:$A$3000,$A2,'07_Pallet_Contents'!$D$2:$D$3000))</f>
        <v/>
      </c>
      <c r="Y1956">
        <f>IF($A2="","",SUMIF('07_Pallet_Contents'!$A$2:$A$3000,$A2,'07_Pallet_Contents'!$I$2:$I$3000))</f>
        <v/>
      </c>
      <c r="Z1956">
        <f>IF($A2="","",IF(COUNTIF('07_Pallet_Contents'!$A$2:$A$3000,$A2)&gt;0,"Yes",""))</f>
        <v/>
      </c>
    </row>
    <row r="1957">
      <c r="B1957" s="22" t="n"/>
      <c r="G1957" s="25" t="n"/>
      <c r="H1957" s="24">
        <f>IF(AND($F1957="TEMP",$G1957&gt;0,$M1957&lt;&gt;""),$M1957+$G1957,"")</f>
        <v/>
      </c>
      <c r="I1957" s="22" t="n"/>
      <c r="J1957" s="22" t="n"/>
      <c r="K1957" s="24" t="n"/>
      <c r="W1957">
        <f>IF($A2="","",COUNTIF('07_Pallet_Contents'!$A$2:$A$3000,$A2))</f>
        <v/>
      </c>
      <c r="X1957">
        <f>IF($A2="","",SUMIF('07_Pallet_Contents'!$A$2:$A$3000,$A2,'07_Pallet_Contents'!$D$2:$D$3000))</f>
        <v/>
      </c>
      <c r="Y1957">
        <f>IF($A2="","",SUMIF('07_Pallet_Contents'!$A$2:$A$3000,$A2,'07_Pallet_Contents'!$I$2:$I$3000))</f>
        <v/>
      </c>
      <c r="Z1957">
        <f>IF($A2="","",IF(COUNTIF('07_Pallet_Contents'!$A$2:$A$3000,$A2)&gt;0,"Yes",""))</f>
        <v/>
      </c>
    </row>
    <row r="1958">
      <c r="B1958" s="22" t="n"/>
      <c r="G1958" s="25" t="n"/>
      <c r="H1958" s="24">
        <f>IF(AND($F1958="TEMP",$G1958&gt;0,$M1958&lt;&gt;""),$M1958+$G1958,"")</f>
        <v/>
      </c>
      <c r="I1958" s="22" t="n"/>
      <c r="J1958" s="22" t="n"/>
      <c r="K1958" s="24" t="n"/>
      <c r="W1958">
        <f>IF($A2="","",COUNTIF('07_Pallet_Contents'!$A$2:$A$3000,$A2))</f>
        <v/>
      </c>
      <c r="X1958">
        <f>IF($A2="","",SUMIF('07_Pallet_Contents'!$A$2:$A$3000,$A2,'07_Pallet_Contents'!$D$2:$D$3000))</f>
        <v/>
      </c>
      <c r="Y1958">
        <f>IF($A2="","",SUMIF('07_Pallet_Contents'!$A$2:$A$3000,$A2,'07_Pallet_Contents'!$I$2:$I$3000))</f>
        <v/>
      </c>
      <c r="Z1958">
        <f>IF($A2="","",IF(COUNTIF('07_Pallet_Contents'!$A$2:$A$3000,$A2)&gt;0,"Yes",""))</f>
        <v/>
      </c>
    </row>
    <row r="1959">
      <c r="B1959" s="22" t="n"/>
      <c r="G1959" s="25" t="n"/>
      <c r="H1959" s="24">
        <f>IF(AND($F1959="TEMP",$G1959&gt;0,$M1959&lt;&gt;""),$M1959+$G1959,"")</f>
        <v/>
      </c>
      <c r="I1959" s="22" t="n"/>
      <c r="J1959" s="22" t="n"/>
      <c r="K1959" s="24" t="n"/>
      <c r="W1959">
        <f>IF($A2="","",COUNTIF('07_Pallet_Contents'!$A$2:$A$3000,$A2))</f>
        <v/>
      </c>
      <c r="X1959">
        <f>IF($A2="","",SUMIF('07_Pallet_Contents'!$A$2:$A$3000,$A2,'07_Pallet_Contents'!$D$2:$D$3000))</f>
        <v/>
      </c>
      <c r="Y1959">
        <f>IF($A2="","",SUMIF('07_Pallet_Contents'!$A$2:$A$3000,$A2,'07_Pallet_Contents'!$I$2:$I$3000))</f>
        <v/>
      </c>
      <c r="Z1959">
        <f>IF($A2="","",IF(COUNTIF('07_Pallet_Contents'!$A$2:$A$3000,$A2)&gt;0,"Yes",""))</f>
        <v/>
      </c>
    </row>
    <row r="1960">
      <c r="B1960" s="22" t="n"/>
      <c r="G1960" s="25" t="n"/>
      <c r="H1960" s="24">
        <f>IF(AND($F1960="TEMP",$G1960&gt;0,$M1960&lt;&gt;""),$M1960+$G1960,"")</f>
        <v/>
      </c>
      <c r="I1960" s="22" t="n"/>
      <c r="J1960" s="22" t="n"/>
      <c r="K1960" s="24" t="n"/>
      <c r="W1960">
        <f>IF($A2="","",COUNTIF('07_Pallet_Contents'!$A$2:$A$3000,$A2))</f>
        <v/>
      </c>
      <c r="X1960">
        <f>IF($A2="","",SUMIF('07_Pallet_Contents'!$A$2:$A$3000,$A2,'07_Pallet_Contents'!$D$2:$D$3000))</f>
        <v/>
      </c>
      <c r="Y1960">
        <f>IF($A2="","",SUMIF('07_Pallet_Contents'!$A$2:$A$3000,$A2,'07_Pallet_Contents'!$I$2:$I$3000))</f>
        <v/>
      </c>
      <c r="Z1960">
        <f>IF($A2="","",IF(COUNTIF('07_Pallet_Contents'!$A$2:$A$3000,$A2)&gt;0,"Yes",""))</f>
        <v/>
      </c>
    </row>
    <row r="1961">
      <c r="B1961" s="22" t="n"/>
      <c r="G1961" s="25" t="n"/>
      <c r="H1961" s="24">
        <f>IF(AND($F1961="TEMP",$G1961&gt;0,$M1961&lt;&gt;""),$M1961+$G1961,"")</f>
        <v/>
      </c>
      <c r="I1961" s="22" t="n"/>
      <c r="J1961" s="22" t="n"/>
      <c r="K1961" s="24" t="n"/>
      <c r="W1961">
        <f>IF($A2="","",COUNTIF('07_Pallet_Contents'!$A$2:$A$3000,$A2))</f>
        <v/>
      </c>
      <c r="X1961">
        <f>IF($A2="","",SUMIF('07_Pallet_Contents'!$A$2:$A$3000,$A2,'07_Pallet_Contents'!$D$2:$D$3000))</f>
        <v/>
      </c>
      <c r="Y1961">
        <f>IF($A2="","",SUMIF('07_Pallet_Contents'!$A$2:$A$3000,$A2,'07_Pallet_Contents'!$I$2:$I$3000))</f>
        <v/>
      </c>
      <c r="Z1961">
        <f>IF($A2="","",IF(COUNTIF('07_Pallet_Contents'!$A$2:$A$3000,$A2)&gt;0,"Yes",""))</f>
        <v/>
      </c>
    </row>
    <row r="1962">
      <c r="B1962" s="22" t="n"/>
      <c r="G1962" s="25" t="n"/>
      <c r="H1962" s="24">
        <f>IF(AND($F1962="TEMP",$G1962&gt;0,$M1962&lt;&gt;""),$M1962+$G1962,"")</f>
        <v/>
      </c>
      <c r="I1962" s="22" t="n"/>
      <c r="J1962" s="22" t="n"/>
      <c r="K1962" s="24" t="n"/>
      <c r="W1962">
        <f>IF($A2="","",COUNTIF('07_Pallet_Contents'!$A$2:$A$3000,$A2))</f>
        <v/>
      </c>
      <c r="X1962">
        <f>IF($A2="","",SUMIF('07_Pallet_Contents'!$A$2:$A$3000,$A2,'07_Pallet_Contents'!$D$2:$D$3000))</f>
        <v/>
      </c>
      <c r="Y1962">
        <f>IF($A2="","",SUMIF('07_Pallet_Contents'!$A$2:$A$3000,$A2,'07_Pallet_Contents'!$I$2:$I$3000))</f>
        <v/>
      </c>
      <c r="Z1962">
        <f>IF($A2="","",IF(COUNTIF('07_Pallet_Contents'!$A$2:$A$3000,$A2)&gt;0,"Yes",""))</f>
        <v/>
      </c>
    </row>
    <row r="1963">
      <c r="B1963" s="22" t="n"/>
      <c r="G1963" s="25" t="n"/>
      <c r="H1963" s="24">
        <f>IF(AND($F1963="TEMP",$G1963&gt;0,$M1963&lt;&gt;""),$M1963+$G1963,"")</f>
        <v/>
      </c>
      <c r="I1963" s="22" t="n"/>
      <c r="J1963" s="22" t="n"/>
      <c r="K1963" s="24" t="n"/>
      <c r="W1963">
        <f>IF($A2="","",COUNTIF('07_Pallet_Contents'!$A$2:$A$3000,$A2))</f>
        <v/>
      </c>
      <c r="X1963">
        <f>IF($A2="","",SUMIF('07_Pallet_Contents'!$A$2:$A$3000,$A2,'07_Pallet_Contents'!$D$2:$D$3000))</f>
        <v/>
      </c>
      <c r="Y1963">
        <f>IF($A2="","",SUMIF('07_Pallet_Contents'!$A$2:$A$3000,$A2,'07_Pallet_Contents'!$I$2:$I$3000))</f>
        <v/>
      </c>
      <c r="Z1963">
        <f>IF($A2="","",IF(COUNTIF('07_Pallet_Contents'!$A$2:$A$3000,$A2)&gt;0,"Yes",""))</f>
        <v/>
      </c>
    </row>
    <row r="1964">
      <c r="B1964" s="22" t="n"/>
      <c r="G1964" s="25" t="n"/>
      <c r="H1964" s="24">
        <f>IF(AND($F1964="TEMP",$G1964&gt;0,$M1964&lt;&gt;""),$M1964+$G1964,"")</f>
        <v/>
      </c>
      <c r="I1964" s="22" t="n"/>
      <c r="J1964" s="22" t="n"/>
      <c r="K1964" s="24" t="n"/>
      <c r="W1964">
        <f>IF($A2="","",COUNTIF('07_Pallet_Contents'!$A$2:$A$3000,$A2))</f>
        <v/>
      </c>
      <c r="X1964">
        <f>IF($A2="","",SUMIF('07_Pallet_Contents'!$A$2:$A$3000,$A2,'07_Pallet_Contents'!$D$2:$D$3000))</f>
        <v/>
      </c>
      <c r="Y1964">
        <f>IF($A2="","",SUMIF('07_Pallet_Contents'!$A$2:$A$3000,$A2,'07_Pallet_Contents'!$I$2:$I$3000))</f>
        <v/>
      </c>
      <c r="Z1964">
        <f>IF($A2="","",IF(COUNTIF('07_Pallet_Contents'!$A$2:$A$3000,$A2)&gt;0,"Yes",""))</f>
        <v/>
      </c>
    </row>
    <row r="1965">
      <c r="B1965" s="22" t="n"/>
      <c r="G1965" s="25" t="n"/>
      <c r="H1965" s="24">
        <f>IF(AND($F1965="TEMP",$G1965&gt;0,$M1965&lt;&gt;""),$M1965+$G1965,"")</f>
        <v/>
      </c>
      <c r="I1965" s="22" t="n"/>
      <c r="J1965" s="22" t="n"/>
      <c r="K1965" s="24" t="n"/>
      <c r="W1965">
        <f>IF($A2="","",COUNTIF('07_Pallet_Contents'!$A$2:$A$3000,$A2))</f>
        <v/>
      </c>
      <c r="X1965">
        <f>IF($A2="","",SUMIF('07_Pallet_Contents'!$A$2:$A$3000,$A2,'07_Pallet_Contents'!$D$2:$D$3000))</f>
        <v/>
      </c>
      <c r="Y1965">
        <f>IF($A2="","",SUMIF('07_Pallet_Contents'!$A$2:$A$3000,$A2,'07_Pallet_Contents'!$I$2:$I$3000))</f>
        <v/>
      </c>
      <c r="Z1965">
        <f>IF($A2="","",IF(COUNTIF('07_Pallet_Contents'!$A$2:$A$3000,$A2)&gt;0,"Yes",""))</f>
        <v/>
      </c>
    </row>
    <row r="1966">
      <c r="B1966" s="22" t="n"/>
      <c r="G1966" s="25" t="n"/>
      <c r="H1966" s="24">
        <f>IF(AND($F1966="TEMP",$G1966&gt;0,$M1966&lt;&gt;""),$M1966+$G1966,"")</f>
        <v/>
      </c>
      <c r="I1966" s="22" t="n"/>
      <c r="J1966" s="22" t="n"/>
      <c r="K1966" s="24" t="n"/>
      <c r="W1966">
        <f>IF($A2="","",COUNTIF('07_Pallet_Contents'!$A$2:$A$3000,$A2))</f>
        <v/>
      </c>
      <c r="X1966">
        <f>IF($A2="","",SUMIF('07_Pallet_Contents'!$A$2:$A$3000,$A2,'07_Pallet_Contents'!$D$2:$D$3000))</f>
        <v/>
      </c>
      <c r="Y1966">
        <f>IF($A2="","",SUMIF('07_Pallet_Contents'!$A$2:$A$3000,$A2,'07_Pallet_Contents'!$I$2:$I$3000))</f>
        <v/>
      </c>
      <c r="Z1966">
        <f>IF($A2="","",IF(COUNTIF('07_Pallet_Contents'!$A$2:$A$3000,$A2)&gt;0,"Yes",""))</f>
        <v/>
      </c>
    </row>
    <row r="1967">
      <c r="B1967" s="22" t="n"/>
      <c r="G1967" s="25" t="n"/>
      <c r="H1967" s="24">
        <f>IF(AND($F1967="TEMP",$G1967&gt;0,$M1967&lt;&gt;""),$M1967+$G1967,"")</f>
        <v/>
      </c>
      <c r="I1967" s="22" t="n"/>
      <c r="J1967" s="22" t="n"/>
      <c r="K1967" s="24" t="n"/>
      <c r="W1967">
        <f>IF($A2="","",COUNTIF('07_Pallet_Contents'!$A$2:$A$3000,$A2))</f>
        <v/>
      </c>
      <c r="X1967">
        <f>IF($A2="","",SUMIF('07_Pallet_Contents'!$A$2:$A$3000,$A2,'07_Pallet_Contents'!$D$2:$D$3000))</f>
        <v/>
      </c>
      <c r="Y1967">
        <f>IF($A2="","",SUMIF('07_Pallet_Contents'!$A$2:$A$3000,$A2,'07_Pallet_Contents'!$I$2:$I$3000))</f>
        <v/>
      </c>
      <c r="Z1967">
        <f>IF($A2="","",IF(COUNTIF('07_Pallet_Contents'!$A$2:$A$3000,$A2)&gt;0,"Yes",""))</f>
        <v/>
      </c>
    </row>
    <row r="1968">
      <c r="B1968" s="22" t="n"/>
      <c r="G1968" s="25" t="n"/>
      <c r="H1968" s="24">
        <f>IF(AND($F1968="TEMP",$G1968&gt;0,$M1968&lt;&gt;""),$M1968+$G1968,"")</f>
        <v/>
      </c>
      <c r="I1968" s="22" t="n"/>
      <c r="J1968" s="22" t="n"/>
      <c r="K1968" s="24" t="n"/>
      <c r="W1968">
        <f>IF($A2="","",COUNTIF('07_Pallet_Contents'!$A$2:$A$3000,$A2))</f>
        <v/>
      </c>
      <c r="X1968">
        <f>IF($A2="","",SUMIF('07_Pallet_Contents'!$A$2:$A$3000,$A2,'07_Pallet_Contents'!$D$2:$D$3000))</f>
        <v/>
      </c>
      <c r="Y1968">
        <f>IF($A2="","",SUMIF('07_Pallet_Contents'!$A$2:$A$3000,$A2,'07_Pallet_Contents'!$I$2:$I$3000))</f>
        <v/>
      </c>
      <c r="Z1968">
        <f>IF($A2="","",IF(COUNTIF('07_Pallet_Contents'!$A$2:$A$3000,$A2)&gt;0,"Yes",""))</f>
        <v/>
      </c>
    </row>
    <row r="1969">
      <c r="B1969" s="22" t="n"/>
      <c r="G1969" s="25" t="n"/>
      <c r="H1969" s="24">
        <f>IF(AND($F1969="TEMP",$G1969&gt;0,$M1969&lt;&gt;""),$M1969+$G1969,"")</f>
        <v/>
      </c>
      <c r="I1969" s="22" t="n"/>
      <c r="J1969" s="22" t="n"/>
      <c r="K1969" s="24" t="n"/>
      <c r="W1969">
        <f>IF($A2="","",COUNTIF('07_Pallet_Contents'!$A$2:$A$3000,$A2))</f>
        <v/>
      </c>
      <c r="X1969">
        <f>IF($A2="","",SUMIF('07_Pallet_Contents'!$A$2:$A$3000,$A2,'07_Pallet_Contents'!$D$2:$D$3000))</f>
        <v/>
      </c>
      <c r="Y1969">
        <f>IF($A2="","",SUMIF('07_Pallet_Contents'!$A$2:$A$3000,$A2,'07_Pallet_Contents'!$I$2:$I$3000))</f>
        <v/>
      </c>
      <c r="Z1969">
        <f>IF($A2="","",IF(COUNTIF('07_Pallet_Contents'!$A$2:$A$3000,$A2)&gt;0,"Yes",""))</f>
        <v/>
      </c>
    </row>
    <row r="1970">
      <c r="B1970" s="22" t="n"/>
      <c r="G1970" s="25" t="n"/>
      <c r="H1970" s="24">
        <f>IF(AND($F1970="TEMP",$G1970&gt;0,$M1970&lt;&gt;""),$M1970+$G1970,"")</f>
        <v/>
      </c>
      <c r="I1970" s="22" t="n"/>
      <c r="J1970" s="22" t="n"/>
      <c r="K1970" s="24" t="n"/>
      <c r="W1970">
        <f>IF($A2="","",COUNTIF('07_Pallet_Contents'!$A$2:$A$3000,$A2))</f>
        <v/>
      </c>
      <c r="X1970">
        <f>IF($A2="","",SUMIF('07_Pallet_Contents'!$A$2:$A$3000,$A2,'07_Pallet_Contents'!$D$2:$D$3000))</f>
        <v/>
      </c>
      <c r="Y1970">
        <f>IF($A2="","",SUMIF('07_Pallet_Contents'!$A$2:$A$3000,$A2,'07_Pallet_Contents'!$I$2:$I$3000))</f>
        <v/>
      </c>
      <c r="Z1970">
        <f>IF($A2="","",IF(COUNTIF('07_Pallet_Contents'!$A$2:$A$3000,$A2)&gt;0,"Yes",""))</f>
        <v/>
      </c>
    </row>
    <row r="1971">
      <c r="B1971" s="22" t="n"/>
      <c r="G1971" s="25" t="n"/>
      <c r="H1971" s="24">
        <f>IF(AND($F1971="TEMP",$G1971&gt;0,$M1971&lt;&gt;""),$M1971+$G1971,"")</f>
        <v/>
      </c>
      <c r="I1971" s="22" t="n"/>
      <c r="J1971" s="22" t="n"/>
      <c r="K1971" s="24" t="n"/>
      <c r="W1971">
        <f>IF($A2="","",COUNTIF('07_Pallet_Contents'!$A$2:$A$3000,$A2))</f>
        <v/>
      </c>
      <c r="X1971">
        <f>IF($A2="","",SUMIF('07_Pallet_Contents'!$A$2:$A$3000,$A2,'07_Pallet_Contents'!$D$2:$D$3000))</f>
        <v/>
      </c>
      <c r="Y1971">
        <f>IF($A2="","",SUMIF('07_Pallet_Contents'!$A$2:$A$3000,$A2,'07_Pallet_Contents'!$I$2:$I$3000))</f>
        <v/>
      </c>
      <c r="Z1971">
        <f>IF($A2="","",IF(COUNTIF('07_Pallet_Contents'!$A$2:$A$3000,$A2)&gt;0,"Yes",""))</f>
        <v/>
      </c>
    </row>
    <row r="1972">
      <c r="B1972" s="22" t="n"/>
      <c r="G1972" s="25" t="n"/>
      <c r="H1972" s="24">
        <f>IF(AND($F1972="TEMP",$G1972&gt;0,$M1972&lt;&gt;""),$M1972+$G1972,"")</f>
        <v/>
      </c>
      <c r="I1972" s="22" t="n"/>
      <c r="J1972" s="22" t="n"/>
      <c r="K1972" s="24" t="n"/>
      <c r="W1972">
        <f>IF($A2="","",COUNTIF('07_Pallet_Contents'!$A$2:$A$3000,$A2))</f>
        <v/>
      </c>
      <c r="X1972">
        <f>IF($A2="","",SUMIF('07_Pallet_Contents'!$A$2:$A$3000,$A2,'07_Pallet_Contents'!$D$2:$D$3000))</f>
        <v/>
      </c>
      <c r="Y1972">
        <f>IF($A2="","",SUMIF('07_Pallet_Contents'!$A$2:$A$3000,$A2,'07_Pallet_Contents'!$I$2:$I$3000))</f>
        <v/>
      </c>
      <c r="Z1972">
        <f>IF($A2="","",IF(COUNTIF('07_Pallet_Contents'!$A$2:$A$3000,$A2)&gt;0,"Yes",""))</f>
        <v/>
      </c>
    </row>
    <row r="1973">
      <c r="B1973" s="22" t="n"/>
      <c r="G1973" s="25" t="n"/>
      <c r="H1973" s="24">
        <f>IF(AND($F1973="TEMP",$G1973&gt;0,$M1973&lt;&gt;""),$M1973+$G1973,"")</f>
        <v/>
      </c>
      <c r="I1973" s="22" t="n"/>
      <c r="J1973" s="22" t="n"/>
      <c r="K1973" s="24" t="n"/>
      <c r="W1973">
        <f>IF($A2="","",COUNTIF('07_Pallet_Contents'!$A$2:$A$3000,$A2))</f>
        <v/>
      </c>
      <c r="X1973">
        <f>IF($A2="","",SUMIF('07_Pallet_Contents'!$A$2:$A$3000,$A2,'07_Pallet_Contents'!$D$2:$D$3000))</f>
        <v/>
      </c>
      <c r="Y1973">
        <f>IF($A2="","",SUMIF('07_Pallet_Contents'!$A$2:$A$3000,$A2,'07_Pallet_Contents'!$I$2:$I$3000))</f>
        <v/>
      </c>
      <c r="Z1973">
        <f>IF($A2="","",IF(COUNTIF('07_Pallet_Contents'!$A$2:$A$3000,$A2)&gt;0,"Yes",""))</f>
        <v/>
      </c>
    </row>
    <row r="1974">
      <c r="B1974" s="22" t="n"/>
      <c r="G1974" s="25" t="n"/>
      <c r="H1974" s="24">
        <f>IF(AND($F1974="TEMP",$G1974&gt;0,$M1974&lt;&gt;""),$M1974+$G1974,"")</f>
        <v/>
      </c>
      <c r="I1974" s="22" t="n"/>
      <c r="J1974" s="22" t="n"/>
      <c r="K1974" s="24" t="n"/>
      <c r="W1974">
        <f>IF($A2="","",COUNTIF('07_Pallet_Contents'!$A$2:$A$3000,$A2))</f>
        <v/>
      </c>
      <c r="X1974">
        <f>IF($A2="","",SUMIF('07_Pallet_Contents'!$A$2:$A$3000,$A2,'07_Pallet_Contents'!$D$2:$D$3000))</f>
        <v/>
      </c>
      <c r="Y1974">
        <f>IF($A2="","",SUMIF('07_Pallet_Contents'!$A$2:$A$3000,$A2,'07_Pallet_Contents'!$I$2:$I$3000))</f>
        <v/>
      </c>
      <c r="Z1974">
        <f>IF($A2="","",IF(COUNTIF('07_Pallet_Contents'!$A$2:$A$3000,$A2)&gt;0,"Yes",""))</f>
        <v/>
      </c>
    </row>
    <row r="1975">
      <c r="B1975" s="22" t="n"/>
      <c r="G1975" s="25" t="n"/>
      <c r="H1975" s="24">
        <f>IF(AND($F1975="TEMP",$G1975&gt;0,$M1975&lt;&gt;""),$M1975+$G1975,"")</f>
        <v/>
      </c>
      <c r="I1975" s="22" t="n"/>
      <c r="J1975" s="22" t="n"/>
      <c r="K1975" s="24" t="n"/>
      <c r="W1975">
        <f>IF($A2="","",COUNTIF('07_Pallet_Contents'!$A$2:$A$3000,$A2))</f>
        <v/>
      </c>
      <c r="X1975">
        <f>IF($A2="","",SUMIF('07_Pallet_Contents'!$A$2:$A$3000,$A2,'07_Pallet_Contents'!$D$2:$D$3000))</f>
        <v/>
      </c>
      <c r="Y1975">
        <f>IF($A2="","",SUMIF('07_Pallet_Contents'!$A$2:$A$3000,$A2,'07_Pallet_Contents'!$I$2:$I$3000))</f>
        <v/>
      </c>
      <c r="Z1975">
        <f>IF($A2="","",IF(COUNTIF('07_Pallet_Contents'!$A$2:$A$3000,$A2)&gt;0,"Yes",""))</f>
        <v/>
      </c>
    </row>
    <row r="1976">
      <c r="B1976" s="22" t="n"/>
      <c r="G1976" s="25" t="n"/>
      <c r="H1976" s="24">
        <f>IF(AND($F1976="TEMP",$G1976&gt;0,$M1976&lt;&gt;""),$M1976+$G1976,"")</f>
        <v/>
      </c>
      <c r="I1976" s="22" t="n"/>
      <c r="J1976" s="22" t="n"/>
      <c r="K1976" s="24" t="n"/>
      <c r="W1976">
        <f>IF($A2="","",COUNTIF('07_Pallet_Contents'!$A$2:$A$3000,$A2))</f>
        <v/>
      </c>
      <c r="X1976">
        <f>IF($A2="","",SUMIF('07_Pallet_Contents'!$A$2:$A$3000,$A2,'07_Pallet_Contents'!$D$2:$D$3000))</f>
        <v/>
      </c>
      <c r="Y1976">
        <f>IF($A2="","",SUMIF('07_Pallet_Contents'!$A$2:$A$3000,$A2,'07_Pallet_Contents'!$I$2:$I$3000))</f>
        <v/>
      </c>
      <c r="Z1976">
        <f>IF($A2="","",IF(COUNTIF('07_Pallet_Contents'!$A$2:$A$3000,$A2)&gt;0,"Yes",""))</f>
        <v/>
      </c>
    </row>
    <row r="1977">
      <c r="B1977" s="22" t="n"/>
      <c r="G1977" s="25" t="n"/>
      <c r="H1977" s="24">
        <f>IF(AND($F1977="TEMP",$G1977&gt;0,$M1977&lt;&gt;""),$M1977+$G1977,"")</f>
        <v/>
      </c>
      <c r="I1977" s="22" t="n"/>
      <c r="J1977" s="22" t="n"/>
      <c r="K1977" s="24" t="n"/>
      <c r="W1977">
        <f>IF($A2="","",COUNTIF('07_Pallet_Contents'!$A$2:$A$3000,$A2))</f>
        <v/>
      </c>
      <c r="X1977">
        <f>IF($A2="","",SUMIF('07_Pallet_Contents'!$A$2:$A$3000,$A2,'07_Pallet_Contents'!$D$2:$D$3000))</f>
        <v/>
      </c>
      <c r="Y1977">
        <f>IF($A2="","",SUMIF('07_Pallet_Contents'!$A$2:$A$3000,$A2,'07_Pallet_Contents'!$I$2:$I$3000))</f>
        <v/>
      </c>
      <c r="Z1977">
        <f>IF($A2="","",IF(COUNTIF('07_Pallet_Contents'!$A$2:$A$3000,$A2)&gt;0,"Yes",""))</f>
        <v/>
      </c>
    </row>
    <row r="1978">
      <c r="B1978" s="22" t="n"/>
      <c r="G1978" s="25" t="n"/>
      <c r="H1978" s="24">
        <f>IF(AND($F1978="TEMP",$G1978&gt;0,$M1978&lt;&gt;""),$M1978+$G1978,"")</f>
        <v/>
      </c>
      <c r="I1978" s="22" t="n"/>
      <c r="J1978" s="22" t="n"/>
      <c r="K1978" s="24" t="n"/>
      <c r="W1978">
        <f>IF($A2="","",COUNTIF('07_Pallet_Contents'!$A$2:$A$3000,$A2))</f>
        <v/>
      </c>
      <c r="X1978">
        <f>IF($A2="","",SUMIF('07_Pallet_Contents'!$A$2:$A$3000,$A2,'07_Pallet_Contents'!$D$2:$D$3000))</f>
        <v/>
      </c>
      <c r="Y1978">
        <f>IF($A2="","",SUMIF('07_Pallet_Contents'!$A$2:$A$3000,$A2,'07_Pallet_Contents'!$I$2:$I$3000))</f>
        <v/>
      </c>
      <c r="Z1978">
        <f>IF($A2="","",IF(COUNTIF('07_Pallet_Contents'!$A$2:$A$3000,$A2)&gt;0,"Yes",""))</f>
        <v/>
      </c>
    </row>
    <row r="1979">
      <c r="B1979" s="22" t="n"/>
      <c r="G1979" s="25" t="n"/>
      <c r="H1979" s="24">
        <f>IF(AND($F1979="TEMP",$G1979&gt;0,$M1979&lt;&gt;""),$M1979+$G1979,"")</f>
        <v/>
      </c>
      <c r="I1979" s="22" t="n"/>
      <c r="J1979" s="22" t="n"/>
      <c r="K1979" s="24" t="n"/>
      <c r="W1979">
        <f>IF($A2="","",COUNTIF('07_Pallet_Contents'!$A$2:$A$3000,$A2))</f>
        <v/>
      </c>
      <c r="X1979">
        <f>IF($A2="","",SUMIF('07_Pallet_Contents'!$A$2:$A$3000,$A2,'07_Pallet_Contents'!$D$2:$D$3000))</f>
        <v/>
      </c>
      <c r="Y1979">
        <f>IF($A2="","",SUMIF('07_Pallet_Contents'!$A$2:$A$3000,$A2,'07_Pallet_Contents'!$I$2:$I$3000))</f>
        <v/>
      </c>
      <c r="Z1979">
        <f>IF($A2="","",IF(COUNTIF('07_Pallet_Contents'!$A$2:$A$3000,$A2)&gt;0,"Yes",""))</f>
        <v/>
      </c>
    </row>
    <row r="1980">
      <c r="B1980" s="22" t="n"/>
      <c r="G1980" s="25" t="n"/>
      <c r="H1980" s="24">
        <f>IF(AND($F1980="TEMP",$G1980&gt;0,$M1980&lt;&gt;""),$M1980+$G1980,"")</f>
        <v/>
      </c>
      <c r="I1980" s="22" t="n"/>
      <c r="J1980" s="22" t="n"/>
      <c r="K1980" s="24" t="n"/>
      <c r="W1980">
        <f>IF($A2="","",COUNTIF('07_Pallet_Contents'!$A$2:$A$3000,$A2))</f>
        <v/>
      </c>
      <c r="X1980">
        <f>IF($A2="","",SUMIF('07_Pallet_Contents'!$A$2:$A$3000,$A2,'07_Pallet_Contents'!$D$2:$D$3000))</f>
        <v/>
      </c>
      <c r="Y1980">
        <f>IF($A2="","",SUMIF('07_Pallet_Contents'!$A$2:$A$3000,$A2,'07_Pallet_Contents'!$I$2:$I$3000))</f>
        <v/>
      </c>
      <c r="Z1980">
        <f>IF($A2="","",IF(COUNTIF('07_Pallet_Contents'!$A$2:$A$3000,$A2)&gt;0,"Yes",""))</f>
        <v/>
      </c>
    </row>
    <row r="1981">
      <c r="B1981" s="22" t="n"/>
      <c r="G1981" s="25" t="n"/>
      <c r="H1981" s="24">
        <f>IF(AND($F1981="TEMP",$G1981&gt;0,$M1981&lt;&gt;""),$M1981+$G1981,"")</f>
        <v/>
      </c>
      <c r="I1981" s="22" t="n"/>
      <c r="J1981" s="22" t="n"/>
      <c r="K1981" s="24" t="n"/>
      <c r="W1981">
        <f>IF($A2="","",COUNTIF('07_Pallet_Contents'!$A$2:$A$3000,$A2))</f>
        <v/>
      </c>
      <c r="X1981">
        <f>IF($A2="","",SUMIF('07_Pallet_Contents'!$A$2:$A$3000,$A2,'07_Pallet_Contents'!$D$2:$D$3000))</f>
        <v/>
      </c>
      <c r="Y1981">
        <f>IF($A2="","",SUMIF('07_Pallet_Contents'!$A$2:$A$3000,$A2,'07_Pallet_Contents'!$I$2:$I$3000))</f>
        <v/>
      </c>
      <c r="Z1981">
        <f>IF($A2="","",IF(COUNTIF('07_Pallet_Contents'!$A$2:$A$3000,$A2)&gt;0,"Yes",""))</f>
        <v/>
      </c>
    </row>
    <row r="1982">
      <c r="B1982" s="22" t="n"/>
      <c r="G1982" s="25" t="n"/>
      <c r="H1982" s="24">
        <f>IF(AND($F1982="TEMP",$G1982&gt;0,$M1982&lt;&gt;""),$M1982+$G1982,"")</f>
        <v/>
      </c>
      <c r="I1982" s="22" t="n"/>
      <c r="J1982" s="22" t="n"/>
      <c r="K1982" s="24" t="n"/>
      <c r="W1982">
        <f>IF($A2="","",COUNTIF('07_Pallet_Contents'!$A$2:$A$3000,$A2))</f>
        <v/>
      </c>
      <c r="X1982">
        <f>IF($A2="","",SUMIF('07_Pallet_Contents'!$A$2:$A$3000,$A2,'07_Pallet_Contents'!$D$2:$D$3000))</f>
        <v/>
      </c>
      <c r="Y1982">
        <f>IF($A2="","",SUMIF('07_Pallet_Contents'!$A$2:$A$3000,$A2,'07_Pallet_Contents'!$I$2:$I$3000))</f>
        <v/>
      </c>
      <c r="Z1982">
        <f>IF($A2="","",IF(COUNTIF('07_Pallet_Contents'!$A$2:$A$3000,$A2)&gt;0,"Yes",""))</f>
        <v/>
      </c>
    </row>
    <row r="1983">
      <c r="B1983" s="22" t="n"/>
      <c r="G1983" s="25" t="n"/>
      <c r="H1983" s="24">
        <f>IF(AND($F1983="TEMP",$G1983&gt;0,$M1983&lt;&gt;""),$M1983+$G1983,"")</f>
        <v/>
      </c>
      <c r="I1983" s="22" t="n"/>
      <c r="J1983" s="22" t="n"/>
      <c r="K1983" s="24" t="n"/>
      <c r="W1983">
        <f>IF($A2="","",COUNTIF('07_Pallet_Contents'!$A$2:$A$3000,$A2))</f>
        <v/>
      </c>
      <c r="X1983">
        <f>IF($A2="","",SUMIF('07_Pallet_Contents'!$A$2:$A$3000,$A2,'07_Pallet_Contents'!$D$2:$D$3000))</f>
        <v/>
      </c>
      <c r="Y1983">
        <f>IF($A2="","",SUMIF('07_Pallet_Contents'!$A$2:$A$3000,$A2,'07_Pallet_Contents'!$I$2:$I$3000))</f>
        <v/>
      </c>
      <c r="Z1983">
        <f>IF($A2="","",IF(COUNTIF('07_Pallet_Contents'!$A$2:$A$3000,$A2)&gt;0,"Yes",""))</f>
        <v/>
      </c>
    </row>
    <row r="1984">
      <c r="B1984" s="22" t="n"/>
      <c r="G1984" s="25" t="n"/>
      <c r="H1984" s="24">
        <f>IF(AND($F1984="TEMP",$G1984&gt;0,$M1984&lt;&gt;""),$M1984+$G1984,"")</f>
        <v/>
      </c>
      <c r="I1984" s="22" t="n"/>
      <c r="J1984" s="22" t="n"/>
      <c r="K1984" s="24" t="n"/>
      <c r="W1984">
        <f>IF($A2="","",COUNTIF('07_Pallet_Contents'!$A$2:$A$3000,$A2))</f>
        <v/>
      </c>
      <c r="X1984">
        <f>IF($A2="","",SUMIF('07_Pallet_Contents'!$A$2:$A$3000,$A2,'07_Pallet_Contents'!$D$2:$D$3000))</f>
        <v/>
      </c>
      <c r="Y1984">
        <f>IF($A2="","",SUMIF('07_Pallet_Contents'!$A$2:$A$3000,$A2,'07_Pallet_Contents'!$I$2:$I$3000))</f>
        <v/>
      </c>
      <c r="Z1984">
        <f>IF($A2="","",IF(COUNTIF('07_Pallet_Contents'!$A$2:$A$3000,$A2)&gt;0,"Yes",""))</f>
        <v/>
      </c>
    </row>
    <row r="1985">
      <c r="B1985" s="22" t="n"/>
      <c r="G1985" s="25" t="n"/>
      <c r="H1985" s="24">
        <f>IF(AND($F1985="TEMP",$G1985&gt;0,$M1985&lt;&gt;""),$M1985+$G1985,"")</f>
        <v/>
      </c>
      <c r="I1985" s="22" t="n"/>
      <c r="J1985" s="22" t="n"/>
      <c r="K1985" s="24" t="n"/>
      <c r="W1985">
        <f>IF($A2="","",COUNTIF('07_Pallet_Contents'!$A$2:$A$3000,$A2))</f>
        <v/>
      </c>
      <c r="X1985">
        <f>IF($A2="","",SUMIF('07_Pallet_Contents'!$A$2:$A$3000,$A2,'07_Pallet_Contents'!$D$2:$D$3000))</f>
        <v/>
      </c>
      <c r="Y1985">
        <f>IF($A2="","",SUMIF('07_Pallet_Contents'!$A$2:$A$3000,$A2,'07_Pallet_Contents'!$I$2:$I$3000))</f>
        <v/>
      </c>
      <c r="Z1985">
        <f>IF($A2="","",IF(COUNTIF('07_Pallet_Contents'!$A$2:$A$3000,$A2)&gt;0,"Yes",""))</f>
        <v/>
      </c>
    </row>
    <row r="1986">
      <c r="B1986" s="22" t="n"/>
      <c r="G1986" s="25" t="n"/>
      <c r="H1986" s="24">
        <f>IF(AND($F1986="TEMP",$G1986&gt;0,$M1986&lt;&gt;""),$M1986+$G1986,"")</f>
        <v/>
      </c>
      <c r="I1986" s="22" t="n"/>
      <c r="J1986" s="22" t="n"/>
      <c r="K1986" s="24" t="n"/>
      <c r="W1986">
        <f>IF($A2="","",COUNTIF('07_Pallet_Contents'!$A$2:$A$3000,$A2))</f>
        <v/>
      </c>
      <c r="X1986">
        <f>IF($A2="","",SUMIF('07_Pallet_Contents'!$A$2:$A$3000,$A2,'07_Pallet_Contents'!$D$2:$D$3000))</f>
        <v/>
      </c>
      <c r="Y1986">
        <f>IF($A2="","",SUMIF('07_Pallet_Contents'!$A$2:$A$3000,$A2,'07_Pallet_Contents'!$I$2:$I$3000))</f>
        <v/>
      </c>
      <c r="Z1986">
        <f>IF($A2="","",IF(COUNTIF('07_Pallet_Contents'!$A$2:$A$3000,$A2)&gt;0,"Yes",""))</f>
        <v/>
      </c>
    </row>
    <row r="1987">
      <c r="B1987" s="22" t="n"/>
      <c r="G1987" s="25" t="n"/>
      <c r="H1987" s="24">
        <f>IF(AND($F1987="TEMP",$G1987&gt;0,$M1987&lt;&gt;""),$M1987+$G1987,"")</f>
        <v/>
      </c>
      <c r="I1987" s="22" t="n"/>
      <c r="J1987" s="22" t="n"/>
      <c r="K1987" s="24" t="n"/>
      <c r="W1987">
        <f>IF($A2="","",COUNTIF('07_Pallet_Contents'!$A$2:$A$3000,$A2))</f>
        <v/>
      </c>
      <c r="X1987">
        <f>IF($A2="","",SUMIF('07_Pallet_Contents'!$A$2:$A$3000,$A2,'07_Pallet_Contents'!$D$2:$D$3000))</f>
        <v/>
      </c>
      <c r="Y1987">
        <f>IF($A2="","",SUMIF('07_Pallet_Contents'!$A$2:$A$3000,$A2,'07_Pallet_Contents'!$I$2:$I$3000))</f>
        <v/>
      </c>
      <c r="Z1987">
        <f>IF($A2="","",IF(COUNTIF('07_Pallet_Contents'!$A$2:$A$3000,$A2)&gt;0,"Yes",""))</f>
        <v/>
      </c>
    </row>
    <row r="1988">
      <c r="B1988" s="22" t="n"/>
      <c r="G1988" s="25" t="n"/>
      <c r="H1988" s="24">
        <f>IF(AND($F1988="TEMP",$G1988&gt;0,$M1988&lt;&gt;""),$M1988+$G1988,"")</f>
        <v/>
      </c>
      <c r="I1988" s="22" t="n"/>
      <c r="J1988" s="22" t="n"/>
      <c r="K1988" s="24" t="n"/>
      <c r="W1988">
        <f>IF($A2="","",COUNTIF('07_Pallet_Contents'!$A$2:$A$3000,$A2))</f>
        <v/>
      </c>
      <c r="X1988">
        <f>IF($A2="","",SUMIF('07_Pallet_Contents'!$A$2:$A$3000,$A2,'07_Pallet_Contents'!$D$2:$D$3000))</f>
        <v/>
      </c>
      <c r="Y1988">
        <f>IF($A2="","",SUMIF('07_Pallet_Contents'!$A$2:$A$3000,$A2,'07_Pallet_Contents'!$I$2:$I$3000))</f>
        <v/>
      </c>
      <c r="Z1988">
        <f>IF($A2="","",IF(COUNTIF('07_Pallet_Contents'!$A$2:$A$3000,$A2)&gt;0,"Yes",""))</f>
        <v/>
      </c>
    </row>
    <row r="1989">
      <c r="B1989" s="22" t="n"/>
      <c r="G1989" s="25" t="n"/>
      <c r="H1989" s="24">
        <f>IF(AND($F1989="TEMP",$G1989&gt;0,$M1989&lt;&gt;""),$M1989+$G1989,"")</f>
        <v/>
      </c>
      <c r="I1989" s="22" t="n"/>
      <c r="J1989" s="22" t="n"/>
      <c r="K1989" s="24" t="n"/>
      <c r="W1989">
        <f>IF($A2="","",COUNTIF('07_Pallet_Contents'!$A$2:$A$3000,$A2))</f>
        <v/>
      </c>
      <c r="X1989">
        <f>IF($A2="","",SUMIF('07_Pallet_Contents'!$A$2:$A$3000,$A2,'07_Pallet_Contents'!$D$2:$D$3000))</f>
        <v/>
      </c>
      <c r="Y1989">
        <f>IF($A2="","",SUMIF('07_Pallet_Contents'!$A$2:$A$3000,$A2,'07_Pallet_Contents'!$I$2:$I$3000))</f>
        <v/>
      </c>
      <c r="Z1989">
        <f>IF($A2="","",IF(COUNTIF('07_Pallet_Contents'!$A$2:$A$3000,$A2)&gt;0,"Yes",""))</f>
        <v/>
      </c>
    </row>
    <row r="1990">
      <c r="B1990" s="22" t="n"/>
      <c r="G1990" s="25" t="n"/>
      <c r="H1990" s="24">
        <f>IF(AND($F1990="TEMP",$G1990&gt;0,$M1990&lt;&gt;""),$M1990+$G1990,"")</f>
        <v/>
      </c>
      <c r="I1990" s="22" t="n"/>
      <c r="J1990" s="22" t="n"/>
      <c r="K1990" s="24" t="n"/>
      <c r="W1990">
        <f>IF($A2="","",COUNTIF('07_Pallet_Contents'!$A$2:$A$3000,$A2))</f>
        <v/>
      </c>
      <c r="X1990">
        <f>IF($A2="","",SUMIF('07_Pallet_Contents'!$A$2:$A$3000,$A2,'07_Pallet_Contents'!$D$2:$D$3000))</f>
        <v/>
      </c>
      <c r="Y1990">
        <f>IF($A2="","",SUMIF('07_Pallet_Contents'!$A$2:$A$3000,$A2,'07_Pallet_Contents'!$I$2:$I$3000))</f>
        <v/>
      </c>
      <c r="Z1990">
        <f>IF($A2="","",IF(COUNTIF('07_Pallet_Contents'!$A$2:$A$3000,$A2)&gt;0,"Yes",""))</f>
        <v/>
      </c>
    </row>
    <row r="1991">
      <c r="B1991" s="22" t="n"/>
      <c r="G1991" s="25" t="n"/>
      <c r="H1991" s="24">
        <f>IF(AND($F1991="TEMP",$G1991&gt;0,$M1991&lt;&gt;""),$M1991+$G1991,"")</f>
        <v/>
      </c>
      <c r="I1991" s="22" t="n"/>
      <c r="J1991" s="22" t="n"/>
      <c r="K1991" s="24" t="n"/>
      <c r="W1991">
        <f>IF($A2="","",COUNTIF('07_Pallet_Contents'!$A$2:$A$3000,$A2))</f>
        <v/>
      </c>
      <c r="X1991">
        <f>IF($A2="","",SUMIF('07_Pallet_Contents'!$A$2:$A$3000,$A2,'07_Pallet_Contents'!$D$2:$D$3000))</f>
        <v/>
      </c>
      <c r="Y1991">
        <f>IF($A2="","",SUMIF('07_Pallet_Contents'!$A$2:$A$3000,$A2,'07_Pallet_Contents'!$I$2:$I$3000))</f>
        <v/>
      </c>
      <c r="Z1991">
        <f>IF($A2="","",IF(COUNTIF('07_Pallet_Contents'!$A$2:$A$3000,$A2)&gt;0,"Yes",""))</f>
        <v/>
      </c>
    </row>
    <row r="1992">
      <c r="B1992" s="22" t="n"/>
      <c r="G1992" s="25" t="n"/>
      <c r="H1992" s="24">
        <f>IF(AND($F1992="TEMP",$G1992&gt;0,$M1992&lt;&gt;""),$M1992+$G1992,"")</f>
        <v/>
      </c>
      <c r="I1992" s="22" t="n"/>
      <c r="J1992" s="22" t="n"/>
      <c r="K1992" s="24" t="n"/>
      <c r="W1992">
        <f>IF($A2="","",COUNTIF('07_Pallet_Contents'!$A$2:$A$3000,$A2))</f>
        <v/>
      </c>
      <c r="X1992">
        <f>IF($A2="","",SUMIF('07_Pallet_Contents'!$A$2:$A$3000,$A2,'07_Pallet_Contents'!$D$2:$D$3000))</f>
        <v/>
      </c>
      <c r="Y1992">
        <f>IF($A2="","",SUMIF('07_Pallet_Contents'!$A$2:$A$3000,$A2,'07_Pallet_Contents'!$I$2:$I$3000))</f>
        <v/>
      </c>
      <c r="Z1992">
        <f>IF($A2="","",IF(COUNTIF('07_Pallet_Contents'!$A$2:$A$3000,$A2)&gt;0,"Yes",""))</f>
        <v/>
      </c>
    </row>
    <row r="1993">
      <c r="B1993" s="22" t="n"/>
      <c r="G1993" s="25" t="n"/>
      <c r="H1993" s="24">
        <f>IF(AND($F1993="TEMP",$G1993&gt;0,$M1993&lt;&gt;""),$M1993+$G1993,"")</f>
        <v/>
      </c>
      <c r="I1993" s="22" t="n"/>
      <c r="J1993" s="22" t="n"/>
      <c r="K1993" s="24" t="n"/>
      <c r="W1993">
        <f>IF($A2="","",COUNTIF('07_Pallet_Contents'!$A$2:$A$3000,$A2))</f>
        <v/>
      </c>
      <c r="X1993">
        <f>IF($A2="","",SUMIF('07_Pallet_Contents'!$A$2:$A$3000,$A2,'07_Pallet_Contents'!$D$2:$D$3000))</f>
        <v/>
      </c>
      <c r="Y1993">
        <f>IF($A2="","",SUMIF('07_Pallet_Contents'!$A$2:$A$3000,$A2,'07_Pallet_Contents'!$I$2:$I$3000))</f>
        <v/>
      </c>
      <c r="Z1993">
        <f>IF($A2="","",IF(COUNTIF('07_Pallet_Contents'!$A$2:$A$3000,$A2)&gt;0,"Yes",""))</f>
        <v/>
      </c>
    </row>
    <row r="1994">
      <c r="B1994" s="22" t="n"/>
      <c r="G1994" s="25" t="n"/>
      <c r="H1994" s="24">
        <f>IF(AND($F1994="TEMP",$G1994&gt;0,$M1994&lt;&gt;""),$M1994+$G1994,"")</f>
        <v/>
      </c>
      <c r="I1994" s="22" t="n"/>
      <c r="J1994" s="22" t="n"/>
      <c r="K1994" s="24" t="n"/>
      <c r="W1994">
        <f>IF($A2="","",COUNTIF('07_Pallet_Contents'!$A$2:$A$3000,$A2))</f>
        <v/>
      </c>
      <c r="X1994">
        <f>IF($A2="","",SUMIF('07_Pallet_Contents'!$A$2:$A$3000,$A2,'07_Pallet_Contents'!$D$2:$D$3000))</f>
        <v/>
      </c>
      <c r="Y1994">
        <f>IF($A2="","",SUMIF('07_Pallet_Contents'!$A$2:$A$3000,$A2,'07_Pallet_Contents'!$I$2:$I$3000))</f>
        <v/>
      </c>
      <c r="Z1994">
        <f>IF($A2="","",IF(COUNTIF('07_Pallet_Contents'!$A$2:$A$3000,$A2)&gt;0,"Yes",""))</f>
        <v/>
      </c>
    </row>
    <row r="1995">
      <c r="B1995" s="22" t="n"/>
      <c r="G1995" s="25" t="n"/>
      <c r="H1995" s="24">
        <f>IF(AND($F1995="TEMP",$G1995&gt;0,$M1995&lt;&gt;""),$M1995+$G1995,"")</f>
        <v/>
      </c>
      <c r="I1995" s="22" t="n"/>
      <c r="J1995" s="22" t="n"/>
      <c r="K1995" s="24" t="n"/>
      <c r="W1995">
        <f>IF($A2="","",COUNTIF('07_Pallet_Contents'!$A$2:$A$3000,$A2))</f>
        <v/>
      </c>
      <c r="X1995">
        <f>IF($A2="","",SUMIF('07_Pallet_Contents'!$A$2:$A$3000,$A2,'07_Pallet_Contents'!$D$2:$D$3000))</f>
        <v/>
      </c>
      <c r="Y1995">
        <f>IF($A2="","",SUMIF('07_Pallet_Contents'!$A$2:$A$3000,$A2,'07_Pallet_Contents'!$I$2:$I$3000))</f>
        <v/>
      </c>
      <c r="Z1995">
        <f>IF($A2="","",IF(COUNTIF('07_Pallet_Contents'!$A$2:$A$3000,$A2)&gt;0,"Yes",""))</f>
        <v/>
      </c>
    </row>
    <row r="1996">
      <c r="B1996" s="22" t="n"/>
      <c r="G1996" s="25" t="n"/>
      <c r="H1996" s="24">
        <f>IF(AND($F1996="TEMP",$G1996&gt;0,$M1996&lt;&gt;""),$M1996+$G1996,"")</f>
        <v/>
      </c>
      <c r="I1996" s="22" t="n"/>
      <c r="J1996" s="22" t="n"/>
      <c r="K1996" s="24" t="n"/>
      <c r="W1996">
        <f>IF($A2="","",COUNTIF('07_Pallet_Contents'!$A$2:$A$3000,$A2))</f>
        <v/>
      </c>
      <c r="X1996">
        <f>IF($A2="","",SUMIF('07_Pallet_Contents'!$A$2:$A$3000,$A2,'07_Pallet_Contents'!$D$2:$D$3000))</f>
        <v/>
      </c>
      <c r="Y1996">
        <f>IF($A2="","",SUMIF('07_Pallet_Contents'!$A$2:$A$3000,$A2,'07_Pallet_Contents'!$I$2:$I$3000))</f>
        <v/>
      </c>
      <c r="Z1996">
        <f>IF($A2="","",IF(COUNTIF('07_Pallet_Contents'!$A$2:$A$3000,$A2)&gt;0,"Yes",""))</f>
        <v/>
      </c>
    </row>
    <row r="1997">
      <c r="B1997" s="22" t="n"/>
      <c r="G1997" s="25" t="n"/>
      <c r="H1997" s="24">
        <f>IF(AND($F1997="TEMP",$G1997&gt;0,$M1997&lt;&gt;""),$M1997+$G1997,"")</f>
        <v/>
      </c>
      <c r="I1997" s="22" t="n"/>
      <c r="J1997" s="22" t="n"/>
      <c r="K1997" s="24" t="n"/>
      <c r="W1997">
        <f>IF($A2="","",COUNTIF('07_Pallet_Contents'!$A$2:$A$3000,$A2))</f>
        <v/>
      </c>
      <c r="X1997">
        <f>IF($A2="","",SUMIF('07_Pallet_Contents'!$A$2:$A$3000,$A2,'07_Pallet_Contents'!$D$2:$D$3000))</f>
        <v/>
      </c>
      <c r="Y1997">
        <f>IF($A2="","",SUMIF('07_Pallet_Contents'!$A$2:$A$3000,$A2,'07_Pallet_Contents'!$I$2:$I$3000))</f>
        <v/>
      </c>
      <c r="Z1997">
        <f>IF($A2="","",IF(COUNTIF('07_Pallet_Contents'!$A$2:$A$3000,$A2)&gt;0,"Yes",""))</f>
        <v/>
      </c>
    </row>
    <row r="1998">
      <c r="B1998" s="22" t="n"/>
      <c r="G1998" s="25" t="n"/>
      <c r="H1998" s="24">
        <f>IF(AND($F1998="TEMP",$G1998&gt;0,$M1998&lt;&gt;""),$M1998+$G1998,"")</f>
        <v/>
      </c>
      <c r="I1998" s="22" t="n"/>
      <c r="J1998" s="22" t="n"/>
      <c r="K1998" s="24" t="n"/>
      <c r="W1998">
        <f>IF($A2="","",COUNTIF('07_Pallet_Contents'!$A$2:$A$3000,$A2))</f>
        <v/>
      </c>
      <c r="X1998">
        <f>IF($A2="","",SUMIF('07_Pallet_Contents'!$A$2:$A$3000,$A2,'07_Pallet_Contents'!$D$2:$D$3000))</f>
        <v/>
      </c>
      <c r="Y1998">
        <f>IF($A2="","",SUMIF('07_Pallet_Contents'!$A$2:$A$3000,$A2,'07_Pallet_Contents'!$I$2:$I$3000))</f>
        <v/>
      </c>
      <c r="Z1998">
        <f>IF($A2="","",IF(COUNTIF('07_Pallet_Contents'!$A$2:$A$3000,$A2)&gt;0,"Yes",""))</f>
        <v/>
      </c>
    </row>
    <row r="1999">
      <c r="B1999" s="22" t="n"/>
      <c r="G1999" s="25" t="n"/>
      <c r="H1999" s="24">
        <f>IF(AND($F1999="TEMP",$G1999&gt;0,$M1999&lt;&gt;""),$M1999+$G1999,"")</f>
        <v/>
      </c>
      <c r="I1999" s="22" t="n"/>
      <c r="J1999" s="22" t="n"/>
      <c r="K1999" s="24" t="n"/>
      <c r="W1999">
        <f>IF($A2="","",COUNTIF('07_Pallet_Contents'!$A$2:$A$3000,$A2))</f>
        <v/>
      </c>
      <c r="X1999">
        <f>IF($A2="","",SUMIF('07_Pallet_Contents'!$A$2:$A$3000,$A2,'07_Pallet_Contents'!$D$2:$D$3000))</f>
        <v/>
      </c>
      <c r="Y1999">
        <f>IF($A2="","",SUMIF('07_Pallet_Contents'!$A$2:$A$3000,$A2,'07_Pallet_Contents'!$I$2:$I$3000))</f>
        <v/>
      </c>
      <c r="Z1999">
        <f>IF($A2="","",IF(COUNTIF('07_Pallet_Contents'!$A$2:$A$3000,$A2)&gt;0,"Yes",""))</f>
        <v/>
      </c>
    </row>
    <row r="2000">
      <c r="B2000" s="22" t="n"/>
      <c r="G2000" s="25" t="n"/>
      <c r="H2000" s="24">
        <f>IF(AND($F2000="TEMP",$G2000&gt;0,$M2000&lt;&gt;""),$M2000+$G2000,"")</f>
        <v/>
      </c>
      <c r="I2000" s="22" t="n"/>
      <c r="J2000" s="22" t="n"/>
      <c r="K2000" s="24" t="n"/>
      <c r="W2000">
        <f>IF($A2="","",COUNTIF('07_Pallet_Contents'!$A$2:$A$3000,$A2))</f>
        <v/>
      </c>
      <c r="X2000">
        <f>IF($A2="","",SUMIF('07_Pallet_Contents'!$A$2:$A$3000,$A2,'07_Pallet_Contents'!$D$2:$D$3000))</f>
        <v/>
      </c>
      <c r="Y2000">
        <f>IF($A2="","",SUMIF('07_Pallet_Contents'!$A$2:$A$3000,$A2,'07_Pallet_Contents'!$I$2:$I$3000))</f>
        <v/>
      </c>
      <c r="Z2000">
        <f>IF($A2="","",IF(COUNTIF('07_Pallet_Contents'!$A$2:$A$3000,$A2)&gt;0,"Yes",""))</f>
        <v/>
      </c>
    </row>
    <row r="2001">
      <c r="B2001" s="22" t="n"/>
      <c r="G2001" s="25" t="n"/>
      <c r="H2001" s="24">
        <f>IF(AND($F2001="TEMP",$G2001&gt;0,$M2001&lt;&gt;""),$M2001+$G2001,"")</f>
        <v/>
      </c>
      <c r="I2001" s="22" t="n"/>
      <c r="J2001" s="22" t="n"/>
      <c r="K2001" s="24" t="n"/>
      <c r="W2001">
        <f>IF($A2="","",COUNTIF('07_Pallet_Contents'!$A$2:$A$3000,$A2))</f>
        <v/>
      </c>
      <c r="X2001">
        <f>IF($A2="","",SUMIF('07_Pallet_Contents'!$A$2:$A$3000,$A2,'07_Pallet_Contents'!$D$2:$D$3000))</f>
        <v/>
      </c>
      <c r="Y2001">
        <f>IF($A2="","",SUMIF('07_Pallet_Contents'!$A$2:$A$3000,$A2,'07_Pallet_Contents'!$I$2:$I$3000))</f>
        <v/>
      </c>
      <c r="Z2001">
        <f>IF($A2="","",IF(COUNTIF('07_Pallet_Contents'!$A$2:$A$3000,$A2)&gt;0,"Yes",""))</f>
        <v/>
      </c>
    </row>
    <row r="2002">
      <c r="A2002" t="inlineStr">
        <is>
          <t>LocationCode</t>
        </is>
      </c>
      <c r="B2002" s="22" t="n"/>
      <c r="D2002">
        <f>IF($C2002="","",IFERROR(LOOKUP(2,1/('03_Warehouse_Movements'!$C$2:$C$500=$A2002),'03_Warehouse_Movements'!$E$2:$E$500),$C2002))</f>
        <v/>
      </c>
      <c r="E2002" t="inlineStr">
        <is>
          <t>STANDARD</t>
        </is>
      </c>
      <c r="G2002" s="25" t="n"/>
      <c r="H2002" s="24">
        <f>IF(AND($F2002="TEMP",$G2002&gt;0,$M2002&lt;&gt;""),$M2002+$G2002,"")</f>
        <v/>
      </c>
      <c r="I2002" s="22" t="n"/>
      <c r="J2002" s="22" t="n"/>
      <c r="K2002" s="24" t="n"/>
      <c r="M2002" s="46">
        <f>IF($C2002="","",IFERROR(LOOKUP(2,1/('03_Warehouse_Movements'!$C$2:$C$500=$A2002),'03_Warehouse_Movements'!$A$2:$A$500),""))</f>
        <v/>
      </c>
      <c r="N2002">
        <f>IF($C2002="","",IFERROR(LOOKUP(2,1/('03_Warehouse_Movements'!$C$2:$C$500=$A2002),'03_Warehouse_Movements'!$H$2:$H$500),""))</f>
        <v/>
      </c>
      <c r="O2002">
        <f>A2002</f>
        <v/>
      </c>
      <c r="W2002">
        <f>IF($A2="","",COUNTIF('07_Pallet_Contents'!$A$2:$A$3000,$A2))</f>
        <v/>
      </c>
      <c r="X2002">
        <f>IF($A2="","",SUMIF('07_Pallet_Contents'!$A$2:$A$3000,$A2,'07_Pallet_Contents'!$D$2:$D$3000))</f>
        <v/>
      </c>
      <c r="Y2002">
        <f>IF($A2="","",SUMIF('07_Pallet_Contents'!$A$2:$A$3000,$A2,'07_Pallet_Contents'!$I$2:$I$3000))</f>
        <v/>
      </c>
      <c r="Z2002">
        <f>IF($A2="","",IF(COUNTIF('07_Pallet_Contents'!$A$2:$A$3000,$A2)&gt;0,"Yes",""))</f>
        <v/>
      </c>
    </row>
    <row r="2003">
      <c r="W2003">
        <f>IF($A2="","",COUNTIF('07_Pallet_Contents'!$A$2:$A$3000,$A2))</f>
        <v/>
      </c>
      <c r="X2003">
        <f>IF($A2="","",SUMIF('07_Pallet_Contents'!$A$2:$A$3000,$A2,'07_Pallet_Contents'!$D$2:$D$3000))</f>
        <v/>
      </c>
      <c r="Y2003">
        <f>IF($A2="","",SUMIF('07_Pallet_Contents'!$A$2:$A$3000,$A2,'07_Pallet_Contents'!$I$2:$I$3000))</f>
        <v/>
      </c>
      <c r="Z2003">
        <f>IF($A2="","",IF(COUNTIF('07_Pallet_Contents'!$A$2:$A$3000,$A2)&gt;0,"Yes",""))</f>
        <v/>
      </c>
    </row>
    <row r="2004">
      <c r="W2004">
        <f>IF($A2="","",COUNTIF('07_Pallet_Contents'!$A$2:$A$3000,$A2))</f>
        <v/>
      </c>
      <c r="X2004">
        <f>IF($A2="","",SUMIF('07_Pallet_Contents'!$A$2:$A$3000,$A2,'07_Pallet_Contents'!$D$2:$D$3000))</f>
        <v/>
      </c>
      <c r="Y2004">
        <f>IF($A2="","",SUMIF('07_Pallet_Contents'!$A$2:$A$3000,$A2,'07_Pallet_Contents'!$I$2:$I$3000))</f>
        <v/>
      </c>
      <c r="Z2004">
        <f>IF($A2="","",IF(COUNTIF('07_Pallet_Contents'!$A$2:$A$3000,$A2)&gt;0,"Yes",""))</f>
        <v/>
      </c>
    </row>
    <row r="2005">
      <c r="W2005">
        <f>IF($A2="","",COUNTIF('07_Pallet_Contents'!$A$2:$A$3000,$A2))</f>
        <v/>
      </c>
      <c r="X2005">
        <f>IF($A2="","",SUMIF('07_Pallet_Contents'!$A$2:$A$3000,$A2,'07_Pallet_Contents'!$D$2:$D$3000))</f>
        <v/>
      </c>
      <c r="Y2005">
        <f>IF($A2="","",SUMIF('07_Pallet_Contents'!$A$2:$A$3000,$A2,'07_Pallet_Contents'!$I$2:$I$3000))</f>
        <v/>
      </c>
      <c r="Z2005">
        <f>IF($A2="","",IF(COUNTIF('07_Pallet_Contents'!$A$2:$A$3000,$A2)&gt;0,"Yes",""))</f>
        <v/>
      </c>
    </row>
    <row r="2006">
      <c r="W2006">
        <f>IF($A2="","",COUNTIF('07_Pallet_Contents'!$A$2:$A$3000,$A2))</f>
        <v/>
      </c>
      <c r="X2006">
        <f>IF($A2="","",SUMIF('07_Pallet_Contents'!$A$2:$A$3000,$A2,'07_Pallet_Contents'!$D$2:$D$3000))</f>
        <v/>
      </c>
      <c r="Y2006">
        <f>IF($A2="","",SUMIF('07_Pallet_Contents'!$A$2:$A$3000,$A2,'07_Pallet_Contents'!$I$2:$I$3000))</f>
        <v/>
      </c>
      <c r="Z2006">
        <f>IF($A2="","",IF(COUNTIF('07_Pallet_Contents'!$A$2:$A$3000,$A2)&gt;0,"Yes",""))</f>
        <v/>
      </c>
    </row>
    <row r="2007">
      <c r="W2007">
        <f>IF($A2="","",COUNTIF('07_Pallet_Contents'!$A$2:$A$3000,$A2))</f>
        <v/>
      </c>
      <c r="X2007">
        <f>IF($A2="","",SUMIF('07_Pallet_Contents'!$A$2:$A$3000,$A2,'07_Pallet_Contents'!$D$2:$D$3000))</f>
        <v/>
      </c>
      <c r="Y2007">
        <f>IF($A2="","",SUMIF('07_Pallet_Contents'!$A$2:$A$3000,$A2,'07_Pallet_Contents'!$I$2:$I$3000))</f>
        <v/>
      </c>
      <c r="Z2007">
        <f>IF($A2="","",IF(COUNTIF('07_Pallet_Contents'!$A$2:$A$3000,$A2)&gt;0,"Yes",""))</f>
        <v/>
      </c>
    </row>
    <row r="2008">
      <c r="W2008">
        <f>IF($A2="","",COUNTIF('07_Pallet_Contents'!$A$2:$A$3000,$A2))</f>
        <v/>
      </c>
      <c r="X2008">
        <f>IF($A2="","",SUMIF('07_Pallet_Contents'!$A$2:$A$3000,$A2,'07_Pallet_Contents'!$D$2:$D$3000))</f>
        <v/>
      </c>
      <c r="Y2008">
        <f>IF($A2="","",SUMIF('07_Pallet_Contents'!$A$2:$A$3000,$A2,'07_Pallet_Contents'!$I$2:$I$3000))</f>
        <v/>
      </c>
      <c r="Z2008">
        <f>IF($A2="","",IF(COUNTIF('07_Pallet_Contents'!$A$2:$A$3000,$A2)&gt;0,"Yes",""))</f>
        <v/>
      </c>
    </row>
    <row r="2009">
      <c r="W2009">
        <f>IF($A2="","",COUNTIF('07_Pallet_Contents'!$A$2:$A$3000,$A2))</f>
        <v/>
      </c>
      <c r="X2009">
        <f>IF($A2="","",SUMIF('07_Pallet_Contents'!$A$2:$A$3000,$A2,'07_Pallet_Contents'!$D$2:$D$3000))</f>
        <v/>
      </c>
      <c r="Y2009">
        <f>IF($A2="","",SUMIF('07_Pallet_Contents'!$A$2:$A$3000,$A2,'07_Pallet_Contents'!$I$2:$I$3000))</f>
        <v/>
      </c>
      <c r="Z2009">
        <f>IF($A2="","",IF(COUNTIF('07_Pallet_Contents'!$A$2:$A$3000,$A2)&gt;0,"Yes",""))</f>
        <v/>
      </c>
    </row>
    <row r="2010">
      <c r="W2010">
        <f>IF($A2="","",COUNTIF('07_Pallet_Contents'!$A$2:$A$3000,$A2))</f>
        <v/>
      </c>
      <c r="X2010">
        <f>IF($A2="","",SUMIF('07_Pallet_Contents'!$A$2:$A$3000,$A2,'07_Pallet_Contents'!$D$2:$D$3000))</f>
        <v/>
      </c>
      <c r="Y2010">
        <f>IF($A2="","",SUMIF('07_Pallet_Contents'!$A$2:$A$3000,$A2,'07_Pallet_Contents'!$I$2:$I$3000))</f>
        <v/>
      </c>
      <c r="Z2010">
        <f>IF($A2="","",IF(COUNTIF('07_Pallet_Contents'!$A$2:$A$3000,$A2)&gt;0,"Yes",""))</f>
        <v/>
      </c>
    </row>
    <row r="2011">
      <c r="W2011">
        <f>IF($A2="","",COUNTIF('07_Pallet_Contents'!$A$2:$A$3000,$A2))</f>
        <v/>
      </c>
      <c r="X2011">
        <f>IF($A2="","",SUMIF('07_Pallet_Contents'!$A$2:$A$3000,$A2,'07_Pallet_Contents'!$D$2:$D$3000))</f>
        <v/>
      </c>
      <c r="Y2011">
        <f>IF($A2="","",SUMIF('07_Pallet_Contents'!$A$2:$A$3000,$A2,'07_Pallet_Contents'!$I$2:$I$3000))</f>
        <v/>
      </c>
      <c r="Z2011">
        <f>IF($A2="","",IF(COUNTIF('07_Pallet_Contents'!$A$2:$A$3000,$A2)&gt;0,"Yes",""))</f>
        <v/>
      </c>
    </row>
    <row r="2012">
      <c r="W2012">
        <f>IF($A2="","",COUNTIF('07_Pallet_Contents'!$A$2:$A$3000,$A2))</f>
        <v/>
      </c>
      <c r="X2012">
        <f>IF($A2="","",SUMIF('07_Pallet_Contents'!$A$2:$A$3000,$A2,'07_Pallet_Contents'!$D$2:$D$3000))</f>
        <v/>
      </c>
      <c r="Y2012">
        <f>IF($A2="","",SUMIF('07_Pallet_Contents'!$A$2:$A$3000,$A2,'07_Pallet_Contents'!$I$2:$I$3000))</f>
        <v/>
      </c>
      <c r="Z2012">
        <f>IF($A2="","",IF(COUNTIF('07_Pallet_Contents'!$A$2:$A$3000,$A2)&gt;0,"Yes",""))</f>
        <v/>
      </c>
    </row>
    <row r="2013">
      <c r="W2013">
        <f>IF($A2="","",COUNTIF('07_Pallet_Contents'!$A$2:$A$3000,$A2))</f>
        <v/>
      </c>
      <c r="X2013">
        <f>IF($A2="","",SUMIF('07_Pallet_Contents'!$A$2:$A$3000,$A2,'07_Pallet_Contents'!$D$2:$D$3000))</f>
        <v/>
      </c>
      <c r="Y2013">
        <f>IF($A2="","",SUMIF('07_Pallet_Contents'!$A$2:$A$3000,$A2,'07_Pallet_Contents'!$I$2:$I$3000))</f>
        <v/>
      </c>
      <c r="Z2013">
        <f>IF($A2="","",IF(COUNTIF('07_Pallet_Contents'!$A$2:$A$3000,$A2)&gt;0,"Yes",""))</f>
        <v/>
      </c>
    </row>
    <row r="2014">
      <c r="W2014">
        <f>IF($A2="","",COUNTIF('07_Pallet_Contents'!$A$2:$A$3000,$A2))</f>
        <v/>
      </c>
      <c r="X2014">
        <f>IF($A2="","",SUMIF('07_Pallet_Contents'!$A$2:$A$3000,$A2,'07_Pallet_Contents'!$D$2:$D$3000))</f>
        <v/>
      </c>
      <c r="Y2014">
        <f>IF($A2="","",SUMIF('07_Pallet_Contents'!$A$2:$A$3000,$A2,'07_Pallet_Contents'!$I$2:$I$3000))</f>
        <v/>
      </c>
      <c r="Z2014">
        <f>IF($A2="","",IF(COUNTIF('07_Pallet_Contents'!$A$2:$A$3000,$A2)&gt;0,"Yes",""))</f>
        <v/>
      </c>
    </row>
    <row r="2015">
      <c r="W2015">
        <f>IF($A2="","",COUNTIF('07_Pallet_Contents'!$A$2:$A$3000,$A2))</f>
        <v/>
      </c>
      <c r="X2015">
        <f>IF($A2="","",SUMIF('07_Pallet_Contents'!$A$2:$A$3000,$A2,'07_Pallet_Contents'!$D$2:$D$3000))</f>
        <v/>
      </c>
      <c r="Y2015">
        <f>IF($A2="","",SUMIF('07_Pallet_Contents'!$A$2:$A$3000,$A2,'07_Pallet_Contents'!$I$2:$I$3000))</f>
        <v/>
      </c>
      <c r="Z2015">
        <f>IF($A2="","",IF(COUNTIF('07_Pallet_Contents'!$A$2:$A$3000,$A2)&gt;0,"Yes",""))</f>
        <v/>
      </c>
    </row>
    <row r="2016">
      <c r="W2016">
        <f>IF($A2="","",COUNTIF('07_Pallet_Contents'!$A$2:$A$3000,$A2))</f>
        <v/>
      </c>
      <c r="X2016">
        <f>IF($A2="","",SUMIF('07_Pallet_Contents'!$A$2:$A$3000,$A2,'07_Pallet_Contents'!$D$2:$D$3000))</f>
        <v/>
      </c>
      <c r="Y2016">
        <f>IF($A2="","",SUMIF('07_Pallet_Contents'!$A$2:$A$3000,$A2,'07_Pallet_Contents'!$I$2:$I$3000))</f>
        <v/>
      </c>
      <c r="Z2016">
        <f>IF($A2="","",IF(COUNTIF('07_Pallet_Contents'!$A$2:$A$3000,$A2)&gt;0,"Yes",""))</f>
        <v/>
      </c>
    </row>
    <row r="2017">
      <c r="W2017">
        <f>IF($A2="","",COUNTIF('07_Pallet_Contents'!$A$2:$A$3000,$A2))</f>
        <v/>
      </c>
      <c r="X2017">
        <f>IF($A2="","",SUMIF('07_Pallet_Contents'!$A$2:$A$3000,$A2,'07_Pallet_Contents'!$D$2:$D$3000))</f>
        <v/>
      </c>
      <c r="Y2017">
        <f>IF($A2="","",SUMIF('07_Pallet_Contents'!$A$2:$A$3000,$A2,'07_Pallet_Contents'!$I$2:$I$3000))</f>
        <v/>
      </c>
      <c r="Z2017">
        <f>IF($A2="","",IF(COUNTIF('07_Pallet_Contents'!$A$2:$A$3000,$A2)&gt;0,"Yes",""))</f>
        <v/>
      </c>
    </row>
    <row r="2018">
      <c r="W2018">
        <f>IF($A2="","",COUNTIF('07_Pallet_Contents'!$A$2:$A$3000,$A2))</f>
        <v/>
      </c>
      <c r="X2018">
        <f>IF($A2="","",SUMIF('07_Pallet_Contents'!$A$2:$A$3000,$A2,'07_Pallet_Contents'!$D$2:$D$3000))</f>
        <v/>
      </c>
      <c r="Y2018">
        <f>IF($A2="","",SUMIF('07_Pallet_Contents'!$A$2:$A$3000,$A2,'07_Pallet_Contents'!$I$2:$I$3000))</f>
        <v/>
      </c>
      <c r="Z2018">
        <f>IF($A2="","",IF(COUNTIF('07_Pallet_Contents'!$A$2:$A$3000,$A2)&gt;0,"Yes",""))</f>
        <v/>
      </c>
    </row>
    <row r="2019">
      <c r="W2019">
        <f>IF($A2="","",COUNTIF('07_Pallet_Contents'!$A$2:$A$3000,$A2))</f>
        <v/>
      </c>
      <c r="X2019">
        <f>IF($A2="","",SUMIF('07_Pallet_Contents'!$A$2:$A$3000,$A2,'07_Pallet_Contents'!$D$2:$D$3000))</f>
        <v/>
      </c>
      <c r="Y2019">
        <f>IF($A2="","",SUMIF('07_Pallet_Contents'!$A$2:$A$3000,$A2,'07_Pallet_Contents'!$I$2:$I$3000))</f>
        <v/>
      </c>
      <c r="Z2019">
        <f>IF($A2="","",IF(COUNTIF('07_Pallet_Contents'!$A$2:$A$3000,$A2)&gt;0,"Yes",""))</f>
        <v/>
      </c>
    </row>
    <row r="2020">
      <c r="W2020">
        <f>IF($A2="","",COUNTIF('07_Pallet_Contents'!$A$2:$A$3000,$A2))</f>
        <v/>
      </c>
      <c r="X2020">
        <f>IF($A2="","",SUMIF('07_Pallet_Contents'!$A$2:$A$3000,$A2,'07_Pallet_Contents'!$D$2:$D$3000))</f>
        <v/>
      </c>
      <c r="Y2020">
        <f>IF($A2="","",SUMIF('07_Pallet_Contents'!$A$2:$A$3000,$A2,'07_Pallet_Contents'!$I$2:$I$3000))</f>
        <v/>
      </c>
      <c r="Z2020">
        <f>IF($A2="","",IF(COUNTIF('07_Pallet_Contents'!$A$2:$A$3000,$A2)&gt;0,"Yes",""))</f>
        <v/>
      </c>
    </row>
    <row r="2021">
      <c r="W2021">
        <f>IF($A2="","",COUNTIF('07_Pallet_Contents'!$A$2:$A$3000,$A2))</f>
        <v/>
      </c>
      <c r="X2021">
        <f>IF($A2="","",SUMIF('07_Pallet_Contents'!$A$2:$A$3000,$A2,'07_Pallet_Contents'!$D$2:$D$3000))</f>
        <v/>
      </c>
      <c r="Y2021">
        <f>IF($A2="","",SUMIF('07_Pallet_Contents'!$A$2:$A$3000,$A2,'07_Pallet_Contents'!$I$2:$I$3000))</f>
        <v/>
      </c>
      <c r="Z2021">
        <f>IF($A2="","",IF(COUNTIF('07_Pallet_Contents'!$A$2:$A$3000,$A2)&gt;0,"Yes",""))</f>
        <v/>
      </c>
    </row>
    <row r="2022">
      <c r="W2022">
        <f>IF($A2="","",COUNTIF('07_Pallet_Contents'!$A$2:$A$3000,$A2))</f>
        <v/>
      </c>
      <c r="X2022">
        <f>IF($A2="","",SUMIF('07_Pallet_Contents'!$A$2:$A$3000,$A2,'07_Pallet_Contents'!$D$2:$D$3000))</f>
        <v/>
      </c>
      <c r="Y2022">
        <f>IF($A2="","",SUMIF('07_Pallet_Contents'!$A$2:$A$3000,$A2,'07_Pallet_Contents'!$I$2:$I$3000))</f>
        <v/>
      </c>
      <c r="Z2022">
        <f>IF($A2="","",IF(COUNTIF('07_Pallet_Contents'!$A$2:$A$3000,$A2)&gt;0,"Yes",""))</f>
        <v/>
      </c>
    </row>
    <row r="2023">
      <c r="W2023">
        <f>IF($A2="","",COUNTIF('07_Pallet_Contents'!$A$2:$A$3000,$A2))</f>
        <v/>
      </c>
      <c r="X2023">
        <f>IF($A2="","",SUMIF('07_Pallet_Contents'!$A$2:$A$3000,$A2,'07_Pallet_Contents'!$D$2:$D$3000))</f>
        <v/>
      </c>
      <c r="Y2023">
        <f>IF($A2="","",SUMIF('07_Pallet_Contents'!$A$2:$A$3000,$A2,'07_Pallet_Contents'!$I$2:$I$3000))</f>
        <v/>
      </c>
      <c r="Z2023">
        <f>IF($A2="","",IF(COUNTIF('07_Pallet_Contents'!$A$2:$A$3000,$A2)&gt;0,"Yes",""))</f>
        <v/>
      </c>
    </row>
    <row r="2024">
      <c r="W2024">
        <f>IF($A2="","",COUNTIF('07_Pallet_Contents'!$A$2:$A$3000,$A2))</f>
        <v/>
      </c>
      <c r="X2024">
        <f>IF($A2="","",SUMIF('07_Pallet_Contents'!$A$2:$A$3000,$A2,'07_Pallet_Contents'!$D$2:$D$3000))</f>
        <v/>
      </c>
      <c r="Y2024">
        <f>IF($A2="","",SUMIF('07_Pallet_Contents'!$A$2:$A$3000,$A2,'07_Pallet_Contents'!$I$2:$I$3000))</f>
        <v/>
      </c>
      <c r="Z2024">
        <f>IF($A2="","",IF(COUNTIF('07_Pallet_Contents'!$A$2:$A$3000,$A2)&gt;0,"Yes",""))</f>
        <v/>
      </c>
    </row>
    <row r="2025">
      <c r="W2025">
        <f>IF($A2="","",COUNTIF('07_Pallet_Contents'!$A$2:$A$3000,$A2))</f>
        <v/>
      </c>
      <c r="X2025">
        <f>IF($A2="","",SUMIF('07_Pallet_Contents'!$A$2:$A$3000,$A2,'07_Pallet_Contents'!$D$2:$D$3000))</f>
        <v/>
      </c>
      <c r="Y2025">
        <f>IF($A2="","",SUMIF('07_Pallet_Contents'!$A$2:$A$3000,$A2,'07_Pallet_Contents'!$I$2:$I$3000))</f>
        <v/>
      </c>
      <c r="Z2025">
        <f>IF($A2="","",IF(COUNTIF('07_Pallet_Contents'!$A$2:$A$3000,$A2)&gt;0,"Yes",""))</f>
        <v/>
      </c>
    </row>
    <row r="2026">
      <c r="W2026">
        <f>IF($A2="","",COUNTIF('07_Pallet_Contents'!$A$2:$A$3000,$A2))</f>
        <v/>
      </c>
      <c r="X2026">
        <f>IF($A2="","",SUMIF('07_Pallet_Contents'!$A$2:$A$3000,$A2,'07_Pallet_Contents'!$D$2:$D$3000))</f>
        <v/>
      </c>
      <c r="Y2026">
        <f>IF($A2="","",SUMIF('07_Pallet_Contents'!$A$2:$A$3000,$A2,'07_Pallet_Contents'!$I$2:$I$3000))</f>
        <v/>
      </c>
      <c r="Z2026">
        <f>IF($A2="","",IF(COUNTIF('07_Pallet_Contents'!$A$2:$A$3000,$A2)&gt;0,"Yes",""))</f>
        <v/>
      </c>
    </row>
    <row r="2027">
      <c r="W2027">
        <f>IF($A2="","",COUNTIF('07_Pallet_Contents'!$A$2:$A$3000,$A2))</f>
        <v/>
      </c>
      <c r="X2027">
        <f>IF($A2="","",SUMIF('07_Pallet_Contents'!$A$2:$A$3000,$A2,'07_Pallet_Contents'!$D$2:$D$3000))</f>
        <v/>
      </c>
      <c r="Y2027">
        <f>IF($A2="","",SUMIF('07_Pallet_Contents'!$A$2:$A$3000,$A2,'07_Pallet_Contents'!$I$2:$I$3000))</f>
        <v/>
      </c>
      <c r="Z2027">
        <f>IF($A2="","",IF(COUNTIF('07_Pallet_Contents'!$A$2:$A$3000,$A2)&gt;0,"Yes",""))</f>
        <v/>
      </c>
    </row>
    <row r="2028">
      <c r="W2028">
        <f>IF($A2="","",COUNTIF('07_Pallet_Contents'!$A$2:$A$3000,$A2))</f>
        <v/>
      </c>
      <c r="X2028">
        <f>IF($A2="","",SUMIF('07_Pallet_Contents'!$A$2:$A$3000,$A2,'07_Pallet_Contents'!$D$2:$D$3000))</f>
        <v/>
      </c>
      <c r="Y2028">
        <f>IF($A2="","",SUMIF('07_Pallet_Contents'!$A$2:$A$3000,$A2,'07_Pallet_Contents'!$I$2:$I$3000))</f>
        <v/>
      </c>
      <c r="Z2028">
        <f>IF($A2="","",IF(COUNTIF('07_Pallet_Contents'!$A$2:$A$3000,$A2)&gt;0,"Yes",""))</f>
        <v/>
      </c>
    </row>
    <row r="2029">
      <c r="W2029">
        <f>IF($A2="","",COUNTIF('07_Pallet_Contents'!$A$2:$A$3000,$A2))</f>
        <v/>
      </c>
      <c r="X2029">
        <f>IF($A2="","",SUMIF('07_Pallet_Contents'!$A$2:$A$3000,$A2,'07_Pallet_Contents'!$D$2:$D$3000))</f>
        <v/>
      </c>
      <c r="Y2029">
        <f>IF($A2="","",SUMIF('07_Pallet_Contents'!$A$2:$A$3000,$A2,'07_Pallet_Contents'!$I$2:$I$3000))</f>
        <v/>
      </c>
      <c r="Z2029">
        <f>IF($A2="","",IF(COUNTIF('07_Pallet_Contents'!$A$2:$A$3000,$A2)&gt;0,"Yes",""))</f>
        <v/>
      </c>
    </row>
    <row r="2030">
      <c r="W2030">
        <f>IF($A2="","",COUNTIF('07_Pallet_Contents'!$A$2:$A$3000,$A2))</f>
        <v/>
      </c>
      <c r="X2030">
        <f>IF($A2="","",SUMIF('07_Pallet_Contents'!$A$2:$A$3000,$A2,'07_Pallet_Contents'!$D$2:$D$3000))</f>
        <v/>
      </c>
      <c r="Y2030">
        <f>IF($A2="","",SUMIF('07_Pallet_Contents'!$A$2:$A$3000,$A2,'07_Pallet_Contents'!$I$2:$I$3000))</f>
        <v/>
      </c>
      <c r="Z2030">
        <f>IF($A2="","",IF(COUNTIF('07_Pallet_Contents'!$A$2:$A$3000,$A2)&gt;0,"Yes",""))</f>
        <v/>
      </c>
    </row>
    <row r="2031">
      <c r="W2031">
        <f>IF($A2="","",COUNTIF('07_Pallet_Contents'!$A$2:$A$3000,$A2))</f>
        <v/>
      </c>
      <c r="X2031">
        <f>IF($A2="","",SUMIF('07_Pallet_Contents'!$A$2:$A$3000,$A2,'07_Pallet_Contents'!$D$2:$D$3000))</f>
        <v/>
      </c>
      <c r="Y2031">
        <f>IF($A2="","",SUMIF('07_Pallet_Contents'!$A$2:$A$3000,$A2,'07_Pallet_Contents'!$I$2:$I$3000))</f>
        <v/>
      </c>
      <c r="Z2031">
        <f>IF($A2="","",IF(COUNTIF('07_Pallet_Contents'!$A$2:$A$3000,$A2)&gt;0,"Yes",""))</f>
        <v/>
      </c>
    </row>
    <row r="2032">
      <c r="W2032">
        <f>IF($A2="","",COUNTIF('07_Pallet_Contents'!$A$2:$A$3000,$A2))</f>
        <v/>
      </c>
      <c r="X2032">
        <f>IF($A2="","",SUMIF('07_Pallet_Contents'!$A$2:$A$3000,$A2,'07_Pallet_Contents'!$D$2:$D$3000))</f>
        <v/>
      </c>
      <c r="Y2032">
        <f>IF($A2="","",SUMIF('07_Pallet_Contents'!$A$2:$A$3000,$A2,'07_Pallet_Contents'!$I$2:$I$3000))</f>
        <v/>
      </c>
      <c r="Z2032">
        <f>IF($A2="","",IF(COUNTIF('07_Pallet_Contents'!$A$2:$A$3000,$A2)&gt;0,"Yes",""))</f>
        <v/>
      </c>
    </row>
    <row r="2033">
      <c r="W2033">
        <f>IF($A2="","",COUNTIF('07_Pallet_Contents'!$A$2:$A$3000,$A2))</f>
        <v/>
      </c>
      <c r="X2033">
        <f>IF($A2="","",SUMIF('07_Pallet_Contents'!$A$2:$A$3000,$A2,'07_Pallet_Contents'!$D$2:$D$3000))</f>
        <v/>
      </c>
      <c r="Y2033">
        <f>IF($A2="","",SUMIF('07_Pallet_Contents'!$A$2:$A$3000,$A2,'07_Pallet_Contents'!$I$2:$I$3000))</f>
        <v/>
      </c>
      <c r="Z2033">
        <f>IF($A2="","",IF(COUNTIF('07_Pallet_Contents'!$A$2:$A$3000,$A2)&gt;0,"Yes",""))</f>
        <v/>
      </c>
    </row>
    <row r="2034">
      <c r="W2034">
        <f>IF($A2="","",COUNTIF('07_Pallet_Contents'!$A$2:$A$3000,$A2))</f>
        <v/>
      </c>
      <c r="X2034">
        <f>IF($A2="","",SUMIF('07_Pallet_Contents'!$A$2:$A$3000,$A2,'07_Pallet_Contents'!$D$2:$D$3000))</f>
        <v/>
      </c>
      <c r="Y2034">
        <f>IF($A2="","",SUMIF('07_Pallet_Contents'!$A$2:$A$3000,$A2,'07_Pallet_Contents'!$I$2:$I$3000))</f>
        <v/>
      </c>
      <c r="Z2034">
        <f>IF($A2="","",IF(COUNTIF('07_Pallet_Contents'!$A$2:$A$3000,$A2)&gt;0,"Yes",""))</f>
        <v/>
      </c>
    </row>
    <row r="2035">
      <c r="W2035">
        <f>IF($A2="","",COUNTIF('07_Pallet_Contents'!$A$2:$A$3000,$A2))</f>
        <v/>
      </c>
      <c r="X2035">
        <f>IF($A2="","",SUMIF('07_Pallet_Contents'!$A$2:$A$3000,$A2,'07_Pallet_Contents'!$D$2:$D$3000))</f>
        <v/>
      </c>
      <c r="Y2035">
        <f>IF($A2="","",SUMIF('07_Pallet_Contents'!$A$2:$A$3000,$A2,'07_Pallet_Contents'!$I$2:$I$3000))</f>
        <v/>
      </c>
      <c r="Z2035">
        <f>IF($A2="","",IF(COUNTIF('07_Pallet_Contents'!$A$2:$A$3000,$A2)&gt;0,"Yes",""))</f>
        <v/>
      </c>
    </row>
    <row r="2036">
      <c r="W2036">
        <f>IF($A2="","",COUNTIF('07_Pallet_Contents'!$A$2:$A$3000,$A2))</f>
        <v/>
      </c>
      <c r="X2036">
        <f>IF($A2="","",SUMIF('07_Pallet_Contents'!$A$2:$A$3000,$A2,'07_Pallet_Contents'!$D$2:$D$3000))</f>
        <v/>
      </c>
      <c r="Y2036">
        <f>IF($A2="","",SUMIF('07_Pallet_Contents'!$A$2:$A$3000,$A2,'07_Pallet_Contents'!$I$2:$I$3000))</f>
        <v/>
      </c>
      <c r="Z2036">
        <f>IF($A2="","",IF(COUNTIF('07_Pallet_Contents'!$A$2:$A$3000,$A2)&gt;0,"Yes",""))</f>
        <v/>
      </c>
    </row>
    <row r="2037">
      <c r="W2037">
        <f>IF($A2="","",COUNTIF('07_Pallet_Contents'!$A$2:$A$3000,$A2))</f>
        <v/>
      </c>
      <c r="X2037">
        <f>IF($A2="","",SUMIF('07_Pallet_Contents'!$A$2:$A$3000,$A2,'07_Pallet_Contents'!$D$2:$D$3000))</f>
        <v/>
      </c>
      <c r="Y2037">
        <f>IF($A2="","",SUMIF('07_Pallet_Contents'!$A$2:$A$3000,$A2,'07_Pallet_Contents'!$I$2:$I$3000))</f>
        <v/>
      </c>
      <c r="Z2037">
        <f>IF($A2="","",IF(COUNTIF('07_Pallet_Contents'!$A$2:$A$3000,$A2)&gt;0,"Yes",""))</f>
        <v/>
      </c>
    </row>
    <row r="2038">
      <c r="W2038">
        <f>IF($A2="","",COUNTIF('07_Pallet_Contents'!$A$2:$A$3000,$A2))</f>
        <v/>
      </c>
      <c r="X2038">
        <f>IF($A2="","",SUMIF('07_Pallet_Contents'!$A$2:$A$3000,$A2,'07_Pallet_Contents'!$D$2:$D$3000))</f>
        <v/>
      </c>
      <c r="Y2038">
        <f>IF($A2="","",SUMIF('07_Pallet_Contents'!$A$2:$A$3000,$A2,'07_Pallet_Contents'!$I$2:$I$3000))</f>
        <v/>
      </c>
      <c r="Z2038">
        <f>IF($A2="","",IF(COUNTIF('07_Pallet_Contents'!$A$2:$A$3000,$A2)&gt;0,"Yes",""))</f>
        <v/>
      </c>
    </row>
    <row r="2039">
      <c r="W2039">
        <f>IF($A2="","",COUNTIF('07_Pallet_Contents'!$A$2:$A$3000,$A2))</f>
        <v/>
      </c>
      <c r="X2039">
        <f>IF($A2="","",SUMIF('07_Pallet_Contents'!$A$2:$A$3000,$A2,'07_Pallet_Contents'!$D$2:$D$3000))</f>
        <v/>
      </c>
      <c r="Y2039">
        <f>IF($A2="","",SUMIF('07_Pallet_Contents'!$A$2:$A$3000,$A2,'07_Pallet_Contents'!$I$2:$I$3000))</f>
        <v/>
      </c>
      <c r="Z2039">
        <f>IF($A2="","",IF(COUNTIF('07_Pallet_Contents'!$A$2:$A$3000,$A2)&gt;0,"Yes",""))</f>
        <v/>
      </c>
    </row>
    <row r="2040">
      <c r="W2040">
        <f>IF($A2="","",COUNTIF('07_Pallet_Contents'!$A$2:$A$3000,$A2))</f>
        <v/>
      </c>
      <c r="X2040">
        <f>IF($A2="","",SUMIF('07_Pallet_Contents'!$A$2:$A$3000,$A2,'07_Pallet_Contents'!$D$2:$D$3000))</f>
        <v/>
      </c>
      <c r="Y2040">
        <f>IF($A2="","",SUMIF('07_Pallet_Contents'!$A$2:$A$3000,$A2,'07_Pallet_Contents'!$I$2:$I$3000))</f>
        <v/>
      </c>
      <c r="Z2040">
        <f>IF($A2="","",IF(COUNTIF('07_Pallet_Contents'!$A$2:$A$3000,$A2)&gt;0,"Yes",""))</f>
        <v/>
      </c>
    </row>
    <row r="2041">
      <c r="W2041">
        <f>IF($A2="","",COUNTIF('07_Pallet_Contents'!$A$2:$A$3000,$A2))</f>
        <v/>
      </c>
      <c r="X2041">
        <f>IF($A2="","",SUMIF('07_Pallet_Contents'!$A$2:$A$3000,$A2,'07_Pallet_Contents'!$D$2:$D$3000))</f>
        <v/>
      </c>
      <c r="Y2041">
        <f>IF($A2="","",SUMIF('07_Pallet_Contents'!$A$2:$A$3000,$A2,'07_Pallet_Contents'!$I$2:$I$3000))</f>
        <v/>
      </c>
      <c r="Z2041">
        <f>IF($A2="","",IF(COUNTIF('07_Pallet_Contents'!$A$2:$A$3000,$A2)&gt;0,"Yes",""))</f>
        <v/>
      </c>
    </row>
    <row r="2042">
      <c r="W2042">
        <f>IF($A2="","",COUNTIF('07_Pallet_Contents'!$A$2:$A$3000,$A2))</f>
        <v/>
      </c>
      <c r="X2042">
        <f>IF($A2="","",SUMIF('07_Pallet_Contents'!$A$2:$A$3000,$A2,'07_Pallet_Contents'!$D$2:$D$3000))</f>
        <v/>
      </c>
      <c r="Y2042">
        <f>IF($A2="","",SUMIF('07_Pallet_Contents'!$A$2:$A$3000,$A2,'07_Pallet_Contents'!$I$2:$I$3000))</f>
        <v/>
      </c>
      <c r="Z2042">
        <f>IF($A2="","",IF(COUNTIF('07_Pallet_Contents'!$A$2:$A$3000,$A2)&gt;0,"Yes",""))</f>
        <v/>
      </c>
    </row>
    <row r="2043">
      <c r="W2043">
        <f>IF($A2="","",COUNTIF('07_Pallet_Contents'!$A$2:$A$3000,$A2))</f>
        <v/>
      </c>
      <c r="X2043">
        <f>IF($A2="","",SUMIF('07_Pallet_Contents'!$A$2:$A$3000,$A2,'07_Pallet_Contents'!$D$2:$D$3000))</f>
        <v/>
      </c>
      <c r="Y2043">
        <f>IF($A2="","",SUMIF('07_Pallet_Contents'!$A$2:$A$3000,$A2,'07_Pallet_Contents'!$I$2:$I$3000))</f>
        <v/>
      </c>
      <c r="Z2043">
        <f>IF($A2="","",IF(COUNTIF('07_Pallet_Contents'!$A$2:$A$3000,$A2)&gt;0,"Yes",""))</f>
        <v/>
      </c>
    </row>
    <row r="2044">
      <c r="W2044">
        <f>IF($A2="","",COUNTIF('07_Pallet_Contents'!$A$2:$A$3000,$A2))</f>
        <v/>
      </c>
      <c r="X2044">
        <f>IF($A2="","",SUMIF('07_Pallet_Contents'!$A$2:$A$3000,$A2,'07_Pallet_Contents'!$D$2:$D$3000))</f>
        <v/>
      </c>
      <c r="Y2044">
        <f>IF($A2="","",SUMIF('07_Pallet_Contents'!$A$2:$A$3000,$A2,'07_Pallet_Contents'!$I$2:$I$3000))</f>
        <v/>
      </c>
      <c r="Z2044">
        <f>IF($A2="","",IF(COUNTIF('07_Pallet_Contents'!$A$2:$A$3000,$A2)&gt;0,"Yes",""))</f>
        <v/>
      </c>
    </row>
    <row r="2045">
      <c r="W2045">
        <f>IF($A2="","",COUNTIF('07_Pallet_Contents'!$A$2:$A$3000,$A2))</f>
        <v/>
      </c>
      <c r="X2045">
        <f>IF($A2="","",SUMIF('07_Pallet_Contents'!$A$2:$A$3000,$A2,'07_Pallet_Contents'!$D$2:$D$3000))</f>
        <v/>
      </c>
      <c r="Y2045">
        <f>IF($A2="","",SUMIF('07_Pallet_Contents'!$A$2:$A$3000,$A2,'07_Pallet_Contents'!$I$2:$I$3000))</f>
        <v/>
      </c>
      <c r="Z2045">
        <f>IF($A2="","",IF(COUNTIF('07_Pallet_Contents'!$A$2:$A$3000,$A2)&gt;0,"Yes",""))</f>
        <v/>
      </c>
    </row>
    <row r="2046">
      <c r="W2046">
        <f>IF($A2="","",COUNTIF('07_Pallet_Contents'!$A$2:$A$3000,$A2))</f>
        <v/>
      </c>
      <c r="X2046">
        <f>IF($A2="","",SUMIF('07_Pallet_Contents'!$A$2:$A$3000,$A2,'07_Pallet_Contents'!$D$2:$D$3000))</f>
        <v/>
      </c>
      <c r="Y2046">
        <f>IF($A2="","",SUMIF('07_Pallet_Contents'!$A$2:$A$3000,$A2,'07_Pallet_Contents'!$I$2:$I$3000))</f>
        <v/>
      </c>
      <c r="Z2046">
        <f>IF($A2="","",IF(COUNTIF('07_Pallet_Contents'!$A$2:$A$3000,$A2)&gt;0,"Yes",""))</f>
        <v/>
      </c>
    </row>
    <row r="2047">
      <c r="W2047">
        <f>IF($A2="","",COUNTIF('07_Pallet_Contents'!$A$2:$A$3000,$A2))</f>
        <v/>
      </c>
      <c r="X2047">
        <f>IF($A2="","",SUMIF('07_Pallet_Contents'!$A$2:$A$3000,$A2,'07_Pallet_Contents'!$D$2:$D$3000))</f>
        <v/>
      </c>
      <c r="Y2047">
        <f>IF($A2="","",SUMIF('07_Pallet_Contents'!$A$2:$A$3000,$A2,'07_Pallet_Contents'!$I$2:$I$3000))</f>
        <v/>
      </c>
      <c r="Z2047">
        <f>IF($A2="","",IF(COUNTIF('07_Pallet_Contents'!$A$2:$A$3000,$A2)&gt;0,"Yes",""))</f>
        <v/>
      </c>
    </row>
    <row r="2048">
      <c r="W2048">
        <f>IF($A2="","",COUNTIF('07_Pallet_Contents'!$A$2:$A$3000,$A2))</f>
        <v/>
      </c>
      <c r="X2048">
        <f>IF($A2="","",SUMIF('07_Pallet_Contents'!$A$2:$A$3000,$A2,'07_Pallet_Contents'!$D$2:$D$3000))</f>
        <v/>
      </c>
      <c r="Y2048">
        <f>IF($A2="","",SUMIF('07_Pallet_Contents'!$A$2:$A$3000,$A2,'07_Pallet_Contents'!$I$2:$I$3000))</f>
        <v/>
      </c>
      <c r="Z2048">
        <f>IF($A2="","",IF(COUNTIF('07_Pallet_Contents'!$A$2:$A$3000,$A2)&gt;0,"Yes",""))</f>
        <v/>
      </c>
    </row>
    <row r="2049">
      <c r="W2049">
        <f>IF($A2="","",COUNTIF('07_Pallet_Contents'!$A$2:$A$3000,$A2))</f>
        <v/>
      </c>
      <c r="X2049">
        <f>IF($A2="","",SUMIF('07_Pallet_Contents'!$A$2:$A$3000,$A2,'07_Pallet_Contents'!$D$2:$D$3000))</f>
        <v/>
      </c>
      <c r="Y2049">
        <f>IF($A2="","",SUMIF('07_Pallet_Contents'!$A$2:$A$3000,$A2,'07_Pallet_Contents'!$I$2:$I$3000))</f>
        <v/>
      </c>
      <c r="Z2049">
        <f>IF($A2="","",IF(COUNTIF('07_Pallet_Contents'!$A$2:$A$3000,$A2)&gt;0,"Yes",""))</f>
        <v/>
      </c>
    </row>
    <row r="2050">
      <c r="W2050">
        <f>IF($A2="","",COUNTIF('07_Pallet_Contents'!$A$2:$A$3000,$A2))</f>
        <v/>
      </c>
      <c r="X2050">
        <f>IF($A2="","",SUMIF('07_Pallet_Contents'!$A$2:$A$3000,$A2,'07_Pallet_Contents'!$D$2:$D$3000))</f>
        <v/>
      </c>
      <c r="Y2050">
        <f>IF($A2="","",SUMIF('07_Pallet_Contents'!$A$2:$A$3000,$A2,'07_Pallet_Contents'!$I$2:$I$3000))</f>
        <v/>
      </c>
      <c r="Z2050">
        <f>IF($A2="","",IF(COUNTIF('07_Pallet_Contents'!$A$2:$A$3000,$A2)&gt;0,"Yes",""))</f>
        <v/>
      </c>
    </row>
    <row r="2051">
      <c r="W2051">
        <f>IF($A2="","",COUNTIF('07_Pallet_Contents'!$A$2:$A$3000,$A2))</f>
        <v/>
      </c>
      <c r="X2051">
        <f>IF($A2="","",SUMIF('07_Pallet_Contents'!$A$2:$A$3000,$A2,'07_Pallet_Contents'!$D$2:$D$3000))</f>
        <v/>
      </c>
      <c r="Y2051">
        <f>IF($A2="","",SUMIF('07_Pallet_Contents'!$A$2:$A$3000,$A2,'07_Pallet_Contents'!$I$2:$I$3000))</f>
        <v/>
      </c>
      <c r="Z2051">
        <f>IF($A2="","",IF(COUNTIF('07_Pallet_Contents'!$A$2:$A$3000,$A2)&gt;0,"Yes",""))</f>
        <v/>
      </c>
    </row>
    <row r="2052">
      <c r="W2052">
        <f>IF($A2="","",COUNTIF('07_Pallet_Contents'!$A$2:$A$3000,$A2))</f>
        <v/>
      </c>
      <c r="X2052">
        <f>IF($A2="","",SUMIF('07_Pallet_Contents'!$A$2:$A$3000,$A2,'07_Pallet_Contents'!$D$2:$D$3000))</f>
        <v/>
      </c>
      <c r="Y2052">
        <f>IF($A2="","",SUMIF('07_Pallet_Contents'!$A$2:$A$3000,$A2,'07_Pallet_Contents'!$I$2:$I$3000))</f>
        <v/>
      </c>
      <c r="Z2052">
        <f>IF($A2="","",IF(COUNTIF('07_Pallet_Contents'!$A$2:$A$3000,$A2)&gt;0,"Yes",""))</f>
        <v/>
      </c>
    </row>
    <row r="2053">
      <c r="W2053">
        <f>IF($A2="","",COUNTIF('07_Pallet_Contents'!$A$2:$A$3000,$A2))</f>
        <v/>
      </c>
      <c r="X2053">
        <f>IF($A2="","",SUMIF('07_Pallet_Contents'!$A$2:$A$3000,$A2,'07_Pallet_Contents'!$D$2:$D$3000))</f>
        <v/>
      </c>
      <c r="Y2053">
        <f>IF($A2="","",SUMIF('07_Pallet_Contents'!$A$2:$A$3000,$A2,'07_Pallet_Contents'!$I$2:$I$3000))</f>
        <v/>
      </c>
      <c r="Z2053">
        <f>IF($A2="","",IF(COUNTIF('07_Pallet_Contents'!$A$2:$A$3000,$A2)&gt;0,"Yes",""))</f>
        <v/>
      </c>
    </row>
    <row r="2054">
      <c r="W2054">
        <f>IF($A2="","",COUNTIF('07_Pallet_Contents'!$A$2:$A$3000,$A2))</f>
        <v/>
      </c>
      <c r="X2054">
        <f>IF($A2="","",SUMIF('07_Pallet_Contents'!$A$2:$A$3000,$A2,'07_Pallet_Contents'!$D$2:$D$3000))</f>
        <v/>
      </c>
      <c r="Y2054">
        <f>IF($A2="","",SUMIF('07_Pallet_Contents'!$A$2:$A$3000,$A2,'07_Pallet_Contents'!$I$2:$I$3000))</f>
        <v/>
      </c>
      <c r="Z2054">
        <f>IF($A2="","",IF(COUNTIF('07_Pallet_Contents'!$A$2:$A$3000,$A2)&gt;0,"Yes",""))</f>
        <v/>
      </c>
    </row>
    <row r="2055">
      <c r="W2055">
        <f>IF($A2="","",COUNTIF('07_Pallet_Contents'!$A$2:$A$3000,$A2))</f>
        <v/>
      </c>
      <c r="X2055">
        <f>IF($A2="","",SUMIF('07_Pallet_Contents'!$A$2:$A$3000,$A2,'07_Pallet_Contents'!$D$2:$D$3000))</f>
        <v/>
      </c>
      <c r="Y2055">
        <f>IF($A2="","",SUMIF('07_Pallet_Contents'!$A$2:$A$3000,$A2,'07_Pallet_Contents'!$I$2:$I$3000))</f>
        <v/>
      </c>
      <c r="Z2055">
        <f>IF($A2="","",IF(COUNTIF('07_Pallet_Contents'!$A$2:$A$3000,$A2)&gt;0,"Yes",""))</f>
        <v/>
      </c>
    </row>
    <row r="2056">
      <c r="W2056">
        <f>IF($A2="","",COUNTIF('07_Pallet_Contents'!$A$2:$A$3000,$A2))</f>
        <v/>
      </c>
      <c r="X2056">
        <f>IF($A2="","",SUMIF('07_Pallet_Contents'!$A$2:$A$3000,$A2,'07_Pallet_Contents'!$D$2:$D$3000))</f>
        <v/>
      </c>
      <c r="Y2056">
        <f>IF($A2="","",SUMIF('07_Pallet_Contents'!$A$2:$A$3000,$A2,'07_Pallet_Contents'!$I$2:$I$3000))</f>
        <v/>
      </c>
      <c r="Z2056">
        <f>IF($A2="","",IF(COUNTIF('07_Pallet_Contents'!$A$2:$A$3000,$A2)&gt;0,"Yes",""))</f>
        <v/>
      </c>
    </row>
    <row r="2057">
      <c r="W2057">
        <f>IF($A2="","",COUNTIF('07_Pallet_Contents'!$A$2:$A$3000,$A2))</f>
        <v/>
      </c>
      <c r="X2057">
        <f>IF($A2="","",SUMIF('07_Pallet_Contents'!$A$2:$A$3000,$A2,'07_Pallet_Contents'!$D$2:$D$3000))</f>
        <v/>
      </c>
      <c r="Y2057">
        <f>IF($A2="","",SUMIF('07_Pallet_Contents'!$A$2:$A$3000,$A2,'07_Pallet_Contents'!$I$2:$I$3000))</f>
        <v/>
      </c>
      <c r="Z2057">
        <f>IF($A2="","",IF(COUNTIF('07_Pallet_Contents'!$A$2:$A$3000,$A2)&gt;0,"Yes",""))</f>
        <v/>
      </c>
    </row>
    <row r="2058">
      <c r="W2058">
        <f>IF($A2="","",COUNTIF('07_Pallet_Contents'!$A$2:$A$3000,$A2))</f>
        <v/>
      </c>
      <c r="X2058">
        <f>IF($A2="","",SUMIF('07_Pallet_Contents'!$A$2:$A$3000,$A2,'07_Pallet_Contents'!$D$2:$D$3000))</f>
        <v/>
      </c>
      <c r="Y2058">
        <f>IF($A2="","",SUMIF('07_Pallet_Contents'!$A$2:$A$3000,$A2,'07_Pallet_Contents'!$I$2:$I$3000))</f>
        <v/>
      </c>
      <c r="Z2058">
        <f>IF($A2="","",IF(COUNTIF('07_Pallet_Contents'!$A$2:$A$3000,$A2)&gt;0,"Yes",""))</f>
        <v/>
      </c>
    </row>
    <row r="2059">
      <c r="W2059">
        <f>IF($A2="","",COUNTIF('07_Pallet_Contents'!$A$2:$A$3000,$A2))</f>
        <v/>
      </c>
      <c r="X2059">
        <f>IF($A2="","",SUMIF('07_Pallet_Contents'!$A$2:$A$3000,$A2,'07_Pallet_Contents'!$D$2:$D$3000))</f>
        <v/>
      </c>
      <c r="Y2059">
        <f>IF($A2="","",SUMIF('07_Pallet_Contents'!$A$2:$A$3000,$A2,'07_Pallet_Contents'!$I$2:$I$3000))</f>
        <v/>
      </c>
      <c r="Z2059">
        <f>IF($A2="","",IF(COUNTIF('07_Pallet_Contents'!$A$2:$A$3000,$A2)&gt;0,"Yes",""))</f>
        <v/>
      </c>
    </row>
    <row r="2060">
      <c r="W2060">
        <f>IF($A2="","",COUNTIF('07_Pallet_Contents'!$A$2:$A$3000,$A2))</f>
        <v/>
      </c>
      <c r="X2060">
        <f>IF($A2="","",SUMIF('07_Pallet_Contents'!$A$2:$A$3000,$A2,'07_Pallet_Contents'!$D$2:$D$3000))</f>
        <v/>
      </c>
      <c r="Y2060">
        <f>IF($A2="","",SUMIF('07_Pallet_Contents'!$A$2:$A$3000,$A2,'07_Pallet_Contents'!$I$2:$I$3000))</f>
        <v/>
      </c>
      <c r="Z2060">
        <f>IF($A2="","",IF(COUNTIF('07_Pallet_Contents'!$A$2:$A$3000,$A2)&gt;0,"Yes",""))</f>
        <v/>
      </c>
    </row>
    <row r="2061">
      <c r="W2061">
        <f>IF($A2="","",COUNTIF('07_Pallet_Contents'!$A$2:$A$3000,$A2))</f>
        <v/>
      </c>
      <c r="X2061">
        <f>IF($A2="","",SUMIF('07_Pallet_Contents'!$A$2:$A$3000,$A2,'07_Pallet_Contents'!$D$2:$D$3000))</f>
        <v/>
      </c>
      <c r="Y2061">
        <f>IF($A2="","",SUMIF('07_Pallet_Contents'!$A$2:$A$3000,$A2,'07_Pallet_Contents'!$I$2:$I$3000))</f>
        <v/>
      </c>
      <c r="Z2061">
        <f>IF($A2="","",IF(COUNTIF('07_Pallet_Contents'!$A$2:$A$3000,$A2)&gt;0,"Yes",""))</f>
        <v/>
      </c>
    </row>
    <row r="2062">
      <c r="W2062">
        <f>IF($A2="","",COUNTIF('07_Pallet_Contents'!$A$2:$A$3000,$A2))</f>
        <v/>
      </c>
      <c r="X2062">
        <f>IF($A2="","",SUMIF('07_Pallet_Contents'!$A$2:$A$3000,$A2,'07_Pallet_Contents'!$D$2:$D$3000))</f>
        <v/>
      </c>
      <c r="Y2062">
        <f>IF($A2="","",SUMIF('07_Pallet_Contents'!$A$2:$A$3000,$A2,'07_Pallet_Contents'!$I$2:$I$3000))</f>
        <v/>
      </c>
      <c r="Z2062">
        <f>IF($A2="","",IF(COUNTIF('07_Pallet_Contents'!$A$2:$A$3000,$A2)&gt;0,"Yes",""))</f>
        <v/>
      </c>
    </row>
    <row r="2063">
      <c r="W2063">
        <f>IF($A2="","",COUNTIF('07_Pallet_Contents'!$A$2:$A$3000,$A2))</f>
        <v/>
      </c>
      <c r="X2063">
        <f>IF($A2="","",SUMIF('07_Pallet_Contents'!$A$2:$A$3000,$A2,'07_Pallet_Contents'!$D$2:$D$3000))</f>
        <v/>
      </c>
      <c r="Y2063">
        <f>IF($A2="","",SUMIF('07_Pallet_Contents'!$A$2:$A$3000,$A2,'07_Pallet_Contents'!$I$2:$I$3000))</f>
        <v/>
      </c>
      <c r="Z2063">
        <f>IF($A2="","",IF(COUNTIF('07_Pallet_Contents'!$A$2:$A$3000,$A2)&gt;0,"Yes",""))</f>
        <v/>
      </c>
    </row>
    <row r="2064">
      <c r="W2064">
        <f>IF($A2="","",COUNTIF('07_Pallet_Contents'!$A$2:$A$3000,$A2))</f>
        <v/>
      </c>
      <c r="X2064">
        <f>IF($A2="","",SUMIF('07_Pallet_Contents'!$A$2:$A$3000,$A2,'07_Pallet_Contents'!$D$2:$D$3000))</f>
        <v/>
      </c>
      <c r="Y2064">
        <f>IF($A2="","",SUMIF('07_Pallet_Contents'!$A$2:$A$3000,$A2,'07_Pallet_Contents'!$I$2:$I$3000))</f>
        <v/>
      </c>
      <c r="Z2064">
        <f>IF($A2="","",IF(COUNTIF('07_Pallet_Contents'!$A$2:$A$3000,$A2)&gt;0,"Yes",""))</f>
        <v/>
      </c>
    </row>
    <row r="2065">
      <c r="W2065">
        <f>IF($A2="","",COUNTIF('07_Pallet_Contents'!$A$2:$A$3000,$A2))</f>
        <v/>
      </c>
      <c r="X2065">
        <f>IF($A2="","",SUMIF('07_Pallet_Contents'!$A$2:$A$3000,$A2,'07_Pallet_Contents'!$D$2:$D$3000))</f>
        <v/>
      </c>
      <c r="Y2065">
        <f>IF($A2="","",SUMIF('07_Pallet_Contents'!$A$2:$A$3000,$A2,'07_Pallet_Contents'!$I$2:$I$3000))</f>
        <v/>
      </c>
      <c r="Z2065">
        <f>IF($A2="","",IF(COUNTIF('07_Pallet_Contents'!$A$2:$A$3000,$A2)&gt;0,"Yes",""))</f>
        <v/>
      </c>
    </row>
    <row r="2066">
      <c r="W2066">
        <f>IF($A2="","",COUNTIF('07_Pallet_Contents'!$A$2:$A$3000,$A2))</f>
        <v/>
      </c>
      <c r="X2066">
        <f>IF($A2="","",SUMIF('07_Pallet_Contents'!$A$2:$A$3000,$A2,'07_Pallet_Contents'!$D$2:$D$3000))</f>
        <v/>
      </c>
      <c r="Y2066">
        <f>IF($A2="","",SUMIF('07_Pallet_Contents'!$A$2:$A$3000,$A2,'07_Pallet_Contents'!$I$2:$I$3000))</f>
        <v/>
      </c>
      <c r="Z2066">
        <f>IF($A2="","",IF(COUNTIF('07_Pallet_Contents'!$A$2:$A$3000,$A2)&gt;0,"Yes",""))</f>
        <v/>
      </c>
    </row>
    <row r="2067">
      <c r="W2067">
        <f>IF($A2="","",COUNTIF('07_Pallet_Contents'!$A$2:$A$3000,$A2))</f>
        <v/>
      </c>
      <c r="X2067">
        <f>IF($A2="","",SUMIF('07_Pallet_Contents'!$A$2:$A$3000,$A2,'07_Pallet_Contents'!$D$2:$D$3000))</f>
        <v/>
      </c>
      <c r="Y2067">
        <f>IF($A2="","",SUMIF('07_Pallet_Contents'!$A$2:$A$3000,$A2,'07_Pallet_Contents'!$I$2:$I$3000))</f>
        <v/>
      </c>
      <c r="Z2067">
        <f>IF($A2="","",IF(COUNTIF('07_Pallet_Contents'!$A$2:$A$3000,$A2)&gt;0,"Yes",""))</f>
        <v/>
      </c>
    </row>
    <row r="2068">
      <c r="W2068">
        <f>IF($A2="","",COUNTIF('07_Pallet_Contents'!$A$2:$A$3000,$A2))</f>
        <v/>
      </c>
      <c r="X2068">
        <f>IF($A2="","",SUMIF('07_Pallet_Contents'!$A$2:$A$3000,$A2,'07_Pallet_Contents'!$D$2:$D$3000))</f>
        <v/>
      </c>
      <c r="Y2068">
        <f>IF($A2="","",SUMIF('07_Pallet_Contents'!$A$2:$A$3000,$A2,'07_Pallet_Contents'!$I$2:$I$3000))</f>
        <v/>
      </c>
      <c r="Z2068">
        <f>IF($A2="","",IF(COUNTIF('07_Pallet_Contents'!$A$2:$A$3000,$A2)&gt;0,"Yes",""))</f>
        <v/>
      </c>
    </row>
    <row r="2069">
      <c r="W2069">
        <f>IF($A2="","",COUNTIF('07_Pallet_Contents'!$A$2:$A$3000,$A2))</f>
        <v/>
      </c>
      <c r="X2069">
        <f>IF($A2="","",SUMIF('07_Pallet_Contents'!$A$2:$A$3000,$A2,'07_Pallet_Contents'!$D$2:$D$3000))</f>
        <v/>
      </c>
      <c r="Y2069">
        <f>IF($A2="","",SUMIF('07_Pallet_Contents'!$A$2:$A$3000,$A2,'07_Pallet_Contents'!$I$2:$I$3000))</f>
        <v/>
      </c>
      <c r="Z2069">
        <f>IF($A2="","",IF(COUNTIF('07_Pallet_Contents'!$A$2:$A$3000,$A2)&gt;0,"Yes",""))</f>
        <v/>
      </c>
    </row>
    <row r="2070">
      <c r="W2070">
        <f>IF($A2="","",COUNTIF('07_Pallet_Contents'!$A$2:$A$3000,$A2))</f>
        <v/>
      </c>
      <c r="X2070">
        <f>IF($A2="","",SUMIF('07_Pallet_Contents'!$A$2:$A$3000,$A2,'07_Pallet_Contents'!$D$2:$D$3000))</f>
        <v/>
      </c>
      <c r="Y2070">
        <f>IF($A2="","",SUMIF('07_Pallet_Contents'!$A$2:$A$3000,$A2,'07_Pallet_Contents'!$I$2:$I$3000))</f>
        <v/>
      </c>
      <c r="Z2070">
        <f>IF($A2="","",IF(COUNTIF('07_Pallet_Contents'!$A$2:$A$3000,$A2)&gt;0,"Yes",""))</f>
        <v/>
      </c>
    </row>
    <row r="2071">
      <c r="W2071">
        <f>IF($A2="","",COUNTIF('07_Pallet_Contents'!$A$2:$A$3000,$A2))</f>
        <v/>
      </c>
      <c r="X2071">
        <f>IF($A2="","",SUMIF('07_Pallet_Contents'!$A$2:$A$3000,$A2,'07_Pallet_Contents'!$D$2:$D$3000))</f>
        <v/>
      </c>
      <c r="Y2071">
        <f>IF($A2="","",SUMIF('07_Pallet_Contents'!$A$2:$A$3000,$A2,'07_Pallet_Contents'!$I$2:$I$3000))</f>
        <v/>
      </c>
      <c r="Z2071">
        <f>IF($A2="","",IF(COUNTIF('07_Pallet_Contents'!$A$2:$A$3000,$A2)&gt;0,"Yes",""))</f>
        <v/>
      </c>
    </row>
    <row r="2072">
      <c r="W2072">
        <f>IF($A2="","",COUNTIF('07_Pallet_Contents'!$A$2:$A$3000,$A2))</f>
        <v/>
      </c>
      <c r="X2072">
        <f>IF($A2="","",SUMIF('07_Pallet_Contents'!$A$2:$A$3000,$A2,'07_Pallet_Contents'!$D$2:$D$3000))</f>
        <v/>
      </c>
      <c r="Y2072">
        <f>IF($A2="","",SUMIF('07_Pallet_Contents'!$A$2:$A$3000,$A2,'07_Pallet_Contents'!$I$2:$I$3000))</f>
        <v/>
      </c>
      <c r="Z2072">
        <f>IF($A2="","",IF(COUNTIF('07_Pallet_Contents'!$A$2:$A$3000,$A2)&gt;0,"Yes",""))</f>
        <v/>
      </c>
    </row>
    <row r="2073">
      <c r="W2073">
        <f>IF($A2="","",COUNTIF('07_Pallet_Contents'!$A$2:$A$3000,$A2))</f>
        <v/>
      </c>
      <c r="X2073">
        <f>IF($A2="","",SUMIF('07_Pallet_Contents'!$A$2:$A$3000,$A2,'07_Pallet_Contents'!$D$2:$D$3000))</f>
        <v/>
      </c>
      <c r="Y2073">
        <f>IF($A2="","",SUMIF('07_Pallet_Contents'!$A$2:$A$3000,$A2,'07_Pallet_Contents'!$I$2:$I$3000))</f>
        <v/>
      </c>
      <c r="Z2073">
        <f>IF($A2="","",IF(COUNTIF('07_Pallet_Contents'!$A$2:$A$3000,$A2)&gt;0,"Yes",""))</f>
        <v/>
      </c>
    </row>
    <row r="2074">
      <c r="W2074">
        <f>IF($A2="","",COUNTIF('07_Pallet_Contents'!$A$2:$A$3000,$A2))</f>
        <v/>
      </c>
      <c r="X2074">
        <f>IF($A2="","",SUMIF('07_Pallet_Contents'!$A$2:$A$3000,$A2,'07_Pallet_Contents'!$D$2:$D$3000))</f>
        <v/>
      </c>
      <c r="Y2074">
        <f>IF($A2="","",SUMIF('07_Pallet_Contents'!$A$2:$A$3000,$A2,'07_Pallet_Contents'!$I$2:$I$3000))</f>
        <v/>
      </c>
      <c r="Z2074">
        <f>IF($A2="","",IF(COUNTIF('07_Pallet_Contents'!$A$2:$A$3000,$A2)&gt;0,"Yes",""))</f>
        <v/>
      </c>
    </row>
    <row r="2075">
      <c r="W2075">
        <f>IF($A2="","",COUNTIF('07_Pallet_Contents'!$A$2:$A$3000,$A2))</f>
        <v/>
      </c>
      <c r="X2075">
        <f>IF($A2="","",SUMIF('07_Pallet_Contents'!$A$2:$A$3000,$A2,'07_Pallet_Contents'!$D$2:$D$3000))</f>
        <v/>
      </c>
      <c r="Y2075">
        <f>IF($A2="","",SUMIF('07_Pallet_Contents'!$A$2:$A$3000,$A2,'07_Pallet_Contents'!$I$2:$I$3000))</f>
        <v/>
      </c>
      <c r="Z2075">
        <f>IF($A2="","",IF(COUNTIF('07_Pallet_Contents'!$A$2:$A$3000,$A2)&gt;0,"Yes",""))</f>
        <v/>
      </c>
    </row>
    <row r="2076">
      <c r="W2076">
        <f>IF($A2="","",COUNTIF('07_Pallet_Contents'!$A$2:$A$3000,$A2))</f>
        <v/>
      </c>
      <c r="X2076">
        <f>IF($A2="","",SUMIF('07_Pallet_Contents'!$A$2:$A$3000,$A2,'07_Pallet_Contents'!$D$2:$D$3000))</f>
        <v/>
      </c>
      <c r="Y2076">
        <f>IF($A2="","",SUMIF('07_Pallet_Contents'!$A$2:$A$3000,$A2,'07_Pallet_Contents'!$I$2:$I$3000))</f>
        <v/>
      </c>
      <c r="Z2076">
        <f>IF($A2="","",IF(COUNTIF('07_Pallet_Contents'!$A$2:$A$3000,$A2)&gt;0,"Yes",""))</f>
        <v/>
      </c>
    </row>
    <row r="2077">
      <c r="W2077">
        <f>IF($A2="","",COUNTIF('07_Pallet_Contents'!$A$2:$A$3000,$A2))</f>
        <v/>
      </c>
      <c r="X2077">
        <f>IF($A2="","",SUMIF('07_Pallet_Contents'!$A$2:$A$3000,$A2,'07_Pallet_Contents'!$D$2:$D$3000))</f>
        <v/>
      </c>
      <c r="Y2077">
        <f>IF($A2="","",SUMIF('07_Pallet_Contents'!$A$2:$A$3000,$A2,'07_Pallet_Contents'!$I$2:$I$3000))</f>
        <v/>
      </c>
      <c r="Z2077">
        <f>IF($A2="","",IF(COUNTIF('07_Pallet_Contents'!$A$2:$A$3000,$A2)&gt;0,"Yes",""))</f>
        <v/>
      </c>
    </row>
    <row r="2078">
      <c r="W2078">
        <f>IF($A2="","",COUNTIF('07_Pallet_Contents'!$A$2:$A$3000,$A2))</f>
        <v/>
      </c>
      <c r="X2078">
        <f>IF($A2="","",SUMIF('07_Pallet_Contents'!$A$2:$A$3000,$A2,'07_Pallet_Contents'!$D$2:$D$3000))</f>
        <v/>
      </c>
      <c r="Y2078">
        <f>IF($A2="","",SUMIF('07_Pallet_Contents'!$A$2:$A$3000,$A2,'07_Pallet_Contents'!$I$2:$I$3000))</f>
        <v/>
      </c>
      <c r="Z2078">
        <f>IF($A2="","",IF(COUNTIF('07_Pallet_Contents'!$A$2:$A$3000,$A2)&gt;0,"Yes",""))</f>
        <v/>
      </c>
    </row>
    <row r="2079">
      <c r="W2079">
        <f>IF($A2="","",COUNTIF('07_Pallet_Contents'!$A$2:$A$3000,$A2))</f>
        <v/>
      </c>
      <c r="X2079">
        <f>IF($A2="","",SUMIF('07_Pallet_Contents'!$A$2:$A$3000,$A2,'07_Pallet_Contents'!$D$2:$D$3000))</f>
        <v/>
      </c>
      <c r="Y2079">
        <f>IF($A2="","",SUMIF('07_Pallet_Contents'!$A$2:$A$3000,$A2,'07_Pallet_Contents'!$I$2:$I$3000))</f>
        <v/>
      </c>
      <c r="Z2079">
        <f>IF($A2="","",IF(COUNTIF('07_Pallet_Contents'!$A$2:$A$3000,$A2)&gt;0,"Yes",""))</f>
        <v/>
      </c>
    </row>
    <row r="2080">
      <c r="W2080">
        <f>IF($A2="","",COUNTIF('07_Pallet_Contents'!$A$2:$A$3000,$A2))</f>
        <v/>
      </c>
      <c r="X2080">
        <f>IF($A2="","",SUMIF('07_Pallet_Contents'!$A$2:$A$3000,$A2,'07_Pallet_Contents'!$D$2:$D$3000))</f>
        <v/>
      </c>
      <c r="Y2080">
        <f>IF($A2="","",SUMIF('07_Pallet_Contents'!$A$2:$A$3000,$A2,'07_Pallet_Contents'!$I$2:$I$3000))</f>
        <v/>
      </c>
      <c r="Z2080">
        <f>IF($A2="","",IF(COUNTIF('07_Pallet_Contents'!$A$2:$A$3000,$A2)&gt;0,"Yes",""))</f>
        <v/>
      </c>
    </row>
    <row r="2081">
      <c r="W2081">
        <f>IF($A2="","",COUNTIF('07_Pallet_Contents'!$A$2:$A$3000,$A2))</f>
        <v/>
      </c>
      <c r="X2081">
        <f>IF($A2="","",SUMIF('07_Pallet_Contents'!$A$2:$A$3000,$A2,'07_Pallet_Contents'!$D$2:$D$3000))</f>
        <v/>
      </c>
      <c r="Y2081">
        <f>IF($A2="","",SUMIF('07_Pallet_Contents'!$A$2:$A$3000,$A2,'07_Pallet_Contents'!$I$2:$I$3000))</f>
        <v/>
      </c>
      <c r="Z2081">
        <f>IF($A2="","",IF(COUNTIF('07_Pallet_Contents'!$A$2:$A$3000,$A2)&gt;0,"Yes",""))</f>
        <v/>
      </c>
    </row>
    <row r="2082">
      <c r="W2082">
        <f>IF($A2="","",COUNTIF('07_Pallet_Contents'!$A$2:$A$3000,$A2))</f>
        <v/>
      </c>
      <c r="X2082">
        <f>IF($A2="","",SUMIF('07_Pallet_Contents'!$A$2:$A$3000,$A2,'07_Pallet_Contents'!$D$2:$D$3000))</f>
        <v/>
      </c>
      <c r="Y2082">
        <f>IF($A2="","",SUMIF('07_Pallet_Contents'!$A$2:$A$3000,$A2,'07_Pallet_Contents'!$I$2:$I$3000))</f>
        <v/>
      </c>
      <c r="Z2082">
        <f>IF($A2="","",IF(COUNTIF('07_Pallet_Contents'!$A$2:$A$3000,$A2)&gt;0,"Yes",""))</f>
        <v/>
      </c>
    </row>
    <row r="2083">
      <c r="W2083">
        <f>IF($A2="","",COUNTIF('07_Pallet_Contents'!$A$2:$A$3000,$A2))</f>
        <v/>
      </c>
      <c r="X2083">
        <f>IF($A2="","",SUMIF('07_Pallet_Contents'!$A$2:$A$3000,$A2,'07_Pallet_Contents'!$D$2:$D$3000))</f>
        <v/>
      </c>
      <c r="Y2083">
        <f>IF($A2="","",SUMIF('07_Pallet_Contents'!$A$2:$A$3000,$A2,'07_Pallet_Contents'!$I$2:$I$3000))</f>
        <v/>
      </c>
      <c r="Z2083">
        <f>IF($A2="","",IF(COUNTIF('07_Pallet_Contents'!$A$2:$A$3000,$A2)&gt;0,"Yes",""))</f>
        <v/>
      </c>
    </row>
    <row r="2084">
      <c r="W2084">
        <f>IF($A2="","",COUNTIF('07_Pallet_Contents'!$A$2:$A$3000,$A2))</f>
        <v/>
      </c>
      <c r="X2084">
        <f>IF($A2="","",SUMIF('07_Pallet_Contents'!$A$2:$A$3000,$A2,'07_Pallet_Contents'!$D$2:$D$3000))</f>
        <v/>
      </c>
      <c r="Y2084">
        <f>IF($A2="","",SUMIF('07_Pallet_Contents'!$A$2:$A$3000,$A2,'07_Pallet_Contents'!$I$2:$I$3000))</f>
        <v/>
      </c>
      <c r="Z2084">
        <f>IF($A2="","",IF(COUNTIF('07_Pallet_Contents'!$A$2:$A$3000,$A2)&gt;0,"Yes",""))</f>
        <v/>
      </c>
    </row>
    <row r="2085">
      <c r="W2085">
        <f>IF($A2="","",COUNTIF('07_Pallet_Contents'!$A$2:$A$3000,$A2))</f>
        <v/>
      </c>
      <c r="X2085">
        <f>IF($A2="","",SUMIF('07_Pallet_Contents'!$A$2:$A$3000,$A2,'07_Pallet_Contents'!$D$2:$D$3000))</f>
        <v/>
      </c>
      <c r="Y2085">
        <f>IF($A2="","",SUMIF('07_Pallet_Contents'!$A$2:$A$3000,$A2,'07_Pallet_Contents'!$I$2:$I$3000))</f>
        <v/>
      </c>
      <c r="Z2085">
        <f>IF($A2="","",IF(COUNTIF('07_Pallet_Contents'!$A$2:$A$3000,$A2)&gt;0,"Yes",""))</f>
        <v/>
      </c>
    </row>
    <row r="2086">
      <c r="W2086">
        <f>IF($A2="","",COUNTIF('07_Pallet_Contents'!$A$2:$A$3000,$A2))</f>
        <v/>
      </c>
      <c r="X2086">
        <f>IF($A2="","",SUMIF('07_Pallet_Contents'!$A$2:$A$3000,$A2,'07_Pallet_Contents'!$D$2:$D$3000))</f>
        <v/>
      </c>
      <c r="Y2086">
        <f>IF($A2="","",SUMIF('07_Pallet_Contents'!$A$2:$A$3000,$A2,'07_Pallet_Contents'!$I$2:$I$3000))</f>
        <v/>
      </c>
      <c r="Z2086">
        <f>IF($A2="","",IF(COUNTIF('07_Pallet_Contents'!$A$2:$A$3000,$A2)&gt;0,"Yes",""))</f>
        <v/>
      </c>
    </row>
    <row r="2087">
      <c r="W2087">
        <f>IF($A2="","",COUNTIF('07_Pallet_Contents'!$A$2:$A$3000,$A2))</f>
        <v/>
      </c>
      <c r="X2087">
        <f>IF($A2="","",SUMIF('07_Pallet_Contents'!$A$2:$A$3000,$A2,'07_Pallet_Contents'!$D$2:$D$3000))</f>
        <v/>
      </c>
      <c r="Y2087">
        <f>IF($A2="","",SUMIF('07_Pallet_Contents'!$A$2:$A$3000,$A2,'07_Pallet_Contents'!$I$2:$I$3000))</f>
        <v/>
      </c>
      <c r="Z2087">
        <f>IF($A2="","",IF(COUNTIF('07_Pallet_Contents'!$A$2:$A$3000,$A2)&gt;0,"Yes",""))</f>
        <v/>
      </c>
    </row>
    <row r="2088">
      <c r="W2088">
        <f>IF($A2="","",COUNTIF('07_Pallet_Contents'!$A$2:$A$3000,$A2))</f>
        <v/>
      </c>
      <c r="X2088">
        <f>IF($A2="","",SUMIF('07_Pallet_Contents'!$A$2:$A$3000,$A2,'07_Pallet_Contents'!$D$2:$D$3000))</f>
        <v/>
      </c>
      <c r="Y2088">
        <f>IF($A2="","",SUMIF('07_Pallet_Contents'!$A$2:$A$3000,$A2,'07_Pallet_Contents'!$I$2:$I$3000))</f>
        <v/>
      </c>
      <c r="Z2088">
        <f>IF($A2="","",IF(COUNTIF('07_Pallet_Contents'!$A$2:$A$3000,$A2)&gt;0,"Yes",""))</f>
        <v/>
      </c>
    </row>
    <row r="2089">
      <c r="W2089">
        <f>IF($A2="","",COUNTIF('07_Pallet_Contents'!$A$2:$A$3000,$A2))</f>
        <v/>
      </c>
      <c r="X2089">
        <f>IF($A2="","",SUMIF('07_Pallet_Contents'!$A$2:$A$3000,$A2,'07_Pallet_Contents'!$D$2:$D$3000))</f>
        <v/>
      </c>
      <c r="Y2089">
        <f>IF($A2="","",SUMIF('07_Pallet_Contents'!$A$2:$A$3000,$A2,'07_Pallet_Contents'!$I$2:$I$3000))</f>
        <v/>
      </c>
      <c r="Z2089">
        <f>IF($A2="","",IF(COUNTIF('07_Pallet_Contents'!$A$2:$A$3000,$A2)&gt;0,"Yes",""))</f>
        <v/>
      </c>
    </row>
    <row r="2090">
      <c r="W2090">
        <f>IF($A2="","",COUNTIF('07_Pallet_Contents'!$A$2:$A$3000,$A2))</f>
        <v/>
      </c>
      <c r="X2090">
        <f>IF($A2="","",SUMIF('07_Pallet_Contents'!$A$2:$A$3000,$A2,'07_Pallet_Contents'!$D$2:$D$3000))</f>
        <v/>
      </c>
      <c r="Y2090">
        <f>IF($A2="","",SUMIF('07_Pallet_Contents'!$A$2:$A$3000,$A2,'07_Pallet_Contents'!$I$2:$I$3000))</f>
        <v/>
      </c>
      <c r="Z2090">
        <f>IF($A2="","",IF(COUNTIF('07_Pallet_Contents'!$A$2:$A$3000,$A2)&gt;0,"Yes",""))</f>
        <v/>
      </c>
    </row>
    <row r="2091">
      <c r="W2091">
        <f>IF($A2="","",COUNTIF('07_Pallet_Contents'!$A$2:$A$3000,$A2))</f>
        <v/>
      </c>
      <c r="X2091">
        <f>IF($A2="","",SUMIF('07_Pallet_Contents'!$A$2:$A$3000,$A2,'07_Pallet_Contents'!$D$2:$D$3000))</f>
        <v/>
      </c>
      <c r="Y2091">
        <f>IF($A2="","",SUMIF('07_Pallet_Contents'!$A$2:$A$3000,$A2,'07_Pallet_Contents'!$I$2:$I$3000))</f>
        <v/>
      </c>
      <c r="Z2091">
        <f>IF($A2="","",IF(COUNTIF('07_Pallet_Contents'!$A$2:$A$3000,$A2)&gt;0,"Yes",""))</f>
        <v/>
      </c>
    </row>
    <row r="2092">
      <c r="W2092">
        <f>IF($A2="","",COUNTIF('07_Pallet_Contents'!$A$2:$A$3000,$A2))</f>
        <v/>
      </c>
      <c r="X2092">
        <f>IF($A2="","",SUMIF('07_Pallet_Contents'!$A$2:$A$3000,$A2,'07_Pallet_Contents'!$D$2:$D$3000))</f>
        <v/>
      </c>
      <c r="Y2092">
        <f>IF($A2="","",SUMIF('07_Pallet_Contents'!$A$2:$A$3000,$A2,'07_Pallet_Contents'!$I$2:$I$3000))</f>
        <v/>
      </c>
      <c r="Z2092">
        <f>IF($A2="","",IF(COUNTIF('07_Pallet_Contents'!$A$2:$A$3000,$A2)&gt;0,"Yes",""))</f>
        <v/>
      </c>
    </row>
    <row r="2093">
      <c r="W2093">
        <f>IF($A2="","",COUNTIF('07_Pallet_Contents'!$A$2:$A$3000,$A2))</f>
        <v/>
      </c>
      <c r="X2093">
        <f>IF($A2="","",SUMIF('07_Pallet_Contents'!$A$2:$A$3000,$A2,'07_Pallet_Contents'!$D$2:$D$3000))</f>
        <v/>
      </c>
      <c r="Y2093">
        <f>IF($A2="","",SUMIF('07_Pallet_Contents'!$A$2:$A$3000,$A2,'07_Pallet_Contents'!$I$2:$I$3000))</f>
        <v/>
      </c>
      <c r="Z2093">
        <f>IF($A2="","",IF(COUNTIF('07_Pallet_Contents'!$A$2:$A$3000,$A2)&gt;0,"Yes",""))</f>
        <v/>
      </c>
    </row>
    <row r="2094">
      <c r="W2094">
        <f>IF($A2="","",COUNTIF('07_Pallet_Contents'!$A$2:$A$3000,$A2))</f>
        <v/>
      </c>
      <c r="X2094">
        <f>IF($A2="","",SUMIF('07_Pallet_Contents'!$A$2:$A$3000,$A2,'07_Pallet_Contents'!$D$2:$D$3000))</f>
        <v/>
      </c>
      <c r="Y2094">
        <f>IF($A2="","",SUMIF('07_Pallet_Contents'!$A$2:$A$3000,$A2,'07_Pallet_Contents'!$I$2:$I$3000))</f>
        <v/>
      </c>
      <c r="Z2094">
        <f>IF($A2="","",IF(COUNTIF('07_Pallet_Contents'!$A$2:$A$3000,$A2)&gt;0,"Yes",""))</f>
        <v/>
      </c>
    </row>
    <row r="2095">
      <c r="W2095">
        <f>IF($A2="","",COUNTIF('07_Pallet_Contents'!$A$2:$A$3000,$A2))</f>
        <v/>
      </c>
      <c r="X2095">
        <f>IF($A2="","",SUMIF('07_Pallet_Contents'!$A$2:$A$3000,$A2,'07_Pallet_Contents'!$D$2:$D$3000))</f>
        <v/>
      </c>
      <c r="Y2095">
        <f>IF($A2="","",SUMIF('07_Pallet_Contents'!$A$2:$A$3000,$A2,'07_Pallet_Contents'!$I$2:$I$3000))</f>
        <v/>
      </c>
      <c r="Z2095">
        <f>IF($A2="","",IF(COUNTIF('07_Pallet_Contents'!$A$2:$A$3000,$A2)&gt;0,"Yes",""))</f>
        <v/>
      </c>
    </row>
    <row r="2096">
      <c r="W2096">
        <f>IF($A2="","",COUNTIF('07_Pallet_Contents'!$A$2:$A$3000,$A2))</f>
        <v/>
      </c>
      <c r="X2096">
        <f>IF($A2="","",SUMIF('07_Pallet_Contents'!$A$2:$A$3000,$A2,'07_Pallet_Contents'!$D$2:$D$3000))</f>
        <v/>
      </c>
      <c r="Y2096">
        <f>IF($A2="","",SUMIF('07_Pallet_Contents'!$A$2:$A$3000,$A2,'07_Pallet_Contents'!$I$2:$I$3000))</f>
        <v/>
      </c>
      <c r="Z2096">
        <f>IF($A2="","",IF(COUNTIF('07_Pallet_Contents'!$A$2:$A$3000,$A2)&gt;0,"Yes",""))</f>
        <v/>
      </c>
    </row>
    <row r="2097">
      <c r="W2097">
        <f>IF($A2="","",COUNTIF('07_Pallet_Contents'!$A$2:$A$3000,$A2))</f>
        <v/>
      </c>
      <c r="X2097">
        <f>IF($A2="","",SUMIF('07_Pallet_Contents'!$A$2:$A$3000,$A2,'07_Pallet_Contents'!$D$2:$D$3000))</f>
        <v/>
      </c>
      <c r="Y2097">
        <f>IF($A2="","",SUMIF('07_Pallet_Contents'!$A$2:$A$3000,$A2,'07_Pallet_Contents'!$I$2:$I$3000))</f>
        <v/>
      </c>
      <c r="Z2097">
        <f>IF($A2="","",IF(COUNTIF('07_Pallet_Contents'!$A$2:$A$3000,$A2)&gt;0,"Yes",""))</f>
        <v/>
      </c>
    </row>
    <row r="2098">
      <c r="W2098">
        <f>IF($A2="","",COUNTIF('07_Pallet_Contents'!$A$2:$A$3000,$A2))</f>
        <v/>
      </c>
      <c r="X2098">
        <f>IF($A2="","",SUMIF('07_Pallet_Contents'!$A$2:$A$3000,$A2,'07_Pallet_Contents'!$D$2:$D$3000))</f>
        <v/>
      </c>
      <c r="Y2098">
        <f>IF($A2="","",SUMIF('07_Pallet_Contents'!$A$2:$A$3000,$A2,'07_Pallet_Contents'!$I$2:$I$3000))</f>
        <v/>
      </c>
      <c r="Z2098">
        <f>IF($A2="","",IF(COUNTIF('07_Pallet_Contents'!$A$2:$A$3000,$A2)&gt;0,"Yes",""))</f>
        <v/>
      </c>
    </row>
    <row r="2099">
      <c r="W2099">
        <f>IF($A2="","",COUNTIF('07_Pallet_Contents'!$A$2:$A$3000,$A2))</f>
        <v/>
      </c>
      <c r="X2099">
        <f>IF($A2="","",SUMIF('07_Pallet_Contents'!$A$2:$A$3000,$A2,'07_Pallet_Contents'!$D$2:$D$3000))</f>
        <v/>
      </c>
      <c r="Y2099">
        <f>IF($A2="","",SUMIF('07_Pallet_Contents'!$A$2:$A$3000,$A2,'07_Pallet_Contents'!$I$2:$I$3000))</f>
        <v/>
      </c>
      <c r="Z2099">
        <f>IF($A2="","",IF(COUNTIF('07_Pallet_Contents'!$A$2:$A$3000,$A2)&gt;0,"Yes",""))</f>
        <v/>
      </c>
    </row>
    <row r="2100">
      <c r="W2100">
        <f>IF($A2="","",COUNTIF('07_Pallet_Contents'!$A$2:$A$3000,$A2))</f>
        <v/>
      </c>
      <c r="X2100">
        <f>IF($A2="","",SUMIF('07_Pallet_Contents'!$A$2:$A$3000,$A2,'07_Pallet_Contents'!$D$2:$D$3000))</f>
        <v/>
      </c>
      <c r="Y2100">
        <f>IF($A2="","",SUMIF('07_Pallet_Contents'!$A$2:$A$3000,$A2,'07_Pallet_Contents'!$I$2:$I$3000))</f>
        <v/>
      </c>
      <c r="Z2100">
        <f>IF($A2="","",IF(COUNTIF('07_Pallet_Contents'!$A$2:$A$3000,$A2)&gt;0,"Yes",""))</f>
        <v/>
      </c>
    </row>
    <row r="2101">
      <c r="W2101">
        <f>IF($A2="","",COUNTIF('07_Pallet_Contents'!$A$2:$A$3000,$A2))</f>
        <v/>
      </c>
      <c r="X2101">
        <f>IF($A2="","",SUMIF('07_Pallet_Contents'!$A$2:$A$3000,$A2,'07_Pallet_Contents'!$D$2:$D$3000))</f>
        <v/>
      </c>
      <c r="Y2101">
        <f>IF($A2="","",SUMIF('07_Pallet_Contents'!$A$2:$A$3000,$A2,'07_Pallet_Contents'!$I$2:$I$3000))</f>
        <v/>
      </c>
      <c r="Z2101">
        <f>IF($A2="","",IF(COUNTIF('07_Pallet_Contents'!$A$2:$A$3000,$A2)&gt;0,"Yes",""))</f>
        <v/>
      </c>
    </row>
    <row r="2102">
      <c r="W2102">
        <f>IF($A2="","",COUNTIF('07_Pallet_Contents'!$A$2:$A$3000,$A2))</f>
        <v/>
      </c>
      <c r="X2102">
        <f>IF($A2="","",SUMIF('07_Pallet_Contents'!$A$2:$A$3000,$A2,'07_Pallet_Contents'!$D$2:$D$3000))</f>
        <v/>
      </c>
      <c r="Y2102">
        <f>IF($A2="","",SUMIF('07_Pallet_Contents'!$A$2:$A$3000,$A2,'07_Pallet_Contents'!$I$2:$I$3000))</f>
        <v/>
      </c>
      <c r="Z2102">
        <f>IF($A2="","",IF(COUNTIF('07_Pallet_Contents'!$A$2:$A$3000,$A2)&gt;0,"Yes",""))</f>
        <v/>
      </c>
    </row>
    <row r="2103">
      <c r="W2103">
        <f>IF($A2="","",COUNTIF('07_Pallet_Contents'!$A$2:$A$3000,$A2))</f>
        <v/>
      </c>
      <c r="X2103">
        <f>IF($A2="","",SUMIF('07_Pallet_Contents'!$A$2:$A$3000,$A2,'07_Pallet_Contents'!$D$2:$D$3000))</f>
        <v/>
      </c>
      <c r="Y2103">
        <f>IF($A2="","",SUMIF('07_Pallet_Contents'!$A$2:$A$3000,$A2,'07_Pallet_Contents'!$I$2:$I$3000))</f>
        <v/>
      </c>
      <c r="Z2103">
        <f>IF($A2="","",IF(COUNTIF('07_Pallet_Contents'!$A$2:$A$3000,$A2)&gt;0,"Yes",""))</f>
        <v/>
      </c>
    </row>
    <row r="2104">
      <c r="W2104">
        <f>IF($A2="","",COUNTIF('07_Pallet_Contents'!$A$2:$A$3000,$A2))</f>
        <v/>
      </c>
      <c r="X2104">
        <f>IF($A2="","",SUMIF('07_Pallet_Contents'!$A$2:$A$3000,$A2,'07_Pallet_Contents'!$D$2:$D$3000))</f>
        <v/>
      </c>
      <c r="Y2104">
        <f>IF($A2="","",SUMIF('07_Pallet_Contents'!$A$2:$A$3000,$A2,'07_Pallet_Contents'!$I$2:$I$3000))</f>
        <v/>
      </c>
      <c r="Z2104">
        <f>IF($A2="","",IF(COUNTIF('07_Pallet_Contents'!$A$2:$A$3000,$A2)&gt;0,"Yes",""))</f>
        <v/>
      </c>
    </row>
    <row r="2105">
      <c r="W2105">
        <f>IF($A2="","",COUNTIF('07_Pallet_Contents'!$A$2:$A$3000,$A2))</f>
        <v/>
      </c>
      <c r="X2105">
        <f>IF($A2="","",SUMIF('07_Pallet_Contents'!$A$2:$A$3000,$A2,'07_Pallet_Contents'!$D$2:$D$3000))</f>
        <v/>
      </c>
      <c r="Y2105">
        <f>IF($A2="","",SUMIF('07_Pallet_Contents'!$A$2:$A$3000,$A2,'07_Pallet_Contents'!$I$2:$I$3000))</f>
        <v/>
      </c>
      <c r="Z2105">
        <f>IF($A2="","",IF(COUNTIF('07_Pallet_Contents'!$A$2:$A$3000,$A2)&gt;0,"Yes",""))</f>
        <v/>
      </c>
    </row>
    <row r="2106">
      <c r="W2106">
        <f>IF($A2="","",COUNTIF('07_Pallet_Contents'!$A$2:$A$3000,$A2))</f>
        <v/>
      </c>
      <c r="X2106">
        <f>IF($A2="","",SUMIF('07_Pallet_Contents'!$A$2:$A$3000,$A2,'07_Pallet_Contents'!$D$2:$D$3000))</f>
        <v/>
      </c>
      <c r="Y2106">
        <f>IF($A2="","",SUMIF('07_Pallet_Contents'!$A$2:$A$3000,$A2,'07_Pallet_Contents'!$I$2:$I$3000))</f>
        <v/>
      </c>
      <c r="Z2106">
        <f>IF($A2="","",IF(COUNTIF('07_Pallet_Contents'!$A$2:$A$3000,$A2)&gt;0,"Yes",""))</f>
        <v/>
      </c>
    </row>
    <row r="2107">
      <c r="W2107">
        <f>IF($A2="","",COUNTIF('07_Pallet_Contents'!$A$2:$A$3000,$A2))</f>
        <v/>
      </c>
      <c r="X2107">
        <f>IF($A2="","",SUMIF('07_Pallet_Contents'!$A$2:$A$3000,$A2,'07_Pallet_Contents'!$D$2:$D$3000))</f>
        <v/>
      </c>
      <c r="Y2107">
        <f>IF($A2="","",SUMIF('07_Pallet_Contents'!$A$2:$A$3000,$A2,'07_Pallet_Contents'!$I$2:$I$3000))</f>
        <v/>
      </c>
      <c r="Z2107">
        <f>IF($A2="","",IF(COUNTIF('07_Pallet_Contents'!$A$2:$A$3000,$A2)&gt;0,"Yes",""))</f>
        <v/>
      </c>
    </row>
    <row r="2108">
      <c r="W2108">
        <f>IF($A2="","",COUNTIF('07_Pallet_Contents'!$A$2:$A$3000,$A2))</f>
        <v/>
      </c>
      <c r="X2108">
        <f>IF($A2="","",SUMIF('07_Pallet_Contents'!$A$2:$A$3000,$A2,'07_Pallet_Contents'!$D$2:$D$3000))</f>
        <v/>
      </c>
      <c r="Y2108">
        <f>IF($A2="","",SUMIF('07_Pallet_Contents'!$A$2:$A$3000,$A2,'07_Pallet_Contents'!$I$2:$I$3000))</f>
        <v/>
      </c>
      <c r="Z2108">
        <f>IF($A2="","",IF(COUNTIF('07_Pallet_Contents'!$A$2:$A$3000,$A2)&gt;0,"Yes",""))</f>
        <v/>
      </c>
    </row>
    <row r="2109">
      <c r="W2109">
        <f>IF($A2="","",COUNTIF('07_Pallet_Contents'!$A$2:$A$3000,$A2))</f>
        <v/>
      </c>
      <c r="X2109">
        <f>IF($A2="","",SUMIF('07_Pallet_Contents'!$A$2:$A$3000,$A2,'07_Pallet_Contents'!$D$2:$D$3000))</f>
        <v/>
      </c>
      <c r="Y2109">
        <f>IF($A2="","",SUMIF('07_Pallet_Contents'!$A$2:$A$3000,$A2,'07_Pallet_Contents'!$I$2:$I$3000))</f>
        <v/>
      </c>
      <c r="Z2109">
        <f>IF($A2="","",IF(COUNTIF('07_Pallet_Contents'!$A$2:$A$3000,$A2)&gt;0,"Yes",""))</f>
        <v/>
      </c>
    </row>
    <row r="2110">
      <c r="W2110">
        <f>IF($A2="","",COUNTIF('07_Pallet_Contents'!$A$2:$A$3000,$A2))</f>
        <v/>
      </c>
      <c r="X2110">
        <f>IF($A2="","",SUMIF('07_Pallet_Contents'!$A$2:$A$3000,$A2,'07_Pallet_Contents'!$D$2:$D$3000))</f>
        <v/>
      </c>
      <c r="Y2110">
        <f>IF($A2="","",SUMIF('07_Pallet_Contents'!$A$2:$A$3000,$A2,'07_Pallet_Contents'!$I$2:$I$3000))</f>
        <v/>
      </c>
      <c r="Z2110">
        <f>IF($A2="","",IF(COUNTIF('07_Pallet_Contents'!$A$2:$A$3000,$A2)&gt;0,"Yes",""))</f>
        <v/>
      </c>
    </row>
    <row r="2111">
      <c r="W2111">
        <f>IF($A2="","",COUNTIF('07_Pallet_Contents'!$A$2:$A$3000,$A2))</f>
        <v/>
      </c>
      <c r="X2111">
        <f>IF($A2="","",SUMIF('07_Pallet_Contents'!$A$2:$A$3000,$A2,'07_Pallet_Contents'!$D$2:$D$3000))</f>
        <v/>
      </c>
      <c r="Y2111">
        <f>IF($A2="","",SUMIF('07_Pallet_Contents'!$A$2:$A$3000,$A2,'07_Pallet_Contents'!$I$2:$I$3000))</f>
        <v/>
      </c>
      <c r="Z2111">
        <f>IF($A2="","",IF(COUNTIF('07_Pallet_Contents'!$A$2:$A$3000,$A2)&gt;0,"Yes",""))</f>
        <v/>
      </c>
    </row>
    <row r="2112">
      <c r="W2112">
        <f>IF($A2="","",COUNTIF('07_Pallet_Contents'!$A$2:$A$3000,$A2))</f>
        <v/>
      </c>
      <c r="X2112">
        <f>IF($A2="","",SUMIF('07_Pallet_Contents'!$A$2:$A$3000,$A2,'07_Pallet_Contents'!$D$2:$D$3000))</f>
        <v/>
      </c>
      <c r="Y2112">
        <f>IF($A2="","",SUMIF('07_Pallet_Contents'!$A$2:$A$3000,$A2,'07_Pallet_Contents'!$I$2:$I$3000))</f>
        <v/>
      </c>
      <c r="Z2112">
        <f>IF($A2="","",IF(COUNTIF('07_Pallet_Contents'!$A$2:$A$3000,$A2)&gt;0,"Yes",""))</f>
        <v/>
      </c>
    </row>
    <row r="2113">
      <c r="W2113">
        <f>IF($A2="","",COUNTIF('07_Pallet_Contents'!$A$2:$A$3000,$A2))</f>
        <v/>
      </c>
      <c r="X2113">
        <f>IF($A2="","",SUMIF('07_Pallet_Contents'!$A$2:$A$3000,$A2,'07_Pallet_Contents'!$D$2:$D$3000))</f>
        <v/>
      </c>
      <c r="Y2113">
        <f>IF($A2="","",SUMIF('07_Pallet_Contents'!$A$2:$A$3000,$A2,'07_Pallet_Contents'!$I$2:$I$3000))</f>
        <v/>
      </c>
      <c r="Z2113">
        <f>IF($A2="","",IF(COUNTIF('07_Pallet_Contents'!$A$2:$A$3000,$A2)&gt;0,"Yes",""))</f>
        <v/>
      </c>
    </row>
    <row r="2114">
      <c r="W2114">
        <f>IF($A2="","",COUNTIF('07_Pallet_Contents'!$A$2:$A$3000,$A2))</f>
        <v/>
      </c>
      <c r="X2114">
        <f>IF($A2="","",SUMIF('07_Pallet_Contents'!$A$2:$A$3000,$A2,'07_Pallet_Contents'!$D$2:$D$3000))</f>
        <v/>
      </c>
      <c r="Y2114">
        <f>IF($A2="","",SUMIF('07_Pallet_Contents'!$A$2:$A$3000,$A2,'07_Pallet_Contents'!$I$2:$I$3000))</f>
        <v/>
      </c>
      <c r="Z2114">
        <f>IF($A2="","",IF(COUNTIF('07_Pallet_Contents'!$A$2:$A$3000,$A2)&gt;0,"Yes",""))</f>
        <v/>
      </c>
    </row>
    <row r="2115">
      <c r="W2115">
        <f>IF($A2="","",COUNTIF('07_Pallet_Contents'!$A$2:$A$3000,$A2))</f>
        <v/>
      </c>
      <c r="X2115">
        <f>IF($A2="","",SUMIF('07_Pallet_Contents'!$A$2:$A$3000,$A2,'07_Pallet_Contents'!$D$2:$D$3000))</f>
        <v/>
      </c>
      <c r="Y2115">
        <f>IF($A2="","",SUMIF('07_Pallet_Contents'!$A$2:$A$3000,$A2,'07_Pallet_Contents'!$I$2:$I$3000))</f>
        <v/>
      </c>
      <c r="Z2115">
        <f>IF($A2="","",IF(COUNTIF('07_Pallet_Contents'!$A$2:$A$3000,$A2)&gt;0,"Yes",""))</f>
        <v/>
      </c>
    </row>
    <row r="2116">
      <c r="W2116">
        <f>IF($A2="","",COUNTIF('07_Pallet_Contents'!$A$2:$A$3000,$A2))</f>
        <v/>
      </c>
      <c r="X2116">
        <f>IF($A2="","",SUMIF('07_Pallet_Contents'!$A$2:$A$3000,$A2,'07_Pallet_Contents'!$D$2:$D$3000))</f>
        <v/>
      </c>
      <c r="Y2116">
        <f>IF($A2="","",SUMIF('07_Pallet_Contents'!$A$2:$A$3000,$A2,'07_Pallet_Contents'!$I$2:$I$3000))</f>
        <v/>
      </c>
      <c r="Z2116">
        <f>IF($A2="","",IF(COUNTIF('07_Pallet_Contents'!$A$2:$A$3000,$A2)&gt;0,"Yes",""))</f>
        <v/>
      </c>
    </row>
    <row r="2117">
      <c r="W2117">
        <f>IF($A2="","",COUNTIF('07_Pallet_Contents'!$A$2:$A$3000,$A2))</f>
        <v/>
      </c>
      <c r="X2117">
        <f>IF($A2="","",SUMIF('07_Pallet_Contents'!$A$2:$A$3000,$A2,'07_Pallet_Contents'!$D$2:$D$3000))</f>
        <v/>
      </c>
      <c r="Y2117">
        <f>IF($A2="","",SUMIF('07_Pallet_Contents'!$A$2:$A$3000,$A2,'07_Pallet_Contents'!$I$2:$I$3000))</f>
        <v/>
      </c>
      <c r="Z2117">
        <f>IF($A2="","",IF(COUNTIF('07_Pallet_Contents'!$A$2:$A$3000,$A2)&gt;0,"Yes",""))</f>
        <v/>
      </c>
    </row>
    <row r="2118">
      <c r="W2118">
        <f>IF($A2="","",COUNTIF('07_Pallet_Contents'!$A$2:$A$3000,$A2))</f>
        <v/>
      </c>
      <c r="X2118">
        <f>IF($A2="","",SUMIF('07_Pallet_Contents'!$A$2:$A$3000,$A2,'07_Pallet_Contents'!$D$2:$D$3000))</f>
        <v/>
      </c>
      <c r="Y2118">
        <f>IF($A2="","",SUMIF('07_Pallet_Contents'!$A$2:$A$3000,$A2,'07_Pallet_Contents'!$I$2:$I$3000))</f>
        <v/>
      </c>
      <c r="Z2118">
        <f>IF($A2="","",IF(COUNTIF('07_Pallet_Contents'!$A$2:$A$3000,$A2)&gt;0,"Yes",""))</f>
        <v/>
      </c>
    </row>
    <row r="2119">
      <c r="W2119">
        <f>IF($A2="","",COUNTIF('07_Pallet_Contents'!$A$2:$A$3000,$A2))</f>
        <v/>
      </c>
      <c r="X2119">
        <f>IF($A2="","",SUMIF('07_Pallet_Contents'!$A$2:$A$3000,$A2,'07_Pallet_Contents'!$D$2:$D$3000))</f>
        <v/>
      </c>
      <c r="Y2119">
        <f>IF($A2="","",SUMIF('07_Pallet_Contents'!$A$2:$A$3000,$A2,'07_Pallet_Contents'!$I$2:$I$3000))</f>
        <v/>
      </c>
      <c r="Z2119">
        <f>IF($A2="","",IF(COUNTIF('07_Pallet_Contents'!$A$2:$A$3000,$A2)&gt;0,"Yes",""))</f>
        <v/>
      </c>
    </row>
    <row r="2120">
      <c r="W2120">
        <f>IF($A2="","",COUNTIF('07_Pallet_Contents'!$A$2:$A$3000,$A2))</f>
        <v/>
      </c>
      <c r="X2120">
        <f>IF($A2="","",SUMIF('07_Pallet_Contents'!$A$2:$A$3000,$A2,'07_Pallet_Contents'!$D$2:$D$3000))</f>
        <v/>
      </c>
      <c r="Y2120">
        <f>IF($A2="","",SUMIF('07_Pallet_Contents'!$A$2:$A$3000,$A2,'07_Pallet_Contents'!$I$2:$I$3000))</f>
        <v/>
      </c>
      <c r="Z2120">
        <f>IF($A2="","",IF(COUNTIF('07_Pallet_Contents'!$A$2:$A$3000,$A2)&gt;0,"Yes",""))</f>
        <v/>
      </c>
    </row>
    <row r="2121">
      <c r="W2121">
        <f>IF($A2="","",COUNTIF('07_Pallet_Contents'!$A$2:$A$3000,$A2))</f>
        <v/>
      </c>
      <c r="X2121">
        <f>IF($A2="","",SUMIF('07_Pallet_Contents'!$A$2:$A$3000,$A2,'07_Pallet_Contents'!$D$2:$D$3000))</f>
        <v/>
      </c>
      <c r="Y2121">
        <f>IF($A2="","",SUMIF('07_Pallet_Contents'!$A$2:$A$3000,$A2,'07_Pallet_Contents'!$I$2:$I$3000))</f>
        <v/>
      </c>
      <c r="Z2121">
        <f>IF($A2="","",IF(COUNTIF('07_Pallet_Contents'!$A$2:$A$3000,$A2)&gt;0,"Yes",""))</f>
        <v/>
      </c>
    </row>
    <row r="2122">
      <c r="W2122">
        <f>IF($A2="","",COUNTIF('07_Pallet_Contents'!$A$2:$A$3000,$A2))</f>
        <v/>
      </c>
      <c r="X2122">
        <f>IF($A2="","",SUMIF('07_Pallet_Contents'!$A$2:$A$3000,$A2,'07_Pallet_Contents'!$D$2:$D$3000))</f>
        <v/>
      </c>
      <c r="Y2122">
        <f>IF($A2="","",SUMIF('07_Pallet_Contents'!$A$2:$A$3000,$A2,'07_Pallet_Contents'!$I$2:$I$3000))</f>
        <v/>
      </c>
      <c r="Z2122">
        <f>IF($A2="","",IF(COUNTIF('07_Pallet_Contents'!$A$2:$A$3000,$A2)&gt;0,"Yes",""))</f>
        <v/>
      </c>
    </row>
    <row r="2123">
      <c r="W2123">
        <f>IF($A2="","",COUNTIF('07_Pallet_Contents'!$A$2:$A$3000,$A2))</f>
        <v/>
      </c>
      <c r="X2123">
        <f>IF($A2="","",SUMIF('07_Pallet_Contents'!$A$2:$A$3000,$A2,'07_Pallet_Contents'!$D$2:$D$3000))</f>
        <v/>
      </c>
      <c r="Y2123">
        <f>IF($A2="","",SUMIF('07_Pallet_Contents'!$A$2:$A$3000,$A2,'07_Pallet_Contents'!$I$2:$I$3000))</f>
        <v/>
      </c>
      <c r="Z2123">
        <f>IF($A2="","",IF(COUNTIF('07_Pallet_Contents'!$A$2:$A$3000,$A2)&gt;0,"Yes",""))</f>
        <v/>
      </c>
    </row>
    <row r="2124">
      <c r="W2124">
        <f>IF($A2="","",COUNTIF('07_Pallet_Contents'!$A$2:$A$3000,$A2))</f>
        <v/>
      </c>
      <c r="X2124">
        <f>IF($A2="","",SUMIF('07_Pallet_Contents'!$A$2:$A$3000,$A2,'07_Pallet_Contents'!$D$2:$D$3000))</f>
        <v/>
      </c>
      <c r="Y2124">
        <f>IF($A2="","",SUMIF('07_Pallet_Contents'!$A$2:$A$3000,$A2,'07_Pallet_Contents'!$I$2:$I$3000))</f>
        <v/>
      </c>
      <c r="Z2124">
        <f>IF($A2="","",IF(COUNTIF('07_Pallet_Contents'!$A$2:$A$3000,$A2)&gt;0,"Yes",""))</f>
        <v/>
      </c>
    </row>
    <row r="2125">
      <c r="W2125">
        <f>IF($A2="","",COUNTIF('07_Pallet_Contents'!$A$2:$A$3000,$A2))</f>
        <v/>
      </c>
      <c r="X2125">
        <f>IF($A2="","",SUMIF('07_Pallet_Contents'!$A$2:$A$3000,$A2,'07_Pallet_Contents'!$D$2:$D$3000))</f>
        <v/>
      </c>
      <c r="Y2125">
        <f>IF($A2="","",SUMIF('07_Pallet_Contents'!$A$2:$A$3000,$A2,'07_Pallet_Contents'!$I$2:$I$3000))</f>
        <v/>
      </c>
      <c r="Z2125">
        <f>IF($A2="","",IF(COUNTIF('07_Pallet_Contents'!$A$2:$A$3000,$A2)&gt;0,"Yes",""))</f>
        <v/>
      </c>
    </row>
    <row r="2126">
      <c r="W2126">
        <f>IF($A2="","",COUNTIF('07_Pallet_Contents'!$A$2:$A$3000,$A2))</f>
        <v/>
      </c>
      <c r="X2126">
        <f>IF($A2="","",SUMIF('07_Pallet_Contents'!$A$2:$A$3000,$A2,'07_Pallet_Contents'!$D$2:$D$3000))</f>
        <v/>
      </c>
      <c r="Y2126">
        <f>IF($A2="","",SUMIF('07_Pallet_Contents'!$A$2:$A$3000,$A2,'07_Pallet_Contents'!$I$2:$I$3000))</f>
        <v/>
      </c>
      <c r="Z2126">
        <f>IF($A2="","",IF(COUNTIF('07_Pallet_Contents'!$A$2:$A$3000,$A2)&gt;0,"Yes",""))</f>
        <v/>
      </c>
    </row>
    <row r="2127">
      <c r="W2127">
        <f>IF($A2="","",COUNTIF('07_Pallet_Contents'!$A$2:$A$3000,$A2))</f>
        <v/>
      </c>
      <c r="X2127">
        <f>IF($A2="","",SUMIF('07_Pallet_Contents'!$A$2:$A$3000,$A2,'07_Pallet_Contents'!$D$2:$D$3000))</f>
        <v/>
      </c>
      <c r="Y2127">
        <f>IF($A2="","",SUMIF('07_Pallet_Contents'!$A$2:$A$3000,$A2,'07_Pallet_Contents'!$I$2:$I$3000))</f>
        <v/>
      </c>
      <c r="Z2127">
        <f>IF($A2="","",IF(COUNTIF('07_Pallet_Contents'!$A$2:$A$3000,$A2)&gt;0,"Yes",""))</f>
        <v/>
      </c>
    </row>
    <row r="2128">
      <c r="W2128">
        <f>IF($A2="","",COUNTIF('07_Pallet_Contents'!$A$2:$A$3000,$A2))</f>
        <v/>
      </c>
      <c r="X2128">
        <f>IF($A2="","",SUMIF('07_Pallet_Contents'!$A$2:$A$3000,$A2,'07_Pallet_Contents'!$D$2:$D$3000))</f>
        <v/>
      </c>
      <c r="Y2128">
        <f>IF($A2="","",SUMIF('07_Pallet_Contents'!$A$2:$A$3000,$A2,'07_Pallet_Contents'!$I$2:$I$3000))</f>
        <v/>
      </c>
      <c r="Z2128">
        <f>IF($A2="","",IF(COUNTIF('07_Pallet_Contents'!$A$2:$A$3000,$A2)&gt;0,"Yes",""))</f>
        <v/>
      </c>
    </row>
    <row r="2129">
      <c r="W2129">
        <f>IF($A2="","",COUNTIF('07_Pallet_Contents'!$A$2:$A$3000,$A2))</f>
        <v/>
      </c>
      <c r="X2129">
        <f>IF($A2="","",SUMIF('07_Pallet_Contents'!$A$2:$A$3000,$A2,'07_Pallet_Contents'!$D$2:$D$3000))</f>
        <v/>
      </c>
      <c r="Y2129">
        <f>IF($A2="","",SUMIF('07_Pallet_Contents'!$A$2:$A$3000,$A2,'07_Pallet_Contents'!$I$2:$I$3000))</f>
        <v/>
      </c>
      <c r="Z2129">
        <f>IF($A2="","",IF(COUNTIF('07_Pallet_Contents'!$A$2:$A$3000,$A2)&gt;0,"Yes",""))</f>
        <v/>
      </c>
    </row>
    <row r="2130">
      <c r="W2130">
        <f>IF($A2="","",COUNTIF('07_Pallet_Contents'!$A$2:$A$3000,$A2))</f>
        <v/>
      </c>
      <c r="X2130">
        <f>IF($A2="","",SUMIF('07_Pallet_Contents'!$A$2:$A$3000,$A2,'07_Pallet_Contents'!$D$2:$D$3000))</f>
        <v/>
      </c>
      <c r="Y2130">
        <f>IF($A2="","",SUMIF('07_Pallet_Contents'!$A$2:$A$3000,$A2,'07_Pallet_Contents'!$I$2:$I$3000))</f>
        <v/>
      </c>
      <c r="Z2130">
        <f>IF($A2="","",IF(COUNTIF('07_Pallet_Contents'!$A$2:$A$3000,$A2)&gt;0,"Yes",""))</f>
        <v/>
      </c>
    </row>
    <row r="2131">
      <c r="W2131">
        <f>IF($A2="","",COUNTIF('07_Pallet_Contents'!$A$2:$A$3000,$A2))</f>
        <v/>
      </c>
      <c r="X2131">
        <f>IF($A2="","",SUMIF('07_Pallet_Contents'!$A$2:$A$3000,$A2,'07_Pallet_Contents'!$D$2:$D$3000))</f>
        <v/>
      </c>
      <c r="Y2131">
        <f>IF($A2="","",SUMIF('07_Pallet_Contents'!$A$2:$A$3000,$A2,'07_Pallet_Contents'!$I$2:$I$3000))</f>
        <v/>
      </c>
      <c r="Z2131">
        <f>IF($A2="","",IF(COUNTIF('07_Pallet_Contents'!$A$2:$A$3000,$A2)&gt;0,"Yes",""))</f>
        <v/>
      </c>
    </row>
    <row r="2132">
      <c r="W2132">
        <f>IF($A2="","",COUNTIF('07_Pallet_Contents'!$A$2:$A$3000,$A2))</f>
        <v/>
      </c>
      <c r="X2132">
        <f>IF($A2="","",SUMIF('07_Pallet_Contents'!$A$2:$A$3000,$A2,'07_Pallet_Contents'!$D$2:$D$3000))</f>
        <v/>
      </c>
      <c r="Y2132">
        <f>IF($A2="","",SUMIF('07_Pallet_Contents'!$A$2:$A$3000,$A2,'07_Pallet_Contents'!$I$2:$I$3000))</f>
        <v/>
      </c>
      <c r="Z2132">
        <f>IF($A2="","",IF(COUNTIF('07_Pallet_Contents'!$A$2:$A$3000,$A2)&gt;0,"Yes",""))</f>
        <v/>
      </c>
    </row>
    <row r="2133">
      <c r="W2133">
        <f>IF($A2="","",COUNTIF('07_Pallet_Contents'!$A$2:$A$3000,$A2))</f>
        <v/>
      </c>
      <c r="X2133">
        <f>IF($A2="","",SUMIF('07_Pallet_Contents'!$A$2:$A$3000,$A2,'07_Pallet_Contents'!$D$2:$D$3000))</f>
        <v/>
      </c>
      <c r="Y2133">
        <f>IF($A2="","",SUMIF('07_Pallet_Contents'!$A$2:$A$3000,$A2,'07_Pallet_Contents'!$I$2:$I$3000))</f>
        <v/>
      </c>
      <c r="Z2133">
        <f>IF($A2="","",IF(COUNTIF('07_Pallet_Contents'!$A$2:$A$3000,$A2)&gt;0,"Yes",""))</f>
        <v/>
      </c>
    </row>
    <row r="2134">
      <c r="W2134">
        <f>IF($A2="","",COUNTIF('07_Pallet_Contents'!$A$2:$A$3000,$A2))</f>
        <v/>
      </c>
      <c r="X2134">
        <f>IF($A2="","",SUMIF('07_Pallet_Contents'!$A$2:$A$3000,$A2,'07_Pallet_Contents'!$D$2:$D$3000))</f>
        <v/>
      </c>
      <c r="Y2134">
        <f>IF($A2="","",SUMIF('07_Pallet_Contents'!$A$2:$A$3000,$A2,'07_Pallet_Contents'!$I$2:$I$3000))</f>
        <v/>
      </c>
      <c r="Z2134">
        <f>IF($A2="","",IF(COUNTIF('07_Pallet_Contents'!$A$2:$A$3000,$A2)&gt;0,"Yes",""))</f>
        <v/>
      </c>
    </row>
    <row r="2135">
      <c r="W2135">
        <f>IF($A2="","",COUNTIF('07_Pallet_Contents'!$A$2:$A$3000,$A2))</f>
        <v/>
      </c>
      <c r="X2135">
        <f>IF($A2="","",SUMIF('07_Pallet_Contents'!$A$2:$A$3000,$A2,'07_Pallet_Contents'!$D$2:$D$3000))</f>
        <v/>
      </c>
      <c r="Y2135">
        <f>IF($A2="","",SUMIF('07_Pallet_Contents'!$A$2:$A$3000,$A2,'07_Pallet_Contents'!$I$2:$I$3000))</f>
        <v/>
      </c>
      <c r="Z2135">
        <f>IF($A2="","",IF(COUNTIF('07_Pallet_Contents'!$A$2:$A$3000,$A2)&gt;0,"Yes",""))</f>
        <v/>
      </c>
    </row>
    <row r="2136">
      <c r="W2136">
        <f>IF($A2="","",COUNTIF('07_Pallet_Contents'!$A$2:$A$3000,$A2))</f>
        <v/>
      </c>
      <c r="X2136">
        <f>IF($A2="","",SUMIF('07_Pallet_Contents'!$A$2:$A$3000,$A2,'07_Pallet_Contents'!$D$2:$D$3000))</f>
        <v/>
      </c>
      <c r="Y2136">
        <f>IF($A2="","",SUMIF('07_Pallet_Contents'!$A$2:$A$3000,$A2,'07_Pallet_Contents'!$I$2:$I$3000))</f>
        <v/>
      </c>
      <c r="Z2136">
        <f>IF($A2="","",IF(COUNTIF('07_Pallet_Contents'!$A$2:$A$3000,$A2)&gt;0,"Yes",""))</f>
        <v/>
      </c>
    </row>
    <row r="2137">
      <c r="W2137">
        <f>IF($A2="","",COUNTIF('07_Pallet_Contents'!$A$2:$A$3000,$A2))</f>
        <v/>
      </c>
      <c r="X2137">
        <f>IF($A2="","",SUMIF('07_Pallet_Contents'!$A$2:$A$3000,$A2,'07_Pallet_Contents'!$D$2:$D$3000))</f>
        <v/>
      </c>
      <c r="Y2137">
        <f>IF($A2="","",SUMIF('07_Pallet_Contents'!$A$2:$A$3000,$A2,'07_Pallet_Contents'!$I$2:$I$3000))</f>
        <v/>
      </c>
      <c r="Z2137">
        <f>IF($A2="","",IF(COUNTIF('07_Pallet_Contents'!$A$2:$A$3000,$A2)&gt;0,"Yes",""))</f>
        <v/>
      </c>
    </row>
    <row r="2138">
      <c r="W2138">
        <f>IF($A2="","",COUNTIF('07_Pallet_Contents'!$A$2:$A$3000,$A2))</f>
        <v/>
      </c>
      <c r="X2138">
        <f>IF($A2="","",SUMIF('07_Pallet_Contents'!$A$2:$A$3000,$A2,'07_Pallet_Contents'!$D$2:$D$3000))</f>
        <v/>
      </c>
      <c r="Y2138">
        <f>IF($A2="","",SUMIF('07_Pallet_Contents'!$A$2:$A$3000,$A2,'07_Pallet_Contents'!$I$2:$I$3000))</f>
        <v/>
      </c>
      <c r="Z2138">
        <f>IF($A2="","",IF(COUNTIF('07_Pallet_Contents'!$A$2:$A$3000,$A2)&gt;0,"Yes",""))</f>
        <v/>
      </c>
    </row>
    <row r="2139">
      <c r="W2139">
        <f>IF($A2="","",COUNTIF('07_Pallet_Contents'!$A$2:$A$3000,$A2))</f>
        <v/>
      </c>
      <c r="X2139">
        <f>IF($A2="","",SUMIF('07_Pallet_Contents'!$A$2:$A$3000,$A2,'07_Pallet_Contents'!$D$2:$D$3000))</f>
        <v/>
      </c>
      <c r="Y2139">
        <f>IF($A2="","",SUMIF('07_Pallet_Contents'!$A$2:$A$3000,$A2,'07_Pallet_Contents'!$I$2:$I$3000))</f>
        <v/>
      </c>
      <c r="Z2139">
        <f>IF($A2="","",IF(COUNTIF('07_Pallet_Contents'!$A$2:$A$3000,$A2)&gt;0,"Yes",""))</f>
        <v/>
      </c>
    </row>
    <row r="2140">
      <c r="W2140">
        <f>IF($A2="","",COUNTIF('07_Pallet_Contents'!$A$2:$A$3000,$A2))</f>
        <v/>
      </c>
      <c r="X2140">
        <f>IF($A2="","",SUMIF('07_Pallet_Contents'!$A$2:$A$3000,$A2,'07_Pallet_Contents'!$D$2:$D$3000))</f>
        <v/>
      </c>
      <c r="Y2140">
        <f>IF($A2="","",SUMIF('07_Pallet_Contents'!$A$2:$A$3000,$A2,'07_Pallet_Contents'!$I$2:$I$3000))</f>
        <v/>
      </c>
      <c r="Z2140">
        <f>IF($A2="","",IF(COUNTIF('07_Pallet_Contents'!$A$2:$A$3000,$A2)&gt;0,"Yes",""))</f>
        <v/>
      </c>
    </row>
    <row r="2141">
      <c r="W2141">
        <f>IF($A2="","",COUNTIF('07_Pallet_Contents'!$A$2:$A$3000,$A2))</f>
        <v/>
      </c>
      <c r="X2141">
        <f>IF($A2="","",SUMIF('07_Pallet_Contents'!$A$2:$A$3000,$A2,'07_Pallet_Contents'!$D$2:$D$3000))</f>
        <v/>
      </c>
      <c r="Y2141">
        <f>IF($A2="","",SUMIF('07_Pallet_Contents'!$A$2:$A$3000,$A2,'07_Pallet_Contents'!$I$2:$I$3000))</f>
        <v/>
      </c>
      <c r="Z2141">
        <f>IF($A2="","",IF(COUNTIF('07_Pallet_Contents'!$A$2:$A$3000,$A2)&gt;0,"Yes",""))</f>
        <v/>
      </c>
    </row>
    <row r="2142">
      <c r="W2142">
        <f>IF($A2="","",COUNTIF('07_Pallet_Contents'!$A$2:$A$3000,$A2))</f>
        <v/>
      </c>
      <c r="X2142">
        <f>IF($A2="","",SUMIF('07_Pallet_Contents'!$A$2:$A$3000,$A2,'07_Pallet_Contents'!$D$2:$D$3000))</f>
        <v/>
      </c>
      <c r="Y2142">
        <f>IF($A2="","",SUMIF('07_Pallet_Contents'!$A$2:$A$3000,$A2,'07_Pallet_Contents'!$I$2:$I$3000))</f>
        <v/>
      </c>
      <c r="Z2142">
        <f>IF($A2="","",IF(COUNTIF('07_Pallet_Contents'!$A$2:$A$3000,$A2)&gt;0,"Yes",""))</f>
        <v/>
      </c>
    </row>
    <row r="2143">
      <c r="W2143">
        <f>IF($A2="","",COUNTIF('07_Pallet_Contents'!$A$2:$A$3000,$A2))</f>
        <v/>
      </c>
      <c r="X2143">
        <f>IF($A2="","",SUMIF('07_Pallet_Contents'!$A$2:$A$3000,$A2,'07_Pallet_Contents'!$D$2:$D$3000))</f>
        <v/>
      </c>
      <c r="Y2143">
        <f>IF($A2="","",SUMIF('07_Pallet_Contents'!$A$2:$A$3000,$A2,'07_Pallet_Contents'!$I$2:$I$3000))</f>
        <v/>
      </c>
      <c r="Z2143">
        <f>IF($A2="","",IF(COUNTIF('07_Pallet_Contents'!$A$2:$A$3000,$A2)&gt;0,"Yes",""))</f>
        <v/>
      </c>
    </row>
    <row r="2144">
      <c r="W2144">
        <f>IF($A2="","",COUNTIF('07_Pallet_Contents'!$A$2:$A$3000,$A2))</f>
        <v/>
      </c>
      <c r="X2144">
        <f>IF($A2="","",SUMIF('07_Pallet_Contents'!$A$2:$A$3000,$A2,'07_Pallet_Contents'!$D$2:$D$3000))</f>
        <v/>
      </c>
      <c r="Y2144">
        <f>IF($A2="","",SUMIF('07_Pallet_Contents'!$A$2:$A$3000,$A2,'07_Pallet_Contents'!$I$2:$I$3000))</f>
        <v/>
      </c>
      <c r="Z2144">
        <f>IF($A2="","",IF(COUNTIF('07_Pallet_Contents'!$A$2:$A$3000,$A2)&gt;0,"Yes",""))</f>
        <v/>
      </c>
    </row>
    <row r="2145">
      <c r="W2145">
        <f>IF($A2="","",COUNTIF('07_Pallet_Contents'!$A$2:$A$3000,$A2))</f>
        <v/>
      </c>
      <c r="X2145">
        <f>IF($A2="","",SUMIF('07_Pallet_Contents'!$A$2:$A$3000,$A2,'07_Pallet_Contents'!$D$2:$D$3000))</f>
        <v/>
      </c>
      <c r="Y2145">
        <f>IF($A2="","",SUMIF('07_Pallet_Contents'!$A$2:$A$3000,$A2,'07_Pallet_Contents'!$I$2:$I$3000))</f>
        <v/>
      </c>
      <c r="Z2145">
        <f>IF($A2="","",IF(COUNTIF('07_Pallet_Contents'!$A$2:$A$3000,$A2)&gt;0,"Yes",""))</f>
        <v/>
      </c>
    </row>
    <row r="2146">
      <c r="W2146">
        <f>IF($A2="","",COUNTIF('07_Pallet_Contents'!$A$2:$A$3000,$A2))</f>
        <v/>
      </c>
      <c r="X2146">
        <f>IF($A2="","",SUMIF('07_Pallet_Contents'!$A$2:$A$3000,$A2,'07_Pallet_Contents'!$D$2:$D$3000))</f>
        <v/>
      </c>
      <c r="Y2146">
        <f>IF($A2="","",SUMIF('07_Pallet_Contents'!$A$2:$A$3000,$A2,'07_Pallet_Contents'!$I$2:$I$3000))</f>
        <v/>
      </c>
      <c r="Z2146">
        <f>IF($A2="","",IF(COUNTIF('07_Pallet_Contents'!$A$2:$A$3000,$A2)&gt;0,"Yes",""))</f>
        <v/>
      </c>
    </row>
    <row r="2147">
      <c r="W2147">
        <f>IF($A2="","",COUNTIF('07_Pallet_Contents'!$A$2:$A$3000,$A2))</f>
        <v/>
      </c>
      <c r="X2147">
        <f>IF($A2="","",SUMIF('07_Pallet_Contents'!$A$2:$A$3000,$A2,'07_Pallet_Contents'!$D$2:$D$3000))</f>
        <v/>
      </c>
      <c r="Y2147">
        <f>IF($A2="","",SUMIF('07_Pallet_Contents'!$A$2:$A$3000,$A2,'07_Pallet_Contents'!$I$2:$I$3000))</f>
        <v/>
      </c>
      <c r="Z2147">
        <f>IF($A2="","",IF(COUNTIF('07_Pallet_Contents'!$A$2:$A$3000,$A2)&gt;0,"Yes",""))</f>
        <v/>
      </c>
    </row>
    <row r="2148">
      <c r="W2148">
        <f>IF($A2="","",COUNTIF('07_Pallet_Contents'!$A$2:$A$3000,$A2))</f>
        <v/>
      </c>
      <c r="X2148">
        <f>IF($A2="","",SUMIF('07_Pallet_Contents'!$A$2:$A$3000,$A2,'07_Pallet_Contents'!$D$2:$D$3000))</f>
        <v/>
      </c>
      <c r="Y2148">
        <f>IF($A2="","",SUMIF('07_Pallet_Contents'!$A$2:$A$3000,$A2,'07_Pallet_Contents'!$I$2:$I$3000))</f>
        <v/>
      </c>
      <c r="Z2148">
        <f>IF($A2="","",IF(COUNTIF('07_Pallet_Contents'!$A$2:$A$3000,$A2)&gt;0,"Yes",""))</f>
        <v/>
      </c>
    </row>
    <row r="2149">
      <c r="W2149">
        <f>IF($A2="","",COUNTIF('07_Pallet_Contents'!$A$2:$A$3000,$A2))</f>
        <v/>
      </c>
      <c r="X2149">
        <f>IF($A2="","",SUMIF('07_Pallet_Contents'!$A$2:$A$3000,$A2,'07_Pallet_Contents'!$D$2:$D$3000))</f>
        <v/>
      </c>
      <c r="Y2149">
        <f>IF($A2="","",SUMIF('07_Pallet_Contents'!$A$2:$A$3000,$A2,'07_Pallet_Contents'!$I$2:$I$3000))</f>
        <v/>
      </c>
      <c r="Z2149">
        <f>IF($A2="","",IF(COUNTIF('07_Pallet_Contents'!$A$2:$A$3000,$A2)&gt;0,"Yes",""))</f>
        <v/>
      </c>
    </row>
    <row r="2150">
      <c r="W2150">
        <f>IF($A2="","",COUNTIF('07_Pallet_Contents'!$A$2:$A$3000,$A2))</f>
        <v/>
      </c>
      <c r="X2150">
        <f>IF($A2="","",SUMIF('07_Pallet_Contents'!$A$2:$A$3000,$A2,'07_Pallet_Contents'!$D$2:$D$3000))</f>
        <v/>
      </c>
      <c r="Y2150">
        <f>IF($A2="","",SUMIF('07_Pallet_Contents'!$A$2:$A$3000,$A2,'07_Pallet_Contents'!$I$2:$I$3000))</f>
        <v/>
      </c>
      <c r="Z2150">
        <f>IF($A2="","",IF(COUNTIF('07_Pallet_Contents'!$A$2:$A$3000,$A2)&gt;0,"Yes",""))</f>
        <v/>
      </c>
    </row>
    <row r="2151">
      <c r="W2151">
        <f>IF($A2="","",COUNTIF('07_Pallet_Contents'!$A$2:$A$3000,$A2))</f>
        <v/>
      </c>
      <c r="X2151">
        <f>IF($A2="","",SUMIF('07_Pallet_Contents'!$A$2:$A$3000,$A2,'07_Pallet_Contents'!$D$2:$D$3000))</f>
        <v/>
      </c>
      <c r="Y2151">
        <f>IF($A2="","",SUMIF('07_Pallet_Contents'!$A$2:$A$3000,$A2,'07_Pallet_Contents'!$I$2:$I$3000))</f>
        <v/>
      </c>
      <c r="Z2151">
        <f>IF($A2="","",IF(COUNTIF('07_Pallet_Contents'!$A$2:$A$3000,$A2)&gt;0,"Yes",""))</f>
        <v/>
      </c>
    </row>
    <row r="2152">
      <c r="W2152">
        <f>IF($A2="","",COUNTIF('07_Pallet_Contents'!$A$2:$A$3000,$A2))</f>
        <v/>
      </c>
      <c r="X2152">
        <f>IF($A2="","",SUMIF('07_Pallet_Contents'!$A$2:$A$3000,$A2,'07_Pallet_Contents'!$D$2:$D$3000))</f>
        <v/>
      </c>
      <c r="Y2152">
        <f>IF($A2="","",SUMIF('07_Pallet_Contents'!$A$2:$A$3000,$A2,'07_Pallet_Contents'!$I$2:$I$3000))</f>
        <v/>
      </c>
      <c r="Z2152">
        <f>IF($A2="","",IF(COUNTIF('07_Pallet_Contents'!$A$2:$A$3000,$A2)&gt;0,"Yes",""))</f>
        <v/>
      </c>
    </row>
    <row r="2153">
      <c r="W2153">
        <f>IF($A2="","",COUNTIF('07_Pallet_Contents'!$A$2:$A$3000,$A2))</f>
        <v/>
      </c>
      <c r="X2153">
        <f>IF($A2="","",SUMIF('07_Pallet_Contents'!$A$2:$A$3000,$A2,'07_Pallet_Contents'!$D$2:$D$3000))</f>
        <v/>
      </c>
      <c r="Y2153">
        <f>IF($A2="","",SUMIF('07_Pallet_Contents'!$A$2:$A$3000,$A2,'07_Pallet_Contents'!$I$2:$I$3000))</f>
        <v/>
      </c>
      <c r="Z2153">
        <f>IF($A2="","",IF(COUNTIF('07_Pallet_Contents'!$A$2:$A$3000,$A2)&gt;0,"Yes",""))</f>
        <v/>
      </c>
    </row>
    <row r="2154">
      <c r="W2154">
        <f>IF($A2="","",COUNTIF('07_Pallet_Contents'!$A$2:$A$3000,$A2))</f>
        <v/>
      </c>
      <c r="X2154">
        <f>IF($A2="","",SUMIF('07_Pallet_Contents'!$A$2:$A$3000,$A2,'07_Pallet_Contents'!$D$2:$D$3000))</f>
        <v/>
      </c>
      <c r="Y2154">
        <f>IF($A2="","",SUMIF('07_Pallet_Contents'!$A$2:$A$3000,$A2,'07_Pallet_Contents'!$I$2:$I$3000))</f>
        <v/>
      </c>
      <c r="Z2154">
        <f>IF($A2="","",IF(COUNTIF('07_Pallet_Contents'!$A$2:$A$3000,$A2)&gt;0,"Yes",""))</f>
        <v/>
      </c>
    </row>
    <row r="2155">
      <c r="W2155">
        <f>IF($A2="","",COUNTIF('07_Pallet_Contents'!$A$2:$A$3000,$A2))</f>
        <v/>
      </c>
      <c r="X2155">
        <f>IF($A2="","",SUMIF('07_Pallet_Contents'!$A$2:$A$3000,$A2,'07_Pallet_Contents'!$D$2:$D$3000))</f>
        <v/>
      </c>
      <c r="Y2155">
        <f>IF($A2="","",SUMIF('07_Pallet_Contents'!$A$2:$A$3000,$A2,'07_Pallet_Contents'!$I$2:$I$3000))</f>
        <v/>
      </c>
      <c r="Z2155">
        <f>IF($A2="","",IF(COUNTIF('07_Pallet_Contents'!$A$2:$A$3000,$A2)&gt;0,"Yes",""))</f>
        <v/>
      </c>
    </row>
    <row r="2156">
      <c r="W2156">
        <f>IF($A2="","",COUNTIF('07_Pallet_Contents'!$A$2:$A$3000,$A2))</f>
        <v/>
      </c>
      <c r="X2156">
        <f>IF($A2="","",SUMIF('07_Pallet_Contents'!$A$2:$A$3000,$A2,'07_Pallet_Contents'!$D$2:$D$3000))</f>
        <v/>
      </c>
      <c r="Y2156">
        <f>IF($A2="","",SUMIF('07_Pallet_Contents'!$A$2:$A$3000,$A2,'07_Pallet_Contents'!$I$2:$I$3000))</f>
        <v/>
      </c>
      <c r="Z2156">
        <f>IF($A2="","",IF(COUNTIF('07_Pallet_Contents'!$A$2:$A$3000,$A2)&gt;0,"Yes",""))</f>
        <v/>
      </c>
    </row>
    <row r="2157">
      <c r="W2157">
        <f>IF($A2="","",COUNTIF('07_Pallet_Contents'!$A$2:$A$3000,$A2))</f>
        <v/>
      </c>
      <c r="X2157">
        <f>IF($A2="","",SUMIF('07_Pallet_Contents'!$A$2:$A$3000,$A2,'07_Pallet_Contents'!$D$2:$D$3000))</f>
        <v/>
      </c>
      <c r="Y2157">
        <f>IF($A2="","",SUMIF('07_Pallet_Contents'!$A$2:$A$3000,$A2,'07_Pallet_Contents'!$I$2:$I$3000))</f>
        <v/>
      </c>
      <c r="Z2157">
        <f>IF($A2="","",IF(COUNTIF('07_Pallet_Contents'!$A$2:$A$3000,$A2)&gt;0,"Yes",""))</f>
        <v/>
      </c>
    </row>
    <row r="2158">
      <c r="W2158">
        <f>IF($A2="","",COUNTIF('07_Pallet_Contents'!$A$2:$A$3000,$A2))</f>
        <v/>
      </c>
      <c r="X2158">
        <f>IF($A2="","",SUMIF('07_Pallet_Contents'!$A$2:$A$3000,$A2,'07_Pallet_Contents'!$D$2:$D$3000))</f>
        <v/>
      </c>
      <c r="Y2158">
        <f>IF($A2="","",SUMIF('07_Pallet_Contents'!$A$2:$A$3000,$A2,'07_Pallet_Contents'!$I$2:$I$3000))</f>
        <v/>
      </c>
      <c r="Z2158">
        <f>IF($A2="","",IF(COUNTIF('07_Pallet_Contents'!$A$2:$A$3000,$A2)&gt;0,"Yes",""))</f>
        <v/>
      </c>
    </row>
    <row r="2159">
      <c r="W2159">
        <f>IF($A2="","",COUNTIF('07_Pallet_Contents'!$A$2:$A$3000,$A2))</f>
        <v/>
      </c>
      <c r="X2159">
        <f>IF($A2="","",SUMIF('07_Pallet_Contents'!$A$2:$A$3000,$A2,'07_Pallet_Contents'!$D$2:$D$3000))</f>
        <v/>
      </c>
      <c r="Y2159">
        <f>IF($A2="","",SUMIF('07_Pallet_Contents'!$A$2:$A$3000,$A2,'07_Pallet_Contents'!$I$2:$I$3000))</f>
        <v/>
      </c>
      <c r="Z2159">
        <f>IF($A2="","",IF(COUNTIF('07_Pallet_Contents'!$A$2:$A$3000,$A2)&gt;0,"Yes",""))</f>
        <v/>
      </c>
    </row>
    <row r="2160">
      <c r="W2160">
        <f>IF($A2="","",COUNTIF('07_Pallet_Contents'!$A$2:$A$3000,$A2))</f>
        <v/>
      </c>
      <c r="X2160">
        <f>IF($A2="","",SUMIF('07_Pallet_Contents'!$A$2:$A$3000,$A2,'07_Pallet_Contents'!$D$2:$D$3000))</f>
        <v/>
      </c>
      <c r="Y2160">
        <f>IF($A2="","",SUMIF('07_Pallet_Contents'!$A$2:$A$3000,$A2,'07_Pallet_Contents'!$I$2:$I$3000))</f>
        <v/>
      </c>
      <c r="Z2160">
        <f>IF($A2="","",IF(COUNTIF('07_Pallet_Contents'!$A$2:$A$3000,$A2)&gt;0,"Yes",""))</f>
        <v/>
      </c>
    </row>
    <row r="2161">
      <c r="W2161">
        <f>IF($A2="","",COUNTIF('07_Pallet_Contents'!$A$2:$A$3000,$A2))</f>
        <v/>
      </c>
      <c r="X2161">
        <f>IF($A2="","",SUMIF('07_Pallet_Contents'!$A$2:$A$3000,$A2,'07_Pallet_Contents'!$D$2:$D$3000))</f>
        <v/>
      </c>
      <c r="Y2161">
        <f>IF($A2="","",SUMIF('07_Pallet_Contents'!$A$2:$A$3000,$A2,'07_Pallet_Contents'!$I$2:$I$3000))</f>
        <v/>
      </c>
      <c r="Z2161">
        <f>IF($A2="","",IF(COUNTIF('07_Pallet_Contents'!$A$2:$A$3000,$A2)&gt;0,"Yes",""))</f>
        <v/>
      </c>
    </row>
    <row r="2162">
      <c r="W2162">
        <f>IF($A2="","",COUNTIF('07_Pallet_Contents'!$A$2:$A$3000,$A2))</f>
        <v/>
      </c>
      <c r="X2162">
        <f>IF($A2="","",SUMIF('07_Pallet_Contents'!$A$2:$A$3000,$A2,'07_Pallet_Contents'!$D$2:$D$3000))</f>
        <v/>
      </c>
      <c r="Y2162">
        <f>IF($A2="","",SUMIF('07_Pallet_Contents'!$A$2:$A$3000,$A2,'07_Pallet_Contents'!$I$2:$I$3000))</f>
        <v/>
      </c>
      <c r="Z2162">
        <f>IF($A2="","",IF(COUNTIF('07_Pallet_Contents'!$A$2:$A$3000,$A2)&gt;0,"Yes",""))</f>
        <v/>
      </c>
    </row>
    <row r="2163">
      <c r="W2163">
        <f>IF($A2="","",COUNTIF('07_Pallet_Contents'!$A$2:$A$3000,$A2))</f>
        <v/>
      </c>
      <c r="X2163">
        <f>IF($A2="","",SUMIF('07_Pallet_Contents'!$A$2:$A$3000,$A2,'07_Pallet_Contents'!$D$2:$D$3000))</f>
        <v/>
      </c>
      <c r="Y2163">
        <f>IF($A2="","",SUMIF('07_Pallet_Contents'!$A$2:$A$3000,$A2,'07_Pallet_Contents'!$I$2:$I$3000))</f>
        <v/>
      </c>
      <c r="Z2163">
        <f>IF($A2="","",IF(COUNTIF('07_Pallet_Contents'!$A$2:$A$3000,$A2)&gt;0,"Yes",""))</f>
        <v/>
      </c>
    </row>
    <row r="2164">
      <c r="W2164">
        <f>IF($A2="","",COUNTIF('07_Pallet_Contents'!$A$2:$A$3000,$A2))</f>
        <v/>
      </c>
      <c r="X2164">
        <f>IF($A2="","",SUMIF('07_Pallet_Contents'!$A$2:$A$3000,$A2,'07_Pallet_Contents'!$D$2:$D$3000))</f>
        <v/>
      </c>
      <c r="Y2164">
        <f>IF($A2="","",SUMIF('07_Pallet_Contents'!$A$2:$A$3000,$A2,'07_Pallet_Contents'!$I$2:$I$3000))</f>
        <v/>
      </c>
      <c r="Z2164">
        <f>IF($A2="","",IF(COUNTIF('07_Pallet_Contents'!$A$2:$A$3000,$A2)&gt;0,"Yes",""))</f>
        <v/>
      </c>
    </row>
    <row r="2165">
      <c r="W2165">
        <f>IF($A2="","",COUNTIF('07_Pallet_Contents'!$A$2:$A$3000,$A2))</f>
        <v/>
      </c>
      <c r="X2165">
        <f>IF($A2="","",SUMIF('07_Pallet_Contents'!$A$2:$A$3000,$A2,'07_Pallet_Contents'!$D$2:$D$3000))</f>
        <v/>
      </c>
      <c r="Y2165">
        <f>IF($A2="","",SUMIF('07_Pallet_Contents'!$A$2:$A$3000,$A2,'07_Pallet_Contents'!$I$2:$I$3000))</f>
        <v/>
      </c>
      <c r="Z2165">
        <f>IF($A2="","",IF(COUNTIF('07_Pallet_Contents'!$A$2:$A$3000,$A2)&gt;0,"Yes",""))</f>
        <v/>
      </c>
    </row>
    <row r="2166">
      <c r="W2166">
        <f>IF($A2="","",COUNTIF('07_Pallet_Contents'!$A$2:$A$3000,$A2))</f>
        <v/>
      </c>
      <c r="X2166">
        <f>IF($A2="","",SUMIF('07_Pallet_Contents'!$A$2:$A$3000,$A2,'07_Pallet_Contents'!$D$2:$D$3000))</f>
        <v/>
      </c>
      <c r="Y2166">
        <f>IF($A2="","",SUMIF('07_Pallet_Contents'!$A$2:$A$3000,$A2,'07_Pallet_Contents'!$I$2:$I$3000))</f>
        <v/>
      </c>
      <c r="Z2166">
        <f>IF($A2="","",IF(COUNTIF('07_Pallet_Contents'!$A$2:$A$3000,$A2)&gt;0,"Yes",""))</f>
        <v/>
      </c>
    </row>
    <row r="2167">
      <c r="W2167">
        <f>IF($A2="","",COUNTIF('07_Pallet_Contents'!$A$2:$A$3000,$A2))</f>
        <v/>
      </c>
      <c r="X2167">
        <f>IF($A2="","",SUMIF('07_Pallet_Contents'!$A$2:$A$3000,$A2,'07_Pallet_Contents'!$D$2:$D$3000))</f>
        <v/>
      </c>
      <c r="Y2167">
        <f>IF($A2="","",SUMIF('07_Pallet_Contents'!$A$2:$A$3000,$A2,'07_Pallet_Contents'!$I$2:$I$3000))</f>
        <v/>
      </c>
      <c r="Z2167">
        <f>IF($A2="","",IF(COUNTIF('07_Pallet_Contents'!$A$2:$A$3000,$A2)&gt;0,"Yes",""))</f>
        <v/>
      </c>
    </row>
    <row r="2168">
      <c r="W2168">
        <f>IF($A2="","",COUNTIF('07_Pallet_Contents'!$A$2:$A$3000,$A2))</f>
        <v/>
      </c>
      <c r="X2168">
        <f>IF($A2="","",SUMIF('07_Pallet_Contents'!$A$2:$A$3000,$A2,'07_Pallet_Contents'!$D$2:$D$3000))</f>
        <v/>
      </c>
      <c r="Y2168">
        <f>IF($A2="","",SUMIF('07_Pallet_Contents'!$A$2:$A$3000,$A2,'07_Pallet_Contents'!$I$2:$I$3000))</f>
        <v/>
      </c>
      <c r="Z2168">
        <f>IF($A2="","",IF(COUNTIF('07_Pallet_Contents'!$A$2:$A$3000,$A2)&gt;0,"Yes",""))</f>
        <v/>
      </c>
    </row>
    <row r="2169">
      <c r="W2169">
        <f>IF($A2="","",COUNTIF('07_Pallet_Contents'!$A$2:$A$3000,$A2))</f>
        <v/>
      </c>
      <c r="X2169">
        <f>IF($A2="","",SUMIF('07_Pallet_Contents'!$A$2:$A$3000,$A2,'07_Pallet_Contents'!$D$2:$D$3000))</f>
        <v/>
      </c>
      <c r="Y2169">
        <f>IF($A2="","",SUMIF('07_Pallet_Contents'!$A$2:$A$3000,$A2,'07_Pallet_Contents'!$I$2:$I$3000))</f>
        <v/>
      </c>
      <c r="Z2169">
        <f>IF($A2="","",IF(COUNTIF('07_Pallet_Contents'!$A$2:$A$3000,$A2)&gt;0,"Yes",""))</f>
        <v/>
      </c>
    </row>
    <row r="2170">
      <c r="W2170">
        <f>IF($A2="","",COUNTIF('07_Pallet_Contents'!$A$2:$A$3000,$A2))</f>
        <v/>
      </c>
      <c r="X2170">
        <f>IF($A2="","",SUMIF('07_Pallet_Contents'!$A$2:$A$3000,$A2,'07_Pallet_Contents'!$D$2:$D$3000))</f>
        <v/>
      </c>
      <c r="Y2170">
        <f>IF($A2="","",SUMIF('07_Pallet_Contents'!$A$2:$A$3000,$A2,'07_Pallet_Contents'!$I$2:$I$3000))</f>
        <v/>
      </c>
      <c r="Z2170">
        <f>IF($A2="","",IF(COUNTIF('07_Pallet_Contents'!$A$2:$A$3000,$A2)&gt;0,"Yes",""))</f>
        <v/>
      </c>
    </row>
    <row r="2171">
      <c r="W2171">
        <f>IF($A2="","",COUNTIF('07_Pallet_Contents'!$A$2:$A$3000,$A2))</f>
        <v/>
      </c>
      <c r="X2171">
        <f>IF($A2="","",SUMIF('07_Pallet_Contents'!$A$2:$A$3000,$A2,'07_Pallet_Contents'!$D$2:$D$3000))</f>
        <v/>
      </c>
      <c r="Y2171">
        <f>IF($A2="","",SUMIF('07_Pallet_Contents'!$A$2:$A$3000,$A2,'07_Pallet_Contents'!$I$2:$I$3000))</f>
        <v/>
      </c>
      <c r="Z2171">
        <f>IF($A2="","",IF(COUNTIF('07_Pallet_Contents'!$A$2:$A$3000,$A2)&gt;0,"Yes",""))</f>
        <v/>
      </c>
    </row>
    <row r="2172">
      <c r="W2172">
        <f>IF($A2="","",COUNTIF('07_Pallet_Contents'!$A$2:$A$3000,$A2))</f>
        <v/>
      </c>
      <c r="X2172">
        <f>IF($A2="","",SUMIF('07_Pallet_Contents'!$A$2:$A$3000,$A2,'07_Pallet_Contents'!$D$2:$D$3000))</f>
        <v/>
      </c>
      <c r="Y2172">
        <f>IF($A2="","",SUMIF('07_Pallet_Contents'!$A$2:$A$3000,$A2,'07_Pallet_Contents'!$I$2:$I$3000))</f>
        <v/>
      </c>
      <c r="Z2172">
        <f>IF($A2="","",IF(COUNTIF('07_Pallet_Contents'!$A$2:$A$3000,$A2)&gt;0,"Yes",""))</f>
        <v/>
      </c>
    </row>
    <row r="2173">
      <c r="W2173">
        <f>IF($A2="","",COUNTIF('07_Pallet_Contents'!$A$2:$A$3000,$A2))</f>
        <v/>
      </c>
      <c r="X2173">
        <f>IF($A2="","",SUMIF('07_Pallet_Contents'!$A$2:$A$3000,$A2,'07_Pallet_Contents'!$D$2:$D$3000))</f>
        <v/>
      </c>
      <c r="Y2173">
        <f>IF($A2="","",SUMIF('07_Pallet_Contents'!$A$2:$A$3000,$A2,'07_Pallet_Contents'!$I$2:$I$3000))</f>
        <v/>
      </c>
      <c r="Z2173">
        <f>IF($A2="","",IF(COUNTIF('07_Pallet_Contents'!$A$2:$A$3000,$A2)&gt;0,"Yes",""))</f>
        <v/>
      </c>
    </row>
    <row r="2174">
      <c r="W2174">
        <f>IF($A2="","",COUNTIF('07_Pallet_Contents'!$A$2:$A$3000,$A2))</f>
        <v/>
      </c>
      <c r="X2174">
        <f>IF($A2="","",SUMIF('07_Pallet_Contents'!$A$2:$A$3000,$A2,'07_Pallet_Contents'!$D$2:$D$3000))</f>
        <v/>
      </c>
      <c r="Y2174">
        <f>IF($A2="","",SUMIF('07_Pallet_Contents'!$A$2:$A$3000,$A2,'07_Pallet_Contents'!$I$2:$I$3000))</f>
        <v/>
      </c>
      <c r="Z2174">
        <f>IF($A2="","",IF(COUNTIF('07_Pallet_Contents'!$A$2:$A$3000,$A2)&gt;0,"Yes",""))</f>
        <v/>
      </c>
    </row>
    <row r="2175">
      <c r="W2175">
        <f>IF($A2="","",COUNTIF('07_Pallet_Contents'!$A$2:$A$3000,$A2))</f>
        <v/>
      </c>
      <c r="X2175">
        <f>IF($A2="","",SUMIF('07_Pallet_Contents'!$A$2:$A$3000,$A2,'07_Pallet_Contents'!$D$2:$D$3000))</f>
        <v/>
      </c>
      <c r="Y2175">
        <f>IF($A2="","",SUMIF('07_Pallet_Contents'!$A$2:$A$3000,$A2,'07_Pallet_Contents'!$I$2:$I$3000))</f>
        <v/>
      </c>
      <c r="Z2175">
        <f>IF($A2="","",IF(COUNTIF('07_Pallet_Contents'!$A$2:$A$3000,$A2)&gt;0,"Yes",""))</f>
        <v/>
      </c>
    </row>
    <row r="2176">
      <c r="W2176">
        <f>IF($A2="","",COUNTIF('07_Pallet_Contents'!$A$2:$A$3000,$A2))</f>
        <v/>
      </c>
      <c r="X2176">
        <f>IF($A2="","",SUMIF('07_Pallet_Contents'!$A$2:$A$3000,$A2,'07_Pallet_Contents'!$D$2:$D$3000))</f>
        <v/>
      </c>
      <c r="Y2176">
        <f>IF($A2="","",SUMIF('07_Pallet_Contents'!$A$2:$A$3000,$A2,'07_Pallet_Contents'!$I$2:$I$3000))</f>
        <v/>
      </c>
      <c r="Z2176">
        <f>IF($A2="","",IF(COUNTIF('07_Pallet_Contents'!$A$2:$A$3000,$A2)&gt;0,"Yes",""))</f>
        <v/>
      </c>
    </row>
    <row r="2177">
      <c r="W2177">
        <f>IF($A2="","",COUNTIF('07_Pallet_Contents'!$A$2:$A$3000,$A2))</f>
        <v/>
      </c>
      <c r="X2177">
        <f>IF($A2="","",SUMIF('07_Pallet_Contents'!$A$2:$A$3000,$A2,'07_Pallet_Contents'!$D$2:$D$3000))</f>
        <v/>
      </c>
      <c r="Y2177">
        <f>IF($A2="","",SUMIF('07_Pallet_Contents'!$A$2:$A$3000,$A2,'07_Pallet_Contents'!$I$2:$I$3000))</f>
        <v/>
      </c>
      <c r="Z2177">
        <f>IF($A2="","",IF(COUNTIF('07_Pallet_Contents'!$A$2:$A$3000,$A2)&gt;0,"Yes",""))</f>
        <v/>
      </c>
    </row>
    <row r="2178">
      <c r="W2178">
        <f>IF($A2="","",COUNTIF('07_Pallet_Contents'!$A$2:$A$3000,$A2))</f>
        <v/>
      </c>
      <c r="X2178">
        <f>IF($A2="","",SUMIF('07_Pallet_Contents'!$A$2:$A$3000,$A2,'07_Pallet_Contents'!$D$2:$D$3000))</f>
        <v/>
      </c>
      <c r="Y2178">
        <f>IF($A2="","",SUMIF('07_Pallet_Contents'!$A$2:$A$3000,$A2,'07_Pallet_Contents'!$I$2:$I$3000))</f>
        <v/>
      </c>
      <c r="Z2178">
        <f>IF($A2="","",IF(COUNTIF('07_Pallet_Contents'!$A$2:$A$3000,$A2)&gt;0,"Yes",""))</f>
        <v/>
      </c>
    </row>
    <row r="2179">
      <c r="W2179">
        <f>IF($A2="","",COUNTIF('07_Pallet_Contents'!$A$2:$A$3000,$A2))</f>
        <v/>
      </c>
      <c r="X2179">
        <f>IF($A2="","",SUMIF('07_Pallet_Contents'!$A$2:$A$3000,$A2,'07_Pallet_Contents'!$D$2:$D$3000))</f>
        <v/>
      </c>
      <c r="Y2179">
        <f>IF($A2="","",SUMIF('07_Pallet_Contents'!$A$2:$A$3000,$A2,'07_Pallet_Contents'!$I$2:$I$3000))</f>
        <v/>
      </c>
      <c r="Z2179">
        <f>IF($A2="","",IF(COUNTIF('07_Pallet_Contents'!$A$2:$A$3000,$A2)&gt;0,"Yes",""))</f>
        <v/>
      </c>
    </row>
    <row r="2180">
      <c r="W2180">
        <f>IF($A2="","",COUNTIF('07_Pallet_Contents'!$A$2:$A$3000,$A2))</f>
        <v/>
      </c>
      <c r="X2180">
        <f>IF($A2="","",SUMIF('07_Pallet_Contents'!$A$2:$A$3000,$A2,'07_Pallet_Contents'!$D$2:$D$3000))</f>
        <v/>
      </c>
      <c r="Y2180">
        <f>IF($A2="","",SUMIF('07_Pallet_Contents'!$A$2:$A$3000,$A2,'07_Pallet_Contents'!$I$2:$I$3000))</f>
        <v/>
      </c>
      <c r="Z2180">
        <f>IF($A2="","",IF(COUNTIF('07_Pallet_Contents'!$A$2:$A$3000,$A2)&gt;0,"Yes",""))</f>
        <v/>
      </c>
    </row>
    <row r="2181">
      <c r="W2181">
        <f>IF($A2="","",COUNTIF('07_Pallet_Contents'!$A$2:$A$3000,$A2))</f>
        <v/>
      </c>
      <c r="X2181">
        <f>IF($A2="","",SUMIF('07_Pallet_Contents'!$A$2:$A$3000,$A2,'07_Pallet_Contents'!$D$2:$D$3000))</f>
        <v/>
      </c>
      <c r="Y2181">
        <f>IF($A2="","",SUMIF('07_Pallet_Contents'!$A$2:$A$3000,$A2,'07_Pallet_Contents'!$I$2:$I$3000))</f>
        <v/>
      </c>
      <c r="Z2181">
        <f>IF($A2="","",IF(COUNTIF('07_Pallet_Contents'!$A$2:$A$3000,$A2)&gt;0,"Yes",""))</f>
        <v/>
      </c>
    </row>
    <row r="2182">
      <c r="W2182">
        <f>IF($A2="","",COUNTIF('07_Pallet_Contents'!$A$2:$A$3000,$A2))</f>
        <v/>
      </c>
      <c r="X2182">
        <f>IF($A2="","",SUMIF('07_Pallet_Contents'!$A$2:$A$3000,$A2,'07_Pallet_Contents'!$D$2:$D$3000))</f>
        <v/>
      </c>
      <c r="Y2182">
        <f>IF($A2="","",SUMIF('07_Pallet_Contents'!$A$2:$A$3000,$A2,'07_Pallet_Contents'!$I$2:$I$3000))</f>
        <v/>
      </c>
      <c r="Z2182">
        <f>IF($A2="","",IF(COUNTIF('07_Pallet_Contents'!$A$2:$A$3000,$A2)&gt;0,"Yes",""))</f>
        <v/>
      </c>
    </row>
    <row r="2183">
      <c r="W2183">
        <f>IF($A2="","",COUNTIF('07_Pallet_Contents'!$A$2:$A$3000,$A2))</f>
        <v/>
      </c>
      <c r="X2183">
        <f>IF($A2="","",SUMIF('07_Pallet_Contents'!$A$2:$A$3000,$A2,'07_Pallet_Contents'!$D$2:$D$3000))</f>
        <v/>
      </c>
      <c r="Y2183">
        <f>IF($A2="","",SUMIF('07_Pallet_Contents'!$A$2:$A$3000,$A2,'07_Pallet_Contents'!$I$2:$I$3000))</f>
        <v/>
      </c>
      <c r="Z2183">
        <f>IF($A2="","",IF(COUNTIF('07_Pallet_Contents'!$A$2:$A$3000,$A2)&gt;0,"Yes",""))</f>
        <v/>
      </c>
    </row>
    <row r="2184">
      <c r="W2184">
        <f>IF($A2="","",COUNTIF('07_Pallet_Contents'!$A$2:$A$3000,$A2))</f>
        <v/>
      </c>
      <c r="X2184">
        <f>IF($A2="","",SUMIF('07_Pallet_Contents'!$A$2:$A$3000,$A2,'07_Pallet_Contents'!$D$2:$D$3000))</f>
        <v/>
      </c>
      <c r="Y2184">
        <f>IF($A2="","",SUMIF('07_Pallet_Contents'!$A$2:$A$3000,$A2,'07_Pallet_Contents'!$I$2:$I$3000))</f>
        <v/>
      </c>
      <c r="Z2184">
        <f>IF($A2="","",IF(COUNTIF('07_Pallet_Contents'!$A$2:$A$3000,$A2)&gt;0,"Yes",""))</f>
        <v/>
      </c>
    </row>
    <row r="2185">
      <c r="W2185">
        <f>IF($A2="","",COUNTIF('07_Pallet_Contents'!$A$2:$A$3000,$A2))</f>
        <v/>
      </c>
      <c r="X2185">
        <f>IF($A2="","",SUMIF('07_Pallet_Contents'!$A$2:$A$3000,$A2,'07_Pallet_Contents'!$D$2:$D$3000))</f>
        <v/>
      </c>
      <c r="Y2185">
        <f>IF($A2="","",SUMIF('07_Pallet_Contents'!$A$2:$A$3000,$A2,'07_Pallet_Contents'!$I$2:$I$3000))</f>
        <v/>
      </c>
      <c r="Z2185">
        <f>IF($A2="","",IF(COUNTIF('07_Pallet_Contents'!$A$2:$A$3000,$A2)&gt;0,"Yes",""))</f>
        <v/>
      </c>
    </row>
    <row r="2186">
      <c r="W2186">
        <f>IF($A2="","",COUNTIF('07_Pallet_Contents'!$A$2:$A$3000,$A2))</f>
        <v/>
      </c>
      <c r="X2186">
        <f>IF($A2="","",SUMIF('07_Pallet_Contents'!$A$2:$A$3000,$A2,'07_Pallet_Contents'!$D$2:$D$3000))</f>
        <v/>
      </c>
      <c r="Y2186">
        <f>IF($A2="","",SUMIF('07_Pallet_Contents'!$A$2:$A$3000,$A2,'07_Pallet_Contents'!$I$2:$I$3000))</f>
        <v/>
      </c>
      <c r="Z2186">
        <f>IF($A2="","",IF(COUNTIF('07_Pallet_Contents'!$A$2:$A$3000,$A2)&gt;0,"Yes",""))</f>
        <v/>
      </c>
    </row>
    <row r="2187">
      <c r="W2187">
        <f>IF($A2="","",COUNTIF('07_Pallet_Contents'!$A$2:$A$3000,$A2))</f>
        <v/>
      </c>
      <c r="X2187">
        <f>IF($A2="","",SUMIF('07_Pallet_Contents'!$A$2:$A$3000,$A2,'07_Pallet_Contents'!$D$2:$D$3000))</f>
        <v/>
      </c>
      <c r="Y2187">
        <f>IF($A2="","",SUMIF('07_Pallet_Contents'!$A$2:$A$3000,$A2,'07_Pallet_Contents'!$I$2:$I$3000))</f>
        <v/>
      </c>
      <c r="Z2187">
        <f>IF($A2="","",IF(COUNTIF('07_Pallet_Contents'!$A$2:$A$3000,$A2)&gt;0,"Yes",""))</f>
        <v/>
      </c>
    </row>
    <row r="2188">
      <c r="W2188">
        <f>IF($A2="","",COUNTIF('07_Pallet_Contents'!$A$2:$A$3000,$A2))</f>
        <v/>
      </c>
      <c r="X2188">
        <f>IF($A2="","",SUMIF('07_Pallet_Contents'!$A$2:$A$3000,$A2,'07_Pallet_Contents'!$D$2:$D$3000))</f>
        <v/>
      </c>
      <c r="Y2188">
        <f>IF($A2="","",SUMIF('07_Pallet_Contents'!$A$2:$A$3000,$A2,'07_Pallet_Contents'!$I$2:$I$3000))</f>
        <v/>
      </c>
      <c r="Z2188">
        <f>IF($A2="","",IF(COUNTIF('07_Pallet_Contents'!$A$2:$A$3000,$A2)&gt;0,"Yes",""))</f>
        <v/>
      </c>
    </row>
    <row r="2189">
      <c r="W2189">
        <f>IF($A2="","",COUNTIF('07_Pallet_Contents'!$A$2:$A$3000,$A2))</f>
        <v/>
      </c>
      <c r="X2189">
        <f>IF($A2="","",SUMIF('07_Pallet_Contents'!$A$2:$A$3000,$A2,'07_Pallet_Contents'!$D$2:$D$3000))</f>
        <v/>
      </c>
      <c r="Y2189">
        <f>IF($A2="","",SUMIF('07_Pallet_Contents'!$A$2:$A$3000,$A2,'07_Pallet_Contents'!$I$2:$I$3000))</f>
        <v/>
      </c>
      <c r="Z2189">
        <f>IF($A2="","",IF(COUNTIF('07_Pallet_Contents'!$A$2:$A$3000,$A2)&gt;0,"Yes",""))</f>
        <v/>
      </c>
    </row>
    <row r="2190">
      <c r="W2190">
        <f>IF($A2="","",COUNTIF('07_Pallet_Contents'!$A$2:$A$3000,$A2))</f>
        <v/>
      </c>
      <c r="X2190">
        <f>IF($A2="","",SUMIF('07_Pallet_Contents'!$A$2:$A$3000,$A2,'07_Pallet_Contents'!$D$2:$D$3000))</f>
        <v/>
      </c>
      <c r="Y2190">
        <f>IF($A2="","",SUMIF('07_Pallet_Contents'!$A$2:$A$3000,$A2,'07_Pallet_Contents'!$I$2:$I$3000))</f>
        <v/>
      </c>
      <c r="Z2190">
        <f>IF($A2="","",IF(COUNTIF('07_Pallet_Contents'!$A$2:$A$3000,$A2)&gt;0,"Yes",""))</f>
        <v/>
      </c>
    </row>
    <row r="2191">
      <c r="W2191">
        <f>IF($A2="","",COUNTIF('07_Pallet_Contents'!$A$2:$A$3000,$A2))</f>
        <v/>
      </c>
      <c r="X2191">
        <f>IF($A2="","",SUMIF('07_Pallet_Contents'!$A$2:$A$3000,$A2,'07_Pallet_Contents'!$D$2:$D$3000))</f>
        <v/>
      </c>
      <c r="Y2191">
        <f>IF($A2="","",SUMIF('07_Pallet_Contents'!$A$2:$A$3000,$A2,'07_Pallet_Contents'!$I$2:$I$3000))</f>
        <v/>
      </c>
      <c r="Z2191">
        <f>IF($A2="","",IF(COUNTIF('07_Pallet_Contents'!$A$2:$A$3000,$A2)&gt;0,"Yes",""))</f>
        <v/>
      </c>
    </row>
    <row r="2192">
      <c r="W2192">
        <f>IF($A2="","",COUNTIF('07_Pallet_Contents'!$A$2:$A$3000,$A2))</f>
        <v/>
      </c>
      <c r="X2192">
        <f>IF($A2="","",SUMIF('07_Pallet_Contents'!$A$2:$A$3000,$A2,'07_Pallet_Contents'!$D$2:$D$3000))</f>
        <v/>
      </c>
      <c r="Y2192">
        <f>IF($A2="","",SUMIF('07_Pallet_Contents'!$A$2:$A$3000,$A2,'07_Pallet_Contents'!$I$2:$I$3000))</f>
        <v/>
      </c>
      <c r="Z2192">
        <f>IF($A2="","",IF(COUNTIF('07_Pallet_Contents'!$A$2:$A$3000,$A2)&gt;0,"Yes",""))</f>
        <v/>
      </c>
    </row>
    <row r="2193">
      <c r="W2193">
        <f>IF($A2="","",COUNTIF('07_Pallet_Contents'!$A$2:$A$3000,$A2))</f>
        <v/>
      </c>
      <c r="X2193">
        <f>IF($A2="","",SUMIF('07_Pallet_Contents'!$A$2:$A$3000,$A2,'07_Pallet_Contents'!$D$2:$D$3000))</f>
        <v/>
      </c>
      <c r="Y2193">
        <f>IF($A2="","",SUMIF('07_Pallet_Contents'!$A$2:$A$3000,$A2,'07_Pallet_Contents'!$I$2:$I$3000))</f>
        <v/>
      </c>
      <c r="Z2193">
        <f>IF($A2="","",IF(COUNTIF('07_Pallet_Contents'!$A$2:$A$3000,$A2)&gt;0,"Yes",""))</f>
        <v/>
      </c>
    </row>
    <row r="2194">
      <c r="W2194">
        <f>IF($A2="","",COUNTIF('07_Pallet_Contents'!$A$2:$A$3000,$A2))</f>
        <v/>
      </c>
      <c r="X2194">
        <f>IF($A2="","",SUMIF('07_Pallet_Contents'!$A$2:$A$3000,$A2,'07_Pallet_Contents'!$D$2:$D$3000))</f>
        <v/>
      </c>
      <c r="Y2194">
        <f>IF($A2="","",SUMIF('07_Pallet_Contents'!$A$2:$A$3000,$A2,'07_Pallet_Contents'!$I$2:$I$3000))</f>
        <v/>
      </c>
      <c r="Z2194">
        <f>IF($A2="","",IF(COUNTIF('07_Pallet_Contents'!$A$2:$A$3000,$A2)&gt;0,"Yes",""))</f>
        <v/>
      </c>
    </row>
    <row r="2195">
      <c r="W2195">
        <f>IF($A2="","",COUNTIF('07_Pallet_Contents'!$A$2:$A$3000,$A2))</f>
        <v/>
      </c>
      <c r="X2195">
        <f>IF($A2="","",SUMIF('07_Pallet_Contents'!$A$2:$A$3000,$A2,'07_Pallet_Contents'!$D$2:$D$3000))</f>
        <v/>
      </c>
      <c r="Y2195">
        <f>IF($A2="","",SUMIF('07_Pallet_Contents'!$A$2:$A$3000,$A2,'07_Pallet_Contents'!$I$2:$I$3000))</f>
        <v/>
      </c>
      <c r="Z2195">
        <f>IF($A2="","",IF(COUNTIF('07_Pallet_Contents'!$A$2:$A$3000,$A2)&gt;0,"Yes",""))</f>
        <v/>
      </c>
    </row>
    <row r="2196">
      <c r="W2196">
        <f>IF($A2="","",COUNTIF('07_Pallet_Contents'!$A$2:$A$3000,$A2))</f>
        <v/>
      </c>
      <c r="X2196">
        <f>IF($A2="","",SUMIF('07_Pallet_Contents'!$A$2:$A$3000,$A2,'07_Pallet_Contents'!$D$2:$D$3000))</f>
        <v/>
      </c>
      <c r="Y2196">
        <f>IF($A2="","",SUMIF('07_Pallet_Contents'!$A$2:$A$3000,$A2,'07_Pallet_Contents'!$I$2:$I$3000))</f>
        <v/>
      </c>
      <c r="Z2196">
        <f>IF($A2="","",IF(COUNTIF('07_Pallet_Contents'!$A$2:$A$3000,$A2)&gt;0,"Yes",""))</f>
        <v/>
      </c>
    </row>
    <row r="2197">
      <c r="W2197">
        <f>IF($A2="","",COUNTIF('07_Pallet_Contents'!$A$2:$A$3000,$A2))</f>
        <v/>
      </c>
      <c r="X2197">
        <f>IF($A2="","",SUMIF('07_Pallet_Contents'!$A$2:$A$3000,$A2,'07_Pallet_Contents'!$D$2:$D$3000))</f>
        <v/>
      </c>
      <c r="Y2197">
        <f>IF($A2="","",SUMIF('07_Pallet_Contents'!$A$2:$A$3000,$A2,'07_Pallet_Contents'!$I$2:$I$3000))</f>
        <v/>
      </c>
      <c r="Z2197">
        <f>IF($A2="","",IF(COUNTIF('07_Pallet_Contents'!$A$2:$A$3000,$A2)&gt;0,"Yes",""))</f>
        <v/>
      </c>
    </row>
    <row r="2198">
      <c r="W2198">
        <f>IF($A2="","",COUNTIF('07_Pallet_Contents'!$A$2:$A$3000,$A2))</f>
        <v/>
      </c>
      <c r="X2198">
        <f>IF($A2="","",SUMIF('07_Pallet_Contents'!$A$2:$A$3000,$A2,'07_Pallet_Contents'!$D$2:$D$3000))</f>
        <v/>
      </c>
      <c r="Y2198">
        <f>IF($A2="","",SUMIF('07_Pallet_Contents'!$A$2:$A$3000,$A2,'07_Pallet_Contents'!$I$2:$I$3000))</f>
        <v/>
      </c>
      <c r="Z2198">
        <f>IF($A2="","",IF(COUNTIF('07_Pallet_Contents'!$A$2:$A$3000,$A2)&gt;0,"Yes",""))</f>
        <v/>
      </c>
    </row>
    <row r="2199">
      <c r="W2199">
        <f>IF($A2="","",COUNTIF('07_Pallet_Contents'!$A$2:$A$3000,$A2))</f>
        <v/>
      </c>
      <c r="X2199">
        <f>IF($A2="","",SUMIF('07_Pallet_Contents'!$A$2:$A$3000,$A2,'07_Pallet_Contents'!$D$2:$D$3000))</f>
        <v/>
      </c>
      <c r="Y2199">
        <f>IF($A2="","",SUMIF('07_Pallet_Contents'!$A$2:$A$3000,$A2,'07_Pallet_Contents'!$I$2:$I$3000))</f>
        <v/>
      </c>
      <c r="Z2199">
        <f>IF($A2="","",IF(COUNTIF('07_Pallet_Contents'!$A$2:$A$3000,$A2)&gt;0,"Yes",""))</f>
        <v/>
      </c>
    </row>
    <row r="2200">
      <c r="W2200">
        <f>IF($A2="","",COUNTIF('07_Pallet_Contents'!$A$2:$A$3000,$A2))</f>
        <v/>
      </c>
      <c r="X2200">
        <f>IF($A2="","",SUMIF('07_Pallet_Contents'!$A$2:$A$3000,$A2,'07_Pallet_Contents'!$D$2:$D$3000))</f>
        <v/>
      </c>
      <c r="Y2200">
        <f>IF($A2="","",SUMIF('07_Pallet_Contents'!$A$2:$A$3000,$A2,'07_Pallet_Contents'!$I$2:$I$3000))</f>
        <v/>
      </c>
      <c r="Z2200">
        <f>IF($A2="","",IF(COUNTIF('07_Pallet_Contents'!$A$2:$A$3000,$A2)&gt;0,"Yes",""))</f>
        <v/>
      </c>
    </row>
    <row r="2201">
      <c r="W2201">
        <f>IF($A2="","",COUNTIF('07_Pallet_Contents'!$A$2:$A$3000,$A2))</f>
        <v/>
      </c>
      <c r="X2201">
        <f>IF($A2="","",SUMIF('07_Pallet_Contents'!$A$2:$A$3000,$A2,'07_Pallet_Contents'!$D$2:$D$3000))</f>
        <v/>
      </c>
      <c r="Y2201">
        <f>IF($A2="","",SUMIF('07_Pallet_Contents'!$A$2:$A$3000,$A2,'07_Pallet_Contents'!$I$2:$I$3000))</f>
        <v/>
      </c>
      <c r="Z2201">
        <f>IF($A2="","",IF(COUNTIF('07_Pallet_Contents'!$A$2:$A$3000,$A2)&gt;0,"Yes",""))</f>
        <v/>
      </c>
    </row>
    <row r="2202">
      <c r="W2202">
        <f>IF($A2="","",COUNTIF('07_Pallet_Contents'!$A$2:$A$3000,$A2))</f>
        <v/>
      </c>
      <c r="X2202">
        <f>IF($A2="","",SUMIF('07_Pallet_Contents'!$A$2:$A$3000,$A2,'07_Pallet_Contents'!$D$2:$D$3000))</f>
        <v/>
      </c>
      <c r="Y2202">
        <f>IF($A2="","",SUMIF('07_Pallet_Contents'!$A$2:$A$3000,$A2,'07_Pallet_Contents'!$I$2:$I$3000))</f>
        <v/>
      </c>
      <c r="Z2202">
        <f>IF($A2="","",IF(COUNTIF('07_Pallet_Contents'!$A$2:$A$3000,$A2)&gt;0,"Yes",""))</f>
        <v/>
      </c>
    </row>
    <row r="2203">
      <c r="W2203">
        <f>IF($A2="","",COUNTIF('07_Pallet_Contents'!$A$2:$A$3000,$A2))</f>
        <v/>
      </c>
      <c r="X2203">
        <f>IF($A2="","",SUMIF('07_Pallet_Contents'!$A$2:$A$3000,$A2,'07_Pallet_Contents'!$D$2:$D$3000))</f>
        <v/>
      </c>
      <c r="Y2203">
        <f>IF($A2="","",SUMIF('07_Pallet_Contents'!$A$2:$A$3000,$A2,'07_Pallet_Contents'!$I$2:$I$3000))</f>
        <v/>
      </c>
      <c r="Z2203">
        <f>IF($A2="","",IF(COUNTIF('07_Pallet_Contents'!$A$2:$A$3000,$A2)&gt;0,"Yes",""))</f>
        <v/>
      </c>
    </row>
    <row r="2204">
      <c r="W2204">
        <f>IF($A2="","",COUNTIF('07_Pallet_Contents'!$A$2:$A$3000,$A2))</f>
        <v/>
      </c>
      <c r="X2204">
        <f>IF($A2="","",SUMIF('07_Pallet_Contents'!$A$2:$A$3000,$A2,'07_Pallet_Contents'!$D$2:$D$3000))</f>
        <v/>
      </c>
      <c r="Y2204">
        <f>IF($A2="","",SUMIF('07_Pallet_Contents'!$A$2:$A$3000,$A2,'07_Pallet_Contents'!$I$2:$I$3000))</f>
        <v/>
      </c>
      <c r="Z2204">
        <f>IF($A2="","",IF(COUNTIF('07_Pallet_Contents'!$A$2:$A$3000,$A2)&gt;0,"Yes",""))</f>
        <v/>
      </c>
    </row>
    <row r="2205">
      <c r="W2205">
        <f>IF($A2="","",COUNTIF('07_Pallet_Contents'!$A$2:$A$3000,$A2))</f>
        <v/>
      </c>
      <c r="X2205">
        <f>IF($A2="","",SUMIF('07_Pallet_Contents'!$A$2:$A$3000,$A2,'07_Pallet_Contents'!$D$2:$D$3000))</f>
        <v/>
      </c>
      <c r="Y2205">
        <f>IF($A2="","",SUMIF('07_Pallet_Contents'!$A$2:$A$3000,$A2,'07_Pallet_Contents'!$I$2:$I$3000))</f>
        <v/>
      </c>
      <c r="Z2205">
        <f>IF($A2="","",IF(COUNTIF('07_Pallet_Contents'!$A$2:$A$3000,$A2)&gt;0,"Yes",""))</f>
        <v/>
      </c>
    </row>
    <row r="2206">
      <c r="W2206">
        <f>IF($A2="","",COUNTIF('07_Pallet_Contents'!$A$2:$A$3000,$A2))</f>
        <v/>
      </c>
      <c r="X2206">
        <f>IF($A2="","",SUMIF('07_Pallet_Contents'!$A$2:$A$3000,$A2,'07_Pallet_Contents'!$D$2:$D$3000))</f>
        <v/>
      </c>
      <c r="Y2206">
        <f>IF($A2="","",SUMIF('07_Pallet_Contents'!$A$2:$A$3000,$A2,'07_Pallet_Contents'!$I$2:$I$3000))</f>
        <v/>
      </c>
      <c r="Z2206">
        <f>IF($A2="","",IF(COUNTIF('07_Pallet_Contents'!$A$2:$A$3000,$A2)&gt;0,"Yes",""))</f>
        <v/>
      </c>
    </row>
    <row r="2207">
      <c r="W2207">
        <f>IF($A2="","",COUNTIF('07_Pallet_Contents'!$A$2:$A$3000,$A2))</f>
        <v/>
      </c>
      <c r="X2207">
        <f>IF($A2="","",SUMIF('07_Pallet_Contents'!$A$2:$A$3000,$A2,'07_Pallet_Contents'!$D$2:$D$3000))</f>
        <v/>
      </c>
      <c r="Y2207">
        <f>IF($A2="","",SUMIF('07_Pallet_Contents'!$A$2:$A$3000,$A2,'07_Pallet_Contents'!$I$2:$I$3000))</f>
        <v/>
      </c>
      <c r="Z2207">
        <f>IF($A2="","",IF(COUNTIF('07_Pallet_Contents'!$A$2:$A$3000,$A2)&gt;0,"Yes",""))</f>
        <v/>
      </c>
    </row>
    <row r="2208">
      <c r="W2208">
        <f>IF($A2="","",COUNTIF('07_Pallet_Contents'!$A$2:$A$3000,$A2))</f>
        <v/>
      </c>
      <c r="X2208">
        <f>IF($A2="","",SUMIF('07_Pallet_Contents'!$A$2:$A$3000,$A2,'07_Pallet_Contents'!$D$2:$D$3000))</f>
        <v/>
      </c>
      <c r="Y2208">
        <f>IF($A2="","",SUMIF('07_Pallet_Contents'!$A$2:$A$3000,$A2,'07_Pallet_Contents'!$I$2:$I$3000))</f>
        <v/>
      </c>
      <c r="Z2208">
        <f>IF($A2="","",IF(COUNTIF('07_Pallet_Contents'!$A$2:$A$3000,$A2)&gt;0,"Yes",""))</f>
        <v/>
      </c>
    </row>
    <row r="2209">
      <c r="W2209">
        <f>IF($A2="","",COUNTIF('07_Pallet_Contents'!$A$2:$A$3000,$A2))</f>
        <v/>
      </c>
      <c r="X2209">
        <f>IF($A2="","",SUMIF('07_Pallet_Contents'!$A$2:$A$3000,$A2,'07_Pallet_Contents'!$D$2:$D$3000))</f>
        <v/>
      </c>
      <c r="Y2209">
        <f>IF($A2="","",SUMIF('07_Pallet_Contents'!$A$2:$A$3000,$A2,'07_Pallet_Contents'!$I$2:$I$3000))</f>
        <v/>
      </c>
      <c r="Z2209">
        <f>IF($A2="","",IF(COUNTIF('07_Pallet_Contents'!$A$2:$A$3000,$A2)&gt;0,"Yes",""))</f>
        <v/>
      </c>
    </row>
    <row r="2210">
      <c r="W2210">
        <f>IF($A2="","",COUNTIF('07_Pallet_Contents'!$A$2:$A$3000,$A2))</f>
        <v/>
      </c>
      <c r="X2210">
        <f>IF($A2="","",SUMIF('07_Pallet_Contents'!$A$2:$A$3000,$A2,'07_Pallet_Contents'!$D$2:$D$3000))</f>
        <v/>
      </c>
      <c r="Y2210">
        <f>IF($A2="","",SUMIF('07_Pallet_Contents'!$A$2:$A$3000,$A2,'07_Pallet_Contents'!$I$2:$I$3000))</f>
        <v/>
      </c>
      <c r="Z2210">
        <f>IF($A2="","",IF(COUNTIF('07_Pallet_Contents'!$A$2:$A$3000,$A2)&gt;0,"Yes",""))</f>
        <v/>
      </c>
    </row>
    <row r="2211">
      <c r="W2211">
        <f>IF($A2="","",COUNTIF('07_Pallet_Contents'!$A$2:$A$3000,$A2))</f>
        <v/>
      </c>
      <c r="X2211">
        <f>IF($A2="","",SUMIF('07_Pallet_Contents'!$A$2:$A$3000,$A2,'07_Pallet_Contents'!$D$2:$D$3000))</f>
        <v/>
      </c>
      <c r="Y2211">
        <f>IF($A2="","",SUMIF('07_Pallet_Contents'!$A$2:$A$3000,$A2,'07_Pallet_Contents'!$I$2:$I$3000))</f>
        <v/>
      </c>
      <c r="Z2211">
        <f>IF($A2="","",IF(COUNTIF('07_Pallet_Contents'!$A$2:$A$3000,$A2)&gt;0,"Yes",""))</f>
        <v/>
      </c>
    </row>
    <row r="2212">
      <c r="W2212">
        <f>IF($A2="","",COUNTIF('07_Pallet_Contents'!$A$2:$A$3000,$A2))</f>
        <v/>
      </c>
      <c r="X2212">
        <f>IF($A2="","",SUMIF('07_Pallet_Contents'!$A$2:$A$3000,$A2,'07_Pallet_Contents'!$D$2:$D$3000))</f>
        <v/>
      </c>
      <c r="Y2212">
        <f>IF($A2="","",SUMIF('07_Pallet_Contents'!$A$2:$A$3000,$A2,'07_Pallet_Contents'!$I$2:$I$3000))</f>
        <v/>
      </c>
      <c r="Z2212">
        <f>IF($A2="","",IF(COUNTIF('07_Pallet_Contents'!$A$2:$A$3000,$A2)&gt;0,"Yes",""))</f>
        <v/>
      </c>
    </row>
    <row r="2213">
      <c r="W2213">
        <f>IF($A2="","",COUNTIF('07_Pallet_Contents'!$A$2:$A$3000,$A2))</f>
        <v/>
      </c>
      <c r="X2213">
        <f>IF($A2="","",SUMIF('07_Pallet_Contents'!$A$2:$A$3000,$A2,'07_Pallet_Contents'!$D$2:$D$3000))</f>
        <v/>
      </c>
      <c r="Y2213">
        <f>IF($A2="","",SUMIF('07_Pallet_Contents'!$A$2:$A$3000,$A2,'07_Pallet_Contents'!$I$2:$I$3000))</f>
        <v/>
      </c>
      <c r="Z2213">
        <f>IF($A2="","",IF(COUNTIF('07_Pallet_Contents'!$A$2:$A$3000,$A2)&gt;0,"Yes",""))</f>
        <v/>
      </c>
    </row>
    <row r="2214">
      <c r="W2214">
        <f>IF($A2="","",COUNTIF('07_Pallet_Contents'!$A$2:$A$3000,$A2))</f>
        <v/>
      </c>
      <c r="X2214">
        <f>IF($A2="","",SUMIF('07_Pallet_Contents'!$A$2:$A$3000,$A2,'07_Pallet_Contents'!$D$2:$D$3000))</f>
        <v/>
      </c>
      <c r="Y2214">
        <f>IF($A2="","",SUMIF('07_Pallet_Contents'!$A$2:$A$3000,$A2,'07_Pallet_Contents'!$I$2:$I$3000))</f>
        <v/>
      </c>
      <c r="Z2214">
        <f>IF($A2="","",IF(COUNTIF('07_Pallet_Contents'!$A$2:$A$3000,$A2)&gt;0,"Yes",""))</f>
        <v/>
      </c>
    </row>
    <row r="2215">
      <c r="W2215">
        <f>IF($A2="","",COUNTIF('07_Pallet_Contents'!$A$2:$A$3000,$A2))</f>
        <v/>
      </c>
      <c r="X2215">
        <f>IF($A2="","",SUMIF('07_Pallet_Contents'!$A$2:$A$3000,$A2,'07_Pallet_Contents'!$D$2:$D$3000))</f>
        <v/>
      </c>
      <c r="Y2215">
        <f>IF($A2="","",SUMIF('07_Pallet_Contents'!$A$2:$A$3000,$A2,'07_Pallet_Contents'!$I$2:$I$3000))</f>
        <v/>
      </c>
      <c r="Z2215">
        <f>IF($A2="","",IF(COUNTIF('07_Pallet_Contents'!$A$2:$A$3000,$A2)&gt;0,"Yes",""))</f>
        <v/>
      </c>
    </row>
    <row r="2216">
      <c r="W2216">
        <f>IF($A2="","",COUNTIF('07_Pallet_Contents'!$A$2:$A$3000,$A2))</f>
        <v/>
      </c>
      <c r="X2216">
        <f>IF($A2="","",SUMIF('07_Pallet_Contents'!$A$2:$A$3000,$A2,'07_Pallet_Contents'!$D$2:$D$3000))</f>
        <v/>
      </c>
      <c r="Y2216">
        <f>IF($A2="","",SUMIF('07_Pallet_Contents'!$A$2:$A$3000,$A2,'07_Pallet_Contents'!$I$2:$I$3000))</f>
        <v/>
      </c>
      <c r="Z2216">
        <f>IF($A2="","",IF(COUNTIF('07_Pallet_Contents'!$A$2:$A$3000,$A2)&gt;0,"Yes",""))</f>
        <v/>
      </c>
    </row>
    <row r="2217">
      <c r="W2217">
        <f>IF($A2="","",COUNTIF('07_Pallet_Contents'!$A$2:$A$3000,$A2))</f>
        <v/>
      </c>
      <c r="X2217">
        <f>IF($A2="","",SUMIF('07_Pallet_Contents'!$A$2:$A$3000,$A2,'07_Pallet_Contents'!$D$2:$D$3000))</f>
        <v/>
      </c>
      <c r="Y2217">
        <f>IF($A2="","",SUMIF('07_Pallet_Contents'!$A$2:$A$3000,$A2,'07_Pallet_Contents'!$I$2:$I$3000))</f>
        <v/>
      </c>
      <c r="Z2217">
        <f>IF($A2="","",IF(COUNTIF('07_Pallet_Contents'!$A$2:$A$3000,$A2)&gt;0,"Yes",""))</f>
        <v/>
      </c>
    </row>
    <row r="2218">
      <c r="W2218">
        <f>IF($A2="","",COUNTIF('07_Pallet_Contents'!$A$2:$A$3000,$A2))</f>
        <v/>
      </c>
      <c r="X2218">
        <f>IF($A2="","",SUMIF('07_Pallet_Contents'!$A$2:$A$3000,$A2,'07_Pallet_Contents'!$D$2:$D$3000))</f>
        <v/>
      </c>
      <c r="Y2218">
        <f>IF($A2="","",SUMIF('07_Pallet_Contents'!$A$2:$A$3000,$A2,'07_Pallet_Contents'!$I$2:$I$3000))</f>
        <v/>
      </c>
      <c r="Z2218">
        <f>IF($A2="","",IF(COUNTIF('07_Pallet_Contents'!$A$2:$A$3000,$A2)&gt;0,"Yes",""))</f>
        <v/>
      </c>
    </row>
    <row r="2219">
      <c r="W2219">
        <f>IF($A2="","",COUNTIF('07_Pallet_Contents'!$A$2:$A$3000,$A2))</f>
        <v/>
      </c>
      <c r="X2219">
        <f>IF($A2="","",SUMIF('07_Pallet_Contents'!$A$2:$A$3000,$A2,'07_Pallet_Contents'!$D$2:$D$3000))</f>
        <v/>
      </c>
      <c r="Y2219">
        <f>IF($A2="","",SUMIF('07_Pallet_Contents'!$A$2:$A$3000,$A2,'07_Pallet_Contents'!$I$2:$I$3000))</f>
        <v/>
      </c>
      <c r="Z2219">
        <f>IF($A2="","",IF(COUNTIF('07_Pallet_Contents'!$A$2:$A$3000,$A2)&gt;0,"Yes",""))</f>
        <v/>
      </c>
    </row>
    <row r="2220">
      <c r="W2220">
        <f>IF($A2="","",COUNTIF('07_Pallet_Contents'!$A$2:$A$3000,$A2))</f>
        <v/>
      </c>
      <c r="X2220">
        <f>IF($A2="","",SUMIF('07_Pallet_Contents'!$A$2:$A$3000,$A2,'07_Pallet_Contents'!$D$2:$D$3000))</f>
        <v/>
      </c>
      <c r="Y2220">
        <f>IF($A2="","",SUMIF('07_Pallet_Contents'!$A$2:$A$3000,$A2,'07_Pallet_Contents'!$I$2:$I$3000))</f>
        <v/>
      </c>
      <c r="Z2220">
        <f>IF($A2="","",IF(COUNTIF('07_Pallet_Contents'!$A$2:$A$3000,$A2)&gt;0,"Yes",""))</f>
        <v/>
      </c>
    </row>
    <row r="2221">
      <c r="W2221">
        <f>IF($A2="","",COUNTIF('07_Pallet_Contents'!$A$2:$A$3000,$A2))</f>
        <v/>
      </c>
      <c r="X2221">
        <f>IF($A2="","",SUMIF('07_Pallet_Contents'!$A$2:$A$3000,$A2,'07_Pallet_Contents'!$D$2:$D$3000))</f>
        <v/>
      </c>
      <c r="Y2221">
        <f>IF($A2="","",SUMIF('07_Pallet_Contents'!$A$2:$A$3000,$A2,'07_Pallet_Contents'!$I$2:$I$3000))</f>
        <v/>
      </c>
      <c r="Z2221">
        <f>IF($A2="","",IF(COUNTIF('07_Pallet_Contents'!$A$2:$A$3000,$A2)&gt;0,"Yes",""))</f>
        <v/>
      </c>
    </row>
    <row r="2222">
      <c r="W2222">
        <f>IF($A2="","",COUNTIF('07_Pallet_Contents'!$A$2:$A$3000,$A2))</f>
        <v/>
      </c>
      <c r="X2222">
        <f>IF($A2="","",SUMIF('07_Pallet_Contents'!$A$2:$A$3000,$A2,'07_Pallet_Contents'!$D$2:$D$3000))</f>
        <v/>
      </c>
      <c r="Y2222">
        <f>IF($A2="","",SUMIF('07_Pallet_Contents'!$A$2:$A$3000,$A2,'07_Pallet_Contents'!$I$2:$I$3000))</f>
        <v/>
      </c>
      <c r="Z2222">
        <f>IF($A2="","",IF(COUNTIF('07_Pallet_Contents'!$A$2:$A$3000,$A2)&gt;0,"Yes",""))</f>
        <v/>
      </c>
    </row>
    <row r="2223">
      <c r="W2223">
        <f>IF($A2="","",COUNTIF('07_Pallet_Contents'!$A$2:$A$3000,$A2))</f>
        <v/>
      </c>
      <c r="X2223">
        <f>IF($A2="","",SUMIF('07_Pallet_Contents'!$A$2:$A$3000,$A2,'07_Pallet_Contents'!$D$2:$D$3000))</f>
        <v/>
      </c>
      <c r="Y2223">
        <f>IF($A2="","",SUMIF('07_Pallet_Contents'!$A$2:$A$3000,$A2,'07_Pallet_Contents'!$I$2:$I$3000))</f>
        <v/>
      </c>
      <c r="Z2223">
        <f>IF($A2="","",IF(COUNTIF('07_Pallet_Contents'!$A$2:$A$3000,$A2)&gt;0,"Yes",""))</f>
        <v/>
      </c>
    </row>
    <row r="2224">
      <c r="W2224">
        <f>IF($A2="","",COUNTIF('07_Pallet_Contents'!$A$2:$A$3000,$A2))</f>
        <v/>
      </c>
      <c r="X2224">
        <f>IF($A2="","",SUMIF('07_Pallet_Contents'!$A$2:$A$3000,$A2,'07_Pallet_Contents'!$D$2:$D$3000))</f>
        <v/>
      </c>
      <c r="Y2224">
        <f>IF($A2="","",SUMIF('07_Pallet_Contents'!$A$2:$A$3000,$A2,'07_Pallet_Contents'!$I$2:$I$3000))</f>
        <v/>
      </c>
      <c r="Z2224">
        <f>IF($A2="","",IF(COUNTIF('07_Pallet_Contents'!$A$2:$A$3000,$A2)&gt;0,"Yes",""))</f>
        <v/>
      </c>
    </row>
    <row r="2225">
      <c r="W2225">
        <f>IF($A2="","",COUNTIF('07_Pallet_Contents'!$A$2:$A$3000,$A2))</f>
        <v/>
      </c>
      <c r="X2225">
        <f>IF($A2="","",SUMIF('07_Pallet_Contents'!$A$2:$A$3000,$A2,'07_Pallet_Contents'!$D$2:$D$3000))</f>
        <v/>
      </c>
      <c r="Y2225">
        <f>IF($A2="","",SUMIF('07_Pallet_Contents'!$A$2:$A$3000,$A2,'07_Pallet_Contents'!$I$2:$I$3000))</f>
        <v/>
      </c>
      <c r="Z2225">
        <f>IF($A2="","",IF(COUNTIF('07_Pallet_Contents'!$A$2:$A$3000,$A2)&gt;0,"Yes",""))</f>
        <v/>
      </c>
    </row>
    <row r="2226">
      <c r="W2226">
        <f>IF($A2="","",COUNTIF('07_Pallet_Contents'!$A$2:$A$3000,$A2))</f>
        <v/>
      </c>
      <c r="X2226">
        <f>IF($A2="","",SUMIF('07_Pallet_Contents'!$A$2:$A$3000,$A2,'07_Pallet_Contents'!$D$2:$D$3000))</f>
        <v/>
      </c>
      <c r="Y2226">
        <f>IF($A2="","",SUMIF('07_Pallet_Contents'!$A$2:$A$3000,$A2,'07_Pallet_Contents'!$I$2:$I$3000))</f>
        <v/>
      </c>
      <c r="Z2226">
        <f>IF($A2="","",IF(COUNTIF('07_Pallet_Contents'!$A$2:$A$3000,$A2)&gt;0,"Yes",""))</f>
        <v/>
      </c>
    </row>
    <row r="2227">
      <c r="W2227">
        <f>IF($A2="","",COUNTIF('07_Pallet_Contents'!$A$2:$A$3000,$A2))</f>
        <v/>
      </c>
      <c r="X2227">
        <f>IF($A2="","",SUMIF('07_Pallet_Contents'!$A$2:$A$3000,$A2,'07_Pallet_Contents'!$D$2:$D$3000))</f>
        <v/>
      </c>
      <c r="Y2227">
        <f>IF($A2="","",SUMIF('07_Pallet_Contents'!$A$2:$A$3000,$A2,'07_Pallet_Contents'!$I$2:$I$3000))</f>
        <v/>
      </c>
      <c r="Z2227">
        <f>IF($A2="","",IF(COUNTIF('07_Pallet_Contents'!$A$2:$A$3000,$A2)&gt;0,"Yes",""))</f>
        <v/>
      </c>
    </row>
    <row r="2228">
      <c r="W2228">
        <f>IF($A2="","",COUNTIF('07_Pallet_Contents'!$A$2:$A$3000,$A2))</f>
        <v/>
      </c>
      <c r="X2228">
        <f>IF($A2="","",SUMIF('07_Pallet_Contents'!$A$2:$A$3000,$A2,'07_Pallet_Contents'!$D$2:$D$3000))</f>
        <v/>
      </c>
      <c r="Y2228">
        <f>IF($A2="","",SUMIF('07_Pallet_Contents'!$A$2:$A$3000,$A2,'07_Pallet_Contents'!$I$2:$I$3000))</f>
        <v/>
      </c>
      <c r="Z2228">
        <f>IF($A2="","",IF(COUNTIF('07_Pallet_Contents'!$A$2:$A$3000,$A2)&gt;0,"Yes",""))</f>
        <v/>
      </c>
    </row>
    <row r="2229">
      <c r="W2229">
        <f>IF($A2="","",COUNTIF('07_Pallet_Contents'!$A$2:$A$3000,$A2))</f>
        <v/>
      </c>
      <c r="X2229">
        <f>IF($A2="","",SUMIF('07_Pallet_Contents'!$A$2:$A$3000,$A2,'07_Pallet_Contents'!$D$2:$D$3000))</f>
        <v/>
      </c>
      <c r="Y2229">
        <f>IF($A2="","",SUMIF('07_Pallet_Contents'!$A$2:$A$3000,$A2,'07_Pallet_Contents'!$I$2:$I$3000))</f>
        <v/>
      </c>
      <c r="Z2229">
        <f>IF($A2="","",IF(COUNTIF('07_Pallet_Contents'!$A$2:$A$3000,$A2)&gt;0,"Yes",""))</f>
        <v/>
      </c>
    </row>
    <row r="2230">
      <c r="W2230">
        <f>IF($A2="","",COUNTIF('07_Pallet_Contents'!$A$2:$A$3000,$A2))</f>
        <v/>
      </c>
      <c r="X2230">
        <f>IF($A2="","",SUMIF('07_Pallet_Contents'!$A$2:$A$3000,$A2,'07_Pallet_Contents'!$D$2:$D$3000))</f>
        <v/>
      </c>
      <c r="Y2230">
        <f>IF($A2="","",SUMIF('07_Pallet_Contents'!$A$2:$A$3000,$A2,'07_Pallet_Contents'!$I$2:$I$3000))</f>
        <v/>
      </c>
      <c r="Z2230">
        <f>IF($A2="","",IF(COUNTIF('07_Pallet_Contents'!$A$2:$A$3000,$A2)&gt;0,"Yes",""))</f>
        <v/>
      </c>
    </row>
    <row r="2231">
      <c r="W2231">
        <f>IF($A2="","",COUNTIF('07_Pallet_Contents'!$A$2:$A$3000,$A2))</f>
        <v/>
      </c>
      <c r="X2231">
        <f>IF($A2="","",SUMIF('07_Pallet_Contents'!$A$2:$A$3000,$A2,'07_Pallet_Contents'!$D$2:$D$3000))</f>
        <v/>
      </c>
      <c r="Y2231">
        <f>IF($A2="","",SUMIF('07_Pallet_Contents'!$A$2:$A$3000,$A2,'07_Pallet_Contents'!$I$2:$I$3000))</f>
        <v/>
      </c>
      <c r="Z2231">
        <f>IF($A2="","",IF(COUNTIF('07_Pallet_Contents'!$A$2:$A$3000,$A2)&gt;0,"Yes",""))</f>
        <v/>
      </c>
    </row>
    <row r="2232">
      <c r="W2232">
        <f>IF($A2="","",COUNTIF('07_Pallet_Contents'!$A$2:$A$3000,$A2))</f>
        <v/>
      </c>
      <c r="X2232">
        <f>IF($A2="","",SUMIF('07_Pallet_Contents'!$A$2:$A$3000,$A2,'07_Pallet_Contents'!$D$2:$D$3000))</f>
        <v/>
      </c>
      <c r="Y2232">
        <f>IF($A2="","",SUMIF('07_Pallet_Contents'!$A$2:$A$3000,$A2,'07_Pallet_Contents'!$I$2:$I$3000))</f>
        <v/>
      </c>
      <c r="Z2232">
        <f>IF($A2="","",IF(COUNTIF('07_Pallet_Contents'!$A$2:$A$3000,$A2)&gt;0,"Yes",""))</f>
        <v/>
      </c>
    </row>
    <row r="2233">
      <c r="W2233">
        <f>IF($A2="","",COUNTIF('07_Pallet_Contents'!$A$2:$A$3000,$A2))</f>
        <v/>
      </c>
      <c r="X2233">
        <f>IF($A2="","",SUMIF('07_Pallet_Contents'!$A$2:$A$3000,$A2,'07_Pallet_Contents'!$D$2:$D$3000))</f>
        <v/>
      </c>
      <c r="Y2233">
        <f>IF($A2="","",SUMIF('07_Pallet_Contents'!$A$2:$A$3000,$A2,'07_Pallet_Contents'!$I$2:$I$3000))</f>
        <v/>
      </c>
      <c r="Z2233">
        <f>IF($A2="","",IF(COUNTIF('07_Pallet_Contents'!$A$2:$A$3000,$A2)&gt;0,"Yes",""))</f>
        <v/>
      </c>
    </row>
    <row r="2234">
      <c r="W2234">
        <f>IF($A2="","",COUNTIF('07_Pallet_Contents'!$A$2:$A$3000,$A2))</f>
        <v/>
      </c>
      <c r="X2234">
        <f>IF($A2="","",SUMIF('07_Pallet_Contents'!$A$2:$A$3000,$A2,'07_Pallet_Contents'!$D$2:$D$3000))</f>
        <v/>
      </c>
      <c r="Y2234">
        <f>IF($A2="","",SUMIF('07_Pallet_Contents'!$A$2:$A$3000,$A2,'07_Pallet_Contents'!$I$2:$I$3000))</f>
        <v/>
      </c>
      <c r="Z2234">
        <f>IF($A2="","",IF(COUNTIF('07_Pallet_Contents'!$A$2:$A$3000,$A2)&gt;0,"Yes",""))</f>
        <v/>
      </c>
    </row>
    <row r="2235">
      <c r="W2235">
        <f>IF($A2="","",COUNTIF('07_Pallet_Contents'!$A$2:$A$3000,$A2))</f>
        <v/>
      </c>
      <c r="X2235">
        <f>IF($A2="","",SUMIF('07_Pallet_Contents'!$A$2:$A$3000,$A2,'07_Pallet_Contents'!$D$2:$D$3000))</f>
        <v/>
      </c>
      <c r="Y2235">
        <f>IF($A2="","",SUMIF('07_Pallet_Contents'!$A$2:$A$3000,$A2,'07_Pallet_Contents'!$I$2:$I$3000))</f>
        <v/>
      </c>
      <c r="Z2235">
        <f>IF($A2="","",IF(COUNTIF('07_Pallet_Contents'!$A$2:$A$3000,$A2)&gt;0,"Yes",""))</f>
        <v/>
      </c>
    </row>
    <row r="2236">
      <c r="W2236">
        <f>IF($A2="","",COUNTIF('07_Pallet_Contents'!$A$2:$A$3000,$A2))</f>
        <v/>
      </c>
      <c r="X2236">
        <f>IF($A2="","",SUMIF('07_Pallet_Contents'!$A$2:$A$3000,$A2,'07_Pallet_Contents'!$D$2:$D$3000))</f>
        <v/>
      </c>
      <c r="Y2236">
        <f>IF($A2="","",SUMIF('07_Pallet_Contents'!$A$2:$A$3000,$A2,'07_Pallet_Contents'!$I$2:$I$3000))</f>
        <v/>
      </c>
      <c r="Z2236">
        <f>IF($A2="","",IF(COUNTIF('07_Pallet_Contents'!$A$2:$A$3000,$A2)&gt;0,"Yes",""))</f>
        <v/>
      </c>
    </row>
    <row r="2237">
      <c r="W2237">
        <f>IF($A2="","",COUNTIF('07_Pallet_Contents'!$A$2:$A$3000,$A2))</f>
        <v/>
      </c>
      <c r="X2237">
        <f>IF($A2="","",SUMIF('07_Pallet_Contents'!$A$2:$A$3000,$A2,'07_Pallet_Contents'!$D$2:$D$3000))</f>
        <v/>
      </c>
      <c r="Y2237">
        <f>IF($A2="","",SUMIF('07_Pallet_Contents'!$A$2:$A$3000,$A2,'07_Pallet_Contents'!$I$2:$I$3000))</f>
        <v/>
      </c>
      <c r="Z2237">
        <f>IF($A2="","",IF(COUNTIF('07_Pallet_Contents'!$A$2:$A$3000,$A2)&gt;0,"Yes",""))</f>
        <v/>
      </c>
    </row>
    <row r="2238">
      <c r="W2238">
        <f>IF($A2="","",COUNTIF('07_Pallet_Contents'!$A$2:$A$3000,$A2))</f>
        <v/>
      </c>
      <c r="X2238">
        <f>IF($A2="","",SUMIF('07_Pallet_Contents'!$A$2:$A$3000,$A2,'07_Pallet_Contents'!$D$2:$D$3000))</f>
        <v/>
      </c>
      <c r="Y2238">
        <f>IF($A2="","",SUMIF('07_Pallet_Contents'!$A$2:$A$3000,$A2,'07_Pallet_Contents'!$I$2:$I$3000))</f>
        <v/>
      </c>
      <c r="Z2238">
        <f>IF($A2="","",IF(COUNTIF('07_Pallet_Contents'!$A$2:$A$3000,$A2)&gt;0,"Yes",""))</f>
        <v/>
      </c>
    </row>
    <row r="2239">
      <c r="W2239">
        <f>IF($A2="","",COUNTIF('07_Pallet_Contents'!$A$2:$A$3000,$A2))</f>
        <v/>
      </c>
      <c r="X2239">
        <f>IF($A2="","",SUMIF('07_Pallet_Contents'!$A$2:$A$3000,$A2,'07_Pallet_Contents'!$D$2:$D$3000))</f>
        <v/>
      </c>
      <c r="Y2239">
        <f>IF($A2="","",SUMIF('07_Pallet_Contents'!$A$2:$A$3000,$A2,'07_Pallet_Contents'!$I$2:$I$3000))</f>
        <v/>
      </c>
      <c r="Z2239">
        <f>IF($A2="","",IF(COUNTIF('07_Pallet_Contents'!$A$2:$A$3000,$A2)&gt;0,"Yes",""))</f>
        <v/>
      </c>
    </row>
    <row r="2240">
      <c r="W2240">
        <f>IF($A2="","",COUNTIF('07_Pallet_Contents'!$A$2:$A$3000,$A2))</f>
        <v/>
      </c>
      <c r="X2240">
        <f>IF($A2="","",SUMIF('07_Pallet_Contents'!$A$2:$A$3000,$A2,'07_Pallet_Contents'!$D$2:$D$3000))</f>
        <v/>
      </c>
      <c r="Y2240">
        <f>IF($A2="","",SUMIF('07_Pallet_Contents'!$A$2:$A$3000,$A2,'07_Pallet_Contents'!$I$2:$I$3000))</f>
        <v/>
      </c>
      <c r="Z2240">
        <f>IF($A2="","",IF(COUNTIF('07_Pallet_Contents'!$A$2:$A$3000,$A2)&gt;0,"Yes",""))</f>
        <v/>
      </c>
    </row>
    <row r="2241">
      <c r="W2241">
        <f>IF($A2="","",COUNTIF('07_Pallet_Contents'!$A$2:$A$3000,$A2))</f>
        <v/>
      </c>
      <c r="X2241">
        <f>IF($A2="","",SUMIF('07_Pallet_Contents'!$A$2:$A$3000,$A2,'07_Pallet_Contents'!$D$2:$D$3000))</f>
        <v/>
      </c>
      <c r="Y2241">
        <f>IF($A2="","",SUMIF('07_Pallet_Contents'!$A$2:$A$3000,$A2,'07_Pallet_Contents'!$I$2:$I$3000))</f>
        <v/>
      </c>
      <c r="Z2241">
        <f>IF($A2="","",IF(COUNTIF('07_Pallet_Contents'!$A$2:$A$3000,$A2)&gt;0,"Yes",""))</f>
        <v/>
      </c>
    </row>
    <row r="2242">
      <c r="W2242">
        <f>IF($A2="","",COUNTIF('07_Pallet_Contents'!$A$2:$A$3000,$A2))</f>
        <v/>
      </c>
      <c r="X2242">
        <f>IF($A2="","",SUMIF('07_Pallet_Contents'!$A$2:$A$3000,$A2,'07_Pallet_Contents'!$D$2:$D$3000))</f>
        <v/>
      </c>
      <c r="Y2242">
        <f>IF($A2="","",SUMIF('07_Pallet_Contents'!$A$2:$A$3000,$A2,'07_Pallet_Contents'!$I$2:$I$3000))</f>
        <v/>
      </c>
      <c r="Z2242">
        <f>IF($A2="","",IF(COUNTIF('07_Pallet_Contents'!$A$2:$A$3000,$A2)&gt;0,"Yes",""))</f>
        <v/>
      </c>
    </row>
    <row r="2243">
      <c r="W2243">
        <f>IF($A2="","",COUNTIF('07_Pallet_Contents'!$A$2:$A$3000,$A2))</f>
        <v/>
      </c>
      <c r="X2243">
        <f>IF($A2="","",SUMIF('07_Pallet_Contents'!$A$2:$A$3000,$A2,'07_Pallet_Contents'!$D$2:$D$3000))</f>
        <v/>
      </c>
      <c r="Y2243">
        <f>IF($A2="","",SUMIF('07_Pallet_Contents'!$A$2:$A$3000,$A2,'07_Pallet_Contents'!$I$2:$I$3000))</f>
        <v/>
      </c>
      <c r="Z2243">
        <f>IF($A2="","",IF(COUNTIF('07_Pallet_Contents'!$A$2:$A$3000,$A2)&gt;0,"Yes",""))</f>
        <v/>
      </c>
    </row>
    <row r="2244">
      <c r="W2244">
        <f>IF($A2="","",COUNTIF('07_Pallet_Contents'!$A$2:$A$3000,$A2))</f>
        <v/>
      </c>
      <c r="X2244">
        <f>IF($A2="","",SUMIF('07_Pallet_Contents'!$A$2:$A$3000,$A2,'07_Pallet_Contents'!$D$2:$D$3000))</f>
        <v/>
      </c>
      <c r="Y2244">
        <f>IF($A2="","",SUMIF('07_Pallet_Contents'!$A$2:$A$3000,$A2,'07_Pallet_Contents'!$I$2:$I$3000))</f>
        <v/>
      </c>
      <c r="Z2244">
        <f>IF($A2="","",IF(COUNTIF('07_Pallet_Contents'!$A$2:$A$3000,$A2)&gt;0,"Yes",""))</f>
        <v/>
      </c>
    </row>
    <row r="2245">
      <c r="W2245">
        <f>IF($A2="","",COUNTIF('07_Pallet_Contents'!$A$2:$A$3000,$A2))</f>
        <v/>
      </c>
      <c r="X2245">
        <f>IF($A2="","",SUMIF('07_Pallet_Contents'!$A$2:$A$3000,$A2,'07_Pallet_Contents'!$D$2:$D$3000))</f>
        <v/>
      </c>
      <c r="Y2245">
        <f>IF($A2="","",SUMIF('07_Pallet_Contents'!$A$2:$A$3000,$A2,'07_Pallet_Contents'!$I$2:$I$3000))</f>
        <v/>
      </c>
      <c r="Z2245">
        <f>IF($A2="","",IF(COUNTIF('07_Pallet_Contents'!$A$2:$A$3000,$A2)&gt;0,"Yes",""))</f>
        <v/>
      </c>
    </row>
    <row r="2246">
      <c r="W2246">
        <f>IF($A2="","",COUNTIF('07_Pallet_Contents'!$A$2:$A$3000,$A2))</f>
        <v/>
      </c>
      <c r="X2246">
        <f>IF($A2="","",SUMIF('07_Pallet_Contents'!$A$2:$A$3000,$A2,'07_Pallet_Contents'!$D$2:$D$3000))</f>
        <v/>
      </c>
      <c r="Y2246">
        <f>IF($A2="","",SUMIF('07_Pallet_Contents'!$A$2:$A$3000,$A2,'07_Pallet_Contents'!$I$2:$I$3000))</f>
        <v/>
      </c>
      <c r="Z2246">
        <f>IF($A2="","",IF(COUNTIF('07_Pallet_Contents'!$A$2:$A$3000,$A2)&gt;0,"Yes",""))</f>
        <v/>
      </c>
    </row>
    <row r="2247">
      <c r="W2247">
        <f>IF($A2="","",COUNTIF('07_Pallet_Contents'!$A$2:$A$3000,$A2))</f>
        <v/>
      </c>
      <c r="X2247">
        <f>IF($A2="","",SUMIF('07_Pallet_Contents'!$A$2:$A$3000,$A2,'07_Pallet_Contents'!$D$2:$D$3000))</f>
        <v/>
      </c>
      <c r="Y2247">
        <f>IF($A2="","",SUMIF('07_Pallet_Contents'!$A$2:$A$3000,$A2,'07_Pallet_Contents'!$I$2:$I$3000))</f>
        <v/>
      </c>
      <c r="Z2247">
        <f>IF($A2="","",IF(COUNTIF('07_Pallet_Contents'!$A$2:$A$3000,$A2)&gt;0,"Yes",""))</f>
        <v/>
      </c>
    </row>
    <row r="2248">
      <c r="W2248">
        <f>IF($A2="","",COUNTIF('07_Pallet_Contents'!$A$2:$A$3000,$A2))</f>
        <v/>
      </c>
      <c r="X2248">
        <f>IF($A2="","",SUMIF('07_Pallet_Contents'!$A$2:$A$3000,$A2,'07_Pallet_Contents'!$D$2:$D$3000))</f>
        <v/>
      </c>
      <c r="Y2248">
        <f>IF($A2="","",SUMIF('07_Pallet_Contents'!$A$2:$A$3000,$A2,'07_Pallet_Contents'!$I$2:$I$3000))</f>
        <v/>
      </c>
      <c r="Z2248">
        <f>IF($A2="","",IF(COUNTIF('07_Pallet_Contents'!$A$2:$A$3000,$A2)&gt;0,"Yes",""))</f>
        <v/>
      </c>
    </row>
    <row r="2249">
      <c r="W2249">
        <f>IF($A2="","",COUNTIF('07_Pallet_Contents'!$A$2:$A$3000,$A2))</f>
        <v/>
      </c>
      <c r="X2249">
        <f>IF($A2="","",SUMIF('07_Pallet_Contents'!$A$2:$A$3000,$A2,'07_Pallet_Contents'!$D$2:$D$3000))</f>
        <v/>
      </c>
      <c r="Y2249">
        <f>IF($A2="","",SUMIF('07_Pallet_Contents'!$A$2:$A$3000,$A2,'07_Pallet_Contents'!$I$2:$I$3000))</f>
        <v/>
      </c>
      <c r="Z2249">
        <f>IF($A2="","",IF(COUNTIF('07_Pallet_Contents'!$A$2:$A$3000,$A2)&gt;0,"Yes",""))</f>
        <v/>
      </c>
    </row>
    <row r="2250">
      <c r="W2250">
        <f>IF($A2="","",COUNTIF('07_Pallet_Contents'!$A$2:$A$3000,$A2))</f>
        <v/>
      </c>
      <c r="X2250">
        <f>IF($A2="","",SUMIF('07_Pallet_Contents'!$A$2:$A$3000,$A2,'07_Pallet_Contents'!$D$2:$D$3000))</f>
        <v/>
      </c>
      <c r="Y2250">
        <f>IF($A2="","",SUMIF('07_Pallet_Contents'!$A$2:$A$3000,$A2,'07_Pallet_Contents'!$I$2:$I$3000))</f>
        <v/>
      </c>
      <c r="Z2250">
        <f>IF($A2="","",IF(COUNTIF('07_Pallet_Contents'!$A$2:$A$3000,$A2)&gt;0,"Yes",""))</f>
        <v/>
      </c>
    </row>
    <row r="2251">
      <c r="W2251">
        <f>IF($A2="","",COUNTIF('07_Pallet_Contents'!$A$2:$A$3000,$A2))</f>
        <v/>
      </c>
      <c r="X2251">
        <f>IF($A2="","",SUMIF('07_Pallet_Contents'!$A$2:$A$3000,$A2,'07_Pallet_Contents'!$D$2:$D$3000))</f>
        <v/>
      </c>
      <c r="Y2251">
        <f>IF($A2="","",SUMIF('07_Pallet_Contents'!$A$2:$A$3000,$A2,'07_Pallet_Contents'!$I$2:$I$3000))</f>
        <v/>
      </c>
      <c r="Z2251">
        <f>IF($A2="","",IF(COUNTIF('07_Pallet_Contents'!$A$2:$A$3000,$A2)&gt;0,"Yes",""))</f>
        <v/>
      </c>
    </row>
    <row r="2252">
      <c r="W2252">
        <f>IF($A2="","",COUNTIF('07_Pallet_Contents'!$A$2:$A$3000,$A2))</f>
        <v/>
      </c>
      <c r="X2252">
        <f>IF($A2="","",SUMIF('07_Pallet_Contents'!$A$2:$A$3000,$A2,'07_Pallet_Contents'!$D$2:$D$3000))</f>
        <v/>
      </c>
      <c r="Y2252">
        <f>IF($A2="","",SUMIF('07_Pallet_Contents'!$A$2:$A$3000,$A2,'07_Pallet_Contents'!$I$2:$I$3000))</f>
        <v/>
      </c>
      <c r="Z2252">
        <f>IF($A2="","",IF(COUNTIF('07_Pallet_Contents'!$A$2:$A$3000,$A2)&gt;0,"Yes",""))</f>
        <v/>
      </c>
    </row>
    <row r="2253">
      <c r="W2253">
        <f>IF($A2="","",COUNTIF('07_Pallet_Contents'!$A$2:$A$3000,$A2))</f>
        <v/>
      </c>
      <c r="X2253">
        <f>IF($A2="","",SUMIF('07_Pallet_Contents'!$A$2:$A$3000,$A2,'07_Pallet_Contents'!$D$2:$D$3000))</f>
        <v/>
      </c>
      <c r="Y2253">
        <f>IF($A2="","",SUMIF('07_Pallet_Contents'!$A$2:$A$3000,$A2,'07_Pallet_Contents'!$I$2:$I$3000))</f>
        <v/>
      </c>
      <c r="Z2253">
        <f>IF($A2="","",IF(COUNTIF('07_Pallet_Contents'!$A$2:$A$3000,$A2)&gt;0,"Yes",""))</f>
        <v/>
      </c>
    </row>
    <row r="2254">
      <c r="W2254">
        <f>IF($A2="","",COUNTIF('07_Pallet_Contents'!$A$2:$A$3000,$A2))</f>
        <v/>
      </c>
      <c r="X2254">
        <f>IF($A2="","",SUMIF('07_Pallet_Contents'!$A$2:$A$3000,$A2,'07_Pallet_Contents'!$D$2:$D$3000))</f>
        <v/>
      </c>
      <c r="Y2254">
        <f>IF($A2="","",SUMIF('07_Pallet_Contents'!$A$2:$A$3000,$A2,'07_Pallet_Contents'!$I$2:$I$3000))</f>
        <v/>
      </c>
      <c r="Z2254">
        <f>IF($A2="","",IF(COUNTIF('07_Pallet_Contents'!$A$2:$A$3000,$A2)&gt;0,"Yes",""))</f>
        <v/>
      </c>
    </row>
    <row r="2255">
      <c r="W2255">
        <f>IF($A2="","",COUNTIF('07_Pallet_Contents'!$A$2:$A$3000,$A2))</f>
        <v/>
      </c>
      <c r="X2255">
        <f>IF($A2="","",SUMIF('07_Pallet_Contents'!$A$2:$A$3000,$A2,'07_Pallet_Contents'!$D$2:$D$3000))</f>
        <v/>
      </c>
      <c r="Y2255">
        <f>IF($A2="","",SUMIF('07_Pallet_Contents'!$A$2:$A$3000,$A2,'07_Pallet_Contents'!$I$2:$I$3000))</f>
        <v/>
      </c>
      <c r="Z2255">
        <f>IF($A2="","",IF(COUNTIF('07_Pallet_Contents'!$A$2:$A$3000,$A2)&gt;0,"Yes",""))</f>
        <v/>
      </c>
    </row>
    <row r="2256">
      <c r="W2256">
        <f>IF($A2="","",COUNTIF('07_Pallet_Contents'!$A$2:$A$3000,$A2))</f>
        <v/>
      </c>
      <c r="X2256">
        <f>IF($A2="","",SUMIF('07_Pallet_Contents'!$A$2:$A$3000,$A2,'07_Pallet_Contents'!$D$2:$D$3000))</f>
        <v/>
      </c>
      <c r="Y2256">
        <f>IF($A2="","",SUMIF('07_Pallet_Contents'!$A$2:$A$3000,$A2,'07_Pallet_Contents'!$I$2:$I$3000))</f>
        <v/>
      </c>
      <c r="Z2256">
        <f>IF($A2="","",IF(COUNTIF('07_Pallet_Contents'!$A$2:$A$3000,$A2)&gt;0,"Yes",""))</f>
        <v/>
      </c>
    </row>
    <row r="2257">
      <c r="W2257">
        <f>IF($A2="","",COUNTIF('07_Pallet_Contents'!$A$2:$A$3000,$A2))</f>
        <v/>
      </c>
      <c r="X2257">
        <f>IF($A2="","",SUMIF('07_Pallet_Contents'!$A$2:$A$3000,$A2,'07_Pallet_Contents'!$D$2:$D$3000))</f>
        <v/>
      </c>
      <c r="Y2257">
        <f>IF($A2="","",SUMIF('07_Pallet_Contents'!$A$2:$A$3000,$A2,'07_Pallet_Contents'!$I$2:$I$3000))</f>
        <v/>
      </c>
      <c r="Z2257">
        <f>IF($A2="","",IF(COUNTIF('07_Pallet_Contents'!$A$2:$A$3000,$A2)&gt;0,"Yes",""))</f>
        <v/>
      </c>
    </row>
    <row r="2258">
      <c r="W2258">
        <f>IF($A2="","",COUNTIF('07_Pallet_Contents'!$A$2:$A$3000,$A2))</f>
        <v/>
      </c>
      <c r="X2258">
        <f>IF($A2="","",SUMIF('07_Pallet_Contents'!$A$2:$A$3000,$A2,'07_Pallet_Contents'!$D$2:$D$3000))</f>
        <v/>
      </c>
      <c r="Y2258">
        <f>IF($A2="","",SUMIF('07_Pallet_Contents'!$A$2:$A$3000,$A2,'07_Pallet_Contents'!$I$2:$I$3000))</f>
        <v/>
      </c>
      <c r="Z2258">
        <f>IF($A2="","",IF(COUNTIF('07_Pallet_Contents'!$A$2:$A$3000,$A2)&gt;0,"Yes",""))</f>
        <v/>
      </c>
    </row>
    <row r="2259">
      <c r="W2259">
        <f>IF($A2="","",COUNTIF('07_Pallet_Contents'!$A$2:$A$3000,$A2))</f>
        <v/>
      </c>
      <c r="X2259">
        <f>IF($A2="","",SUMIF('07_Pallet_Contents'!$A$2:$A$3000,$A2,'07_Pallet_Contents'!$D$2:$D$3000))</f>
        <v/>
      </c>
      <c r="Y2259">
        <f>IF($A2="","",SUMIF('07_Pallet_Contents'!$A$2:$A$3000,$A2,'07_Pallet_Contents'!$I$2:$I$3000))</f>
        <v/>
      </c>
      <c r="Z2259">
        <f>IF($A2="","",IF(COUNTIF('07_Pallet_Contents'!$A$2:$A$3000,$A2)&gt;0,"Yes",""))</f>
        <v/>
      </c>
    </row>
    <row r="2260">
      <c r="W2260">
        <f>IF($A2="","",COUNTIF('07_Pallet_Contents'!$A$2:$A$3000,$A2))</f>
        <v/>
      </c>
      <c r="X2260">
        <f>IF($A2="","",SUMIF('07_Pallet_Contents'!$A$2:$A$3000,$A2,'07_Pallet_Contents'!$D$2:$D$3000))</f>
        <v/>
      </c>
      <c r="Y2260">
        <f>IF($A2="","",SUMIF('07_Pallet_Contents'!$A$2:$A$3000,$A2,'07_Pallet_Contents'!$I$2:$I$3000))</f>
        <v/>
      </c>
      <c r="Z2260">
        <f>IF($A2="","",IF(COUNTIF('07_Pallet_Contents'!$A$2:$A$3000,$A2)&gt;0,"Yes",""))</f>
        <v/>
      </c>
    </row>
    <row r="2261">
      <c r="W2261">
        <f>IF($A2="","",COUNTIF('07_Pallet_Contents'!$A$2:$A$3000,$A2))</f>
        <v/>
      </c>
      <c r="X2261">
        <f>IF($A2="","",SUMIF('07_Pallet_Contents'!$A$2:$A$3000,$A2,'07_Pallet_Contents'!$D$2:$D$3000))</f>
        <v/>
      </c>
      <c r="Y2261">
        <f>IF($A2="","",SUMIF('07_Pallet_Contents'!$A$2:$A$3000,$A2,'07_Pallet_Contents'!$I$2:$I$3000))</f>
        <v/>
      </c>
      <c r="Z2261">
        <f>IF($A2="","",IF(COUNTIF('07_Pallet_Contents'!$A$2:$A$3000,$A2)&gt;0,"Yes",""))</f>
        <v/>
      </c>
    </row>
    <row r="2262">
      <c r="W2262">
        <f>IF($A2="","",COUNTIF('07_Pallet_Contents'!$A$2:$A$3000,$A2))</f>
        <v/>
      </c>
      <c r="X2262">
        <f>IF($A2="","",SUMIF('07_Pallet_Contents'!$A$2:$A$3000,$A2,'07_Pallet_Contents'!$D$2:$D$3000))</f>
        <v/>
      </c>
      <c r="Y2262">
        <f>IF($A2="","",SUMIF('07_Pallet_Contents'!$A$2:$A$3000,$A2,'07_Pallet_Contents'!$I$2:$I$3000))</f>
        <v/>
      </c>
      <c r="Z2262">
        <f>IF($A2="","",IF(COUNTIF('07_Pallet_Contents'!$A$2:$A$3000,$A2)&gt;0,"Yes",""))</f>
        <v/>
      </c>
    </row>
    <row r="2263">
      <c r="W2263">
        <f>IF($A2="","",COUNTIF('07_Pallet_Contents'!$A$2:$A$3000,$A2))</f>
        <v/>
      </c>
      <c r="X2263">
        <f>IF($A2="","",SUMIF('07_Pallet_Contents'!$A$2:$A$3000,$A2,'07_Pallet_Contents'!$D$2:$D$3000))</f>
        <v/>
      </c>
      <c r="Y2263">
        <f>IF($A2="","",SUMIF('07_Pallet_Contents'!$A$2:$A$3000,$A2,'07_Pallet_Contents'!$I$2:$I$3000))</f>
        <v/>
      </c>
      <c r="Z2263">
        <f>IF($A2="","",IF(COUNTIF('07_Pallet_Contents'!$A$2:$A$3000,$A2)&gt;0,"Yes",""))</f>
        <v/>
      </c>
    </row>
    <row r="2264">
      <c r="W2264">
        <f>IF($A2="","",COUNTIF('07_Pallet_Contents'!$A$2:$A$3000,$A2))</f>
        <v/>
      </c>
      <c r="X2264">
        <f>IF($A2="","",SUMIF('07_Pallet_Contents'!$A$2:$A$3000,$A2,'07_Pallet_Contents'!$D$2:$D$3000))</f>
        <v/>
      </c>
      <c r="Y2264">
        <f>IF($A2="","",SUMIF('07_Pallet_Contents'!$A$2:$A$3000,$A2,'07_Pallet_Contents'!$I$2:$I$3000))</f>
        <v/>
      </c>
      <c r="Z2264">
        <f>IF($A2="","",IF(COUNTIF('07_Pallet_Contents'!$A$2:$A$3000,$A2)&gt;0,"Yes",""))</f>
        <v/>
      </c>
    </row>
    <row r="2265">
      <c r="W2265">
        <f>IF($A2="","",COUNTIF('07_Pallet_Contents'!$A$2:$A$3000,$A2))</f>
        <v/>
      </c>
      <c r="X2265">
        <f>IF($A2="","",SUMIF('07_Pallet_Contents'!$A$2:$A$3000,$A2,'07_Pallet_Contents'!$D$2:$D$3000))</f>
        <v/>
      </c>
      <c r="Y2265">
        <f>IF($A2="","",SUMIF('07_Pallet_Contents'!$A$2:$A$3000,$A2,'07_Pallet_Contents'!$I$2:$I$3000))</f>
        <v/>
      </c>
      <c r="Z2265">
        <f>IF($A2="","",IF(COUNTIF('07_Pallet_Contents'!$A$2:$A$3000,$A2)&gt;0,"Yes",""))</f>
        <v/>
      </c>
    </row>
    <row r="2266">
      <c r="W2266">
        <f>IF($A2="","",COUNTIF('07_Pallet_Contents'!$A$2:$A$3000,$A2))</f>
        <v/>
      </c>
      <c r="X2266">
        <f>IF($A2="","",SUMIF('07_Pallet_Contents'!$A$2:$A$3000,$A2,'07_Pallet_Contents'!$D$2:$D$3000))</f>
        <v/>
      </c>
      <c r="Y2266">
        <f>IF($A2="","",SUMIF('07_Pallet_Contents'!$A$2:$A$3000,$A2,'07_Pallet_Contents'!$I$2:$I$3000))</f>
        <v/>
      </c>
      <c r="Z2266">
        <f>IF($A2="","",IF(COUNTIF('07_Pallet_Contents'!$A$2:$A$3000,$A2)&gt;0,"Yes",""))</f>
        <v/>
      </c>
    </row>
    <row r="2267">
      <c r="W2267">
        <f>IF($A2="","",COUNTIF('07_Pallet_Contents'!$A$2:$A$3000,$A2))</f>
        <v/>
      </c>
      <c r="X2267">
        <f>IF($A2="","",SUMIF('07_Pallet_Contents'!$A$2:$A$3000,$A2,'07_Pallet_Contents'!$D$2:$D$3000))</f>
        <v/>
      </c>
      <c r="Y2267">
        <f>IF($A2="","",SUMIF('07_Pallet_Contents'!$A$2:$A$3000,$A2,'07_Pallet_Contents'!$I$2:$I$3000))</f>
        <v/>
      </c>
      <c r="Z2267">
        <f>IF($A2="","",IF(COUNTIF('07_Pallet_Contents'!$A$2:$A$3000,$A2)&gt;0,"Yes",""))</f>
        <v/>
      </c>
    </row>
    <row r="2268">
      <c r="W2268">
        <f>IF($A2="","",COUNTIF('07_Pallet_Contents'!$A$2:$A$3000,$A2))</f>
        <v/>
      </c>
      <c r="X2268">
        <f>IF($A2="","",SUMIF('07_Pallet_Contents'!$A$2:$A$3000,$A2,'07_Pallet_Contents'!$D$2:$D$3000))</f>
        <v/>
      </c>
      <c r="Y2268">
        <f>IF($A2="","",SUMIF('07_Pallet_Contents'!$A$2:$A$3000,$A2,'07_Pallet_Contents'!$I$2:$I$3000))</f>
        <v/>
      </c>
      <c r="Z2268">
        <f>IF($A2="","",IF(COUNTIF('07_Pallet_Contents'!$A$2:$A$3000,$A2)&gt;0,"Yes",""))</f>
        <v/>
      </c>
    </row>
    <row r="2269">
      <c r="W2269">
        <f>IF($A2="","",COUNTIF('07_Pallet_Contents'!$A$2:$A$3000,$A2))</f>
        <v/>
      </c>
      <c r="X2269">
        <f>IF($A2="","",SUMIF('07_Pallet_Contents'!$A$2:$A$3000,$A2,'07_Pallet_Contents'!$D$2:$D$3000))</f>
        <v/>
      </c>
      <c r="Y2269">
        <f>IF($A2="","",SUMIF('07_Pallet_Contents'!$A$2:$A$3000,$A2,'07_Pallet_Contents'!$I$2:$I$3000))</f>
        <v/>
      </c>
      <c r="Z2269">
        <f>IF($A2="","",IF(COUNTIF('07_Pallet_Contents'!$A$2:$A$3000,$A2)&gt;0,"Yes",""))</f>
        <v/>
      </c>
    </row>
    <row r="2270">
      <c r="W2270">
        <f>IF($A2="","",COUNTIF('07_Pallet_Contents'!$A$2:$A$3000,$A2))</f>
        <v/>
      </c>
      <c r="X2270">
        <f>IF($A2="","",SUMIF('07_Pallet_Contents'!$A$2:$A$3000,$A2,'07_Pallet_Contents'!$D$2:$D$3000))</f>
        <v/>
      </c>
      <c r="Y2270">
        <f>IF($A2="","",SUMIF('07_Pallet_Contents'!$A$2:$A$3000,$A2,'07_Pallet_Contents'!$I$2:$I$3000))</f>
        <v/>
      </c>
      <c r="Z2270">
        <f>IF($A2="","",IF(COUNTIF('07_Pallet_Contents'!$A$2:$A$3000,$A2)&gt;0,"Yes",""))</f>
        <v/>
      </c>
    </row>
    <row r="2271">
      <c r="W2271">
        <f>IF($A2="","",COUNTIF('07_Pallet_Contents'!$A$2:$A$3000,$A2))</f>
        <v/>
      </c>
      <c r="X2271">
        <f>IF($A2="","",SUMIF('07_Pallet_Contents'!$A$2:$A$3000,$A2,'07_Pallet_Contents'!$D$2:$D$3000))</f>
        <v/>
      </c>
      <c r="Y2271">
        <f>IF($A2="","",SUMIF('07_Pallet_Contents'!$A$2:$A$3000,$A2,'07_Pallet_Contents'!$I$2:$I$3000))</f>
        <v/>
      </c>
      <c r="Z2271">
        <f>IF($A2="","",IF(COUNTIF('07_Pallet_Contents'!$A$2:$A$3000,$A2)&gt;0,"Yes",""))</f>
        <v/>
      </c>
    </row>
    <row r="2272">
      <c r="W2272">
        <f>IF($A2="","",COUNTIF('07_Pallet_Contents'!$A$2:$A$3000,$A2))</f>
        <v/>
      </c>
      <c r="X2272">
        <f>IF($A2="","",SUMIF('07_Pallet_Contents'!$A$2:$A$3000,$A2,'07_Pallet_Contents'!$D$2:$D$3000))</f>
        <v/>
      </c>
      <c r="Y2272">
        <f>IF($A2="","",SUMIF('07_Pallet_Contents'!$A$2:$A$3000,$A2,'07_Pallet_Contents'!$I$2:$I$3000))</f>
        <v/>
      </c>
      <c r="Z2272">
        <f>IF($A2="","",IF(COUNTIF('07_Pallet_Contents'!$A$2:$A$3000,$A2)&gt;0,"Yes",""))</f>
        <v/>
      </c>
    </row>
    <row r="2273">
      <c r="W2273">
        <f>IF($A2="","",COUNTIF('07_Pallet_Contents'!$A$2:$A$3000,$A2))</f>
        <v/>
      </c>
      <c r="X2273">
        <f>IF($A2="","",SUMIF('07_Pallet_Contents'!$A$2:$A$3000,$A2,'07_Pallet_Contents'!$D$2:$D$3000))</f>
        <v/>
      </c>
      <c r="Y2273">
        <f>IF($A2="","",SUMIF('07_Pallet_Contents'!$A$2:$A$3000,$A2,'07_Pallet_Contents'!$I$2:$I$3000))</f>
        <v/>
      </c>
      <c r="Z2273">
        <f>IF($A2="","",IF(COUNTIF('07_Pallet_Contents'!$A$2:$A$3000,$A2)&gt;0,"Yes",""))</f>
        <v/>
      </c>
    </row>
    <row r="2274">
      <c r="W2274">
        <f>IF($A2="","",COUNTIF('07_Pallet_Contents'!$A$2:$A$3000,$A2))</f>
        <v/>
      </c>
      <c r="X2274">
        <f>IF($A2="","",SUMIF('07_Pallet_Contents'!$A$2:$A$3000,$A2,'07_Pallet_Contents'!$D$2:$D$3000))</f>
        <v/>
      </c>
      <c r="Y2274">
        <f>IF($A2="","",SUMIF('07_Pallet_Contents'!$A$2:$A$3000,$A2,'07_Pallet_Contents'!$I$2:$I$3000))</f>
        <v/>
      </c>
      <c r="Z2274">
        <f>IF($A2="","",IF(COUNTIF('07_Pallet_Contents'!$A$2:$A$3000,$A2)&gt;0,"Yes",""))</f>
        <v/>
      </c>
    </row>
    <row r="2275">
      <c r="W2275">
        <f>IF($A2="","",COUNTIF('07_Pallet_Contents'!$A$2:$A$3000,$A2))</f>
        <v/>
      </c>
      <c r="X2275">
        <f>IF($A2="","",SUMIF('07_Pallet_Contents'!$A$2:$A$3000,$A2,'07_Pallet_Contents'!$D$2:$D$3000))</f>
        <v/>
      </c>
      <c r="Y2275">
        <f>IF($A2="","",SUMIF('07_Pallet_Contents'!$A$2:$A$3000,$A2,'07_Pallet_Contents'!$I$2:$I$3000))</f>
        <v/>
      </c>
      <c r="Z2275">
        <f>IF($A2="","",IF(COUNTIF('07_Pallet_Contents'!$A$2:$A$3000,$A2)&gt;0,"Yes",""))</f>
        <v/>
      </c>
    </row>
    <row r="2276">
      <c r="W2276">
        <f>IF($A2="","",COUNTIF('07_Pallet_Contents'!$A$2:$A$3000,$A2))</f>
        <v/>
      </c>
      <c r="X2276">
        <f>IF($A2="","",SUMIF('07_Pallet_Contents'!$A$2:$A$3000,$A2,'07_Pallet_Contents'!$D$2:$D$3000))</f>
        <v/>
      </c>
      <c r="Y2276">
        <f>IF($A2="","",SUMIF('07_Pallet_Contents'!$A$2:$A$3000,$A2,'07_Pallet_Contents'!$I$2:$I$3000))</f>
        <v/>
      </c>
      <c r="Z2276">
        <f>IF($A2="","",IF(COUNTIF('07_Pallet_Contents'!$A$2:$A$3000,$A2)&gt;0,"Yes",""))</f>
        <v/>
      </c>
    </row>
    <row r="2277">
      <c r="W2277">
        <f>IF($A2="","",COUNTIF('07_Pallet_Contents'!$A$2:$A$3000,$A2))</f>
        <v/>
      </c>
      <c r="X2277">
        <f>IF($A2="","",SUMIF('07_Pallet_Contents'!$A$2:$A$3000,$A2,'07_Pallet_Contents'!$D$2:$D$3000))</f>
        <v/>
      </c>
      <c r="Y2277">
        <f>IF($A2="","",SUMIF('07_Pallet_Contents'!$A$2:$A$3000,$A2,'07_Pallet_Contents'!$I$2:$I$3000))</f>
        <v/>
      </c>
      <c r="Z2277">
        <f>IF($A2="","",IF(COUNTIF('07_Pallet_Contents'!$A$2:$A$3000,$A2)&gt;0,"Yes",""))</f>
        <v/>
      </c>
    </row>
    <row r="2278">
      <c r="W2278">
        <f>IF($A2="","",COUNTIF('07_Pallet_Contents'!$A$2:$A$3000,$A2))</f>
        <v/>
      </c>
      <c r="X2278">
        <f>IF($A2="","",SUMIF('07_Pallet_Contents'!$A$2:$A$3000,$A2,'07_Pallet_Contents'!$D$2:$D$3000))</f>
        <v/>
      </c>
      <c r="Y2278">
        <f>IF($A2="","",SUMIF('07_Pallet_Contents'!$A$2:$A$3000,$A2,'07_Pallet_Contents'!$I$2:$I$3000))</f>
        <v/>
      </c>
      <c r="Z2278">
        <f>IF($A2="","",IF(COUNTIF('07_Pallet_Contents'!$A$2:$A$3000,$A2)&gt;0,"Yes",""))</f>
        <v/>
      </c>
    </row>
    <row r="2279">
      <c r="W2279">
        <f>IF($A2="","",COUNTIF('07_Pallet_Contents'!$A$2:$A$3000,$A2))</f>
        <v/>
      </c>
      <c r="X2279">
        <f>IF($A2="","",SUMIF('07_Pallet_Contents'!$A$2:$A$3000,$A2,'07_Pallet_Contents'!$D$2:$D$3000))</f>
        <v/>
      </c>
      <c r="Y2279">
        <f>IF($A2="","",SUMIF('07_Pallet_Contents'!$A$2:$A$3000,$A2,'07_Pallet_Contents'!$I$2:$I$3000))</f>
        <v/>
      </c>
      <c r="Z2279">
        <f>IF($A2="","",IF(COUNTIF('07_Pallet_Contents'!$A$2:$A$3000,$A2)&gt;0,"Yes",""))</f>
        <v/>
      </c>
    </row>
    <row r="2280">
      <c r="W2280">
        <f>IF($A2="","",COUNTIF('07_Pallet_Contents'!$A$2:$A$3000,$A2))</f>
        <v/>
      </c>
      <c r="X2280">
        <f>IF($A2="","",SUMIF('07_Pallet_Contents'!$A$2:$A$3000,$A2,'07_Pallet_Contents'!$D$2:$D$3000))</f>
        <v/>
      </c>
      <c r="Y2280">
        <f>IF($A2="","",SUMIF('07_Pallet_Contents'!$A$2:$A$3000,$A2,'07_Pallet_Contents'!$I$2:$I$3000))</f>
        <v/>
      </c>
      <c r="Z2280">
        <f>IF($A2="","",IF(COUNTIF('07_Pallet_Contents'!$A$2:$A$3000,$A2)&gt;0,"Yes",""))</f>
        <v/>
      </c>
    </row>
    <row r="2281">
      <c r="W2281">
        <f>IF($A2="","",COUNTIF('07_Pallet_Contents'!$A$2:$A$3000,$A2))</f>
        <v/>
      </c>
      <c r="X2281">
        <f>IF($A2="","",SUMIF('07_Pallet_Contents'!$A$2:$A$3000,$A2,'07_Pallet_Contents'!$D$2:$D$3000))</f>
        <v/>
      </c>
      <c r="Y2281">
        <f>IF($A2="","",SUMIF('07_Pallet_Contents'!$A$2:$A$3000,$A2,'07_Pallet_Contents'!$I$2:$I$3000))</f>
        <v/>
      </c>
      <c r="Z2281">
        <f>IF($A2="","",IF(COUNTIF('07_Pallet_Contents'!$A$2:$A$3000,$A2)&gt;0,"Yes",""))</f>
        <v/>
      </c>
    </row>
    <row r="2282">
      <c r="W2282">
        <f>IF($A2="","",COUNTIF('07_Pallet_Contents'!$A$2:$A$3000,$A2))</f>
        <v/>
      </c>
      <c r="X2282">
        <f>IF($A2="","",SUMIF('07_Pallet_Contents'!$A$2:$A$3000,$A2,'07_Pallet_Contents'!$D$2:$D$3000))</f>
        <v/>
      </c>
      <c r="Y2282">
        <f>IF($A2="","",SUMIF('07_Pallet_Contents'!$A$2:$A$3000,$A2,'07_Pallet_Contents'!$I$2:$I$3000))</f>
        <v/>
      </c>
      <c r="Z2282">
        <f>IF($A2="","",IF(COUNTIF('07_Pallet_Contents'!$A$2:$A$3000,$A2)&gt;0,"Yes",""))</f>
        <v/>
      </c>
    </row>
    <row r="2283">
      <c r="W2283">
        <f>IF($A2="","",COUNTIF('07_Pallet_Contents'!$A$2:$A$3000,$A2))</f>
        <v/>
      </c>
      <c r="X2283">
        <f>IF($A2="","",SUMIF('07_Pallet_Contents'!$A$2:$A$3000,$A2,'07_Pallet_Contents'!$D$2:$D$3000))</f>
        <v/>
      </c>
      <c r="Y2283">
        <f>IF($A2="","",SUMIF('07_Pallet_Contents'!$A$2:$A$3000,$A2,'07_Pallet_Contents'!$I$2:$I$3000))</f>
        <v/>
      </c>
      <c r="Z2283">
        <f>IF($A2="","",IF(COUNTIF('07_Pallet_Contents'!$A$2:$A$3000,$A2)&gt;0,"Yes",""))</f>
        <v/>
      </c>
    </row>
    <row r="2284">
      <c r="W2284">
        <f>IF($A2="","",COUNTIF('07_Pallet_Contents'!$A$2:$A$3000,$A2))</f>
        <v/>
      </c>
      <c r="X2284">
        <f>IF($A2="","",SUMIF('07_Pallet_Contents'!$A$2:$A$3000,$A2,'07_Pallet_Contents'!$D$2:$D$3000))</f>
        <v/>
      </c>
      <c r="Y2284">
        <f>IF($A2="","",SUMIF('07_Pallet_Contents'!$A$2:$A$3000,$A2,'07_Pallet_Contents'!$I$2:$I$3000))</f>
        <v/>
      </c>
      <c r="Z2284">
        <f>IF($A2="","",IF(COUNTIF('07_Pallet_Contents'!$A$2:$A$3000,$A2)&gt;0,"Yes",""))</f>
        <v/>
      </c>
    </row>
    <row r="2285">
      <c r="W2285">
        <f>IF($A2="","",COUNTIF('07_Pallet_Contents'!$A$2:$A$3000,$A2))</f>
        <v/>
      </c>
      <c r="X2285">
        <f>IF($A2="","",SUMIF('07_Pallet_Contents'!$A$2:$A$3000,$A2,'07_Pallet_Contents'!$D$2:$D$3000))</f>
        <v/>
      </c>
      <c r="Y2285">
        <f>IF($A2="","",SUMIF('07_Pallet_Contents'!$A$2:$A$3000,$A2,'07_Pallet_Contents'!$I$2:$I$3000))</f>
        <v/>
      </c>
      <c r="Z2285">
        <f>IF($A2="","",IF(COUNTIF('07_Pallet_Contents'!$A$2:$A$3000,$A2)&gt;0,"Yes",""))</f>
        <v/>
      </c>
    </row>
    <row r="2286">
      <c r="W2286">
        <f>IF($A2="","",COUNTIF('07_Pallet_Contents'!$A$2:$A$3000,$A2))</f>
        <v/>
      </c>
      <c r="X2286">
        <f>IF($A2="","",SUMIF('07_Pallet_Contents'!$A$2:$A$3000,$A2,'07_Pallet_Contents'!$D$2:$D$3000))</f>
        <v/>
      </c>
      <c r="Y2286">
        <f>IF($A2="","",SUMIF('07_Pallet_Contents'!$A$2:$A$3000,$A2,'07_Pallet_Contents'!$I$2:$I$3000))</f>
        <v/>
      </c>
      <c r="Z2286">
        <f>IF($A2="","",IF(COUNTIF('07_Pallet_Contents'!$A$2:$A$3000,$A2)&gt;0,"Yes",""))</f>
        <v/>
      </c>
    </row>
    <row r="2287">
      <c r="W2287">
        <f>IF($A2="","",COUNTIF('07_Pallet_Contents'!$A$2:$A$3000,$A2))</f>
        <v/>
      </c>
      <c r="X2287">
        <f>IF($A2="","",SUMIF('07_Pallet_Contents'!$A$2:$A$3000,$A2,'07_Pallet_Contents'!$D$2:$D$3000))</f>
        <v/>
      </c>
      <c r="Y2287">
        <f>IF($A2="","",SUMIF('07_Pallet_Contents'!$A$2:$A$3000,$A2,'07_Pallet_Contents'!$I$2:$I$3000))</f>
        <v/>
      </c>
      <c r="Z2287">
        <f>IF($A2="","",IF(COUNTIF('07_Pallet_Contents'!$A$2:$A$3000,$A2)&gt;0,"Yes",""))</f>
        <v/>
      </c>
    </row>
    <row r="2288">
      <c r="W2288">
        <f>IF($A2="","",COUNTIF('07_Pallet_Contents'!$A$2:$A$3000,$A2))</f>
        <v/>
      </c>
      <c r="X2288">
        <f>IF($A2="","",SUMIF('07_Pallet_Contents'!$A$2:$A$3000,$A2,'07_Pallet_Contents'!$D$2:$D$3000))</f>
        <v/>
      </c>
      <c r="Y2288">
        <f>IF($A2="","",SUMIF('07_Pallet_Contents'!$A$2:$A$3000,$A2,'07_Pallet_Contents'!$I$2:$I$3000))</f>
        <v/>
      </c>
      <c r="Z2288">
        <f>IF($A2="","",IF(COUNTIF('07_Pallet_Contents'!$A$2:$A$3000,$A2)&gt;0,"Yes",""))</f>
        <v/>
      </c>
    </row>
    <row r="2289">
      <c r="W2289">
        <f>IF($A2="","",COUNTIF('07_Pallet_Contents'!$A$2:$A$3000,$A2))</f>
        <v/>
      </c>
      <c r="X2289">
        <f>IF($A2="","",SUMIF('07_Pallet_Contents'!$A$2:$A$3000,$A2,'07_Pallet_Contents'!$D$2:$D$3000))</f>
        <v/>
      </c>
      <c r="Y2289">
        <f>IF($A2="","",SUMIF('07_Pallet_Contents'!$A$2:$A$3000,$A2,'07_Pallet_Contents'!$I$2:$I$3000))</f>
        <v/>
      </c>
      <c r="Z2289">
        <f>IF($A2="","",IF(COUNTIF('07_Pallet_Contents'!$A$2:$A$3000,$A2)&gt;0,"Yes",""))</f>
        <v/>
      </c>
    </row>
    <row r="2290">
      <c r="W2290">
        <f>IF($A2="","",COUNTIF('07_Pallet_Contents'!$A$2:$A$3000,$A2))</f>
        <v/>
      </c>
      <c r="X2290">
        <f>IF($A2="","",SUMIF('07_Pallet_Contents'!$A$2:$A$3000,$A2,'07_Pallet_Contents'!$D$2:$D$3000))</f>
        <v/>
      </c>
      <c r="Y2290">
        <f>IF($A2="","",SUMIF('07_Pallet_Contents'!$A$2:$A$3000,$A2,'07_Pallet_Contents'!$I$2:$I$3000))</f>
        <v/>
      </c>
      <c r="Z2290">
        <f>IF($A2="","",IF(COUNTIF('07_Pallet_Contents'!$A$2:$A$3000,$A2)&gt;0,"Yes",""))</f>
        <v/>
      </c>
    </row>
    <row r="2291">
      <c r="W2291">
        <f>IF($A2="","",COUNTIF('07_Pallet_Contents'!$A$2:$A$3000,$A2))</f>
        <v/>
      </c>
      <c r="X2291">
        <f>IF($A2="","",SUMIF('07_Pallet_Contents'!$A$2:$A$3000,$A2,'07_Pallet_Contents'!$D$2:$D$3000))</f>
        <v/>
      </c>
      <c r="Y2291">
        <f>IF($A2="","",SUMIF('07_Pallet_Contents'!$A$2:$A$3000,$A2,'07_Pallet_Contents'!$I$2:$I$3000))</f>
        <v/>
      </c>
      <c r="Z2291">
        <f>IF($A2="","",IF(COUNTIF('07_Pallet_Contents'!$A$2:$A$3000,$A2)&gt;0,"Yes",""))</f>
        <v/>
      </c>
    </row>
    <row r="2292">
      <c r="W2292">
        <f>IF($A2="","",COUNTIF('07_Pallet_Contents'!$A$2:$A$3000,$A2))</f>
        <v/>
      </c>
      <c r="X2292">
        <f>IF($A2="","",SUMIF('07_Pallet_Contents'!$A$2:$A$3000,$A2,'07_Pallet_Contents'!$D$2:$D$3000))</f>
        <v/>
      </c>
      <c r="Y2292">
        <f>IF($A2="","",SUMIF('07_Pallet_Contents'!$A$2:$A$3000,$A2,'07_Pallet_Contents'!$I$2:$I$3000))</f>
        <v/>
      </c>
      <c r="Z2292">
        <f>IF($A2="","",IF(COUNTIF('07_Pallet_Contents'!$A$2:$A$3000,$A2)&gt;0,"Yes",""))</f>
        <v/>
      </c>
    </row>
    <row r="2293">
      <c r="W2293">
        <f>IF($A2="","",COUNTIF('07_Pallet_Contents'!$A$2:$A$3000,$A2))</f>
        <v/>
      </c>
      <c r="X2293">
        <f>IF($A2="","",SUMIF('07_Pallet_Contents'!$A$2:$A$3000,$A2,'07_Pallet_Contents'!$D$2:$D$3000))</f>
        <v/>
      </c>
      <c r="Y2293">
        <f>IF($A2="","",SUMIF('07_Pallet_Contents'!$A$2:$A$3000,$A2,'07_Pallet_Contents'!$I$2:$I$3000))</f>
        <v/>
      </c>
      <c r="Z2293">
        <f>IF($A2="","",IF(COUNTIF('07_Pallet_Contents'!$A$2:$A$3000,$A2)&gt;0,"Yes",""))</f>
        <v/>
      </c>
    </row>
    <row r="2294">
      <c r="W2294">
        <f>IF($A2="","",COUNTIF('07_Pallet_Contents'!$A$2:$A$3000,$A2))</f>
        <v/>
      </c>
      <c r="X2294">
        <f>IF($A2="","",SUMIF('07_Pallet_Contents'!$A$2:$A$3000,$A2,'07_Pallet_Contents'!$D$2:$D$3000))</f>
        <v/>
      </c>
      <c r="Y2294">
        <f>IF($A2="","",SUMIF('07_Pallet_Contents'!$A$2:$A$3000,$A2,'07_Pallet_Contents'!$I$2:$I$3000))</f>
        <v/>
      </c>
      <c r="Z2294">
        <f>IF($A2="","",IF(COUNTIF('07_Pallet_Contents'!$A$2:$A$3000,$A2)&gt;0,"Yes",""))</f>
        <v/>
      </c>
    </row>
    <row r="2295">
      <c r="W2295">
        <f>IF($A2="","",COUNTIF('07_Pallet_Contents'!$A$2:$A$3000,$A2))</f>
        <v/>
      </c>
      <c r="X2295">
        <f>IF($A2="","",SUMIF('07_Pallet_Contents'!$A$2:$A$3000,$A2,'07_Pallet_Contents'!$D$2:$D$3000))</f>
        <v/>
      </c>
      <c r="Y2295">
        <f>IF($A2="","",SUMIF('07_Pallet_Contents'!$A$2:$A$3000,$A2,'07_Pallet_Contents'!$I$2:$I$3000))</f>
        <v/>
      </c>
      <c r="Z2295">
        <f>IF($A2="","",IF(COUNTIF('07_Pallet_Contents'!$A$2:$A$3000,$A2)&gt;0,"Yes",""))</f>
        <v/>
      </c>
    </row>
    <row r="2296">
      <c r="W2296">
        <f>IF($A2="","",COUNTIF('07_Pallet_Contents'!$A$2:$A$3000,$A2))</f>
        <v/>
      </c>
      <c r="X2296">
        <f>IF($A2="","",SUMIF('07_Pallet_Contents'!$A$2:$A$3000,$A2,'07_Pallet_Contents'!$D$2:$D$3000))</f>
        <v/>
      </c>
      <c r="Y2296">
        <f>IF($A2="","",SUMIF('07_Pallet_Contents'!$A$2:$A$3000,$A2,'07_Pallet_Contents'!$I$2:$I$3000))</f>
        <v/>
      </c>
      <c r="Z2296">
        <f>IF($A2="","",IF(COUNTIF('07_Pallet_Contents'!$A$2:$A$3000,$A2)&gt;0,"Yes",""))</f>
        <v/>
      </c>
    </row>
    <row r="2297">
      <c r="W2297">
        <f>IF($A2="","",COUNTIF('07_Pallet_Contents'!$A$2:$A$3000,$A2))</f>
        <v/>
      </c>
      <c r="X2297">
        <f>IF($A2="","",SUMIF('07_Pallet_Contents'!$A$2:$A$3000,$A2,'07_Pallet_Contents'!$D$2:$D$3000))</f>
        <v/>
      </c>
      <c r="Y2297">
        <f>IF($A2="","",SUMIF('07_Pallet_Contents'!$A$2:$A$3000,$A2,'07_Pallet_Contents'!$I$2:$I$3000))</f>
        <v/>
      </c>
      <c r="Z2297">
        <f>IF($A2="","",IF(COUNTIF('07_Pallet_Contents'!$A$2:$A$3000,$A2)&gt;0,"Yes",""))</f>
        <v/>
      </c>
    </row>
    <row r="2298">
      <c r="W2298">
        <f>IF($A2="","",COUNTIF('07_Pallet_Contents'!$A$2:$A$3000,$A2))</f>
        <v/>
      </c>
      <c r="X2298">
        <f>IF($A2="","",SUMIF('07_Pallet_Contents'!$A$2:$A$3000,$A2,'07_Pallet_Contents'!$D$2:$D$3000))</f>
        <v/>
      </c>
      <c r="Y2298">
        <f>IF($A2="","",SUMIF('07_Pallet_Contents'!$A$2:$A$3000,$A2,'07_Pallet_Contents'!$I$2:$I$3000))</f>
        <v/>
      </c>
      <c r="Z2298">
        <f>IF($A2="","",IF(COUNTIF('07_Pallet_Contents'!$A$2:$A$3000,$A2)&gt;0,"Yes",""))</f>
        <v/>
      </c>
    </row>
    <row r="2299">
      <c r="W2299">
        <f>IF($A2="","",COUNTIF('07_Pallet_Contents'!$A$2:$A$3000,$A2))</f>
        <v/>
      </c>
      <c r="X2299">
        <f>IF($A2="","",SUMIF('07_Pallet_Contents'!$A$2:$A$3000,$A2,'07_Pallet_Contents'!$D$2:$D$3000))</f>
        <v/>
      </c>
      <c r="Y2299">
        <f>IF($A2="","",SUMIF('07_Pallet_Contents'!$A$2:$A$3000,$A2,'07_Pallet_Contents'!$I$2:$I$3000))</f>
        <v/>
      </c>
      <c r="Z2299">
        <f>IF($A2="","",IF(COUNTIF('07_Pallet_Contents'!$A$2:$A$3000,$A2)&gt;0,"Yes",""))</f>
        <v/>
      </c>
    </row>
    <row r="2300">
      <c r="W2300">
        <f>IF($A2="","",COUNTIF('07_Pallet_Contents'!$A$2:$A$3000,$A2))</f>
        <v/>
      </c>
      <c r="X2300">
        <f>IF($A2="","",SUMIF('07_Pallet_Contents'!$A$2:$A$3000,$A2,'07_Pallet_Contents'!$D$2:$D$3000))</f>
        <v/>
      </c>
      <c r="Y2300">
        <f>IF($A2="","",SUMIF('07_Pallet_Contents'!$A$2:$A$3000,$A2,'07_Pallet_Contents'!$I$2:$I$3000))</f>
        <v/>
      </c>
      <c r="Z2300">
        <f>IF($A2="","",IF(COUNTIF('07_Pallet_Contents'!$A$2:$A$3000,$A2)&gt;0,"Yes",""))</f>
        <v/>
      </c>
    </row>
    <row r="2301">
      <c r="W2301">
        <f>IF($A2="","",COUNTIF('07_Pallet_Contents'!$A$2:$A$3000,$A2))</f>
        <v/>
      </c>
      <c r="X2301">
        <f>IF($A2="","",SUMIF('07_Pallet_Contents'!$A$2:$A$3000,$A2,'07_Pallet_Contents'!$D$2:$D$3000))</f>
        <v/>
      </c>
      <c r="Y2301">
        <f>IF($A2="","",SUMIF('07_Pallet_Contents'!$A$2:$A$3000,$A2,'07_Pallet_Contents'!$I$2:$I$3000))</f>
        <v/>
      </c>
      <c r="Z2301">
        <f>IF($A2="","",IF(COUNTIF('07_Pallet_Contents'!$A$2:$A$3000,$A2)&gt;0,"Yes",""))</f>
        <v/>
      </c>
    </row>
    <row r="2302">
      <c r="W2302">
        <f>IF($A2="","",COUNTIF('07_Pallet_Contents'!$A$2:$A$3000,$A2))</f>
        <v/>
      </c>
      <c r="X2302">
        <f>IF($A2="","",SUMIF('07_Pallet_Contents'!$A$2:$A$3000,$A2,'07_Pallet_Contents'!$D$2:$D$3000))</f>
        <v/>
      </c>
      <c r="Y2302">
        <f>IF($A2="","",SUMIF('07_Pallet_Contents'!$A$2:$A$3000,$A2,'07_Pallet_Contents'!$I$2:$I$3000))</f>
        <v/>
      </c>
      <c r="Z2302">
        <f>IF($A2="","",IF(COUNTIF('07_Pallet_Contents'!$A$2:$A$3000,$A2)&gt;0,"Yes",""))</f>
        <v/>
      </c>
    </row>
    <row r="2303">
      <c r="W2303">
        <f>IF($A2="","",COUNTIF('07_Pallet_Contents'!$A$2:$A$3000,$A2))</f>
        <v/>
      </c>
      <c r="X2303">
        <f>IF($A2="","",SUMIF('07_Pallet_Contents'!$A$2:$A$3000,$A2,'07_Pallet_Contents'!$D$2:$D$3000))</f>
        <v/>
      </c>
      <c r="Y2303">
        <f>IF($A2="","",SUMIF('07_Pallet_Contents'!$A$2:$A$3000,$A2,'07_Pallet_Contents'!$I$2:$I$3000))</f>
        <v/>
      </c>
      <c r="Z2303">
        <f>IF($A2="","",IF(COUNTIF('07_Pallet_Contents'!$A$2:$A$3000,$A2)&gt;0,"Yes",""))</f>
        <v/>
      </c>
    </row>
    <row r="2304">
      <c r="W2304">
        <f>IF($A2="","",COUNTIF('07_Pallet_Contents'!$A$2:$A$3000,$A2))</f>
        <v/>
      </c>
      <c r="X2304">
        <f>IF($A2="","",SUMIF('07_Pallet_Contents'!$A$2:$A$3000,$A2,'07_Pallet_Contents'!$D$2:$D$3000))</f>
        <v/>
      </c>
      <c r="Y2304">
        <f>IF($A2="","",SUMIF('07_Pallet_Contents'!$A$2:$A$3000,$A2,'07_Pallet_Contents'!$I$2:$I$3000))</f>
        <v/>
      </c>
      <c r="Z2304">
        <f>IF($A2="","",IF(COUNTIF('07_Pallet_Contents'!$A$2:$A$3000,$A2)&gt;0,"Yes",""))</f>
        <v/>
      </c>
    </row>
    <row r="2305">
      <c r="W2305">
        <f>IF($A2="","",COUNTIF('07_Pallet_Contents'!$A$2:$A$3000,$A2))</f>
        <v/>
      </c>
      <c r="X2305">
        <f>IF($A2="","",SUMIF('07_Pallet_Contents'!$A$2:$A$3000,$A2,'07_Pallet_Contents'!$D$2:$D$3000))</f>
        <v/>
      </c>
      <c r="Y2305">
        <f>IF($A2="","",SUMIF('07_Pallet_Contents'!$A$2:$A$3000,$A2,'07_Pallet_Contents'!$I$2:$I$3000))</f>
        <v/>
      </c>
      <c r="Z2305">
        <f>IF($A2="","",IF(COUNTIF('07_Pallet_Contents'!$A$2:$A$3000,$A2)&gt;0,"Yes",""))</f>
        <v/>
      </c>
    </row>
    <row r="2306">
      <c r="W2306">
        <f>IF($A2="","",COUNTIF('07_Pallet_Contents'!$A$2:$A$3000,$A2))</f>
        <v/>
      </c>
      <c r="X2306">
        <f>IF($A2="","",SUMIF('07_Pallet_Contents'!$A$2:$A$3000,$A2,'07_Pallet_Contents'!$D$2:$D$3000))</f>
        <v/>
      </c>
      <c r="Y2306">
        <f>IF($A2="","",SUMIF('07_Pallet_Contents'!$A$2:$A$3000,$A2,'07_Pallet_Contents'!$I$2:$I$3000))</f>
        <v/>
      </c>
      <c r="Z2306">
        <f>IF($A2="","",IF(COUNTIF('07_Pallet_Contents'!$A$2:$A$3000,$A2)&gt;0,"Yes",""))</f>
        <v/>
      </c>
    </row>
    <row r="2307">
      <c r="W2307">
        <f>IF($A2="","",COUNTIF('07_Pallet_Contents'!$A$2:$A$3000,$A2))</f>
        <v/>
      </c>
      <c r="X2307">
        <f>IF($A2="","",SUMIF('07_Pallet_Contents'!$A$2:$A$3000,$A2,'07_Pallet_Contents'!$D$2:$D$3000))</f>
        <v/>
      </c>
      <c r="Y2307">
        <f>IF($A2="","",SUMIF('07_Pallet_Contents'!$A$2:$A$3000,$A2,'07_Pallet_Contents'!$I$2:$I$3000))</f>
        <v/>
      </c>
      <c r="Z2307">
        <f>IF($A2="","",IF(COUNTIF('07_Pallet_Contents'!$A$2:$A$3000,$A2)&gt;0,"Yes",""))</f>
        <v/>
      </c>
    </row>
    <row r="2308">
      <c r="W2308">
        <f>IF($A2="","",COUNTIF('07_Pallet_Contents'!$A$2:$A$3000,$A2))</f>
        <v/>
      </c>
      <c r="X2308">
        <f>IF($A2="","",SUMIF('07_Pallet_Contents'!$A$2:$A$3000,$A2,'07_Pallet_Contents'!$D$2:$D$3000))</f>
        <v/>
      </c>
      <c r="Y2308">
        <f>IF($A2="","",SUMIF('07_Pallet_Contents'!$A$2:$A$3000,$A2,'07_Pallet_Contents'!$I$2:$I$3000))</f>
        <v/>
      </c>
      <c r="Z2308">
        <f>IF($A2="","",IF(COUNTIF('07_Pallet_Contents'!$A$2:$A$3000,$A2)&gt;0,"Yes",""))</f>
        <v/>
      </c>
    </row>
    <row r="2309">
      <c r="W2309">
        <f>IF($A2="","",COUNTIF('07_Pallet_Contents'!$A$2:$A$3000,$A2))</f>
        <v/>
      </c>
      <c r="X2309">
        <f>IF($A2="","",SUMIF('07_Pallet_Contents'!$A$2:$A$3000,$A2,'07_Pallet_Contents'!$D$2:$D$3000))</f>
        <v/>
      </c>
      <c r="Y2309">
        <f>IF($A2="","",SUMIF('07_Pallet_Contents'!$A$2:$A$3000,$A2,'07_Pallet_Contents'!$I$2:$I$3000))</f>
        <v/>
      </c>
      <c r="Z2309">
        <f>IF($A2="","",IF(COUNTIF('07_Pallet_Contents'!$A$2:$A$3000,$A2)&gt;0,"Yes",""))</f>
        <v/>
      </c>
    </row>
    <row r="2310">
      <c r="W2310">
        <f>IF($A2="","",COUNTIF('07_Pallet_Contents'!$A$2:$A$3000,$A2))</f>
        <v/>
      </c>
      <c r="X2310">
        <f>IF($A2="","",SUMIF('07_Pallet_Contents'!$A$2:$A$3000,$A2,'07_Pallet_Contents'!$D$2:$D$3000))</f>
        <v/>
      </c>
      <c r="Y2310">
        <f>IF($A2="","",SUMIF('07_Pallet_Contents'!$A$2:$A$3000,$A2,'07_Pallet_Contents'!$I$2:$I$3000))</f>
        <v/>
      </c>
      <c r="Z2310">
        <f>IF($A2="","",IF(COUNTIF('07_Pallet_Contents'!$A$2:$A$3000,$A2)&gt;0,"Yes",""))</f>
        <v/>
      </c>
    </row>
    <row r="2311">
      <c r="W2311">
        <f>IF($A2="","",COUNTIF('07_Pallet_Contents'!$A$2:$A$3000,$A2))</f>
        <v/>
      </c>
      <c r="X2311">
        <f>IF($A2="","",SUMIF('07_Pallet_Contents'!$A$2:$A$3000,$A2,'07_Pallet_Contents'!$D$2:$D$3000))</f>
        <v/>
      </c>
      <c r="Y2311">
        <f>IF($A2="","",SUMIF('07_Pallet_Contents'!$A$2:$A$3000,$A2,'07_Pallet_Contents'!$I$2:$I$3000))</f>
        <v/>
      </c>
      <c r="Z2311">
        <f>IF($A2="","",IF(COUNTIF('07_Pallet_Contents'!$A$2:$A$3000,$A2)&gt;0,"Yes",""))</f>
        <v/>
      </c>
    </row>
    <row r="2312">
      <c r="W2312">
        <f>IF($A2="","",COUNTIF('07_Pallet_Contents'!$A$2:$A$3000,$A2))</f>
        <v/>
      </c>
      <c r="X2312">
        <f>IF($A2="","",SUMIF('07_Pallet_Contents'!$A$2:$A$3000,$A2,'07_Pallet_Contents'!$D$2:$D$3000))</f>
        <v/>
      </c>
      <c r="Y2312">
        <f>IF($A2="","",SUMIF('07_Pallet_Contents'!$A$2:$A$3000,$A2,'07_Pallet_Contents'!$I$2:$I$3000))</f>
        <v/>
      </c>
      <c r="Z2312">
        <f>IF($A2="","",IF(COUNTIF('07_Pallet_Contents'!$A$2:$A$3000,$A2)&gt;0,"Yes",""))</f>
        <v/>
      </c>
    </row>
    <row r="2313">
      <c r="W2313">
        <f>IF($A2="","",COUNTIF('07_Pallet_Contents'!$A$2:$A$3000,$A2))</f>
        <v/>
      </c>
      <c r="X2313">
        <f>IF($A2="","",SUMIF('07_Pallet_Contents'!$A$2:$A$3000,$A2,'07_Pallet_Contents'!$D$2:$D$3000))</f>
        <v/>
      </c>
      <c r="Y2313">
        <f>IF($A2="","",SUMIF('07_Pallet_Contents'!$A$2:$A$3000,$A2,'07_Pallet_Contents'!$I$2:$I$3000))</f>
        <v/>
      </c>
      <c r="Z2313">
        <f>IF($A2="","",IF(COUNTIF('07_Pallet_Contents'!$A$2:$A$3000,$A2)&gt;0,"Yes",""))</f>
        <v/>
      </c>
    </row>
    <row r="2314">
      <c r="W2314">
        <f>IF($A2="","",COUNTIF('07_Pallet_Contents'!$A$2:$A$3000,$A2))</f>
        <v/>
      </c>
      <c r="X2314">
        <f>IF($A2="","",SUMIF('07_Pallet_Contents'!$A$2:$A$3000,$A2,'07_Pallet_Contents'!$D$2:$D$3000))</f>
        <v/>
      </c>
      <c r="Y2314">
        <f>IF($A2="","",SUMIF('07_Pallet_Contents'!$A$2:$A$3000,$A2,'07_Pallet_Contents'!$I$2:$I$3000))</f>
        <v/>
      </c>
      <c r="Z2314">
        <f>IF($A2="","",IF(COUNTIF('07_Pallet_Contents'!$A$2:$A$3000,$A2)&gt;0,"Yes",""))</f>
        <v/>
      </c>
    </row>
    <row r="2315">
      <c r="W2315">
        <f>IF($A2="","",COUNTIF('07_Pallet_Contents'!$A$2:$A$3000,$A2))</f>
        <v/>
      </c>
      <c r="X2315">
        <f>IF($A2="","",SUMIF('07_Pallet_Contents'!$A$2:$A$3000,$A2,'07_Pallet_Contents'!$D$2:$D$3000))</f>
        <v/>
      </c>
      <c r="Y2315">
        <f>IF($A2="","",SUMIF('07_Pallet_Contents'!$A$2:$A$3000,$A2,'07_Pallet_Contents'!$I$2:$I$3000))</f>
        <v/>
      </c>
      <c r="Z2315">
        <f>IF($A2="","",IF(COUNTIF('07_Pallet_Contents'!$A$2:$A$3000,$A2)&gt;0,"Yes",""))</f>
        <v/>
      </c>
    </row>
    <row r="2316">
      <c r="W2316">
        <f>IF($A2="","",COUNTIF('07_Pallet_Contents'!$A$2:$A$3000,$A2))</f>
        <v/>
      </c>
      <c r="X2316">
        <f>IF($A2="","",SUMIF('07_Pallet_Contents'!$A$2:$A$3000,$A2,'07_Pallet_Contents'!$D$2:$D$3000))</f>
        <v/>
      </c>
      <c r="Y2316">
        <f>IF($A2="","",SUMIF('07_Pallet_Contents'!$A$2:$A$3000,$A2,'07_Pallet_Contents'!$I$2:$I$3000))</f>
        <v/>
      </c>
      <c r="Z2316">
        <f>IF($A2="","",IF(COUNTIF('07_Pallet_Contents'!$A$2:$A$3000,$A2)&gt;0,"Yes",""))</f>
        <v/>
      </c>
    </row>
    <row r="2317">
      <c r="W2317">
        <f>IF($A2="","",COUNTIF('07_Pallet_Contents'!$A$2:$A$3000,$A2))</f>
        <v/>
      </c>
      <c r="X2317">
        <f>IF($A2="","",SUMIF('07_Pallet_Contents'!$A$2:$A$3000,$A2,'07_Pallet_Contents'!$D$2:$D$3000))</f>
        <v/>
      </c>
      <c r="Y2317">
        <f>IF($A2="","",SUMIF('07_Pallet_Contents'!$A$2:$A$3000,$A2,'07_Pallet_Contents'!$I$2:$I$3000))</f>
        <v/>
      </c>
      <c r="Z2317">
        <f>IF($A2="","",IF(COUNTIF('07_Pallet_Contents'!$A$2:$A$3000,$A2)&gt;0,"Yes",""))</f>
        <v/>
      </c>
    </row>
    <row r="2318">
      <c r="W2318">
        <f>IF($A2="","",COUNTIF('07_Pallet_Contents'!$A$2:$A$3000,$A2))</f>
        <v/>
      </c>
      <c r="X2318">
        <f>IF($A2="","",SUMIF('07_Pallet_Contents'!$A$2:$A$3000,$A2,'07_Pallet_Contents'!$D$2:$D$3000))</f>
        <v/>
      </c>
      <c r="Y2318">
        <f>IF($A2="","",SUMIF('07_Pallet_Contents'!$A$2:$A$3000,$A2,'07_Pallet_Contents'!$I$2:$I$3000))</f>
        <v/>
      </c>
      <c r="Z2318">
        <f>IF($A2="","",IF(COUNTIF('07_Pallet_Contents'!$A$2:$A$3000,$A2)&gt;0,"Yes",""))</f>
        <v/>
      </c>
    </row>
    <row r="2319">
      <c r="W2319">
        <f>IF($A2="","",COUNTIF('07_Pallet_Contents'!$A$2:$A$3000,$A2))</f>
        <v/>
      </c>
      <c r="X2319">
        <f>IF($A2="","",SUMIF('07_Pallet_Contents'!$A$2:$A$3000,$A2,'07_Pallet_Contents'!$D$2:$D$3000))</f>
        <v/>
      </c>
      <c r="Y2319">
        <f>IF($A2="","",SUMIF('07_Pallet_Contents'!$A$2:$A$3000,$A2,'07_Pallet_Contents'!$I$2:$I$3000))</f>
        <v/>
      </c>
      <c r="Z2319">
        <f>IF($A2="","",IF(COUNTIF('07_Pallet_Contents'!$A$2:$A$3000,$A2)&gt;0,"Yes",""))</f>
        <v/>
      </c>
    </row>
    <row r="2320">
      <c r="W2320">
        <f>IF($A2="","",COUNTIF('07_Pallet_Contents'!$A$2:$A$3000,$A2))</f>
        <v/>
      </c>
      <c r="X2320">
        <f>IF($A2="","",SUMIF('07_Pallet_Contents'!$A$2:$A$3000,$A2,'07_Pallet_Contents'!$D$2:$D$3000))</f>
        <v/>
      </c>
      <c r="Y2320">
        <f>IF($A2="","",SUMIF('07_Pallet_Contents'!$A$2:$A$3000,$A2,'07_Pallet_Contents'!$I$2:$I$3000))</f>
        <v/>
      </c>
      <c r="Z2320">
        <f>IF($A2="","",IF(COUNTIF('07_Pallet_Contents'!$A$2:$A$3000,$A2)&gt;0,"Yes",""))</f>
        <v/>
      </c>
    </row>
    <row r="2321">
      <c r="W2321">
        <f>IF($A2="","",COUNTIF('07_Pallet_Contents'!$A$2:$A$3000,$A2))</f>
        <v/>
      </c>
      <c r="X2321">
        <f>IF($A2="","",SUMIF('07_Pallet_Contents'!$A$2:$A$3000,$A2,'07_Pallet_Contents'!$D$2:$D$3000))</f>
        <v/>
      </c>
      <c r="Y2321">
        <f>IF($A2="","",SUMIF('07_Pallet_Contents'!$A$2:$A$3000,$A2,'07_Pallet_Contents'!$I$2:$I$3000))</f>
        <v/>
      </c>
      <c r="Z2321">
        <f>IF($A2="","",IF(COUNTIF('07_Pallet_Contents'!$A$2:$A$3000,$A2)&gt;0,"Yes",""))</f>
        <v/>
      </c>
    </row>
    <row r="2322">
      <c r="W2322">
        <f>IF($A2="","",COUNTIF('07_Pallet_Contents'!$A$2:$A$3000,$A2))</f>
        <v/>
      </c>
      <c r="X2322">
        <f>IF($A2="","",SUMIF('07_Pallet_Contents'!$A$2:$A$3000,$A2,'07_Pallet_Contents'!$D$2:$D$3000))</f>
        <v/>
      </c>
      <c r="Y2322">
        <f>IF($A2="","",SUMIF('07_Pallet_Contents'!$A$2:$A$3000,$A2,'07_Pallet_Contents'!$I$2:$I$3000))</f>
        <v/>
      </c>
      <c r="Z2322">
        <f>IF($A2="","",IF(COUNTIF('07_Pallet_Contents'!$A$2:$A$3000,$A2)&gt;0,"Yes",""))</f>
        <v/>
      </c>
    </row>
    <row r="2323">
      <c r="W2323">
        <f>IF($A2="","",COUNTIF('07_Pallet_Contents'!$A$2:$A$3000,$A2))</f>
        <v/>
      </c>
      <c r="X2323">
        <f>IF($A2="","",SUMIF('07_Pallet_Contents'!$A$2:$A$3000,$A2,'07_Pallet_Contents'!$D$2:$D$3000))</f>
        <v/>
      </c>
      <c r="Y2323">
        <f>IF($A2="","",SUMIF('07_Pallet_Contents'!$A$2:$A$3000,$A2,'07_Pallet_Contents'!$I$2:$I$3000))</f>
        <v/>
      </c>
      <c r="Z2323">
        <f>IF($A2="","",IF(COUNTIF('07_Pallet_Contents'!$A$2:$A$3000,$A2)&gt;0,"Yes",""))</f>
        <v/>
      </c>
    </row>
    <row r="2324">
      <c r="W2324">
        <f>IF($A2="","",COUNTIF('07_Pallet_Contents'!$A$2:$A$3000,$A2))</f>
        <v/>
      </c>
      <c r="X2324">
        <f>IF($A2="","",SUMIF('07_Pallet_Contents'!$A$2:$A$3000,$A2,'07_Pallet_Contents'!$D$2:$D$3000))</f>
        <v/>
      </c>
      <c r="Y2324">
        <f>IF($A2="","",SUMIF('07_Pallet_Contents'!$A$2:$A$3000,$A2,'07_Pallet_Contents'!$I$2:$I$3000))</f>
        <v/>
      </c>
      <c r="Z2324">
        <f>IF($A2="","",IF(COUNTIF('07_Pallet_Contents'!$A$2:$A$3000,$A2)&gt;0,"Yes",""))</f>
        <v/>
      </c>
    </row>
    <row r="2325">
      <c r="W2325">
        <f>IF($A2="","",COUNTIF('07_Pallet_Contents'!$A$2:$A$3000,$A2))</f>
        <v/>
      </c>
      <c r="X2325">
        <f>IF($A2="","",SUMIF('07_Pallet_Contents'!$A$2:$A$3000,$A2,'07_Pallet_Contents'!$D$2:$D$3000))</f>
        <v/>
      </c>
      <c r="Y2325">
        <f>IF($A2="","",SUMIF('07_Pallet_Contents'!$A$2:$A$3000,$A2,'07_Pallet_Contents'!$I$2:$I$3000))</f>
        <v/>
      </c>
      <c r="Z2325">
        <f>IF($A2="","",IF(COUNTIF('07_Pallet_Contents'!$A$2:$A$3000,$A2)&gt;0,"Yes",""))</f>
        <v/>
      </c>
    </row>
    <row r="2326">
      <c r="W2326">
        <f>IF($A2="","",COUNTIF('07_Pallet_Contents'!$A$2:$A$3000,$A2))</f>
        <v/>
      </c>
      <c r="X2326">
        <f>IF($A2="","",SUMIF('07_Pallet_Contents'!$A$2:$A$3000,$A2,'07_Pallet_Contents'!$D$2:$D$3000))</f>
        <v/>
      </c>
      <c r="Y2326">
        <f>IF($A2="","",SUMIF('07_Pallet_Contents'!$A$2:$A$3000,$A2,'07_Pallet_Contents'!$I$2:$I$3000))</f>
        <v/>
      </c>
      <c r="Z2326">
        <f>IF($A2="","",IF(COUNTIF('07_Pallet_Contents'!$A$2:$A$3000,$A2)&gt;0,"Yes",""))</f>
        <v/>
      </c>
    </row>
    <row r="2327">
      <c r="W2327">
        <f>IF($A2="","",COUNTIF('07_Pallet_Contents'!$A$2:$A$3000,$A2))</f>
        <v/>
      </c>
      <c r="X2327">
        <f>IF($A2="","",SUMIF('07_Pallet_Contents'!$A$2:$A$3000,$A2,'07_Pallet_Contents'!$D$2:$D$3000))</f>
        <v/>
      </c>
      <c r="Y2327">
        <f>IF($A2="","",SUMIF('07_Pallet_Contents'!$A$2:$A$3000,$A2,'07_Pallet_Contents'!$I$2:$I$3000))</f>
        <v/>
      </c>
      <c r="Z2327">
        <f>IF($A2="","",IF(COUNTIF('07_Pallet_Contents'!$A$2:$A$3000,$A2)&gt;0,"Yes",""))</f>
        <v/>
      </c>
    </row>
    <row r="2328">
      <c r="W2328">
        <f>IF($A2="","",COUNTIF('07_Pallet_Contents'!$A$2:$A$3000,$A2))</f>
        <v/>
      </c>
      <c r="X2328">
        <f>IF($A2="","",SUMIF('07_Pallet_Contents'!$A$2:$A$3000,$A2,'07_Pallet_Contents'!$D$2:$D$3000))</f>
        <v/>
      </c>
      <c r="Y2328">
        <f>IF($A2="","",SUMIF('07_Pallet_Contents'!$A$2:$A$3000,$A2,'07_Pallet_Contents'!$I$2:$I$3000))</f>
        <v/>
      </c>
      <c r="Z2328">
        <f>IF($A2="","",IF(COUNTIF('07_Pallet_Contents'!$A$2:$A$3000,$A2)&gt;0,"Yes",""))</f>
        <v/>
      </c>
    </row>
    <row r="2329">
      <c r="W2329">
        <f>IF($A2="","",COUNTIF('07_Pallet_Contents'!$A$2:$A$3000,$A2))</f>
        <v/>
      </c>
      <c r="X2329">
        <f>IF($A2="","",SUMIF('07_Pallet_Contents'!$A$2:$A$3000,$A2,'07_Pallet_Contents'!$D$2:$D$3000))</f>
        <v/>
      </c>
      <c r="Y2329">
        <f>IF($A2="","",SUMIF('07_Pallet_Contents'!$A$2:$A$3000,$A2,'07_Pallet_Contents'!$I$2:$I$3000))</f>
        <v/>
      </c>
      <c r="Z2329">
        <f>IF($A2="","",IF(COUNTIF('07_Pallet_Contents'!$A$2:$A$3000,$A2)&gt;0,"Yes",""))</f>
        <v/>
      </c>
    </row>
    <row r="2330">
      <c r="W2330">
        <f>IF($A2="","",COUNTIF('07_Pallet_Contents'!$A$2:$A$3000,$A2))</f>
        <v/>
      </c>
      <c r="X2330">
        <f>IF($A2="","",SUMIF('07_Pallet_Contents'!$A$2:$A$3000,$A2,'07_Pallet_Contents'!$D$2:$D$3000))</f>
        <v/>
      </c>
      <c r="Y2330">
        <f>IF($A2="","",SUMIF('07_Pallet_Contents'!$A$2:$A$3000,$A2,'07_Pallet_Contents'!$I$2:$I$3000))</f>
        <v/>
      </c>
      <c r="Z2330">
        <f>IF($A2="","",IF(COUNTIF('07_Pallet_Contents'!$A$2:$A$3000,$A2)&gt;0,"Yes",""))</f>
        <v/>
      </c>
    </row>
    <row r="2331">
      <c r="W2331">
        <f>IF($A2="","",COUNTIF('07_Pallet_Contents'!$A$2:$A$3000,$A2))</f>
        <v/>
      </c>
      <c r="X2331">
        <f>IF($A2="","",SUMIF('07_Pallet_Contents'!$A$2:$A$3000,$A2,'07_Pallet_Contents'!$D$2:$D$3000))</f>
        <v/>
      </c>
      <c r="Y2331">
        <f>IF($A2="","",SUMIF('07_Pallet_Contents'!$A$2:$A$3000,$A2,'07_Pallet_Contents'!$I$2:$I$3000))</f>
        <v/>
      </c>
      <c r="Z2331">
        <f>IF($A2="","",IF(COUNTIF('07_Pallet_Contents'!$A$2:$A$3000,$A2)&gt;0,"Yes",""))</f>
        <v/>
      </c>
    </row>
    <row r="2332">
      <c r="W2332">
        <f>IF($A2="","",COUNTIF('07_Pallet_Contents'!$A$2:$A$3000,$A2))</f>
        <v/>
      </c>
      <c r="X2332">
        <f>IF($A2="","",SUMIF('07_Pallet_Contents'!$A$2:$A$3000,$A2,'07_Pallet_Contents'!$D$2:$D$3000))</f>
        <v/>
      </c>
      <c r="Y2332">
        <f>IF($A2="","",SUMIF('07_Pallet_Contents'!$A$2:$A$3000,$A2,'07_Pallet_Contents'!$I$2:$I$3000))</f>
        <v/>
      </c>
      <c r="Z2332">
        <f>IF($A2="","",IF(COUNTIF('07_Pallet_Contents'!$A$2:$A$3000,$A2)&gt;0,"Yes",""))</f>
        <v/>
      </c>
    </row>
    <row r="2333">
      <c r="W2333">
        <f>IF($A2="","",COUNTIF('07_Pallet_Contents'!$A$2:$A$3000,$A2))</f>
        <v/>
      </c>
      <c r="X2333">
        <f>IF($A2="","",SUMIF('07_Pallet_Contents'!$A$2:$A$3000,$A2,'07_Pallet_Contents'!$D$2:$D$3000))</f>
        <v/>
      </c>
      <c r="Y2333">
        <f>IF($A2="","",SUMIF('07_Pallet_Contents'!$A$2:$A$3000,$A2,'07_Pallet_Contents'!$I$2:$I$3000))</f>
        <v/>
      </c>
      <c r="Z2333">
        <f>IF($A2="","",IF(COUNTIF('07_Pallet_Contents'!$A$2:$A$3000,$A2)&gt;0,"Yes",""))</f>
        <v/>
      </c>
    </row>
    <row r="2334">
      <c r="W2334">
        <f>IF($A2="","",COUNTIF('07_Pallet_Contents'!$A$2:$A$3000,$A2))</f>
        <v/>
      </c>
      <c r="X2334">
        <f>IF($A2="","",SUMIF('07_Pallet_Contents'!$A$2:$A$3000,$A2,'07_Pallet_Contents'!$D$2:$D$3000))</f>
        <v/>
      </c>
      <c r="Y2334">
        <f>IF($A2="","",SUMIF('07_Pallet_Contents'!$A$2:$A$3000,$A2,'07_Pallet_Contents'!$I$2:$I$3000))</f>
        <v/>
      </c>
      <c r="Z2334">
        <f>IF($A2="","",IF(COUNTIF('07_Pallet_Contents'!$A$2:$A$3000,$A2)&gt;0,"Yes",""))</f>
        <v/>
      </c>
    </row>
    <row r="2335">
      <c r="W2335">
        <f>IF($A2="","",COUNTIF('07_Pallet_Contents'!$A$2:$A$3000,$A2))</f>
        <v/>
      </c>
      <c r="X2335">
        <f>IF($A2="","",SUMIF('07_Pallet_Contents'!$A$2:$A$3000,$A2,'07_Pallet_Contents'!$D$2:$D$3000))</f>
        <v/>
      </c>
      <c r="Y2335">
        <f>IF($A2="","",SUMIF('07_Pallet_Contents'!$A$2:$A$3000,$A2,'07_Pallet_Contents'!$I$2:$I$3000))</f>
        <v/>
      </c>
      <c r="Z2335">
        <f>IF($A2="","",IF(COUNTIF('07_Pallet_Contents'!$A$2:$A$3000,$A2)&gt;0,"Yes",""))</f>
        <v/>
      </c>
    </row>
    <row r="2336">
      <c r="W2336">
        <f>IF($A2="","",COUNTIF('07_Pallet_Contents'!$A$2:$A$3000,$A2))</f>
        <v/>
      </c>
      <c r="X2336">
        <f>IF($A2="","",SUMIF('07_Pallet_Contents'!$A$2:$A$3000,$A2,'07_Pallet_Contents'!$D$2:$D$3000))</f>
        <v/>
      </c>
      <c r="Y2336">
        <f>IF($A2="","",SUMIF('07_Pallet_Contents'!$A$2:$A$3000,$A2,'07_Pallet_Contents'!$I$2:$I$3000))</f>
        <v/>
      </c>
      <c r="Z2336">
        <f>IF($A2="","",IF(COUNTIF('07_Pallet_Contents'!$A$2:$A$3000,$A2)&gt;0,"Yes",""))</f>
        <v/>
      </c>
    </row>
    <row r="2337">
      <c r="W2337">
        <f>IF($A2="","",COUNTIF('07_Pallet_Contents'!$A$2:$A$3000,$A2))</f>
        <v/>
      </c>
      <c r="X2337">
        <f>IF($A2="","",SUMIF('07_Pallet_Contents'!$A$2:$A$3000,$A2,'07_Pallet_Contents'!$D$2:$D$3000))</f>
        <v/>
      </c>
      <c r="Y2337">
        <f>IF($A2="","",SUMIF('07_Pallet_Contents'!$A$2:$A$3000,$A2,'07_Pallet_Contents'!$I$2:$I$3000))</f>
        <v/>
      </c>
      <c r="Z2337">
        <f>IF($A2="","",IF(COUNTIF('07_Pallet_Contents'!$A$2:$A$3000,$A2)&gt;0,"Yes",""))</f>
        <v/>
      </c>
    </row>
    <row r="2338">
      <c r="W2338">
        <f>IF($A2="","",COUNTIF('07_Pallet_Contents'!$A$2:$A$3000,$A2))</f>
        <v/>
      </c>
      <c r="X2338">
        <f>IF($A2="","",SUMIF('07_Pallet_Contents'!$A$2:$A$3000,$A2,'07_Pallet_Contents'!$D$2:$D$3000))</f>
        <v/>
      </c>
      <c r="Y2338">
        <f>IF($A2="","",SUMIF('07_Pallet_Contents'!$A$2:$A$3000,$A2,'07_Pallet_Contents'!$I$2:$I$3000))</f>
        <v/>
      </c>
      <c r="Z2338">
        <f>IF($A2="","",IF(COUNTIF('07_Pallet_Contents'!$A$2:$A$3000,$A2)&gt;0,"Yes",""))</f>
        <v/>
      </c>
    </row>
    <row r="2339">
      <c r="W2339">
        <f>IF($A2="","",COUNTIF('07_Pallet_Contents'!$A$2:$A$3000,$A2))</f>
        <v/>
      </c>
      <c r="X2339">
        <f>IF($A2="","",SUMIF('07_Pallet_Contents'!$A$2:$A$3000,$A2,'07_Pallet_Contents'!$D$2:$D$3000))</f>
        <v/>
      </c>
      <c r="Y2339">
        <f>IF($A2="","",SUMIF('07_Pallet_Contents'!$A$2:$A$3000,$A2,'07_Pallet_Contents'!$I$2:$I$3000))</f>
        <v/>
      </c>
      <c r="Z2339">
        <f>IF($A2="","",IF(COUNTIF('07_Pallet_Contents'!$A$2:$A$3000,$A2)&gt;0,"Yes",""))</f>
        <v/>
      </c>
    </row>
    <row r="2340">
      <c r="W2340">
        <f>IF($A2="","",COUNTIF('07_Pallet_Contents'!$A$2:$A$3000,$A2))</f>
        <v/>
      </c>
      <c r="X2340">
        <f>IF($A2="","",SUMIF('07_Pallet_Contents'!$A$2:$A$3000,$A2,'07_Pallet_Contents'!$D$2:$D$3000))</f>
        <v/>
      </c>
      <c r="Y2340">
        <f>IF($A2="","",SUMIF('07_Pallet_Contents'!$A$2:$A$3000,$A2,'07_Pallet_Contents'!$I$2:$I$3000))</f>
        <v/>
      </c>
      <c r="Z2340">
        <f>IF($A2="","",IF(COUNTIF('07_Pallet_Contents'!$A$2:$A$3000,$A2)&gt;0,"Yes",""))</f>
        <v/>
      </c>
    </row>
    <row r="2341">
      <c r="W2341">
        <f>IF($A2="","",COUNTIF('07_Pallet_Contents'!$A$2:$A$3000,$A2))</f>
        <v/>
      </c>
      <c r="X2341">
        <f>IF($A2="","",SUMIF('07_Pallet_Contents'!$A$2:$A$3000,$A2,'07_Pallet_Contents'!$D$2:$D$3000))</f>
        <v/>
      </c>
      <c r="Y2341">
        <f>IF($A2="","",SUMIF('07_Pallet_Contents'!$A$2:$A$3000,$A2,'07_Pallet_Contents'!$I$2:$I$3000))</f>
        <v/>
      </c>
      <c r="Z2341">
        <f>IF($A2="","",IF(COUNTIF('07_Pallet_Contents'!$A$2:$A$3000,$A2)&gt;0,"Yes",""))</f>
        <v/>
      </c>
    </row>
    <row r="2342">
      <c r="W2342">
        <f>IF($A2="","",COUNTIF('07_Pallet_Contents'!$A$2:$A$3000,$A2))</f>
        <v/>
      </c>
      <c r="X2342">
        <f>IF($A2="","",SUMIF('07_Pallet_Contents'!$A$2:$A$3000,$A2,'07_Pallet_Contents'!$D$2:$D$3000))</f>
        <v/>
      </c>
      <c r="Y2342">
        <f>IF($A2="","",SUMIF('07_Pallet_Contents'!$A$2:$A$3000,$A2,'07_Pallet_Contents'!$I$2:$I$3000))</f>
        <v/>
      </c>
      <c r="Z2342">
        <f>IF($A2="","",IF(COUNTIF('07_Pallet_Contents'!$A$2:$A$3000,$A2)&gt;0,"Yes",""))</f>
        <v/>
      </c>
    </row>
    <row r="2343">
      <c r="W2343">
        <f>IF($A2="","",COUNTIF('07_Pallet_Contents'!$A$2:$A$3000,$A2))</f>
        <v/>
      </c>
      <c r="X2343">
        <f>IF($A2="","",SUMIF('07_Pallet_Contents'!$A$2:$A$3000,$A2,'07_Pallet_Contents'!$D$2:$D$3000))</f>
        <v/>
      </c>
      <c r="Y2343">
        <f>IF($A2="","",SUMIF('07_Pallet_Contents'!$A$2:$A$3000,$A2,'07_Pallet_Contents'!$I$2:$I$3000))</f>
        <v/>
      </c>
      <c r="Z2343">
        <f>IF($A2="","",IF(COUNTIF('07_Pallet_Contents'!$A$2:$A$3000,$A2)&gt;0,"Yes",""))</f>
        <v/>
      </c>
    </row>
    <row r="2344">
      <c r="W2344">
        <f>IF($A2="","",COUNTIF('07_Pallet_Contents'!$A$2:$A$3000,$A2))</f>
        <v/>
      </c>
      <c r="X2344">
        <f>IF($A2="","",SUMIF('07_Pallet_Contents'!$A$2:$A$3000,$A2,'07_Pallet_Contents'!$D$2:$D$3000))</f>
        <v/>
      </c>
      <c r="Y2344">
        <f>IF($A2="","",SUMIF('07_Pallet_Contents'!$A$2:$A$3000,$A2,'07_Pallet_Contents'!$I$2:$I$3000))</f>
        <v/>
      </c>
      <c r="Z2344">
        <f>IF($A2="","",IF(COUNTIF('07_Pallet_Contents'!$A$2:$A$3000,$A2)&gt;0,"Yes",""))</f>
        <v/>
      </c>
    </row>
    <row r="2345">
      <c r="W2345">
        <f>IF($A2="","",COUNTIF('07_Pallet_Contents'!$A$2:$A$3000,$A2))</f>
        <v/>
      </c>
      <c r="X2345">
        <f>IF($A2="","",SUMIF('07_Pallet_Contents'!$A$2:$A$3000,$A2,'07_Pallet_Contents'!$D$2:$D$3000))</f>
        <v/>
      </c>
      <c r="Y2345">
        <f>IF($A2="","",SUMIF('07_Pallet_Contents'!$A$2:$A$3000,$A2,'07_Pallet_Contents'!$I$2:$I$3000))</f>
        <v/>
      </c>
      <c r="Z2345">
        <f>IF($A2="","",IF(COUNTIF('07_Pallet_Contents'!$A$2:$A$3000,$A2)&gt;0,"Yes",""))</f>
        <v/>
      </c>
    </row>
    <row r="2346">
      <c r="W2346">
        <f>IF($A2="","",COUNTIF('07_Pallet_Contents'!$A$2:$A$3000,$A2))</f>
        <v/>
      </c>
      <c r="X2346">
        <f>IF($A2="","",SUMIF('07_Pallet_Contents'!$A$2:$A$3000,$A2,'07_Pallet_Contents'!$D$2:$D$3000))</f>
        <v/>
      </c>
      <c r="Y2346">
        <f>IF($A2="","",SUMIF('07_Pallet_Contents'!$A$2:$A$3000,$A2,'07_Pallet_Contents'!$I$2:$I$3000))</f>
        <v/>
      </c>
      <c r="Z2346">
        <f>IF($A2="","",IF(COUNTIF('07_Pallet_Contents'!$A$2:$A$3000,$A2)&gt;0,"Yes",""))</f>
        <v/>
      </c>
    </row>
    <row r="2347">
      <c r="W2347">
        <f>IF($A2="","",COUNTIF('07_Pallet_Contents'!$A$2:$A$3000,$A2))</f>
        <v/>
      </c>
      <c r="X2347">
        <f>IF($A2="","",SUMIF('07_Pallet_Contents'!$A$2:$A$3000,$A2,'07_Pallet_Contents'!$D$2:$D$3000))</f>
        <v/>
      </c>
      <c r="Y2347">
        <f>IF($A2="","",SUMIF('07_Pallet_Contents'!$A$2:$A$3000,$A2,'07_Pallet_Contents'!$I$2:$I$3000))</f>
        <v/>
      </c>
      <c r="Z2347">
        <f>IF($A2="","",IF(COUNTIF('07_Pallet_Contents'!$A$2:$A$3000,$A2)&gt;0,"Yes",""))</f>
        <v/>
      </c>
    </row>
    <row r="2348">
      <c r="W2348">
        <f>IF($A2="","",COUNTIF('07_Pallet_Contents'!$A$2:$A$3000,$A2))</f>
        <v/>
      </c>
      <c r="X2348">
        <f>IF($A2="","",SUMIF('07_Pallet_Contents'!$A$2:$A$3000,$A2,'07_Pallet_Contents'!$D$2:$D$3000))</f>
        <v/>
      </c>
      <c r="Y2348">
        <f>IF($A2="","",SUMIF('07_Pallet_Contents'!$A$2:$A$3000,$A2,'07_Pallet_Contents'!$I$2:$I$3000))</f>
        <v/>
      </c>
      <c r="Z2348">
        <f>IF($A2="","",IF(COUNTIF('07_Pallet_Contents'!$A$2:$A$3000,$A2)&gt;0,"Yes",""))</f>
        <v/>
      </c>
    </row>
    <row r="2349">
      <c r="W2349">
        <f>IF($A2="","",COUNTIF('07_Pallet_Contents'!$A$2:$A$3000,$A2))</f>
        <v/>
      </c>
      <c r="X2349">
        <f>IF($A2="","",SUMIF('07_Pallet_Contents'!$A$2:$A$3000,$A2,'07_Pallet_Contents'!$D$2:$D$3000))</f>
        <v/>
      </c>
      <c r="Y2349">
        <f>IF($A2="","",SUMIF('07_Pallet_Contents'!$A$2:$A$3000,$A2,'07_Pallet_Contents'!$I$2:$I$3000))</f>
        <v/>
      </c>
      <c r="Z2349">
        <f>IF($A2="","",IF(COUNTIF('07_Pallet_Contents'!$A$2:$A$3000,$A2)&gt;0,"Yes",""))</f>
        <v/>
      </c>
    </row>
    <row r="2350">
      <c r="W2350">
        <f>IF($A2="","",COUNTIF('07_Pallet_Contents'!$A$2:$A$3000,$A2))</f>
        <v/>
      </c>
      <c r="X2350">
        <f>IF($A2="","",SUMIF('07_Pallet_Contents'!$A$2:$A$3000,$A2,'07_Pallet_Contents'!$D$2:$D$3000))</f>
        <v/>
      </c>
      <c r="Y2350">
        <f>IF($A2="","",SUMIF('07_Pallet_Contents'!$A$2:$A$3000,$A2,'07_Pallet_Contents'!$I$2:$I$3000))</f>
        <v/>
      </c>
      <c r="Z2350">
        <f>IF($A2="","",IF(COUNTIF('07_Pallet_Contents'!$A$2:$A$3000,$A2)&gt;0,"Yes",""))</f>
        <v/>
      </c>
    </row>
    <row r="2351">
      <c r="W2351">
        <f>IF($A2="","",COUNTIF('07_Pallet_Contents'!$A$2:$A$3000,$A2))</f>
        <v/>
      </c>
      <c r="X2351">
        <f>IF($A2="","",SUMIF('07_Pallet_Contents'!$A$2:$A$3000,$A2,'07_Pallet_Contents'!$D$2:$D$3000))</f>
        <v/>
      </c>
      <c r="Y2351">
        <f>IF($A2="","",SUMIF('07_Pallet_Contents'!$A$2:$A$3000,$A2,'07_Pallet_Contents'!$I$2:$I$3000))</f>
        <v/>
      </c>
      <c r="Z2351">
        <f>IF($A2="","",IF(COUNTIF('07_Pallet_Contents'!$A$2:$A$3000,$A2)&gt;0,"Yes",""))</f>
        <v/>
      </c>
    </row>
    <row r="2352">
      <c r="W2352">
        <f>IF($A2="","",COUNTIF('07_Pallet_Contents'!$A$2:$A$3000,$A2))</f>
        <v/>
      </c>
      <c r="X2352">
        <f>IF($A2="","",SUMIF('07_Pallet_Contents'!$A$2:$A$3000,$A2,'07_Pallet_Contents'!$D$2:$D$3000))</f>
        <v/>
      </c>
      <c r="Y2352">
        <f>IF($A2="","",SUMIF('07_Pallet_Contents'!$A$2:$A$3000,$A2,'07_Pallet_Contents'!$I$2:$I$3000))</f>
        <v/>
      </c>
      <c r="Z2352">
        <f>IF($A2="","",IF(COUNTIF('07_Pallet_Contents'!$A$2:$A$3000,$A2)&gt;0,"Yes",""))</f>
        <v/>
      </c>
    </row>
    <row r="2353">
      <c r="W2353">
        <f>IF($A2="","",COUNTIF('07_Pallet_Contents'!$A$2:$A$3000,$A2))</f>
        <v/>
      </c>
      <c r="X2353">
        <f>IF($A2="","",SUMIF('07_Pallet_Contents'!$A$2:$A$3000,$A2,'07_Pallet_Contents'!$D$2:$D$3000))</f>
        <v/>
      </c>
      <c r="Y2353">
        <f>IF($A2="","",SUMIF('07_Pallet_Contents'!$A$2:$A$3000,$A2,'07_Pallet_Contents'!$I$2:$I$3000))</f>
        <v/>
      </c>
      <c r="Z2353">
        <f>IF($A2="","",IF(COUNTIF('07_Pallet_Contents'!$A$2:$A$3000,$A2)&gt;0,"Yes",""))</f>
        <v/>
      </c>
    </row>
    <row r="2354">
      <c r="W2354">
        <f>IF($A2="","",COUNTIF('07_Pallet_Contents'!$A$2:$A$3000,$A2))</f>
        <v/>
      </c>
      <c r="X2354">
        <f>IF($A2="","",SUMIF('07_Pallet_Contents'!$A$2:$A$3000,$A2,'07_Pallet_Contents'!$D$2:$D$3000))</f>
        <v/>
      </c>
      <c r="Y2354">
        <f>IF($A2="","",SUMIF('07_Pallet_Contents'!$A$2:$A$3000,$A2,'07_Pallet_Contents'!$I$2:$I$3000))</f>
        <v/>
      </c>
      <c r="Z2354">
        <f>IF($A2="","",IF(COUNTIF('07_Pallet_Contents'!$A$2:$A$3000,$A2)&gt;0,"Yes",""))</f>
        <v/>
      </c>
    </row>
    <row r="2355">
      <c r="W2355">
        <f>IF($A2="","",COUNTIF('07_Pallet_Contents'!$A$2:$A$3000,$A2))</f>
        <v/>
      </c>
      <c r="X2355">
        <f>IF($A2="","",SUMIF('07_Pallet_Contents'!$A$2:$A$3000,$A2,'07_Pallet_Contents'!$D$2:$D$3000))</f>
        <v/>
      </c>
      <c r="Y2355">
        <f>IF($A2="","",SUMIF('07_Pallet_Contents'!$A$2:$A$3000,$A2,'07_Pallet_Contents'!$I$2:$I$3000))</f>
        <v/>
      </c>
      <c r="Z2355">
        <f>IF($A2="","",IF(COUNTIF('07_Pallet_Contents'!$A$2:$A$3000,$A2)&gt;0,"Yes",""))</f>
        <v/>
      </c>
    </row>
    <row r="2356">
      <c r="W2356">
        <f>IF($A2="","",COUNTIF('07_Pallet_Contents'!$A$2:$A$3000,$A2))</f>
        <v/>
      </c>
      <c r="X2356">
        <f>IF($A2="","",SUMIF('07_Pallet_Contents'!$A$2:$A$3000,$A2,'07_Pallet_Contents'!$D$2:$D$3000))</f>
        <v/>
      </c>
      <c r="Y2356">
        <f>IF($A2="","",SUMIF('07_Pallet_Contents'!$A$2:$A$3000,$A2,'07_Pallet_Contents'!$I$2:$I$3000))</f>
        <v/>
      </c>
      <c r="Z2356">
        <f>IF($A2="","",IF(COUNTIF('07_Pallet_Contents'!$A$2:$A$3000,$A2)&gt;0,"Yes",""))</f>
        <v/>
      </c>
    </row>
    <row r="2357">
      <c r="W2357">
        <f>IF($A2="","",COUNTIF('07_Pallet_Contents'!$A$2:$A$3000,$A2))</f>
        <v/>
      </c>
      <c r="X2357">
        <f>IF($A2="","",SUMIF('07_Pallet_Contents'!$A$2:$A$3000,$A2,'07_Pallet_Contents'!$D$2:$D$3000))</f>
        <v/>
      </c>
      <c r="Y2357">
        <f>IF($A2="","",SUMIF('07_Pallet_Contents'!$A$2:$A$3000,$A2,'07_Pallet_Contents'!$I$2:$I$3000))</f>
        <v/>
      </c>
      <c r="Z2357">
        <f>IF($A2="","",IF(COUNTIF('07_Pallet_Contents'!$A$2:$A$3000,$A2)&gt;0,"Yes",""))</f>
        <v/>
      </c>
    </row>
    <row r="2358">
      <c r="W2358">
        <f>IF($A2="","",COUNTIF('07_Pallet_Contents'!$A$2:$A$3000,$A2))</f>
        <v/>
      </c>
      <c r="X2358">
        <f>IF($A2="","",SUMIF('07_Pallet_Contents'!$A$2:$A$3000,$A2,'07_Pallet_Contents'!$D$2:$D$3000))</f>
        <v/>
      </c>
      <c r="Y2358">
        <f>IF($A2="","",SUMIF('07_Pallet_Contents'!$A$2:$A$3000,$A2,'07_Pallet_Contents'!$I$2:$I$3000))</f>
        <v/>
      </c>
      <c r="Z2358">
        <f>IF($A2="","",IF(COUNTIF('07_Pallet_Contents'!$A$2:$A$3000,$A2)&gt;0,"Yes",""))</f>
        <v/>
      </c>
    </row>
    <row r="2359">
      <c r="W2359">
        <f>IF($A2="","",COUNTIF('07_Pallet_Contents'!$A$2:$A$3000,$A2))</f>
        <v/>
      </c>
      <c r="X2359">
        <f>IF($A2="","",SUMIF('07_Pallet_Contents'!$A$2:$A$3000,$A2,'07_Pallet_Contents'!$D$2:$D$3000))</f>
        <v/>
      </c>
      <c r="Y2359">
        <f>IF($A2="","",SUMIF('07_Pallet_Contents'!$A$2:$A$3000,$A2,'07_Pallet_Contents'!$I$2:$I$3000))</f>
        <v/>
      </c>
      <c r="Z2359">
        <f>IF($A2="","",IF(COUNTIF('07_Pallet_Contents'!$A$2:$A$3000,$A2)&gt;0,"Yes",""))</f>
        <v/>
      </c>
    </row>
    <row r="2360">
      <c r="W2360">
        <f>IF($A2="","",COUNTIF('07_Pallet_Contents'!$A$2:$A$3000,$A2))</f>
        <v/>
      </c>
      <c r="X2360">
        <f>IF($A2="","",SUMIF('07_Pallet_Contents'!$A$2:$A$3000,$A2,'07_Pallet_Contents'!$D$2:$D$3000))</f>
        <v/>
      </c>
      <c r="Y2360">
        <f>IF($A2="","",SUMIF('07_Pallet_Contents'!$A$2:$A$3000,$A2,'07_Pallet_Contents'!$I$2:$I$3000))</f>
        <v/>
      </c>
      <c r="Z2360">
        <f>IF($A2="","",IF(COUNTIF('07_Pallet_Contents'!$A$2:$A$3000,$A2)&gt;0,"Yes",""))</f>
        <v/>
      </c>
    </row>
    <row r="2361">
      <c r="W2361">
        <f>IF($A2="","",COUNTIF('07_Pallet_Contents'!$A$2:$A$3000,$A2))</f>
        <v/>
      </c>
      <c r="X2361">
        <f>IF($A2="","",SUMIF('07_Pallet_Contents'!$A$2:$A$3000,$A2,'07_Pallet_Contents'!$D$2:$D$3000))</f>
        <v/>
      </c>
      <c r="Y2361">
        <f>IF($A2="","",SUMIF('07_Pallet_Contents'!$A$2:$A$3000,$A2,'07_Pallet_Contents'!$I$2:$I$3000))</f>
        <v/>
      </c>
      <c r="Z2361">
        <f>IF($A2="","",IF(COUNTIF('07_Pallet_Contents'!$A$2:$A$3000,$A2)&gt;0,"Yes",""))</f>
        <v/>
      </c>
    </row>
    <row r="2362">
      <c r="W2362">
        <f>IF($A2="","",COUNTIF('07_Pallet_Contents'!$A$2:$A$3000,$A2))</f>
        <v/>
      </c>
      <c r="X2362">
        <f>IF($A2="","",SUMIF('07_Pallet_Contents'!$A$2:$A$3000,$A2,'07_Pallet_Contents'!$D$2:$D$3000))</f>
        <v/>
      </c>
      <c r="Y2362">
        <f>IF($A2="","",SUMIF('07_Pallet_Contents'!$A$2:$A$3000,$A2,'07_Pallet_Contents'!$I$2:$I$3000))</f>
        <v/>
      </c>
      <c r="Z2362">
        <f>IF($A2="","",IF(COUNTIF('07_Pallet_Contents'!$A$2:$A$3000,$A2)&gt;0,"Yes",""))</f>
        <v/>
      </c>
    </row>
    <row r="2363">
      <c r="W2363">
        <f>IF($A2="","",COUNTIF('07_Pallet_Contents'!$A$2:$A$3000,$A2))</f>
        <v/>
      </c>
      <c r="X2363">
        <f>IF($A2="","",SUMIF('07_Pallet_Contents'!$A$2:$A$3000,$A2,'07_Pallet_Contents'!$D$2:$D$3000))</f>
        <v/>
      </c>
      <c r="Y2363">
        <f>IF($A2="","",SUMIF('07_Pallet_Contents'!$A$2:$A$3000,$A2,'07_Pallet_Contents'!$I$2:$I$3000))</f>
        <v/>
      </c>
      <c r="Z2363">
        <f>IF($A2="","",IF(COUNTIF('07_Pallet_Contents'!$A$2:$A$3000,$A2)&gt;0,"Yes",""))</f>
        <v/>
      </c>
    </row>
    <row r="2364">
      <c r="W2364">
        <f>IF($A2="","",COUNTIF('07_Pallet_Contents'!$A$2:$A$3000,$A2))</f>
        <v/>
      </c>
      <c r="X2364">
        <f>IF($A2="","",SUMIF('07_Pallet_Contents'!$A$2:$A$3000,$A2,'07_Pallet_Contents'!$D$2:$D$3000))</f>
        <v/>
      </c>
      <c r="Y2364">
        <f>IF($A2="","",SUMIF('07_Pallet_Contents'!$A$2:$A$3000,$A2,'07_Pallet_Contents'!$I$2:$I$3000))</f>
        <v/>
      </c>
      <c r="Z2364">
        <f>IF($A2="","",IF(COUNTIF('07_Pallet_Contents'!$A$2:$A$3000,$A2)&gt;0,"Yes",""))</f>
        <v/>
      </c>
    </row>
    <row r="2365">
      <c r="W2365">
        <f>IF($A2="","",COUNTIF('07_Pallet_Contents'!$A$2:$A$3000,$A2))</f>
        <v/>
      </c>
      <c r="X2365">
        <f>IF($A2="","",SUMIF('07_Pallet_Contents'!$A$2:$A$3000,$A2,'07_Pallet_Contents'!$D$2:$D$3000))</f>
        <v/>
      </c>
      <c r="Y2365">
        <f>IF($A2="","",SUMIF('07_Pallet_Contents'!$A$2:$A$3000,$A2,'07_Pallet_Contents'!$I$2:$I$3000))</f>
        <v/>
      </c>
      <c r="Z2365">
        <f>IF($A2="","",IF(COUNTIF('07_Pallet_Contents'!$A$2:$A$3000,$A2)&gt;0,"Yes",""))</f>
        <v/>
      </c>
    </row>
    <row r="2366">
      <c r="W2366">
        <f>IF($A2="","",COUNTIF('07_Pallet_Contents'!$A$2:$A$3000,$A2))</f>
        <v/>
      </c>
      <c r="X2366">
        <f>IF($A2="","",SUMIF('07_Pallet_Contents'!$A$2:$A$3000,$A2,'07_Pallet_Contents'!$D$2:$D$3000))</f>
        <v/>
      </c>
      <c r="Y2366">
        <f>IF($A2="","",SUMIF('07_Pallet_Contents'!$A$2:$A$3000,$A2,'07_Pallet_Contents'!$I$2:$I$3000))</f>
        <v/>
      </c>
      <c r="Z2366">
        <f>IF($A2="","",IF(COUNTIF('07_Pallet_Contents'!$A$2:$A$3000,$A2)&gt;0,"Yes",""))</f>
        <v/>
      </c>
    </row>
    <row r="2367">
      <c r="W2367">
        <f>IF($A2="","",COUNTIF('07_Pallet_Contents'!$A$2:$A$3000,$A2))</f>
        <v/>
      </c>
      <c r="X2367">
        <f>IF($A2="","",SUMIF('07_Pallet_Contents'!$A$2:$A$3000,$A2,'07_Pallet_Contents'!$D$2:$D$3000))</f>
        <v/>
      </c>
      <c r="Y2367">
        <f>IF($A2="","",SUMIF('07_Pallet_Contents'!$A$2:$A$3000,$A2,'07_Pallet_Contents'!$I$2:$I$3000))</f>
        <v/>
      </c>
      <c r="Z2367">
        <f>IF($A2="","",IF(COUNTIF('07_Pallet_Contents'!$A$2:$A$3000,$A2)&gt;0,"Yes",""))</f>
        <v/>
      </c>
    </row>
    <row r="2368">
      <c r="W2368">
        <f>IF($A2="","",COUNTIF('07_Pallet_Contents'!$A$2:$A$3000,$A2))</f>
        <v/>
      </c>
      <c r="X2368">
        <f>IF($A2="","",SUMIF('07_Pallet_Contents'!$A$2:$A$3000,$A2,'07_Pallet_Contents'!$D$2:$D$3000))</f>
        <v/>
      </c>
      <c r="Y2368">
        <f>IF($A2="","",SUMIF('07_Pallet_Contents'!$A$2:$A$3000,$A2,'07_Pallet_Contents'!$I$2:$I$3000))</f>
        <v/>
      </c>
      <c r="Z2368">
        <f>IF($A2="","",IF(COUNTIF('07_Pallet_Contents'!$A$2:$A$3000,$A2)&gt;0,"Yes",""))</f>
        <v/>
      </c>
    </row>
    <row r="2369">
      <c r="W2369">
        <f>IF($A2="","",COUNTIF('07_Pallet_Contents'!$A$2:$A$3000,$A2))</f>
        <v/>
      </c>
      <c r="X2369">
        <f>IF($A2="","",SUMIF('07_Pallet_Contents'!$A$2:$A$3000,$A2,'07_Pallet_Contents'!$D$2:$D$3000))</f>
        <v/>
      </c>
      <c r="Y2369">
        <f>IF($A2="","",SUMIF('07_Pallet_Contents'!$A$2:$A$3000,$A2,'07_Pallet_Contents'!$I$2:$I$3000))</f>
        <v/>
      </c>
      <c r="Z2369">
        <f>IF($A2="","",IF(COUNTIF('07_Pallet_Contents'!$A$2:$A$3000,$A2)&gt;0,"Yes",""))</f>
        <v/>
      </c>
    </row>
    <row r="2370">
      <c r="W2370">
        <f>IF($A2="","",COUNTIF('07_Pallet_Contents'!$A$2:$A$3000,$A2))</f>
        <v/>
      </c>
      <c r="X2370">
        <f>IF($A2="","",SUMIF('07_Pallet_Contents'!$A$2:$A$3000,$A2,'07_Pallet_Contents'!$D$2:$D$3000))</f>
        <v/>
      </c>
      <c r="Y2370">
        <f>IF($A2="","",SUMIF('07_Pallet_Contents'!$A$2:$A$3000,$A2,'07_Pallet_Contents'!$I$2:$I$3000))</f>
        <v/>
      </c>
      <c r="Z2370">
        <f>IF($A2="","",IF(COUNTIF('07_Pallet_Contents'!$A$2:$A$3000,$A2)&gt;0,"Yes",""))</f>
        <v/>
      </c>
    </row>
    <row r="2371">
      <c r="W2371">
        <f>IF($A2="","",COUNTIF('07_Pallet_Contents'!$A$2:$A$3000,$A2))</f>
        <v/>
      </c>
      <c r="X2371">
        <f>IF($A2="","",SUMIF('07_Pallet_Contents'!$A$2:$A$3000,$A2,'07_Pallet_Contents'!$D$2:$D$3000))</f>
        <v/>
      </c>
      <c r="Y2371">
        <f>IF($A2="","",SUMIF('07_Pallet_Contents'!$A$2:$A$3000,$A2,'07_Pallet_Contents'!$I$2:$I$3000))</f>
        <v/>
      </c>
      <c r="Z2371">
        <f>IF($A2="","",IF(COUNTIF('07_Pallet_Contents'!$A$2:$A$3000,$A2)&gt;0,"Yes",""))</f>
        <v/>
      </c>
    </row>
    <row r="2372">
      <c r="W2372">
        <f>IF($A2="","",COUNTIF('07_Pallet_Contents'!$A$2:$A$3000,$A2))</f>
        <v/>
      </c>
      <c r="X2372">
        <f>IF($A2="","",SUMIF('07_Pallet_Contents'!$A$2:$A$3000,$A2,'07_Pallet_Contents'!$D$2:$D$3000))</f>
        <v/>
      </c>
      <c r="Y2372">
        <f>IF($A2="","",SUMIF('07_Pallet_Contents'!$A$2:$A$3000,$A2,'07_Pallet_Contents'!$I$2:$I$3000))</f>
        <v/>
      </c>
      <c r="Z2372">
        <f>IF($A2="","",IF(COUNTIF('07_Pallet_Contents'!$A$2:$A$3000,$A2)&gt;0,"Yes",""))</f>
        <v/>
      </c>
    </row>
    <row r="2373">
      <c r="W2373">
        <f>IF($A2="","",COUNTIF('07_Pallet_Contents'!$A$2:$A$3000,$A2))</f>
        <v/>
      </c>
      <c r="X2373">
        <f>IF($A2="","",SUMIF('07_Pallet_Contents'!$A$2:$A$3000,$A2,'07_Pallet_Contents'!$D$2:$D$3000))</f>
        <v/>
      </c>
      <c r="Y2373">
        <f>IF($A2="","",SUMIF('07_Pallet_Contents'!$A$2:$A$3000,$A2,'07_Pallet_Contents'!$I$2:$I$3000))</f>
        <v/>
      </c>
      <c r="Z2373">
        <f>IF($A2="","",IF(COUNTIF('07_Pallet_Contents'!$A$2:$A$3000,$A2)&gt;0,"Yes",""))</f>
        <v/>
      </c>
    </row>
    <row r="2374">
      <c r="W2374">
        <f>IF($A2="","",COUNTIF('07_Pallet_Contents'!$A$2:$A$3000,$A2))</f>
        <v/>
      </c>
      <c r="X2374">
        <f>IF($A2="","",SUMIF('07_Pallet_Contents'!$A$2:$A$3000,$A2,'07_Pallet_Contents'!$D$2:$D$3000))</f>
        <v/>
      </c>
      <c r="Y2374">
        <f>IF($A2="","",SUMIF('07_Pallet_Contents'!$A$2:$A$3000,$A2,'07_Pallet_Contents'!$I$2:$I$3000))</f>
        <v/>
      </c>
      <c r="Z2374">
        <f>IF($A2="","",IF(COUNTIF('07_Pallet_Contents'!$A$2:$A$3000,$A2)&gt;0,"Yes",""))</f>
        <v/>
      </c>
    </row>
    <row r="2375">
      <c r="W2375">
        <f>IF($A2="","",COUNTIF('07_Pallet_Contents'!$A$2:$A$3000,$A2))</f>
        <v/>
      </c>
      <c r="X2375">
        <f>IF($A2="","",SUMIF('07_Pallet_Contents'!$A$2:$A$3000,$A2,'07_Pallet_Contents'!$D$2:$D$3000))</f>
        <v/>
      </c>
      <c r="Y2375">
        <f>IF($A2="","",SUMIF('07_Pallet_Contents'!$A$2:$A$3000,$A2,'07_Pallet_Contents'!$I$2:$I$3000))</f>
        <v/>
      </c>
      <c r="Z2375">
        <f>IF($A2="","",IF(COUNTIF('07_Pallet_Contents'!$A$2:$A$3000,$A2)&gt;0,"Yes",""))</f>
        <v/>
      </c>
    </row>
    <row r="2376">
      <c r="W2376">
        <f>IF($A2="","",COUNTIF('07_Pallet_Contents'!$A$2:$A$3000,$A2))</f>
        <v/>
      </c>
      <c r="X2376">
        <f>IF($A2="","",SUMIF('07_Pallet_Contents'!$A$2:$A$3000,$A2,'07_Pallet_Contents'!$D$2:$D$3000))</f>
        <v/>
      </c>
      <c r="Y2376">
        <f>IF($A2="","",SUMIF('07_Pallet_Contents'!$A$2:$A$3000,$A2,'07_Pallet_Contents'!$I$2:$I$3000))</f>
        <v/>
      </c>
      <c r="Z2376">
        <f>IF($A2="","",IF(COUNTIF('07_Pallet_Contents'!$A$2:$A$3000,$A2)&gt;0,"Yes",""))</f>
        <v/>
      </c>
    </row>
    <row r="2377">
      <c r="W2377">
        <f>IF($A2="","",COUNTIF('07_Pallet_Contents'!$A$2:$A$3000,$A2))</f>
        <v/>
      </c>
      <c r="X2377">
        <f>IF($A2="","",SUMIF('07_Pallet_Contents'!$A$2:$A$3000,$A2,'07_Pallet_Contents'!$D$2:$D$3000))</f>
        <v/>
      </c>
      <c r="Y2377">
        <f>IF($A2="","",SUMIF('07_Pallet_Contents'!$A$2:$A$3000,$A2,'07_Pallet_Contents'!$I$2:$I$3000))</f>
        <v/>
      </c>
      <c r="Z2377">
        <f>IF($A2="","",IF(COUNTIF('07_Pallet_Contents'!$A$2:$A$3000,$A2)&gt;0,"Yes",""))</f>
        <v/>
      </c>
    </row>
    <row r="2378">
      <c r="W2378">
        <f>IF($A2="","",COUNTIF('07_Pallet_Contents'!$A$2:$A$3000,$A2))</f>
        <v/>
      </c>
      <c r="X2378">
        <f>IF($A2="","",SUMIF('07_Pallet_Contents'!$A$2:$A$3000,$A2,'07_Pallet_Contents'!$D$2:$D$3000))</f>
        <v/>
      </c>
      <c r="Y2378">
        <f>IF($A2="","",SUMIF('07_Pallet_Contents'!$A$2:$A$3000,$A2,'07_Pallet_Contents'!$I$2:$I$3000))</f>
        <v/>
      </c>
      <c r="Z2378">
        <f>IF($A2="","",IF(COUNTIF('07_Pallet_Contents'!$A$2:$A$3000,$A2)&gt;0,"Yes",""))</f>
        <v/>
      </c>
    </row>
    <row r="2379">
      <c r="W2379">
        <f>IF($A2="","",COUNTIF('07_Pallet_Contents'!$A$2:$A$3000,$A2))</f>
        <v/>
      </c>
      <c r="X2379">
        <f>IF($A2="","",SUMIF('07_Pallet_Contents'!$A$2:$A$3000,$A2,'07_Pallet_Contents'!$D$2:$D$3000))</f>
        <v/>
      </c>
      <c r="Y2379">
        <f>IF($A2="","",SUMIF('07_Pallet_Contents'!$A$2:$A$3000,$A2,'07_Pallet_Contents'!$I$2:$I$3000))</f>
        <v/>
      </c>
      <c r="Z2379">
        <f>IF($A2="","",IF(COUNTIF('07_Pallet_Contents'!$A$2:$A$3000,$A2)&gt;0,"Yes",""))</f>
        <v/>
      </c>
    </row>
    <row r="2380">
      <c r="W2380">
        <f>IF($A2="","",COUNTIF('07_Pallet_Contents'!$A$2:$A$3000,$A2))</f>
        <v/>
      </c>
      <c r="X2380">
        <f>IF($A2="","",SUMIF('07_Pallet_Contents'!$A$2:$A$3000,$A2,'07_Pallet_Contents'!$D$2:$D$3000))</f>
        <v/>
      </c>
      <c r="Y2380">
        <f>IF($A2="","",SUMIF('07_Pallet_Contents'!$A$2:$A$3000,$A2,'07_Pallet_Contents'!$I$2:$I$3000))</f>
        <v/>
      </c>
      <c r="Z2380">
        <f>IF($A2="","",IF(COUNTIF('07_Pallet_Contents'!$A$2:$A$3000,$A2)&gt;0,"Yes",""))</f>
        <v/>
      </c>
    </row>
    <row r="2381">
      <c r="W2381">
        <f>IF($A2="","",COUNTIF('07_Pallet_Contents'!$A$2:$A$3000,$A2))</f>
        <v/>
      </c>
      <c r="X2381">
        <f>IF($A2="","",SUMIF('07_Pallet_Contents'!$A$2:$A$3000,$A2,'07_Pallet_Contents'!$D$2:$D$3000))</f>
        <v/>
      </c>
      <c r="Y2381">
        <f>IF($A2="","",SUMIF('07_Pallet_Contents'!$A$2:$A$3000,$A2,'07_Pallet_Contents'!$I$2:$I$3000))</f>
        <v/>
      </c>
      <c r="Z2381">
        <f>IF($A2="","",IF(COUNTIF('07_Pallet_Contents'!$A$2:$A$3000,$A2)&gt;0,"Yes",""))</f>
        <v/>
      </c>
    </row>
    <row r="2382">
      <c r="W2382">
        <f>IF($A2="","",COUNTIF('07_Pallet_Contents'!$A$2:$A$3000,$A2))</f>
        <v/>
      </c>
      <c r="X2382">
        <f>IF($A2="","",SUMIF('07_Pallet_Contents'!$A$2:$A$3000,$A2,'07_Pallet_Contents'!$D$2:$D$3000))</f>
        <v/>
      </c>
      <c r="Y2382">
        <f>IF($A2="","",SUMIF('07_Pallet_Contents'!$A$2:$A$3000,$A2,'07_Pallet_Contents'!$I$2:$I$3000))</f>
        <v/>
      </c>
      <c r="Z2382">
        <f>IF($A2="","",IF(COUNTIF('07_Pallet_Contents'!$A$2:$A$3000,$A2)&gt;0,"Yes",""))</f>
        <v/>
      </c>
    </row>
    <row r="2383">
      <c r="W2383">
        <f>IF($A2="","",COUNTIF('07_Pallet_Contents'!$A$2:$A$3000,$A2))</f>
        <v/>
      </c>
      <c r="X2383">
        <f>IF($A2="","",SUMIF('07_Pallet_Contents'!$A$2:$A$3000,$A2,'07_Pallet_Contents'!$D$2:$D$3000))</f>
        <v/>
      </c>
      <c r="Y2383">
        <f>IF($A2="","",SUMIF('07_Pallet_Contents'!$A$2:$A$3000,$A2,'07_Pallet_Contents'!$I$2:$I$3000))</f>
        <v/>
      </c>
      <c r="Z2383">
        <f>IF($A2="","",IF(COUNTIF('07_Pallet_Contents'!$A$2:$A$3000,$A2)&gt;0,"Yes",""))</f>
        <v/>
      </c>
    </row>
    <row r="2384">
      <c r="W2384">
        <f>IF($A2="","",COUNTIF('07_Pallet_Contents'!$A$2:$A$3000,$A2))</f>
        <v/>
      </c>
      <c r="X2384">
        <f>IF($A2="","",SUMIF('07_Pallet_Contents'!$A$2:$A$3000,$A2,'07_Pallet_Contents'!$D$2:$D$3000))</f>
        <v/>
      </c>
      <c r="Y2384">
        <f>IF($A2="","",SUMIF('07_Pallet_Contents'!$A$2:$A$3000,$A2,'07_Pallet_Contents'!$I$2:$I$3000))</f>
        <v/>
      </c>
      <c r="Z2384">
        <f>IF($A2="","",IF(COUNTIF('07_Pallet_Contents'!$A$2:$A$3000,$A2)&gt;0,"Yes",""))</f>
        <v/>
      </c>
    </row>
    <row r="2385">
      <c r="W2385">
        <f>IF($A2="","",COUNTIF('07_Pallet_Contents'!$A$2:$A$3000,$A2))</f>
        <v/>
      </c>
      <c r="X2385">
        <f>IF($A2="","",SUMIF('07_Pallet_Contents'!$A$2:$A$3000,$A2,'07_Pallet_Contents'!$D$2:$D$3000))</f>
        <v/>
      </c>
      <c r="Y2385">
        <f>IF($A2="","",SUMIF('07_Pallet_Contents'!$A$2:$A$3000,$A2,'07_Pallet_Contents'!$I$2:$I$3000))</f>
        <v/>
      </c>
      <c r="Z2385">
        <f>IF($A2="","",IF(COUNTIF('07_Pallet_Contents'!$A$2:$A$3000,$A2)&gt;0,"Yes",""))</f>
        <v/>
      </c>
    </row>
    <row r="2386">
      <c r="W2386">
        <f>IF($A2="","",COUNTIF('07_Pallet_Contents'!$A$2:$A$3000,$A2))</f>
        <v/>
      </c>
      <c r="X2386">
        <f>IF($A2="","",SUMIF('07_Pallet_Contents'!$A$2:$A$3000,$A2,'07_Pallet_Contents'!$D$2:$D$3000))</f>
        <v/>
      </c>
      <c r="Y2386">
        <f>IF($A2="","",SUMIF('07_Pallet_Contents'!$A$2:$A$3000,$A2,'07_Pallet_Contents'!$I$2:$I$3000))</f>
        <v/>
      </c>
      <c r="Z2386">
        <f>IF($A2="","",IF(COUNTIF('07_Pallet_Contents'!$A$2:$A$3000,$A2)&gt;0,"Yes",""))</f>
        <v/>
      </c>
    </row>
    <row r="2387">
      <c r="W2387">
        <f>IF($A2="","",COUNTIF('07_Pallet_Contents'!$A$2:$A$3000,$A2))</f>
        <v/>
      </c>
      <c r="X2387">
        <f>IF($A2="","",SUMIF('07_Pallet_Contents'!$A$2:$A$3000,$A2,'07_Pallet_Contents'!$D$2:$D$3000))</f>
        <v/>
      </c>
      <c r="Y2387">
        <f>IF($A2="","",SUMIF('07_Pallet_Contents'!$A$2:$A$3000,$A2,'07_Pallet_Contents'!$I$2:$I$3000))</f>
        <v/>
      </c>
      <c r="Z2387">
        <f>IF($A2="","",IF(COUNTIF('07_Pallet_Contents'!$A$2:$A$3000,$A2)&gt;0,"Yes",""))</f>
        <v/>
      </c>
    </row>
    <row r="2388">
      <c r="W2388">
        <f>IF($A2="","",COUNTIF('07_Pallet_Contents'!$A$2:$A$3000,$A2))</f>
        <v/>
      </c>
      <c r="X2388">
        <f>IF($A2="","",SUMIF('07_Pallet_Contents'!$A$2:$A$3000,$A2,'07_Pallet_Contents'!$D$2:$D$3000))</f>
        <v/>
      </c>
      <c r="Y2388">
        <f>IF($A2="","",SUMIF('07_Pallet_Contents'!$A$2:$A$3000,$A2,'07_Pallet_Contents'!$I$2:$I$3000))</f>
        <v/>
      </c>
      <c r="Z2388">
        <f>IF($A2="","",IF(COUNTIF('07_Pallet_Contents'!$A$2:$A$3000,$A2)&gt;0,"Yes",""))</f>
        <v/>
      </c>
    </row>
    <row r="2389">
      <c r="W2389">
        <f>IF($A2="","",COUNTIF('07_Pallet_Contents'!$A$2:$A$3000,$A2))</f>
        <v/>
      </c>
      <c r="X2389">
        <f>IF($A2="","",SUMIF('07_Pallet_Contents'!$A$2:$A$3000,$A2,'07_Pallet_Contents'!$D$2:$D$3000))</f>
        <v/>
      </c>
      <c r="Y2389">
        <f>IF($A2="","",SUMIF('07_Pallet_Contents'!$A$2:$A$3000,$A2,'07_Pallet_Contents'!$I$2:$I$3000))</f>
        <v/>
      </c>
      <c r="Z2389">
        <f>IF($A2="","",IF(COUNTIF('07_Pallet_Contents'!$A$2:$A$3000,$A2)&gt;0,"Yes",""))</f>
        <v/>
      </c>
    </row>
    <row r="2390">
      <c r="W2390">
        <f>IF($A2="","",COUNTIF('07_Pallet_Contents'!$A$2:$A$3000,$A2))</f>
        <v/>
      </c>
      <c r="X2390">
        <f>IF($A2="","",SUMIF('07_Pallet_Contents'!$A$2:$A$3000,$A2,'07_Pallet_Contents'!$D$2:$D$3000))</f>
        <v/>
      </c>
      <c r="Y2390">
        <f>IF($A2="","",SUMIF('07_Pallet_Contents'!$A$2:$A$3000,$A2,'07_Pallet_Contents'!$I$2:$I$3000))</f>
        <v/>
      </c>
      <c r="Z2390">
        <f>IF($A2="","",IF(COUNTIF('07_Pallet_Contents'!$A$2:$A$3000,$A2)&gt;0,"Yes",""))</f>
        <v/>
      </c>
    </row>
    <row r="2391">
      <c r="W2391">
        <f>IF($A2="","",COUNTIF('07_Pallet_Contents'!$A$2:$A$3000,$A2))</f>
        <v/>
      </c>
      <c r="X2391">
        <f>IF($A2="","",SUMIF('07_Pallet_Contents'!$A$2:$A$3000,$A2,'07_Pallet_Contents'!$D$2:$D$3000))</f>
        <v/>
      </c>
      <c r="Y2391">
        <f>IF($A2="","",SUMIF('07_Pallet_Contents'!$A$2:$A$3000,$A2,'07_Pallet_Contents'!$I$2:$I$3000))</f>
        <v/>
      </c>
      <c r="Z2391">
        <f>IF($A2="","",IF(COUNTIF('07_Pallet_Contents'!$A$2:$A$3000,$A2)&gt;0,"Yes",""))</f>
        <v/>
      </c>
    </row>
    <row r="2392">
      <c r="W2392">
        <f>IF($A2="","",COUNTIF('07_Pallet_Contents'!$A$2:$A$3000,$A2))</f>
        <v/>
      </c>
      <c r="X2392">
        <f>IF($A2="","",SUMIF('07_Pallet_Contents'!$A$2:$A$3000,$A2,'07_Pallet_Contents'!$D$2:$D$3000))</f>
        <v/>
      </c>
      <c r="Y2392">
        <f>IF($A2="","",SUMIF('07_Pallet_Contents'!$A$2:$A$3000,$A2,'07_Pallet_Contents'!$I$2:$I$3000))</f>
        <v/>
      </c>
      <c r="Z2392">
        <f>IF($A2="","",IF(COUNTIF('07_Pallet_Contents'!$A$2:$A$3000,$A2)&gt;0,"Yes",""))</f>
        <v/>
      </c>
    </row>
    <row r="2393">
      <c r="W2393">
        <f>IF($A2="","",COUNTIF('07_Pallet_Contents'!$A$2:$A$3000,$A2))</f>
        <v/>
      </c>
      <c r="X2393">
        <f>IF($A2="","",SUMIF('07_Pallet_Contents'!$A$2:$A$3000,$A2,'07_Pallet_Contents'!$D$2:$D$3000))</f>
        <v/>
      </c>
      <c r="Y2393">
        <f>IF($A2="","",SUMIF('07_Pallet_Contents'!$A$2:$A$3000,$A2,'07_Pallet_Contents'!$I$2:$I$3000))</f>
        <v/>
      </c>
      <c r="Z2393">
        <f>IF($A2="","",IF(COUNTIF('07_Pallet_Contents'!$A$2:$A$3000,$A2)&gt;0,"Yes",""))</f>
        <v/>
      </c>
    </row>
    <row r="2394">
      <c r="W2394">
        <f>IF($A2="","",COUNTIF('07_Pallet_Contents'!$A$2:$A$3000,$A2))</f>
        <v/>
      </c>
      <c r="X2394">
        <f>IF($A2="","",SUMIF('07_Pallet_Contents'!$A$2:$A$3000,$A2,'07_Pallet_Contents'!$D$2:$D$3000))</f>
        <v/>
      </c>
      <c r="Y2394">
        <f>IF($A2="","",SUMIF('07_Pallet_Contents'!$A$2:$A$3000,$A2,'07_Pallet_Contents'!$I$2:$I$3000))</f>
        <v/>
      </c>
      <c r="Z2394">
        <f>IF($A2="","",IF(COUNTIF('07_Pallet_Contents'!$A$2:$A$3000,$A2)&gt;0,"Yes",""))</f>
        <v/>
      </c>
    </row>
    <row r="2395">
      <c r="W2395">
        <f>IF($A2="","",COUNTIF('07_Pallet_Contents'!$A$2:$A$3000,$A2))</f>
        <v/>
      </c>
      <c r="X2395">
        <f>IF($A2="","",SUMIF('07_Pallet_Contents'!$A$2:$A$3000,$A2,'07_Pallet_Contents'!$D$2:$D$3000))</f>
        <v/>
      </c>
      <c r="Y2395">
        <f>IF($A2="","",SUMIF('07_Pallet_Contents'!$A$2:$A$3000,$A2,'07_Pallet_Contents'!$I$2:$I$3000))</f>
        <v/>
      </c>
      <c r="Z2395">
        <f>IF($A2="","",IF(COUNTIF('07_Pallet_Contents'!$A$2:$A$3000,$A2)&gt;0,"Yes",""))</f>
        <v/>
      </c>
    </row>
    <row r="2396">
      <c r="W2396">
        <f>IF($A2="","",COUNTIF('07_Pallet_Contents'!$A$2:$A$3000,$A2))</f>
        <v/>
      </c>
      <c r="X2396">
        <f>IF($A2="","",SUMIF('07_Pallet_Contents'!$A$2:$A$3000,$A2,'07_Pallet_Contents'!$D$2:$D$3000))</f>
        <v/>
      </c>
      <c r="Y2396">
        <f>IF($A2="","",SUMIF('07_Pallet_Contents'!$A$2:$A$3000,$A2,'07_Pallet_Contents'!$I$2:$I$3000))</f>
        <v/>
      </c>
      <c r="Z2396">
        <f>IF($A2="","",IF(COUNTIF('07_Pallet_Contents'!$A$2:$A$3000,$A2)&gt;0,"Yes",""))</f>
        <v/>
      </c>
    </row>
    <row r="2397">
      <c r="W2397">
        <f>IF($A2="","",COUNTIF('07_Pallet_Contents'!$A$2:$A$3000,$A2))</f>
        <v/>
      </c>
      <c r="X2397">
        <f>IF($A2="","",SUMIF('07_Pallet_Contents'!$A$2:$A$3000,$A2,'07_Pallet_Contents'!$D$2:$D$3000))</f>
        <v/>
      </c>
      <c r="Y2397">
        <f>IF($A2="","",SUMIF('07_Pallet_Contents'!$A$2:$A$3000,$A2,'07_Pallet_Contents'!$I$2:$I$3000))</f>
        <v/>
      </c>
      <c r="Z2397">
        <f>IF($A2="","",IF(COUNTIF('07_Pallet_Contents'!$A$2:$A$3000,$A2)&gt;0,"Yes",""))</f>
        <v/>
      </c>
    </row>
    <row r="2398">
      <c r="W2398">
        <f>IF($A2="","",COUNTIF('07_Pallet_Contents'!$A$2:$A$3000,$A2))</f>
        <v/>
      </c>
      <c r="X2398">
        <f>IF($A2="","",SUMIF('07_Pallet_Contents'!$A$2:$A$3000,$A2,'07_Pallet_Contents'!$D$2:$D$3000))</f>
        <v/>
      </c>
      <c r="Y2398">
        <f>IF($A2="","",SUMIF('07_Pallet_Contents'!$A$2:$A$3000,$A2,'07_Pallet_Contents'!$I$2:$I$3000))</f>
        <v/>
      </c>
      <c r="Z2398">
        <f>IF($A2="","",IF(COUNTIF('07_Pallet_Contents'!$A$2:$A$3000,$A2)&gt;0,"Yes",""))</f>
        <v/>
      </c>
    </row>
    <row r="2399">
      <c r="W2399">
        <f>IF($A2="","",COUNTIF('07_Pallet_Contents'!$A$2:$A$3000,$A2))</f>
        <v/>
      </c>
      <c r="X2399">
        <f>IF($A2="","",SUMIF('07_Pallet_Contents'!$A$2:$A$3000,$A2,'07_Pallet_Contents'!$D$2:$D$3000))</f>
        <v/>
      </c>
      <c r="Y2399">
        <f>IF($A2="","",SUMIF('07_Pallet_Contents'!$A$2:$A$3000,$A2,'07_Pallet_Contents'!$I$2:$I$3000))</f>
        <v/>
      </c>
      <c r="Z2399">
        <f>IF($A2="","",IF(COUNTIF('07_Pallet_Contents'!$A$2:$A$3000,$A2)&gt;0,"Yes",""))</f>
        <v/>
      </c>
    </row>
    <row r="2400">
      <c r="W2400">
        <f>IF($A2="","",COUNTIF('07_Pallet_Contents'!$A$2:$A$3000,$A2))</f>
        <v/>
      </c>
      <c r="X2400">
        <f>IF($A2="","",SUMIF('07_Pallet_Contents'!$A$2:$A$3000,$A2,'07_Pallet_Contents'!$D$2:$D$3000))</f>
        <v/>
      </c>
      <c r="Y2400">
        <f>IF($A2="","",SUMIF('07_Pallet_Contents'!$A$2:$A$3000,$A2,'07_Pallet_Contents'!$I$2:$I$3000))</f>
        <v/>
      </c>
      <c r="Z2400">
        <f>IF($A2="","",IF(COUNTIF('07_Pallet_Contents'!$A$2:$A$3000,$A2)&gt;0,"Yes",""))</f>
        <v/>
      </c>
    </row>
    <row r="2401">
      <c r="W2401">
        <f>IF($A2="","",COUNTIF('07_Pallet_Contents'!$A$2:$A$3000,$A2))</f>
        <v/>
      </c>
      <c r="X2401">
        <f>IF($A2="","",SUMIF('07_Pallet_Contents'!$A$2:$A$3000,$A2,'07_Pallet_Contents'!$D$2:$D$3000))</f>
        <v/>
      </c>
      <c r="Y2401">
        <f>IF($A2="","",SUMIF('07_Pallet_Contents'!$A$2:$A$3000,$A2,'07_Pallet_Contents'!$I$2:$I$3000))</f>
        <v/>
      </c>
      <c r="Z2401">
        <f>IF($A2="","",IF(COUNTIF('07_Pallet_Contents'!$A$2:$A$3000,$A2)&gt;0,"Yes",""))</f>
        <v/>
      </c>
    </row>
    <row r="2402">
      <c r="W2402">
        <f>IF($A2="","",COUNTIF('07_Pallet_Contents'!$A$2:$A$3000,$A2))</f>
        <v/>
      </c>
      <c r="X2402">
        <f>IF($A2="","",SUMIF('07_Pallet_Contents'!$A$2:$A$3000,$A2,'07_Pallet_Contents'!$D$2:$D$3000))</f>
        <v/>
      </c>
      <c r="Y2402">
        <f>IF($A2="","",SUMIF('07_Pallet_Contents'!$A$2:$A$3000,$A2,'07_Pallet_Contents'!$I$2:$I$3000))</f>
        <v/>
      </c>
      <c r="Z2402">
        <f>IF($A2="","",IF(COUNTIF('07_Pallet_Contents'!$A$2:$A$3000,$A2)&gt;0,"Yes",""))</f>
        <v/>
      </c>
    </row>
    <row r="2403">
      <c r="W2403">
        <f>IF($A2="","",COUNTIF('07_Pallet_Contents'!$A$2:$A$3000,$A2))</f>
        <v/>
      </c>
      <c r="X2403">
        <f>IF($A2="","",SUMIF('07_Pallet_Contents'!$A$2:$A$3000,$A2,'07_Pallet_Contents'!$D$2:$D$3000))</f>
        <v/>
      </c>
      <c r="Y2403">
        <f>IF($A2="","",SUMIF('07_Pallet_Contents'!$A$2:$A$3000,$A2,'07_Pallet_Contents'!$I$2:$I$3000))</f>
        <v/>
      </c>
      <c r="Z2403">
        <f>IF($A2="","",IF(COUNTIF('07_Pallet_Contents'!$A$2:$A$3000,$A2)&gt;0,"Yes",""))</f>
        <v/>
      </c>
    </row>
    <row r="2404">
      <c r="W2404">
        <f>IF($A2="","",COUNTIF('07_Pallet_Contents'!$A$2:$A$3000,$A2))</f>
        <v/>
      </c>
      <c r="X2404">
        <f>IF($A2="","",SUMIF('07_Pallet_Contents'!$A$2:$A$3000,$A2,'07_Pallet_Contents'!$D$2:$D$3000))</f>
        <v/>
      </c>
      <c r="Y2404">
        <f>IF($A2="","",SUMIF('07_Pallet_Contents'!$A$2:$A$3000,$A2,'07_Pallet_Contents'!$I$2:$I$3000))</f>
        <v/>
      </c>
      <c r="Z2404">
        <f>IF($A2="","",IF(COUNTIF('07_Pallet_Contents'!$A$2:$A$3000,$A2)&gt;0,"Yes",""))</f>
        <v/>
      </c>
    </row>
    <row r="2405">
      <c r="W2405">
        <f>IF($A2="","",COUNTIF('07_Pallet_Contents'!$A$2:$A$3000,$A2))</f>
        <v/>
      </c>
      <c r="X2405">
        <f>IF($A2="","",SUMIF('07_Pallet_Contents'!$A$2:$A$3000,$A2,'07_Pallet_Contents'!$D$2:$D$3000))</f>
        <v/>
      </c>
      <c r="Y2405">
        <f>IF($A2="","",SUMIF('07_Pallet_Contents'!$A$2:$A$3000,$A2,'07_Pallet_Contents'!$I$2:$I$3000))</f>
        <v/>
      </c>
      <c r="Z2405">
        <f>IF($A2="","",IF(COUNTIF('07_Pallet_Contents'!$A$2:$A$3000,$A2)&gt;0,"Yes",""))</f>
        <v/>
      </c>
    </row>
    <row r="2406">
      <c r="W2406">
        <f>IF($A2="","",COUNTIF('07_Pallet_Contents'!$A$2:$A$3000,$A2))</f>
        <v/>
      </c>
      <c r="X2406">
        <f>IF($A2="","",SUMIF('07_Pallet_Contents'!$A$2:$A$3000,$A2,'07_Pallet_Contents'!$D$2:$D$3000))</f>
        <v/>
      </c>
      <c r="Y2406">
        <f>IF($A2="","",SUMIF('07_Pallet_Contents'!$A$2:$A$3000,$A2,'07_Pallet_Contents'!$I$2:$I$3000))</f>
        <v/>
      </c>
      <c r="Z2406">
        <f>IF($A2="","",IF(COUNTIF('07_Pallet_Contents'!$A$2:$A$3000,$A2)&gt;0,"Yes",""))</f>
        <v/>
      </c>
    </row>
    <row r="2407">
      <c r="W2407">
        <f>IF($A2="","",COUNTIF('07_Pallet_Contents'!$A$2:$A$3000,$A2))</f>
        <v/>
      </c>
      <c r="X2407">
        <f>IF($A2="","",SUMIF('07_Pallet_Contents'!$A$2:$A$3000,$A2,'07_Pallet_Contents'!$D$2:$D$3000))</f>
        <v/>
      </c>
      <c r="Y2407">
        <f>IF($A2="","",SUMIF('07_Pallet_Contents'!$A$2:$A$3000,$A2,'07_Pallet_Contents'!$I$2:$I$3000))</f>
        <v/>
      </c>
      <c r="Z2407">
        <f>IF($A2="","",IF(COUNTIF('07_Pallet_Contents'!$A$2:$A$3000,$A2)&gt;0,"Yes",""))</f>
        <v/>
      </c>
    </row>
    <row r="2408">
      <c r="W2408">
        <f>IF($A2="","",COUNTIF('07_Pallet_Contents'!$A$2:$A$3000,$A2))</f>
        <v/>
      </c>
      <c r="X2408">
        <f>IF($A2="","",SUMIF('07_Pallet_Contents'!$A$2:$A$3000,$A2,'07_Pallet_Contents'!$D$2:$D$3000))</f>
        <v/>
      </c>
      <c r="Y2408">
        <f>IF($A2="","",SUMIF('07_Pallet_Contents'!$A$2:$A$3000,$A2,'07_Pallet_Contents'!$I$2:$I$3000))</f>
        <v/>
      </c>
      <c r="Z2408">
        <f>IF($A2="","",IF(COUNTIF('07_Pallet_Contents'!$A$2:$A$3000,$A2)&gt;0,"Yes",""))</f>
        <v/>
      </c>
    </row>
    <row r="2409">
      <c r="W2409">
        <f>IF($A2="","",COUNTIF('07_Pallet_Contents'!$A$2:$A$3000,$A2))</f>
        <v/>
      </c>
      <c r="X2409">
        <f>IF($A2="","",SUMIF('07_Pallet_Contents'!$A$2:$A$3000,$A2,'07_Pallet_Contents'!$D$2:$D$3000))</f>
        <v/>
      </c>
      <c r="Y2409">
        <f>IF($A2="","",SUMIF('07_Pallet_Contents'!$A$2:$A$3000,$A2,'07_Pallet_Contents'!$I$2:$I$3000))</f>
        <v/>
      </c>
      <c r="Z2409">
        <f>IF($A2="","",IF(COUNTIF('07_Pallet_Contents'!$A$2:$A$3000,$A2)&gt;0,"Yes",""))</f>
        <v/>
      </c>
    </row>
    <row r="2410">
      <c r="W2410">
        <f>IF($A2="","",COUNTIF('07_Pallet_Contents'!$A$2:$A$3000,$A2))</f>
        <v/>
      </c>
      <c r="X2410">
        <f>IF($A2="","",SUMIF('07_Pallet_Contents'!$A$2:$A$3000,$A2,'07_Pallet_Contents'!$D$2:$D$3000))</f>
        <v/>
      </c>
      <c r="Y2410">
        <f>IF($A2="","",SUMIF('07_Pallet_Contents'!$A$2:$A$3000,$A2,'07_Pallet_Contents'!$I$2:$I$3000))</f>
        <v/>
      </c>
      <c r="Z2410">
        <f>IF($A2="","",IF(COUNTIF('07_Pallet_Contents'!$A$2:$A$3000,$A2)&gt;0,"Yes",""))</f>
        <v/>
      </c>
    </row>
    <row r="2411">
      <c r="W2411">
        <f>IF($A2="","",COUNTIF('07_Pallet_Contents'!$A$2:$A$3000,$A2))</f>
        <v/>
      </c>
      <c r="X2411">
        <f>IF($A2="","",SUMIF('07_Pallet_Contents'!$A$2:$A$3000,$A2,'07_Pallet_Contents'!$D$2:$D$3000))</f>
        <v/>
      </c>
      <c r="Y2411">
        <f>IF($A2="","",SUMIF('07_Pallet_Contents'!$A$2:$A$3000,$A2,'07_Pallet_Contents'!$I$2:$I$3000))</f>
        <v/>
      </c>
      <c r="Z2411">
        <f>IF($A2="","",IF(COUNTIF('07_Pallet_Contents'!$A$2:$A$3000,$A2)&gt;0,"Yes",""))</f>
        <v/>
      </c>
    </row>
    <row r="2412">
      <c r="W2412">
        <f>IF($A2="","",COUNTIF('07_Pallet_Contents'!$A$2:$A$3000,$A2))</f>
        <v/>
      </c>
      <c r="X2412">
        <f>IF($A2="","",SUMIF('07_Pallet_Contents'!$A$2:$A$3000,$A2,'07_Pallet_Contents'!$D$2:$D$3000))</f>
        <v/>
      </c>
      <c r="Y2412">
        <f>IF($A2="","",SUMIF('07_Pallet_Contents'!$A$2:$A$3000,$A2,'07_Pallet_Contents'!$I$2:$I$3000))</f>
        <v/>
      </c>
      <c r="Z2412">
        <f>IF($A2="","",IF(COUNTIF('07_Pallet_Contents'!$A$2:$A$3000,$A2)&gt;0,"Yes",""))</f>
        <v/>
      </c>
    </row>
    <row r="2413">
      <c r="W2413">
        <f>IF($A2="","",COUNTIF('07_Pallet_Contents'!$A$2:$A$3000,$A2))</f>
        <v/>
      </c>
      <c r="X2413">
        <f>IF($A2="","",SUMIF('07_Pallet_Contents'!$A$2:$A$3000,$A2,'07_Pallet_Contents'!$D$2:$D$3000))</f>
        <v/>
      </c>
      <c r="Y2413">
        <f>IF($A2="","",SUMIF('07_Pallet_Contents'!$A$2:$A$3000,$A2,'07_Pallet_Contents'!$I$2:$I$3000))</f>
        <v/>
      </c>
      <c r="Z2413">
        <f>IF($A2="","",IF(COUNTIF('07_Pallet_Contents'!$A$2:$A$3000,$A2)&gt;0,"Yes",""))</f>
        <v/>
      </c>
    </row>
    <row r="2414">
      <c r="W2414">
        <f>IF($A2="","",COUNTIF('07_Pallet_Contents'!$A$2:$A$3000,$A2))</f>
        <v/>
      </c>
      <c r="X2414">
        <f>IF($A2="","",SUMIF('07_Pallet_Contents'!$A$2:$A$3000,$A2,'07_Pallet_Contents'!$D$2:$D$3000))</f>
        <v/>
      </c>
      <c r="Y2414">
        <f>IF($A2="","",SUMIF('07_Pallet_Contents'!$A$2:$A$3000,$A2,'07_Pallet_Contents'!$I$2:$I$3000))</f>
        <v/>
      </c>
      <c r="Z2414">
        <f>IF($A2="","",IF(COUNTIF('07_Pallet_Contents'!$A$2:$A$3000,$A2)&gt;0,"Yes",""))</f>
        <v/>
      </c>
    </row>
    <row r="2415">
      <c r="W2415">
        <f>IF($A2="","",COUNTIF('07_Pallet_Contents'!$A$2:$A$3000,$A2))</f>
        <v/>
      </c>
      <c r="X2415">
        <f>IF($A2="","",SUMIF('07_Pallet_Contents'!$A$2:$A$3000,$A2,'07_Pallet_Contents'!$D$2:$D$3000))</f>
        <v/>
      </c>
      <c r="Y2415">
        <f>IF($A2="","",SUMIF('07_Pallet_Contents'!$A$2:$A$3000,$A2,'07_Pallet_Contents'!$I$2:$I$3000))</f>
        <v/>
      </c>
      <c r="Z2415">
        <f>IF($A2="","",IF(COUNTIF('07_Pallet_Contents'!$A$2:$A$3000,$A2)&gt;0,"Yes",""))</f>
        <v/>
      </c>
    </row>
    <row r="2416">
      <c r="W2416">
        <f>IF($A2="","",COUNTIF('07_Pallet_Contents'!$A$2:$A$3000,$A2))</f>
        <v/>
      </c>
      <c r="X2416">
        <f>IF($A2="","",SUMIF('07_Pallet_Contents'!$A$2:$A$3000,$A2,'07_Pallet_Contents'!$D$2:$D$3000))</f>
        <v/>
      </c>
      <c r="Y2416">
        <f>IF($A2="","",SUMIF('07_Pallet_Contents'!$A$2:$A$3000,$A2,'07_Pallet_Contents'!$I$2:$I$3000))</f>
        <v/>
      </c>
      <c r="Z2416">
        <f>IF($A2="","",IF(COUNTIF('07_Pallet_Contents'!$A$2:$A$3000,$A2)&gt;0,"Yes",""))</f>
        <v/>
      </c>
    </row>
    <row r="2417">
      <c r="W2417">
        <f>IF($A2="","",COUNTIF('07_Pallet_Contents'!$A$2:$A$3000,$A2))</f>
        <v/>
      </c>
      <c r="X2417">
        <f>IF($A2="","",SUMIF('07_Pallet_Contents'!$A$2:$A$3000,$A2,'07_Pallet_Contents'!$D$2:$D$3000))</f>
        <v/>
      </c>
      <c r="Y2417">
        <f>IF($A2="","",SUMIF('07_Pallet_Contents'!$A$2:$A$3000,$A2,'07_Pallet_Contents'!$I$2:$I$3000))</f>
        <v/>
      </c>
      <c r="Z2417">
        <f>IF($A2="","",IF(COUNTIF('07_Pallet_Contents'!$A$2:$A$3000,$A2)&gt;0,"Yes",""))</f>
        <v/>
      </c>
    </row>
    <row r="2418">
      <c r="W2418">
        <f>IF($A2="","",COUNTIF('07_Pallet_Contents'!$A$2:$A$3000,$A2))</f>
        <v/>
      </c>
      <c r="X2418">
        <f>IF($A2="","",SUMIF('07_Pallet_Contents'!$A$2:$A$3000,$A2,'07_Pallet_Contents'!$D$2:$D$3000))</f>
        <v/>
      </c>
      <c r="Y2418">
        <f>IF($A2="","",SUMIF('07_Pallet_Contents'!$A$2:$A$3000,$A2,'07_Pallet_Contents'!$I$2:$I$3000))</f>
        <v/>
      </c>
      <c r="Z2418">
        <f>IF($A2="","",IF(COUNTIF('07_Pallet_Contents'!$A$2:$A$3000,$A2)&gt;0,"Yes",""))</f>
        <v/>
      </c>
    </row>
    <row r="2419">
      <c r="W2419">
        <f>IF($A2="","",COUNTIF('07_Pallet_Contents'!$A$2:$A$3000,$A2))</f>
        <v/>
      </c>
      <c r="X2419">
        <f>IF($A2="","",SUMIF('07_Pallet_Contents'!$A$2:$A$3000,$A2,'07_Pallet_Contents'!$D$2:$D$3000))</f>
        <v/>
      </c>
      <c r="Y2419">
        <f>IF($A2="","",SUMIF('07_Pallet_Contents'!$A$2:$A$3000,$A2,'07_Pallet_Contents'!$I$2:$I$3000))</f>
        <v/>
      </c>
      <c r="Z2419">
        <f>IF($A2="","",IF(COUNTIF('07_Pallet_Contents'!$A$2:$A$3000,$A2)&gt;0,"Yes",""))</f>
        <v/>
      </c>
    </row>
    <row r="2420">
      <c r="W2420">
        <f>IF($A2="","",COUNTIF('07_Pallet_Contents'!$A$2:$A$3000,$A2))</f>
        <v/>
      </c>
      <c r="X2420">
        <f>IF($A2="","",SUMIF('07_Pallet_Contents'!$A$2:$A$3000,$A2,'07_Pallet_Contents'!$D$2:$D$3000))</f>
        <v/>
      </c>
      <c r="Y2420">
        <f>IF($A2="","",SUMIF('07_Pallet_Contents'!$A$2:$A$3000,$A2,'07_Pallet_Contents'!$I$2:$I$3000))</f>
        <v/>
      </c>
      <c r="Z2420">
        <f>IF($A2="","",IF(COUNTIF('07_Pallet_Contents'!$A$2:$A$3000,$A2)&gt;0,"Yes",""))</f>
        <v/>
      </c>
    </row>
    <row r="2421">
      <c r="W2421">
        <f>IF($A2="","",COUNTIF('07_Pallet_Contents'!$A$2:$A$3000,$A2))</f>
        <v/>
      </c>
      <c r="X2421">
        <f>IF($A2="","",SUMIF('07_Pallet_Contents'!$A$2:$A$3000,$A2,'07_Pallet_Contents'!$D$2:$D$3000))</f>
        <v/>
      </c>
      <c r="Y2421">
        <f>IF($A2="","",SUMIF('07_Pallet_Contents'!$A$2:$A$3000,$A2,'07_Pallet_Contents'!$I$2:$I$3000))</f>
        <v/>
      </c>
      <c r="Z2421">
        <f>IF($A2="","",IF(COUNTIF('07_Pallet_Contents'!$A$2:$A$3000,$A2)&gt;0,"Yes",""))</f>
        <v/>
      </c>
    </row>
    <row r="2422">
      <c r="W2422">
        <f>IF($A2="","",COUNTIF('07_Pallet_Contents'!$A$2:$A$3000,$A2))</f>
        <v/>
      </c>
      <c r="X2422">
        <f>IF($A2="","",SUMIF('07_Pallet_Contents'!$A$2:$A$3000,$A2,'07_Pallet_Contents'!$D$2:$D$3000))</f>
        <v/>
      </c>
      <c r="Y2422">
        <f>IF($A2="","",SUMIF('07_Pallet_Contents'!$A$2:$A$3000,$A2,'07_Pallet_Contents'!$I$2:$I$3000))</f>
        <v/>
      </c>
      <c r="Z2422">
        <f>IF($A2="","",IF(COUNTIF('07_Pallet_Contents'!$A$2:$A$3000,$A2)&gt;0,"Yes",""))</f>
        <v/>
      </c>
    </row>
    <row r="2423">
      <c r="W2423">
        <f>IF($A2="","",COUNTIF('07_Pallet_Contents'!$A$2:$A$3000,$A2))</f>
        <v/>
      </c>
      <c r="X2423">
        <f>IF($A2="","",SUMIF('07_Pallet_Contents'!$A$2:$A$3000,$A2,'07_Pallet_Contents'!$D$2:$D$3000))</f>
        <v/>
      </c>
      <c r="Y2423">
        <f>IF($A2="","",SUMIF('07_Pallet_Contents'!$A$2:$A$3000,$A2,'07_Pallet_Contents'!$I$2:$I$3000))</f>
        <v/>
      </c>
      <c r="Z2423">
        <f>IF($A2="","",IF(COUNTIF('07_Pallet_Contents'!$A$2:$A$3000,$A2)&gt;0,"Yes",""))</f>
        <v/>
      </c>
    </row>
    <row r="2424">
      <c r="W2424">
        <f>IF($A2="","",COUNTIF('07_Pallet_Contents'!$A$2:$A$3000,$A2))</f>
        <v/>
      </c>
      <c r="X2424">
        <f>IF($A2="","",SUMIF('07_Pallet_Contents'!$A$2:$A$3000,$A2,'07_Pallet_Contents'!$D$2:$D$3000))</f>
        <v/>
      </c>
      <c r="Y2424">
        <f>IF($A2="","",SUMIF('07_Pallet_Contents'!$A$2:$A$3000,$A2,'07_Pallet_Contents'!$I$2:$I$3000))</f>
        <v/>
      </c>
      <c r="Z2424">
        <f>IF($A2="","",IF(COUNTIF('07_Pallet_Contents'!$A$2:$A$3000,$A2)&gt;0,"Yes",""))</f>
        <v/>
      </c>
    </row>
    <row r="2425">
      <c r="W2425">
        <f>IF($A2="","",COUNTIF('07_Pallet_Contents'!$A$2:$A$3000,$A2))</f>
        <v/>
      </c>
      <c r="X2425">
        <f>IF($A2="","",SUMIF('07_Pallet_Contents'!$A$2:$A$3000,$A2,'07_Pallet_Contents'!$D$2:$D$3000))</f>
        <v/>
      </c>
      <c r="Y2425">
        <f>IF($A2="","",SUMIF('07_Pallet_Contents'!$A$2:$A$3000,$A2,'07_Pallet_Contents'!$I$2:$I$3000))</f>
        <v/>
      </c>
      <c r="Z2425">
        <f>IF($A2="","",IF(COUNTIF('07_Pallet_Contents'!$A$2:$A$3000,$A2)&gt;0,"Yes",""))</f>
        <v/>
      </c>
    </row>
    <row r="2426">
      <c r="W2426">
        <f>IF($A2="","",COUNTIF('07_Pallet_Contents'!$A$2:$A$3000,$A2))</f>
        <v/>
      </c>
      <c r="X2426">
        <f>IF($A2="","",SUMIF('07_Pallet_Contents'!$A$2:$A$3000,$A2,'07_Pallet_Contents'!$D$2:$D$3000))</f>
        <v/>
      </c>
      <c r="Y2426">
        <f>IF($A2="","",SUMIF('07_Pallet_Contents'!$A$2:$A$3000,$A2,'07_Pallet_Contents'!$I$2:$I$3000))</f>
        <v/>
      </c>
      <c r="Z2426">
        <f>IF($A2="","",IF(COUNTIF('07_Pallet_Contents'!$A$2:$A$3000,$A2)&gt;0,"Yes",""))</f>
        <v/>
      </c>
    </row>
    <row r="2427">
      <c r="W2427">
        <f>IF($A2="","",COUNTIF('07_Pallet_Contents'!$A$2:$A$3000,$A2))</f>
        <v/>
      </c>
      <c r="X2427">
        <f>IF($A2="","",SUMIF('07_Pallet_Contents'!$A$2:$A$3000,$A2,'07_Pallet_Contents'!$D$2:$D$3000))</f>
        <v/>
      </c>
      <c r="Y2427">
        <f>IF($A2="","",SUMIF('07_Pallet_Contents'!$A$2:$A$3000,$A2,'07_Pallet_Contents'!$I$2:$I$3000))</f>
        <v/>
      </c>
      <c r="Z2427">
        <f>IF($A2="","",IF(COUNTIF('07_Pallet_Contents'!$A$2:$A$3000,$A2)&gt;0,"Yes",""))</f>
        <v/>
      </c>
    </row>
    <row r="2428">
      <c r="W2428">
        <f>IF($A2="","",COUNTIF('07_Pallet_Contents'!$A$2:$A$3000,$A2))</f>
        <v/>
      </c>
      <c r="X2428">
        <f>IF($A2="","",SUMIF('07_Pallet_Contents'!$A$2:$A$3000,$A2,'07_Pallet_Contents'!$D$2:$D$3000))</f>
        <v/>
      </c>
      <c r="Y2428">
        <f>IF($A2="","",SUMIF('07_Pallet_Contents'!$A$2:$A$3000,$A2,'07_Pallet_Contents'!$I$2:$I$3000))</f>
        <v/>
      </c>
      <c r="Z2428">
        <f>IF($A2="","",IF(COUNTIF('07_Pallet_Contents'!$A$2:$A$3000,$A2)&gt;0,"Yes",""))</f>
        <v/>
      </c>
    </row>
    <row r="2429">
      <c r="W2429">
        <f>IF($A2="","",COUNTIF('07_Pallet_Contents'!$A$2:$A$3000,$A2))</f>
        <v/>
      </c>
      <c r="X2429">
        <f>IF($A2="","",SUMIF('07_Pallet_Contents'!$A$2:$A$3000,$A2,'07_Pallet_Contents'!$D$2:$D$3000))</f>
        <v/>
      </c>
      <c r="Y2429">
        <f>IF($A2="","",SUMIF('07_Pallet_Contents'!$A$2:$A$3000,$A2,'07_Pallet_Contents'!$I$2:$I$3000))</f>
        <v/>
      </c>
      <c r="Z2429">
        <f>IF($A2="","",IF(COUNTIF('07_Pallet_Contents'!$A$2:$A$3000,$A2)&gt;0,"Yes",""))</f>
        <v/>
      </c>
    </row>
    <row r="2430">
      <c r="W2430">
        <f>IF($A2="","",COUNTIF('07_Pallet_Contents'!$A$2:$A$3000,$A2))</f>
        <v/>
      </c>
      <c r="X2430">
        <f>IF($A2="","",SUMIF('07_Pallet_Contents'!$A$2:$A$3000,$A2,'07_Pallet_Contents'!$D$2:$D$3000))</f>
        <v/>
      </c>
      <c r="Y2430">
        <f>IF($A2="","",SUMIF('07_Pallet_Contents'!$A$2:$A$3000,$A2,'07_Pallet_Contents'!$I$2:$I$3000))</f>
        <v/>
      </c>
      <c r="Z2430">
        <f>IF($A2="","",IF(COUNTIF('07_Pallet_Contents'!$A$2:$A$3000,$A2)&gt;0,"Yes",""))</f>
        <v/>
      </c>
    </row>
    <row r="2431">
      <c r="W2431">
        <f>IF($A2="","",COUNTIF('07_Pallet_Contents'!$A$2:$A$3000,$A2))</f>
        <v/>
      </c>
      <c r="X2431">
        <f>IF($A2="","",SUMIF('07_Pallet_Contents'!$A$2:$A$3000,$A2,'07_Pallet_Contents'!$D$2:$D$3000))</f>
        <v/>
      </c>
      <c r="Y2431">
        <f>IF($A2="","",SUMIF('07_Pallet_Contents'!$A$2:$A$3000,$A2,'07_Pallet_Contents'!$I$2:$I$3000))</f>
        <v/>
      </c>
      <c r="Z2431">
        <f>IF($A2="","",IF(COUNTIF('07_Pallet_Contents'!$A$2:$A$3000,$A2)&gt;0,"Yes",""))</f>
        <v/>
      </c>
    </row>
    <row r="2432">
      <c r="W2432">
        <f>IF($A2="","",COUNTIF('07_Pallet_Contents'!$A$2:$A$3000,$A2))</f>
        <v/>
      </c>
      <c r="X2432">
        <f>IF($A2="","",SUMIF('07_Pallet_Contents'!$A$2:$A$3000,$A2,'07_Pallet_Contents'!$D$2:$D$3000))</f>
        <v/>
      </c>
      <c r="Y2432">
        <f>IF($A2="","",SUMIF('07_Pallet_Contents'!$A$2:$A$3000,$A2,'07_Pallet_Contents'!$I$2:$I$3000))</f>
        <v/>
      </c>
      <c r="Z2432">
        <f>IF($A2="","",IF(COUNTIF('07_Pallet_Contents'!$A$2:$A$3000,$A2)&gt;0,"Yes",""))</f>
        <v/>
      </c>
    </row>
    <row r="2433">
      <c r="W2433">
        <f>IF($A2="","",COUNTIF('07_Pallet_Contents'!$A$2:$A$3000,$A2))</f>
        <v/>
      </c>
      <c r="X2433">
        <f>IF($A2="","",SUMIF('07_Pallet_Contents'!$A$2:$A$3000,$A2,'07_Pallet_Contents'!$D$2:$D$3000))</f>
        <v/>
      </c>
      <c r="Y2433">
        <f>IF($A2="","",SUMIF('07_Pallet_Contents'!$A$2:$A$3000,$A2,'07_Pallet_Contents'!$I$2:$I$3000))</f>
        <v/>
      </c>
      <c r="Z2433">
        <f>IF($A2="","",IF(COUNTIF('07_Pallet_Contents'!$A$2:$A$3000,$A2)&gt;0,"Yes",""))</f>
        <v/>
      </c>
    </row>
    <row r="2434">
      <c r="W2434">
        <f>IF($A2="","",COUNTIF('07_Pallet_Contents'!$A$2:$A$3000,$A2))</f>
        <v/>
      </c>
      <c r="X2434">
        <f>IF($A2="","",SUMIF('07_Pallet_Contents'!$A$2:$A$3000,$A2,'07_Pallet_Contents'!$D$2:$D$3000))</f>
        <v/>
      </c>
      <c r="Y2434">
        <f>IF($A2="","",SUMIF('07_Pallet_Contents'!$A$2:$A$3000,$A2,'07_Pallet_Contents'!$I$2:$I$3000))</f>
        <v/>
      </c>
      <c r="Z2434">
        <f>IF($A2="","",IF(COUNTIF('07_Pallet_Contents'!$A$2:$A$3000,$A2)&gt;0,"Yes",""))</f>
        <v/>
      </c>
    </row>
    <row r="2435">
      <c r="W2435">
        <f>IF($A2="","",COUNTIF('07_Pallet_Contents'!$A$2:$A$3000,$A2))</f>
        <v/>
      </c>
      <c r="X2435">
        <f>IF($A2="","",SUMIF('07_Pallet_Contents'!$A$2:$A$3000,$A2,'07_Pallet_Contents'!$D$2:$D$3000))</f>
        <v/>
      </c>
      <c r="Y2435">
        <f>IF($A2="","",SUMIF('07_Pallet_Contents'!$A$2:$A$3000,$A2,'07_Pallet_Contents'!$I$2:$I$3000))</f>
        <v/>
      </c>
      <c r="Z2435">
        <f>IF($A2="","",IF(COUNTIF('07_Pallet_Contents'!$A$2:$A$3000,$A2)&gt;0,"Yes",""))</f>
        <v/>
      </c>
    </row>
    <row r="2436">
      <c r="W2436">
        <f>IF($A2="","",COUNTIF('07_Pallet_Contents'!$A$2:$A$3000,$A2))</f>
        <v/>
      </c>
      <c r="X2436">
        <f>IF($A2="","",SUMIF('07_Pallet_Contents'!$A$2:$A$3000,$A2,'07_Pallet_Contents'!$D$2:$D$3000))</f>
        <v/>
      </c>
      <c r="Y2436">
        <f>IF($A2="","",SUMIF('07_Pallet_Contents'!$A$2:$A$3000,$A2,'07_Pallet_Contents'!$I$2:$I$3000))</f>
        <v/>
      </c>
      <c r="Z2436">
        <f>IF($A2="","",IF(COUNTIF('07_Pallet_Contents'!$A$2:$A$3000,$A2)&gt;0,"Yes",""))</f>
        <v/>
      </c>
    </row>
    <row r="2437">
      <c r="W2437">
        <f>IF($A2="","",COUNTIF('07_Pallet_Contents'!$A$2:$A$3000,$A2))</f>
        <v/>
      </c>
      <c r="X2437">
        <f>IF($A2="","",SUMIF('07_Pallet_Contents'!$A$2:$A$3000,$A2,'07_Pallet_Contents'!$D$2:$D$3000))</f>
        <v/>
      </c>
      <c r="Y2437">
        <f>IF($A2="","",SUMIF('07_Pallet_Contents'!$A$2:$A$3000,$A2,'07_Pallet_Contents'!$I$2:$I$3000))</f>
        <v/>
      </c>
      <c r="Z2437">
        <f>IF($A2="","",IF(COUNTIF('07_Pallet_Contents'!$A$2:$A$3000,$A2)&gt;0,"Yes",""))</f>
        <v/>
      </c>
    </row>
    <row r="2438">
      <c r="W2438">
        <f>IF($A2="","",COUNTIF('07_Pallet_Contents'!$A$2:$A$3000,$A2))</f>
        <v/>
      </c>
      <c r="X2438">
        <f>IF($A2="","",SUMIF('07_Pallet_Contents'!$A$2:$A$3000,$A2,'07_Pallet_Contents'!$D$2:$D$3000))</f>
        <v/>
      </c>
      <c r="Y2438">
        <f>IF($A2="","",SUMIF('07_Pallet_Contents'!$A$2:$A$3000,$A2,'07_Pallet_Contents'!$I$2:$I$3000))</f>
        <v/>
      </c>
      <c r="Z2438">
        <f>IF($A2="","",IF(COUNTIF('07_Pallet_Contents'!$A$2:$A$3000,$A2)&gt;0,"Yes",""))</f>
        <v/>
      </c>
    </row>
    <row r="2439">
      <c r="W2439">
        <f>IF($A2="","",COUNTIF('07_Pallet_Contents'!$A$2:$A$3000,$A2))</f>
        <v/>
      </c>
      <c r="X2439">
        <f>IF($A2="","",SUMIF('07_Pallet_Contents'!$A$2:$A$3000,$A2,'07_Pallet_Contents'!$D$2:$D$3000))</f>
        <v/>
      </c>
      <c r="Y2439">
        <f>IF($A2="","",SUMIF('07_Pallet_Contents'!$A$2:$A$3000,$A2,'07_Pallet_Contents'!$I$2:$I$3000))</f>
        <v/>
      </c>
      <c r="Z2439">
        <f>IF($A2="","",IF(COUNTIF('07_Pallet_Contents'!$A$2:$A$3000,$A2)&gt;0,"Yes",""))</f>
        <v/>
      </c>
    </row>
    <row r="2440">
      <c r="W2440">
        <f>IF($A2="","",COUNTIF('07_Pallet_Contents'!$A$2:$A$3000,$A2))</f>
        <v/>
      </c>
      <c r="X2440">
        <f>IF($A2="","",SUMIF('07_Pallet_Contents'!$A$2:$A$3000,$A2,'07_Pallet_Contents'!$D$2:$D$3000))</f>
        <v/>
      </c>
      <c r="Y2440">
        <f>IF($A2="","",SUMIF('07_Pallet_Contents'!$A$2:$A$3000,$A2,'07_Pallet_Contents'!$I$2:$I$3000))</f>
        <v/>
      </c>
      <c r="Z2440">
        <f>IF($A2="","",IF(COUNTIF('07_Pallet_Contents'!$A$2:$A$3000,$A2)&gt;0,"Yes",""))</f>
        <v/>
      </c>
    </row>
    <row r="2441">
      <c r="W2441">
        <f>IF($A2="","",COUNTIF('07_Pallet_Contents'!$A$2:$A$3000,$A2))</f>
        <v/>
      </c>
      <c r="X2441">
        <f>IF($A2="","",SUMIF('07_Pallet_Contents'!$A$2:$A$3000,$A2,'07_Pallet_Contents'!$D$2:$D$3000))</f>
        <v/>
      </c>
      <c r="Y2441">
        <f>IF($A2="","",SUMIF('07_Pallet_Contents'!$A$2:$A$3000,$A2,'07_Pallet_Contents'!$I$2:$I$3000))</f>
        <v/>
      </c>
      <c r="Z2441">
        <f>IF($A2="","",IF(COUNTIF('07_Pallet_Contents'!$A$2:$A$3000,$A2)&gt;0,"Yes",""))</f>
        <v/>
      </c>
    </row>
    <row r="2442">
      <c r="W2442">
        <f>IF($A2="","",COUNTIF('07_Pallet_Contents'!$A$2:$A$3000,$A2))</f>
        <v/>
      </c>
      <c r="X2442">
        <f>IF($A2="","",SUMIF('07_Pallet_Contents'!$A$2:$A$3000,$A2,'07_Pallet_Contents'!$D$2:$D$3000))</f>
        <v/>
      </c>
      <c r="Y2442">
        <f>IF($A2="","",SUMIF('07_Pallet_Contents'!$A$2:$A$3000,$A2,'07_Pallet_Contents'!$I$2:$I$3000))</f>
        <v/>
      </c>
      <c r="Z2442">
        <f>IF($A2="","",IF(COUNTIF('07_Pallet_Contents'!$A$2:$A$3000,$A2)&gt;0,"Yes",""))</f>
        <v/>
      </c>
    </row>
    <row r="2443">
      <c r="W2443">
        <f>IF($A2="","",COUNTIF('07_Pallet_Contents'!$A$2:$A$3000,$A2))</f>
        <v/>
      </c>
      <c r="X2443">
        <f>IF($A2="","",SUMIF('07_Pallet_Contents'!$A$2:$A$3000,$A2,'07_Pallet_Contents'!$D$2:$D$3000))</f>
        <v/>
      </c>
      <c r="Y2443">
        <f>IF($A2="","",SUMIF('07_Pallet_Contents'!$A$2:$A$3000,$A2,'07_Pallet_Contents'!$I$2:$I$3000))</f>
        <v/>
      </c>
      <c r="Z2443">
        <f>IF($A2="","",IF(COUNTIF('07_Pallet_Contents'!$A$2:$A$3000,$A2)&gt;0,"Yes",""))</f>
        <v/>
      </c>
    </row>
    <row r="2444">
      <c r="W2444">
        <f>IF($A2="","",COUNTIF('07_Pallet_Contents'!$A$2:$A$3000,$A2))</f>
        <v/>
      </c>
      <c r="X2444">
        <f>IF($A2="","",SUMIF('07_Pallet_Contents'!$A$2:$A$3000,$A2,'07_Pallet_Contents'!$D$2:$D$3000))</f>
        <v/>
      </c>
      <c r="Y2444">
        <f>IF($A2="","",SUMIF('07_Pallet_Contents'!$A$2:$A$3000,$A2,'07_Pallet_Contents'!$I$2:$I$3000))</f>
        <v/>
      </c>
      <c r="Z2444">
        <f>IF($A2="","",IF(COUNTIF('07_Pallet_Contents'!$A$2:$A$3000,$A2)&gt;0,"Yes",""))</f>
        <v/>
      </c>
    </row>
    <row r="2445">
      <c r="W2445">
        <f>IF($A2="","",COUNTIF('07_Pallet_Contents'!$A$2:$A$3000,$A2))</f>
        <v/>
      </c>
      <c r="X2445">
        <f>IF($A2="","",SUMIF('07_Pallet_Contents'!$A$2:$A$3000,$A2,'07_Pallet_Contents'!$D$2:$D$3000))</f>
        <v/>
      </c>
      <c r="Y2445">
        <f>IF($A2="","",SUMIF('07_Pallet_Contents'!$A$2:$A$3000,$A2,'07_Pallet_Contents'!$I$2:$I$3000))</f>
        <v/>
      </c>
      <c r="Z2445">
        <f>IF($A2="","",IF(COUNTIF('07_Pallet_Contents'!$A$2:$A$3000,$A2)&gt;0,"Yes",""))</f>
        <v/>
      </c>
    </row>
    <row r="2446">
      <c r="W2446">
        <f>IF($A2="","",COUNTIF('07_Pallet_Contents'!$A$2:$A$3000,$A2))</f>
        <v/>
      </c>
      <c r="X2446">
        <f>IF($A2="","",SUMIF('07_Pallet_Contents'!$A$2:$A$3000,$A2,'07_Pallet_Contents'!$D$2:$D$3000))</f>
        <v/>
      </c>
      <c r="Y2446">
        <f>IF($A2="","",SUMIF('07_Pallet_Contents'!$A$2:$A$3000,$A2,'07_Pallet_Contents'!$I$2:$I$3000))</f>
        <v/>
      </c>
      <c r="Z2446">
        <f>IF($A2="","",IF(COUNTIF('07_Pallet_Contents'!$A$2:$A$3000,$A2)&gt;0,"Yes",""))</f>
        <v/>
      </c>
    </row>
    <row r="2447">
      <c r="W2447">
        <f>IF($A2="","",COUNTIF('07_Pallet_Contents'!$A$2:$A$3000,$A2))</f>
        <v/>
      </c>
      <c r="X2447">
        <f>IF($A2="","",SUMIF('07_Pallet_Contents'!$A$2:$A$3000,$A2,'07_Pallet_Contents'!$D$2:$D$3000))</f>
        <v/>
      </c>
      <c r="Y2447">
        <f>IF($A2="","",SUMIF('07_Pallet_Contents'!$A$2:$A$3000,$A2,'07_Pallet_Contents'!$I$2:$I$3000))</f>
        <v/>
      </c>
      <c r="Z2447">
        <f>IF($A2="","",IF(COUNTIF('07_Pallet_Contents'!$A$2:$A$3000,$A2)&gt;0,"Yes",""))</f>
        <v/>
      </c>
    </row>
    <row r="2448">
      <c r="W2448">
        <f>IF($A2="","",COUNTIF('07_Pallet_Contents'!$A$2:$A$3000,$A2))</f>
        <v/>
      </c>
      <c r="X2448">
        <f>IF($A2="","",SUMIF('07_Pallet_Contents'!$A$2:$A$3000,$A2,'07_Pallet_Contents'!$D$2:$D$3000))</f>
        <v/>
      </c>
      <c r="Y2448">
        <f>IF($A2="","",SUMIF('07_Pallet_Contents'!$A$2:$A$3000,$A2,'07_Pallet_Contents'!$I$2:$I$3000))</f>
        <v/>
      </c>
      <c r="Z2448">
        <f>IF($A2="","",IF(COUNTIF('07_Pallet_Contents'!$A$2:$A$3000,$A2)&gt;0,"Yes",""))</f>
        <v/>
      </c>
    </row>
    <row r="2449">
      <c r="W2449">
        <f>IF($A2="","",COUNTIF('07_Pallet_Contents'!$A$2:$A$3000,$A2))</f>
        <v/>
      </c>
      <c r="X2449">
        <f>IF($A2="","",SUMIF('07_Pallet_Contents'!$A$2:$A$3000,$A2,'07_Pallet_Contents'!$D$2:$D$3000))</f>
        <v/>
      </c>
      <c r="Y2449">
        <f>IF($A2="","",SUMIF('07_Pallet_Contents'!$A$2:$A$3000,$A2,'07_Pallet_Contents'!$I$2:$I$3000))</f>
        <v/>
      </c>
      <c r="Z2449">
        <f>IF($A2="","",IF(COUNTIF('07_Pallet_Contents'!$A$2:$A$3000,$A2)&gt;0,"Yes",""))</f>
        <v/>
      </c>
    </row>
    <row r="2450">
      <c r="W2450">
        <f>IF($A2="","",COUNTIF('07_Pallet_Contents'!$A$2:$A$3000,$A2))</f>
        <v/>
      </c>
      <c r="X2450">
        <f>IF($A2="","",SUMIF('07_Pallet_Contents'!$A$2:$A$3000,$A2,'07_Pallet_Contents'!$D$2:$D$3000))</f>
        <v/>
      </c>
      <c r="Y2450">
        <f>IF($A2="","",SUMIF('07_Pallet_Contents'!$A$2:$A$3000,$A2,'07_Pallet_Contents'!$I$2:$I$3000))</f>
        <v/>
      </c>
      <c r="Z2450">
        <f>IF($A2="","",IF(COUNTIF('07_Pallet_Contents'!$A$2:$A$3000,$A2)&gt;0,"Yes",""))</f>
        <v/>
      </c>
    </row>
    <row r="2451">
      <c r="W2451">
        <f>IF($A2="","",COUNTIF('07_Pallet_Contents'!$A$2:$A$3000,$A2))</f>
        <v/>
      </c>
      <c r="X2451">
        <f>IF($A2="","",SUMIF('07_Pallet_Contents'!$A$2:$A$3000,$A2,'07_Pallet_Contents'!$D$2:$D$3000))</f>
        <v/>
      </c>
      <c r="Y2451">
        <f>IF($A2="","",SUMIF('07_Pallet_Contents'!$A$2:$A$3000,$A2,'07_Pallet_Contents'!$I$2:$I$3000))</f>
        <v/>
      </c>
      <c r="Z2451">
        <f>IF($A2="","",IF(COUNTIF('07_Pallet_Contents'!$A$2:$A$3000,$A2)&gt;0,"Yes",""))</f>
        <v/>
      </c>
    </row>
    <row r="2452">
      <c r="W2452">
        <f>IF($A2="","",COUNTIF('07_Pallet_Contents'!$A$2:$A$3000,$A2))</f>
        <v/>
      </c>
      <c r="X2452">
        <f>IF($A2="","",SUMIF('07_Pallet_Contents'!$A$2:$A$3000,$A2,'07_Pallet_Contents'!$D$2:$D$3000))</f>
        <v/>
      </c>
      <c r="Y2452">
        <f>IF($A2="","",SUMIF('07_Pallet_Contents'!$A$2:$A$3000,$A2,'07_Pallet_Contents'!$I$2:$I$3000))</f>
        <v/>
      </c>
      <c r="Z2452">
        <f>IF($A2="","",IF(COUNTIF('07_Pallet_Contents'!$A$2:$A$3000,$A2)&gt;0,"Yes",""))</f>
        <v/>
      </c>
    </row>
    <row r="2453">
      <c r="W2453">
        <f>IF($A2="","",COUNTIF('07_Pallet_Contents'!$A$2:$A$3000,$A2))</f>
        <v/>
      </c>
      <c r="X2453">
        <f>IF($A2="","",SUMIF('07_Pallet_Contents'!$A$2:$A$3000,$A2,'07_Pallet_Contents'!$D$2:$D$3000))</f>
        <v/>
      </c>
      <c r="Y2453">
        <f>IF($A2="","",SUMIF('07_Pallet_Contents'!$A$2:$A$3000,$A2,'07_Pallet_Contents'!$I$2:$I$3000))</f>
        <v/>
      </c>
      <c r="Z2453">
        <f>IF($A2="","",IF(COUNTIF('07_Pallet_Contents'!$A$2:$A$3000,$A2)&gt;0,"Yes",""))</f>
        <v/>
      </c>
    </row>
    <row r="2454">
      <c r="W2454">
        <f>IF($A2="","",COUNTIF('07_Pallet_Contents'!$A$2:$A$3000,$A2))</f>
        <v/>
      </c>
      <c r="X2454">
        <f>IF($A2="","",SUMIF('07_Pallet_Contents'!$A$2:$A$3000,$A2,'07_Pallet_Contents'!$D$2:$D$3000))</f>
        <v/>
      </c>
      <c r="Y2454">
        <f>IF($A2="","",SUMIF('07_Pallet_Contents'!$A$2:$A$3000,$A2,'07_Pallet_Contents'!$I$2:$I$3000))</f>
        <v/>
      </c>
      <c r="Z2454">
        <f>IF($A2="","",IF(COUNTIF('07_Pallet_Contents'!$A$2:$A$3000,$A2)&gt;0,"Yes",""))</f>
        <v/>
      </c>
    </row>
    <row r="2455">
      <c r="W2455">
        <f>IF($A2="","",COUNTIF('07_Pallet_Contents'!$A$2:$A$3000,$A2))</f>
        <v/>
      </c>
      <c r="X2455">
        <f>IF($A2="","",SUMIF('07_Pallet_Contents'!$A$2:$A$3000,$A2,'07_Pallet_Contents'!$D$2:$D$3000))</f>
        <v/>
      </c>
      <c r="Y2455">
        <f>IF($A2="","",SUMIF('07_Pallet_Contents'!$A$2:$A$3000,$A2,'07_Pallet_Contents'!$I$2:$I$3000))</f>
        <v/>
      </c>
      <c r="Z2455">
        <f>IF($A2="","",IF(COUNTIF('07_Pallet_Contents'!$A$2:$A$3000,$A2)&gt;0,"Yes",""))</f>
        <v/>
      </c>
    </row>
    <row r="2456">
      <c r="W2456">
        <f>IF($A2="","",COUNTIF('07_Pallet_Contents'!$A$2:$A$3000,$A2))</f>
        <v/>
      </c>
      <c r="X2456">
        <f>IF($A2="","",SUMIF('07_Pallet_Contents'!$A$2:$A$3000,$A2,'07_Pallet_Contents'!$D$2:$D$3000))</f>
        <v/>
      </c>
      <c r="Y2456">
        <f>IF($A2="","",SUMIF('07_Pallet_Contents'!$A$2:$A$3000,$A2,'07_Pallet_Contents'!$I$2:$I$3000))</f>
        <v/>
      </c>
      <c r="Z2456">
        <f>IF($A2="","",IF(COUNTIF('07_Pallet_Contents'!$A$2:$A$3000,$A2)&gt;0,"Yes",""))</f>
        <v/>
      </c>
    </row>
    <row r="2457">
      <c r="W2457">
        <f>IF($A2="","",COUNTIF('07_Pallet_Contents'!$A$2:$A$3000,$A2))</f>
        <v/>
      </c>
      <c r="X2457">
        <f>IF($A2="","",SUMIF('07_Pallet_Contents'!$A$2:$A$3000,$A2,'07_Pallet_Contents'!$D$2:$D$3000))</f>
        <v/>
      </c>
      <c r="Y2457">
        <f>IF($A2="","",SUMIF('07_Pallet_Contents'!$A$2:$A$3000,$A2,'07_Pallet_Contents'!$I$2:$I$3000))</f>
        <v/>
      </c>
      <c r="Z2457">
        <f>IF($A2="","",IF(COUNTIF('07_Pallet_Contents'!$A$2:$A$3000,$A2)&gt;0,"Yes",""))</f>
        <v/>
      </c>
    </row>
    <row r="2458">
      <c r="W2458">
        <f>IF($A2="","",COUNTIF('07_Pallet_Contents'!$A$2:$A$3000,$A2))</f>
        <v/>
      </c>
      <c r="X2458">
        <f>IF($A2="","",SUMIF('07_Pallet_Contents'!$A$2:$A$3000,$A2,'07_Pallet_Contents'!$D$2:$D$3000))</f>
        <v/>
      </c>
      <c r="Y2458">
        <f>IF($A2="","",SUMIF('07_Pallet_Contents'!$A$2:$A$3000,$A2,'07_Pallet_Contents'!$I$2:$I$3000))</f>
        <v/>
      </c>
      <c r="Z2458">
        <f>IF($A2="","",IF(COUNTIF('07_Pallet_Contents'!$A$2:$A$3000,$A2)&gt;0,"Yes",""))</f>
        <v/>
      </c>
    </row>
    <row r="2459">
      <c r="W2459">
        <f>IF($A2="","",COUNTIF('07_Pallet_Contents'!$A$2:$A$3000,$A2))</f>
        <v/>
      </c>
      <c r="X2459">
        <f>IF($A2="","",SUMIF('07_Pallet_Contents'!$A$2:$A$3000,$A2,'07_Pallet_Contents'!$D$2:$D$3000))</f>
        <v/>
      </c>
      <c r="Y2459">
        <f>IF($A2="","",SUMIF('07_Pallet_Contents'!$A$2:$A$3000,$A2,'07_Pallet_Contents'!$I$2:$I$3000))</f>
        <v/>
      </c>
      <c r="Z2459">
        <f>IF($A2="","",IF(COUNTIF('07_Pallet_Contents'!$A$2:$A$3000,$A2)&gt;0,"Yes",""))</f>
        <v/>
      </c>
    </row>
    <row r="2460">
      <c r="W2460">
        <f>IF($A2="","",COUNTIF('07_Pallet_Contents'!$A$2:$A$3000,$A2))</f>
        <v/>
      </c>
      <c r="X2460">
        <f>IF($A2="","",SUMIF('07_Pallet_Contents'!$A$2:$A$3000,$A2,'07_Pallet_Contents'!$D$2:$D$3000))</f>
        <v/>
      </c>
      <c r="Y2460">
        <f>IF($A2="","",SUMIF('07_Pallet_Contents'!$A$2:$A$3000,$A2,'07_Pallet_Contents'!$I$2:$I$3000))</f>
        <v/>
      </c>
      <c r="Z2460">
        <f>IF($A2="","",IF(COUNTIF('07_Pallet_Contents'!$A$2:$A$3000,$A2)&gt;0,"Yes",""))</f>
        <v/>
      </c>
    </row>
    <row r="2461">
      <c r="W2461">
        <f>IF($A2="","",COUNTIF('07_Pallet_Contents'!$A$2:$A$3000,$A2))</f>
        <v/>
      </c>
      <c r="X2461">
        <f>IF($A2="","",SUMIF('07_Pallet_Contents'!$A$2:$A$3000,$A2,'07_Pallet_Contents'!$D$2:$D$3000))</f>
        <v/>
      </c>
      <c r="Y2461">
        <f>IF($A2="","",SUMIF('07_Pallet_Contents'!$A$2:$A$3000,$A2,'07_Pallet_Contents'!$I$2:$I$3000))</f>
        <v/>
      </c>
      <c r="Z2461">
        <f>IF($A2="","",IF(COUNTIF('07_Pallet_Contents'!$A$2:$A$3000,$A2)&gt;0,"Yes",""))</f>
        <v/>
      </c>
    </row>
    <row r="2462">
      <c r="W2462">
        <f>IF($A2="","",COUNTIF('07_Pallet_Contents'!$A$2:$A$3000,$A2))</f>
        <v/>
      </c>
      <c r="X2462">
        <f>IF($A2="","",SUMIF('07_Pallet_Contents'!$A$2:$A$3000,$A2,'07_Pallet_Contents'!$D$2:$D$3000))</f>
        <v/>
      </c>
      <c r="Y2462">
        <f>IF($A2="","",SUMIF('07_Pallet_Contents'!$A$2:$A$3000,$A2,'07_Pallet_Contents'!$I$2:$I$3000))</f>
        <v/>
      </c>
      <c r="Z2462">
        <f>IF($A2="","",IF(COUNTIF('07_Pallet_Contents'!$A$2:$A$3000,$A2)&gt;0,"Yes",""))</f>
        <v/>
      </c>
    </row>
    <row r="2463">
      <c r="W2463">
        <f>IF($A2="","",COUNTIF('07_Pallet_Contents'!$A$2:$A$3000,$A2))</f>
        <v/>
      </c>
      <c r="X2463">
        <f>IF($A2="","",SUMIF('07_Pallet_Contents'!$A$2:$A$3000,$A2,'07_Pallet_Contents'!$D$2:$D$3000))</f>
        <v/>
      </c>
      <c r="Y2463">
        <f>IF($A2="","",SUMIF('07_Pallet_Contents'!$A$2:$A$3000,$A2,'07_Pallet_Contents'!$I$2:$I$3000))</f>
        <v/>
      </c>
      <c r="Z2463">
        <f>IF($A2="","",IF(COUNTIF('07_Pallet_Contents'!$A$2:$A$3000,$A2)&gt;0,"Yes",""))</f>
        <v/>
      </c>
    </row>
    <row r="2464">
      <c r="W2464">
        <f>IF($A2="","",COUNTIF('07_Pallet_Contents'!$A$2:$A$3000,$A2))</f>
        <v/>
      </c>
      <c r="X2464">
        <f>IF($A2="","",SUMIF('07_Pallet_Contents'!$A$2:$A$3000,$A2,'07_Pallet_Contents'!$D$2:$D$3000))</f>
        <v/>
      </c>
      <c r="Y2464">
        <f>IF($A2="","",SUMIF('07_Pallet_Contents'!$A$2:$A$3000,$A2,'07_Pallet_Contents'!$I$2:$I$3000))</f>
        <v/>
      </c>
      <c r="Z2464">
        <f>IF($A2="","",IF(COUNTIF('07_Pallet_Contents'!$A$2:$A$3000,$A2)&gt;0,"Yes",""))</f>
        <v/>
      </c>
    </row>
    <row r="2465">
      <c r="W2465">
        <f>IF($A2="","",COUNTIF('07_Pallet_Contents'!$A$2:$A$3000,$A2))</f>
        <v/>
      </c>
      <c r="X2465">
        <f>IF($A2="","",SUMIF('07_Pallet_Contents'!$A$2:$A$3000,$A2,'07_Pallet_Contents'!$D$2:$D$3000))</f>
        <v/>
      </c>
      <c r="Y2465">
        <f>IF($A2="","",SUMIF('07_Pallet_Contents'!$A$2:$A$3000,$A2,'07_Pallet_Contents'!$I$2:$I$3000))</f>
        <v/>
      </c>
      <c r="Z2465">
        <f>IF($A2="","",IF(COUNTIF('07_Pallet_Contents'!$A$2:$A$3000,$A2)&gt;0,"Yes",""))</f>
        <v/>
      </c>
    </row>
    <row r="2466">
      <c r="W2466">
        <f>IF($A2="","",COUNTIF('07_Pallet_Contents'!$A$2:$A$3000,$A2))</f>
        <v/>
      </c>
      <c r="X2466">
        <f>IF($A2="","",SUMIF('07_Pallet_Contents'!$A$2:$A$3000,$A2,'07_Pallet_Contents'!$D$2:$D$3000))</f>
        <v/>
      </c>
      <c r="Y2466">
        <f>IF($A2="","",SUMIF('07_Pallet_Contents'!$A$2:$A$3000,$A2,'07_Pallet_Contents'!$I$2:$I$3000))</f>
        <v/>
      </c>
      <c r="Z2466">
        <f>IF($A2="","",IF(COUNTIF('07_Pallet_Contents'!$A$2:$A$3000,$A2)&gt;0,"Yes",""))</f>
        <v/>
      </c>
    </row>
    <row r="2467">
      <c r="W2467">
        <f>IF($A2="","",COUNTIF('07_Pallet_Contents'!$A$2:$A$3000,$A2))</f>
        <v/>
      </c>
      <c r="X2467">
        <f>IF($A2="","",SUMIF('07_Pallet_Contents'!$A$2:$A$3000,$A2,'07_Pallet_Contents'!$D$2:$D$3000))</f>
        <v/>
      </c>
      <c r="Y2467">
        <f>IF($A2="","",SUMIF('07_Pallet_Contents'!$A$2:$A$3000,$A2,'07_Pallet_Contents'!$I$2:$I$3000))</f>
        <v/>
      </c>
      <c r="Z2467">
        <f>IF($A2="","",IF(COUNTIF('07_Pallet_Contents'!$A$2:$A$3000,$A2)&gt;0,"Yes",""))</f>
        <v/>
      </c>
    </row>
    <row r="2468">
      <c r="W2468">
        <f>IF($A2="","",COUNTIF('07_Pallet_Contents'!$A$2:$A$3000,$A2))</f>
        <v/>
      </c>
      <c r="X2468">
        <f>IF($A2="","",SUMIF('07_Pallet_Contents'!$A$2:$A$3000,$A2,'07_Pallet_Contents'!$D$2:$D$3000))</f>
        <v/>
      </c>
      <c r="Y2468">
        <f>IF($A2="","",SUMIF('07_Pallet_Contents'!$A$2:$A$3000,$A2,'07_Pallet_Contents'!$I$2:$I$3000))</f>
        <v/>
      </c>
      <c r="Z2468">
        <f>IF($A2="","",IF(COUNTIF('07_Pallet_Contents'!$A$2:$A$3000,$A2)&gt;0,"Yes",""))</f>
        <v/>
      </c>
    </row>
    <row r="2469">
      <c r="W2469">
        <f>IF($A2="","",COUNTIF('07_Pallet_Contents'!$A$2:$A$3000,$A2))</f>
        <v/>
      </c>
      <c r="X2469">
        <f>IF($A2="","",SUMIF('07_Pallet_Contents'!$A$2:$A$3000,$A2,'07_Pallet_Contents'!$D$2:$D$3000))</f>
        <v/>
      </c>
      <c r="Y2469">
        <f>IF($A2="","",SUMIF('07_Pallet_Contents'!$A$2:$A$3000,$A2,'07_Pallet_Contents'!$I$2:$I$3000))</f>
        <v/>
      </c>
      <c r="Z2469">
        <f>IF($A2="","",IF(COUNTIF('07_Pallet_Contents'!$A$2:$A$3000,$A2)&gt;0,"Yes",""))</f>
        <v/>
      </c>
    </row>
    <row r="2470">
      <c r="W2470">
        <f>IF($A2="","",COUNTIF('07_Pallet_Contents'!$A$2:$A$3000,$A2))</f>
        <v/>
      </c>
      <c r="X2470">
        <f>IF($A2="","",SUMIF('07_Pallet_Contents'!$A$2:$A$3000,$A2,'07_Pallet_Contents'!$D$2:$D$3000))</f>
        <v/>
      </c>
      <c r="Y2470">
        <f>IF($A2="","",SUMIF('07_Pallet_Contents'!$A$2:$A$3000,$A2,'07_Pallet_Contents'!$I$2:$I$3000))</f>
        <v/>
      </c>
      <c r="Z2470">
        <f>IF($A2="","",IF(COUNTIF('07_Pallet_Contents'!$A$2:$A$3000,$A2)&gt;0,"Yes",""))</f>
        <v/>
      </c>
    </row>
    <row r="2471">
      <c r="W2471">
        <f>IF($A2="","",COUNTIF('07_Pallet_Contents'!$A$2:$A$3000,$A2))</f>
        <v/>
      </c>
      <c r="X2471">
        <f>IF($A2="","",SUMIF('07_Pallet_Contents'!$A$2:$A$3000,$A2,'07_Pallet_Contents'!$D$2:$D$3000))</f>
        <v/>
      </c>
      <c r="Y2471">
        <f>IF($A2="","",SUMIF('07_Pallet_Contents'!$A$2:$A$3000,$A2,'07_Pallet_Contents'!$I$2:$I$3000))</f>
        <v/>
      </c>
      <c r="Z2471">
        <f>IF($A2="","",IF(COUNTIF('07_Pallet_Contents'!$A$2:$A$3000,$A2)&gt;0,"Yes",""))</f>
        <v/>
      </c>
    </row>
    <row r="2472">
      <c r="W2472">
        <f>IF($A2="","",COUNTIF('07_Pallet_Contents'!$A$2:$A$3000,$A2))</f>
        <v/>
      </c>
      <c r="X2472">
        <f>IF($A2="","",SUMIF('07_Pallet_Contents'!$A$2:$A$3000,$A2,'07_Pallet_Contents'!$D$2:$D$3000))</f>
        <v/>
      </c>
      <c r="Y2472">
        <f>IF($A2="","",SUMIF('07_Pallet_Contents'!$A$2:$A$3000,$A2,'07_Pallet_Contents'!$I$2:$I$3000))</f>
        <v/>
      </c>
      <c r="Z2472">
        <f>IF($A2="","",IF(COUNTIF('07_Pallet_Contents'!$A$2:$A$3000,$A2)&gt;0,"Yes",""))</f>
        <v/>
      </c>
    </row>
    <row r="2473">
      <c r="W2473">
        <f>IF($A2="","",COUNTIF('07_Pallet_Contents'!$A$2:$A$3000,$A2))</f>
        <v/>
      </c>
      <c r="X2473">
        <f>IF($A2="","",SUMIF('07_Pallet_Contents'!$A$2:$A$3000,$A2,'07_Pallet_Contents'!$D$2:$D$3000))</f>
        <v/>
      </c>
      <c r="Y2473">
        <f>IF($A2="","",SUMIF('07_Pallet_Contents'!$A$2:$A$3000,$A2,'07_Pallet_Contents'!$I$2:$I$3000))</f>
        <v/>
      </c>
      <c r="Z2473">
        <f>IF($A2="","",IF(COUNTIF('07_Pallet_Contents'!$A$2:$A$3000,$A2)&gt;0,"Yes",""))</f>
        <v/>
      </c>
    </row>
    <row r="2474">
      <c r="W2474">
        <f>IF($A2="","",COUNTIF('07_Pallet_Contents'!$A$2:$A$3000,$A2))</f>
        <v/>
      </c>
      <c r="X2474">
        <f>IF($A2="","",SUMIF('07_Pallet_Contents'!$A$2:$A$3000,$A2,'07_Pallet_Contents'!$D$2:$D$3000))</f>
        <v/>
      </c>
      <c r="Y2474">
        <f>IF($A2="","",SUMIF('07_Pallet_Contents'!$A$2:$A$3000,$A2,'07_Pallet_Contents'!$I$2:$I$3000))</f>
        <v/>
      </c>
      <c r="Z2474">
        <f>IF($A2="","",IF(COUNTIF('07_Pallet_Contents'!$A$2:$A$3000,$A2)&gt;0,"Yes",""))</f>
        <v/>
      </c>
    </row>
    <row r="2475">
      <c r="W2475">
        <f>IF($A2="","",COUNTIF('07_Pallet_Contents'!$A$2:$A$3000,$A2))</f>
        <v/>
      </c>
      <c r="X2475">
        <f>IF($A2="","",SUMIF('07_Pallet_Contents'!$A$2:$A$3000,$A2,'07_Pallet_Contents'!$D$2:$D$3000))</f>
        <v/>
      </c>
      <c r="Y2475">
        <f>IF($A2="","",SUMIF('07_Pallet_Contents'!$A$2:$A$3000,$A2,'07_Pallet_Contents'!$I$2:$I$3000))</f>
        <v/>
      </c>
      <c r="Z2475">
        <f>IF($A2="","",IF(COUNTIF('07_Pallet_Contents'!$A$2:$A$3000,$A2)&gt;0,"Yes",""))</f>
        <v/>
      </c>
    </row>
    <row r="2476">
      <c r="W2476">
        <f>IF($A2="","",COUNTIF('07_Pallet_Contents'!$A$2:$A$3000,$A2))</f>
        <v/>
      </c>
      <c r="X2476">
        <f>IF($A2="","",SUMIF('07_Pallet_Contents'!$A$2:$A$3000,$A2,'07_Pallet_Contents'!$D$2:$D$3000))</f>
        <v/>
      </c>
      <c r="Y2476">
        <f>IF($A2="","",SUMIF('07_Pallet_Contents'!$A$2:$A$3000,$A2,'07_Pallet_Contents'!$I$2:$I$3000))</f>
        <v/>
      </c>
      <c r="Z2476">
        <f>IF($A2="","",IF(COUNTIF('07_Pallet_Contents'!$A$2:$A$3000,$A2)&gt;0,"Yes",""))</f>
        <v/>
      </c>
    </row>
    <row r="2477">
      <c r="W2477">
        <f>IF($A2="","",COUNTIF('07_Pallet_Contents'!$A$2:$A$3000,$A2))</f>
        <v/>
      </c>
      <c r="X2477">
        <f>IF($A2="","",SUMIF('07_Pallet_Contents'!$A$2:$A$3000,$A2,'07_Pallet_Contents'!$D$2:$D$3000))</f>
        <v/>
      </c>
      <c r="Y2477">
        <f>IF($A2="","",SUMIF('07_Pallet_Contents'!$A$2:$A$3000,$A2,'07_Pallet_Contents'!$I$2:$I$3000))</f>
        <v/>
      </c>
      <c r="Z2477">
        <f>IF($A2="","",IF(COUNTIF('07_Pallet_Contents'!$A$2:$A$3000,$A2)&gt;0,"Yes",""))</f>
        <v/>
      </c>
    </row>
    <row r="2478">
      <c r="W2478">
        <f>IF($A2="","",COUNTIF('07_Pallet_Contents'!$A$2:$A$3000,$A2))</f>
        <v/>
      </c>
      <c r="X2478">
        <f>IF($A2="","",SUMIF('07_Pallet_Contents'!$A$2:$A$3000,$A2,'07_Pallet_Contents'!$D$2:$D$3000))</f>
        <v/>
      </c>
      <c r="Y2478">
        <f>IF($A2="","",SUMIF('07_Pallet_Contents'!$A$2:$A$3000,$A2,'07_Pallet_Contents'!$I$2:$I$3000))</f>
        <v/>
      </c>
      <c r="Z2478">
        <f>IF($A2="","",IF(COUNTIF('07_Pallet_Contents'!$A$2:$A$3000,$A2)&gt;0,"Yes",""))</f>
        <v/>
      </c>
    </row>
    <row r="2479">
      <c r="W2479">
        <f>IF($A2="","",COUNTIF('07_Pallet_Contents'!$A$2:$A$3000,$A2))</f>
        <v/>
      </c>
      <c r="X2479">
        <f>IF($A2="","",SUMIF('07_Pallet_Contents'!$A$2:$A$3000,$A2,'07_Pallet_Contents'!$D$2:$D$3000))</f>
        <v/>
      </c>
      <c r="Y2479">
        <f>IF($A2="","",SUMIF('07_Pallet_Contents'!$A$2:$A$3000,$A2,'07_Pallet_Contents'!$I$2:$I$3000))</f>
        <v/>
      </c>
      <c r="Z2479">
        <f>IF($A2="","",IF(COUNTIF('07_Pallet_Contents'!$A$2:$A$3000,$A2)&gt;0,"Yes",""))</f>
        <v/>
      </c>
    </row>
    <row r="2480">
      <c r="W2480">
        <f>IF($A2="","",COUNTIF('07_Pallet_Contents'!$A$2:$A$3000,$A2))</f>
        <v/>
      </c>
      <c r="X2480">
        <f>IF($A2="","",SUMIF('07_Pallet_Contents'!$A$2:$A$3000,$A2,'07_Pallet_Contents'!$D$2:$D$3000))</f>
        <v/>
      </c>
      <c r="Y2480">
        <f>IF($A2="","",SUMIF('07_Pallet_Contents'!$A$2:$A$3000,$A2,'07_Pallet_Contents'!$I$2:$I$3000))</f>
        <v/>
      </c>
      <c r="Z2480">
        <f>IF($A2="","",IF(COUNTIF('07_Pallet_Contents'!$A$2:$A$3000,$A2)&gt;0,"Yes",""))</f>
        <v/>
      </c>
    </row>
    <row r="2481">
      <c r="W2481">
        <f>IF($A2="","",COUNTIF('07_Pallet_Contents'!$A$2:$A$3000,$A2))</f>
        <v/>
      </c>
      <c r="X2481">
        <f>IF($A2="","",SUMIF('07_Pallet_Contents'!$A$2:$A$3000,$A2,'07_Pallet_Contents'!$D$2:$D$3000))</f>
        <v/>
      </c>
      <c r="Y2481">
        <f>IF($A2="","",SUMIF('07_Pallet_Contents'!$A$2:$A$3000,$A2,'07_Pallet_Contents'!$I$2:$I$3000))</f>
        <v/>
      </c>
      <c r="Z2481">
        <f>IF($A2="","",IF(COUNTIF('07_Pallet_Contents'!$A$2:$A$3000,$A2)&gt;0,"Yes",""))</f>
        <v/>
      </c>
    </row>
    <row r="2482">
      <c r="W2482">
        <f>IF($A2="","",COUNTIF('07_Pallet_Contents'!$A$2:$A$3000,$A2))</f>
        <v/>
      </c>
      <c r="X2482">
        <f>IF($A2="","",SUMIF('07_Pallet_Contents'!$A$2:$A$3000,$A2,'07_Pallet_Contents'!$D$2:$D$3000))</f>
        <v/>
      </c>
      <c r="Y2482">
        <f>IF($A2="","",SUMIF('07_Pallet_Contents'!$A$2:$A$3000,$A2,'07_Pallet_Contents'!$I$2:$I$3000))</f>
        <v/>
      </c>
      <c r="Z2482">
        <f>IF($A2="","",IF(COUNTIF('07_Pallet_Contents'!$A$2:$A$3000,$A2)&gt;0,"Yes",""))</f>
        <v/>
      </c>
    </row>
    <row r="2483">
      <c r="W2483">
        <f>IF($A2="","",COUNTIF('07_Pallet_Contents'!$A$2:$A$3000,$A2))</f>
        <v/>
      </c>
      <c r="X2483">
        <f>IF($A2="","",SUMIF('07_Pallet_Contents'!$A$2:$A$3000,$A2,'07_Pallet_Contents'!$D$2:$D$3000))</f>
        <v/>
      </c>
      <c r="Y2483">
        <f>IF($A2="","",SUMIF('07_Pallet_Contents'!$A$2:$A$3000,$A2,'07_Pallet_Contents'!$I$2:$I$3000))</f>
        <v/>
      </c>
      <c r="Z2483">
        <f>IF($A2="","",IF(COUNTIF('07_Pallet_Contents'!$A$2:$A$3000,$A2)&gt;0,"Yes",""))</f>
        <v/>
      </c>
    </row>
    <row r="2484">
      <c r="W2484">
        <f>IF($A2="","",COUNTIF('07_Pallet_Contents'!$A$2:$A$3000,$A2))</f>
        <v/>
      </c>
      <c r="X2484">
        <f>IF($A2="","",SUMIF('07_Pallet_Contents'!$A$2:$A$3000,$A2,'07_Pallet_Contents'!$D$2:$D$3000))</f>
        <v/>
      </c>
      <c r="Y2484">
        <f>IF($A2="","",SUMIF('07_Pallet_Contents'!$A$2:$A$3000,$A2,'07_Pallet_Contents'!$I$2:$I$3000))</f>
        <v/>
      </c>
      <c r="Z2484">
        <f>IF($A2="","",IF(COUNTIF('07_Pallet_Contents'!$A$2:$A$3000,$A2)&gt;0,"Yes",""))</f>
        <v/>
      </c>
    </row>
    <row r="2485">
      <c r="W2485">
        <f>IF($A2="","",COUNTIF('07_Pallet_Contents'!$A$2:$A$3000,$A2))</f>
        <v/>
      </c>
      <c r="X2485">
        <f>IF($A2="","",SUMIF('07_Pallet_Contents'!$A$2:$A$3000,$A2,'07_Pallet_Contents'!$D$2:$D$3000))</f>
        <v/>
      </c>
      <c r="Y2485">
        <f>IF($A2="","",SUMIF('07_Pallet_Contents'!$A$2:$A$3000,$A2,'07_Pallet_Contents'!$I$2:$I$3000))</f>
        <v/>
      </c>
      <c r="Z2485">
        <f>IF($A2="","",IF(COUNTIF('07_Pallet_Contents'!$A$2:$A$3000,$A2)&gt;0,"Yes",""))</f>
        <v/>
      </c>
    </row>
    <row r="2486">
      <c r="W2486">
        <f>IF($A2="","",COUNTIF('07_Pallet_Contents'!$A$2:$A$3000,$A2))</f>
        <v/>
      </c>
      <c r="X2486">
        <f>IF($A2="","",SUMIF('07_Pallet_Contents'!$A$2:$A$3000,$A2,'07_Pallet_Contents'!$D$2:$D$3000))</f>
        <v/>
      </c>
      <c r="Y2486">
        <f>IF($A2="","",SUMIF('07_Pallet_Contents'!$A$2:$A$3000,$A2,'07_Pallet_Contents'!$I$2:$I$3000))</f>
        <v/>
      </c>
      <c r="Z2486">
        <f>IF($A2="","",IF(COUNTIF('07_Pallet_Contents'!$A$2:$A$3000,$A2)&gt;0,"Yes",""))</f>
        <v/>
      </c>
    </row>
    <row r="2487">
      <c r="W2487">
        <f>IF($A2="","",COUNTIF('07_Pallet_Contents'!$A$2:$A$3000,$A2))</f>
        <v/>
      </c>
      <c r="X2487">
        <f>IF($A2="","",SUMIF('07_Pallet_Contents'!$A$2:$A$3000,$A2,'07_Pallet_Contents'!$D$2:$D$3000))</f>
        <v/>
      </c>
      <c r="Y2487">
        <f>IF($A2="","",SUMIF('07_Pallet_Contents'!$A$2:$A$3000,$A2,'07_Pallet_Contents'!$I$2:$I$3000))</f>
        <v/>
      </c>
      <c r="Z2487">
        <f>IF($A2="","",IF(COUNTIF('07_Pallet_Contents'!$A$2:$A$3000,$A2)&gt;0,"Yes",""))</f>
        <v/>
      </c>
    </row>
    <row r="2488">
      <c r="W2488">
        <f>IF($A2="","",COUNTIF('07_Pallet_Contents'!$A$2:$A$3000,$A2))</f>
        <v/>
      </c>
      <c r="X2488">
        <f>IF($A2="","",SUMIF('07_Pallet_Contents'!$A$2:$A$3000,$A2,'07_Pallet_Contents'!$D$2:$D$3000))</f>
        <v/>
      </c>
      <c r="Y2488">
        <f>IF($A2="","",SUMIF('07_Pallet_Contents'!$A$2:$A$3000,$A2,'07_Pallet_Contents'!$I$2:$I$3000))</f>
        <v/>
      </c>
      <c r="Z2488">
        <f>IF($A2="","",IF(COUNTIF('07_Pallet_Contents'!$A$2:$A$3000,$A2)&gt;0,"Yes",""))</f>
        <v/>
      </c>
    </row>
    <row r="2489">
      <c r="W2489">
        <f>IF($A2="","",COUNTIF('07_Pallet_Contents'!$A$2:$A$3000,$A2))</f>
        <v/>
      </c>
      <c r="X2489">
        <f>IF($A2="","",SUMIF('07_Pallet_Contents'!$A$2:$A$3000,$A2,'07_Pallet_Contents'!$D$2:$D$3000))</f>
        <v/>
      </c>
      <c r="Y2489">
        <f>IF($A2="","",SUMIF('07_Pallet_Contents'!$A$2:$A$3000,$A2,'07_Pallet_Contents'!$I$2:$I$3000))</f>
        <v/>
      </c>
      <c r="Z2489">
        <f>IF($A2="","",IF(COUNTIF('07_Pallet_Contents'!$A$2:$A$3000,$A2)&gt;0,"Yes",""))</f>
        <v/>
      </c>
    </row>
    <row r="2490">
      <c r="W2490">
        <f>IF($A2="","",COUNTIF('07_Pallet_Contents'!$A$2:$A$3000,$A2))</f>
        <v/>
      </c>
      <c r="X2490">
        <f>IF($A2="","",SUMIF('07_Pallet_Contents'!$A$2:$A$3000,$A2,'07_Pallet_Contents'!$D$2:$D$3000))</f>
        <v/>
      </c>
      <c r="Y2490">
        <f>IF($A2="","",SUMIF('07_Pallet_Contents'!$A$2:$A$3000,$A2,'07_Pallet_Contents'!$I$2:$I$3000))</f>
        <v/>
      </c>
      <c r="Z2490">
        <f>IF($A2="","",IF(COUNTIF('07_Pallet_Contents'!$A$2:$A$3000,$A2)&gt;0,"Yes",""))</f>
        <v/>
      </c>
    </row>
    <row r="2491">
      <c r="W2491">
        <f>IF($A2="","",COUNTIF('07_Pallet_Contents'!$A$2:$A$3000,$A2))</f>
        <v/>
      </c>
      <c r="X2491">
        <f>IF($A2="","",SUMIF('07_Pallet_Contents'!$A$2:$A$3000,$A2,'07_Pallet_Contents'!$D$2:$D$3000))</f>
        <v/>
      </c>
      <c r="Y2491">
        <f>IF($A2="","",SUMIF('07_Pallet_Contents'!$A$2:$A$3000,$A2,'07_Pallet_Contents'!$I$2:$I$3000))</f>
        <v/>
      </c>
      <c r="Z2491">
        <f>IF($A2="","",IF(COUNTIF('07_Pallet_Contents'!$A$2:$A$3000,$A2)&gt;0,"Yes",""))</f>
        <v/>
      </c>
    </row>
    <row r="2492">
      <c r="W2492">
        <f>IF($A2="","",COUNTIF('07_Pallet_Contents'!$A$2:$A$3000,$A2))</f>
        <v/>
      </c>
      <c r="X2492">
        <f>IF($A2="","",SUMIF('07_Pallet_Contents'!$A$2:$A$3000,$A2,'07_Pallet_Contents'!$D$2:$D$3000))</f>
        <v/>
      </c>
      <c r="Y2492">
        <f>IF($A2="","",SUMIF('07_Pallet_Contents'!$A$2:$A$3000,$A2,'07_Pallet_Contents'!$I$2:$I$3000))</f>
        <v/>
      </c>
      <c r="Z2492">
        <f>IF($A2="","",IF(COUNTIF('07_Pallet_Contents'!$A$2:$A$3000,$A2)&gt;0,"Yes",""))</f>
        <v/>
      </c>
    </row>
    <row r="2493">
      <c r="W2493">
        <f>IF($A2="","",COUNTIF('07_Pallet_Contents'!$A$2:$A$3000,$A2))</f>
        <v/>
      </c>
      <c r="X2493">
        <f>IF($A2="","",SUMIF('07_Pallet_Contents'!$A$2:$A$3000,$A2,'07_Pallet_Contents'!$D$2:$D$3000))</f>
        <v/>
      </c>
      <c r="Y2493">
        <f>IF($A2="","",SUMIF('07_Pallet_Contents'!$A$2:$A$3000,$A2,'07_Pallet_Contents'!$I$2:$I$3000))</f>
        <v/>
      </c>
      <c r="Z2493">
        <f>IF($A2="","",IF(COUNTIF('07_Pallet_Contents'!$A$2:$A$3000,$A2)&gt;0,"Yes",""))</f>
        <v/>
      </c>
    </row>
    <row r="2494">
      <c r="W2494">
        <f>IF($A2="","",COUNTIF('07_Pallet_Contents'!$A$2:$A$3000,$A2))</f>
        <v/>
      </c>
      <c r="X2494">
        <f>IF($A2="","",SUMIF('07_Pallet_Contents'!$A$2:$A$3000,$A2,'07_Pallet_Contents'!$D$2:$D$3000))</f>
        <v/>
      </c>
      <c r="Y2494">
        <f>IF($A2="","",SUMIF('07_Pallet_Contents'!$A$2:$A$3000,$A2,'07_Pallet_Contents'!$I$2:$I$3000))</f>
        <v/>
      </c>
      <c r="Z2494">
        <f>IF($A2="","",IF(COUNTIF('07_Pallet_Contents'!$A$2:$A$3000,$A2)&gt;0,"Yes",""))</f>
        <v/>
      </c>
    </row>
    <row r="2495">
      <c r="W2495">
        <f>IF($A2="","",COUNTIF('07_Pallet_Contents'!$A$2:$A$3000,$A2))</f>
        <v/>
      </c>
      <c r="X2495">
        <f>IF($A2="","",SUMIF('07_Pallet_Contents'!$A$2:$A$3000,$A2,'07_Pallet_Contents'!$D$2:$D$3000))</f>
        <v/>
      </c>
      <c r="Y2495">
        <f>IF($A2="","",SUMIF('07_Pallet_Contents'!$A$2:$A$3000,$A2,'07_Pallet_Contents'!$I$2:$I$3000))</f>
        <v/>
      </c>
      <c r="Z2495">
        <f>IF($A2="","",IF(COUNTIF('07_Pallet_Contents'!$A$2:$A$3000,$A2)&gt;0,"Yes",""))</f>
        <v/>
      </c>
    </row>
    <row r="2496">
      <c r="W2496">
        <f>IF($A2="","",COUNTIF('07_Pallet_Contents'!$A$2:$A$3000,$A2))</f>
        <v/>
      </c>
      <c r="X2496">
        <f>IF($A2="","",SUMIF('07_Pallet_Contents'!$A$2:$A$3000,$A2,'07_Pallet_Contents'!$D$2:$D$3000))</f>
        <v/>
      </c>
      <c r="Y2496">
        <f>IF($A2="","",SUMIF('07_Pallet_Contents'!$A$2:$A$3000,$A2,'07_Pallet_Contents'!$I$2:$I$3000))</f>
        <v/>
      </c>
      <c r="Z2496">
        <f>IF($A2="","",IF(COUNTIF('07_Pallet_Contents'!$A$2:$A$3000,$A2)&gt;0,"Yes",""))</f>
        <v/>
      </c>
    </row>
    <row r="2497">
      <c r="W2497">
        <f>IF($A2="","",COUNTIF('07_Pallet_Contents'!$A$2:$A$3000,$A2))</f>
        <v/>
      </c>
      <c r="X2497">
        <f>IF($A2="","",SUMIF('07_Pallet_Contents'!$A$2:$A$3000,$A2,'07_Pallet_Contents'!$D$2:$D$3000))</f>
        <v/>
      </c>
      <c r="Y2497">
        <f>IF($A2="","",SUMIF('07_Pallet_Contents'!$A$2:$A$3000,$A2,'07_Pallet_Contents'!$I$2:$I$3000))</f>
        <v/>
      </c>
      <c r="Z2497">
        <f>IF($A2="","",IF(COUNTIF('07_Pallet_Contents'!$A$2:$A$3000,$A2)&gt;0,"Yes",""))</f>
        <v/>
      </c>
    </row>
    <row r="2498">
      <c r="W2498">
        <f>IF($A2="","",COUNTIF('07_Pallet_Contents'!$A$2:$A$3000,$A2))</f>
        <v/>
      </c>
      <c r="X2498">
        <f>IF($A2="","",SUMIF('07_Pallet_Contents'!$A$2:$A$3000,$A2,'07_Pallet_Contents'!$D$2:$D$3000))</f>
        <v/>
      </c>
      <c r="Y2498">
        <f>IF($A2="","",SUMIF('07_Pallet_Contents'!$A$2:$A$3000,$A2,'07_Pallet_Contents'!$I$2:$I$3000))</f>
        <v/>
      </c>
      <c r="Z2498">
        <f>IF($A2="","",IF(COUNTIF('07_Pallet_Contents'!$A$2:$A$3000,$A2)&gt;0,"Yes",""))</f>
        <v/>
      </c>
    </row>
    <row r="2499">
      <c r="W2499">
        <f>IF($A2="","",COUNTIF('07_Pallet_Contents'!$A$2:$A$3000,$A2))</f>
        <v/>
      </c>
      <c r="X2499">
        <f>IF($A2="","",SUMIF('07_Pallet_Contents'!$A$2:$A$3000,$A2,'07_Pallet_Contents'!$D$2:$D$3000))</f>
        <v/>
      </c>
      <c r="Y2499">
        <f>IF($A2="","",SUMIF('07_Pallet_Contents'!$A$2:$A$3000,$A2,'07_Pallet_Contents'!$I$2:$I$3000))</f>
        <v/>
      </c>
      <c r="Z2499">
        <f>IF($A2="","",IF(COUNTIF('07_Pallet_Contents'!$A$2:$A$3000,$A2)&gt;0,"Yes",""))</f>
        <v/>
      </c>
    </row>
    <row r="2500">
      <c r="W2500">
        <f>IF($A2="","",COUNTIF('07_Pallet_Contents'!$A$2:$A$3000,$A2))</f>
        <v/>
      </c>
      <c r="X2500">
        <f>IF($A2="","",SUMIF('07_Pallet_Contents'!$A$2:$A$3000,$A2,'07_Pallet_Contents'!$D$2:$D$3000))</f>
        <v/>
      </c>
      <c r="Y2500">
        <f>IF($A2="","",SUMIF('07_Pallet_Contents'!$A$2:$A$3000,$A2,'07_Pallet_Contents'!$I$2:$I$3000))</f>
        <v/>
      </c>
      <c r="Z2500">
        <f>IF($A2="","",IF(COUNTIF('07_Pallet_Contents'!$A$2:$A$3000,$A2)&gt;0,"Yes",""))</f>
        <v/>
      </c>
    </row>
    <row r="2501">
      <c r="W2501">
        <f>IF($A2="","",COUNTIF('07_Pallet_Contents'!$A$2:$A$3000,$A2))</f>
        <v/>
      </c>
      <c r="X2501">
        <f>IF($A2="","",SUMIF('07_Pallet_Contents'!$A$2:$A$3000,$A2,'07_Pallet_Contents'!$D$2:$D$3000))</f>
        <v/>
      </c>
      <c r="Y2501">
        <f>IF($A2="","",SUMIF('07_Pallet_Contents'!$A$2:$A$3000,$A2,'07_Pallet_Contents'!$I$2:$I$3000))</f>
        <v/>
      </c>
      <c r="Z2501">
        <f>IF($A2="","",IF(COUNTIF('07_Pallet_Contents'!$A$2:$A$3000,$A2)&gt;0,"Yes",""))</f>
        <v/>
      </c>
    </row>
    <row r="2502">
      <c r="W2502">
        <f>IF($A2="","",COUNTIF('07_Pallet_Contents'!$A$2:$A$3000,$A2))</f>
        <v/>
      </c>
      <c r="X2502">
        <f>IF($A2="","",SUMIF('07_Pallet_Contents'!$A$2:$A$3000,$A2,'07_Pallet_Contents'!$D$2:$D$3000))</f>
        <v/>
      </c>
      <c r="Y2502">
        <f>IF($A2="","",SUMIF('07_Pallet_Contents'!$A$2:$A$3000,$A2,'07_Pallet_Contents'!$I$2:$I$3000))</f>
        <v/>
      </c>
      <c r="Z2502">
        <f>IF($A2="","",IF(COUNTIF('07_Pallet_Contents'!$A$2:$A$3000,$A2)&gt;0,"Yes",""))</f>
        <v/>
      </c>
    </row>
    <row r="2503">
      <c r="W2503">
        <f>IF($A2="","",COUNTIF('07_Pallet_Contents'!$A$2:$A$3000,$A2))</f>
        <v/>
      </c>
      <c r="X2503">
        <f>IF($A2="","",SUMIF('07_Pallet_Contents'!$A$2:$A$3000,$A2,'07_Pallet_Contents'!$D$2:$D$3000))</f>
        <v/>
      </c>
      <c r="Y2503">
        <f>IF($A2="","",SUMIF('07_Pallet_Contents'!$A$2:$A$3000,$A2,'07_Pallet_Contents'!$I$2:$I$3000))</f>
        <v/>
      </c>
      <c r="Z2503">
        <f>IF($A2="","",IF(COUNTIF('07_Pallet_Contents'!$A$2:$A$3000,$A2)&gt;0,"Yes",""))</f>
        <v/>
      </c>
    </row>
    <row r="2504">
      <c r="W2504">
        <f>IF($A2="","",COUNTIF('07_Pallet_Contents'!$A$2:$A$3000,$A2))</f>
        <v/>
      </c>
      <c r="X2504">
        <f>IF($A2="","",SUMIF('07_Pallet_Contents'!$A$2:$A$3000,$A2,'07_Pallet_Contents'!$D$2:$D$3000))</f>
        <v/>
      </c>
      <c r="Y2504">
        <f>IF($A2="","",SUMIF('07_Pallet_Contents'!$A$2:$A$3000,$A2,'07_Pallet_Contents'!$I$2:$I$3000))</f>
        <v/>
      </c>
      <c r="Z2504">
        <f>IF($A2="","",IF(COUNTIF('07_Pallet_Contents'!$A$2:$A$3000,$A2)&gt;0,"Yes",""))</f>
        <v/>
      </c>
    </row>
    <row r="2505">
      <c r="W2505">
        <f>IF($A2="","",COUNTIF('07_Pallet_Contents'!$A$2:$A$3000,$A2))</f>
        <v/>
      </c>
      <c r="X2505">
        <f>IF($A2="","",SUMIF('07_Pallet_Contents'!$A$2:$A$3000,$A2,'07_Pallet_Contents'!$D$2:$D$3000))</f>
        <v/>
      </c>
      <c r="Y2505">
        <f>IF($A2="","",SUMIF('07_Pallet_Contents'!$A$2:$A$3000,$A2,'07_Pallet_Contents'!$I$2:$I$3000))</f>
        <v/>
      </c>
      <c r="Z2505">
        <f>IF($A2="","",IF(COUNTIF('07_Pallet_Contents'!$A$2:$A$3000,$A2)&gt;0,"Yes",""))</f>
        <v/>
      </c>
    </row>
    <row r="2506">
      <c r="W2506">
        <f>IF($A2="","",COUNTIF('07_Pallet_Contents'!$A$2:$A$3000,$A2))</f>
        <v/>
      </c>
      <c r="X2506">
        <f>IF($A2="","",SUMIF('07_Pallet_Contents'!$A$2:$A$3000,$A2,'07_Pallet_Contents'!$D$2:$D$3000))</f>
        <v/>
      </c>
      <c r="Y2506">
        <f>IF($A2="","",SUMIF('07_Pallet_Contents'!$A$2:$A$3000,$A2,'07_Pallet_Contents'!$I$2:$I$3000))</f>
        <v/>
      </c>
      <c r="Z2506">
        <f>IF($A2="","",IF(COUNTIF('07_Pallet_Contents'!$A$2:$A$3000,$A2)&gt;0,"Yes",""))</f>
        <v/>
      </c>
    </row>
    <row r="2507">
      <c r="W2507">
        <f>IF($A2="","",COUNTIF('07_Pallet_Contents'!$A$2:$A$3000,$A2))</f>
        <v/>
      </c>
      <c r="X2507">
        <f>IF($A2="","",SUMIF('07_Pallet_Contents'!$A$2:$A$3000,$A2,'07_Pallet_Contents'!$D$2:$D$3000))</f>
        <v/>
      </c>
      <c r="Y2507">
        <f>IF($A2="","",SUMIF('07_Pallet_Contents'!$A$2:$A$3000,$A2,'07_Pallet_Contents'!$I$2:$I$3000))</f>
        <v/>
      </c>
      <c r="Z2507">
        <f>IF($A2="","",IF(COUNTIF('07_Pallet_Contents'!$A$2:$A$3000,$A2)&gt;0,"Yes",""))</f>
        <v/>
      </c>
    </row>
    <row r="2508">
      <c r="W2508">
        <f>IF($A2="","",COUNTIF('07_Pallet_Contents'!$A$2:$A$3000,$A2))</f>
        <v/>
      </c>
      <c r="X2508">
        <f>IF($A2="","",SUMIF('07_Pallet_Contents'!$A$2:$A$3000,$A2,'07_Pallet_Contents'!$D$2:$D$3000))</f>
        <v/>
      </c>
      <c r="Y2508">
        <f>IF($A2="","",SUMIF('07_Pallet_Contents'!$A$2:$A$3000,$A2,'07_Pallet_Contents'!$I$2:$I$3000))</f>
        <v/>
      </c>
      <c r="Z2508">
        <f>IF($A2="","",IF(COUNTIF('07_Pallet_Contents'!$A$2:$A$3000,$A2)&gt;0,"Yes",""))</f>
        <v/>
      </c>
    </row>
    <row r="2509">
      <c r="W2509">
        <f>IF($A2="","",COUNTIF('07_Pallet_Contents'!$A$2:$A$3000,$A2))</f>
        <v/>
      </c>
      <c r="X2509">
        <f>IF($A2="","",SUMIF('07_Pallet_Contents'!$A$2:$A$3000,$A2,'07_Pallet_Contents'!$D$2:$D$3000))</f>
        <v/>
      </c>
      <c r="Y2509">
        <f>IF($A2="","",SUMIF('07_Pallet_Contents'!$A$2:$A$3000,$A2,'07_Pallet_Contents'!$I$2:$I$3000))</f>
        <v/>
      </c>
      <c r="Z2509">
        <f>IF($A2="","",IF(COUNTIF('07_Pallet_Contents'!$A$2:$A$3000,$A2)&gt;0,"Yes",""))</f>
        <v/>
      </c>
    </row>
    <row r="2510">
      <c r="W2510">
        <f>IF($A2="","",COUNTIF('07_Pallet_Contents'!$A$2:$A$3000,$A2))</f>
        <v/>
      </c>
      <c r="X2510">
        <f>IF($A2="","",SUMIF('07_Pallet_Contents'!$A$2:$A$3000,$A2,'07_Pallet_Contents'!$D$2:$D$3000))</f>
        <v/>
      </c>
      <c r="Y2510">
        <f>IF($A2="","",SUMIF('07_Pallet_Contents'!$A$2:$A$3000,$A2,'07_Pallet_Contents'!$I$2:$I$3000))</f>
        <v/>
      </c>
      <c r="Z2510">
        <f>IF($A2="","",IF(COUNTIF('07_Pallet_Contents'!$A$2:$A$3000,$A2)&gt;0,"Yes",""))</f>
        <v/>
      </c>
    </row>
    <row r="2511">
      <c r="W2511">
        <f>IF($A2="","",COUNTIF('07_Pallet_Contents'!$A$2:$A$3000,$A2))</f>
        <v/>
      </c>
      <c r="X2511">
        <f>IF($A2="","",SUMIF('07_Pallet_Contents'!$A$2:$A$3000,$A2,'07_Pallet_Contents'!$D$2:$D$3000))</f>
        <v/>
      </c>
      <c r="Y2511">
        <f>IF($A2="","",SUMIF('07_Pallet_Contents'!$A$2:$A$3000,$A2,'07_Pallet_Contents'!$I$2:$I$3000))</f>
        <v/>
      </c>
      <c r="Z2511">
        <f>IF($A2="","",IF(COUNTIF('07_Pallet_Contents'!$A$2:$A$3000,$A2)&gt;0,"Yes",""))</f>
        <v/>
      </c>
    </row>
    <row r="2512">
      <c r="W2512">
        <f>IF($A2="","",COUNTIF('07_Pallet_Contents'!$A$2:$A$3000,$A2))</f>
        <v/>
      </c>
      <c r="X2512">
        <f>IF($A2="","",SUMIF('07_Pallet_Contents'!$A$2:$A$3000,$A2,'07_Pallet_Contents'!$D$2:$D$3000))</f>
        <v/>
      </c>
      <c r="Y2512">
        <f>IF($A2="","",SUMIF('07_Pallet_Contents'!$A$2:$A$3000,$A2,'07_Pallet_Contents'!$I$2:$I$3000))</f>
        <v/>
      </c>
      <c r="Z2512">
        <f>IF($A2="","",IF(COUNTIF('07_Pallet_Contents'!$A$2:$A$3000,$A2)&gt;0,"Yes",""))</f>
        <v/>
      </c>
    </row>
    <row r="2513">
      <c r="W2513">
        <f>IF($A2="","",COUNTIF('07_Pallet_Contents'!$A$2:$A$3000,$A2))</f>
        <v/>
      </c>
      <c r="X2513">
        <f>IF($A2="","",SUMIF('07_Pallet_Contents'!$A$2:$A$3000,$A2,'07_Pallet_Contents'!$D$2:$D$3000))</f>
        <v/>
      </c>
      <c r="Y2513">
        <f>IF($A2="","",SUMIF('07_Pallet_Contents'!$A$2:$A$3000,$A2,'07_Pallet_Contents'!$I$2:$I$3000))</f>
        <v/>
      </c>
      <c r="Z2513">
        <f>IF($A2="","",IF(COUNTIF('07_Pallet_Contents'!$A$2:$A$3000,$A2)&gt;0,"Yes",""))</f>
        <v/>
      </c>
    </row>
    <row r="2514">
      <c r="W2514">
        <f>IF($A2="","",COUNTIF('07_Pallet_Contents'!$A$2:$A$3000,$A2))</f>
        <v/>
      </c>
      <c r="X2514">
        <f>IF($A2="","",SUMIF('07_Pallet_Contents'!$A$2:$A$3000,$A2,'07_Pallet_Contents'!$D$2:$D$3000))</f>
        <v/>
      </c>
      <c r="Y2514">
        <f>IF($A2="","",SUMIF('07_Pallet_Contents'!$A$2:$A$3000,$A2,'07_Pallet_Contents'!$I$2:$I$3000))</f>
        <v/>
      </c>
      <c r="Z2514">
        <f>IF($A2="","",IF(COUNTIF('07_Pallet_Contents'!$A$2:$A$3000,$A2)&gt;0,"Yes",""))</f>
        <v/>
      </c>
    </row>
    <row r="2515">
      <c r="W2515">
        <f>IF($A2="","",COUNTIF('07_Pallet_Contents'!$A$2:$A$3000,$A2))</f>
        <v/>
      </c>
      <c r="X2515">
        <f>IF($A2="","",SUMIF('07_Pallet_Contents'!$A$2:$A$3000,$A2,'07_Pallet_Contents'!$D$2:$D$3000))</f>
        <v/>
      </c>
      <c r="Y2515">
        <f>IF($A2="","",SUMIF('07_Pallet_Contents'!$A$2:$A$3000,$A2,'07_Pallet_Contents'!$I$2:$I$3000))</f>
        <v/>
      </c>
      <c r="Z2515">
        <f>IF($A2="","",IF(COUNTIF('07_Pallet_Contents'!$A$2:$A$3000,$A2)&gt;0,"Yes",""))</f>
        <v/>
      </c>
    </row>
    <row r="2516">
      <c r="W2516">
        <f>IF($A2="","",COUNTIF('07_Pallet_Contents'!$A$2:$A$3000,$A2))</f>
        <v/>
      </c>
      <c r="X2516">
        <f>IF($A2="","",SUMIF('07_Pallet_Contents'!$A$2:$A$3000,$A2,'07_Pallet_Contents'!$D$2:$D$3000))</f>
        <v/>
      </c>
      <c r="Y2516">
        <f>IF($A2="","",SUMIF('07_Pallet_Contents'!$A$2:$A$3000,$A2,'07_Pallet_Contents'!$I$2:$I$3000))</f>
        <v/>
      </c>
      <c r="Z2516">
        <f>IF($A2="","",IF(COUNTIF('07_Pallet_Contents'!$A$2:$A$3000,$A2)&gt;0,"Yes",""))</f>
        <v/>
      </c>
    </row>
    <row r="2517">
      <c r="W2517">
        <f>IF($A2="","",COUNTIF('07_Pallet_Contents'!$A$2:$A$3000,$A2))</f>
        <v/>
      </c>
      <c r="X2517">
        <f>IF($A2="","",SUMIF('07_Pallet_Contents'!$A$2:$A$3000,$A2,'07_Pallet_Contents'!$D$2:$D$3000))</f>
        <v/>
      </c>
      <c r="Y2517">
        <f>IF($A2="","",SUMIF('07_Pallet_Contents'!$A$2:$A$3000,$A2,'07_Pallet_Contents'!$I$2:$I$3000))</f>
        <v/>
      </c>
      <c r="Z2517">
        <f>IF($A2="","",IF(COUNTIF('07_Pallet_Contents'!$A$2:$A$3000,$A2)&gt;0,"Yes",""))</f>
        <v/>
      </c>
    </row>
    <row r="2518">
      <c r="W2518">
        <f>IF($A2="","",COUNTIF('07_Pallet_Contents'!$A$2:$A$3000,$A2))</f>
        <v/>
      </c>
      <c r="X2518">
        <f>IF($A2="","",SUMIF('07_Pallet_Contents'!$A$2:$A$3000,$A2,'07_Pallet_Contents'!$D$2:$D$3000))</f>
        <v/>
      </c>
      <c r="Y2518">
        <f>IF($A2="","",SUMIF('07_Pallet_Contents'!$A$2:$A$3000,$A2,'07_Pallet_Contents'!$I$2:$I$3000))</f>
        <v/>
      </c>
      <c r="Z2518">
        <f>IF($A2="","",IF(COUNTIF('07_Pallet_Contents'!$A$2:$A$3000,$A2)&gt;0,"Yes",""))</f>
        <v/>
      </c>
    </row>
    <row r="2519">
      <c r="W2519">
        <f>IF($A2="","",COUNTIF('07_Pallet_Contents'!$A$2:$A$3000,$A2))</f>
        <v/>
      </c>
      <c r="X2519">
        <f>IF($A2="","",SUMIF('07_Pallet_Contents'!$A$2:$A$3000,$A2,'07_Pallet_Contents'!$D$2:$D$3000))</f>
        <v/>
      </c>
      <c r="Y2519">
        <f>IF($A2="","",SUMIF('07_Pallet_Contents'!$A$2:$A$3000,$A2,'07_Pallet_Contents'!$I$2:$I$3000))</f>
        <v/>
      </c>
      <c r="Z2519">
        <f>IF($A2="","",IF(COUNTIF('07_Pallet_Contents'!$A$2:$A$3000,$A2)&gt;0,"Yes",""))</f>
        <v/>
      </c>
    </row>
    <row r="2520">
      <c r="W2520">
        <f>IF($A2="","",COUNTIF('07_Pallet_Contents'!$A$2:$A$3000,$A2))</f>
        <v/>
      </c>
      <c r="X2520">
        <f>IF($A2="","",SUMIF('07_Pallet_Contents'!$A$2:$A$3000,$A2,'07_Pallet_Contents'!$D$2:$D$3000))</f>
        <v/>
      </c>
      <c r="Y2520">
        <f>IF($A2="","",SUMIF('07_Pallet_Contents'!$A$2:$A$3000,$A2,'07_Pallet_Contents'!$I$2:$I$3000))</f>
        <v/>
      </c>
      <c r="Z2520">
        <f>IF($A2="","",IF(COUNTIF('07_Pallet_Contents'!$A$2:$A$3000,$A2)&gt;0,"Yes",""))</f>
        <v/>
      </c>
    </row>
    <row r="2521">
      <c r="W2521">
        <f>IF($A2="","",COUNTIF('07_Pallet_Contents'!$A$2:$A$3000,$A2))</f>
        <v/>
      </c>
      <c r="X2521">
        <f>IF($A2="","",SUMIF('07_Pallet_Contents'!$A$2:$A$3000,$A2,'07_Pallet_Contents'!$D$2:$D$3000))</f>
        <v/>
      </c>
      <c r="Y2521">
        <f>IF($A2="","",SUMIF('07_Pallet_Contents'!$A$2:$A$3000,$A2,'07_Pallet_Contents'!$I$2:$I$3000))</f>
        <v/>
      </c>
      <c r="Z2521">
        <f>IF($A2="","",IF(COUNTIF('07_Pallet_Contents'!$A$2:$A$3000,$A2)&gt;0,"Yes",""))</f>
        <v/>
      </c>
    </row>
    <row r="2522">
      <c r="W2522">
        <f>IF($A2="","",COUNTIF('07_Pallet_Contents'!$A$2:$A$3000,$A2))</f>
        <v/>
      </c>
      <c r="X2522">
        <f>IF($A2="","",SUMIF('07_Pallet_Contents'!$A$2:$A$3000,$A2,'07_Pallet_Contents'!$D$2:$D$3000))</f>
        <v/>
      </c>
      <c r="Y2522">
        <f>IF($A2="","",SUMIF('07_Pallet_Contents'!$A$2:$A$3000,$A2,'07_Pallet_Contents'!$I$2:$I$3000))</f>
        <v/>
      </c>
      <c r="Z2522">
        <f>IF($A2="","",IF(COUNTIF('07_Pallet_Contents'!$A$2:$A$3000,$A2)&gt;0,"Yes",""))</f>
        <v/>
      </c>
    </row>
    <row r="2523">
      <c r="W2523">
        <f>IF($A2="","",COUNTIF('07_Pallet_Contents'!$A$2:$A$3000,$A2))</f>
        <v/>
      </c>
      <c r="X2523">
        <f>IF($A2="","",SUMIF('07_Pallet_Contents'!$A$2:$A$3000,$A2,'07_Pallet_Contents'!$D$2:$D$3000))</f>
        <v/>
      </c>
      <c r="Y2523">
        <f>IF($A2="","",SUMIF('07_Pallet_Contents'!$A$2:$A$3000,$A2,'07_Pallet_Contents'!$I$2:$I$3000))</f>
        <v/>
      </c>
      <c r="Z2523">
        <f>IF($A2="","",IF(COUNTIF('07_Pallet_Contents'!$A$2:$A$3000,$A2)&gt;0,"Yes",""))</f>
        <v/>
      </c>
    </row>
    <row r="2524">
      <c r="W2524">
        <f>IF($A2="","",COUNTIF('07_Pallet_Contents'!$A$2:$A$3000,$A2))</f>
        <v/>
      </c>
      <c r="X2524">
        <f>IF($A2="","",SUMIF('07_Pallet_Contents'!$A$2:$A$3000,$A2,'07_Pallet_Contents'!$D$2:$D$3000))</f>
        <v/>
      </c>
      <c r="Y2524">
        <f>IF($A2="","",SUMIF('07_Pallet_Contents'!$A$2:$A$3000,$A2,'07_Pallet_Contents'!$I$2:$I$3000))</f>
        <v/>
      </c>
      <c r="Z2524">
        <f>IF($A2="","",IF(COUNTIF('07_Pallet_Contents'!$A$2:$A$3000,$A2)&gt;0,"Yes",""))</f>
        <v/>
      </c>
    </row>
    <row r="2525">
      <c r="W2525">
        <f>IF($A2="","",COUNTIF('07_Pallet_Contents'!$A$2:$A$3000,$A2))</f>
        <v/>
      </c>
      <c r="X2525">
        <f>IF($A2="","",SUMIF('07_Pallet_Contents'!$A$2:$A$3000,$A2,'07_Pallet_Contents'!$D$2:$D$3000))</f>
        <v/>
      </c>
      <c r="Y2525">
        <f>IF($A2="","",SUMIF('07_Pallet_Contents'!$A$2:$A$3000,$A2,'07_Pallet_Contents'!$I$2:$I$3000))</f>
        <v/>
      </c>
      <c r="Z2525">
        <f>IF($A2="","",IF(COUNTIF('07_Pallet_Contents'!$A$2:$A$3000,$A2)&gt;0,"Yes",""))</f>
        <v/>
      </c>
    </row>
    <row r="2526">
      <c r="W2526">
        <f>IF($A2="","",COUNTIF('07_Pallet_Contents'!$A$2:$A$3000,$A2))</f>
        <v/>
      </c>
      <c r="X2526">
        <f>IF($A2="","",SUMIF('07_Pallet_Contents'!$A$2:$A$3000,$A2,'07_Pallet_Contents'!$D$2:$D$3000))</f>
        <v/>
      </c>
      <c r="Y2526">
        <f>IF($A2="","",SUMIF('07_Pallet_Contents'!$A$2:$A$3000,$A2,'07_Pallet_Contents'!$I$2:$I$3000))</f>
        <v/>
      </c>
      <c r="Z2526">
        <f>IF($A2="","",IF(COUNTIF('07_Pallet_Contents'!$A$2:$A$3000,$A2)&gt;0,"Yes",""))</f>
        <v/>
      </c>
    </row>
    <row r="2527">
      <c r="W2527">
        <f>IF($A2="","",COUNTIF('07_Pallet_Contents'!$A$2:$A$3000,$A2))</f>
        <v/>
      </c>
      <c r="X2527">
        <f>IF($A2="","",SUMIF('07_Pallet_Contents'!$A$2:$A$3000,$A2,'07_Pallet_Contents'!$D$2:$D$3000))</f>
        <v/>
      </c>
      <c r="Y2527">
        <f>IF($A2="","",SUMIF('07_Pallet_Contents'!$A$2:$A$3000,$A2,'07_Pallet_Contents'!$I$2:$I$3000))</f>
        <v/>
      </c>
      <c r="Z2527">
        <f>IF($A2="","",IF(COUNTIF('07_Pallet_Contents'!$A$2:$A$3000,$A2)&gt;0,"Yes",""))</f>
        <v/>
      </c>
    </row>
    <row r="2528">
      <c r="W2528">
        <f>IF($A2="","",COUNTIF('07_Pallet_Contents'!$A$2:$A$3000,$A2))</f>
        <v/>
      </c>
      <c r="X2528">
        <f>IF($A2="","",SUMIF('07_Pallet_Contents'!$A$2:$A$3000,$A2,'07_Pallet_Contents'!$D$2:$D$3000))</f>
        <v/>
      </c>
      <c r="Y2528">
        <f>IF($A2="","",SUMIF('07_Pallet_Contents'!$A$2:$A$3000,$A2,'07_Pallet_Contents'!$I$2:$I$3000))</f>
        <v/>
      </c>
      <c r="Z2528">
        <f>IF($A2="","",IF(COUNTIF('07_Pallet_Contents'!$A$2:$A$3000,$A2)&gt;0,"Yes",""))</f>
        <v/>
      </c>
    </row>
    <row r="2529">
      <c r="W2529">
        <f>IF($A2="","",COUNTIF('07_Pallet_Contents'!$A$2:$A$3000,$A2))</f>
        <v/>
      </c>
      <c r="X2529">
        <f>IF($A2="","",SUMIF('07_Pallet_Contents'!$A$2:$A$3000,$A2,'07_Pallet_Contents'!$D$2:$D$3000))</f>
        <v/>
      </c>
      <c r="Y2529">
        <f>IF($A2="","",SUMIF('07_Pallet_Contents'!$A$2:$A$3000,$A2,'07_Pallet_Contents'!$I$2:$I$3000))</f>
        <v/>
      </c>
      <c r="Z2529">
        <f>IF($A2="","",IF(COUNTIF('07_Pallet_Contents'!$A$2:$A$3000,$A2)&gt;0,"Yes",""))</f>
        <v/>
      </c>
    </row>
    <row r="2530">
      <c r="W2530">
        <f>IF($A2="","",COUNTIF('07_Pallet_Contents'!$A$2:$A$3000,$A2))</f>
        <v/>
      </c>
      <c r="X2530">
        <f>IF($A2="","",SUMIF('07_Pallet_Contents'!$A$2:$A$3000,$A2,'07_Pallet_Contents'!$D$2:$D$3000))</f>
        <v/>
      </c>
      <c r="Y2530">
        <f>IF($A2="","",SUMIF('07_Pallet_Contents'!$A$2:$A$3000,$A2,'07_Pallet_Contents'!$I$2:$I$3000))</f>
        <v/>
      </c>
      <c r="Z2530">
        <f>IF($A2="","",IF(COUNTIF('07_Pallet_Contents'!$A$2:$A$3000,$A2)&gt;0,"Yes",""))</f>
        <v/>
      </c>
    </row>
    <row r="2531">
      <c r="W2531">
        <f>IF($A2="","",COUNTIF('07_Pallet_Contents'!$A$2:$A$3000,$A2))</f>
        <v/>
      </c>
      <c r="X2531">
        <f>IF($A2="","",SUMIF('07_Pallet_Contents'!$A$2:$A$3000,$A2,'07_Pallet_Contents'!$D$2:$D$3000))</f>
        <v/>
      </c>
      <c r="Y2531">
        <f>IF($A2="","",SUMIF('07_Pallet_Contents'!$A$2:$A$3000,$A2,'07_Pallet_Contents'!$I$2:$I$3000))</f>
        <v/>
      </c>
      <c r="Z2531">
        <f>IF($A2="","",IF(COUNTIF('07_Pallet_Contents'!$A$2:$A$3000,$A2)&gt;0,"Yes",""))</f>
        <v/>
      </c>
    </row>
    <row r="2532">
      <c r="W2532">
        <f>IF($A2="","",COUNTIF('07_Pallet_Contents'!$A$2:$A$3000,$A2))</f>
        <v/>
      </c>
      <c r="X2532">
        <f>IF($A2="","",SUMIF('07_Pallet_Contents'!$A$2:$A$3000,$A2,'07_Pallet_Contents'!$D$2:$D$3000))</f>
        <v/>
      </c>
      <c r="Y2532">
        <f>IF($A2="","",SUMIF('07_Pallet_Contents'!$A$2:$A$3000,$A2,'07_Pallet_Contents'!$I$2:$I$3000))</f>
        <v/>
      </c>
      <c r="Z2532">
        <f>IF($A2="","",IF(COUNTIF('07_Pallet_Contents'!$A$2:$A$3000,$A2)&gt;0,"Yes",""))</f>
        <v/>
      </c>
    </row>
    <row r="2533">
      <c r="W2533">
        <f>IF($A2="","",COUNTIF('07_Pallet_Contents'!$A$2:$A$3000,$A2))</f>
        <v/>
      </c>
      <c r="X2533">
        <f>IF($A2="","",SUMIF('07_Pallet_Contents'!$A$2:$A$3000,$A2,'07_Pallet_Contents'!$D$2:$D$3000))</f>
        <v/>
      </c>
      <c r="Y2533">
        <f>IF($A2="","",SUMIF('07_Pallet_Contents'!$A$2:$A$3000,$A2,'07_Pallet_Contents'!$I$2:$I$3000))</f>
        <v/>
      </c>
      <c r="Z2533">
        <f>IF($A2="","",IF(COUNTIF('07_Pallet_Contents'!$A$2:$A$3000,$A2)&gt;0,"Yes",""))</f>
        <v/>
      </c>
    </row>
    <row r="2534">
      <c r="W2534">
        <f>IF($A2="","",COUNTIF('07_Pallet_Contents'!$A$2:$A$3000,$A2))</f>
        <v/>
      </c>
      <c r="X2534">
        <f>IF($A2="","",SUMIF('07_Pallet_Contents'!$A$2:$A$3000,$A2,'07_Pallet_Contents'!$D$2:$D$3000))</f>
        <v/>
      </c>
      <c r="Y2534">
        <f>IF($A2="","",SUMIF('07_Pallet_Contents'!$A$2:$A$3000,$A2,'07_Pallet_Contents'!$I$2:$I$3000))</f>
        <v/>
      </c>
      <c r="Z2534">
        <f>IF($A2="","",IF(COUNTIF('07_Pallet_Contents'!$A$2:$A$3000,$A2)&gt;0,"Yes",""))</f>
        <v/>
      </c>
    </row>
    <row r="2535">
      <c r="W2535">
        <f>IF($A2="","",COUNTIF('07_Pallet_Contents'!$A$2:$A$3000,$A2))</f>
        <v/>
      </c>
      <c r="X2535">
        <f>IF($A2="","",SUMIF('07_Pallet_Contents'!$A$2:$A$3000,$A2,'07_Pallet_Contents'!$D$2:$D$3000))</f>
        <v/>
      </c>
      <c r="Y2535">
        <f>IF($A2="","",SUMIF('07_Pallet_Contents'!$A$2:$A$3000,$A2,'07_Pallet_Contents'!$I$2:$I$3000))</f>
        <v/>
      </c>
      <c r="Z2535">
        <f>IF($A2="","",IF(COUNTIF('07_Pallet_Contents'!$A$2:$A$3000,$A2)&gt;0,"Yes",""))</f>
        <v/>
      </c>
    </row>
    <row r="2536">
      <c r="W2536">
        <f>IF($A2="","",COUNTIF('07_Pallet_Contents'!$A$2:$A$3000,$A2))</f>
        <v/>
      </c>
      <c r="X2536">
        <f>IF($A2="","",SUMIF('07_Pallet_Contents'!$A$2:$A$3000,$A2,'07_Pallet_Contents'!$D$2:$D$3000))</f>
        <v/>
      </c>
      <c r="Y2536">
        <f>IF($A2="","",SUMIF('07_Pallet_Contents'!$A$2:$A$3000,$A2,'07_Pallet_Contents'!$I$2:$I$3000))</f>
        <v/>
      </c>
      <c r="Z2536">
        <f>IF($A2="","",IF(COUNTIF('07_Pallet_Contents'!$A$2:$A$3000,$A2)&gt;0,"Yes",""))</f>
        <v/>
      </c>
    </row>
    <row r="2537">
      <c r="W2537">
        <f>IF($A2="","",COUNTIF('07_Pallet_Contents'!$A$2:$A$3000,$A2))</f>
        <v/>
      </c>
      <c r="X2537">
        <f>IF($A2="","",SUMIF('07_Pallet_Contents'!$A$2:$A$3000,$A2,'07_Pallet_Contents'!$D$2:$D$3000))</f>
        <v/>
      </c>
      <c r="Y2537">
        <f>IF($A2="","",SUMIF('07_Pallet_Contents'!$A$2:$A$3000,$A2,'07_Pallet_Contents'!$I$2:$I$3000))</f>
        <v/>
      </c>
      <c r="Z2537">
        <f>IF($A2="","",IF(COUNTIF('07_Pallet_Contents'!$A$2:$A$3000,$A2)&gt;0,"Yes",""))</f>
        <v/>
      </c>
    </row>
    <row r="2538">
      <c r="W2538">
        <f>IF($A2="","",COUNTIF('07_Pallet_Contents'!$A$2:$A$3000,$A2))</f>
        <v/>
      </c>
      <c r="X2538">
        <f>IF($A2="","",SUMIF('07_Pallet_Contents'!$A$2:$A$3000,$A2,'07_Pallet_Contents'!$D$2:$D$3000))</f>
        <v/>
      </c>
      <c r="Y2538">
        <f>IF($A2="","",SUMIF('07_Pallet_Contents'!$A$2:$A$3000,$A2,'07_Pallet_Contents'!$I$2:$I$3000))</f>
        <v/>
      </c>
      <c r="Z2538">
        <f>IF($A2="","",IF(COUNTIF('07_Pallet_Contents'!$A$2:$A$3000,$A2)&gt;0,"Yes",""))</f>
        <v/>
      </c>
    </row>
    <row r="2539">
      <c r="W2539">
        <f>IF($A2="","",COUNTIF('07_Pallet_Contents'!$A$2:$A$3000,$A2))</f>
        <v/>
      </c>
      <c r="X2539">
        <f>IF($A2="","",SUMIF('07_Pallet_Contents'!$A$2:$A$3000,$A2,'07_Pallet_Contents'!$D$2:$D$3000))</f>
        <v/>
      </c>
      <c r="Y2539">
        <f>IF($A2="","",SUMIF('07_Pallet_Contents'!$A$2:$A$3000,$A2,'07_Pallet_Contents'!$I$2:$I$3000))</f>
        <v/>
      </c>
      <c r="Z2539">
        <f>IF($A2="","",IF(COUNTIF('07_Pallet_Contents'!$A$2:$A$3000,$A2)&gt;0,"Yes",""))</f>
        <v/>
      </c>
    </row>
    <row r="2540">
      <c r="W2540">
        <f>IF($A2="","",COUNTIF('07_Pallet_Contents'!$A$2:$A$3000,$A2))</f>
        <v/>
      </c>
      <c r="X2540">
        <f>IF($A2="","",SUMIF('07_Pallet_Contents'!$A$2:$A$3000,$A2,'07_Pallet_Contents'!$D$2:$D$3000))</f>
        <v/>
      </c>
      <c r="Y2540">
        <f>IF($A2="","",SUMIF('07_Pallet_Contents'!$A$2:$A$3000,$A2,'07_Pallet_Contents'!$I$2:$I$3000))</f>
        <v/>
      </c>
      <c r="Z2540">
        <f>IF($A2="","",IF(COUNTIF('07_Pallet_Contents'!$A$2:$A$3000,$A2)&gt;0,"Yes",""))</f>
        <v/>
      </c>
    </row>
    <row r="2541">
      <c r="W2541">
        <f>IF($A2="","",COUNTIF('07_Pallet_Contents'!$A$2:$A$3000,$A2))</f>
        <v/>
      </c>
      <c r="X2541">
        <f>IF($A2="","",SUMIF('07_Pallet_Contents'!$A$2:$A$3000,$A2,'07_Pallet_Contents'!$D$2:$D$3000))</f>
        <v/>
      </c>
      <c r="Y2541">
        <f>IF($A2="","",SUMIF('07_Pallet_Contents'!$A$2:$A$3000,$A2,'07_Pallet_Contents'!$I$2:$I$3000))</f>
        <v/>
      </c>
      <c r="Z2541">
        <f>IF($A2="","",IF(COUNTIF('07_Pallet_Contents'!$A$2:$A$3000,$A2)&gt;0,"Yes",""))</f>
        <v/>
      </c>
    </row>
    <row r="2542">
      <c r="W2542">
        <f>IF($A2="","",COUNTIF('07_Pallet_Contents'!$A$2:$A$3000,$A2))</f>
        <v/>
      </c>
      <c r="X2542">
        <f>IF($A2="","",SUMIF('07_Pallet_Contents'!$A$2:$A$3000,$A2,'07_Pallet_Contents'!$D$2:$D$3000))</f>
        <v/>
      </c>
      <c r="Y2542">
        <f>IF($A2="","",SUMIF('07_Pallet_Contents'!$A$2:$A$3000,$A2,'07_Pallet_Contents'!$I$2:$I$3000))</f>
        <v/>
      </c>
      <c r="Z2542">
        <f>IF($A2="","",IF(COUNTIF('07_Pallet_Contents'!$A$2:$A$3000,$A2)&gt;0,"Yes",""))</f>
        <v/>
      </c>
    </row>
    <row r="2543">
      <c r="W2543">
        <f>IF($A2="","",COUNTIF('07_Pallet_Contents'!$A$2:$A$3000,$A2))</f>
        <v/>
      </c>
      <c r="X2543">
        <f>IF($A2="","",SUMIF('07_Pallet_Contents'!$A$2:$A$3000,$A2,'07_Pallet_Contents'!$D$2:$D$3000))</f>
        <v/>
      </c>
      <c r="Y2543">
        <f>IF($A2="","",SUMIF('07_Pallet_Contents'!$A$2:$A$3000,$A2,'07_Pallet_Contents'!$I$2:$I$3000))</f>
        <v/>
      </c>
      <c r="Z2543">
        <f>IF($A2="","",IF(COUNTIF('07_Pallet_Contents'!$A$2:$A$3000,$A2)&gt;0,"Yes",""))</f>
        <v/>
      </c>
    </row>
    <row r="2544">
      <c r="W2544">
        <f>IF($A2="","",COUNTIF('07_Pallet_Contents'!$A$2:$A$3000,$A2))</f>
        <v/>
      </c>
      <c r="X2544">
        <f>IF($A2="","",SUMIF('07_Pallet_Contents'!$A$2:$A$3000,$A2,'07_Pallet_Contents'!$D$2:$D$3000))</f>
        <v/>
      </c>
      <c r="Y2544">
        <f>IF($A2="","",SUMIF('07_Pallet_Contents'!$A$2:$A$3000,$A2,'07_Pallet_Contents'!$I$2:$I$3000))</f>
        <v/>
      </c>
      <c r="Z2544">
        <f>IF($A2="","",IF(COUNTIF('07_Pallet_Contents'!$A$2:$A$3000,$A2)&gt;0,"Yes",""))</f>
        <v/>
      </c>
    </row>
    <row r="2545">
      <c r="W2545">
        <f>IF($A2="","",COUNTIF('07_Pallet_Contents'!$A$2:$A$3000,$A2))</f>
        <v/>
      </c>
      <c r="X2545">
        <f>IF($A2="","",SUMIF('07_Pallet_Contents'!$A$2:$A$3000,$A2,'07_Pallet_Contents'!$D$2:$D$3000))</f>
        <v/>
      </c>
      <c r="Y2545">
        <f>IF($A2="","",SUMIF('07_Pallet_Contents'!$A$2:$A$3000,$A2,'07_Pallet_Contents'!$I$2:$I$3000))</f>
        <v/>
      </c>
      <c r="Z2545">
        <f>IF($A2="","",IF(COUNTIF('07_Pallet_Contents'!$A$2:$A$3000,$A2)&gt;0,"Yes",""))</f>
        <v/>
      </c>
    </row>
    <row r="2546">
      <c r="W2546">
        <f>IF($A2="","",COUNTIF('07_Pallet_Contents'!$A$2:$A$3000,$A2))</f>
        <v/>
      </c>
      <c r="X2546">
        <f>IF($A2="","",SUMIF('07_Pallet_Contents'!$A$2:$A$3000,$A2,'07_Pallet_Contents'!$D$2:$D$3000))</f>
        <v/>
      </c>
      <c r="Y2546">
        <f>IF($A2="","",SUMIF('07_Pallet_Contents'!$A$2:$A$3000,$A2,'07_Pallet_Contents'!$I$2:$I$3000))</f>
        <v/>
      </c>
      <c r="Z2546">
        <f>IF($A2="","",IF(COUNTIF('07_Pallet_Contents'!$A$2:$A$3000,$A2)&gt;0,"Yes",""))</f>
        <v/>
      </c>
    </row>
    <row r="2547">
      <c r="W2547">
        <f>IF($A2="","",COUNTIF('07_Pallet_Contents'!$A$2:$A$3000,$A2))</f>
        <v/>
      </c>
      <c r="X2547">
        <f>IF($A2="","",SUMIF('07_Pallet_Contents'!$A$2:$A$3000,$A2,'07_Pallet_Contents'!$D$2:$D$3000))</f>
        <v/>
      </c>
      <c r="Y2547">
        <f>IF($A2="","",SUMIF('07_Pallet_Contents'!$A$2:$A$3000,$A2,'07_Pallet_Contents'!$I$2:$I$3000))</f>
        <v/>
      </c>
      <c r="Z2547">
        <f>IF($A2="","",IF(COUNTIF('07_Pallet_Contents'!$A$2:$A$3000,$A2)&gt;0,"Yes",""))</f>
        <v/>
      </c>
    </row>
    <row r="2548">
      <c r="W2548">
        <f>IF($A2="","",COUNTIF('07_Pallet_Contents'!$A$2:$A$3000,$A2))</f>
        <v/>
      </c>
      <c r="X2548">
        <f>IF($A2="","",SUMIF('07_Pallet_Contents'!$A$2:$A$3000,$A2,'07_Pallet_Contents'!$D$2:$D$3000))</f>
        <v/>
      </c>
      <c r="Y2548">
        <f>IF($A2="","",SUMIF('07_Pallet_Contents'!$A$2:$A$3000,$A2,'07_Pallet_Contents'!$I$2:$I$3000))</f>
        <v/>
      </c>
      <c r="Z2548">
        <f>IF($A2="","",IF(COUNTIF('07_Pallet_Contents'!$A$2:$A$3000,$A2)&gt;0,"Yes",""))</f>
        <v/>
      </c>
    </row>
    <row r="2549">
      <c r="W2549">
        <f>IF($A2="","",COUNTIF('07_Pallet_Contents'!$A$2:$A$3000,$A2))</f>
        <v/>
      </c>
      <c r="X2549">
        <f>IF($A2="","",SUMIF('07_Pallet_Contents'!$A$2:$A$3000,$A2,'07_Pallet_Contents'!$D$2:$D$3000))</f>
        <v/>
      </c>
      <c r="Y2549">
        <f>IF($A2="","",SUMIF('07_Pallet_Contents'!$A$2:$A$3000,$A2,'07_Pallet_Contents'!$I$2:$I$3000))</f>
        <v/>
      </c>
      <c r="Z2549">
        <f>IF($A2="","",IF(COUNTIF('07_Pallet_Contents'!$A$2:$A$3000,$A2)&gt;0,"Yes",""))</f>
        <v/>
      </c>
    </row>
    <row r="2550">
      <c r="W2550">
        <f>IF($A2="","",COUNTIF('07_Pallet_Contents'!$A$2:$A$3000,$A2))</f>
        <v/>
      </c>
      <c r="X2550">
        <f>IF($A2="","",SUMIF('07_Pallet_Contents'!$A$2:$A$3000,$A2,'07_Pallet_Contents'!$D$2:$D$3000))</f>
        <v/>
      </c>
      <c r="Y2550">
        <f>IF($A2="","",SUMIF('07_Pallet_Contents'!$A$2:$A$3000,$A2,'07_Pallet_Contents'!$I$2:$I$3000))</f>
        <v/>
      </c>
      <c r="Z2550">
        <f>IF($A2="","",IF(COUNTIF('07_Pallet_Contents'!$A$2:$A$3000,$A2)&gt;0,"Yes",""))</f>
        <v/>
      </c>
    </row>
    <row r="2551">
      <c r="W2551">
        <f>IF($A2="","",COUNTIF('07_Pallet_Contents'!$A$2:$A$3000,$A2))</f>
        <v/>
      </c>
      <c r="X2551">
        <f>IF($A2="","",SUMIF('07_Pallet_Contents'!$A$2:$A$3000,$A2,'07_Pallet_Contents'!$D$2:$D$3000))</f>
        <v/>
      </c>
      <c r="Y2551">
        <f>IF($A2="","",SUMIF('07_Pallet_Contents'!$A$2:$A$3000,$A2,'07_Pallet_Contents'!$I$2:$I$3000))</f>
        <v/>
      </c>
      <c r="Z2551">
        <f>IF($A2="","",IF(COUNTIF('07_Pallet_Contents'!$A$2:$A$3000,$A2)&gt;0,"Yes",""))</f>
        <v/>
      </c>
    </row>
    <row r="2552">
      <c r="W2552">
        <f>IF($A2="","",COUNTIF('07_Pallet_Contents'!$A$2:$A$3000,$A2))</f>
        <v/>
      </c>
      <c r="X2552">
        <f>IF($A2="","",SUMIF('07_Pallet_Contents'!$A$2:$A$3000,$A2,'07_Pallet_Contents'!$D$2:$D$3000))</f>
        <v/>
      </c>
      <c r="Y2552">
        <f>IF($A2="","",SUMIF('07_Pallet_Contents'!$A$2:$A$3000,$A2,'07_Pallet_Contents'!$I$2:$I$3000))</f>
        <v/>
      </c>
      <c r="Z2552">
        <f>IF($A2="","",IF(COUNTIF('07_Pallet_Contents'!$A$2:$A$3000,$A2)&gt;0,"Yes",""))</f>
        <v/>
      </c>
    </row>
    <row r="2553">
      <c r="W2553">
        <f>IF($A2="","",COUNTIF('07_Pallet_Contents'!$A$2:$A$3000,$A2))</f>
        <v/>
      </c>
      <c r="X2553">
        <f>IF($A2="","",SUMIF('07_Pallet_Contents'!$A$2:$A$3000,$A2,'07_Pallet_Contents'!$D$2:$D$3000))</f>
        <v/>
      </c>
      <c r="Y2553">
        <f>IF($A2="","",SUMIF('07_Pallet_Contents'!$A$2:$A$3000,$A2,'07_Pallet_Contents'!$I$2:$I$3000))</f>
        <v/>
      </c>
      <c r="Z2553">
        <f>IF($A2="","",IF(COUNTIF('07_Pallet_Contents'!$A$2:$A$3000,$A2)&gt;0,"Yes",""))</f>
        <v/>
      </c>
    </row>
    <row r="2554">
      <c r="W2554">
        <f>IF($A2="","",COUNTIF('07_Pallet_Contents'!$A$2:$A$3000,$A2))</f>
        <v/>
      </c>
      <c r="X2554">
        <f>IF($A2="","",SUMIF('07_Pallet_Contents'!$A$2:$A$3000,$A2,'07_Pallet_Contents'!$D$2:$D$3000))</f>
        <v/>
      </c>
      <c r="Y2554">
        <f>IF($A2="","",SUMIF('07_Pallet_Contents'!$A$2:$A$3000,$A2,'07_Pallet_Contents'!$I$2:$I$3000))</f>
        <v/>
      </c>
      <c r="Z2554">
        <f>IF($A2="","",IF(COUNTIF('07_Pallet_Contents'!$A$2:$A$3000,$A2)&gt;0,"Yes",""))</f>
        <v/>
      </c>
    </row>
    <row r="2555">
      <c r="W2555">
        <f>IF($A2="","",COUNTIF('07_Pallet_Contents'!$A$2:$A$3000,$A2))</f>
        <v/>
      </c>
      <c r="X2555">
        <f>IF($A2="","",SUMIF('07_Pallet_Contents'!$A$2:$A$3000,$A2,'07_Pallet_Contents'!$D$2:$D$3000))</f>
        <v/>
      </c>
      <c r="Y2555">
        <f>IF($A2="","",SUMIF('07_Pallet_Contents'!$A$2:$A$3000,$A2,'07_Pallet_Contents'!$I$2:$I$3000))</f>
        <v/>
      </c>
      <c r="Z2555">
        <f>IF($A2="","",IF(COUNTIF('07_Pallet_Contents'!$A$2:$A$3000,$A2)&gt;0,"Yes",""))</f>
        <v/>
      </c>
    </row>
    <row r="2556">
      <c r="W2556">
        <f>IF($A2="","",COUNTIF('07_Pallet_Contents'!$A$2:$A$3000,$A2))</f>
        <v/>
      </c>
      <c r="X2556">
        <f>IF($A2="","",SUMIF('07_Pallet_Contents'!$A$2:$A$3000,$A2,'07_Pallet_Contents'!$D$2:$D$3000))</f>
        <v/>
      </c>
      <c r="Y2556">
        <f>IF($A2="","",SUMIF('07_Pallet_Contents'!$A$2:$A$3000,$A2,'07_Pallet_Contents'!$I$2:$I$3000))</f>
        <v/>
      </c>
      <c r="Z2556">
        <f>IF($A2="","",IF(COUNTIF('07_Pallet_Contents'!$A$2:$A$3000,$A2)&gt;0,"Yes",""))</f>
        <v/>
      </c>
    </row>
    <row r="2557">
      <c r="W2557">
        <f>IF($A2="","",COUNTIF('07_Pallet_Contents'!$A$2:$A$3000,$A2))</f>
        <v/>
      </c>
      <c r="X2557">
        <f>IF($A2="","",SUMIF('07_Pallet_Contents'!$A$2:$A$3000,$A2,'07_Pallet_Contents'!$D$2:$D$3000))</f>
        <v/>
      </c>
      <c r="Y2557">
        <f>IF($A2="","",SUMIF('07_Pallet_Contents'!$A$2:$A$3000,$A2,'07_Pallet_Contents'!$I$2:$I$3000))</f>
        <v/>
      </c>
      <c r="Z2557">
        <f>IF($A2="","",IF(COUNTIF('07_Pallet_Contents'!$A$2:$A$3000,$A2)&gt;0,"Yes",""))</f>
        <v/>
      </c>
    </row>
    <row r="2558">
      <c r="W2558">
        <f>IF($A2="","",COUNTIF('07_Pallet_Contents'!$A$2:$A$3000,$A2))</f>
        <v/>
      </c>
      <c r="X2558">
        <f>IF($A2="","",SUMIF('07_Pallet_Contents'!$A$2:$A$3000,$A2,'07_Pallet_Contents'!$D$2:$D$3000))</f>
        <v/>
      </c>
      <c r="Y2558">
        <f>IF($A2="","",SUMIF('07_Pallet_Contents'!$A$2:$A$3000,$A2,'07_Pallet_Contents'!$I$2:$I$3000))</f>
        <v/>
      </c>
      <c r="Z2558">
        <f>IF($A2="","",IF(COUNTIF('07_Pallet_Contents'!$A$2:$A$3000,$A2)&gt;0,"Yes",""))</f>
        <v/>
      </c>
    </row>
    <row r="2559">
      <c r="W2559">
        <f>IF($A2="","",COUNTIF('07_Pallet_Contents'!$A$2:$A$3000,$A2))</f>
        <v/>
      </c>
      <c r="X2559">
        <f>IF($A2="","",SUMIF('07_Pallet_Contents'!$A$2:$A$3000,$A2,'07_Pallet_Contents'!$D$2:$D$3000))</f>
        <v/>
      </c>
      <c r="Y2559">
        <f>IF($A2="","",SUMIF('07_Pallet_Contents'!$A$2:$A$3000,$A2,'07_Pallet_Contents'!$I$2:$I$3000))</f>
        <v/>
      </c>
      <c r="Z2559">
        <f>IF($A2="","",IF(COUNTIF('07_Pallet_Contents'!$A$2:$A$3000,$A2)&gt;0,"Yes",""))</f>
        <v/>
      </c>
    </row>
    <row r="2560">
      <c r="W2560">
        <f>IF($A2="","",COUNTIF('07_Pallet_Contents'!$A$2:$A$3000,$A2))</f>
        <v/>
      </c>
      <c r="X2560">
        <f>IF($A2="","",SUMIF('07_Pallet_Contents'!$A$2:$A$3000,$A2,'07_Pallet_Contents'!$D$2:$D$3000))</f>
        <v/>
      </c>
      <c r="Y2560">
        <f>IF($A2="","",SUMIF('07_Pallet_Contents'!$A$2:$A$3000,$A2,'07_Pallet_Contents'!$I$2:$I$3000))</f>
        <v/>
      </c>
      <c r="Z2560">
        <f>IF($A2="","",IF(COUNTIF('07_Pallet_Contents'!$A$2:$A$3000,$A2)&gt;0,"Yes",""))</f>
        <v/>
      </c>
    </row>
    <row r="2561">
      <c r="W2561">
        <f>IF($A2="","",COUNTIF('07_Pallet_Contents'!$A$2:$A$3000,$A2))</f>
        <v/>
      </c>
      <c r="X2561">
        <f>IF($A2="","",SUMIF('07_Pallet_Contents'!$A$2:$A$3000,$A2,'07_Pallet_Contents'!$D$2:$D$3000))</f>
        <v/>
      </c>
      <c r="Y2561">
        <f>IF($A2="","",SUMIF('07_Pallet_Contents'!$A$2:$A$3000,$A2,'07_Pallet_Contents'!$I$2:$I$3000))</f>
        <v/>
      </c>
      <c r="Z2561">
        <f>IF($A2="","",IF(COUNTIF('07_Pallet_Contents'!$A$2:$A$3000,$A2)&gt;0,"Yes",""))</f>
        <v/>
      </c>
    </row>
    <row r="2562">
      <c r="W2562">
        <f>IF($A2="","",COUNTIF('07_Pallet_Contents'!$A$2:$A$3000,$A2))</f>
        <v/>
      </c>
      <c r="X2562">
        <f>IF($A2="","",SUMIF('07_Pallet_Contents'!$A$2:$A$3000,$A2,'07_Pallet_Contents'!$D$2:$D$3000))</f>
        <v/>
      </c>
      <c r="Y2562">
        <f>IF($A2="","",SUMIF('07_Pallet_Contents'!$A$2:$A$3000,$A2,'07_Pallet_Contents'!$I$2:$I$3000))</f>
        <v/>
      </c>
      <c r="Z2562">
        <f>IF($A2="","",IF(COUNTIF('07_Pallet_Contents'!$A$2:$A$3000,$A2)&gt;0,"Yes",""))</f>
        <v/>
      </c>
    </row>
    <row r="2563">
      <c r="W2563">
        <f>IF($A2="","",COUNTIF('07_Pallet_Contents'!$A$2:$A$3000,$A2))</f>
        <v/>
      </c>
      <c r="X2563">
        <f>IF($A2="","",SUMIF('07_Pallet_Contents'!$A$2:$A$3000,$A2,'07_Pallet_Contents'!$D$2:$D$3000))</f>
        <v/>
      </c>
      <c r="Y2563">
        <f>IF($A2="","",SUMIF('07_Pallet_Contents'!$A$2:$A$3000,$A2,'07_Pallet_Contents'!$I$2:$I$3000))</f>
        <v/>
      </c>
      <c r="Z2563">
        <f>IF($A2="","",IF(COUNTIF('07_Pallet_Contents'!$A$2:$A$3000,$A2)&gt;0,"Yes",""))</f>
        <v/>
      </c>
    </row>
    <row r="2564">
      <c r="W2564">
        <f>IF($A2="","",COUNTIF('07_Pallet_Contents'!$A$2:$A$3000,$A2))</f>
        <v/>
      </c>
      <c r="X2564">
        <f>IF($A2="","",SUMIF('07_Pallet_Contents'!$A$2:$A$3000,$A2,'07_Pallet_Contents'!$D$2:$D$3000))</f>
        <v/>
      </c>
      <c r="Y2564">
        <f>IF($A2="","",SUMIF('07_Pallet_Contents'!$A$2:$A$3000,$A2,'07_Pallet_Contents'!$I$2:$I$3000))</f>
        <v/>
      </c>
      <c r="Z2564">
        <f>IF($A2="","",IF(COUNTIF('07_Pallet_Contents'!$A$2:$A$3000,$A2)&gt;0,"Yes",""))</f>
        <v/>
      </c>
    </row>
    <row r="2565">
      <c r="W2565">
        <f>IF($A2="","",COUNTIF('07_Pallet_Contents'!$A$2:$A$3000,$A2))</f>
        <v/>
      </c>
      <c r="X2565">
        <f>IF($A2="","",SUMIF('07_Pallet_Contents'!$A$2:$A$3000,$A2,'07_Pallet_Contents'!$D$2:$D$3000))</f>
        <v/>
      </c>
      <c r="Y2565">
        <f>IF($A2="","",SUMIF('07_Pallet_Contents'!$A$2:$A$3000,$A2,'07_Pallet_Contents'!$I$2:$I$3000))</f>
        <v/>
      </c>
      <c r="Z2565">
        <f>IF($A2="","",IF(COUNTIF('07_Pallet_Contents'!$A$2:$A$3000,$A2)&gt;0,"Yes",""))</f>
        <v/>
      </c>
    </row>
    <row r="2566">
      <c r="W2566">
        <f>IF($A2="","",COUNTIF('07_Pallet_Contents'!$A$2:$A$3000,$A2))</f>
        <v/>
      </c>
      <c r="X2566">
        <f>IF($A2="","",SUMIF('07_Pallet_Contents'!$A$2:$A$3000,$A2,'07_Pallet_Contents'!$D$2:$D$3000))</f>
        <v/>
      </c>
      <c r="Y2566">
        <f>IF($A2="","",SUMIF('07_Pallet_Contents'!$A$2:$A$3000,$A2,'07_Pallet_Contents'!$I$2:$I$3000))</f>
        <v/>
      </c>
      <c r="Z2566">
        <f>IF($A2="","",IF(COUNTIF('07_Pallet_Contents'!$A$2:$A$3000,$A2)&gt;0,"Yes",""))</f>
        <v/>
      </c>
    </row>
    <row r="2567">
      <c r="W2567">
        <f>IF($A2="","",COUNTIF('07_Pallet_Contents'!$A$2:$A$3000,$A2))</f>
        <v/>
      </c>
      <c r="X2567">
        <f>IF($A2="","",SUMIF('07_Pallet_Contents'!$A$2:$A$3000,$A2,'07_Pallet_Contents'!$D$2:$D$3000))</f>
        <v/>
      </c>
      <c r="Y2567">
        <f>IF($A2="","",SUMIF('07_Pallet_Contents'!$A$2:$A$3000,$A2,'07_Pallet_Contents'!$I$2:$I$3000))</f>
        <v/>
      </c>
      <c r="Z2567">
        <f>IF($A2="","",IF(COUNTIF('07_Pallet_Contents'!$A$2:$A$3000,$A2)&gt;0,"Yes",""))</f>
        <v/>
      </c>
    </row>
    <row r="2568">
      <c r="W2568">
        <f>IF($A2="","",COUNTIF('07_Pallet_Contents'!$A$2:$A$3000,$A2))</f>
        <v/>
      </c>
      <c r="X2568">
        <f>IF($A2="","",SUMIF('07_Pallet_Contents'!$A$2:$A$3000,$A2,'07_Pallet_Contents'!$D$2:$D$3000))</f>
        <v/>
      </c>
      <c r="Y2568">
        <f>IF($A2="","",SUMIF('07_Pallet_Contents'!$A$2:$A$3000,$A2,'07_Pallet_Contents'!$I$2:$I$3000))</f>
        <v/>
      </c>
      <c r="Z2568">
        <f>IF($A2="","",IF(COUNTIF('07_Pallet_Contents'!$A$2:$A$3000,$A2)&gt;0,"Yes",""))</f>
        <v/>
      </c>
    </row>
    <row r="2569">
      <c r="W2569">
        <f>IF($A2="","",COUNTIF('07_Pallet_Contents'!$A$2:$A$3000,$A2))</f>
        <v/>
      </c>
      <c r="X2569">
        <f>IF($A2="","",SUMIF('07_Pallet_Contents'!$A$2:$A$3000,$A2,'07_Pallet_Contents'!$D$2:$D$3000))</f>
        <v/>
      </c>
      <c r="Y2569">
        <f>IF($A2="","",SUMIF('07_Pallet_Contents'!$A$2:$A$3000,$A2,'07_Pallet_Contents'!$I$2:$I$3000))</f>
        <v/>
      </c>
      <c r="Z2569">
        <f>IF($A2="","",IF(COUNTIF('07_Pallet_Contents'!$A$2:$A$3000,$A2)&gt;0,"Yes",""))</f>
        <v/>
      </c>
    </row>
    <row r="2570">
      <c r="W2570">
        <f>IF($A2="","",COUNTIF('07_Pallet_Contents'!$A$2:$A$3000,$A2))</f>
        <v/>
      </c>
      <c r="X2570">
        <f>IF($A2="","",SUMIF('07_Pallet_Contents'!$A$2:$A$3000,$A2,'07_Pallet_Contents'!$D$2:$D$3000))</f>
        <v/>
      </c>
      <c r="Y2570">
        <f>IF($A2="","",SUMIF('07_Pallet_Contents'!$A$2:$A$3000,$A2,'07_Pallet_Contents'!$I$2:$I$3000))</f>
        <v/>
      </c>
      <c r="Z2570">
        <f>IF($A2="","",IF(COUNTIF('07_Pallet_Contents'!$A$2:$A$3000,$A2)&gt;0,"Yes",""))</f>
        <v/>
      </c>
    </row>
    <row r="2571">
      <c r="W2571">
        <f>IF($A2="","",COUNTIF('07_Pallet_Contents'!$A$2:$A$3000,$A2))</f>
        <v/>
      </c>
      <c r="X2571">
        <f>IF($A2="","",SUMIF('07_Pallet_Contents'!$A$2:$A$3000,$A2,'07_Pallet_Contents'!$D$2:$D$3000))</f>
        <v/>
      </c>
      <c r="Y2571">
        <f>IF($A2="","",SUMIF('07_Pallet_Contents'!$A$2:$A$3000,$A2,'07_Pallet_Contents'!$I$2:$I$3000))</f>
        <v/>
      </c>
      <c r="Z2571">
        <f>IF($A2="","",IF(COUNTIF('07_Pallet_Contents'!$A$2:$A$3000,$A2)&gt;0,"Yes",""))</f>
        <v/>
      </c>
    </row>
    <row r="2572">
      <c r="W2572">
        <f>IF($A2="","",COUNTIF('07_Pallet_Contents'!$A$2:$A$3000,$A2))</f>
        <v/>
      </c>
      <c r="X2572">
        <f>IF($A2="","",SUMIF('07_Pallet_Contents'!$A$2:$A$3000,$A2,'07_Pallet_Contents'!$D$2:$D$3000))</f>
        <v/>
      </c>
      <c r="Y2572">
        <f>IF($A2="","",SUMIF('07_Pallet_Contents'!$A$2:$A$3000,$A2,'07_Pallet_Contents'!$I$2:$I$3000))</f>
        <v/>
      </c>
      <c r="Z2572">
        <f>IF($A2="","",IF(COUNTIF('07_Pallet_Contents'!$A$2:$A$3000,$A2)&gt;0,"Yes",""))</f>
        <v/>
      </c>
    </row>
    <row r="2573">
      <c r="W2573">
        <f>IF($A2="","",COUNTIF('07_Pallet_Contents'!$A$2:$A$3000,$A2))</f>
        <v/>
      </c>
      <c r="X2573">
        <f>IF($A2="","",SUMIF('07_Pallet_Contents'!$A$2:$A$3000,$A2,'07_Pallet_Contents'!$D$2:$D$3000))</f>
        <v/>
      </c>
      <c r="Y2573">
        <f>IF($A2="","",SUMIF('07_Pallet_Contents'!$A$2:$A$3000,$A2,'07_Pallet_Contents'!$I$2:$I$3000))</f>
        <v/>
      </c>
      <c r="Z2573">
        <f>IF($A2="","",IF(COUNTIF('07_Pallet_Contents'!$A$2:$A$3000,$A2)&gt;0,"Yes",""))</f>
        <v/>
      </c>
    </row>
    <row r="2574">
      <c r="W2574">
        <f>IF($A2="","",COUNTIF('07_Pallet_Contents'!$A$2:$A$3000,$A2))</f>
        <v/>
      </c>
      <c r="X2574">
        <f>IF($A2="","",SUMIF('07_Pallet_Contents'!$A$2:$A$3000,$A2,'07_Pallet_Contents'!$D$2:$D$3000))</f>
        <v/>
      </c>
      <c r="Y2574">
        <f>IF($A2="","",SUMIF('07_Pallet_Contents'!$A$2:$A$3000,$A2,'07_Pallet_Contents'!$I$2:$I$3000))</f>
        <v/>
      </c>
      <c r="Z2574">
        <f>IF($A2="","",IF(COUNTIF('07_Pallet_Contents'!$A$2:$A$3000,$A2)&gt;0,"Yes",""))</f>
        <v/>
      </c>
    </row>
    <row r="2575">
      <c r="W2575">
        <f>IF($A2="","",COUNTIF('07_Pallet_Contents'!$A$2:$A$3000,$A2))</f>
        <v/>
      </c>
      <c r="X2575">
        <f>IF($A2="","",SUMIF('07_Pallet_Contents'!$A$2:$A$3000,$A2,'07_Pallet_Contents'!$D$2:$D$3000))</f>
        <v/>
      </c>
      <c r="Y2575">
        <f>IF($A2="","",SUMIF('07_Pallet_Contents'!$A$2:$A$3000,$A2,'07_Pallet_Contents'!$I$2:$I$3000))</f>
        <v/>
      </c>
      <c r="Z2575">
        <f>IF($A2="","",IF(COUNTIF('07_Pallet_Contents'!$A$2:$A$3000,$A2)&gt;0,"Yes",""))</f>
        <v/>
      </c>
    </row>
    <row r="2576">
      <c r="W2576">
        <f>IF($A2="","",COUNTIF('07_Pallet_Contents'!$A$2:$A$3000,$A2))</f>
        <v/>
      </c>
      <c r="X2576">
        <f>IF($A2="","",SUMIF('07_Pallet_Contents'!$A$2:$A$3000,$A2,'07_Pallet_Contents'!$D$2:$D$3000))</f>
        <v/>
      </c>
      <c r="Y2576">
        <f>IF($A2="","",SUMIF('07_Pallet_Contents'!$A$2:$A$3000,$A2,'07_Pallet_Contents'!$I$2:$I$3000))</f>
        <v/>
      </c>
      <c r="Z2576">
        <f>IF($A2="","",IF(COUNTIF('07_Pallet_Contents'!$A$2:$A$3000,$A2)&gt;0,"Yes",""))</f>
        <v/>
      </c>
    </row>
    <row r="2577">
      <c r="W2577">
        <f>IF($A2="","",COUNTIF('07_Pallet_Contents'!$A$2:$A$3000,$A2))</f>
        <v/>
      </c>
      <c r="X2577">
        <f>IF($A2="","",SUMIF('07_Pallet_Contents'!$A$2:$A$3000,$A2,'07_Pallet_Contents'!$D$2:$D$3000))</f>
        <v/>
      </c>
      <c r="Y2577">
        <f>IF($A2="","",SUMIF('07_Pallet_Contents'!$A$2:$A$3000,$A2,'07_Pallet_Contents'!$I$2:$I$3000))</f>
        <v/>
      </c>
      <c r="Z2577">
        <f>IF($A2="","",IF(COUNTIF('07_Pallet_Contents'!$A$2:$A$3000,$A2)&gt;0,"Yes",""))</f>
        <v/>
      </c>
    </row>
    <row r="2578">
      <c r="W2578">
        <f>IF($A2="","",COUNTIF('07_Pallet_Contents'!$A$2:$A$3000,$A2))</f>
        <v/>
      </c>
      <c r="X2578">
        <f>IF($A2="","",SUMIF('07_Pallet_Contents'!$A$2:$A$3000,$A2,'07_Pallet_Contents'!$D$2:$D$3000))</f>
        <v/>
      </c>
      <c r="Y2578">
        <f>IF($A2="","",SUMIF('07_Pallet_Contents'!$A$2:$A$3000,$A2,'07_Pallet_Contents'!$I$2:$I$3000))</f>
        <v/>
      </c>
      <c r="Z2578">
        <f>IF($A2="","",IF(COUNTIF('07_Pallet_Contents'!$A$2:$A$3000,$A2)&gt;0,"Yes",""))</f>
        <v/>
      </c>
    </row>
    <row r="2579">
      <c r="W2579">
        <f>IF($A2="","",COUNTIF('07_Pallet_Contents'!$A$2:$A$3000,$A2))</f>
        <v/>
      </c>
      <c r="X2579">
        <f>IF($A2="","",SUMIF('07_Pallet_Contents'!$A$2:$A$3000,$A2,'07_Pallet_Contents'!$D$2:$D$3000))</f>
        <v/>
      </c>
      <c r="Y2579">
        <f>IF($A2="","",SUMIF('07_Pallet_Contents'!$A$2:$A$3000,$A2,'07_Pallet_Contents'!$I$2:$I$3000))</f>
        <v/>
      </c>
      <c r="Z2579">
        <f>IF($A2="","",IF(COUNTIF('07_Pallet_Contents'!$A$2:$A$3000,$A2)&gt;0,"Yes",""))</f>
        <v/>
      </c>
    </row>
    <row r="2580">
      <c r="W2580">
        <f>IF($A2="","",COUNTIF('07_Pallet_Contents'!$A$2:$A$3000,$A2))</f>
        <v/>
      </c>
      <c r="X2580">
        <f>IF($A2="","",SUMIF('07_Pallet_Contents'!$A$2:$A$3000,$A2,'07_Pallet_Contents'!$D$2:$D$3000))</f>
        <v/>
      </c>
      <c r="Y2580">
        <f>IF($A2="","",SUMIF('07_Pallet_Contents'!$A$2:$A$3000,$A2,'07_Pallet_Contents'!$I$2:$I$3000))</f>
        <v/>
      </c>
      <c r="Z2580">
        <f>IF($A2="","",IF(COUNTIF('07_Pallet_Contents'!$A$2:$A$3000,$A2)&gt;0,"Yes",""))</f>
        <v/>
      </c>
    </row>
    <row r="2581">
      <c r="W2581">
        <f>IF($A2="","",COUNTIF('07_Pallet_Contents'!$A$2:$A$3000,$A2))</f>
        <v/>
      </c>
      <c r="X2581">
        <f>IF($A2="","",SUMIF('07_Pallet_Contents'!$A$2:$A$3000,$A2,'07_Pallet_Contents'!$D$2:$D$3000))</f>
        <v/>
      </c>
      <c r="Y2581">
        <f>IF($A2="","",SUMIF('07_Pallet_Contents'!$A$2:$A$3000,$A2,'07_Pallet_Contents'!$I$2:$I$3000))</f>
        <v/>
      </c>
      <c r="Z2581">
        <f>IF($A2="","",IF(COUNTIF('07_Pallet_Contents'!$A$2:$A$3000,$A2)&gt;0,"Yes",""))</f>
        <v/>
      </c>
    </row>
    <row r="2582">
      <c r="W2582">
        <f>IF($A2="","",COUNTIF('07_Pallet_Contents'!$A$2:$A$3000,$A2))</f>
        <v/>
      </c>
      <c r="X2582">
        <f>IF($A2="","",SUMIF('07_Pallet_Contents'!$A$2:$A$3000,$A2,'07_Pallet_Contents'!$D$2:$D$3000))</f>
        <v/>
      </c>
      <c r="Y2582">
        <f>IF($A2="","",SUMIF('07_Pallet_Contents'!$A$2:$A$3000,$A2,'07_Pallet_Contents'!$I$2:$I$3000))</f>
        <v/>
      </c>
      <c r="Z2582">
        <f>IF($A2="","",IF(COUNTIF('07_Pallet_Contents'!$A$2:$A$3000,$A2)&gt;0,"Yes",""))</f>
        <v/>
      </c>
    </row>
    <row r="2583">
      <c r="W2583">
        <f>IF($A2="","",COUNTIF('07_Pallet_Contents'!$A$2:$A$3000,$A2))</f>
        <v/>
      </c>
      <c r="X2583">
        <f>IF($A2="","",SUMIF('07_Pallet_Contents'!$A$2:$A$3000,$A2,'07_Pallet_Contents'!$D$2:$D$3000))</f>
        <v/>
      </c>
      <c r="Y2583">
        <f>IF($A2="","",SUMIF('07_Pallet_Contents'!$A$2:$A$3000,$A2,'07_Pallet_Contents'!$I$2:$I$3000))</f>
        <v/>
      </c>
      <c r="Z2583">
        <f>IF($A2="","",IF(COUNTIF('07_Pallet_Contents'!$A$2:$A$3000,$A2)&gt;0,"Yes",""))</f>
        <v/>
      </c>
    </row>
    <row r="2584">
      <c r="W2584">
        <f>IF($A2="","",COUNTIF('07_Pallet_Contents'!$A$2:$A$3000,$A2))</f>
        <v/>
      </c>
      <c r="X2584">
        <f>IF($A2="","",SUMIF('07_Pallet_Contents'!$A$2:$A$3000,$A2,'07_Pallet_Contents'!$D$2:$D$3000))</f>
        <v/>
      </c>
      <c r="Y2584">
        <f>IF($A2="","",SUMIF('07_Pallet_Contents'!$A$2:$A$3000,$A2,'07_Pallet_Contents'!$I$2:$I$3000))</f>
        <v/>
      </c>
      <c r="Z2584">
        <f>IF($A2="","",IF(COUNTIF('07_Pallet_Contents'!$A$2:$A$3000,$A2)&gt;0,"Yes",""))</f>
        <v/>
      </c>
    </row>
    <row r="2585">
      <c r="W2585">
        <f>IF($A2="","",COUNTIF('07_Pallet_Contents'!$A$2:$A$3000,$A2))</f>
        <v/>
      </c>
      <c r="X2585">
        <f>IF($A2="","",SUMIF('07_Pallet_Contents'!$A$2:$A$3000,$A2,'07_Pallet_Contents'!$D$2:$D$3000))</f>
        <v/>
      </c>
      <c r="Y2585">
        <f>IF($A2="","",SUMIF('07_Pallet_Contents'!$A$2:$A$3000,$A2,'07_Pallet_Contents'!$I$2:$I$3000))</f>
        <v/>
      </c>
      <c r="Z2585">
        <f>IF($A2="","",IF(COUNTIF('07_Pallet_Contents'!$A$2:$A$3000,$A2)&gt;0,"Yes",""))</f>
        <v/>
      </c>
    </row>
    <row r="2586">
      <c r="W2586">
        <f>IF($A2="","",COUNTIF('07_Pallet_Contents'!$A$2:$A$3000,$A2))</f>
        <v/>
      </c>
      <c r="X2586">
        <f>IF($A2="","",SUMIF('07_Pallet_Contents'!$A$2:$A$3000,$A2,'07_Pallet_Contents'!$D$2:$D$3000))</f>
        <v/>
      </c>
      <c r="Y2586">
        <f>IF($A2="","",SUMIF('07_Pallet_Contents'!$A$2:$A$3000,$A2,'07_Pallet_Contents'!$I$2:$I$3000))</f>
        <v/>
      </c>
      <c r="Z2586">
        <f>IF($A2="","",IF(COUNTIF('07_Pallet_Contents'!$A$2:$A$3000,$A2)&gt;0,"Yes",""))</f>
        <v/>
      </c>
    </row>
    <row r="2587">
      <c r="W2587">
        <f>IF($A2="","",COUNTIF('07_Pallet_Contents'!$A$2:$A$3000,$A2))</f>
        <v/>
      </c>
      <c r="X2587">
        <f>IF($A2="","",SUMIF('07_Pallet_Contents'!$A$2:$A$3000,$A2,'07_Pallet_Contents'!$D$2:$D$3000))</f>
        <v/>
      </c>
      <c r="Y2587">
        <f>IF($A2="","",SUMIF('07_Pallet_Contents'!$A$2:$A$3000,$A2,'07_Pallet_Contents'!$I$2:$I$3000))</f>
        <v/>
      </c>
      <c r="Z2587">
        <f>IF($A2="","",IF(COUNTIF('07_Pallet_Contents'!$A$2:$A$3000,$A2)&gt;0,"Yes",""))</f>
        <v/>
      </c>
    </row>
    <row r="2588">
      <c r="W2588">
        <f>IF($A2="","",COUNTIF('07_Pallet_Contents'!$A$2:$A$3000,$A2))</f>
        <v/>
      </c>
      <c r="X2588">
        <f>IF($A2="","",SUMIF('07_Pallet_Contents'!$A$2:$A$3000,$A2,'07_Pallet_Contents'!$D$2:$D$3000))</f>
        <v/>
      </c>
      <c r="Y2588">
        <f>IF($A2="","",SUMIF('07_Pallet_Contents'!$A$2:$A$3000,$A2,'07_Pallet_Contents'!$I$2:$I$3000))</f>
        <v/>
      </c>
      <c r="Z2588">
        <f>IF($A2="","",IF(COUNTIF('07_Pallet_Contents'!$A$2:$A$3000,$A2)&gt;0,"Yes",""))</f>
        <v/>
      </c>
    </row>
    <row r="2589">
      <c r="W2589">
        <f>IF($A2="","",COUNTIF('07_Pallet_Contents'!$A$2:$A$3000,$A2))</f>
        <v/>
      </c>
      <c r="X2589">
        <f>IF($A2="","",SUMIF('07_Pallet_Contents'!$A$2:$A$3000,$A2,'07_Pallet_Contents'!$D$2:$D$3000))</f>
        <v/>
      </c>
      <c r="Y2589">
        <f>IF($A2="","",SUMIF('07_Pallet_Contents'!$A$2:$A$3000,$A2,'07_Pallet_Contents'!$I$2:$I$3000))</f>
        <v/>
      </c>
      <c r="Z2589">
        <f>IF($A2="","",IF(COUNTIF('07_Pallet_Contents'!$A$2:$A$3000,$A2)&gt;0,"Yes",""))</f>
        <v/>
      </c>
    </row>
    <row r="2590">
      <c r="W2590">
        <f>IF($A2="","",COUNTIF('07_Pallet_Contents'!$A$2:$A$3000,$A2))</f>
        <v/>
      </c>
      <c r="X2590">
        <f>IF($A2="","",SUMIF('07_Pallet_Contents'!$A$2:$A$3000,$A2,'07_Pallet_Contents'!$D$2:$D$3000))</f>
        <v/>
      </c>
      <c r="Y2590">
        <f>IF($A2="","",SUMIF('07_Pallet_Contents'!$A$2:$A$3000,$A2,'07_Pallet_Contents'!$I$2:$I$3000))</f>
        <v/>
      </c>
      <c r="Z2590">
        <f>IF($A2="","",IF(COUNTIF('07_Pallet_Contents'!$A$2:$A$3000,$A2)&gt;0,"Yes",""))</f>
        <v/>
      </c>
    </row>
    <row r="2591">
      <c r="W2591">
        <f>IF($A2="","",COUNTIF('07_Pallet_Contents'!$A$2:$A$3000,$A2))</f>
        <v/>
      </c>
      <c r="X2591">
        <f>IF($A2="","",SUMIF('07_Pallet_Contents'!$A$2:$A$3000,$A2,'07_Pallet_Contents'!$D$2:$D$3000))</f>
        <v/>
      </c>
      <c r="Y2591">
        <f>IF($A2="","",SUMIF('07_Pallet_Contents'!$A$2:$A$3000,$A2,'07_Pallet_Contents'!$I$2:$I$3000))</f>
        <v/>
      </c>
      <c r="Z2591">
        <f>IF($A2="","",IF(COUNTIF('07_Pallet_Contents'!$A$2:$A$3000,$A2)&gt;0,"Yes",""))</f>
        <v/>
      </c>
    </row>
    <row r="2592">
      <c r="W2592">
        <f>IF($A2="","",COUNTIF('07_Pallet_Contents'!$A$2:$A$3000,$A2))</f>
        <v/>
      </c>
      <c r="X2592">
        <f>IF($A2="","",SUMIF('07_Pallet_Contents'!$A$2:$A$3000,$A2,'07_Pallet_Contents'!$D$2:$D$3000))</f>
        <v/>
      </c>
      <c r="Y2592">
        <f>IF($A2="","",SUMIF('07_Pallet_Contents'!$A$2:$A$3000,$A2,'07_Pallet_Contents'!$I$2:$I$3000))</f>
        <v/>
      </c>
      <c r="Z2592">
        <f>IF($A2="","",IF(COUNTIF('07_Pallet_Contents'!$A$2:$A$3000,$A2)&gt;0,"Yes",""))</f>
        <v/>
      </c>
    </row>
    <row r="2593">
      <c r="W2593">
        <f>IF($A2="","",COUNTIF('07_Pallet_Contents'!$A$2:$A$3000,$A2))</f>
        <v/>
      </c>
      <c r="X2593">
        <f>IF($A2="","",SUMIF('07_Pallet_Contents'!$A$2:$A$3000,$A2,'07_Pallet_Contents'!$D$2:$D$3000))</f>
        <v/>
      </c>
      <c r="Y2593">
        <f>IF($A2="","",SUMIF('07_Pallet_Contents'!$A$2:$A$3000,$A2,'07_Pallet_Contents'!$I$2:$I$3000))</f>
        <v/>
      </c>
      <c r="Z2593">
        <f>IF($A2="","",IF(COUNTIF('07_Pallet_Contents'!$A$2:$A$3000,$A2)&gt;0,"Yes",""))</f>
        <v/>
      </c>
    </row>
    <row r="2594">
      <c r="W2594">
        <f>IF($A2="","",COUNTIF('07_Pallet_Contents'!$A$2:$A$3000,$A2))</f>
        <v/>
      </c>
      <c r="X2594">
        <f>IF($A2="","",SUMIF('07_Pallet_Contents'!$A$2:$A$3000,$A2,'07_Pallet_Contents'!$D$2:$D$3000))</f>
        <v/>
      </c>
      <c r="Y2594">
        <f>IF($A2="","",SUMIF('07_Pallet_Contents'!$A$2:$A$3000,$A2,'07_Pallet_Contents'!$I$2:$I$3000))</f>
        <v/>
      </c>
      <c r="Z2594">
        <f>IF($A2="","",IF(COUNTIF('07_Pallet_Contents'!$A$2:$A$3000,$A2)&gt;0,"Yes",""))</f>
        <v/>
      </c>
    </row>
    <row r="2595">
      <c r="W2595">
        <f>IF($A2="","",COUNTIF('07_Pallet_Contents'!$A$2:$A$3000,$A2))</f>
        <v/>
      </c>
      <c r="X2595">
        <f>IF($A2="","",SUMIF('07_Pallet_Contents'!$A$2:$A$3000,$A2,'07_Pallet_Contents'!$D$2:$D$3000))</f>
        <v/>
      </c>
      <c r="Y2595">
        <f>IF($A2="","",SUMIF('07_Pallet_Contents'!$A$2:$A$3000,$A2,'07_Pallet_Contents'!$I$2:$I$3000))</f>
        <v/>
      </c>
      <c r="Z2595">
        <f>IF($A2="","",IF(COUNTIF('07_Pallet_Contents'!$A$2:$A$3000,$A2)&gt;0,"Yes",""))</f>
        <v/>
      </c>
    </row>
    <row r="2596">
      <c r="W2596">
        <f>IF($A2="","",COUNTIF('07_Pallet_Contents'!$A$2:$A$3000,$A2))</f>
        <v/>
      </c>
      <c r="X2596">
        <f>IF($A2="","",SUMIF('07_Pallet_Contents'!$A$2:$A$3000,$A2,'07_Pallet_Contents'!$D$2:$D$3000))</f>
        <v/>
      </c>
      <c r="Y2596">
        <f>IF($A2="","",SUMIF('07_Pallet_Contents'!$A$2:$A$3000,$A2,'07_Pallet_Contents'!$I$2:$I$3000))</f>
        <v/>
      </c>
      <c r="Z2596">
        <f>IF($A2="","",IF(COUNTIF('07_Pallet_Contents'!$A$2:$A$3000,$A2)&gt;0,"Yes",""))</f>
        <v/>
      </c>
    </row>
    <row r="2597">
      <c r="W2597">
        <f>IF($A2="","",COUNTIF('07_Pallet_Contents'!$A$2:$A$3000,$A2))</f>
        <v/>
      </c>
      <c r="X2597">
        <f>IF($A2="","",SUMIF('07_Pallet_Contents'!$A$2:$A$3000,$A2,'07_Pallet_Contents'!$D$2:$D$3000))</f>
        <v/>
      </c>
      <c r="Y2597">
        <f>IF($A2="","",SUMIF('07_Pallet_Contents'!$A$2:$A$3000,$A2,'07_Pallet_Contents'!$I$2:$I$3000))</f>
        <v/>
      </c>
      <c r="Z2597">
        <f>IF($A2="","",IF(COUNTIF('07_Pallet_Contents'!$A$2:$A$3000,$A2)&gt;0,"Yes",""))</f>
        <v/>
      </c>
    </row>
    <row r="2598">
      <c r="W2598">
        <f>IF($A2="","",COUNTIF('07_Pallet_Contents'!$A$2:$A$3000,$A2))</f>
        <v/>
      </c>
      <c r="X2598">
        <f>IF($A2="","",SUMIF('07_Pallet_Contents'!$A$2:$A$3000,$A2,'07_Pallet_Contents'!$D$2:$D$3000))</f>
        <v/>
      </c>
      <c r="Y2598">
        <f>IF($A2="","",SUMIF('07_Pallet_Contents'!$A$2:$A$3000,$A2,'07_Pallet_Contents'!$I$2:$I$3000))</f>
        <v/>
      </c>
      <c r="Z2598">
        <f>IF($A2="","",IF(COUNTIF('07_Pallet_Contents'!$A$2:$A$3000,$A2)&gt;0,"Yes",""))</f>
        <v/>
      </c>
    </row>
    <row r="2599">
      <c r="W2599">
        <f>IF($A2="","",COUNTIF('07_Pallet_Contents'!$A$2:$A$3000,$A2))</f>
        <v/>
      </c>
      <c r="X2599">
        <f>IF($A2="","",SUMIF('07_Pallet_Contents'!$A$2:$A$3000,$A2,'07_Pallet_Contents'!$D$2:$D$3000))</f>
        <v/>
      </c>
      <c r="Y2599">
        <f>IF($A2="","",SUMIF('07_Pallet_Contents'!$A$2:$A$3000,$A2,'07_Pallet_Contents'!$I$2:$I$3000))</f>
        <v/>
      </c>
      <c r="Z2599">
        <f>IF($A2="","",IF(COUNTIF('07_Pallet_Contents'!$A$2:$A$3000,$A2)&gt;0,"Yes",""))</f>
        <v/>
      </c>
    </row>
    <row r="2600">
      <c r="W2600">
        <f>IF($A2="","",COUNTIF('07_Pallet_Contents'!$A$2:$A$3000,$A2))</f>
        <v/>
      </c>
      <c r="X2600">
        <f>IF($A2="","",SUMIF('07_Pallet_Contents'!$A$2:$A$3000,$A2,'07_Pallet_Contents'!$D$2:$D$3000))</f>
        <v/>
      </c>
      <c r="Y2600">
        <f>IF($A2="","",SUMIF('07_Pallet_Contents'!$A$2:$A$3000,$A2,'07_Pallet_Contents'!$I$2:$I$3000))</f>
        <v/>
      </c>
      <c r="Z2600">
        <f>IF($A2="","",IF(COUNTIF('07_Pallet_Contents'!$A$2:$A$3000,$A2)&gt;0,"Yes",""))</f>
        <v/>
      </c>
    </row>
    <row r="2601">
      <c r="W2601">
        <f>IF($A2="","",COUNTIF('07_Pallet_Contents'!$A$2:$A$3000,$A2))</f>
        <v/>
      </c>
      <c r="X2601">
        <f>IF($A2="","",SUMIF('07_Pallet_Contents'!$A$2:$A$3000,$A2,'07_Pallet_Contents'!$D$2:$D$3000))</f>
        <v/>
      </c>
      <c r="Y2601">
        <f>IF($A2="","",SUMIF('07_Pallet_Contents'!$A$2:$A$3000,$A2,'07_Pallet_Contents'!$I$2:$I$3000))</f>
        <v/>
      </c>
      <c r="Z2601">
        <f>IF($A2="","",IF(COUNTIF('07_Pallet_Contents'!$A$2:$A$3000,$A2)&gt;0,"Yes",""))</f>
        <v/>
      </c>
    </row>
    <row r="2602">
      <c r="W2602">
        <f>IF($A2="","",COUNTIF('07_Pallet_Contents'!$A$2:$A$3000,$A2))</f>
        <v/>
      </c>
      <c r="X2602">
        <f>IF($A2="","",SUMIF('07_Pallet_Contents'!$A$2:$A$3000,$A2,'07_Pallet_Contents'!$D$2:$D$3000))</f>
        <v/>
      </c>
      <c r="Y2602">
        <f>IF($A2="","",SUMIF('07_Pallet_Contents'!$A$2:$A$3000,$A2,'07_Pallet_Contents'!$I$2:$I$3000))</f>
        <v/>
      </c>
      <c r="Z2602">
        <f>IF($A2="","",IF(COUNTIF('07_Pallet_Contents'!$A$2:$A$3000,$A2)&gt;0,"Yes",""))</f>
        <v/>
      </c>
    </row>
    <row r="2603">
      <c r="W2603">
        <f>IF($A2="","",COUNTIF('07_Pallet_Contents'!$A$2:$A$3000,$A2))</f>
        <v/>
      </c>
      <c r="X2603">
        <f>IF($A2="","",SUMIF('07_Pallet_Contents'!$A$2:$A$3000,$A2,'07_Pallet_Contents'!$D$2:$D$3000))</f>
        <v/>
      </c>
      <c r="Y2603">
        <f>IF($A2="","",SUMIF('07_Pallet_Contents'!$A$2:$A$3000,$A2,'07_Pallet_Contents'!$I$2:$I$3000))</f>
        <v/>
      </c>
      <c r="Z2603">
        <f>IF($A2="","",IF(COUNTIF('07_Pallet_Contents'!$A$2:$A$3000,$A2)&gt;0,"Yes",""))</f>
        <v/>
      </c>
    </row>
    <row r="2604">
      <c r="W2604">
        <f>IF($A2="","",COUNTIF('07_Pallet_Contents'!$A$2:$A$3000,$A2))</f>
        <v/>
      </c>
      <c r="X2604">
        <f>IF($A2="","",SUMIF('07_Pallet_Contents'!$A$2:$A$3000,$A2,'07_Pallet_Contents'!$D$2:$D$3000))</f>
        <v/>
      </c>
      <c r="Y2604">
        <f>IF($A2="","",SUMIF('07_Pallet_Contents'!$A$2:$A$3000,$A2,'07_Pallet_Contents'!$I$2:$I$3000))</f>
        <v/>
      </c>
      <c r="Z2604">
        <f>IF($A2="","",IF(COUNTIF('07_Pallet_Contents'!$A$2:$A$3000,$A2)&gt;0,"Yes",""))</f>
        <v/>
      </c>
    </row>
    <row r="2605">
      <c r="W2605">
        <f>IF($A2="","",COUNTIF('07_Pallet_Contents'!$A$2:$A$3000,$A2))</f>
        <v/>
      </c>
      <c r="X2605">
        <f>IF($A2="","",SUMIF('07_Pallet_Contents'!$A$2:$A$3000,$A2,'07_Pallet_Contents'!$D$2:$D$3000))</f>
        <v/>
      </c>
      <c r="Y2605">
        <f>IF($A2="","",SUMIF('07_Pallet_Contents'!$A$2:$A$3000,$A2,'07_Pallet_Contents'!$I$2:$I$3000))</f>
        <v/>
      </c>
      <c r="Z2605">
        <f>IF($A2="","",IF(COUNTIF('07_Pallet_Contents'!$A$2:$A$3000,$A2)&gt;0,"Yes",""))</f>
        <v/>
      </c>
    </row>
    <row r="2606">
      <c r="W2606">
        <f>IF($A2="","",COUNTIF('07_Pallet_Contents'!$A$2:$A$3000,$A2))</f>
        <v/>
      </c>
      <c r="X2606">
        <f>IF($A2="","",SUMIF('07_Pallet_Contents'!$A$2:$A$3000,$A2,'07_Pallet_Contents'!$D$2:$D$3000))</f>
        <v/>
      </c>
      <c r="Y2606">
        <f>IF($A2="","",SUMIF('07_Pallet_Contents'!$A$2:$A$3000,$A2,'07_Pallet_Contents'!$I$2:$I$3000))</f>
        <v/>
      </c>
      <c r="Z2606">
        <f>IF($A2="","",IF(COUNTIF('07_Pallet_Contents'!$A$2:$A$3000,$A2)&gt;0,"Yes",""))</f>
        <v/>
      </c>
    </row>
    <row r="2607">
      <c r="W2607">
        <f>IF($A2="","",COUNTIF('07_Pallet_Contents'!$A$2:$A$3000,$A2))</f>
        <v/>
      </c>
      <c r="X2607">
        <f>IF($A2="","",SUMIF('07_Pallet_Contents'!$A$2:$A$3000,$A2,'07_Pallet_Contents'!$D$2:$D$3000))</f>
        <v/>
      </c>
      <c r="Y2607">
        <f>IF($A2="","",SUMIF('07_Pallet_Contents'!$A$2:$A$3000,$A2,'07_Pallet_Contents'!$I$2:$I$3000))</f>
        <v/>
      </c>
      <c r="Z2607">
        <f>IF($A2="","",IF(COUNTIF('07_Pallet_Contents'!$A$2:$A$3000,$A2)&gt;0,"Yes",""))</f>
        <v/>
      </c>
    </row>
    <row r="2608">
      <c r="W2608">
        <f>IF($A2="","",COUNTIF('07_Pallet_Contents'!$A$2:$A$3000,$A2))</f>
        <v/>
      </c>
      <c r="X2608">
        <f>IF($A2="","",SUMIF('07_Pallet_Contents'!$A$2:$A$3000,$A2,'07_Pallet_Contents'!$D$2:$D$3000))</f>
        <v/>
      </c>
      <c r="Y2608">
        <f>IF($A2="","",SUMIF('07_Pallet_Contents'!$A$2:$A$3000,$A2,'07_Pallet_Contents'!$I$2:$I$3000))</f>
        <v/>
      </c>
      <c r="Z2608">
        <f>IF($A2="","",IF(COUNTIF('07_Pallet_Contents'!$A$2:$A$3000,$A2)&gt;0,"Yes",""))</f>
        <v/>
      </c>
    </row>
    <row r="2609">
      <c r="W2609">
        <f>IF($A2="","",COUNTIF('07_Pallet_Contents'!$A$2:$A$3000,$A2))</f>
        <v/>
      </c>
      <c r="X2609">
        <f>IF($A2="","",SUMIF('07_Pallet_Contents'!$A$2:$A$3000,$A2,'07_Pallet_Contents'!$D$2:$D$3000))</f>
        <v/>
      </c>
      <c r="Y2609">
        <f>IF($A2="","",SUMIF('07_Pallet_Contents'!$A$2:$A$3000,$A2,'07_Pallet_Contents'!$I$2:$I$3000))</f>
        <v/>
      </c>
      <c r="Z2609">
        <f>IF($A2="","",IF(COUNTIF('07_Pallet_Contents'!$A$2:$A$3000,$A2)&gt;0,"Yes",""))</f>
        <v/>
      </c>
    </row>
    <row r="2610">
      <c r="W2610">
        <f>IF($A2="","",COUNTIF('07_Pallet_Contents'!$A$2:$A$3000,$A2))</f>
        <v/>
      </c>
      <c r="X2610">
        <f>IF($A2="","",SUMIF('07_Pallet_Contents'!$A$2:$A$3000,$A2,'07_Pallet_Contents'!$D$2:$D$3000))</f>
        <v/>
      </c>
      <c r="Y2610">
        <f>IF($A2="","",SUMIF('07_Pallet_Contents'!$A$2:$A$3000,$A2,'07_Pallet_Contents'!$I$2:$I$3000))</f>
        <v/>
      </c>
      <c r="Z2610">
        <f>IF($A2="","",IF(COUNTIF('07_Pallet_Contents'!$A$2:$A$3000,$A2)&gt;0,"Yes",""))</f>
        <v/>
      </c>
    </row>
    <row r="2611">
      <c r="W2611">
        <f>IF($A2="","",COUNTIF('07_Pallet_Contents'!$A$2:$A$3000,$A2))</f>
        <v/>
      </c>
      <c r="X2611">
        <f>IF($A2="","",SUMIF('07_Pallet_Contents'!$A$2:$A$3000,$A2,'07_Pallet_Contents'!$D$2:$D$3000))</f>
        <v/>
      </c>
      <c r="Y2611">
        <f>IF($A2="","",SUMIF('07_Pallet_Contents'!$A$2:$A$3000,$A2,'07_Pallet_Contents'!$I$2:$I$3000))</f>
        <v/>
      </c>
      <c r="Z2611">
        <f>IF($A2="","",IF(COUNTIF('07_Pallet_Contents'!$A$2:$A$3000,$A2)&gt;0,"Yes",""))</f>
        <v/>
      </c>
    </row>
    <row r="2612">
      <c r="W2612">
        <f>IF($A2="","",COUNTIF('07_Pallet_Contents'!$A$2:$A$3000,$A2))</f>
        <v/>
      </c>
      <c r="X2612">
        <f>IF($A2="","",SUMIF('07_Pallet_Contents'!$A$2:$A$3000,$A2,'07_Pallet_Contents'!$D$2:$D$3000))</f>
        <v/>
      </c>
      <c r="Y2612">
        <f>IF($A2="","",SUMIF('07_Pallet_Contents'!$A$2:$A$3000,$A2,'07_Pallet_Contents'!$I$2:$I$3000))</f>
        <v/>
      </c>
      <c r="Z2612">
        <f>IF($A2="","",IF(COUNTIF('07_Pallet_Contents'!$A$2:$A$3000,$A2)&gt;0,"Yes",""))</f>
        <v/>
      </c>
    </row>
    <row r="2613">
      <c r="W2613">
        <f>IF($A2="","",COUNTIF('07_Pallet_Contents'!$A$2:$A$3000,$A2))</f>
        <v/>
      </c>
      <c r="X2613">
        <f>IF($A2="","",SUMIF('07_Pallet_Contents'!$A$2:$A$3000,$A2,'07_Pallet_Contents'!$D$2:$D$3000))</f>
        <v/>
      </c>
      <c r="Y2613">
        <f>IF($A2="","",SUMIF('07_Pallet_Contents'!$A$2:$A$3000,$A2,'07_Pallet_Contents'!$I$2:$I$3000))</f>
        <v/>
      </c>
      <c r="Z2613">
        <f>IF($A2="","",IF(COUNTIF('07_Pallet_Contents'!$A$2:$A$3000,$A2)&gt;0,"Yes",""))</f>
        <v/>
      </c>
    </row>
    <row r="2614">
      <c r="W2614">
        <f>IF($A2="","",COUNTIF('07_Pallet_Contents'!$A$2:$A$3000,$A2))</f>
        <v/>
      </c>
      <c r="X2614">
        <f>IF($A2="","",SUMIF('07_Pallet_Contents'!$A$2:$A$3000,$A2,'07_Pallet_Contents'!$D$2:$D$3000))</f>
        <v/>
      </c>
      <c r="Y2614">
        <f>IF($A2="","",SUMIF('07_Pallet_Contents'!$A$2:$A$3000,$A2,'07_Pallet_Contents'!$I$2:$I$3000))</f>
        <v/>
      </c>
      <c r="Z2614">
        <f>IF($A2="","",IF(COUNTIF('07_Pallet_Contents'!$A$2:$A$3000,$A2)&gt;0,"Yes",""))</f>
        <v/>
      </c>
    </row>
    <row r="2615">
      <c r="W2615">
        <f>IF($A2="","",COUNTIF('07_Pallet_Contents'!$A$2:$A$3000,$A2))</f>
        <v/>
      </c>
      <c r="X2615">
        <f>IF($A2="","",SUMIF('07_Pallet_Contents'!$A$2:$A$3000,$A2,'07_Pallet_Contents'!$D$2:$D$3000))</f>
        <v/>
      </c>
      <c r="Y2615">
        <f>IF($A2="","",SUMIF('07_Pallet_Contents'!$A$2:$A$3000,$A2,'07_Pallet_Contents'!$I$2:$I$3000))</f>
        <v/>
      </c>
      <c r="Z2615">
        <f>IF($A2="","",IF(COUNTIF('07_Pallet_Contents'!$A$2:$A$3000,$A2)&gt;0,"Yes",""))</f>
        <v/>
      </c>
    </row>
    <row r="2616">
      <c r="W2616">
        <f>IF($A2="","",COUNTIF('07_Pallet_Contents'!$A$2:$A$3000,$A2))</f>
        <v/>
      </c>
      <c r="X2616">
        <f>IF($A2="","",SUMIF('07_Pallet_Contents'!$A$2:$A$3000,$A2,'07_Pallet_Contents'!$D$2:$D$3000))</f>
        <v/>
      </c>
      <c r="Y2616">
        <f>IF($A2="","",SUMIF('07_Pallet_Contents'!$A$2:$A$3000,$A2,'07_Pallet_Contents'!$I$2:$I$3000))</f>
        <v/>
      </c>
      <c r="Z2616">
        <f>IF($A2="","",IF(COUNTIF('07_Pallet_Contents'!$A$2:$A$3000,$A2)&gt;0,"Yes",""))</f>
        <v/>
      </c>
    </row>
    <row r="2617">
      <c r="W2617">
        <f>IF($A2="","",COUNTIF('07_Pallet_Contents'!$A$2:$A$3000,$A2))</f>
        <v/>
      </c>
      <c r="X2617">
        <f>IF($A2="","",SUMIF('07_Pallet_Contents'!$A$2:$A$3000,$A2,'07_Pallet_Contents'!$D$2:$D$3000))</f>
        <v/>
      </c>
      <c r="Y2617">
        <f>IF($A2="","",SUMIF('07_Pallet_Contents'!$A$2:$A$3000,$A2,'07_Pallet_Contents'!$I$2:$I$3000))</f>
        <v/>
      </c>
      <c r="Z2617">
        <f>IF($A2="","",IF(COUNTIF('07_Pallet_Contents'!$A$2:$A$3000,$A2)&gt;0,"Yes",""))</f>
        <v/>
      </c>
    </row>
    <row r="2618">
      <c r="W2618">
        <f>IF($A2="","",COUNTIF('07_Pallet_Contents'!$A$2:$A$3000,$A2))</f>
        <v/>
      </c>
      <c r="X2618">
        <f>IF($A2="","",SUMIF('07_Pallet_Contents'!$A$2:$A$3000,$A2,'07_Pallet_Contents'!$D$2:$D$3000))</f>
        <v/>
      </c>
      <c r="Y2618">
        <f>IF($A2="","",SUMIF('07_Pallet_Contents'!$A$2:$A$3000,$A2,'07_Pallet_Contents'!$I$2:$I$3000))</f>
        <v/>
      </c>
      <c r="Z2618">
        <f>IF($A2="","",IF(COUNTIF('07_Pallet_Contents'!$A$2:$A$3000,$A2)&gt;0,"Yes",""))</f>
        <v/>
      </c>
    </row>
    <row r="2619">
      <c r="W2619">
        <f>IF($A2="","",COUNTIF('07_Pallet_Contents'!$A$2:$A$3000,$A2))</f>
        <v/>
      </c>
      <c r="X2619">
        <f>IF($A2="","",SUMIF('07_Pallet_Contents'!$A$2:$A$3000,$A2,'07_Pallet_Contents'!$D$2:$D$3000))</f>
        <v/>
      </c>
      <c r="Y2619">
        <f>IF($A2="","",SUMIF('07_Pallet_Contents'!$A$2:$A$3000,$A2,'07_Pallet_Contents'!$I$2:$I$3000))</f>
        <v/>
      </c>
      <c r="Z2619">
        <f>IF($A2="","",IF(COUNTIF('07_Pallet_Contents'!$A$2:$A$3000,$A2)&gt;0,"Yes",""))</f>
        <v/>
      </c>
    </row>
    <row r="2620">
      <c r="W2620">
        <f>IF($A2="","",COUNTIF('07_Pallet_Contents'!$A$2:$A$3000,$A2))</f>
        <v/>
      </c>
      <c r="X2620">
        <f>IF($A2="","",SUMIF('07_Pallet_Contents'!$A$2:$A$3000,$A2,'07_Pallet_Contents'!$D$2:$D$3000))</f>
        <v/>
      </c>
      <c r="Y2620">
        <f>IF($A2="","",SUMIF('07_Pallet_Contents'!$A$2:$A$3000,$A2,'07_Pallet_Contents'!$I$2:$I$3000))</f>
        <v/>
      </c>
      <c r="Z2620">
        <f>IF($A2="","",IF(COUNTIF('07_Pallet_Contents'!$A$2:$A$3000,$A2)&gt;0,"Yes",""))</f>
        <v/>
      </c>
    </row>
    <row r="2621">
      <c r="W2621">
        <f>IF($A2="","",COUNTIF('07_Pallet_Contents'!$A$2:$A$3000,$A2))</f>
        <v/>
      </c>
      <c r="X2621">
        <f>IF($A2="","",SUMIF('07_Pallet_Contents'!$A$2:$A$3000,$A2,'07_Pallet_Contents'!$D$2:$D$3000))</f>
        <v/>
      </c>
      <c r="Y2621">
        <f>IF($A2="","",SUMIF('07_Pallet_Contents'!$A$2:$A$3000,$A2,'07_Pallet_Contents'!$I$2:$I$3000))</f>
        <v/>
      </c>
      <c r="Z2621">
        <f>IF($A2="","",IF(COUNTIF('07_Pallet_Contents'!$A$2:$A$3000,$A2)&gt;0,"Yes",""))</f>
        <v/>
      </c>
    </row>
    <row r="2622">
      <c r="W2622">
        <f>IF($A2="","",COUNTIF('07_Pallet_Contents'!$A$2:$A$3000,$A2))</f>
        <v/>
      </c>
      <c r="X2622">
        <f>IF($A2="","",SUMIF('07_Pallet_Contents'!$A$2:$A$3000,$A2,'07_Pallet_Contents'!$D$2:$D$3000))</f>
        <v/>
      </c>
      <c r="Y2622">
        <f>IF($A2="","",SUMIF('07_Pallet_Contents'!$A$2:$A$3000,$A2,'07_Pallet_Contents'!$I$2:$I$3000))</f>
        <v/>
      </c>
      <c r="Z2622">
        <f>IF($A2="","",IF(COUNTIF('07_Pallet_Contents'!$A$2:$A$3000,$A2)&gt;0,"Yes",""))</f>
        <v/>
      </c>
    </row>
    <row r="2623">
      <c r="W2623">
        <f>IF($A2="","",COUNTIF('07_Pallet_Contents'!$A$2:$A$3000,$A2))</f>
        <v/>
      </c>
      <c r="X2623">
        <f>IF($A2="","",SUMIF('07_Pallet_Contents'!$A$2:$A$3000,$A2,'07_Pallet_Contents'!$D$2:$D$3000))</f>
        <v/>
      </c>
      <c r="Y2623">
        <f>IF($A2="","",SUMIF('07_Pallet_Contents'!$A$2:$A$3000,$A2,'07_Pallet_Contents'!$I$2:$I$3000))</f>
        <v/>
      </c>
      <c r="Z2623">
        <f>IF($A2="","",IF(COUNTIF('07_Pallet_Contents'!$A$2:$A$3000,$A2)&gt;0,"Yes",""))</f>
        <v/>
      </c>
    </row>
    <row r="2624">
      <c r="W2624">
        <f>IF($A2="","",COUNTIF('07_Pallet_Contents'!$A$2:$A$3000,$A2))</f>
        <v/>
      </c>
      <c r="X2624">
        <f>IF($A2="","",SUMIF('07_Pallet_Contents'!$A$2:$A$3000,$A2,'07_Pallet_Contents'!$D$2:$D$3000))</f>
        <v/>
      </c>
      <c r="Y2624">
        <f>IF($A2="","",SUMIF('07_Pallet_Contents'!$A$2:$A$3000,$A2,'07_Pallet_Contents'!$I$2:$I$3000))</f>
        <v/>
      </c>
      <c r="Z2624">
        <f>IF($A2="","",IF(COUNTIF('07_Pallet_Contents'!$A$2:$A$3000,$A2)&gt;0,"Yes",""))</f>
        <v/>
      </c>
    </row>
    <row r="2625">
      <c r="W2625">
        <f>IF($A2="","",COUNTIF('07_Pallet_Contents'!$A$2:$A$3000,$A2))</f>
        <v/>
      </c>
      <c r="X2625">
        <f>IF($A2="","",SUMIF('07_Pallet_Contents'!$A$2:$A$3000,$A2,'07_Pallet_Contents'!$D$2:$D$3000))</f>
        <v/>
      </c>
      <c r="Y2625">
        <f>IF($A2="","",SUMIF('07_Pallet_Contents'!$A$2:$A$3000,$A2,'07_Pallet_Contents'!$I$2:$I$3000))</f>
        <v/>
      </c>
      <c r="Z2625">
        <f>IF($A2="","",IF(COUNTIF('07_Pallet_Contents'!$A$2:$A$3000,$A2)&gt;0,"Yes",""))</f>
        <v/>
      </c>
    </row>
    <row r="2626">
      <c r="W2626">
        <f>IF($A2="","",COUNTIF('07_Pallet_Contents'!$A$2:$A$3000,$A2))</f>
        <v/>
      </c>
      <c r="X2626">
        <f>IF($A2="","",SUMIF('07_Pallet_Contents'!$A$2:$A$3000,$A2,'07_Pallet_Contents'!$D$2:$D$3000))</f>
        <v/>
      </c>
      <c r="Y2626">
        <f>IF($A2="","",SUMIF('07_Pallet_Contents'!$A$2:$A$3000,$A2,'07_Pallet_Contents'!$I$2:$I$3000))</f>
        <v/>
      </c>
      <c r="Z2626">
        <f>IF($A2="","",IF(COUNTIF('07_Pallet_Contents'!$A$2:$A$3000,$A2)&gt;0,"Yes",""))</f>
        <v/>
      </c>
    </row>
    <row r="2627">
      <c r="W2627">
        <f>IF($A2="","",COUNTIF('07_Pallet_Contents'!$A$2:$A$3000,$A2))</f>
        <v/>
      </c>
      <c r="X2627">
        <f>IF($A2="","",SUMIF('07_Pallet_Contents'!$A$2:$A$3000,$A2,'07_Pallet_Contents'!$D$2:$D$3000))</f>
        <v/>
      </c>
      <c r="Y2627">
        <f>IF($A2="","",SUMIF('07_Pallet_Contents'!$A$2:$A$3000,$A2,'07_Pallet_Contents'!$I$2:$I$3000))</f>
        <v/>
      </c>
      <c r="Z2627">
        <f>IF($A2="","",IF(COUNTIF('07_Pallet_Contents'!$A$2:$A$3000,$A2)&gt;0,"Yes",""))</f>
        <v/>
      </c>
    </row>
    <row r="2628">
      <c r="W2628">
        <f>IF($A2="","",COUNTIF('07_Pallet_Contents'!$A$2:$A$3000,$A2))</f>
        <v/>
      </c>
      <c r="X2628">
        <f>IF($A2="","",SUMIF('07_Pallet_Contents'!$A$2:$A$3000,$A2,'07_Pallet_Contents'!$D$2:$D$3000))</f>
        <v/>
      </c>
      <c r="Y2628">
        <f>IF($A2="","",SUMIF('07_Pallet_Contents'!$A$2:$A$3000,$A2,'07_Pallet_Contents'!$I$2:$I$3000))</f>
        <v/>
      </c>
      <c r="Z2628">
        <f>IF($A2="","",IF(COUNTIF('07_Pallet_Contents'!$A$2:$A$3000,$A2)&gt;0,"Yes",""))</f>
        <v/>
      </c>
    </row>
    <row r="2629">
      <c r="W2629">
        <f>IF($A2="","",COUNTIF('07_Pallet_Contents'!$A$2:$A$3000,$A2))</f>
        <v/>
      </c>
      <c r="X2629">
        <f>IF($A2="","",SUMIF('07_Pallet_Contents'!$A$2:$A$3000,$A2,'07_Pallet_Contents'!$D$2:$D$3000))</f>
        <v/>
      </c>
      <c r="Y2629">
        <f>IF($A2="","",SUMIF('07_Pallet_Contents'!$A$2:$A$3000,$A2,'07_Pallet_Contents'!$I$2:$I$3000))</f>
        <v/>
      </c>
      <c r="Z2629">
        <f>IF($A2="","",IF(COUNTIF('07_Pallet_Contents'!$A$2:$A$3000,$A2)&gt;0,"Yes",""))</f>
        <v/>
      </c>
    </row>
    <row r="2630">
      <c r="W2630">
        <f>IF($A2="","",COUNTIF('07_Pallet_Contents'!$A$2:$A$3000,$A2))</f>
        <v/>
      </c>
      <c r="X2630">
        <f>IF($A2="","",SUMIF('07_Pallet_Contents'!$A$2:$A$3000,$A2,'07_Pallet_Contents'!$D$2:$D$3000))</f>
        <v/>
      </c>
      <c r="Y2630">
        <f>IF($A2="","",SUMIF('07_Pallet_Contents'!$A$2:$A$3000,$A2,'07_Pallet_Contents'!$I$2:$I$3000))</f>
        <v/>
      </c>
      <c r="Z2630">
        <f>IF($A2="","",IF(COUNTIF('07_Pallet_Contents'!$A$2:$A$3000,$A2)&gt;0,"Yes",""))</f>
        <v/>
      </c>
    </row>
    <row r="2631">
      <c r="W2631">
        <f>IF($A2="","",COUNTIF('07_Pallet_Contents'!$A$2:$A$3000,$A2))</f>
        <v/>
      </c>
      <c r="X2631">
        <f>IF($A2="","",SUMIF('07_Pallet_Contents'!$A$2:$A$3000,$A2,'07_Pallet_Contents'!$D$2:$D$3000))</f>
        <v/>
      </c>
      <c r="Y2631">
        <f>IF($A2="","",SUMIF('07_Pallet_Contents'!$A$2:$A$3000,$A2,'07_Pallet_Contents'!$I$2:$I$3000))</f>
        <v/>
      </c>
      <c r="Z2631">
        <f>IF($A2="","",IF(COUNTIF('07_Pallet_Contents'!$A$2:$A$3000,$A2)&gt;0,"Yes",""))</f>
        <v/>
      </c>
    </row>
    <row r="2632">
      <c r="W2632">
        <f>IF($A2="","",COUNTIF('07_Pallet_Contents'!$A$2:$A$3000,$A2))</f>
        <v/>
      </c>
      <c r="X2632">
        <f>IF($A2="","",SUMIF('07_Pallet_Contents'!$A$2:$A$3000,$A2,'07_Pallet_Contents'!$D$2:$D$3000))</f>
        <v/>
      </c>
      <c r="Y2632">
        <f>IF($A2="","",SUMIF('07_Pallet_Contents'!$A$2:$A$3000,$A2,'07_Pallet_Contents'!$I$2:$I$3000))</f>
        <v/>
      </c>
      <c r="Z2632">
        <f>IF($A2="","",IF(COUNTIF('07_Pallet_Contents'!$A$2:$A$3000,$A2)&gt;0,"Yes",""))</f>
        <v/>
      </c>
    </row>
    <row r="2633">
      <c r="W2633">
        <f>IF($A2="","",COUNTIF('07_Pallet_Contents'!$A$2:$A$3000,$A2))</f>
        <v/>
      </c>
      <c r="X2633">
        <f>IF($A2="","",SUMIF('07_Pallet_Contents'!$A$2:$A$3000,$A2,'07_Pallet_Contents'!$D$2:$D$3000))</f>
        <v/>
      </c>
      <c r="Y2633">
        <f>IF($A2="","",SUMIF('07_Pallet_Contents'!$A$2:$A$3000,$A2,'07_Pallet_Contents'!$I$2:$I$3000))</f>
        <v/>
      </c>
      <c r="Z2633">
        <f>IF($A2="","",IF(COUNTIF('07_Pallet_Contents'!$A$2:$A$3000,$A2)&gt;0,"Yes",""))</f>
        <v/>
      </c>
    </row>
    <row r="2634">
      <c r="W2634">
        <f>IF($A2="","",COUNTIF('07_Pallet_Contents'!$A$2:$A$3000,$A2))</f>
        <v/>
      </c>
      <c r="X2634">
        <f>IF($A2="","",SUMIF('07_Pallet_Contents'!$A$2:$A$3000,$A2,'07_Pallet_Contents'!$D$2:$D$3000))</f>
        <v/>
      </c>
      <c r="Y2634">
        <f>IF($A2="","",SUMIF('07_Pallet_Contents'!$A$2:$A$3000,$A2,'07_Pallet_Contents'!$I$2:$I$3000))</f>
        <v/>
      </c>
      <c r="Z2634">
        <f>IF($A2="","",IF(COUNTIF('07_Pallet_Contents'!$A$2:$A$3000,$A2)&gt;0,"Yes",""))</f>
        <v/>
      </c>
    </row>
    <row r="2635">
      <c r="W2635">
        <f>IF($A2="","",COUNTIF('07_Pallet_Contents'!$A$2:$A$3000,$A2))</f>
        <v/>
      </c>
      <c r="X2635">
        <f>IF($A2="","",SUMIF('07_Pallet_Contents'!$A$2:$A$3000,$A2,'07_Pallet_Contents'!$D$2:$D$3000))</f>
        <v/>
      </c>
      <c r="Y2635">
        <f>IF($A2="","",SUMIF('07_Pallet_Contents'!$A$2:$A$3000,$A2,'07_Pallet_Contents'!$I$2:$I$3000))</f>
        <v/>
      </c>
      <c r="Z2635">
        <f>IF($A2="","",IF(COUNTIF('07_Pallet_Contents'!$A$2:$A$3000,$A2)&gt;0,"Yes",""))</f>
        <v/>
      </c>
    </row>
    <row r="2636">
      <c r="W2636">
        <f>IF($A2="","",COUNTIF('07_Pallet_Contents'!$A$2:$A$3000,$A2))</f>
        <v/>
      </c>
      <c r="X2636">
        <f>IF($A2="","",SUMIF('07_Pallet_Contents'!$A$2:$A$3000,$A2,'07_Pallet_Contents'!$D$2:$D$3000))</f>
        <v/>
      </c>
      <c r="Y2636">
        <f>IF($A2="","",SUMIF('07_Pallet_Contents'!$A$2:$A$3000,$A2,'07_Pallet_Contents'!$I$2:$I$3000))</f>
        <v/>
      </c>
      <c r="Z2636">
        <f>IF($A2="","",IF(COUNTIF('07_Pallet_Contents'!$A$2:$A$3000,$A2)&gt;0,"Yes",""))</f>
        <v/>
      </c>
    </row>
    <row r="2637">
      <c r="W2637">
        <f>IF($A2="","",COUNTIF('07_Pallet_Contents'!$A$2:$A$3000,$A2))</f>
        <v/>
      </c>
      <c r="X2637">
        <f>IF($A2="","",SUMIF('07_Pallet_Contents'!$A$2:$A$3000,$A2,'07_Pallet_Contents'!$D$2:$D$3000))</f>
        <v/>
      </c>
      <c r="Y2637">
        <f>IF($A2="","",SUMIF('07_Pallet_Contents'!$A$2:$A$3000,$A2,'07_Pallet_Contents'!$I$2:$I$3000))</f>
        <v/>
      </c>
      <c r="Z2637">
        <f>IF($A2="","",IF(COUNTIF('07_Pallet_Contents'!$A$2:$A$3000,$A2)&gt;0,"Yes",""))</f>
        <v/>
      </c>
    </row>
    <row r="2638">
      <c r="W2638">
        <f>IF($A2="","",COUNTIF('07_Pallet_Contents'!$A$2:$A$3000,$A2))</f>
        <v/>
      </c>
      <c r="X2638">
        <f>IF($A2="","",SUMIF('07_Pallet_Contents'!$A$2:$A$3000,$A2,'07_Pallet_Contents'!$D$2:$D$3000))</f>
        <v/>
      </c>
      <c r="Y2638">
        <f>IF($A2="","",SUMIF('07_Pallet_Contents'!$A$2:$A$3000,$A2,'07_Pallet_Contents'!$I$2:$I$3000))</f>
        <v/>
      </c>
      <c r="Z2638">
        <f>IF($A2="","",IF(COUNTIF('07_Pallet_Contents'!$A$2:$A$3000,$A2)&gt;0,"Yes",""))</f>
        <v/>
      </c>
    </row>
    <row r="2639">
      <c r="W2639">
        <f>IF($A2="","",COUNTIF('07_Pallet_Contents'!$A$2:$A$3000,$A2))</f>
        <v/>
      </c>
      <c r="X2639">
        <f>IF($A2="","",SUMIF('07_Pallet_Contents'!$A$2:$A$3000,$A2,'07_Pallet_Contents'!$D$2:$D$3000))</f>
        <v/>
      </c>
      <c r="Y2639">
        <f>IF($A2="","",SUMIF('07_Pallet_Contents'!$A$2:$A$3000,$A2,'07_Pallet_Contents'!$I$2:$I$3000))</f>
        <v/>
      </c>
      <c r="Z2639">
        <f>IF($A2="","",IF(COUNTIF('07_Pallet_Contents'!$A$2:$A$3000,$A2)&gt;0,"Yes",""))</f>
        <v/>
      </c>
    </row>
    <row r="2640">
      <c r="W2640">
        <f>IF($A2="","",COUNTIF('07_Pallet_Contents'!$A$2:$A$3000,$A2))</f>
        <v/>
      </c>
      <c r="X2640">
        <f>IF($A2="","",SUMIF('07_Pallet_Contents'!$A$2:$A$3000,$A2,'07_Pallet_Contents'!$D$2:$D$3000))</f>
        <v/>
      </c>
      <c r="Y2640">
        <f>IF($A2="","",SUMIF('07_Pallet_Contents'!$A$2:$A$3000,$A2,'07_Pallet_Contents'!$I$2:$I$3000))</f>
        <v/>
      </c>
      <c r="Z2640">
        <f>IF($A2="","",IF(COUNTIF('07_Pallet_Contents'!$A$2:$A$3000,$A2)&gt;0,"Yes",""))</f>
        <v/>
      </c>
    </row>
    <row r="2641">
      <c r="W2641">
        <f>IF($A2="","",COUNTIF('07_Pallet_Contents'!$A$2:$A$3000,$A2))</f>
        <v/>
      </c>
      <c r="X2641">
        <f>IF($A2="","",SUMIF('07_Pallet_Contents'!$A$2:$A$3000,$A2,'07_Pallet_Contents'!$D$2:$D$3000))</f>
        <v/>
      </c>
      <c r="Y2641">
        <f>IF($A2="","",SUMIF('07_Pallet_Contents'!$A$2:$A$3000,$A2,'07_Pallet_Contents'!$I$2:$I$3000))</f>
        <v/>
      </c>
      <c r="Z2641">
        <f>IF($A2="","",IF(COUNTIF('07_Pallet_Contents'!$A$2:$A$3000,$A2)&gt;0,"Yes",""))</f>
        <v/>
      </c>
    </row>
    <row r="2642">
      <c r="W2642">
        <f>IF($A2="","",COUNTIF('07_Pallet_Contents'!$A$2:$A$3000,$A2))</f>
        <v/>
      </c>
      <c r="X2642">
        <f>IF($A2="","",SUMIF('07_Pallet_Contents'!$A$2:$A$3000,$A2,'07_Pallet_Contents'!$D$2:$D$3000))</f>
        <v/>
      </c>
      <c r="Y2642">
        <f>IF($A2="","",SUMIF('07_Pallet_Contents'!$A$2:$A$3000,$A2,'07_Pallet_Contents'!$I$2:$I$3000))</f>
        <v/>
      </c>
      <c r="Z2642">
        <f>IF($A2="","",IF(COUNTIF('07_Pallet_Contents'!$A$2:$A$3000,$A2)&gt;0,"Yes",""))</f>
        <v/>
      </c>
    </row>
    <row r="2643">
      <c r="W2643">
        <f>IF($A2="","",COUNTIF('07_Pallet_Contents'!$A$2:$A$3000,$A2))</f>
        <v/>
      </c>
      <c r="X2643">
        <f>IF($A2="","",SUMIF('07_Pallet_Contents'!$A$2:$A$3000,$A2,'07_Pallet_Contents'!$D$2:$D$3000))</f>
        <v/>
      </c>
      <c r="Y2643">
        <f>IF($A2="","",SUMIF('07_Pallet_Contents'!$A$2:$A$3000,$A2,'07_Pallet_Contents'!$I$2:$I$3000))</f>
        <v/>
      </c>
      <c r="Z2643">
        <f>IF($A2="","",IF(COUNTIF('07_Pallet_Contents'!$A$2:$A$3000,$A2)&gt;0,"Yes",""))</f>
        <v/>
      </c>
    </row>
    <row r="2644">
      <c r="W2644">
        <f>IF($A2="","",COUNTIF('07_Pallet_Contents'!$A$2:$A$3000,$A2))</f>
        <v/>
      </c>
      <c r="X2644">
        <f>IF($A2="","",SUMIF('07_Pallet_Contents'!$A$2:$A$3000,$A2,'07_Pallet_Contents'!$D$2:$D$3000))</f>
        <v/>
      </c>
      <c r="Y2644">
        <f>IF($A2="","",SUMIF('07_Pallet_Contents'!$A$2:$A$3000,$A2,'07_Pallet_Contents'!$I$2:$I$3000))</f>
        <v/>
      </c>
      <c r="Z2644">
        <f>IF($A2="","",IF(COUNTIF('07_Pallet_Contents'!$A$2:$A$3000,$A2)&gt;0,"Yes",""))</f>
        <v/>
      </c>
    </row>
    <row r="2645">
      <c r="W2645">
        <f>IF($A2="","",COUNTIF('07_Pallet_Contents'!$A$2:$A$3000,$A2))</f>
        <v/>
      </c>
      <c r="X2645">
        <f>IF($A2="","",SUMIF('07_Pallet_Contents'!$A$2:$A$3000,$A2,'07_Pallet_Contents'!$D$2:$D$3000))</f>
        <v/>
      </c>
      <c r="Y2645">
        <f>IF($A2="","",SUMIF('07_Pallet_Contents'!$A$2:$A$3000,$A2,'07_Pallet_Contents'!$I$2:$I$3000))</f>
        <v/>
      </c>
      <c r="Z2645">
        <f>IF($A2="","",IF(COUNTIF('07_Pallet_Contents'!$A$2:$A$3000,$A2)&gt;0,"Yes",""))</f>
        <v/>
      </c>
    </row>
    <row r="2646">
      <c r="W2646">
        <f>IF($A2="","",COUNTIF('07_Pallet_Contents'!$A$2:$A$3000,$A2))</f>
        <v/>
      </c>
      <c r="X2646">
        <f>IF($A2="","",SUMIF('07_Pallet_Contents'!$A$2:$A$3000,$A2,'07_Pallet_Contents'!$D$2:$D$3000))</f>
        <v/>
      </c>
      <c r="Y2646">
        <f>IF($A2="","",SUMIF('07_Pallet_Contents'!$A$2:$A$3000,$A2,'07_Pallet_Contents'!$I$2:$I$3000))</f>
        <v/>
      </c>
      <c r="Z2646">
        <f>IF($A2="","",IF(COUNTIF('07_Pallet_Contents'!$A$2:$A$3000,$A2)&gt;0,"Yes",""))</f>
        <v/>
      </c>
    </row>
    <row r="2647">
      <c r="W2647">
        <f>IF($A2="","",COUNTIF('07_Pallet_Contents'!$A$2:$A$3000,$A2))</f>
        <v/>
      </c>
      <c r="X2647">
        <f>IF($A2="","",SUMIF('07_Pallet_Contents'!$A$2:$A$3000,$A2,'07_Pallet_Contents'!$D$2:$D$3000))</f>
        <v/>
      </c>
      <c r="Y2647">
        <f>IF($A2="","",SUMIF('07_Pallet_Contents'!$A$2:$A$3000,$A2,'07_Pallet_Contents'!$I$2:$I$3000))</f>
        <v/>
      </c>
      <c r="Z2647">
        <f>IF($A2="","",IF(COUNTIF('07_Pallet_Contents'!$A$2:$A$3000,$A2)&gt;0,"Yes",""))</f>
        <v/>
      </c>
    </row>
    <row r="2648">
      <c r="W2648">
        <f>IF($A2="","",COUNTIF('07_Pallet_Contents'!$A$2:$A$3000,$A2))</f>
        <v/>
      </c>
      <c r="X2648">
        <f>IF($A2="","",SUMIF('07_Pallet_Contents'!$A$2:$A$3000,$A2,'07_Pallet_Contents'!$D$2:$D$3000))</f>
        <v/>
      </c>
      <c r="Y2648">
        <f>IF($A2="","",SUMIF('07_Pallet_Contents'!$A$2:$A$3000,$A2,'07_Pallet_Contents'!$I$2:$I$3000))</f>
        <v/>
      </c>
      <c r="Z2648">
        <f>IF($A2="","",IF(COUNTIF('07_Pallet_Contents'!$A$2:$A$3000,$A2)&gt;0,"Yes",""))</f>
        <v/>
      </c>
    </row>
    <row r="2649">
      <c r="W2649">
        <f>IF($A2="","",COUNTIF('07_Pallet_Contents'!$A$2:$A$3000,$A2))</f>
        <v/>
      </c>
      <c r="X2649">
        <f>IF($A2="","",SUMIF('07_Pallet_Contents'!$A$2:$A$3000,$A2,'07_Pallet_Contents'!$D$2:$D$3000))</f>
        <v/>
      </c>
      <c r="Y2649">
        <f>IF($A2="","",SUMIF('07_Pallet_Contents'!$A$2:$A$3000,$A2,'07_Pallet_Contents'!$I$2:$I$3000))</f>
        <v/>
      </c>
      <c r="Z2649">
        <f>IF($A2="","",IF(COUNTIF('07_Pallet_Contents'!$A$2:$A$3000,$A2)&gt;0,"Yes",""))</f>
        <v/>
      </c>
    </row>
    <row r="2650">
      <c r="W2650">
        <f>IF($A2="","",COUNTIF('07_Pallet_Contents'!$A$2:$A$3000,$A2))</f>
        <v/>
      </c>
      <c r="X2650">
        <f>IF($A2="","",SUMIF('07_Pallet_Contents'!$A$2:$A$3000,$A2,'07_Pallet_Contents'!$D$2:$D$3000))</f>
        <v/>
      </c>
      <c r="Y2650">
        <f>IF($A2="","",SUMIF('07_Pallet_Contents'!$A$2:$A$3000,$A2,'07_Pallet_Contents'!$I$2:$I$3000))</f>
        <v/>
      </c>
      <c r="Z2650">
        <f>IF($A2="","",IF(COUNTIF('07_Pallet_Contents'!$A$2:$A$3000,$A2)&gt;0,"Yes",""))</f>
        <v/>
      </c>
    </row>
    <row r="2651">
      <c r="W2651">
        <f>IF($A2="","",COUNTIF('07_Pallet_Contents'!$A$2:$A$3000,$A2))</f>
        <v/>
      </c>
      <c r="X2651">
        <f>IF($A2="","",SUMIF('07_Pallet_Contents'!$A$2:$A$3000,$A2,'07_Pallet_Contents'!$D$2:$D$3000))</f>
        <v/>
      </c>
      <c r="Y2651">
        <f>IF($A2="","",SUMIF('07_Pallet_Contents'!$A$2:$A$3000,$A2,'07_Pallet_Contents'!$I$2:$I$3000))</f>
        <v/>
      </c>
      <c r="Z2651">
        <f>IF($A2="","",IF(COUNTIF('07_Pallet_Contents'!$A$2:$A$3000,$A2)&gt;0,"Yes",""))</f>
        <v/>
      </c>
    </row>
    <row r="2652">
      <c r="W2652">
        <f>IF($A2="","",COUNTIF('07_Pallet_Contents'!$A$2:$A$3000,$A2))</f>
        <v/>
      </c>
      <c r="X2652">
        <f>IF($A2="","",SUMIF('07_Pallet_Contents'!$A$2:$A$3000,$A2,'07_Pallet_Contents'!$D$2:$D$3000))</f>
        <v/>
      </c>
      <c r="Y2652">
        <f>IF($A2="","",SUMIF('07_Pallet_Contents'!$A$2:$A$3000,$A2,'07_Pallet_Contents'!$I$2:$I$3000))</f>
        <v/>
      </c>
      <c r="Z2652">
        <f>IF($A2="","",IF(COUNTIF('07_Pallet_Contents'!$A$2:$A$3000,$A2)&gt;0,"Yes",""))</f>
        <v/>
      </c>
    </row>
    <row r="2653">
      <c r="W2653">
        <f>IF($A2="","",COUNTIF('07_Pallet_Contents'!$A$2:$A$3000,$A2))</f>
        <v/>
      </c>
      <c r="X2653">
        <f>IF($A2="","",SUMIF('07_Pallet_Contents'!$A$2:$A$3000,$A2,'07_Pallet_Contents'!$D$2:$D$3000))</f>
        <v/>
      </c>
      <c r="Y2653">
        <f>IF($A2="","",SUMIF('07_Pallet_Contents'!$A$2:$A$3000,$A2,'07_Pallet_Contents'!$I$2:$I$3000))</f>
        <v/>
      </c>
      <c r="Z2653">
        <f>IF($A2="","",IF(COUNTIF('07_Pallet_Contents'!$A$2:$A$3000,$A2)&gt;0,"Yes",""))</f>
        <v/>
      </c>
    </row>
    <row r="2654">
      <c r="W2654">
        <f>IF($A2="","",COUNTIF('07_Pallet_Contents'!$A$2:$A$3000,$A2))</f>
        <v/>
      </c>
      <c r="X2654">
        <f>IF($A2="","",SUMIF('07_Pallet_Contents'!$A$2:$A$3000,$A2,'07_Pallet_Contents'!$D$2:$D$3000))</f>
        <v/>
      </c>
      <c r="Y2654">
        <f>IF($A2="","",SUMIF('07_Pallet_Contents'!$A$2:$A$3000,$A2,'07_Pallet_Contents'!$I$2:$I$3000))</f>
        <v/>
      </c>
      <c r="Z2654">
        <f>IF($A2="","",IF(COUNTIF('07_Pallet_Contents'!$A$2:$A$3000,$A2)&gt;0,"Yes",""))</f>
        <v/>
      </c>
    </row>
    <row r="2655">
      <c r="W2655">
        <f>IF($A2="","",COUNTIF('07_Pallet_Contents'!$A$2:$A$3000,$A2))</f>
        <v/>
      </c>
      <c r="X2655">
        <f>IF($A2="","",SUMIF('07_Pallet_Contents'!$A$2:$A$3000,$A2,'07_Pallet_Contents'!$D$2:$D$3000))</f>
        <v/>
      </c>
      <c r="Y2655">
        <f>IF($A2="","",SUMIF('07_Pallet_Contents'!$A$2:$A$3000,$A2,'07_Pallet_Contents'!$I$2:$I$3000))</f>
        <v/>
      </c>
      <c r="Z2655">
        <f>IF($A2="","",IF(COUNTIF('07_Pallet_Contents'!$A$2:$A$3000,$A2)&gt;0,"Yes",""))</f>
        <v/>
      </c>
    </row>
    <row r="2656">
      <c r="W2656">
        <f>IF($A2="","",COUNTIF('07_Pallet_Contents'!$A$2:$A$3000,$A2))</f>
        <v/>
      </c>
      <c r="X2656">
        <f>IF($A2="","",SUMIF('07_Pallet_Contents'!$A$2:$A$3000,$A2,'07_Pallet_Contents'!$D$2:$D$3000))</f>
        <v/>
      </c>
      <c r="Y2656">
        <f>IF($A2="","",SUMIF('07_Pallet_Contents'!$A$2:$A$3000,$A2,'07_Pallet_Contents'!$I$2:$I$3000))</f>
        <v/>
      </c>
      <c r="Z2656">
        <f>IF($A2="","",IF(COUNTIF('07_Pallet_Contents'!$A$2:$A$3000,$A2)&gt;0,"Yes",""))</f>
        <v/>
      </c>
    </row>
    <row r="2657">
      <c r="W2657">
        <f>IF($A2="","",COUNTIF('07_Pallet_Contents'!$A$2:$A$3000,$A2))</f>
        <v/>
      </c>
      <c r="X2657">
        <f>IF($A2="","",SUMIF('07_Pallet_Contents'!$A$2:$A$3000,$A2,'07_Pallet_Contents'!$D$2:$D$3000))</f>
        <v/>
      </c>
      <c r="Y2657">
        <f>IF($A2="","",SUMIF('07_Pallet_Contents'!$A$2:$A$3000,$A2,'07_Pallet_Contents'!$I$2:$I$3000))</f>
        <v/>
      </c>
      <c r="Z2657">
        <f>IF($A2="","",IF(COUNTIF('07_Pallet_Contents'!$A$2:$A$3000,$A2)&gt;0,"Yes",""))</f>
        <v/>
      </c>
    </row>
    <row r="2658">
      <c r="W2658">
        <f>IF($A2="","",COUNTIF('07_Pallet_Contents'!$A$2:$A$3000,$A2))</f>
        <v/>
      </c>
      <c r="X2658">
        <f>IF($A2="","",SUMIF('07_Pallet_Contents'!$A$2:$A$3000,$A2,'07_Pallet_Contents'!$D$2:$D$3000))</f>
        <v/>
      </c>
      <c r="Y2658">
        <f>IF($A2="","",SUMIF('07_Pallet_Contents'!$A$2:$A$3000,$A2,'07_Pallet_Contents'!$I$2:$I$3000))</f>
        <v/>
      </c>
      <c r="Z2658">
        <f>IF($A2="","",IF(COUNTIF('07_Pallet_Contents'!$A$2:$A$3000,$A2)&gt;0,"Yes",""))</f>
        <v/>
      </c>
    </row>
    <row r="2659">
      <c r="W2659">
        <f>IF($A2="","",COUNTIF('07_Pallet_Contents'!$A$2:$A$3000,$A2))</f>
        <v/>
      </c>
      <c r="X2659">
        <f>IF($A2="","",SUMIF('07_Pallet_Contents'!$A$2:$A$3000,$A2,'07_Pallet_Contents'!$D$2:$D$3000))</f>
        <v/>
      </c>
      <c r="Y2659">
        <f>IF($A2="","",SUMIF('07_Pallet_Contents'!$A$2:$A$3000,$A2,'07_Pallet_Contents'!$I$2:$I$3000))</f>
        <v/>
      </c>
      <c r="Z2659">
        <f>IF($A2="","",IF(COUNTIF('07_Pallet_Contents'!$A$2:$A$3000,$A2)&gt;0,"Yes",""))</f>
        <v/>
      </c>
    </row>
    <row r="2660">
      <c r="W2660">
        <f>IF($A2="","",COUNTIF('07_Pallet_Contents'!$A$2:$A$3000,$A2))</f>
        <v/>
      </c>
      <c r="X2660">
        <f>IF($A2="","",SUMIF('07_Pallet_Contents'!$A$2:$A$3000,$A2,'07_Pallet_Contents'!$D$2:$D$3000))</f>
        <v/>
      </c>
      <c r="Y2660">
        <f>IF($A2="","",SUMIF('07_Pallet_Contents'!$A$2:$A$3000,$A2,'07_Pallet_Contents'!$I$2:$I$3000))</f>
        <v/>
      </c>
      <c r="Z2660">
        <f>IF($A2="","",IF(COUNTIF('07_Pallet_Contents'!$A$2:$A$3000,$A2)&gt;0,"Yes",""))</f>
        <v/>
      </c>
    </row>
    <row r="2661">
      <c r="W2661">
        <f>IF($A2="","",COUNTIF('07_Pallet_Contents'!$A$2:$A$3000,$A2))</f>
        <v/>
      </c>
      <c r="X2661">
        <f>IF($A2="","",SUMIF('07_Pallet_Contents'!$A$2:$A$3000,$A2,'07_Pallet_Contents'!$D$2:$D$3000))</f>
        <v/>
      </c>
      <c r="Y2661">
        <f>IF($A2="","",SUMIF('07_Pallet_Contents'!$A$2:$A$3000,$A2,'07_Pallet_Contents'!$I$2:$I$3000))</f>
        <v/>
      </c>
      <c r="Z2661">
        <f>IF($A2="","",IF(COUNTIF('07_Pallet_Contents'!$A$2:$A$3000,$A2)&gt;0,"Yes",""))</f>
        <v/>
      </c>
    </row>
    <row r="2662">
      <c r="W2662">
        <f>IF($A2="","",COUNTIF('07_Pallet_Contents'!$A$2:$A$3000,$A2))</f>
        <v/>
      </c>
      <c r="X2662">
        <f>IF($A2="","",SUMIF('07_Pallet_Contents'!$A$2:$A$3000,$A2,'07_Pallet_Contents'!$D$2:$D$3000))</f>
        <v/>
      </c>
      <c r="Y2662">
        <f>IF($A2="","",SUMIF('07_Pallet_Contents'!$A$2:$A$3000,$A2,'07_Pallet_Contents'!$I$2:$I$3000))</f>
        <v/>
      </c>
      <c r="Z2662">
        <f>IF($A2="","",IF(COUNTIF('07_Pallet_Contents'!$A$2:$A$3000,$A2)&gt;0,"Yes",""))</f>
        <v/>
      </c>
    </row>
    <row r="2663">
      <c r="W2663">
        <f>IF($A2="","",COUNTIF('07_Pallet_Contents'!$A$2:$A$3000,$A2))</f>
        <v/>
      </c>
      <c r="X2663">
        <f>IF($A2="","",SUMIF('07_Pallet_Contents'!$A$2:$A$3000,$A2,'07_Pallet_Contents'!$D$2:$D$3000))</f>
        <v/>
      </c>
      <c r="Y2663">
        <f>IF($A2="","",SUMIF('07_Pallet_Contents'!$A$2:$A$3000,$A2,'07_Pallet_Contents'!$I$2:$I$3000))</f>
        <v/>
      </c>
      <c r="Z2663">
        <f>IF($A2="","",IF(COUNTIF('07_Pallet_Contents'!$A$2:$A$3000,$A2)&gt;0,"Yes",""))</f>
        <v/>
      </c>
    </row>
    <row r="2664">
      <c r="W2664">
        <f>IF($A2="","",COUNTIF('07_Pallet_Contents'!$A$2:$A$3000,$A2))</f>
        <v/>
      </c>
      <c r="X2664">
        <f>IF($A2="","",SUMIF('07_Pallet_Contents'!$A$2:$A$3000,$A2,'07_Pallet_Contents'!$D$2:$D$3000))</f>
        <v/>
      </c>
      <c r="Y2664">
        <f>IF($A2="","",SUMIF('07_Pallet_Contents'!$A$2:$A$3000,$A2,'07_Pallet_Contents'!$I$2:$I$3000))</f>
        <v/>
      </c>
      <c r="Z2664">
        <f>IF($A2="","",IF(COUNTIF('07_Pallet_Contents'!$A$2:$A$3000,$A2)&gt;0,"Yes",""))</f>
        <v/>
      </c>
    </row>
    <row r="2665">
      <c r="W2665">
        <f>IF($A2="","",COUNTIF('07_Pallet_Contents'!$A$2:$A$3000,$A2))</f>
        <v/>
      </c>
      <c r="X2665">
        <f>IF($A2="","",SUMIF('07_Pallet_Contents'!$A$2:$A$3000,$A2,'07_Pallet_Contents'!$D$2:$D$3000))</f>
        <v/>
      </c>
      <c r="Y2665">
        <f>IF($A2="","",SUMIF('07_Pallet_Contents'!$A$2:$A$3000,$A2,'07_Pallet_Contents'!$I$2:$I$3000))</f>
        <v/>
      </c>
      <c r="Z2665">
        <f>IF($A2="","",IF(COUNTIF('07_Pallet_Contents'!$A$2:$A$3000,$A2)&gt;0,"Yes",""))</f>
        <v/>
      </c>
    </row>
    <row r="2666">
      <c r="W2666">
        <f>IF($A2="","",COUNTIF('07_Pallet_Contents'!$A$2:$A$3000,$A2))</f>
        <v/>
      </c>
      <c r="X2666">
        <f>IF($A2="","",SUMIF('07_Pallet_Contents'!$A$2:$A$3000,$A2,'07_Pallet_Contents'!$D$2:$D$3000))</f>
        <v/>
      </c>
      <c r="Y2666">
        <f>IF($A2="","",SUMIF('07_Pallet_Contents'!$A$2:$A$3000,$A2,'07_Pallet_Contents'!$I$2:$I$3000))</f>
        <v/>
      </c>
      <c r="Z2666">
        <f>IF($A2="","",IF(COUNTIF('07_Pallet_Contents'!$A$2:$A$3000,$A2)&gt;0,"Yes",""))</f>
        <v/>
      </c>
    </row>
    <row r="2667">
      <c r="W2667">
        <f>IF($A2="","",COUNTIF('07_Pallet_Contents'!$A$2:$A$3000,$A2))</f>
        <v/>
      </c>
      <c r="X2667">
        <f>IF($A2="","",SUMIF('07_Pallet_Contents'!$A$2:$A$3000,$A2,'07_Pallet_Contents'!$D$2:$D$3000))</f>
        <v/>
      </c>
      <c r="Y2667">
        <f>IF($A2="","",SUMIF('07_Pallet_Contents'!$A$2:$A$3000,$A2,'07_Pallet_Contents'!$I$2:$I$3000))</f>
        <v/>
      </c>
      <c r="Z2667">
        <f>IF($A2="","",IF(COUNTIF('07_Pallet_Contents'!$A$2:$A$3000,$A2)&gt;0,"Yes",""))</f>
        <v/>
      </c>
    </row>
    <row r="2668">
      <c r="W2668">
        <f>IF($A2="","",COUNTIF('07_Pallet_Contents'!$A$2:$A$3000,$A2))</f>
        <v/>
      </c>
      <c r="X2668">
        <f>IF($A2="","",SUMIF('07_Pallet_Contents'!$A$2:$A$3000,$A2,'07_Pallet_Contents'!$D$2:$D$3000))</f>
        <v/>
      </c>
      <c r="Y2668">
        <f>IF($A2="","",SUMIF('07_Pallet_Contents'!$A$2:$A$3000,$A2,'07_Pallet_Contents'!$I$2:$I$3000))</f>
        <v/>
      </c>
      <c r="Z2668">
        <f>IF($A2="","",IF(COUNTIF('07_Pallet_Contents'!$A$2:$A$3000,$A2)&gt;0,"Yes",""))</f>
        <v/>
      </c>
    </row>
    <row r="2669">
      <c r="W2669">
        <f>IF($A2="","",COUNTIF('07_Pallet_Contents'!$A$2:$A$3000,$A2))</f>
        <v/>
      </c>
      <c r="X2669">
        <f>IF($A2="","",SUMIF('07_Pallet_Contents'!$A$2:$A$3000,$A2,'07_Pallet_Contents'!$D$2:$D$3000))</f>
        <v/>
      </c>
      <c r="Y2669">
        <f>IF($A2="","",SUMIF('07_Pallet_Contents'!$A$2:$A$3000,$A2,'07_Pallet_Contents'!$I$2:$I$3000))</f>
        <v/>
      </c>
      <c r="Z2669">
        <f>IF($A2="","",IF(COUNTIF('07_Pallet_Contents'!$A$2:$A$3000,$A2)&gt;0,"Yes",""))</f>
        <v/>
      </c>
    </row>
    <row r="2670">
      <c r="W2670">
        <f>IF($A2="","",COUNTIF('07_Pallet_Contents'!$A$2:$A$3000,$A2))</f>
        <v/>
      </c>
      <c r="X2670">
        <f>IF($A2="","",SUMIF('07_Pallet_Contents'!$A$2:$A$3000,$A2,'07_Pallet_Contents'!$D$2:$D$3000))</f>
        <v/>
      </c>
      <c r="Y2670">
        <f>IF($A2="","",SUMIF('07_Pallet_Contents'!$A$2:$A$3000,$A2,'07_Pallet_Contents'!$I$2:$I$3000))</f>
        <v/>
      </c>
      <c r="Z2670">
        <f>IF($A2="","",IF(COUNTIF('07_Pallet_Contents'!$A$2:$A$3000,$A2)&gt;0,"Yes",""))</f>
        <v/>
      </c>
    </row>
    <row r="2671">
      <c r="W2671">
        <f>IF($A2="","",COUNTIF('07_Pallet_Contents'!$A$2:$A$3000,$A2))</f>
        <v/>
      </c>
      <c r="X2671">
        <f>IF($A2="","",SUMIF('07_Pallet_Contents'!$A$2:$A$3000,$A2,'07_Pallet_Contents'!$D$2:$D$3000))</f>
        <v/>
      </c>
      <c r="Y2671">
        <f>IF($A2="","",SUMIF('07_Pallet_Contents'!$A$2:$A$3000,$A2,'07_Pallet_Contents'!$I$2:$I$3000))</f>
        <v/>
      </c>
      <c r="Z2671">
        <f>IF($A2="","",IF(COUNTIF('07_Pallet_Contents'!$A$2:$A$3000,$A2)&gt;0,"Yes",""))</f>
        <v/>
      </c>
    </row>
    <row r="2672">
      <c r="W2672">
        <f>IF($A2="","",COUNTIF('07_Pallet_Contents'!$A$2:$A$3000,$A2))</f>
        <v/>
      </c>
      <c r="X2672">
        <f>IF($A2="","",SUMIF('07_Pallet_Contents'!$A$2:$A$3000,$A2,'07_Pallet_Contents'!$D$2:$D$3000))</f>
        <v/>
      </c>
      <c r="Y2672">
        <f>IF($A2="","",SUMIF('07_Pallet_Contents'!$A$2:$A$3000,$A2,'07_Pallet_Contents'!$I$2:$I$3000))</f>
        <v/>
      </c>
      <c r="Z2672">
        <f>IF($A2="","",IF(COUNTIF('07_Pallet_Contents'!$A$2:$A$3000,$A2)&gt;0,"Yes",""))</f>
        <v/>
      </c>
    </row>
    <row r="2673">
      <c r="W2673">
        <f>IF($A2="","",COUNTIF('07_Pallet_Contents'!$A$2:$A$3000,$A2))</f>
        <v/>
      </c>
      <c r="X2673">
        <f>IF($A2="","",SUMIF('07_Pallet_Contents'!$A$2:$A$3000,$A2,'07_Pallet_Contents'!$D$2:$D$3000))</f>
        <v/>
      </c>
      <c r="Y2673">
        <f>IF($A2="","",SUMIF('07_Pallet_Contents'!$A$2:$A$3000,$A2,'07_Pallet_Contents'!$I$2:$I$3000))</f>
        <v/>
      </c>
      <c r="Z2673">
        <f>IF($A2="","",IF(COUNTIF('07_Pallet_Contents'!$A$2:$A$3000,$A2)&gt;0,"Yes",""))</f>
        <v/>
      </c>
    </row>
    <row r="2674">
      <c r="W2674">
        <f>IF($A2="","",COUNTIF('07_Pallet_Contents'!$A$2:$A$3000,$A2))</f>
        <v/>
      </c>
      <c r="X2674">
        <f>IF($A2="","",SUMIF('07_Pallet_Contents'!$A$2:$A$3000,$A2,'07_Pallet_Contents'!$D$2:$D$3000))</f>
        <v/>
      </c>
      <c r="Y2674">
        <f>IF($A2="","",SUMIF('07_Pallet_Contents'!$A$2:$A$3000,$A2,'07_Pallet_Contents'!$I$2:$I$3000))</f>
        <v/>
      </c>
      <c r="Z2674">
        <f>IF($A2="","",IF(COUNTIF('07_Pallet_Contents'!$A$2:$A$3000,$A2)&gt;0,"Yes",""))</f>
        <v/>
      </c>
    </row>
    <row r="2675">
      <c r="W2675">
        <f>IF($A2="","",COUNTIF('07_Pallet_Contents'!$A$2:$A$3000,$A2))</f>
        <v/>
      </c>
      <c r="X2675">
        <f>IF($A2="","",SUMIF('07_Pallet_Contents'!$A$2:$A$3000,$A2,'07_Pallet_Contents'!$D$2:$D$3000))</f>
        <v/>
      </c>
      <c r="Y2675">
        <f>IF($A2="","",SUMIF('07_Pallet_Contents'!$A$2:$A$3000,$A2,'07_Pallet_Contents'!$I$2:$I$3000))</f>
        <v/>
      </c>
      <c r="Z2675">
        <f>IF($A2="","",IF(COUNTIF('07_Pallet_Contents'!$A$2:$A$3000,$A2)&gt;0,"Yes",""))</f>
        <v/>
      </c>
    </row>
    <row r="2676">
      <c r="W2676">
        <f>IF($A2="","",COUNTIF('07_Pallet_Contents'!$A$2:$A$3000,$A2))</f>
        <v/>
      </c>
      <c r="X2676">
        <f>IF($A2="","",SUMIF('07_Pallet_Contents'!$A$2:$A$3000,$A2,'07_Pallet_Contents'!$D$2:$D$3000))</f>
        <v/>
      </c>
      <c r="Y2676">
        <f>IF($A2="","",SUMIF('07_Pallet_Contents'!$A$2:$A$3000,$A2,'07_Pallet_Contents'!$I$2:$I$3000))</f>
        <v/>
      </c>
      <c r="Z2676">
        <f>IF($A2="","",IF(COUNTIF('07_Pallet_Contents'!$A$2:$A$3000,$A2)&gt;0,"Yes",""))</f>
        <v/>
      </c>
    </row>
    <row r="2677">
      <c r="W2677">
        <f>IF($A2="","",COUNTIF('07_Pallet_Contents'!$A$2:$A$3000,$A2))</f>
        <v/>
      </c>
      <c r="X2677">
        <f>IF($A2="","",SUMIF('07_Pallet_Contents'!$A$2:$A$3000,$A2,'07_Pallet_Contents'!$D$2:$D$3000))</f>
        <v/>
      </c>
      <c r="Y2677">
        <f>IF($A2="","",SUMIF('07_Pallet_Contents'!$A$2:$A$3000,$A2,'07_Pallet_Contents'!$I$2:$I$3000))</f>
        <v/>
      </c>
      <c r="Z2677">
        <f>IF($A2="","",IF(COUNTIF('07_Pallet_Contents'!$A$2:$A$3000,$A2)&gt;0,"Yes",""))</f>
        <v/>
      </c>
    </row>
    <row r="2678">
      <c r="W2678">
        <f>IF($A2="","",COUNTIF('07_Pallet_Contents'!$A$2:$A$3000,$A2))</f>
        <v/>
      </c>
      <c r="X2678">
        <f>IF($A2="","",SUMIF('07_Pallet_Contents'!$A$2:$A$3000,$A2,'07_Pallet_Contents'!$D$2:$D$3000))</f>
        <v/>
      </c>
      <c r="Y2678">
        <f>IF($A2="","",SUMIF('07_Pallet_Contents'!$A$2:$A$3000,$A2,'07_Pallet_Contents'!$I$2:$I$3000))</f>
        <v/>
      </c>
      <c r="Z2678">
        <f>IF($A2="","",IF(COUNTIF('07_Pallet_Contents'!$A$2:$A$3000,$A2)&gt;0,"Yes",""))</f>
        <v/>
      </c>
    </row>
    <row r="2679">
      <c r="W2679">
        <f>IF($A2="","",COUNTIF('07_Pallet_Contents'!$A$2:$A$3000,$A2))</f>
        <v/>
      </c>
      <c r="X2679">
        <f>IF($A2="","",SUMIF('07_Pallet_Contents'!$A$2:$A$3000,$A2,'07_Pallet_Contents'!$D$2:$D$3000))</f>
        <v/>
      </c>
      <c r="Y2679">
        <f>IF($A2="","",SUMIF('07_Pallet_Contents'!$A$2:$A$3000,$A2,'07_Pallet_Contents'!$I$2:$I$3000))</f>
        <v/>
      </c>
      <c r="Z2679">
        <f>IF($A2="","",IF(COUNTIF('07_Pallet_Contents'!$A$2:$A$3000,$A2)&gt;0,"Yes",""))</f>
        <v/>
      </c>
    </row>
    <row r="2680">
      <c r="W2680">
        <f>IF($A2="","",COUNTIF('07_Pallet_Contents'!$A$2:$A$3000,$A2))</f>
        <v/>
      </c>
      <c r="X2680">
        <f>IF($A2="","",SUMIF('07_Pallet_Contents'!$A$2:$A$3000,$A2,'07_Pallet_Contents'!$D$2:$D$3000))</f>
        <v/>
      </c>
      <c r="Y2680">
        <f>IF($A2="","",SUMIF('07_Pallet_Contents'!$A$2:$A$3000,$A2,'07_Pallet_Contents'!$I$2:$I$3000))</f>
        <v/>
      </c>
      <c r="Z2680">
        <f>IF($A2="","",IF(COUNTIF('07_Pallet_Contents'!$A$2:$A$3000,$A2)&gt;0,"Yes",""))</f>
        <v/>
      </c>
    </row>
    <row r="2681">
      <c r="W2681">
        <f>IF($A2="","",COUNTIF('07_Pallet_Contents'!$A$2:$A$3000,$A2))</f>
        <v/>
      </c>
      <c r="X2681">
        <f>IF($A2="","",SUMIF('07_Pallet_Contents'!$A$2:$A$3000,$A2,'07_Pallet_Contents'!$D$2:$D$3000))</f>
        <v/>
      </c>
      <c r="Y2681">
        <f>IF($A2="","",SUMIF('07_Pallet_Contents'!$A$2:$A$3000,$A2,'07_Pallet_Contents'!$I$2:$I$3000))</f>
        <v/>
      </c>
      <c r="Z2681">
        <f>IF($A2="","",IF(COUNTIF('07_Pallet_Contents'!$A$2:$A$3000,$A2)&gt;0,"Yes",""))</f>
        <v/>
      </c>
    </row>
    <row r="2682">
      <c r="W2682">
        <f>IF($A2="","",COUNTIF('07_Pallet_Contents'!$A$2:$A$3000,$A2))</f>
        <v/>
      </c>
      <c r="X2682">
        <f>IF($A2="","",SUMIF('07_Pallet_Contents'!$A$2:$A$3000,$A2,'07_Pallet_Contents'!$D$2:$D$3000))</f>
        <v/>
      </c>
      <c r="Y2682">
        <f>IF($A2="","",SUMIF('07_Pallet_Contents'!$A$2:$A$3000,$A2,'07_Pallet_Contents'!$I$2:$I$3000))</f>
        <v/>
      </c>
      <c r="Z2682">
        <f>IF($A2="","",IF(COUNTIF('07_Pallet_Contents'!$A$2:$A$3000,$A2)&gt;0,"Yes",""))</f>
        <v/>
      </c>
    </row>
    <row r="2683">
      <c r="W2683">
        <f>IF($A2="","",COUNTIF('07_Pallet_Contents'!$A$2:$A$3000,$A2))</f>
        <v/>
      </c>
      <c r="X2683">
        <f>IF($A2="","",SUMIF('07_Pallet_Contents'!$A$2:$A$3000,$A2,'07_Pallet_Contents'!$D$2:$D$3000))</f>
        <v/>
      </c>
      <c r="Y2683">
        <f>IF($A2="","",SUMIF('07_Pallet_Contents'!$A$2:$A$3000,$A2,'07_Pallet_Contents'!$I$2:$I$3000))</f>
        <v/>
      </c>
      <c r="Z2683">
        <f>IF($A2="","",IF(COUNTIF('07_Pallet_Contents'!$A$2:$A$3000,$A2)&gt;0,"Yes",""))</f>
        <v/>
      </c>
    </row>
    <row r="2684">
      <c r="W2684">
        <f>IF($A2="","",COUNTIF('07_Pallet_Contents'!$A$2:$A$3000,$A2))</f>
        <v/>
      </c>
      <c r="X2684">
        <f>IF($A2="","",SUMIF('07_Pallet_Contents'!$A$2:$A$3000,$A2,'07_Pallet_Contents'!$D$2:$D$3000))</f>
        <v/>
      </c>
      <c r="Y2684">
        <f>IF($A2="","",SUMIF('07_Pallet_Contents'!$A$2:$A$3000,$A2,'07_Pallet_Contents'!$I$2:$I$3000))</f>
        <v/>
      </c>
      <c r="Z2684">
        <f>IF($A2="","",IF(COUNTIF('07_Pallet_Contents'!$A$2:$A$3000,$A2)&gt;0,"Yes",""))</f>
        <v/>
      </c>
    </row>
    <row r="2685">
      <c r="W2685">
        <f>IF($A2="","",COUNTIF('07_Pallet_Contents'!$A$2:$A$3000,$A2))</f>
        <v/>
      </c>
      <c r="X2685">
        <f>IF($A2="","",SUMIF('07_Pallet_Contents'!$A$2:$A$3000,$A2,'07_Pallet_Contents'!$D$2:$D$3000))</f>
        <v/>
      </c>
      <c r="Y2685">
        <f>IF($A2="","",SUMIF('07_Pallet_Contents'!$A$2:$A$3000,$A2,'07_Pallet_Contents'!$I$2:$I$3000))</f>
        <v/>
      </c>
      <c r="Z2685">
        <f>IF($A2="","",IF(COUNTIF('07_Pallet_Contents'!$A$2:$A$3000,$A2)&gt;0,"Yes",""))</f>
        <v/>
      </c>
    </row>
    <row r="2686">
      <c r="W2686">
        <f>IF($A2="","",COUNTIF('07_Pallet_Contents'!$A$2:$A$3000,$A2))</f>
        <v/>
      </c>
      <c r="X2686">
        <f>IF($A2="","",SUMIF('07_Pallet_Contents'!$A$2:$A$3000,$A2,'07_Pallet_Contents'!$D$2:$D$3000))</f>
        <v/>
      </c>
      <c r="Y2686">
        <f>IF($A2="","",SUMIF('07_Pallet_Contents'!$A$2:$A$3000,$A2,'07_Pallet_Contents'!$I$2:$I$3000))</f>
        <v/>
      </c>
      <c r="Z2686">
        <f>IF($A2="","",IF(COUNTIF('07_Pallet_Contents'!$A$2:$A$3000,$A2)&gt;0,"Yes",""))</f>
        <v/>
      </c>
    </row>
    <row r="2687">
      <c r="W2687">
        <f>IF($A2="","",COUNTIF('07_Pallet_Contents'!$A$2:$A$3000,$A2))</f>
        <v/>
      </c>
      <c r="X2687">
        <f>IF($A2="","",SUMIF('07_Pallet_Contents'!$A$2:$A$3000,$A2,'07_Pallet_Contents'!$D$2:$D$3000))</f>
        <v/>
      </c>
      <c r="Y2687">
        <f>IF($A2="","",SUMIF('07_Pallet_Contents'!$A$2:$A$3000,$A2,'07_Pallet_Contents'!$I$2:$I$3000))</f>
        <v/>
      </c>
      <c r="Z2687">
        <f>IF($A2="","",IF(COUNTIF('07_Pallet_Contents'!$A$2:$A$3000,$A2)&gt;0,"Yes",""))</f>
        <v/>
      </c>
    </row>
    <row r="2688">
      <c r="W2688">
        <f>IF($A2="","",COUNTIF('07_Pallet_Contents'!$A$2:$A$3000,$A2))</f>
        <v/>
      </c>
      <c r="X2688">
        <f>IF($A2="","",SUMIF('07_Pallet_Contents'!$A$2:$A$3000,$A2,'07_Pallet_Contents'!$D$2:$D$3000))</f>
        <v/>
      </c>
      <c r="Y2688">
        <f>IF($A2="","",SUMIF('07_Pallet_Contents'!$A$2:$A$3000,$A2,'07_Pallet_Contents'!$I$2:$I$3000))</f>
        <v/>
      </c>
      <c r="Z2688">
        <f>IF($A2="","",IF(COUNTIF('07_Pallet_Contents'!$A$2:$A$3000,$A2)&gt;0,"Yes",""))</f>
        <v/>
      </c>
    </row>
    <row r="2689">
      <c r="W2689">
        <f>IF($A2="","",COUNTIF('07_Pallet_Contents'!$A$2:$A$3000,$A2))</f>
        <v/>
      </c>
      <c r="X2689">
        <f>IF($A2="","",SUMIF('07_Pallet_Contents'!$A$2:$A$3000,$A2,'07_Pallet_Contents'!$D$2:$D$3000))</f>
        <v/>
      </c>
      <c r="Y2689">
        <f>IF($A2="","",SUMIF('07_Pallet_Contents'!$A$2:$A$3000,$A2,'07_Pallet_Contents'!$I$2:$I$3000))</f>
        <v/>
      </c>
      <c r="Z2689">
        <f>IF($A2="","",IF(COUNTIF('07_Pallet_Contents'!$A$2:$A$3000,$A2)&gt;0,"Yes",""))</f>
        <v/>
      </c>
    </row>
    <row r="2690">
      <c r="W2690">
        <f>IF($A2="","",COUNTIF('07_Pallet_Contents'!$A$2:$A$3000,$A2))</f>
        <v/>
      </c>
      <c r="X2690">
        <f>IF($A2="","",SUMIF('07_Pallet_Contents'!$A$2:$A$3000,$A2,'07_Pallet_Contents'!$D$2:$D$3000))</f>
        <v/>
      </c>
      <c r="Y2690">
        <f>IF($A2="","",SUMIF('07_Pallet_Contents'!$A$2:$A$3000,$A2,'07_Pallet_Contents'!$I$2:$I$3000))</f>
        <v/>
      </c>
      <c r="Z2690">
        <f>IF($A2="","",IF(COUNTIF('07_Pallet_Contents'!$A$2:$A$3000,$A2)&gt;0,"Yes",""))</f>
        <v/>
      </c>
    </row>
    <row r="2691">
      <c r="W2691">
        <f>IF($A2="","",COUNTIF('07_Pallet_Contents'!$A$2:$A$3000,$A2))</f>
        <v/>
      </c>
      <c r="X2691">
        <f>IF($A2="","",SUMIF('07_Pallet_Contents'!$A$2:$A$3000,$A2,'07_Pallet_Contents'!$D$2:$D$3000))</f>
        <v/>
      </c>
      <c r="Y2691">
        <f>IF($A2="","",SUMIF('07_Pallet_Contents'!$A$2:$A$3000,$A2,'07_Pallet_Contents'!$I$2:$I$3000))</f>
        <v/>
      </c>
      <c r="Z2691">
        <f>IF($A2="","",IF(COUNTIF('07_Pallet_Contents'!$A$2:$A$3000,$A2)&gt;0,"Yes",""))</f>
        <v/>
      </c>
    </row>
    <row r="2692">
      <c r="W2692">
        <f>IF($A2="","",COUNTIF('07_Pallet_Contents'!$A$2:$A$3000,$A2))</f>
        <v/>
      </c>
      <c r="X2692">
        <f>IF($A2="","",SUMIF('07_Pallet_Contents'!$A$2:$A$3000,$A2,'07_Pallet_Contents'!$D$2:$D$3000))</f>
        <v/>
      </c>
      <c r="Y2692">
        <f>IF($A2="","",SUMIF('07_Pallet_Contents'!$A$2:$A$3000,$A2,'07_Pallet_Contents'!$I$2:$I$3000))</f>
        <v/>
      </c>
      <c r="Z2692">
        <f>IF($A2="","",IF(COUNTIF('07_Pallet_Contents'!$A$2:$A$3000,$A2)&gt;0,"Yes",""))</f>
        <v/>
      </c>
    </row>
    <row r="2693">
      <c r="W2693">
        <f>IF($A2="","",COUNTIF('07_Pallet_Contents'!$A$2:$A$3000,$A2))</f>
        <v/>
      </c>
      <c r="X2693">
        <f>IF($A2="","",SUMIF('07_Pallet_Contents'!$A$2:$A$3000,$A2,'07_Pallet_Contents'!$D$2:$D$3000))</f>
        <v/>
      </c>
      <c r="Y2693">
        <f>IF($A2="","",SUMIF('07_Pallet_Contents'!$A$2:$A$3000,$A2,'07_Pallet_Contents'!$I$2:$I$3000))</f>
        <v/>
      </c>
      <c r="Z2693">
        <f>IF($A2="","",IF(COUNTIF('07_Pallet_Contents'!$A$2:$A$3000,$A2)&gt;0,"Yes",""))</f>
        <v/>
      </c>
    </row>
    <row r="2694">
      <c r="W2694">
        <f>IF($A2="","",COUNTIF('07_Pallet_Contents'!$A$2:$A$3000,$A2))</f>
        <v/>
      </c>
      <c r="X2694">
        <f>IF($A2="","",SUMIF('07_Pallet_Contents'!$A$2:$A$3000,$A2,'07_Pallet_Contents'!$D$2:$D$3000))</f>
        <v/>
      </c>
      <c r="Y2694">
        <f>IF($A2="","",SUMIF('07_Pallet_Contents'!$A$2:$A$3000,$A2,'07_Pallet_Contents'!$I$2:$I$3000))</f>
        <v/>
      </c>
      <c r="Z2694">
        <f>IF($A2="","",IF(COUNTIF('07_Pallet_Contents'!$A$2:$A$3000,$A2)&gt;0,"Yes",""))</f>
        <v/>
      </c>
    </row>
    <row r="2695">
      <c r="W2695">
        <f>IF($A2="","",COUNTIF('07_Pallet_Contents'!$A$2:$A$3000,$A2))</f>
        <v/>
      </c>
      <c r="X2695">
        <f>IF($A2="","",SUMIF('07_Pallet_Contents'!$A$2:$A$3000,$A2,'07_Pallet_Contents'!$D$2:$D$3000))</f>
        <v/>
      </c>
      <c r="Y2695">
        <f>IF($A2="","",SUMIF('07_Pallet_Contents'!$A$2:$A$3000,$A2,'07_Pallet_Contents'!$I$2:$I$3000))</f>
        <v/>
      </c>
      <c r="Z2695">
        <f>IF($A2="","",IF(COUNTIF('07_Pallet_Contents'!$A$2:$A$3000,$A2)&gt;0,"Yes",""))</f>
        <v/>
      </c>
    </row>
    <row r="2696">
      <c r="W2696">
        <f>IF($A2="","",COUNTIF('07_Pallet_Contents'!$A$2:$A$3000,$A2))</f>
        <v/>
      </c>
      <c r="X2696">
        <f>IF($A2="","",SUMIF('07_Pallet_Contents'!$A$2:$A$3000,$A2,'07_Pallet_Contents'!$D$2:$D$3000))</f>
        <v/>
      </c>
      <c r="Y2696">
        <f>IF($A2="","",SUMIF('07_Pallet_Contents'!$A$2:$A$3000,$A2,'07_Pallet_Contents'!$I$2:$I$3000))</f>
        <v/>
      </c>
      <c r="Z2696">
        <f>IF($A2="","",IF(COUNTIF('07_Pallet_Contents'!$A$2:$A$3000,$A2)&gt;0,"Yes",""))</f>
        <v/>
      </c>
    </row>
    <row r="2697">
      <c r="W2697">
        <f>IF($A2="","",COUNTIF('07_Pallet_Contents'!$A$2:$A$3000,$A2))</f>
        <v/>
      </c>
      <c r="X2697">
        <f>IF($A2="","",SUMIF('07_Pallet_Contents'!$A$2:$A$3000,$A2,'07_Pallet_Contents'!$D$2:$D$3000))</f>
        <v/>
      </c>
      <c r="Y2697">
        <f>IF($A2="","",SUMIF('07_Pallet_Contents'!$A$2:$A$3000,$A2,'07_Pallet_Contents'!$I$2:$I$3000))</f>
        <v/>
      </c>
      <c r="Z2697">
        <f>IF($A2="","",IF(COUNTIF('07_Pallet_Contents'!$A$2:$A$3000,$A2)&gt;0,"Yes",""))</f>
        <v/>
      </c>
    </row>
    <row r="2698">
      <c r="W2698">
        <f>IF($A2="","",COUNTIF('07_Pallet_Contents'!$A$2:$A$3000,$A2))</f>
        <v/>
      </c>
      <c r="X2698">
        <f>IF($A2="","",SUMIF('07_Pallet_Contents'!$A$2:$A$3000,$A2,'07_Pallet_Contents'!$D$2:$D$3000))</f>
        <v/>
      </c>
      <c r="Y2698">
        <f>IF($A2="","",SUMIF('07_Pallet_Contents'!$A$2:$A$3000,$A2,'07_Pallet_Contents'!$I$2:$I$3000))</f>
        <v/>
      </c>
      <c r="Z2698">
        <f>IF($A2="","",IF(COUNTIF('07_Pallet_Contents'!$A$2:$A$3000,$A2)&gt;0,"Yes",""))</f>
        <v/>
      </c>
    </row>
    <row r="2699">
      <c r="W2699">
        <f>IF($A2="","",COUNTIF('07_Pallet_Contents'!$A$2:$A$3000,$A2))</f>
        <v/>
      </c>
      <c r="X2699">
        <f>IF($A2="","",SUMIF('07_Pallet_Contents'!$A$2:$A$3000,$A2,'07_Pallet_Contents'!$D$2:$D$3000))</f>
        <v/>
      </c>
      <c r="Y2699">
        <f>IF($A2="","",SUMIF('07_Pallet_Contents'!$A$2:$A$3000,$A2,'07_Pallet_Contents'!$I$2:$I$3000))</f>
        <v/>
      </c>
      <c r="Z2699">
        <f>IF($A2="","",IF(COUNTIF('07_Pallet_Contents'!$A$2:$A$3000,$A2)&gt;0,"Yes",""))</f>
        <v/>
      </c>
    </row>
    <row r="2700">
      <c r="W2700">
        <f>IF($A2="","",COUNTIF('07_Pallet_Contents'!$A$2:$A$3000,$A2))</f>
        <v/>
      </c>
      <c r="X2700">
        <f>IF($A2="","",SUMIF('07_Pallet_Contents'!$A$2:$A$3000,$A2,'07_Pallet_Contents'!$D$2:$D$3000))</f>
        <v/>
      </c>
      <c r="Y2700">
        <f>IF($A2="","",SUMIF('07_Pallet_Contents'!$A$2:$A$3000,$A2,'07_Pallet_Contents'!$I$2:$I$3000))</f>
        <v/>
      </c>
      <c r="Z2700">
        <f>IF($A2="","",IF(COUNTIF('07_Pallet_Contents'!$A$2:$A$3000,$A2)&gt;0,"Yes",""))</f>
        <v/>
      </c>
    </row>
    <row r="2701">
      <c r="W2701">
        <f>IF($A2="","",COUNTIF('07_Pallet_Contents'!$A$2:$A$3000,$A2))</f>
        <v/>
      </c>
      <c r="X2701">
        <f>IF($A2="","",SUMIF('07_Pallet_Contents'!$A$2:$A$3000,$A2,'07_Pallet_Contents'!$D$2:$D$3000))</f>
        <v/>
      </c>
      <c r="Y2701">
        <f>IF($A2="","",SUMIF('07_Pallet_Contents'!$A$2:$A$3000,$A2,'07_Pallet_Contents'!$I$2:$I$3000))</f>
        <v/>
      </c>
      <c r="Z2701">
        <f>IF($A2="","",IF(COUNTIF('07_Pallet_Contents'!$A$2:$A$3000,$A2)&gt;0,"Yes",""))</f>
        <v/>
      </c>
    </row>
    <row r="2702">
      <c r="W2702">
        <f>IF($A2="","",COUNTIF('07_Pallet_Contents'!$A$2:$A$3000,$A2))</f>
        <v/>
      </c>
      <c r="X2702">
        <f>IF($A2="","",SUMIF('07_Pallet_Contents'!$A$2:$A$3000,$A2,'07_Pallet_Contents'!$D$2:$D$3000))</f>
        <v/>
      </c>
      <c r="Y2702">
        <f>IF($A2="","",SUMIF('07_Pallet_Contents'!$A$2:$A$3000,$A2,'07_Pallet_Contents'!$I$2:$I$3000))</f>
        <v/>
      </c>
      <c r="Z2702">
        <f>IF($A2="","",IF(COUNTIF('07_Pallet_Contents'!$A$2:$A$3000,$A2)&gt;0,"Yes",""))</f>
        <v/>
      </c>
    </row>
    <row r="2703">
      <c r="W2703">
        <f>IF($A2="","",COUNTIF('07_Pallet_Contents'!$A$2:$A$3000,$A2))</f>
        <v/>
      </c>
      <c r="X2703">
        <f>IF($A2="","",SUMIF('07_Pallet_Contents'!$A$2:$A$3000,$A2,'07_Pallet_Contents'!$D$2:$D$3000))</f>
        <v/>
      </c>
      <c r="Y2703">
        <f>IF($A2="","",SUMIF('07_Pallet_Contents'!$A$2:$A$3000,$A2,'07_Pallet_Contents'!$I$2:$I$3000))</f>
        <v/>
      </c>
      <c r="Z2703">
        <f>IF($A2="","",IF(COUNTIF('07_Pallet_Contents'!$A$2:$A$3000,$A2)&gt;0,"Yes",""))</f>
        <v/>
      </c>
    </row>
    <row r="2704">
      <c r="W2704">
        <f>IF($A2="","",COUNTIF('07_Pallet_Contents'!$A$2:$A$3000,$A2))</f>
        <v/>
      </c>
      <c r="X2704">
        <f>IF($A2="","",SUMIF('07_Pallet_Contents'!$A$2:$A$3000,$A2,'07_Pallet_Contents'!$D$2:$D$3000))</f>
        <v/>
      </c>
      <c r="Y2704">
        <f>IF($A2="","",SUMIF('07_Pallet_Contents'!$A$2:$A$3000,$A2,'07_Pallet_Contents'!$I$2:$I$3000))</f>
        <v/>
      </c>
      <c r="Z2704">
        <f>IF($A2="","",IF(COUNTIF('07_Pallet_Contents'!$A$2:$A$3000,$A2)&gt;0,"Yes",""))</f>
        <v/>
      </c>
    </row>
    <row r="2705">
      <c r="W2705">
        <f>IF($A2="","",COUNTIF('07_Pallet_Contents'!$A$2:$A$3000,$A2))</f>
        <v/>
      </c>
      <c r="X2705">
        <f>IF($A2="","",SUMIF('07_Pallet_Contents'!$A$2:$A$3000,$A2,'07_Pallet_Contents'!$D$2:$D$3000))</f>
        <v/>
      </c>
      <c r="Y2705">
        <f>IF($A2="","",SUMIF('07_Pallet_Contents'!$A$2:$A$3000,$A2,'07_Pallet_Contents'!$I$2:$I$3000))</f>
        <v/>
      </c>
      <c r="Z2705">
        <f>IF($A2="","",IF(COUNTIF('07_Pallet_Contents'!$A$2:$A$3000,$A2)&gt;0,"Yes",""))</f>
        <v/>
      </c>
    </row>
    <row r="2706">
      <c r="W2706">
        <f>IF($A2="","",COUNTIF('07_Pallet_Contents'!$A$2:$A$3000,$A2))</f>
        <v/>
      </c>
      <c r="X2706">
        <f>IF($A2="","",SUMIF('07_Pallet_Contents'!$A$2:$A$3000,$A2,'07_Pallet_Contents'!$D$2:$D$3000))</f>
        <v/>
      </c>
      <c r="Y2706">
        <f>IF($A2="","",SUMIF('07_Pallet_Contents'!$A$2:$A$3000,$A2,'07_Pallet_Contents'!$I$2:$I$3000))</f>
        <v/>
      </c>
      <c r="Z2706">
        <f>IF($A2="","",IF(COUNTIF('07_Pallet_Contents'!$A$2:$A$3000,$A2)&gt;0,"Yes",""))</f>
        <v/>
      </c>
    </row>
    <row r="2707">
      <c r="W2707">
        <f>IF($A2="","",COUNTIF('07_Pallet_Contents'!$A$2:$A$3000,$A2))</f>
        <v/>
      </c>
      <c r="X2707">
        <f>IF($A2="","",SUMIF('07_Pallet_Contents'!$A$2:$A$3000,$A2,'07_Pallet_Contents'!$D$2:$D$3000))</f>
        <v/>
      </c>
      <c r="Y2707">
        <f>IF($A2="","",SUMIF('07_Pallet_Contents'!$A$2:$A$3000,$A2,'07_Pallet_Contents'!$I$2:$I$3000))</f>
        <v/>
      </c>
      <c r="Z2707">
        <f>IF($A2="","",IF(COUNTIF('07_Pallet_Contents'!$A$2:$A$3000,$A2)&gt;0,"Yes",""))</f>
        <v/>
      </c>
    </row>
    <row r="2708">
      <c r="W2708">
        <f>IF($A2="","",COUNTIF('07_Pallet_Contents'!$A$2:$A$3000,$A2))</f>
        <v/>
      </c>
      <c r="X2708">
        <f>IF($A2="","",SUMIF('07_Pallet_Contents'!$A$2:$A$3000,$A2,'07_Pallet_Contents'!$D$2:$D$3000))</f>
        <v/>
      </c>
      <c r="Y2708">
        <f>IF($A2="","",SUMIF('07_Pallet_Contents'!$A$2:$A$3000,$A2,'07_Pallet_Contents'!$I$2:$I$3000))</f>
        <v/>
      </c>
      <c r="Z2708">
        <f>IF($A2="","",IF(COUNTIF('07_Pallet_Contents'!$A$2:$A$3000,$A2)&gt;0,"Yes",""))</f>
        <v/>
      </c>
    </row>
    <row r="2709">
      <c r="W2709">
        <f>IF($A2="","",COUNTIF('07_Pallet_Contents'!$A$2:$A$3000,$A2))</f>
        <v/>
      </c>
      <c r="X2709">
        <f>IF($A2="","",SUMIF('07_Pallet_Contents'!$A$2:$A$3000,$A2,'07_Pallet_Contents'!$D$2:$D$3000))</f>
        <v/>
      </c>
      <c r="Y2709">
        <f>IF($A2="","",SUMIF('07_Pallet_Contents'!$A$2:$A$3000,$A2,'07_Pallet_Contents'!$I$2:$I$3000))</f>
        <v/>
      </c>
      <c r="Z2709">
        <f>IF($A2="","",IF(COUNTIF('07_Pallet_Contents'!$A$2:$A$3000,$A2)&gt;0,"Yes",""))</f>
        <v/>
      </c>
    </row>
    <row r="2710">
      <c r="W2710">
        <f>IF($A2="","",COUNTIF('07_Pallet_Contents'!$A$2:$A$3000,$A2))</f>
        <v/>
      </c>
      <c r="X2710">
        <f>IF($A2="","",SUMIF('07_Pallet_Contents'!$A$2:$A$3000,$A2,'07_Pallet_Contents'!$D$2:$D$3000))</f>
        <v/>
      </c>
      <c r="Y2710">
        <f>IF($A2="","",SUMIF('07_Pallet_Contents'!$A$2:$A$3000,$A2,'07_Pallet_Contents'!$I$2:$I$3000))</f>
        <v/>
      </c>
      <c r="Z2710">
        <f>IF($A2="","",IF(COUNTIF('07_Pallet_Contents'!$A$2:$A$3000,$A2)&gt;0,"Yes",""))</f>
        <v/>
      </c>
    </row>
    <row r="2711">
      <c r="W2711">
        <f>IF($A2="","",COUNTIF('07_Pallet_Contents'!$A$2:$A$3000,$A2))</f>
        <v/>
      </c>
      <c r="X2711">
        <f>IF($A2="","",SUMIF('07_Pallet_Contents'!$A$2:$A$3000,$A2,'07_Pallet_Contents'!$D$2:$D$3000))</f>
        <v/>
      </c>
      <c r="Y2711">
        <f>IF($A2="","",SUMIF('07_Pallet_Contents'!$A$2:$A$3000,$A2,'07_Pallet_Contents'!$I$2:$I$3000))</f>
        <v/>
      </c>
      <c r="Z2711">
        <f>IF($A2="","",IF(COUNTIF('07_Pallet_Contents'!$A$2:$A$3000,$A2)&gt;0,"Yes",""))</f>
        <v/>
      </c>
    </row>
    <row r="2712">
      <c r="W2712">
        <f>IF($A2="","",COUNTIF('07_Pallet_Contents'!$A$2:$A$3000,$A2))</f>
        <v/>
      </c>
      <c r="X2712">
        <f>IF($A2="","",SUMIF('07_Pallet_Contents'!$A$2:$A$3000,$A2,'07_Pallet_Contents'!$D$2:$D$3000))</f>
        <v/>
      </c>
      <c r="Y2712">
        <f>IF($A2="","",SUMIF('07_Pallet_Contents'!$A$2:$A$3000,$A2,'07_Pallet_Contents'!$I$2:$I$3000))</f>
        <v/>
      </c>
      <c r="Z2712">
        <f>IF($A2="","",IF(COUNTIF('07_Pallet_Contents'!$A$2:$A$3000,$A2)&gt;0,"Yes",""))</f>
        <v/>
      </c>
    </row>
    <row r="2713">
      <c r="W2713">
        <f>IF($A2="","",COUNTIF('07_Pallet_Contents'!$A$2:$A$3000,$A2))</f>
        <v/>
      </c>
      <c r="X2713">
        <f>IF($A2="","",SUMIF('07_Pallet_Contents'!$A$2:$A$3000,$A2,'07_Pallet_Contents'!$D$2:$D$3000))</f>
        <v/>
      </c>
      <c r="Y2713">
        <f>IF($A2="","",SUMIF('07_Pallet_Contents'!$A$2:$A$3000,$A2,'07_Pallet_Contents'!$I$2:$I$3000))</f>
        <v/>
      </c>
      <c r="Z2713">
        <f>IF($A2="","",IF(COUNTIF('07_Pallet_Contents'!$A$2:$A$3000,$A2)&gt;0,"Yes",""))</f>
        <v/>
      </c>
    </row>
    <row r="2714">
      <c r="W2714">
        <f>IF($A2="","",COUNTIF('07_Pallet_Contents'!$A$2:$A$3000,$A2))</f>
        <v/>
      </c>
      <c r="X2714">
        <f>IF($A2="","",SUMIF('07_Pallet_Contents'!$A$2:$A$3000,$A2,'07_Pallet_Contents'!$D$2:$D$3000))</f>
        <v/>
      </c>
      <c r="Y2714">
        <f>IF($A2="","",SUMIF('07_Pallet_Contents'!$A$2:$A$3000,$A2,'07_Pallet_Contents'!$I$2:$I$3000))</f>
        <v/>
      </c>
      <c r="Z2714">
        <f>IF($A2="","",IF(COUNTIF('07_Pallet_Contents'!$A$2:$A$3000,$A2)&gt;0,"Yes",""))</f>
        <v/>
      </c>
    </row>
    <row r="2715">
      <c r="W2715">
        <f>IF($A2="","",COUNTIF('07_Pallet_Contents'!$A$2:$A$3000,$A2))</f>
        <v/>
      </c>
      <c r="X2715">
        <f>IF($A2="","",SUMIF('07_Pallet_Contents'!$A$2:$A$3000,$A2,'07_Pallet_Contents'!$D$2:$D$3000))</f>
        <v/>
      </c>
      <c r="Y2715">
        <f>IF($A2="","",SUMIF('07_Pallet_Contents'!$A$2:$A$3000,$A2,'07_Pallet_Contents'!$I$2:$I$3000))</f>
        <v/>
      </c>
      <c r="Z2715">
        <f>IF($A2="","",IF(COUNTIF('07_Pallet_Contents'!$A$2:$A$3000,$A2)&gt;0,"Yes",""))</f>
        <v/>
      </c>
    </row>
    <row r="2716">
      <c r="W2716">
        <f>IF($A2="","",COUNTIF('07_Pallet_Contents'!$A$2:$A$3000,$A2))</f>
        <v/>
      </c>
      <c r="X2716">
        <f>IF($A2="","",SUMIF('07_Pallet_Contents'!$A$2:$A$3000,$A2,'07_Pallet_Contents'!$D$2:$D$3000))</f>
        <v/>
      </c>
      <c r="Y2716">
        <f>IF($A2="","",SUMIF('07_Pallet_Contents'!$A$2:$A$3000,$A2,'07_Pallet_Contents'!$I$2:$I$3000))</f>
        <v/>
      </c>
      <c r="Z2716">
        <f>IF($A2="","",IF(COUNTIF('07_Pallet_Contents'!$A$2:$A$3000,$A2)&gt;0,"Yes",""))</f>
        <v/>
      </c>
    </row>
    <row r="2717">
      <c r="W2717">
        <f>IF($A2="","",COUNTIF('07_Pallet_Contents'!$A$2:$A$3000,$A2))</f>
        <v/>
      </c>
      <c r="X2717">
        <f>IF($A2="","",SUMIF('07_Pallet_Contents'!$A$2:$A$3000,$A2,'07_Pallet_Contents'!$D$2:$D$3000))</f>
        <v/>
      </c>
      <c r="Y2717">
        <f>IF($A2="","",SUMIF('07_Pallet_Contents'!$A$2:$A$3000,$A2,'07_Pallet_Contents'!$I$2:$I$3000))</f>
        <v/>
      </c>
      <c r="Z2717">
        <f>IF($A2="","",IF(COUNTIF('07_Pallet_Contents'!$A$2:$A$3000,$A2)&gt;0,"Yes",""))</f>
        <v/>
      </c>
    </row>
    <row r="2718">
      <c r="W2718">
        <f>IF($A2="","",COUNTIF('07_Pallet_Contents'!$A$2:$A$3000,$A2))</f>
        <v/>
      </c>
      <c r="X2718">
        <f>IF($A2="","",SUMIF('07_Pallet_Contents'!$A$2:$A$3000,$A2,'07_Pallet_Contents'!$D$2:$D$3000))</f>
        <v/>
      </c>
      <c r="Y2718">
        <f>IF($A2="","",SUMIF('07_Pallet_Contents'!$A$2:$A$3000,$A2,'07_Pallet_Contents'!$I$2:$I$3000))</f>
        <v/>
      </c>
      <c r="Z2718">
        <f>IF($A2="","",IF(COUNTIF('07_Pallet_Contents'!$A$2:$A$3000,$A2)&gt;0,"Yes",""))</f>
        <v/>
      </c>
    </row>
    <row r="2719">
      <c r="W2719">
        <f>IF($A2="","",COUNTIF('07_Pallet_Contents'!$A$2:$A$3000,$A2))</f>
        <v/>
      </c>
      <c r="X2719">
        <f>IF($A2="","",SUMIF('07_Pallet_Contents'!$A$2:$A$3000,$A2,'07_Pallet_Contents'!$D$2:$D$3000))</f>
        <v/>
      </c>
      <c r="Y2719">
        <f>IF($A2="","",SUMIF('07_Pallet_Contents'!$A$2:$A$3000,$A2,'07_Pallet_Contents'!$I$2:$I$3000))</f>
        <v/>
      </c>
      <c r="Z2719">
        <f>IF($A2="","",IF(COUNTIF('07_Pallet_Contents'!$A$2:$A$3000,$A2)&gt;0,"Yes",""))</f>
        <v/>
      </c>
    </row>
    <row r="2720">
      <c r="W2720">
        <f>IF($A2="","",COUNTIF('07_Pallet_Contents'!$A$2:$A$3000,$A2))</f>
        <v/>
      </c>
      <c r="X2720">
        <f>IF($A2="","",SUMIF('07_Pallet_Contents'!$A$2:$A$3000,$A2,'07_Pallet_Contents'!$D$2:$D$3000))</f>
        <v/>
      </c>
      <c r="Y2720">
        <f>IF($A2="","",SUMIF('07_Pallet_Contents'!$A$2:$A$3000,$A2,'07_Pallet_Contents'!$I$2:$I$3000))</f>
        <v/>
      </c>
      <c r="Z2720">
        <f>IF($A2="","",IF(COUNTIF('07_Pallet_Contents'!$A$2:$A$3000,$A2)&gt;0,"Yes",""))</f>
        <v/>
      </c>
    </row>
    <row r="2721">
      <c r="W2721">
        <f>IF($A2="","",COUNTIF('07_Pallet_Contents'!$A$2:$A$3000,$A2))</f>
        <v/>
      </c>
      <c r="X2721">
        <f>IF($A2="","",SUMIF('07_Pallet_Contents'!$A$2:$A$3000,$A2,'07_Pallet_Contents'!$D$2:$D$3000))</f>
        <v/>
      </c>
      <c r="Y2721">
        <f>IF($A2="","",SUMIF('07_Pallet_Contents'!$A$2:$A$3000,$A2,'07_Pallet_Contents'!$I$2:$I$3000))</f>
        <v/>
      </c>
      <c r="Z2721">
        <f>IF($A2="","",IF(COUNTIF('07_Pallet_Contents'!$A$2:$A$3000,$A2)&gt;0,"Yes",""))</f>
        <v/>
      </c>
    </row>
    <row r="2722">
      <c r="W2722">
        <f>IF($A2="","",COUNTIF('07_Pallet_Contents'!$A$2:$A$3000,$A2))</f>
        <v/>
      </c>
      <c r="X2722">
        <f>IF($A2="","",SUMIF('07_Pallet_Contents'!$A$2:$A$3000,$A2,'07_Pallet_Contents'!$D$2:$D$3000))</f>
        <v/>
      </c>
      <c r="Y2722">
        <f>IF($A2="","",SUMIF('07_Pallet_Contents'!$A$2:$A$3000,$A2,'07_Pallet_Contents'!$I$2:$I$3000))</f>
        <v/>
      </c>
      <c r="Z2722">
        <f>IF($A2="","",IF(COUNTIF('07_Pallet_Contents'!$A$2:$A$3000,$A2)&gt;0,"Yes",""))</f>
        <v/>
      </c>
    </row>
    <row r="2723">
      <c r="W2723">
        <f>IF($A2="","",COUNTIF('07_Pallet_Contents'!$A$2:$A$3000,$A2))</f>
        <v/>
      </c>
      <c r="X2723">
        <f>IF($A2="","",SUMIF('07_Pallet_Contents'!$A$2:$A$3000,$A2,'07_Pallet_Contents'!$D$2:$D$3000))</f>
        <v/>
      </c>
      <c r="Y2723">
        <f>IF($A2="","",SUMIF('07_Pallet_Contents'!$A$2:$A$3000,$A2,'07_Pallet_Contents'!$I$2:$I$3000))</f>
        <v/>
      </c>
      <c r="Z2723">
        <f>IF($A2="","",IF(COUNTIF('07_Pallet_Contents'!$A$2:$A$3000,$A2)&gt;0,"Yes",""))</f>
        <v/>
      </c>
    </row>
    <row r="2724">
      <c r="W2724">
        <f>IF($A2="","",COUNTIF('07_Pallet_Contents'!$A$2:$A$3000,$A2))</f>
        <v/>
      </c>
      <c r="X2724">
        <f>IF($A2="","",SUMIF('07_Pallet_Contents'!$A$2:$A$3000,$A2,'07_Pallet_Contents'!$D$2:$D$3000))</f>
        <v/>
      </c>
      <c r="Y2724">
        <f>IF($A2="","",SUMIF('07_Pallet_Contents'!$A$2:$A$3000,$A2,'07_Pallet_Contents'!$I$2:$I$3000))</f>
        <v/>
      </c>
      <c r="Z2724">
        <f>IF($A2="","",IF(COUNTIF('07_Pallet_Contents'!$A$2:$A$3000,$A2)&gt;0,"Yes",""))</f>
        <v/>
      </c>
    </row>
    <row r="2725">
      <c r="W2725">
        <f>IF($A2="","",COUNTIF('07_Pallet_Contents'!$A$2:$A$3000,$A2))</f>
        <v/>
      </c>
      <c r="X2725">
        <f>IF($A2="","",SUMIF('07_Pallet_Contents'!$A$2:$A$3000,$A2,'07_Pallet_Contents'!$D$2:$D$3000))</f>
        <v/>
      </c>
      <c r="Y2725">
        <f>IF($A2="","",SUMIF('07_Pallet_Contents'!$A$2:$A$3000,$A2,'07_Pallet_Contents'!$I$2:$I$3000))</f>
        <v/>
      </c>
      <c r="Z2725">
        <f>IF($A2="","",IF(COUNTIF('07_Pallet_Contents'!$A$2:$A$3000,$A2)&gt;0,"Yes",""))</f>
        <v/>
      </c>
    </row>
    <row r="2726">
      <c r="W2726">
        <f>IF($A2="","",COUNTIF('07_Pallet_Contents'!$A$2:$A$3000,$A2))</f>
        <v/>
      </c>
      <c r="X2726">
        <f>IF($A2="","",SUMIF('07_Pallet_Contents'!$A$2:$A$3000,$A2,'07_Pallet_Contents'!$D$2:$D$3000))</f>
        <v/>
      </c>
      <c r="Y2726">
        <f>IF($A2="","",SUMIF('07_Pallet_Contents'!$A$2:$A$3000,$A2,'07_Pallet_Contents'!$I$2:$I$3000))</f>
        <v/>
      </c>
      <c r="Z2726">
        <f>IF($A2="","",IF(COUNTIF('07_Pallet_Contents'!$A$2:$A$3000,$A2)&gt;0,"Yes",""))</f>
        <v/>
      </c>
    </row>
    <row r="2727">
      <c r="W2727">
        <f>IF($A2="","",COUNTIF('07_Pallet_Contents'!$A$2:$A$3000,$A2))</f>
        <v/>
      </c>
      <c r="X2727">
        <f>IF($A2="","",SUMIF('07_Pallet_Contents'!$A$2:$A$3000,$A2,'07_Pallet_Contents'!$D$2:$D$3000))</f>
        <v/>
      </c>
      <c r="Y2727">
        <f>IF($A2="","",SUMIF('07_Pallet_Contents'!$A$2:$A$3000,$A2,'07_Pallet_Contents'!$I$2:$I$3000))</f>
        <v/>
      </c>
      <c r="Z2727">
        <f>IF($A2="","",IF(COUNTIF('07_Pallet_Contents'!$A$2:$A$3000,$A2)&gt;0,"Yes",""))</f>
        <v/>
      </c>
    </row>
    <row r="2728">
      <c r="W2728">
        <f>IF($A2="","",COUNTIF('07_Pallet_Contents'!$A$2:$A$3000,$A2))</f>
        <v/>
      </c>
      <c r="X2728">
        <f>IF($A2="","",SUMIF('07_Pallet_Contents'!$A$2:$A$3000,$A2,'07_Pallet_Contents'!$D$2:$D$3000))</f>
        <v/>
      </c>
      <c r="Y2728">
        <f>IF($A2="","",SUMIF('07_Pallet_Contents'!$A$2:$A$3000,$A2,'07_Pallet_Contents'!$I$2:$I$3000))</f>
        <v/>
      </c>
      <c r="Z2728">
        <f>IF($A2="","",IF(COUNTIF('07_Pallet_Contents'!$A$2:$A$3000,$A2)&gt;0,"Yes",""))</f>
        <v/>
      </c>
    </row>
    <row r="2729">
      <c r="W2729">
        <f>IF($A2="","",COUNTIF('07_Pallet_Contents'!$A$2:$A$3000,$A2))</f>
        <v/>
      </c>
      <c r="X2729">
        <f>IF($A2="","",SUMIF('07_Pallet_Contents'!$A$2:$A$3000,$A2,'07_Pallet_Contents'!$D$2:$D$3000))</f>
        <v/>
      </c>
      <c r="Y2729">
        <f>IF($A2="","",SUMIF('07_Pallet_Contents'!$A$2:$A$3000,$A2,'07_Pallet_Contents'!$I$2:$I$3000))</f>
        <v/>
      </c>
      <c r="Z2729">
        <f>IF($A2="","",IF(COUNTIF('07_Pallet_Contents'!$A$2:$A$3000,$A2)&gt;0,"Yes",""))</f>
        <v/>
      </c>
    </row>
    <row r="2730">
      <c r="W2730">
        <f>IF($A2="","",COUNTIF('07_Pallet_Contents'!$A$2:$A$3000,$A2))</f>
        <v/>
      </c>
      <c r="X2730">
        <f>IF($A2="","",SUMIF('07_Pallet_Contents'!$A$2:$A$3000,$A2,'07_Pallet_Contents'!$D$2:$D$3000))</f>
        <v/>
      </c>
      <c r="Y2730">
        <f>IF($A2="","",SUMIF('07_Pallet_Contents'!$A$2:$A$3000,$A2,'07_Pallet_Contents'!$I$2:$I$3000))</f>
        <v/>
      </c>
      <c r="Z2730">
        <f>IF($A2="","",IF(COUNTIF('07_Pallet_Contents'!$A$2:$A$3000,$A2)&gt;0,"Yes",""))</f>
        <v/>
      </c>
    </row>
    <row r="2731">
      <c r="W2731">
        <f>IF($A2="","",COUNTIF('07_Pallet_Contents'!$A$2:$A$3000,$A2))</f>
        <v/>
      </c>
      <c r="X2731">
        <f>IF($A2="","",SUMIF('07_Pallet_Contents'!$A$2:$A$3000,$A2,'07_Pallet_Contents'!$D$2:$D$3000))</f>
        <v/>
      </c>
      <c r="Y2731">
        <f>IF($A2="","",SUMIF('07_Pallet_Contents'!$A$2:$A$3000,$A2,'07_Pallet_Contents'!$I$2:$I$3000))</f>
        <v/>
      </c>
      <c r="Z2731">
        <f>IF($A2="","",IF(COUNTIF('07_Pallet_Contents'!$A$2:$A$3000,$A2)&gt;0,"Yes",""))</f>
        <v/>
      </c>
    </row>
    <row r="2732">
      <c r="W2732">
        <f>IF($A2="","",COUNTIF('07_Pallet_Contents'!$A$2:$A$3000,$A2))</f>
        <v/>
      </c>
      <c r="X2732">
        <f>IF($A2="","",SUMIF('07_Pallet_Contents'!$A$2:$A$3000,$A2,'07_Pallet_Contents'!$D$2:$D$3000))</f>
        <v/>
      </c>
      <c r="Y2732">
        <f>IF($A2="","",SUMIF('07_Pallet_Contents'!$A$2:$A$3000,$A2,'07_Pallet_Contents'!$I$2:$I$3000))</f>
        <v/>
      </c>
      <c r="Z2732">
        <f>IF($A2="","",IF(COUNTIF('07_Pallet_Contents'!$A$2:$A$3000,$A2)&gt;0,"Yes",""))</f>
        <v/>
      </c>
    </row>
    <row r="2733">
      <c r="W2733">
        <f>IF($A2="","",COUNTIF('07_Pallet_Contents'!$A$2:$A$3000,$A2))</f>
        <v/>
      </c>
      <c r="X2733">
        <f>IF($A2="","",SUMIF('07_Pallet_Contents'!$A$2:$A$3000,$A2,'07_Pallet_Contents'!$D$2:$D$3000))</f>
        <v/>
      </c>
      <c r="Y2733">
        <f>IF($A2="","",SUMIF('07_Pallet_Contents'!$A$2:$A$3000,$A2,'07_Pallet_Contents'!$I$2:$I$3000))</f>
        <v/>
      </c>
      <c r="Z2733">
        <f>IF($A2="","",IF(COUNTIF('07_Pallet_Contents'!$A$2:$A$3000,$A2)&gt;0,"Yes",""))</f>
        <v/>
      </c>
    </row>
    <row r="2734">
      <c r="W2734">
        <f>IF($A2="","",COUNTIF('07_Pallet_Contents'!$A$2:$A$3000,$A2))</f>
        <v/>
      </c>
      <c r="X2734">
        <f>IF($A2="","",SUMIF('07_Pallet_Contents'!$A$2:$A$3000,$A2,'07_Pallet_Contents'!$D$2:$D$3000))</f>
        <v/>
      </c>
      <c r="Y2734">
        <f>IF($A2="","",SUMIF('07_Pallet_Contents'!$A$2:$A$3000,$A2,'07_Pallet_Contents'!$I$2:$I$3000))</f>
        <v/>
      </c>
      <c r="Z2734">
        <f>IF($A2="","",IF(COUNTIF('07_Pallet_Contents'!$A$2:$A$3000,$A2)&gt;0,"Yes",""))</f>
        <v/>
      </c>
    </row>
    <row r="2735">
      <c r="W2735">
        <f>IF($A2="","",COUNTIF('07_Pallet_Contents'!$A$2:$A$3000,$A2))</f>
        <v/>
      </c>
      <c r="X2735">
        <f>IF($A2="","",SUMIF('07_Pallet_Contents'!$A$2:$A$3000,$A2,'07_Pallet_Contents'!$D$2:$D$3000))</f>
        <v/>
      </c>
      <c r="Y2735">
        <f>IF($A2="","",SUMIF('07_Pallet_Contents'!$A$2:$A$3000,$A2,'07_Pallet_Contents'!$I$2:$I$3000))</f>
        <v/>
      </c>
      <c r="Z2735">
        <f>IF($A2="","",IF(COUNTIF('07_Pallet_Contents'!$A$2:$A$3000,$A2)&gt;0,"Yes",""))</f>
        <v/>
      </c>
    </row>
    <row r="2736">
      <c r="W2736">
        <f>IF($A2="","",COUNTIF('07_Pallet_Contents'!$A$2:$A$3000,$A2))</f>
        <v/>
      </c>
      <c r="X2736">
        <f>IF($A2="","",SUMIF('07_Pallet_Contents'!$A$2:$A$3000,$A2,'07_Pallet_Contents'!$D$2:$D$3000))</f>
        <v/>
      </c>
      <c r="Y2736">
        <f>IF($A2="","",SUMIF('07_Pallet_Contents'!$A$2:$A$3000,$A2,'07_Pallet_Contents'!$I$2:$I$3000))</f>
        <v/>
      </c>
      <c r="Z2736">
        <f>IF($A2="","",IF(COUNTIF('07_Pallet_Contents'!$A$2:$A$3000,$A2)&gt;0,"Yes",""))</f>
        <v/>
      </c>
    </row>
    <row r="2737">
      <c r="W2737">
        <f>IF($A2="","",COUNTIF('07_Pallet_Contents'!$A$2:$A$3000,$A2))</f>
        <v/>
      </c>
      <c r="X2737">
        <f>IF($A2="","",SUMIF('07_Pallet_Contents'!$A$2:$A$3000,$A2,'07_Pallet_Contents'!$D$2:$D$3000))</f>
        <v/>
      </c>
      <c r="Y2737">
        <f>IF($A2="","",SUMIF('07_Pallet_Contents'!$A$2:$A$3000,$A2,'07_Pallet_Contents'!$I$2:$I$3000))</f>
        <v/>
      </c>
      <c r="Z2737">
        <f>IF($A2="","",IF(COUNTIF('07_Pallet_Contents'!$A$2:$A$3000,$A2)&gt;0,"Yes",""))</f>
        <v/>
      </c>
    </row>
    <row r="2738">
      <c r="W2738">
        <f>IF($A2="","",COUNTIF('07_Pallet_Contents'!$A$2:$A$3000,$A2))</f>
        <v/>
      </c>
      <c r="X2738">
        <f>IF($A2="","",SUMIF('07_Pallet_Contents'!$A$2:$A$3000,$A2,'07_Pallet_Contents'!$D$2:$D$3000))</f>
        <v/>
      </c>
      <c r="Y2738">
        <f>IF($A2="","",SUMIF('07_Pallet_Contents'!$A$2:$A$3000,$A2,'07_Pallet_Contents'!$I$2:$I$3000))</f>
        <v/>
      </c>
      <c r="Z2738">
        <f>IF($A2="","",IF(COUNTIF('07_Pallet_Contents'!$A$2:$A$3000,$A2)&gt;0,"Yes",""))</f>
        <v/>
      </c>
    </row>
    <row r="2739">
      <c r="W2739">
        <f>IF($A2="","",COUNTIF('07_Pallet_Contents'!$A$2:$A$3000,$A2))</f>
        <v/>
      </c>
      <c r="X2739">
        <f>IF($A2="","",SUMIF('07_Pallet_Contents'!$A$2:$A$3000,$A2,'07_Pallet_Contents'!$D$2:$D$3000))</f>
        <v/>
      </c>
      <c r="Y2739">
        <f>IF($A2="","",SUMIF('07_Pallet_Contents'!$A$2:$A$3000,$A2,'07_Pallet_Contents'!$I$2:$I$3000))</f>
        <v/>
      </c>
      <c r="Z2739">
        <f>IF($A2="","",IF(COUNTIF('07_Pallet_Contents'!$A$2:$A$3000,$A2)&gt;0,"Yes",""))</f>
        <v/>
      </c>
    </row>
    <row r="2740">
      <c r="W2740">
        <f>IF($A2="","",COUNTIF('07_Pallet_Contents'!$A$2:$A$3000,$A2))</f>
        <v/>
      </c>
      <c r="X2740">
        <f>IF($A2="","",SUMIF('07_Pallet_Contents'!$A$2:$A$3000,$A2,'07_Pallet_Contents'!$D$2:$D$3000))</f>
        <v/>
      </c>
      <c r="Y2740">
        <f>IF($A2="","",SUMIF('07_Pallet_Contents'!$A$2:$A$3000,$A2,'07_Pallet_Contents'!$I$2:$I$3000))</f>
        <v/>
      </c>
      <c r="Z2740">
        <f>IF($A2="","",IF(COUNTIF('07_Pallet_Contents'!$A$2:$A$3000,$A2)&gt;0,"Yes",""))</f>
        <v/>
      </c>
    </row>
    <row r="2741">
      <c r="W2741">
        <f>IF($A2="","",COUNTIF('07_Pallet_Contents'!$A$2:$A$3000,$A2))</f>
        <v/>
      </c>
      <c r="X2741">
        <f>IF($A2="","",SUMIF('07_Pallet_Contents'!$A$2:$A$3000,$A2,'07_Pallet_Contents'!$D$2:$D$3000))</f>
        <v/>
      </c>
      <c r="Y2741">
        <f>IF($A2="","",SUMIF('07_Pallet_Contents'!$A$2:$A$3000,$A2,'07_Pallet_Contents'!$I$2:$I$3000))</f>
        <v/>
      </c>
      <c r="Z2741">
        <f>IF($A2="","",IF(COUNTIF('07_Pallet_Contents'!$A$2:$A$3000,$A2)&gt;0,"Yes",""))</f>
        <v/>
      </c>
    </row>
    <row r="2742">
      <c r="W2742">
        <f>IF($A2="","",COUNTIF('07_Pallet_Contents'!$A$2:$A$3000,$A2))</f>
        <v/>
      </c>
      <c r="X2742">
        <f>IF($A2="","",SUMIF('07_Pallet_Contents'!$A$2:$A$3000,$A2,'07_Pallet_Contents'!$D$2:$D$3000))</f>
        <v/>
      </c>
      <c r="Y2742">
        <f>IF($A2="","",SUMIF('07_Pallet_Contents'!$A$2:$A$3000,$A2,'07_Pallet_Contents'!$I$2:$I$3000))</f>
        <v/>
      </c>
      <c r="Z2742">
        <f>IF($A2="","",IF(COUNTIF('07_Pallet_Contents'!$A$2:$A$3000,$A2)&gt;0,"Yes",""))</f>
        <v/>
      </c>
    </row>
    <row r="2743">
      <c r="W2743">
        <f>IF($A2="","",COUNTIF('07_Pallet_Contents'!$A$2:$A$3000,$A2))</f>
        <v/>
      </c>
      <c r="X2743">
        <f>IF($A2="","",SUMIF('07_Pallet_Contents'!$A$2:$A$3000,$A2,'07_Pallet_Contents'!$D$2:$D$3000))</f>
        <v/>
      </c>
      <c r="Y2743">
        <f>IF($A2="","",SUMIF('07_Pallet_Contents'!$A$2:$A$3000,$A2,'07_Pallet_Contents'!$I$2:$I$3000))</f>
        <v/>
      </c>
      <c r="Z2743">
        <f>IF($A2="","",IF(COUNTIF('07_Pallet_Contents'!$A$2:$A$3000,$A2)&gt;0,"Yes",""))</f>
        <v/>
      </c>
    </row>
    <row r="2744">
      <c r="W2744">
        <f>IF($A2="","",COUNTIF('07_Pallet_Contents'!$A$2:$A$3000,$A2))</f>
        <v/>
      </c>
      <c r="X2744">
        <f>IF($A2="","",SUMIF('07_Pallet_Contents'!$A$2:$A$3000,$A2,'07_Pallet_Contents'!$D$2:$D$3000))</f>
        <v/>
      </c>
      <c r="Y2744">
        <f>IF($A2="","",SUMIF('07_Pallet_Contents'!$A$2:$A$3000,$A2,'07_Pallet_Contents'!$I$2:$I$3000))</f>
        <v/>
      </c>
      <c r="Z2744">
        <f>IF($A2="","",IF(COUNTIF('07_Pallet_Contents'!$A$2:$A$3000,$A2)&gt;0,"Yes",""))</f>
        <v/>
      </c>
    </row>
    <row r="2745">
      <c r="W2745">
        <f>IF($A2="","",COUNTIF('07_Pallet_Contents'!$A$2:$A$3000,$A2))</f>
        <v/>
      </c>
      <c r="X2745">
        <f>IF($A2="","",SUMIF('07_Pallet_Contents'!$A$2:$A$3000,$A2,'07_Pallet_Contents'!$D$2:$D$3000))</f>
        <v/>
      </c>
      <c r="Y2745">
        <f>IF($A2="","",SUMIF('07_Pallet_Contents'!$A$2:$A$3000,$A2,'07_Pallet_Contents'!$I$2:$I$3000))</f>
        <v/>
      </c>
      <c r="Z2745">
        <f>IF($A2="","",IF(COUNTIF('07_Pallet_Contents'!$A$2:$A$3000,$A2)&gt;0,"Yes",""))</f>
        <v/>
      </c>
    </row>
    <row r="2746">
      <c r="W2746">
        <f>IF($A2="","",COUNTIF('07_Pallet_Contents'!$A$2:$A$3000,$A2))</f>
        <v/>
      </c>
      <c r="X2746">
        <f>IF($A2="","",SUMIF('07_Pallet_Contents'!$A$2:$A$3000,$A2,'07_Pallet_Contents'!$D$2:$D$3000))</f>
        <v/>
      </c>
      <c r="Y2746">
        <f>IF($A2="","",SUMIF('07_Pallet_Contents'!$A$2:$A$3000,$A2,'07_Pallet_Contents'!$I$2:$I$3000))</f>
        <v/>
      </c>
      <c r="Z2746">
        <f>IF($A2="","",IF(COUNTIF('07_Pallet_Contents'!$A$2:$A$3000,$A2)&gt;0,"Yes",""))</f>
        <v/>
      </c>
    </row>
    <row r="2747">
      <c r="W2747">
        <f>IF($A2="","",COUNTIF('07_Pallet_Contents'!$A$2:$A$3000,$A2))</f>
        <v/>
      </c>
      <c r="X2747">
        <f>IF($A2="","",SUMIF('07_Pallet_Contents'!$A$2:$A$3000,$A2,'07_Pallet_Contents'!$D$2:$D$3000))</f>
        <v/>
      </c>
      <c r="Y2747">
        <f>IF($A2="","",SUMIF('07_Pallet_Contents'!$A$2:$A$3000,$A2,'07_Pallet_Contents'!$I$2:$I$3000))</f>
        <v/>
      </c>
      <c r="Z2747">
        <f>IF($A2="","",IF(COUNTIF('07_Pallet_Contents'!$A$2:$A$3000,$A2)&gt;0,"Yes",""))</f>
        <v/>
      </c>
    </row>
    <row r="2748">
      <c r="W2748">
        <f>IF($A2="","",COUNTIF('07_Pallet_Contents'!$A$2:$A$3000,$A2))</f>
        <v/>
      </c>
      <c r="X2748">
        <f>IF($A2="","",SUMIF('07_Pallet_Contents'!$A$2:$A$3000,$A2,'07_Pallet_Contents'!$D$2:$D$3000))</f>
        <v/>
      </c>
      <c r="Y2748">
        <f>IF($A2="","",SUMIF('07_Pallet_Contents'!$A$2:$A$3000,$A2,'07_Pallet_Contents'!$I$2:$I$3000))</f>
        <v/>
      </c>
      <c r="Z2748">
        <f>IF($A2="","",IF(COUNTIF('07_Pallet_Contents'!$A$2:$A$3000,$A2)&gt;0,"Yes",""))</f>
        <v/>
      </c>
    </row>
    <row r="2749">
      <c r="W2749">
        <f>IF($A2="","",COUNTIF('07_Pallet_Contents'!$A$2:$A$3000,$A2))</f>
        <v/>
      </c>
      <c r="X2749">
        <f>IF($A2="","",SUMIF('07_Pallet_Contents'!$A$2:$A$3000,$A2,'07_Pallet_Contents'!$D$2:$D$3000))</f>
        <v/>
      </c>
      <c r="Y2749">
        <f>IF($A2="","",SUMIF('07_Pallet_Contents'!$A$2:$A$3000,$A2,'07_Pallet_Contents'!$I$2:$I$3000))</f>
        <v/>
      </c>
      <c r="Z2749">
        <f>IF($A2="","",IF(COUNTIF('07_Pallet_Contents'!$A$2:$A$3000,$A2)&gt;0,"Yes",""))</f>
        <v/>
      </c>
    </row>
    <row r="2750">
      <c r="W2750">
        <f>IF($A2="","",COUNTIF('07_Pallet_Contents'!$A$2:$A$3000,$A2))</f>
        <v/>
      </c>
      <c r="X2750">
        <f>IF($A2="","",SUMIF('07_Pallet_Contents'!$A$2:$A$3000,$A2,'07_Pallet_Contents'!$D$2:$D$3000))</f>
        <v/>
      </c>
      <c r="Y2750">
        <f>IF($A2="","",SUMIF('07_Pallet_Contents'!$A$2:$A$3000,$A2,'07_Pallet_Contents'!$I$2:$I$3000))</f>
        <v/>
      </c>
      <c r="Z2750">
        <f>IF($A2="","",IF(COUNTIF('07_Pallet_Contents'!$A$2:$A$3000,$A2)&gt;0,"Yes",""))</f>
        <v/>
      </c>
    </row>
    <row r="2751">
      <c r="W2751">
        <f>IF($A2="","",COUNTIF('07_Pallet_Contents'!$A$2:$A$3000,$A2))</f>
        <v/>
      </c>
      <c r="X2751">
        <f>IF($A2="","",SUMIF('07_Pallet_Contents'!$A$2:$A$3000,$A2,'07_Pallet_Contents'!$D$2:$D$3000))</f>
        <v/>
      </c>
      <c r="Y2751">
        <f>IF($A2="","",SUMIF('07_Pallet_Contents'!$A$2:$A$3000,$A2,'07_Pallet_Contents'!$I$2:$I$3000))</f>
        <v/>
      </c>
      <c r="Z2751">
        <f>IF($A2="","",IF(COUNTIF('07_Pallet_Contents'!$A$2:$A$3000,$A2)&gt;0,"Yes",""))</f>
        <v/>
      </c>
    </row>
    <row r="2752">
      <c r="W2752">
        <f>IF($A2="","",COUNTIF('07_Pallet_Contents'!$A$2:$A$3000,$A2))</f>
        <v/>
      </c>
      <c r="X2752">
        <f>IF($A2="","",SUMIF('07_Pallet_Contents'!$A$2:$A$3000,$A2,'07_Pallet_Contents'!$D$2:$D$3000))</f>
        <v/>
      </c>
      <c r="Y2752">
        <f>IF($A2="","",SUMIF('07_Pallet_Contents'!$A$2:$A$3000,$A2,'07_Pallet_Contents'!$I$2:$I$3000))</f>
        <v/>
      </c>
      <c r="Z2752">
        <f>IF($A2="","",IF(COUNTIF('07_Pallet_Contents'!$A$2:$A$3000,$A2)&gt;0,"Yes",""))</f>
        <v/>
      </c>
    </row>
    <row r="2753">
      <c r="W2753">
        <f>IF($A2="","",COUNTIF('07_Pallet_Contents'!$A$2:$A$3000,$A2))</f>
        <v/>
      </c>
      <c r="X2753">
        <f>IF($A2="","",SUMIF('07_Pallet_Contents'!$A$2:$A$3000,$A2,'07_Pallet_Contents'!$D$2:$D$3000))</f>
        <v/>
      </c>
      <c r="Y2753">
        <f>IF($A2="","",SUMIF('07_Pallet_Contents'!$A$2:$A$3000,$A2,'07_Pallet_Contents'!$I$2:$I$3000))</f>
        <v/>
      </c>
      <c r="Z2753">
        <f>IF($A2="","",IF(COUNTIF('07_Pallet_Contents'!$A$2:$A$3000,$A2)&gt;0,"Yes",""))</f>
        <v/>
      </c>
    </row>
    <row r="2754">
      <c r="W2754">
        <f>IF($A2="","",COUNTIF('07_Pallet_Contents'!$A$2:$A$3000,$A2))</f>
        <v/>
      </c>
      <c r="X2754">
        <f>IF($A2="","",SUMIF('07_Pallet_Contents'!$A$2:$A$3000,$A2,'07_Pallet_Contents'!$D$2:$D$3000))</f>
        <v/>
      </c>
      <c r="Y2754">
        <f>IF($A2="","",SUMIF('07_Pallet_Contents'!$A$2:$A$3000,$A2,'07_Pallet_Contents'!$I$2:$I$3000))</f>
        <v/>
      </c>
      <c r="Z2754">
        <f>IF($A2="","",IF(COUNTIF('07_Pallet_Contents'!$A$2:$A$3000,$A2)&gt;0,"Yes",""))</f>
        <v/>
      </c>
    </row>
    <row r="2755">
      <c r="W2755">
        <f>IF($A2="","",COUNTIF('07_Pallet_Contents'!$A$2:$A$3000,$A2))</f>
        <v/>
      </c>
      <c r="X2755">
        <f>IF($A2="","",SUMIF('07_Pallet_Contents'!$A$2:$A$3000,$A2,'07_Pallet_Contents'!$D$2:$D$3000))</f>
        <v/>
      </c>
      <c r="Y2755">
        <f>IF($A2="","",SUMIF('07_Pallet_Contents'!$A$2:$A$3000,$A2,'07_Pallet_Contents'!$I$2:$I$3000))</f>
        <v/>
      </c>
      <c r="Z2755">
        <f>IF($A2="","",IF(COUNTIF('07_Pallet_Contents'!$A$2:$A$3000,$A2)&gt;0,"Yes",""))</f>
        <v/>
      </c>
    </row>
    <row r="2756">
      <c r="W2756">
        <f>IF($A2="","",COUNTIF('07_Pallet_Contents'!$A$2:$A$3000,$A2))</f>
        <v/>
      </c>
      <c r="X2756">
        <f>IF($A2="","",SUMIF('07_Pallet_Contents'!$A$2:$A$3000,$A2,'07_Pallet_Contents'!$D$2:$D$3000))</f>
        <v/>
      </c>
      <c r="Y2756">
        <f>IF($A2="","",SUMIF('07_Pallet_Contents'!$A$2:$A$3000,$A2,'07_Pallet_Contents'!$I$2:$I$3000))</f>
        <v/>
      </c>
      <c r="Z2756">
        <f>IF($A2="","",IF(COUNTIF('07_Pallet_Contents'!$A$2:$A$3000,$A2)&gt;0,"Yes",""))</f>
        <v/>
      </c>
    </row>
    <row r="2757">
      <c r="W2757">
        <f>IF($A2="","",COUNTIF('07_Pallet_Contents'!$A$2:$A$3000,$A2))</f>
        <v/>
      </c>
      <c r="X2757">
        <f>IF($A2="","",SUMIF('07_Pallet_Contents'!$A$2:$A$3000,$A2,'07_Pallet_Contents'!$D$2:$D$3000))</f>
        <v/>
      </c>
      <c r="Y2757">
        <f>IF($A2="","",SUMIF('07_Pallet_Contents'!$A$2:$A$3000,$A2,'07_Pallet_Contents'!$I$2:$I$3000))</f>
        <v/>
      </c>
      <c r="Z2757">
        <f>IF($A2="","",IF(COUNTIF('07_Pallet_Contents'!$A$2:$A$3000,$A2)&gt;0,"Yes",""))</f>
        <v/>
      </c>
    </row>
    <row r="2758">
      <c r="W2758">
        <f>IF($A2="","",COUNTIF('07_Pallet_Contents'!$A$2:$A$3000,$A2))</f>
        <v/>
      </c>
      <c r="X2758">
        <f>IF($A2="","",SUMIF('07_Pallet_Contents'!$A$2:$A$3000,$A2,'07_Pallet_Contents'!$D$2:$D$3000))</f>
        <v/>
      </c>
      <c r="Y2758">
        <f>IF($A2="","",SUMIF('07_Pallet_Contents'!$A$2:$A$3000,$A2,'07_Pallet_Contents'!$I$2:$I$3000))</f>
        <v/>
      </c>
      <c r="Z2758">
        <f>IF($A2="","",IF(COUNTIF('07_Pallet_Contents'!$A$2:$A$3000,$A2)&gt;0,"Yes",""))</f>
        <v/>
      </c>
    </row>
    <row r="2759">
      <c r="W2759">
        <f>IF($A2="","",COUNTIF('07_Pallet_Contents'!$A$2:$A$3000,$A2))</f>
        <v/>
      </c>
      <c r="X2759">
        <f>IF($A2="","",SUMIF('07_Pallet_Contents'!$A$2:$A$3000,$A2,'07_Pallet_Contents'!$D$2:$D$3000))</f>
        <v/>
      </c>
      <c r="Y2759">
        <f>IF($A2="","",SUMIF('07_Pallet_Contents'!$A$2:$A$3000,$A2,'07_Pallet_Contents'!$I$2:$I$3000))</f>
        <v/>
      </c>
      <c r="Z2759">
        <f>IF($A2="","",IF(COUNTIF('07_Pallet_Contents'!$A$2:$A$3000,$A2)&gt;0,"Yes",""))</f>
        <v/>
      </c>
    </row>
    <row r="2760">
      <c r="W2760">
        <f>IF($A2="","",COUNTIF('07_Pallet_Contents'!$A$2:$A$3000,$A2))</f>
        <v/>
      </c>
      <c r="X2760">
        <f>IF($A2="","",SUMIF('07_Pallet_Contents'!$A$2:$A$3000,$A2,'07_Pallet_Contents'!$D$2:$D$3000))</f>
        <v/>
      </c>
      <c r="Y2760">
        <f>IF($A2="","",SUMIF('07_Pallet_Contents'!$A$2:$A$3000,$A2,'07_Pallet_Contents'!$I$2:$I$3000))</f>
        <v/>
      </c>
      <c r="Z2760">
        <f>IF($A2="","",IF(COUNTIF('07_Pallet_Contents'!$A$2:$A$3000,$A2)&gt;0,"Yes",""))</f>
        <v/>
      </c>
    </row>
    <row r="2761">
      <c r="W2761">
        <f>IF($A2="","",COUNTIF('07_Pallet_Contents'!$A$2:$A$3000,$A2))</f>
        <v/>
      </c>
      <c r="X2761">
        <f>IF($A2="","",SUMIF('07_Pallet_Contents'!$A$2:$A$3000,$A2,'07_Pallet_Contents'!$D$2:$D$3000))</f>
        <v/>
      </c>
      <c r="Y2761">
        <f>IF($A2="","",SUMIF('07_Pallet_Contents'!$A$2:$A$3000,$A2,'07_Pallet_Contents'!$I$2:$I$3000))</f>
        <v/>
      </c>
      <c r="Z2761">
        <f>IF($A2="","",IF(COUNTIF('07_Pallet_Contents'!$A$2:$A$3000,$A2)&gt;0,"Yes",""))</f>
        <v/>
      </c>
    </row>
    <row r="2762">
      <c r="W2762">
        <f>IF($A2="","",COUNTIF('07_Pallet_Contents'!$A$2:$A$3000,$A2))</f>
        <v/>
      </c>
      <c r="X2762">
        <f>IF($A2="","",SUMIF('07_Pallet_Contents'!$A$2:$A$3000,$A2,'07_Pallet_Contents'!$D$2:$D$3000))</f>
        <v/>
      </c>
      <c r="Y2762">
        <f>IF($A2="","",SUMIF('07_Pallet_Contents'!$A$2:$A$3000,$A2,'07_Pallet_Contents'!$I$2:$I$3000))</f>
        <v/>
      </c>
      <c r="Z2762">
        <f>IF($A2="","",IF(COUNTIF('07_Pallet_Contents'!$A$2:$A$3000,$A2)&gt;0,"Yes",""))</f>
        <v/>
      </c>
    </row>
    <row r="2763">
      <c r="W2763">
        <f>IF($A2="","",COUNTIF('07_Pallet_Contents'!$A$2:$A$3000,$A2))</f>
        <v/>
      </c>
      <c r="X2763">
        <f>IF($A2="","",SUMIF('07_Pallet_Contents'!$A$2:$A$3000,$A2,'07_Pallet_Contents'!$D$2:$D$3000))</f>
        <v/>
      </c>
      <c r="Y2763">
        <f>IF($A2="","",SUMIF('07_Pallet_Contents'!$A$2:$A$3000,$A2,'07_Pallet_Contents'!$I$2:$I$3000))</f>
        <v/>
      </c>
      <c r="Z2763">
        <f>IF($A2="","",IF(COUNTIF('07_Pallet_Contents'!$A$2:$A$3000,$A2)&gt;0,"Yes",""))</f>
        <v/>
      </c>
    </row>
    <row r="2764">
      <c r="W2764">
        <f>IF($A2="","",COUNTIF('07_Pallet_Contents'!$A$2:$A$3000,$A2))</f>
        <v/>
      </c>
      <c r="X2764">
        <f>IF($A2="","",SUMIF('07_Pallet_Contents'!$A$2:$A$3000,$A2,'07_Pallet_Contents'!$D$2:$D$3000))</f>
        <v/>
      </c>
      <c r="Y2764">
        <f>IF($A2="","",SUMIF('07_Pallet_Contents'!$A$2:$A$3000,$A2,'07_Pallet_Contents'!$I$2:$I$3000))</f>
        <v/>
      </c>
      <c r="Z2764">
        <f>IF($A2="","",IF(COUNTIF('07_Pallet_Contents'!$A$2:$A$3000,$A2)&gt;0,"Yes",""))</f>
        <v/>
      </c>
    </row>
    <row r="2765">
      <c r="W2765">
        <f>IF($A2="","",COUNTIF('07_Pallet_Contents'!$A$2:$A$3000,$A2))</f>
        <v/>
      </c>
      <c r="X2765">
        <f>IF($A2="","",SUMIF('07_Pallet_Contents'!$A$2:$A$3000,$A2,'07_Pallet_Contents'!$D$2:$D$3000))</f>
        <v/>
      </c>
      <c r="Y2765">
        <f>IF($A2="","",SUMIF('07_Pallet_Contents'!$A$2:$A$3000,$A2,'07_Pallet_Contents'!$I$2:$I$3000))</f>
        <v/>
      </c>
      <c r="Z2765">
        <f>IF($A2="","",IF(COUNTIF('07_Pallet_Contents'!$A$2:$A$3000,$A2)&gt;0,"Yes",""))</f>
        <v/>
      </c>
    </row>
    <row r="2766">
      <c r="W2766">
        <f>IF($A2="","",COUNTIF('07_Pallet_Contents'!$A$2:$A$3000,$A2))</f>
        <v/>
      </c>
      <c r="X2766">
        <f>IF($A2="","",SUMIF('07_Pallet_Contents'!$A$2:$A$3000,$A2,'07_Pallet_Contents'!$D$2:$D$3000))</f>
        <v/>
      </c>
      <c r="Y2766">
        <f>IF($A2="","",SUMIF('07_Pallet_Contents'!$A$2:$A$3000,$A2,'07_Pallet_Contents'!$I$2:$I$3000))</f>
        <v/>
      </c>
      <c r="Z2766">
        <f>IF($A2="","",IF(COUNTIF('07_Pallet_Contents'!$A$2:$A$3000,$A2)&gt;0,"Yes",""))</f>
        <v/>
      </c>
    </row>
    <row r="2767">
      <c r="W2767">
        <f>IF($A2="","",COUNTIF('07_Pallet_Contents'!$A$2:$A$3000,$A2))</f>
        <v/>
      </c>
      <c r="X2767">
        <f>IF($A2="","",SUMIF('07_Pallet_Contents'!$A$2:$A$3000,$A2,'07_Pallet_Contents'!$D$2:$D$3000))</f>
        <v/>
      </c>
      <c r="Y2767">
        <f>IF($A2="","",SUMIF('07_Pallet_Contents'!$A$2:$A$3000,$A2,'07_Pallet_Contents'!$I$2:$I$3000))</f>
        <v/>
      </c>
      <c r="Z2767">
        <f>IF($A2="","",IF(COUNTIF('07_Pallet_Contents'!$A$2:$A$3000,$A2)&gt;0,"Yes",""))</f>
        <v/>
      </c>
    </row>
    <row r="2768">
      <c r="W2768">
        <f>IF($A2="","",COUNTIF('07_Pallet_Contents'!$A$2:$A$3000,$A2))</f>
        <v/>
      </c>
      <c r="X2768">
        <f>IF($A2="","",SUMIF('07_Pallet_Contents'!$A$2:$A$3000,$A2,'07_Pallet_Contents'!$D$2:$D$3000))</f>
        <v/>
      </c>
      <c r="Y2768">
        <f>IF($A2="","",SUMIF('07_Pallet_Contents'!$A$2:$A$3000,$A2,'07_Pallet_Contents'!$I$2:$I$3000))</f>
        <v/>
      </c>
      <c r="Z2768">
        <f>IF($A2="","",IF(COUNTIF('07_Pallet_Contents'!$A$2:$A$3000,$A2)&gt;0,"Yes",""))</f>
        <v/>
      </c>
    </row>
    <row r="2769">
      <c r="W2769">
        <f>IF($A2="","",COUNTIF('07_Pallet_Contents'!$A$2:$A$3000,$A2))</f>
        <v/>
      </c>
      <c r="X2769">
        <f>IF($A2="","",SUMIF('07_Pallet_Contents'!$A$2:$A$3000,$A2,'07_Pallet_Contents'!$D$2:$D$3000))</f>
        <v/>
      </c>
      <c r="Y2769">
        <f>IF($A2="","",SUMIF('07_Pallet_Contents'!$A$2:$A$3000,$A2,'07_Pallet_Contents'!$I$2:$I$3000))</f>
        <v/>
      </c>
      <c r="Z2769">
        <f>IF($A2="","",IF(COUNTIF('07_Pallet_Contents'!$A$2:$A$3000,$A2)&gt;0,"Yes",""))</f>
        <v/>
      </c>
    </row>
    <row r="2770">
      <c r="W2770">
        <f>IF($A2="","",COUNTIF('07_Pallet_Contents'!$A$2:$A$3000,$A2))</f>
        <v/>
      </c>
      <c r="X2770">
        <f>IF($A2="","",SUMIF('07_Pallet_Contents'!$A$2:$A$3000,$A2,'07_Pallet_Contents'!$D$2:$D$3000))</f>
        <v/>
      </c>
      <c r="Y2770">
        <f>IF($A2="","",SUMIF('07_Pallet_Contents'!$A$2:$A$3000,$A2,'07_Pallet_Contents'!$I$2:$I$3000))</f>
        <v/>
      </c>
      <c r="Z2770">
        <f>IF($A2="","",IF(COUNTIF('07_Pallet_Contents'!$A$2:$A$3000,$A2)&gt;0,"Yes",""))</f>
        <v/>
      </c>
    </row>
    <row r="2771">
      <c r="W2771">
        <f>IF($A2="","",COUNTIF('07_Pallet_Contents'!$A$2:$A$3000,$A2))</f>
        <v/>
      </c>
      <c r="X2771">
        <f>IF($A2="","",SUMIF('07_Pallet_Contents'!$A$2:$A$3000,$A2,'07_Pallet_Contents'!$D$2:$D$3000))</f>
        <v/>
      </c>
      <c r="Y2771">
        <f>IF($A2="","",SUMIF('07_Pallet_Contents'!$A$2:$A$3000,$A2,'07_Pallet_Contents'!$I$2:$I$3000))</f>
        <v/>
      </c>
      <c r="Z2771">
        <f>IF($A2="","",IF(COUNTIF('07_Pallet_Contents'!$A$2:$A$3000,$A2)&gt;0,"Yes",""))</f>
        <v/>
      </c>
    </row>
    <row r="2772">
      <c r="W2772">
        <f>IF($A2="","",COUNTIF('07_Pallet_Contents'!$A$2:$A$3000,$A2))</f>
        <v/>
      </c>
      <c r="X2772">
        <f>IF($A2="","",SUMIF('07_Pallet_Contents'!$A$2:$A$3000,$A2,'07_Pallet_Contents'!$D$2:$D$3000))</f>
        <v/>
      </c>
      <c r="Y2772">
        <f>IF($A2="","",SUMIF('07_Pallet_Contents'!$A$2:$A$3000,$A2,'07_Pallet_Contents'!$I$2:$I$3000))</f>
        <v/>
      </c>
      <c r="Z2772">
        <f>IF($A2="","",IF(COUNTIF('07_Pallet_Contents'!$A$2:$A$3000,$A2)&gt;0,"Yes",""))</f>
        <v/>
      </c>
    </row>
    <row r="2773">
      <c r="W2773">
        <f>IF($A2="","",COUNTIF('07_Pallet_Contents'!$A$2:$A$3000,$A2))</f>
        <v/>
      </c>
      <c r="X2773">
        <f>IF($A2="","",SUMIF('07_Pallet_Contents'!$A$2:$A$3000,$A2,'07_Pallet_Contents'!$D$2:$D$3000))</f>
        <v/>
      </c>
      <c r="Y2773">
        <f>IF($A2="","",SUMIF('07_Pallet_Contents'!$A$2:$A$3000,$A2,'07_Pallet_Contents'!$I$2:$I$3000))</f>
        <v/>
      </c>
      <c r="Z2773">
        <f>IF($A2="","",IF(COUNTIF('07_Pallet_Contents'!$A$2:$A$3000,$A2)&gt;0,"Yes",""))</f>
        <v/>
      </c>
    </row>
    <row r="2774">
      <c r="W2774">
        <f>IF($A2="","",COUNTIF('07_Pallet_Contents'!$A$2:$A$3000,$A2))</f>
        <v/>
      </c>
      <c r="X2774">
        <f>IF($A2="","",SUMIF('07_Pallet_Contents'!$A$2:$A$3000,$A2,'07_Pallet_Contents'!$D$2:$D$3000))</f>
        <v/>
      </c>
      <c r="Y2774">
        <f>IF($A2="","",SUMIF('07_Pallet_Contents'!$A$2:$A$3000,$A2,'07_Pallet_Contents'!$I$2:$I$3000))</f>
        <v/>
      </c>
      <c r="Z2774">
        <f>IF($A2="","",IF(COUNTIF('07_Pallet_Contents'!$A$2:$A$3000,$A2)&gt;0,"Yes",""))</f>
        <v/>
      </c>
    </row>
    <row r="2775">
      <c r="W2775">
        <f>IF($A2="","",COUNTIF('07_Pallet_Contents'!$A$2:$A$3000,$A2))</f>
        <v/>
      </c>
      <c r="X2775">
        <f>IF($A2="","",SUMIF('07_Pallet_Contents'!$A$2:$A$3000,$A2,'07_Pallet_Contents'!$D$2:$D$3000))</f>
        <v/>
      </c>
      <c r="Y2775">
        <f>IF($A2="","",SUMIF('07_Pallet_Contents'!$A$2:$A$3000,$A2,'07_Pallet_Contents'!$I$2:$I$3000))</f>
        <v/>
      </c>
      <c r="Z2775">
        <f>IF($A2="","",IF(COUNTIF('07_Pallet_Contents'!$A$2:$A$3000,$A2)&gt;0,"Yes",""))</f>
        <v/>
      </c>
    </row>
    <row r="2776">
      <c r="W2776">
        <f>IF($A2="","",COUNTIF('07_Pallet_Contents'!$A$2:$A$3000,$A2))</f>
        <v/>
      </c>
      <c r="X2776">
        <f>IF($A2="","",SUMIF('07_Pallet_Contents'!$A$2:$A$3000,$A2,'07_Pallet_Contents'!$D$2:$D$3000))</f>
        <v/>
      </c>
      <c r="Y2776">
        <f>IF($A2="","",SUMIF('07_Pallet_Contents'!$A$2:$A$3000,$A2,'07_Pallet_Contents'!$I$2:$I$3000))</f>
        <v/>
      </c>
      <c r="Z2776">
        <f>IF($A2="","",IF(COUNTIF('07_Pallet_Contents'!$A$2:$A$3000,$A2)&gt;0,"Yes",""))</f>
        <v/>
      </c>
    </row>
    <row r="2777">
      <c r="W2777">
        <f>IF($A2="","",COUNTIF('07_Pallet_Contents'!$A$2:$A$3000,$A2))</f>
        <v/>
      </c>
      <c r="X2777">
        <f>IF($A2="","",SUMIF('07_Pallet_Contents'!$A$2:$A$3000,$A2,'07_Pallet_Contents'!$D$2:$D$3000))</f>
        <v/>
      </c>
      <c r="Y2777">
        <f>IF($A2="","",SUMIF('07_Pallet_Contents'!$A$2:$A$3000,$A2,'07_Pallet_Contents'!$I$2:$I$3000))</f>
        <v/>
      </c>
      <c r="Z2777">
        <f>IF($A2="","",IF(COUNTIF('07_Pallet_Contents'!$A$2:$A$3000,$A2)&gt;0,"Yes",""))</f>
        <v/>
      </c>
    </row>
    <row r="2778">
      <c r="W2778">
        <f>IF($A2="","",COUNTIF('07_Pallet_Contents'!$A$2:$A$3000,$A2))</f>
        <v/>
      </c>
      <c r="X2778">
        <f>IF($A2="","",SUMIF('07_Pallet_Contents'!$A$2:$A$3000,$A2,'07_Pallet_Contents'!$D$2:$D$3000))</f>
        <v/>
      </c>
      <c r="Y2778">
        <f>IF($A2="","",SUMIF('07_Pallet_Contents'!$A$2:$A$3000,$A2,'07_Pallet_Contents'!$I$2:$I$3000))</f>
        <v/>
      </c>
      <c r="Z2778">
        <f>IF($A2="","",IF(COUNTIF('07_Pallet_Contents'!$A$2:$A$3000,$A2)&gt;0,"Yes",""))</f>
        <v/>
      </c>
    </row>
    <row r="2779">
      <c r="W2779">
        <f>IF($A2="","",COUNTIF('07_Pallet_Contents'!$A$2:$A$3000,$A2))</f>
        <v/>
      </c>
      <c r="X2779">
        <f>IF($A2="","",SUMIF('07_Pallet_Contents'!$A$2:$A$3000,$A2,'07_Pallet_Contents'!$D$2:$D$3000))</f>
        <v/>
      </c>
      <c r="Y2779">
        <f>IF($A2="","",SUMIF('07_Pallet_Contents'!$A$2:$A$3000,$A2,'07_Pallet_Contents'!$I$2:$I$3000))</f>
        <v/>
      </c>
      <c r="Z2779">
        <f>IF($A2="","",IF(COUNTIF('07_Pallet_Contents'!$A$2:$A$3000,$A2)&gt;0,"Yes",""))</f>
        <v/>
      </c>
    </row>
    <row r="2780">
      <c r="W2780">
        <f>IF($A2="","",COUNTIF('07_Pallet_Contents'!$A$2:$A$3000,$A2))</f>
        <v/>
      </c>
      <c r="X2780">
        <f>IF($A2="","",SUMIF('07_Pallet_Contents'!$A$2:$A$3000,$A2,'07_Pallet_Contents'!$D$2:$D$3000))</f>
        <v/>
      </c>
      <c r="Y2780">
        <f>IF($A2="","",SUMIF('07_Pallet_Contents'!$A$2:$A$3000,$A2,'07_Pallet_Contents'!$I$2:$I$3000))</f>
        <v/>
      </c>
      <c r="Z2780">
        <f>IF($A2="","",IF(COUNTIF('07_Pallet_Contents'!$A$2:$A$3000,$A2)&gt;0,"Yes",""))</f>
        <v/>
      </c>
    </row>
    <row r="2781">
      <c r="W2781">
        <f>IF($A2="","",COUNTIF('07_Pallet_Contents'!$A$2:$A$3000,$A2))</f>
        <v/>
      </c>
      <c r="X2781">
        <f>IF($A2="","",SUMIF('07_Pallet_Contents'!$A$2:$A$3000,$A2,'07_Pallet_Contents'!$D$2:$D$3000))</f>
        <v/>
      </c>
      <c r="Y2781">
        <f>IF($A2="","",SUMIF('07_Pallet_Contents'!$A$2:$A$3000,$A2,'07_Pallet_Contents'!$I$2:$I$3000))</f>
        <v/>
      </c>
      <c r="Z2781">
        <f>IF($A2="","",IF(COUNTIF('07_Pallet_Contents'!$A$2:$A$3000,$A2)&gt;0,"Yes",""))</f>
        <v/>
      </c>
    </row>
    <row r="2782">
      <c r="W2782">
        <f>IF($A2="","",COUNTIF('07_Pallet_Contents'!$A$2:$A$3000,$A2))</f>
        <v/>
      </c>
      <c r="X2782">
        <f>IF($A2="","",SUMIF('07_Pallet_Contents'!$A$2:$A$3000,$A2,'07_Pallet_Contents'!$D$2:$D$3000))</f>
        <v/>
      </c>
      <c r="Y2782">
        <f>IF($A2="","",SUMIF('07_Pallet_Contents'!$A$2:$A$3000,$A2,'07_Pallet_Contents'!$I$2:$I$3000))</f>
        <v/>
      </c>
      <c r="Z2782">
        <f>IF($A2="","",IF(COUNTIF('07_Pallet_Contents'!$A$2:$A$3000,$A2)&gt;0,"Yes",""))</f>
        <v/>
      </c>
    </row>
    <row r="2783">
      <c r="W2783">
        <f>IF($A2="","",COUNTIF('07_Pallet_Contents'!$A$2:$A$3000,$A2))</f>
        <v/>
      </c>
      <c r="X2783">
        <f>IF($A2="","",SUMIF('07_Pallet_Contents'!$A$2:$A$3000,$A2,'07_Pallet_Contents'!$D$2:$D$3000))</f>
        <v/>
      </c>
      <c r="Y2783">
        <f>IF($A2="","",SUMIF('07_Pallet_Contents'!$A$2:$A$3000,$A2,'07_Pallet_Contents'!$I$2:$I$3000))</f>
        <v/>
      </c>
      <c r="Z2783">
        <f>IF($A2="","",IF(COUNTIF('07_Pallet_Contents'!$A$2:$A$3000,$A2)&gt;0,"Yes",""))</f>
        <v/>
      </c>
    </row>
    <row r="2784">
      <c r="W2784">
        <f>IF($A2="","",COUNTIF('07_Pallet_Contents'!$A$2:$A$3000,$A2))</f>
        <v/>
      </c>
      <c r="X2784">
        <f>IF($A2="","",SUMIF('07_Pallet_Contents'!$A$2:$A$3000,$A2,'07_Pallet_Contents'!$D$2:$D$3000))</f>
        <v/>
      </c>
      <c r="Y2784">
        <f>IF($A2="","",SUMIF('07_Pallet_Contents'!$A$2:$A$3000,$A2,'07_Pallet_Contents'!$I$2:$I$3000))</f>
        <v/>
      </c>
      <c r="Z2784">
        <f>IF($A2="","",IF(COUNTIF('07_Pallet_Contents'!$A$2:$A$3000,$A2)&gt;0,"Yes",""))</f>
        <v/>
      </c>
    </row>
    <row r="2785">
      <c r="W2785">
        <f>IF($A2="","",COUNTIF('07_Pallet_Contents'!$A$2:$A$3000,$A2))</f>
        <v/>
      </c>
      <c r="X2785">
        <f>IF($A2="","",SUMIF('07_Pallet_Contents'!$A$2:$A$3000,$A2,'07_Pallet_Contents'!$D$2:$D$3000))</f>
        <v/>
      </c>
      <c r="Y2785">
        <f>IF($A2="","",SUMIF('07_Pallet_Contents'!$A$2:$A$3000,$A2,'07_Pallet_Contents'!$I$2:$I$3000))</f>
        <v/>
      </c>
      <c r="Z2785">
        <f>IF($A2="","",IF(COUNTIF('07_Pallet_Contents'!$A$2:$A$3000,$A2)&gt;0,"Yes",""))</f>
        <v/>
      </c>
    </row>
    <row r="2786">
      <c r="W2786">
        <f>IF($A2="","",COUNTIF('07_Pallet_Contents'!$A$2:$A$3000,$A2))</f>
        <v/>
      </c>
      <c r="X2786">
        <f>IF($A2="","",SUMIF('07_Pallet_Contents'!$A$2:$A$3000,$A2,'07_Pallet_Contents'!$D$2:$D$3000))</f>
        <v/>
      </c>
      <c r="Y2786">
        <f>IF($A2="","",SUMIF('07_Pallet_Contents'!$A$2:$A$3000,$A2,'07_Pallet_Contents'!$I$2:$I$3000))</f>
        <v/>
      </c>
      <c r="Z2786">
        <f>IF($A2="","",IF(COUNTIF('07_Pallet_Contents'!$A$2:$A$3000,$A2)&gt;0,"Yes",""))</f>
        <v/>
      </c>
    </row>
    <row r="2787">
      <c r="W2787">
        <f>IF($A2="","",COUNTIF('07_Pallet_Contents'!$A$2:$A$3000,$A2))</f>
        <v/>
      </c>
      <c r="X2787">
        <f>IF($A2="","",SUMIF('07_Pallet_Contents'!$A$2:$A$3000,$A2,'07_Pallet_Contents'!$D$2:$D$3000))</f>
        <v/>
      </c>
      <c r="Y2787">
        <f>IF($A2="","",SUMIF('07_Pallet_Contents'!$A$2:$A$3000,$A2,'07_Pallet_Contents'!$I$2:$I$3000))</f>
        <v/>
      </c>
      <c r="Z2787">
        <f>IF($A2="","",IF(COUNTIF('07_Pallet_Contents'!$A$2:$A$3000,$A2)&gt;0,"Yes",""))</f>
        <v/>
      </c>
    </row>
    <row r="2788">
      <c r="W2788">
        <f>IF($A2="","",COUNTIF('07_Pallet_Contents'!$A$2:$A$3000,$A2))</f>
        <v/>
      </c>
      <c r="X2788">
        <f>IF($A2="","",SUMIF('07_Pallet_Contents'!$A$2:$A$3000,$A2,'07_Pallet_Contents'!$D$2:$D$3000))</f>
        <v/>
      </c>
      <c r="Y2788">
        <f>IF($A2="","",SUMIF('07_Pallet_Contents'!$A$2:$A$3000,$A2,'07_Pallet_Contents'!$I$2:$I$3000))</f>
        <v/>
      </c>
      <c r="Z2788">
        <f>IF($A2="","",IF(COUNTIF('07_Pallet_Contents'!$A$2:$A$3000,$A2)&gt;0,"Yes",""))</f>
        <v/>
      </c>
    </row>
    <row r="2789">
      <c r="W2789">
        <f>IF($A2="","",COUNTIF('07_Pallet_Contents'!$A$2:$A$3000,$A2))</f>
        <v/>
      </c>
      <c r="X2789">
        <f>IF($A2="","",SUMIF('07_Pallet_Contents'!$A$2:$A$3000,$A2,'07_Pallet_Contents'!$D$2:$D$3000))</f>
        <v/>
      </c>
      <c r="Y2789">
        <f>IF($A2="","",SUMIF('07_Pallet_Contents'!$A$2:$A$3000,$A2,'07_Pallet_Contents'!$I$2:$I$3000))</f>
        <v/>
      </c>
      <c r="Z2789">
        <f>IF($A2="","",IF(COUNTIF('07_Pallet_Contents'!$A$2:$A$3000,$A2)&gt;0,"Yes",""))</f>
        <v/>
      </c>
    </row>
    <row r="2790">
      <c r="W2790">
        <f>IF($A2="","",COUNTIF('07_Pallet_Contents'!$A$2:$A$3000,$A2))</f>
        <v/>
      </c>
      <c r="X2790">
        <f>IF($A2="","",SUMIF('07_Pallet_Contents'!$A$2:$A$3000,$A2,'07_Pallet_Contents'!$D$2:$D$3000))</f>
        <v/>
      </c>
      <c r="Y2790">
        <f>IF($A2="","",SUMIF('07_Pallet_Contents'!$A$2:$A$3000,$A2,'07_Pallet_Contents'!$I$2:$I$3000))</f>
        <v/>
      </c>
      <c r="Z2790">
        <f>IF($A2="","",IF(COUNTIF('07_Pallet_Contents'!$A$2:$A$3000,$A2)&gt;0,"Yes",""))</f>
        <v/>
      </c>
    </row>
    <row r="2791">
      <c r="W2791">
        <f>IF($A2="","",COUNTIF('07_Pallet_Contents'!$A$2:$A$3000,$A2))</f>
        <v/>
      </c>
      <c r="X2791">
        <f>IF($A2="","",SUMIF('07_Pallet_Contents'!$A$2:$A$3000,$A2,'07_Pallet_Contents'!$D$2:$D$3000))</f>
        <v/>
      </c>
      <c r="Y2791">
        <f>IF($A2="","",SUMIF('07_Pallet_Contents'!$A$2:$A$3000,$A2,'07_Pallet_Contents'!$I$2:$I$3000))</f>
        <v/>
      </c>
      <c r="Z2791">
        <f>IF($A2="","",IF(COUNTIF('07_Pallet_Contents'!$A$2:$A$3000,$A2)&gt;0,"Yes",""))</f>
        <v/>
      </c>
    </row>
    <row r="2792">
      <c r="W2792">
        <f>IF($A2="","",COUNTIF('07_Pallet_Contents'!$A$2:$A$3000,$A2))</f>
        <v/>
      </c>
      <c r="X2792">
        <f>IF($A2="","",SUMIF('07_Pallet_Contents'!$A$2:$A$3000,$A2,'07_Pallet_Contents'!$D$2:$D$3000))</f>
        <v/>
      </c>
      <c r="Y2792">
        <f>IF($A2="","",SUMIF('07_Pallet_Contents'!$A$2:$A$3000,$A2,'07_Pallet_Contents'!$I$2:$I$3000))</f>
        <v/>
      </c>
      <c r="Z2792">
        <f>IF($A2="","",IF(COUNTIF('07_Pallet_Contents'!$A$2:$A$3000,$A2)&gt;0,"Yes",""))</f>
        <v/>
      </c>
    </row>
    <row r="2793">
      <c r="W2793">
        <f>IF($A2="","",COUNTIF('07_Pallet_Contents'!$A$2:$A$3000,$A2))</f>
        <v/>
      </c>
      <c r="X2793">
        <f>IF($A2="","",SUMIF('07_Pallet_Contents'!$A$2:$A$3000,$A2,'07_Pallet_Contents'!$D$2:$D$3000))</f>
        <v/>
      </c>
      <c r="Y2793">
        <f>IF($A2="","",SUMIF('07_Pallet_Contents'!$A$2:$A$3000,$A2,'07_Pallet_Contents'!$I$2:$I$3000))</f>
        <v/>
      </c>
      <c r="Z2793">
        <f>IF($A2="","",IF(COUNTIF('07_Pallet_Contents'!$A$2:$A$3000,$A2)&gt;0,"Yes",""))</f>
        <v/>
      </c>
    </row>
    <row r="2794">
      <c r="W2794">
        <f>IF($A2="","",COUNTIF('07_Pallet_Contents'!$A$2:$A$3000,$A2))</f>
        <v/>
      </c>
      <c r="X2794">
        <f>IF($A2="","",SUMIF('07_Pallet_Contents'!$A$2:$A$3000,$A2,'07_Pallet_Contents'!$D$2:$D$3000))</f>
        <v/>
      </c>
      <c r="Y2794">
        <f>IF($A2="","",SUMIF('07_Pallet_Contents'!$A$2:$A$3000,$A2,'07_Pallet_Contents'!$I$2:$I$3000))</f>
        <v/>
      </c>
      <c r="Z2794">
        <f>IF($A2="","",IF(COUNTIF('07_Pallet_Contents'!$A$2:$A$3000,$A2)&gt;0,"Yes",""))</f>
        <v/>
      </c>
    </row>
    <row r="2795">
      <c r="W2795">
        <f>IF($A2="","",COUNTIF('07_Pallet_Contents'!$A$2:$A$3000,$A2))</f>
        <v/>
      </c>
      <c r="X2795">
        <f>IF($A2="","",SUMIF('07_Pallet_Contents'!$A$2:$A$3000,$A2,'07_Pallet_Contents'!$D$2:$D$3000))</f>
        <v/>
      </c>
      <c r="Y2795">
        <f>IF($A2="","",SUMIF('07_Pallet_Contents'!$A$2:$A$3000,$A2,'07_Pallet_Contents'!$I$2:$I$3000))</f>
        <v/>
      </c>
      <c r="Z2795">
        <f>IF($A2="","",IF(COUNTIF('07_Pallet_Contents'!$A$2:$A$3000,$A2)&gt;0,"Yes",""))</f>
        <v/>
      </c>
    </row>
    <row r="2796">
      <c r="W2796">
        <f>IF($A2="","",COUNTIF('07_Pallet_Contents'!$A$2:$A$3000,$A2))</f>
        <v/>
      </c>
      <c r="X2796">
        <f>IF($A2="","",SUMIF('07_Pallet_Contents'!$A$2:$A$3000,$A2,'07_Pallet_Contents'!$D$2:$D$3000))</f>
        <v/>
      </c>
      <c r="Y2796">
        <f>IF($A2="","",SUMIF('07_Pallet_Contents'!$A$2:$A$3000,$A2,'07_Pallet_Contents'!$I$2:$I$3000))</f>
        <v/>
      </c>
      <c r="Z2796">
        <f>IF($A2="","",IF(COUNTIF('07_Pallet_Contents'!$A$2:$A$3000,$A2)&gt;0,"Yes",""))</f>
        <v/>
      </c>
    </row>
    <row r="2797">
      <c r="W2797">
        <f>IF($A2="","",COUNTIF('07_Pallet_Contents'!$A$2:$A$3000,$A2))</f>
        <v/>
      </c>
      <c r="X2797">
        <f>IF($A2="","",SUMIF('07_Pallet_Contents'!$A$2:$A$3000,$A2,'07_Pallet_Contents'!$D$2:$D$3000))</f>
        <v/>
      </c>
      <c r="Y2797">
        <f>IF($A2="","",SUMIF('07_Pallet_Contents'!$A$2:$A$3000,$A2,'07_Pallet_Contents'!$I$2:$I$3000))</f>
        <v/>
      </c>
      <c r="Z2797">
        <f>IF($A2="","",IF(COUNTIF('07_Pallet_Contents'!$A$2:$A$3000,$A2)&gt;0,"Yes",""))</f>
        <v/>
      </c>
    </row>
    <row r="2798">
      <c r="W2798">
        <f>IF($A2="","",COUNTIF('07_Pallet_Contents'!$A$2:$A$3000,$A2))</f>
        <v/>
      </c>
      <c r="X2798">
        <f>IF($A2="","",SUMIF('07_Pallet_Contents'!$A$2:$A$3000,$A2,'07_Pallet_Contents'!$D$2:$D$3000))</f>
        <v/>
      </c>
      <c r="Y2798">
        <f>IF($A2="","",SUMIF('07_Pallet_Contents'!$A$2:$A$3000,$A2,'07_Pallet_Contents'!$I$2:$I$3000))</f>
        <v/>
      </c>
      <c r="Z2798">
        <f>IF($A2="","",IF(COUNTIF('07_Pallet_Contents'!$A$2:$A$3000,$A2)&gt;0,"Yes",""))</f>
        <v/>
      </c>
    </row>
    <row r="2799">
      <c r="W2799">
        <f>IF($A2="","",COUNTIF('07_Pallet_Contents'!$A$2:$A$3000,$A2))</f>
        <v/>
      </c>
      <c r="X2799">
        <f>IF($A2="","",SUMIF('07_Pallet_Contents'!$A$2:$A$3000,$A2,'07_Pallet_Contents'!$D$2:$D$3000))</f>
        <v/>
      </c>
      <c r="Y2799">
        <f>IF($A2="","",SUMIF('07_Pallet_Contents'!$A$2:$A$3000,$A2,'07_Pallet_Contents'!$I$2:$I$3000))</f>
        <v/>
      </c>
      <c r="Z2799">
        <f>IF($A2="","",IF(COUNTIF('07_Pallet_Contents'!$A$2:$A$3000,$A2)&gt;0,"Yes",""))</f>
        <v/>
      </c>
    </row>
    <row r="2800">
      <c r="W2800">
        <f>IF($A2="","",COUNTIF('07_Pallet_Contents'!$A$2:$A$3000,$A2))</f>
        <v/>
      </c>
      <c r="X2800">
        <f>IF($A2="","",SUMIF('07_Pallet_Contents'!$A$2:$A$3000,$A2,'07_Pallet_Contents'!$D$2:$D$3000))</f>
        <v/>
      </c>
      <c r="Y2800">
        <f>IF($A2="","",SUMIF('07_Pallet_Contents'!$A$2:$A$3000,$A2,'07_Pallet_Contents'!$I$2:$I$3000))</f>
        <v/>
      </c>
      <c r="Z2800">
        <f>IF($A2="","",IF(COUNTIF('07_Pallet_Contents'!$A$2:$A$3000,$A2)&gt;0,"Yes",""))</f>
        <v/>
      </c>
    </row>
    <row r="2801">
      <c r="W2801">
        <f>IF($A2="","",COUNTIF('07_Pallet_Contents'!$A$2:$A$3000,$A2))</f>
        <v/>
      </c>
      <c r="X2801">
        <f>IF($A2="","",SUMIF('07_Pallet_Contents'!$A$2:$A$3000,$A2,'07_Pallet_Contents'!$D$2:$D$3000))</f>
        <v/>
      </c>
      <c r="Y2801">
        <f>IF($A2="","",SUMIF('07_Pallet_Contents'!$A$2:$A$3000,$A2,'07_Pallet_Contents'!$I$2:$I$3000))</f>
        <v/>
      </c>
      <c r="Z2801">
        <f>IF($A2="","",IF(COUNTIF('07_Pallet_Contents'!$A$2:$A$3000,$A2)&gt;0,"Yes",""))</f>
        <v/>
      </c>
    </row>
    <row r="2802">
      <c r="W2802">
        <f>IF($A2="","",COUNTIF('07_Pallet_Contents'!$A$2:$A$3000,$A2))</f>
        <v/>
      </c>
      <c r="X2802">
        <f>IF($A2="","",SUMIF('07_Pallet_Contents'!$A$2:$A$3000,$A2,'07_Pallet_Contents'!$D$2:$D$3000))</f>
        <v/>
      </c>
      <c r="Y2802">
        <f>IF($A2="","",SUMIF('07_Pallet_Contents'!$A$2:$A$3000,$A2,'07_Pallet_Contents'!$I$2:$I$3000))</f>
        <v/>
      </c>
      <c r="Z2802">
        <f>IF($A2="","",IF(COUNTIF('07_Pallet_Contents'!$A$2:$A$3000,$A2)&gt;0,"Yes",""))</f>
        <v/>
      </c>
    </row>
    <row r="2803">
      <c r="W2803">
        <f>IF($A2="","",COUNTIF('07_Pallet_Contents'!$A$2:$A$3000,$A2))</f>
        <v/>
      </c>
      <c r="X2803">
        <f>IF($A2="","",SUMIF('07_Pallet_Contents'!$A$2:$A$3000,$A2,'07_Pallet_Contents'!$D$2:$D$3000))</f>
        <v/>
      </c>
      <c r="Y2803">
        <f>IF($A2="","",SUMIF('07_Pallet_Contents'!$A$2:$A$3000,$A2,'07_Pallet_Contents'!$I$2:$I$3000))</f>
        <v/>
      </c>
      <c r="Z2803">
        <f>IF($A2="","",IF(COUNTIF('07_Pallet_Contents'!$A$2:$A$3000,$A2)&gt;0,"Yes",""))</f>
        <v/>
      </c>
    </row>
    <row r="2804">
      <c r="W2804">
        <f>IF($A2="","",COUNTIF('07_Pallet_Contents'!$A$2:$A$3000,$A2))</f>
        <v/>
      </c>
      <c r="X2804">
        <f>IF($A2="","",SUMIF('07_Pallet_Contents'!$A$2:$A$3000,$A2,'07_Pallet_Contents'!$D$2:$D$3000))</f>
        <v/>
      </c>
      <c r="Y2804">
        <f>IF($A2="","",SUMIF('07_Pallet_Contents'!$A$2:$A$3000,$A2,'07_Pallet_Contents'!$I$2:$I$3000))</f>
        <v/>
      </c>
      <c r="Z2804">
        <f>IF($A2="","",IF(COUNTIF('07_Pallet_Contents'!$A$2:$A$3000,$A2)&gt;0,"Yes",""))</f>
        <v/>
      </c>
    </row>
    <row r="2805">
      <c r="W2805">
        <f>IF($A2="","",COUNTIF('07_Pallet_Contents'!$A$2:$A$3000,$A2))</f>
        <v/>
      </c>
      <c r="X2805">
        <f>IF($A2="","",SUMIF('07_Pallet_Contents'!$A$2:$A$3000,$A2,'07_Pallet_Contents'!$D$2:$D$3000))</f>
        <v/>
      </c>
      <c r="Y2805">
        <f>IF($A2="","",SUMIF('07_Pallet_Contents'!$A$2:$A$3000,$A2,'07_Pallet_Contents'!$I$2:$I$3000))</f>
        <v/>
      </c>
      <c r="Z2805">
        <f>IF($A2="","",IF(COUNTIF('07_Pallet_Contents'!$A$2:$A$3000,$A2)&gt;0,"Yes",""))</f>
        <v/>
      </c>
    </row>
    <row r="2806">
      <c r="W2806">
        <f>IF($A2="","",COUNTIF('07_Pallet_Contents'!$A$2:$A$3000,$A2))</f>
        <v/>
      </c>
      <c r="X2806">
        <f>IF($A2="","",SUMIF('07_Pallet_Contents'!$A$2:$A$3000,$A2,'07_Pallet_Contents'!$D$2:$D$3000))</f>
        <v/>
      </c>
      <c r="Y2806">
        <f>IF($A2="","",SUMIF('07_Pallet_Contents'!$A$2:$A$3000,$A2,'07_Pallet_Contents'!$I$2:$I$3000))</f>
        <v/>
      </c>
      <c r="Z2806">
        <f>IF($A2="","",IF(COUNTIF('07_Pallet_Contents'!$A$2:$A$3000,$A2)&gt;0,"Yes",""))</f>
        <v/>
      </c>
    </row>
    <row r="2807">
      <c r="W2807">
        <f>IF($A2="","",COUNTIF('07_Pallet_Contents'!$A$2:$A$3000,$A2))</f>
        <v/>
      </c>
      <c r="X2807">
        <f>IF($A2="","",SUMIF('07_Pallet_Contents'!$A$2:$A$3000,$A2,'07_Pallet_Contents'!$D$2:$D$3000))</f>
        <v/>
      </c>
      <c r="Y2807">
        <f>IF($A2="","",SUMIF('07_Pallet_Contents'!$A$2:$A$3000,$A2,'07_Pallet_Contents'!$I$2:$I$3000))</f>
        <v/>
      </c>
      <c r="Z2807">
        <f>IF($A2="","",IF(COUNTIF('07_Pallet_Contents'!$A$2:$A$3000,$A2)&gt;0,"Yes",""))</f>
        <v/>
      </c>
    </row>
    <row r="2808">
      <c r="W2808">
        <f>IF($A2="","",COUNTIF('07_Pallet_Contents'!$A$2:$A$3000,$A2))</f>
        <v/>
      </c>
      <c r="X2808">
        <f>IF($A2="","",SUMIF('07_Pallet_Contents'!$A$2:$A$3000,$A2,'07_Pallet_Contents'!$D$2:$D$3000))</f>
        <v/>
      </c>
      <c r="Y2808">
        <f>IF($A2="","",SUMIF('07_Pallet_Contents'!$A$2:$A$3000,$A2,'07_Pallet_Contents'!$I$2:$I$3000))</f>
        <v/>
      </c>
      <c r="Z2808">
        <f>IF($A2="","",IF(COUNTIF('07_Pallet_Contents'!$A$2:$A$3000,$A2)&gt;0,"Yes",""))</f>
        <v/>
      </c>
    </row>
    <row r="2809">
      <c r="W2809">
        <f>IF($A2="","",COUNTIF('07_Pallet_Contents'!$A$2:$A$3000,$A2))</f>
        <v/>
      </c>
      <c r="X2809">
        <f>IF($A2="","",SUMIF('07_Pallet_Contents'!$A$2:$A$3000,$A2,'07_Pallet_Contents'!$D$2:$D$3000))</f>
        <v/>
      </c>
      <c r="Y2809">
        <f>IF($A2="","",SUMIF('07_Pallet_Contents'!$A$2:$A$3000,$A2,'07_Pallet_Contents'!$I$2:$I$3000))</f>
        <v/>
      </c>
      <c r="Z2809">
        <f>IF($A2="","",IF(COUNTIF('07_Pallet_Contents'!$A$2:$A$3000,$A2)&gt;0,"Yes",""))</f>
        <v/>
      </c>
    </row>
    <row r="2810">
      <c r="W2810">
        <f>IF($A2="","",COUNTIF('07_Pallet_Contents'!$A$2:$A$3000,$A2))</f>
        <v/>
      </c>
      <c r="X2810">
        <f>IF($A2="","",SUMIF('07_Pallet_Contents'!$A$2:$A$3000,$A2,'07_Pallet_Contents'!$D$2:$D$3000))</f>
        <v/>
      </c>
      <c r="Y2810">
        <f>IF($A2="","",SUMIF('07_Pallet_Contents'!$A$2:$A$3000,$A2,'07_Pallet_Contents'!$I$2:$I$3000))</f>
        <v/>
      </c>
      <c r="Z2810">
        <f>IF($A2="","",IF(COUNTIF('07_Pallet_Contents'!$A$2:$A$3000,$A2)&gt;0,"Yes",""))</f>
        <v/>
      </c>
    </row>
    <row r="2811">
      <c r="W2811">
        <f>IF($A2="","",COUNTIF('07_Pallet_Contents'!$A$2:$A$3000,$A2))</f>
        <v/>
      </c>
      <c r="X2811">
        <f>IF($A2="","",SUMIF('07_Pallet_Contents'!$A$2:$A$3000,$A2,'07_Pallet_Contents'!$D$2:$D$3000))</f>
        <v/>
      </c>
      <c r="Y2811">
        <f>IF($A2="","",SUMIF('07_Pallet_Contents'!$A$2:$A$3000,$A2,'07_Pallet_Contents'!$I$2:$I$3000))</f>
        <v/>
      </c>
      <c r="Z2811">
        <f>IF($A2="","",IF(COUNTIF('07_Pallet_Contents'!$A$2:$A$3000,$A2)&gt;0,"Yes",""))</f>
        <v/>
      </c>
    </row>
    <row r="2812">
      <c r="W2812">
        <f>IF($A2="","",COUNTIF('07_Pallet_Contents'!$A$2:$A$3000,$A2))</f>
        <v/>
      </c>
      <c r="X2812">
        <f>IF($A2="","",SUMIF('07_Pallet_Contents'!$A$2:$A$3000,$A2,'07_Pallet_Contents'!$D$2:$D$3000))</f>
        <v/>
      </c>
      <c r="Y2812">
        <f>IF($A2="","",SUMIF('07_Pallet_Contents'!$A$2:$A$3000,$A2,'07_Pallet_Contents'!$I$2:$I$3000))</f>
        <v/>
      </c>
      <c r="Z2812">
        <f>IF($A2="","",IF(COUNTIF('07_Pallet_Contents'!$A$2:$A$3000,$A2)&gt;0,"Yes",""))</f>
        <v/>
      </c>
    </row>
    <row r="2813">
      <c r="W2813">
        <f>IF($A2="","",COUNTIF('07_Pallet_Contents'!$A$2:$A$3000,$A2))</f>
        <v/>
      </c>
      <c r="X2813">
        <f>IF($A2="","",SUMIF('07_Pallet_Contents'!$A$2:$A$3000,$A2,'07_Pallet_Contents'!$D$2:$D$3000))</f>
        <v/>
      </c>
      <c r="Y2813">
        <f>IF($A2="","",SUMIF('07_Pallet_Contents'!$A$2:$A$3000,$A2,'07_Pallet_Contents'!$I$2:$I$3000))</f>
        <v/>
      </c>
      <c r="Z2813">
        <f>IF($A2="","",IF(COUNTIF('07_Pallet_Contents'!$A$2:$A$3000,$A2)&gt;0,"Yes",""))</f>
        <v/>
      </c>
    </row>
    <row r="2814">
      <c r="W2814">
        <f>IF($A2="","",COUNTIF('07_Pallet_Contents'!$A$2:$A$3000,$A2))</f>
        <v/>
      </c>
      <c r="X2814">
        <f>IF($A2="","",SUMIF('07_Pallet_Contents'!$A$2:$A$3000,$A2,'07_Pallet_Contents'!$D$2:$D$3000))</f>
        <v/>
      </c>
      <c r="Y2814">
        <f>IF($A2="","",SUMIF('07_Pallet_Contents'!$A$2:$A$3000,$A2,'07_Pallet_Contents'!$I$2:$I$3000))</f>
        <v/>
      </c>
      <c r="Z2814">
        <f>IF($A2="","",IF(COUNTIF('07_Pallet_Contents'!$A$2:$A$3000,$A2)&gt;0,"Yes",""))</f>
        <v/>
      </c>
    </row>
    <row r="2815">
      <c r="W2815">
        <f>IF($A2="","",COUNTIF('07_Pallet_Contents'!$A$2:$A$3000,$A2))</f>
        <v/>
      </c>
      <c r="X2815">
        <f>IF($A2="","",SUMIF('07_Pallet_Contents'!$A$2:$A$3000,$A2,'07_Pallet_Contents'!$D$2:$D$3000))</f>
        <v/>
      </c>
      <c r="Y2815">
        <f>IF($A2="","",SUMIF('07_Pallet_Contents'!$A$2:$A$3000,$A2,'07_Pallet_Contents'!$I$2:$I$3000))</f>
        <v/>
      </c>
      <c r="Z2815">
        <f>IF($A2="","",IF(COUNTIF('07_Pallet_Contents'!$A$2:$A$3000,$A2)&gt;0,"Yes",""))</f>
        <v/>
      </c>
    </row>
    <row r="2816">
      <c r="W2816">
        <f>IF($A2="","",COUNTIF('07_Pallet_Contents'!$A$2:$A$3000,$A2))</f>
        <v/>
      </c>
      <c r="X2816">
        <f>IF($A2="","",SUMIF('07_Pallet_Contents'!$A$2:$A$3000,$A2,'07_Pallet_Contents'!$D$2:$D$3000))</f>
        <v/>
      </c>
      <c r="Y2816">
        <f>IF($A2="","",SUMIF('07_Pallet_Contents'!$A$2:$A$3000,$A2,'07_Pallet_Contents'!$I$2:$I$3000))</f>
        <v/>
      </c>
      <c r="Z2816">
        <f>IF($A2="","",IF(COUNTIF('07_Pallet_Contents'!$A$2:$A$3000,$A2)&gt;0,"Yes",""))</f>
        <v/>
      </c>
    </row>
    <row r="2817">
      <c r="W2817">
        <f>IF($A2="","",COUNTIF('07_Pallet_Contents'!$A$2:$A$3000,$A2))</f>
        <v/>
      </c>
      <c r="X2817">
        <f>IF($A2="","",SUMIF('07_Pallet_Contents'!$A$2:$A$3000,$A2,'07_Pallet_Contents'!$D$2:$D$3000))</f>
        <v/>
      </c>
      <c r="Y2817">
        <f>IF($A2="","",SUMIF('07_Pallet_Contents'!$A$2:$A$3000,$A2,'07_Pallet_Contents'!$I$2:$I$3000))</f>
        <v/>
      </c>
      <c r="Z2817">
        <f>IF($A2="","",IF(COUNTIF('07_Pallet_Contents'!$A$2:$A$3000,$A2)&gt;0,"Yes",""))</f>
        <v/>
      </c>
    </row>
    <row r="2818">
      <c r="W2818">
        <f>IF($A2="","",COUNTIF('07_Pallet_Contents'!$A$2:$A$3000,$A2))</f>
        <v/>
      </c>
      <c r="X2818">
        <f>IF($A2="","",SUMIF('07_Pallet_Contents'!$A$2:$A$3000,$A2,'07_Pallet_Contents'!$D$2:$D$3000))</f>
        <v/>
      </c>
      <c r="Y2818">
        <f>IF($A2="","",SUMIF('07_Pallet_Contents'!$A$2:$A$3000,$A2,'07_Pallet_Contents'!$I$2:$I$3000))</f>
        <v/>
      </c>
      <c r="Z2818">
        <f>IF($A2="","",IF(COUNTIF('07_Pallet_Contents'!$A$2:$A$3000,$A2)&gt;0,"Yes",""))</f>
        <v/>
      </c>
    </row>
    <row r="2819">
      <c r="W2819">
        <f>IF($A2="","",COUNTIF('07_Pallet_Contents'!$A$2:$A$3000,$A2))</f>
        <v/>
      </c>
      <c r="X2819">
        <f>IF($A2="","",SUMIF('07_Pallet_Contents'!$A$2:$A$3000,$A2,'07_Pallet_Contents'!$D$2:$D$3000))</f>
        <v/>
      </c>
      <c r="Y2819">
        <f>IF($A2="","",SUMIF('07_Pallet_Contents'!$A$2:$A$3000,$A2,'07_Pallet_Contents'!$I$2:$I$3000))</f>
        <v/>
      </c>
      <c r="Z2819">
        <f>IF($A2="","",IF(COUNTIF('07_Pallet_Contents'!$A$2:$A$3000,$A2)&gt;0,"Yes",""))</f>
        <v/>
      </c>
    </row>
    <row r="2820">
      <c r="W2820">
        <f>IF($A2="","",COUNTIF('07_Pallet_Contents'!$A$2:$A$3000,$A2))</f>
        <v/>
      </c>
      <c r="X2820">
        <f>IF($A2="","",SUMIF('07_Pallet_Contents'!$A$2:$A$3000,$A2,'07_Pallet_Contents'!$D$2:$D$3000))</f>
        <v/>
      </c>
      <c r="Y2820">
        <f>IF($A2="","",SUMIF('07_Pallet_Contents'!$A$2:$A$3000,$A2,'07_Pallet_Contents'!$I$2:$I$3000))</f>
        <v/>
      </c>
      <c r="Z2820">
        <f>IF($A2="","",IF(COUNTIF('07_Pallet_Contents'!$A$2:$A$3000,$A2)&gt;0,"Yes",""))</f>
        <v/>
      </c>
    </row>
    <row r="2821">
      <c r="W2821">
        <f>IF($A2="","",COUNTIF('07_Pallet_Contents'!$A$2:$A$3000,$A2))</f>
        <v/>
      </c>
      <c r="X2821">
        <f>IF($A2="","",SUMIF('07_Pallet_Contents'!$A$2:$A$3000,$A2,'07_Pallet_Contents'!$D$2:$D$3000))</f>
        <v/>
      </c>
      <c r="Y2821">
        <f>IF($A2="","",SUMIF('07_Pallet_Contents'!$A$2:$A$3000,$A2,'07_Pallet_Contents'!$I$2:$I$3000))</f>
        <v/>
      </c>
      <c r="Z2821">
        <f>IF($A2="","",IF(COUNTIF('07_Pallet_Contents'!$A$2:$A$3000,$A2)&gt;0,"Yes",""))</f>
        <v/>
      </c>
    </row>
    <row r="2822">
      <c r="W2822">
        <f>IF($A2="","",COUNTIF('07_Pallet_Contents'!$A$2:$A$3000,$A2))</f>
        <v/>
      </c>
      <c r="X2822">
        <f>IF($A2="","",SUMIF('07_Pallet_Contents'!$A$2:$A$3000,$A2,'07_Pallet_Contents'!$D$2:$D$3000))</f>
        <v/>
      </c>
      <c r="Y2822">
        <f>IF($A2="","",SUMIF('07_Pallet_Contents'!$A$2:$A$3000,$A2,'07_Pallet_Contents'!$I$2:$I$3000))</f>
        <v/>
      </c>
      <c r="Z2822">
        <f>IF($A2="","",IF(COUNTIF('07_Pallet_Contents'!$A$2:$A$3000,$A2)&gt;0,"Yes",""))</f>
        <v/>
      </c>
    </row>
    <row r="2823">
      <c r="W2823">
        <f>IF($A2="","",COUNTIF('07_Pallet_Contents'!$A$2:$A$3000,$A2))</f>
        <v/>
      </c>
      <c r="X2823">
        <f>IF($A2="","",SUMIF('07_Pallet_Contents'!$A$2:$A$3000,$A2,'07_Pallet_Contents'!$D$2:$D$3000))</f>
        <v/>
      </c>
      <c r="Y2823">
        <f>IF($A2="","",SUMIF('07_Pallet_Contents'!$A$2:$A$3000,$A2,'07_Pallet_Contents'!$I$2:$I$3000))</f>
        <v/>
      </c>
      <c r="Z2823">
        <f>IF($A2="","",IF(COUNTIF('07_Pallet_Contents'!$A$2:$A$3000,$A2)&gt;0,"Yes",""))</f>
        <v/>
      </c>
    </row>
    <row r="2824">
      <c r="W2824">
        <f>IF($A2="","",COUNTIF('07_Pallet_Contents'!$A$2:$A$3000,$A2))</f>
        <v/>
      </c>
      <c r="X2824">
        <f>IF($A2="","",SUMIF('07_Pallet_Contents'!$A$2:$A$3000,$A2,'07_Pallet_Contents'!$D$2:$D$3000))</f>
        <v/>
      </c>
      <c r="Y2824">
        <f>IF($A2="","",SUMIF('07_Pallet_Contents'!$A$2:$A$3000,$A2,'07_Pallet_Contents'!$I$2:$I$3000))</f>
        <v/>
      </c>
      <c r="Z2824">
        <f>IF($A2="","",IF(COUNTIF('07_Pallet_Contents'!$A$2:$A$3000,$A2)&gt;0,"Yes",""))</f>
        <v/>
      </c>
    </row>
    <row r="2825">
      <c r="W2825">
        <f>IF($A2="","",COUNTIF('07_Pallet_Contents'!$A$2:$A$3000,$A2))</f>
        <v/>
      </c>
      <c r="X2825">
        <f>IF($A2="","",SUMIF('07_Pallet_Contents'!$A$2:$A$3000,$A2,'07_Pallet_Contents'!$D$2:$D$3000))</f>
        <v/>
      </c>
      <c r="Y2825">
        <f>IF($A2="","",SUMIF('07_Pallet_Contents'!$A$2:$A$3000,$A2,'07_Pallet_Contents'!$I$2:$I$3000))</f>
        <v/>
      </c>
      <c r="Z2825">
        <f>IF($A2="","",IF(COUNTIF('07_Pallet_Contents'!$A$2:$A$3000,$A2)&gt;0,"Yes",""))</f>
        <v/>
      </c>
    </row>
    <row r="2826">
      <c r="W2826">
        <f>IF($A2="","",COUNTIF('07_Pallet_Contents'!$A$2:$A$3000,$A2))</f>
        <v/>
      </c>
      <c r="X2826">
        <f>IF($A2="","",SUMIF('07_Pallet_Contents'!$A$2:$A$3000,$A2,'07_Pallet_Contents'!$D$2:$D$3000))</f>
        <v/>
      </c>
      <c r="Y2826">
        <f>IF($A2="","",SUMIF('07_Pallet_Contents'!$A$2:$A$3000,$A2,'07_Pallet_Contents'!$I$2:$I$3000))</f>
        <v/>
      </c>
      <c r="Z2826">
        <f>IF($A2="","",IF(COUNTIF('07_Pallet_Contents'!$A$2:$A$3000,$A2)&gt;0,"Yes",""))</f>
        <v/>
      </c>
    </row>
    <row r="2827">
      <c r="W2827">
        <f>IF($A2="","",COUNTIF('07_Pallet_Contents'!$A$2:$A$3000,$A2))</f>
        <v/>
      </c>
      <c r="X2827">
        <f>IF($A2="","",SUMIF('07_Pallet_Contents'!$A$2:$A$3000,$A2,'07_Pallet_Contents'!$D$2:$D$3000))</f>
        <v/>
      </c>
      <c r="Y2827">
        <f>IF($A2="","",SUMIF('07_Pallet_Contents'!$A$2:$A$3000,$A2,'07_Pallet_Contents'!$I$2:$I$3000))</f>
        <v/>
      </c>
      <c r="Z2827">
        <f>IF($A2="","",IF(COUNTIF('07_Pallet_Contents'!$A$2:$A$3000,$A2)&gt;0,"Yes",""))</f>
        <v/>
      </c>
    </row>
    <row r="2828">
      <c r="W2828">
        <f>IF($A2="","",COUNTIF('07_Pallet_Contents'!$A$2:$A$3000,$A2))</f>
        <v/>
      </c>
      <c r="X2828">
        <f>IF($A2="","",SUMIF('07_Pallet_Contents'!$A$2:$A$3000,$A2,'07_Pallet_Contents'!$D$2:$D$3000))</f>
        <v/>
      </c>
      <c r="Y2828">
        <f>IF($A2="","",SUMIF('07_Pallet_Contents'!$A$2:$A$3000,$A2,'07_Pallet_Contents'!$I$2:$I$3000))</f>
        <v/>
      </c>
      <c r="Z2828">
        <f>IF($A2="","",IF(COUNTIF('07_Pallet_Contents'!$A$2:$A$3000,$A2)&gt;0,"Yes",""))</f>
        <v/>
      </c>
    </row>
    <row r="2829">
      <c r="W2829">
        <f>IF($A2="","",COUNTIF('07_Pallet_Contents'!$A$2:$A$3000,$A2))</f>
        <v/>
      </c>
      <c r="X2829">
        <f>IF($A2="","",SUMIF('07_Pallet_Contents'!$A$2:$A$3000,$A2,'07_Pallet_Contents'!$D$2:$D$3000))</f>
        <v/>
      </c>
      <c r="Y2829">
        <f>IF($A2="","",SUMIF('07_Pallet_Contents'!$A$2:$A$3000,$A2,'07_Pallet_Contents'!$I$2:$I$3000))</f>
        <v/>
      </c>
      <c r="Z2829">
        <f>IF($A2="","",IF(COUNTIF('07_Pallet_Contents'!$A$2:$A$3000,$A2)&gt;0,"Yes",""))</f>
        <v/>
      </c>
    </row>
    <row r="2830">
      <c r="W2830">
        <f>IF($A2="","",COUNTIF('07_Pallet_Contents'!$A$2:$A$3000,$A2))</f>
        <v/>
      </c>
      <c r="X2830">
        <f>IF($A2="","",SUMIF('07_Pallet_Contents'!$A$2:$A$3000,$A2,'07_Pallet_Contents'!$D$2:$D$3000))</f>
        <v/>
      </c>
      <c r="Y2830">
        <f>IF($A2="","",SUMIF('07_Pallet_Contents'!$A$2:$A$3000,$A2,'07_Pallet_Contents'!$I$2:$I$3000))</f>
        <v/>
      </c>
      <c r="Z2830">
        <f>IF($A2="","",IF(COUNTIF('07_Pallet_Contents'!$A$2:$A$3000,$A2)&gt;0,"Yes",""))</f>
        <v/>
      </c>
    </row>
    <row r="2831">
      <c r="W2831">
        <f>IF($A2="","",COUNTIF('07_Pallet_Contents'!$A$2:$A$3000,$A2))</f>
        <v/>
      </c>
      <c r="X2831">
        <f>IF($A2="","",SUMIF('07_Pallet_Contents'!$A$2:$A$3000,$A2,'07_Pallet_Contents'!$D$2:$D$3000))</f>
        <v/>
      </c>
      <c r="Y2831">
        <f>IF($A2="","",SUMIF('07_Pallet_Contents'!$A$2:$A$3000,$A2,'07_Pallet_Contents'!$I$2:$I$3000))</f>
        <v/>
      </c>
      <c r="Z2831">
        <f>IF($A2="","",IF(COUNTIF('07_Pallet_Contents'!$A$2:$A$3000,$A2)&gt;0,"Yes",""))</f>
        <v/>
      </c>
    </row>
    <row r="2832">
      <c r="W2832">
        <f>IF($A2="","",COUNTIF('07_Pallet_Contents'!$A$2:$A$3000,$A2))</f>
        <v/>
      </c>
      <c r="X2832">
        <f>IF($A2="","",SUMIF('07_Pallet_Contents'!$A$2:$A$3000,$A2,'07_Pallet_Contents'!$D$2:$D$3000))</f>
        <v/>
      </c>
      <c r="Y2832">
        <f>IF($A2="","",SUMIF('07_Pallet_Contents'!$A$2:$A$3000,$A2,'07_Pallet_Contents'!$I$2:$I$3000))</f>
        <v/>
      </c>
      <c r="Z2832">
        <f>IF($A2="","",IF(COUNTIF('07_Pallet_Contents'!$A$2:$A$3000,$A2)&gt;0,"Yes",""))</f>
        <v/>
      </c>
    </row>
    <row r="2833">
      <c r="W2833">
        <f>IF($A2="","",COUNTIF('07_Pallet_Contents'!$A$2:$A$3000,$A2))</f>
        <v/>
      </c>
      <c r="X2833">
        <f>IF($A2="","",SUMIF('07_Pallet_Contents'!$A$2:$A$3000,$A2,'07_Pallet_Contents'!$D$2:$D$3000))</f>
        <v/>
      </c>
      <c r="Y2833">
        <f>IF($A2="","",SUMIF('07_Pallet_Contents'!$A$2:$A$3000,$A2,'07_Pallet_Contents'!$I$2:$I$3000))</f>
        <v/>
      </c>
      <c r="Z2833">
        <f>IF($A2="","",IF(COUNTIF('07_Pallet_Contents'!$A$2:$A$3000,$A2)&gt;0,"Yes",""))</f>
        <v/>
      </c>
    </row>
    <row r="2834">
      <c r="W2834">
        <f>IF($A2="","",COUNTIF('07_Pallet_Contents'!$A$2:$A$3000,$A2))</f>
        <v/>
      </c>
      <c r="X2834">
        <f>IF($A2="","",SUMIF('07_Pallet_Contents'!$A$2:$A$3000,$A2,'07_Pallet_Contents'!$D$2:$D$3000))</f>
        <v/>
      </c>
      <c r="Y2834">
        <f>IF($A2="","",SUMIF('07_Pallet_Contents'!$A$2:$A$3000,$A2,'07_Pallet_Contents'!$I$2:$I$3000))</f>
        <v/>
      </c>
      <c r="Z2834">
        <f>IF($A2="","",IF(COUNTIF('07_Pallet_Contents'!$A$2:$A$3000,$A2)&gt;0,"Yes",""))</f>
        <v/>
      </c>
    </row>
    <row r="2835">
      <c r="W2835">
        <f>IF($A2="","",COUNTIF('07_Pallet_Contents'!$A$2:$A$3000,$A2))</f>
        <v/>
      </c>
      <c r="X2835">
        <f>IF($A2="","",SUMIF('07_Pallet_Contents'!$A$2:$A$3000,$A2,'07_Pallet_Contents'!$D$2:$D$3000))</f>
        <v/>
      </c>
      <c r="Y2835">
        <f>IF($A2="","",SUMIF('07_Pallet_Contents'!$A$2:$A$3000,$A2,'07_Pallet_Contents'!$I$2:$I$3000))</f>
        <v/>
      </c>
      <c r="Z2835">
        <f>IF($A2="","",IF(COUNTIF('07_Pallet_Contents'!$A$2:$A$3000,$A2)&gt;0,"Yes",""))</f>
        <v/>
      </c>
    </row>
    <row r="2836">
      <c r="W2836">
        <f>IF($A2="","",COUNTIF('07_Pallet_Contents'!$A$2:$A$3000,$A2))</f>
        <v/>
      </c>
      <c r="X2836">
        <f>IF($A2="","",SUMIF('07_Pallet_Contents'!$A$2:$A$3000,$A2,'07_Pallet_Contents'!$D$2:$D$3000))</f>
        <v/>
      </c>
      <c r="Y2836">
        <f>IF($A2="","",SUMIF('07_Pallet_Contents'!$A$2:$A$3000,$A2,'07_Pallet_Contents'!$I$2:$I$3000))</f>
        <v/>
      </c>
      <c r="Z2836">
        <f>IF($A2="","",IF(COUNTIF('07_Pallet_Contents'!$A$2:$A$3000,$A2)&gt;0,"Yes",""))</f>
        <v/>
      </c>
    </row>
    <row r="2837">
      <c r="W2837">
        <f>IF($A2="","",COUNTIF('07_Pallet_Contents'!$A$2:$A$3000,$A2))</f>
        <v/>
      </c>
      <c r="X2837">
        <f>IF($A2="","",SUMIF('07_Pallet_Contents'!$A$2:$A$3000,$A2,'07_Pallet_Contents'!$D$2:$D$3000))</f>
        <v/>
      </c>
      <c r="Y2837">
        <f>IF($A2="","",SUMIF('07_Pallet_Contents'!$A$2:$A$3000,$A2,'07_Pallet_Contents'!$I$2:$I$3000))</f>
        <v/>
      </c>
      <c r="Z2837">
        <f>IF($A2="","",IF(COUNTIF('07_Pallet_Contents'!$A$2:$A$3000,$A2)&gt;0,"Yes",""))</f>
        <v/>
      </c>
    </row>
    <row r="2838">
      <c r="W2838">
        <f>IF($A2="","",COUNTIF('07_Pallet_Contents'!$A$2:$A$3000,$A2))</f>
        <v/>
      </c>
      <c r="X2838">
        <f>IF($A2="","",SUMIF('07_Pallet_Contents'!$A$2:$A$3000,$A2,'07_Pallet_Contents'!$D$2:$D$3000))</f>
        <v/>
      </c>
      <c r="Y2838">
        <f>IF($A2="","",SUMIF('07_Pallet_Contents'!$A$2:$A$3000,$A2,'07_Pallet_Contents'!$I$2:$I$3000))</f>
        <v/>
      </c>
      <c r="Z2838">
        <f>IF($A2="","",IF(COUNTIF('07_Pallet_Contents'!$A$2:$A$3000,$A2)&gt;0,"Yes",""))</f>
        <v/>
      </c>
    </row>
    <row r="2839">
      <c r="W2839">
        <f>IF($A2="","",COUNTIF('07_Pallet_Contents'!$A$2:$A$3000,$A2))</f>
        <v/>
      </c>
      <c r="X2839">
        <f>IF($A2="","",SUMIF('07_Pallet_Contents'!$A$2:$A$3000,$A2,'07_Pallet_Contents'!$D$2:$D$3000))</f>
        <v/>
      </c>
      <c r="Y2839">
        <f>IF($A2="","",SUMIF('07_Pallet_Contents'!$A$2:$A$3000,$A2,'07_Pallet_Contents'!$I$2:$I$3000))</f>
        <v/>
      </c>
      <c r="Z2839">
        <f>IF($A2="","",IF(COUNTIF('07_Pallet_Contents'!$A$2:$A$3000,$A2)&gt;0,"Yes",""))</f>
        <v/>
      </c>
    </row>
    <row r="2840">
      <c r="W2840">
        <f>IF($A2="","",COUNTIF('07_Pallet_Contents'!$A$2:$A$3000,$A2))</f>
        <v/>
      </c>
      <c r="X2840">
        <f>IF($A2="","",SUMIF('07_Pallet_Contents'!$A$2:$A$3000,$A2,'07_Pallet_Contents'!$D$2:$D$3000))</f>
        <v/>
      </c>
      <c r="Y2840">
        <f>IF($A2="","",SUMIF('07_Pallet_Contents'!$A$2:$A$3000,$A2,'07_Pallet_Contents'!$I$2:$I$3000))</f>
        <v/>
      </c>
      <c r="Z2840">
        <f>IF($A2="","",IF(COUNTIF('07_Pallet_Contents'!$A$2:$A$3000,$A2)&gt;0,"Yes",""))</f>
        <v/>
      </c>
    </row>
    <row r="2841">
      <c r="W2841">
        <f>IF($A2="","",COUNTIF('07_Pallet_Contents'!$A$2:$A$3000,$A2))</f>
        <v/>
      </c>
      <c r="X2841">
        <f>IF($A2="","",SUMIF('07_Pallet_Contents'!$A$2:$A$3000,$A2,'07_Pallet_Contents'!$D$2:$D$3000))</f>
        <v/>
      </c>
      <c r="Y2841">
        <f>IF($A2="","",SUMIF('07_Pallet_Contents'!$A$2:$A$3000,$A2,'07_Pallet_Contents'!$I$2:$I$3000))</f>
        <v/>
      </c>
      <c r="Z2841">
        <f>IF($A2="","",IF(COUNTIF('07_Pallet_Contents'!$A$2:$A$3000,$A2)&gt;0,"Yes",""))</f>
        <v/>
      </c>
    </row>
    <row r="2842">
      <c r="W2842">
        <f>IF($A2="","",COUNTIF('07_Pallet_Contents'!$A$2:$A$3000,$A2))</f>
        <v/>
      </c>
      <c r="X2842">
        <f>IF($A2="","",SUMIF('07_Pallet_Contents'!$A$2:$A$3000,$A2,'07_Pallet_Contents'!$D$2:$D$3000))</f>
        <v/>
      </c>
      <c r="Y2842">
        <f>IF($A2="","",SUMIF('07_Pallet_Contents'!$A$2:$A$3000,$A2,'07_Pallet_Contents'!$I$2:$I$3000))</f>
        <v/>
      </c>
      <c r="Z2842">
        <f>IF($A2="","",IF(COUNTIF('07_Pallet_Contents'!$A$2:$A$3000,$A2)&gt;0,"Yes",""))</f>
        <v/>
      </c>
    </row>
    <row r="2843">
      <c r="W2843">
        <f>IF($A2="","",COUNTIF('07_Pallet_Contents'!$A$2:$A$3000,$A2))</f>
        <v/>
      </c>
      <c r="X2843">
        <f>IF($A2="","",SUMIF('07_Pallet_Contents'!$A$2:$A$3000,$A2,'07_Pallet_Contents'!$D$2:$D$3000))</f>
        <v/>
      </c>
      <c r="Y2843">
        <f>IF($A2="","",SUMIF('07_Pallet_Contents'!$A$2:$A$3000,$A2,'07_Pallet_Contents'!$I$2:$I$3000))</f>
        <v/>
      </c>
      <c r="Z2843">
        <f>IF($A2="","",IF(COUNTIF('07_Pallet_Contents'!$A$2:$A$3000,$A2)&gt;0,"Yes",""))</f>
        <v/>
      </c>
    </row>
    <row r="2844">
      <c r="W2844">
        <f>IF($A2="","",COUNTIF('07_Pallet_Contents'!$A$2:$A$3000,$A2))</f>
        <v/>
      </c>
      <c r="X2844">
        <f>IF($A2="","",SUMIF('07_Pallet_Contents'!$A$2:$A$3000,$A2,'07_Pallet_Contents'!$D$2:$D$3000))</f>
        <v/>
      </c>
      <c r="Y2844">
        <f>IF($A2="","",SUMIF('07_Pallet_Contents'!$A$2:$A$3000,$A2,'07_Pallet_Contents'!$I$2:$I$3000))</f>
        <v/>
      </c>
      <c r="Z2844">
        <f>IF($A2="","",IF(COUNTIF('07_Pallet_Contents'!$A$2:$A$3000,$A2)&gt;0,"Yes",""))</f>
        <v/>
      </c>
    </row>
    <row r="2845">
      <c r="W2845">
        <f>IF($A2="","",COUNTIF('07_Pallet_Contents'!$A$2:$A$3000,$A2))</f>
        <v/>
      </c>
      <c r="X2845">
        <f>IF($A2="","",SUMIF('07_Pallet_Contents'!$A$2:$A$3000,$A2,'07_Pallet_Contents'!$D$2:$D$3000))</f>
        <v/>
      </c>
      <c r="Y2845">
        <f>IF($A2="","",SUMIF('07_Pallet_Contents'!$A$2:$A$3000,$A2,'07_Pallet_Contents'!$I$2:$I$3000))</f>
        <v/>
      </c>
      <c r="Z2845">
        <f>IF($A2="","",IF(COUNTIF('07_Pallet_Contents'!$A$2:$A$3000,$A2)&gt;0,"Yes",""))</f>
        <v/>
      </c>
    </row>
    <row r="2846">
      <c r="W2846">
        <f>IF($A2="","",COUNTIF('07_Pallet_Contents'!$A$2:$A$3000,$A2))</f>
        <v/>
      </c>
      <c r="X2846">
        <f>IF($A2="","",SUMIF('07_Pallet_Contents'!$A$2:$A$3000,$A2,'07_Pallet_Contents'!$D$2:$D$3000))</f>
        <v/>
      </c>
      <c r="Y2846">
        <f>IF($A2="","",SUMIF('07_Pallet_Contents'!$A$2:$A$3000,$A2,'07_Pallet_Contents'!$I$2:$I$3000))</f>
        <v/>
      </c>
      <c r="Z2846">
        <f>IF($A2="","",IF(COUNTIF('07_Pallet_Contents'!$A$2:$A$3000,$A2)&gt;0,"Yes",""))</f>
        <v/>
      </c>
    </row>
    <row r="2847">
      <c r="W2847">
        <f>IF($A2="","",COUNTIF('07_Pallet_Contents'!$A$2:$A$3000,$A2))</f>
        <v/>
      </c>
      <c r="X2847">
        <f>IF($A2="","",SUMIF('07_Pallet_Contents'!$A$2:$A$3000,$A2,'07_Pallet_Contents'!$D$2:$D$3000))</f>
        <v/>
      </c>
      <c r="Y2847">
        <f>IF($A2="","",SUMIF('07_Pallet_Contents'!$A$2:$A$3000,$A2,'07_Pallet_Contents'!$I$2:$I$3000))</f>
        <v/>
      </c>
      <c r="Z2847">
        <f>IF($A2="","",IF(COUNTIF('07_Pallet_Contents'!$A$2:$A$3000,$A2)&gt;0,"Yes",""))</f>
        <v/>
      </c>
    </row>
    <row r="2848">
      <c r="W2848">
        <f>IF($A2="","",COUNTIF('07_Pallet_Contents'!$A$2:$A$3000,$A2))</f>
        <v/>
      </c>
      <c r="X2848">
        <f>IF($A2="","",SUMIF('07_Pallet_Contents'!$A$2:$A$3000,$A2,'07_Pallet_Contents'!$D$2:$D$3000))</f>
        <v/>
      </c>
      <c r="Y2848">
        <f>IF($A2="","",SUMIF('07_Pallet_Contents'!$A$2:$A$3000,$A2,'07_Pallet_Contents'!$I$2:$I$3000))</f>
        <v/>
      </c>
      <c r="Z2848">
        <f>IF($A2="","",IF(COUNTIF('07_Pallet_Contents'!$A$2:$A$3000,$A2)&gt;0,"Yes",""))</f>
        <v/>
      </c>
    </row>
    <row r="2849">
      <c r="W2849">
        <f>IF($A2="","",COUNTIF('07_Pallet_Contents'!$A$2:$A$3000,$A2))</f>
        <v/>
      </c>
      <c r="X2849">
        <f>IF($A2="","",SUMIF('07_Pallet_Contents'!$A$2:$A$3000,$A2,'07_Pallet_Contents'!$D$2:$D$3000))</f>
        <v/>
      </c>
      <c r="Y2849">
        <f>IF($A2="","",SUMIF('07_Pallet_Contents'!$A$2:$A$3000,$A2,'07_Pallet_Contents'!$I$2:$I$3000))</f>
        <v/>
      </c>
      <c r="Z2849">
        <f>IF($A2="","",IF(COUNTIF('07_Pallet_Contents'!$A$2:$A$3000,$A2)&gt;0,"Yes",""))</f>
        <v/>
      </c>
    </row>
    <row r="2850">
      <c r="W2850">
        <f>IF($A2="","",COUNTIF('07_Pallet_Contents'!$A$2:$A$3000,$A2))</f>
        <v/>
      </c>
      <c r="X2850">
        <f>IF($A2="","",SUMIF('07_Pallet_Contents'!$A$2:$A$3000,$A2,'07_Pallet_Contents'!$D$2:$D$3000))</f>
        <v/>
      </c>
      <c r="Y2850">
        <f>IF($A2="","",SUMIF('07_Pallet_Contents'!$A$2:$A$3000,$A2,'07_Pallet_Contents'!$I$2:$I$3000))</f>
        <v/>
      </c>
      <c r="Z2850">
        <f>IF($A2="","",IF(COUNTIF('07_Pallet_Contents'!$A$2:$A$3000,$A2)&gt;0,"Yes",""))</f>
        <v/>
      </c>
    </row>
    <row r="2851">
      <c r="W2851">
        <f>IF($A2="","",COUNTIF('07_Pallet_Contents'!$A$2:$A$3000,$A2))</f>
        <v/>
      </c>
      <c r="X2851">
        <f>IF($A2="","",SUMIF('07_Pallet_Contents'!$A$2:$A$3000,$A2,'07_Pallet_Contents'!$D$2:$D$3000))</f>
        <v/>
      </c>
      <c r="Y2851">
        <f>IF($A2="","",SUMIF('07_Pallet_Contents'!$A$2:$A$3000,$A2,'07_Pallet_Contents'!$I$2:$I$3000))</f>
        <v/>
      </c>
      <c r="Z2851">
        <f>IF($A2="","",IF(COUNTIF('07_Pallet_Contents'!$A$2:$A$3000,$A2)&gt;0,"Yes",""))</f>
        <v/>
      </c>
    </row>
    <row r="2852">
      <c r="W2852">
        <f>IF($A2="","",COUNTIF('07_Pallet_Contents'!$A$2:$A$3000,$A2))</f>
        <v/>
      </c>
      <c r="X2852">
        <f>IF($A2="","",SUMIF('07_Pallet_Contents'!$A$2:$A$3000,$A2,'07_Pallet_Contents'!$D$2:$D$3000))</f>
        <v/>
      </c>
      <c r="Y2852">
        <f>IF($A2="","",SUMIF('07_Pallet_Contents'!$A$2:$A$3000,$A2,'07_Pallet_Contents'!$I$2:$I$3000))</f>
        <v/>
      </c>
      <c r="Z2852">
        <f>IF($A2="","",IF(COUNTIF('07_Pallet_Contents'!$A$2:$A$3000,$A2)&gt;0,"Yes",""))</f>
        <v/>
      </c>
    </row>
    <row r="2853">
      <c r="W2853">
        <f>IF($A2="","",COUNTIF('07_Pallet_Contents'!$A$2:$A$3000,$A2))</f>
        <v/>
      </c>
      <c r="X2853">
        <f>IF($A2="","",SUMIF('07_Pallet_Contents'!$A$2:$A$3000,$A2,'07_Pallet_Contents'!$D$2:$D$3000))</f>
        <v/>
      </c>
      <c r="Y2853">
        <f>IF($A2="","",SUMIF('07_Pallet_Contents'!$A$2:$A$3000,$A2,'07_Pallet_Contents'!$I$2:$I$3000))</f>
        <v/>
      </c>
      <c r="Z2853">
        <f>IF($A2="","",IF(COUNTIF('07_Pallet_Contents'!$A$2:$A$3000,$A2)&gt;0,"Yes",""))</f>
        <v/>
      </c>
    </row>
    <row r="2854">
      <c r="W2854">
        <f>IF($A2="","",COUNTIF('07_Pallet_Contents'!$A$2:$A$3000,$A2))</f>
        <v/>
      </c>
      <c r="X2854">
        <f>IF($A2="","",SUMIF('07_Pallet_Contents'!$A$2:$A$3000,$A2,'07_Pallet_Contents'!$D$2:$D$3000))</f>
        <v/>
      </c>
      <c r="Y2854">
        <f>IF($A2="","",SUMIF('07_Pallet_Contents'!$A$2:$A$3000,$A2,'07_Pallet_Contents'!$I$2:$I$3000))</f>
        <v/>
      </c>
      <c r="Z2854">
        <f>IF($A2="","",IF(COUNTIF('07_Pallet_Contents'!$A$2:$A$3000,$A2)&gt;0,"Yes",""))</f>
        <v/>
      </c>
    </row>
    <row r="2855">
      <c r="W2855">
        <f>IF($A2="","",COUNTIF('07_Pallet_Contents'!$A$2:$A$3000,$A2))</f>
        <v/>
      </c>
      <c r="X2855">
        <f>IF($A2="","",SUMIF('07_Pallet_Contents'!$A$2:$A$3000,$A2,'07_Pallet_Contents'!$D$2:$D$3000))</f>
        <v/>
      </c>
      <c r="Y2855">
        <f>IF($A2="","",SUMIF('07_Pallet_Contents'!$A$2:$A$3000,$A2,'07_Pallet_Contents'!$I$2:$I$3000))</f>
        <v/>
      </c>
      <c r="Z2855">
        <f>IF($A2="","",IF(COUNTIF('07_Pallet_Contents'!$A$2:$A$3000,$A2)&gt;0,"Yes",""))</f>
        <v/>
      </c>
    </row>
    <row r="2856">
      <c r="W2856">
        <f>IF($A2="","",COUNTIF('07_Pallet_Contents'!$A$2:$A$3000,$A2))</f>
        <v/>
      </c>
      <c r="X2856">
        <f>IF($A2="","",SUMIF('07_Pallet_Contents'!$A$2:$A$3000,$A2,'07_Pallet_Contents'!$D$2:$D$3000))</f>
        <v/>
      </c>
      <c r="Y2856">
        <f>IF($A2="","",SUMIF('07_Pallet_Contents'!$A$2:$A$3000,$A2,'07_Pallet_Contents'!$I$2:$I$3000))</f>
        <v/>
      </c>
      <c r="Z2856">
        <f>IF($A2="","",IF(COUNTIF('07_Pallet_Contents'!$A$2:$A$3000,$A2)&gt;0,"Yes",""))</f>
        <v/>
      </c>
    </row>
    <row r="2857">
      <c r="W2857">
        <f>IF($A2="","",COUNTIF('07_Pallet_Contents'!$A$2:$A$3000,$A2))</f>
        <v/>
      </c>
      <c r="X2857">
        <f>IF($A2="","",SUMIF('07_Pallet_Contents'!$A$2:$A$3000,$A2,'07_Pallet_Contents'!$D$2:$D$3000))</f>
        <v/>
      </c>
      <c r="Y2857">
        <f>IF($A2="","",SUMIF('07_Pallet_Contents'!$A$2:$A$3000,$A2,'07_Pallet_Contents'!$I$2:$I$3000))</f>
        <v/>
      </c>
      <c r="Z2857">
        <f>IF($A2="","",IF(COUNTIF('07_Pallet_Contents'!$A$2:$A$3000,$A2)&gt;0,"Yes",""))</f>
        <v/>
      </c>
    </row>
    <row r="2858">
      <c r="W2858">
        <f>IF($A2="","",COUNTIF('07_Pallet_Contents'!$A$2:$A$3000,$A2))</f>
        <v/>
      </c>
      <c r="X2858">
        <f>IF($A2="","",SUMIF('07_Pallet_Contents'!$A$2:$A$3000,$A2,'07_Pallet_Contents'!$D$2:$D$3000))</f>
        <v/>
      </c>
      <c r="Y2858">
        <f>IF($A2="","",SUMIF('07_Pallet_Contents'!$A$2:$A$3000,$A2,'07_Pallet_Contents'!$I$2:$I$3000))</f>
        <v/>
      </c>
      <c r="Z2858">
        <f>IF($A2="","",IF(COUNTIF('07_Pallet_Contents'!$A$2:$A$3000,$A2)&gt;0,"Yes",""))</f>
        <v/>
      </c>
    </row>
    <row r="2859">
      <c r="W2859">
        <f>IF($A2="","",COUNTIF('07_Pallet_Contents'!$A$2:$A$3000,$A2))</f>
        <v/>
      </c>
      <c r="X2859">
        <f>IF($A2="","",SUMIF('07_Pallet_Contents'!$A$2:$A$3000,$A2,'07_Pallet_Contents'!$D$2:$D$3000))</f>
        <v/>
      </c>
      <c r="Y2859">
        <f>IF($A2="","",SUMIF('07_Pallet_Contents'!$A$2:$A$3000,$A2,'07_Pallet_Contents'!$I$2:$I$3000))</f>
        <v/>
      </c>
      <c r="Z2859">
        <f>IF($A2="","",IF(COUNTIF('07_Pallet_Contents'!$A$2:$A$3000,$A2)&gt;0,"Yes",""))</f>
        <v/>
      </c>
    </row>
    <row r="2860">
      <c r="W2860">
        <f>IF($A2="","",COUNTIF('07_Pallet_Contents'!$A$2:$A$3000,$A2))</f>
        <v/>
      </c>
      <c r="X2860">
        <f>IF($A2="","",SUMIF('07_Pallet_Contents'!$A$2:$A$3000,$A2,'07_Pallet_Contents'!$D$2:$D$3000))</f>
        <v/>
      </c>
      <c r="Y2860">
        <f>IF($A2="","",SUMIF('07_Pallet_Contents'!$A$2:$A$3000,$A2,'07_Pallet_Contents'!$I$2:$I$3000))</f>
        <v/>
      </c>
      <c r="Z2860">
        <f>IF($A2="","",IF(COUNTIF('07_Pallet_Contents'!$A$2:$A$3000,$A2)&gt;0,"Yes",""))</f>
        <v/>
      </c>
    </row>
    <row r="2861">
      <c r="W2861">
        <f>IF($A2="","",COUNTIF('07_Pallet_Contents'!$A$2:$A$3000,$A2))</f>
        <v/>
      </c>
      <c r="X2861">
        <f>IF($A2="","",SUMIF('07_Pallet_Contents'!$A$2:$A$3000,$A2,'07_Pallet_Contents'!$D$2:$D$3000))</f>
        <v/>
      </c>
      <c r="Y2861">
        <f>IF($A2="","",SUMIF('07_Pallet_Contents'!$A$2:$A$3000,$A2,'07_Pallet_Contents'!$I$2:$I$3000))</f>
        <v/>
      </c>
      <c r="Z2861">
        <f>IF($A2="","",IF(COUNTIF('07_Pallet_Contents'!$A$2:$A$3000,$A2)&gt;0,"Yes",""))</f>
        <v/>
      </c>
    </row>
    <row r="2862">
      <c r="W2862">
        <f>IF($A2="","",COUNTIF('07_Pallet_Contents'!$A$2:$A$3000,$A2))</f>
        <v/>
      </c>
      <c r="X2862">
        <f>IF($A2="","",SUMIF('07_Pallet_Contents'!$A$2:$A$3000,$A2,'07_Pallet_Contents'!$D$2:$D$3000))</f>
        <v/>
      </c>
      <c r="Y2862">
        <f>IF($A2="","",SUMIF('07_Pallet_Contents'!$A$2:$A$3000,$A2,'07_Pallet_Contents'!$I$2:$I$3000))</f>
        <v/>
      </c>
      <c r="Z2862">
        <f>IF($A2="","",IF(COUNTIF('07_Pallet_Contents'!$A$2:$A$3000,$A2)&gt;0,"Yes",""))</f>
        <v/>
      </c>
    </row>
    <row r="2863">
      <c r="W2863">
        <f>IF($A2="","",COUNTIF('07_Pallet_Contents'!$A$2:$A$3000,$A2))</f>
        <v/>
      </c>
      <c r="X2863">
        <f>IF($A2="","",SUMIF('07_Pallet_Contents'!$A$2:$A$3000,$A2,'07_Pallet_Contents'!$D$2:$D$3000))</f>
        <v/>
      </c>
      <c r="Y2863">
        <f>IF($A2="","",SUMIF('07_Pallet_Contents'!$A$2:$A$3000,$A2,'07_Pallet_Contents'!$I$2:$I$3000))</f>
        <v/>
      </c>
      <c r="Z2863">
        <f>IF($A2="","",IF(COUNTIF('07_Pallet_Contents'!$A$2:$A$3000,$A2)&gt;0,"Yes",""))</f>
        <v/>
      </c>
    </row>
    <row r="2864">
      <c r="W2864">
        <f>IF($A2="","",COUNTIF('07_Pallet_Contents'!$A$2:$A$3000,$A2))</f>
        <v/>
      </c>
      <c r="X2864">
        <f>IF($A2="","",SUMIF('07_Pallet_Contents'!$A$2:$A$3000,$A2,'07_Pallet_Contents'!$D$2:$D$3000))</f>
        <v/>
      </c>
      <c r="Y2864">
        <f>IF($A2="","",SUMIF('07_Pallet_Contents'!$A$2:$A$3000,$A2,'07_Pallet_Contents'!$I$2:$I$3000))</f>
        <v/>
      </c>
      <c r="Z2864">
        <f>IF($A2="","",IF(COUNTIF('07_Pallet_Contents'!$A$2:$A$3000,$A2)&gt;0,"Yes",""))</f>
        <v/>
      </c>
    </row>
    <row r="2865">
      <c r="W2865">
        <f>IF($A2="","",COUNTIF('07_Pallet_Contents'!$A$2:$A$3000,$A2))</f>
        <v/>
      </c>
      <c r="X2865">
        <f>IF($A2="","",SUMIF('07_Pallet_Contents'!$A$2:$A$3000,$A2,'07_Pallet_Contents'!$D$2:$D$3000))</f>
        <v/>
      </c>
      <c r="Y2865">
        <f>IF($A2="","",SUMIF('07_Pallet_Contents'!$A$2:$A$3000,$A2,'07_Pallet_Contents'!$I$2:$I$3000))</f>
        <v/>
      </c>
      <c r="Z2865">
        <f>IF($A2="","",IF(COUNTIF('07_Pallet_Contents'!$A$2:$A$3000,$A2)&gt;0,"Yes",""))</f>
        <v/>
      </c>
    </row>
    <row r="2866">
      <c r="W2866">
        <f>IF($A2="","",COUNTIF('07_Pallet_Contents'!$A$2:$A$3000,$A2))</f>
        <v/>
      </c>
      <c r="X2866">
        <f>IF($A2="","",SUMIF('07_Pallet_Contents'!$A$2:$A$3000,$A2,'07_Pallet_Contents'!$D$2:$D$3000))</f>
        <v/>
      </c>
      <c r="Y2866">
        <f>IF($A2="","",SUMIF('07_Pallet_Contents'!$A$2:$A$3000,$A2,'07_Pallet_Contents'!$I$2:$I$3000))</f>
        <v/>
      </c>
      <c r="Z2866">
        <f>IF($A2="","",IF(COUNTIF('07_Pallet_Contents'!$A$2:$A$3000,$A2)&gt;0,"Yes",""))</f>
        <v/>
      </c>
    </row>
    <row r="2867">
      <c r="W2867">
        <f>IF($A2="","",COUNTIF('07_Pallet_Contents'!$A$2:$A$3000,$A2))</f>
        <v/>
      </c>
      <c r="X2867">
        <f>IF($A2="","",SUMIF('07_Pallet_Contents'!$A$2:$A$3000,$A2,'07_Pallet_Contents'!$D$2:$D$3000))</f>
        <v/>
      </c>
      <c r="Y2867">
        <f>IF($A2="","",SUMIF('07_Pallet_Contents'!$A$2:$A$3000,$A2,'07_Pallet_Contents'!$I$2:$I$3000))</f>
        <v/>
      </c>
      <c r="Z2867">
        <f>IF($A2="","",IF(COUNTIF('07_Pallet_Contents'!$A$2:$A$3000,$A2)&gt;0,"Yes",""))</f>
        <v/>
      </c>
    </row>
    <row r="2868">
      <c r="W2868">
        <f>IF($A2="","",COUNTIF('07_Pallet_Contents'!$A$2:$A$3000,$A2))</f>
        <v/>
      </c>
      <c r="X2868">
        <f>IF($A2="","",SUMIF('07_Pallet_Contents'!$A$2:$A$3000,$A2,'07_Pallet_Contents'!$D$2:$D$3000))</f>
        <v/>
      </c>
      <c r="Y2868">
        <f>IF($A2="","",SUMIF('07_Pallet_Contents'!$A$2:$A$3000,$A2,'07_Pallet_Contents'!$I$2:$I$3000))</f>
        <v/>
      </c>
      <c r="Z2868">
        <f>IF($A2="","",IF(COUNTIF('07_Pallet_Contents'!$A$2:$A$3000,$A2)&gt;0,"Yes",""))</f>
        <v/>
      </c>
    </row>
    <row r="2869">
      <c r="W2869">
        <f>IF($A2="","",COUNTIF('07_Pallet_Contents'!$A$2:$A$3000,$A2))</f>
        <v/>
      </c>
      <c r="X2869">
        <f>IF($A2="","",SUMIF('07_Pallet_Contents'!$A$2:$A$3000,$A2,'07_Pallet_Contents'!$D$2:$D$3000))</f>
        <v/>
      </c>
      <c r="Y2869">
        <f>IF($A2="","",SUMIF('07_Pallet_Contents'!$A$2:$A$3000,$A2,'07_Pallet_Contents'!$I$2:$I$3000))</f>
        <v/>
      </c>
      <c r="Z2869">
        <f>IF($A2="","",IF(COUNTIF('07_Pallet_Contents'!$A$2:$A$3000,$A2)&gt;0,"Yes",""))</f>
        <v/>
      </c>
    </row>
    <row r="2870">
      <c r="W2870">
        <f>IF($A2="","",COUNTIF('07_Pallet_Contents'!$A$2:$A$3000,$A2))</f>
        <v/>
      </c>
      <c r="X2870">
        <f>IF($A2="","",SUMIF('07_Pallet_Contents'!$A$2:$A$3000,$A2,'07_Pallet_Contents'!$D$2:$D$3000))</f>
        <v/>
      </c>
      <c r="Y2870">
        <f>IF($A2="","",SUMIF('07_Pallet_Contents'!$A$2:$A$3000,$A2,'07_Pallet_Contents'!$I$2:$I$3000))</f>
        <v/>
      </c>
      <c r="Z2870">
        <f>IF($A2="","",IF(COUNTIF('07_Pallet_Contents'!$A$2:$A$3000,$A2)&gt;0,"Yes",""))</f>
        <v/>
      </c>
    </row>
    <row r="2871">
      <c r="W2871">
        <f>IF($A2="","",COUNTIF('07_Pallet_Contents'!$A$2:$A$3000,$A2))</f>
        <v/>
      </c>
      <c r="X2871">
        <f>IF($A2="","",SUMIF('07_Pallet_Contents'!$A$2:$A$3000,$A2,'07_Pallet_Contents'!$D$2:$D$3000))</f>
        <v/>
      </c>
      <c r="Y2871">
        <f>IF($A2="","",SUMIF('07_Pallet_Contents'!$A$2:$A$3000,$A2,'07_Pallet_Contents'!$I$2:$I$3000))</f>
        <v/>
      </c>
      <c r="Z2871">
        <f>IF($A2="","",IF(COUNTIF('07_Pallet_Contents'!$A$2:$A$3000,$A2)&gt;0,"Yes",""))</f>
        <v/>
      </c>
    </row>
    <row r="2872">
      <c r="W2872">
        <f>IF($A2="","",COUNTIF('07_Pallet_Contents'!$A$2:$A$3000,$A2))</f>
        <v/>
      </c>
      <c r="X2872">
        <f>IF($A2="","",SUMIF('07_Pallet_Contents'!$A$2:$A$3000,$A2,'07_Pallet_Contents'!$D$2:$D$3000))</f>
        <v/>
      </c>
      <c r="Y2872">
        <f>IF($A2="","",SUMIF('07_Pallet_Contents'!$A$2:$A$3000,$A2,'07_Pallet_Contents'!$I$2:$I$3000))</f>
        <v/>
      </c>
      <c r="Z2872">
        <f>IF($A2="","",IF(COUNTIF('07_Pallet_Contents'!$A$2:$A$3000,$A2)&gt;0,"Yes",""))</f>
        <v/>
      </c>
    </row>
    <row r="2873">
      <c r="W2873">
        <f>IF($A2="","",COUNTIF('07_Pallet_Contents'!$A$2:$A$3000,$A2))</f>
        <v/>
      </c>
      <c r="X2873">
        <f>IF($A2="","",SUMIF('07_Pallet_Contents'!$A$2:$A$3000,$A2,'07_Pallet_Contents'!$D$2:$D$3000))</f>
        <v/>
      </c>
      <c r="Y2873">
        <f>IF($A2="","",SUMIF('07_Pallet_Contents'!$A$2:$A$3000,$A2,'07_Pallet_Contents'!$I$2:$I$3000))</f>
        <v/>
      </c>
      <c r="Z2873">
        <f>IF($A2="","",IF(COUNTIF('07_Pallet_Contents'!$A$2:$A$3000,$A2)&gt;0,"Yes",""))</f>
        <v/>
      </c>
    </row>
    <row r="2874">
      <c r="W2874">
        <f>IF($A2="","",COUNTIF('07_Pallet_Contents'!$A$2:$A$3000,$A2))</f>
        <v/>
      </c>
      <c r="X2874">
        <f>IF($A2="","",SUMIF('07_Pallet_Contents'!$A$2:$A$3000,$A2,'07_Pallet_Contents'!$D$2:$D$3000))</f>
        <v/>
      </c>
      <c r="Y2874">
        <f>IF($A2="","",SUMIF('07_Pallet_Contents'!$A$2:$A$3000,$A2,'07_Pallet_Contents'!$I$2:$I$3000))</f>
        <v/>
      </c>
      <c r="Z2874">
        <f>IF($A2="","",IF(COUNTIF('07_Pallet_Contents'!$A$2:$A$3000,$A2)&gt;0,"Yes",""))</f>
        <v/>
      </c>
    </row>
    <row r="2875">
      <c r="W2875">
        <f>IF($A2="","",COUNTIF('07_Pallet_Contents'!$A$2:$A$3000,$A2))</f>
        <v/>
      </c>
      <c r="X2875">
        <f>IF($A2="","",SUMIF('07_Pallet_Contents'!$A$2:$A$3000,$A2,'07_Pallet_Contents'!$D$2:$D$3000))</f>
        <v/>
      </c>
      <c r="Y2875">
        <f>IF($A2="","",SUMIF('07_Pallet_Contents'!$A$2:$A$3000,$A2,'07_Pallet_Contents'!$I$2:$I$3000))</f>
        <v/>
      </c>
      <c r="Z2875">
        <f>IF($A2="","",IF(COUNTIF('07_Pallet_Contents'!$A$2:$A$3000,$A2)&gt;0,"Yes",""))</f>
        <v/>
      </c>
    </row>
    <row r="2876">
      <c r="W2876">
        <f>IF($A2="","",COUNTIF('07_Pallet_Contents'!$A$2:$A$3000,$A2))</f>
        <v/>
      </c>
      <c r="X2876">
        <f>IF($A2="","",SUMIF('07_Pallet_Contents'!$A$2:$A$3000,$A2,'07_Pallet_Contents'!$D$2:$D$3000))</f>
        <v/>
      </c>
      <c r="Y2876">
        <f>IF($A2="","",SUMIF('07_Pallet_Contents'!$A$2:$A$3000,$A2,'07_Pallet_Contents'!$I$2:$I$3000))</f>
        <v/>
      </c>
      <c r="Z2876">
        <f>IF($A2="","",IF(COUNTIF('07_Pallet_Contents'!$A$2:$A$3000,$A2)&gt;0,"Yes",""))</f>
        <v/>
      </c>
    </row>
    <row r="2877">
      <c r="W2877">
        <f>IF($A2="","",COUNTIF('07_Pallet_Contents'!$A$2:$A$3000,$A2))</f>
        <v/>
      </c>
      <c r="X2877">
        <f>IF($A2="","",SUMIF('07_Pallet_Contents'!$A$2:$A$3000,$A2,'07_Pallet_Contents'!$D$2:$D$3000))</f>
        <v/>
      </c>
      <c r="Y2877">
        <f>IF($A2="","",SUMIF('07_Pallet_Contents'!$A$2:$A$3000,$A2,'07_Pallet_Contents'!$I$2:$I$3000))</f>
        <v/>
      </c>
      <c r="Z2877">
        <f>IF($A2="","",IF(COUNTIF('07_Pallet_Contents'!$A$2:$A$3000,$A2)&gt;0,"Yes",""))</f>
        <v/>
      </c>
    </row>
    <row r="2878">
      <c r="W2878">
        <f>IF($A2="","",COUNTIF('07_Pallet_Contents'!$A$2:$A$3000,$A2))</f>
        <v/>
      </c>
      <c r="X2878">
        <f>IF($A2="","",SUMIF('07_Pallet_Contents'!$A$2:$A$3000,$A2,'07_Pallet_Contents'!$D$2:$D$3000))</f>
        <v/>
      </c>
      <c r="Y2878">
        <f>IF($A2="","",SUMIF('07_Pallet_Contents'!$A$2:$A$3000,$A2,'07_Pallet_Contents'!$I$2:$I$3000))</f>
        <v/>
      </c>
      <c r="Z2878">
        <f>IF($A2="","",IF(COUNTIF('07_Pallet_Contents'!$A$2:$A$3000,$A2)&gt;0,"Yes",""))</f>
        <v/>
      </c>
    </row>
    <row r="2879">
      <c r="W2879">
        <f>IF($A2="","",COUNTIF('07_Pallet_Contents'!$A$2:$A$3000,$A2))</f>
        <v/>
      </c>
      <c r="X2879">
        <f>IF($A2="","",SUMIF('07_Pallet_Contents'!$A$2:$A$3000,$A2,'07_Pallet_Contents'!$D$2:$D$3000))</f>
        <v/>
      </c>
      <c r="Y2879">
        <f>IF($A2="","",SUMIF('07_Pallet_Contents'!$A$2:$A$3000,$A2,'07_Pallet_Contents'!$I$2:$I$3000))</f>
        <v/>
      </c>
      <c r="Z2879">
        <f>IF($A2="","",IF(COUNTIF('07_Pallet_Contents'!$A$2:$A$3000,$A2)&gt;0,"Yes",""))</f>
        <v/>
      </c>
    </row>
    <row r="2880">
      <c r="W2880">
        <f>IF($A2="","",COUNTIF('07_Pallet_Contents'!$A$2:$A$3000,$A2))</f>
        <v/>
      </c>
      <c r="X2880">
        <f>IF($A2="","",SUMIF('07_Pallet_Contents'!$A$2:$A$3000,$A2,'07_Pallet_Contents'!$D$2:$D$3000))</f>
        <v/>
      </c>
      <c r="Y2880">
        <f>IF($A2="","",SUMIF('07_Pallet_Contents'!$A$2:$A$3000,$A2,'07_Pallet_Contents'!$I$2:$I$3000))</f>
        <v/>
      </c>
      <c r="Z2880">
        <f>IF($A2="","",IF(COUNTIF('07_Pallet_Contents'!$A$2:$A$3000,$A2)&gt;0,"Yes",""))</f>
        <v/>
      </c>
    </row>
    <row r="2881">
      <c r="W2881">
        <f>IF($A2="","",COUNTIF('07_Pallet_Contents'!$A$2:$A$3000,$A2))</f>
        <v/>
      </c>
      <c r="X2881">
        <f>IF($A2="","",SUMIF('07_Pallet_Contents'!$A$2:$A$3000,$A2,'07_Pallet_Contents'!$D$2:$D$3000))</f>
        <v/>
      </c>
      <c r="Y2881">
        <f>IF($A2="","",SUMIF('07_Pallet_Contents'!$A$2:$A$3000,$A2,'07_Pallet_Contents'!$I$2:$I$3000))</f>
        <v/>
      </c>
      <c r="Z2881">
        <f>IF($A2="","",IF(COUNTIF('07_Pallet_Contents'!$A$2:$A$3000,$A2)&gt;0,"Yes",""))</f>
        <v/>
      </c>
    </row>
    <row r="2882">
      <c r="W2882">
        <f>IF($A2="","",COUNTIF('07_Pallet_Contents'!$A$2:$A$3000,$A2))</f>
        <v/>
      </c>
      <c r="X2882">
        <f>IF($A2="","",SUMIF('07_Pallet_Contents'!$A$2:$A$3000,$A2,'07_Pallet_Contents'!$D$2:$D$3000))</f>
        <v/>
      </c>
      <c r="Y2882">
        <f>IF($A2="","",SUMIF('07_Pallet_Contents'!$A$2:$A$3000,$A2,'07_Pallet_Contents'!$I$2:$I$3000))</f>
        <v/>
      </c>
      <c r="Z2882">
        <f>IF($A2="","",IF(COUNTIF('07_Pallet_Contents'!$A$2:$A$3000,$A2)&gt;0,"Yes",""))</f>
        <v/>
      </c>
    </row>
    <row r="2883">
      <c r="W2883">
        <f>IF($A2="","",COUNTIF('07_Pallet_Contents'!$A$2:$A$3000,$A2))</f>
        <v/>
      </c>
      <c r="X2883">
        <f>IF($A2="","",SUMIF('07_Pallet_Contents'!$A$2:$A$3000,$A2,'07_Pallet_Contents'!$D$2:$D$3000))</f>
        <v/>
      </c>
      <c r="Y2883">
        <f>IF($A2="","",SUMIF('07_Pallet_Contents'!$A$2:$A$3000,$A2,'07_Pallet_Contents'!$I$2:$I$3000))</f>
        <v/>
      </c>
      <c r="Z2883">
        <f>IF($A2="","",IF(COUNTIF('07_Pallet_Contents'!$A$2:$A$3000,$A2)&gt;0,"Yes",""))</f>
        <v/>
      </c>
    </row>
    <row r="2884">
      <c r="W2884">
        <f>IF($A2="","",COUNTIF('07_Pallet_Contents'!$A$2:$A$3000,$A2))</f>
        <v/>
      </c>
      <c r="X2884">
        <f>IF($A2="","",SUMIF('07_Pallet_Contents'!$A$2:$A$3000,$A2,'07_Pallet_Contents'!$D$2:$D$3000))</f>
        <v/>
      </c>
      <c r="Y2884">
        <f>IF($A2="","",SUMIF('07_Pallet_Contents'!$A$2:$A$3000,$A2,'07_Pallet_Contents'!$I$2:$I$3000))</f>
        <v/>
      </c>
      <c r="Z2884">
        <f>IF($A2="","",IF(COUNTIF('07_Pallet_Contents'!$A$2:$A$3000,$A2)&gt;0,"Yes",""))</f>
        <v/>
      </c>
    </row>
    <row r="2885">
      <c r="W2885">
        <f>IF($A2="","",COUNTIF('07_Pallet_Contents'!$A$2:$A$3000,$A2))</f>
        <v/>
      </c>
      <c r="X2885">
        <f>IF($A2="","",SUMIF('07_Pallet_Contents'!$A$2:$A$3000,$A2,'07_Pallet_Contents'!$D$2:$D$3000))</f>
        <v/>
      </c>
      <c r="Y2885">
        <f>IF($A2="","",SUMIF('07_Pallet_Contents'!$A$2:$A$3000,$A2,'07_Pallet_Contents'!$I$2:$I$3000))</f>
        <v/>
      </c>
      <c r="Z2885">
        <f>IF($A2="","",IF(COUNTIF('07_Pallet_Contents'!$A$2:$A$3000,$A2)&gt;0,"Yes",""))</f>
        <v/>
      </c>
    </row>
    <row r="2886">
      <c r="W2886">
        <f>IF($A2="","",COUNTIF('07_Pallet_Contents'!$A$2:$A$3000,$A2))</f>
        <v/>
      </c>
      <c r="X2886">
        <f>IF($A2="","",SUMIF('07_Pallet_Contents'!$A$2:$A$3000,$A2,'07_Pallet_Contents'!$D$2:$D$3000))</f>
        <v/>
      </c>
      <c r="Y2886">
        <f>IF($A2="","",SUMIF('07_Pallet_Contents'!$A$2:$A$3000,$A2,'07_Pallet_Contents'!$I$2:$I$3000))</f>
        <v/>
      </c>
      <c r="Z2886">
        <f>IF($A2="","",IF(COUNTIF('07_Pallet_Contents'!$A$2:$A$3000,$A2)&gt;0,"Yes",""))</f>
        <v/>
      </c>
    </row>
    <row r="2887">
      <c r="W2887">
        <f>IF($A2="","",COUNTIF('07_Pallet_Contents'!$A$2:$A$3000,$A2))</f>
        <v/>
      </c>
      <c r="X2887">
        <f>IF($A2="","",SUMIF('07_Pallet_Contents'!$A$2:$A$3000,$A2,'07_Pallet_Contents'!$D$2:$D$3000))</f>
        <v/>
      </c>
      <c r="Y2887">
        <f>IF($A2="","",SUMIF('07_Pallet_Contents'!$A$2:$A$3000,$A2,'07_Pallet_Contents'!$I$2:$I$3000))</f>
        <v/>
      </c>
      <c r="Z2887">
        <f>IF($A2="","",IF(COUNTIF('07_Pallet_Contents'!$A$2:$A$3000,$A2)&gt;0,"Yes",""))</f>
        <v/>
      </c>
    </row>
    <row r="2888">
      <c r="W2888">
        <f>IF($A2="","",COUNTIF('07_Pallet_Contents'!$A$2:$A$3000,$A2))</f>
        <v/>
      </c>
      <c r="X2888">
        <f>IF($A2="","",SUMIF('07_Pallet_Contents'!$A$2:$A$3000,$A2,'07_Pallet_Contents'!$D$2:$D$3000))</f>
        <v/>
      </c>
      <c r="Y2888">
        <f>IF($A2="","",SUMIF('07_Pallet_Contents'!$A$2:$A$3000,$A2,'07_Pallet_Contents'!$I$2:$I$3000))</f>
        <v/>
      </c>
      <c r="Z2888">
        <f>IF($A2="","",IF(COUNTIF('07_Pallet_Contents'!$A$2:$A$3000,$A2)&gt;0,"Yes",""))</f>
        <v/>
      </c>
    </row>
    <row r="2889">
      <c r="W2889">
        <f>IF($A2="","",COUNTIF('07_Pallet_Contents'!$A$2:$A$3000,$A2))</f>
        <v/>
      </c>
      <c r="X2889">
        <f>IF($A2="","",SUMIF('07_Pallet_Contents'!$A$2:$A$3000,$A2,'07_Pallet_Contents'!$D$2:$D$3000))</f>
        <v/>
      </c>
      <c r="Y2889">
        <f>IF($A2="","",SUMIF('07_Pallet_Contents'!$A$2:$A$3000,$A2,'07_Pallet_Contents'!$I$2:$I$3000))</f>
        <v/>
      </c>
      <c r="Z2889">
        <f>IF($A2="","",IF(COUNTIF('07_Pallet_Contents'!$A$2:$A$3000,$A2)&gt;0,"Yes",""))</f>
        <v/>
      </c>
    </row>
    <row r="2890">
      <c r="W2890">
        <f>IF($A2="","",COUNTIF('07_Pallet_Contents'!$A$2:$A$3000,$A2))</f>
        <v/>
      </c>
      <c r="X2890">
        <f>IF($A2="","",SUMIF('07_Pallet_Contents'!$A$2:$A$3000,$A2,'07_Pallet_Contents'!$D$2:$D$3000))</f>
        <v/>
      </c>
      <c r="Y2890">
        <f>IF($A2="","",SUMIF('07_Pallet_Contents'!$A$2:$A$3000,$A2,'07_Pallet_Contents'!$I$2:$I$3000))</f>
        <v/>
      </c>
      <c r="Z2890">
        <f>IF($A2="","",IF(COUNTIF('07_Pallet_Contents'!$A$2:$A$3000,$A2)&gt;0,"Yes",""))</f>
        <v/>
      </c>
    </row>
    <row r="2891">
      <c r="W2891">
        <f>IF($A2="","",COUNTIF('07_Pallet_Contents'!$A$2:$A$3000,$A2))</f>
        <v/>
      </c>
      <c r="X2891">
        <f>IF($A2="","",SUMIF('07_Pallet_Contents'!$A$2:$A$3000,$A2,'07_Pallet_Contents'!$D$2:$D$3000))</f>
        <v/>
      </c>
      <c r="Y2891">
        <f>IF($A2="","",SUMIF('07_Pallet_Contents'!$A$2:$A$3000,$A2,'07_Pallet_Contents'!$I$2:$I$3000))</f>
        <v/>
      </c>
      <c r="Z2891">
        <f>IF($A2="","",IF(COUNTIF('07_Pallet_Contents'!$A$2:$A$3000,$A2)&gt;0,"Yes",""))</f>
        <v/>
      </c>
    </row>
    <row r="2892">
      <c r="W2892">
        <f>IF($A2="","",COUNTIF('07_Pallet_Contents'!$A$2:$A$3000,$A2))</f>
        <v/>
      </c>
      <c r="X2892">
        <f>IF($A2="","",SUMIF('07_Pallet_Contents'!$A$2:$A$3000,$A2,'07_Pallet_Contents'!$D$2:$D$3000))</f>
        <v/>
      </c>
      <c r="Y2892">
        <f>IF($A2="","",SUMIF('07_Pallet_Contents'!$A$2:$A$3000,$A2,'07_Pallet_Contents'!$I$2:$I$3000))</f>
        <v/>
      </c>
      <c r="Z2892">
        <f>IF($A2="","",IF(COUNTIF('07_Pallet_Contents'!$A$2:$A$3000,$A2)&gt;0,"Yes",""))</f>
        <v/>
      </c>
    </row>
    <row r="2893">
      <c r="W2893">
        <f>IF($A2="","",COUNTIF('07_Pallet_Contents'!$A$2:$A$3000,$A2))</f>
        <v/>
      </c>
      <c r="X2893">
        <f>IF($A2="","",SUMIF('07_Pallet_Contents'!$A$2:$A$3000,$A2,'07_Pallet_Contents'!$D$2:$D$3000))</f>
        <v/>
      </c>
      <c r="Y2893">
        <f>IF($A2="","",SUMIF('07_Pallet_Contents'!$A$2:$A$3000,$A2,'07_Pallet_Contents'!$I$2:$I$3000))</f>
        <v/>
      </c>
      <c r="Z2893">
        <f>IF($A2="","",IF(COUNTIF('07_Pallet_Contents'!$A$2:$A$3000,$A2)&gt;0,"Yes",""))</f>
        <v/>
      </c>
    </row>
    <row r="2894">
      <c r="W2894">
        <f>IF($A2="","",COUNTIF('07_Pallet_Contents'!$A$2:$A$3000,$A2))</f>
        <v/>
      </c>
      <c r="X2894">
        <f>IF($A2="","",SUMIF('07_Pallet_Contents'!$A$2:$A$3000,$A2,'07_Pallet_Contents'!$D$2:$D$3000))</f>
        <v/>
      </c>
      <c r="Y2894">
        <f>IF($A2="","",SUMIF('07_Pallet_Contents'!$A$2:$A$3000,$A2,'07_Pallet_Contents'!$I$2:$I$3000))</f>
        <v/>
      </c>
      <c r="Z2894">
        <f>IF($A2="","",IF(COUNTIF('07_Pallet_Contents'!$A$2:$A$3000,$A2)&gt;0,"Yes",""))</f>
        <v/>
      </c>
    </row>
    <row r="2895">
      <c r="W2895">
        <f>IF($A2="","",COUNTIF('07_Pallet_Contents'!$A$2:$A$3000,$A2))</f>
        <v/>
      </c>
      <c r="X2895">
        <f>IF($A2="","",SUMIF('07_Pallet_Contents'!$A$2:$A$3000,$A2,'07_Pallet_Contents'!$D$2:$D$3000))</f>
        <v/>
      </c>
      <c r="Y2895">
        <f>IF($A2="","",SUMIF('07_Pallet_Contents'!$A$2:$A$3000,$A2,'07_Pallet_Contents'!$I$2:$I$3000))</f>
        <v/>
      </c>
      <c r="Z2895">
        <f>IF($A2="","",IF(COUNTIF('07_Pallet_Contents'!$A$2:$A$3000,$A2)&gt;0,"Yes",""))</f>
        <v/>
      </c>
    </row>
    <row r="2896">
      <c r="W2896">
        <f>IF($A2="","",COUNTIF('07_Pallet_Contents'!$A$2:$A$3000,$A2))</f>
        <v/>
      </c>
      <c r="X2896">
        <f>IF($A2="","",SUMIF('07_Pallet_Contents'!$A$2:$A$3000,$A2,'07_Pallet_Contents'!$D$2:$D$3000))</f>
        <v/>
      </c>
      <c r="Y2896">
        <f>IF($A2="","",SUMIF('07_Pallet_Contents'!$A$2:$A$3000,$A2,'07_Pallet_Contents'!$I$2:$I$3000))</f>
        <v/>
      </c>
      <c r="Z2896">
        <f>IF($A2="","",IF(COUNTIF('07_Pallet_Contents'!$A$2:$A$3000,$A2)&gt;0,"Yes",""))</f>
        <v/>
      </c>
    </row>
    <row r="2897">
      <c r="W2897">
        <f>IF($A2="","",COUNTIF('07_Pallet_Contents'!$A$2:$A$3000,$A2))</f>
        <v/>
      </c>
      <c r="X2897">
        <f>IF($A2="","",SUMIF('07_Pallet_Contents'!$A$2:$A$3000,$A2,'07_Pallet_Contents'!$D$2:$D$3000))</f>
        <v/>
      </c>
      <c r="Y2897">
        <f>IF($A2="","",SUMIF('07_Pallet_Contents'!$A$2:$A$3000,$A2,'07_Pallet_Contents'!$I$2:$I$3000))</f>
        <v/>
      </c>
      <c r="Z2897">
        <f>IF($A2="","",IF(COUNTIF('07_Pallet_Contents'!$A$2:$A$3000,$A2)&gt;0,"Yes",""))</f>
        <v/>
      </c>
    </row>
    <row r="2898">
      <c r="W2898">
        <f>IF($A2="","",COUNTIF('07_Pallet_Contents'!$A$2:$A$3000,$A2))</f>
        <v/>
      </c>
      <c r="X2898">
        <f>IF($A2="","",SUMIF('07_Pallet_Contents'!$A$2:$A$3000,$A2,'07_Pallet_Contents'!$D$2:$D$3000))</f>
        <v/>
      </c>
      <c r="Y2898">
        <f>IF($A2="","",SUMIF('07_Pallet_Contents'!$A$2:$A$3000,$A2,'07_Pallet_Contents'!$I$2:$I$3000))</f>
        <v/>
      </c>
      <c r="Z2898">
        <f>IF($A2="","",IF(COUNTIF('07_Pallet_Contents'!$A$2:$A$3000,$A2)&gt;0,"Yes",""))</f>
        <v/>
      </c>
    </row>
    <row r="2899">
      <c r="W2899">
        <f>IF($A2="","",COUNTIF('07_Pallet_Contents'!$A$2:$A$3000,$A2))</f>
        <v/>
      </c>
      <c r="X2899">
        <f>IF($A2="","",SUMIF('07_Pallet_Contents'!$A$2:$A$3000,$A2,'07_Pallet_Contents'!$D$2:$D$3000))</f>
        <v/>
      </c>
      <c r="Y2899">
        <f>IF($A2="","",SUMIF('07_Pallet_Contents'!$A$2:$A$3000,$A2,'07_Pallet_Contents'!$I$2:$I$3000))</f>
        <v/>
      </c>
      <c r="Z2899">
        <f>IF($A2="","",IF(COUNTIF('07_Pallet_Contents'!$A$2:$A$3000,$A2)&gt;0,"Yes",""))</f>
        <v/>
      </c>
    </row>
    <row r="2900">
      <c r="W2900">
        <f>IF($A2="","",COUNTIF('07_Pallet_Contents'!$A$2:$A$3000,$A2))</f>
        <v/>
      </c>
      <c r="X2900">
        <f>IF($A2="","",SUMIF('07_Pallet_Contents'!$A$2:$A$3000,$A2,'07_Pallet_Contents'!$D$2:$D$3000))</f>
        <v/>
      </c>
      <c r="Y2900">
        <f>IF($A2="","",SUMIF('07_Pallet_Contents'!$A$2:$A$3000,$A2,'07_Pallet_Contents'!$I$2:$I$3000))</f>
        <v/>
      </c>
      <c r="Z2900">
        <f>IF($A2="","",IF(COUNTIF('07_Pallet_Contents'!$A$2:$A$3000,$A2)&gt;0,"Yes",""))</f>
        <v/>
      </c>
    </row>
    <row r="2901">
      <c r="W2901">
        <f>IF($A2="","",COUNTIF('07_Pallet_Contents'!$A$2:$A$3000,$A2))</f>
        <v/>
      </c>
      <c r="X2901">
        <f>IF($A2="","",SUMIF('07_Pallet_Contents'!$A$2:$A$3000,$A2,'07_Pallet_Contents'!$D$2:$D$3000))</f>
        <v/>
      </c>
      <c r="Y2901">
        <f>IF($A2="","",SUMIF('07_Pallet_Contents'!$A$2:$A$3000,$A2,'07_Pallet_Contents'!$I$2:$I$3000))</f>
        <v/>
      </c>
      <c r="Z2901">
        <f>IF($A2="","",IF(COUNTIF('07_Pallet_Contents'!$A$2:$A$3000,$A2)&gt;0,"Yes",""))</f>
        <v/>
      </c>
    </row>
    <row r="2902">
      <c r="W2902">
        <f>IF($A2="","",COUNTIF('07_Pallet_Contents'!$A$2:$A$3000,$A2))</f>
        <v/>
      </c>
      <c r="X2902">
        <f>IF($A2="","",SUMIF('07_Pallet_Contents'!$A$2:$A$3000,$A2,'07_Pallet_Contents'!$D$2:$D$3000))</f>
        <v/>
      </c>
      <c r="Y2902">
        <f>IF($A2="","",SUMIF('07_Pallet_Contents'!$A$2:$A$3000,$A2,'07_Pallet_Contents'!$I$2:$I$3000))</f>
        <v/>
      </c>
      <c r="Z2902">
        <f>IF($A2="","",IF(COUNTIF('07_Pallet_Contents'!$A$2:$A$3000,$A2)&gt;0,"Yes",""))</f>
        <v/>
      </c>
    </row>
    <row r="2903">
      <c r="W2903">
        <f>IF($A2="","",COUNTIF('07_Pallet_Contents'!$A$2:$A$3000,$A2))</f>
        <v/>
      </c>
      <c r="X2903">
        <f>IF($A2="","",SUMIF('07_Pallet_Contents'!$A$2:$A$3000,$A2,'07_Pallet_Contents'!$D$2:$D$3000))</f>
        <v/>
      </c>
      <c r="Y2903">
        <f>IF($A2="","",SUMIF('07_Pallet_Contents'!$A$2:$A$3000,$A2,'07_Pallet_Contents'!$I$2:$I$3000))</f>
        <v/>
      </c>
      <c r="Z2903">
        <f>IF($A2="","",IF(COUNTIF('07_Pallet_Contents'!$A$2:$A$3000,$A2)&gt;0,"Yes",""))</f>
        <v/>
      </c>
    </row>
    <row r="2904">
      <c r="W2904">
        <f>IF($A2="","",COUNTIF('07_Pallet_Contents'!$A$2:$A$3000,$A2))</f>
        <v/>
      </c>
      <c r="X2904">
        <f>IF($A2="","",SUMIF('07_Pallet_Contents'!$A$2:$A$3000,$A2,'07_Pallet_Contents'!$D$2:$D$3000))</f>
        <v/>
      </c>
      <c r="Y2904">
        <f>IF($A2="","",SUMIF('07_Pallet_Contents'!$A$2:$A$3000,$A2,'07_Pallet_Contents'!$I$2:$I$3000))</f>
        <v/>
      </c>
      <c r="Z2904">
        <f>IF($A2="","",IF(COUNTIF('07_Pallet_Contents'!$A$2:$A$3000,$A2)&gt;0,"Yes",""))</f>
        <v/>
      </c>
    </row>
    <row r="2905">
      <c r="W2905">
        <f>IF($A2="","",COUNTIF('07_Pallet_Contents'!$A$2:$A$3000,$A2))</f>
        <v/>
      </c>
      <c r="X2905">
        <f>IF($A2="","",SUMIF('07_Pallet_Contents'!$A$2:$A$3000,$A2,'07_Pallet_Contents'!$D$2:$D$3000))</f>
        <v/>
      </c>
      <c r="Y2905">
        <f>IF($A2="","",SUMIF('07_Pallet_Contents'!$A$2:$A$3000,$A2,'07_Pallet_Contents'!$I$2:$I$3000))</f>
        <v/>
      </c>
      <c r="Z2905">
        <f>IF($A2="","",IF(COUNTIF('07_Pallet_Contents'!$A$2:$A$3000,$A2)&gt;0,"Yes",""))</f>
        <v/>
      </c>
    </row>
    <row r="2906">
      <c r="W2906">
        <f>IF($A2="","",COUNTIF('07_Pallet_Contents'!$A$2:$A$3000,$A2))</f>
        <v/>
      </c>
      <c r="X2906">
        <f>IF($A2="","",SUMIF('07_Pallet_Contents'!$A$2:$A$3000,$A2,'07_Pallet_Contents'!$D$2:$D$3000))</f>
        <v/>
      </c>
      <c r="Y2906">
        <f>IF($A2="","",SUMIF('07_Pallet_Contents'!$A$2:$A$3000,$A2,'07_Pallet_Contents'!$I$2:$I$3000))</f>
        <v/>
      </c>
      <c r="Z2906">
        <f>IF($A2="","",IF(COUNTIF('07_Pallet_Contents'!$A$2:$A$3000,$A2)&gt;0,"Yes",""))</f>
        <v/>
      </c>
    </row>
    <row r="2907">
      <c r="W2907">
        <f>IF($A2="","",COUNTIF('07_Pallet_Contents'!$A$2:$A$3000,$A2))</f>
        <v/>
      </c>
      <c r="X2907">
        <f>IF($A2="","",SUMIF('07_Pallet_Contents'!$A$2:$A$3000,$A2,'07_Pallet_Contents'!$D$2:$D$3000))</f>
        <v/>
      </c>
      <c r="Y2907">
        <f>IF($A2="","",SUMIF('07_Pallet_Contents'!$A$2:$A$3000,$A2,'07_Pallet_Contents'!$I$2:$I$3000))</f>
        <v/>
      </c>
      <c r="Z2907">
        <f>IF($A2="","",IF(COUNTIF('07_Pallet_Contents'!$A$2:$A$3000,$A2)&gt;0,"Yes",""))</f>
        <v/>
      </c>
    </row>
    <row r="2908">
      <c r="W2908">
        <f>IF($A2="","",COUNTIF('07_Pallet_Contents'!$A$2:$A$3000,$A2))</f>
        <v/>
      </c>
      <c r="X2908">
        <f>IF($A2="","",SUMIF('07_Pallet_Contents'!$A$2:$A$3000,$A2,'07_Pallet_Contents'!$D$2:$D$3000))</f>
        <v/>
      </c>
      <c r="Y2908">
        <f>IF($A2="","",SUMIF('07_Pallet_Contents'!$A$2:$A$3000,$A2,'07_Pallet_Contents'!$I$2:$I$3000))</f>
        <v/>
      </c>
      <c r="Z2908">
        <f>IF($A2="","",IF(COUNTIF('07_Pallet_Contents'!$A$2:$A$3000,$A2)&gt;0,"Yes",""))</f>
        <v/>
      </c>
    </row>
    <row r="2909">
      <c r="W2909">
        <f>IF($A2="","",COUNTIF('07_Pallet_Contents'!$A$2:$A$3000,$A2))</f>
        <v/>
      </c>
      <c r="X2909">
        <f>IF($A2="","",SUMIF('07_Pallet_Contents'!$A$2:$A$3000,$A2,'07_Pallet_Contents'!$D$2:$D$3000))</f>
        <v/>
      </c>
      <c r="Y2909">
        <f>IF($A2="","",SUMIF('07_Pallet_Contents'!$A$2:$A$3000,$A2,'07_Pallet_Contents'!$I$2:$I$3000))</f>
        <v/>
      </c>
      <c r="Z2909">
        <f>IF($A2="","",IF(COUNTIF('07_Pallet_Contents'!$A$2:$A$3000,$A2)&gt;0,"Yes",""))</f>
        <v/>
      </c>
    </row>
    <row r="2910">
      <c r="W2910">
        <f>IF($A2="","",COUNTIF('07_Pallet_Contents'!$A$2:$A$3000,$A2))</f>
        <v/>
      </c>
      <c r="X2910">
        <f>IF($A2="","",SUMIF('07_Pallet_Contents'!$A$2:$A$3000,$A2,'07_Pallet_Contents'!$D$2:$D$3000))</f>
        <v/>
      </c>
      <c r="Y2910">
        <f>IF($A2="","",SUMIF('07_Pallet_Contents'!$A$2:$A$3000,$A2,'07_Pallet_Contents'!$I$2:$I$3000))</f>
        <v/>
      </c>
      <c r="Z2910">
        <f>IF($A2="","",IF(COUNTIF('07_Pallet_Contents'!$A$2:$A$3000,$A2)&gt;0,"Yes",""))</f>
        <v/>
      </c>
    </row>
    <row r="2911">
      <c r="W2911">
        <f>IF($A2="","",COUNTIF('07_Pallet_Contents'!$A$2:$A$3000,$A2))</f>
        <v/>
      </c>
      <c r="X2911">
        <f>IF($A2="","",SUMIF('07_Pallet_Contents'!$A$2:$A$3000,$A2,'07_Pallet_Contents'!$D$2:$D$3000))</f>
        <v/>
      </c>
      <c r="Y2911">
        <f>IF($A2="","",SUMIF('07_Pallet_Contents'!$A$2:$A$3000,$A2,'07_Pallet_Contents'!$I$2:$I$3000))</f>
        <v/>
      </c>
      <c r="Z2911">
        <f>IF($A2="","",IF(COUNTIF('07_Pallet_Contents'!$A$2:$A$3000,$A2)&gt;0,"Yes",""))</f>
        <v/>
      </c>
    </row>
    <row r="2912">
      <c r="W2912">
        <f>IF($A2="","",COUNTIF('07_Pallet_Contents'!$A$2:$A$3000,$A2))</f>
        <v/>
      </c>
      <c r="X2912">
        <f>IF($A2="","",SUMIF('07_Pallet_Contents'!$A$2:$A$3000,$A2,'07_Pallet_Contents'!$D$2:$D$3000))</f>
        <v/>
      </c>
      <c r="Y2912">
        <f>IF($A2="","",SUMIF('07_Pallet_Contents'!$A$2:$A$3000,$A2,'07_Pallet_Contents'!$I$2:$I$3000))</f>
        <v/>
      </c>
      <c r="Z2912">
        <f>IF($A2="","",IF(COUNTIF('07_Pallet_Contents'!$A$2:$A$3000,$A2)&gt;0,"Yes",""))</f>
        <v/>
      </c>
    </row>
    <row r="2913">
      <c r="W2913">
        <f>IF($A2="","",COUNTIF('07_Pallet_Contents'!$A$2:$A$3000,$A2))</f>
        <v/>
      </c>
      <c r="X2913">
        <f>IF($A2="","",SUMIF('07_Pallet_Contents'!$A$2:$A$3000,$A2,'07_Pallet_Contents'!$D$2:$D$3000))</f>
        <v/>
      </c>
      <c r="Y2913">
        <f>IF($A2="","",SUMIF('07_Pallet_Contents'!$A$2:$A$3000,$A2,'07_Pallet_Contents'!$I$2:$I$3000))</f>
        <v/>
      </c>
      <c r="Z2913">
        <f>IF($A2="","",IF(COUNTIF('07_Pallet_Contents'!$A$2:$A$3000,$A2)&gt;0,"Yes",""))</f>
        <v/>
      </c>
    </row>
    <row r="2914">
      <c r="W2914">
        <f>IF($A2="","",COUNTIF('07_Pallet_Contents'!$A$2:$A$3000,$A2))</f>
        <v/>
      </c>
      <c r="X2914">
        <f>IF($A2="","",SUMIF('07_Pallet_Contents'!$A$2:$A$3000,$A2,'07_Pallet_Contents'!$D$2:$D$3000))</f>
        <v/>
      </c>
      <c r="Y2914">
        <f>IF($A2="","",SUMIF('07_Pallet_Contents'!$A$2:$A$3000,$A2,'07_Pallet_Contents'!$I$2:$I$3000))</f>
        <v/>
      </c>
      <c r="Z2914">
        <f>IF($A2="","",IF(COUNTIF('07_Pallet_Contents'!$A$2:$A$3000,$A2)&gt;0,"Yes",""))</f>
        <v/>
      </c>
    </row>
    <row r="2915">
      <c r="W2915">
        <f>IF($A2="","",COUNTIF('07_Pallet_Contents'!$A$2:$A$3000,$A2))</f>
        <v/>
      </c>
      <c r="X2915">
        <f>IF($A2="","",SUMIF('07_Pallet_Contents'!$A$2:$A$3000,$A2,'07_Pallet_Contents'!$D$2:$D$3000))</f>
        <v/>
      </c>
      <c r="Y2915">
        <f>IF($A2="","",SUMIF('07_Pallet_Contents'!$A$2:$A$3000,$A2,'07_Pallet_Contents'!$I$2:$I$3000))</f>
        <v/>
      </c>
      <c r="Z2915">
        <f>IF($A2="","",IF(COUNTIF('07_Pallet_Contents'!$A$2:$A$3000,$A2)&gt;0,"Yes",""))</f>
        <v/>
      </c>
    </row>
    <row r="2916">
      <c r="W2916">
        <f>IF($A2="","",COUNTIF('07_Pallet_Contents'!$A$2:$A$3000,$A2))</f>
        <v/>
      </c>
      <c r="X2916">
        <f>IF($A2="","",SUMIF('07_Pallet_Contents'!$A$2:$A$3000,$A2,'07_Pallet_Contents'!$D$2:$D$3000))</f>
        <v/>
      </c>
      <c r="Y2916">
        <f>IF($A2="","",SUMIF('07_Pallet_Contents'!$A$2:$A$3000,$A2,'07_Pallet_Contents'!$I$2:$I$3000))</f>
        <v/>
      </c>
      <c r="Z2916">
        <f>IF($A2="","",IF(COUNTIF('07_Pallet_Contents'!$A$2:$A$3000,$A2)&gt;0,"Yes",""))</f>
        <v/>
      </c>
    </row>
    <row r="2917">
      <c r="W2917">
        <f>IF($A2="","",COUNTIF('07_Pallet_Contents'!$A$2:$A$3000,$A2))</f>
        <v/>
      </c>
      <c r="X2917">
        <f>IF($A2="","",SUMIF('07_Pallet_Contents'!$A$2:$A$3000,$A2,'07_Pallet_Contents'!$D$2:$D$3000))</f>
        <v/>
      </c>
      <c r="Y2917">
        <f>IF($A2="","",SUMIF('07_Pallet_Contents'!$A$2:$A$3000,$A2,'07_Pallet_Contents'!$I$2:$I$3000))</f>
        <v/>
      </c>
      <c r="Z2917">
        <f>IF($A2="","",IF(COUNTIF('07_Pallet_Contents'!$A$2:$A$3000,$A2)&gt;0,"Yes",""))</f>
        <v/>
      </c>
    </row>
    <row r="2918">
      <c r="W2918">
        <f>IF($A2="","",COUNTIF('07_Pallet_Contents'!$A$2:$A$3000,$A2))</f>
        <v/>
      </c>
      <c r="X2918">
        <f>IF($A2="","",SUMIF('07_Pallet_Contents'!$A$2:$A$3000,$A2,'07_Pallet_Contents'!$D$2:$D$3000))</f>
        <v/>
      </c>
      <c r="Y2918">
        <f>IF($A2="","",SUMIF('07_Pallet_Contents'!$A$2:$A$3000,$A2,'07_Pallet_Contents'!$I$2:$I$3000))</f>
        <v/>
      </c>
      <c r="Z2918">
        <f>IF($A2="","",IF(COUNTIF('07_Pallet_Contents'!$A$2:$A$3000,$A2)&gt;0,"Yes",""))</f>
        <v/>
      </c>
    </row>
    <row r="2919">
      <c r="W2919">
        <f>IF($A2="","",COUNTIF('07_Pallet_Contents'!$A$2:$A$3000,$A2))</f>
        <v/>
      </c>
      <c r="X2919">
        <f>IF($A2="","",SUMIF('07_Pallet_Contents'!$A$2:$A$3000,$A2,'07_Pallet_Contents'!$D$2:$D$3000))</f>
        <v/>
      </c>
      <c r="Y2919">
        <f>IF($A2="","",SUMIF('07_Pallet_Contents'!$A$2:$A$3000,$A2,'07_Pallet_Contents'!$I$2:$I$3000))</f>
        <v/>
      </c>
      <c r="Z2919">
        <f>IF($A2="","",IF(COUNTIF('07_Pallet_Contents'!$A$2:$A$3000,$A2)&gt;0,"Yes",""))</f>
        <v/>
      </c>
    </row>
    <row r="2920">
      <c r="W2920">
        <f>IF($A2="","",COUNTIF('07_Pallet_Contents'!$A$2:$A$3000,$A2))</f>
        <v/>
      </c>
      <c r="X2920">
        <f>IF($A2="","",SUMIF('07_Pallet_Contents'!$A$2:$A$3000,$A2,'07_Pallet_Contents'!$D$2:$D$3000))</f>
        <v/>
      </c>
      <c r="Y2920">
        <f>IF($A2="","",SUMIF('07_Pallet_Contents'!$A$2:$A$3000,$A2,'07_Pallet_Contents'!$I$2:$I$3000))</f>
        <v/>
      </c>
      <c r="Z2920">
        <f>IF($A2="","",IF(COUNTIF('07_Pallet_Contents'!$A$2:$A$3000,$A2)&gt;0,"Yes",""))</f>
        <v/>
      </c>
    </row>
    <row r="2921">
      <c r="W2921">
        <f>IF($A2="","",COUNTIF('07_Pallet_Contents'!$A$2:$A$3000,$A2))</f>
        <v/>
      </c>
      <c r="X2921">
        <f>IF($A2="","",SUMIF('07_Pallet_Contents'!$A$2:$A$3000,$A2,'07_Pallet_Contents'!$D$2:$D$3000))</f>
        <v/>
      </c>
      <c r="Y2921">
        <f>IF($A2="","",SUMIF('07_Pallet_Contents'!$A$2:$A$3000,$A2,'07_Pallet_Contents'!$I$2:$I$3000))</f>
        <v/>
      </c>
      <c r="Z2921">
        <f>IF($A2="","",IF(COUNTIF('07_Pallet_Contents'!$A$2:$A$3000,$A2)&gt;0,"Yes",""))</f>
        <v/>
      </c>
    </row>
    <row r="2922">
      <c r="W2922">
        <f>IF($A2="","",COUNTIF('07_Pallet_Contents'!$A$2:$A$3000,$A2))</f>
        <v/>
      </c>
      <c r="X2922">
        <f>IF($A2="","",SUMIF('07_Pallet_Contents'!$A$2:$A$3000,$A2,'07_Pallet_Contents'!$D$2:$D$3000))</f>
        <v/>
      </c>
      <c r="Y2922">
        <f>IF($A2="","",SUMIF('07_Pallet_Contents'!$A$2:$A$3000,$A2,'07_Pallet_Contents'!$I$2:$I$3000))</f>
        <v/>
      </c>
      <c r="Z2922">
        <f>IF($A2="","",IF(COUNTIF('07_Pallet_Contents'!$A$2:$A$3000,$A2)&gt;0,"Yes",""))</f>
        <v/>
      </c>
    </row>
    <row r="2923">
      <c r="W2923">
        <f>IF($A2="","",COUNTIF('07_Pallet_Contents'!$A$2:$A$3000,$A2))</f>
        <v/>
      </c>
      <c r="X2923">
        <f>IF($A2="","",SUMIF('07_Pallet_Contents'!$A$2:$A$3000,$A2,'07_Pallet_Contents'!$D$2:$D$3000))</f>
        <v/>
      </c>
      <c r="Y2923">
        <f>IF($A2="","",SUMIF('07_Pallet_Contents'!$A$2:$A$3000,$A2,'07_Pallet_Contents'!$I$2:$I$3000))</f>
        <v/>
      </c>
      <c r="Z2923">
        <f>IF($A2="","",IF(COUNTIF('07_Pallet_Contents'!$A$2:$A$3000,$A2)&gt;0,"Yes",""))</f>
        <v/>
      </c>
    </row>
    <row r="2924">
      <c r="W2924">
        <f>IF($A2="","",COUNTIF('07_Pallet_Contents'!$A$2:$A$3000,$A2))</f>
        <v/>
      </c>
      <c r="X2924">
        <f>IF($A2="","",SUMIF('07_Pallet_Contents'!$A$2:$A$3000,$A2,'07_Pallet_Contents'!$D$2:$D$3000))</f>
        <v/>
      </c>
      <c r="Y2924">
        <f>IF($A2="","",SUMIF('07_Pallet_Contents'!$A$2:$A$3000,$A2,'07_Pallet_Contents'!$I$2:$I$3000))</f>
        <v/>
      </c>
      <c r="Z2924">
        <f>IF($A2="","",IF(COUNTIF('07_Pallet_Contents'!$A$2:$A$3000,$A2)&gt;0,"Yes",""))</f>
        <v/>
      </c>
    </row>
    <row r="2925">
      <c r="W2925">
        <f>IF($A2="","",COUNTIF('07_Pallet_Contents'!$A$2:$A$3000,$A2))</f>
        <v/>
      </c>
      <c r="X2925">
        <f>IF($A2="","",SUMIF('07_Pallet_Contents'!$A$2:$A$3000,$A2,'07_Pallet_Contents'!$D$2:$D$3000))</f>
        <v/>
      </c>
      <c r="Y2925">
        <f>IF($A2="","",SUMIF('07_Pallet_Contents'!$A$2:$A$3000,$A2,'07_Pallet_Contents'!$I$2:$I$3000))</f>
        <v/>
      </c>
      <c r="Z2925">
        <f>IF($A2="","",IF(COUNTIF('07_Pallet_Contents'!$A$2:$A$3000,$A2)&gt;0,"Yes",""))</f>
        <v/>
      </c>
    </row>
    <row r="2926">
      <c r="W2926">
        <f>IF($A2="","",COUNTIF('07_Pallet_Contents'!$A$2:$A$3000,$A2))</f>
        <v/>
      </c>
      <c r="X2926">
        <f>IF($A2="","",SUMIF('07_Pallet_Contents'!$A$2:$A$3000,$A2,'07_Pallet_Contents'!$D$2:$D$3000))</f>
        <v/>
      </c>
      <c r="Y2926">
        <f>IF($A2="","",SUMIF('07_Pallet_Contents'!$A$2:$A$3000,$A2,'07_Pallet_Contents'!$I$2:$I$3000))</f>
        <v/>
      </c>
      <c r="Z2926">
        <f>IF($A2="","",IF(COUNTIF('07_Pallet_Contents'!$A$2:$A$3000,$A2)&gt;0,"Yes",""))</f>
        <v/>
      </c>
    </row>
    <row r="2927">
      <c r="W2927">
        <f>IF($A2="","",COUNTIF('07_Pallet_Contents'!$A$2:$A$3000,$A2))</f>
        <v/>
      </c>
      <c r="X2927">
        <f>IF($A2="","",SUMIF('07_Pallet_Contents'!$A$2:$A$3000,$A2,'07_Pallet_Contents'!$D$2:$D$3000))</f>
        <v/>
      </c>
      <c r="Y2927">
        <f>IF($A2="","",SUMIF('07_Pallet_Contents'!$A$2:$A$3000,$A2,'07_Pallet_Contents'!$I$2:$I$3000))</f>
        <v/>
      </c>
      <c r="Z2927">
        <f>IF($A2="","",IF(COUNTIF('07_Pallet_Contents'!$A$2:$A$3000,$A2)&gt;0,"Yes",""))</f>
        <v/>
      </c>
    </row>
    <row r="2928">
      <c r="W2928">
        <f>IF($A2="","",COUNTIF('07_Pallet_Contents'!$A$2:$A$3000,$A2))</f>
        <v/>
      </c>
      <c r="X2928">
        <f>IF($A2="","",SUMIF('07_Pallet_Contents'!$A$2:$A$3000,$A2,'07_Pallet_Contents'!$D$2:$D$3000))</f>
        <v/>
      </c>
      <c r="Y2928">
        <f>IF($A2="","",SUMIF('07_Pallet_Contents'!$A$2:$A$3000,$A2,'07_Pallet_Contents'!$I$2:$I$3000))</f>
        <v/>
      </c>
      <c r="Z2928">
        <f>IF($A2="","",IF(COUNTIF('07_Pallet_Contents'!$A$2:$A$3000,$A2)&gt;0,"Yes",""))</f>
        <v/>
      </c>
    </row>
    <row r="2929">
      <c r="W2929">
        <f>IF($A2="","",COUNTIF('07_Pallet_Contents'!$A$2:$A$3000,$A2))</f>
        <v/>
      </c>
      <c r="X2929">
        <f>IF($A2="","",SUMIF('07_Pallet_Contents'!$A$2:$A$3000,$A2,'07_Pallet_Contents'!$D$2:$D$3000))</f>
        <v/>
      </c>
      <c r="Y2929">
        <f>IF($A2="","",SUMIF('07_Pallet_Contents'!$A$2:$A$3000,$A2,'07_Pallet_Contents'!$I$2:$I$3000))</f>
        <v/>
      </c>
      <c r="Z2929">
        <f>IF($A2="","",IF(COUNTIF('07_Pallet_Contents'!$A$2:$A$3000,$A2)&gt;0,"Yes",""))</f>
        <v/>
      </c>
    </row>
    <row r="2930">
      <c r="W2930">
        <f>IF($A2="","",COUNTIF('07_Pallet_Contents'!$A$2:$A$3000,$A2))</f>
        <v/>
      </c>
      <c r="X2930">
        <f>IF($A2="","",SUMIF('07_Pallet_Contents'!$A$2:$A$3000,$A2,'07_Pallet_Contents'!$D$2:$D$3000))</f>
        <v/>
      </c>
      <c r="Y2930">
        <f>IF($A2="","",SUMIF('07_Pallet_Contents'!$A$2:$A$3000,$A2,'07_Pallet_Contents'!$I$2:$I$3000))</f>
        <v/>
      </c>
      <c r="Z2930">
        <f>IF($A2="","",IF(COUNTIF('07_Pallet_Contents'!$A$2:$A$3000,$A2)&gt;0,"Yes",""))</f>
        <v/>
      </c>
    </row>
    <row r="2931">
      <c r="W2931">
        <f>IF($A2="","",COUNTIF('07_Pallet_Contents'!$A$2:$A$3000,$A2))</f>
        <v/>
      </c>
      <c r="X2931">
        <f>IF($A2="","",SUMIF('07_Pallet_Contents'!$A$2:$A$3000,$A2,'07_Pallet_Contents'!$D$2:$D$3000))</f>
        <v/>
      </c>
      <c r="Y2931">
        <f>IF($A2="","",SUMIF('07_Pallet_Contents'!$A$2:$A$3000,$A2,'07_Pallet_Contents'!$I$2:$I$3000))</f>
        <v/>
      </c>
      <c r="Z2931">
        <f>IF($A2="","",IF(COUNTIF('07_Pallet_Contents'!$A$2:$A$3000,$A2)&gt;0,"Yes",""))</f>
        <v/>
      </c>
    </row>
    <row r="2932">
      <c r="W2932">
        <f>IF($A2="","",COUNTIF('07_Pallet_Contents'!$A$2:$A$3000,$A2))</f>
        <v/>
      </c>
      <c r="X2932">
        <f>IF($A2="","",SUMIF('07_Pallet_Contents'!$A$2:$A$3000,$A2,'07_Pallet_Contents'!$D$2:$D$3000))</f>
        <v/>
      </c>
      <c r="Y2932">
        <f>IF($A2="","",SUMIF('07_Pallet_Contents'!$A$2:$A$3000,$A2,'07_Pallet_Contents'!$I$2:$I$3000))</f>
        <v/>
      </c>
      <c r="Z2932">
        <f>IF($A2="","",IF(COUNTIF('07_Pallet_Contents'!$A$2:$A$3000,$A2)&gt;0,"Yes",""))</f>
        <v/>
      </c>
    </row>
    <row r="2933">
      <c r="W2933">
        <f>IF($A2="","",COUNTIF('07_Pallet_Contents'!$A$2:$A$3000,$A2))</f>
        <v/>
      </c>
      <c r="X2933">
        <f>IF($A2="","",SUMIF('07_Pallet_Contents'!$A$2:$A$3000,$A2,'07_Pallet_Contents'!$D$2:$D$3000))</f>
        <v/>
      </c>
      <c r="Y2933">
        <f>IF($A2="","",SUMIF('07_Pallet_Contents'!$A$2:$A$3000,$A2,'07_Pallet_Contents'!$I$2:$I$3000))</f>
        <v/>
      </c>
      <c r="Z2933">
        <f>IF($A2="","",IF(COUNTIF('07_Pallet_Contents'!$A$2:$A$3000,$A2)&gt;0,"Yes",""))</f>
        <v/>
      </c>
    </row>
    <row r="2934">
      <c r="W2934">
        <f>IF($A2="","",COUNTIF('07_Pallet_Contents'!$A$2:$A$3000,$A2))</f>
        <v/>
      </c>
      <c r="X2934">
        <f>IF($A2="","",SUMIF('07_Pallet_Contents'!$A$2:$A$3000,$A2,'07_Pallet_Contents'!$D$2:$D$3000))</f>
        <v/>
      </c>
      <c r="Y2934">
        <f>IF($A2="","",SUMIF('07_Pallet_Contents'!$A$2:$A$3000,$A2,'07_Pallet_Contents'!$I$2:$I$3000))</f>
        <v/>
      </c>
      <c r="Z2934">
        <f>IF($A2="","",IF(COUNTIF('07_Pallet_Contents'!$A$2:$A$3000,$A2)&gt;0,"Yes",""))</f>
        <v/>
      </c>
    </row>
    <row r="2935">
      <c r="W2935">
        <f>IF($A2="","",COUNTIF('07_Pallet_Contents'!$A$2:$A$3000,$A2))</f>
        <v/>
      </c>
      <c r="X2935">
        <f>IF($A2="","",SUMIF('07_Pallet_Contents'!$A$2:$A$3000,$A2,'07_Pallet_Contents'!$D$2:$D$3000))</f>
        <v/>
      </c>
      <c r="Y2935">
        <f>IF($A2="","",SUMIF('07_Pallet_Contents'!$A$2:$A$3000,$A2,'07_Pallet_Contents'!$I$2:$I$3000))</f>
        <v/>
      </c>
      <c r="Z2935">
        <f>IF($A2="","",IF(COUNTIF('07_Pallet_Contents'!$A$2:$A$3000,$A2)&gt;0,"Yes",""))</f>
        <v/>
      </c>
    </row>
    <row r="2936">
      <c r="W2936">
        <f>IF($A2="","",COUNTIF('07_Pallet_Contents'!$A$2:$A$3000,$A2))</f>
        <v/>
      </c>
      <c r="X2936">
        <f>IF($A2="","",SUMIF('07_Pallet_Contents'!$A$2:$A$3000,$A2,'07_Pallet_Contents'!$D$2:$D$3000))</f>
        <v/>
      </c>
      <c r="Y2936">
        <f>IF($A2="","",SUMIF('07_Pallet_Contents'!$A$2:$A$3000,$A2,'07_Pallet_Contents'!$I$2:$I$3000))</f>
        <v/>
      </c>
      <c r="Z2936">
        <f>IF($A2="","",IF(COUNTIF('07_Pallet_Contents'!$A$2:$A$3000,$A2)&gt;0,"Yes",""))</f>
        <v/>
      </c>
    </row>
    <row r="2937">
      <c r="W2937">
        <f>IF($A2="","",COUNTIF('07_Pallet_Contents'!$A$2:$A$3000,$A2))</f>
        <v/>
      </c>
      <c r="X2937">
        <f>IF($A2="","",SUMIF('07_Pallet_Contents'!$A$2:$A$3000,$A2,'07_Pallet_Contents'!$D$2:$D$3000))</f>
        <v/>
      </c>
      <c r="Y2937">
        <f>IF($A2="","",SUMIF('07_Pallet_Contents'!$A$2:$A$3000,$A2,'07_Pallet_Contents'!$I$2:$I$3000))</f>
        <v/>
      </c>
      <c r="Z2937">
        <f>IF($A2="","",IF(COUNTIF('07_Pallet_Contents'!$A$2:$A$3000,$A2)&gt;0,"Yes",""))</f>
        <v/>
      </c>
    </row>
    <row r="2938">
      <c r="W2938">
        <f>IF($A2="","",COUNTIF('07_Pallet_Contents'!$A$2:$A$3000,$A2))</f>
        <v/>
      </c>
      <c r="X2938">
        <f>IF($A2="","",SUMIF('07_Pallet_Contents'!$A$2:$A$3000,$A2,'07_Pallet_Contents'!$D$2:$D$3000))</f>
        <v/>
      </c>
      <c r="Y2938">
        <f>IF($A2="","",SUMIF('07_Pallet_Contents'!$A$2:$A$3000,$A2,'07_Pallet_Contents'!$I$2:$I$3000))</f>
        <v/>
      </c>
      <c r="Z2938">
        <f>IF($A2="","",IF(COUNTIF('07_Pallet_Contents'!$A$2:$A$3000,$A2)&gt;0,"Yes",""))</f>
        <v/>
      </c>
    </row>
    <row r="2939">
      <c r="W2939">
        <f>IF($A2="","",COUNTIF('07_Pallet_Contents'!$A$2:$A$3000,$A2))</f>
        <v/>
      </c>
      <c r="X2939">
        <f>IF($A2="","",SUMIF('07_Pallet_Contents'!$A$2:$A$3000,$A2,'07_Pallet_Contents'!$D$2:$D$3000))</f>
        <v/>
      </c>
      <c r="Y2939">
        <f>IF($A2="","",SUMIF('07_Pallet_Contents'!$A$2:$A$3000,$A2,'07_Pallet_Contents'!$I$2:$I$3000))</f>
        <v/>
      </c>
      <c r="Z2939">
        <f>IF($A2="","",IF(COUNTIF('07_Pallet_Contents'!$A$2:$A$3000,$A2)&gt;0,"Yes",""))</f>
        <v/>
      </c>
    </row>
    <row r="2940">
      <c r="W2940">
        <f>IF($A2="","",COUNTIF('07_Pallet_Contents'!$A$2:$A$3000,$A2))</f>
        <v/>
      </c>
      <c r="X2940">
        <f>IF($A2="","",SUMIF('07_Pallet_Contents'!$A$2:$A$3000,$A2,'07_Pallet_Contents'!$D$2:$D$3000))</f>
        <v/>
      </c>
      <c r="Y2940">
        <f>IF($A2="","",SUMIF('07_Pallet_Contents'!$A$2:$A$3000,$A2,'07_Pallet_Contents'!$I$2:$I$3000))</f>
        <v/>
      </c>
      <c r="Z2940">
        <f>IF($A2="","",IF(COUNTIF('07_Pallet_Contents'!$A$2:$A$3000,$A2)&gt;0,"Yes",""))</f>
        <v/>
      </c>
    </row>
    <row r="2941">
      <c r="W2941">
        <f>IF($A2="","",COUNTIF('07_Pallet_Contents'!$A$2:$A$3000,$A2))</f>
        <v/>
      </c>
      <c r="X2941">
        <f>IF($A2="","",SUMIF('07_Pallet_Contents'!$A$2:$A$3000,$A2,'07_Pallet_Contents'!$D$2:$D$3000))</f>
        <v/>
      </c>
      <c r="Y2941">
        <f>IF($A2="","",SUMIF('07_Pallet_Contents'!$A$2:$A$3000,$A2,'07_Pallet_Contents'!$I$2:$I$3000))</f>
        <v/>
      </c>
      <c r="Z2941">
        <f>IF($A2="","",IF(COUNTIF('07_Pallet_Contents'!$A$2:$A$3000,$A2)&gt;0,"Yes",""))</f>
        <v/>
      </c>
    </row>
    <row r="2942">
      <c r="W2942">
        <f>IF($A2="","",COUNTIF('07_Pallet_Contents'!$A$2:$A$3000,$A2))</f>
        <v/>
      </c>
      <c r="X2942">
        <f>IF($A2="","",SUMIF('07_Pallet_Contents'!$A$2:$A$3000,$A2,'07_Pallet_Contents'!$D$2:$D$3000))</f>
        <v/>
      </c>
      <c r="Y2942">
        <f>IF($A2="","",SUMIF('07_Pallet_Contents'!$A$2:$A$3000,$A2,'07_Pallet_Contents'!$I$2:$I$3000))</f>
        <v/>
      </c>
      <c r="Z2942">
        <f>IF($A2="","",IF(COUNTIF('07_Pallet_Contents'!$A$2:$A$3000,$A2)&gt;0,"Yes",""))</f>
        <v/>
      </c>
    </row>
    <row r="2943">
      <c r="W2943">
        <f>IF($A2="","",COUNTIF('07_Pallet_Contents'!$A$2:$A$3000,$A2))</f>
        <v/>
      </c>
      <c r="X2943">
        <f>IF($A2="","",SUMIF('07_Pallet_Contents'!$A$2:$A$3000,$A2,'07_Pallet_Contents'!$D$2:$D$3000))</f>
        <v/>
      </c>
      <c r="Y2943">
        <f>IF($A2="","",SUMIF('07_Pallet_Contents'!$A$2:$A$3000,$A2,'07_Pallet_Contents'!$I$2:$I$3000))</f>
        <v/>
      </c>
      <c r="Z2943">
        <f>IF($A2="","",IF(COUNTIF('07_Pallet_Contents'!$A$2:$A$3000,$A2)&gt;0,"Yes",""))</f>
        <v/>
      </c>
    </row>
    <row r="2944">
      <c r="W2944">
        <f>IF($A2="","",COUNTIF('07_Pallet_Contents'!$A$2:$A$3000,$A2))</f>
        <v/>
      </c>
      <c r="X2944">
        <f>IF($A2="","",SUMIF('07_Pallet_Contents'!$A$2:$A$3000,$A2,'07_Pallet_Contents'!$D$2:$D$3000))</f>
        <v/>
      </c>
      <c r="Y2944">
        <f>IF($A2="","",SUMIF('07_Pallet_Contents'!$A$2:$A$3000,$A2,'07_Pallet_Contents'!$I$2:$I$3000))</f>
        <v/>
      </c>
      <c r="Z2944">
        <f>IF($A2="","",IF(COUNTIF('07_Pallet_Contents'!$A$2:$A$3000,$A2)&gt;0,"Yes",""))</f>
        <v/>
      </c>
    </row>
    <row r="2945">
      <c r="W2945">
        <f>IF($A2="","",COUNTIF('07_Pallet_Contents'!$A$2:$A$3000,$A2))</f>
        <v/>
      </c>
      <c r="X2945">
        <f>IF($A2="","",SUMIF('07_Pallet_Contents'!$A$2:$A$3000,$A2,'07_Pallet_Contents'!$D$2:$D$3000))</f>
        <v/>
      </c>
      <c r="Y2945">
        <f>IF($A2="","",SUMIF('07_Pallet_Contents'!$A$2:$A$3000,$A2,'07_Pallet_Contents'!$I$2:$I$3000))</f>
        <v/>
      </c>
      <c r="Z2945">
        <f>IF($A2="","",IF(COUNTIF('07_Pallet_Contents'!$A$2:$A$3000,$A2)&gt;0,"Yes",""))</f>
        <v/>
      </c>
    </row>
    <row r="2946">
      <c r="W2946">
        <f>IF($A2="","",COUNTIF('07_Pallet_Contents'!$A$2:$A$3000,$A2))</f>
        <v/>
      </c>
      <c r="X2946">
        <f>IF($A2="","",SUMIF('07_Pallet_Contents'!$A$2:$A$3000,$A2,'07_Pallet_Contents'!$D$2:$D$3000))</f>
        <v/>
      </c>
      <c r="Y2946">
        <f>IF($A2="","",SUMIF('07_Pallet_Contents'!$A$2:$A$3000,$A2,'07_Pallet_Contents'!$I$2:$I$3000))</f>
        <v/>
      </c>
      <c r="Z2946">
        <f>IF($A2="","",IF(COUNTIF('07_Pallet_Contents'!$A$2:$A$3000,$A2)&gt;0,"Yes",""))</f>
        <v/>
      </c>
    </row>
    <row r="2947">
      <c r="W2947">
        <f>IF($A2="","",COUNTIF('07_Pallet_Contents'!$A$2:$A$3000,$A2))</f>
        <v/>
      </c>
      <c r="X2947">
        <f>IF($A2="","",SUMIF('07_Pallet_Contents'!$A$2:$A$3000,$A2,'07_Pallet_Contents'!$D$2:$D$3000))</f>
        <v/>
      </c>
      <c r="Y2947">
        <f>IF($A2="","",SUMIF('07_Pallet_Contents'!$A$2:$A$3000,$A2,'07_Pallet_Contents'!$I$2:$I$3000))</f>
        <v/>
      </c>
      <c r="Z2947">
        <f>IF($A2="","",IF(COUNTIF('07_Pallet_Contents'!$A$2:$A$3000,$A2)&gt;0,"Yes",""))</f>
        <v/>
      </c>
    </row>
    <row r="2948">
      <c r="W2948">
        <f>IF($A2="","",COUNTIF('07_Pallet_Contents'!$A$2:$A$3000,$A2))</f>
        <v/>
      </c>
      <c r="X2948">
        <f>IF($A2="","",SUMIF('07_Pallet_Contents'!$A$2:$A$3000,$A2,'07_Pallet_Contents'!$D$2:$D$3000))</f>
        <v/>
      </c>
      <c r="Y2948">
        <f>IF($A2="","",SUMIF('07_Pallet_Contents'!$A$2:$A$3000,$A2,'07_Pallet_Contents'!$I$2:$I$3000))</f>
        <v/>
      </c>
      <c r="Z2948">
        <f>IF($A2="","",IF(COUNTIF('07_Pallet_Contents'!$A$2:$A$3000,$A2)&gt;0,"Yes",""))</f>
        <v/>
      </c>
    </row>
    <row r="2949">
      <c r="W2949">
        <f>IF($A2="","",COUNTIF('07_Pallet_Contents'!$A$2:$A$3000,$A2))</f>
        <v/>
      </c>
      <c r="X2949">
        <f>IF($A2="","",SUMIF('07_Pallet_Contents'!$A$2:$A$3000,$A2,'07_Pallet_Contents'!$D$2:$D$3000))</f>
        <v/>
      </c>
      <c r="Y2949">
        <f>IF($A2="","",SUMIF('07_Pallet_Contents'!$A$2:$A$3000,$A2,'07_Pallet_Contents'!$I$2:$I$3000))</f>
        <v/>
      </c>
      <c r="Z2949">
        <f>IF($A2="","",IF(COUNTIF('07_Pallet_Contents'!$A$2:$A$3000,$A2)&gt;0,"Yes",""))</f>
        <v/>
      </c>
    </row>
    <row r="2950">
      <c r="W2950">
        <f>IF($A2="","",COUNTIF('07_Pallet_Contents'!$A$2:$A$3000,$A2))</f>
        <v/>
      </c>
      <c r="X2950">
        <f>IF($A2="","",SUMIF('07_Pallet_Contents'!$A$2:$A$3000,$A2,'07_Pallet_Contents'!$D$2:$D$3000))</f>
        <v/>
      </c>
      <c r="Y2950">
        <f>IF($A2="","",SUMIF('07_Pallet_Contents'!$A$2:$A$3000,$A2,'07_Pallet_Contents'!$I$2:$I$3000))</f>
        <v/>
      </c>
      <c r="Z2950">
        <f>IF($A2="","",IF(COUNTIF('07_Pallet_Contents'!$A$2:$A$3000,$A2)&gt;0,"Yes",""))</f>
        <v/>
      </c>
    </row>
    <row r="2951">
      <c r="W2951">
        <f>IF($A2="","",COUNTIF('07_Pallet_Contents'!$A$2:$A$3000,$A2))</f>
        <v/>
      </c>
      <c r="X2951">
        <f>IF($A2="","",SUMIF('07_Pallet_Contents'!$A$2:$A$3000,$A2,'07_Pallet_Contents'!$D$2:$D$3000))</f>
        <v/>
      </c>
      <c r="Y2951">
        <f>IF($A2="","",SUMIF('07_Pallet_Contents'!$A$2:$A$3000,$A2,'07_Pallet_Contents'!$I$2:$I$3000))</f>
        <v/>
      </c>
      <c r="Z2951">
        <f>IF($A2="","",IF(COUNTIF('07_Pallet_Contents'!$A$2:$A$3000,$A2)&gt;0,"Yes",""))</f>
        <v/>
      </c>
    </row>
    <row r="2952">
      <c r="W2952">
        <f>IF($A2="","",COUNTIF('07_Pallet_Contents'!$A$2:$A$3000,$A2))</f>
        <v/>
      </c>
      <c r="X2952">
        <f>IF($A2="","",SUMIF('07_Pallet_Contents'!$A$2:$A$3000,$A2,'07_Pallet_Contents'!$D$2:$D$3000))</f>
        <v/>
      </c>
      <c r="Y2952">
        <f>IF($A2="","",SUMIF('07_Pallet_Contents'!$A$2:$A$3000,$A2,'07_Pallet_Contents'!$I$2:$I$3000))</f>
        <v/>
      </c>
      <c r="Z2952">
        <f>IF($A2="","",IF(COUNTIF('07_Pallet_Contents'!$A$2:$A$3000,$A2)&gt;0,"Yes",""))</f>
        <v/>
      </c>
    </row>
    <row r="2953">
      <c r="W2953">
        <f>IF($A2="","",COUNTIF('07_Pallet_Contents'!$A$2:$A$3000,$A2))</f>
        <v/>
      </c>
      <c r="X2953">
        <f>IF($A2="","",SUMIF('07_Pallet_Contents'!$A$2:$A$3000,$A2,'07_Pallet_Contents'!$D$2:$D$3000))</f>
        <v/>
      </c>
      <c r="Y2953">
        <f>IF($A2="","",SUMIF('07_Pallet_Contents'!$A$2:$A$3000,$A2,'07_Pallet_Contents'!$I$2:$I$3000))</f>
        <v/>
      </c>
      <c r="Z2953">
        <f>IF($A2="","",IF(COUNTIF('07_Pallet_Contents'!$A$2:$A$3000,$A2)&gt;0,"Yes",""))</f>
        <v/>
      </c>
    </row>
    <row r="2954">
      <c r="W2954">
        <f>IF($A2="","",COUNTIF('07_Pallet_Contents'!$A$2:$A$3000,$A2))</f>
        <v/>
      </c>
      <c r="X2954">
        <f>IF($A2="","",SUMIF('07_Pallet_Contents'!$A$2:$A$3000,$A2,'07_Pallet_Contents'!$D$2:$D$3000))</f>
        <v/>
      </c>
      <c r="Y2954">
        <f>IF($A2="","",SUMIF('07_Pallet_Contents'!$A$2:$A$3000,$A2,'07_Pallet_Contents'!$I$2:$I$3000))</f>
        <v/>
      </c>
      <c r="Z2954">
        <f>IF($A2="","",IF(COUNTIF('07_Pallet_Contents'!$A$2:$A$3000,$A2)&gt;0,"Yes",""))</f>
        <v/>
      </c>
    </row>
    <row r="2955">
      <c r="W2955">
        <f>IF($A2="","",COUNTIF('07_Pallet_Contents'!$A$2:$A$3000,$A2))</f>
        <v/>
      </c>
      <c r="X2955">
        <f>IF($A2="","",SUMIF('07_Pallet_Contents'!$A$2:$A$3000,$A2,'07_Pallet_Contents'!$D$2:$D$3000))</f>
        <v/>
      </c>
      <c r="Y2955">
        <f>IF($A2="","",SUMIF('07_Pallet_Contents'!$A$2:$A$3000,$A2,'07_Pallet_Contents'!$I$2:$I$3000))</f>
        <v/>
      </c>
      <c r="Z2955">
        <f>IF($A2="","",IF(COUNTIF('07_Pallet_Contents'!$A$2:$A$3000,$A2)&gt;0,"Yes",""))</f>
        <v/>
      </c>
    </row>
    <row r="2956">
      <c r="W2956">
        <f>IF($A2="","",COUNTIF('07_Pallet_Contents'!$A$2:$A$3000,$A2))</f>
        <v/>
      </c>
      <c r="X2956">
        <f>IF($A2="","",SUMIF('07_Pallet_Contents'!$A$2:$A$3000,$A2,'07_Pallet_Contents'!$D$2:$D$3000))</f>
        <v/>
      </c>
      <c r="Y2956">
        <f>IF($A2="","",SUMIF('07_Pallet_Contents'!$A$2:$A$3000,$A2,'07_Pallet_Contents'!$I$2:$I$3000))</f>
        <v/>
      </c>
      <c r="Z2956">
        <f>IF($A2="","",IF(COUNTIF('07_Pallet_Contents'!$A$2:$A$3000,$A2)&gt;0,"Yes",""))</f>
        <v/>
      </c>
    </row>
    <row r="2957">
      <c r="W2957">
        <f>IF($A2="","",COUNTIF('07_Pallet_Contents'!$A$2:$A$3000,$A2))</f>
        <v/>
      </c>
      <c r="X2957">
        <f>IF($A2="","",SUMIF('07_Pallet_Contents'!$A$2:$A$3000,$A2,'07_Pallet_Contents'!$D$2:$D$3000))</f>
        <v/>
      </c>
      <c r="Y2957">
        <f>IF($A2="","",SUMIF('07_Pallet_Contents'!$A$2:$A$3000,$A2,'07_Pallet_Contents'!$I$2:$I$3000))</f>
        <v/>
      </c>
      <c r="Z2957">
        <f>IF($A2="","",IF(COUNTIF('07_Pallet_Contents'!$A$2:$A$3000,$A2)&gt;0,"Yes",""))</f>
        <v/>
      </c>
    </row>
    <row r="2958">
      <c r="W2958">
        <f>IF($A2="","",COUNTIF('07_Pallet_Contents'!$A$2:$A$3000,$A2))</f>
        <v/>
      </c>
      <c r="X2958">
        <f>IF($A2="","",SUMIF('07_Pallet_Contents'!$A$2:$A$3000,$A2,'07_Pallet_Contents'!$D$2:$D$3000))</f>
        <v/>
      </c>
      <c r="Y2958">
        <f>IF($A2="","",SUMIF('07_Pallet_Contents'!$A$2:$A$3000,$A2,'07_Pallet_Contents'!$I$2:$I$3000))</f>
        <v/>
      </c>
      <c r="Z2958">
        <f>IF($A2="","",IF(COUNTIF('07_Pallet_Contents'!$A$2:$A$3000,$A2)&gt;0,"Yes",""))</f>
        <v/>
      </c>
    </row>
    <row r="2959">
      <c r="W2959">
        <f>IF($A2="","",COUNTIF('07_Pallet_Contents'!$A$2:$A$3000,$A2))</f>
        <v/>
      </c>
      <c r="X2959">
        <f>IF($A2="","",SUMIF('07_Pallet_Contents'!$A$2:$A$3000,$A2,'07_Pallet_Contents'!$D$2:$D$3000))</f>
        <v/>
      </c>
      <c r="Y2959">
        <f>IF($A2="","",SUMIF('07_Pallet_Contents'!$A$2:$A$3000,$A2,'07_Pallet_Contents'!$I$2:$I$3000))</f>
        <v/>
      </c>
      <c r="Z2959">
        <f>IF($A2="","",IF(COUNTIF('07_Pallet_Contents'!$A$2:$A$3000,$A2)&gt;0,"Yes",""))</f>
        <v/>
      </c>
    </row>
    <row r="2960">
      <c r="W2960">
        <f>IF($A2="","",COUNTIF('07_Pallet_Contents'!$A$2:$A$3000,$A2))</f>
        <v/>
      </c>
      <c r="X2960">
        <f>IF($A2="","",SUMIF('07_Pallet_Contents'!$A$2:$A$3000,$A2,'07_Pallet_Contents'!$D$2:$D$3000))</f>
        <v/>
      </c>
      <c r="Y2960">
        <f>IF($A2="","",SUMIF('07_Pallet_Contents'!$A$2:$A$3000,$A2,'07_Pallet_Contents'!$I$2:$I$3000))</f>
        <v/>
      </c>
      <c r="Z2960">
        <f>IF($A2="","",IF(COUNTIF('07_Pallet_Contents'!$A$2:$A$3000,$A2)&gt;0,"Yes",""))</f>
        <v/>
      </c>
    </row>
    <row r="2961">
      <c r="W2961">
        <f>IF($A2="","",COUNTIF('07_Pallet_Contents'!$A$2:$A$3000,$A2))</f>
        <v/>
      </c>
      <c r="X2961">
        <f>IF($A2="","",SUMIF('07_Pallet_Contents'!$A$2:$A$3000,$A2,'07_Pallet_Contents'!$D$2:$D$3000))</f>
        <v/>
      </c>
      <c r="Y2961">
        <f>IF($A2="","",SUMIF('07_Pallet_Contents'!$A$2:$A$3000,$A2,'07_Pallet_Contents'!$I$2:$I$3000))</f>
        <v/>
      </c>
      <c r="Z2961">
        <f>IF($A2="","",IF(COUNTIF('07_Pallet_Contents'!$A$2:$A$3000,$A2)&gt;0,"Yes",""))</f>
        <v/>
      </c>
    </row>
    <row r="2962">
      <c r="W2962">
        <f>IF($A2="","",COUNTIF('07_Pallet_Contents'!$A$2:$A$3000,$A2))</f>
        <v/>
      </c>
      <c r="X2962">
        <f>IF($A2="","",SUMIF('07_Pallet_Contents'!$A$2:$A$3000,$A2,'07_Pallet_Contents'!$D$2:$D$3000))</f>
        <v/>
      </c>
      <c r="Y2962">
        <f>IF($A2="","",SUMIF('07_Pallet_Contents'!$A$2:$A$3000,$A2,'07_Pallet_Contents'!$I$2:$I$3000))</f>
        <v/>
      </c>
      <c r="Z2962">
        <f>IF($A2="","",IF(COUNTIF('07_Pallet_Contents'!$A$2:$A$3000,$A2)&gt;0,"Yes",""))</f>
        <v/>
      </c>
    </row>
    <row r="2963">
      <c r="W2963">
        <f>IF($A2="","",COUNTIF('07_Pallet_Contents'!$A$2:$A$3000,$A2))</f>
        <v/>
      </c>
      <c r="X2963">
        <f>IF($A2="","",SUMIF('07_Pallet_Contents'!$A$2:$A$3000,$A2,'07_Pallet_Contents'!$D$2:$D$3000))</f>
        <v/>
      </c>
      <c r="Y2963">
        <f>IF($A2="","",SUMIF('07_Pallet_Contents'!$A$2:$A$3000,$A2,'07_Pallet_Contents'!$I$2:$I$3000))</f>
        <v/>
      </c>
      <c r="Z2963">
        <f>IF($A2="","",IF(COUNTIF('07_Pallet_Contents'!$A$2:$A$3000,$A2)&gt;0,"Yes",""))</f>
        <v/>
      </c>
    </row>
    <row r="2964">
      <c r="W2964">
        <f>IF($A2="","",COUNTIF('07_Pallet_Contents'!$A$2:$A$3000,$A2))</f>
        <v/>
      </c>
      <c r="X2964">
        <f>IF($A2="","",SUMIF('07_Pallet_Contents'!$A$2:$A$3000,$A2,'07_Pallet_Contents'!$D$2:$D$3000))</f>
        <v/>
      </c>
      <c r="Y2964">
        <f>IF($A2="","",SUMIF('07_Pallet_Contents'!$A$2:$A$3000,$A2,'07_Pallet_Contents'!$I$2:$I$3000))</f>
        <v/>
      </c>
      <c r="Z2964">
        <f>IF($A2="","",IF(COUNTIF('07_Pallet_Contents'!$A$2:$A$3000,$A2)&gt;0,"Yes",""))</f>
        <v/>
      </c>
    </row>
    <row r="2965">
      <c r="W2965">
        <f>IF($A2="","",COUNTIF('07_Pallet_Contents'!$A$2:$A$3000,$A2))</f>
        <v/>
      </c>
      <c r="X2965">
        <f>IF($A2="","",SUMIF('07_Pallet_Contents'!$A$2:$A$3000,$A2,'07_Pallet_Contents'!$D$2:$D$3000))</f>
        <v/>
      </c>
      <c r="Y2965">
        <f>IF($A2="","",SUMIF('07_Pallet_Contents'!$A$2:$A$3000,$A2,'07_Pallet_Contents'!$I$2:$I$3000))</f>
        <v/>
      </c>
      <c r="Z2965">
        <f>IF($A2="","",IF(COUNTIF('07_Pallet_Contents'!$A$2:$A$3000,$A2)&gt;0,"Yes",""))</f>
        <v/>
      </c>
    </row>
    <row r="2966">
      <c r="W2966">
        <f>IF($A2="","",COUNTIF('07_Pallet_Contents'!$A$2:$A$3000,$A2))</f>
        <v/>
      </c>
      <c r="X2966">
        <f>IF($A2="","",SUMIF('07_Pallet_Contents'!$A$2:$A$3000,$A2,'07_Pallet_Contents'!$D$2:$D$3000))</f>
        <v/>
      </c>
      <c r="Y2966">
        <f>IF($A2="","",SUMIF('07_Pallet_Contents'!$A$2:$A$3000,$A2,'07_Pallet_Contents'!$I$2:$I$3000))</f>
        <v/>
      </c>
      <c r="Z2966">
        <f>IF($A2="","",IF(COUNTIF('07_Pallet_Contents'!$A$2:$A$3000,$A2)&gt;0,"Yes",""))</f>
        <v/>
      </c>
    </row>
    <row r="2967">
      <c r="W2967">
        <f>IF($A2="","",COUNTIF('07_Pallet_Contents'!$A$2:$A$3000,$A2))</f>
        <v/>
      </c>
      <c r="X2967">
        <f>IF($A2="","",SUMIF('07_Pallet_Contents'!$A$2:$A$3000,$A2,'07_Pallet_Contents'!$D$2:$D$3000))</f>
        <v/>
      </c>
      <c r="Y2967">
        <f>IF($A2="","",SUMIF('07_Pallet_Contents'!$A$2:$A$3000,$A2,'07_Pallet_Contents'!$I$2:$I$3000))</f>
        <v/>
      </c>
      <c r="Z2967">
        <f>IF($A2="","",IF(COUNTIF('07_Pallet_Contents'!$A$2:$A$3000,$A2)&gt;0,"Yes",""))</f>
        <v/>
      </c>
    </row>
    <row r="2968">
      <c r="W2968">
        <f>IF($A2="","",COUNTIF('07_Pallet_Contents'!$A$2:$A$3000,$A2))</f>
        <v/>
      </c>
      <c r="X2968">
        <f>IF($A2="","",SUMIF('07_Pallet_Contents'!$A$2:$A$3000,$A2,'07_Pallet_Contents'!$D$2:$D$3000))</f>
        <v/>
      </c>
      <c r="Y2968">
        <f>IF($A2="","",SUMIF('07_Pallet_Contents'!$A$2:$A$3000,$A2,'07_Pallet_Contents'!$I$2:$I$3000))</f>
        <v/>
      </c>
      <c r="Z2968">
        <f>IF($A2="","",IF(COUNTIF('07_Pallet_Contents'!$A$2:$A$3000,$A2)&gt;0,"Yes",""))</f>
        <v/>
      </c>
    </row>
    <row r="2969">
      <c r="W2969">
        <f>IF($A2="","",COUNTIF('07_Pallet_Contents'!$A$2:$A$3000,$A2))</f>
        <v/>
      </c>
      <c r="X2969">
        <f>IF($A2="","",SUMIF('07_Pallet_Contents'!$A$2:$A$3000,$A2,'07_Pallet_Contents'!$D$2:$D$3000))</f>
        <v/>
      </c>
      <c r="Y2969">
        <f>IF($A2="","",SUMIF('07_Pallet_Contents'!$A$2:$A$3000,$A2,'07_Pallet_Contents'!$I$2:$I$3000))</f>
        <v/>
      </c>
      <c r="Z2969">
        <f>IF($A2="","",IF(COUNTIF('07_Pallet_Contents'!$A$2:$A$3000,$A2)&gt;0,"Yes",""))</f>
        <v/>
      </c>
    </row>
    <row r="2970">
      <c r="W2970">
        <f>IF($A2="","",COUNTIF('07_Pallet_Contents'!$A$2:$A$3000,$A2))</f>
        <v/>
      </c>
      <c r="X2970">
        <f>IF($A2="","",SUMIF('07_Pallet_Contents'!$A$2:$A$3000,$A2,'07_Pallet_Contents'!$D$2:$D$3000))</f>
        <v/>
      </c>
      <c r="Y2970">
        <f>IF($A2="","",SUMIF('07_Pallet_Contents'!$A$2:$A$3000,$A2,'07_Pallet_Contents'!$I$2:$I$3000))</f>
        <v/>
      </c>
      <c r="Z2970">
        <f>IF($A2="","",IF(COUNTIF('07_Pallet_Contents'!$A$2:$A$3000,$A2)&gt;0,"Yes",""))</f>
        <v/>
      </c>
    </row>
    <row r="2971">
      <c r="W2971">
        <f>IF($A2="","",COUNTIF('07_Pallet_Contents'!$A$2:$A$3000,$A2))</f>
        <v/>
      </c>
      <c r="X2971">
        <f>IF($A2="","",SUMIF('07_Pallet_Contents'!$A$2:$A$3000,$A2,'07_Pallet_Contents'!$D$2:$D$3000))</f>
        <v/>
      </c>
      <c r="Y2971">
        <f>IF($A2="","",SUMIF('07_Pallet_Contents'!$A$2:$A$3000,$A2,'07_Pallet_Contents'!$I$2:$I$3000))</f>
        <v/>
      </c>
      <c r="Z2971">
        <f>IF($A2="","",IF(COUNTIF('07_Pallet_Contents'!$A$2:$A$3000,$A2)&gt;0,"Yes",""))</f>
        <v/>
      </c>
    </row>
    <row r="2972">
      <c r="W2972">
        <f>IF($A2="","",COUNTIF('07_Pallet_Contents'!$A$2:$A$3000,$A2))</f>
        <v/>
      </c>
      <c r="X2972">
        <f>IF($A2="","",SUMIF('07_Pallet_Contents'!$A$2:$A$3000,$A2,'07_Pallet_Contents'!$D$2:$D$3000))</f>
        <v/>
      </c>
      <c r="Y2972">
        <f>IF($A2="","",SUMIF('07_Pallet_Contents'!$A$2:$A$3000,$A2,'07_Pallet_Contents'!$I$2:$I$3000))</f>
        <v/>
      </c>
      <c r="Z2972">
        <f>IF($A2="","",IF(COUNTIF('07_Pallet_Contents'!$A$2:$A$3000,$A2)&gt;0,"Yes",""))</f>
        <v/>
      </c>
    </row>
    <row r="2973">
      <c r="W2973">
        <f>IF($A2="","",COUNTIF('07_Pallet_Contents'!$A$2:$A$3000,$A2))</f>
        <v/>
      </c>
      <c r="X2973">
        <f>IF($A2="","",SUMIF('07_Pallet_Contents'!$A$2:$A$3000,$A2,'07_Pallet_Contents'!$D$2:$D$3000))</f>
        <v/>
      </c>
      <c r="Y2973">
        <f>IF($A2="","",SUMIF('07_Pallet_Contents'!$A$2:$A$3000,$A2,'07_Pallet_Contents'!$I$2:$I$3000))</f>
        <v/>
      </c>
      <c r="Z2973">
        <f>IF($A2="","",IF(COUNTIF('07_Pallet_Contents'!$A$2:$A$3000,$A2)&gt;0,"Yes",""))</f>
        <v/>
      </c>
    </row>
    <row r="2974">
      <c r="W2974">
        <f>IF($A2="","",COUNTIF('07_Pallet_Contents'!$A$2:$A$3000,$A2))</f>
        <v/>
      </c>
      <c r="X2974">
        <f>IF($A2="","",SUMIF('07_Pallet_Contents'!$A$2:$A$3000,$A2,'07_Pallet_Contents'!$D$2:$D$3000))</f>
        <v/>
      </c>
      <c r="Y2974">
        <f>IF($A2="","",SUMIF('07_Pallet_Contents'!$A$2:$A$3000,$A2,'07_Pallet_Contents'!$I$2:$I$3000))</f>
        <v/>
      </c>
      <c r="Z2974">
        <f>IF($A2="","",IF(COUNTIF('07_Pallet_Contents'!$A$2:$A$3000,$A2)&gt;0,"Yes",""))</f>
        <v/>
      </c>
    </row>
    <row r="2975">
      <c r="W2975">
        <f>IF($A2="","",COUNTIF('07_Pallet_Contents'!$A$2:$A$3000,$A2))</f>
        <v/>
      </c>
      <c r="X2975">
        <f>IF($A2="","",SUMIF('07_Pallet_Contents'!$A$2:$A$3000,$A2,'07_Pallet_Contents'!$D$2:$D$3000))</f>
        <v/>
      </c>
      <c r="Y2975">
        <f>IF($A2="","",SUMIF('07_Pallet_Contents'!$A$2:$A$3000,$A2,'07_Pallet_Contents'!$I$2:$I$3000))</f>
        <v/>
      </c>
      <c r="Z2975">
        <f>IF($A2="","",IF(COUNTIF('07_Pallet_Contents'!$A$2:$A$3000,$A2)&gt;0,"Yes",""))</f>
        <v/>
      </c>
    </row>
    <row r="2976">
      <c r="W2976">
        <f>IF($A2="","",COUNTIF('07_Pallet_Contents'!$A$2:$A$3000,$A2))</f>
        <v/>
      </c>
      <c r="X2976">
        <f>IF($A2="","",SUMIF('07_Pallet_Contents'!$A$2:$A$3000,$A2,'07_Pallet_Contents'!$D$2:$D$3000))</f>
        <v/>
      </c>
      <c r="Y2976">
        <f>IF($A2="","",SUMIF('07_Pallet_Contents'!$A$2:$A$3000,$A2,'07_Pallet_Contents'!$I$2:$I$3000))</f>
        <v/>
      </c>
      <c r="Z2976">
        <f>IF($A2="","",IF(COUNTIF('07_Pallet_Contents'!$A$2:$A$3000,$A2)&gt;0,"Yes",""))</f>
        <v/>
      </c>
    </row>
    <row r="2977">
      <c r="W2977">
        <f>IF($A2="","",COUNTIF('07_Pallet_Contents'!$A$2:$A$3000,$A2))</f>
        <v/>
      </c>
      <c r="X2977">
        <f>IF($A2="","",SUMIF('07_Pallet_Contents'!$A$2:$A$3000,$A2,'07_Pallet_Contents'!$D$2:$D$3000))</f>
        <v/>
      </c>
      <c r="Y2977">
        <f>IF($A2="","",SUMIF('07_Pallet_Contents'!$A$2:$A$3000,$A2,'07_Pallet_Contents'!$I$2:$I$3000))</f>
        <v/>
      </c>
      <c r="Z2977">
        <f>IF($A2="","",IF(COUNTIF('07_Pallet_Contents'!$A$2:$A$3000,$A2)&gt;0,"Yes",""))</f>
        <v/>
      </c>
    </row>
    <row r="2978">
      <c r="W2978">
        <f>IF($A2="","",COUNTIF('07_Pallet_Contents'!$A$2:$A$3000,$A2))</f>
        <v/>
      </c>
      <c r="X2978">
        <f>IF($A2="","",SUMIF('07_Pallet_Contents'!$A$2:$A$3000,$A2,'07_Pallet_Contents'!$D$2:$D$3000))</f>
        <v/>
      </c>
      <c r="Y2978">
        <f>IF($A2="","",SUMIF('07_Pallet_Contents'!$A$2:$A$3000,$A2,'07_Pallet_Contents'!$I$2:$I$3000))</f>
        <v/>
      </c>
      <c r="Z2978">
        <f>IF($A2="","",IF(COUNTIF('07_Pallet_Contents'!$A$2:$A$3000,$A2)&gt;0,"Yes",""))</f>
        <v/>
      </c>
    </row>
    <row r="2979">
      <c r="W2979">
        <f>IF($A2="","",COUNTIF('07_Pallet_Contents'!$A$2:$A$3000,$A2))</f>
        <v/>
      </c>
      <c r="X2979">
        <f>IF($A2="","",SUMIF('07_Pallet_Contents'!$A$2:$A$3000,$A2,'07_Pallet_Contents'!$D$2:$D$3000))</f>
        <v/>
      </c>
      <c r="Y2979">
        <f>IF($A2="","",SUMIF('07_Pallet_Contents'!$A$2:$A$3000,$A2,'07_Pallet_Contents'!$I$2:$I$3000))</f>
        <v/>
      </c>
      <c r="Z2979">
        <f>IF($A2="","",IF(COUNTIF('07_Pallet_Contents'!$A$2:$A$3000,$A2)&gt;0,"Yes",""))</f>
        <v/>
      </c>
    </row>
    <row r="2980">
      <c r="W2980">
        <f>IF($A2="","",COUNTIF('07_Pallet_Contents'!$A$2:$A$3000,$A2))</f>
        <v/>
      </c>
      <c r="X2980">
        <f>IF($A2="","",SUMIF('07_Pallet_Contents'!$A$2:$A$3000,$A2,'07_Pallet_Contents'!$D$2:$D$3000))</f>
        <v/>
      </c>
      <c r="Y2980">
        <f>IF($A2="","",SUMIF('07_Pallet_Contents'!$A$2:$A$3000,$A2,'07_Pallet_Contents'!$I$2:$I$3000))</f>
        <v/>
      </c>
      <c r="Z2980">
        <f>IF($A2="","",IF(COUNTIF('07_Pallet_Contents'!$A$2:$A$3000,$A2)&gt;0,"Yes",""))</f>
        <v/>
      </c>
    </row>
    <row r="2981">
      <c r="W2981">
        <f>IF($A2="","",COUNTIF('07_Pallet_Contents'!$A$2:$A$3000,$A2))</f>
        <v/>
      </c>
      <c r="X2981">
        <f>IF($A2="","",SUMIF('07_Pallet_Contents'!$A$2:$A$3000,$A2,'07_Pallet_Contents'!$D$2:$D$3000))</f>
        <v/>
      </c>
      <c r="Y2981">
        <f>IF($A2="","",SUMIF('07_Pallet_Contents'!$A$2:$A$3000,$A2,'07_Pallet_Contents'!$I$2:$I$3000))</f>
        <v/>
      </c>
      <c r="Z2981">
        <f>IF($A2="","",IF(COUNTIF('07_Pallet_Contents'!$A$2:$A$3000,$A2)&gt;0,"Yes",""))</f>
        <v/>
      </c>
    </row>
    <row r="2982">
      <c r="W2982">
        <f>IF($A2="","",COUNTIF('07_Pallet_Contents'!$A$2:$A$3000,$A2))</f>
        <v/>
      </c>
      <c r="X2982">
        <f>IF($A2="","",SUMIF('07_Pallet_Contents'!$A$2:$A$3000,$A2,'07_Pallet_Contents'!$D$2:$D$3000))</f>
        <v/>
      </c>
      <c r="Y2982">
        <f>IF($A2="","",SUMIF('07_Pallet_Contents'!$A$2:$A$3000,$A2,'07_Pallet_Contents'!$I$2:$I$3000))</f>
        <v/>
      </c>
      <c r="Z2982">
        <f>IF($A2="","",IF(COUNTIF('07_Pallet_Contents'!$A$2:$A$3000,$A2)&gt;0,"Yes",""))</f>
        <v/>
      </c>
    </row>
    <row r="2983">
      <c r="W2983">
        <f>IF($A2="","",COUNTIF('07_Pallet_Contents'!$A$2:$A$3000,$A2))</f>
        <v/>
      </c>
      <c r="X2983">
        <f>IF($A2="","",SUMIF('07_Pallet_Contents'!$A$2:$A$3000,$A2,'07_Pallet_Contents'!$D$2:$D$3000))</f>
        <v/>
      </c>
      <c r="Y2983">
        <f>IF($A2="","",SUMIF('07_Pallet_Contents'!$A$2:$A$3000,$A2,'07_Pallet_Contents'!$I$2:$I$3000))</f>
        <v/>
      </c>
      <c r="Z2983">
        <f>IF($A2="","",IF(COUNTIF('07_Pallet_Contents'!$A$2:$A$3000,$A2)&gt;0,"Yes",""))</f>
        <v/>
      </c>
    </row>
    <row r="2984">
      <c r="W2984">
        <f>IF($A2="","",COUNTIF('07_Pallet_Contents'!$A$2:$A$3000,$A2))</f>
        <v/>
      </c>
      <c r="X2984">
        <f>IF($A2="","",SUMIF('07_Pallet_Contents'!$A$2:$A$3000,$A2,'07_Pallet_Contents'!$D$2:$D$3000))</f>
        <v/>
      </c>
      <c r="Y2984">
        <f>IF($A2="","",SUMIF('07_Pallet_Contents'!$A$2:$A$3000,$A2,'07_Pallet_Contents'!$I$2:$I$3000))</f>
        <v/>
      </c>
      <c r="Z2984">
        <f>IF($A2="","",IF(COUNTIF('07_Pallet_Contents'!$A$2:$A$3000,$A2)&gt;0,"Yes",""))</f>
        <v/>
      </c>
    </row>
    <row r="2985">
      <c r="W2985">
        <f>IF($A2="","",COUNTIF('07_Pallet_Contents'!$A$2:$A$3000,$A2))</f>
        <v/>
      </c>
      <c r="X2985">
        <f>IF($A2="","",SUMIF('07_Pallet_Contents'!$A$2:$A$3000,$A2,'07_Pallet_Contents'!$D$2:$D$3000))</f>
        <v/>
      </c>
      <c r="Y2985">
        <f>IF($A2="","",SUMIF('07_Pallet_Contents'!$A$2:$A$3000,$A2,'07_Pallet_Contents'!$I$2:$I$3000))</f>
        <v/>
      </c>
      <c r="Z2985">
        <f>IF($A2="","",IF(COUNTIF('07_Pallet_Contents'!$A$2:$A$3000,$A2)&gt;0,"Yes",""))</f>
        <v/>
      </c>
    </row>
    <row r="2986">
      <c r="W2986">
        <f>IF($A2="","",COUNTIF('07_Pallet_Contents'!$A$2:$A$3000,$A2))</f>
        <v/>
      </c>
      <c r="X2986">
        <f>IF($A2="","",SUMIF('07_Pallet_Contents'!$A$2:$A$3000,$A2,'07_Pallet_Contents'!$D$2:$D$3000))</f>
        <v/>
      </c>
      <c r="Y2986">
        <f>IF($A2="","",SUMIF('07_Pallet_Contents'!$A$2:$A$3000,$A2,'07_Pallet_Contents'!$I$2:$I$3000))</f>
        <v/>
      </c>
      <c r="Z2986">
        <f>IF($A2="","",IF(COUNTIF('07_Pallet_Contents'!$A$2:$A$3000,$A2)&gt;0,"Yes",""))</f>
        <v/>
      </c>
    </row>
    <row r="2987">
      <c r="W2987">
        <f>IF($A2="","",COUNTIF('07_Pallet_Contents'!$A$2:$A$3000,$A2))</f>
        <v/>
      </c>
      <c r="X2987">
        <f>IF($A2="","",SUMIF('07_Pallet_Contents'!$A$2:$A$3000,$A2,'07_Pallet_Contents'!$D$2:$D$3000))</f>
        <v/>
      </c>
      <c r="Y2987">
        <f>IF($A2="","",SUMIF('07_Pallet_Contents'!$A$2:$A$3000,$A2,'07_Pallet_Contents'!$I$2:$I$3000))</f>
        <v/>
      </c>
      <c r="Z2987">
        <f>IF($A2="","",IF(COUNTIF('07_Pallet_Contents'!$A$2:$A$3000,$A2)&gt;0,"Yes",""))</f>
        <v/>
      </c>
    </row>
    <row r="2988">
      <c r="W2988">
        <f>IF($A2="","",COUNTIF('07_Pallet_Contents'!$A$2:$A$3000,$A2))</f>
        <v/>
      </c>
      <c r="X2988">
        <f>IF($A2="","",SUMIF('07_Pallet_Contents'!$A$2:$A$3000,$A2,'07_Pallet_Contents'!$D$2:$D$3000))</f>
        <v/>
      </c>
      <c r="Y2988">
        <f>IF($A2="","",SUMIF('07_Pallet_Contents'!$A$2:$A$3000,$A2,'07_Pallet_Contents'!$I$2:$I$3000))</f>
        <v/>
      </c>
      <c r="Z2988">
        <f>IF($A2="","",IF(COUNTIF('07_Pallet_Contents'!$A$2:$A$3000,$A2)&gt;0,"Yes",""))</f>
        <v/>
      </c>
    </row>
    <row r="2989">
      <c r="W2989">
        <f>IF($A2="","",COUNTIF('07_Pallet_Contents'!$A$2:$A$3000,$A2))</f>
        <v/>
      </c>
      <c r="X2989">
        <f>IF($A2="","",SUMIF('07_Pallet_Contents'!$A$2:$A$3000,$A2,'07_Pallet_Contents'!$D$2:$D$3000))</f>
        <v/>
      </c>
      <c r="Y2989">
        <f>IF($A2="","",SUMIF('07_Pallet_Contents'!$A$2:$A$3000,$A2,'07_Pallet_Contents'!$I$2:$I$3000))</f>
        <v/>
      </c>
      <c r="Z2989">
        <f>IF($A2="","",IF(COUNTIF('07_Pallet_Contents'!$A$2:$A$3000,$A2)&gt;0,"Yes",""))</f>
        <v/>
      </c>
    </row>
    <row r="2990">
      <c r="W2990">
        <f>IF($A2="","",COUNTIF('07_Pallet_Contents'!$A$2:$A$3000,$A2))</f>
        <v/>
      </c>
      <c r="X2990">
        <f>IF($A2="","",SUMIF('07_Pallet_Contents'!$A$2:$A$3000,$A2,'07_Pallet_Contents'!$D$2:$D$3000))</f>
        <v/>
      </c>
      <c r="Y2990">
        <f>IF($A2="","",SUMIF('07_Pallet_Contents'!$A$2:$A$3000,$A2,'07_Pallet_Contents'!$I$2:$I$3000))</f>
        <v/>
      </c>
      <c r="Z2990">
        <f>IF($A2="","",IF(COUNTIF('07_Pallet_Contents'!$A$2:$A$3000,$A2)&gt;0,"Yes",""))</f>
        <v/>
      </c>
    </row>
    <row r="2991">
      <c r="W2991">
        <f>IF($A2="","",COUNTIF('07_Pallet_Contents'!$A$2:$A$3000,$A2))</f>
        <v/>
      </c>
      <c r="X2991">
        <f>IF($A2="","",SUMIF('07_Pallet_Contents'!$A$2:$A$3000,$A2,'07_Pallet_Contents'!$D$2:$D$3000))</f>
        <v/>
      </c>
      <c r="Y2991">
        <f>IF($A2="","",SUMIF('07_Pallet_Contents'!$A$2:$A$3000,$A2,'07_Pallet_Contents'!$I$2:$I$3000))</f>
        <v/>
      </c>
      <c r="Z2991">
        <f>IF($A2="","",IF(COUNTIF('07_Pallet_Contents'!$A$2:$A$3000,$A2)&gt;0,"Yes",""))</f>
        <v/>
      </c>
    </row>
    <row r="2992">
      <c r="W2992">
        <f>IF($A2="","",COUNTIF('07_Pallet_Contents'!$A$2:$A$3000,$A2))</f>
        <v/>
      </c>
      <c r="X2992">
        <f>IF($A2="","",SUMIF('07_Pallet_Contents'!$A$2:$A$3000,$A2,'07_Pallet_Contents'!$D$2:$D$3000))</f>
        <v/>
      </c>
      <c r="Y2992">
        <f>IF($A2="","",SUMIF('07_Pallet_Contents'!$A$2:$A$3000,$A2,'07_Pallet_Contents'!$I$2:$I$3000))</f>
        <v/>
      </c>
      <c r="Z2992">
        <f>IF($A2="","",IF(COUNTIF('07_Pallet_Contents'!$A$2:$A$3000,$A2)&gt;0,"Yes",""))</f>
        <v/>
      </c>
    </row>
    <row r="2993">
      <c r="W2993">
        <f>IF($A2="","",COUNTIF('07_Pallet_Contents'!$A$2:$A$3000,$A2))</f>
        <v/>
      </c>
      <c r="X2993">
        <f>IF($A2="","",SUMIF('07_Pallet_Contents'!$A$2:$A$3000,$A2,'07_Pallet_Contents'!$D$2:$D$3000))</f>
        <v/>
      </c>
      <c r="Y2993">
        <f>IF($A2="","",SUMIF('07_Pallet_Contents'!$A$2:$A$3000,$A2,'07_Pallet_Contents'!$I$2:$I$3000))</f>
        <v/>
      </c>
      <c r="Z2993">
        <f>IF($A2="","",IF(COUNTIF('07_Pallet_Contents'!$A$2:$A$3000,$A2)&gt;0,"Yes",""))</f>
        <v/>
      </c>
    </row>
    <row r="2994">
      <c r="W2994">
        <f>IF($A2="","",COUNTIF('07_Pallet_Contents'!$A$2:$A$3000,$A2))</f>
        <v/>
      </c>
      <c r="X2994">
        <f>IF($A2="","",SUMIF('07_Pallet_Contents'!$A$2:$A$3000,$A2,'07_Pallet_Contents'!$D$2:$D$3000))</f>
        <v/>
      </c>
      <c r="Y2994">
        <f>IF($A2="","",SUMIF('07_Pallet_Contents'!$A$2:$A$3000,$A2,'07_Pallet_Contents'!$I$2:$I$3000))</f>
        <v/>
      </c>
      <c r="Z2994">
        <f>IF($A2="","",IF(COUNTIF('07_Pallet_Contents'!$A$2:$A$3000,$A2)&gt;0,"Yes",""))</f>
        <v/>
      </c>
    </row>
    <row r="2995">
      <c r="W2995">
        <f>IF($A2="","",COUNTIF('07_Pallet_Contents'!$A$2:$A$3000,$A2))</f>
        <v/>
      </c>
      <c r="X2995">
        <f>IF($A2="","",SUMIF('07_Pallet_Contents'!$A$2:$A$3000,$A2,'07_Pallet_Contents'!$D$2:$D$3000))</f>
        <v/>
      </c>
      <c r="Y2995">
        <f>IF($A2="","",SUMIF('07_Pallet_Contents'!$A$2:$A$3000,$A2,'07_Pallet_Contents'!$I$2:$I$3000))</f>
        <v/>
      </c>
      <c r="Z2995">
        <f>IF($A2="","",IF(COUNTIF('07_Pallet_Contents'!$A$2:$A$3000,$A2)&gt;0,"Yes",""))</f>
        <v/>
      </c>
    </row>
    <row r="2996">
      <c r="W2996">
        <f>IF($A2="","",COUNTIF('07_Pallet_Contents'!$A$2:$A$3000,$A2))</f>
        <v/>
      </c>
      <c r="X2996">
        <f>IF($A2="","",SUMIF('07_Pallet_Contents'!$A$2:$A$3000,$A2,'07_Pallet_Contents'!$D$2:$D$3000))</f>
        <v/>
      </c>
      <c r="Y2996">
        <f>IF($A2="","",SUMIF('07_Pallet_Contents'!$A$2:$A$3000,$A2,'07_Pallet_Contents'!$I$2:$I$3000))</f>
        <v/>
      </c>
      <c r="Z2996">
        <f>IF($A2="","",IF(COUNTIF('07_Pallet_Contents'!$A$2:$A$3000,$A2)&gt;0,"Yes",""))</f>
        <v/>
      </c>
    </row>
    <row r="2997">
      <c r="W2997">
        <f>IF($A2="","",COUNTIF('07_Pallet_Contents'!$A$2:$A$3000,$A2))</f>
        <v/>
      </c>
      <c r="X2997">
        <f>IF($A2="","",SUMIF('07_Pallet_Contents'!$A$2:$A$3000,$A2,'07_Pallet_Contents'!$D$2:$D$3000))</f>
        <v/>
      </c>
      <c r="Y2997">
        <f>IF($A2="","",SUMIF('07_Pallet_Contents'!$A$2:$A$3000,$A2,'07_Pallet_Contents'!$I$2:$I$3000))</f>
        <v/>
      </c>
      <c r="Z2997">
        <f>IF($A2="","",IF(COUNTIF('07_Pallet_Contents'!$A$2:$A$3000,$A2)&gt;0,"Yes",""))</f>
        <v/>
      </c>
    </row>
    <row r="2998">
      <c r="W2998">
        <f>IF($A2="","",COUNTIF('07_Pallet_Contents'!$A$2:$A$3000,$A2))</f>
        <v/>
      </c>
      <c r="X2998">
        <f>IF($A2="","",SUMIF('07_Pallet_Contents'!$A$2:$A$3000,$A2,'07_Pallet_Contents'!$D$2:$D$3000))</f>
        <v/>
      </c>
      <c r="Y2998">
        <f>IF($A2="","",SUMIF('07_Pallet_Contents'!$A$2:$A$3000,$A2,'07_Pallet_Contents'!$I$2:$I$3000))</f>
        <v/>
      </c>
      <c r="Z2998">
        <f>IF($A2="","",IF(COUNTIF('07_Pallet_Contents'!$A$2:$A$3000,$A2)&gt;0,"Yes",""))</f>
        <v/>
      </c>
    </row>
    <row r="2999">
      <c r="W2999">
        <f>IF($A2="","",COUNTIF('07_Pallet_Contents'!$A$2:$A$3000,$A2))</f>
        <v/>
      </c>
      <c r="X2999">
        <f>IF($A2="","",SUMIF('07_Pallet_Contents'!$A$2:$A$3000,$A2,'07_Pallet_Contents'!$D$2:$D$3000))</f>
        <v/>
      </c>
      <c r="Y2999">
        <f>IF($A2="","",SUMIF('07_Pallet_Contents'!$A$2:$A$3000,$A2,'07_Pallet_Contents'!$I$2:$I$3000))</f>
        <v/>
      </c>
      <c r="Z2999">
        <f>IF($A2="","",IF(COUNTIF('07_Pallet_Contents'!$A$2:$A$3000,$A2)&gt;0,"Yes",""))</f>
        <v/>
      </c>
    </row>
    <row r="3000">
      <c r="W3000">
        <f>IF($A2="","",COUNTIF('07_Pallet_Contents'!$A$2:$A$3000,$A2))</f>
        <v/>
      </c>
      <c r="X3000">
        <f>IF($A2="","",SUMIF('07_Pallet_Contents'!$A$2:$A$3000,$A2,'07_Pallet_Contents'!$D$2:$D$3000))</f>
        <v/>
      </c>
      <c r="Y3000">
        <f>IF($A2="","",SUMIF('07_Pallet_Contents'!$A$2:$A$3000,$A2,'07_Pallet_Contents'!$I$2:$I$3000))</f>
        <v/>
      </c>
      <c r="Z3000">
        <f>IF($A2="","",IF(COUNTIF('07_Pallet_Contents'!$A$2:$A$3000,$A2)&gt;0,"Yes",""))</f>
        <v/>
      </c>
    </row>
  </sheetData>
  <conditionalFormatting sqref="A2:R7 A8:B8 A9:R2002 D8:R8">
    <cfRule type="expression" priority="3" dxfId="397" stopIfTrue="1">
      <formula>AND(TRIM($A2)="",OR($B2&lt;&gt;"",$C2&lt;&gt;"",$D2&lt;&gt;"",$E2&lt;&gt;"",$I2&lt;&gt;"",$J2&lt;&gt;""))</formula>
    </cfRule>
    <cfRule type="expression" priority="4" dxfId="397">
      <formula>AND(TRIM($A2)&lt;&gt;"",NOT(AND(LEFT($A2,4)="PAL-",LEN($A2)=11,ISNUMBER(--MID($A2,5,7)))))</formula>
    </cfRule>
    <cfRule type="expression" priority="5" dxfId="397">
      <formula>AND(TRIM($A2)&lt;&gt;"",COUNTIF($A$2:$A$2002,$A2)&gt;1)</formula>
    </cfRule>
    <cfRule type="expression" priority="6" dxfId="282">
      <formula>AND(TRIM($A2)&lt;&gt;"",$C2&lt;&gt;"",$D2&lt;&gt;"",$D2&lt;&gt;"0",$C2&lt;&gt;$D2)</formula>
    </cfRule>
  </conditionalFormatting>
  <conditionalFormatting sqref="C8">
    <cfRule type="expression" priority="1" dxfId="397" stopIfTrue="1">
      <formula>AND(TRIM($A8)="",OR($B8&lt;&gt;"",$C8&lt;&gt;"",$D8&lt;&gt;"",$E8&lt;&gt;"",$F8&lt;&gt;"",$I8&lt;&gt;""))</formula>
    </cfRule>
    <cfRule type="expression" priority="2" dxfId="397">
      <formula>AND(TRIM($A8)&lt;&gt;"",COUNTIF($A$2:$A$2002,$A8)&gt;1)</formula>
    </cfRule>
  </conditionalFormatting>
  <dataValidations count="3">
    <dataValidation sqref="D3001:D1048576 H3001:H1048576 M3001:N1048576" showDropDown="0" showInputMessage="1" showErrorMessage="1" allowBlank="1" type="custom">
      <formula1>FALSE</formula1>
    </dataValidation>
    <dataValidation sqref="A1:B3000 C1:C7 C9:C3000 D1:Z3000" showDropDown="0" showInputMessage="1" showErrorMessage="1" allowBlank="1"/>
    <dataValidation sqref="C8" showDropDown="0" showInputMessage="1" showErrorMessage="1" allowBlank="1" errorTitle="Automated field, foo 🤡" error="Skedaddle 💨. Don't overwrite formulas 😄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6">
    <tabColor theme="5" tint="0.5999938962981048"/>
    <outlinePr summaryBelow="1" summaryRight="1"/>
    <pageSetUpPr/>
  </sheetPr>
  <dimension ref="A1:Q501"/>
  <sheetViews>
    <sheetView workbookViewId="0">
      <pane xSplit="6" ySplit="1" topLeftCell="G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43.7109375" customWidth="1" style="91" min="1" max="1"/>
    <col width="10" customWidth="1" style="91" min="2" max="2"/>
    <col width="14" customWidth="1" style="91" min="4" max="4"/>
    <col width="16" customWidth="1" style="91" min="6" max="6"/>
    <col width="10" customWidth="1" style="91" min="7" max="7"/>
    <col width="14" customWidth="1" style="91" min="8" max="8"/>
    <col width="34" customWidth="1" style="91" min="9" max="9"/>
    <col width="26" customWidth="1" style="91" min="10" max="10"/>
    <col width="14" customWidth="1" style="91" min="11" max="11"/>
    <col width="24" customWidth="1" style="91" min="14" max="14"/>
  </cols>
  <sheetData>
    <row r="1" ht="42" customHeight="1" s="91">
      <c r="A1" s="90" t="inlineStr">
        <is>
          <t>Zone</t>
        </is>
      </c>
      <c r="B1" s="90" t="inlineStr">
        <is>
          <t>Aisle</t>
        </is>
      </c>
      <c r="C1" s="90" t="inlineStr">
        <is>
          <t>Position/Slot</t>
        </is>
      </c>
      <c r="D1" s="90" t="inlineStr">
        <is>
          <t>LocationType</t>
        </is>
      </c>
      <c r="E1" s="90" t="inlineStr">
        <is>
          <t>AccessRating(1-5)</t>
        </is>
      </c>
      <c r="F1" s="90" t="inlineStr">
        <is>
          <t>QR_Payload</t>
        </is>
      </c>
      <c r="G1" s="90" t="inlineStr">
        <is>
          <t>Expires (AUTO)</t>
        </is>
      </c>
      <c r="H1" s="90" t="inlineStr">
        <is>
          <t>DisplayLabel (AUTO)</t>
        </is>
      </c>
      <c r="I1" s="90" t="inlineStr">
        <is>
          <t>Notes</t>
        </is>
      </c>
      <c r="J1" s="38" t="inlineStr">
        <is>
          <t>AisleNum (AUTO)</t>
        </is>
      </c>
      <c r="K1" s="38" t="inlineStr">
        <is>
          <t>SlotNum (AUTO)</t>
        </is>
      </c>
      <c r="L1" s="38" t="inlineStr">
        <is>
          <t>LevelNum (AUTO)</t>
        </is>
      </c>
      <c r="M1" s="38" t="inlineStr">
        <is>
          <t>PrismNode (AUTO)</t>
        </is>
      </c>
      <c r="N1" s="38" t="inlineStr">
        <is>
          <t>GridCol (AUTO)</t>
        </is>
      </c>
      <c r="O1" t="inlineStr">
        <is>
          <t>GridRow (AUTO)</t>
        </is>
      </c>
      <c r="P1" t="inlineStr">
        <is>
          <t>GridNode (AUTO)</t>
        </is>
      </c>
      <c r="Q1" t="inlineStr">
        <is>
          <t>WH</t>
        </is>
      </c>
    </row>
    <row r="2">
      <c r="A2" t="inlineStr">
        <is>
          <t>STAGED</t>
        </is>
      </c>
      <c r="B2" t="inlineStr">
        <is>
          <t>STAGE_IN</t>
        </is>
      </c>
      <c r="E2" t="inlineStr">
        <is>
          <t>Inbound staging</t>
        </is>
      </c>
      <c r="F2" t="n">
        <v>1</v>
      </c>
      <c r="G2" t="n">
        <v>0</v>
      </c>
      <c r="H2">
        <f>A2</f>
        <v/>
      </c>
      <c r="I2" t="inlineStr">
        <is>
          <t>WH-STAGE-OUT</t>
        </is>
      </c>
      <c r="J2">
        <f>IF($I2&lt;&gt;"",$I2,$A2)</f>
        <v/>
      </c>
      <c r="K2">
        <f>IF($C2="","",IF(LEN($C2)=1,CODE(UPPER($C2))-64,IFERROR(VALUE(MID($C2,2,99)),"")))</f>
        <v/>
      </c>
      <c r="L2">
        <f>IF($D2="","",IFERROR(VALUE($D2),""))</f>
        <v/>
      </c>
      <c r="M2">
        <f>IFERROR(VALUE(MID($A2,FIND("Level",$A2)+5,99)),IF($E2="AISLE_FLOOR",0,IF($E2="OVERFLOW",0,IF($E2="ENDCAP",0,""))))</f>
        <v/>
      </c>
      <c r="N2">
        <f>IF(AND($B2&lt;&gt;"",$C2&lt;&gt;"",ISNUMBER(--$D2)), $B2&amp;": "&amp;LEFT($C2,1)&amp;TEXT(--$D2,"00"), IF($I2&lt;&gt;"",$I2,$A2))</f>
        <v/>
      </c>
      <c r="O2">
        <f>IF(AND($C2&lt;&gt;"",ISNUMBER(--$D2)),LEFT($C2,1),"")</f>
        <v/>
      </c>
      <c r="P2">
        <f>IF(ISNUMBER(--$D2),--$D2,"")</f>
        <v/>
      </c>
      <c r="Q2">
        <f>IF(AND($O2&lt;&gt;"",$P2&lt;&gt;""),$O2&amp;TEXT($P2,"00"),"")</f>
        <v/>
      </c>
    </row>
    <row r="3">
      <c r="A3" t="inlineStr">
        <is>
          <t>STAGE_OUT</t>
        </is>
      </c>
      <c r="B3" t="inlineStr">
        <is>
          <t>STAGE_IN</t>
        </is>
      </c>
      <c r="E3" t="inlineStr">
        <is>
          <t>Outbound / ship staging</t>
        </is>
      </c>
      <c r="F3" t="n">
        <v>1</v>
      </c>
      <c r="G3" t="n">
        <v>0</v>
      </c>
      <c r="H3">
        <f>A3</f>
        <v/>
      </c>
      <c r="I3" t="inlineStr">
        <is>
          <t>WH-QUARANTINE</t>
        </is>
      </c>
      <c r="J3">
        <f>IF($I3&lt;&gt;"",$I3,$A3)</f>
        <v/>
      </c>
      <c r="K3">
        <f>IF($C3="","",IF(LEN($C3)=1,CODE(UPPER($C3))-64,IFERROR(VALUE(MID($C3,2,99)),"")))</f>
        <v/>
      </c>
      <c r="L3">
        <f>IF($D3="","",IFERROR(VALUE($D3),""))</f>
        <v/>
      </c>
      <c r="M3">
        <f>IFERROR(VALUE(MID($A3,FIND("Level",$A3)+5,99)),IF($E3="AISLE_FLOOR",0,IF($E3="OVERFLOW",0,IF($E3="ENDCAP",0,""))))</f>
        <v/>
      </c>
      <c r="N3">
        <f>IF(AND($B3&lt;&gt;"",$C3&lt;&gt;"",ISNUMBER(--$D3)), $B3&amp;": "&amp;LEFT($C3,1)&amp;TEXT(--$D3,"00"), IF($I3&lt;&gt;"",$I3,$A3))</f>
        <v/>
      </c>
      <c r="O3">
        <f>IF(AND($C3&lt;&gt;"",ISNUMBER(--$D3)),LEFT($C3,1),"")</f>
        <v/>
      </c>
      <c r="P3">
        <f>IF(ISNUMBER(--$D3),--$D3,"")</f>
        <v/>
      </c>
      <c r="Q3">
        <f>IF(AND($O3&lt;&gt;"",$P3&lt;&gt;""),$O3&amp;TEXT($P3,"00"),"")</f>
        <v/>
      </c>
    </row>
    <row r="4">
      <c r="A4" t="inlineStr">
        <is>
          <t>QUARANTINE</t>
        </is>
      </c>
      <c r="B4" t="inlineStr">
        <is>
          <t>STAGE_IN</t>
        </is>
      </c>
      <c r="E4" t="inlineStr">
        <is>
          <t>Damaged/unknown hold</t>
        </is>
      </c>
      <c r="F4" t="n">
        <v>2</v>
      </c>
      <c r="G4" t="n">
        <v>0</v>
      </c>
      <c r="H4">
        <f>A4</f>
        <v/>
      </c>
      <c r="I4" t="inlineStr">
        <is>
          <t>WH-Z1-A01-ENDCAP-L</t>
        </is>
      </c>
      <c r="J4">
        <f>IF($I4&lt;&gt;"",$I4,$A4)</f>
        <v/>
      </c>
      <c r="K4">
        <f>IF($C4="","",IF(LEN($C4)=1,CODE(UPPER($C4))-64,IFERROR(VALUE(MID($C4,2,99)),"")))</f>
        <v/>
      </c>
      <c r="L4">
        <f>IF($D4="","",IFERROR(VALUE($D4),""))</f>
        <v/>
      </c>
      <c r="M4">
        <f>IFERROR(VALUE(MID($A4,FIND("Level",$A4)+5,99)),IF($E4="AISLE_FLOOR",0,IF($E4="OVERFLOW",0,IF($E4="ENDCAP",0,""))))</f>
        <v/>
      </c>
      <c r="N4">
        <f>IF(AND($B4&lt;&gt;"",$C4&lt;&gt;"",ISNUMBER(--$D4)), $B4&amp;": "&amp;LEFT($C4,1)&amp;TEXT(--$D4,"00"), IF($I4&lt;&gt;"",$I4,$A4))</f>
        <v/>
      </c>
      <c r="O4">
        <f>IF(AND($C4&lt;&gt;"",ISNUMBER(--$D4)),LEFT($C4,1),"")</f>
        <v/>
      </c>
      <c r="P4">
        <f>IF(ISNUMBER(--$D4),--$D4,"")</f>
        <v/>
      </c>
      <c r="Q4">
        <f>IF(AND($O4&lt;&gt;"",$P4&lt;&gt;""),$O4&amp;TEXT($P4,"00"),"")</f>
        <v/>
      </c>
    </row>
    <row r="5">
      <c r="A5" t="inlineStr">
        <is>
          <t>Z1</t>
        </is>
      </c>
      <c r="B5" t="inlineStr">
        <is>
          <t>A01</t>
        </is>
      </c>
      <c r="C5" t="inlineStr">
        <is>
          <t>L</t>
        </is>
      </c>
      <c r="D5" t="inlineStr">
        <is>
          <t>ENDCAP</t>
        </is>
      </c>
      <c r="E5" t="inlineStr">
        <is>
          <t>Endcap left</t>
        </is>
      </c>
      <c r="F5" t="n">
        <v>1</v>
      </c>
      <c r="G5" t="n">
        <v>2</v>
      </c>
      <c r="H5">
        <f>A5</f>
        <v/>
      </c>
      <c r="I5" t="inlineStr">
        <is>
          <t>WH-Z1-AisleA-Bay1-Level1</t>
        </is>
      </c>
      <c r="J5">
        <f>IF($I5&lt;&gt;"",$I5,$A5)</f>
        <v/>
      </c>
      <c r="K5">
        <f>IF($C5="","",IF(LEN($C5)=1,CODE(UPPER($C5))-64,IFERROR(VALUE(MID($C5,2,99)),"")))</f>
        <v/>
      </c>
      <c r="L5">
        <f>IF($D5="","",IFERROR(VALUE($D5),""))</f>
        <v/>
      </c>
      <c r="M5">
        <f>IFERROR(VALUE(MID($A5,FIND("Level",$A5)+5,99)),IF($E5="AISLE_FLOOR",0,IF($E5="OVERFLOW",0,IF($E5="ENDCAP",0,""))))</f>
        <v/>
      </c>
      <c r="N5">
        <f>IF(AND($B5&lt;&gt;"",$C5&lt;&gt;"",ISNUMBER(--$D5)), $B5&amp;": "&amp;LEFT($C5,1)&amp;TEXT(--$D5,"00"), IF($I5&lt;&gt;"",$I5,$A5))</f>
        <v/>
      </c>
      <c r="O5">
        <f>IF(AND($C5&lt;&gt;"",ISNUMBER(--$D5)),LEFT($C5,1),"")</f>
        <v/>
      </c>
      <c r="P5">
        <f>IF(ISNUMBER(--$D5),--$D5,"")</f>
        <v/>
      </c>
      <c r="Q5">
        <f>IF(AND($O5&lt;&gt;"",$P5&lt;&gt;""),$O5&amp;TEXT($P5,"00"),"")</f>
        <v/>
      </c>
    </row>
    <row r="6">
      <c r="A6" t="inlineStr">
        <is>
          <t>A</t>
        </is>
      </c>
      <c r="B6" t="inlineStr">
        <is>
          <t>A01</t>
        </is>
      </c>
      <c r="C6" t="inlineStr">
        <is>
          <t>AISLE_FLOOR</t>
        </is>
      </c>
      <c r="D6" t="n">
        <v>1</v>
      </c>
      <c r="E6" t="inlineStr">
        <is>
          <t>Between rows segment 01</t>
        </is>
      </c>
      <c r="F6" t="n">
        <v>4</v>
      </c>
      <c r="G6" t="n">
        <v>2</v>
      </c>
      <c r="H6">
        <f>A6</f>
        <v/>
      </c>
      <c r="I6" t="inlineStr">
        <is>
          <t>WH-Z1-AisleA-Bay1-Level2</t>
        </is>
      </c>
      <c r="J6">
        <f>IF($I6&lt;&gt;"",$I6,$A6)</f>
        <v/>
      </c>
      <c r="K6">
        <f>IF($C6="","",IF(LEN($C6)=1,CODE(UPPER($C6))-64,IFERROR(VALUE(MID($C6,2,99)),"")))</f>
        <v/>
      </c>
      <c r="L6">
        <f>IF($D6="","",IFERROR(VALUE($D6),""))</f>
        <v/>
      </c>
      <c r="M6">
        <f>IFERROR(VALUE(MID($A6,FIND("Level",$A6)+5,99)),IF($E6="AISLE_FLOOR",0,IF($E6="OVERFLOW",0,IF($E6="ENDCAP",0,""))))</f>
        <v/>
      </c>
      <c r="N6">
        <f>IF(AND($B6&lt;&gt;"",$C6&lt;&gt;"",ISNUMBER(--$D6)), $B6&amp;": "&amp;LEFT($C6,1)&amp;TEXT(--$D6,"00"), IF($I6&lt;&gt;"",$I6,$A6))</f>
        <v/>
      </c>
      <c r="O6">
        <f>IF(AND($C6&lt;&gt;"",ISNUMBER(--$D6)),LEFT($C6,1),"")</f>
        <v/>
      </c>
      <c r="P6">
        <f>IF(ISNUMBER(--$D6),--$D6,"")</f>
        <v/>
      </c>
      <c r="Q6">
        <f>IF(AND($O6&lt;&gt;"",$P6&lt;&gt;""),$O6&amp;TEXT($P6,"00"),"")</f>
        <v/>
      </c>
    </row>
    <row r="7">
      <c r="A7" t="inlineStr">
        <is>
          <t>Between rows segment 02</t>
        </is>
      </c>
      <c r="B7" t="inlineStr">
        <is>
          <t>A01</t>
        </is>
      </c>
      <c r="C7" t="inlineStr">
        <is>
          <t>AISLE_FLOOR</t>
        </is>
      </c>
      <c r="D7" t="n">
        <v>1</v>
      </c>
      <c r="E7" t="inlineStr">
        <is>
          <t>Between rows segment 01</t>
        </is>
      </c>
      <c r="F7" t="n">
        <v>4</v>
      </c>
      <c r="G7" t="n">
        <v>2</v>
      </c>
      <c r="H7">
        <f>A7</f>
        <v/>
      </c>
      <c r="I7" t="inlineStr">
        <is>
          <t>WH-Z1-A01-OVERFLOW-01</t>
        </is>
      </c>
      <c r="J7">
        <f>IF($I7&lt;&gt;"",$I7,$A7)</f>
        <v/>
      </c>
      <c r="K7">
        <f>IF($C7="","",IF(LEN($C7)=1,CODE(UPPER($C7))-64,IFERROR(VALUE(MID($C7,2,99)),"")))</f>
        <v/>
      </c>
      <c r="L7">
        <f>IF($D7="","",IFERROR(VALUE($D7),""))</f>
        <v/>
      </c>
      <c r="M7">
        <f>IFERROR(VALUE(MID($A7,FIND("Level",$A7)+5,99)),IF($E7="AISLE_FLOOR",0,IF($E7="OVERFLOW",0,IF($E7="ENDCAP",0,""))))</f>
        <v/>
      </c>
      <c r="N7">
        <f>IF(AND($B7&lt;&gt;"",$C7&lt;&gt;"",ISNUMBER(--$D7)), $B7&amp;": "&amp;LEFT($C7,1)&amp;TEXT(--$D7,"00"), IF($I7&lt;&gt;"",$I7,$A7))</f>
        <v/>
      </c>
      <c r="O7">
        <f>IF(AND($C7&lt;&gt;"",ISNUMBER(--$D7)),LEFT($C7,1),"")</f>
        <v/>
      </c>
      <c r="P7">
        <f>IF(ISNUMBER(--$D7),--$D7,"")</f>
        <v/>
      </c>
      <c r="Q7">
        <f>IF(AND($O7&lt;&gt;"",$P7&lt;&gt;""),$O7&amp;TEXT($P7,"00"),"")</f>
        <v/>
      </c>
    </row>
    <row r="8">
      <c r="A8" t="inlineStr">
        <is>
          <t>01</t>
        </is>
      </c>
      <c r="B8" t="inlineStr">
        <is>
          <t>A01</t>
        </is>
      </c>
      <c r="C8" t="inlineStr">
        <is>
          <t>L</t>
        </is>
      </c>
      <c r="D8" t="inlineStr">
        <is>
          <t>OVERFLOW</t>
        </is>
      </c>
      <c r="E8" t="inlineStr">
        <is>
          <t>Overflow slot 01</t>
        </is>
      </c>
      <c r="F8" t="n">
        <v>3</v>
      </c>
      <c r="G8" t="n">
        <v>7</v>
      </c>
      <c r="H8">
        <f>A8</f>
        <v/>
      </c>
      <c r="I8" t="inlineStr">
        <is>
          <t>CHRIS</t>
        </is>
      </c>
      <c r="J8">
        <f>IF($I8&lt;&gt;"",$I8,$A8)</f>
        <v/>
      </c>
      <c r="K8">
        <f>IF($C8="","",IF(LEN($C8)=1,CODE(UPPER($C8))-64,IFERROR(VALUE(MID($C8,2,99)),"")))</f>
        <v/>
      </c>
      <c r="L8">
        <f>IF($D8="","",IFERROR(VALUE($D8),""))</f>
        <v/>
      </c>
      <c r="M8">
        <f>IFERROR(VALUE(MID($A8,FIND("Level",$A8)+5,99)),IF($E8="AISLE_FLOOR",0,IF($E8="OVERFLOW",0,IF($E8="ENDCAP",0,""))))</f>
        <v/>
      </c>
      <c r="N8">
        <f>IF(AND($B8&lt;&gt;"",$C8&lt;&gt;"",ISNUMBER(--$D8)), $B8&amp;": "&amp;LEFT($C8,1)&amp;TEXT(--$D8,"00"), IF($I8&lt;&gt;"",$I8,$A8))</f>
        <v/>
      </c>
      <c r="O8">
        <f>IF(AND($C8&lt;&gt;"",ISNUMBER(--$D8)),LEFT($C8,1),"")</f>
        <v/>
      </c>
      <c r="P8">
        <f>IF(ISNUMBER(--$D8),--$D8,"")</f>
        <v/>
      </c>
      <c r="Q8">
        <f>IF(AND($O8&lt;&gt;"",$P8&lt;&gt;""),$O8&amp;TEXT($P8,"00"),"")</f>
        <v/>
      </c>
    </row>
    <row r="9">
      <c r="A9" t="inlineStr">
        <is>
          <t>UNSAFE</t>
        </is>
      </c>
      <c r="B9" t="inlineStr">
        <is>
          <t>Custom location code from Warehouse Ledger (details TBD).</t>
        </is>
      </c>
      <c r="E9" t="inlineStr">
        <is>
          <t>Overflow slot 01</t>
        </is>
      </c>
      <c r="F9" t="n">
        <v>3</v>
      </c>
      <c r="G9" t="n">
        <v>0</v>
      </c>
      <c r="H9">
        <f>A9</f>
        <v/>
      </c>
      <c r="I9" t="inlineStr">
        <is>
          <t>WH-Z1-AisleA-Bay1-Level3</t>
        </is>
      </c>
      <c r="J9">
        <f>IF($I9&lt;&gt;"",$I9,$A9)</f>
        <v/>
      </c>
      <c r="K9">
        <f>IF($C9="","",IF(LEN($C9)=1,CODE(UPPER($C9))-64,IFERROR(VALUE(MID($C9,2,99)),"")))</f>
        <v/>
      </c>
      <c r="L9">
        <f>IF($D9="","",IFERROR(VALUE($D9),""))</f>
        <v/>
      </c>
      <c r="M9">
        <f>IFERROR(VALUE(MID($A9,FIND("Level",$A9)+5,99)),IF($E9="AISLE_FLOOR",0,IF($E9="OVERFLOW",0,IF($E9="ENDCAP",0,""))))</f>
        <v/>
      </c>
      <c r="N9">
        <f>IF(AND($B9&lt;&gt;"",$C9&lt;&gt;"",ISNUMBER(--$D9)), $B9&amp;": "&amp;LEFT($C9,1)&amp;TEXT(--$D9,"00"), IF($I9&lt;&gt;"",$I9,$A9))</f>
        <v/>
      </c>
      <c r="O9">
        <f>IF(AND($C9&lt;&gt;"",ISNUMBER(--$D9)),LEFT($C9,1),"")</f>
        <v/>
      </c>
      <c r="P9">
        <f>IF(ISNUMBER(--$D9),--$D9,"")</f>
        <v/>
      </c>
      <c r="Q9">
        <f>IF(AND($O9&lt;&gt;"",$P9&lt;&gt;""),$O9&amp;TEXT($P9,"00"),"")</f>
        <v/>
      </c>
    </row>
    <row r="10">
      <c r="A10" t="inlineStr">
        <is>
          <t>SAMPLE: Grid A03</t>
        </is>
      </c>
      <c r="B10" t="inlineStr">
        <is>
          <t>A01</t>
        </is>
      </c>
      <c r="C10" t="inlineStr">
        <is>
          <t>AISLE_FLOOR</t>
        </is>
      </c>
      <c r="D10" t="n">
        <v>1</v>
      </c>
      <c r="E10" t="inlineStr">
        <is>
          <t>Between rows segment 01</t>
        </is>
      </c>
      <c r="F10" t="n">
        <v>4</v>
      </c>
      <c r="G10" t="n">
        <v>2</v>
      </c>
      <c r="H10">
        <f>A10</f>
        <v/>
      </c>
      <c r="I10" t="inlineStr">
        <is>
          <t>WH-Z1-AisleA-Bay1-Level4</t>
        </is>
      </c>
      <c r="J10">
        <f>IF($I10&lt;&gt;"",$I10,$A10)</f>
        <v/>
      </c>
      <c r="K10">
        <f>IF($C10="","",IF(LEN($C10)=1,CODE(UPPER($C10))-64,IFERROR(VALUE(MID($C10,2,99)),"")))</f>
        <v/>
      </c>
      <c r="L10">
        <f>IF($D10="","",IFERROR(VALUE($D10),""))</f>
        <v/>
      </c>
      <c r="M10">
        <f>IFERROR(VALUE(MID($A10,FIND("Level",$A10)+5,99)),IF($E10="AISLE_FLOOR",0,IF($E10="OVERFLOW",0,IF($E10="ENDCAP",0,""))))</f>
        <v/>
      </c>
      <c r="N10">
        <f>IF(AND($B10&lt;&gt;"",$C10&lt;&gt;"",ISNUMBER(--$D10)), $B10&amp;": "&amp;LEFT($C10,1)&amp;TEXT(--$D10,"00"), IF($I10&lt;&gt;"",$I10,$A10))</f>
        <v/>
      </c>
      <c r="O10">
        <f>IF(AND($C10&lt;&gt;"",ISNUMBER(--$D10)),LEFT($C10,1),"")</f>
        <v/>
      </c>
      <c r="P10">
        <f>IF(ISNUMBER(--$D10),--$D10,"")</f>
        <v/>
      </c>
      <c r="Q10">
        <f>IF(AND($O10&lt;&gt;"",$P10&lt;&gt;""),$O10&amp;TEXT($P10,"00"),"")</f>
        <v/>
      </c>
    </row>
    <row r="11">
      <c r="A11" t="inlineStr">
        <is>
          <t>SAMPLE: Grid A04</t>
        </is>
      </c>
      <c r="B11" t="inlineStr">
        <is>
          <t>A01</t>
        </is>
      </c>
      <c r="C11" t="inlineStr">
        <is>
          <t>AISLE_FLOOR</t>
        </is>
      </c>
      <c r="D11" t="n">
        <v>1</v>
      </c>
      <c r="E11" t="inlineStr">
        <is>
          <t>Between rows segment 01</t>
        </is>
      </c>
      <c r="F11" t="n">
        <v>4</v>
      </c>
      <c r="G11" t="n">
        <v>2</v>
      </c>
      <c r="H11">
        <f>A11</f>
        <v/>
      </c>
      <c r="I11" t="inlineStr">
        <is>
          <t>SAMPLE: Grid A05</t>
        </is>
      </c>
      <c r="J11">
        <f>IF($I11&lt;&gt;"",$I11,$A11)</f>
        <v/>
      </c>
      <c r="K11">
        <f>IF($C11="","",IF(LEN($C11)=1,CODE(UPPER($C11))-64,IFERROR(VALUE(MID($C11,2,99)),"")))</f>
        <v/>
      </c>
      <c r="L11">
        <f>IF($D11="","",IFERROR(VALUE($D11),""))</f>
        <v/>
      </c>
      <c r="M11">
        <f>IFERROR(VALUE(MID($A11,FIND("Level",$A11)+5,99)),IF($E11="AISLE_FLOOR",0,IF($E11="OVERFLOW",0,IF($E11="ENDCAP",0,""))))</f>
        <v/>
      </c>
      <c r="N11">
        <f>IF(AND($B11&lt;&gt;"",$C11&lt;&gt;"",ISNUMBER(--$D11)), $B11&amp;": "&amp;LEFT($C11,1)&amp;TEXT(--$D11,"00"), IF($I11&lt;&gt;"",$I11,$A11))</f>
        <v/>
      </c>
      <c r="O11">
        <f>IF(AND($C11&lt;&gt;"",ISNUMBER(--$D11)),LEFT($C11,1),"")</f>
        <v/>
      </c>
      <c r="P11">
        <f>IF(ISNUMBER(--$D11),--$D11,"")</f>
        <v/>
      </c>
      <c r="Q11">
        <f>IF(AND($O11&lt;&gt;"",$P11&lt;&gt;""),$O11&amp;TEXT($P11,"00"),"")</f>
        <v/>
      </c>
    </row>
    <row r="12">
      <c r="A12" t="inlineStr">
        <is>
          <t>SAMPLE: Power Supplies</t>
        </is>
      </c>
      <c r="B12" t="inlineStr">
        <is>
          <t>A01</t>
        </is>
      </c>
      <c r="C12" t="inlineStr">
        <is>
          <t>AISLE_FLOOR</t>
        </is>
      </c>
      <c r="D12" t="n">
        <v>1</v>
      </c>
      <c r="E12" t="inlineStr">
        <is>
          <t>Between rows segment 01</t>
        </is>
      </c>
      <c r="F12" t="n">
        <v>4</v>
      </c>
      <c r="G12" t="n">
        <v>2</v>
      </c>
      <c r="H12">
        <f>A12</f>
        <v/>
      </c>
      <c r="I12" t="inlineStr">
        <is>
          <t>SAMPLE: Grid A06</t>
        </is>
      </c>
      <c r="J12">
        <f>IF($I12&lt;&gt;"",$I12,$A12)</f>
        <v/>
      </c>
      <c r="K12">
        <f>IF($C12="","",IF(LEN($C12)=1,CODE(UPPER($C12))-64,IFERROR(VALUE(MID($C12,2,99)),"")))</f>
        <v/>
      </c>
      <c r="L12">
        <f>IF($D12="","",IFERROR(VALUE($D12),""))</f>
        <v/>
      </c>
      <c r="M12">
        <f>IFERROR(VALUE(MID($A12,FIND("Level",$A12)+5,99)),IF($E12="AISLE_FLOOR",0,IF($E12="OVERFLOW",0,IF($E12="ENDCAP",0,""))))</f>
        <v/>
      </c>
      <c r="N12">
        <f>IF(AND($B12&lt;&gt;"",$C12&lt;&gt;"",ISNUMBER(--$D12)), $B12&amp;": "&amp;LEFT($C12,1)&amp;TEXT(--$D12,"00"), IF($I12&lt;&gt;"",$I12,$A12))</f>
        <v/>
      </c>
      <c r="O12">
        <f>IF(AND($C12&lt;&gt;"",ISNUMBER(--$D12)),LEFT($C12,1),"")</f>
        <v/>
      </c>
      <c r="P12">
        <f>IF(ISNUMBER(--$D12),--$D12,"")</f>
        <v/>
      </c>
      <c r="Q12">
        <f>IF(AND($O12&lt;&gt;"",$P12&lt;&gt;""),$O12&amp;TEXT($P12,"00"),"")</f>
        <v/>
      </c>
    </row>
    <row r="13">
      <c r="A13" t="inlineStr">
        <is>
          <t>SAMPLE: Imaging Equipment</t>
        </is>
      </c>
      <c r="B13" t="inlineStr">
        <is>
          <t>A01</t>
        </is>
      </c>
      <c r="C13" t="inlineStr">
        <is>
          <t>AISLE_FLOOR</t>
        </is>
      </c>
      <c r="D13" t="n">
        <v>1</v>
      </c>
      <c r="E13" t="inlineStr">
        <is>
          <t>Between rows segment 01</t>
        </is>
      </c>
      <c r="F13" t="n">
        <v>4</v>
      </c>
      <c r="G13" t="n">
        <v>2</v>
      </c>
      <c r="H13">
        <f>A13</f>
        <v/>
      </c>
      <c r="I13" t="inlineStr">
        <is>
          <t>SAMPLE: Grid A07</t>
        </is>
      </c>
      <c r="J13">
        <f>IF($I13&lt;&gt;"",$I13,$A13)</f>
        <v/>
      </c>
      <c r="K13">
        <f>IF($C13="","",IF(LEN($C13)=1,CODE(UPPER($C13))-64,IFERROR(VALUE(MID($C13,2,99)),"")))</f>
        <v/>
      </c>
      <c r="L13">
        <f>IF($D13="","",IFERROR(VALUE($D13),""))</f>
        <v/>
      </c>
      <c r="M13">
        <f>IFERROR(VALUE(MID($A13,FIND("Level",$A13)+5,99)),IF($E13="AISLE_FLOOR",0,IF($E13="OVERFLOW",0,IF($E13="ENDCAP",0,""))))</f>
        <v/>
      </c>
      <c r="N13">
        <f>IF(AND($B13&lt;&gt;"",$C13&lt;&gt;"",ISNUMBER(--$D13)), $B13&amp;": "&amp;LEFT($C13,1)&amp;TEXT(--$D13,"00"), IF($I13&lt;&gt;"",$I13,$A13))</f>
        <v/>
      </c>
      <c r="O13">
        <f>IF(AND($C13&lt;&gt;"",ISNUMBER(--$D13)),LEFT($C13,1),"")</f>
        <v/>
      </c>
      <c r="P13">
        <f>IF(ISNUMBER(--$D13),--$D13,"")</f>
        <v/>
      </c>
      <c r="Q13">
        <f>IF(AND($O13&lt;&gt;"",$P13&lt;&gt;""),$O13&amp;TEXT($P13,"00"),"")</f>
        <v/>
      </c>
    </row>
    <row r="14">
      <c r="A14" t="inlineStr">
        <is>
          <t>SAMPLE: Misc Hardware</t>
        </is>
      </c>
      <c r="B14" t="inlineStr">
        <is>
          <t>A01</t>
        </is>
      </c>
      <c r="C14" t="inlineStr">
        <is>
          <t>AISLE_FLOOR</t>
        </is>
      </c>
      <c r="D14" t="n">
        <v>1</v>
      </c>
      <c r="E14" t="inlineStr">
        <is>
          <t>Between rows segment 01</t>
        </is>
      </c>
      <c r="F14" t="n">
        <v>4</v>
      </c>
      <c r="G14" t="n">
        <v>2</v>
      </c>
      <c r="H14">
        <f>A14</f>
        <v/>
      </c>
      <c r="I14" t="inlineStr">
        <is>
          <t>SAMPLE: Grid A08</t>
        </is>
      </c>
      <c r="J14">
        <f>IF($I14&lt;&gt;"",$I14,$A14)</f>
        <v/>
      </c>
      <c r="K14">
        <f>IF($C14="","",IF(LEN($C14)=1,CODE(UPPER($C14))-64,IFERROR(VALUE(MID($C14,2,99)),"")))</f>
        <v/>
      </c>
      <c r="L14">
        <f>IF($D14="","",IFERROR(VALUE($D14),""))</f>
        <v/>
      </c>
      <c r="M14">
        <f>IFERROR(VALUE(MID($A14,FIND("Level",$A14)+5,99)),IF($E14="AISLE_FLOOR",0,IF($E14="OVERFLOW",0,IF($E14="ENDCAP",0,""))))</f>
        <v/>
      </c>
      <c r="N14">
        <f>IF(AND($B14&lt;&gt;"",$C14&lt;&gt;"",ISNUMBER(--$D14)), $B14&amp;": "&amp;LEFT($C14,1)&amp;TEXT(--$D14,"00"), IF($I14&lt;&gt;"",$I14,$A14))</f>
        <v/>
      </c>
      <c r="O14">
        <f>IF(AND($C14&lt;&gt;"",ISNUMBER(--$D14)),LEFT($C14,1),"")</f>
        <v/>
      </c>
      <c r="P14">
        <f>IF(ISNUMBER(--$D14),--$D14,"")</f>
        <v/>
      </c>
      <c r="Q14">
        <f>IF(AND($O14&lt;&gt;"",$P14&lt;&gt;""),$O14&amp;TEXT($P14,"00"),"")</f>
        <v/>
      </c>
    </row>
    <row r="15">
      <c r="A15" t="inlineStr">
        <is>
          <t>SAMPLE: Dell Devices</t>
        </is>
      </c>
      <c r="B15" t="inlineStr">
        <is>
          <t>A01</t>
        </is>
      </c>
      <c r="C15" t="inlineStr">
        <is>
          <t>AISLE_FLOOR</t>
        </is>
      </c>
      <c r="D15" t="n">
        <v>1</v>
      </c>
      <c r="E15" t="inlineStr">
        <is>
          <t>Between rows segment 01</t>
        </is>
      </c>
      <c r="F15" t="n">
        <v>4</v>
      </c>
      <c r="G15" t="n">
        <v>2</v>
      </c>
      <c r="H15">
        <f>A15</f>
        <v/>
      </c>
      <c r="I15" t="inlineStr">
        <is>
          <t>SAMPLE: Grid A09</t>
        </is>
      </c>
      <c r="J15">
        <f>IF($I15&lt;&gt;"",$I15,$A15)</f>
        <v/>
      </c>
      <c r="K15">
        <f>IF($C15="","",IF(LEN($C15)=1,CODE(UPPER($C15))-64,IFERROR(VALUE(MID($C15,2,99)),"")))</f>
        <v/>
      </c>
      <c r="L15">
        <f>IF($D15="","",IFERROR(VALUE($D15),""))</f>
        <v/>
      </c>
      <c r="M15">
        <f>IFERROR(VALUE(MID($A15,FIND("Level",$A15)+5,99)),IF($E15="AISLE_FLOOR",0,IF($E15="OVERFLOW",0,IF($E15="ENDCAP",0,""))))</f>
        <v/>
      </c>
      <c r="N15">
        <f>IF(AND($B15&lt;&gt;"",$C15&lt;&gt;"",ISNUMBER(--$D15)), $B15&amp;": "&amp;LEFT($C15,1)&amp;TEXT(--$D15,"00"), IF($I15&lt;&gt;"",$I15,$A15))</f>
        <v/>
      </c>
      <c r="O15">
        <f>IF(AND($C15&lt;&gt;"",ISNUMBER(--$D15)),LEFT($C15,1),"")</f>
        <v/>
      </c>
      <c r="P15">
        <f>IF(ISNUMBER(--$D15),--$D15,"")</f>
        <v/>
      </c>
      <c r="Q15">
        <f>IF(AND($O15&lt;&gt;"",$P15&lt;&gt;""),$O15&amp;TEXT($P15,"00"),"")</f>
        <v/>
      </c>
    </row>
    <row r="16">
      <c r="A16" t="inlineStr">
        <is>
          <t>PAL-0000013</t>
        </is>
      </c>
      <c r="B16" t="inlineStr">
        <is>
          <t>A01</t>
        </is>
      </c>
      <c r="C16" t="inlineStr">
        <is>
          <t>AISLE_FLOOR</t>
        </is>
      </c>
      <c r="D16" t="n">
        <v>1</v>
      </c>
      <c r="E16" t="inlineStr">
        <is>
          <t>Between rows segment 01</t>
        </is>
      </c>
      <c r="F16" t="n">
        <v>4</v>
      </c>
      <c r="G16" t="n">
        <v>2</v>
      </c>
      <c r="H16">
        <f>A16</f>
        <v/>
      </c>
      <c r="I16" t="inlineStr">
        <is>
          <t>SAMPLE: Grid A10</t>
        </is>
      </c>
      <c r="J16">
        <f>IF($I16&lt;&gt;"",$I16,$A16)</f>
        <v/>
      </c>
      <c r="K16">
        <f>IF($C16="","",IF(LEN($C16)=1,CODE(UPPER($C16))-64,IFERROR(VALUE(MID($C16,2,99)),"")))</f>
        <v/>
      </c>
      <c r="L16">
        <f>IF($D16="","",IFERROR(VALUE($D16),""))</f>
        <v/>
      </c>
      <c r="M16">
        <f>IFERROR(VALUE(MID($A16,FIND("Level",$A16)+5,99)),IF($E16="AISLE_FLOOR",0,IF($E16="OVERFLOW",0,IF($E16="ENDCAP",0,""))))</f>
        <v/>
      </c>
      <c r="N16">
        <f>IF(AND($B16&lt;&gt;"",$C16&lt;&gt;"",ISNUMBER(--$D16)), $B16&amp;": "&amp;LEFT($C16,1)&amp;TEXT(--$D16,"00"), IF($I16&lt;&gt;"",$I16,$A16))</f>
        <v/>
      </c>
      <c r="O16">
        <f>IF(AND($C16&lt;&gt;"",ISNUMBER(--$D16)),LEFT($C16,1),"")</f>
        <v/>
      </c>
      <c r="P16">
        <f>IF(ISNUMBER(--$D16),--$D16,"")</f>
        <v/>
      </c>
      <c r="Q16">
        <f>IF(AND($O16&lt;&gt;"",$P16&lt;&gt;""),$O16&amp;TEXT($P16,"00"),"")</f>
        <v/>
      </c>
    </row>
    <row r="17">
      <c r="A17" t="inlineStr">
        <is>
          <t>SAMPLE: Cables &amp; Adapters</t>
        </is>
      </c>
      <c r="B17" t="inlineStr">
        <is>
          <t>A01</t>
        </is>
      </c>
      <c r="C17" t="inlineStr">
        <is>
          <t>AISLE_FLOOR</t>
        </is>
      </c>
      <c r="D17" t="n">
        <v>1</v>
      </c>
      <c r="E17" t="inlineStr">
        <is>
          <t>Between rows segment 01</t>
        </is>
      </c>
      <c r="F17" t="n">
        <v>4</v>
      </c>
      <c r="G17" t="n">
        <v>2</v>
      </c>
      <c r="H17">
        <f>A17</f>
        <v/>
      </c>
      <c r="I17" t="inlineStr">
        <is>
          <t>SAMPLE: Grid A11</t>
        </is>
      </c>
      <c r="J17">
        <f>IF($I17&lt;&gt;"",$I17,$A17)</f>
        <v/>
      </c>
      <c r="K17">
        <f>IF($C17="","",IF(LEN($C17)=1,CODE(UPPER($C17))-64,IFERROR(VALUE(MID($C17,2,99)),"")))</f>
        <v/>
      </c>
      <c r="L17">
        <f>IF($D17="","",IFERROR(VALUE($D17),""))</f>
        <v/>
      </c>
      <c r="M17">
        <f>IFERROR(VALUE(MID($A17,FIND("Level",$A17)+5,99)),IF($E17="AISLE_FLOOR",0,IF($E17="OVERFLOW",0,IF($E17="ENDCAP",0,""))))</f>
        <v/>
      </c>
      <c r="N17">
        <f>IF(AND($B17&lt;&gt;"",$C17&lt;&gt;"",ISNUMBER(--$D17)), $B17&amp;": "&amp;LEFT($C17,1)&amp;TEXT(--$D17,"00"), IF($I17&lt;&gt;"",$I17,$A17))</f>
        <v/>
      </c>
      <c r="O17">
        <f>IF(AND($C17&lt;&gt;"",ISNUMBER(--$D17)),LEFT($C17,1),"")</f>
        <v/>
      </c>
      <c r="P17">
        <f>IF(ISNUMBER(--$D17),--$D17,"")</f>
        <v/>
      </c>
      <c r="Q17">
        <f>IF(AND($O17&lt;&gt;"",$P17&lt;&gt;""),$O17&amp;TEXT($P17,"00"),"")</f>
        <v/>
      </c>
    </row>
    <row r="18">
      <c r="A18" t="inlineStr">
        <is>
          <t>SAMPLE: Racks &amp; Rails</t>
        </is>
      </c>
      <c r="B18" t="inlineStr">
        <is>
          <t>A01</t>
        </is>
      </c>
      <c r="C18" t="inlineStr">
        <is>
          <t>AISLE_FLOOR</t>
        </is>
      </c>
      <c r="D18" t="n">
        <v>1</v>
      </c>
      <c r="E18" t="inlineStr">
        <is>
          <t>Between rows segment 01</t>
        </is>
      </c>
      <c r="F18" t="n">
        <v>4</v>
      </c>
      <c r="G18" t="n">
        <v>2</v>
      </c>
      <c r="H18">
        <f>A18</f>
        <v/>
      </c>
      <c r="I18" t="inlineStr">
        <is>
          <t>SAMPLE: Grid A12</t>
        </is>
      </c>
      <c r="J18">
        <f>IF($I18&lt;&gt;"",$I18,$A18)</f>
        <v/>
      </c>
      <c r="K18">
        <f>IF($C18="","",IF(LEN($C18)=1,CODE(UPPER($C18))-64,IFERROR(VALUE(MID($C18,2,99)),"")))</f>
        <v/>
      </c>
      <c r="L18">
        <f>IF($D18="","",IFERROR(VALUE($D18),""))</f>
        <v/>
      </c>
      <c r="M18">
        <f>IFERROR(VALUE(MID($A18,FIND("Level",$A18)+5,99)),IF($E18="AISLE_FLOOR",0,IF($E18="OVERFLOW",0,IF($E18="ENDCAP",0,""))))</f>
        <v/>
      </c>
      <c r="N18">
        <f>IF(AND($B18&lt;&gt;"",$C18&lt;&gt;"",ISNUMBER(--$D18)), $B18&amp;": "&amp;LEFT($C18,1)&amp;TEXT(--$D18,"00"), IF($I18&lt;&gt;"",$I18,$A18))</f>
        <v/>
      </c>
      <c r="O18">
        <f>IF(AND($C18&lt;&gt;"",ISNUMBER(--$D18)),LEFT($C18,1),"")</f>
        <v/>
      </c>
      <c r="P18">
        <f>IF(ISNUMBER(--$D18),--$D18,"")</f>
        <v/>
      </c>
      <c r="Q18">
        <f>IF(AND($O18&lt;&gt;"",$P18&lt;&gt;""),$O18&amp;TEXT($P18,"00"),"")</f>
        <v/>
      </c>
    </row>
    <row r="19">
      <c r="A19" t="inlineStr">
        <is>
          <t>SAMPLE: Networking Gear</t>
        </is>
      </c>
      <c r="B19" t="inlineStr">
        <is>
          <t>A01</t>
        </is>
      </c>
      <c r="C19" t="inlineStr">
        <is>
          <t>AISLE_FLOOR</t>
        </is>
      </c>
      <c r="D19" t="n">
        <v>1</v>
      </c>
      <c r="E19" t="inlineStr">
        <is>
          <t>Between rows segment 01</t>
        </is>
      </c>
      <c r="F19" t="n">
        <v>4</v>
      </c>
      <c r="G19" t="n">
        <v>2</v>
      </c>
      <c r="H19">
        <f>A19</f>
        <v/>
      </c>
      <c r="I19" t="inlineStr">
        <is>
          <t>SAMPLE: Grid A13</t>
        </is>
      </c>
      <c r="J19">
        <f>IF($I19&lt;&gt;"",$I19,$A19)</f>
        <v/>
      </c>
      <c r="K19">
        <f>IF($C19="","",IF(LEN($C19)=1,CODE(UPPER($C19))-64,IFERROR(VALUE(MID($C19,2,99)),"")))</f>
        <v/>
      </c>
      <c r="L19">
        <f>IF($D19="","",IFERROR(VALUE($D19),""))</f>
        <v/>
      </c>
      <c r="M19">
        <f>IFERROR(VALUE(MID($A19,FIND("Level",$A19)+5,99)),IF($E19="AISLE_FLOOR",0,IF($E19="OVERFLOW",0,IF($E19="ENDCAP",0,""))))</f>
        <v/>
      </c>
      <c r="N19">
        <f>IF(AND($B19&lt;&gt;"",$C19&lt;&gt;"",ISNUMBER(--$D19)), $B19&amp;": "&amp;LEFT($C19,1)&amp;TEXT(--$D19,"00"), IF($I19&lt;&gt;"",$I19,$A19))</f>
        <v/>
      </c>
      <c r="O19">
        <f>IF(AND($C19&lt;&gt;"",ISNUMBER(--$D19)),LEFT($C19,1),"")</f>
        <v/>
      </c>
      <c r="P19">
        <f>IF(ISNUMBER(--$D19),--$D19,"")</f>
        <v/>
      </c>
      <c r="Q19">
        <f>IF(AND($O19&lt;&gt;"",$P19&lt;&gt;""),$O19&amp;TEXT($P19,"00"),"")</f>
        <v/>
      </c>
    </row>
    <row r="20">
      <c r="A20" t="inlineStr">
        <is>
          <t>SAMPLE: Keyboards &amp; Mice</t>
        </is>
      </c>
      <c r="B20" t="inlineStr">
        <is>
          <t>A01</t>
        </is>
      </c>
      <c r="C20" t="inlineStr">
        <is>
          <t>AISLE_FLOOR</t>
        </is>
      </c>
      <c r="D20" t="n">
        <v>1</v>
      </c>
      <c r="E20" t="inlineStr">
        <is>
          <t>Between rows segment 01</t>
        </is>
      </c>
      <c r="F20" t="n">
        <v>4</v>
      </c>
      <c r="G20" t="n">
        <v>2</v>
      </c>
      <c r="H20">
        <f>A20</f>
        <v/>
      </c>
      <c r="I20" t="inlineStr">
        <is>
          <t>SAMPLE: Grid A14</t>
        </is>
      </c>
      <c r="J20">
        <f>IF($I20&lt;&gt;"",$I20,$A20)</f>
        <v/>
      </c>
      <c r="K20">
        <f>IF($C20="","",IF(LEN($C20)=1,CODE(UPPER($C20))-64,IFERROR(VALUE(MID($C20,2,99)),"")))</f>
        <v/>
      </c>
      <c r="L20">
        <f>IF($D20="","",IFERROR(VALUE($D20),""))</f>
        <v/>
      </c>
      <c r="M20">
        <f>IFERROR(VALUE(MID($A20,FIND("Level",$A20)+5,99)),IF($E20="AISLE_FLOOR",0,IF($E20="OVERFLOW",0,IF($E20="ENDCAP",0,""))))</f>
        <v/>
      </c>
      <c r="N20">
        <f>IF(AND($B20&lt;&gt;"",$C20&lt;&gt;"",ISNUMBER(--$D20)), $B20&amp;": "&amp;LEFT($C20,1)&amp;TEXT(--$D20,"00"), IF($I20&lt;&gt;"",$I20,$A20))</f>
        <v/>
      </c>
      <c r="O20">
        <f>IF(AND($C20&lt;&gt;"",ISNUMBER(--$D20)),LEFT($C20,1),"")</f>
        <v/>
      </c>
      <c r="P20">
        <f>IF(ISNUMBER(--$D20),--$D20,"")</f>
        <v/>
      </c>
      <c r="Q20">
        <f>IF(AND($O20&lt;&gt;"",$P20&lt;&gt;""),$O20&amp;TEXT($P20,"00"),"")</f>
        <v/>
      </c>
    </row>
    <row r="21">
      <c r="A21" t="inlineStr">
        <is>
          <t>SAMPLE: Spare Parts</t>
        </is>
      </c>
      <c r="B21" t="inlineStr">
        <is>
          <t>A01</t>
        </is>
      </c>
      <c r="C21" t="inlineStr">
        <is>
          <t>AISLE_FLOOR</t>
        </is>
      </c>
      <c r="D21" t="n">
        <v>1</v>
      </c>
      <c r="E21" t="inlineStr">
        <is>
          <t>Between rows segment 01</t>
        </is>
      </c>
      <c r="F21" t="n">
        <v>4</v>
      </c>
      <c r="G21" t="n">
        <v>2</v>
      </c>
      <c r="H21">
        <f>A21</f>
        <v/>
      </c>
      <c r="I21" t="inlineStr">
        <is>
          <t>SAMPLE: Grid A15</t>
        </is>
      </c>
      <c r="J21">
        <f>IF($I21&lt;&gt;"",$I21,$A21)</f>
        <v/>
      </c>
      <c r="K21">
        <f>IF($C21="","",IF(LEN($C21)=1,CODE(UPPER($C21))-64,IFERROR(VALUE(MID($C21,2,99)),"")))</f>
        <v/>
      </c>
      <c r="L21">
        <f>IF($D21="","",IFERROR(VALUE($D21),""))</f>
        <v/>
      </c>
      <c r="M21">
        <f>IFERROR(VALUE(MID($A21,FIND("Level",$A21)+5,99)),IF($E21="AISLE_FLOOR",0,IF($E21="OVERFLOW",0,IF($E21="ENDCAP",0,""))))</f>
        <v/>
      </c>
      <c r="N21">
        <f>IF(AND($B21&lt;&gt;"",$C21&lt;&gt;"",ISNUMBER(--$D21)), $B21&amp;": "&amp;LEFT($C21,1)&amp;TEXT(--$D21,"00"), IF($I21&lt;&gt;"",$I21,$A21))</f>
        <v/>
      </c>
      <c r="O21">
        <f>IF(AND($C21&lt;&gt;"",ISNUMBER(--$D21)),LEFT($C21,1),"")</f>
        <v/>
      </c>
      <c r="P21">
        <f>IF(ISNUMBER(--$D21),--$D21,"")</f>
        <v/>
      </c>
      <c r="Q21">
        <f>IF(AND($O21&lt;&gt;"",$P21&lt;&gt;""),$O21&amp;TEXT($P21,"00"),"")</f>
        <v/>
      </c>
    </row>
    <row r="22">
      <c r="A22" t="inlineStr">
        <is>
          <t>PAL-0000019</t>
        </is>
      </c>
      <c r="B22" t="inlineStr">
        <is>
          <t>A01</t>
        </is>
      </c>
      <c r="C22" t="inlineStr">
        <is>
          <t>AISLE_FLOOR</t>
        </is>
      </c>
      <c r="D22" t="n">
        <v>1</v>
      </c>
      <c r="E22" t="inlineStr">
        <is>
          <t>Between rows segment 01</t>
        </is>
      </c>
      <c r="F22" t="n">
        <v>4</v>
      </c>
      <c r="G22" t="n">
        <v>2</v>
      </c>
      <c r="H22">
        <f>A22</f>
        <v/>
      </c>
      <c r="I22" t="inlineStr">
        <is>
          <t>SAMPLE: Grid A16</t>
        </is>
      </c>
      <c r="J22">
        <f>IF($I22&lt;&gt;"",$I22,$A22)</f>
        <v/>
      </c>
      <c r="K22">
        <f>IF($C22="","",IF(LEN($C22)=1,CODE(UPPER($C22))-64,IFERROR(VALUE(MID($C22,2,99)),"")))</f>
        <v/>
      </c>
      <c r="L22">
        <f>IF($D22="","",IFERROR(VALUE($D22),""))</f>
        <v/>
      </c>
      <c r="M22">
        <f>IFERROR(VALUE(MID($A22,FIND("Level",$A22)+5,99)),IF($E22="AISLE_FLOOR",0,IF($E22="OVERFLOW",0,IF($E22="ENDCAP",0,""))))</f>
        <v/>
      </c>
      <c r="N22">
        <f>IF(AND($B22&lt;&gt;"",$C22&lt;&gt;"",ISNUMBER(--$D22)), $B22&amp;": "&amp;LEFT($C22,1)&amp;TEXT(--$D22,"00"), IF($I22&lt;&gt;"",$I22,$A22))</f>
        <v/>
      </c>
      <c r="O22">
        <f>IF(AND($C22&lt;&gt;"",ISNUMBER(--$D22)),LEFT($C22,1),"")</f>
        <v/>
      </c>
      <c r="P22">
        <f>IF(ISNUMBER(--$D22),--$D22,"")</f>
        <v/>
      </c>
      <c r="Q22">
        <f>IF(AND($O22&lt;&gt;"",$P22&lt;&gt;""),$O22&amp;TEXT($P22,"00"),"")</f>
        <v/>
      </c>
    </row>
    <row r="23">
      <c r="A23" t="inlineStr">
        <is>
          <t>PAL-0000020</t>
        </is>
      </c>
      <c r="B23" t="inlineStr">
        <is>
          <t>A01</t>
        </is>
      </c>
      <c r="C23" t="inlineStr">
        <is>
          <t>AISLE_FLOOR</t>
        </is>
      </c>
      <c r="D23" t="n">
        <v>1</v>
      </c>
      <c r="E23" t="inlineStr">
        <is>
          <t>Between rows segment 01</t>
        </is>
      </c>
      <c r="F23" t="n">
        <v>4</v>
      </c>
      <c r="G23" t="n">
        <v>2</v>
      </c>
      <c r="H23">
        <f>A23</f>
        <v/>
      </c>
      <c r="I23" t="inlineStr">
        <is>
          <t>SAMPLE: Grid A17</t>
        </is>
      </c>
      <c r="J23">
        <f>IF($I23&lt;&gt;"",$I23,$A23)</f>
        <v/>
      </c>
      <c r="K23">
        <f>IF($C23="","",IF(LEN($C23)=1,CODE(UPPER($C23))-64,IFERROR(VALUE(MID($C23,2,99)),"")))</f>
        <v/>
      </c>
      <c r="L23">
        <f>IF($D23="","",IFERROR(VALUE($D23),""))</f>
        <v/>
      </c>
      <c r="M23">
        <f>IFERROR(VALUE(MID($A23,FIND("Level",$A23)+5,99)),IF($E23="AISLE_FLOOR",0,IF($E23="OVERFLOW",0,IF($E23="ENDCAP",0,""))))</f>
        <v/>
      </c>
      <c r="N23">
        <f>IF(AND($B23&lt;&gt;"",$C23&lt;&gt;"",ISNUMBER(--$D23)), $B23&amp;": "&amp;LEFT($C23,1)&amp;TEXT(--$D23,"00"), IF($I23&lt;&gt;"",$I23,$A23))</f>
        <v/>
      </c>
      <c r="O23">
        <f>IF(AND($C23&lt;&gt;"",ISNUMBER(--$D23)),LEFT($C23,1),"")</f>
        <v/>
      </c>
      <c r="P23">
        <f>IF(ISNUMBER(--$D23),--$D23,"")</f>
        <v/>
      </c>
      <c r="Q23">
        <f>IF(AND($O23&lt;&gt;"",$P23&lt;&gt;""),$O23&amp;TEXT($P23,"00"),"")</f>
        <v/>
      </c>
    </row>
    <row r="24">
      <c r="A24" t="inlineStr">
        <is>
          <t>PAL-0000021</t>
        </is>
      </c>
      <c r="B24" t="inlineStr">
        <is>
          <t>A01</t>
        </is>
      </c>
      <c r="C24" t="inlineStr">
        <is>
          <t>AISLE_FLOOR</t>
        </is>
      </c>
      <c r="D24" t="n">
        <v>1</v>
      </c>
      <c r="E24" t="inlineStr">
        <is>
          <t>Between rows segment 01</t>
        </is>
      </c>
      <c r="F24" t="n">
        <v>4</v>
      </c>
      <c r="G24" t="n">
        <v>2</v>
      </c>
      <c r="H24">
        <f>A24</f>
        <v/>
      </c>
      <c r="I24" t="inlineStr">
        <is>
          <t>SAMPLE: Grid A18</t>
        </is>
      </c>
      <c r="J24">
        <f>IF($I24&lt;&gt;"",$I24,$A24)</f>
        <v/>
      </c>
      <c r="K24">
        <f>IF($C24="","",IF(LEN($C24)=1,CODE(UPPER($C24))-64,IFERROR(VALUE(MID($C24,2,99)),"")))</f>
        <v/>
      </c>
      <c r="L24">
        <f>IF($D24="","",IFERROR(VALUE($D24),""))</f>
        <v/>
      </c>
      <c r="M24">
        <f>IFERROR(VALUE(MID($A24,FIND("Level",$A24)+5,99)),IF($E24="AISLE_FLOOR",0,IF($E24="OVERFLOW",0,IF($E24="ENDCAP",0,""))))</f>
        <v/>
      </c>
      <c r="N24">
        <f>IF(AND($B24&lt;&gt;"",$C24&lt;&gt;"",ISNUMBER(--$D24)), $B24&amp;": "&amp;LEFT($C24,1)&amp;TEXT(--$D24,"00"), IF($I24&lt;&gt;"",$I24,$A24))</f>
        <v/>
      </c>
      <c r="O24">
        <f>IF(AND($C24&lt;&gt;"",ISNUMBER(--$D24)),LEFT($C24,1),"")</f>
        <v/>
      </c>
      <c r="P24">
        <f>IF(ISNUMBER(--$D24),--$D24,"")</f>
        <v/>
      </c>
      <c r="Q24">
        <f>IF(AND($O24&lt;&gt;"",$P24&lt;&gt;""),$O24&amp;TEXT($P24,"00"),"")</f>
        <v/>
      </c>
    </row>
    <row r="25">
      <c r="A25" t="inlineStr">
        <is>
          <t>PAL-0000022</t>
        </is>
      </c>
      <c r="B25" t="inlineStr">
        <is>
          <t>A01</t>
        </is>
      </c>
      <c r="C25" t="inlineStr">
        <is>
          <t>AISLE_FLOOR</t>
        </is>
      </c>
      <c r="D25" t="n">
        <v>1</v>
      </c>
      <c r="E25" t="inlineStr">
        <is>
          <t>Between rows segment 01</t>
        </is>
      </c>
      <c r="F25" t="n">
        <v>4</v>
      </c>
      <c r="G25" t="n">
        <v>2</v>
      </c>
      <c r="H25">
        <f>A25</f>
        <v/>
      </c>
      <c r="I25" t="inlineStr">
        <is>
          <t>SAMPLE: Grid A19</t>
        </is>
      </c>
      <c r="J25">
        <f>IF($I25&lt;&gt;"",$I25,$A25)</f>
        <v/>
      </c>
      <c r="K25">
        <f>IF($C25="","",IF(LEN($C25)=1,CODE(UPPER($C25))-64,IFERROR(VALUE(MID($C25,2,99)),"")))</f>
        <v/>
      </c>
      <c r="L25">
        <f>IF($D25="","",IFERROR(VALUE($D25),""))</f>
        <v/>
      </c>
      <c r="M25">
        <f>IFERROR(VALUE(MID($A25,FIND("Level",$A25)+5,99)),IF($E25="AISLE_FLOOR",0,IF($E25="OVERFLOW",0,IF($E25="ENDCAP",0,""))))</f>
        <v/>
      </c>
      <c r="N25">
        <f>IF(AND($B25&lt;&gt;"",$C25&lt;&gt;"",ISNUMBER(--$D25)), $B25&amp;": "&amp;LEFT($C25,1)&amp;TEXT(--$D25,"00"), IF($I25&lt;&gt;"",$I25,$A25))</f>
        <v/>
      </c>
      <c r="O25">
        <f>IF(AND($C25&lt;&gt;"",ISNUMBER(--$D25)),LEFT($C25,1),"")</f>
        <v/>
      </c>
      <c r="P25">
        <f>IF(ISNUMBER(--$D25),--$D25,"")</f>
        <v/>
      </c>
      <c r="Q25">
        <f>IF(AND($O25&lt;&gt;"",$P25&lt;&gt;""),$O25&amp;TEXT($P25,"00"),"")</f>
        <v/>
      </c>
    </row>
    <row r="26">
      <c r="A26" t="inlineStr">
        <is>
          <t>PAL-0000023</t>
        </is>
      </c>
      <c r="B26" t="inlineStr">
        <is>
          <t>A01</t>
        </is>
      </c>
      <c r="C26" t="inlineStr">
        <is>
          <t>AISLE_FLOOR</t>
        </is>
      </c>
      <c r="D26" t="n">
        <v>1</v>
      </c>
      <c r="E26" t="inlineStr">
        <is>
          <t>Between rows segment 01</t>
        </is>
      </c>
      <c r="F26" t="n">
        <v>4</v>
      </c>
      <c r="G26" t="n">
        <v>2</v>
      </c>
      <c r="H26">
        <f>A26</f>
        <v/>
      </c>
      <c r="I26" t="inlineStr">
        <is>
          <t>SAMPLE: Grid A20</t>
        </is>
      </c>
      <c r="J26">
        <f>IF($I26&lt;&gt;"",$I26,$A26)</f>
        <v/>
      </c>
      <c r="K26">
        <f>IF($C26="","",IF(LEN($C26)=1,CODE(UPPER($C26))-64,IFERROR(VALUE(MID($C26,2,99)),"")))</f>
        <v/>
      </c>
      <c r="L26">
        <f>IF($D26="","",IFERROR(VALUE($D26),""))</f>
        <v/>
      </c>
      <c r="M26">
        <f>IFERROR(VALUE(MID($A26,FIND("Level",$A26)+5,99)),IF($E26="AISLE_FLOOR",0,IF($E26="OVERFLOW",0,IF($E26="ENDCAP",0,""))))</f>
        <v/>
      </c>
      <c r="N26">
        <f>IF(AND($B26&lt;&gt;"",$C26&lt;&gt;"",ISNUMBER(--$D26)), $B26&amp;": "&amp;LEFT($C26,1)&amp;TEXT(--$D26,"00"), IF($I26&lt;&gt;"",$I26,$A26))</f>
        <v/>
      </c>
      <c r="O26">
        <f>IF(AND($C26&lt;&gt;"",ISNUMBER(--$D26)),LEFT($C26,1),"")</f>
        <v/>
      </c>
      <c r="P26">
        <f>IF(ISNUMBER(--$D26),--$D26,"")</f>
        <v/>
      </c>
      <c r="Q26">
        <f>IF(AND($O26&lt;&gt;"",$P26&lt;&gt;""),$O26&amp;TEXT($P26,"00"),"")</f>
        <v/>
      </c>
    </row>
    <row r="27">
      <c r="A27" t="inlineStr">
        <is>
          <t>PAL-0000024</t>
        </is>
      </c>
      <c r="B27" t="inlineStr">
        <is>
          <t>A01</t>
        </is>
      </c>
      <c r="C27" t="inlineStr">
        <is>
          <t>AISLE_FLOOR</t>
        </is>
      </c>
      <c r="D27" t="n">
        <v>1</v>
      </c>
      <c r="E27" t="inlineStr">
        <is>
          <t>Between rows segment 01</t>
        </is>
      </c>
      <c r="F27" t="n">
        <v>4</v>
      </c>
      <c r="G27" t="n">
        <v>2</v>
      </c>
      <c r="H27">
        <f>A27</f>
        <v/>
      </c>
      <c r="I27" t="inlineStr">
        <is>
          <t>SAMPLE: Grid B01</t>
        </is>
      </c>
      <c r="J27">
        <f>IF($I27&lt;&gt;"",$I27,$A27)</f>
        <v/>
      </c>
      <c r="K27">
        <f>IF($C27="","",IF(LEN($C27)=1,CODE(UPPER($C27))-64,IFERROR(VALUE(MID($C27,2,99)),"")))</f>
        <v/>
      </c>
      <c r="L27">
        <f>IF($D27="","",IFERROR(VALUE($D27),""))</f>
        <v/>
      </c>
      <c r="M27">
        <f>IFERROR(VALUE(MID($A27,FIND("Level",$A27)+5,99)),IF($E27="AISLE_FLOOR",0,IF($E27="OVERFLOW",0,IF($E27="ENDCAP",0,""))))</f>
        <v/>
      </c>
      <c r="N27">
        <f>IF(AND($B27&lt;&gt;"",$C27&lt;&gt;"",ISNUMBER(--$D27)), $B27&amp;": "&amp;LEFT($C27,1)&amp;TEXT(--$D27,"00"), IF($I27&lt;&gt;"",$I27,$A27))</f>
        <v/>
      </c>
      <c r="O27">
        <f>IF(AND($C27&lt;&gt;"",ISNUMBER(--$D27)),LEFT($C27,1),"")</f>
        <v/>
      </c>
      <c r="P27">
        <f>IF(ISNUMBER(--$D27),--$D27,"")</f>
        <v/>
      </c>
      <c r="Q27">
        <f>IF(AND($O27&lt;&gt;"",$P27&lt;&gt;""),$O27&amp;TEXT($P27,"00"),"")</f>
        <v/>
      </c>
    </row>
    <row r="28">
      <c r="A28" t="inlineStr">
        <is>
          <t>PAL-0000025</t>
        </is>
      </c>
      <c r="B28" t="inlineStr">
        <is>
          <t>A01</t>
        </is>
      </c>
      <c r="C28" t="inlineStr">
        <is>
          <t>PAL-0000011</t>
        </is>
      </c>
      <c r="D28" t="n">
        <v>1</v>
      </c>
      <c r="E28" t="inlineStr">
        <is>
          <t>Between rows segment 01</t>
        </is>
      </c>
      <c r="F28" t="n">
        <v>4</v>
      </c>
      <c r="G28" t="n">
        <v>2</v>
      </c>
      <c r="H28">
        <f>A28</f>
        <v/>
      </c>
      <c r="I28" t="inlineStr">
        <is>
          <t>SAMPLE: Grid B02</t>
        </is>
      </c>
      <c r="J28">
        <f>IF($I28&lt;&gt;"",$I28,$A28)</f>
        <v/>
      </c>
      <c r="K28">
        <f>IF($C28="","",IF(LEN($C28)=1,CODE(UPPER($C28))-64,IFERROR(VALUE(MID($C28,2,99)),"")))</f>
        <v/>
      </c>
      <c r="L28">
        <f>IF($D28="","",IFERROR(VALUE($D28),""))</f>
        <v/>
      </c>
      <c r="M28">
        <f>IFERROR(VALUE(MID($A28,FIND("Level",$A28)+5,99)),IF($E28="AISLE_FLOOR",0,IF($E28="OVERFLOW",0,IF($E28="ENDCAP",0,""))))</f>
        <v/>
      </c>
      <c r="N28">
        <f>IF(AND($B28&lt;&gt;"",$C28&lt;&gt;"",ISNUMBER(--$D28)), $B28&amp;": "&amp;LEFT($C28,1)&amp;TEXT(--$D28,"00"), IF($I28&lt;&gt;"",$I28,$A28))</f>
        <v/>
      </c>
      <c r="O28">
        <f>IF(AND($C28&lt;&gt;"",ISNUMBER(--$D28)),LEFT($C28,1),"")</f>
        <v/>
      </c>
      <c r="P28">
        <f>IF(ISNUMBER(--$D28),--$D28,"")</f>
        <v/>
      </c>
      <c r="Q28">
        <f>IF(AND($O28&lt;&gt;"",$P28&lt;&gt;""),$O28&amp;TEXT($P28,"00"),"")</f>
        <v/>
      </c>
    </row>
    <row r="29">
      <c r="A29" t="inlineStr">
        <is>
          <t>PAL-0000026</t>
        </is>
      </c>
      <c r="B29" t="inlineStr">
        <is>
          <t>A01</t>
        </is>
      </c>
      <c r="C29" t="inlineStr">
        <is>
          <t>PAL-0000011</t>
        </is>
      </c>
      <c r="D29" t="n">
        <v>1</v>
      </c>
      <c r="E29" t="inlineStr">
        <is>
          <t>Between rows segment 01</t>
        </is>
      </c>
      <c r="F29" t="n">
        <v>4</v>
      </c>
      <c r="G29" t="n">
        <v>2</v>
      </c>
      <c r="H29">
        <f>A29</f>
        <v/>
      </c>
      <c r="I29" t="inlineStr">
        <is>
          <t>SAMPLE: Grid B03</t>
        </is>
      </c>
      <c r="J29">
        <f>IF($I29&lt;&gt;"",$I29,$A29)</f>
        <v/>
      </c>
      <c r="K29">
        <f>IF($C29="","",IF(LEN($C29)=1,CODE(UPPER($C29))-64,IFERROR(VALUE(MID($C29,2,99)),"")))</f>
        <v/>
      </c>
      <c r="L29">
        <f>IF($D29="","",IFERROR(VALUE($D29),""))</f>
        <v/>
      </c>
      <c r="M29">
        <f>IFERROR(VALUE(MID($A29,FIND("Level",$A29)+5,99)),IF($E29="AISLE_FLOOR",0,IF($E29="OVERFLOW",0,IF($E29="ENDCAP",0,""))))</f>
        <v/>
      </c>
      <c r="N29">
        <f>IF(AND($B29&lt;&gt;"",$C29&lt;&gt;"",ISNUMBER(--$D29)), $B29&amp;": "&amp;LEFT($C29,1)&amp;TEXT(--$D29,"00"), IF($I29&lt;&gt;"",$I29,$A29))</f>
        <v/>
      </c>
      <c r="O29">
        <f>IF(AND($C29&lt;&gt;"",ISNUMBER(--$D29)),LEFT($C29,1),"")</f>
        <v/>
      </c>
      <c r="P29">
        <f>IF(ISNUMBER(--$D29),--$D29,"")</f>
        <v/>
      </c>
      <c r="Q29">
        <f>IF(AND($O29&lt;&gt;"",$P29&lt;&gt;""),$O29&amp;TEXT($P29,"00"),"")</f>
        <v/>
      </c>
    </row>
    <row r="30">
      <c r="A30" t="inlineStr">
        <is>
          <t>PAL-0000027</t>
        </is>
      </c>
      <c r="B30" t="inlineStr">
        <is>
          <t>A01</t>
        </is>
      </c>
      <c r="C30" t="inlineStr">
        <is>
          <t>PAL-0000011</t>
        </is>
      </c>
      <c r="D30" t="n">
        <v>1</v>
      </c>
      <c r="E30" t="inlineStr">
        <is>
          <t>Between rows segment 01</t>
        </is>
      </c>
      <c r="F30" t="n">
        <v>4</v>
      </c>
      <c r="G30" t="n">
        <v>2</v>
      </c>
      <c r="H30">
        <f>A30</f>
        <v/>
      </c>
      <c r="I30" t="inlineStr">
        <is>
          <t>SAMPLE: Grid B04</t>
        </is>
      </c>
      <c r="J30">
        <f>IF($I30&lt;&gt;"",$I30,$A30)</f>
        <v/>
      </c>
      <c r="K30">
        <f>IF($C30="","",IF(LEN($C30)=1,CODE(UPPER($C30))-64,IFERROR(VALUE(MID($C30,2,99)),"")))</f>
        <v/>
      </c>
      <c r="L30">
        <f>IF($D30="","",IFERROR(VALUE($D30),""))</f>
        <v/>
      </c>
      <c r="M30">
        <f>IFERROR(VALUE(MID($A30,FIND("Level",$A30)+5,99)),IF($E30="AISLE_FLOOR",0,IF($E30="OVERFLOW",0,IF($E30="ENDCAP",0,""))))</f>
        <v/>
      </c>
      <c r="N30">
        <f>IF(AND($B30&lt;&gt;"",$C30&lt;&gt;"",ISNUMBER(--$D30)), $B30&amp;": "&amp;LEFT($C30,1)&amp;TEXT(--$D30,"00"), IF($I30&lt;&gt;"",$I30,$A30))</f>
        <v/>
      </c>
      <c r="O30">
        <f>IF(AND($C30&lt;&gt;"",ISNUMBER(--$D30)),LEFT($C30,1),"")</f>
        <v/>
      </c>
      <c r="P30">
        <f>IF(ISNUMBER(--$D30),--$D30,"")</f>
        <v/>
      </c>
      <c r="Q30">
        <f>IF(AND($O30&lt;&gt;"",$P30&lt;&gt;""),$O30&amp;TEXT($P30,"00"),"")</f>
        <v/>
      </c>
    </row>
    <row r="31">
      <c r="A31" t="inlineStr">
        <is>
          <t>PAL-0000028</t>
        </is>
      </c>
      <c r="B31" t="inlineStr">
        <is>
          <t>A01</t>
        </is>
      </c>
      <c r="C31" t="inlineStr">
        <is>
          <t>PAL-0000011</t>
        </is>
      </c>
      <c r="D31" t="n">
        <v>1</v>
      </c>
      <c r="E31" t="inlineStr">
        <is>
          <t>Between rows segment 01</t>
        </is>
      </c>
      <c r="F31" t="n">
        <v>4</v>
      </c>
      <c r="G31" t="n">
        <v>2</v>
      </c>
      <c r="H31">
        <f>A31</f>
        <v/>
      </c>
      <c r="I31" t="inlineStr">
        <is>
          <t>SAMPLE: Grid B05</t>
        </is>
      </c>
      <c r="J31">
        <f>IF($I31&lt;&gt;"",$I31,$A31)</f>
        <v/>
      </c>
      <c r="K31">
        <f>IF($C31="","",IF(LEN($C31)=1,CODE(UPPER($C31))-64,IFERROR(VALUE(MID($C31,2,99)),"")))</f>
        <v/>
      </c>
      <c r="L31">
        <f>IF($D31="","",IFERROR(VALUE($D31),""))</f>
        <v/>
      </c>
      <c r="M31">
        <f>IFERROR(VALUE(MID($A31,FIND("Level",$A31)+5,99)),IF($E31="AISLE_FLOOR",0,IF($E31="OVERFLOW",0,IF($E31="ENDCAP",0,""))))</f>
        <v/>
      </c>
      <c r="N31">
        <f>IF(AND($B31&lt;&gt;"",$C31&lt;&gt;"",ISNUMBER(--$D31)), $B31&amp;": "&amp;LEFT($C31,1)&amp;TEXT(--$D31,"00"), IF($I31&lt;&gt;"",$I31,$A31))</f>
        <v/>
      </c>
      <c r="O31">
        <f>IF(AND($C31&lt;&gt;"",ISNUMBER(--$D31)),LEFT($C31,1),"")</f>
        <v/>
      </c>
      <c r="P31">
        <f>IF(ISNUMBER(--$D31),--$D31,"")</f>
        <v/>
      </c>
      <c r="Q31">
        <f>IF(AND($O31&lt;&gt;"",$P31&lt;&gt;""),$O31&amp;TEXT($P31,"00"),"")</f>
        <v/>
      </c>
    </row>
    <row r="32">
      <c r="A32" t="inlineStr">
        <is>
          <t>PAL-0000029</t>
        </is>
      </c>
      <c r="B32" t="inlineStr">
        <is>
          <t>A01</t>
        </is>
      </c>
      <c r="C32" t="inlineStr">
        <is>
          <t>PAL-0000011</t>
        </is>
      </c>
      <c r="D32" t="n">
        <v>1</v>
      </c>
      <c r="E32" t="inlineStr">
        <is>
          <t>Between rows segment 01</t>
        </is>
      </c>
      <c r="F32" t="n">
        <v>4</v>
      </c>
      <c r="G32" t="n">
        <v>2</v>
      </c>
      <c r="H32">
        <f>A32</f>
        <v/>
      </c>
      <c r="I32" t="inlineStr">
        <is>
          <t>SAMPLE: Grid B06</t>
        </is>
      </c>
      <c r="J32">
        <f>IF($I32&lt;&gt;"",$I32,$A32)</f>
        <v/>
      </c>
      <c r="K32">
        <f>IF($C32="","",IF(LEN($C32)=1,CODE(UPPER($C32))-64,IFERROR(VALUE(MID($C32,2,99)),"")))</f>
        <v/>
      </c>
      <c r="L32">
        <f>IF($D32="","",IFERROR(VALUE($D32),""))</f>
        <v/>
      </c>
      <c r="M32">
        <f>IFERROR(VALUE(MID($A32,FIND("Level",$A32)+5,99)),IF($E32="AISLE_FLOOR",0,IF($E32="OVERFLOW",0,IF($E32="ENDCAP",0,""))))</f>
        <v/>
      </c>
      <c r="N32">
        <f>IF(AND($B32&lt;&gt;"",$C32&lt;&gt;"",ISNUMBER(--$D32)), $B32&amp;": "&amp;LEFT($C32,1)&amp;TEXT(--$D32,"00"), IF($I32&lt;&gt;"",$I32,$A32))</f>
        <v/>
      </c>
      <c r="O32">
        <f>IF(AND($C32&lt;&gt;"",ISNUMBER(--$D32)),LEFT($C32,1),"")</f>
        <v/>
      </c>
      <c r="P32">
        <f>IF(ISNUMBER(--$D32),--$D32,"")</f>
        <v/>
      </c>
      <c r="Q32">
        <f>IF(AND($O32&lt;&gt;"",$P32&lt;&gt;""),$O32&amp;TEXT($P32,"00"),"")</f>
        <v/>
      </c>
    </row>
    <row r="33">
      <c r="A33" t="inlineStr">
        <is>
          <t>PAL-0000030</t>
        </is>
      </c>
      <c r="B33" t="inlineStr">
        <is>
          <t>A01</t>
        </is>
      </c>
      <c r="C33" t="inlineStr">
        <is>
          <t>PAL-0000011</t>
        </is>
      </c>
      <c r="D33" t="n">
        <v>1</v>
      </c>
      <c r="E33" t="inlineStr">
        <is>
          <t>Between rows segment 01</t>
        </is>
      </c>
      <c r="F33" t="n">
        <v>4</v>
      </c>
      <c r="G33" t="n">
        <v>2</v>
      </c>
      <c r="H33">
        <f>A33</f>
        <v/>
      </c>
      <c r="I33" t="inlineStr">
        <is>
          <t>SAMPLE: Grid B07</t>
        </is>
      </c>
      <c r="J33">
        <f>IF($I33&lt;&gt;"",$I33,$A33)</f>
        <v/>
      </c>
      <c r="K33">
        <f>IF($C33="","",IF(LEN($C33)=1,CODE(UPPER($C33))-64,IFERROR(VALUE(MID($C33,2,99)),"")))</f>
        <v/>
      </c>
      <c r="L33">
        <f>IF($D33="","",IFERROR(VALUE($D33),""))</f>
        <v/>
      </c>
      <c r="M33">
        <f>IFERROR(VALUE(MID($A33,FIND("Level",$A33)+5,99)),IF($E33="AISLE_FLOOR",0,IF($E33="OVERFLOW",0,IF($E33="ENDCAP",0,""))))</f>
        <v/>
      </c>
      <c r="N33">
        <f>IF(AND($B33&lt;&gt;"",$C33&lt;&gt;"",ISNUMBER(--$D33)), $B33&amp;": "&amp;LEFT($C33,1)&amp;TEXT(--$D33,"00"), IF($I33&lt;&gt;"",$I33,$A33))</f>
        <v/>
      </c>
      <c r="O33">
        <f>IF(AND($C33&lt;&gt;"",ISNUMBER(--$D33)),LEFT($C33,1),"")</f>
        <v/>
      </c>
      <c r="P33">
        <f>IF(ISNUMBER(--$D33),--$D33,"")</f>
        <v/>
      </c>
      <c r="Q33">
        <f>IF(AND($O33&lt;&gt;"",$P33&lt;&gt;""),$O33&amp;TEXT($P33,"00"),"")</f>
        <v/>
      </c>
    </row>
    <row r="34">
      <c r="A34" t="inlineStr">
        <is>
          <t>PAL-0000031</t>
        </is>
      </c>
      <c r="B34" t="inlineStr">
        <is>
          <t>A01</t>
        </is>
      </c>
      <c r="C34" t="inlineStr">
        <is>
          <t>PAL-0000011</t>
        </is>
      </c>
      <c r="D34" t="n">
        <v>1</v>
      </c>
      <c r="E34" t="inlineStr">
        <is>
          <t>Between rows segment 01</t>
        </is>
      </c>
      <c r="F34" t="n">
        <v>4</v>
      </c>
      <c r="G34" t="n">
        <v>2</v>
      </c>
      <c r="H34">
        <f>A34</f>
        <v/>
      </c>
      <c r="I34" t="inlineStr">
        <is>
          <t>SAMPLE: Grid B08</t>
        </is>
      </c>
      <c r="J34">
        <f>IF($I34&lt;&gt;"",$I34,$A34)</f>
        <v/>
      </c>
      <c r="K34">
        <f>IF($C34="","",IF(LEN($C34)=1,CODE(UPPER($C34))-64,IFERROR(VALUE(MID($C34,2,99)),"")))</f>
        <v/>
      </c>
      <c r="L34">
        <f>IF($D34="","",IFERROR(VALUE($D34),""))</f>
        <v/>
      </c>
      <c r="M34">
        <f>IFERROR(VALUE(MID($A34,FIND("Level",$A34)+5,99)),IF($E34="AISLE_FLOOR",0,IF($E34="OVERFLOW",0,IF($E34="ENDCAP",0,""))))</f>
        <v/>
      </c>
      <c r="N34">
        <f>IF(AND($B34&lt;&gt;"",$C34&lt;&gt;"",ISNUMBER(--$D34)), $B34&amp;": "&amp;LEFT($C34,1)&amp;TEXT(--$D34,"00"), IF($I34&lt;&gt;"",$I34,$A34))</f>
        <v/>
      </c>
      <c r="O34">
        <f>IF(AND($C34&lt;&gt;"",ISNUMBER(--$D34)),LEFT($C34,1),"")</f>
        <v/>
      </c>
      <c r="P34">
        <f>IF(ISNUMBER(--$D34),--$D34,"")</f>
        <v/>
      </c>
      <c r="Q34">
        <f>IF(AND($O34&lt;&gt;"",$P34&lt;&gt;""),$O34&amp;TEXT($P34,"00"),"")</f>
        <v/>
      </c>
    </row>
    <row r="35">
      <c r="A35" t="inlineStr">
        <is>
          <t>PAL-0000032</t>
        </is>
      </c>
      <c r="B35" t="inlineStr">
        <is>
          <t>A01</t>
        </is>
      </c>
      <c r="C35" t="inlineStr">
        <is>
          <t>PAL-0000011</t>
        </is>
      </c>
      <c r="D35" t="n">
        <v>1</v>
      </c>
      <c r="E35" t="inlineStr">
        <is>
          <t>Between rows segment 01</t>
        </is>
      </c>
      <c r="F35" t="n">
        <v>4</v>
      </c>
      <c r="G35" t="n">
        <v>2</v>
      </c>
      <c r="H35">
        <f>A35</f>
        <v/>
      </c>
      <c r="I35" t="inlineStr">
        <is>
          <t>SAMPLE: Grid B09</t>
        </is>
      </c>
      <c r="J35">
        <f>IF($I35&lt;&gt;"",$I35,$A35)</f>
        <v/>
      </c>
      <c r="K35">
        <f>IF($C35="","",IF(LEN($C35)=1,CODE(UPPER($C35))-64,IFERROR(VALUE(MID($C35,2,99)),"")))</f>
        <v/>
      </c>
      <c r="L35">
        <f>IF($D35="","",IFERROR(VALUE($D35),""))</f>
        <v/>
      </c>
      <c r="M35">
        <f>IFERROR(VALUE(MID($A35,FIND("Level",$A35)+5,99)),IF($E35="AISLE_FLOOR",0,IF($E35="OVERFLOW",0,IF($E35="ENDCAP",0,""))))</f>
        <v/>
      </c>
      <c r="N35">
        <f>IF(AND($B35&lt;&gt;"",$C35&lt;&gt;"",ISNUMBER(--$D35)), $B35&amp;": "&amp;LEFT($C35,1)&amp;TEXT(--$D35,"00"), IF($I35&lt;&gt;"",$I35,$A35))</f>
        <v/>
      </c>
      <c r="O35">
        <f>IF(AND($C35&lt;&gt;"",ISNUMBER(--$D35)),LEFT($C35,1),"")</f>
        <v/>
      </c>
      <c r="P35">
        <f>IF(ISNUMBER(--$D35),--$D35,"")</f>
        <v/>
      </c>
      <c r="Q35">
        <f>IF(AND($O35&lt;&gt;"",$P35&lt;&gt;""),$O35&amp;TEXT($P35,"00"),"")</f>
        <v/>
      </c>
    </row>
    <row r="36">
      <c r="A36" t="inlineStr">
        <is>
          <t>PAL-0000033</t>
        </is>
      </c>
      <c r="B36" t="inlineStr">
        <is>
          <t>A01</t>
        </is>
      </c>
      <c r="C36" t="inlineStr">
        <is>
          <t>PAL-0000011</t>
        </is>
      </c>
      <c r="D36" t="n">
        <v>1</v>
      </c>
      <c r="E36" t="inlineStr">
        <is>
          <t>Between rows segment 01</t>
        </is>
      </c>
      <c r="F36" t="n">
        <v>4</v>
      </c>
      <c r="G36" t="n">
        <v>2</v>
      </c>
      <c r="H36">
        <f>A36</f>
        <v/>
      </c>
      <c r="I36" t="inlineStr">
        <is>
          <t>SAMPLE: Grid B10</t>
        </is>
      </c>
      <c r="J36">
        <f>IF($I36&lt;&gt;"",$I36,$A36)</f>
        <v/>
      </c>
      <c r="K36">
        <f>IF($C36="","",IF(LEN($C36)=1,CODE(UPPER($C36))-64,IFERROR(VALUE(MID($C36,2,99)),"")))</f>
        <v/>
      </c>
      <c r="L36">
        <f>IF($D36="","",IFERROR(VALUE($D36),""))</f>
        <v/>
      </c>
      <c r="M36">
        <f>IFERROR(VALUE(MID($A36,FIND("Level",$A36)+5,99)),IF($E36="AISLE_FLOOR",0,IF($E36="OVERFLOW",0,IF($E36="ENDCAP",0,""))))</f>
        <v/>
      </c>
      <c r="N36">
        <f>IF(AND($B36&lt;&gt;"",$C36&lt;&gt;"",ISNUMBER(--$D36)), $B36&amp;": "&amp;LEFT($C36,1)&amp;TEXT(--$D36,"00"), IF($I36&lt;&gt;"",$I36,$A36))</f>
        <v/>
      </c>
      <c r="O36">
        <f>IF(AND($C36&lt;&gt;"",ISNUMBER(--$D36)),LEFT($C36,1),"")</f>
        <v/>
      </c>
      <c r="P36">
        <f>IF(ISNUMBER(--$D36),--$D36,"")</f>
        <v/>
      </c>
      <c r="Q36">
        <f>IF(AND($O36&lt;&gt;"",$P36&lt;&gt;""),$O36&amp;TEXT($P36,"00"),"")</f>
        <v/>
      </c>
    </row>
    <row r="37">
      <c r="A37" t="inlineStr">
        <is>
          <t>PAL-0000034</t>
        </is>
      </c>
      <c r="B37" t="inlineStr">
        <is>
          <t>A01</t>
        </is>
      </c>
      <c r="C37" t="inlineStr">
        <is>
          <t>PAL-0000011</t>
        </is>
      </c>
      <c r="D37" t="n">
        <v>1</v>
      </c>
      <c r="E37" t="inlineStr">
        <is>
          <t>Between rows segment 01</t>
        </is>
      </c>
      <c r="F37" t="n">
        <v>4</v>
      </c>
      <c r="G37" t="n">
        <v>2</v>
      </c>
      <c r="H37">
        <f>A37</f>
        <v/>
      </c>
      <c r="I37" t="inlineStr">
        <is>
          <t>SAMPLE: Grid B11</t>
        </is>
      </c>
      <c r="J37">
        <f>IF($I37&lt;&gt;"",$I37,$A37)</f>
        <v/>
      </c>
      <c r="K37">
        <f>IF($C37="","",IF(LEN($C37)=1,CODE(UPPER($C37))-64,IFERROR(VALUE(MID($C37,2,99)),"")))</f>
        <v/>
      </c>
      <c r="L37">
        <f>IF($D37="","",IFERROR(VALUE($D37),""))</f>
        <v/>
      </c>
      <c r="M37">
        <f>IFERROR(VALUE(MID($A37,FIND("Level",$A37)+5,99)),IF($E37="AISLE_FLOOR",0,IF($E37="OVERFLOW",0,IF($E37="ENDCAP",0,""))))</f>
        <v/>
      </c>
      <c r="N37">
        <f>IF(AND($B37&lt;&gt;"",$C37&lt;&gt;"",ISNUMBER(--$D37)), $B37&amp;": "&amp;LEFT($C37,1)&amp;TEXT(--$D37,"00"), IF($I37&lt;&gt;"",$I37,$A37))</f>
        <v/>
      </c>
      <c r="O37">
        <f>IF(AND($C37&lt;&gt;"",ISNUMBER(--$D37)),LEFT($C37,1),"")</f>
        <v/>
      </c>
      <c r="P37">
        <f>IF(ISNUMBER(--$D37),--$D37,"")</f>
        <v/>
      </c>
      <c r="Q37">
        <f>IF(AND($O37&lt;&gt;"",$P37&lt;&gt;""),$O37&amp;TEXT($P37,"00"),"")</f>
        <v/>
      </c>
    </row>
    <row r="38">
      <c r="A38" t="inlineStr">
        <is>
          <t>PAL-0000035</t>
        </is>
      </c>
      <c r="B38" t="inlineStr">
        <is>
          <t>A01</t>
        </is>
      </c>
      <c r="C38" t="inlineStr">
        <is>
          <t>PAL-0000011</t>
        </is>
      </c>
      <c r="D38" t="n">
        <v>1</v>
      </c>
      <c r="E38" t="inlineStr">
        <is>
          <t>Between rows segment 01</t>
        </is>
      </c>
      <c r="F38" t="n">
        <v>4</v>
      </c>
      <c r="G38" t="n">
        <v>2</v>
      </c>
      <c r="H38">
        <f>A38</f>
        <v/>
      </c>
      <c r="I38" t="inlineStr">
        <is>
          <t>SAMPLE: Grid B12</t>
        </is>
      </c>
      <c r="J38">
        <f>IF($I38&lt;&gt;"",$I38,$A38)</f>
        <v/>
      </c>
      <c r="K38">
        <f>IF($C38="","",IF(LEN($C38)=1,CODE(UPPER($C38))-64,IFERROR(VALUE(MID($C38,2,99)),"")))</f>
        <v/>
      </c>
      <c r="L38">
        <f>IF($D38="","",IFERROR(VALUE($D38),""))</f>
        <v/>
      </c>
      <c r="M38">
        <f>IFERROR(VALUE(MID($A38,FIND("Level",$A38)+5,99)),IF($E38="AISLE_FLOOR",0,IF($E38="OVERFLOW",0,IF($E38="ENDCAP",0,""))))</f>
        <v/>
      </c>
      <c r="N38">
        <f>IF(AND($B38&lt;&gt;"",$C38&lt;&gt;"",ISNUMBER(--$D38)), $B38&amp;": "&amp;LEFT($C38,1)&amp;TEXT(--$D38,"00"), IF($I38&lt;&gt;"",$I38,$A38))</f>
        <v/>
      </c>
      <c r="O38">
        <f>IF(AND($C38&lt;&gt;"",ISNUMBER(--$D38)),LEFT($C38,1),"")</f>
        <v/>
      </c>
      <c r="P38">
        <f>IF(ISNUMBER(--$D38),--$D38,"")</f>
        <v/>
      </c>
      <c r="Q38">
        <f>IF(AND($O38&lt;&gt;"",$P38&lt;&gt;""),$O38&amp;TEXT($P38,"00"),"")</f>
        <v/>
      </c>
    </row>
    <row r="39">
      <c r="A39" t="inlineStr">
        <is>
          <t>PAL-0000036</t>
        </is>
      </c>
      <c r="B39" t="inlineStr">
        <is>
          <t>A01</t>
        </is>
      </c>
      <c r="C39" t="inlineStr">
        <is>
          <t>PAL-0000011</t>
        </is>
      </c>
      <c r="D39" t="n">
        <v>1</v>
      </c>
      <c r="E39" t="inlineStr">
        <is>
          <t>Between rows segment 01</t>
        </is>
      </c>
      <c r="F39" t="n">
        <v>4</v>
      </c>
      <c r="G39" t="n">
        <v>2</v>
      </c>
      <c r="H39">
        <f>A39</f>
        <v/>
      </c>
      <c r="I39" t="inlineStr">
        <is>
          <t>SAMPLE: Grid B13</t>
        </is>
      </c>
      <c r="J39">
        <f>IF($I39&lt;&gt;"",$I39,$A39)</f>
        <v/>
      </c>
      <c r="K39">
        <f>IF($C39="","",IF(LEN($C39)=1,CODE(UPPER($C39))-64,IFERROR(VALUE(MID($C39,2,99)),"")))</f>
        <v/>
      </c>
      <c r="L39">
        <f>IF($D39="","",IFERROR(VALUE($D39),""))</f>
        <v/>
      </c>
      <c r="M39">
        <f>IFERROR(VALUE(MID($A39,FIND("Level",$A39)+5,99)),IF($E39="AISLE_FLOOR",0,IF($E39="OVERFLOW",0,IF($E39="ENDCAP",0,""))))</f>
        <v/>
      </c>
      <c r="N39">
        <f>IF(AND($B39&lt;&gt;"",$C39&lt;&gt;"",ISNUMBER(--$D39)), $B39&amp;": "&amp;LEFT($C39,1)&amp;TEXT(--$D39,"00"), IF($I39&lt;&gt;"",$I39,$A39))</f>
        <v/>
      </c>
      <c r="O39">
        <f>IF(AND($C39&lt;&gt;"",ISNUMBER(--$D39)),LEFT($C39,1),"")</f>
        <v/>
      </c>
      <c r="P39">
        <f>IF(ISNUMBER(--$D39),--$D39,"")</f>
        <v/>
      </c>
      <c r="Q39">
        <f>IF(AND($O39&lt;&gt;"",$P39&lt;&gt;""),$O39&amp;TEXT($P39,"00"),"")</f>
        <v/>
      </c>
    </row>
    <row r="40">
      <c r="A40" t="inlineStr">
        <is>
          <t>PAL-0000037</t>
        </is>
      </c>
      <c r="B40" t="inlineStr">
        <is>
          <t>A01</t>
        </is>
      </c>
      <c r="C40" t="inlineStr">
        <is>
          <t>PAL-0000011</t>
        </is>
      </c>
      <c r="D40" t="n">
        <v>1</v>
      </c>
      <c r="E40" t="inlineStr">
        <is>
          <t>Between rows segment 01</t>
        </is>
      </c>
      <c r="F40" t="n">
        <v>4</v>
      </c>
      <c r="G40" t="n">
        <v>2</v>
      </c>
      <c r="H40">
        <f>A40</f>
        <v/>
      </c>
      <c r="I40" t="inlineStr">
        <is>
          <t>SAMPLE: Grid B14</t>
        </is>
      </c>
      <c r="J40">
        <f>IF($I40&lt;&gt;"",$I40,$A40)</f>
        <v/>
      </c>
      <c r="K40">
        <f>IF($C40="","",IF(LEN($C40)=1,CODE(UPPER($C40))-64,IFERROR(VALUE(MID($C40,2,99)),"")))</f>
        <v/>
      </c>
      <c r="L40">
        <f>IF($D40="","",IFERROR(VALUE($D40),""))</f>
        <v/>
      </c>
      <c r="M40">
        <f>IFERROR(VALUE(MID($A40,FIND("Level",$A40)+5,99)),IF($E40="AISLE_FLOOR",0,IF($E40="OVERFLOW",0,IF($E40="ENDCAP",0,""))))</f>
        <v/>
      </c>
      <c r="N40">
        <f>IF(AND($B40&lt;&gt;"",$C40&lt;&gt;"",ISNUMBER(--$D40)), $B40&amp;": "&amp;LEFT($C40,1)&amp;TEXT(--$D40,"00"), IF($I40&lt;&gt;"",$I40,$A40))</f>
        <v/>
      </c>
      <c r="O40">
        <f>IF(AND($C40&lt;&gt;"",ISNUMBER(--$D40)),LEFT($C40,1),"")</f>
        <v/>
      </c>
      <c r="P40">
        <f>IF(ISNUMBER(--$D40),--$D40,"")</f>
        <v/>
      </c>
      <c r="Q40">
        <f>IF(AND($O40&lt;&gt;"",$P40&lt;&gt;""),$O40&amp;TEXT($P40,"00"),"")</f>
        <v/>
      </c>
    </row>
    <row r="41">
      <c r="A41" t="inlineStr">
        <is>
          <t>PAL-0000038</t>
        </is>
      </c>
      <c r="B41" t="inlineStr">
        <is>
          <t>A01</t>
        </is>
      </c>
      <c r="C41" t="inlineStr">
        <is>
          <t>PAL-0000011</t>
        </is>
      </c>
      <c r="D41" t="n">
        <v>1</v>
      </c>
      <c r="E41" t="inlineStr">
        <is>
          <t>Between rows segment 01</t>
        </is>
      </c>
      <c r="F41" t="n">
        <v>4</v>
      </c>
      <c r="G41" t="n">
        <v>2</v>
      </c>
      <c r="H41">
        <f>A41</f>
        <v/>
      </c>
      <c r="I41" t="inlineStr">
        <is>
          <t>SAMPLE: Grid B15</t>
        </is>
      </c>
      <c r="J41">
        <f>IF($I41&lt;&gt;"",$I41,$A41)</f>
        <v/>
      </c>
      <c r="K41">
        <f>IF($C41="","",IF(LEN($C41)=1,CODE(UPPER($C41))-64,IFERROR(VALUE(MID($C41,2,99)),"")))</f>
        <v/>
      </c>
      <c r="L41">
        <f>IF($D41="","",IFERROR(VALUE($D41),""))</f>
        <v/>
      </c>
      <c r="M41">
        <f>IFERROR(VALUE(MID($A41,FIND("Level",$A41)+5,99)),IF($E41="AISLE_FLOOR",0,IF($E41="OVERFLOW",0,IF($E41="ENDCAP",0,""))))</f>
        <v/>
      </c>
      <c r="N41">
        <f>IF(AND($B41&lt;&gt;"",$C41&lt;&gt;"",ISNUMBER(--$D41)), $B41&amp;": "&amp;LEFT($C41,1)&amp;TEXT(--$D41,"00"), IF($I41&lt;&gt;"",$I41,$A41))</f>
        <v/>
      </c>
      <c r="O41">
        <f>IF(AND($C41&lt;&gt;"",ISNUMBER(--$D41)),LEFT($C41,1),"")</f>
        <v/>
      </c>
      <c r="P41">
        <f>IF(ISNUMBER(--$D41),--$D41,"")</f>
        <v/>
      </c>
      <c r="Q41">
        <f>IF(AND($O41&lt;&gt;"",$P41&lt;&gt;""),$O41&amp;TEXT($P41,"00"),"")</f>
        <v/>
      </c>
    </row>
    <row r="42">
      <c r="A42" t="inlineStr">
        <is>
          <t>PAL-0000039</t>
        </is>
      </c>
      <c r="B42" t="inlineStr">
        <is>
          <t>A01</t>
        </is>
      </c>
      <c r="C42" t="inlineStr">
        <is>
          <t>PAL-0000011</t>
        </is>
      </c>
      <c r="D42" t="n">
        <v>1</v>
      </c>
      <c r="E42" t="inlineStr">
        <is>
          <t>Between rows segment 01</t>
        </is>
      </c>
      <c r="F42" t="n">
        <v>4</v>
      </c>
      <c r="G42" t="n">
        <v>2</v>
      </c>
      <c r="H42">
        <f>A42</f>
        <v/>
      </c>
      <c r="I42" t="inlineStr">
        <is>
          <t>SAMPLE: Grid B16</t>
        </is>
      </c>
      <c r="J42">
        <f>IF($I42&lt;&gt;"",$I42,$A42)</f>
        <v/>
      </c>
      <c r="K42">
        <f>IF($C42="","",IF(LEN($C42)=1,CODE(UPPER($C42))-64,IFERROR(VALUE(MID($C42,2,99)),"")))</f>
        <v/>
      </c>
      <c r="L42">
        <f>IF($D42="","",IFERROR(VALUE($D42),""))</f>
        <v/>
      </c>
      <c r="M42">
        <f>IFERROR(VALUE(MID($A42,FIND("Level",$A42)+5,99)),IF($E42="AISLE_FLOOR",0,IF($E42="OVERFLOW",0,IF($E42="ENDCAP",0,""))))</f>
        <v/>
      </c>
      <c r="N42">
        <f>IF(AND($B42&lt;&gt;"",$C42&lt;&gt;"",ISNUMBER(--$D42)), $B42&amp;": "&amp;LEFT($C42,1)&amp;TEXT(--$D42,"00"), IF($I42&lt;&gt;"",$I42,$A42))</f>
        <v/>
      </c>
      <c r="O42">
        <f>IF(AND($C42&lt;&gt;"",ISNUMBER(--$D42)),LEFT($C42,1),"")</f>
        <v/>
      </c>
      <c r="P42">
        <f>IF(ISNUMBER(--$D42),--$D42,"")</f>
        <v/>
      </c>
      <c r="Q42">
        <f>IF(AND($O42&lt;&gt;"",$P42&lt;&gt;""),$O42&amp;TEXT($P42,"00"),"")</f>
        <v/>
      </c>
    </row>
    <row r="43">
      <c r="A43" t="inlineStr">
        <is>
          <t>PAL-0000040</t>
        </is>
      </c>
      <c r="B43" t="inlineStr">
        <is>
          <t>A01</t>
        </is>
      </c>
      <c r="C43" t="inlineStr">
        <is>
          <t>PAL-0000011</t>
        </is>
      </c>
      <c r="D43" t="n">
        <v>1</v>
      </c>
      <c r="E43" t="inlineStr">
        <is>
          <t>Between rows segment 01</t>
        </is>
      </c>
      <c r="F43" t="n">
        <v>4</v>
      </c>
      <c r="G43" t="n">
        <v>2</v>
      </c>
      <c r="H43">
        <f>A43</f>
        <v/>
      </c>
      <c r="I43" t="inlineStr">
        <is>
          <t>SAMPLE: Grid B17</t>
        </is>
      </c>
      <c r="J43">
        <f>IF($I43&lt;&gt;"",$I43,$A43)</f>
        <v/>
      </c>
      <c r="K43">
        <f>IF($C43="","",IF(LEN($C43)=1,CODE(UPPER($C43))-64,IFERROR(VALUE(MID($C43,2,99)),"")))</f>
        <v/>
      </c>
      <c r="L43">
        <f>IF($D43="","",IFERROR(VALUE($D43),""))</f>
        <v/>
      </c>
      <c r="M43">
        <f>IFERROR(VALUE(MID($A43,FIND("Level",$A43)+5,99)),IF($E43="AISLE_FLOOR",0,IF($E43="OVERFLOW",0,IF($E43="ENDCAP",0,""))))</f>
        <v/>
      </c>
      <c r="N43">
        <f>IF(AND($B43&lt;&gt;"",$C43&lt;&gt;"",ISNUMBER(--$D43)), $B43&amp;": "&amp;LEFT($C43,1)&amp;TEXT(--$D43,"00"), IF($I43&lt;&gt;"",$I43,$A43))</f>
        <v/>
      </c>
      <c r="O43">
        <f>IF(AND($C43&lt;&gt;"",ISNUMBER(--$D43)),LEFT($C43,1),"")</f>
        <v/>
      </c>
      <c r="P43">
        <f>IF(ISNUMBER(--$D43),--$D43,"")</f>
        <v/>
      </c>
      <c r="Q43">
        <f>IF(AND($O43&lt;&gt;"",$P43&lt;&gt;""),$O43&amp;TEXT($P43,"00"),"")</f>
        <v/>
      </c>
    </row>
    <row r="44">
      <c r="A44" t="inlineStr">
        <is>
          <t>PAL-0000041</t>
        </is>
      </c>
      <c r="B44" t="inlineStr">
        <is>
          <t>A01</t>
        </is>
      </c>
      <c r="C44" t="inlineStr">
        <is>
          <t>PAL-0000011</t>
        </is>
      </c>
      <c r="D44" t="n">
        <v>1</v>
      </c>
      <c r="E44" t="inlineStr">
        <is>
          <t>Between rows segment 01</t>
        </is>
      </c>
      <c r="F44" t="n">
        <v>4</v>
      </c>
      <c r="G44" t="n">
        <v>2</v>
      </c>
      <c r="H44">
        <f>A44</f>
        <v/>
      </c>
      <c r="I44" t="inlineStr">
        <is>
          <t>SAMPLE: Grid B18</t>
        </is>
      </c>
      <c r="J44">
        <f>IF($I44&lt;&gt;"",$I44,$A44)</f>
        <v/>
      </c>
      <c r="K44">
        <f>IF($C44="","",IF(LEN($C44)=1,CODE(UPPER($C44))-64,IFERROR(VALUE(MID($C44,2,99)),"")))</f>
        <v/>
      </c>
      <c r="L44">
        <f>IF($D44="","",IFERROR(VALUE($D44),""))</f>
        <v/>
      </c>
      <c r="M44">
        <f>IFERROR(VALUE(MID($A44,FIND("Level",$A44)+5,99)),IF($E44="AISLE_FLOOR",0,IF($E44="OVERFLOW",0,IF($E44="ENDCAP",0,""))))</f>
        <v/>
      </c>
      <c r="N44">
        <f>IF(AND($B44&lt;&gt;"",$C44&lt;&gt;"",ISNUMBER(--$D44)), $B44&amp;": "&amp;LEFT($C44,1)&amp;TEXT(--$D44,"00"), IF($I44&lt;&gt;"",$I44,$A44))</f>
        <v/>
      </c>
      <c r="O44">
        <f>IF(AND($C44&lt;&gt;"",ISNUMBER(--$D44)),LEFT($C44,1),"")</f>
        <v/>
      </c>
      <c r="P44">
        <f>IF(ISNUMBER(--$D44),--$D44,"")</f>
        <v/>
      </c>
      <c r="Q44">
        <f>IF(AND($O44&lt;&gt;"",$P44&lt;&gt;""),$O44&amp;TEXT($P44,"00"),"")</f>
        <v/>
      </c>
    </row>
    <row r="45">
      <c r="A45" t="inlineStr">
        <is>
          <t>PAL-0000042</t>
        </is>
      </c>
      <c r="B45" t="inlineStr">
        <is>
          <t>A01</t>
        </is>
      </c>
      <c r="C45" t="inlineStr">
        <is>
          <t>PAL-0000011</t>
        </is>
      </c>
      <c r="D45" t="n">
        <v>1</v>
      </c>
      <c r="E45" t="inlineStr">
        <is>
          <t>Between rows segment 01</t>
        </is>
      </c>
      <c r="F45" t="n">
        <v>4</v>
      </c>
      <c r="G45" t="n">
        <v>2</v>
      </c>
      <c r="H45">
        <f>A45</f>
        <v/>
      </c>
      <c r="I45" t="inlineStr">
        <is>
          <t>SAMPLE: Grid B19</t>
        </is>
      </c>
      <c r="J45">
        <f>IF($I45&lt;&gt;"",$I45,$A45)</f>
        <v/>
      </c>
      <c r="K45">
        <f>IF($C45="","",IF(LEN($C45)=1,CODE(UPPER($C45))-64,IFERROR(VALUE(MID($C45,2,99)),"")))</f>
        <v/>
      </c>
      <c r="L45">
        <f>IF($D45="","",IFERROR(VALUE($D45),""))</f>
        <v/>
      </c>
      <c r="M45">
        <f>IFERROR(VALUE(MID($A45,FIND("Level",$A45)+5,99)),IF($E45="AISLE_FLOOR",0,IF($E45="OVERFLOW",0,IF($E45="ENDCAP",0,""))))</f>
        <v/>
      </c>
      <c r="N45">
        <f>IF(AND($B45&lt;&gt;"",$C45&lt;&gt;"",ISNUMBER(--$D45)), $B45&amp;": "&amp;LEFT($C45,1)&amp;TEXT(--$D45,"00"), IF($I45&lt;&gt;"",$I45,$A45))</f>
        <v/>
      </c>
      <c r="O45">
        <f>IF(AND($C45&lt;&gt;"",ISNUMBER(--$D45)),LEFT($C45,1),"")</f>
        <v/>
      </c>
      <c r="P45">
        <f>IF(ISNUMBER(--$D45),--$D45,"")</f>
        <v/>
      </c>
      <c r="Q45">
        <f>IF(AND($O45&lt;&gt;"",$P45&lt;&gt;""),$O45&amp;TEXT($P45,"00"),"")</f>
        <v/>
      </c>
    </row>
    <row r="46">
      <c r="A46" t="inlineStr">
        <is>
          <t>PAL-0000043</t>
        </is>
      </c>
      <c r="B46" t="inlineStr">
        <is>
          <t>A01</t>
        </is>
      </c>
      <c r="C46" t="inlineStr">
        <is>
          <t>PAL-0000011</t>
        </is>
      </c>
      <c r="D46" t="n">
        <v>1</v>
      </c>
      <c r="E46" t="inlineStr">
        <is>
          <t>Between rows segment 01</t>
        </is>
      </c>
      <c r="F46" t="n">
        <v>4</v>
      </c>
      <c r="G46" t="n">
        <v>2</v>
      </c>
      <c r="H46">
        <f>A46</f>
        <v/>
      </c>
      <c r="I46" t="inlineStr">
        <is>
          <t>SAMPLE: Grid B20</t>
        </is>
      </c>
      <c r="J46">
        <f>IF($I46&lt;&gt;"",$I46,$A46)</f>
        <v/>
      </c>
      <c r="K46">
        <f>IF($C46="","",IF(LEN($C46)=1,CODE(UPPER($C46))-64,IFERROR(VALUE(MID($C46,2,99)),"")))</f>
        <v/>
      </c>
      <c r="L46">
        <f>IF($D46="","",IFERROR(VALUE($D46),""))</f>
        <v/>
      </c>
      <c r="M46">
        <f>IFERROR(VALUE(MID($A46,FIND("Level",$A46)+5,99)),IF($E46="AISLE_FLOOR",0,IF($E46="OVERFLOW",0,IF($E46="ENDCAP",0,""))))</f>
        <v/>
      </c>
      <c r="N46">
        <f>IF(AND($B46&lt;&gt;"",$C46&lt;&gt;"",ISNUMBER(--$D46)), $B46&amp;": "&amp;LEFT($C46,1)&amp;TEXT(--$D46,"00"), IF($I46&lt;&gt;"",$I46,$A46))</f>
        <v/>
      </c>
      <c r="O46">
        <f>IF(AND($C46&lt;&gt;"",ISNUMBER(--$D46)),LEFT($C46,1),"")</f>
        <v/>
      </c>
      <c r="P46">
        <f>IF(ISNUMBER(--$D46),--$D46,"")</f>
        <v/>
      </c>
      <c r="Q46">
        <f>IF(AND($O46&lt;&gt;"",$P46&lt;&gt;""),$O46&amp;TEXT($P46,"00"),"")</f>
        <v/>
      </c>
    </row>
    <row r="47">
      <c r="A47" t="inlineStr">
        <is>
          <t>PAL-0000044</t>
        </is>
      </c>
      <c r="B47" t="inlineStr">
        <is>
          <t>A01</t>
        </is>
      </c>
      <c r="C47" t="inlineStr">
        <is>
          <t>PAL-0000011</t>
        </is>
      </c>
      <c r="D47" t="n">
        <v>1</v>
      </c>
      <c r="E47" t="inlineStr">
        <is>
          <t>Between rows segment 01</t>
        </is>
      </c>
      <c r="F47" t="n">
        <v>4</v>
      </c>
      <c r="G47" t="n">
        <v>2</v>
      </c>
      <c r="H47">
        <f>A47</f>
        <v/>
      </c>
      <c r="I47" t="inlineStr">
        <is>
          <t>C</t>
        </is>
      </c>
      <c r="J47">
        <f>IF($I47&lt;&gt;"",$I47,$A47)</f>
        <v/>
      </c>
      <c r="K47">
        <f>IF($C47="","",IF(LEN($C47)=1,CODE(UPPER($C47))-64,IFERROR(VALUE(MID($C47,2,99)),"")))</f>
        <v/>
      </c>
      <c r="L47">
        <f>IF($D47="","",IFERROR(VALUE($D47),""))</f>
        <v/>
      </c>
      <c r="M47">
        <f>IFERROR(VALUE(MID($A47,FIND("Level",$A47)+5,99)),IF($E47="AISLE_FLOOR",0,IF($E47="OVERFLOW",0,IF($E47="ENDCAP",0,""))))</f>
        <v/>
      </c>
      <c r="N47">
        <f>IF(AND($B47&lt;&gt;"",$C47&lt;&gt;"",ISNUMBER(--$D47)), $B47&amp;": "&amp;LEFT($C47,1)&amp;TEXT(--$D47,"00"), IF($I47&lt;&gt;"",$I47,$A47))</f>
        <v/>
      </c>
      <c r="O47">
        <f>IF(AND($C47&lt;&gt;"",ISNUMBER(--$D47)),LEFT($C47,1),"")</f>
        <v/>
      </c>
      <c r="P47">
        <f>IF(ISNUMBER(--$D47),--$D47,"")</f>
        <v/>
      </c>
      <c r="Q47">
        <f>IF(AND($O47&lt;&gt;"",$P47&lt;&gt;""),$O47&amp;TEXT($P47,"00"),"")</f>
        <v/>
      </c>
    </row>
    <row r="48">
      <c r="A48" t="inlineStr">
        <is>
          <t>PAL-0000045</t>
        </is>
      </c>
      <c r="B48" t="inlineStr">
        <is>
          <t>A01</t>
        </is>
      </c>
      <c r="C48" t="inlineStr">
        <is>
          <t>SAMPLE: Grid C01</t>
        </is>
      </c>
      <c r="D48" t="n">
        <v>1</v>
      </c>
      <c r="E48" t="inlineStr">
        <is>
          <t>Between rows segment 01</t>
        </is>
      </c>
      <c r="F48" t="n">
        <v>4</v>
      </c>
      <c r="G48" t="n">
        <v>2</v>
      </c>
      <c r="H48">
        <f>A48</f>
        <v/>
      </c>
      <c r="I48" t="inlineStr">
        <is>
          <t>SAMPLE: Grid C02</t>
        </is>
      </c>
      <c r="J48">
        <f>IF($I48&lt;&gt;"",$I48,$A48)</f>
        <v/>
      </c>
      <c r="K48">
        <f>IF($C48="","",IF(LEN($C48)=1,CODE(UPPER($C48))-64,IFERROR(VALUE(MID($C48,2,99)),"")))</f>
        <v/>
      </c>
      <c r="L48">
        <f>IF($D48="","",IFERROR(VALUE($D48),""))</f>
        <v/>
      </c>
      <c r="M48">
        <f>IFERROR(VALUE(MID($A48,FIND("Level",$A48)+5,99)),IF($E48="AISLE_FLOOR",0,IF($E48="OVERFLOW",0,IF($E48="ENDCAP",0,""))))</f>
        <v/>
      </c>
      <c r="N48">
        <f>IF(AND($B48&lt;&gt;"",$C48&lt;&gt;"",ISNUMBER(--$D48)), $B48&amp;": "&amp;LEFT($C48,1)&amp;TEXT(--$D48,"00"), IF($I48&lt;&gt;"",$I48,$A48))</f>
        <v/>
      </c>
      <c r="O48">
        <f>IF(AND($C48&lt;&gt;"",ISNUMBER(--$D48)),LEFT($C48,1),"")</f>
        <v/>
      </c>
      <c r="P48">
        <f>IF(ISNUMBER(--$D48),--$D48,"")</f>
        <v/>
      </c>
      <c r="Q48">
        <f>IF(AND($O48&lt;&gt;"",$P48&lt;&gt;""),$O48&amp;TEXT($P48,"00"),"")</f>
        <v/>
      </c>
    </row>
    <row r="49">
      <c r="A49" t="inlineStr">
        <is>
          <t>PAL-0000046</t>
        </is>
      </c>
      <c r="B49" t="inlineStr">
        <is>
          <t>A01</t>
        </is>
      </c>
      <c r="C49" t="inlineStr">
        <is>
          <t>SAMPLE: Grid C01</t>
        </is>
      </c>
      <c r="D49" t="n">
        <v>1</v>
      </c>
      <c r="E49" t="inlineStr">
        <is>
          <t>Between rows segment 01</t>
        </is>
      </c>
      <c r="F49" t="n">
        <v>4</v>
      </c>
      <c r="G49" t="n">
        <v>2</v>
      </c>
      <c r="H49">
        <f>A49</f>
        <v/>
      </c>
      <c r="I49" t="inlineStr">
        <is>
          <t>SAMPLE: Grid C03</t>
        </is>
      </c>
      <c r="J49">
        <f>IF($I49&lt;&gt;"",$I49,$A49)</f>
        <v/>
      </c>
      <c r="K49">
        <f>IF($C49="","",IF(LEN($C49)=1,CODE(UPPER($C49))-64,IFERROR(VALUE(MID($C49,2,99)),"")))</f>
        <v/>
      </c>
      <c r="L49">
        <f>IF($D49="","",IFERROR(VALUE($D49),""))</f>
        <v/>
      </c>
      <c r="M49">
        <f>IFERROR(VALUE(MID($A49,FIND("Level",$A49)+5,99)),IF($E49="AISLE_FLOOR",0,IF($E49="OVERFLOW",0,IF($E49="ENDCAP",0,""))))</f>
        <v/>
      </c>
      <c r="N49">
        <f>IF(AND($B49&lt;&gt;"",$C49&lt;&gt;"",ISNUMBER(--$D49)), $B49&amp;": "&amp;LEFT($C49,1)&amp;TEXT(--$D49,"00"), IF($I49&lt;&gt;"",$I49,$A49))</f>
        <v/>
      </c>
      <c r="O49">
        <f>IF(AND($C49&lt;&gt;"",ISNUMBER(--$D49)),LEFT($C49,1),"")</f>
        <v/>
      </c>
      <c r="P49">
        <f>IF(ISNUMBER(--$D49),--$D49,"")</f>
        <v/>
      </c>
      <c r="Q49">
        <f>IF(AND($O49&lt;&gt;"",$P49&lt;&gt;""),$O49&amp;TEXT($P49,"00"),"")</f>
        <v/>
      </c>
    </row>
    <row r="50">
      <c r="A50" t="inlineStr">
        <is>
          <t>PAL-0000047</t>
        </is>
      </c>
      <c r="B50" t="inlineStr">
        <is>
          <t>A01</t>
        </is>
      </c>
      <c r="C50" t="inlineStr">
        <is>
          <t>SAMPLE: Grid C01</t>
        </is>
      </c>
      <c r="D50" t="n">
        <v>1</v>
      </c>
      <c r="E50" t="inlineStr">
        <is>
          <t>Between rows segment 01</t>
        </is>
      </c>
      <c r="F50" t="n">
        <v>4</v>
      </c>
      <c r="G50" t="n">
        <v>2</v>
      </c>
      <c r="H50">
        <f>A50</f>
        <v/>
      </c>
      <c r="I50" t="inlineStr">
        <is>
          <t>SAMPLE: Grid C04</t>
        </is>
      </c>
      <c r="J50">
        <f>IF($I50&lt;&gt;"",$I50,$A50)</f>
        <v/>
      </c>
      <c r="K50">
        <f>IF($C50="","",IF(LEN($C50)=1,CODE(UPPER($C50))-64,IFERROR(VALUE(MID($C50,2,99)),"")))</f>
        <v/>
      </c>
      <c r="L50">
        <f>IF($D50="","",IFERROR(VALUE($D50),""))</f>
        <v/>
      </c>
      <c r="M50">
        <f>IFERROR(VALUE(MID($A50,FIND("Level",$A50)+5,99)),IF($E50="AISLE_FLOOR",0,IF($E50="OVERFLOW",0,IF($E50="ENDCAP",0,""))))</f>
        <v/>
      </c>
      <c r="N50">
        <f>IF(AND($B50&lt;&gt;"",$C50&lt;&gt;"",ISNUMBER(--$D50)), $B50&amp;": "&amp;LEFT($C50,1)&amp;TEXT(--$D50,"00"), IF($I50&lt;&gt;"",$I50,$A50))</f>
        <v/>
      </c>
      <c r="O50">
        <f>IF(AND($C50&lt;&gt;"",ISNUMBER(--$D50)),LEFT($C50,1),"")</f>
        <v/>
      </c>
      <c r="P50">
        <f>IF(ISNUMBER(--$D50),--$D50,"")</f>
        <v/>
      </c>
      <c r="Q50">
        <f>IF(AND($O50&lt;&gt;"",$P50&lt;&gt;""),$O50&amp;TEXT($P50,"00"),"")</f>
        <v/>
      </c>
    </row>
    <row r="51">
      <c r="A51" t="inlineStr">
        <is>
          <t>PAL-0000048</t>
        </is>
      </c>
      <c r="B51" t="inlineStr">
        <is>
          <t>A01</t>
        </is>
      </c>
      <c r="C51" t="inlineStr">
        <is>
          <t>SAMPLE: Grid C01</t>
        </is>
      </c>
      <c r="D51" t="n">
        <v>1</v>
      </c>
      <c r="E51" t="inlineStr">
        <is>
          <t>Between rows segment 01</t>
        </is>
      </c>
      <c r="F51" t="n">
        <v>4</v>
      </c>
      <c r="G51" t="n">
        <v>2</v>
      </c>
      <c r="H51">
        <f>A51</f>
        <v/>
      </c>
      <c r="I51" t="inlineStr">
        <is>
          <t>SAMPLE: Grid C05</t>
        </is>
      </c>
      <c r="J51">
        <f>IF($I51&lt;&gt;"",$I51,$A51)</f>
        <v/>
      </c>
      <c r="K51">
        <f>IF($C51="","",IF(LEN($C51)=1,CODE(UPPER($C51))-64,IFERROR(VALUE(MID($C51,2,99)),"")))</f>
        <v/>
      </c>
      <c r="L51">
        <f>IF($D51="","",IFERROR(VALUE($D51),""))</f>
        <v/>
      </c>
      <c r="M51">
        <f>IFERROR(VALUE(MID($A51,FIND("Level",$A51)+5,99)),IF($E51="AISLE_FLOOR",0,IF($E51="OVERFLOW",0,IF($E51="ENDCAP",0,""))))</f>
        <v/>
      </c>
      <c r="N51">
        <f>IF(AND($B51&lt;&gt;"",$C51&lt;&gt;"",ISNUMBER(--$D51)), $B51&amp;": "&amp;LEFT($C51,1)&amp;TEXT(--$D51,"00"), IF($I51&lt;&gt;"",$I51,$A51))</f>
        <v/>
      </c>
      <c r="O51">
        <f>IF(AND($C51&lt;&gt;"",ISNUMBER(--$D51)),LEFT($C51,1),"")</f>
        <v/>
      </c>
      <c r="P51">
        <f>IF(ISNUMBER(--$D51),--$D51,"")</f>
        <v/>
      </c>
      <c r="Q51">
        <f>IF(AND($O51&lt;&gt;"",$P51&lt;&gt;""),$O51&amp;TEXT($P51,"00"),"")</f>
        <v/>
      </c>
    </row>
    <row r="52">
      <c r="A52" t="inlineStr">
        <is>
          <t>PAL-0000049</t>
        </is>
      </c>
      <c r="B52" t="inlineStr">
        <is>
          <t>A01</t>
        </is>
      </c>
      <c r="C52" t="inlineStr">
        <is>
          <t>SAMPLE: Grid C01</t>
        </is>
      </c>
      <c r="D52" t="n">
        <v>1</v>
      </c>
      <c r="E52" t="inlineStr">
        <is>
          <t>Between rows segment 01</t>
        </is>
      </c>
      <c r="F52" t="n">
        <v>4</v>
      </c>
      <c r="G52" t="n">
        <v>2</v>
      </c>
      <c r="H52">
        <f>A52</f>
        <v/>
      </c>
      <c r="I52" t="inlineStr">
        <is>
          <t>SAMPLE: Grid C06</t>
        </is>
      </c>
      <c r="J52">
        <f>IF($I52&lt;&gt;"",$I52,$A52)</f>
        <v/>
      </c>
      <c r="K52">
        <f>IF($C52="","",IF(LEN($C52)=1,CODE(UPPER($C52))-64,IFERROR(VALUE(MID($C52,2,99)),"")))</f>
        <v/>
      </c>
      <c r="L52">
        <f>IF($D52="","",IFERROR(VALUE($D52),""))</f>
        <v/>
      </c>
      <c r="M52">
        <f>IFERROR(VALUE(MID($A52,FIND("Level",$A52)+5,99)),IF($E52="AISLE_FLOOR",0,IF($E52="OVERFLOW",0,IF($E52="ENDCAP",0,""))))</f>
        <v/>
      </c>
      <c r="N52">
        <f>IF(AND($B52&lt;&gt;"",$C52&lt;&gt;"",ISNUMBER(--$D52)), $B52&amp;": "&amp;LEFT($C52,1)&amp;TEXT(--$D52,"00"), IF($I52&lt;&gt;"",$I52,$A52))</f>
        <v/>
      </c>
      <c r="O52">
        <f>IF(AND($C52&lt;&gt;"",ISNUMBER(--$D52)),LEFT($C52,1),"")</f>
        <v/>
      </c>
      <c r="P52">
        <f>IF(ISNUMBER(--$D52),--$D52,"")</f>
        <v/>
      </c>
      <c r="Q52">
        <f>IF(AND($O52&lt;&gt;"",$P52&lt;&gt;""),$O52&amp;TEXT($P52,"00"),"")</f>
        <v/>
      </c>
    </row>
    <row r="53">
      <c r="A53" t="inlineStr">
        <is>
          <t>PAL-0000050</t>
        </is>
      </c>
      <c r="B53" t="inlineStr">
        <is>
          <t>A01</t>
        </is>
      </c>
      <c r="C53" t="inlineStr">
        <is>
          <t>SAMPLE: Grid C01</t>
        </is>
      </c>
      <c r="D53" t="n">
        <v>1</v>
      </c>
      <c r="E53" t="inlineStr">
        <is>
          <t>Between rows segment 01</t>
        </is>
      </c>
      <c r="F53" t="n">
        <v>4</v>
      </c>
      <c r="G53" t="n">
        <v>2</v>
      </c>
      <c r="H53">
        <f>A53</f>
        <v/>
      </c>
      <c r="I53" t="inlineStr">
        <is>
          <t>SAMPLE: Grid C07</t>
        </is>
      </c>
      <c r="J53">
        <f>IF($I53&lt;&gt;"",$I53,$A53)</f>
        <v/>
      </c>
      <c r="K53">
        <f>IF($C53="","",IF(LEN($C53)=1,CODE(UPPER($C53))-64,IFERROR(VALUE(MID($C53,2,99)),"")))</f>
        <v/>
      </c>
      <c r="L53">
        <f>IF($D53="","",IFERROR(VALUE($D53),""))</f>
        <v/>
      </c>
      <c r="M53">
        <f>IFERROR(VALUE(MID($A53,FIND("Level",$A53)+5,99)),IF($E53="AISLE_FLOOR",0,IF($E53="OVERFLOW",0,IF($E53="ENDCAP",0,""))))</f>
        <v/>
      </c>
      <c r="N53">
        <f>IF(AND($B53&lt;&gt;"",$C53&lt;&gt;"",ISNUMBER(--$D53)), $B53&amp;": "&amp;LEFT($C53,1)&amp;TEXT(--$D53,"00"), IF($I53&lt;&gt;"",$I53,$A53))</f>
        <v/>
      </c>
      <c r="O53">
        <f>IF(AND($C53&lt;&gt;"",ISNUMBER(--$D53)),LEFT($C53,1),"")</f>
        <v/>
      </c>
      <c r="P53">
        <f>IF(ISNUMBER(--$D53),--$D53,"")</f>
        <v/>
      </c>
      <c r="Q53">
        <f>IF(AND($O53&lt;&gt;"",$P53&lt;&gt;""),$O53&amp;TEXT($P53,"00"),"")</f>
        <v/>
      </c>
    </row>
    <row r="54">
      <c r="A54" t="inlineStr">
        <is>
          <t>RETIRED</t>
        </is>
      </c>
      <c r="B54" t="inlineStr">
        <is>
          <t>A01</t>
        </is>
      </c>
      <c r="C54" t="inlineStr">
        <is>
          <t>SAMPLE: Grid C01</t>
        </is>
      </c>
      <c r="D54" t="n">
        <v>1</v>
      </c>
      <c r="E54" t="inlineStr">
        <is>
          <t>Between rows segment 01</t>
        </is>
      </c>
      <c r="F54" t="n">
        <v>4</v>
      </c>
      <c r="G54" t="n">
        <v>2</v>
      </c>
      <c r="H54">
        <f>A54</f>
        <v/>
      </c>
      <c r="I54" t="inlineStr">
        <is>
          <t>SAMPLE: Grid C08</t>
        </is>
      </c>
      <c r="J54">
        <f>IF($I54&lt;&gt;"",$I54,$A54)</f>
        <v/>
      </c>
      <c r="K54">
        <f>IF($C54="","",IF(LEN($C54)=1,CODE(UPPER($C54))-64,IFERROR(VALUE(MID($C54,2,99)),"")))</f>
        <v/>
      </c>
      <c r="L54">
        <f>IF($D54="","",IFERROR(VALUE($D54),""))</f>
        <v/>
      </c>
      <c r="M54">
        <f>IFERROR(VALUE(MID($A54,FIND("Level",$A54)+5,99)),IF($E54="AISLE_FLOOR",0,IF($E54="OVERFLOW",0,IF($E54="ENDCAP",0,""))))</f>
        <v/>
      </c>
      <c r="N54">
        <f>IF(AND($B54&lt;&gt;"",$C54&lt;&gt;"",ISNUMBER(--$D54)), $B54&amp;": "&amp;LEFT($C54,1)&amp;TEXT(--$D54,"00"), IF($I54&lt;&gt;"",$I54,$A54))</f>
        <v/>
      </c>
      <c r="O54">
        <f>IF(AND($C54&lt;&gt;"",ISNUMBER(--$D54)),LEFT($C54,1),"")</f>
        <v/>
      </c>
      <c r="P54">
        <f>IF(ISNUMBER(--$D54),--$D54,"")</f>
        <v/>
      </c>
      <c r="Q54">
        <f>IF(AND($O54&lt;&gt;"",$P54&lt;&gt;""),$O54&amp;TEXT($P54,"00"),"")</f>
        <v/>
      </c>
    </row>
    <row r="55">
      <c r="A55" t="inlineStr">
        <is>
          <t>PAL-0000052</t>
        </is>
      </c>
      <c r="B55" t="inlineStr">
        <is>
          <t>A01</t>
        </is>
      </c>
      <c r="C55" t="inlineStr">
        <is>
          <t>SAMPLE: Grid C01</t>
        </is>
      </c>
      <c r="D55" t="n">
        <v>1</v>
      </c>
      <c r="E55" t="inlineStr">
        <is>
          <t>Between rows segment 01</t>
        </is>
      </c>
      <c r="F55" t="n">
        <v>4</v>
      </c>
      <c r="G55" t="n">
        <v>2</v>
      </c>
      <c r="H55">
        <f>A55</f>
        <v/>
      </c>
      <c r="I55" t="inlineStr">
        <is>
          <t>SAMPLE: Grid C09</t>
        </is>
      </c>
      <c r="J55">
        <f>IF($I55&lt;&gt;"",$I55,$A55)</f>
        <v/>
      </c>
      <c r="K55">
        <f>IF($C55="","",IF(LEN($C55)=1,CODE(UPPER($C55))-64,IFERROR(VALUE(MID($C55,2,99)),"")))</f>
        <v/>
      </c>
      <c r="L55">
        <f>IF($D55="","",IFERROR(VALUE($D55),""))</f>
        <v/>
      </c>
      <c r="M55">
        <f>IFERROR(VALUE(MID($A55,FIND("Level",$A55)+5,99)),IF($E55="AISLE_FLOOR",0,IF($E55="OVERFLOW",0,IF($E55="ENDCAP",0,""))))</f>
        <v/>
      </c>
      <c r="N55">
        <f>IF(AND($B55&lt;&gt;"",$C55&lt;&gt;"",ISNUMBER(--$D55)), $B55&amp;": "&amp;LEFT($C55,1)&amp;TEXT(--$D55,"00"), IF($I55&lt;&gt;"",$I55,$A55))</f>
        <v/>
      </c>
      <c r="O55">
        <f>IF(AND($C55&lt;&gt;"",ISNUMBER(--$D55)),LEFT($C55,1),"")</f>
        <v/>
      </c>
      <c r="P55">
        <f>IF(ISNUMBER(--$D55),--$D55,"")</f>
        <v/>
      </c>
      <c r="Q55">
        <f>IF(AND($O55&lt;&gt;"",$P55&lt;&gt;""),$O55&amp;TEXT($P55,"00"),"")</f>
        <v/>
      </c>
    </row>
    <row r="56">
      <c r="A56" t="inlineStr">
        <is>
          <t>PAL-0000053</t>
        </is>
      </c>
      <c r="B56" t="inlineStr">
        <is>
          <t>A01</t>
        </is>
      </c>
      <c r="C56" t="inlineStr">
        <is>
          <t>SAMPLE: Grid C01</t>
        </is>
      </c>
      <c r="D56" t="n">
        <v>1</v>
      </c>
      <c r="E56" t="inlineStr">
        <is>
          <t>Between rows segment 01</t>
        </is>
      </c>
      <c r="F56" t="n">
        <v>4</v>
      </c>
      <c r="G56" t="n">
        <v>2</v>
      </c>
      <c r="H56">
        <f>A56</f>
        <v/>
      </c>
      <c r="I56" t="inlineStr">
        <is>
          <t>SAMPLE: Grid C10</t>
        </is>
      </c>
      <c r="J56">
        <f>IF($I56&lt;&gt;"",$I56,$A56)</f>
        <v/>
      </c>
      <c r="K56">
        <f>IF($C56="","",IF(LEN($C56)=1,CODE(UPPER($C56))-64,IFERROR(VALUE(MID($C56,2,99)),"")))</f>
        <v/>
      </c>
      <c r="L56">
        <f>IF($D56="","",IFERROR(VALUE($D56),""))</f>
        <v/>
      </c>
      <c r="M56">
        <f>IFERROR(VALUE(MID($A56,FIND("Level",$A56)+5,99)),IF($E56="AISLE_FLOOR",0,IF($E56="OVERFLOW",0,IF($E56="ENDCAP",0,""))))</f>
        <v/>
      </c>
      <c r="N56">
        <f>IF(AND($B56&lt;&gt;"",$C56&lt;&gt;"",ISNUMBER(--$D56)), $B56&amp;": "&amp;LEFT($C56,1)&amp;TEXT(--$D56,"00"), IF($I56&lt;&gt;"",$I56,$A56))</f>
        <v/>
      </c>
      <c r="O56">
        <f>IF(AND($C56&lt;&gt;"",ISNUMBER(--$D56)),LEFT($C56,1),"")</f>
        <v/>
      </c>
      <c r="P56">
        <f>IF(ISNUMBER(--$D56),--$D56,"")</f>
        <v/>
      </c>
      <c r="Q56">
        <f>IF(AND($O56&lt;&gt;"",$P56&lt;&gt;""),$O56&amp;TEXT($P56,"00"),"")</f>
        <v/>
      </c>
    </row>
    <row r="57">
      <c r="A57" t="inlineStr">
        <is>
          <t>PAL-0000054</t>
        </is>
      </c>
      <c r="B57" t="inlineStr">
        <is>
          <t>A01</t>
        </is>
      </c>
      <c r="C57" t="inlineStr">
        <is>
          <t>SAMPLE: Grid C01</t>
        </is>
      </c>
      <c r="D57" t="n">
        <v>1</v>
      </c>
      <c r="E57" t="inlineStr">
        <is>
          <t>Between rows segment 01</t>
        </is>
      </c>
      <c r="F57" t="n">
        <v>4</v>
      </c>
      <c r="G57" t="n">
        <v>2</v>
      </c>
      <c r="H57">
        <f>A57</f>
        <v/>
      </c>
      <c r="I57" t="inlineStr">
        <is>
          <t>SAMPLE: Grid C11</t>
        </is>
      </c>
      <c r="J57">
        <f>IF($I57&lt;&gt;"",$I57,$A57)</f>
        <v/>
      </c>
      <c r="K57">
        <f>IF($C57="","",IF(LEN($C57)=1,CODE(UPPER($C57))-64,IFERROR(VALUE(MID($C57,2,99)),"")))</f>
        <v/>
      </c>
      <c r="L57">
        <f>IF($D57="","",IFERROR(VALUE($D57),""))</f>
        <v/>
      </c>
      <c r="M57">
        <f>IFERROR(VALUE(MID($A57,FIND("Level",$A57)+5,99)),IF($E57="AISLE_FLOOR",0,IF($E57="OVERFLOW",0,IF($E57="ENDCAP",0,""))))</f>
        <v/>
      </c>
      <c r="N57">
        <f>IF(AND($B57&lt;&gt;"",$C57&lt;&gt;"",ISNUMBER(--$D57)), $B57&amp;": "&amp;LEFT($C57,1)&amp;TEXT(--$D57,"00"), IF($I57&lt;&gt;"",$I57,$A57))</f>
        <v/>
      </c>
      <c r="O57">
        <f>IF(AND($C57&lt;&gt;"",ISNUMBER(--$D57)),LEFT($C57,1),"")</f>
        <v/>
      </c>
      <c r="P57">
        <f>IF(ISNUMBER(--$D57),--$D57,"")</f>
        <v/>
      </c>
      <c r="Q57">
        <f>IF(AND($O57&lt;&gt;"",$P57&lt;&gt;""),$O57&amp;TEXT($P57,"00"),"")</f>
        <v/>
      </c>
    </row>
    <row r="58">
      <c r="A58" t="inlineStr">
        <is>
          <t>PAL-0000055</t>
        </is>
      </c>
      <c r="B58" t="inlineStr">
        <is>
          <t>A01</t>
        </is>
      </c>
      <c r="C58" t="inlineStr">
        <is>
          <t>SAMPLE: Grid C01</t>
        </is>
      </c>
      <c r="D58" t="n">
        <v>1</v>
      </c>
      <c r="E58" t="inlineStr">
        <is>
          <t>Between rows segment 01</t>
        </is>
      </c>
      <c r="F58" t="n">
        <v>4</v>
      </c>
      <c r="G58" t="n">
        <v>2</v>
      </c>
      <c r="H58">
        <f>A58</f>
        <v/>
      </c>
      <c r="I58" t="inlineStr">
        <is>
          <t>SAMPLE: Grid C12</t>
        </is>
      </c>
      <c r="J58">
        <f>IF($I58&lt;&gt;"",$I58,$A58)</f>
        <v/>
      </c>
      <c r="K58">
        <f>IF($C58="","",IF(LEN($C58)=1,CODE(UPPER($C58))-64,IFERROR(VALUE(MID($C58,2,99)),"")))</f>
        <v/>
      </c>
      <c r="L58">
        <f>IF($D58="","",IFERROR(VALUE($D58),""))</f>
        <v/>
      </c>
      <c r="M58">
        <f>IFERROR(VALUE(MID($A58,FIND("Level",$A58)+5,99)),IF($E58="AISLE_FLOOR",0,IF($E58="OVERFLOW",0,IF($E58="ENDCAP",0,""))))</f>
        <v/>
      </c>
      <c r="N58">
        <f>IF(AND($B58&lt;&gt;"",$C58&lt;&gt;"",ISNUMBER(--$D58)), $B58&amp;": "&amp;LEFT($C58,1)&amp;TEXT(--$D58,"00"), IF($I58&lt;&gt;"",$I58,$A58))</f>
        <v/>
      </c>
      <c r="O58">
        <f>IF(AND($C58&lt;&gt;"",ISNUMBER(--$D58)),LEFT($C58,1),"")</f>
        <v/>
      </c>
      <c r="P58">
        <f>IF(ISNUMBER(--$D58),--$D58,"")</f>
        <v/>
      </c>
      <c r="Q58">
        <f>IF(AND($O58&lt;&gt;"",$P58&lt;&gt;""),$O58&amp;TEXT($P58,"00"),"")</f>
        <v/>
      </c>
    </row>
    <row r="59">
      <c r="A59" t="inlineStr">
        <is>
          <t>PAL-0000056</t>
        </is>
      </c>
      <c r="B59" t="inlineStr">
        <is>
          <t>A01</t>
        </is>
      </c>
      <c r="C59" t="inlineStr">
        <is>
          <t>SAMPLE: Grid C01</t>
        </is>
      </c>
      <c r="D59" t="n">
        <v>1</v>
      </c>
      <c r="E59" t="inlineStr">
        <is>
          <t>Between rows segment 01</t>
        </is>
      </c>
      <c r="F59" t="n">
        <v>4</v>
      </c>
      <c r="G59" t="n">
        <v>2</v>
      </c>
      <c r="H59">
        <f>A59</f>
        <v/>
      </c>
      <c r="I59" t="inlineStr">
        <is>
          <t>SAMPLE: Grid C13</t>
        </is>
      </c>
      <c r="J59">
        <f>IF($I59&lt;&gt;"",$I59,$A59)</f>
        <v/>
      </c>
      <c r="K59">
        <f>IF($C59="","",IF(LEN($C59)=1,CODE(UPPER($C59))-64,IFERROR(VALUE(MID($C59,2,99)),"")))</f>
        <v/>
      </c>
      <c r="L59">
        <f>IF($D59="","",IFERROR(VALUE($D59),""))</f>
        <v/>
      </c>
      <c r="M59">
        <f>IFERROR(VALUE(MID($A59,FIND("Level",$A59)+5,99)),IF($E59="AISLE_FLOOR",0,IF($E59="OVERFLOW",0,IF($E59="ENDCAP",0,""))))</f>
        <v/>
      </c>
      <c r="N59">
        <f>IF(AND($B59&lt;&gt;"",$C59&lt;&gt;"",ISNUMBER(--$D59)), $B59&amp;": "&amp;LEFT($C59,1)&amp;TEXT(--$D59,"00"), IF($I59&lt;&gt;"",$I59,$A59))</f>
        <v/>
      </c>
      <c r="O59">
        <f>IF(AND($C59&lt;&gt;"",ISNUMBER(--$D59)),LEFT($C59,1),"")</f>
        <v/>
      </c>
      <c r="P59">
        <f>IF(ISNUMBER(--$D59),--$D59,"")</f>
        <v/>
      </c>
      <c r="Q59">
        <f>IF(AND($O59&lt;&gt;"",$P59&lt;&gt;""),$O59&amp;TEXT($P59,"00"),"")</f>
        <v/>
      </c>
    </row>
    <row r="60">
      <c r="A60" t="inlineStr">
        <is>
          <t>PAL-0000057</t>
        </is>
      </c>
      <c r="B60" t="inlineStr">
        <is>
          <t>A01</t>
        </is>
      </c>
      <c r="C60" t="inlineStr">
        <is>
          <t>SAMPLE: Grid C01</t>
        </is>
      </c>
      <c r="D60" t="n">
        <v>1</v>
      </c>
      <c r="E60" t="inlineStr">
        <is>
          <t>Between rows segment 01</t>
        </is>
      </c>
      <c r="F60" t="n">
        <v>4</v>
      </c>
      <c r="G60" t="n">
        <v>2</v>
      </c>
      <c r="H60">
        <f>A60</f>
        <v/>
      </c>
      <c r="I60" t="inlineStr">
        <is>
          <t>SAMPLE: Grid C14</t>
        </is>
      </c>
      <c r="J60">
        <f>IF($I60&lt;&gt;"",$I60,$A60)</f>
        <v/>
      </c>
      <c r="K60">
        <f>IF($C60="","",IF(LEN($C60)=1,CODE(UPPER($C60))-64,IFERROR(VALUE(MID($C60,2,99)),"")))</f>
        <v/>
      </c>
      <c r="L60">
        <f>IF($D60="","",IFERROR(VALUE($D60),""))</f>
        <v/>
      </c>
      <c r="M60">
        <f>IFERROR(VALUE(MID($A60,FIND("Level",$A60)+5,99)),IF($E60="AISLE_FLOOR",0,IF($E60="OVERFLOW",0,IF($E60="ENDCAP",0,""))))</f>
        <v/>
      </c>
      <c r="N60">
        <f>IF(AND($B60&lt;&gt;"",$C60&lt;&gt;"",ISNUMBER(--$D60)), $B60&amp;": "&amp;LEFT($C60,1)&amp;TEXT(--$D60,"00"), IF($I60&lt;&gt;"",$I60,$A60))</f>
        <v/>
      </c>
      <c r="O60">
        <f>IF(AND($C60&lt;&gt;"",ISNUMBER(--$D60)),LEFT($C60,1),"")</f>
        <v/>
      </c>
      <c r="P60">
        <f>IF(ISNUMBER(--$D60),--$D60,"")</f>
        <v/>
      </c>
      <c r="Q60">
        <f>IF(AND($O60&lt;&gt;"",$P60&lt;&gt;""),$O60&amp;TEXT($P60,"00"),"")</f>
        <v/>
      </c>
    </row>
    <row r="61">
      <c r="A61" t="inlineStr">
        <is>
          <t>PAL-0000058</t>
        </is>
      </c>
      <c r="B61" t="inlineStr">
        <is>
          <t>A01</t>
        </is>
      </c>
      <c r="C61" t="inlineStr">
        <is>
          <t>SAMPLE: Grid C01</t>
        </is>
      </c>
      <c r="D61" t="n">
        <v>1</v>
      </c>
      <c r="E61" t="inlineStr">
        <is>
          <t>Between rows segment 01</t>
        </is>
      </c>
      <c r="F61" t="n">
        <v>4</v>
      </c>
      <c r="G61" t="n">
        <v>2</v>
      </c>
      <c r="H61">
        <f>A61</f>
        <v/>
      </c>
      <c r="I61" t="inlineStr">
        <is>
          <t>SAMPLE: Grid C15</t>
        </is>
      </c>
      <c r="J61">
        <f>IF($I61&lt;&gt;"",$I61,$A61)</f>
        <v/>
      </c>
      <c r="K61">
        <f>IF($C61="","",IF(LEN($C61)=1,CODE(UPPER($C61))-64,IFERROR(VALUE(MID($C61,2,99)),"")))</f>
        <v/>
      </c>
      <c r="L61">
        <f>IF($D61="","",IFERROR(VALUE($D61),""))</f>
        <v/>
      </c>
      <c r="M61">
        <f>IFERROR(VALUE(MID($A61,FIND("Level",$A61)+5,99)),IF($E61="AISLE_FLOOR",0,IF($E61="OVERFLOW",0,IF($E61="ENDCAP",0,""))))</f>
        <v/>
      </c>
      <c r="N61">
        <f>IF(AND($B61&lt;&gt;"",$C61&lt;&gt;"",ISNUMBER(--$D61)), $B61&amp;": "&amp;LEFT($C61,1)&amp;TEXT(--$D61,"00"), IF($I61&lt;&gt;"",$I61,$A61))</f>
        <v/>
      </c>
      <c r="O61">
        <f>IF(AND($C61&lt;&gt;"",ISNUMBER(--$D61)),LEFT($C61,1),"")</f>
        <v/>
      </c>
      <c r="P61">
        <f>IF(ISNUMBER(--$D61),--$D61,"")</f>
        <v/>
      </c>
      <c r="Q61">
        <f>IF(AND($O61&lt;&gt;"",$P61&lt;&gt;""),$O61&amp;TEXT($P61,"00"),"")</f>
        <v/>
      </c>
    </row>
    <row r="62">
      <c r="A62" t="inlineStr">
        <is>
          <t>PAL-0000059</t>
        </is>
      </c>
      <c r="B62" t="inlineStr">
        <is>
          <t>A01</t>
        </is>
      </c>
      <c r="C62" t="inlineStr">
        <is>
          <t>SAMPLE: Grid C01</t>
        </is>
      </c>
      <c r="D62" t="n">
        <v>1</v>
      </c>
      <c r="E62" t="inlineStr">
        <is>
          <t>Between rows segment 01</t>
        </is>
      </c>
      <c r="F62" t="n">
        <v>4</v>
      </c>
      <c r="G62" t="n">
        <v>2</v>
      </c>
      <c r="H62">
        <f>A62</f>
        <v/>
      </c>
      <c r="I62" t="inlineStr">
        <is>
          <t>SAMPLE: Grid C16</t>
        </is>
      </c>
      <c r="J62">
        <f>IF($I62&lt;&gt;"",$I62,$A62)</f>
        <v/>
      </c>
      <c r="K62">
        <f>IF($C62="","",IF(LEN($C62)=1,CODE(UPPER($C62))-64,IFERROR(VALUE(MID($C62,2,99)),"")))</f>
        <v/>
      </c>
      <c r="L62">
        <f>IF($D62="","",IFERROR(VALUE($D62),""))</f>
        <v/>
      </c>
      <c r="M62">
        <f>IFERROR(VALUE(MID($A62,FIND("Level",$A62)+5,99)),IF($E62="AISLE_FLOOR",0,IF($E62="OVERFLOW",0,IF($E62="ENDCAP",0,""))))</f>
        <v/>
      </c>
      <c r="N62">
        <f>IF(AND($B62&lt;&gt;"",$C62&lt;&gt;"",ISNUMBER(--$D62)), $B62&amp;": "&amp;LEFT($C62,1)&amp;TEXT(--$D62,"00"), IF($I62&lt;&gt;"",$I62,$A62))</f>
        <v/>
      </c>
      <c r="O62">
        <f>IF(AND($C62&lt;&gt;"",ISNUMBER(--$D62)),LEFT($C62,1),"")</f>
        <v/>
      </c>
      <c r="P62">
        <f>IF(ISNUMBER(--$D62),--$D62,"")</f>
        <v/>
      </c>
      <c r="Q62">
        <f>IF(AND($O62&lt;&gt;"",$P62&lt;&gt;""),$O62&amp;TEXT($P62,"00"),"")</f>
        <v/>
      </c>
    </row>
    <row r="63">
      <c r="A63" t="inlineStr">
        <is>
          <t>PAL-0000060</t>
        </is>
      </c>
      <c r="B63" t="inlineStr">
        <is>
          <t>A01</t>
        </is>
      </c>
      <c r="C63" t="inlineStr">
        <is>
          <t>SAMPLE: Grid C01</t>
        </is>
      </c>
      <c r="D63" t="n">
        <v>1</v>
      </c>
      <c r="E63" t="inlineStr">
        <is>
          <t>Between rows segment 01</t>
        </is>
      </c>
      <c r="F63" t="n">
        <v>4</v>
      </c>
      <c r="G63" t="n">
        <v>2</v>
      </c>
      <c r="H63">
        <f>A63</f>
        <v/>
      </c>
      <c r="I63" t="inlineStr">
        <is>
          <t>SAMPLE: Grid C17</t>
        </is>
      </c>
      <c r="J63">
        <f>IF($I63&lt;&gt;"",$I63,$A63)</f>
        <v/>
      </c>
      <c r="K63">
        <f>IF($C63="","",IF(LEN($C63)=1,CODE(UPPER($C63))-64,IFERROR(VALUE(MID($C63,2,99)),"")))</f>
        <v/>
      </c>
      <c r="L63">
        <f>IF($D63="","",IFERROR(VALUE($D63),""))</f>
        <v/>
      </c>
      <c r="M63">
        <f>IFERROR(VALUE(MID($A63,FIND("Level",$A63)+5,99)),IF($E63="AISLE_FLOOR",0,IF($E63="OVERFLOW",0,IF($E63="ENDCAP",0,""))))</f>
        <v/>
      </c>
      <c r="N63">
        <f>IF(AND($B63&lt;&gt;"",$C63&lt;&gt;"",ISNUMBER(--$D63)), $B63&amp;": "&amp;LEFT($C63,1)&amp;TEXT(--$D63,"00"), IF($I63&lt;&gt;"",$I63,$A63))</f>
        <v/>
      </c>
      <c r="O63">
        <f>IF(AND($C63&lt;&gt;"",ISNUMBER(--$D63)),LEFT($C63,1),"")</f>
        <v/>
      </c>
      <c r="P63">
        <f>IF(ISNUMBER(--$D63),--$D63,"")</f>
        <v/>
      </c>
      <c r="Q63">
        <f>IF(AND($O63&lt;&gt;"",$P63&lt;&gt;""),$O63&amp;TEXT($P63,"00"),"")</f>
        <v/>
      </c>
    </row>
    <row r="64">
      <c r="A64" t="inlineStr">
        <is>
          <t>PAL-0000061</t>
        </is>
      </c>
      <c r="B64" t="inlineStr">
        <is>
          <t>A01</t>
        </is>
      </c>
      <c r="C64" t="inlineStr">
        <is>
          <t>SAMPLE: Grid C01</t>
        </is>
      </c>
      <c r="D64" t="n">
        <v>1</v>
      </c>
      <c r="E64" t="inlineStr">
        <is>
          <t>Between rows segment 01</t>
        </is>
      </c>
      <c r="F64" t="n">
        <v>4</v>
      </c>
      <c r="G64" t="n">
        <v>2</v>
      </c>
      <c r="H64">
        <f>A64</f>
        <v/>
      </c>
      <c r="I64" t="inlineStr">
        <is>
          <t>WH-Z1-AisleC-Bay1-Level18</t>
        </is>
      </c>
      <c r="J64">
        <f>IF($I64&lt;&gt;"",$I64,$A64)</f>
        <v/>
      </c>
      <c r="K64">
        <f>IF($C64="","",IF(LEN($C64)=1,CODE(UPPER($C64))-64,IFERROR(VALUE(MID($C64,2,99)),"")))</f>
        <v/>
      </c>
      <c r="L64">
        <f>IF($D64="","",IFERROR(VALUE($D64),""))</f>
        <v/>
      </c>
      <c r="M64">
        <f>IFERROR(VALUE(MID($A64,FIND("Level",$A64)+5,99)),IF($E64="AISLE_FLOOR",0,IF($E64="OVERFLOW",0,IF($E64="ENDCAP",0,""))))</f>
        <v/>
      </c>
      <c r="N64">
        <f>IF(AND($B64&lt;&gt;"",$C64&lt;&gt;"",ISNUMBER(--$D64)), $B64&amp;": "&amp;LEFT($C64,1)&amp;TEXT(--$D64,"00"), IF($I64&lt;&gt;"",$I64,$A64))</f>
        <v/>
      </c>
      <c r="O64">
        <f>IF(AND($C64&lt;&gt;"",ISNUMBER(--$D64)),LEFT($C64,1),"")</f>
        <v/>
      </c>
      <c r="P64">
        <f>IF(ISNUMBER(--$D64),--$D64,"")</f>
        <v/>
      </c>
      <c r="Q64">
        <f>IF(AND($O64&lt;&gt;"",$P64&lt;&gt;""),$O64&amp;TEXT($P64,"00"),"")</f>
        <v/>
      </c>
    </row>
    <row r="65">
      <c r="A65" t="inlineStr">
        <is>
          <t>SAMPLE: Grid C18</t>
        </is>
      </c>
      <c r="B65" t="inlineStr">
        <is>
          <t>A01</t>
        </is>
      </c>
      <c r="C65" t="inlineStr">
        <is>
          <t>SAMPLE: Grid C01</t>
        </is>
      </c>
      <c r="D65" t="n">
        <v>1</v>
      </c>
      <c r="E65" t="inlineStr">
        <is>
          <t>Between rows segment 01</t>
        </is>
      </c>
      <c r="F65" t="n">
        <v>4</v>
      </c>
      <c r="G65" t="n">
        <v>2</v>
      </c>
      <c r="H65">
        <f>A65</f>
        <v/>
      </c>
      <c r="I65" t="inlineStr">
        <is>
          <t>WH-Z1-AisleC-Bay1-Level19</t>
        </is>
      </c>
      <c r="J65">
        <f>IF($I65&lt;&gt;"",$I65,$A65)</f>
        <v/>
      </c>
      <c r="K65">
        <f>IF($C65="","",IF(LEN($C65)=1,CODE(UPPER($C65))-64,IFERROR(VALUE(MID($C65,2,99)),"")))</f>
        <v/>
      </c>
      <c r="L65">
        <f>IF($D65="","",IFERROR(VALUE($D65),""))</f>
        <v/>
      </c>
      <c r="M65">
        <f>IFERROR(VALUE(MID($A65,FIND("Level",$A65)+5,99)),IF($E65="AISLE_FLOOR",0,IF($E65="OVERFLOW",0,IF($E65="ENDCAP",0,""))))</f>
        <v/>
      </c>
      <c r="N65">
        <f>IF(AND($B65&lt;&gt;"",$C65&lt;&gt;"",ISNUMBER(--$D65)), $B65&amp;": "&amp;LEFT($C65,1)&amp;TEXT(--$D65,"00"), IF($I65&lt;&gt;"",$I65,$A65))</f>
        <v/>
      </c>
      <c r="O65">
        <f>IF(AND($C65&lt;&gt;"",ISNUMBER(--$D65)),LEFT($C65,1),"")</f>
        <v/>
      </c>
      <c r="P65">
        <f>IF(ISNUMBER(--$D65),--$D65,"")</f>
        <v/>
      </c>
      <c r="Q65">
        <f>IF(AND($O65&lt;&gt;"",$P65&lt;&gt;""),$O65&amp;TEXT($P65,"00"),"")</f>
        <v/>
      </c>
    </row>
    <row r="66">
      <c r="A66" t="inlineStr">
        <is>
          <t>SAMPLE: Grid C19</t>
        </is>
      </c>
      <c r="B66" t="inlineStr">
        <is>
          <t>A01</t>
        </is>
      </c>
      <c r="C66" t="inlineStr">
        <is>
          <t>SAMPLE: Grid C01</t>
        </is>
      </c>
      <c r="D66" t="n">
        <v>1</v>
      </c>
      <c r="E66" t="inlineStr">
        <is>
          <t>Between rows segment 01</t>
        </is>
      </c>
      <c r="F66" t="n">
        <v>4</v>
      </c>
      <c r="G66" t="n">
        <v>2</v>
      </c>
      <c r="H66">
        <f>A66</f>
        <v/>
      </c>
      <c r="I66" t="inlineStr">
        <is>
          <t>WH-Z1-AisleC-Bay1-Level20</t>
        </is>
      </c>
      <c r="J66">
        <f>IF($I66&lt;&gt;"",$I66,$A66)</f>
        <v/>
      </c>
      <c r="K66">
        <f>IF($C66="","",IF(LEN($C66)=1,CODE(UPPER($C66))-64,IFERROR(VALUE(MID($C66,2,99)),"")))</f>
        <v/>
      </c>
      <c r="L66">
        <f>IF($D66="","",IFERROR(VALUE($D66),""))</f>
        <v/>
      </c>
      <c r="M66">
        <f>IFERROR(VALUE(MID($A66,FIND("Level",$A66)+5,99)),IF($E66="AISLE_FLOOR",0,IF($E66="OVERFLOW",0,IF($E66="ENDCAP",0,""))))</f>
        <v/>
      </c>
      <c r="N66">
        <f>IF(AND($B66&lt;&gt;"",$C66&lt;&gt;"",ISNUMBER(--$D66)), $B66&amp;": "&amp;LEFT($C66,1)&amp;TEXT(--$D66,"00"), IF($I66&lt;&gt;"",$I66,$A66))</f>
        <v/>
      </c>
      <c r="O66">
        <f>IF(AND($C66&lt;&gt;"",ISNUMBER(--$D66)),LEFT($C66,1),"")</f>
        <v/>
      </c>
      <c r="P66">
        <f>IF(ISNUMBER(--$D66),--$D66,"")</f>
        <v/>
      </c>
      <c r="Q66">
        <f>IF(AND($O66&lt;&gt;"",$P66&lt;&gt;""),$O66&amp;TEXT($P66,"00"),"")</f>
        <v/>
      </c>
    </row>
    <row r="67">
      <c r="A67" t="inlineStr">
        <is>
          <t>SAMPLE: Grid C20</t>
        </is>
      </c>
      <c r="B67" t="inlineStr">
        <is>
          <t>A01</t>
        </is>
      </c>
      <c r="C67" t="inlineStr">
        <is>
          <t>SAMPLE: Grid C01</t>
        </is>
      </c>
      <c r="D67" t="n">
        <v>1</v>
      </c>
      <c r="E67" t="inlineStr">
        <is>
          <t>Between rows segment 01</t>
        </is>
      </c>
      <c r="F67" t="n">
        <v>4</v>
      </c>
      <c r="G67" t="n">
        <v>2</v>
      </c>
      <c r="H67">
        <f>A67</f>
        <v/>
      </c>
      <c r="I67" t="inlineStr">
        <is>
          <t>WH-Z1-AisleD-Bay1-Level1</t>
        </is>
      </c>
      <c r="J67">
        <f>IF($I67&lt;&gt;"",$I67,$A67)</f>
        <v/>
      </c>
      <c r="K67">
        <f>IF($C67="","",IF(LEN($C67)=1,CODE(UPPER($C67))-64,IFERROR(VALUE(MID($C67,2,99)),"")))</f>
        <v/>
      </c>
      <c r="L67">
        <f>IF($D67="","",IFERROR(VALUE($D67),""))</f>
        <v/>
      </c>
      <c r="M67">
        <f>IFERROR(VALUE(MID($A67,FIND("Level",$A67)+5,99)),IF($E67="AISLE_FLOOR",0,IF($E67="OVERFLOW",0,IF($E67="ENDCAP",0,""))))</f>
        <v/>
      </c>
      <c r="N67">
        <f>IF(AND($B67&lt;&gt;"",$C67&lt;&gt;"",ISNUMBER(--$D67)), $B67&amp;": "&amp;LEFT($C67,1)&amp;TEXT(--$D67,"00"), IF($I67&lt;&gt;"",$I67,$A67))</f>
        <v/>
      </c>
      <c r="O67">
        <f>IF(AND($C67&lt;&gt;"",ISNUMBER(--$D67)),LEFT($C67,1),"")</f>
        <v/>
      </c>
      <c r="P67">
        <f>IF(ISNUMBER(--$D67),--$D67,"")</f>
        <v/>
      </c>
      <c r="Q67">
        <f>IF(AND($O67&lt;&gt;"",$P67&lt;&gt;""),$O67&amp;TEXT($P67,"00"),"")</f>
        <v/>
      </c>
    </row>
    <row r="68">
      <c r="A68" t="inlineStr">
        <is>
          <t>D</t>
        </is>
      </c>
      <c r="B68" t="inlineStr">
        <is>
          <t>A01</t>
        </is>
      </c>
      <c r="C68" t="inlineStr">
        <is>
          <t>SAMPLE: Grid D01</t>
        </is>
      </c>
      <c r="D68" t="n">
        <v>1</v>
      </c>
      <c r="E68" t="inlineStr">
        <is>
          <t>Between rows segment 01</t>
        </is>
      </c>
      <c r="F68" t="n">
        <v>4</v>
      </c>
      <c r="G68" t="n">
        <v>2</v>
      </c>
      <c r="H68">
        <f>A68</f>
        <v/>
      </c>
      <c r="I68" t="inlineStr">
        <is>
          <t>WH-Z1-AisleD-Bay1-Level2</t>
        </is>
      </c>
      <c r="J68">
        <f>IF($I68&lt;&gt;"",$I68,$A68)</f>
        <v/>
      </c>
      <c r="K68">
        <f>IF($C68="","",IF(LEN($C68)=1,CODE(UPPER($C68))-64,IFERROR(VALUE(MID($C68,2,99)),"")))</f>
        <v/>
      </c>
      <c r="L68">
        <f>IF($D68="","",IFERROR(VALUE($D68),""))</f>
        <v/>
      </c>
      <c r="M68">
        <f>IFERROR(VALUE(MID($A68,FIND("Level",$A68)+5,99)),IF($E68="AISLE_FLOOR",0,IF($E68="OVERFLOW",0,IF($E68="ENDCAP",0,""))))</f>
        <v/>
      </c>
      <c r="N68">
        <f>IF(AND($B68&lt;&gt;"",$C68&lt;&gt;"",ISNUMBER(--$D68)), $B68&amp;": "&amp;LEFT($C68,1)&amp;TEXT(--$D68,"00"), IF($I68&lt;&gt;"",$I68,$A68))</f>
        <v/>
      </c>
      <c r="O68">
        <f>IF(AND($C68&lt;&gt;"",ISNUMBER(--$D68)),LEFT($C68,1),"")</f>
        <v/>
      </c>
      <c r="P68">
        <f>IF(ISNUMBER(--$D68),--$D68,"")</f>
        <v/>
      </c>
      <c r="Q68">
        <f>IF(AND($O68&lt;&gt;"",$P68&lt;&gt;""),$O68&amp;TEXT($P68,"00"),"")</f>
        <v/>
      </c>
    </row>
    <row r="69">
      <c r="A69" t="inlineStr">
        <is>
          <t>SAMPLE: Grid D02</t>
        </is>
      </c>
      <c r="B69" t="inlineStr">
        <is>
          <t>A01</t>
        </is>
      </c>
      <c r="C69" t="inlineStr">
        <is>
          <t>SAMPLE: Grid D01</t>
        </is>
      </c>
      <c r="D69" t="n">
        <v>1</v>
      </c>
      <c r="E69" t="inlineStr">
        <is>
          <t>Between rows segment 01</t>
        </is>
      </c>
      <c r="F69" t="n">
        <v>4</v>
      </c>
      <c r="G69" t="n">
        <v>2</v>
      </c>
      <c r="H69">
        <f>A69</f>
        <v/>
      </c>
      <c r="I69" t="inlineStr">
        <is>
          <t>WH-Z1-AisleD-Bay1-Level3</t>
        </is>
      </c>
      <c r="J69">
        <f>IF($I69&lt;&gt;"",$I69,$A69)</f>
        <v/>
      </c>
      <c r="K69">
        <f>IF($C69="","",IF(LEN($C69)=1,CODE(UPPER($C69))-64,IFERROR(VALUE(MID($C69,2,99)),"")))</f>
        <v/>
      </c>
      <c r="L69">
        <f>IF($D69="","",IFERROR(VALUE($D69),""))</f>
        <v/>
      </c>
      <c r="M69">
        <f>IFERROR(VALUE(MID($A69,FIND("Level",$A69)+5,99)),IF($E69="AISLE_FLOOR",0,IF($E69="OVERFLOW",0,IF($E69="ENDCAP",0,""))))</f>
        <v/>
      </c>
      <c r="N69">
        <f>IF(AND($B69&lt;&gt;"",$C69&lt;&gt;"",ISNUMBER(--$D69)), $B69&amp;": "&amp;LEFT($C69,1)&amp;TEXT(--$D69,"00"), IF($I69&lt;&gt;"",$I69,$A69))</f>
        <v/>
      </c>
      <c r="O69">
        <f>IF(AND($C69&lt;&gt;"",ISNUMBER(--$D69)),LEFT($C69,1),"")</f>
        <v/>
      </c>
      <c r="P69">
        <f>IF(ISNUMBER(--$D69),--$D69,"")</f>
        <v/>
      </c>
      <c r="Q69">
        <f>IF(AND($O69&lt;&gt;"",$P69&lt;&gt;""),$O69&amp;TEXT($P69,"00"),"")</f>
        <v/>
      </c>
    </row>
    <row r="70">
      <c r="A70" t="inlineStr">
        <is>
          <t>SAMPLE: Grid D03</t>
        </is>
      </c>
      <c r="B70" t="inlineStr">
        <is>
          <t>A01</t>
        </is>
      </c>
      <c r="C70" t="inlineStr">
        <is>
          <t>SAMPLE: Grid D01</t>
        </is>
      </c>
      <c r="D70" t="n">
        <v>1</v>
      </c>
      <c r="E70" t="inlineStr">
        <is>
          <t>Between rows segment 01</t>
        </is>
      </c>
      <c r="F70" t="n">
        <v>4</v>
      </c>
      <c r="G70" t="n">
        <v>2</v>
      </c>
      <c r="H70">
        <f>A70</f>
        <v/>
      </c>
      <c r="I70" t="inlineStr">
        <is>
          <t>WH-Z1-AisleD-Bay1-Level4</t>
        </is>
      </c>
      <c r="J70">
        <f>IF($I70&lt;&gt;"",$I70,$A70)</f>
        <v/>
      </c>
      <c r="K70">
        <f>IF($C70="","",IF(LEN($C70)=1,CODE(UPPER($C70))-64,IFERROR(VALUE(MID($C70,2,99)),"")))</f>
        <v/>
      </c>
      <c r="L70">
        <f>IF($D70="","",IFERROR(VALUE($D70),""))</f>
        <v/>
      </c>
      <c r="M70">
        <f>IFERROR(VALUE(MID($A70,FIND("Level",$A70)+5,99)),IF($E70="AISLE_FLOOR",0,IF($E70="OVERFLOW",0,IF($E70="ENDCAP",0,""))))</f>
        <v/>
      </c>
      <c r="N70">
        <f>IF(AND($B70&lt;&gt;"",$C70&lt;&gt;"",ISNUMBER(--$D70)), $B70&amp;": "&amp;LEFT($C70,1)&amp;TEXT(--$D70,"00"), IF($I70&lt;&gt;"",$I70,$A70))</f>
        <v/>
      </c>
      <c r="O70">
        <f>IF(AND($C70&lt;&gt;"",ISNUMBER(--$D70)),LEFT($C70,1),"")</f>
        <v/>
      </c>
      <c r="P70">
        <f>IF(ISNUMBER(--$D70),--$D70,"")</f>
        <v/>
      </c>
      <c r="Q70">
        <f>IF(AND($O70&lt;&gt;"",$P70&lt;&gt;""),$O70&amp;TEXT($P70,"00"),"")</f>
        <v/>
      </c>
    </row>
    <row r="71">
      <c r="A71" t="inlineStr">
        <is>
          <t>SAMPLE: Grid D04</t>
        </is>
      </c>
      <c r="B71" t="inlineStr">
        <is>
          <t>A01</t>
        </is>
      </c>
      <c r="C71" t="inlineStr">
        <is>
          <t>SAMPLE: Grid D01</t>
        </is>
      </c>
      <c r="D71" t="n">
        <v>1</v>
      </c>
      <c r="E71" t="inlineStr">
        <is>
          <t>Between rows segment 01</t>
        </is>
      </c>
      <c r="F71" t="n">
        <v>4</v>
      </c>
      <c r="G71" t="n">
        <v>2</v>
      </c>
      <c r="H71">
        <f>A71</f>
        <v/>
      </c>
      <c r="I71" t="inlineStr">
        <is>
          <t>WH-Z1-AisleD-Bay1-Level5</t>
        </is>
      </c>
      <c r="J71">
        <f>IF($I71&lt;&gt;"",$I71,$A71)</f>
        <v/>
      </c>
      <c r="K71">
        <f>IF($C71="","",IF(LEN($C71)=1,CODE(UPPER($C71))-64,IFERROR(VALUE(MID($C71,2,99)),"")))</f>
        <v/>
      </c>
      <c r="L71">
        <f>IF($D71="","",IFERROR(VALUE($D71),""))</f>
        <v/>
      </c>
      <c r="M71">
        <f>IFERROR(VALUE(MID($A71,FIND("Level",$A71)+5,99)),IF($E71="AISLE_FLOOR",0,IF($E71="OVERFLOW",0,IF($E71="ENDCAP",0,""))))</f>
        <v/>
      </c>
      <c r="N71">
        <f>IF(AND($B71&lt;&gt;"",$C71&lt;&gt;"",ISNUMBER(--$D71)), $B71&amp;": "&amp;LEFT($C71,1)&amp;TEXT(--$D71,"00"), IF($I71&lt;&gt;"",$I71,$A71))</f>
        <v/>
      </c>
      <c r="O71">
        <f>IF(AND($C71&lt;&gt;"",ISNUMBER(--$D71)),LEFT($C71,1),"")</f>
        <v/>
      </c>
      <c r="P71">
        <f>IF(ISNUMBER(--$D71),--$D71,"")</f>
        <v/>
      </c>
      <c r="Q71">
        <f>IF(AND($O71&lt;&gt;"",$P71&lt;&gt;""),$O71&amp;TEXT($P71,"00"),"")</f>
        <v/>
      </c>
    </row>
    <row r="72">
      <c r="A72" t="inlineStr">
        <is>
          <t>SAMPLE: Grid D05</t>
        </is>
      </c>
      <c r="B72" t="inlineStr">
        <is>
          <t>A01</t>
        </is>
      </c>
      <c r="C72" t="inlineStr">
        <is>
          <t>SAMPLE: Grid D01</t>
        </is>
      </c>
      <c r="D72" t="n">
        <v>1</v>
      </c>
      <c r="E72" t="inlineStr">
        <is>
          <t>Between rows segment 01</t>
        </is>
      </c>
      <c r="F72" t="n">
        <v>4</v>
      </c>
      <c r="G72" t="n">
        <v>2</v>
      </c>
      <c r="H72">
        <f>A72</f>
        <v/>
      </c>
      <c r="I72" t="inlineStr">
        <is>
          <t>WH-Z1-AisleD-Bay1-Level6</t>
        </is>
      </c>
      <c r="J72">
        <f>IF($I72&lt;&gt;"",$I72,$A72)</f>
        <v/>
      </c>
      <c r="K72">
        <f>IF($C72="","",IF(LEN($C72)=1,CODE(UPPER($C72))-64,IFERROR(VALUE(MID($C72,2,99)),"")))</f>
        <v/>
      </c>
      <c r="L72">
        <f>IF($D72="","",IFERROR(VALUE($D72),""))</f>
        <v/>
      </c>
      <c r="M72">
        <f>IFERROR(VALUE(MID($A72,FIND("Level",$A72)+5,99)),IF($E72="AISLE_FLOOR",0,IF($E72="OVERFLOW",0,IF($E72="ENDCAP",0,""))))</f>
        <v/>
      </c>
      <c r="N72">
        <f>IF(AND($B72&lt;&gt;"",$C72&lt;&gt;"",ISNUMBER(--$D72)), $B72&amp;": "&amp;LEFT($C72,1)&amp;TEXT(--$D72,"00"), IF($I72&lt;&gt;"",$I72,$A72))</f>
        <v/>
      </c>
      <c r="O72">
        <f>IF(AND($C72&lt;&gt;"",ISNUMBER(--$D72)),LEFT($C72,1),"")</f>
        <v/>
      </c>
      <c r="P72">
        <f>IF(ISNUMBER(--$D72),--$D72,"")</f>
        <v/>
      </c>
      <c r="Q72">
        <f>IF(AND($O72&lt;&gt;"",$P72&lt;&gt;""),$O72&amp;TEXT($P72,"00"),"")</f>
        <v/>
      </c>
    </row>
    <row r="73">
      <c r="A73" t="inlineStr">
        <is>
          <t>SAMPLE: Grid D06</t>
        </is>
      </c>
      <c r="B73" t="inlineStr">
        <is>
          <t>A01</t>
        </is>
      </c>
      <c r="C73" t="inlineStr">
        <is>
          <t>SAMPLE: Grid D01</t>
        </is>
      </c>
      <c r="D73" t="n">
        <v>1</v>
      </c>
      <c r="E73" t="inlineStr">
        <is>
          <t>Between rows segment 01</t>
        </is>
      </c>
      <c r="F73" t="n">
        <v>4</v>
      </c>
      <c r="G73" t="n">
        <v>2</v>
      </c>
      <c r="H73">
        <f>A73</f>
        <v/>
      </c>
      <c r="I73" t="inlineStr">
        <is>
          <t>WH-Z1-AisleD-Bay1-Level7</t>
        </is>
      </c>
      <c r="J73">
        <f>IF($I73&lt;&gt;"",$I73,$A73)</f>
        <v/>
      </c>
      <c r="K73">
        <f>IF($C73="","",IF(LEN($C73)=1,CODE(UPPER($C73))-64,IFERROR(VALUE(MID($C73,2,99)),"")))</f>
        <v/>
      </c>
      <c r="L73">
        <f>IF($D73="","",IFERROR(VALUE($D73),""))</f>
        <v/>
      </c>
      <c r="M73">
        <f>IFERROR(VALUE(MID($A73,FIND("Level",$A73)+5,99)),IF($E73="AISLE_FLOOR",0,IF($E73="OVERFLOW",0,IF($E73="ENDCAP",0,""))))</f>
        <v/>
      </c>
      <c r="N73">
        <f>IF(AND($B73&lt;&gt;"",$C73&lt;&gt;"",ISNUMBER(--$D73)), $B73&amp;": "&amp;LEFT($C73,1)&amp;TEXT(--$D73,"00"), IF($I73&lt;&gt;"",$I73,$A73))</f>
        <v/>
      </c>
      <c r="O73">
        <f>IF(AND($C73&lt;&gt;"",ISNUMBER(--$D73)),LEFT($C73,1),"")</f>
        <v/>
      </c>
      <c r="P73">
        <f>IF(ISNUMBER(--$D73),--$D73,"")</f>
        <v/>
      </c>
      <c r="Q73">
        <f>IF(AND($O73&lt;&gt;"",$P73&lt;&gt;""),$O73&amp;TEXT($P73,"00"),"")</f>
        <v/>
      </c>
    </row>
    <row r="74">
      <c r="A74" t="inlineStr">
        <is>
          <t>SAMPLE: Grid D07</t>
        </is>
      </c>
      <c r="B74" t="inlineStr">
        <is>
          <t>A01</t>
        </is>
      </c>
      <c r="C74" t="inlineStr">
        <is>
          <t>SAMPLE: Grid D01</t>
        </is>
      </c>
      <c r="D74" t="n">
        <v>1</v>
      </c>
      <c r="E74" t="inlineStr">
        <is>
          <t>Between rows segment 01</t>
        </is>
      </c>
      <c r="F74" t="n">
        <v>4</v>
      </c>
      <c r="G74" t="n">
        <v>2</v>
      </c>
      <c r="H74">
        <f>A74</f>
        <v/>
      </c>
      <c r="I74" t="inlineStr">
        <is>
          <t>WH-Z1-AisleD-Bay1-Level8</t>
        </is>
      </c>
      <c r="J74">
        <f>IF($I74&lt;&gt;"",$I74,$A74)</f>
        <v/>
      </c>
      <c r="K74">
        <f>IF($C74="","",IF(LEN($C74)=1,CODE(UPPER($C74))-64,IFERROR(VALUE(MID($C74,2,99)),"")))</f>
        <v/>
      </c>
      <c r="L74">
        <f>IF($D74="","",IFERROR(VALUE($D74),""))</f>
        <v/>
      </c>
      <c r="M74">
        <f>IFERROR(VALUE(MID($A74,FIND("Level",$A74)+5,99)),IF($E74="AISLE_FLOOR",0,IF($E74="OVERFLOW",0,IF($E74="ENDCAP",0,""))))</f>
        <v/>
      </c>
      <c r="N74">
        <f>IF(AND($B74&lt;&gt;"",$C74&lt;&gt;"",ISNUMBER(--$D74)), $B74&amp;": "&amp;LEFT($C74,1)&amp;TEXT(--$D74,"00"), IF($I74&lt;&gt;"",$I74,$A74))</f>
        <v/>
      </c>
      <c r="O74">
        <f>IF(AND($C74&lt;&gt;"",ISNUMBER(--$D74)),LEFT($C74,1),"")</f>
        <v/>
      </c>
      <c r="P74">
        <f>IF(ISNUMBER(--$D74),--$D74,"")</f>
        <v/>
      </c>
      <c r="Q74">
        <f>IF(AND($O74&lt;&gt;"",$P74&lt;&gt;""),$O74&amp;TEXT($P74,"00"),"")</f>
        <v/>
      </c>
    </row>
    <row r="75">
      <c r="A75" t="inlineStr">
        <is>
          <t>SAMPLE: Grid D08</t>
        </is>
      </c>
      <c r="B75" t="inlineStr">
        <is>
          <t>A01</t>
        </is>
      </c>
      <c r="C75" t="inlineStr">
        <is>
          <t>SAMPLE: Grid D01</t>
        </is>
      </c>
      <c r="D75" t="n">
        <v>1</v>
      </c>
      <c r="E75" t="inlineStr">
        <is>
          <t>Between rows segment 01</t>
        </is>
      </c>
      <c r="F75" t="n">
        <v>4</v>
      </c>
      <c r="G75" t="n">
        <v>2</v>
      </c>
      <c r="H75">
        <f>A75</f>
        <v/>
      </c>
      <c r="I75" t="inlineStr">
        <is>
          <t>WH-Z1-AisleD-Bay1-Level9</t>
        </is>
      </c>
      <c r="J75">
        <f>IF($I75&lt;&gt;"",$I75,$A75)</f>
        <v/>
      </c>
      <c r="K75">
        <f>IF($C75="","",IF(LEN($C75)=1,CODE(UPPER($C75))-64,IFERROR(VALUE(MID($C75,2,99)),"")))</f>
        <v/>
      </c>
      <c r="L75">
        <f>IF($D75="","",IFERROR(VALUE($D75),""))</f>
        <v/>
      </c>
      <c r="M75">
        <f>IFERROR(VALUE(MID($A75,FIND("Level",$A75)+5,99)),IF($E75="AISLE_FLOOR",0,IF($E75="OVERFLOW",0,IF($E75="ENDCAP",0,""))))</f>
        <v/>
      </c>
      <c r="N75">
        <f>IF(AND($B75&lt;&gt;"",$C75&lt;&gt;"",ISNUMBER(--$D75)), $B75&amp;": "&amp;LEFT($C75,1)&amp;TEXT(--$D75,"00"), IF($I75&lt;&gt;"",$I75,$A75))</f>
        <v/>
      </c>
      <c r="O75">
        <f>IF(AND($C75&lt;&gt;"",ISNUMBER(--$D75)),LEFT($C75,1),"")</f>
        <v/>
      </c>
      <c r="P75">
        <f>IF(ISNUMBER(--$D75),--$D75,"")</f>
        <v/>
      </c>
      <c r="Q75">
        <f>IF(AND($O75&lt;&gt;"",$P75&lt;&gt;""),$O75&amp;TEXT($P75,"00"),"")</f>
        <v/>
      </c>
    </row>
    <row r="76">
      <c r="A76" t="inlineStr">
        <is>
          <t>SAMPLE: Grid D09</t>
        </is>
      </c>
      <c r="B76" t="inlineStr">
        <is>
          <t>A01</t>
        </is>
      </c>
      <c r="C76" t="inlineStr">
        <is>
          <t>SAMPLE: Grid D01</t>
        </is>
      </c>
      <c r="D76" t="n">
        <v>1</v>
      </c>
      <c r="E76" t="inlineStr">
        <is>
          <t>Between rows segment 01</t>
        </is>
      </c>
      <c r="F76" t="n">
        <v>4</v>
      </c>
      <c r="G76" t="n">
        <v>2</v>
      </c>
      <c r="H76">
        <f>A76</f>
        <v/>
      </c>
      <c r="I76" t="inlineStr">
        <is>
          <t>WH-Z1-AisleD-Bay1-Level10</t>
        </is>
      </c>
      <c r="J76">
        <f>IF($I76&lt;&gt;"",$I76,$A76)</f>
        <v/>
      </c>
      <c r="K76">
        <f>IF($C76="","",IF(LEN($C76)=1,CODE(UPPER($C76))-64,IFERROR(VALUE(MID($C76,2,99)),"")))</f>
        <v/>
      </c>
      <c r="L76">
        <f>IF($D76="","",IFERROR(VALUE($D76),""))</f>
        <v/>
      </c>
      <c r="M76">
        <f>IFERROR(VALUE(MID($A76,FIND("Level",$A76)+5,99)),IF($E76="AISLE_FLOOR",0,IF($E76="OVERFLOW",0,IF($E76="ENDCAP",0,""))))</f>
        <v/>
      </c>
      <c r="N76">
        <f>IF(AND($B76&lt;&gt;"",$C76&lt;&gt;"",ISNUMBER(--$D76)), $B76&amp;": "&amp;LEFT($C76,1)&amp;TEXT(--$D76,"00"), IF($I76&lt;&gt;"",$I76,$A76))</f>
        <v/>
      </c>
      <c r="O76">
        <f>IF(AND($C76&lt;&gt;"",ISNUMBER(--$D76)),LEFT($C76,1),"")</f>
        <v/>
      </c>
      <c r="P76">
        <f>IF(ISNUMBER(--$D76),--$D76,"")</f>
        <v/>
      </c>
      <c r="Q76">
        <f>IF(AND($O76&lt;&gt;"",$P76&lt;&gt;""),$O76&amp;TEXT($P76,"00"),"")</f>
        <v/>
      </c>
    </row>
    <row r="77">
      <c r="A77" t="inlineStr">
        <is>
          <t>SAMPLE: Grid D10</t>
        </is>
      </c>
      <c r="B77" t="inlineStr">
        <is>
          <t>A01</t>
        </is>
      </c>
      <c r="C77" t="inlineStr">
        <is>
          <t>SAMPLE: Grid D01</t>
        </is>
      </c>
      <c r="D77" t="n">
        <v>1</v>
      </c>
      <c r="E77" t="inlineStr">
        <is>
          <t>Between rows segment 01</t>
        </is>
      </c>
      <c r="F77" t="n">
        <v>4</v>
      </c>
      <c r="G77" t="n">
        <v>2</v>
      </c>
      <c r="H77">
        <f>A77</f>
        <v/>
      </c>
      <c r="I77" t="inlineStr">
        <is>
          <t>WH-Z1-AisleD-Bay1-Level11</t>
        </is>
      </c>
      <c r="J77">
        <f>IF($I77&lt;&gt;"",$I77,$A77)</f>
        <v/>
      </c>
      <c r="K77">
        <f>IF($C77="","",IF(LEN($C77)=1,CODE(UPPER($C77))-64,IFERROR(VALUE(MID($C77,2,99)),"")))</f>
        <v/>
      </c>
      <c r="L77">
        <f>IF($D77="","",IFERROR(VALUE($D77),""))</f>
        <v/>
      </c>
      <c r="M77">
        <f>IFERROR(VALUE(MID($A77,FIND("Level",$A77)+5,99)),IF($E77="AISLE_FLOOR",0,IF($E77="OVERFLOW",0,IF($E77="ENDCAP",0,""))))</f>
        <v/>
      </c>
      <c r="N77">
        <f>IF(AND($B77&lt;&gt;"",$C77&lt;&gt;"",ISNUMBER(--$D77)), $B77&amp;": "&amp;LEFT($C77,1)&amp;TEXT(--$D77,"00"), IF($I77&lt;&gt;"",$I77,$A77))</f>
        <v/>
      </c>
      <c r="O77">
        <f>IF(AND($C77&lt;&gt;"",ISNUMBER(--$D77)),LEFT($C77,1),"")</f>
        <v/>
      </c>
      <c r="P77">
        <f>IF(ISNUMBER(--$D77),--$D77,"")</f>
        <v/>
      </c>
      <c r="Q77">
        <f>IF(AND($O77&lt;&gt;"",$P77&lt;&gt;""),$O77&amp;TEXT($P77,"00"),"")</f>
        <v/>
      </c>
    </row>
    <row r="78">
      <c r="A78" t="inlineStr">
        <is>
          <t>SAMPLE: Grid D11</t>
        </is>
      </c>
      <c r="B78" t="inlineStr">
        <is>
          <t>A01</t>
        </is>
      </c>
      <c r="C78" t="inlineStr">
        <is>
          <t>SAMPLE: Grid D01</t>
        </is>
      </c>
      <c r="D78" t="n">
        <v>1</v>
      </c>
      <c r="E78" t="inlineStr">
        <is>
          <t>Between rows segment 01</t>
        </is>
      </c>
      <c r="F78" t="n">
        <v>4</v>
      </c>
      <c r="G78" t="n">
        <v>2</v>
      </c>
      <c r="H78">
        <f>A78</f>
        <v/>
      </c>
      <c r="I78" t="inlineStr">
        <is>
          <t>WH-Z1-AisleD-Bay1-Level12</t>
        </is>
      </c>
      <c r="J78">
        <f>IF($I78&lt;&gt;"",$I78,$A78)</f>
        <v/>
      </c>
      <c r="K78">
        <f>IF($C78="","",IF(LEN($C78)=1,CODE(UPPER($C78))-64,IFERROR(VALUE(MID($C78,2,99)),"")))</f>
        <v/>
      </c>
      <c r="L78">
        <f>IF($D78="","",IFERROR(VALUE($D78),""))</f>
        <v/>
      </c>
      <c r="M78">
        <f>IFERROR(VALUE(MID($A78,FIND("Level",$A78)+5,99)),IF($E78="AISLE_FLOOR",0,IF($E78="OVERFLOW",0,IF($E78="ENDCAP",0,""))))</f>
        <v/>
      </c>
      <c r="N78">
        <f>IF(AND($B78&lt;&gt;"",$C78&lt;&gt;"",ISNUMBER(--$D78)), $B78&amp;": "&amp;LEFT($C78,1)&amp;TEXT(--$D78,"00"), IF($I78&lt;&gt;"",$I78,$A78))</f>
        <v/>
      </c>
      <c r="O78">
        <f>IF(AND($C78&lt;&gt;"",ISNUMBER(--$D78)),LEFT($C78,1),"")</f>
        <v/>
      </c>
      <c r="P78">
        <f>IF(ISNUMBER(--$D78),--$D78,"")</f>
        <v/>
      </c>
      <c r="Q78">
        <f>IF(AND($O78&lt;&gt;"",$P78&lt;&gt;""),$O78&amp;TEXT($P78,"00"),"")</f>
        <v/>
      </c>
    </row>
    <row r="79">
      <c r="A79" t="inlineStr">
        <is>
          <t>SAMPLE: Grid D12</t>
        </is>
      </c>
      <c r="B79" t="inlineStr">
        <is>
          <t>A01</t>
        </is>
      </c>
      <c r="C79" t="inlineStr">
        <is>
          <t>SAMPLE: Grid D01</t>
        </is>
      </c>
      <c r="D79" t="n">
        <v>1</v>
      </c>
      <c r="E79" t="inlineStr">
        <is>
          <t>Between rows segment 01</t>
        </is>
      </c>
      <c r="F79" t="n">
        <v>4</v>
      </c>
      <c r="G79" t="n">
        <v>2</v>
      </c>
      <c r="H79">
        <f>A79</f>
        <v/>
      </c>
      <c r="I79" t="inlineStr">
        <is>
          <t>WH-Z1-AisleD-Bay1-Level13</t>
        </is>
      </c>
      <c r="J79">
        <f>IF($I79&lt;&gt;"",$I79,$A79)</f>
        <v/>
      </c>
      <c r="K79">
        <f>IF($C79="","",IF(LEN($C79)=1,CODE(UPPER($C79))-64,IFERROR(VALUE(MID($C79,2,99)),"")))</f>
        <v/>
      </c>
      <c r="L79">
        <f>IF($D79="","",IFERROR(VALUE($D79),""))</f>
        <v/>
      </c>
      <c r="M79">
        <f>IFERROR(VALUE(MID($A79,FIND("Level",$A79)+5,99)),IF($E79="AISLE_FLOOR",0,IF($E79="OVERFLOW",0,IF($E79="ENDCAP",0,""))))</f>
        <v/>
      </c>
      <c r="N79">
        <f>IF(AND($B79&lt;&gt;"",$C79&lt;&gt;"",ISNUMBER(--$D79)), $B79&amp;": "&amp;LEFT($C79,1)&amp;TEXT(--$D79,"00"), IF($I79&lt;&gt;"",$I79,$A79))</f>
        <v/>
      </c>
      <c r="O79">
        <f>IF(AND($C79&lt;&gt;"",ISNUMBER(--$D79)),LEFT($C79,1),"")</f>
        <v/>
      </c>
      <c r="P79">
        <f>IF(ISNUMBER(--$D79),--$D79,"")</f>
        <v/>
      </c>
      <c r="Q79">
        <f>IF(AND($O79&lt;&gt;"",$P79&lt;&gt;""),$O79&amp;TEXT($P79,"00"),"")</f>
        <v/>
      </c>
    </row>
    <row r="80">
      <c r="A80" t="inlineStr">
        <is>
          <t>SAMPLE: Grid D13</t>
        </is>
      </c>
      <c r="B80" t="inlineStr">
        <is>
          <t>A01</t>
        </is>
      </c>
      <c r="C80" t="inlineStr">
        <is>
          <t>SAMPLE: Grid D01</t>
        </is>
      </c>
      <c r="D80" t="n">
        <v>1</v>
      </c>
      <c r="E80" t="inlineStr">
        <is>
          <t>Between rows segment 01</t>
        </is>
      </c>
      <c r="F80" t="n">
        <v>4</v>
      </c>
      <c r="G80" t="n">
        <v>2</v>
      </c>
      <c r="H80">
        <f>A80</f>
        <v/>
      </c>
      <c r="I80" t="inlineStr">
        <is>
          <t>WH-Z1-AisleD-Bay1-Level14</t>
        </is>
      </c>
      <c r="J80">
        <f>IF($I80&lt;&gt;"",$I80,$A80)</f>
        <v/>
      </c>
      <c r="K80">
        <f>IF($C80="","",IF(LEN($C80)=1,CODE(UPPER($C80))-64,IFERROR(VALUE(MID($C80,2,99)),"")))</f>
        <v/>
      </c>
      <c r="L80">
        <f>IF($D80="","",IFERROR(VALUE($D80),""))</f>
        <v/>
      </c>
      <c r="M80">
        <f>IFERROR(VALUE(MID($A80,FIND("Level",$A80)+5,99)),IF($E80="AISLE_FLOOR",0,IF($E80="OVERFLOW",0,IF($E80="ENDCAP",0,""))))</f>
        <v/>
      </c>
      <c r="N80">
        <f>IF(AND($B80&lt;&gt;"",$C80&lt;&gt;"",ISNUMBER(--$D80)), $B80&amp;": "&amp;LEFT($C80,1)&amp;TEXT(--$D80,"00"), IF($I80&lt;&gt;"",$I80,$A80))</f>
        <v/>
      </c>
      <c r="O80">
        <f>IF(AND($C80&lt;&gt;"",ISNUMBER(--$D80)),LEFT($C80,1),"")</f>
        <v/>
      </c>
      <c r="P80">
        <f>IF(ISNUMBER(--$D80),--$D80,"")</f>
        <v/>
      </c>
      <c r="Q80">
        <f>IF(AND($O80&lt;&gt;"",$P80&lt;&gt;""),$O80&amp;TEXT($P80,"00"),"")</f>
        <v/>
      </c>
    </row>
    <row r="81">
      <c r="A81" t="inlineStr">
        <is>
          <t>SAMPLE: Grid D14</t>
        </is>
      </c>
      <c r="B81" t="inlineStr">
        <is>
          <t>A01</t>
        </is>
      </c>
      <c r="C81" t="inlineStr">
        <is>
          <t>SAMPLE: Grid D01</t>
        </is>
      </c>
      <c r="D81" t="n">
        <v>1</v>
      </c>
      <c r="E81" t="inlineStr">
        <is>
          <t>Between rows segment 01</t>
        </is>
      </c>
      <c r="F81" t="n">
        <v>4</v>
      </c>
      <c r="G81" t="n">
        <v>2</v>
      </c>
      <c r="H81">
        <f>A81</f>
        <v/>
      </c>
      <c r="I81" t="inlineStr">
        <is>
          <t>WH-Z1-AisleD-Bay1-Level15</t>
        </is>
      </c>
      <c r="J81">
        <f>IF($I81&lt;&gt;"",$I81,$A81)</f>
        <v/>
      </c>
      <c r="K81">
        <f>IF($C81="","",IF(LEN($C81)=1,CODE(UPPER($C81))-64,IFERROR(VALUE(MID($C81,2,99)),"")))</f>
        <v/>
      </c>
      <c r="L81">
        <f>IF($D81="","",IFERROR(VALUE($D81),""))</f>
        <v/>
      </c>
      <c r="M81">
        <f>IFERROR(VALUE(MID($A81,FIND("Level",$A81)+5,99)),IF($E81="AISLE_FLOOR",0,IF($E81="OVERFLOW",0,IF($E81="ENDCAP",0,""))))</f>
        <v/>
      </c>
      <c r="N81">
        <f>IF(AND($B81&lt;&gt;"",$C81&lt;&gt;"",ISNUMBER(--$D81)), $B81&amp;": "&amp;LEFT($C81,1)&amp;TEXT(--$D81,"00"), IF($I81&lt;&gt;"",$I81,$A81))</f>
        <v/>
      </c>
      <c r="O81">
        <f>IF(AND($C81&lt;&gt;"",ISNUMBER(--$D81)),LEFT($C81,1),"")</f>
        <v/>
      </c>
      <c r="P81">
        <f>IF(ISNUMBER(--$D81),--$D81,"")</f>
        <v/>
      </c>
      <c r="Q81">
        <f>IF(AND($O81&lt;&gt;"",$P81&lt;&gt;""),$O81&amp;TEXT($P81,"00"),"")</f>
        <v/>
      </c>
    </row>
    <row r="82">
      <c r="A82" t="inlineStr">
        <is>
          <t>SAMPLE: Grid D15</t>
        </is>
      </c>
      <c r="B82" t="inlineStr">
        <is>
          <t>A01</t>
        </is>
      </c>
      <c r="C82" t="inlineStr">
        <is>
          <t>SAMPLE: Grid D01</t>
        </is>
      </c>
      <c r="D82" t="n">
        <v>1</v>
      </c>
      <c r="E82" t="inlineStr">
        <is>
          <t>Between rows segment 01</t>
        </is>
      </c>
      <c r="F82" t="n">
        <v>4</v>
      </c>
      <c r="G82" t="n">
        <v>2</v>
      </c>
      <c r="H82">
        <f>A82</f>
        <v/>
      </c>
      <c r="I82" t="inlineStr">
        <is>
          <t>WH-Z1-AisleD-Bay1-Level16</t>
        </is>
      </c>
      <c r="J82">
        <f>IF($I82&lt;&gt;"",$I82,$A82)</f>
        <v/>
      </c>
      <c r="K82">
        <f>IF($C82="","",IF(LEN($C82)=1,CODE(UPPER($C82))-64,IFERROR(VALUE(MID($C82,2,99)),"")))</f>
        <v/>
      </c>
      <c r="L82">
        <f>IF($D82="","",IFERROR(VALUE($D82),""))</f>
        <v/>
      </c>
      <c r="M82">
        <f>IFERROR(VALUE(MID($A82,FIND("Level",$A82)+5,99)),IF($E82="AISLE_FLOOR",0,IF($E82="OVERFLOW",0,IF($E82="ENDCAP",0,""))))</f>
        <v/>
      </c>
      <c r="N82">
        <f>IF(AND($B82&lt;&gt;"",$C82&lt;&gt;"",ISNUMBER(--$D82)), $B82&amp;": "&amp;LEFT($C82,1)&amp;TEXT(--$D82,"00"), IF($I82&lt;&gt;"",$I82,$A82))</f>
        <v/>
      </c>
      <c r="O82">
        <f>IF(AND($C82&lt;&gt;"",ISNUMBER(--$D82)),LEFT($C82,1),"")</f>
        <v/>
      </c>
      <c r="P82">
        <f>IF(ISNUMBER(--$D82),--$D82,"")</f>
        <v/>
      </c>
      <c r="Q82">
        <f>IF(AND($O82&lt;&gt;"",$P82&lt;&gt;""),$O82&amp;TEXT($P82,"00"),"")</f>
        <v/>
      </c>
    </row>
    <row r="83">
      <c r="A83" t="inlineStr">
        <is>
          <t>SAMPLE: Grid D16</t>
        </is>
      </c>
      <c r="B83" t="inlineStr">
        <is>
          <t>A01</t>
        </is>
      </c>
      <c r="C83" t="inlineStr">
        <is>
          <t>SAMPLE: Grid D01</t>
        </is>
      </c>
      <c r="D83" t="n">
        <v>1</v>
      </c>
      <c r="E83" t="inlineStr">
        <is>
          <t>Between rows segment 01</t>
        </is>
      </c>
      <c r="F83" t="n">
        <v>4</v>
      </c>
      <c r="G83" t="n">
        <v>2</v>
      </c>
      <c r="H83">
        <f>A83</f>
        <v/>
      </c>
      <c r="I83" t="inlineStr">
        <is>
          <t>WH-Z1-AisleD-Bay1-Level17</t>
        </is>
      </c>
      <c r="J83">
        <f>IF($I83&lt;&gt;"",$I83,$A83)</f>
        <v/>
      </c>
      <c r="K83">
        <f>IF($C83="","",IF(LEN($C83)=1,CODE(UPPER($C83))-64,IFERROR(VALUE(MID($C83,2,99)),"")))</f>
        <v/>
      </c>
      <c r="L83">
        <f>IF($D83="","",IFERROR(VALUE($D83),""))</f>
        <v/>
      </c>
      <c r="M83">
        <f>IFERROR(VALUE(MID($A83,FIND("Level",$A83)+5,99)),IF($E83="AISLE_FLOOR",0,IF($E83="OVERFLOW",0,IF($E83="ENDCAP",0,""))))</f>
        <v/>
      </c>
      <c r="N83">
        <f>IF(AND($B83&lt;&gt;"",$C83&lt;&gt;"",ISNUMBER(--$D83)), $B83&amp;": "&amp;LEFT($C83,1)&amp;TEXT(--$D83,"00"), IF($I83&lt;&gt;"",$I83,$A83))</f>
        <v/>
      </c>
      <c r="O83">
        <f>IF(AND($C83&lt;&gt;"",ISNUMBER(--$D83)),LEFT($C83,1),"")</f>
        <v/>
      </c>
      <c r="P83">
        <f>IF(ISNUMBER(--$D83),--$D83,"")</f>
        <v/>
      </c>
      <c r="Q83">
        <f>IF(AND($O83&lt;&gt;"",$P83&lt;&gt;""),$O83&amp;TEXT($P83,"00"),"")</f>
        <v/>
      </c>
    </row>
    <row r="84">
      <c r="A84" t="inlineStr">
        <is>
          <t>SAMPLE: Grid D17</t>
        </is>
      </c>
      <c r="B84" t="inlineStr">
        <is>
          <t>A01</t>
        </is>
      </c>
      <c r="C84" t="inlineStr">
        <is>
          <t>SAMPLE: Grid D01</t>
        </is>
      </c>
      <c r="D84" t="n">
        <v>1</v>
      </c>
      <c r="E84" t="inlineStr">
        <is>
          <t>Between rows segment 01</t>
        </is>
      </c>
      <c r="F84" t="n">
        <v>4</v>
      </c>
      <c r="G84" t="n">
        <v>2</v>
      </c>
      <c r="H84">
        <f>A84</f>
        <v/>
      </c>
      <c r="I84" t="inlineStr">
        <is>
          <t>WH-Z1-AisleD-Bay1-Level18</t>
        </is>
      </c>
      <c r="J84">
        <f>IF($I84&lt;&gt;"",$I84,$A84)</f>
        <v/>
      </c>
      <c r="K84">
        <f>IF($C84="","",IF(LEN($C84)=1,CODE(UPPER($C84))-64,IFERROR(VALUE(MID($C84,2,99)),"")))</f>
        <v/>
      </c>
      <c r="L84">
        <f>IF($D84="","",IFERROR(VALUE($D84),""))</f>
        <v/>
      </c>
      <c r="M84">
        <f>IFERROR(VALUE(MID($A84,FIND("Level",$A84)+5,99)),IF($E84="AISLE_FLOOR",0,IF($E84="OVERFLOW",0,IF($E84="ENDCAP",0,""))))</f>
        <v/>
      </c>
      <c r="N84">
        <f>IF(AND($B84&lt;&gt;"",$C84&lt;&gt;"",ISNUMBER(--$D84)), $B84&amp;": "&amp;LEFT($C84,1)&amp;TEXT(--$D84,"00"), IF($I84&lt;&gt;"",$I84,$A84))</f>
        <v/>
      </c>
      <c r="O84">
        <f>IF(AND($C84&lt;&gt;"",ISNUMBER(--$D84)),LEFT($C84,1),"")</f>
        <v/>
      </c>
      <c r="P84">
        <f>IF(ISNUMBER(--$D84),--$D84,"")</f>
        <v/>
      </c>
      <c r="Q84">
        <f>IF(AND($O84&lt;&gt;"",$P84&lt;&gt;""),$O84&amp;TEXT($P84,"00"),"")</f>
        <v/>
      </c>
    </row>
    <row r="85">
      <c r="A85" t="inlineStr">
        <is>
          <t>SAMPLE: Grid D18</t>
        </is>
      </c>
      <c r="B85" t="inlineStr">
        <is>
          <t>A01</t>
        </is>
      </c>
      <c r="C85" t="inlineStr">
        <is>
          <t>SAMPLE: Grid D01</t>
        </is>
      </c>
      <c r="D85" t="n">
        <v>1</v>
      </c>
      <c r="E85" t="inlineStr">
        <is>
          <t>Between rows segment 01</t>
        </is>
      </c>
      <c r="F85" t="n">
        <v>4</v>
      </c>
      <c r="G85" t="n">
        <v>2</v>
      </c>
      <c r="H85">
        <f>A85</f>
        <v/>
      </c>
      <c r="I85" t="inlineStr">
        <is>
          <t>WH-Z1-AisleD-Bay1-Level19</t>
        </is>
      </c>
      <c r="J85">
        <f>IF($I85&lt;&gt;"",$I85,$A85)</f>
        <v/>
      </c>
      <c r="K85">
        <f>IF($C85="","",IF(LEN($C85)=1,CODE(UPPER($C85))-64,IFERROR(VALUE(MID($C85,2,99)),"")))</f>
        <v/>
      </c>
      <c r="L85">
        <f>IF($D85="","",IFERROR(VALUE($D85),""))</f>
        <v/>
      </c>
      <c r="M85">
        <f>IFERROR(VALUE(MID($A85,FIND("Level",$A85)+5,99)),IF($E85="AISLE_FLOOR",0,IF($E85="OVERFLOW",0,IF($E85="ENDCAP",0,""))))</f>
        <v/>
      </c>
      <c r="N85">
        <f>IF(AND($B85&lt;&gt;"",$C85&lt;&gt;"",ISNUMBER(--$D85)), $B85&amp;": "&amp;LEFT($C85,1)&amp;TEXT(--$D85,"00"), IF($I85&lt;&gt;"",$I85,$A85))</f>
        <v/>
      </c>
      <c r="O85">
        <f>IF(AND($C85&lt;&gt;"",ISNUMBER(--$D85)),LEFT($C85,1),"")</f>
        <v/>
      </c>
      <c r="P85">
        <f>IF(ISNUMBER(--$D85),--$D85,"")</f>
        <v/>
      </c>
      <c r="Q85">
        <f>IF(AND($O85&lt;&gt;"",$P85&lt;&gt;""),$O85&amp;TEXT($P85,"00"),"")</f>
        <v/>
      </c>
    </row>
    <row r="86">
      <c r="A86" t="inlineStr">
        <is>
          <t>SAMPLE: Grid D19</t>
        </is>
      </c>
      <c r="B86" t="inlineStr">
        <is>
          <t>A01</t>
        </is>
      </c>
      <c r="C86" t="inlineStr">
        <is>
          <t>SAMPLE: Grid D01</t>
        </is>
      </c>
      <c r="D86" t="n">
        <v>1</v>
      </c>
      <c r="E86" t="inlineStr">
        <is>
          <t>Between rows segment 01</t>
        </is>
      </c>
      <c r="F86" t="n">
        <v>4</v>
      </c>
      <c r="G86" t="n">
        <v>2</v>
      </c>
      <c r="H86">
        <f>A86</f>
        <v/>
      </c>
      <c r="I86" t="inlineStr">
        <is>
          <t>WH-Z1-AisleD-Bay1-Level20</t>
        </is>
      </c>
      <c r="J86">
        <f>IF($I86&lt;&gt;"",$I86,$A86)</f>
        <v/>
      </c>
      <c r="K86">
        <f>IF($C86="","",IF(LEN($C86)=1,CODE(UPPER($C86))-64,IFERROR(VALUE(MID($C86,2,99)),"")))</f>
        <v/>
      </c>
      <c r="L86">
        <f>IF($D86="","",IFERROR(VALUE($D86),""))</f>
        <v/>
      </c>
      <c r="M86">
        <f>IFERROR(VALUE(MID($A86,FIND("Level",$A86)+5,99)),IF($E86="AISLE_FLOOR",0,IF($E86="OVERFLOW",0,IF($E86="ENDCAP",0,""))))</f>
        <v/>
      </c>
      <c r="N86">
        <f>IF(AND($B86&lt;&gt;"",$C86&lt;&gt;"",ISNUMBER(--$D86)), $B86&amp;": "&amp;LEFT($C86,1)&amp;TEXT(--$D86,"00"), IF($I86&lt;&gt;"",$I86,$A86))</f>
        <v/>
      </c>
      <c r="O86">
        <f>IF(AND($C86&lt;&gt;"",ISNUMBER(--$D86)),LEFT($C86,1),"")</f>
        <v/>
      </c>
      <c r="P86">
        <f>IF(ISNUMBER(--$D86),--$D86,"")</f>
        <v/>
      </c>
      <c r="Q86">
        <f>IF(AND($O86&lt;&gt;"",$P86&lt;&gt;""),$O86&amp;TEXT($P86,"00"),"")</f>
        <v/>
      </c>
    </row>
    <row r="87">
      <c r="A87" t="inlineStr">
        <is>
          <t>SAMPLE: Grid D20</t>
        </is>
      </c>
      <c r="B87" t="inlineStr">
        <is>
          <t>A01</t>
        </is>
      </c>
      <c r="C87" t="inlineStr">
        <is>
          <t>SAMPLE: Grid D01</t>
        </is>
      </c>
      <c r="D87" t="n">
        <v>1</v>
      </c>
      <c r="E87" t="inlineStr">
        <is>
          <t>Between rows segment 01</t>
        </is>
      </c>
      <c r="F87" t="n">
        <v>4</v>
      </c>
      <c r="G87" t="n">
        <v>2</v>
      </c>
      <c r="H87">
        <f>A87</f>
        <v/>
      </c>
      <c r="I87" t="inlineStr">
        <is>
          <t>WH-Z1-AisleE-Bay1-Level1</t>
        </is>
      </c>
      <c r="J87">
        <f>IF($I87&lt;&gt;"",$I87,$A87)</f>
        <v/>
      </c>
      <c r="K87">
        <f>IF($C87="","",IF(LEN($C87)=1,CODE(UPPER($C87))-64,IFERROR(VALUE(MID($C87,2,99)),"")))</f>
        <v/>
      </c>
      <c r="L87">
        <f>IF($D87="","",IFERROR(VALUE($D87),""))</f>
        <v/>
      </c>
      <c r="M87">
        <f>IFERROR(VALUE(MID($A87,FIND("Level",$A87)+5,99)),IF($E87="AISLE_FLOOR",0,IF($E87="OVERFLOW",0,IF($E87="ENDCAP",0,""))))</f>
        <v/>
      </c>
      <c r="N87">
        <f>IF(AND($B87&lt;&gt;"",$C87&lt;&gt;"",ISNUMBER(--$D87)), $B87&amp;": "&amp;LEFT($C87,1)&amp;TEXT(--$D87,"00"), IF($I87&lt;&gt;"",$I87,$A87))</f>
        <v/>
      </c>
      <c r="O87">
        <f>IF(AND($C87&lt;&gt;"",ISNUMBER(--$D87)),LEFT($C87,1),"")</f>
        <v/>
      </c>
      <c r="P87">
        <f>IF(ISNUMBER(--$D87),--$D87,"")</f>
        <v/>
      </c>
      <c r="Q87">
        <f>IF(AND($O87&lt;&gt;"",$P87&lt;&gt;""),$O87&amp;TEXT($P87,"00"),"")</f>
        <v/>
      </c>
    </row>
    <row r="88">
      <c r="A88" t="inlineStr">
        <is>
          <t>E</t>
        </is>
      </c>
      <c r="B88" t="inlineStr">
        <is>
          <t>A01</t>
        </is>
      </c>
      <c r="C88" t="inlineStr">
        <is>
          <t>SAMPLE: Grid E01</t>
        </is>
      </c>
      <c r="D88" t="n">
        <v>1</v>
      </c>
      <c r="E88" t="inlineStr">
        <is>
          <t>Between rows segment 01</t>
        </is>
      </c>
      <c r="F88" t="n">
        <v>4</v>
      </c>
      <c r="G88" t="n">
        <v>2</v>
      </c>
      <c r="H88">
        <f>A88</f>
        <v/>
      </c>
      <c r="I88" t="inlineStr">
        <is>
          <t>WH-Z1-AisleE-Bay1-Level2</t>
        </is>
      </c>
      <c r="J88">
        <f>IF($I88&lt;&gt;"",$I88,$A88)</f>
        <v/>
      </c>
      <c r="K88">
        <f>IF($C88="","",IF(LEN($C88)=1,CODE(UPPER($C88))-64,IFERROR(VALUE(MID($C88,2,99)),"")))</f>
        <v/>
      </c>
      <c r="L88">
        <f>IF($D88="","",IFERROR(VALUE($D88),""))</f>
        <v/>
      </c>
      <c r="M88">
        <f>IFERROR(VALUE(MID($A88,FIND("Level",$A88)+5,99)),IF($E88="AISLE_FLOOR",0,IF($E88="OVERFLOW",0,IF($E88="ENDCAP",0,""))))</f>
        <v/>
      </c>
      <c r="N88">
        <f>IF(AND($B88&lt;&gt;"",$C88&lt;&gt;"",ISNUMBER(--$D88)), $B88&amp;": "&amp;LEFT($C88,1)&amp;TEXT(--$D88,"00"), IF($I88&lt;&gt;"",$I88,$A88))</f>
        <v/>
      </c>
      <c r="O88">
        <f>IF(AND($C88&lt;&gt;"",ISNUMBER(--$D88)),LEFT($C88,1),"")</f>
        <v/>
      </c>
      <c r="P88">
        <f>IF(ISNUMBER(--$D88),--$D88,"")</f>
        <v/>
      </c>
      <c r="Q88">
        <f>IF(AND($O88&lt;&gt;"",$P88&lt;&gt;""),$O88&amp;TEXT($P88,"00"),"")</f>
        <v/>
      </c>
    </row>
    <row r="89">
      <c r="A89" t="inlineStr">
        <is>
          <t>SAMPLE: Grid E02</t>
        </is>
      </c>
      <c r="B89" t="inlineStr">
        <is>
          <t>A01</t>
        </is>
      </c>
      <c r="C89" t="inlineStr">
        <is>
          <t>SAMPLE: Grid E01</t>
        </is>
      </c>
      <c r="D89" t="n">
        <v>1</v>
      </c>
      <c r="E89" t="inlineStr">
        <is>
          <t>Between rows segment 01</t>
        </is>
      </c>
      <c r="F89" t="n">
        <v>4</v>
      </c>
      <c r="G89" t="n">
        <v>2</v>
      </c>
      <c r="H89">
        <f>A89</f>
        <v/>
      </c>
      <c r="I89" t="inlineStr">
        <is>
          <t>WH-Z1-AisleE-Bay1-Level3</t>
        </is>
      </c>
      <c r="J89">
        <f>IF($I89&lt;&gt;"",$I89,$A89)</f>
        <v/>
      </c>
      <c r="K89">
        <f>IF($C89="","",IF(LEN($C89)=1,CODE(UPPER($C89))-64,IFERROR(VALUE(MID($C89,2,99)),"")))</f>
        <v/>
      </c>
      <c r="L89">
        <f>IF($D89="","",IFERROR(VALUE($D89),""))</f>
        <v/>
      </c>
      <c r="M89">
        <f>IFERROR(VALUE(MID($A89,FIND("Level",$A89)+5,99)),IF($E89="AISLE_FLOOR",0,IF($E89="OVERFLOW",0,IF($E89="ENDCAP",0,""))))</f>
        <v/>
      </c>
      <c r="N89">
        <f>IF(AND($B89&lt;&gt;"",$C89&lt;&gt;"",ISNUMBER(--$D89)), $B89&amp;": "&amp;LEFT($C89,1)&amp;TEXT(--$D89,"00"), IF($I89&lt;&gt;"",$I89,$A89))</f>
        <v/>
      </c>
      <c r="O89">
        <f>IF(AND($C89&lt;&gt;"",ISNUMBER(--$D89)),LEFT($C89,1),"")</f>
        <v/>
      </c>
      <c r="P89">
        <f>IF(ISNUMBER(--$D89),--$D89,"")</f>
        <v/>
      </c>
      <c r="Q89">
        <f>IF(AND($O89&lt;&gt;"",$P89&lt;&gt;""),$O89&amp;TEXT($P89,"00"),"")</f>
        <v/>
      </c>
    </row>
    <row r="90">
      <c r="A90" t="inlineStr">
        <is>
          <t>SAMPLE: Grid E03</t>
        </is>
      </c>
      <c r="B90" t="inlineStr">
        <is>
          <t>A01</t>
        </is>
      </c>
      <c r="C90" t="inlineStr">
        <is>
          <t>SAMPLE: Grid E01</t>
        </is>
      </c>
      <c r="D90" t="n">
        <v>1</v>
      </c>
      <c r="E90" t="inlineStr">
        <is>
          <t>Between rows segment 01</t>
        </is>
      </c>
      <c r="F90" t="n">
        <v>4</v>
      </c>
      <c r="G90" t="n">
        <v>2</v>
      </c>
      <c r="H90">
        <f>A90</f>
        <v/>
      </c>
      <c r="I90" t="inlineStr">
        <is>
          <t>WH-Z1-AisleE-Bay1-Level4</t>
        </is>
      </c>
      <c r="J90">
        <f>IF($I90&lt;&gt;"",$I90,$A90)</f>
        <v/>
      </c>
      <c r="K90">
        <f>IF($C90="","",IF(LEN($C90)=1,CODE(UPPER($C90))-64,IFERROR(VALUE(MID($C90,2,99)),"")))</f>
        <v/>
      </c>
      <c r="L90">
        <f>IF($D90="","",IFERROR(VALUE($D90),""))</f>
        <v/>
      </c>
      <c r="M90">
        <f>IFERROR(VALUE(MID($A90,FIND("Level",$A90)+5,99)),IF($E90="AISLE_FLOOR",0,IF($E90="OVERFLOW",0,IF($E90="ENDCAP",0,""))))</f>
        <v/>
      </c>
      <c r="N90">
        <f>IF(AND($B90&lt;&gt;"",$C90&lt;&gt;"",ISNUMBER(--$D90)), $B90&amp;": "&amp;LEFT($C90,1)&amp;TEXT(--$D90,"00"), IF($I90&lt;&gt;"",$I90,$A90))</f>
        <v/>
      </c>
      <c r="O90">
        <f>IF(AND($C90&lt;&gt;"",ISNUMBER(--$D90)),LEFT($C90,1),"")</f>
        <v/>
      </c>
      <c r="P90">
        <f>IF(ISNUMBER(--$D90),--$D90,"")</f>
        <v/>
      </c>
      <c r="Q90">
        <f>IF(AND($O90&lt;&gt;"",$P90&lt;&gt;""),$O90&amp;TEXT($P90,"00"),"")</f>
        <v/>
      </c>
    </row>
    <row r="91">
      <c r="A91" t="inlineStr">
        <is>
          <t>SAMPLE: Grid E04</t>
        </is>
      </c>
      <c r="B91" t="inlineStr">
        <is>
          <t>A01</t>
        </is>
      </c>
      <c r="C91" t="inlineStr">
        <is>
          <t>SAMPLE: Grid E01</t>
        </is>
      </c>
      <c r="D91" t="n">
        <v>1</v>
      </c>
      <c r="E91" t="inlineStr">
        <is>
          <t>Between rows segment 01</t>
        </is>
      </c>
      <c r="F91" t="n">
        <v>4</v>
      </c>
      <c r="G91" t="n">
        <v>2</v>
      </c>
      <c r="H91">
        <f>A91</f>
        <v/>
      </c>
      <c r="I91" t="inlineStr">
        <is>
          <t>WH-Z1-AisleE-Bay1-Level5</t>
        </is>
      </c>
      <c r="J91">
        <f>IF($I91&lt;&gt;"",$I91,$A91)</f>
        <v/>
      </c>
      <c r="K91">
        <f>IF($C91="","",IF(LEN($C91)=1,CODE(UPPER($C91))-64,IFERROR(VALUE(MID($C91,2,99)),"")))</f>
        <v/>
      </c>
      <c r="L91">
        <f>IF($D91="","",IFERROR(VALUE($D91),""))</f>
        <v/>
      </c>
      <c r="M91">
        <f>IFERROR(VALUE(MID($A91,FIND("Level",$A91)+5,99)),IF($E91="AISLE_FLOOR",0,IF($E91="OVERFLOW",0,IF($E91="ENDCAP",0,""))))</f>
        <v/>
      </c>
      <c r="N91">
        <f>IF(AND($B91&lt;&gt;"",$C91&lt;&gt;"",ISNUMBER(--$D91)), $B91&amp;": "&amp;LEFT($C91,1)&amp;TEXT(--$D91,"00"), IF($I91&lt;&gt;"",$I91,$A91))</f>
        <v/>
      </c>
      <c r="O91">
        <f>IF(AND($C91&lt;&gt;"",ISNUMBER(--$D91)),LEFT($C91,1),"")</f>
        <v/>
      </c>
      <c r="P91">
        <f>IF(ISNUMBER(--$D91),--$D91,"")</f>
        <v/>
      </c>
      <c r="Q91">
        <f>IF(AND($O91&lt;&gt;"",$P91&lt;&gt;""),$O91&amp;TEXT($P91,"00"),"")</f>
        <v/>
      </c>
    </row>
    <row r="92">
      <c r="A92" t="inlineStr">
        <is>
          <t>SAMPLE: Grid E05</t>
        </is>
      </c>
      <c r="B92" t="inlineStr">
        <is>
          <t>A01</t>
        </is>
      </c>
      <c r="C92" t="inlineStr">
        <is>
          <t>SAMPLE: Grid E01</t>
        </is>
      </c>
      <c r="D92" t="n">
        <v>1</v>
      </c>
      <c r="E92" t="inlineStr">
        <is>
          <t>Between rows segment 01</t>
        </is>
      </c>
      <c r="F92" t="n">
        <v>4</v>
      </c>
      <c r="G92" t="n">
        <v>2</v>
      </c>
      <c r="H92">
        <f>A92</f>
        <v/>
      </c>
      <c r="I92" t="inlineStr">
        <is>
          <t>WH-Z1-AisleE-Bay1-Level6</t>
        </is>
      </c>
      <c r="J92">
        <f>IF($I92&lt;&gt;"",$I92,$A92)</f>
        <v/>
      </c>
      <c r="K92">
        <f>IF($C92="","",IF(LEN($C92)=1,CODE(UPPER($C92))-64,IFERROR(VALUE(MID($C92,2,99)),"")))</f>
        <v/>
      </c>
      <c r="L92">
        <f>IF($D92="","",IFERROR(VALUE($D92),""))</f>
        <v/>
      </c>
      <c r="M92">
        <f>IFERROR(VALUE(MID($A92,FIND("Level",$A92)+5,99)),IF($E92="AISLE_FLOOR",0,IF($E92="OVERFLOW",0,IF($E92="ENDCAP",0,""))))</f>
        <v/>
      </c>
      <c r="N92">
        <f>IF(AND($B92&lt;&gt;"",$C92&lt;&gt;"",ISNUMBER(--$D92)), $B92&amp;": "&amp;LEFT($C92,1)&amp;TEXT(--$D92,"00"), IF($I92&lt;&gt;"",$I92,$A92))</f>
        <v/>
      </c>
      <c r="O92">
        <f>IF(AND($C92&lt;&gt;"",ISNUMBER(--$D92)),LEFT($C92,1),"")</f>
        <v/>
      </c>
      <c r="P92">
        <f>IF(ISNUMBER(--$D92),--$D92,"")</f>
        <v/>
      </c>
      <c r="Q92">
        <f>IF(AND($O92&lt;&gt;"",$P92&lt;&gt;""),$O92&amp;TEXT($P92,"00"),"")</f>
        <v/>
      </c>
    </row>
    <row r="93">
      <c r="A93" t="inlineStr">
        <is>
          <t>SAMPLE: Grid E06</t>
        </is>
      </c>
      <c r="B93" t="inlineStr">
        <is>
          <t>A01</t>
        </is>
      </c>
      <c r="C93" t="inlineStr">
        <is>
          <t>SAMPLE: Grid E01</t>
        </is>
      </c>
      <c r="D93" t="n">
        <v>1</v>
      </c>
      <c r="E93" t="inlineStr">
        <is>
          <t>Between rows segment 01</t>
        </is>
      </c>
      <c r="F93" t="n">
        <v>4</v>
      </c>
      <c r="G93" t="n">
        <v>2</v>
      </c>
      <c r="H93">
        <f>A93</f>
        <v/>
      </c>
      <c r="I93" t="inlineStr">
        <is>
          <t>WH-Z1-AisleE-Bay1-Level7</t>
        </is>
      </c>
      <c r="J93">
        <f>IF($I93&lt;&gt;"",$I93,$A93)</f>
        <v/>
      </c>
      <c r="K93">
        <f>IF($C93="","",IF(LEN($C93)=1,CODE(UPPER($C93))-64,IFERROR(VALUE(MID($C93,2,99)),"")))</f>
        <v/>
      </c>
      <c r="L93">
        <f>IF($D93="","",IFERROR(VALUE($D93),""))</f>
        <v/>
      </c>
      <c r="M93">
        <f>IFERROR(VALUE(MID($A93,FIND("Level",$A93)+5,99)),IF($E93="AISLE_FLOOR",0,IF($E93="OVERFLOW",0,IF($E93="ENDCAP",0,""))))</f>
        <v/>
      </c>
      <c r="N93">
        <f>IF(AND($B93&lt;&gt;"",$C93&lt;&gt;"",ISNUMBER(--$D93)), $B93&amp;": "&amp;LEFT($C93,1)&amp;TEXT(--$D93,"00"), IF($I93&lt;&gt;"",$I93,$A93))</f>
        <v/>
      </c>
      <c r="O93">
        <f>IF(AND($C93&lt;&gt;"",ISNUMBER(--$D93)),LEFT($C93,1),"")</f>
        <v/>
      </c>
      <c r="P93">
        <f>IF(ISNUMBER(--$D93),--$D93,"")</f>
        <v/>
      </c>
      <c r="Q93">
        <f>IF(AND($O93&lt;&gt;"",$P93&lt;&gt;""),$O93&amp;TEXT($P93,"00"),"")</f>
        <v/>
      </c>
    </row>
    <row r="94">
      <c r="A94" t="inlineStr">
        <is>
          <t>SAMPLE: Grid E07</t>
        </is>
      </c>
      <c r="B94" t="inlineStr">
        <is>
          <t>A01</t>
        </is>
      </c>
      <c r="C94" t="inlineStr">
        <is>
          <t>SAMPLE: Grid E01</t>
        </is>
      </c>
      <c r="D94" t="n">
        <v>1</v>
      </c>
      <c r="E94" t="inlineStr">
        <is>
          <t>Between rows segment 01</t>
        </is>
      </c>
      <c r="F94" t="n">
        <v>4</v>
      </c>
      <c r="G94" t="n">
        <v>2</v>
      </c>
      <c r="H94">
        <f>A94</f>
        <v/>
      </c>
      <c r="I94" t="inlineStr">
        <is>
          <t>WH-Z1-AisleE-Bay1-Level8</t>
        </is>
      </c>
      <c r="J94">
        <f>IF($I94&lt;&gt;"",$I94,$A94)</f>
        <v/>
      </c>
      <c r="K94">
        <f>IF($C94="","",IF(LEN($C94)=1,CODE(UPPER($C94))-64,IFERROR(VALUE(MID($C94,2,99)),"")))</f>
        <v/>
      </c>
      <c r="L94">
        <f>IF($D94="","",IFERROR(VALUE($D94),""))</f>
        <v/>
      </c>
      <c r="M94">
        <f>IFERROR(VALUE(MID($A94,FIND("Level",$A94)+5,99)),IF($E94="AISLE_FLOOR",0,IF($E94="OVERFLOW",0,IF($E94="ENDCAP",0,""))))</f>
        <v/>
      </c>
      <c r="N94">
        <f>IF(AND($B94&lt;&gt;"",$C94&lt;&gt;"",ISNUMBER(--$D94)), $B94&amp;": "&amp;LEFT($C94,1)&amp;TEXT(--$D94,"00"), IF($I94&lt;&gt;"",$I94,$A94))</f>
        <v/>
      </c>
      <c r="O94">
        <f>IF(AND($C94&lt;&gt;"",ISNUMBER(--$D94)),LEFT($C94,1),"")</f>
        <v/>
      </c>
      <c r="P94">
        <f>IF(ISNUMBER(--$D94),--$D94,"")</f>
        <v/>
      </c>
      <c r="Q94">
        <f>IF(AND($O94&lt;&gt;"",$P94&lt;&gt;""),$O94&amp;TEXT($P94,"00"),"")</f>
        <v/>
      </c>
    </row>
    <row r="95">
      <c r="A95" t="inlineStr">
        <is>
          <t>SAMPLE: Grid E08</t>
        </is>
      </c>
      <c r="B95" t="inlineStr">
        <is>
          <t>A01</t>
        </is>
      </c>
      <c r="C95" t="inlineStr">
        <is>
          <t>SAMPLE: Grid E01</t>
        </is>
      </c>
      <c r="D95" t="n">
        <v>1</v>
      </c>
      <c r="E95" t="inlineStr">
        <is>
          <t>Between rows segment 01</t>
        </is>
      </c>
      <c r="F95" t="n">
        <v>4</v>
      </c>
      <c r="G95" t="n">
        <v>2</v>
      </c>
      <c r="H95">
        <f>A95</f>
        <v/>
      </c>
      <c r="I95" t="inlineStr">
        <is>
          <t>WH-Z1-AisleE-Bay1-Level9</t>
        </is>
      </c>
      <c r="J95">
        <f>IF($I95&lt;&gt;"",$I95,$A95)</f>
        <v/>
      </c>
      <c r="K95">
        <f>IF($C95="","",IF(LEN($C95)=1,CODE(UPPER($C95))-64,IFERROR(VALUE(MID($C95,2,99)),"")))</f>
        <v/>
      </c>
      <c r="L95">
        <f>IF($D95="","",IFERROR(VALUE($D95),""))</f>
        <v/>
      </c>
      <c r="M95">
        <f>IFERROR(VALUE(MID($A95,FIND("Level",$A95)+5,99)),IF($E95="AISLE_FLOOR",0,IF($E95="OVERFLOW",0,IF($E95="ENDCAP",0,""))))</f>
        <v/>
      </c>
      <c r="N95">
        <f>IF(AND($B95&lt;&gt;"",$C95&lt;&gt;"",ISNUMBER(--$D95)), $B95&amp;": "&amp;LEFT($C95,1)&amp;TEXT(--$D95,"00"), IF($I95&lt;&gt;"",$I95,$A95))</f>
        <v/>
      </c>
      <c r="O95">
        <f>IF(AND($C95&lt;&gt;"",ISNUMBER(--$D95)),LEFT($C95,1),"")</f>
        <v/>
      </c>
      <c r="P95">
        <f>IF(ISNUMBER(--$D95),--$D95,"")</f>
        <v/>
      </c>
      <c r="Q95">
        <f>IF(AND($O95&lt;&gt;"",$P95&lt;&gt;""),$O95&amp;TEXT($P95,"00"),"")</f>
        <v/>
      </c>
    </row>
    <row r="96">
      <c r="A96" t="inlineStr">
        <is>
          <t>SAMPLE: Grid E09</t>
        </is>
      </c>
      <c r="B96" t="inlineStr">
        <is>
          <t>A01</t>
        </is>
      </c>
      <c r="C96" t="inlineStr">
        <is>
          <t>SAMPLE: Grid E01</t>
        </is>
      </c>
      <c r="D96" t="n">
        <v>1</v>
      </c>
      <c r="E96" t="inlineStr">
        <is>
          <t>Between rows segment 01</t>
        </is>
      </c>
      <c r="F96" t="n">
        <v>4</v>
      </c>
      <c r="G96" t="n">
        <v>2</v>
      </c>
      <c r="H96">
        <f>A96</f>
        <v/>
      </c>
      <c r="I96" t="inlineStr">
        <is>
          <t>WH-Z1-AisleE-Bay1-Level10</t>
        </is>
      </c>
      <c r="J96">
        <f>IF($I96&lt;&gt;"",$I96,$A96)</f>
        <v/>
      </c>
      <c r="K96">
        <f>IF($C96="","",IF(LEN($C96)=1,CODE(UPPER($C96))-64,IFERROR(VALUE(MID($C96,2,99)),"")))</f>
        <v/>
      </c>
      <c r="L96">
        <f>IF($D96="","",IFERROR(VALUE($D96),""))</f>
        <v/>
      </c>
      <c r="M96">
        <f>IFERROR(VALUE(MID($A96,FIND("Level",$A96)+5,99)),IF($E96="AISLE_FLOOR",0,IF($E96="OVERFLOW",0,IF($E96="ENDCAP",0,""))))</f>
        <v/>
      </c>
      <c r="N96">
        <f>IF(AND($B96&lt;&gt;"",$C96&lt;&gt;"",ISNUMBER(--$D96)), $B96&amp;": "&amp;LEFT($C96,1)&amp;TEXT(--$D96,"00"), IF($I96&lt;&gt;"",$I96,$A96))</f>
        <v/>
      </c>
      <c r="O96">
        <f>IF(AND($C96&lt;&gt;"",ISNUMBER(--$D96)),LEFT($C96,1),"")</f>
        <v/>
      </c>
      <c r="P96">
        <f>IF(ISNUMBER(--$D96),--$D96,"")</f>
        <v/>
      </c>
      <c r="Q96">
        <f>IF(AND($O96&lt;&gt;"",$P96&lt;&gt;""),$O96&amp;TEXT($P96,"00"),"")</f>
        <v/>
      </c>
    </row>
    <row r="97">
      <c r="A97" t="inlineStr">
        <is>
          <t>SAMPLE: Grid E10</t>
        </is>
      </c>
      <c r="B97" t="inlineStr">
        <is>
          <t>A01</t>
        </is>
      </c>
      <c r="C97" t="inlineStr">
        <is>
          <t>SAMPLE: Grid E01</t>
        </is>
      </c>
      <c r="D97" t="n">
        <v>1</v>
      </c>
      <c r="E97" t="inlineStr">
        <is>
          <t>Between rows segment 01</t>
        </is>
      </c>
      <c r="F97" t="n">
        <v>4</v>
      </c>
      <c r="G97" t="n">
        <v>2</v>
      </c>
      <c r="H97">
        <f>A97</f>
        <v/>
      </c>
      <c r="I97" t="inlineStr">
        <is>
          <t>WH-Z1-AisleE-Bay1-Level11</t>
        </is>
      </c>
      <c r="J97">
        <f>IF($I97&lt;&gt;"",$I97,$A97)</f>
        <v/>
      </c>
      <c r="K97">
        <f>IF($C97="","",IF(LEN($C97)=1,CODE(UPPER($C97))-64,IFERROR(VALUE(MID($C97,2,99)),"")))</f>
        <v/>
      </c>
      <c r="L97">
        <f>IF($D97="","",IFERROR(VALUE($D97),""))</f>
        <v/>
      </c>
      <c r="M97">
        <f>IFERROR(VALUE(MID($A97,FIND("Level",$A97)+5,99)),IF($E97="AISLE_FLOOR",0,IF($E97="OVERFLOW",0,IF($E97="ENDCAP",0,""))))</f>
        <v/>
      </c>
      <c r="N97">
        <f>IF(AND($B97&lt;&gt;"",$C97&lt;&gt;"",ISNUMBER(--$D97)), $B97&amp;": "&amp;LEFT($C97,1)&amp;TEXT(--$D97,"00"), IF($I97&lt;&gt;"",$I97,$A97))</f>
        <v/>
      </c>
      <c r="O97">
        <f>IF(AND($C97&lt;&gt;"",ISNUMBER(--$D97)),LEFT($C97,1),"")</f>
        <v/>
      </c>
      <c r="P97">
        <f>IF(ISNUMBER(--$D97),--$D97,"")</f>
        <v/>
      </c>
      <c r="Q97">
        <f>IF(AND($O97&lt;&gt;"",$P97&lt;&gt;""),$O97&amp;TEXT($P97,"00"),"")</f>
        <v/>
      </c>
    </row>
    <row r="98">
      <c r="A98" t="inlineStr">
        <is>
          <t>SAMPLE: Grid E11</t>
        </is>
      </c>
      <c r="B98" t="inlineStr">
        <is>
          <t>A01</t>
        </is>
      </c>
      <c r="C98" t="inlineStr">
        <is>
          <t>SAMPLE: Grid E01</t>
        </is>
      </c>
      <c r="D98" t="n">
        <v>1</v>
      </c>
      <c r="E98" t="inlineStr">
        <is>
          <t>Between rows segment 01</t>
        </is>
      </c>
      <c r="F98" t="n">
        <v>4</v>
      </c>
      <c r="G98" t="n">
        <v>2</v>
      </c>
      <c r="H98">
        <f>A98</f>
        <v/>
      </c>
      <c r="I98" t="inlineStr">
        <is>
          <t>WH-Z1-AisleE-Bay1-Level12</t>
        </is>
      </c>
      <c r="J98">
        <f>IF($I98&lt;&gt;"",$I98,$A98)</f>
        <v/>
      </c>
      <c r="K98">
        <f>IF($C98="","",IF(LEN($C98)=1,CODE(UPPER($C98))-64,IFERROR(VALUE(MID($C98,2,99)),"")))</f>
        <v/>
      </c>
      <c r="L98">
        <f>IF($D98="","",IFERROR(VALUE($D98),""))</f>
        <v/>
      </c>
      <c r="M98">
        <f>IFERROR(VALUE(MID($A98,FIND("Level",$A98)+5,99)),IF($E98="AISLE_FLOOR",0,IF($E98="OVERFLOW",0,IF($E98="ENDCAP",0,""))))</f>
        <v/>
      </c>
      <c r="N98">
        <f>IF(AND($B98&lt;&gt;"",$C98&lt;&gt;"",ISNUMBER(--$D98)), $B98&amp;": "&amp;LEFT($C98,1)&amp;TEXT(--$D98,"00"), IF($I98&lt;&gt;"",$I98,$A98))</f>
        <v/>
      </c>
      <c r="O98">
        <f>IF(AND($C98&lt;&gt;"",ISNUMBER(--$D98)),LEFT($C98,1),"")</f>
        <v/>
      </c>
      <c r="P98">
        <f>IF(ISNUMBER(--$D98),--$D98,"")</f>
        <v/>
      </c>
      <c r="Q98">
        <f>IF(AND($O98&lt;&gt;"",$P98&lt;&gt;""),$O98&amp;TEXT($P98,"00"),"")</f>
        <v/>
      </c>
    </row>
    <row r="99">
      <c r="A99" t="inlineStr">
        <is>
          <t>SAMPLE: Grid E12</t>
        </is>
      </c>
      <c r="B99" t="inlineStr">
        <is>
          <t>A01</t>
        </is>
      </c>
      <c r="C99" t="inlineStr">
        <is>
          <t>SAMPLE: Grid E01</t>
        </is>
      </c>
      <c r="D99" t="n">
        <v>1</v>
      </c>
      <c r="E99" t="inlineStr">
        <is>
          <t>Between rows segment 01</t>
        </is>
      </c>
      <c r="F99" t="n">
        <v>4</v>
      </c>
      <c r="G99" t="n">
        <v>2</v>
      </c>
      <c r="H99">
        <f>A99</f>
        <v/>
      </c>
      <c r="I99" t="inlineStr">
        <is>
          <t>WH-Z1-AisleE-Bay1-Level13</t>
        </is>
      </c>
      <c r="J99">
        <f>IF($I99&lt;&gt;"",$I99,$A99)</f>
        <v/>
      </c>
      <c r="K99">
        <f>IF($C99="","",IF(LEN($C99)=1,CODE(UPPER($C99))-64,IFERROR(VALUE(MID($C99,2,99)),"")))</f>
        <v/>
      </c>
      <c r="L99">
        <f>IF($D99="","",IFERROR(VALUE($D99),""))</f>
        <v/>
      </c>
      <c r="M99">
        <f>IFERROR(VALUE(MID($A99,FIND("Level",$A99)+5,99)),IF($E99="AISLE_FLOOR",0,IF($E99="OVERFLOW",0,IF($E99="ENDCAP",0,""))))</f>
        <v/>
      </c>
      <c r="N99">
        <f>IF(AND($B99&lt;&gt;"",$C99&lt;&gt;"",ISNUMBER(--$D99)), $B99&amp;": "&amp;LEFT($C99,1)&amp;TEXT(--$D99,"00"), IF($I99&lt;&gt;"",$I99,$A99))</f>
        <v/>
      </c>
      <c r="O99">
        <f>IF(AND($C99&lt;&gt;"",ISNUMBER(--$D99)),LEFT($C99,1),"")</f>
        <v/>
      </c>
      <c r="P99">
        <f>IF(ISNUMBER(--$D99),--$D99,"")</f>
        <v/>
      </c>
      <c r="Q99">
        <f>IF(AND($O99&lt;&gt;"",$P99&lt;&gt;""),$O99&amp;TEXT($P99,"00"),"")</f>
        <v/>
      </c>
    </row>
    <row r="100">
      <c r="A100" t="inlineStr">
        <is>
          <t>SAMPLE: Grid E13</t>
        </is>
      </c>
      <c r="B100" t="inlineStr">
        <is>
          <t>A01</t>
        </is>
      </c>
      <c r="C100" t="inlineStr">
        <is>
          <t>SAMPLE: Grid E01</t>
        </is>
      </c>
      <c r="D100" t="n">
        <v>1</v>
      </c>
      <c r="E100" t="inlineStr">
        <is>
          <t>Between rows segment 01</t>
        </is>
      </c>
      <c r="F100" t="n">
        <v>4</v>
      </c>
      <c r="G100" t="n">
        <v>2</v>
      </c>
      <c r="H100">
        <f>A100</f>
        <v/>
      </c>
      <c r="I100" t="inlineStr">
        <is>
          <t>WH-Z1-AisleE-Bay1-Level14</t>
        </is>
      </c>
      <c r="J100">
        <f>IF($I100&lt;&gt;"",$I100,$A100)</f>
        <v/>
      </c>
      <c r="K100">
        <f>IF($C100="","",IF(LEN($C100)=1,CODE(UPPER($C100))-64,IFERROR(VALUE(MID($C100,2,99)),"")))</f>
        <v/>
      </c>
      <c r="L100">
        <f>IF($D100="","",IFERROR(VALUE($D100),""))</f>
        <v/>
      </c>
      <c r="M100">
        <f>IFERROR(VALUE(MID($A100,FIND("Level",$A100)+5,99)),IF($E100="AISLE_FLOOR",0,IF($E100="OVERFLOW",0,IF($E100="ENDCAP",0,""))))</f>
        <v/>
      </c>
      <c r="N100">
        <f>IF(AND($B100&lt;&gt;"",$C100&lt;&gt;"",ISNUMBER(--$D100)), $B100&amp;": "&amp;LEFT($C100,1)&amp;TEXT(--$D100,"00"), IF($I100&lt;&gt;"",$I100,$A100))</f>
        <v/>
      </c>
      <c r="O100">
        <f>IF(AND($C100&lt;&gt;"",ISNUMBER(--$D100)),LEFT($C100,1),"")</f>
        <v/>
      </c>
      <c r="P100">
        <f>IF(ISNUMBER(--$D100),--$D100,"")</f>
        <v/>
      </c>
      <c r="Q100">
        <f>IF(AND($O100&lt;&gt;"",$P100&lt;&gt;""),$O100&amp;TEXT($P100,"00"),"")</f>
        <v/>
      </c>
    </row>
    <row r="101">
      <c r="A101" t="inlineStr">
        <is>
          <t>SAMPLE: Grid E14</t>
        </is>
      </c>
      <c r="B101" t="inlineStr">
        <is>
          <t>A01</t>
        </is>
      </c>
      <c r="C101" t="inlineStr">
        <is>
          <t>SAMPLE: Grid E01</t>
        </is>
      </c>
      <c r="D101" t="n">
        <v>1</v>
      </c>
      <c r="E101" t="inlineStr">
        <is>
          <t>Between rows segment 01</t>
        </is>
      </c>
      <c r="F101" t="n">
        <v>4</v>
      </c>
      <c r="G101" t="n">
        <v>2</v>
      </c>
      <c r="H101">
        <f>A101</f>
        <v/>
      </c>
      <c r="I101" t="inlineStr">
        <is>
          <t>WH-Z1-AisleE-Bay1-Level15</t>
        </is>
      </c>
      <c r="J101">
        <f>IF($I101&lt;&gt;"",$I101,$A101)</f>
        <v/>
      </c>
      <c r="K101">
        <f>IF($C101="","",IF(LEN($C101)=1,CODE(UPPER($C101))-64,IFERROR(VALUE(MID($C101,2,99)),"")))</f>
        <v/>
      </c>
      <c r="L101">
        <f>IF($D101="","",IFERROR(VALUE($D101),""))</f>
        <v/>
      </c>
      <c r="M101">
        <f>IFERROR(VALUE(MID($A101,FIND("Level",$A101)+5,99)),IF($E101="AISLE_FLOOR",0,IF($E101="OVERFLOW",0,IF($E101="ENDCAP",0,""))))</f>
        <v/>
      </c>
      <c r="N101">
        <f>IF(AND($B101&lt;&gt;"",$C101&lt;&gt;"",ISNUMBER(--$D101)), $B101&amp;": "&amp;LEFT($C101,1)&amp;TEXT(--$D101,"00"), IF($I101&lt;&gt;"",$I101,$A101))</f>
        <v/>
      </c>
      <c r="O101">
        <f>IF(AND($C101&lt;&gt;"",ISNUMBER(--$D101)),LEFT($C101,1),"")</f>
        <v/>
      </c>
      <c r="P101">
        <f>IF(ISNUMBER(--$D101),--$D101,"")</f>
        <v/>
      </c>
      <c r="Q101">
        <f>IF(AND($O101&lt;&gt;"",$P101&lt;&gt;""),$O101&amp;TEXT($P101,"00"),"")</f>
        <v/>
      </c>
    </row>
    <row r="102">
      <c r="A102" t="inlineStr">
        <is>
          <t>SAMPLE: Grid E15</t>
        </is>
      </c>
      <c r="B102" t="inlineStr">
        <is>
          <t>A01</t>
        </is>
      </c>
      <c r="C102" t="inlineStr">
        <is>
          <t>SAMPLE: Grid E01</t>
        </is>
      </c>
      <c r="D102" t="n">
        <v>1</v>
      </c>
      <c r="E102" t="inlineStr">
        <is>
          <t>Between rows segment 01</t>
        </is>
      </c>
      <c r="F102" t="n">
        <v>4</v>
      </c>
      <c r="G102" t="n">
        <v>2</v>
      </c>
      <c r="H102">
        <f>A102</f>
        <v/>
      </c>
      <c r="I102" t="inlineStr">
        <is>
          <t>WH-Z1-AisleE-Bay1-Level16</t>
        </is>
      </c>
      <c r="J102">
        <f>IF($I102&lt;&gt;"",$I102,$A102)</f>
        <v/>
      </c>
      <c r="K102">
        <f>IF($C102="","",IF(LEN($C102)=1,CODE(UPPER($C102))-64,IFERROR(VALUE(MID($C102,2,99)),"")))</f>
        <v/>
      </c>
      <c r="L102">
        <f>IF($D102="","",IFERROR(VALUE($D102),""))</f>
        <v/>
      </c>
      <c r="M102">
        <f>IFERROR(VALUE(MID($A102,FIND("Level",$A102)+5,99)),IF($E102="AISLE_FLOOR",0,IF($E102="OVERFLOW",0,IF($E102="ENDCAP",0,""))))</f>
        <v/>
      </c>
      <c r="N102">
        <f>IF(AND($B102&lt;&gt;"",$C102&lt;&gt;"",ISNUMBER(--$D102)), $B102&amp;": "&amp;LEFT($C102,1)&amp;TEXT(--$D102,"00"), IF($I102&lt;&gt;"",$I102,$A102))</f>
        <v/>
      </c>
      <c r="O102">
        <f>IF(AND($C102&lt;&gt;"",ISNUMBER(--$D102)),LEFT($C102,1),"")</f>
        <v/>
      </c>
      <c r="P102">
        <f>IF(ISNUMBER(--$D102),--$D102,"")</f>
        <v/>
      </c>
      <c r="Q102">
        <f>IF(AND($O102&lt;&gt;"",$P102&lt;&gt;""),$O102&amp;TEXT($P102,"00"),"")</f>
        <v/>
      </c>
    </row>
    <row r="103">
      <c r="A103" t="inlineStr">
        <is>
          <t>SAMPLE: Grid E16</t>
        </is>
      </c>
      <c r="B103" t="inlineStr">
        <is>
          <t>A01</t>
        </is>
      </c>
      <c r="C103" t="inlineStr">
        <is>
          <t>SAMPLE: Grid E01</t>
        </is>
      </c>
      <c r="D103" t="n">
        <v>1</v>
      </c>
      <c r="E103" t="inlineStr">
        <is>
          <t>Between rows segment 01</t>
        </is>
      </c>
      <c r="F103" t="n">
        <v>4</v>
      </c>
      <c r="G103" t="n">
        <v>2</v>
      </c>
      <c r="H103">
        <f>A103</f>
        <v/>
      </c>
      <c r="I103" t="inlineStr">
        <is>
          <t>WH-Z1-AisleE-Bay1-Level17</t>
        </is>
      </c>
      <c r="J103">
        <f>IF($I103&lt;&gt;"",$I103,$A103)</f>
        <v/>
      </c>
      <c r="K103">
        <f>IF($C103="","",IF(LEN($C103)=1,CODE(UPPER($C103))-64,IFERROR(VALUE(MID($C103,2,99)),"")))</f>
        <v/>
      </c>
      <c r="L103">
        <f>IF($D103="","",IFERROR(VALUE($D103),""))</f>
        <v/>
      </c>
      <c r="M103">
        <f>IFERROR(VALUE(MID($A103,FIND("Level",$A103)+5,99)),IF($E103="AISLE_FLOOR",0,IF($E103="OVERFLOW",0,IF($E103="ENDCAP",0,""))))</f>
        <v/>
      </c>
      <c r="N103">
        <f>IF(AND($B103&lt;&gt;"",$C103&lt;&gt;"",ISNUMBER(--$D103)), $B103&amp;": "&amp;LEFT($C103,1)&amp;TEXT(--$D103,"00"), IF($I103&lt;&gt;"",$I103,$A103))</f>
        <v/>
      </c>
      <c r="O103">
        <f>IF(AND($C103&lt;&gt;"",ISNUMBER(--$D103)),LEFT($C103,1),"")</f>
        <v/>
      </c>
      <c r="P103">
        <f>IF(ISNUMBER(--$D103),--$D103,"")</f>
        <v/>
      </c>
      <c r="Q103">
        <f>IF(AND($O103&lt;&gt;"",$P103&lt;&gt;""),$O103&amp;TEXT($P103,"00"),"")</f>
        <v/>
      </c>
    </row>
    <row r="104">
      <c r="A104" t="inlineStr">
        <is>
          <t>SAMPLE: Grid E17</t>
        </is>
      </c>
      <c r="B104" t="inlineStr">
        <is>
          <t>A01</t>
        </is>
      </c>
      <c r="C104" t="inlineStr">
        <is>
          <t>SAMPLE: Grid E01</t>
        </is>
      </c>
      <c r="D104" t="n">
        <v>1</v>
      </c>
      <c r="E104" t="inlineStr">
        <is>
          <t>Between rows segment 01</t>
        </is>
      </c>
      <c r="F104" t="n">
        <v>4</v>
      </c>
      <c r="G104" t="n">
        <v>2</v>
      </c>
      <c r="H104">
        <f>A104</f>
        <v/>
      </c>
      <c r="I104" t="inlineStr">
        <is>
          <t>WH-Z1-AisleE-Bay1-Level18</t>
        </is>
      </c>
      <c r="J104">
        <f>IF($I104&lt;&gt;"",$I104,$A104)</f>
        <v/>
      </c>
      <c r="K104">
        <f>IF($C104="","",IF(LEN($C104)=1,CODE(UPPER($C104))-64,IFERROR(VALUE(MID($C104,2,99)),"")))</f>
        <v/>
      </c>
      <c r="L104">
        <f>IF($D104="","",IFERROR(VALUE($D104),""))</f>
        <v/>
      </c>
      <c r="M104">
        <f>IFERROR(VALUE(MID($A104,FIND("Level",$A104)+5,99)),IF($E104="AISLE_FLOOR",0,IF($E104="OVERFLOW",0,IF($E104="ENDCAP",0,""))))</f>
        <v/>
      </c>
      <c r="N104">
        <f>IF(AND($B104&lt;&gt;"",$C104&lt;&gt;"",ISNUMBER(--$D104)), $B104&amp;": "&amp;LEFT($C104,1)&amp;TEXT(--$D104,"00"), IF($I104&lt;&gt;"",$I104,$A104))</f>
        <v/>
      </c>
      <c r="O104">
        <f>IF(AND($C104&lt;&gt;"",ISNUMBER(--$D104)),LEFT($C104,1),"")</f>
        <v/>
      </c>
      <c r="P104">
        <f>IF(ISNUMBER(--$D104),--$D104,"")</f>
        <v/>
      </c>
      <c r="Q104">
        <f>IF(AND($O104&lt;&gt;"",$P104&lt;&gt;""),$O104&amp;TEXT($P104,"00"),"")</f>
        <v/>
      </c>
    </row>
    <row r="105">
      <c r="A105" t="inlineStr">
        <is>
          <t>SAMPLE: Grid E18</t>
        </is>
      </c>
      <c r="B105" t="inlineStr">
        <is>
          <t>A01</t>
        </is>
      </c>
      <c r="C105" t="inlineStr">
        <is>
          <t>SAMPLE: Grid E01</t>
        </is>
      </c>
      <c r="D105" t="n">
        <v>1</v>
      </c>
      <c r="E105" t="inlineStr">
        <is>
          <t>Between rows segment 01</t>
        </is>
      </c>
      <c r="F105" t="n">
        <v>4</v>
      </c>
      <c r="G105" t="n">
        <v>2</v>
      </c>
      <c r="H105">
        <f>A105</f>
        <v/>
      </c>
      <c r="I105" t="inlineStr">
        <is>
          <t>WH-Z1-AisleE-Bay1-Level19</t>
        </is>
      </c>
      <c r="J105">
        <f>IF($I105&lt;&gt;"",$I105,$A105)</f>
        <v/>
      </c>
      <c r="K105">
        <f>IF($C105="","",IF(LEN($C105)=1,CODE(UPPER($C105))-64,IFERROR(VALUE(MID($C105,2,99)),"")))</f>
        <v/>
      </c>
      <c r="L105">
        <f>IF($D105="","",IFERROR(VALUE($D105),""))</f>
        <v/>
      </c>
      <c r="M105">
        <f>IFERROR(VALUE(MID($A105,FIND("Level",$A105)+5,99)),IF($E105="AISLE_FLOOR",0,IF($E105="OVERFLOW",0,IF($E105="ENDCAP",0,""))))</f>
        <v/>
      </c>
      <c r="N105">
        <f>IF(AND($B105&lt;&gt;"",$C105&lt;&gt;"",ISNUMBER(--$D105)), $B105&amp;": "&amp;LEFT($C105,1)&amp;TEXT(--$D105,"00"), IF($I105&lt;&gt;"",$I105,$A105))</f>
        <v/>
      </c>
      <c r="O105">
        <f>IF(AND($C105&lt;&gt;"",ISNUMBER(--$D105)),LEFT($C105,1),"")</f>
        <v/>
      </c>
      <c r="P105">
        <f>IF(ISNUMBER(--$D105),--$D105,"")</f>
        <v/>
      </c>
      <c r="Q105">
        <f>IF(AND($O105&lt;&gt;"",$P105&lt;&gt;""),$O105&amp;TEXT($P105,"00"),"")</f>
        <v/>
      </c>
    </row>
    <row r="106">
      <c r="A106" t="inlineStr">
        <is>
          <t>SAMPLE: Grid E19</t>
        </is>
      </c>
      <c r="B106" t="inlineStr">
        <is>
          <t>A01</t>
        </is>
      </c>
      <c r="C106" t="inlineStr">
        <is>
          <t>SAMPLE: Grid E01</t>
        </is>
      </c>
      <c r="D106" t="n">
        <v>1</v>
      </c>
      <c r="E106" t="inlineStr">
        <is>
          <t>Between rows segment 01</t>
        </is>
      </c>
      <c r="F106" t="n">
        <v>4</v>
      </c>
      <c r="G106" t="n">
        <v>2</v>
      </c>
      <c r="H106">
        <f>A106</f>
        <v/>
      </c>
      <c r="I106" t="inlineStr">
        <is>
          <t>WH-Z1-AisleE-Bay1-Level20</t>
        </is>
      </c>
      <c r="J106">
        <f>IF($I106&lt;&gt;"",$I106,$A106)</f>
        <v/>
      </c>
      <c r="K106">
        <f>IF($C106="","",IF(LEN($C106)=1,CODE(UPPER($C106))-64,IFERROR(VALUE(MID($C106,2,99)),"")))</f>
        <v/>
      </c>
      <c r="L106">
        <f>IF($D106="","",IFERROR(VALUE($D106),""))</f>
        <v/>
      </c>
      <c r="M106">
        <f>IFERROR(VALUE(MID($A106,FIND("Level",$A106)+5,99)),IF($E106="AISLE_FLOOR",0,IF($E106="OVERFLOW",0,IF($E106="ENDCAP",0,""))))</f>
        <v/>
      </c>
      <c r="N106">
        <f>IF(AND($B106&lt;&gt;"",$C106&lt;&gt;"",ISNUMBER(--$D106)), $B106&amp;": "&amp;LEFT($C106,1)&amp;TEXT(--$D106,"00"), IF($I106&lt;&gt;"",$I106,$A106))</f>
        <v/>
      </c>
      <c r="O106">
        <f>IF(AND($C106&lt;&gt;"",ISNUMBER(--$D106)),LEFT($C106,1),"")</f>
        <v/>
      </c>
      <c r="P106">
        <f>IF(ISNUMBER(--$D106),--$D106,"")</f>
        <v/>
      </c>
      <c r="Q106">
        <f>IF(AND($O106&lt;&gt;"",$P106&lt;&gt;""),$O106&amp;TEXT($P106,"00"),"")</f>
        <v/>
      </c>
    </row>
    <row r="107">
      <c r="A107" t="inlineStr">
        <is>
          <t>SAMPLE: Grid E20</t>
        </is>
      </c>
      <c r="B107" t="inlineStr">
        <is>
          <t>A01</t>
        </is>
      </c>
      <c r="C107" t="inlineStr">
        <is>
          <t>SAMPLE: Grid E01</t>
        </is>
      </c>
      <c r="D107" t="n">
        <v>1</v>
      </c>
      <c r="E107" t="inlineStr">
        <is>
          <t>Between rows segment 01</t>
        </is>
      </c>
      <c r="F107" t="n">
        <v>4</v>
      </c>
      <c r="G107" t="n">
        <v>2</v>
      </c>
      <c r="H107">
        <f>A107</f>
        <v/>
      </c>
      <c r="I107" t="inlineStr">
        <is>
          <t>WH-Z1-AisleF-Bay1-Level1</t>
        </is>
      </c>
      <c r="J107">
        <f>IF($I107&lt;&gt;"",$I107,$A107)</f>
        <v/>
      </c>
      <c r="K107">
        <f>IF($C107="","",IF(LEN($C107)=1,CODE(UPPER($C107))-64,IFERROR(VALUE(MID($C107,2,99)),"")))</f>
        <v/>
      </c>
      <c r="L107">
        <f>IF($D107="","",IFERROR(VALUE($D107),""))</f>
        <v/>
      </c>
      <c r="M107">
        <f>IFERROR(VALUE(MID($A107,FIND("Level",$A107)+5,99)),IF($E107="AISLE_FLOOR",0,IF($E107="OVERFLOW",0,IF($E107="ENDCAP",0,""))))</f>
        <v/>
      </c>
      <c r="N107">
        <f>IF(AND($B107&lt;&gt;"",$C107&lt;&gt;"",ISNUMBER(--$D107)), $B107&amp;": "&amp;LEFT($C107,1)&amp;TEXT(--$D107,"00"), IF($I107&lt;&gt;"",$I107,$A107))</f>
        <v/>
      </c>
      <c r="O107">
        <f>IF(AND($C107&lt;&gt;"",ISNUMBER(--$D107)),LEFT($C107,1),"")</f>
        <v/>
      </c>
      <c r="P107">
        <f>IF(ISNUMBER(--$D107),--$D107,"")</f>
        <v/>
      </c>
      <c r="Q107">
        <f>IF(AND($O107&lt;&gt;"",$P107&lt;&gt;""),$O107&amp;TEXT($P107,"00"),"")</f>
        <v/>
      </c>
    </row>
    <row r="108">
      <c r="A108" t="inlineStr">
        <is>
          <t>F</t>
        </is>
      </c>
      <c r="B108" t="inlineStr">
        <is>
          <t>A01</t>
        </is>
      </c>
      <c r="C108" t="inlineStr">
        <is>
          <t>SAMPLE: Grid F01</t>
        </is>
      </c>
      <c r="D108" t="n">
        <v>1</v>
      </c>
      <c r="E108" t="inlineStr">
        <is>
          <t>Between rows segment 01</t>
        </is>
      </c>
      <c r="F108" t="n">
        <v>4</v>
      </c>
      <c r="G108" t="n">
        <v>2</v>
      </c>
      <c r="H108">
        <f>A108</f>
        <v/>
      </c>
      <c r="I108" t="inlineStr">
        <is>
          <t>WH-Z1-AisleF-Bay1-Level2</t>
        </is>
      </c>
      <c r="J108">
        <f>IF($I108&lt;&gt;"",$I108,$A108)</f>
        <v/>
      </c>
      <c r="K108">
        <f>IF($C108="","",IF(LEN($C108)=1,CODE(UPPER($C108))-64,IFERROR(VALUE(MID($C108,2,99)),"")))</f>
        <v/>
      </c>
      <c r="L108">
        <f>IF($D108="","",IFERROR(VALUE($D108),""))</f>
        <v/>
      </c>
      <c r="M108">
        <f>IFERROR(VALUE(MID($A108,FIND("Level",$A108)+5,99)),IF($E108="AISLE_FLOOR",0,IF($E108="OVERFLOW",0,IF($E108="ENDCAP",0,""))))</f>
        <v/>
      </c>
      <c r="N108">
        <f>IF(AND($B108&lt;&gt;"",$C108&lt;&gt;"",ISNUMBER(--$D108)), $B108&amp;": "&amp;LEFT($C108,1)&amp;TEXT(--$D108,"00"), IF($I108&lt;&gt;"",$I108,$A108))</f>
        <v/>
      </c>
      <c r="O108">
        <f>IF(AND($C108&lt;&gt;"",ISNUMBER(--$D108)),LEFT($C108,1),"")</f>
        <v/>
      </c>
      <c r="P108">
        <f>IF(ISNUMBER(--$D108),--$D108,"")</f>
        <v/>
      </c>
      <c r="Q108">
        <f>IF(AND($O108&lt;&gt;"",$P108&lt;&gt;""),$O108&amp;TEXT($P108,"00"),"")</f>
        <v/>
      </c>
    </row>
    <row r="109">
      <c r="A109" t="inlineStr">
        <is>
          <t>SAMPLE: Grid F02</t>
        </is>
      </c>
      <c r="B109" t="inlineStr">
        <is>
          <t>A01</t>
        </is>
      </c>
      <c r="C109" t="inlineStr">
        <is>
          <t>SAMPLE: Grid F01</t>
        </is>
      </c>
      <c r="D109" t="n">
        <v>1</v>
      </c>
      <c r="E109" t="inlineStr">
        <is>
          <t>Between rows segment 01</t>
        </is>
      </c>
      <c r="F109" t="n">
        <v>4</v>
      </c>
      <c r="G109" t="n">
        <v>2</v>
      </c>
      <c r="H109">
        <f>A109</f>
        <v/>
      </c>
      <c r="I109" t="inlineStr">
        <is>
          <t>WH-Z1-AisleF-Bay1-Level3</t>
        </is>
      </c>
      <c r="J109">
        <f>IF($I109&lt;&gt;"",$I109,$A109)</f>
        <v/>
      </c>
      <c r="K109">
        <f>IF($C109="","",IF(LEN($C109)=1,CODE(UPPER($C109))-64,IFERROR(VALUE(MID($C109,2,99)),"")))</f>
        <v/>
      </c>
      <c r="L109">
        <f>IF($D109="","",IFERROR(VALUE($D109),""))</f>
        <v/>
      </c>
      <c r="M109">
        <f>IFERROR(VALUE(MID($A109,FIND("Level",$A109)+5,99)),IF($E109="AISLE_FLOOR",0,IF($E109="OVERFLOW",0,IF($E109="ENDCAP",0,""))))</f>
        <v/>
      </c>
      <c r="N109">
        <f>IF(AND($B109&lt;&gt;"",$C109&lt;&gt;"",ISNUMBER(--$D109)), $B109&amp;": "&amp;LEFT($C109,1)&amp;TEXT(--$D109,"00"), IF($I109&lt;&gt;"",$I109,$A109))</f>
        <v/>
      </c>
      <c r="O109">
        <f>IF(AND($C109&lt;&gt;"",ISNUMBER(--$D109)),LEFT($C109,1),"")</f>
        <v/>
      </c>
      <c r="P109">
        <f>IF(ISNUMBER(--$D109),--$D109,"")</f>
        <v/>
      </c>
      <c r="Q109">
        <f>IF(AND($O109&lt;&gt;"",$P109&lt;&gt;""),$O109&amp;TEXT($P109,"00"),"")</f>
        <v/>
      </c>
    </row>
    <row r="110">
      <c r="A110" t="inlineStr">
        <is>
          <t>SAMPLE: Grid F03</t>
        </is>
      </c>
      <c r="B110" t="inlineStr">
        <is>
          <t>A01</t>
        </is>
      </c>
      <c r="C110" t="inlineStr">
        <is>
          <t>SAMPLE: Grid F01</t>
        </is>
      </c>
      <c r="D110" t="n">
        <v>1</v>
      </c>
      <c r="E110" t="inlineStr">
        <is>
          <t>Between rows segment 01</t>
        </is>
      </c>
      <c r="F110" t="n">
        <v>4</v>
      </c>
      <c r="G110" t="n">
        <v>2</v>
      </c>
      <c r="H110">
        <f>A110</f>
        <v/>
      </c>
      <c r="I110" t="inlineStr">
        <is>
          <t>WH-Z1-AisleF-Bay1-Level4</t>
        </is>
      </c>
      <c r="J110">
        <f>IF($I110&lt;&gt;"",$I110,$A110)</f>
        <v/>
      </c>
      <c r="K110">
        <f>IF($C110="","",IF(LEN($C110)=1,CODE(UPPER($C110))-64,IFERROR(VALUE(MID($C110,2,99)),"")))</f>
        <v/>
      </c>
      <c r="L110">
        <f>IF($D110="","",IFERROR(VALUE($D110),""))</f>
        <v/>
      </c>
      <c r="M110">
        <f>IFERROR(VALUE(MID($A110,FIND("Level",$A110)+5,99)),IF($E110="AISLE_FLOOR",0,IF($E110="OVERFLOW",0,IF($E110="ENDCAP",0,""))))</f>
        <v/>
      </c>
      <c r="N110">
        <f>IF(AND($B110&lt;&gt;"",$C110&lt;&gt;"",ISNUMBER(--$D110)), $B110&amp;": "&amp;LEFT($C110,1)&amp;TEXT(--$D110,"00"), IF($I110&lt;&gt;"",$I110,$A110))</f>
        <v/>
      </c>
      <c r="O110">
        <f>IF(AND($C110&lt;&gt;"",ISNUMBER(--$D110)),LEFT($C110,1),"")</f>
        <v/>
      </c>
      <c r="P110">
        <f>IF(ISNUMBER(--$D110),--$D110,"")</f>
        <v/>
      </c>
      <c r="Q110">
        <f>IF(AND($O110&lt;&gt;"",$P110&lt;&gt;""),$O110&amp;TEXT($P110,"00"),"")</f>
        <v/>
      </c>
    </row>
    <row r="111">
      <c r="A111" t="inlineStr">
        <is>
          <t>SAMPLE: Grid F04</t>
        </is>
      </c>
      <c r="B111" t="inlineStr">
        <is>
          <t>A01</t>
        </is>
      </c>
      <c r="C111" t="inlineStr">
        <is>
          <t>SAMPLE: Grid F01</t>
        </is>
      </c>
      <c r="D111" t="n">
        <v>1</v>
      </c>
      <c r="E111" t="inlineStr">
        <is>
          <t>Between rows segment 01</t>
        </is>
      </c>
      <c r="F111" t="n">
        <v>4</v>
      </c>
      <c r="G111" t="n">
        <v>2</v>
      </c>
      <c r="H111">
        <f>A111</f>
        <v/>
      </c>
      <c r="I111" t="inlineStr">
        <is>
          <t>WH-Z1-AisleF-Bay1-Level5</t>
        </is>
      </c>
      <c r="J111">
        <f>IF($I111&lt;&gt;"",$I111,$A111)</f>
        <v/>
      </c>
      <c r="K111">
        <f>IF($C111="","",IF(LEN($C111)=1,CODE(UPPER($C111))-64,IFERROR(VALUE(MID($C111,2,99)),"")))</f>
        <v/>
      </c>
      <c r="L111">
        <f>IF($D111="","",IFERROR(VALUE($D111),""))</f>
        <v/>
      </c>
      <c r="M111">
        <f>IFERROR(VALUE(MID($A111,FIND("Level",$A111)+5,99)),IF($E111="AISLE_FLOOR",0,IF($E111="OVERFLOW",0,IF($E111="ENDCAP",0,""))))</f>
        <v/>
      </c>
      <c r="N111">
        <f>IF(AND($B111&lt;&gt;"",$C111&lt;&gt;"",ISNUMBER(--$D111)), $B111&amp;": "&amp;LEFT($C111,1)&amp;TEXT(--$D111,"00"), IF($I111&lt;&gt;"",$I111,$A111))</f>
        <v/>
      </c>
      <c r="O111">
        <f>IF(AND($C111&lt;&gt;"",ISNUMBER(--$D111)),LEFT($C111,1),"")</f>
        <v/>
      </c>
      <c r="P111">
        <f>IF(ISNUMBER(--$D111),--$D111,"")</f>
        <v/>
      </c>
      <c r="Q111">
        <f>IF(AND($O111&lt;&gt;"",$P111&lt;&gt;""),$O111&amp;TEXT($P111,"00"),"")</f>
        <v/>
      </c>
    </row>
    <row r="112">
      <c r="A112" t="inlineStr">
        <is>
          <t>SAMPLE: Grid F05</t>
        </is>
      </c>
      <c r="B112" t="inlineStr">
        <is>
          <t>A01</t>
        </is>
      </c>
      <c r="C112" t="inlineStr">
        <is>
          <t>SAMPLE: Grid F01</t>
        </is>
      </c>
      <c r="D112" t="n">
        <v>1</v>
      </c>
      <c r="E112" t="inlineStr">
        <is>
          <t>Between rows segment 01</t>
        </is>
      </c>
      <c r="F112" t="n">
        <v>4</v>
      </c>
      <c r="G112" t="n">
        <v>2</v>
      </c>
      <c r="H112">
        <f>A112</f>
        <v/>
      </c>
      <c r="I112" t="inlineStr">
        <is>
          <t>WH-Z1-AisleF-Bay1-Level6</t>
        </is>
      </c>
      <c r="J112">
        <f>IF($I112&lt;&gt;"",$I112,$A112)</f>
        <v/>
      </c>
      <c r="K112">
        <f>IF($C112="","",IF(LEN($C112)=1,CODE(UPPER($C112))-64,IFERROR(VALUE(MID($C112,2,99)),"")))</f>
        <v/>
      </c>
      <c r="L112">
        <f>IF($D112="","",IFERROR(VALUE($D112),""))</f>
        <v/>
      </c>
      <c r="M112">
        <f>IFERROR(VALUE(MID($A112,FIND("Level",$A112)+5,99)),IF($E112="AISLE_FLOOR",0,IF($E112="OVERFLOW",0,IF($E112="ENDCAP",0,""))))</f>
        <v/>
      </c>
      <c r="N112">
        <f>IF(AND($B112&lt;&gt;"",$C112&lt;&gt;"",ISNUMBER(--$D112)), $B112&amp;": "&amp;LEFT($C112,1)&amp;TEXT(--$D112,"00"), IF($I112&lt;&gt;"",$I112,$A112))</f>
        <v/>
      </c>
      <c r="O112">
        <f>IF(AND($C112&lt;&gt;"",ISNUMBER(--$D112)),LEFT($C112,1),"")</f>
        <v/>
      </c>
      <c r="P112">
        <f>IF(ISNUMBER(--$D112),--$D112,"")</f>
        <v/>
      </c>
      <c r="Q112">
        <f>IF(AND($O112&lt;&gt;"",$P112&lt;&gt;""),$O112&amp;TEXT($P112,"00"),"")</f>
        <v/>
      </c>
    </row>
    <row r="113">
      <c r="A113" t="inlineStr">
        <is>
          <t>SAMPLE: Grid F06</t>
        </is>
      </c>
      <c r="B113" t="inlineStr">
        <is>
          <t>A01</t>
        </is>
      </c>
      <c r="C113" t="inlineStr">
        <is>
          <t>SAMPLE: Grid F01</t>
        </is>
      </c>
      <c r="D113" t="n">
        <v>1</v>
      </c>
      <c r="E113" t="inlineStr">
        <is>
          <t>Between rows segment 01</t>
        </is>
      </c>
      <c r="F113" t="n">
        <v>4</v>
      </c>
      <c r="G113" t="n">
        <v>2</v>
      </c>
      <c r="H113">
        <f>A113</f>
        <v/>
      </c>
      <c r="I113" t="inlineStr">
        <is>
          <t>WH-Z1-AisleF-Bay1-Level7</t>
        </is>
      </c>
      <c r="J113">
        <f>IF($I113&lt;&gt;"",$I113,$A113)</f>
        <v/>
      </c>
      <c r="K113">
        <f>IF($C113="","",IF(LEN($C113)=1,CODE(UPPER($C113))-64,IFERROR(VALUE(MID($C113,2,99)),"")))</f>
        <v/>
      </c>
      <c r="L113">
        <f>IF($D113="","",IFERROR(VALUE($D113),""))</f>
        <v/>
      </c>
      <c r="M113">
        <f>IFERROR(VALUE(MID($A113,FIND("Level",$A113)+5,99)),IF($E113="AISLE_FLOOR",0,IF($E113="OVERFLOW",0,IF($E113="ENDCAP",0,""))))</f>
        <v/>
      </c>
      <c r="N113">
        <f>IF(AND($B113&lt;&gt;"",$C113&lt;&gt;"",ISNUMBER(--$D113)), $B113&amp;": "&amp;LEFT($C113,1)&amp;TEXT(--$D113,"00"), IF($I113&lt;&gt;"",$I113,$A113))</f>
        <v/>
      </c>
      <c r="O113">
        <f>IF(AND($C113&lt;&gt;"",ISNUMBER(--$D113)),LEFT($C113,1),"")</f>
        <v/>
      </c>
      <c r="P113">
        <f>IF(ISNUMBER(--$D113),--$D113,"")</f>
        <v/>
      </c>
      <c r="Q113">
        <f>IF(AND($O113&lt;&gt;"",$P113&lt;&gt;""),$O113&amp;TEXT($P113,"00"),"")</f>
        <v/>
      </c>
    </row>
    <row r="114">
      <c r="A114" t="inlineStr">
        <is>
          <t>SAMPLE: Grid F07</t>
        </is>
      </c>
      <c r="B114" t="inlineStr">
        <is>
          <t>A01</t>
        </is>
      </c>
      <c r="C114" t="inlineStr">
        <is>
          <t>SAMPLE: Grid F01</t>
        </is>
      </c>
      <c r="D114" t="n">
        <v>1</v>
      </c>
      <c r="E114" t="inlineStr">
        <is>
          <t>Between rows segment 01</t>
        </is>
      </c>
      <c r="F114" t="n">
        <v>4</v>
      </c>
      <c r="G114" t="n">
        <v>2</v>
      </c>
      <c r="H114">
        <f>A114</f>
        <v/>
      </c>
      <c r="I114" t="inlineStr">
        <is>
          <t>WH-Z1-AisleF-Bay1-Level8</t>
        </is>
      </c>
      <c r="J114">
        <f>IF($I114&lt;&gt;"",$I114,$A114)</f>
        <v/>
      </c>
      <c r="K114">
        <f>IF($C114="","",IF(LEN($C114)=1,CODE(UPPER($C114))-64,IFERROR(VALUE(MID($C114,2,99)),"")))</f>
        <v/>
      </c>
      <c r="L114">
        <f>IF($D114="","",IFERROR(VALUE($D114),""))</f>
        <v/>
      </c>
      <c r="M114">
        <f>IFERROR(VALUE(MID($A114,FIND("Level",$A114)+5,99)),IF($E114="AISLE_FLOOR",0,IF($E114="OVERFLOW",0,IF($E114="ENDCAP",0,""))))</f>
        <v/>
      </c>
      <c r="N114">
        <f>IF(AND($B114&lt;&gt;"",$C114&lt;&gt;"",ISNUMBER(--$D114)), $B114&amp;": "&amp;LEFT($C114,1)&amp;TEXT(--$D114,"00"), IF($I114&lt;&gt;"",$I114,$A114))</f>
        <v/>
      </c>
      <c r="O114">
        <f>IF(AND($C114&lt;&gt;"",ISNUMBER(--$D114)),LEFT($C114,1),"")</f>
        <v/>
      </c>
      <c r="P114">
        <f>IF(ISNUMBER(--$D114),--$D114,"")</f>
        <v/>
      </c>
      <c r="Q114">
        <f>IF(AND($O114&lt;&gt;"",$P114&lt;&gt;""),$O114&amp;TEXT($P114,"00"),"")</f>
        <v/>
      </c>
    </row>
    <row r="115">
      <c r="A115" t="inlineStr">
        <is>
          <t>SAMPLE: Grid F08</t>
        </is>
      </c>
      <c r="B115" t="inlineStr">
        <is>
          <t>A01</t>
        </is>
      </c>
      <c r="C115" t="inlineStr">
        <is>
          <t>SAMPLE: Grid F01</t>
        </is>
      </c>
      <c r="D115" t="n">
        <v>1</v>
      </c>
      <c r="E115" t="inlineStr">
        <is>
          <t>Between rows segment 01</t>
        </is>
      </c>
      <c r="F115" t="n">
        <v>4</v>
      </c>
      <c r="G115" t="n">
        <v>2</v>
      </c>
      <c r="H115">
        <f>A115</f>
        <v/>
      </c>
      <c r="I115" t="inlineStr">
        <is>
          <t>WH-Z1-AisleF-Bay1-Level9</t>
        </is>
      </c>
      <c r="J115">
        <f>IF($I115&lt;&gt;"",$I115,$A115)</f>
        <v/>
      </c>
      <c r="K115">
        <f>IF($C115="","",IF(LEN($C115)=1,CODE(UPPER($C115))-64,IFERROR(VALUE(MID($C115,2,99)),"")))</f>
        <v/>
      </c>
      <c r="L115">
        <f>IF($D115="","",IFERROR(VALUE($D115),""))</f>
        <v/>
      </c>
      <c r="M115">
        <f>IFERROR(VALUE(MID($A115,FIND("Level",$A115)+5,99)),IF($E115="AISLE_FLOOR",0,IF($E115="OVERFLOW",0,IF($E115="ENDCAP",0,""))))</f>
        <v/>
      </c>
      <c r="N115">
        <f>IF(AND($B115&lt;&gt;"",$C115&lt;&gt;"",ISNUMBER(--$D115)), $B115&amp;": "&amp;LEFT($C115,1)&amp;TEXT(--$D115,"00"), IF($I115&lt;&gt;"",$I115,$A115))</f>
        <v/>
      </c>
      <c r="O115">
        <f>IF(AND($C115&lt;&gt;"",ISNUMBER(--$D115)),LEFT($C115,1),"")</f>
        <v/>
      </c>
      <c r="P115">
        <f>IF(ISNUMBER(--$D115),--$D115,"")</f>
        <v/>
      </c>
      <c r="Q115">
        <f>IF(AND($O115&lt;&gt;"",$P115&lt;&gt;""),$O115&amp;TEXT($P115,"00"),"")</f>
        <v/>
      </c>
    </row>
    <row r="116">
      <c r="A116" t="inlineStr">
        <is>
          <t>SAMPLE: Grid F09</t>
        </is>
      </c>
      <c r="B116" t="inlineStr">
        <is>
          <t>A01</t>
        </is>
      </c>
      <c r="C116" t="inlineStr">
        <is>
          <t>SAMPLE: Grid F01</t>
        </is>
      </c>
      <c r="D116" t="n">
        <v>1</v>
      </c>
      <c r="E116" t="inlineStr">
        <is>
          <t>Between rows segment 01</t>
        </is>
      </c>
      <c r="F116" t="n">
        <v>4</v>
      </c>
      <c r="G116" t="n">
        <v>2</v>
      </c>
      <c r="H116">
        <f>A116</f>
        <v/>
      </c>
      <c r="I116" t="inlineStr">
        <is>
          <t>WH-Z1-AisleF-Bay1-Level10</t>
        </is>
      </c>
      <c r="J116">
        <f>IF($I116&lt;&gt;"",$I116,$A116)</f>
        <v/>
      </c>
      <c r="K116">
        <f>IF($C116="","",IF(LEN($C116)=1,CODE(UPPER($C116))-64,IFERROR(VALUE(MID($C116,2,99)),"")))</f>
        <v/>
      </c>
      <c r="L116">
        <f>IF($D116="","",IFERROR(VALUE($D116),""))</f>
        <v/>
      </c>
      <c r="M116">
        <f>IFERROR(VALUE(MID($A116,FIND("Level",$A116)+5,99)),IF($E116="AISLE_FLOOR",0,IF($E116="OVERFLOW",0,IF($E116="ENDCAP",0,""))))</f>
        <v/>
      </c>
      <c r="N116">
        <f>IF(AND($B116&lt;&gt;"",$C116&lt;&gt;"",ISNUMBER(--$D116)), $B116&amp;": "&amp;LEFT($C116,1)&amp;TEXT(--$D116,"00"), IF($I116&lt;&gt;"",$I116,$A116))</f>
        <v/>
      </c>
      <c r="O116">
        <f>IF(AND($C116&lt;&gt;"",ISNUMBER(--$D116)),LEFT($C116,1),"")</f>
        <v/>
      </c>
      <c r="P116">
        <f>IF(ISNUMBER(--$D116),--$D116,"")</f>
        <v/>
      </c>
      <c r="Q116">
        <f>IF(AND($O116&lt;&gt;"",$P116&lt;&gt;""),$O116&amp;TEXT($P116,"00"),"")</f>
        <v/>
      </c>
    </row>
    <row r="117">
      <c r="A117" t="inlineStr">
        <is>
          <t>SAMPLE: Grid F10</t>
        </is>
      </c>
      <c r="B117" t="inlineStr">
        <is>
          <t>A01</t>
        </is>
      </c>
      <c r="C117" t="inlineStr">
        <is>
          <t>SAMPLE: Grid F01</t>
        </is>
      </c>
      <c r="D117" t="n">
        <v>1</v>
      </c>
      <c r="E117" t="inlineStr">
        <is>
          <t>Between rows segment 01</t>
        </is>
      </c>
      <c r="F117" t="n">
        <v>4</v>
      </c>
      <c r="G117" t="n">
        <v>2</v>
      </c>
      <c r="H117">
        <f>A117</f>
        <v/>
      </c>
      <c r="I117" t="inlineStr">
        <is>
          <t>WH-Z1-AisleF-Bay1-Level11</t>
        </is>
      </c>
      <c r="J117">
        <f>IF($I117&lt;&gt;"",$I117,$A117)</f>
        <v/>
      </c>
      <c r="K117">
        <f>IF($C117="","",IF(LEN($C117)=1,CODE(UPPER($C117))-64,IFERROR(VALUE(MID($C117,2,99)),"")))</f>
        <v/>
      </c>
      <c r="L117">
        <f>IF($D117="","",IFERROR(VALUE($D117),""))</f>
        <v/>
      </c>
      <c r="M117">
        <f>IFERROR(VALUE(MID($A117,FIND("Level",$A117)+5,99)),IF($E117="AISLE_FLOOR",0,IF($E117="OVERFLOW",0,IF($E117="ENDCAP",0,""))))</f>
        <v/>
      </c>
      <c r="N117">
        <f>IF(AND($B117&lt;&gt;"",$C117&lt;&gt;"",ISNUMBER(--$D117)), $B117&amp;": "&amp;LEFT($C117,1)&amp;TEXT(--$D117,"00"), IF($I117&lt;&gt;"",$I117,$A117))</f>
        <v/>
      </c>
      <c r="O117">
        <f>IF(AND($C117&lt;&gt;"",ISNUMBER(--$D117)),LEFT($C117,1),"")</f>
        <v/>
      </c>
      <c r="P117">
        <f>IF(ISNUMBER(--$D117),--$D117,"")</f>
        <v/>
      </c>
      <c r="Q117">
        <f>IF(AND($O117&lt;&gt;"",$P117&lt;&gt;""),$O117&amp;TEXT($P117,"00"),"")</f>
        <v/>
      </c>
    </row>
    <row r="118">
      <c r="A118" t="inlineStr">
        <is>
          <t>SAMPLE: Grid F11</t>
        </is>
      </c>
      <c r="B118" t="inlineStr">
        <is>
          <t>A01</t>
        </is>
      </c>
      <c r="C118" t="inlineStr">
        <is>
          <t>SAMPLE: Grid F01</t>
        </is>
      </c>
      <c r="D118" t="n">
        <v>1</v>
      </c>
      <c r="E118" t="inlineStr">
        <is>
          <t>Between rows segment 01</t>
        </is>
      </c>
      <c r="F118" t="n">
        <v>4</v>
      </c>
      <c r="G118" t="n">
        <v>2</v>
      </c>
      <c r="H118">
        <f>A118</f>
        <v/>
      </c>
      <c r="I118" t="inlineStr">
        <is>
          <t>WH-Z1-AisleF-Bay1-Level12</t>
        </is>
      </c>
      <c r="J118">
        <f>IF($I118&lt;&gt;"",$I118,$A118)</f>
        <v/>
      </c>
      <c r="K118">
        <f>IF($C118="","",IF(LEN($C118)=1,CODE(UPPER($C118))-64,IFERROR(VALUE(MID($C118,2,99)),"")))</f>
        <v/>
      </c>
      <c r="L118">
        <f>IF($D118="","",IFERROR(VALUE($D118),""))</f>
        <v/>
      </c>
      <c r="M118">
        <f>IFERROR(VALUE(MID($A118,FIND("Level",$A118)+5,99)),IF($E118="AISLE_FLOOR",0,IF($E118="OVERFLOW",0,IF($E118="ENDCAP",0,""))))</f>
        <v/>
      </c>
      <c r="N118">
        <f>IF(AND($B118&lt;&gt;"",$C118&lt;&gt;"",ISNUMBER(--$D118)), $B118&amp;": "&amp;LEFT($C118,1)&amp;TEXT(--$D118,"00"), IF($I118&lt;&gt;"",$I118,$A118))</f>
        <v/>
      </c>
      <c r="O118">
        <f>IF(AND($C118&lt;&gt;"",ISNUMBER(--$D118)),LEFT($C118,1),"")</f>
        <v/>
      </c>
      <c r="P118">
        <f>IF(ISNUMBER(--$D118),--$D118,"")</f>
        <v/>
      </c>
      <c r="Q118">
        <f>IF(AND($O118&lt;&gt;"",$P118&lt;&gt;""),$O118&amp;TEXT($P118,"00"),"")</f>
        <v/>
      </c>
    </row>
    <row r="119">
      <c r="A119" t="inlineStr">
        <is>
          <t>SAMPLE: Grid F12</t>
        </is>
      </c>
      <c r="B119" t="inlineStr">
        <is>
          <t>A01</t>
        </is>
      </c>
      <c r="C119" t="inlineStr">
        <is>
          <t>SAMPLE: Grid F01</t>
        </is>
      </c>
      <c r="D119" t="n">
        <v>1</v>
      </c>
      <c r="E119" t="inlineStr">
        <is>
          <t>Between rows segment 01</t>
        </is>
      </c>
      <c r="F119" t="n">
        <v>4</v>
      </c>
      <c r="G119" t="n">
        <v>2</v>
      </c>
      <c r="H119">
        <f>A119</f>
        <v/>
      </c>
      <c r="I119" t="inlineStr">
        <is>
          <t>WH-Z1-AisleF-Bay1-Level13</t>
        </is>
      </c>
      <c r="J119">
        <f>IF($I119&lt;&gt;"",$I119,$A119)</f>
        <v/>
      </c>
      <c r="K119">
        <f>IF($C119="","",IF(LEN($C119)=1,CODE(UPPER($C119))-64,IFERROR(VALUE(MID($C119,2,99)),"")))</f>
        <v/>
      </c>
      <c r="L119">
        <f>IF($D119="","",IFERROR(VALUE($D119),""))</f>
        <v/>
      </c>
      <c r="M119">
        <f>IFERROR(VALUE(MID($A119,FIND("Level",$A119)+5,99)),IF($E119="AISLE_FLOOR",0,IF($E119="OVERFLOW",0,IF($E119="ENDCAP",0,""))))</f>
        <v/>
      </c>
      <c r="N119">
        <f>IF(AND($B119&lt;&gt;"",$C119&lt;&gt;"",ISNUMBER(--$D119)), $B119&amp;": "&amp;LEFT($C119,1)&amp;TEXT(--$D119,"00"), IF($I119&lt;&gt;"",$I119,$A119))</f>
        <v/>
      </c>
      <c r="O119">
        <f>IF(AND($C119&lt;&gt;"",ISNUMBER(--$D119)),LEFT($C119,1),"")</f>
        <v/>
      </c>
      <c r="P119">
        <f>IF(ISNUMBER(--$D119),--$D119,"")</f>
        <v/>
      </c>
      <c r="Q119">
        <f>IF(AND($O119&lt;&gt;"",$P119&lt;&gt;""),$O119&amp;TEXT($P119,"00"),"")</f>
        <v/>
      </c>
    </row>
    <row r="120">
      <c r="A120" t="inlineStr">
        <is>
          <t>SAMPLE: Grid F13</t>
        </is>
      </c>
      <c r="B120" t="inlineStr">
        <is>
          <t>A01</t>
        </is>
      </c>
      <c r="C120" t="inlineStr">
        <is>
          <t>SAMPLE: Grid F01</t>
        </is>
      </c>
      <c r="D120" t="n">
        <v>1</v>
      </c>
      <c r="E120" t="inlineStr">
        <is>
          <t>Between rows segment 01</t>
        </is>
      </c>
      <c r="F120" t="n">
        <v>4</v>
      </c>
      <c r="G120" t="n">
        <v>2</v>
      </c>
      <c r="H120">
        <f>A120</f>
        <v/>
      </c>
      <c r="I120" t="inlineStr">
        <is>
          <t>WH-Z1-AisleF-Bay1-Level14</t>
        </is>
      </c>
      <c r="J120">
        <f>IF($I120&lt;&gt;"",$I120,$A120)</f>
        <v/>
      </c>
      <c r="K120">
        <f>IF($C120="","",IF(LEN($C120)=1,CODE(UPPER($C120))-64,IFERROR(VALUE(MID($C120,2,99)),"")))</f>
        <v/>
      </c>
      <c r="L120">
        <f>IF($D120="","",IFERROR(VALUE($D120),""))</f>
        <v/>
      </c>
      <c r="M120">
        <f>IFERROR(VALUE(MID($A120,FIND("Level",$A120)+5,99)),IF($E120="AISLE_FLOOR",0,IF($E120="OVERFLOW",0,IF($E120="ENDCAP",0,""))))</f>
        <v/>
      </c>
      <c r="N120">
        <f>IF(AND($B120&lt;&gt;"",$C120&lt;&gt;"",ISNUMBER(--$D120)), $B120&amp;": "&amp;LEFT($C120,1)&amp;TEXT(--$D120,"00"), IF($I120&lt;&gt;"",$I120,$A120))</f>
        <v/>
      </c>
      <c r="O120">
        <f>IF(AND($C120&lt;&gt;"",ISNUMBER(--$D120)),LEFT($C120,1),"")</f>
        <v/>
      </c>
      <c r="P120">
        <f>IF(ISNUMBER(--$D120),--$D120,"")</f>
        <v/>
      </c>
      <c r="Q120">
        <f>IF(AND($O120&lt;&gt;"",$P120&lt;&gt;""),$O120&amp;TEXT($P120,"00"),"")</f>
        <v/>
      </c>
    </row>
    <row r="121">
      <c r="A121" t="inlineStr">
        <is>
          <t>SAMPLE: Grid F14</t>
        </is>
      </c>
      <c r="B121" t="inlineStr">
        <is>
          <t>A01</t>
        </is>
      </c>
      <c r="C121" t="inlineStr">
        <is>
          <t>SAMPLE: Grid F01</t>
        </is>
      </c>
      <c r="D121" t="n">
        <v>1</v>
      </c>
      <c r="E121" t="inlineStr">
        <is>
          <t>Between rows segment 01</t>
        </is>
      </c>
      <c r="F121" t="n">
        <v>4</v>
      </c>
      <c r="G121" t="n">
        <v>2</v>
      </c>
      <c r="H121">
        <f>A121</f>
        <v/>
      </c>
      <c r="I121" t="inlineStr">
        <is>
          <t>WH-Z1-AisleF-Bay1-Level15</t>
        </is>
      </c>
      <c r="J121">
        <f>IF($I121&lt;&gt;"",$I121,$A121)</f>
        <v/>
      </c>
      <c r="K121">
        <f>IF($C121="","",IF(LEN($C121)=1,CODE(UPPER($C121))-64,IFERROR(VALUE(MID($C121,2,99)),"")))</f>
        <v/>
      </c>
      <c r="L121">
        <f>IF($D121="","",IFERROR(VALUE($D121),""))</f>
        <v/>
      </c>
      <c r="M121">
        <f>IFERROR(VALUE(MID($A121,FIND("Level",$A121)+5,99)),IF($E121="AISLE_FLOOR",0,IF($E121="OVERFLOW",0,IF($E121="ENDCAP",0,""))))</f>
        <v/>
      </c>
      <c r="N121">
        <f>IF(AND($B121&lt;&gt;"",$C121&lt;&gt;"",ISNUMBER(--$D121)), $B121&amp;": "&amp;LEFT($C121,1)&amp;TEXT(--$D121,"00"), IF($I121&lt;&gt;"",$I121,$A121))</f>
        <v/>
      </c>
      <c r="O121">
        <f>IF(AND($C121&lt;&gt;"",ISNUMBER(--$D121)),LEFT($C121,1),"")</f>
        <v/>
      </c>
      <c r="P121">
        <f>IF(ISNUMBER(--$D121),--$D121,"")</f>
        <v/>
      </c>
      <c r="Q121">
        <f>IF(AND($O121&lt;&gt;"",$P121&lt;&gt;""),$O121&amp;TEXT($P121,"00"),"")</f>
        <v/>
      </c>
    </row>
    <row r="122">
      <c r="A122" t="inlineStr">
        <is>
          <t>SAMPLE: Grid F15</t>
        </is>
      </c>
      <c r="B122" t="inlineStr">
        <is>
          <t>A01</t>
        </is>
      </c>
      <c r="C122" t="inlineStr">
        <is>
          <t>SAMPLE: Grid F01</t>
        </is>
      </c>
      <c r="D122" t="n">
        <v>1</v>
      </c>
      <c r="E122" t="inlineStr">
        <is>
          <t>Between rows segment 01</t>
        </is>
      </c>
      <c r="F122" t="n">
        <v>4</v>
      </c>
      <c r="G122" t="n">
        <v>2</v>
      </c>
      <c r="H122">
        <f>A122</f>
        <v/>
      </c>
      <c r="I122" t="inlineStr">
        <is>
          <t>WH-Z1-AisleF-Bay1-Level16</t>
        </is>
      </c>
      <c r="J122">
        <f>IF($I122&lt;&gt;"",$I122,$A122)</f>
        <v/>
      </c>
      <c r="K122">
        <f>IF($C122="","",IF(LEN($C122)=1,CODE(UPPER($C122))-64,IFERROR(VALUE(MID($C122,2,99)),"")))</f>
        <v/>
      </c>
      <c r="L122">
        <f>IF($D122="","",IFERROR(VALUE($D122),""))</f>
        <v/>
      </c>
      <c r="M122">
        <f>IFERROR(VALUE(MID($A122,FIND("Level",$A122)+5,99)),IF($E122="AISLE_FLOOR",0,IF($E122="OVERFLOW",0,IF($E122="ENDCAP",0,""))))</f>
        <v/>
      </c>
      <c r="N122">
        <f>IF(AND($B122&lt;&gt;"",$C122&lt;&gt;"",ISNUMBER(--$D122)), $B122&amp;": "&amp;LEFT($C122,1)&amp;TEXT(--$D122,"00"), IF($I122&lt;&gt;"",$I122,$A122))</f>
        <v/>
      </c>
      <c r="O122">
        <f>IF(AND($C122&lt;&gt;"",ISNUMBER(--$D122)),LEFT($C122,1),"")</f>
        <v/>
      </c>
      <c r="P122">
        <f>IF(ISNUMBER(--$D122),--$D122,"")</f>
        <v/>
      </c>
      <c r="Q122">
        <f>IF(AND($O122&lt;&gt;"",$P122&lt;&gt;""),$O122&amp;TEXT($P122,"00"),"")</f>
        <v/>
      </c>
    </row>
    <row r="123">
      <c r="A123" t="inlineStr">
        <is>
          <t>SAMPLE: Grid F16</t>
        </is>
      </c>
      <c r="B123" t="inlineStr">
        <is>
          <t>A01</t>
        </is>
      </c>
      <c r="C123" t="inlineStr">
        <is>
          <t>SAMPLE: Grid F01</t>
        </is>
      </c>
      <c r="D123" t="n">
        <v>1</v>
      </c>
      <c r="E123" t="inlineStr">
        <is>
          <t>Between rows segment 01</t>
        </is>
      </c>
      <c r="F123" t="n">
        <v>4</v>
      </c>
      <c r="G123" t="n">
        <v>2</v>
      </c>
      <c r="H123">
        <f>A123</f>
        <v/>
      </c>
      <c r="I123" t="inlineStr">
        <is>
          <t>WH-Z1-AisleF-Bay1-Level17</t>
        </is>
      </c>
      <c r="J123">
        <f>IF($I123&lt;&gt;"",$I123,$A123)</f>
        <v/>
      </c>
      <c r="K123">
        <f>IF($C123="","",IF(LEN($C123)=1,CODE(UPPER($C123))-64,IFERROR(VALUE(MID($C123,2,99)),"")))</f>
        <v/>
      </c>
      <c r="L123">
        <f>IF($D123="","",IFERROR(VALUE($D123),""))</f>
        <v/>
      </c>
      <c r="M123">
        <f>IFERROR(VALUE(MID($A123,FIND("Level",$A123)+5,99)),IF($E123="AISLE_FLOOR",0,IF($E123="OVERFLOW",0,IF($E123="ENDCAP",0,""))))</f>
        <v/>
      </c>
      <c r="N123">
        <f>IF(AND($B123&lt;&gt;"",$C123&lt;&gt;"",ISNUMBER(--$D123)), $B123&amp;": "&amp;LEFT($C123,1)&amp;TEXT(--$D123,"00"), IF($I123&lt;&gt;"",$I123,$A123))</f>
        <v/>
      </c>
      <c r="O123">
        <f>IF(AND($C123&lt;&gt;"",ISNUMBER(--$D123)),LEFT($C123,1),"")</f>
        <v/>
      </c>
      <c r="P123">
        <f>IF(ISNUMBER(--$D123),--$D123,"")</f>
        <v/>
      </c>
      <c r="Q123">
        <f>IF(AND($O123&lt;&gt;"",$P123&lt;&gt;""),$O123&amp;TEXT($P123,"00"),"")</f>
        <v/>
      </c>
    </row>
    <row r="124">
      <c r="A124" t="inlineStr">
        <is>
          <t>SAMPLE: Grid F17</t>
        </is>
      </c>
      <c r="B124" t="inlineStr">
        <is>
          <t>A01</t>
        </is>
      </c>
      <c r="C124" t="inlineStr">
        <is>
          <t>SAMPLE: Grid F01</t>
        </is>
      </c>
      <c r="D124" t="n">
        <v>1</v>
      </c>
      <c r="E124" t="inlineStr">
        <is>
          <t>Between rows segment 01</t>
        </is>
      </c>
      <c r="F124" t="n">
        <v>4</v>
      </c>
      <c r="G124" t="n">
        <v>2</v>
      </c>
      <c r="H124">
        <f>A124</f>
        <v/>
      </c>
      <c r="I124" t="inlineStr">
        <is>
          <t>WH-Z1-AisleF-Bay1-Level18</t>
        </is>
      </c>
      <c r="J124">
        <f>IF($I124&lt;&gt;"",$I124,$A124)</f>
        <v/>
      </c>
      <c r="K124">
        <f>IF($C124="","",IF(LEN($C124)=1,CODE(UPPER($C124))-64,IFERROR(VALUE(MID($C124,2,99)),"")))</f>
        <v/>
      </c>
      <c r="L124">
        <f>IF($D124="","",IFERROR(VALUE($D124),""))</f>
        <v/>
      </c>
      <c r="M124">
        <f>IFERROR(VALUE(MID($A124,FIND("Level",$A124)+5,99)),IF($E124="AISLE_FLOOR",0,IF($E124="OVERFLOW",0,IF($E124="ENDCAP",0,""))))</f>
        <v/>
      </c>
      <c r="N124">
        <f>IF(AND($B124&lt;&gt;"",$C124&lt;&gt;"",ISNUMBER(--$D124)), $B124&amp;": "&amp;LEFT($C124,1)&amp;TEXT(--$D124,"00"), IF($I124&lt;&gt;"",$I124,$A124))</f>
        <v/>
      </c>
      <c r="O124">
        <f>IF(AND($C124&lt;&gt;"",ISNUMBER(--$D124)),LEFT($C124,1),"")</f>
        <v/>
      </c>
      <c r="P124">
        <f>IF(ISNUMBER(--$D124),--$D124,"")</f>
        <v/>
      </c>
      <c r="Q124">
        <f>IF(AND($O124&lt;&gt;"",$P124&lt;&gt;""),$O124&amp;TEXT($P124,"00"),"")</f>
        <v/>
      </c>
    </row>
    <row r="125">
      <c r="A125" t="inlineStr">
        <is>
          <t>SAMPLE: Grid F18</t>
        </is>
      </c>
      <c r="B125" t="inlineStr">
        <is>
          <t>A01</t>
        </is>
      </c>
      <c r="C125" t="inlineStr">
        <is>
          <t>SAMPLE: Grid F01</t>
        </is>
      </c>
      <c r="D125" t="n">
        <v>1</v>
      </c>
      <c r="E125" t="inlineStr">
        <is>
          <t>Between rows segment 01</t>
        </is>
      </c>
      <c r="F125" t="n">
        <v>4</v>
      </c>
      <c r="G125" t="n">
        <v>2</v>
      </c>
      <c r="H125">
        <f>A125</f>
        <v/>
      </c>
      <c r="I125" t="inlineStr">
        <is>
          <t>WH-Z1-AisleF-Bay1-Level19</t>
        </is>
      </c>
      <c r="J125">
        <f>IF($I125&lt;&gt;"",$I125,$A125)</f>
        <v/>
      </c>
      <c r="K125">
        <f>IF($C125="","",IF(LEN($C125)=1,CODE(UPPER($C125))-64,IFERROR(VALUE(MID($C125,2,99)),"")))</f>
        <v/>
      </c>
      <c r="L125">
        <f>IF($D125="","",IFERROR(VALUE($D125),""))</f>
        <v/>
      </c>
      <c r="M125">
        <f>IFERROR(VALUE(MID($A125,FIND("Level",$A125)+5,99)),IF($E125="AISLE_FLOOR",0,IF($E125="OVERFLOW",0,IF($E125="ENDCAP",0,""))))</f>
        <v/>
      </c>
      <c r="N125">
        <f>IF(AND($B125&lt;&gt;"",$C125&lt;&gt;"",ISNUMBER(--$D125)), $B125&amp;": "&amp;LEFT($C125,1)&amp;TEXT(--$D125,"00"), IF($I125&lt;&gt;"",$I125,$A125))</f>
        <v/>
      </c>
      <c r="O125">
        <f>IF(AND($C125&lt;&gt;"",ISNUMBER(--$D125)),LEFT($C125,1),"")</f>
        <v/>
      </c>
      <c r="P125">
        <f>IF(ISNUMBER(--$D125),--$D125,"")</f>
        <v/>
      </c>
      <c r="Q125">
        <f>IF(AND($O125&lt;&gt;"",$P125&lt;&gt;""),$O125&amp;TEXT($P125,"00"),"")</f>
        <v/>
      </c>
    </row>
    <row r="126">
      <c r="A126" t="inlineStr">
        <is>
          <t>SAMPLE: Grid F19</t>
        </is>
      </c>
      <c r="B126" t="inlineStr">
        <is>
          <t>A01</t>
        </is>
      </c>
      <c r="C126" t="inlineStr">
        <is>
          <t>SAMPLE: Grid F01</t>
        </is>
      </c>
      <c r="D126" t="n">
        <v>1</v>
      </c>
      <c r="E126" t="inlineStr">
        <is>
          <t>Between rows segment 01</t>
        </is>
      </c>
      <c r="F126" t="n">
        <v>4</v>
      </c>
      <c r="G126" t="n">
        <v>2</v>
      </c>
      <c r="H126">
        <f>A126</f>
        <v/>
      </c>
      <c r="I126" t="inlineStr">
        <is>
          <t>WH-Z1-AisleF-Bay1-Level20</t>
        </is>
      </c>
      <c r="J126">
        <f>IF($I126&lt;&gt;"",$I126,$A126)</f>
        <v/>
      </c>
      <c r="K126">
        <f>IF($C126="","",IF(LEN($C126)=1,CODE(UPPER($C126))-64,IFERROR(VALUE(MID($C126,2,99)),"")))</f>
        <v/>
      </c>
      <c r="L126">
        <f>IF($D126="","",IFERROR(VALUE($D126),""))</f>
        <v/>
      </c>
      <c r="M126">
        <f>IFERROR(VALUE(MID($A126,FIND("Level",$A126)+5,99)),IF($E126="AISLE_FLOOR",0,IF($E126="OVERFLOW",0,IF($E126="ENDCAP",0,""))))</f>
        <v/>
      </c>
      <c r="N126">
        <f>IF(AND($B126&lt;&gt;"",$C126&lt;&gt;"",ISNUMBER(--$D126)), $B126&amp;": "&amp;LEFT($C126,1)&amp;TEXT(--$D126,"00"), IF($I126&lt;&gt;"",$I126,$A126))</f>
        <v/>
      </c>
      <c r="O126">
        <f>IF(AND($C126&lt;&gt;"",ISNUMBER(--$D126)),LEFT($C126,1),"")</f>
        <v/>
      </c>
      <c r="P126">
        <f>IF(ISNUMBER(--$D126),--$D126,"")</f>
        <v/>
      </c>
      <c r="Q126">
        <f>IF(AND($O126&lt;&gt;"",$P126&lt;&gt;""),$O126&amp;TEXT($P126,"00"),"")</f>
        <v/>
      </c>
    </row>
    <row r="127">
      <c r="A127" t="inlineStr">
        <is>
          <t>SAMPLE: Grid F20</t>
        </is>
      </c>
      <c r="B127" t="inlineStr">
        <is>
          <t>A01</t>
        </is>
      </c>
      <c r="C127" t="inlineStr">
        <is>
          <t>SAMPLE: Grid F01</t>
        </is>
      </c>
      <c r="D127" t="n">
        <v>1</v>
      </c>
      <c r="E127" t="inlineStr">
        <is>
          <t>Between rows segment 01</t>
        </is>
      </c>
      <c r="F127" t="n">
        <v>4</v>
      </c>
      <c r="G127" t="n">
        <v>2</v>
      </c>
      <c r="H127">
        <f>A127</f>
        <v/>
      </c>
      <c r="I127" t="inlineStr">
        <is>
          <t>WH-DISPOSAL</t>
        </is>
      </c>
      <c r="J127">
        <f>IF($I127&lt;&gt;"",$I127,$A127)</f>
        <v/>
      </c>
      <c r="K127">
        <f>IF($C127="","",IF(LEN($C127)=1,CODE(UPPER($C127))-64,IFERROR(VALUE(MID($C127,2,99)),"")))</f>
        <v/>
      </c>
      <c r="L127">
        <f>IF($D127="","",IFERROR(VALUE($D127),""))</f>
        <v/>
      </c>
      <c r="M127">
        <f>IFERROR(VALUE(MID($A127,FIND("Level",$A127)+5,99)),IF($E127="AISLE_FLOOR",0,IF($E127="OVERFLOW",0,IF($E127="ENDCAP",0,""))))</f>
        <v/>
      </c>
      <c r="N127">
        <f>IF(AND($B127&lt;&gt;"",$C127&lt;&gt;"",ISNUMBER(--$D127)), $B127&amp;": "&amp;LEFT($C127,1)&amp;TEXT(--$D127,"00"), IF($I127&lt;&gt;"",$I127,$A127))</f>
        <v/>
      </c>
      <c r="O127">
        <f>IF(AND($C127&lt;&gt;"",ISNUMBER(--$D127)),LEFT($C127,1),"")</f>
        <v/>
      </c>
      <c r="P127">
        <f>IF(ISNUMBER(--$D127),--$D127,"")</f>
        <v/>
      </c>
      <c r="Q127">
        <f>IF(AND($O127&lt;&gt;"",$P127&lt;&gt;""),$O127&amp;TEXT($P127,"00"),"")</f>
        <v/>
      </c>
    </row>
    <row r="128">
      <c r="A128" t="inlineStr">
        <is>
          <t>DISPOSAL</t>
        </is>
      </c>
      <c r="B128" t="inlineStr">
        <is>
          <t>STAGE_IN</t>
        </is>
      </c>
      <c r="E128" t="inlineStr">
        <is>
          <t>SAMPLE: Retire destination</t>
        </is>
      </c>
      <c r="F128" t="n">
        <v>3</v>
      </c>
      <c r="H128">
        <f>A128</f>
        <v/>
      </c>
      <c r="I128" t="inlineStr">
        <is>
          <t>WH-OUTBOUND</t>
        </is>
      </c>
      <c r="J128">
        <f>IF($I128&lt;&gt;"",$I128,$A128)</f>
        <v/>
      </c>
      <c r="K128">
        <f>IF($C128="","",IF(LEN($C128)=1,CODE(UPPER($C128))-64,IFERROR(VALUE(MID($C128,2,99)),"")))</f>
        <v/>
      </c>
      <c r="L128">
        <f>IF($D128="","",IFERROR(VALUE($D128),""))</f>
        <v/>
      </c>
      <c r="M128">
        <f>IFERROR(VALUE(MID($A128,FIND("Level",$A128)+5,99)),IF($E128="AISLE_FLOOR",0,IF($E128="OVERFLOW",0,IF($E128="ENDCAP",0,""))))</f>
        <v/>
      </c>
      <c r="N128">
        <f>IF(AND($B128&lt;&gt;"",$C128&lt;&gt;"",ISNUMBER(--$D128)), $B128&amp;": "&amp;LEFT($C128,1)&amp;TEXT(--$D128,"00"), IF($I128&lt;&gt;"",$I128,$A128))</f>
        <v/>
      </c>
      <c r="O128">
        <f>IF(AND($C128&lt;&gt;"",ISNUMBER(--$D128)),LEFT($C128,1),"")</f>
        <v/>
      </c>
      <c r="P128">
        <f>IF(ISNUMBER(--$D128),--$D128,"")</f>
        <v/>
      </c>
      <c r="Q128">
        <f>IF(AND($O128&lt;&gt;"",$P128&lt;&gt;""),$O128&amp;TEXT($P128,"00"),"")</f>
        <v/>
      </c>
    </row>
    <row r="129">
      <c r="A129" t="inlineStr">
        <is>
          <t>OUTBOUND</t>
        </is>
      </c>
      <c r="B129" t="inlineStr">
        <is>
          <t>STAGE_IN</t>
        </is>
      </c>
      <c r="E129" t="inlineStr">
        <is>
          <t>SAMPLE: Ship destination</t>
        </is>
      </c>
      <c r="F129" t="n">
        <v>3</v>
      </c>
      <c r="H129">
        <f>A129</f>
        <v/>
      </c>
      <c r="I129" t="inlineStr">
        <is>
          <t>WH-Z1-AisleO-Bay3-Level2</t>
        </is>
      </c>
      <c r="J129">
        <f>IF($I129&lt;&gt;"",$I129,$A129)</f>
        <v/>
      </c>
      <c r="K129">
        <f>IF($C129="","",IF(LEN($C129)=1,CODE(UPPER($C129))-64,IFERROR(VALUE(MID($C129,2,99)),"")))</f>
        <v/>
      </c>
      <c r="L129">
        <f>IF($D129="","",IFERROR(VALUE($D129),""))</f>
        <v/>
      </c>
      <c r="M129">
        <f>IFERROR(VALUE(MID($A129,FIND("Level",$A129)+5,99)),IF($E129="AISLE_FLOOR",0,IF($E129="OVERFLOW",0,IF($E129="ENDCAP",0,""))))</f>
        <v/>
      </c>
      <c r="N129">
        <f>IF(AND($B129&lt;&gt;"",$C129&lt;&gt;"",ISNUMBER(--$D129)), $B129&amp;": "&amp;LEFT($C129,1)&amp;TEXT(--$D129,"00"), IF($I129&lt;&gt;"",$I129,$A129))</f>
        <v/>
      </c>
      <c r="O129">
        <f>IF(AND($C129&lt;&gt;"",ISNUMBER(--$D129)),LEFT($C129,1),"")</f>
        <v/>
      </c>
      <c r="P129">
        <f>IF(ISNUMBER(--$D129),--$D129,"")</f>
        <v/>
      </c>
      <c r="Q129">
        <f>IF(AND($O129&lt;&gt;"",$P129&lt;&gt;""),$O129&amp;TEXT($P129,"00"),"")</f>
        <v/>
      </c>
    </row>
    <row r="130">
      <c r="A130" t="inlineStr">
        <is>
          <t>ACTIVE</t>
        </is>
      </c>
      <c r="B130" t="inlineStr">
        <is>
          <t>Custom location code from Warehouse Ledger (details TBD).</t>
        </is>
      </c>
      <c r="E130" t="inlineStr">
        <is>
          <t>Overflow slot 01</t>
        </is>
      </c>
      <c r="F130" t="n">
        <v>3</v>
      </c>
      <c r="G130" t="n">
        <v>7</v>
      </c>
      <c r="H130">
        <f>A130</f>
        <v/>
      </c>
      <c r="I130" t="inlineStr">
        <is>
          <t>WH-Z1-AisleA-Bay1-Level3</t>
        </is>
      </c>
      <c r="J130">
        <f>IF($I130&lt;&gt;"",$I130,$A130)</f>
        <v/>
      </c>
      <c r="K130">
        <f>IF($C130="","",IF(LEN($C130)=1,CODE(UPPER($C130))-64,IFERROR(VALUE(MID($C130,2,99)),"")))</f>
        <v/>
      </c>
      <c r="L130">
        <f>IF($D130="","",IFERROR(VALUE($D130),""))</f>
        <v/>
      </c>
      <c r="M130">
        <f>IFERROR(VALUE(MID($A130,FIND("Level",$A130)+5,99)),IF($E130="AISLE_FLOOR",0,IF($E130="OVERFLOW",0,IF($E130="ENDCAP",0,""))))</f>
        <v/>
      </c>
      <c r="N130">
        <f>IF(AND($B130&lt;&gt;"",$C130&lt;&gt;"",ISNUMBER(--$D130)), $B130&amp;": "&amp;LEFT($C130,1)&amp;TEXT(--$D130,"00"), IF($I130&lt;&gt;"",$I130,$A130))</f>
        <v/>
      </c>
      <c r="O130">
        <f>IF(AND($C130&lt;&gt;"",ISNUMBER(--$D130)),LEFT($C130,1),"")</f>
        <v/>
      </c>
      <c r="P130">
        <f>IF(ISNUMBER(--$D130),--$D130,"")</f>
        <v/>
      </c>
      <c r="Q130">
        <f>IF(AND($O130&lt;&gt;"",$P130&lt;&gt;""),$O130&amp;TEXT($P130,"00"),"")</f>
        <v/>
      </c>
    </row>
    <row r="131">
      <c r="A131" t="inlineStr">
        <is>
          <t>O</t>
        </is>
      </c>
      <c r="B131" t="inlineStr">
        <is>
          <t>A01</t>
        </is>
      </c>
      <c r="C131" t="inlineStr">
        <is>
          <t>From Warehouse Ledger naming standard.</t>
        </is>
      </c>
      <c r="D131" t="n">
        <v>3</v>
      </c>
      <c r="E131" t="inlineStr">
        <is>
          <t>Between rows segment 01</t>
        </is>
      </c>
      <c r="F131" t="n">
        <v>4</v>
      </c>
      <c r="G131" t="n">
        <v>2</v>
      </c>
      <c r="H131">
        <f>A131</f>
        <v/>
      </c>
      <c r="I131" t="inlineStr">
        <is>
          <t>Zone 1 non-overflow section (naming standard).</t>
        </is>
      </c>
      <c r="J131">
        <f>IF($I131&lt;&gt;"",$I131,$A131)</f>
        <v/>
      </c>
      <c r="K131">
        <f>IF($C131="","",IF(LEN($C131)=1,CODE(UPPER($C131))-64,IFERROR(VALUE(MID($C131,2,99)),"")))</f>
        <v/>
      </c>
      <c r="L131">
        <f>IF($D131="","",IFERROR(VALUE($D131),""))</f>
        <v/>
      </c>
      <c r="M131">
        <f>IFERROR(VALUE(MID($A131,FIND("Level",$A131)+5,99)),IF($E131="AISLE_FLOOR",0,IF($E131="OVERFLOW",0,IF($E131="ENDCAP",0,""))))</f>
        <v/>
      </c>
      <c r="N131">
        <f>IF(AND($B131&lt;&gt;"",$C131&lt;&gt;"",ISNUMBER(--$D131)), $B131&amp;": "&amp;LEFT($C131,1)&amp;TEXT(--$D131,"00"), IF($I131&lt;&gt;"",$I131,$A131))</f>
        <v/>
      </c>
      <c r="O131">
        <f>IF(AND($C131&lt;&gt;"",ISNUMBER(--$D131)),LEFT($C131,1),"")</f>
        <v/>
      </c>
      <c r="P131">
        <f>IF(ISNUMBER(--$D131),--$D131,"")</f>
        <v/>
      </c>
      <c r="Q131">
        <f>IF(AND($O131&lt;&gt;"",$P131&lt;&gt;""),$O131&amp;TEXT($P131,"00"),"")</f>
        <v/>
      </c>
    </row>
    <row r="132">
      <c r="A132" t="inlineStr">
        <is>
          <t>48x T24i-30</t>
        </is>
      </c>
      <c r="B132" t="inlineStr">
        <is>
          <t>A01</t>
        </is>
      </c>
      <c r="E132" t="inlineStr">
        <is>
          <t>Overflow slot 01</t>
        </is>
      </c>
      <c r="F132" t="n">
        <v>3</v>
      </c>
      <c r="G132" t="n">
        <v>7</v>
      </c>
      <c r="H132">
        <f>A132</f>
        <v/>
      </c>
      <c r="I132" t="inlineStr">
        <is>
          <t>Timestamp</t>
        </is>
      </c>
      <c r="J132">
        <f>IF($I132&lt;&gt;"",$I132,$A132)</f>
        <v/>
      </c>
      <c r="K132">
        <f>IF($C132="","",IF(LEN($C132)=1,CODE(UPPER($C132))-64,IFERROR(VALUE(MID($C132,2,99)),"")))</f>
        <v/>
      </c>
      <c r="L132">
        <f>IF($D132="","",IFERROR(VALUE($D132),""))</f>
        <v/>
      </c>
      <c r="M132">
        <f>IFERROR(VALUE(MID($A132,FIND("Level",$A132)+5,99)),IF($E132="AISLE_FLOOR",0,IF($E132="OVERFLOW",0,IF($E132="ENDCAP",0,""))))</f>
        <v/>
      </c>
      <c r="N132">
        <f>IF(AND($B132&lt;&gt;"",$C132&lt;&gt;"",ISNUMBER(--$D132)), $B132&amp;": "&amp;LEFT($C132,1)&amp;TEXT(--$D132,"00"), IF($I132&lt;&gt;"",$I132,$A132))</f>
        <v/>
      </c>
      <c r="O132">
        <f>IF(AND($C132&lt;&gt;"",ISNUMBER(--$D132)),LEFT($C132,1),"")</f>
        <v/>
      </c>
      <c r="P132">
        <f>IF(ISNUMBER(--$D132),--$D132,"")</f>
        <v/>
      </c>
      <c r="Q132">
        <f>IF(AND($O132&lt;&gt;"",$P132&lt;&gt;""),$O132&amp;TEXT($P132,"00"),"")</f>
        <v/>
      </c>
    </row>
    <row r="133">
      <c r="A133" t="inlineStr">
        <is>
          <t>TEMP</t>
        </is>
      </c>
      <c r="H133">
        <f>A133</f>
        <v/>
      </c>
      <c r="J133">
        <f>IF($I133&lt;&gt;"",$I133,$A133)</f>
        <v/>
      </c>
      <c r="K133">
        <f>IF($C133="","",IF(LEN($C133)=1,CODE(UPPER($C133))-64,IFERROR(VALUE(MID($C133,2,99)),"")))</f>
        <v/>
      </c>
      <c r="L133">
        <f>IF($D133="","",IFERROR(VALUE($D133),""))</f>
        <v/>
      </c>
      <c r="M133">
        <f>IFERROR(VALUE(MID($A133,FIND("Level",$A133)+5,99)),IF($E133="AISLE_FLOOR",0,IF($E133="OVERFLOW",0,IF($E133="ENDCAP",0,""))))</f>
        <v/>
      </c>
      <c r="N133">
        <f>IF(AND($B133&lt;&gt;"",$C133&lt;&gt;"",ISNUMBER(--$D133)), $B133&amp;": "&amp;LEFT($C133,1)&amp;TEXT(--$D133,"00"), IF($I133&lt;&gt;"",$I133,$A133))</f>
        <v/>
      </c>
      <c r="O133">
        <f>IF(AND($C133&lt;&gt;"",ISNUMBER(--$D133)),LEFT($C133,1),"")</f>
        <v/>
      </c>
      <c r="P133">
        <f>IF(ISNUMBER(--$D133),--$D133,"")</f>
        <v/>
      </c>
      <c r="Q133">
        <f>IF(AND($O133&lt;&gt;"",$P133&lt;&gt;""),$O133&amp;TEXT($P133,"00"),"")</f>
        <v/>
      </c>
    </row>
    <row r="134">
      <c r="H134">
        <f>A134</f>
        <v/>
      </c>
      <c r="J134">
        <f>IF($I134&lt;&gt;"",$I134,$A134)</f>
        <v/>
      </c>
      <c r="K134">
        <f>IF($C134="","",IF(LEN($C134)=1,CODE(UPPER($C134))-64,IFERROR(VALUE(MID($C134,2,99)),"")))</f>
        <v/>
      </c>
      <c r="L134">
        <f>IF($D134="","",IFERROR(VALUE($D134),""))</f>
        <v/>
      </c>
      <c r="M134">
        <f>IFERROR(VALUE(MID($A134,FIND("Level",$A134)+5,99)),IF($E134="AISLE_FLOOR",0,IF($E134="OVERFLOW",0,IF($E134="ENDCAP",0,""))))</f>
        <v/>
      </c>
      <c r="N134">
        <f>IF(AND($B134&lt;&gt;"",$C134&lt;&gt;"",ISNUMBER(--$D134)), $B134&amp;": "&amp;LEFT($C134,1)&amp;TEXT(--$D134,"00"), IF($I134&lt;&gt;"",$I134,$A134))</f>
        <v/>
      </c>
      <c r="O134">
        <f>IF(AND($C134&lt;&gt;"",ISNUMBER(--$D134)),LEFT($C134,1),"")</f>
        <v/>
      </c>
      <c r="P134">
        <f>IF(ISNUMBER(--$D134),--$D134,"")</f>
        <v/>
      </c>
      <c r="Q134">
        <f>IF(AND($O134&lt;&gt;"",$P134&lt;&gt;""),$O134&amp;TEXT($P134,"00"),"")</f>
        <v/>
      </c>
    </row>
    <row r="135">
      <c r="H135">
        <f>A135</f>
        <v/>
      </c>
      <c r="J135">
        <f>IF($I135&lt;&gt;"",$I135,$A135)</f>
        <v/>
      </c>
      <c r="K135">
        <f>IF($C135="","",IF(LEN($C135)=1,CODE(UPPER($C135))-64,IFERROR(VALUE(MID($C135,2,99)),"")))</f>
        <v/>
      </c>
      <c r="L135">
        <f>IF($D135="","",IFERROR(VALUE($D135),""))</f>
        <v/>
      </c>
      <c r="M135">
        <f>IFERROR(VALUE(MID($A135,FIND("Level",$A135)+5,99)),IF($E135="AISLE_FLOOR",0,IF($E135="OVERFLOW",0,IF($E135="ENDCAP",0,""))))</f>
        <v/>
      </c>
      <c r="N135">
        <f>IF(AND($B135&lt;&gt;"",$C135&lt;&gt;"",ISNUMBER(--$D135)), $B135&amp;": "&amp;LEFT($C135,1)&amp;TEXT(--$D135,"00"), IF($I135&lt;&gt;"",$I135,$A135))</f>
        <v/>
      </c>
      <c r="O135">
        <f>IF(AND($C135&lt;&gt;"",ISNUMBER(--$D135)),LEFT($C135,1),"")</f>
        <v/>
      </c>
      <c r="P135">
        <f>IF(ISNUMBER(--$D135),--$D135,"")</f>
        <v/>
      </c>
      <c r="Q135">
        <f>IF(AND($O135&lt;&gt;"",$P135&lt;&gt;""),$O135&amp;TEXT($P135,"00"),"")</f>
        <v/>
      </c>
    </row>
    <row r="136">
      <c r="H136">
        <f>A136</f>
        <v/>
      </c>
      <c r="J136">
        <f>IF($I136&lt;&gt;"",$I136,$A136)</f>
        <v/>
      </c>
      <c r="K136">
        <f>IF($C136="","",IF(LEN($C136)=1,CODE(UPPER($C136))-64,IFERROR(VALUE(MID($C136,2,99)),"")))</f>
        <v/>
      </c>
      <c r="L136">
        <f>IF($D136="","",IFERROR(VALUE($D136),""))</f>
        <v/>
      </c>
      <c r="M136">
        <f>IFERROR(VALUE(MID($A136,FIND("Level",$A136)+5,99)),IF($E136="AISLE_FLOOR",0,IF($E136="OVERFLOW",0,IF($E136="ENDCAP",0,""))))</f>
        <v/>
      </c>
      <c r="N136">
        <f>IF(AND($B136&lt;&gt;"",$C136&lt;&gt;"",ISNUMBER(--$D136)), $B136&amp;": "&amp;LEFT($C136,1)&amp;TEXT(--$D136,"00"), IF($I136&lt;&gt;"",$I136,$A136))</f>
        <v/>
      </c>
      <c r="O136">
        <f>IF(AND($C136&lt;&gt;"",ISNUMBER(--$D136)),LEFT($C136,1),"")</f>
        <v/>
      </c>
      <c r="P136">
        <f>IF(ISNUMBER(--$D136),--$D136,"")</f>
        <v/>
      </c>
      <c r="Q136">
        <f>IF(AND($O136&lt;&gt;"",$P136&lt;&gt;""),$O136&amp;TEXT($P136,"00"),"")</f>
        <v/>
      </c>
    </row>
    <row r="137">
      <c r="H137">
        <f>A137</f>
        <v/>
      </c>
      <c r="J137">
        <f>IF($I137&lt;&gt;"",$I137,$A137)</f>
        <v/>
      </c>
      <c r="K137">
        <f>IF($C137="","",IF(LEN($C137)=1,CODE(UPPER($C137))-64,IFERROR(VALUE(MID($C137,2,99)),"")))</f>
        <v/>
      </c>
      <c r="L137">
        <f>IF($D137="","",IFERROR(VALUE($D137),""))</f>
        <v/>
      </c>
      <c r="M137">
        <f>IFERROR(VALUE(MID($A137,FIND("Level",$A137)+5,99)),IF($E137="AISLE_FLOOR",0,IF($E137="OVERFLOW",0,IF($E137="ENDCAP",0,""))))</f>
        <v/>
      </c>
      <c r="N137">
        <f>IF(AND($B137&lt;&gt;"",$C137&lt;&gt;"",ISNUMBER(--$D137)), $B137&amp;": "&amp;LEFT($C137,1)&amp;TEXT(--$D137,"00"), IF($I137&lt;&gt;"",$I137,$A137))</f>
        <v/>
      </c>
      <c r="O137">
        <f>IF(AND($C137&lt;&gt;"",ISNUMBER(--$D137)),LEFT($C137,1),"")</f>
        <v/>
      </c>
      <c r="P137">
        <f>IF(ISNUMBER(--$D137),--$D137,"")</f>
        <v/>
      </c>
      <c r="Q137">
        <f>IF(AND($O137&lt;&gt;"",$P137&lt;&gt;""),$O137&amp;TEXT($P137,"00"),"")</f>
        <v/>
      </c>
    </row>
    <row r="138">
      <c r="H138">
        <f>A138</f>
        <v/>
      </c>
      <c r="J138">
        <f>IF($I138&lt;&gt;"",$I138,$A138)</f>
        <v/>
      </c>
      <c r="K138">
        <f>IF($C138="","",IF(LEN($C138)=1,CODE(UPPER($C138))-64,IFERROR(VALUE(MID($C138,2,99)),"")))</f>
        <v/>
      </c>
      <c r="L138">
        <f>IF($D138="","",IFERROR(VALUE($D138),""))</f>
        <v/>
      </c>
      <c r="M138">
        <f>IFERROR(VALUE(MID($A138,FIND("Level",$A138)+5,99)),IF($E138="AISLE_FLOOR",0,IF($E138="OVERFLOW",0,IF($E138="ENDCAP",0,""))))</f>
        <v/>
      </c>
      <c r="N138">
        <f>IF(AND($B138&lt;&gt;"",$C138&lt;&gt;"",ISNUMBER(--$D138)), $B138&amp;": "&amp;LEFT($C138,1)&amp;TEXT(--$D138,"00"), IF($I138&lt;&gt;"",$I138,$A138))</f>
        <v/>
      </c>
      <c r="O138">
        <f>IF(AND($C138&lt;&gt;"",ISNUMBER(--$D138)),LEFT($C138,1),"")</f>
        <v/>
      </c>
      <c r="P138">
        <f>IF(ISNUMBER(--$D138),--$D138,"")</f>
        <v/>
      </c>
      <c r="Q138">
        <f>IF(AND($O138&lt;&gt;"",$P138&lt;&gt;""),$O138&amp;TEXT($P138,"00"),"")</f>
        <v/>
      </c>
    </row>
    <row r="139">
      <c r="H139">
        <f>A139</f>
        <v/>
      </c>
      <c r="J139">
        <f>IF($I139&lt;&gt;"",$I139,$A139)</f>
        <v/>
      </c>
      <c r="K139">
        <f>IF($C139="","",IF(LEN($C139)=1,CODE(UPPER($C139))-64,IFERROR(VALUE(MID($C139,2,99)),"")))</f>
        <v/>
      </c>
      <c r="L139">
        <f>IF($D139="","",IFERROR(VALUE($D139),""))</f>
        <v/>
      </c>
      <c r="M139">
        <f>IFERROR(VALUE(MID($A139,FIND("Level",$A139)+5,99)),IF($E139="AISLE_FLOOR",0,IF($E139="OVERFLOW",0,IF($E139="ENDCAP",0,""))))</f>
        <v/>
      </c>
      <c r="N139">
        <f>IF(AND($B139&lt;&gt;"",$C139&lt;&gt;"",ISNUMBER(--$D139)), $B139&amp;": "&amp;LEFT($C139,1)&amp;TEXT(--$D139,"00"), IF($I139&lt;&gt;"",$I139,$A139))</f>
        <v/>
      </c>
      <c r="O139">
        <f>IF(AND($C139&lt;&gt;"",ISNUMBER(--$D139)),LEFT($C139,1),"")</f>
        <v/>
      </c>
      <c r="P139">
        <f>IF(ISNUMBER(--$D139),--$D139,"")</f>
        <v/>
      </c>
      <c r="Q139">
        <f>IF(AND($O139&lt;&gt;"",$P139&lt;&gt;""),$O139&amp;TEXT($P139,"00"),"")</f>
        <v/>
      </c>
    </row>
    <row r="140">
      <c r="H140">
        <f>A140</f>
        <v/>
      </c>
      <c r="J140">
        <f>IF($I140&lt;&gt;"",$I140,$A140)</f>
        <v/>
      </c>
      <c r="K140">
        <f>IF($C140="","",IF(LEN($C140)=1,CODE(UPPER($C140))-64,IFERROR(VALUE(MID($C140,2,99)),"")))</f>
        <v/>
      </c>
      <c r="L140">
        <f>IF($D140="","",IFERROR(VALUE($D140),""))</f>
        <v/>
      </c>
      <c r="M140">
        <f>IFERROR(VALUE(MID($A140,FIND("Level",$A140)+5,99)),IF($E140="AISLE_FLOOR",0,IF($E140="OVERFLOW",0,IF($E140="ENDCAP",0,""))))</f>
        <v/>
      </c>
      <c r="N140">
        <f>IF(AND($B140&lt;&gt;"",$C140&lt;&gt;"",ISNUMBER(--$D140)), $B140&amp;": "&amp;LEFT($C140,1)&amp;TEXT(--$D140,"00"), IF($I140&lt;&gt;"",$I140,$A140))</f>
        <v/>
      </c>
      <c r="O140">
        <f>IF(AND($C140&lt;&gt;"",ISNUMBER(--$D140)),LEFT($C140,1),"")</f>
        <v/>
      </c>
      <c r="P140">
        <f>IF(ISNUMBER(--$D140),--$D140,"")</f>
        <v/>
      </c>
      <c r="Q140">
        <f>IF(AND($O140&lt;&gt;"",$P140&lt;&gt;""),$O140&amp;TEXT($P140,"00"),"")</f>
        <v/>
      </c>
    </row>
    <row r="141">
      <c r="H141">
        <f>A141</f>
        <v/>
      </c>
      <c r="J141">
        <f>IF($I141&lt;&gt;"",$I141,$A141)</f>
        <v/>
      </c>
      <c r="K141">
        <f>IF($C141="","",IF(LEN($C141)=1,CODE(UPPER($C141))-64,IFERROR(VALUE(MID($C141,2,99)),"")))</f>
        <v/>
      </c>
      <c r="L141">
        <f>IF($D141="","",IFERROR(VALUE($D141),""))</f>
        <v/>
      </c>
      <c r="M141">
        <f>IFERROR(VALUE(MID($A141,FIND("Level",$A141)+5,99)),IF($E141="AISLE_FLOOR",0,IF($E141="OVERFLOW",0,IF($E141="ENDCAP",0,""))))</f>
        <v/>
      </c>
      <c r="N141">
        <f>IF(AND($B141&lt;&gt;"",$C141&lt;&gt;"",ISNUMBER(--$D141)), $B141&amp;": "&amp;LEFT($C141,1)&amp;TEXT(--$D141,"00"), IF($I141&lt;&gt;"",$I141,$A141))</f>
        <v/>
      </c>
      <c r="O141">
        <f>IF(AND($C141&lt;&gt;"",ISNUMBER(--$D141)),LEFT($C141,1),"")</f>
        <v/>
      </c>
      <c r="P141">
        <f>IF(ISNUMBER(--$D141),--$D141,"")</f>
        <v/>
      </c>
      <c r="Q141">
        <f>IF(AND($O141&lt;&gt;"",$P141&lt;&gt;""),$O141&amp;TEXT($P141,"00"),"")</f>
        <v/>
      </c>
    </row>
    <row r="142">
      <c r="H142">
        <f>A142</f>
        <v/>
      </c>
      <c r="J142">
        <f>IF($I142&lt;&gt;"",$I142,$A142)</f>
        <v/>
      </c>
      <c r="K142">
        <f>IF($C142="","",IF(LEN($C142)=1,CODE(UPPER($C142))-64,IFERROR(VALUE(MID($C142,2,99)),"")))</f>
        <v/>
      </c>
      <c r="L142">
        <f>IF($D142="","",IFERROR(VALUE($D142),""))</f>
        <v/>
      </c>
      <c r="M142">
        <f>IFERROR(VALUE(MID($A142,FIND("Level",$A142)+5,99)),IF($E142="AISLE_FLOOR",0,IF($E142="OVERFLOW",0,IF($E142="ENDCAP",0,""))))</f>
        <v/>
      </c>
      <c r="N142">
        <f>IF(AND($B142&lt;&gt;"",$C142&lt;&gt;"",ISNUMBER(--$D142)), $B142&amp;": "&amp;LEFT($C142,1)&amp;TEXT(--$D142,"00"), IF($I142&lt;&gt;"",$I142,$A142))</f>
        <v/>
      </c>
      <c r="O142">
        <f>IF(AND($C142&lt;&gt;"",ISNUMBER(--$D142)),LEFT($C142,1),"")</f>
        <v/>
      </c>
      <c r="P142">
        <f>IF(ISNUMBER(--$D142),--$D142,"")</f>
        <v/>
      </c>
      <c r="Q142">
        <f>IF(AND($O142&lt;&gt;"",$P142&lt;&gt;""),$O142&amp;TEXT($P142,"00"),"")</f>
        <v/>
      </c>
    </row>
    <row r="143">
      <c r="H143">
        <f>A143</f>
        <v/>
      </c>
      <c r="J143">
        <f>IF($I143&lt;&gt;"",$I143,$A143)</f>
        <v/>
      </c>
      <c r="K143">
        <f>IF($C143="","",IF(LEN($C143)=1,CODE(UPPER($C143))-64,IFERROR(VALUE(MID($C143,2,99)),"")))</f>
        <v/>
      </c>
      <c r="L143">
        <f>IF($D143="","",IFERROR(VALUE($D143),""))</f>
        <v/>
      </c>
      <c r="M143">
        <f>IFERROR(VALUE(MID($A143,FIND("Level",$A143)+5,99)),IF($E143="AISLE_FLOOR",0,IF($E143="OVERFLOW",0,IF($E143="ENDCAP",0,""))))</f>
        <v/>
      </c>
      <c r="N143">
        <f>IF(AND($B143&lt;&gt;"",$C143&lt;&gt;"",ISNUMBER(--$D143)), $B143&amp;": "&amp;LEFT($C143,1)&amp;TEXT(--$D143,"00"), IF($I143&lt;&gt;"",$I143,$A143))</f>
        <v/>
      </c>
      <c r="O143">
        <f>IF(AND($C143&lt;&gt;"",ISNUMBER(--$D143)),LEFT($C143,1),"")</f>
        <v/>
      </c>
      <c r="P143">
        <f>IF(ISNUMBER(--$D143),--$D143,"")</f>
        <v/>
      </c>
      <c r="Q143">
        <f>IF(AND($O143&lt;&gt;"",$P143&lt;&gt;""),$O143&amp;TEXT($P143,"00"),"")</f>
        <v/>
      </c>
    </row>
    <row r="144">
      <c r="H144">
        <f>A144</f>
        <v/>
      </c>
      <c r="J144">
        <f>IF($I144&lt;&gt;"",$I144,$A144)</f>
        <v/>
      </c>
      <c r="K144">
        <f>IF($C144="","",IF(LEN($C144)=1,CODE(UPPER($C144))-64,IFERROR(VALUE(MID($C144,2,99)),"")))</f>
        <v/>
      </c>
      <c r="L144">
        <f>IF($D144="","",IFERROR(VALUE($D144),""))</f>
        <v/>
      </c>
      <c r="M144">
        <f>IFERROR(VALUE(MID($A144,FIND("Level",$A144)+5,99)),IF($E144="AISLE_FLOOR",0,IF($E144="OVERFLOW",0,IF($E144="ENDCAP",0,""))))</f>
        <v/>
      </c>
      <c r="N144">
        <f>IF(AND($B144&lt;&gt;"",$C144&lt;&gt;"",ISNUMBER(--$D144)), $B144&amp;": "&amp;LEFT($C144,1)&amp;TEXT(--$D144,"00"), IF($I144&lt;&gt;"",$I144,$A144))</f>
        <v/>
      </c>
      <c r="O144">
        <f>IF(AND($C144&lt;&gt;"",ISNUMBER(--$D144)),LEFT($C144,1),"")</f>
        <v/>
      </c>
      <c r="P144">
        <f>IF(ISNUMBER(--$D144),--$D144,"")</f>
        <v/>
      </c>
      <c r="Q144">
        <f>IF(AND($O144&lt;&gt;"",$P144&lt;&gt;""),$O144&amp;TEXT($P144,"00"),"")</f>
        <v/>
      </c>
    </row>
    <row r="145">
      <c r="H145">
        <f>A145</f>
        <v/>
      </c>
      <c r="J145">
        <f>IF($I145&lt;&gt;"",$I145,$A145)</f>
        <v/>
      </c>
      <c r="K145">
        <f>IF($C145="","",IF(LEN($C145)=1,CODE(UPPER($C145))-64,IFERROR(VALUE(MID($C145,2,99)),"")))</f>
        <v/>
      </c>
      <c r="L145">
        <f>IF($D145="","",IFERROR(VALUE($D145),""))</f>
        <v/>
      </c>
      <c r="M145">
        <f>IFERROR(VALUE(MID($A145,FIND("Level",$A145)+5,99)),IF($E145="AISLE_FLOOR",0,IF($E145="OVERFLOW",0,IF($E145="ENDCAP",0,""))))</f>
        <v/>
      </c>
      <c r="N145">
        <f>IF(AND($B145&lt;&gt;"",$C145&lt;&gt;"",ISNUMBER(--$D145)), $B145&amp;": "&amp;LEFT($C145,1)&amp;TEXT(--$D145,"00"), IF($I145&lt;&gt;"",$I145,$A145))</f>
        <v/>
      </c>
      <c r="O145">
        <f>IF(AND($C145&lt;&gt;"",ISNUMBER(--$D145)),LEFT($C145,1),"")</f>
        <v/>
      </c>
      <c r="P145">
        <f>IF(ISNUMBER(--$D145),--$D145,"")</f>
        <v/>
      </c>
      <c r="Q145">
        <f>IF(AND($O145&lt;&gt;"",$P145&lt;&gt;""),$O145&amp;TEXT($P145,"00"),"")</f>
        <v/>
      </c>
    </row>
    <row r="146">
      <c r="H146">
        <f>A146</f>
        <v/>
      </c>
      <c r="J146">
        <f>IF($I146&lt;&gt;"",$I146,$A146)</f>
        <v/>
      </c>
      <c r="K146">
        <f>IF($C146="","",IF(LEN($C146)=1,CODE(UPPER($C146))-64,IFERROR(VALUE(MID($C146,2,99)),"")))</f>
        <v/>
      </c>
      <c r="L146">
        <f>IF($D146="","",IFERROR(VALUE($D146),""))</f>
        <v/>
      </c>
      <c r="M146">
        <f>IFERROR(VALUE(MID($A146,FIND("Level",$A146)+5,99)),IF($E146="AISLE_FLOOR",0,IF($E146="OVERFLOW",0,IF($E146="ENDCAP",0,""))))</f>
        <v/>
      </c>
      <c r="N146">
        <f>IF(AND($B146&lt;&gt;"",$C146&lt;&gt;"",ISNUMBER(--$D146)), $B146&amp;": "&amp;LEFT($C146,1)&amp;TEXT(--$D146,"00"), IF($I146&lt;&gt;"",$I146,$A146))</f>
        <v/>
      </c>
      <c r="O146">
        <f>IF(AND($C146&lt;&gt;"",ISNUMBER(--$D146)),LEFT($C146,1),"")</f>
        <v/>
      </c>
      <c r="P146">
        <f>IF(ISNUMBER(--$D146),--$D146,"")</f>
        <v/>
      </c>
      <c r="Q146">
        <f>IF(AND($O146&lt;&gt;"",$P146&lt;&gt;""),$O146&amp;TEXT($P146,"00"),"")</f>
        <v/>
      </c>
    </row>
    <row r="147">
      <c r="H147">
        <f>A147</f>
        <v/>
      </c>
      <c r="J147">
        <f>IF($I147&lt;&gt;"",$I147,$A147)</f>
        <v/>
      </c>
      <c r="K147">
        <f>IF($C147="","",IF(LEN($C147)=1,CODE(UPPER($C147))-64,IFERROR(VALUE(MID($C147,2,99)),"")))</f>
        <v/>
      </c>
      <c r="L147">
        <f>IF($D147="","",IFERROR(VALUE($D147),""))</f>
        <v/>
      </c>
      <c r="M147">
        <f>IFERROR(VALUE(MID($A147,FIND("Level",$A147)+5,99)),IF($E147="AISLE_FLOOR",0,IF($E147="OVERFLOW",0,IF($E147="ENDCAP",0,""))))</f>
        <v/>
      </c>
      <c r="N147">
        <f>IF(AND($B147&lt;&gt;"",$C147&lt;&gt;"",ISNUMBER(--$D147)), $B147&amp;": "&amp;LEFT($C147,1)&amp;TEXT(--$D147,"00"), IF($I147&lt;&gt;"",$I147,$A147))</f>
        <v/>
      </c>
      <c r="O147">
        <f>IF(AND($C147&lt;&gt;"",ISNUMBER(--$D147)),LEFT($C147,1),"")</f>
        <v/>
      </c>
      <c r="P147">
        <f>IF(ISNUMBER(--$D147),--$D147,"")</f>
        <v/>
      </c>
      <c r="Q147">
        <f>IF(AND($O147&lt;&gt;"",$P147&lt;&gt;""),$O147&amp;TEXT($P147,"00"),"")</f>
        <v/>
      </c>
    </row>
    <row r="148">
      <c r="H148">
        <f>A148</f>
        <v/>
      </c>
      <c r="J148">
        <f>IF($I148&lt;&gt;"",$I148,$A148)</f>
        <v/>
      </c>
      <c r="K148">
        <f>IF($C148="","",IF(LEN($C148)=1,CODE(UPPER($C148))-64,IFERROR(VALUE(MID($C148,2,99)),"")))</f>
        <v/>
      </c>
      <c r="L148">
        <f>IF($D148="","",IFERROR(VALUE($D148),""))</f>
        <v/>
      </c>
      <c r="M148">
        <f>IFERROR(VALUE(MID($A148,FIND("Level",$A148)+5,99)),IF($E148="AISLE_FLOOR",0,IF($E148="OVERFLOW",0,IF($E148="ENDCAP",0,""))))</f>
        <v/>
      </c>
      <c r="N148">
        <f>IF(AND($B148&lt;&gt;"",$C148&lt;&gt;"",ISNUMBER(--$D148)), $B148&amp;": "&amp;LEFT($C148,1)&amp;TEXT(--$D148,"00"), IF($I148&lt;&gt;"",$I148,$A148))</f>
        <v/>
      </c>
      <c r="O148">
        <f>IF(AND($C148&lt;&gt;"",ISNUMBER(--$D148)),LEFT($C148,1),"")</f>
        <v/>
      </c>
      <c r="P148">
        <f>IF(ISNUMBER(--$D148),--$D148,"")</f>
        <v/>
      </c>
      <c r="Q148">
        <f>IF(AND($O148&lt;&gt;"",$P148&lt;&gt;""),$O148&amp;TEXT($P148,"00"),"")</f>
        <v/>
      </c>
    </row>
    <row r="149">
      <c r="H149">
        <f>A149</f>
        <v/>
      </c>
      <c r="J149">
        <f>IF($I149&lt;&gt;"",$I149,$A149)</f>
        <v/>
      </c>
      <c r="K149">
        <f>IF($C149="","",IF(LEN($C149)=1,CODE(UPPER($C149))-64,IFERROR(VALUE(MID($C149,2,99)),"")))</f>
        <v/>
      </c>
      <c r="L149">
        <f>IF($D149="","",IFERROR(VALUE($D149),""))</f>
        <v/>
      </c>
      <c r="M149">
        <f>IFERROR(VALUE(MID($A149,FIND("Level",$A149)+5,99)),IF($E149="AISLE_FLOOR",0,IF($E149="OVERFLOW",0,IF($E149="ENDCAP",0,""))))</f>
        <v/>
      </c>
      <c r="N149">
        <f>IF(AND($B149&lt;&gt;"",$C149&lt;&gt;"",ISNUMBER(--$D149)), $B149&amp;": "&amp;LEFT($C149,1)&amp;TEXT(--$D149,"00"), IF($I149&lt;&gt;"",$I149,$A149))</f>
        <v/>
      </c>
      <c r="O149">
        <f>IF(AND($C149&lt;&gt;"",ISNUMBER(--$D149)),LEFT($C149,1),"")</f>
        <v/>
      </c>
      <c r="P149">
        <f>IF(ISNUMBER(--$D149),--$D149,"")</f>
        <v/>
      </c>
      <c r="Q149">
        <f>IF(AND($O149&lt;&gt;"",$P149&lt;&gt;""),$O149&amp;TEXT($P149,"00"),"")</f>
        <v/>
      </c>
    </row>
    <row r="150">
      <c r="H150">
        <f>A150</f>
        <v/>
      </c>
      <c r="J150">
        <f>IF($I150&lt;&gt;"",$I150,$A150)</f>
        <v/>
      </c>
      <c r="K150">
        <f>IF($C150="","",IF(LEN($C150)=1,CODE(UPPER($C150))-64,IFERROR(VALUE(MID($C150,2,99)),"")))</f>
        <v/>
      </c>
      <c r="L150">
        <f>IF($D150="","",IFERROR(VALUE($D150),""))</f>
        <v/>
      </c>
      <c r="M150">
        <f>IFERROR(VALUE(MID($A150,FIND("Level",$A150)+5,99)),IF($E150="AISLE_FLOOR",0,IF($E150="OVERFLOW",0,IF($E150="ENDCAP",0,""))))</f>
        <v/>
      </c>
      <c r="N150">
        <f>IF(AND($B150&lt;&gt;"",$C150&lt;&gt;"",ISNUMBER(--$D150)), $B150&amp;": "&amp;LEFT($C150,1)&amp;TEXT(--$D150,"00"), IF($I150&lt;&gt;"",$I150,$A150))</f>
        <v/>
      </c>
      <c r="O150">
        <f>IF(AND($C150&lt;&gt;"",ISNUMBER(--$D150)),LEFT($C150,1),"")</f>
        <v/>
      </c>
      <c r="P150">
        <f>IF(ISNUMBER(--$D150),--$D150,"")</f>
        <v/>
      </c>
      <c r="Q150">
        <f>IF(AND($O150&lt;&gt;"",$P150&lt;&gt;""),$O150&amp;TEXT($P150,"00"),"")</f>
        <v/>
      </c>
    </row>
    <row r="151">
      <c r="H151">
        <f>A151</f>
        <v/>
      </c>
      <c r="J151">
        <f>IF($I151&lt;&gt;"",$I151,$A151)</f>
        <v/>
      </c>
      <c r="K151">
        <f>IF($C151="","",IF(LEN($C151)=1,CODE(UPPER($C151))-64,IFERROR(VALUE(MID($C151,2,99)),"")))</f>
        <v/>
      </c>
      <c r="L151">
        <f>IF($D151="","",IFERROR(VALUE($D151),""))</f>
        <v/>
      </c>
      <c r="M151">
        <f>IFERROR(VALUE(MID($A151,FIND("Level",$A151)+5,99)),IF($E151="AISLE_FLOOR",0,IF($E151="OVERFLOW",0,IF($E151="ENDCAP",0,""))))</f>
        <v/>
      </c>
      <c r="N151">
        <f>IF(AND($B151&lt;&gt;"",$C151&lt;&gt;"",ISNUMBER(--$D151)), $B151&amp;": "&amp;LEFT($C151,1)&amp;TEXT(--$D151,"00"), IF($I151&lt;&gt;"",$I151,$A151))</f>
        <v/>
      </c>
      <c r="O151">
        <f>IF(AND($C151&lt;&gt;"",ISNUMBER(--$D151)),LEFT($C151,1),"")</f>
        <v/>
      </c>
      <c r="P151">
        <f>IF(ISNUMBER(--$D151),--$D151,"")</f>
        <v/>
      </c>
      <c r="Q151">
        <f>IF(AND($O151&lt;&gt;"",$P151&lt;&gt;""),$O151&amp;TEXT($P151,"00"),"")</f>
        <v/>
      </c>
    </row>
    <row r="152">
      <c r="H152">
        <f>A152</f>
        <v/>
      </c>
      <c r="J152">
        <f>IF($I152&lt;&gt;"",$I152,$A152)</f>
        <v/>
      </c>
      <c r="K152">
        <f>IF($C152="","",IF(LEN($C152)=1,CODE(UPPER($C152))-64,IFERROR(VALUE(MID($C152,2,99)),"")))</f>
        <v/>
      </c>
      <c r="L152">
        <f>IF($D152="","",IFERROR(VALUE($D152),""))</f>
        <v/>
      </c>
      <c r="M152">
        <f>IFERROR(VALUE(MID($A152,FIND("Level",$A152)+5,99)),IF($E152="AISLE_FLOOR",0,IF($E152="OVERFLOW",0,IF($E152="ENDCAP",0,""))))</f>
        <v/>
      </c>
      <c r="N152">
        <f>IF(AND($B152&lt;&gt;"",$C152&lt;&gt;"",ISNUMBER(--$D152)), $B152&amp;": "&amp;LEFT($C152,1)&amp;TEXT(--$D152,"00"), IF($I152&lt;&gt;"",$I152,$A152))</f>
        <v/>
      </c>
      <c r="O152">
        <f>IF(AND($C152&lt;&gt;"",ISNUMBER(--$D152)),LEFT($C152,1),"")</f>
        <v/>
      </c>
      <c r="P152">
        <f>IF(ISNUMBER(--$D152),--$D152,"")</f>
        <v/>
      </c>
      <c r="Q152">
        <f>IF(AND($O152&lt;&gt;"",$P152&lt;&gt;""),$O152&amp;TEXT($P152,"00"),"")</f>
        <v/>
      </c>
    </row>
    <row r="153">
      <c r="H153">
        <f>A153</f>
        <v/>
      </c>
      <c r="J153">
        <f>IF($I153&lt;&gt;"",$I153,$A153)</f>
        <v/>
      </c>
      <c r="K153">
        <f>IF($C153="","",IF(LEN($C153)=1,CODE(UPPER($C153))-64,IFERROR(VALUE(MID($C153,2,99)),"")))</f>
        <v/>
      </c>
      <c r="L153">
        <f>IF($D153="","",IFERROR(VALUE($D153),""))</f>
        <v/>
      </c>
      <c r="M153">
        <f>IFERROR(VALUE(MID($A153,FIND("Level",$A153)+5,99)),IF($E153="AISLE_FLOOR",0,IF($E153="OVERFLOW",0,IF($E153="ENDCAP",0,""))))</f>
        <v/>
      </c>
      <c r="N153">
        <f>IF(AND($B153&lt;&gt;"",$C153&lt;&gt;"",ISNUMBER(--$D153)), $B153&amp;": "&amp;LEFT($C153,1)&amp;TEXT(--$D153,"00"), IF($I153&lt;&gt;"",$I153,$A153))</f>
        <v/>
      </c>
      <c r="O153">
        <f>IF(AND($C153&lt;&gt;"",ISNUMBER(--$D153)),LEFT($C153,1),"")</f>
        <v/>
      </c>
      <c r="P153">
        <f>IF(ISNUMBER(--$D153),--$D153,"")</f>
        <v/>
      </c>
      <c r="Q153">
        <f>IF(AND($O153&lt;&gt;"",$P153&lt;&gt;""),$O153&amp;TEXT($P153,"00"),"")</f>
        <v/>
      </c>
    </row>
    <row r="154">
      <c r="H154">
        <f>A154</f>
        <v/>
      </c>
      <c r="J154">
        <f>IF($I154&lt;&gt;"",$I154,$A154)</f>
        <v/>
      </c>
      <c r="K154">
        <f>IF($C154="","",IF(LEN($C154)=1,CODE(UPPER($C154))-64,IFERROR(VALUE(MID($C154,2,99)),"")))</f>
        <v/>
      </c>
      <c r="L154">
        <f>IF($D154="","",IFERROR(VALUE($D154),""))</f>
        <v/>
      </c>
      <c r="M154">
        <f>IFERROR(VALUE(MID($A154,FIND("Level",$A154)+5,99)),IF($E154="AISLE_FLOOR",0,IF($E154="OVERFLOW",0,IF($E154="ENDCAP",0,""))))</f>
        <v/>
      </c>
      <c r="N154">
        <f>IF(AND($B154&lt;&gt;"",$C154&lt;&gt;"",ISNUMBER(--$D154)), $B154&amp;": "&amp;LEFT($C154,1)&amp;TEXT(--$D154,"00"), IF($I154&lt;&gt;"",$I154,$A154))</f>
        <v/>
      </c>
      <c r="O154">
        <f>IF(AND($C154&lt;&gt;"",ISNUMBER(--$D154)),LEFT($C154,1),"")</f>
        <v/>
      </c>
      <c r="P154">
        <f>IF(ISNUMBER(--$D154),--$D154,"")</f>
        <v/>
      </c>
      <c r="Q154">
        <f>IF(AND($O154&lt;&gt;"",$P154&lt;&gt;""),$O154&amp;TEXT($P154,"00"),"")</f>
        <v/>
      </c>
    </row>
    <row r="155">
      <c r="H155">
        <f>A155</f>
        <v/>
      </c>
      <c r="J155">
        <f>IF($I155&lt;&gt;"",$I155,$A155)</f>
        <v/>
      </c>
      <c r="K155">
        <f>IF($C155="","",IF(LEN($C155)=1,CODE(UPPER($C155))-64,IFERROR(VALUE(MID($C155,2,99)),"")))</f>
        <v/>
      </c>
      <c r="L155">
        <f>IF($D155="","",IFERROR(VALUE($D155),""))</f>
        <v/>
      </c>
      <c r="M155">
        <f>IFERROR(VALUE(MID($A155,FIND("Level",$A155)+5,99)),IF($E155="AISLE_FLOOR",0,IF($E155="OVERFLOW",0,IF($E155="ENDCAP",0,""))))</f>
        <v/>
      </c>
      <c r="N155">
        <f>IF(AND($B155&lt;&gt;"",$C155&lt;&gt;"",ISNUMBER(--$D155)), $B155&amp;": "&amp;LEFT($C155,1)&amp;TEXT(--$D155,"00"), IF($I155&lt;&gt;"",$I155,$A155))</f>
        <v/>
      </c>
      <c r="O155">
        <f>IF(AND($C155&lt;&gt;"",ISNUMBER(--$D155)),LEFT($C155,1),"")</f>
        <v/>
      </c>
      <c r="P155">
        <f>IF(ISNUMBER(--$D155),--$D155,"")</f>
        <v/>
      </c>
      <c r="Q155">
        <f>IF(AND($O155&lt;&gt;"",$P155&lt;&gt;""),$O155&amp;TEXT($P155,"00"),"")</f>
        <v/>
      </c>
    </row>
    <row r="156">
      <c r="H156">
        <f>A156</f>
        <v/>
      </c>
      <c r="J156">
        <f>IF($I156&lt;&gt;"",$I156,$A156)</f>
        <v/>
      </c>
      <c r="K156">
        <f>IF($C156="","",IF(LEN($C156)=1,CODE(UPPER($C156))-64,IFERROR(VALUE(MID($C156,2,99)),"")))</f>
        <v/>
      </c>
      <c r="L156">
        <f>IF($D156="","",IFERROR(VALUE($D156),""))</f>
        <v/>
      </c>
      <c r="M156">
        <f>IFERROR(VALUE(MID($A156,FIND("Level",$A156)+5,99)),IF($E156="AISLE_FLOOR",0,IF($E156="OVERFLOW",0,IF($E156="ENDCAP",0,""))))</f>
        <v/>
      </c>
      <c r="N156">
        <f>IF(AND($B156&lt;&gt;"",$C156&lt;&gt;"",ISNUMBER(--$D156)), $B156&amp;": "&amp;LEFT($C156,1)&amp;TEXT(--$D156,"00"), IF($I156&lt;&gt;"",$I156,$A156))</f>
        <v/>
      </c>
      <c r="O156">
        <f>IF(AND($C156&lt;&gt;"",ISNUMBER(--$D156)),LEFT($C156,1),"")</f>
        <v/>
      </c>
      <c r="P156">
        <f>IF(ISNUMBER(--$D156),--$D156,"")</f>
        <v/>
      </c>
      <c r="Q156">
        <f>IF(AND($O156&lt;&gt;"",$P156&lt;&gt;""),$O156&amp;TEXT($P156,"00"),"")</f>
        <v/>
      </c>
    </row>
    <row r="157">
      <c r="H157">
        <f>A157</f>
        <v/>
      </c>
      <c r="J157">
        <f>IF($I157&lt;&gt;"",$I157,$A157)</f>
        <v/>
      </c>
      <c r="K157">
        <f>IF($C157="","",IF(LEN($C157)=1,CODE(UPPER($C157))-64,IFERROR(VALUE(MID($C157,2,99)),"")))</f>
        <v/>
      </c>
      <c r="L157">
        <f>IF($D157="","",IFERROR(VALUE($D157),""))</f>
        <v/>
      </c>
      <c r="M157">
        <f>IFERROR(VALUE(MID($A157,FIND("Level",$A157)+5,99)),IF($E157="AISLE_FLOOR",0,IF($E157="OVERFLOW",0,IF($E157="ENDCAP",0,""))))</f>
        <v/>
      </c>
      <c r="N157">
        <f>IF(AND($B157&lt;&gt;"",$C157&lt;&gt;"",ISNUMBER(--$D157)), $B157&amp;": "&amp;LEFT($C157,1)&amp;TEXT(--$D157,"00"), IF($I157&lt;&gt;"",$I157,$A157))</f>
        <v/>
      </c>
      <c r="O157">
        <f>IF(AND($C157&lt;&gt;"",ISNUMBER(--$D157)),LEFT($C157,1),"")</f>
        <v/>
      </c>
      <c r="P157">
        <f>IF(ISNUMBER(--$D157),--$D157,"")</f>
        <v/>
      </c>
      <c r="Q157">
        <f>IF(AND($O157&lt;&gt;"",$P157&lt;&gt;""),$O157&amp;TEXT($P157,"00"),"")</f>
        <v/>
      </c>
    </row>
    <row r="158">
      <c r="H158">
        <f>A158</f>
        <v/>
      </c>
      <c r="J158">
        <f>IF($I158&lt;&gt;"",$I158,$A158)</f>
        <v/>
      </c>
      <c r="K158">
        <f>IF($C158="","",IF(LEN($C158)=1,CODE(UPPER($C158))-64,IFERROR(VALUE(MID($C158,2,99)),"")))</f>
        <v/>
      </c>
      <c r="L158">
        <f>IF($D158="","",IFERROR(VALUE($D158),""))</f>
        <v/>
      </c>
      <c r="M158">
        <f>IFERROR(VALUE(MID($A158,FIND("Level",$A158)+5,99)),IF($E158="AISLE_FLOOR",0,IF($E158="OVERFLOW",0,IF($E158="ENDCAP",0,""))))</f>
        <v/>
      </c>
      <c r="N158">
        <f>IF(AND($B158&lt;&gt;"",$C158&lt;&gt;"",ISNUMBER(--$D158)), $B158&amp;": "&amp;LEFT($C158,1)&amp;TEXT(--$D158,"00"), IF($I158&lt;&gt;"",$I158,$A158))</f>
        <v/>
      </c>
      <c r="O158">
        <f>IF(AND($C158&lt;&gt;"",ISNUMBER(--$D158)),LEFT($C158,1),"")</f>
        <v/>
      </c>
      <c r="P158">
        <f>IF(ISNUMBER(--$D158),--$D158,"")</f>
        <v/>
      </c>
      <c r="Q158">
        <f>IF(AND($O158&lt;&gt;"",$P158&lt;&gt;""),$O158&amp;TEXT($P158,"00"),"")</f>
        <v/>
      </c>
    </row>
    <row r="159">
      <c r="H159">
        <f>A159</f>
        <v/>
      </c>
      <c r="J159">
        <f>IF($I159&lt;&gt;"",$I159,$A159)</f>
        <v/>
      </c>
      <c r="K159">
        <f>IF($C159="","",IF(LEN($C159)=1,CODE(UPPER($C159))-64,IFERROR(VALUE(MID($C159,2,99)),"")))</f>
        <v/>
      </c>
      <c r="L159">
        <f>IF($D159="","",IFERROR(VALUE($D159),""))</f>
        <v/>
      </c>
      <c r="M159">
        <f>IFERROR(VALUE(MID($A159,FIND("Level",$A159)+5,99)),IF($E159="AISLE_FLOOR",0,IF($E159="OVERFLOW",0,IF($E159="ENDCAP",0,""))))</f>
        <v/>
      </c>
      <c r="N159">
        <f>IF(AND($B159&lt;&gt;"",$C159&lt;&gt;"",ISNUMBER(--$D159)), $B159&amp;": "&amp;LEFT($C159,1)&amp;TEXT(--$D159,"00"), IF($I159&lt;&gt;"",$I159,$A159))</f>
        <v/>
      </c>
      <c r="O159">
        <f>IF(AND($C159&lt;&gt;"",ISNUMBER(--$D159)),LEFT($C159,1),"")</f>
        <v/>
      </c>
      <c r="P159">
        <f>IF(ISNUMBER(--$D159),--$D159,"")</f>
        <v/>
      </c>
      <c r="Q159">
        <f>IF(AND($O159&lt;&gt;"",$P159&lt;&gt;""),$O159&amp;TEXT($P159,"00"),"")</f>
        <v/>
      </c>
    </row>
    <row r="160">
      <c r="H160">
        <f>A160</f>
        <v/>
      </c>
      <c r="J160">
        <f>IF($I160&lt;&gt;"",$I160,$A160)</f>
        <v/>
      </c>
      <c r="K160">
        <f>IF($C160="","",IF(LEN($C160)=1,CODE(UPPER($C160))-64,IFERROR(VALUE(MID($C160,2,99)),"")))</f>
        <v/>
      </c>
      <c r="L160">
        <f>IF($D160="","",IFERROR(VALUE($D160),""))</f>
        <v/>
      </c>
      <c r="M160">
        <f>IFERROR(VALUE(MID($A160,FIND("Level",$A160)+5,99)),IF($E160="AISLE_FLOOR",0,IF($E160="OVERFLOW",0,IF($E160="ENDCAP",0,""))))</f>
        <v/>
      </c>
      <c r="N160">
        <f>IF(AND($B160&lt;&gt;"",$C160&lt;&gt;"",ISNUMBER(--$D160)), $B160&amp;": "&amp;LEFT($C160,1)&amp;TEXT(--$D160,"00"), IF($I160&lt;&gt;"",$I160,$A160))</f>
        <v/>
      </c>
      <c r="O160">
        <f>IF(AND($C160&lt;&gt;"",ISNUMBER(--$D160)),LEFT($C160,1),"")</f>
        <v/>
      </c>
      <c r="P160">
        <f>IF(ISNUMBER(--$D160),--$D160,"")</f>
        <v/>
      </c>
      <c r="Q160">
        <f>IF(AND($O160&lt;&gt;"",$P160&lt;&gt;""),$O160&amp;TEXT($P160,"00"),"")</f>
        <v/>
      </c>
    </row>
    <row r="161">
      <c r="H161">
        <f>A161</f>
        <v/>
      </c>
      <c r="J161">
        <f>IF($I161&lt;&gt;"",$I161,$A161)</f>
        <v/>
      </c>
      <c r="K161">
        <f>IF($C161="","",IF(LEN($C161)=1,CODE(UPPER($C161))-64,IFERROR(VALUE(MID($C161,2,99)),"")))</f>
        <v/>
      </c>
      <c r="L161">
        <f>IF($D161="","",IFERROR(VALUE($D161),""))</f>
        <v/>
      </c>
      <c r="M161">
        <f>IFERROR(VALUE(MID($A161,FIND("Level",$A161)+5,99)),IF($E161="AISLE_FLOOR",0,IF($E161="OVERFLOW",0,IF($E161="ENDCAP",0,""))))</f>
        <v/>
      </c>
      <c r="N161">
        <f>IF(AND($B161&lt;&gt;"",$C161&lt;&gt;"",ISNUMBER(--$D161)), $B161&amp;": "&amp;LEFT($C161,1)&amp;TEXT(--$D161,"00"), IF($I161&lt;&gt;"",$I161,$A161))</f>
        <v/>
      </c>
      <c r="O161">
        <f>IF(AND($C161&lt;&gt;"",ISNUMBER(--$D161)),LEFT($C161,1),"")</f>
        <v/>
      </c>
      <c r="P161">
        <f>IF(ISNUMBER(--$D161),--$D161,"")</f>
        <v/>
      </c>
      <c r="Q161">
        <f>IF(AND($O161&lt;&gt;"",$P161&lt;&gt;""),$O161&amp;TEXT($P161,"00"),"")</f>
        <v/>
      </c>
    </row>
    <row r="162">
      <c r="H162">
        <f>A162</f>
        <v/>
      </c>
      <c r="J162">
        <f>IF($I162&lt;&gt;"",$I162,$A162)</f>
        <v/>
      </c>
      <c r="K162">
        <f>IF($C162="","",IF(LEN($C162)=1,CODE(UPPER($C162))-64,IFERROR(VALUE(MID($C162,2,99)),"")))</f>
        <v/>
      </c>
      <c r="L162">
        <f>IF($D162="","",IFERROR(VALUE($D162),""))</f>
        <v/>
      </c>
      <c r="M162">
        <f>IFERROR(VALUE(MID($A162,FIND("Level",$A162)+5,99)),IF($E162="AISLE_FLOOR",0,IF($E162="OVERFLOW",0,IF($E162="ENDCAP",0,""))))</f>
        <v/>
      </c>
      <c r="N162">
        <f>IF(AND($B162&lt;&gt;"",$C162&lt;&gt;"",ISNUMBER(--$D162)), $B162&amp;": "&amp;LEFT($C162,1)&amp;TEXT(--$D162,"00"), IF($I162&lt;&gt;"",$I162,$A162))</f>
        <v/>
      </c>
      <c r="O162">
        <f>IF(AND($C162&lt;&gt;"",ISNUMBER(--$D162)),LEFT($C162,1),"")</f>
        <v/>
      </c>
      <c r="P162">
        <f>IF(ISNUMBER(--$D162),--$D162,"")</f>
        <v/>
      </c>
      <c r="Q162">
        <f>IF(AND($O162&lt;&gt;"",$P162&lt;&gt;""),$O162&amp;TEXT($P162,"00"),"")</f>
        <v/>
      </c>
    </row>
    <row r="163">
      <c r="H163">
        <f>A163</f>
        <v/>
      </c>
      <c r="J163">
        <f>IF($I163&lt;&gt;"",$I163,$A163)</f>
        <v/>
      </c>
      <c r="K163">
        <f>IF($C163="","",IF(LEN($C163)=1,CODE(UPPER($C163))-64,IFERROR(VALUE(MID($C163,2,99)),"")))</f>
        <v/>
      </c>
      <c r="L163">
        <f>IF($D163="","",IFERROR(VALUE($D163),""))</f>
        <v/>
      </c>
      <c r="M163">
        <f>IFERROR(VALUE(MID($A163,FIND("Level",$A163)+5,99)),IF($E163="AISLE_FLOOR",0,IF($E163="OVERFLOW",0,IF($E163="ENDCAP",0,""))))</f>
        <v/>
      </c>
      <c r="N163">
        <f>IF(AND($B163&lt;&gt;"",$C163&lt;&gt;"",ISNUMBER(--$D163)), $B163&amp;": "&amp;LEFT($C163,1)&amp;TEXT(--$D163,"00"), IF($I163&lt;&gt;"",$I163,$A163))</f>
        <v/>
      </c>
      <c r="O163">
        <f>IF(AND($C163&lt;&gt;"",ISNUMBER(--$D163)),LEFT($C163,1),"")</f>
        <v/>
      </c>
      <c r="P163">
        <f>IF(ISNUMBER(--$D163),--$D163,"")</f>
        <v/>
      </c>
      <c r="Q163">
        <f>IF(AND($O163&lt;&gt;"",$P163&lt;&gt;""),$O163&amp;TEXT($P163,"00"),"")</f>
        <v/>
      </c>
    </row>
    <row r="164">
      <c r="H164">
        <f>A164</f>
        <v/>
      </c>
      <c r="J164">
        <f>IF($I164&lt;&gt;"",$I164,$A164)</f>
        <v/>
      </c>
      <c r="K164">
        <f>IF($C164="","",IF(LEN($C164)=1,CODE(UPPER($C164))-64,IFERROR(VALUE(MID($C164,2,99)),"")))</f>
        <v/>
      </c>
      <c r="L164">
        <f>IF($D164="","",IFERROR(VALUE($D164),""))</f>
        <v/>
      </c>
      <c r="M164">
        <f>IFERROR(VALUE(MID($A164,FIND("Level",$A164)+5,99)),IF($E164="AISLE_FLOOR",0,IF($E164="OVERFLOW",0,IF($E164="ENDCAP",0,""))))</f>
        <v/>
      </c>
      <c r="N164">
        <f>IF(AND($B164&lt;&gt;"",$C164&lt;&gt;"",ISNUMBER(--$D164)), $B164&amp;": "&amp;LEFT($C164,1)&amp;TEXT(--$D164,"00"), IF($I164&lt;&gt;"",$I164,$A164))</f>
        <v/>
      </c>
      <c r="O164">
        <f>IF(AND($C164&lt;&gt;"",ISNUMBER(--$D164)),LEFT($C164,1),"")</f>
        <v/>
      </c>
      <c r="P164">
        <f>IF(ISNUMBER(--$D164),--$D164,"")</f>
        <v/>
      </c>
      <c r="Q164">
        <f>IF(AND($O164&lt;&gt;"",$P164&lt;&gt;""),$O164&amp;TEXT($P164,"00"),"")</f>
        <v/>
      </c>
    </row>
    <row r="165">
      <c r="H165">
        <f>A165</f>
        <v/>
      </c>
      <c r="J165">
        <f>IF($I165&lt;&gt;"",$I165,$A165)</f>
        <v/>
      </c>
      <c r="K165">
        <f>IF($C165="","",IF(LEN($C165)=1,CODE(UPPER($C165))-64,IFERROR(VALUE(MID($C165,2,99)),"")))</f>
        <v/>
      </c>
      <c r="L165">
        <f>IF($D165="","",IFERROR(VALUE($D165),""))</f>
        <v/>
      </c>
      <c r="M165">
        <f>IFERROR(VALUE(MID($A165,FIND("Level",$A165)+5,99)),IF($E165="AISLE_FLOOR",0,IF($E165="OVERFLOW",0,IF($E165="ENDCAP",0,""))))</f>
        <v/>
      </c>
      <c r="N165">
        <f>IF(AND($B165&lt;&gt;"",$C165&lt;&gt;"",ISNUMBER(--$D165)), $B165&amp;": "&amp;LEFT($C165,1)&amp;TEXT(--$D165,"00"), IF($I165&lt;&gt;"",$I165,$A165))</f>
        <v/>
      </c>
      <c r="O165">
        <f>IF(AND($C165&lt;&gt;"",ISNUMBER(--$D165)),LEFT($C165,1),"")</f>
        <v/>
      </c>
      <c r="P165">
        <f>IF(ISNUMBER(--$D165),--$D165,"")</f>
        <v/>
      </c>
      <c r="Q165">
        <f>IF(AND($O165&lt;&gt;"",$P165&lt;&gt;""),$O165&amp;TEXT($P165,"00"),"")</f>
        <v/>
      </c>
    </row>
    <row r="166">
      <c r="H166">
        <f>A166</f>
        <v/>
      </c>
      <c r="J166">
        <f>IF($I166&lt;&gt;"",$I166,$A166)</f>
        <v/>
      </c>
      <c r="K166">
        <f>IF($C166="","",IF(LEN($C166)=1,CODE(UPPER($C166))-64,IFERROR(VALUE(MID($C166,2,99)),"")))</f>
        <v/>
      </c>
      <c r="L166">
        <f>IF($D166="","",IFERROR(VALUE($D166),""))</f>
        <v/>
      </c>
      <c r="M166">
        <f>IFERROR(VALUE(MID($A166,FIND("Level",$A166)+5,99)),IF($E166="AISLE_FLOOR",0,IF($E166="OVERFLOW",0,IF($E166="ENDCAP",0,""))))</f>
        <v/>
      </c>
      <c r="N166">
        <f>IF(AND($B166&lt;&gt;"",$C166&lt;&gt;"",ISNUMBER(--$D166)), $B166&amp;": "&amp;LEFT($C166,1)&amp;TEXT(--$D166,"00"), IF($I166&lt;&gt;"",$I166,$A166))</f>
        <v/>
      </c>
      <c r="O166">
        <f>IF(AND($C166&lt;&gt;"",ISNUMBER(--$D166)),LEFT($C166,1),"")</f>
        <v/>
      </c>
      <c r="P166">
        <f>IF(ISNUMBER(--$D166),--$D166,"")</f>
        <v/>
      </c>
      <c r="Q166">
        <f>IF(AND($O166&lt;&gt;"",$P166&lt;&gt;""),$O166&amp;TEXT($P166,"00"),"")</f>
        <v/>
      </c>
    </row>
    <row r="167">
      <c r="H167">
        <f>A167</f>
        <v/>
      </c>
      <c r="J167">
        <f>IF($I167&lt;&gt;"",$I167,$A167)</f>
        <v/>
      </c>
      <c r="K167">
        <f>IF($C167="","",IF(LEN($C167)=1,CODE(UPPER($C167))-64,IFERROR(VALUE(MID($C167,2,99)),"")))</f>
        <v/>
      </c>
      <c r="L167">
        <f>IF($D167="","",IFERROR(VALUE($D167),""))</f>
        <v/>
      </c>
      <c r="M167">
        <f>IFERROR(VALUE(MID($A167,FIND("Level",$A167)+5,99)),IF($E167="AISLE_FLOOR",0,IF($E167="OVERFLOW",0,IF($E167="ENDCAP",0,""))))</f>
        <v/>
      </c>
      <c r="N167">
        <f>IF(AND($B167&lt;&gt;"",$C167&lt;&gt;"",ISNUMBER(--$D167)), $B167&amp;": "&amp;LEFT($C167,1)&amp;TEXT(--$D167,"00"), IF($I167&lt;&gt;"",$I167,$A167))</f>
        <v/>
      </c>
      <c r="O167">
        <f>IF(AND($C167&lt;&gt;"",ISNUMBER(--$D167)),LEFT($C167,1),"")</f>
        <v/>
      </c>
      <c r="P167">
        <f>IF(ISNUMBER(--$D167),--$D167,"")</f>
        <v/>
      </c>
      <c r="Q167">
        <f>IF(AND($O167&lt;&gt;"",$P167&lt;&gt;""),$O167&amp;TEXT($P167,"00"),"")</f>
        <v/>
      </c>
    </row>
    <row r="168">
      <c r="H168">
        <f>A168</f>
        <v/>
      </c>
      <c r="J168">
        <f>IF($I168&lt;&gt;"",$I168,$A168)</f>
        <v/>
      </c>
      <c r="K168">
        <f>IF($C168="","",IF(LEN($C168)=1,CODE(UPPER($C168))-64,IFERROR(VALUE(MID($C168,2,99)),"")))</f>
        <v/>
      </c>
      <c r="L168">
        <f>IF($D168="","",IFERROR(VALUE($D168),""))</f>
        <v/>
      </c>
      <c r="M168">
        <f>IFERROR(VALUE(MID($A168,FIND("Level",$A168)+5,99)),IF($E168="AISLE_FLOOR",0,IF($E168="OVERFLOW",0,IF($E168="ENDCAP",0,""))))</f>
        <v/>
      </c>
      <c r="N168">
        <f>IF(AND($B168&lt;&gt;"",$C168&lt;&gt;"",ISNUMBER(--$D168)), $B168&amp;": "&amp;LEFT($C168,1)&amp;TEXT(--$D168,"00"), IF($I168&lt;&gt;"",$I168,$A168))</f>
        <v/>
      </c>
      <c r="O168">
        <f>IF(AND($C168&lt;&gt;"",ISNUMBER(--$D168)),LEFT($C168,1),"")</f>
        <v/>
      </c>
      <c r="P168">
        <f>IF(ISNUMBER(--$D168),--$D168,"")</f>
        <v/>
      </c>
      <c r="Q168">
        <f>IF(AND($O168&lt;&gt;"",$P168&lt;&gt;""),$O168&amp;TEXT($P168,"00"),"")</f>
        <v/>
      </c>
    </row>
    <row r="169">
      <c r="H169">
        <f>A169</f>
        <v/>
      </c>
      <c r="J169">
        <f>IF($I169&lt;&gt;"",$I169,$A169)</f>
        <v/>
      </c>
      <c r="K169">
        <f>IF($C169="","",IF(LEN($C169)=1,CODE(UPPER($C169))-64,IFERROR(VALUE(MID($C169,2,99)),"")))</f>
        <v/>
      </c>
      <c r="L169">
        <f>IF($D169="","",IFERROR(VALUE($D169),""))</f>
        <v/>
      </c>
      <c r="M169">
        <f>IFERROR(VALUE(MID($A169,FIND("Level",$A169)+5,99)),IF($E169="AISLE_FLOOR",0,IF($E169="OVERFLOW",0,IF($E169="ENDCAP",0,""))))</f>
        <v/>
      </c>
      <c r="N169">
        <f>IF(AND($B169&lt;&gt;"",$C169&lt;&gt;"",ISNUMBER(--$D169)), $B169&amp;": "&amp;LEFT($C169,1)&amp;TEXT(--$D169,"00"), IF($I169&lt;&gt;"",$I169,$A169))</f>
        <v/>
      </c>
      <c r="O169">
        <f>IF(AND($C169&lt;&gt;"",ISNUMBER(--$D169)),LEFT($C169,1),"")</f>
        <v/>
      </c>
      <c r="P169">
        <f>IF(ISNUMBER(--$D169),--$D169,"")</f>
        <v/>
      </c>
      <c r="Q169">
        <f>IF(AND($O169&lt;&gt;"",$P169&lt;&gt;""),$O169&amp;TEXT($P169,"00"),"")</f>
        <v/>
      </c>
    </row>
    <row r="170">
      <c r="H170">
        <f>A170</f>
        <v/>
      </c>
      <c r="J170">
        <f>IF($I170&lt;&gt;"",$I170,$A170)</f>
        <v/>
      </c>
      <c r="K170">
        <f>IF($C170="","",IF(LEN($C170)=1,CODE(UPPER($C170))-64,IFERROR(VALUE(MID($C170,2,99)),"")))</f>
        <v/>
      </c>
      <c r="L170">
        <f>IF($D170="","",IFERROR(VALUE($D170),""))</f>
        <v/>
      </c>
      <c r="M170">
        <f>IFERROR(VALUE(MID($A170,FIND("Level",$A170)+5,99)),IF($E170="AISLE_FLOOR",0,IF($E170="OVERFLOW",0,IF($E170="ENDCAP",0,""))))</f>
        <v/>
      </c>
      <c r="N170">
        <f>IF(AND($B170&lt;&gt;"",$C170&lt;&gt;"",ISNUMBER(--$D170)), $B170&amp;": "&amp;LEFT($C170,1)&amp;TEXT(--$D170,"00"), IF($I170&lt;&gt;"",$I170,$A170))</f>
        <v/>
      </c>
      <c r="O170">
        <f>IF(AND($C170&lt;&gt;"",ISNUMBER(--$D170)),LEFT($C170,1),"")</f>
        <v/>
      </c>
      <c r="P170">
        <f>IF(ISNUMBER(--$D170),--$D170,"")</f>
        <v/>
      </c>
      <c r="Q170">
        <f>IF(AND($O170&lt;&gt;"",$P170&lt;&gt;""),$O170&amp;TEXT($P170,"00"),"")</f>
        <v/>
      </c>
    </row>
    <row r="171">
      <c r="H171">
        <f>A171</f>
        <v/>
      </c>
      <c r="J171">
        <f>IF($I171&lt;&gt;"",$I171,$A171)</f>
        <v/>
      </c>
      <c r="K171">
        <f>IF($C171="","",IF(LEN($C171)=1,CODE(UPPER($C171))-64,IFERROR(VALUE(MID($C171,2,99)),"")))</f>
        <v/>
      </c>
      <c r="L171">
        <f>IF($D171="","",IFERROR(VALUE($D171),""))</f>
        <v/>
      </c>
      <c r="M171">
        <f>IFERROR(VALUE(MID($A171,FIND("Level",$A171)+5,99)),IF($E171="AISLE_FLOOR",0,IF($E171="OVERFLOW",0,IF($E171="ENDCAP",0,""))))</f>
        <v/>
      </c>
      <c r="N171">
        <f>IF(AND($B171&lt;&gt;"",$C171&lt;&gt;"",ISNUMBER(--$D171)), $B171&amp;": "&amp;LEFT($C171,1)&amp;TEXT(--$D171,"00"), IF($I171&lt;&gt;"",$I171,$A171))</f>
        <v/>
      </c>
      <c r="O171">
        <f>IF(AND($C171&lt;&gt;"",ISNUMBER(--$D171)),LEFT($C171,1),"")</f>
        <v/>
      </c>
      <c r="P171">
        <f>IF(ISNUMBER(--$D171),--$D171,"")</f>
        <v/>
      </c>
      <c r="Q171">
        <f>IF(AND($O171&lt;&gt;"",$P171&lt;&gt;""),$O171&amp;TEXT($P171,"00"),"")</f>
        <v/>
      </c>
    </row>
    <row r="172">
      <c r="H172">
        <f>A172</f>
        <v/>
      </c>
      <c r="J172">
        <f>IF($I172&lt;&gt;"",$I172,$A172)</f>
        <v/>
      </c>
      <c r="K172">
        <f>IF($C172="","",IF(LEN($C172)=1,CODE(UPPER($C172))-64,IFERROR(VALUE(MID($C172,2,99)),"")))</f>
        <v/>
      </c>
      <c r="L172">
        <f>IF($D172="","",IFERROR(VALUE($D172),""))</f>
        <v/>
      </c>
      <c r="M172">
        <f>IFERROR(VALUE(MID($A172,FIND("Level",$A172)+5,99)),IF($E172="AISLE_FLOOR",0,IF($E172="OVERFLOW",0,IF($E172="ENDCAP",0,""))))</f>
        <v/>
      </c>
      <c r="N172">
        <f>IF(AND($B172&lt;&gt;"",$C172&lt;&gt;"",ISNUMBER(--$D172)), $B172&amp;": "&amp;LEFT($C172,1)&amp;TEXT(--$D172,"00"), IF($I172&lt;&gt;"",$I172,$A172))</f>
        <v/>
      </c>
      <c r="O172">
        <f>IF(AND($C172&lt;&gt;"",ISNUMBER(--$D172)),LEFT($C172,1),"")</f>
        <v/>
      </c>
      <c r="P172">
        <f>IF(ISNUMBER(--$D172),--$D172,"")</f>
        <v/>
      </c>
      <c r="Q172">
        <f>IF(AND($O172&lt;&gt;"",$P172&lt;&gt;""),$O172&amp;TEXT($P172,"00"),"")</f>
        <v/>
      </c>
    </row>
    <row r="173">
      <c r="H173">
        <f>A173</f>
        <v/>
      </c>
      <c r="J173">
        <f>IF($I173&lt;&gt;"",$I173,$A173)</f>
        <v/>
      </c>
      <c r="K173">
        <f>IF($C173="","",IF(LEN($C173)=1,CODE(UPPER($C173))-64,IFERROR(VALUE(MID($C173,2,99)),"")))</f>
        <v/>
      </c>
      <c r="L173">
        <f>IF($D173="","",IFERROR(VALUE($D173),""))</f>
        <v/>
      </c>
      <c r="M173">
        <f>IFERROR(VALUE(MID($A173,FIND("Level",$A173)+5,99)),IF($E173="AISLE_FLOOR",0,IF($E173="OVERFLOW",0,IF($E173="ENDCAP",0,""))))</f>
        <v/>
      </c>
      <c r="N173">
        <f>IF(AND($B173&lt;&gt;"",$C173&lt;&gt;"",ISNUMBER(--$D173)), $B173&amp;": "&amp;LEFT($C173,1)&amp;TEXT(--$D173,"00"), IF($I173&lt;&gt;"",$I173,$A173))</f>
        <v/>
      </c>
      <c r="O173">
        <f>IF(AND($C173&lt;&gt;"",ISNUMBER(--$D173)),LEFT($C173,1),"")</f>
        <v/>
      </c>
      <c r="P173">
        <f>IF(ISNUMBER(--$D173),--$D173,"")</f>
        <v/>
      </c>
      <c r="Q173">
        <f>IF(AND($O173&lt;&gt;"",$P173&lt;&gt;""),$O173&amp;TEXT($P173,"00"),"")</f>
        <v/>
      </c>
    </row>
    <row r="174">
      <c r="H174">
        <f>A174</f>
        <v/>
      </c>
      <c r="J174">
        <f>IF($I174&lt;&gt;"",$I174,$A174)</f>
        <v/>
      </c>
      <c r="K174">
        <f>IF($C174="","",IF(LEN($C174)=1,CODE(UPPER($C174))-64,IFERROR(VALUE(MID($C174,2,99)),"")))</f>
        <v/>
      </c>
      <c r="L174">
        <f>IF($D174="","",IFERROR(VALUE($D174),""))</f>
        <v/>
      </c>
      <c r="M174">
        <f>IFERROR(VALUE(MID($A174,FIND("Level",$A174)+5,99)),IF($E174="AISLE_FLOOR",0,IF($E174="OVERFLOW",0,IF($E174="ENDCAP",0,""))))</f>
        <v/>
      </c>
      <c r="N174">
        <f>IF(AND($B174&lt;&gt;"",$C174&lt;&gt;"",ISNUMBER(--$D174)), $B174&amp;": "&amp;LEFT($C174,1)&amp;TEXT(--$D174,"00"), IF($I174&lt;&gt;"",$I174,$A174))</f>
        <v/>
      </c>
      <c r="O174">
        <f>IF(AND($C174&lt;&gt;"",ISNUMBER(--$D174)),LEFT($C174,1),"")</f>
        <v/>
      </c>
      <c r="P174">
        <f>IF(ISNUMBER(--$D174),--$D174,"")</f>
        <v/>
      </c>
      <c r="Q174">
        <f>IF(AND($O174&lt;&gt;"",$P174&lt;&gt;""),$O174&amp;TEXT($P174,"00"),"")</f>
        <v/>
      </c>
    </row>
    <row r="175">
      <c r="H175">
        <f>A175</f>
        <v/>
      </c>
      <c r="J175">
        <f>IF($I175&lt;&gt;"",$I175,$A175)</f>
        <v/>
      </c>
      <c r="K175">
        <f>IF($C175="","",IF(LEN($C175)=1,CODE(UPPER($C175))-64,IFERROR(VALUE(MID($C175,2,99)),"")))</f>
        <v/>
      </c>
      <c r="L175">
        <f>IF($D175="","",IFERROR(VALUE($D175),""))</f>
        <v/>
      </c>
      <c r="M175">
        <f>IFERROR(VALUE(MID($A175,FIND("Level",$A175)+5,99)),IF($E175="AISLE_FLOOR",0,IF($E175="OVERFLOW",0,IF($E175="ENDCAP",0,""))))</f>
        <v/>
      </c>
      <c r="N175">
        <f>IF(AND($B175&lt;&gt;"",$C175&lt;&gt;"",ISNUMBER(--$D175)), $B175&amp;": "&amp;LEFT($C175,1)&amp;TEXT(--$D175,"00"), IF($I175&lt;&gt;"",$I175,$A175))</f>
        <v/>
      </c>
      <c r="O175">
        <f>IF(AND($C175&lt;&gt;"",ISNUMBER(--$D175)),LEFT($C175,1),"")</f>
        <v/>
      </c>
      <c r="P175">
        <f>IF(ISNUMBER(--$D175),--$D175,"")</f>
        <v/>
      </c>
      <c r="Q175">
        <f>IF(AND($O175&lt;&gt;"",$P175&lt;&gt;""),$O175&amp;TEXT($P175,"00"),"")</f>
        <v/>
      </c>
    </row>
    <row r="176">
      <c r="H176">
        <f>A176</f>
        <v/>
      </c>
      <c r="J176">
        <f>IF($I176&lt;&gt;"",$I176,$A176)</f>
        <v/>
      </c>
      <c r="K176">
        <f>IF($C176="","",IF(LEN($C176)=1,CODE(UPPER($C176))-64,IFERROR(VALUE(MID($C176,2,99)),"")))</f>
        <v/>
      </c>
      <c r="L176">
        <f>IF($D176="","",IFERROR(VALUE($D176),""))</f>
        <v/>
      </c>
      <c r="M176">
        <f>IFERROR(VALUE(MID($A176,FIND("Level",$A176)+5,99)),IF($E176="AISLE_FLOOR",0,IF($E176="OVERFLOW",0,IF($E176="ENDCAP",0,""))))</f>
        <v/>
      </c>
      <c r="N176">
        <f>IF(AND($B176&lt;&gt;"",$C176&lt;&gt;"",ISNUMBER(--$D176)), $B176&amp;": "&amp;LEFT($C176,1)&amp;TEXT(--$D176,"00"), IF($I176&lt;&gt;"",$I176,$A176))</f>
        <v/>
      </c>
      <c r="O176">
        <f>IF(AND($C176&lt;&gt;"",ISNUMBER(--$D176)),LEFT($C176,1),"")</f>
        <v/>
      </c>
      <c r="P176">
        <f>IF(ISNUMBER(--$D176),--$D176,"")</f>
        <v/>
      </c>
      <c r="Q176">
        <f>IF(AND($O176&lt;&gt;"",$P176&lt;&gt;""),$O176&amp;TEXT($P176,"00"),"")</f>
        <v/>
      </c>
    </row>
    <row r="177">
      <c r="H177">
        <f>A177</f>
        <v/>
      </c>
      <c r="J177">
        <f>IF($I177&lt;&gt;"",$I177,$A177)</f>
        <v/>
      </c>
      <c r="K177">
        <f>IF($C177="","",IF(LEN($C177)=1,CODE(UPPER($C177))-64,IFERROR(VALUE(MID($C177,2,99)),"")))</f>
        <v/>
      </c>
      <c r="L177">
        <f>IF($D177="","",IFERROR(VALUE($D177),""))</f>
        <v/>
      </c>
      <c r="M177">
        <f>IFERROR(VALUE(MID($A177,FIND("Level",$A177)+5,99)),IF($E177="AISLE_FLOOR",0,IF($E177="OVERFLOW",0,IF($E177="ENDCAP",0,""))))</f>
        <v/>
      </c>
      <c r="N177">
        <f>IF(AND($B177&lt;&gt;"",$C177&lt;&gt;"",ISNUMBER(--$D177)), $B177&amp;": "&amp;LEFT($C177,1)&amp;TEXT(--$D177,"00"), IF($I177&lt;&gt;"",$I177,$A177))</f>
        <v/>
      </c>
      <c r="O177">
        <f>IF(AND($C177&lt;&gt;"",ISNUMBER(--$D177)),LEFT($C177,1),"")</f>
        <v/>
      </c>
      <c r="P177">
        <f>IF(ISNUMBER(--$D177),--$D177,"")</f>
        <v/>
      </c>
      <c r="Q177">
        <f>IF(AND($O177&lt;&gt;"",$P177&lt;&gt;""),$O177&amp;TEXT($P177,"00"),"")</f>
        <v/>
      </c>
    </row>
    <row r="178">
      <c r="H178">
        <f>A178</f>
        <v/>
      </c>
      <c r="J178">
        <f>IF($I178&lt;&gt;"",$I178,$A178)</f>
        <v/>
      </c>
      <c r="K178">
        <f>IF($C178="","",IF(LEN($C178)=1,CODE(UPPER($C178))-64,IFERROR(VALUE(MID($C178,2,99)),"")))</f>
        <v/>
      </c>
      <c r="L178">
        <f>IF($D178="","",IFERROR(VALUE($D178),""))</f>
        <v/>
      </c>
      <c r="M178">
        <f>IFERROR(VALUE(MID($A178,FIND("Level",$A178)+5,99)),IF($E178="AISLE_FLOOR",0,IF($E178="OVERFLOW",0,IF($E178="ENDCAP",0,""))))</f>
        <v/>
      </c>
      <c r="N178">
        <f>IF(AND($B178&lt;&gt;"",$C178&lt;&gt;"",ISNUMBER(--$D178)), $B178&amp;": "&amp;LEFT($C178,1)&amp;TEXT(--$D178,"00"), IF($I178&lt;&gt;"",$I178,$A178))</f>
        <v/>
      </c>
      <c r="O178">
        <f>IF(AND($C178&lt;&gt;"",ISNUMBER(--$D178)),LEFT($C178,1),"")</f>
        <v/>
      </c>
      <c r="P178">
        <f>IF(ISNUMBER(--$D178),--$D178,"")</f>
        <v/>
      </c>
      <c r="Q178">
        <f>IF(AND($O178&lt;&gt;"",$P178&lt;&gt;""),$O178&amp;TEXT($P178,"00"),"")</f>
        <v/>
      </c>
    </row>
    <row r="179">
      <c r="H179">
        <f>A179</f>
        <v/>
      </c>
      <c r="J179">
        <f>IF($I179&lt;&gt;"",$I179,$A179)</f>
        <v/>
      </c>
      <c r="K179">
        <f>IF($C179="","",IF(LEN($C179)=1,CODE(UPPER($C179))-64,IFERROR(VALUE(MID($C179,2,99)),"")))</f>
        <v/>
      </c>
      <c r="L179">
        <f>IF($D179="","",IFERROR(VALUE($D179),""))</f>
        <v/>
      </c>
      <c r="M179">
        <f>IFERROR(VALUE(MID($A179,FIND("Level",$A179)+5,99)),IF($E179="AISLE_FLOOR",0,IF($E179="OVERFLOW",0,IF($E179="ENDCAP",0,""))))</f>
        <v/>
      </c>
      <c r="N179">
        <f>IF(AND($B179&lt;&gt;"",$C179&lt;&gt;"",ISNUMBER(--$D179)), $B179&amp;": "&amp;LEFT($C179,1)&amp;TEXT(--$D179,"00"), IF($I179&lt;&gt;"",$I179,$A179))</f>
        <v/>
      </c>
      <c r="O179">
        <f>IF(AND($C179&lt;&gt;"",ISNUMBER(--$D179)),LEFT($C179,1),"")</f>
        <v/>
      </c>
      <c r="P179">
        <f>IF(ISNUMBER(--$D179),--$D179,"")</f>
        <v/>
      </c>
      <c r="Q179">
        <f>IF(AND($O179&lt;&gt;"",$P179&lt;&gt;""),$O179&amp;TEXT($P179,"00"),"")</f>
        <v/>
      </c>
    </row>
    <row r="180">
      <c r="H180">
        <f>A180</f>
        <v/>
      </c>
      <c r="J180">
        <f>IF($I180&lt;&gt;"",$I180,$A180)</f>
        <v/>
      </c>
      <c r="K180">
        <f>IF($C180="","",IF(LEN($C180)=1,CODE(UPPER($C180))-64,IFERROR(VALUE(MID($C180,2,99)),"")))</f>
        <v/>
      </c>
      <c r="L180">
        <f>IF($D180="","",IFERROR(VALUE($D180),""))</f>
        <v/>
      </c>
      <c r="M180">
        <f>IFERROR(VALUE(MID($A180,FIND("Level",$A180)+5,99)),IF($E180="AISLE_FLOOR",0,IF($E180="OVERFLOW",0,IF($E180="ENDCAP",0,""))))</f>
        <v/>
      </c>
      <c r="N180">
        <f>IF(AND($B180&lt;&gt;"",$C180&lt;&gt;"",ISNUMBER(--$D180)), $B180&amp;": "&amp;LEFT($C180,1)&amp;TEXT(--$D180,"00"), IF($I180&lt;&gt;"",$I180,$A180))</f>
        <v/>
      </c>
      <c r="O180">
        <f>IF(AND($C180&lt;&gt;"",ISNUMBER(--$D180)),LEFT($C180,1),"")</f>
        <v/>
      </c>
      <c r="P180">
        <f>IF(ISNUMBER(--$D180),--$D180,"")</f>
        <v/>
      </c>
      <c r="Q180">
        <f>IF(AND($O180&lt;&gt;"",$P180&lt;&gt;""),$O180&amp;TEXT($P180,"00"),"")</f>
        <v/>
      </c>
    </row>
    <row r="181">
      <c r="H181">
        <f>A181</f>
        <v/>
      </c>
      <c r="J181">
        <f>IF($I181&lt;&gt;"",$I181,$A181)</f>
        <v/>
      </c>
      <c r="K181">
        <f>IF($C181="","",IF(LEN($C181)=1,CODE(UPPER($C181))-64,IFERROR(VALUE(MID($C181,2,99)),"")))</f>
        <v/>
      </c>
      <c r="L181">
        <f>IF($D181="","",IFERROR(VALUE($D181),""))</f>
        <v/>
      </c>
      <c r="M181">
        <f>IFERROR(VALUE(MID($A181,FIND("Level",$A181)+5,99)),IF($E181="AISLE_FLOOR",0,IF($E181="OVERFLOW",0,IF($E181="ENDCAP",0,""))))</f>
        <v/>
      </c>
      <c r="N181">
        <f>IF(AND($B181&lt;&gt;"",$C181&lt;&gt;"",ISNUMBER(--$D181)), $B181&amp;": "&amp;LEFT($C181,1)&amp;TEXT(--$D181,"00"), IF($I181&lt;&gt;"",$I181,$A181))</f>
        <v/>
      </c>
      <c r="O181">
        <f>IF(AND($C181&lt;&gt;"",ISNUMBER(--$D181)),LEFT($C181,1),"")</f>
        <v/>
      </c>
      <c r="P181">
        <f>IF(ISNUMBER(--$D181),--$D181,"")</f>
        <v/>
      </c>
      <c r="Q181">
        <f>IF(AND($O181&lt;&gt;"",$P181&lt;&gt;""),$O181&amp;TEXT($P181,"00"),"")</f>
        <v/>
      </c>
    </row>
    <row r="182">
      <c r="H182">
        <f>A182</f>
        <v/>
      </c>
      <c r="J182">
        <f>IF($I182&lt;&gt;"",$I182,$A182)</f>
        <v/>
      </c>
      <c r="K182">
        <f>IF($C182="","",IF(LEN($C182)=1,CODE(UPPER($C182))-64,IFERROR(VALUE(MID($C182,2,99)),"")))</f>
        <v/>
      </c>
      <c r="L182">
        <f>IF($D182="","",IFERROR(VALUE($D182),""))</f>
        <v/>
      </c>
      <c r="M182">
        <f>IFERROR(VALUE(MID($A182,FIND("Level",$A182)+5,99)),IF($E182="AISLE_FLOOR",0,IF($E182="OVERFLOW",0,IF($E182="ENDCAP",0,""))))</f>
        <v/>
      </c>
      <c r="N182">
        <f>IF(AND($B182&lt;&gt;"",$C182&lt;&gt;"",ISNUMBER(--$D182)), $B182&amp;": "&amp;LEFT($C182,1)&amp;TEXT(--$D182,"00"), IF($I182&lt;&gt;"",$I182,$A182))</f>
        <v/>
      </c>
      <c r="O182">
        <f>IF(AND($C182&lt;&gt;"",ISNUMBER(--$D182)),LEFT($C182,1),"")</f>
        <v/>
      </c>
      <c r="P182">
        <f>IF(ISNUMBER(--$D182),--$D182,"")</f>
        <v/>
      </c>
      <c r="Q182">
        <f>IF(AND($O182&lt;&gt;"",$P182&lt;&gt;""),$O182&amp;TEXT($P182,"00"),"")</f>
        <v/>
      </c>
    </row>
    <row r="183">
      <c r="H183">
        <f>A183</f>
        <v/>
      </c>
      <c r="J183">
        <f>IF($I183&lt;&gt;"",$I183,$A183)</f>
        <v/>
      </c>
      <c r="K183">
        <f>IF($C183="","",IF(LEN($C183)=1,CODE(UPPER($C183))-64,IFERROR(VALUE(MID($C183,2,99)),"")))</f>
        <v/>
      </c>
      <c r="L183">
        <f>IF($D183="","",IFERROR(VALUE($D183),""))</f>
        <v/>
      </c>
      <c r="M183">
        <f>IFERROR(VALUE(MID($A183,FIND("Level",$A183)+5,99)),IF($E183="AISLE_FLOOR",0,IF($E183="OVERFLOW",0,IF($E183="ENDCAP",0,""))))</f>
        <v/>
      </c>
      <c r="N183">
        <f>IF(AND($B183&lt;&gt;"",$C183&lt;&gt;"",ISNUMBER(--$D183)), $B183&amp;": "&amp;LEFT($C183,1)&amp;TEXT(--$D183,"00"), IF($I183&lt;&gt;"",$I183,$A183))</f>
        <v/>
      </c>
      <c r="O183">
        <f>IF(AND($C183&lt;&gt;"",ISNUMBER(--$D183)),LEFT($C183,1),"")</f>
        <v/>
      </c>
      <c r="P183">
        <f>IF(ISNUMBER(--$D183),--$D183,"")</f>
        <v/>
      </c>
      <c r="Q183">
        <f>IF(AND($O183&lt;&gt;"",$P183&lt;&gt;""),$O183&amp;TEXT($P183,"00"),"")</f>
        <v/>
      </c>
    </row>
    <row r="184">
      <c r="H184">
        <f>A184</f>
        <v/>
      </c>
      <c r="J184">
        <f>IF($I184&lt;&gt;"",$I184,$A184)</f>
        <v/>
      </c>
      <c r="K184">
        <f>IF($C184="","",IF(LEN($C184)=1,CODE(UPPER($C184))-64,IFERROR(VALUE(MID($C184,2,99)),"")))</f>
        <v/>
      </c>
      <c r="L184">
        <f>IF($D184="","",IFERROR(VALUE($D184),""))</f>
        <v/>
      </c>
      <c r="M184">
        <f>IFERROR(VALUE(MID($A184,FIND("Level",$A184)+5,99)),IF($E184="AISLE_FLOOR",0,IF($E184="OVERFLOW",0,IF($E184="ENDCAP",0,""))))</f>
        <v/>
      </c>
      <c r="N184">
        <f>IF(AND($B184&lt;&gt;"",$C184&lt;&gt;"",ISNUMBER(--$D184)), $B184&amp;": "&amp;LEFT($C184,1)&amp;TEXT(--$D184,"00"), IF($I184&lt;&gt;"",$I184,$A184))</f>
        <v/>
      </c>
      <c r="O184">
        <f>IF(AND($C184&lt;&gt;"",ISNUMBER(--$D184)),LEFT($C184,1),"")</f>
        <v/>
      </c>
      <c r="P184">
        <f>IF(ISNUMBER(--$D184),--$D184,"")</f>
        <v/>
      </c>
      <c r="Q184">
        <f>IF(AND($O184&lt;&gt;"",$P184&lt;&gt;""),$O184&amp;TEXT($P184,"00"),"")</f>
        <v/>
      </c>
    </row>
    <row r="185">
      <c r="H185">
        <f>A185</f>
        <v/>
      </c>
      <c r="J185">
        <f>IF($I185&lt;&gt;"",$I185,$A185)</f>
        <v/>
      </c>
      <c r="K185">
        <f>IF($C185="","",IF(LEN($C185)=1,CODE(UPPER($C185))-64,IFERROR(VALUE(MID($C185,2,99)),"")))</f>
        <v/>
      </c>
      <c r="L185">
        <f>IF($D185="","",IFERROR(VALUE($D185),""))</f>
        <v/>
      </c>
      <c r="M185">
        <f>IFERROR(VALUE(MID($A185,FIND("Level",$A185)+5,99)),IF($E185="AISLE_FLOOR",0,IF($E185="OVERFLOW",0,IF($E185="ENDCAP",0,""))))</f>
        <v/>
      </c>
      <c r="N185">
        <f>IF(AND($B185&lt;&gt;"",$C185&lt;&gt;"",ISNUMBER(--$D185)), $B185&amp;": "&amp;LEFT($C185,1)&amp;TEXT(--$D185,"00"), IF($I185&lt;&gt;"",$I185,$A185))</f>
        <v/>
      </c>
      <c r="O185">
        <f>IF(AND($C185&lt;&gt;"",ISNUMBER(--$D185)),LEFT($C185,1),"")</f>
        <v/>
      </c>
      <c r="P185">
        <f>IF(ISNUMBER(--$D185),--$D185,"")</f>
        <v/>
      </c>
      <c r="Q185">
        <f>IF(AND($O185&lt;&gt;"",$P185&lt;&gt;""),$O185&amp;TEXT($P185,"00"),"")</f>
        <v/>
      </c>
    </row>
    <row r="186">
      <c r="H186">
        <f>A186</f>
        <v/>
      </c>
      <c r="J186">
        <f>IF($I186&lt;&gt;"",$I186,$A186)</f>
        <v/>
      </c>
      <c r="K186">
        <f>IF($C186="","",IF(LEN($C186)=1,CODE(UPPER($C186))-64,IFERROR(VALUE(MID($C186,2,99)),"")))</f>
        <v/>
      </c>
      <c r="L186">
        <f>IF($D186="","",IFERROR(VALUE($D186),""))</f>
        <v/>
      </c>
      <c r="M186">
        <f>IFERROR(VALUE(MID($A186,FIND("Level",$A186)+5,99)),IF($E186="AISLE_FLOOR",0,IF($E186="OVERFLOW",0,IF($E186="ENDCAP",0,""))))</f>
        <v/>
      </c>
      <c r="N186">
        <f>IF(AND($B186&lt;&gt;"",$C186&lt;&gt;"",ISNUMBER(--$D186)), $B186&amp;": "&amp;LEFT($C186,1)&amp;TEXT(--$D186,"00"), IF($I186&lt;&gt;"",$I186,$A186))</f>
        <v/>
      </c>
      <c r="O186">
        <f>IF(AND($C186&lt;&gt;"",ISNUMBER(--$D186)),LEFT($C186,1),"")</f>
        <v/>
      </c>
      <c r="P186">
        <f>IF(ISNUMBER(--$D186),--$D186,"")</f>
        <v/>
      </c>
      <c r="Q186">
        <f>IF(AND($O186&lt;&gt;"",$P186&lt;&gt;""),$O186&amp;TEXT($P186,"00"),"")</f>
        <v/>
      </c>
    </row>
    <row r="187">
      <c r="H187">
        <f>A187</f>
        <v/>
      </c>
      <c r="J187">
        <f>IF($I187&lt;&gt;"",$I187,$A187)</f>
        <v/>
      </c>
      <c r="K187">
        <f>IF($C187="","",IF(LEN($C187)=1,CODE(UPPER($C187))-64,IFERROR(VALUE(MID($C187,2,99)),"")))</f>
        <v/>
      </c>
      <c r="L187">
        <f>IF($D187="","",IFERROR(VALUE($D187),""))</f>
        <v/>
      </c>
      <c r="M187">
        <f>IFERROR(VALUE(MID($A187,FIND("Level",$A187)+5,99)),IF($E187="AISLE_FLOOR",0,IF($E187="OVERFLOW",0,IF($E187="ENDCAP",0,""))))</f>
        <v/>
      </c>
      <c r="N187">
        <f>IF(AND($B187&lt;&gt;"",$C187&lt;&gt;"",ISNUMBER(--$D187)), $B187&amp;": "&amp;LEFT($C187,1)&amp;TEXT(--$D187,"00"), IF($I187&lt;&gt;"",$I187,$A187))</f>
        <v/>
      </c>
      <c r="O187">
        <f>IF(AND($C187&lt;&gt;"",ISNUMBER(--$D187)),LEFT($C187,1),"")</f>
        <v/>
      </c>
      <c r="P187">
        <f>IF(ISNUMBER(--$D187),--$D187,"")</f>
        <v/>
      </c>
      <c r="Q187">
        <f>IF(AND($O187&lt;&gt;"",$P187&lt;&gt;""),$O187&amp;TEXT($P187,"00"),"")</f>
        <v/>
      </c>
    </row>
    <row r="188">
      <c r="H188">
        <f>A188</f>
        <v/>
      </c>
      <c r="J188">
        <f>IF($I188&lt;&gt;"",$I188,$A188)</f>
        <v/>
      </c>
      <c r="K188">
        <f>IF($C188="","",IF(LEN($C188)=1,CODE(UPPER($C188))-64,IFERROR(VALUE(MID($C188,2,99)),"")))</f>
        <v/>
      </c>
      <c r="L188">
        <f>IF($D188="","",IFERROR(VALUE($D188),""))</f>
        <v/>
      </c>
      <c r="M188">
        <f>IFERROR(VALUE(MID($A188,FIND("Level",$A188)+5,99)),IF($E188="AISLE_FLOOR",0,IF($E188="OVERFLOW",0,IF($E188="ENDCAP",0,""))))</f>
        <v/>
      </c>
      <c r="N188">
        <f>IF(AND($B188&lt;&gt;"",$C188&lt;&gt;"",ISNUMBER(--$D188)), $B188&amp;": "&amp;LEFT($C188,1)&amp;TEXT(--$D188,"00"), IF($I188&lt;&gt;"",$I188,$A188))</f>
        <v/>
      </c>
      <c r="O188">
        <f>IF(AND($C188&lt;&gt;"",ISNUMBER(--$D188)),LEFT($C188,1),"")</f>
        <v/>
      </c>
      <c r="P188">
        <f>IF(ISNUMBER(--$D188),--$D188,"")</f>
        <v/>
      </c>
      <c r="Q188">
        <f>IF(AND($O188&lt;&gt;"",$P188&lt;&gt;""),$O188&amp;TEXT($P188,"00"),"")</f>
        <v/>
      </c>
    </row>
    <row r="189">
      <c r="H189">
        <f>A189</f>
        <v/>
      </c>
      <c r="J189">
        <f>IF($I189&lt;&gt;"",$I189,$A189)</f>
        <v/>
      </c>
      <c r="K189">
        <f>IF($C189="","",IF(LEN($C189)=1,CODE(UPPER($C189))-64,IFERROR(VALUE(MID($C189,2,99)),"")))</f>
        <v/>
      </c>
      <c r="L189">
        <f>IF($D189="","",IFERROR(VALUE($D189),""))</f>
        <v/>
      </c>
      <c r="M189">
        <f>IFERROR(VALUE(MID($A189,FIND("Level",$A189)+5,99)),IF($E189="AISLE_FLOOR",0,IF($E189="OVERFLOW",0,IF($E189="ENDCAP",0,""))))</f>
        <v/>
      </c>
      <c r="N189">
        <f>IF(AND($B189&lt;&gt;"",$C189&lt;&gt;"",ISNUMBER(--$D189)), $B189&amp;": "&amp;LEFT($C189,1)&amp;TEXT(--$D189,"00"), IF($I189&lt;&gt;"",$I189,$A189))</f>
        <v/>
      </c>
      <c r="O189">
        <f>IF(AND($C189&lt;&gt;"",ISNUMBER(--$D189)),LEFT($C189,1),"")</f>
        <v/>
      </c>
      <c r="P189">
        <f>IF(ISNUMBER(--$D189),--$D189,"")</f>
        <v/>
      </c>
      <c r="Q189">
        <f>IF(AND($O189&lt;&gt;"",$P189&lt;&gt;""),$O189&amp;TEXT($P189,"00"),"")</f>
        <v/>
      </c>
    </row>
    <row r="190">
      <c r="H190">
        <f>A190</f>
        <v/>
      </c>
      <c r="J190">
        <f>IF($I190&lt;&gt;"",$I190,$A190)</f>
        <v/>
      </c>
      <c r="K190">
        <f>IF($C190="","",IF(LEN($C190)=1,CODE(UPPER($C190))-64,IFERROR(VALUE(MID($C190,2,99)),"")))</f>
        <v/>
      </c>
      <c r="L190">
        <f>IF($D190="","",IFERROR(VALUE($D190),""))</f>
        <v/>
      </c>
      <c r="M190">
        <f>IFERROR(VALUE(MID($A190,FIND("Level",$A190)+5,99)),IF($E190="AISLE_FLOOR",0,IF($E190="OVERFLOW",0,IF($E190="ENDCAP",0,""))))</f>
        <v/>
      </c>
      <c r="N190">
        <f>IF(AND($B190&lt;&gt;"",$C190&lt;&gt;"",ISNUMBER(--$D190)), $B190&amp;": "&amp;LEFT($C190,1)&amp;TEXT(--$D190,"00"), IF($I190&lt;&gt;"",$I190,$A190))</f>
        <v/>
      </c>
      <c r="O190">
        <f>IF(AND($C190&lt;&gt;"",ISNUMBER(--$D190)),LEFT($C190,1),"")</f>
        <v/>
      </c>
      <c r="P190">
        <f>IF(ISNUMBER(--$D190),--$D190,"")</f>
        <v/>
      </c>
      <c r="Q190">
        <f>IF(AND($O190&lt;&gt;"",$P190&lt;&gt;""),$O190&amp;TEXT($P190,"00"),"")</f>
        <v/>
      </c>
    </row>
    <row r="191">
      <c r="H191">
        <f>A191</f>
        <v/>
      </c>
      <c r="J191">
        <f>IF($I191&lt;&gt;"",$I191,$A191)</f>
        <v/>
      </c>
      <c r="K191">
        <f>IF($C191="","",IF(LEN($C191)=1,CODE(UPPER($C191))-64,IFERROR(VALUE(MID($C191,2,99)),"")))</f>
        <v/>
      </c>
      <c r="L191">
        <f>IF($D191="","",IFERROR(VALUE($D191),""))</f>
        <v/>
      </c>
      <c r="M191">
        <f>IFERROR(VALUE(MID($A191,FIND("Level",$A191)+5,99)),IF($E191="AISLE_FLOOR",0,IF($E191="OVERFLOW",0,IF($E191="ENDCAP",0,""))))</f>
        <v/>
      </c>
      <c r="N191">
        <f>IF(AND($B191&lt;&gt;"",$C191&lt;&gt;"",ISNUMBER(--$D191)), $B191&amp;": "&amp;LEFT($C191,1)&amp;TEXT(--$D191,"00"), IF($I191&lt;&gt;"",$I191,$A191))</f>
        <v/>
      </c>
      <c r="O191">
        <f>IF(AND($C191&lt;&gt;"",ISNUMBER(--$D191)),LEFT($C191,1),"")</f>
        <v/>
      </c>
      <c r="P191">
        <f>IF(ISNUMBER(--$D191),--$D191,"")</f>
        <v/>
      </c>
      <c r="Q191">
        <f>IF(AND($O191&lt;&gt;"",$P191&lt;&gt;""),$O191&amp;TEXT($P191,"00"),"")</f>
        <v/>
      </c>
    </row>
    <row r="192">
      <c r="H192">
        <f>A192</f>
        <v/>
      </c>
      <c r="J192">
        <f>IF($I192&lt;&gt;"",$I192,$A192)</f>
        <v/>
      </c>
      <c r="K192">
        <f>IF($C192="","",IF(LEN($C192)=1,CODE(UPPER($C192))-64,IFERROR(VALUE(MID($C192,2,99)),"")))</f>
        <v/>
      </c>
      <c r="L192">
        <f>IF($D192="","",IFERROR(VALUE($D192),""))</f>
        <v/>
      </c>
      <c r="M192">
        <f>IFERROR(VALUE(MID($A192,FIND("Level",$A192)+5,99)),IF($E192="AISLE_FLOOR",0,IF($E192="OVERFLOW",0,IF($E192="ENDCAP",0,""))))</f>
        <v/>
      </c>
      <c r="N192">
        <f>IF(AND($B192&lt;&gt;"",$C192&lt;&gt;"",ISNUMBER(--$D192)), $B192&amp;": "&amp;LEFT($C192,1)&amp;TEXT(--$D192,"00"), IF($I192&lt;&gt;"",$I192,$A192))</f>
        <v/>
      </c>
      <c r="O192">
        <f>IF(AND($C192&lt;&gt;"",ISNUMBER(--$D192)),LEFT($C192,1),"")</f>
        <v/>
      </c>
      <c r="P192">
        <f>IF(ISNUMBER(--$D192),--$D192,"")</f>
        <v/>
      </c>
      <c r="Q192">
        <f>IF(AND($O192&lt;&gt;"",$P192&lt;&gt;""),$O192&amp;TEXT($P192,"00"),"")</f>
        <v/>
      </c>
    </row>
    <row r="193">
      <c r="H193">
        <f>A193</f>
        <v/>
      </c>
      <c r="J193">
        <f>IF($I193&lt;&gt;"",$I193,$A193)</f>
        <v/>
      </c>
      <c r="K193">
        <f>IF($C193="","",IF(LEN($C193)=1,CODE(UPPER($C193))-64,IFERROR(VALUE(MID($C193,2,99)),"")))</f>
        <v/>
      </c>
      <c r="L193">
        <f>IF($D193="","",IFERROR(VALUE($D193),""))</f>
        <v/>
      </c>
      <c r="M193">
        <f>IFERROR(VALUE(MID($A193,FIND("Level",$A193)+5,99)),IF($E193="AISLE_FLOOR",0,IF($E193="OVERFLOW",0,IF($E193="ENDCAP",0,""))))</f>
        <v/>
      </c>
      <c r="N193">
        <f>IF(AND($B193&lt;&gt;"",$C193&lt;&gt;"",ISNUMBER(--$D193)), $B193&amp;": "&amp;LEFT($C193,1)&amp;TEXT(--$D193,"00"), IF($I193&lt;&gt;"",$I193,$A193))</f>
        <v/>
      </c>
      <c r="O193">
        <f>IF(AND($C193&lt;&gt;"",ISNUMBER(--$D193)),LEFT($C193,1),"")</f>
        <v/>
      </c>
      <c r="P193">
        <f>IF(ISNUMBER(--$D193),--$D193,"")</f>
        <v/>
      </c>
      <c r="Q193">
        <f>IF(AND($O193&lt;&gt;"",$P193&lt;&gt;""),$O193&amp;TEXT($P193,"00"),"")</f>
        <v/>
      </c>
    </row>
    <row r="194">
      <c r="H194">
        <f>A194</f>
        <v/>
      </c>
      <c r="J194">
        <f>IF($I194&lt;&gt;"",$I194,$A194)</f>
        <v/>
      </c>
      <c r="K194">
        <f>IF($C194="","",IF(LEN($C194)=1,CODE(UPPER($C194))-64,IFERROR(VALUE(MID($C194,2,99)),"")))</f>
        <v/>
      </c>
      <c r="L194">
        <f>IF($D194="","",IFERROR(VALUE($D194),""))</f>
        <v/>
      </c>
      <c r="M194">
        <f>IFERROR(VALUE(MID($A194,FIND("Level",$A194)+5,99)),IF($E194="AISLE_FLOOR",0,IF($E194="OVERFLOW",0,IF($E194="ENDCAP",0,""))))</f>
        <v/>
      </c>
      <c r="N194">
        <f>IF(AND($B194&lt;&gt;"",$C194&lt;&gt;"",ISNUMBER(--$D194)), $B194&amp;": "&amp;LEFT($C194,1)&amp;TEXT(--$D194,"00"), IF($I194&lt;&gt;"",$I194,$A194))</f>
        <v/>
      </c>
      <c r="O194">
        <f>IF(AND($C194&lt;&gt;"",ISNUMBER(--$D194)),LEFT($C194,1),"")</f>
        <v/>
      </c>
      <c r="P194">
        <f>IF(ISNUMBER(--$D194),--$D194,"")</f>
        <v/>
      </c>
      <c r="Q194">
        <f>IF(AND($O194&lt;&gt;"",$P194&lt;&gt;""),$O194&amp;TEXT($P194,"00"),"")</f>
        <v/>
      </c>
    </row>
    <row r="195">
      <c r="H195">
        <f>A195</f>
        <v/>
      </c>
      <c r="J195">
        <f>IF($I195&lt;&gt;"",$I195,$A195)</f>
        <v/>
      </c>
      <c r="K195">
        <f>IF($C195="","",IF(LEN($C195)=1,CODE(UPPER($C195))-64,IFERROR(VALUE(MID($C195,2,99)),"")))</f>
        <v/>
      </c>
      <c r="L195">
        <f>IF($D195="","",IFERROR(VALUE($D195),""))</f>
        <v/>
      </c>
      <c r="M195">
        <f>IFERROR(VALUE(MID($A195,FIND("Level",$A195)+5,99)),IF($E195="AISLE_FLOOR",0,IF($E195="OVERFLOW",0,IF($E195="ENDCAP",0,""))))</f>
        <v/>
      </c>
      <c r="N195">
        <f>IF(AND($B195&lt;&gt;"",$C195&lt;&gt;"",ISNUMBER(--$D195)), $B195&amp;": "&amp;LEFT($C195,1)&amp;TEXT(--$D195,"00"), IF($I195&lt;&gt;"",$I195,$A195))</f>
        <v/>
      </c>
      <c r="O195">
        <f>IF(AND($C195&lt;&gt;"",ISNUMBER(--$D195)),LEFT($C195,1),"")</f>
        <v/>
      </c>
      <c r="P195">
        <f>IF(ISNUMBER(--$D195),--$D195,"")</f>
        <v/>
      </c>
      <c r="Q195">
        <f>IF(AND($O195&lt;&gt;"",$P195&lt;&gt;""),$O195&amp;TEXT($P195,"00"),"")</f>
        <v/>
      </c>
    </row>
    <row r="196">
      <c r="H196">
        <f>A196</f>
        <v/>
      </c>
      <c r="J196">
        <f>IF($I196&lt;&gt;"",$I196,$A196)</f>
        <v/>
      </c>
      <c r="K196">
        <f>IF($C196="","",IF(LEN($C196)=1,CODE(UPPER($C196))-64,IFERROR(VALUE(MID($C196,2,99)),"")))</f>
        <v/>
      </c>
      <c r="L196">
        <f>IF($D196="","",IFERROR(VALUE($D196),""))</f>
        <v/>
      </c>
      <c r="M196">
        <f>IFERROR(VALUE(MID($A196,FIND("Level",$A196)+5,99)),IF($E196="AISLE_FLOOR",0,IF($E196="OVERFLOW",0,IF($E196="ENDCAP",0,""))))</f>
        <v/>
      </c>
      <c r="N196">
        <f>IF(AND($B196&lt;&gt;"",$C196&lt;&gt;"",ISNUMBER(--$D196)), $B196&amp;": "&amp;LEFT($C196,1)&amp;TEXT(--$D196,"00"), IF($I196&lt;&gt;"",$I196,$A196))</f>
        <v/>
      </c>
      <c r="O196">
        <f>IF(AND($C196&lt;&gt;"",ISNUMBER(--$D196)),LEFT($C196,1),"")</f>
        <v/>
      </c>
      <c r="P196">
        <f>IF(ISNUMBER(--$D196),--$D196,"")</f>
        <v/>
      </c>
      <c r="Q196">
        <f>IF(AND($O196&lt;&gt;"",$P196&lt;&gt;""),$O196&amp;TEXT($P196,"00"),"")</f>
        <v/>
      </c>
    </row>
    <row r="197">
      <c r="H197">
        <f>A197</f>
        <v/>
      </c>
      <c r="J197">
        <f>IF($I197&lt;&gt;"",$I197,$A197)</f>
        <v/>
      </c>
      <c r="K197">
        <f>IF($C197="","",IF(LEN($C197)=1,CODE(UPPER($C197))-64,IFERROR(VALUE(MID($C197,2,99)),"")))</f>
        <v/>
      </c>
      <c r="L197">
        <f>IF($D197="","",IFERROR(VALUE($D197),""))</f>
        <v/>
      </c>
      <c r="M197">
        <f>IFERROR(VALUE(MID($A197,FIND("Level",$A197)+5,99)),IF($E197="AISLE_FLOOR",0,IF($E197="OVERFLOW",0,IF($E197="ENDCAP",0,""))))</f>
        <v/>
      </c>
      <c r="N197">
        <f>IF(AND($B197&lt;&gt;"",$C197&lt;&gt;"",ISNUMBER(--$D197)), $B197&amp;": "&amp;LEFT($C197,1)&amp;TEXT(--$D197,"00"), IF($I197&lt;&gt;"",$I197,$A197))</f>
        <v/>
      </c>
      <c r="O197">
        <f>IF(AND($C197&lt;&gt;"",ISNUMBER(--$D197)),LEFT($C197,1),"")</f>
        <v/>
      </c>
      <c r="P197">
        <f>IF(ISNUMBER(--$D197),--$D197,"")</f>
        <v/>
      </c>
      <c r="Q197">
        <f>IF(AND($O197&lt;&gt;"",$P197&lt;&gt;""),$O197&amp;TEXT($P197,"00"),"")</f>
        <v/>
      </c>
    </row>
    <row r="198">
      <c r="H198">
        <f>A198</f>
        <v/>
      </c>
      <c r="J198">
        <f>IF($I198&lt;&gt;"",$I198,$A198)</f>
        <v/>
      </c>
      <c r="K198">
        <f>IF($C198="","",IF(LEN($C198)=1,CODE(UPPER($C198))-64,IFERROR(VALUE(MID($C198,2,99)),"")))</f>
        <v/>
      </c>
      <c r="L198">
        <f>IF($D198="","",IFERROR(VALUE($D198),""))</f>
        <v/>
      </c>
      <c r="M198">
        <f>IFERROR(VALUE(MID($A198,FIND("Level",$A198)+5,99)),IF($E198="AISLE_FLOOR",0,IF($E198="OVERFLOW",0,IF($E198="ENDCAP",0,""))))</f>
        <v/>
      </c>
      <c r="N198">
        <f>IF(AND($B198&lt;&gt;"",$C198&lt;&gt;"",ISNUMBER(--$D198)), $B198&amp;": "&amp;LEFT($C198,1)&amp;TEXT(--$D198,"00"), IF($I198&lt;&gt;"",$I198,$A198))</f>
        <v/>
      </c>
      <c r="O198">
        <f>IF(AND($C198&lt;&gt;"",ISNUMBER(--$D198)),LEFT($C198,1),"")</f>
        <v/>
      </c>
      <c r="P198">
        <f>IF(ISNUMBER(--$D198),--$D198,"")</f>
        <v/>
      </c>
      <c r="Q198">
        <f>IF(AND($O198&lt;&gt;"",$P198&lt;&gt;""),$O198&amp;TEXT($P198,"00"),"")</f>
        <v/>
      </c>
    </row>
    <row r="199">
      <c r="H199">
        <f>A199</f>
        <v/>
      </c>
      <c r="J199">
        <f>IF($I199&lt;&gt;"",$I199,$A199)</f>
        <v/>
      </c>
      <c r="K199">
        <f>IF($C199="","",IF(LEN($C199)=1,CODE(UPPER($C199))-64,IFERROR(VALUE(MID($C199,2,99)),"")))</f>
        <v/>
      </c>
      <c r="L199">
        <f>IF($D199="","",IFERROR(VALUE($D199),""))</f>
        <v/>
      </c>
      <c r="M199">
        <f>IFERROR(VALUE(MID($A199,FIND("Level",$A199)+5,99)),IF($E199="AISLE_FLOOR",0,IF($E199="OVERFLOW",0,IF($E199="ENDCAP",0,""))))</f>
        <v/>
      </c>
      <c r="N199">
        <f>IF(AND($B199&lt;&gt;"",$C199&lt;&gt;"",ISNUMBER(--$D199)), $B199&amp;": "&amp;LEFT($C199,1)&amp;TEXT(--$D199,"00"), IF($I199&lt;&gt;"",$I199,$A199))</f>
        <v/>
      </c>
      <c r="O199">
        <f>IF(AND($C199&lt;&gt;"",ISNUMBER(--$D199)),LEFT($C199,1),"")</f>
        <v/>
      </c>
      <c r="P199">
        <f>IF(ISNUMBER(--$D199),--$D199,"")</f>
        <v/>
      </c>
      <c r="Q199">
        <f>IF(AND($O199&lt;&gt;"",$P199&lt;&gt;""),$O199&amp;TEXT($P199,"00"),"")</f>
        <v/>
      </c>
    </row>
    <row r="200">
      <c r="H200">
        <f>A200</f>
        <v/>
      </c>
      <c r="J200">
        <f>IF($I200&lt;&gt;"",$I200,$A200)</f>
        <v/>
      </c>
      <c r="K200">
        <f>IF($C200="","",IF(LEN($C200)=1,CODE(UPPER($C200))-64,IFERROR(VALUE(MID($C200,2,99)),"")))</f>
        <v/>
      </c>
      <c r="L200">
        <f>IF($D200="","",IFERROR(VALUE($D200),""))</f>
        <v/>
      </c>
      <c r="M200">
        <f>IFERROR(VALUE(MID($A200,FIND("Level",$A200)+5,99)),IF($E200="AISLE_FLOOR",0,IF($E200="OVERFLOW",0,IF($E200="ENDCAP",0,""))))</f>
        <v/>
      </c>
      <c r="N200">
        <f>IF(AND($B200&lt;&gt;"",$C200&lt;&gt;"",ISNUMBER(--$D200)), $B200&amp;": "&amp;LEFT($C200,1)&amp;TEXT(--$D200,"00"), IF($I200&lt;&gt;"",$I200,$A200))</f>
        <v/>
      </c>
      <c r="O200">
        <f>IF(AND($C200&lt;&gt;"",ISNUMBER(--$D200)),LEFT($C200,1),"")</f>
        <v/>
      </c>
      <c r="P200">
        <f>IF(ISNUMBER(--$D200),--$D200,"")</f>
        <v/>
      </c>
      <c r="Q200">
        <f>IF(AND($O200&lt;&gt;"",$P200&lt;&gt;""),$O200&amp;TEXT($P200,"00"),"")</f>
        <v/>
      </c>
    </row>
    <row r="201">
      <c r="H201">
        <f>A201</f>
        <v/>
      </c>
      <c r="J201">
        <f>IF($I201&lt;&gt;"",$I201,$A201)</f>
        <v/>
      </c>
      <c r="K201">
        <f>IF($C201="","",IF(LEN($C201)=1,CODE(UPPER($C201))-64,IFERROR(VALUE(MID($C201,2,99)),"")))</f>
        <v/>
      </c>
      <c r="L201">
        <f>IF($D201="","",IFERROR(VALUE($D201),""))</f>
        <v/>
      </c>
      <c r="M201">
        <f>IFERROR(VALUE(MID($A201,FIND("Level",$A201)+5,99)),IF($E201="AISLE_FLOOR",0,IF($E201="OVERFLOW",0,IF($E201="ENDCAP",0,""))))</f>
        <v/>
      </c>
      <c r="N201">
        <f>IF(AND($B201&lt;&gt;"",$C201&lt;&gt;"",ISNUMBER(--$D201)), $B201&amp;": "&amp;LEFT($C201,1)&amp;TEXT(--$D201,"00"), IF($I201&lt;&gt;"",$I201,$A201))</f>
        <v/>
      </c>
      <c r="O201">
        <f>IF(AND($C201&lt;&gt;"",ISNUMBER(--$D201)),LEFT($C201,1),"")</f>
        <v/>
      </c>
      <c r="P201">
        <f>IF(ISNUMBER(--$D201),--$D201,"")</f>
        <v/>
      </c>
      <c r="Q201">
        <f>IF(AND($O201&lt;&gt;"",$P201&lt;&gt;""),$O201&amp;TEXT($P201,"00"),"")</f>
        <v/>
      </c>
    </row>
    <row r="202">
      <c r="H202">
        <f>A202</f>
        <v/>
      </c>
      <c r="J202">
        <f>IF($I202&lt;&gt;"",$I202,$A202)</f>
        <v/>
      </c>
      <c r="K202">
        <f>IF($C202="","",IF(LEN($C202)=1,CODE(UPPER($C202))-64,IFERROR(VALUE(MID($C202,2,99)),"")))</f>
        <v/>
      </c>
      <c r="L202">
        <f>IF($D202="","",IFERROR(VALUE($D202),""))</f>
        <v/>
      </c>
      <c r="M202">
        <f>IFERROR(VALUE(MID($A202,FIND("Level",$A202)+5,99)),IF($E202="AISLE_FLOOR",0,IF($E202="OVERFLOW",0,IF($E202="ENDCAP",0,""))))</f>
        <v/>
      </c>
      <c r="N202">
        <f>IF(AND($B202&lt;&gt;"",$C202&lt;&gt;"",ISNUMBER(--$D202)), $B202&amp;": "&amp;LEFT($C202,1)&amp;TEXT(--$D202,"00"), IF($I202&lt;&gt;"",$I202,$A202))</f>
        <v/>
      </c>
      <c r="O202">
        <f>IF(AND($C202&lt;&gt;"",ISNUMBER(--$D202)),LEFT($C202,1),"")</f>
        <v/>
      </c>
      <c r="P202">
        <f>IF(ISNUMBER(--$D202),--$D202,"")</f>
        <v/>
      </c>
      <c r="Q202">
        <f>IF(AND($O202&lt;&gt;"",$P202&lt;&gt;""),$O202&amp;TEXT($P202,"00"),"")</f>
        <v/>
      </c>
    </row>
    <row r="203">
      <c r="H203">
        <f>A203</f>
        <v/>
      </c>
      <c r="J203">
        <f>IF($I203&lt;&gt;"",$I203,$A203)</f>
        <v/>
      </c>
      <c r="K203">
        <f>IF($C203="","",IF(LEN($C203)=1,CODE(UPPER($C203))-64,IFERROR(VALUE(MID($C203,2,99)),"")))</f>
        <v/>
      </c>
      <c r="L203">
        <f>IF($D203="","",IFERROR(VALUE($D203),""))</f>
        <v/>
      </c>
      <c r="M203">
        <f>IFERROR(VALUE(MID($A203,FIND("Level",$A203)+5,99)),IF($E203="AISLE_FLOOR",0,IF($E203="OVERFLOW",0,IF($E203="ENDCAP",0,""))))</f>
        <v/>
      </c>
      <c r="N203">
        <f>IF(AND($B203&lt;&gt;"",$C203&lt;&gt;"",ISNUMBER(--$D203)), $B203&amp;": "&amp;LEFT($C203,1)&amp;TEXT(--$D203,"00"), IF($I203&lt;&gt;"",$I203,$A203))</f>
        <v/>
      </c>
      <c r="O203">
        <f>IF(AND($C203&lt;&gt;"",ISNUMBER(--$D203)),LEFT($C203,1),"")</f>
        <v/>
      </c>
      <c r="P203">
        <f>IF(ISNUMBER(--$D203),--$D203,"")</f>
        <v/>
      </c>
      <c r="Q203">
        <f>IF(AND($O203&lt;&gt;"",$P203&lt;&gt;""),$O203&amp;TEXT($P203,"00"),"")</f>
        <v/>
      </c>
    </row>
    <row r="204">
      <c r="H204">
        <f>A204</f>
        <v/>
      </c>
      <c r="J204">
        <f>IF($I204&lt;&gt;"",$I204,$A204)</f>
        <v/>
      </c>
      <c r="K204">
        <f>IF($C204="","",IF(LEN($C204)=1,CODE(UPPER($C204))-64,IFERROR(VALUE(MID($C204,2,99)),"")))</f>
        <v/>
      </c>
      <c r="L204">
        <f>IF($D204="","",IFERROR(VALUE($D204),""))</f>
        <v/>
      </c>
      <c r="M204">
        <f>IFERROR(VALUE(MID($A204,FIND("Level",$A204)+5,99)),IF($E204="AISLE_FLOOR",0,IF($E204="OVERFLOW",0,IF($E204="ENDCAP",0,""))))</f>
        <v/>
      </c>
      <c r="N204">
        <f>IF(AND($B204&lt;&gt;"",$C204&lt;&gt;"",ISNUMBER(--$D204)), $B204&amp;": "&amp;LEFT($C204,1)&amp;TEXT(--$D204,"00"), IF($I204&lt;&gt;"",$I204,$A204))</f>
        <v/>
      </c>
      <c r="O204">
        <f>IF(AND($C204&lt;&gt;"",ISNUMBER(--$D204)),LEFT($C204,1),"")</f>
        <v/>
      </c>
      <c r="P204">
        <f>IF(ISNUMBER(--$D204),--$D204,"")</f>
        <v/>
      </c>
      <c r="Q204">
        <f>IF(AND($O204&lt;&gt;"",$P204&lt;&gt;""),$O204&amp;TEXT($P204,"00"),"")</f>
        <v/>
      </c>
    </row>
    <row r="205">
      <c r="H205">
        <f>A205</f>
        <v/>
      </c>
      <c r="J205">
        <f>IF($I205&lt;&gt;"",$I205,$A205)</f>
        <v/>
      </c>
      <c r="K205">
        <f>IF($C205="","",IF(LEN($C205)=1,CODE(UPPER($C205))-64,IFERROR(VALUE(MID($C205,2,99)),"")))</f>
        <v/>
      </c>
      <c r="L205">
        <f>IF($D205="","",IFERROR(VALUE($D205),""))</f>
        <v/>
      </c>
      <c r="M205">
        <f>IFERROR(VALUE(MID($A205,FIND("Level",$A205)+5,99)),IF($E205="AISLE_FLOOR",0,IF($E205="OVERFLOW",0,IF($E205="ENDCAP",0,""))))</f>
        <v/>
      </c>
      <c r="N205">
        <f>IF(AND($B205&lt;&gt;"",$C205&lt;&gt;"",ISNUMBER(--$D205)), $B205&amp;": "&amp;LEFT($C205,1)&amp;TEXT(--$D205,"00"), IF($I205&lt;&gt;"",$I205,$A205))</f>
        <v/>
      </c>
      <c r="O205">
        <f>IF(AND($C205&lt;&gt;"",ISNUMBER(--$D205)),LEFT($C205,1),"")</f>
        <v/>
      </c>
      <c r="P205">
        <f>IF(ISNUMBER(--$D205),--$D205,"")</f>
        <v/>
      </c>
      <c r="Q205">
        <f>IF(AND($O205&lt;&gt;"",$P205&lt;&gt;""),$O205&amp;TEXT($P205,"00"),"")</f>
        <v/>
      </c>
    </row>
    <row r="206">
      <c r="H206">
        <f>A206</f>
        <v/>
      </c>
      <c r="J206">
        <f>IF($I206&lt;&gt;"",$I206,$A206)</f>
        <v/>
      </c>
      <c r="K206">
        <f>IF($C206="","",IF(LEN($C206)=1,CODE(UPPER($C206))-64,IFERROR(VALUE(MID($C206,2,99)),"")))</f>
        <v/>
      </c>
      <c r="L206">
        <f>IF($D206="","",IFERROR(VALUE($D206),""))</f>
        <v/>
      </c>
      <c r="M206">
        <f>IFERROR(VALUE(MID($A206,FIND("Level",$A206)+5,99)),IF($E206="AISLE_FLOOR",0,IF($E206="OVERFLOW",0,IF($E206="ENDCAP",0,""))))</f>
        <v/>
      </c>
      <c r="N206">
        <f>IF(AND($B206&lt;&gt;"",$C206&lt;&gt;"",ISNUMBER(--$D206)), $B206&amp;": "&amp;LEFT($C206,1)&amp;TEXT(--$D206,"00"), IF($I206&lt;&gt;"",$I206,$A206))</f>
        <v/>
      </c>
      <c r="O206">
        <f>IF(AND($C206&lt;&gt;"",ISNUMBER(--$D206)),LEFT($C206,1),"")</f>
        <v/>
      </c>
      <c r="P206">
        <f>IF(ISNUMBER(--$D206),--$D206,"")</f>
        <v/>
      </c>
      <c r="Q206">
        <f>IF(AND($O206&lt;&gt;"",$P206&lt;&gt;""),$O206&amp;TEXT($P206,"00"),"")</f>
        <v/>
      </c>
    </row>
    <row r="207">
      <c r="H207">
        <f>A207</f>
        <v/>
      </c>
      <c r="J207">
        <f>IF($I207&lt;&gt;"",$I207,$A207)</f>
        <v/>
      </c>
      <c r="K207">
        <f>IF($C207="","",IF(LEN($C207)=1,CODE(UPPER($C207))-64,IFERROR(VALUE(MID($C207,2,99)),"")))</f>
        <v/>
      </c>
      <c r="L207">
        <f>IF($D207="","",IFERROR(VALUE($D207),""))</f>
        <v/>
      </c>
      <c r="M207">
        <f>IFERROR(VALUE(MID($A207,FIND("Level",$A207)+5,99)),IF($E207="AISLE_FLOOR",0,IF($E207="OVERFLOW",0,IF($E207="ENDCAP",0,""))))</f>
        <v/>
      </c>
      <c r="N207">
        <f>IF(AND($B207&lt;&gt;"",$C207&lt;&gt;"",ISNUMBER(--$D207)), $B207&amp;": "&amp;LEFT($C207,1)&amp;TEXT(--$D207,"00"), IF($I207&lt;&gt;"",$I207,$A207))</f>
        <v/>
      </c>
      <c r="O207">
        <f>IF(AND($C207&lt;&gt;"",ISNUMBER(--$D207)),LEFT($C207,1),"")</f>
        <v/>
      </c>
      <c r="P207">
        <f>IF(ISNUMBER(--$D207),--$D207,"")</f>
        <v/>
      </c>
      <c r="Q207">
        <f>IF(AND($O207&lt;&gt;"",$P207&lt;&gt;""),$O207&amp;TEXT($P207,"00"),"")</f>
        <v/>
      </c>
    </row>
    <row r="208">
      <c r="H208">
        <f>A208</f>
        <v/>
      </c>
      <c r="J208">
        <f>IF($I208&lt;&gt;"",$I208,$A208)</f>
        <v/>
      </c>
      <c r="K208">
        <f>IF($C208="","",IF(LEN($C208)=1,CODE(UPPER($C208))-64,IFERROR(VALUE(MID($C208,2,99)),"")))</f>
        <v/>
      </c>
      <c r="L208">
        <f>IF($D208="","",IFERROR(VALUE($D208),""))</f>
        <v/>
      </c>
      <c r="M208">
        <f>IFERROR(VALUE(MID($A208,FIND("Level",$A208)+5,99)),IF($E208="AISLE_FLOOR",0,IF($E208="OVERFLOW",0,IF($E208="ENDCAP",0,""))))</f>
        <v/>
      </c>
      <c r="N208">
        <f>IF(AND($B208&lt;&gt;"",$C208&lt;&gt;"",ISNUMBER(--$D208)), $B208&amp;": "&amp;LEFT($C208,1)&amp;TEXT(--$D208,"00"), IF($I208&lt;&gt;"",$I208,$A208))</f>
        <v/>
      </c>
      <c r="O208">
        <f>IF(AND($C208&lt;&gt;"",ISNUMBER(--$D208)),LEFT($C208,1),"")</f>
        <v/>
      </c>
      <c r="P208">
        <f>IF(ISNUMBER(--$D208),--$D208,"")</f>
        <v/>
      </c>
      <c r="Q208">
        <f>IF(AND($O208&lt;&gt;"",$P208&lt;&gt;""),$O208&amp;TEXT($P208,"00"),"")</f>
        <v/>
      </c>
    </row>
    <row r="209">
      <c r="H209">
        <f>A209</f>
        <v/>
      </c>
      <c r="J209">
        <f>IF($I209&lt;&gt;"",$I209,$A209)</f>
        <v/>
      </c>
      <c r="K209">
        <f>IF($C209="","",IF(LEN($C209)=1,CODE(UPPER($C209))-64,IFERROR(VALUE(MID($C209,2,99)),"")))</f>
        <v/>
      </c>
      <c r="L209">
        <f>IF($D209="","",IFERROR(VALUE($D209),""))</f>
        <v/>
      </c>
      <c r="M209">
        <f>IFERROR(VALUE(MID($A209,FIND("Level",$A209)+5,99)),IF($E209="AISLE_FLOOR",0,IF($E209="OVERFLOW",0,IF($E209="ENDCAP",0,""))))</f>
        <v/>
      </c>
      <c r="N209">
        <f>IF(AND($B209&lt;&gt;"",$C209&lt;&gt;"",ISNUMBER(--$D209)), $B209&amp;": "&amp;LEFT($C209,1)&amp;TEXT(--$D209,"00"), IF($I209&lt;&gt;"",$I209,$A209))</f>
        <v/>
      </c>
      <c r="O209">
        <f>IF(AND($C209&lt;&gt;"",ISNUMBER(--$D209)),LEFT($C209,1),"")</f>
        <v/>
      </c>
      <c r="P209">
        <f>IF(ISNUMBER(--$D209),--$D209,"")</f>
        <v/>
      </c>
      <c r="Q209">
        <f>IF(AND($O209&lt;&gt;"",$P209&lt;&gt;""),$O209&amp;TEXT($P209,"00"),"")</f>
        <v/>
      </c>
    </row>
    <row r="210">
      <c r="H210">
        <f>A210</f>
        <v/>
      </c>
      <c r="J210">
        <f>IF($I210&lt;&gt;"",$I210,$A210)</f>
        <v/>
      </c>
      <c r="K210">
        <f>IF($C210="","",IF(LEN($C210)=1,CODE(UPPER($C210))-64,IFERROR(VALUE(MID($C210,2,99)),"")))</f>
        <v/>
      </c>
      <c r="L210">
        <f>IF($D210="","",IFERROR(VALUE($D210),""))</f>
        <v/>
      </c>
      <c r="M210">
        <f>IFERROR(VALUE(MID($A210,FIND("Level",$A210)+5,99)),IF($E210="AISLE_FLOOR",0,IF($E210="OVERFLOW",0,IF($E210="ENDCAP",0,""))))</f>
        <v/>
      </c>
      <c r="N210">
        <f>IF(AND($B210&lt;&gt;"",$C210&lt;&gt;"",ISNUMBER(--$D210)), $B210&amp;": "&amp;LEFT($C210,1)&amp;TEXT(--$D210,"00"), IF($I210&lt;&gt;"",$I210,$A210))</f>
        <v/>
      </c>
      <c r="O210">
        <f>IF(AND($C210&lt;&gt;"",ISNUMBER(--$D210)),LEFT($C210,1),"")</f>
        <v/>
      </c>
      <c r="P210">
        <f>IF(ISNUMBER(--$D210),--$D210,"")</f>
        <v/>
      </c>
      <c r="Q210">
        <f>IF(AND($O210&lt;&gt;"",$P210&lt;&gt;""),$O210&amp;TEXT($P210,"00"),"")</f>
        <v/>
      </c>
    </row>
    <row r="211">
      <c r="H211">
        <f>A211</f>
        <v/>
      </c>
      <c r="J211">
        <f>IF($I211&lt;&gt;"",$I211,$A211)</f>
        <v/>
      </c>
      <c r="K211">
        <f>IF($C211="","",IF(LEN($C211)=1,CODE(UPPER($C211))-64,IFERROR(VALUE(MID($C211,2,99)),"")))</f>
        <v/>
      </c>
      <c r="L211">
        <f>IF($D211="","",IFERROR(VALUE($D211),""))</f>
        <v/>
      </c>
      <c r="M211">
        <f>IFERROR(VALUE(MID($A211,FIND("Level",$A211)+5,99)),IF($E211="AISLE_FLOOR",0,IF($E211="OVERFLOW",0,IF($E211="ENDCAP",0,""))))</f>
        <v/>
      </c>
      <c r="N211">
        <f>IF(AND($B211&lt;&gt;"",$C211&lt;&gt;"",ISNUMBER(--$D211)), $B211&amp;": "&amp;LEFT($C211,1)&amp;TEXT(--$D211,"00"), IF($I211&lt;&gt;"",$I211,$A211))</f>
        <v/>
      </c>
      <c r="O211">
        <f>IF(AND($C211&lt;&gt;"",ISNUMBER(--$D211)),LEFT($C211,1),"")</f>
        <v/>
      </c>
      <c r="P211">
        <f>IF(ISNUMBER(--$D211),--$D211,"")</f>
        <v/>
      </c>
      <c r="Q211">
        <f>IF(AND($O211&lt;&gt;"",$P211&lt;&gt;""),$O211&amp;TEXT($P211,"00"),"")</f>
        <v/>
      </c>
    </row>
    <row r="212">
      <c r="H212">
        <f>A212</f>
        <v/>
      </c>
      <c r="J212">
        <f>IF($I212&lt;&gt;"",$I212,$A212)</f>
        <v/>
      </c>
      <c r="K212">
        <f>IF($C212="","",IF(LEN($C212)=1,CODE(UPPER($C212))-64,IFERROR(VALUE(MID($C212,2,99)),"")))</f>
        <v/>
      </c>
      <c r="L212">
        <f>IF($D212="","",IFERROR(VALUE($D212),""))</f>
        <v/>
      </c>
      <c r="M212">
        <f>IFERROR(VALUE(MID($A212,FIND("Level",$A212)+5,99)),IF($E212="AISLE_FLOOR",0,IF($E212="OVERFLOW",0,IF($E212="ENDCAP",0,""))))</f>
        <v/>
      </c>
      <c r="N212">
        <f>IF(AND($B212&lt;&gt;"",$C212&lt;&gt;"",ISNUMBER(--$D212)), $B212&amp;": "&amp;LEFT($C212,1)&amp;TEXT(--$D212,"00"), IF($I212&lt;&gt;"",$I212,$A212))</f>
        <v/>
      </c>
      <c r="O212">
        <f>IF(AND($C212&lt;&gt;"",ISNUMBER(--$D212)),LEFT($C212,1),"")</f>
        <v/>
      </c>
      <c r="P212">
        <f>IF(ISNUMBER(--$D212),--$D212,"")</f>
        <v/>
      </c>
      <c r="Q212">
        <f>IF(AND($O212&lt;&gt;"",$P212&lt;&gt;""),$O212&amp;TEXT($P212,"00"),"")</f>
        <v/>
      </c>
    </row>
    <row r="213">
      <c r="H213">
        <f>A213</f>
        <v/>
      </c>
      <c r="J213">
        <f>IF($I213&lt;&gt;"",$I213,$A213)</f>
        <v/>
      </c>
      <c r="K213">
        <f>IF($C213="","",IF(LEN($C213)=1,CODE(UPPER($C213))-64,IFERROR(VALUE(MID($C213,2,99)),"")))</f>
        <v/>
      </c>
      <c r="L213">
        <f>IF($D213="","",IFERROR(VALUE($D213),""))</f>
        <v/>
      </c>
      <c r="M213">
        <f>IFERROR(VALUE(MID($A213,FIND("Level",$A213)+5,99)),IF($E213="AISLE_FLOOR",0,IF($E213="OVERFLOW",0,IF($E213="ENDCAP",0,""))))</f>
        <v/>
      </c>
      <c r="N213">
        <f>IF(AND($B213&lt;&gt;"",$C213&lt;&gt;"",ISNUMBER(--$D213)), $B213&amp;": "&amp;LEFT($C213,1)&amp;TEXT(--$D213,"00"), IF($I213&lt;&gt;"",$I213,$A213))</f>
        <v/>
      </c>
      <c r="O213">
        <f>IF(AND($C213&lt;&gt;"",ISNUMBER(--$D213)),LEFT($C213,1),"")</f>
        <v/>
      </c>
      <c r="P213">
        <f>IF(ISNUMBER(--$D213),--$D213,"")</f>
        <v/>
      </c>
      <c r="Q213">
        <f>IF(AND($O213&lt;&gt;"",$P213&lt;&gt;""),$O213&amp;TEXT($P213,"00"),"")</f>
        <v/>
      </c>
    </row>
    <row r="214">
      <c r="H214">
        <f>A214</f>
        <v/>
      </c>
      <c r="J214">
        <f>IF($I214&lt;&gt;"",$I214,$A214)</f>
        <v/>
      </c>
      <c r="K214">
        <f>IF($C214="","",IF(LEN($C214)=1,CODE(UPPER($C214))-64,IFERROR(VALUE(MID($C214,2,99)),"")))</f>
        <v/>
      </c>
      <c r="L214">
        <f>IF($D214="","",IFERROR(VALUE($D214),""))</f>
        <v/>
      </c>
      <c r="M214">
        <f>IFERROR(VALUE(MID($A214,FIND("Level",$A214)+5,99)),IF($E214="AISLE_FLOOR",0,IF($E214="OVERFLOW",0,IF($E214="ENDCAP",0,""))))</f>
        <v/>
      </c>
      <c r="N214">
        <f>IF(AND($B214&lt;&gt;"",$C214&lt;&gt;"",ISNUMBER(--$D214)), $B214&amp;": "&amp;LEFT($C214,1)&amp;TEXT(--$D214,"00"), IF($I214&lt;&gt;"",$I214,$A214))</f>
        <v/>
      </c>
      <c r="O214">
        <f>IF(AND($C214&lt;&gt;"",ISNUMBER(--$D214)),LEFT($C214,1),"")</f>
        <v/>
      </c>
      <c r="P214">
        <f>IF(ISNUMBER(--$D214),--$D214,"")</f>
        <v/>
      </c>
      <c r="Q214">
        <f>IF(AND($O214&lt;&gt;"",$P214&lt;&gt;""),$O214&amp;TEXT($P214,"00"),"")</f>
        <v/>
      </c>
    </row>
    <row r="215">
      <c r="H215">
        <f>A215</f>
        <v/>
      </c>
      <c r="J215">
        <f>IF($I215&lt;&gt;"",$I215,$A215)</f>
        <v/>
      </c>
      <c r="K215">
        <f>IF($C215="","",IF(LEN($C215)=1,CODE(UPPER($C215))-64,IFERROR(VALUE(MID($C215,2,99)),"")))</f>
        <v/>
      </c>
      <c r="L215">
        <f>IF($D215="","",IFERROR(VALUE($D215),""))</f>
        <v/>
      </c>
      <c r="M215">
        <f>IFERROR(VALUE(MID($A215,FIND("Level",$A215)+5,99)),IF($E215="AISLE_FLOOR",0,IF($E215="OVERFLOW",0,IF($E215="ENDCAP",0,""))))</f>
        <v/>
      </c>
      <c r="N215">
        <f>IF(AND($B215&lt;&gt;"",$C215&lt;&gt;"",ISNUMBER(--$D215)), $B215&amp;": "&amp;LEFT($C215,1)&amp;TEXT(--$D215,"00"), IF($I215&lt;&gt;"",$I215,$A215))</f>
        <v/>
      </c>
      <c r="O215">
        <f>IF(AND($C215&lt;&gt;"",ISNUMBER(--$D215)),LEFT($C215,1),"")</f>
        <v/>
      </c>
      <c r="P215">
        <f>IF(ISNUMBER(--$D215),--$D215,"")</f>
        <v/>
      </c>
      <c r="Q215">
        <f>IF(AND($O215&lt;&gt;"",$P215&lt;&gt;""),$O215&amp;TEXT($P215,"00"),"")</f>
        <v/>
      </c>
    </row>
    <row r="216">
      <c r="H216">
        <f>A216</f>
        <v/>
      </c>
      <c r="J216">
        <f>IF($I216&lt;&gt;"",$I216,$A216)</f>
        <v/>
      </c>
      <c r="K216">
        <f>IF($C216="","",IF(LEN($C216)=1,CODE(UPPER($C216))-64,IFERROR(VALUE(MID($C216,2,99)),"")))</f>
        <v/>
      </c>
      <c r="L216">
        <f>IF($D216="","",IFERROR(VALUE($D216),""))</f>
        <v/>
      </c>
      <c r="M216">
        <f>IFERROR(VALUE(MID($A216,FIND("Level",$A216)+5,99)),IF($E216="AISLE_FLOOR",0,IF($E216="OVERFLOW",0,IF($E216="ENDCAP",0,""))))</f>
        <v/>
      </c>
      <c r="N216">
        <f>IF(AND($B216&lt;&gt;"",$C216&lt;&gt;"",ISNUMBER(--$D216)), $B216&amp;": "&amp;LEFT($C216,1)&amp;TEXT(--$D216,"00"), IF($I216&lt;&gt;"",$I216,$A216))</f>
        <v/>
      </c>
      <c r="O216">
        <f>IF(AND($C216&lt;&gt;"",ISNUMBER(--$D216)),LEFT($C216,1),"")</f>
        <v/>
      </c>
      <c r="P216">
        <f>IF(ISNUMBER(--$D216),--$D216,"")</f>
        <v/>
      </c>
      <c r="Q216">
        <f>IF(AND($O216&lt;&gt;"",$P216&lt;&gt;""),$O216&amp;TEXT($P216,"00"),"")</f>
        <v/>
      </c>
    </row>
    <row r="217">
      <c r="H217">
        <f>A217</f>
        <v/>
      </c>
      <c r="J217">
        <f>IF($I217&lt;&gt;"",$I217,$A217)</f>
        <v/>
      </c>
      <c r="K217">
        <f>IF($C217="","",IF(LEN($C217)=1,CODE(UPPER($C217))-64,IFERROR(VALUE(MID($C217,2,99)),"")))</f>
        <v/>
      </c>
      <c r="L217">
        <f>IF($D217="","",IFERROR(VALUE($D217),""))</f>
        <v/>
      </c>
      <c r="M217">
        <f>IFERROR(VALUE(MID($A217,FIND("Level",$A217)+5,99)),IF($E217="AISLE_FLOOR",0,IF($E217="OVERFLOW",0,IF($E217="ENDCAP",0,""))))</f>
        <v/>
      </c>
      <c r="N217">
        <f>IF(AND($B217&lt;&gt;"",$C217&lt;&gt;"",ISNUMBER(--$D217)), $B217&amp;": "&amp;LEFT($C217,1)&amp;TEXT(--$D217,"00"), IF($I217&lt;&gt;"",$I217,$A217))</f>
        <v/>
      </c>
      <c r="O217">
        <f>IF(AND($C217&lt;&gt;"",ISNUMBER(--$D217)),LEFT($C217,1),"")</f>
        <v/>
      </c>
      <c r="P217">
        <f>IF(ISNUMBER(--$D217),--$D217,"")</f>
        <v/>
      </c>
      <c r="Q217">
        <f>IF(AND($O217&lt;&gt;"",$P217&lt;&gt;""),$O217&amp;TEXT($P217,"00"),"")</f>
        <v/>
      </c>
    </row>
    <row r="218">
      <c r="H218">
        <f>A218</f>
        <v/>
      </c>
      <c r="J218">
        <f>IF($I218&lt;&gt;"",$I218,$A218)</f>
        <v/>
      </c>
      <c r="K218">
        <f>IF($C218="","",IF(LEN($C218)=1,CODE(UPPER($C218))-64,IFERROR(VALUE(MID($C218,2,99)),"")))</f>
        <v/>
      </c>
      <c r="L218">
        <f>IF($D218="","",IFERROR(VALUE($D218),""))</f>
        <v/>
      </c>
      <c r="M218">
        <f>IFERROR(VALUE(MID($A218,FIND("Level",$A218)+5,99)),IF($E218="AISLE_FLOOR",0,IF($E218="OVERFLOW",0,IF($E218="ENDCAP",0,""))))</f>
        <v/>
      </c>
      <c r="N218">
        <f>IF(AND($B218&lt;&gt;"",$C218&lt;&gt;"",ISNUMBER(--$D218)), $B218&amp;": "&amp;LEFT($C218,1)&amp;TEXT(--$D218,"00"), IF($I218&lt;&gt;"",$I218,$A218))</f>
        <v/>
      </c>
      <c r="O218">
        <f>IF(AND($C218&lt;&gt;"",ISNUMBER(--$D218)),LEFT($C218,1),"")</f>
        <v/>
      </c>
      <c r="P218">
        <f>IF(ISNUMBER(--$D218),--$D218,"")</f>
        <v/>
      </c>
      <c r="Q218">
        <f>IF(AND($O218&lt;&gt;"",$P218&lt;&gt;""),$O218&amp;TEXT($P218,"00"),"")</f>
        <v/>
      </c>
    </row>
    <row r="219">
      <c r="H219">
        <f>A219</f>
        <v/>
      </c>
      <c r="J219">
        <f>IF($I219&lt;&gt;"",$I219,$A219)</f>
        <v/>
      </c>
      <c r="K219">
        <f>IF($C219="","",IF(LEN($C219)=1,CODE(UPPER($C219))-64,IFERROR(VALUE(MID($C219,2,99)),"")))</f>
        <v/>
      </c>
      <c r="L219">
        <f>IF($D219="","",IFERROR(VALUE($D219),""))</f>
        <v/>
      </c>
      <c r="M219">
        <f>IFERROR(VALUE(MID($A219,FIND("Level",$A219)+5,99)),IF($E219="AISLE_FLOOR",0,IF($E219="OVERFLOW",0,IF($E219="ENDCAP",0,""))))</f>
        <v/>
      </c>
      <c r="N219">
        <f>IF(AND($B219&lt;&gt;"",$C219&lt;&gt;"",ISNUMBER(--$D219)), $B219&amp;": "&amp;LEFT($C219,1)&amp;TEXT(--$D219,"00"), IF($I219&lt;&gt;"",$I219,$A219))</f>
        <v/>
      </c>
      <c r="O219">
        <f>IF(AND($C219&lt;&gt;"",ISNUMBER(--$D219)),LEFT($C219,1),"")</f>
        <v/>
      </c>
      <c r="P219">
        <f>IF(ISNUMBER(--$D219),--$D219,"")</f>
        <v/>
      </c>
      <c r="Q219">
        <f>IF(AND($O219&lt;&gt;"",$P219&lt;&gt;""),$O219&amp;TEXT($P219,"00"),"")</f>
        <v/>
      </c>
    </row>
    <row r="220">
      <c r="H220">
        <f>A220</f>
        <v/>
      </c>
      <c r="J220">
        <f>IF($I220&lt;&gt;"",$I220,$A220)</f>
        <v/>
      </c>
      <c r="K220">
        <f>IF($C220="","",IF(LEN($C220)=1,CODE(UPPER($C220))-64,IFERROR(VALUE(MID($C220,2,99)),"")))</f>
        <v/>
      </c>
      <c r="L220">
        <f>IF($D220="","",IFERROR(VALUE($D220),""))</f>
        <v/>
      </c>
      <c r="M220">
        <f>IFERROR(VALUE(MID($A220,FIND("Level",$A220)+5,99)),IF($E220="AISLE_FLOOR",0,IF($E220="OVERFLOW",0,IF($E220="ENDCAP",0,""))))</f>
        <v/>
      </c>
      <c r="N220">
        <f>IF(AND($B220&lt;&gt;"",$C220&lt;&gt;"",ISNUMBER(--$D220)), $B220&amp;": "&amp;LEFT($C220,1)&amp;TEXT(--$D220,"00"), IF($I220&lt;&gt;"",$I220,$A220))</f>
        <v/>
      </c>
      <c r="O220">
        <f>IF(AND($C220&lt;&gt;"",ISNUMBER(--$D220)),LEFT($C220,1),"")</f>
        <v/>
      </c>
      <c r="P220">
        <f>IF(ISNUMBER(--$D220),--$D220,"")</f>
        <v/>
      </c>
      <c r="Q220">
        <f>IF(AND($O220&lt;&gt;"",$P220&lt;&gt;""),$O220&amp;TEXT($P220,"00"),"")</f>
        <v/>
      </c>
    </row>
    <row r="221">
      <c r="H221">
        <f>A221</f>
        <v/>
      </c>
      <c r="J221">
        <f>IF($I221&lt;&gt;"",$I221,$A221)</f>
        <v/>
      </c>
      <c r="K221">
        <f>IF($C221="","",IF(LEN($C221)=1,CODE(UPPER($C221))-64,IFERROR(VALUE(MID($C221,2,99)),"")))</f>
        <v/>
      </c>
      <c r="L221">
        <f>IF($D221="","",IFERROR(VALUE($D221),""))</f>
        <v/>
      </c>
      <c r="M221">
        <f>IFERROR(VALUE(MID($A221,FIND("Level",$A221)+5,99)),IF($E221="AISLE_FLOOR",0,IF($E221="OVERFLOW",0,IF($E221="ENDCAP",0,""))))</f>
        <v/>
      </c>
      <c r="N221">
        <f>IF(AND($B221&lt;&gt;"",$C221&lt;&gt;"",ISNUMBER(--$D221)), $B221&amp;": "&amp;LEFT($C221,1)&amp;TEXT(--$D221,"00"), IF($I221&lt;&gt;"",$I221,$A221))</f>
        <v/>
      </c>
      <c r="O221">
        <f>IF(AND($C221&lt;&gt;"",ISNUMBER(--$D221)),LEFT($C221,1),"")</f>
        <v/>
      </c>
      <c r="P221">
        <f>IF(ISNUMBER(--$D221),--$D221,"")</f>
        <v/>
      </c>
      <c r="Q221">
        <f>IF(AND($O221&lt;&gt;"",$P221&lt;&gt;""),$O221&amp;TEXT($P221,"00"),"")</f>
        <v/>
      </c>
    </row>
    <row r="222">
      <c r="H222">
        <f>A222</f>
        <v/>
      </c>
      <c r="J222">
        <f>IF($I222&lt;&gt;"",$I222,$A222)</f>
        <v/>
      </c>
      <c r="K222">
        <f>IF($C222="","",IF(LEN($C222)=1,CODE(UPPER($C222))-64,IFERROR(VALUE(MID($C222,2,99)),"")))</f>
        <v/>
      </c>
      <c r="L222">
        <f>IF($D222="","",IFERROR(VALUE($D222),""))</f>
        <v/>
      </c>
      <c r="M222">
        <f>IFERROR(VALUE(MID($A222,FIND("Level",$A222)+5,99)),IF($E222="AISLE_FLOOR",0,IF($E222="OVERFLOW",0,IF($E222="ENDCAP",0,""))))</f>
        <v/>
      </c>
      <c r="N222">
        <f>IF(AND($B222&lt;&gt;"",$C222&lt;&gt;"",ISNUMBER(--$D222)), $B222&amp;": "&amp;LEFT($C222,1)&amp;TEXT(--$D222,"00"), IF($I222&lt;&gt;"",$I222,$A222))</f>
        <v/>
      </c>
      <c r="O222">
        <f>IF(AND($C222&lt;&gt;"",ISNUMBER(--$D222)),LEFT($C222,1),"")</f>
        <v/>
      </c>
      <c r="P222">
        <f>IF(ISNUMBER(--$D222),--$D222,"")</f>
        <v/>
      </c>
      <c r="Q222">
        <f>IF(AND($O222&lt;&gt;"",$P222&lt;&gt;""),$O222&amp;TEXT($P222,"00"),"")</f>
        <v/>
      </c>
    </row>
    <row r="223">
      <c r="H223">
        <f>A223</f>
        <v/>
      </c>
      <c r="J223">
        <f>IF($I223&lt;&gt;"",$I223,$A223)</f>
        <v/>
      </c>
      <c r="K223">
        <f>IF($C223="","",IF(LEN($C223)=1,CODE(UPPER($C223))-64,IFERROR(VALUE(MID($C223,2,99)),"")))</f>
        <v/>
      </c>
      <c r="L223">
        <f>IF($D223="","",IFERROR(VALUE($D223),""))</f>
        <v/>
      </c>
      <c r="M223">
        <f>IFERROR(VALUE(MID($A223,FIND("Level",$A223)+5,99)),IF($E223="AISLE_FLOOR",0,IF($E223="OVERFLOW",0,IF($E223="ENDCAP",0,""))))</f>
        <v/>
      </c>
      <c r="N223">
        <f>IF(AND($B223&lt;&gt;"",$C223&lt;&gt;"",ISNUMBER(--$D223)), $B223&amp;": "&amp;LEFT($C223,1)&amp;TEXT(--$D223,"00"), IF($I223&lt;&gt;"",$I223,$A223))</f>
        <v/>
      </c>
      <c r="O223">
        <f>IF(AND($C223&lt;&gt;"",ISNUMBER(--$D223)),LEFT($C223,1),"")</f>
        <v/>
      </c>
      <c r="P223">
        <f>IF(ISNUMBER(--$D223),--$D223,"")</f>
        <v/>
      </c>
      <c r="Q223">
        <f>IF(AND($O223&lt;&gt;"",$P223&lt;&gt;""),$O223&amp;TEXT($P223,"00"),"")</f>
        <v/>
      </c>
    </row>
    <row r="224">
      <c r="H224">
        <f>A224</f>
        <v/>
      </c>
      <c r="J224">
        <f>IF($I224&lt;&gt;"",$I224,$A224)</f>
        <v/>
      </c>
      <c r="K224">
        <f>IF($C224="","",IF(LEN($C224)=1,CODE(UPPER($C224))-64,IFERROR(VALUE(MID($C224,2,99)),"")))</f>
        <v/>
      </c>
      <c r="L224">
        <f>IF($D224="","",IFERROR(VALUE($D224),""))</f>
        <v/>
      </c>
      <c r="M224">
        <f>IFERROR(VALUE(MID($A224,FIND("Level",$A224)+5,99)),IF($E224="AISLE_FLOOR",0,IF($E224="OVERFLOW",0,IF($E224="ENDCAP",0,""))))</f>
        <v/>
      </c>
      <c r="N224">
        <f>IF(AND($B224&lt;&gt;"",$C224&lt;&gt;"",ISNUMBER(--$D224)), $B224&amp;": "&amp;LEFT($C224,1)&amp;TEXT(--$D224,"00"), IF($I224&lt;&gt;"",$I224,$A224))</f>
        <v/>
      </c>
      <c r="O224">
        <f>IF(AND($C224&lt;&gt;"",ISNUMBER(--$D224)),LEFT($C224,1),"")</f>
        <v/>
      </c>
      <c r="P224">
        <f>IF(ISNUMBER(--$D224),--$D224,"")</f>
        <v/>
      </c>
      <c r="Q224">
        <f>IF(AND($O224&lt;&gt;"",$P224&lt;&gt;""),$O224&amp;TEXT($P224,"00"),"")</f>
        <v/>
      </c>
    </row>
    <row r="225">
      <c r="H225">
        <f>A225</f>
        <v/>
      </c>
      <c r="J225">
        <f>IF($I225&lt;&gt;"",$I225,$A225)</f>
        <v/>
      </c>
      <c r="K225">
        <f>IF($C225="","",IF(LEN($C225)=1,CODE(UPPER($C225))-64,IFERROR(VALUE(MID($C225,2,99)),"")))</f>
        <v/>
      </c>
      <c r="L225">
        <f>IF($D225="","",IFERROR(VALUE($D225),""))</f>
        <v/>
      </c>
      <c r="M225">
        <f>IFERROR(VALUE(MID($A225,FIND("Level",$A225)+5,99)),IF($E225="AISLE_FLOOR",0,IF($E225="OVERFLOW",0,IF($E225="ENDCAP",0,""))))</f>
        <v/>
      </c>
      <c r="N225">
        <f>IF(AND($B225&lt;&gt;"",$C225&lt;&gt;"",ISNUMBER(--$D225)), $B225&amp;": "&amp;LEFT($C225,1)&amp;TEXT(--$D225,"00"), IF($I225&lt;&gt;"",$I225,$A225))</f>
        <v/>
      </c>
      <c r="O225">
        <f>IF(AND($C225&lt;&gt;"",ISNUMBER(--$D225)),LEFT($C225,1),"")</f>
        <v/>
      </c>
      <c r="P225">
        <f>IF(ISNUMBER(--$D225),--$D225,"")</f>
        <v/>
      </c>
      <c r="Q225">
        <f>IF(AND($O225&lt;&gt;"",$P225&lt;&gt;""),$O225&amp;TEXT($P225,"00"),"")</f>
        <v/>
      </c>
    </row>
    <row r="226">
      <c r="H226">
        <f>A226</f>
        <v/>
      </c>
      <c r="J226">
        <f>IF($I226&lt;&gt;"",$I226,$A226)</f>
        <v/>
      </c>
      <c r="K226">
        <f>IF($C226="","",IF(LEN($C226)=1,CODE(UPPER($C226))-64,IFERROR(VALUE(MID($C226,2,99)),"")))</f>
        <v/>
      </c>
      <c r="L226">
        <f>IF($D226="","",IFERROR(VALUE($D226),""))</f>
        <v/>
      </c>
      <c r="M226">
        <f>IFERROR(VALUE(MID($A226,FIND("Level",$A226)+5,99)),IF($E226="AISLE_FLOOR",0,IF($E226="OVERFLOW",0,IF($E226="ENDCAP",0,""))))</f>
        <v/>
      </c>
      <c r="N226">
        <f>IF(AND($B226&lt;&gt;"",$C226&lt;&gt;"",ISNUMBER(--$D226)), $B226&amp;": "&amp;LEFT($C226,1)&amp;TEXT(--$D226,"00"), IF($I226&lt;&gt;"",$I226,$A226))</f>
        <v/>
      </c>
      <c r="O226">
        <f>IF(AND($C226&lt;&gt;"",ISNUMBER(--$D226)),LEFT($C226,1),"")</f>
        <v/>
      </c>
      <c r="P226">
        <f>IF(ISNUMBER(--$D226),--$D226,"")</f>
        <v/>
      </c>
      <c r="Q226">
        <f>IF(AND($O226&lt;&gt;"",$P226&lt;&gt;""),$O226&amp;TEXT($P226,"00"),"")</f>
        <v/>
      </c>
    </row>
    <row r="227">
      <c r="H227">
        <f>A227</f>
        <v/>
      </c>
      <c r="J227">
        <f>IF($I227&lt;&gt;"",$I227,$A227)</f>
        <v/>
      </c>
      <c r="K227">
        <f>IF($C227="","",IF(LEN($C227)=1,CODE(UPPER($C227))-64,IFERROR(VALUE(MID($C227,2,99)),"")))</f>
        <v/>
      </c>
      <c r="L227">
        <f>IF($D227="","",IFERROR(VALUE($D227),""))</f>
        <v/>
      </c>
      <c r="M227">
        <f>IFERROR(VALUE(MID($A227,FIND("Level",$A227)+5,99)),IF($E227="AISLE_FLOOR",0,IF($E227="OVERFLOW",0,IF($E227="ENDCAP",0,""))))</f>
        <v/>
      </c>
      <c r="N227">
        <f>IF(AND($B227&lt;&gt;"",$C227&lt;&gt;"",ISNUMBER(--$D227)), $B227&amp;": "&amp;LEFT($C227,1)&amp;TEXT(--$D227,"00"), IF($I227&lt;&gt;"",$I227,$A227))</f>
        <v/>
      </c>
      <c r="O227">
        <f>IF(AND($C227&lt;&gt;"",ISNUMBER(--$D227)),LEFT($C227,1),"")</f>
        <v/>
      </c>
      <c r="P227">
        <f>IF(ISNUMBER(--$D227),--$D227,"")</f>
        <v/>
      </c>
      <c r="Q227">
        <f>IF(AND($O227&lt;&gt;"",$P227&lt;&gt;""),$O227&amp;TEXT($P227,"00"),"")</f>
        <v/>
      </c>
    </row>
    <row r="228">
      <c r="H228">
        <f>A228</f>
        <v/>
      </c>
      <c r="J228">
        <f>IF($I228&lt;&gt;"",$I228,$A228)</f>
        <v/>
      </c>
      <c r="K228">
        <f>IF($C228="","",IF(LEN($C228)=1,CODE(UPPER($C228))-64,IFERROR(VALUE(MID($C228,2,99)),"")))</f>
        <v/>
      </c>
      <c r="L228">
        <f>IF($D228="","",IFERROR(VALUE($D228),""))</f>
        <v/>
      </c>
      <c r="M228">
        <f>IFERROR(VALUE(MID($A228,FIND("Level",$A228)+5,99)),IF($E228="AISLE_FLOOR",0,IF($E228="OVERFLOW",0,IF($E228="ENDCAP",0,""))))</f>
        <v/>
      </c>
      <c r="N228">
        <f>IF(AND($B228&lt;&gt;"",$C228&lt;&gt;"",ISNUMBER(--$D228)), $B228&amp;": "&amp;LEFT($C228,1)&amp;TEXT(--$D228,"00"), IF($I228&lt;&gt;"",$I228,$A228))</f>
        <v/>
      </c>
      <c r="O228">
        <f>IF(AND($C228&lt;&gt;"",ISNUMBER(--$D228)),LEFT($C228,1),"")</f>
        <v/>
      </c>
      <c r="P228">
        <f>IF(ISNUMBER(--$D228),--$D228,"")</f>
        <v/>
      </c>
      <c r="Q228">
        <f>IF(AND($O228&lt;&gt;"",$P228&lt;&gt;""),$O228&amp;TEXT($P228,"00"),"")</f>
        <v/>
      </c>
    </row>
    <row r="229">
      <c r="H229">
        <f>A229</f>
        <v/>
      </c>
      <c r="J229">
        <f>IF($I229&lt;&gt;"",$I229,$A229)</f>
        <v/>
      </c>
      <c r="K229">
        <f>IF($C229="","",IF(LEN($C229)=1,CODE(UPPER($C229))-64,IFERROR(VALUE(MID($C229,2,99)),"")))</f>
        <v/>
      </c>
      <c r="L229">
        <f>IF($D229="","",IFERROR(VALUE($D229),""))</f>
        <v/>
      </c>
      <c r="M229">
        <f>IFERROR(VALUE(MID($A229,FIND("Level",$A229)+5,99)),IF($E229="AISLE_FLOOR",0,IF($E229="OVERFLOW",0,IF($E229="ENDCAP",0,""))))</f>
        <v/>
      </c>
      <c r="N229">
        <f>IF(AND($B229&lt;&gt;"",$C229&lt;&gt;"",ISNUMBER(--$D229)), $B229&amp;": "&amp;LEFT($C229,1)&amp;TEXT(--$D229,"00"), IF($I229&lt;&gt;"",$I229,$A229))</f>
        <v/>
      </c>
      <c r="O229">
        <f>IF(AND($C229&lt;&gt;"",ISNUMBER(--$D229)),LEFT($C229,1),"")</f>
        <v/>
      </c>
      <c r="P229">
        <f>IF(ISNUMBER(--$D229),--$D229,"")</f>
        <v/>
      </c>
      <c r="Q229">
        <f>IF(AND($O229&lt;&gt;"",$P229&lt;&gt;""),$O229&amp;TEXT($P229,"00"),"")</f>
        <v/>
      </c>
    </row>
    <row r="230">
      <c r="H230">
        <f>A230</f>
        <v/>
      </c>
      <c r="J230">
        <f>IF($I230&lt;&gt;"",$I230,$A230)</f>
        <v/>
      </c>
      <c r="K230">
        <f>IF($C230="","",IF(LEN($C230)=1,CODE(UPPER($C230))-64,IFERROR(VALUE(MID($C230,2,99)),"")))</f>
        <v/>
      </c>
      <c r="L230">
        <f>IF($D230="","",IFERROR(VALUE($D230),""))</f>
        <v/>
      </c>
      <c r="M230">
        <f>IFERROR(VALUE(MID($A230,FIND("Level",$A230)+5,99)),IF($E230="AISLE_FLOOR",0,IF($E230="OVERFLOW",0,IF($E230="ENDCAP",0,""))))</f>
        <v/>
      </c>
      <c r="N230">
        <f>IF(AND($B230&lt;&gt;"",$C230&lt;&gt;"",ISNUMBER(--$D230)), $B230&amp;": "&amp;LEFT($C230,1)&amp;TEXT(--$D230,"00"), IF($I230&lt;&gt;"",$I230,$A230))</f>
        <v/>
      </c>
      <c r="O230">
        <f>IF(AND($C230&lt;&gt;"",ISNUMBER(--$D230)),LEFT($C230,1),"")</f>
        <v/>
      </c>
      <c r="P230">
        <f>IF(ISNUMBER(--$D230),--$D230,"")</f>
        <v/>
      </c>
      <c r="Q230">
        <f>IF(AND($O230&lt;&gt;"",$P230&lt;&gt;""),$O230&amp;TEXT($P230,"00"),"")</f>
        <v/>
      </c>
    </row>
    <row r="231">
      <c r="H231">
        <f>A231</f>
        <v/>
      </c>
      <c r="J231">
        <f>IF($I231&lt;&gt;"",$I231,$A231)</f>
        <v/>
      </c>
      <c r="K231">
        <f>IF($C231="","",IF(LEN($C231)=1,CODE(UPPER($C231))-64,IFERROR(VALUE(MID($C231,2,99)),"")))</f>
        <v/>
      </c>
      <c r="L231">
        <f>IF($D231="","",IFERROR(VALUE($D231),""))</f>
        <v/>
      </c>
      <c r="M231">
        <f>IFERROR(VALUE(MID($A231,FIND("Level",$A231)+5,99)),IF($E231="AISLE_FLOOR",0,IF($E231="OVERFLOW",0,IF($E231="ENDCAP",0,""))))</f>
        <v/>
      </c>
      <c r="N231">
        <f>IF(AND($B231&lt;&gt;"",$C231&lt;&gt;"",ISNUMBER(--$D231)), $B231&amp;": "&amp;LEFT($C231,1)&amp;TEXT(--$D231,"00"), IF($I231&lt;&gt;"",$I231,$A231))</f>
        <v/>
      </c>
      <c r="O231">
        <f>IF(AND($C231&lt;&gt;"",ISNUMBER(--$D231)),LEFT($C231,1),"")</f>
        <v/>
      </c>
      <c r="P231">
        <f>IF(ISNUMBER(--$D231),--$D231,"")</f>
        <v/>
      </c>
      <c r="Q231">
        <f>IF(AND($O231&lt;&gt;"",$P231&lt;&gt;""),$O231&amp;TEXT($P231,"00"),"")</f>
        <v/>
      </c>
    </row>
    <row r="232">
      <c r="H232">
        <f>A232</f>
        <v/>
      </c>
      <c r="J232">
        <f>IF($I232&lt;&gt;"",$I232,$A232)</f>
        <v/>
      </c>
      <c r="K232">
        <f>IF($C232="","",IF(LEN($C232)=1,CODE(UPPER($C232))-64,IFERROR(VALUE(MID($C232,2,99)),"")))</f>
        <v/>
      </c>
      <c r="L232">
        <f>IF($D232="","",IFERROR(VALUE($D232),""))</f>
        <v/>
      </c>
      <c r="M232">
        <f>IFERROR(VALUE(MID($A232,FIND("Level",$A232)+5,99)),IF($E232="AISLE_FLOOR",0,IF($E232="OVERFLOW",0,IF($E232="ENDCAP",0,""))))</f>
        <v/>
      </c>
      <c r="N232">
        <f>IF(AND($B232&lt;&gt;"",$C232&lt;&gt;"",ISNUMBER(--$D232)), $B232&amp;": "&amp;LEFT($C232,1)&amp;TEXT(--$D232,"00"), IF($I232&lt;&gt;"",$I232,$A232))</f>
        <v/>
      </c>
      <c r="O232">
        <f>IF(AND($C232&lt;&gt;"",ISNUMBER(--$D232)),LEFT($C232,1),"")</f>
        <v/>
      </c>
      <c r="P232">
        <f>IF(ISNUMBER(--$D232),--$D232,"")</f>
        <v/>
      </c>
      <c r="Q232">
        <f>IF(AND($O232&lt;&gt;"",$P232&lt;&gt;""),$O232&amp;TEXT($P232,"00"),"")</f>
        <v/>
      </c>
    </row>
    <row r="233">
      <c r="H233">
        <f>A233</f>
        <v/>
      </c>
      <c r="J233">
        <f>IF($I233&lt;&gt;"",$I233,$A233)</f>
        <v/>
      </c>
      <c r="K233">
        <f>IF($C233="","",IF(LEN($C233)=1,CODE(UPPER($C233))-64,IFERROR(VALUE(MID($C233,2,99)),"")))</f>
        <v/>
      </c>
      <c r="L233">
        <f>IF($D233="","",IFERROR(VALUE($D233),""))</f>
        <v/>
      </c>
      <c r="M233">
        <f>IFERROR(VALUE(MID($A233,FIND("Level",$A233)+5,99)),IF($E233="AISLE_FLOOR",0,IF($E233="OVERFLOW",0,IF($E233="ENDCAP",0,""))))</f>
        <v/>
      </c>
      <c r="N233">
        <f>IF(AND($B233&lt;&gt;"",$C233&lt;&gt;"",ISNUMBER(--$D233)), $B233&amp;": "&amp;LEFT($C233,1)&amp;TEXT(--$D233,"00"), IF($I233&lt;&gt;"",$I233,$A233))</f>
        <v/>
      </c>
      <c r="O233">
        <f>IF(AND($C233&lt;&gt;"",ISNUMBER(--$D233)),LEFT($C233,1),"")</f>
        <v/>
      </c>
      <c r="P233">
        <f>IF(ISNUMBER(--$D233),--$D233,"")</f>
        <v/>
      </c>
      <c r="Q233">
        <f>IF(AND($O233&lt;&gt;"",$P233&lt;&gt;""),$O233&amp;TEXT($P233,"00"),"")</f>
        <v/>
      </c>
    </row>
    <row r="234">
      <c r="H234">
        <f>A234</f>
        <v/>
      </c>
      <c r="J234">
        <f>IF($I234&lt;&gt;"",$I234,$A234)</f>
        <v/>
      </c>
      <c r="K234">
        <f>IF($C234="","",IF(LEN($C234)=1,CODE(UPPER($C234))-64,IFERROR(VALUE(MID($C234,2,99)),"")))</f>
        <v/>
      </c>
      <c r="L234">
        <f>IF($D234="","",IFERROR(VALUE($D234),""))</f>
        <v/>
      </c>
      <c r="M234">
        <f>IFERROR(VALUE(MID($A234,FIND("Level",$A234)+5,99)),IF($E234="AISLE_FLOOR",0,IF($E234="OVERFLOW",0,IF($E234="ENDCAP",0,""))))</f>
        <v/>
      </c>
      <c r="N234">
        <f>IF(AND($B234&lt;&gt;"",$C234&lt;&gt;"",ISNUMBER(--$D234)), $B234&amp;": "&amp;LEFT($C234,1)&amp;TEXT(--$D234,"00"), IF($I234&lt;&gt;"",$I234,$A234))</f>
        <v/>
      </c>
      <c r="O234">
        <f>IF(AND($C234&lt;&gt;"",ISNUMBER(--$D234)),LEFT($C234,1),"")</f>
        <v/>
      </c>
      <c r="P234">
        <f>IF(ISNUMBER(--$D234),--$D234,"")</f>
        <v/>
      </c>
      <c r="Q234">
        <f>IF(AND($O234&lt;&gt;"",$P234&lt;&gt;""),$O234&amp;TEXT($P234,"00"),"")</f>
        <v/>
      </c>
    </row>
    <row r="235">
      <c r="H235">
        <f>A235</f>
        <v/>
      </c>
      <c r="J235">
        <f>IF($I235&lt;&gt;"",$I235,$A235)</f>
        <v/>
      </c>
      <c r="K235">
        <f>IF($C235="","",IF(LEN($C235)=1,CODE(UPPER($C235))-64,IFERROR(VALUE(MID($C235,2,99)),"")))</f>
        <v/>
      </c>
      <c r="L235">
        <f>IF($D235="","",IFERROR(VALUE($D235),""))</f>
        <v/>
      </c>
      <c r="M235">
        <f>IFERROR(VALUE(MID($A235,FIND("Level",$A235)+5,99)),IF($E235="AISLE_FLOOR",0,IF($E235="OVERFLOW",0,IF($E235="ENDCAP",0,""))))</f>
        <v/>
      </c>
      <c r="N235">
        <f>IF(AND($B235&lt;&gt;"",$C235&lt;&gt;"",ISNUMBER(--$D235)), $B235&amp;": "&amp;LEFT($C235,1)&amp;TEXT(--$D235,"00"), IF($I235&lt;&gt;"",$I235,$A235))</f>
        <v/>
      </c>
      <c r="O235">
        <f>IF(AND($C235&lt;&gt;"",ISNUMBER(--$D235)),LEFT($C235,1),"")</f>
        <v/>
      </c>
      <c r="P235">
        <f>IF(ISNUMBER(--$D235),--$D235,"")</f>
        <v/>
      </c>
      <c r="Q235">
        <f>IF(AND($O235&lt;&gt;"",$P235&lt;&gt;""),$O235&amp;TEXT($P235,"00"),"")</f>
        <v/>
      </c>
    </row>
    <row r="236">
      <c r="H236">
        <f>A236</f>
        <v/>
      </c>
      <c r="J236">
        <f>IF($I236&lt;&gt;"",$I236,$A236)</f>
        <v/>
      </c>
      <c r="K236">
        <f>IF($C236="","",IF(LEN($C236)=1,CODE(UPPER($C236))-64,IFERROR(VALUE(MID($C236,2,99)),"")))</f>
        <v/>
      </c>
      <c r="L236">
        <f>IF($D236="","",IFERROR(VALUE($D236),""))</f>
        <v/>
      </c>
      <c r="M236">
        <f>IFERROR(VALUE(MID($A236,FIND("Level",$A236)+5,99)),IF($E236="AISLE_FLOOR",0,IF($E236="OVERFLOW",0,IF($E236="ENDCAP",0,""))))</f>
        <v/>
      </c>
      <c r="N236">
        <f>IF(AND($B236&lt;&gt;"",$C236&lt;&gt;"",ISNUMBER(--$D236)), $B236&amp;": "&amp;LEFT($C236,1)&amp;TEXT(--$D236,"00"), IF($I236&lt;&gt;"",$I236,$A236))</f>
        <v/>
      </c>
      <c r="O236">
        <f>IF(AND($C236&lt;&gt;"",ISNUMBER(--$D236)),LEFT($C236,1),"")</f>
        <v/>
      </c>
      <c r="P236">
        <f>IF(ISNUMBER(--$D236),--$D236,"")</f>
        <v/>
      </c>
      <c r="Q236">
        <f>IF(AND($O236&lt;&gt;"",$P236&lt;&gt;""),$O236&amp;TEXT($P236,"00"),"")</f>
        <v/>
      </c>
    </row>
    <row r="237">
      <c r="H237">
        <f>A237</f>
        <v/>
      </c>
      <c r="J237">
        <f>IF($I237&lt;&gt;"",$I237,$A237)</f>
        <v/>
      </c>
      <c r="K237">
        <f>IF($C237="","",IF(LEN($C237)=1,CODE(UPPER($C237))-64,IFERROR(VALUE(MID($C237,2,99)),"")))</f>
        <v/>
      </c>
      <c r="L237">
        <f>IF($D237="","",IFERROR(VALUE($D237),""))</f>
        <v/>
      </c>
      <c r="M237">
        <f>IFERROR(VALUE(MID($A237,FIND("Level",$A237)+5,99)),IF($E237="AISLE_FLOOR",0,IF($E237="OVERFLOW",0,IF($E237="ENDCAP",0,""))))</f>
        <v/>
      </c>
      <c r="N237">
        <f>IF(AND($B237&lt;&gt;"",$C237&lt;&gt;"",ISNUMBER(--$D237)), $B237&amp;": "&amp;LEFT($C237,1)&amp;TEXT(--$D237,"00"), IF($I237&lt;&gt;"",$I237,$A237))</f>
        <v/>
      </c>
      <c r="O237">
        <f>IF(AND($C237&lt;&gt;"",ISNUMBER(--$D237)),LEFT($C237,1),"")</f>
        <v/>
      </c>
      <c r="P237">
        <f>IF(ISNUMBER(--$D237),--$D237,"")</f>
        <v/>
      </c>
      <c r="Q237">
        <f>IF(AND($O237&lt;&gt;"",$P237&lt;&gt;""),$O237&amp;TEXT($P237,"00"),"")</f>
        <v/>
      </c>
    </row>
    <row r="238">
      <c r="H238">
        <f>A238</f>
        <v/>
      </c>
      <c r="J238">
        <f>IF($I238&lt;&gt;"",$I238,$A238)</f>
        <v/>
      </c>
      <c r="K238">
        <f>IF($C238="","",IF(LEN($C238)=1,CODE(UPPER($C238))-64,IFERROR(VALUE(MID($C238,2,99)),"")))</f>
        <v/>
      </c>
      <c r="L238">
        <f>IF($D238="","",IFERROR(VALUE($D238),""))</f>
        <v/>
      </c>
      <c r="M238">
        <f>IFERROR(VALUE(MID($A238,FIND("Level",$A238)+5,99)),IF($E238="AISLE_FLOOR",0,IF($E238="OVERFLOW",0,IF($E238="ENDCAP",0,""))))</f>
        <v/>
      </c>
      <c r="N238">
        <f>IF(AND($B238&lt;&gt;"",$C238&lt;&gt;"",ISNUMBER(--$D238)), $B238&amp;": "&amp;LEFT($C238,1)&amp;TEXT(--$D238,"00"), IF($I238&lt;&gt;"",$I238,$A238))</f>
        <v/>
      </c>
      <c r="O238">
        <f>IF(AND($C238&lt;&gt;"",ISNUMBER(--$D238)),LEFT($C238,1),"")</f>
        <v/>
      </c>
      <c r="P238">
        <f>IF(ISNUMBER(--$D238),--$D238,"")</f>
        <v/>
      </c>
      <c r="Q238">
        <f>IF(AND($O238&lt;&gt;"",$P238&lt;&gt;""),$O238&amp;TEXT($P238,"00"),"")</f>
        <v/>
      </c>
    </row>
    <row r="239">
      <c r="H239">
        <f>A239</f>
        <v/>
      </c>
      <c r="J239">
        <f>IF($I239&lt;&gt;"",$I239,$A239)</f>
        <v/>
      </c>
      <c r="K239">
        <f>IF($C239="","",IF(LEN($C239)=1,CODE(UPPER($C239))-64,IFERROR(VALUE(MID($C239,2,99)),"")))</f>
        <v/>
      </c>
      <c r="L239">
        <f>IF($D239="","",IFERROR(VALUE($D239),""))</f>
        <v/>
      </c>
      <c r="M239">
        <f>IFERROR(VALUE(MID($A239,FIND("Level",$A239)+5,99)),IF($E239="AISLE_FLOOR",0,IF($E239="OVERFLOW",0,IF($E239="ENDCAP",0,""))))</f>
        <v/>
      </c>
      <c r="N239">
        <f>IF(AND($B239&lt;&gt;"",$C239&lt;&gt;"",ISNUMBER(--$D239)), $B239&amp;": "&amp;LEFT($C239,1)&amp;TEXT(--$D239,"00"), IF($I239&lt;&gt;"",$I239,$A239))</f>
        <v/>
      </c>
      <c r="O239">
        <f>IF(AND($C239&lt;&gt;"",ISNUMBER(--$D239)),LEFT($C239,1),"")</f>
        <v/>
      </c>
      <c r="P239">
        <f>IF(ISNUMBER(--$D239),--$D239,"")</f>
        <v/>
      </c>
      <c r="Q239">
        <f>IF(AND($O239&lt;&gt;"",$P239&lt;&gt;""),$O239&amp;TEXT($P239,"00"),"")</f>
        <v/>
      </c>
    </row>
    <row r="240">
      <c r="H240">
        <f>A240</f>
        <v/>
      </c>
      <c r="J240">
        <f>IF($I240&lt;&gt;"",$I240,$A240)</f>
        <v/>
      </c>
      <c r="K240">
        <f>IF($C240="","",IF(LEN($C240)=1,CODE(UPPER($C240))-64,IFERROR(VALUE(MID($C240,2,99)),"")))</f>
        <v/>
      </c>
      <c r="L240">
        <f>IF($D240="","",IFERROR(VALUE($D240),""))</f>
        <v/>
      </c>
      <c r="M240">
        <f>IFERROR(VALUE(MID($A240,FIND("Level",$A240)+5,99)),IF($E240="AISLE_FLOOR",0,IF($E240="OVERFLOW",0,IF($E240="ENDCAP",0,""))))</f>
        <v/>
      </c>
      <c r="N240">
        <f>IF(AND($B240&lt;&gt;"",$C240&lt;&gt;"",ISNUMBER(--$D240)), $B240&amp;": "&amp;LEFT($C240,1)&amp;TEXT(--$D240,"00"), IF($I240&lt;&gt;"",$I240,$A240))</f>
        <v/>
      </c>
      <c r="O240">
        <f>IF(AND($C240&lt;&gt;"",ISNUMBER(--$D240)),LEFT($C240,1),"")</f>
        <v/>
      </c>
      <c r="P240">
        <f>IF(ISNUMBER(--$D240),--$D240,"")</f>
        <v/>
      </c>
      <c r="Q240">
        <f>IF(AND($O240&lt;&gt;"",$P240&lt;&gt;""),$O240&amp;TEXT($P240,"00"),"")</f>
        <v/>
      </c>
    </row>
    <row r="241">
      <c r="H241">
        <f>A241</f>
        <v/>
      </c>
      <c r="J241">
        <f>IF($I241&lt;&gt;"",$I241,$A241)</f>
        <v/>
      </c>
      <c r="K241">
        <f>IF($C241="","",IF(LEN($C241)=1,CODE(UPPER($C241))-64,IFERROR(VALUE(MID($C241,2,99)),"")))</f>
        <v/>
      </c>
      <c r="L241">
        <f>IF($D241="","",IFERROR(VALUE($D241),""))</f>
        <v/>
      </c>
      <c r="M241">
        <f>IFERROR(VALUE(MID($A241,FIND("Level",$A241)+5,99)),IF($E241="AISLE_FLOOR",0,IF($E241="OVERFLOW",0,IF($E241="ENDCAP",0,""))))</f>
        <v/>
      </c>
      <c r="N241">
        <f>IF(AND($B241&lt;&gt;"",$C241&lt;&gt;"",ISNUMBER(--$D241)), $B241&amp;": "&amp;LEFT($C241,1)&amp;TEXT(--$D241,"00"), IF($I241&lt;&gt;"",$I241,$A241))</f>
        <v/>
      </c>
      <c r="O241">
        <f>IF(AND($C241&lt;&gt;"",ISNUMBER(--$D241)),LEFT($C241,1),"")</f>
        <v/>
      </c>
      <c r="P241">
        <f>IF(ISNUMBER(--$D241),--$D241,"")</f>
        <v/>
      </c>
      <c r="Q241">
        <f>IF(AND($O241&lt;&gt;"",$P241&lt;&gt;""),$O241&amp;TEXT($P241,"00"),"")</f>
        <v/>
      </c>
    </row>
    <row r="242">
      <c r="H242">
        <f>A242</f>
        <v/>
      </c>
      <c r="J242">
        <f>IF($I242&lt;&gt;"",$I242,$A242)</f>
        <v/>
      </c>
      <c r="K242">
        <f>IF($C242="","",IF(LEN($C242)=1,CODE(UPPER($C242))-64,IFERROR(VALUE(MID($C242,2,99)),"")))</f>
        <v/>
      </c>
      <c r="L242">
        <f>IF($D242="","",IFERROR(VALUE($D242),""))</f>
        <v/>
      </c>
      <c r="M242">
        <f>IFERROR(VALUE(MID($A242,FIND("Level",$A242)+5,99)),IF($E242="AISLE_FLOOR",0,IF($E242="OVERFLOW",0,IF($E242="ENDCAP",0,""))))</f>
        <v/>
      </c>
      <c r="N242">
        <f>IF(AND($B242&lt;&gt;"",$C242&lt;&gt;"",ISNUMBER(--$D242)), $B242&amp;": "&amp;LEFT($C242,1)&amp;TEXT(--$D242,"00"), IF($I242&lt;&gt;"",$I242,$A242))</f>
        <v/>
      </c>
      <c r="O242">
        <f>IF(AND($C242&lt;&gt;"",ISNUMBER(--$D242)),LEFT($C242,1),"")</f>
        <v/>
      </c>
      <c r="P242">
        <f>IF(ISNUMBER(--$D242),--$D242,"")</f>
        <v/>
      </c>
      <c r="Q242">
        <f>IF(AND($O242&lt;&gt;"",$P242&lt;&gt;""),$O242&amp;TEXT($P242,"00"),"")</f>
        <v/>
      </c>
    </row>
    <row r="243">
      <c r="H243">
        <f>A243</f>
        <v/>
      </c>
      <c r="J243">
        <f>IF($I243&lt;&gt;"",$I243,$A243)</f>
        <v/>
      </c>
      <c r="K243">
        <f>IF($C243="","",IF(LEN($C243)=1,CODE(UPPER($C243))-64,IFERROR(VALUE(MID($C243,2,99)),"")))</f>
        <v/>
      </c>
      <c r="L243">
        <f>IF($D243="","",IFERROR(VALUE($D243),""))</f>
        <v/>
      </c>
      <c r="M243">
        <f>IFERROR(VALUE(MID($A243,FIND("Level",$A243)+5,99)),IF($E243="AISLE_FLOOR",0,IF($E243="OVERFLOW",0,IF($E243="ENDCAP",0,""))))</f>
        <v/>
      </c>
      <c r="N243">
        <f>IF(AND($B243&lt;&gt;"",$C243&lt;&gt;"",ISNUMBER(--$D243)), $B243&amp;": "&amp;LEFT($C243,1)&amp;TEXT(--$D243,"00"), IF($I243&lt;&gt;"",$I243,$A243))</f>
        <v/>
      </c>
      <c r="O243">
        <f>IF(AND($C243&lt;&gt;"",ISNUMBER(--$D243)),LEFT($C243,1),"")</f>
        <v/>
      </c>
      <c r="P243">
        <f>IF(ISNUMBER(--$D243),--$D243,"")</f>
        <v/>
      </c>
      <c r="Q243">
        <f>IF(AND($O243&lt;&gt;"",$P243&lt;&gt;""),$O243&amp;TEXT($P243,"00"),"")</f>
        <v/>
      </c>
    </row>
    <row r="244">
      <c r="H244">
        <f>A244</f>
        <v/>
      </c>
      <c r="J244">
        <f>IF($I244&lt;&gt;"",$I244,$A244)</f>
        <v/>
      </c>
      <c r="K244">
        <f>IF($C244="","",IF(LEN($C244)=1,CODE(UPPER($C244))-64,IFERROR(VALUE(MID($C244,2,99)),"")))</f>
        <v/>
      </c>
      <c r="L244">
        <f>IF($D244="","",IFERROR(VALUE($D244),""))</f>
        <v/>
      </c>
      <c r="M244">
        <f>IFERROR(VALUE(MID($A244,FIND("Level",$A244)+5,99)),IF($E244="AISLE_FLOOR",0,IF($E244="OVERFLOW",0,IF($E244="ENDCAP",0,""))))</f>
        <v/>
      </c>
      <c r="N244">
        <f>IF(AND($B244&lt;&gt;"",$C244&lt;&gt;"",ISNUMBER(--$D244)), $B244&amp;": "&amp;LEFT($C244,1)&amp;TEXT(--$D244,"00"), IF($I244&lt;&gt;"",$I244,$A244))</f>
        <v/>
      </c>
      <c r="O244">
        <f>IF(AND($C244&lt;&gt;"",ISNUMBER(--$D244)),LEFT($C244,1),"")</f>
        <v/>
      </c>
      <c r="P244">
        <f>IF(ISNUMBER(--$D244),--$D244,"")</f>
        <v/>
      </c>
      <c r="Q244">
        <f>IF(AND($O244&lt;&gt;"",$P244&lt;&gt;""),$O244&amp;TEXT($P244,"00"),"")</f>
        <v/>
      </c>
    </row>
    <row r="245">
      <c r="H245">
        <f>A245</f>
        <v/>
      </c>
      <c r="J245">
        <f>IF($I245&lt;&gt;"",$I245,$A245)</f>
        <v/>
      </c>
      <c r="K245">
        <f>IF($C245="","",IF(LEN($C245)=1,CODE(UPPER($C245))-64,IFERROR(VALUE(MID($C245,2,99)),"")))</f>
        <v/>
      </c>
      <c r="L245">
        <f>IF($D245="","",IFERROR(VALUE($D245),""))</f>
        <v/>
      </c>
      <c r="M245">
        <f>IFERROR(VALUE(MID($A245,FIND("Level",$A245)+5,99)),IF($E245="AISLE_FLOOR",0,IF($E245="OVERFLOW",0,IF($E245="ENDCAP",0,""))))</f>
        <v/>
      </c>
      <c r="N245">
        <f>IF(AND($B245&lt;&gt;"",$C245&lt;&gt;"",ISNUMBER(--$D245)), $B245&amp;": "&amp;LEFT($C245,1)&amp;TEXT(--$D245,"00"), IF($I245&lt;&gt;"",$I245,$A245))</f>
        <v/>
      </c>
      <c r="O245">
        <f>IF(AND($C245&lt;&gt;"",ISNUMBER(--$D245)),LEFT($C245,1),"")</f>
        <v/>
      </c>
      <c r="P245">
        <f>IF(ISNUMBER(--$D245),--$D245,"")</f>
        <v/>
      </c>
      <c r="Q245">
        <f>IF(AND($O245&lt;&gt;"",$P245&lt;&gt;""),$O245&amp;TEXT($P245,"00"),"")</f>
        <v/>
      </c>
    </row>
    <row r="246">
      <c r="H246">
        <f>A246</f>
        <v/>
      </c>
      <c r="J246">
        <f>IF($I246&lt;&gt;"",$I246,$A246)</f>
        <v/>
      </c>
      <c r="K246">
        <f>IF($C246="","",IF(LEN($C246)=1,CODE(UPPER($C246))-64,IFERROR(VALUE(MID($C246,2,99)),"")))</f>
        <v/>
      </c>
      <c r="L246">
        <f>IF($D246="","",IFERROR(VALUE($D246),""))</f>
        <v/>
      </c>
      <c r="M246">
        <f>IFERROR(VALUE(MID($A246,FIND("Level",$A246)+5,99)),IF($E246="AISLE_FLOOR",0,IF($E246="OVERFLOW",0,IF($E246="ENDCAP",0,""))))</f>
        <v/>
      </c>
      <c r="N246">
        <f>IF(AND($B246&lt;&gt;"",$C246&lt;&gt;"",ISNUMBER(--$D246)), $B246&amp;": "&amp;LEFT($C246,1)&amp;TEXT(--$D246,"00"), IF($I246&lt;&gt;"",$I246,$A246))</f>
        <v/>
      </c>
      <c r="O246">
        <f>IF(AND($C246&lt;&gt;"",ISNUMBER(--$D246)),LEFT($C246,1),"")</f>
        <v/>
      </c>
      <c r="P246">
        <f>IF(ISNUMBER(--$D246),--$D246,"")</f>
        <v/>
      </c>
      <c r="Q246">
        <f>IF(AND($O246&lt;&gt;"",$P246&lt;&gt;""),$O246&amp;TEXT($P246,"00"),"")</f>
        <v/>
      </c>
    </row>
    <row r="247">
      <c r="H247">
        <f>A247</f>
        <v/>
      </c>
      <c r="J247">
        <f>IF($I247&lt;&gt;"",$I247,$A247)</f>
        <v/>
      </c>
      <c r="K247">
        <f>IF($C247="","",IF(LEN($C247)=1,CODE(UPPER($C247))-64,IFERROR(VALUE(MID($C247,2,99)),"")))</f>
        <v/>
      </c>
      <c r="L247">
        <f>IF($D247="","",IFERROR(VALUE($D247),""))</f>
        <v/>
      </c>
      <c r="M247">
        <f>IFERROR(VALUE(MID($A247,FIND("Level",$A247)+5,99)),IF($E247="AISLE_FLOOR",0,IF($E247="OVERFLOW",0,IF($E247="ENDCAP",0,""))))</f>
        <v/>
      </c>
      <c r="N247">
        <f>IF(AND($B247&lt;&gt;"",$C247&lt;&gt;"",ISNUMBER(--$D247)), $B247&amp;": "&amp;LEFT($C247,1)&amp;TEXT(--$D247,"00"), IF($I247&lt;&gt;"",$I247,$A247))</f>
        <v/>
      </c>
      <c r="O247">
        <f>IF(AND($C247&lt;&gt;"",ISNUMBER(--$D247)),LEFT($C247,1),"")</f>
        <v/>
      </c>
      <c r="P247">
        <f>IF(ISNUMBER(--$D247),--$D247,"")</f>
        <v/>
      </c>
      <c r="Q247">
        <f>IF(AND($O247&lt;&gt;"",$P247&lt;&gt;""),$O247&amp;TEXT($P247,"00"),"")</f>
        <v/>
      </c>
    </row>
    <row r="248">
      <c r="H248">
        <f>A248</f>
        <v/>
      </c>
      <c r="J248">
        <f>IF($I248&lt;&gt;"",$I248,$A248)</f>
        <v/>
      </c>
      <c r="K248">
        <f>IF($C248="","",IF(LEN($C248)=1,CODE(UPPER($C248))-64,IFERROR(VALUE(MID($C248,2,99)),"")))</f>
        <v/>
      </c>
      <c r="L248">
        <f>IF($D248="","",IFERROR(VALUE($D248),""))</f>
        <v/>
      </c>
      <c r="M248">
        <f>IFERROR(VALUE(MID($A248,FIND("Level",$A248)+5,99)),IF($E248="AISLE_FLOOR",0,IF($E248="OVERFLOW",0,IF($E248="ENDCAP",0,""))))</f>
        <v/>
      </c>
      <c r="N248">
        <f>IF(AND($B248&lt;&gt;"",$C248&lt;&gt;"",ISNUMBER(--$D248)), $B248&amp;": "&amp;LEFT($C248,1)&amp;TEXT(--$D248,"00"), IF($I248&lt;&gt;"",$I248,$A248))</f>
        <v/>
      </c>
      <c r="O248">
        <f>IF(AND($C248&lt;&gt;"",ISNUMBER(--$D248)),LEFT($C248,1),"")</f>
        <v/>
      </c>
      <c r="P248">
        <f>IF(ISNUMBER(--$D248),--$D248,"")</f>
        <v/>
      </c>
      <c r="Q248">
        <f>IF(AND($O248&lt;&gt;"",$P248&lt;&gt;""),$O248&amp;TEXT($P248,"00"),"")</f>
        <v/>
      </c>
    </row>
    <row r="249">
      <c r="H249">
        <f>A249</f>
        <v/>
      </c>
      <c r="J249">
        <f>IF($I249&lt;&gt;"",$I249,$A249)</f>
        <v/>
      </c>
      <c r="K249">
        <f>IF($C249="","",IF(LEN($C249)=1,CODE(UPPER($C249))-64,IFERROR(VALUE(MID($C249,2,99)),"")))</f>
        <v/>
      </c>
      <c r="L249">
        <f>IF($D249="","",IFERROR(VALUE($D249),""))</f>
        <v/>
      </c>
      <c r="M249">
        <f>IFERROR(VALUE(MID($A249,FIND("Level",$A249)+5,99)),IF($E249="AISLE_FLOOR",0,IF($E249="OVERFLOW",0,IF($E249="ENDCAP",0,""))))</f>
        <v/>
      </c>
      <c r="N249">
        <f>IF(AND($B249&lt;&gt;"",$C249&lt;&gt;"",ISNUMBER(--$D249)), $B249&amp;": "&amp;LEFT($C249,1)&amp;TEXT(--$D249,"00"), IF($I249&lt;&gt;"",$I249,$A249))</f>
        <v/>
      </c>
      <c r="O249">
        <f>IF(AND($C249&lt;&gt;"",ISNUMBER(--$D249)),LEFT($C249,1),"")</f>
        <v/>
      </c>
      <c r="P249">
        <f>IF(ISNUMBER(--$D249),--$D249,"")</f>
        <v/>
      </c>
      <c r="Q249">
        <f>IF(AND($O249&lt;&gt;"",$P249&lt;&gt;""),$O249&amp;TEXT($P249,"00"),"")</f>
        <v/>
      </c>
    </row>
    <row r="250">
      <c r="H250">
        <f>A250</f>
        <v/>
      </c>
      <c r="J250">
        <f>IF($I250&lt;&gt;"",$I250,$A250)</f>
        <v/>
      </c>
      <c r="K250">
        <f>IF($C250="","",IF(LEN($C250)=1,CODE(UPPER($C250))-64,IFERROR(VALUE(MID($C250,2,99)),"")))</f>
        <v/>
      </c>
      <c r="L250">
        <f>IF($D250="","",IFERROR(VALUE($D250),""))</f>
        <v/>
      </c>
      <c r="M250">
        <f>IFERROR(VALUE(MID($A250,FIND("Level",$A250)+5,99)),IF($E250="AISLE_FLOOR",0,IF($E250="OVERFLOW",0,IF($E250="ENDCAP",0,""))))</f>
        <v/>
      </c>
      <c r="N250">
        <f>IF(AND($B250&lt;&gt;"",$C250&lt;&gt;"",ISNUMBER(--$D250)), $B250&amp;": "&amp;LEFT($C250,1)&amp;TEXT(--$D250,"00"), IF($I250&lt;&gt;"",$I250,$A250))</f>
        <v/>
      </c>
      <c r="O250">
        <f>IF(AND($C250&lt;&gt;"",ISNUMBER(--$D250)),LEFT($C250,1),"")</f>
        <v/>
      </c>
      <c r="P250">
        <f>IF(ISNUMBER(--$D250),--$D250,"")</f>
        <v/>
      </c>
      <c r="Q250">
        <f>IF(AND($O250&lt;&gt;"",$P250&lt;&gt;""),$O250&amp;TEXT($P250,"00"),"")</f>
        <v/>
      </c>
    </row>
    <row r="251">
      <c r="H251">
        <f>A251</f>
        <v/>
      </c>
      <c r="J251">
        <f>IF($I251&lt;&gt;"",$I251,$A251)</f>
        <v/>
      </c>
      <c r="K251">
        <f>IF($C251="","",IF(LEN($C251)=1,CODE(UPPER($C251))-64,IFERROR(VALUE(MID($C251,2,99)),"")))</f>
        <v/>
      </c>
      <c r="L251">
        <f>IF($D251="","",IFERROR(VALUE($D251),""))</f>
        <v/>
      </c>
      <c r="M251">
        <f>IFERROR(VALUE(MID($A251,FIND("Level",$A251)+5,99)),IF($E251="AISLE_FLOOR",0,IF($E251="OVERFLOW",0,IF($E251="ENDCAP",0,""))))</f>
        <v/>
      </c>
      <c r="N251">
        <f>IF(AND($B251&lt;&gt;"",$C251&lt;&gt;"",ISNUMBER(--$D251)), $B251&amp;": "&amp;LEFT($C251,1)&amp;TEXT(--$D251,"00"), IF($I251&lt;&gt;"",$I251,$A251))</f>
        <v/>
      </c>
      <c r="O251">
        <f>IF(AND($C251&lt;&gt;"",ISNUMBER(--$D251)),LEFT($C251,1),"")</f>
        <v/>
      </c>
      <c r="P251">
        <f>IF(ISNUMBER(--$D251),--$D251,"")</f>
        <v/>
      </c>
      <c r="Q251">
        <f>IF(AND($O251&lt;&gt;"",$P251&lt;&gt;""),$O251&amp;TEXT($P251,"00"),"")</f>
        <v/>
      </c>
    </row>
    <row r="252">
      <c r="H252">
        <f>A252</f>
        <v/>
      </c>
      <c r="J252">
        <f>IF($I252&lt;&gt;"",$I252,$A252)</f>
        <v/>
      </c>
      <c r="K252">
        <f>IF($C252="","",IF(LEN($C252)=1,CODE(UPPER($C252))-64,IFERROR(VALUE(MID($C252,2,99)),"")))</f>
        <v/>
      </c>
      <c r="L252">
        <f>IF($D252="","",IFERROR(VALUE($D252),""))</f>
        <v/>
      </c>
      <c r="M252">
        <f>IFERROR(VALUE(MID($A252,FIND("Level",$A252)+5,99)),IF($E252="AISLE_FLOOR",0,IF($E252="OVERFLOW",0,IF($E252="ENDCAP",0,""))))</f>
        <v/>
      </c>
      <c r="N252">
        <f>IF(AND($B252&lt;&gt;"",$C252&lt;&gt;"",ISNUMBER(--$D252)), $B252&amp;": "&amp;LEFT($C252,1)&amp;TEXT(--$D252,"00"), IF($I252&lt;&gt;"",$I252,$A252))</f>
        <v/>
      </c>
      <c r="O252">
        <f>IF(AND($C252&lt;&gt;"",ISNUMBER(--$D252)),LEFT($C252,1),"")</f>
        <v/>
      </c>
      <c r="P252">
        <f>IF(ISNUMBER(--$D252),--$D252,"")</f>
        <v/>
      </c>
      <c r="Q252">
        <f>IF(AND($O252&lt;&gt;"",$P252&lt;&gt;""),$O252&amp;TEXT($P252,"00"),"")</f>
        <v/>
      </c>
    </row>
    <row r="253">
      <c r="H253">
        <f>A253</f>
        <v/>
      </c>
      <c r="J253">
        <f>IF($I253&lt;&gt;"",$I253,$A253)</f>
        <v/>
      </c>
      <c r="K253">
        <f>IF($C253="","",IF(LEN($C253)=1,CODE(UPPER($C253))-64,IFERROR(VALUE(MID($C253,2,99)),"")))</f>
        <v/>
      </c>
      <c r="L253">
        <f>IF($D253="","",IFERROR(VALUE($D253),""))</f>
        <v/>
      </c>
      <c r="M253">
        <f>IFERROR(VALUE(MID($A253,FIND("Level",$A253)+5,99)),IF($E253="AISLE_FLOOR",0,IF($E253="OVERFLOW",0,IF($E253="ENDCAP",0,""))))</f>
        <v/>
      </c>
      <c r="N253">
        <f>IF(AND($B253&lt;&gt;"",$C253&lt;&gt;"",ISNUMBER(--$D253)), $B253&amp;": "&amp;LEFT($C253,1)&amp;TEXT(--$D253,"00"), IF($I253&lt;&gt;"",$I253,$A253))</f>
        <v/>
      </c>
      <c r="O253">
        <f>IF(AND($C253&lt;&gt;"",ISNUMBER(--$D253)),LEFT($C253,1),"")</f>
        <v/>
      </c>
      <c r="P253">
        <f>IF(ISNUMBER(--$D253),--$D253,"")</f>
        <v/>
      </c>
      <c r="Q253">
        <f>IF(AND($O253&lt;&gt;"",$P253&lt;&gt;""),$O253&amp;TEXT($P253,"00"),"")</f>
        <v/>
      </c>
    </row>
    <row r="254">
      <c r="H254">
        <f>A254</f>
        <v/>
      </c>
      <c r="J254">
        <f>IF($I254&lt;&gt;"",$I254,$A254)</f>
        <v/>
      </c>
      <c r="K254">
        <f>IF($C254="","",IF(LEN($C254)=1,CODE(UPPER($C254))-64,IFERROR(VALUE(MID($C254,2,99)),"")))</f>
        <v/>
      </c>
      <c r="L254">
        <f>IF($D254="","",IFERROR(VALUE($D254),""))</f>
        <v/>
      </c>
      <c r="M254">
        <f>IFERROR(VALUE(MID($A254,FIND("Level",$A254)+5,99)),IF($E254="AISLE_FLOOR",0,IF($E254="OVERFLOW",0,IF($E254="ENDCAP",0,""))))</f>
        <v/>
      </c>
      <c r="N254">
        <f>IF(AND($B254&lt;&gt;"",$C254&lt;&gt;"",ISNUMBER(--$D254)), $B254&amp;": "&amp;LEFT($C254,1)&amp;TEXT(--$D254,"00"), IF($I254&lt;&gt;"",$I254,$A254))</f>
        <v/>
      </c>
      <c r="O254">
        <f>IF(AND($C254&lt;&gt;"",ISNUMBER(--$D254)),LEFT($C254,1),"")</f>
        <v/>
      </c>
      <c r="P254">
        <f>IF(ISNUMBER(--$D254),--$D254,"")</f>
        <v/>
      </c>
      <c r="Q254">
        <f>IF(AND($O254&lt;&gt;"",$P254&lt;&gt;""),$O254&amp;TEXT($P254,"00"),"")</f>
        <v/>
      </c>
    </row>
    <row r="255">
      <c r="H255">
        <f>A255</f>
        <v/>
      </c>
      <c r="J255">
        <f>IF($I255&lt;&gt;"",$I255,$A255)</f>
        <v/>
      </c>
      <c r="K255">
        <f>IF($C255="","",IF(LEN($C255)=1,CODE(UPPER($C255))-64,IFERROR(VALUE(MID($C255,2,99)),"")))</f>
        <v/>
      </c>
      <c r="L255">
        <f>IF($D255="","",IFERROR(VALUE($D255),""))</f>
        <v/>
      </c>
      <c r="M255">
        <f>IFERROR(VALUE(MID($A255,FIND("Level",$A255)+5,99)),IF($E255="AISLE_FLOOR",0,IF($E255="OVERFLOW",0,IF($E255="ENDCAP",0,""))))</f>
        <v/>
      </c>
      <c r="N255">
        <f>IF(AND($B255&lt;&gt;"",$C255&lt;&gt;"",ISNUMBER(--$D255)), $B255&amp;": "&amp;LEFT($C255,1)&amp;TEXT(--$D255,"00"), IF($I255&lt;&gt;"",$I255,$A255))</f>
        <v/>
      </c>
      <c r="O255">
        <f>IF(AND($C255&lt;&gt;"",ISNUMBER(--$D255)),LEFT($C255,1),"")</f>
        <v/>
      </c>
      <c r="P255">
        <f>IF(ISNUMBER(--$D255),--$D255,"")</f>
        <v/>
      </c>
      <c r="Q255">
        <f>IF(AND($O255&lt;&gt;"",$P255&lt;&gt;""),$O255&amp;TEXT($P255,"00"),"")</f>
        <v/>
      </c>
    </row>
    <row r="256">
      <c r="H256">
        <f>A256</f>
        <v/>
      </c>
      <c r="J256">
        <f>IF($I256&lt;&gt;"",$I256,$A256)</f>
        <v/>
      </c>
      <c r="K256">
        <f>IF($C256="","",IF(LEN($C256)=1,CODE(UPPER($C256))-64,IFERROR(VALUE(MID($C256,2,99)),"")))</f>
        <v/>
      </c>
      <c r="L256">
        <f>IF($D256="","",IFERROR(VALUE($D256),""))</f>
        <v/>
      </c>
      <c r="M256">
        <f>IFERROR(VALUE(MID($A256,FIND("Level",$A256)+5,99)),IF($E256="AISLE_FLOOR",0,IF($E256="OVERFLOW",0,IF($E256="ENDCAP",0,""))))</f>
        <v/>
      </c>
      <c r="N256">
        <f>IF(AND($B256&lt;&gt;"",$C256&lt;&gt;"",ISNUMBER(--$D256)), $B256&amp;": "&amp;LEFT($C256,1)&amp;TEXT(--$D256,"00"), IF($I256&lt;&gt;"",$I256,$A256))</f>
        <v/>
      </c>
      <c r="O256">
        <f>IF(AND($C256&lt;&gt;"",ISNUMBER(--$D256)),LEFT($C256,1),"")</f>
        <v/>
      </c>
      <c r="P256">
        <f>IF(ISNUMBER(--$D256),--$D256,"")</f>
        <v/>
      </c>
      <c r="Q256">
        <f>IF(AND($O256&lt;&gt;"",$P256&lt;&gt;""),$O256&amp;TEXT($P256,"00"),"")</f>
        <v/>
      </c>
    </row>
    <row r="257">
      <c r="H257">
        <f>A257</f>
        <v/>
      </c>
      <c r="J257">
        <f>IF($I257&lt;&gt;"",$I257,$A257)</f>
        <v/>
      </c>
      <c r="K257">
        <f>IF($C257="","",IF(LEN($C257)=1,CODE(UPPER($C257))-64,IFERROR(VALUE(MID($C257,2,99)),"")))</f>
        <v/>
      </c>
      <c r="L257">
        <f>IF($D257="","",IFERROR(VALUE($D257),""))</f>
        <v/>
      </c>
      <c r="M257">
        <f>IFERROR(VALUE(MID($A257,FIND("Level",$A257)+5,99)),IF($E257="AISLE_FLOOR",0,IF($E257="OVERFLOW",0,IF($E257="ENDCAP",0,""))))</f>
        <v/>
      </c>
      <c r="N257">
        <f>IF(AND($B257&lt;&gt;"",$C257&lt;&gt;"",ISNUMBER(--$D257)), $B257&amp;": "&amp;LEFT($C257,1)&amp;TEXT(--$D257,"00"), IF($I257&lt;&gt;"",$I257,$A257))</f>
        <v/>
      </c>
      <c r="O257">
        <f>IF(AND($C257&lt;&gt;"",ISNUMBER(--$D257)),LEFT($C257,1),"")</f>
        <v/>
      </c>
      <c r="P257">
        <f>IF(ISNUMBER(--$D257),--$D257,"")</f>
        <v/>
      </c>
      <c r="Q257">
        <f>IF(AND($O257&lt;&gt;"",$P257&lt;&gt;""),$O257&amp;TEXT($P257,"00"),"")</f>
        <v/>
      </c>
    </row>
    <row r="258">
      <c r="H258">
        <f>A258</f>
        <v/>
      </c>
      <c r="J258">
        <f>IF($I258&lt;&gt;"",$I258,$A258)</f>
        <v/>
      </c>
      <c r="K258">
        <f>IF($C258="","",IF(LEN($C258)=1,CODE(UPPER($C258))-64,IFERROR(VALUE(MID($C258,2,99)),"")))</f>
        <v/>
      </c>
      <c r="L258">
        <f>IF($D258="","",IFERROR(VALUE($D258),""))</f>
        <v/>
      </c>
      <c r="M258">
        <f>IFERROR(VALUE(MID($A258,FIND("Level",$A258)+5,99)),IF($E258="AISLE_FLOOR",0,IF($E258="OVERFLOW",0,IF($E258="ENDCAP",0,""))))</f>
        <v/>
      </c>
      <c r="N258">
        <f>IF(AND($B258&lt;&gt;"",$C258&lt;&gt;"",ISNUMBER(--$D258)), $B258&amp;": "&amp;LEFT($C258,1)&amp;TEXT(--$D258,"00"), IF($I258&lt;&gt;"",$I258,$A258))</f>
        <v/>
      </c>
      <c r="O258">
        <f>IF(AND($C258&lt;&gt;"",ISNUMBER(--$D258)),LEFT($C258,1),"")</f>
        <v/>
      </c>
      <c r="P258">
        <f>IF(ISNUMBER(--$D258),--$D258,"")</f>
        <v/>
      </c>
      <c r="Q258">
        <f>IF(AND($O258&lt;&gt;"",$P258&lt;&gt;""),$O258&amp;TEXT($P258,"00"),"")</f>
        <v/>
      </c>
    </row>
    <row r="259">
      <c r="H259">
        <f>A259</f>
        <v/>
      </c>
      <c r="J259">
        <f>IF($I259&lt;&gt;"",$I259,$A259)</f>
        <v/>
      </c>
      <c r="K259">
        <f>IF($C259="","",IF(LEN($C259)=1,CODE(UPPER($C259))-64,IFERROR(VALUE(MID($C259,2,99)),"")))</f>
        <v/>
      </c>
      <c r="L259">
        <f>IF($D259="","",IFERROR(VALUE($D259),""))</f>
        <v/>
      </c>
      <c r="M259">
        <f>IFERROR(VALUE(MID($A259,FIND("Level",$A259)+5,99)),IF($E259="AISLE_FLOOR",0,IF($E259="OVERFLOW",0,IF($E259="ENDCAP",0,""))))</f>
        <v/>
      </c>
      <c r="N259">
        <f>IF(AND($B259&lt;&gt;"",$C259&lt;&gt;"",ISNUMBER(--$D259)), $B259&amp;": "&amp;LEFT($C259,1)&amp;TEXT(--$D259,"00"), IF($I259&lt;&gt;"",$I259,$A259))</f>
        <v/>
      </c>
      <c r="O259">
        <f>IF(AND($C259&lt;&gt;"",ISNUMBER(--$D259)),LEFT($C259,1),"")</f>
        <v/>
      </c>
      <c r="P259">
        <f>IF(ISNUMBER(--$D259),--$D259,"")</f>
        <v/>
      </c>
      <c r="Q259">
        <f>IF(AND($O259&lt;&gt;"",$P259&lt;&gt;""),$O259&amp;TEXT($P259,"00"),"")</f>
        <v/>
      </c>
    </row>
    <row r="260">
      <c r="H260">
        <f>A260</f>
        <v/>
      </c>
      <c r="J260">
        <f>IF($I260&lt;&gt;"",$I260,$A260)</f>
        <v/>
      </c>
      <c r="K260">
        <f>IF($C260="","",IF(LEN($C260)=1,CODE(UPPER($C260))-64,IFERROR(VALUE(MID($C260,2,99)),"")))</f>
        <v/>
      </c>
      <c r="L260">
        <f>IF($D260="","",IFERROR(VALUE($D260),""))</f>
        <v/>
      </c>
      <c r="M260">
        <f>IFERROR(VALUE(MID($A260,FIND("Level",$A260)+5,99)),IF($E260="AISLE_FLOOR",0,IF($E260="OVERFLOW",0,IF($E260="ENDCAP",0,""))))</f>
        <v/>
      </c>
      <c r="N260">
        <f>IF(AND($B260&lt;&gt;"",$C260&lt;&gt;"",ISNUMBER(--$D260)), $B260&amp;": "&amp;LEFT($C260,1)&amp;TEXT(--$D260,"00"), IF($I260&lt;&gt;"",$I260,$A260))</f>
        <v/>
      </c>
      <c r="O260">
        <f>IF(AND($C260&lt;&gt;"",ISNUMBER(--$D260)),LEFT($C260,1),"")</f>
        <v/>
      </c>
      <c r="P260">
        <f>IF(ISNUMBER(--$D260),--$D260,"")</f>
        <v/>
      </c>
      <c r="Q260">
        <f>IF(AND($O260&lt;&gt;"",$P260&lt;&gt;""),$O260&amp;TEXT($P260,"00"),"")</f>
        <v/>
      </c>
    </row>
    <row r="261">
      <c r="H261">
        <f>A261</f>
        <v/>
      </c>
      <c r="J261">
        <f>IF($I261&lt;&gt;"",$I261,$A261)</f>
        <v/>
      </c>
      <c r="K261">
        <f>IF($C261="","",IF(LEN($C261)=1,CODE(UPPER($C261))-64,IFERROR(VALUE(MID($C261,2,99)),"")))</f>
        <v/>
      </c>
      <c r="L261">
        <f>IF($D261="","",IFERROR(VALUE($D261),""))</f>
        <v/>
      </c>
      <c r="M261">
        <f>IFERROR(VALUE(MID($A261,FIND("Level",$A261)+5,99)),IF($E261="AISLE_FLOOR",0,IF($E261="OVERFLOW",0,IF($E261="ENDCAP",0,""))))</f>
        <v/>
      </c>
      <c r="N261">
        <f>IF(AND($B261&lt;&gt;"",$C261&lt;&gt;"",ISNUMBER(--$D261)), $B261&amp;": "&amp;LEFT($C261,1)&amp;TEXT(--$D261,"00"), IF($I261&lt;&gt;"",$I261,$A261))</f>
        <v/>
      </c>
      <c r="O261">
        <f>IF(AND($C261&lt;&gt;"",ISNUMBER(--$D261)),LEFT($C261,1),"")</f>
        <v/>
      </c>
      <c r="P261">
        <f>IF(ISNUMBER(--$D261),--$D261,"")</f>
        <v/>
      </c>
      <c r="Q261">
        <f>IF(AND($O261&lt;&gt;"",$P261&lt;&gt;""),$O261&amp;TEXT($P261,"00"),"")</f>
        <v/>
      </c>
    </row>
    <row r="262">
      <c r="H262">
        <f>A262</f>
        <v/>
      </c>
      <c r="J262">
        <f>IF($I262&lt;&gt;"",$I262,$A262)</f>
        <v/>
      </c>
      <c r="K262">
        <f>IF($C262="","",IF(LEN($C262)=1,CODE(UPPER($C262))-64,IFERROR(VALUE(MID($C262,2,99)),"")))</f>
        <v/>
      </c>
      <c r="L262">
        <f>IF($D262="","",IFERROR(VALUE($D262),""))</f>
        <v/>
      </c>
      <c r="M262">
        <f>IFERROR(VALUE(MID($A262,FIND("Level",$A262)+5,99)),IF($E262="AISLE_FLOOR",0,IF($E262="OVERFLOW",0,IF($E262="ENDCAP",0,""))))</f>
        <v/>
      </c>
      <c r="N262">
        <f>IF(AND($B262&lt;&gt;"",$C262&lt;&gt;"",ISNUMBER(--$D262)), $B262&amp;": "&amp;LEFT($C262,1)&amp;TEXT(--$D262,"00"), IF($I262&lt;&gt;"",$I262,$A262))</f>
        <v/>
      </c>
      <c r="O262">
        <f>IF(AND($C262&lt;&gt;"",ISNUMBER(--$D262)),LEFT($C262,1),"")</f>
        <v/>
      </c>
      <c r="P262">
        <f>IF(ISNUMBER(--$D262),--$D262,"")</f>
        <v/>
      </c>
      <c r="Q262">
        <f>IF(AND($O262&lt;&gt;"",$P262&lt;&gt;""),$O262&amp;TEXT($P262,"00"),"")</f>
        <v/>
      </c>
    </row>
    <row r="263">
      <c r="H263">
        <f>A263</f>
        <v/>
      </c>
      <c r="J263">
        <f>IF($I263&lt;&gt;"",$I263,$A263)</f>
        <v/>
      </c>
      <c r="K263">
        <f>IF($C263="","",IF(LEN($C263)=1,CODE(UPPER($C263))-64,IFERROR(VALUE(MID($C263,2,99)),"")))</f>
        <v/>
      </c>
      <c r="L263">
        <f>IF($D263="","",IFERROR(VALUE($D263),""))</f>
        <v/>
      </c>
      <c r="M263">
        <f>IFERROR(VALUE(MID($A263,FIND("Level",$A263)+5,99)),IF($E263="AISLE_FLOOR",0,IF($E263="OVERFLOW",0,IF($E263="ENDCAP",0,""))))</f>
        <v/>
      </c>
      <c r="N263">
        <f>IF(AND($B263&lt;&gt;"",$C263&lt;&gt;"",ISNUMBER(--$D263)), $B263&amp;": "&amp;LEFT($C263,1)&amp;TEXT(--$D263,"00"), IF($I263&lt;&gt;"",$I263,$A263))</f>
        <v/>
      </c>
      <c r="O263">
        <f>IF(AND($C263&lt;&gt;"",ISNUMBER(--$D263)),LEFT($C263,1),"")</f>
        <v/>
      </c>
      <c r="P263">
        <f>IF(ISNUMBER(--$D263),--$D263,"")</f>
        <v/>
      </c>
      <c r="Q263">
        <f>IF(AND($O263&lt;&gt;"",$P263&lt;&gt;""),$O263&amp;TEXT($P263,"00"),"")</f>
        <v/>
      </c>
    </row>
    <row r="264">
      <c r="H264">
        <f>A264</f>
        <v/>
      </c>
      <c r="J264">
        <f>IF($I264&lt;&gt;"",$I264,$A264)</f>
        <v/>
      </c>
      <c r="K264">
        <f>IF($C264="","",IF(LEN($C264)=1,CODE(UPPER($C264))-64,IFERROR(VALUE(MID($C264,2,99)),"")))</f>
        <v/>
      </c>
      <c r="L264">
        <f>IF($D264="","",IFERROR(VALUE($D264),""))</f>
        <v/>
      </c>
      <c r="M264">
        <f>IFERROR(VALUE(MID($A264,FIND("Level",$A264)+5,99)),IF($E264="AISLE_FLOOR",0,IF($E264="OVERFLOW",0,IF($E264="ENDCAP",0,""))))</f>
        <v/>
      </c>
      <c r="N264">
        <f>IF(AND($B264&lt;&gt;"",$C264&lt;&gt;"",ISNUMBER(--$D264)), $B264&amp;": "&amp;LEFT($C264,1)&amp;TEXT(--$D264,"00"), IF($I264&lt;&gt;"",$I264,$A264))</f>
        <v/>
      </c>
      <c r="O264">
        <f>IF(AND($C264&lt;&gt;"",ISNUMBER(--$D264)),LEFT($C264,1),"")</f>
        <v/>
      </c>
      <c r="P264">
        <f>IF(ISNUMBER(--$D264),--$D264,"")</f>
        <v/>
      </c>
      <c r="Q264">
        <f>IF(AND($O264&lt;&gt;"",$P264&lt;&gt;""),$O264&amp;TEXT($P264,"00"),"")</f>
        <v/>
      </c>
    </row>
    <row r="265">
      <c r="H265">
        <f>A265</f>
        <v/>
      </c>
      <c r="J265">
        <f>IF($I265&lt;&gt;"",$I265,$A265)</f>
        <v/>
      </c>
      <c r="K265">
        <f>IF($C265="","",IF(LEN($C265)=1,CODE(UPPER($C265))-64,IFERROR(VALUE(MID($C265,2,99)),"")))</f>
        <v/>
      </c>
      <c r="L265">
        <f>IF($D265="","",IFERROR(VALUE($D265),""))</f>
        <v/>
      </c>
      <c r="M265">
        <f>IFERROR(VALUE(MID($A265,FIND("Level",$A265)+5,99)),IF($E265="AISLE_FLOOR",0,IF($E265="OVERFLOW",0,IF($E265="ENDCAP",0,""))))</f>
        <v/>
      </c>
      <c r="N265">
        <f>IF(AND($B265&lt;&gt;"",$C265&lt;&gt;"",ISNUMBER(--$D265)), $B265&amp;": "&amp;LEFT($C265,1)&amp;TEXT(--$D265,"00"), IF($I265&lt;&gt;"",$I265,$A265))</f>
        <v/>
      </c>
      <c r="O265">
        <f>IF(AND($C265&lt;&gt;"",ISNUMBER(--$D265)),LEFT($C265,1),"")</f>
        <v/>
      </c>
      <c r="P265">
        <f>IF(ISNUMBER(--$D265),--$D265,"")</f>
        <v/>
      </c>
      <c r="Q265">
        <f>IF(AND($O265&lt;&gt;"",$P265&lt;&gt;""),$O265&amp;TEXT($P265,"00"),"")</f>
        <v/>
      </c>
    </row>
    <row r="266">
      <c r="H266">
        <f>A266</f>
        <v/>
      </c>
      <c r="J266">
        <f>IF($I266&lt;&gt;"",$I266,$A266)</f>
        <v/>
      </c>
      <c r="K266">
        <f>IF($C266="","",IF(LEN($C266)=1,CODE(UPPER($C266))-64,IFERROR(VALUE(MID($C266,2,99)),"")))</f>
        <v/>
      </c>
      <c r="L266">
        <f>IF($D266="","",IFERROR(VALUE($D266),""))</f>
        <v/>
      </c>
      <c r="M266">
        <f>IFERROR(VALUE(MID($A266,FIND("Level",$A266)+5,99)),IF($E266="AISLE_FLOOR",0,IF($E266="OVERFLOW",0,IF($E266="ENDCAP",0,""))))</f>
        <v/>
      </c>
      <c r="N266">
        <f>IF(AND($B266&lt;&gt;"",$C266&lt;&gt;"",ISNUMBER(--$D266)), $B266&amp;": "&amp;LEFT($C266,1)&amp;TEXT(--$D266,"00"), IF($I266&lt;&gt;"",$I266,$A266))</f>
        <v/>
      </c>
      <c r="O266">
        <f>IF(AND($C266&lt;&gt;"",ISNUMBER(--$D266)),LEFT($C266,1),"")</f>
        <v/>
      </c>
      <c r="P266">
        <f>IF(ISNUMBER(--$D266),--$D266,"")</f>
        <v/>
      </c>
      <c r="Q266">
        <f>IF(AND($O266&lt;&gt;"",$P266&lt;&gt;""),$O266&amp;TEXT($P266,"00"),"")</f>
        <v/>
      </c>
    </row>
    <row r="267">
      <c r="H267">
        <f>A267</f>
        <v/>
      </c>
      <c r="J267">
        <f>IF($I267&lt;&gt;"",$I267,$A267)</f>
        <v/>
      </c>
      <c r="K267">
        <f>IF($C267="","",IF(LEN($C267)=1,CODE(UPPER($C267))-64,IFERROR(VALUE(MID($C267,2,99)),"")))</f>
        <v/>
      </c>
      <c r="L267">
        <f>IF($D267="","",IFERROR(VALUE($D267),""))</f>
        <v/>
      </c>
      <c r="M267">
        <f>IFERROR(VALUE(MID($A267,FIND("Level",$A267)+5,99)),IF($E267="AISLE_FLOOR",0,IF($E267="OVERFLOW",0,IF($E267="ENDCAP",0,""))))</f>
        <v/>
      </c>
      <c r="N267">
        <f>IF(AND($B267&lt;&gt;"",$C267&lt;&gt;"",ISNUMBER(--$D267)), $B267&amp;": "&amp;LEFT($C267,1)&amp;TEXT(--$D267,"00"), IF($I267&lt;&gt;"",$I267,$A267))</f>
        <v/>
      </c>
      <c r="O267">
        <f>IF(AND($C267&lt;&gt;"",ISNUMBER(--$D267)),LEFT($C267,1),"")</f>
        <v/>
      </c>
      <c r="P267">
        <f>IF(ISNUMBER(--$D267),--$D267,"")</f>
        <v/>
      </c>
      <c r="Q267">
        <f>IF(AND($O267&lt;&gt;"",$P267&lt;&gt;""),$O267&amp;TEXT($P267,"00"),"")</f>
        <v/>
      </c>
    </row>
    <row r="268">
      <c r="H268">
        <f>A268</f>
        <v/>
      </c>
      <c r="J268">
        <f>IF($I268&lt;&gt;"",$I268,$A268)</f>
        <v/>
      </c>
      <c r="K268">
        <f>IF($C268="","",IF(LEN($C268)=1,CODE(UPPER($C268))-64,IFERROR(VALUE(MID($C268,2,99)),"")))</f>
        <v/>
      </c>
      <c r="L268">
        <f>IF($D268="","",IFERROR(VALUE($D268),""))</f>
        <v/>
      </c>
      <c r="M268">
        <f>IFERROR(VALUE(MID($A268,FIND("Level",$A268)+5,99)),IF($E268="AISLE_FLOOR",0,IF($E268="OVERFLOW",0,IF($E268="ENDCAP",0,""))))</f>
        <v/>
      </c>
      <c r="N268">
        <f>IF(AND($B268&lt;&gt;"",$C268&lt;&gt;"",ISNUMBER(--$D268)), $B268&amp;": "&amp;LEFT($C268,1)&amp;TEXT(--$D268,"00"), IF($I268&lt;&gt;"",$I268,$A268))</f>
        <v/>
      </c>
      <c r="O268">
        <f>IF(AND($C268&lt;&gt;"",ISNUMBER(--$D268)),LEFT($C268,1),"")</f>
        <v/>
      </c>
      <c r="P268">
        <f>IF(ISNUMBER(--$D268),--$D268,"")</f>
        <v/>
      </c>
      <c r="Q268">
        <f>IF(AND($O268&lt;&gt;"",$P268&lt;&gt;""),$O268&amp;TEXT($P268,"00"),"")</f>
        <v/>
      </c>
    </row>
    <row r="269">
      <c r="H269">
        <f>A269</f>
        <v/>
      </c>
      <c r="J269">
        <f>IF($I269&lt;&gt;"",$I269,$A269)</f>
        <v/>
      </c>
      <c r="K269">
        <f>IF($C269="","",IF(LEN($C269)=1,CODE(UPPER($C269))-64,IFERROR(VALUE(MID($C269,2,99)),"")))</f>
        <v/>
      </c>
      <c r="L269">
        <f>IF($D269="","",IFERROR(VALUE($D269),""))</f>
        <v/>
      </c>
      <c r="M269">
        <f>IFERROR(VALUE(MID($A269,FIND("Level",$A269)+5,99)),IF($E269="AISLE_FLOOR",0,IF($E269="OVERFLOW",0,IF($E269="ENDCAP",0,""))))</f>
        <v/>
      </c>
      <c r="N269">
        <f>IF(AND($B269&lt;&gt;"",$C269&lt;&gt;"",ISNUMBER(--$D269)), $B269&amp;": "&amp;LEFT($C269,1)&amp;TEXT(--$D269,"00"), IF($I269&lt;&gt;"",$I269,$A269))</f>
        <v/>
      </c>
      <c r="O269">
        <f>IF(AND($C269&lt;&gt;"",ISNUMBER(--$D269)),LEFT($C269,1),"")</f>
        <v/>
      </c>
      <c r="P269">
        <f>IF(ISNUMBER(--$D269),--$D269,"")</f>
        <v/>
      </c>
      <c r="Q269">
        <f>IF(AND($O269&lt;&gt;"",$P269&lt;&gt;""),$O269&amp;TEXT($P269,"00"),"")</f>
        <v/>
      </c>
    </row>
    <row r="270">
      <c r="H270">
        <f>A270</f>
        <v/>
      </c>
      <c r="J270">
        <f>IF($I270&lt;&gt;"",$I270,$A270)</f>
        <v/>
      </c>
      <c r="K270">
        <f>IF($C270="","",IF(LEN($C270)=1,CODE(UPPER($C270))-64,IFERROR(VALUE(MID($C270,2,99)),"")))</f>
        <v/>
      </c>
      <c r="L270">
        <f>IF($D270="","",IFERROR(VALUE($D270),""))</f>
        <v/>
      </c>
      <c r="M270">
        <f>IFERROR(VALUE(MID($A270,FIND("Level",$A270)+5,99)),IF($E270="AISLE_FLOOR",0,IF($E270="OVERFLOW",0,IF($E270="ENDCAP",0,""))))</f>
        <v/>
      </c>
      <c r="N270">
        <f>IF(AND($B270&lt;&gt;"",$C270&lt;&gt;"",ISNUMBER(--$D270)), $B270&amp;": "&amp;LEFT($C270,1)&amp;TEXT(--$D270,"00"), IF($I270&lt;&gt;"",$I270,$A270))</f>
        <v/>
      </c>
      <c r="O270">
        <f>IF(AND($C270&lt;&gt;"",ISNUMBER(--$D270)),LEFT($C270,1),"")</f>
        <v/>
      </c>
      <c r="P270">
        <f>IF(ISNUMBER(--$D270),--$D270,"")</f>
        <v/>
      </c>
      <c r="Q270">
        <f>IF(AND($O270&lt;&gt;"",$P270&lt;&gt;""),$O270&amp;TEXT($P270,"00"),"")</f>
        <v/>
      </c>
    </row>
    <row r="271">
      <c r="H271">
        <f>A271</f>
        <v/>
      </c>
      <c r="J271">
        <f>IF($I271&lt;&gt;"",$I271,$A271)</f>
        <v/>
      </c>
      <c r="K271">
        <f>IF($C271="","",IF(LEN($C271)=1,CODE(UPPER($C271))-64,IFERROR(VALUE(MID($C271,2,99)),"")))</f>
        <v/>
      </c>
      <c r="L271">
        <f>IF($D271="","",IFERROR(VALUE($D271),""))</f>
        <v/>
      </c>
      <c r="M271">
        <f>IFERROR(VALUE(MID($A271,FIND("Level",$A271)+5,99)),IF($E271="AISLE_FLOOR",0,IF($E271="OVERFLOW",0,IF($E271="ENDCAP",0,""))))</f>
        <v/>
      </c>
      <c r="N271">
        <f>IF(AND($B271&lt;&gt;"",$C271&lt;&gt;"",ISNUMBER(--$D271)), $B271&amp;": "&amp;LEFT($C271,1)&amp;TEXT(--$D271,"00"), IF($I271&lt;&gt;"",$I271,$A271))</f>
        <v/>
      </c>
      <c r="O271">
        <f>IF(AND($C271&lt;&gt;"",ISNUMBER(--$D271)),LEFT($C271,1),"")</f>
        <v/>
      </c>
      <c r="P271">
        <f>IF(ISNUMBER(--$D271),--$D271,"")</f>
        <v/>
      </c>
      <c r="Q271">
        <f>IF(AND($O271&lt;&gt;"",$P271&lt;&gt;""),$O271&amp;TEXT($P271,"00"),"")</f>
        <v/>
      </c>
    </row>
    <row r="272">
      <c r="H272">
        <f>A272</f>
        <v/>
      </c>
      <c r="J272">
        <f>IF($I272&lt;&gt;"",$I272,$A272)</f>
        <v/>
      </c>
      <c r="K272">
        <f>IF($C272="","",IF(LEN($C272)=1,CODE(UPPER($C272))-64,IFERROR(VALUE(MID($C272,2,99)),"")))</f>
        <v/>
      </c>
      <c r="L272">
        <f>IF($D272="","",IFERROR(VALUE($D272),""))</f>
        <v/>
      </c>
      <c r="M272">
        <f>IFERROR(VALUE(MID($A272,FIND("Level",$A272)+5,99)),IF($E272="AISLE_FLOOR",0,IF($E272="OVERFLOW",0,IF($E272="ENDCAP",0,""))))</f>
        <v/>
      </c>
      <c r="N272">
        <f>IF(AND($B272&lt;&gt;"",$C272&lt;&gt;"",ISNUMBER(--$D272)), $B272&amp;": "&amp;LEFT($C272,1)&amp;TEXT(--$D272,"00"), IF($I272&lt;&gt;"",$I272,$A272))</f>
        <v/>
      </c>
      <c r="O272">
        <f>IF(AND($C272&lt;&gt;"",ISNUMBER(--$D272)),LEFT($C272,1),"")</f>
        <v/>
      </c>
      <c r="P272">
        <f>IF(ISNUMBER(--$D272),--$D272,"")</f>
        <v/>
      </c>
      <c r="Q272">
        <f>IF(AND($O272&lt;&gt;"",$P272&lt;&gt;""),$O272&amp;TEXT($P272,"00"),"")</f>
        <v/>
      </c>
    </row>
    <row r="273">
      <c r="H273">
        <f>A273</f>
        <v/>
      </c>
      <c r="J273">
        <f>IF($I273&lt;&gt;"",$I273,$A273)</f>
        <v/>
      </c>
      <c r="K273">
        <f>IF($C273="","",IF(LEN($C273)=1,CODE(UPPER($C273))-64,IFERROR(VALUE(MID($C273,2,99)),"")))</f>
        <v/>
      </c>
      <c r="L273">
        <f>IF($D273="","",IFERROR(VALUE($D273),""))</f>
        <v/>
      </c>
      <c r="M273">
        <f>IFERROR(VALUE(MID($A273,FIND("Level",$A273)+5,99)),IF($E273="AISLE_FLOOR",0,IF($E273="OVERFLOW",0,IF($E273="ENDCAP",0,""))))</f>
        <v/>
      </c>
      <c r="N273">
        <f>IF(AND($B273&lt;&gt;"",$C273&lt;&gt;"",ISNUMBER(--$D273)), $B273&amp;": "&amp;LEFT($C273,1)&amp;TEXT(--$D273,"00"), IF($I273&lt;&gt;"",$I273,$A273))</f>
        <v/>
      </c>
      <c r="O273">
        <f>IF(AND($C273&lt;&gt;"",ISNUMBER(--$D273)),LEFT($C273,1),"")</f>
        <v/>
      </c>
      <c r="P273">
        <f>IF(ISNUMBER(--$D273),--$D273,"")</f>
        <v/>
      </c>
      <c r="Q273">
        <f>IF(AND($O273&lt;&gt;"",$P273&lt;&gt;""),$O273&amp;TEXT($P273,"00"),"")</f>
        <v/>
      </c>
    </row>
    <row r="274">
      <c r="H274">
        <f>A274</f>
        <v/>
      </c>
      <c r="J274">
        <f>IF($I274&lt;&gt;"",$I274,$A274)</f>
        <v/>
      </c>
      <c r="K274">
        <f>IF($C274="","",IF(LEN($C274)=1,CODE(UPPER($C274))-64,IFERROR(VALUE(MID($C274,2,99)),"")))</f>
        <v/>
      </c>
      <c r="L274">
        <f>IF($D274="","",IFERROR(VALUE($D274),""))</f>
        <v/>
      </c>
      <c r="M274">
        <f>IFERROR(VALUE(MID($A274,FIND("Level",$A274)+5,99)),IF($E274="AISLE_FLOOR",0,IF($E274="OVERFLOW",0,IF($E274="ENDCAP",0,""))))</f>
        <v/>
      </c>
      <c r="N274">
        <f>IF(AND($B274&lt;&gt;"",$C274&lt;&gt;"",ISNUMBER(--$D274)), $B274&amp;": "&amp;LEFT($C274,1)&amp;TEXT(--$D274,"00"), IF($I274&lt;&gt;"",$I274,$A274))</f>
        <v/>
      </c>
      <c r="O274">
        <f>IF(AND($C274&lt;&gt;"",ISNUMBER(--$D274)),LEFT($C274,1),"")</f>
        <v/>
      </c>
      <c r="P274">
        <f>IF(ISNUMBER(--$D274),--$D274,"")</f>
        <v/>
      </c>
      <c r="Q274">
        <f>IF(AND($O274&lt;&gt;"",$P274&lt;&gt;""),$O274&amp;TEXT($P274,"00"),"")</f>
        <v/>
      </c>
    </row>
    <row r="275">
      <c r="H275">
        <f>A275</f>
        <v/>
      </c>
      <c r="J275">
        <f>IF($I275&lt;&gt;"",$I275,$A275)</f>
        <v/>
      </c>
      <c r="K275">
        <f>IF($C275="","",IF(LEN($C275)=1,CODE(UPPER($C275))-64,IFERROR(VALUE(MID($C275,2,99)),"")))</f>
        <v/>
      </c>
      <c r="L275">
        <f>IF($D275="","",IFERROR(VALUE($D275),""))</f>
        <v/>
      </c>
      <c r="M275">
        <f>IFERROR(VALUE(MID($A275,FIND("Level",$A275)+5,99)),IF($E275="AISLE_FLOOR",0,IF($E275="OVERFLOW",0,IF($E275="ENDCAP",0,""))))</f>
        <v/>
      </c>
      <c r="N275">
        <f>IF(AND($B275&lt;&gt;"",$C275&lt;&gt;"",ISNUMBER(--$D275)), $B275&amp;": "&amp;LEFT($C275,1)&amp;TEXT(--$D275,"00"), IF($I275&lt;&gt;"",$I275,$A275))</f>
        <v/>
      </c>
      <c r="O275">
        <f>IF(AND($C275&lt;&gt;"",ISNUMBER(--$D275)),LEFT($C275,1),"")</f>
        <v/>
      </c>
      <c r="P275">
        <f>IF(ISNUMBER(--$D275),--$D275,"")</f>
        <v/>
      </c>
      <c r="Q275">
        <f>IF(AND($O275&lt;&gt;"",$P275&lt;&gt;""),$O275&amp;TEXT($P275,"00"),"")</f>
        <v/>
      </c>
    </row>
    <row r="276">
      <c r="H276">
        <f>A276</f>
        <v/>
      </c>
      <c r="J276">
        <f>IF($I276&lt;&gt;"",$I276,$A276)</f>
        <v/>
      </c>
      <c r="K276">
        <f>IF($C276="","",IF(LEN($C276)=1,CODE(UPPER($C276))-64,IFERROR(VALUE(MID($C276,2,99)),"")))</f>
        <v/>
      </c>
      <c r="L276">
        <f>IF($D276="","",IFERROR(VALUE($D276),""))</f>
        <v/>
      </c>
      <c r="M276">
        <f>IFERROR(VALUE(MID($A276,FIND("Level",$A276)+5,99)),IF($E276="AISLE_FLOOR",0,IF($E276="OVERFLOW",0,IF($E276="ENDCAP",0,""))))</f>
        <v/>
      </c>
      <c r="N276">
        <f>IF(AND($B276&lt;&gt;"",$C276&lt;&gt;"",ISNUMBER(--$D276)), $B276&amp;": "&amp;LEFT($C276,1)&amp;TEXT(--$D276,"00"), IF($I276&lt;&gt;"",$I276,$A276))</f>
        <v/>
      </c>
      <c r="O276">
        <f>IF(AND($C276&lt;&gt;"",ISNUMBER(--$D276)),LEFT($C276,1),"")</f>
        <v/>
      </c>
      <c r="P276">
        <f>IF(ISNUMBER(--$D276),--$D276,"")</f>
        <v/>
      </c>
      <c r="Q276">
        <f>IF(AND($O276&lt;&gt;"",$P276&lt;&gt;""),$O276&amp;TEXT($P276,"00"),"")</f>
        <v/>
      </c>
    </row>
    <row r="277">
      <c r="H277">
        <f>A277</f>
        <v/>
      </c>
      <c r="J277">
        <f>IF($I277&lt;&gt;"",$I277,$A277)</f>
        <v/>
      </c>
      <c r="K277">
        <f>IF($C277="","",IF(LEN($C277)=1,CODE(UPPER($C277))-64,IFERROR(VALUE(MID($C277,2,99)),"")))</f>
        <v/>
      </c>
      <c r="L277">
        <f>IF($D277="","",IFERROR(VALUE($D277),""))</f>
        <v/>
      </c>
      <c r="M277">
        <f>IFERROR(VALUE(MID($A277,FIND("Level",$A277)+5,99)),IF($E277="AISLE_FLOOR",0,IF($E277="OVERFLOW",0,IF($E277="ENDCAP",0,""))))</f>
        <v/>
      </c>
      <c r="N277">
        <f>IF(AND($B277&lt;&gt;"",$C277&lt;&gt;"",ISNUMBER(--$D277)), $B277&amp;": "&amp;LEFT($C277,1)&amp;TEXT(--$D277,"00"), IF($I277&lt;&gt;"",$I277,$A277))</f>
        <v/>
      </c>
      <c r="O277">
        <f>IF(AND($C277&lt;&gt;"",ISNUMBER(--$D277)),LEFT($C277,1),"")</f>
        <v/>
      </c>
      <c r="P277">
        <f>IF(ISNUMBER(--$D277),--$D277,"")</f>
        <v/>
      </c>
      <c r="Q277">
        <f>IF(AND($O277&lt;&gt;"",$P277&lt;&gt;""),$O277&amp;TEXT($P277,"00"),"")</f>
        <v/>
      </c>
    </row>
    <row r="278">
      <c r="H278">
        <f>A278</f>
        <v/>
      </c>
      <c r="J278">
        <f>IF($I278&lt;&gt;"",$I278,$A278)</f>
        <v/>
      </c>
      <c r="K278">
        <f>IF($C278="","",IF(LEN($C278)=1,CODE(UPPER($C278))-64,IFERROR(VALUE(MID($C278,2,99)),"")))</f>
        <v/>
      </c>
      <c r="L278">
        <f>IF($D278="","",IFERROR(VALUE($D278),""))</f>
        <v/>
      </c>
      <c r="M278">
        <f>IFERROR(VALUE(MID($A278,FIND("Level",$A278)+5,99)),IF($E278="AISLE_FLOOR",0,IF($E278="OVERFLOW",0,IF($E278="ENDCAP",0,""))))</f>
        <v/>
      </c>
      <c r="N278">
        <f>IF(AND($B278&lt;&gt;"",$C278&lt;&gt;"",ISNUMBER(--$D278)), $B278&amp;": "&amp;LEFT($C278,1)&amp;TEXT(--$D278,"00"), IF($I278&lt;&gt;"",$I278,$A278))</f>
        <v/>
      </c>
      <c r="O278">
        <f>IF(AND($C278&lt;&gt;"",ISNUMBER(--$D278)),LEFT($C278,1),"")</f>
        <v/>
      </c>
      <c r="P278">
        <f>IF(ISNUMBER(--$D278),--$D278,"")</f>
        <v/>
      </c>
      <c r="Q278">
        <f>IF(AND($O278&lt;&gt;"",$P278&lt;&gt;""),$O278&amp;TEXT($P278,"00"),"")</f>
        <v/>
      </c>
    </row>
    <row r="279">
      <c r="H279">
        <f>A279</f>
        <v/>
      </c>
      <c r="J279">
        <f>IF($I279&lt;&gt;"",$I279,$A279)</f>
        <v/>
      </c>
      <c r="K279">
        <f>IF($C279="","",IF(LEN($C279)=1,CODE(UPPER($C279))-64,IFERROR(VALUE(MID($C279,2,99)),"")))</f>
        <v/>
      </c>
      <c r="L279">
        <f>IF($D279="","",IFERROR(VALUE($D279),""))</f>
        <v/>
      </c>
      <c r="M279">
        <f>IFERROR(VALUE(MID($A279,FIND("Level",$A279)+5,99)),IF($E279="AISLE_FLOOR",0,IF($E279="OVERFLOW",0,IF($E279="ENDCAP",0,""))))</f>
        <v/>
      </c>
      <c r="N279">
        <f>IF(AND($B279&lt;&gt;"",$C279&lt;&gt;"",ISNUMBER(--$D279)), $B279&amp;": "&amp;LEFT($C279,1)&amp;TEXT(--$D279,"00"), IF($I279&lt;&gt;"",$I279,$A279))</f>
        <v/>
      </c>
      <c r="O279">
        <f>IF(AND($C279&lt;&gt;"",ISNUMBER(--$D279)),LEFT($C279,1),"")</f>
        <v/>
      </c>
      <c r="P279">
        <f>IF(ISNUMBER(--$D279),--$D279,"")</f>
        <v/>
      </c>
      <c r="Q279">
        <f>IF(AND($O279&lt;&gt;"",$P279&lt;&gt;""),$O279&amp;TEXT($P279,"00"),"")</f>
        <v/>
      </c>
    </row>
    <row r="280">
      <c r="H280">
        <f>A280</f>
        <v/>
      </c>
      <c r="J280">
        <f>IF($I280&lt;&gt;"",$I280,$A280)</f>
        <v/>
      </c>
      <c r="K280">
        <f>IF($C280="","",IF(LEN($C280)=1,CODE(UPPER($C280))-64,IFERROR(VALUE(MID($C280,2,99)),"")))</f>
        <v/>
      </c>
      <c r="L280">
        <f>IF($D280="","",IFERROR(VALUE($D280),""))</f>
        <v/>
      </c>
      <c r="M280">
        <f>IFERROR(VALUE(MID($A280,FIND("Level",$A280)+5,99)),IF($E280="AISLE_FLOOR",0,IF($E280="OVERFLOW",0,IF($E280="ENDCAP",0,""))))</f>
        <v/>
      </c>
      <c r="N280">
        <f>IF(AND($B280&lt;&gt;"",$C280&lt;&gt;"",ISNUMBER(--$D280)), $B280&amp;": "&amp;LEFT($C280,1)&amp;TEXT(--$D280,"00"), IF($I280&lt;&gt;"",$I280,$A280))</f>
        <v/>
      </c>
      <c r="O280">
        <f>IF(AND($C280&lt;&gt;"",ISNUMBER(--$D280)),LEFT($C280,1),"")</f>
        <v/>
      </c>
      <c r="P280">
        <f>IF(ISNUMBER(--$D280),--$D280,"")</f>
        <v/>
      </c>
      <c r="Q280">
        <f>IF(AND($O280&lt;&gt;"",$P280&lt;&gt;""),$O280&amp;TEXT($P280,"00"),"")</f>
        <v/>
      </c>
    </row>
    <row r="281">
      <c r="H281">
        <f>A281</f>
        <v/>
      </c>
      <c r="J281">
        <f>IF($I281&lt;&gt;"",$I281,$A281)</f>
        <v/>
      </c>
      <c r="K281">
        <f>IF($C281="","",IF(LEN($C281)=1,CODE(UPPER($C281))-64,IFERROR(VALUE(MID($C281,2,99)),"")))</f>
        <v/>
      </c>
      <c r="L281">
        <f>IF($D281="","",IFERROR(VALUE($D281),""))</f>
        <v/>
      </c>
      <c r="M281">
        <f>IFERROR(VALUE(MID($A281,FIND("Level",$A281)+5,99)),IF($E281="AISLE_FLOOR",0,IF($E281="OVERFLOW",0,IF($E281="ENDCAP",0,""))))</f>
        <v/>
      </c>
      <c r="N281">
        <f>IF(AND($B281&lt;&gt;"",$C281&lt;&gt;"",ISNUMBER(--$D281)), $B281&amp;": "&amp;LEFT($C281,1)&amp;TEXT(--$D281,"00"), IF($I281&lt;&gt;"",$I281,$A281))</f>
        <v/>
      </c>
      <c r="O281">
        <f>IF(AND($C281&lt;&gt;"",ISNUMBER(--$D281)),LEFT($C281,1),"")</f>
        <v/>
      </c>
      <c r="P281">
        <f>IF(ISNUMBER(--$D281),--$D281,"")</f>
        <v/>
      </c>
      <c r="Q281">
        <f>IF(AND($O281&lt;&gt;"",$P281&lt;&gt;""),$O281&amp;TEXT($P281,"00"),"")</f>
        <v/>
      </c>
    </row>
    <row r="282">
      <c r="H282">
        <f>A282</f>
        <v/>
      </c>
      <c r="J282">
        <f>IF($I282&lt;&gt;"",$I282,$A282)</f>
        <v/>
      </c>
      <c r="K282">
        <f>IF($C282="","",IF(LEN($C282)=1,CODE(UPPER($C282))-64,IFERROR(VALUE(MID($C282,2,99)),"")))</f>
        <v/>
      </c>
      <c r="L282">
        <f>IF($D282="","",IFERROR(VALUE($D282),""))</f>
        <v/>
      </c>
      <c r="M282">
        <f>IFERROR(VALUE(MID($A282,FIND("Level",$A282)+5,99)),IF($E282="AISLE_FLOOR",0,IF($E282="OVERFLOW",0,IF($E282="ENDCAP",0,""))))</f>
        <v/>
      </c>
      <c r="N282">
        <f>IF(AND($B282&lt;&gt;"",$C282&lt;&gt;"",ISNUMBER(--$D282)), $B282&amp;": "&amp;LEFT($C282,1)&amp;TEXT(--$D282,"00"), IF($I282&lt;&gt;"",$I282,$A282))</f>
        <v/>
      </c>
      <c r="O282">
        <f>IF(AND($C282&lt;&gt;"",ISNUMBER(--$D282)),LEFT($C282,1),"")</f>
        <v/>
      </c>
      <c r="P282">
        <f>IF(ISNUMBER(--$D282),--$D282,"")</f>
        <v/>
      </c>
      <c r="Q282">
        <f>IF(AND($O282&lt;&gt;"",$P282&lt;&gt;""),$O282&amp;TEXT($P282,"00"),"")</f>
        <v/>
      </c>
    </row>
    <row r="283">
      <c r="H283">
        <f>A283</f>
        <v/>
      </c>
      <c r="J283">
        <f>IF($I283&lt;&gt;"",$I283,$A283)</f>
        <v/>
      </c>
      <c r="K283">
        <f>IF($C283="","",IF(LEN($C283)=1,CODE(UPPER($C283))-64,IFERROR(VALUE(MID($C283,2,99)),"")))</f>
        <v/>
      </c>
      <c r="L283">
        <f>IF($D283="","",IFERROR(VALUE($D283),""))</f>
        <v/>
      </c>
      <c r="M283">
        <f>IFERROR(VALUE(MID($A283,FIND("Level",$A283)+5,99)),IF($E283="AISLE_FLOOR",0,IF($E283="OVERFLOW",0,IF($E283="ENDCAP",0,""))))</f>
        <v/>
      </c>
      <c r="N283">
        <f>IF(AND($B283&lt;&gt;"",$C283&lt;&gt;"",ISNUMBER(--$D283)), $B283&amp;": "&amp;LEFT($C283,1)&amp;TEXT(--$D283,"00"), IF($I283&lt;&gt;"",$I283,$A283))</f>
        <v/>
      </c>
      <c r="O283">
        <f>IF(AND($C283&lt;&gt;"",ISNUMBER(--$D283)),LEFT($C283,1),"")</f>
        <v/>
      </c>
      <c r="P283">
        <f>IF(ISNUMBER(--$D283),--$D283,"")</f>
        <v/>
      </c>
      <c r="Q283">
        <f>IF(AND($O283&lt;&gt;"",$P283&lt;&gt;""),$O283&amp;TEXT($P283,"00"),"")</f>
        <v/>
      </c>
    </row>
    <row r="284">
      <c r="H284">
        <f>A284</f>
        <v/>
      </c>
      <c r="J284">
        <f>IF($I284&lt;&gt;"",$I284,$A284)</f>
        <v/>
      </c>
      <c r="K284">
        <f>IF($C284="","",IF(LEN($C284)=1,CODE(UPPER($C284))-64,IFERROR(VALUE(MID($C284,2,99)),"")))</f>
        <v/>
      </c>
      <c r="L284">
        <f>IF($D284="","",IFERROR(VALUE($D284),""))</f>
        <v/>
      </c>
      <c r="M284">
        <f>IFERROR(VALUE(MID($A284,FIND("Level",$A284)+5,99)),IF($E284="AISLE_FLOOR",0,IF($E284="OVERFLOW",0,IF($E284="ENDCAP",0,""))))</f>
        <v/>
      </c>
      <c r="N284">
        <f>IF(AND($B284&lt;&gt;"",$C284&lt;&gt;"",ISNUMBER(--$D284)), $B284&amp;": "&amp;LEFT($C284,1)&amp;TEXT(--$D284,"00"), IF($I284&lt;&gt;"",$I284,$A284))</f>
        <v/>
      </c>
      <c r="O284">
        <f>IF(AND($C284&lt;&gt;"",ISNUMBER(--$D284)),LEFT($C284,1),"")</f>
        <v/>
      </c>
      <c r="P284">
        <f>IF(ISNUMBER(--$D284),--$D284,"")</f>
        <v/>
      </c>
      <c r="Q284">
        <f>IF(AND($O284&lt;&gt;"",$P284&lt;&gt;""),$O284&amp;TEXT($P284,"00"),"")</f>
        <v/>
      </c>
    </row>
    <row r="285">
      <c r="H285">
        <f>A285</f>
        <v/>
      </c>
      <c r="J285">
        <f>IF($I285&lt;&gt;"",$I285,$A285)</f>
        <v/>
      </c>
      <c r="K285">
        <f>IF($C285="","",IF(LEN($C285)=1,CODE(UPPER($C285))-64,IFERROR(VALUE(MID($C285,2,99)),"")))</f>
        <v/>
      </c>
      <c r="L285">
        <f>IF($D285="","",IFERROR(VALUE($D285),""))</f>
        <v/>
      </c>
      <c r="M285">
        <f>IFERROR(VALUE(MID($A285,FIND("Level",$A285)+5,99)),IF($E285="AISLE_FLOOR",0,IF($E285="OVERFLOW",0,IF($E285="ENDCAP",0,""))))</f>
        <v/>
      </c>
      <c r="N285">
        <f>IF(AND($B285&lt;&gt;"",$C285&lt;&gt;"",ISNUMBER(--$D285)), $B285&amp;": "&amp;LEFT($C285,1)&amp;TEXT(--$D285,"00"), IF($I285&lt;&gt;"",$I285,$A285))</f>
        <v/>
      </c>
      <c r="O285">
        <f>IF(AND($C285&lt;&gt;"",ISNUMBER(--$D285)),LEFT($C285,1),"")</f>
        <v/>
      </c>
      <c r="P285">
        <f>IF(ISNUMBER(--$D285),--$D285,"")</f>
        <v/>
      </c>
      <c r="Q285">
        <f>IF(AND($O285&lt;&gt;"",$P285&lt;&gt;""),$O285&amp;TEXT($P285,"00"),"")</f>
        <v/>
      </c>
    </row>
    <row r="286">
      <c r="H286">
        <f>A286</f>
        <v/>
      </c>
      <c r="J286">
        <f>IF($I286&lt;&gt;"",$I286,$A286)</f>
        <v/>
      </c>
      <c r="K286">
        <f>IF($C286="","",IF(LEN($C286)=1,CODE(UPPER($C286))-64,IFERROR(VALUE(MID($C286,2,99)),"")))</f>
        <v/>
      </c>
      <c r="L286">
        <f>IF($D286="","",IFERROR(VALUE($D286),""))</f>
        <v/>
      </c>
      <c r="M286">
        <f>IFERROR(VALUE(MID($A286,FIND("Level",$A286)+5,99)),IF($E286="AISLE_FLOOR",0,IF($E286="OVERFLOW",0,IF($E286="ENDCAP",0,""))))</f>
        <v/>
      </c>
      <c r="N286">
        <f>IF(AND($B286&lt;&gt;"",$C286&lt;&gt;"",ISNUMBER(--$D286)), $B286&amp;": "&amp;LEFT($C286,1)&amp;TEXT(--$D286,"00"), IF($I286&lt;&gt;"",$I286,$A286))</f>
        <v/>
      </c>
      <c r="O286">
        <f>IF(AND($C286&lt;&gt;"",ISNUMBER(--$D286)),LEFT($C286,1),"")</f>
        <v/>
      </c>
      <c r="P286">
        <f>IF(ISNUMBER(--$D286),--$D286,"")</f>
        <v/>
      </c>
      <c r="Q286">
        <f>IF(AND($O286&lt;&gt;"",$P286&lt;&gt;""),$O286&amp;TEXT($P286,"00"),"")</f>
        <v/>
      </c>
    </row>
    <row r="287">
      <c r="H287">
        <f>A287</f>
        <v/>
      </c>
      <c r="J287">
        <f>IF($I287&lt;&gt;"",$I287,$A287)</f>
        <v/>
      </c>
      <c r="K287">
        <f>IF($C287="","",IF(LEN($C287)=1,CODE(UPPER($C287))-64,IFERROR(VALUE(MID($C287,2,99)),"")))</f>
        <v/>
      </c>
      <c r="L287">
        <f>IF($D287="","",IFERROR(VALUE($D287),""))</f>
        <v/>
      </c>
      <c r="M287">
        <f>IFERROR(VALUE(MID($A287,FIND("Level",$A287)+5,99)),IF($E287="AISLE_FLOOR",0,IF($E287="OVERFLOW",0,IF($E287="ENDCAP",0,""))))</f>
        <v/>
      </c>
      <c r="N287">
        <f>IF(AND($B287&lt;&gt;"",$C287&lt;&gt;"",ISNUMBER(--$D287)), $B287&amp;": "&amp;LEFT($C287,1)&amp;TEXT(--$D287,"00"), IF($I287&lt;&gt;"",$I287,$A287))</f>
        <v/>
      </c>
      <c r="O287">
        <f>IF(AND($C287&lt;&gt;"",ISNUMBER(--$D287)),LEFT($C287,1),"")</f>
        <v/>
      </c>
      <c r="P287">
        <f>IF(ISNUMBER(--$D287),--$D287,"")</f>
        <v/>
      </c>
      <c r="Q287">
        <f>IF(AND($O287&lt;&gt;"",$P287&lt;&gt;""),$O287&amp;TEXT($P287,"00"),"")</f>
        <v/>
      </c>
    </row>
    <row r="288">
      <c r="H288">
        <f>A288</f>
        <v/>
      </c>
      <c r="J288">
        <f>IF($I288&lt;&gt;"",$I288,$A288)</f>
        <v/>
      </c>
      <c r="K288">
        <f>IF($C288="","",IF(LEN($C288)=1,CODE(UPPER($C288))-64,IFERROR(VALUE(MID($C288,2,99)),"")))</f>
        <v/>
      </c>
      <c r="L288">
        <f>IF($D288="","",IFERROR(VALUE($D288),""))</f>
        <v/>
      </c>
      <c r="M288">
        <f>IFERROR(VALUE(MID($A288,FIND("Level",$A288)+5,99)),IF($E288="AISLE_FLOOR",0,IF($E288="OVERFLOW",0,IF($E288="ENDCAP",0,""))))</f>
        <v/>
      </c>
      <c r="N288">
        <f>IF(AND($B288&lt;&gt;"",$C288&lt;&gt;"",ISNUMBER(--$D288)), $B288&amp;": "&amp;LEFT($C288,1)&amp;TEXT(--$D288,"00"), IF($I288&lt;&gt;"",$I288,$A288))</f>
        <v/>
      </c>
      <c r="O288">
        <f>IF(AND($C288&lt;&gt;"",ISNUMBER(--$D288)),LEFT($C288,1),"")</f>
        <v/>
      </c>
      <c r="P288">
        <f>IF(ISNUMBER(--$D288),--$D288,"")</f>
        <v/>
      </c>
      <c r="Q288">
        <f>IF(AND($O288&lt;&gt;"",$P288&lt;&gt;""),$O288&amp;TEXT($P288,"00"),"")</f>
        <v/>
      </c>
    </row>
    <row r="289">
      <c r="H289">
        <f>A289</f>
        <v/>
      </c>
      <c r="J289">
        <f>IF($I289&lt;&gt;"",$I289,$A289)</f>
        <v/>
      </c>
      <c r="K289">
        <f>IF($C289="","",IF(LEN($C289)=1,CODE(UPPER($C289))-64,IFERROR(VALUE(MID($C289,2,99)),"")))</f>
        <v/>
      </c>
      <c r="L289">
        <f>IF($D289="","",IFERROR(VALUE($D289),""))</f>
        <v/>
      </c>
      <c r="M289">
        <f>IFERROR(VALUE(MID($A289,FIND("Level",$A289)+5,99)),IF($E289="AISLE_FLOOR",0,IF($E289="OVERFLOW",0,IF($E289="ENDCAP",0,""))))</f>
        <v/>
      </c>
      <c r="N289">
        <f>IF(AND($B289&lt;&gt;"",$C289&lt;&gt;"",ISNUMBER(--$D289)), $B289&amp;": "&amp;LEFT($C289,1)&amp;TEXT(--$D289,"00"), IF($I289&lt;&gt;"",$I289,$A289))</f>
        <v/>
      </c>
      <c r="O289">
        <f>IF(AND($C289&lt;&gt;"",ISNUMBER(--$D289)),LEFT($C289,1),"")</f>
        <v/>
      </c>
      <c r="P289">
        <f>IF(ISNUMBER(--$D289),--$D289,"")</f>
        <v/>
      </c>
      <c r="Q289">
        <f>IF(AND($O289&lt;&gt;"",$P289&lt;&gt;""),$O289&amp;TEXT($P289,"00"),"")</f>
        <v/>
      </c>
    </row>
    <row r="290">
      <c r="H290">
        <f>A290</f>
        <v/>
      </c>
      <c r="J290">
        <f>IF($I290&lt;&gt;"",$I290,$A290)</f>
        <v/>
      </c>
      <c r="K290">
        <f>IF($C290="","",IF(LEN($C290)=1,CODE(UPPER($C290))-64,IFERROR(VALUE(MID($C290,2,99)),"")))</f>
        <v/>
      </c>
      <c r="L290">
        <f>IF($D290="","",IFERROR(VALUE($D290),""))</f>
        <v/>
      </c>
      <c r="M290">
        <f>IFERROR(VALUE(MID($A290,FIND("Level",$A290)+5,99)),IF($E290="AISLE_FLOOR",0,IF($E290="OVERFLOW",0,IF($E290="ENDCAP",0,""))))</f>
        <v/>
      </c>
      <c r="N290">
        <f>IF(AND($B290&lt;&gt;"",$C290&lt;&gt;"",ISNUMBER(--$D290)), $B290&amp;": "&amp;LEFT($C290,1)&amp;TEXT(--$D290,"00"), IF($I290&lt;&gt;"",$I290,$A290))</f>
        <v/>
      </c>
      <c r="O290">
        <f>IF(AND($C290&lt;&gt;"",ISNUMBER(--$D290)),LEFT($C290,1),"")</f>
        <v/>
      </c>
      <c r="P290">
        <f>IF(ISNUMBER(--$D290),--$D290,"")</f>
        <v/>
      </c>
      <c r="Q290">
        <f>IF(AND($O290&lt;&gt;"",$P290&lt;&gt;""),$O290&amp;TEXT($P290,"00"),"")</f>
        <v/>
      </c>
    </row>
    <row r="291">
      <c r="H291">
        <f>A291</f>
        <v/>
      </c>
      <c r="J291">
        <f>IF($I291&lt;&gt;"",$I291,$A291)</f>
        <v/>
      </c>
      <c r="K291">
        <f>IF($C291="","",IF(LEN($C291)=1,CODE(UPPER($C291))-64,IFERROR(VALUE(MID($C291,2,99)),"")))</f>
        <v/>
      </c>
      <c r="L291">
        <f>IF($D291="","",IFERROR(VALUE($D291),""))</f>
        <v/>
      </c>
      <c r="M291">
        <f>IFERROR(VALUE(MID($A291,FIND("Level",$A291)+5,99)),IF($E291="AISLE_FLOOR",0,IF($E291="OVERFLOW",0,IF($E291="ENDCAP",0,""))))</f>
        <v/>
      </c>
      <c r="N291">
        <f>IF(AND($B291&lt;&gt;"",$C291&lt;&gt;"",ISNUMBER(--$D291)), $B291&amp;": "&amp;LEFT($C291,1)&amp;TEXT(--$D291,"00"), IF($I291&lt;&gt;"",$I291,$A291))</f>
        <v/>
      </c>
      <c r="O291">
        <f>IF(AND($C291&lt;&gt;"",ISNUMBER(--$D291)),LEFT($C291,1),"")</f>
        <v/>
      </c>
      <c r="P291">
        <f>IF(ISNUMBER(--$D291),--$D291,"")</f>
        <v/>
      </c>
      <c r="Q291">
        <f>IF(AND($O291&lt;&gt;"",$P291&lt;&gt;""),$O291&amp;TEXT($P291,"00"),"")</f>
        <v/>
      </c>
    </row>
    <row r="292">
      <c r="H292">
        <f>A292</f>
        <v/>
      </c>
      <c r="J292">
        <f>IF($I292&lt;&gt;"",$I292,$A292)</f>
        <v/>
      </c>
      <c r="K292">
        <f>IF($C292="","",IF(LEN($C292)=1,CODE(UPPER($C292))-64,IFERROR(VALUE(MID($C292,2,99)),"")))</f>
        <v/>
      </c>
      <c r="L292">
        <f>IF($D292="","",IFERROR(VALUE($D292),""))</f>
        <v/>
      </c>
      <c r="M292">
        <f>IFERROR(VALUE(MID($A292,FIND("Level",$A292)+5,99)),IF($E292="AISLE_FLOOR",0,IF($E292="OVERFLOW",0,IF($E292="ENDCAP",0,""))))</f>
        <v/>
      </c>
      <c r="N292">
        <f>IF(AND($B292&lt;&gt;"",$C292&lt;&gt;"",ISNUMBER(--$D292)), $B292&amp;": "&amp;LEFT($C292,1)&amp;TEXT(--$D292,"00"), IF($I292&lt;&gt;"",$I292,$A292))</f>
        <v/>
      </c>
      <c r="O292">
        <f>IF(AND($C292&lt;&gt;"",ISNUMBER(--$D292)),LEFT($C292,1),"")</f>
        <v/>
      </c>
      <c r="P292">
        <f>IF(ISNUMBER(--$D292),--$D292,"")</f>
        <v/>
      </c>
      <c r="Q292">
        <f>IF(AND($O292&lt;&gt;"",$P292&lt;&gt;""),$O292&amp;TEXT($P292,"00"),"")</f>
        <v/>
      </c>
    </row>
    <row r="293">
      <c r="H293">
        <f>A293</f>
        <v/>
      </c>
      <c r="J293">
        <f>IF($I293&lt;&gt;"",$I293,$A293)</f>
        <v/>
      </c>
      <c r="K293">
        <f>IF($C293="","",IF(LEN($C293)=1,CODE(UPPER($C293))-64,IFERROR(VALUE(MID($C293,2,99)),"")))</f>
        <v/>
      </c>
      <c r="L293">
        <f>IF($D293="","",IFERROR(VALUE($D293),""))</f>
        <v/>
      </c>
      <c r="M293">
        <f>IFERROR(VALUE(MID($A293,FIND("Level",$A293)+5,99)),IF($E293="AISLE_FLOOR",0,IF($E293="OVERFLOW",0,IF($E293="ENDCAP",0,""))))</f>
        <v/>
      </c>
      <c r="N293">
        <f>IF(AND($B293&lt;&gt;"",$C293&lt;&gt;"",ISNUMBER(--$D293)), $B293&amp;": "&amp;LEFT($C293,1)&amp;TEXT(--$D293,"00"), IF($I293&lt;&gt;"",$I293,$A293))</f>
        <v/>
      </c>
      <c r="O293">
        <f>IF(AND($C293&lt;&gt;"",ISNUMBER(--$D293)),LEFT($C293,1),"")</f>
        <v/>
      </c>
      <c r="P293">
        <f>IF(ISNUMBER(--$D293),--$D293,"")</f>
        <v/>
      </c>
      <c r="Q293">
        <f>IF(AND($O293&lt;&gt;"",$P293&lt;&gt;""),$O293&amp;TEXT($P293,"00"),"")</f>
        <v/>
      </c>
    </row>
    <row r="294">
      <c r="H294">
        <f>A294</f>
        <v/>
      </c>
      <c r="J294">
        <f>IF($I294&lt;&gt;"",$I294,$A294)</f>
        <v/>
      </c>
      <c r="K294">
        <f>IF($C294="","",IF(LEN($C294)=1,CODE(UPPER($C294))-64,IFERROR(VALUE(MID($C294,2,99)),"")))</f>
        <v/>
      </c>
      <c r="L294">
        <f>IF($D294="","",IFERROR(VALUE($D294),""))</f>
        <v/>
      </c>
      <c r="M294">
        <f>IFERROR(VALUE(MID($A294,FIND("Level",$A294)+5,99)),IF($E294="AISLE_FLOOR",0,IF($E294="OVERFLOW",0,IF($E294="ENDCAP",0,""))))</f>
        <v/>
      </c>
      <c r="N294">
        <f>IF(AND($B294&lt;&gt;"",$C294&lt;&gt;"",ISNUMBER(--$D294)), $B294&amp;": "&amp;LEFT($C294,1)&amp;TEXT(--$D294,"00"), IF($I294&lt;&gt;"",$I294,$A294))</f>
        <v/>
      </c>
      <c r="O294">
        <f>IF(AND($C294&lt;&gt;"",ISNUMBER(--$D294)),LEFT($C294,1),"")</f>
        <v/>
      </c>
      <c r="P294">
        <f>IF(ISNUMBER(--$D294),--$D294,"")</f>
        <v/>
      </c>
      <c r="Q294">
        <f>IF(AND($O294&lt;&gt;"",$P294&lt;&gt;""),$O294&amp;TEXT($P294,"00"),"")</f>
        <v/>
      </c>
    </row>
    <row r="295">
      <c r="H295">
        <f>A295</f>
        <v/>
      </c>
      <c r="J295">
        <f>IF($I295&lt;&gt;"",$I295,$A295)</f>
        <v/>
      </c>
      <c r="K295">
        <f>IF($C295="","",IF(LEN($C295)=1,CODE(UPPER($C295))-64,IFERROR(VALUE(MID($C295,2,99)),"")))</f>
        <v/>
      </c>
      <c r="L295">
        <f>IF($D295="","",IFERROR(VALUE($D295),""))</f>
        <v/>
      </c>
      <c r="M295">
        <f>IFERROR(VALUE(MID($A295,FIND("Level",$A295)+5,99)),IF($E295="AISLE_FLOOR",0,IF($E295="OVERFLOW",0,IF($E295="ENDCAP",0,""))))</f>
        <v/>
      </c>
      <c r="N295">
        <f>IF(AND($B295&lt;&gt;"",$C295&lt;&gt;"",ISNUMBER(--$D295)), $B295&amp;": "&amp;LEFT($C295,1)&amp;TEXT(--$D295,"00"), IF($I295&lt;&gt;"",$I295,$A295))</f>
        <v/>
      </c>
      <c r="O295">
        <f>IF(AND($C295&lt;&gt;"",ISNUMBER(--$D295)),LEFT($C295,1),"")</f>
        <v/>
      </c>
      <c r="P295">
        <f>IF(ISNUMBER(--$D295),--$D295,"")</f>
        <v/>
      </c>
      <c r="Q295">
        <f>IF(AND($O295&lt;&gt;"",$P295&lt;&gt;""),$O295&amp;TEXT($P295,"00"),"")</f>
        <v/>
      </c>
    </row>
    <row r="296">
      <c r="H296">
        <f>A296</f>
        <v/>
      </c>
      <c r="J296">
        <f>IF($I296&lt;&gt;"",$I296,$A296)</f>
        <v/>
      </c>
      <c r="K296">
        <f>IF($C296="","",IF(LEN($C296)=1,CODE(UPPER($C296))-64,IFERROR(VALUE(MID($C296,2,99)),"")))</f>
        <v/>
      </c>
      <c r="L296">
        <f>IF($D296="","",IFERROR(VALUE($D296),""))</f>
        <v/>
      </c>
      <c r="M296">
        <f>IFERROR(VALUE(MID($A296,FIND("Level",$A296)+5,99)),IF($E296="AISLE_FLOOR",0,IF($E296="OVERFLOW",0,IF($E296="ENDCAP",0,""))))</f>
        <v/>
      </c>
      <c r="N296">
        <f>IF(AND($B296&lt;&gt;"",$C296&lt;&gt;"",ISNUMBER(--$D296)), $B296&amp;": "&amp;LEFT($C296,1)&amp;TEXT(--$D296,"00"), IF($I296&lt;&gt;"",$I296,$A296))</f>
        <v/>
      </c>
      <c r="O296">
        <f>IF(AND($C296&lt;&gt;"",ISNUMBER(--$D296)),LEFT($C296,1),"")</f>
        <v/>
      </c>
      <c r="P296">
        <f>IF(ISNUMBER(--$D296),--$D296,"")</f>
        <v/>
      </c>
      <c r="Q296">
        <f>IF(AND($O296&lt;&gt;"",$P296&lt;&gt;""),$O296&amp;TEXT($P296,"00"),"")</f>
        <v/>
      </c>
    </row>
    <row r="297">
      <c r="H297">
        <f>A297</f>
        <v/>
      </c>
      <c r="J297">
        <f>IF($I297&lt;&gt;"",$I297,$A297)</f>
        <v/>
      </c>
      <c r="K297">
        <f>IF($C297="","",IF(LEN($C297)=1,CODE(UPPER($C297))-64,IFERROR(VALUE(MID($C297,2,99)),"")))</f>
        <v/>
      </c>
      <c r="L297">
        <f>IF($D297="","",IFERROR(VALUE($D297),""))</f>
        <v/>
      </c>
      <c r="M297">
        <f>IFERROR(VALUE(MID($A297,FIND("Level",$A297)+5,99)),IF($E297="AISLE_FLOOR",0,IF($E297="OVERFLOW",0,IF($E297="ENDCAP",0,""))))</f>
        <v/>
      </c>
      <c r="N297">
        <f>IF(AND($B297&lt;&gt;"",$C297&lt;&gt;"",ISNUMBER(--$D297)), $B297&amp;": "&amp;LEFT($C297,1)&amp;TEXT(--$D297,"00"), IF($I297&lt;&gt;"",$I297,$A297))</f>
        <v/>
      </c>
      <c r="O297">
        <f>IF(AND($C297&lt;&gt;"",ISNUMBER(--$D297)),LEFT($C297,1),"")</f>
        <v/>
      </c>
      <c r="P297">
        <f>IF(ISNUMBER(--$D297),--$D297,"")</f>
        <v/>
      </c>
      <c r="Q297">
        <f>IF(AND($O297&lt;&gt;"",$P297&lt;&gt;""),$O297&amp;TEXT($P297,"00"),"")</f>
        <v/>
      </c>
    </row>
    <row r="298">
      <c r="H298">
        <f>A298</f>
        <v/>
      </c>
      <c r="J298">
        <f>IF($I298&lt;&gt;"",$I298,$A298)</f>
        <v/>
      </c>
      <c r="K298">
        <f>IF($C298="","",IF(LEN($C298)=1,CODE(UPPER($C298))-64,IFERROR(VALUE(MID($C298,2,99)),"")))</f>
        <v/>
      </c>
      <c r="L298">
        <f>IF($D298="","",IFERROR(VALUE($D298),""))</f>
        <v/>
      </c>
      <c r="M298">
        <f>IFERROR(VALUE(MID($A298,FIND("Level",$A298)+5,99)),IF($E298="AISLE_FLOOR",0,IF($E298="OVERFLOW",0,IF($E298="ENDCAP",0,""))))</f>
        <v/>
      </c>
      <c r="N298">
        <f>IF(AND($B298&lt;&gt;"",$C298&lt;&gt;"",ISNUMBER(--$D298)), $B298&amp;": "&amp;LEFT($C298,1)&amp;TEXT(--$D298,"00"), IF($I298&lt;&gt;"",$I298,$A298))</f>
        <v/>
      </c>
      <c r="O298">
        <f>IF(AND($C298&lt;&gt;"",ISNUMBER(--$D298)),LEFT($C298,1),"")</f>
        <v/>
      </c>
      <c r="P298">
        <f>IF(ISNUMBER(--$D298),--$D298,"")</f>
        <v/>
      </c>
      <c r="Q298">
        <f>IF(AND($O298&lt;&gt;"",$P298&lt;&gt;""),$O298&amp;TEXT($P298,"00"),"")</f>
        <v/>
      </c>
    </row>
    <row r="299">
      <c r="H299">
        <f>A299</f>
        <v/>
      </c>
      <c r="J299">
        <f>IF($I299&lt;&gt;"",$I299,$A299)</f>
        <v/>
      </c>
      <c r="K299">
        <f>IF($C299="","",IF(LEN($C299)=1,CODE(UPPER($C299))-64,IFERROR(VALUE(MID($C299,2,99)),"")))</f>
        <v/>
      </c>
      <c r="L299">
        <f>IF($D299="","",IFERROR(VALUE($D299),""))</f>
        <v/>
      </c>
      <c r="M299">
        <f>IFERROR(VALUE(MID($A299,FIND("Level",$A299)+5,99)),IF($E299="AISLE_FLOOR",0,IF($E299="OVERFLOW",0,IF($E299="ENDCAP",0,""))))</f>
        <v/>
      </c>
      <c r="N299">
        <f>IF(AND($B299&lt;&gt;"",$C299&lt;&gt;"",ISNUMBER(--$D299)), $B299&amp;": "&amp;LEFT($C299,1)&amp;TEXT(--$D299,"00"), IF($I299&lt;&gt;"",$I299,$A299))</f>
        <v/>
      </c>
      <c r="O299">
        <f>IF(AND($C299&lt;&gt;"",ISNUMBER(--$D299)),LEFT($C299,1),"")</f>
        <v/>
      </c>
      <c r="P299">
        <f>IF(ISNUMBER(--$D299),--$D299,"")</f>
        <v/>
      </c>
      <c r="Q299">
        <f>IF(AND($O299&lt;&gt;"",$P299&lt;&gt;""),$O299&amp;TEXT($P299,"00"),"")</f>
        <v/>
      </c>
    </row>
    <row r="300">
      <c r="H300">
        <f>A300</f>
        <v/>
      </c>
      <c r="J300">
        <f>IF($I300&lt;&gt;"",$I300,$A300)</f>
        <v/>
      </c>
      <c r="K300">
        <f>IF($C300="","",IF(LEN($C300)=1,CODE(UPPER($C300))-64,IFERROR(VALUE(MID($C300,2,99)),"")))</f>
        <v/>
      </c>
      <c r="L300">
        <f>IF($D300="","",IFERROR(VALUE($D300),""))</f>
        <v/>
      </c>
      <c r="M300">
        <f>IFERROR(VALUE(MID($A300,FIND("Level",$A300)+5,99)),IF($E300="AISLE_FLOOR",0,IF($E300="OVERFLOW",0,IF($E300="ENDCAP",0,""))))</f>
        <v/>
      </c>
      <c r="N300">
        <f>IF(AND($B300&lt;&gt;"",$C300&lt;&gt;"",ISNUMBER(--$D300)), $B300&amp;": "&amp;LEFT($C300,1)&amp;TEXT(--$D300,"00"), IF($I300&lt;&gt;"",$I300,$A300))</f>
        <v/>
      </c>
      <c r="O300">
        <f>IF(AND($C300&lt;&gt;"",ISNUMBER(--$D300)),LEFT($C300,1),"")</f>
        <v/>
      </c>
      <c r="P300">
        <f>IF(ISNUMBER(--$D300),--$D300,"")</f>
        <v/>
      </c>
      <c r="Q300">
        <f>IF(AND($O300&lt;&gt;"",$P300&lt;&gt;""),$O300&amp;TEXT($P300,"00"),"")</f>
        <v/>
      </c>
    </row>
    <row r="301">
      <c r="H301">
        <f>A301</f>
        <v/>
      </c>
      <c r="J301">
        <f>IF($I301&lt;&gt;"",$I301,$A301)</f>
        <v/>
      </c>
      <c r="K301">
        <f>IF($C301="","",IF(LEN($C301)=1,CODE(UPPER($C301))-64,IFERROR(VALUE(MID($C301,2,99)),"")))</f>
        <v/>
      </c>
      <c r="L301">
        <f>IF($D301="","",IFERROR(VALUE($D301),""))</f>
        <v/>
      </c>
      <c r="M301">
        <f>IFERROR(VALUE(MID($A301,FIND("Level",$A301)+5,99)),IF($E301="AISLE_FLOOR",0,IF($E301="OVERFLOW",0,IF($E301="ENDCAP",0,""))))</f>
        <v/>
      </c>
      <c r="N301">
        <f>IF(AND($B301&lt;&gt;"",$C301&lt;&gt;"",ISNUMBER(--$D301)), $B301&amp;": "&amp;LEFT($C301,1)&amp;TEXT(--$D301,"00"), IF($I301&lt;&gt;"",$I301,$A301))</f>
        <v/>
      </c>
      <c r="O301">
        <f>IF(AND($C301&lt;&gt;"",ISNUMBER(--$D301)),LEFT($C301,1),"")</f>
        <v/>
      </c>
      <c r="P301">
        <f>IF(ISNUMBER(--$D301),--$D301,"")</f>
        <v/>
      </c>
      <c r="Q301">
        <f>IF(AND($O301&lt;&gt;"",$P301&lt;&gt;""),$O301&amp;TEXT($P301,"00"),"")</f>
        <v/>
      </c>
    </row>
    <row r="302">
      <c r="H302">
        <f>A302</f>
        <v/>
      </c>
      <c r="J302">
        <f>IF($I302&lt;&gt;"",$I302,$A302)</f>
        <v/>
      </c>
      <c r="K302">
        <f>IF($C302="","",IF(LEN($C302)=1,CODE(UPPER($C302))-64,IFERROR(VALUE(MID($C302,2,99)),"")))</f>
        <v/>
      </c>
      <c r="L302">
        <f>IF($D302="","",IFERROR(VALUE($D302),""))</f>
        <v/>
      </c>
      <c r="M302">
        <f>IFERROR(VALUE(MID($A302,FIND("Level",$A302)+5,99)),IF($E302="AISLE_FLOOR",0,IF($E302="OVERFLOW",0,IF($E302="ENDCAP",0,""))))</f>
        <v/>
      </c>
      <c r="N302">
        <f>IF(AND($B302&lt;&gt;"",$C302&lt;&gt;"",ISNUMBER(--$D302)), $B302&amp;": "&amp;LEFT($C302,1)&amp;TEXT(--$D302,"00"), IF($I302&lt;&gt;"",$I302,$A302))</f>
        <v/>
      </c>
      <c r="O302">
        <f>IF(AND($C302&lt;&gt;"",ISNUMBER(--$D302)),LEFT($C302,1),"")</f>
        <v/>
      </c>
      <c r="P302">
        <f>IF(ISNUMBER(--$D302),--$D302,"")</f>
        <v/>
      </c>
      <c r="Q302">
        <f>IF(AND($O302&lt;&gt;"",$P302&lt;&gt;""),$O302&amp;TEXT($P302,"00"),"")</f>
        <v/>
      </c>
    </row>
    <row r="303">
      <c r="H303">
        <f>A303</f>
        <v/>
      </c>
      <c r="J303">
        <f>IF($I303&lt;&gt;"",$I303,$A303)</f>
        <v/>
      </c>
      <c r="K303">
        <f>IF($C303="","",IF(LEN($C303)=1,CODE(UPPER($C303))-64,IFERROR(VALUE(MID($C303,2,99)),"")))</f>
        <v/>
      </c>
      <c r="L303">
        <f>IF($D303="","",IFERROR(VALUE($D303),""))</f>
        <v/>
      </c>
      <c r="M303">
        <f>IFERROR(VALUE(MID($A303,FIND("Level",$A303)+5,99)),IF($E303="AISLE_FLOOR",0,IF($E303="OVERFLOW",0,IF($E303="ENDCAP",0,""))))</f>
        <v/>
      </c>
      <c r="N303">
        <f>IF(AND($B303&lt;&gt;"",$C303&lt;&gt;"",ISNUMBER(--$D303)), $B303&amp;": "&amp;LEFT($C303,1)&amp;TEXT(--$D303,"00"), IF($I303&lt;&gt;"",$I303,$A303))</f>
        <v/>
      </c>
      <c r="O303">
        <f>IF(AND($C303&lt;&gt;"",ISNUMBER(--$D303)),LEFT($C303,1),"")</f>
        <v/>
      </c>
      <c r="P303">
        <f>IF(ISNUMBER(--$D303),--$D303,"")</f>
        <v/>
      </c>
      <c r="Q303">
        <f>IF(AND($O303&lt;&gt;"",$P303&lt;&gt;""),$O303&amp;TEXT($P303,"00"),"")</f>
        <v/>
      </c>
    </row>
    <row r="304">
      <c r="H304">
        <f>A304</f>
        <v/>
      </c>
      <c r="J304">
        <f>IF($I304&lt;&gt;"",$I304,$A304)</f>
        <v/>
      </c>
      <c r="K304">
        <f>IF($C304="","",IF(LEN($C304)=1,CODE(UPPER($C304))-64,IFERROR(VALUE(MID($C304,2,99)),"")))</f>
        <v/>
      </c>
      <c r="L304">
        <f>IF($D304="","",IFERROR(VALUE($D304),""))</f>
        <v/>
      </c>
      <c r="M304">
        <f>IFERROR(VALUE(MID($A304,FIND("Level",$A304)+5,99)),IF($E304="AISLE_FLOOR",0,IF($E304="OVERFLOW",0,IF($E304="ENDCAP",0,""))))</f>
        <v/>
      </c>
      <c r="N304">
        <f>IF(AND($B304&lt;&gt;"",$C304&lt;&gt;"",ISNUMBER(--$D304)), $B304&amp;": "&amp;LEFT($C304,1)&amp;TEXT(--$D304,"00"), IF($I304&lt;&gt;"",$I304,$A304))</f>
        <v/>
      </c>
      <c r="O304">
        <f>IF(AND($C304&lt;&gt;"",ISNUMBER(--$D304)),LEFT($C304,1),"")</f>
        <v/>
      </c>
      <c r="P304">
        <f>IF(ISNUMBER(--$D304),--$D304,"")</f>
        <v/>
      </c>
      <c r="Q304">
        <f>IF(AND($O304&lt;&gt;"",$P304&lt;&gt;""),$O304&amp;TEXT($P304,"00"),"")</f>
        <v/>
      </c>
    </row>
    <row r="305">
      <c r="H305">
        <f>A305</f>
        <v/>
      </c>
      <c r="J305">
        <f>IF($I305&lt;&gt;"",$I305,$A305)</f>
        <v/>
      </c>
      <c r="K305">
        <f>IF($C305="","",IF(LEN($C305)=1,CODE(UPPER($C305))-64,IFERROR(VALUE(MID($C305,2,99)),"")))</f>
        <v/>
      </c>
      <c r="L305">
        <f>IF($D305="","",IFERROR(VALUE($D305),""))</f>
        <v/>
      </c>
      <c r="M305">
        <f>IFERROR(VALUE(MID($A305,FIND("Level",$A305)+5,99)),IF($E305="AISLE_FLOOR",0,IF($E305="OVERFLOW",0,IF($E305="ENDCAP",0,""))))</f>
        <v/>
      </c>
      <c r="N305">
        <f>IF(AND($B305&lt;&gt;"",$C305&lt;&gt;"",ISNUMBER(--$D305)), $B305&amp;": "&amp;LEFT($C305,1)&amp;TEXT(--$D305,"00"), IF($I305&lt;&gt;"",$I305,$A305))</f>
        <v/>
      </c>
      <c r="O305">
        <f>IF(AND($C305&lt;&gt;"",ISNUMBER(--$D305)),LEFT($C305,1),"")</f>
        <v/>
      </c>
      <c r="P305">
        <f>IF(ISNUMBER(--$D305),--$D305,"")</f>
        <v/>
      </c>
      <c r="Q305">
        <f>IF(AND($O305&lt;&gt;"",$P305&lt;&gt;""),$O305&amp;TEXT($P305,"00"),"")</f>
        <v/>
      </c>
    </row>
    <row r="306">
      <c r="H306">
        <f>A306</f>
        <v/>
      </c>
      <c r="J306">
        <f>IF($I306&lt;&gt;"",$I306,$A306)</f>
        <v/>
      </c>
      <c r="K306">
        <f>IF($C306="","",IF(LEN($C306)=1,CODE(UPPER($C306))-64,IFERROR(VALUE(MID($C306,2,99)),"")))</f>
        <v/>
      </c>
      <c r="L306">
        <f>IF($D306="","",IFERROR(VALUE($D306),""))</f>
        <v/>
      </c>
      <c r="M306">
        <f>IFERROR(VALUE(MID($A306,FIND("Level",$A306)+5,99)),IF($E306="AISLE_FLOOR",0,IF($E306="OVERFLOW",0,IF($E306="ENDCAP",0,""))))</f>
        <v/>
      </c>
      <c r="N306">
        <f>IF(AND($B306&lt;&gt;"",$C306&lt;&gt;"",ISNUMBER(--$D306)), $B306&amp;": "&amp;LEFT($C306,1)&amp;TEXT(--$D306,"00"), IF($I306&lt;&gt;"",$I306,$A306))</f>
        <v/>
      </c>
      <c r="O306">
        <f>IF(AND($C306&lt;&gt;"",ISNUMBER(--$D306)),LEFT($C306,1),"")</f>
        <v/>
      </c>
      <c r="P306">
        <f>IF(ISNUMBER(--$D306),--$D306,"")</f>
        <v/>
      </c>
      <c r="Q306">
        <f>IF(AND($O306&lt;&gt;"",$P306&lt;&gt;""),$O306&amp;TEXT($P306,"00"),"")</f>
        <v/>
      </c>
    </row>
    <row r="307">
      <c r="H307">
        <f>A307</f>
        <v/>
      </c>
      <c r="J307">
        <f>IF($I307&lt;&gt;"",$I307,$A307)</f>
        <v/>
      </c>
      <c r="K307">
        <f>IF($C307="","",IF(LEN($C307)=1,CODE(UPPER($C307))-64,IFERROR(VALUE(MID($C307,2,99)),"")))</f>
        <v/>
      </c>
      <c r="L307">
        <f>IF($D307="","",IFERROR(VALUE($D307),""))</f>
        <v/>
      </c>
      <c r="M307">
        <f>IFERROR(VALUE(MID($A307,FIND("Level",$A307)+5,99)),IF($E307="AISLE_FLOOR",0,IF($E307="OVERFLOW",0,IF($E307="ENDCAP",0,""))))</f>
        <v/>
      </c>
      <c r="N307">
        <f>IF(AND($B307&lt;&gt;"",$C307&lt;&gt;"",ISNUMBER(--$D307)), $B307&amp;": "&amp;LEFT($C307,1)&amp;TEXT(--$D307,"00"), IF($I307&lt;&gt;"",$I307,$A307))</f>
        <v/>
      </c>
      <c r="O307">
        <f>IF(AND($C307&lt;&gt;"",ISNUMBER(--$D307)),LEFT($C307,1),"")</f>
        <v/>
      </c>
      <c r="P307">
        <f>IF(ISNUMBER(--$D307),--$D307,"")</f>
        <v/>
      </c>
      <c r="Q307">
        <f>IF(AND($O307&lt;&gt;"",$P307&lt;&gt;""),$O307&amp;TEXT($P307,"00"),"")</f>
        <v/>
      </c>
    </row>
    <row r="308">
      <c r="H308">
        <f>A308</f>
        <v/>
      </c>
      <c r="J308">
        <f>IF($I308&lt;&gt;"",$I308,$A308)</f>
        <v/>
      </c>
      <c r="K308">
        <f>IF($C308="","",IF(LEN($C308)=1,CODE(UPPER($C308))-64,IFERROR(VALUE(MID($C308,2,99)),"")))</f>
        <v/>
      </c>
      <c r="L308">
        <f>IF($D308="","",IFERROR(VALUE($D308),""))</f>
        <v/>
      </c>
      <c r="M308">
        <f>IFERROR(VALUE(MID($A308,FIND("Level",$A308)+5,99)),IF($E308="AISLE_FLOOR",0,IF($E308="OVERFLOW",0,IF($E308="ENDCAP",0,""))))</f>
        <v/>
      </c>
      <c r="N308">
        <f>IF(AND($B308&lt;&gt;"",$C308&lt;&gt;"",ISNUMBER(--$D308)), $B308&amp;": "&amp;LEFT($C308,1)&amp;TEXT(--$D308,"00"), IF($I308&lt;&gt;"",$I308,$A308))</f>
        <v/>
      </c>
      <c r="O308">
        <f>IF(AND($C308&lt;&gt;"",ISNUMBER(--$D308)),LEFT($C308,1),"")</f>
        <v/>
      </c>
      <c r="P308">
        <f>IF(ISNUMBER(--$D308),--$D308,"")</f>
        <v/>
      </c>
      <c r="Q308">
        <f>IF(AND($O308&lt;&gt;"",$P308&lt;&gt;""),$O308&amp;TEXT($P308,"00"),"")</f>
        <v/>
      </c>
    </row>
    <row r="309">
      <c r="H309">
        <f>A309</f>
        <v/>
      </c>
      <c r="J309">
        <f>IF($I309&lt;&gt;"",$I309,$A309)</f>
        <v/>
      </c>
      <c r="K309">
        <f>IF($C309="","",IF(LEN($C309)=1,CODE(UPPER($C309))-64,IFERROR(VALUE(MID($C309,2,99)),"")))</f>
        <v/>
      </c>
      <c r="L309">
        <f>IF($D309="","",IFERROR(VALUE($D309),""))</f>
        <v/>
      </c>
      <c r="M309">
        <f>IFERROR(VALUE(MID($A309,FIND("Level",$A309)+5,99)),IF($E309="AISLE_FLOOR",0,IF($E309="OVERFLOW",0,IF($E309="ENDCAP",0,""))))</f>
        <v/>
      </c>
      <c r="N309">
        <f>IF(AND($B309&lt;&gt;"",$C309&lt;&gt;"",ISNUMBER(--$D309)), $B309&amp;": "&amp;LEFT($C309,1)&amp;TEXT(--$D309,"00"), IF($I309&lt;&gt;"",$I309,$A309))</f>
        <v/>
      </c>
      <c r="O309">
        <f>IF(AND($C309&lt;&gt;"",ISNUMBER(--$D309)),LEFT($C309,1),"")</f>
        <v/>
      </c>
      <c r="P309">
        <f>IF(ISNUMBER(--$D309),--$D309,"")</f>
        <v/>
      </c>
      <c r="Q309">
        <f>IF(AND($O309&lt;&gt;"",$P309&lt;&gt;""),$O309&amp;TEXT($P309,"00"),"")</f>
        <v/>
      </c>
    </row>
    <row r="310">
      <c r="H310">
        <f>A310</f>
        <v/>
      </c>
      <c r="J310">
        <f>IF($I310&lt;&gt;"",$I310,$A310)</f>
        <v/>
      </c>
      <c r="K310">
        <f>IF($C310="","",IF(LEN($C310)=1,CODE(UPPER($C310))-64,IFERROR(VALUE(MID($C310,2,99)),"")))</f>
        <v/>
      </c>
      <c r="L310">
        <f>IF($D310="","",IFERROR(VALUE($D310),""))</f>
        <v/>
      </c>
      <c r="M310">
        <f>IFERROR(VALUE(MID($A310,FIND("Level",$A310)+5,99)),IF($E310="AISLE_FLOOR",0,IF($E310="OVERFLOW",0,IF($E310="ENDCAP",0,""))))</f>
        <v/>
      </c>
      <c r="N310">
        <f>IF(AND($B310&lt;&gt;"",$C310&lt;&gt;"",ISNUMBER(--$D310)), $B310&amp;": "&amp;LEFT($C310,1)&amp;TEXT(--$D310,"00"), IF($I310&lt;&gt;"",$I310,$A310))</f>
        <v/>
      </c>
      <c r="O310">
        <f>IF(AND($C310&lt;&gt;"",ISNUMBER(--$D310)),LEFT($C310,1),"")</f>
        <v/>
      </c>
      <c r="P310">
        <f>IF(ISNUMBER(--$D310),--$D310,"")</f>
        <v/>
      </c>
      <c r="Q310">
        <f>IF(AND($O310&lt;&gt;"",$P310&lt;&gt;""),$O310&amp;TEXT($P310,"00"),"")</f>
        <v/>
      </c>
    </row>
    <row r="311">
      <c r="H311">
        <f>A311</f>
        <v/>
      </c>
      <c r="J311">
        <f>IF($I311&lt;&gt;"",$I311,$A311)</f>
        <v/>
      </c>
      <c r="K311">
        <f>IF($C311="","",IF(LEN($C311)=1,CODE(UPPER($C311))-64,IFERROR(VALUE(MID($C311,2,99)),"")))</f>
        <v/>
      </c>
      <c r="L311">
        <f>IF($D311="","",IFERROR(VALUE($D311),""))</f>
        <v/>
      </c>
      <c r="M311">
        <f>IFERROR(VALUE(MID($A311,FIND("Level",$A311)+5,99)),IF($E311="AISLE_FLOOR",0,IF($E311="OVERFLOW",0,IF($E311="ENDCAP",0,""))))</f>
        <v/>
      </c>
      <c r="N311">
        <f>IF(AND($B311&lt;&gt;"",$C311&lt;&gt;"",ISNUMBER(--$D311)), $B311&amp;": "&amp;LEFT($C311,1)&amp;TEXT(--$D311,"00"), IF($I311&lt;&gt;"",$I311,$A311))</f>
        <v/>
      </c>
      <c r="O311">
        <f>IF(AND($C311&lt;&gt;"",ISNUMBER(--$D311)),LEFT($C311,1),"")</f>
        <v/>
      </c>
      <c r="P311">
        <f>IF(ISNUMBER(--$D311),--$D311,"")</f>
        <v/>
      </c>
      <c r="Q311">
        <f>IF(AND($O311&lt;&gt;"",$P311&lt;&gt;""),$O311&amp;TEXT($P311,"00"),"")</f>
        <v/>
      </c>
    </row>
    <row r="312">
      <c r="H312">
        <f>A312</f>
        <v/>
      </c>
      <c r="J312">
        <f>IF($I312&lt;&gt;"",$I312,$A312)</f>
        <v/>
      </c>
      <c r="K312">
        <f>IF($C312="","",IF(LEN($C312)=1,CODE(UPPER($C312))-64,IFERROR(VALUE(MID($C312,2,99)),"")))</f>
        <v/>
      </c>
      <c r="L312">
        <f>IF($D312="","",IFERROR(VALUE($D312),""))</f>
        <v/>
      </c>
      <c r="M312">
        <f>IFERROR(VALUE(MID($A312,FIND("Level",$A312)+5,99)),IF($E312="AISLE_FLOOR",0,IF($E312="OVERFLOW",0,IF($E312="ENDCAP",0,""))))</f>
        <v/>
      </c>
      <c r="N312">
        <f>IF(AND($B312&lt;&gt;"",$C312&lt;&gt;"",ISNUMBER(--$D312)), $B312&amp;": "&amp;LEFT($C312,1)&amp;TEXT(--$D312,"00"), IF($I312&lt;&gt;"",$I312,$A312))</f>
        <v/>
      </c>
      <c r="O312">
        <f>IF(AND($C312&lt;&gt;"",ISNUMBER(--$D312)),LEFT($C312,1),"")</f>
        <v/>
      </c>
      <c r="P312">
        <f>IF(ISNUMBER(--$D312),--$D312,"")</f>
        <v/>
      </c>
      <c r="Q312">
        <f>IF(AND($O312&lt;&gt;"",$P312&lt;&gt;""),$O312&amp;TEXT($P312,"00"),"")</f>
        <v/>
      </c>
    </row>
    <row r="313">
      <c r="H313">
        <f>A313</f>
        <v/>
      </c>
      <c r="J313">
        <f>IF($I313&lt;&gt;"",$I313,$A313)</f>
        <v/>
      </c>
      <c r="K313">
        <f>IF($C313="","",IF(LEN($C313)=1,CODE(UPPER($C313))-64,IFERROR(VALUE(MID($C313,2,99)),"")))</f>
        <v/>
      </c>
      <c r="L313">
        <f>IF($D313="","",IFERROR(VALUE($D313),""))</f>
        <v/>
      </c>
      <c r="M313">
        <f>IFERROR(VALUE(MID($A313,FIND("Level",$A313)+5,99)),IF($E313="AISLE_FLOOR",0,IF($E313="OVERFLOW",0,IF($E313="ENDCAP",0,""))))</f>
        <v/>
      </c>
      <c r="N313">
        <f>IF(AND($B313&lt;&gt;"",$C313&lt;&gt;"",ISNUMBER(--$D313)), $B313&amp;": "&amp;LEFT($C313,1)&amp;TEXT(--$D313,"00"), IF($I313&lt;&gt;"",$I313,$A313))</f>
        <v/>
      </c>
      <c r="O313">
        <f>IF(AND($C313&lt;&gt;"",ISNUMBER(--$D313)),LEFT($C313,1),"")</f>
        <v/>
      </c>
      <c r="P313">
        <f>IF(ISNUMBER(--$D313),--$D313,"")</f>
        <v/>
      </c>
      <c r="Q313">
        <f>IF(AND($O313&lt;&gt;"",$P313&lt;&gt;""),$O313&amp;TEXT($P313,"00"),"")</f>
        <v/>
      </c>
    </row>
    <row r="314">
      <c r="H314">
        <f>A314</f>
        <v/>
      </c>
      <c r="J314">
        <f>IF($I314&lt;&gt;"",$I314,$A314)</f>
        <v/>
      </c>
      <c r="K314">
        <f>IF($C314="","",IF(LEN($C314)=1,CODE(UPPER($C314))-64,IFERROR(VALUE(MID($C314,2,99)),"")))</f>
        <v/>
      </c>
      <c r="L314">
        <f>IF($D314="","",IFERROR(VALUE($D314),""))</f>
        <v/>
      </c>
      <c r="M314">
        <f>IFERROR(VALUE(MID($A314,FIND("Level",$A314)+5,99)),IF($E314="AISLE_FLOOR",0,IF($E314="OVERFLOW",0,IF($E314="ENDCAP",0,""))))</f>
        <v/>
      </c>
      <c r="N314">
        <f>IF(AND($B314&lt;&gt;"",$C314&lt;&gt;"",ISNUMBER(--$D314)), $B314&amp;": "&amp;LEFT($C314,1)&amp;TEXT(--$D314,"00"), IF($I314&lt;&gt;"",$I314,$A314))</f>
        <v/>
      </c>
      <c r="O314">
        <f>IF(AND($C314&lt;&gt;"",ISNUMBER(--$D314)),LEFT($C314,1),"")</f>
        <v/>
      </c>
      <c r="P314">
        <f>IF(ISNUMBER(--$D314),--$D314,"")</f>
        <v/>
      </c>
      <c r="Q314">
        <f>IF(AND($O314&lt;&gt;"",$P314&lt;&gt;""),$O314&amp;TEXT($P314,"00"),"")</f>
        <v/>
      </c>
    </row>
    <row r="315">
      <c r="H315">
        <f>A315</f>
        <v/>
      </c>
      <c r="J315">
        <f>IF($I315&lt;&gt;"",$I315,$A315)</f>
        <v/>
      </c>
      <c r="K315">
        <f>IF($C315="","",IF(LEN($C315)=1,CODE(UPPER($C315))-64,IFERROR(VALUE(MID($C315,2,99)),"")))</f>
        <v/>
      </c>
      <c r="L315">
        <f>IF($D315="","",IFERROR(VALUE($D315),""))</f>
        <v/>
      </c>
      <c r="M315">
        <f>IFERROR(VALUE(MID($A315,FIND("Level",$A315)+5,99)),IF($E315="AISLE_FLOOR",0,IF($E315="OVERFLOW",0,IF($E315="ENDCAP",0,""))))</f>
        <v/>
      </c>
      <c r="N315">
        <f>IF(AND($B315&lt;&gt;"",$C315&lt;&gt;"",ISNUMBER(--$D315)), $B315&amp;": "&amp;LEFT($C315,1)&amp;TEXT(--$D315,"00"), IF($I315&lt;&gt;"",$I315,$A315))</f>
        <v/>
      </c>
      <c r="O315">
        <f>IF(AND($C315&lt;&gt;"",ISNUMBER(--$D315)),LEFT($C315,1),"")</f>
        <v/>
      </c>
      <c r="P315">
        <f>IF(ISNUMBER(--$D315),--$D315,"")</f>
        <v/>
      </c>
      <c r="Q315">
        <f>IF(AND($O315&lt;&gt;"",$P315&lt;&gt;""),$O315&amp;TEXT($P315,"00"),"")</f>
        <v/>
      </c>
    </row>
    <row r="316">
      <c r="H316">
        <f>A316</f>
        <v/>
      </c>
      <c r="J316">
        <f>IF($I316&lt;&gt;"",$I316,$A316)</f>
        <v/>
      </c>
      <c r="K316">
        <f>IF($C316="","",IF(LEN($C316)=1,CODE(UPPER($C316))-64,IFERROR(VALUE(MID($C316,2,99)),"")))</f>
        <v/>
      </c>
      <c r="L316">
        <f>IF($D316="","",IFERROR(VALUE($D316),""))</f>
        <v/>
      </c>
      <c r="M316">
        <f>IFERROR(VALUE(MID($A316,FIND("Level",$A316)+5,99)),IF($E316="AISLE_FLOOR",0,IF($E316="OVERFLOW",0,IF($E316="ENDCAP",0,""))))</f>
        <v/>
      </c>
      <c r="N316">
        <f>IF(AND($B316&lt;&gt;"",$C316&lt;&gt;"",ISNUMBER(--$D316)), $B316&amp;": "&amp;LEFT($C316,1)&amp;TEXT(--$D316,"00"), IF($I316&lt;&gt;"",$I316,$A316))</f>
        <v/>
      </c>
      <c r="O316">
        <f>IF(AND($C316&lt;&gt;"",ISNUMBER(--$D316)),LEFT($C316,1),"")</f>
        <v/>
      </c>
      <c r="P316">
        <f>IF(ISNUMBER(--$D316),--$D316,"")</f>
        <v/>
      </c>
      <c r="Q316">
        <f>IF(AND($O316&lt;&gt;"",$P316&lt;&gt;""),$O316&amp;TEXT($P316,"00"),"")</f>
        <v/>
      </c>
    </row>
    <row r="317">
      <c r="H317">
        <f>A317</f>
        <v/>
      </c>
      <c r="J317">
        <f>IF($I317&lt;&gt;"",$I317,$A317)</f>
        <v/>
      </c>
      <c r="K317">
        <f>IF($C317="","",IF(LEN($C317)=1,CODE(UPPER($C317))-64,IFERROR(VALUE(MID($C317,2,99)),"")))</f>
        <v/>
      </c>
      <c r="L317">
        <f>IF($D317="","",IFERROR(VALUE($D317),""))</f>
        <v/>
      </c>
      <c r="M317">
        <f>IFERROR(VALUE(MID($A317,FIND("Level",$A317)+5,99)),IF($E317="AISLE_FLOOR",0,IF($E317="OVERFLOW",0,IF($E317="ENDCAP",0,""))))</f>
        <v/>
      </c>
      <c r="N317">
        <f>IF(AND($B317&lt;&gt;"",$C317&lt;&gt;"",ISNUMBER(--$D317)), $B317&amp;": "&amp;LEFT($C317,1)&amp;TEXT(--$D317,"00"), IF($I317&lt;&gt;"",$I317,$A317))</f>
        <v/>
      </c>
      <c r="O317">
        <f>IF(AND($C317&lt;&gt;"",ISNUMBER(--$D317)),LEFT($C317,1),"")</f>
        <v/>
      </c>
      <c r="P317">
        <f>IF(ISNUMBER(--$D317),--$D317,"")</f>
        <v/>
      </c>
      <c r="Q317">
        <f>IF(AND($O317&lt;&gt;"",$P317&lt;&gt;""),$O317&amp;TEXT($P317,"00"),"")</f>
        <v/>
      </c>
    </row>
    <row r="318">
      <c r="H318">
        <f>A318</f>
        <v/>
      </c>
      <c r="J318">
        <f>IF($I318&lt;&gt;"",$I318,$A318)</f>
        <v/>
      </c>
      <c r="K318">
        <f>IF($C318="","",IF(LEN($C318)=1,CODE(UPPER($C318))-64,IFERROR(VALUE(MID($C318,2,99)),"")))</f>
        <v/>
      </c>
      <c r="L318">
        <f>IF($D318="","",IFERROR(VALUE($D318),""))</f>
        <v/>
      </c>
      <c r="M318">
        <f>IFERROR(VALUE(MID($A318,FIND("Level",$A318)+5,99)),IF($E318="AISLE_FLOOR",0,IF($E318="OVERFLOW",0,IF($E318="ENDCAP",0,""))))</f>
        <v/>
      </c>
      <c r="N318">
        <f>IF(AND($B318&lt;&gt;"",$C318&lt;&gt;"",ISNUMBER(--$D318)), $B318&amp;": "&amp;LEFT($C318,1)&amp;TEXT(--$D318,"00"), IF($I318&lt;&gt;"",$I318,$A318))</f>
        <v/>
      </c>
      <c r="O318">
        <f>IF(AND($C318&lt;&gt;"",ISNUMBER(--$D318)),LEFT($C318,1),"")</f>
        <v/>
      </c>
      <c r="P318">
        <f>IF(ISNUMBER(--$D318),--$D318,"")</f>
        <v/>
      </c>
      <c r="Q318">
        <f>IF(AND($O318&lt;&gt;"",$P318&lt;&gt;""),$O318&amp;TEXT($P318,"00"),"")</f>
        <v/>
      </c>
    </row>
    <row r="319">
      <c r="H319">
        <f>A319</f>
        <v/>
      </c>
      <c r="J319">
        <f>IF($I319&lt;&gt;"",$I319,$A319)</f>
        <v/>
      </c>
      <c r="K319">
        <f>IF($C319="","",IF(LEN($C319)=1,CODE(UPPER($C319))-64,IFERROR(VALUE(MID($C319,2,99)),"")))</f>
        <v/>
      </c>
      <c r="L319">
        <f>IF($D319="","",IFERROR(VALUE($D319),""))</f>
        <v/>
      </c>
      <c r="M319">
        <f>IFERROR(VALUE(MID($A319,FIND("Level",$A319)+5,99)),IF($E319="AISLE_FLOOR",0,IF($E319="OVERFLOW",0,IF($E319="ENDCAP",0,""))))</f>
        <v/>
      </c>
      <c r="N319">
        <f>IF(AND($B319&lt;&gt;"",$C319&lt;&gt;"",ISNUMBER(--$D319)), $B319&amp;": "&amp;LEFT($C319,1)&amp;TEXT(--$D319,"00"), IF($I319&lt;&gt;"",$I319,$A319))</f>
        <v/>
      </c>
      <c r="O319">
        <f>IF(AND($C319&lt;&gt;"",ISNUMBER(--$D319)),LEFT($C319,1),"")</f>
        <v/>
      </c>
      <c r="P319">
        <f>IF(ISNUMBER(--$D319),--$D319,"")</f>
        <v/>
      </c>
      <c r="Q319">
        <f>IF(AND($O319&lt;&gt;"",$P319&lt;&gt;""),$O319&amp;TEXT($P319,"00"),"")</f>
        <v/>
      </c>
    </row>
    <row r="320">
      <c r="H320">
        <f>A320</f>
        <v/>
      </c>
      <c r="J320">
        <f>IF($I320&lt;&gt;"",$I320,$A320)</f>
        <v/>
      </c>
      <c r="K320">
        <f>IF($C320="","",IF(LEN($C320)=1,CODE(UPPER($C320))-64,IFERROR(VALUE(MID($C320,2,99)),"")))</f>
        <v/>
      </c>
      <c r="L320">
        <f>IF($D320="","",IFERROR(VALUE($D320),""))</f>
        <v/>
      </c>
      <c r="M320">
        <f>IFERROR(VALUE(MID($A320,FIND("Level",$A320)+5,99)),IF($E320="AISLE_FLOOR",0,IF($E320="OVERFLOW",0,IF($E320="ENDCAP",0,""))))</f>
        <v/>
      </c>
      <c r="N320">
        <f>IF(AND($B320&lt;&gt;"",$C320&lt;&gt;"",ISNUMBER(--$D320)), $B320&amp;": "&amp;LEFT($C320,1)&amp;TEXT(--$D320,"00"), IF($I320&lt;&gt;"",$I320,$A320))</f>
        <v/>
      </c>
      <c r="O320">
        <f>IF(AND($C320&lt;&gt;"",ISNUMBER(--$D320)),LEFT($C320,1),"")</f>
        <v/>
      </c>
      <c r="P320">
        <f>IF(ISNUMBER(--$D320),--$D320,"")</f>
        <v/>
      </c>
      <c r="Q320">
        <f>IF(AND($O320&lt;&gt;"",$P320&lt;&gt;""),$O320&amp;TEXT($P320,"00"),"")</f>
        <v/>
      </c>
    </row>
    <row r="321">
      <c r="H321">
        <f>A321</f>
        <v/>
      </c>
      <c r="J321">
        <f>IF($I321&lt;&gt;"",$I321,$A321)</f>
        <v/>
      </c>
      <c r="K321">
        <f>IF($C321="","",IF(LEN($C321)=1,CODE(UPPER($C321))-64,IFERROR(VALUE(MID($C321,2,99)),"")))</f>
        <v/>
      </c>
      <c r="L321">
        <f>IF($D321="","",IFERROR(VALUE($D321),""))</f>
        <v/>
      </c>
      <c r="M321">
        <f>IFERROR(VALUE(MID($A321,FIND("Level",$A321)+5,99)),IF($E321="AISLE_FLOOR",0,IF($E321="OVERFLOW",0,IF($E321="ENDCAP",0,""))))</f>
        <v/>
      </c>
      <c r="N321">
        <f>IF(AND($B321&lt;&gt;"",$C321&lt;&gt;"",ISNUMBER(--$D321)), $B321&amp;": "&amp;LEFT($C321,1)&amp;TEXT(--$D321,"00"), IF($I321&lt;&gt;"",$I321,$A321))</f>
        <v/>
      </c>
      <c r="O321">
        <f>IF(AND($C321&lt;&gt;"",ISNUMBER(--$D321)),LEFT($C321,1),"")</f>
        <v/>
      </c>
      <c r="P321">
        <f>IF(ISNUMBER(--$D321),--$D321,"")</f>
        <v/>
      </c>
      <c r="Q321">
        <f>IF(AND($O321&lt;&gt;"",$P321&lt;&gt;""),$O321&amp;TEXT($P321,"00"),"")</f>
        <v/>
      </c>
    </row>
    <row r="322">
      <c r="H322">
        <f>A322</f>
        <v/>
      </c>
      <c r="J322">
        <f>IF($I322&lt;&gt;"",$I322,$A322)</f>
        <v/>
      </c>
      <c r="K322">
        <f>IF($C322="","",IF(LEN($C322)=1,CODE(UPPER($C322))-64,IFERROR(VALUE(MID($C322,2,99)),"")))</f>
        <v/>
      </c>
      <c r="L322">
        <f>IF($D322="","",IFERROR(VALUE($D322),""))</f>
        <v/>
      </c>
      <c r="M322">
        <f>IFERROR(VALUE(MID($A322,FIND("Level",$A322)+5,99)),IF($E322="AISLE_FLOOR",0,IF($E322="OVERFLOW",0,IF($E322="ENDCAP",0,""))))</f>
        <v/>
      </c>
      <c r="N322">
        <f>IF(AND($B322&lt;&gt;"",$C322&lt;&gt;"",ISNUMBER(--$D322)), $B322&amp;": "&amp;LEFT($C322,1)&amp;TEXT(--$D322,"00"), IF($I322&lt;&gt;"",$I322,$A322))</f>
        <v/>
      </c>
      <c r="O322">
        <f>IF(AND($C322&lt;&gt;"",ISNUMBER(--$D322)),LEFT($C322,1),"")</f>
        <v/>
      </c>
      <c r="P322">
        <f>IF(ISNUMBER(--$D322),--$D322,"")</f>
        <v/>
      </c>
      <c r="Q322">
        <f>IF(AND($O322&lt;&gt;"",$P322&lt;&gt;""),$O322&amp;TEXT($P322,"00"),"")</f>
        <v/>
      </c>
    </row>
    <row r="323">
      <c r="H323">
        <f>A323</f>
        <v/>
      </c>
      <c r="J323">
        <f>IF($I323&lt;&gt;"",$I323,$A323)</f>
        <v/>
      </c>
      <c r="K323">
        <f>IF($C323="","",IF(LEN($C323)=1,CODE(UPPER($C323))-64,IFERROR(VALUE(MID($C323,2,99)),"")))</f>
        <v/>
      </c>
      <c r="L323">
        <f>IF($D323="","",IFERROR(VALUE($D323),""))</f>
        <v/>
      </c>
      <c r="M323">
        <f>IFERROR(VALUE(MID($A323,FIND("Level",$A323)+5,99)),IF($E323="AISLE_FLOOR",0,IF($E323="OVERFLOW",0,IF($E323="ENDCAP",0,""))))</f>
        <v/>
      </c>
      <c r="N323">
        <f>IF(AND($B323&lt;&gt;"",$C323&lt;&gt;"",ISNUMBER(--$D323)), $B323&amp;": "&amp;LEFT($C323,1)&amp;TEXT(--$D323,"00"), IF($I323&lt;&gt;"",$I323,$A323))</f>
        <v/>
      </c>
      <c r="O323">
        <f>IF(AND($C323&lt;&gt;"",ISNUMBER(--$D323)),LEFT($C323,1),"")</f>
        <v/>
      </c>
      <c r="P323">
        <f>IF(ISNUMBER(--$D323),--$D323,"")</f>
        <v/>
      </c>
      <c r="Q323">
        <f>IF(AND($O323&lt;&gt;"",$P323&lt;&gt;""),$O323&amp;TEXT($P323,"00"),"")</f>
        <v/>
      </c>
    </row>
    <row r="324">
      <c r="H324">
        <f>A324</f>
        <v/>
      </c>
      <c r="J324">
        <f>IF($I324&lt;&gt;"",$I324,$A324)</f>
        <v/>
      </c>
      <c r="K324">
        <f>IF($C324="","",IF(LEN($C324)=1,CODE(UPPER($C324))-64,IFERROR(VALUE(MID($C324,2,99)),"")))</f>
        <v/>
      </c>
      <c r="L324">
        <f>IF($D324="","",IFERROR(VALUE($D324),""))</f>
        <v/>
      </c>
      <c r="M324">
        <f>IFERROR(VALUE(MID($A324,FIND("Level",$A324)+5,99)),IF($E324="AISLE_FLOOR",0,IF($E324="OVERFLOW",0,IF($E324="ENDCAP",0,""))))</f>
        <v/>
      </c>
      <c r="N324">
        <f>IF(AND($B324&lt;&gt;"",$C324&lt;&gt;"",ISNUMBER(--$D324)), $B324&amp;": "&amp;LEFT($C324,1)&amp;TEXT(--$D324,"00"), IF($I324&lt;&gt;"",$I324,$A324))</f>
        <v/>
      </c>
      <c r="O324">
        <f>IF(AND($C324&lt;&gt;"",ISNUMBER(--$D324)),LEFT($C324,1),"")</f>
        <v/>
      </c>
      <c r="P324">
        <f>IF(ISNUMBER(--$D324),--$D324,"")</f>
        <v/>
      </c>
      <c r="Q324">
        <f>IF(AND($O324&lt;&gt;"",$P324&lt;&gt;""),$O324&amp;TEXT($P324,"00"),"")</f>
        <v/>
      </c>
    </row>
    <row r="325">
      <c r="H325">
        <f>A325</f>
        <v/>
      </c>
      <c r="J325">
        <f>IF($I325&lt;&gt;"",$I325,$A325)</f>
        <v/>
      </c>
      <c r="K325">
        <f>IF($C325="","",IF(LEN($C325)=1,CODE(UPPER($C325))-64,IFERROR(VALUE(MID($C325,2,99)),"")))</f>
        <v/>
      </c>
      <c r="L325">
        <f>IF($D325="","",IFERROR(VALUE($D325),""))</f>
        <v/>
      </c>
      <c r="M325">
        <f>IFERROR(VALUE(MID($A325,FIND("Level",$A325)+5,99)),IF($E325="AISLE_FLOOR",0,IF($E325="OVERFLOW",0,IF($E325="ENDCAP",0,""))))</f>
        <v/>
      </c>
      <c r="N325">
        <f>IF(AND($B325&lt;&gt;"",$C325&lt;&gt;"",ISNUMBER(--$D325)), $B325&amp;": "&amp;LEFT($C325,1)&amp;TEXT(--$D325,"00"), IF($I325&lt;&gt;"",$I325,$A325))</f>
        <v/>
      </c>
      <c r="O325">
        <f>IF(AND($C325&lt;&gt;"",ISNUMBER(--$D325)),LEFT($C325,1),"")</f>
        <v/>
      </c>
      <c r="P325">
        <f>IF(ISNUMBER(--$D325),--$D325,"")</f>
        <v/>
      </c>
      <c r="Q325">
        <f>IF(AND($O325&lt;&gt;"",$P325&lt;&gt;""),$O325&amp;TEXT($P325,"00"),"")</f>
        <v/>
      </c>
    </row>
    <row r="326">
      <c r="H326">
        <f>A326</f>
        <v/>
      </c>
      <c r="J326">
        <f>IF($I326&lt;&gt;"",$I326,$A326)</f>
        <v/>
      </c>
      <c r="K326">
        <f>IF($C326="","",IF(LEN($C326)=1,CODE(UPPER($C326))-64,IFERROR(VALUE(MID($C326,2,99)),"")))</f>
        <v/>
      </c>
      <c r="L326">
        <f>IF($D326="","",IFERROR(VALUE($D326),""))</f>
        <v/>
      </c>
      <c r="M326">
        <f>IFERROR(VALUE(MID($A326,FIND("Level",$A326)+5,99)),IF($E326="AISLE_FLOOR",0,IF($E326="OVERFLOW",0,IF($E326="ENDCAP",0,""))))</f>
        <v/>
      </c>
      <c r="N326">
        <f>IF(AND($B326&lt;&gt;"",$C326&lt;&gt;"",ISNUMBER(--$D326)), $B326&amp;": "&amp;LEFT($C326,1)&amp;TEXT(--$D326,"00"), IF($I326&lt;&gt;"",$I326,$A326))</f>
        <v/>
      </c>
      <c r="O326">
        <f>IF(AND($C326&lt;&gt;"",ISNUMBER(--$D326)),LEFT($C326,1),"")</f>
        <v/>
      </c>
      <c r="P326">
        <f>IF(ISNUMBER(--$D326),--$D326,"")</f>
        <v/>
      </c>
      <c r="Q326">
        <f>IF(AND($O326&lt;&gt;"",$P326&lt;&gt;""),$O326&amp;TEXT($P326,"00"),"")</f>
        <v/>
      </c>
    </row>
    <row r="327">
      <c r="H327">
        <f>A327</f>
        <v/>
      </c>
      <c r="J327">
        <f>IF($I327&lt;&gt;"",$I327,$A327)</f>
        <v/>
      </c>
      <c r="K327">
        <f>IF($C327="","",IF(LEN($C327)=1,CODE(UPPER($C327))-64,IFERROR(VALUE(MID($C327,2,99)),"")))</f>
        <v/>
      </c>
      <c r="L327">
        <f>IF($D327="","",IFERROR(VALUE($D327),""))</f>
        <v/>
      </c>
      <c r="M327">
        <f>IFERROR(VALUE(MID($A327,FIND("Level",$A327)+5,99)),IF($E327="AISLE_FLOOR",0,IF($E327="OVERFLOW",0,IF($E327="ENDCAP",0,""))))</f>
        <v/>
      </c>
      <c r="N327">
        <f>IF(AND($B327&lt;&gt;"",$C327&lt;&gt;"",ISNUMBER(--$D327)), $B327&amp;": "&amp;LEFT($C327,1)&amp;TEXT(--$D327,"00"), IF($I327&lt;&gt;"",$I327,$A327))</f>
        <v/>
      </c>
      <c r="O327">
        <f>IF(AND($C327&lt;&gt;"",ISNUMBER(--$D327)),LEFT($C327,1),"")</f>
        <v/>
      </c>
      <c r="P327">
        <f>IF(ISNUMBER(--$D327),--$D327,"")</f>
        <v/>
      </c>
      <c r="Q327">
        <f>IF(AND($O327&lt;&gt;"",$P327&lt;&gt;""),$O327&amp;TEXT($P327,"00"),"")</f>
        <v/>
      </c>
    </row>
    <row r="328">
      <c r="H328">
        <f>A328</f>
        <v/>
      </c>
      <c r="J328">
        <f>IF($I328&lt;&gt;"",$I328,$A328)</f>
        <v/>
      </c>
      <c r="K328">
        <f>IF($C328="","",IF(LEN($C328)=1,CODE(UPPER($C328))-64,IFERROR(VALUE(MID($C328,2,99)),"")))</f>
        <v/>
      </c>
      <c r="L328">
        <f>IF($D328="","",IFERROR(VALUE($D328),""))</f>
        <v/>
      </c>
      <c r="M328">
        <f>IFERROR(VALUE(MID($A328,FIND("Level",$A328)+5,99)),IF($E328="AISLE_FLOOR",0,IF($E328="OVERFLOW",0,IF($E328="ENDCAP",0,""))))</f>
        <v/>
      </c>
      <c r="N328">
        <f>IF(AND($B328&lt;&gt;"",$C328&lt;&gt;"",ISNUMBER(--$D328)), $B328&amp;": "&amp;LEFT($C328,1)&amp;TEXT(--$D328,"00"), IF($I328&lt;&gt;"",$I328,$A328))</f>
        <v/>
      </c>
      <c r="O328">
        <f>IF(AND($C328&lt;&gt;"",ISNUMBER(--$D328)),LEFT($C328,1),"")</f>
        <v/>
      </c>
      <c r="P328">
        <f>IF(ISNUMBER(--$D328),--$D328,"")</f>
        <v/>
      </c>
      <c r="Q328">
        <f>IF(AND($O328&lt;&gt;"",$P328&lt;&gt;""),$O328&amp;TEXT($P328,"00"),"")</f>
        <v/>
      </c>
    </row>
    <row r="329">
      <c r="H329">
        <f>A329</f>
        <v/>
      </c>
      <c r="J329">
        <f>IF($I329&lt;&gt;"",$I329,$A329)</f>
        <v/>
      </c>
      <c r="K329">
        <f>IF($C329="","",IF(LEN($C329)=1,CODE(UPPER($C329))-64,IFERROR(VALUE(MID($C329,2,99)),"")))</f>
        <v/>
      </c>
      <c r="L329">
        <f>IF($D329="","",IFERROR(VALUE($D329),""))</f>
        <v/>
      </c>
      <c r="M329">
        <f>IFERROR(VALUE(MID($A329,FIND("Level",$A329)+5,99)),IF($E329="AISLE_FLOOR",0,IF($E329="OVERFLOW",0,IF($E329="ENDCAP",0,""))))</f>
        <v/>
      </c>
      <c r="N329">
        <f>IF(AND($B329&lt;&gt;"",$C329&lt;&gt;"",ISNUMBER(--$D329)), $B329&amp;": "&amp;LEFT($C329,1)&amp;TEXT(--$D329,"00"), IF($I329&lt;&gt;"",$I329,$A329))</f>
        <v/>
      </c>
      <c r="O329">
        <f>IF(AND($C329&lt;&gt;"",ISNUMBER(--$D329)),LEFT($C329,1),"")</f>
        <v/>
      </c>
      <c r="P329">
        <f>IF(ISNUMBER(--$D329),--$D329,"")</f>
        <v/>
      </c>
      <c r="Q329">
        <f>IF(AND($O329&lt;&gt;"",$P329&lt;&gt;""),$O329&amp;TEXT($P329,"00"),"")</f>
        <v/>
      </c>
    </row>
    <row r="330">
      <c r="H330">
        <f>A330</f>
        <v/>
      </c>
      <c r="J330">
        <f>IF($I330&lt;&gt;"",$I330,$A330)</f>
        <v/>
      </c>
      <c r="K330">
        <f>IF($C330="","",IF(LEN($C330)=1,CODE(UPPER($C330))-64,IFERROR(VALUE(MID($C330,2,99)),"")))</f>
        <v/>
      </c>
      <c r="L330">
        <f>IF($D330="","",IFERROR(VALUE($D330),""))</f>
        <v/>
      </c>
      <c r="M330">
        <f>IFERROR(VALUE(MID($A330,FIND("Level",$A330)+5,99)),IF($E330="AISLE_FLOOR",0,IF($E330="OVERFLOW",0,IF($E330="ENDCAP",0,""))))</f>
        <v/>
      </c>
      <c r="N330">
        <f>IF(AND($B330&lt;&gt;"",$C330&lt;&gt;"",ISNUMBER(--$D330)), $B330&amp;": "&amp;LEFT($C330,1)&amp;TEXT(--$D330,"00"), IF($I330&lt;&gt;"",$I330,$A330))</f>
        <v/>
      </c>
      <c r="O330">
        <f>IF(AND($C330&lt;&gt;"",ISNUMBER(--$D330)),LEFT($C330,1),"")</f>
        <v/>
      </c>
      <c r="P330">
        <f>IF(ISNUMBER(--$D330),--$D330,"")</f>
        <v/>
      </c>
      <c r="Q330">
        <f>IF(AND($O330&lt;&gt;"",$P330&lt;&gt;""),$O330&amp;TEXT($P330,"00"),"")</f>
        <v/>
      </c>
    </row>
    <row r="331">
      <c r="H331">
        <f>A331</f>
        <v/>
      </c>
      <c r="J331">
        <f>IF($I331&lt;&gt;"",$I331,$A331)</f>
        <v/>
      </c>
      <c r="K331">
        <f>IF($C331="","",IF(LEN($C331)=1,CODE(UPPER($C331))-64,IFERROR(VALUE(MID($C331,2,99)),"")))</f>
        <v/>
      </c>
      <c r="L331">
        <f>IF($D331="","",IFERROR(VALUE($D331),""))</f>
        <v/>
      </c>
      <c r="M331">
        <f>IFERROR(VALUE(MID($A331,FIND("Level",$A331)+5,99)),IF($E331="AISLE_FLOOR",0,IF($E331="OVERFLOW",0,IF($E331="ENDCAP",0,""))))</f>
        <v/>
      </c>
      <c r="N331">
        <f>IF(AND($B331&lt;&gt;"",$C331&lt;&gt;"",ISNUMBER(--$D331)), $B331&amp;": "&amp;LEFT($C331,1)&amp;TEXT(--$D331,"00"), IF($I331&lt;&gt;"",$I331,$A331))</f>
        <v/>
      </c>
      <c r="O331">
        <f>IF(AND($C331&lt;&gt;"",ISNUMBER(--$D331)),LEFT($C331,1),"")</f>
        <v/>
      </c>
      <c r="P331">
        <f>IF(ISNUMBER(--$D331),--$D331,"")</f>
        <v/>
      </c>
      <c r="Q331">
        <f>IF(AND($O331&lt;&gt;"",$P331&lt;&gt;""),$O331&amp;TEXT($P331,"00"),"")</f>
        <v/>
      </c>
    </row>
    <row r="332">
      <c r="H332">
        <f>A332</f>
        <v/>
      </c>
      <c r="J332">
        <f>IF($I332&lt;&gt;"",$I332,$A332)</f>
        <v/>
      </c>
      <c r="K332">
        <f>IF($C332="","",IF(LEN($C332)=1,CODE(UPPER($C332))-64,IFERROR(VALUE(MID($C332,2,99)),"")))</f>
        <v/>
      </c>
      <c r="L332">
        <f>IF($D332="","",IFERROR(VALUE($D332),""))</f>
        <v/>
      </c>
      <c r="M332">
        <f>IFERROR(VALUE(MID($A332,FIND("Level",$A332)+5,99)),IF($E332="AISLE_FLOOR",0,IF($E332="OVERFLOW",0,IF($E332="ENDCAP",0,""))))</f>
        <v/>
      </c>
      <c r="N332">
        <f>IF(AND($B332&lt;&gt;"",$C332&lt;&gt;"",ISNUMBER(--$D332)), $B332&amp;": "&amp;LEFT($C332,1)&amp;TEXT(--$D332,"00"), IF($I332&lt;&gt;"",$I332,$A332))</f>
        <v/>
      </c>
      <c r="O332">
        <f>IF(AND($C332&lt;&gt;"",ISNUMBER(--$D332)),LEFT($C332,1),"")</f>
        <v/>
      </c>
      <c r="P332">
        <f>IF(ISNUMBER(--$D332),--$D332,"")</f>
        <v/>
      </c>
      <c r="Q332">
        <f>IF(AND($O332&lt;&gt;"",$P332&lt;&gt;""),$O332&amp;TEXT($P332,"00"),"")</f>
        <v/>
      </c>
    </row>
    <row r="333">
      <c r="H333">
        <f>A333</f>
        <v/>
      </c>
      <c r="J333">
        <f>IF($I333&lt;&gt;"",$I333,$A333)</f>
        <v/>
      </c>
      <c r="K333">
        <f>IF($C333="","",IF(LEN($C333)=1,CODE(UPPER($C333))-64,IFERROR(VALUE(MID($C333,2,99)),"")))</f>
        <v/>
      </c>
      <c r="L333">
        <f>IF($D333="","",IFERROR(VALUE($D333),""))</f>
        <v/>
      </c>
      <c r="M333">
        <f>IFERROR(VALUE(MID($A333,FIND("Level",$A333)+5,99)),IF($E333="AISLE_FLOOR",0,IF($E333="OVERFLOW",0,IF($E333="ENDCAP",0,""))))</f>
        <v/>
      </c>
      <c r="N333">
        <f>IF(AND($B333&lt;&gt;"",$C333&lt;&gt;"",ISNUMBER(--$D333)), $B333&amp;": "&amp;LEFT($C333,1)&amp;TEXT(--$D333,"00"), IF($I333&lt;&gt;"",$I333,$A333))</f>
        <v/>
      </c>
      <c r="O333">
        <f>IF(AND($C333&lt;&gt;"",ISNUMBER(--$D333)),LEFT($C333,1),"")</f>
        <v/>
      </c>
      <c r="P333">
        <f>IF(ISNUMBER(--$D333),--$D333,"")</f>
        <v/>
      </c>
      <c r="Q333">
        <f>IF(AND($O333&lt;&gt;"",$P333&lt;&gt;""),$O333&amp;TEXT($P333,"00"),"")</f>
        <v/>
      </c>
    </row>
    <row r="334">
      <c r="H334">
        <f>A334</f>
        <v/>
      </c>
      <c r="J334">
        <f>IF($I334&lt;&gt;"",$I334,$A334)</f>
        <v/>
      </c>
      <c r="K334">
        <f>IF($C334="","",IF(LEN($C334)=1,CODE(UPPER($C334))-64,IFERROR(VALUE(MID($C334,2,99)),"")))</f>
        <v/>
      </c>
      <c r="L334">
        <f>IF($D334="","",IFERROR(VALUE($D334),""))</f>
        <v/>
      </c>
      <c r="M334">
        <f>IFERROR(VALUE(MID($A334,FIND("Level",$A334)+5,99)),IF($E334="AISLE_FLOOR",0,IF($E334="OVERFLOW",0,IF($E334="ENDCAP",0,""))))</f>
        <v/>
      </c>
      <c r="N334">
        <f>IF(AND($B334&lt;&gt;"",$C334&lt;&gt;"",ISNUMBER(--$D334)), $B334&amp;": "&amp;LEFT($C334,1)&amp;TEXT(--$D334,"00"), IF($I334&lt;&gt;"",$I334,$A334))</f>
        <v/>
      </c>
      <c r="O334">
        <f>IF(AND($C334&lt;&gt;"",ISNUMBER(--$D334)),LEFT($C334,1),"")</f>
        <v/>
      </c>
      <c r="P334">
        <f>IF(ISNUMBER(--$D334),--$D334,"")</f>
        <v/>
      </c>
      <c r="Q334">
        <f>IF(AND($O334&lt;&gt;"",$P334&lt;&gt;""),$O334&amp;TEXT($P334,"00"),"")</f>
        <v/>
      </c>
    </row>
    <row r="335">
      <c r="H335">
        <f>A335</f>
        <v/>
      </c>
      <c r="J335">
        <f>IF($I335&lt;&gt;"",$I335,$A335)</f>
        <v/>
      </c>
      <c r="K335">
        <f>IF($C335="","",IF(LEN($C335)=1,CODE(UPPER($C335))-64,IFERROR(VALUE(MID($C335,2,99)),"")))</f>
        <v/>
      </c>
      <c r="L335">
        <f>IF($D335="","",IFERROR(VALUE($D335),""))</f>
        <v/>
      </c>
      <c r="M335">
        <f>IFERROR(VALUE(MID($A335,FIND("Level",$A335)+5,99)),IF($E335="AISLE_FLOOR",0,IF($E335="OVERFLOW",0,IF($E335="ENDCAP",0,""))))</f>
        <v/>
      </c>
      <c r="N335">
        <f>IF(AND($B335&lt;&gt;"",$C335&lt;&gt;"",ISNUMBER(--$D335)), $B335&amp;": "&amp;LEFT($C335,1)&amp;TEXT(--$D335,"00"), IF($I335&lt;&gt;"",$I335,$A335))</f>
        <v/>
      </c>
      <c r="O335">
        <f>IF(AND($C335&lt;&gt;"",ISNUMBER(--$D335)),LEFT($C335,1),"")</f>
        <v/>
      </c>
      <c r="P335">
        <f>IF(ISNUMBER(--$D335),--$D335,"")</f>
        <v/>
      </c>
      <c r="Q335">
        <f>IF(AND($O335&lt;&gt;"",$P335&lt;&gt;""),$O335&amp;TEXT($P335,"00"),"")</f>
        <v/>
      </c>
    </row>
    <row r="336">
      <c r="H336">
        <f>A336</f>
        <v/>
      </c>
      <c r="J336">
        <f>IF($I336&lt;&gt;"",$I336,$A336)</f>
        <v/>
      </c>
      <c r="K336">
        <f>IF($C336="","",IF(LEN($C336)=1,CODE(UPPER($C336))-64,IFERROR(VALUE(MID($C336,2,99)),"")))</f>
        <v/>
      </c>
      <c r="L336">
        <f>IF($D336="","",IFERROR(VALUE($D336),""))</f>
        <v/>
      </c>
      <c r="M336">
        <f>IFERROR(VALUE(MID($A336,FIND("Level",$A336)+5,99)),IF($E336="AISLE_FLOOR",0,IF($E336="OVERFLOW",0,IF($E336="ENDCAP",0,""))))</f>
        <v/>
      </c>
      <c r="N336">
        <f>IF(AND($B336&lt;&gt;"",$C336&lt;&gt;"",ISNUMBER(--$D336)), $B336&amp;": "&amp;LEFT($C336,1)&amp;TEXT(--$D336,"00"), IF($I336&lt;&gt;"",$I336,$A336))</f>
        <v/>
      </c>
      <c r="O336">
        <f>IF(AND($C336&lt;&gt;"",ISNUMBER(--$D336)),LEFT($C336,1),"")</f>
        <v/>
      </c>
      <c r="P336">
        <f>IF(ISNUMBER(--$D336),--$D336,"")</f>
        <v/>
      </c>
      <c r="Q336">
        <f>IF(AND($O336&lt;&gt;"",$P336&lt;&gt;""),$O336&amp;TEXT($P336,"00"),"")</f>
        <v/>
      </c>
    </row>
    <row r="337">
      <c r="H337">
        <f>A337</f>
        <v/>
      </c>
      <c r="J337">
        <f>IF($I337&lt;&gt;"",$I337,$A337)</f>
        <v/>
      </c>
      <c r="K337">
        <f>IF($C337="","",IF(LEN($C337)=1,CODE(UPPER($C337))-64,IFERROR(VALUE(MID($C337,2,99)),"")))</f>
        <v/>
      </c>
      <c r="L337">
        <f>IF($D337="","",IFERROR(VALUE($D337),""))</f>
        <v/>
      </c>
      <c r="M337">
        <f>IFERROR(VALUE(MID($A337,FIND("Level",$A337)+5,99)),IF($E337="AISLE_FLOOR",0,IF($E337="OVERFLOW",0,IF($E337="ENDCAP",0,""))))</f>
        <v/>
      </c>
      <c r="N337">
        <f>IF(AND($B337&lt;&gt;"",$C337&lt;&gt;"",ISNUMBER(--$D337)), $B337&amp;": "&amp;LEFT($C337,1)&amp;TEXT(--$D337,"00"), IF($I337&lt;&gt;"",$I337,$A337))</f>
        <v/>
      </c>
      <c r="O337">
        <f>IF(AND($C337&lt;&gt;"",ISNUMBER(--$D337)),LEFT($C337,1),"")</f>
        <v/>
      </c>
      <c r="P337">
        <f>IF(ISNUMBER(--$D337),--$D337,"")</f>
        <v/>
      </c>
      <c r="Q337">
        <f>IF(AND($O337&lt;&gt;"",$P337&lt;&gt;""),$O337&amp;TEXT($P337,"00"),"")</f>
        <v/>
      </c>
    </row>
    <row r="338">
      <c r="H338">
        <f>A338</f>
        <v/>
      </c>
      <c r="J338">
        <f>IF($I338&lt;&gt;"",$I338,$A338)</f>
        <v/>
      </c>
      <c r="K338">
        <f>IF($C338="","",IF(LEN($C338)=1,CODE(UPPER($C338))-64,IFERROR(VALUE(MID($C338,2,99)),"")))</f>
        <v/>
      </c>
      <c r="L338">
        <f>IF($D338="","",IFERROR(VALUE($D338),""))</f>
        <v/>
      </c>
      <c r="M338">
        <f>IFERROR(VALUE(MID($A338,FIND("Level",$A338)+5,99)),IF($E338="AISLE_FLOOR",0,IF($E338="OVERFLOW",0,IF($E338="ENDCAP",0,""))))</f>
        <v/>
      </c>
      <c r="N338">
        <f>IF(AND($B338&lt;&gt;"",$C338&lt;&gt;"",ISNUMBER(--$D338)), $B338&amp;": "&amp;LEFT($C338,1)&amp;TEXT(--$D338,"00"), IF($I338&lt;&gt;"",$I338,$A338))</f>
        <v/>
      </c>
      <c r="O338">
        <f>IF(AND($C338&lt;&gt;"",ISNUMBER(--$D338)),LEFT($C338,1),"")</f>
        <v/>
      </c>
      <c r="P338">
        <f>IF(ISNUMBER(--$D338),--$D338,"")</f>
        <v/>
      </c>
      <c r="Q338">
        <f>IF(AND($O338&lt;&gt;"",$P338&lt;&gt;""),$O338&amp;TEXT($P338,"00"),"")</f>
        <v/>
      </c>
    </row>
    <row r="339">
      <c r="H339">
        <f>A339</f>
        <v/>
      </c>
      <c r="J339">
        <f>IF($I339&lt;&gt;"",$I339,$A339)</f>
        <v/>
      </c>
      <c r="K339">
        <f>IF($C339="","",IF(LEN($C339)=1,CODE(UPPER($C339))-64,IFERROR(VALUE(MID($C339,2,99)),"")))</f>
        <v/>
      </c>
      <c r="L339">
        <f>IF($D339="","",IFERROR(VALUE($D339),""))</f>
        <v/>
      </c>
      <c r="M339">
        <f>IFERROR(VALUE(MID($A339,FIND("Level",$A339)+5,99)),IF($E339="AISLE_FLOOR",0,IF($E339="OVERFLOW",0,IF($E339="ENDCAP",0,""))))</f>
        <v/>
      </c>
      <c r="N339">
        <f>IF(AND($B339&lt;&gt;"",$C339&lt;&gt;"",ISNUMBER(--$D339)), $B339&amp;": "&amp;LEFT($C339,1)&amp;TEXT(--$D339,"00"), IF($I339&lt;&gt;"",$I339,$A339))</f>
        <v/>
      </c>
      <c r="O339">
        <f>IF(AND($C339&lt;&gt;"",ISNUMBER(--$D339)),LEFT($C339,1),"")</f>
        <v/>
      </c>
      <c r="P339">
        <f>IF(ISNUMBER(--$D339),--$D339,"")</f>
        <v/>
      </c>
      <c r="Q339">
        <f>IF(AND($O339&lt;&gt;"",$P339&lt;&gt;""),$O339&amp;TEXT($P339,"00"),"")</f>
        <v/>
      </c>
    </row>
    <row r="340">
      <c r="H340">
        <f>A340</f>
        <v/>
      </c>
      <c r="J340">
        <f>IF($I340&lt;&gt;"",$I340,$A340)</f>
        <v/>
      </c>
      <c r="K340">
        <f>IF($C340="","",IF(LEN($C340)=1,CODE(UPPER($C340))-64,IFERROR(VALUE(MID($C340,2,99)),"")))</f>
        <v/>
      </c>
      <c r="L340">
        <f>IF($D340="","",IFERROR(VALUE($D340),""))</f>
        <v/>
      </c>
      <c r="M340">
        <f>IFERROR(VALUE(MID($A340,FIND("Level",$A340)+5,99)),IF($E340="AISLE_FLOOR",0,IF($E340="OVERFLOW",0,IF($E340="ENDCAP",0,""))))</f>
        <v/>
      </c>
      <c r="N340">
        <f>IF(AND($B340&lt;&gt;"",$C340&lt;&gt;"",ISNUMBER(--$D340)), $B340&amp;": "&amp;LEFT($C340,1)&amp;TEXT(--$D340,"00"), IF($I340&lt;&gt;"",$I340,$A340))</f>
        <v/>
      </c>
      <c r="O340">
        <f>IF(AND($C340&lt;&gt;"",ISNUMBER(--$D340)),LEFT($C340,1),"")</f>
        <v/>
      </c>
      <c r="P340">
        <f>IF(ISNUMBER(--$D340),--$D340,"")</f>
        <v/>
      </c>
      <c r="Q340">
        <f>IF(AND($O340&lt;&gt;"",$P340&lt;&gt;""),$O340&amp;TEXT($P340,"00"),"")</f>
        <v/>
      </c>
    </row>
    <row r="341">
      <c r="H341">
        <f>A341</f>
        <v/>
      </c>
      <c r="J341">
        <f>IF($I341&lt;&gt;"",$I341,$A341)</f>
        <v/>
      </c>
      <c r="K341">
        <f>IF($C341="","",IF(LEN($C341)=1,CODE(UPPER($C341))-64,IFERROR(VALUE(MID($C341,2,99)),"")))</f>
        <v/>
      </c>
      <c r="L341">
        <f>IF($D341="","",IFERROR(VALUE($D341),""))</f>
        <v/>
      </c>
      <c r="M341">
        <f>IFERROR(VALUE(MID($A341,FIND("Level",$A341)+5,99)),IF($E341="AISLE_FLOOR",0,IF($E341="OVERFLOW",0,IF($E341="ENDCAP",0,""))))</f>
        <v/>
      </c>
      <c r="N341">
        <f>IF(AND($B341&lt;&gt;"",$C341&lt;&gt;"",ISNUMBER(--$D341)), $B341&amp;": "&amp;LEFT($C341,1)&amp;TEXT(--$D341,"00"), IF($I341&lt;&gt;"",$I341,$A341))</f>
        <v/>
      </c>
      <c r="O341">
        <f>IF(AND($C341&lt;&gt;"",ISNUMBER(--$D341)),LEFT($C341,1),"")</f>
        <v/>
      </c>
      <c r="P341">
        <f>IF(ISNUMBER(--$D341),--$D341,"")</f>
        <v/>
      </c>
      <c r="Q341">
        <f>IF(AND($O341&lt;&gt;"",$P341&lt;&gt;""),$O341&amp;TEXT($P341,"00"),"")</f>
        <v/>
      </c>
    </row>
    <row r="342">
      <c r="H342">
        <f>A342</f>
        <v/>
      </c>
      <c r="J342">
        <f>IF($I342&lt;&gt;"",$I342,$A342)</f>
        <v/>
      </c>
      <c r="K342">
        <f>IF($C342="","",IF(LEN($C342)=1,CODE(UPPER($C342))-64,IFERROR(VALUE(MID($C342,2,99)),"")))</f>
        <v/>
      </c>
      <c r="L342">
        <f>IF($D342="","",IFERROR(VALUE($D342),""))</f>
        <v/>
      </c>
      <c r="M342">
        <f>IFERROR(VALUE(MID($A342,FIND("Level",$A342)+5,99)),IF($E342="AISLE_FLOOR",0,IF($E342="OVERFLOW",0,IF($E342="ENDCAP",0,""))))</f>
        <v/>
      </c>
      <c r="N342">
        <f>IF(AND($B342&lt;&gt;"",$C342&lt;&gt;"",ISNUMBER(--$D342)), $B342&amp;": "&amp;LEFT($C342,1)&amp;TEXT(--$D342,"00"), IF($I342&lt;&gt;"",$I342,$A342))</f>
        <v/>
      </c>
      <c r="O342">
        <f>IF(AND($C342&lt;&gt;"",ISNUMBER(--$D342)),LEFT($C342,1),"")</f>
        <v/>
      </c>
      <c r="P342">
        <f>IF(ISNUMBER(--$D342),--$D342,"")</f>
        <v/>
      </c>
      <c r="Q342">
        <f>IF(AND($O342&lt;&gt;"",$P342&lt;&gt;""),$O342&amp;TEXT($P342,"00"),"")</f>
        <v/>
      </c>
    </row>
    <row r="343">
      <c r="H343">
        <f>A343</f>
        <v/>
      </c>
      <c r="J343">
        <f>IF($I343&lt;&gt;"",$I343,$A343)</f>
        <v/>
      </c>
      <c r="K343">
        <f>IF($C343="","",IF(LEN($C343)=1,CODE(UPPER($C343))-64,IFERROR(VALUE(MID($C343,2,99)),"")))</f>
        <v/>
      </c>
      <c r="L343">
        <f>IF($D343="","",IFERROR(VALUE($D343),""))</f>
        <v/>
      </c>
      <c r="M343">
        <f>IFERROR(VALUE(MID($A343,FIND("Level",$A343)+5,99)),IF($E343="AISLE_FLOOR",0,IF($E343="OVERFLOW",0,IF($E343="ENDCAP",0,""))))</f>
        <v/>
      </c>
      <c r="N343">
        <f>IF(AND($B343&lt;&gt;"",$C343&lt;&gt;"",ISNUMBER(--$D343)), $B343&amp;": "&amp;LEFT($C343,1)&amp;TEXT(--$D343,"00"), IF($I343&lt;&gt;"",$I343,$A343))</f>
        <v/>
      </c>
      <c r="O343">
        <f>IF(AND($C343&lt;&gt;"",ISNUMBER(--$D343)),LEFT($C343,1),"")</f>
        <v/>
      </c>
      <c r="P343">
        <f>IF(ISNUMBER(--$D343),--$D343,"")</f>
        <v/>
      </c>
      <c r="Q343">
        <f>IF(AND($O343&lt;&gt;"",$P343&lt;&gt;""),$O343&amp;TEXT($P343,"00"),"")</f>
        <v/>
      </c>
    </row>
    <row r="344">
      <c r="H344">
        <f>A344</f>
        <v/>
      </c>
      <c r="J344">
        <f>IF($I344&lt;&gt;"",$I344,$A344)</f>
        <v/>
      </c>
      <c r="K344">
        <f>IF($C344="","",IF(LEN($C344)=1,CODE(UPPER($C344))-64,IFERROR(VALUE(MID($C344,2,99)),"")))</f>
        <v/>
      </c>
      <c r="L344">
        <f>IF($D344="","",IFERROR(VALUE($D344),""))</f>
        <v/>
      </c>
      <c r="M344">
        <f>IFERROR(VALUE(MID($A344,FIND("Level",$A344)+5,99)),IF($E344="AISLE_FLOOR",0,IF($E344="OVERFLOW",0,IF($E344="ENDCAP",0,""))))</f>
        <v/>
      </c>
      <c r="N344">
        <f>IF(AND($B344&lt;&gt;"",$C344&lt;&gt;"",ISNUMBER(--$D344)), $B344&amp;": "&amp;LEFT($C344,1)&amp;TEXT(--$D344,"00"), IF($I344&lt;&gt;"",$I344,$A344))</f>
        <v/>
      </c>
      <c r="O344">
        <f>IF(AND($C344&lt;&gt;"",ISNUMBER(--$D344)),LEFT($C344,1),"")</f>
        <v/>
      </c>
      <c r="P344">
        <f>IF(ISNUMBER(--$D344),--$D344,"")</f>
        <v/>
      </c>
      <c r="Q344">
        <f>IF(AND($O344&lt;&gt;"",$P344&lt;&gt;""),$O344&amp;TEXT($P344,"00"),"")</f>
        <v/>
      </c>
    </row>
    <row r="345">
      <c r="H345">
        <f>A345</f>
        <v/>
      </c>
      <c r="J345">
        <f>IF($I345&lt;&gt;"",$I345,$A345)</f>
        <v/>
      </c>
      <c r="K345">
        <f>IF($C345="","",IF(LEN($C345)=1,CODE(UPPER($C345))-64,IFERROR(VALUE(MID($C345,2,99)),"")))</f>
        <v/>
      </c>
      <c r="L345">
        <f>IF($D345="","",IFERROR(VALUE($D345),""))</f>
        <v/>
      </c>
      <c r="M345">
        <f>IFERROR(VALUE(MID($A345,FIND("Level",$A345)+5,99)),IF($E345="AISLE_FLOOR",0,IF($E345="OVERFLOW",0,IF($E345="ENDCAP",0,""))))</f>
        <v/>
      </c>
      <c r="N345">
        <f>IF(AND($B345&lt;&gt;"",$C345&lt;&gt;"",ISNUMBER(--$D345)), $B345&amp;": "&amp;LEFT($C345,1)&amp;TEXT(--$D345,"00"), IF($I345&lt;&gt;"",$I345,$A345))</f>
        <v/>
      </c>
      <c r="O345">
        <f>IF(AND($C345&lt;&gt;"",ISNUMBER(--$D345)),LEFT($C345,1),"")</f>
        <v/>
      </c>
      <c r="P345">
        <f>IF(ISNUMBER(--$D345),--$D345,"")</f>
        <v/>
      </c>
      <c r="Q345">
        <f>IF(AND($O345&lt;&gt;"",$P345&lt;&gt;""),$O345&amp;TEXT($P345,"00"),"")</f>
        <v/>
      </c>
    </row>
    <row r="346">
      <c r="H346">
        <f>A346</f>
        <v/>
      </c>
      <c r="J346">
        <f>IF($I346&lt;&gt;"",$I346,$A346)</f>
        <v/>
      </c>
      <c r="K346">
        <f>IF($C346="","",IF(LEN($C346)=1,CODE(UPPER($C346))-64,IFERROR(VALUE(MID($C346,2,99)),"")))</f>
        <v/>
      </c>
      <c r="L346">
        <f>IF($D346="","",IFERROR(VALUE($D346),""))</f>
        <v/>
      </c>
      <c r="M346">
        <f>IFERROR(VALUE(MID($A346,FIND("Level",$A346)+5,99)),IF($E346="AISLE_FLOOR",0,IF($E346="OVERFLOW",0,IF($E346="ENDCAP",0,""))))</f>
        <v/>
      </c>
      <c r="N346">
        <f>IF(AND($B346&lt;&gt;"",$C346&lt;&gt;"",ISNUMBER(--$D346)), $B346&amp;": "&amp;LEFT($C346,1)&amp;TEXT(--$D346,"00"), IF($I346&lt;&gt;"",$I346,$A346))</f>
        <v/>
      </c>
      <c r="O346">
        <f>IF(AND($C346&lt;&gt;"",ISNUMBER(--$D346)),LEFT($C346,1),"")</f>
        <v/>
      </c>
      <c r="P346">
        <f>IF(ISNUMBER(--$D346),--$D346,"")</f>
        <v/>
      </c>
      <c r="Q346">
        <f>IF(AND($O346&lt;&gt;"",$P346&lt;&gt;""),$O346&amp;TEXT($P346,"00"),"")</f>
        <v/>
      </c>
    </row>
    <row r="347">
      <c r="H347">
        <f>A347</f>
        <v/>
      </c>
      <c r="J347">
        <f>IF($I347&lt;&gt;"",$I347,$A347)</f>
        <v/>
      </c>
      <c r="K347">
        <f>IF($C347="","",IF(LEN($C347)=1,CODE(UPPER($C347))-64,IFERROR(VALUE(MID($C347,2,99)),"")))</f>
        <v/>
      </c>
      <c r="L347">
        <f>IF($D347="","",IFERROR(VALUE($D347),""))</f>
        <v/>
      </c>
      <c r="M347">
        <f>IFERROR(VALUE(MID($A347,FIND("Level",$A347)+5,99)),IF($E347="AISLE_FLOOR",0,IF($E347="OVERFLOW",0,IF($E347="ENDCAP",0,""))))</f>
        <v/>
      </c>
      <c r="N347">
        <f>IF(AND($B347&lt;&gt;"",$C347&lt;&gt;"",ISNUMBER(--$D347)), $B347&amp;": "&amp;LEFT($C347,1)&amp;TEXT(--$D347,"00"), IF($I347&lt;&gt;"",$I347,$A347))</f>
        <v/>
      </c>
      <c r="O347">
        <f>IF(AND($C347&lt;&gt;"",ISNUMBER(--$D347)),LEFT($C347,1),"")</f>
        <v/>
      </c>
      <c r="P347">
        <f>IF(ISNUMBER(--$D347),--$D347,"")</f>
        <v/>
      </c>
      <c r="Q347">
        <f>IF(AND($O347&lt;&gt;"",$P347&lt;&gt;""),$O347&amp;TEXT($P347,"00"),"")</f>
        <v/>
      </c>
    </row>
    <row r="348">
      <c r="H348">
        <f>A348</f>
        <v/>
      </c>
      <c r="J348">
        <f>IF($I348&lt;&gt;"",$I348,$A348)</f>
        <v/>
      </c>
      <c r="K348">
        <f>IF($C348="","",IF(LEN($C348)=1,CODE(UPPER($C348))-64,IFERROR(VALUE(MID($C348,2,99)),"")))</f>
        <v/>
      </c>
      <c r="L348">
        <f>IF($D348="","",IFERROR(VALUE($D348),""))</f>
        <v/>
      </c>
      <c r="M348">
        <f>IFERROR(VALUE(MID($A348,FIND("Level",$A348)+5,99)),IF($E348="AISLE_FLOOR",0,IF($E348="OVERFLOW",0,IF($E348="ENDCAP",0,""))))</f>
        <v/>
      </c>
      <c r="N348">
        <f>IF(AND($B348&lt;&gt;"",$C348&lt;&gt;"",ISNUMBER(--$D348)), $B348&amp;": "&amp;LEFT($C348,1)&amp;TEXT(--$D348,"00"), IF($I348&lt;&gt;"",$I348,$A348))</f>
        <v/>
      </c>
      <c r="O348">
        <f>IF(AND($C348&lt;&gt;"",ISNUMBER(--$D348)),LEFT($C348,1),"")</f>
        <v/>
      </c>
      <c r="P348">
        <f>IF(ISNUMBER(--$D348),--$D348,"")</f>
        <v/>
      </c>
      <c r="Q348">
        <f>IF(AND($O348&lt;&gt;"",$P348&lt;&gt;""),$O348&amp;TEXT($P348,"00"),"")</f>
        <v/>
      </c>
    </row>
    <row r="349">
      <c r="H349">
        <f>A349</f>
        <v/>
      </c>
      <c r="J349">
        <f>IF($I349&lt;&gt;"",$I349,$A349)</f>
        <v/>
      </c>
      <c r="K349">
        <f>IF($C349="","",IF(LEN($C349)=1,CODE(UPPER($C349))-64,IFERROR(VALUE(MID($C349,2,99)),"")))</f>
        <v/>
      </c>
      <c r="L349">
        <f>IF($D349="","",IFERROR(VALUE($D349),""))</f>
        <v/>
      </c>
      <c r="M349">
        <f>IFERROR(VALUE(MID($A349,FIND("Level",$A349)+5,99)),IF($E349="AISLE_FLOOR",0,IF($E349="OVERFLOW",0,IF($E349="ENDCAP",0,""))))</f>
        <v/>
      </c>
      <c r="N349">
        <f>IF(AND($B349&lt;&gt;"",$C349&lt;&gt;"",ISNUMBER(--$D349)), $B349&amp;": "&amp;LEFT($C349,1)&amp;TEXT(--$D349,"00"), IF($I349&lt;&gt;"",$I349,$A349))</f>
        <v/>
      </c>
      <c r="O349">
        <f>IF(AND($C349&lt;&gt;"",ISNUMBER(--$D349)),LEFT($C349,1),"")</f>
        <v/>
      </c>
      <c r="P349">
        <f>IF(ISNUMBER(--$D349),--$D349,"")</f>
        <v/>
      </c>
      <c r="Q349">
        <f>IF(AND($O349&lt;&gt;"",$P349&lt;&gt;""),$O349&amp;TEXT($P349,"00"),"")</f>
        <v/>
      </c>
    </row>
    <row r="350">
      <c r="H350">
        <f>A350</f>
        <v/>
      </c>
      <c r="J350">
        <f>IF($I350&lt;&gt;"",$I350,$A350)</f>
        <v/>
      </c>
      <c r="K350">
        <f>IF($C350="","",IF(LEN($C350)=1,CODE(UPPER($C350))-64,IFERROR(VALUE(MID($C350,2,99)),"")))</f>
        <v/>
      </c>
      <c r="L350">
        <f>IF($D350="","",IFERROR(VALUE($D350),""))</f>
        <v/>
      </c>
      <c r="M350">
        <f>IFERROR(VALUE(MID($A350,FIND("Level",$A350)+5,99)),IF($E350="AISLE_FLOOR",0,IF($E350="OVERFLOW",0,IF($E350="ENDCAP",0,""))))</f>
        <v/>
      </c>
      <c r="N350">
        <f>IF(AND($B350&lt;&gt;"",$C350&lt;&gt;"",ISNUMBER(--$D350)), $B350&amp;": "&amp;LEFT($C350,1)&amp;TEXT(--$D350,"00"), IF($I350&lt;&gt;"",$I350,$A350))</f>
        <v/>
      </c>
      <c r="O350">
        <f>IF(AND($C350&lt;&gt;"",ISNUMBER(--$D350)),LEFT($C350,1),"")</f>
        <v/>
      </c>
      <c r="P350">
        <f>IF(ISNUMBER(--$D350),--$D350,"")</f>
        <v/>
      </c>
      <c r="Q350">
        <f>IF(AND($O350&lt;&gt;"",$P350&lt;&gt;""),$O350&amp;TEXT($P350,"00"),"")</f>
        <v/>
      </c>
    </row>
    <row r="351">
      <c r="H351">
        <f>A351</f>
        <v/>
      </c>
      <c r="J351">
        <f>IF($I351&lt;&gt;"",$I351,$A351)</f>
        <v/>
      </c>
      <c r="K351">
        <f>IF($C351="","",IF(LEN($C351)=1,CODE(UPPER($C351))-64,IFERROR(VALUE(MID($C351,2,99)),"")))</f>
        <v/>
      </c>
      <c r="L351">
        <f>IF($D351="","",IFERROR(VALUE($D351),""))</f>
        <v/>
      </c>
      <c r="M351">
        <f>IFERROR(VALUE(MID($A351,FIND("Level",$A351)+5,99)),IF($E351="AISLE_FLOOR",0,IF($E351="OVERFLOW",0,IF($E351="ENDCAP",0,""))))</f>
        <v/>
      </c>
      <c r="N351">
        <f>IF(AND($B351&lt;&gt;"",$C351&lt;&gt;"",ISNUMBER(--$D351)), $B351&amp;": "&amp;LEFT($C351,1)&amp;TEXT(--$D351,"00"), IF($I351&lt;&gt;"",$I351,$A351))</f>
        <v/>
      </c>
      <c r="O351">
        <f>IF(AND($C351&lt;&gt;"",ISNUMBER(--$D351)),LEFT($C351,1),"")</f>
        <v/>
      </c>
      <c r="P351">
        <f>IF(ISNUMBER(--$D351),--$D351,"")</f>
        <v/>
      </c>
      <c r="Q351">
        <f>IF(AND($O351&lt;&gt;"",$P351&lt;&gt;""),$O351&amp;TEXT($P351,"00"),"")</f>
        <v/>
      </c>
    </row>
    <row r="352">
      <c r="H352">
        <f>A352</f>
        <v/>
      </c>
      <c r="J352">
        <f>IF($I352&lt;&gt;"",$I352,$A352)</f>
        <v/>
      </c>
      <c r="K352">
        <f>IF($C352="","",IF(LEN($C352)=1,CODE(UPPER($C352))-64,IFERROR(VALUE(MID($C352,2,99)),"")))</f>
        <v/>
      </c>
      <c r="L352">
        <f>IF($D352="","",IFERROR(VALUE($D352),""))</f>
        <v/>
      </c>
      <c r="M352">
        <f>IFERROR(VALUE(MID($A352,FIND("Level",$A352)+5,99)),IF($E352="AISLE_FLOOR",0,IF($E352="OVERFLOW",0,IF($E352="ENDCAP",0,""))))</f>
        <v/>
      </c>
      <c r="N352">
        <f>IF(AND($B352&lt;&gt;"",$C352&lt;&gt;"",ISNUMBER(--$D352)), $B352&amp;": "&amp;LEFT($C352,1)&amp;TEXT(--$D352,"00"), IF($I352&lt;&gt;"",$I352,$A352))</f>
        <v/>
      </c>
      <c r="O352">
        <f>IF(AND($C352&lt;&gt;"",ISNUMBER(--$D352)),LEFT($C352,1),"")</f>
        <v/>
      </c>
      <c r="P352">
        <f>IF(ISNUMBER(--$D352),--$D352,"")</f>
        <v/>
      </c>
      <c r="Q352">
        <f>IF(AND($O352&lt;&gt;"",$P352&lt;&gt;""),$O352&amp;TEXT($P352,"00"),"")</f>
        <v/>
      </c>
    </row>
    <row r="353">
      <c r="H353">
        <f>A353</f>
        <v/>
      </c>
      <c r="J353">
        <f>IF($I353&lt;&gt;"",$I353,$A353)</f>
        <v/>
      </c>
      <c r="K353">
        <f>IF($C353="","",IF(LEN($C353)=1,CODE(UPPER($C353))-64,IFERROR(VALUE(MID($C353,2,99)),"")))</f>
        <v/>
      </c>
      <c r="L353">
        <f>IF($D353="","",IFERROR(VALUE($D353),""))</f>
        <v/>
      </c>
      <c r="M353">
        <f>IFERROR(VALUE(MID($A353,FIND("Level",$A353)+5,99)),IF($E353="AISLE_FLOOR",0,IF($E353="OVERFLOW",0,IF($E353="ENDCAP",0,""))))</f>
        <v/>
      </c>
      <c r="N353">
        <f>IF(AND($B353&lt;&gt;"",$C353&lt;&gt;"",ISNUMBER(--$D353)), $B353&amp;": "&amp;LEFT($C353,1)&amp;TEXT(--$D353,"00"), IF($I353&lt;&gt;"",$I353,$A353))</f>
        <v/>
      </c>
      <c r="O353">
        <f>IF(AND($C353&lt;&gt;"",ISNUMBER(--$D353)),LEFT($C353,1),"")</f>
        <v/>
      </c>
      <c r="P353">
        <f>IF(ISNUMBER(--$D353),--$D353,"")</f>
        <v/>
      </c>
      <c r="Q353">
        <f>IF(AND($O353&lt;&gt;"",$P353&lt;&gt;""),$O353&amp;TEXT($P353,"00"),"")</f>
        <v/>
      </c>
    </row>
    <row r="354">
      <c r="H354">
        <f>A354</f>
        <v/>
      </c>
      <c r="J354">
        <f>IF($I354&lt;&gt;"",$I354,$A354)</f>
        <v/>
      </c>
      <c r="K354">
        <f>IF($C354="","",IF(LEN($C354)=1,CODE(UPPER($C354))-64,IFERROR(VALUE(MID($C354,2,99)),"")))</f>
        <v/>
      </c>
      <c r="L354">
        <f>IF($D354="","",IFERROR(VALUE($D354),""))</f>
        <v/>
      </c>
      <c r="M354">
        <f>IFERROR(VALUE(MID($A354,FIND("Level",$A354)+5,99)),IF($E354="AISLE_FLOOR",0,IF($E354="OVERFLOW",0,IF($E354="ENDCAP",0,""))))</f>
        <v/>
      </c>
      <c r="N354">
        <f>IF(AND($B354&lt;&gt;"",$C354&lt;&gt;"",ISNUMBER(--$D354)), $B354&amp;": "&amp;LEFT($C354,1)&amp;TEXT(--$D354,"00"), IF($I354&lt;&gt;"",$I354,$A354))</f>
        <v/>
      </c>
      <c r="O354">
        <f>IF(AND($C354&lt;&gt;"",ISNUMBER(--$D354)),LEFT($C354,1),"")</f>
        <v/>
      </c>
      <c r="P354">
        <f>IF(ISNUMBER(--$D354),--$D354,"")</f>
        <v/>
      </c>
      <c r="Q354">
        <f>IF(AND($O354&lt;&gt;"",$P354&lt;&gt;""),$O354&amp;TEXT($P354,"00"),"")</f>
        <v/>
      </c>
    </row>
    <row r="355">
      <c r="H355">
        <f>A355</f>
        <v/>
      </c>
      <c r="J355">
        <f>IF($I355&lt;&gt;"",$I355,$A355)</f>
        <v/>
      </c>
      <c r="K355">
        <f>IF($C355="","",IF(LEN($C355)=1,CODE(UPPER($C355))-64,IFERROR(VALUE(MID($C355,2,99)),"")))</f>
        <v/>
      </c>
      <c r="L355">
        <f>IF($D355="","",IFERROR(VALUE($D355),""))</f>
        <v/>
      </c>
      <c r="M355">
        <f>IFERROR(VALUE(MID($A355,FIND("Level",$A355)+5,99)),IF($E355="AISLE_FLOOR",0,IF($E355="OVERFLOW",0,IF($E355="ENDCAP",0,""))))</f>
        <v/>
      </c>
      <c r="N355">
        <f>IF(AND($B355&lt;&gt;"",$C355&lt;&gt;"",ISNUMBER(--$D355)), $B355&amp;": "&amp;LEFT($C355,1)&amp;TEXT(--$D355,"00"), IF($I355&lt;&gt;"",$I355,$A355))</f>
        <v/>
      </c>
      <c r="O355">
        <f>IF(AND($C355&lt;&gt;"",ISNUMBER(--$D355)),LEFT($C355,1),"")</f>
        <v/>
      </c>
      <c r="P355">
        <f>IF(ISNUMBER(--$D355),--$D355,"")</f>
        <v/>
      </c>
      <c r="Q355">
        <f>IF(AND($O355&lt;&gt;"",$P355&lt;&gt;""),$O355&amp;TEXT($P355,"00"),"")</f>
        <v/>
      </c>
    </row>
    <row r="356">
      <c r="H356">
        <f>A356</f>
        <v/>
      </c>
      <c r="J356">
        <f>IF($I356&lt;&gt;"",$I356,$A356)</f>
        <v/>
      </c>
      <c r="K356">
        <f>IF($C356="","",IF(LEN($C356)=1,CODE(UPPER($C356))-64,IFERROR(VALUE(MID($C356,2,99)),"")))</f>
        <v/>
      </c>
      <c r="L356">
        <f>IF($D356="","",IFERROR(VALUE($D356),""))</f>
        <v/>
      </c>
      <c r="M356">
        <f>IFERROR(VALUE(MID($A356,FIND("Level",$A356)+5,99)),IF($E356="AISLE_FLOOR",0,IF($E356="OVERFLOW",0,IF($E356="ENDCAP",0,""))))</f>
        <v/>
      </c>
      <c r="N356">
        <f>IF(AND($B356&lt;&gt;"",$C356&lt;&gt;"",ISNUMBER(--$D356)), $B356&amp;": "&amp;LEFT($C356,1)&amp;TEXT(--$D356,"00"), IF($I356&lt;&gt;"",$I356,$A356))</f>
        <v/>
      </c>
      <c r="O356">
        <f>IF(AND($C356&lt;&gt;"",ISNUMBER(--$D356)),LEFT($C356,1),"")</f>
        <v/>
      </c>
      <c r="P356">
        <f>IF(ISNUMBER(--$D356),--$D356,"")</f>
        <v/>
      </c>
      <c r="Q356">
        <f>IF(AND($O356&lt;&gt;"",$P356&lt;&gt;""),$O356&amp;TEXT($P356,"00"),"")</f>
        <v/>
      </c>
    </row>
    <row r="357">
      <c r="H357">
        <f>A357</f>
        <v/>
      </c>
      <c r="J357">
        <f>IF($I357&lt;&gt;"",$I357,$A357)</f>
        <v/>
      </c>
      <c r="K357">
        <f>IF($C357="","",IF(LEN($C357)=1,CODE(UPPER($C357))-64,IFERROR(VALUE(MID($C357,2,99)),"")))</f>
        <v/>
      </c>
      <c r="L357">
        <f>IF($D357="","",IFERROR(VALUE($D357),""))</f>
        <v/>
      </c>
      <c r="M357">
        <f>IFERROR(VALUE(MID($A357,FIND("Level",$A357)+5,99)),IF($E357="AISLE_FLOOR",0,IF($E357="OVERFLOW",0,IF($E357="ENDCAP",0,""))))</f>
        <v/>
      </c>
      <c r="N357">
        <f>IF(AND($B357&lt;&gt;"",$C357&lt;&gt;"",ISNUMBER(--$D357)), $B357&amp;": "&amp;LEFT($C357,1)&amp;TEXT(--$D357,"00"), IF($I357&lt;&gt;"",$I357,$A357))</f>
        <v/>
      </c>
      <c r="O357">
        <f>IF(AND($C357&lt;&gt;"",ISNUMBER(--$D357)),LEFT($C357,1),"")</f>
        <v/>
      </c>
      <c r="P357">
        <f>IF(ISNUMBER(--$D357),--$D357,"")</f>
        <v/>
      </c>
      <c r="Q357">
        <f>IF(AND($O357&lt;&gt;"",$P357&lt;&gt;""),$O357&amp;TEXT($P357,"00"),"")</f>
        <v/>
      </c>
    </row>
    <row r="358">
      <c r="H358">
        <f>A358</f>
        <v/>
      </c>
      <c r="J358">
        <f>IF($I358&lt;&gt;"",$I358,$A358)</f>
        <v/>
      </c>
      <c r="K358">
        <f>IF($C358="","",IF(LEN($C358)=1,CODE(UPPER($C358))-64,IFERROR(VALUE(MID($C358,2,99)),"")))</f>
        <v/>
      </c>
      <c r="L358">
        <f>IF($D358="","",IFERROR(VALUE($D358),""))</f>
        <v/>
      </c>
      <c r="M358">
        <f>IFERROR(VALUE(MID($A358,FIND("Level",$A358)+5,99)),IF($E358="AISLE_FLOOR",0,IF($E358="OVERFLOW",0,IF($E358="ENDCAP",0,""))))</f>
        <v/>
      </c>
      <c r="N358">
        <f>IF(AND($B358&lt;&gt;"",$C358&lt;&gt;"",ISNUMBER(--$D358)), $B358&amp;": "&amp;LEFT($C358,1)&amp;TEXT(--$D358,"00"), IF($I358&lt;&gt;"",$I358,$A358))</f>
        <v/>
      </c>
      <c r="O358">
        <f>IF(AND($C358&lt;&gt;"",ISNUMBER(--$D358)),LEFT($C358,1),"")</f>
        <v/>
      </c>
      <c r="P358">
        <f>IF(ISNUMBER(--$D358),--$D358,"")</f>
        <v/>
      </c>
      <c r="Q358">
        <f>IF(AND($O358&lt;&gt;"",$P358&lt;&gt;""),$O358&amp;TEXT($P358,"00"),"")</f>
        <v/>
      </c>
    </row>
    <row r="359">
      <c r="H359">
        <f>A359</f>
        <v/>
      </c>
      <c r="J359">
        <f>IF($I359&lt;&gt;"",$I359,$A359)</f>
        <v/>
      </c>
      <c r="K359">
        <f>IF($C359="","",IF(LEN($C359)=1,CODE(UPPER($C359))-64,IFERROR(VALUE(MID($C359,2,99)),"")))</f>
        <v/>
      </c>
      <c r="L359">
        <f>IF($D359="","",IFERROR(VALUE($D359),""))</f>
        <v/>
      </c>
      <c r="M359">
        <f>IFERROR(VALUE(MID($A359,FIND("Level",$A359)+5,99)),IF($E359="AISLE_FLOOR",0,IF($E359="OVERFLOW",0,IF($E359="ENDCAP",0,""))))</f>
        <v/>
      </c>
      <c r="N359">
        <f>IF(AND($B359&lt;&gt;"",$C359&lt;&gt;"",ISNUMBER(--$D359)), $B359&amp;": "&amp;LEFT($C359,1)&amp;TEXT(--$D359,"00"), IF($I359&lt;&gt;"",$I359,$A359))</f>
        <v/>
      </c>
      <c r="O359">
        <f>IF(AND($C359&lt;&gt;"",ISNUMBER(--$D359)),LEFT($C359,1),"")</f>
        <v/>
      </c>
      <c r="P359">
        <f>IF(ISNUMBER(--$D359),--$D359,"")</f>
        <v/>
      </c>
      <c r="Q359">
        <f>IF(AND($O359&lt;&gt;"",$P359&lt;&gt;""),$O359&amp;TEXT($P359,"00"),"")</f>
        <v/>
      </c>
    </row>
    <row r="360">
      <c r="H360">
        <f>A360</f>
        <v/>
      </c>
      <c r="J360">
        <f>IF($I360&lt;&gt;"",$I360,$A360)</f>
        <v/>
      </c>
      <c r="K360">
        <f>IF($C360="","",IF(LEN($C360)=1,CODE(UPPER($C360))-64,IFERROR(VALUE(MID($C360,2,99)),"")))</f>
        <v/>
      </c>
      <c r="L360">
        <f>IF($D360="","",IFERROR(VALUE($D360),""))</f>
        <v/>
      </c>
      <c r="M360">
        <f>IFERROR(VALUE(MID($A360,FIND("Level",$A360)+5,99)),IF($E360="AISLE_FLOOR",0,IF($E360="OVERFLOW",0,IF($E360="ENDCAP",0,""))))</f>
        <v/>
      </c>
      <c r="N360">
        <f>IF(AND($B360&lt;&gt;"",$C360&lt;&gt;"",ISNUMBER(--$D360)), $B360&amp;": "&amp;LEFT($C360,1)&amp;TEXT(--$D360,"00"), IF($I360&lt;&gt;"",$I360,$A360))</f>
        <v/>
      </c>
      <c r="O360">
        <f>IF(AND($C360&lt;&gt;"",ISNUMBER(--$D360)),LEFT($C360,1),"")</f>
        <v/>
      </c>
      <c r="P360">
        <f>IF(ISNUMBER(--$D360),--$D360,"")</f>
        <v/>
      </c>
      <c r="Q360">
        <f>IF(AND($O360&lt;&gt;"",$P360&lt;&gt;""),$O360&amp;TEXT($P360,"00"),"")</f>
        <v/>
      </c>
    </row>
    <row r="361">
      <c r="H361">
        <f>A361</f>
        <v/>
      </c>
      <c r="J361">
        <f>IF($I361&lt;&gt;"",$I361,$A361)</f>
        <v/>
      </c>
      <c r="K361">
        <f>IF($C361="","",IF(LEN($C361)=1,CODE(UPPER($C361))-64,IFERROR(VALUE(MID($C361,2,99)),"")))</f>
        <v/>
      </c>
      <c r="L361">
        <f>IF($D361="","",IFERROR(VALUE($D361),""))</f>
        <v/>
      </c>
      <c r="M361">
        <f>IFERROR(VALUE(MID($A361,FIND("Level",$A361)+5,99)),IF($E361="AISLE_FLOOR",0,IF($E361="OVERFLOW",0,IF($E361="ENDCAP",0,""))))</f>
        <v/>
      </c>
      <c r="N361">
        <f>IF(AND($B361&lt;&gt;"",$C361&lt;&gt;"",ISNUMBER(--$D361)), $B361&amp;": "&amp;LEFT($C361,1)&amp;TEXT(--$D361,"00"), IF($I361&lt;&gt;"",$I361,$A361))</f>
        <v/>
      </c>
      <c r="O361">
        <f>IF(AND($C361&lt;&gt;"",ISNUMBER(--$D361)),LEFT($C361,1),"")</f>
        <v/>
      </c>
      <c r="P361">
        <f>IF(ISNUMBER(--$D361),--$D361,"")</f>
        <v/>
      </c>
      <c r="Q361">
        <f>IF(AND($O361&lt;&gt;"",$P361&lt;&gt;""),$O361&amp;TEXT($P361,"00"),"")</f>
        <v/>
      </c>
    </row>
    <row r="362">
      <c r="H362">
        <f>A362</f>
        <v/>
      </c>
      <c r="J362">
        <f>IF($I362&lt;&gt;"",$I362,$A362)</f>
        <v/>
      </c>
      <c r="K362">
        <f>IF($C362="","",IF(LEN($C362)=1,CODE(UPPER($C362))-64,IFERROR(VALUE(MID($C362,2,99)),"")))</f>
        <v/>
      </c>
      <c r="L362">
        <f>IF($D362="","",IFERROR(VALUE($D362),""))</f>
        <v/>
      </c>
      <c r="M362">
        <f>IFERROR(VALUE(MID($A362,FIND("Level",$A362)+5,99)),IF($E362="AISLE_FLOOR",0,IF($E362="OVERFLOW",0,IF($E362="ENDCAP",0,""))))</f>
        <v/>
      </c>
      <c r="N362">
        <f>IF(AND($B362&lt;&gt;"",$C362&lt;&gt;"",ISNUMBER(--$D362)), $B362&amp;": "&amp;LEFT($C362,1)&amp;TEXT(--$D362,"00"), IF($I362&lt;&gt;"",$I362,$A362))</f>
        <v/>
      </c>
      <c r="O362">
        <f>IF(AND($C362&lt;&gt;"",ISNUMBER(--$D362)),LEFT($C362,1),"")</f>
        <v/>
      </c>
      <c r="P362">
        <f>IF(ISNUMBER(--$D362),--$D362,"")</f>
        <v/>
      </c>
      <c r="Q362">
        <f>IF(AND($O362&lt;&gt;"",$P362&lt;&gt;""),$O362&amp;TEXT($P362,"00"),"")</f>
        <v/>
      </c>
    </row>
    <row r="363">
      <c r="H363">
        <f>A363</f>
        <v/>
      </c>
      <c r="J363">
        <f>IF($I363&lt;&gt;"",$I363,$A363)</f>
        <v/>
      </c>
      <c r="K363">
        <f>IF($C363="","",IF(LEN($C363)=1,CODE(UPPER($C363))-64,IFERROR(VALUE(MID($C363,2,99)),"")))</f>
        <v/>
      </c>
      <c r="L363">
        <f>IF($D363="","",IFERROR(VALUE($D363),""))</f>
        <v/>
      </c>
      <c r="M363">
        <f>IFERROR(VALUE(MID($A363,FIND("Level",$A363)+5,99)),IF($E363="AISLE_FLOOR",0,IF($E363="OVERFLOW",0,IF($E363="ENDCAP",0,""))))</f>
        <v/>
      </c>
      <c r="N363">
        <f>IF(AND($B363&lt;&gt;"",$C363&lt;&gt;"",ISNUMBER(--$D363)), $B363&amp;": "&amp;LEFT($C363,1)&amp;TEXT(--$D363,"00"), IF($I363&lt;&gt;"",$I363,$A363))</f>
        <v/>
      </c>
      <c r="O363">
        <f>IF(AND($C363&lt;&gt;"",ISNUMBER(--$D363)),LEFT($C363,1),"")</f>
        <v/>
      </c>
      <c r="P363">
        <f>IF(ISNUMBER(--$D363),--$D363,"")</f>
        <v/>
      </c>
      <c r="Q363">
        <f>IF(AND($O363&lt;&gt;"",$P363&lt;&gt;""),$O363&amp;TEXT($P363,"00"),"")</f>
        <v/>
      </c>
    </row>
    <row r="364">
      <c r="H364">
        <f>A364</f>
        <v/>
      </c>
      <c r="J364">
        <f>IF($I364&lt;&gt;"",$I364,$A364)</f>
        <v/>
      </c>
      <c r="K364">
        <f>IF($C364="","",IF(LEN($C364)=1,CODE(UPPER($C364))-64,IFERROR(VALUE(MID($C364,2,99)),"")))</f>
        <v/>
      </c>
      <c r="L364">
        <f>IF($D364="","",IFERROR(VALUE($D364),""))</f>
        <v/>
      </c>
      <c r="M364">
        <f>IFERROR(VALUE(MID($A364,FIND("Level",$A364)+5,99)),IF($E364="AISLE_FLOOR",0,IF($E364="OVERFLOW",0,IF($E364="ENDCAP",0,""))))</f>
        <v/>
      </c>
      <c r="N364">
        <f>IF(AND($B364&lt;&gt;"",$C364&lt;&gt;"",ISNUMBER(--$D364)), $B364&amp;": "&amp;LEFT($C364,1)&amp;TEXT(--$D364,"00"), IF($I364&lt;&gt;"",$I364,$A364))</f>
        <v/>
      </c>
      <c r="O364">
        <f>IF(AND($C364&lt;&gt;"",ISNUMBER(--$D364)),LEFT($C364,1),"")</f>
        <v/>
      </c>
      <c r="P364">
        <f>IF(ISNUMBER(--$D364),--$D364,"")</f>
        <v/>
      </c>
      <c r="Q364">
        <f>IF(AND($O364&lt;&gt;"",$P364&lt;&gt;""),$O364&amp;TEXT($P364,"00"),"")</f>
        <v/>
      </c>
    </row>
    <row r="365">
      <c r="H365">
        <f>A365</f>
        <v/>
      </c>
      <c r="J365">
        <f>IF($I365&lt;&gt;"",$I365,$A365)</f>
        <v/>
      </c>
      <c r="K365">
        <f>IF($C365="","",IF(LEN($C365)=1,CODE(UPPER($C365))-64,IFERROR(VALUE(MID($C365,2,99)),"")))</f>
        <v/>
      </c>
      <c r="L365">
        <f>IF($D365="","",IFERROR(VALUE($D365),""))</f>
        <v/>
      </c>
      <c r="M365">
        <f>IFERROR(VALUE(MID($A365,FIND("Level",$A365)+5,99)),IF($E365="AISLE_FLOOR",0,IF($E365="OVERFLOW",0,IF($E365="ENDCAP",0,""))))</f>
        <v/>
      </c>
      <c r="N365">
        <f>IF(AND($B365&lt;&gt;"",$C365&lt;&gt;"",ISNUMBER(--$D365)), $B365&amp;": "&amp;LEFT($C365,1)&amp;TEXT(--$D365,"00"), IF($I365&lt;&gt;"",$I365,$A365))</f>
        <v/>
      </c>
      <c r="O365">
        <f>IF(AND($C365&lt;&gt;"",ISNUMBER(--$D365)),LEFT($C365,1),"")</f>
        <v/>
      </c>
      <c r="P365">
        <f>IF(ISNUMBER(--$D365),--$D365,"")</f>
        <v/>
      </c>
      <c r="Q365">
        <f>IF(AND($O365&lt;&gt;"",$P365&lt;&gt;""),$O365&amp;TEXT($P365,"00"),"")</f>
        <v/>
      </c>
    </row>
    <row r="366">
      <c r="H366">
        <f>A366</f>
        <v/>
      </c>
      <c r="J366">
        <f>IF($I366&lt;&gt;"",$I366,$A366)</f>
        <v/>
      </c>
      <c r="K366">
        <f>IF($C366="","",IF(LEN($C366)=1,CODE(UPPER($C366))-64,IFERROR(VALUE(MID($C366,2,99)),"")))</f>
        <v/>
      </c>
      <c r="L366">
        <f>IF($D366="","",IFERROR(VALUE($D366),""))</f>
        <v/>
      </c>
      <c r="M366">
        <f>IFERROR(VALUE(MID($A366,FIND("Level",$A366)+5,99)),IF($E366="AISLE_FLOOR",0,IF($E366="OVERFLOW",0,IF($E366="ENDCAP",0,""))))</f>
        <v/>
      </c>
      <c r="N366">
        <f>IF(AND($B366&lt;&gt;"",$C366&lt;&gt;"",ISNUMBER(--$D366)), $B366&amp;": "&amp;LEFT($C366,1)&amp;TEXT(--$D366,"00"), IF($I366&lt;&gt;"",$I366,$A366))</f>
        <v/>
      </c>
      <c r="O366">
        <f>IF(AND($C366&lt;&gt;"",ISNUMBER(--$D366)),LEFT($C366,1),"")</f>
        <v/>
      </c>
      <c r="P366">
        <f>IF(ISNUMBER(--$D366),--$D366,"")</f>
        <v/>
      </c>
      <c r="Q366">
        <f>IF(AND($O366&lt;&gt;"",$P366&lt;&gt;""),$O366&amp;TEXT($P366,"00"),"")</f>
        <v/>
      </c>
    </row>
    <row r="367">
      <c r="H367">
        <f>A367</f>
        <v/>
      </c>
      <c r="J367">
        <f>IF($I367&lt;&gt;"",$I367,$A367)</f>
        <v/>
      </c>
      <c r="K367">
        <f>IF($C367="","",IF(LEN($C367)=1,CODE(UPPER($C367))-64,IFERROR(VALUE(MID($C367,2,99)),"")))</f>
        <v/>
      </c>
      <c r="L367">
        <f>IF($D367="","",IFERROR(VALUE($D367),""))</f>
        <v/>
      </c>
      <c r="M367">
        <f>IFERROR(VALUE(MID($A367,FIND("Level",$A367)+5,99)),IF($E367="AISLE_FLOOR",0,IF($E367="OVERFLOW",0,IF($E367="ENDCAP",0,""))))</f>
        <v/>
      </c>
      <c r="N367">
        <f>IF(AND($B367&lt;&gt;"",$C367&lt;&gt;"",ISNUMBER(--$D367)), $B367&amp;": "&amp;LEFT($C367,1)&amp;TEXT(--$D367,"00"), IF($I367&lt;&gt;"",$I367,$A367))</f>
        <v/>
      </c>
      <c r="O367">
        <f>IF(AND($C367&lt;&gt;"",ISNUMBER(--$D367)),LEFT($C367,1),"")</f>
        <v/>
      </c>
      <c r="P367">
        <f>IF(ISNUMBER(--$D367),--$D367,"")</f>
        <v/>
      </c>
      <c r="Q367">
        <f>IF(AND($O367&lt;&gt;"",$P367&lt;&gt;""),$O367&amp;TEXT($P367,"00"),"")</f>
        <v/>
      </c>
    </row>
    <row r="368">
      <c r="H368">
        <f>A368</f>
        <v/>
      </c>
      <c r="J368">
        <f>IF($I368&lt;&gt;"",$I368,$A368)</f>
        <v/>
      </c>
      <c r="K368">
        <f>IF($C368="","",IF(LEN($C368)=1,CODE(UPPER($C368))-64,IFERROR(VALUE(MID($C368,2,99)),"")))</f>
        <v/>
      </c>
      <c r="L368">
        <f>IF($D368="","",IFERROR(VALUE($D368),""))</f>
        <v/>
      </c>
      <c r="M368">
        <f>IFERROR(VALUE(MID($A368,FIND("Level",$A368)+5,99)),IF($E368="AISLE_FLOOR",0,IF($E368="OVERFLOW",0,IF($E368="ENDCAP",0,""))))</f>
        <v/>
      </c>
      <c r="N368">
        <f>IF(AND($B368&lt;&gt;"",$C368&lt;&gt;"",ISNUMBER(--$D368)), $B368&amp;": "&amp;LEFT($C368,1)&amp;TEXT(--$D368,"00"), IF($I368&lt;&gt;"",$I368,$A368))</f>
        <v/>
      </c>
      <c r="O368">
        <f>IF(AND($C368&lt;&gt;"",ISNUMBER(--$D368)),LEFT($C368,1),"")</f>
        <v/>
      </c>
      <c r="P368">
        <f>IF(ISNUMBER(--$D368),--$D368,"")</f>
        <v/>
      </c>
      <c r="Q368">
        <f>IF(AND($O368&lt;&gt;"",$P368&lt;&gt;""),$O368&amp;TEXT($P368,"00"),"")</f>
        <v/>
      </c>
    </row>
    <row r="369">
      <c r="H369">
        <f>A369</f>
        <v/>
      </c>
      <c r="J369">
        <f>IF($I369&lt;&gt;"",$I369,$A369)</f>
        <v/>
      </c>
      <c r="K369">
        <f>IF($C369="","",IF(LEN($C369)=1,CODE(UPPER($C369))-64,IFERROR(VALUE(MID($C369,2,99)),"")))</f>
        <v/>
      </c>
      <c r="L369">
        <f>IF($D369="","",IFERROR(VALUE($D369),""))</f>
        <v/>
      </c>
      <c r="M369">
        <f>IFERROR(VALUE(MID($A369,FIND("Level",$A369)+5,99)),IF($E369="AISLE_FLOOR",0,IF($E369="OVERFLOW",0,IF($E369="ENDCAP",0,""))))</f>
        <v/>
      </c>
      <c r="N369">
        <f>IF(AND($B369&lt;&gt;"",$C369&lt;&gt;"",ISNUMBER(--$D369)), $B369&amp;": "&amp;LEFT($C369,1)&amp;TEXT(--$D369,"00"), IF($I369&lt;&gt;"",$I369,$A369))</f>
        <v/>
      </c>
      <c r="O369">
        <f>IF(AND($C369&lt;&gt;"",ISNUMBER(--$D369)),LEFT($C369,1),"")</f>
        <v/>
      </c>
      <c r="P369">
        <f>IF(ISNUMBER(--$D369),--$D369,"")</f>
        <v/>
      </c>
      <c r="Q369">
        <f>IF(AND($O369&lt;&gt;"",$P369&lt;&gt;""),$O369&amp;TEXT($P369,"00"),"")</f>
        <v/>
      </c>
    </row>
    <row r="370">
      <c r="H370">
        <f>A370</f>
        <v/>
      </c>
      <c r="J370">
        <f>IF($I370&lt;&gt;"",$I370,$A370)</f>
        <v/>
      </c>
      <c r="K370">
        <f>IF($C370="","",IF(LEN($C370)=1,CODE(UPPER($C370))-64,IFERROR(VALUE(MID($C370,2,99)),"")))</f>
        <v/>
      </c>
      <c r="L370">
        <f>IF($D370="","",IFERROR(VALUE($D370),""))</f>
        <v/>
      </c>
      <c r="M370">
        <f>IFERROR(VALUE(MID($A370,FIND("Level",$A370)+5,99)),IF($E370="AISLE_FLOOR",0,IF($E370="OVERFLOW",0,IF($E370="ENDCAP",0,""))))</f>
        <v/>
      </c>
      <c r="N370">
        <f>IF(AND($B370&lt;&gt;"",$C370&lt;&gt;"",ISNUMBER(--$D370)), $B370&amp;": "&amp;LEFT($C370,1)&amp;TEXT(--$D370,"00"), IF($I370&lt;&gt;"",$I370,$A370))</f>
        <v/>
      </c>
      <c r="O370">
        <f>IF(AND($C370&lt;&gt;"",ISNUMBER(--$D370)),LEFT($C370,1),"")</f>
        <v/>
      </c>
      <c r="P370">
        <f>IF(ISNUMBER(--$D370),--$D370,"")</f>
        <v/>
      </c>
      <c r="Q370">
        <f>IF(AND($O370&lt;&gt;"",$P370&lt;&gt;""),$O370&amp;TEXT($P370,"00"),"")</f>
        <v/>
      </c>
    </row>
    <row r="371">
      <c r="H371">
        <f>A371</f>
        <v/>
      </c>
      <c r="J371">
        <f>IF($I371&lt;&gt;"",$I371,$A371)</f>
        <v/>
      </c>
      <c r="K371">
        <f>IF($C371="","",IF(LEN($C371)=1,CODE(UPPER($C371))-64,IFERROR(VALUE(MID($C371,2,99)),"")))</f>
        <v/>
      </c>
      <c r="L371">
        <f>IF($D371="","",IFERROR(VALUE($D371),""))</f>
        <v/>
      </c>
      <c r="M371">
        <f>IFERROR(VALUE(MID($A371,FIND("Level",$A371)+5,99)),IF($E371="AISLE_FLOOR",0,IF($E371="OVERFLOW",0,IF($E371="ENDCAP",0,""))))</f>
        <v/>
      </c>
      <c r="N371">
        <f>IF(AND($B371&lt;&gt;"",$C371&lt;&gt;"",ISNUMBER(--$D371)), $B371&amp;": "&amp;LEFT($C371,1)&amp;TEXT(--$D371,"00"), IF($I371&lt;&gt;"",$I371,$A371))</f>
        <v/>
      </c>
      <c r="O371">
        <f>IF(AND($C371&lt;&gt;"",ISNUMBER(--$D371)),LEFT($C371,1),"")</f>
        <v/>
      </c>
      <c r="P371">
        <f>IF(ISNUMBER(--$D371),--$D371,"")</f>
        <v/>
      </c>
      <c r="Q371">
        <f>IF(AND($O371&lt;&gt;"",$P371&lt;&gt;""),$O371&amp;TEXT($P371,"00"),"")</f>
        <v/>
      </c>
    </row>
    <row r="372">
      <c r="H372">
        <f>A372</f>
        <v/>
      </c>
      <c r="J372">
        <f>IF($I372&lt;&gt;"",$I372,$A372)</f>
        <v/>
      </c>
      <c r="K372">
        <f>IF($C372="","",IF(LEN($C372)=1,CODE(UPPER($C372))-64,IFERROR(VALUE(MID($C372,2,99)),"")))</f>
        <v/>
      </c>
      <c r="L372">
        <f>IF($D372="","",IFERROR(VALUE($D372),""))</f>
        <v/>
      </c>
      <c r="M372">
        <f>IFERROR(VALUE(MID($A372,FIND("Level",$A372)+5,99)),IF($E372="AISLE_FLOOR",0,IF($E372="OVERFLOW",0,IF($E372="ENDCAP",0,""))))</f>
        <v/>
      </c>
      <c r="N372">
        <f>IF(AND($B372&lt;&gt;"",$C372&lt;&gt;"",ISNUMBER(--$D372)), $B372&amp;": "&amp;LEFT($C372,1)&amp;TEXT(--$D372,"00"), IF($I372&lt;&gt;"",$I372,$A372))</f>
        <v/>
      </c>
      <c r="O372">
        <f>IF(AND($C372&lt;&gt;"",ISNUMBER(--$D372)),LEFT($C372,1),"")</f>
        <v/>
      </c>
      <c r="P372">
        <f>IF(ISNUMBER(--$D372),--$D372,"")</f>
        <v/>
      </c>
      <c r="Q372">
        <f>IF(AND($O372&lt;&gt;"",$P372&lt;&gt;""),$O372&amp;TEXT($P372,"00"),"")</f>
        <v/>
      </c>
    </row>
    <row r="373">
      <c r="H373">
        <f>A373</f>
        <v/>
      </c>
      <c r="J373">
        <f>IF($I373&lt;&gt;"",$I373,$A373)</f>
        <v/>
      </c>
      <c r="K373">
        <f>IF($C373="","",IF(LEN($C373)=1,CODE(UPPER($C373))-64,IFERROR(VALUE(MID($C373,2,99)),"")))</f>
        <v/>
      </c>
      <c r="L373">
        <f>IF($D373="","",IFERROR(VALUE($D373),""))</f>
        <v/>
      </c>
      <c r="M373">
        <f>IFERROR(VALUE(MID($A373,FIND("Level",$A373)+5,99)),IF($E373="AISLE_FLOOR",0,IF($E373="OVERFLOW",0,IF($E373="ENDCAP",0,""))))</f>
        <v/>
      </c>
      <c r="N373">
        <f>IF(AND($B373&lt;&gt;"",$C373&lt;&gt;"",ISNUMBER(--$D373)), $B373&amp;": "&amp;LEFT($C373,1)&amp;TEXT(--$D373,"00"), IF($I373&lt;&gt;"",$I373,$A373))</f>
        <v/>
      </c>
      <c r="O373">
        <f>IF(AND($C373&lt;&gt;"",ISNUMBER(--$D373)),LEFT($C373,1),"")</f>
        <v/>
      </c>
      <c r="P373">
        <f>IF(ISNUMBER(--$D373),--$D373,"")</f>
        <v/>
      </c>
      <c r="Q373">
        <f>IF(AND($O373&lt;&gt;"",$P373&lt;&gt;""),$O373&amp;TEXT($P373,"00"),"")</f>
        <v/>
      </c>
    </row>
    <row r="374">
      <c r="H374">
        <f>A374</f>
        <v/>
      </c>
      <c r="J374">
        <f>IF($I374&lt;&gt;"",$I374,$A374)</f>
        <v/>
      </c>
      <c r="K374">
        <f>IF($C374="","",IF(LEN($C374)=1,CODE(UPPER($C374))-64,IFERROR(VALUE(MID($C374,2,99)),"")))</f>
        <v/>
      </c>
      <c r="L374">
        <f>IF($D374="","",IFERROR(VALUE($D374),""))</f>
        <v/>
      </c>
      <c r="M374">
        <f>IFERROR(VALUE(MID($A374,FIND("Level",$A374)+5,99)),IF($E374="AISLE_FLOOR",0,IF($E374="OVERFLOW",0,IF($E374="ENDCAP",0,""))))</f>
        <v/>
      </c>
      <c r="N374">
        <f>IF(AND($B374&lt;&gt;"",$C374&lt;&gt;"",ISNUMBER(--$D374)), $B374&amp;": "&amp;LEFT($C374,1)&amp;TEXT(--$D374,"00"), IF($I374&lt;&gt;"",$I374,$A374))</f>
        <v/>
      </c>
      <c r="O374">
        <f>IF(AND($C374&lt;&gt;"",ISNUMBER(--$D374)),LEFT($C374,1),"")</f>
        <v/>
      </c>
      <c r="P374">
        <f>IF(ISNUMBER(--$D374),--$D374,"")</f>
        <v/>
      </c>
      <c r="Q374">
        <f>IF(AND($O374&lt;&gt;"",$P374&lt;&gt;""),$O374&amp;TEXT($P374,"00"),"")</f>
        <v/>
      </c>
    </row>
    <row r="375">
      <c r="H375">
        <f>A375</f>
        <v/>
      </c>
      <c r="J375">
        <f>IF($I375&lt;&gt;"",$I375,$A375)</f>
        <v/>
      </c>
      <c r="K375">
        <f>IF($C375="","",IF(LEN($C375)=1,CODE(UPPER($C375))-64,IFERROR(VALUE(MID($C375,2,99)),"")))</f>
        <v/>
      </c>
      <c r="L375">
        <f>IF($D375="","",IFERROR(VALUE($D375),""))</f>
        <v/>
      </c>
      <c r="M375">
        <f>IFERROR(VALUE(MID($A375,FIND("Level",$A375)+5,99)),IF($E375="AISLE_FLOOR",0,IF($E375="OVERFLOW",0,IF($E375="ENDCAP",0,""))))</f>
        <v/>
      </c>
      <c r="N375">
        <f>IF(AND($B375&lt;&gt;"",$C375&lt;&gt;"",ISNUMBER(--$D375)), $B375&amp;": "&amp;LEFT($C375,1)&amp;TEXT(--$D375,"00"), IF($I375&lt;&gt;"",$I375,$A375))</f>
        <v/>
      </c>
      <c r="O375">
        <f>IF(AND($C375&lt;&gt;"",ISNUMBER(--$D375)),LEFT($C375,1),"")</f>
        <v/>
      </c>
      <c r="P375">
        <f>IF(ISNUMBER(--$D375),--$D375,"")</f>
        <v/>
      </c>
      <c r="Q375">
        <f>IF(AND($O375&lt;&gt;"",$P375&lt;&gt;""),$O375&amp;TEXT($P375,"00"),"")</f>
        <v/>
      </c>
    </row>
    <row r="376">
      <c r="H376">
        <f>A376</f>
        <v/>
      </c>
      <c r="J376">
        <f>IF($I376&lt;&gt;"",$I376,$A376)</f>
        <v/>
      </c>
      <c r="K376">
        <f>IF($C376="","",IF(LEN($C376)=1,CODE(UPPER($C376))-64,IFERROR(VALUE(MID($C376,2,99)),"")))</f>
        <v/>
      </c>
      <c r="L376">
        <f>IF($D376="","",IFERROR(VALUE($D376),""))</f>
        <v/>
      </c>
      <c r="M376">
        <f>IFERROR(VALUE(MID($A376,FIND("Level",$A376)+5,99)),IF($E376="AISLE_FLOOR",0,IF($E376="OVERFLOW",0,IF($E376="ENDCAP",0,""))))</f>
        <v/>
      </c>
      <c r="N376">
        <f>IF(AND($B376&lt;&gt;"",$C376&lt;&gt;"",ISNUMBER(--$D376)), $B376&amp;": "&amp;LEFT($C376,1)&amp;TEXT(--$D376,"00"), IF($I376&lt;&gt;"",$I376,$A376))</f>
        <v/>
      </c>
      <c r="O376">
        <f>IF(AND($C376&lt;&gt;"",ISNUMBER(--$D376)),LEFT($C376,1),"")</f>
        <v/>
      </c>
      <c r="P376">
        <f>IF(ISNUMBER(--$D376),--$D376,"")</f>
        <v/>
      </c>
      <c r="Q376">
        <f>IF(AND($O376&lt;&gt;"",$P376&lt;&gt;""),$O376&amp;TEXT($P376,"00"),"")</f>
        <v/>
      </c>
    </row>
    <row r="377">
      <c r="H377">
        <f>A377</f>
        <v/>
      </c>
      <c r="J377">
        <f>IF($I377&lt;&gt;"",$I377,$A377)</f>
        <v/>
      </c>
      <c r="K377">
        <f>IF($C377="","",IF(LEN($C377)=1,CODE(UPPER($C377))-64,IFERROR(VALUE(MID($C377,2,99)),"")))</f>
        <v/>
      </c>
      <c r="L377">
        <f>IF($D377="","",IFERROR(VALUE($D377),""))</f>
        <v/>
      </c>
      <c r="M377">
        <f>IFERROR(VALUE(MID($A377,FIND("Level",$A377)+5,99)),IF($E377="AISLE_FLOOR",0,IF($E377="OVERFLOW",0,IF($E377="ENDCAP",0,""))))</f>
        <v/>
      </c>
      <c r="N377">
        <f>IF(AND($B377&lt;&gt;"",$C377&lt;&gt;"",ISNUMBER(--$D377)), $B377&amp;": "&amp;LEFT($C377,1)&amp;TEXT(--$D377,"00"), IF($I377&lt;&gt;"",$I377,$A377))</f>
        <v/>
      </c>
      <c r="O377">
        <f>IF(AND($C377&lt;&gt;"",ISNUMBER(--$D377)),LEFT($C377,1),"")</f>
        <v/>
      </c>
      <c r="P377">
        <f>IF(ISNUMBER(--$D377),--$D377,"")</f>
        <v/>
      </c>
      <c r="Q377">
        <f>IF(AND($O377&lt;&gt;"",$P377&lt;&gt;""),$O377&amp;TEXT($P377,"00"),"")</f>
        <v/>
      </c>
    </row>
    <row r="378">
      <c r="H378">
        <f>A378</f>
        <v/>
      </c>
      <c r="J378">
        <f>IF($I378&lt;&gt;"",$I378,$A378)</f>
        <v/>
      </c>
      <c r="K378">
        <f>IF($C378="","",IF(LEN($C378)=1,CODE(UPPER($C378))-64,IFERROR(VALUE(MID($C378,2,99)),"")))</f>
        <v/>
      </c>
      <c r="L378">
        <f>IF($D378="","",IFERROR(VALUE($D378),""))</f>
        <v/>
      </c>
      <c r="M378">
        <f>IFERROR(VALUE(MID($A378,FIND("Level",$A378)+5,99)),IF($E378="AISLE_FLOOR",0,IF($E378="OVERFLOW",0,IF($E378="ENDCAP",0,""))))</f>
        <v/>
      </c>
      <c r="N378">
        <f>IF(AND($B378&lt;&gt;"",$C378&lt;&gt;"",ISNUMBER(--$D378)), $B378&amp;": "&amp;LEFT($C378,1)&amp;TEXT(--$D378,"00"), IF($I378&lt;&gt;"",$I378,$A378))</f>
        <v/>
      </c>
      <c r="O378">
        <f>IF(AND($C378&lt;&gt;"",ISNUMBER(--$D378)),LEFT($C378,1),"")</f>
        <v/>
      </c>
      <c r="P378">
        <f>IF(ISNUMBER(--$D378),--$D378,"")</f>
        <v/>
      </c>
      <c r="Q378">
        <f>IF(AND($O378&lt;&gt;"",$P378&lt;&gt;""),$O378&amp;TEXT($P378,"00"),"")</f>
        <v/>
      </c>
    </row>
    <row r="379">
      <c r="H379">
        <f>A379</f>
        <v/>
      </c>
      <c r="J379">
        <f>IF($I379&lt;&gt;"",$I379,$A379)</f>
        <v/>
      </c>
      <c r="K379">
        <f>IF($C379="","",IF(LEN($C379)=1,CODE(UPPER($C379))-64,IFERROR(VALUE(MID($C379,2,99)),"")))</f>
        <v/>
      </c>
      <c r="L379">
        <f>IF($D379="","",IFERROR(VALUE($D379),""))</f>
        <v/>
      </c>
      <c r="M379">
        <f>IFERROR(VALUE(MID($A379,FIND("Level",$A379)+5,99)),IF($E379="AISLE_FLOOR",0,IF($E379="OVERFLOW",0,IF($E379="ENDCAP",0,""))))</f>
        <v/>
      </c>
      <c r="N379">
        <f>IF(AND($B379&lt;&gt;"",$C379&lt;&gt;"",ISNUMBER(--$D379)), $B379&amp;": "&amp;LEFT($C379,1)&amp;TEXT(--$D379,"00"), IF($I379&lt;&gt;"",$I379,$A379))</f>
        <v/>
      </c>
      <c r="O379">
        <f>IF(AND($C379&lt;&gt;"",ISNUMBER(--$D379)),LEFT($C379,1),"")</f>
        <v/>
      </c>
      <c r="P379">
        <f>IF(ISNUMBER(--$D379),--$D379,"")</f>
        <v/>
      </c>
      <c r="Q379">
        <f>IF(AND($O379&lt;&gt;"",$P379&lt;&gt;""),$O379&amp;TEXT($P379,"00"),"")</f>
        <v/>
      </c>
    </row>
    <row r="380">
      <c r="H380">
        <f>A380</f>
        <v/>
      </c>
      <c r="J380">
        <f>IF($I380&lt;&gt;"",$I380,$A380)</f>
        <v/>
      </c>
      <c r="K380">
        <f>IF($C380="","",IF(LEN($C380)=1,CODE(UPPER($C380))-64,IFERROR(VALUE(MID($C380,2,99)),"")))</f>
        <v/>
      </c>
      <c r="L380">
        <f>IF($D380="","",IFERROR(VALUE($D380),""))</f>
        <v/>
      </c>
      <c r="M380">
        <f>IFERROR(VALUE(MID($A380,FIND("Level",$A380)+5,99)),IF($E380="AISLE_FLOOR",0,IF($E380="OVERFLOW",0,IF($E380="ENDCAP",0,""))))</f>
        <v/>
      </c>
      <c r="N380">
        <f>IF(AND($B380&lt;&gt;"",$C380&lt;&gt;"",ISNUMBER(--$D380)), $B380&amp;": "&amp;LEFT($C380,1)&amp;TEXT(--$D380,"00"), IF($I380&lt;&gt;"",$I380,$A380))</f>
        <v/>
      </c>
      <c r="O380">
        <f>IF(AND($C380&lt;&gt;"",ISNUMBER(--$D380)),LEFT($C380,1),"")</f>
        <v/>
      </c>
      <c r="P380">
        <f>IF(ISNUMBER(--$D380),--$D380,"")</f>
        <v/>
      </c>
      <c r="Q380">
        <f>IF(AND($O380&lt;&gt;"",$P380&lt;&gt;""),$O380&amp;TEXT($P380,"00"),"")</f>
        <v/>
      </c>
    </row>
    <row r="381">
      <c r="H381">
        <f>A381</f>
        <v/>
      </c>
      <c r="J381">
        <f>IF($I381&lt;&gt;"",$I381,$A381)</f>
        <v/>
      </c>
      <c r="K381">
        <f>IF($C381="","",IF(LEN($C381)=1,CODE(UPPER($C381))-64,IFERROR(VALUE(MID($C381,2,99)),"")))</f>
        <v/>
      </c>
      <c r="L381">
        <f>IF($D381="","",IFERROR(VALUE($D381),""))</f>
        <v/>
      </c>
      <c r="M381">
        <f>IFERROR(VALUE(MID($A381,FIND("Level",$A381)+5,99)),IF($E381="AISLE_FLOOR",0,IF($E381="OVERFLOW",0,IF($E381="ENDCAP",0,""))))</f>
        <v/>
      </c>
      <c r="N381">
        <f>IF(AND($B381&lt;&gt;"",$C381&lt;&gt;"",ISNUMBER(--$D381)), $B381&amp;": "&amp;LEFT($C381,1)&amp;TEXT(--$D381,"00"), IF($I381&lt;&gt;"",$I381,$A381))</f>
        <v/>
      </c>
      <c r="O381">
        <f>IF(AND($C381&lt;&gt;"",ISNUMBER(--$D381)),LEFT($C381,1),"")</f>
        <v/>
      </c>
      <c r="P381">
        <f>IF(ISNUMBER(--$D381),--$D381,"")</f>
        <v/>
      </c>
      <c r="Q381">
        <f>IF(AND($O381&lt;&gt;"",$P381&lt;&gt;""),$O381&amp;TEXT($P381,"00"),"")</f>
        <v/>
      </c>
    </row>
    <row r="382">
      <c r="H382">
        <f>A382</f>
        <v/>
      </c>
      <c r="J382">
        <f>IF($I382&lt;&gt;"",$I382,$A382)</f>
        <v/>
      </c>
      <c r="K382">
        <f>IF($C382="","",IF(LEN($C382)=1,CODE(UPPER($C382))-64,IFERROR(VALUE(MID($C382,2,99)),"")))</f>
        <v/>
      </c>
      <c r="L382">
        <f>IF($D382="","",IFERROR(VALUE($D382),""))</f>
        <v/>
      </c>
      <c r="M382">
        <f>IFERROR(VALUE(MID($A382,FIND("Level",$A382)+5,99)),IF($E382="AISLE_FLOOR",0,IF($E382="OVERFLOW",0,IF($E382="ENDCAP",0,""))))</f>
        <v/>
      </c>
      <c r="N382">
        <f>IF(AND($B382&lt;&gt;"",$C382&lt;&gt;"",ISNUMBER(--$D382)), $B382&amp;": "&amp;LEFT($C382,1)&amp;TEXT(--$D382,"00"), IF($I382&lt;&gt;"",$I382,$A382))</f>
        <v/>
      </c>
      <c r="O382">
        <f>IF(AND($C382&lt;&gt;"",ISNUMBER(--$D382)),LEFT($C382,1),"")</f>
        <v/>
      </c>
      <c r="P382">
        <f>IF(ISNUMBER(--$D382),--$D382,"")</f>
        <v/>
      </c>
      <c r="Q382">
        <f>IF(AND($O382&lt;&gt;"",$P382&lt;&gt;""),$O382&amp;TEXT($P382,"00"),"")</f>
        <v/>
      </c>
    </row>
    <row r="383">
      <c r="H383">
        <f>A383</f>
        <v/>
      </c>
      <c r="J383">
        <f>IF($I383&lt;&gt;"",$I383,$A383)</f>
        <v/>
      </c>
      <c r="K383">
        <f>IF($C383="","",IF(LEN($C383)=1,CODE(UPPER($C383))-64,IFERROR(VALUE(MID($C383,2,99)),"")))</f>
        <v/>
      </c>
      <c r="L383">
        <f>IF($D383="","",IFERROR(VALUE($D383),""))</f>
        <v/>
      </c>
      <c r="M383">
        <f>IFERROR(VALUE(MID($A383,FIND("Level",$A383)+5,99)),IF($E383="AISLE_FLOOR",0,IF($E383="OVERFLOW",0,IF($E383="ENDCAP",0,""))))</f>
        <v/>
      </c>
      <c r="N383">
        <f>IF(AND($B383&lt;&gt;"",$C383&lt;&gt;"",ISNUMBER(--$D383)), $B383&amp;": "&amp;LEFT($C383,1)&amp;TEXT(--$D383,"00"), IF($I383&lt;&gt;"",$I383,$A383))</f>
        <v/>
      </c>
      <c r="O383">
        <f>IF(AND($C383&lt;&gt;"",ISNUMBER(--$D383)),LEFT($C383,1),"")</f>
        <v/>
      </c>
      <c r="P383">
        <f>IF(ISNUMBER(--$D383),--$D383,"")</f>
        <v/>
      </c>
      <c r="Q383">
        <f>IF(AND($O383&lt;&gt;"",$P383&lt;&gt;""),$O383&amp;TEXT($P383,"00"),"")</f>
        <v/>
      </c>
    </row>
    <row r="384">
      <c r="H384">
        <f>A384</f>
        <v/>
      </c>
      <c r="J384">
        <f>IF($I384&lt;&gt;"",$I384,$A384)</f>
        <v/>
      </c>
      <c r="K384">
        <f>IF($C384="","",IF(LEN($C384)=1,CODE(UPPER($C384))-64,IFERROR(VALUE(MID($C384,2,99)),"")))</f>
        <v/>
      </c>
      <c r="L384">
        <f>IF($D384="","",IFERROR(VALUE($D384),""))</f>
        <v/>
      </c>
      <c r="M384">
        <f>IFERROR(VALUE(MID($A384,FIND("Level",$A384)+5,99)),IF($E384="AISLE_FLOOR",0,IF($E384="OVERFLOW",0,IF($E384="ENDCAP",0,""))))</f>
        <v/>
      </c>
      <c r="N384">
        <f>IF(AND($B384&lt;&gt;"",$C384&lt;&gt;"",ISNUMBER(--$D384)), $B384&amp;": "&amp;LEFT($C384,1)&amp;TEXT(--$D384,"00"), IF($I384&lt;&gt;"",$I384,$A384))</f>
        <v/>
      </c>
      <c r="O384">
        <f>IF(AND($C384&lt;&gt;"",ISNUMBER(--$D384)),LEFT($C384,1),"")</f>
        <v/>
      </c>
      <c r="P384">
        <f>IF(ISNUMBER(--$D384),--$D384,"")</f>
        <v/>
      </c>
      <c r="Q384">
        <f>IF(AND($O384&lt;&gt;"",$P384&lt;&gt;""),$O384&amp;TEXT($P384,"00"),"")</f>
        <v/>
      </c>
    </row>
    <row r="385">
      <c r="H385">
        <f>A385</f>
        <v/>
      </c>
      <c r="J385">
        <f>IF($I385&lt;&gt;"",$I385,$A385)</f>
        <v/>
      </c>
      <c r="K385">
        <f>IF($C385="","",IF(LEN($C385)=1,CODE(UPPER($C385))-64,IFERROR(VALUE(MID($C385,2,99)),"")))</f>
        <v/>
      </c>
      <c r="L385">
        <f>IF($D385="","",IFERROR(VALUE($D385),""))</f>
        <v/>
      </c>
      <c r="M385">
        <f>IFERROR(VALUE(MID($A385,FIND("Level",$A385)+5,99)),IF($E385="AISLE_FLOOR",0,IF($E385="OVERFLOW",0,IF($E385="ENDCAP",0,""))))</f>
        <v/>
      </c>
      <c r="N385">
        <f>IF(AND($B385&lt;&gt;"",$C385&lt;&gt;"",ISNUMBER(--$D385)), $B385&amp;": "&amp;LEFT($C385,1)&amp;TEXT(--$D385,"00"), IF($I385&lt;&gt;"",$I385,$A385))</f>
        <v/>
      </c>
      <c r="O385">
        <f>IF(AND($C385&lt;&gt;"",ISNUMBER(--$D385)),LEFT($C385,1),"")</f>
        <v/>
      </c>
      <c r="P385">
        <f>IF(ISNUMBER(--$D385),--$D385,"")</f>
        <v/>
      </c>
      <c r="Q385">
        <f>IF(AND($O385&lt;&gt;"",$P385&lt;&gt;""),$O385&amp;TEXT($P385,"00"),"")</f>
        <v/>
      </c>
    </row>
    <row r="386">
      <c r="H386">
        <f>A386</f>
        <v/>
      </c>
      <c r="J386">
        <f>IF($I386&lt;&gt;"",$I386,$A386)</f>
        <v/>
      </c>
      <c r="K386">
        <f>IF($C386="","",IF(LEN($C386)=1,CODE(UPPER($C386))-64,IFERROR(VALUE(MID($C386,2,99)),"")))</f>
        <v/>
      </c>
      <c r="L386">
        <f>IF($D386="","",IFERROR(VALUE($D386),""))</f>
        <v/>
      </c>
      <c r="M386">
        <f>IFERROR(VALUE(MID($A386,FIND("Level",$A386)+5,99)),IF($E386="AISLE_FLOOR",0,IF($E386="OVERFLOW",0,IF($E386="ENDCAP",0,""))))</f>
        <v/>
      </c>
      <c r="N386">
        <f>IF(AND($B386&lt;&gt;"",$C386&lt;&gt;"",ISNUMBER(--$D386)), $B386&amp;": "&amp;LEFT($C386,1)&amp;TEXT(--$D386,"00"), IF($I386&lt;&gt;"",$I386,$A386))</f>
        <v/>
      </c>
      <c r="O386">
        <f>IF(AND($C386&lt;&gt;"",ISNUMBER(--$D386)),LEFT($C386,1),"")</f>
        <v/>
      </c>
      <c r="P386">
        <f>IF(ISNUMBER(--$D386),--$D386,"")</f>
        <v/>
      </c>
      <c r="Q386">
        <f>IF(AND($O386&lt;&gt;"",$P386&lt;&gt;""),$O386&amp;TEXT($P386,"00"),"")</f>
        <v/>
      </c>
    </row>
    <row r="387">
      <c r="H387">
        <f>A387</f>
        <v/>
      </c>
      <c r="J387">
        <f>IF($I387&lt;&gt;"",$I387,$A387)</f>
        <v/>
      </c>
      <c r="K387">
        <f>IF($C387="","",IF(LEN($C387)=1,CODE(UPPER($C387))-64,IFERROR(VALUE(MID($C387,2,99)),"")))</f>
        <v/>
      </c>
      <c r="L387">
        <f>IF($D387="","",IFERROR(VALUE($D387),""))</f>
        <v/>
      </c>
      <c r="M387">
        <f>IFERROR(VALUE(MID($A387,FIND("Level",$A387)+5,99)),IF($E387="AISLE_FLOOR",0,IF($E387="OVERFLOW",0,IF($E387="ENDCAP",0,""))))</f>
        <v/>
      </c>
      <c r="N387">
        <f>IF(AND($B387&lt;&gt;"",$C387&lt;&gt;"",ISNUMBER(--$D387)), $B387&amp;": "&amp;LEFT($C387,1)&amp;TEXT(--$D387,"00"), IF($I387&lt;&gt;"",$I387,$A387))</f>
        <v/>
      </c>
      <c r="O387">
        <f>IF(AND($C387&lt;&gt;"",ISNUMBER(--$D387)),LEFT($C387,1),"")</f>
        <v/>
      </c>
      <c r="P387">
        <f>IF(ISNUMBER(--$D387),--$D387,"")</f>
        <v/>
      </c>
      <c r="Q387">
        <f>IF(AND($O387&lt;&gt;"",$P387&lt;&gt;""),$O387&amp;TEXT($P387,"00"),"")</f>
        <v/>
      </c>
    </row>
    <row r="388">
      <c r="H388">
        <f>A388</f>
        <v/>
      </c>
      <c r="J388">
        <f>IF($I388&lt;&gt;"",$I388,$A388)</f>
        <v/>
      </c>
      <c r="K388">
        <f>IF($C388="","",IF(LEN($C388)=1,CODE(UPPER($C388))-64,IFERROR(VALUE(MID($C388,2,99)),"")))</f>
        <v/>
      </c>
      <c r="L388">
        <f>IF($D388="","",IFERROR(VALUE($D388),""))</f>
        <v/>
      </c>
      <c r="M388">
        <f>IFERROR(VALUE(MID($A388,FIND("Level",$A388)+5,99)),IF($E388="AISLE_FLOOR",0,IF($E388="OVERFLOW",0,IF($E388="ENDCAP",0,""))))</f>
        <v/>
      </c>
      <c r="N388">
        <f>IF(AND($B388&lt;&gt;"",$C388&lt;&gt;"",ISNUMBER(--$D388)), $B388&amp;": "&amp;LEFT($C388,1)&amp;TEXT(--$D388,"00"), IF($I388&lt;&gt;"",$I388,$A388))</f>
        <v/>
      </c>
      <c r="O388">
        <f>IF(AND($C388&lt;&gt;"",ISNUMBER(--$D388)),LEFT($C388,1),"")</f>
        <v/>
      </c>
      <c r="P388">
        <f>IF(ISNUMBER(--$D388),--$D388,"")</f>
        <v/>
      </c>
      <c r="Q388">
        <f>IF(AND($O388&lt;&gt;"",$P388&lt;&gt;""),$O388&amp;TEXT($P388,"00"),"")</f>
        <v/>
      </c>
    </row>
    <row r="389">
      <c r="H389">
        <f>A389</f>
        <v/>
      </c>
      <c r="J389">
        <f>IF($I389&lt;&gt;"",$I389,$A389)</f>
        <v/>
      </c>
      <c r="K389">
        <f>IF($C389="","",IF(LEN($C389)=1,CODE(UPPER($C389))-64,IFERROR(VALUE(MID($C389,2,99)),"")))</f>
        <v/>
      </c>
      <c r="L389">
        <f>IF($D389="","",IFERROR(VALUE($D389),""))</f>
        <v/>
      </c>
      <c r="M389">
        <f>IFERROR(VALUE(MID($A389,FIND("Level",$A389)+5,99)),IF($E389="AISLE_FLOOR",0,IF($E389="OVERFLOW",0,IF($E389="ENDCAP",0,""))))</f>
        <v/>
      </c>
      <c r="N389">
        <f>IF(AND($B389&lt;&gt;"",$C389&lt;&gt;"",ISNUMBER(--$D389)), $B389&amp;": "&amp;LEFT($C389,1)&amp;TEXT(--$D389,"00"), IF($I389&lt;&gt;"",$I389,$A389))</f>
        <v/>
      </c>
      <c r="O389">
        <f>IF(AND($C389&lt;&gt;"",ISNUMBER(--$D389)),LEFT($C389,1),"")</f>
        <v/>
      </c>
      <c r="P389">
        <f>IF(ISNUMBER(--$D389),--$D389,"")</f>
        <v/>
      </c>
      <c r="Q389">
        <f>IF(AND($O389&lt;&gt;"",$P389&lt;&gt;""),$O389&amp;TEXT($P389,"00"),"")</f>
        <v/>
      </c>
    </row>
    <row r="390">
      <c r="H390">
        <f>A390</f>
        <v/>
      </c>
      <c r="J390">
        <f>IF($I390&lt;&gt;"",$I390,$A390)</f>
        <v/>
      </c>
      <c r="K390">
        <f>IF($C390="","",IF(LEN($C390)=1,CODE(UPPER($C390))-64,IFERROR(VALUE(MID($C390,2,99)),"")))</f>
        <v/>
      </c>
      <c r="L390">
        <f>IF($D390="","",IFERROR(VALUE($D390),""))</f>
        <v/>
      </c>
      <c r="M390">
        <f>IFERROR(VALUE(MID($A390,FIND("Level",$A390)+5,99)),IF($E390="AISLE_FLOOR",0,IF($E390="OVERFLOW",0,IF($E390="ENDCAP",0,""))))</f>
        <v/>
      </c>
      <c r="N390">
        <f>IF(AND($B390&lt;&gt;"",$C390&lt;&gt;"",ISNUMBER(--$D390)), $B390&amp;": "&amp;LEFT($C390,1)&amp;TEXT(--$D390,"00"), IF($I390&lt;&gt;"",$I390,$A390))</f>
        <v/>
      </c>
      <c r="O390">
        <f>IF(AND($C390&lt;&gt;"",ISNUMBER(--$D390)),LEFT($C390,1),"")</f>
        <v/>
      </c>
      <c r="P390">
        <f>IF(ISNUMBER(--$D390),--$D390,"")</f>
        <v/>
      </c>
      <c r="Q390">
        <f>IF(AND($O390&lt;&gt;"",$P390&lt;&gt;""),$O390&amp;TEXT($P390,"00"),"")</f>
        <v/>
      </c>
    </row>
    <row r="391">
      <c r="H391">
        <f>A391</f>
        <v/>
      </c>
      <c r="J391">
        <f>IF($I391&lt;&gt;"",$I391,$A391)</f>
        <v/>
      </c>
      <c r="K391">
        <f>IF($C391="","",IF(LEN($C391)=1,CODE(UPPER($C391))-64,IFERROR(VALUE(MID($C391,2,99)),"")))</f>
        <v/>
      </c>
      <c r="L391">
        <f>IF($D391="","",IFERROR(VALUE($D391),""))</f>
        <v/>
      </c>
      <c r="M391">
        <f>IFERROR(VALUE(MID($A391,FIND("Level",$A391)+5,99)),IF($E391="AISLE_FLOOR",0,IF($E391="OVERFLOW",0,IF($E391="ENDCAP",0,""))))</f>
        <v/>
      </c>
      <c r="N391">
        <f>IF(AND($B391&lt;&gt;"",$C391&lt;&gt;"",ISNUMBER(--$D391)), $B391&amp;": "&amp;LEFT($C391,1)&amp;TEXT(--$D391,"00"), IF($I391&lt;&gt;"",$I391,$A391))</f>
        <v/>
      </c>
      <c r="O391">
        <f>IF(AND($C391&lt;&gt;"",ISNUMBER(--$D391)),LEFT($C391,1),"")</f>
        <v/>
      </c>
      <c r="P391">
        <f>IF(ISNUMBER(--$D391),--$D391,"")</f>
        <v/>
      </c>
      <c r="Q391">
        <f>IF(AND($O391&lt;&gt;"",$P391&lt;&gt;""),$O391&amp;TEXT($P391,"00"),"")</f>
        <v/>
      </c>
    </row>
    <row r="392">
      <c r="H392">
        <f>A392</f>
        <v/>
      </c>
      <c r="J392">
        <f>IF($I392&lt;&gt;"",$I392,$A392)</f>
        <v/>
      </c>
      <c r="K392">
        <f>IF($C392="","",IF(LEN($C392)=1,CODE(UPPER($C392))-64,IFERROR(VALUE(MID($C392,2,99)),"")))</f>
        <v/>
      </c>
      <c r="L392">
        <f>IF($D392="","",IFERROR(VALUE($D392),""))</f>
        <v/>
      </c>
      <c r="M392">
        <f>IFERROR(VALUE(MID($A392,FIND("Level",$A392)+5,99)),IF($E392="AISLE_FLOOR",0,IF($E392="OVERFLOW",0,IF($E392="ENDCAP",0,""))))</f>
        <v/>
      </c>
      <c r="N392">
        <f>IF(AND($B392&lt;&gt;"",$C392&lt;&gt;"",ISNUMBER(--$D392)), $B392&amp;": "&amp;LEFT($C392,1)&amp;TEXT(--$D392,"00"), IF($I392&lt;&gt;"",$I392,$A392))</f>
        <v/>
      </c>
      <c r="O392">
        <f>IF(AND($C392&lt;&gt;"",ISNUMBER(--$D392)),LEFT($C392,1),"")</f>
        <v/>
      </c>
      <c r="P392">
        <f>IF(ISNUMBER(--$D392),--$D392,"")</f>
        <v/>
      </c>
      <c r="Q392">
        <f>IF(AND($O392&lt;&gt;"",$P392&lt;&gt;""),$O392&amp;TEXT($P392,"00"),"")</f>
        <v/>
      </c>
    </row>
    <row r="393">
      <c r="H393">
        <f>A393</f>
        <v/>
      </c>
      <c r="J393">
        <f>IF($I393&lt;&gt;"",$I393,$A393)</f>
        <v/>
      </c>
      <c r="K393">
        <f>IF($C393="","",IF(LEN($C393)=1,CODE(UPPER($C393))-64,IFERROR(VALUE(MID($C393,2,99)),"")))</f>
        <v/>
      </c>
      <c r="L393">
        <f>IF($D393="","",IFERROR(VALUE($D393),""))</f>
        <v/>
      </c>
      <c r="M393">
        <f>IFERROR(VALUE(MID($A393,FIND("Level",$A393)+5,99)),IF($E393="AISLE_FLOOR",0,IF($E393="OVERFLOW",0,IF($E393="ENDCAP",0,""))))</f>
        <v/>
      </c>
      <c r="N393">
        <f>IF(AND($B393&lt;&gt;"",$C393&lt;&gt;"",ISNUMBER(--$D393)), $B393&amp;": "&amp;LEFT($C393,1)&amp;TEXT(--$D393,"00"), IF($I393&lt;&gt;"",$I393,$A393))</f>
        <v/>
      </c>
      <c r="O393">
        <f>IF(AND($C393&lt;&gt;"",ISNUMBER(--$D393)),LEFT($C393,1),"")</f>
        <v/>
      </c>
      <c r="P393">
        <f>IF(ISNUMBER(--$D393),--$D393,"")</f>
        <v/>
      </c>
      <c r="Q393">
        <f>IF(AND($O393&lt;&gt;"",$P393&lt;&gt;""),$O393&amp;TEXT($P393,"00"),"")</f>
        <v/>
      </c>
    </row>
    <row r="394">
      <c r="H394">
        <f>A394</f>
        <v/>
      </c>
      <c r="J394">
        <f>IF($I394&lt;&gt;"",$I394,$A394)</f>
        <v/>
      </c>
      <c r="K394">
        <f>IF($C394="","",IF(LEN($C394)=1,CODE(UPPER($C394))-64,IFERROR(VALUE(MID($C394,2,99)),"")))</f>
        <v/>
      </c>
      <c r="L394">
        <f>IF($D394="","",IFERROR(VALUE($D394),""))</f>
        <v/>
      </c>
      <c r="M394">
        <f>IFERROR(VALUE(MID($A394,FIND("Level",$A394)+5,99)),IF($E394="AISLE_FLOOR",0,IF($E394="OVERFLOW",0,IF($E394="ENDCAP",0,""))))</f>
        <v/>
      </c>
      <c r="N394">
        <f>IF(AND($B394&lt;&gt;"",$C394&lt;&gt;"",ISNUMBER(--$D394)), $B394&amp;": "&amp;LEFT($C394,1)&amp;TEXT(--$D394,"00"), IF($I394&lt;&gt;"",$I394,$A394))</f>
        <v/>
      </c>
      <c r="O394">
        <f>IF(AND($C394&lt;&gt;"",ISNUMBER(--$D394)),LEFT($C394,1),"")</f>
        <v/>
      </c>
      <c r="P394">
        <f>IF(ISNUMBER(--$D394),--$D394,"")</f>
        <v/>
      </c>
      <c r="Q394">
        <f>IF(AND($O394&lt;&gt;"",$P394&lt;&gt;""),$O394&amp;TEXT($P394,"00"),"")</f>
        <v/>
      </c>
    </row>
    <row r="395">
      <c r="H395">
        <f>A395</f>
        <v/>
      </c>
      <c r="J395">
        <f>IF($I395&lt;&gt;"",$I395,$A395)</f>
        <v/>
      </c>
      <c r="K395">
        <f>IF($C395="","",IF(LEN($C395)=1,CODE(UPPER($C395))-64,IFERROR(VALUE(MID($C395,2,99)),"")))</f>
        <v/>
      </c>
      <c r="L395">
        <f>IF($D395="","",IFERROR(VALUE($D395),""))</f>
        <v/>
      </c>
      <c r="M395">
        <f>IFERROR(VALUE(MID($A395,FIND("Level",$A395)+5,99)),IF($E395="AISLE_FLOOR",0,IF($E395="OVERFLOW",0,IF($E395="ENDCAP",0,""))))</f>
        <v/>
      </c>
      <c r="N395">
        <f>IF(AND($B395&lt;&gt;"",$C395&lt;&gt;"",ISNUMBER(--$D395)), $B395&amp;": "&amp;LEFT($C395,1)&amp;TEXT(--$D395,"00"), IF($I395&lt;&gt;"",$I395,$A395))</f>
        <v/>
      </c>
      <c r="O395">
        <f>IF(AND($C395&lt;&gt;"",ISNUMBER(--$D395)),LEFT($C395,1),"")</f>
        <v/>
      </c>
      <c r="P395">
        <f>IF(ISNUMBER(--$D395),--$D395,"")</f>
        <v/>
      </c>
      <c r="Q395">
        <f>IF(AND($O395&lt;&gt;"",$P395&lt;&gt;""),$O395&amp;TEXT($P395,"00"),"")</f>
        <v/>
      </c>
    </row>
    <row r="396">
      <c r="H396">
        <f>A396</f>
        <v/>
      </c>
      <c r="J396">
        <f>IF($I396&lt;&gt;"",$I396,$A396)</f>
        <v/>
      </c>
      <c r="K396">
        <f>IF($C396="","",IF(LEN($C396)=1,CODE(UPPER($C396))-64,IFERROR(VALUE(MID($C396,2,99)),"")))</f>
        <v/>
      </c>
      <c r="L396">
        <f>IF($D396="","",IFERROR(VALUE($D396),""))</f>
        <v/>
      </c>
      <c r="M396">
        <f>IFERROR(VALUE(MID($A396,FIND("Level",$A396)+5,99)),IF($E396="AISLE_FLOOR",0,IF($E396="OVERFLOW",0,IF($E396="ENDCAP",0,""))))</f>
        <v/>
      </c>
      <c r="N396">
        <f>IF(AND($B396&lt;&gt;"",$C396&lt;&gt;"",ISNUMBER(--$D396)), $B396&amp;": "&amp;LEFT($C396,1)&amp;TEXT(--$D396,"00"), IF($I396&lt;&gt;"",$I396,$A396))</f>
        <v/>
      </c>
      <c r="O396">
        <f>IF(AND($C396&lt;&gt;"",ISNUMBER(--$D396)),LEFT($C396,1),"")</f>
        <v/>
      </c>
      <c r="P396">
        <f>IF(ISNUMBER(--$D396),--$D396,"")</f>
        <v/>
      </c>
      <c r="Q396">
        <f>IF(AND($O396&lt;&gt;"",$P396&lt;&gt;""),$O396&amp;TEXT($P396,"00"),"")</f>
        <v/>
      </c>
    </row>
    <row r="397">
      <c r="H397">
        <f>A397</f>
        <v/>
      </c>
      <c r="J397">
        <f>IF($I397&lt;&gt;"",$I397,$A397)</f>
        <v/>
      </c>
      <c r="K397">
        <f>IF($C397="","",IF(LEN($C397)=1,CODE(UPPER($C397))-64,IFERROR(VALUE(MID($C397,2,99)),"")))</f>
        <v/>
      </c>
      <c r="L397">
        <f>IF($D397="","",IFERROR(VALUE($D397),""))</f>
        <v/>
      </c>
      <c r="M397">
        <f>IFERROR(VALUE(MID($A397,FIND("Level",$A397)+5,99)),IF($E397="AISLE_FLOOR",0,IF($E397="OVERFLOW",0,IF($E397="ENDCAP",0,""))))</f>
        <v/>
      </c>
      <c r="N397">
        <f>IF(AND($B397&lt;&gt;"",$C397&lt;&gt;"",ISNUMBER(--$D397)), $B397&amp;": "&amp;LEFT($C397,1)&amp;TEXT(--$D397,"00"), IF($I397&lt;&gt;"",$I397,$A397))</f>
        <v/>
      </c>
      <c r="O397">
        <f>IF(AND($C397&lt;&gt;"",ISNUMBER(--$D397)),LEFT($C397,1),"")</f>
        <v/>
      </c>
      <c r="P397">
        <f>IF(ISNUMBER(--$D397),--$D397,"")</f>
        <v/>
      </c>
      <c r="Q397">
        <f>IF(AND($O397&lt;&gt;"",$P397&lt;&gt;""),$O397&amp;TEXT($P397,"00"),"")</f>
        <v/>
      </c>
    </row>
    <row r="398">
      <c r="H398">
        <f>A398</f>
        <v/>
      </c>
      <c r="J398">
        <f>IF($I398&lt;&gt;"",$I398,$A398)</f>
        <v/>
      </c>
      <c r="K398">
        <f>IF($C398="","",IF(LEN($C398)=1,CODE(UPPER($C398))-64,IFERROR(VALUE(MID($C398,2,99)),"")))</f>
        <v/>
      </c>
      <c r="L398">
        <f>IF($D398="","",IFERROR(VALUE($D398),""))</f>
        <v/>
      </c>
      <c r="M398">
        <f>IFERROR(VALUE(MID($A398,FIND("Level",$A398)+5,99)),IF($E398="AISLE_FLOOR",0,IF($E398="OVERFLOW",0,IF($E398="ENDCAP",0,""))))</f>
        <v/>
      </c>
      <c r="N398">
        <f>IF(AND($B398&lt;&gt;"",$C398&lt;&gt;"",ISNUMBER(--$D398)), $B398&amp;": "&amp;LEFT($C398,1)&amp;TEXT(--$D398,"00"), IF($I398&lt;&gt;"",$I398,$A398))</f>
        <v/>
      </c>
      <c r="O398">
        <f>IF(AND($C398&lt;&gt;"",ISNUMBER(--$D398)),LEFT($C398,1),"")</f>
        <v/>
      </c>
      <c r="P398">
        <f>IF(ISNUMBER(--$D398),--$D398,"")</f>
        <v/>
      </c>
      <c r="Q398">
        <f>IF(AND($O398&lt;&gt;"",$P398&lt;&gt;""),$O398&amp;TEXT($P398,"00"),"")</f>
        <v/>
      </c>
    </row>
    <row r="399">
      <c r="H399">
        <f>A399</f>
        <v/>
      </c>
      <c r="J399">
        <f>IF($I399&lt;&gt;"",$I399,$A399)</f>
        <v/>
      </c>
      <c r="K399">
        <f>IF($C399="","",IF(LEN($C399)=1,CODE(UPPER($C399))-64,IFERROR(VALUE(MID($C399,2,99)),"")))</f>
        <v/>
      </c>
      <c r="L399">
        <f>IF($D399="","",IFERROR(VALUE($D399),""))</f>
        <v/>
      </c>
      <c r="M399">
        <f>IFERROR(VALUE(MID($A399,FIND("Level",$A399)+5,99)),IF($E399="AISLE_FLOOR",0,IF($E399="OVERFLOW",0,IF($E399="ENDCAP",0,""))))</f>
        <v/>
      </c>
      <c r="N399">
        <f>IF(AND($B399&lt;&gt;"",$C399&lt;&gt;"",ISNUMBER(--$D399)), $B399&amp;": "&amp;LEFT($C399,1)&amp;TEXT(--$D399,"00"), IF($I399&lt;&gt;"",$I399,$A399))</f>
        <v/>
      </c>
      <c r="O399">
        <f>IF(AND($C399&lt;&gt;"",ISNUMBER(--$D399)),LEFT($C399,1),"")</f>
        <v/>
      </c>
      <c r="P399">
        <f>IF(ISNUMBER(--$D399),--$D399,"")</f>
        <v/>
      </c>
      <c r="Q399">
        <f>IF(AND($O399&lt;&gt;"",$P399&lt;&gt;""),$O399&amp;TEXT($P399,"00"),"")</f>
        <v/>
      </c>
    </row>
    <row r="400">
      <c r="H400">
        <f>A400</f>
        <v/>
      </c>
      <c r="J400">
        <f>IF($I400&lt;&gt;"",$I400,$A400)</f>
        <v/>
      </c>
      <c r="K400">
        <f>IF($C400="","",IF(LEN($C400)=1,CODE(UPPER($C400))-64,IFERROR(VALUE(MID($C400,2,99)),"")))</f>
        <v/>
      </c>
      <c r="L400">
        <f>IF($D400="","",IFERROR(VALUE($D400),""))</f>
        <v/>
      </c>
      <c r="M400">
        <f>IFERROR(VALUE(MID($A400,FIND("Level",$A400)+5,99)),IF($E400="AISLE_FLOOR",0,IF($E400="OVERFLOW",0,IF($E400="ENDCAP",0,""))))</f>
        <v/>
      </c>
      <c r="N400">
        <f>IF(AND($B400&lt;&gt;"",$C400&lt;&gt;"",ISNUMBER(--$D400)), $B400&amp;": "&amp;LEFT($C400,1)&amp;TEXT(--$D400,"00"), IF($I400&lt;&gt;"",$I400,$A400))</f>
        <v/>
      </c>
      <c r="O400">
        <f>IF(AND($C400&lt;&gt;"",ISNUMBER(--$D400)),LEFT($C400,1),"")</f>
        <v/>
      </c>
      <c r="P400">
        <f>IF(ISNUMBER(--$D400),--$D400,"")</f>
        <v/>
      </c>
      <c r="Q400">
        <f>IF(AND($O400&lt;&gt;"",$P400&lt;&gt;""),$O400&amp;TEXT($P400,"00"),"")</f>
        <v/>
      </c>
    </row>
    <row r="401">
      <c r="H401">
        <f>A401</f>
        <v/>
      </c>
      <c r="J401">
        <f>IF($I401&lt;&gt;"",$I401,$A401)</f>
        <v/>
      </c>
      <c r="K401">
        <f>IF($C401="","",IF(LEN($C401)=1,CODE(UPPER($C401))-64,IFERROR(VALUE(MID($C401,2,99)),"")))</f>
        <v/>
      </c>
      <c r="L401">
        <f>IF($D401="","",IFERROR(VALUE($D401),""))</f>
        <v/>
      </c>
      <c r="M401">
        <f>IFERROR(VALUE(MID($A401,FIND("Level",$A401)+5,99)),IF($E401="AISLE_FLOOR",0,IF($E401="OVERFLOW",0,IF($E401="ENDCAP",0,""))))</f>
        <v/>
      </c>
      <c r="N401">
        <f>IF(AND($B401&lt;&gt;"",$C401&lt;&gt;"",ISNUMBER(--$D401)), $B401&amp;": "&amp;LEFT($C401,1)&amp;TEXT(--$D401,"00"), IF($I401&lt;&gt;"",$I401,$A401))</f>
        <v/>
      </c>
      <c r="O401">
        <f>IF(AND($C401&lt;&gt;"",ISNUMBER(--$D401)),LEFT($C401,1),"")</f>
        <v/>
      </c>
      <c r="P401">
        <f>IF(ISNUMBER(--$D401),--$D401,"")</f>
        <v/>
      </c>
      <c r="Q401">
        <f>IF(AND($O401&lt;&gt;"",$P401&lt;&gt;""),$O401&amp;TEXT($P401,"00"),"")</f>
        <v/>
      </c>
    </row>
    <row r="402">
      <c r="H402">
        <f>A402</f>
        <v/>
      </c>
      <c r="J402">
        <f>IF($I402&lt;&gt;"",$I402,$A402)</f>
        <v/>
      </c>
      <c r="K402">
        <f>IF($C402="","",IF(LEN($C402)=1,CODE(UPPER($C402))-64,IFERROR(VALUE(MID($C402,2,99)),"")))</f>
        <v/>
      </c>
      <c r="L402">
        <f>IF($D402="","",IFERROR(VALUE($D402),""))</f>
        <v/>
      </c>
      <c r="M402">
        <f>IFERROR(VALUE(MID($A402,FIND("Level",$A402)+5,99)),IF($E402="AISLE_FLOOR",0,IF($E402="OVERFLOW",0,IF($E402="ENDCAP",0,""))))</f>
        <v/>
      </c>
      <c r="N402">
        <f>IF(AND($B402&lt;&gt;"",$C402&lt;&gt;"",ISNUMBER(--$D402)), $B402&amp;": "&amp;LEFT($C402,1)&amp;TEXT(--$D402,"00"), IF($I402&lt;&gt;"",$I402,$A402))</f>
        <v/>
      </c>
      <c r="O402">
        <f>IF(AND($C402&lt;&gt;"",ISNUMBER(--$D402)),LEFT($C402,1),"")</f>
        <v/>
      </c>
      <c r="P402">
        <f>IF(ISNUMBER(--$D402),--$D402,"")</f>
        <v/>
      </c>
      <c r="Q402">
        <f>IF(AND($O402&lt;&gt;"",$P402&lt;&gt;""),$O402&amp;TEXT($P402,"00"),"")</f>
        <v/>
      </c>
    </row>
    <row r="403">
      <c r="H403">
        <f>A403</f>
        <v/>
      </c>
      <c r="J403">
        <f>IF($I403&lt;&gt;"",$I403,$A403)</f>
        <v/>
      </c>
      <c r="K403">
        <f>IF($C403="","",IF(LEN($C403)=1,CODE(UPPER($C403))-64,IFERROR(VALUE(MID($C403,2,99)),"")))</f>
        <v/>
      </c>
      <c r="L403">
        <f>IF($D403="","",IFERROR(VALUE($D403),""))</f>
        <v/>
      </c>
      <c r="M403">
        <f>IFERROR(VALUE(MID($A403,FIND("Level",$A403)+5,99)),IF($E403="AISLE_FLOOR",0,IF($E403="OVERFLOW",0,IF($E403="ENDCAP",0,""))))</f>
        <v/>
      </c>
      <c r="N403">
        <f>IF(AND($B403&lt;&gt;"",$C403&lt;&gt;"",ISNUMBER(--$D403)), $B403&amp;": "&amp;LEFT($C403,1)&amp;TEXT(--$D403,"00"), IF($I403&lt;&gt;"",$I403,$A403))</f>
        <v/>
      </c>
      <c r="O403">
        <f>IF(AND($C403&lt;&gt;"",ISNUMBER(--$D403)),LEFT($C403,1),"")</f>
        <v/>
      </c>
      <c r="P403">
        <f>IF(ISNUMBER(--$D403),--$D403,"")</f>
        <v/>
      </c>
      <c r="Q403">
        <f>IF(AND($O403&lt;&gt;"",$P403&lt;&gt;""),$O403&amp;TEXT($P403,"00"),"")</f>
        <v/>
      </c>
    </row>
    <row r="404">
      <c r="H404">
        <f>A404</f>
        <v/>
      </c>
      <c r="J404">
        <f>IF($I404&lt;&gt;"",$I404,$A404)</f>
        <v/>
      </c>
      <c r="K404">
        <f>IF($C404="","",IF(LEN($C404)=1,CODE(UPPER($C404))-64,IFERROR(VALUE(MID($C404,2,99)),"")))</f>
        <v/>
      </c>
      <c r="L404">
        <f>IF($D404="","",IFERROR(VALUE($D404),""))</f>
        <v/>
      </c>
      <c r="M404">
        <f>IFERROR(VALUE(MID($A404,FIND("Level",$A404)+5,99)),IF($E404="AISLE_FLOOR",0,IF($E404="OVERFLOW",0,IF($E404="ENDCAP",0,""))))</f>
        <v/>
      </c>
      <c r="N404">
        <f>IF(AND($B404&lt;&gt;"",$C404&lt;&gt;"",ISNUMBER(--$D404)), $B404&amp;": "&amp;LEFT($C404,1)&amp;TEXT(--$D404,"00"), IF($I404&lt;&gt;"",$I404,$A404))</f>
        <v/>
      </c>
      <c r="O404">
        <f>IF(AND($C404&lt;&gt;"",ISNUMBER(--$D404)),LEFT($C404,1),"")</f>
        <v/>
      </c>
      <c r="P404">
        <f>IF(ISNUMBER(--$D404),--$D404,"")</f>
        <v/>
      </c>
      <c r="Q404">
        <f>IF(AND($O404&lt;&gt;"",$P404&lt;&gt;""),$O404&amp;TEXT($P404,"00"),"")</f>
        <v/>
      </c>
    </row>
    <row r="405">
      <c r="H405">
        <f>A405</f>
        <v/>
      </c>
      <c r="J405">
        <f>IF($I405&lt;&gt;"",$I405,$A405)</f>
        <v/>
      </c>
      <c r="K405">
        <f>IF($C405="","",IF(LEN($C405)=1,CODE(UPPER($C405))-64,IFERROR(VALUE(MID($C405,2,99)),"")))</f>
        <v/>
      </c>
      <c r="L405">
        <f>IF($D405="","",IFERROR(VALUE($D405),""))</f>
        <v/>
      </c>
      <c r="M405">
        <f>IFERROR(VALUE(MID($A405,FIND("Level",$A405)+5,99)),IF($E405="AISLE_FLOOR",0,IF($E405="OVERFLOW",0,IF($E405="ENDCAP",0,""))))</f>
        <v/>
      </c>
      <c r="N405">
        <f>IF(AND($B405&lt;&gt;"",$C405&lt;&gt;"",ISNUMBER(--$D405)), $B405&amp;": "&amp;LEFT($C405,1)&amp;TEXT(--$D405,"00"), IF($I405&lt;&gt;"",$I405,$A405))</f>
        <v/>
      </c>
      <c r="O405">
        <f>IF(AND($C405&lt;&gt;"",ISNUMBER(--$D405)),LEFT($C405,1),"")</f>
        <v/>
      </c>
      <c r="P405">
        <f>IF(ISNUMBER(--$D405),--$D405,"")</f>
        <v/>
      </c>
      <c r="Q405">
        <f>IF(AND($O405&lt;&gt;"",$P405&lt;&gt;""),$O405&amp;TEXT($P405,"00"),"")</f>
        <v/>
      </c>
    </row>
    <row r="406">
      <c r="H406">
        <f>A406</f>
        <v/>
      </c>
      <c r="J406">
        <f>IF($I406&lt;&gt;"",$I406,$A406)</f>
        <v/>
      </c>
      <c r="K406">
        <f>IF($C406="","",IF(LEN($C406)=1,CODE(UPPER($C406))-64,IFERROR(VALUE(MID($C406,2,99)),"")))</f>
        <v/>
      </c>
      <c r="L406">
        <f>IF($D406="","",IFERROR(VALUE($D406),""))</f>
        <v/>
      </c>
      <c r="M406">
        <f>IFERROR(VALUE(MID($A406,FIND("Level",$A406)+5,99)),IF($E406="AISLE_FLOOR",0,IF($E406="OVERFLOW",0,IF($E406="ENDCAP",0,""))))</f>
        <v/>
      </c>
      <c r="N406">
        <f>IF(AND($B406&lt;&gt;"",$C406&lt;&gt;"",ISNUMBER(--$D406)), $B406&amp;": "&amp;LEFT($C406,1)&amp;TEXT(--$D406,"00"), IF($I406&lt;&gt;"",$I406,$A406))</f>
        <v/>
      </c>
      <c r="O406">
        <f>IF(AND($C406&lt;&gt;"",ISNUMBER(--$D406)),LEFT($C406,1),"")</f>
        <v/>
      </c>
      <c r="P406">
        <f>IF(ISNUMBER(--$D406),--$D406,"")</f>
        <v/>
      </c>
      <c r="Q406">
        <f>IF(AND($O406&lt;&gt;"",$P406&lt;&gt;""),$O406&amp;TEXT($P406,"00"),"")</f>
        <v/>
      </c>
    </row>
    <row r="407">
      <c r="H407">
        <f>A407</f>
        <v/>
      </c>
      <c r="J407">
        <f>IF($I407&lt;&gt;"",$I407,$A407)</f>
        <v/>
      </c>
      <c r="K407">
        <f>IF($C407="","",IF(LEN($C407)=1,CODE(UPPER($C407))-64,IFERROR(VALUE(MID($C407,2,99)),"")))</f>
        <v/>
      </c>
      <c r="L407">
        <f>IF($D407="","",IFERROR(VALUE($D407),""))</f>
        <v/>
      </c>
      <c r="M407">
        <f>IFERROR(VALUE(MID($A407,FIND("Level",$A407)+5,99)),IF($E407="AISLE_FLOOR",0,IF($E407="OVERFLOW",0,IF($E407="ENDCAP",0,""))))</f>
        <v/>
      </c>
      <c r="N407">
        <f>IF(AND($B407&lt;&gt;"",$C407&lt;&gt;"",ISNUMBER(--$D407)), $B407&amp;": "&amp;LEFT($C407,1)&amp;TEXT(--$D407,"00"), IF($I407&lt;&gt;"",$I407,$A407))</f>
        <v/>
      </c>
      <c r="O407">
        <f>IF(AND($C407&lt;&gt;"",ISNUMBER(--$D407)),LEFT($C407,1),"")</f>
        <v/>
      </c>
      <c r="P407">
        <f>IF(ISNUMBER(--$D407),--$D407,"")</f>
        <v/>
      </c>
      <c r="Q407">
        <f>IF(AND($O407&lt;&gt;"",$P407&lt;&gt;""),$O407&amp;TEXT($P407,"00"),"")</f>
        <v/>
      </c>
    </row>
    <row r="408">
      <c r="H408">
        <f>A408</f>
        <v/>
      </c>
      <c r="J408">
        <f>IF($I408&lt;&gt;"",$I408,$A408)</f>
        <v/>
      </c>
      <c r="K408">
        <f>IF($C408="","",IF(LEN($C408)=1,CODE(UPPER($C408))-64,IFERROR(VALUE(MID($C408,2,99)),"")))</f>
        <v/>
      </c>
      <c r="L408">
        <f>IF($D408="","",IFERROR(VALUE($D408),""))</f>
        <v/>
      </c>
      <c r="M408">
        <f>IFERROR(VALUE(MID($A408,FIND("Level",$A408)+5,99)),IF($E408="AISLE_FLOOR",0,IF($E408="OVERFLOW",0,IF($E408="ENDCAP",0,""))))</f>
        <v/>
      </c>
      <c r="N408">
        <f>IF(AND($B408&lt;&gt;"",$C408&lt;&gt;"",ISNUMBER(--$D408)), $B408&amp;": "&amp;LEFT($C408,1)&amp;TEXT(--$D408,"00"), IF($I408&lt;&gt;"",$I408,$A408))</f>
        <v/>
      </c>
      <c r="O408">
        <f>IF(AND($C408&lt;&gt;"",ISNUMBER(--$D408)),LEFT($C408,1),"")</f>
        <v/>
      </c>
      <c r="P408">
        <f>IF(ISNUMBER(--$D408),--$D408,"")</f>
        <v/>
      </c>
      <c r="Q408">
        <f>IF(AND($O408&lt;&gt;"",$P408&lt;&gt;""),$O408&amp;TEXT($P408,"00"),"")</f>
        <v/>
      </c>
    </row>
    <row r="409">
      <c r="H409">
        <f>A409</f>
        <v/>
      </c>
      <c r="J409">
        <f>IF($I409&lt;&gt;"",$I409,$A409)</f>
        <v/>
      </c>
      <c r="K409">
        <f>IF($C409="","",IF(LEN($C409)=1,CODE(UPPER($C409))-64,IFERROR(VALUE(MID($C409,2,99)),"")))</f>
        <v/>
      </c>
      <c r="L409">
        <f>IF($D409="","",IFERROR(VALUE($D409),""))</f>
        <v/>
      </c>
      <c r="M409">
        <f>IFERROR(VALUE(MID($A409,FIND("Level",$A409)+5,99)),IF($E409="AISLE_FLOOR",0,IF($E409="OVERFLOW",0,IF($E409="ENDCAP",0,""))))</f>
        <v/>
      </c>
      <c r="N409">
        <f>IF(AND($B409&lt;&gt;"",$C409&lt;&gt;"",ISNUMBER(--$D409)), $B409&amp;": "&amp;LEFT($C409,1)&amp;TEXT(--$D409,"00"), IF($I409&lt;&gt;"",$I409,$A409))</f>
        <v/>
      </c>
      <c r="O409">
        <f>IF(AND($C409&lt;&gt;"",ISNUMBER(--$D409)),LEFT($C409,1),"")</f>
        <v/>
      </c>
      <c r="P409">
        <f>IF(ISNUMBER(--$D409),--$D409,"")</f>
        <v/>
      </c>
      <c r="Q409">
        <f>IF(AND($O409&lt;&gt;"",$P409&lt;&gt;""),$O409&amp;TEXT($P409,"00"),"")</f>
        <v/>
      </c>
    </row>
    <row r="410">
      <c r="H410">
        <f>A410</f>
        <v/>
      </c>
      <c r="J410">
        <f>IF($I410&lt;&gt;"",$I410,$A410)</f>
        <v/>
      </c>
      <c r="K410">
        <f>IF($C410="","",IF(LEN($C410)=1,CODE(UPPER($C410))-64,IFERROR(VALUE(MID($C410,2,99)),"")))</f>
        <v/>
      </c>
      <c r="L410">
        <f>IF($D410="","",IFERROR(VALUE($D410),""))</f>
        <v/>
      </c>
      <c r="M410">
        <f>IFERROR(VALUE(MID($A410,FIND("Level",$A410)+5,99)),IF($E410="AISLE_FLOOR",0,IF($E410="OVERFLOW",0,IF($E410="ENDCAP",0,""))))</f>
        <v/>
      </c>
      <c r="N410">
        <f>IF(AND($B410&lt;&gt;"",$C410&lt;&gt;"",ISNUMBER(--$D410)), $B410&amp;": "&amp;LEFT($C410,1)&amp;TEXT(--$D410,"00"), IF($I410&lt;&gt;"",$I410,$A410))</f>
        <v/>
      </c>
      <c r="O410">
        <f>IF(AND($C410&lt;&gt;"",ISNUMBER(--$D410)),LEFT($C410,1),"")</f>
        <v/>
      </c>
      <c r="P410">
        <f>IF(ISNUMBER(--$D410),--$D410,"")</f>
        <v/>
      </c>
      <c r="Q410">
        <f>IF(AND($O410&lt;&gt;"",$P410&lt;&gt;""),$O410&amp;TEXT($P410,"00"),"")</f>
        <v/>
      </c>
    </row>
    <row r="411">
      <c r="H411">
        <f>A411</f>
        <v/>
      </c>
      <c r="J411">
        <f>IF($I411&lt;&gt;"",$I411,$A411)</f>
        <v/>
      </c>
      <c r="K411">
        <f>IF($C411="","",IF(LEN($C411)=1,CODE(UPPER($C411))-64,IFERROR(VALUE(MID($C411,2,99)),"")))</f>
        <v/>
      </c>
      <c r="L411">
        <f>IF($D411="","",IFERROR(VALUE($D411),""))</f>
        <v/>
      </c>
      <c r="M411">
        <f>IFERROR(VALUE(MID($A411,FIND("Level",$A411)+5,99)),IF($E411="AISLE_FLOOR",0,IF($E411="OVERFLOW",0,IF($E411="ENDCAP",0,""))))</f>
        <v/>
      </c>
      <c r="N411">
        <f>IF(AND($B411&lt;&gt;"",$C411&lt;&gt;"",ISNUMBER(--$D411)), $B411&amp;": "&amp;LEFT($C411,1)&amp;TEXT(--$D411,"00"), IF($I411&lt;&gt;"",$I411,$A411))</f>
        <v/>
      </c>
      <c r="O411">
        <f>IF(AND($C411&lt;&gt;"",ISNUMBER(--$D411)),LEFT($C411,1),"")</f>
        <v/>
      </c>
      <c r="P411">
        <f>IF(ISNUMBER(--$D411),--$D411,"")</f>
        <v/>
      </c>
      <c r="Q411">
        <f>IF(AND($O411&lt;&gt;"",$P411&lt;&gt;""),$O411&amp;TEXT($P411,"00"),"")</f>
        <v/>
      </c>
    </row>
    <row r="412">
      <c r="H412">
        <f>A412</f>
        <v/>
      </c>
      <c r="J412">
        <f>IF($I412&lt;&gt;"",$I412,$A412)</f>
        <v/>
      </c>
      <c r="K412">
        <f>IF($C412="","",IF(LEN($C412)=1,CODE(UPPER($C412))-64,IFERROR(VALUE(MID($C412,2,99)),"")))</f>
        <v/>
      </c>
      <c r="L412">
        <f>IF($D412="","",IFERROR(VALUE($D412),""))</f>
        <v/>
      </c>
      <c r="M412">
        <f>IFERROR(VALUE(MID($A412,FIND("Level",$A412)+5,99)),IF($E412="AISLE_FLOOR",0,IF($E412="OVERFLOW",0,IF($E412="ENDCAP",0,""))))</f>
        <v/>
      </c>
      <c r="N412">
        <f>IF(AND($B412&lt;&gt;"",$C412&lt;&gt;"",ISNUMBER(--$D412)), $B412&amp;": "&amp;LEFT($C412,1)&amp;TEXT(--$D412,"00"), IF($I412&lt;&gt;"",$I412,$A412))</f>
        <v/>
      </c>
      <c r="O412">
        <f>IF(AND($C412&lt;&gt;"",ISNUMBER(--$D412)),LEFT($C412,1),"")</f>
        <v/>
      </c>
      <c r="P412">
        <f>IF(ISNUMBER(--$D412),--$D412,"")</f>
        <v/>
      </c>
      <c r="Q412">
        <f>IF(AND($O412&lt;&gt;"",$P412&lt;&gt;""),$O412&amp;TEXT($P412,"00"),"")</f>
        <v/>
      </c>
    </row>
    <row r="413">
      <c r="H413">
        <f>A413</f>
        <v/>
      </c>
      <c r="J413">
        <f>IF($I413&lt;&gt;"",$I413,$A413)</f>
        <v/>
      </c>
      <c r="K413">
        <f>IF($C413="","",IF(LEN($C413)=1,CODE(UPPER($C413))-64,IFERROR(VALUE(MID($C413,2,99)),"")))</f>
        <v/>
      </c>
      <c r="L413">
        <f>IF($D413="","",IFERROR(VALUE($D413),""))</f>
        <v/>
      </c>
      <c r="M413">
        <f>IFERROR(VALUE(MID($A413,FIND("Level",$A413)+5,99)),IF($E413="AISLE_FLOOR",0,IF($E413="OVERFLOW",0,IF($E413="ENDCAP",0,""))))</f>
        <v/>
      </c>
      <c r="N413">
        <f>IF(AND($B413&lt;&gt;"",$C413&lt;&gt;"",ISNUMBER(--$D413)), $B413&amp;": "&amp;LEFT($C413,1)&amp;TEXT(--$D413,"00"), IF($I413&lt;&gt;"",$I413,$A413))</f>
        <v/>
      </c>
      <c r="O413">
        <f>IF(AND($C413&lt;&gt;"",ISNUMBER(--$D413)),LEFT($C413,1),"")</f>
        <v/>
      </c>
      <c r="P413">
        <f>IF(ISNUMBER(--$D413),--$D413,"")</f>
        <v/>
      </c>
      <c r="Q413">
        <f>IF(AND($O413&lt;&gt;"",$P413&lt;&gt;""),$O413&amp;TEXT($P413,"00"),"")</f>
        <v/>
      </c>
    </row>
    <row r="414">
      <c r="H414">
        <f>A414</f>
        <v/>
      </c>
      <c r="J414">
        <f>IF($I414&lt;&gt;"",$I414,$A414)</f>
        <v/>
      </c>
      <c r="K414">
        <f>IF($C414="","",IF(LEN($C414)=1,CODE(UPPER($C414))-64,IFERROR(VALUE(MID($C414,2,99)),"")))</f>
        <v/>
      </c>
      <c r="L414">
        <f>IF($D414="","",IFERROR(VALUE($D414),""))</f>
        <v/>
      </c>
      <c r="M414">
        <f>IFERROR(VALUE(MID($A414,FIND("Level",$A414)+5,99)),IF($E414="AISLE_FLOOR",0,IF($E414="OVERFLOW",0,IF($E414="ENDCAP",0,""))))</f>
        <v/>
      </c>
      <c r="N414">
        <f>IF(AND($B414&lt;&gt;"",$C414&lt;&gt;"",ISNUMBER(--$D414)), $B414&amp;": "&amp;LEFT($C414,1)&amp;TEXT(--$D414,"00"), IF($I414&lt;&gt;"",$I414,$A414))</f>
        <v/>
      </c>
      <c r="O414">
        <f>IF(AND($C414&lt;&gt;"",ISNUMBER(--$D414)),LEFT($C414,1),"")</f>
        <v/>
      </c>
      <c r="P414">
        <f>IF(ISNUMBER(--$D414),--$D414,"")</f>
        <v/>
      </c>
      <c r="Q414">
        <f>IF(AND($O414&lt;&gt;"",$P414&lt;&gt;""),$O414&amp;TEXT($P414,"00"),"")</f>
        <v/>
      </c>
    </row>
    <row r="415">
      <c r="H415">
        <f>A415</f>
        <v/>
      </c>
      <c r="J415">
        <f>IF($I415&lt;&gt;"",$I415,$A415)</f>
        <v/>
      </c>
      <c r="K415">
        <f>IF($C415="","",IF(LEN($C415)=1,CODE(UPPER($C415))-64,IFERROR(VALUE(MID($C415,2,99)),"")))</f>
        <v/>
      </c>
      <c r="L415">
        <f>IF($D415="","",IFERROR(VALUE($D415),""))</f>
        <v/>
      </c>
      <c r="M415">
        <f>IFERROR(VALUE(MID($A415,FIND("Level",$A415)+5,99)),IF($E415="AISLE_FLOOR",0,IF($E415="OVERFLOW",0,IF($E415="ENDCAP",0,""))))</f>
        <v/>
      </c>
      <c r="N415">
        <f>IF(AND($B415&lt;&gt;"",$C415&lt;&gt;"",ISNUMBER(--$D415)), $B415&amp;": "&amp;LEFT($C415,1)&amp;TEXT(--$D415,"00"), IF($I415&lt;&gt;"",$I415,$A415))</f>
        <v/>
      </c>
      <c r="O415">
        <f>IF(AND($C415&lt;&gt;"",ISNUMBER(--$D415)),LEFT($C415,1),"")</f>
        <v/>
      </c>
      <c r="P415">
        <f>IF(ISNUMBER(--$D415),--$D415,"")</f>
        <v/>
      </c>
      <c r="Q415">
        <f>IF(AND($O415&lt;&gt;"",$P415&lt;&gt;""),$O415&amp;TEXT($P415,"00"),"")</f>
        <v/>
      </c>
    </row>
    <row r="416">
      <c r="H416">
        <f>A416</f>
        <v/>
      </c>
      <c r="J416">
        <f>IF($I416&lt;&gt;"",$I416,$A416)</f>
        <v/>
      </c>
      <c r="K416">
        <f>IF($C416="","",IF(LEN($C416)=1,CODE(UPPER($C416))-64,IFERROR(VALUE(MID($C416,2,99)),"")))</f>
        <v/>
      </c>
      <c r="L416">
        <f>IF($D416="","",IFERROR(VALUE($D416),""))</f>
        <v/>
      </c>
      <c r="M416">
        <f>IFERROR(VALUE(MID($A416,FIND("Level",$A416)+5,99)),IF($E416="AISLE_FLOOR",0,IF($E416="OVERFLOW",0,IF($E416="ENDCAP",0,""))))</f>
        <v/>
      </c>
      <c r="N416">
        <f>IF(AND($B416&lt;&gt;"",$C416&lt;&gt;"",ISNUMBER(--$D416)), $B416&amp;": "&amp;LEFT($C416,1)&amp;TEXT(--$D416,"00"), IF($I416&lt;&gt;"",$I416,$A416))</f>
        <v/>
      </c>
      <c r="O416">
        <f>IF(AND($C416&lt;&gt;"",ISNUMBER(--$D416)),LEFT($C416,1),"")</f>
        <v/>
      </c>
      <c r="P416">
        <f>IF(ISNUMBER(--$D416),--$D416,"")</f>
        <v/>
      </c>
      <c r="Q416">
        <f>IF(AND($O416&lt;&gt;"",$P416&lt;&gt;""),$O416&amp;TEXT($P416,"00"),"")</f>
        <v/>
      </c>
    </row>
    <row r="417">
      <c r="H417">
        <f>A417</f>
        <v/>
      </c>
      <c r="J417">
        <f>IF($I417&lt;&gt;"",$I417,$A417)</f>
        <v/>
      </c>
      <c r="K417">
        <f>IF($C417="","",IF(LEN($C417)=1,CODE(UPPER($C417))-64,IFERROR(VALUE(MID($C417,2,99)),"")))</f>
        <v/>
      </c>
      <c r="L417">
        <f>IF($D417="","",IFERROR(VALUE($D417),""))</f>
        <v/>
      </c>
      <c r="M417">
        <f>IFERROR(VALUE(MID($A417,FIND("Level",$A417)+5,99)),IF($E417="AISLE_FLOOR",0,IF($E417="OVERFLOW",0,IF($E417="ENDCAP",0,""))))</f>
        <v/>
      </c>
      <c r="N417">
        <f>IF(AND($B417&lt;&gt;"",$C417&lt;&gt;"",ISNUMBER(--$D417)), $B417&amp;": "&amp;LEFT($C417,1)&amp;TEXT(--$D417,"00"), IF($I417&lt;&gt;"",$I417,$A417))</f>
        <v/>
      </c>
      <c r="O417">
        <f>IF(AND($C417&lt;&gt;"",ISNUMBER(--$D417)),LEFT($C417,1),"")</f>
        <v/>
      </c>
      <c r="P417">
        <f>IF(ISNUMBER(--$D417),--$D417,"")</f>
        <v/>
      </c>
      <c r="Q417">
        <f>IF(AND($O417&lt;&gt;"",$P417&lt;&gt;""),$O417&amp;TEXT($P417,"00"),"")</f>
        <v/>
      </c>
    </row>
    <row r="418">
      <c r="H418">
        <f>A418</f>
        <v/>
      </c>
      <c r="J418">
        <f>IF($I418&lt;&gt;"",$I418,$A418)</f>
        <v/>
      </c>
      <c r="K418">
        <f>IF($C418="","",IF(LEN($C418)=1,CODE(UPPER($C418))-64,IFERROR(VALUE(MID($C418,2,99)),"")))</f>
        <v/>
      </c>
      <c r="L418">
        <f>IF($D418="","",IFERROR(VALUE($D418),""))</f>
        <v/>
      </c>
      <c r="M418">
        <f>IFERROR(VALUE(MID($A418,FIND("Level",$A418)+5,99)),IF($E418="AISLE_FLOOR",0,IF($E418="OVERFLOW",0,IF($E418="ENDCAP",0,""))))</f>
        <v/>
      </c>
      <c r="N418">
        <f>IF(AND($B418&lt;&gt;"",$C418&lt;&gt;"",ISNUMBER(--$D418)), $B418&amp;": "&amp;LEFT($C418,1)&amp;TEXT(--$D418,"00"), IF($I418&lt;&gt;"",$I418,$A418))</f>
        <v/>
      </c>
      <c r="O418">
        <f>IF(AND($C418&lt;&gt;"",ISNUMBER(--$D418)),LEFT($C418,1),"")</f>
        <v/>
      </c>
      <c r="P418">
        <f>IF(ISNUMBER(--$D418),--$D418,"")</f>
        <v/>
      </c>
      <c r="Q418">
        <f>IF(AND($O418&lt;&gt;"",$P418&lt;&gt;""),$O418&amp;TEXT($P418,"00"),"")</f>
        <v/>
      </c>
    </row>
    <row r="419">
      <c r="H419">
        <f>A419</f>
        <v/>
      </c>
      <c r="J419">
        <f>IF($I419&lt;&gt;"",$I419,$A419)</f>
        <v/>
      </c>
      <c r="K419">
        <f>IF($C419="","",IF(LEN($C419)=1,CODE(UPPER($C419))-64,IFERROR(VALUE(MID($C419,2,99)),"")))</f>
        <v/>
      </c>
      <c r="L419">
        <f>IF($D419="","",IFERROR(VALUE($D419),""))</f>
        <v/>
      </c>
      <c r="M419">
        <f>IFERROR(VALUE(MID($A419,FIND("Level",$A419)+5,99)),IF($E419="AISLE_FLOOR",0,IF($E419="OVERFLOW",0,IF($E419="ENDCAP",0,""))))</f>
        <v/>
      </c>
      <c r="N419">
        <f>IF(AND($B419&lt;&gt;"",$C419&lt;&gt;"",ISNUMBER(--$D419)), $B419&amp;": "&amp;LEFT($C419,1)&amp;TEXT(--$D419,"00"), IF($I419&lt;&gt;"",$I419,$A419))</f>
        <v/>
      </c>
      <c r="O419">
        <f>IF(AND($C419&lt;&gt;"",ISNUMBER(--$D419)),LEFT($C419,1),"")</f>
        <v/>
      </c>
      <c r="P419">
        <f>IF(ISNUMBER(--$D419),--$D419,"")</f>
        <v/>
      </c>
      <c r="Q419">
        <f>IF(AND($O419&lt;&gt;"",$P419&lt;&gt;""),$O419&amp;TEXT($P419,"00"),"")</f>
        <v/>
      </c>
    </row>
    <row r="420">
      <c r="H420">
        <f>A420</f>
        <v/>
      </c>
      <c r="J420">
        <f>IF($I420&lt;&gt;"",$I420,$A420)</f>
        <v/>
      </c>
      <c r="K420">
        <f>IF($C420="","",IF(LEN($C420)=1,CODE(UPPER($C420))-64,IFERROR(VALUE(MID($C420,2,99)),"")))</f>
        <v/>
      </c>
      <c r="L420">
        <f>IF($D420="","",IFERROR(VALUE($D420),""))</f>
        <v/>
      </c>
      <c r="M420">
        <f>IFERROR(VALUE(MID($A420,FIND("Level",$A420)+5,99)),IF($E420="AISLE_FLOOR",0,IF($E420="OVERFLOW",0,IF($E420="ENDCAP",0,""))))</f>
        <v/>
      </c>
      <c r="N420">
        <f>IF(AND($B420&lt;&gt;"",$C420&lt;&gt;"",ISNUMBER(--$D420)), $B420&amp;": "&amp;LEFT($C420,1)&amp;TEXT(--$D420,"00"), IF($I420&lt;&gt;"",$I420,$A420))</f>
        <v/>
      </c>
      <c r="O420">
        <f>IF(AND($C420&lt;&gt;"",ISNUMBER(--$D420)),LEFT($C420,1),"")</f>
        <v/>
      </c>
      <c r="P420">
        <f>IF(ISNUMBER(--$D420),--$D420,"")</f>
        <v/>
      </c>
      <c r="Q420">
        <f>IF(AND($O420&lt;&gt;"",$P420&lt;&gt;""),$O420&amp;TEXT($P420,"00"),"")</f>
        <v/>
      </c>
    </row>
    <row r="421">
      <c r="H421">
        <f>A421</f>
        <v/>
      </c>
      <c r="J421">
        <f>IF($I421&lt;&gt;"",$I421,$A421)</f>
        <v/>
      </c>
      <c r="K421">
        <f>IF($C421="","",IF(LEN($C421)=1,CODE(UPPER($C421))-64,IFERROR(VALUE(MID($C421,2,99)),"")))</f>
        <v/>
      </c>
      <c r="L421">
        <f>IF($D421="","",IFERROR(VALUE($D421),""))</f>
        <v/>
      </c>
      <c r="M421">
        <f>IFERROR(VALUE(MID($A421,FIND("Level",$A421)+5,99)),IF($E421="AISLE_FLOOR",0,IF($E421="OVERFLOW",0,IF($E421="ENDCAP",0,""))))</f>
        <v/>
      </c>
      <c r="N421">
        <f>IF(AND($B421&lt;&gt;"",$C421&lt;&gt;"",ISNUMBER(--$D421)), $B421&amp;": "&amp;LEFT($C421,1)&amp;TEXT(--$D421,"00"), IF($I421&lt;&gt;"",$I421,$A421))</f>
        <v/>
      </c>
      <c r="O421">
        <f>IF(AND($C421&lt;&gt;"",ISNUMBER(--$D421)),LEFT($C421,1),"")</f>
        <v/>
      </c>
      <c r="P421">
        <f>IF(ISNUMBER(--$D421),--$D421,"")</f>
        <v/>
      </c>
      <c r="Q421">
        <f>IF(AND($O421&lt;&gt;"",$P421&lt;&gt;""),$O421&amp;TEXT($P421,"00"),"")</f>
        <v/>
      </c>
    </row>
    <row r="422">
      <c r="H422">
        <f>A422</f>
        <v/>
      </c>
      <c r="J422">
        <f>IF($I422&lt;&gt;"",$I422,$A422)</f>
        <v/>
      </c>
      <c r="K422">
        <f>IF($C422="","",IF(LEN($C422)=1,CODE(UPPER($C422))-64,IFERROR(VALUE(MID($C422,2,99)),"")))</f>
        <v/>
      </c>
      <c r="L422">
        <f>IF($D422="","",IFERROR(VALUE($D422),""))</f>
        <v/>
      </c>
      <c r="M422">
        <f>IFERROR(VALUE(MID($A422,FIND("Level",$A422)+5,99)),IF($E422="AISLE_FLOOR",0,IF($E422="OVERFLOW",0,IF($E422="ENDCAP",0,""))))</f>
        <v/>
      </c>
      <c r="N422">
        <f>IF(AND($B422&lt;&gt;"",$C422&lt;&gt;"",ISNUMBER(--$D422)), $B422&amp;": "&amp;LEFT($C422,1)&amp;TEXT(--$D422,"00"), IF($I422&lt;&gt;"",$I422,$A422))</f>
        <v/>
      </c>
      <c r="O422">
        <f>IF(AND($C422&lt;&gt;"",ISNUMBER(--$D422)),LEFT($C422,1),"")</f>
        <v/>
      </c>
      <c r="P422">
        <f>IF(ISNUMBER(--$D422),--$D422,"")</f>
        <v/>
      </c>
      <c r="Q422">
        <f>IF(AND($O422&lt;&gt;"",$P422&lt;&gt;""),$O422&amp;TEXT($P422,"00"),"")</f>
        <v/>
      </c>
    </row>
    <row r="423">
      <c r="H423">
        <f>A423</f>
        <v/>
      </c>
      <c r="J423">
        <f>IF($I423&lt;&gt;"",$I423,$A423)</f>
        <v/>
      </c>
      <c r="K423">
        <f>IF($C423="","",IF(LEN($C423)=1,CODE(UPPER($C423))-64,IFERROR(VALUE(MID($C423,2,99)),"")))</f>
        <v/>
      </c>
      <c r="L423">
        <f>IF($D423="","",IFERROR(VALUE($D423),""))</f>
        <v/>
      </c>
      <c r="M423">
        <f>IFERROR(VALUE(MID($A423,FIND("Level",$A423)+5,99)),IF($E423="AISLE_FLOOR",0,IF($E423="OVERFLOW",0,IF($E423="ENDCAP",0,""))))</f>
        <v/>
      </c>
      <c r="N423">
        <f>IF(AND($B423&lt;&gt;"",$C423&lt;&gt;"",ISNUMBER(--$D423)), $B423&amp;": "&amp;LEFT($C423,1)&amp;TEXT(--$D423,"00"), IF($I423&lt;&gt;"",$I423,$A423))</f>
        <v/>
      </c>
      <c r="O423">
        <f>IF(AND($C423&lt;&gt;"",ISNUMBER(--$D423)),LEFT($C423,1),"")</f>
        <v/>
      </c>
      <c r="P423">
        <f>IF(ISNUMBER(--$D423),--$D423,"")</f>
        <v/>
      </c>
      <c r="Q423">
        <f>IF(AND($O423&lt;&gt;"",$P423&lt;&gt;""),$O423&amp;TEXT($P423,"00"),"")</f>
        <v/>
      </c>
    </row>
    <row r="424">
      <c r="H424">
        <f>A424</f>
        <v/>
      </c>
      <c r="J424">
        <f>IF($I424&lt;&gt;"",$I424,$A424)</f>
        <v/>
      </c>
      <c r="K424">
        <f>IF($C424="","",IF(LEN($C424)=1,CODE(UPPER($C424))-64,IFERROR(VALUE(MID($C424,2,99)),"")))</f>
        <v/>
      </c>
      <c r="L424">
        <f>IF($D424="","",IFERROR(VALUE($D424),""))</f>
        <v/>
      </c>
      <c r="M424">
        <f>IFERROR(VALUE(MID($A424,FIND("Level",$A424)+5,99)),IF($E424="AISLE_FLOOR",0,IF($E424="OVERFLOW",0,IF($E424="ENDCAP",0,""))))</f>
        <v/>
      </c>
      <c r="N424">
        <f>IF(AND($B424&lt;&gt;"",$C424&lt;&gt;"",ISNUMBER(--$D424)), $B424&amp;": "&amp;LEFT($C424,1)&amp;TEXT(--$D424,"00"), IF($I424&lt;&gt;"",$I424,$A424))</f>
        <v/>
      </c>
      <c r="O424">
        <f>IF(AND($C424&lt;&gt;"",ISNUMBER(--$D424)),LEFT($C424,1),"")</f>
        <v/>
      </c>
      <c r="P424">
        <f>IF(ISNUMBER(--$D424),--$D424,"")</f>
        <v/>
      </c>
      <c r="Q424">
        <f>IF(AND($O424&lt;&gt;"",$P424&lt;&gt;""),$O424&amp;TEXT($P424,"00"),"")</f>
        <v/>
      </c>
    </row>
    <row r="425">
      <c r="H425">
        <f>A425</f>
        <v/>
      </c>
      <c r="J425">
        <f>IF($I425&lt;&gt;"",$I425,$A425)</f>
        <v/>
      </c>
      <c r="K425">
        <f>IF($C425="","",IF(LEN($C425)=1,CODE(UPPER($C425))-64,IFERROR(VALUE(MID($C425,2,99)),"")))</f>
        <v/>
      </c>
      <c r="L425">
        <f>IF($D425="","",IFERROR(VALUE($D425),""))</f>
        <v/>
      </c>
      <c r="M425">
        <f>IFERROR(VALUE(MID($A425,FIND("Level",$A425)+5,99)),IF($E425="AISLE_FLOOR",0,IF($E425="OVERFLOW",0,IF($E425="ENDCAP",0,""))))</f>
        <v/>
      </c>
      <c r="N425">
        <f>IF(AND($B425&lt;&gt;"",$C425&lt;&gt;"",ISNUMBER(--$D425)), $B425&amp;": "&amp;LEFT($C425,1)&amp;TEXT(--$D425,"00"), IF($I425&lt;&gt;"",$I425,$A425))</f>
        <v/>
      </c>
      <c r="O425">
        <f>IF(AND($C425&lt;&gt;"",ISNUMBER(--$D425)),LEFT($C425,1),"")</f>
        <v/>
      </c>
      <c r="P425">
        <f>IF(ISNUMBER(--$D425),--$D425,"")</f>
        <v/>
      </c>
      <c r="Q425">
        <f>IF(AND($O425&lt;&gt;"",$P425&lt;&gt;""),$O425&amp;TEXT($P425,"00"),"")</f>
        <v/>
      </c>
    </row>
    <row r="426">
      <c r="H426">
        <f>A426</f>
        <v/>
      </c>
      <c r="J426">
        <f>IF($I426&lt;&gt;"",$I426,$A426)</f>
        <v/>
      </c>
      <c r="K426">
        <f>IF($C426="","",IF(LEN($C426)=1,CODE(UPPER($C426))-64,IFERROR(VALUE(MID($C426,2,99)),"")))</f>
        <v/>
      </c>
      <c r="L426">
        <f>IF($D426="","",IFERROR(VALUE($D426),""))</f>
        <v/>
      </c>
      <c r="M426">
        <f>IFERROR(VALUE(MID($A426,FIND("Level",$A426)+5,99)),IF($E426="AISLE_FLOOR",0,IF($E426="OVERFLOW",0,IF($E426="ENDCAP",0,""))))</f>
        <v/>
      </c>
      <c r="N426">
        <f>IF(AND($B426&lt;&gt;"",$C426&lt;&gt;"",ISNUMBER(--$D426)), $B426&amp;": "&amp;LEFT($C426,1)&amp;TEXT(--$D426,"00"), IF($I426&lt;&gt;"",$I426,$A426))</f>
        <v/>
      </c>
      <c r="O426">
        <f>IF(AND($C426&lt;&gt;"",ISNUMBER(--$D426)),LEFT($C426,1),"")</f>
        <v/>
      </c>
      <c r="P426">
        <f>IF(ISNUMBER(--$D426),--$D426,"")</f>
        <v/>
      </c>
      <c r="Q426">
        <f>IF(AND($O426&lt;&gt;"",$P426&lt;&gt;""),$O426&amp;TEXT($P426,"00"),"")</f>
        <v/>
      </c>
    </row>
    <row r="427">
      <c r="H427">
        <f>A427</f>
        <v/>
      </c>
      <c r="J427">
        <f>IF($I427&lt;&gt;"",$I427,$A427)</f>
        <v/>
      </c>
      <c r="K427">
        <f>IF($C427="","",IF(LEN($C427)=1,CODE(UPPER($C427))-64,IFERROR(VALUE(MID($C427,2,99)),"")))</f>
        <v/>
      </c>
      <c r="L427">
        <f>IF($D427="","",IFERROR(VALUE($D427),""))</f>
        <v/>
      </c>
      <c r="M427">
        <f>IFERROR(VALUE(MID($A427,FIND("Level",$A427)+5,99)),IF($E427="AISLE_FLOOR",0,IF($E427="OVERFLOW",0,IF($E427="ENDCAP",0,""))))</f>
        <v/>
      </c>
      <c r="N427">
        <f>IF(AND($B427&lt;&gt;"",$C427&lt;&gt;"",ISNUMBER(--$D427)), $B427&amp;": "&amp;LEFT($C427,1)&amp;TEXT(--$D427,"00"), IF($I427&lt;&gt;"",$I427,$A427))</f>
        <v/>
      </c>
      <c r="O427">
        <f>IF(AND($C427&lt;&gt;"",ISNUMBER(--$D427)),LEFT($C427,1),"")</f>
        <v/>
      </c>
      <c r="P427">
        <f>IF(ISNUMBER(--$D427),--$D427,"")</f>
        <v/>
      </c>
      <c r="Q427">
        <f>IF(AND($O427&lt;&gt;"",$P427&lt;&gt;""),$O427&amp;TEXT($P427,"00"),"")</f>
        <v/>
      </c>
    </row>
    <row r="428">
      <c r="H428">
        <f>A428</f>
        <v/>
      </c>
      <c r="J428">
        <f>IF($I428&lt;&gt;"",$I428,$A428)</f>
        <v/>
      </c>
      <c r="K428">
        <f>IF($C428="","",IF(LEN($C428)=1,CODE(UPPER($C428))-64,IFERROR(VALUE(MID($C428,2,99)),"")))</f>
        <v/>
      </c>
      <c r="L428">
        <f>IF($D428="","",IFERROR(VALUE($D428),""))</f>
        <v/>
      </c>
      <c r="M428">
        <f>IFERROR(VALUE(MID($A428,FIND("Level",$A428)+5,99)),IF($E428="AISLE_FLOOR",0,IF($E428="OVERFLOW",0,IF($E428="ENDCAP",0,""))))</f>
        <v/>
      </c>
      <c r="N428">
        <f>IF(AND($B428&lt;&gt;"",$C428&lt;&gt;"",ISNUMBER(--$D428)), $B428&amp;": "&amp;LEFT($C428,1)&amp;TEXT(--$D428,"00"), IF($I428&lt;&gt;"",$I428,$A428))</f>
        <v/>
      </c>
      <c r="O428">
        <f>IF(AND($C428&lt;&gt;"",ISNUMBER(--$D428)),LEFT($C428,1),"")</f>
        <v/>
      </c>
      <c r="P428">
        <f>IF(ISNUMBER(--$D428),--$D428,"")</f>
        <v/>
      </c>
      <c r="Q428">
        <f>IF(AND($O428&lt;&gt;"",$P428&lt;&gt;""),$O428&amp;TEXT($P428,"00"),"")</f>
        <v/>
      </c>
    </row>
    <row r="429">
      <c r="H429">
        <f>A429</f>
        <v/>
      </c>
      <c r="J429">
        <f>IF($I429&lt;&gt;"",$I429,$A429)</f>
        <v/>
      </c>
      <c r="K429">
        <f>IF($C429="","",IF(LEN($C429)=1,CODE(UPPER($C429))-64,IFERROR(VALUE(MID($C429,2,99)),"")))</f>
        <v/>
      </c>
      <c r="L429">
        <f>IF($D429="","",IFERROR(VALUE($D429),""))</f>
        <v/>
      </c>
      <c r="M429">
        <f>IFERROR(VALUE(MID($A429,FIND("Level",$A429)+5,99)),IF($E429="AISLE_FLOOR",0,IF($E429="OVERFLOW",0,IF($E429="ENDCAP",0,""))))</f>
        <v/>
      </c>
      <c r="N429">
        <f>IF(AND($B429&lt;&gt;"",$C429&lt;&gt;"",ISNUMBER(--$D429)), $B429&amp;": "&amp;LEFT($C429,1)&amp;TEXT(--$D429,"00"), IF($I429&lt;&gt;"",$I429,$A429))</f>
        <v/>
      </c>
      <c r="O429">
        <f>IF(AND($C429&lt;&gt;"",ISNUMBER(--$D429)),LEFT($C429,1),"")</f>
        <v/>
      </c>
      <c r="P429">
        <f>IF(ISNUMBER(--$D429),--$D429,"")</f>
        <v/>
      </c>
      <c r="Q429">
        <f>IF(AND($O429&lt;&gt;"",$P429&lt;&gt;""),$O429&amp;TEXT($P429,"00"),"")</f>
        <v/>
      </c>
    </row>
    <row r="430">
      <c r="H430">
        <f>A430</f>
        <v/>
      </c>
      <c r="J430">
        <f>IF($I430&lt;&gt;"",$I430,$A430)</f>
        <v/>
      </c>
      <c r="K430">
        <f>IF($C430="","",IF(LEN($C430)=1,CODE(UPPER($C430))-64,IFERROR(VALUE(MID($C430,2,99)),"")))</f>
        <v/>
      </c>
      <c r="L430">
        <f>IF($D430="","",IFERROR(VALUE($D430),""))</f>
        <v/>
      </c>
      <c r="M430">
        <f>IFERROR(VALUE(MID($A430,FIND("Level",$A430)+5,99)),IF($E430="AISLE_FLOOR",0,IF($E430="OVERFLOW",0,IF($E430="ENDCAP",0,""))))</f>
        <v/>
      </c>
      <c r="N430">
        <f>IF(AND($B430&lt;&gt;"",$C430&lt;&gt;"",ISNUMBER(--$D430)), $B430&amp;": "&amp;LEFT($C430,1)&amp;TEXT(--$D430,"00"), IF($I430&lt;&gt;"",$I430,$A430))</f>
        <v/>
      </c>
      <c r="O430">
        <f>IF(AND($C430&lt;&gt;"",ISNUMBER(--$D430)),LEFT($C430,1),"")</f>
        <v/>
      </c>
      <c r="P430">
        <f>IF(ISNUMBER(--$D430),--$D430,"")</f>
        <v/>
      </c>
      <c r="Q430">
        <f>IF(AND($O430&lt;&gt;"",$P430&lt;&gt;""),$O430&amp;TEXT($P430,"00"),"")</f>
        <v/>
      </c>
    </row>
    <row r="431">
      <c r="H431">
        <f>A431</f>
        <v/>
      </c>
      <c r="J431">
        <f>IF($I431&lt;&gt;"",$I431,$A431)</f>
        <v/>
      </c>
      <c r="K431">
        <f>IF($C431="","",IF(LEN($C431)=1,CODE(UPPER($C431))-64,IFERROR(VALUE(MID($C431,2,99)),"")))</f>
        <v/>
      </c>
      <c r="L431">
        <f>IF($D431="","",IFERROR(VALUE($D431),""))</f>
        <v/>
      </c>
      <c r="M431">
        <f>IFERROR(VALUE(MID($A431,FIND("Level",$A431)+5,99)),IF($E431="AISLE_FLOOR",0,IF($E431="OVERFLOW",0,IF($E431="ENDCAP",0,""))))</f>
        <v/>
      </c>
      <c r="N431">
        <f>IF(AND($B431&lt;&gt;"",$C431&lt;&gt;"",ISNUMBER(--$D431)), $B431&amp;": "&amp;LEFT($C431,1)&amp;TEXT(--$D431,"00"), IF($I431&lt;&gt;"",$I431,$A431))</f>
        <v/>
      </c>
      <c r="O431">
        <f>IF(AND($C431&lt;&gt;"",ISNUMBER(--$D431)),LEFT($C431,1),"")</f>
        <v/>
      </c>
      <c r="P431">
        <f>IF(ISNUMBER(--$D431),--$D431,"")</f>
        <v/>
      </c>
      <c r="Q431">
        <f>IF(AND($O431&lt;&gt;"",$P431&lt;&gt;""),$O431&amp;TEXT($P431,"00"),"")</f>
        <v/>
      </c>
    </row>
    <row r="432">
      <c r="H432">
        <f>A432</f>
        <v/>
      </c>
      <c r="J432">
        <f>IF($I432&lt;&gt;"",$I432,$A432)</f>
        <v/>
      </c>
      <c r="K432">
        <f>IF($C432="","",IF(LEN($C432)=1,CODE(UPPER($C432))-64,IFERROR(VALUE(MID($C432,2,99)),"")))</f>
        <v/>
      </c>
      <c r="L432">
        <f>IF($D432="","",IFERROR(VALUE($D432),""))</f>
        <v/>
      </c>
      <c r="M432">
        <f>IFERROR(VALUE(MID($A432,FIND("Level",$A432)+5,99)),IF($E432="AISLE_FLOOR",0,IF($E432="OVERFLOW",0,IF($E432="ENDCAP",0,""))))</f>
        <v/>
      </c>
      <c r="N432">
        <f>IF(AND($B432&lt;&gt;"",$C432&lt;&gt;"",ISNUMBER(--$D432)), $B432&amp;": "&amp;LEFT($C432,1)&amp;TEXT(--$D432,"00"), IF($I432&lt;&gt;"",$I432,$A432))</f>
        <v/>
      </c>
      <c r="O432">
        <f>IF(AND($C432&lt;&gt;"",ISNUMBER(--$D432)),LEFT($C432,1),"")</f>
        <v/>
      </c>
      <c r="P432">
        <f>IF(ISNUMBER(--$D432),--$D432,"")</f>
        <v/>
      </c>
      <c r="Q432">
        <f>IF(AND($O432&lt;&gt;"",$P432&lt;&gt;""),$O432&amp;TEXT($P432,"00"),"")</f>
        <v/>
      </c>
    </row>
    <row r="433">
      <c r="H433">
        <f>A433</f>
        <v/>
      </c>
      <c r="J433">
        <f>IF($I433&lt;&gt;"",$I433,$A433)</f>
        <v/>
      </c>
      <c r="K433">
        <f>IF($C433="","",IF(LEN($C433)=1,CODE(UPPER($C433))-64,IFERROR(VALUE(MID($C433,2,99)),"")))</f>
        <v/>
      </c>
      <c r="L433">
        <f>IF($D433="","",IFERROR(VALUE($D433),""))</f>
        <v/>
      </c>
      <c r="M433">
        <f>IFERROR(VALUE(MID($A433,FIND("Level",$A433)+5,99)),IF($E433="AISLE_FLOOR",0,IF($E433="OVERFLOW",0,IF($E433="ENDCAP",0,""))))</f>
        <v/>
      </c>
      <c r="N433">
        <f>IF(AND($B433&lt;&gt;"",$C433&lt;&gt;"",ISNUMBER(--$D433)), $B433&amp;": "&amp;LEFT($C433,1)&amp;TEXT(--$D433,"00"), IF($I433&lt;&gt;"",$I433,$A433))</f>
        <v/>
      </c>
      <c r="O433">
        <f>IF(AND($C433&lt;&gt;"",ISNUMBER(--$D433)),LEFT($C433,1),"")</f>
        <v/>
      </c>
      <c r="P433">
        <f>IF(ISNUMBER(--$D433),--$D433,"")</f>
        <v/>
      </c>
      <c r="Q433">
        <f>IF(AND($O433&lt;&gt;"",$P433&lt;&gt;""),$O433&amp;TEXT($P433,"00"),"")</f>
        <v/>
      </c>
    </row>
    <row r="434">
      <c r="H434">
        <f>A434</f>
        <v/>
      </c>
      <c r="J434">
        <f>IF($I434&lt;&gt;"",$I434,$A434)</f>
        <v/>
      </c>
      <c r="K434">
        <f>IF($C434="","",IF(LEN($C434)=1,CODE(UPPER($C434))-64,IFERROR(VALUE(MID($C434,2,99)),"")))</f>
        <v/>
      </c>
      <c r="L434">
        <f>IF($D434="","",IFERROR(VALUE($D434),""))</f>
        <v/>
      </c>
      <c r="M434">
        <f>IFERROR(VALUE(MID($A434,FIND("Level",$A434)+5,99)),IF($E434="AISLE_FLOOR",0,IF($E434="OVERFLOW",0,IF($E434="ENDCAP",0,""))))</f>
        <v/>
      </c>
      <c r="N434">
        <f>IF(AND($B434&lt;&gt;"",$C434&lt;&gt;"",ISNUMBER(--$D434)), $B434&amp;": "&amp;LEFT($C434,1)&amp;TEXT(--$D434,"00"), IF($I434&lt;&gt;"",$I434,$A434))</f>
        <v/>
      </c>
      <c r="O434">
        <f>IF(AND($C434&lt;&gt;"",ISNUMBER(--$D434)),LEFT($C434,1),"")</f>
        <v/>
      </c>
      <c r="P434">
        <f>IF(ISNUMBER(--$D434),--$D434,"")</f>
        <v/>
      </c>
      <c r="Q434">
        <f>IF(AND($O434&lt;&gt;"",$P434&lt;&gt;""),$O434&amp;TEXT($P434,"00"),"")</f>
        <v/>
      </c>
    </row>
    <row r="435">
      <c r="H435">
        <f>A435</f>
        <v/>
      </c>
      <c r="J435">
        <f>IF($I435&lt;&gt;"",$I435,$A435)</f>
        <v/>
      </c>
      <c r="K435">
        <f>IF($C435="","",IF(LEN($C435)=1,CODE(UPPER($C435))-64,IFERROR(VALUE(MID($C435,2,99)),"")))</f>
        <v/>
      </c>
      <c r="L435">
        <f>IF($D435="","",IFERROR(VALUE($D435),""))</f>
        <v/>
      </c>
      <c r="M435">
        <f>IFERROR(VALUE(MID($A435,FIND("Level",$A435)+5,99)),IF($E435="AISLE_FLOOR",0,IF($E435="OVERFLOW",0,IF($E435="ENDCAP",0,""))))</f>
        <v/>
      </c>
      <c r="N435">
        <f>IF(AND($B435&lt;&gt;"",$C435&lt;&gt;"",ISNUMBER(--$D435)), $B435&amp;": "&amp;LEFT($C435,1)&amp;TEXT(--$D435,"00"), IF($I435&lt;&gt;"",$I435,$A435))</f>
        <v/>
      </c>
      <c r="O435">
        <f>IF(AND($C435&lt;&gt;"",ISNUMBER(--$D435)),LEFT($C435,1),"")</f>
        <v/>
      </c>
      <c r="P435">
        <f>IF(ISNUMBER(--$D435),--$D435,"")</f>
        <v/>
      </c>
      <c r="Q435">
        <f>IF(AND($O435&lt;&gt;"",$P435&lt;&gt;""),$O435&amp;TEXT($P435,"00"),"")</f>
        <v/>
      </c>
    </row>
    <row r="436">
      <c r="H436">
        <f>A436</f>
        <v/>
      </c>
      <c r="J436">
        <f>IF($I436&lt;&gt;"",$I436,$A436)</f>
        <v/>
      </c>
      <c r="K436">
        <f>IF($C436="","",IF(LEN($C436)=1,CODE(UPPER($C436))-64,IFERROR(VALUE(MID($C436,2,99)),"")))</f>
        <v/>
      </c>
      <c r="L436">
        <f>IF($D436="","",IFERROR(VALUE($D436),""))</f>
        <v/>
      </c>
      <c r="M436">
        <f>IFERROR(VALUE(MID($A436,FIND("Level",$A436)+5,99)),IF($E436="AISLE_FLOOR",0,IF($E436="OVERFLOW",0,IF($E436="ENDCAP",0,""))))</f>
        <v/>
      </c>
      <c r="N436">
        <f>IF(AND($B436&lt;&gt;"",$C436&lt;&gt;"",ISNUMBER(--$D436)), $B436&amp;": "&amp;LEFT($C436,1)&amp;TEXT(--$D436,"00"), IF($I436&lt;&gt;"",$I436,$A436))</f>
        <v/>
      </c>
      <c r="O436">
        <f>IF(AND($C436&lt;&gt;"",ISNUMBER(--$D436)),LEFT($C436,1),"")</f>
        <v/>
      </c>
      <c r="P436">
        <f>IF(ISNUMBER(--$D436),--$D436,"")</f>
        <v/>
      </c>
      <c r="Q436">
        <f>IF(AND($O436&lt;&gt;"",$P436&lt;&gt;""),$O436&amp;TEXT($P436,"00"),"")</f>
        <v/>
      </c>
    </row>
    <row r="437">
      <c r="H437">
        <f>A437</f>
        <v/>
      </c>
      <c r="J437">
        <f>IF($I437&lt;&gt;"",$I437,$A437)</f>
        <v/>
      </c>
      <c r="K437">
        <f>IF($C437="","",IF(LEN($C437)=1,CODE(UPPER($C437))-64,IFERROR(VALUE(MID($C437,2,99)),"")))</f>
        <v/>
      </c>
      <c r="L437">
        <f>IF($D437="","",IFERROR(VALUE($D437),""))</f>
        <v/>
      </c>
      <c r="M437">
        <f>IFERROR(VALUE(MID($A437,FIND("Level",$A437)+5,99)),IF($E437="AISLE_FLOOR",0,IF($E437="OVERFLOW",0,IF($E437="ENDCAP",0,""))))</f>
        <v/>
      </c>
      <c r="N437">
        <f>IF(AND($B437&lt;&gt;"",$C437&lt;&gt;"",ISNUMBER(--$D437)), $B437&amp;": "&amp;LEFT($C437,1)&amp;TEXT(--$D437,"00"), IF($I437&lt;&gt;"",$I437,$A437))</f>
        <v/>
      </c>
      <c r="O437">
        <f>IF(AND($C437&lt;&gt;"",ISNUMBER(--$D437)),LEFT($C437,1),"")</f>
        <v/>
      </c>
      <c r="P437">
        <f>IF(ISNUMBER(--$D437),--$D437,"")</f>
        <v/>
      </c>
      <c r="Q437">
        <f>IF(AND($O437&lt;&gt;"",$P437&lt;&gt;""),$O437&amp;TEXT($P437,"00"),"")</f>
        <v/>
      </c>
    </row>
    <row r="438">
      <c r="H438">
        <f>A438</f>
        <v/>
      </c>
      <c r="J438">
        <f>IF($I438&lt;&gt;"",$I438,$A438)</f>
        <v/>
      </c>
      <c r="K438">
        <f>IF($C438="","",IF(LEN($C438)=1,CODE(UPPER($C438))-64,IFERROR(VALUE(MID($C438,2,99)),"")))</f>
        <v/>
      </c>
      <c r="L438">
        <f>IF($D438="","",IFERROR(VALUE($D438),""))</f>
        <v/>
      </c>
      <c r="M438">
        <f>IFERROR(VALUE(MID($A438,FIND("Level",$A438)+5,99)),IF($E438="AISLE_FLOOR",0,IF($E438="OVERFLOW",0,IF($E438="ENDCAP",0,""))))</f>
        <v/>
      </c>
      <c r="N438">
        <f>IF(AND($B438&lt;&gt;"",$C438&lt;&gt;"",ISNUMBER(--$D438)), $B438&amp;": "&amp;LEFT($C438,1)&amp;TEXT(--$D438,"00"), IF($I438&lt;&gt;"",$I438,$A438))</f>
        <v/>
      </c>
      <c r="O438">
        <f>IF(AND($C438&lt;&gt;"",ISNUMBER(--$D438)),LEFT($C438,1),"")</f>
        <v/>
      </c>
      <c r="P438">
        <f>IF(ISNUMBER(--$D438),--$D438,"")</f>
        <v/>
      </c>
      <c r="Q438">
        <f>IF(AND($O438&lt;&gt;"",$P438&lt;&gt;""),$O438&amp;TEXT($P438,"00"),"")</f>
        <v/>
      </c>
    </row>
    <row r="439">
      <c r="H439">
        <f>A439</f>
        <v/>
      </c>
      <c r="J439">
        <f>IF($I439&lt;&gt;"",$I439,$A439)</f>
        <v/>
      </c>
      <c r="K439">
        <f>IF($C439="","",IF(LEN($C439)=1,CODE(UPPER($C439))-64,IFERROR(VALUE(MID($C439,2,99)),"")))</f>
        <v/>
      </c>
      <c r="L439">
        <f>IF($D439="","",IFERROR(VALUE($D439),""))</f>
        <v/>
      </c>
      <c r="M439">
        <f>IFERROR(VALUE(MID($A439,FIND("Level",$A439)+5,99)),IF($E439="AISLE_FLOOR",0,IF($E439="OVERFLOW",0,IF($E439="ENDCAP",0,""))))</f>
        <v/>
      </c>
      <c r="N439">
        <f>IF(AND($B439&lt;&gt;"",$C439&lt;&gt;"",ISNUMBER(--$D439)), $B439&amp;": "&amp;LEFT($C439,1)&amp;TEXT(--$D439,"00"), IF($I439&lt;&gt;"",$I439,$A439))</f>
        <v/>
      </c>
      <c r="O439">
        <f>IF(AND($C439&lt;&gt;"",ISNUMBER(--$D439)),LEFT($C439,1),"")</f>
        <v/>
      </c>
      <c r="P439">
        <f>IF(ISNUMBER(--$D439),--$D439,"")</f>
        <v/>
      </c>
      <c r="Q439">
        <f>IF(AND($O439&lt;&gt;"",$P439&lt;&gt;""),$O439&amp;TEXT($P439,"00"),"")</f>
        <v/>
      </c>
    </row>
    <row r="440">
      <c r="H440">
        <f>A440</f>
        <v/>
      </c>
      <c r="J440">
        <f>IF($I440&lt;&gt;"",$I440,$A440)</f>
        <v/>
      </c>
      <c r="K440">
        <f>IF($C440="","",IF(LEN($C440)=1,CODE(UPPER($C440))-64,IFERROR(VALUE(MID($C440,2,99)),"")))</f>
        <v/>
      </c>
      <c r="L440">
        <f>IF($D440="","",IFERROR(VALUE($D440),""))</f>
        <v/>
      </c>
      <c r="M440">
        <f>IFERROR(VALUE(MID($A440,FIND("Level",$A440)+5,99)),IF($E440="AISLE_FLOOR",0,IF($E440="OVERFLOW",0,IF($E440="ENDCAP",0,""))))</f>
        <v/>
      </c>
      <c r="N440">
        <f>IF(AND($B440&lt;&gt;"",$C440&lt;&gt;"",ISNUMBER(--$D440)), $B440&amp;": "&amp;LEFT($C440,1)&amp;TEXT(--$D440,"00"), IF($I440&lt;&gt;"",$I440,$A440))</f>
        <v/>
      </c>
      <c r="O440">
        <f>IF(AND($C440&lt;&gt;"",ISNUMBER(--$D440)),LEFT($C440,1),"")</f>
        <v/>
      </c>
      <c r="P440">
        <f>IF(ISNUMBER(--$D440),--$D440,"")</f>
        <v/>
      </c>
      <c r="Q440">
        <f>IF(AND($O440&lt;&gt;"",$P440&lt;&gt;""),$O440&amp;TEXT($P440,"00"),"")</f>
        <v/>
      </c>
    </row>
    <row r="441">
      <c r="H441">
        <f>A441</f>
        <v/>
      </c>
      <c r="J441">
        <f>IF($I441&lt;&gt;"",$I441,$A441)</f>
        <v/>
      </c>
      <c r="K441">
        <f>IF($C441="","",IF(LEN($C441)=1,CODE(UPPER($C441))-64,IFERROR(VALUE(MID($C441,2,99)),"")))</f>
        <v/>
      </c>
      <c r="L441">
        <f>IF($D441="","",IFERROR(VALUE($D441),""))</f>
        <v/>
      </c>
      <c r="M441">
        <f>IFERROR(VALUE(MID($A441,FIND("Level",$A441)+5,99)),IF($E441="AISLE_FLOOR",0,IF($E441="OVERFLOW",0,IF($E441="ENDCAP",0,""))))</f>
        <v/>
      </c>
      <c r="N441">
        <f>IF(AND($B441&lt;&gt;"",$C441&lt;&gt;"",ISNUMBER(--$D441)), $B441&amp;": "&amp;LEFT($C441,1)&amp;TEXT(--$D441,"00"), IF($I441&lt;&gt;"",$I441,$A441))</f>
        <v/>
      </c>
      <c r="O441">
        <f>IF(AND($C441&lt;&gt;"",ISNUMBER(--$D441)),LEFT($C441,1),"")</f>
        <v/>
      </c>
      <c r="P441">
        <f>IF(ISNUMBER(--$D441),--$D441,"")</f>
        <v/>
      </c>
      <c r="Q441">
        <f>IF(AND($O441&lt;&gt;"",$P441&lt;&gt;""),$O441&amp;TEXT($P441,"00"),"")</f>
        <v/>
      </c>
    </row>
    <row r="442">
      <c r="H442">
        <f>A442</f>
        <v/>
      </c>
      <c r="J442">
        <f>IF($I442&lt;&gt;"",$I442,$A442)</f>
        <v/>
      </c>
      <c r="K442">
        <f>IF($C442="","",IF(LEN($C442)=1,CODE(UPPER($C442))-64,IFERROR(VALUE(MID($C442,2,99)),"")))</f>
        <v/>
      </c>
      <c r="L442">
        <f>IF($D442="","",IFERROR(VALUE($D442),""))</f>
        <v/>
      </c>
      <c r="M442">
        <f>IFERROR(VALUE(MID($A442,FIND("Level",$A442)+5,99)),IF($E442="AISLE_FLOOR",0,IF($E442="OVERFLOW",0,IF($E442="ENDCAP",0,""))))</f>
        <v/>
      </c>
      <c r="N442">
        <f>IF(AND($B442&lt;&gt;"",$C442&lt;&gt;"",ISNUMBER(--$D442)), $B442&amp;": "&amp;LEFT($C442,1)&amp;TEXT(--$D442,"00"), IF($I442&lt;&gt;"",$I442,$A442))</f>
        <v/>
      </c>
      <c r="O442">
        <f>IF(AND($C442&lt;&gt;"",ISNUMBER(--$D442)),LEFT($C442,1),"")</f>
        <v/>
      </c>
      <c r="P442">
        <f>IF(ISNUMBER(--$D442),--$D442,"")</f>
        <v/>
      </c>
      <c r="Q442">
        <f>IF(AND($O442&lt;&gt;"",$P442&lt;&gt;""),$O442&amp;TEXT($P442,"00"),"")</f>
        <v/>
      </c>
    </row>
    <row r="443">
      <c r="H443">
        <f>A443</f>
        <v/>
      </c>
      <c r="J443">
        <f>IF($I443&lt;&gt;"",$I443,$A443)</f>
        <v/>
      </c>
      <c r="K443">
        <f>IF($C443="","",IF(LEN($C443)=1,CODE(UPPER($C443))-64,IFERROR(VALUE(MID($C443,2,99)),"")))</f>
        <v/>
      </c>
      <c r="L443">
        <f>IF($D443="","",IFERROR(VALUE($D443),""))</f>
        <v/>
      </c>
      <c r="M443">
        <f>IFERROR(VALUE(MID($A443,FIND("Level",$A443)+5,99)),IF($E443="AISLE_FLOOR",0,IF($E443="OVERFLOW",0,IF($E443="ENDCAP",0,""))))</f>
        <v/>
      </c>
      <c r="N443">
        <f>IF(AND($B443&lt;&gt;"",$C443&lt;&gt;"",ISNUMBER(--$D443)), $B443&amp;": "&amp;LEFT($C443,1)&amp;TEXT(--$D443,"00"), IF($I443&lt;&gt;"",$I443,$A443))</f>
        <v/>
      </c>
      <c r="O443">
        <f>IF(AND($C443&lt;&gt;"",ISNUMBER(--$D443)),LEFT($C443,1),"")</f>
        <v/>
      </c>
      <c r="P443">
        <f>IF(ISNUMBER(--$D443),--$D443,"")</f>
        <v/>
      </c>
      <c r="Q443">
        <f>IF(AND($O443&lt;&gt;"",$P443&lt;&gt;""),$O443&amp;TEXT($P443,"00"),"")</f>
        <v/>
      </c>
    </row>
    <row r="444">
      <c r="H444">
        <f>A444</f>
        <v/>
      </c>
      <c r="J444">
        <f>IF($I444&lt;&gt;"",$I444,$A444)</f>
        <v/>
      </c>
      <c r="K444">
        <f>IF($C444="","",IF(LEN($C444)=1,CODE(UPPER($C444))-64,IFERROR(VALUE(MID($C444,2,99)),"")))</f>
        <v/>
      </c>
      <c r="L444">
        <f>IF($D444="","",IFERROR(VALUE($D444),""))</f>
        <v/>
      </c>
      <c r="M444">
        <f>IFERROR(VALUE(MID($A444,FIND("Level",$A444)+5,99)),IF($E444="AISLE_FLOOR",0,IF($E444="OVERFLOW",0,IF($E444="ENDCAP",0,""))))</f>
        <v/>
      </c>
      <c r="N444">
        <f>IF(AND($B444&lt;&gt;"",$C444&lt;&gt;"",ISNUMBER(--$D444)), $B444&amp;": "&amp;LEFT($C444,1)&amp;TEXT(--$D444,"00"), IF($I444&lt;&gt;"",$I444,$A444))</f>
        <v/>
      </c>
      <c r="O444">
        <f>IF(AND($C444&lt;&gt;"",ISNUMBER(--$D444)),LEFT($C444,1),"")</f>
        <v/>
      </c>
      <c r="P444">
        <f>IF(ISNUMBER(--$D444),--$D444,"")</f>
        <v/>
      </c>
      <c r="Q444">
        <f>IF(AND($O444&lt;&gt;"",$P444&lt;&gt;""),$O444&amp;TEXT($P444,"00"),"")</f>
        <v/>
      </c>
    </row>
    <row r="445">
      <c r="H445">
        <f>A445</f>
        <v/>
      </c>
      <c r="J445">
        <f>IF($I445&lt;&gt;"",$I445,$A445)</f>
        <v/>
      </c>
      <c r="K445">
        <f>IF($C445="","",IF(LEN($C445)=1,CODE(UPPER($C445))-64,IFERROR(VALUE(MID($C445,2,99)),"")))</f>
        <v/>
      </c>
      <c r="L445">
        <f>IF($D445="","",IFERROR(VALUE($D445),""))</f>
        <v/>
      </c>
      <c r="M445">
        <f>IFERROR(VALUE(MID($A445,FIND("Level",$A445)+5,99)),IF($E445="AISLE_FLOOR",0,IF($E445="OVERFLOW",0,IF($E445="ENDCAP",0,""))))</f>
        <v/>
      </c>
      <c r="N445">
        <f>IF(AND($B445&lt;&gt;"",$C445&lt;&gt;"",ISNUMBER(--$D445)), $B445&amp;": "&amp;LEFT($C445,1)&amp;TEXT(--$D445,"00"), IF($I445&lt;&gt;"",$I445,$A445))</f>
        <v/>
      </c>
      <c r="O445">
        <f>IF(AND($C445&lt;&gt;"",ISNUMBER(--$D445)),LEFT($C445,1),"")</f>
        <v/>
      </c>
      <c r="P445">
        <f>IF(ISNUMBER(--$D445),--$D445,"")</f>
        <v/>
      </c>
      <c r="Q445">
        <f>IF(AND($O445&lt;&gt;"",$P445&lt;&gt;""),$O445&amp;TEXT($P445,"00"),"")</f>
        <v/>
      </c>
    </row>
    <row r="446">
      <c r="H446">
        <f>A446</f>
        <v/>
      </c>
      <c r="J446">
        <f>IF($I446&lt;&gt;"",$I446,$A446)</f>
        <v/>
      </c>
      <c r="K446">
        <f>IF($C446="","",IF(LEN($C446)=1,CODE(UPPER($C446))-64,IFERROR(VALUE(MID($C446,2,99)),"")))</f>
        <v/>
      </c>
      <c r="L446">
        <f>IF($D446="","",IFERROR(VALUE($D446),""))</f>
        <v/>
      </c>
      <c r="M446">
        <f>IFERROR(VALUE(MID($A446,FIND("Level",$A446)+5,99)),IF($E446="AISLE_FLOOR",0,IF($E446="OVERFLOW",0,IF($E446="ENDCAP",0,""))))</f>
        <v/>
      </c>
      <c r="N446">
        <f>IF(AND($B446&lt;&gt;"",$C446&lt;&gt;"",ISNUMBER(--$D446)), $B446&amp;": "&amp;LEFT($C446,1)&amp;TEXT(--$D446,"00"), IF($I446&lt;&gt;"",$I446,$A446))</f>
        <v/>
      </c>
      <c r="O446">
        <f>IF(AND($C446&lt;&gt;"",ISNUMBER(--$D446)),LEFT($C446,1),"")</f>
        <v/>
      </c>
      <c r="P446">
        <f>IF(ISNUMBER(--$D446),--$D446,"")</f>
        <v/>
      </c>
      <c r="Q446">
        <f>IF(AND($O446&lt;&gt;"",$P446&lt;&gt;""),$O446&amp;TEXT($P446,"00"),"")</f>
        <v/>
      </c>
    </row>
    <row r="447">
      <c r="H447">
        <f>A447</f>
        <v/>
      </c>
      <c r="J447">
        <f>IF($I447&lt;&gt;"",$I447,$A447)</f>
        <v/>
      </c>
      <c r="K447">
        <f>IF($C447="","",IF(LEN($C447)=1,CODE(UPPER($C447))-64,IFERROR(VALUE(MID($C447,2,99)),"")))</f>
        <v/>
      </c>
      <c r="L447">
        <f>IF($D447="","",IFERROR(VALUE($D447),""))</f>
        <v/>
      </c>
      <c r="M447">
        <f>IFERROR(VALUE(MID($A447,FIND("Level",$A447)+5,99)),IF($E447="AISLE_FLOOR",0,IF($E447="OVERFLOW",0,IF($E447="ENDCAP",0,""))))</f>
        <v/>
      </c>
      <c r="N447">
        <f>IF(AND($B447&lt;&gt;"",$C447&lt;&gt;"",ISNUMBER(--$D447)), $B447&amp;": "&amp;LEFT($C447,1)&amp;TEXT(--$D447,"00"), IF($I447&lt;&gt;"",$I447,$A447))</f>
        <v/>
      </c>
      <c r="O447">
        <f>IF(AND($C447&lt;&gt;"",ISNUMBER(--$D447)),LEFT($C447,1),"")</f>
        <v/>
      </c>
      <c r="P447">
        <f>IF(ISNUMBER(--$D447),--$D447,"")</f>
        <v/>
      </c>
      <c r="Q447">
        <f>IF(AND($O447&lt;&gt;"",$P447&lt;&gt;""),$O447&amp;TEXT($P447,"00"),"")</f>
        <v/>
      </c>
    </row>
    <row r="448">
      <c r="H448">
        <f>A448</f>
        <v/>
      </c>
      <c r="J448">
        <f>IF($I448&lt;&gt;"",$I448,$A448)</f>
        <v/>
      </c>
      <c r="K448">
        <f>IF($C448="","",IF(LEN($C448)=1,CODE(UPPER($C448))-64,IFERROR(VALUE(MID($C448,2,99)),"")))</f>
        <v/>
      </c>
      <c r="L448">
        <f>IF($D448="","",IFERROR(VALUE($D448),""))</f>
        <v/>
      </c>
      <c r="M448">
        <f>IFERROR(VALUE(MID($A448,FIND("Level",$A448)+5,99)),IF($E448="AISLE_FLOOR",0,IF($E448="OVERFLOW",0,IF($E448="ENDCAP",0,""))))</f>
        <v/>
      </c>
      <c r="N448">
        <f>IF(AND($B448&lt;&gt;"",$C448&lt;&gt;"",ISNUMBER(--$D448)), $B448&amp;": "&amp;LEFT($C448,1)&amp;TEXT(--$D448,"00"), IF($I448&lt;&gt;"",$I448,$A448))</f>
        <v/>
      </c>
      <c r="O448">
        <f>IF(AND($C448&lt;&gt;"",ISNUMBER(--$D448)),LEFT($C448,1),"")</f>
        <v/>
      </c>
      <c r="P448">
        <f>IF(ISNUMBER(--$D448),--$D448,"")</f>
        <v/>
      </c>
      <c r="Q448">
        <f>IF(AND($O448&lt;&gt;"",$P448&lt;&gt;""),$O448&amp;TEXT($P448,"00"),"")</f>
        <v/>
      </c>
    </row>
    <row r="449">
      <c r="H449">
        <f>A449</f>
        <v/>
      </c>
      <c r="J449">
        <f>IF($I449&lt;&gt;"",$I449,$A449)</f>
        <v/>
      </c>
      <c r="K449">
        <f>IF($C449="","",IF(LEN($C449)=1,CODE(UPPER($C449))-64,IFERROR(VALUE(MID($C449,2,99)),"")))</f>
        <v/>
      </c>
      <c r="L449">
        <f>IF($D449="","",IFERROR(VALUE($D449),""))</f>
        <v/>
      </c>
      <c r="M449">
        <f>IFERROR(VALUE(MID($A449,FIND("Level",$A449)+5,99)),IF($E449="AISLE_FLOOR",0,IF($E449="OVERFLOW",0,IF($E449="ENDCAP",0,""))))</f>
        <v/>
      </c>
      <c r="N449">
        <f>IF(AND($B449&lt;&gt;"",$C449&lt;&gt;"",ISNUMBER(--$D449)), $B449&amp;": "&amp;LEFT($C449,1)&amp;TEXT(--$D449,"00"), IF($I449&lt;&gt;"",$I449,$A449))</f>
        <v/>
      </c>
      <c r="O449">
        <f>IF(AND($C449&lt;&gt;"",ISNUMBER(--$D449)),LEFT($C449,1),"")</f>
        <v/>
      </c>
      <c r="P449">
        <f>IF(ISNUMBER(--$D449),--$D449,"")</f>
        <v/>
      </c>
      <c r="Q449">
        <f>IF(AND($O449&lt;&gt;"",$P449&lt;&gt;""),$O449&amp;TEXT($P449,"00"),"")</f>
        <v/>
      </c>
    </row>
    <row r="450">
      <c r="H450">
        <f>A450</f>
        <v/>
      </c>
      <c r="J450">
        <f>IF($I450&lt;&gt;"",$I450,$A450)</f>
        <v/>
      </c>
      <c r="K450">
        <f>IF($C450="","",IF(LEN($C450)=1,CODE(UPPER($C450))-64,IFERROR(VALUE(MID($C450,2,99)),"")))</f>
        <v/>
      </c>
      <c r="L450">
        <f>IF($D450="","",IFERROR(VALUE($D450),""))</f>
        <v/>
      </c>
      <c r="M450">
        <f>IFERROR(VALUE(MID($A450,FIND("Level",$A450)+5,99)),IF($E450="AISLE_FLOOR",0,IF($E450="OVERFLOW",0,IF($E450="ENDCAP",0,""))))</f>
        <v/>
      </c>
      <c r="N450">
        <f>IF(AND($B450&lt;&gt;"",$C450&lt;&gt;"",ISNUMBER(--$D450)), $B450&amp;": "&amp;LEFT($C450,1)&amp;TEXT(--$D450,"00"), IF($I450&lt;&gt;"",$I450,$A450))</f>
        <v/>
      </c>
      <c r="O450">
        <f>IF(AND($C450&lt;&gt;"",ISNUMBER(--$D450)),LEFT($C450,1),"")</f>
        <v/>
      </c>
      <c r="P450">
        <f>IF(ISNUMBER(--$D450),--$D450,"")</f>
        <v/>
      </c>
      <c r="Q450">
        <f>IF(AND($O450&lt;&gt;"",$P450&lt;&gt;""),$O450&amp;TEXT($P450,"00"),"")</f>
        <v/>
      </c>
    </row>
    <row r="451">
      <c r="H451">
        <f>A451</f>
        <v/>
      </c>
      <c r="J451">
        <f>IF($I451&lt;&gt;"",$I451,$A451)</f>
        <v/>
      </c>
      <c r="K451">
        <f>IF($C451="","",IF(LEN($C451)=1,CODE(UPPER($C451))-64,IFERROR(VALUE(MID($C451,2,99)),"")))</f>
        <v/>
      </c>
      <c r="L451">
        <f>IF($D451="","",IFERROR(VALUE($D451),""))</f>
        <v/>
      </c>
      <c r="M451">
        <f>IFERROR(VALUE(MID($A451,FIND("Level",$A451)+5,99)),IF($E451="AISLE_FLOOR",0,IF($E451="OVERFLOW",0,IF($E451="ENDCAP",0,""))))</f>
        <v/>
      </c>
      <c r="N451">
        <f>IF(AND($B451&lt;&gt;"",$C451&lt;&gt;"",ISNUMBER(--$D451)), $B451&amp;": "&amp;LEFT($C451,1)&amp;TEXT(--$D451,"00"), IF($I451&lt;&gt;"",$I451,$A451))</f>
        <v/>
      </c>
      <c r="O451">
        <f>IF(AND($C451&lt;&gt;"",ISNUMBER(--$D451)),LEFT($C451,1),"")</f>
        <v/>
      </c>
      <c r="P451">
        <f>IF(ISNUMBER(--$D451),--$D451,"")</f>
        <v/>
      </c>
      <c r="Q451">
        <f>IF(AND($O451&lt;&gt;"",$P451&lt;&gt;""),$O451&amp;TEXT($P451,"00"),"")</f>
        <v/>
      </c>
    </row>
    <row r="452">
      <c r="H452">
        <f>A452</f>
        <v/>
      </c>
      <c r="J452">
        <f>IF($I452&lt;&gt;"",$I452,$A452)</f>
        <v/>
      </c>
      <c r="K452">
        <f>IF($C452="","",IF(LEN($C452)=1,CODE(UPPER($C452))-64,IFERROR(VALUE(MID($C452,2,99)),"")))</f>
        <v/>
      </c>
      <c r="L452">
        <f>IF($D452="","",IFERROR(VALUE($D452),""))</f>
        <v/>
      </c>
      <c r="M452">
        <f>IFERROR(VALUE(MID($A452,FIND("Level",$A452)+5,99)),IF($E452="AISLE_FLOOR",0,IF($E452="OVERFLOW",0,IF($E452="ENDCAP",0,""))))</f>
        <v/>
      </c>
      <c r="N452">
        <f>IF(AND($B452&lt;&gt;"",$C452&lt;&gt;"",ISNUMBER(--$D452)), $B452&amp;": "&amp;LEFT($C452,1)&amp;TEXT(--$D452,"00"), IF($I452&lt;&gt;"",$I452,$A452))</f>
        <v/>
      </c>
      <c r="O452">
        <f>IF(AND($C452&lt;&gt;"",ISNUMBER(--$D452)),LEFT($C452,1),"")</f>
        <v/>
      </c>
      <c r="P452">
        <f>IF(ISNUMBER(--$D452),--$D452,"")</f>
        <v/>
      </c>
      <c r="Q452">
        <f>IF(AND($O452&lt;&gt;"",$P452&lt;&gt;""),$O452&amp;TEXT($P452,"00"),"")</f>
        <v/>
      </c>
    </row>
    <row r="453">
      <c r="H453">
        <f>A453</f>
        <v/>
      </c>
      <c r="J453">
        <f>IF($I453&lt;&gt;"",$I453,$A453)</f>
        <v/>
      </c>
      <c r="K453">
        <f>IF($C453="","",IF(LEN($C453)=1,CODE(UPPER($C453))-64,IFERROR(VALUE(MID($C453,2,99)),"")))</f>
        <v/>
      </c>
      <c r="L453">
        <f>IF($D453="","",IFERROR(VALUE($D453),""))</f>
        <v/>
      </c>
      <c r="M453">
        <f>IFERROR(VALUE(MID($A453,FIND("Level",$A453)+5,99)),IF($E453="AISLE_FLOOR",0,IF($E453="OVERFLOW",0,IF($E453="ENDCAP",0,""))))</f>
        <v/>
      </c>
      <c r="N453">
        <f>IF(AND($B453&lt;&gt;"",$C453&lt;&gt;"",ISNUMBER(--$D453)), $B453&amp;": "&amp;LEFT($C453,1)&amp;TEXT(--$D453,"00"), IF($I453&lt;&gt;"",$I453,$A453))</f>
        <v/>
      </c>
      <c r="O453">
        <f>IF(AND($C453&lt;&gt;"",ISNUMBER(--$D453)),LEFT($C453,1),"")</f>
        <v/>
      </c>
      <c r="P453">
        <f>IF(ISNUMBER(--$D453),--$D453,"")</f>
        <v/>
      </c>
      <c r="Q453">
        <f>IF(AND($O453&lt;&gt;"",$P453&lt;&gt;""),$O453&amp;TEXT($P453,"00"),"")</f>
        <v/>
      </c>
    </row>
    <row r="454">
      <c r="H454">
        <f>A454</f>
        <v/>
      </c>
      <c r="J454">
        <f>IF($I454&lt;&gt;"",$I454,$A454)</f>
        <v/>
      </c>
      <c r="K454">
        <f>IF($C454="","",IF(LEN($C454)=1,CODE(UPPER($C454))-64,IFERROR(VALUE(MID($C454,2,99)),"")))</f>
        <v/>
      </c>
      <c r="L454">
        <f>IF($D454="","",IFERROR(VALUE($D454),""))</f>
        <v/>
      </c>
      <c r="M454">
        <f>IFERROR(VALUE(MID($A454,FIND("Level",$A454)+5,99)),IF($E454="AISLE_FLOOR",0,IF($E454="OVERFLOW",0,IF($E454="ENDCAP",0,""))))</f>
        <v/>
      </c>
      <c r="N454">
        <f>IF(AND($B454&lt;&gt;"",$C454&lt;&gt;"",ISNUMBER(--$D454)), $B454&amp;": "&amp;LEFT($C454,1)&amp;TEXT(--$D454,"00"), IF($I454&lt;&gt;"",$I454,$A454))</f>
        <v/>
      </c>
      <c r="O454">
        <f>IF(AND($C454&lt;&gt;"",ISNUMBER(--$D454)),LEFT($C454,1),"")</f>
        <v/>
      </c>
      <c r="P454">
        <f>IF(ISNUMBER(--$D454),--$D454,"")</f>
        <v/>
      </c>
      <c r="Q454">
        <f>IF(AND($O454&lt;&gt;"",$P454&lt;&gt;""),$O454&amp;TEXT($P454,"00"),"")</f>
        <v/>
      </c>
    </row>
    <row r="455">
      <c r="H455">
        <f>A455</f>
        <v/>
      </c>
      <c r="J455">
        <f>IF($I455&lt;&gt;"",$I455,$A455)</f>
        <v/>
      </c>
      <c r="K455">
        <f>IF($C455="","",IF(LEN($C455)=1,CODE(UPPER($C455))-64,IFERROR(VALUE(MID($C455,2,99)),"")))</f>
        <v/>
      </c>
      <c r="L455">
        <f>IF($D455="","",IFERROR(VALUE($D455),""))</f>
        <v/>
      </c>
      <c r="M455">
        <f>IFERROR(VALUE(MID($A455,FIND("Level",$A455)+5,99)),IF($E455="AISLE_FLOOR",0,IF($E455="OVERFLOW",0,IF($E455="ENDCAP",0,""))))</f>
        <v/>
      </c>
      <c r="N455">
        <f>IF(AND($B455&lt;&gt;"",$C455&lt;&gt;"",ISNUMBER(--$D455)), $B455&amp;": "&amp;LEFT($C455,1)&amp;TEXT(--$D455,"00"), IF($I455&lt;&gt;"",$I455,$A455))</f>
        <v/>
      </c>
      <c r="O455">
        <f>IF(AND($C455&lt;&gt;"",ISNUMBER(--$D455)),LEFT($C455,1),"")</f>
        <v/>
      </c>
      <c r="P455">
        <f>IF(ISNUMBER(--$D455),--$D455,"")</f>
        <v/>
      </c>
      <c r="Q455">
        <f>IF(AND($O455&lt;&gt;"",$P455&lt;&gt;""),$O455&amp;TEXT($P455,"00"),"")</f>
        <v/>
      </c>
    </row>
    <row r="456">
      <c r="H456">
        <f>A456</f>
        <v/>
      </c>
      <c r="J456">
        <f>IF($I456&lt;&gt;"",$I456,$A456)</f>
        <v/>
      </c>
      <c r="K456">
        <f>IF($C456="","",IF(LEN($C456)=1,CODE(UPPER($C456))-64,IFERROR(VALUE(MID($C456,2,99)),"")))</f>
        <v/>
      </c>
      <c r="L456">
        <f>IF($D456="","",IFERROR(VALUE($D456),""))</f>
        <v/>
      </c>
      <c r="M456">
        <f>IFERROR(VALUE(MID($A456,FIND("Level",$A456)+5,99)),IF($E456="AISLE_FLOOR",0,IF($E456="OVERFLOW",0,IF($E456="ENDCAP",0,""))))</f>
        <v/>
      </c>
      <c r="N456">
        <f>IF(AND($B456&lt;&gt;"",$C456&lt;&gt;"",ISNUMBER(--$D456)), $B456&amp;": "&amp;LEFT($C456,1)&amp;TEXT(--$D456,"00"), IF($I456&lt;&gt;"",$I456,$A456))</f>
        <v/>
      </c>
      <c r="O456">
        <f>IF(AND($C456&lt;&gt;"",ISNUMBER(--$D456)),LEFT($C456,1),"")</f>
        <v/>
      </c>
      <c r="P456">
        <f>IF(ISNUMBER(--$D456),--$D456,"")</f>
        <v/>
      </c>
      <c r="Q456">
        <f>IF(AND($O456&lt;&gt;"",$P456&lt;&gt;""),$O456&amp;TEXT($P456,"00"),"")</f>
        <v/>
      </c>
    </row>
    <row r="457">
      <c r="H457">
        <f>A457</f>
        <v/>
      </c>
      <c r="J457">
        <f>IF($I457&lt;&gt;"",$I457,$A457)</f>
        <v/>
      </c>
      <c r="K457">
        <f>IF($C457="","",IF(LEN($C457)=1,CODE(UPPER($C457))-64,IFERROR(VALUE(MID($C457,2,99)),"")))</f>
        <v/>
      </c>
      <c r="L457">
        <f>IF($D457="","",IFERROR(VALUE($D457),""))</f>
        <v/>
      </c>
      <c r="M457">
        <f>IFERROR(VALUE(MID($A457,FIND("Level",$A457)+5,99)),IF($E457="AISLE_FLOOR",0,IF($E457="OVERFLOW",0,IF($E457="ENDCAP",0,""))))</f>
        <v/>
      </c>
      <c r="N457">
        <f>IF(AND($B457&lt;&gt;"",$C457&lt;&gt;"",ISNUMBER(--$D457)), $B457&amp;": "&amp;LEFT($C457,1)&amp;TEXT(--$D457,"00"), IF($I457&lt;&gt;"",$I457,$A457))</f>
        <v/>
      </c>
      <c r="O457">
        <f>IF(AND($C457&lt;&gt;"",ISNUMBER(--$D457)),LEFT($C457,1),"")</f>
        <v/>
      </c>
      <c r="P457">
        <f>IF(ISNUMBER(--$D457),--$D457,"")</f>
        <v/>
      </c>
      <c r="Q457">
        <f>IF(AND($O457&lt;&gt;"",$P457&lt;&gt;""),$O457&amp;TEXT($P457,"00"),"")</f>
        <v/>
      </c>
    </row>
    <row r="458">
      <c r="H458">
        <f>A458</f>
        <v/>
      </c>
      <c r="J458">
        <f>IF($I458&lt;&gt;"",$I458,$A458)</f>
        <v/>
      </c>
      <c r="K458">
        <f>IF($C458="","",IF(LEN($C458)=1,CODE(UPPER($C458))-64,IFERROR(VALUE(MID($C458,2,99)),"")))</f>
        <v/>
      </c>
      <c r="L458">
        <f>IF($D458="","",IFERROR(VALUE($D458),""))</f>
        <v/>
      </c>
      <c r="M458">
        <f>IFERROR(VALUE(MID($A458,FIND("Level",$A458)+5,99)),IF($E458="AISLE_FLOOR",0,IF($E458="OVERFLOW",0,IF($E458="ENDCAP",0,""))))</f>
        <v/>
      </c>
      <c r="N458">
        <f>IF(AND($B458&lt;&gt;"",$C458&lt;&gt;"",ISNUMBER(--$D458)), $B458&amp;": "&amp;LEFT($C458,1)&amp;TEXT(--$D458,"00"), IF($I458&lt;&gt;"",$I458,$A458))</f>
        <v/>
      </c>
      <c r="O458">
        <f>IF(AND($C458&lt;&gt;"",ISNUMBER(--$D458)),LEFT($C458,1),"")</f>
        <v/>
      </c>
      <c r="P458">
        <f>IF(ISNUMBER(--$D458),--$D458,"")</f>
        <v/>
      </c>
      <c r="Q458">
        <f>IF(AND($O458&lt;&gt;"",$P458&lt;&gt;""),$O458&amp;TEXT($P458,"00"),"")</f>
        <v/>
      </c>
    </row>
    <row r="459">
      <c r="H459">
        <f>A459</f>
        <v/>
      </c>
      <c r="J459">
        <f>IF($I459&lt;&gt;"",$I459,$A459)</f>
        <v/>
      </c>
      <c r="K459">
        <f>IF($C459="","",IF(LEN($C459)=1,CODE(UPPER($C459))-64,IFERROR(VALUE(MID($C459,2,99)),"")))</f>
        <v/>
      </c>
      <c r="L459">
        <f>IF($D459="","",IFERROR(VALUE($D459),""))</f>
        <v/>
      </c>
      <c r="M459">
        <f>IFERROR(VALUE(MID($A459,FIND("Level",$A459)+5,99)),IF($E459="AISLE_FLOOR",0,IF($E459="OVERFLOW",0,IF($E459="ENDCAP",0,""))))</f>
        <v/>
      </c>
      <c r="N459">
        <f>IF(AND($B459&lt;&gt;"",$C459&lt;&gt;"",ISNUMBER(--$D459)), $B459&amp;": "&amp;LEFT($C459,1)&amp;TEXT(--$D459,"00"), IF($I459&lt;&gt;"",$I459,$A459))</f>
        <v/>
      </c>
      <c r="O459">
        <f>IF(AND($C459&lt;&gt;"",ISNUMBER(--$D459)),LEFT($C459,1),"")</f>
        <v/>
      </c>
      <c r="P459">
        <f>IF(ISNUMBER(--$D459),--$D459,"")</f>
        <v/>
      </c>
      <c r="Q459">
        <f>IF(AND($O459&lt;&gt;"",$P459&lt;&gt;""),$O459&amp;TEXT($P459,"00"),"")</f>
        <v/>
      </c>
    </row>
    <row r="460">
      <c r="H460">
        <f>A460</f>
        <v/>
      </c>
      <c r="J460">
        <f>IF($I460&lt;&gt;"",$I460,$A460)</f>
        <v/>
      </c>
      <c r="K460">
        <f>IF($C460="","",IF(LEN($C460)=1,CODE(UPPER($C460))-64,IFERROR(VALUE(MID($C460,2,99)),"")))</f>
        <v/>
      </c>
      <c r="L460">
        <f>IF($D460="","",IFERROR(VALUE($D460),""))</f>
        <v/>
      </c>
      <c r="M460">
        <f>IFERROR(VALUE(MID($A460,FIND("Level",$A460)+5,99)),IF($E460="AISLE_FLOOR",0,IF($E460="OVERFLOW",0,IF($E460="ENDCAP",0,""))))</f>
        <v/>
      </c>
      <c r="N460">
        <f>IF(AND($B460&lt;&gt;"",$C460&lt;&gt;"",ISNUMBER(--$D460)), $B460&amp;": "&amp;LEFT($C460,1)&amp;TEXT(--$D460,"00"), IF($I460&lt;&gt;"",$I460,$A460))</f>
        <v/>
      </c>
      <c r="O460">
        <f>IF(AND($C460&lt;&gt;"",ISNUMBER(--$D460)),LEFT($C460,1),"")</f>
        <v/>
      </c>
      <c r="P460">
        <f>IF(ISNUMBER(--$D460),--$D460,"")</f>
        <v/>
      </c>
      <c r="Q460">
        <f>IF(AND($O460&lt;&gt;"",$P460&lt;&gt;""),$O460&amp;TEXT($P460,"00"),"")</f>
        <v/>
      </c>
    </row>
    <row r="461">
      <c r="H461">
        <f>A461</f>
        <v/>
      </c>
      <c r="J461">
        <f>IF($I461&lt;&gt;"",$I461,$A461)</f>
        <v/>
      </c>
      <c r="K461">
        <f>IF($C461="","",IF(LEN($C461)=1,CODE(UPPER($C461))-64,IFERROR(VALUE(MID($C461,2,99)),"")))</f>
        <v/>
      </c>
      <c r="L461">
        <f>IF($D461="","",IFERROR(VALUE($D461),""))</f>
        <v/>
      </c>
      <c r="M461">
        <f>IFERROR(VALUE(MID($A461,FIND("Level",$A461)+5,99)),IF($E461="AISLE_FLOOR",0,IF($E461="OVERFLOW",0,IF($E461="ENDCAP",0,""))))</f>
        <v/>
      </c>
      <c r="N461">
        <f>IF(AND($B461&lt;&gt;"",$C461&lt;&gt;"",ISNUMBER(--$D461)), $B461&amp;": "&amp;LEFT($C461,1)&amp;TEXT(--$D461,"00"), IF($I461&lt;&gt;"",$I461,$A461))</f>
        <v/>
      </c>
      <c r="O461">
        <f>IF(AND($C461&lt;&gt;"",ISNUMBER(--$D461)),LEFT($C461,1),"")</f>
        <v/>
      </c>
      <c r="P461">
        <f>IF(ISNUMBER(--$D461),--$D461,"")</f>
        <v/>
      </c>
      <c r="Q461">
        <f>IF(AND($O461&lt;&gt;"",$P461&lt;&gt;""),$O461&amp;TEXT($P461,"00"),"")</f>
        <v/>
      </c>
    </row>
    <row r="462">
      <c r="H462">
        <f>A462</f>
        <v/>
      </c>
      <c r="J462">
        <f>IF($I462&lt;&gt;"",$I462,$A462)</f>
        <v/>
      </c>
      <c r="K462">
        <f>IF($C462="","",IF(LEN($C462)=1,CODE(UPPER($C462))-64,IFERROR(VALUE(MID($C462,2,99)),"")))</f>
        <v/>
      </c>
      <c r="L462">
        <f>IF($D462="","",IFERROR(VALUE($D462),""))</f>
        <v/>
      </c>
      <c r="M462">
        <f>IFERROR(VALUE(MID($A462,FIND("Level",$A462)+5,99)),IF($E462="AISLE_FLOOR",0,IF($E462="OVERFLOW",0,IF($E462="ENDCAP",0,""))))</f>
        <v/>
      </c>
      <c r="N462">
        <f>IF(AND($B462&lt;&gt;"",$C462&lt;&gt;"",ISNUMBER(--$D462)), $B462&amp;": "&amp;LEFT($C462,1)&amp;TEXT(--$D462,"00"), IF($I462&lt;&gt;"",$I462,$A462))</f>
        <v/>
      </c>
      <c r="O462">
        <f>IF(AND($C462&lt;&gt;"",ISNUMBER(--$D462)),LEFT($C462,1),"")</f>
        <v/>
      </c>
      <c r="P462">
        <f>IF(ISNUMBER(--$D462),--$D462,"")</f>
        <v/>
      </c>
      <c r="Q462">
        <f>IF(AND($O462&lt;&gt;"",$P462&lt;&gt;""),$O462&amp;TEXT($P462,"00"),"")</f>
        <v/>
      </c>
    </row>
    <row r="463">
      <c r="H463">
        <f>A463</f>
        <v/>
      </c>
      <c r="J463">
        <f>IF($I463&lt;&gt;"",$I463,$A463)</f>
        <v/>
      </c>
      <c r="K463">
        <f>IF($C463="","",IF(LEN($C463)=1,CODE(UPPER($C463))-64,IFERROR(VALUE(MID($C463,2,99)),"")))</f>
        <v/>
      </c>
      <c r="L463">
        <f>IF($D463="","",IFERROR(VALUE($D463),""))</f>
        <v/>
      </c>
      <c r="M463">
        <f>IFERROR(VALUE(MID($A463,FIND("Level",$A463)+5,99)),IF($E463="AISLE_FLOOR",0,IF($E463="OVERFLOW",0,IF($E463="ENDCAP",0,""))))</f>
        <v/>
      </c>
      <c r="N463">
        <f>IF(AND($B463&lt;&gt;"",$C463&lt;&gt;"",ISNUMBER(--$D463)), $B463&amp;": "&amp;LEFT($C463,1)&amp;TEXT(--$D463,"00"), IF($I463&lt;&gt;"",$I463,$A463))</f>
        <v/>
      </c>
      <c r="O463">
        <f>IF(AND($C463&lt;&gt;"",ISNUMBER(--$D463)),LEFT($C463,1),"")</f>
        <v/>
      </c>
      <c r="P463">
        <f>IF(ISNUMBER(--$D463),--$D463,"")</f>
        <v/>
      </c>
      <c r="Q463">
        <f>IF(AND($O463&lt;&gt;"",$P463&lt;&gt;""),$O463&amp;TEXT($P463,"00"),"")</f>
        <v/>
      </c>
    </row>
    <row r="464">
      <c r="H464">
        <f>A464</f>
        <v/>
      </c>
      <c r="J464">
        <f>IF($I464&lt;&gt;"",$I464,$A464)</f>
        <v/>
      </c>
      <c r="K464">
        <f>IF($C464="","",IF(LEN($C464)=1,CODE(UPPER($C464))-64,IFERROR(VALUE(MID($C464,2,99)),"")))</f>
        <v/>
      </c>
      <c r="L464">
        <f>IF($D464="","",IFERROR(VALUE($D464),""))</f>
        <v/>
      </c>
      <c r="M464">
        <f>IFERROR(VALUE(MID($A464,FIND("Level",$A464)+5,99)),IF($E464="AISLE_FLOOR",0,IF($E464="OVERFLOW",0,IF($E464="ENDCAP",0,""))))</f>
        <v/>
      </c>
      <c r="N464">
        <f>IF(AND($B464&lt;&gt;"",$C464&lt;&gt;"",ISNUMBER(--$D464)), $B464&amp;": "&amp;LEFT($C464,1)&amp;TEXT(--$D464,"00"), IF($I464&lt;&gt;"",$I464,$A464))</f>
        <v/>
      </c>
      <c r="O464">
        <f>IF(AND($C464&lt;&gt;"",ISNUMBER(--$D464)),LEFT($C464,1),"")</f>
        <v/>
      </c>
      <c r="P464">
        <f>IF(ISNUMBER(--$D464),--$D464,"")</f>
        <v/>
      </c>
      <c r="Q464">
        <f>IF(AND($O464&lt;&gt;"",$P464&lt;&gt;""),$O464&amp;TEXT($P464,"00"),"")</f>
        <v/>
      </c>
    </row>
    <row r="465">
      <c r="H465">
        <f>A465</f>
        <v/>
      </c>
      <c r="J465">
        <f>IF($I465&lt;&gt;"",$I465,$A465)</f>
        <v/>
      </c>
      <c r="K465">
        <f>IF($C465="","",IF(LEN($C465)=1,CODE(UPPER($C465))-64,IFERROR(VALUE(MID($C465,2,99)),"")))</f>
        <v/>
      </c>
      <c r="L465">
        <f>IF($D465="","",IFERROR(VALUE($D465),""))</f>
        <v/>
      </c>
      <c r="M465">
        <f>IFERROR(VALUE(MID($A465,FIND("Level",$A465)+5,99)),IF($E465="AISLE_FLOOR",0,IF($E465="OVERFLOW",0,IF($E465="ENDCAP",0,""))))</f>
        <v/>
      </c>
      <c r="N465">
        <f>IF(AND($B465&lt;&gt;"",$C465&lt;&gt;"",ISNUMBER(--$D465)), $B465&amp;": "&amp;LEFT($C465,1)&amp;TEXT(--$D465,"00"), IF($I465&lt;&gt;"",$I465,$A465))</f>
        <v/>
      </c>
      <c r="O465">
        <f>IF(AND($C465&lt;&gt;"",ISNUMBER(--$D465)),LEFT($C465,1),"")</f>
        <v/>
      </c>
      <c r="P465">
        <f>IF(ISNUMBER(--$D465),--$D465,"")</f>
        <v/>
      </c>
      <c r="Q465">
        <f>IF(AND($O465&lt;&gt;"",$P465&lt;&gt;""),$O465&amp;TEXT($P465,"00"),"")</f>
        <v/>
      </c>
    </row>
    <row r="466">
      <c r="H466">
        <f>A466</f>
        <v/>
      </c>
      <c r="J466">
        <f>IF($I466&lt;&gt;"",$I466,$A466)</f>
        <v/>
      </c>
      <c r="K466">
        <f>IF($C466="","",IF(LEN($C466)=1,CODE(UPPER($C466))-64,IFERROR(VALUE(MID($C466,2,99)),"")))</f>
        <v/>
      </c>
      <c r="L466">
        <f>IF($D466="","",IFERROR(VALUE($D466),""))</f>
        <v/>
      </c>
      <c r="M466">
        <f>IFERROR(VALUE(MID($A466,FIND("Level",$A466)+5,99)),IF($E466="AISLE_FLOOR",0,IF($E466="OVERFLOW",0,IF($E466="ENDCAP",0,""))))</f>
        <v/>
      </c>
      <c r="N466">
        <f>IF(AND($B466&lt;&gt;"",$C466&lt;&gt;"",ISNUMBER(--$D466)), $B466&amp;": "&amp;LEFT($C466,1)&amp;TEXT(--$D466,"00"), IF($I466&lt;&gt;"",$I466,$A466))</f>
        <v/>
      </c>
      <c r="O466">
        <f>IF(AND($C466&lt;&gt;"",ISNUMBER(--$D466)),LEFT($C466,1),"")</f>
        <v/>
      </c>
      <c r="P466">
        <f>IF(ISNUMBER(--$D466),--$D466,"")</f>
        <v/>
      </c>
      <c r="Q466">
        <f>IF(AND($O466&lt;&gt;"",$P466&lt;&gt;""),$O466&amp;TEXT($P466,"00"),"")</f>
        <v/>
      </c>
    </row>
    <row r="467">
      <c r="H467">
        <f>A467</f>
        <v/>
      </c>
      <c r="J467">
        <f>IF($I467&lt;&gt;"",$I467,$A467)</f>
        <v/>
      </c>
      <c r="K467">
        <f>IF($C467="","",IF(LEN($C467)=1,CODE(UPPER($C467))-64,IFERROR(VALUE(MID($C467,2,99)),"")))</f>
        <v/>
      </c>
      <c r="L467">
        <f>IF($D467="","",IFERROR(VALUE($D467),""))</f>
        <v/>
      </c>
      <c r="M467">
        <f>IFERROR(VALUE(MID($A467,FIND("Level",$A467)+5,99)),IF($E467="AISLE_FLOOR",0,IF($E467="OVERFLOW",0,IF($E467="ENDCAP",0,""))))</f>
        <v/>
      </c>
      <c r="N467">
        <f>IF(AND($B467&lt;&gt;"",$C467&lt;&gt;"",ISNUMBER(--$D467)), $B467&amp;": "&amp;LEFT($C467,1)&amp;TEXT(--$D467,"00"), IF($I467&lt;&gt;"",$I467,$A467))</f>
        <v/>
      </c>
      <c r="O467">
        <f>IF(AND($C467&lt;&gt;"",ISNUMBER(--$D467)),LEFT($C467,1),"")</f>
        <v/>
      </c>
      <c r="P467">
        <f>IF(ISNUMBER(--$D467),--$D467,"")</f>
        <v/>
      </c>
      <c r="Q467">
        <f>IF(AND($O467&lt;&gt;"",$P467&lt;&gt;""),$O467&amp;TEXT($P467,"00"),"")</f>
        <v/>
      </c>
    </row>
    <row r="468">
      <c r="H468">
        <f>A468</f>
        <v/>
      </c>
      <c r="J468">
        <f>IF($I468&lt;&gt;"",$I468,$A468)</f>
        <v/>
      </c>
      <c r="K468">
        <f>IF($C468="","",IF(LEN($C468)=1,CODE(UPPER($C468))-64,IFERROR(VALUE(MID($C468,2,99)),"")))</f>
        <v/>
      </c>
      <c r="L468">
        <f>IF($D468="","",IFERROR(VALUE($D468),""))</f>
        <v/>
      </c>
      <c r="M468">
        <f>IFERROR(VALUE(MID($A468,FIND("Level",$A468)+5,99)),IF($E468="AISLE_FLOOR",0,IF($E468="OVERFLOW",0,IF($E468="ENDCAP",0,""))))</f>
        <v/>
      </c>
      <c r="N468">
        <f>IF(AND($B468&lt;&gt;"",$C468&lt;&gt;"",ISNUMBER(--$D468)), $B468&amp;": "&amp;LEFT($C468,1)&amp;TEXT(--$D468,"00"), IF($I468&lt;&gt;"",$I468,$A468))</f>
        <v/>
      </c>
      <c r="O468">
        <f>IF(AND($C468&lt;&gt;"",ISNUMBER(--$D468)),LEFT($C468,1),"")</f>
        <v/>
      </c>
      <c r="P468">
        <f>IF(ISNUMBER(--$D468),--$D468,"")</f>
        <v/>
      </c>
      <c r="Q468">
        <f>IF(AND($O468&lt;&gt;"",$P468&lt;&gt;""),$O468&amp;TEXT($P468,"00"),"")</f>
        <v/>
      </c>
    </row>
    <row r="469">
      <c r="H469">
        <f>A469</f>
        <v/>
      </c>
      <c r="J469">
        <f>IF($I469&lt;&gt;"",$I469,$A469)</f>
        <v/>
      </c>
      <c r="K469">
        <f>IF($C469="","",IF(LEN($C469)=1,CODE(UPPER($C469))-64,IFERROR(VALUE(MID($C469,2,99)),"")))</f>
        <v/>
      </c>
      <c r="L469">
        <f>IF($D469="","",IFERROR(VALUE($D469),""))</f>
        <v/>
      </c>
      <c r="M469">
        <f>IFERROR(VALUE(MID($A469,FIND("Level",$A469)+5,99)),IF($E469="AISLE_FLOOR",0,IF($E469="OVERFLOW",0,IF($E469="ENDCAP",0,""))))</f>
        <v/>
      </c>
      <c r="N469">
        <f>IF(AND($B469&lt;&gt;"",$C469&lt;&gt;"",ISNUMBER(--$D469)), $B469&amp;": "&amp;LEFT($C469,1)&amp;TEXT(--$D469,"00"), IF($I469&lt;&gt;"",$I469,$A469))</f>
        <v/>
      </c>
      <c r="O469">
        <f>IF(AND($C469&lt;&gt;"",ISNUMBER(--$D469)),LEFT($C469,1),"")</f>
        <v/>
      </c>
      <c r="P469">
        <f>IF(ISNUMBER(--$D469),--$D469,"")</f>
        <v/>
      </c>
      <c r="Q469">
        <f>IF(AND($O469&lt;&gt;"",$P469&lt;&gt;""),$O469&amp;TEXT($P469,"00"),"")</f>
        <v/>
      </c>
    </row>
    <row r="470">
      <c r="H470">
        <f>A470</f>
        <v/>
      </c>
      <c r="J470">
        <f>IF($I470&lt;&gt;"",$I470,$A470)</f>
        <v/>
      </c>
      <c r="K470">
        <f>IF($C470="","",IF(LEN($C470)=1,CODE(UPPER($C470))-64,IFERROR(VALUE(MID($C470,2,99)),"")))</f>
        <v/>
      </c>
      <c r="L470">
        <f>IF($D470="","",IFERROR(VALUE($D470),""))</f>
        <v/>
      </c>
      <c r="M470">
        <f>IFERROR(VALUE(MID($A470,FIND("Level",$A470)+5,99)),IF($E470="AISLE_FLOOR",0,IF($E470="OVERFLOW",0,IF($E470="ENDCAP",0,""))))</f>
        <v/>
      </c>
      <c r="N470">
        <f>IF(AND($B470&lt;&gt;"",$C470&lt;&gt;"",ISNUMBER(--$D470)), $B470&amp;": "&amp;LEFT($C470,1)&amp;TEXT(--$D470,"00"), IF($I470&lt;&gt;"",$I470,$A470))</f>
        <v/>
      </c>
      <c r="O470">
        <f>IF(AND($C470&lt;&gt;"",ISNUMBER(--$D470)),LEFT($C470,1),"")</f>
        <v/>
      </c>
      <c r="P470">
        <f>IF(ISNUMBER(--$D470),--$D470,"")</f>
        <v/>
      </c>
      <c r="Q470">
        <f>IF(AND($O470&lt;&gt;"",$P470&lt;&gt;""),$O470&amp;TEXT($P470,"00"),"")</f>
        <v/>
      </c>
    </row>
    <row r="471">
      <c r="H471">
        <f>A471</f>
        <v/>
      </c>
      <c r="J471">
        <f>IF($I471&lt;&gt;"",$I471,$A471)</f>
        <v/>
      </c>
      <c r="K471">
        <f>IF($C471="","",IF(LEN($C471)=1,CODE(UPPER($C471))-64,IFERROR(VALUE(MID($C471,2,99)),"")))</f>
        <v/>
      </c>
      <c r="L471">
        <f>IF($D471="","",IFERROR(VALUE($D471),""))</f>
        <v/>
      </c>
      <c r="M471">
        <f>IFERROR(VALUE(MID($A471,FIND("Level",$A471)+5,99)),IF($E471="AISLE_FLOOR",0,IF($E471="OVERFLOW",0,IF($E471="ENDCAP",0,""))))</f>
        <v/>
      </c>
      <c r="N471">
        <f>IF(AND($B471&lt;&gt;"",$C471&lt;&gt;"",ISNUMBER(--$D471)), $B471&amp;": "&amp;LEFT($C471,1)&amp;TEXT(--$D471,"00"), IF($I471&lt;&gt;"",$I471,$A471))</f>
        <v/>
      </c>
      <c r="O471">
        <f>IF(AND($C471&lt;&gt;"",ISNUMBER(--$D471)),LEFT($C471,1),"")</f>
        <v/>
      </c>
      <c r="P471">
        <f>IF(ISNUMBER(--$D471),--$D471,"")</f>
        <v/>
      </c>
      <c r="Q471">
        <f>IF(AND($O471&lt;&gt;"",$P471&lt;&gt;""),$O471&amp;TEXT($P471,"00"),"")</f>
        <v/>
      </c>
    </row>
    <row r="472">
      <c r="H472">
        <f>A472</f>
        <v/>
      </c>
      <c r="J472">
        <f>IF($I472&lt;&gt;"",$I472,$A472)</f>
        <v/>
      </c>
      <c r="K472">
        <f>IF($C472="","",IF(LEN($C472)=1,CODE(UPPER($C472))-64,IFERROR(VALUE(MID($C472,2,99)),"")))</f>
        <v/>
      </c>
      <c r="L472">
        <f>IF($D472="","",IFERROR(VALUE($D472),""))</f>
        <v/>
      </c>
      <c r="M472">
        <f>IFERROR(VALUE(MID($A472,FIND("Level",$A472)+5,99)),IF($E472="AISLE_FLOOR",0,IF($E472="OVERFLOW",0,IF($E472="ENDCAP",0,""))))</f>
        <v/>
      </c>
      <c r="N472">
        <f>IF(AND($B472&lt;&gt;"",$C472&lt;&gt;"",ISNUMBER(--$D472)), $B472&amp;": "&amp;LEFT($C472,1)&amp;TEXT(--$D472,"00"), IF($I472&lt;&gt;"",$I472,$A472))</f>
        <v/>
      </c>
      <c r="O472">
        <f>IF(AND($C472&lt;&gt;"",ISNUMBER(--$D472)),LEFT($C472,1),"")</f>
        <v/>
      </c>
      <c r="P472">
        <f>IF(ISNUMBER(--$D472),--$D472,"")</f>
        <v/>
      </c>
      <c r="Q472">
        <f>IF(AND($O472&lt;&gt;"",$P472&lt;&gt;""),$O472&amp;TEXT($P472,"00"),"")</f>
        <v/>
      </c>
    </row>
    <row r="473">
      <c r="H473">
        <f>A473</f>
        <v/>
      </c>
      <c r="J473">
        <f>IF($I473&lt;&gt;"",$I473,$A473)</f>
        <v/>
      </c>
      <c r="K473">
        <f>IF($C473="","",IF(LEN($C473)=1,CODE(UPPER($C473))-64,IFERROR(VALUE(MID($C473,2,99)),"")))</f>
        <v/>
      </c>
      <c r="L473">
        <f>IF($D473="","",IFERROR(VALUE($D473),""))</f>
        <v/>
      </c>
      <c r="M473">
        <f>IFERROR(VALUE(MID($A473,FIND("Level",$A473)+5,99)),IF($E473="AISLE_FLOOR",0,IF($E473="OVERFLOW",0,IF($E473="ENDCAP",0,""))))</f>
        <v/>
      </c>
      <c r="N473">
        <f>IF(AND($B473&lt;&gt;"",$C473&lt;&gt;"",ISNUMBER(--$D473)), $B473&amp;": "&amp;LEFT($C473,1)&amp;TEXT(--$D473,"00"), IF($I473&lt;&gt;"",$I473,$A473))</f>
        <v/>
      </c>
      <c r="O473">
        <f>IF(AND($C473&lt;&gt;"",ISNUMBER(--$D473)),LEFT($C473,1),"")</f>
        <v/>
      </c>
      <c r="P473">
        <f>IF(ISNUMBER(--$D473),--$D473,"")</f>
        <v/>
      </c>
      <c r="Q473">
        <f>IF(AND($O473&lt;&gt;"",$P473&lt;&gt;""),$O473&amp;TEXT($P473,"00"),"")</f>
        <v/>
      </c>
    </row>
    <row r="474">
      <c r="H474">
        <f>A474</f>
        <v/>
      </c>
      <c r="J474">
        <f>IF($I474&lt;&gt;"",$I474,$A474)</f>
        <v/>
      </c>
      <c r="K474">
        <f>IF($C474="","",IF(LEN($C474)=1,CODE(UPPER($C474))-64,IFERROR(VALUE(MID($C474,2,99)),"")))</f>
        <v/>
      </c>
      <c r="L474">
        <f>IF($D474="","",IFERROR(VALUE($D474),""))</f>
        <v/>
      </c>
      <c r="M474">
        <f>IFERROR(VALUE(MID($A474,FIND("Level",$A474)+5,99)),IF($E474="AISLE_FLOOR",0,IF($E474="OVERFLOW",0,IF($E474="ENDCAP",0,""))))</f>
        <v/>
      </c>
      <c r="N474">
        <f>IF(AND($B474&lt;&gt;"",$C474&lt;&gt;"",ISNUMBER(--$D474)), $B474&amp;": "&amp;LEFT($C474,1)&amp;TEXT(--$D474,"00"), IF($I474&lt;&gt;"",$I474,$A474))</f>
        <v/>
      </c>
      <c r="O474">
        <f>IF(AND($C474&lt;&gt;"",ISNUMBER(--$D474)),LEFT($C474,1),"")</f>
        <v/>
      </c>
      <c r="P474">
        <f>IF(ISNUMBER(--$D474),--$D474,"")</f>
        <v/>
      </c>
      <c r="Q474">
        <f>IF(AND($O474&lt;&gt;"",$P474&lt;&gt;""),$O474&amp;TEXT($P474,"00"),"")</f>
        <v/>
      </c>
    </row>
    <row r="475">
      <c r="H475">
        <f>A475</f>
        <v/>
      </c>
      <c r="J475">
        <f>IF($I475&lt;&gt;"",$I475,$A475)</f>
        <v/>
      </c>
      <c r="K475">
        <f>IF($C475="","",IF(LEN($C475)=1,CODE(UPPER($C475))-64,IFERROR(VALUE(MID($C475,2,99)),"")))</f>
        <v/>
      </c>
      <c r="L475">
        <f>IF($D475="","",IFERROR(VALUE($D475),""))</f>
        <v/>
      </c>
      <c r="M475">
        <f>IFERROR(VALUE(MID($A475,FIND("Level",$A475)+5,99)),IF($E475="AISLE_FLOOR",0,IF($E475="OVERFLOW",0,IF($E475="ENDCAP",0,""))))</f>
        <v/>
      </c>
      <c r="N475">
        <f>IF(AND($B475&lt;&gt;"",$C475&lt;&gt;"",ISNUMBER(--$D475)), $B475&amp;": "&amp;LEFT($C475,1)&amp;TEXT(--$D475,"00"), IF($I475&lt;&gt;"",$I475,$A475))</f>
        <v/>
      </c>
      <c r="O475">
        <f>IF(AND($C475&lt;&gt;"",ISNUMBER(--$D475)),LEFT($C475,1),"")</f>
        <v/>
      </c>
      <c r="P475">
        <f>IF(ISNUMBER(--$D475),--$D475,"")</f>
        <v/>
      </c>
      <c r="Q475">
        <f>IF(AND($O475&lt;&gt;"",$P475&lt;&gt;""),$O475&amp;TEXT($P475,"00"),"")</f>
        <v/>
      </c>
    </row>
    <row r="476">
      <c r="H476">
        <f>A476</f>
        <v/>
      </c>
      <c r="J476">
        <f>IF($I476&lt;&gt;"",$I476,$A476)</f>
        <v/>
      </c>
      <c r="K476">
        <f>IF($C476="","",IF(LEN($C476)=1,CODE(UPPER($C476))-64,IFERROR(VALUE(MID($C476,2,99)),"")))</f>
        <v/>
      </c>
      <c r="L476">
        <f>IF($D476="","",IFERROR(VALUE($D476),""))</f>
        <v/>
      </c>
      <c r="M476">
        <f>IFERROR(VALUE(MID($A476,FIND("Level",$A476)+5,99)),IF($E476="AISLE_FLOOR",0,IF($E476="OVERFLOW",0,IF($E476="ENDCAP",0,""))))</f>
        <v/>
      </c>
      <c r="N476">
        <f>IF(AND($B476&lt;&gt;"",$C476&lt;&gt;"",ISNUMBER(--$D476)), $B476&amp;": "&amp;LEFT($C476,1)&amp;TEXT(--$D476,"00"), IF($I476&lt;&gt;"",$I476,$A476))</f>
        <v/>
      </c>
      <c r="O476">
        <f>IF(AND($C476&lt;&gt;"",ISNUMBER(--$D476)),LEFT($C476,1),"")</f>
        <v/>
      </c>
      <c r="P476">
        <f>IF(ISNUMBER(--$D476),--$D476,"")</f>
        <v/>
      </c>
      <c r="Q476">
        <f>IF(AND($O476&lt;&gt;"",$P476&lt;&gt;""),$O476&amp;TEXT($P476,"00"),"")</f>
        <v/>
      </c>
    </row>
    <row r="477">
      <c r="H477">
        <f>A477</f>
        <v/>
      </c>
      <c r="J477">
        <f>IF($I477&lt;&gt;"",$I477,$A477)</f>
        <v/>
      </c>
      <c r="K477">
        <f>IF($C477="","",IF(LEN($C477)=1,CODE(UPPER($C477))-64,IFERROR(VALUE(MID($C477,2,99)),"")))</f>
        <v/>
      </c>
      <c r="L477">
        <f>IF($D477="","",IFERROR(VALUE($D477),""))</f>
        <v/>
      </c>
      <c r="M477">
        <f>IFERROR(VALUE(MID($A477,FIND("Level",$A477)+5,99)),IF($E477="AISLE_FLOOR",0,IF($E477="OVERFLOW",0,IF($E477="ENDCAP",0,""))))</f>
        <v/>
      </c>
      <c r="N477">
        <f>IF(AND($B477&lt;&gt;"",$C477&lt;&gt;"",ISNUMBER(--$D477)), $B477&amp;": "&amp;LEFT($C477,1)&amp;TEXT(--$D477,"00"), IF($I477&lt;&gt;"",$I477,$A477))</f>
        <v/>
      </c>
      <c r="O477">
        <f>IF(AND($C477&lt;&gt;"",ISNUMBER(--$D477)),LEFT($C477,1),"")</f>
        <v/>
      </c>
      <c r="P477">
        <f>IF(ISNUMBER(--$D477),--$D477,"")</f>
        <v/>
      </c>
      <c r="Q477">
        <f>IF(AND($O477&lt;&gt;"",$P477&lt;&gt;""),$O477&amp;TEXT($P477,"00"),"")</f>
        <v/>
      </c>
    </row>
    <row r="478">
      <c r="H478">
        <f>A478</f>
        <v/>
      </c>
      <c r="J478">
        <f>IF($I478&lt;&gt;"",$I478,$A478)</f>
        <v/>
      </c>
      <c r="K478">
        <f>IF($C478="","",IF(LEN($C478)=1,CODE(UPPER($C478))-64,IFERROR(VALUE(MID($C478,2,99)),"")))</f>
        <v/>
      </c>
      <c r="L478">
        <f>IF($D478="","",IFERROR(VALUE($D478),""))</f>
        <v/>
      </c>
      <c r="M478">
        <f>IFERROR(VALUE(MID($A478,FIND("Level",$A478)+5,99)),IF($E478="AISLE_FLOOR",0,IF($E478="OVERFLOW",0,IF($E478="ENDCAP",0,""))))</f>
        <v/>
      </c>
      <c r="N478">
        <f>IF(AND($B478&lt;&gt;"",$C478&lt;&gt;"",ISNUMBER(--$D478)), $B478&amp;": "&amp;LEFT($C478,1)&amp;TEXT(--$D478,"00"), IF($I478&lt;&gt;"",$I478,$A478))</f>
        <v/>
      </c>
      <c r="O478">
        <f>IF(AND($C478&lt;&gt;"",ISNUMBER(--$D478)),LEFT($C478,1),"")</f>
        <v/>
      </c>
      <c r="P478">
        <f>IF(ISNUMBER(--$D478),--$D478,"")</f>
        <v/>
      </c>
      <c r="Q478">
        <f>IF(AND($O478&lt;&gt;"",$P478&lt;&gt;""),$O478&amp;TEXT($P478,"00"),"")</f>
        <v/>
      </c>
    </row>
    <row r="479">
      <c r="H479">
        <f>A479</f>
        <v/>
      </c>
      <c r="J479">
        <f>IF($I479&lt;&gt;"",$I479,$A479)</f>
        <v/>
      </c>
      <c r="K479">
        <f>IF($C479="","",IF(LEN($C479)=1,CODE(UPPER($C479))-64,IFERROR(VALUE(MID($C479,2,99)),"")))</f>
        <v/>
      </c>
      <c r="L479">
        <f>IF($D479="","",IFERROR(VALUE($D479),""))</f>
        <v/>
      </c>
      <c r="M479">
        <f>IFERROR(VALUE(MID($A479,FIND("Level",$A479)+5,99)),IF($E479="AISLE_FLOOR",0,IF($E479="OVERFLOW",0,IF($E479="ENDCAP",0,""))))</f>
        <v/>
      </c>
      <c r="N479">
        <f>IF(AND($B479&lt;&gt;"",$C479&lt;&gt;"",ISNUMBER(--$D479)), $B479&amp;": "&amp;LEFT($C479,1)&amp;TEXT(--$D479,"00"), IF($I479&lt;&gt;"",$I479,$A479))</f>
        <v/>
      </c>
      <c r="O479">
        <f>IF(AND($C479&lt;&gt;"",ISNUMBER(--$D479)),LEFT($C479,1),"")</f>
        <v/>
      </c>
      <c r="P479">
        <f>IF(ISNUMBER(--$D479),--$D479,"")</f>
        <v/>
      </c>
      <c r="Q479">
        <f>IF(AND($O479&lt;&gt;"",$P479&lt;&gt;""),$O479&amp;TEXT($P479,"00"),"")</f>
        <v/>
      </c>
    </row>
    <row r="480">
      <c r="H480">
        <f>A480</f>
        <v/>
      </c>
      <c r="J480">
        <f>IF($I480&lt;&gt;"",$I480,$A480)</f>
        <v/>
      </c>
      <c r="K480">
        <f>IF($C480="","",IF(LEN($C480)=1,CODE(UPPER($C480))-64,IFERROR(VALUE(MID($C480,2,99)),"")))</f>
        <v/>
      </c>
      <c r="L480">
        <f>IF($D480="","",IFERROR(VALUE($D480),""))</f>
        <v/>
      </c>
      <c r="M480">
        <f>IFERROR(VALUE(MID($A480,FIND("Level",$A480)+5,99)),IF($E480="AISLE_FLOOR",0,IF($E480="OVERFLOW",0,IF($E480="ENDCAP",0,""))))</f>
        <v/>
      </c>
      <c r="N480">
        <f>IF(AND($B480&lt;&gt;"",$C480&lt;&gt;"",ISNUMBER(--$D480)), $B480&amp;": "&amp;LEFT($C480,1)&amp;TEXT(--$D480,"00"), IF($I480&lt;&gt;"",$I480,$A480))</f>
        <v/>
      </c>
      <c r="O480">
        <f>IF(AND($C480&lt;&gt;"",ISNUMBER(--$D480)),LEFT($C480,1),"")</f>
        <v/>
      </c>
      <c r="P480">
        <f>IF(ISNUMBER(--$D480),--$D480,"")</f>
        <v/>
      </c>
      <c r="Q480">
        <f>IF(AND($O480&lt;&gt;"",$P480&lt;&gt;""),$O480&amp;TEXT($P480,"00"),"")</f>
        <v/>
      </c>
    </row>
    <row r="481">
      <c r="H481">
        <f>A481</f>
        <v/>
      </c>
      <c r="J481">
        <f>IF($I481&lt;&gt;"",$I481,$A481)</f>
        <v/>
      </c>
      <c r="K481">
        <f>IF($C481="","",IF(LEN($C481)=1,CODE(UPPER($C481))-64,IFERROR(VALUE(MID($C481,2,99)),"")))</f>
        <v/>
      </c>
      <c r="L481">
        <f>IF($D481="","",IFERROR(VALUE($D481),""))</f>
        <v/>
      </c>
      <c r="M481">
        <f>IFERROR(VALUE(MID($A481,FIND("Level",$A481)+5,99)),IF($E481="AISLE_FLOOR",0,IF($E481="OVERFLOW",0,IF($E481="ENDCAP",0,""))))</f>
        <v/>
      </c>
      <c r="N481">
        <f>IF(AND($B481&lt;&gt;"",$C481&lt;&gt;"",ISNUMBER(--$D481)), $B481&amp;": "&amp;LEFT($C481,1)&amp;TEXT(--$D481,"00"), IF($I481&lt;&gt;"",$I481,$A481))</f>
        <v/>
      </c>
      <c r="O481">
        <f>IF(AND($C481&lt;&gt;"",ISNUMBER(--$D481)),LEFT($C481,1),"")</f>
        <v/>
      </c>
      <c r="P481">
        <f>IF(ISNUMBER(--$D481),--$D481,"")</f>
        <v/>
      </c>
      <c r="Q481">
        <f>IF(AND($O481&lt;&gt;"",$P481&lt;&gt;""),$O481&amp;TEXT($P481,"00"),"")</f>
        <v/>
      </c>
    </row>
    <row r="482">
      <c r="H482">
        <f>A482</f>
        <v/>
      </c>
      <c r="J482">
        <f>IF($I482&lt;&gt;"",$I482,$A482)</f>
        <v/>
      </c>
      <c r="K482">
        <f>IF($C482="","",IF(LEN($C482)=1,CODE(UPPER($C482))-64,IFERROR(VALUE(MID($C482,2,99)),"")))</f>
        <v/>
      </c>
      <c r="L482">
        <f>IF($D482="","",IFERROR(VALUE($D482),""))</f>
        <v/>
      </c>
      <c r="M482">
        <f>IFERROR(VALUE(MID($A482,FIND("Level",$A482)+5,99)),IF($E482="AISLE_FLOOR",0,IF($E482="OVERFLOW",0,IF($E482="ENDCAP",0,""))))</f>
        <v/>
      </c>
      <c r="N482">
        <f>IF(AND($B482&lt;&gt;"",$C482&lt;&gt;"",ISNUMBER(--$D482)), $B482&amp;": "&amp;LEFT($C482,1)&amp;TEXT(--$D482,"00"), IF($I482&lt;&gt;"",$I482,$A482))</f>
        <v/>
      </c>
      <c r="O482">
        <f>IF(AND($C482&lt;&gt;"",ISNUMBER(--$D482)),LEFT($C482,1),"")</f>
        <v/>
      </c>
      <c r="P482">
        <f>IF(ISNUMBER(--$D482),--$D482,"")</f>
        <v/>
      </c>
      <c r="Q482">
        <f>IF(AND($O482&lt;&gt;"",$P482&lt;&gt;""),$O482&amp;TEXT($P482,"00"),"")</f>
        <v/>
      </c>
    </row>
    <row r="483">
      <c r="H483">
        <f>A483</f>
        <v/>
      </c>
      <c r="J483">
        <f>IF($I483&lt;&gt;"",$I483,$A483)</f>
        <v/>
      </c>
      <c r="K483">
        <f>IF($C483="","",IF(LEN($C483)=1,CODE(UPPER($C483))-64,IFERROR(VALUE(MID($C483,2,99)),"")))</f>
        <v/>
      </c>
      <c r="L483">
        <f>IF($D483="","",IFERROR(VALUE($D483),""))</f>
        <v/>
      </c>
      <c r="M483">
        <f>IFERROR(VALUE(MID($A483,FIND("Level",$A483)+5,99)),IF($E483="AISLE_FLOOR",0,IF($E483="OVERFLOW",0,IF($E483="ENDCAP",0,""))))</f>
        <v/>
      </c>
      <c r="N483">
        <f>IF(AND($B483&lt;&gt;"",$C483&lt;&gt;"",ISNUMBER(--$D483)), $B483&amp;": "&amp;LEFT($C483,1)&amp;TEXT(--$D483,"00"), IF($I483&lt;&gt;"",$I483,$A483))</f>
        <v/>
      </c>
      <c r="O483">
        <f>IF(AND($C483&lt;&gt;"",ISNUMBER(--$D483)),LEFT($C483,1),"")</f>
        <v/>
      </c>
      <c r="P483">
        <f>IF(ISNUMBER(--$D483),--$D483,"")</f>
        <v/>
      </c>
      <c r="Q483">
        <f>IF(AND($O483&lt;&gt;"",$P483&lt;&gt;""),$O483&amp;TEXT($P483,"00"),"")</f>
        <v/>
      </c>
    </row>
    <row r="484">
      <c r="H484">
        <f>A484</f>
        <v/>
      </c>
      <c r="J484">
        <f>IF($I484&lt;&gt;"",$I484,$A484)</f>
        <v/>
      </c>
      <c r="K484">
        <f>IF($C484="","",IF(LEN($C484)=1,CODE(UPPER($C484))-64,IFERROR(VALUE(MID($C484,2,99)),"")))</f>
        <v/>
      </c>
      <c r="L484">
        <f>IF($D484="","",IFERROR(VALUE($D484),""))</f>
        <v/>
      </c>
      <c r="M484">
        <f>IFERROR(VALUE(MID($A484,FIND("Level",$A484)+5,99)),IF($E484="AISLE_FLOOR",0,IF($E484="OVERFLOW",0,IF($E484="ENDCAP",0,""))))</f>
        <v/>
      </c>
      <c r="N484">
        <f>IF(AND($B484&lt;&gt;"",$C484&lt;&gt;"",ISNUMBER(--$D484)), $B484&amp;": "&amp;LEFT($C484,1)&amp;TEXT(--$D484,"00"), IF($I484&lt;&gt;"",$I484,$A484))</f>
        <v/>
      </c>
      <c r="O484">
        <f>IF(AND($C484&lt;&gt;"",ISNUMBER(--$D484)),LEFT($C484,1),"")</f>
        <v/>
      </c>
      <c r="P484">
        <f>IF(ISNUMBER(--$D484),--$D484,"")</f>
        <v/>
      </c>
      <c r="Q484">
        <f>IF(AND($O484&lt;&gt;"",$P484&lt;&gt;""),$O484&amp;TEXT($P484,"00"),"")</f>
        <v/>
      </c>
    </row>
    <row r="485">
      <c r="H485">
        <f>A485</f>
        <v/>
      </c>
      <c r="J485">
        <f>IF($I485&lt;&gt;"",$I485,$A485)</f>
        <v/>
      </c>
      <c r="K485">
        <f>IF($C485="","",IF(LEN($C485)=1,CODE(UPPER($C485))-64,IFERROR(VALUE(MID($C485,2,99)),"")))</f>
        <v/>
      </c>
      <c r="L485">
        <f>IF($D485="","",IFERROR(VALUE($D485),""))</f>
        <v/>
      </c>
      <c r="M485">
        <f>IFERROR(VALUE(MID($A485,FIND("Level",$A485)+5,99)),IF($E485="AISLE_FLOOR",0,IF($E485="OVERFLOW",0,IF($E485="ENDCAP",0,""))))</f>
        <v/>
      </c>
      <c r="N485">
        <f>IF(AND($B485&lt;&gt;"",$C485&lt;&gt;"",ISNUMBER(--$D485)), $B485&amp;": "&amp;LEFT($C485,1)&amp;TEXT(--$D485,"00"), IF($I485&lt;&gt;"",$I485,$A485))</f>
        <v/>
      </c>
      <c r="O485">
        <f>IF(AND($C485&lt;&gt;"",ISNUMBER(--$D485)),LEFT($C485,1),"")</f>
        <v/>
      </c>
      <c r="P485">
        <f>IF(ISNUMBER(--$D485),--$D485,"")</f>
        <v/>
      </c>
      <c r="Q485">
        <f>IF(AND($O485&lt;&gt;"",$P485&lt;&gt;""),$O485&amp;TEXT($P485,"00"),"")</f>
        <v/>
      </c>
    </row>
    <row r="486">
      <c r="H486">
        <f>A486</f>
        <v/>
      </c>
      <c r="J486">
        <f>IF($I486&lt;&gt;"",$I486,$A486)</f>
        <v/>
      </c>
      <c r="K486">
        <f>IF($C486="","",IF(LEN($C486)=1,CODE(UPPER($C486))-64,IFERROR(VALUE(MID($C486,2,99)),"")))</f>
        <v/>
      </c>
      <c r="L486">
        <f>IF($D486="","",IFERROR(VALUE($D486),""))</f>
        <v/>
      </c>
      <c r="M486">
        <f>IFERROR(VALUE(MID($A486,FIND("Level",$A486)+5,99)),IF($E486="AISLE_FLOOR",0,IF($E486="OVERFLOW",0,IF($E486="ENDCAP",0,""))))</f>
        <v/>
      </c>
      <c r="N486">
        <f>IF(AND($B486&lt;&gt;"",$C486&lt;&gt;"",ISNUMBER(--$D486)), $B486&amp;": "&amp;LEFT($C486,1)&amp;TEXT(--$D486,"00"), IF($I486&lt;&gt;"",$I486,$A486))</f>
        <v/>
      </c>
      <c r="O486">
        <f>IF(AND($C486&lt;&gt;"",ISNUMBER(--$D486)),LEFT($C486,1),"")</f>
        <v/>
      </c>
      <c r="P486">
        <f>IF(ISNUMBER(--$D486),--$D486,"")</f>
        <v/>
      </c>
      <c r="Q486">
        <f>IF(AND($O486&lt;&gt;"",$P486&lt;&gt;""),$O486&amp;TEXT($P486,"00"),"")</f>
        <v/>
      </c>
    </row>
    <row r="487">
      <c r="H487">
        <f>A487</f>
        <v/>
      </c>
      <c r="J487">
        <f>IF($I487&lt;&gt;"",$I487,$A487)</f>
        <v/>
      </c>
      <c r="K487">
        <f>IF($C487="","",IF(LEN($C487)=1,CODE(UPPER($C487))-64,IFERROR(VALUE(MID($C487,2,99)),"")))</f>
        <v/>
      </c>
      <c r="L487">
        <f>IF($D487="","",IFERROR(VALUE($D487),""))</f>
        <v/>
      </c>
      <c r="M487">
        <f>IFERROR(VALUE(MID($A487,FIND("Level",$A487)+5,99)),IF($E487="AISLE_FLOOR",0,IF($E487="OVERFLOW",0,IF($E487="ENDCAP",0,""))))</f>
        <v/>
      </c>
      <c r="N487">
        <f>IF(AND($B487&lt;&gt;"",$C487&lt;&gt;"",ISNUMBER(--$D487)), $B487&amp;": "&amp;LEFT($C487,1)&amp;TEXT(--$D487,"00"), IF($I487&lt;&gt;"",$I487,$A487))</f>
        <v/>
      </c>
      <c r="O487">
        <f>IF(AND($C487&lt;&gt;"",ISNUMBER(--$D487)),LEFT($C487,1),"")</f>
        <v/>
      </c>
      <c r="P487">
        <f>IF(ISNUMBER(--$D487),--$D487,"")</f>
        <v/>
      </c>
      <c r="Q487">
        <f>IF(AND($O487&lt;&gt;"",$P487&lt;&gt;""),$O487&amp;TEXT($P487,"00"),"")</f>
        <v/>
      </c>
    </row>
    <row r="488">
      <c r="H488">
        <f>A488</f>
        <v/>
      </c>
      <c r="J488">
        <f>IF($I488&lt;&gt;"",$I488,$A488)</f>
        <v/>
      </c>
      <c r="K488">
        <f>IF($C488="","",IF(LEN($C488)=1,CODE(UPPER($C488))-64,IFERROR(VALUE(MID($C488,2,99)),"")))</f>
        <v/>
      </c>
      <c r="L488">
        <f>IF($D488="","",IFERROR(VALUE($D488),""))</f>
        <v/>
      </c>
      <c r="M488">
        <f>IFERROR(VALUE(MID($A488,FIND("Level",$A488)+5,99)),IF($E488="AISLE_FLOOR",0,IF($E488="OVERFLOW",0,IF($E488="ENDCAP",0,""))))</f>
        <v/>
      </c>
      <c r="N488">
        <f>IF(AND($B488&lt;&gt;"",$C488&lt;&gt;"",ISNUMBER(--$D488)), $B488&amp;": "&amp;LEFT($C488,1)&amp;TEXT(--$D488,"00"), IF($I488&lt;&gt;"",$I488,$A488))</f>
        <v/>
      </c>
      <c r="O488">
        <f>IF(AND($C488&lt;&gt;"",ISNUMBER(--$D488)),LEFT($C488,1),"")</f>
        <v/>
      </c>
      <c r="P488">
        <f>IF(ISNUMBER(--$D488),--$D488,"")</f>
        <v/>
      </c>
      <c r="Q488">
        <f>IF(AND($O488&lt;&gt;"",$P488&lt;&gt;""),$O488&amp;TEXT($P488,"00"),"")</f>
        <v/>
      </c>
    </row>
    <row r="489">
      <c r="H489">
        <f>A489</f>
        <v/>
      </c>
      <c r="J489">
        <f>IF($I489&lt;&gt;"",$I489,$A489)</f>
        <v/>
      </c>
      <c r="K489">
        <f>IF($C489="","",IF(LEN($C489)=1,CODE(UPPER($C489))-64,IFERROR(VALUE(MID($C489,2,99)),"")))</f>
        <v/>
      </c>
      <c r="L489">
        <f>IF($D489="","",IFERROR(VALUE($D489),""))</f>
        <v/>
      </c>
      <c r="M489">
        <f>IFERROR(VALUE(MID($A489,FIND("Level",$A489)+5,99)),IF($E489="AISLE_FLOOR",0,IF($E489="OVERFLOW",0,IF($E489="ENDCAP",0,""))))</f>
        <v/>
      </c>
      <c r="N489">
        <f>IF(AND($B489&lt;&gt;"",$C489&lt;&gt;"",ISNUMBER(--$D489)), $B489&amp;": "&amp;LEFT($C489,1)&amp;TEXT(--$D489,"00"), IF($I489&lt;&gt;"",$I489,$A489))</f>
        <v/>
      </c>
      <c r="O489">
        <f>IF(AND($C489&lt;&gt;"",ISNUMBER(--$D489)),LEFT($C489,1),"")</f>
        <v/>
      </c>
      <c r="P489">
        <f>IF(ISNUMBER(--$D489),--$D489,"")</f>
        <v/>
      </c>
      <c r="Q489">
        <f>IF(AND($O489&lt;&gt;"",$P489&lt;&gt;""),$O489&amp;TEXT($P489,"00"),"")</f>
        <v/>
      </c>
    </row>
    <row r="490">
      <c r="H490">
        <f>A490</f>
        <v/>
      </c>
      <c r="J490">
        <f>IF($I490&lt;&gt;"",$I490,$A490)</f>
        <v/>
      </c>
      <c r="K490">
        <f>IF($C490="","",IF(LEN($C490)=1,CODE(UPPER($C490))-64,IFERROR(VALUE(MID($C490,2,99)),"")))</f>
        <v/>
      </c>
      <c r="L490">
        <f>IF($D490="","",IFERROR(VALUE($D490),""))</f>
        <v/>
      </c>
      <c r="M490">
        <f>IFERROR(VALUE(MID($A490,FIND("Level",$A490)+5,99)),IF($E490="AISLE_FLOOR",0,IF($E490="OVERFLOW",0,IF($E490="ENDCAP",0,""))))</f>
        <v/>
      </c>
      <c r="N490">
        <f>IF(AND($B490&lt;&gt;"",$C490&lt;&gt;"",ISNUMBER(--$D490)), $B490&amp;": "&amp;LEFT($C490,1)&amp;TEXT(--$D490,"00"), IF($I490&lt;&gt;"",$I490,$A490))</f>
        <v/>
      </c>
      <c r="O490">
        <f>IF(AND($C490&lt;&gt;"",ISNUMBER(--$D490)),LEFT($C490,1),"")</f>
        <v/>
      </c>
      <c r="P490">
        <f>IF(ISNUMBER(--$D490),--$D490,"")</f>
        <v/>
      </c>
      <c r="Q490">
        <f>IF(AND($O490&lt;&gt;"",$P490&lt;&gt;""),$O490&amp;TEXT($P490,"00"),"")</f>
        <v/>
      </c>
    </row>
    <row r="491">
      <c r="H491">
        <f>A491</f>
        <v/>
      </c>
      <c r="J491">
        <f>IF($I491&lt;&gt;"",$I491,$A491)</f>
        <v/>
      </c>
      <c r="K491">
        <f>IF($C491="","",IF(LEN($C491)=1,CODE(UPPER($C491))-64,IFERROR(VALUE(MID($C491,2,99)),"")))</f>
        <v/>
      </c>
      <c r="L491">
        <f>IF($D491="","",IFERROR(VALUE($D491),""))</f>
        <v/>
      </c>
      <c r="M491">
        <f>IFERROR(VALUE(MID($A491,FIND("Level",$A491)+5,99)),IF($E491="AISLE_FLOOR",0,IF($E491="OVERFLOW",0,IF($E491="ENDCAP",0,""))))</f>
        <v/>
      </c>
      <c r="N491">
        <f>IF(AND($B491&lt;&gt;"",$C491&lt;&gt;"",ISNUMBER(--$D491)), $B491&amp;": "&amp;LEFT($C491,1)&amp;TEXT(--$D491,"00"), IF($I491&lt;&gt;"",$I491,$A491))</f>
        <v/>
      </c>
      <c r="O491">
        <f>IF(AND($C491&lt;&gt;"",ISNUMBER(--$D491)),LEFT($C491,1),"")</f>
        <v/>
      </c>
      <c r="P491">
        <f>IF(ISNUMBER(--$D491),--$D491,"")</f>
        <v/>
      </c>
      <c r="Q491">
        <f>IF(AND($O491&lt;&gt;"",$P491&lt;&gt;""),$O491&amp;TEXT($P491,"00"),"")</f>
        <v/>
      </c>
    </row>
    <row r="492">
      <c r="H492">
        <f>A492</f>
        <v/>
      </c>
      <c r="J492">
        <f>IF($I492&lt;&gt;"",$I492,$A492)</f>
        <v/>
      </c>
      <c r="K492">
        <f>IF($C492="","",IF(LEN($C492)=1,CODE(UPPER($C492))-64,IFERROR(VALUE(MID($C492,2,99)),"")))</f>
        <v/>
      </c>
      <c r="L492">
        <f>IF($D492="","",IFERROR(VALUE($D492),""))</f>
        <v/>
      </c>
      <c r="M492">
        <f>IFERROR(VALUE(MID($A492,FIND("Level",$A492)+5,99)),IF($E492="AISLE_FLOOR",0,IF($E492="OVERFLOW",0,IF($E492="ENDCAP",0,""))))</f>
        <v/>
      </c>
      <c r="N492">
        <f>IF(AND($B492&lt;&gt;"",$C492&lt;&gt;"",ISNUMBER(--$D492)), $B492&amp;": "&amp;LEFT($C492,1)&amp;TEXT(--$D492,"00"), IF($I492&lt;&gt;"",$I492,$A492))</f>
        <v/>
      </c>
      <c r="O492">
        <f>IF(AND($C492&lt;&gt;"",ISNUMBER(--$D492)),LEFT($C492,1),"")</f>
        <v/>
      </c>
      <c r="P492">
        <f>IF(ISNUMBER(--$D492),--$D492,"")</f>
        <v/>
      </c>
      <c r="Q492">
        <f>IF(AND($O492&lt;&gt;"",$P492&lt;&gt;""),$O492&amp;TEXT($P492,"00"),"")</f>
        <v/>
      </c>
    </row>
    <row r="493">
      <c r="H493">
        <f>A493</f>
        <v/>
      </c>
      <c r="J493">
        <f>IF($I493&lt;&gt;"",$I493,$A493)</f>
        <v/>
      </c>
      <c r="K493">
        <f>IF($C493="","",IF(LEN($C493)=1,CODE(UPPER($C493))-64,IFERROR(VALUE(MID($C493,2,99)),"")))</f>
        <v/>
      </c>
      <c r="L493">
        <f>IF($D493="","",IFERROR(VALUE($D493),""))</f>
        <v/>
      </c>
      <c r="M493">
        <f>IFERROR(VALUE(MID($A493,FIND("Level",$A493)+5,99)),IF($E493="AISLE_FLOOR",0,IF($E493="OVERFLOW",0,IF($E493="ENDCAP",0,""))))</f>
        <v/>
      </c>
      <c r="N493">
        <f>IF(AND($B493&lt;&gt;"",$C493&lt;&gt;"",ISNUMBER(--$D493)), $B493&amp;": "&amp;LEFT($C493,1)&amp;TEXT(--$D493,"00"), IF($I493&lt;&gt;"",$I493,$A493))</f>
        <v/>
      </c>
      <c r="O493">
        <f>IF(AND($C493&lt;&gt;"",ISNUMBER(--$D493)),LEFT($C493,1),"")</f>
        <v/>
      </c>
      <c r="P493">
        <f>IF(ISNUMBER(--$D493),--$D493,"")</f>
        <v/>
      </c>
      <c r="Q493">
        <f>IF(AND($O493&lt;&gt;"",$P493&lt;&gt;""),$O493&amp;TEXT($P493,"00"),"")</f>
        <v/>
      </c>
    </row>
    <row r="494">
      <c r="H494">
        <f>A494</f>
        <v/>
      </c>
      <c r="J494">
        <f>IF($I494&lt;&gt;"",$I494,$A494)</f>
        <v/>
      </c>
      <c r="K494">
        <f>IF($C494="","",IF(LEN($C494)=1,CODE(UPPER($C494))-64,IFERROR(VALUE(MID($C494,2,99)),"")))</f>
        <v/>
      </c>
      <c r="L494">
        <f>IF($D494="","",IFERROR(VALUE($D494),""))</f>
        <v/>
      </c>
      <c r="M494">
        <f>IFERROR(VALUE(MID($A494,FIND("Level",$A494)+5,99)),IF($E494="AISLE_FLOOR",0,IF($E494="OVERFLOW",0,IF($E494="ENDCAP",0,""))))</f>
        <v/>
      </c>
      <c r="N494">
        <f>IF(AND($B494&lt;&gt;"",$C494&lt;&gt;"",ISNUMBER(--$D494)), $B494&amp;": "&amp;LEFT($C494,1)&amp;TEXT(--$D494,"00"), IF($I494&lt;&gt;"",$I494,$A494))</f>
        <v/>
      </c>
      <c r="O494">
        <f>IF(AND($C494&lt;&gt;"",ISNUMBER(--$D494)),LEFT($C494,1),"")</f>
        <v/>
      </c>
      <c r="P494">
        <f>IF(ISNUMBER(--$D494),--$D494,"")</f>
        <v/>
      </c>
      <c r="Q494">
        <f>IF(AND($O494&lt;&gt;"",$P494&lt;&gt;""),$O494&amp;TEXT($P494,"00"),"")</f>
        <v/>
      </c>
    </row>
    <row r="495">
      <c r="H495">
        <f>A495</f>
        <v/>
      </c>
      <c r="J495">
        <f>IF($I495&lt;&gt;"",$I495,$A495)</f>
        <v/>
      </c>
      <c r="K495">
        <f>IF($C495="","",IF(LEN($C495)=1,CODE(UPPER($C495))-64,IFERROR(VALUE(MID($C495,2,99)),"")))</f>
        <v/>
      </c>
      <c r="L495">
        <f>IF($D495="","",IFERROR(VALUE($D495),""))</f>
        <v/>
      </c>
      <c r="M495">
        <f>IFERROR(VALUE(MID($A495,FIND("Level",$A495)+5,99)),IF($E495="AISLE_FLOOR",0,IF($E495="OVERFLOW",0,IF($E495="ENDCAP",0,""))))</f>
        <v/>
      </c>
      <c r="N495">
        <f>IF(AND($B495&lt;&gt;"",$C495&lt;&gt;"",ISNUMBER(--$D495)), $B495&amp;": "&amp;LEFT($C495,1)&amp;TEXT(--$D495,"00"), IF($I495&lt;&gt;"",$I495,$A495))</f>
        <v/>
      </c>
      <c r="O495">
        <f>IF(AND($C495&lt;&gt;"",ISNUMBER(--$D495)),LEFT($C495,1),"")</f>
        <v/>
      </c>
      <c r="P495">
        <f>IF(ISNUMBER(--$D495),--$D495,"")</f>
        <v/>
      </c>
      <c r="Q495">
        <f>IF(AND($O495&lt;&gt;"",$P495&lt;&gt;""),$O495&amp;TEXT($P495,"00"),"")</f>
        <v/>
      </c>
    </row>
    <row r="496">
      <c r="H496">
        <f>A496</f>
        <v/>
      </c>
      <c r="J496">
        <f>IF($I496&lt;&gt;"",$I496,$A496)</f>
        <v/>
      </c>
      <c r="K496">
        <f>IF($C496="","",IF(LEN($C496)=1,CODE(UPPER($C496))-64,IFERROR(VALUE(MID($C496,2,99)),"")))</f>
        <v/>
      </c>
      <c r="L496">
        <f>IF($D496="","",IFERROR(VALUE($D496),""))</f>
        <v/>
      </c>
      <c r="M496">
        <f>IFERROR(VALUE(MID($A496,FIND("Level",$A496)+5,99)),IF($E496="AISLE_FLOOR",0,IF($E496="OVERFLOW",0,IF($E496="ENDCAP",0,""))))</f>
        <v/>
      </c>
      <c r="N496">
        <f>IF(AND($B496&lt;&gt;"",$C496&lt;&gt;"",ISNUMBER(--$D496)), $B496&amp;": "&amp;LEFT($C496,1)&amp;TEXT(--$D496,"00"), IF($I496&lt;&gt;"",$I496,$A496))</f>
        <v/>
      </c>
      <c r="O496">
        <f>IF(AND($C496&lt;&gt;"",ISNUMBER(--$D496)),LEFT($C496,1),"")</f>
        <v/>
      </c>
      <c r="P496">
        <f>IF(ISNUMBER(--$D496),--$D496,"")</f>
        <v/>
      </c>
      <c r="Q496">
        <f>IF(AND($O496&lt;&gt;"",$P496&lt;&gt;""),$O496&amp;TEXT($P496,"00"),"")</f>
        <v/>
      </c>
    </row>
    <row r="497">
      <c r="H497">
        <f>A497</f>
        <v/>
      </c>
      <c r="J497">
        <f>IF($I497&lt;&gt;"",$I497,$A497)</f>
        <v/>
      </c>
      <c r="K497">
        <f>IF($C497="","",IF(LEN($C497)=1,CODE(UPPER($C497))-64,IFERROR(VALUE(MID($C497,2,99)),"")))</f>
        <v/>
      </c>
      <c r="L497">
        <f>IF($D497="","",IFERROR(VALUE($D497),""))</f>
        <v/>
      </c>
      <c r="M497">
        <f>IFERROR(VALUE(MID($A497,FIND("Level",$A497)+5,99)),IF($E497="AISLE_FLOOR",0,IF($E497="OVERFLOW",0,IF($E497="ENDCAP",0,""))))</f>
        <v/>
      </c>
      <c r="N497">
        <f>IF(AND($B497&lt;&gt;"",$C497&lt;&gt;"",ISNUMBER(--$D497)), $B497&amp;": "&amp;LEFT($C497,1)&amp;TEXT(--$D497,"00"), IF($I497&lt;&gt;"",$I497,$A497))</f>
        <v/>
      </c>
      <c r="O497">
        <f>IF(AND($C497&lt;&gt;"",ISNUMBER(--$D497)),LEFT($C497,1),"")</f>
        <v/>
      </c>
      <c r="P497">
        <f>IF(ISNUMBER(--$D497),--$D497,"")</f>
        <v/>
      </c>
      <c r="Q497">
        <f>IF(AND($O497&lt;&gt;"",$P497&lt;&gt;""),$O497&amp;TEXT($P497,"00"),"")</f>
        <v/>
      </c>
    </row>
    <row r="498">
      <c r="H498">
        <f>A498</f>
        <v/>
      </c>
      <c r="J498">
        <f>IF($I498&lt;&gt;"",$I498,$A498)</f>
        <v/>
      </c>
      <c r="K498">
        <f>IF($C498="","",IF(LEN($C498)=1,CODE(UPPER($C498))-64,IFERROR(VALUE(MID($C498,2,99)),"")))</f>
        <v/>
      </c>
      <c r="L498">
        <f>IF($D498="","",IFERROR(VALUE($D498),""))</f>
        <v/>
      </c>
      <c r="M498">
        <f>IFERROR(VALUE(MID($A498,FIND("Level",$A498)+5,99)),IF($E498="AISLE_FLOOR",0,IF($E498="OVERFLOW",0,IF($E498="ENDCAP",0,""))))</f>
        <v/>
      </c>
      <c r="N498">
        <f>IF(AND($B498&lt;&gt;"",$C498&lt;&gt;"",ISNUMBER(--$D498)), $B498&amp;": "&amp;LEFT($C498,1)&amp;TEXT(--$D498,"00"), IF($I498&lt;&gt;"",$I498,$A498))</f>
        <v/>
      </c>
      <c r="O498">
        <f>IF(AND($C498&lt;&gt;"",ISNUMBER(--$D498)),LEFT($C498,1),"")</f>
        <v/>
      </c>
      <c r="P498">
        <f>IF(ISNUMBER(--$D498),--$D498,"")</f>
        <v/>
      </c>
      <c r="Q498">
        <f>IF(AND($O498&lt;&gt;"",$P498&lt;&gt;""),$O498&amp;TEXT($P498,"00"),"")</f>
        <v/>
      </c>
    </row>
    <row r="499">
      <c r="H499">
        <f>A499</f>
        <v/>
      </c>
      <c r="J499">
        <f>IF($I499&lt;&gt;"",$I499,$A499)</f>
        <v/>
      </c>
      <c r="K499">
        <f>IF($C499="","",IF(LEN($C499)=1,CODE(UPPER($C499))-64,IFERROR(VALUE(MID($C499,2,99)),"")))</f>
        <v/>
      </c>
      <c r="L499">
        <f>IF($D499="","",IFERROR(VALUE($D499),""))</f>
        <v/>
      </c>
      <c r="M499">
        <f>IFERROR(VALUE(MID($A499,FIND("Level",$A499)+5,99)),IF($E499="AISLE_FLOOR",0,IF($E499="OVERFLOW",0,IF($E499="ENDCAP",0,""))))</f>
        <v/>
      </c>
      <c r="N499">
        <f>IF(AND($B499&lt;&gt;"",$C499&lt;&gt;"",ISNUMBER(--$D499)), $B499&amp;": "&amp;LEFT($C499,1)&amp;TEXT(--$D499,"00"), IF($I499&lt;&gt;"",$I499,$A499))</f>
        <v/>
      </c>
      <c r="O499">
        <f>IF(AND($C499&lt;&gt;"",ISNUMBER(--$D499)),LEFT($C499,1),"")</f>
        <v/>
      </c>
      <c r="P499">
        <f>IF(ISNUMBER(--$D499),--$D499,"")</f>
        <v/>
      </c>
      <c r="Q499">
        <f>IF(AND($O499&lt;&gt;"",$P499&lt;&gt;""),$O499&amp;TEXT($P499,"00"),"")</f>
        <v/>
      </c>
    </row>
    <row r="500">
      <c r="H500">
        <f>A500</f>
        <v/>
      </c>
      <c r="J500">
        <f>IF($I500&lt;&gt;"",$I500,$A500)</f>
        <v/>
      </c>
      <c r="K500">
        <f>IF($C500="","",IF(LEN($C500)=1,CODE(UPPER($C500))-64,IFERROR(VALUE(MID($C500,2,99)),"")))</f>
        <v/>
      </c>
      <c r="L500">
        <f>IF($D500="","",IFERROR(VALUE($D500),""))</f>
        <v/>
      </c>
      <c r="M500">
        <f>IFERROR(VALUE(MID($A500,FIND("Level",$A500)+5,99)),IF($E500="AISLE_FLOOR",0,IF($E500="OVERFLOW",0,IF($E500="ENDCAP",0,""))))</f>
        <v/>
      </c>
      <c r="N500">
        <f>IF(AND($B500&lt;&gt;"",$C500&lt;&gt;"",ISNUMBER(--$D500)), $B500&amp;": "&amp;LEFT($C500,1)&amp;TEXT(--$D500,"00"), IF($I500&lt;&gt;"",$I500,$A500))</f>
        <v/>
      </c>
      <c r="O500">
        <f>IF(AND($C500&lt;&gt;"",ISNUMBER(--$D500)),LEFT($C500,1),"")</f>
        <v/>
      </c>
      <c r="P500">
        <f>IF(ISNUMBER(--$D500),--$D500,"")</f>
        <v/>
      </c>
      <c r="Q500">
        <f>IF(AND($O500&lt;&gt;"",$P500&lt;&gt;""),$O500&amp;TEXT($P500,"00"),"")</f>
        <v/>
      </c>
    </row>
    <row r="501">
      <c r="H501">
        <f>A501</f>
        <v/>
      </c>
      <c r="J501">
        <f>IF($I501&lt;&gt;"",$I501,$A501)</f>
        <v/>
      </c>
      <c r="K501">
        <f>IF($C501="","",IFERROR(VALUE(MID($C501,2,99)),""))</f>
        <v/>
      </c>
      <c r="L501">
        <f>IF($D501="","",IFERROR(VALUE($D501),""))</f>
        <v/>
      </c>
      <c r="M501">
        <f>IF($E501="AISLE_FLOOR",0,IF($E501="OVERFLOW",0,IF($E501="ENDCAP",0,"")))</f>
        <v/>
      </c>
      <c r="N501">
        <f>IF(AND($B501&lt;&gt;"",$C501&lt;&gt;"",ISNUMBER(--$D501)), $B501&amp;": "&amp;LEFT($C501,1)&amp;TEXT(--$D501,"00"), IF($I501&lt;&gt;"",$I501,$A501))</f>
        <v/>
      </c>
      <c r="O501">
        <f>IF(AND($C501&lt;&gt;"",ISNUMBER(--$D501)),LEFT($C501,1),"")</f>
        <v/>
      </c>
      <c r="P501">
        <f>IF(ISNUMBER(--$D501),--$D501,"")</f>
        <v/>
      </c>
      <c r="Q501">
        <f>IF(AND($O501&lt;&gt;"",$P501&lt;&gt;""),$O501&amp;TEXT($P501,"00"),"")</f>
        <v/>
      </c>
    </row>
  </sheetData>
  <conditionalFormatting sqref="A2:I2002">
    <cfRule type="expression" priority="1" dxfId="397" stopIfTrue="1">
      <formula>AND(TRIM($A2)="",OR($B2&lt;&gt;"",$C2&lt;&gt;"",$D2&lt;&gt;"",$E2&lt;&gt;"",$F2&lt;&gt;"",$I2&lt;&gt;""))</formula>
    </cfRule>
    <cfRule type="expression" priority="2" dxfId="397">
      <formula>AND(TRIM($A2)&lt;&gt;"",COUNTIF($A$2:$A$2002,$A2)&gt;1)</formula>
    </cfRule>
  </conditionalFormatting>
  <dataValidations count="6">
    <dataValidation sqref="E2:E500" showDropDown="0" showInputMessage="0" showErrorMessage="0" allowBlank="1" type="list">
      <formula1>"ENDCAP,CAGE,STAGE_IN,STAGE_OUT,QUARANTINE,OVERFLOW,AISLE_FLOOR"</formula1>
    </dataValidation>
    <dataValidation sqref="F2:F500" showDropDown="0" showInputMessage="0" showErrorMessage="0" allowBlank="1" type="whole">
      <formula1>1</formula1>
      <formula2>5</formula2>
    </dataValidation>
    <dataValidation sqref="G2:G500" showDropDown="0" showInputMessage="0" showErrorMessage="0" allowBlank="1" type="whole">
      <formula1>0</formula1>
      <formula2>365</formula2>
    </dataValidation>
    <dataValidation sqref="H2:H1048576 J2:Q1048576" showDropDown="0" showInputMessage="1" showErrorMessage="1" allowBlank="1" type="custom">
      <formula1>FALSE</formula1>
    </dataValidation>
    <dataValidation sqref="I2:I132" showDropDown="0" showInputMessage="1" showErrorMessage="1" allowBlank="1" errorTitle="Automated field, foo 🤡" error="Skedaddle 💨. Don't overwrite formulas 😄" type="custom">
      <formula1>FALSE</formula1>
    </dataValidation>
    <dataValidation sqref="A2:A347" showDropDown="0" showInputMessage="1" showErrorMessage="1" allowBlank="1" errorTitle="Automated field, foo 🤡" error="Skedaddle 💨. Don't overwrite formulas 😄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7">
    <tabColor theme="5" tint="0.5999938962981048"/>
    <outlinePr summaryBelow="1" summaryRight="1"/>
    <pageSetUpPr/>
  </sheetPr>
  <dimension ref="A1:J501"/>
  <sheetViews>
    <sheetView workbookViewId="0">
      <pane xSplit="1" ySplit="1" topLeftCell="B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91" min="1" max="1"/>
    <col width="12" customWidth="1" style="91" min="2" max="2"/>
    <col width="10" customWidth="1" style="91" min="3" max="3"/>
    <col width="28" customWidth="1" style="91" min="4" max="4"/>
    <col width="10" customWidth="1" style="91" min="6" max="6"/>
    <col width="18" customWidth="1" style="91" min="8" max="8"/>
    <col width="30" customWidth="1" style="91" min="10" max="10"/>
  </cols>
  <sheetData>
    <row r="1" ht="30" customHeight="1" s="91">
      <c r="A1" s="90" t="inlineStr">
        <is>
          <t>Action</t>
        </is>
      </c>
      <c r="B1" s="90" t="inlineStr">
        <is>
          <t>FromLocation (AUTO)</t>
        </is>
      </c>
      <c r="C1" s="90" t="inlineStr">
        <is>
          <t>PalletID</t>
        </is>
      </c>
      <c r="D1" s="90" t="inlineStr">
        <is>
          <t>ToLocation</t>
        </is>
      </c>
      <c r="E1" s="90" t="inlineStr">
        <is>
          <t>Item</t>
        </is>
      </c>
      <c r="F1" s="90" t="inlineStr">
        <is>
          <t>ByWho</t>
        </is>
      </c>
      <c r="G1" s="90" t="inlineStr">
        <is>
          <t>Qty</t>
        </is>
      </c>
      <c r="H1" s="90" t="inlineStr">
        <is>
          <t>Ref(PO/Wave/WO)</t>
        </is>
      </c>
      <c r="I1" s="90" t="inlineStr">
        <is>
          <t>RECEIVE</t>
        </is>
      </c>
      <c r="J1" s="90" t="inlineStr">
        <is>
          <t>Notes</t>
        </is>
      </c>
    </row>
    <row r="2">
      <c r="A2" s="46" t="n">
        <v>46052.375</v>
      </c>
      <c r="B2" t="inlineStr">
        <is>
          <t>PAL001</t>
        </is>
      </c>
      <c r="C2" t="inlineStr">
        <is>
          <t>WH-Z1-A01-AISLE-FLOOR-02</t>
        </is>
      </c>
      <c r="D2">
        <f>IF($C2="","",IFERROR(LOOKUP(2,1/($C$2:INDEX($C:$C,ROW()-1)=$C2),$E$2:INDEX($E:$E,ROW()-1)),IFERROR(VLOOKUP($C2,'01_Warehouse_Ledger'!$A$2:$C$2002,3,FALSE),"")))</f>
        <v/>
      </c>
      <c r="E2" t="inlineStr">
        <is>
          <t>SAMPLE-REF-PAL001</t>
        </is>
      </c>
      <c r="G2" s="25" t="n"/>
      <c r="H2" t="inlineStr">
        <is>
          <t>B:OVERFLOW-&lt;ClientLastName&gt;-PO&lt;PO&gt;-&lt;Category&gt;-&lt;Seq&gt;</t>
        </is>
      </c>
      <c r="I2" t="inlineStr">
        <is>
          <t>SAMPLE: initial receipt</t>
        </is>
      </c>
      <c r="J2" t="inlineStr">
        <is>
          <t>PAL002</t>
        </is>
      </c>
    </row>
    <row r="3">
      <c r="A3" s="46" t="n">
        <v>46052.37986111111</v>
      </c>
      <c r="B3" t="inlineStr">
        <is>
          <t>PAL001</t>
        </is>
      </c>
      <c r="C3" t="inlineStr">
        <is>
          <t>SAMPLE-REF-PAL002</t>
        </is>
      </c>
      <c r="D3">
        <f>IF($C3="","",IFERROR(LOOKUP(2,1/($C$2:INDEX($C:$C,ROW()-1)=$C3),$E$2:INDEX($E:$E,ROW()-1)),IFERROR(VLOOKUP($C3,'01_Warehouse_Ledger'!$A$2:$C$2002,3,FALSE),"")))</f>
        <v/>
      </c>
      <c r="E3" t="inlineStr">
        <is>
          <t>STAGED</t>
        </is>
      </c>
      <c r="G3" s="25" t="n"/>
      <c r="H3" t="inlineStr">
        <is>
          <t>B:OVERFLOW-&lt;ClientLastName&gt;-PO&lt;PO&gt;-&lt;Category&gt;-&lt;Seq&gt;</t>
        </is>
      </c>
      <c r="I3" t="inlineStr">
        <is>
          <t>PAL003</t>
        </is>
      </c>
      <c r="J3" t="inlineStr">
        <is>
          <t>PAL002</t>
        </is>
      </c>
    </row>
    <row r="4">
      <c r="A4" s="46" t="n">
        <v>46052.38472222222</v>
      </c>
      <c r="B4" t="inlineStr">
        <is>
          <t>PAL001</t>
        </is>
      </c>
      <c r="C4" t="inlineStr">
        <is>
          <t>SAMPLE-REF-PAL003</t>
        </is>
      </c>
      <c r="D4">
        <f>IF($C4="","",IFERROR(LOOKUP(2,1/($C$2:INDEX($C:$C,ROW()-1)=$C4),$E$2:INDEX($E:$E,ROW()-1)),IFERROR(VLOOKUP($C4,'01_Warehouse_Ledger'!$A$2:$C$2002,3,FALSE),"")))</f>
        <v/>
      </c>
      <c r="E4" t="inlineStr">
        <is>
          <t>UNSAFE</t>
        </is>
      </c>
      <c r="G4" s="25" t="n"/>
      <c r="H4" t="inlineStr">
        <is>
          <t>B:OVERFLOW-&lt;ClientLastName&gt;-PO&lt;PO&gt;-&lt;Category&gt;-&lt;Seq&gt;</t>
        </is>
      </c>
      <c r="I4" t="inlineStr">
        <is>
          <t>PAL004</t>
        </is>
      </c>
      <c r="J4" t="inlineStr">
        <is>
          <t>PAL002</t>
        </is>
      </c>
    </row>
    <row r="5">
      <c r="A5" s="46" t="n">
        <v>46052.38958333333</v>
      </c>
      <c r="B5" t="inlineStr">
        <is>
          <t>PAL001</t>
        </is>
      </c>
      <c r="C5" t="inlineStr">
        <is>
          <t>SAMPLE-REF-PAL004</t>
        </is>
      </c>
      <c r="D5">
        <f>IF($C5="","",IFERROR(LOOKUP(2,1/($C$2:INDEX($C:$C,ROW()-1)=$C5),$E$2:INDEX($E:$E,ROW()-1)),IFERROR(VLOOKUP($C5,'01_Warehouse_Ledger'!$A$2:$C$2002,3,FALSE),"")))</f>
        <v/>
      </c>
      <c r="E5" t="inlineStr">
        <is>
          <t>UNSAFE</t>
        </is>
      </c>
      <c r="G5" s="25" t="n"/>
      <c r="H5" t="inlineStr">
        <is>
          <t>B:OVERFLOW-&lt;ClientLastName&gt;-PO&lt;PO&gt;-&lt;Category&gt;-&lt;Seq&gt;</t>
        </is>
      </c>
      <c r="I5" t="inlineStr">
        <is>
          <t>PAL005</t>
        </is>
      </c>
      <c r="J5" t="inlineStr">
        <is>
          <t>PAL002</t>
        </is>
      </c>
    </row>
    <row r="6">
      <c r="A6" s="46" t="n">
        <v>46052.39444444444</v>
      </c>
      <c r="B6" t="inlineStr">
        <is>
          <t>PAL001</t>
        </is>
      </c>
      <c r="C6" t="inlineStr">
        <is>
          <t>WH-Z1-A01-AISLE-FLOOR-01</t>
        </is>
      </c>
      <c r="D6">
        <f>IF($C6="","",IFERROR(LOOKUP(2,1/($C$2:INDEX($C:$C,ROW()-1)=$C6),$E$2:INDEX($E:$E,ROW()-1)),IFERROR(VLOOKUP($C6,'01_Warehouse_Ledger'!$A$2:$C$2002,3,FALSE),"")))</f>
        <v/>
      </c>
      <c r="E6" t="inlineStr">
        <is>
          <t>SAMPLE-REF-PAL005</t>
        </is>
      </c>
      <c r="G6" s="25" t="n"/>
      <c r="H6" t="inlineStr">
        <is>
          <t>B:OVERFLOW-&lt;ClientLastName&gt;-PO&lt;PO&gt;-&lt;Category&gt;-&lt;Seq&gt;</t>
        </is>
      </c>
      <c r="I6" t="inlineStr">
        <is>
          <t>PAL006</t>
        </is>
      </c>
      <c r="J6" t="inlineStr">
        <is>
          <t>PAL002</t>
        </is>
      </c>
    </row>
    <row r="7">
      <c r="A7" s="46" t="n">
        <v>46052.39930555555</v>
      </c>
      <c r="B7" t="inlineStr">
        <is>
          <t>PAL001</t>
        </is>
      </c>
      <c r="C7" t="inlineStr">
        <is>
          <t>WH-Z1-A01-AISLE-FLOOR-03</t>
        </is>
      </c>
      <c r="D7">
        <f>IF($C7="","",IFERROR(LOOKUP(2,1/($C$2:INDEX($C:$C,ROW()-1)=$C7),$E$2:INDEX($E:$E,ROW()-1)),IFERROR(VLOOKUP($C7,'01_Warehouse_Ledger'!$A$2:$C$2002,3,FALSE),"")))</f>
        <v/>
      </c>
      <c r="E7" t="inlineStr">
        <is>
          <t>SAMPLE-REF-PAL006</t>
        </is>
      </c>
      <c r="G7" s="25" t="n"/>
      <c r="H7" t="inlineStr">
        <is>
          <t>B:OVERFLOW-&lt;ClientLastName&gt;-PO&lt;PO&gt;-&lt;Category&gt;-&lt;Seq&gt;</t>
        </is>
      </c>
      <c r="I7" t="inlineStr">
        <is>
          <t>PAL007</t>
        </is>
      </c>
      <c r="J7" t="inlineStr">
        <is>
          <t>PAL002</t>
        </is>
      </c>
    </row>
    <row r="8">
      <c r="A8" s="46" t="n">
        <v>46052.40416666667</v>
      </c>
      <c r="B8" t="inlineStr">
        <is>
          <t>PAL001</t>
        </is>
      </c>
      <c r="C8" t="inlineStr">
        <is>
          <t>WH-Z1-A01-AISLE-FLOOR-04</t>
        </is>
      </c>
      <c r="D8">
        <f>IF($C8="","",IFERROR(LOOKUP(2,1/($C$2:INDEX($C:$C,ROW()-1)=$C8),$E$2:INDEX($E:$E,ROW()-1)),IFERROR(VLOOKUP($C8,'01_Warehouse_Ledger'!$A$2:$C$2002,3,FALSE),"")))</f>
        <v/>
      </c>
      <c r="E8" t="inlineStr">
        <is>
          <t>SAMPLE-REF-PAL007</t>
        </is>
      </c>
      <c r="G8" s="25" t="n"/>
      <c r="H8" t="inlineStr">
        <is>
          <t>B:OVERFLOW-&lt;ClientLastName&gt;-PO&lt;PO&gt;-&lt;Category&gt;-&lt;Seq&gt;</t>
        </is>
      </c>
      <c r="I8" t="inlineStr">
        <is>
          <t>PAL008</t>
        </is>
      </c>
      <c r="J8" t="inlineStr">
        <is>
          <t>PAL002</t>
        </is>
      </c>
    </row>
    <row r="9">
      <c r="A9" s="46" t="n">
        <v>46052.40902777778</v>
      </c>
      <c r="B9" t="inlineStr">
        <is>
          <t>PAL001</t>
        </is>
      </c>
      <c r="C9" t="inlineStr">
        <is>
          <t>WH-Z1-A01-AISLE-FLOOR-05</t>
        </is>
      </c>
      <c r="D9">
        <f>IF($C9="","",IFERROR(LOOKUP(2,1/($C$2:INDEX($C:$C,ROW()-1)=$C9),$E$2:INDEX($E:$E,ROW()-1)),IFERROR(VLOOKUP($C9,'01_Warehouse_Ledger'!$A$2:$C$2002,3,FALSE),"")))</f>
        <v/>
      </c>
      <c r="E9" t="inlineStr">
        <is>
          <t>SAMPLE-REF-PAL008</t>
        </is>
      </c>
      <c r="G9" s="25" t="n"/>
      <c r="H9" t="inlineStr">
        <is>
          <t>B:OVERFLOW-&lt;ClientLastName&gt;-PO&lt;PO&gt;-&lt;Category&gt;-&lt;Seq&gt;</t>
        </is>
      </c>
      <c r="I9" t="inlineStr">
        <is>
          <t>PAL009</t>
        </is>
      </c>
      <c r="J9" t="inlineStr">
        <is>
          <t>PAL002</t>
        </is>
      </c>
    </row>
    <row r="10">
      <c r="A10" s="46" t="n">
        <v>46052.41388888889</v>
      </c>
      <c r="B10" t="inlineStr">
        <is>
          <t>PAL001</t>
        </is>
      </c>
      <c r="C10" t="inlineStr">
        <is>
          <t>WH-Z1-A01-AISLE-FLOOR-06</t>
        </is>
      </c>
      <c r="D10">
        <f>IF($C10="","",IFERROR(LOOKUP(2,1/($C$2:INDEX($C:$C,ROW()-1)=$C10),$E$2:INDEX($E:$E,ROW()-1)),IFERROR(VLOOKUP($C10,'01_Warehouse_Ledger'!$A$2:$C$2002,3,FALSE),"")))</f>
        <v/>
      </c>
      <c r="E10" t="inlineStr">
        <is>
          <t>SAMPLE-REF-PAL009</t>
        </is>
      </c>
      <c r="G10" s="25" t="n"/>
      <c r="H10" t="inlineStr">
        <is>
          <t>B:OVERFLOW-&lt;ClientLastName&gt;-PO&lt;PO&gt;-&lt;Category&gt;-&lt;Seq&gt;</t>
        </is>
      </c>
      <c r="I10" t="inlineStr">
        <is>
          <t>PAL010</t>
        </is>
      </c>
      <c r="J10" t="inlineStr">
        <is>
          <t>PAL002</t>
        </is>
      </c>
    </row>
    <row r="11">
      <c r="A11" s="46" t="n">
        <v>46052.41875</v>
      </c>
      <c r="B11" t="inlineStr">
        <is>
          <t>PAL001</t>
        </is>
      </c>
      <c r="C11" t="inlineStr">
        <is>
          <t>WH-Z1-A01-AISLE-FLOOR-07</t>
        </is>
      </c>
      <c r="D11">
        <f>IF($C11="","",IFERROR(LOOKUP(2,1/($C$2:INDEX($C:$C,ROW()-1)=$C11),$E$2:INDEX($E:$E,ROW()-1)),IFERROR(VLOOKUP($C11,'01_Warehouse_Ledger'!$A$2:$C$2002,3,FALSE),"")))</f>
        <v/>
      </c>
      <c r="E11" t="inlineStr">
        <is>
          <t>SAMPLE-REF-PAL010</t>
        </is>
      </c>
      <c r="G11" s="25" t="n"/>
      <c r="H11" t="inlineStr">
        <is>
          <t>B:OVERFLOW-&lt;ClientLastName&gt;-PO&lt;PO&gt;-&lt;Category&gt;-&lt;Seq&gt;</t>
        </is>
      </c>
      <c r="I11" t="inlineStr">
        <is>
          <t>PAL011</t>
        </is>
      </c>
      <c r="J11" t="inlineStr">
        <is>
          <t>PAL002</t>
        </is>
      </c>
    </row>
    <row r="12">
      <c r="A12" s="46" t="n">
        <v>46052.42361111111</v>
      </c>
      <c r="B12" t="inlineStr">
        <is>
          <t>PAL001</t>
        </is>
      </c>
      <c r="C12" t="inlineStr">
        <is>
          <t>WH-Z1-A01-AISLE-FLOOR-08</t>
        </is>
      </c>
      <c r="D12">
        <f>IF($C12="","",IFERROR(LOOKUP(2,1/($C$2:INDEX($C:$C,ROW()-1)=$C12),$E$2:INDEX($E:$E,ROW()-1)),IFERROR(VLOOKUP($C12,'01_Warehouse_Ledger'!$A$2:$C$2002,3,FALSE),"")))</f>
        <v/>
      </c>
      <c r="E12" t="inlineStr">
        <is>
          <t>SAMPLE-REF-PAL011</t>
        </is>
      </c>
      <c r="G12" s="25" t="n"/>
      <c r="H12" t="inlineStr">
        <is>
          <t>B:OVERFLOW-&lt;ClientLastName&gt;-PO&lt;PO&gt;-&lt;Category&gt;-&lt;Seq&gt;</t>
        </is>
      </c>
      <c r="I12" t="inlineStr">
        <is>
          <t>PAL012</t>
        </is>
      </c>
      <c r="J12" t="inlineStr">
        <is>
          <t>PAL002</t>
        </is>
      </c>
    </row>
    <row r="13">
      <c r="A13" s="46" t="n">
        <v>46052.42847222222</v>
      </c>
      <c r="B13" t="inlineStr">
        <is>
          <t>PAL001</t>
        </is>
      </c>
      <c r="C13" t="inlineStr">
        <is>
          <t>WH-Z1-A01-AISLE-FLOOR-09</t>
        </is>
      </c>
      <c r="D13">
        <f>IF($C13="","",IFERROR(LOOKUP(2,1/($C$2:INDEX($C:$C,ROW()-1)=$C13),$E$2:INDEX($E:$E,ROW()-1)),IFERROR(VLOOKUP($C13,'01_Warehouse_Ledger'!$A$2:$C$2002,3,FALSE),"")))</f>
        <v/>
      </c>
      <c r="E13" t="inlineStr">
        <is>
          <t>SAMPLE-REF-PAL012</t>
        </is>
      </c>
      <c r="G13" s="25" t="n"/>
      <c r="H13" t="inlineStr">
        <is>
          <t>B:OVERFLOW-&lt;ClientLastName&gt;-PO&lt;PO&gt;-&lt;Category&gt;-&lt;Seq&gt;</t>
        </is>
      </c>
      <c r="I13" t="inlineStr">
        <is>
          <t>PAL013</t>
        </is>
      </c>
      <c r="J13" t="inlineStr">
        <is>
          <t>PAL002</t>
        </is>
      </c>
    </row>
    <row r="14">
      <c r="A14" s="46" t="n">
        <v>46052.43333333333</v>
      </c>
      <c r="B14" t="inlineStr">
        <is>
          <t>PAL001</t>
        </is>
      </c>
      <c r="C14" t="inlineStr">
        <is>
          <t>WH-Z1-A01-AISLE-FLOOR-10</t>
        </is>
      </c>
      <c r="D14">
        <f>IF($C14="","",IFERROR(LOOKUP(2,1/($C$2:INDEX($C:$C,ROW()-1)=$C14),$E$2:INDEX($E:$E,ROW()-1)),IFERROR(VLOOKUP($C14,'01_Warehouse_Ledger'!$A$2:$C$2002,3,FALSE),"")))</f>
        <v/>
      </c>
      <c r="E14" t="inlineStr">
        <is>
          <t>SAMPLE-REF-PAL013</t>
        </is>
      </c>
      <c r="G14" s="25" t="n"/>
      <c r="H14" t="inlineStr">
        <is>
          <t>B:OVERFLOW-&lt;ClientLastName&gt;-PO&lt;PO&gt;-&lt;Category&gt;-&lt;Seq&gt;</t>
        </is>
      </c>
      <c r="I14" t="inlineStr">
        <is>
          <t>PAL014</t>
        </is>
      </c>
      <c r="J14" t="inlineStr">
        <is>
          <t>PAL002</t>
        </is>
      </c>
    </row>
    <row r="15">
      <c r="A15" s="46" t="n">
        <v>46052.43819444445</v>
      </c>
      <c r="B15" t="inlineStr">
        <is>
          <t>PAL001</t>
        </is>
      </c>
      <c r="C15" t="inlineStr">
        <is>
          <t>WH-Z1-A01-AISLE-FLOOR-11</t>
        </is>
      </c>
      <c r="D15">
        <f>IF($C15="","",IFERROR(LOOKUP(2,1/($C$2:INDEX($C:$C,ROW()-1)=$C15),$E$2:INDEX($E:$E,ROW()-1)),IFERROR(VLOOKUP($C15,'01_Warehouse_Ledger'!$A$2:$C$2002,3,FALSE),"")))</f>
        <v/>
      </c>
      <c r="E15" t="inlineStr">
        <is>
          <t>SAMPLE-REF-PAL014</t>
        </is>
      </c>
      <c r="G15" s="25" t="n"/>
      <c r="H15" t="inlineStr">
        <is>
          <t>B:OVERFLOW-&lt;ClientLastName&gt;-PO&lt;PO&gt;-&lt;Category&gt;-&lt;Seq&gt;</t>
        </is>
      </c>
      <c r="I15" t="inlineStr">
        <is>
          <t>PAL015</t>
        </is>
      </c>
      <c r="J15" t="inlineStr">
        <is>
          <t>PAL002</t>
        </is>
      </c>
    </row>
    <row r="16">
      <c r="A16" s="46" t="n">
        <v>46052.44305555556</v>
      </c>
      <c r="B16" t="inlineStr">
        <is>
          <t>PAL001</t>
        </is>
      </c>
      <c r="C16" t="inlineStr">
        <is>
          <t>WH-Z1-A01-AISLE-FLOOR-12</t>
        </is>
      </c>
      <c r="D16">
        <f>IF($C16="","",IFERROR(LOOKUP(2,1/($C$2:INDEX($C:$C,ROW()-1)=$C16),$E$2:INDEX($E:$E,ROW()-1)),IFERROR(VLOOKUP($C16,'01_Warehouse_Ledger'!$A$2:$C$2002,3,FALSE),"")))</f>
        <v/>
      </c>
      <c r="E16" t="inlineStr">
        <is>
          <t>SAMPLE-REF-PAL015</t>
        </is>
      </c>
      <c r="G16" s="25" t="n"/>
      <c r="H16" t="inlineStr">
        <is>
          <t>B:OVERFLOW-&lt;ClientLastName&gt;-PO&lt;PO&gt;-&lt;Category&gt;-&lt;Seq&gt;</t>
        </is>
      </c>
      <c r="I16" t="inlineStr">
        <is>
          <t>PAL016</t>
        </is>
      </c>
      <c r="J16" t="inlineStr">
        <is>
          <t>PAL002</t>
        </is>
      </c>
    </row>
    <row r="17">
      <c r="A17" s="46" t="n">
        <v>46052.44791666666</v>
      </c>
      <c r="B17" t="inlineStr">
        <is>
          <t>PAL001</t>
        </is>
      </c>
      <c r="C17" t="inlineStr">
        <is>
          <t>WH-Z1-A01-AISLE-FLOOR-13</t>
        </is>
      </c>
      <c r="D17">
        <f>IF($C17="","",IFERROR(LOOKUP(2,1/($C$2:INDEX($C:$C,ROW()-1)=$C17),$E$2:INDEX($E:$E,ROW()-1)),IFERROR(VLOOKUP($C17,'01_Warehouse_Ledger'!$A$2:$C$2002,3,FALSE),"")))</f>
        <v/>
      </c>
      <c r="E17" t="inlineStr">
        <is>
          <t>SAMPLE-REF-PAL016</t>
        </is>
      </c>
      <c r="G17" s="25" t="n"/>
      <c r="H17" t="inlineStr">
        <is>
          <t>B:OVERFLOW-&lt;ClientLastName&gt;-PO&lt;PO&gt;-&lt;Category&gt;-&lt;Seq&gt;</t>
        </is>
      </c>
      <c r="I17" t="inlineStr">
        <is>
          <t>PAL017</t>
        </is>
      </c>
      <c r="J17" t="inlineStr">
        <is>
          <t>PAL002</t>
        </is>
      </c>
    </row>
    <row r="18">
      <c r="A18" s="46" t="n">
        <v>46052.45277777778</v>
      </c>
      <c r="B18" t="inlineStr">
        <is>
          <t>PAL001</t>
        </is>
      </c>
      <c r="C18" t="inlineStr">
        <is>
          <t>WH-Z1-A01-AISLE-FLOOR-14</t>
        </is>
      </c>
      <c r="D18">
        <f>IF($C18="","",IFERROR(LOOKUP(2,1/($C$2:INDEX($C:$C,ROW()-1)=$C18),$E$2:INDEX($E:$E,ROW()-1)),IFERROR(VLOOKUP($C18,'01_Warehouse_Ledger'!$A$2:$C$2002,3,FALSE),"")))</f>
        <v/>
      </c>
      <c r="E18" t="inlineStr">
        <is>
          <t>SAMPLE-REF-PAL017</t>
        </is>
      </c>
      <c r="G18" s="25" t="n"/>
      <c r="H18" t="inlineStr">
        <is>
          <t>B:OVERFLOW-&lt;ClientLastName&gt;-PO&lt;PO&gt;-&lt;Category&gt;-&lt;Seq&gt;</t>
        </is>
      </c>
      <c r="I18" t="inlineStr">
        <is>
          <t>PAL018</t>
        </is>
      </c>
      <c r="J18" t="inlineStr">
        <is>
          <t>PAL002</t>
        </is>
      </c>
    </row>
    <row r="19">
      <c r="A19" s="46" t="n">
        <v>46052.45763888889</v>
      </c>
      <c r="B19" t="inlineStr">
        <is>
          <t>PAL001</t>
        </is>
      </c>
      <c r="C19" t="inlineStr">
        <is>
          <t>WH-Z1-A01-AISLE-FLOOR-15</t>
        </is>
      </c>
      <c r="D19">
        <f>IF($C19="","",IFERROR(LOOKUP(2,1/($C$2:INDEX($C:$C,ROW()-1)=$C19),$E$2:INDEX($E:$E,ROW()-1)),IFERROR(VLOOKUP($C19,'01_Warehouse_Ledger'!$A$2:$C$2002,3,FALSE),"")))</f>
        <v/>
      </c>
      <c r="E19" t="inlineStr">
        <is>
          <t>SAMPLE-REF-PAL018</t>
        </is>
      </c>
      <c r="G19" s="25" t="n"/>
      <c r="H19" t="inlineStr">
        <is>
          <t>B:OVERFLOW-&lt;ClientLastName&gt;-PO&lt;PO&gt;-&lt;Category&gt;-&lt;Seq&gt;</t>
        </is>
      </c>
      <c r="I19" t="inlineStr">
        <is>
          <t>PAL019</t>
        </is>
      </c>
      <c r="J19" t="inlineStr">
        <is>
          <t>PAL002</t>
        </is>
      </c>
    </row>
    <row r="20">
      <c r="A20" s="46" t="n">
        <v>46052.4625</v>
      </c>
      <c r="B20" t="inlineStr">
        <is>
          <t>PAL001</t>
        </is>
      </c>
      <c r="C20" t="inlineStr">
        <is>
          <t>WH-Z1-A01-AISLE-FLOOR-16</t>
        </is>
      </c>
      <c r="D20">
        <f>IF($C20="","",IFERROR(LOOKUP(2,1/($C$2:INDEX($C:$C,ROW()-1)=$C20),$E$2:INDEX($E:$E,ROW()-1)),IFERROR(VLOOKUP($C20,'01_Warehouse_Ledger'!$A$2:$C$2002,3,FALSE),"")))</f>
        <v/>
      </c>
      <c r="E20" t="inlineStr">
        <is>
          <t>SAMPLE-REF-PAL019</t>
        </is>
      </c>
      <c r="G20" s="25" t="n"/>
      <c r="H20" t="inlineStr">
        <is>
          <t>B:OVERFLOW-&lt;ClientLastName&gt;-PO&lt;PO&gt;-&lt;Category&gt;-&lt;Seq&gt;</t>
        </is>
      </c>
      <c r="I20" t="inlineStr">
        <is>
          <t>PAL020</t>
        </is>
      </c>
      <c r="J20" t="inlineStr">
        <is>
          <t>PAL002</t>
        </is>
      </c>
    </row>
    <row r="21">
      <c r="A21" s="46" t="n">
        <v>46052.46736111111</v>
      </c>
      <c r="B21" t="inlineStr">
        <is>
          <t>PAL001</t>
        </is>
      </c>
      <c r="C21" t="inlineStr">
        <is>
          <t>WH-Z1-A01-AISLE-FLOOR-17</t>
        </is>
      </c>
      <c r="D21">
        <f>IF($C21="","",IFERROR(LOOKUP(2,1/($C$2:INDEX($C:$C,ROW()-1)=$C21),$E$2:INDEX($E:$E,ROW()-1)),IFERROR(VLOOKUP($C21,'01_Warehouse_Ledger'!$A$2:$C$2002,3,FALSE),"")))</f>
        <v/>
      </c>
      <c r="E21" t="inlineStr">
        <is>
          <t>SAMPLE-REF-PAL020</t>
        </is>
      </c>
      <c r="G21" s="25" t="n"/>
      <c r="H21" t="inlineStr">
        <is>
          <t>B:OVERFLOW-&lt;ClientLastName&gt;-PO&lt;PO&gt;-&lt;Category&gt;-&lt;Seq&gt;</t>
        </is>
      </c>
      <c r="I21" t="inlineStr">
        <is>
          <t>PAL021</t>
        </is>
      </c>
      <c r="J21" t="inlineStr">
        <is>
          <t>PAL002</t>
        </is>
      </c>
    </row>
    <row r="22">
      <c r="A22" s="46" t="n">
        <v>46052.47222222222</v>
      </c>
      <c r="B22" t="inlineStr">
        <is>
          <t>PAL001</t>
        </is>
      </c>
      <c r="C22" t="inlineStr">
        <is>
          <t>WH-Z1-A01-AISLE-FLOOR-18</t>
        </is>
      </c>
      <c r="D22">
        <f>IF($C22="","",IFERROR(LOOKUP(2,1/($C$2:INDEX($C:$C,ROW()-1)=$C22),$E$2:INDEX($E:$E,ROW()-1)),IFERROR(VLOOKUP($C22,'01_Warehouse_Ledger'!$A$2:$C$2002,3,FALSE),"")))</f>
        <v/>
      </c>
      <c r="E22" t="inlineStr">
        <is>
          <t>SAMPLE-REF-PAL021</t>
        </is>
      </c>
      <c r="G22" s="25" t="n"/>
      <c r="H22" t="inlineStr">
        <is>
          <t>B:OVERFLOW-&lt;ClientLastName&gt;-PO&lt;PO&gt;-&lt;Category&gt;-&lt;Seq&gt;</t>
        </is>
      </c>
      <c r="I22" t="inlineStr">
        <is>
          <t>PAL022</t>
        </is>
      </c>
      <c r="J22" t="inlineStr">
        <is>
          <t>PAL002</t>
        </is>
      </c>
    </row>
    <row r="23">
      <c r="A23" s="46" t="n">
        <v>46052.47708333333</v>
      </c>
      <c r="B23" t="inlineStr">
        <is>
          <t>PAL001</t>
        </is>
      </c>
      <c r="C23" t="inlineStr">
        <is>
          <t>WH-Z1-A01-AISLE-FLOOR-19</t>
        </is>
      </c>
      <c r="D23">
        <f>IF($C23="","",IFERROR(LOOKUP(2,1/($C$2:INDEX($C:$C,ROW()-1)=$C23),$E$2:INDEX($E:$E,ROW()-1)),IFERROR(VLOOKUP($C23,'01_Warehouse_Ledger'!$A$2:$C$2002,3,FALSE),"")))</f>
        <v/>
      </c>
      <c r="E23" t="inlineStr">
        <is>
          <t>SAMPLE-REF-PAL022</t>
        </is>
      </c>
      <c r="G23" s="25" t="n"/>
      <c r="H23" t="inlineStr">
        <is>
          <t>B:OVERFLOW-&lt;ClientLastName&gt;-PO&lt;PO&gt;-&lt;Category&gt;-&lt;Seq&gt;</t>
        </is>
      </c>
      <c r="I23" t="inlineStr">
        <is>
          <t>PAL023</t>
        </is>
      </c>
      <c r="J23" t="inlineStr">
        <is>
          <t>PAL002</t>
        </is>
      </c>
    </row>
    <row r="24">
      <c r="A24" s="46" t="n">
        <v>46052.48194444444</v>
      </c>
      <c r="B24" t="inlineStr">
        <is>
          <t>PAL001</t>
        </is>
      </c>
      <c r="C24" t="inlineStr">
        <is>
          <t>WH-Z1-A01-AISLE-FLOOR-20</t>
        </is>
      </c>
      <c r="D24">
        <f>IF($C24="","",IFERROR(LOOKUP(2,1/($C$2:INDEX($C:$C,ROW()-1)=$C24),$E$2:INDEX($E:$E,ROW()-1)),IFERROR(VLOOKUP($C24,'01_Warehouse_Ledger'!$A$2:$C$2002,3,FALSE),"")))</f>
        <v/>
      </c>
      <c r="E24" t="inlineStr">
        <is>
          <t>SAMPLE-REF-PAL023</t>
        </is>
      </c>
      <c r="G24" s="25" t="n"/>
      <c r="H24" t="inlineStr">
        <is>
          <t>B:OVERFLOW-&lt;ClientLastName&gt;-PO&lt;PO&gt;-&lt;Category&gt;-&lt;Seq&gt;</t>
        </is>
      </c>
      <c r="I24" t="inlineStr">
        <is>
          <t>PAL024</t>
        </is>
      </c>
      <c r="J24" t="inlineStr">
        <is>
          <t>PAL002</t>
        </is>
      </c>
    </row>
    <row r="25">
      <c r="A25" s="46" t="n">
        <v>46052.48680555556</v>
      </c>
      <c r="B25" t="inlineStr">
        <is>
          <t>PAL001</t>
        </is>
      </c>
      <c r="C25" t="inlineStr">
        <is>
          <t>WH-Z1-B01-AISLE-FLOOR-01</t>
        </is>
      </c>
      <c r="D25">
        <f>IF($C25="","",IFERROR(LOOKUP(2,1/($C$2:INDEX($C:$C,ROW()-1)=$C25),$E$2:INDEX($E:$E,ROW()-1)),IFERROR(VLOOKUP($C25,'01_Warehouse_Ledger'!$A$2:$C$2002,3,FALSE),"")))</f>
        <v/>
      </c>
      <c r="E25" t="inlineStr">
        <is>
          <t>SAMPLE-REF-PAL024</t>
        </is>
      </c>
      <c r="G25" s="25" t="n"/>
      <c r="H25" t="inlineStr">
        <is>
          <t>B:OVERFLOW-&lt;ClientLastName&gt;-PO&lt;PO&gt;-&lt;Category&gt;-&lt;Seq&gt;</t>
        </is>
      </c>
      <c r="I25" t="inlineStr">
        <is>
          <t>PAL025</t>
        </is>
      </c>
      <c r="J25" t="inlineStr">
        <is>
          <t>PAL002</t>
        </is>
      </c>
    </row>
    <row r="26">
      <c r="A26" s="46" t="n">
        <v>46052.49166666667</v>
      </c>
      <c r="B26" t="inlineStr">
        <is>
          <t>PAL001</t>
        </is>
      </c>
      <c r="C26" t="inlineStr">
        <is>
          <t>WH-Z1-B01-AISLE-FLOOR-02</t>
        </is>
      </c>
      <c r="D26">
        <f>IF($C26="","",IFERROR(LOOKUP(2,1/($C$2:INDEX($C:$C,ROW()-1)=$C26),$E$2:INDEX($E:$E,ROW()-1)),IFERROR(VLOOKUP($C26,'01_Warehouse_Ledger'!$A$2:$C$2002,3,FALSE),"")))</f>
        <v/>
      </c>
      <c r="E26" t="inlineStr">
        <is>
          <t>SAMPLE-REF-PAL025</t>
        </is>
      </c>
      <c r="G26" s="25" t="n"/>
      <c r="H26" t="inlineStr">
        <is>
          <t>B:OVERFLOW-&lt;ClientLastName&gt;-PO&lt;PO&gt;-&lt;Category&gt;-&lt;Seq&gt;</t>
        </is>
      </c>
      <c r="I26" t="inlineStr">
        <is>
          <t>PAL026</t>
        </is>
      </c>
      <c r="J26" t="inlineStr">
        <is>
          <t>PAL002</t>
        </is>
      </c>
    </row>
    <row r="27">
      <c r="A27" s="46" t="n">
        <v>46052.49652777778</v>
      </c>
      <c r="B27" t="inlineStr">
        <is>
          <t>PAL001</t>
        </is>
      </c>
      <c r="C27" t="inlineStr">
        <is>
          <t>WH-Z1-B01-AISLE-FLOOR-03</t>
        </is>
      </c>
      <c r="D27">
        <f>IF($C27="","",IFERROR(LOOKUP(2,1/($C$2:INDEX($C:$C,ROW()-1)=$C27),$E$2:INDEX($E:$E,ROW()-1)),IFERROR(VLOOKUP($C27,'01_Warehouse_Ledger'!$A$2:$C$2002,3,FALSE),"")))</f>
        <v/>
      </c>
      <c r="E27" t="inlineStr">
        <is>
          <t>SAMPLE-REF-PAL026</t>
        </is>
      </c>
      <c r="G27" s="25" t="n"/>
      <c r="H27" t="inlineStr">
        <is>
          <t>B:OVERFLOW-&lt;ClientLastName&gt;-PO&lt;PO&gt;-&lt;Category&gt;-&lt;Seq&gt;</t>
        </is>
      </c>
      <c r="I27" t="inlineStr">
        <is>
          <t>PAL027</t>
        </is>
      </c>
      <c r="J27" t="inlineStr">
        <is>
          <t>PAL002</t>
        </is>
      </c>
    </row>
    <row r="28">
      <c r="A28" s="46" t="n">
        <v>46052.50138888889</v>
      </c>
      <c r="B28" t="inlineStr">
        <is>
          <t>PAL001</t>
        </is>
      </c>
      <c r="C28" t="inlineStr">
        <is>
          <t>WH-Z1-B01-AISLE-FLOOR-04</t>
        </is>
      </c>
      <c r="D28">
        <f>IF($C28="","",IFERROR(LOOKUP(2,1/($C$2:INDEX($C:$C,ROW()-1)=$C28),$E$2:INDEX($E:$E,ROW()-1)),IFERROR(VLOOKUP($C28,'01_Warehouse_Ledger'!$A$2:$C$2002,3,FALSE),"")))</f>
        <v/>
      </c>
      <c r="E28" t="inlineStr">
        <is>
          <t>SAMPLE-REF-PAL027</t>
        </is>
      </c>
      <c r="G28" s="25" t="n"/>
      <c r="H28" t="inlineStr">
        <is>
          <t>B:OVERFLOW-&lt;ClientLastName&gt;-PO&lt;PO&gt;-&lt;Category&gt;-&lt;Seq&gt;</t>
        </is>
      </c>
      <c r="I28" t="inlineStr">
        <is>
          <t>PAL028</t>
        </is>
      </c>
      <c r="J28" t="inlineStr">
        <is>
          <t>PAL002</t>
        </is>
      </c>
    </row>
    <row r="29">
      <c r="A29" s="46" t="n">
        <v>46052.50625</v>
      </c>
      <c r="B29" t="inlineStr">
        <is>
          <t>PAL001</t>
        </is>
      </c>
      <c r="C29" t="inlineStr">
        <is>
          <t>WH-Z1-B01-AISLE-FLOOR-05</t>
        </is>
      </c>
      <c r="D29">
        <f>IF($C29="","",IFERROR(LOOKUP(2,1/($C$2:INDEX($C:$C,ROW()-1)=$C29),$E$2:INDEX($E:$E,ROW()-1)),IFERROR(VLOOKUP($C29,'01_Warehouse_Ledger'!$A$2:$C$2002,3,FALSE),"")))</f>
        <v/>
      </c>
      <c r="E29" t="inlineStr">
        <is>
          <t>SAMPLE-REF-PAL028</t>
        </is>
      </c>
      <c r="G29" s="25" t="n"/>
      <c r="H29" t="inlineStr">
        <is>
          <t>B:OVERFLOW-&lt;ClientLastName&gt;-PO&lt;PO&gt;-&lt;Category&gt;-&lt;Seq&gt;</t>
        </is>
      </c>
      <c r="I29" t="inlineStr">
        <is>
          <t>PAL029</t>
        </is>
      </c>
      <c r="J29" t="inlineStr">
        <is>
          <t>PAL002</t>
        </is>
      </c>
    </row>
    <row r="30">
      <c r="A30" s="46" t="n">
        <v>46052.51111111111</v>
      </c>
      <c r="B30" t="inlineStr">
        <is>
          <t>PAL001</t>
        </is>
      </c>
      <c r="C30" t="inlineStr">
        <is>
          <t>WH-Z1-B01-AISLE-FLOOR-06</t>
        </is>
      </c>
      <c r="D30">
        <f>IF($C30="","",IFERROR(LOOKUP(2,1/($C$2:INDEX($C:$C,ROW()-1)=$C30),$E$2:INDEX($E:$E,ROW()-1)),IFERROR(VLOOKUP($C30,'01_Warehouse_Ledger'!$A$2:$C$2002,3,FALSE),"")))</f>
        <v/>
      </c>
      <c r="E30" t="inlineStr">
        <is>
          <t>SAMPLE-REF-PAL029</t>
        </is>
      </c>
      <c r="G30" s="25" t="n"/>
      <c r="H30" t="inlineStr">
        <is>
          <t>B:OVERFLOW-&lt;ClientLastName&gt;-PO&lt;PO&gt;-&lt;Category&gt;-&lt;Seq&gt;</t>
        </is>
      </c>
      <c r="I30" t="inlineStr">
        <is>
          <t>PAL030</t>
        </is>
      </c>
      <c r="J30" t="inlineStr">
        <is>
          <t>PAL002</t>
        </is>
      </c>
    </row>
    <row r="31">
      <c r="A31" s="46" t="n">
        <v>46052.51597222222</v>
      </c>
      <c r="B31" t="inlineStr">
        <is>
          <t>PAL001</t>
        </is>
      </c>
      <c r="C31" t="inlineStr">
        <is>
          <t>WH-Z1-B01-AISLE-FLOOR-07</t>
        </is>
      </c>
      <c r="D31">
        <f>IF($C31="","",IFERROR(LOOKUP(2,1/($C$2:INDEX($C:$C,ROW()-1)=$C31),$E$2:INDEX($E:$E,ROW()-1)),IFERROR(VLOOKUP($C31,'01_Warehouse_Ledger'!$A$2:$C$2002,3,FALSE),"")))</f>
        <v/>
      </c>
      <c r="E31" t="inlineStr">
        <is>
          <t>SAMPLE-REF-PAL030</t>
        </is>
      </c>
      <c r="G31" s="25" t="n"/>
      <c r="H31" t="inlineStr">
        <is>
          <t>B:OVERFLOW-&lt;ClientLastName&gt;-PO&lt;PO&gt;-&lt;Category&gt;-&lt;Seq&gt;</t>
        </is>
      </c>
      <c r="I31" t="inlineStr">
        <is>
          <t>PAL031</t>
        </is>
      </c>
      <c r="J31" t="inlineStr">
        <is>
          <t>PAL002</t>
        </is>
      </c>
    </row>
    <row r="32">
      <c r="A32" s="46" t="n">
        <v>46052.52083333334</v>
      </c>
      <c r="B32" t="inlineStr">
        <is>
          <t>PAL001</t>
        </is>
      </c>
      <c r="C32" t="inlineStr">
        <is>
          <t>WH-Z1-B01-AISLE-FLOOR-08</t>
        </is>
      </c>
      <c r="D32">
        <f>IF($C32="","",IFERROR(LOOKUP(2,1/($C$2:INDEX($C:$C,ROW()-1)=$C32),$E$2:INDEX($E:$E,ROW()-1)),IFERROR(VLOOKUP($C32,'01_Warehouse_Ledger'!$A$2:$C$2002,3,FALSE),"")))</f>
        <v/>
      </c>
      <c r="E32" t="inlineStr">
        <is>
          <t>SAMPLE-REF-PAL031</t>
        </is>
      </c>
      <c r="G32" s="25" t="n"/>
      <c r="H32" t="inlineStr">
        <is>
          <t>B:OVERFLOW-&lt;ClientLastName&gt;-PO&lt;PO&gt;-&lt;Category&gt;-&lt;Seq&gt;</t>
        </is>
      </c>
      <c r="I32" t="inlineStr">
        <is>
          <t>PAL032</t>
        </is>
      </c>
      <c r="J32" t="inlineStr">
        <is>
          <t>PAL002</t>
        </is>
      </c>
    </row>
    <row r="33">
      <c r="A33" s="46" t="n">
        <v>46052.52569444444</v>
      </c>
      <c r="B33" t="inlineStr">
        <is>
          <t>PAL001</t>
        </is>
      </c>
      <c r="C33" t="inlineStr">
        <is>
          <t>WH-Z1-B01-AISLE-FLOOR-09</t>
        </is>
      </c>
      <c r="D33">
        <f>IF($C33="","",IFERROR(LOOKUP(2,1/($C$2:INDEX($C:$C,ROW()-1)=$C33),$E$2:INDEX($E:$E,ROW()-1)),IFERROR(VLOOKUP($C33,'01_Warehouse_Ledger'!$A$2:$C$2002,3,FALSE),"")))</f>
        <v/>
      </c>
      <c r="E33" t="inlineStr">
        <is>
          <t>SAMPLE-REF-PAL032</t>
        </is>
      </c>
      <c r="G33" s="25" t="n"/>
      <c r="H33" t="inlineStr">
        <is>
          <t>B:OVERFLOW-&lt;ClientLastName&gt;-PO&lt;PO&gt;-&lt;Category&gt;-&lt;Seq&gt;</t>
        </is>
      </c>
      <c r="I33" t="inlineStr">
        <is>
          <t>PAL033</t>
        </is>
      </c>
      <c r="J33" t="inlineStr">
        <is>
          <t>PAL002</t>
        </is>
      </c>
    </row>
    <row r="34">
      <c r="A34" s="46" t="n">
        <v>46052.53055555555</v>
      </c>
      <c r="B34" t="inlineStr">
        <is>
          <t>PAL001</t>
        </is>
      </c>
      <c r="C34" t="inlineStr">
        <is>
          <t>WH-Z1-B01-AISLE-FLOOR-10</t>
        </is>
      </c>
      <c r="D34">
        <f>IF($C34="","",IFERROR(LOOKUP(2,1/($C$2:INDEX($C:$C,ROW()-1)=$C34),$E$2:INDEX($E:$E,ROW()-1)),IFERROR(VLOOKUP($C34,'01_Warehouse_Ledger'!$A$2:$C$2002,3,FALSE),"")))</f>
        <v/>
      </c>
      <c r="E34" t="inlineStr">
        <is>
          <t>SAMPLE-REF-PAL033</t>
        </is>
      </c>
      <c r="G34" s="25" t="n"/>
      <c r="H34" t="inlineStr">
        <is>
          <t>B:OVERFLOW-&lt;ClientLastName&gt;-PO&lt;PO&gt;-&lt;Category&gt;-&lt;Seq&gt;</t>
        </is>
      </c>
      <c r="I34" t="inlineStr">
        <is>
          <t>PAL034</t>
        </is>
      </c>
      <c r="J34" t="inlineStr">
        <is>
          <t>PAL002</t>
        </is>
      </c>
    </row>
    <row r="35">
      <c r="A35" s="46" t="n">
        <v>46052.53541666667</v>
      </c>
      <c r="B35" t="inlineStr">
        <is>
          <t>PAL001</t>
        </is>
      </c>
      <c r="C35" t="inlineStr">
        <is>
          <t>WH-Z1-B01-AISLE-FLOOR-11</t>
        </is>
      </c>
      <c r="D35">
        <f>IF($C35="","",IFERROR(LOOKUP(2,1/($C$2:INDEX($C:$C,ROW()-1)=$C35),$E$2:INDEX($E:$E,ROW()-1)),IFERROR(VLOOKUP($C35,'01_Warehouse_Ledger'!$A$2:$C$2002,3,FALSE),"")))</f>
        <v/>
      </c>
      <c r="E35" t="inlineStr">
        <is>
          <t>SAMPLE-REF-PAL034</t>
        </is>
      </c>
      <c r="G35" s="25" t="n"/>
      <c r="H35" t="inlineStr">
        <is>
          <t>B:OVERFLOW-&lt;ClientLastName&gt;-PO&lt;PO&gt;-&lt;Category&gt;-&lt;Seq&gt;</t>
        </is>
      </c>
      <c r="I35" t="inlineStr">
        <is>
          <t>PAL035</t>
        </is>
      </c>
      <c r="J35" t="inlineStr">
        <is>
          <t>PAL002</t>
        </is>
      </c>
    </row>
    <row r="36">
      <c r="A36" s="46" t="n">
        <v>46052.54027777778</v>
      </c>
      <c r="B36" t="inlineStr">
        <is>
          <t>PAL001</t>
        </is>
      </c>
      <c r="C36" t="inlineStr">
        <is>
          <t>WH-Z1-B01-AISLE-FLOOR-12</t>
        </is>
      </c>
      <c r="D36">
        <f>IF($C36="","",IFERROR(LOOKUP(2,1/($C$2:INDEX($C:$C,ROW()-1)=$C36),$E$2:INDEX($E:$E,ROW()-1)),IFERROR(VLOOKUP($C36,'01_Warehouse_Ledger'!$A$2:$C$2002,3,FALSE),"")))</f>
        <v/>
      </c>
      <c r="E36" t="inlineStr">
        <is>
          <t>SAMPLE-REF-PAL035</t>
        </is>
      </c>
      <c r="G36" s="25" t="n"/>
      <c r="H36" t="inlineStr">
        <is>
          <t>B:OVERFLOW-&lt;ClientLastName&gt;-PO&lt;PO&gt;-&lt;Category&gt;-&lt;Seq&gt;</t>
        </is>
      </c>
      <c r="I36" t="inlineStr">
        <is>
          <t>MOVE</t>
        </is>
      </c>
      <c r="J36" t="inlineStr">
        <is>
          <t>PAL002</t>
        </is>
      </c>
    </row>
    <row r="37">
      <c r="A37" s="46" t="n">
        <v>46052.54166666666</v>
      </c>
      <c r="B37" t="inlineStr">
        <is>
          <t>SAMPLE-MOVE-PAL008</t>
        </is>
      </c>
      <c r="C37" t="inlineStr">
        <is>
          <t>WH-Z1-A01-AISLE-FLOOR-05</t>
        </is>
      </c>
      <c r="D37">
        <f>IF($C37="","",IFERROR(LOOKUP(2,1/($C$2:INDEX($C:$C,ROW()-1)=$C37),$E$2:INDEX($E:$E,ROW()-1)),IFERROR(VLOOKUP($C37,'01_Warehouse_Ledger'!$A$2:$C$2002,3,FALSE),"")))</f>
        <v/>
      </c>
      <c r="E37" t="inlineStr">
        <is>
          <t>SAMPLE-REF-PAL005</t>
        </is>
      </c>
      <c r="G37" s="25" t="n"/>
      <c r="H37" t="inlineStr">
        <is>
          <t>B:OVERFLOW-&lt;ClientLastName&gt;-PO&lt;PO&gt;-&lt;Category&gt;-&lt;Seq&gt;</t>
        </is>
      </c>
      <c r="I37" t="inlineStr">
        <is>
          <t>SAMPLE: moved during staging</t>
        </is>
      </c>
      <c r="J37" t="inlineStr">
        <is>
          <t>PAL036</t>
        </is>
      </c>
    </row>
    <row r="38">
      <c r="A38" s="46" t="n">
        <v>46052.54513888889</v>
      </c>
      <c r="B38" t="inlineStr">
        <is>
          <t>PAL001</t>
        </is>
      </c>
      <c r="C38" t="inlineStr">
        <is>
          <t>WH-Z1-B01-AISLE-FLOOR-13</t>
        </is>
      </c>
      <c r="D38">
        <f>IF($C38="","",IFERROR(LOOKUP(2,1/($C$2:INDEX($C:$C,ROW()-1)=$C38),$E$2:INDEX($E:$E,ROW()-1)),IFERROR(VLOOKUP($C38,'01_Warehouse_Ledger'!$A$2:$C$2002,3,FALSE),"")))</f>
        <v/>
      </c>
      <c r="E38" t="inlineStr">
        <is>
          <t>SAMPLE-REF-PAL036</t>
        </is>
      </c>
      <c r="G38" s="25" t="n"/>
      <c r="H38" t="inlineStr">
        <is>
          <t>B:OVERFLOW-&lt;ClientLastName&gt;-PO&lt;PO&gt;-&lt;Category&gt;-&lt;Seq&gt;</t>
        </is>
      </c>
      <c r="I38" t="inlineStr">
        <is>
          <t>SAMPLE-MOVE-PAL009</t>
        </is>
      </c>
      <c r="J38" t="inlineStr">
        <is>
          <t>PAL002</t>
        </is>
      </c>
    </row>
    <row r="39">
      <c r="A39" s="46" t="n">
        <v>46052.54791666667</v>
      </c>
      <c r="B39" t="inlineStr">
        <is>
          <t>SAMPLE-MOVE-PAL008</t>
        </is>
      </c>
      <c r="C39" t="inlineStr">
        <is>
          <t>WH-Z1-A01-AISLE-FLOOR-06</t>
        </is>
      </c>
      <c r="D39">
        <f>IF($C39="","",IFERROR(LOOKUP(2,1/($C$2:INDEX($C:$C,ROW()-1)=$C39),$E$2:INDEX($E:$E,ROW()-1)),IFERROR(VLOOKUP($C39,'01_Warehouse_Ledger'!$A$2:$C$2002,3,FALSE),"")))</f>
        <v/>
      </c>
      <c r="E39" t="inlineStr">
        <is>
          <t>SAMPLE-REF-PAL006</t>
        </is>
      </c>
      <c r="G39" s="25" t="n"/>
      <c r="H39" t="inlineStr">
        <is>
          <t>B:OVERFLOW-&lt;ClientLastName&gt;-PO&lt;PO&gt;-&lt;Category&gt;-&lt;Seq&gt;</t>
        </is>
      </c>
      <c r="I39" t="inlineStr">
        <is>
          <t>PAL037</t>
        </is>
      </c>
      <c r="J39" t="inlineStr">
        <is>
          <t>PAL036</t>
        </is>
      </c>
    </row>
    <row r="40">
      <c r="A40" s="46" t="n">
        <v>46052.55</v>
      </c>
      <c r="B40" t="inlineStr">
        <is>
          <t>PAL001</t>
        </is>
      </c>
      <c r="C40" t="inlineStr">
        <is>
          <t>WH-Z1-B01-AISLE-FLOOR-14</t>
        </is>
      </c>
      <c r="D40">
        <f>IF($C40="","",IFERROR(LOOKUP(2,1/($C$2:INDEX($C:$C,ROW()-1)=$C40),$E$2:INDEX($E:$E,ROW()-1)),IFERROR(VLOOKUP($C40,'01_Warehouse_Ledger'!$A$2:$C$2002,3,FALSE),"")))</f>
        <v/>
      </c>
      <c r="E40" t="inlineStr">
        <is>
          <t>SAMPLE-REF-PAL037</t>
        </is>
      </c>
      <c r="G40" s="25" t="n"/>
      <c r="H40" t="inlineStr">
        <is>
          <t>B:OVERFLOW-&lt;ClientLastName&gt;-PO&lt;PO&gt;-&lt;Category&gt;-&lt;Seq&gt;</t>
        </is>
      </c>
      <c r="I40" t="inlineStr">
        <is>
          <t>SAMPLE-MOVE-PAL010</t>
        </is>
      </c>
      <c r="J40" t="inlineStr">
        <is>
          <t>PAL002</t>
        </is>
      </c>
    </row>
    <row r="41">
      <c r="A41" s="46" t="n">
        <v>46052.55416666667</v>
      </c>
      <c r="B41" t="inlineStr">
        <is>
          <t>SAMPLE-MOVE-PAL008</t>
        </is>
      </c>
      <c r="C41" t="inlineStr">
        <is>
          <t>WH-Z1-A01-AISLE-FLOOR-07</t>
        </is>
      </c>
      <c r="D41">
        <f>IF($C41="","",IFERROR(LOOKUP(2,1/($C$2:INDEX($C:$C,ROW()-1)=$C41),$E$2:INDEX($E:$E,ROW()-1)),IFERROR(VLOOKUP($C41,'01_Warehouse_Ledger'!$A$2:$C$2002,3,FALSE),"")))</f>
        <v/>
      </c>
      <c r="E41" t="inlineStr">
        <is>
          <t>SAMPLE-REF-PAL007</t>
        </is>
      </c>
      <c r="G41" s="25" t="n"/>
      <c r="H41" t="inlineStr">
        <is>
          <t>B:OVERFLOW-&lt;ClientLastName&gt;-PO&lt;PO&gt;-&lt;Category&gt;-&lt;Seq&gt;</t>
        </is>
      </c>
      <c r="I41" t="inlineStr">
        <is>
          <t>PAL038</t>
        </is>
      </c>
      <c r="J41" t="inlineStr">
        <is>
          <t>PAL036</t>
        </is>
      </c>
    </row>
    <row r="42">
      <c r="A42" s="46" t="n">
        <v>46052.55486111111</v>
      </c>
      <c r="B42" t="inlineStr">
        <is>
          <t>PAL001</t>
        </is>
      </c>
      <c r="C42" t="inlineStr">
        <is>
          <t>WH-Z1-B01-AISLE-FLOOR-15</t>
        </is>
      </c>
      <c r="D42">
        <f>IF($C42="","",IFERROR(LOOKUP(2,1/($C$2:INDEX($C:$C,ROW()-1)=$C42),$E$2:INDEX($E:$E,ROW()-1)),IFERROR(VLOOKUP($C42,'01_Warehouse_Ledger'!$A$2:$C$2002,3,FALSE),"")))</f>
        <v/>
      </c>
      <c r="E42" t="inlineStr">
        <is>
          <t>SAMPLE-REF-PAL038</t>
        </is>
      </c>
      <c r="G42" s="25" t="n"/>
      <c r="H42" t="inlineStr">
        <is>
          <t>B:OVERFLOW-&lt;ClientLastName&gt;-PO&lt;PO&gt;-&lt;Category&gt;-&lt;Seq&gt;</t>
        </is>
      </c>
      <c r="I42" t="inlineStr">
        <is>
          <t>PAL039</t>
        </is>
      </c>
      <c r="J42" t="inlineStr">
        <is>
          <t>PAL002</t>
        </is>
      </c>
    </row>
    <row r="43">
      <c r="A43" s="46" t="n">
        <v>46052.55972222222</v>
      </c>
      <c r="B43" t="inlineStr">
        <is>
          <t>PAL001</t>
        </is>
      </c>
      <c r="C43" t="inlineStr">
        <is>
          <t>WH-Z1-B01-AISLE-FLOOR-16</t>
        </is>
      </c>
      <c r="D43">
        <f>IF($C43="","",IFERROR(LOOKUP(2,1/($C$2:INDEX($C:$C,ROW()-1)=$C43),$E$2:INDEX($E:$E,ROW()-1)),IFERROR(VLOOKUP($C43,'01_Warehouse_Ledger'!$A$2:$C$2002,3,FALSE),"")))</f>
        <v/>
      </c>
      <c r="E43" t="inlineStr">
        <is>
          <t>SAMPLE-REF-PAL039</t>
        </is>
      </c>
      <c r="G43" s="25" t="n"/>
      <c r="H43" t="inlineStr">
        <is>
          <t>B:OVERFLOW-&lt;ClientLastName&gt;-PO&lt;PO&gt;-&lt;Category&gt;-&lt;Seq&gt;</t>
        </is>
      </c>
      <c r="I43" t="inlineStr">
        <is>
          <t>SAMPLE-MOVE-PAL011</t>
        </is>
      </c>
      <c r="J43" t="inlineStr">
        <is>
          <t>PAL002</t>
        </is>
      </c>
    </row>
    <row r="44">
      <c r="A44" s="46" t="n">
        <v>46052.56041666667</v>
      </c>
      <c r="B44" t="inlineStr">
        <is>
          <t>SAMPLE-MOVE-PAL008</t>
        </is>
      </c>
      <c r="C44" t="inlineStr">
        <is>
          <t>WH-Z1-A01-AISLE-FLOOR-08</t>
        </is>
      </c>
      <c r="D44">
        <f>IF($C44="","",IFERROR(LOOKUP(2,1/($C$2:INDEX($C:$C,ROW()-1)=$C44),$E$2:INDEX($E:$E,ROW()-1)),IFERROR(VLOOKUP($C44,'01_Warehouse_Ledger'!$A$2:$C$2002,3,FALSE),"")))</f>
        <v/>
      </c>
      <c r="E44" t="inlineStr">
        <is>
          <t>SAMPLE-REF-PAL008</t>
        </is>
      </c>
      <c r="G44" s="25" t="n"/>
      <c r="H44" t="inlineStr">
        <is>
          <t>B:OVERFLOW-&lt;ClientLastName&gt;-PO&lt;PO&gt;-&lt;Category&gt;-&lt;Seq&gt;</t>
        </is>
      </c>
      <c r="I44" t="inlineStr">
        <is>
          <t>PAL040</t>
        </is>
      </c>
      <c r="J44" t="inlineStr">
        <is>
          <t>PAL036</t>
        </is>
      </c>
    </row>
    <row r="45">
      <c r="A45" s="46" t="n">
        <v>46052.56458333333</v>
      </c>
      <c r="B45" t="inlineStr">
        <is>
          <t>PAL001</t>
        </is>
      </c>
      <c r="C45" t="inlineStr">
        <is>
          <t>WH-Z1-B01-AISLE-FLOOR-17</t>
        </is>
      </c>
      <c r="D45">
        <f>IF($C45="","",IFERROR(LOOKUP(2,1/($C$2:INDEX($C:$C,ROW()-1)=$C45),$E$2:INDEX($E:$E,ROW()-1)),IFERROR(VLOOKUP($C45,'01_Warehouse_Ledger'!$A$2:$C$2002,3,FALSE),"")))</f>
        <v/>
      </c>
      <c r="E45" t="inlineStr">
        <is>
          <t>SAMPLE-REF-PAL040</t>
        </is>
      </c>
      <c r="G45" s="25" t="n"/>
      <c r="H45" t="inlineStr">
        <is>
          <t>B:OVERFLOW-&lt;ClientLastName&gt;-PO&lt;PO&gt;-&lt;Category&gt;-&lt;Seq&gt;</t>
        </is>
      </c>
      <c r="I45" t="inlineStr">
        <is>
          <t>SAMPLE-MOVE-PAL012</t>
        </is>
      </c>
      <c r="J45" t="inlineStr">
        <is>
          <t>PAL002</t>
        </is>
      </c>
    </row>
    <row r="46">
      <c r="A46" s="46" t="n">
        <v>46052.56666666667</v>
      </c>
      <c r="B46" t="inlineStr">
        <is>
          <t>SAMPLE-MOVE-PAL008</t>
        </is>
      </c>
      <c r="C46" t="inlineStr">
        <is>
          <t>WH-Z1-A01-AISLE-FLOOR-09</t>
        </is>
      </c>
      <c r="D46">
        <f>IF($C46="","",IFERROR(LOOKUP(2,1/($C$2:INDEX($C:$C,ROW()-1)=$C46),$E$2:INDEX($E:$E,ROW()-1)),IFERROR(VLOOKUP($C46,'01_Warehouse_Ledger'!$A$2:$C$2002,3,FALSE),"")))</f>
        <v/>
      </c>
      <c r="E46" t="inlineStr">
        <is>
          <t>SAMPLE-REF-PAL009</t>
        </is>
      </c>
      <c r="G46" s="25" t="n"/>
      <c r="H46" t="inlineStr">
        <is>
          <t>B:OVERFLOW-&lt;ClientLastName&gt;-PO&lt;PO&gt;-&lt;Category&gt;-&lt;Seq&gt;</t>
        </is>
      </c>
      <c r="I46" t="inlineStr">
        <is>
          <t>PAL041</t>
        </is>
      </c>
      <c r="J46" t="inlineStr">
        <is>
          <t>PAL036</t>
        </is>
      </c>
    </row>
    <row r="47">
      <c r="A47" s="46" t="n">
        <v>46052.56944444445</v>
      </c>
      <c r="B47" t="inlineStr">
        <is>
          <t>PAL001</t>
        </is>
      </c>
      <c r="C47" t="inlineStr">
        <is>
          <t>WH-Z1-B01-AISLE-FLOOR-18</t>
        </is>
      </c>
      <c r="D47">
        <f>IF($C47="","",IFERROR(LOOKUP(2,1/($C$2:INDEX($C:$C,ROW()-1)=$C47),$E$2:INDEX($E:$E,ROW()-1)),IFERROR(VLOOKUP($C47,'01_Warehouse_Ledger'!$A$2:$C$2002,3,FALSE),"")))</f>
        <v/>
      </c>
      <c r="E47" t="inlineStr">
        <is>
          <t>SAMPLE-REF-PAL041</t>
        </is>
      </c>
      <c r="G47" s="25" t="n"/>
      <c r="H47" t="inlineStr">
        <is>
          <t>B:OVERFLOW-&lt;ClientLastName&gt;-PO&lt;PO&gt;-&lt;Category&gt;-&lt;Seq&gt;</t>
        </is>
      </c>
      <c r="I47" t="inlineStr">
        <is>
          <t>SAMPLE-MOVE-PAL013</t>
        </is>
      </c>
      <c r="J47" t="inlineStr">
        <is>
          <t>PAL002</t>
        </is>
      </c>
    </row>
    <row r="48">
      <c r="A48" s="46" t="n">
        <v>46052.57291666666</v>
      </c>
      <c r="B48" t="inlineStr">
        <is>
          <t>SAMPLE-MOVE-PAL008</t>
        </is>
      </c>
      <c r="C48" t="inlineStr">
        <is>
          <t>WH-Z1-A01-AISLE-FLOOR-10</t>
        </is>
      </c>
      <c r="D48">
        <f>IF($C48="","",IFERROR(LOOKUP(2,1/($C$2:INDEX($C:$C,ROW()-1)=$C48),$E$2:INDEX($E:$E,ROW()-1)),IFERROR(VLOOKUP($C48,'01_Warehouse_Ledger'!$A$2:$C$2002,3,FALSE),"")))</f>
        <v/>
      </c>
      <c r="E48" t="inlineStr">
        <is>
          <t>SAMPLE-REF-PAL010</t>
        </is>
      </c>
      <c r="G48" s="25" t="n"/>
      <c r="H48" t="inlineStr">
        <is>
          <t>B:OVERFLOW-&lt;ClientLastName&gt;-PO&lt;PO&gt;-&lt;Category&gt;-&lt;Seq&gt;</t>
        </is>
      </c>
      <c r="I48" t="inlineStr">
        <is>
          <t>PAL042</t>
        </is>
      </c>
      <c r="J48" t="inlineStr">
        <is>
          <t>PAL036</t>
        </is>
      </c>
    </row>
    <row r="49">
      <c r="A49" s="46" t="n">
        <v>46052.57430555556</v>
      </c>
      <c r="B49" t="inlineStr">
        <is>
          <t>PAL001</t>
        </is>
      </c>
      <c r="C49" t="inlineStr">
        <is>
          <t>WH-Z1-B01-AISLE-FLOOR-19</t>
        </is>
      </c>
      <c r="D49">
        <f>IF($C49="","",IFERROR(LOOKUP(2,1/($C$2:INDEX($C:$C,ROW()-1)=$C49),$E$2:INDEX($E:$E,ROW()-1)),IFERROR(VLOOKUP($C49,'01_Warehouse_Ledger'!$A$2:$C$2002,3,FALSE),"")))</f>
        <v/>
      </c>
      <c r="E49" t="inlineStr">
        <is>
          <t>SAMPLE-REF-PAL042</t>
        </is>
      </c>
      <c r="G49" s="25" t="n"/>
      <c r="H49" t="inlineStr">
        <is>
          <t>B:OVERFLOW-&lt;ClientLastName&gt;-PO&lt;PO&gt;-&lt;Category&gt;-&lt;Seq&gt;</t>
        </is>
      </c>
      <c r="I49" t="inlineStr">
        <is>
          <t>PAL043</t>
        </is>
      </c>
      <c r="J49" t="inlineStr">
        <is>
          <t>PAL002</t>
        </is>
      </c>
    </row>
    <row r="50">
      <c r="A50" s="46" t="n">
        <v>46052.57916666667</v>
      </c>
      <c r="B50" t="inlineStr">
        <is>
          <t>PAL001</t>
        </is>
      </c>
      <c r="C50" t="inlineStr">
        <is>
          <t>WH-Z1-B01-AISLE-FLOOR-20</t>
        </is>
      </c>
      <c r="D50">
        <f>IF($C50="","",IFERROR(LOOKUP(2,1/($C$2:INDEX($C:$C,ROW()-1)=$C50),$E$2:INDEX($E:$E,ROW()-1)),IFERROR(VLOOKUP($C50,'01_Warehouse_Ledger'!$A$2:$C$2002,3,FALSE),"")))</f>
        <v/>
      </c>
      <c r="E50" t="inlineStr">
        <is>
          <t>SAMPLE-REF-PAL043</t>
        </is>
      </c>
      <c r="G50" s="25" t="n"/>
      <c r="H50" t="inlineStr">
        <is>
          <t>B:OVERFLOW-&lt;ClientLastName&gt;-PO&lt;PO&gt;-&lt;Category&gt;-&lt;Seq&gt;</t>
        </is>
      </c>
      <c r="I50" t="inlineStr">
        <is>
          <t>SAMPLE-MOVE-PAL014</t>
        </is>
      </c>
      <c r="J50" t="inlineStr">
        <is>
          <t>PAL002</t>
        </is>
      </c>
    </row>
    <row r="51">
      <c r="A51" s="46" t="n">
        <v>46052.57916666667</v>
      </c>
      <c r="B51" t="inlineStr">
        <is>
          <t>SAMPLE-MOVE-PAL008</t>
        </is>
      </c>
      <c r="C51" t="inlineStr">
        <is>
          <t>WH-Z1-A01-AISLE-FLOOR-11</t>
        </is>
      </c>
      <c r="D51">
        <f>IF($C51="","",IFERROR(LOOKUP(2,1/($C$2:INDEX($C:$C,ROW()-1)=$C51),$E$2:INDEX($E:$E,ROW()-1)),IFERROR(VLOOKUP($C51,'01_Warehouse_Ledger'!$A$2:$C$2002,3,FALSE),"")))</f>
        <v/>
      </c>
      <c r="E51" t="inlineStr">
        <is>
          <t>SAMPLE-REF-PAL011</t>
        </is>
      </c>
      <c r="G51" s="25" t="n"/>
      <c r="H51" t="inlineStr">
        <is>
          <t>B:OVERFLOW-&lt;ClientLastName&gt;-PO&lt;PO&gt;-&lt;Category&gt;-&lt;Seq&gt;</t>
        </is>
      </c>
      <c r="I51" t="inlineStr">
        <is>
          <t>PAL044</t>
        </is>
      </c>
      <c r="J51" t="inlineStr">
        <is>
          <t>PAL036</t>
        </is>
      </c>
    </row>
    <row r="52">
      <c r="A52" s="46" t="n">
        <v>46052.58402777778</v>
      </c>
      <c r="B52" t="inlineStr">
        <is>
          <t>PAL001</t>
        </is>
      </c>
      <c r="C52" t="inlineStr">
        <is>
          <t>WH-Z1-C01-AISLE-FLOOR-01</t>
        </is>
      </c>
      <c r="D52">
        <f>IF($C52="","",IFERROR(LOOKUP(2,1/($C$2:INDEX($C:$C,ROW()-1)=$C52),$E$2:INDEX($E:$E,ROW()-1)),IFERROR(VLOOKUP($C52,'01_Warehouse_Ledger'!$A$2:$C$2002,3,FALSE),"")))</f>
        <v/>
      </c>
      <c r="E52" t="inlineStr">
        <is>
          <t>SAMPLE-REF-PAL044</t>
        </is>
      </c>
      <c r="G52" s="25" t="n"/>
      <c r="H52" t="inlineStr">
        <is>
          <t>B:OVERFLOW-&lt;ClientLastName&gt;-PO&lt;PO&gt;-&lt;Category&gt;-&lt;Seq&gt;</t>
        </is>
      </c>
      <c r="I52" t="inlineStr">
        <is>
          <t>SAMPLE-MOVE-PAL015</t>
        </is>
      </c>
      <c r="J52" t="inlineStr">
        <is>
          <t>PAL002</t>
        </is>
      </c>
    </row>
    <row r="53">
      <c r="A53" s="46" t="n">
        <v>46052.58541666667</v>
      </c>
      <c r="B53" t="inlineStr">
        <is>
          <t>SAMPLE-MOVE-PAL008</t>
        </is>
      </c>
      <c r="C53" t="inlineStr">
        <is>
          <t>WH-Z1-A01-AISLE-FLOOR-12</t>
        </is>
      </c>
      <c r="D53">
        <f>IF($C53="","",IFERROR(LOOKUP(2,1/($C$2:INDEX($C:$C,ROW()-1)=$C53),$E$2:INDEX($E:$E,ROW()-1)),IFERROR(VLOOKUP($C53,'01_Warehouse_Ledger'!$A$2:$C$2002,3,FALSE),"")))</f>
        <v/>
      </c>
      <c r="E53" t="inlineStr">
        <is>
          <t>SAMPLE-REF-PAL012</t>
        </is>
      </c>
      <c r="G53" s="25" t="n"/>
      <c r="H53" t="inlineStr">
        <is>
          <t>B:OVERFLOW-&lt;ClientLastName&gt;-PO&lt;PO&gt;-&lt;Category&gt;-&lt;Seq&gt;</t>
        </is>
      </c>
      <c r="I53" t="inlineStr">
        <is>
          <t>PAL045</t>
        </is>
      </c>
      <c r="J53" t="inlineStr">
        <is>
          <t>PAL036</t>
        </is>
      </c>
    </row>
    <row r="54">
      <c r="A54" s="46" t="n">
        <v>46052.58888888889</v>
      </c>
      <c r="B54" t="inlineStr">
        <is>
          <t>PAL001</t>
        </is>
      </c>
      <c r="C54" t="inlineStr">
        <is>
          <t>WH-Z1-C01-AISLE-FLOOR-02</t>
        </is>
      </c>
      <c r="D54">
        <f>IF($C54="","",IFERROR(LOOKUP(2,1/($C$2:INDEX($C:$C,ROW()-1)=$C54),$E$2:INDEX($E:$E,ROW()-1)),IFERROR(VLOOKUP($C54,'01_Warehouse_Ledger'!$A$2:$C$2002,3,FALSE),"")))</f>
        <v/>
      </c>
      <c r="E54" t="inlineStr">
        <is>
          <t>SAMPLE-REF-PAL045</t>
        </is>
      </c>
      <c r="G54" s="25" t="n"/>
      <c r="H54" t="inlineStr">
        <is>
          <t>B:OVERFLOW-&lt;ClientLastName&gt;-PO&lt;PO&gt;-&lt;Category&gt;-&lt;Seq&gt;</t>
        </is>
      </c>
      <c r="I54" t="inlineStr">
        <is>
          <t>PAL046</t>
        </is>
      </c>
      <c r="J54" t="inlineStr">
        <is>
          <t>PAL002</t>
        </is>
      </c>
    </row>
    <row r="55">
      <c r="A55" s="46" t="n">
        <v>46052.59375</v>
      </c>
      <c r="B55" t="inlineStr">
        <is>
          <t>PAL001</t>
        </is>
      </c>
      <c r="C55" t="inlineStr">
        <is>
          <t>WH-Z1-C01-AISLE-FLOOR-03</t>
        </is>
      </c>
      <c r="D55">
        <f>IF($C55="","",IFERROR(LOOKUP(2,1/($C$2:INDEX($C:$C,ROW()-1)=$C55),$E$2:INDEX($E:$E,ROW()-1)),IFERROR(VLOOKUP($C55,'01_Warehouse_Ledger'!$A$2:$C$2002,3,FALSE),"")))</f>
        <v/>
      </c>
      <c r="E55" t="inlineStr">
        <is>
          <t>SAMPLE-REF-PAL046</t>
        </is>
      </c>
      <c r="G55" s="25" t="n"/>
      <c r="H55" t="inlineStr">
        <is>
          <t>B:OVERFLOW-&lt;ClientLastName&gt;-PO&lt;PO&gt;-&lt;Category&gt;-&lt;Seq&gt;</t>
        </is>
      </c>
      <c r="I55" t="inlineStr">
        <is>
          <t>PAL047</t>
        </is>
      </c>
      <c r="J55" t="inlineStr">
        <is>
          <t>PAL002</t>
        </is>
      </c>
    </row>
    <row r="56">
      <c r="A56" s="46" t="n">
        <v>46052.59861111111</v>
      </c>
      <c r="B56" t="inlineStr">
        <is>
          <t>PAL001</t>
        </is>
      </c>
      <c r="C56" t="inlineStr">
        <is>
          <t>WH-Z1-C01-AISLE-FLOOR-04</t>
        </is>
      </c>
      <c r="D56">
        <f>IF($C56="","",IFERROR(LOOKUP(2,1/($C$2:INDEX($C:$C,ROW()-1)=$C56),$E$2:INDEX($E:$E,ROW()-1)),IFERROR(VLOOKUP($C56,'01_Warehouse_Ledger'!$A$2:$C$2002,3,FALSE),"")))</f>
        <v/>
      </c>
      <c r="E56" t="inlineStr">
        <is>
          <t>SAMPLE-REF-PAL047</t>
        </is>
      </c>
      <c r="G56" s="25" t="n"/>
      <c r="H56" t="inlineStr">
        <is>
          <t>B:OVERFLOW-&lt;ClientLastName&gt;-PO&lt;PO&gt;-&lt;Category&gt;-&lt;Seq&gt;</t>
        </is>
      </c>
      <c r="I56" t="inlineStr">
        <is>
          <t>PAL048</t>
        </is>
      </c>
      <c r="J56" t="inlineStr">
        <is>
          <t>PAL002</t>
        </is>
      </c>
    </row>
    <row r="57">
      <c r="A57" s="46" t="n">
        <v>46052.60347222222</v>
      </c>
      <c r="B57" t="inlineStr">
        <is>
          <t>PAL001</t>
        </is>
      </c>
      <c r="C57" t="inlineStr">
        <is>
          <t>WH-Z1-C01-AISLE-FLOOR-05</t>
        </is>
      </c>
      <c r="D57">
        <f>IF($C57="","",IFERROR(LOOKUP(2,1/($C$2:INDEX($C:$C,ROW()-1)=$C57),$E$2:INDEX($E:$E,ROW()-1)),IFERROR(VLOOKUP($C57,'01_Warehouse_Ledger'!$A$2:$C$2002,3,FALSE),"")))</f>
        <v/>
      </c>
      <c r="E57" t="inlineStr">
        <is>
          <t>SAMPLE-REF-PAL048</t>
        </is>
      </c>
      <c r="G57" s="25" t="n"/>
      <c r="H57" t="inlineStr">
        <is>
          <t>B:OVERFLOW-&lt;ClientLastName&gt;-PO&lt;PO&gt;-&lt;Category&gt;-&lt;Seq&gt;</t>
        </is>
      </c>
      <c r="I57" t="inlineStr">
        <is>
          <t>PAL049</t>
        </is>
      </c>
      <c r="J57" t="inlineStr">
        <is>
          <t>PAL002</t>
        </is>
      </c>
    </row>
    <row r="58">
      <c r="A58" s="46" t="n">
        <v>46052.60833333333</v>
      </c>
      <c r="B58" t="inlineStr">
        <is>
          <t>PAL001</t>
        </is>
      </c>
      <c r="C58" t="inlineStr">
        <is>
          <t>WH-Z1-C01-AISLE-FLOOR-06</t>
        </is>
      </c>
      <c r="D58">
        <f>IF($C58="","",IFERROR(LOOKUP(2,1/($C$2:INDEX($C:$C,ROW()-1)=$C58),$E$2:INDEX($E:$E,ROW()-1)),IFERROR(VLOOKUP($C58,'01_Warehouse_Ledger'!$A$2:$C$2002,3,FALSE),"")))</f>
        <v/>
      </c>
      <c r="E58" t="inlineStr">
        <is>
          <t>SAMPLE-REF-PAL049</t>
        </is>
      </c>
      <c r="G58" s="25" t="n"/>
      <c r="H58" t="inlineStr">
        <is>
          <t>B:OVERFLOW-&lt;ClientLastName&gt;-PO&lt;PO&gt;-&lt;Category&gt;-&lt;Seq&gt;</t>
        </is>
      </c>
      <c r="I58" t="inlineStr">
        <is>
          <t>RETIRE</t>
        </is>
      </c>
      <c r="J58" t="inlineStr">
        <is>
          <t>PAL002</t>
        </is>
      </c>
    </row>
    <row r="59">
      <c r="A59" s="46" t="n">
        <v>46052.61319444444</v>
      </c>
      <c r="B59" t="inlineStr">
        <is>
          <t>PAL050</t>
        </is>
      </c>
      <c r="C59" t="inlineStr">
        <is>
          <t>SAMPLE-REF-PAL050</t>
        </is>
      </c>
      <c r="D59">
        <f>IF($C59="","",IFERROR(LOOKUP(2,1/($C$2:INDEX($C:$C,ROW()-1)=$C59),$E$2:INDEX($E:$E,ROW()-1)),IFERROR(VLOOKUP($C59,'01_Warehouse_Ledger'!$A$2:$C$2002,3,FALSE),"")))</f>
        <v/>
      </c>
      <c r="E59" t="inlineStr">
        <is>
          <t>DISPOSAL</t>
        </is>
      </c>
      <c r="G59" s="25" t="n"/>
      <c r="H59" t="inlineStr">
        <is>
          <t>B:OVERFLOW-&lt;ClientLastName&gt;-PO&lt;PO&gt;-&lt;Category&gt;-&lt;Seq&gt;</t>
        </is>
      </c>
      <c r="I59" t="inlineStr">
        <is>
          <t>SAMPLE: retired (depleted/broken)</t>
        </is>
      </c>
      <c r="J59" t="inlineStr">
        <is>
          <t>PAL051</t>
        </is>
      </c>
    </row>
    <row r="60">
      <c r="A60" s="46" t="n">
        <v>46052.61805555555</v>
      </c>
      <c r="B60" t="inlineStr">
        <is>
          <t>PAL050</t>
        </is>
      </c>
      <c r="C60" t="inlineStr">
        <is>
          <t>SAMPLE-REF-PAL051</t>
        </is>
      </c>
      <c r="D60">
        <f>IF($C60="","",IFERROR(LOOKUP(2,1/($C$2:INDEX($C:$C,ROW()-1)=$C60),$E$2:INDEX($E:$E,ROW()-1)),IFERROR(VLOOKUP($C60,'01_Warehouse_Ledger'!$A$2:$C$2002,3,FALSE),"")))</f>
        <v/>
      </c>
      <c r="E60" t="inlineStr">
        <is>
          <t>DISPOSAL</t>
        </is>
      </c>
      <c r="G60" s="25" t="n"/>
      <c r="H60" t="inlineStr">
        <is>
          <t>B:OVERFLOW-&lt;ClientLastName&gt;-PO&lt;PO&gt;-&lt;Category&gt;-&lt;Seq&gt;</t>
        </is>
      </c>
      <c r="I60" t="inlineStr">
        <is>
          <t>PAL052</t>
        </is>
      </c>
      <c r="J60" t="inlineStr">
        <is>
          <t>PAL051</t>
        </is>
      </c>
    </row>
    <row r="61">
      <c r="A61" s="46" t="n">
        <v>46052.62291666667</v>
      </c>
      <c r="B61" t="inlineStr">
        <is>
          <t>PAL001</t>
        </is>
      </c>
      <c r="C61" t="inlineStr">
        <is>
          <t>WH-Z1-C01-AISLE-FLOOR-09</t>
        </is>
      </c>
      <c r="D61">
        <f>IF($C61="","",IFERROR(LOOKUP(2,1/($C$2:INDEX($C:$C,ROW()-1)=$C61),$E$2:INDEX($E:$E,ROW()-1)),IFERROR(VLOOKUP($C61,'01_Warehouse_Ledger'!$A$2:$C$2002,3,FALSE),"")))</f>
        <v/>
      </c>
      <c r="E61" t="inlineStr">
        <is>
          <t>SAMPLE-REF-PAL052</t>
        </is>
      </c>
      <c r="G61" s="25" t="n"/>
      <c r="H61" t="inlineStr">
        <is>
          <t>B:OVERFLOW-&lt;ClientLastName&gt;-PO&lt;PO&gt;-&lt;Category&gt;-&lt;Seq&gt;</t>
        </is>
      </c>
      <c r="I61" t="inlineStr">
        <is>
          <t>PAL053</t>
        </is>
      </c>
      <c r="J61" t="inlineStr">
        <is>
          <t>PAL002</t>
        </is>
      </c>
    </row>
    <row r="62">
      <c r="A62" s="46" t="n">
        <v>46052.62777777778</v>
      </c>
      <c r="B62" t="inlineStr">
        <is>
          <t>PAL001</t>
        </is>
      </c>
      <c r="C62" t="inlineStr">
        <is>
          <t>WH-Z1-C01-AISLE-FLOOR-10</t>
        </is>
      </c>
      <c r="D62">
        <f>IF($C62="","",IFERROR(LOOKUP(2,1/($C$2:INDEX($C:$C,ROW()-1)=$C62),$E$2:INDEX($E:$E,ROW()-1)),IFERROR(VLOOKUP($C62,'01_Warehouse_Ledger'!$A$2:$C$2002,3,FALSE),"")))</f>
        <v/>
      </c>
      <c r="E62" t="inlineStr">
        <is>
          <t>SAMPLE-REF-PAL053</t>
        </is>
      </c>
      <c r="G62" s="25" t="n"/>
      <c r="H62" t="inlineStr">
        <is>
          <t>B:OVERFLOW-&lt;ClientLastName&gt;-PO&lt;PO&gt;-&lt;Category&gt;-&lt;Seq&gt;</t>
        </is>
      </c>
      <c r="I62" t="inlineStr">
        <is>
          <t>PAL054</t>
        </is>
      </c>
      <c r="J62" t="inlineStr">
        <is>
          <t>PAL002</t>
        </is>
      </c>
    </row>
    <row r="63">
      <c r="A63" s="46" t="n">
        <v>46052.63263888889</v>
      </c>
      <c r="B63" t="inlineStr">
        <is>
          <t>PAL001</t>
        </is>
      </c>
      <c r="C63" t="inlineStr">
        <is>
          <t>WH-Z1-C01-AISLE-FLOOR-11</t>
        </is>
      </c>
      <c r="D63">
        <f>IF($C63="","",IFERROR(LOOKUP(2,1/($C$2:INDEX($C:$C,ROW()-1)=$C63),$E$2:INDEX($E:$E,ROW()-1)),IFERROR(VLOOKUP($C63,'01_Warehouse_Ledger'!$A$2:$C$2002,3,FALSE),"")))</f>
        <v/>
      </c>
      <c r="E63" t="inlineStr">
        <is>
          <t>SAMPLE-REF-PAL054</t>
        </is>
      </c>
      <c r="G63" s="25" t="n"/>
      <c r="H63" t="inlineStr">
        <is>
          <t>B:OVERFLOW-&lt;ClientLastName&gt;-PO&lt;PO&gt;-&lt;Category&gt;-&lt;Seq&gt;</t>
        </is>
      </c>
      <c r="I63" t="inlineStr">
        <is>
          <t>PAL055</t>
        </is>
      </c>
      <c r="J63" t="inlineStr">
        <is>
          <t>PAL002</t>
        </is>
      </c>
    </row>
    <row r="64">
      <c r="A64" s="46" t="n">
        <v>46052.6375</v>
      </c>
      <c r="B64" t="inlineStr">
        <is>
          <t>PAL001</t>
        </is>
      </c>
      <c r="C64" t="inlineStr">
        <is>
          <t>WH-Z1-C01-AISLE-FLOOR-12</t>
        </is>
      </c>
      <c r="D64">
        <f>IF($C64="","",IFERROR(LOOKUP(2,1/($C$2:INDEX($C:$C,ROW()-1)=$C64),$E$2:INDEX($E:$E,ROW()-1)),IFERROR(VLOOKUP($C64,'01_Warehouse_Ledger'!$A$2:$C$2002,3,FALSE),"")))</f>
        <v/>
      </c>
      <c r="E64" t="inlineStr">
        <is>
          <t>SAMPLE-REF-PAL055</t>
        </is>
      </c>
      <c r="G64" s="25" t="n"/>
      <c r="H64" t="inlineStr">
        <is>
          <t>B:OVERFLOW-&lt;ClientLastName&gt;-PO&lt;PO&gt;-&lt;Category&gt;-&lt;Seq&gt;</t>
        </is>
      </c>
      <c r="I64" t="inlineStr">
        <is>
          <t>PAL056</t>
        </is>
      </c>
      <c r="J64" t="inlineStr">
        <is>
          <t>PAL002</t>
        </is>
      </c>
    </row>
    <row r="65">
      <c r="A65" s="46" t="n">
        <v>46052.64236111111</v>
      </c>
      <c r="B65" t="inlineStr">
        <is>
          <t>PAL001</t>
        </is>
      </c>
      <c r="C65" t="inlineStr">
        <is>
          <t>WH-Z1-C01-AISLE-FLOOR-13</t>
        </is>
      </c>
      <c r="D65">
        <f>IF($C65="","",IFERROR(LOOKUP(2,1/($C$2:INDEX($C:$C,ROW()-1)=$C65),$E$2:INDEX($E:$E,ROW()-1)),IFERROR(VLOOKUP($C65,'01_Warehouse_Ledger'!$A$2:$C$2002,3,FALSE),"")))</f>
        <v/>
      </c>
      <c r="E65" t="inlineStr">
        <is>
          <t>SAMPLE-REF-PAL056</t>
        </is>
      </c>
      <c r="G65" s="25" t="n"/>
      <c r="H65" t="inlineStr">
        <is>
          <t>B:OVERFLOW-&lt;ClientLastName&gt;-PO&lt;PO&gt;-&lt;Category&gt;-&lt;Seq&gt;</t>
        </is>
      </c>
      <c r="I65" t="inlineStr">
        <is>
          <t>PAL057</t>
        </is>
      </c>
      <c r="J65" t="inlineStr">
        <is>
          <t>PAL002</t>
        </is>
      </c>
    </row>
    <row r="66">
      <c r="A66" s="46" t="n">
        <v>46052.64722222222</v>
      </c>
      <c r="B66" t="inlineStr">
        <is>
          <t>PAL001</t>
        </is>
      </c>
      <c r="C66" t="inlineStr">
        <is>
          <t>WH-Z1-C01-AISLE-FLOOR-14</t>
        </is>
      </c>
      <c r="D66">
        <f>IF($C66="","",IFERROR(LOOKUP(2,1/($C$2:INDEX($C:$C,ROW()-1)=$C66),$E$2:INDEX($E:$E,ROW()-1)),IFERROR(VLOOKUP($C66,'01_Warehouse_Ledger'!$A$2:$C$2002,3,FALSE),"")))</f>
        <v/>
      </c>
      <c r="E66" t="inlineStr">
        <is>
          <t>SAMPLE-REF-PAL057</t>
        </is>
      </c>
      <c r="G66" s="25" t="n"/>
      <c r="H66" t="inlineStr">
        <is>
          <t>B:OVERFLOW-&lt;ClientLastName&gt;-PO&lt;PO&gt;-&lt;Category&gt;-&lt;Seq&gt;</t>
        </is>
      </c>
      <c r="I66" t="inlineStr">
        <is>
          <t>PAL058</t>
        </is>
      </c>
      <c r="J66" t="inlineStr">
        <is>
          <t>PAL002</t>
        </is>
      </c>
    </row>
    <row r="67">
      <c r="A67" s="46" t="n">
        <v>46052.65208333333</v>
      </c>
      <c r="B67" t="inlineStr">
        <is>
          <t>PAL001</t>
        </is>
      </c>
      <c r="C67" t="inlineStr">
        <is>
          <t>WH-Z1-C01-AISLE-FLOOR-15</t>
        </is>
      </c>
      <c r="D67">
        <f>IF($C67="","",IFERROR(LOOKUP(2,1/($C$2:INDEX($C:$C,ROW()-1)=$C67),$E$2:INDEX($E:$E,ROW()-1)),IFERROR(VLOOKUP($C67,'01_Warehouse_Ledger'!$A$2:$C$2002,3,FALSE),"")))</f>
        <v/>
      </c>
      <c r="E67" t="inlineStr">
        <is>
          <t>SAMPLE-REF-PAL058</t>
        </is>
      </c>
      <c r="G67" s="25" t="n"/>
      <c r="H67" t="inlineStr">
        <is>
          <t>B:OVERFLOW-&lt;ClientLastName&gt;-PO&lt;PO&gt;-&lt;Category&gt;-&lt;Seq&gt;</t>
        </is>
      </c>
      <c r="I67" t="inlineStr">
        <is>
          <t>PAL059</t>
        </is>
      </c>
      <c r="J67" t="inlineStr">
        <is>
          <t>PAL002</t>
        </is>
      </c>
    </row>
    <row r="68">
      <c r="A68" s="46" t="n">
        <v>46052.65694444445</v>
      </c>
      <c r="B68" t="inlineStr">
        <is>
          <t>PAL001</t>
        </is>
      </c>
      <c r="C68" t="inlineStr">
        <is>
          <t>WH-Z1-C01-AISLE-FLOOR-16</t>
        </is>
      </c>
      <c r="D68">
        <f>IF($C68="","",IFERROR(LOOKUP(2,1/($C$2:INDEX($C:$C,ROW()-1)=$C68),$E$2:INDEX($E:$E,ROW()-1)),IFERROR(VLOOKUP($C68,'01_Warehouse_Ledger'!$A$2:$C$2002,3,FALSE),"")))</f>
        <v/>
      </c>
      <c r="E68" t="inlineStr">
        <is>
          <t>SAMPLE-REF-PAL059</t>
        </is>
      </c>
      <c r="G68" s="25" t="n"/>
      <c r="H68" t="inlineStr">
        <is>
          <t>B:OVERFLOW-&lt;ClientLastName&gt;-PO&lt;PO&gt;-&lt;Category&gt;-&lt;Seq&gt;</t>
        </is>
      </c>
      <c r="I68" t="inlineStr">
        <is>
          <t>PAL060</t>
        </is>
      </c>
      <c r="J68" t="inlineStr">
        <is>
          <t>PAL002</t>
        </is>
      </c>
    </row>
    <row r="69">
      <c r="A69" s="46" t="n">
        <v>46052.66180555556</v>
      </c>
      <c r="B69" t="inlineStr">
        <is>
          <t>PAL001</t>
        </is>
      </c>
      <c r="C69" t="inlineStr">
        <is>
          <t>WH-Z1-C01-AISLE-FLOOR-17</t>
        </is>
      </c>
      <c r="D69">
        <f>IF($C69="","",IFERROR(LOOKUP(2,1/($C$2:INDEX($C:$C,ROW()-1)=$C69),$E$2:INDEX($E:$E,ROW()-1)),IFERROR(VLOOKUP($C69,'01_Warehouse_Ledger'!$A$2:$C$2002,3,FALSE),"")))</f>
        <v/>
      </c>
      <c r="E69" t="inlineStr">
        <is>
          <t>SAMPLE-REF-PAL060</t>
        </is>
      </c>
      <c r="G69" s="25" t="n"/>
      <c r="H69" t="inlineStr">
        <is>
          <t>B:OVERFLOW-&lt;ClientLastName&gt;-PO&lt;PO&gt;-&lt;Category&gt;-&lt;Seq&gt;</t>
        </is>
      </c>
      <c r="I69" t="inlineStr">
        <is>
          <t>LabelType</t>
        </is>
      </c>
      <c r="J69" t="inlineStr">
        <is>
          <t>PAL002</t>
        </is>
      </c>
    </row>
    <row r="70">
      <c r="A70" s="46" t="n"/>
      <c r="D70">
        <f>IF($C70="","",IFERROR(LOOKUP(2,1/($C$2:INDEX($C:$C,ROW()-1)=$C70),$E$2:INDEX($E:$E,ROW()-1)),IFERROR(VLOOKUP($C70,'01_Warehouse_Ledger'!$A$2:$C$2002,3,FALSE),"")))</f>
        <v/>
      </c>
      <c r="G70" s="25" t="n"/>
    </row>
    <row r="71">
      <c r="A71" s="46" t="n"/>
      <c r="D71">
        <f>IF($C71="","",IFERROR(LOOKUP(2,1/($C$2:INDEX($C:$C,ROW()-1)=$C71),$E$2:INDEX($E:$E,ROW()-1)),IFERROR(VLOOKUP($C71,'01_Warehouse_Ledger'!$A$2:$C$2002,3,FALSE),"")))</f>
        <v/>
      </c>
      <c r="G71" s="25" t="n"/>
    </row>
    <row r="72">
      <c r="A72" s="46" t="n"/>
      <c r="D72">
        <f>IF($C72="","",IFERROR(LOOKUP(2,1/($C$2:INDEX($C:$C,ROW()-1)=$C72),$E$2:INDEX($E:$E,ROW()-1)),IFERROR(VLOOKUP($C72,'01_Warehouse_Ledger'!$A$2:$C$2002,3,FALSE),"")))</f>
        <v/>
      </c>
      <c r="G72" s="25" t="n"/>
    </row>
    <row r="73">
      <c r="A73" s="46" t="n"/>
      <c r="D73">
        <f>IF($C73="","",IFERROR(LOOKUP(2,1/($C$2:INDEX($C:$C,ROW()-1)=$C73),$E$2:INDEX($E:$E,ROW()-1)),IFERROR(VLOOKUP($C73,'01_Warehouse_Ledger'!$A$2:$C$2002,3,FALSE),"")))</f>
        <v/>
      </c>
      <c r="G73" s="25" t="n"/>
    </row>
    <row r="74">
      <c r="A74" s="46" t="n"/>
      <c r="D74">
        <f>IF($C74="","",IFERROR(LOOKUP(2,1/($C$2:INDEX($C:$C,ROW()-1)=$C74),$E$2:INDEX($E:$E,ROW()-1)),IFERROR(VLOOKUP($C74,'01_Warehouse_Ledger'!$A$2:$C$2002,3,FALSE),"")))</f>
        <v/>
      </c>
      <c r="G74" s="25" t="n"/>
    </row>
    <row r="75">
      <c r="A75" s="46" t="n"/>
      <c r="D75">
        <f>IF($C75="","",IFERROR(LOOKUP(2,1/($C$2:INDEX($C:$C,ROW()-1)=$C75),$E$2:INDEX($E:$E,ROW()-1)),IFERROR(VLOOKUP($C75,'01_Warehouse_Ledger'!$A$2:$C$2002,3,FALSE),"")))</f>
        <v/>
      </c>
      <c r="G75" s="25" t="n"/>
    </row>
    <row r="76">
      <c r="A76" s="46" t="n"/>
      <c r="D76">
        <f>IF($C76="","",IFERROR(LOOKUP(2,1/($C$2:INDEX($C:$C,ROW()-1)=$C76),$E$2:INDEX($E:$E,ROW()-1)),IFERROR(VLOOKUP($C76,'01_Warehouse_Ledger'!$A$2:$C$2002,3,FALSE),"")))</f>
        <v/>
      </c>
      <c r="G76" s="25" t="n"/>
    </row>
    <row r="77">
      <c r="A77" s="46" t="n"/>
      <c r="D77">
        <f>IF($C77="","",IFERROR(LOOKUP(2,1/($C$2:INDEX($C:$C,ROW()-1)=$C77),$E$2:INDEX($E:$E,ROW()-1)),IFERROR(VLOOKUP($C77,'01_Warehouse_Ledger'!$A$2:$C$2002,3,FALSE),"")))</f>
        <v/>
      </c>
      <c r="G77" s="25" t="n"/>
    </row>
    <row r="78">
      <c r="A78" s="46" t="n"/>
      <c r="D78">
        <f>IF($C78="","",IFERROR(LOOKUP(2,1/($C$2:INDEX($C:$C,ROW()-1)=$C78),$E$2:INDEX($E:$E,ROW()-1)),IFERROR(VLOOKUP($C78,'01_Warehouse_Ledger'!$A$2:$C$2002,3,FALSE),"")))</f>
        <v/>
      </c>
      <c r="G78" s="25" t="n"/>
    </row>
    <row r="79">
      <c r="A79" s="46" t="n"/>
      <c r="D79">
        <f>IF($C79="","",IFERROR(LOOKUP(2,1/($C$2:INDEX($C:$C,ROW()-1)=$C79),$E$2:INDEX($E:$E,ROW()-1)),IFERROR(VLOOKUP($C79,'01_Warehouse_Ledger'!$A$2:$C$2002,3,FALSE),"")))</f>
        <v/>
      </c>
      <c r="G79" s="25" t="n"/>
    </row>
    <row r="80">
      <c r="A80" s="46" t="n"/>
      <c r="D80">
        <f>IF($C80="","",IFERROR(LOOKUP(2,1/($C$2:INDEX($C:$C,ROW()-1)=$C80),$E$2:INDEX($E:$E,ROW()-1)),IFERROR(VLOOKUP($C80,'01_Warehouse_Ledger'!$A$2:$C$2002,3,FALSE),"")))</f>
        <v/>
      </c>
      <c r="G80" s="25" t="n"/>
    </row>
    <row r="81">
      <c r="A81" s="46" t="n"/>
      <c r="D81">
        <f>IF($C81="","",IFERROR(LOOKUP(2,1/($C$2:INDEX($C:$C,ROW()-1)=$C81),$E$2:INDEX($E:$E,ROW()-1)),IFERROR(VLOOKUP($C81,'01_Warehouse_Ledger'!$A$2:$C$2002,3,FALSE),"")))</f>
        <v/>
      </c>
      <c r="G81" s="25" t="n"/>
    </row>
    <row r="82">
      <c r="A82" s="46" t="n"/>
      <c r="D82">
        <f>IF($C82="","",IFERROR(LOOKUP(2,1/($C$2:INDEX($C:$C,ROW()-1)=$C82),$E$2:INDEX($E:$E,ROW()-1)),IFERROR(VLOOKUP($C82,'01_Warehouse_Ledger'!$A$2:$C$2002,3,FALSE),"")))</f>
        <v/>
      </c>
      <c r="G82" s="25" t="n"/>
    </row>
    <row r="83">
      <c r="A83" s="46" t="n"/>
      <c r="D83">
        <f>IF($C83="","",IFERROR(LOOKUP(2,1/($C$2:INDEX($C:$C,ROW()-1)=$C83),$E$2:INDEX($E:$E,ROW()-1)),IFERROR(VLOOKUP($C83,'01_Warehouse_Ledger'!$A$2:$C$2002,3,FALSE),"")))</f>
        <v/>
      </c>
      <c r="G83" s="25" t="n"/>
    </row>
    <row r="84">
      <c r="A84" s="46" t="n"/>
      <c r="D84">
        <f>IF($C84="","",IFERROR(LOOKUP(2,1/($C$2:INDEX($C:$C,ROW()-1)=$C84),$E$2:INDEX($E:$E,ROW()-1)),IFERROR(VLOOKUP($C84,'01_Warehouse_Ledger'!$A$2:$C$2002,3,FALSE),"")))</f>
        <v/>
      </c>
      <c r="G84" s="25" t="n"/>
    </row>
    <row r="85">
      <c r="A85" s="46" t="n"/>
      <c r="D85">
        <f>IF($C85="","",IFERROR(LOOKUP(2,1/($C$2:INDEX($C:$C,ROW()-1)=$C85),$E$2:INDEX($E:$E,ROW()-1)),IFERROR(VLOOKUP($C85,'01_Warehouse_Ledger'!$A$2:$C$2002,3,FALSE),"")))</f>
        <v/>
      </c>
      <c r="G85" s="25" t="n"/>
    </row>
    <row r="86">
      <c r="A86" s="46" t="n"/>
      <c r="D86">
        <f>IF($C86="","",IFERROR(LOOKUP(2,1/($C$2:INDEX($C:$C,ROW()-1)=$C86),$E$2:INDEX($E:$E,ROW()-1)),IFERROR(VLOOKUP($C86,'01_Warehouse_Ledger'!$A$2:$C$2002,3,FALSE),"")))</f>
        <v/>
      </c>
      <c r="G86" s="25" t="n"/>
    </row>
    <row r="87">
      <c r="A87" s="46" t="n"/>
      <c r="D87">
        <f>IF($C87="","",IFERROR(LOOKUP(2,1/($C$2:INDEX($C:$C,ROW()-1)=$C87),$E$2:INDEX($E:$E,ROW()-1)),IFERROR(VLOOKUP($C87,'01_Warehouse_Ledger'!$A$2:$C$2002,3,FALSE),"")))</f>
        <v/>
      </c>
      <c r="G87" s="25" t="n"/>
    </row>
    <row r="88">
      <c r="A88" s="46" t="n"/>
      <c r="D88">
        <f>IF($C88="","",IFERROR(LOOKUP(2,1/($C$2:INDEX($C:$C,ROW()-1)=$C88),$E$2:INDEX($E:$E,ROW()-1)),IFERROR(VLOOKUP($C88,'01_Warehouse_Ledger'!$A$2:$C$2002,3,FALSE),"")))</f>
        <v/>
      </c>
      <c r="G88" s="25" t="n"/>
    </row>
    <row r="89">
      <c r="A89" s="46" t="n"/>
      <c r="D89">
        <f>IF($C89="","",IFERROR(LOOKUP(2,1/($C$2:INDEX($C:$C,ROW()-1)=$C89),$E$2:INDEX($E:$E,ROW()-1)),IFERROR(VLOOKUP($C89,'01_Warehouse_Ledger'!$A$2:$C$2002,3,FALSE),"")))</f>
        <v/>
      </c>
      <c r="G89" s="25" t="n"/>
    </row>
    <row r="90">
      <c r="A90" s="46" t="n"/>
      <c r="D90">
        <f>IF($C90="","",IFERROR(LOOKUP(2,1/($C$2:INDEX($C:$C,ROW()-1)=$C90),$E$2:INDEX($E:$E,ROW()-1)),IFERROR(VLOOKUP($C90,'01_Warehouse_Ledger'!$A$2:$C$2002,3,FALSE),"")))</f>
        <v/>
      </c>
      <c r="G90" s="25" t="n"/>
    </row>
    <row r="91">
      <c r="A91" s="46" t="n"/>
      <c r="D91">
        <f>IF($C91="","",IFERROR(LOOKUP(2,1/($C$2:INDEX($C:$C,ROW()-1)=$C91),$E$2:INDEX($E:$E,ROW()-1)),IFERROR(VLOOKUP($C91,'01_Warehouse_Ledger'!$A$2:$C$2002,3,FALSE),"")))</f>
        <v/>
      </c>
      <c r="G91" s="25" t="n"/>
    </row>
    <row r="92">
      <c r="A92" s="46" t="n"/>
      <c r="D92">
        <f>IF($C92="","",IFERROR(LOOKUP(2,1/($C$2:INDEX($C:$C,ROW()-1)=$C92),$E$2:INDEX($E:$E,ROW()-1)),IFERROR(VLOOKUP($C92,'01_Warehouse_Ledger'!$A$2:$C$2002,3,FALSE),"")))</f>
        <v/>
      </c>
      <c r="G92" s="25" t="n"/>
    </row>
    <row r="93">
      <c r="A93" s="46" t="n"/>
      <c r="D93">
        <f>IF($C93="","",IFERROR(LOOKUP(2,1/($C$2:INDEX($C:$C,ROW()-1)=$C93),$E$2:INDEX($E:$E,ROW()-1)),IFERROR(VLOOKUP($C93,'01_Warehouse_Ledger'!$A$2:$C$2002,3,FALSE),"")))</f>
        <v/>
      </c>
      <c r="G93" s="25" t="n"/>
    </row>
    <row r="94">
      <c r="A94" s="46" t="n"/>
      <c r="D94">
        <f>IF($C94="","",IFERROR(LOOKUP(2,1/($C$2:INDEX($C:$C,ROW()-1)=$C94),$E$2:INDEX($E:$E,ROW()-1)),IFERROR(VLOOKUP($C94,'01_Warehouse_Ledger'!$A$2:$C$2002,3,FALSE),"")))</f>
        <v/>
      </c>
      <c r="G94" s="25" t="n"/>
    </row>
    <row r="95">
      <c r="A95" s="46" t="n"/>
      <c r="D95">
        <f>IF($C95="","",IFERROR(LOOKUP(2,1/($C$2:INDEX($C:$C,ROW()-1)=$C95),$E$2:INDEX($E:$E,ROW()-1)),IFERROR(VLOOKUP($C95,'01_Warehouse_Ledger'!$A$2:$C$2002,3,FALSE),"")))</f>
        <v/>
      </c>
      <c r="G95" s="25" t="n"/>
    </row>
    <row r="96">
      <c r="A96" s="46" t="n"/>
      <c r="D96">
        <f>IF($C96="","",IFERROR(LOOKUP(2,1/($C$2:INDEX($C:$C,ROW()-1)=$C96),$E$2:INDEX($E:$E,ROW()-1)),IFERROR(VLOOKUP($C96,'01_Warehouse_Ledger'!$A$2:$C$2002,3,FALSE),"")))</f>
        <v/>
      </c>
      <c r="G96" s="25" t="n"/>
    </row>
    <row r="97">
      <c r="A97" s="46" t="n"/>
      <c r="D97">
        <f>IF($C97="","",IFERROR(LOOKUP(2,1/($C$2:INDEX($C:$C,ROW()-1)=$C97),$E$2:INDEX($E:$E,ROW()-1)),IFERROR(VLOOKUP($C97,'01_Warehouse_Ledger'!$A$2:$C$2002,3,FALSE),"")))</f>
        <v/>
      </c>
      <c r="G97" s="25" t="n"/>
    </row>
    <row r="98">
      <c r="A98" s="46" t="n"/>
      <c r="D98">
        <f>IF($C98="","",IFERROR(LOOKUP(2,1/($C$2:INDEX($C:$C,ROW()-1)=$C98),$E$2:INDEX($E:$E,ROW()-1)),IFERROR(VLOOKUP($C98,'01_Warehouse_Ledger'!$A$2:$C$2002,3,FALSE),"")))</f>
        <v/>
      </c>
      <c r="G98" s="25" t="n"/>
    </row>
    <row r="99">
      <c r="A99" s="46" t="n"/>
      <c r="D99">
        <f>IF($C99="","",IFERROR(LOOKUP(2,1/($C$2:INDEX($C:$C,ROW()-1)=$C99),$E$2:INDEX($E:$E,ROW()-1)),IFERROR(VLOOKUP($C99,'01_Warehouse_Ledger'!$A$2:$C$2002,3,FALSE),"")))</f>
        <v/>
      </c>
      <c r="G99" s="25" t="n"/>
    </row>
    <row r="100">
      <c r="A100" s="46" t="n"/>
      <c r="D100">
        <f>IF($C100="","",IFERROR(LOOKUP(2,1/($C$2:INDEX($C:$C,ROW()-1)=$C100),$E$2:INDEX($E:$E,ROW()-1)),IFERROR(VLOOKUP($C100,'01_Warehouse_Ledger'!$A$2:$C$2002,3,FALSE),"")))</f>
        <v/>
      </c>
      <c r="G100" s="25" t="n"/>
    </row>
    <row r="101">
      <c r="A101" s="46" t="n"/>
      <c r="D101">
        <f>IF($C101="","",IFERROR(LOOKUP(2,1/($C$2:INDEX($C:$C,ROW()-1)=$C101),$E$2:INDEX($E:$E,ROW()-1)),IFERROR(VLOOKUP($C101,'01_Warehouse_Ledger'!$A$2:$C$2002,3,FALSE),"")))</f>
        <v/>
      </c>
      <c r="G101" s="25" t="n"/>
    </row>
    <row r="102">
      <c r="A102" s="46" t="n"/>
      <c r="D102">
        <f>IF($C102="","",IFERROR(LOOKUP(2,1/($C$2:INDEX($C:$C,ROW()-1)=$C102),$E$2:INDEX($E:$E,ROW()-1)),IFERROR(VLOOKUP($C102,'01_Warehouse_Ledger'!$A$2:$C$2002,3,FALSE),"")))</f>
        <v/>
      </c>
      <c r="G102" s="25" t="n"/>
    </row>
    <row r="103">
      <c r="A103" s="46" t="n"/>
      <c r="D103">
        <f>IF($C103="","",IFERROR(LOOKUP(2,1/($C$2:INDEX($C:$C,ROW()-1)=$C103),$E$2:INDEX($E:$E,ROW()-1)),IFERROR(VLOOKUP($C103,'01_Warehouse_Ledger'!$A$2:$C$2002,3,FALSE),"")))</f>
        <v/>
      </c>
      <c r="G103" s="25" t="n"/>
    </row>
    <row r="104">
      <c r="A104" s="46" t="n"/>
      <c r="D104">
        <f>IF($C104="","",IFERROR(LOOKUP(2,1/($C$2:INDEX($C:$C,ROW()-1)=$C104),$E$2:INDEX($E:$E,ROW()-1)),IFERROR(VLOOKUP($C104,'01_Warehouse_Ledger'!$A$2:$C$2002,3,FALSE),"")))</f>
        <v/>
      </c>
      <c r="G104" s="25" t="n"/>
    </row>
    <row r="105">
      <c r="A105" s="46" t="n"/>
      <c r="D105">
        <f>IF($C105="","",IFERROR(LOOKUP(2,1/($C$2:INDEX($C:$C,ROW()-1)=$C105),$E$2:INDEX($E:$E,ROW()-1)),IFERROR(VLOOKUP($C105,'01_Warehouse_Ledger'!$A$2:$C$2002,3,FALSE),"")))</f>
        <v/>
      </c>
      <c r="G105" s="25" t="n"/>
    </row>
    <row r="106">
      <c r="A106" s="46" t="n"/>
      <c r="D106">
        <f>IF($C106="","",IFERROR(LOOKUP(2,1/($C$2:INDEX($C:$C,ROW()-1)=$C106),$E$2:INDEX($E:$E,ROW()-1)),IFERROR(VLOOKUP($C106,'01_Warehouse_Ledger'!$A$2:$C$2002,3,FALSE),"")))</f>
        <v/>
      </c>
      <c r="G106" s="25" t="n"/>
    </row>
    <row r="107">
      <c r="A107" s="46" t="n"/>
      <c r="D107">
        <f>IF($C107="","",IFERROR(LOOKUP(2,1/($C$2:INDEX($C:$C,ROW()-1)=$C107),$E$2:INDEX($E:$E,ROW()-1)),IFERROR(VLOOKUP($C107,'01_Warehouse_Ledger'!$A$2:$C$2002,3,FALSE),"")))</f>
        <v/>
      </c>
      <c r="G107" s="25" t="n"/>
    </row>
    <row r="108">
      <c r="A108" s="46" t="n"/>
      <c r="D108">
        <f>IF($C108="","",IFERROR(LOOKUP(2,1/($C$2:INDEX($C:$C,ROW()-1)=$C108),$E$2:INDEX($E:$E,ROW()-1)),IFERROR(VLOOKUP($C108,'01_Warehouse_Ledger'!$A$2:$C$2002,3,FALSE),"")))</f>
        <v/>
      </c>
      <c r="G108" s="25" t="n"/>
    </row>
    <row r="109">
      <c r="A109" s="46" t="n"/>
      <c r="D109">
        <f>IF($C109="","",IFERROR(LOOKUP(2,1/($C$2:INDEX($C:$C,ROW()-1)=$C109),$E$2:INDEX($E:$E,ROW()-1)),IFERROR(VLOOKUP($C109,'01_Warehouse_Ledger'!$A$2:$C$2002,3,FALSE),"")))</f>
        <v/>
      </c>
      <c r="G109" s="25" t="n"/>
    </row>
    <row r="110">
      <c r="A110" s="46" t="n"/>
      <c r="D110">
        <f>IF($C110="","",IFERROR(LOOKUP(2,1/($C$2:INDEX($C:$C,ROW()-1)=$C110),$E$2:INDEX($E:$E,ROW()-1)),IFERROR(VLOOKUP($C110,'01_Warehouse_Ledger'!$A$2:$C$2002,3,FALSE),"")))</f>
        <v/>
      </c>
      <c r="G110" s="25" t="n"/>
    </row>
    <row r="111">
      <c r="A111" s="46" t="n"/>
      <c r="D111">
        <f>IF($C111="","",IFERROR(LOOKUP(2,1/($C$2:INDEX($C:$C,ROW()-1)=$C111),$E$2:INDEX($E:$E,ROW()-1)),IFERROR(VLOOKUP($C111,'01_Warehouse_Ledger'!$A$2:$C$2002,3,FALSE),"")))</f>
        <v/>
      </c>
      <c r="G111" s="25" t="n"/>
    </row>
    <row r="112">
      <c r="A112" s="46" t="n"/>
      <c r="D112">
        <f>IF($C112="","",IFERROR(LOOKUP(2,1/($C$2:INDEX($C:$C,ROW()-1)=$C112),$E$2:INDEX($E:$E,ROW()-1)),IFERROR(VLOOKUP($C112,'01_Warehouse_Ledger'!$A$2:$C$2002,3,FALSE),"")))</f>
        <v/>
      </c>
      <c r="G112" s="25" t="n"/>
    </row>
    <row r="113">
      <c r="A113" s="46" t="n"/>
      <c r="D113">
        <f>IF($C113="","",IFERROR(LOOKUP(2,1/($C$2:INDEX($C:$C,ROW()-1)=$C113),$E$2:INDEX($E:$E,ROW()-1)),IFERROR(VLOOKUP($C113,'01_Warehouse_Ledger'!$A$2:$C$2002,3,FALSE),"")))</f>
        <v/>
      </c>
      <c r="G113" s="25" t="n"/>
    </row>
    <row r="114">
      <c r="A114" s="46" t="n"/>
      <c r="D114">
        <f>IF($C114="","",IFERROR(LOOKUP(2,1/($C$2:INDEX($C:$C,ROW()-1)=$C114),$E$2:INDEX($E:$E,ROW()-1)),IFERROR(VLOOKUP($C114,'01_Warehouse_Ledger'!$A$2:$C$2002,3,FALSE),"")))</f>
        <v/>
      </c>
      <c r="G114" s="25" t="n"/>
    </row>
    <row r="115">
      <c r="A115" s="46" t="n"/>
      <c r="D115">
        <f>IF($C115="","",IFERROR(LOOKUP(2,1/($C$2:INDEX($C:$C,ROW()-1)=$C115),$E$2:INDEX($E:$E,ROW()-1)),IFERROR(VLOOKUP($C115,'01_Warehouse_Ledger'!$A$2:$C$2002,3,FALSE),"")))</f>
        <v/>
      </c>
      <c r="G115" s="25" t="n"/>
    </row>
    <row r="116">
      <c r="A116" s="46" t="n"/>
      <c r="D116">
        <f>IF($C116="","",IFERROR(LOOKUP(2,1/($C$2:INDEX($C:$C,ROW()-1)=$C116),$E$2:INDEX($E:$E,ROW()-1)),IFERROR(VLOOKUP($C116,'01_Warehouse_Ledger'!$A$2:$C$2002,3,FALSE),"")))</f>
        <v/>
      </c>
      <c r="G116" s="25" t="n"/>
    </row>
    <row r="117">
      <c r="A117" s="46" t="n"/>
      <c r="D117">
        <f>IF($C117="","",IFERROR(LOOKUP(2,1/($C$2:INDEX($C:$C,ROW()-1)=$C117),$E$2:INDEX($E:$E,ROW()-1)),IFERROR(VLOOKUP($C117,'01_Warehouse_Ledger'!$A$2:$C$2002,3,FALSE),"")))</f>
        <v/>
      </c>
      <c r="G117" s="25" t="n"/>
    </row>
    <row r="118">
      <c r="A118" s="46" t="n"/>
      <c r="D118">
        <f>IF($C118="","",IFERROR(LOOKUP(2,1/($C$2:INDEX($C:$C,ROW()-1)=$C118),$E$2:INDEX($E:$E,ROW()-1)),IFERROR(VLOOKUP($C118,'01_Warehouse_Ledger'!$A$2:$C$2002,3,FALSE),"")))</f>
        <v/>
      </c>
      <c r="G118" s="25" t="n"/>
    </row>
    <row r="119">
      <c r="A119" s="46" t="n"/>
      <c r="D119">
        <f>IF($C119="","",IFERROR(LOOKUP(2,1/($C$2:INDEX($C:$C,ROW()-1)=$C119),$E$2:INDEX($E:$E,ROW()-1)),IFERROR(VLOOKUP($C119,'01_Warehouse_Ledger'!$A$2:$C$2002,3,FALSE),"")))</f>
        <v/>
      </c>
      <c r="G119" s="25" t="n"/>
    </row>
    <row r="120">
      <c r="A120" s="46" t="n"/>
      <c r="D120">
        <f>IF($C120="","",IFERROR(LOOKUP(2,1/($C$2:INDEX($C:$C,ROW()-1)=$C120),$E$2:INDEX($E:$E,ROW()-1)),IFERROR(VLOOKUP($C120,'01_Warehouse_Ledger'!$A$2:$C$2002,3,FALSE),"")))</f>
        <v/>
      </c>
      <c r="G120" s="25" t="n"/>
    </row>
    <row r="121">
      <c r="A121" s="46" t="n"/>
      <c r="D121">
        <f>IF($C121="","",IFERROR(LOOKUP(2,1/($C$2:INDEX($C:$C,ROW()-1)=$C121),$E$2:INDEX($E:$E,ROW()-1)),IFERROR(VLOOKUP($C121,'01_Warehouse_Ledger'!$A$2:$C$2002,3,FALSE),"")))</f>
        <v/>
      </c>
      <c r="G121" s="25" t="n"/>
    </row>
    <row r="122">
      <c r="A122" s="46" t="n"/>
      <c r="D122">
        <f>IF($C122="","",IFERROR(LOOKUP(2,1/($C$2:INDEX($C:$C,ROW()-1)=$C122),$E$2:INDEX($E:$E,ROW()-1)),IFERROR(VLOOKUP($C122,'01_Warehouse_Ledger'!$A$2:$C$2002,3,FALSE),"")))</f>
        <v/>
      </c>
      <c r="G122" s="25" t="n"/>
    </row>
    <row r="123">
      <c r="A123" s="46" t="n"/>
      <c r="D123">
        <f>IF($C123="","",IFERROR(LOOKUP(2,1/($C$2:INDEX($C:$C,ROW()-1)=$C123),$E$2:INDEX($E:$E,ROW()-1)),IFERROR(VLOOKUP($C123,'01_Warehouse_Ledger'!$A$2:$C$2002,3,FALSE),"")))</f>
        <v/>
      </c>
      <c r="G123" s="25" t="n"/>
    </row>
    <row r="124">
      <c r="A124" s="46" t="n"/>
      <c r="D124">
        <f>IF($C124="","",IFERROR(LOOKUP(2,1/($C$2:INDEX($C:$C,ROW()-1)=$C124),$E$2:INDEX($E:$E,ROW()-1)),IFERROR(VLOOKUP($C124,'01_Warehouse_Ledger'!$A$2:$C$2002,3,FALSE),"")))</f>
        <v/>
      </c>
      <c r="G124" s="25" t="n"/>
    </row>
    <row r="125">
      <c r="A125" s="46" t="n"/>
      <c r="D125">
        <f>IF($C125="","",IFERROR(LOOKUP(2,1/($C$2:INDEX($C:$C,ROW()-1)=$C125),$E$2:INDEX($E:$E,ROW()-1)),IFERROR(VLOOKUP($C125,'01_Warehouse_Ledger'!$A$2:$C$2002,3,FALSE),"")))</f>
        <v/>
      </c>
      <c r="G125" s="25" t="n"/>
    </row>
    <row r="126">
      <c r="A126" s="46" t="n"/>
      <c r="D126">
        <f>IF($C126="","",IFERROR(LOOKUP(2,1/($C$2:INDEX($C:$C,ROW()-1)=$C126),$E$2:INDEX($E:$E,ROW()-1)),IFERROR(VLOOKUP($C126,'01_Warehouse_Ledger'!$A$2:$C$2002,3,FALSE),"")))</f>
        <v/>
      </c>
      <c r="G126" s="25" t="n"/>
    </row>
    <row r="127">
      <c r="A127" s="46" t="n"/>
      <c r="D127">
        <f>IF($C127="","",IFERROR(LOOKUP(2,1/($C$2:INDEX($C:$C,ROW()-1)=$C127),$E$2:INDEX($E:$E,ROW()-1)),IFERROR(VLOOKUP($C127,'01_Warehouse_Ledger'!$A$2:$C$2002,3,FALSE),"")))</f>
        <v/>
      </c>
      <c r="G127" s="25" t="n"/>
    </row>
    <row r="128">
      <c r="A128" s="46" t="n"/>
      <c r="D128">
        <f>IF($C128="","",IFERROR(LOOKUP(2,1/($C$2:INDEX($C:$C,ROW()-1)=$C128),$E$2:INDEX($E:$E,ROW()-1)),IFERROR(VLOOKUP($C128,'01_Warehouse_Ledger'!$A$2:$C$2002,3,FALSE),"")))</f>
        <v/>
      </c>
      <c r="G128" s="25" t="n"/>
    </row>
    <row r="129">
      <c r="A129" s="46" t="n"/>
      <c r="D129">
        <f>IF($C129="","",IFERROR(LOOKUP(2,1/($C$2:INDEX($C:$C,ROW()-1)=$C129),$E$2:INDEX($E:$E,ROW()-1)),IFERROR(VLOOKUP($C129,'01_Warehouse_Ledger'!$A$2:$C$2002,3,FALSE),"")))</f>
        <v/>
      </c>
      <c r="G129" s="25" t="n"/>
    </row>
    <row r="130">
      <c r="A130" s="46" t="n"/>
      <c r="D130">
        <f>IF($C130="","",IFERROR(LOOKUP(2,1/($C$2:INDEX($C:$C,ROW()-1)=$C130),$E$2:INDEX($E:$E,ROW()-1)),IFERROR(VLOOKUP($C130,'01_Warehouse_Ledger'!$A$2:$C$2002,3,FALSE),"")))</f>
        <v/>
      </c>
      <c r="G130" s="25" t="n"/>
    </row>
    <row r="131">
      <c r="A131" s="46" t="n"/>
      <c r="D131">
        <f>IF($C131="","",IFERROR(LOOKUP(2,1/($C$2:INDEX($C:$C,ROW()-1)=$C131),$E$2:INDEX($E:$E,ROW()-1)),IFERROR(VLOOKUP($C131,'01_Warehouse_Ledger'!$A$2:$C$2002,3,FALSE),"")))</f>
        <v/>
      </c>
      <c r="G131" s="25" t="n"/>
    </row>
    <row r="132">
      <c r="A132" s="46" t="n"/>
      <c r="D132">
        <f>IF($C132="","",IFERROR(LOOKUP(2,1/($C$2:INDEX($C:$C,ROW()-1)=$C132),$E$2:INDEX($E:$E,ROW()-1)),IFERROR(VLOOKUP($C132,'01_Warehouse_Ledger'!$A$2:$C$2002,3,FALSE),"")))</f>
        <v/>
      </c>
      <c r="G132" s="25" t="n"/>
    </row>
    <row r="133">
      <c r="A133" s="46" t="n"/>
      <c r="D133">
        <f>IF($C133="","",IFERROR(LOOKUP(2,1/($C$2:INDEX($C:$C,ROW()-1)=$C133),$E$2:INDEX($E:$E,ROW()-1)),IFERROR(VLOOKUP($C133,'01_Warehouse_Ledger'!$A$2:$C$2002,3,FALSE),"")))</f>
        <v/>
      </c>
      <c r="G133" s="25" t="n"/>
    </row>
    <row r="134">
      <c r="A134" s="46" t="n"/>
      <c r="D134">
        <f>IF($C134="","",IFERROR(LOOKUP(2,1/($C$2:INDEX($C:$C,ROW()-1)=$C134),$E$2:INDEX($E:$E,ROW()-1)),IFERROR(VLOOKUP($C134,'01_Warehouse_Ledger'!$A$2:$C$2002,3,FALSE),"")))</f>
        <v/>
      </c>
      <c r="G134" s="25" t="n"/>
    </row>
    <row r="135">
      <c r="A135" s="46" t="n"/>
      <c r="D135">
        <f>IF($C135="","",IFERROR(LOOKUP(2,1/($C$2:INDEX($C:$C,ROW()-1)=$C135),$E$2:INDEX($E:$E,ROW()-1)),IFERROR(VLOOKUP($C135,'01_Warehouse_Ledger'!$A$2:$C$2002,3,FALSE),"")))</f>
        <v/>
      </c>
      <c r="G135" s="25" t="n"/>
    </row>
    <row r="136">
      <c r="A136" s="46" t="n"/>
      <c r="D136">
        <f>IF($C136="","",IFERROR(LOOKUP(2,1/($C$2:INDEX($C:$C,ROW()-1)=$C136),$E$2:INDEX($E:$E,ROW()-1)),IFERROR(VLOOKUP($C136,'01_Warehouse_Ledger'!$A$2:$C$2002,3,FALSE),"")))</f>
        <v/>
      </c>
      <c r="G136" s="25" t="n"/>
    </row>
    <row r="137">
      <c r="A137" s="46" t="n"/>
      <c r="D137">
        <f>IF($C137="","",IFERROR(LOOKUP(2,1/($C$2:INDEX($C:$C,ROW()-1)=$C137),$E$2:INDEX($E:$E,ROW()-1)),IFERROR(VLOOKUP($C137,'01_Warehouse_Ledger'!$A$2:$C$2002,3,FALSE),"")))</f>
        <v/>
      </c>
      <c r="G137" s="25" t="n"/>
    </row>
    <row r="138">
      <c r="A138" s="46" t="n"/>
      <c r="D138">
        <f>IF($C138="","",IFERROR(LOOKUP(2,1/($C$2:INDEX($C:$C,ROW()-1)=$C138),$E$2:INDEX($E:$E,ROW()-1)),IFERROR(VLOOKUP($C138,'01_Warehouse_Ledger'!$A$2:$C$2002,3,FALSE),"")))</f>
        <v/>
      </c>
      <c r="G138" s="25" t="n"/>
    </row>
    <row r="139">
      <c r="A139" s="46" t="n"/>
      <c r="D139">
        <f>IF($C139="","",IFERROR(LOOKUP(2,1/($C$2:INDEX($C:$C,ROW()-1)=$C139),$E$2:INDEX($E:$E,ROW()-1)),IFERROR(VLOOKUP($C139,'01_Warehouse_Ledger'!$A$2:$C$2002,3,FALSE),"")))</f>
        <v/>
      </c>
      <c r="G139" s="25" t="n"/>
    </row>
    <row r="140">
      <c r="A140" s="46" t="n"/>
      <c r="D140">
        <f>IF($C140="","",IFERROR(LOOKUP(2,1/($C$2:INDEX($C:$C,ROW()-1)=$C140),$E$2:INDEX($E:$E,ROW()-1)),IFERROR(VLOOKUP($C140,'01_Warehouse_Ledger'!$A$2:$C$2002,3,FALSE),"")))</f>
        <v/>
      </c>
      <c r="G140" s="25" t="n"/>
    </row>
    <row r="141">
      <c r="A141" s="46" t="n"/>
      <c r="D141">
        <f>IF($C141="","",IFERROR(LOOKUP(2,1/($C$2:INDEX($C:$C,ROW()-1)=$C141),$E$2:INDEX($E:$E,ROW()-1)),IFERROR(VLOOKUP($C141,'01_Warehouse_Ledger'!$A$2:$C$2002,3,FALSE),"")))</f>
        <v/>
      </c>
      <c r="G141" s="25" t="n"/>
    </row>
    <row r="142">
      <c r="A142" s="46" t="n"/>
      <c r="D142">
        <f>IF($C142="","",IFERROR(LOOKUP(2,1/($C$2:INDEX($C:$C,ROW()-1)=$C142),$E$2:INDEX($E:$E,ROW()-1)),IFERROR(VLOOKUP($C142,'01_Warehouse_Ledger'!$A$2:$C$2002,3,FALSE),"")))</f>
        <v/>
      </c>
      <c r="G142" s="25" t="n"/>
    </row>
    <row r="143">
      <c r="A143" s="46" t="n"/>
      <c r="D143">
        <f>IF($C143="","",IFERROR(LOOKUP(2,1/($C$2:INDEX($C:$C,ROW()-1)=$C143),$E$2:INDEX($E:$E,ROW()-1)),IFERROR(VLOOKUP($C143,'01_Warehouse_Ledger'!$A$2:$C$2002,3,FALSE),"")))</f>
        <v/>
      </c>
      <c r="G143" s="25" t="n"/>
    </row>
    <row r="144">
      <c r="A144" s="46" t="n"/>
      <c r="D144">
        <f>IF($C144="","",IFERROR(LOOKUP(2,1/($C$2:INDEX($C:$C,ROW()-1)=$C144),$E$2:INDEX($E:$E,ROW()-1)),IFERROR(VLOOKUP($C144,'01_Warehouse_Ledger'!$A$2:$C$2002,3,FALSE),"")))</f>
        <v/>
      </c>
      <c r="G144" s="25" t="n"/>
    </row>
    <row r="145">
      <c r="A145" s="46" t="n"/>
      <c r="D145">
        <f>IF($C145="","",IFERROR(LOOKUP(2,1/($C$2:INDEX($C:$C,ROW()-1)=$C145),$E$2:INDEX($E:$E,ROW()-1)),IFERROR(VLOOKUP($C145,'01_Warehouse_Ledger'!$A$2:$C$2002,3,FALSE),"")))</f>
        <v/>
      </c>
      <c r="G145" s="25" t="n"/>
    </row>
    <row r="146">
      <c r="A146" s="46" t="n"/>
      <c r="D146">
        <f>IF($C146="","",IFERROR(LOOKUP(2,1/($C$2:INDEX($C:$C,ROW()-1)=$C146),$E$2:INDEX($E:$E,ROW()-1)),IFERROR(VLOOKUP($C146,'01_Warehouse_Ledger'!$A$2:$C$2002,3,FALSE),"")))</f>
        <v/>
      </c>
      <c r="G146" s="25" t="n"/>
    </row>
    <row r="147">
      <c r="A147" s="46" t="n"/>
      <c r="D147">
        <f>IF($C147="","",IFERROR(LOOKUP(2,1/($C$2:INDEX($C:$C,ROW()-1)=$C147),$E$2:INDEX($E:$E,ROW()-1)),IFERROR(VLOOKUP($C147,'01_Warehouse_Ledger'!$A$2:$C$2002,3,FALSE),"")))</f>
        <v/>
      </c>
      <c r="G147" s="25" t="n"/>
    </row>
    <row r="148">
      <c r="A148" s="46" t="n"/>
      <c r="D148">
        <f>IF($C148="","",IFERROR(LOOKUP(2,1/($C$2:INDEX($C:$C,ROW()-1)=$C148),$E$2:INDEX($E:$E,ROW()-1)),IFERROR(VLOOKUP($C148,'01_Warehouse_Ledger'!$A$2:$C$2002,3,FALSE),"")))</f>
        <v/>
      </c>
      <c r="G148" s="25" t="n"/>
    </row>
    <row r="149">
      <c r="A149" s="46" t="n"/>
      <c r="D149">
        <f>IF($C149="","",IFERROR(LOOKUP(2,1/($C$2:INDEX($C:$C,ROW()-1)=$C149),$E$2:INDEX($E:$E,ROW()-1)),IFERROR(VLOOKUP($C149,'01_Warehouse_Ledger'!$A$2:$C$2002,3,FALSE),"")))</f>
        <v/>
      </c>
      <c r="G149" s="25" t="n"/>
    </row>
    <row r="150">
      <c r="A150" s="46" t="n"/>
      <c r="D150">
        <f>IF($C150="","",IFERROR(LOOKUP(2,1/($C$2:INDEX($C:$C,ROW()-1)=$C150),$E$2:INDEX($E:$E,ROW()-1)),IFERROR(VLOOKUP($C150,'01_Warehouse_Ledger'!$A$2:$C$2002,3,FALSE),"")))</f>
        <v/>
      </c>
      <c r="G150" s="25" t="n"/>
    </row>
    <row r="151">
      <c r="A151" s="46" t="n"/>
      <c r="D151">
        <f>IF($C151="","",IFERROR(LOOKUP(2,1/($C$2:INDEX($C:$C,ROW()-1)=$C151),$E$2:INDEX($E:$E,ROW()-1)),IFERROR(VLOOKUP($C151,'01_Warehouse_Ledger'!$A$2:$C$2002,3,FALSE),"")))</f>
        <v/>
      </c>
      <c r="G151" s="25" t="n"/>
    </row>
    <row r="152">
      <c r="A152" s="46" t="n"/>
      <c r="D152">
        <f>IF($C152="","",IFERROR(LOOKUP(2,1/($C$2:INDEX($C:$C,ROW()-1)=$C152),$E$2:INDEX($E:$E,ROW()-1)),IFERROR(VLOOKUP($C152,'01_Warehouse_Ledger'!$A$2:$C$2002,3,FALSE),"")))</f>
        <v/>
      </c>
      <c r="G152" s="25" t="n"/>
    </row>
    <row r="153">
      <c r="A153" s="46" t="n"/>
      <c r="D153">
        <f>IF($C153="","",IFERROR(LOOKUP(2,1/($C$2:INDEX($C:$C,ROW()-1)=$C153),$E$2:INDEX($E:$E,ROW()-1)),IFERROR(VLOOKUP($C153,'01_Warehouse_Ledger'!$A$2:$C$2002,3,FALSE),"")))</f>
        <v/>
      </c>
      <c r="G153" s="25" t="n"/>
    </row>
    <row r="154">
      <c r="A154" s="46" t="n"/>
      <c r="D154">
        <f>IF($C154="","",IFERROR(LOOKUP(2,1/($C$2:INDEX($C:$C,ROW()-1)=$C154),$E$2:INDEX($E:$E,ROW()-1)),IFERROR(VLOOKUP($C154,'01_Warehouse_Ledger'!$A$2:$C$2002,3,FALSE),"")))</f>
        <v/>
      </c>
      <c r="G154" s="25" t="n"/>
    </row>
    <row r="155">
      <c r="A155" s="46" t="n"/>
      <c r="D155">
        <f>IF($C155="","",IFERROR(LOOKUP(2,1/($C$2:INDEX($C:$C,ROW()-1)=$C155),$E$2:INDEX($E:$E,ROW()-1)),IFERROR(VLOOKUP($C155,'01_Warehouse_Ledger'!$A$2:$C$2002,3,FALSE),"")))</f>
        <v/>
      </c>
      <c r="G155" s="25" t="n"/>
    </row>
    <row r="156">
      <c r="A156" s="46" t="n"/>
      <c r="D156">
        <f>IF($C156="","",IFERROR(LOOKUP(2,1/($C$2:INDEX($C:$C,ROW()-1)=$C156),$E$2:INDEX($E:$E,ROW()-1)),IFERROR(VLOOKUP($C156,'01_Warehouse_Ledger'!$A$2:$C$2002,3,FALSE),"")))</f>
        <v/>
      </c>
      <c r="G156" s="25" t="n"/>
    </row>
    <row r="157">
      <c r="A157" s="46" t="n"/>
      <c r="D157">
        <f>IF($C157="","",IFERROR(LOOKUP(2,1/($C$2:INDEX($C:$C,ROW()-1)=$C157),$E$2:INDEX($E:$E,ROW()-1)),IFERROR(VLOOKUP($C157,'01_Warehouse_Ledger'!$A$2:$C$2002,3,FALSE),"")))</f>
        <v/>
      </c>
      <c r="G157" s="25" t="n"/>
    </row>
    <row r="158">
      <c r="A158" s="46" t="n"/>
      <c r="D158">
        <f>IF($C158="","",IFERROR(LOOKUP(2,1/($C$2:INDEX($C:$C,ROW()-1)=$C158),$E$2:INDEX($E:$E,ROW()-1)),IFERROR(VLOOKUP($C158,'01_Warehouse_Ledger'!$A$2:$C$2002,3,FALSE),"")))</f>
        <v/>
      </c>
      <c r="G158" s="25" t="n"/>
    </row>
    <row r="159">
      <c r="A159" s="46" t="n"/>
      <c r="D159">
        <f>IF($C159="","",IFERROR(LOOKUP(2,1/($C$2:INDEX($C:$C,ROW()-1)=$C159),$E$2:INDEX($E:$E,ROW()-1)),IFERROR(VLOOKUP($C159,'01_Warehouse_Ledger'!$A$2:$C$2002,3,FALSE),"")))</f>
        <v/>
      </c>
      <c r="G159" s="25" t="n"/>
    </row>
    <row r="160">
      <c r="A160" s="46" t="n"/>
      <c r="D160">
        <f>IF($C160="","",IFERROR(LOOKUP(2,1/($C$2:INDEX($C:$C,ROW()-1)=$C160),$E$2:INDEX($E:$E,ROW()-1)),IFERROR(VLOOKUP($C160,'01_Warehouse_Ledger'!$A$2:$C$2002,3,FALSE),"")))</f>
        <v/>
      </c>
      <c r="G160" s="25" t="n"/>
    </row>
    <row r="161">
      <c r="A161" s="46" t="n"/>
      <c r="D161">
        <f>IF($C161="","",IFERROR(LOOKUP(2,1/($C$2:INDEX($C:$C,ROW()-1)=$C161),$E$2:INDEX($E:$E,ROW()-1)),IFERROR(VLOOKUP($C161,'01_Warehouse_Ledger'!$A$2:$C$2002,3,FALSE),"")))</f>
        <v/>
      </c>
      <c r="G161" s="25" t="n"/>
    </row>
    <row r="162">
      <c r="A162" s="46" t="n"/>
      <c r="D162">
        <f>IF($C162="","",IFERROR(LOOKUP(2,1/($C$2:INDEX($C:$C,ROW()-1)=$C162),$E$2:INDEX($E:$E,ROW()-1)),IFERROR(VLOOKUP($C162,'01_Warehouse_Ledger'!$A$2:$C$2002,3,FALSE),"")))</f>
        <v/>
      </c>
      <c r="G162" s="25" t="n"/>
    </row>
    <row r="163">
      <c r="A163" s="46" t="n"/>
      <c r="D163">
        <f>IF($C163="","",IFERROR(LOOKUP(2,1/($C$2:INDEX($C:$C,ROW()-1)=$C163),$E$2:INDEX($E:$E,ROW()-1)),IFERROR(VLOOKUP($C163,'01_Warehouse_Ledger'!$A$2:$C$2002,3,FALSE),"")))</f>
        <v/>
      </c>
      <c r="G163" s="25" t="n"/>
    </row>
    <row r="164">
      <c r="A164" s="46" t="n"/>
      <c r="D164">
        <f>IF($C164="","",IFERROR(LOOKUP(2,1/($C$2:INDEX($C:$C,ROW()-1)=$C164),$E$2:INDEX($E:$E,ROW()-1)),IFERROR(VLOOKUP($C164,'01_Warehouse_Ledger'!$A$2:$C$2002,3,FALSE),"")))</f>
        <v/>
      </c>
      <c r="G164" s="25" t="n"/>
    </row>
    <row r="165">
      <c r="A165" s="46" t="n"/>
      <c r="D165">
        <f>IF($C165="","",IFERROR(LOOKUP(2,1/($C$2:INDEX($C:$C,ROW()-1)=$C165),$E$2:INDEX($E:$E,ROW()-1)),IFERROR(VLOOKUP($C165,'01_Warehouse_Ledger'!$A$2:$C$2002,3,FALSE),"")))</f>
        <v/>
      </c>
      <c r="G165" s="25" t="n"/>
    </row>
    <row r="166">
      <c r="A166" s="46" t="n"/>
      <c r="D166">
        <f>IF($C166="","",IFERROR(LOOKUP(2,1/($C$2:INDEX($C:$C,ROW()-1)=$C166),$E$2:INDEX($E:$E,ROW()-1)),IFERROR(VLOOKUP($C166,'01_Warehouse_Ledger'!$A$2:$C$2002,3,FALSE),"")))</f>
        <v/>
      </c>
      <c r="G166" s="25" t="n"/>
    </row>
    <row r="167">
      <c r="A167" s="46" t="n"/>
      <c r="D167">
        <f>IF($C167="","",IFERROR(LOOKUP(2,1/($C$2:INDEX($C:$C,ROW()-1)=$C167),$E$2:INDEX($E:$E,ROW()-1)),IFERROR(VLOOKUP($C167,'01_Warehouse_Ledger'!$A$2:$C$2002,3,FALSE),"")))</f>
        <v/>
      </c>
      <c r="G167" s="25" t="n"/>
    </row>
    <row r="168">
      <c r="A168" s="46" t="n"/>
      <c r="D168">
        <f>IF($C168="","",IFERROR(LOOKUP(2,1/($C$2:INDEX($C:$C,ROW()-1)=$C168),$E$2:INDEX($E:$E,ROW()-1)),IFERROR(VLOOKUP($C168,'01_Warehouse_Ledger'!$A$2:$C$2002,3,FALSE),"")))</f>
        <v/>
      </c>
      <c r="G168" s="25" t="n"/>
    </row>
    <row r="169">
      <c r="A169" s="46" t="n"/>
      <c r="D169">
        <f>IF($C169="","",IFERROR(LOOKUP(2,1/($C$2:INDEX($C:$C,ROW()-1)=$C169),$E$2:INDEX($E:$E,ROW()-1)),IFERROR(VLOOKUP($C169,'01_Warehouse_Ledger'!$A$2:$C$2002,3,FALSE),"")))</f>
        <v/>
      </c>
      <c r="G169" s="25" t="n"/>
    </row>
    <row r="170">
      <c r="A170" s="46" t="n"/>
      <c r="D170">
        <f>IF($C170="","",IFERROR(LOOKUP(2,1/($C$2:INDEX($C:$C,ROW()-1)=$C170),$E$2:INDEX($E:$E,ROW()-1)),IFERROR(VLOOKUP($C170,'01_Warehouse_Ledger'!$A$2:$C$2002,3,FALSE),"")))</f>
        <v/>
      </c>
      <c r="G170" s="25" t="n"/>
    </row>
    <row r="171">
      <c r="A171" s="46" t="n"/>
      <c r="D171">
        <f>IF($C171="","",IFERROR(LOOKUP(2,1/($C$2:INDEX($C:$C,ROW()-1)=$C171),$E$2:INDEX($E:$E,ROW()-1)),IFERROR(VLOOKUP($C171,'01_Warehouse_Ledger'!$A$2:$C$2002,3,FALSE),"")))</f>
        <v/>
      </c>
      <c r="G171" s="25" t="n"/>
    </row>
    <row r="172">
      <c r="A172" s="46" t="n"/>
      <c r="D172">
        <f>IF($C172="","",IFERROR(LOOKUP(2,1/($C$2:INDEX($C:$C,ROW()-1)=$C172),$E$2:INDEX($E:$E,ROW()-1)),IFERROR(VLOOKUP($C172,'01_Warehouse_Ledger'!$A$2:$C$2002,3,FALSE),"")))</f>
        <v/>
      </c>
      <c r="G172" s="25" t="n"/>
    </row>
    <row r="173">
      <c r="A173" s="46" t="n"/>
      <c r="D173">
        <f>IF($C173="","",IFERROR(LOOKUP(2,1/($C$2:INDEX($C:$C,ROW()-1)=$C173),$E$2:INDEX($E:$E,ROW()-1)),IFERROR(VLOOKUP($C173,'01_Warehouse_Ledger'!$A$2:$C$2002,3,FALSE),"")))</f>
        <v/>
      </c>
      <c r="G173" s="25" t="n"/>
    </row>
    <row r="174">
      <c r="A174" s="46" t="n"/>
      <c r="D174">
        <f>IF($C174="","",IFERROR(LOOKUP(2,1/($C$2:INDEX($C:$C,ROW()-1)=$C174),$E$2:INDEX($E:$E,ROW()-1)),IFERROR(VLOOKUP($C174,'01_Warehouse_Ledger'!$A$2:$C$2002,3,FALSE),"")))</f>
        <v/>
      </c>
      <c r="G174" s="25" t="n"/>
    </row>
    <row r="175">
      <c r="A175" s="46" t="n"/>
      <c r="D175">
        <f>IF($C175="","",IFERROR(LOOKUP(2,1/($C$2:INDEX($C:$C,ROW()-1)=$C175),$E$2:INDEX($E:$E,ROW()-1)),IFERROR(VLOOKUP($C175,'01_Warehouse_Ledger'!$A$2:$C$2002,3,FALSE),"")))</f>
        <v/>
      </c>
      <c r="G175" s="25" t="n"/>
    </row>
    <row r="176">
      <c r="A176" s="46" t="n"/>
      <c r="D176">
        <f>IF($C176="","",IFERROR(LOOKUP(2,1/($C$2:INDEX($C:$C,ROW()-1)=$C176),$E$2:INDEX($E:$E,ROW()-1)),IFERROR(VLOOKUP($C176,'01_Warehouse_Ledger'!$A$2:$C$2002,3,FALSE),"")))</f>
        <v/>
      </c>
      <c r="G176" s="25" t="n"/>
    </row>
    <row r="177">
      <c r="A177" s="46" t="n"/>
      <c r="D177">
        <f>IF($C177="","",IFERROR(LOOKUP(2,1/($C$2:INDEX($C:$C,ROW()-1)=$C177),$E$2:INDEX($E:$E,ROW()-1)),IFERROR(VLOOKUP($C177,'01_Warehouse_Ledger'!$A$2:$C$2002,3,FALSE),"")))</f>
        <v/>
      </c>
      <c r="G177" s="25" t="n"/>
    </row>
    <row r="178">
      <c r="A178" s="46" t="n"/>
      <c r="D178">
        <f>IF($C178="","",IFERROR(LOOKUP(2,1/($C$2:INDEX($C:$C,ROW()-1)=$C178),$E$2:INDEX($E:$E,ROW()-1)),IFERROR(VLOOKUP($C178,'01_Warehouse_Ledger'!$A$2:$C$2002,3,FALSE),"")))</f>
        <v/>
      </c>
      <c r="G178" s="25" t="n"/>
    </row>
    <row r="179">
      <c r="A179" s="46" t="n"/>
      <c r="D179">
        <f>IF($C179="","",IFERROR(LOOKUP(2,1/($C$2:INDEX($C:$C,ROW()-1)=$C179),$E$2:INDEX($E:$E,ROW()-1)),IFERROR(VLOOKUP($C179,'01_Warehouse_Ledger'!$A$2:$C$2002,3,FALSE),"")))</f>
        <v/>
      </c>
      <c r="G179" s="25" t="n"/>
    </row>
    <row r="180">
      <c r="A180" s="46" t="n"/>
      <c r="D180">
        <f>IF($C180="","",IFERROR(LOOKUP(2,1/($C$2:INDEX($C:$C,ROW()-1)=$C180),$E$2:INDEX($E:$E,ROW()-1)),IFERROR(VLOOKUP($C180,'01_Warehouse_Ledger'!$A$2:$C$2002,3,FALSE),"")))</f>
        <v/>
      </c>
      <c r="G180" s="25" t="n"/>
    </row>
    <row r="181">
      <c r="A181" s="46" t="n"/>
      <c r="D181">
        <f>IF($C181="","",IFERROR(LOOKUP(2,1/($C$2:INDEX($C:$C,ROW()-1)=$C181),$E$2:INDEX($E:$E,ROW()-1)),IFERROR(VLOOKUP($C181,'01_Warehouse_Ledger'!$A$2:$C$2002,3,FALSE),"")))</f>
        <v/>
      </c>
      <c r="G181" s="25" t="n"/>
    </row>
    <row r="182">
      <c r="A182" s="46" t="n"/>
      <c r="D182">
        <f>IF($C182="","",IFERROR(LOOKUP(2,1/($C$2:INDEX($C:$C,ROW()-1)=$C182),$E$2:INDEX($E:$E,ROW()-1)),IFERROR(VLOOKUP($C182,'01_Warehouse_Ledger'!$A$2:$C$2002,3,FALSE),"")))</f>
        <v/>
      </c>
      <c r="G182" s="25" t="n"/>
    </row>
    <row r="183">
      <c r="A183" s="46" t="n"/>
      <c r="D183">
        <f>IF($C183="","",IFERROR(LOOKUP(2,1/($C$2:INDEX($C:$C,ROW()-1)=$C183),$E$2:INDEX($E:$E,ROW()-1)),IFERROR(VLOOKUP($C183,'01_Warehouse_Ledger'!$A$2:$C$2002,3,FALSE),"")))</f>
        <v/>
      </c>
      <c r="G183" s="25" t="n"/>
    </row>
    <row r="184">
      <c r="A184" s="46" t="n"/>
      <c r="D184">
        <f>IF($C184="","",IFERROR(LOOKUP(2,1/($C$2:INDEX($C:$C,ROW()-1)=$C184),$E$2:INDEX($E:$E,ROW()-1)),IFERROR(VLOOKUP($C184,'01_Warehouse_Ledger'!$A$2:$C$2002,3,FALSE),"")))</f>
        <v/>
      </c>
      <c r="G184" s="25" t="n"/>
    </row>
    <row r="185">
      <c r="A185" s="46" t="n"/>
      <c r="D185">
        <f>IF($C185="","",IFERROR(LOOKUP(2,1/($C$2:INDEX($C:$C,ROW()-1)=$C185),$E$2:INDEX($E:$E,ROW()-1)),IFERROR(VLOOKUP($C185,'01_Warehouse_Ledger'!$A$2:$C$2002,3,FALSE),"")))</f>
        <v/>
      </c>
      <c r="G185" s="25" t="n"/>
    </row>
    <row r="186">
      <c r="A186" s="46" t="n"/>
      <c r="D186">
        <f>IF($C186="","",IFERROR(LOOKUP(2,1/($C$2:INDEX($C:$C,ROW()-1)=$C186),$E$2:INDEX($E:$E,ROW()-1)),IFERROR(VLOOKUP($C186,'01_Warehouse_Ledger'!$A$2:$C$2002,3,FALSE),"")))</f>
        <v/>
      </c>
      <c r="G186" s="25" t="n"/>
    </row>
    <row r="187">
      <c r="A187" s="46" t="n"/>
      <c r="D187">
        <f>IF($C187="","",IFERROR(LOOKUP(2,1/($C$2:INDEX($C:$C,ROW()-1)=$C187),$E$2:INDEX($E:$E,ROW()-1)),IFERROR(VLOOKUP($C187,'01_Warehouse_Ledger'!$A$2:$C$2002,3,FALSE),"")))</f>
        <v/>
      </c>
      <c r="G187" s="25" t="n"/>
    </row>
    <row r="188">
      <c r="A188" s="46" t="n"/>
      <c r="D188">
        <f>IF($C188="","",IFERROR(LOOKUP(2,1/($C$2:INDEX($C:$C,ROW()-1)=$C188),$E$2:INDEX($E:$E,ROW()-1)),IFERROR(VLOOKUP($C188,'01_Warehouse_Ledger'!$A$2:$C$2002,3,FALSE),"")))</f>
        <v/>
      </c>
      <c r="G188" s="25" t="n"/>
    </row>
    <row r="189">
      <c r="A189" s="46" t="n"/>
      <c r="D189">
        <f>IF($C189="","",IFERROR(LOOKUP(2,1/($C$2:INDEX($C:$C,ROW()-1)=$C189),$E$2:INDEX($E:$E,ROW()-1)),IFERROR(VLOOKUP($C189,'01_Warehouse_Ledger'!$A$2:$C$2002,3,FALSE),"")))</f>
        <v/>
      </c>
      <c r="G189" s="25" t="n"/>
    </row>
    <row r="190">
      <c r="A190" s="46" t="n"/>
      <c r="D190">
        <f>IF($C190="","",IFERROR(LOOKUP(2,1/($C$2:INDEX($C:$C,ROW()-1)=$C190),$E$2:INDEX($E:$E,ROW()-1)),IFERROR(VLOOKUP($C190,'01_Warehouse_Ledger'!$A$2:$C$2002,3,FALSE),"")))</f>
        <v/>
      </c>
      <c r="G190" s="25" t="n"/>
    </row>
    <row r="191">
      <c r="A191" s="46" t="n"/>
      <c r="D191">
        <f>IF($C191="","",IFERROR(LOOKUP(2,1/($C$2:INDEX($C:$C,ROW()-1)=$C191),$E$2:INDEX($E:$E,ROW()-1)),IFERROR(VLOOKUP($C191,'01_Warehouse_Ledger'!$A$2:$C$2002,3,FALSE),"")))</f>
        <v/>
      </c>
      <c r="G191" s="25" t="n"/>
    </row>
    <row r="192">
      <c r="A192" s="46" t="n"/>
      <c r="D192">
        <f>IF($C192="","",IFERROR(LOOKUP(2,1/($C$2:INDEX($C:$C,ROW()-1)=$C192),$E$2:INDEX($E:$E,ROW()-1)),IFERROR(VLOOKUP($C192,'01_Warehouse_Ledger'!$A$2:$C$2002,3,FALSE),"")))</f>
        <v/>
      </c>
      <c r="G192" s="25" t="n"/>
    </row>
    <row r="193">
      <c r="A193" s="46" t="n"/>
      <c r="D193">
        <f>IF($C193="","",IFERROR(LOOKUP(2,1/($C$2:INDEX($C:$C,ROW()-1)=$C193),$E$2:INDEX($E:$E,ROW()-1)),IFERROR(VLOOKUP($C193,'01_Warehouse_Ledger'!$A$2:$C$2002,3,FALSE),"")))</f>
        <v/>
      </c>
      <c r="G193" s="25" t="n"/>
    </row>
    <row r="194">
      <c r="A194" s="46" t="n"/>
      <c r="D194">
        <f>IF($C194="","",IFERROR(LOOKUP(2,1/($C$2:INDEX($C:$C,ROW()-1)=$C194),$E$2:INDEX($E:$E,ROW()-1)),IFERROR(VLOOKUP($C194,'01_Warehouse_Ledger'!$A$2:$C$2002,3,FALSE),"")))</f>
        <v/>
      </c>
      <c r="G194" s="25" t="n"/>
    </row>
    <row r="195">
      <c r="A195" s="46" t="n"/>
      <c r="D195">
        <f>IF($C195="","",IFERROR(LOOKUP(2,1/($C$2:INDEX($C:$C,ROW()-1)=$C195),$E$2:INDEX($E:$E,ROW()-1)),IFERROR(VLOOKUP($C195,'01_Warehouse_Ledger'!$A$2:$C$2002,3,FALSE),"")))</f>
        <v/>
      </c>
      <c r="G195" s="25" t="n"/>
    </row>
    <row r="196">
      <c r="A196" s="46" t="n"/>
      <c r="D196">
        <f>IF($C196="","",IFERROR(LOOKUP(2,1/($C$2:INDEX($C:$C,ROW()-1)=$C196),$E$2:INDEX($E:$E,ROW()-1)),IFERROR(VLOOKUP($C196,'01_Warehouse_Ledger'!$A$2:$C$2002,3,FALSE),"")))</f>
        <v/>
      </c>
      <c r="G196" s="25" t="n"/>
    </row>
    <row r="197">
      <c r="A197" s="46" t="n"/>
      <c r="D197">
        <f>IF($C197="","",IFERROR(LOOKUP(2,1/($C$2:INDEX($C:$C,ROW()-1)=$C197),$E$2:INDEX($E:$E,ROW()-1)),IFERROR(VLOOKUP($C197,'01_Warehouse_Ledger'!$A$2:$C$2002,3,FALSE),"")))</f>
        <v/>
      </c>
      <c r="G197" s="25" t="n"/>
    </row>
    <row r="198">
      <c r="A198" s="46" t="n"/>
      <c r="D198">
        <f>IF($C198="","",IFERROR(LOOKUP(2,1/($C$2:INDEX($C:$C,ROW()-1)=$C198),$E$2:INDEX($E:$E,ROW()-1)),IFERROR(VLOOKUP($C198,'01_Warehouse_Ledger'!$A$2:$C$2002,3,FALSE),"")))</f>
        <v/>
      </c>
      <c r="G198" s="25" t="n"/>
    </row>
    <row r="199">
      <c r="A199" s="46" t="n"/>
      <c r="D199">
        <f>IF($C199="","",IFERROR(LOOKUP(2,1/($C$2:INDEX($C:$C,ROW()-1)=$C199),$E$2:INDEX($E:$E,ROW()-1)),IFERROR(VLOOKUP($C199,'01_Warehouse_Ledger'!$A$2:$C$2002,3,FALSE),"")))</f>
        <v/>
      </c>
      <c r="G199" s="25" t="n"/>
    </row>
    <row r="200">
      <c r="A200" s="46" t="n"/>
      <c r="D200">
        <f>IF($C200="","",IFERROR(LOOKUP(2,1/($C$2:INDEX($C:$C,ROW()-1)=$C200),$E$2:INDEX($E:$E,ROW()-1)),IFERROR(VLOOKUP($C200,'01_Warehouse_Ledger'!$A$2:$C$2002,3,FALSE),"")))</f>
        <v/>
      </c>
      <c r="G200" s="25" t="n"/>
    </row>
    <row r="201">
      <c r="A201" s="46" t="n"/>
      <c r="D201">
        <f>IF($C201="","",IFERROR(LOOKUP(2,1/($C$2:INDEX($C:$C,ROW()-1)=$C201),$E$2:INDEX($E:$E,ROW()-1)),IFERROR(VLOOKUP($C201,'01_Warehouse_Ledger'!$A$2:$C$2002,3,FALSE),"")))</f>
        <v/>
      </c>
      <c r="G201" s="25" t="n"/>
    </row>
    <row r="202">
      <c r="A202" s="46" t="n"/>
      <c r="D202">
        <f>IF($C202="","",IFERROR(LOOKUP(2,1/($C$2:INDEX($C:$C,ROW()-1)=$C202),$E$2:INDEX($E:$E,ROW()-1)),IFERROR(VLOOKUP($C202,'01_Warehouse_Ledger'!$A$2:$C$2002,3,FALSE),"")))</f>
        <v/>
      </c>
      <c r="G202" s="25" t="n"/>
    </row>
    <row r="203">
      <c r="A203" s="46" t="n"/>
      <c r="D203">
        <f>IF($C203="","",IFERROR(LOOKUP(2,1/($C$2:INDEX($C:$C,ROW()-1)=$C203),$E$2:INDEX($E:$E,ROW()-1)),IFERROR(VLOOKUP($C203,'01_Warehouse_Ledger'!$A$2:$C$2002,3,FALSE),"")))</f>
        <v/>
      </c>
      <c r="G203" s="25" t="n"/>
    </row>
    <row r="204">
      <c r="A204" s="46" t="n"/>
      <c r="D204">
        <f>IF($C204="","",IFERROR(LOOKUP(2,1/($C$2:INDEX($C:$C,ROW()-1)=$C204),$E$2:INDEX($E:$E,ROW()-1)),IFERROR(VLOOKUP($C204,'01_Warehouse_Ledger'!$A$2:$C$2002,3,FALSE),"")))</f>
        <v/>
      </c>
      <c r="G204" s="25" t="n"/>
    </row>
    <row r="205">
      <c r="A205" s="46" t="n"/>
      <c r="D205">
        <f>IF($C205="","",IFERROR(LOOKUP(2,1/($C$2:INDEX($C:$C,ROW()-1)=$C205),$E$2:INDEX($E:$E,ROW()-1)),IFERROR(VLOOKUP($C205,'01_Warehouse_Ledger'!$A$2:$C$2002,3,FALSE),"")))</f>
        <v/>
      </c>
      <c r="G205" s="25" t="n"/>
    </row>
    <row r="206">
      <c r="A206" s="46" t="n"/>
      <c r="D206">
        <f>IF($C206="","",IFERROR(LOOKUP(2,1/($C$2:INDEX($C:$C,ROW()-1)=$C206),$E$2:INDEX($E:$E,ROW()-1)),IFERROR(VLOOKUP($C206,'01_Warehouse_Ledger'!$A$2:$C$2002,3,FALSE),"")))</f>
        <v/>
      </c>
      <c r="G206" s="25" t="n"/>
    </row>
    <row r="207">
      <c r="A207" s="46" t="n"/>
      <c r="D207">
        <f>IF($C207="","",IFERROR(LOOKUP(2,1/($C$2:INDEX($C:$C,ROW()-1)=$C207),$E$2:INDEX($E:$E,ROW()-1)),IFERROR(VLOOKUP($C207,'01_Warehouse_Ledger'!$A$2:$C$2002,3,FALSE),"")))</f>
        <v/>
      </c>
      <c r="G207" s="25" t="n"/>
    </row>
    <row r="208">
      <c r="A208" s="46" t="n"/>
      <c r="D208">
        <f>IF($C208="","",IFERROR(LOOKUP(2,1/($C$2:INDEX($C:$C,ROW()-1)=$C208),$E$2:INDEX($E:$E,ROW()-1)),IFERROR(VLOOKUP($C208,'01_Warehouse_Ledger'!$A$2:$C$2002,3,FALSE),"")))</f>
        <v/>
      </c>
      <c r="G208" s="25" t="n"/>
    </row>
    <row r="209">
      <c r="A209" s="46" t="n"/>
      <c r="D209">
        <f>IF($C209="","",IFERROR(LOOKUP(2,1/($C$2:INDEX($C:$C,ROW()-1)=$C209),$E$2:INDEX($E:$E,ROW()-1)),IFERROR(VLOOKUP($C209,'01_Warehouse_Ledger'!$A$2:$C$2002,3,FALSE),"")))</f>
        <v/>
      </c>
      <c r="G209" s="25" t="n"/>
    </row>
    <row r="210">
      <c r="A210" s="46" t="n"/>
      <c r="D210">
        <f>IF($C210="","",IFERROR(LOOKUP(2,1/($C$2:INDEX($C:$C,ROW()-1)=$C210),$E$2:INDEX($E:$E,ROW()-1)),IFERROR(VLOOKUP($C210,'01_Warehouse_Ledger'!$A$2:$C$2002,3,FALSE),"")))</f>
        <v/>
      </c>
      <c r="G210" s="25" t="n"/>
    </row>
    <row r="211">
      <c r="A211" s="46" t="n"/>
      <c r="D211">
        <f>IF($C211="","",IFERROR(LOOKUP(2,1/($C$2:INDEX($C:$C,ROW()-1)=$C211),$E$2:INDEX($E:$E,ROW()-1)),IFERROR(VLOOKUP($C211,'01_Warehouse_Ledger'!$A$2:$C$2002,3,FALSE),"")))</f>
        <v/>
      </c>
      <c r="G211" s="25" t="n"/>
    </row>
    <row r="212">
      <c r="A212" s="46" t="n"/>
      <c r="D212">
        <f>IF($C212="","",IFERROR(LOOKUP(2,1/($C$2:INDEX($C:$C,ROW()-1)=$C212),$E$2:INDEX($E:$E,ROW()-1)),IFERROR(VLOOKUP($C212,'01_Warehouse_Ledger'!$A$2:$C$2002,3,FALSE),"")))</f>
        <v/>
      </c>
      <c r="G212" s="25" t="n"/>
    </row>
    <row r="213">
      <c r="A213" s="46" t="n"/>
      <c r="D213">
        <f>IF($C213="","",IFERROR(LOOKUP(2,1/($C$2:INDEX($C:$C,ROW()-1)=$C213),$E$2:INDEX($E:$E,ROW()-1)),IFERROR(VLOOKUP($C213,'01_Warehouse_Ledger'!$A$2:$C$2002,3,FALSE),"")))</f>
        <v/>
      </c>
      <c r="G213" s="25" t="n"/>
    </row>
    <row r="214">
      <c r="A214" s="46" t="n"/>
      <c r="D214">
        <f>IF($C214="","",IFERROR(LOOKUP(2,1/($C$2:INDEX($C:$C,ROW()-1)=$C214),$E$2:INDEX($E:$E,ROW()-1)),IFERROR(VLOOKUP($C214,'01_Warehouse_Ledger'!$A$2:$C$2002,3,FALSE),"")))</f>
        <v/>
      </c>
      <c r="G214" s="25" t="n"/>
    </row>
    <row r="215">
      <c r="A215" s="46" t="n"/>
      <c r="D215">
        <f>IF($C215="","",IFERROR(LOOKUP(2,1/($C$2:INDEX($C:$C,ROW()-1)=$C215),$E$2:INDEX($E:$E,ROW()-1)),IFERROR(VLOOKUP($C215,'01_Warehouse_Ledger'!$A$2:$C$2002,3,FALSE),"")))</f>
        <v/>
      </c>
      <c r="G215" s="25" t="n"/>
    </row>
    <row r="216">
      <c r="A216" s="46" t="n"/>
      <c r="D216">
        <f>IF($C216="","",IFERROR(LOOKUP(2,1/($C$2:INDEX($C:$C,ROW()-1)=$C216),$E$2:INDEX($E:$E,ROW()-1)),IFERROR(VLOOKUP($C216,'01_Warehouse_Ledger'!$A$2:$C$2002,3,FALSE),"")))</f>
        <v/>
      </c>
      <c r="G216" s="25" t="n"/>
    </row>
    <row r="217">
      <c r="A217" s="46" t="n"/>
      <c r="D217">
        <f>IF($C217="","",IFERROR(LOOKUP(2,1/($C$2:INDEX($C:$C,ROW()-1)=$C217),$E$2:INDEX($E:$E,ROW()-1)),IFERROR(VLOOKUP($C217,'01_Warehouse_Ledger'!$A$2:$C$2002,3,FALSE),"")))</f>
        <v/>
      </c>
      <c r="G217" s="25" t="n"/>
    </row>
    <row r="218">
      <c r="A218" s="46" t="n"/>
      <c r="D218">
        <f>IF($C218="","",IFERROR(LOOKUP(2,1/($C$2:INDEX($C:$C,ROW()-1)=$C218),$E$2:INDEX($E:$E,ROW()-1)),IFERROR(VLOOKUP($C218,'01_Warehouse_Ledger'!$A$2:$C$2002,3,FALSE),"")))</f>
        <v/>
      </c>
      <c r="G218" s="25" t="n"/>
    </row>
    <row r="219">
      <c r="A219" s="46" t="n"/>
      <c r="D219">
        <f>IF($C219="","",IFERROR(LOOKUP(2,1/($C$2:INDEX($C:$C,ROW()-1)=$C219),$E$2:INDEX($E:$E,ROW()-1)),IFERROR(VLOOKUP($C219,'01_Warehouse_Ledger'!$A$2:$C$2002,3,FALSE),"")))</f>
        <v/>
      </c>
      <c r="G219" s="25" t="n"/>
    </row>
    <row r="220">
      <c r="A220" s="46" t="n"/>
      <c r="D220">
        <f>IF($C220="","",IFERROR(LOOKUP(2,1/($C$2:INDEX($C:$C,ROW()-1)=$C220),$E$2:INDEX($E:$E,ROW()-1)),IFERROR(VLOOKUP($C220,'01_Warehouse_Ledger'!$A$2:$C$2002,3,FALSE),"")))</f>
        <v/>
      </c>
      <c r="G220" s="25" t="n"/>
    </row>
    <row r="221">
      <c r="A221" s="46" t="n"/>
      <c r="D221">
        <f>IF($C221="","",IFERROR(LOOKUP(2,1/($C$2:INDEX($C:$C,ROW()-1)=$C221),$E$2:INDEX($E:$E,ROW()-1)),IFERROR(VLOOKUP($C221,'01_Warehouse_Ledger'!$A$2:$C$2002,3,FALSE),"")))</f>
        <v/>
      </c>
      <c r="G221" s="25" t="n"/>
    </row>
    <row r="222">
      <c r="A222" s="46" t="n"/>
      <c r="D222">
        <f>IF($C222="","",IFERROR(LOOKUP(2,1/($C$2:INDEX($C:$C,ROW()-1)=$C222),$E$2:INDEX($E:$E,ROW()-1)),IFERROR(VLOOKUP($C222,'01_Warehouse_Ledger'!$A$2:$C$2002,3,FALSE),"")))</f>
        <v/>
      </c>
      <c r="G222" s="25" t="n"/>
    </row>
    <row r="223">
      <c r="A223" s="46" t="n"/>
      <c r="D223">
        <f>IF($C223="","",IFERROR(LOOKUP(2,1/($C$2:INDEX($C:$C,ROW()-1)=$C223),$E$2:INDEX($E:$E,ROW()-1)),IFERROR(VLOOKUP($C223,'01_Warehouse_Ledger'!$A$2:$C$2002,3,FALSE),"")))</f>
        <v/>
      </c>
      <c r="G223" s="25" t="n"/>
    </row>
    <row r="224">
      <c r="A224" s="46" t="n"/>
      <c r="D224">
        <f>IF($C224="","",IFERROR(LOOKUP(2,1/($C$2:INDEX($C:$C,ROW()-1)=$C224),$E$2:INDEX($E:$E,ROW()-1)),IFERROR(VLOOKUP($C224,'01_Warehouse_Ledger'!$A$2:$C$2002,3,FALSE),"")))</f>
        <v/>
      </c>
      <c r="G224" s="25" t="n"/>
    </row>
    <row r="225">
      <c r="A225" s="46" t="n"/>
      <c r="D225">
        <f>IF($C225="","",IFERROR(LOOKUP(2,1/($C$2:INDEX($C:$C,ROW()-1)=$C225),$E$2:INDEX($E:$E,ROW()-1)),IFERROR(VLOOKUP($C225,'01_Warehouse_Ledger'!$A$2:$C$2002,3,FALSE),"")))</f>
        <v/>
      </c>
      <c r="G225" s="25" t="n"/>
    </row>
    <row r="226">
      <c r="A226" s="46" t="n"/>
      <c r="D226">
        <f>IF($C226="","",IFERROR(LOOKUP(2,1/($C$2:INDEX($C:$C,ROW()-1)=$C226),$E$2:INDEX($E:$E,ROW()-1)),IFERROR(VLOOKUP($C226,'01_Warehouse_Ledger'!$A$2:$C$2002,3,FALSE),"")))</f>
        <v/>
      </c>
      <c r="G226" s="25" t="n"/>
    </row>
    <row r="227">
      <c r="A227" s="46" t="n"/>
      <c r="D227">
        <f>IF($C227="","",IFERROR(LOOKUP(2,1/($C$2:INDEX($C:$C,ROW()-1)=$C227),$E$2:INDEX($E:$E,ROW()-1)),IFERROR(VLOOKUP($C227,'01_Warehouse_Ledger'!$A$2:$C$2002,3,FALSE),"")))</f>
        <v/>
      </c>
      <c r="G227" s="25" t="n"/>
    </row>
    <row r="228">
      <c r="A228" s="46" t="n"/>
      <c r="D228">
        <f>IF($C228="","",IFERROR(LOOKUP(2,1/($C$2:INDEX($C:$C,ROW()-1)=$C228),$E$2:INDEX($E:$E,ROW()-1)),IFERROR(VLOOKUP($C228,'01_Warehouse_Ledger'!$A$2:$C$2002,3,FALSE),"")))</f>
        <v/>
      </c>
      <c r="G228" s="25" t="n"/>
    </row>
    <row r="229">
      <c r="A229" s="46" t="n"/>
      <c r="D229">
        <f>IF($C229="","",IFERROR(LOOKUP(2,1/($C$2:INDEX($C:$C,ROW()-1)=$C229),$E$2:INDEX($E:$E,ROW()-1)),IFERROR(VLOOKUP($C229,'01_Warehouse_Ledger'!$A$2:$C$2002,3,FALSE),"")))</f>
        <v/>
      </c>
      <c r="G229" s="25" t="n"/>
    </row>
    <row r="230">
      <c r="A230" s="46" t="n"/>
      <c r="D230">
        <f>IF($C230="","",IFERROR(LOOKUP(2,1/($C$2:INDEX($C:$C,ROW()-1)=$C230),$E$2:INDEX($E:$E,ROW()-1)),IFERROR(VLOOKUP($C230,'01_Warehouse_Ledger'!$A$2:$C$2002,3,FALSE),"")))</f>
        <v/>
      </c>
      <c r="G230" s="25" t="n"/>
    </row>
    <row r="231">
      <c r="A231" s="46" t="n"/>
      <c r="D231">
        <f>IF($C231="","",IFERROR(LOOKUP(2,1/($C$2:INDEX($C:$C,ROW()-1)=$C231),$E$2:INDEX($E:$E,ROW()-1)),IFERROR(VLOOKUP($C231,'01_Warehouse_Ledger'!$A$2:$C$2002,3,FALSE),"")))</f>
        <v/>
      </c>
      <c r="G231" s="25" t="n"/>
    </row>
    <row r="232">
      <c r="A232" s="46" t="n"/>
      <c r="D232">
        <f>IF($C232="","",IFERROR(LOOKUP(2,1/($C$2:INDEX($C:$C,ROW()-1)=$C232),$E$2:INDEX($E:$E,ROW()-1)),IFERROR(VLOOKUP($C232,'01_Warehouse_Ledger'!$A$2:$C$2002,3,FALSE),"")))</f>
        <v/>
      </c>
      <c r="G232" s="25" t="n"/>
    </row>
    <row r="233">
      <c r="A233" s="46" t="n"/>
      <c r="D233">
        <f>IF($C233="","",IFERROR(LOOKUP(2,1/($C$2:INDEX($C:$C,ROW()-1)=$C233),$E$2:INDEX($E:$E,ROW()-1)),IFERROR(VLOOKUP($C233,'01_Warehouse_Ledger'!$A$2:$C$2002,3,FALSE),"")))</f>
        <v/>
      </c>
      <c r="G233" s="25" t="n"/>
    </row>
    <row r="234">
      <c r="A234" s="46" t="n"/>
      <c r="D234">
        <f>IF($C234="","",IFERROR(LOOKUP(2,1/($C$2:INDEX($C:$C,ROW()-1)=$C234),$E$2:INDEX($E:$E,ROW()-1)),IFERROR(VLOOKUP($C234,'01_Warehouse_Ledger'!$A$2:$C$2002,3,FALSE),"")))</f>
        <v/>
      </c>
      <c r="G234" s="25" t="n"/>
    </row>
    <row r="235">
      <c r="A235" s="46" t="n"/>
      <c r="D235">
        <f>IF($C235="","",IFERROR(LOOKUP(2,1/($C$2:INDEX($C:$C,ROW()-1)=$C235),$E$2:INDEX($E:$E,ROW()-1)),IFERROR(VLOOKUP($C235,'01_Warehouse_Ledger'!$A$2:$C$2002,3,FALSE),"")))</f>
        <v/>
      </c>
      <c r="G235" s="25" t="n"/>
    </row>
    <row r="236">
      <c r="A236" s="46" t="n"/>
      <c r="D236">
        <f>IF($C236="","",IFERROR(LOOKUP(2,1/($C$2:INDEX($C:$C,ROW()-1)=$C236),$E$2:INDEX($E:$E,ROW()-1)),IFERROR(VLOOKUP($C236,'01_Warehouse_Ledger'!$A$2:$C$2002,3,FALSE),"")))</f>
        <v/>
      </c>
      <c r="G236" s="25" t="n"/>
    </row>
    <row r="237">
      <c r="A237" s="46" t="n"/>
      <c r="D237">
        <f>IF($C237="","",IFERROR(LOOKUP(2,1/($C$2:INDEX($C:$C,ROW()-1)=$C237),$E$2:INDEX($E:$E,ROW()-1)),IFERROR(VLOOKUP($C237,'01_Warehouse_Ledger'!$A$2:$C$2002,3,FALSE),"")))</f>
        <v/>
      </c>
      <c r="G237" s="25" t="n"/>
    </row>
    <row r="238">
      <c r="A238" s="46" t="n"/>
      <c r="D238">
        <f>IF($C238="","",IFERROR(LOOKUP(2,1/($C$2:INDEX($C:$C,ROW()-1)=$C238),$E$2:INDEX($E:$E,ROW()-1)),IFERROR(VLOOKUP($C238,'01_Warehouse_Ledger'!$A$2:$C$2002,3,FALSE),"")))</f>
        <v/>
      </c>
      <c r="G238" s="25" t="n"/>
    </row>
    <row r="239">
      <c r="A239" s="46" t="n"/>
      <c r="D239">
        <f>IF($C239="","",IFERROR(LOOKUP(2,1/($C$2:INDEX($C:$C,ROW()-1)=$C239),$E$2:INDEX($E:$E,ROW()-1)),IFERROR(VLOOKUP($C239,'01_Warehouse_Ledger'!$A$2:$C$2002,3,FALSE),"")))</f>
        <v/>
      </c>
      <c r="G239" s="25" t="n"/>
    </row>
    <row r="240">
      <c r="A240" s="46" t="n"/>
      <c r="D240">
        <f>IF($C240="","",IFERROR(LOOKUP(2,1/($C$2:INDEX($C:$C,ROW()-1)=$C240),$E$2:INDEX($E:$E,ROW()-1)),IFERROR(VLOOKUP($C240,'01_Warehouse_Ledger'!$A$2:$C$2002,3,FALSE),"")))</f>
        <v/>
      </c>
      <c r="G240" s="25" t="n"/>
    </row>
    <row r="241">
      <c r="A241" s="46" t="n"/>
      <c r="D241">
        <f>IF($C241="","",IFERROR(LOOKUP(2,1/($C$2:INDEX($C:$C,ROW()-1)=$C241),$E$2:INDEX($E:$E,ROW()-1)),IFERROR(VLOOKUP($C241,'01_Warehouse_Ledger'!$A$2:$C$2002,3,FALSE),"")))</f>
        <v/>
      </c>
      <c r="G241" s="25" t="n"/>
    </row>
    <row r="242">
      <c r="A242" s="46" t="n"/>
      <c r="D242">
        <f>IF($C242="","",IFERROR(LOOKUP(2,1/($C$2:INDEX($C:$C,ROW()-1)=$C242),$E$2:INDEX($E:$E,ROW()-1)),IFERROR(VLOOKUP($C242,'01_Warehouse_Ledger'!$A$2:$C$2002,3,FALSE),"")))</f>
        <v/>
      </c>
      <c r="G242" s="25" t="n"/>
    </row>
    <row r="243">
      <c r="A243" s="46" t="n"/>
      <c r="D243">
        <f>IF($C243="","",IFERROR(LOOKUP(2,1/($C$2:INDEX($C:$C,ROW()-1)=$C243),$E$2:INDEX($E:$E,ROW()-1)),IFERROR(VLOOKUP($C243,'01_Warehouse_Ledger'!$A$2:$C$2002,3,FALSE),"")))</f>
        <v/>
      </c>
      <c r="G243" s="25" t="n"/>
    </row>
    <row r="244">
      <c r="A244" s="46" t="n"/>
      <c r="D244">
        <f>IF($C244="","",IFERROR(LOOKUP(2,1/($C$2:INDEX($C:$C,ROW()-1)=$C244),$E$2:INDEX($E:$E,ROW()-1)),IFERROR(VLOOKUP($C244,'01_Warehouse_Ledger'!$A$2:$C$2002,3,FALSE),"")))</f>
        <v/>
      </c>
      <c r="G244" s="25" t="n"/>
    </row>
    <row r="245">
      <c r="A245" s="46" t="n"/>
      <c r="D245">
        <f>IF($C245="","",IFERROR(LOOKUP(2,1/($C$2:INDEX($C:$C,ROW()-1)=$C245),$E$2:INDEX($E:$E,ROW()-1)),IFERROR(VLOOKUP($C245,'01_Warehouse_Ledger'!$A$2:$C$2002,3,FALSE),"")))</f>
        <v/>
      </c>
      <c r="G245" s="25" t="n"/>
    </row>
    <row r="246">
      <c r="A246" s="46" t="n"/>
      <c r="D246">
        <f>IF($C246="","",IFERROR(LOOKUP(2,1/($C$2:INDEX($C:$C,ROW()-1)=$C246),$E$2:INDEX($E:$E,ROW()-1)),IFERROR(VLOOKUP($C246,'01_Warehouse_Ledger'!$A$2:$C$2002,3,FALSE),"")))</f>
        <v/>
      </c>
      <c r="G246" s="25" t="n"/>
    </row>
    <row r="247">
      <c r="A247" s="46" t="n"/>
      <c r="D247">
        <f>IF($C247="","",IFERROR(LOOKUP(2,1/($C$2:INDEX($C:$C,ROW()-1)=$C247),$E$2:INDEX($E:$E,ROW()-1)),IFERROR(VLOOKUP($C247,'01_Warehouse_Ledger'!$A$2:$C$2002,3,FALSE),"")))</f>
        <v/>
      </c>
      <c r="G247" s="25" t="n"/>
    </row>
    <row r="248">
      <c r="A248" s="46" t="n"/>
      <c r="D248">
        <f>IF($C248="","",IFERROR(LOOKUP(2,1/($C$2:INDEX($C:$C,ROW()-1)=$C248),$E$2:INDEX($E:$E,ROW()-1)),IFERROR(VLOOKUP($C248,'01_Warehouse_Ledger'!$A$2:$C$2002,3,FALSE),"")))</f>
        <v/>
      </c>
      <c r="G248" s="25" t="n"/>
    </row>
    <row r="249">
      <c r="A249" s="46" t="n"/>
      <c r="D249">
        <f>IF($C249="","",IFERROR(LOOKUP(2,1/($C$2:INDEX($C:$C,ROW()-1)=$C249),$E$2:INDEX($E:$E,ROW()-1)),IFERROR(VLOOKUP($C249,'01_Warehouse_Ledger'!$A$2:$C$2002,3,FALSE),"")))</f>
        <v/>
      </c>
      <c r="G249" s="25" t="n"/>
    </row>
    <row r="250">
      <c r="A250" s="46" t="n"/>
      <c r="D250">
        <f>IF($C250="","",IFERROR(LOOKUP(2,1/($C$2:INDEX($C:$C,ROW()-1)=$C250),$E$2:INDEX($E:$E,ROW()-1)),IFERROR(VLOOKUP($C250,'01_Warehouse_Ledger'!$A$2:$C$2002,3,FALSE),"")))</f>
        <v/>
      </c>
      <c r="G250" s="25" t="n"/>
    </row>
    <row r="251">
      <c r="A251" s="46" t="n"/>
      <c r="D251">
        <f>IF($C251="","",IFERROR(LOOKUP(2,1/($C$2:INDEX($C:$C,ROW()-1)=$C251),$E$2:INDEX($E:$E,ROW()-1)),IFERROR(VLOOKUP($C251,'01_Warehouse_Ledger'!$A$2:$C$2002,3,FALSE),"")))</f>
        <v/>
      </c>
      <c r="G251" s="25" t="n"/>
    </row>
    <row r="252">
      <c r="A252" s="46" t="n"/>
      <c r="D252">
        <f>IF($C252="","",IFERROR(LOOKUP(2,1/($C$2:INDEX($C:$C,ROW()-1)=$C252),$E$2:INDEX($E:$E,ROW()-1)),IFERROR(VLOOKUP($C252,'01_Warehouse_Ledger'!$A$2:$C$2002,3,FALSE),"")))</f>
        <v/>
      </c>
      <c r="G252" s="25" t="n"/>
    </row>
    <row r="253">
      <c r="A253" s="46" t="n"/>
      <c r="D253">
        <f>IF($C253="","",IFERROR(LOOKUP(2,1/($C$2:INDEX($C:$C,ROW()-1)=$C253),$E$2:INDEX($E:$E,ROW()-1)),IFERROR(VLOOKUP($C253,'01_Warehouse_Ledger'!$A$2:$C$2002,3,FALSE),"")))</f>
        <v/>
      </c>
      <c r="G253" s="25" t="n"/>
    </row>
    <row r="254">
      <c r="A254" s="46" t="n"/>
      <c r="D254">
        <f>IF($C254="","",IFERROR(LOOKUP(2,1/($C$2:INDEX($C:$C,ROW()-1)=$C254),$E$2:INDEX($E:$E,ROW()-1)),IFERROR(VLOOKUP($C254,'01_Warehouse_Ledger'!$A$2:$C$2002,3,FALSE),"")))</f>
        <v/>
      </c>
      <c r="G254" s="25" t="n"/>
    </row>
    <row r="255">
      <c r="A255" s="46" t="n"/>
      <c r="D255">
        <f>IF($C255="","",IFERROR(LOOKUP(2,1/($C$2:INDEX($C:$C,ROW()-1)=$C255),$E$2:INDEX($E:$E,ROW()-1)),IFERROR(VLOOKUP($C255,'01_Warehouse_Ledger'!$A$2:$C$2002,3,FALSE),"")))</f>
        <v/>
      </c>
      <c r="G255" s="25" t="n"/>
    </row>
    <row r="256">
      <c r="A256" s="46" t="n"/>
      <c r="D256">
        <f>IF($C256="","",IFERROR(LOOKUP(2,1/($C$2:INDEX($C:$C,ROW()-1)=$C256),$E$2:INDEX($E:$E,ROW()-1)),IFERROR(VLOOKUP($C256,'01_Warehouse_Ledger'!$A$2:$C$2002,3,FALSE),"")))</f>
        <v/>
      </c>
      <c r="G256" s="25" t="n"/>
    </row>
    <row r="257">
      <c r="A257" s="46" t="n"/>
      <c r="D257">
        <f>IF($C257="","",IFERROR(LOOKUP(2,1/($C$2:INDEX($C:$C,ROW()-1)=$C257),$E$2:INDEX($E:$E,ROW()-1)),IFERROR(VLOOKUP($C257,'01_Warehouse_Ledger'!$A$2:$C$2002,3,FALSE),"")))</f>
        <v/>
      </c>
      <c r="G257" s="25" t="n"/>
    </row>
    <row r="258">
      <c r="A258" s="46" t="n"/>
      <c r="D258">
        <f>IF($C258="","",IFERROR(LOOKUP(2,1/($C$2:INDEX($C:$C,ROW()-1)=$C258),$E$2:INDEX($E:$E,ROW()-1)),IFERROR(VLOOKUP($C258,'01_Warehouse_Ledger'!$A$2:$C$2002,3,FALSE),"")))</f>
        <v/>
      </c>
      <c r="G258" s="25" t="n"/>
    </row>
    <row r="259">
      <c r="A259" s="46" t="n"/>
      <c r="D259">
        <f>IF($C259="","",IFERROR(LOOKUP(2,1/($C$2:INDEX($C:$C,ROW()-1)=$C259),$E$2:INDEX($E:$E,ROW()-1)),IFERROR(VLOOKUP($C259,'01_Warehouse_Ledger'!$A$2:$C$2002,3,FALSE),"")))</f>
        <v/>
      </c>
      <c r="G259" s="25" t="n"/>
    </row>
    <row r="260">
      <c r="A260" s="46" t="n"/>
      <c r="D260">
        <f>IF($C260="","",IFERROR(LOOKUP(2,1/($C$2:INDEX($C:$C,ROW()-1)=$C260),$E$2:INDEX($E:$E,ROW()-1)),IFERROR(VLOOKUP($C260,'01_Warehouse_Ledger'!$A$2:$C$2002,3,FALSE),"")))</f>
        <v/>
      </c>
      <c r="G260" s="25" t="n"/>
    </row>
    <row r="261">
      <c r="A261" s="46" t="n"/>
      <c r="D261">
        <f>IF($C261="","",IFERROR(LOOKUP(2,1/($C$2:INDEX($C:$C,ROW()-1)=$C261),$E$2:INDEX($E:$E,ROW()-1)),IFERROR(VLOOKUP($C261,'01_Warehouse_Ledger'!$A$2:$C$2002,3,FALSE),"")))</f>
        <v/>
      </c>
      <c r="G261" s="25" t="n"/>
    </row>
    <row r="262">
      <c r="A262" s="46" t="n"/>
      <c r="D262">
        <f>IF($C262="","",IFERROR(LOOKUP(2,1/($C$2:INDEX($C:$C,ROW()-1)=$C262),$E$2:INDEX($E:$E,ROW()-1)),IFERROR(VLOOKUP($C262,'01_Warehouse_Ledger'!$A$2:$C$2002,3,FALSE),"")))</f>
        <v/>
      </c>
      <c r="G262" s="25" t="n"/>
    </row>
    <row r="263">
      <c r="A263" s="46" t="n"/>
      <c r="D263">
        <f>IF($C263="","",IFERROR(LOOKUP(2,1/($C$2:INDEX($C:$C,ROW()-1)=$C263),$E$2:INDEX($E:$E,ROW()-1)),IFERROR(VLOOKUP($C263,'01_Warehouse_Ledger'!$A$2:$C$2002,3,FALSE),"")))</f>
        <v/>
      </c>
      <c r="G263" s="25" t="n"/>
    </row>
    <row r="264">
      <c r="A264" s="46" t="n"/>
      <c r="D264">
        <f>IF($C264="","",IFERROR(LOOKUP(2,1/($C$2:INDEX($C:$C,ROW()-1)=$C264),$E$2:INDEX($E:$E,ROW()-1)),IFERROR(VLOOKUP($C264,'01_Warehouse_Ledger'!$A$2:$C$2002,3,FALSE),"")))</f>
        <v/>
      </c>
      <c r="G264" s="25" t="n"/>
    </row>
    <row r="265">
      <c r="A265" s="46" t="n"/>
      <c r="D265">
        <f>IF($C265="","",IFERROR(LOOKUP(2,1/($C$2:INDEX($C:$C,ROW()-1)=$C265),$E$2:INDEX($E:$E,ROW()-1)),IFERROR(VLOOKUP($C265,'01_Warehouse_Ledger'!$A$2:$C$2002,3,FALSE),"")))</f>
        <v/>
      </c>
      <c r="G265" s="25" t="n"/>
    </row>
    <row r="266">
      <c r="A266" s="46" t="n"/>
      <c r="D266">
        <f>IF($C266="","",IFERROR(LOOKUP(2,1/($C$2:INDEX($C:$C,ROW()-1)=$C266),$E$2:INDEX($E:$E,ROW()-1)),IFERROR(VLOOKUP($C266,'01_Warehouse_Ledger'!$A$2:$C$2002,3,FALSE),"")))</f>
        <v/>
      </c>
      <c r="G266" s="25" t="n"/>
    </row>
    <row r="267">
      <c r="A267" s="46" t="n"/>
      <c r="D267">
        <f>IF($C267="","",IFERROR(LOOKUP(2,1/($C$2:INDEX($C:$C,ROW()-1)=$C267),$E$2:INDEX($E:$E,ROW()-1)),IFERROR(VLOOKUP($C267,'01_Warehouse_Ledger'!$A$2:$C$2002,3,FALSE),"")))</f>
        <v/>
      </c>
      <c r="G267" s="25" t="n"/>
    </row>
    <row r="268">
      <c r="A268" s="46" t="n"/>
      <c r="D268">
        <f>IF($C268="","",IFERROR(LOOKUP(2,1/($C$2:INDEX($C:$C,ROW()-1)=$C268),$E$2:INDEX($E:$E,ROW()-1)),IFERROR(VLOOKUP($C268,'01_Warehouse_Ledger'!$A$2:$C$2002,3,FALSE),"")))</f>
        <v/>
      </c>
      <c r="G268" s="25" t="n"/>
    </row>
    <row r="269">
      <c r="A269" s="46" t="n"/>
      <c r="D269">
        <f>IF($C269="","",IFERROR(LOOKUP(2,1/($C$2:INDEX($C:$C,ROW()-1)=$C269),$E$2:INDEX($E:$E,ROW()-1)),IFERROR(VLOOKUP($C269,'01_Warehouse_Ledger'!$A$2:$C$2002,3,FALSE),"")))</f>
        <v/>
      </c>
      <c r="G269" s="25" t="n"/>
    </row>
    <row r="270">
      <c r="A270" s="46" t="n"/>
      <c r="D270">
        <f>IF($C270="","",IFERROR(LOOKUP(2,1/($C$2:INDEX($C:$C,ROW()-1)=$C270),$E$2:INDEX($E:$E,ROW()-1)),IFERROR(VLOOKUP($C270,'01_Warehouse_Ledger'!$A$2:$C$2002,3,FALSE),"")))</f>
        <v/>
      </c>
      <c r="G270" s="25" t="n"/>
    </row>
    <row r="271">
      <c r="A271" s="46" t="n"/>
      <c r="D271">
        <f>IF($C271="","",IFERROR(LOOKUP(2,1/($C$2:INDEX($C:$C,ROW()-1)=$C271),$E$2:INDEX($E:$E,ROW()-1)),IFERROR(VLOOKUP($C271,'01_Warehouse_Ledger'!$A$2:$C$2002,3,FALSE),"")))</f>
        <v/>
      </c>
      <c r="G271" s="25" t="n"/>
    </row>
    <row r="272">
      <c r="A272" s="46" t="n"/>
      <c r="D272">
        <f>IF($C272="","",IFERROR(LOOKUP(2,1/($C$2:INDEX($C:$C,ROW()-1)=$C272),$E$2:INDEX($E:$E,ROW()-1)),IFERROR(VLOOKUP($C272,'01_Warehouse_Ledger'!$A$2:$C$2002,3,FALSE),"")))</f>
        <v/>
      </c>
      <c r="G272" s="25" t="n"/>
    </row>
    <row r="273">
      <c r="A273" s="46" t="n"/>
      <c r="D273">
        <f>IF($C273="","",IFERROR(LOOKUP(2,1/($C$2:INDEX($C:$C,ROW()-1)=$C273),$E$2:INDEX($E:$E,ROW()-1)),IFERROR(VLOOKUP($C273,'01_Warehouse_Ledger'!$A$2:$C$2002,3,FALSE),"")))</f>
        <v/>
      </c>
      <c r="G273" s="25" t="n"/>
    </row>
    <row r="274">
      <c r="A274" s="46" t="n"/>
      <c r="D274">
        <f>IF($C274="","",IFERROR(LOOKUP(2,1/($C$2:INDEX($C:$C,ROW()-1)=$C274),$E$2:INDEX($E:$E,ROW()-1)),IFERROR(VLOOKUP($C274,'01_Warehouse_Ledger'!$A$2:$C$2002,3,FALSE),"")))</f>
        <v/>
      </c>
      <c r="G274" s="25" t="n"/>
    </row>
    <row r="275">
      <c r="A275" s="46" t="n"/>
      <c r="D275">
        <f>IF($C275="","",IFERROR(LOOKUP(2,1/($C$2:INDEX($C:$C,ROW()-1)=$C275),$E$2:INDEX($E:$E,ROW()-1)),IFERROR(VLOOKUP($C275,'01_Warehouse_Ledger'!$A$2:$C$2002,3,FALSE),"")))</f>
        <v/>
      </c>
      <c r="G275" s="25" t="n"/>
    </row>
    <row r="276">
      <c r="A276" s="46" t="n"/>
      <c r="D276">
        <f>IF($C276="","",IFERROR(LOOKUP(2,1/($C$2:INDEX($C:$C,ROW()-1)=$C276),$E$2:INDEX($E:$E,ROW()-1)),IFERROR(VLOOKUP($C276,'01_Warehouse_Ledger'!$A$2:$C$2002,3,FALSE),"")))</f>
        <v/>
      </c>
      <c r="G276" s="25" t="n"/>
    </row>
    <row r="277">
      <c r="A277" s="46" t="n"/>
      <c r="D277">
        <f>IF($C277="","",IFERROR(LOOKUP(2,1/($C$2:INDEX($C:$C,ROW()-1)=$C277),$E$2:INDEX($E:$E,ROW()-1)),IFERROR(VLOOKUP($C277,'01_Warehouse_Ledger'!$A$2:$C$2002,3,FALSE),"")))</f>
        <v/>
      </c>
      <c r="G277" s="25" t="n"/>
    </row>
    <row r="278">
      <c r="A278" s="46" t="n"/>
      <c r="D278">
        <f>IF($C278="","",IFERROR(LOOKUP(2,1/($C$2:INDEX($C:$C,ROW()-1)=$C278),$E$2:INDEX($E:$E,ROW()-1)),IFERROR(VLOOKUP($C278,'01_Warehouse_Ledger'!$A$2:$C$2002,3,FALSE),"")))</f>
        <v/>
      </c>
      <c r="G278" s="25" t="n"/>
    </row>
    <row r="279">
      <c r="A279" s="46" t="n"/>
      <c r="D279">
        <f>IF($C279="","",IFERROR(LOOKUP(2,1/($C$2:INDEX($C:$C,ROW()-1)=$C279),$E$2:INDEX($E:$E,ROW()-1)),IFERROR(VLOOKUP($C279,'01_Warehouse_Ledger'!$A$2:$C$2002,3,FALSE),"")))</f>
        <v/>
      </c>
      <c r="G279" s="25" t="n"/>
    </row>
    <row r="280">
      <c r="A280" s="46" t="n"/>
      <c r="D280">
        <f>IF($C280="","",IFERROR(LOOKUP(2,1/($C$2:INDEX($C:$C,ROW()-1)=$C280),$E$2:INDEX($E:$E,ROW()-1)),IFERROR(VLOOKUP($C280,'01_Warehouse_Ledger'!$A$2:$C$2002,3,FALSE),"")))</f>
        <v/>
      </c>
      <c r="G280" s="25" t="n"/>
    </row>
    <row r="281">
      <c r="A281" s="46" t="n"/>
      <c r="D281">
        <f>IF($C281="","",IFERROR(LOOKUP(2,1/($C$2:INDEX($C:$C,ROW()-1)=$C281),$E$2:INDEX($E:$E,ROW()-1)),IFERROR(VLOOKUP($C281,'01_Warehouse_Ledger'!$A$2:$C$2002,3,FALSE),"")))</f>
        <v/>
      </c>
      <c r="G281" s="25" t="n"/>
    </row>
    <row r="282">
      <c r="A282" s="46" t="n"/>
      <c r="D282">
        <f>IF($C282="","",IFERROR(LOOKUP(2,1/($C$2:INDEX($C:$C,ROW()-1)=$C282),$E$2:INDEX($E:$E,ROW()-1)),IFERROR(VLOOKUP($C282,'01_Warehouse_Ledger'!$A$2:$C$2002,3,FALSE),"")))</f>
        <v/>
      </c>
      <c r="G282" s="25" t="n"/>
    </row>
    <row r="283">
      <c r="A283" s="46" t="n"/>
      <c r="D283">
        <f>IF($C283="","",IFERROR(LOOKUP(2,1/($C$2:INDEX($C:$C,ROW()-1)=$C283),$E$2:INDEX($E:$E,ROW()-1)),IFERROR(VLOOKUP($C283,'01_Warehouse_Ledger'!$A$2:$C$2002,3,FALSE),"")))</f>
        <v/>
      </c>
      <c r="G283" s="25" t="n"/>
    </row>
    <row r="284">
      <c r="A284" s="46" t="n"/>
      <c r="D284">
        <f>IF($C284="","",IFERROR(LOOKUP(2,1/($C$2:INDEX($C:$C,ROW()-1)=$C284),$E$2:INDEX($E:$E,ROW()-1)),IFERROR(VLOOKUP($C284,'01_Warehouse_Ledger'!$A$2:$C$2002,3,FALSE),"")))</f>
        <v/>
      </c>
      <c r="G284" s="25" t="n"/>
    </row>
    <row r="285">
      <c r="A285" s="46" t="n"/>
      <c r="D285">
        <f>IF($C285="","",IFERROR(LOOKUP(2,1/($C$2:INDEX($C:$C,ROW()-1)=$C285),$E$2:INDEX($E:$E,ROW()-1)),IFERROR(VLOOKUP($C285,'01_Warehouse_Ledger'!$A$2:$C$2002,3,FALSE),"")))</f>
        <v/>
      </c>
      <c r="G285" s="25" t="n"/>
    </row>
    <row r="286">
      <c r="A286" s="46" t="n"/>
      <c r="D286">
        <f>IF($C286="","",IFERROR(LOOKUP(2,1/($C$2:INDEX($C:$C,ROW()-1)=$C286),$E$2:INDEX($E:$E,ROW()-1)),IFERROR(VLOOKUP($C286,'01_Warehouse_Ledger'!$A$2:$C$2002,3,FALSE),"")))</f>
        <v/>
      </c>
      <c r="G286" s="25" t="n"/>
    </row>
    <row r="287">
      <c r="A287" s="46" t="n"/>
      <c r="D287">
        <f>IF($C287="","",IFERROR(LOOKUP(2,1/($C$2:INDEX($C:$C,ROW()-1)=$C287),$E$2:INDEX($E:$E,ROW()-1)),IFERROR(VLOOKUP($C287,'01_Warehouse_Ledger'!$A$2:$C$2002,3,FALSE),"")))</f>
        <v/>
      </c>
      <c r="G287" s="25" t="n"/>
    </row>
    <row r="288">
      <c r="A288" s="46" t="n"/>
      <c r="D288">
        <f>IF($C288="","",IFERROR(LOOKUP(2,1/($C$2:INDEX($C:$C,ROW()-1)=$C288),$E$2:INDEX($E:$E,ROW()-1)),IFERROR(VLOOKUP($C288,'01_Warehouse_Ledger'!$A$2:$C$2002,3,FALSE),"")))</f>
        <v/>
      </c>
      <c r="G288" s="25" t="n"/>
    </row>
    <row r="289">
      <c r="A289" s="46" t="n"/>
      <c r="D289">
        <f>IF($C289="","",IFERROR(LOOKUP(2,1/($C$2:INDEX($C:$C,ROW()-1)=$C289),$E$2:INDEX($E:$E,ROW()-1)),IFERROR(VLOOKUP($C289,'01_Warehouse_Ledger'!$A$2:$C$2002,3,FALSE),"")))</f>
        <v/>
      </c>
      <c r="G289" s="25" t="n"/>
    </row>
    <row r="290">
      <c r="A290" s="46" t="n"/>
      <c r="D290">
        <f>IF($C290="","",IFERROR(LOOKUP(2,1/($C$2:INDEX($C:$C,ROW()-1)=$C290),$E$2:INDEX($E:$E,ROW()-1)),IFERROR(VLOOKUP($C290,'01_Warehouse_Ledger'!$A$2:$C$2002,3,FALSE),"")))</f>
        <v/>
      </c>
      <c r="G290" s="25" t="n"/>
    </row>
    <row r="291">
      <c r="A291" s="46" t="n"/>
      <c r="D291">
        <f>IF($C291="","",IFERROR(LOOKUP(2,1/($C$2:INDEX($C:$C,ROW()-1)=$C291),$E$2:INDEX($E:$E,ROW()-1)),IFERROR(VLOOKUP($C291,'01_Warehouse_Ledger'!$A$2:$C$2002,3,FALSE),"")))</f>
        <v/>
      </c>
      <c r="G291" s="25" t="n"/>
    </row>
    <row r="292">
      <c r="A292" s="46" t="n"/>
      <c r="D292">
        <f>IF($C292="","",IFERROR(LOOKUP(2,1/($C$2:INDEX($C:$C,ROW()-1)=$C292),$E$2:INDEX($E:$E,ROW()-1)),IFERROR(VLOOKUP($C292,'01_Warehouse_Ledger'!$A$2:$C$2002,3,FALSE),"")))</f>
        <v/>
      </c>
      <c r="G292" s="25" t="n"/>
    </row>
    <row r="293">
      <c r="A293" s="46" t="n"/>
      <c r="D293">
        <f>IF($C293="","",IFERROR(LOOKUP(2,1/($C$2:INDEX($C:$C,ROW()-1)=$C293),$E$2:INDEX($E:$E,ROW()-1)),IFERROR(VLOOKUP($C293,'01_Warehouse_Ledger'!$A$2:$C$2002,3,FALSE),"")))</f>
        <v/>
      </c>
      <c r="G293" s="25" t="n"/>
    </row>
    <row r="294">
      <c r="A294" s="46" t="n"/>
      <c r="D294">
        <f>IF($C294="","",IFERROR(LOOKUP(2,1/($C$2:INDEX($C:$C,ROW()-1)=$C294),$E$2:INDEX($E:$E,ROW()-1)),IFERROR(VLOOKUP($C294,'01_Warehouse_Ledger'!$A$2:$C$2002,3,FALSE),"")))</f>
        <v/>
      </c>
      <c r="G294" s="25" t="n"/>
    </row>
    <row r="295">
      <c r="A295" s="46" t="n"/>
      <c r="D295">
        <f>IF($C295="","",IFERROR(LOOKUP(2,1/($C$2:INDEX($C:$C,ROW()-1)=$C295),$E$2:INDEX($E:$E,ROW()-1)),IFERROR(VLOOKUP($C295,'01_Warehouse_Ledger'!$A$2:$C$2002,3,FALSE),"")))</f>
        <v/>
      </c>
      <c r="G295" s="25" t="n"/>
    </row>
    <row r="296">
      <c r="A296" s="46" t="n"/>
      <c r="D296">
        <f>IF($C296="","",IFERROR(LOOKUP(2,1/($C$2:INDEX($C:$C,ROW()-1)=$C296),$E$2:INDEX($E:$E,ROW()-1)),IFERROR(VLOOKUP($C296,'01_Warehouse_Ledger'!$A$2:$C$2002,3,FALSE),"")))</f>
        <v/>
      </c>
      <c r="G296" s="25" t="n"/>
    </row>
    <row r="297">
      <c r="A297" s="46" t="n"/>
      <c r="D297">
        <f>IF($C297="","",IFERROR(LOOKUP(2,1/($C$2:INDEX($C:$C,ROW()-1)=$C297),$E$2:INDEX($E:$E,ROW()-1)),IFERROR(VLOOKUP($C297,'01_Warehouse_Ledger'!$A$2:$C$2002,3,FALSE),"")))</f>
        <v/>
      </c>
      <c r="G297" s="25" t="n"/>
    </row>
    <row r="298">
      <c r="A298" s="46" t="n"/>
      <c r="D298">
        <f>IF($C298="","",IFERROR(LOOKUP(2,1/($C$2:INDEX($C:$C,ROW()-1)=$C298),$E$2:INDEX($E:$E,ROW()-1)),IFERROR(VLOOKUP($C298,'01_Warehouse_Ledger'!$A$2:$C$2002,3,FALSE),"")))</f>
        <v/>
      </c>
      <c r="G298" s="25" t="n"/>
    </row>
    <row r="299">
      <c r="A299" s="46" t="n"/>
      <c r="D299">
        <f>IF($C299="","",IFERROR(LOOKUP(2,1/($C$2:INDEX($C:$C,ROW()-1)=$C299),$E$2:INDEX($E:$E,ROW()-1)),IFERROR(VLOOKUP($C299,'01_Warehouse_Ledger'!$A$2:$C$2002,3,FALSE),"")))</f>
        <v/>
      </c>
      <c r="G299" s="25" t="n"/>
    </row>
    <row r="300">
      <c r="A300" s="46" t="n"/>
      <c r="D300">
        <f>IF($C300="","",IFERROR(LOOKUP(2,1/($C$2:INDEX($C:$C,ROW()-1)=$C300),$E$2:INDEX($E:$E,ROW()-1)),IFERROR(VLOOKUP($C300,'01_Warehouse_Ledger'!$A$2:$C$2002,3,FALSE),"")))</f>
        <v/>
      </c>
      <c r="G300" s="25" t="n"/>
    </row>
    <row r="301">
      <c r="A301" s="46" t="n"/>
      <c r="D301">
        <f>IF($C301="","",IFERROR(LOOKUP(2,1/($C$2:INDEX($C:$C,ROW()-1)=$C301),$E$2:INDEX($E:$E,ROW()-1)),IFERROR(VLOOKUP($C301,'01_Warehouse_Ledger'!$A$2:$C$2002,3,FALSE),"")))</f>
        <v/>
      </c>
      <c r="G301" s="25" t="n"/>
    </row>
    <row r="302">
      <c r="A302" s="46" t="n"/>
      <c r="D302">
        <f>IF($C302="","",IFERROR(LOOKUP(2,1/($C$2:INDEX($C:$C,ROW()-1)=$C302),$E$2:INDEX($E:$E,ROW()-1)),IFERROR(VLOOKUP($C302,'01_Warehouse_Ledger'!$A$2:$C$2002,3,FALSE),"")))</f>
        <v/>
      </c>
      <c r="G302" s="25" t="n"/>
    </row>
    <row r="303">
      <c r="A303" s="46" t="n"/>
      <c r="D303">
        <f>IF($C303="","",IFERROR(LOOKUP(2,1/($C$2:INDEX($C:$C,ROW()-1)=$C303),$E$2:INDEX($E:$E,ROW()-1)),IFERROR(VLOOKUP($C303,'01_Warehouse_Ledger'!$A$2:$C$2002,3,FALSE),"")))</f>
        <v/>
      </c>
      <c r="G303" s="25" t="n"/>
    </row>
    <row r="304">
      <c r="A304" s="46" t="n"/>
      <c r="D304">
        <f>IF($C304="","",IFERROR(LOOKUP(2,1/($C$2:INDEX($C:$C,ROW()-1)=$C304),$E$2:INDEX($E:$E,ROW()-1)),IFERROR(VLOOKUP($C304,'01_Warehouse_Ledger'!$A$2:$C$2002,3,FALSE),"")))</f>
        <v/>
      </c>
      <c r="G304" s="25" t="n"/>
    </row>
    <row r="305">
      <c r="A305" s="46" t="n"/>
      <c r="D305">
        <f>IF($C305="","",IFERROR(LOOKUP(2,1/($C$2:INDEX($C:$C,ROW()-1)=$C305),$E$2:INDEX($E:$E,ROW()-1)),IFERROR(VLOOKUP($C305,'01_Warehouse_Ledger'!$A$2:$C$2002,3,FALSE),"")))</f>
        <v/>
      </c>
      <c r="G305" s="25" t="n"/>
    </row>
    <row r="306">
      <c r="A306" s="46" t="n"/>
      <c r="D306">
        <f>IF($C306="","",IFERROR(LOOKUP(2,1/($C$2:INDEX($C:$C,ROW()-1)=$C306),$E$2:INDEX($E:$E,ROW()-1)),IFERROR(VLOOKUP($C306,'01_Warehouse_Ledger'!$A$2:$C$2002,3,FALSE),"")))</f>
        <v/>
      </c>
      <c r="G306" s="25" t="n"/>
    </row>
    <row r="307">
      <c r="A307" s="46" t="n"/>
      <c r="D307">
        <f>IF($C307="","",IFERROR(LOOKUP(2,1/($C$2:INDEX($C:$C,ROW()-1)=$C307),$E$2:INDEX($E:$E,ROW()-1)),IFERROR(VLOOKUP($C307,'01_Warehouse_Ledger'!$A$2:$C$2002,3,FALSE),"")))</f>
        <v/>
      </c>
      <c r="G307" s="25" t="n"/>
    </row>
    <row r="308">
      <c r="A308" s="46" t="n"/>
      <c r="D308">
        <f>IF($C308="","",IFERROR(LOOKUP(2,1/($C$2:INDEX($C:$C,ROW()-1)=$C308),$E$2:INDEX($E:$E,ROW()-1)),IFERROR(VLOOKUP($C308,'01_Warehouse_Ledger'!$A$2:$C$2002,3,FALSE),"")))</f>
        <v/>
      </c>
      <c r="G308" s="25" t="n"/>
    </row>
    <row r="309">
      <c r="A309" s="46" t="n"/>
      <c r="D309">
        <f>IF($C309="","",IFERROR(LOOKUP(2,1/($C$2:INDEX($C:$C,ROW()-1)=$C309),$E$2:INDEX($E:$E,ROW()-1)),IFERROR(VLOOKUP($C309,'01_Warehouse_Ledger'!$A$2:$C$2002,3,FALSE),"")))</f>
        <v/>
      </c>
      <c r="G309" s="25" t="n"/>
    </row>
    <row r="310">
      <c r="A310" s="46" t="n"/>
      <c r="D310">
        <f>IF($C310="","",IFERROR(LOOKUP(2,1/($C$2:INDEX($C:$C,ROW()-1)=$C310),$E$2:INDEX($E:$E,ROW()-1)),IFERROR(VLOOKUP($C310,'01_Warehouse_Ledger'!$A$2:$C$2002,3,FALSE),"")))</f>
        <v/>
      </c>
      <c r="G310" s="25" t="n"/>
    </row>
    <row r="311">
      <c r="A311" s="46" t="n"/>
      <c r="D311">
        <f>IF($C311="","",IFERROR(LOOKUP(2,1/($C$2:INDEX($C:$C,ROW()-1)=$C311),$E$2:INDEX($E:$E,ROW()-1)),IFERROR(VLOOKUP($C311,'01_Warehouse_Ledger'!$A$2:$C$2002,3,FALSE),"")))</f>
        <v/>
      </c>
      <c r="G311" s="25" t="n"/>
    </row>
    <row r="312">
      <c r="A312" s="46" t="n"/>
      <c r="D312">
        <f>IF($C312="","",IFERROR(LOOKUP(2,1/($C$2:INDEX($C:$C,ROW()-1)=$C312),$E$2:INDEX($E:$E,ROW()-1)),IFERROR(VLOOKUP($C312,'01_Warehouse_Ledger'!$A$2:$C$2002,3,FALSE),"")))</f>
        <v/>
      </c>
      <c r="G312" s="25" t="n"/>
    </row>
    <row r="313">
      <c r="A313" s="46" t="n"/>
      <c r="D313">
        <f>IF($C313="","",IFERROR(LOOKUP(2,1/($C$2:INDEX($C:$C,ROW()-1)=$C313),$E$2:INDEX($E:$E,ROW()-1)),IFERROR(VLOOKUP($C313,'01_Warehouse_Ledger'!$A$2:$C$2002,3,FALSE),"")))</f>
        <v/>
      </c>
      <c r="G313" s="25" t="n"/>
    </row>
    <row r="314">
      <c r="A314" s="46" t="n"/>
      <c r="D314">
        <f>IF($C314="","",IFERROR(LOOKUP(2,1/($C$2:INDEX($C:$C,ROW()-1)=$C314),$E$2:INDEX($E:$E,ROW()-1)),IFERROR(VLOOKUP($C314,'01_Warehouse_Ledger'!$A$2:$C$2002,3,FALSE),"")))</f>
        <v/>
      </c>
      <c r="G314" s="25" t="n"/>
    </row>
    <row r="315">
      <c r="A315" s="46" t="n"/>
      <c r="D315">
        <f>IF($C315="","",IFERROR(LOOKUP(2,1/($C$2:INDEX($C:$C,ROW()-1)=$C315),$E$2:INDEX($E:$E,ROW()-1)),IFERROR(VLOOKUP($C315,'01_Warehouse_Ledger'!$A$2:$C$2002,3,FALSE),"")))</f>
        <v/>
      </c>
      <c r="G315" s="25" t="n"/>
    </row>
    <row r="316">
      <c r="A316" s="46" t="n"/>
      <c r="D316">
        <f>IF($C316="","",IFERROR(LOOKUP(2,1/($C$2:INDEX($C:$C,ROW()-1)=$C316),$E$2:INDEX($E:$E,ROW()-1)),IFERROR(VLOOKUP($C316,'01_Warehouse_Ledger'!$A$2:$C$2002,3,FALSE),"")))</f>
        <v/>
      </c>
      <c r="G316" s="25" t="n"/>
    </row>
    <row r="317">
      <c r="A317" s="46" t="n"/>
      <c r="D317">
        <f>IF($C317="","",IFERROR(LOOKUP(2,1/($C$2:INDEX($C:$C,ROW()-1)=$C317),$E$2:INDEX($E:$E,ROW()-1)),IFERROR(VLOOKUP($C317,'01_Warehouse_Ledger'!$A$2:$C$2002,3,FALSE),"")))</f>
        <v/>
      </c>
      <c r="G317" s="25" t="n"/>
    </row>
    <row r="318">
      <c r="A318" s="46" t="n"/>
      <c r="D318">
        <f>IF($C318="","",IFERROR(LOOKUP(2,1/($C$2:INDEX($C:$C,ROW()-1)=$C318),$E$2:INDEX($E:$E,ROW()-1)),IFERROR(VLOOKUP($C318,'01_Warehouse_Ledger'!$A$2:$C$2002,3,FALSE),"")))</f>
        <v/>
      </c>
      <c r="G318" s="25" t="n"/>
    </row>
    <row r="319">
      <c r="A319" s="46" t="n"/>
      <c r="D319">
        <f>IF($C319="","",IFERROR(LOOKUP(2,1/($C$2:INDEX($C:$C,ROW()-1)=$C319),$E$2:INDEX($E:$E,ROW()-1)),IFERROR(VLOOKUP($C319,'01_Warehouse_Ledger'!$A$2:$C$2002,3,FALSE),"")))</f>
        <v/>
      </c>
      <c r="G319" s="25" t="n"/>
    </row>
    <row r="320">
      <c r="A320" s="46" t="n"/>
      <c r="D320">
        <f>IF($C320="","",IFERROR(LOOKUP(2,1/($C$2:INDEX($C:$C,ROW()-1)=$C320),$E$2:INDEX($E:$E,ROW()-1)),IFERROR(VLOOKUP($C320,'01_Warehouse_Ledger'!$A$2:$C$2002,3,FALSE),"")))</f>
        <v/>
      </c>
      <c r="G320" s="25" t="n"/>
    </row>
    <row r="321">
      <c r="A321" s="46" t="n"/>
      <c r="D321">
        <f>IF($C321="","",IFERROR(LOOKUP(2,1/($C$2:INDEX($C:$C,ROW()-1)=$C321),$E$2:INDEX($E:$E,ROW()-1)),IFERROR(VLOOKUP($C321,'01_Warehouse_Ledger'!$A$2:$C$2002,3,FALSE),"")))</f>
        <v/>
      </c>
      <c r="G321" s="25" t="n"/>
    </row>
    <row r="322">
      <c r="A322" s="46" t="n"/>
      <c r="D322">
        <f>IF($C322="","",IFERROR(LOOKUP(2,1/($C$2:INDEX($C:$C,ROW()-1)=$C322),$E$2:INDEX($E:$E,ROW()-1)),IFERROR(VLOOKUP($C322,'01_Warehouse_Ledger'!$A$2:$C$2002,3,FALSE),"")))</f>
        <v/>
      </c>
      <c r="G322" s="25" t="n"/>
    </row>
    <row r="323">
      <c r="A323" s="46" t="n"/>
      <c r="D323">
        <f>IF($C323="","",IFERROR(LOOKUP(2,1/($C$2:INDEX($C:$C,ROW()-1)=$C323),$E$2:INDEX($E:$E,ROW()-1)),IFERROR(VLOOKUP($C323,'01_Warehouse_Ledger'!$A$2:$C$2002,3,FALSE),"")))</f>
        <v/>
      </c>
      <c r="G323" s="25" t="n"/>
    </row>
    <row r="324">
      <c r="A324" s="46" t="n"/>
      <c r="D324">
        <f>IF($C324="","",IFERROR(LOOKUP(2,1/($C$2:INDEX($C:$C,ROW()-1)=$C324),$E$2:INDEX($E:$E,ROW()-1)),IFERROR(VLOOKUP($C324,'01_Warehouse_Ledger'!$A$2:$C$2002,3,FALSE),"")))</f>
        <v/>
      </c>
      <c r="G324" s="25" t="n"/>
    </row>
    <row r="325">
      <c r="A325" s="46" t="n"/>
      <c r="D325">
        <f>IF($C325="","",IFERROR(LOOKUP(2,1/($C$2:INDEX($C:$C,ROW()-1)=$C325),$E$2:INDEX($E:$E,ROW()-1)),IFERROR(VLOOKUP($C325,'01_Warehouse_Ledger'!$A$2:$C$2002,3,FALSE),"")))</f>
        <v/>
      </c>
      <c r="G325" s="25" t="n"/>
    </row>
    <row r="326">
      <c r="A326" s="46" t="n"/>
      <c r="D326">
        <f>IF($C326="","",IFERROR(LOOKUP(2,1/($C$2:INDEX($C:$C,ROW()-1)=$C326),$E$2:INDEX($E:$E,ROW()-1)),IFERROR(VLOOKUP($C326,'01_Warehouse_Ledger'!$A$2:$C$2002,3,FALSE),"")))</f>
        <v/>
      </c>
      <c r="G326" s="25" t="n"/>
    </row>
    <row r="327">
      <c r="A327" s="46" t="n"/>
      <c r="D327">
        <f>IF($C327="","",IFERROR(LOOKUP(2,1/($C$2:INDEX($C:$C,ROW()-1)=$C327),$E$2:INDEX($E:$E,ROW()-1)),IFERROR(VLOOKUP($C327,'01_Warehouse_Ledger'!$A$2:$C$2002,3,FALSE),"")))</f>
        <v/>
      </c>
      <c r="G327" s="25" t="n"/>
    </row>
    <row r="328">
      <c r="A328" s="46" t="n"/>
      <c r="D328">
        <f>IF($C328="","",IFERROR(LOOKUP(2,1/($C$2:INDEX($C:$C,ROW()-1)=$C328),$E$2:INDEX($E:$E,ROW()-1)),IFERROR(VLOOKUP($C328,'01_Warehouse_Ledger'!$A$2:$C$2002,3,FALSE),"")))</f>
        <v/>
      </c>
      <c r="G328" s="25" t="n"/>
    </row>
    <row r="329">
      <c r="A329" s="46" t="n"/>
      <c r="D329">
        <f>IF($C329="","",IFERROR(LOOKUP(2,1/($C$2:INDEX($C:$C,ROW()-1)=$C329),$E$2:INDEX($E:$E,ROW()-1)),IFERROR(VLOOKUP($C329,'01_Warehouse_Ledger'!$A$2:$C$2002,3,FALSE),"")))</f>
        <v/>
      </c>
      <c r="G329" s="25" t="n"/>
    </row>
    <row r="330">
      <c r="A330" s="46" t="n"/>
      <c r="D330">
        <f>IF($C330="","",IFERROR(LOOKUP(2,1/($C$2:INDEX($C:$C,ROW()-1)=$C330),$E$2:INDEX($E:$E,ROW()-1)),IFERROR(VLOOKUP($C330,'01_Warehouse_Ledger'!$A$2:$C$2002,3,FALSE),"")))</f>
        <v/>
      </c>
      <c r="G330" s="25" t="n"/>
    </row>
    <row r="331">
      <c r="A331" s="46" t="n"/>
      <c r="D331">
        <f>IF($C331="","",IFERROR(LOOKUP(2,1/($C$2:INDEX($C:$C,ROW()-1)=$C331),$E$2:INDEX($E:$E,ROW()-1)),IFERROR(VLOOKUP($C331,'01_Warehouse_Ledger'!$A$2:$C$2002,3,FALSE),"")))</f>
        <v/>
      </c>
      <c r="G331" s="25" t="n"/>
    </row>
    <row r="332">
      <c r="A332" s="46" t="n"/>
      <c r="D332">
        <f>IF($C332="","",IFERROR(LOOKUP(2,1/($C$2:INDEX($C:$C,ROW()-1)=$C332),$E$2:INDEX($E:$E,ROW()-1)),IFERROR(VLOOKUP($C332,'01_Warehouse_Ledger'!$A$2:$C$2002,3,FALSE),"")))</f>
        <v/>
      </c>
      <c r="G332" s="25" t="n"/>
    </row>
    <row r="333">
      <c r="A333" s="46" t="n"/>
      <c r="D333">
        <f>IF($C333="","",IFERROR(LOOKUP(2,1/($C$2:INDEX($C:$C,ROW()-1)=$C333),$E$2:INDEX($E:$E,ROW()-1)),IFERROR(VLOOKUP($C333,'01_Warehouse_Ledger'!$A$2:$C$2002,3,FALSE),"")))</f>
        <v/>
      </c>
      <c r="G333" s="25" t="n"/>
    </row>
    <row r="334">
      <c r="A334" s="46" t="n"/>
      <c r="D334">
        <f>IF($C334="","",IFERROR(LOOKUP(2,1/($C$2:INDEX($C:$C,ROW()-1)=$C334),$E$2:INDEX($E:$E,ROW()-1)),IFERROR(VLOOKUP($C334,'01_Warehouse_Ledger'!$A$2:$C$2002,3,FALSE),"")))</f>
        <v/>
      </c>
      <c r="G334" s="25" t="n"/>
    </row>
    <row r="335">
      <c r="A335" s="46" t="n"/>
      <c r="D335">
        <f>IF($C335="","",IFERROR(LOOKUP(2,1/($C$2:INDEX($C:$C,ROW()-1)=$C335),$E$2:INDEX($E:$E,ROW()-1)),IFERROR(VLOOKUP($C335,'01_Warehouse_Ledger'!$A$2:$C$2002,3,FALSE),"")))</f>
        <v/>
      </c>
      <c r="G335" s="25" t="n"/>
    </row>
    <row r="336">
      <c r="A336" s="46" t="n"/>
      <c r="D336">
        <f>IF($C336="","",IFERROR(LOOKUP(2,1/($C$2:INDEX($C:$C,ROW()-1)=$C336),$E$2:INDEX($E:$E,ROW()-1)),IFERROR(VLOOKUP($C336,'01_Warehouse_Ledger'!$A$2:$C$2002,3,FALSE),"")))</f>
        <v/>
      </c>
      <c r="G336" s="25" t="n"/>
    </row>
    <row r="337">
      <c r="A337" s="46" t="n"/>
      <c r="D337">
        <f>IF($C337="","",IFERROR(LOOKUP(2,1/($C$2:INDEX($C:$C,ROW()-1)=$C337),$E$2:INDEX($E:$E,ROW()-1)),IFERROR(VLOOKUP($C337,'01_Warehouse_Ledger'!$A$2:$C$2002,3,FALSE),"")))</f>
        <v/>
      </c>
      <c r="G337" s="25" t="n"/>
    </row>
    <row r="338">
      <c r="A338" s="46" t="n"/>
      <c r="D338">
        <f>IF($C338="","",IFERROR(LOOKUP(2,1/($C$2:INDEX($C:$C,ROW()-1)=$C338),$E$2:INDEX($E:$E,ROW()-1)),IFERROR(VLOOKUP($C338,'01_Warehouse_Ledger'!$A$2:$C$2002,3,FALSE),"")))</f>
        <v/>
      </c>
      <c r="G338" s="25" t="n"/>
    </row>
    <row r="339">
      <c r="A339" s="46" t="n"/>
      <c r="D339">
        <f>IF($C339="","",IFERROR(LOOKUP(2,1/($C$2:INDEX($C:$C,ROW()-1)=$C339),$E$2:INDEX($E:$E,ROW()-1)),IFERROR(VLOOKUP($C339,'01_Warehouse_Ledger'!$A$2:$C$2002,3,FALSE),"")))</f>
        <v/>
      </c>
      <c r="G339" s="25" t="n"/>
    </row>
    <row r="340">
      <c r="A340" s="46" t="n"/>
      <c r="D340">
        <f>IF($C340="","",IFERROR(LOOKUP(2,1/($C$2:INDEX($C:$C,ROW()-1)=$C340),$E$2:INDEX($E:$E,ROW()-1)),IFERROR(VLOOKUP($C340,'01_Warehouse_Ledger'!$A$2:$C$2002,3,FALSE),"")))</f>
        <v/>
      </c>
      <c r="G340" s="25" t="n"/>
    </row>
    <row r="341">
      <c r="A341" s="46" t="n"/>
      <c r="D341">
        <f>IF($C341="","",IFERROR(LOOKUP(2,1/($C$2:INDEX($C:$C,ROW()-1)=$C341),$E$2:INDEX($E:$E,ROW()-1)),IFERROR(VLOOKUP($C341,'01_Warehouse_Ledger'!$A$2:$C$2002,3,FALSE),"")))</f>
        <v/>
      </c>
      <c r="G341" s="25" t="n"/>
    </row>
    <row r="342">
      <c r="A342" s="46" t="n"/>
      <c r="D342">
        <f>IF($C342="","",IFERROR(LOOKUP(2,1/($C$2:INDEX($C:$C,ROW()-1)=$C342),$E$2:INDEX($E:$E,ROW()-1)),IFERROR(VLOOKUP($C342,'01_Warehouse_Ledger'!$A$2:$C$2002,3,FALSE),"")))</f>
        <v/>
      </c>
      <c r="G342" s="25" t="n"/>
    </row>
    <row r="343">
      <c r="A343" s="46" t="n"/>
      <c r="D343">
        <f>IF($C343="","",IFERROR(LOOKUP(2,1/($C$2:INDEX($C:$C,ROW()-1)=$C343),$E$2:INDEX($E:$E,ROW()-1)),IFERROR(VLOOKUP($C343,'01_Warehouse_Ledger'!$A$2:$C$2002,3,FALSE),"")))</f>
        <v/>
      </c>
      <c r="G343" s="25" t="n"/>
    </row>
    <row r="344">
      <c r="A344" s="46" t="n"/>
      <c r="D344">
        <f>IF($C344="","",IFERROR(LOOKUP(2,1/($C$2:INDEX($C:$C,ROW()-1)=$C344),$E$2:INDEX($E:$E,ROW()-1)),IFERROR(VLOOKUP($C344,'01_Warehouse_Ledger'!$A$2:$C$2002,3,FALSE),"")))</f>
        <v/>
      </c>
      <c r="G344" s="25" t="n"/>
    </row>
    <row r="345">
      <c r="A345" s="46" t="n"/>
      <c r="D345">
        <f>IF($C345="","",IFERROR(LOOKUP(2,1/($C$2:INDEX($C:$C,ROW()-1)=$C345),$E$2:INDEX($E:$E,ROW()-1)),IFERROR(VLOOKUP($C345,'01_Warehouse_Ledger'!$A$2:$C$2002,3,FALSE),"")))</f>
        <v/>
      </c>
      <c r="G345" s="25" t="n"/>
    </row>
    <row r="346">
      <c r="A346" s="46" t="n"/>
      <c r="D346">
        <f>IF($C346="","",IFERROR(LOOKUP(2,1/($C$2:INDEX($C:$C,ROW()-1)=$C346),$E$2:INDEX($E:$E,ROW()-1)),IFERROR(VLOOKUP($C346,'01_Warehouse_Ledger'!$A$2:$C$2002,3,FALSE),"")))</f>
        <v/>
      </c>
      <c r="G346" s="25" t="n"/>
    </row>
    <row r="347">
      <c r="A347" s="46" t="n"/>
      <c r="D347">
        <f>IF($C347="","",IFERROR(LOOKUP(2,1/($C$2:INDEX($C:$C,ROW()-1)=$C347),$E$2:INDEX($E:$E,ROW()-1)),IFERROR(VLOOKUP($C347,'01_Warehouse_Ledger'!$A$2:$C$2002,3,FALSE),"")))</f>
        <v/>
      </c>
      <c r="G347" s="25" t="n"/>
    </row>
    <row r="348">
      <c r="A348" s="46" t="n"/>
      <c r="D348">
        <f>IF($C348="","",IFERROR(LOOKUP(2,1/($C$2:INDEX($C:$C,ROW()-1)=$C348),$E$2:INDEX($E:$E,ROW()-1)),IFERROR(VLOOKUP($C348,'01_Warehouse_Ledger'!$A$2:$C$2002,3,FALSE),"")))</f>
        <v/>
      </c>
      <c r="G348" s="25" t="n"/>
    </row>
    <row r="349">
      <c r="A349" s="46" t="n"/>
      <c r="D349">
        <f>IF($C349="","",IFERROR(LOOKUP(2,1/($C$2:INDEX($C:$C,ROW()-1)=$C349),$E$2:INDEX($E:$E,ROW()-1)),IFERROR(VLOOKUP($C349,'01_Warehouse_Ledger'!$A$2:$C$2002,3,FALSE),"")))</f>
        <v/>
      </c>
      <c r="G349" s="25" t="n"/>
    </row>
    <row r="350">
      <c r="A350" s="46" t="n"/>
      <c r="D350">
        <f>IF($C350="","",IFERROR(LOOKUP(2,1/($C$2:INDEX($C:$C,ROW()-1)=$C350),$E$2:INDEX($E:$E,ROW()-1)),IFERROR(VLOOKUP($C350,'01_Warehouse_Ledger'!$A$2:$C$2002,3,FALSE),"")))</f>
        <v/>
      </c>
      <c r="G350" s="25" t="n"/>
    </row>
    <row r="351">
      <c r="A351" s="46" t="n"/>
      <c r="D351">
        <f>IF($C351="","",IFERROR(LOOKUP(2,1/($C$2:INDEX($C:$C,ROW()-1)=$C351),$E$2:INDEX($E:$E,ROW()-1)),IFERROR(VLOOKUP($C351,'01_Warehouse_Ledger'!$A$2:$C$2002,3,FALSE),"")))</f>
        <v/>
      </c>
      <c r="G351" s="25" t="n"/>
    </row>
    <row r="352">
      <c r="A352" s="46" t="n"/>
      <c r="D352">
        <f>IF($C352="","",IFERROR(LOOKUP(2,1/($C$2:INDEX($C:$C,ROW()-1)=$C352),$E$2:INDEX($E:$E,ROW()-1)),IFERROR(VLOOKUP($C352,'01_Warehouse_Ledger'!$A$2:$C$2002,3,FALSE),"")))</f>
        <v/>
      </c>
      <c r="G352" s="25" t="n"/>
    </row>
    <row r="353">
      <c r="A353" s="46" t="n"/>
      <c r="D353">
        <f>IF($C353="","",IFERROR(LOOKUP(2,1/($C$2:INDEX($C:$C,ROW()-1)=$C353),$E$2:INDEX($E:$E,ROW()-1)),IFERROR(VLOOKUP($C353,'01_Warehouse_Ledger'!$A$2:$C$2002,3,FALSE),"")))</f>
        <v/>
      </c>
      <c r="G353" s="25" t="n"/>
    </row>
    <row r="354">
      <c r="A354" s="46" t="n"/>
      <c r="D354">
        <f>IF($C354="","",IFERROR(LOOKUP(2,1/($C$2:INDEX($C:$C,ROW()-1)=$C354),$E$2:INDEX($E:$E,ROW()-1)),IFERROR(VLOOKUP($C354,'01_Warehouse_Ledger'!$A$2:$C$2002,3,FALSE),"")))</f>
        <v/>
      </c>
      <c r="G354" s="25" t="n"/>
    </row>
    <row r="355">
      <c r="A355" s="46" t="n"/>
      <c r="D355">
        <f>IF($C355="","",IFERROR(LOOKUP(2,1/($C$2:INDEX($C:$C,ROW()-1)=$C355),$E$2:INDEX($E:$E,ROW()-1)),IFERROR(VLOOKUP($C355,'01_Warehouse_Ledger'!$A$2:$C$2002,3,FALSE),"")))</f>
        <v/>
      </c>
      <c r="G355" s="25" t="n"/>
    </row>
    <row r="356">
      <c r="A356" s="46" t="n"/>
      <c r="D356">
        <f>IF($C356="","",IFERROR(LOOKUP(2,1/($C$2:INDEX($C:$C,ROW()-1)=$C356),$E$2:INDEX($E:$E,ROW()-1)),IFERROR(VLOOKUP($C356,'01_Warehouse_Ledger'!$A$2:$C$2002,3,FALSE),"")))</f>
        <v/>
      </c>
      <c r="G356" s="25" t="n"/>
    </row>
    <row r="357">
      <c r="A357" s="46" t="n"/>
      <c r="D357">
        <f>IF($C357="","",IFERROR(LOOKUP(2,1/($C$2:INDEX($C:$C,ROW()-1)=$C357),$E$2:INDEX($E:$E,ROW()-1)),IFERROR(VLOOKUP($C357,'01_Warehouse_Ledger'!$A$2:$C$2002,3,FALSE),"")))</f>
        <v/>
      </c>
      <c r="G357" s="25" t="n"/>
    </row>
    <row r="358">
      <c r="A358" s="46" t="n"/>
      <c r="D358">
        <f>IF($C358="","",IFERROR(LOOKUP(2,1/($C$2:INDEX($C:$C,ROW()-1)=$C358),$E$2:INDEX($E:$E,ROW()-1)),IFERROR(VLOOKUP($C358,'01_Warehouse_Ledger'!$A$2:$C$2002,3,FALSE),"")))</f>
        <v/>
      </c>
      <c r="G358" s="25" t="n"/>
    </row>
    <row r="359">
      <c r="A359" s="46" t="n"/>
      <c r="D359">
        <f>IF($C359="","",IFERROR(LOOKUP(2,1/($C$2:INDEX($C:$C,ROW()-1)=$C359),$E$2:INDEX($E:$E,ROW()-1)),IFERROR(VLOOKUP($C359,'01_Warehouse_Ledger'!$A$2:$C$2002,3,FALSE),"")))</f>
        <v/>
      </c>
      <c r="G359" s="25" t="n"/>
    </row>
    <row r="360">
      <c r="A360" s="46" t="n"/>
      <c r="D360">
        <f>IF($C360="","",IFERROR(LOOKUP(2,1/($C$2:INDEX($C:$C,ROW()-1)=$C360),$E$2:INDEX($E:$E,ROW()-1)),IFERROR(VLOOKUP($C360,'01_Warehouse_Ledger'!$A$2:$C$2002,3,FALSE),"")))</f>
        <v/>
      </c>
      <c r="G360" s="25" t="n"/>
    </row>
    <row r="361">
      <c r="A361" s="46" t="n"/>
      <c r="D361">
        <f>IF($C361="","",IFERROR(LOOKUP(2,1/($C$2:INDEX($C:$C,ROW()-1)=$C361),$E$2:INDEX($E:$E,ROW()-1)),IFERROR(VLOOKUP($C361,'01_Warehouse_Ledger'!$A$2:$C$2002,3,FALSE),"")))</f>
        <v/>
      </c>
      <c r="G361" s="25" t="n"/>
    </row>
    <row r="362">
      <c r="A362" s="46" t="n"/>
      <c r="D362">
        <f>IF($C362="","",IFERROR(LOOKUP(2,1/($C$2:INDEX($C:$C,ROW()-1)=$C362),$E$2:INDEX($E:$E,ROW()-1)),IFERROR(VLOOKUP($C362,'01_Warehouse_Ledger'!$A$2:$C$2002,3,FALSE),"")))</f>
        <v/>
      </c>
      <c r="G362" s="25" t="n"/>
    </row>
    <row r="363">
      <c r="A363" s="46" t="n"/>
      <c r="D363">
        <f>IF($C363="","",IFERROR(LOOKUP(2,1/($C$2:INDEX($C:$C,ROW()-1)=$C363),$E$2:INDEX($E:$E,ROW()-1)),IFERROR(VLOOKUP($C363,'01_Warehouse_Ledger'!$A$2:$C$2002,3,FALSE),"")))</f>
        <v/>
      </c>
      <c r="G363" s="25" t="n"/>
    </row>
    <row r="364">
      <c r="A364" s="46" t="n"/>
      <c r="D364">
        <f>IF($C364="","",IFERROR(LOOKUP(2,1/($C$2:INDEX($C:$C,ROW()-1)=$C364),$E$2:INDEX($E:$E,ROW()-1)),IFERROR(VLOOKUP($C364,'01_Warehouse_Ledger'!$A$2:$C$2002,3,FALSE),"")))</f>
        <v/>
      </c>
      <c r="G364" s="25" t="n"/>
    </row>
    <row r="365">
      <c r="A365" s="46" t="n"/>
      <c r="D365">
        <f>IF($C365="","",IFERROR(LOOKUP(2,1/($C$2:INDEX($C:$C,ROW()-1)=$C365),$E$2:INDEX($E:$E,ROW()-1)),IFERROR(VLOOKUP($C365,'01_Warehouse_Ledger'!$A$2:$C$2002,3,FALSE),"")))</f>
        <v/>
      </c>
      <c r="G365" s="25" t="n"/>
    </row>
    <row r="366">
      <c r="A366" s="46" t="n"/>
      <c r="D366">
        <f>IF($C366="","",IFERROR(LOOKUP(2,1/($C$2:INDEX($C:$C,ROW()-1)=$C366),$E$2:INDEX($E:$E,ROW()-1)),IFERROR(VLOOKUP($C366,'01_Warehouse_Ledger'!$A$2:$C$2002,3,FALSE),"")))</f>
        <v/>
      </c>
      <c r="G366" s="25" t="n"/>
    </row>
    <row r="367">
      <c r="A367" s="46" t="n"/>
      <c r="D367">
        <f>IF($C367="","",IFERROR(LOOKUP(2,1/($C$2:INDEX($C:$C,ROW()-1)=$C367),$E$2:INDEX($E:$E,ROW()-1)),IFERROR(VLOOKUP($C367,'01_Warehouse_Ledger'!$A$2:$C$2002,3,FALSE),"")))</f>
        <v/>
      </c>
      <c r="G367" s="25" t="n"/>
    </row>
    <row r="368">
      <c r="A368" s="46" t="n"/>
      <c r="D368">
        <f>IF($C368="","",IFERROR(LOOKUP(2,1/($C$2:INDEX($C:$C,ROW()-1)=$C368),$E$2:INDEX($E:$E,ROW()-1)),IFERROR(VLOOKUP($C368,'01_Warehouse_Ledger'!$A$2:$C$2002,3,FALSE),"")))</f>
        <v/>
      </c>
      <c r="G368" s="25" t="n"/>
    </row>
    <row r="369">
      <c r="A369" s="46" t="n"/>
      <c r="D369">
        <f>IF($C369="","",IFERROR(LOOKUP(2,1/($C$2:INDEX($C:$C,ROW()-1)=$C369),$E$2:INDEX($E:$E,ROW()-1)),IFERROR(VLOOKUP($C369,'01_Warehouse_Ledger'!$A$2:$C$2002,3,FALSE),"")))</f>
        <v/>
      </c>
      <c r="G369" s="25" t="n"/>
    </row>
    <row r="370">
      <c r="A370" s="46" t="n"/>
      <c r="D370">
        <f>IF($C370="","",IFERROR(LOOKUP(2,1/($C$2:INDEX($C:$C,ROW()-1)=$C370),$E$2:INDEX($E:$E,ROW()-1)),IFERROR(VLOOKUP($C370,'01_Warehouse_Ledger'!$A$2:$C$2002,3,FALSE),"")))</f>
        <v/>
      </c>
      <c r="G370" s="25" t="n"/>
    </row>
    <row r="371">
      <c r="A371" s="46" t="n"/>
      <c r="D371">
        <f>IF($C371="","",IFERROR(LOOKUP(2,1/($C$2:INDEX($C:$C,ROW()-1)=$C371),$E$2:INDEX($E:$E,ROW()-1)),IFERROR(VLOOKUP($C371,'01_Warehouse_Ledger'!$A$2:$C$2002,3,FALSE),"")))</f>
        <v/>
      </c>
      <c r="G371" s="25" t="n"/>
    </row>
    <row r="372">
      <c r="A372" s="46" t="n"/>
      <c r="D372">
        <f>IF($C372="","",IFERROR(LOOKUP(2,1/($C$2:INDEX($C:$C,ROW()-1)=$C372),$E$2:INDEX($E:$E,ROW()-1)),IFERROR(VLOOKUP($C372,'01_Warehouse_Ledger'!$A$2:$C$2002,3,FALSE),"")))</f>
        <v/>
      </c>
      <c r="G372" s="25" t="n"/>
    </row>
    <row r="373">
      <c r="A373" s="46" t="n"/>
      <c r="D373">
        <f>IF($C373="","",IFERROR(LOOKUP(2,1/($C$2:INDEX($C:$C,ROW()-1)=$C373),$E$2:INDEX($E:$E,ROW()-1)),IFERROR(VLOOKUP($C373,'01_Warehouse_Ledger'!$A$2:$C$2002,3,FALSE),"")))</f>
        <v/>
      </c>
      <c r="G373" s="25" t="n"/>
    </row>
    <row r="374">
      <c r="A374" s="46" t="n"/>
      <c r="D374">
        <f>IF($C374="","",IFERROR(LOOKUP(2,1/($C$2:INDEX($C:$C,ROW()-1)=$C374),$E$2:INDEX($E:$E,ROW()-1)),IFERROR(VLOOKUP($C374,'01_Warehouse_Ledger'!$A$2:$C$2002,3,FALSE),"")))</f>
        <v/>
      </c>
      <c r="G374" s="25" t="n"/>
    </row>
    <row r="375">
      <c r="A375" s="46" t="n"/>
      <c r="D375">
        <f>IF($C375="","",IFERROR(LOOKUP(2,1/($C$2:INDEX($C:$C,ROW()-1)=$C375),$E$2:INDEX($E:$E,ROW()-1)),IFERROR(VLOOKUP($C375,'01_Warehouse_Ledger'!$A$2:$C$2002,3,FALSE),"")))</f>
        <v/>
      </c>
      <c r="G375" s="25" t="n"/>
    </row>
    <row r="376">
      <c r="A376" s="46" t="n"/>
      <c r="D376">
        <f>IF($C376="","",IFERROR(LOOKUP(2,1/($C$2:INDEX($C:$C,ROW()-1)=$C376),$E$2:INDEX($E:$E,ROW()-1)),IFERROR(VLOOKUP($C376,'01_Warehouse_Ledger'!$A$2:$C$2002,3,FALSE),"")))</f>
        <v/>
      </c>
      <c r="G376" s="25" t="n"/>
    </row>
    <row r="377">
      <c r="A377" s="46" t="n"/>
      <c r="D377">
        <f>IF($C377="","",IFERROR(LOOKUP(2,1/($C$2:INDEX($C:$C,ROW()-1)=$C377),$E$2:INDEX($E:$E,ROW()-1)),IFERROR(VLOOKUP($C377,'01_Warehouse_Ledger'!$A$2:$C$2002,3,FALSE),"")))</f>
        <v/>
      </c>
      <c r="G377" s="25" t="n"/>
    </row>
    <row r="378">
      <c r="A378" s="46" t="n"/>
      <c r="D378">
        <f>IF($C378="","",IFERROR(LOOKUP(2,1/($C$2:INDEX($C:$C,ROW()-1)=$C378),$E$2:INDEX($E:$E,ROW()-1)),IFERROR(VLOOKUP($C378,'01_Warehouse_Ledger'!$A$2:$C$2002,3,FALSE),"")))</f>
        <v/>
      </c>
      <c r="G378" s="25" t="n"/>
    </row>
    <row r="379">
      <c r="A379" s="46" t="n"/>
      <c r="D379">
        <f>IF($C379="","",IFERROR(LOOKUP(2,1/($C$2:INDEX($C:$C,ROW()-1)=$C379),$E$2:INDEX($E:$E,ROW()-1)),IFERROR(VLOOKUP($C379,'01_Warehouse_Ledger'!$A$2:$C$2002,3,FALSE),"")))</f>
        <v/>
      </c>
      <c r="G379" s="25" t="n"/>
    </row>
    <row r="380">
      <c r="A380" s="46" t="n"/>
      <c r="D380">
        <f>IF($C380="","",IFERROR(LOOKUP(2,1/($C$2:INDEX($C:$C,ROW()-1)=$C380),$E$2:INDEX($E:$E,ROW()-1)),IFERROR(VLOOKUP($C380,'01_Warehouse_Ledger'!$A$2:$C$2002,3,FALSE),"")))</f>
        <v/>
      </c>
      <c r="G380" s="25" t="n"/>
    </row>
    <row r="381">
      <c r="A381" s="46" t="n"/>
      <c r="D381">
        <f>IF($C381="","",IFERROR(LOOKUP(2,1/($C$2:INDEX($C:$C,ROW()-1)=$C381),$E$2:INDEX($E:$E,ROW()-1)),IFERROR(VLOOKUP($C381,'01_Warehouse_Ledger'!$A$2:$C$2002,3,FALSE),"")))</f>
        <v/>
      </c>
      <c r="G381" s="25" t="n"/>
    </row>
    <row r="382">
      <c r="A382" s="46" t="n"/>
      <c r="D382">
        <f>IF($C382="","",IFERROR(LOOKUP(2,1/($C$2:INDEX($C:$C,ROW()-1)=$C382),$E$2:INDEX($E:$E,ROW()-1)),IFERROR(VLOOKUP($C382,'01_Warehouse_Ledger'!$A$2:$C$2002,3,FALSE),"")))</f>
        <v/>
      </c>
      <c r="G382" s="25" t="n"/>
    </row>
    <row r="383">
      <c r="A383" s="46" t="n"/>
      <c r="D383">
        <f>IF($C383="","",IFERROR(LOOKUP(2,1/($C$2:INDEX($C:$C,ROW()-1)=$C383),$E$2:INDEX($E:$E,ROW()-1)),IFERROR(VLOOKUP($C383,'01_Warehouse_Ledger'!$A$2:$C$2002,3,FALSE),"")))</f>
        <v/>
      </c>
      <c r="G383" s="25" t="n"/>
    </row>
    <row r="384">
      <c r="A384" s="46" t="n"/>
      <c r="D384">
        <f>IF($C384="","",IFERROR(LOOKUP(2,1/($C$2:INDEX($C:$C,ROW()-1)=$C384),$E$2:INDEX($E:$E,ROW()-1)),IFERROR(VLOOKUP($C384,'01_Warehouse_Ledger'!$A$2:$C$2002,3,FALSE),"")))</f>
        <v/>
      </c>
      <c r="G384" s="25" t="n"/>
    </row>
    <row r="385">
      <c r="A385" s="46" t="n"/>
      <c r="D385">
        <f>IF($C385="","",IFERROR(LOOKUP(2,1/($C$2:INDEX($C:$C,ROW()-1)=$C385),$E$2:INDEX($E:$E,ROW()-1)),IFERROR(VLOOKUP($C385,'01_Warehouse_Ledger'!$A$2:$C$2002,3,FALSE),"")))</f>
        <v/>
      </c>
      <c r="G385" s="25" t="n"/>
    </row>
    <row r="386">
      <c r="A386" s="46" t="n"/>
      <c r="D386">
        <f>IF($C386="","",IFERROR(LOOKUP(2,1/($C$2:INDEX($C:$C,ROW()-1)=$C386),$E$2:INDEX($E:$E,ROW()-1)),IFERROR(VLOOKUP($C386,'01_Warehouse_Ledger'!$A$2:$C$2002,3,FALSE),"")))</f>
        <v/>
      </c>
      <c r="G386" s="25" t="n"/>
    </row>
    <row r="387">
      <c r="A387" s="46" t="n"/>
      <c r="D387">
        <f>IF($C387="","",IFERROR(LOOKUP(2,1/($C$2:INDEX($C:$C,ROW()-1)=$C387),$E$2:INDEX($E:$E,ROW()-1)),IFERROR(VLOOKUP($C387,'01_Warehouse_Ledger'!$A$2:$C$2002,3,FALSE),"")))</f>
        <v/>
      </c>
      <c r="G387" s="25" t="n"/>
    </row>
    <row r="388">
      <c r="A388" s="46" t="n"/>
      <c r="D388">
        <f>IF($C388="","",IFERROR(LOOKUP(2,1/($C$2:INDEX($C:$C,ROW()-1)=$C388),$E$2:INDEX($E:$E,ROW()-1)),IFERROR(VLOOKUP($C388,'01_Warehouse_Ledger'!$A$2:$C$2002,3,FALSE),"")))</f>
        <v/>
      </c>
      <c r="G388" s="25" t="n"/>
    </row>
    <row r="389">
      <c r="A389" s="46" t="n"/>
      <c r="D389">
        <f>IF($C389="","",IFERROR(LOOKUP(2,1/($C$2:INDEX($C:$C,ROW()-1)=$C389),$E$2:INDEX($E:$E,ROW()-1)),IFERROR(VLOOKUP($C389,'01_Warehouse_Ledger'!$A$2:$C$2002,3,FALSE),"")))</f>
        <v/>
      </c>
      <c r="G389" s="25" t="n"/>
    </row>
    <row r="390">
      <c r="A390" s="46" t="n"/>
      <c r="D390">
        <f>IF($C390="","",IFERROR(LOOKUP(2,1/($C$2:INDEX($C:$C,ROW()-1)=$C390),$E$2:INDEX($E:$E,ROW()-1)),IFERROR(VLOOKUP($C390,'01_Warehouse_Ledger'!$A$2:$C$2002,3,FALSE),"")))</f>
        <v/>
      </c>
      <c r="G390" s="25" t="n"/>
    </row>
    <row r="391">
      <c r="A391" s="46" t="n"/>
      <c r="D391">
        <f>IF($C391="","",IFERROR(LOOKUP(2,1/($C$2:INDEX($C:$C,ROW()-1)=$C391),$E$2:INDEX($E:$E,ROW()-1)),IFERROR(VLOOKUP($C391,'01_Warehouse_Ledger'!$A$2:$C$2002,3,FALSE),"")))</f>
        <v/>
      </c>
      <c r="G391" s="25" t="n"/>
    </row>
    <row r="392">
      <c r="A392" s="46" t="n"/>
      <c r="D392">
        <f>IF($C392="","",IFERROR(LOOKUP(2,1/($C$2:INDEX($C:$C,ROW()-1)=$C392),$E$2:INDEX($E:$E,ROW()-1)),IFERROR(VLOOKUP($C392,'01_Warehouse_Ledger'!$A$2:$C$2002,3,FALSE),"")))</f>
        <v/>
      </c>
      <c r="G392" s="25" t="n"/>
    </row>
    <row r="393">
      <c r="A393" s="46" t="n"/>
      <c r="D393">
        <f>IF($C393="","",IFERROR(LOOKUP(2,1/($C$2:INDEX($C:$C,ROW()-1)=$C393),$E$2:INDEX($E:$E,ROW()-1)),IFERROR(VLOOKUP($C393,'01_Warehouse_Ledger'!$A$2:$C$2002,3,FALSE),"")))</f>
        <v/>
      </c>
      <c r="G393" s="25" t="n"/>
    </row>
    <row r="394">
      <c r="A394" s="46" t="n"/>
      <c r="D394">
        <f>IF($C394="","",IFERROR(LOOKUP(2,1/($C$2:INDEX($C:$C,ROW()-1)=$C394),$E$2:INDEX($E:$E,ROW()-1)),IFERROR(VLOOKUP($C394,'01_Warehouse_Ledger'!$A$2:$C$2002,3,FALSE),"")))</f>
        <v/>
      </c>
      <c r="G394" s="25" t="n"/>
    </row>
    <row r="395">
      <c r="A395" s="46" t="n"/>
      <c r="D395">
        <f>IF($C395="","",IFERROR(LOOKUP(2,1/($C$2:INDEX($C:$C,ROW()-1)=$C395),$E$2:INDEX($E:$E,ROW()-1)),IFERROR(VLOOKUP($C395,'01_Warehouse_Ledger'!$A$2:$C$2002,3,FALSE),"")))</f>
        <v/>
      </c>
      <c r="G395" s="25" t="n"/>
    </row>
    <row r="396">
      <c r="A396" s="46" t="n"/>
      <c r="D396">
        <f>IF($C396="","",IFERROR(LOOKUP(2,1/($C$2:INDEX($C:$C,ROW()-1)=$C396),$E$2:INDEX($E:$E,ROW()-1)),IFERROR(VLOOKUP($C396,'01_Warehouse_Ledger'!$A$2:$C$2002,3,FALSE),"")))</f>
        <v/>
      </c>
      <c r="G396" s="25" t="n"/>
    </row>
    <row r="397">
      <c r="A397" s="46" t="n"/>
      <c r="D397">
        <f>IF($C397="","",IFERROR(LOOKUP(2,1/($C$2:INDEX($C:$C,ROW()-1)=$C397),$E$2:INDEX($E:$E,ROW()-1)),IFERROR(VLOOKUP($C397,'01_Warehouse_Ledger'!$A$2:$C$2002,3,FALSE),"")))</f>
        <v/>
      </c>
      <c r="G397" s="25" t="n"/>
    </row>
    <row r="398">
      <c r="A398" s="46" t="n"/>
      <c r="D398">
        <f>IF($C398="","",IFERROR(LOOKUP(2,1/($C$2:INDEX($C:$C,ROW()-1)=$C398),$E$2:INDEX($E:$E,ROW()-1)),IFERROR(VLOOKUP($C398,'01_Warehouse_Ledger'!$A$2:$C$2002,3,FALSE),"")))</f>
        <v/>
      </c>
      <c r="G398" s="25" t="n"/>
    </row>
    <row r="399">
      <c r="A399" s="46" t="n"/>
      <c r="D399">
        <f>IF($C399="","",IFERROR(LOOKUP(2,1/($C$2:INDEX($C:$C,ROW()-1)=$C399),$E$2:INDEX($E:$E,ROW()-1)),IFERROR(VLOOKUP($C399,'01_Warehouse_Ledger'!$A$2:$C$2002,3,FALSE),"")))</f>
        <v/>
      </c>
      <c r="G399" s="25" t="n"/>
    </row>
    <row r="400">
      <c r="A400" s="46" t="n"/>
      <c r="D400">
        <f>IF($C400="","",IFERROR(LOOKUP(2,1/($C$2:INDEX($C:$C,ROW()-1)=$C400),$E$2:INDEX($E:$E,ROW()-1)),IFERROR(VLOOKUP($C400,'01_Warehouse_Ledger'!$A$2:$C$2002,3,FALSE),"")))</f>
        <v/>
      </c>
      <c r="G400" s="25" t="n"/>
    </row>
    <row r="401">
      <c r="A401" s="46" t="n"/>
      <c r="D401">
        <f>IF($C401="","",IFERROR(LOOKUP(2,1/($C$2:INDEX($C:$C,ROW()-1)=$C401),$E$2:INDEX($E:$E,ROW()-1)),IFERROR(VLOOKUP($C401,'01_Warehouse_Ledger'!$A$2:$C$2002,3,FALSE),"")))</f>
        <v/>
      </c>
      <c r="G401" s="25" t="n"/>
    </row>
    <row r="402">
      <c r="A402" s="46" t="n"/>
      <c r="D402">
        <f>IF($C402="","",IFERROR(LOOKUP(2,1/($C$2:INDEX($C:$C,ROW()-1)=$C402),$E$2:INDEX($E:$E,ROW()-1)),IFERROR(VLOOKUP($C402,'01_Warehouse_Ledger'!$A$2:$C$2002,3,FALSE),"")))</f>
        <v/>
      </c>
      <c r="G402" s="25" t="n"/>
    </row>
    <row r="403">
      <c r="A403" s="46" t="n"/>
      <c r="D403">
        <f>IF($C403="","",IFERROR(LOOKUP(2,1/($C$2:INDEX($C:$C,ROW()-1)=$C403),$E$2:INDEX($E:$E,ROW()-1)),IFERROR(VLOOKUP($C403,'01_Warehouse_Ledger'!$A$2:$C$2002,3,FALSE),"")))</f>
        <v/>
      </c>
      <c r="G403" s="25" t="n"/>
    </row>
    <row r="404">
      <c r="A404" s="46" t="n"/>
      <c r="D404">
        <f>IF($C404="","",IFERROR(LOOKUP(2,1/($C$2:INDEX($C:$C,ROW()-1)=$C404),$E$2:INDEX($E:$E,ROW()-1)),IFERROR(VLOOKUP($C404,'01_Warehouse_Ledger'!$A$2:$C$2002,3,FALSE),"")))</f>
        <v/>
      </c>
      <c r="G404" s="25" t="n"/>
    </row>
    <row r="405">
      <c r="A405" s="46" t="n"/>
      <c r="D405">
        <f>IF($C405="","",IFERROR(LOOKUP(2,1/($C$2:INDEX($C:$C,ROW()-1)=$C405),$E$2:INDEX($E:$E,ROW()-1)),IFERROR(VLOOKUP($C405,'01_Warehouse_Ledger'!$A$2:$C$2002,3,FALSE),"")))</f>
        <v/>
      </c>
      <c r="G405" s="25" t="n"/>
    </row>
    <row r="406">
      <c r="A406" s="46" t="n"/>
      <c r="D406">
        <f>IF($C406="","",IFERROR(LOOKUP(2,1/($C$2:INDEX($C:$C,ROW()-1)=$C406),$E$2:INDEX($E:$E,ROW()-1)),IFERROR(VLOOKUP($C406,'01_Warehouse_Ledger'!$A$2:$C$2002,3,FALSE),"")))</f>
        <v/>
      </c>
      <c r="G406" s="25" t="n"/>
    </row>
    <row r="407">
      <c r="A407" s="46" t="n"/>
      <c r="D407">
        <f>IF($C407="","",IFERROR(LOOKUP(2,1/($C$2:INDEX($C:$C,ROW()-1)=$C407),$E$2:INDEX($E:$E,ROW()-1)),IFERROR(VLOOKUP($C407,'01_Warehouse_Ledger'!$A$2:$C$2002,3,FALSE),"")))</f>
        <v/>
      </c>
      <c r="G407" s="25" t="n"/>
    </row>
    <row r="408">
      <c r="A408" s="46" t="n"/>
      <c r="D408">
        <f>IF($C408="","",IFERROR(LOOKUP(2,1/($C$2:INDEX($C:$C,ROW()-1)=$C408),$E$2:INDEX($E:$E,ROW()-1)),IFERROR(VLOOKUP($C408,'01_Warehouse_Ledger'!$A$2:$C$2002,3,FALSE),"")))</f>
        <v/>
      </c>
      <c r="G408" s="25" t="n"/>
    </row>
    <row r="409">
      <c r="A409" s="46" t="n"/>
      <c r="D409">
        <f>IF($C409="","",IFERROR(LOOKUP(2,1/($C$2:INDEX($C:$C,ROW()-1)=$C409),$E$2:INDEX($E:$E,ROW()-1)),IFERROR(VLOOKUP($C409,'01_Warehouse_Ledger'!$A$2:$C$2002,3,FALSE),"")))</f>
        <v/>
      </c>
      <c r="G409" s="25" t="n"/>
    </row>
    <row r="410">
      <c r="A410" s="46" t="n"/>
      <c r="D410">
        <f>IF($C410="","",IFERROR(LOOKUP(2,1/($C$2:INDEX($C:$C,ROW()-1)=$C410),$E$2:INDEX($E:$E,ROW()-1)),IFERROR(VLOOKUP($C410,'01_Warehouse_Ledger'!$A$2:$C$2002,3,FALSE),"")))</f>
        <v/>
      </c>
      <c r="G410" s="25" t="n"/>
    </row>
    <row r="411">
      <c r="A411" s="46" t="n"/>
      <c r="D411">
        <f>IF($C411="","",IFERROR(LOOKUP(2,1/($C$2:INDEX($C:$C,ROW()-1)=$C411),$E$2:INDEX($E:$E,ROW()-1)),IFERROR(VLOOKUP($C411,'01_Warehouse_Ledger'!$A$2:$C$2002,3,FALSE),"")))</f>
        <v/>
      </c>
      <c r="G411" s="25" t="n"/>
    </row>
    <row r="412">
      <c r="A412" s="46" t="n"/>
      <c r="D412">
        <f>IF($C412="","",IFERROR(LOOKUP(2,1/($C$2:INDEX($C:$C,ROW()-1)=$C412),$E$2:INDEX($E:$E,ROW()-1)),IFERROR(VLOOKUP($C412,'01_Warehouse_Ledger'!$A$2:$C$2002,3,FALSE),"")))</f>
        <v/>
      </c>
      <c r="G412" s="25" t="n"/>
    </row>
    <row r="413">
      <c r="A413" s="46" t="n"/>
      <c r="D413">
        <f>IF($C413="","",IFERROR(LOOKUP(2,1/($C$2:INDEX($C:$C,ROW()-1)=$C413),$E$2:INDEX($E:$E,ROW()-1)),IFERROR(VLOOKUP($C413,'01_Warehouse_Ledger'!$A$2:$C$2002,3,FALSE),"")))</f>
        <v/>
      </c>
      <c r="G413" s="25" t="n"/>
    </row>
    <row r="414">
      <c r="A414" s="46" t="n"/>
      <c r="D414">
        <f>IF($C414="","",IFERROR(LOOKUP(2,1/($C$2:INDEX($C:$C,ROW()-1)=$C414),$E$2:INDEX($E:$E,ROW()-1)),IFERROR(VLOOKUP($C414,'01_Warehouse_Ledger'!$A$2:$C$2002,3,FALSE),"")))</f>
        <v/>
      </c>
      <c r="G414" s="25" t="n"/>
    </row>
    <row r="415">
      <c r="A415" s="46" t="n"/>
      <c r="D415">
        <f>IF($C415="","",IFERROR(LOOKUP(2,1/($C$2:INDEX($C:$C,ROW()-1)=$C415),$E$2:INDEX($E:$E,ROW()-1)),IFERROR(VLOOKUP($C415,'01_Warehouse_Ledger'!$A$2:$C$2002,3,FALSE),"")))</f>
        <v/>
      </c>
      <c r="G415" s="25" t="n"/>
    </row>
    <row r="416">
      <c r="A416" s="46" t="n"/>
      <c r="D416">
        <f>IF($C416="","",IFERROR(LOOKUP(2,1/($C$2:INDEX($C:$C,ROW()-1)=$C416),$E$2:INDEX($E:$E,ROW()-1)),IFERROR(VLOOKUP($C416,'01_Warehouse_Ledger'!$A$2:$C$2002,3,FALSE),"")))</f>
        <v/>
      </c>
      <c r="G416" s="25" t="n"/>
    </row>
    <row r="417">
      <c r="A417" s="46" t="n"/>
      <c r="D417">
        <f>IF($C417="","",IFERROR(LOOKUP(2,1/($C$2:INDEX($C:$C,ROW()-1)=$C417),$E$2:INDEX($E:$E,ROW()-1)),IFERROR(VLOOKUP($C417,'01_Warehouse_Ledger'!$A$2:$C$2002,3,FALSE),"")))</f>
        <v/>
      </c>
      <c r="G417" s="25" t="n"/>
    </row>
    <row r="418">
      <c r="A418" s="46" t="n"/>
      <c r="D418">
        <f>IF($C418="","",IFERROR(LOOKUP(2,1/($C$2:INDEX($C:$C,ROW()-1)=$C418),$E$2:INDEX($E:$E,ROW()-1)),IFERROR(VLOOKUP($C418,'01_Warehouse_Ledger'!$A$2:$C$2002,3,FALSE),"")))</f>
        <v/>
      </c>
      <c r="G418" s="25" t="n"/>
    </row>
    <row r="419">
      <c r="A419" s="46" t="n"/>
      <c r="D419">
        <f>IF($C419="","",IFERROR(LOOKUP(2,1/($C$2:INDEX($C:$C,ROW()-1)=$C419),$E$2:INDEX($E:$E,ROW()-1)),IFERROR(VLOOKUP($C419,'01_Warehouse_Ledger'!$A$2:$C$2002,3,FALSE),"")))</f>
        <v/>
      </c>
      <c r="G419" s="25" t="n"/>
    </row>
    <row r="420">
      <c r="A420" s="46" t="n"/>
      <c r="D420">
        <f>IF($C420="","",IFERROR(LOOKUP(2,1/($C$2:INDEX($C:$C,ROW()-1)=$C420),$E$2:INDEX($E:$E,ROW()-1)),IFERROR(VLOOKUP($C420,'01_Warehouse_Ledger'!$A$2:$C$2002,3,FALSE),"")))</f>
        <v/>
      </c>
      <c r="G420" s="25" t="n"/>
    </row>
    <row r="421">
      <c r="A421" s="46" t="n"/>
      <c r="D421">
        <f>IF($C421="","",IFERROR(LOOKUP(2,1/($C$2:INDEX($C:$C,ROW()-1)=$C421),$E$2:INDEX($E:$E,ROW()-1)),IFERROR(VLOOKUP($C421,'01_Warehouse_Ledger'!$A$2:$C$2002,3,FALSE),"")))</f>
        <v/>
      </c>
      <c r="G421" s="25" t="n"/>
    </row>
    <row r="422">
      <c r="A422" s="46" t="n"/>
      <c r="D422">
        <f>IF($C422="","",IFERROR(LOOKUP(2,1/($C$2:INDEX($C:$C,ROW()-1)=$C422),$E$2:INDEX($E:$E,ROW()-1)),IFERROR(VLOOKUP($C422,'01_Warehouse_Ledger'!$A$2:$C$2002,3,FALSE),"")))</f>
        <v/>
      </c>
      <c r="G422" s="25" t="n"/>
    </row>
    <row r="423">
      <c r="A423" s="46" t="n"/>
      <c r="D423">
        <f>IF($C423="","",IFERROR(LOOKUP(2,1/($C$2:INDEX($C:$C,ROW()-1)=$C423),$E$2:INDEX($E:$E,ROW()-1)),IFERROR(VLOOKUP($C423,'01_Warehouse_Ledger'!$A$2:$C$2002,3,FALSE),"")))</f>
        <v/>
      </c>
      <c r="G423" s="25" t="n"/>
    </row>
    <row r="424">
      <c r="A424" s="46" t="n"/>
      <c r="D424">
        <f>IF($C424="","",IFERROR(LOOKUP(2,1/($C$2:INDEX($C:$C,ROW()-1)=$C424),$E$2:INDEX($E:$E,ROW()-1)),IFERROR(VLOOKUP($C424,'01_Warehouse_Ledger'!$A$2:$C$2002,3,FALSE),"")))</f>
        <v/>
      </c>
      <c r="G424" s="25" t="n"/>
    </row>
    <row r="425">
      <c r="A425" s="46" t="n"/>
      <c r="D425">
        <f>IF($C425="","",IFERROR(LOOKUP(2,1/($C$2:INDEX($C:$C,ROW()-1)=$C425),$E$2:INDEX($E:$E,ROW()-1)),IFERROR(VLOOKUP($C425,'01_Warehouse_Ledger'!$A$2:$C$2002,3,FALSE),"")))</f>
        <v/>
      </c>
      <c r="G425" s="25" t="n"/>
    </row>
    <row r="426">
      <c r="A426" s="46" t="n"/>
      <c r="D426">
        <f>IF($C426="","",IFERROR(LOOKUP(2,1/($C$2:INDEX($C:$C,ROW()-1)=$C426),$E$2:INDEX($E:$E,ROW()-1)),IFERROR(VLOOKUP($C426,'01_Warehouse_Ledger'!$A$2:$C$2002,3,FALSE),"")))</f>
        <v/>
      </c>
      <c r="G426" s="25" t="n"/>
    </row>
    <row r="427">
      <c r="A427" s="46" t="n"/>
      <c r="D427">
        <f>IF($C427="","",IFERROR(LOOKUP(2,1/($C$2:INDEX($C:$C,ROW()-1)=$C427),$E$2:INDEX($E:$E,ROW()-1)),IFERROR(VLOOKUP($C427,'01_Warehouse_Ledger'!$A$2:$C$2002,3,FALSE),"")))</f>
        <v/>
      </c>
      <c r="G427" s="25" t="n"/>
    </row>
    <row r="428">
      <c r="A428" s="46" t="n"/>
      <c r="D428">
        <f>IF($C428="","",IFERROR(LOOKUP(2,1/($C$2:INDEX($C:$C,ROW()-1)=$C428),$E$2:INDEX($E:$E,ROW()-1)),IFERROR(VLOOKUP($C428,'01_Warehouse_Ledger'!$A$2:$C$2002,3,FALSE),"")))</f>
        <v/>
      </c>
      <c r="G428" s="25" t="n"/>
    </row>
    <row r="429">
      <c r="A429" s="46" t="n"/>
      <c r="D429">
        <f>IF($C429="","",IFERROR(LOOKUP(2,1/($C$2:INDEX($C:$C,ROW()-1)=$C429),$E$2:INDEX($E:$E,ROW()-1)),IFERROR(VLOOKUP($C429,'01_Warehouse_Ledger'!$A$2:$C$2002,3,FALSE),"")))</f>
        <v/>
      </c>
      <c r="G429" s="25" t="n"/>
    </row>
    <row r="430">
      <c r="A430" s="46" t="n"/>
      <c r="D430">
        <f>IF($C430="","",IFERROR(LOOKUP(2,1/($C$2:INDEX($C:$C,ROW()-1)=$C430),$E$2:INDEX($E:$E,ROW()-1)),IFERROR(VLOOKUP($C430,'01_Warehouse_Ledger'!$A$2:$C$2002,3,FALSE),"")))</f>
        <v/>
      </c>
      <c r="G430" s="25" t="n"/>
    </row>
    <row r="431">
      <c r="A431" s="46" t="n"/>
      <c r="D431">
        <f>IF($C431="","",IFERROR(LOOKUP(2,1/($C$2:INDEX($C:$C,ROW()-1)=$C431),$E$2:INDEX($E:$E,ROW()-1)),IFERROR(VLOOKUP($C431,'01_Warehouse_Ledger'!$A$2:$C$2002,3,FALSE),"")))</f>
        <v/>
      </c>
      <c r="G431" s="25" t="n"/>
    </row>
    <row r="432">
      <c r="A432" s="46" t="n"/>
      <c r="D432">
        <f>IF($C432="","",IFERROR(LOOKUP(2,1/($C$2:INDEX($C:$C,ROW()-1)=$C432),$E$2:INDEX($E:$E,ROW()-1)),IFERROR(VLOOKUP($C432,'01_Warehouse_Ledger'!$A$2:$C$2002,3,FALSE),"")))</f>
        <v/>
      </c>
      <c r="G432" s="25" t="n"/>
    </row>
    <row r="433">
      <c r="A433" s="46" t="n"/>
      <c r="D433">
        <f>IF($C433="","",IFERROR(LOOKUP(2,1/($C$2:INDEX($C:$C,ROW()-1)=$C433),$E$2:INDEX($E:$E,ROW()-1)),IFERROR(VLOOKUP($C433,'01_Warehouse_Ledger'!$A$2:$C$2002,3,FALSE),"")))</f>
        <v/>
      </c>
      <c r="G433" s="25" t="n"/>
    </row>
    <row r="434">
      <c r="A434" s="46" t="n"/>
      <c r="D434">
        <f>IF($C434="","",IFERROR(LOOKUP(2,1/($C$2:INDEX($C:$C,ROW()-1)=$C434),$E$2:INDEX($E:$E,ROW()-1)),IFERROR(VLOOKUP($C434,'01_Warehouse_Ledger'!$A$2:$C$2002,3,FALSE),"")))</f>
        <v/>
      </c>
      <c r="G434" s="25" t="n"/>
    </row>
    <row r="435">
      <c r="A435" s="46" t="n"/>
      <c r="D435">
        <f>IF($C435="","",IFERROR(LOOKUP(2,1/($C$2:INDEX($C:$C,ROW()-1)=$C435),$E$2:INDEX($E:$E,ROW()-1)),IFERROR(VLOOKUP($C435,'01_Warehouse_Ledger'!$A$2:$C$2002,3,FALSE),"")))</f>
        <v/>
      </c>
      <c r="G435" s="25" t="n"/>
    </row>
    <row r="436">
      <c r="A436" s="46" t="n"/>
      <c r="D436">
        <f>IF($C436="","",IFERROR(LOOKUP(2,1/($C$2:INDEX($C:$C,ROW()-1)=$C436),$E$2:INDEX($E:$E,ROW()-1)),IFERROR(VLOOKUP($C436,'01_Warehouse_Ledger'!$A$2:$C$2002,3,FALSE),"")))</f>
        <v/>
      </c>
      <c r="G436" s="25" t="n"/>
    </row>
    <row r="437">
      <c r="A437" s="46" t="n"/>
      <c r="D437">
        <f>IF($C437="","",IFERROR(LOOKUP(2,1/($C$2:INDEX($C:$C,ROW()-1)=$C437),$E$2:INDEX($E:$E,ROW()-1)),IFERROR(VLOOKUP($C437,'01_Warehouse_Ledger'!$A$2:$C$2002,3,FALSE),"")))</f>
        <v/>
      </c>
      <c r="G437" s="25" t="n"/>
    </row>
    <row r="438">
      <c r="A438" s="46" t="n"/>
      <c r="D438">
        <f>IF($C438="","",IFERROR(LOOKUP(2,1/($C$2:INDEX($C:$C,ROW()-1)=$C438),$E$2:INDEX($E:$E,ROW()-1)),IFERROR(VLOOKUP($C438,'01_Warehouse_Ledger'!$A$2:$C$2002,3,FALSE),"")))</f>
        <v/>
      </c>
      <c r="G438" s="25" t="n"/>
    </row>
    <row r="439">
      <c r="A439" s="46" t="n"/>
      <c r="D439">
        <f>IF($C439="","",IFERROR(LOOKUP(2,1/($C$2:INDEX($C:$C,ROW()-1)=$C439),$E$2:INDEX($E:$E,ROW()-1)),IFERROR(VLOOKUP($C439,'01_Warehouse_Ledger'!$A$2:$C$2002,3,FALSE),"")))</f>
        <v/>
      </c>
      <c r="G439" s="25" t="n"/>
    </row>
    <row r="440">
      <c r="A440" s="46" t="n"/>
      <c r="D440">
        <f>IF($C440="","",IFERROR(LOOKUP(2,1/($C$2:INDEX($C:$C,ROW()-1)=$C440),$E$2:INDEX($E:$E,ROW()-1)),IFERROR(VLOOKUP($C440,'01_Warehouse_Ledger'!$A$2:$C$2002,3,FALSE),"")))</f>
        <v/>
      </c>
      <c r="G440" s="25" t="n"/>
    </row>
    <row r="441">
      <c r="A441" s="46" t="n"/>
      <c r="D441">
        <f>IF($C441="","",IFERROR(LOOKUP(2,1/($C$2:INDEX($C:$C,ROW()-1)=$C441),$E$2:INDEX($E:$E,ROW()-1)),IFERROR(VLOOKUP($C441,'01_Warehouse_Ledger'!$A$2:$C$2002,3,FALSE),"")))</f>
        <v/>
      </c>
      <c r="G441" s="25" t="n"/>
    </row>
    <row r="442">
      <c r="A442" s="46" t="n"/>
      <c r="D442">
        <f>IF($C442="","",IFERROR(LOOKUP(2,1/($C$2:INDEX($C:$C,ROW()-1)=$C442),$E$2:INDEX($E:$E,ROW()-1)),IFERROR(VLOOKUP($C442,'01_Warehouse_Ledger'!$A$2:$C$2002,3,FALSE),"")))</f>
        <v/>
      </c>
      <c r="G442" s="25" t="n"/>
    </row>
    <row r="443">
      <c r="A443" s="46" t="n"/>
      <c r="D443">
        <f>IF($C443="","",IFERROR(LOOKUP(2,1/($C$2:INDEX($C:$C,ROW()-1)=$C443),$E$2:INDEX($E:$E,ROW()-1)),IFERROR(VLOOKUP($C443,'01_Warehouse_Ledger'!$A$2:$C$2002,3,FALSE),"")))</f>
        <v/>
      </c>
      <c r="G443" s="25" t="n"/>
    </row>
    <row r="444">
      <c r="A444" s="46" t="n"/>
      <c r="D444">
        <f>IF($C444="","",IFERROR(LOOKUP(2,1/($C$2:INDEX($C:$C,ROW()-1)=$C444),$E$2:INDEX($E:$E,ROW()-1)),IFERROR(VLOOKUP($C444,'01_Warehouse_Ledger'!$A$2:$C$2002,3,FALSE),"")))</f>
        <v/>
      </c>
      <c r="G444" s="25" t="n"/>
    </row>
    <row r="445">
      <c r="A445" s="46" t="n"/>
      <c r="D445">
        <f>IF($C445="","",IFERROR(LOOKUP(2,1/($C$2:INDEX($C:$C,ROW()-1)=$C445),$E$2:INDEX($E:$E,ROW()-1)),IFERROR(VLOOKUP($C445,'01_Warehouse_Ledger'!$A$2:$C$2002,3,FALSE),"")))</f>
        <v/>
      </c>
      <c r="G445" s="25" t="n"/>
    </row>
    <row r="446">
      <c r="A446" s="46" t="n"/>
      <c r="D446">
        <f>IF($C446="","",IFERROR(LOOKUP(2,1/($C$2:INDEX($C:$C,ROW()-1)=$C446),$E$2:INDEX($E:$E,ROW()-1)),IFERROR(VLOOKUP($C446,'01_Warehouse_Ledger'!$A$2:$C$2002,3,FALSE),"")))</f>
        <v/>
      </c>
      <c r="G446" s="25" t="n"/>
    </row>
    <row r="447">
      <c r="A447" s="46" t="n"/>
      <c r="D447">
        <f>IF($C447="","",IFERROR(LOOKUP(2,1/($C$2:INDEX($C:$C,ROW()-1)=$C447),$E$2:INDEX($E:$E,ROW()-1)),IFERROR(VLOOKUP($C447,'01_Warehouse_Ledger'!$A$2:$C$2002,3,FALSE),"")))</f>
        <v/>
      </c>
      <c r="G447" s="25" t="n"/>
    </row>
    <row r="448">
      <c r="A448" s="46" t="n"/>
      <c r="D448">
        <f>IF($C448="","",IFERROR(LOOKUP(2,1/($C$2:INDEX($C:$C,ROW()-1)=$C448),$E$2:INDEX($E:$E,ROW()-1)),IFERROR(VLOOKUP($C448,'01_Warehouse_Ledger'!$A$2:$C$2002,3,FALSE),"")))</f>
        <v/>
      </c>
      <c r="G448" s="25" t="n"/>
    </row>
    <row r="449">
      <c r="A449" s="46" t="n"/>
      <c r="D449">
        <f>IF($C449="","",IFERROR(LOOKUP(2,1/($C$2:INDEX($C:$C,ROW()-1)=$C449),$E$2:INDEX($E:$E,ROW()-1)),IFERROR(VLOOKUP($C449,'01_Warehouse_Ledger'!$A$2:$C$2002,3,FALSE),"")))</f>
        <v/>
      </c>
      <c r="G449" s="25" t="n"/>
    </row>
    <row r="450">
      <c r="A450" s="46" t="n"/>
      <c r="D450">
        <f>IF($C450="","",IFERROR(LOOKUP(2,1/($C$2:INDEX($C:$C,ROW()-1)=$C450),$E$2:INDEX($E:$E,ROW()-1)),IFERROR(VLOOKUP($C450,'01_Warehouse_Ledger'!$A$2:$C$2002,3,FALSE),"")))</f>
        <v/>
      </c>
      <c r="G450" s="25" t="n"/>
    </row>
    <row r="451">
      <c r="A451" s="46" t="n"/>
      <c r="D451">
        <f>IF($C451="","",IFERROR(LOOKUP(2,1/($C$2:INDEX($C:$C,ROW()-1)=$C451),$E$2:INDEX($E:$E,ROW()-1)),IFERROR(VLOOKUP($C451,'01_Warehouse_Ledger'!$A$2:$C$2002,3,FALSE),"")))</f>
        <v/>
      </c>
      <c r="G451" s="25" t="n"/>
    </row>
    <row r="452">
      <c r="A452" s="46" t="n"/>
      <c r="D452">
        <f>IF($C452="","",IFERROR(LOOKUP(2,1/($C$2:INDEX($C:$C,ROW()-1)=$C452),$E$2:INDEX($E:$E,ROW()-1)),IFERROR(VLOOKUP($C452,'01_Warehouse_Ledger'!$A$2:$C$2002,3,FALSE),"")))</f>
        <v/>
      </c>
      <c r="G452" s="25" t="n"/>
    </row>
    <row r="453">
      <c r="A453" s="46" t="n"/>
      <c r="D453">
        <f>IF($C453="","",IFERROR(LOOKUP(2,1/($C$2:INDEX($C:$C,ROW()-1)=$C453),$E$2:INDEX($E:$E,ROW()-1)),IFERROR(VLOOKUP($C453,'01_Warehouse_Ledger'!$A$2:$C$2002,3,FALSE),"")))</f>
        <v/>
      </c>
      <c r="G453" s="25" t="n"/>
    </row>
    <row r="454">
      <c r="A454" s="46" t="n"/>
      <c r="D454">
        <f>IF($C454="","",IFERROR(LOOKUP(2,1/($C$2:INDEX($C:$C,ROW()-1)=$C454),$E$2:INDEX($E:$E,ROW()-1)),IFERROR(VLOOKUP($C454,'01_Warehouse_Ledger'!$A$2:$C$2002,3,FALSE),"")))</f>
        <v/>
      </c>
      <c r="G454" s="25" t="n"/>
    </row>
    <row r="455">
      <c r="A455" s="46" t="n"/>
      <c r="D455">
        <f>IF($C455="","",IFERROR(LOOKUP(2,1/($C$2:INDEX($C:$C,ROW()-1)=$C455),$E$2:INDEX($E:$E,ROW()-1)),IFERROR(VLOOKUP($C455,'01_Warehouse_Ledger'!$A$2:$C$2002,3,FALSE),"")))</f>
        <v/>
      </c>
      <c r="G455" s="25" t="n"/>
    </row>
    <row r="456">
      <c r="A456" s="46" t="n"/>
      <c r="D456">
        <f>IF($C456="","",IFERROR(LOOKUP(2,1/($C$2:INDEX($C:$C,ROW()-1)=$C456),$E$2:INDEX($E:$E,ROW()-1)),IFERROR(VLOOKUP($C456,'01_Warehouse_Ledger'!$A$2:$C$2002,3,FALSE),"")))</f>
        <v/>
      </c>
      <c r="G456" s="25" t="n"/>
    </row>
    <row r="457">
      <c r="A457" s="46" t="n"/>
      <c r="D457">
        <f>IF($C457="","",IFERROR(LOOKUP(2,1/($C$2:INDEX($C:$C,ROW()-1)=$C457),$E$2:INDEX($E:$E,ROW()-1)),IFERROR(VLOOKUP($C457,'01_Warehouse_Ledger'!$A$2:$C$2002,3,FALSE),"")))</f>
        <v/>
      </c>
      <c r="G457" s="25" t="n"/>
    </row>
    <row r="458">
      <c r="A458" s="46" t="n"/>
      <c r="D458">
        <f>IF($C458="","",IFERROR(LOOKUP(2,1/($C$2:INDEX($C:$C,ROW()-1)=$C458),$E$2:INDEX($E:$E,ROW()-1)),IFERROR(VLOOKUP($C458,'01_Warehouse_Ledger'!$A$2:$C$2002,3,FALSE),"")))</f>
        <v/>
      </c>
      <c r="G458" s="25" t="n"/>
    </row>
    <row r="459">
      <c r="A459" s="46" t="n"/>
      <c r="D459">
        <f>IF($C459="","",IFERROR(LOOKUP(2,1/($C$2:INDEX($C:$C,ROW()-1)=$C459),$E$2:INDEX($E:$E,ROW()-1)),IFERROR(VLOOKUP($C459,'01_Warehouse_Ledger'!$A$2:$C$2002,3,FALSE),"")))</f>
        <v/>
      </c>
      <c r="G459" s="25" t="n"/>
    </row>
    <row r="460">
      <c r="A460" s="46" t="n"/>
      <c r="D460">
        <f>IF($C460="","",IFERROR(LOOKUP(2,1/($C$2:INDEX($C:$C,ROW()-1)=$C460),$E$2:INDEX($E:$E,ROW()-1)),IFERROR(VLOOKUP($C460,'01_Warehouse_Ledger'!$A$2:$C$2002,3,FALSE),"")))</f>
        <v/>
      </c>
      <c r="G460" s="25" t="n"/>
    </row>
    <row r="461">
      <c r="A461" s="46" t="n"/>
      <c r="D461">
        <f>IF($C461="","",IFERROR(LOOKUP(2,1/($C$2:INDEX($C:$C,ROW()-1)=$C461),$E$2:INDEX($E:$E,ROW()-1)),IFERROR(VLOOKUP($C461,'01_Warehouse_Ledger'!$A$2:$C$2002,3,FALSE),"")))</f>
        <v/>
      </c>
      <c r="G461" s="25" t="n"/>
    </row>
    <row r="462">
      <c r="A462" s="46" t="n"/>
      <c r="D462">
        <f>IF($C462="","",IFERROR(LOOKUP(2,1/($C$2:INDEX($C:$C,ROW()-1)=$C462),$E$2:INDEX($E:$E,ROW()-1)),IFERROR(VLOOKUP($C462,'01_Warehouse_Ledger'!$A$2:$C$2002,3,FALSE),"")))</f>
        <v/>
      </c>
      <c r="G462" s="25" t="n"/>
    </row>
    <row r="463">
      <c r="A463" s="46" t="n"/>
      <c r="D463">
        <f>IF($C463="","",IFERROR(LOOKUP(2,1/($C$2:INDEX($C:$C,ROW()-1)=$C463),$E$2:INDEX($E:$E,ROW()-1)),IFERROR(VLOOKUP($C463,'01_Warehouse_Ledger'!$A$2:$C$2002,3,FALSE),"")))</f>
        <v/>
      </c>
      <c r="G463" s="25" t="n"/>
    </row>
    <row r="464">
      <c r="A464" s="46" t="n"/>
      <c r="D464">
        <f>IF($C464="","",IFERROR(LOOKUP(2,1/($C$2:INDEX($C:$C,ROW()-1)=$C464),$E$2:INDEX($E:$E,ROW()-1)),IFERROR(VLOOKUP($C464,'01_Warehouse_Ledger'!$A$2:$C$2002,3,FALSE),"")))</f>
        <v/>
      </c>
      <c r="G464" s="25" t="n"/>
    </row>
    <row r="465">
      <c r="A465" s="46" t="n"/>
      <c r="D465">
        <f>IF($C465="","",IFERROR(LOOKUP(2,1/($C$2:INDEX($C:$C,ROW()-1)=$C465),$E$2:INDEX($E:$E,ROW()-1)),IFERROR(VLOOKUP($C465,'01_Warehouse_Ledger'!$A$2:$C$2002,3,FALSE),"")))</f>
        <v/>
      </c>
      <c r="G465" s="25" t="n"/>
    </row>
    <row r="466">
      <c r="A466" s="46" t="n"/>
      <c r="D466">
        <f>IF($C466="","",IFERROR(LOOKUP(2,1/($C$2:INDEX($C:$C,ROW()-1)=$C466),$E$2:INDEX($E:$E,ROW()-1)),IFERROR(VLOOKUP($C466,'01_Warehouse_Ledger'!$A$2:$C$2002,3,FALSE),"")))</f>
        <v/>
      </c>
      <c r="G466" s="25" t="n"/>
    </row>
    <row r="467">
      <c r="A467" s="46" t="n"/>
      <c r="D467">
        <f>IF($C467="","",IFERROR(LOOKUP(2,1/($C$2:INDEX($C:$C,ROW()-1)=$C467),$E$2:INDEX($E:$E,ROW()-1)),IFERROR(VLOOKUP($C467,'01_Warehouse_Ledger'!$A$2:$C$2002,3,FALSE),"")))</f>
        <v/>
      </c>
      <c r="G467" s="25" t="n"/>
    </row>
    <row r="468">
      <c r="A468" s="46" t="n"/>
      <c r="D468">
        <f>IF($C468="","",IFERROR(LOOKUP(2,1/($C$2:INDEX($C:$C,ROW()-1)=$C468),$E$2:INDEX($E:$E,ROW()-1)),IFERROR(VLOOKUP($C468,'01_Warehouse_Ledger'!$A$2:$C$2002,3,FALSE),"")))</f>
        <v/>
      </c>
      <c r="G468" s="25" t="n"/>
    </row>
    <row r="469">
      <c r="A469" s="46" t="n"/>
      <c r="D469">
        <f>IF($C469="","",IFERROR(LOOKUP(2,1/($C$2:INDEX($C:$C,ROW()-1)=$C469),$E$2:INDEX($E:$E,ROW()-1)),IFERROR(VLOOKUP($C469,'01_Warehouse_Ledger'!$A$2:$C$2002,3,FALSE),"")))</f>
        <v/>
      </c>
      <c r="G469" s="25" t="n"/>
    </row>
    <row r="470">
      <c r="A470" s="46" t="n"/>
      <c r="D470">
        <f>IF($C470="","",IFERROR(LOOKUP(2,1/($C$2:INDEX($C:$C,ROW()-1)=$C470),$E$2:INDEX($E:$E,ROW()-1)),IFERROR(VLOOKUP($C470,'01_Warehouse_Ledger'!$A$2:$C$2002,3,FALSE),"")))</f>
        <v/>
      </c>
      <c r="G470" s="25" t="n"/>
    </row>
    <row r="471">
      <c r="A471" s="46" t="n"/>
      <c r="D471">
        <f>IF($C471="","",IFERROR(LOOKUP(2,1/($C$2:INDEX($C:$C,ROW()-1)=$C471),$E$2:INDEX($E:$E,ROW()-1)),IFERROR(VLOOKUP($C471,'01_Warehouse_Ledger'!$A$2:$C$2002,3,FALSE),"")))</f>
        <v/>
      </c>
      <c r="G471" s="25" t="n"/>
    </row>
    <row r="472">
      <c r="A472" s="46" t="n"/>
      <c r="D472">
        <f>IF($C472="","",IFERROR(LOOKUP(2,1/($C$2:INDEX($C:$C,ROW()-1)=$C472),$E$2:INDEX($E:$E,ROW()-1)),IFERROR(VLOOKUP($C472,'01_Warehouse_Ledger'!$A$2:$C$2002,3,FALSE),"")))</f>
        <v/>
      </c>
      <c r="G472" s="25" t="n"/>
    </row>
    <row r="473">
      <c r="A473" s="46" t="n"/>
      <c r="D473">
        <f>IF($C473="","",IFERROR(LOOKUP(2,1/($C$2:INDEX($C:$C,ROW()-1)=$C473),$E$2:INDEX($E:$E,ROW()-1)),IFERROR(VLOOKUP($C473,'01_Warehouse_Ledger'!$A$2:$C$2002,3,FALSE),"")))</f>
        <v/>
      </c>
      <c r="G473" s="25" t="n"/>
    </row>
    <row r="474">
      <c r="A474" s="46" t="n"/>
      <c r="D474">
        <f>IF($C474="","",IFERROR(LOOKUP(2,1/($C$2:INDEX($C:$C,ROW()-1)=$C474),$E$2:INDEX($E:$E,ROW()-1)),IFERROR(VLOOKUP($C474,'01_Warehouse_Ledger'!$A$2:$C$2002,3,FALSE),"")))</f>
        <v/>
      </c>
      <c r="G474" s="25" t="n"/>
    </row>
    <row r="475">
      <c r="A475" s="46" t="n"/>
      <c r="D475">
        <f>IF($C475="","",IFERROR(LOOKUP(2,1/($C$2:INDEX($C:$C,ROW()-1)=$C475),$E$2:INDEX($E:$E,ROW()-1)),IFERROR(VLOOKUP($C475,'01_Warehouse_Ledger'!$A$2:$C$2002,3,FALSE),"")))</f>
        <v/>
      </c>
      <c r="G475" s="25" t="n"/>
    </row>
    <row r="476">
      <c r="A476" s="46" t="n"/>
      <c r="D476">
        <f>IF($C476="","",IFERROR(LOOKUP(2,1/($C$2:INDEX($C:$C,ROW()-1)=$C476),$E$2:INDEX($E:$E,ROW()-1)),IFERROR(VLOOKUP($C476,'01_Warehouse_Ledger'!$A$2:$C$2002,3,FALSE),"")))</f>
        <v/>
      </c>
      <c r="G476" s="25" t="n"/>
    </row>
    <row r="477">
      <c r="A477" s="46" t="n"/>
      <c r="D477">
        <f>IF($C477="","",IFERROR(LOOKUP(2,1/($C$2:INDEX($C:$C,ROW()-1)=$C477),$E$2:INDEX($E:$E,ROW()-1)),IFERROR(VLOOKUP($C477,'01_Warehouse_Ledger'!$A$2:$C$2002,3,FALSE),"")))</f>
        <v/>
      </c>
      <c r="G477" s="25" t="n"/>
    </row>
    <row r="478">
      <c r="A478" s="46" t="n"/>
      <c r="D478">
        <f>IF($C478="","",IFERROR(LOOKUP(2,1/($C$2:INDEX($C:$C,ROW()-1)=$C478),$E$2:INDEX($E:$E,ROW()-1)),IFERROR(VLOOKUP($C478,'01_Warehouse_Ledger'!$A$2:$C$2002,3,FALSE),"")))</f>
        <v/>
      </c>
      <c r="G478" s="25" t="n"/>
    </row>
    <row r="479">
      <c r="A479" s="46" t="n"/>
      <c r="D479">
        <f>IF($C479="","",IFERROR(LOOKUP(2,1/($C$2:INDEX($C:$C,ROW()-1)=$C479),$E$2:INDEX($E:$E,ROW()-1)),IFERROR(VLOOKUP($C479,'01_Warehouse_Ledger'!$A$2:$C$2002,3,FALSE),"")))</f>
        <v/>
      </c>
      <c r="G479" s="25" t="n"/>
    </row>
    <row r="480">
      <c r="A480" s="46" t="n"/>
      <c r="D480">
        <f>IF($C480="","",IFERROR(LOOKUP(2,1/($C$2:INDEX($C:$C,ROW()-1)=$C480),$E$2:INDEX($E:$E,ROW()-1)),IFERROR(VLOOKUP($C480,'01_Warehouse_Ledger'!$A$2:$C$2002,3,FALSE),"")))</f>
        <v/>
      </c>
      <c r="G480" s="25" t="n"/>
    </row>
    <row r="481">
      <c r="A481" s="46" t="n"/>
      <c r="D481">
        <f>IF($C481="","",IFERROR(LOOKUP(2,1/($C$2:INDEX($C:$C,ROW()-1)=$C481),$E$2:INDEX($E:$E,ROW()-1)),IFERROR(VLOOKUP($C481,'01_Warehouse_Ledger'!$A$2:$C$2002,3,FALSE),"")))</f>
        <v/>
      </c>
      <c r="G481" s="25" t="n"/>
    </row>
    <row r="482">
      <c r="A482" s="46" t="n"/>
      <c r="D482">
        <f>IF($C482="","",IFERROR(LOOKUP(2,1/($C$2:INDEX($C:$C,ROW()-1)=$C482),$E$2:INDEX($E:$E,ROW()-1)),IFERROR(VLOOKUP($C482,'01_Warehouse_Ledger'!$A$2:$C$2002,3,FALSE),"")))</f>
        <v/>
      </c>
      <c r="G482" s="25" t="n"/>
    </row>
    <row r="483">
      <c r="A483" s="46" t="n"/>
      <c r="D483">
        <f>IF($C483="","",IFERROR(LOOKUP(2,1/($C$2:INDEX($C:$C,ROW()-1)=$C483),$E$2:INDEX($E:$E,ROW()-1)),IFERROR(VLOOKUP($C483,'01_Warehouse_Ledger'!$A$2:$C$2002,3,FALSE),"")))</f>
        <v/>
      </c>
      <c r="G483" s="25" t="n"/>
    </row>
    <row r="484">
      <c r="A484" s="46" t="n"/>
      <c r="D484">
        <f>IF($C484="","",IFERROR(LOOKUP(2,1/($C$2:INDEX($C:$C,ROW()-1)=$C484),$E$2:INDEX($E:$E,ROW()-1)),IFERROR(VLOOKUP($C484,'01_Warehouse_Ledger'!$A$2:$C$2002,3,FALSE),"")))</f>
        <v/>
      </c>
      <c r="G484" s="25" t="n"/>
    </row>
    <row r="485">
      <c r="A485" s="46" t="n"/>
      <c r="D485">
        <f>IF($C485="","",IFERROR(LOOKUP(2,1/($C$2:INDEX($C:$C,ROW()-1)=$C485),$E$2:INDEX($E:$E,ROW()-1)),IFERROR(VLOOKUP($C485,'01_Warehouse_Ledger'!$A$2:$C$2002,3,FALSE),"")))</f>
        <v/>
      </c>
      <c r="G485" s="25" t="n"/>
    </row>
    <row r="486">
      <c r="A486" s="46" t="n"/>
      <c r="D486">
        <f>IF($C486="","",IFERROR(LOOKUP(2,1/($C$2:INDEX($C:$C,ROW()-1)=$C486),$E$2:INDEX($E:$E,ROW()-1)),IFERROR(VLOOKUP($C486,'01_Warehouse_Ledger'!$A$2:$C$2002,3,FALSE),"")))</f>
        <v/>
      </c>
      <c r="G486" s="25" t="n"/>
    </row>
    <row r="487">
      <c r="A487" s="46" t="n"/>
      <c r="D487">
        <f>IF($C487="","",IFERROR(LOOKUP(2,1/($C$2:INDEX($C:$C,ROW()-1)=$C487),$E$2:INDEX($E:$E,ROW()-1)),IFERROR(VLOOKUP($C487,'01_Warehouse_Ledger'!$A$2:$C$2002,3,FALSE),"")))</f>
        <v/>
      </c>
      <c r="G487" s="25" t="n"/>
    </row>
    <row r="488">
      <c r="A488" s="46" t="n"/>
      <c r="D488">
        <f>IF($C488="","",IFERROR(LOOKUP(2,1/($C$2:INDEX($C:$C,ROW()-1)=$C488),$E$2:INDEX($E:$E,ROW()-1)),IFERROR(VLOOKUP($C488,'01_Warehouse_Ledger'!$A$2:$C$2002,3,FALSE),"")))</f>
        <v/>
      </c>
      <c r="G488" s="25" t="n"/>
    </row>
    <row r="489">
      <c r="A489" s="46" t="n"/>
      <c r="D489">
        <f>IF($C489="","",IFERROR(LOOKUP(2,1/($C$2:INDEX($C:$C,ROW()-1)=$C489),$E$2:INDEX($E:$E,ROW()-1)),IFERROR(VLOOKUP($C489,'01_Warehouse_Ledger'!$A$2:$C$2002,3,FALSE),"")))</f>
        <v/>
      </c>
      <c r="G489" s="25" t="n"/>
    </row>
    <row r="490">
      <c r="A490" s="46" t="n"/>
      <c r="D490">
        <f>IF($C490="","",IFERROR(LOOKUP(2,1/($C$2:INDEX($C:$C,ROW()-1)=$C490),$E$2:INDEX($E:$E,ROW()-1)),IFERROR(VLOOKUP($C490,'01_Warehouse_Ledger'!$A$2:$C$2002,3,FALSE),"")))</f>
        <v/>
      </c>
      <c r="G490" s="25" t="n"/>
    </row>
    <row r="491">
      <c r="A491" s="46" t="n"/>
      <c r="D491">
        <f>IF($C491="","",IFERROR(LOOKUP(2,1/($C$2:INDEX($C:$C,ROW()-1)=$C491),$E$2:INDEX($E:$E,ROW()-1)),IFERROR(VLOOKUP($C491,'01_Warehouse_Ledger'!$A$2:$C$2002,3,FALSE),"")))</f>
        <v/>
      </c>
      <c r="G491" s="25" t="n"/>
    </row>
    <row r="492">
      <c r="A492" s="46" t="n"/>
      <c r="D492">
        <f>IF($C492="","",IFERROR(LOOKUP(2,1/($C$2:INDEX($C:$C,ROW()-1)=$C492),$E$2:INDEX($E:$E,ROW()-1)),IFERROR(VLOOKUP($C492,'01_Warehouse_Ledger'!$A$2:$C$2002,3,FALSE),"")))</f>
        <v/>
      </c>
      <c r="G492" s="25" t="n"/>
    </row>
    <row r="493">
      <c r="A493" s="46" t="n"/>
      <c r="D493">
        <f>IF($C493="","",IFERROR(LOOKUP(2,1/($C$2:INDEX($C:$C,ROW()-1)=$C493),$E$2:INDEX($E:$E,ROW()-1)),IFERROR(VLOOKUP($C493,'01_Warehouse_Ledger'!$A$2:$C$2002,3,FALSE),"")))</f>
        <v/>
      </c>
      <c r="G493" s="25" t="n"/>
    </row>
    <row r="494">
      <c r="A494" s="46" t="n"/>
      <c r="D494">
        <f>IF($C494="","",IFERROR(LOOKUP(2,1/($C$2:INDEX($C:$C,ROW()-1)=$C494),$E$2:INDEX($E:$E,ROW()-1)),IFERROR(VLOOKUP($C494,'01_Warehouse_Ledger'!$A$2:$C$2002,3,FALSE),"")))</f>
        <v/>
      </c>
      <c r="G494" s="25" t="n"/>
    </row>
    <row r="495">
      <c r="A495" s="46" t="n"/>
      <c r="D495">
        <f>IF($C495="","",IFERROR(LOOKUP(2,1/($C$2:INDEX($C:$C,ROW()-1)=$C495),$E$2:INDEX($E:$E,ROW()-1)),IFERROR(VLOOKUP($C495,'01_Warehouse_Ledger'!$A$2:$C$2002,3,FALSE),"")))</f>
        <v/>
      </c>
      <c r="G495" s="25" t="n"/>
    </row>
    <row r="496">
      <c r="A496" s="46" t="n"/>
      <c r="D496">
        <f>IF($C496="","",IFERROR(LOOKUP(2,1/($C$2:INDEX($C:$C,ROW()-1)=$C496),$E$2:INDEX($E:$E,ROW()-1)),IFERROR(VLOOKUP($C496,'01_Warehouse_Ledger'!$A$2:$C$2002,3,FALSE),"")))</f>
        <v/>
      </c>
      <c r="G496" s="25" t="n"/>
    </row>
    <row r="497">
      <c r="A497" s="46" t="n"/>
      <c r="D497">
        <f>IF($C497="","",IFERROR(LOOKUP(2,1/($C$2:INDEX($C:$C,ROW()-1)=$C497),$E$2:INDEX($E:$E,ROW()-1)),IFERROR(VLOOKUP($C497,'01_Warehouse_Ledger'!$A$2:$C$2002,3,FALSE),"")))</f>
        <v/>
      </c>
      <c r="G497" s="25" t="n"/>
    </row>
    <row r="498">
      <c r="A498" s="46" t="n"/>
      <c r="D498">
        <f>IF($C498="","",IFERROR(LOOKUP(2,1/($C$2:INDEX($C:$C,ROW()-1)=$C498),$E$2:INDEX($E:$E,ROW()-1)),IFERROR(VLOOKUP($C498,'01_Warehouse_Ledger'!$A$2:$C$2002,3,FALSE),"")))</f>
        <v/>
      </c>
      <c r="G498" s="25" t="n"/>
    </row>
    <row r="499">
      <c r="A499" s="46" t="n"/>
      <c r="D499">
        <f>IF($C499="","",IFERROR(LOOKUP(2,1/($C$2:INDEX($C:$C,ROW()-1)=$C499),$E$2:INDEX($E:$E,ROW()-1)),IFERROR(VLOOKUP($C499,'01_Warehouse_Ledger'!$A$2:$C$2002,3,FALSE),"")))</f>
        <v/>
      </c>
      <c r="G499" s="25" t="n"/>
    </row>
    <row r="500">
      <c r="A500" s="46" t="n"/>
      <c r="D500">
        <f>IF($C500="","",IFERROR(LOOKUP(2,1/($C$2:INDEX($C:$C,ROW()-1)=$C500),$E$2:INDEX($E:$E,ROW()-1)),IFERROR(VLOOKUP($C500,'01_Warehouse_Ledger'!$A$2:$C$2002,3,FALSE),"")))</f>
        <v/>
      </c>
      <c r="G500" s="25" t="n"/>
    </row>
    <row r="501">
      <c r="A501" s="46" t="n"/>
      <c r="G501" s="25" t="n"/>
    </row>
  </sheetData>
  <conditionalFormatting sqref="A2:J500">
    <cfRule type="expression" priority="1" dxfId="397" stopIfTrue="1">
      <formula>AND($B2&lt;&gt;"",OR($A2="",TRIM($C2)="",TRIM($E2)=""))</formula>
    </cfRule>
    <cfRule type="expression" priority="4" dxfId="282">
      <formula>AND(TRIM($C2)&lt;&gt;"",TRIM($E2)&lt;&gt;"",$D2="")</formula>
    </cfRule>
  </conditionalFormatting>
  <dataValidations count="3">
    <dataValidation sqref="B2:B500" showDropDown="0" showInputMessage="0" showErrorMessage="0" allowBlank="1" type="list">
      <formula1>"RECEIVE,MOVE,PICK,COUNT,ADJUST,SHIP,RETURN"</formula1>
    </dataValidation>
    <dataValidation sqref="D2:D1048576" showDropDown="0" showInputMessage="1" showErrorMessage="1" allowBlank="1" type="custom">
      <formula1>FALSE</formula1>
    </dataValidation>
    <dataValidation sqref="E2:E69 G70:G499" showDropDown="0" showInputMessage="1" showErrorMessage="1" allowBlank="1" errorTitle="Automated field, foo 🤡" error="Skedaddle 💨. Don't overwrite formulas 😄" type="custom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tabColor theme="5" tint="0.5999938962981048"/>
    <outlinePr summaryBelow="1" summaryRight="1"/>
    <pageSetUpPr/>
  </sheetPr>
  <dimension ref="A1:D10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91" min="1" max="1"/>
    <col width="45" customWidth="1" style="91" min="2" max="2"/>
    <col width="30" customWidth="1" style="91" min="3" max="3"/>
    <col width="35" customWidth="1" style="91" min="4" max="4"/>
  </cols>
  <sheetData>
    <row r="1">
      <c r="A1" s="90" t="inlineStr">
        <is>
          <t>HumanText</t>
        </is>
      </c>
      <c r="B1" s="90" t="inlineStr">
        <is>
          <t>QRPayload</t>
        </is>
      </c>
      <c r="C1" s="90" t="inlineStr">
        <is>
          <t>--LOCATIONS--</t>
        </is>
      </c>
      <c r="D1" s="90" t="inlineStr">
        <is>
          <t>Notes</t>
        </is>
      </c>
    </row>
    <row r="2">
      <c r="A2" s="27" t="inlineStr">
        <is>
          <t>LOCATION</t>
        </is>
      </c>
    </row>
    <row r="3">
      <c r="A3" t="inlineStr">
        <is>
          <t>Location label (rack/floor/zone).</t>
        </is>
      </c>
      <c r="B3">
        <f>IF('02_Warehouse_Locations'!A2="","",'02_Warehouse_Locations'!A2)</f>
        <v/>
      </c>
      <c r="C3">
        <f>IF(B3="","",B3)</f>
        <v/>
      </c>
      <c r="D3" t="inlineStr">
        <is>
          <t>--PALLETS--</t>
        </is>
      </c>
    </row>
    <row r="4">
      <c r="A4" t="inlineStr">
        <is>
          <t>Location label (rack/floor/zone).</t>
        </is>
      </c>
      <c r="B4">
        <f>IF('02_Warehouse_Locations'!A3="","",'02_Warehouse_Locations'!A3)</f>
        <v/>
      </c>
      <c r="C4">
        <f>IF(B4="","",B4)</f>
        <v/>
      </c>
      <c r="D4" t="inlineStr">
        <is>
          <t>--PALLETS--</t>
        </is>
      </c>
    </row>
    <row r="5">
      <c r="A5" t="inlineStr">
        <is>
          <t>Location label (rack/floor/zone).</t>
        </is>
      </c>
      <c r="B5">
        <f>IF('02_Warehouse_Locations'!A4="","",'02_Warehouse_Locations'!A4)</f>
        <v/>
      </c>
      <c r="C5">
        <f>IF(B5="","",B5)</f>
        <v/>
      </c>
      <c r="D5" t="inlineStr">
        <is>
          <t>--PALLETS--</t>
        </is>
      </c>
    </row>
    <row r="6">
      <c r="A6" t="inlineStr">
        <is>
          <t>Location label (rack/floor/zone).</t>
        </is>
      </c>
      <c r="B6">
        <f>IF('02_Warehouse_Locations'!A5="","",'02_Warehouse_Locations'!A5)</f>
        <v/>
      </c>
      <c r="C6">
        <f>IF(B6="","",B6)</f>
        <v/>
      </c>
      <c r="D6" t="inlineStr">
        <is>
          <t>--PALLETS--</t>
        </is>
      </c>
    </row>
    <row r="7">
      <c r="A7" t="inlineStr">
        <is>
          <t>Location label (rack/floor/zone).</t>
        </is>
      </c>
      <c r="B7">
        <f>IF('02_Warehouse_Locations'!A6="","",'02_Warehouse_Locations'!A6)</f>
        <v/>
      </c>
      <c r="C7">
        <f>IF(B7="","",B7)</f>
        <v/>
      </c>
      <c r="D7" t="inlineStr">
        <is>
          <t>--PALLETS--</t>
        </is>
      </c>
    </row>
    <row r="8">
      <c r="A8" t="inlineStr">
        <is>
          <t>Location label (rack/floor/zone).</t>
        </is>
      </c>
      <c r="B8">
        <f>IF('02_Warehouse_Locations'!A7="","",'02_Warehouse_Locations'!A7)</f>
        <v/>
      </c>
      <c r="C8">
        <f>IF(B8="","",B8)</f>
        <v/>
      </c>
      <c r="D8" t="inlineStr">
        <is>
          <t>--PALLETS--</t>
        </is>
      </c>
    </row>
    <row r="9">
      <c r="A9" t="inlineStr">
        <is>
          <t>Location label (rack/floor/zone).</t>
        </is>
      </c>
      <c r="B9">
        <f>IF('02_Warehouse_Locations'!A8="","",'02_Warehouse_Locations'!A8)</f>
        <v/>
      </c>
      <c r="C9">
        <f>IF(B9="","",B9)</f>
        <v/>
      </c>
      <c r="D9" t="inlineStr">
        <is>
          <t>--PALLETS--</t>
        </is>
      </c>
    </row>
    <row r="10">
      <c r="A10" t="inlineStr">
        <is>
          <t>Location label (rack/floor/zone).</t>
        </is>
      </c>
      <c r="B10">
        <f>IF('02_Warehouse_Locations'!A9="","",'02_Warehouse_Locations'!A9)</f>
        <v/>
      </c>
      <c r="C10">
        <f>IF(B10="","",B10)</f>
        <v/>
      </c>
      <c r="D10" t="inlineStr">
        <is>
          <t>--PALLETS--</t>
        </is>
      </c>
    </row>
    <row r="11">
      <c r="A11" t="inlineStr">
        <is>
          <t>Location label (rack/floor/zone).</t>
        </is>
      </c>
      <c r="B11">
        <f>IF('02_Warehouse_Locations'!A10="","",'02_Warehouse_Locations'!A10)</f>
        <v/>
      </c>
      <c r="C11">
        <f>IF(B11="","",B11)</f>
        <v/>
      </c>
      <c r="D11" t="inlineStr">
        <is>
          <t>--PALLETS--</t>
        </is>
      </c>
    </row>
    <row r="12">
      <c r="A12" t="inlineStr">
        <is>
          <t>Location label (rack/floor/zone).</t>
        </is>
      </c>
      <c r="B12">
        <f>IF('02_Warehouse_Locations'!A11="","",'02_Warehouse_Locations'!A11)</f>
        <v/>
      </c>
      <c r="C12">
        <f>IF(B12="","",B12)</f>
        <v/>
      </c>
      <c r="D12" t="inlineStr">
        <is>
          <t>--PALLETS--</t>
        </is>
      </c>
    </row>
    <row r="13">
      <c r="A13" t="inlineStr">
        <is>
          <t>Location label (rack/floor/zone).</t>
        </is>
      </c>
      <c r="B13">
        <f>IF('02_Warehouse_Locations'!A12="","",'02_Warehouse_Locations'!A12)</f>
        <v/>
      </c>
      <c r="C13">
        <f>IF(B13="","",B13)</f>
        <v/>
      </c>
      <c r="D13" t="inlineStr">
        <is>
          <t>--PALLETS--</t>
        </is>
      </c>
    </row>
    <row r="14">
      <c r="A14" t="inlineStr">
        <is>
          <t>Location label (rack/floor/zone).</t>
        </is>
      </c>
      <c r="B14">
        <f>IF('02_Warehouse_Locations'!A13="","",'02_Warehouse_Locations'!A13)</f>
        <v/>
      </c>
      <c r="C14">
        <f>IF(B14="","",B14)</f>
        <v/>
      </c>
      <c r="D14" t="inlineStr">
        <is>
          <t>--PALLETS--</t>
        </is>
      </c>
    </row>
    <row r="15">
      <c r="A15" t="inlineStr">
        <is>
          <t>Location label (rack/floor/zone).</t>
        </is>
      </c>
      <c r="B15">
        <f>IF('02_Warehouse_Locations'!A14="","",'02_Warehouse_Locations'!A14)</f>
        <v/>
      </c>
      <c r="C15">
        <f>IF(B15="","",B15)</f>
        <v/>
      </c>
      <c r="D15" t="inlineStr">
        <is>
          <t>--PALLETS--</t>
        </is>
      </c>
    </row>
    <row r="16">
      <c r="A16" t="inlineStr">
        <is>
          <t>Location label (rack/floor/zone).</t>
        </is>
      </c>
      <c r="B16">
        <f>IF('02_Warehouse_Locations'!A15="","",'02_Warehouse_Locations'!A15)</f>
        <v/>
      </c>
      <c r="C16">
        <f>IF(B16="","",B16)</f>
        <v/>
      </c>
      <c r="D16" t="inlineStr">
        <is>
          <t>--PALLETS--</t>
        </is>
      </c>
    </row>
    <row r="17">
      <c r="A17" t="inlineStr">
        <is>
          <t>Location label (rack/floor/zone).</t>
        </is>
      </c>
      <c r="B17">
        <f>IF('02_Warehouse_Locations'!A16="","",'02_Warehouse_Locations'!A16)</f>
        <v/>
      </c>
      <c r="C17">
        <f>IF(B17="","",B17)</f>
        <v/>
      </c>
      <c r="D17" t="inlineStr">
        <is>
          <t>--PALLETS--</t>
        </is>
      </c>
    </row>
    <row r="18">
      <c r="A18" t="inlineStr">
        <is>
          <t>Location label (rack/floor/zone).</t>
        </is>
      </c>
      <c r="B18">
        <f>IF('02_Warehouse_Locations'!A17="","",'02_Warehouse_Locations'!A17)</f>
        <v/>
      </c>
      <c r="C18">
        <f>IF(B18="","",B18)</f>
        <v/>
      </c>
      <c r="D18" t="inlineStr">
        <is>
          <t>--PALLETS--</t>
        </is>
      </c>
    </row>
    <row r="19">
      <c r="A19" t="inlineStr">
        <is>
          <t>Location label (rack/floor/zone).</t>
        </is>
      </c>
      <c r="B19">
        <f>IF('02_Warehouse_Locations'!A18="","",'02_Warehouse_Locations'!A18)</f>
        <v/>
      </c>
      <c r="C19">
        <f>IF(B19="","",B19)</f>
        <v/>
      </c>
      <c r="D19" t="inlineStr">
        <is>
          <t>--PALLETS--</t>
        </is>
      </c>
    </row>
    <row r="20">
      <c r="A20" t="inlineStr">
        <is>
          <t>Location label (rack/floor/zone).</t>
        </is>
      </c>
      <c r="B20">
        <f>IF('02_Warehouse_Locations'!A19="","",'02_Warehouse_Locations'!A19)</f>
        <v/>
      </c>
      <c r="C20">
        <f>IF(B20="","",B20)</f>
        <v/>
      </c>
      <c r="D20" t="inlineStr">
        <is>
          <t>--PALLETS--</t>
        </is>
      </c>
    </row>
    <row r="21">
      <c r="A21" t="inlineStr">
        <is>
          <t>Location label (rack/floor/zone).</t>
        </is>
      </c>
      <c r="B21">
        <f>IF('02_Warehouse_Locations'!A20="","",'02_Warehouse_Locations'!A20)</f>
        <v/>
      </c>
      <c r="C21">
        <f>IF(B21="","",B21)</f>
        <v/>
      </c>
      <c r="D21" t="inlineStr">
        <is>
          <t>--PALLETS--</t>
        </is>
      </c>
    </row>
    <row r="22">
      <c r="A22" t="inlineStr">
        <is>
          <t>Location label (rack/floor/zone).</t>
        </is>
      </c>
      <c r="B22">
        <f>IF('02_Warehouse_Locations'!A21="","",'02_Warehouse_Locations'!A21)</f>
        <v/>
      </c>
      <c r="C22">
        <f>IF(B22="","",B22)</f>
        <v/>
      </c>
      <c r="D22" t="inlineStr">
        <is>
          <t>--PALLETS--</t>
        </is>
      </c>
    </row>
    <row r="23">
      <c r="A23" t="inlineStr">
        <is>
          <t>Location label (rack/floor/zone).</t>
        </is>
      </c>
      <c r="B23">
        <f>IF('02_Warehouse_Locations'!A22="","",'02_Warehouse_Locations'!A22)</f>
        <v/>
      </c>
      <c r="C23">
        <f>IF(B23="","",B23)</f>
        <v/>
      </c>
      <c r="D23" t="inlineStr">
        <is>
          <t>--PALLETS--</t>
        </is>
      </c>
    </row>
    <row r="24">
      <c r="A24" t="inlineStr">
        <is>
          <t>Location label (rack/floor/zone).</t>
        </is>
      </c>
      <c r="B24">
        <f>IF('02_Warehouse_Locations'!A23="","",'02_Warehouse_Locations'!A23)</f>
        <v/>
      </c>
      <c r="C24">
        <f>IF(B24="","",B24)</f>
        <v/>
      </c>
      <c r="D24" t="inlineStr">
        <is>
          <t>--PALLETS--</t>
        </is>
      </c>
    </row>
    <row r="25">
      <c r="A25" t="inlineStr">
        <is>
          <t>Location label (rack/floor/zone).</t>
        </is>
      </c>
      <c r="B25">
        <f>IF('02_Warehouse_Locations'!A24="","",'02_Warehouse_Locations'!A24)</f>
        <v/>
      </c>
      <c r="C25">
        <f>IF(B25="","",B25)</f>
        <v/>
      </c>
      <c r="D25" t="inlineStr">
        <is>
          <t>--PALLETS--</t>
        </is>
      </c>
    </row>
    <row r="26">
      <c r="A26" t="inlineStr">
        <is>
          <t>Location label (rack/floor/zone).</t>
        </is>
      </c>
      <c r="B26">
        <f>IF('02_Warehouse_Locations'!A25="","",'02_Warehouse_Locations'!A25)</f>
        <v/>
      </c>
      <c r="C26">
        <f>IF(B26="","",B26)</f>
        <v/>
      </c>
      <c r="D26" t="inlineStr">
        <is>
          <t>--PALLETS--</t>
        </is>
      </c>
    </row>
    <row r="27">
      <c r="A27" t="inlineStr">
        <is>
          <t>Location label (rack/floor/zone).</t>
        </is>
      </c>
      <c r="B27">
        <f>IF('02_Warehouse_Locations'!A26="","",'02_Warehouse_Locations'!A26)</f>
        <v/>
      </c>
      <c r="C27">
        <f>IF(B27="","",B27)</f>
        <v/>
      </c>
      <c r="D27" t="inlineStr">
        <is>
          <t>--PALLETS--</t>
        </is>
      </c>
    </row>
    <row r="28">
      <c r="A28" t="inlineStr">
        <is>
          <t>Location label (rack/floor/zone).</t>
        </is>
      </c>
      <c r="B28">
        <f>IF('02_Warehouse_Locations'!A27="","",'02_Warehouse_Locations'!A27)</f>
        <v/>
      </c>
      <c r="C28">
        <f>IF(B28="","",B28)</f>
        <v/>
      </c>
      <c r="D28" t="inlineStr">
        <is>
          <t>--PALLETS--</t>
        </is>
      </c>
    </row>
    <row r="29">
      <c r="A29" t="inlineStr">
        <is>
          <t>Location label (rack/floor/zone).</t>
        </is>
      </c>
      <c r="B29">
        <f>IF('02_Warehouse_Locations'!A28="","",'02_Warehouse_Locations'!A28)</f>
        <v/>
      </c>
      <c r="C29">
        <f>IF(B29="","",B29)</f>
        <v/>
      </c>
      <c r="D29" t="inlineStr">
        <is>
          <t>--PALLETS--</t>
        </is>
      </c>
    </row>
    <row r="30">
      <c r="A30" t="inlineStr">
        <is>
          <t>Location label (rack/floor/zone).</t>
        </is>
      </c>
      <c r="B30">
        <f>IF('02_Warehouse_Locations'!A29="","",'02_Warehouse_Locations'!A29)</f>
        <v/>
      </c>
      <c r="C30">
        <f>IF(B30="","",B30)</f>
        <v/>
      </c>
      <c r="D30" t="inlineStr">
        <is>
          <t>--PALLETS--</t>
        </is>
      </c>
    </row>
    <row r="31">
      <c r="A31" t="inlineStr">
        <is>
          <t>Location label (rack/floor/zone).</t>
        </is>
      </c>
      <c r="B31">
        <f>IF('02_Warehouse_Locations'!A30="","",'02_Warehouse_Locations'!A30)</f>
        <v/>
      </c>
      <c r="C31">
        <f>IF(B31="","",B31)</f>
        <v/>
      </c>
      <c r="D31" t="inlineStr">
        <is>
          <t>--PALLETS--</t>
        </is>
      </c>
    </row>
    <row r="32">
      <c r="A32" t="inlineStr">
        <is>
          <t>Location label (rack/floor/zone).</t>
        </is>
      </c>
      <c r="B32">
        <f>IF('02_Warehouse_Locations'!A31="","",'02_Warehouse_Locations'!A31)</f>
        <v/>
      </c>
      <c r="C32">
        <f>IF(B32="","",B32)</f>
        <v/>
      </c>
      <c r="D32" t="inlineStr">
        <is>
          <t>--PALLETS--</t>
        </is>
      </c>
    </row>
    <row r="33">
      <c r="A33" t="inlineStr">
        <is>
          <t>Location label (rack/floor/zone).</t>
        </is>
      </c>
      <c r="B33">
        <f>IF('02_Warehouse_Locations'!A32="","",'02_Warehouse_Locations'!A32)</f>
        <v/>
      </c>
      <c r="C33">
        <f>IF(B33="","",B33)</f>
        <v/>
      </c>
      <c r="D33" t="inlineStr">
        <is>
          <t>--PALLETS--</t>
        </is>
      </c>
    </row>
    <row r="34">
      <c r="A34" t="inlineStr">
        <is>
          <t>Location label (rack/floor/zone).</t>
        </is>
      </c>
      <c r="B34">
        <f>IF('02_Warehouse_Locations'!A33="","",'02_Warehouse_Locations'!A33)</f>
        <v/>
      </c>
      <c r="C34">
        <f>IF(B34="","",B34)</f>
        <v/>
      </c>
      <c r="D34" t="inlineStr">
        <is>
          <t>--PALLETS--</t>
        </is>
      </c>
    </row>
    <row r="35">
      <c r="A35" t="inlineStr">
        <is>
          <t>Location label (rack/floor/zone).</t>
        </is>
      </c>
      <c r="B35">
        <f>IF('02_Warehouse_Locations'!A34="","",'02_Warehouse_Locations'!A34)</f>
        <v/>
      </c>
      <c r="C35">
        <f>IF(B35="","",B35)</f>
        <v/>
      </c>
      <c r="D35" t="inlineStr">
        <is>
          <t>--PALLETS--</t>
        </is>
      </c>
    </row>
    <row r="36">
      <c r="A36" t="inlineStr">
        <is>
          <t>Location label (rack/floor/zone).</t>
        </is>
      </c>
      <c r="B36">
        <f>IF('02_Warehouse_Locations'!A35="","",'02_Warehouse_Locations'!A35)</f>
        <v/>
      </c>
      <c r="C36">
        <f>IF(B36="","",B36)</f>
        <v/>
      </c>
      <c r="D36" t="inlineStr">
        <is>
          <t>--PALLETS--</t>
        </is>
      </c>
    </row>
    <row r="37">
      <c r="A37" t="inlineStr">
        <is>
          <t>Location label (rack/floor/zone).</t>
        </is>
      </c>
      <c r="B37">
        <f>IF('02_Warehouse_Locations'!A36="","",'02_Warehouse_Locations'!A36)</f>
        <v/>
      </c>
      <c r="C37">
        <f>IF(B37="","",B37)</f>
        <v/>
      </c>
      <c r="D37" t="inlineStr">
        <is>
          <t>--PALLETS--</t>
        </is>
      </c>
    </row>
    <row r="38">
      <c r="A38" t="inlineStr">
        <is>
          <t>Location label (rack/floor/zone).</t>
        </is>
      </c>
      <c r="B38">
        <f>IF('02_Warehouse_Locations'!A37="","",'02_Warehouse_Locations'!A37)</f>
        <v/>
      </c>
      <c r="C38">
        <f>IF(B38="","",B38)</f>
        <v/>
      </c>
      <c r="D38" t="inlineStr">
        <is>
          <t>--PALLETS--</t>
        </is>
      </c>
    </row>
    <row r="39">
      <c r="A39" t="inlineStr">
        <is>
          <t>Location label (rack/floor/zone).</t>
        </is>
      </c>
      <c r="B39">
        <f>IF('02_Warehouse_Locations'!A38="","",'02_Warehouse_Locations'!A38)</f>
        <v/>
      </c>
      <c r="C39">
        <f>IF(B39="","",B39)</f>
        <v/>
      </c>
      <c r="D39" t="inlineStr">
        <is>
          <t>--PALLETS--</t>
        </is>
      </c>
    </row>
    <row r="40">
      <c r="A40" t="inlineStr">
        <is>
          <t>Location label (rack/floor/zone).</t>
        </is>
      </c>
      <c r="B40">
        <f>IF('02_Warehouse_Locations'!A39="","",'02_Warehouse_Locations'!A39)</f>
        <v/>
      </c>
      <c r="C40">
        <f>IF(B40="","",B40)</f>
        <v/>
      </c>
      <c r="D40" t="inlineStr">
        <is>
          <t>--PALLETS--</t>
        </is>
      </c>
    </row>
    <row r="41">
      <c r="A41" t="inlineStr">
        <is>
          <t>Location label (rack/floor/zone).</t>
        </is>
      </c>
      <c r="B41">
        <f>IF('02_Warehouse_Locations'!A40="","",'02_Warehouse_Locations'!A40)</f>
        <v/>
      </c>
      <c r="C41">
        <f>IF(B41="","",B41)</f>
        <v/>
      </c>
      <c r="D41" t="inlineStr">
        <is>
          <t>--PALLETS--</t>
        </is>
      </c>
    </row>
    <row r="42">
      <c r="A42" t="inlineStr">
        <is>
          <t>Location label (rack/floor/zone).</t>
        </is>
      </c>
      <c r="B42">
        <f>IF('02_Warehouse_Locations'!A41="","",'02_Warehouse_Locations'!A41)</f>
        <v/>
      </c>
      <c r="C42">
        <f>IF(B42="","",B42)</f>
        <v/>
      </c>
      <c r="D42" t="inlineStr">
        <is>
          <t>--PALLETS--</t>
        </is>
      </c>
    </row>
    <row r="43">
      <c r="A43" t="inlineStr">
        <is>
          <t>Location label (rack/floor/zone).</t>
        </is>
      </c>
      <c r="B43">
        <f>IF('02_Warehouse_Locations'!A42="","",'02_Warehouse_Locations'!A42)</f>
        <v/>
      </c>
      <c r="C43">
        <f>IF(B43="","",B43)</f>
        <v/>
      </c>
      <c r="D43" t="inlineStr">
        <is>
          <t>--PALLETS--</t>
        </is>
      </c>
    </row>
    <row r="44">
      <c r="A44" t="inlineStr">
        <is>
          <t>Location label (rack/floor/zone).</t>
        </is>
      </c>
      <c r="B44">
        <f>IF('02_Warehouse_Locations'!A43="","",'02_Warehouse_Locations'!A43)</f>
        <v/>
      </c>
      <c r="C44">
        <f>IF(B44="","",B44)</f>
        <v/>
      </c>
      <c r="D44" t="inlineStr">
        <is>
          <t>--PALLETS--</t>
        </is>
      </c>
    </row>
    <row r="45">
      <c r="A45" t="inlineStr">
        <is>
          <t>Location label (rack/floor/zone).</t>
        </is>
      </c>
      <c r="B45">
        <f>IF('02_Warehouse_Locations'!A44="","",'02_Warehouse_Locations'!A44)</f>
        <v/>
      </c>
      <c r="C45">
        <f>IF(B45="","",B45)</f>
        <v/>
      </c>
      <c r="D45" t="inlineStr">
        <is>
          <t>--PALLETS--</t>
        </is>
      </c>
    </row>
    <row r="46">
      <c r="A46" t="inlineStr">
        <is>
          <t>Location label (rack/floor/zone).</t>
        </is>
      </c>
      <c r="B46">
        <f>IF('02_Warehouse_Locations'!A45="","",'02_Warehouse_Locations'!A45)</f>
        <v/>
      </c>
      <c r="C46">
        <f>IF(B46="","",B46)</f>
        <v/>
      </c>
      <c r="D46" t="inlineStr">
        <is>
          <t>--PALLETS--</t>
        </is>
      </c>
    </row>
    <row r="47">
      <c r="A47" t="inlineStr">
        <is>
          <t>Location label (rack/floor/zone).</t>
        </is>
      </c>
      <c r="B47">
        <f>IF('02_Warehouse_Locations'!A46="","",'02_Warehouse_Locations'!A46)</f>
        <v/>
      </c>
      <c r="C47">
        <f>IF(B47="","",B47)</f>
        <v/>
      </c>
      <c r="D47" t="inlineStr">
        <is>
          <t>--PALLETS--</t>
        </is>
      </c>
    </row>
    <row r="48">
      <c r="A48" t="inlineStr">
        <is>
          <t>Location label (rack/floor/zone).</t>
        </is>
      </c>
      <c r="B48">
        <f>IF('02_Warehouse_Locations'!A47="","",'02_Warehouse_Locations'!A47)</f>
        <v/>
      </c>
      <c r="C48">
        <f>IF(B48="","",B48)</f>
        <v/>
      </c>
      <c r="D48" t="inlineStr">
        <is>
          <t>--PALLETS--</t>
        </is>
      </c>
    </row>
    <row r="49">
      <c r="A49" t="inlineStr">
        <is>
          <t>Location label (rack/floor/zone).</t>
        </is>
      </c>
      <c r="B49">
        <f>IF('02_Warehouse_Locations'!A48="","",'02_Warehouse_Locations'!A48)</f>
        <v/>
      </c>
      <c r="C49">
        <f>IF(B49="","",B49)</f>
        <v/>
      </c>
      <c r="D49" t="inlineStr">
        <is>
          <t>--PALLETS--</t>
        </is>
      </c>
    </row>
    <row r="50">
      <c r="A50" t="inlineStr">
        <is>
          <t>Location label (rack/floor/zone).</t>
        </is>
      </c>
      <c r="B50">
        <f>IF('02_Warehouse_Locations'!A49="","",'02_Warehouse_Locations'!A49)</f>
        <v/>
      </c>
      <c r="C50">
        <f>IF(B50="","",B50)</f>
        <v/>
      </c>
      <c r="D50" t="inlineStr">
        <is>
          <t>--PALLETS--</t>
        </is>
      </c>
    </row>
    <row r="51">
      <c r="A51" t="inlineStr">
        <is>
          <t>Location label (rack/floor/zone).</t>
        </is>
      </c>
      <c r="B51">
        <f>IF('02_Warehouse_Locations'!A50="","",'02_Warehouse_Locations'!A50)</f>
        <v/>
      </c>
      <c r="C51">
        <f>IF(B51="","",B51)</f>
        <v/>
      </c>
      <c r="D51" t="inlineStr">
        <is>
          <t>--PALLETS--</t>
        </is>
      </c>
    </row>
    <row r="52">
      <c r="A52" t="inlineStr">
        <is>
          <t>Location label (rack/floor/zone).</t>
        </is>
      </c>
      <c r="B52">
        <f>IF('02_Warehouse_Locations'!A51="","",'02_Warehouse_Locations'!A51)</f>
        <v/>
      </c>
      <c r="C52">
        <f>IF(B52="","",B52)</f>
        <v/>
      </c>
      <c r="D52" t="inlineStr">
        <is>
          <t>--PALLETS--</t>
        </is>
      </c>
    </row>
    <row r="53">
      <c r="A53" t="inlineStr">
        <is>
          <t>Location label (rack/floor/zone).</t>
        </is>
      </c>
      <c r="B53">
        <f>IF('02_Warehouse_Locations'!A52="","",'02_Warehouse_Locations'!A52)</f>
        <v/>
      </c>
      <c r="C53">
        <f>IF(B53="","",B53)</f>
        <v/>
      </c>
      <c r="D53" t="inlineStr">
        <is>
          <t>--PALLETS--</t>
        </is>
      </c>
    </row>
    <row r="54">
      <c r="A54" t="inlineStr">
        <is>
          <t>Location label (rack/floor/zone).</t>
        </is>
      </c>
      <c r="B54">
        <f>IF('02_Warehouse_Locations'!A53="","",'02_Warehouse_Locations'!A53)</f>
        <v/>
      </c>
      <c r="C54">
        <f>IF(B54="","",B54)</f>
        <v/>
      </c>
      <c r="D54" t="inlineStr">
        <is>
          <t>--PALLETS--</t>
        </is>
      </c>
    </row>
    <row r="55">
      <c r="A55" t="inlineStr">
        <is>
          <t>Location label (rack/floor/zone).</t>
        </is>
      </c>
      <c r="B55">
        <f>IF('02_Warehouse_Locations'!A54="","",'02_Warehouse_Locations'!A54)</f>
        <v/>
      </c>
      <c r="C55">
        <f>IF(B55="","",B55)</f>
        <v/>
      </c>
      <c r="D55" t="inlineStr">
        <is>
          <t>--PALLETS--</t>
        </is>
      </c>
    </row>
    <row r="56">
      <c r="A56" t="inlineStr">
        <is>
          <t>Location label (rack/floor/zone).</t>
        </is>
      </c>
      <c r="B56">
        <f>IF('02_Warehouse_Locations'!A55="","",'02_Warehouse_Locations'!A55)</f>
        <v/>
      </c>
      <c r="C56">
        <f>IF(B56="","",B56)</f>
        <v/>
      </c>
      <c r="D56" t="inlineStr">
        <is>
          <t>--PALLETS--</t>
        </is>
      </c>
    </row>
    <row r="57">
      <c r="A57" t="inlineStr">
        <is>
          <t>Location label (rack/floor/zone).</t>
        </is>
      </c>
      <c r="B57">
        <f>IF('02_Warehouse_Locations'!A56="","",'02_Warehouse_Locations'!A56)</f>
        <v/>
      </c>
      <c r="C57">
        <f>IF(B57="","",B57)</f>
        <v/>
      </c>
      <c r="D57" t="inlineStr">
        <is>
          <t>--PALLETS--</t>
        </is>
      </c>
    </row>
    <row r="58">
      <c r="A58" t="inlineStr">
        <is>
          <t>Location label (rack/floor/zone).</t>
        </is>
      </c>
      <c r="B58">
        <f>IF('02_Warehouse_Locations'!A57="","",'02_Warehouse_Locations'!A57)</f>
        <v/>
      </c>
      <c r="C58">
        <f>IF(B58="","",B58)</f>
        <v/>
      </c>
      <c r="D58" t="inlineStr">
        <is>
          <t>--PALLETS--</t>
        </is>
      </c>
    </row>
    <row r="59">
      <c r="A59" t="inlineStr">
        <is>
          <t>Location label (rack/floor/zone).</t>
        </is>
      </c>
      <c r="B59">
        <f>IF('02_Warehouse_Locations'!A58="","",'02_Warehouse_Locations'!A58)</f>
        <v/>
      </c>
      <c r="C59">
        <f>IF(B59="","",B59)</f>
        <v/>
      </c>
      <c r="D59" t="inlineStr">
        <is>
          <t>--PALLETS--</t>
        </is>
      </c>
    </row>
    <row r="60">
      <c r="A60" t="inlineStr">
        <is>
          <t>Location label (rack/floor/zone).</t>
        </is>
      </c>
      <c r="B60">
        <f>IF('02_Warehouse_Locations'!A59="","",'02_Warehouse_Locations'!A59)</f>
        <v/>
      </c>
      <c r="C60">
        <f>IF(B60="","",B60)</f>
        <v/>
      </c>
      <c r="D60" t="inlineStr">
        <is>
          <t>--PALLETS--</t>
        </is>
      </c>
    </row>
    <row r="61">
      <c r="A61" t="inlineStr">
        <is>
          <t>Location label (rack/floor/zone).</t>
        </is>
      </c>
      <c r="B61">
        <f>IF('02_Warehouse_Locations'!A60="","",'02_Warehouse_Locations'!A60)</f>
        <v/>
      </c>
      <c r="C61">
        <f>IF(B61="","",B61)</f>
        <v/>
      </c>
      <c r="D61" t="inlineStr">
        <is>
          <t>--PALLETS--</t>
        </is>
      </c>
    </row>
    <row r="62">
      <c r="A62" t="inlineStr">
        <is>
          <t>Location label (rack/floor/zone).</t>
        </is>
      </c>
      <c r="B62">
        <f>IF('02_Warehouse_Locations'!A61="","",'02_Warehouse_Locations'!A61)</f>
        <v/>
      </c>
      <c r="C62">
        <f>IF(B62="","",B62)</f>
        <v/>
      </c>
      <c r="D62" t="inlineStr">
        <is>
          <t>--PALLETS--</t>
        </is>
      </c>
    </row>
    <row r="63">
      <c r="A63" t="inlineStr">
        <is>
          <t>Location label (rack/floor/zone).</t>
        </is>
      </c>
      <c r="B63">
        <f>IF('02_Warehouse_Locations'!A62="","",'02_Warehouse_Locations'!A62)</f>
        <v/>
      </c>
      <c r="C63">
        <f>IF(B63="","",B63)</f>
        <v/>
      </c>
      <c r="D63" t="inlineStr">
        <is>
          <t>--PALLETS--</t>
        </is>
      </c>
    </row>
    <row r="64">
      <c r="A64" t="inlineStr">
        <is>
          <t>Location label (rack/floor/zone).</t>
        </is>
      </c>
      <c r="B64">
        <f>IF('02_Warehouse_Locations'!A63="","",'02_Warehouse_Locations'!A63)</f>
        <v/>
      </c>
      <c r="C64">
        <f>IF(B64="","",B64)</f>
        <v/>
      </c>
      <c r="D64" t="inlineStr">
        <is>
          <t>--PALLETS--</t>
        </is>
      </c>
    </row>
    <row r="65">
      <c r="A65" t="inlineStr">
        <is>
          <t>Location label (rack/floor/zone).</t>
        </is>
      </c>
      <c r="B65">
        <f>IF('02_Warehouse_Locations'!A64="","",'02_Warehouse_Locations'!A64)</f>
        <v/>
      </c>
      <c r="C65">
        <f>IF(B65="","",B65)</f>
        <v/>
      </c>
      <c r="D65" t="inlineStr">
        <is>
          <t>--PALLETS--</t>
        </is>
      </c>
    </row>
    <row r="66">
      <c r="A66" t="inlineStr">
        <is>
          <t>Location label (rack/floor/zone).</t>
        </is>
      </c>
      <c r="B66">
        <f>IF('02_Warehouse_Locations'!A65="","",'02_Warehouse_Locations'!A65)</f>
        <v/>
      </c>
      <c r="C66">
        <f>IF(B66="","",B66)</f>
        <v/>
      </c>
      <c r="D66" t="inlineStr">
        <is>
          <t>--PALLETS--</t>
        </is>
      </c>
    </row>
    <row r="67">
      <c r="A67" t="inlineStr">
        <is>
          <t>Location label (rack/floor/zone).</t>
        </is>
      </c>
      <c r="B67">
        <f>IF('02_Warehouse_Locations'!A66="","",'02_Warehouse_Locations'!A66)</f>
        <v/>
      </c>
      <c r="C67">
        <f>IF(B67="","",B67)</f>
        <v/>
      </c>
      <c r="D67" t="inlineStr">
        <is>
          <t>--PALLETS--</t>
        </is>
      </c>
    </row>
    <row r="68">
      <c r="A68" t="inlineStr">
        <is>
          <t>Location label (rack/floor/zone).</t>
        </is>
      </c>
      <c r="B68">
        <f>IF('02_Warehouse_Locations'!A67="","",'02_Warehouse_Locations'!A67)</f>
        <v/>
      </c>
      <c r="C68">
        <f>IF(B68="","",B68)</f>
        <v/>
      </c>
      <c r="D68" t="inlineStr">
        <is>
          <t>--PALLETS--</t>
        </is>
      </c>
    </row>
    <row r="69">
      <c r="A69" t="inlineStr">
        <is>
          <t>Location label (rack/floor/zone).</t>
        </is>
      </c>
      <c r="B69">
        <f>IF('02_Warehouse_Locations'!A68="","",'02_Warehouse_Locations'!A68)</f>
        <v/>
      </c>
      <c r="C69">
        <f>IF(B69="","",B69)</f>
        <v/>
      </c>
      <c r="D69" t="inlineStr">
        <is>
          <t>--PALLETS--</t>
        </is>
      </c>
    </row>
    <row r="70">
      <c r="A70" t="inlineStr">
        <is>
          <t>Location label (rack/floor/zone).</t>
        </is>
      </c>
      <c r="B70">
        <f>IF('02_Warehouse_Locations'!A69="","",'02_Warehouse_Locations'!A69)</f>
        <v/>
      </c>
      <c r="C70">
        <f>IF(B70="","",B70)</f>
        <v/>
      </c>
      <c r="D70" t="inlineStr">
        <is>
          <t>--PALLETS--</t>
        </is>
      </c>
    </row>
    <row r="71">
      <c r="A71" t="inlineStr">
        <is>
          <t>Location label (rack/floor/zone).</t>
        </is>
      </c>
      <c r="B71">
        <f>IF('02_Warehouse_Locations'!A70="","",'02_Warehouse_Locations'!A70)</f>
        <v/>
      </c>
      <c r="C71">
        <f>IF(B71="","",B71)</f>
        <v/>
      </c>
      <c r="D71" t="inlineStr">
        <is>
          <t>--PALLETS--</t>
        </is>
      </c>
    </row>
    <row r="72">
      <c r="A72" t="inlineStr">
        <is>
          <t>Location label (rack/floor/zone).</t>
        </is>
      </c>
      <c r="B72">
        <f>IF('02_Warehouse_Locations'!A71="","",'02_Warehouse_Locations'!A71)</f>
        <v/>
      </c>
      <c r="C72">
        <f>IF(B72="","",B72)</f>
        <v/>
      </c>
      <c r="D72" t="inlineStr">
        <is>
          <t>--PALLETS--</t>
        </is>
      </c>
    </row>
    <row r="73">
      <c r="A73" t="inlineStr">
        <is>
          <t>Location label (rack/floor/zone).</t>
        </is>
      </c>
      <c r="B73">
        <f>IF('02_Warehouse_Locations'!A72="","",'02_Warehouse_Locations'!A72)</f>
        <v/>
      </c>
      <c r="C73">
        <f>IF(B73="","",B73)</f>
        <v/>
      </c>
      <c r="D73" t="inlineStr">
        <is>
          <t>--PALLETS--</t>
        </is>
      </c>
    </row>
    <row r="74">
      <c r="A74" t="inlineStr">
        <is>
          <t>Location label (rack/floor/zone).</t>
        </is>
      </c>
      <c r="B74">
        <f>IF('02_Warehouse_Locations'!A73="","",'02_Warehouse_Locations'!A73)</f>
        <v/>
      </c>
      <c r="C74">
        <f>IF(B74="","",B74)</f>
        <v/>
      </c>
      <c r="D74" t="inlineStr">
        <is>
          <t>--PALLETS--</t>
        </is>
      </c>
    </row>
    <row r="75">
      <c r="A75" t="inlineStr">
        <is>
          <t>Location label (rack/floor/zone).</t>
        </is>
      </c>
      <c r="B75">
        <f>IF('02_Warehouse_Locations'!A74="","",'02_Warehouse_Locations'!A74)</f>
        <v/>
      </c>
      <c r="C75">
        <f>IF(B75="","",B75)</f>
        <v/>
      </c>
      <c r="D75" t="inlineStr">
        <is>
          <t>--PALLETS--</t>
        </is>
      </c>
    </row>
    <row r="76">
      <c r="A76" t="inlineStr">
        <is>
          <t>Location label (rack/floor/zone).</t>
        </is>
      </c>
      <c r="B76">
        <f>IF('02_Warehouse_Locations'!A75="","",'02_Warehouse_Locations'!A75)</f>
        <v/>
      </c>
      <c r="C76">
        <f>IF(B76="","",B76)</f>
        <v/>
      </c>
      <c r="D76" t="inlineStr">
        <is>
          <t>--PALLETS--</t>
        </is>
      </c>
    </row>
    <row r="77">
      <c r="A77" t="inlineStr">
        <is>
          <t>Location label (rack/floor/zone).</t>
        </is>
      </c>
      <c r="B77">
        <f>IF('02_Warehouse_Locations'!A76="","",'02_Warehouse_Locations'!A76)</f>
        <v/>
      </c>
      <c r="C77">
        <f>IF(B77="","",B77)</f>
        <v/>
      </c>
      <c r="D77" t="inlineStr">
        <is>
          <t>--PALLETS--</t>
        </is>
      </c>
    </row>
    <row r="78">
      <c r="A78" t="inlineStr">
        <is>
          <t>Location label (rack/floor/zone).</t>
        </is>
      </c>
      <c r="B78">
        <f>IF('02_Warehouse_Locations'!A77="","",'02_Warehouse_Locations'!A77)</f>
        <v/>
      </c>
      <c r="C78">
        <f>IF(B78="","",B78)</f>
        <v/>
      </c>
      <c r="D78" t="inlineStr">
        <is>
          <t>--PALLETS--</t>
        </is>
      </c>
    </row>
    <row r="79">
      <c r="A79" t="inlineStr">
        <is>
          <t>Location label (rack/floor/zone).</t>
        </is>
      </c>
      <c r="B79">
        <f>IF('02_Warehouse_Locations'!A78="","",'02_Warehouse_Locations'!A78)</f>
        <v/>
      </c>
      <c r="C79">
        <f>IF(B79="","",B79)</f>
        <v/>
      </c>
      <c r="D79" t="inlineStr">
        <is>
          <t>--PALLETS--</t>
        </is>
      </c>
    </row>
    <row r="80">
      <c r="A80" t="inlineStr">
        <is>
          <t>Location label (rack/floor/zone).</t>
        </is>
      </c>
      <c r="B80">
        <f>IF('02_Warehouse_Locations'!A79="","",'02_Warehouse_Locations'!A79)</f>
        <v/>
      </c>
      <c r="C80">
        <f>IF(B80="","",B80)</f>
        <v/>
      </c>
      <c r="D80" t="inlineStr">
        <is>
          <t>--PALLETS--</t>
        </is>
      </c>
    </row>
    <row r="81">
      <c r="A81" t="inlineStr">
        <is>
          <t>Location label (rack/floor/zone).</t>
        </is>
      </c>
      <c r="B81">
        <f>IF('02_Warehouse_Locations'!A80="","",'02_Warehouse_Locations'!A80)</f>
        <v/>
      </c>
      <c r="C81">
        <f>IF(B81="","",B81)</f>
        <v/>
      </c>
      <c r="D81" t="inlineStr">
        <is>
          <t>--PALLETS--</t>
        </is>
      </c>
    </row>
    <row r="82">
      <c r="A82" t="inlineStr">
        <is>
          <t>Location label (rack/floor/zone).</t>
        </is>
      </c>
      <c r="B82">
        <f>IF('02_Warehouse_Locations'!A81="","",'02_Warehouse_Locations'!A81)</f>
        <v/>
      </c>
      <c r="C82">
        <f>IF(B82="","",B82)</f>
        <v/>
      </c>
      <c r="D82" t="inlineStr">
        <is>
          <t>--PALLETS--</t>
        </is>
      </c>
    </row>
    <row r="83">
      <c r="A83" t="inlineStr">
        <is>
          <t>Location label (rack/floor/zone).</t>
        </is>
      </c>
      <c r="B83">
        <f>IF('02_Warehouse_Locations'!A82="","",'02_Warehouse_Locations'!A82)</f>
        <v/>
      </c>
      <c r="C83">
        <f>IF(B83="","",B83)</f>
        <v/>
      </c>
      <c r="D83" t="inlineStr">
        <is>
          <t>--PALLETS--</t>
        </is>
      </c>
    </row>
    <row r="84">
      <c r="A84" t="inlineStr">
        <is>
          <t>Location label (rack/floor/zone).</t>
        </is>
      </c>
      <c r="B84">
        <f>IF('02_Warehouse_Locations'!A83="","",'02_Warehouse_Locations'!A83)</f>
        <v/>
      </c>
      <c r="C84">
        <f>IF(B84="","",B84)</f>
        <v/>
      </c>
      <c r="D84" t="inlineStr">
        <is>
          <t>--PALLETS--</t>
        </is>
      </c>
    </row>
    <row r="85">
      <c r="A85" t="inlineStr">
        <is>
          <t>Location label (rack/floor/zone).</t>
        </is>
      </c>
      <c r="B85">
        <f>IF('02_Warehouse_Locations'!A84="","",'02_Warehouse_Locations'!A84)</f>
        <v/>
      </c>
      <c r="C85">
        <f>IF(B85="","",B85)</f>
        <v/>
      </c>
      <c r="D85" t="inlineStr">
        <is>
          <t>--PALLETS--</t>
        </is>
      </c>
    </row>
    <row r="86">
      <c r="A86" t="inlineStr">
        <is>
          <t>Location label (rack/floor/zone).</t>
        </is>
      </c>
      <c r="B86">
        <f>IF('02_Warehouse_Locations'!A85="","",'02_Warehouse_Locations'!A85)</f>
        <v/>
      </c>
      <c r="C86">
        <f>IF(B86="","",B86)</f>
        <v/>
      </c>
      <c r="D86" t="inlineStr">
        <is>
          <t>--PALLETS--</t>
        </is>
      </c>
    </row>
    <row r="87">
      <c r="A87" t="inlineStr">
        <is>
          <t>Location label (rack/floor/zone).</t>
        </is>
      </c>
      <c r="B87">
        <f>IF('02_Warehouse_Locations'!A86="","",'02_Warehouse_Locations'!A86)</f>
        <v/>
      </c>
      <c r="C87">
        <f>IF(B87="","",B87)</f>
        <v/>
      </c>
      <c r="D87" t="inlineStr">
        <is>
          <t>--PALLETS--</t>
        </is>
      </c>
    </row>
    <row r="88">
      <c r="A88" t="inlineStr">
        <is>
          <t>Location label (rack/floor/zone).</t>
        </is>
      </c>
      <c r="B88">
        <f>IF('02_Warehouse_Locations'!A87="","",'02_Warehouse_Locations'!A87)</f>
        <v/>
      </c>
      <c r="C88">
        <f>IF(B88="","",B88)</f>
        <v/>
      </c>
      <c r="D88" t="inlineStr">
        <is>
          <t>--PALLETS--</t>
        </is>
      </c>
    </row>
    <row r="89">
      <c r="A89" t="inlineStr">
        <is>
          <t>Location label (rack/floor/zone).</t>
        </is>
      </c>
      <c r="B89">
        <f>IF('02_Warehouse_Locations'!A88="","",'02_Warehouse_Locations'!A88)</f>
        <v/>
      </c>
      <c r="C89">
        <f>IF(B89="","",B89)</f>
        <v/>
      </c>
      <c r="D89" t="inlineStr">
        <is>
          <t>--PALLETS--</t>
        </is>
      </c>
    </row>
    <row r="90">
      <c r="A90" t="inlineStr">
        <is>
          <t>Location label (rack/floor/zone).</t>
        </is>
      </c>
      <c r="B90">
        <f>IF('02_Warehouse_Locations'!A89="","",'02_Warehouse_Locations'!A89)</f>
        <v/>
      </c>
      <c r="C90">
        <f>IF(B90="","",B90)</f>
        <v/>
      </c>
      <c r="D90" t="inlineStr">
        <is>
          <t>--PALLETS--</t>
        </is>
      </c>
    </row>
    <row r="91">
      <c r="A91" t="inlineStr">
        <is>
          <t>Location label (rack/floor/zone).</t>
        </is>
      </c>
      <c r="B91">
        <f>IF('02_Warehouse_Locations'!A90="","",'02_Warehouse_Locations'!A90)</f>
        <v/>
      </c>
      <c r="C91">
        <f>IF(B91="","",B91)</f>
        <v/>
      </c>
      <c r="D91" t="inlineStr">
        <is>
          <t>--PALLETS--</t>
        </is>
      </c>
    </row>
    <row r="92">
      <c r="A92" t="inlineStr">
        <is>
          <t>Location label (rack/floor/zone).</t>
        </is>
      </c>
      <c r="B92">
        <f>IF('02_Warehouse_Locations'!A91="","",'02_Warehouse_Locations'!A91)</f>
        <v/>
      </c>
      <c r="C92">
        <f>IF(B92="","",B92)</f>
        <v/>
      </c>
      <c r="D92" t="inlineStr">
        <is>
          <t>--PALLETS--</t>
        </is>
      </c>
    </row>
    <row r="93">
      <c r="A93" t="inlineStr">
        <is>
          <t>Location label (rack/floor/zone).</t>
        </is>
      </c>
      <c r="B93">
        <f>IF('02_Warehouse_Locations'!A92="","",'02_Warehouse_Locations'!A92)</f>
        <v/>
      </c>
      <c r="C93">
        <f>IF(B93="","",B93)</f>
        <v/>
      </c>
      <c r="D93" t="inlineStr">
        <is>
          <t>--PALLETS--</t>
        </is>
      </c>
    </row>
    <row r="94">
      <c r="A94" t="inlineStr">
        <is>
          <t>Location label (rack/floor/zone).</t>
        </is>
      </c>
      <c r="B94">
        <f>IF('02_Warehouse_Locations'!A93="","",'02_Warehouse_Locations'!A93)</f>
        <v/>
      </c>
      <c r="C94">
        <f>IF(B94="","",B94)</f>
        <v/>
      </c>
      <c r="D94" t="inlineStr">
        <is>
          <t>--PALLETS--</t>
        </is>
      </c>
    </row>
    <row r="95">
      <c r="A95" t="inlineStr">
        <is>
          <t>Location label (rack/floor/zone).</t>
        </is>
      </c>
      <c r="B95">
        <f>IF('02_Warehouse_Locations'!A94="","",'02_Warehouse_Locations'!A94)</f>
        <v/>
      </c>
      <c r="C95">
        <f>IF(B95="","",B95)</f>
        <v/>
      </c>
      <c r="D95" t="inlineStr">
        <is>
          <t>--PALLETS--</t>
        </is>
      </c>
    </row>
    <row r="96">
      <c r="A96" t="inlineStr">
        <is>
          <t>Location label (rack/floor/zone).</t>
        </is>
      </c>
      <c r="B96">
        <f>IF('02_Warehouse_Locations'!A95="","",'02_Warehouse_Locations'!A95)</f>
        <v/>
      </c>
      <c r="C96">
        <f>IF(B96="","",B96)</f>
        <v/>
      </c>
      <c r="D96" t="inlineStr">
        <is>
          <t>--PALLETS--</t>
        </is>
      </c>
    </row>
    <row r="97">
      <c r="A97" t="inlineStr">
        <is>
          <t>Location label (rack/floor/zone).</t>
        </is>
      </c>
      <c r="B97">
        <f>IF('02_Warehouse_Locations'!A96="","",'02_Warehouse_Locations'!A96)</f>
        <v/>
      </c>
      <c r="C97">
        <f>IF(B97="","",B97)</f>
        <v/>
      </c>
      <c r="D97" t="inlineStr">
        <is>
          <t>--PALLETS--</t>
        </is>
      </c>
    </row>
    <row r="98">
      <c r="A98" t="inlineStr">
        <is>
          <t>Location label (rack/floor/zone).</t>
        </is>
      </c>
      <c r="B98">
        <f>IF('02_Warehouse_Locations'!A97="","",'02_Warehouse_Locations'!A97)</f>
        <v/>
      </c>
      <c r="C98">
        <f>IF(B98="","",B98)</f>
        <v/>
      </c>
      <c r="D98" t="inlineStr">
        <is>
          <t>--PALLETS--</t>
        </is>
      </c>
    </row>
    <row r="99">
      <c r="A99" t="inlineStr">
        <is>
          <t>Location label (rack/floor/zone).</t>
        </is>
      </c>
      <c r="B99">
        <f>IF('02_Warehouse_Locations'!A98="","",'02_Warehouse_Locations'!A98)</f>
        <v/>
      </c>
      <c r="C99">
        <f>IF(B99="","",B99)</f>
        <v/>
      </c>
      <c r="D99" t="inlineStr">
        <is>
          <t>--PALLETS--</t>
        </is>
      </c>
    </row>
    <row r="100">
      <c r="A100" t="inlineStr">
        <is>
          <t>Location label (rack/floor/zone).</t>
        </is>
      </c>
      <c r="B100">
        <f>IF('02_Warehouse_Locations'!A99="","",'02_Warehouse_Locations'!A99)</f>
        <v/>
      </c>
      <c r="C100">
        <f>IF(B100="","",B100)</f>
        <v/>
      </c>
      <c r="D100" t="inlineStr">
        <is>
          <t>--PALLETS--</t>
        </is>
      </c>
    </row>
    <row r="101">
      <c r="A101" t="inlineStr">
        <is>
          <t>Location label (rack/floor/zone).</t>
        </is>
      </c>
      <c r="B101">
        <f>IF('02_Warehouse_Locations'!A100="","",'02_Warehouse_Locations'!A100)</f>
        <v/>
      </c>
      <c r="C101">
        <f>IF(B101="","",B101)</f>
        <v/>
      </c>
      <c r="D101" t="inlineStr">
        <is>
          <t>--PALLETS--</t>
        </is>
      </c>
    </row>
    <row r="102">
      <c r="A102" t="inlineStr">
        <is>
          <t>Location label (rack/floor/zone).</t>
        </is>
      </c>
      <c r="B102">
        <f>IF('02_Warehouse_Locations'!A101="","",'02_Warehouse_Locations'!A101)</f>
        <v/>
      </c>
      <c r="C102">
        <f>IF(B102="","",B102)</f>
        <v/>
      </c>
      <c r="D102" t="inlineStr">
        <is>
          <t>--PALLETS--</t>
        </is>
      </c>
    </row>
    <row r="103">
      <c r="A103" t="inlineStr">
        <is>
          <t>Location label (rack/floor/zone).</t>
        </is>
      </c>
      <c r="B103">
        <f>IF('02_Warehouse_Locations'!A102="","",'02_Warehouse_Locations'!A102)</f>
        <v/>
      </c>
      <c r="C103">
        <f>IF(B103="","",B103)</f>
        <v/>
      </c>
      <c r="D103" t="inlineStr">
        <is>
          <t>--PALLETS--</t>
        </is>
      </c>
    </row>
    <row r="104">
      <c r="A104" t="inlineStr">
        <is>
          <t>Location label (rack/floor/zone).</t>
        </is>
      </c>
      <c r="B104">
        <f>IF('02_Warehouse_Locations'!A103="","",'02_Warehouse_Locations'!A103)</f>
        <v/>
      </c>
      <c r="C104">
        <f>IF(B104="","",B104)</f>
        <v/>
      </c>
      <c r="D104" t="inlineStr">
        <is>
          <t>--PALLETS--</t>
        </is>
      </c>
    </row>
    <row r="105">
      <c r="A105" t="inlineStr">
        <is>
          <t>Location label (rack/floor/zone).</t>
        </is>
      </c>
      <c r="B105">
        <f>IF('02_Warehouse_Locations'!A104="","",'02_Warehouse_Locations'!A104)</f>
        <v/>
      </c>
      <c r="C105">
        <f>IF(B105="","",B105)</f>
        <v/>
      </c>
      <c r="D105" t="inlineStr">
        <is>
          <t>--PALLETS--</t>
        </is>
      </c>
    </row>
    <row r="106">
      <c r="A106" t="inlineStr">
        <is>
          <t>Location label (rack/floor/zone).</t>
        </is>
      </c>
      <c r="B106">
        <f>IF('02_Warehouse_Locations'!A105="","",'02_Warehouse_Locations'!A105)</f>
        <v/>
      </c>
      <c r="C106">
        <f>IF(B106="","",B106)</f>
        <v/>
      </c>
      <c r="D106" t="inlineStr">
        <is>
          <t>--PALLETS--</t>
        </is>
      </c>
    </row>
    <row r="107">
      <c r="A107" t="inlineStr">
        <is>
          <t>Location label (rack/floor/zone).</t>
        </is>
      </c>
      <c r="B107">
        <f>IF('02_Warehouse_Locations'!A106="","",'02_Warehouse_Locations'!A106)</f>
        <v/>
      </c>
      <c r="C107">
        <f>IF(B107="","",B107)</f>
        <v/>
      </c>
      <c r="D107" t="inlineStr">
        <is>
          <t>--PALLETS--</t>
        </is>
      </c>
    </row>
    <row r="108">
      <c r="A108" t="inlineStr">
        <is>
          <t>Location label (rack/floor/zone).</t>
        </is>
      </c>
      <c r="B108">
        <f>IF('02_Warehouse_Locations'!A107="","",'02_Warehouse_Locations'!A107)</f>
        <v/>
      </c>
      <c r="C108">
        <f>IF(B108="","",B108)</f>
        <v/>
      </c>
      <c r="D108" t="inlineStr">
        <is>
          <t>--PALLETS--</t>
        </is>
      </c>
    </row>
    <row r="109">
      <c r="A109" t="inlineStr">
        <is>
          <t>Location label (rack/floor/zone).</t>
        </is>
      </c>
      <c r="B109">
        <f>IF('02_Warehouse_Locations'!A108="","",'02_Warehouse_Locations'!A108)</f>
        <v/>
      </c>
      <c r="C109">
        <f>IF(B109="","",B109)</f>
        <v/>
      </c>
      <c r="D109" t="inlineStr">
        <is>
          <t>--PALLETS--</t>
        </is>
      </c>
    </row>
    <row r="110">
      <c r="A110" t="inlineStr">
        <is>
          <t>Location label (rack/floor/zone).</t>
        </is>
      </c>
      <c r="B110">
        <f>IF('02_Warehouse_Locations'!A109="","",'02_Warehouse_Locations'!A109)</f>
        <v/>
      </c>
      <c r="C110">
        <f>IF(B110="","",B110)</f>
        <v/>
      </c>
      <c r="D110" t="inlineStr">
        <is>
          <t>--PALLETS--</t>
        </is>
      </c>
    </row>
    <row r="111">
      <c r="A111" t="inlineStr">
        <is>
          <t>Location label (rack/floor/zone).</t>
        </is>
      </c>
      <c r="B111">
        <f>IF('02_Warehouse_Locations'!A110="","",'02_Warehouse_Locations'!A110)</f>
        <v/>
      </c>
      <c r="C111">
        <f>IF(B111="","",B111)</f>
        <v/>
      </c>
      <c r="D111" t="inlineStr">
        <is>
          <t>--PALLETS--</t>
        </is>
      </c>
    </row>
    <row r="112">
      <c r="A112" t="inlineStr">
        <is>
          <t>Location label (rack/floor/zone).</t>
        </is>
      </c>
      <c r="B112">
        <f>IF('02_Warehouse_Locations'!A111="","",'02_Warehouse_Locations'!A111)</f>
        <v/>
      </c>
      <c r="C112">
        <f>IF(B112="","",B112)</f>
        <v/>
      </c>
      <c r="D112" t="inlineStr">
        <is>
          <t>--PALLETS--</t>
        </is>
      </c>
    </row>
    <row r="113">
      <c r="A113" t="inlineStr">
        <is>
          <t>Location label (rack/floor/zone).</t>
        </is>
      </c>
      <c r="B113">
        <f>IF('02_Warehouse_Locations'!A112="","",'02_Warehouse_Locations'!A112)</f>
        <v/>
      </c>
      <c r="C113">
        <f>IF(B113="","",B113)</f>
        <v/>
      </c>
      <c r="D113" t="inlineStr">
        <is>
          <t>--PALLETS--</t>
        </is>
      </c>
    </row>
    <row r="114">
      <c r="A114" t="inlineStr">
        <is>
          <t>Location label (rack/floor/zone).</t>
        </is>
      </c>
      <c r="B114">
        <f>IF('02_Warehouse_Locations'!A113="","",'02_Warehouse_Locations'!A113)</f>
        <v/>
      </c>
      <c r="C114">
        <f>IF(B114="","",B114)</f>
        <v/>
      </c>
      <c r="D114" t="inlineStr">
        <is>
          <t>--PALLETS--</t>
        </is>
      </c>
    </row>
    <row r="115">
      <c r="A115" t="inlineStr">
        <is>
          <t>Location label (rack/floor/zone).</t>
        </is>
      </c>
      <c r="B115">
        <f>IF('02_Warehouse_Locations'!A114="","",'02_Warehouse_Locations'!A114)</f>
        <v/>
      </c>
      <c r="C115">
        <f>IF(B115="","",B115)</f>
        <v/>
      </c>
      <c r="D115" t="inlineStr">
        <is>
          <t>--PALLETS--</t>
        </is>
      </c>
    </row>
    <row r="116">
      <c r="A116" t="inlineStr">
        <is>
          <t>Location label (rack/floor/zone).</t>
        </is>
      </c>
      <c r="B116">
        <f>IF('02_Warehouse_Locations'!A115="","",'02_Warehouse_Locations'!A115)</f>
        <v/>
      </c>
      <c r="C116">
        <f>IF(B116="","",B116)</f>
        <v/>
      </c>
      <c r="D116" t="inlineStr">
        <is>
          <t>--PALLETS--</t>
        </is>
      </c>
    </row>
    <row r="117">
      <c r="A117" t="inlineStr">
        <is>
          <t>Location label (rack/floor/zone).</t>
        </is>
      </c>
      <c r="B117">
        <f>IF('02_Warehouse_Locations'!A116="","",'02_Warehouse_Locations'!A116)</f>
        <v/>
      </c>
      <c r="C117">
        <f>IF(B117="","",B117)</f>
        <v/>
      </c>
      <c r="D117" t="inlineStr">
        <is>
          <t>--PALLETS--</t>
        </is>
      </c>
    </row>
    <row r="118">
      <c r="A118" t="inlineStr">
        <is>
          <t>Location label (rack/floor/zone).</t>
        </is>
      </c>
      <c r="B118">
        <f>IF('02_Warehouse_Locations'!A117="","",'02_Warehouse_Locations'!A117)</f>
        <v/>
      </c>
      <c r="C118">
        <f>IF(B118="","",B118)</f>
        <v/>
      </c>
      <c r="D118" t="inlineStr">
        <is>
          <t>--PALLETS--</t>
        </is>
      </c>
    </row>
    <row r="119">
      <c r="A119" t="inlineStr">
        <is>
          <t>Location label (rack/floor/zone).</t>
        </is>
      </c>
      <c r="B119">
        <f>IF('02_Warehouse_Locations'!A118="","",'02_Warehouse_Locations'!A118)</f>
        <v/>
      </c>
      <c r="C119">
        <f>IF(B119="","",B119)</f>
        <v/>
      </c>
      <c r="D119" t="inlineStr">
        <is>
          <t>--PALLETS--</t>
        </is>
      </c>
    </row>
    <row r="120">
      <c r="A120" t="inlineStr">
        <is>
          <t>Location label (rack/floor/zone).</t>
        </is>
      </c>
      <c r="B120">
        <f>IF('02_Warehouse_Locations'!A119="","",'02_Warehouse_Locations'!A119)</f>
        <v/>
      </c>
      <c r="C120">
        <f>IF(B120="","",B120)</f>
        <v/>
      </c>
      <c r="D120" t="inlineStr">
        <is>
          <t>--PALLETS--</t>
        </is>
      </c>
    </row>
    <row r="121">
      <c r="A121" t="inlineStr">
        <is>
          <t>Location label (rack/floor/zone).</t>
        </is>
      </c>
      <c r="B121">
        <f>IF('02_Warehouse_Locations'!A120="","",'02_Warehouse_Locations'!A120)</f>
        <v/>
      </c>
      <c r="C121">
        <f>IF(B121="","",B121)</f>
        <v/>
      </c>
      <c r="D121" t="inlineStr">
        <is>
          <t>--PALLETS--</t>
        </is>
      </c>
    </row>
    <row r="122">
      <c r="A122" t="inlineStr">
        <is>
          <t>Location label (rack/floor/zone).</t>
        </is>
      </c>
      <c r="B122">
        <f>IF('02_Warehouse_Locations'!A121="","",'02_Warehouse_Locations'!A121)</f>
        <v/>
      </c>
      <c r="C122">
        <f>IF(B122="","",B122)</f>
        <v/>
      </c>
      <c r="D122" t="inlineStr">
        <is>
          <t>--PALLETS--</t>
        </is>
      </c>
    </row>
    <row r="123">
      <c r="A123" t="inlineStr">
        <is>
          <t>Location label (rack/floor/zone).</t>
        </is>
      </c>
      <c r="B123">
        <f>IF('02_Warehouse_Locations'!A122="","",'02_Warehouse_Locations'!A122)</f>
        <v/>
      </c>
      <c r="C123">
        <f>IF(B123="","",B123)</f>
        <v/>
      </c>
      <c r="D123" t="inlineStr">
        <is>
          <t>--PALLETS--</t>
        </is>
      </c>
    </row>
    <row r="124">
      <c r="A124" t="inlineStr">
        <is>
          <t>Location label (rack/floor/zone).</t>
        </is>
      </c>
      <c r="B124">
        <f>IF('02_Warehouse_Locations'!A123="","",'02_Warehouse_Locations'!A123)</f>
        <v/>
      </c>
      <c r="C124">
        <f>IF(B124="","",B124)</f>
        <v/>
      </c>
      <c r="D124" t="inlineStr">
        <is>
          <t>--PALLETS--</t>
        </is>
      </c>
    </row>
    <row r="125">
      <c r="A125" t="inlineStr">
        <is>
          <t>Location label (rack/floor/zone).</t>
        </is>
      </c>
      <c r="B125">
        <f>IF('02_Warehouse_Locations'!A124="","",'02_Warehouse_Locations'!A124)</f>
        <v/>
      </c>
      <c r="C125">
        <f>IF(B125="","",B125)</f>
        <v/>
      </c>
      <c r="D125" t="inlineStr">
        <is>
          <t>--PALLETS--</t>
        </is>
      </c>
    </row>
    <row r="126">
      <c r="A126" t="inlineStr">
        <is>
          <t>Location label (rack/floor/zone).</t>
        </is>
      </c>
      <c r="B126">
        <f>IF('02_Warehouse_Locations'!A125="","",'02_Warehouse_Locations'!A125)</f>
        <v/>
      </c>
      <c r="C126">
        <f>IF(B126="","",B126)</f>
        <v/>
      </c>
      <c r="D126" t="inlineStr">
        <is>
          <t>--PALLETS--</t>
        </is>
      </c>
    </row>
    <row r="127">
      <c r="A127" t="inlineStr">
        <is>
          <t>Location label (rack/floor/zone).</t>
        </is>
      </c>
      <c r="B127">
        <f>IF('02_Warehouse_Locations'!A126="","",'02_Warehouse_Locations'!A126)</f>
        <v/>
      </c>
      <c r="C127">
        <f>IF(B127="","",B127)</f>
        <v/>
      </c>
      <c r="D127" t="inlineStr">
        <is>
          <t>--PALLETS--</t>
        </is>
      </c>
    </row>
    <row r="128">
      <c r="A128" t="inlineStr">
        <is>
          <t>Location label (rack/floor/zone).</t>
        </is>
      </c>
      <c r="B128">
        <f>IF('02_Warehouse_Locations'!A127="","",'02_Warehouse_Locations'!A127)</f>
        <v/>
      </c>
      <c r="C128">
        <f>IF(B128="","",B128)</f>
        <v/>
      </c>
      <c r="D128" t="inlineStr">
        <is>
          <t>--PALLETS--</t>
        </is>
      </c>
    </row>
    <row r="129">
      <c r="A129" t="inlineStr">
        <is>
          <t>Location label (rack/floor/zone).</t>
        </is>
      </c>
      <c r="B129">
        <f>IF('02_Warehouse_Locations'!A128="","",'02_Warehouse_Locations'!A128)</f>
        <v/>
      </c>
      <c r="C129">
        <f>IF(B129="","",B129)</f>
        <v/>
      </c>
      <c r="D129" t="inlineStr">
        <is>
          <t>--PALLETS--</t>
        </is>
      </c>
    </row>
    <row r="130">
      <c r="A130" t="inlineStr">
        <is>
          <t>Location label (rack/floor/zone).</t>
        </is>
      </c>
      <c r="B130">
        <f>IF('02_Warehouse_Locations'!A129="","",'02_Warehouse_Locations'!A129)</f>
        <v/>
      </c>
      <c r="C130">
        <f>IF(B130="","",B130)</f>
        <v/>
      </c>
      <c r="D130" t="inlineStr">
        <is>
          <t>--PALLETS--</t>
        </is>
      </c>
    </row>
    <row r="131">
      <c r="A131" t="inlineStr">
        <is>
          <t>Location label (rack/floor/zone).</t>
        </is>
      </c>
      <c r="B131">
        <f>IF('02_Warehouse_Locations'!A130="","",'02_Warehouse_Locations'!A130)</f>
        <v/>
      </c>
      <c r="C131">
        <f>IF(B131="","",B131)</f>
        <v/>
      </c>
      <c r="D131" t="inlineStr">
        <is>
          <t>--PALLETS--</t>
        </is>
      </c>
    </row>
    <row r="132">
      <c r="A132" t="inlineStr">
        <is>
          <t>Location label (rack/floor/zone).</t>
        </is>
      </c>
      <c r="B132">
        <f>IF('02_Warehouse_Locations'!A131="","",'02_Warehouse_Locations'!A131)</f>
        <v/>
      </c>
      <c r="C132">
        <f>IF(B132="","",B132)</f>
        <v/>
      </c>
      <c r="D132" t="inlineStr">
        <is>
          <t>--PALLETS--</t>
        </is>
      </c>
    </row>
    <row r="133">
      <c r="A133" t="inlineStr">
        <is>
          <t>Location label (rack/floor/zone).</t>
        </is>
      </c>
      <c r="B133">
        <f>IF('02_Warehouse_Locations'!A132="","",'02_Warehouse_Locations'!A132)</f>
        <v/>
      </c>
      <c r="C133">
        <f>IF(B133="","",B133)</f>
        <v/>
      </c>
      <c r="D133" t="inlineStr">
        <is>
          <t>--PALLETS--</t>
        </is>
      </c>
    </row>
    <row r="134">
      <c r="A134" t="inlineStr">
        <is>
          <t>Location label (rack/floor/zone).</t>
        </is>
      </c>
      <c r="B134">
        <f>IF('02_Warehouse_Locations'!A133="","",'02_Warehouse_Locations'!A133)</f>
        <v/>
      </c>
      <c r="C134">
        <f>IF(B134="","",B134)</f>
        <v/>
      </c>
      <c r="D134" t="inlineStr">
        <is>
          <t>--PALLETS--</t>
        </is>
      </c>
    </row>
    <row r="135">
      <c r="A135" t="inlineStr">
        <is>
          <t>Location label (rack/floor/zone).</t>
        </is>
      </c>
      <c r="B135">
        <f>IF('02_Warehouse_Locations'!A134="","",'02_Warehouse_Locations'!A134)</f>
        <v/>
      </c>
      <c r="C135">
        <f>IF(B135="","",B135)</f>
        <v/>
      </c>
      <c r="D135" t="inlineStr">
        <is>
          <t>--PALLETS--</t>
        </is>
      </c>
    </row>
    <row r="136">
      <c r="A136" t="inlineStr">
        <is>
          <t>Location label (rack/floor/zone).</t>
        </is>
      </c>
      <c r="B136">
        <f>IF('02_Warehouse_Locations'!A135="","",'02_Warehouse_Locations'!A135)</f>
        <v/>
      </c>
      <c r="C136">
        <f>IF(B136="","",B136)</f>
        <v/>
      </c>
      <c r="D136" t="inlineStr">
        <is>
          <t>--PALLETS--</t>
        </is>
      </c>
    </row>
    <row r="137">
      <c r="A137" t="inlineStr">
        <is>
          <t>Location label (rack/floor/zone).</t>
        </is>
      </c>
      <c r="B137">
        <f>IF('02_Warehouse_Locations'!A136="","",'02_Warehouse_Locations'!A136)</f>
        <v/>
      </c>
      <c r="C137">
        <f>IF(B137="","",B137)</f>
        <v/>
      </c>
      <c r="D137" t="inlineStr">
        <is>
          <t>--PALLETS--</t>
        </is>
      </c>
    </row>
    <row r="138">
      <c r="A138" t="inlineStr">
        <is>
          <t>Location label (rack/floor/zone).</t>
        </is>
      </c>
      <c r="B138">
        <f>IF('02_Warehouse_Locations'!A137="","",'02_Warehouse_Locations'!A137)</f>
        <v/>
      </c>
      <c r="C138">
        <f>IF(B138="","",B138)</f>
        <v/>
      </c>
      <c r="D138" t="inlineStr">
        <is>
          <t>--PALLETS--</t>
        </is>
      </c>
    </row>
    <row r="139">
      <c r="A139" t="inlineStr">
        <is>
          <t>Location label (rack/floor/zone).</t>
        </is>
      </c>
      <c r="B139">
        <f>IF('02_Warehouse_Locations'!A138="","",'02_Warehouse_Locations'!A138)</f>
        <v/>
      </c>
      <c r="C139">
        <f>IF(B139="","",B139)</f>
        <v/>
      </c>
      <c r="D139" t="inlineStr">
        <is>
          <t>--PALLETS--</t>
        </is>
      </c>
    </row>
    <row r="140">
      <c r="A140" t="inlineStr">
        <is>
          <t>Location label (rack/floor/zone).</t>
        </is>
      </c>
      <c r="B140">
        <f>IF('02_Warehouse_Locations'!A139="","",'02_Warehouse_Locations'!A139)</f>
        <v/>
      </c>
      <c r="C140">
        <f>IF(B140="","",B140)</f>
        <v/>
      </c>
      <c r="D140" t="inlineStr">
        <is>
          <t>--PALLETS--</t>
        </is>
      </c>
    </row>
    <row r="141">
      <c r="A141" t="inlineStr">
        <is>
          <t>Location label (rack/floor/zone).</t>
        </is>
      </c>
      <c r="B141">
        <f>IF('02_Warehouse_Locations'!A140="","",'02_Warehouse_Locations'!A140)</f>
        <v/>
      </c>
      <c r="C141">
        <f>IF(B141="","",B141)</f>
        <v/>
      </c>
      <c r="D141" t="inlineStr">
        <is>
          <t>--PALLETS--</t>
        </is>
      </c>
    </row>
    <row r="142">
      <c r="A142" t="inlineStr">
        <is>
          <t>Location label (rack/floor/zone).</t>
        </is>
      </c>
      <c r="B142">
        <f>IF('02_Warehouse_Locations'!A141="","",'02_Warehouse_Locations'!A141)</f>
        <v/>
      </c>
      <c r="C142">
        <f>IF(B142="","",B142)</f>
        <v/>
      </c>
      <c r="D142" t="inlineStr">
        <is>
          <t>--PALLETS--</t>
        </is>
      </c>
    </row>
    <row r="143">
      <c r="A143" t="inlineStr">
        <is>
          <t>Location label (rack/floor/zone).</t>
        </is>
      </c>
      <c r="B143">
        <f>IF('02_Warehouse_Locations'!A142="","",'02_Warehouse_Locations'!A142)</f>
        <v/>
      </c>
      <c r="C143">
        <f>IF(B143="","",B143)</f>
        <v/>
      </c>
      <c r="D143" t="inlineStr">
        <is>
          <t>--PALLETS--</t>
        </is>
      </c>
    </row>
    <row r="144">
      <c r="A144" t="inlineStr">
        <is>
          <t>Location label (rack/floor/zone).</t>
        </is>
      </c>
      <c r="B144">
        <f>IF('02_Warehouse_Locations'!A143="","",'02_Warehouse_Locations'!A143)</f>
        <v/>
      </c>
      <c r="C144">
        <f>IF(B144="","",B144)</f>
        <v/>
      </c>
      <c r="D144" t="inlineStr">
        <is>
          <t>--PALLETS--</t>
        </is>
      </c>
    </row>
    <row r="145">
      <c r="A145" t="inlineStr">
        <is>
          <t>Location label (rack/floor/zone).</t>
        </is>
      </c>
      <c r="B145">
        <f>IF('02_Warehouse_Locations'!A144="","",'02_Warehouse_Locations'!A144)</f>
        <v/>
      </c>
      <c r="C145">
        <f>IF(B145="","",B145)</f>
        <v/>
      </c>
      <c r="D145" t="inlineStr">
        <is>
          <t>--PALLETS--</t>
        </is>
      </c>
    </row>
    <row r="146">
      <c r="A146" t="inlineStr">
        <is>
          <t>Location label (rack/floor/zone).</t>
        </is>
      </c>
      <c r="B146">
        <f>IF('02_Warehouse_Locations'!A145="","",'02_Warehouse_Locations'!A145)</f>
        <v/>
      </c>
      <c r="C146">
        <f>IF(B146="","",B146)</f>
        <v/>
      </c>
      <c r="D146" t="inlineStr">
        <is>
          <t>--PALLETS--</t>
        </is>
      </c>
    </row>
    <row r="147">
      <c r="A147" t="inlineStr">
        <is>
          <t>Location label (rack/floor/zone).</t>
        </is>
      </c>
      <c r="B147">
        <f>IF('02_Warehouse_Locations'!A146="","",'02_Warehouse_Locations'!A146)</f>
        <v/>
      </c>
      <c r="C147">
        <f>IF(B147="","",B147)</f>
        <v/>
      </c>
      <c r="D147" t="inlineStr">
        <is>
          <t>--PALLETS--</t>
        </is>
      </c>
    </row>
    <row r="148">
      <c r="A148" t="inlineStr">
        <is>
          <t>Location label (rack/floor/zone).</t>
        </is>
      </c>
      <c r="B148">
        <f>IF('02_Warehouse_Locations'!A147="","",'02_Warehouse_Locations'!A147)</f>
        <v/>
      </c>
      <c r="C148">
        <f>IF(B148="","",B148)</f>
        <v/>
      </c>
      <c r="D148" t="inlineStr">
        <is>
          <t>--PALLETS--</t>
        </is>
      </c>
    </row>
    <row r="149">
      <c r="A149" t="inlineStr">
        <is>
          <t>Location label (rack/floor/zone).</t>
        </is>
      </c>
      <c r="B149">
        <f>IF('02_Warehouse_Locations'!A148="","",'02_Warehouse_Locations'!A148)</f>
        <v/>
      </c>
      <c r="C149">
        <f>IF(B149="","",B149)</f>
        <v/>
      </c>
      <c r="D149" t="inlineStr">
        <is>
          <t>--PALLETS--</t>
        </is>
      </c>
    </row>
    <row r="150">
      <c r="A150" t="inlineStr">
        <is>
          <t>Location label (rack/floor/zone).</t>
        </is>
      </c>
      <c r="B150">
        <f>IF('02_Warehouse_Locations'!A149="","",'02_Warehouse_Locations'!A149)</f>
        <v/>
      </c>
      <c r="C150">
        <f>IF(B150="","",B150)</f>
        <v/>
      </c>
      <c r="D150" t="inlineStr">
        <is>
          <t>--PALLETS--</t>
        </is>
      </c>
    </row>
    <row r="151">
      <c r="A151" t="inlineStr">
        <is>
          <t>Location label (rack/floor/zone).</t>
        </is>
      </c>
      <c r="B151">
        <f>IF('02_Warehouse_Locations'!A150="","",'02_Warehouse_Locations'!A150)</f>
        <v/>
      </c>
      <c r="C151">
        <f>IF(B151="","",B151)</f>
        <v/>
      </c>
      <c r="D151" t="inlineStr">
        <is>
          <t>--PALLETS--</t>
        </is>
      </c>
    </row>
    <row r="152">
      <c r="A152" t="inlineStr">
        <is>
          <t>Location label (rack/floor/zone).</t>
        </is>
      </c>
      <c r="B152">
        <f>IF('02_Warehouse_Locations'!A151="","",'02_Warehouse_Locations'!A151)</f>
        <v/>
      </c>
      <c r="C152">
        <f>IF(B152="","",B152)</f>
        <v/>
      </c>
      <c r="D152" t="inlineStr">
        <is>
          <t>--PALLETS--</t>
        </is>
      </c>
    </row>
    <row r="153">
      <c r="A153" t="inlineStr">
        <is>
          <t>Location label (rack/floor/zone).</t>
        </is>
      </c>
      <c r="B153">
        <f>IF('02_Warehouse_Locations'!A152="","",'02_Warehouse_Locations'!A152)</f>
        <v/>
      </c>
      <c r="C153">
        <f>IF(B153="","",B153)</f>
        <v/>
      </c>
      <c r="D153" t="inlineStr">
        <is>
          <t>--PALLETS--</t>
        </is>
      </c>
    </row>
    <row r="154">
      <c r="A154" t="inlineStr">
        <is>
          <t>Location label (rack/floor/zone).</t>
        </is>
      </c>
      <c r="B154">
        <f>IF('02_Warehouse_Locations'!A153="","",'02_Warehouse_Locations'!A153)</f>
        <v/>
      </c>
      <c r="C154">
        <f>IF(B154="","",B154)</f>
        <v/>
      </c>
      <c r="D154" t="inlineStr">
        <is>
          <t>--PALLETS--</t>
        </is>
      </c>
    </row>
    <row r="155">
      <c r="A155" t="inlineStr">
        <is>
          <t>Location label (rack/floor/zone).</t>
        </is>
      </c>
      <c r="B155">
        <f>IF('02_Warehouse_Locations'!A154="","",'02_Warehouse_Locations'!A154)</f>
        <v/>
      </c>
      <c r="C155">
        <f>IF(B155="","",B155)</f>
        <v/>
      </c>
      <c r="D155" t="inlineStr">
        <is>
          <t>--PALLETS--</t>
        </is>
      </c>
    </row>
    <row r="156">
      <c r="A156" t="inlineStr">
        <is>
          <t>Location label (rack/floor/zone).</t>
        </is>
      </c>
      <c r="B156">
        <f>IF('02_Warehouse_Locations'!A155="","",'02_Warehouse_Locations'!A155)</f>
        <v/>
      </c>
      <c r="C156">
        <f>IF(B156="","",B156)</f>
        <v/>
      </c>
      <c r="D156" t="inlineStr">
        <is>
          <t>--PALLETS--</t>
        </is>
      </c>
    </row>
    <row r="157">
      <c r="A157" t="inlineStr">
        <is>
          <t>Location label (rack/floor/zone).</t>
        </is>
      </c>
      <c r="B157">
        <f>IF('02_Warehouse_Locations'!A156="","",'02_Warehouse_Locations'!A156)</f>
        <v/>
      </c>
      <c r="C157">
        <f>IF(B157="","",B157)</f>
        <v/>
      </c>
      <c r="D157" t="inlineStr">
        <is>
          <t>--PALLETS--</t>
        </is>
      </c>
    </row>
    <row r="158">
      <c r="A158" t="inlineStr">
        <is>
          <t>Location label (rack/floor/zone).</t>
        </is>
      </c>
      <c r="B158">
        <f>IF('02_Warehouse_Locations'!A157="","",'02_Warehouse_Locations'!A157)</f>
        <v/>
      </c>
      <c r="C158">
        <f>IF(B158="","",B158)</f>
        <v/>
      </c>
      <c r="D158" t="inlineStr">
        <is>
          <t>--PALLETS--</t>
        </is>
      </c>
    </row>
    <row r="159">
      <c r="A159" t="inlineStr">
        <is>
          <t>Location label (rack/floor/zone).</t>
        </is>
      </c>
      <c r="B159">
        <f>IF('02_Warehouse_Locations'!A158="","",'02_Warehouse_Locations'!A158)</f>
        <v/>
      </c>
      <c r="C159">
        <f>IF(B159="","",B159)</f>
        <v/>
      </c>
      <c r="D159" t="inlineStr">
        <is>
          <t>--PALLETS--</t>
        </is>
      </c>
    </row>
    <row r="160">
      <c r="A160" t="inlineStr">
        <is>
          <t>Location label (rack/floor/zone).</t>
        </is>
      </c>
      <c r="B160">
        <f>IF('02_Warehouse_Locations'!A159="","",'02_Warehouse_Locations'!A159)</f>
        <v/>
      </c>
      <c r="C160">
        <f>IF(B160="","",B160)</f>
        <v/>
      </c>
      <c r="D160" t="inlineStr">
        <is>
          <t>--PALLETS--</t>
        </is>
      </c>
    </row>
    <row r="161">
      <c r="A161" t="inlineStr">
        <is>
          <t>Location label (rack/floor/zone).</t>
        </is>
      </c>
      <c r="B161">
        <f>IF('02_Warehouse_Locations'!A160="","",'02_Warehouse_Locations'!A160)</f>
        <v/>
      </c>
      <c r="C161">
        <f>IF(B161="","",B161)</f>
        <v/>
      </c>
      <c r="D161" t="inlineStr">
        <is>
          <t>--PALLETS--</t>
        </is>
      </c>
    </row>
    <row r="162">
      <c r="A162" t="inlineStr">
        <is>
          <t>Location label (rack/floor/zone).</t>
        </is>
      </c>
      <c r="B162">
        <f>IF('02_Warehouse_Locations'!A161="","",'02_Warehouse_Locations'!A161)</f>
        <v/>
      </c>
      <c r="C162">
        <f>IF(B162="","",B162)</f>
        <v/>
      </c>
      <c r="D162" t="inlineStr">
        <is>
          <t>--PALLETS--</t>
        </is>
      </c>
    </row>
    <row r="163">
      <c r="A163" t="inlineStr">
        <is>
          <t>Location label (rack/floor/zone).</t>
        </is>
      </c>
      <c r="B163">
        <f>IF('02_Warehouse_Locations'!A162="","",'02_Warehouse_Locations'!A162)</f>
        <v/>
      </c>
      <c r="C163">
        <f>IF(B163="","",B163)</f>
        <v/>
      </c>
      <c r="D163" t="inlineStr">
        <is>
          <t>--PALLETS--</t>
        </is>
      </c>
    </row>
    <row r="164">
      <c r="A164" t="inlineStr">
        <is>
          <t>Location label (rack/floor/zone).</t>
        </is>
      </c>
      <c r="B164">
        <f>IF('02_Warehouse_Locations'!A163="","",'02_Warehouse_Locations'!A163)</f>
        <v/>
      </c>
      <c r="C164">
        <f>IF(B164="","",B164)</f>
        <v/>
      </c>
      <c r="D164" t="inlineStr">
        <is>
          <t>--PALLETS--</t>
        </is>
      </c>
    </row>
    <row r="165">
      <c r="A165" t="inlineStr">
        <is>
          <t>Location label (rack/floor/zone).</t>
        </is>
      </c>
      <c r="B165">
        <f>IF('02_Warehouse_Locations'!A164="","",'02_Warehouse_Locations'!A164)</f>
        <v/>
      </c>
      <c r="C165">
        <f>IF(B165="","",B165)</f>
        <v/>
      </c>
      <c r="D165" t="inlineStr">
        <is>
          <t>--PALLETS--</t>
        </is>
      </c>
    </row>
    <row r="166">
      <c r="A166" t="inlineStr">
        <is>
          <t>Location label (rack/floor/zone).</t>
        </is>
      </c>
      <c r="B166">
        <f>IF('02_Warehouse_Locations'!A165="","",'02_Warehouse_Locations'!A165)</f>
        <v/>
      </c>
      <c r="C166">
        <f>IF(B166="","",B166)</f>
        <v/>
      </c>
      <c r="D166" t="inlineStr">
        <is>
          <t>--PALLETS--</t>
        </is>
      </c>
    </row>
    <row r="167">
      <c r="A167" t="inlineStr">
        <is>
          <t>Location label (rack/floor/zone).</t>
        </is>
      </c>
      <c r="B167">
        <f>IF('02_Warehouse_Locations'!A166="","",'02_Warehouse_Locations'!A166)</f>
        <v/>
      </c>
      <c r="C167">
        <f>IF(B167="","",B167)</f>
        <v/>
      </c>
      <c r="D167" t="inlineStr">
        <is>
          <t>--PALLETS--</t>
        </is>
      </c>
    </row>
    <row r="168">
      <c r="A168" t="inlineStr">
        <is>
          <t>Location label (rack/floor/zone).</t>
        </is>
      </c>
      <c r="B168">
        <f>IF('02_Warehouse_Locations'!A167="","",'02_Warehouse_Locations'!A167)</f>
        <v/>
      </c>
      <c r="C168">
        <f>IF(B168="","",B168)</f>
        <v/>
      </c>
      <c r="D168" t="inlineStr">
        <is>
          <t>--PALLETS--</t>
        </is>
      </c>
    </row>
    <row r="169">
      <c r="A169" t="inlineStr">
        <is>
          <t>Location label (rack/floor/zone).</t>
        </is>
      </c>
      <c r="B169">
        <f>IF('02_Warehouse_Locations'!A168="","",'02_Warehouse_Locations'!A168)</f>
        <v/>
      </c>
      <c r="C169">
        <f>IF(B169="","",B169)</f>
        <v/>
      </c>
      <c r="D169" t="inlineStr">
        <is>
          <t>--PALLETS--</t>
        </is>
      </c>
    </row>
    <row r="170">
      <c r="A170" t="inlineStr">
        <is>
          <t>Location label (rack/floor/zone).</t>
        </is>
      </c>
      <c r="B170">
        <f>IF('02_Warehouse_Locations'!A169="","",'02_Warehouse_Locations'!A169)</f>
        <v/>
      </c>
      <c r="C170">
        <f>IF(B170="","",B170)</f>
        <v/>
      </c>
      <c r="D170" t="inlineStr">
        <is>
          <t>--PALLETS--</t>
        </is>
      </c>
    </row>
    <row r="171">
      <c r="A171" t="inlineStr">
        <is>
          <t>Location label (rack/floor/zone).</t>
        </is>
      </c>
      <c r="B171">
        <f>IF('02_Warehouse_Locations'!A170="","",'02_Warehouse_Locations'!A170)</f>
        <v/>
      </c>
      <c r="C171">
        <f>IF(B171="","",B171)</f>
        <v/>
      </c>
      <c r="D171" t="inlineStr">
        <is>
          <t>--PALLETS--</t>
        </is>
      </c>
    </row>
    <row r="172">
      <c r="A172" t="inlineStr">
        <is>
          <t>Location label (rack/floor/zone).</t>
        </is>
      </c>
      <c r="B172">
        <f>IF('02_Warehouse_Locations'!A171="","",'02_Warehouse_Locations'!A171)</f>
        <v/>
      </c>
      <c r="C172">
        <f>IF(B172="","",B172)</f>
        <v/>
      </c>
      <c r="D172" t="inlineStr">
        <is>
          <t>--PALLETS--</t>
        </is>
      </c>
    </row>
    <row r="173">
      <c r="A173" t="inlineStr">
        <is>
          <t>Location label (rack/floor/zone).</t>
        </is>
      </c>
      <c r="B173">
        <f>IF('02_Warehouse_Locations'!A172="","",'02_Warehouse_Locations'!A172)</f>
        <v/>
      </c>
      <c r="C173">
        <f>IF(B173="","",B173)</f>
        <v/>
      </c>
      <c r="D173" t="inlineStr">
        <is>
          <t>--PALLETS--</t>
        </is>
      </c>
    </row>
    <row r="174">
      <c r="A174" t="inlineStr">
        <is>
          <t>Location label (rack/floor/zone).</t>
        </is>
      </c>
      <c r="B174">
        <f>IF('02_Warehouse_Locations'!A173="","",'02_Warehouse_Locations'!A173)</f>
        <v/>
      </c>
      <c r="C174">
        <f>IF(B174="","",B174)</f>
        <v/>
      </c>
      <c r="D174" t="inlineStr">
        <is>
          <t>--PALLETS--</t>
        </is>
      </c>
    </row>
    <row r="175">
      <c r="A175" t="inlineStr">
        <is>
          <t>Location label (rack/floor/zone).</t>
        </is>
      </c>
      <c r="B175">
        <f>IF('02_Warehouse_Locations'!A174="","",'02_Warehouse_Locations'!A174)</f>
        <v/>
      </c>
      <c r="C175">
        <f>IF(B175="","",B175)</f>
        <v/>
      </c>
      <c r="D175" t="inlineStr">
        <is>
          <t>--PALLETS--</t>
        </is>
      </c>
    </row>
    <row r="176">
      <c r="A176" t="inlineStr">
        <is>
          <t>Location label (rack/floor/zone).</t>
        </is>
      </c>
      <c r="B176">
        <f>IF('02_Warehouse_Locations'!A175="","",'02_Warehouse_Locations'!A175)</f>
        <v/>
      </c>
      <c r="C176">
        <f>IF(B176="","",B176)</f>
        <v/>
      </c>
      <c r="D176" t="inlineStr">
        <is>
          <t>--PALLETS--</t>
        </is>
      </c>
    </row>
    <row r="177">
      <c r="A177" t="inlineStr">
        <is>
          <t>Location label (rack/floor/zone).</t>
        </is>
      </c>
      <c r="B177">
        <f>IF('02_Warehouse_Locations'!A176="","",'02_Warehouse_Locations'!A176)</f>
        <v/>
      </c>
      <c r="C177">
        <f>IF(B177="","",B177)</f>
        <v/>
      </c>
      <c r="D177" t="inlineStr">
        <is>
          <t>--PALLETS--</t>
        </is>
      </c>
    </row>
    <row r="178">
      <c r="A178" t="inlineStr">
        <is>
          <t>Location label (rack/floor/zone).</t>
        </is>
      </c>
      <c r="B178">
        <f>IF('02_Warehouse_Locations'!A177="","",'02_Warehouse_Locations'!A177)</f>
        <v/>
      </c>
      <c r="C178">
        <f>IF(B178="","",B178)</f>
        <v/>
      </c>
      <c r="D178" t="inlineStr">
        <is>
          <t>--PALLETS--</t>
        </is>
      </c>
    </row>
    <row r="179">
      <c r="A179" t="inlineStr">
        <is>
          <t>Location label (rack/floor/zone).</t>
        </is>
      </c>
      <c r="B179">
        <f>IF('02_Warehouse_Locations'!A178="","",'02_Warehouse_Locations'!A178)</f>
        <v/>
      </c>
      <c r="C179">
        <f>IF(B179="","",B179)</f>
        <v/>
      </c>
      <c r="D179" t="inlineStr">
        <is>
          <t>--PALLETS--</t>
        </is>
      </c>
    </row>
    <row r="180">
      <c r="A180" t="inlineStr">
        <is>
          <t>Location label (rack/floor/zone).</t>
        </is>
      </c>
      <c r="B180">
        <f>IF('02_Warehouse_Locations'!A179="","",'02_Warehouse_Locations'!A179)</f>
        <v/>
      </c>
      <c r="C180">
        <f>IF(B180="","",B180)</f>
        <v/>
      </c>
      <c r="D180" t="inlineStr">
        <is>
          <t>--PALLETS--</t>
        </is>
      </c>
    </row>
    <row r="181">
      <c r="A181" t="inlineStr">
        <is>
          <t>Location label (rack/floor/zone).</t>
        </is>
      </c>
      <c r="B181">
        <f>IF('02_Warehouse_Locations'!A180="","",'02_Warehouse_Locations'!A180)</f>
        <v/>
      </c>
      <c r="C181">
        <f>IF(B181="","",B181)</f>
        <v/>
      </c>
      <c r="D181" t="inlineStr">
        <is>
          <t>--PALLETS--</t>
        </is>
      </c>
    </row>
    <row r="182">
      <c r="A182" t="inlineStr">
        <is>
          <t>Location label (rack/floor/zone).</t>
        </is>
      </c>
      <c r="B182">
        <f>IF('02_Warehouse_Locations'!A181="","",'02_Warehouse_Locations'!A181)</f>
        <v/>
      </c>
      <c r="C182">
        <f>IF(B182="","",B182)</f>
        <v/>
      </c>
      <c r="D182" t="inlineStr">
        <is>
          <t>--PALLETS--</t>
        </is>
      </c>
    </row>
    <row r="183">
      <c r="A183" t="inlineStr">
        <is>
          <t>Location label (rack/floor/zone).</t>
        </is>
      </c>
      <c r="B183">
        <f>IF('02_Warehouse_Locations'!A182="","",'02_Warehouse_Locations'!A182)</f>
        <v/>
      </c>
      <c r="C183">
        <f>IF(B183="","",B183)</f>
        <v/>
      </c>
      <c r="D183" t="inlineStr">
        <is>
          <t>--PALLETS--</t>
        </is>
      </c>
    </row>
    <row r="184">
      <c r="A184" t="inlineStr">
        <is>
          <t>Location label (rack/floor/zone).</t>
        </is>
      </c>
      <c r="B184">
        <f>IF('02_Warehouse_Locations'!A183="","",'02_Warehouse_Locations'!A183)</f>
        <v/>
      </c>
      <c r="C184">
        <f>IF(B184="","",B184)</f>
        <v/>
      </c>
      <c r="D184" t="inlineStr">
        <is>
          <t>--PALLETS--</t>
        </is>
      </c>
    </row>
    <row r="185">
      <c r="A185" t="inlineStr">
        <is>
          <t>Location label (rack/floor/zone).</t>
        </is>
      </c>
      <c r="B185">
        <f>IF('02_Warehouse_Locations'!A184="","",'02_Warehouse_Locations'!A184)</f>
        <v/>
      </c>
      <c r="C185">
        <f>IF(B185="","",B185)</f>
        <v/>
      </c>
      <c r="D185" t="inlineStr">
        <is>
          <t>--PALLETS--</t>
        </is>
      </c>
    </row>
    <row r="186">
      <c r="A186" t="inlineStr">
        <is>
          <t>Location label (rack/floor/zone).</t>
        </is>
      </c>
      <c r="B186">
        <f>IF('02_Warehouse_Locations'!A185="","",'02_Warehouse_Locations'!A185)</f>
        <v/>
      </c>
      <c r="C186">
        <f>IF(B186="","",B186)</f>
        <v/>
      </c>
      <c r="D186" t="inlineStr">
        <is>
          <t>--PALLETS--</t>
        </is>
      </c>
    </row>
    <row r="187">
      <c r="A187" t="inlineStr">
        <is>
          <t>Location label (rack/floor/zone).</t>
        </is>
      </c>
      <c r="B187">
        <f>IF('02_Warehouse_Locations'!A186="","",'02_Warehouse_Locations'!A186)</f>
        <v/>
      </c>
      <c r="C187">
        <f>IF(B187="","",B187)</f>
        <v/>
      </c>
      <c r="D187" t="inlineStr">
        <is>
          <t>--PALLETS--</t>
        </is>
      </c>
    </row>
    <row r="188">
      <c r="A188" t="inlineStr">
        <is>
          <t>Location label (rack/floor/zone).</t>
        </is>
      </c>
      <c r="B188">
        <f>IF('02_Warehouse_Locations'!A187="","",'02_Warehouse_Locations'!A187)</f>
        <v/>
      </c>
      <c r="C188">
        <f>IF(B188="","",B188)</f>
        <v/>
      </c>
      <c r="D188" t="inlineStr">
        <is>
          <t>--PALLETS--</t>
        </is>
      </c>
    </row>
    <row r="189">
      <c r="A189" t="inlineStr">
        <is>
          <t>Location label (rack/floor/zone).</t>
        </is>
      </c>
      <c r="B189">
        <f>IF('02_Warehouse_Locations'!A188="","",'02_Warehouse_Locations'!A188)</f>
        <v/>
      </c>
      <c r="C189">
        <f>IF(B189="","",B189)</f>
        <v/>
      </c>
      <c r="D189" t="inlineStr">
        <is>
          <t>--PALLETS--</t>
        </is>
      </c>
    </row>
    <row r="190">
      <c r="A190" t="inlineStr">
        <is>
          <t>Location label (rack/floor/zone).</t>
        </is>
      </c>
      <c r="B190">
        <f>IF('02_Warehouse_Locations'!A189="","",'02_Warehouse_Locations'!A189)</f>
        <v/>
      </c>
      <c r="C190">
        <f>IF(B190="","",B190)</f>
        <v/>
      </c>
      <c r="D190" t="inlineStr">
        <is>
          <t>--PALLETS--</t>
        </is>
      </c>
    </row>
    <row r="191">
      <c r="A191" t="inlineStr">
        <is>
          <t>Location label (rack/floor/zone).</t>
        </is>
      </c>
      <c r="B191">
        <f>IF('02_Warehouse_Locations'!A190="","",'02_Warehouse_Locations'!A190)</f>
        <v/>
      </c>
      <c r="C191">
        <f>IF(B191="","",B191)</f>
        <v/>
      </c>
      <c r="D191" t="inlineStr">
        <is>
          <t>--PALLETS--</t>
        </is>
      </c>
    </row>
    <row r="192">
      <c r="A192" t="inlineStr">
        <is>
          <t>Location label (rack/floor/zone).</t>
        </is>
      </c>
      <c r="B192">
        <f>IF('02_Warehouse_Locations'!A191="","",'02_Warehouse_Locations'!A191)</f>
        <v/>
      </c>
      <c r="C192">
        <f>IF(B192="","",B192)</f>
        <v/>
      </c>
      <c r="D192" t="inlineStr">
        <is>
          <t>--PALLETS--</t>
        </is>
      </c>
    </row>
    <row r="193">
      <c r="A193" t="inlineStr">
        <is>
          <t>Location label (rack/floor/zone).</t>
        </is>
      </c>
      <c r="B193">
        <f>IF('02_Warehouse_Locations'!A192="","",'02_Warehouse_Locations'!A192)</f>
        <v/>
      </c>
      <c r="C193">
        <f>IF(B193="","",B193)</f>
        <v/>
      </c>
      <c r="D193" t="inlineStr">
        <is>
          <t>--PALLETS--</t>
        </is>
      </c>
    </row>
    <row r="194">
      <c r="A194" t="inlineStr">
        <is>
          <t>Location label (rack/floor/zone).</t>
        </is>
      </c>
      <c r="B194">
        <f>IF('02_Warehouse_Locations'!A193="","",'02_Warehouse_Locations'!A193)</f>
        <v/>
      </c>
      <c r="C194">
        <f>IF(B194="","",B194)</f>
        <v/>
      </c>
      <c r="D194" t="inlineStr">
        <is>
          <t>--PALLETS--</t>
        </is>
      </c>
    </row>
    <row r="195">
      <c r="A195" t="inlineStr">
        <is>
          <t>Location label (rack/floor/zone).</t>
        </is>
      </c>
      <c r="B195">
        <f>IF('02_Warehouse_Locations'!A194="","",'02_Warehouse_Locations'!A194)</f>
        <v/>
      </c>
      <c r="C195">
        <f>IF(B195="","",B195)</f>
        <v/>
      </c>
      <c r="D195" t="inlineStr">
        <is>
          <t>--PALLETS--</t>
        </is>
      </c>
    </row>
    <row r="196">
      <c r="A196" t="inlineStr">
        <is>
          <t>Location label (rack/floor/zone).</t>
        </is>
      </c>
      <c r="B196">
        <f>IF('02_Warehouse_Locations'!A195="","",'02_Warehouse_Locations'!A195)</f>
        <v/>
      </c>
      <c r="C196">
        <f>IF(B196="","",B196)</f>
        <v/>
      </c>
      <c r="D196" t="inlineStr">
        <is>
          <t>--PALLETS--</t>
        </is>
      </c>
    </row>
    <row r="197">
      <c r="A197" t="inlineStr">
        <is>
          <t>Location label (rack/floor/zone).</t>
        </is>
      </c>
      <c r="B197">
        <f>IF('02_Warehouse_Locations'!A196="","",'02_Warehouse_Locations'!A196)</f>
        <v/>
      </c>
      <c r="C197">
        <f>IF(B197="","",B197)</f>
        <v/>
      </c>
      <c r="D197" t="inlineStr">
        <is>
          <t>--PALLETS--</t>
        </is>
      </c>
    </row>
    <row r="198">
      <c r="A198" t="inlineStr">
        <is>
          <t>Location label (rack/floor/zone).</t>
        </is>
      </c>
      <c r="B198">
        <f>IF('02_Warehouse_Locations'!A197="","",'02_Warehouse_Locations'!A197)</f>
        <v/>
      </c>
      <c r="C198">
        <f>IF(B198="","",B198)</f>
        <v/>
      </c>
      <c r="D198" t="inlineStr">
        <is>
          <t>--PALLETS--</t>
        </is>
      </c>
    </row>
    <row r="199">
      <c r="A199" t="inlineStr">
        <is>
          <t>Location label (rack/floor/zone).</t>
        </is>
      </c>
      <c r="B199">
        <f>IF('02_Warehouse_Locations'!A198="","",'02_Warehouse_Locations'!A198)</f>
        <v/>
      </c>
      <c r="C199">
        <f>IF(B199="","",B199)</f>
        <v/>
      </c>
      <c r="D199" t="inlineStr">
        <is>
          <t>--PALLETS--</t>
        </is>
      </c>
    </row>
    <row r="200">
      <c r="A200" t="inlineStr">
        <is>
          <t>Location label (rack/floor/zone).</t>
        </is>
      </c>
      <c r="B200">
        <f>IF('02_Warehouse_Locations'!A199="","",'02_Warehouse_Locations'!A199)</f>
        <v/>
      </c>
      <c r="C200">
        <f>IF(B200="","",B200)</f>
        <v/>
      </c>
      <c r="D200" t="inlineStr">
        <is>
          <t>--PALLETS--</t>
        </is>
      </c>
    </row>
    <row r="201">
      <c r="A201" t="inlineStr">
        <is>
          <t>Location label (rack/floor/zone).</t>
        </is>
      </c>
      <c r="B201">
        <f>IF('02_Warehouse_Locations'!A200="","",'02_Warehouse_Locations'!A200)</f>
        <v/>
      </c>
      <c r="C201">
        <f>IF(B201="","",B201)</f>
        <v/>
      </c>
      <c r="D201" t="inlineStr">
        <is>
          <t>--PALLETS--</t>
        </is>
      </c>
    </row>
    <row r="202">
      <c r="A202" t="inlineStr">
        <is>
          <t>Location label (rack/floor/zone).</t>
        </is>
      </c>
      <c r="B202">
        <f>IF('02_Warehouse_Locations'!A201="","",'02_Warehouse_Locations'!A201)</f>
        <v/>
      </c>
      <c r="C202">
        <f>IF(B202="","",B202)</f>
        <v/>
      </c>
      <c r="D202" t="inlineStr">
        <is>
          <t>--PALLETS--</t>
        </is>
      </c>
    </row>
    <row r="203">
      <c r="A203" t="inlineStr">
        <is>
          <t>Location label (rack/floor/zone).</t>
        </is>
      </c>
      <c r="B203">
        <f>IF('02_Warehouse_Locations'!A202="","",'02_Warehouse_Locations'!A202)</f>
        <v/>
      </c>
      <c r="C203">
        <f>IF(B203="","",B203)</f>
        <v/>
      </c>
      <c r="D203" t="inlineStr">
        <is>
          <t>--PALLETS--</t>
        </is>
      </c>
    </row>
    <row r="204">
      <c r="A204" t="inlineStr">
        <is>
          <t>Location label (rack/floor/zone).</t>
        </is>
      </c>
      <c r="B204">
        <f>IF('02_Warehouse_Locations'!A203="","",'02_Warehouse_Locations'!A203)</f>
        <v/>
      </c>
      <c r="C204">
        <f>IF(B204="","",B204)</f>
        <v/>
      </c>
      <c r="D204" t="inlineStr">
        <is>
          <t>--PALLETS--</t>
        </is>
      </c>
    </row>
    <row r="205">
      <c r="A205" t="inlineStr">
        <is>
          <t>Location label (rack/floor/zone).</t>
        </is>
      </c>
      <c r="B205">
        <f>IF('02_Warehouse_Locations'!A204="","",'02_Warehouse_Locations'!A204)</f>
        <v/>
      </c>
      <c r="C205">
        <f>IF(B205="","",B205)</f>
        <v/>
      </c>
      <c r="D205" t="inlineStr">
        <is>
          <t>--PALLETS--</t>
        </is>
      </c>
    </row>
    <row r="206">
      <c r="A206" t="inlineStr">
        <is>
          <t>Location label (rack/floor/zone).</t>
        </is>
      </c>
      <c r="B206">
        <f>IF('02_Warehouse_Locations'!A205="","",'02_Warehouse_Locations'!A205)</f>
        <v/>
      </c>
      <c r="C206">
        <f>IF(B206="","",B206)</f>
        <v/>
      </c>
      <c r="D206" t="inlineStr">
        <is>
          <t>--PALLETS--</t>
        </is>
      </c>
    </row>
    <row r="207">
      <c r="A207" t="inlineStr">
        <is>
          <t>Location label (rack/floor/zone).</t>
        </is>
      </c>
      <c r="B207">
        <f>IF('02_Warehouse_Locations'!A206="","",'02_Warehouse_Locations'!A206)</f>
        <v/>
      </c>
      <c r="C207">
        <f>IF(B207="","",B207)</f>
        <v/>
      </c>
      <c r="D207" t="inlineStr">
        <is>
          <t>--PALLETS--</t>
        </is>
      </c>
    </row>
    <row r="208">
      <c r="A208" t="inlineStr">
        <is>
          <t>Location label (rack/floor/zone).</t>
        </is>
      </c>
      <c r="B208">
        <f>IF('02_Warehouse_Locations'!A207="","",'02_Warehouse_Locations'!A207)</f>
        <v/>
      </c>
      <c r="C208">
        <f>IF(B208="","",B208)</f>
        <v/>
      </c>
      <c r="D208" t="inlineStr">
        <is>
          <t>--PALLETS--</t>
        </is>
      </c>
    </row>
    <row r="209">
      <c r="A209" t="inlineStr">
        <is>
          <t>Location label (rack/floor/zone).</t>
        </is>
      </c>
      <c r="B209">
        <f>IF('02_Warehouse_Locations'!A208="","",'02_Warehouse_Locations'!A208)</f>
        <v/>
      </c>
      <c r="C209">
        <f>IF(B209="","",B209)</f>
        <v/>
      </c>
      <c r="D209" t="inlineStr">
        <is>
          <t>--PALLETS--</t>
        </is>
      </c>
    </row>
    <row r="210">
      <c r="A210" t="inlineStr">
        <is>
          <t>Location label (rack/floor/zone).</t>
        </is>
      </c>
      <c r="B210">
        <f>IF('02_Warehouse_Locations'!A209="","",'02_Warehouse_Locations'!A209)</f>
        <v/>
      </c>
      <c r="C210">
        <f>IF(B210="","",B210)</f>
        <v/>
      </c>
      <c r="D210" t="inlineStr">
        <is>
          <t>--PALLETS--</t>
        </is>
      </c>
    </row>
    <row r="211">
      <c r="A211" t="inlineStr">
        <is>
          <t>Location label (rack/floor/zone).</t>
        </is>
      </c>
      <c r="B211">
        <f>IF('02_Warehouse_Locations'!A210="","",'02_Warehouse_Locations'!A210)</f>
        <v/>
      </c>
      <c r="C211">
        <f>IF(B211="","",B211)</f>
        <v/>
      </c>
      <c r="D211" t="inlineStr">
        <is>
          <t>--PALLETS--</t>
        </is>
      </c>
    </row>
    <row r="212">
      <c r="A212" t="inlineStr">
        <is>
          <t>Location label (rack/floor/zone).</t>
        </is>
      </c>
      <c r="B212">
        <f>IF('02_Warehouse_Locations'!A211="","",'02_Warehouse_Locations'!A211)</f>
        <v/>
      </c>
      <c r="C212">
        <f>IF(B212="","",B212)</f>
        <v/>
      </c>
      <c r="D212" t="inlineStr">
        <is>
          <t>--PALLETS--</t>
        </is>
      </c>
    </row>
    <row r="213">
      <c r="A213" t="inlineStr">
        <is>
          <t>Location label (rack/floor/zone).</t>
        </is>
      </c>
      <c r="B213">
        <f>IF('02_Warehouse_Locations'!A212="","",'02_Warehouse_Locations'!A212)</f>
        <v/>
      </c>
      <c r="C213">
        <f>IF(B213="","",B213)</f>
        <v/>
      </c>
      <c r="D213" t="inlineStr">
        <is>
          <t>--PALLETS--</t>
        </is>
      </c>
    </row>
    <row r="214">
      <c r="A214" t="inlineStr">
        <is>
          <t>Location label (rack/floor/zone).</t>
        </is>
      </c>
      <c r="B214">
        <f>IF('02_Warehouse_Locations'!A213="","",'02_Warehouse_Locations'!A213)</f>
        <v/>
      </c>
      <c r="C214">
        <f>IF(B214="","",B214)</f>
        <v/>
      </c>
      <c r="D214" t="inlineStr">
        <is>
          <t>--PALLETS--</t>
        </is>
      </c>
    </row>
    <row r="215">
      <c r="A215" t="inlineStr">
        <is>
          <t>Location label (rack/floor/zone).</t>
        </is>
      </c>
      <c r="B215">
        <f>IF('02_Warehouse_Locations'!A214="","",'02_Warehouse_Locations'!A214)</f>
        <v/>
      </c>
      <c r="C215">
        <f>IF(B215="","",B215)</f>
        <v/>
      </c>
      <c r="D215" t="inlineStr">
        <is>
          <t>--PALLETS--</t>
        </is>
      </c>
    </row>
    <row r="216">
      <c r="A216" t="inlineStr">
        <is>
          <t>Location label (rack/floor/zone).</t>
        </is>
      </c>
      <c r="B216">
        <f>IF('02_Warehouse_Locations'!A215="","",'02_Warehouse_Locations'!A215)</f>
        <v/>
      </c>
      <c r="C216">
        <f>IF(B216="","",B216)</f>
        <v/>
      </c>
      <c r="D216" t="inlineStr">
        <is>
          <t>--PALLETS--</t>
        </is>
      </c>
    </row>
    <row r="217">
      <c r="A217" t="inlineStr">
        <is>
          <t>Location label (rack/floor/zone).</t>
        </is>
      </c>
      <c r="B217">
        <f>IF('02_Warehouse_Locations'!A216="","",'02_Warehouse_Locations'!A216)</f>
        <v/>
      </c>
      <c r="C217">
        <f>IF(B217="","",B217)</f>
        <v/>
      </c>
      <c r="D217" t="inlineStr">
        <is>
          <t>--PALLETS--</t>
        </is>
      </c>
    </row>
    <row r="218">
      <c r="A218" t="inlineStr">
        <is>
          <t>Location label (rack/floor/zone).</t>
        </is>
      </c>
      <c r="B218">
        <f>IF('02_Warehouse_Locations'!A217="","",'02_Warehouse_Locations'!A217)</f>
        <v/>
      </c>
      <c r="C218">
        <f>IF(B218="","",B218)</f>
        <v/>
      </c>
      <c r="D218" t="inlineStr">
        <is>
          <t>--PALLETS--</t>
        </is>
      </c>
    </row>
    <row r="219">
      <c r="A219" t="inlineStr">
        <is>
          <t>Location label (rack/floor/zone).</t>
        </is>
      </c>
      <c r="B219">
        <f>IF('02_Warehouse_Locations'!A218="","",'02_Warehouse_Locations'!A218)</f>
        <v/>
      </c>
      <c r="C219">
        <f>IF(B219="","",B219)</f>
        <v/>
      </c>
      <c r="D219" t="inlineStr">
        <is>
          <t>--PALLETS--</t>
        </is>
      </c>
    </row>
    <row r="220">
      <c r="A220" t="inlineStr">
        <is>
          <t>Location label (rack/floor/zone).</t>
        </is>
      </c>
      <c r="B220">
        <f>IF('02_Warehouse_Locations'!A219="","",'02_Warehouse_Locations'!A219)</f>
        <v/>
      </c>
      <c r="C220">
        <f>IF(B220="","",B220)</f>
        <v/>
      </c>
      <c r="D220" t="inlineStr">
        <is>
          <t>--PALLETS--</t>
        </is>
      </c>
    </row>
    <row r="221">
      <c r="A221" t="inlineStr">
        <is>
          <t>Location label (rack/floor/zone).</t>
        </is>
      </c>
      <c r="B221">
        <f>IF('02_Warehouse_Locations'!A220="","",'02_Warehouse_Locations'!A220)</f>
        <v/>
      </c>
      <c r="C221">
        <f>IF(B221="","",B221)</f>
        <v/>
      </c>
      <c r="D221" t="inlineStr">
        <is>
          <t>--PALLETS--</t>
        </is>
      </c>
    </row>
    <row r="222">
      <c r="A222" t="inlineStr">
        <is>
          <t>Location label (rack/floor/zone).</t>
        </is>
      </c>
      <c r="B222">
        <f>IF('02_Warehouse_Locations'!A221="","",'02_Warehouse_Locations'!A221)</f>
        <v/>
      </c>
      <c r="C222">
        <f>IF(B222="","",B222)</f>
        <v/>
      </c>
      <c r="D222" t="inlineStr">
        <is>
          <t>--PALLETS--</t>
        </is>
      </c>
    </row>
    <row r="223">
      <c r="A223" t="inlineStr">
        <is>
          <t>Location label (rack/floor/zone).</t>
        </is>
      </c>
      <c r="B223">
        <f>IF('02_Warehouse_Locations'!A222="","",'02_Warehouse_Locations'!A222)</f>
        <v/>
      </c>
      <c r="C223">
        <f>IF(B223="","",B223)</f>
        <v/>
      </c>
      <c r="D223" t="inlineStr">
        <is>
          <t>--PALLETS--</t>
        </is>
      </c>
    </row>
    <row r="224">
      <c r="A224" t="inlineStr">
        <is>
          <t>Location label (rack/floor/zone).</t>
        </is>
      </c>
      <c r="B224">
        <f>IF('02_Warehouse_Locations'!A223="","",'02_Warehouse_Locations'!A223)</f>
        <v/>
      </c>
      <c r="C224">
        <f>IF(B224="","",B224)</f>
        <v/>
      </c>
      <c r="D224" t="inlineStr">
        <is>
          <t>--PALLETS--</t>
        </is>
      </c>
    </row>
    <row r="225">
      <c r="A225" t="inlineStr">
        <is>
          <t>Location label (rack/floor/zone).</t>
        </is>
      </c>
      <c r="B225">
        <f>IF('02_Warehouse_Locations'!A224="","",'02_Warehouse_Locations'!A224)</f>
        <v/>
      </c>
      <c r="C225">
        <f>IF(B225="","",B225)</f>
        <v/>
      </c>
      <c r="D225" t="inlineStr">
        <is>
          <t>--PALLETS--</t>
        </is>
      </c>
    </row>
    <row r="226">
      <c r="A226" t="inlineStr">
        <is>
          <t>Location label (rack/floor/zone).</t>
        </is>
      </c>
      <c r="B226">
        <f>IF('02_Warehouse_Locations'!A225="","",'02_Warehouse_Locations'!A225)</f>
        <v/>
      </c>
      <c r="C226">
        <f>IF(B226="","",B226)</f>
        <v/>
      </c>
      <c r="D226" t="inlineStr">
        <is>
          <t>--PALLETS--</t>
        </is>
      </c>
    </row>
    <row r="227">
      <c r="A227" t="inlineStr">
        <is>
          <t>Location label (rack/floor/zone).</t>
        </is>
      </c>
      <c r="B227">
        <f>IF('02_Warehouse_Locations'!A226="","",'02_Warehouse_Locations'!A226)</f>
        <v/>
      </c>
      <c r="C227">
        <f>IF(B227="","",B227)</f>
        <v/>
      </c>
      <c r="D227" t="inlineStr">
        <is>
          <t>--PALLETS--</t>
        </is>
      </c>
    </row>
    <row r="228">
      <c r="A228" t="inlineStr">
        <is>
          <t>Location label (rack/floor/zone).</t>
        </is>
      </c>
      <c r="B228">
        <f>IF('02_Warehouse_Locations'!A227="","",'02_Warehouse_Locations'!A227)</f>
        <v/>
      </c>
      <c r="C228">
        <f>IF(B228="","",B228)</f>
        <v/>
      </c>
      <c r="D228" t="inlineStr">
        <is>
          <t>--PALLETS--</t>
        </is>
      </c>
    </row>
    <row r="229">
      <c r="A229" t="inlineStr">
        <is>
          <t>Location label (rack/floor/zone).</t>
        </is>
      </c>
      <c r="B229">
        <f>IF('02_Warehouse_Locations'!A228="","",'02_Warehouse_Locations'!A228)</f>
        <v/>
      </c>
      <c r="C229">
        <f>IF(B229="","",B229)</f>
        <v/>
      </c>
      <c r="D229" t="inlineStr">
        <is>
          <t>--PALLETS--</t>
        </is>
      </c>
    </row>
    <row r="230">
      <c r="A230" t="inlineStr">
        <is>
          <t>Location label (rack/floor/zone).</t>
        </is>
      </c>
      <c r="B230">
        <f>IF('02_Warehouse_Locations'!A229="","",'02_Warehouse_Locations'!A229)</f>
        <v/>
      </c>
      <c r="C230">
        <f>IF(B230="","",B230)</f>
        <v/>
      </c>
      <c r="D230" t="inlineStr">
        <is>
          <t>--PALLETS--</t>
        </is>
      </c>
    </row>
    <row r="231">
      <c r="A231" t="inlineStr">
        <is>
          <t>Location label (rack/floor/zone).</t>
        </is>
      </c>
      <c r="B231">
        <f>IF('02_Warehouse_Locations'!A230="","",'02_Warehouse_Locations'!A230)</f>
        <v/>
      </c>
      <c r="C231">
        <f>IF(B231="","",B231)</f>
        <v/>
      </c>
      <c r="D231" t="inlineStr">
        <is>
          <t>--PALLETS--</t>
        </is>
      </c>
    </row>
    <row r="232">
      <c r="A232" t="inlineStr">
        <is>
          <t>Location label (rack/floor/zone).</t>
        </is>
      </c>
      <c r="B232">
        <f>IF('02_Warehouse_Locations'!A231="","",'02_Warehouse_Locations'!A231)</f>
        <v/>
      </c>
      <c r="C232">
        <f>IF(B232="","",B232)</f>
        <v/>
      </c>
      <c r="D232" t="inlineStr">
        <is>
          <t>--PALLETS--</t>
        </is>
      </c>
    </row>
    <row r="233">
      <c r="A233" t="inlineStr">
        <is>
          <t>Location label (rack/floor/zone).</t>
        </is>
      </c>
      <c r="B233">
        <f>IF('02_Warehouse_Locations'!A232="","",'02_Warehouse_Locations'!A232)</f>
        <v/>
      </c>
      <c r="C233">
        <f>IF(B233="","",B233)</f>
        <v/>
      </c>
      <c r="D233" t="inlineStr">
        <is>
          <t>--PALLETS--</t>
        </is>
      </c>
    </row>
    <row r="234">
      <c r="A234" t="inlineStr">
        <is>
          <t>Location label (rack/floor/zone).</t>
        </is>
      </c>
      <c r="B234">
        <f>IF('02_Warehouse_Locations'!A233="","",'02_Warehouse_Locations'!A233)</f>
        <v/>
      </c>
      <c r="C234">
        <f>IF(B234="","",B234)</f>
        <v/>
      </c>
      <c r="D234" t="inlineStr">
        <is>
          <t>--PALLETS--</t>
        </is>
      </c>
    </row>
    <row r="235">
      <c r="A235" t="inlineStr">
        <is>
          <t>Location label (rack/floor/zone).</t>
        </is>
      </c>
      <c r="B235">
        <f>IF('02_Warehouse_Locations'!A234="","",'02_Warehouse_Locations'!A234)</f>
        <v/>
      </c>
      <c r="C235">
        <f>IF(B235="","",B235)</f>
        <v/>
      </c>
      <c r="D235" t="inlineStr">
        <is>
          <t>--PALLETS--</t>
        </is>
      </c>
    </row>
    <row r="236">
      <c r="A236" t="inlineStr">
        <is>
          <t>Location label (rack/floor/zone).</t>
        </is>
      </c>
      <c r="B236">
        <f>IF('02_Warehouse_Locations'!A235="","",'02_Warehouse_Locations'!A235)</f>
        <v/>
      </c>
      <c r="C236">
        <f>IF(B236="","",B236)</f>
        <v/>
      </c>
      <c r="D236" t="inlineStr">
        <is>
          <t>--PALLETS--</t>
        </is>
      </c>
    </row>
    <row r="237">
      <c r="A237" t="inlineStr">
        <is>
          <t>Location label (rack/floor/zone).</t>
        </is>
      </c>
      <c r="B237">
        <f>IF('02_Warehouse_Locations'!A236="","",'02_Warehouse_Locations'!A236)</f>
        <v/>
      </c>
      <c r="C237">
        <f>IF(B237="","",B237)</f>
        <v/>
      </c>
      <c r="D237" t="inlineStr">
        <is>
          <t>--PALLETS--</t>
        </is>
      </c>
    </row>
    <row r="238">
      <c r="A238" t="inlineStr">
        <is>
          <t>Location label (rack/floor/zone).</t>
        </is>
      </c>
      <c r="B238">
        <f>IF('02_Warehouse_Locations'!A237="","",'02_Warehouse_Locations'!A237)</f>
        <v/>
      </c>
      <c r="C238">
        <f>IF(B238="","",B238)</f>
        <v/>
      </c>
      <c r="D238" t="inlineStr">
        <is>
          <t>--PALLETS--</t>
        </is>
      </c>
    </row>
    <row r="239">
      <c r="A239" t="inlineStr">
        <is>
          <t>Location label (rack/floor/zone).</t>
        </is>
      </c>
      <c r="B239">
        <f>IF('02_Warehouse_Locations'!A238="","",'02_Warehouse_Locations'!A238)</f>
        <v/>
      </c>
      <c r="C239">
        <f>IF(B239="","",B239)</f>
        <v/>
      </c>
      <c r="D239" t="inlineStr">
        <is>
          <t>--PALLETS--</t>
        </is>
      </c>
    </row>
    <row r="240">
      <c r="A240" t="inlineStr">
        <is>
          <t>Location label (rack/floor/zone).</t>
        </is>
      </c>
      <c r="B240">
        <f>IF('02_Warehouse_Locations'!A239="","",'02_Warehouse_Locations'!A239)</f>
        <v/>
      </c>
      <c r="C240">
        <f>IF(B240="","",B240)</f>
        <v/>
      </c>
      <c r="D240" t="inlineStr">
        <is>
          <t>--PALLETS--</t>
        </is>
      </c>
    </row>
    <row r="241">
      <c r="A241" t="inlineStr">
        <is>
          <t>Location label (rack/floor/zone).</t>
        </is>
      </c>
      <c r="B241">
        <f>IF('02_Warehouse_Locations'!A240="","",'02_Warehouse_Locations'!A240)</f>
        <v/>
      </c>
      <c r="C241">
        <f>IF(B241="","",B241)</f>
        <v/>
      </c>
      <c r="D241" t="inlineStr">
        <is>
          <t>--PALLETS--</t>
        </is>
      </c>
    </row>
    <row r="242">
      <c r="A242" t="inlineStr">
        <is>
          <t>Location label (rack/floor/zone).</t>
        </is>
      </c>
      <c r="B242">
        <f>IF('02_Warehouse_Locations'!A241="","",'02_Warehouse_Locations'!A241)</f>
        <v/>
      </c>
      <c r="C242">
        <f>IF(B242="","",B242)</f>
        <v/>
      </c>
      <c r="D242" t="inlineStr">
        <is>
          <t>--PALLETS--</t>
        </is>
      </c>
    </row>
    <row r="243">
      <c r="A243" t="inlineStr">
        <is>
          <t>Location label (rack/floor/zone).</t>
        </is>
      </c>
      <c r="B243">
        <f>IF('02_Warehouse_Locations'!A242="","",'02_Warehouse_Locations'!A242)</f>
        <v/>
      </c>
      <c r="C243">
        <f>IF(B243="","",B243)</f>
        <v/>
      </c>
      <c r="D243" t="inlineStr">
        <is>
          <t>--PALLETS--</t>
        </is>
      </c>
    </row>
    <row r="244">
      <c r="A244" t="inlineStr">
        <is>
          <t>Location label (rack/floor/zone).</t>
        </is>
      </c>
      <c r="B244">
        <f>IF('02_Warehouse_Locations'!A243="","",'02_Warehouse_Locations'!A243)</f>
        <v/>
      </c>
      <c r="C244">
        <f>IF(B244="","",B244)</f>
        <v/>
      </c>
      <c r="D244" t="inlineStr">
        <is>
          <t>--PALLETS--</t>
        </is>
      </c>
    </row>
    <row r="245">
      <c r="A245" t="inlineStr">
        <is>
          <t>Location label (rack/floor/zone).</t>
        </is>
      </c>
      <c r="B245">
        <f>IF('02_Warehouse_Locations'!A244="","",'02_Warehouse_Locations'!A244)</f>
        <v/>
      </c>
      <c r="C245">
        <f>IF(B245="","",B245)</f>
        <v/>
      </c>
      <c r="D245" t="inlineStr">
        <is>
          <t>--PALLETS--</t>
        </is>
      </c>
    </row>
    <row r="246">
      <c r="A246" t="inlineStr">
        <is>
          <t>Location label (rack/floor/zone).</t>
        </is>
      </c>
      <c r="B246">
        <f>IF('02_Warehouse_Locations'!A245="","",'02_Warehouse_Locations'!A245)</f>
        <v/>
      </c>
      <c r="C246">
        <f>IF(B246="","",B246)</f>
        <v/>
      </c>
      <c r="D246" t="inlineStr">
        <is>
          <t>--PALLETS--</t>
        </is>
      </c>
    </row>
    <row r="247">
      <c r="A247" t="inlineStr">
        <is>
          <t>Location label (rack/floor/zone).</t>
        </is>
      </c>
      <c r="B247">
        <f>IF('02_Warehouse_Locations'!A246="","",'02_Warehouse_Locations'!A246)</f>
        <v/>
      </c>
      <c r="C247">
        <f>IF(B247="","",B247)</f>
        <v/>
      </c>
      <c r="D247" t="inlineStr">
        <is>
          <t>--PALLETS--</t>
        </is>
      </c>
    </row>
    <row r="248">
      <c r="A248" t="inlineStr">
        <is>
          <t>Location label (rack/floor/zone).</t>
        </is>
      </c>
      <c r="B248">
        <f>IF('02_Warehouse_Locations'!A247="","",'02_Warehouse_Locations'!A247)</f>
        <v/>
      </c>
      <c r="C248">
        <f>IF(B248="","",B248)</f>
        <v/>
      </c>
      <c r="D248" t="inlineStr">
        <is>
          <t>--PALLETS--</t>
        </is>
      </c>
    </row>
    <row r="249">
      <c r="A249" t="inlineStr">
        <is>
          <t>Location label (rack/floor/zone).</t>
        </is>
      </c>
      <c r="B249">
        <f>IF('02_Warehouse_Locations'!A248="","",'02_Warehouse_Locations'!A248)</f>
        <v/>
      </c>
      <c r="C249">
        <f>IF(B249="","",B249)</f>
        <v/>
      </c>
      <c r="D249" t="inlineStr">
        <is>
          <t>--PALLETS--</t>
        </is>
      </c>
    </row>
    <row r="250">
      <c r="A250" t="inlineStr">
        <is>
          <t>Location label (rack/floor/zone).</t>
        </is>
      </c>
      <c r="B250">
        <f>IF('02_Warehouse_Locations'!A249="","",'02_Warehouse_Locations'!A249)</f>
        <v/>
      </c>
      <c r="C250">
        <f>IF(B250="","",B250)</f>
        <v/>
      </c>
      <c r="D250" t="inlineStr">
        <is>
          <t>--PALLETS--</t>
        </is>
      </c>
    </row>
    <row r="251">
      <c r="A251" t="inlineStr">
        <is>
          <t>Location label (rack/floor/zone).</t>
        </is>
      </c>
      <c r="B251">
        <f>IF('02_Warehouse_Locations'!A250="","",'02_Warehouse_Locations'!A250)</f>
        <v/>
      </c>
      <c r="C251">
        <f>IF(B251="","",B251)</f>
        <v/>
      </c>
      <c r="D251" t="inlineStr">
        <is>
          <t>--PALLETS--</t>
        </is>
      </c>
    </row>
    <row r="252">
      <c r="A252" t="inlineStr">
        <is>
          <t>Location label (rack/floor/zone).</t>
        </is>
      </c>
      <c r="B252">
        <f>IF('02_Warehouse_Locations'!A251="","",'02_Warehouse_Locations'!A251)</f>
        <v/>
      </c>
      <c r="C252">
        <f>IF(B252="","",B252)</f>
        <v/>
      </c>
      <c r="D252" t="inlineStr">
        <is>
          <t>--PALLETS--</t>
        </is>
      </c>
    </row>
    <row r="253">
      <c r="A253" t="inlineStr">
        <is>
          <t>Location label (rack/floor/zone).</t>
        </is>
      </c>
      <c r="B253">
        <f>IF('02_Warehouse_Locations'!A252="","",'02_Warehouse_Locations'!A252)</f>
        <v/>
      </c>
      <c r="C253">
        <f>IF(B253="","",B253)</f>
        <v/>
      </c>
      <c r="D253" t="inlineStr">
        <is>
          <t>--PALLETS--</t>
        </is>
      </c>
    </row>
    <row r="254">
      <c r="A254" t="inlineStr">
        <is>
          <t>Location label (rack/floor/zone).</t>
        </is>
      </c>
      <c r="B254">
        <f>IF('02_Warehouse_Locations'!A253="","",'02_Warehouse_Locations'!A253)</f>
        <v/>
      </c>
      <c r="C254">
        <f>IF(B254="","",B254)</f>
        <v/>
      </c>
      <c r="D254" t="inlineStr">
        <is>
          <t>--PALLETS--</t>
        </is>
      </c>
    </row>
    <row r="255">
      <c r="A255" t="inlineStr">
        <is>
          <t>Location label (rack/floor/zone).</t>
        </is>
      </c>
      <c r="B255">
        <f>IF('02_Warehouse_Locations'!A254="","",'02_Warehouse_Locations'!A254)</f>
        <v/>
      </c>
      <c r="C255">
        <f>IF(B255="","",B255)</f>
        <v/>
      </c>
      <c r="D255" t="inlineStr">
        <is>
          <t>--PALLETS--</t>
        </is>
      </c>
    </row>
    <row r="256">
      <c r="A256" t="inlineStr">
        <is>
          <t>Location label (rack/floor/zone).</t>
        </is>
      </c>
      <c r="B256">
        <f>IF('02_Warehouse_Locations'!A255="","",'02_Warehouse_Locations'!A255)</f>
        <v/>
      </c>
      <c r="C256">
        <f>IF(B256="","",B256)</f>
        <v/>
      </c>
      <c r="D256" t="inlineStr">
        <is>
          <t>--PALLETS--</t>
        </is>
      </c>
    </row>
    <row r="257">
      <c r="A257" t="inlineStr">
        <is>
          <t>Location label (rack/floor/zone).</t>
        </is>
      </c>
      <c r="B257">
        <f>IF('02_Warehouse_Locations'!A256="","",'02_Warehouse_Locations'!A256)</f>
        <v/>
      </c>
      <c r="C257">
        <f>IF(B257="","",B257)</f>
        <v/>
      </c>
      <c r="D257" t="inlineStr">
        <is>
          <t>--PALLETS--</t>
        </is>
      </c>
    </row>
    <row r="258">
      <c r="A258" t="inlineStr">
        <is>
          <t>Location label (rack/floor/zone).</t>
        </is>
      </c>
      <c r="B258">
        <f>IF('02_Warehouse_Locations'!A257="","",'02_Warehouse_Locations'!A257)</f>
        <v/>
      </c>
      <c r="C258">
        <f>IF(B258="","",B258)</f>
        <v/>
      </c>
      <c r="D258" t="inlineStr">
        <is>
          <t>--PALLETS--</t>
        </is>
      </c>
    </row>
    <row r="259">
      <c r="A259" t="inlineStr">
        <is>
          <t>Location label (rack/floor/zone).</t>
        </is>
      </c>
      <c r="B259">
        <f>IF('02_Warehouse_Locations'!A258="","",'02_Warehouse_Locations'!A258)</f>
        <v/>
      </c>
      <c r="C259">
        <f>IF(B259="","",B259)</f>
        <v/>
      </c>
      <c r="D259" t="inlineStr">
        <is>
          <t>--PALLETS--</t>
        </is>
      </c>
    </row>
    <row r="260">
      <c r="A260" t="inlineStr">
        <is>
          <t>Location label (rack/floor/zone).</t>
        </is>
      </c>
      <c r="B260">
        <f>IF('02_Warehouse_Locations'!A259="","",'02_Warehouse_Locations'!A259)</f>
        <v/>
      </c>
      <c r="C260">
        <f>IF(B260="","",B260)</f>
        <v/>
      </c>
      <c r="D260" t="inlineStr">
        <is>
          <t>--PALLETS--</t>
        </is>
      </c>
    </row>
    <row r="261">
      <c r="A261" t="inlineStr">
        <is>
          <t>Location label (rack/floor/zone).</t>
        </is>
      </c>
      <c r="B261">
        <f>IF('02_Warehouse_Locations'!A260="","",'02_Warehouse_Locations'!A260)</f>
        <v/>
      </c>
      <c r="C261">
        <f>IF(B261="","",B261)</f>
        <v/>
      </c>
      <c r="D261" t="inlineStr">
        <is>
          <t>--PALLETS--</t>
        </is>
      </c>
    </row>
    <row r="262">
      <c r="A262" t="inlineStr">
        <is>
          <t>Location label (rack/floor/zone).</t>
        </is>
      </c>
      <c r="B262">
        <f>IF('02_Warehouse_Locations'!A261="","",'02_Warehouse_Locations'!A261)</f>
        <v/>
      </c>
      <c r="C262">
        <f>IF(B262="","",B262)</f>
        <v/>
      </c>
      <c r="D262" t="inlineStr">
        <is>
          <t>--PALLETS--</t>
        </is>
      </c>
    </row>
    <row r="263">
      <c r="A263" t="inlineStr">
        <is>
          <t>Location label (rack/floor/zone).</t>
        </is>
      </c>
      <c r="B263">
        <f>IF('02_Warehouse_Locations'!A262="","",'02_Warehouse_Locations'!A262)</f>
        <v/>
      </c>
      <c r="C263">
        <f>IF(B263="","",B263)</f>
        <v/>
      </c>
      <c r="D263" t="inlineStr">
        <is>
          <t>--PALLETS--</t>
        </is>
      </c>
    </row>
    <row r="264">
      <c r="A264" t="inlineStr">
        <is>
          <t>Location label (rack/floor/zone).</t>
        </is>
      </c>
      <c r="B264">
        <f>IF('02_Warehouse_Locations'!A263="","",'02_Warehouse_Locations'!A263)</f>
        <v/>
      </c>
      <c r="C264">
        <f>IF(B264="","",B264)</f>
        <v/>
      </c>
      <c r="D264" t="inlineStr">
        <is>
          <t>--PALLETS--</t>
        </is>
      </c>
    </row>
    <row r="265">
      <c r="A265" t="inlineStr">
        <is>
          <t>Location label (rack/floor/zone).</t>
        </is>
      </c>
      <c r="B265">
        <f>IF('02_Warehouse_Locations'!A264="","",'02_Warehouse_Locations'!A264)</f>
        <v/>
      </c>
      <c r="C265">
        <f>IF(B265="","",B265)</f>
        <v/>
      </c>
      <c r="D265" t="inlineStr">
        <is>
          <t>--PALLETS--</t>
        </is>
      </c>
    </row>
    <row r="266">
      <c r="A266" t="inlineStr">
        <is>
          <t>Location label (rack/floor/zone).</t>
        </is>
      </c>
      <c r="B266">
        <f>IF('02_Warehouse_Locations'!A265="","",'02_Warehouse_Locations'!A265)</f>
        <v/>
      </c>
      <c r="C266">
        <f>IF(B266="","",B266)</f>
        <v/>
      </c>
      <c r="D266" t="inlineStr">
        <is>
          <t>--PALLETS--</t>
        </is>
      </c>
    </row>
    <row r="267">
      <c r="A267" t="inlineStr">
        <is>
          <t>Location label (rack/floor/zone).</t>
        </is>
      </c>
      <c r="B267">
        <f>IF('02_Warehouse_Locations'!A266="","",'02_Warehouse_Locations'!A266)</f>
        <v/>
      </c>
      <c r="C267">
        <f>IF(B267="","",B267)</f>
        <v/>
      </c>
      <c r="D267" t="inlineStr">
        <is>
          <t>--PALLETS--</t>
        </is>
      </c>
    </row>
    <row r="268">
      <c r="A268" t="inlineStr">
        <is>
          <t>Location label (rack/floor/zone).</t>
        </is>
      </c>
      <c r="B268">
        <f>IF('02_Warehouse_Locations'!A267="","",'02_Warehouse_Locations'!A267)</f>
        <v/>
      </c>
      <c r="C268">
        <f>IF(B268="","",B268)</f>
        <v/>
      </c>
      <c r="D268" t="inlineStr">
        <is>
          <t>--PALLETS--</t>
        </is>
      </c>
    </row>
    <row r="269">
      <c r="A269" t="inlineStr">
        <is>
          <t>Location label (rack/floor/zone).</t>
        </is>
      </c>
      <c r="B269">
        <f>IF('02_Warehouse_Locations'!A268="","",'02_Warehouse_Locations'!A268)</f>
        <v/>
      </c>
      <c r="C269">
        <f>IF(B269="","",B269)</f>
        <v/>
      </c>
      <c r="D269" t="inlineStr">
        <is>
          <t>--PALLETS--</t>
        </is>
      </c>
    </row>
    <row r="270">
      <c r="A270" t="inlineStr">
        <is>
          <t>Location label (rack/floor/zone).</t>
        </is>
      </c>
      <c r="B270">
        <f>IF('02_Warehouse_Locations'!A269="","",'02_Warehouse_Locations'!A269)</f>
        <v/>
      </c>
      <c r="C270">
        <f>IF(B270="","",B270)</f>
        <v/>
      </c>
      <c r="D270" t="inlineStr">
        <is>
          <t>--PALLETS--</t>
        </is>
      </c>
    </row>
    <row r="271">
      <c r="A271" t="inlineStr">
        <is>
          <t>Location label (rack/floor/zone).</t>
        </is>
      </c>
      <c r="B271">
        <f>IF('02_Warehouse_Locations'!A270="","",'02_Warehouse_Locations'!A270)</f>
        <v/>
      </c>
      <c r="C271">
        <f>IF(B271="","",B271)</f>
        <v/>
      </c>
      <c r="D271" t="inlineStr">
        <is>
          <t>--PALLETS--</t>
        </is>
      </c>
    </row>
    <row r="272">
      <c r="A272" t="inlineStr">
        <is>
          <t>Location label (rack/floor/zone).</t>
        </is>
      </c>
      <c r="B272">
        <f>IF('02_Warehouse_Locations'!A271="","",'02_Warehouse_Locations'!A271)</f>
        <v/>
      </c>
      <c r="C272">
        <f>IF(B272="","",B272)</f>
        <v/>
      </c>
      <c r="D272" t="inlineStr">
        <is>
          <t>--PALLETS--</t>
        </is>
      </c>
    </row>
    <row r="273">
      <c r="A273" t="inlineStr">
        <is>
          <t>Location label (rack/floor/zone).</t>
        </is>
      </c>
      <c r="B273">
        <f>IF('02_Warehouse_Locations'!A272="","",'02_Warehouse_Locations'!A272)</f>
        <v/>
      </c>
      <c r="C273">
        <f>IF(B273="","",B273)</f>
        <v/>
      </c>
      <c r="D273" t="inlineStr">
        <is>
          <t>--PALLETS--</t>
        </is>
      </c>
    </row>
    <row r="274">
      <c r="A274" t="inlineStr">
        <is>
          <t>Location label (rack/floor/zone).</t>
        </is>
      </c>
      <c r="B274">
        <f>IF('02_Warehouse_Locations'!A273="","",'02_Warehouse_Locations'!A273)</f>
        <v/>
      </c>
      <c r="C274">
        <f>IF(B274="","",B274)</f>
        <v/>
      </c>
      <c r="D274" t="inlineStr">
        <is>
          <t>--PALLETS--</t>
        </is>
      </c>
    </row>
    <row r="275">
      <c r="A275" t="inlineStr">
        <is>
          <t>Location label (rack/floor/zone).</t>
        </is>
      </c>
      <c r="B275">
        <f>IF('02_Warehouse_Locations'!A274="","",'02_Warehouse_Locations'!A274)</f>
        <v/>
      </c>
      <c r="C275">
        <f>IF(B275="","",B275)</f>
        <v/>
      </c>
      <c r="D275" t="inlineStr">
        <is>
          <t>--PALLETS--</t>
        </is>
      </c>
    </row>
    <row r="276">
      <c r="A276" t="inlineStr">
        <is>
          <t>Location label (rack/floor/zone).</t>
        </is>
      </c>
      <c r="B276">
        <f>IF('02_Warehouse_Locations'!A275="","",'02_Warehouse_Locations'!A275)</f>
        <v/>
      </c>
      <c r="C276">
        <f>IF(B276="","",B276)</f>
        <v/>
      </c>
      <c r="D276" t="inlineStr">
        <is>
          <t>--PALLETS--</t>
        </is>
      </c>
    </row>
    <row r="277">
      <c r="A277" t="inlineStr">
        <is>
          <t>Location label (rack/floor/zone).</t>
        </is>
      </c>
      <c r="B277">
        <f>IF('02_Warehouse_Locations'!A276="","",'02_Warehouse_Locations'!A276)</f>
        <v/>
      </c>
      <c r="C277">
        <f>IF(B277="","",B277)</f>
        <v/>
      </c>
      <c r="D277" t="inlineStr">
        <is>
          <t>--PALLETS--</t>
        </is>
      </c>
    </row>
    <row r="278">
      <c r="A278" t="inlineStr">
        <is>
          <t>Location label (rack/floor/zone).</t>
        </is>
      </c>
      <c r="B278">
        <f>IF('02_Warehouse_Locations'!A277="","",'02_Warehouse_Locations'!A277)</f>
        <v/>
      </c>
      <c r="C278">
        <f>IF(B278="","",B278)</f>
        <v/>
      </c>
      <c r="D278" t="inlineStr">
        <is>
          <t>--PALLETS--</t>
        </is>
      </c>
    </row>
    <row r="279">
      <c r="A279" t="inlineStr">
        <is>
          <t>Location label (rack/floor/zone).</t>
        </is>
      </c>
      <c r="B279">
        <f>IF('02_Warehouse_Locations'!A278="","",'02_Warehouse_Locations'!A278)</f>
        <v/>
      </c>
      <c r="C279">
        <f>IF(B279="","",B279)</f>
        <v/>
      </c>
      <c r="D279" t="inlineStr">
        <is>
          <t>--PALLETS--</t>
        </is>
      </c>
    </row>
    <row r="280">
      <c r="A280" t="inlineStr">
        <is>
          <t>Location label (rack/floor/zone).</t>
        </is>
      </c>
      <c r="B280">
        <f>IF('02_Warehouse_Locations'!A279="","",'02_Warehouse_Locations'!A279)</f>
        <v/>
      </c>
      <c r="C280">
        <f>IF(B280="","",B280)</f>
        <v/>
      </c>
      <c r="D280" t="inlineStr">
        <is>
          <t>--PALLETS--</t>
        </is>
      </c>
    </row>
    <row r="281">
      <c r="A281" t="inlineStr">
        <is>
          <t>Location label (rack/floor/zone).</t>
        </is>
      </c>
      <c r="B281">
        <f>IF('02_Warehouse_Locations'!A280="","",'02_Warehouse_Locations'!A280)</f>
        <v/>
      </c>
      <c r="C281">
        <f>IF(B281="","",B281)</f>
        <v/>
      </c>
      <c r="D281" t="inlineStr">
        <is>
          <t>--PALLETS--</t>
        </is>
      </c>
    </row>
    <row r="282">
      <c r="A282" t="inlineStr">
        <is>
          <t>Location label (rack/floor/zone).</t>
        </is>
      </c>
      <c r="B282">
        <f>IF('02_Warehouse_Locations'!A281="","",'02_Warehouse_Locations'!A281)</f>
        <v/>
      </c>
      <c r="C282">
        <f>IF(B282="","",B282)</f>
        <v/>
      </c>
      <c r="D282" t="inlineStr">
        <is>
          <t>--PALLETS--</t>
        </is>
      </c>
    </row>
    <row r="283">
      <c r="A283" t="inlineStr">
        <is>
          <t>Location label (rack/floor/zone).</t>
        </is>
      </c>
      <c r="B283">
        <f>IF('02_Warehouse_Locations'!A282="","",'02_Warehouse_Locations'!A282)</f>
        <v/>
      </c>
      <c r="C283">
        <f>IF(B283="","",B283)</f>
        <v/>
      </c>
      <c r="D283" t="inlineStr">
        <is>
          <t>--PALLETS--</t>
        </is>
      </c>
    </row>
    <row r="284">
      <c r="A284" t="inlineStr">
        <is>
          <t>Location label (rack/floor/zone).</t>
        </is>
      </c>
      <c r="B284">
        <f>IF('02_Warehouse_Locations'!A283="","",'02_Warehouse_Locations'!A283)</f>
        <v/>
      </c>
      <c r="C284">
        <f>IF(B284="","",B284)</f>
        <v/>
      </c>
      <c r="D284" t="inlineStr">
        <is>
          <t>--PALLETS--</t>
        </is>
      </c>
    </row>
    <row r="285">
      <c r="A285" t="inlineStr">
        <is>
          <t>Location label (rack/floor/zone).</t>
        </is>
      </c>
      <c r="B285">
        <f>IF('02_Warehouse_Locations'!A284="","",'02_Warehouse_Locations'!A284)</f>
        <v/>
      </c>
      <c r="C285">
        <f>IF(B285="","",B285)</f>
        <v/>
      </c>
      <c r="D285" t="inlineStr">
        <is>
          <t>--PALLETS--</t>
        </is>
      </c>
    </row>
    <row r="286">
      <c r="A286" t="inlineStr">
        <is>
          <t>Location label (rack/floor/zone).</t>
        </is>
      </c>
      <c r="B286">
        <f>IF('02_Warehouse_Locations'!A285="","",'02_Warehouse_Locations'!A285)</f>
        <v/>
      </c>
      <c r="C286">
        <f>IF(B286="","",B286)</f>
        <v/>
      </c>
      <c r="D286" t="inlineStr">
        <is>
          <t>--PALLETS--</t>
        </is>
      </c>
    </row>
    <row r="287">
      <c r="A287" t="inlineStr">
        <is>
          <t>Location label (rack/floor/zone).</t>
        </is>
      </c>
      <c r="B287">
        <f>IF('02_Warehouse_Locations'!A286="","",'02_Warehouse_Locations'!A286)</f>
        <v/>
      </c>
      <c r="C287">
        <f>IF(B287="","",B287)</f>
        <v/>
      </c>
      <c r="D287" t="inlineStr">
        <is>
          <t>--PALLETS--</t>
        </is>
      </c>
    </row>
    <row r="288">
      <c r="A288" t="inlineStr">
        <is>
          <t>Location label (rack/floor/zone).</t>
        </is>
      </c>
      <c r="B288">
        <f>IF('02_Warehouse_Locations'!A287="","",'02_Warehouse_Locations'!A287)</f>
        <v/>
      </c>
      <c r="C288">
        <f>IF(B288="","",B288)</f>
        <v/>
      </c>
      <c r="D288" t="inlineStr">
        <is>
          <t>--PALLETS--</t>
        </is>
      </c>
    </row>
    <row r="289">
      <c r="A289" t="inlineStr">
        <is>
          <t>Location label (rack/floor/zone).</t>
        </is>
      </c>
      <c r="B289">
        <f>IF('02_Warehouse_Locations'!A288="","",'02_Warehouse_Locations'!A288)</f>
        <v/>
      </c>
      <c r="C289">
        <f>IF(B289="","",B289)</f>
        <v/>
      </c>
      <c r="D289" t="inlineStr">
        <is>
          <t>--PALLETS--</t>
        </is>
      </c>
    </row>
    <row r="290">
      <c r="A290" t="inlineStr">
        <is>
          <t>Location label (rack/floor/zone).</t>
        </is>
      </c>
      <c r="B290">
        <f>IF('02_Warehouse_Locations'!A289="","",'02_Warehouse_Locations'!A289)</f>
        <v/>
      </c>
      <c r="C290">
        <f>IF(B290="","",B290)</f>
        <v/>
      </c>
      <c r="D290" t="inlineStr">
        <is>
          <t>--PALLETS--</t>
        </is>
      </c>
    </row>
    <row r="291">
      <c r="A291" t="inlineStr">
        <is>
          <t>Location label (rack/floor/zone).</t>
        </is>
      </c>
      <c r="B291">
        <f>IF('02_Warehouse_Locations'!A290="","",'02_Warehouse_Locations'!A290)</f>
        <v/>
      </c>
      <c r="C291">
        <f>IF(B291="","",B291)</f>
        <v/>
      </c>
      <c r="D291" t="inlineStr">
        <is>
          <t>--PALLETS--</t>
        </is>
      </c>
    </row>
    <row r="292">
      <c r="A292" t="inlineStr">
        <is>
          <t>Location label (rack/floor/zone).</t>
        </is>
      </c>
      <c r="B292">
        <f>IF('02_Warehouse_Locations'!A291="","",'02_Warehouse_Locations'!A291)</f>
        <v/>
      </c>
      <c r="C292">
        <f>IF(B292="","",B292)</f>
        <v/>
      </c>
      <c r="D292" t="inlineStr">
        <is>
          <t>--PALLETS--</t>
        </is>
      </c>
    </row>
    <row r="293">
      <c r="A293" t="inlineStr">
        <is>
          <t>Location label (rack/floor/zone).</t>
        </is>
      </c>
      <c r="B293">
        <f>IF('02_Warehouse_Locations'!A292="","",'02_Warehouse_Locations'!A292)</f>
        <v/>
      </c>
      <c r="C293">
        <f>IF(B293="","",B293)</f>
        <v/>
      </c>
      <c r="D293" t="inlineStr">
        <is>
          <t>--PALLETS--</t>
        </is>
      </c>
    </row>
    <row r="294">
      <c r="A294" t="inlineStr">
        <is>
          <t>Location label (rack/floor/zone).</t>
        </is>
      </c>
      <c r="B294">
        <f>IF('02_Warehouse_Locations'!A293="","",'02_Warehouse_Locations'!A293)</f>
        <v/>
      </c>
      <c r="C294">
        <f>IF(B294="","",B294)</f>
        <v/>
      </c>
      <c r="D294" t="inlineStr">
        <is>
          <t>--PALLETS--</t>
        </is>
      </c>
    </row>
    <row r="295">
      <c r="A295" t="inlineStr">
        <is>
          <t>Location label (rack/floor/zone).</t>
        </is>
      </c>
      <c r="B295">
        <f>IF('02_Warehouse_Locations'!A294="","",'02_Warehouse_Locations'!A294)</f>
        <v/>
      </c>
      <c r="C295">
        <f>IF(B295="","",B295)</f>
        <v/>
      </c>
      <c r="D295" t="inlineStr">
        <is>
          <t>--PALLETS--</t>
        </is>
      </c>
    </row>
    <row r="296">
      <c r="A296" t="inlineStr">
        <is>
          <t>Location label (rack/floor/zone).</t>
        </is>
      </c>
      <c r="B296">
        <f>IF('02_Warehouse_Locations'!A295="","",'02_Warehouse_Locations'!A295)</f>
        <v/>
      </c>
      <c r="C296">
        <f>IF(B296="","",B296)</f>
        <v/>
      </c>
      <c r="D296" t="inlineStr">
        <is>
          <t>--PALLETS--</t>
        </is>
      </c>
    </row>
    <row r="297">
      <c r="A297" t="inlineStr">
        <is>
          <t>Location label (rack/floor/zone).</t>
        </is>
      </c>
      <c r="B297">
        <f>IF('02_Warehouse_Locations'!A296="","",'02_Warehouse_Locations'!A296)</f>
        <v/>
      </c>
      <c r="C297">
        <f>IF(B297="","",B297)</f>
        <v/>
      </c>
      <c r="D297" t="inlineStr">
        <is>
          <t>--PALLETS--</t>
        </is>
      </c>
    </row>
    <row r="298">
      <c r="A298" t="inlineStr">
        <is>
          <t>Location label (rack/floor/zone).</t>
        </is>
      </c>
      <c r="B298">
        <f>IF('02_Warehouse_Locations'!A297="","",'02_Warehouse_Locations'!A297)</f>
        <v/>
      </c>
      <c r="C298">
        <f>IF(B298="","",B298)</f>
        <v/>
      </c>
      <c r="D298" t="inlineStr">
        <is>
          <t>--PALLETS--</t>
        </is>
      </c>
    </row>
    <row r="299">
      <c r="A299" t="inlineStr">
        <is>
          <t>Location label (rack/floor/zone).</t>
        </is>
      </c>
      <c r="B299">
        <f>IF('02_Warehouse_Locations'!A298="","",'02_Warehouse_Locations'!A298)</f>
        <v/>
      </c>
      <c r="C299">
        <f>IF(B299="","",B299)</f>
        <v/>
      </c>
      <c r="D299" t="inlineStr">
        <is>
          <t>--PALLETS--</t>
        </is>
      </c>
    </row>
    <row r="300">
      <c r="A300" t="inlineStr">
        <is>
          <t>Location label (rack/floor/zone).</t>
        </is>
      </c>
      <c r="B300">
        <f>IF('02_Warehouse_Locations'!A299="","",'02_Warehouse_Locations'!A299)</f>
        <v/>
      </c>
      <c r="C300">
        <f>IF(B300="","",B300)</f>
        <v/>
      </c>
      <c r="D300" t="inlineStr">
        <is>
          <t>--PALLETS--</t>
        </is>
      </c>
    </row>
    <row r="301">
      <c r="A301" t="inlineStr">
        <is>
          <t>Location label (rack/floor/zone).</t>
        </is>
      </c>
      <c r="B301">
        <f>IF('02_Warehouse_Locations'!A300="","",'02_Warehouse_Locations'!A300)</f>
        <v/>
      </c>
      <c r="C301">
        <f>IF(B301="","",B301)</f>
        <v/>
      </c>
      <c r="D301" t="inlineStr">
        <is>
          <t>--PALLETS--</t>
        </is>
      </c>
    </row>
    <row r="302">
      <c r="A302" t="inlineStr">
        <is>
          <t>Location label (rack/floor/zone).</t>
        </is>
      </c>
      <c r="B302">
        <f>IF('02_Warehouse_Locations'!A301="","",'02_Warehouse_Locations'!A301)</f>
        <v/>
      </c>
      <c r="C302">
        <f>IF(B302="","",B302)</f>
        <v/>
      </c>
      <c r="D302" t="inlineStr">
        <is>
          <t>--PALLETS--</t>
        </is>
      </c>
    </row>
    <row r="303">
      <c r="A303" t="inlineStr">
        <is>
          <t>Location label (rack/floor/zone).</t>
        </is>
      </c>
      <c r="B303">
        <f>IF('02_Warehouse_Locations'!A302="","",'02_Warehouse_Locations'!A302)</f>
        <v/>
      </c>
      <c r="C303">
        <f>IF(B303="","",B303)</f>
        <v/>
      </c>
      <c r="D303" t="inlineStr">
        <is>
          <t>--PALLETS--</t>
        </is>
      </c>
    </row>
    <row r="304">
      <c r="A304" t="inlineStr">
        <is>
          <t>Location label (rack/floor/zone).</t>
        </is>
      </c>
      <c r="B304">
        <f>IF('02_Warehouse_Locations'!A303="","",'02_Warehouse_Locations'!A303)</f>
        <v/>
      </c>
      <c r="C304">
        <f>IF(B304="","",B304)</f>
        <v/>
      </c>
      <c r="D304" t="inlineStr">
        <is>
          <t>--PALLETS--</t>
        </is>
      </c>
    </row>
    <row r="305">
      <c r="A305" t="inlineStr">
        <is>
          <t>Location label (rack/floor/zone).</t>
        </is>
      </c>
      <c r="B305">
        <f>IF('02_Warehouse_Locations'!A304="","",'02_Warehouse_Locations'!A304)</f>
        <v/>
      </c>
      <c r="C305">
        <f>IF(B305="","",B305)</f>
        <v/>
      </c>
      <c r="D305" t="inlineStr">
        <is>
          <t>--PALLETS--</t>
        </is>
      </c>
    </row>
    <row r="306">
      <c r="A306" t="inlineStr">
        <is>
          <t>Location label (rack/floor/zone).</t>
        </is>
      </c>
      <c r="B306">
        <f>IF('02_Warehouse_Locations'!A305="","",'02_Warehouse_Locations'!A305)</f>
        <v/>
      </c>
      <c r="C306">
        <f>IF(B306="","",B306)</f>
        <v/>
      </c>
      <c r="D306" t="inlineStr">
        <is>
          <t>--PALLETS--</t>
        </is>
      </c>
    </row>
    <row r="307">
      <c r="A307" t="inlineStr">
        <is>
          <t>Location label (rack/floor/zone).</t>
        </is>
      </c>
      <c r="B307">
        <f>IF('02_Warehouse_Locations'!A306="","",'02_Warehouse_Locations'!A306)</f>
        <v/>
      </c>
      <c r="C307">
        <f>IF(B307="","",B307)</f>
        <v/>
      </c>
      <c r="D307" t="inlineStr">
        <is>
          <t>--PALLETS--</t>
        </is>
      </c>
    </row>
    <row r="308">
      <c r="A308" t="inlineStr">
        <is>
          <t>Location label (rack/floor/zone).</t>
        </is>
      </c>
      <c r="B308">
        <f>IF('02_Warehouse_Locations'!A307="","",'02_Warehouse_Locations'!A307)</f>
        <v/>
      </c>
      <c r="C308">
        <f>IF(B308="","",B308)</f>
        <v/>
      </c>
      <c r="D308" t="inlineStr">
        <is>
          <t>--PALLETS--</t>
        </is>
      </c>
    </row>
    <row r="309">
      <c r="A309" t="inlineStr">
        <is>
          <t>Location label (rack/floor/zone).</t>
        </is>
      </c>
      <c r="B309">
        <f>IF('02_Warehouse_Locations'!A308="","",'02_Warehouse_Locations'!A308)</f>
        <v/>
      </c>
      <c r="C309">
        <f>IF(B309="","",B309)</f>
        <v/>
      </c>
      <c r="D309" t="inlineStr">
        <is>
          <t>--PALLETS--</t>
        </is>
      </c>
    </row>
    <row r="310">
      <c r="A310" t="inlineStr">
        <is>
          <t>Location label (rack/floor/zone).</t>
        </is>
      </c>
      <c r="B310">
        <f>IF('02_Warehouse_Locations'!A309="","",'02_Warehouse_Locations'!A309)</f>
        <v/>
      </c>
      <c r="C310">
        <f>IF(B310="","",B310)</f>
        <v/>
      </c>
      <c r="D310" t="inlineStr">
        <is>
          <t>--PALLETS--</t>
        </is>
      </c>
    </row>
    <row r="311">
      <c r="A311" t="inlineStr">
        <is>
          <t>Location label (rack/floor/zone).</t>
        </is>
      </c>
      <c r="B311">
        <f>IF('02_Warehouse_Locations'!A310="","",'02_Warehouse_Locations'!A310)</f>
        <v/>
      </c>
      <c r="C311">
        <f>IF(B311="","",B311)</f>
        <v/>
      </c>
      <c r="D311" t="inlineStr">
        <is>
          <t>--PALLETS--</t>
        </is>
      </c>
    </row>
    <row r="312">
      <c r="A312" t="inlineStr">
        <is>
          <t>Location label (rack/floor/zone).</t>
        </is>
      </c>
      <c r="B312">
        <f>IF('02_Warehouse_Locations'!A311="","",'02_Warehouse_Locations'!A311)</f>
        <v/>
      </c>
      <c r="C312">
        <f>IF(B312="","",B312)</f>
        <v/>
      </c>
      <c r="D312" t="inlineStr">
        <is>
          <t>--PALLETS--</t>
        </is>
      </c>
    </row>
    <row r="313">
      <c r="A313" t="inlineStr">
        <is>
          <t>Location label (rack/floor/zone).</t>
        </is>
      </c>
      <c r="B313">
        <f>IF('02_Warehouse_Locations'!A312="","",'02_Warehouse_Locations'!A312)</f>
        <v/>
      </c>
      <c r="C313">
        <f>IF(B313="","",B313)</f>
        <v/>
      </c>
      <c r="D313" t="inlineStr">
        <is>
          <t>--PALLETS--</t>
        </is>
      </c>
    </row>
    <row r="314">
      <c r="A314" t="inlineStr">
        <is>
          <t>Location label (rack/floor/zone).</t>
        </is>
      </c>
      <c r="B314">
        <f>IF('02_Warehouse_Locations'!A313="","",'02_Warehouse_Locations'!A313)</f>
        <v/>
      </c>
      <c r="C314">
        <f>IF(B314="","",B314)</f>
        <v/>
      </c>
      <c r="D314" t="inlineStr">
        <is>
          <t>--PALLETS--</t>
        </is>
      </c>
    </row>
    <row r="315">
      <c r="A315" t="inlineStr">
        <is>
          <t>Location label (rack/floor/zone).</t>
        </is>
      </c>
      <c r="B315">
        <f>IF('02_Warehouse_Locations'!A314="","",'02_Warehouse_Locations'!A314)</f>
        <v/>
      </c>
      <c r="C315">
        <f>IF(B315="","",B315)</f>
        <v/>
      </c>
      <c r="D315" t="inlineStr">
        <is>
          <t>--PALLETS--</t>
        </is>
      </c>
    </row>
    <row r="316">
      <c r="A316" t="inlineStr">
        <is>
          <t>Location label (rack/floor/zone).</t>
        </is>
      </c>
      <c r="B316">
        <f>IF('02_Warehouse_Locations'!A315="","",'02_Warehouse_Locations'!A315)</f>
        <v/>
      </c>
      <c r="C316">
        <f>IF(B316="","",B316)</f>
        <v/>
      </c>
      <c r="D316" t="inlineStr">
        <is>
          <t>--PALLETS--</t>
        </is>
      </c>
    </row>
    <row r="317">
      <c r="A317" t="inlineStr">
        <is>
          <t>Location label (rack/floor/zone).</t>
        </is>
      </c>
      <c r="B317">
        <f>IF('02_Warehouse_Locations'!A316="","",'02_Warehouse_Locations'!A316)</f>
        <v/>
      </c>
      <c r="C317">
        <f>IF(B317="","",B317)</f>
        <v/>
      </c>
      <c r="D317" t="inlineStr">
        <is>
          <t>--PALLETS--</t>
        </is>
      </c>
    </row>
    <row r="318">
      <c r="A318" t="inlineStr">
        <is>
          <t>Location label (rack/floor/zone).</t>
        </is>
      </c>
      <c r="B318">
        <f>IF('02_Warehouse_Locations'!A317="","",'02_Warehouse_Locations'!A317)</f>
        <v/>
      </c>
      <c r="C318">
        <f>IF(B318="","",B318)</f>
        <v/>
      </c>
      <c r="D318" t="inlineStr">
        <is>
          <t>--PALLETS--</t>
        </is>
      </c>
    </row>
    <row r="319">
      <c r="A319" t="inlineStr">
        <is>
          <t>Location label (rack/floor/zone).</t>
        </is>
      </c>
      <c r="B319">
        <f>IF('02_Warehouse_Locations'!A318="","",'02_Warehouse_Locations'!A318)</f>
        <v/>
      </c>
      <c r="C319">
        <f>IF(B319="","",B319)</f>
        <v/>
      </c>
      <c r="D319" t="inlineStr">
        <is>
          <t>--PALLETS--</t>
        </is>
      </c>
    </row>
    <row r="320">
      <c r="A320" t="inlineStr">
        <is>
          <t>Location label (rack/floor/zone).</t>
        </is>
      </c>
      <c r="B320">
        <f>IF('02_Warehouse_Locations'!A319="","",'02_Warehouse_Locations'!A319)</f>
        <v/>
      </c>
      <c r="C320">
        <f>IF(B320="","",B320)</f>
        <v/>
      </c>
      <c r="D320" t="inlineStr">
        <is>
          <t>--PALLETS--</t>
        </is>
      </c>
    </row>
    <row r="321">
      <c r="A321" t="inlineStr">
        <is>
          <t>Location label (rack/floor/zone).</t>
        </is>
      </c>
      <c r="B321">
        <f>IF('02_Warehouse_Locations'!A320="","",'02_Warehouse_Locations'!A320)</f>
        <v/>
      </c>
      <c r="C321">
        <f>IF(B321="","",B321)</f>
        <v/>
      </c>
      <c r="D321" t="inlineStr">
        <is>
          <t>--PALLETS--</t>
        </is>
      </c>
    </row>
    <row r="322">
      <c r="A322" t="inlineStr">
        <is>
          <t>Location label (rack/floor/zone).</t>
        </is>
      </c>
      <c r="B322">
        <f>IF('02_Warehouse_Locations'!A321="","",'02_Warehouse_Locations'!A321)</f>
        <v/>
      </c>
      <c r="C322">
        <f>IF(B322="","",B322)</f>
        <v/>
      </c>
      <c r="D322" t="inlineStr">
        <is>
          <t>--PALLETS--</t>
        </is>
      </c>
    </row>
    <row r="323">
      <c r="A323" t="inlineStr">
        <is>
          <t>Location label (rack/floor/zone).</t>
        </is>
      </c>
      <c r="B323">
        <f>IF('02_Warehouse_Locations'!A322="","",'02_Warehouse_Locations'!A322)</f>
        <v/>
      </c>
      <c r="C323">
        <f>IF(B323="","",B323)</f>
        <v/>
      </c>
      <c r="D323" t="inlineStr">
        <is>
          <t>--PALLETS--</t>
        </is>
      </c>
    </row>
    <row r="324">
      <c r="A324" t="inlineStr">
        <is>
          <t>Location label (rack/floor/zone).</t>
        </is>
      </c>
      <c r="B324">
        <f>IF('02_Warehouse_Locations'!A323="","",'02_Warehouse_Locations'!A323)</f>
        <v/>
      </c>
      <c r="C324">
        <f>IF(B324="","",B324)</f>
        <v/>
      </c>
      <c r="D324" t="inlineStr">
        <is>
          <t>--PALLETS--</t>
        </is>
      </c>
    </row>
    <row r="325">
      <c r="A325" t="inlineStr">
        <is>
          <t>Location label (rack/floor/zone).</t>
        </is>
      </c>
      <c r="B325">
        <f>IF('02_Warehouse_Locations'!A324="","",'02_Warehouse_Locations'!A324)</f>
        <v/>
      </c>
      <c r="C325">
        <f>IF(B325="","",B325)</f>
        <v/>
      </c>
      <c r="D325" t="inlineStr">
        <is>
          <t>--PALLETS--</t>
        </is>
      </c>
    </row>
    <row r="326">
      <c r="A326" t="inlineStr">
        <is>
          <t>Location label (rack/floor/zone).</t>
        </is>
      </c>
      <c r="B326">
        <f>IF('02_Warehouse_Locations'!A325="","",'02_Warehouse_Locations'!A325)</f>
        <v/>
      </c>
      <c r="C326">
        <f>IF(B326="","",B326)</f>
        <v/>
      </c>
      <c r="D326" t="inlineStr">
        <is>
          <t>--PALLETS--</t>
        </is>
      </c>
    </row>
    <row r="327">
      <c r="A327" t="inlineStr">
        <is>
          <t>Location label (rack/floor/zone).</t>
        </is>
      </c>
      <c r="B327">
        <f>IF('02_Warehouse_Locations'!A326="","",'02_Warehouse_Locations'!A326)</f>
        <v/>
      </c>
      <c r="C327">
        <f>IF(B327="","",B327)</f>
        <v/>
      </c>
      <c r="D327" t="inlineStr">
        <is>
          <t>--PALLETS--</t>
        </is>
      </c>
    </row>
    <row r="328">
      <c r="A328" t="inlineStr">
        <is>
          <t>Location label (rack/floor/zone).</t>
        </is>
      </c>
      <c r="B328">
        <f>IF('02_Warehouse_Locations'!A327="","",'02_Warehouse_Locations'!A327)</f>
        <v/>
      </c>
      <c r="C328">
        <f>IF(B328="","",B328)</f>
        <v/>
      </c>
      <c r="D328" t="inlineStr">
        <is>
          <t>--PALLETS--</t>
        </is>
      </c>
    </row>
    <row r="329">
      <c r="A329" t="inlineStr">
        <is>
          <t>Location label (rack/floor/zone).</t>
        </is>
      </c>
      <c r="B329">
        <f>IF('02_Warehouse_Locations'!A328="","",'02_Warehouse_Locations'!A328)</f>
        <v/>
      </c>
      <c r="C329">
        <f>IF(B329="","",B329)</f>
        <v/>
      </c>
      <c r="D329" t="inlineStr">
        <is>
          <t>--PALLETS--</t>
        </is>
      </c>
    </row>
    <row r="330">
      <c r="A330" t="inlineStr">
        <is>
          <t>Location label (rack/floor/zone).</t>
        </is>
      </c>
      <c r="B330">
        <f>IF('02_Warehouse_Locations'!A329="","",'02_Warehouse_Locations'!A329)</f>
        <v/>
      </c>
      <c r="C330">
        <f>IF(B330="","",B330)</f>
        <v/>
      </c>
      <c r="D330" t="inlineStr">
        <is>
          <t>--PALLETS--</t>
        </is>
      </c>
    </row>
    <row r="331">
      <c r="A331" t="inlineStr">
        <is>
          <t>Location label (rack/floor/zone).</t>
        </is>
      </c>
      <c r="B331">
        <f>IF('02_Warehouse_Locations'!A330="","",'02_Warehouse_Locations'!A330)</f>
        <v/>
      </c>
      <c r="C331">
        <f>IF(B331="","",B331)</f>
        <v/>
      </c>
      <c r="D331" t="inlineStr">
        <is>
          <t>--PALLETS--</t>
        </is>
      </c>
    </row>
    <row r="332">
      <c r="A332" t="inlineStr">
        <is>
          <t>Location label (rack/floor/zone).</t>
        </is>
      </c>
      <c r="B332">
        <f>IF('02_Warehouse_Locations'!A331="","",'02_Warehouse_Locations'!A331)</f>
        <v/>
      </c>
      <c r="C332">
        <f>IF(B332="","",B332)</f>
        <v/>
      </c>
      <c r="D332" t="inlineStr">
        <is>
          <t>--PALLETS--</t>
        </is>
      </c>
    </row>
    <row r="333">
      <c r="A333" t="inlineStr">
        <is>
          <t>Location label (rack/floor/zone).</t>
        </is>
      </c>
      <c r="B333">
        <f>IF('02_Warehouse_Locations'!A332="","",'02_Warehouse_Locations'!A332)</f>
        <v/>
      </c>
      <c r="C333">
        <f>IF(B333="","",B333)</f>
        <v/>
      </c>
      <c r="D333" t="inlineStr">
        <is>
          <t>--PALLETS--</t>
        </is>
      </c>
    </row>
    <row r="334">
      <c r="A334" t="inlineStr">
        <is>
          <t>Location label (rack/floor/zone).</t>
        </is>
      </c>
      <c r="B334">
        <f>IF('02_Warehouse_Locations'!A333="","",'02_Warehouse_Locations'!A333)</f>
        <v/>
      </c>
      <c r="C334">
        <f>IF(B334="","",B334)</f>
        <v/>
      </c>
      <c r="D334" t="inlineStr">
        <is>
          <t>--PALLETS--</t>
        </is>
      </c>
    </row>
    <row r="335">
      <c r="A335" t="inlineStr">
        <is>
          <t>Location label (rack/floor/zone).</t>
        </is>
      </c>
      <c r="B335">
        <f>IF('02_Warehouse_Locations'!A334="","",'02_Warehouse_Locations'!A334)</f>
        <v/>
      </c>
      <c r="C335">
        <f>IF(B335="","",B335)</f>
        <v/>
      </c>
      <c r="D335" t="inlineStr">
        <is>
          <t>--PALLETS--</t>
        </is>
      </c>
    </row>
    <row r="336">
      <c r="A336" t="inlineStr">
        <is>
          <t>Location label (rack/floor/zone).</t>
        </is>
      </c>
      <c r="B336">
        <f>IF('02_Warehouse_Locations'!A335="","",'02_Warehouse_Locations'!A335)</f>
        <v/>
      </c>
      <c r="C336">
        <f>IF(B336="","",B336)</f>
        <v/>
      </c>
      <c r="D336" t="inlineStr">
        <is>
          <t>--PALLETS--</t>
        </is>
      </c>
    </row>
    <row r="337">
      <c r="A337" t="inlineStr">
        <is>
          <t>Location label (rack/floor/zone).</t>
        </is>
      </c>
      <c r="B337">
        <f>IF('02_Warehouse_Locations'!A336="","",'02_Warehouse_Locations'!A336)</f>
        <v/>
      </c>
      <c r="C337">
        <f>IF(B337="","",B337)</f>
        <v/>
      </c>
      <c r="D337" t="inlineStr">
        <is>
          <t>--PALLETS--</t>
        </is>
      </c>
    </row>
    <row r="338">
      <c r="A338" t="inlineStr">
        <is>
          <t>Location label (rack/floor/zone).</t>
        </is>
      </c>
      <c r="B338">
        <f>IF('02_Warehouse_Locations'!A337="","",'02_Warehouse_Locations'!A337)</f>
        <v/>
      </c>
      <c r="C338">
        <f>IF(B338="","",B338)</f>
        <v/>
      </c>
      <c r="D338" t="inlineStr">
        <is>
          <t>--PALLETS--</t>
        </is>
      </c>
    </row>
    <row r="339">
      <c r="A339" t="inlineStr">
        <is>
          <t>Location label (rack/floor/zone).</t>
        </is>
      </c>
      <c r="B339">
        <f>IF('02_Warehouse_Locations'!A338="","",'02_Warehouse_Locations'!A338)</f>
        <v/>
      </c>
      <c r="C339">
        <f>IF(B339="","",B339)</f>
        <v/>
      </c>
      <c r="D339" t="inlineStr">
        <is>
          <t>--PALLETS--</t>
        </is>
      </c>
    </row>
    <row r="340">
      <c r="A340" t="inlineStr">
        <is>
          <t>Location label (rack/floor/zone).</t>
        </is>
      </c>
      <c r="B340">
        <f>IF('02_Warehouse_Locations'!A339="","",'02_Warehouse_Locations'!A339)</f>
        <v/>
      </c>
      <c r="C340">
        <f>IF(B340="","",B340)</f>
        <v/>
      </c>
      <c r="D340" t="inlineStr">
        <is>
          <t>--PALLETS--</t>
        </is>
      </c>
    </row>
    <row r="341">
      <c r="A341" t="inlineStr">
        <is>
          <t>Location label (rack/floor/zone).</t>
        </is>
      </c>
      <c r="B341">
        <f>IF('02_Warehouse_Locations'!A340="","",'02_Warehouse_Locations'!A340)</f>
        <v/>
      </c>
      <c r="C341">
        <f>IF(B341="","",B341)</f>
        <v/>
      </c>
      <c r="D341" t="inlineStr">
        <is>
          <t>--PALLETS--</t>
        </is>
      </c>
    </row>
    <row r="342">
      <c r="A342" t="inlineStr">
        <is>
          <t>Location label (rack/floor/zone).</t>
        </is>
      </c>
      <c r="B342">
        <f>IF('02_Warehouse_Locations'!A341="","",'02_Warehouse_Locations'!A341)</f>
        <v/>
      </c>
      <c r="C342">
        <f>IF(B342="","",B342)</f>
        <v/>
      </c>
      <c r="D342" t="inlineStr">
        <is>
          <t>--PALLETS--</t>
        </is>
      </c>
    </row>
    <row r="343">
      <c r="A343" t="inlineStr">
        <is>
          <t>Location label (rack/floor/zone).</t>
        </is>
      </c>
      <c r="B343">
        <f>IF('02_Warehouse_Locations'!A342="","",'02_Warehouse_Locations'!A342)</f>
        <v/>
      </c>
      <c r="C343">
        <f>IF(B343="","",B343)</f>
        <v/>
      </c>
      <c r="D343" t="inlineStr">
        <is>
          <t>--PALLETS--</t>
        </is>
      </c>
    </row>
    <row r="344">
      <c r="A344" t="inlineStr">
        <is>
          <t>Location label (rack/floor/zone).</t>
        </is>
      </c>
      <c r="B344">
        <f>IF('02_Warehouse_Locations'!A343="","",'02_Warehouse_Locations'!A343)</f>
        <v/>
      </c>
      <c r="C344">
        <f>IF(B344="","",B344)</f>
        <v/>
      </c>
      <c r="D344" t="inlineStr">
        <is>
          <t>--PALLETS--</t>
        </is>
      </c>
    </row>
    <row r="345">
      <c r="A345" t="inlineStr">
        <is>
          <t>Location label (rack/floor/zone).</t>
        </is>
      </c>
      <c r="B345">
        <f>IF('02_Warehouse_Locations'!A344="","",'02_Warehouse_Locations'!A344)</f>
        <v/>
      </c>
      <c r="C345">
        <f>IF(B345="","",B345)</f>
        <v/>
      </c>
      <c r="D345" t="inlineStr">
        <is>
          <t>--PALLETS--</t>
        </is>
      </c>
    </row>
    <row r="346">
      <c r="A346" t="inlineStr">
        <is>
          <t>Location label (rack/floor/zone).</t>
        </is>
      </c>
      <c r="B346">
        <f>IF('02_Warehouse_Locations'!A345="","",'02_Warehouse_Locations'!A345)</f>
        <v/>
      </c>
      <c r="C346">
        <f>IF(B346="","",B346)</f>
        <v/>
      </c>
      <c r="D346" t="inlineStr">
        <is>
          <t>--PALLETS--</t>
        </is>
      </c>
    </row>
    <row r="347">
      <c r="A347" t="inlineStr">
        <is>
          <t>Location label (rack/floor/zone).</t>
        </is>
      </c>
      <c r="B347">
        <f>IF('02_Warehouse_Locations'!A346="","",'02_Warehouse_Locations'!A346)</f>
        <v/>
      </c>
      <c r="C347">
        <f>IF(B347="","",B347)</f>
        <v/>
      </c>
      <c r="D347" t="inlineStr">
        <is>
          <t>--PALLETS--</t>
        </is>
      </c>
    </row>
    <row r="348">
      <c r="A348" t="inlineStr">
        <is>
          <t>Location label (rack/floor/zone).</t>
        </is>
      </c>
      <c r="B348">
        <f>IF('02_Warehouse_Locations'!A347="","",'02_Warehouse_Locations'!A347)</f>
        <v/>
      </c>
      <c r="C348">
        <f>IF(B348="","",B348)</f>
        <v/>
      </c>
      <c r="D348" t="inlineStr">
        <is>
          <t>--PALLETS--</t>
        </is>
      </c>
    </row>
    <row r="349">
      <c r="A349" t="inlineStr">
        <is>
          <t>Location label (rack/floor/zone).</t>
        </is>
      </c>
      <c r="B349">
        <f>IF('02_Warehouse_Locations'!A348="","",'02_Warehouse_Locations'!A348)</f>
        <v/>
      </c>
      <c r="C349">
        <f>IF(B349="","",B349)</f>
        <v/>
      </c>
      <c r="D349" t="inlineStr">
        <is>
          <t>--PALLETS--</t>
        </is>
      </c>
    </row>
    <row r="350">
      <c r="A350" t="inlineStr">
        <is>
          <t>Location label (rack/floor/zone).</t>
        </is>
      </c>
      <c r="B350">
        <f>IF('02_Warehouse_Locations'!A349="","",'02_Warehouse_Locations'!A349)</f>
        <v/>
      </c>
      <c r="C350">
        <f>IF(B350="","",B350)</f>
        <v/>
      </c>
      <c r="D350" t="inlineStr">
        <is>
          <t>--PALLETS--</t>
        </is>
      </c>
    </row>
    <row r="351">
      <c r="A351" t="inlineStr">
        <is>
          <t>Location label (rack/floor/zone).</t>
        </is>
      </c>
      <c r="B351">
        <f>IF('02_Warehouse_Locations'!A350="","",'02_Warehouse_Locations'!A350)</f>
        <v/>
      </c>
      <c r="C351">
        <f>IF(B351="","",B351)</f>
        <v/>
      </c>
      <c r="D351" t="inlineStr">
        <is>
          <t>--PALLETS--</t>
        </is>
      </c>
    </row>
    <row r="352">
      <c r="A352" t="inlineStr">
        <is>
          <t>Location label (rack/floor/zone).</t>
        </is>
      </c>
      <c r="B352">
        <f>IF('02_Warehouse_Locations'!A351="","",'02_Warehouse_Locations'!A351)</f>
        <v/>
      </c>
      <c r="C352">
        <f>IF(B352="","",B352)</f>
        <v/>
      </c>
      <c r="D352" t="inlineStr">
        <is>
          <t>--PALLETS--</t>
        </is>
      </c>
    </row>
    <row r="353">
      <c r="A353" t="inlineStr">
        <is>
          <t>Location label (rack/floor/zone).</t>
        </is>
      </c>
      <c r="B353">
        <f>IF('02_Warehouse_Locations'!A352="","",'02_Warehouse_Locations'!A352)</f>
        <v/>
      </c>
      <c r="C353">
        <f>IF(B353="","",B353)</f>
        <v/>
      </c>
      <c r="D353" t="inlineStr">
        <is>
          <t>--PALLETS--</t>
        </is>
      </c>
    </row>
    <row r="354">
      <c r="A354" t="inlineStr">
        <is>
          <t>Location label (rack/floor/zone).</t>
        </is>
      </c>
      <c r="B354">
        <f>IF('02_Warehouse_Locations'!A353="","",'02_Warehouse_Locations'!A353)</f>
        <v/>
      </c>
      <c r="C354">
        <f>IF(B354="","",B354)</f>
        <v/>
      </c>
      <c r="D354" t="inlineStr">
        <is>
          <t>--PALLETS--</t>
        </is>
      </c>
    </row>
    <row r="355">
      <c r="A355" t="inlineStr">
        <is>
          <t>Location label (rack/floor/zone).</t>
        </is>
      </c>
      <c r="B355">
        <f>IF('02_Warehouse_Locations'!A354="","",'02_Warehouse_Locations'!A354)</f>
        <v/>
      </c>
      <c r="C355">
        <f>IF(B355="","",B355)</f>
        <v/>
      </c>
      <c r="D355" t="inlineStr">
        <is>
          <t>--PALLETS--</t>
        </is>
      </c>
    </row>
    <row r="356">
      <c r="A356" t="inlineStr">
        <is>
          <t>Location label (rack/floor/zone).</t>
        </is>
      </c>
      <c r="B356">
        <f>IF('02_Warehouse_Locations'!A355="","",'02_Warehouse_Locations'!A355)</f>
        <v/>
      </c>
      <c r="C356">
        <f>IF(B356="","",B356)</f>
        <v/>
      </c>
      <c r="D356" t="inlineStr">
        <is>
          <t>--PALLETS--</t>
        </is>
      </c>
    </row>
    <row r="357">
      <c r="A357" t="inlineStr">
        <is>
          <t>Location label (rack/floor/zone).</t>
        </is>
      </c>
      <c r="B357">
        <f>IF('02_Warehouse_Locations'!A356="","",'02_Warehouse_Locations'!A356)</f>
        <v/>
      </c>
      <c r="C357">
        <f>IF(B357="","",B357)</f>
        <v/>
      </c>
      <c r="D357" t="inlineStr">
        <is>
          <t>--PALLETS--</t>
        </is>
      </c>
    </row>
    <row r="358">
      <c r="A358" t="inlineStr">
        <is>
          <t>Location label (rack/floor/zone).</t>
        </is>
      </c>
      <c r="B358">
        <f>IF('02_Warehouse_Locations'!A357="","",'02_Warehouse_Locations'!A357)</f>
        <v/>
      </c>
      <c r="C358">
        <f>IF(B358="","",B358)</f>
        <v/>
      </c>
      <c r="D358" t="inlineStr">
        <is>
          <t>--PALLETS--</t>
        </is>
      </c>
    </row>
    <row r="359">
      <c r="A359" t="inlineStr">
        <is>
          <t>Location label (rack/floor/zone).</t>
        </is>
      </c>
      <c r="B359">
        <f>IF('02_Warehouse_Locations'!A358="","",'02_Warehouse_Locations'!A358)</f>
        <v/>
      </c>
      <c r="C359">
        <f>IF(B359="","",B359)</f>
        <v/>
      </c>
      <c r="D359" t="inlineStr">
        <is>
          <t>--PALLETS--</t>
        </is>
      </c>
    </row>
    <row r="360">
      <c r="A360" t="inlineStr">
        <is>
          <t>Location label (rack/floor/zone).</t>
        </is>
      </c>
      <c r="B360">
        <f>IF('02_Warehouse_Locations'!A359="","",'02_Warehouse_Locations'!A359)</f>
        <v/>
      </c>
      <c r="C360">
        <f>IF(B360="","",B360)</f>
        <v/>
      </c>
      <c r="D360" t="inlineStr">
        <is>
          <t>--PALLETS--</t>
        </is>
      </c>
    </row>
    <row r="361">
      <c r="A361" t="inlineStr">
        <is>
          <t>Location label (rack/floor/zone).</t>
        </is>
      </c>
      <c r="B361">
        <f>IF('02_Warehouse_Locations'!A360="","",'02_Warehouse_Locations'!A360)</f>
        <v/>
      </c>
      <c r="C361">
        <f>IF(B361="","",B361)</f>
        <v/>
      </c>
      <c r="D361" t="inlineStr">
        <is>
          <t>--PALLETS--</t>
        </is>
      </c>
    </row>
    <row r="362">
      <c r="A362" t="inlineStr">
        <is>
          <t>Location label (rack/floor/zone).</t>
        </is>
      </c>
      <c r="B362">
        <f>IF('02_Warehouse_Locations'!A361="","",'02_Warehouse_Locations'!A361)</f>
        <v/>
      </c>
      <c r="C362">
        <f>IF(B362="","",B362)</f>
        <v/>
      </c>
      <c r="D362" t="inlineStr">
        <is>
          <t>--PALLETS--</t>
        </is>
      </c>
    </row>
    <row r="363">
      <c r="A363" t="inlineStr">
        <is>
          <t>Location label (rack/floor/zone).</t>
        </is>
      </c>
      <c r="B363">
        <f>IF('02_Warehouse_Locations'!A362="","",'02_Warehouse_Locations'!A362)</f>
        <v/>
      </c>
      <c r="C363">
        <f>IF(B363="","",B363)</f>
        <v/>
      </c>
      <c r="D363" t="inlineStr">
        <is>
          <t>--PALLETS--</t>
        </is>
      </c>
    </row>
    <row r="364">
      <c r="A364" t="inlineStr">
        <is>
          <t>Location label (rack/floor/zone).</t>
        </is>
      </c>
      <c r="B364">
        <f>IF('02_Warehouse_Locations'!A363="","",'02_Warehouse_Locations'!A363)</f>
        <v/>
      </c>
      <c r="C364">
        <f>IF(B364="","",B364)</f>
        <v/>
      </c>
      <c r="D364" t="inlineStr">
        <is>
          <t>--PALLETS--</t>
        </is>
      </c>
    </row>
    <row r="365">
      <c r="A365" t="inlineStr">
        <is>
          <t>Location label (rack/floor/zone).</t>
        </is>
      </c>
      <c r="B365">
        <f>IF('02_Warehouse_Locations'!A364="","",'02_Warehouse_Locations'!A364)</f>
        <v/>
      </c>
      <c r="C365">
        <f>IF(B365="","",B365)</f>
        <v/>
      </c>
      <c r="D365" t="inlineStr">
        <is>
          <t>--PALLETS--</t>
        </is>
      </c>
    </row>
    <row r="366">
      <c r="A366" t="inlineStr">
        <is>
          <t>Location label (rack/floor/zone).</t>
        </is>
      </c>
      <c r="B366">
        <f>IF('02_Warehouse_Locations'!A365="","",'02_Warehouse_Locations'!A365)</f>
        <v/>
      </c>
      <c r="C366">
        <f>IF(B366="","",B366)</f>
        <v/>
      </c>
      <c r="D366" t="inlineStr">
        <is>
          <t>--PALLETS--</t>
        </is>
      </c>
    </row>
    <row r="367">
      <c r="A367" t="inlineStr">
        <is>
          <t>Location label (rack/floor/zone).</t>
        </is>
      </c>
      <c r="B367">
        <f>IF('02_Warehouse_Locations'!A366="","",'02_Warehouse_Locations'!A366)</f>
        <v/>
      </c>
      <c r="C367">
        <f>IF(B367="","",B367)</f>
        <v/>
      </c>
      <c r="D367" t="inlineStr">
        <is>
          <t>--PALLETS--</t>
        </is>
      </c>
    </row>
    <row r="368">
      <c r="A368" t="inlineStr">
        <is>
          <t>Location label (rack/floor/zone).</t>
        </is>
      </c>
      <c r="B368">
        <f>IF('02_Warehouse_Locations'!A367="","",'02_Warehouse_Locations'!A367)</f>
        <v/>
      </c>
      <c r="C368">
        <f>IF(B368="","",B368)</f>
        <v/>
      </c>
      <c r="D368" t="inlineStr">
        <is>
          <t>--PALLETS--</t>
        </is>
      </c>
    </row>
    <row r="369">
      <c r="A369" t="inlineStr">
        <is>
          <t>Location label (rack/floor/zone).</t>
        </is>
      </c>
      <c r="B369">
        <f>IF('02_Warehouse_Locations'!A368="","",'02_Warehouse_Locations'!A368)</f>
        <v/>
      </c>
      <c r="C369">
        <f>IF(B369="","",B369)</f>
        <v/>
      </c>
      <c r="D369" t="inlineStr">
        <is>
          <t>--PALLETS--</t>
        </is>
      </c>
    </row>
    <row r="370">
      <c r="A370" t="inlineStr">
        <is>
          <t>Location label (rack/floor/zone).</t>
        </is>
      </c>
      <c r="B370">
        <f>IF('02_Warehouse_Locations'!A369="","",'02_Warehouse_Locations'!A369)</f>
        <v/>
      </c>
      <c r="C370">
        <f>IF(B370="","",B370)</f>
        <v/>
      </c>
      <c r="D370" t="inlineStr">
        <is>
          <t>--PALLETS--</t>
        </is>
      </c>
    </row>
    <row r="371">
      <c r="A371" t="inlineStr">
        <is>
          <t>Location label (rack/floor/zone).</t>
        </is>
      </c>
      <c r="B371">
        <f>IF('02_Warehouse_Locations'!A370="","",'02_Warehouse_Locations'!A370)</f>
        <v/>
      </c>
      <c r="C371">
        <f>IF(B371="","",B371)</f>
        <v/>
      </c>
      <c r="D371" t="inlineStr">
        <is>
          <t>--PALLETS--</t>
        </is>
      </c>
    </row>
    <row r="372">
      <c r="A372" t="inlineStr">
        <is>
          <t>Location label (rack/floor/zone).</t>
        </is>
      </c>
      <c r="B372">
        <f>IF('02_Warehouse_Locations'!A371="","",'02_Warehouse_Locations'!A371)</f>
        <v/>
      </c>
      <c r="C372">
        <f>IF(B372="","",B372)</f>
        <v/>
      </c>
      <c r="D372" t="inlineStr">
        <is>
          <t>--PALLETS--</t>
        </is>
      </c>
    </row>
    <row r="373">
      <c r="A373" t="inlineStr">
        <is>
          <t>Location label (rack/floor/zone).</t>
        </is>
      </c>
      <c r="B373">
        <f>IF('02_Warehouse_Locations'!A372="","",'02_Warehouse_Locations'!A372)</f>
        <v/>
      </c>
      <c r="C373">
        <f>IF(B373="","",B373)</f>
        <v/>
      </c>
      <c r="D373" t="inlineStr">
        <is>
          <t>--PALLETS--</t>
        </is>
      </c>
    </row>
    <row r="374">
      <c r="A374" t="inlineStr">
        <is>
          <t>Location label (rack/floor/zone).</t>
        </is>
      </c>
      <c r="B374">
        <f>IF('02_Warehouse_Locations'!A373="","",'02_Warehouse_Locations'!A373)</f>
        <v/>
      </c>
      <c r="C374">
        <f>IF(B374="","",B374)</f>
        <v/>
      </c>
      <c r="D374" t="inlineStr">
        <is>
          <t>--PALLETS--</t>
        </is>
      </c>
    </row>
    <row r="375">
      <c r="A375" t="inlineStr">
        <is>
          <t>Location label (rack/floor/zone).</t>
        </is>
      </c>
      <c r="B375">
        <f>IF('02_Warehouse_Locations'!A374="","",'02_Warehouse_Locations'!A374)</f>
        <v/>
      </c>
      <c r="C375">
        <f>IF(B375="","",B375)</f>
        <v/>
      </c>
      <c r="D375" t="inlineStr">
        <is>
          <t>--PALLETS--</t>
        </is>
      </c>
    </row>
    <row r="376">
      <c r="A376" t="inlineStr">
        <is>
          <t>Location label (rack/floor/zone).</t>
        </is>
      </c>
      <c r="B376">
        <f>IF('02_Warehouse_Locations'!A375="","",'02_Warehouse_Locations'!A375)</f>
        <v/>
      </c>
      <c r="C376">
        <f>IF(B376="","",B376)</f>
        <v/>
      </c>
      <c r="D376" t="inlineStr">
        <is>
          <t>--PALLETS--</t>
        </is>
      </c>
    </row>
    <row r="377">
      <c r="A377" t="inlineStr">
        <is>
          <t>Location label (rack/floor/zone).</t>
        </is>
      </c>
      <c r="B377">
        <f>IF('02_Warehouse_Locations'!A376="","",'02_Warehouse_Locations'!A376)</f>
        <v/>
      </c>
      <c r="C377">
        <f>IF(B377="","",B377)</f>
        <v/>
      </c>
      <c r="D377" t="inlineStr">
        <is>
          <t>--PALLETS--</t>
        </is>
      </c>
    </row>
    <row r="378">
      <c r="A378" t="inlineStr">
        <is>
          <t>Location label (rack/floor/zone).</t>
        </is>
      </c>
      <c r="B378">
        <f>IF('02_Warehouse_Locations'!A377="","",'02_Warehouse_Locations'!A377)</f>
        <v/>
      </c>
      <c r="C378">
        <f>IF(B378="","",B378)</f>
        <v/>
      </c>
      <c r="D378" t="inlineStr">
        <is>
          <t>--PALLETS--</t>
        </is>
      </c>
    </row>
    <row r="379">
      <c r="A379" t="inlineStr">
        <is>
          <t>Location label (rack/floor/zone).</t>
        </is>
      </c>
      <c r="B379">
        <f>IF('02_Warehouse_Locations'!A378="","",'02_Warehouse_Locations'!A378)</f>
        <v/>
      </c>
      <c r="C379">
        <f>IF(B379="","",B379)</f>
        <v/>
      </c>
      <c r="D379" t="inlineStr">
        <is>
          <t>--PALLETS--</t>
        </is>
      </c>
    </row>
    <row r="380">
      <c r="A380" t="inlineStr">
        <is>
          <t>Location label (rack/floor/zone).</t>
        </is>
      </c>
      <c r="B380">
        <f>IF('02_Warehouse_Locations'!A379="","",'02_Warehouse_Locations'!A379)</f>
        <v/>
      </c>
      <c r="C380">
        <f>IF(B380="","",B380)</f>
        <v/>
      </c>
      <c r="D380" t="inlineStr">
        <is>
          <t>--PALLETS--</t>
        </is>
      </c>
    </row>
    <row r="381">
      <c r="A381" t="inlineStr">
        <is>
          <t>Location label (rack/floor/zone).</t>
        </is>
      </c>
      <c r="B381">
        <f>IF('02_Warehouse_Locations'!A380="","",'02_Warehouse_Locations'!A380)</f>
        <v/>
      </c>
      <c r="C381">
        <f>IF(B381="","",B381)</f>
        <v/>
      </c>
      <c r="D381" t="inlineStr">
        <is>
          <t>--PALLETS--</t>
        </is>
      </c>
    </row>
    <row r="382">
      <c r="A382" t="inlineStr">
        <is>
          <t>Location label (rack/floor/zone).</t>
        </is>
      </c>
      <c r="B382">
        <f>IF('02_Warehouse_Locations'!A381="","",'02_Warehouse_Locations'!A381)</f>
        <v/>
      </c>
      <c r="C382">
        <f>IF(B382="","",B382)</f>
        <v/>
      </c>
      <c r="D382" t="inlineStr">
        <is>
          <t>--PALLETS--</t>
        </is>
      </c>
    </row>
    <row r="383">
      <c r="A383" t="inlineStr">
        <is>
          <t>Location label (rack/floor/zone).</t>
        </is>
      </c>
      <c r="B383">
        <f>IF('02_Warehouse_Locations'!A382="","",'02_Warehouse_Locations'!A382)</f>
        <v/>
      </c>
      <c r="C383">
        <f>IF(B383="","",B383)</f>
        <v/>
      </c>
      <c r="D383" t="inlineStr">
        <is>
          <t>--PALLETS--</t>
        </is>
      </c>
    </row>
    <row r="384">
      <c r="A384" t="inlineStr">
        <is>
          <t>Location label (rack/floor/zone).</t>
        </is>
      </c>
      <c r="B384">
        <f>IF('02_Warehouse_Locations'!A383="","",'02_Warehouse_Locations'!A383)</f>
        <v/>
      </c>
      <c r="C384">
        <f>IF(B384="","",B384)</f>
        <v/>
      </c>
      <c r="D384" t="inlineStr">
        <is>
          <t>--PALLETS--</t>
        </is>
      </c>
    </row>
    <row r="385">
      <c r="A385" t="inlineStr">
        <is>
          <t>Location label (rack/floor/zone).</t>
        </is>
      </c>
      <c r="B385">
        <f>IF('02_Warehouse_Locations'!A384="","",'02_Warehouse_Locations'!A384)</f>
        <v/>
      </c>
      <c r="C385">
        <f>IF(B385="","",B385)</f>
        <v/>
      </c>
      <c r="D385" t="inlineStr">
        <is>
          <t>--PALLETS--</t>
        </is>
      </c>
    </row>
    <row r="386">
      <c r="A386" t="inlineStr">
        <is>
          <t>Location label (rack/floor/zone).</t>
        </is>
      </c>
      <c r="B386">
        <f>IF('02_Warehouse_Locations'!A385="","",'02_Warehouse_Locations'!A385)</f>
        <v/>
      </c>
      <c r="C386">
        <f>IF(B386="","",B386)</f>
        <v/>
      </c>
      <c r="D386" t="inlineStr">
        <is>
          <t>--PALLETS--</t>
        </is>
      </c>
    </row>
    <row r="387">
      <c r="A387" t="inlineStr">
        <is>
          <t>Location label (rack/floor/zone).</t>
        </is>
      </c>
      <c r="B387">
        <f>IF('02_Warehouse_Locations'!A386="","",'02_Warehouse_Locations'!A386)</f>
        <v/>
      </c>
      <c r="C387">
        <f>IF(B387="","",B387)</f>
        <v/>
      </c>
      <c r="D387" t="inlineStr">
        <is>
          <t>--PALLETS--</t>
        </is>
      </c>
    </row>
    <row r="388">
      <c r="A388" t="inlineStr">
        <is>
          <t>Location label (rack/floor/zone).</t>
        </is>
      </c>
      <c r="B388">
        <f>IF('02_Warehouse_Locations'!A387="","",'02_Warehouse_Locations'!A387)</f>
        <v/>
      </c>
      <c r="C388">
        <f>IF(B388="","",B388)</f>
        <v/>
      </c>
      <c r="D388" t="inlineStr">
        <is>
          <t>--PALLETS--</t>
        </is>
      </c>
    </row>
    <row r="389">
      <c r="A389" t="inlineStr">
        <is>
          <t>Location label (rack/floor/zone).</t>
        </is>
      </c>
      <c r="B389">
        <f>IF('02_Warehouse_Locations'!A388="","",'02_Warehouse_Locations'!A388)</f>
        <v/>
      </c>
      <c r="C389">
        <f>IF(B389="","",B389)</f>
        <v/>
      </c>
      <c r="D389" t="inlineStr">
        <is>
          <t>--PALLETS--</t>
        </is>
      </c>
    </row>
    <row r="390">
      <c r="A390" t="inlineStr">
        <is>
          <t>Location label (rack/floor/zone).</t>
        </is>
      </c>
      <c r="B390">
        <f>IF('02_Warehouse_Locations'!A389="","",'02_Warehouse_Locations'!A389)</f>
        <v/>
      </c>
      <c r="C390">
        <f>IF(B390="","",B390)</f>
        <v/>
      </c>
      <c r="D390" t="inlineStr">
        <is>
          <t>--PALLETS--</t>
        </is>
      </c>
    </row>
    <row r="391">
      <c r="A391" t="inlineStr">
        <is>
          <t>Location label (rack/floor/zone).</t>
        </is>
      </c>
      <c r="B391">
        <f>IF('02_Warehouse_Locations'!A390="","",'02_Warehouse_Locations'!A390)</f>
        <v/>
      </c>
      <c r="C391">
        <f>IF(B391="","",B391)</f>
        <v/>
      </c>
      <c r="D391" t="inlineStr">
        <is>
          <t>--PALLETS--</t>
        </is>
      </c>
    </row>
    <row r="392">
      <c r="A392" t="inlineStr">
        <is>
          <t>Location label (rack/floor/zone).</t>
        </is>
      </c>
      <c r="B392">
        <f>IF('02_Warehouse_Locations'!A391="","",'02_Warehouse_Locations'!A391)</f>
        <v/>
      </c>
      <c r="C392">
        <f>IF(B392="","",B392)</f>
        <v/>
      </c>
      <c r="D392" t="inlineStr">
        <is>
          <t>--PALLETS--</t>
        </is>
      </c>
    </row>
    <row r="393">
      <c r="A393" t="inlineStr">
        <is>
          <t>Location label (rack/floor/zone).</t>
        </is>
      </c>
      <c r="B393">
        <f>IF('02_Warehouse_Locations'!A392="","",'02_Warehouse_Locations'!A392)</f>
        <v/>
      </c>
      <c r="C393">
        <f>IF(B393="","",B393)</f>
        <v/>
      </c>
      <c r="D393" t="inlineStr">
        <is>
          <t>--PALLETS--</t>
        </is>
      </c>
    </row>
    <row r="394">
      <c r="A394" t="inlineStr">
        <is>
          <t>Location label (rack/floor/zone).</t>
        </is>
      </c>
      <c r="B394">
        <f>IF('02_Warehouse_Locations'!A393="","",'02_Warehouse_Locations'!A393)</f>
        <v/>
      </c>
      <c r="C394">
        <f>IF(B394="","",B394)</f>
        <v/>
      </c>
      <c r="D394" t="inlineStr">
        <is>
          <t>--PALLETS--</t>
        </is>
      </c>
    </row>
    <row r="395">
      <c r="A395" t="inlineStr">
        <is>
          <t>Location label (rack/floor/zone).</t>
        </is>
      </c>
      <c r="B395">
        <f>IF('02_Warehouse_Locations'!A394="","",'02_Warehouse_Locations'!A394)</f>
        <v/>
      </c>
      <c r="C395">
        <f>IF(B395="","",B395)</f>
        <v/>
      </c>
      <c r="D395" t="inlineStr">
        <is>
          <t>--PALLETS--</t>
        </is>
      </c>
    </row>
    <row r="396">
      <c r="A396" t="inlineStr">
        <is>
          <t>Location label (rack/floor/zone).</t>
        </is>
      </c>
      <c r="B396">
        <f>IF('02_Warehouse_Locations'!A395="","",'02_Warehouse_Locations'!A395)</f>
        <v/>
      </c>
      <c r="C396">
        <f>IF(B396="","",B396)</f>
        <v/>
      </c>
      <c r="D396" t="inlineStr">
        <is>
          <t>--PALLETS--</t>
        </is>
      </c>
    </row>
    <row r="397">
      <c r="A397" t="inlineStr">
        <is>
          <t>Location label (rack/floor/zone).</t>
        </is>
      </c>
      <c r="B397">
        <f>IF('02_Warehouse_Locations'!A396="","",'02_Warehouse_Locations'!A396)</f>
        <v/>
      </c>
      <c r="C397">
        <f>IF(B397="","",B397)</f>
        <v/>
      </c>
      <c r="D397" t="inlineStr">
        <is>
          <t>--PALLETS--</t>
        </is>
      </c>
    </row>
    <row r="398">
      <c r="A398" t="inlineStr">
        <is>
          <t>Location label (rack/floor/zone).</t>
        </is>
      </c>
      <c r="B398">
        <f>IF('02_Warehouse_Locations'!A397="","",'02_Warehouse_Locations'!A397)</f>
        <v/>
      </c>
      <c r="C398">
        <f>IF(B398="","",B398)</f>
        <v/>
      </c>
      <c r="D398" t="inlineStr">
        <is>
          <t>--PALLETS--</t>
        </is>
      </c>
    </row>
    <row r="399">
      <c r="A399" t="inlineStr">
        <is>
          <t>Location label (rack/floor/zone).</t>
        </is>
      </c>
      <c r="B399">
        <f>IF('02_Warehouse_Locations'!A398="","",'02_Warehouse_Locations'!A398)</f>
        <v/>
      </c>
      <c r="C399">
        <f>IF(B399="","",B399)</f>
        <v/>
      </c>
      <c r="D399" t="inlineStr">
        <is>
          <t>--PALLETS--</t>
        </is>
      </c>
    </row>
    <row r="400">
      <c r="A400" t="inlineStr">
        <is>
          <t>Location label (rack/floor/zone).</t>
        </is>
      </c>
      <c r="B400">
        <f>IF('02_Warehouse_Locations'!A399="","",'02_Warehouse_Locations'!A399)</f>
        <v/>
      </c>
      <c r="C400">
        <f>IF(B400="","",B400)</f>
        <v/>
      </c>
      <c r="D400" t="inlineStr">
        <is>
          <t>--PALLETS--</t>
        </is>
      </c>
    </row>
    <row r="401">
      <c r="A401" t="inlineStr">
        <is>
          <t>Location label (rack/floor/zone).</t>
        </is>
      </c>
      <c r="B401">
        <f>IF('02_Warehouse_Locations'!A400="","",'02_Warehouse_Locations'!A400)</f>
        <v/>
      </c>
      <c r="C401">
        <f>IF(B401="","",B401)</f>
        <v/>
      </c>
      <c r="D401" t="inlineStr">
        <is>
          <t>--PALLETS--</t>
        </is>
      </c>
    </row>
    <row r="402">
      <c r="A402" t="inlineStr">
        <is>
          <t>Location label (rack/floor/zone).</t>
        </is>
      </c>
      <c r="B402">
        <f>IF('02_Warehouse_Locations'!A401="","",'02_Warehouse_Locations'!A401)</f>
        <v/>
      </c>
      <c r="C402">
        <f>IF(B402="","",B402)</f>
        <v/>
      </c>
      <c r="D402" t="inlineStr">
        <is>
          <t>--PALLETS--</t>
        </is>
      </c>
    </row>
    <row r="403">
      <c r="A403" t="inlineStr">
        <is>
          <t>Location label (rack/floor/zone).</t>
        </is>
      </c>
      <c r="B403">
        <f>IF('02_Warehouse_Locations'!A402="","",'02_Warehouse_Locations'!A402)</f>
        <v/>
      </c>
      <c r="C403">
        <f>IF(B403="","",B403)</f>
        <v/>
      </c>
      <c r="D403" t="inlineStr">
        <is>
          <t>--PALLETS--</t>
        </is>
      </c>
    </row>
    <row r="404">
      <c r="A404" t="inlineStr">
        <is>
          <t>Location label (rack/floor/zone).</t>
        </is>
      </c>
      <c r="B404">
        <f>IF('02_Warehouse_Locations'!A403="","",'02_Warehouse_Locations'!A403)</f>
        <v/>
      </c>
      <c r="C404">
        <f>IF(B404="","",B404)</f>
        <v/>
      </c>
      <c r="D404" t="inlineStr">
        <is>
          <t>--PALLETS--</t>
        </is>
      </c>
    </row>
    <row r="405">
      <c r="A405" t="inlineStr">
        <is>
          <t>Location label (rack/floor/zone).</t>
        </is>
      </c>
      <c r="B405">
        <f>IF('02_Warehouse_Locations'!A404="","",'02_Warehouse_Locations'!A404)</f>
        <v/>
      </c>
      <c r="C405">
        <f>IF(B405="","",B405)</f>
        <v/>
      </c>
      <c r="D405" t="inlineStr">
        <is>
          <t>--PALLETS--</t>
        </is>
      </c>
    </row>
    <row r="406">
      <c r="A406" t="inlineStr">
        <is>
          <t>Location label (rack/floor/zone).</t>
        </is>
      </c>
      <c r="B406">
        <f>IF('02_Warehouse_Locations'!A405="","",'02_Warehouse_Locations'!A405)</f>
        <v/>
      </c>
      <c r="C406">
        <f>IF(B406="","",B406)</f>
        <v/>
      </c>
      <c r="D406" t="inlineStr">
        <is>
          <t>--PALLETS--</t>
        </is>
      </c>
    </row>
    <row r="407">
      <c r="A407" t="inlineStr">
        <is>
          <t>Location label (rack/floor/zone).</t>
        </is>
      </c>
      <c r="B407">
        <f>IF('02_Warehouse_Locations'!A406="","",'02_Warehouse_Locations'!A406)</f>
        <v/>
      </c>
      <c r="C407">
        <f>IF(B407="","",B407)</f>
        <v/>
      </c>
      <c r="D407" t="inlineStr">
        <is>
          <t>--PALLETS--</t>
        </is>
      </c>
    </row>
    <row r="408">
      <c r="A408" t="inlineStr">
        <is>
          <t>Location label (rack/floor/zone).</t>
        </is>
      </c>
      <c r="B408">
        <f>IF('02_Warehouse_Locations'!A407="","",'02_Warehouse_Locations'!A407)</f>
        <v/>
      </c>
      <c r="C408">
        <f>IF(B408="","",B408)</f>
        <v/>
      </c>
      <c r="D408" t="inlineStr">
        <is>
          <t>--PALLETS--</t>
        </is>
      </c>
    </row>
    <row r="409">
      <c r="A409" t="inlineStr">
        <is>
          <t>Location label (rack/floor/zone).</t>
        </is>
      </c>
      <c r="B409">
        <f>IF('02_Warehouse_Locations'!A408="","",'02_Warehouse_Locations'!A408)</f>
        <v/>
      </c>
      <c r="C409">
        <f>IF(B409="","",B409)</f>
        <v/>
      </c>
      <c r="D409" t="inlineStr">
        <is>
          <t>--PALLETS--</t>
        </is>
      </c>
    </row>
    <row r="410">
      <c r="A410" t="inlineStr">
        <is>
          <t>Location label (rack/floor/zone).</t>
        </is>
      </c>
      <c r="B410">
        <f>IF('02_Warehouse_Locations'!A409="","",'02_Warehouse_Locations'!A409)</f>
        <v/>
      </c>
      <c r="C410">
        <f>IF(B410="","",B410)</f>
        <v/>
      </c>
      <c r="D410" t="inlineStr">
        <is>
          <t>--PALLETS--</t>
        </is>
      </c>
    </row>
    <row r="411">
      <c r="A411" t="inlineStr">
        <is>
          <t>Location label (rack/floor/zone).</t>
        </is>
      </c>
      <c r="B411">
        <f>IF('02_Warehouse_Locations'!A410="","",'02_Warehouse_Locations'!A410)</f>
        <v/>
      </c>
      <c r="C411">
        <f>IF(B411="","",B411)</f>
        <v/>
      </c>
      <c r="D411" t="inlineStr">
        <is>
          <t>--PALLETS--</t>
        </is>
      </c>
    </row>
    <row r="412">
      <c r="A412" t="inlineStr">
        <is>
          <t>Location label (rack/floor/zone).</t>
        </is>
      </c>
      <c r="B412">
        <f>IF('02_Warehouse_Locations'!A411="","",'02_Warehouse_Locations'!A411)</f>
        <v/>
      </c>
      <c r="C412">
        <f>IF(B412="","",B412)</f>
        <v/>
      </c>
      <c r="D412" t="inlineStr">
        <is>
          <t>--PALLETS--</t>
        </is>
      </c>
    </row>
    <row r="413">
      <c r="A413" t="inlineStr">
        <is>
          <t>Location label (rack/floor/zone).</t>
        </is>
      </c>
      <c r="B413">
        <f>IF('02_Warehouse_Locations'!A412="","",'02_Warehouse_Locations'!A412)</f>
        <v/>
      </c>
      <c r="C413">
        <f>IF(B413="","",B413)</f>
        <v/>
      </c>
      <c r="D413" t="inlineStr">
        <is>
          <t>--PALLETS--</t>
        </is>
      </c>
    </row>
    <row r="414">
      <c r="A414" t="inlineStr">
        <is>
          <t>Location label (rack/floor/zone).</t>
        </is>
      </c>
      <c r="B414">
        <f>IF('02_Warehouse_Locations'!A413="","",'02_Warehouse_Locations'!A413)</f>
        <v/>
      </c>
      <c r="C414">
        <f>IF(B414="","",B414)</f>
        <v/>
      </c>
      <c r="D414" t="inlineStr">
        <is>
          <t>--PALLETS--</t>
        </is>
      </c>
    </row>
    <row r="415">
      <c r="A415" t="inlineStr">
        <is>
          <t>Location label (rack/floor/zone).</t>
        </is>
      </c>
      <c r="B415">
        <f>IF('02_Warehouse_Locations'!A414="","",'02_Warehouse_Locations'!A414)</f>
        <v/>
      </c>
      <c r="C415">
        <f>IF(B415="","",B415)</f>
        <v/>
      </c>
      <c r="D415" t="inlineStr">
        <is>
          <t>--PALLETS--</t>
        </is>
      </c>
    </row>
    <row r="416">
      <c r="A416" t="inlineStr">
        <is>
          <t>Location label (rack/floor/zone).</t>
        </is>
      </c>
      <c r="B416">
        <f>IF('02_Warehouse_Locations'!A415="","",'02_Warehouse_Locations'!A415)</f>
        <v/>
      </c>
      <c r="C416">
        <f>IF(B416="","",B416)</f>
        <v/>
      </c>
      <c r="D416" t="inlineStr">
        <is>
          <t>--PALLETS--</t>
        </is>
      </c>
    </row>
    <row r="417">
      <c r="A417" t="inlineStr">
        <is>
          <t>Location label (rack/floor/zone).</t>
        </is>
      </c>
      <c r="B417">
        <f>IF('02_Warehouse_Locations'!A416="","",'02_Warehouse_Locations'!A416)</f>
        <v/>
      </c>
      <c r="C417">
        <f>IF(B417="","",B417)</f>
        <v/>
      </c>
      <c r="D417" t="inlineStr">
        <is>
          <t>--PALLETS--</t>
        </is>
      </c>
    </row>
    <row r="418">
      <c r="A418" t="inlineStr">
        <is>
          <t>Location label (rack/floor/zone).</t>
        </is>
      </c>
      <c r="B418">
        <f>IF('02_Warehouse_Locations'!A417="","",'02_Warehouse_Locations'!A417)</f>
        <v/>
      </c>
      <c r="C418">
        <f>IF(B418="","",B418)</f>
        <v/>
      </c>
      <c r="D418" t="inlineStr">
        <is>
          <t>--PALLETS--</t>
        </is>
      </c>
    </row>
    <row r="419">
      <c r="A419" t="inlineStr">
        <is>
          <t>Location label (rack/floor/zone).</t>
        </is>
      </c>
      <c r="B419">
        <f>IF('02_Warehouse_Locations'!A418="","",'02_Warehouse_Locations'!A418)</f>
        <v/>
      </c>
      <c r="C419">
        <f>IF(B419="","",B419)</f>
        <v/>
      </c>
      <c r="D419" t="inlineStr">
        <is>
          <t>--PALLETS--</t>
        </is>
      </c>
    </row>
    <row r="420">
      <c r="A420" t="inlineStr">
        <is>
          <t>Location label (rack/floor/zone).</t>
        </is>
      </c>
      <c r="B420">
        <f>IF('02_Warehouse_Locations'!A419="","",'02_Warehouse_Locations'!A419)</f>
        <v/>
      </c>
      <c r="C420">
        <f>IF(B420="","",B420)</f>
        <v/>
      </c>
      <c r="D420" t="inlineStr">
        <is>
          <t>--PALLETS--</t>
        </is>
      </c>
    </row>
    <row r="421">
      <c r="A421" t="inlineStr">
        <is>
          <t>Location label (rack/floor/zone).</t>
        </is>
      </c>
      <c r="B421">
        <f>IF('02_Warehouse_Locations'!A420="","",'02_Warehouse_Locations'!A420)</f>
        <v/>
      </c>
      <c r="C421">
        <f>IF(B421="","",B421)</f>
        <v/>
      </c>
      <c r="D421" t="inlineStr">
        <is>
          <t>--PALLETS--</t>
        </is>
      </c>
    </row>
    <row r="422">
      <c r="A422" t="inlineStr">
        <is>
          <t>Location label (rack/floor/zone).</t>
        </is>
      </c>
      <c r="B422">
        <f>IF('02_Warehouse_Locations'!A421="","",'02_Warehouse_Locations'!A421)</f>
        <v/>
      </c>
      <c r="C422">
        <f>IF(B422="","",B422)</f>
        <v/>
      </c>
      <c r="D422" t="inlineStr">
        <is>
          <t>--PALLETS--</t>
        </is>
      </c>
    </row>
    <row r="423">
      <c r="A423" t="inlineStr">
        <is>
          <t>Location label (rack/floor/zone).</t>
        </is>
      </c>
      <c r="B423">
        <f>IF('02_Warehouse_Locations'!A422="","",'02_Warehouse_Locations'!A422)</f>
        <v/>
      </c>
      <c r="C423">
        <f>IF(B423="","",B423)</f>
        <v/>
      </c>
      <c r="D423" t="inlineStr">
        <is>
          <t>--PALLETS--</t>
        </is>
      </c>
    </row>
    <row r="424">
      <c r="A424" t="inlineStr">
        <is>
          <t>Location label (rack/floor/zone).</t>
        </is>
      </c>
      <c r="B424">
        <f>IF('02_Warehouse_Locations'!A423="","",'02_Warehouse_Locations'!A423)</f>
        <v/>
      </c>
      <c r="C424">
        <f>IF(B424="","",B424)</f>
        <v/>
      </c>
      <c r="D424" t="inlineStr">
        <is>
          <t>--PALLETS--</t>
        </is>
      </c>
    </row>
    <row r="425">
      <c r="A425" t="inlineStr">
        <is>
          <t>Location label (rack/floor/zone).</t>
        </is>
      </c>
      <c r="B425">
        <f>IF('02_Warehouse_Locations'!A424="","",'02_Warehouse_Locations'!A424)</f>
        <v/>
      </c>
      <c r="C425">
        <f>IF(B425="","",B425)</f>
        <v/>
      </c>
      <c r="D425" t="inlineStr">
        <is>
          <t>--PALLETS--</t>
        </is>
      </c>
    </row>
    <row r="426">
      <c r="A426" t="inlineStr">
        <is>
          <t>Location label (rack/floor/zone).</t>
        </is>
      </c>
      <c r="B426">
        <f>IF('02_Warehouse_Locations'!A425="","",'02_Warehouse_Locations'!A425)</f>
        <v/>
      </c>
      <c r="C426">
        <f>IF(B426="","",B426)</f>
        <v/>
      </c>
      <c r="D426" t="inlineStr">
        <is>
          <t>--PALLETS--</t>
        </is>
      </c>
    </row>
    <row r="427">
      <c r="A427" t="inlineStr">
        <is>
          <t>Location label (rack/floor/zone).</t>
        </is>
      </c>
      <c r="B427">
        <f>IF('02_Warehouse_Locations'!A426="","",'02_Warehouse_Locations'!A426)</f>
        <v/>
      </c>
      <c r="C427">
        <f>IF(B427="","",B427)</f>
        <v/>
      </c>
      <c r="D427" t="inlineStr">
        <is>
          <t>--PALLETS--</t>
        </is>
      </c>
    </row>
    <row r="428">
      <c r="A428" t="inlineStr">
        <is>
          <t>Location label (rack/floor/zone).</t>
        </is>
      </c>
      <c r="B428">
        <f>IF('02_Warehouse_Locations'!A427="","",'02_Warehouse_Locations'!A427)</f>
        <v/>
      </c>
      <c r="C428">
        <f>IF(B428="","",B428)</f>
        <v/>
      </c>
      <c r="D428" t="inlineStr">
        <is>
          <t>--PALLETS--</t>
        </is>
      </c>
    </row>
    <row r="429">
      <c r="A429" t="inlineStr">
        <is>
          <t>Location label (rack/floor/zone).</t>
        </is>
      </c>
      <c r="B429">
        <f>IF('02_Warehouse_Locations'!A428="","",'02_Warehouse_Locations'!A428)</f>
        <v/>
      </c>
      <c r="C429">
        <f>IF(B429="","",B429)</f>
        <v/>
      </c>
      <c r="D429" t="inlineStr">
        <is>
          <t>--PALLETS--</t>
        </is>
      </c>
    </row>
    <row r="430">
      <c r="A430" t="inlineStr">
        <is>
          <t>Location label (rack/floor/zone).</t>
        </is>
      </c>
      <c r="B430">
        <f>IF('02_Warehouse_Locations'!A429="","",'02_Warehouse_Locations'!A429)</f>
        <v/>
      </c>
      <c r="C430">
        <f>IF(B430="","",B430)</f>
        <v/>
      </c>
      <c r="D430" t="inlineStr">
        <is>
          <t>--PALLETS--</t>
        </is>
      </c>
    </row>
    <row r="431">
      <c r="A431" t="inlineStr">
        <is>
          <t>Location label (rack/floor/zone).</t>
        </is>
      </c>
      <c r="B431">
        <f>IF('02_Warehouse_Locations'!A430="","",'02_Warehouse_Locations'!A430)</f>
        <v/>
      </c>
      <c r="C431">
        <f>IF(B431="","",B431)</f>
        <v/>
      </c>
      <c r="D431" t="inlineStr">
        <is>
          <t>--PALLETS--</t>
        </is>
      </c>
    </row>
    <row r="432">
      <c r="A432" t="inlineStr">
        <is>
          <t>Location label (rack/floor/zone).</t>
        </is>
      </c>
      <c r="B432">
        <f>IF('02_Warehouse_Locations'!A431="","",'02_Warehouse_Locations'!A431)</f>
        <v/>
      </c>
      <c r="C432">
        <f>IF(B432="","",B432)</f>
        <v/>
      </c>
      <c r="D432" t="inlineStr">
        <is>
          <t>--PALLETS--</t>
        </is>
      </c>
    </row>
    <row r="433">
      <c r="A433" t="inlineStr">
        <is>
          <t>Location label (rack/floor/zone).</t>
        </is>
      </c>
      <c r="B433">
        <f>IF('02_Warehouse_Locations'!A432="","",'02_Warehouse_Locations'!A432)</f>
        <v/>
      </c>
      <c r="C433">
        <f>IF(B433="","",B433)</f>
        <v/>
      </c>
      <c r="D433" t="inlineStr">
        <is>
          <t>--PALLETS--</t>
        </is>
      </c>
    </row>
    <row r="434">
      <c r="A434" t="inlineStr">
        <is>
          <t>Location label (rack/floor/zone).</t>
        </is>
      </c>
      <c r="B434">
        <f>IF('02_Warehouse_Locations'!A433="","",'02_Warehouse_Locations'!A433)</f>
        <v/>
      </c>
      <c r="C434">
        <f>IF(B434="","",B434)</f>
        <v/>
      </c>
      <c r="D434" t="inlineStr">
        <is>
          <t>--PALLETS--</t>
        </is>
      </c>
    </row>
    <row r="435">
      <c r="A435" t="inlineStr">
        <is>
          <t>Location label (rack/floor/zone).</t>
        </is>
      </c>
      <c r="B435">
        <f>IF('02_Warehouse_Locations'!A434="","",'02_Warehouse_Locations'!A434)</f>
        <v/>
      </c>
      <c r="C435">
        <f>IF(B435="","",B435)</f>
        <v/>
      </c>
      <c r="D435" t="inlineStr">
        <is>
          <t>--PALLETS--</t>
        </is>
      </c>
    </row>
    <row r="436">
      <c r="A436" t="inlineStr">
        <is>
          <t>Location label (rack/floor/zone).</t>
        </is>
      </c>
      <c r="B436">
        <f>IF('02_Warehouse_Locations'!A435="","",'02_Warehouse_Locations'!A435)</f>
        <v/>
      </c>
      <c r="C436">
        <f>IF(B436="","",B436)</f>
        <v/>
      </c>
      <c r="D436" t="inlineStr">
        <is>
          <t>--PALLETS--</t>
        </is>
      </c>
    </row>
    <row r="437">
      <c r="A437" t="inlineStr">
        <is>
          <t>Location label (rack/floor/zone).</t>
        </is>
      </c>
      <c r="B437">
        <f>IF('02_Warehouse_Locations'!A436="","",'02_Warehouse_Locations'!A436)</f>
        <v/>
      </c>
      <c r="C437">
        <f>IF(B437="","",B437)</f>
        <v/>
      </c>
      <c r="D437" t="inlineStr">
        <is>
          <t>--PALLETS--</t>
        </is>
      </c>
    </row>
    <row r="438">
      <c r="A438" t="inlineStr">
        <is>
          <t>Location label (rack/floor/zone).</t>
        </is>
      </c>
      <c r="B438">
        <f>IF('02_Warehouse_Locations'!A437="","",'02_Warehouse_Locations'!A437)</f>
        <v/>
      </c>
      <c r="C438">
        <f>IF(B438="","",B438)</f>
        <v/>
      </c>
      <c r="D438" t="inlineStr">
        <is>
          <t>--PALLETS--</t>
        </is>
      </c>
    </row>
    <row r="439">
      <c r="A439" t="inlineStr">
        <is>
          <t>Location label (rack/floor/zone).</t>
        </is>
      </c>
      <c r="B439">
        <f>IF('02_Warehouse_Locations'!A438="","",'02_Warehouse_Locations'!A438)</f>
        <v/>
      </c>
      <c r="C439">
        <f>IF(B439="","",B439)</f>
        <v/>
      </c>
      <c r="D439" t="inlineStr">
        <is>
          <t>--PALLETS--</t>
        </is>
      </c>
    </row>
    <row r="440">
      <c r="A440" t="inlineStr">
        <is>
          <t>Location label (rack/floor/zone).</t>
        </is>
      </c>
      <c r="B440">
        <f>IF('02_Warehouse_Locations'!A439="","",'02_Warehouse_Locations'!A439)</f>
        <v/>
      </c>
      <c r="C440">
        <f>IF(B440="","",B440)</f>
        <v/>
      </c>
      <c r="D440" t="inlineStr">
        <is>
          <t>--PALLETS--</t>
        </is>
      </c>
    </row>
    <row r="441">
      <c r="A441" t="inlineStr">
        <is>
          <t>Location label (rack/floor/zone).</t>
        </is>
      </c>
      <c r="B441">
        <f>IF('02_Warehouse_Locations'!A440="","",'02_Warehouse_Locations'!A440)</f>
        <v/>
      </c>
      <c r="C441">
        <f>IF(B441="","",B441)</f>
        <v/>
      </c>
      <c r="D441" t="inlineStr">
        <is>
          <t>--PALLETS--</t>
        </is>
      </c>
    </row>
    <row r="442">
      <c r="A442" t="inlineStr">
        <is>
          <t>Location label (rack/floor/zone).</t>
        </is>
      </c>
      <c r="B442">
        <f>IF('02_Warehouse_Locations'!A441="","",'02_Warehouse_Locations'!A441)</f>
        <v/>
      </c>
      <c r="C442">
        <f>IF(B442="","",B442)</f>
        <v/>
      </c>
      <c r="D442" t="inlineStr">
        <is>
          <t>--PALLETS--</t>
        </is>
      </c>
    </row>
    <row r="443">
      <c r="A443" t="inlineStr">
        <is>
          <t>Location label (rack/floor/zone).</t>
        </is>
      </c>
      <c r="B443">
        <f>IF('02_Warehouse_Locations'!A442="","",'02_Warehouse_Locations'!A442)</f>
        <v/>
      </c>
      <c r="C443">
        <f>IF(B443="","",B443)</f>
        <v/>
      </c>
      <c r="D443" t="inlineStr">
        <is>
          <t>--PALLETS--</t>
        </is>
      </c>
    </row>
    <row r="444">
      <c r="A444" t="inlineStr">
        <is>
          <t>Location label (rack/floor/zone).</t>
        </is>
      </c>
      <c r="B444">
        <f>IF('02_Warehouse_Locations'!A443="","",'02_Warehouse_Locations'!A443)</f>
        <v/>
      </c>
      <c r="C444">
        <f>IF(B444="","",B444)</f>
        <v/>
      </c>
      <c r="D444" t="inlineStr">
        <is>
          <t>--PALLETS--</t>
        </is>
      </c>
    </row>
    <row r="445">
      <c r="A445" t="inlineStr">
        <is>
          <t>Location label (rack/floor/zone).</t>
        </is>
      </c>
      <c r="B445">
        <f>IF('02_Warehouse_Locations'!A444="","",'02_Warehouse_Locations'!A444)</f>
        <v/>
      </c>
      <c r="C445">
        <f>IF(B445="","",B445)</f>
        <v/>
      </c>
      <c r="D445" t="inlineStr">
        <is>
          <t>--PALLETS--</t>
        </is>
      </c>
    </row>
    <row r="446">
      <c r="A446" t="inlineStr">
        <is>
          <t>Location label (rack/floor/zone).</t>
        </is>
      </c>
      <c r="B446">
        <f>IF('02_Warehouse_Locations'!A445="","",'02_Warehouse_Locations'!A445)</f>
        <v/>
      </c>
      <c r="C446">
        <f>IF(B446="","",B446)</f>
        <v/>
      </c>
      <c r="D446" t="inlineStr">
        <is>
          <t>--PALLETS--</t>
        </is>
      </c>
    </row>
    <row r="447">
      <c r="A447" t="inlineStr">
        <is>
          <t>Location label (rack/floor/zone).</t>
        </is>
      </c>
      <c r="B447">
        <f>IF('02_Warehouse_Locations'!A446="","",'02_Warehouse_Locations'!A446)</f>
        <v/>
      </c>
      <c r="C447">
        <f>IF(B447="","",B447)</f>
        <v/>
      </c>
      <c r="D447" t="inlineStr">
        <is>
          <t>--PALLETS--</t>
        </is>
      </c>
    </row>
    <row r="448">
      <c r="A448" t="inlineStr">
        <is>
          <t>Location label (rack/floor/zone).</t>
        </is>
      </c>
      <c r="B448">
        <f>IF('02_Warehouse_Locations'!A447="","",'02_Warehouse_Locations'!A447)</f>
        <v/>
      </c>
      <c r="C448">
        <f>IF(B448="","",B448)</f>
        <v/>
      </c>
      <c r="D448" t="inlineStr">
        <is>
          <t>--PALLETS--</t>
        </is>
      </c>
    </row>
    <row r="449">
      <c r="A449" t="inlineStr">
        <is>
          <t>Location label (rack/floor/zone).</t>
        </is>
      </c>
      <c r="B449">
        <f>IF('02_Warehouse_Locations'!A448="","",'02_Warehouse_Locations'!A448)</f>
        <v/>
      </c>
      <c r="C449">
        <f>IF(B449="","",B449)</f>
        <v/>
      </c>
      <c r="D449" t="inlineStr">
        <is>
          <t>--PALLETS--</t>
        </is>
      </c>
    </row>
    <row r="450">
      <c r="A450" t="inlineStr">
        <is>
          <t>Location label (rack/floor/zone).</t>
        </is>
      </c>
      <c r="B450">
        <f>IF('02_Warehouse_Locations'!A449="","",'02_Warehouse_Locations'!A449)</f>
        <v/>
      </c>
      <c r="C450">
        <f>IF(B450="","",B450)</f>
        <v/>
      </c>
      <c r="D450" t="inlineStr">
        <is>
          <t>--PALLETS--</t>
        </is>
      </c>
    </row>
    <row r="451">
      <c r="A451" t="inlineStr">
        <is>
          <t>Location label (rack/floor/zone).</t>
        </is>
      </c>
      <c r="B451">
        <f>IF('02_Warehouse_Locations'!A450="","",'02_Warehouse_Locations'!A450)</f>
        <v/>
      </c>
      <c r="C451">
        <f>IF(B451="","",B451)</f>
        <v/>
      </c>
      <c r="D451" t="inlineStr">
        <is>
          <t>--PALLETS--</t>
        </is>
      </c>
    </row>
    <row r="452">
      <c r="A452" t="inlineStr">
        <is>
          <t>Location label (rack/floor/zone).</t>
        </is>
      </c>
      <c r="B452">
        <f>IF('02_Warehouse_Locations'!A451="","",'02_Warehouse_Locations'!A451)</f>
        <v/>
      </c>
      <c r="C452">
        <f>IF(B452="","",B452)</f>
        <v/>
      </c>
      <c r="D452" t="inlineStr">
        <is>
          <t>--PALLETS--</t>
        </is>
      </c>
    </row>
    <row r="453">
      <c r="A453" t="inlineStr">
        <is>
          <t>Location label (rack/floor/zone).</t>
        </is>
      </c>
      <c r="B453">
        <f>IF('02_Warehouse_Locations'!A452="","",'02_Warehouse_Locations'!A452)</f>
        <v/>
      </c>
      <c r="C453">
        <f>IF(B453="","",B453)</f>
        <v/>
      </c>
      <c r="D453" t="inlineStr">
        <is>
          <t>--PALLETS--</t>
        </is>
      </c>
    </row>
    <row r="454">
      <c r="A454" t="inlineStr">
        <is>
          <t>Location label (rack/floor/zone).</t>
        </is>
      </c>
      <c r="B454">
        <f>IF('02_Warehouse_Locations'!A453="","",'02_Warehouse_Locations'!A453)</f>
        <v/>
      </c>
      <c r="C454">
        <f>IF(B454="","",B454)</f>
        <v/>
      </c>
      <c r="D454" t="inlineStr">
        <is>
          <t>--PALLETS--</t>
        </is>
      </c>
    </row>
    <row r="455">
      <c r="A455" t="inlineStr">
        <is>
          <t>Location label (rack/floor/zone).</t>
        </is>
      </c>
      <c r="B455">
        <f>IF('02_Warehouse_Locations'!A454="","",'02_Warehouse_Locations'!A454)</f>
        <v/>
      </c>
      <c r="C455">
        <f>IF(B455="","",B455)</f>
        <v/>
      </c>
      <c r="D455" t="inlineStr">
        <is>
          <t>--PALLETS--</t>
        </is>
      </c>
    </row>
    <row r="456">
      <c r="A456" t="inlineStr">
        <is>
          <t>Location label (rack/floor/zone).</t>
        </is>
      </c>
      <c r="B456">
        <f>IF('02_Warehouse_Locations'!A455="","",'02_Warehouse_Locations'!A455)</f>
        <v/>
      </c>
      <c r="C456">
        <f>IF(B456="","",B456)</f>
        <v/>
      </c>
      <c r="D456" t="inlineStr">
        <is>
          <t>--PALLETS--</t>
        </is>
      </c>
    </row>
    <row r="457">
      <c r="A457" t="inlineStr">
        <is>
          <t>Location label (rack/floor/zone).</t>
        </is>
      </c>
      <c r="B457">
        <f>IF('02_Warehouse_Locations'!A456="","",'02_Warehouse_Locations'!A456)</f>
        <v/>
      </c>
      <c r="C457">
        <f>IF(B457="","",B457)</f>
        <v/>
      </c>
      <c r="D457" t="inlineStr">
        <is>
          <t>--PALLETS--</t>
        </is>
      </c>
    </row>
    <row r="458">
      <c r="A458" t="inlineStr">
        <is>
          <t>Location label (rack/floor/zone).</t>
        </is>
      </c>
      <c r="B458">
        <f>IF('02_Warehouse_Locations'!A457="","",'02_Warehouse_Locations'!A457)</f>
        <v/>
      </c>
      <c r="C458">
        <f>IF(B458="","",B458)</f>
        <v/>
      </c>
      <c r="D458" t="inlineStr">
        <is>
          <t>--PALLETS--</t>
        </is>
      </c>
    </row>
    <row r="459">
      <c r="A459" t="inlineStr">
        <is>
          <t>Location label (rack/floor/zone).</t>
        </is>
      </c>
      <c r="B459">
        <f>IF('02_Warehouse_Locations'!A458="","",'02_Warehouse_Locations'!A458)</f>
        <v/>
      </c>
      <c r="C459">
        <f>IF(B459="","",B459)</f>
        <v/>
      </c>
      <c r="D459" t="inlineStr">
        <is>
          <t>--PALLETS--</t>
        </is>
      </c>
    </row>
    <row r="460">
      <c r="A460" t="inlineStr">
        <is>
          <t>Location label (rack/floor/zone).</t>
        </is>
      </c>
      <c r="B460">
        <f>IF('02_Warehouse_Locations'!A459="","",'02_Warehouse_Locations'!A459)</f>
        <v/>
      </c>
      <c r="C460">
        <f>IF(B460="","",B460)</f>
        <v/>
      </c>
      <c r="D460" t="inlineStr">
        <is>
          <t>--PALLETS--</t>
        </is>
      </c>
    </row>
    <row r="461">
      <c r="A461" t="inlineStr">
        <is>
          <t>Location label (rack/floor/zone).</t>
        </is>
      </c>
      <c r="B461">
        <f>IF('02_Warehouse_Locations'!A460="","",'02_Warehouse_Locations'!A460)</f>
        <v/>
      </c>
      <c r="C461">
        <f>IF(B461="","",B461)</f>
        <v/>
      </c>
      <c r="D461" t="inlineStr">
        <is>
          <t>--PALLETS--</t>
        </is>
      </c>
    </row>
    <row r="462">
      <c r="A462" t="inlineStr">
        <is>
          <t>Location label (rack/floor/zone).</t>
        </is>
      </c>
      <c r="B462">
        <f>IF('02_Warehouse_Locations'!A461="","",'02_Warehouse_Locations'!A461)</f>
        <v/>
      </c>
      <c r="C462">
        <f>IF(B462="","",B462)</f>
        <v/>
      </c>
      <c r="D462" t="inlineStr">
        <is>
          <t>--PALLETS--</t>
        </is>
      </c>
    </row>
    <row r="463">
      <c r="A463" t="inlineStr">
        <is>
          <t>Location label (rack/floor/zone).</t>
        </is>
      </c>
      <c r="B463">
        <f>IF('02_Warehouse_Locations'!A462="","",'02_Warehouse_Locations'!A462)</f>
        <v/>
      </c>
      <c r="C463">
        <f>IF(B463="","",B463)</f>
        <v/>
      </c>
      <c r="D463" t="inlineStr">
        <is>
          <t>--PALLETS--</t>
        </is>
      </c>
    </row>
    <row r="464">
      <c r="A464" t="inlineStr">
        <is>
          <t>Location label (rack/floor/zone).</t>
        </is>
      </c>
      <c r="B464">
        <f>IF('02_Warehouse_Locations'!A463="","",'02_Warehouse_Locations'!A463)</f>
        <v/>
      </c>
      <c r="C464">
        <f>IF(B464="","",B464)</f>
        <v/>
      </c>
      <c r="D464" t="inlineStr">
        <is>
          <t>--PALLETS--</t>
        </is>
      </c>
    </row>
    <row r="465">
      <c r="A465" t="inlineStr">
        <is>
          <t>Location label (rack/floor/zone).</t>
        </is>
      </c>
      <c r="B465">
        <f>IF('02_Warehouse_Locations'!A464="","",'02_Warehouse_Locations'!A464)</f>
        <v/>
      </c>
      <c r="C465">
        <f>IF(B465="","",B465)</f>
        <v/>
      </c>
      <c r="D465" t="inlineStr">
        <is>
          <t>--PALLETS--</t>
        </is>
      </c>
    </row>
    <row r="466">
      <c r="A466" t="inlineStr">
        <is>
          <t>Location label (rack/floor/zone).</t>
        </is>
      </c>
      <c r="B466">
        <f>IF('02_Warehouse_Locations'!A465="","",'02_Warehouse_Locations'!A465)</f>
        <v/>
      </c>
      <c r="C466">
        <f>IF(B466="","",B466)</f>
        <v/>
      </c>
      <c r="D466" t="inlineStr">
        <is>
          <t>--PALLETS--</t>
        </is>
      </c>
    </row>
    <row r="467">
      <c r="A467" t="inlineStr">
        <is>
          <t>Location label (rack/floor/zone).</t>
        </is>
      </c>
      <c r="B467">
        <f>IF('02_Warehouse_Locations'!A466="","",'02_Warehouse_Locations'!A466)</f>
        <v/>
      </c>
      <c r="C467">
        <f>IF(B467="","",B467)</f>
        <v/>
      </c>
      <c r="D467" t="inlineStr">
        <is>
          <t>--PALLETS--</t>
        </is>
      </c>
    </row>
    <row r="468">
      <c r="A468" t="inlineStr">
        <is>
          <t>Location label (rack/floor/zone).</t>
        </is>
      </c>
      <c r="B468">
        <f>IF('02_Warehouse_Locations'!A467="","",'02_Warehouse_Locations'!A467)</f>
        <v/>
      </c>
      <c r="C468">
        <f>IF(B468="","",B468)</f>
        <v/>
      </c>
      <c r="D468" t="inlineStr">
        <is>
          <t>--PALLETS--</t>
        </is>
      </c>
    </row>
    <row r="469">
      <c r="A469" t="inlineStr">
        <is>
          <t>Location label (rack/floor/zone).</t>
        </is>
      </c>
      <c r="B469">
        <f>IF('02_Warehouse_Locations'!A468="","",'02_Warehouse_Locations'!A468)</f>
        <v/>
      </c>
      <c r="C469">
        <f>IF(B469="","",B469)</f>
        <v/>
      </c>
      <c r="D469" t="inlineStr">
        <is>
          <t>--PALLETS--</t>
        </is>
      </c>
    </row>
    <row r="470">
      <c r="A470" t="inlineStr">
        <is>
          <t>Location label (rack/floor/zone).</t>
        </is>
      </c>
      <c r="B470">
        <f>IF('02_Warehouse_Locations'!A469="","",'02_Warehouse_Locations'!A469)</f>
        <v/>
      </c>
      <c r="C470">
        <f>IF(B470="","",B470)</f>
        <v/>
      </c>
      <c r="D470" t="inlineStr">
        <is>
          <t>--PALLETS--</t>
        </is>
      </c>
    </row>
    <row r="471">
      <c r="A471" t="inlineStr">
        <is>
          <t>Location label (rack/floor/zone).</t>
        </is>
      </c>
      <c r="B471">
        <f>IF('02_Warehouse_Locations'!A470="","",'02_Warehouse_Locations'!A470)</f>
        <v/>
      </c>
      <c r="C471">
        <f>IF(B471="","",B471)</f>
        <v/>
      </c>
      <c r="D471" t="inlineStr">
        <is>
          <t>--PALLETS--</t>
        </is>
      </c>
    </row>
    <row r="472">
      <c r="A472" t="inlineStr">
        <is>
          <t>Location label (rack/floor/zone).</t>
        </is>
      </c>
      <c r="B472">
        <f>IF('02_Warehouse_Locations'!A471="","",'02_Warehouse_Locations'!A471)</f>
        <v/>
      </c>
      <c r="C472">
        <f>IF(B472="","",B472)</f>
        <v/>
      </c>
      <c r="D472" t="inlineStr">
        <is>
          <t>--PALLETS--</t>
        </is>
      </c>
    </row>
    <row r="473">
      <c r="A473" t="inlineStr">
        <is>
          <t>Location label (rack/floor/zone).</t>
        </is>
      </c>
      <c r="B473">
        <f>IF('02_Warehouse_Locations'!A472="","",'02_Warehouse_Locations'!A472)</f>
        <v/>
      </c>
      <c r="C473">
        <f>IF(B473="","",B473)</f>
        <v/>
      </c>
      <c r="D473" t="inlineStr">
        <is>
          <t>--PALLETS--</t>
        </is>
      </c>
    </row>
    <row r="474">
      <c r="A474" t="inlineStr">
        <is>
          <t>Location label (rack/floor/zone).</t>
        </is>
      </c>
      <c r="B474">
        <f>IF('02_Warehouse_Locations'!A473="","",'02_Warehouse_Locations'!A473)</f>
        <v/>
      </c>
      <c r="C474">
        <f>IF(B474="","",B474)</f>
        <v/>
      </c>
      <c r="D474" t="inlineStr">
        <is>
          <t>--PALLETS--</t>
        </is>
      </c>
    </row>
    <row r="475">
      <c r="A475" t="inlineStr">
        <is>
          <t>Location label (rack/floor/zone).</t>
        </is>
      </c>
      <c r="B475">
        <f>IF('02_Warehouse_Locations'!A474="","",'02_Warehouse_Locations'!A474)</f>
        <v/>
      </c>
      <c r="C475">
        <f>IF(B475="","",B475)</f>
        <v/>
      </c>
      <c r="D475" t="inlineStr">
        <is>
          <t>--PALLETS--</t>
        </is>
      </c>
    </row>
    <row r="476">
      <c r="A476" t="inlineStr">
        <is>
          <t>Location label (rack/floor/zone).</t>
        </is>
      </c>
      <c r="B476">
        <f>IF('02_Warehouse_Locations'!A475="","",'02_Warehouse_Locations'!A475)</f>
        <v/>
      </c>
      <c r="C476">
        <f>IF(B476="","",B476)</f>
        <v/>
      </c>
      <c r="D476" t="inlineStr">
        <is>
          <t>--PALLETS--</t>
        </is>
      </c>
    </row>
    <row r="477">
      <c r="A477" t="inlineStr">
        <is>
          <t>Location label (rack/floor/zone).</t>
        </is>
      </c>
      <c r="B477">
        <f>IF('02_Warehouse_Locations'!A476="","",'02_Warehouse_Locations'!A476)</f>
        <v/>
      </c>
      <c r="C477">
        <f>IF(B477="","",B477)</f>
        <v/>
      </c>
      <c r="D477" t="inlineStr">
        <is>
          <t>--PALLETS--</t>
        </is>
      </c>
    </row>
    <row r="478">
      <c r="A478" t="inlineStr">
        <is>
          <t>Location label (rack/floor/zone).</t>
        </is>
      </c>
      <c r="B478">
        <f>IF('02_Warehouse_Locations'!A477="","",'02_Warehouse_Locations'!A477)</f>
        <v/>
      </c>
      <c r="C478">
        <f>IF(B478="","",B478)</f>
        <v/>
      </c>
      <c r="D478" t="inlineStr">
        <is>
          <t>--PALLETS--</t>
        </is>
      </c>
    </row>
    <row r="479">
      <c r="A479" t="inlineStr">
        <is>
          <t>Location label (rack/floor/zone).</t>
        </is>
      </c>
      <c r="B479">
        <f>IF('02_Warehouse_Locations'!A478="","",'02_Warehouse_Locations'!A478)</f>
        <v/>
      </c>
      <c r="C479">
        <f>IF(B479="","",B479)</f>
        <v/>
      </c>
      <c r="D479" t="inlineStr">
        <is>
          <t>--PALLETS--</t>
        </is>
      </c>
    </row>
    <row r="480">
      <c r="A480" t="inlineStr">
        <is>
          <t>Location label (rack/floor/zone).</t>
        </is>
      </c>
      <c r="B480">
        <f>IF('02_Warehouse_Locations'!A479="","",'02_Warehouse_Locations'!A479)</f>
        <v/>
      </c>
      <c r="C480">
        <f>IF(B480="","",B480)</f>
        <v/>
      </c>
      <c r="D480" t="inlineStr">
        <is>
          <t>--PALLETS--</t>
        </is>
      </c>
    </row>
    <row r="481">
      <c r="A481" t="inlineStr">
        <is>
          <t>Location label (rack/floor/zone).</t>
        </is>
      </c>
      <c r="B481">
        <f>IF('02_Warehouse_Locations'!A480="","",'02_Warehouse_Locations'!A480)</f>
        <v/>
      </c>
      <c r="C481">
        <f>IF(B481="","",B481)</f>
        <v/>
      </c>
      <c r="D481" t="inlineStr">
        <is>
          <t>--PALLETS--</t>
        </is>
      </c>
    </row>
    <row r="482">
      <c r="A482" t="inlineStr">
        <is>
          <t>Location label (rack/floor/zone).</t>
        </is>
      </c>
      <c r="B482">
        <f>IF('02_Warehouse_Locations'!A481="","",'02_Warehouse_Locations'!A481)</f>
        <v/>
      </c>
      <c r="C482">
        <f>IF(B482="","",B482)</f>
        <v/>
      </c>
      <c r="D482" t="inlineStr">
        <is>
          <t>--PALLETS--</t>
        </is>
      </c>
    </row>
    <row r="483">
      <c r="A483" t="inlineStr">
        <is>
          <t>Location label (rack/floor/zone).</t>
        </is>
      </c>
      <c r="B483">
        <f>IF('02_Warehouse_Locations'!A482="","",'02_Warehouse_Locations'!A482)</f>
        <v/>
      </c>
      <c r="C483">
        <f>IF(B483="","",B483)</f>
        <v/>
      </c>
      <c r="D483" t="inlineStr">
        <is>
          <t>--PALLETS--</t>
        </is>
      </c>
    </row>
    <row r="484">
      <c r="A484" t="inlineStr">
        <is>
          <t>Location label (rack/floor/zone).</t>
        </is>
      </c>
      <c r="B484">
        <f>IF('02_Warehouse_Locations'!A483="","",'02_Warehouse_Locations'!A483)</f>
        <v/>
      </c>
      <c r="C484">
        <f>IF(B484="","",B484)</f>
        <v/>
      </c>
      <c r="D484" t="inlineStr">
        <is>
          <t>--PALLETS--</t>
        </is>
      </c>
    </row>
    <row r="485">
      <c r="A485" t="inlineStr">
        <is>
          <t>Location label (rack/floor/zone).</t>
        </is>
      </c>
      <c r="B485">
        <f>IF('02_Warehouse_Locations'!A484="","",'02_Warehouse_Locations'!A484)</f>
        <v/>
      </c>
      <c r="C485">
        <f>IF(B485="","",B485)</f>
        <v/>
      </c>
      <c r="D485" t="inlineStr">
        <is>
          <t>--PALLETS--</t>
        </is>
      </c>
    </row>
    <row r="486">
      <c r="A486" t="inlineStr">
        <is>
          <t>Location label (rack/floor/zone).</t>
        </is>
      </c>
      <c r="B486">
        <f>IF('02_Warehouse_Locations'!A485="","",'02_Warehouse_Locations'!A485)</f>
        <v/>
      </c>
      <c r="C486">
        <f>IF(B486="","",B486)</f>
        <v/>
      </c>
      <c r="D486" t="inlineStr">
        <is>
          <t>--PALLETS--</t>
        </is>
      </c>
    </row>
    <row r="487">
      <c r="A487" t="inlineStr">
        <is>
          <t>Location label (rack/floor/zone).</t>
        </is>
      </c>
      <c r="B487">
        <f>IF('02_Warehouse_Locations'!A486="","",'02_Warehouse_Locations'!A486)</f>
        <v/>
      </c>
      <c r="C487">
        <f>IF(B487="","",B487)</f>
        <v/>
      </c>
      <c r="D487" t="inlineStr">
        <is>
          <t>--PALLETS--</t>
        </is>
      </c>
    </row>
    <row r="488">
      <c r="A488" t="inlineStr">
        <is>
          <t>Location label (rack/floor/zone).</t>
        </is>
      </c>
      <c r="B488">
        <f>IF('02_Warehouse_Locations'!A487="","",'02_Warehouse_Locations'!A487)</f>
        <v/>
      </c>
      <c r="C488">
        <f>IF(B488="","",B488)</f>
        <v/>
      </c>
      <c r="D488" t="inlineStr">
        <is>
          <t>--PALLETS--</t>
        </is>
      </c>
    </row>
    <row r="489">
      <c r="A489" t="inlineStr">
        <is>
          <t>Location label (rack/floor/zone).</t>
        </is>
      </c>
      <c r="B489">
        <f>IF('02_Warehouse_Locations'!A488="","",'02_Warehouse_Locations'!A488)</f>
        <v/>
      </c>
      <c r="C489">
        <f>IF(B489="","",B489)</f>
        <v/>
      </c>
      <c r="D489" t="inlineStr">
        <is>
          <t>--PALLETS--</t>
        </is>
      </c>
    </row>
    <row r="490">
      <c r="A490" t="inlineStr">
        <is>
          <t>Location label (rack/floor/zone).</t>
        </is>
      </c>
      <c r="B490">
        <f>IF('02_Warehouse_Locations'!A489="","",'02_Warehouse_Locations'!A489)</f>
        <v/>
      </c>
      <c r="C490">
        <f>IF(B490="","",B490)</f>
        <v/>
      </c>
      <c r="D490" t="inlineStr">
        <is>
          <t>--PALLETS--</t>
        </is>
      </c>
    </row>
    <row r="491">
      <c r="A491" t="inlineStr">
        <is>
          <t>Location label (rack/floor/zone).</t>
        </is>
      </c>
      <c r="B491">
        <f>IF('02_Warehouse_Locations'!A490="","",'02_Warehouse_Locations'!A490)</f>
        <v/>
      </c>
      <c r="C491">
        <f>IF(B491="","",B491)</f>
        <v/>
      </c>
      <c r="D491" t="inlineStr">
        <is>
          <t>--PALLETS--</t>
        </is>
      </c>
    </row>
    <row r="492">
      <c r="A492" t="inlineStr">
        <is>
          <t>Location label (rack/floor/zone).</t>
        </is>
      </c>
      <c r="B492">
        <f>IF('02_Warehouse_Locations'!A491="","",'02_Warehouse_Locations'!A491)</f>
        <v/>
      </c>
      <c r="C492">
        <f>IF(B492="","",B492)</f>
        <v/>
      </c>
      <c r="D492" t="inlineStr">
        <is>
          <t>--PALLETS--</t>
        </is>
      </c>
    </row>
    <row r="493">
      <c r="A493" t="inlineStr">
        <is>
          <t>Location label (rack/floor/zone).</t>
        </is>
      </c>
      <c r="B493">
        <f>IF('02_Warehouse_Locations'!A492="","",'02_Warehouse_Locations'!A492)</f>
        <v/>
      </c>
      <c r="C493">
        <f>IF(B493="","",B493)</f>
        <v/>
      </c>
      <c r="D493" t="inlineStr">
        <is>
          <t>--PALLETS--</t>
        </is>
      </c>
    </row>
    <row r="494">
      <c r="A494" t="inlineStr">
        <is>
          <t>Location label (rack/floor/zone).</t>
        </is>
      </c>
      <c r="B494">
        <f>IF('02_Warehouse_Locations'!A493="","",'02_Warehouse_Locations'!A493)</f>
        <v/>
      </c>
      <c r="C494">
        <f>IF(B494="","",B494)</f>
        <v/>
      </c>
      <c r="D494" t="inlineStr">
        <is>
          <t>--PALLETS--</t>
        </is>
      </c>
    </row>
    <row r="495">
      <c r="A495" t="inlineStr">
        <is>
          <t>Location label (rack/floor/zone).</t>
        </is>
      </c>
      <c r="B495">
        <f>IF('02_Warehouse_Locations'!A494="","",'02_Warehouse_Locations'!A494)</f>
        <v/>
      </c>
      <c r="C495">
        <f>IF(B495="","",B495)</f>
        <v/>
      </c>
      <c r="D495" t="inlineStr">
        <is>
          <t>--PALLETS--</t>
        </is>
      </c>
    </row>
    <row r="496">
      <c r="A496" t="inlineStr">
        <is>
          <t>Location label (rack/floor/zone).</t>
        </is>
      </c>
      <c r="B496">
        <f>IF('02_Warehouse_Locations'!A495="","",'02_Warehouse_Locations'!A495)</f>
        <v/>
      </c>
      <c r="C496">
        <f>IF(B496="","",B496)</f>
        <v/>
      </c>
      <c r="D496" t="inlineStr">
        <is>
          <t>--PALLETS--</t>
        </is>
      </c>
    </row>
    <row r="497">
      <c r="A497" t="inlineStr">
        <is>
          <t>Location label (rack/floor/zone).</t>
        </is>
      </c>
      <c r="B497">
        <f>IF('02_Warehouse_Locations'!A496="","",'02_Warehouse_Locations'!A496)</f>
        <v/>
      </c>
      <c r="C497">
        <f>IF(B497="","",B497)</f>
        <v/>
      </c>
      <c r="D497" t="inlineStr">
        <is>
          <t>--PALLETS--</t>
        </is>
      </c>
    </row>
    <row r="498">
      <c r="A498" t="inlineStr">
        <is>
          <t>Location label (rack/floor/zone).</t>
        </is>
      </c>
      <c r="B498">
        <f>IF('02_Warehouse_Locations'!A497="","",'02_Warehouse_Locations'!A497)</f>
        <v/>
      </c>
      <c r="C498">
        <f>IF(B498="","",B498)</f>
        <v/>
      </c>
      <c r="D498" t="inlineStr">
        <is>
          <t>--PALLETS--</t>
        </is>
      </c>
    </row>
    <row r="499">
      <c r="A499" t="inlineStr">
        <is>
          <t>Location label (rack/floor/zone).</t>
        </is>
      </c>
      <c r="B499">
        <f>IF('02_Warehouse_Locations'!A498="","",'02_Warehouse_Locations'!A498)</f>
        <v/>
      </c>
      <c r="C499">
        <f>IF(B499="","",B499)</f>
        <v/>
      </c>
      <c r="D499" t="inlineStr">
        <is>
          <t>--PALLETS--</t>
        </is>
      </c>
    </row>
    <row r="500">
      <c r="A500" t="inlineStr">
        <is>
          <t>Location label (rack/floor/zone).</t>
        </is>
      </c>
      <c r="B500">
        <f>IF('02_Warehouse_Locations'!A499="","",'02_Warehouse_Locations'!A499)</f>
        <v/>
      </c>
      <c r="C500">
        <f>IF(B500="","",B500)</f>
        <v/>
      </c>
      <c r="D500" t="inlineStr">
        <is>
          <t>--PALLETS--</t>
        </is>
      </c>
    </row>
    <row r="501">
      <c r="A501" t="inlineStr">
        <is>
          <t>Location label (rack/floor/zone).</t>
        </is>
      </c>
      <c r="B501">
        <f>IF('02_Warehouse_Locations'!A500="","",'02_Warehouse_Locations'!A500)</f>
        <v/>
      </c>
      <c r="C501">
        <f>IF(B501="","",B501)</f>
        <v/>
      </c>
      <c r="D501" t="inlineStr">
        <is>
          <t>--PALLETS--</t>
        </is>
      </c>
    </row>
    <row r="502">
      <c r="A502" t="inlineStr">
        <is>
          <t>Location label (rack/floor/zone).</t>
        </is>
      </c>
      <c r="B502">
        <f>IF('02_Warehouse_Locations'!A501="","",'02_Warehouse_Locations'!A501)</f>
        <v/>
      </c>
      <c r="C502">
        <f>IF(B502="","",B502)</f>
        <v/>
      </c>
      <c r="D502" t="inlineStr">
        <is>
          <t>--PALLETS--</t>
        </is>
      </c>
    </row>
    <row r="505">
      <c r="A505" s="27" t="inlineStr">
        <is>
          <t>PALLET</t>
        </is>
      </c>
    </row>
    <row r="506">
      <c r="A506" t="inlineStr">
        <is>
          <t>Pallet tag (stick on pallet).</t>
        </is>
      </c>
      <c r="B506">
        <f>IF('01_Warehouse_Ledger'!$A$2="","",'01_Warehouse_Ledger'!$A$2&amp;IF('01_Warehouse_Ledger'!$B$2&lt;&gt;""," | "&amp;'01_Warehouse_Ledger'!$B$2,""))</f>
        <v/>
      </c>
      <c r="C506">
        <f>IF('01_Warehouse_Ledger'!$A$2="","",'01_Warehouse_Ledger'!$A$2)</f>
        <v/>
      </c>
      <c r="D506" t="inlineStr">
        <is>
          <t>SCAN / FIND (Pallet → Location → Prism Node)</t>
        </is>
      </c>
    </row>
    <row r="507">
      <c r="A507" t="inlineStr">
        <is>
          <t>Pallet tag (stick on pallet).</t>
        </is>
      </c>
      <c r="B507">
        <f>IF('01_Warehouse_Ledger'!$A$3="","",'01_Warehouse_Ledger'!$A$3&amp;IF('01_Warehouse_Ledger'!$B$3&lt;&gt;""," | "&amp;'01_Warehouse_Ledger'!$B$3,""))</f>
        <v/>
      </c>
      <c r="C507">
        <f>IF('01_Warehouse_Ledger'!$A$3="","",'01_Warehouse_Ledger'!$A$3)</f>
        <v/>
      </c>
      <c r="D507" t="inlineStr">
        <is>
          <t>SCAN / FIND (Pallet → Location → Prism Node)</t>
        </is>
      </c>
    </row>
    <row r="508">
      <c r="A508" t="inlineStr">
        <is>
          <t>Pallet tag (stick on pallet).</t>
        </is>
      </c>
      <c r="B508">
        <f>IF('01_Warehouse_Ledger'!$A$4="","",'01_Warehouse_Ledger'!$A$4&amp;IF('01_Warehouse_Ledger'!$B$4&lt;&gt;""," | "&amp;'01_Warehouse_Ledger'!$B$4,""))</f>
        <v/>
      </c>
      <c r="C508">
        <f>IF('01_Warehouse_Ledger'!$A$4="","",'01_Warehouse_Ledger'!$A$4)</f>
        <v/>
      </c>
      <c r="D508" t="inlineStr">
        <is>
          <t>SCAN / FIND (Pallet → Location → Prism Node)</t>
        </is>
      </c>
    </row>
    <row r="509">
      <c r="A509" t="inlineStr">
        <is>
          <t>Pallet tag (stick on pallet).</t>
        </is>
      </c>
      <c r="B509">
        <f>IF('01_Warehouse_Ledger'!$A$5="","",'01_Warehouse_Ledger'!$A$5&amp;IF('01_Warehouse_Ledger'!$B$5&lt;&gt;""," | "&amp;'01_Warehouse_Ledger'!$B$5,""))</f>
        <v/>
      </c>
      <c r="C509">
        <f>IF('01_Warehouse_Ledger'!$A$5="","",'01_Warehouse_Ledger'!$A$5)</f>
        <v/>
      </c>
      <c r="D509" t="inlineStr">
        <is>
          <t>SCAN / FIND (Pallet → Location → Prism Node)</t>
        </is>
      </c>
    </row>
    <row r="510">
      <c r="A510" t="inlineStr">
        <is>
          <t>Pallet tag (stick on pallet).</t>
        </is>
      </c>
      <c r="B510">
        <f>IF('01_Warehouse_Ledger'!$A$6="","",'01_Warehouse_Ledger'!$A$6&amp;IF('01_Warehouse_Ledger'!$B$6&lt;&gt;""," | "&amp;'01_Warehouse_Ledger'!$B$6,""))</f>
        <v/>
      </c>
      <c r="C510">
        <f>IF('01_Warehouse_Ledger'!$A$6="","",'01_Warehouse_Ledger'!$A$6)</f>
        <v/>
      </c>
      <c r="D510" t="inlineStr">
        <is>
          <t>SCAN / FIND (Pallet → Location → Prism Node)</t>
        </is>
      </c>
    </row>
    <row r="511">
      <c r="A511" t="inlineStr">
        <is>
          <t>Pallet tag (stick on pallet).</t>
        </is>
      </c>
      <c r="B511">
        <f>IF('01_Warehouse_Ledger'!$A$7="","",'01_Warehouse_Ledger'!$A$7&amp;IF('01_Warehouse_Ledger'!$B$7&lt;&gt;""," | "&amp;'01_Warehouse_Ledger'!$B$7,""))</f>
        <v/>
      </c>
      <c r="C511">
        <f>IF('01_Warehouse_Ledger'!$A$7="","",'01_Warehouse_Ledger'!$A$7)</f>
        <v/>
      </c>
      <c r="D511" t="inlineStr">
        <is>
          <t>SCAN / FIND (Pallet → Location → Prism Node)</t>
        </is>
      </c>
    </row>
    <row r="512">
      <c r="A512" t="inlineStr">
        <is>
          <t>Pallet tag (stick on pallet).</t>
        </is>
      </c>
      <c r="B512">
        <f>IF('01_Warehouse_Ledger'!$A$8="","",'01_Warehouse_Ledger'!$A$8&amp;IF('01_Warehouse_Ledger'!$B$8&lt;&gt;""," | "&amp;'01_Warehouse_Ledger'!$B$8,""))</f>
        <v/>
      </c>
      <c r="C512">
        <f>IF('01_Warehouse_Ledger'!$A$8="","",'01_Warehouse_Ledger'!$A$8)</f>
        <v/>
      </c>
      <c r="D512" t="inlineStr">
        <is>
          <t>SCAN / FIND (Pallet → Location → Prism Node)</t>
        </is>
      </c>
    </row>
    <row r="513">
      <c r="A513" t="inlineStr">
        <is>
          <t>Pallet tag (stick on pallet).</t>
        </is>
      </c>
      <c r="B513">
        <f>IF('01_Warehouse_Ledger'!$A$9="","",'01_Warehouse_Ledger'!$A$9&amp;IF('01_Warehouse_Ledger'!$B$9&lt;&gt;""," | "&amp;'01_Warehouse_Ledger'!$B$9,""))</f>
        <v/>
      </c>
      <c r="C513">
        <f>IF('01_Warehouse_Ledger'!$A$9="","",'01_Warehouse_Ledger'!$A$9)</f>
        <v/>
      </c>
      <c r="D513" t="inlineStr">
        <is>
          <t>SCAN / FIND (Pallet → Location → Prism Node)</t>
        </is>
      </c>
    </row>
    <row r="514">
      <c r="A514" t="inlineStr">
        <is>
          <t>Pallet tag (stick on pallet).</t>
        </is>
      </c>
      <c r="B514">
        <f>IF('01_Warehouse_Ledger'!$A$10="","",'01_Warehouse_Ledger'!$A$10&amp;IF('01_Warehouse_Ledger'!$B$10&lt;&gt;""," | "&amp;'01_Warehouse_Ledger'!$B$10,""))</f>
        <v/>
      </c>
      <c r="C514">
        <f>IF('01_Warehouse_Ledger'!$A$10="","",'01_Warehouse_Ledger'!$A$10)</f>
        <v/>
      </c>
      <c r="D514" t="inlineStr">
        <is>
          <t>SCAN / FIND (Pallet → Location → Prism Node)</t>
        </is>
      </c>
    </row>
    <row r="515">
      <c r="A515" t="inlineStr">
        <is>
          <t>Pallet tag (stick on pallet).</t>
        </is>
      </c>
      <c r="B515">
        <f>IF('01_Warehouse_Ledger'!$A$11="","",'01_Warehouse_Ledger'!$A$11&amp;IF('01_Warehouse_Ledger'!$B$11&lt;&gt;""," | "&amp;'01_Warehouse_Ledger'!$B$11,""))</f>
        <v/>
      </c>
      <c r="C515">
        <f>IF('01_Warehouse_Ledger'!$A$11="","",'01_Warehouse_Ledger'!$A$11)</f>
        <v/>
      </c>
      <c r="D515" t="inlineStr">
        <is>
          <t>SCAN / FIND (Pallet → Location → Prism Node)</t>
        </is>
      </c>
    </row>
    <row r="516">
      <c r="A516" t="inlineStr">
        <is>
          <t>Pallet tag (stick on pallet).</t>
        </is>
      </c>
      <c r="B516">
        <f>IF('01_Warehouse_Ledger'!$A$12="","",'01_Warehouse_Ledger'!$A$12&amp;IF('01_Warehouse_Ledger'!$B$12&lt;&gt;""," | "&amp;'01_Warehouse_Ledger'!$B$12,""))</f>
        <v/>
      </c>
      <c r="C516">
        <f>IF('01_Warehouse_Ledger'!$A$12="","",'01_Warehouse_Ledger'!$A$12)</f>
        <v/>
      </c>
      <c r="D516" t="inlineStr">
        <is>
          <t>SCAN / FIND (Pallet → Location → Prism Node)</t>
        </is>
      </c>
    </row>
    <row r="517">
      <c r="A517" t="inlineStr">
        <is>
          <t>Pallet tag (stick on pallet).</t>
        </is>
      </c>
      <c r="B517">
        <f>IF('01_Warehouse_Ledger'!$A$13="","",'01_Warehouse_Ledger'!$A$13&amp;IF('01_Warehouse_Ledger'!$B$13&lt;&gt;""," | "&amp;'01_Warehouse_Ledger'!$B$13,""))</f>
        <v/>
      </c>
      <c r="C517">
        <f>IF('01_Warehouse_Ledger'!$A$13="","",'01_Warehouse_Ledger'!$A$13)</f>
        <v/>
      </c>
      <c r="D517" t="inlineStr">
        <is>
          <t>SCAN / FIND (Pallet → Location → Prism Node)</t>
        </is>
      </c>
    </row>
    <row r="518">
      <c r="A518" t="inlineStr">
        <is>
          <t>Pallet tag (stick on pallet).</t>
        </is>
      </c>
      <c r="B518">
        <f>IF('01_Warehouse_Ledger'!$A$14="","",'01_Warehouse_Ledger'!$A$14&amp;IF('01_Warehouse_Ledger'!$B$14&lt;&gt;""," | "&amp;'01_Warehouse_Ledger'!$B$14,""))</f>
        <v/>
      </c>
      <c r="C518">
        <f>IF('01_Warehouse_Ledger'!$A$14="","",'01_Warehouse_Ledger'!$A$14)</f>
        <v/>
      </c>
      <c r="D518" t="inlineStr">
        <is>
          <t>SCAN / FIND (Pallet → Location → Prism Node)</t>
        </is>
      </c>
    </row>
    <row r="519">
      <c r="A519" t="inlineStr">
        <is>
          <t>Pallet tag (stick on pallet).</t>
        </is>
      </c>
      <c r="B519">
        <f>IF('01_Warehouse_Ledger'!$A$15="","",'01_Warehouse_Ledger'!$A$15&amp;IF('01_Warehouse_Ledger'!$B$15&lt;&gt;""," | "&amp;'01_Warehouse_Ledger'!$B$15,""))</f>
        <v/>
      </c>
      <c r="C519">
        <f>IF('01_Warehouse_Ledger'!$A$15="","",'01_Warehouse_Ledger'!$A$15)</f>
        <v/>
      </c>
      <c r="D519" t="inlineStr">
        <is>
          <t>SCAN / FIND (Pallet → Location → Prism Node)</t>
        </is>
      </c>
    </row>
    <row r="520">
      <c r="A520" t="inlineStr">
        <is>
          <t>Pallet tag (stick on pallet).</t>
        </is>
      </c>
      <c r="B520">
        <f>IF('01_Warehouse_Ledger'!$A$16="","",'01_Warehouse_Ledger'!$A$16&amp;IF('01_Warehouse_Ledger'!$B$16&lt;&gt;""," | "&amp;'01_Warehouse_Ledger'!$B$16,""))</f>
        <v/>
      </c>
      <c r="C520">
        <f>IF('01_Warehouse_Ledger'!$A$16="","",'01_Warehouse_Ledger'!$A$16)</f>
        <v/>
      </c>
      <c r="D520" t="inlineStr">
        <is>
          <t>SCAN / FIND (Pallet → Location → Prism Node)</t>
        </is>
      </c>
    </row>
    <row r="521">
      <c r="A521" t="inlineStr">
        <is>
          <t>Pallet tag (stick on pallet).</t>
        </is>
      </c>
      <c r="B521">
        <f>IF('01_Warehouse_Ledger'!$A$17="","",'01_Warehouse_Ledger'!$A$17&amp;IF('01_Warehouse_Ledger'!$B$17&lt;&gt;""," | "&amp;'01_Warehouse_Ledger'!$B$17,""))</f>
        <v/>
      </c>
      <c r="C521">
        <f>IF('01_Warehouse_Ledger'!$A$17="","",'01_Warehouse_Ledger'!$A$17)</f>
        <v/>
      </c>
      <c r="D521" t="inlineStr">
        <is>
          <t>SCAN / FIND (Pallet → Location → Prism Node)</t>
        </is>
      </c>
    </row>
    <row r="522">
      <c r="A522" t="inlineStr">
        <is>
          <t>Pallet tag (stick on pallet).</t>
        </is>
      </c>
      <c r="B522">
        <f>IF('01_Warehouse_Ledger'!$A$18="","",'01_Warehouse_Ledger'!$A$18&amp;IF('01_Warehouse_Ledger'!$B$18&lt;&gt;""," | "&amp;'01_Warehouse_Ledger'!$B$18,""))</f>
        <v/>
      </c>
      <c r="C522">
        <f>IF('01_Warehouse_Ledger'!$A$18="","",'01_Warehouse_Ledger'!$A$18)</f>
        <v/>
      </c>
      <c r="D522" t="inlineStr">
        <is>
          <t>SCAN / FIND (Pallet → Location → Prism Node)</t>
        </is>
      </c>
    </row>
    <row r="523">
      <c r="A523" t="inlineStr">
        <is>
          <t>Pallet tag (stick on pallet).</t>
        </is>
      </c>
      <c r="B523">
        <f>IF('01_Warehouse_Ledger'!$A$19="","",'01_Warehouse_Ledger'!$A$19&amp;IF('01_Warehouse_Ledger'!$B$19&lt;&gt;""," | "&amp;'01_Warehouse_Ledger'!$B$19,""))</f>
        <v/>
      </c>
      <c r="C523">
        <f>IF('01_Warehouse_Ledger'!$A$19="","",'01_Warehouse_Ledger'!$A$19)</f>
        <v/>
      </c>
      <c r="D523" t="inlineStr">
        <is>
          <t>SCAN / FIND (Pallet → Location → Prism Node)</t>
        </is>
      </c>
    </row>
    <row r="524">
      <c r="A524" t="inlineStr">
        <is>
          <t>Pallet tag (stick on pallet).</t>
        </is>
      </c>
      <c r="B524">
        <f>IF('01_Warehouse_Ledger'!$A$20="","",'01_Warehouse_Ledger'!$A$20&amp;IF('01_Warehouse_Ledger'!$B$20&lt;&gt;""," | "&amp;'01_Warehouse_Ledger'!$B$20,""))</f>
        <v/>
      </c>
      <c r="C524">
        <f>IF('01_Warehouse_Ledger'!$A$20="","",'01_Warehouse_Ledger'!$A$20)</f>
        <v/>
      </c>
      <c r="D524" t="inlineStr">
        <is>
          <t>SCAN / FIND (Pallet → Location → Prism Node)</t>
        </is>
      </c>
    </row>
    <row r="525">
      <c r="A525" t="inlineStr">
        <is>
          <t>Pallet tag (stick on pallet).</t>
        </is>
      </c>
      <c r="B525">
        <f>IF('01_Warehouse_Ledger'!$A$21="","",'01_Warehouse_Ledger'!$A$21&amp;IF('01_Warehouse_Ledger'!$B$21&lt;&gt;""," | "&amp;'01_Warehouse_Ledger'!$B$21,""))</f>
        <v/>
      </c>
      <c r="C525">
        <f>IF('01_Warehouse_Ledger'!$A$21="","",'01_Warehouse_Ledger'!$A$21)</f>
        <v/>
      </c>
      <c r="D525" t="inlineStr">
        <is>
          <t>SCAN / FIND (Pallet → Location → Prism Node)</t>
        </is>
      </c>
    </row>
    <row r="526">
      <c r="A526" t="inlineStr">
        <is>
          <t>Pallet tag (stick on pallet).</t>
        </is>
      </c>
      <c r="B526">
        <f>IF('01_Warehouse_Ledger'!$A$22="","",'01_Warehouse_Ledger'!$A$22&amp;IF('01_Warehouse_Ledger'!$B$22&lt;&gt;""," | "&amp;'01_Warehouse_Ledger'!$B$22,""))</f>
        <v/>
      </c>
      <c r="C526">
        <f>IF('01_Warehouse_Ledger'!$A$22="","",'01_Warehouse_Ledger'!$A$22)</f>
        <v/>
      </c>
      <c r="D526" t="inlineStr">
        <is>
          <t>SCAN / FIND (Pallet → Location → Prism Node)</t>
        </is>
      </c>
    </row>
    <row r="527">
      <c r="A527" t="inlineStr">
        <is>
          <t>Pallet tag (stick on pallet).</t>
        </is>
      </c>
      <c r="B527">
        <f>IF('01_Warehouse_Ledger'!$A$23="","",'01_Warehouse_Ledger'!$A$23&amp;IF('01_Warehouse_Ledger'!$B$23&lt;&gt;""," | "&amp;'01_Warehouse_Ledger'!$B$23,""))</f>
        <v/>
      </c>
      <c r="C527">
        <f>IF('01_Warehouse_Ledger'!$A$23="","",'01_Warehouse_Ledger'!$A$23)</f>
        <v/>
      </c>
      <c r="D527" t="inlineStr">
        <is>
          <t>SCAN / FIND (Pallet → Location → Prism Node)</t>
        </is>
      </c>
    </row>
    <row r="528">
      <c r="A528" t="inlineStr">
        <is>
          <t>Pallet tag (stick on pallet).</t>
        </is>
      </c>
      <c r="B528">
        <f>IF('01_Warehouse_Ledger'!$A$24="","",'01_Warehouse_Ledger'!$A$24&amp;IF('01_Warehouse_Ledger'!$B$24&lt;&gt;""," | "&amp;'01_Warehouse_Ledger'!$B$24,""))</f>
        <v/>
      </c>
      <c r="C528">
        <f>IF('01_Warehouse_Ledger'!$A$24="","",'01_Warehouse_Ledger'!$A$24)</f>
        <v/>
      </c>
      <c r="D528" t="inlineStr">
        <is>
          <t>SCAN / FIND (Pallet → Location → Prism Node)</t>
        </is>
      </c>
    </row>
    <row r="529">
      <c r="A529" t="inlineStr">
        <is>
          <t>Pallet tag (stick on pallet).</t>
        </is>
      </c>
      <c r="B529">
        <f>IF('01_Warehouse_Ledger'!$A$25="","",'01_Warehouse_Ledger'!$A$25&amp;IF('01_Warehouse_Ledger'!$B$25&lt;&gt;""," | "&amp;'01_Warehouse_Ledger'!$B$25,""))</f>
        <v/>
      </c>
      <c r="C529">
        <f>IF('01_Warehouse_Ledger'!$A$25="","",'01_Warehouse_Ledger'!$A$25)</f>
        <v/>
      </c>
      <c r="D529" t="inlineStr">
        <is>
          <t>SCAN / FIND (Pallet → Location → Prism Node)</t>
        </is>
      </c>
    </row>
    <row r="530">
      <c r="A530" t="inlineStr">
        <is>
          <t>Pallet tag (stick on pallet).</t>
        </is>
      </c>
      <c r="B530">
        <f>IF('01_Warehouse_Ledger'!$A$26="","",'01_Warehouse_Ledger'!$A$26&amp;IF('01_Warehouse_Ledger'!$B$26&lt;&gt;""," | "&amp;'01_Warehouse_Ledger'!$B$26,""))</f>
        <v/>
      </c>
      <c r="C530">
        <f>IF('01_Warehouse_Ledger'!$A$26="","",'01_Warehouse_Ledger'!$A$26)</f>
        <v/>
      </c>
      <c r="D530" t="inlineStr">
        <is>
          <t>SCAN / FIND (Pallet → Location → Prism Node)</t>
        </is>
      </c>
    </row>
    <row r="531">
      <c r="A531" t="inlineStr">
        <is>
          <t>Pallet tag (stick on pallet).</t>
        </is>
      </c>
      <c r="B531">
        <f>IF('01_Warehouse_Ledger'!$A$27="","",'01_Warehouse_Ledger'!$A$27&amp;IF('01_Warehouse_Ledger'!$B$27&lt;&gt;""," | "&amp;'01_Warehouse_Ledger'!$B$27,""))</f>
        <v/>
      </c>
      <c r="C531">
        <f>IF('01_Warehouse_Ledger'!$A$27="","",'01_Warehouse_Ledger'!$A$27)</f>
        <v/>
      </c>
      <c r="D531" t="inlineStr">
        <is>
          <t>SCAN / FIND (Pallet → Location → Prism Node)</t>
        </is>
      </c>
    </row>
    <row r="532">
      <c r="A532" t="inlineStr">
        <is>
          <t>Pallet tag (stick on pallet).</t>
        </is>
      </c>
      <c r="B532">
        <f>IF('01_Warehouse_Ledger'!$A$28="","",'01_Warehouse_Ledger'!$A$28&amp;IF('01_Warehouse_Ledger'!$B$28&lt;&gt;""," | "&amp;'01_Warehouse_Ledger'!$B$28,""))</f>
        <v/>
      </c>
      <c r="C532">
        <f>IF('01_Warehouse_Ledger'!$A$28="","",'01_Warehouse_Ledger'!$A$28)</f>
        <v/>
      </c>
      <c r="D532" t="inlineStr">
        <is>
          <t>SCAN / FIND (Pallet → Location → Prism Node)</t>
        </is>
      </c>
    </row>
    <row r="533">
      <c r="A533" t="inlineStr">
        <is>
          <t>Pallet tag (stick on pallet).</t>
        </is>
      </c>
      <c r="B533">
        <f>IF('01_Warehouse_Ledger'!$A$29="","",'01_Warehouse_Ledger'!$A$29&amp;IF('01_Warehouse_Ledger'!$B$29&lt;&gt;""," | "&amp;'01_Warehouse_Ledger'!$B$29,""))</f>
        <v/>
      </c>
      <c r="C533">
        <f>IF('01_Warehouse_Ledger'!$A$29="","",'01_Warehouse_Ledger'!$A$29)</f>
        <v/>
      </c>
      <c r="D533" t="inlineStr">
        <is>
          <t>SCAN / FIND (Pallet → Location → Prism Node)</t>
        </is>
      </c>
    </row>
    <row r="534">
      <c r="A534" t="inlineStr">
        <is>
          <t>Pallet tag (stick on pallet).</t>
        </is>
      </c>
      <c r="B534">
        <f>IF('01_Warehouse_Ledger'!$A$30="","",'01_Warehouse_Ledger'!$A$30&amp;IF('01_Warehouse_Ledger'!$B$30&lt;&gt;""," | "&amp;'01_Warehouse_Ledger'!$B$30,""))</f>
        <v/>
      </c>
      <c r="C534">
        <f>IF('01_Warehouse_Ledger'!$A$30="","",'01_Warehouse_Ledger'!$A$30)</f>
        <v/>
      </c>
      <c r="D534" t="inlineStr">
        <is>
          <t>SCAN / FIND (Pallet → Location → Prism Node)</t>
        </is>
      </c>
    </row>
    <row r="535">
      <c r="A535" t="inlineStr">
        <is>
          <t>Pallet tag (stick on pallet).</t>
        </is>
      </c>
      <c r="B535">
        <f>IF('01_Warehouse_Ledger'!$A$31="","",'01_Warehouse_Ledger'!$A$31&amp;IF('01_Warehouse_Ledger'!$B$31&lt;&gt;""," | "&amp;'01_Warehouse_Ledger'!$B$31,""))</f>
        <v/>
      </c>
      <c r="C535">
        <f>IF('01_Warehouse_Ledger'!$A$31="","",'01_Warehouse_Ledger'!$A$31)</f>
        <v/>
      </c>
      <c r="D535" t="inlineStr">
        <is>
          <t>SCAN / FIND (Pallet → Location → Prism Node)</t>
        </is>
      </c>
    </row>
    <row r="536">
      <c r="A536" t="inlineStr">
        <is>
          <t>Pallet tag (stick on pallet).</t>
        </is>
      </c>
      <c r="B536">
        <f>IF('01_Warehouse_Ledger'!$A$32="","",'01_Warehouse_Ledger'!$A$32&amp;IF('01_Warehouse_Ledger'!$B$32&lt;&gt;""," | "&amp;'01_Warehouse_Ledger'!$B$32,""))</f>
        <v/>
      </c>
      <c r="C536">
        <f>IF('01_Warehouse_Ledger'!$A$32="","",'01_Warehouse_Ledger'!$A$32)</f>
        <v/>
      </c>
      <c r="D536" t="inlineStr">
        <is>
          <t>SCAN / FIND (Pallet → Location → Prism Node)</t>
        </is>
      </c>
    </row>
    <row r="537">
      <c r="A537" t="inlineStr">
        <is>
          <t>Pallet tag (stick on pallet).</t>
        </is>
      </c>
      <c r="B537">
        <f>IF('01_Warehouse_Ledger'!$A$33="","",'01_Warehouse_Ledger'!$A$33&amp;IF('01_Warehouse_Ledger'!$B$33&lt;&gt;""," | "&amp;'01_Warehouse_Ledger'!$B$33,""))</f>
        <v/>
      </c>
      <c r="C537">
        <f>IF('01_Warehouse_Ledger'!$A$33="","",'01_Warehouse_Ledger'!$A$33)</f>
        <v/>
      </c>
      <c r="D537" t="inlineStr">
        <is>
          <t>SCAN / FIND (Pallet → Location → Prism Node)</t>
        </is>
      </c>
    </row>
    <row r="538">
      <c r="A538" t="inlineStr">
        <is>
          <t>Pallet tag (stick on pallet).</t>
        </is>
      </c>
      <c r="B538">
        <f>IF('01_Warehouse_Ledger'!$A$34="","",'01_Warehouse_Ledger'!$A$34&amp;IF('01_Warehouse_Ledger'!$B$34&lt;&gt;""," | "&amp;'01_Warehouse_Ledger'!$B$34,""))</f>
        <v/>
      </c>
      <c r="C538">
        <f>IF('01_Warehouse_Ledger'!$A$34="","",'01_Warehouse_Ledger'!$A$34)</f>
        <v/>
      </c>
      <c r="D538" t="inlineStr">
        <is>
          <t>SCAN / FIND (Pallet → Location → Prism Node)</t>
        </is>
      </c>
    </row>
    <row r="539">
      <c r="A539" t="inlineStr">
        <is>
          <t>Pallet tag (stick on pallet).</t>
        </is>
      </c>
      <c r="B539">
        <f>IF('01_Warehouse_Ledger'!$A$35="","",'01_Warehouse_Ledger'!$A$35&amp;IF('01_Warehouse_Ledger'!$B$35&lt;&gt;""," | "&amp;'01_Warehouse_Ledger'!$B$35,""))</f>
        <v/>
      </c>
      <c r="C539">
        <f>IF('01_Warehouse_Ledger'!$A$35="","",'01_Warehouse_Ledger'!$A$35)</f>
        <v/>
      </c>
      <c r="D539" t="inlineStr">
        <is>
          <t>SCAN / FIND (Pallet → Location → Prism Node)</t>
        </is>
      </c>
    </row>
    <row r="540">
      <c r="A540" t="inlineStr">
        <is>
          <t>Pallet tag (stick on pallet).</t>
        </is>
      </c>
      <c r="B540">
        <f>IF('01_Warehouse_Ledger'!$A$36="","",'01_Warehouse_Ledger'!$A$36&amp;IF('01_Warehouse_Ledger'!$B$36&lt;&gt;""," | "&amp;'01_Warehouse_Ledger'!$B$36,""))</f>
        <v/>
      </c>
      <c r="C540">
        <f>IF('01_Warehouse_Ledger'!$A$36="","",'01_Warehouse_Ledger'!$A$36)</f>
        <v/>
      </c>
      <c r="D540" t="inlineStr">
        <is>
          <t>SCAN / FIND (Pallet → Location → Prism Node)</t>
        </is>
      </c>
    </row>
    <row r="541">
      <c r="A541" t="inlineStr">
        <is>
          <t>Pallet tag (stick on pallet).</t>
        </is>
      </c>
      <c r="B541">
        <f>IF('01_Warehouse_Ledger'!$A$37="","",'01_Warehouse_Ledger'!$A$37&amp;IF('01_Warehouse_Ledger'!$B$37&lt;&gt;""," | "&amp;'01_Warehouse_Ledger'!$B$37,""))</f>
        <v/>
      </c>
      <c r="C541">
        <f>IF('01_Warehouse_Ledger'!$A$37="","",'01_Warehouse_Ledger'!$A$37)</f>
        <v/>
      </c>
      <c r="D541" t="inlineStr">
        <is>
          <t>SCAN / FIND (Pallet → Location → Prism Node)</t>
        </is>
      </c>
    </row>
    <row r="542">
      <c r="A542" t="inlineStr">
        <is>
          <t>Pallet tag (stick on pallet).</t>
        </is>
      </c>
      <c r="B542">
        <f>IF('01_Warehouse_Ledger'!$A$38="","",'01_Warehouse_Ledger'!$A$38&amp;IF('01_Warehouse_Ledger'!$B$38&lt;&gt;""," | "&amp;'01_Warehouse_Ledger'!$B$38,""))</f>
        <v/>
      </c>
      <c r="C542">
        <f>IF('01_Warehouse_Ledger'!$A$38="","",'01_Warehouse_Ledger'!$A$38)</f>
        <v/>
      </c>
      <c r="D542" t="inlineStr">
        <is>
          <t>SCAN / FIND (Pallet → Location → Prism Node)</t>
        </is>
      </c>
    </row>
    <row r="543">
      <c r="A543" t="inlineStr">
        <is>
          <t>Pallet tag (stick on pallet).</t>
        </is>
      </c>
      <c r="B543">
        <f>IF('01_Warehouse_Ledger'!$A$39="","",'01_Warehouse_Ledger'!$A$39&amp;IF('01_Warehouse_Ledger'!$B$39&lt;&gt;""," | "&amp;'01_Warehouse_Ledger'!$B$39,""))</f>
        <v/>
      </c>
      <c r="C543">
        <f>IF('01_Warehouse_Ledger'!$A$39="","",'01_Warehouse_Ledger'!$A$39)</f>
        <v/>
      </c>
      <c r="D543" t="inlineStr">
        <is>
          <t>SCAN / FIND (Pallet → Location → Prism Node)</t>
        </is>
      </c>
    </row>
    <row r="544">
      <c r="A544" t="inlineStr">
        <is>
          <t>Pallet tag (stick on pallet).</t>
        </is>
      </c>
      <c r="B544">
        <f>IF('01_Warehouse_Ledger'!$A$40="","",'01_Warehouse_Ledger'!$A$40&amp;IF('01_Warehouse_Ledger'!$B$40&lt;&gt;""," | "&amp;'01_Warehouse_Ledger'!$B$40,""))</f>
        <v/>
      </c>
      <c r="C544">
        <f>IF('01_Warehouse_Ledger'!$A$40="","",'01_Warehouse_Ledger'!$A$40)</f>
        <v/>
      </c>
      <c r="D544" t="inlineStr">
        <is>
          <t>SCAN / FIND (Pallet → Location → Prism Node)</t>
        </is>
      </c>
    </row>
    <row r="545">
      <c r="A545" t="inlineStr">
        <is>
          <t>Pallet tag (stick on pallet).</t>
        </is>
      </c>
      <c r="B545">
        <f>IF('01_Warehouse_Ledger'!$A$41="","",'01_Warehouse_Ledger'!$A$41&amp;IF('01_Warehouse_Ledger'!$B$41&lt;&gt;""," | "&amp;'01_Warehouse_Ledger'!$B$41,""))</f>
        <v/>
      </c>
      <c r="C545">
        <f>IF('01_Warehouse_Ledger'!$A$41="","",'01_Warehouse_Ledger'!$A$41)</f>
        <v/>
      </c>
      <c r="D545" t="inlineStr">
        <is>
          <t>SCAN / FIND (Pallet → Location → Prism Node)</t>
        </is>
      </c>
    </row>
    <row r="546">
      <c r="A546" t="inlineStr">
        <is>
          <t>Pallet tag (stick on pallet).</t>
        </is>
      </c>
      <c r="B546">
        <f>IF('01_Warehouse_Ledger'!$A$42="","",'01_Warehouse_Ledger'!$A$42&amp;IF('01_Warehouse_Ledger'!$B$42&lt;&gt;""," | "&amp;'01_Warehouse_Ledger'!$B$42,""))</f>
        <v/>
      </c>
      <c r="C546">
        <f>IF('01_Warehouse_Ledger'!$A$42="","",'01_Warehouse_Ledger'!$A$42)</f>
        <v/>
      </c>
      <c r="D546" t="inlineStr">
        <is>
          <t>SCAN / FIND (Pallet → Location → Prism Node)</t>
        </is>
      </c>
    </row>
    <row r="547">
      <c r="A547" t="inlineStr">
        <is>
          <t>Pallet tag (stick on pallet).</t>
        </is>
      </c>
      <c r="B547">
        <f>IF('01_Warehouse_Ledger'!$A$43="","",'01_Warehouse_Ledger'!$A$43&amp;IF('01_Warehouse_Ledger'!$B$43&lt;&gt;""," | "&amp;'01_Warehouse_Ledger'!$B$43,""))</f>
        <v/>
      </c>
      <c r="C547">
        <f>IF('01_Warehouse_Ledger'!$A$43="","",'01_Warehouse_Ledger'!$A$43)</f>
        <v/>
      </c>
      <c r="D547" t="inlineStr">
        <is>
          <t>SCAN / FIND (Pallet → Location → Prism Node)</t>
        </is>
      </c>
    </row>
    <row r="548">
      <c r="A548" t="inlineStr">
        <is>
          <t>Pallet tag (stick on pallet).</t>
        </is>
      </c>
      <c r="B548">
        <f>IF('01_Warehouse_Ledger'!$A$44="","",'01_Warehouse_Ledger'!$A$44&amp;IF('01_Warehouse_Ledger'!$B$44&lt;&gt;""," | "&amp;'01_Warehouse_Ledger'!$B$44,""))</f>
        <v/>
      </c>
      <c r="C548">
        <f>IF('01_Warehouse_Ledger'!$A$44="","",'01_Warehouse_Ledger'!$A$44)</f>
        <v/>
      </c>
      <c r="D548" t="inlineStr">
        <is>
          <t>SCAN / FIND (Pallet → Location → Prism Node)</t>
        </is>
      </c>
    </row>
    <row r="549">
      <c r="A549" t="inlineStr">
        <is>
          <t>Pallet tag (stick on pallet).</t>
        </is>
      </c>
      <c r="B549">
        <f>IF('01_Warehouse_Ledger'!$A$45="","",'01_Warehouse_Ledger'!$A$45&amp;IF('01_Warehouse_Ledger'!$B$45&lt;&gt;""," | "&amp;'01_Warehouse_Ledger'!$B$45,""))</f>
        <v/>
      </c>
      <c r="C549">
        <f>IF('01_Warehouse_Ledger'!$A$45="","",'01_Warehouse_Ledger'!$A$45)</f>
        <v/>
      </c>
      <c r="D549" t="inlineStr">
        <is>
          <t>SCAN / FIND (Pallet → Location → Prism Node)</t>
        </is>
      </c>
    </row>
    <row r="550">
      <c r="A550" t="inlineStr">
        <is>
          <t>Pallet tag (stick on pallet).</t>
        </is>
      </c>
      <c r="B550">
        <f>IF('01_Warehouse_Ledger'!$A$46="","",'01_Warehouse_Ledger'!$A$46&amp;IF('01_Warehouse_Ledger'!$B$46&lt;&gt;""," | "&amp;'01_Warehouse_Ledger'!$B$46,""))</f>
        <v/>
      </c>
      <c r="C550">
        <f>IF('01_Warehouse_Ledger'!$A$46="","",'01_Warehouse_Ledger'!$A$46)</f>
        <v/>
      </c>
      <c r="D550" t="inlineStr">
        <is>
          <t>SCAN / FIND (Pallet → Location → Prism Node)</t>
        </is>
      </c>
    </row>
    <row r="551">
      <c r="A551" t="inlineStr">
        <is>
          <t>Pallet tag (stick on pallet).</t>
        </is>
      </c>
      <c r="B551">
        <f>IF('01_Warehouse_Ledger'!$A$47="","",'01_Warehouse_Ledger'!$A$47&amp;IF('01_Warehouse_Ledger'!$B$47&lt;&gt;""," | "&amp;'01_Warehouse_Ledger'!$B$47,""))</f>
        <v/>
      </c>
      <c r="C551">
        <f>IF('01_Warehouse_Ledger'!$A$47="","",'01_Warehouse_Ledger'!$A$47)</f>
        <v/>
      </c>
      <c r="D551" t="inlineStr">
        <is>
          <t>SCAN / FIND (Pallet → Location → Prism Node)</t>
        </is>
      </c>
    </row>
    <row r="552">
      <c r="A552" t="inlineStr">
        <is>
          <t>Pallet tag (stick on pallet).</t>
        </is>
      </c>
      <c r="B552">
        <f>IF('01_Warehouse_Ledger'!$A$48="","",'01_Warehouse_Ledger'!$A$48&amp;IF('01_Warehouse_Ledger'!$B$48&lt;&gt;""," | "&amp;'01_Warehouse_Ledger'!$B$48,""))</f>
        <v/>
      </c>
      <c r="C552">
        <f>IF('01_Warehouse_Ledger'!$A$48="","",'01_Warehouse_Ledger'!$A$48)</f>
        <v/>
      </c>
      <c r="D552" t="inlineStr">
        <is>
          <t>SCAN / FIND (Pallet → Location → Prism Node)</t>
        </is>
      </c>
    </row>
    <row r="553">
      <c r="A553" t="inlineStr">
        <is>
          <t>Pallet tag (stick on pallet).</t>
        </is>
      </c>
      <c r="B553">
        <f>IF('01_Warehouse_Ledger'!$A$49="","",'01_Warehouse_Ledger'!$A$49&amp;IF('01_Warehouse_Ledger'!$B$49&lt;&gt;""," | "&amp;'01_Warehouse_Ledger'!$B$49,""))</f>
        <v/>
      </c>
      <c r="C553">
        <f>IF('01_Warehouse_Ledger'!$A$49="","",'01_Warehouse_Ledger'!$A$49)</f>
        <v/>
      </c>
      <c r="D553" t="inlineStr">
        <is>
          <t>SCAN / FIND (Pallet → Location → Prism Node)</t>
        </is>
      </c>
    </row>
    <row r="554">
      <c r="A554" t="inlineStr">
        <is>
          <t>Pallet tag (stick on pallet).</t>
        </is>
      </c>
      <c r="B554">
        <f>IF('01_Warehouse_Ledger'!$A$50="","",'01_Warehouse_Ledger'!$A$50&amp;IF('01_Warehouse_Ledger'!$B$50&lt;&gt;""," | "&amp;'01_Warehouse_Ledger'!$B$50,""))</f>
        <v/>
      </c>
      <c r="C554">
        <f>IF('01_Warehouse_Ledger'!$A$50="","",'01_Warehouse_Ledger'!$A$50)</f>
        <v/>
      </c>
      <c r="D554" t="inlineStr">
        <is>
          <t>SCAN / FIND (Pallet → Location → Prism Node)</t>
        </is>
      </c>
    </row>
    <row r="555">
      <c r="A555" t="inlineStr">
        <is>
          <t>Pallet tag (stick on pallet).</t>
        </is>
      </c>
      <c r="B555">
        <f>IF('01_Warehouse_Ledger'!$A$51="","",'01_Warehouse_Ledger'!$A$51&amp;IF('01_Warehouse_Ledger'!$B$51&lt;&gt;""," | "&amp;'01_Warehouse_Ledger'!$B$51,""))</f>
        <v/>
      </c>
      <c r="C555">
        <f>IF('01_Warehouse_Ledger'!$A$51="","",'01_Warehouse_Ledger'!$A$51)</f>
        <v/>
      </c>
      <c r="D555" t="inlineStr">
        <is>
          <t>SCAN / FIND (Pallet → Location → Prism Node)</t>
        </is>
      </c>
    </row>
    <row r="556">
      <c r="A556" t="inlineStr">
        <is>
          <t>Pallet tag (stick on pallet).</t>
        </is>
      </c>
      <c r="B556">
        <f>IF('01_Warehouse_Ledger'!$A$52="","",'01_Warehouse_Ledger'!$A$52&amp;IF('01_Warehouse_Ledger'!$B$52&lt;&gt;""," | "&amp;'01_Warehouse_Ledger'!$B$52,""))</f>
        <v/>
      </c>
      <c r="C556">
        <f>IF('01_Warehouse_Ledger'!$A$52="","",'01_Warehouse_Ledger'!$A$52)</f>
        <v/>
      </c>
      <c r="D556" t="inlineStr">
        <is>
          <t>SCAN / FIND (Pallet → Location → Prism Node)</t>
        </is>
      </c>
    </row>
    <row r="557">
      <c r="A557" t="inlineStr">
        <is>
          <t>Pallet tag (stick on pallet).</t>
        </is>
      </c>
      <c r="B557">
        <f>IF('01_Warehouse_Ledger'!$A$53="","",'01_Warehouse_Ledger'!$A$53&amp;IF('01_Warehouse_Ledger'!$B$53&lt;&gt;""," | "&amp;'01_Warehouse_Ledger'!$B$53,""))</f>
        <v/>
      </c>
      <c r="C557">
        <f>IF('01_Warehouse_Ledger'!$A$53="","",'01_Warehouse_Ledger'!$A$53)</f>
        <v/>
      </c>
      <c r="D557" t="inlineStr">
        <is>
          <t>SCAN / FIND (Pallet → Location → Prism Node)</t>
        </is>
      </c>
    </row>
    <row r="558">
      <c r="A558" t="inlineStr">
        <is>
          <t>Pallet tag (stick on pallet).</t>
        </is>
      </c>
      <c r="B558">
        <f>IF('01_Warehouse_Ledger'!$A$54="","",'01_Warehouse_Ledger'!$A$54&amp;IF('01_Warehouse_Ledger'!$B$54&lt;&gt;""," | "&amp;'01_Warehouse_Ledger'!$B$54,""))</f>
        <v/>
      </c>
      <c r="C558">
        <f>IF('01_Warehouse_Ledger'!$A$54="","",'01_Warehouse_Ledger'!$A$54)</f>
        <v/>
      </c>
      <c r="D558" t="inlineStr">
        <is>
          <t>SCAN / FIND (Pallet → Location → Prism Node)</t>
        </is>
      </c>
    </row>
    <row r="559">
      <c r="A559" t="inlineStr">
        <is>
          <t>Pallet tag (stick on pallet).</t>
        </is>
      </c>
      <c r="B559">
        <f>IF('01_Warehouse_Ledger'!$A$55="","",'01_Warehouse_Ledger'!$A$55&amp;IF('01_Warehouse_Ledger'!$B$55&lt;&gt;""," | "&amp;'01_Warehouse_Ledger'!$B$55,""))</f>
        <v/>
      </c>
      <c r="C559">
        <f>IF('01_Warehouse_Ledger'!$A$55="","",'01_Warehouse_Ledger'!$A$55)</f>
        <v/>
      </c>
      <c r="D559" t="inlineStr">
        <is>
          <t>SCAN / FIND (Pallet → Location → Prism Node)</t>
        </is>
      </c>
    </row>
    <row r="560">
      <c r="A560" t="inlineStr">
        <is>
          <t>Pallet tag (stick on pallet).</t>
        </is>
      </c>
      <c r="B560">
        <f>IF('01_Warehouse_Ledger'!$A$56="","",'01_Warehouse_Ledger'!$A$56&amp;IF('01_Warehouse_Ledger'!$B$56&lt;&gt;""," | "&amp;'01_Warehouse_Ledger'!$B$56,""))</f>
        <v/>
      </c>
      <c r="C560">
        <f>IF('01_Warehouse_Ledger'!$A$56="","",'01_Warehouse_Ledger'!$A$56)</f>
        <v/>
      </c>
      <c r="D560" t="inlineStr">
        <is>
          <t>SCAN / FIND (Pallet → Location → Prism Node)</t>
        </is>
      </c>
    </row>
    <row r="561">
      <c r="A561" t="inlineStr">
        <is>
          <t>Pallet tag (stick on pallet).</t>
        </is>
      </c>
      <c r="B561">
        <f>IF('01_Warehouse_Ledger'!$A$57="","",'01_Warehouse_Ledger'!$A$57&amp;IF('01_Warehouse_Ledger'!$B$57&lt;&gt;""," | "&amp;'01_Warehouse_Ledger'!$B$57,""))</f>
        <v/>
      </c>
      <c r="C561">
        <f>IF('01_Warehouse_Ledger'!$A$57="","",'01_Warehouse_Ledger'!$A$57)</f>
        <v/>
      </c>
      <c r="D561" t="inlineStr">
        <is>
          <t>SCAN / FIND (Pallet → Location → Prism Node)</t>
        </is>
      </c>
    </row>
    <row r="562">
      <c r="A562" t="inlineStr">
        <is>
          <t>Pallet tag (stick on pallet).</t>
        </is>
      </c>
      <c r="B562">
        <f>IF('01_Warehouse_Ledger'!$A$58="","",'01_Warehouse_Ledger'!$A$58&amp;IF('01_Warehouse_Ledger'!$B$58&lt;&gt;""," | "&amp;'01_Warehouse_Ledger'!$B$58,""))</f>
        <v/>
      </c>
      <c r="C562">
        <f>IF('01_Warehouse_Ledger'!$A$58="","",'01_Warehouse_Ledger'!$A$58)</f>
        <v/>
      </c>
      <c r="D562" t="inlineStr">
        <is>
          <t>SCAN / FIND (Pallet → Location → Prism Node)</t>
        </is>
      </c>
    </row>
    <row r="563">
      <c r="A563" t="inlineStr">
        <is>
          <t>Pallet tag (stick on pallet).</t>
        </is>
      </c>
      <c r="B563">
        <f>IF('01_Warehouse_Ledger'!$A$59="","",'01_Warehouse_Ledger'!$A$59&amp;IF('01_Warehouse_Ledger'!$B$59&lt;&gt;""," | "&amp;'01_Warehouse_Ledger'!$B$59,""))</f>
        <v/>
      </c>
      <c r="C563">
        <f>IF('01_Warehouse_Ledger'!$A$59="","",'01_Warehouse_Ledger'!$A$59)</f>
        <v/>
      </c>
      <c r="D563" t="inlineStr">
        <is>
          <t>SCAN / FIND (Pallet → Location → Prism Node)</t>
        </is>
      </c>
    </row>
    <row r="564">
      <c r="A564" t="inlineStr">
        <is>
          <t>Pallet tag (stick on pallet).</t>
        </is>
      </c>
      <c r="B564">
        <f>IF('01_Warehouse_Ledger'!$A$60="","",'01_Warehouse_Ledger'!$A$60&amp;IF('01_Warehouse_Ledger'!$B$60&lt;&gt;""," | "&amp;'01_Warehouse_Ledger'!$B$60,""))</f>
        <v/>
      </c>
      <c r="C564">
        <f>IF('01_Warehouse_Ledger'!$A$60="","",'01_Warehouse_Ledger'!$A$60)</f>
        <v/>
      </c>
      <c r="D564" t="inlineStr">
        <is>
          <t>SCAN / FIND (Pallet → Location → Prism Node)</t>
        </is>
      </c>
    </row>
    <row r="565">
      <c r="A565" t="inlineStr">
        <is>
          <t>Pallet tag (stick on pallet).</t>
        </is>
      </c>
      <c r="B565">
        <f>IF('01_Warehouse_Ledger'!$A$61="","",'01_Warehouse_Ledger'!$A$61&amp;IF('01_Warehouse_Ledger'!$B$61&lt;&gt;""," | "&amp;'01_Warehouse_Ledger'!$B$61,""))</f>
        <v/>
      </c>
      <c r="C565">
        <f>IF('01_Warehouse_Ledger'!$A$61="","",'01_Warehouse_Ledger'!$A$61)</f>
        <v/>
      </c>
      <c r="D565" t="inlineStr">
        <is>
          <t>SCAN / FIND (Pallet → Location → Prism Node)</t>
        </is>
      </c>
    </row>
    <row r="566">
      <c r="A566" t="inlineStr">
        <is>
          <t>Pallet tag (stick on pallet).</t>
        </is>
      </c>
      <c r="B566">
        <f>IF('01_Warehouse_Ledger'!$A$62="","",'01_Warehouse_Ledger'!$A$62&amp;IF('01_Warehouse_Ledger'!$B$62&lt;&gt;""," | "&amp;'01_Warehouse_Ledger'!$B$62,""))</f>
        <v/>
      </c>
      <c r="C566">
        <f>IF('01_Warehouse_Ledger'!$A$62="","",'01_Warehouse_Ledger'!$A$62)</f>
        <v/>
      </c>
      <c r="D566" t="inlineStr">
        <is>
          <t>SCAN / FIND (Pallet → Location → Prism Node)</t>
        </is>
      </c>
    </row>
    <row r="567">
      <c r="A567" t="inlineStr">
        <is>
          <t>Pallet tag (stick on pallet).</t>
        </is>
      </c>
      <c r="B567">
        <f>IF('01_Warehouse_Ledger'!$A$63="","",'01_Warehouse_Ledger'!$A$63&amp;IF('01_Warehouse_Ledger'!$B$63&lt;&gt;""," | "&amp;'01_Warehouse_Ledger'!$B$63,""))</f>
        <v/>
      </c>
      <c r="C567">
        <f>IF('01_Warehouse_Ledger'!$A$63="","",'01_Warehouse_Ledger'!$A$63)</f>
        <v/>
      </c>
      <c r="D567" t="inlineStr">
        <is>
          <t>SCAN / FIND (Pallet → Location → Prism Node)</t>
        </is>
      </c>
    </row>
    <row r="568">
      <c r="A568" t="inlineStr">
        <is>
          <t>Pallet tag (stick on pallet).</t>
        </is>
      </c>
      <c r="B568">
        <f>IF('01_Warehouse_Ledger'!$A$64="","",'01_Warehouse_Ledger'!$A$64&amp;IF('01_Warehouse_Ledger'!$B$64&lt;&gt;""," | "&amp;'01_Warehouse_Ledger'!$B$64,""))</f>
        <v/>
      </c>
      <c r="C568">
        <f>IF('01_Warehouse_Ledger'!$A$64="","",'01_Warehouse_Ledger'!$A$64)</f>
        <v/>
      </c>
      <c r="D568" t="inlineStr">
        <is>
          <t>SCAN / FIND (Pallet → Location → Prism Node)</t>
        </is>
      </c>
    </row>
    <row r="569">
      <c r="A569" t="inlineStr">
        <is>
          <t>Pallet tag (stick on pallet).</t>
        </is>
      </c>
      <c r="B569">
        <f>IF('01_Warehouse_Ledger'!$A$65="","",'01_Warehouse_Ledger'!$A$65&amp;IF('01_Warehouse_Ledger'!$B$65&lt;&gt;""," | "&amp;'01_Warehouse_Ledger'!$B$65,""))</f>
        <v/>
      </c>
      <c r="C569">
        <f>IF('01_Warehouse_Ledger'!$A$65="","",'01_Warehouse_Ledger'!$A$65)</f>
        <v/>
      </c>
      <c r="D569" t="inlineStr">
        <is>
          <t>SCAN / FIND (Pallet → Location → Prism Node)</t>
        </is>
      </c>
    </row>
    <row r="570">
      <c r="A570" t="inlineStr">
        <is>
          <t>Pallet tag (stick on pallet).</t>
        </is>
      </c>
      <c r="B570">
        <f>IF('01_Warehouse_Ledger'!$A$66="","",'01_Warehouse_Ledger'!$A$66&amp;IF('01_Warehouse_Ledger'!$B$66&lt;&gt;""," | "&amp;'01_Warehouse_Ledger'!$B$66,""))</f>
        <v/>
      </c>
      <c r="C570">
        <f>IF('01_Warehouse_Ledger'!$A$66="","",'01_Warehouse_Ledger'!$A$66)</f>
        <v/>
      </c>
      <c r="D570" t="inlineStr">
        <is>
          <t>SCAN / FIND (Pallet → Location → Prism Node)</t>
        </is>
      </c>
    </row>
    <row r="571">
      <c r="A571" t="inlineStr">
        <is>
          <t>Pallet tag (stick on pallet).</t>
        </is>
      </c>
      <c r="B571">
        <f>IF('01_Warehouse_Ledger'!$A$67="","",'01_Warehouse_Ledger'!$A$67&amp;IF('01_Warehouse_Ledger'!$B$67&lt;&gt;""," | "&amp;'01_Warehouse_Ledger'!$B$67,""))</f>
        <v/>
      </c>
      <c r="C571">
        <f>IF('01_Warehouse_Ledger'!$A$67="","",'01_Warehouse_Ledger'!$A$67)</f>
        <v/>
      </c>
      <c r="D571" t="inlineStr">
        <is>
          <t>SCAN / FIND (Pallet → Location → Prism Node)</t>
        </is>
      </c>
    </row>
    <row r="572">
      <c r="A572" t="inlineStr">
        <is>
          <t>Pallet tag (stick on pallet).</t>
        </is>
      </c>
      <c r="B572">
        <f>IF('01_Warehouse_Ledger'!$A$68="","",'01_Warehouse_Ledger'!$A$68&amp;IF('01_Warehouse_Ledger'!$B$68&lt;&gt;""," | "&amp;'01_Warehouse_Ledger'!$B$68,""))</f>
        <v/>
      </c>
      <c r="C572">
        <f>IF('01_Warehouse_Ledger'!$A$68="","",'01_Warehouse_Ledger'!$A$68)</f>
        <v/>
      </c>
      <c r="D572" t="inlineStr">
        <is>
          <t>SCAN / FIND (Pallet → Location → Prism Node)</t>
        </is>
      </c>
    </row>
    <row r="573">
      <c r="A573" t="inlineStr">
        <is>
          <t>Pallet tag (stick on pallet).</t>
        </is>
      </c>
      <c r="B573">
        <f>IF('01_Warehouse_Ledger'!$A$69="","",'01_Warehouse_Ledger'!$A$69&amp;IF('01_Warehouse_Ledger'!$B$69&lt;&gt;""," | "&amp;'01_Warehouse_Ledger'!$B$69,""))</f>
        <v/>
      </c>
      <c r="C573">
        <f>IF('01_Warehouse_Ledger'!$A$69="","",'01_Warehouse_Ledger'!$A$69)</f>
        <v/>
      </c>
      <c r="D573" t="inlineStr">
        <is>
          <t>SCAN / FIND (Pallet → Location → Prism Node)</t>
        </is>
      </c>
    </row>
    <row r="574">
      <c r="A574" t="inlineStr">
        <is>
          <t>Pallet tag (stick on pallet).</t>
        </is>
      </c>
      <c r="B574">
        <f>IF('01_Warehouse_Ledger'!$A$70="","",'01_Warehouse_Ledger'!$A$70&amp;IF('01_Warehouse_Ledger'!$B$70&lt;&gt;""," | "&amp;'01_Warehouse_Ledger'!$B$70,""))</f>
        <v/>
      </c>
      <c r="C574">
        <f>IF('01_Warehouse_Ledger'!$A$70="","",'01_Warehouse_Ledger'!$A$70)</f>
        <v/>
      </c>
      <c r="D574" t="inlineStr">
        <is>
          <t>SCAN / FIND (Pallet → Location → Prism Node)</t>
        </is>
      </c>
    </row>
    <row r="575">
      <c r="A575" t="inlineStr">
        <is>
          <t>Pallet tag (stick on pallet).</t>
        </is>
      </c>
      <c r="B575">
        <f>IF('01_Warehouse_Ledger'!$A$71="","",'01_Warehouse_Ledger'!$A$71&amp;IF('01_Warehouse_Ledger'!$B$71&lt;&gt;""," | "&amp;'01_Warehouse_Ledger'!$B$71,""))</f>
        <v/>
      </c>
      <c r="C575">
        <f>IF('01_Warehouse_Ledger'!$A$71="","",'01_Warehouse_Ledger'!$A$71)</f>
        <v/>
      </c>
      <c r="D575" t="inlineStr">
        <is>
          <t>SCAN / FIND (Pallet → Location → Prism Node)</t>
        </is>
      </c>
    </row>
    <row r="576">
      <c r="A576" t="inlineStr">
        <is>
          <t>Pallet tag (stick on pallet).</t>
        </is>
      </c>
      <c r="B576">
        <f>IF('01_Warehouse_Ledger'!$A$72="","",'01_Warehouse_Ledger'!$A$72&amp;IF('01_Warehouse_Ledger'!$B$72&lt;&gt;""," | "&amp;'01_Warehouse_Ledger'!$B$72,""))</f>
        <v/>
      </c>
      <c r="C576">
        <f>IF('01_Warehouse_Ledger'!$A$72="","",'01_Warehouse_Ledger'!$A$72)</f>
        <v/>
      </c>
      <c r="D576" t="inlineStr">
        <is>
          <t>SCAN / FIND (Pallet → Location → Prism Node)</t>
        </is>
      </c>
    </row>
    <row r="577">
      <c r="A577" t="inlineStr">
        <is>
          <t>Pallet tag (stick on pallet).</t>
        </is>
      </c>
      <c r="B577">
        <f>IF('01_Warehouse_Ledger'!$A$73="","",'01_Warehouse_Ledger'!$A$73&amp;IF('01_Warehouse_Ledger'!$B$73&lt;&gt;""," | "&amp;'01_Warehouse_Ledger'!$B$73,""))</f>
        <v/>
      </c>
      <c r="C577">
        <f>IF('01_Warehouse_Ledger'!$A$73="","",'01_Warehouse_Ledger'!$A$73)</f>
        <v/>
      </c>
      <c r="D577" t="inlineStr">
        <is>
          <t>SCAN / FIND (Pallet → Location → Prism Node)</t>
        </is>
      </c>
    </row>
    <row r="578">
      <c r="A578" t="inlineStr">
        <is>
          <t>Pallet tag (stick on pallet).</t>
        </is>
      </c>
      <c r="B578">
        <f>IF('01_Warehouse_Ledger'!$A$74="","",'01_Warehouse_Ledger'!$A$74&amp;IF('01_Warehouse_Ledger'!$B$74&lt;&gt;""," | "&amp;'01_Warehouse_Ledger'!$B$74,""))</f>
        <v/>
      </c>
      <c r="C578">
        <f>IF('01_Warehouse_Ledger'!$A$74="","",'01_Warehouse_Ledger'!$A$74)</f>
        <v/>
      </c>
      <c r="D578" t="inlineStr">
        <is>
          <t>SCAN / FIND (Pallet → Location → Prism Node)</t>
        </is>
      </c>
    </row>
    <row r="579">
      <c r="A579" t="inlineStr">
        <is>
          <t>Pallet tag (stick on pallet).</t>
        </is>
      </c>
      <c r="B579">
        <f>IF('01_Warehouse_Ledger'!$A$75="","",'01_Warehouse_Ledger'!$A$75&amp;IF('01_Warehouse_Ledger'!$B$75&lt;&gt;""," | "&amp;'01_Warehouse_Ledger'!$B$75,""))</f>
        <v/>
      </c>
      <c r="C579">
        <f>IF('01_Warehouse_Ledger'!$A$75="","",'01_Warehouse_Ledger'!$A$75)</f>
        <v/>
      </c>
      <c r="D579" t="inlineStr">
        <is>
          <t>SCAN / FIND (Pallet → Location → Prism Node)</t>
        </is>
      </c>
    </row>
    <row r="580">
      <c r="A580" t="inlineStr">
        <is>
          <t>Pallet tag (stick on pallet).</t>
        </is>
      </c>
      <c r="B580">
        <f>IF('01_Warehouse_Ledger'!$A$76="","",'01_Warehouse_Ledger'!$A$76&amp;IF('01_Warehouse_Ledger'!$B$76&lt;&gt;""," | "&amp;'01_Warehouse_Ledger'!$B$76,""))</f>
        <v/>
      </c>
      <c r="C580">
        <f>IF('01_Warehouse_Ledger'!$A$76="","",'01_Warehouse_Ledger'!$A$76)</f>
        <v/>
      </c>
      <c r="D580" t="inlineStr">
        <is>
          <t>SCAN / FIND (Pallet → Location → Prism Node)</t>
        </is>
      </c>
    </row>
    <row r="581">
      <c r="A581" t="inlineStr">
        <is>
          <t>Pallet tag (stick on pallet).</t>
        </is>
      </c>
      <c r="B581">
        <f>IF('01_Warehouse_Ledger'!$A$77="","",'01_Warehouse_Ledger'!$A$77&amp;IF('01_Warehouse_Ledger'!$B$77&lt;&gt;""," | "&amp;'01_Warehouse_Ledger'!$B$77,""))</f>
        <v/>
      </c>
      <c r="C581">
        <f>IF('01_Warehouse_Ledger'!$A$77="","",'01_Warehouse_Ledger'!$A$77)</f>
        <v/>
      </c>
      <c r="D581" t="inlineStr">
        <is>
          <t>SCAN / FIND (Pallet → Location → Prism Node)</t>
        </is>
      </c>
    </row>
    <row r="582">
      <c r="A582" t="inlineStr">
        <is>
          <t>Pallet tag (stick on pallet).</t>
        </is>
      </c>
      <c r="B582">
        <f>IF('01_Warehouse_Ledger'!$A$78="","",'01_Warehouse_Ledger'!$A$78&amp;IF('01_Warehouse_Ledger'!$B$78&lt;&gt;""," | "&amp;'01_Warehouse_Ledger'!$B$78,""))</f>
        <v/>
      </c>
      <c r="C582">
        <f>IF('01_Warehouse_Ledger'!$A$78="","",'01_Warehouse_Ledger'!$A$78)</f>
        <v/>
      </c>
      <c r="D582" t="inlineStr">
        <is>
          <t>SCAN / FIND (Pallet → Location → Prism Node)</t>
        </is>
      </c>
    </row>
    <row r="583">
      <c r="A583" t="inlineStr">
        <is>
          <t>Pallet tag (stick on pallet).</t>
        </is>
      </c>
      <c r="B583">
        <f>IF('01_Warehouse_Ledger'!$A$79="","",'01_Warehouse_Ledger'!$A$79&amp;IF('01_Warehouse_Ledger'!$B$79&lt;&gt;""," | "&amp;'01_Warehouse_Ledger'!$B$79,""))</f>
        <v/>
      </c>
      <c r="C583">
        <f>IF('01_Warehouse_Ledger'!$A$79="","",'01_Warehouse_Ledger'!$A$79)</f>
        <v/>
      </c>
      <c r="D583" t="inlineStr">
        <is>
          <t>SCAN / FIND (Pallet → Location → Prism Node)</t>
        </is>
      </c>
    </row>
    <row r="584">
      <c r="A584" t="inlineStr">
        <is>
          <t>Pallet tag (stick on pallet).</t>
        </is>
      </c>
      <c r="B584">
        <f>IF('01_Warehouse_Ledger'!$A$80="","",'01_Warehouse_Ledger'!$A$80&amp;IF('01_Warehouse_Ledger'!$B$80&lt;&gt;""," | "&amp;'01_Warehouse_Ledger'!$B$80,""))</f>
        <v/>
      </c>
      <c r="C584">
        <f>IF('01_Warehouse_Ledger'!$A$80="","",'01_Warehouse_Ledger'!$A$80)</f>
        <v/>
      </c>
      <c r="D584" t="inlineStr">
        <is>
          <t>SCAN / FIND (Pallet → Location → Prism Node)</t>
        </is>
      </c>
    </row>
    <row r="585">
      <c r="A585" t="inlineStr">
        <is>
          <t>Pallet tag (stick on pallet).</t>
        </is>
      </c>
      <c r="B585">
        <f>IF('01_Warehouse_Ledger'!$A$81="","",'01_Warehouse_Ledger'!$A$81&amp;IF('01_Warehouse_Ledger'!$B$81&lt;&gt;""," | "&amp;'01_Warehouse_Ledger'!$B$81,""))</f>
        <v/>
      </c>
      <c r="C585">
        <f>IF('01_Warehouse_Ledger'!$A$81="","",'01_Warehouse_Ledger'!$A$81)</f>
        <v/>
      </c>
      <c r="D585" t="inlineStr">
        <is>
          <t>SCAN / FIND (Pallet → Location → Prism Node)</t>
        </is>
      </c>
    </row>
    <row r="586">
      <c r="A586" t="inlineStr">
        <is>
          <t>Pallet tag (stick on pallet).</t>
        </is>
      </c>
      <c r="B586">
        <f>IF('01_Warehouse_Ledger'!$A$82="","",'01_Warehouse_Ledger'!$A$82&amp;IF('01_Warehouse_Ledger'!$B$82&lt;&gt;""," | "&amp;'01_Warehouse_Ledger'!$B$82,""))</f>
        <v/>
      </c>
      <c r="C586">
        <f>IF('01_Warehouse_Ledger'!$A$82="","",'01_Warehouse_Ledger'!$A$82)</f>
        <v/>
      </c>
      <c r="D586" t="inlineStr">
        <is>
          <t>SCAN / FIND (Pallet → Location → Prism Node)</t>
        </is>
      </c>
    </row>
    <row r="587">
      <c r="A587" t="inlineStr">
        <is>
          <t>Pallet tag (stick on pallet).</t>
        </is>
      </c>
      <c r="B587">
        <f>IF('01_Warehouse_Ledger'!$A$83="","",'01_Warehouse_Ledger'!$A$83&amp;IF('01_Warehouse_Ledger'!$B$83&lt;&gt;""," | "&amp;'01_Warehouse_Ledger'!$B$83,""))</f>
        <v/>
      </c>
      <c r="C587">
        <f>IF('01_Warehouse_Ledger'!$A$83="","",'01_Warehouse_Ledger'!$A$83)</f>
        <v/>
      </c>
      <c r="D587" t="inlineStr">
        <is>
          <t>SCAN / FIND (Pallet → Location → Prism Node)</t>
        </is>
      </c>
    </row>
    <row r="588">
      <c r="A588" t="inlineStr">
        <is>
          <t>Pallet tag (stick on pallet).</t>
        </is>
      </c>
      <c r="B588">
        <f>IF('01_Warehouse_Ledger'!$A$84="","",'01_Warehouse_Ledger'!$A$84&amp;IF('01_Warehouse_Ledger'!$B$84&lt;&gt;""," | "&amp;'01_Warehouse_Ledger'!$B$84,""))</f>
        <v/>
      </c>
      <c r="C588">
        <f>IF('01_Warehouse_Ledger'!$A$84="","",'01_Warehouse_Ledger'!$A$84)</f>
        <v/>
      </c>
      <c r="D588" t="inlineStr">
        <is>
          <t>SCAN / FIND (Pallet → Location → Prism Node)</t>
        </is>
      </c>
    </row>
    <row r="589">
      <c r="A589" t="inlineStr">
        <is>
          <t>Pallet tag (stick on pallet).</t>
        </is>
      </c>
      <c r="B589">
        <f>IF('01_Warehouse_Ledger'!$A$85="","",'01_Warehouse_Ledger'!$A$85&amp;IF('01_Warehouse_Ledger'!$B$85&lt;&gt;""," | "&amp;'01_Warehouse_Ledger'!$B$85,""))</f>
        <v/>
      </c>
      <c r="C589">
        <f>IF('01_Warehouse_Ledger'!$A$85="","",'01_Warehouse_Ledger'!$A$85)</f>
        <v/>
      </c>
      <c r="D589" t="inlineStr">
        <is>
          <t>SCAN / FIND (Pallet → Location → Prism Node)</t>
        </is>
      </c>
    </row>
    <row r="590">
      <c r="A590" t="inlineStr">
        <is>
          <t>Pallet tag (stick on pallet).</t>
        </is>
      </c>
      <c r="B590">
        <f>IF('01_Warehouse_Ledger'!$A$86="","",'01_Warehouse_Ledger'!$A$86&amp;IF('01_Warehouse_Ledger'!$B$86&lt;&gt;""," | "&amp;'01_Warehouse_Ledger'!$B$86,""))</f>
        <v/>
      </c>
      <c r="C590">
        <f>IF('01_Warehouse_Ledger'!$A$86="","",'01_Warehouse_Ledger'!$A$86)</f>
        <v/>
      </c>
      <c r="D590" t="inlineStr">
        <is>
          <t>SCAN / FIND (Pallet → Location → Prism Node)</t>
        </is>
      </c>
    </row>
    <row r="591">
      <c r="A591" t="inlineStr">
        <is>
          <t>Pallet tag (stick on pallet).</t>
        </is>
      </c>
      <c r="B591">
        <f>IF('01_Warehouse_Ledger'!$A$87="","",'01_Warehouse_Ledger'!$A$87&amp;IF('01_Warehouse_Ledger'!$B$87&lt;&gt;""," | "&amp;'01_Warehouse_Ledger'!$B$87,""))</f>
        <v/>
      </c>
      <c r="C591">
        <f>IF('01_Warehouse_Ledger'!$A$87="","",'01_Warehouse_Ledger'!$A$87)</f>
        <v/>
      </c>
      <c r="D591" t="inlineStr">
        <is>
          <t>SCAN / FIND (Pallet → Location → Prism Node)</t>
        </is>
      </c>
    </row>
    <row r="592">
      <c r="A592" t="inlineStr">
        <is>
          <t>Pallet tag (stick on pallet).</t>
        </is>
      </c>
      <c r="B592">
        <f>IF('01_Warehouse_Ledger'!$A$88="","",'01_Warehouse_Ledger'!$A$88&amp;IF('01_Warehouse_Ledger'!$B$88&lt;&gt;""," | "&amp;'01_Warehouse_Ledger'!$B$88,""))</f>
        <v/>
      </c>
      <c r="C592">
        <f>IF('01_Warehouse_Ledger'!$A$88="","",'01_Warehouse_Ledger'!$A$88)</f>
        <v/>
      </c>
      <c r="D592" t="inlineStr">
        <is>
          <t>SCAN / FIND (Pallet → Location → Prism Node)</t>
        </is>
      </c>
    </row>
    <row r="593">
      <c r="A593" t="inlineStr">
        <is>
          <t>Pallet tag (stick on pallet).</t>
        </is>
      </c>
      <c r="B593">
        <f>IF('01_Warehouse_Ledger'!$A$89="","",'01_Warehouse_Ledger'!$A$89&amp;IF('01_Warehouse_Ledger'!$B$89&lt;&gt;""," | "&amp;'01_Warehouse_Ledger'!$B$89,""))</f>
        <v/>
      </c>
      <c r="C593">
        <f>IF('01_Warehouse_Ledger'!$A$89="","",'01_Warehouse_Ledger'!$A$89)</f>
        <v/>
      </c>
      <c r="D593" t="inlineStr">
        <is>
          <t>SCAN / FIND (Pallet → Location → Prism Node)</t>
        </is>
      </c>
    </row>
    <row r="594">
      <c r="A594" t="inlineStr">
        <is>
          <t>Pallet tag (stick on pallet).</t>
        </is>
      </c>
      <c r="B594">
        <f>IF('01_Warehouse_Ledger'!$A$90="","",'01_Warehouse_Ledger'!$A$90&amp;IF('01_Warehouse_Ledger'!$B$90&lt;&gt;""," | "&amp;'01_Warehouse_Ledger'!$B$90,""))</f>
        <v/>
      </c>
      <c r="C594">
        <f>IF('01_Warehouse_Ledger'!$A$90="","",'01_Warehouse_Ledger'!$A$90)</f>
        <v/>
      </c>
      <c r="D594" t="inlineStr">
        <is>
          <t>SCAN / FIND (Pallet → Location → Prism Node)</t>
        </is>
      </c>
    </row>
    <row r="595">
      <c r="A595" t="inlineStr">
        <is>
          <t>Pallet tag (stick on pallet).</t>
        </is>
      </c>
      <c r="B595">
        <f>IF('01_Warehouse_Ledger'!$A$91="","",'01_Warehouse_Ledger'!$A$91&amp;IF('01_Warehouse_Ledger'!$B$91&lt;&gt;""," | "&amp;'01_Warehouse_Ledger'!$B$91,""))</f>
        <v/>
      </c>
      <c r="C595">
        <f>IF('01_Warehouse_Ledger'!$A$91="","",'01_Warehouse_Ledger'!$A$91)</f>
        <v/>
      </c>
      <c r="D595" t="inlineStr">
        <is>
          <t>SCAN / FIND (Pallet → Location → Prism Node)</t>
        </is>
      </c>
    </row>
    <row r="596">
      <c r="A596" t="inlineStr">
        <is>
          <t>Pallet tag (stick on pallet).</t>
        </is>
      </c>
      <c r="B596">
        <f>IF('01_Warehouse_Ledger'!$A$92="","",'01_Warehouse_Ledger'!$A$92&amp;IF('01_Warehouse_Ledger'!$B$92&lt;&gt;""," | "&amp;'01_Warehouse_Ledger'!$B$92,""))</f>
        <v/>
      </c>
      <c r="C596">
        <f>IF('01_Warehouse_Ledger'!$A$92="","",'01_Warehouse_Ledger'!$A$92)</f>
        <v/>
      </c>
      <c r="D596" t="inlineStr">
        <is>
          <t>SCAN / FIND (Pallet → Location → Prism Node)</t>
        </is>
      </c>
    </row>
    <row r="597">
      <c r="A597" t="inlineStr">
        <is>
          <t>Pallet tag (stick on pallet).</t>
        </is>
      </c>
      <c r="B597">
        <f>IF('01_Warehouse_Ledger'!$A$93="","",'01_Warehouse_Ledger'!$A$93&amp;IF('01_Warehouse_Ledger'!$B$93&lt;&gt;""," | "&amp;'01_Warehouse_Ledger'!$B$93,""))</f>
        <v/>
      </c>
      <c r="C597">
        <f>IF('01_Warehouse_Ledger'!$A$93="","",'01_Warehouse_Ledger'!$A$93)</f>
        <v/>
      </c>
      <c r="D597" t="inlineStr">
        <is>
          <t>SCAN / FIND (Pallet → Location → Prism Node)</t>
        </is>
      </c>
    </row>
    <row r="598">
      <c r="A598" t="inlineStr">
        <is>
          <t>Pallet tag (stick on pallet).</t>
        </is>
      </c>
      <c r="B598">
        <f>IF('01_Warehouse_Ledger'!$A$94="","",'01_Warehouse_Ledger'!$A$94&amp;IF('01_Warehouse_Ledger'!$B$94&lt;&gt;""," | "&amp;'01_Warehouse_Ledger'!$B$94,""))</f>
        <v/>
      </c>
      <c r="C598">
        <f>IF('01_Warehouse_Ledger'!$A$94="","",'01_Warehouse_Ledger'!$A$94)</f>
        <v/>
      </c>
      <c r="D598" t="inlineStr">
        <is>
          <t>SCAN / FIND (Pallet → Location → Prism Node)</t>
        </is>
      </c>
    </row>
    <row r="599">
      <c r="A599" t="inlineStr">
        <is>
          <t>Pallet tag (stick on pallet).</t>
        </is>
      </c>
      <c r="B599">
        <f>IF('01_Warehouse_Ledger'!$A$95="","",'01_Warehouse_Ledger'!$A$95&amp;IF('01_Warehouse_Ledger'!$B$95&lt;&gt;""," | "&amp;'01_Warehouse_Ledger'!$B$95,""))</f>
        <v/>
      </c>
      <c r="C599">
        <f>IF('01_Warehouse_Ledger'!$A$95="","",'01_Warehouse_Ledger'!$A$95)</f>
        <v/>
      </c>
      <c r="D599" t="inlineStr">
        <is>
          <t>SCAN / FIND (Pallet → Location → Prism Node)</t>
        </is>
      </c>
    </row>
    <row r="600">
      <c r="A600" t="inlineStr">
        <is>
          <t>Pallet tag (stick on pallet).</t>
        </is>
      </c>
      <c r="B600">
        <f>IF('01_Warehouse_Ledger'!$A$96="","",'01_Warehouse_Ledger'!$A$96&amp;IF('01_Warehouse_Ledger'!$B$96&lt;&gt;""," | "&amp;'01_Warehouse_Ledger'!$B$96,""))</f>
        <v/>
      </c>
      <c r="C600">
        <f>IF('01_Warehouse_Ledger'!$A$96="","",'01_Warehouse_Ledger'!$A$96)</f>
        <v/>
      </c>
      <c r="D600" t="inlineStr">
        <is>
          <t>SCAN / FIND (Pallet → Location → Prism Node)</t>
        </is>
      </c>
    </row>
    <row r="601">
      <c r="A601" t="inlineStr">
        <is>
          <t>Pallet tag (stick on pallet).</t>
        </is>
      </c>
      <c r="B601">
        <f>IF('01_Warehouse_Ledger'!$A$97="","",'01_Warehouse_Ledger'!$A$97&amp;IF('01_Warehouse_Ledger'!$B$97&lt;&gt;""," | "&amp;'01_Warehouse_Ledger'!$B$97,""))</f>
        <v/>
      </c>
      <c r="C601">
        <f>IF('01_Warehouse_Ledger'!$A$97="","",'01_Warehouse_Ledger'!$A$97)</f>
        <v/>
      </c>
      <c r="D601" t="inlineStr">
        <is>
          <t>SCAN / FIND (Pallet → Location → Prism Node)</t>
        </is>
      </c>
    </row>
    <row r="602">
      <c r="A602" t="inlineStr">
        <is>
          <t>Pallet tag (stick on pallet).</t>
        </is>
      </c>
      <c r="B602">
        <f>IF('01_Warehouse_Ledger'!$A$98="","",'01_Warehouse_Ledger'!$A$98&amp;IF('01_Warehouse_Ledger'!$B$98&lt;&gt;""," | "&amp;'01_Warehouse_Ledger'!$B$98,""))</f>
        <v/>
      </c>
      <c r="C602">
        <f>IF('01_Warehouse_Ledger'!$A$98="","",'01_Warehouse_Ledger'!$A$98)</f>
        <v/>
      </c>
      <c r="D602" t="inlineStr">
        <is>
          <t>SCAN / FIND (Pallet → Location → Prism Node)</t>
        </is>
      </c>
    </row>
    <row r="603">
      <c r="A603" t="inlineStr">
        <is>
          <t>Pallet tag (stick on pallet).</t>
        </is>
      </c>
      <c r="B603">
        <f>IF('01_Warehouse_Ledger'!$A$99="","",'01_Warehouse_Ledger'!$A$99&amp;IF('01_Warehouse_Ledger'!$B$99&lt;&gt;""," | "&amp;'01_Warehouse_Ledger'!$B$99,""))</f>
        <v/>
      </c>
      <c r="C603">
        <f>IF('01_Warehouse_Ledger'!$A$99="","",'01_Warehouse_Ledger'!$A$99)</f>
        <v/>
      </c>
      <c r="D603" t="inlineStr">
        <is>
          <t>SCAN / FIND (Pallet → Location → Prism Node)</t>
        </is>
      </c>
    </row>
    <row r="604">
      <c r="A604" t="inlineStr">
        <is>
          <t>Pallet tag (stick on pallet).</t>
        </is>
      </c>
      <c r="B604">
        <f>IF('01_Warehouse_Ledger'!$A$100="","",'01_Warehouse_Ledger'!$A$100&amp;IF('01_Warehouse_Ledger'!$B$100&lt;&gt;""," | "&amp;'01_Warehouse_Ledger'!$B$100,""))</f>
        <v/>
      </c>
      <c r="C604">
        <f>IF('01_Warehouse_Ledger'!$A$100="","",'01_Warehouse_Ledger'!$A$100)</f>
        <v/>
      </c>
      <c r="D604" t="inlineStr">
        <is>
          <t>SCAN / FIND (Pallet → Location → Prism Node)</t>
        </is>
      </c>
    </row>
    <row r="605">
      <c r="A605" t="inlineStr">
        <is>
          <t>Pallet tag (stick on pallet).</t>
        </is>
      </c>
      <c r="B605">
        <f>IF('01_Warehouse_Ledger'!$A$101="","",'01_Warehouse_Ledger'!$A$101&amp;IF('01_Warehouse_Ledger'!$B$101&lt;&gt;""," | "&amp;'01_Warehouse_Ledger'!$B$101,""))</f>
        <v/>
      </c>
      <c r="C605">
        <f>IF('01_Warehouse_Ledger'!$A$101="","",'01_Warehouse_Ledger'!$A$101)</f>
        <v/>
      </c>
      <c r="D605" t="inlineStr">
        <is>
          <t>SCAN / FIND (Pallet → Location → Prism Node)</t>
        </is>
      </c>
    </row>
    <row r="606">
      <c r="A606" t="inlineStr">
        <is>
          <t>Pallet tag (stick on pallet).</t>
        </is>
      </c>
      <c r="B606">
        <f>IF('01_Warehouse_Ledger'!$A$102="","",'01_Warehouse_Ledger'!$A$102&amp;IF('01_Warehouse_Ledger'!$B$102&lt;&gt;""," | "&amp;'01_Warehouse_Ledger'!$B$102,""))</f>
        <v/>
      </c>
      <c r="C606">
        <f>IF('01_Warehouse_Ledger'!$A$102="","",'01_Warehouse_Ledger'!$A$102)</f>
        <v/>
      </c>
      <c r="D606" t="inlineStr">
        <is>
          <t>SCAN / FIND (Pallet → Location → Prism Node)</t>
        </is>
      </c>
    </row>
    <row r="607">
      <c r="A607" t="inlineStr">
        <is>
          <t>Pallet tag (stick on pallet).</t>
        </is>
      </c>
      <c r="B607">
        <f>IF('01_Warehouse_Ledger'!$A$103="","",'01_Warehouse_Ledger'!$A$103&amp;IF('01_Warehouse_Ledger'!$B$103&lt;&gt;""," | "&amp;'01_Warehouse_Ledger'!$B$103,""))</f>
        <v/>
      </c>
      <c r="C607">
        <f>IF('01_Warehouse_Ledger'!$A$103="","",'01_Warehouse_Ledger'!$A$103)</f>
        <v/>
      </c>
      <c r="D607" t="inlineStr">
        <is>
          <t>SCAN / FIND (Pallet → Location → Prism Node)</t>
        </is>
      </c>
    </row>
    <row r="608">
      <c r="A608" t="inlineStr">
        <is>
          <t>Pallet tag (stick on pallet).</t>
        </is>
      </c>
      <c r="B608">
        <f>IF('01_Warehouse_Ledger'!$A$104="","",'01_Warehouse_Ledger'!$A$104&amp;IF('01_Warehouse_Ledger'!$B$104&lt;&gt;""," | "&amp;'01_Warehouse_Ledger'!$B$104,""))</f>
        <v/>
      </c>
      <c r="C608">
        <f>IF('01_Warehouse_Ledger'!$A$104="","",'01_Warehouse_Ledger'!$A$104)</f>
        <v/>
      </c>
      <c r="D608" t="inlineStr">
        <is>
          <t>SCAN / FIND (Pallet → Location → Prism Node)</t>
        </is>
      </c>
    </row>
    <row r="609">
      <c r="A609" t="inlineStr">
        <is>
          <t>Pallet tag (stick on pallet).</t>
        </is>
      </c>
      <c r="B609">
        <f>IF('01_Warehouse_Ledger'!$A$105="","",'01_Warehouse_Ledger'!$A$105&amp;IF('01_Warehouse_Ledger'!$B$105&lt;&gt;""," | "&amp;'01_Warehouse_Ledger'!$B$105,""))</f>
        <v/>
      </c>
      <c r="C609">
        <f>IF('01_Warehouse_Ledger'!$A$105="","",'01_Warehouse_Ledger'!$A$105)</f>
        <v/>
      </c>
      <c r="D609" t="inlineStr">
        <is>
          <t>SCAN / FIND (Pallet → Location → Prism Node)</t>
        </is>
      </c>
    </row>
    <row r="610">
      <c r="A610" t="inlineStr">
        <is>
          <t>Pallet tag (stick on pallet).</t>
        </is>
      </c>
      <c r="B610">
        <f>IF('01_Warehouse_Ledger'!$A$106="","",'01_Warehouse_Ledger'!$A$106&amp;IF('01_Warehouse_Ledger'!$B$106&lt;&gt;""," | "&amp;'01_Warehouse_Ledger'!$B$106,""))</f>
        <v/>
      </c>
      <c r="C610">
        <f>IF('01_Warehouse_Ledger'!$A$106="","",'01_Warehouse_Ledger'!$A$106)</f>
        <v/>
      </c>
      <c r="D610" t="inlineStr">
        <is>
          <t>SCAN / FIND (Pallet → Location → Prism Node)</t>
        </is>
      </c>
    </row>
    <row r="611">
      <c r="A611" t="inlineStr">
        <is>
          <t>Pallet tag (stick on pallet).</t>
        </is>
      </c>
      <c r="B611">
        <f>IF('01_Warehouse_Ledger'!$A$107="","",'01_Warehouse_Ledger'!$A$107&amp;IF('01_Warehouse_Ledger'!$B$107&lt;&gt;""," | "&amp;'01_Warehouse_Ledger'!$B$107,""))</f>
        <v/>
      </c>
      <c r="C611">
        <f>IF('01_Warehouse_Ledger'!$A$107="","",'01_Warehouse_Ledger'!$A$107)</f>
        <v/>
      </c>
      <c r="D611" t="inlineStr">
        <is>
          <t>SCAN / FIND (Pallet → Location → Prism Node)</t>
        </is>
      </c>
    </row>
    <row r="612">
      <c r="A612" t="inlineStr">
        <is>
          <t>Pallet tag (stick on pallet).</t>
        </is>
      </c>
      <c r="B612">
        <f>IF('01_Warehouse_Ledger'!$A$108="","",'01_Warehouse_Ledger'!$A$108&amp;IF('01_Warehouse_Ledger'!$B$108&lt;&gt;""," | "&amp;'01_Warehouse_Ledger'!$B$108,""))</f>
        <v/>
      </c>
      <c r="C612">
        <f>IF('01_Warehouse_Ledger'!$A$108="","",'01_Warehouse_Ledger'!$A$108)</f>
        <v/>
      </c>
      <c r="D612" t="inlineStr">
        <is>
          <t>SCAN / FIND (Pallet → Location → Prism Node)</t>
        </is>
      </c>
    </row>
    <row r="613">
      <c r="A613" t="inlineStr">
        <is>
          <t>Pallet tag (stick on pallet).</t>
        </is>
      </c>
      <c r="B613">
        <f>IF('01_Warehouse_Ledger'!$A$109="","",'01_Warehouse_Ledger'!$A$109&amp;IF('01_Warehouse_Ledger'!$B$109&lt;&gt;""," | "&amp;'01_Warehouse_Ledger'!$B$109,""))</f>
        <v/>
      </c>
      <c r="C613">
        <f>IF('01_Warehouse_Ledger'!$A$109="","",'01_Warehouse_Ledger'!$A$109)</f>
        <v/>
      </c>
      <c r="D613" t="inlineStr">
        <is>
          <t>SCAN / FIND (Pallet → Location → Prism Node)</t>
        </is>
      </c>
    </row>
    <row r="614">
      <c r="A614" t="inlineStr">
        <is>
          <t>Pallet tag (stick on pallet).</t>
        </is>
      </c>
      <c r="B614">
        <f>IF('01_Warehouse_Ledger'!$A$110="","",'01_Warehouse_Ledger'!$A$110&amp;IF('01_Warehouse_Ledger'!$B$110&lt;&gt;""," | "&amp;'01_Warehouse_Ledger'!$B$110,""))</f>
        <v/>
      </c>
      <c r="C614">
        <f>IF('01_Warehouse_Ledger'!$A$110="","",'01_Warehouse_Ledger'!$A$110)</f>
        <v/>
      </c>
      <c r="D614" t="inlineStr">
        <is>
          <t>SCAN / FIND (Pallet → Location → Prism Node)</t>
        </is>
      </c>
    </row>
    <row r="615">
      <c r="A615" t="inlineStr">
        <is>
          <t>Pallet tag (stick on pallet).</t>
        </is>
      </c>
      <c r="B615">
        <f>IF('01_Warehouse_Ledger'!$A$111="","",'01_Warehouse_Ledger'!$A$111&amp;IF('01_Warehouse_Ledger'!$B$111&lt;&gt;""," | "&amp;'01_Warehouse_Ledger'!$B$111,""))</f>
        <v/>
      </c>
      <c r="C615">
        <f>IF('01_Warehouse_Ledger'!$A$111="","",'01_Warehouse_Ledger'!$A$111)</f>
        <v/>
      </c>
      <c r="D615" t="inlineStr">
        <is>
          <t>SCAN / FIND (Pallet → Location → Prism Node)</t>
        </is>
      </c>
    </row>
    <row r="616">
      <c r="A616" t="inlineStr">
        <is>
          <t>Pallet tag (stick on pallet).</t>
        </is>
      </c>
      <c r="B616">
        <f>IF('01_Warehouse_Ledger'!$A$112="","",'01_Warehouse_Ledger'!$A$112&amp;IF('01_Warehouse_Ledger'!$B$112&lt;&gt;""," | "&amp;'01_Warehouse_Ledger'!$B$112,""))</f>
        <v/>
      </c>
      <c r="C616">
        <f>IF('01_Warehouse_Ledger'!$A$112="","",'01_Warehouse_Ledger'!$A$112)</f>
        <v/>
      </c>
      <c r="D616" t="inlineStr">
        <is>
          <t>SCAN / FIND (Pallet → Location → Prism Node)</t>
        </is>
      </c>
    </row>
    <row r="617">
      <c r="A617" t="inlineStr">
        <is>
          <t>Pallet tag (stick on pallet).</t>
        </is>
      </c>
      <c r="B617">
        <f>IF('01_Warehouse_Ledger'!$A$113="","",'01_Warehouse_Ledger'!$A$113&amp;IF('01_Warehouse_Ledger'!$B$113&lt;&gt;""," | "&amp;'01_Warehouse_Ledger'!$B$113,""))</f>
        <v/>
      </c>
      <c r="C617">
        <f>IF('01_Warehouse_Ledger'!$A$113="","",'01_Warehouse_Ledger'!$A$113)</f>
        <v/>
      </c>
      <c r="D617" t="inlineStr">
        <is>
          <t>SCAN / FIND (Pallet → Location → Prism Node)</t>
        </is>
      </c>
    </row>
    <row r="618">
      <c r="A618" t="inlineStr">
        <is>
          <t>Pallet tag (stick on pallet).</t>
        </is>
      </c>
      <c r="B618">
        <f>IF('01_Warehouse_Ledger'!$A$114="","",'01_Warehouse_Ledger'!$A$114&amp;IF('01_Warehouse_Ledger'!$B$114&lt;&gt;""," | "&amp;'01_Warehouse_Ledger'!$B$114,""))</f>
        <v/>
      </c>
      <c r="C618">
        <f>IF('01_Warehouse_Ledger'!$A$114="","",'01_Warehouse_Ledger'!$A$114)</f>
        <v/>
      </c>
      <c r="D618" t="inlineStr">
        <is>
          <t>SCAN / FIND (Pallet → Location → Prism Node)</t>
        </is>
      </c>
    </row>
    <row r="619">
      <c r="A619" t="inlineStr">
        <is>
          <t>Pallet tag (stick on pallet).</t>
        </is>
      </c>
      <c r="B619">
        <f>IF('01_Warehouse_Ledger'!$A$115="","",'01_Warehouse_Ledger'!$A$115&amp;IF('01_Warehouse_Ledger'!$B$115&lt;&gt;""," | "&amp;'01_Warehouse_Ledger'!$B$115,""))</f>
        <v/>
      </c>
      <c r="C619">
        <f>IF('01_Warehouse_Ledger'!$A$115="","",'01_Warehouse_Ledger'!$A$115)</f>
        <v/>
      </c>
      <c r="D619" t="inlineStr">
        <is>
          <t>SCAN / FIND (Pallet → Location → Prism Node)</t>
        </is>
      </c>
    </row>
    <row r="620">
      <c r="A620" t="inlineStr">
        <is>
          <t>Pallet tag (stick on pallet).</t>
        </is>
      </c>
      <c r="B620">
        <f>IF('01_Warehouse_Ledger'!$A$116="","",'01_Warehouse_Ledger'!$A$116&amp;IF('01_Warehouse_Ledger'!$B$116&lt;&gt;""," | "&amp;'01_Warehouse_Ledger'!$B$116,""))</f>
        <v/>
      </c>
      <c r="C620">
        <f>IF('01_Warehouse_Ledger'!$A$116="","",'01_Warehouse_Ledger'!$A$116)</f>
        <v/>
      </c>
      <c r="D620" t="inlineStr">
        <is>
          <t>SCAN / FIND (Pallet → Location → Prism Node)</t>
        </is>
      </c>
    </row>
    <row r="621">
      <c r="A621" t="inlineStr">
        <is>
          <t>Pallet tag (stick on pallet).</t>
        </is>
      </c>
      <c r="B621">
        <f>IF('01_Warehouse_Ledger'!$A$117="","",'01_Warehouse_Ledger'!$A$117&amp;IF('01_Warehouse_Ledger'!$B$117&lt;&gt;""," | "&amp;'01_Warehouse_Ledger'!$B$117,""))</f>
        <v/>
      </c>
      <c r="C621">
        <f>IF('01_Warehouse_Ledger'!$A$117="","",'01_Warehouse_Ledger'!$A$117)</f>
        <v/>
      </c>
      <c r="D621" t="inlineStr">
        <is>
          <t>SCAN / FIND (Pallet → Location → Prism Node)</t>
        </is>
      </c>
    </row>
    <row r="622">
      <c r="A622" t="inlineStr">
        <is>
          <t>Pallet tag (stick on pallet).</t>
        </is>
      </c>
      <c r="B622">
        <f>IF('01_Warehouse_Ledger'!$A$118="","",'01_Warehouse_Ledger'!$A$118&amp;IF('01_Warehouse_Ledger'!$B$118&lt;&gt;""," | "&amp;'01_Warehouse_Ledger'!$B$118,""))</f>
        <v/>
      </c>
      <c r="C622">
        <f>IF('01_Warehouse_Ledger'!$A$118="","",'01_Warehouse_Ledger'!$A$118)</f>
        <v/>
      </c>
      <c r="D622" t="inlineStr">
        <is>
          <t>SCAN / FIND (Pallet → Location → Prism Node)</t>
        </is>
      </c>
    </row>
    <row r="623">
      <c r="A623" t="inlineStr">
        <is>
          <t>Pallet tag (stick on pallet).</t>
        </is>
      </c>
      <c r="B623">
        <f>IF('01_Warehouse_Ledger'!$A$119="","",'01_Warehouse_Ledger'!$A$119&amp;IF('01_Warehouse_Ledger'!$B$119&lt;&gt;""," | "&amp;'01_Warehouse_Ledger'!$B$119,""))</f>
        <v/>
      </c>
      <c r="C623">
        <f>IF('01_Warehouse_Ledger'!$A$119="","",'01_Warehouse_Ledger'!$A$119)</f>
        <v/>
      </c>
      <c r="D623" t="inlineStr">
        <is>
          <t>SCAN / FIND (Pallet → Location → Prism Node)</t>
        </is>
      </c>
    </row>
    <row r="624">
      <c r="A624" t="inlineStr">
        <is>
          <t>Pallet tag (stick on pallet).</t>
        </is>
      </c>
      <c r="B624">
        <f>IF('01_Warehouse_Ledger'!$A$120="","",'01_Warehouse_Ledger'!$A$120&amp;IF('01_Warehouse_Ledger'!$B$120&lt;&gt;""," | "&amp;'01_Warehouse_Ledger'!$B$120,""))</f>
        <v/>
      </c>
      <c r="C624">
        <f>IF('01_Warehouse_Ledger'!$A$120="","",'01_Warehouse_Ledger'!$A$120)</f>
        <v/>
      </c>
      <c r="D624" t="inlineStr">
        <is>
          <t>SCAN / FIND (Pallet → Location → Prism Node)</t>
        </is>
      </c>
    </row>
    <row r="625">
      <c r="A625" t="inlineStr">
        <is>
          <t>Pallet tag (stick on pallet).</t>
        </is>
      </c>
      <c r="B625">
        <f>IF('01_Warehouse_Ledger'!$A$121="","",'01_Warehouse_Ledger'!$A$121&amp;IF('01_Warehouse_Ledger'!$B$121&lt;&gt;""," | "&amp;'01_Warehouse_Ledger'!$B$121,""))</f>
        <v/>
      </c>
      <c r="C625">
        <f>IF('01_Warehouse_Ledger'!$A$121="","",'01_Warehouse_Ledger'!$A$121)</f>
        <v/>
      </c>
      <c r="D625" t="inlineStr">
        <is>
          <t>SCAN / FIND (Pallet → Location → Prism Node)</t>
        </is>
      </c>
    </row>
    <row r="626">
      <c r="A626" t="inlineStr">
        <is>
          <t>Pallet tag (stick on pallet).</t>
        </is>
      </c>
      <c r="B626">
        <f>IF('01_Warehouse_Ledger'!$A$122="","",'01_Warehouse_Ledger'!$A$122&amp;IF('01_Warehouse_Ledger'!$B$122&lt;&gt;""," | "&amp;'01_Warehouse_Ledger'!$B$122,""))</f>
        <v/>
      </c>
      <c r="C626">
        <f>IF('01_Warehouse_Ledger'!$A$122="","",'01_Warehouse_Ledger'!$A$122)</f>
        <v/>
      </c>
      <c r="D626" t="inlineStr">
        <is>
          <t>SCAN / FIND (Pallet → Location → Prism Node)</t>
        </is>
      </c>
    </row>
    <row r="627">
      <c r="A627" t="inlineStr">
        <is>
          <t>Pallet tag (stick on pallet).</t>
        </is>
      </c>
      <c r="B627">
        <f>IF('01_Warehouse_Ledger'!$A$123="","",'01_Warehouse_Ledger'!$A$123&amp;IF('01_Warehouse_Ledger'!$B$123&lt;&gt;""," | "&amp;'01_Warehouse_Ledger'!$B$123,""))</f>
        <v/>
      </c>
      <c r="C627">
        <f>IF('01_Warehouse_Ledger'!$A$123="","",'01_Warehouse_Ledger'!$A$123)</f>
        <v/>
      </c>
      <c r="D627" t="inlineStr">
        <is>
          <t>SCAN / FIND (Pallet → Location → Prism Node)</t>
        </is>
      </c>
    </row>
    <row r="628">
      <c r="A628" t="inlineStr">
        <is>
          <t>Pallet tag (stick on pallet).</t>
        </is>
      </c>
      <c r="B628">
        <f>IF('01_Warehouse_Ledger'!$A$124="","",'01_Warehouse_Ledger'!$A$124&amp;IF('01_Warehouse_Ledger'!$B$124&lt;&gt;""," | "&amp;'01_Warehouse_Ledger'!$B$124,""))</f>
        <v/>
      </c>
      <c r="C628">
        <f>IF('01_Warehouse_Ledger'!$A$124="","",'01_Warehouse_Ledger'!$A$124)</f>
        <v/>
      </c>
      <c r="D628" t="inlineStr">
        <is>
          <t>SCAN / FIND (Pallet → Location → Prism Node)</t>
        </is>
      </c>
    </row>
    <row r="629">
      <c r="A629" t="inlineStr">
        <is>
          <t>Pallet tag (stick on pallet).</t>
        </is>
      </c>
      <c r="B629">
        <f>IF('01_Warehouse_Ledger'!$A$125="","",'01_Warehouse_Ledger'!$A$125&amp;IF('01_Warehouse_Ledger'!$B$125&lt;&gt;""," | "&amp;'01_Warehouse_Ledger'!$B$125,""))</f>
        <v/>
      </c>
      <c r="C629">
        <f>IF('01_Warehouse_Ledger'!$A$125="","",'01_Warehouse_Ledger'!$A$125)</f>
        <v/>
      </c>
      <c r="D629" t="inlineStr">
        <is>
          <t>SCAN / FIND (Pallet → Location → Prism Node)</t>
        </is>
      </c>
    </row>
    <row r="630">
      <c r="A630" t="inlineStr">
        <is>
          <t>Pallet tag (stick on pallet).</t>
        </is>
      </c>
      <c r="B630">
        <f>IF('01_Warehouse_Ledger'!$A$126="","",'01_Warehouse_Ledger'!$A$126&amp;IF('01_Warehouse_Ledger'!$B$126&lt;&gt;""," | "&amp;'01_Warehouse_Ledger'!$B$126,""))</f>
        <v/>
      </c>
      <c r="C630">
        <f>IF('01_Warehouse_Ledger'!$A$126="","",'01_Warehouse_Ledger'!$A$126)</f>
        <v/>
      </c>
      <c r="D630" t="inlineStr">
        <is>
          <t>SCAN / FIND (Pallet → Location → Prism Node)</t>
        </is>
      </c>
    </row>
    <row r="631">
      <c r="A631" t="inlineStr">
        <is>
          <t>Pallet tag (stick on pallet).</t>
        </is>
      </c>
      <c r="B631">
        <f>IF('01_Warehouse_Ledger'!$A$127="","",'01_Warehouse_Ledger'!$A$127&amp;IF('01_Warehouse_Ledger'!$B$127&lt;&gt;""," | "&amp;'01_Warehouse_Ledger'!$B$127,""))</f>
        <v/>
      </c>
      <c r="C631">
        <f>IF('01_Warehouse_Ledger'!$A$127="","",'01_Warehouse_Ledger'!$A$127)</f>
        <v/>
      </c>
      <c r="D631" t="inlineStr">
        <is>
          <t>SCAN / FIND (Pallet → Location → Prism Node)</t>
        </is>
      </c>
    </row>
    <row r="632">
      <c r="A632" t="inlineStr">
        <is>
          <t>Pallet tag (stick on pallet).</t>
        </is>
      </c>
      <c r="B632">
        <f>IF('01_Warehouse_Ledger'!$A$128="","",'01_Warehouse_Ledger'!$A$128&amp;IF('01_Warehouse_Ledger'!$B$128&lt;&gt;""," | "&amp;'01_Warehouse_Ledger'!$B$128,""))</f>
        <v/>
      </c>
      <c r="C632">
        <f>IF('01_Warehouse_Ledger'!$A$128="","",'01_Warehouse_Ledger'!$A$128)</f>
        <v/>
      </c>
      <c r="D632" t="inlineStr">
        <is>
          <t>SCAN / FIND (Pallet → Location → Prism Node)</t>
        </is>
      </c>
    </row>
    <row r="633">
      <c r="A633" t="inlineStr">
        <is>
          <t>Pallet tag (stick on pallet).</t>
        </is>
      </c>
      <c r="B633">
        <f>IF('01_Warehouse_Ledger'!$A$129="","",'01_Warehouse_Ledger'!$A$129&amp;IF('01_Warehouse_Ledger'!$B$129&lt;&gt;""," | "&amp;'01_Warehouse_Ledger'!$B$129,""))</f>
        <v/>
      </c>
      <c r="C633">
        <f>IF('01_Warehouse_Ledger'!$A$129="","",'01_Warehouse_Ledger'!$A$129)</f>
        <v/>
      </c>
      <c r="D633" t="inlineStr">
        <is>
          <t>SCAN / FIND (Pallet → Location → Prism Node)</t>
        </is>
      </c>
    </row>
    <row r="634">
      <c r="A634" t="inlineStr">
        <is>
          <t>Pallet tag (stick on pallet).</t>
        </is>
      </c>
      <c r="B634">
        <f>IF('01_Warehouse_Ledger'!$A$130="","",'01_Warehouse_Ledger'!$A$130&amp;IF('01_Warehouse_Ledger'!$B$130&lt;&gt;""," | "&amp;'01_Warehouse_Ledger'!$B$130,""))</f>
        <v/>
      </c>
      <c r="C634">
        <f>IF('01_Warehouse_Ledger'!$A$130="","",'01_Warehouse_Ledger'!$A$130)</f>
        <v/>
      </c>
      <c r="D634" t="inlineStr">
        <is>
          <t>SCAN / FIND (Pallet → Location → Prism Node)</t>
        </is>
      </c>
    </row>
    <row r="635">
      <c r="A635" t="inlineStr">
        <is>
          <t>Pallet tag (stick on pallet).</t>
        </is>
      </c>
      <c r="B635">
        <f>IF('01_Warehouse_Ledger'!$A$131="","",'01_Warehouse_Ledger'!$A$131&amp;IF('01_Warehouse_Ledger'!$B$131&lt;&gt;""," | "&amp;'01_Warehouse_Ledger'!$B$131,""))</f>
        <v/>
      </c>
      <c r="C635">
        <f>IF('01_Warehouse_Ledger'!$A$131="","",'01_Warehouse_Ledger'!$A$131)</f>
        <v/>
      </c>
      <c r="D635" t="inlineStr">
        <is>
          <t>SCAN / FIND (Pallet → Location → Prism Node)</t>
        </is>
      </c>
    </row>
    <row r="636">
      <c r="A636" t="inlineStr">
        <is>
          <t>Pallet tag (stick on pallet).</t>
        </is>
      </c>
      <c r="B636">
        <f>IF('01_Warehouse_Ledger'!$A$132="","",'01_Warehouse_Ledger'!$A$132&amp;IF('01_Warehouse_Ledger'!$B$132&lt;&gt;""," | "&amp;'01_Warehouse_Ledger'!$B$132,""))</f>
        <v/>
      </c>
      <c r="C636">
        <f>IF('01_Warehouse_Ledger'!$A$132="","",'01_Warehouse_Ledger'!$A$132)</f>
        <v/>
      </c>
      <c r="D636" t="inlineStr">
        <is>
          <t>SCAN / FIND (Pallet → Location → Prism Node)</t>
        </is>
      </c>
    </row>
    <row r="637">
      <c r="A637" t="inlineStr">
        <is>
          <t>Pallet tag (stick on pallet).</t>
        </is>
      </c>
      <c r="B637">
        <f>IF('01_Warehouse_Ledger'!$A$133="","",'01_Warehouse_Ledger'!$A$133&amp;IF('01_Warehouse_Ledger'!$B$133&lt;&gt;""," | "&amp;'01_Warehouse_Ledger'!$B$133,""))</f>
        <v/>
      </c>
      <c r="C637">
        <f>IF('01_Warehouse_Ledger'!$A$133="","",'01_Warehouse_Ledger'!$A$133)</f>
        <v/>
      </c>
      <c r="D637" t="inlineStr">
        <is>
          <t>SCAN / FIND (Pallet → Location → Prism Node)</t>
        </is>
      </c>
    </row>
    <row r="638">
      <c r="A638" t="inlineStr">
        <is>
          <t>Pallet tag (stick on pallet).</t>
        </is>
      </c>
      <c r="B638">
        <f>IF('01_Warehouse_Ledger'!$A$134="","",'01_Warehouse_Ledger'!$A$134&amp;IF('01_Warehouse_Ledger'!$B$134&lt;&gt;""," | "&amp;'01_Warehouse_Ledger'!$B$134,""))</f>
        <v/>
      </c>
      <c r="C638">
        <f>IF('01_Warehouse_Ledger'!$A$134="","",'01_Warehouse_Ledger'!$A$134)</f>
        <v/>
      </c>
      <c r="D638" t="inlineStr">
        <is>
          <t>SCAN / FIND (Pallet → Location → Prism Node)</t>
        </is>
      </c>
    </row>
    <row r="639">
      <c r="A639" t="inlineStr">
        <is>
          <t>Pallet tag (stick on pallet).</t>
        </is>
      </c>
      <c r="B639">
        <f>IF('01_Warehouse_Ledger'!$A$135="","",'01_Warehouse_Ledger'!$A$135&amp;IF('01_Warehouse_Ledger'!$B$135&lt;&gt;""," | "&amp;'01_Warehouse_Ledger'!$B$135,""))</f>
        <v/>
      </c>
      <c r="C639">
        <f>IF('01_Warehouse_Ledger'!$A$135="","",'01_Warehouse_Ledger'!$A$135)</f>
        <v/>
      </c>
      <c r="D639" t="inlineStr">
        <is>
          <t>SCAN / FIND (Pallet → Location → Prism Node)</t>
        </is>
      </c>
    </row>
    <row r="640">
      <c r="A640" t="inlineStr">
        <is>
          <t>Pallet tag (stick on pallet).</t>
        </is>
      </c>
      <c r="B640">
        <f>IF('01_Warehouse_Ledger'!$A$136="","",'01_Warehouse_Ledger'!$A$136&amp;IF('01_Warehouse_Ledger'!$B$136&lt;&gt;""," | "&amp;'01_Warehouse_Ledger'!$B$136,""))</f>
        <v/>
      </c>
      <c r="C640">
        <f>IF('01_Warehouse_Ledger'!$A$136="","",'01_Warehouse_Ledger'!$A$136)</f>
        <v/>
      </c>
      <c r="D640" t="inlineStr">
        <is>
          <t>SCAN / FIND (Pallet → Location → Prism Node)</t>
        </is>
      </c>
    </row>
    <row r="641">
      <c r="A641" t="inlineStr">
        <is>
          <t>Pallet tag (stick on pallet).</t>
        </is>
      </c>
      <c r="B641">
        <f>IF('01_Warehouse_Ledger'!$A$137="","",'01_Warehouse_Ledger'!$A$137&amp;IF('01_Warehouse_Ledger'!$B$137&lt;&gt;""," | "&amp;'01_Warehouse_Ledger'!$B$137,""))</f>
        <v/>
      </c>
      <c r="C641">
        <f>IF('01_Warehouse_Ledger'!$A$137="","",'01_Warehouse_Ledger'!$A$137)</f>
        <v/>
      </c>
      <c r="D641" t="inlineStr">
        <is>
          <t>SCAN / FIND (Pallet → Location → Prism Node)</t>
        </is>
      </c>
    </row>
    <row r="642">
      <c r="A642" t="inlineStr">
        <is>
          <t>Pallet tag (stick on pallet).</t>
        </is>
      </c>
      <c r="B642">
        <f>IF('01_Warehouse_Ledger'!$A$138="","",'01_Warehouse_Ledger'!$A$138&amp;IF('01_Warehouse_Ledger'!$B$138&lt;&gt;""," | "&amp;'01_Warehouse_Ledger'!$B$138,""))</f>
        <v/>
      </c>
      <c r="C642">
        <f>IF('01_Warehouse_Ledger'!$A$138="","",'01_Warehouse_Ledger'!$A$138)</f>
        <v/>
      </c>
      <c r="D642" t="inlineStr">
        <is>
          <t>SCAN / FIND (Pallet → Location → Prism Node)</t>
        </is>
      </c>
    </row>
    <row r="643">
      <c r="A643" t="inlineStr">
        <is>
          <t>Pallet tag (stick on pallet).</t>
        </is>
      </c>
      <c r="B643">
        <f>IF('01_Warehouse_Ledger'!$A$139="","",'01_Warehouse_Ledger'!$A$139&amp;IF('01_Warehouse_Ledger'!$B$139&lt;&gt;""," | "&amp;'01_Warehouse_Ledger'!$B$139,""))</f>
        <v/>
      </c>
      <c r="C643">
        <f>IF('01_Warehouse_Ledger'!$A$139="","",'01_Warehouse_Ledger'!$A$139)</f>
        <v/>
      </c>
      <c r="D643" t="inlineStr">
        <is>
          <t>SCAN / FIND (Pallet → Location → Prism Node)</t>
        </is>
      </c>
    </row>
    <row r="644">
      <c r="A644" t="inlineStr">
        <is>
          <t>Pallet tag (stick on pallet).</t>
        </is>
      </c>
      <c r="B644">
        <f>IF('01_Warehouse_Ledger'!$A$140="","",'01_Warehouse_Ledger'!$A$140&amp;IF('01_Warehouse_Ledger'!$B$140&lt;&gt;""," | "&amp;'01_Warehouse_Ledger'!$B$140,""))</f>
        <v/>
      </c>
      <c r="C644">
        <f>IF('01_Warehouse_Ledger'!$A$140="","",'01_Warehouse_Ledger'!$A$140)</f>
        <v/>
      </c>
      <c r="D644" t="inlineStr">
        <is>
          <t>SCAN / FIND (Pallet → Location → Prism Node)</t>
        </is>
      </c>
    </row>
    <row r="645">
      <c r="A645" t="inlineStr">
        <is>
          <t>Pallet tag (stick on pallet).</t>
        </is>
      </c>
      <c r="B645">
        <f>IF('01_Warehouse_Ledger'!$A$141="","",'01_Warehouse_Ledger'!$A$141&amp;IF('01_Warehouse_Ledger'!$B$141&lt;&gt;""," | "&amp;'01_Warehouse_Ledger'!$B$141,""))</f>
        <v/>
      </c>
      <c r="C645">
        <f>IF('01_Warehouse_Ledger'!$A$141="","",'01_Warehouse_Ledger'!$A$141)</f>
        <v/>
      </c>
      <c r="D645" t="inlineStr">
        <is>
          <t>SCAN / FIND (Pallet → Location → Prism Node)</t>
        </is>
      </c>
    </row>
    <row r="646">
      <c r="A646" t="inlineStr">
        <is>
          <t>Pallet tag (stick on pallet).</t>
        </is>
      </c>
      <c r="B646">
        <f>IF('01_Warehouse_Ledger'!$A$142="","",'01_Warehouse_Ledger'!$A$142&amp;IF('01_Warehouse_Ledger'!$B$142&lt;&gt;""," | "&amp;'01_Warehouse_Ledger'!$B$142,""))</f>
        <v/>
      </c>
      <c r="C646">
        <f>IF('01_Warehouse_Ledger'!$A$142="","",'01_Warehouse_Ledger'!$A$142)</f>
        <v/>
      </c>
      <c r="D646" t="inlineStr">
        <is>
          <t>SCAN / FIND (Pallet → Location → Prism Node)</t>
        </is>
      </c>
    </row>
    <row r="647">
      <c r="A647" t="inlineStr">
        <is>
          <t>Pallet tag (stick on pallet).</t>
        </is>
      </c>
      <c r="B647">
        <f>IF('01_Warehouse_Ledger'!$A$143="","",'01_Warehouse_Ledger'!$A$143&amp;IF('01_Warehouse_Ledger'!$B$143&lt;&gt;""," | "&amp;'01_Warehouse_Ledger'!$B$143,""))</f>
        <v/>
      </c>
      <c r="C647">
        <f>IF('01_Warehouse_Ledger'!$A$143="","",'01_Warehouse_Ledger'!$A$143)</f>
        <v/>
      </c>
      <c r="D647" t="inlineStr">
        <is>
          <t>SCAN / FIND (Pallet → Location → Prism Node)</t>
        </is>
      </c>
    </row>
    <row r="648">
      <c r="A648" t="inlineStr">
        <is>
          <t>Pallet tag (stick on pallet).</t>
        </is>
      </c>
      <c r="B648">
        <f>IF('01_Warehouse_Ledger'!$A$144="","",'01_Warehouse_Ledger'!$A$144&amp;IF('01_Warehouse_Ledger'!$B$144&lt;&gt;""," | "&amp;'01_Warehouse_Ledger'!$B$144,""))</f>
        <v/>
      </c>
      <c r="C648">
        <f>IF('01_Warehouse_Ledger'!$A$144="","",'01_Warehouse_Ledger'!$A$144)</f>
        <v/>
      </c>
      <c r="D648" t="inlineStr">
        <is>
          <t>SCAN / FIND (Pallet → Location → Prism Node)</t>
        </is>
      </c>
    </row>
    <row r="649">
      <c r="A649" t="inlineStr">
        <is>
          <t>Pallet tag (stick on pallet).</t>
        </is>
      </c>
      <c r="B649">
        <f>IF('01_Warehouse_Ledger'!$A$145="","",'01_Warehouse_Ledger'!$A$145&amp;IF('01_Warehouse_Ledger'!$B$145&lt;&gt;""," | "&amp;'01_Warehouse_Ledger'!$B$145,""))</f>
        <v/>
      </c>
      <c r="C649">
        <f>IF('01_Warehouse_Ledger'!$A$145="","",'01_Warehouse_Ledger'!$A$145)</f>
        <v/>
      </c>
      <c r="D649" t="inlineStr">
        <is>
          <t>SCAN / FIND (Pallet → Location → Prism Node)</t>
        </is>
      </c>
    </row>
    <row r="650">
      <c r="A650" t="inlineStr">
        <is>
          <t>Pallet tag (stick on pallet).</t>
        </is>
      </c>
      <c r="B650">
        <f>IF('01_Warehouse_Ledger'!$A$146="","",'01_Warehouse_Ledger'!$A$146&amp;IF('01_Warehouse_Ledger'!$B$146&lt;&gt;""," | "&amp;'01_Warehouse_Ledger'!$B$146,""))</f>
        <v/>
      </c>
      <c r="C650">
        <f>IF('01_Warehouse_Ledger'!$A$146="","",'01_Warehouse_Ledger'!$A$146)</f>
        <v/>
      </c>
      <c r="D650" t="inlineStr">
        <is>
          <t>SCAN / FIND (Pallet → Location → Prism Node)</t>
        </is>
      </c>
    </row>
    <row r="651">
      <c r="A651" t="inlineStr">
        <is>
          <t>Pallet tag (stick on pallet).</t>
        </is>
      </c>
      <c r="B651">
        <f>IF('01_Warehouse_Ledger'!$A$147="","",'01_Warehouse_Ledger'!$A$147&amp;IF('01_Warehouse_Ledger'!$B$147&lt;&gt;""," | "&amp;'01_Warehouse_Ledger'!$B$147,""))</f>
        <v/>
      </c>
      <c r="C651">
        <f>IF('01_Warehouse_Ledger'!$A$147="","",'01_Warehouse_Ledger'!$A$147)</f>
        <v/>
      </c>
      <c r="D651" t="inlineStr">
        <is>
          <t>SCAN / FIND (Pallet → Location → Prism Node)</t>
        </is>
      </c>
    </row>
    <row r="652">
      <c r="A652" t="inlineStr">
        <is>
          <t>Pallet tag (stick on pallet).</t>
        </is>
      </c>
      <c r="B652">
        <f>IF('01_Warehouse_Ledger'!$A$148="","",'01_Warehouse_Ledger'!$A$148&amp;IF('01_Warehouse_Ledger'!$B$148&lt;&gt;""," | "&amp;'01_Warehouse_Ledger'!$B$148,""))</f>
        <v/>
      </c>
      <c r="C652">
        <f>IF('01_Warehouse_Ledger'!$A$148="","",'01_Warehouse_Ledger'!$A$148)</f>
        <v/>
      </c>
      <c r="D652" t="inlineStr">
        <is>
          <t>SCAN / FIND (Pallet → Location → Prism Node)</t>
        </is>
      </c>
    </row>
    <row r="653">
      <c r="A653" t="inlineStr">
        <is>
          <t>Pallet tag (stick on pallet).</t>
        </is>
      </c>
      <c r="B653">
        <f>IF('01_Warehouse_Ledger'!$A$149="","",'01_Warehouse_Ledger'!$A$149&amp;IF('01_Warehouse_Ledger'!$B$149&lt;&gt;""," | "&amp;'01_Warehouse_Ledger'!$B$149,""))</f>
        <v/>
      </c>
      <c r="C653">
        <f>IF('01_Warehouse_Ledger'!$A$149="","",'01_Warehouse_Ledger'!$A$149)</f>
        <v/>
      </c>
      <c r="D653" t="inlineStr">
        <is>
          <t>SCAN / FIND (Pallet → Location → Prism Node)</t>
        </is>
      </c>
    </row>
    <row r="654">
      <c r="A654" t="inlineStr">
        <is>
          <t>Pallet tag (stick on pallet).</t>
        </is>
      </c>
      <c r="B654">
        <f>IF('01_Warehouse_Ledger'!$A$150="","",'01_Warehouse_Ledger'!$A$150&amp;IF('01_Warehouse_Ledger'!$B$150&lt;&gt;""," | "&amp;'01_Warehouse_Ledger'!$B$150,""))</f>
        <v/>
      </c>
      <c r="C654">
        <f>IF('01_Warehouse_Ledger'!$A$150="","",'01_Warehouse_Ledger'!$A$150)</f>
        <v/>
      </c>
      <c r="D654" t="inlineStr">
        <is>
          <t>SCAN / FIND (Pallet → Location → Prism Node)</t>
        </is>
      </c>
    </row>
    <row r="655">
      <c r="A655" t="inlineStr">
        <is>
          <t>Pallet tag (stick on pallet).</t>
        </is>
      </c>
      <c r="B655">
        <f>IF('01_Warehouse_Ledger'!$A$151="","",'01_Warehouse_Ledger'!$A$151&amp;IF('01_Warehouse_Ledger'!$B$151&lt;&gt;""," | "&amp;'01_Warehouse_Ledger'!$B$151,""))</f>
        <v/>
      </c>
      <c r="C655">
        <f>IF('01_Warehouse_Ledger'!$A$151="","",'01_Warehouse_Ledger'!$A$151)</f>
        <v/>
      </c>
      <c r="D655" t="inlineStr">
        <is>
          <t>SCAN / FIND (Pallet → Location → Prism Node)</t>
        </is>
      </c>
    </row>
    <row r="656">
      <c r="A656" t="inlineStr">
        <is>
          <t>Pallet tag (stick on pallet).</t>
        </is>
      </c>
      <c r="B656">
        <f>IF('01_Warehouse_Ledger'!$A$152="","",'01_Warehouse_Ledger'!$A$152&amp;IF('01_Warehouse_Ledger'!$B$152&lt;&gt;""," | "&amp;'01_Warehouse_Ledger'!$B$152,""))</f>
        <v/>
      </c>
      <c r="C656">
        <f>IF('01_Warehouse_Ledger'!$A$152="","",'01_Warehouse_Ledger'!$A$152)</f>
        <v/>
      </c>
      <c r="D656" t="inlineStr">
        <is>
          <t>SCAN / FIND (Pallet → Location → Prism Node)</t>
        </is>
      </c>
    </row>
    <row r="657">
      <c r="A657" t="inlineStr">
        <is>
          <t>Pallet tag (stick on pallet).</t>
        </is>
      </c>
      <c r="B657">
        <f>IF('01_Warehouse_Ledger'!$A$153="","",'01_Warehouse_Ledger'!$A$153&amp;IF('01_Warehouse_Ledger'!$B$153&lt;&gt;""," | "&amp;'01_Warehouse_Ledger'!$B$153,""))</f>
        <v/>
      </c>
      <c r="C657">
        <f>IF('01_Warehouse_Ledger'!$A$153="","",'01_Warehouse_Ledger'!$A$153)</f>
        <v/>
      </c>
      <c r="D657" t="inlineStr">
        <is>
          <t>SCAN / FIND (Pallet → Location → Prism Node)</t>
        </is>
      </c>
    </row>
    <row r="658">
      <c r="A658" t="inlineStr">
        <is>
          <t>Pallet tag (stick on pallet).</t>
        </is>
      </c>
      <c r="B658">
        <f>IF('01_Warehouse_Ledger'!$A$154="","",'01_Warehouse_Ledger'!$A$154&amp;IF('01_Warehouse_Ledger'!$B$154&lt;&gt;""," | "&amp;'01_Warehouse_Ledger'!$B$154,""))</f>
        <v/>
      </c>
      <c r="C658">
        <f>IF('01_Warehouse_Ledger'!$A$154="","",'01_Warehouse_Ledger'!$A$154)</f>
        <v/>
      </c>
      <c r="D658" t="inlineStr">
        <is>
          <t>SCAN / FIND (Pallet → Location → Prism Node)</t>
        </is>
      </c>
    </row>
    <row r="659">
      <c r="A659" t="inlineStr">
        <is>
          <t>Pallet tag (stick on pallet).</t>
        </is>
      </c>
      <c r="B659">
        <f>IF('01_Warehouse_Ledger'!$A$155="","",'01_Warehouse_Ledger'!$A$155&amp;IF('01_Warehouse_Ledger'!$B$155&lt;&gt;""," | "&amp;'01_Warehouse_Ledger'!$B$155,""))</f>
        <v/>
      </c>
      <c r="C659">
        <f>IF('01_Warehouse_Ledger'!$A$155="","",'01_Warehouse_Ledger'!$A$155)</f>
        <v/>
      </c>
      <c r="D659" t="inlineStr">
        <is>
          <t>SCAN / FIND (Pallet → Location → Prism Node)</t>
        </is>
      </c>
    </row>
    <row r="660">
      <c r="A660" t="inlineStr">
        <is>
          <t>Pallet tag (stick on pallet).</t>
        </is>
      </c>
      <c r="B660">
        <f>IF('01_Warehouse_Ledger'!$A$156="","",'01_Warehouse_Ledger'!$A$156&amp;IF('01_Warehouse_Ledger'!$B$156&lt;&gt;""," | "&amp;'01_Warehouse_Ledger'!$B$156,""))</f>
        <v/>
      </c>
      <c r="C660">
        <f>IF('01_Warehouse_Ledger'!$A$156="","",'01_Warehouse_Ledger'!$A$156)</f>
        <v/>
      </c>
      <c r="D660" t="inlineStr">
        <is>
          <t>SCAN / FIND (Pallet → Location → Prism Node)</t>
        </is>
      </c>
    </row>
    <row r="661">
      <c r="A661" t="inlineStr">
        <is>
          <t>Pallet tag (stick on pallet).</t>
        </is>
      </c>
      <c r="B661">
        <f>IF('01_Warehouse_Ledger'!$A$157="","",'01_Warehouse_Ledger'!$A$157&amp;IF('01_Warehouse_Ledger'!$B$157&lt;&gt;""," | "&amp;'01_Warehouse_Ledger'!$B$157,""))</f>
        <v/>
      </c>
      <c r="C661">
        <f>IF('01_Warehouse_Ledger'!$A$157="","",'01_Warehouse_Ledger'!$A$157)</f>
        <v/>
      </c>
      <c r="D661" t="inlineStr">
        <is>
          <t>SCAN / FIND (Pallet → Location → Prism Node)</t>
        </is>
      </c>
    </row>
    <row r="662">
      <c r="A662" t="inlineStr">
        <is>
          <t>Pallet tag (stick on pallet).</t>
        </is>
      </c>
      <c r="B662">
        <f>IF('01_Warehouse_Ledger'!$A$158="","",'01_Warehouse_Ledger'!$A$158&amp;IF('01_Warehouse_Ledger'!$B$158&lt;&gt;""," | "&amp;'01_Warehouse_Ledger'!$B$158,""))</f>
        <v/>
      </c>
      <c r="C662">
        <f>IF('01_Warehouse_Ledger'!$A$158="","",'01_Warehouse_Ledger'!$A$158)</f>
        <v/>
      </c>
      <c r="D662" t="inlineStr">
        <is>
          <t>SCAN / FIND (Pallet → Location → Prism Node)</t>
        </is>
      </c>
    </row>
    <row r="663">
      <c r="A663" t="inlineStr">
        <is>
          <t>Pallet tag (stick on pallet).</t>
        </is>
      </c>
      <c r="B663">
        <f>IF('01_Warehouse_Ledger'!$A$159="","",'01_Warehouse_Ledger'!$A$159&amp;IF('01_Warehouse_Ledger'!$B$159&lt;&gt;""," | "&amp;'01_Warehouse_Ledger'!$B$159,""))</f>
        <v/>
      </c>
      <c r="C663">
        <f>IF('01_Warehouse_Ledger'!$A$159="","",'01_Warehouse_Ledger'!$A$159)</f>
        <v/>
      </c>
      <c r="D663" t="inlineStr">
        <is>
          <t>SCAN / FIND (Pallet → Location → Prism Node)</t>
        </is>
      </c>
    </row>
    <row r="664">
      <c r="A664" t="inlineStr">
        <is>
          <t>Pallet tag (stick on pallet).</t>
        </is>
      </c>
      <c r="B664">
        <f>IF('01_Warehouse_Ledger'!$A$160="","",'01_Warehouse_Ledger'!$A$160&amp;IF('01_Warehouse_Ledger'!$B$160&lt;&gt;""," | "&amp;'01_Warehouse_Ledger'!$B$160,""))</f>
        <v/>
      </c>
      <c r="C664">
        <f>IF('01_Warehouse_Ledger'!$A$160="","",'01_Warehouse_Ledger'!$A$160)</f>
        <v/>
      </c>
      <c r="D664" t="inlineStr">
        <is>
          <t>SCAN / FIND (Pallet → Location → Prism Node)</t>
        </is>
      </c>
    </row>
    <row r="665">
      <c r="A665" t="inlineStr">
        <is>
          <t>Pallet tag (stick on pallet).</t>
        </is>
      </c>
      <c r="B665">
        <f>IF('01_Warehouse_Ledger'!$A$161="","",'01_Warehouse_Ledger'!$A$161&amp;IF('01_Warehouse_Ledger'!$B$161&lt;&gt;""," | "&amp;'01_Warehouse_Ledger'!$B$161,""))</f>
        <v/>
      </c>
      <c r="C665">
        <f>IF('01_Warehouse_Ledger'!$A$161="","",'01_Warehouse_Ledger'!$A$161)</f>
        <v/>
      </c>
      <c r="D665" t="inlineStr">
        <is>
          <t>SCAN / FIND (Pallet → Location → Prism Node)</t>
        </is>
      </c>
    </row>
    <row r="666">
      <c r="A666" t="inlineStr">
        <is>
          <t>Pallet tag (stick on pallet).</t>
        </is>
      </c>
      <c r="B666">
        <f>IF('01_Warehouse_Ledger'!$A$162="","",'01_Warehouse_Ledger'!$A$162&amp;IF('01_Warehouse_Ledger'!$B$162&lt;&gt;""," | "&amp;'01_Warehouse_Ledger'!$B$162,""))</f>
        <v/>
      </c>
      <c r="C666">
        <f>IF('01_Warehouse_Ledger'!$A$162="","",'01_Warehouse_Ledger'!$A$162)</f>
        <v/>
      </c>
      <c r="D666" t="inlineStr">
        <is>
          <t>SCAN / FIND (Pallet → Location → Prism Node)</t>
        </is>
      </c>
    </row>
    <row r="667">
      <c r="A667" t="inlineStr">
        <is>
          <t>Pallet tag (stick on pallet).</t>
        </is>
      </c>
      <c r="B667">
        <f>IF('01_Warehouse_Ledger'!$A$163="","",'01_Warehouse_Ledger'!$A$163&amp;IF('01_Warehouse_Ledger'!$B$163&lt;&gt;""," | "&amp;'01_Warehouse_Ledger'!$B$163,""))</f>
        <v/>
      </c>
      <c r="C667">
        <f>IF('01_Warehouse_Ledger'!$A$163="","",'01_Warehouse_Ledger'!$A$163)</f>
        <v/>
      </c>
      <c r="D667" t="inlineStr">
        <is>
          <t>SCAN / FIND (Pallet → Location → Prism Node)</t>
        </is>
      </c>
    </row>
    <row r="668">
      <c r="A668" t="inlineStr">
        <is>
          <t>Pallet tag (stick on pallet).</t>
        </is>
      </c>
      <c r="B668">
        <f>IF('01_Warehouse_Ledger'!$A$164="","",'01_Warehouse_Ledger'!$A$164&amp;IF('01_Warehouse_Ledger'!$B$164&lt;&gt;""," | "&amp;'01_Warehouse_Ledger'!$B$164,""))</f>
        <v/>
      </c>
      <c r="C668">
        <f>IF('01_Warehouse_Ledger'!$A$164="","",'01_Warehouse_Ledger'!$A$164)</f>
        <v/>
      </c>
      <c r="D668" t="inlineStr">
        <is>
          <t>SCAN / FIND (Pallet → Location → Prism Node)</t>
        </is>
      </c>
    </row>
    <row r="669">
      <c r="A669" t="inlineStr">
        <is>
          <t>Pallet tag (stick on pallet).</t>
        </is>
      </c>
      <c r="B669">
        <f>IF('01_Warehouse_Ledger'!$A$165="","",'01_Warehouse_Ledger'!$A$165&amp;IF('01_Warehouse_Ledger'!$B$165&lt;&gt;""," | "&amp;'01_Warehouse_Ledger'!$B$165,""))</f>
        <v/>
      </c>
      <c r="C669">
        <f>IF('01_Warehouse_Ledger'!$A$165="","",'01_Warehouse_Ledger'!$A$165)</f>
        <v/>
      </c>
      <c r="D669" t="inlineStr">
        <is>
          <t>SCAN / FIND (Pallet → Location → Prism Node)</t>
        </is>
      </c>
    </row>
    <row r="670">
      <c r="A670" t="inlineStr">
        <is>
          <t>Pallet tag (stick on pallet).</t>
        </is>
      </c>
      <c r="B670">
        <f>IF('01_Warehouse_Ledger'!$A$166="","",'01_Warehouse_Ledger'!$A$166&amp;IF('01_Warehouse_Ledger'!$B$166&lt;&gt;""," | "&amp;'01_Warehouse_Ledger'!$B$166,""))</f>
        <v/>
      </c>
      <c r="C670">
        <f>IF('01_Warehouse_Ledger'!$A$166="","",'01_Warehouse_Ledger'!$A$166)</f>
        <v/>
      </c>
      <c r="D670" t="inlineStr">
        <is>
          <t>SCAN / FIND (Pallet → Location → Prism Node)</t>
        </is>
      </c>
    </row>
    <row r="671">
      <c r="A671" t="inlineStr">
        <is>
          <t>Pallet tag (stick on pallet).</t>
        </is>
      </c>
      <c r="B671">
        <f>IF('01_Warehouse_Ledger'!$A$167="","",'01_Warehouse_Ledger'!$A$167&amp;IF('01_Warehouse_Ledger'!$B$167&lt;&gt;""," | "&amp;'01_Warehouse_Ledger'!$B$167,""))</f>
        <v/>
      </c>
      <c r="C671">
        <f>IF('01_Warehouse_Ledger'!$A$167="","",'01_Warehouse_Ledger'!$A$167)</f>
        <v/>
      </c>
      <c r="D671" t="inlineStr">
        <is>
          <t>SCAN / FIND (Pallet → Location → Prism Node)</t>
        </is>
      </c>
    </row>
    <row r="672">
      <c r="A672" t="inlineStr">
        <is>
          <t>Pallet tag (stick on pallet).</t>
        </is>
      </c>
      <c r="B672">
        <f>IF('01_Warehouse_Ledger'!$A$168="","",'01_Warehouse_Ledger'!$A$168&amp;IF('01_Warehouse_Ledger'!$B$168&lt;&gt;""," | "&amp;'01_Warehouse_Ledger'!$B$168,""))</f>
        <v/>
      </c>
      <c r="C672">
        <f>IF('01_Warehouse_Ledger'!$A$168="","",'01_Warehouse_Ledger'!$A$168)</f>
        <v/>
      </c>
      <c r="D672" t="inlineStr">
        <is>
          <t>SCAN / FIND (Pallet → Location → Prism Node)</t>
        </is>
      </c>
    </row>
    <row r="673">
      <c r="A673" t="inlineStr">
        <is>
          <t>Pallet tag (stick on pallet).</t>
        </is>
      </c>
      <c r="B673">
        <f>IF('01_Warehouse_Ledger'!$A$169="","",'01_Warehouse_Ledger'!$A$169&amp;IF('01_Warehouse_Ledger'!$B$169&lt;&gt;""," | "&amp;'01_Warehouse_Ledger'!$B$169,""))</f>
        <v/>
      </c>
      <c r="C673">
        <f>IF('01_Warehouse_Ledger'!$A$169="","",'01_Warehouse_Ledger'!$A$169)</f>
        <v/>
      </c>
      <c r="D673" t="inlineStr">
        <is>
          <t>SCAN / FIND (Pallet → Location → Prism Node)</t>
        </is>
      </c>
    </row>
    <row r="674">
      <c r="A674" t="inlineStr">
        <is>
          <t>Pallet tag (stick on pallet).</t>
        </is>
      </c>
      <c r="B674">
        <f>IF('01_Warehouse_Ledger'!$A$170="","",'01_Warehouse_Ledger'!$A$170&amp;IF('01_Warehouse_Ledger'!$B$170&lt;&gt;""," | "&amp;'01_Warehouse_Ledger'!$B$170,""))</f>
        <v/>
      </c>
      <c r="C674">
        <f>IF('01_Warehouse_Ledger'!$A$170="","",'01_Warehouse_Ledger'!$A$170)</f>
        <v/>
      </c>
      <c r="D674" t="inlineStr">
        <is>
          <t>SCAN / FIND (Pallet → Location → Prism Node)</t>
        </is>
      </c>
    </row>
    <row r="675">
      <c r="A675" t="inlineStr">
        <is>
          <t>Pallet tag (stick on pallet).</t>
        </is>
      </c>
      <c r="B675">
        <f>IF('01_Warehouse_Ledger'!$A$171="","",'01_Warehouse_Ledger'!$A$171&amp;IF('01_Warehouse_Ledger'!$B$171&lt;&gt;""," | "&amp;'01_Warehouse_Ledger'!$B$171,""))</f>
        <v/>
      </c>
      <c r="C675">
        <f>IF('01_Warehouse_Ledger'!$A$171="","",'01_Warehouse_Ledger'!$A$171)</f>
        <v/>
      </c>
      <c r="D675" t="inlineStr">
        <is>
          <t>SCAN / FIND (Pallet → Location → Prism Node)</t>
        </is>
      </c>
    </row>
    <row r="676">
      <c r="A676" t="inlineStr">
        <is>
          <t>Pallet tag (stick on pallet).</t>
        </is>
      </c>
      <c r="B676">
        <f>IF('01_Warehouse_Ledger'!$A$172="","",'01_Warehouse_Ledger'!$A$172&amp;IF('01_Warehouse_Ledger'!$B$172&lt;&gt;""," | "&amp;'01_Warehouse_Ledger'!$B$172,""))</f>
        <v/>
      </c>
      <c r="C676">
        <f>IF('01_Warehouse_Ledger'!$A$172="","",'01_Warehouse_Ledger'!$A$172)</f>
        <v/>
      </c>
      <c r="D676" t="inlineStr">
        <is>
          <t>SCAN / FIND (Pallet → Location → Prism Node)</t>
        </is>
      </c>
    </row>
    <row r="677">
      <c r="A677" t="inlineStr">
        <is>
          <t>Pallet tag (stick on pallet).</t>
        </is>
      </c>
      <c r="B677">
        <f>IF('01_Warehouse_Ledger'!$A$173="","",'01_Warehouse_Ledger'!$A$173&amp;IF('01_Warehouse_Ledger'!$B$173&lt;&gt;""," | "&amp;'01_Warehouse_Ledger'!$B$173,""))</f>
        <v/>
      </c>
      <c r="C677">
        <f>IF('01_Warehouse_Ledger'!$A$173="","",'01_Warehouse_Ledger'!$A$173)</f>
        <v/>
      </c>
      <c r="D677" t="inlineStr">
        <is>
          <t>SCAN / FIND (Pallet → Location → Prism Node)</t>
        </is>
      </c>
    </row>
    <row r="678">
      <c r="A678" t="inlineStr">
        <is>
          <t>Pallet tag (stick on pallet).</t>
        </is>
      </c>
      <c r="B678">
        <f>IF('01_Warehouse_Ledger'!$A$174="","",'01_Warehouse_Ledger'!$A$174&amp;IF('01_Warehouse_Ledger'!$B$174&lt;&gt;""," | "&amp;'01_Warehouse_Ledger'!$B$174,""))</f>
        <v/>
      </c>
      <c r="C678">
        <f>IF('01_Warehouse_Ledger'!$A$174="","",'01_Warehouse_Ledger'!$A$174)</f>
        <v/>
      </c>
      <c r="D678" t="inlineStr">
        <is>
          <t>SCAN / FIND (Pallet → Location → Prism Node)</t>
        </is>
      </c>
    </row>
    <row r="679">
      <c r="A679" t="inlineStr">
        <is>
          <t>Pallet tag (stick on pallet).</t>
        </is>
      </c>
      <c r="B679">
        <f>IF('01_Warehouse_Ledger'!$A$175="","",'01_Warehouse_Ledger'!$A$175&amp;IF('01_Warehouse_Ledger'!$B$175&lt;&gt;""," | "&amp;'01_Warehouse_Ledger'!$B$175,""))</f>
        <v/>
      </c>
      <c r="C679">
        <f>IF('01_Warehouse_Ledger'!$A$175="","",'01_Warehouse_Ledger'!$A$175)</f>
        <v/>
      </c>
      <c r="D679" t="inlineStr">
        <is>
          <t>SCAN / FIND (Pallet → Location → Prism Node)</t>
        </is>
      </c>
    </row>
    <row r="680">
      <c r="A680" t="inlineStr">
        <is>
          <t>Pallet tag (stick on pallet).</t>
        </is>
      </c>
      <c r="B680">
        <f>IF('01_Warehouse_Ledger'!$A$176="","",'01_Warehouse_Ledger'!$A$176&amp;IF('01_Warehouse_Ledger'!$B$176&lt;&gt;""," | "&amp;'01_Warehouse_Ledger'!$B$176,""))</f>
        <v/>
      </c>
      <c r="C680">
        <f>IF('01_Warehouse_Ledger'!$A$176="","",'01_Warehouse_Ledger'!$A$176)</f>
        <v/>
      </c>
      <c r="D680" t="inlineStr">
        <is>
          <t>SCAN / FIND (Pallet → Location → Prism Node)</t>
        </is>
      </c>
    </row>
    <row r="681">
      <c r="A681" t="inlineStr">
        <is>
          <t>Pallet tag (stick on pallet).</t>
        </is>
      </c>
      <c r="B681">
        <f>IF('01_Warehouse_Ledger'!$A$177="","",'01_Warehouse_Ledger'!$A$177&amp;IF('01_Warehouse_Ledger'!$B$177&lt;&gt;""," | "&amp;'01_Warehouse_Ledger'!$B$177,""))</f>
        <v/>
      </c>
      <c r="C681">
        <f>IF('01_Warehouse_Ledger'!$A$177="","",'01_Warehouse_Ledger'!$A$177)</f>
        <v/>
      </c>
      <c r="D681" t="inlineStr">
        <is>
          <t>SCAN / FIND (Pallet → Location → Prism Node)</t>
        </is>
      </c>
    </row>
    <row r="682">
      <c r="A682" t="inlineStr">
        <is>
          <t>Pallet tag (stick on pallet).</t>
        </is>
      </c>
      <c r="B682">
        <f>IF('01_Warehouse_Ledger'!$A$178="","",'01_Warehouse_Ledger'!$A$178&amp;IF('01_Warehouse_Ledger'!$B$178&lt;&gt;""," | "&amp;'01_Warehouse_Ledger'!$B$178,""))</f>
        <v/>
      </c>
      <c r="C682">
        <f>IF('01_Warehouse_Ledger'!$A$178="","",'01_Warehouse_Ledger'!$A$178)</f>
        <v/>
      </c>
      <c r="D682" t="inlineStr">
        <is>
          <t>SCAN / FIND (Pallet → Location → Prism Node)</t>
        </is>
      </c>
    </row>
    <row r="683">
      <c r="A683" t="inlineStr">
        <is>
          <t>Pallet tag (stick on pallet).</t>
        </is>
      </c>
      <c r="B683">
        <f>IF('01_Warehouse_Ledger'!$A$179="","",'01_Warehouse_Ledger'!$A$179&amp;IF('01_Warehouse_Ledger'!$B$179&lt;&gt;""," | "&amp;'01_Warehouse_Ledger'!$B$179,""))</f>
        <v/>
      </c>
      <c r="C683">
        <f>IF('01_Warehouse_Ledger'!$A$179="","",'01_Warehouse_Ledger'!$A$179)</f>
        <v/>
      </c>
      <c r="D683" t="inlineStr">
        <is>
          <t>SCAN / FIND (Pallet → Location → Prism Node)</t>
        </is>
      </c>
    </row>
    <row r="684">
      <c r="A684" t="inlineStr">
        <is>
          <t>Pallet tag (stick on pallet).</t>
        </is>
      </c>
      <c r="B684">
        <f>IF('01_Warehouse_Ledger'!$A$180="","",'01_Warehouse_Ledger'!$A$180&amp;IF('01_Warehouse_Ledger'!$B$180&lt;&gt;""," | "&amp;'01_Warehouse_Ledger'!$B$180,""))</f>
        <v/>
      </c>
      <c r="C684">
        <f>IF('01_Warehouse_Ledger'!$A$180="","",'01_Warehouse_Ledger'!$A$180)</f>
        <v/>
      </c>
      <c r="D684" t="inlineStr">
        <is>
          <t>SCAN / FIND (Pallet → Location → Prism Node)</t>
        </is>
      </c>
    </row>
    <row r="685">
      <c r="A685" t="inlineStr">
        <is>
          <t>Pallet tag (stick on pallet).</t>
        </is>
      </c>
      <c r="B685">
        <f>IF('01_Warehouse_Ledger'!$A$181="","",'01_Warehouse_Ledger'!$A$181&amp;IF('01_Warehouse_Ledger'!$B$181&lt;&gt;""," | "&amp;'01_Warehouse_Ledger'!$B$181,""))</f>
        <v/>
      </c>
      <c r="C685">
        <f>IF('01_Warehouse_Ledger'!$A$181="","",'01_Warehouse_Ledger'!$A$181)</f>
        <v/>
      </c>
      <c r="D685" t="inlineStr">
        <is>
          <t>SCAN / FIND (Pallet → Location → Prism Node)</t>
        </is>
      </c>
    </row>
    <row r="686">
      <c r="A686" t="inlineStr">
        <is>
          <t>Pallet tag (stick on pallet).</t>
        </is>
      </c>
      <c r="B686">
        <f>IF('01_Warehouse_Ledger'!$A$182="","",'01_Warehouse_Ledger'!$A$182&amp;IF('01_Warehouse_Ledger'!$B$182&lt;&gt;""," | "&amp;'01_Warehouse_Ledger'!$B$182,""))</f>
        <v/>
      </c>
      <c r="C686">
        <f>IF('01_Warehouse_Ledger'!$A$182="","",'01_Warehouse_Ledger'!$A$182)</f>
        <v/>
      </c>
      <c r="D686" t="inlineStr">
        <is>
          <t>SCAN / FIND (Pallet → Location → Prism Node)</t>
        </is>
      </c>
    </row>
    <row r="687">
      <c r="A687" t="inlineStr">
        <is>
          <t>Pallet tag (stick on pallet).</t>
        </is>
      </c>
      <c r="B687">
        <f>IF('01_Warehouse_Ledger'!$A$183="","",'01_Warehouse_Ledger'!$A$183&amp;IF('01_Warehouse_Ledger'!$B$183&lt;&gt;""," | "&amp;'01_Warehouse_Ledger'!$B$183,""))</f>
        <v/>
      </c>
      <c r="C687">
        <f>IF('01_Warehouse_Ledger'!$A$183="","",'01_Warehouse_Ledger'!$A$183)</f>
        <v/>
      </c>
      <c r="D687" t="inlineStr">
        <is>
          <t>SCAN / FIND (Pallet → Location → Prism Node)</t>
        </is>
      </c>
    </row>
    <row r="688">
      <c r="A688" t="inlineStr">
        <is>
          <t>Pallet tag (stick on pallet).</t>
        </is>
      </c>
      <c r="B688">
        <f>IF('01_Warehouse_Ledger'!$A$184="","",'01_Warehouse_Ledger'!$A$184&amp;IF('01_Warehouse_Ledger'!$B$184&lt;&gt;""," | "&amp;'01_Warehouse_Ledger'!$B$184,""))</f>
        <v/>
      </c>
      <c r="C688">
        <f>IF('01_Warehouse_Ledger'!$A$184="","",'01_Warehouse_Ledger'!$A$184)</f>
        <v/>
      </c>
      <c r="D688" t="inlineStr">
        <is>
          <t>SCAN / FIND (Pallet → Location → Prism Node)</t>
        </is>
      </c>
    </row>
    <row r="689">
      <c r="A689" t="inlineStr">
        <is>
          <t>Pallet tag (stick on pallet).</t>
        </is>
      </c>
      <c r="B689">
        <f>IF('01_Warehouse_Ledger'!$A$185="","",'01_Warehouse_Ledger'!$A$185&amp;IF('01_Warehouse_Ledger'!$B$185&lt;&gt;""," | "&amp;'01_Warehouse_Ledger'!$B$185,""))</f>
        <v/>
      </c>
      <c r="C689">
        <f>IF('01_Warehouse_Ledger'!$A$185="","",'01_Warehouse_Ledger'!$A$185)</f>
        <v/>
      </c>
      <c r="D689" t="inlineStr">
        <is>
          <t>SCAN / FIND (Pallet → Location → Prism Node)</t>
        </is>
      </c>
    </row>
    <row r="690">
      <c r="A690" t="inlineStr">
        <is>
          <t>Pallet tag (stick on pallet).</t>
        </is>
      </c>
      <c r="B690">
        <f>IF('01_Warehouse_Ledger'!$A$186="","",'01_Warehouse_Ledger'!$A$186&amp;IF('01_Warehouse_Ledger'!$B$186&lt;&gt;""," | "&amp;'01_Warehouse_Ledger'!$B$186,""))</f>
        <v/>
      </c>
      <c r="C690">
        <f>IF('01_Warehouse_Ledger'!$A$186="","",'01_Warehouse_Ledger'!$A$186)</f>
        <v/>
      </c>
      <c r="D690" t="inlineStr">
        <is>
          <t>SCAN / FIND (Pallet → Location → Prism Node)</t>
        </is>
      </c>
    </row>
    <row r="691">
      <c r="A691" t="inlineStr">
        <is>
          <t>Pallet tag (stick on pallet).</t>
        </is>
      </c>
      <c r="B691">
        <f>IF('01_Warehouse_Ledger'!$A$187="","",'01_Warehouse_Ledger'!$A$187&amp;IF('01_Warehouse_Ledger'!$B$187&lt;&gt;""," | "&amp;'01_Warehouse_Ledger'!$B$187,""))</f>
        <v/>
      </c>
      <c r="C691">
        <f>IF('01_Warehouse_Ledger'!$A$187="","",'01_Warehouse_Ledger'!$A$187)</f>
        <v/>
      </c>
      <c r="D691" t="inlineStr">
        <is>
          <t>SCAN / FIND (Pallet → Location → Prism Node)</t>
        </is>
      </c>
    </row>
    <row r="692">
      <c r="A692" t="inlineStr">
        <is>
          <t>Pallet tag (stick on pallet).</t>
        </is>
      </c>
      <c r="B692">
        <f>IF('01_Warehouse_Ledger'!$A$188="","",'01_Warehouse_Ledger'!$A$188&amp;IF('01_Warehouse_Ledger'!$B$188&lt;&gt;""," | "&amp;'01_Warehouse_Ledger'!$B$188,""))</f>
        <v/>
      </c>
      <c r="C692">
        <f>IF('01_Warehouse_Ledger'!$A$188="","",'01_Warehouse_Ledger'!$A$188)</f>
        <v/>
      </c>
      <c r="D692" t="inlineStr">
        <is>
          <t>SCAN / FIND (Pallet → Location → Prism Node)</t>
        </is>
      </c>
    </row>
    <row r="693">
      <c r="A693" t="inlineStr">
        <is>
          <t>Pallet tag (stick on pallet).</t>
        </is>
      </c>
      <c r="B693">
        <f>IF('01_Warehouse_Ledger'!$A$189="","",'01_Warehouse_Ledger'!$A$189&amp;IF('01_Warehouse_Ledger'!$B$189&lt;&gt;""," | "&amp;'01_Warehouse_Ledger'!$B$189,""))</f>
        <v/>
      </c>
      <c r="C693">
        <f>IF('01_Warehouse_Ledger'!$A$189="","",'01_Warehouse_Ledger'!$A$189)</f>
        <v/>
      </c>
      <c r="D693" t="inlineStr">
        <is>
          <t>SCAN / FIND (Pallet → Location → Prism Node)</t>
        </is>
      </c>
    </row>
    <row r="694">
      <c r="A694" t="inlineStr">
        <is>
          <t>Pallet tag (stick on pallet).</t>
        </is>
      </c>
      <c r="B694">
        <f>IF('01_Warehouse_Ledger'!$A$190="","",'01_Warehouse_Ledger'!$A$190&amp;IF('01_Warehouse_Ledger'!$B$190&lt;&gt;""," | "&amp;'01_Warehouse_Ledger'!$B$190,""))</f>
        <v/>
      </c>
      <c r="C694">
        <f>IF('01_Warehouse_Ledger'!$A$190="","",'01_Warehouse_Ledger'!$A$190)</f>
        <v/>
      </c>
      <c r="D694" t="inlineStr">
        <is>
          <t>SCAN / FIND (Pallet → Location → Prism Node)</t>
        </is>
      </c>
    </row>
    <row r="695">
      <c r="A695" t="inlineStr">
        <is>
          <t>Pallet tag (stick on pallet).</t>
        </is>
      </c>
      <c r="B695">
        <f>IF('01_Warehouse_Ledger'!$A$191="","",'01_Warehouse_Ledger'!$A$191&amp;IF('01_Warehouse_Ledger'!$B$191&lt;&gt;""," | "&amp;'01_Warehouse_Ledger'!$B$191,""))</f>
        <v/>
      </c>
      <c r="C695">
        <f>IF('01_Warehouse_Ledger'!$A$191="","",'01_Warehouse_Ledger'!$A$191)</f>
        <v/>
      </c>
      <c r="D695" t="inlineStr">
        <is>
          <t>SCAN / FIND (Pallet → Location → Prism Node)</t>
        </is>
      </c>
    </row>
    <row r="696">
      <c r="A696" t="inlineStr">
        <is>
          <t>Pallet tag (stick on pallet).</t>
        </is>
      </c>
      <c r="B696">
        <f>IF('01_Warehouse_Ledger'!$A$192="","",'01_Warehouse_Ledger'!$A$192&amp;IF('01_Warehouse_Ledger'!$B$192&lt;&gt;""," | "&amp;'01_Warehouse_Ledger'!$B$192,""))</f>
        <v/>
      </c>
      <c r="C696">
        <f>IF('01_Warehouse_Ledger'!$A$192="","",'01_Warehouse_Ledger'!$A$192)</f>
        <v/>
      </c>
      <c r="D696" t="inlineStr">
        <is>
          <t>SCAN / FIND (Pallet → Location → Prism Node)</t>
        </is>
      </c>
    </row>
    <row r="697">
      <c r="A697" t="inlineStr">
        <is>
          <t>Pallet tag (stick on pallet).</t>
        </is>
      </c>
      <c r="B697">
        <f>IF('01_Warehouse_Ledger'!$A$193="","",'01_Warehouse_Ledger'!$A$193&amp;IF('01_Warehouse_Ledger'!$B$193&lt;&gt;""," | "&amp;'01_Warehouse_Ledger'!$B$193,""))</f>
        <v/>
      </c>
      <c r="C697">
        <f>IF('01_Warehouse_Ledger'!$A$193="","",'01_Warehouse_Ledger'!$A$193)</f>
        <v/>
      </c>
      <c r="D697" t="inlineStr">
        <is>
          <t>SCAN / FIND (Pallet → Location → Prism Node)</t>
        </is>
      </c>
    </row>
    <row r="698">
      <c r="A698" t="inlineStr">
        <is>
          <t>Pallet tag (stick on pallet).</t>
        </is>
      </c>
      <c r="B698">
        <f>IF('01_Warehouse_Ledger'!$A$194="","",'01_Warehouse_Ledger'!$A$194&amp;IF('01_Warehouse_Ledger'!$B$194&lt;&gt;""," | "&amp;'01_Warehouse_Ledger'!$B$194,""))</f>
        <v/>
      </c>
      <c r="C698">
        <f>IF('01_Warehouse_Ledger'!$A$194="","",'01_Warehouse_Ledger'!$A$194)</f>
        <v/>
      </c>
      <c r="D698" t="inlineStr">
        <is>
          <t>SCAN / FIND (Pallet → Location → Prism Node)</t>
        </is>
      </c>
    </row>
    <row r="699">
      <c r="A699" t="inlineStr">
        <is>
          <t>Pallet tag (stick on pallet).</t>
        </is>
      </c>
      <c r="B699">
        <f>IF('01_Warehouse_Ledger'!$A$195="","",'01_Warehouse_Ledger'!$A$195&amp;IF('01_Warehouse_Ledger'!$B$195&lt;&gt;""," | "&amp;'01_Warehouse_Ledger'!$B$195,""))</f>
        <v/>
      </c>
      <c r="C699">
        <f>IF('01_Warehouse_Ledger'!$A$195="","",'01_Warehouse_Ledger'!$A$195)</f>
        <v/>
      </c>
      <c r="D699" t="inlineStr">
        <is>
          <t>SCAN / FIND (Pallet → Location → Prism Node)</t>
        </is>
      </c>
    </row>
    <row r="700">
      <c r="A700" t="inlineStr">
        <is>
          <t>Pallet tag (stick on pallet).</t>
        </is>
      </c>
      <c r="B700">
        <f>IF('01_Warehouse_Ledger'!$A$196="","",'01_Warehouse_Ledger'!$A$196&amp;IF('01_Warehouse_Ledger'!$B$196&lt;&gt;""," | "&amp;'01_Warehouse_Ledger'!$B$196,""))</f>
        <v/>
      </c>
      <c r="C700">
        <f>IF('01_Warehouse_Ledger'!$A$196="","",'01_Warehouse_Ledger'!$A$196)</f>
        <v/>
      </c>
      <c r="D700" t="inlineStr">
        <is>
          <t>SCAN / FIND (Pallet → Location → Prism Node)</t>
        </is>
      </c>
    </row>
    <row r="701">
      <c r="A701" t="inlineStr">
        <is>
          <t>Pallet tag (stick on pallet).</t>
        </is>
      </c>
      <c r="B701">
        <f>IF('01_Warehouse_Ledger'!$A$197="","",'01_Warehouse_Ledger'!$A$197&amp;IF('01_Warehouse_Ledger'!$B$197&lt;&gt;""," | "&amp;'01_Warehouse_Ledger'!$B$197,""))</f>
        <v/>
      </c>
      <c r="C701">
        <f>IF('01_Warehouse_Ledger'!$A$197="","",'01_Warehouse_Ledger'!$A$197)</f>
        <v/>
      </c>
      <c r="D701" t="inlineStr">
        <is>
          <t>SCAN / FIND (Pallet → Location → Prism Node)</t>
        </is>
      </c>
    </row>
    <row r="702">
      <c r="A702" t="inlineStr">
        <is>
          <t>Pallet tag (stick on pallet).</t>
        </is>
      </c>
      <c r="B702">
        <f>IF('01_Warehouse_Ledger'!$A$198="","",'01_Warehouse_Ledger'!$A$198&amp;IF('01_Warehouse_Ledger'!$B$198&lt;&gt;""," | "&amp;'01_Warehouse_Ledger'!$B$198,""))</f>
        <v/>
      </c>
      <c r="C702">
        <f>IF('01_Warehouse_Ledger'!$A$198="","",'01_Warehouse_Ledger'!$A$198)</f>
        <v/>
      </c>
      <c r="D702" t="inlineStr">
        <is>
          <t>SCAN / FIND (Pallet → Location → Prism Node)</t>
        </is>
      </c>
    </row>
    <row r="703">
      <c r="A703" t="inlineStr">
        <is>
          <t>Pallet tag (stick on pallet).</t>
        </is>
      </c>
      <c r="B703">
        <f>IF('01_Warehouse_Ledger'!$A$199="","",'01_Warehouse_Ledger'!$A$199&amp;IF('01_Warehouse_Ledger'!$B$199&lt;&gt;""," | "&amp;'01_Warehouse_Ledger'!$B$199,""))</f>
        <v/>
      </c>
      <c r="C703">
        <f>IF('01_Warehouse_Ledger'!$A$199="","",'01_Warehouse_Ledger'!$A$199)</f>
        <v/>
      </c>
      <c r="D703" t="inlineStr">
        <is>
          <t>SCAN / FIND (Pallet → Location → Prism Node)</t>
        </is>
      </c>
    </row>
    <row r="704">
      <c r="A704" t="inlineStr">
        <is>
          <t>Pallet tag (stick on pallet).</t>
        </is>
      </c>
      <c r="B704">
        <f>IF('01_Warehouse_Ledger'!$A$200="","",'01_Warehouse_Ledger'!$A$200&amp;IF('01_Warehouse_Ledger'!$B$200&lt;&gt;""," | "&amp;'01_Warehouse_Ledger'!$B$200,""))</f>
        <v/>
      </c>
      <c r="C704">
        <f>IF('01_Warehouse_Ledger'!$A$200="","",'01_Warehouse_Ledger'!$A$200)</f>
        <v/>
      </c>
      <c r="D704" t="inlineStr">
        <is>
          <t>SCAN / FIND (Pallet → Location → Prism Node)</t>
        </is>
      </c>
    </row>
    <row r="705">
      <c r="A705" t="inlineStr">
        <is>
          <t>Pallet tag (stick on pallet).</t>
        </is>
      </c>
      <c r="B705">
        <f>IF('01_Warehouse_Ledger'!$A$201="","",'01_Warehouse_Ledger'!$A$201&amp;IF('01_Warehouse_Ledger'!$B$201&lt;&gt;""," | "&amp;'01_Warehouse_Ledger'!$B$201,""))</f>
        <v/>
      </c>
      <c r="C705">
        <f>IF('01_Warehouse_Ledger'!$A$201="","",'01_Warehouse_Ledger'!$A$201)</f>
        <v/>
      </c>
      <c r="D705" t="inlineStr">
        <is>
          <t>SCAN / FIND (Pallet → Location → Prism Node)</t>
        </is>
      </c>
    </row>
    <row r="706">
      <c r="A706" t="inlineStr">
        <is>
          <t>Pallet tag (stick on pallet).</t>
        </is>
      </c>
      <c r="B706">
        <f>IF('01_Warehouse_Ledger'!$A$202="","",'01_Warehouse_Ledger'!$A$202&amp;IF('01_Warehouse_Ledger'!$B$202&lt;&gt;""," | "&amp;'01_Warehouse_Ledger'!$B$202,""))</f>
        <v/>
      </c>
      <c r="C706">
        <f>IF('01_Warehouse_Ledger'!$A$202="","",'01_Warehouse_Ledger'!$A$202)</f>
        <v/>
      </c>
      <c r="D706" t="inlineStr">
        <is>
          <t>SCAN / FIND (Pallet → Location → Prism Node)</t>
        </is>
      </c>
    </row>
    <row r="707">
      <c r="A707" t="inlineStr">
        <is>
          <t>Pallet tag (stick on pallet).</t>
        </is>
      </c>
      <c r="B707">
        <f>IF('01_Warehouse_Ledger'!$A$203="","",'01_Warehouse_Ledger'!$A$203&amp;IF('01_Warehouse_Ledger'!$B$203&lt;&gt;""," | "&amp;'01_Warehouse_Ledger'!$B$203,""))</f>
        <v/>
      </c>
      <c r="C707">
        <f>IF('01_Warehouse_Ledger'!$A$203="","",'01_Warehouse_Ledger'!$A$203)</f>
        <v/>
      </c>
      <c r="D707" t="inlineStr">
        <is>
          <t>SCAN / FIND (Pallet → Location → Prism Node)</t>
        </is>
      </c>
    </row>
    <row r="708">
      <c r="A708" t="inlineStr">
        <is>
          <t>Pallet tag (stick on pallet).</t>
        </is>
      </c>
      <c r="B708">
        <f>IF('01_Warehouse_Ledger'!$A$204="","",'01_Warehouse_Ledger'!$A$204&amp;IF('01_Warehouse_Ledger'!$B$204&lt;&gt;""," | "&amp;'01_Warehouse_Ledger'!$B$204,""))</f>
        <v/>
      </c>
      <c r="C708">
        <f>IF('01_Warehouse_Ledger'!$A$204="","",'01_Warehouse_Ledger'!$A$204)</f>
        <v/>
      </c>
      <c r="D708" t="inlineStr">
        <is>
          <t>SCAN / FIND (Pallet → Location → Prism Node)</t>
        </is>
      </c>
    </row>
    <row r="709">
      <c r="A709" t="inlineStr">
        <is>
          <t>Pallet tag (stick on pallet).</t>
        </is>
      </c>
      <c r="B709">
        <f>IF('01_Warehouse_Ledger'!$A$205="","",'01_Warehouse_Ledger'!$A$205&amp;IF('01_Warehouse_Ledger'!$B$205&lt;&gt;""," | "&amp;'01_Warehouse_Ledger'!$B$205,""))</f>
        <v/>
      </c>
      <c r="C709">
        <f>IF('01_Warehouse_Ledger'!$A$205="","",'01_Warehouse_Ledger'!$A$205)</f>
        <v/>
      </c>
      <c r="D709" t="inlineStr">
        <is>
          <t>SCAN / FIND (Pallet → Location → Prism Node)</t>
        </is>
      </c>
    </row>
    <row r="710">
      <c r="A710" t="inlineStr">
        <is>
          <t>Pallet tag (stick on pallet).</t>
        </is>
      </c>
      <c r="B710">
        <f>IF('01_Warehouse_Ledger'!$A$206="","",'01_Warehouse_Ledger'!$A$206&amp;IF('01_Warehouse_Ledger'!$B$206&lt;&gt;""," | "&amp;'01_Warehouse_Ledger'!$B$206,""))</f>
        <v/>
      </c>
      <c r="C710">
        <f>IF('01_Warehouse_Ledger'!$A$206="","",'01_Warehouse_Ledger'!$A$206)</f>
        <v/>
      </c>
      <c r="D710" t="inlineStr">
        <is>
          <t>SCAN / FIND (Pallet → Location → Prism Node)</t>
        </is>
      </c>
    </row>
    <row r="711">
      <c r="A711" t="inlineStr">
        <is>
          <t>Pallet tag (stick on pallet).</t>
        </is>
      </c>
      <c r="B711">
        <f>IF('01_Warehouse_Ledger'!$A$207="","",'01_Warehouse_Ledger'!$A$207&amp;IF('01_Warehouse_Ledger'!$B$207&lt;&gt;""," | "&amp;'01_Warehouse_Ledger'!$B$207,""))</f>
        <v/>
      </c>
      <c r="C711">
        <f>IF('01_Warehouse_Ledger'!$A$207="","",'01_Warehouse_Ledger'!$A$207)</f>
        <v/>
      </c>
      <c r="D711" t="inlineStr">
        <is>
          <t>SCAN / FIND (Pallet → Location → Prism Node)</t>
        </is>
      </c>
    </row>
    <row r="712">
      <c r="A712" t="inlineStr">
        <is>
          <t>Pallet tag (stick on pallet).</t>
        </is>
      </c>
      <c r="B712">
        <f>IF('01_Warehouse_Ledger'!$A$208="","",'01_Warehouse_Ledger'!$A$208&amp;IF('01_Warehouse_Ledger'!$B$208&lt;&gt;""," | "&amp;'01_Warehouse_Ledger'!$B$208,""))</f>
        <v/>
      </c>
      <c r="C712">
        <f>IF('01_Warehouse_Ledger'!$A$208="","",'01_Warehouse_Ledger'!$A$208)</f>
        <v/>
      </c>
      <c r="D712" t="inlineStr">
        <is>
          <t>SCAN / FIND (Pallet → Location → Prism Node)</t>
        </is>
      </c>
    </row>
    <row r="713">
      <c r="A713" t="inlineStr">
        <is>
          <t>Pallet tag (stick on pallet).</t>
        </is>
      </c>
      <c r="B713">
        <f>IF('01_Warehouse_Ledger'!$A$209="","",'01_Warehouse_Ledger'!$A$209&amp;IF('01_Warehouse_Ledger'!$B$209&lt;&gt;""," | "&amp;'01_Warehouse_Ledger'!$B$209,""))</f>
        <v/>
      </c>
      <c r="C713">
        <f>IF('01_Warehouse_Ledger'!$A$209="","",'01_Warehouse_Ledger'!$A$209)</f>
        <v/>
      </c>
      <c r="D713" t="inlineStr">
        <is>
          <t>SCAN / FIND (Pallet → Location → Prism Node)</t>
        </is>
      </c>
    </row>
    <row r="714">
      <c r="A714" t="inlineStr">
        <is>
          <t>Pallet tag (stick on pallet).</t>
        </is>
      </c>
      <c r="B714">
        <f>IF('01_Warehouse_Ledger'!$A$210="","",'01_Warehouse_Ledger'!$A$210&amp;IF('01_Warehouse_Ledger'!$B$210&lt;&gt;""," | "&amp;'01_Warehouse_Ledger'!$B$210,""))</f>
        <v/>
      </c>
      <c r="C714">
        <f>IF('01_Warehouse_Ledger'!$A$210="","",'01_Warehouse_Ledger'!$A$210)</f>
        <v/>
      </c>
      <c r="D714" t="inlineStr">
        <is>
          <t>SCAN / FIND (Pallet → Location → Prism Node)</t>
        </is>
      </c>
    </row>
    <row r="715">
      <c r="A715" t="inlineStr">
        <is>
          <t>Pallet tag (stick on pallet).</t>
        </is>
      </c>
      <c r="B715">
        <f>IF('01_Warehouse_Ledger'!$A$211="","",'01_Warehouse_Ledger'!$A$211&amp;IF('01_Warehouse_Ledger'!$B$211&lt;&gt;""," | "&amp;'01_Warehouse_Ledger'!$B$211,""))</f>
        <v/>
      </c>
      <c r="C715">
        <f>IF('01_Warehouse_Ledger'!$A$211="","",'01_Warehouse_Ledger'!$A$211)</f>
        <v/>
      </c>
      <c r="D715" t="inlineStr">
        <is>
          <t>SCAN / FIND (Pallet → Location → Prism Node)</t>
        </is>
      </c>
    </row>
    <row r="716">
      <c r="A716" t="inlineStr">
        <is>
          <t>Pallet tag (stick on pallet).</t>
        </is>
      </c>
      <c r="B716">
        <f>IF('01_Warehouse_Ledger'!$A$212="","",'01_Warehouse_Ledger'!$A$212&amp;IF('01_Warehouse_Ledger'!$B$212&lt;&gt;""," | "&amp;'01_Warehouse_Ledger'!$B$212,""))</f>
        <v/>
      </c>
      <c r="C716">
        <f>IF('01_Warehouse_Ledger'!$A$212="","",'01_Warehouse_Ledger'!$A$212)</f>
        <v/>
      </c>
      <c r="D716" t="inlineStr">
        <is>
          <t>SCAN / FIND (Pallet → Location → Prism Node)</t>
        </is>
      </c>
    </row>
    <row r="717">
      <c r="A717" t="inlineStr">
        <is>
          <t>Pallet tag (stick on pallet).</t>
        </is>
      </c>
      <c r="B717">
        <f>IF('01_Warehouse_Ledger'!$A$213="","",'01_Warehouse_Ledger'!$A$213&amp;IF('01_Warehouse_Ledger'!$B$213&lt;&gt;""," | "&amp;'01_Warehouse_Ledger'!$B$213,""))</f>
        <v/>
      </c>
      <c r="C717">
        <f>IF('01_Warehouse_Ledger'!$A$213="","",'01_Warehouse_Ledger'!$A$213)</f>
        <v/>
      </c>
      <c r="D717" t="inlineStr">
        <is>
          <t>SCAN / FIND (Pallet → Location → Prism Node)</t>
        </is>
      </c>
    </row>
    <row r="718">
      <c r="A718" t="inlineStr">
        <is>
          <t>Pallet tag (stick on pallet).</t>
        </is>
      </c>
      <c r="B718">
        <f>IF('01_Warehouse_Ledger'!$A$214="","",'01_Warehouse_Ledger'!$A$214&amp;IF('01_Warehouse_Ledger'!$B$214&lt;&gt;""," | "&amp;'01_Warehouse_Ledger'!$B$214,""))</f>
        <v/>
      </c>
      <c r="C718">
        <f>IF('01_Warehouse_Ledger'!$A$214="","",'01_Warehouse_Ledger'!$A$214)</f>
        <v/>
      </c>
      <c r="D718" t="inlineStr">
        <is>
          <t>SCAN / FIND (Pallet → Location → Prism Node)</t>
        </is>
      </c>
    </row>
    <row r="719">
      <c r="A719" t="inlineStr">
        <is>
          <t>Pallet tag (stick on pallet).</t>
        </is>
      </c>
      <c r="B719">
        <f>IF('01_Warehouse_Ledger'!$A$215="","",'01_Warehouse_Ledger'!$A$215&amp;IF('01_Warehouse_Ledger'!$B$215&lt;&gt;""," | "&amp;'01_Warehouse_Ledger'!$B$215,""))</f>
        <v/>
      </c>
      <c r="C719">
        <f>IF('01_Warehouse_Ledger'!$A$215="","",'01_Warehouse_Ledger'!$A$215)</f>
        <v/>
      </c>
      <c r="D719" t="inlineStr">
        <is>
          <t>SCAN / FIND (Pallet → Location → Prism Node)</t>
        </is>
      </c>
    </row>
    <row r="720">
      <c r="A720" t="inlineStr">
        <is>
          <t>Pallet tag (stick on pallet).</t>
        </is>
      </c>
      <c r="B720">
        <f>IF('01_Warehouse_Ledger'!$A$216="","",'01_Warehouse_Ledger'!$A$216&amp;IF('01_Warehouse_Ledger'!$B$216&lt;&gt;""," | "&amp;'01_Warehouse_Ledger'!$B$216,""))</f>
        <v/>
      </c>
      <c r="C720">
        <f>IF('01_Warehouse_Ledger'!$A$216="","",'01_Warehouse_Ledger'!$A$216)</f>
        <v/>
      </c>
      <c r="D720" t="inlineStr">
        <is>
          <t>SCAN / FIND (Pallet → Location → Prism Node)</t>
        </is>
      </c>
    </row>
    <row r="721">
      <c r="A721" t="inlineStr">
        <is>
          <t>Pallet tag (stick on pallet).</t>
        </is>
      </c>
      <c r="B721">
        <f>IF('01_Warehouse_Ledger'!$A$217="","",'01_Warehouse_Ledger'!$A$217&amp;IF('01_Warehouse_Ledger'!$B$217&lt;&gt;""," | "&amp;'01_Warehouse_Ledger'!$B$217,""))</f>
        <v/>
      </c>
      <c r="C721">
        <f>IF('01_Warehouse_Ledger'!$A$217="","",'01_Warehouse_Ledger'!$A$217)</f>
        <v/>
      </c>
      <c r="D721" t="inlineStr">
        <is>
          <t>SCAN / FIND (Pallet → Location → Prism Node)</t>
        </is>
      </c>
    </row>
    <row r="722">
      <c r="A722" t="inlineStr">
        <is>
          <t>Pallet tag (stick on pallet).</t>
        </is>
      </c>
      <c r="B722">
        <f>IF('01_Warehouse_Ledger'!$A$218="","",'01_Warehouse_Ledger'!$A$218&amp;IF('01_Warehouse_Ledger'!$B$218&lt;&gt;""," | "&amp;'01_Warehouse_Ledger'!$B$218,""))</f>
        <v/>
      </c>
      <c r="C722">
        <f>IF('01_Warehouse_Ledger'!$A$218="","",'01_Warehouse_Ledger'!$A$218)</f>
        <v/>
      </c>
      <c r="D722" t="inlineStr">
        <is>
          <t>SCAN / FIND (Pallet → Location → Prism Node)</t>
        </is>
      </c>
    </row>
    <row r="723">
      <c r="A723" t="inlineStr">
        <is>
          <t>Pallet tag (stick on pallet).</t>
        </is>
      </c>
      <c r="B723">
        <f>IF('01_Warehouse_Ledger'!$A$219="","",'01_Warehouse_Ledger'!$A$219&amp;IF('01_Warehouse_Ledger'!$B$219&lt;&gt;""," | "&amp;'01_Warehouse_Ledger'!$B$219,""))</f>
        <v/>
      </c>
      <c r="C723">
        <f>IF('01_Warehouse_Ledger'!$A$219="","",'01_Warehouse_Ledger'!$A$219)</f>
        <v/>
      </c>
      <c r="D723" t="inlineStr">
        <is>
          <t>SCAN / FIND (Pallet → Location → Prism Node)</t>
        </is>
      </c>
    </row>
    <row r="724">
      <c r="A724" t="inlineStr">
        <is>
          <t>Pallet tag (stick on pallet).</t>
        </is>
      </c>
      <c r="B724">
        <f>IF('01_Warehouse_Ledger'!$A$220="","",'01_Warehouse_Ledger'!$A$220&amp;IF('01_Warehouse_Ledger'!$B$220&lt;&gt;""," | "&amp;'01_Warehouse_Ledger'!$B$220,""))</f>
        <v/>
      </c>
      <c r="C724">
        <f>IF('01_Warehouse_Ledger'!$A$220="","",'01_Warehouse_Ledger'!$A$220)</f>
        <v/>
      </c>
      <c r="D724" t="inlineStr">
        <is>
          <t>SCAN / FIND (Pallet → Location → Prism Node)</t>
        </is>
      </c>
    </row>
    <row r="725">
      <c r="A725" t="inlineStr">
        <is>
          <t>Pallet tag (stick on pallet).</t>
        </is>
      </c>
      <c r="B725">
        <f>IF('01_Warehouse_Ledger'!$A$221="","",'01_Warehouse_Ledger'!$A$221&amp;IF('01_Warehouse_Ledger'!$B$221&lt;&gt;""," | "&amp;'01_Warehouse_Ledger'!$B$221,""))</f>
        <v/>
      </c>
      <c r="C725">
        <f>IF('01_Warehouse_Ledger'!$A$221="","",'01_Warehouse_Ledger'!$A$221)</f>
        <v/>
      </c>
      <c r="D725" t="inlineStr">
        <is>
          <t>SCAN / FIND (Pallet → Location → Prism Node)</t>
        </is>
      </c>
    </row>
    <row r="726">
      <c r="A726" t="inlineStr">
        <is>
          <t>Pallet tag (stick on pallet).</t>
        </is>
      </c>
      <c r="B726">
        <f>IF('01_Warehouse_Ledger'!$A$222="","",'01_Warehouse_Ledger'!$A$222&amp;IF('01_Warehouse_Ledger'!$B$222&lt;&gt;""," | "&amp;'01_Warehouse_Ledger'!$B$222,""))</f>
        <v/>
      </c>
      <c r="C726">
        <f>IF('01_Warehouse_Ledger'!$A$222="","",'01_Warehouse_Ledger'!$A$222)</f>
        <v/>
      </c>
      <c r="D726" t="inlineStr">
        <is>
          <t>SCAN / FIND (Pallet → Location → Prism Node)</t>
        </is>
      </c>
    </row>
    <row r="727">
      <c r="A727" t="inlineStr">
        <is>
          <t>Pallet tag (stick on pallet).</t>
        </is>
      </c>
      <c r="B727">
        <f>IF('01_Warehouse_Ledger'!$A$223="","",'01_Warehouse_Ledger'!$A$223&amp;IF('01_Warehouse_Ledger'!$B$223&lt;&gt;""," | "&amp;'01_Warehouse_Ledger'!$B$223,""))</f>
        <v/>
      </c>
      <c r="C727">
        <f>IF('01_Warehouse_Ledger'!$A$223="","",'01_Warehouse_Ledger'!$A$223)</f>
        <v/>
      </c>
      <c r="D727" t="inlineStr">
        <is>
          <t>SCAN / FIND (Pallet → Location → Prism Node)</t>
        </is>
      </c>
    </row>
    <row r="728">
      <c r="A728" t="inlineStr">
        <is>
          <t>Pallet tag (stick on pallet).</t>
        </is>
      </c>
      <c r="B728">
        <f>IF('01_Warehouse_Ledger'!$A$224="","",'01_Warehouse_Ledger'!$A$224&amp;IF('01_Warehouse_Ledger'!$B$224&lt;&gt;""," | "&amp;'01_Warehouse_Ledger'!$B$224,""))</f>
        <v/>
      </c>
      <c r="C728">
        <f>IF('01_Warehouse_Ledger'!$A$224="","",'01_Warehouse_Ledger'!$A$224)</f>
        <v/>
      </c>
      <c r="D728" t="inlineStr">
        <is>
          <t>SCAN / FIND (Pallet → Location → Prism Node)</t>
        </is>
      </c>
    </row>
    <row r="729">
      <c r="A729" t="inlineStr">
        <is>
          <t>Pallet tag (stick on pallet).</t>
        </is>
      </c>
      <c r="B729">
        <f>IF('01_Warehouse_Ledger'!$A$225="","",'01_Warehouse_Ledger'!$A$225&amp;IF('01_Warehouse_Ledger'!$B$225&lt;&gt;""," | "&amp;'01_Warehouse_Ledger'!$B$225,""))</f>
        <v/>
      </c>
      <c r="C729">
        <f>IF('01_Warehouse_Ledger'!$A$225="","",'01_Warehouse_Ledger'!$A$225)</f>
        <v/>
      </c>
      <c r="D729" t="inlineStr">
        <is>
          <t>SCAN / FIND (Pallet → Location → Prism Node)</t>
        </is>
      </c>
    </row>
    <row r="730">
      <c r="A730" t="inlineStr">
        <is>
          <t>Pallet tag (stick on pallet).</t>
        </is>
      </c>
      <c r="B730">
        <f>IF('01_Warehouse_Ledger'!$A$226="","",'01_Warehouse_Ledger'!$A$226&amp;IF('01_Warehouse_Ledger'!$B$226&lt;&gt;""," | "&amp;'01_Warehouse_Ledger'!$B$226,""))</f>
        <v/>
      </c>
      <c r="C730">
        <f>IF('01_Warehouse_Ledger'!$A$226="","",'01_Warehouse_Ledger'!$A$226)</f>
        <v/>
      </c>
      <c r="D730" t="inlineStr">
        <is>
          <t>SCAN / FIND (Pallet → Location → Prism Node)</t>
        </is>
      </c>
    </row>
    <row r="731">
      <c r="A731" t="inlineStr">
        <is>
          <t>Pallet tag (stick on pallet).</t>
        </is>
      </c>
      <c r="B731">
        <f>IF('01_Warehouse_Ledger'!$A$227="","",'01_Warehouse_Ledger'!$A$227&amp;IF('01_Warehouse_Ledger'!$B$227&lt;&gt;""," | "&amp;'01_Warehouse_Ledger'!$B$227,""))</f>
        <v/>
      </c>
      <c r="C731">
        <f>IF('01_Warehouse_Ledger'!$A$227="","",'01_Warehouse_Ledger'!$A$227)</f>
        <v/>
      </c>
      <c r="D731" t="inlineStr">
        <is>
          <t>SCAN / FIND (Pallet → Location → Prism Node)</t>
        </is>
      </c>
    </row>
    <row r="732">
      <c r="A732" t="inlineStr">
        <is>
          <t>Pallet tag (stick on pallet).</t>
        </is>
      </c>
      <c r="B732">
        <f>IF('01_Warehouse_Ledger'!$A$228="","",'01_Warehouse_Ledger'!$A$228&amp;IF('01_Warehouse_Ledger'!$B$228&lt;&gt;""," | "&amp;'01_Warehouse_Ledger'!$B$228,""))</f>
        <v/>
      </c>
      <c r="C732">
        <f>IF('01_Warehouse_Ledger'!$A$228="","",'01_Warehouse_Ledger'!$A$228)</f>
        <v/>
      </c>
      <c r="D732" t="inlineStr">
        <is>
          <t>SCAN / FIND (Pallet → Location → Prism Node)</t>
        </is>
      </c>
    </row>
    <row r="733">
      <c r="A733" t="inlineStr">
        <is>
          <t>Pallet tag (stick on pallet).</t>
        </is>
      </c>
      <c r="B733">
        <f>IF('01_Warehouse_Ledger'!$A$229="","",'01_Warehouse_Ledger'!$A$229&amp;IF('01_Warehouse_Ledger'!$B$229&lt;&gt;""," | "&amp;'01_Warehouse_Ledger'!$B$229,""))</f>
        <v/>
      </c>
      <c r="C733">
        <f>IF('01_Warehouse_Ledger'!$A$229="","",'01_Warehouse_Ledger'!$A$229)</f>
        <v/>
      </c>
      <c r="D733" t="inlineStr">
        <is>
          <t>SCAN / FIND (Pallet → Location → Prism Node)</t>
        </is>
      </c>
    </row>
    <row r="734">
      <c r="A734" t="inlineStr">
        <is>
          <t>Pallet tag (stick on pallet).</t>
        </is>
      </c>
      <c r="B734">
        <f>IF('01_Warehouse_Ledger'!$A$230="","",'01_Warehouse_Ledger'!$A$230&amp;IF('01_Warehouse_Ledger'!$B$230&lt;&gt;""," | "&amp;'01_Warehouse_Ledger'!$B$230,""))</f>
        <v/>
      </c>
      <c r="C734">
        <f>IF('01_Warehouse_Ledger'!$A$230="","",'01_Warehouse_Ledger'!$A$230)</f>
        <v/>
      </c>
      <c r="D734" t="inlineStr">
        <is>
          <t>SCAN / FIND (Pallet → Location → Prism Node)</t>
        </is>
      </c>
    </row>
    <row r="735">
      <c r="A735" t="inlineStr">
        <is>
          <t>Pallet tag (stick on pallet).</t>
        </is>
      </c>
      <c r="B735">
        <f>IF('01_Warehouse_Ledger'!$A$231="","",'01_Warehouse_Ledger'!$A$231&amp;IF('01_Warehouse_Ledger'!$B$231&lt;&gt;""," | "&amp;'01_Warehouse_Ledger'!$B$231,""))</f>
        <v/>
      </c>
      <c r="C735">
        <f>IF('01_Warehouse_Ledger'!$A$231="","",'01_Warehouse_Ledger'!$A$231)</f>
        <v/>
      </c>
      <c r="D735" t="inlineStr">
        <is>
          <t>SCAN / FIND (Pallet → Location → Prism Node)</t>
        </is>
      </c>
    </row>
    <row r="736">
      <c r="A736" t="inlineStr">
        <is>
          <t>Pallet tag (stick on pallet).</t>
        </is>
      </c>
      <c r="B736">
        <f>IF('01_Warehouse_Ledger'!$A$232="","",'01_Warehouse_Ledger'!$A$232&amp;IF('01_Warehouse_Ledger'!$B$232&lt;&gt;""," | "&amp;'01_Warehouse_Ledger'!$B$232,""))</f>
        <v/>
      </c>
      <c r="C736">
        <f>IF('01_Warehouse_Ledger'!$A$232="","",'01_Warehouse_Ledger'!$A$232)</f>
        <v/>
      </c>
      <c r="D736" t="inlineStr">
        <is>
          <t>SCAN / FIND (Pallet → Location → Prism Node)</t>
        </is>
      </c>
    </row>
    <row r="737">
      <c r="A737" t="inlineStr">
        <is>
          <t>Pallet tag (stick on pallet).</t>
        </is>
      </c>
      <c r="B737">
        <f>IF('01_Warehouse_Ledger'!$A$233="","",'01_Warehouse_Ledger'!$A$233&amp;IF('01_Warehouse_Ledger'!$B$233&lt;&gt;""," | "&amp;'01_Warehouse_Ledger'!$B$233,""))</f>
        <v/>
      </c>
      <c r="C737">
        <f>IF('01_Warehouse_Ledger'!$A$233="","",'01_Warehouse_Ledger'!$A$233)</f>
        <v/>
      </c>
      <c r="D737" t="inlineStr">
        <is>
          <t>SCAN / FIND (Pallet → Location → Prism Node)</t>
        </is>
      </c>
    </row>
    <row r="738">
      <c r="A738" t="inlineStr">
        <is>
          <t>Pallet tag (stick on pallet).</t>
        </is>
      </c>
      <c r="B738">
        <f>IF('01_Warehouse_Ledger'!$A$234="","",'01_Warehouse_Ledger'!$A$234&amp;IF('01_Warehouse_Ledger'!$B$234&lt;&gt;""," | "&amp;'01_Warehouse_Ledger'!$B$234,""))</f>
        <v/>
      </c>
      <c r="C738">
        <f>IF('01_Warehouse_Ledger'!$A$234="","",'01_Warehouse_Ledger'!$A$234)</f>
        <v/>
      </c>
      <c r="D738" t="inlineStr">
        <is>
          <t>SCAN / FIND (Pallet → Location → Prism Node)</t>
        </is>
      </c>
    </row>
    <row r="739">
      <c r="A739" t="inlineStr">
        <is>
          <t>Pallet tag (stick on pallet).</t>
        </is>
      </c>
      <c r="B739">
        <f>IF('01_Warehouse_Ledger'!$A$235="","",'01_Warehouse_Ledger'!$A$235&amp;IF('01_Warehouse_Ledger'!$B$235&lt;&gt;""," | "&amp;'01_Warehouse_Ledger'!$B$235,""))</f>
        <v/>
      </c>
      <c r="C739">
        <f>IF('01_Warehouse_Ledger'!$A$235="","",'01_Warehouse_Ledger'!$A$235)</f>
        <v/>
      </c>
      <c r="D739" t="inlineStr">
        <is>
          <t>SCAN / FIND (Pallet → Location → Prism Node)</t>
        </is>
      </c>
    </row>
    <row r="740">
      <c r="A740" t="inlineStr">
        <is>
          <t>Pallet tag (stick on pallet).</t>
        </is>
      </c>
      <c r="B740">
        <f>IF('01_Warehouse_Ledger'!$A$236="","",'01_Warehouse_Ledger'!$A$236&amp;IF('01_Warehouse_Ledger'!$B$236&lt;&gt;""," | "&amp;'01_Warehouse_Ledger'!$B$236,""))</f>
        <v/>
      </c>
      <c r="C740">
        <f>IF('01_Warehouse_Ledger'!$A$236="","",'01_Warehouse_Ledger'!$A$236)</f>
        <v/>
      </c>
      <c r="D740" t="inlineStr">
        <is>
          <t>SCAN / FIND (Pallet → Location → Prism Node)</t>
        </is>
      </c>
    </row>
    <row r="741">
      <c r="A741" t="inlineStr">
        <is>
          <t>Pallet tag (stick on pallet).</t>
        </is>
      </c>
      <c r="B741">
        <f>IF('01_Warehouse_Ledger'!$A$237="","",'01_Warehouse_Ledger'!$A$237&amp;IF('01_Warehouse_Ledger'!$B$237&lt;&gt;""," | "&amp;'01_Warehouse_Ledger'!$B$237,""))</f>
        <v/>
      </c>
      <c r="C741">
        <f>IF('01_Warehouse_Ledger'!$A$237="","",'01_Warehouse_Ledger'!$A$237)</f>
        <v/>
      </c>
      <c r="D741" t="inlineStr">
        <is>
          <t>SCAN / FIND (Pallet → Location → Prism Node)</t>
        </is>
      </c>
    </row>
    <row r="742">
      <c r="A742" t="inlineStr">
        <is>
          <t>Pallet tag (stick on pallet).</t>
        </is>
      </c>
      <c r="B742">
        <f>IF('01_Warehouse_Ledger'!$A$238="","",'01_Warehouse_Ledger'!$A$238&amp;IF('01_Warehouse_Ledger'!$B$238&lt;&gt;""," | "&amp;'01_Warehouse_Ledger'!$B$238,""))</f>
        <v/>
      </c>
      <c r="C742">
        <f>IF('01_Warehouse_Ledger'!$A$238="","",'01_Warehouse_Ledger'!$A$238)</f>
        <v/>
      </c>
      <c r="D742" t="inlineStr">
        <is>
          <t>SCAN / FIND (Pallet → Location → Prism Node)</t>
        </is>
      </c>
    </row>
    <row r="743">
      <c r="A743" t="inlineStr">
        <is>
          <t>Pallet tag (stick on pallet).</t>
        </is>
      </c>
      <c r="B743">
        <f>IF('01_Warehouse_Ledger'!$A$239="","",'01_Warehouse_Ledger'!$A$239&amp;IF('01_Warehouse_Ledger'!$B$239&lt;&gt;""," | "&amp;'01_Warehouse_Ledger'!$B$239,""))</f>
        <v/>
      </c>
      <c r="C743">
        <f>IF('01_Warehouse_Ledger'!$A$239="","",'01_Warehouse_Ledger'!$A$239)</f>
        <v/>
      </c>
      <c r="D743" t="inlineStr">
        <is>
          <t>SCAN / FIND (Pallet → Location → Prism Node)</t>
        </is>
      </c>
    </row>
    <row r="744">
      <c r="A744" t="inlineStr">
        <is>
          <t>Pallet tag (stick on pallet).</t>
        </is>
      </c>
      <c r="B744">
        <f>IF('01_Warehouse_Ledger'!$A$240="","",'01_Warehouse_Ledger'!$A$240&amp;IF('01_Warehouse_Ledger'!$B$240&lt;&gt;""," | "&amp;'01_Warehouse_Ledger'!$B$240,""))</f>
        <v/>
      </c>
      <c r="C744">
        <f>IF('01_Warehouse_Ledger'!$A$240="","",'01_Warehouse_Ledger'!$A$240)</f>
        <v/>
      </c>
      <c r="D744" t="inlineStr">
        <is>
          <t>SCAN / FIND (Pallet → Location → Prism Node)</t>
        </is>
      </c>
    </row>
    <row r="745">
      <c r="A745" t="inlineStr">
        <is>
          <t>Pallet tag (stick on pallet).</t>
        </is>
      </c>
      <c r="B745">
        <f>IF('01_Warehouse_Ledger'!$A$241="","",'01_Warehouse_Ledger'!$A$241&amp;IF('01_Warehouse_Ledger'!$B$241&lt;&gt;""," | "&amp;'01_Warehouse_Ledger'!$B$241,""))</f>
        <v/>
      </c>
      <c r="C745">
        <f>IF('01_Warehouse_Ledger'!$A$241="","",'01_Warehouse_Ledger'!$A$241)</f>
        <v/>
      </c>
      <c r="D745" t="inlineStr">
        <is>
          <t>SCAN / FIND (Pallet → Location → Prism Node)</t>
        </is>
      </c>
    </row>
    <row r="746">
      <c r="A746" t="inlineStr">
        <is>
          <t>Pallet tag (stick on pallet).</t>
        </is>
      </c>
      <c r="B746">
        <f>IF('01_Warehouse_Ledger'!$A$242="","",'01_Warehouse_Ledger'!$A$242&amp;IF('01_Warehouse_Ledger'!$B$242&lt;&gt;""," | "&amp;'01_Warehouse_Ledger'!$B$242,""))</f>
        <v/>
      </c>
      <c r="C746">
        <f>IF('01_Warehouse_Ledger'!$A$242="","",'01_Warehouse_Ledger'!$A$242)</f>
        <v/>
      </c>
      <c r="D746" t="inlineStr">
        <is>
          <t>SCAN / FIND (Pallet → Location → Prism Node)</t>
        </is>
      </c>
    </row>
    <row r="747">
      <c r="A747" t="inlineStr">
        <is>
          <t>Pallet tag (stick on pallet).</t>
        </is>
      </c>
      <c r="B747">
        <f>IF('01_Warehouse_Ledger'!$A$243="","",'01_Warehouse_Ledger'!$A$243&amp;IF('01_Warehouse_Ledger'!$B$243&lt;&gt;""," | "&amp;'01_Warehouse_Ledger'!$B$243,""))</f>
        <v/>
      </c>
      <c r="C747">
        <f>IF('01_Warehouse_Ledger'!$A$243="","",'01_Warehouse_Ledger'!$A$243)</f>
        <v/>
      </c>
      <c r="D747" t="inlineStr">
        <is>
          <t>SCAN / FIND (Pallet → Location → Prism Node)</t>
        </is>
      </c>
    </row>
    <row r="748">
      <c r="A748" t="inlineStr">
        <is>
          <t>Pallet tag (stick on pallet).</t>
        </is>
      </c>
      <c r="B748">
        <f>IF('01_Warehouse_Ledger'!$A$244="","",'01_Warehouse_Ledger'!$A$244&amp;IF('01_Warehouse_Ledger'!$B$244&lt;&gt;""," | "&amp;'01_Warehouse_Ledger'!$B$244,""))</f>
        <v/>
      </c>
      <c r="C748">
        <f>IF('01_Warehouse_Ledger'!$A$244="","",'01_Warehouse_Ledger'!$A$244)</f>
        <v/>
      </c>
      <c r="D748" t="inlineStr">
        <is>
          <t>SCAN / FIND (Pallet → Location → Prism Node)</t>
        </is>
      </c>
    </row>
    <row r="749">
      <c r="A749" t="inlineStr">
        <is>
          <t>Pallet tag (stick on pallet).</t>
        </is>
      </c>
      <c r="B749">
        <f>IF('01_Warehouse_Ledger'!$A$245="","",'01_Warehouse_Ledger'!$A$245&amp;IF('01_Warehouse_Ledger'!$B$245&lt;&gt;""," | "&amp;'01_Warehouse_Ledger'!$B$245,""))</f>
        <v/>
      </c>
      <c r="C749">
        <f>IF('01_Warehouse_Ledger'!$A$245="","",'01_Warehouse_Ledger'!$A$245)</f>
        <v/>
      </c>
      <c r="D749" t="inlineStr">
        <is>
          <t>SCAN / FIND (Pallet → Location → Prism Node)</t>
        </is>
      </c>
    </row>
    <row r="750">
      <c r="A750" t="inlineStr">
        <is>
          <t>Pallet tag (stick on pallet).</t>
        </is>
      </c>
      <c r="B750">
        <f>IF('01_Warehouse_Ledger'!$A$246="","",'01_Warehouse_Ledger'!$A$246&amp;IF('01_Warehouse_Ledger'!$B$246&lt;&gt;""," | "&amp;'01_Warehouse_Ledger'!$B$246,""))</f>
        <v/>
      </c>
      <c r="C750">
        <f>IF('01_Warehouse_Ledger'!$A$246="","",'01_Warehouse_Ledger'!$A$246)</f>
        <v/>
      </c>
      <c r="D750" t="inlineStr">
        <is>
          <t>SCAN / FIND (Pallet → Location → Prism Node)</t>
        </is>
      </c>
    </row>
    <row r="751">
      <c r="A751" t="inlineStr">
        <is>
          <t>Pallet tag (stick on pallet).</t>
        </is>
      </c>
      <c r="B751">
        <f>IF('01_Warehouse_Ledger'!$A$247="","",'01_Warehouse_Ledger'!$A$247&amp;IF('01_Warehouse_Ledger'!$B$247&lt;&gt;""," | "&amp;'01_Warehouse_Ledger'!$B$247,""))</f>
        <v/>
      </c>
      <c r="C751">
        <f>IF('01_Warehouse_Ledger'!$A$247="","",'01_Warehouse_Ledger'!$A$247)</f>
        <v/>
      </c>
      <c r="D751" t="inlineStr">
        <is>
          <t>SCAN / FIND (Pallet → Location → Prism Node)</t>
        </is>
      </c>
    </row>
    <row r="752">
      <c r="A752" t="inlineStr">
        <is>
          <t>Pallet tag (stick on pallet).</t>
        </is>
      </c>
      <c r="B752">
        <f>IF('01_Warehouse_Ledger'!$A$248="","",'01_Warehouse_Ledger'!$A$248&amp;IF('01_Warehouse_Ledger'!$B$248&lt;&gt;""," | "&amp;'01_Warehouse_Ledger'!$B$248,""))</f>
        <v/>
      </c>
      <c r="C752">
        <f>IF('01_Warehouse_Ledger'!$A$248="","",'01_Warehouse_Ledger'!$A$248)</f>
        <v/>
      </c>
      <c r="D752" t="inlineStr">
        <is>
          <t>SCAN / FIND (Pallet → Location → Prism Node)</t>
        </is>
      </c>
    </row>
    <row r="753">
      <c r="A753" t="inlineStr">
        <is>
          <t>Pallet tag (stick on pallet).</t>
        </is>
      </c>
      <c r="B753">
        <f>IF('01_Warehouse_Ledger'!$A$249="","",'01_Warehouse_Ledger'!$A$249&amp;IF('01_Warehouse_Ledger'!$B$249&lt;&gt;""," | "&amp;'01_Warehouse_Ledger'!$B$249,""))</f>
        <v/>
      </c>
      <c r="C753">
        <f>IF('01_Warehouse_Ledger'!$A$249="","",'01_Warehouse_Ledger'!$A$249)</f>
        <v/>
      </c>
      <c r="D753" t="inlineStr">
        <is>
          <t>SCAN / FIND (Pallet → Location → Prism Node)</t>
        </is>
      </c>
    </row>
    <row r="754">
      <c r="A754" t="inlineStr">
        <is>
          <t>Pallet tag (stick on pallet).</t>
        </is>
      </c>
      <c r="B754">
        <f>IF('01_Warehouse_Ledger'!$A$250="","",'01_Warehouse_Ledger'!$A$250&amp;IF('01_Warehouse_Ledger'!$B$250&lt;&gt;""," | "&amp;'01_Warehouse_Ledger'!$B$250,""))</f>
        <v/>
      </c>
      <c r="C754">
        <f>IF('01_Warehouse_Ledger'!$A$250="","",'01_Warehouse_Ledger'!$A$250)</f>
        <v/>
      </c>
      <c r="D754" t="inlineStr">
        <is>
          <t>SCAN / FIND (Pallet → Location → Prism Node)</t>
        </is>
      </c>
    </row>
    <row r="755">
      <c r="A755" t="inlineStr">
        <is>
          <t>Pallet tag (stick on pallet).</t>
        </is>
      </c>
      <c r="B755">
        <f>IF('01_Warehouse_Ledger'!$A$251="","",'01_Warehouse_Ledger'!$A$251&amp;IF('01_Warehouse_Ledger'!$B$251&lt;&gt;""," | "&amp;'01_Warehouse_Ledger'!$B$251,""))</f>
        <v/>
      </c>
      <c r="C755">
        <f>IF('01_Warehouse_Ledger'!$A$251="","",'01_Warehouse_Ledger'!$A$251)</f>
        <v/>
      </c>
      <c r="D755" t="inlineStr">
        <is>
          <t>SCAN / FIND (Pallet → Location → Prism Node)</t>
        </is>
      </c>
    </row>
    <row r="756">
      <c r="A756" t="inlineStr">
        <is>
          <t>Pallet tag (stick on pallet).</t>
        </is>
      </c>
      <c r="B756">
        <f>IF('01_Warehouse_Ledger'!$A$252="","",'01_Warehouse_Ledger'!$A$252&amp;IF('01_Warehouse_Ledger'!$B$252&lt;&gt;""," | "&amp;'01_Warehouse_Ledger'!$B$252,""))</f>
        <v/>
      </c>
      <c r="C756">
        <f>IF('01_Warehouse_Ledger'!$A$252="","",'01_Warehouse_Ledger'!$A$252)</f>
        <v/>
      </c>
      <c r="D756" t="inlineStr">
        <is>
          <t>SCAN / FIND (Pallet → Location → Prism Node)</t>
        </is>
      </c>
    </row>
    <row r="757">
      <c r="A757" t="inlineStr">
        <is>
          <t>Pallet tag (stick on pallet).</t>
        </is>
      </c>
      <c r="B757">
        <f>IF('01_Warehouse_Ledger'!$A$253="","",'01_Warehouse_Ledger'!$A$253&amp;IF('01_Warehouse_Ledger'!$B$253&lt;&gt;""," | "&amp;'01_Warehouse_Ledger'!$B$253,""))</f>
        <v/>
      </c>
      <c r="C757">
        <f>IF('01_Warehouse_Ledger'!$A$253="","",'01_Warehouse_Ledger'!$A$253)</f>
        <v/>
      </c>
      <c r="D757" t="inlineStr">
        <is>
          <t>SCAN / FIND (Pallet → Location → Prism Node)</t>
        </is>
      </c>
    </row>
    <row r="758">
      <c r="A758" t="inlineStr">
        <is>
          <t>Pallet tag (stick on pallet).</t>
        </is>
      </c>
      <c r="B758">
        <f>IF('01_Warehouse_Ledger'!$A$254="","",'01_Warehouse_Ledger'!$A$254&amp;IF('01_Warehouse_Ledger'!$B$254&lt;&gt;""," | "&amp;'01_Warehouse_Ledger'!$B$254,""))</f>
        <v/>
      </c>
      <c r="C758">
        <f>IF('01_Warehouse_Ledger'!$A$254="","",'01_Warehouse_Ledger'!$A$254)</f>
        <v/>
      </c>
      <c r="D758" t="inlineStr">
        <is>
          <t>SCAN / FIND (Pallet → Location → Prism Node)</t>
        </is>
      </c>
    </row>
    <row r="759">
      <c r="A759" t="inlineStr">
        <is>
          <t>Pallet tag (stick on pallet).</t>
        </is>
      </c>
      <c r="B759">
        <f>IF('01_Warehouse_Ledger'!$A$255="","",'01_Warehouse_Ledger'!$A$255&amp;IF('01_Warehouse_Ledger'!$B$255&lt;&gt;""," | "&amp;'01_Warehouse_Ledger'!$B$255,""))</f>
        <v/>
      </c>
      <c r="C759">
        <f>IF('01_Warehouse_Ledger'!$A$255="","",'01_Warehouse_Ledger'!$A$255)</f>
        <v/>
      </c>
      <c r="D759" t="inlineStr">
        <is>
          <t>SCAN / FIND (Pallet → Location → Prism Node)</t>
        </is>
      </c>
    </row>
    <row r="760">
      <c r="A760" t="inlineStr">
        <is>
          <t>Pallet tag (stick on pallet).</t>
        </is>
      </c>
      <c r="B760">
        <f>IF('01_Warehouse_Ledger'!$A$256="","",'01_Warehouse_Ledger'!$A$256&amp;IF('01_Warehouse_Ledger'!$B$256&lt;&gt;""," | "&amp;'01_Warehouse_Ledger'!$B$256,""))</f>
        <v/>
      </c>
      <c r="C760">
        <f>IF('01_Warehouse_Ledger'!$A$256="","",'01_Warehouse_Ledger'!$A$256)</f>
        <v/>
      </c>
      <c r="D760" t="inlineStr">
        <is>
          <t>SCAN / FIND (Pallet → Location → Prism Node)</t>
        </is>
      </c>
    </row>
    <row r="761">
      <c r="A761" t="inlineStr">
        <is>
          <t>Pallet tag (stick on pallet).</t>
        </is>
      </c>
      <c r="B761">
        <f>IF('01_Warehouse_Ledger'!$A$257="","",'01_Warehouse_Ledger'!$A$257&amp;IF('01_Warehouse_Ledger'!$B$257&lt;&gt;""," | "&amp;'01_Warehouse_Ledger'!$B$257,""))</f>
        <v/>
      </c>
      <c r="C761">
        <f>IF('01_Warehouse_Ledger'!$A$257="","",'01_Warehouse_Ledger'!$A$257)</f>
        <v/>
      </c>
      <c r="D761" t="inlineStr">
        <is>
          <t>SCAN / FIND (Pallet → Location → Prism Node)</t>
        </is>
      </c>
    </row>
    <row r="762">
      <c r="A762" t="inlineStr">
        <is>
          <t>Pallet tag (stick on pallet).</t>
        </is>
      </c>
      <c r="B762">
        <f>IF('01_Warehouse_Ledger'!$A$258="","",'01_Warehouse_Ledger'!$A$258&amp;IF('01_Warehouse_Ledger'!$B$258&lt;&gt;""," | "&amp;'01_Warehouse_Ledger'!$B$258,""))</f>
        <v/>
      </c>
      <c r="C762">
        <f>IF('01_Warehouse_Ledger'!$A$258="","",'01_Warehouse_Ledger'!$A$258)</f>
        <v/>
      </c>
      <c r="D762" t="inlineStr">
        <is>
          <t>SCAN / FIND (Pallet → Location → Prism Node)</t>
        </is>
      </c>
    </row>
    <row r="763">
      <c r="A763" t="inlineStr">
        <is>
          <t>Pallet tag (stick on pallet).</t>
        </is>
      </c>
      <c r="B763">
        <f>IF('01_Warehouse_Ledger'!$A$259="","",'01_Warehouse_Ledger'!$A$259&amp;IF('01_Warehouse_Ledger'!$B$259&lt;&gt;""," | "&amp;'01_Warehouse_Ledger'!$B$259,""))</f>
        <v/>
      </c>
      <c r="C763">
        <f>IF('01_Warehouse_Ledger'!$A$259="","",'01_Warehouse_Ledger'!$A$259)</f>
        <v/>
      </c>
      <c r="D763" t="inlineStr">
        <is>
          <t>SCAN / FIND (Pallet → Location → Prism Node)</t>
        </is>
      </c>
    </row>
    <row r="764">
      <c r="A764" t="inlineStr">
        <is>
          <t>Pallet tag (stick on pallet).</t>
        </is>
      </c>
      <c r="B764">
        <f>IF('01_Warehouse_Ledger'!$A$260="","",'01_Warehouse_Ledger'!$A$260&amp;IF('01_Warehouse_Ledger'!$B$260&lt;&gt;""," | "&amp;'01_Warehouse_Ledger'!$B$260,""))</f>
        <v/>
      </c>
      <c r="C764">
        <f>IF('01_Warehouse_Ledger'!$A$260="","",'01_Warehouse_Ledger'!$A$260)</f>
        <v/>
      </c>
      <c r="D764" t="inlineStr">
        <is>
          <t>SCAN / FIND (Pallet → Location → Prism Node)</t>
        </is>
      </c>
    </row>
    <row r="765">
      <c r="A765" t="inlineStr">
        <is>
          <t>Pallet tag (stick on pallet).</t>
        </is>
      </c>
      <c r="B765">
        <f>IF('01_Warehouse_Ledger'!$A$261="","",'01_Warehouse_Ledger'!$A$261&amp;IF('01_Warehouse_Ledger'!$B$261&lt;&gt;""," | "&amp;'01_Warehouse_Ledger'!$B$261,""))</f>
        <v/>
      </c>
      <c r="C765">
        <f>IF('01_Warehouse_Ledger'!$A$261="","",'01_Warehouse_Ledger'!$A$261)</f>
        <v/>
      </c>
      <c r="D765" t="inlineStr">
        <is>
          <t>SCAN / FIND (Pallet → Location → Prism Node)</t>
        </is>
      </c>
    </row>
    <row r="766">
      <c r="A766" t="inlineStr">
        <is>
          <t>Pallet tag (stick on pallet).</t>
        </is>
      </c>
      <c r="B766">
        <f>IF('01_Warehouse_Ledger'!$A$262="","",'01_Warehouse_Ledger'!$A$262&amp;IF('01_Warehouse_Ledger'!$B$262&lt;&gt;""," | "&amp;'01_Warehouse_Ledger'!$B$262,""))</f>
        <v/>
      </c>
      <c r="C766">
        <f>IF('01_Warehouse_Ledger'!$A$262="","",'01_Warehouse_Ledger'!$A$262)</f>
        <v/>
      </c>
      <c r="D766" t="inlineStr">
        <is>
          <t>SCAN / FIND (Pallet → Location → Prism Node)</t>
        </is>
      </c>
    </row>
    <row r="767">
      <c r="A767" t="inlineStr">
        <is>
          <t>Pallet tag (stick on pallet).</t>
        </is>
      </c>
      <c r="B767">
        <f>IF('01_Warehouse_Ledger'!$A$263="","",'01_Warehouse_Ledger'!$A$263&amp;IF('01_Warehouse_Ledger'!$B$263&lt;&gt;""," | "&amp;'01_Warehouse_Ledger'!$B$263,""))</f>
        <v/>
      </c>
      <c r="C767">
        <f>IF('01_Warehouse_Ledger'!$A$263="","",'01_Warehouse_Ledger'!$A$263)</f>
        <v/>
      </c>
      <c r="D767" t="inlineStr">
        <is>
          <t>SCAN / FIND (Pallet → Location → Prism Node)</t>
        </is>
      </c>
    </row>
    <row r="768">
      <c r="A768" t="inlineStr">
        <is>
          <t>Pallet tag (stick on pallet).</t>
        </is>
      </c>
      <c r="B768">
        <f>IF('01_Warehouse_Ledger'!$A$264="","",'01_Warehouse_Ledger'!$A$264&amp;IF('01_Warehouse_Ledger'!$B$264&lt;&gt;""," | "&amp;'01_Warehouse_Ledger'!$B$264,""))</f>
        <v/>
      </c>
      <c r="C768">
        <f>IF('01_Warehouse_Ledger'!$A$264="","",'01_Warehouse_Ledger'!$A$264)</f>
        <v/>
      </c>
      <c r="D768" t="inlineStr">
        <is>
          <t>SCAN / FIND (Pallet → Location → Prism Node)</t>
        </is>
      </c>
    </row>
    <row r="769">
      <c r="A769" t="inlineStr">
        <is>
          <t>Pallet tag (stick on pallet).</t>
        </is>
      </c>
      <c r="B769">
        <f>IF('01_Warehouse_Ledger'!$A$265="","",'01_Warehouse_Ledger'!$A$265&amp;IF('01_Warehouse_Ledger'!$B$265&lt;&gt;""," | "&amp;'01_Warehouse_Ledger'!$B$265,""))</f>
        <v/>
      </c>
      <c r="C769">
        <f>IF('01_Warehouse_Ledger'!$A$265="","",'01_Warehouse_Ledger'!$A$265)</f>
        <v/>
      </c>
      <c r="D769" t="inlineStr">
        <is>
          <t>SCAN / FIND (Pallet → Location → Prism Node)</t>
        </is>
      </c>
    </row>
    <row r="770">
      <c r="A770" t="inlineStr">
        <is>
          <t>Pallet tag (stick on pallet).</t>
        </is>
      </c>
      <c r="B770">
        <f>IF('01_Warehouse_Ledger'!$A$266="","",'01_Warehouse_Ledger'!$A$266&amp;IF('01_Warehouse_Ledger'!$B$266&lt;&gt;""," | "&amp;'01_Warehouse_Ledger'!$B$266,""))</f>
        <v/>
      </c>
      <c r="C770">
        <f>IF('01_Warehouse_Ledger'!$A$266="","",'01_Warehouse_Ledger'!$A$266)</f>
        <v/>
      </c>
      <c r="D770" t="inlineStr">
        <is>
          <t>SCAN / FIND (Pallet → Location → Prism Node)</t>
        </is>
      </c>
    </row>
    <row r="771">
      <c r="A771" t="inlineStr">
        <is>
          <t>Pallet tag (stick on pallet).</t>
        </is>
      </c>
      <c r="B771">
        <f>IF('01_Warehouse_Ledger'!$A$267="","",'01_Warehouse_Ledger'!$A$267&amp;IF('01_Warehouse_Ledger'!$B$267&lt;&gt;""," | "&amp;'01_Warehouse_Ledger'!$B$267,""))</f>
        <v/>
      </c>
      <c r="C771">
        <f>IF('01_Warehouse_Ledger'!$A$267="","",'01_Warehouse_Ledger'!$A$267)</f>
        <v/>
      </c>
      <c r="D771" t="inlineStr">
        <is>
          <t>SCAN / FIND (Pallet → Location → Prism Node)</t>
        </is>
      </c>
    </row>
    <row r="772">
      <c r="A772" t="inlineStr">
        <is>
          <t>Pallet tag (stick on pallet).</t>
        </is>
      </c>
      <c r="B772">
        <f>IF('01_Warehouse_Ledger'!$A$268="","",'01_Warehouse_Ledger'!$A$268&amp;IF('01_Warehouse_Ledger'!$B$268&lt;&gt;""," | "&amp;'01_Warehouse_Ledger'!$B$268,""))</f>
        <v/>
      </c>
      <c r="C772">
        <f>IF('01_Warehouse_Ledger'!$A$268="","",'01_Warehouse_Ledger'!$A$268)</f>
        <v/>
      </c>
      <c r="D772" t="inlineStr">
        <is>
          <t>SCAN / FIND (Pallet → Location → Prism Node)</t>
        </is>
      </c>
    </row>
    <row r="773">
      <c r="A773" t="inlineStr">
        <is>
          <t>Pallet tag (stick on pallet).</t>
        </is>
      </c>
      <c r="B773">
        <f>IF('01_Warehouse_Ledger'!$A$269="","",'01_Warehouse_Ledger'!$A$269&amp;IF('01_Warehouse_Ledger'!$B$269&lt;&gt;""," | "&amp;'01_Warehouse_Ledger'!$B$269,""))</f>
        <v/>
      </c>
      <c r="C773">
        <f>IF('01_Warehouse_Ledger'!$A$269="","",'01_Warehouse_Ledger'!$A$269)</f>
        <v/>
      </c>
      <c r="D773" t="inlineStr">
        <is>
          <t>SCAN / FIND (Pallet → Location → Prism Node)</t>
        </is>
      </c>
    </row>
    <row r="774">
      <c r="A774" t="inlineStr">
        <is>
          <t>Pallet tag (stick on pallet).</t>
        </is>
      </c>
      <c r="B774">
        <f>IF('01_Warehouse_Ledger'!$A$270="","",'01_Warehouse_Ledger'!$A$270&amp;IF('01_Warehouse_Ledger'!$B$270&lt;&gt;""," | "&amp;'01_Warehouse_Ledger'!$B$270,""))</f>
        <v/>
      </c>
      <c r="C774">
        <f>IF('01_Warehouse_Ledger'!$A$270="","",'01_Warehouse_Ledger'!$A$270)</f>
        <v/>
      </c>
      <c r="D774" t="inlineStr">
        <is>
          <t>SCAN / FIND (Pallet → Location → Prism Node)</t>
        </is>
      </c>
    </row>
    <row r="775">
      <c r="A775" t="inlineStr">
        <is>
          <t>Pallet tag (stick on pallet).</t>
        </is>
      </c>
      <c r="B775">
        <f>IF('01_Warehouse_Ledger'!$A$271="","",'01_Warehouse_Ledger'!$A$271&amp;IF('01_Warehouse_Ledger'!$B$271&lt;&gt;""," | "&amp;'01_Warehouse_Ledger'!$B$271,""))</f>
        <v/>
      </c>
      <c r="C775">
        <f>IF('01_Warehouse_Ledger'!$A$271="","",'01_Warehouse_Ledger'!$A$271)</f>
        <v/>
      </c>
      <c r="D775" t="inlineStr">
        <is>
          <t>SCAN / FIND (Pallet → Location → Prism Node)</t>
        </is>
      </c>
    </row>
    <row r="776">
      <c r="A776" t="inlineStr">
        <is>
          <t>Pallet tag (stick on pallet).</t>
        </is>
      </c>
      <c r="B776">
        <f>IF('01_Warehouse_Ledger'!$A$272="","",'01_Warehouse_Ledger'!$A$272&amp;IF('01_Warehouse_Ledger'!$B$272&lt;&gt;""," | "&amp;'01_Warehouse_Ledger'!$B$272,""))</f>
        <v/>
      </c>
      <c r="C776">
        <f>IF('01_Warehouse_Ledger'!$A$272="","",'01_Warehouse_Ledger'!$A$272)</f>
        <v/>
      </c>
      <c r="D776" t="inlineStr">
        <is>
          <t>SCAN / FIND (Pallet → Location → Prism Node)</t>
        </is>
      </c>
    </row>
    <row r="777">
      <c r="A777" t="inlineStr">
        <is>
          <t>Pallet tag (stick on pallet).</t>
        </is>
      </c>
      <c r="B777">
        <f>IF('01_Warehouse_Ledger'!$A$273="","",'01_Warehouse_Ledger'!$A$273&amp;IF('01_Warehouse_Ledger'!$B$273&lt;&gt;""," | "&amp;'01_Warehouse_Ledger'!$B$273,""))</f>
        <v/>
      </c>
      <c r="C777">
        <f>IF('01_Warehouse_Ledger'!$A$273="","",'01_Warehouse_Ledger'!$A$273)</f>
        <v/>
      </c>
      <c r="D777" t="inlineStr">
        <is>
          <t>SCAN / FIND (Pallet → Location → Prism Node)</t>
        </is>
      </c>
    </row>
    <row r="778">
      <c r="A778" t="inlineStr">
        <is>
          <t>Pallet tag (stick on pallet).</t>
        </is>
      </c>
      <c r="B778">
        <f>IF('01_Warehouse_Ledger'!$A$274="","",'01_Warehouse_Ledger'!$A$274&amp;IF('01_Warehouse_Ledger'!$B$274&lt;&gt;""," | "&amp;'01_Warehouse_Ledger'!$B$274,""))</f>
        <v/>
      </c>
      <c r="C778">
        <f>IF('01_Warehouse_Ledger'!$A$274="","",'01_Warehouse_Ledger'!$A$274)</f>
        <v/>
      </c>
      <c r="D778" t="inlineStr">
        <is>
          <t>SCAN / FIND (Pallet → Location → Prism Node)</t>
        </is>
      </c>
    </row>
    <row r="779">
      <c r="A779" t="inlineStr">
        <is>
          <t>Pallet tag (stick on pallet).</t>
        </is>
      </c>
      <c r="B779">
        <f>IF('01_Warehouse_Ledger'!$A$275="","",'01_Warehouse_Ledger'!$A$275&amp;IF('01_Warehouse_Ledger'!$B$275&lt;&gt;""," | "&amp;'01_Warehouse_Ledger'!$B$275,""))</f>
        <v/>
      </c>
      <c r="C779">
        <f>IF('01_Warehouse_Ledger'!$A$275="","",'01_Warehouse_Ledger'!$A$275)</f>
        <v/>
      </c>
      <c r="D779" t="inlineStr">
        <is>
          <t>SCAN / FIND (Pallet → Location → Prism Node)</t>
        </is>
      </c>
    </row>
    <row r="780">
      <c r="A780" t="inlineStr">
        <is>
          <t>Pallet tag (stick on pallet).</t>
        </is>
      </c>
      <c r="B780">
        <f>IF('01_Warehouse_Ledger'!$A$276="","",'01_Warehouse_Ledger'!$A$276&amp;IF('01_Warehouse_Ledger'!$B$276&lt;&gt;""," | "&amp;'01_Warehouse_Ledger'!$B$276,""))</f>
        <v/>
      </c>
      <c r="C780">
        <f>IF('01_Warehouse_Ledger'!$A$276="","",'01_Warehouse_Ledger'!$A$276)</f>
        <v/>
      </c>
      <c r="D780" t="inlineStr">
        <is>
          <t>SCAN / FIND (Pallet → Location → Prism Node)</t>
        </is>
      </c>
    </row>
    <row r="781">
      <c r="A781" t="inlineStr">
        <is>
          <t>Pallet tag (stick on pallet).</t>
        </is>
      </c>
      <c r="B781">
        <f>IF('01_Warehouse_Ledger'!$A$277="","",'01_Warehouse_Ledger'!$A$277&amp;IF('01_Warehouse_Ledger'!$B$277&lt;&gt;""," | "&amp;'01_Warehouse_Ledger'!$B$277,""))</f>
        <v/>
      </c>
      <c r="C781">
        <f>IF('01_Warehouse_Ledger'!$A$277="","",'01_Warehouse_Ledger'!$A$277)</f>
        <v/>
      </c>
      <c r="D781" t="inlineStr">
        <is>
          <t>SCAN / FIND (Pallet → Location → Prism Node)</t>
        </is>
      </c>
    </row>
    <row r="782">
      <c r="A782" t="inlineStr">
        <is>
          <t>Pallet tag (stick on pallet).</t>
        </is>
      </c>
      <c r="B782">
        <f>IF('01_Warehouse_Ledger'!$A$278="","",'01_Warehouse_Ledger'!$A$278&amp;IF('01_Warehouse_Ledger'!$B$278&lt;&gt;""," | "&amp;'01_Warehouse_Ledger'!$B$278,""))</f>
        <v/>
      </c>
      <c r="C782">
        <f>IF('01_Warehouse_Ledger'!$A$278="","",'01_Warehouse_Ledger'!$A$278)</f>
        <v/>
      </c>
      <c r="D782" t="inlineStr">
        <is>
          <t>SCAN / FIND (Pallet → Location → Prism Node)</t>
        </is>
      </c>
    </row>
    <row r="783">
      <c r="A783" t="inlineStr">
        <is>
          <t>Pallet tag (stick on pallet).</t>
        </is>
      </c>
      <c r="B783">
        <f>IF('01_Warehouse_Ledger'!$A$279="","",'01_Warehouse_Ledger'!$A$279&amp;IF('01_Warehouse_Ledger'!$B$279&lt;&gt;""," | "&amp;'01_Warehouse_Ledger'!$B$279,""))</f>
        <v/>
      </c>
      <c r="C783">
        <f>IF('01_Warehouse_Ledger'!$A$279="","",'01_Warehouse_Ledger'!$A$279)</f>
        <v/>
      </c>
      <c r="D783" t="inlineStr">
        <is>
          <t>SCAN / FIND (Pallet → Location → Prism Node)</t>
        </is>
      </c>
    </row>
    <row r="784">
      <c r="A784" t="inlineStr">
        <is>
          <t>Pallet tag (stick on pallet).</t>
        </is>
      </c>
      <c r="B784">
        <f>IF('01_Warehouse_Ledger'!$A$280="","",'01_Warehouse_Ledger'!$A$280&amp;IF('01_Warehouse_Ledger'!$B$280&lt;&gt;""," | "&amp;'01_Warehouse_Ledger'!$B$280,""))</f>
        <v/>
      </c>
      <c r="C784">
        <f>IF('01_Warehouse_Ledger'!$A$280="","",'01_Warehouse_Ledger'!$A$280)</f>
        <v/>
      </c>
      <c r="D784" t="inlineStr">
        <is>
          <t>SCAN / FIND (Pallet → Location → Prism Node)</t>
        </is>
      </c>
    </row>
    <row r="785">
      <c r="A785" t="inlineStr">
        <is>
          <t>Pallet tag (stick on pallet).</t>
        </is>
      </c>
      <c r="B785">
        <f>IF('01_Warehouse_Ledger'!$A$281="","",'01_Warehouse_Ledger'!$A$281&amp;IF('01_Warehouse_Ledger'!$B$281&lt;&gt;""," | "&amp;'01_Warehouse_Ledger'!$B$281,""))</f>
        <v/>
      </c>
      <c r="C785">
        <f>IF('01_Warehouse_Ledger'!$A$281="","",'01_Warehouse_Ledger'!$A$281)</f>
        <v/>
      </c>
      <c r="D785" t="inlineStr">
        <is>
          <t>SCAN / FIND (Pallet → Location → Prism Node)</t>
        </is>
      </c>
    </row>
    <row r="786">
      <c r="A786" t="inlineStr">
        <is>
          <t>Pallet tag (stick on pallet).</t>
        </is>
      </c>
      <c r="B786">
        <f>IF('01_Warehouse_Ledger'!$A$282="","",'01_Warehouse_Ledger'!$A$282&amp;IF('01_Warehouse_Ledger'!$B$282&lt;&gt;""," | "&amp;'01_Warehouse_Ledger'!$B$282,""))</f>
        <v/>
      </c>
      <c r="C786">
        <f>IF('01_Warehouse_Ledger'!$A$282="","",'01_Warehouse_Ledger'!$A$282)</f>
        <v/>
      </c>
      <c r="D786" t="inlineStr">
        <is>
          <t>SCAN / FIND (Pallet → Location → Prism Node)</t>
        </is>
      </c>
    </row>
    <row r="787">
      <c r="A787" t="inlineStr">
        <is>
          <t>Pallet tag (stick on pallet).</t>
        </is>
      </c>
      <c r="B787">
        <f>IF('01_Warehouse_Ledger'!$A$283="","",'01_Warehouse_Ledger'!$A$283&amp;IF('01_Warehouse_Ledger'!$B$283&lt;&gt;""," | "&amp;'01_Warehouse_Ledger'!$B$283,""))</f>
        <v/>
      </c>
      <c r="C787">
        <f>IF('01_Warehouse_Ledger'!$A$283="","",'01_Warehouse_Ledger'!$A$283)</f>
        <v/>
      </c>
      <c r="D787" t="inlineStr">
        <is>
          <t>SCAN / FIND (Pallet → Location → Prism Node)</t>
        </is>
      </c>
    </row>
    <row r="788">
      <c r="A788" t="inlineStr">
        <is>
          <t>Pallet tag (stick on pallet).</t>
        </is>
      </c>
      <c r="B788">
        <f>IF('01_Warehouse_Ledger'!$A$284="","",'01_Warehouse_Ledger'!$A$284&amp;IF('01_Warehouse_Ledger'!$B$284&lt;&gt;""," | "&amp;'01_Warehouse_Ledger'!$B$284,""))</f>
        <v/>
      </c>
      <c r="C788">
        <f>IF('01_Warehouse_Ledger'!$A$284="","",'01_Warehouse_Ledger'!$A$284)</f>
        <v/>
      </c>
      <c r="D788" t="inlineStr">
        <is>
          <t>SCAN / FIND (Pallet → Location → Prism Node)</t>
        </is>
      </c>
    </row>
    <row r="789">
      <c r="A789" t="inlineStr">
        <is>
          <t>Pallet tag (stick on pallet).</t>
        </is>
      </c>
      <c r="B789">
        <f>IF('01_Warehouse_Ledger'!$A$285="","",'01_Warehouse_Ledger'!$A$285&amp;IF('01_Warehouse_Ledger'!$B$285&lt;&gt;""," | "&amp;'01_Warehouse_Ledger'!$B$285,""))</f>
        <v/>
      </c>
      <c r="C789">
        <f>IF('01_Warehouse_Ledger'!$A$285="","",'01_Warehouse_Ledger'!$A$285)</f>
        <v/>
      </c>
      <c r="D789" t="inlineStr">
        <is>
          <t>SCAN / FIND (Pallet → Location → Prism Node)</t>
        </is>
      </c>
    </row>
    <row r="790">
      <c r="A790" t="inlineStr">
        <is>
          <t>Pallet tag (stick on pallet).</t>
        </is>
      </c>
      <c r="B790">
        <f>IF('01_Warehouse_Ledger'!$A$286="","",'01_Warehouse_Ledger'!$A$286&amp;IF('01_Warehouse_Ledger'!$B$286&lt;&gt;""," | "&amp;'01_Warehouse_Ledger'!$B$286,""))</f>
        <v/>
      </c>
      <c r="C790">
        <f>IF('01_Warehouse_Ledger'!$A$286="","",'01_Warehouse_Ledger'!$A$286)</f>
        <v/>
      </c>
      <c r="D790" t="inlineStr">
        <is>
          <t>SCAN / FIND (Pallet → Location → Prism Node)</t>
        </is>
      </c>
    </row>
    <row r="791">
      <c r="A791" t="inlineStr">
        <is>
          <t>Pallet tag (stick on pallet).</t>
        </is>
      </c>
      <c r="B791">
        <f>IF('01_Warehouse_Ledger'!$A$287="","",'01_Warehouse_Ledger'!$A$287&amp;IF('01_Warehouse_Ledger'!$B$287&lt;&gt;""," | "&amp;'01_Warehouse_Ledger'!$B$287,""))</f>
        <v/>
      </c>
      <c r="C791">
        <f>IF('01_Warehouse_Ledger'!$A$287="","",'01_Warehouse_Ledger'!$A$287)</f>
        <v/>
      </c>
      <c r="D791" t="inlineStr">
        <is>
          <t>SCAN / FIND (Pallet → Location → Prism Node)</t>
        </is>
      </c>
    </row>
    <row r="792">
      <c r="A792" t="inlineStr">
        <is>
          <t>Pallet tag (stick on pallet).</t>
        </is>
      </c>
      <c r="B792">
        <f>IF('01_Warehouse_Ledger'!$A$288="","",'01_Warehouse_Ledger'!$A$288&amp;IF('01_Warehouse_Ledger'!$B$288&lt;&gt;""," | "&amp;'01_Warehouse_Ledger'!$B$288,""))</f>
        <v/>
      </c>
      <c r="C792">
        <f>IF('01_Warehouse_Ledger'!$A$288="","",'01_Warehouse_Ledger'!$A$288)</f>
        <v/>
      </c>
      <c r="D792" t="inlineStr">
        <is>
          <t>SCAN / FIND (Pallet → Location → Prism Node)</t>
        </is>
      </c>
    </row>
    <row r="793">
      <c r="A793" t="inlineStr">
        <is>
          <t>Pallet tag (stick on pallet).</t>
        </is>
      </c>
      <c r="B793">
        <f>IF('01_Warehouse_Ledger'!$A$289="","",'01_Warehouse_Ledger'!$A$289&amp;IF('01_Warehouse_Ledger'!$B$289&lt;&gt;""," | "&amp;'01_Warehouse_Ledger'!$B$289,""))</f>
        <v/>
      </c>
      <c r="C793">
        <f>IF('01_Warehouse_Ledger'!$A$289="","",'01_Warehouse_Ledger'!$A$289)</f>
        <v/>
      </c>
      <c r="D793" t="inlineStr">
        <is>
          <t>SCAN / FIND (Pallet → Location → Prism Node)</t>
        </is>
      </c>
    </row>
    <row r="794">
      <c r="A794" t="inlineStr">
        <is>
          <t>Pallet tag (stick on pallet).</t>
        </is>
      </c>
      <c r="B794">
        <f>IF('01_Warehouse_Ledger'!$A$290="","",'01_Warehouse_Ledger'!$A$290&amp;IF('01_Warehouse_Ledger'!$B$290&lt;&gt;""," | "&amp;'01_Warehouse_Ledger'!$B$290,""))</f>
        <v/>
      </c>
      <c r="C794">
        <f>IF('01_Warehouse_Ledger'!$A$290="","",'01_Warehouse_Ledger'!$A$290)</f>
        <v/>
      </c>
      <c r="D794" t="inlineStr">
        <is>
          <t>SCAN / FIND (Pallet → Location → Prism Node)</t>
        </is>
      </c>
    </row>
    <row r="795">
      <c r="A795" t="inlineStr">
        <is>
          <t>Pallet tag (stick on pallet).</t>
        </is>
      </c>
      <c r="B795">
        <f>IF('01_Warehouse_Ledger'!$A$291="","",'01_Warehouse_Ledger'!$A$291&amp;IF('01_Warehouse_Ledger'!$B$291&lt;&gt;""," | "&amp;'01_Warehouse_Ledger'!$B$291,""))</f>
        <v/>
      </c>
      <c r="C795">
        <f>IF('01_Warehouse_Ledger'!$A$291="","",'01_Warehouse_Ledger'!$A$291)</f>
        <v/>
      </c>
      <c r="D795" t="inlineStr">
        <is>
          <t>SCAN / FIND (Pallet → Location → Prism Node)</t>
        </is>
      </c>
    </row>
    <row r="796">
      <c r="A796" t="inlineStr">
        <is>
          <t>Pallet tag (stick on pallet).</t>
        </is>
      </c>
      <c r="B796">
        <f>IF('01_Warehouse_Ledger'!$A$292="","",'01_Warehouse_Ledger'!$A$292&amp;IF('01_Warehouse_Ledger'!$B$292&lt;&gt;""," | "&amp;'01_Warehouse_Ledger'!$B$292,""))</f>
        <v/>
      </c>
      <c r="C796">
        <f>IF('01_Warehouse_Ledger'!$A$292="","",'01_Warehouse_Ledger'!$A$292)</f>
        <v/>
      </c>
      <c r="D796" t="inlineStr">
        <is>
          <t>SCAN / FIND (Pallet → Location → Prism Node)</t>
        </is>
      </c>
    </row>
    <row r="797">
      <c r="A797" t="inlineStr">
        <is>
          <t>Pallet tag (stick on pallet).</t>
        </is>
      </c>
      <c r="B797">
        <f>IF('01_Warehouse_Ledger'!$A$293="","",'01_Warehouse_Ledger'!$A$293&amp;IF('01_Warehouse_Ledger'!$B$293&lt;&gt;""," | "&amp;'01_Warehouse_Ledger'!$B$293,""))</f>
        <v/>
      </c>
      <c r="C797">
        <f>IF('01_Warehouse_Ledger'!$A$293="","",'01_Warehouse_Ledger'!$A$293)</f>
        <v/>
      </c>
      <c r="D797" t="inlineStr">
        <is>
          <t>SCAN / FIND (Pallet → Location → Prism Node)</t>
        </is>
      </c>
    </row>
    <row r="798">
      <c r="A798" t="inlineStr">
        <is>
          <t>Pallet tag (stick on pallet).</t>
        </is>
      </c>
      <c r="B798">
        <f>IF('01_Warehouse_Ledger'!$A$294="","",'01_Warehouse_Ledger'!$A$294&amp;IF('01_Warehouse_Ledger'!$B$294&lt;&gt;""," | "&amp;'01_Warehouse_Ledger'!$B$294,""))</f>
        <v/>
      </c>
      <c r="C798">
        <f>IF('01_Warehouse_Ledger'!$A$294="","",'01_Warehouse_Ledger'!$A$294)</f>
        <v/>
      </c>
      <c r="D798" t="inlineStr">
        <is>
          <t>SCAN / FIND (Pallet → Location → Prism Node)</t>
        </is>
      </c>
    </row>
    <row r="799">
      <c r="A799" t="inlineStr">
        <is>
          <t>Pallet tag (stick on pallet).</t>
        </is>
      </c>
      <c r="B799">
        <f>IF('01_Warehouse_Ledger'!$A$295="","",'01_Warehouse_Ledger'!$A$295&amp;IF('01_Warehouse_Ledger'!$B$295&lt;&gt;""," | "&amp;'01_Warehouse_Ledger'!$B$295,""))</f>
        <v/>
      </c>
      <c r="C799">
        <f>IF('01_Warehouse_Ledger'!$A$295="","",'01_Warehouse_Ledger'!$A$295)</f>
        <v/>
      </c>
      <c r="D799" t="inlineStr">
        <is>
          <t>SCAN / FIND (Pallet → Location → Prism Node)</t>
        </is>
      </c>
    </row>
    <row r="800">
      <c r="A800" t="inlineStr">
        <is>
          <t>Pallet tag (stick on pallet).</t>
        </is>
      </c>
      <c r="B800">
        <f>IF('01_Warehouse_Ledger'!$A$296="","",'01_Warehouse_Ledger'!$A$296&amp;IF('01_Warehouse_Ledger'!$B$296&lt;&gt;""," | "&amp;'01_Warehouse_Ledger'!$B$296,""))</f>
        <v/>
      </c>
      <c r="C800">
        <f>IF('01_Warehouse_Ledger'!$A$296="","",'01_Warehouse_Ledger'!$A$296)</f>
        <v/>
      </c>
      <c r="D800" t="inlineStr">
        <is>
          <t>SCAN / FIND (Pallet → Location → Prism Node)</t>
        </is>
      </c>
    </row>
    <row r="801">
      <c r="A801" t="inlineStr">
        <is>
          <t>Pallet tag (stick on pallet).</t>
        </is>
      </c>
      <c r="B801">
        <f>IF('01_Warehouse_Ledger'!$A$297="","",'01_Warehouse_Ledger'!$A$297&amp;IF('01_Warehouse_Ledger'!$B$297&lt;&gt;""," | "&amp;'01_Warehouse_Ledger'!$B$297,""))</f>
        <v/>
      </c>
      <c r="C801">
        <f>IF('01_Warehouse_Ledger'!$A$297="","",'01_Warehouse_Ledger'!$A$297)</f>
        <v/>
      </c>
      <c r="D801" t="inlineStr">
        <is>
          <t>SCAN / FIND (Pallet → Location → Prism Node)</t>
        </is>
      </c>
    </row>
    <row r="802">
      <c r="A802" t="inlineStr">
        <is>
          <t>Pallet tag (stick on pallet).</t>
        </is>
      </c>
      <c r="B802">
        <f>IF('01_Warehouse_Ledger'!$A$298="","",'01_Warehouse_Ledger'!$A$298&amp;IF('01_Warehouse_Ledger'!$B$298&lt;&gt;""," | "&amp;'01_Warehouse_Ledger'!$B$298,""))</f>
        <v/>
      </c>
      <c r="C802">
        <f>IF('01_Warehouse_Ledger'!$A$298="","",'01_Warehouse_Ledger'!$A$298)</f>
        <v/>
      </c>
      <c r="D802" t="inlineStr">
        <is>
          <t>SCAN / FIND (Pallet → Location → Prism Node)</t>
        </is>
      </c>
    </row>
    <row r="803">
      <c r="A803" t="inlineStr">
        <is>
          <t>Pallet tag (stick on pallet).</t>
        </is>
      </c>
      <c r="B803">
        <f>IF('01_Warehouse_Ledger'!$A$299="","",'01_Warehouse_Ledger'!$A$299&amp;IF('01_Warehouse_Ledger'!$B$299&lt;&gt;""," | "&amp;'01_Warehouse_Ledger'!$B$299,""))</f>
        <v/>
      </c>
      <c r="C803">
        <f>IF('01_Warehouse_Ledger'!$A$299="","",'01_Warehouse_Ledger'!$A$299)</f>
        <v/>
      </c>
      <c r="D803" t="inlineStr">
        <is>
          <t>SCAN / FIND (Pallet → Location → Prism Node)</t>
        </is>
      </c>
    </row>
    <row r="804">
      <c r="A804" t="inlineStr">
        <is>
          <t>Pallet tag (stick on pallet).</t>
        </is>
      </c>
      <c r="B804">
        <f>IF('01_Warehouse_Ledger'!$A$300="","",'01_Warehouse_Ledger'!$A$300&amp;IF('01_Warehouse_Ledger'!$B$300&lt;&gt;""," | "&amp;'01_Warehouse_Ledger'!$B$300,""))</f>
        <v/>
      </c>
      <c r="C804">
        <f>IF('01_Warehouse_Ledger'!$A$300="","",'01_Warehouse_Ledger'!$A$300)</f>
        <v/>
      </c>
      <c r="D804" t="inlineStr">
        <is>
          <t>SCAN / FIND (Pallet → Location → Prism Node)</t>
        </is>
      </c>
    </row>
    <row r="805">
      <c r="A805" t="inlineStr">
        <is>
          <t>Pallet tag (stick on pallet).</t>
        </is>
      </c>
      <c r="B805">
        <f>IF('01_Warehouse_Ledger'!$A$301="","",'01_Warehouse_Ledger'!$A$301&amp;IF('01_Warehouse_Ledger'!$B$301&lt;&gt;""," | "&amp;'01_Warehouse_Ledger'!$B$301,""))</f>
        <v/>
      </c>
      <c r="C805">
        <f>IF('01_Warehouse_Ledger'!$A$301="","",'01_Warehouse_Ledger'!$A$301)</f>
        <v/>
      </c>
      <c r="D805" t="inlineStr">
        <is>
          <t>SCAN / FIND (Pallet → Location → Prism Node)</t>
        </is>
      </c>
    </row>
    <row r="806">
      <c r="A806" t="inlineStr">
        <is>
          <t>Pallet tag (stick on pallet).</t>
        </is>
      </c>
      <c r="B806">
        <f>IF('01_Warehouse_Ledger'!$A$302="","",'01_Warehouse_Ledger'!$A$302&amp;IF('01_Warehouse_Ledger'!$B$302&lt;&gt;""," | "&amp;'01_Warehouse_Ledger'!$B$302,""))</f>
        <v/>
      </c>
      <c r="C806">
        <f>IF('01_Warehouse_Ledger'!$A$302="","",'01_Warehouse_Ledger'!$A$302)</f>
        <v/>
      </c>
      <c r="D806" t="inlineStr">
        <is>
          <t>SCAN / FIND (Pallet → Location → Prism Node)</t>
        </is>
      </c>
    </row>
    <row r="807">
      <c r="A807" t="inlineStr">
        <is>
          <t>Pallet tag (stick on pallet).</t>
        </is>
      </c>
      <c r="B807">
        <f>IF('01_Warehouse_Ledger'!$A$303="","",'01_Warehouse_Ledger'!$A$303&amp;IF('01_Warehouse_Ledger'!$B$303&lt;&gt;""," | "&amp;'01_Warehouse_Ledger'!$B$303,""))</f>
        <v/>
      </c>
      <c r="C807">
        <f>IF('01_Warehouse_Ledger'!$A$303="","",'01_Warehouse_Ledger'!$A$303)</f>
        <v/>
      </c>
      <c r="D807" t="inlineStr">
        <is>
          <t>SCAN / FIND (Pallet → Location → Prism Node)</t>
        </is>
      </c>
    </row>
    <row r="808">
      <c r="A808" t="inlineStr">
        <is>
          <t>Pallet tag (stick on pallet).</t>
        </is>
      </c>
      <c r="B808">
        <f>IF('01_Warehouse_Ledger'!$A$304="","",'01_Warehouse_Ledger'!$A$304&amp;IF('01_Warehouse_Ledger'!$B$304&lt;&gt;""," | "&amp;'01_Warehouse_Ledger'!$B$304,""))</f>
        <v/>
      </c>
      <c r="C808">
        <f>IF('01_Warehouse_Ledger'!$A$304="","",'01_Warehouse_Ledger'!$A$304)</f>
        <v/>
      </c>
      <c r="D808" t="inlineStr">
        <is>
          <t>SCAN / FIND (Pallet → Location → Prism Node)</t>
        </is>
      </c>
    </row>
    <row r="809">
      <c r="A809" t="inlineStr">
        <is>
          <t>Pallet tag (stick on pallet).</t>
        </is>
      </c>
      <c r="B809">
        <f>IF('01_Warehouse_Ledger'!$A$305="","",'01_Warehouse_Ledger'!$A$305&amp;IF('01_Warehouse_Ledger'!$B$305&lt;&gt;""," | "&amp;'01_Warehouse_Ledger'!$B$305,""))</f>
        <v/>
      </c>
      <c r="C809">
        <f>IF('01_Warehouse_Ledger'!$A$305="","",'01_Warehouse_Ledger'!$A$305)</f>
        <v/>
      </c>
      <c r="D809" t="inlineStr">
        <is>
          <t>SCAN / FIND (Pallet → Location → Prism Node)</t>
        </is>
      </c>
    </row>
    <row r="810">
      <c r="A810" t="inlineStr">
        <is>
          <t>Pallet tag (stick on pallet).</t>
        </is>
      </c>
      <c r="B810">
        <f>IF('01_Warehouse_Ledger'!$A$306="","",'01_Warehouse_Ledger'!$A$306&amp;IF('01_Warehouse_Ledger'!$B$306&lt;&gt;""," | "&amp;'01_Warehouse_Ledger'!$B$306,""))</f>
        <v/>
      </c>
      <c r="C810">
        <f>IF('01_Warehouse_Ledger'!$A$306="","",'01_Warehouse_Ledger'!$A$306)</f>
        <v/>
      </c>
      <c r="D810" t="inlineStr">
        <is>
          <t>SCAN / FIND (Pallet → Location → Prism Node)</t>
        </is>
      </c>
    </row>
    <row r="811">
      <c r="A811" t="inlineStr">
        <is>
          <t>Pallet tag (stick on pallet).</t>
        </is>
      </c>
      <c r="B811">
        <f>IF('01_Warehouse_Ledger'!$A$307="","",'01_Warehouse_Ledger'!$A$307&amp;IF('01_Warehouse_Ledger'!$B$307&lt;&gt;""," | "&amp;'01_Warehouse_Ledger'!$B$307,""))</f>
        <v/>
      </c>
      <c r="C811">
        <f>IF('01_Warehouse_Ledger'!$A$307="","",'01_Warehouse_Ledger'!$A$307)</f>
        <v/>
      </c>
      <c r="D811" t="inlineStr">
        <is>
          <t>SCAN / FIND (Pallet → Location → Prism Node)</t>
        </is>
      </c>
    </row>
    <row r="812">
      <c r="A812" t="inlineStr">
        <is>
          <t>Pallet tag (stick on pallet).</t>
        </is>
      </c>
      <c r="B812">
        <f>IF('01_Warehouse_Ledger'!$A$308="","",'01_Warehouse_Ledger'!$A$308&amp;IF('01_Warehouse_Ledger'!$B$308&lt;&gt;""," | "&amp;'01_Warehouse_Ledger'!$B$308,""))</f>
        <v/>
      </c>
      <c r="C812">
        <f>IF('01_Warehouse_Ledger'!$A$308="","",'01_Warehouse_Ledger'!$A$308)</f>
        <v/>
      </c>
      <c r="D812" t="inlineStr">
        <is>
          <t>SCAN / FIND (Pallet → Location → Prism Node)</t>
        </is>
      </c>
    </row>
    <row r="813">
      <c r="A813" t="inlineStr">
        <is>
          <t>Pallet tag (stick on pallet).</t>
        </is>
      </c>
      <c r="B813">
        <f>IF('01_Warehouse_Ledger'!$A$309="","",'01_Warehouse_Ledger'!$A$309&amp;IF('01_Warehouse_Ledger'!$B$309&lt;&gt;""," | "&amp;'01_Warehouse_Ledger'!$B$309,""))</f>
        <v/>
      </c>
      <c r="C813">
        <f>IF('01_Warehouse_Ledger'!$A$309="","",'01_Warehouse_Ledger'!$A$309)</f>
        <v/>
      </c>
      <c r="D813" t="inlineStr">
        <is>
          <t>SCAN / FIND (Pallet → Location → Prism Node)</t>
        </is>
      </c>
    </row>
    <row r="814">
      <c r="A814" t="inlineStr">
        <is>
          <t>Pallet tag (stick on pallet).</t>
        </is>
      </c>
      <c r="B814">
        <f>IF('01_Warehouse_Ledger'!$A$310="","",'01_Warehouse_Ledger'!$A$310&amp;IF('01_Warehouse_Ledger'!$B$310&lt;&gt;""," | "&amp;'01_Warehouse_Ledger'!$B$310,""))</f>
        <v/>
      </c>
      <c r="C814">
        <f>IF('01_Warehouse_Ledger'!$A$310="","",'01_Warehouse_Ledger'!$A$310)</f>
        <v/>
      </c>
      <c r="D814" t="inlineStr">
        <is>
          <t>SCAN / FIND (Pallet → Location → Prism Node)</t>
        </is>
      </c>
    </row>
    <row r="815">
      <c r="A815" t="inlineStr">
        <is>
          <t>Pallet tag (stick on pallet).</t>
        </is>
      </c>
      <c r="B815">
        <f>IF('01_Warehouse_Ledger'!$A$311="","",'01_Warehouse_Ledger'!$A$311&amp;IF('01_Warehouse_Ledger'!$B$311&lt;&gt;""," | "&amp;'01_Warehouse_Ledger'!$B$311,""))</f>
        <v/>
      </c>
      <c r="C815">
        <f>IF('01_Warehouse_Ledger'!$A$311="","",'01_Warehouse_Ledger'!$A$311)</f>
        <v/>
      </c>
      <c r="D815" t="inlineStr">
        <is>
          <t>SCAN / FIND (Pallet → Location → Prism Node)</t>
        </is>
      </c>
    </row>
    <row r="816">
      <c r="A816" t="inlineStr">
        <is>
          <t>Pallet tag (stick on pallet).</t>
        </is>
      </c>
      <c r="B816">
        <f>IF('01_Warehouse_Ledger'!$A$312="","",'01_Warehouse_Ledger'!$A$312&amp;IF('01_Warehouse_Ledger'!$B$312&lt;&gt;""," | "&amp;'01_Warehouse_Ledger'!$B$312,""))</f>
        <v/>
      </c>
      <c r="C816">
        <f>IF('01_Warehouse_Ledger'!$A$312="","",'01_Warehouse_Ledger'!$A$312)</f>
        <v/>
      </c>
      <c r="D816" t="inlineStr">
        <is>
          <t>SCAN / FIND (Pallet → Location → Prism Node)</t>
        </is>
      </c>
    </row>
    <row r="817">
      <c r="A817" t="inlineStr">
        <is>
          <t>Pallet tag (stick on pallet).</t>
        </is>
      </c>
      <c r="B817">
        <f>IF('01_Warehouse_Ledger'!$A$313="","",'01_Warehouse_Ledger'!$A$313&amp;IF('01_Warehouse_Ledger'!$B$313&lt;&gt;""," | "&amp;'01_Warehouse_Ledger'!$B$313,""))</f>
        <v/>
      </c>
      <c r="C817">
        <f>IF('01_Warehouse_Ledger'!$A$313="","",'01_Warehouse_Ledger'!$A$313)</f>
        <v/>
      </c>
      <c r="D817" t="inlineStr">
        <is>
          <t>SCAN / FIND (Pallet → Location → Prism Node)</t>
        </is>
      </c>
    </row>
    <row r="818">
      <c r="A818" t="inlineStr">
        <is>
          <t>Pallet tag (stick on pallet).</t>
        </is>
      </c>
      <c r="B818">
        <f>IF('01_Warehouse_Ledger'!$A$314="","",'01_Warehouse_Ledger'!$A$314&amp;IF('01_Warehouse_Ledger'!$B$314&lt;&gt;""," | "&amp;'01_Warehouse_Ledger'!$B$314,""))</f>
        <v/>
      </c>
      <c r="C818">
        <f>IF('01_Warehouse_Ledger'!$A$314="","",'01_Warehouse_Ledger'!$A$314)</f>
        <v/>
      </c>
      <c r="D818" t="inlineStr">
        <is>
          <t>SCAN / FIND (Pallet → Location → Prism Node)</t>
        </is>
      </c>
    </row>
    <row r="819">
      <c r="A819" t="inlineStr">
        <is>
          <t>Pallet tag (stick on pallet).</t>
        </is>
      </c>
      <c r="B819">
        <f>IF('01_Warehouse_Ledger'!$A$315="","",'01_Warehouse_Ledger'!$A$315&amp;IF('01_Warehouse_Ledger'!$B$315&lt;&gt;""," | "&amp;'01_Warehouse_Ledger'!$B$315,""))</f>
        <v/>
      </c>
      <c r="C819">
        <f>IF('01_Warehouse_Ledger'!$A$315="","",'01_Warehouse_Ledger'!$A$315)</f>
        <v/>
      </c>
      <c r="D819" t="inlineStr">
        <is>
          <t>SCAN / FIND (Pallet → Location → Prism Node)</t>
        </is>
      </c>
    </row>
    <row r="820">
      <c r="A820" t="inlineStr">
        <is>
          <t>Pallet tag (stick on pallet).</t>
        </is>
      </c>
      <c r="B820">
        <f>IF('01_Warehouse_Ledger'!$A$316="","",'01_Warehouse_Ledger'!$A$316&amp;IF('01_Warehouse_Ledger'!$B$316&lt;&gt;""," | "&amp;'01_Warehouse_Ledger'!$B$316,""))</f>
        <v/>
      </c>
      <c r="C820">
        <f>IF('01_Warehouse_Ledger'!$A$316="","",'01_Warehouse_Ledger'!$A$316)</f>
        <v/>
      </c>
      <c r="D820" t="inlineStr">
        <is>
          <t>SCAN / FIND (Pallet → Location → Prism Node)</t>
        </is>
      </c>
    </row>
    <row r="821">
      <c r="A821" t="inlineStr">
        <is>
          <t>Pallet tag (stick on pallet).</t>
        </is>
      </c>
      <c r="B821">
        <f>IF('01_Warehouse_Ledger'!$A$317="","",'01_Warehouse_Ledger'!$A$317&amp;IF('01_Warehouse_Ledger'!$B$317&lt;&gt;""," | "&amp;'01_Warehouse_Ledger'!$B$317,""))</f>
        <v/>
      </c>
      <c r="C821">
        <f>IF('01_Warehouse_Ledger'!$A$317="","",'01_Warehouse_Ledger'!$A$317)</f>
        <v/>
      </c>
      <c r="D821" t="inlineStr">
        <is>
          <t>SCAN / FIND (Pallet → Location → Prism Node)</t>
        </is>
      </c>
    </row>
    <row r="822">
      <c r="A822" t="inlineStr">
        <is>
          <t>Pallet tag (stick on pallet).</t>
        </is>
      </c>
      <c r="B822">
        <f>IF('01_Warehouse_Ledger'!$A$318="","",'01_Warehouse_Ledger'!$A$318&amp;IF('01_Warehouse_Ledger'!$B$318&lt;&gt;""," | "&amp;'01_Warehouse_Ledger'!$B$318,""))</f>
        <v/>
      </c>
      <c r="C822">
        <f>IF('01_Warehouse_Ledger'!$A$318="","",'01_Warehouse_Ledger'!$A$318)</f>
        <v/>
      </c>
      <c r="D822" t="inlineStr">
        <is>
          <t>SCAN / FIND (Pallet → Location → Prism Node)</t>
        </is>
      </c>
    </row>
    <row r="823">
      <c r="A823" t="inlineStr">
        <is>
          <t>Pallet tag (stick on pallet).</t>
        </is>
      </c>
      <c r="B823">
        <f>IF('01_Warehouse_Ledger'!$A$319="","",'01_Warehouse_Ledger'!$A$319&amp;IF('01_Warehouse_Ledger'!$B$319&lt;&gt;""," | "&amp;'01_Warehouse_Ledger'!$B$319,""))</f>
        <v/>
      </c>
      <c r="C823">
        <f>IF('01_Warehouse_Ledger'!$A$319="","",'01_Warehouse_Ledger'!$A$319)</f>
        <v/>
      </c>
      <c r="D823" t="inlineStr">
        <is>
          <t>SCAN / FIND (Pallet → Location → Prism Node)</t>
        </is>
      </c>
    </row>
    <row r="824">
      <c r="A824" t="inlineStr">
        <is>
          <t>Pallet tag (stick on pallet).</t>
        </is>
      </c>
      <c r="B824">
        <f>IF('01_Warehouse_Ledger'!$A$320="","",'01_Warehouse_Ledger'!$A$320&amp;IF('01_Warehouse_Ledger'!$B$320&lt;&gt;""," | "&amp;'01_Warehouse_Ledger'!$B$320,""))</f>
        <v/>
      </c>
      <c r="C824">
        <f>IF('01_Warehouse_Ledger'!$A$320="","",'01_Warehouse_Ledger'!$A$320)</f>
        <v/>
      </c>
      <c r="D824" t="inlineStr">
        <is>
          <t>SCAN / FIND (Pallet → Location → Prism Node)</t>
        </is>
      </c>
    </row>
    <row r="825">
      <c r="A825" t="inlineStr">
        <is>
          <t>Pallet tag (stick on pallet).</t>
        </is>
      </c>
      <c r="B825">
        <f>IF('01_Warehouse_Ledger'!$A$321="","",'01_Warehouse_Ledger'!$A$321&amp;IF('01_Warehouse_Ledger'!$B$321&lt;&gt;""," | "&amp;'01_Warehouse_Ledger'!$B$321,""))</f>
        <v/>
      </c>
      <c r="C825">
        <f>IF('01_Warehouse_Ledger'!$A$321="","",'01_Warehouse_Ledger'!$A$321)</f>
        <v/>
      </c>
      <c r="D825" t="inlineStr">
        <is>
          <t>SCAN / FIND (Pallet → Location → Prism Node)</t>
        </is>
      </c>
    </row>
    <row r="826">
      <c r="A826" t="inlineStr">
        <is>
          <t>Pallet tag (stick on pallet).</t>
        </is>
      </c>
      <c r="B826">
        <f>IF('01_Warehouse_Ledger'!$A$322="","",'01_Warehouse_Ledger'!$A$322&amp;IF('01_Warehouse_Ledger'!$B$322&lt;&gt;""," | "&amp;'01_Warehouse_Ledger'!$B$322,""))</f>
        <v/>
      </c>
      <c r="C826">
        <f>IF('01_Warehouse_Ledger'!$A$322="","",'01_Warehouse_Ledger'!$A$322)</f>
        <v/>
      </c>
      <c r="D826" t="inlineStr">
        <is>
          <t>SCAN / FIND (Pallet → Location → Prism Node)</t>
        </is>
      </c>
    </row>
    <row r="827">
      <c r="A827" t="inlineStr">
        <is>
          <t>Pallet tag (stick on pallet).</t>
        </is>
      </c>
      <c r="B827">
        <f>IF('01_Warehouse_Ledger'!$A$323="","",'01_Warehouse_Ledger'!$A$323&amp;IF('01_Warehouse_Ledger'!$B$323&lt;&gt;""," | "&amp;'01_Warehouse_Ledger'!$B$323,""))</f>
        <v/>
      </c>
      <c r="C827">
        <f>IF('01_Warehouse_Ledger'!$A$323="","",'01_Warehouse_Ledger'!$A$323)</f>
        <v/>
      </c>
      <c r="D827" t="inlineStr">
        <is>
          <t>SCAN / FIND (Pallet → Location → Prism Node)</t>
        </is>
      </c>
    </row>
    <row r="828">
      <c r="A828" t="inlineStr">
        <is>
          <t>Pallet tag (stick on pallet).</t>
        </is>
      </c>
      <c r="B828">
        <f>IF('01_Warehouse_Ledger'!$A$324="","",'01_Warehouse_Ledger'!$A$324&amp;IF('01_Warehouse_Ledger'!$B$324&lt;&gt;""," | "&amp;'01_Warehouse_Ledger'!$B$324,""))</f>
        <v/>
      </c>
      <c r="C828">
        <f>IF('01_Warehouse_Ledger'!$A$324="","",'01_Warehouse_Ledger'!$A$324)</f>
        <v/>
      </c>
      <c r="D828" t="inlineStr">
        <is>
          <t>SCAN / FIND (Pallet → Location → Prism Node)</t>
        </is>
      </c>
    </row>
    <row r="829">
      <c r="A829" t="inlineStr">
        <is>
          <t>Pallet tag (stick on pallet).</t>
        </is>
      </c>
      <c r="B829">
        <f>IF('01_Warehouse_Ledger'!$A$325="","",'01_Warehouse_Ledger'!$A$325&amp;IF('01_Warehouse_Ledger'!$B$325&lt;&gt;""," | "&amp;'01_Warehouse_Ledger'!$B$325,""))</f>
        <v/>
      </c>
      <c r="C829">
        <f>IF('01_Warehouse_Ledger'!$A$325="","",'01_Warehouse_Ledger'!$A$325)</f>
        <v/>
      </c>
      <c r="D829" t="inlineStr">
        <is>
          <t>SCAN / FIND (Pallet → Location → Prism Node)</t>
        </is>
      </c>
    </row>
    <row r="830">
      <c r="A830" t="inlineStr">
        <is>
          <t>Pallet tag (stick on pallet).</t>
        </is>
      </c>
      <c r="B830">
        <f>IF('01_Warehouse_Ledger'!$A$326="","",'01_Warehouse_Ledger'!$A$326&amp;IF('01_Warehouse_Ledger'!$B$326&lt;&gt;""," | "&amp;'01_Warehouse_Ledger'!$B$326,""))</f>
        <v/>
      </c>
      <c r="C830">
        <f>IF('01_Warehouse_Ledger'!$A$326="","",'01_Warehouse_Ledger'!$A$326)</f>
        <v/>
      </c>
      <c r="D830" t="inlineStr">
        <is>
          <t>SCAN / FIND (Pallet → Location → Prism Node)</t>
        </is>
      </c>
    </row>
    <row r="831">
      <c r="A831" t="inlineStr">
        <is>
          <t>Pallet tag (stick on pallet).</t>
        </is>
      </c>
      <c r="B831">
        <f>IF('01_Warehouse_Ledger'!$A$327="","",'01_Warehouse_Ledger'!$A$327&amp;IF('01_Warehouse_Ledger'!$B$327&lt;&gt;""," | "&amp;'01_Warehouse_Ledger'!$B$327,""))</f>
        <v/>
      </c>
      <c r="C831">
        <f>IF('01_Warehouse_Ledger'!$A$327="","",'01_Warehouse_Ledger'!$A$327)</f>
        <v/>
      </c>
      <c r="D831" t="inlineStr">
        <is>
          <t>SCAN / FIND (Pallet → Location → Prism Node)</t>
        </is>
      </c>
    </row>
    <row r="832">
      <c r="A832" t="inlineStr">
        <is>
          <t>Pallet tag (stick on pallet).</t>
        </is>
      </c>
      <c r="B832">
        <f>IF('01_Warehouse_Ledger'!$A$328="","",'01_Warehouse_Ledger'!$A$328&amp;IF('01_Warehouse_Ledger'!$B$328&lt;&gt;""," | "&amp;'01_Warehouse_Ledger'!$B$328,""))</f>
        <v/>
      </c>
      <c r="C832">
        <f>IF('01_Warehouse_Ledger'!$A$328="","",'01_Warehouse_Ledger'!$A$328)</f>
        <v/>
      </c>
      <c r="D832" t="inlineStr">
        <is>
          <t>SCAN / FIND (Pallet → Location → Prism Node)</t>
        </is>
      </c>
    </row>
    <row r="833">
      <c r="A833" t="inlineStr">
        <is>
          <t>Pallet tag (stick on pallet).</t>
        </is>
      </c>
      <c r="B833">
        <f>IF('01_Warehouse_Ledger'!$A$329="","",'01_Warehouse_Ledger'!$A$329&amp;IF('01_Warehouse_Ledger'!$B$329&lt;&gt;""," | "&amp;'01_Warehouse_Ledger'!$B$329,""))</f>
        <v/>
      </c>
      <c r="C833">
        <f>IF('01_Warehouse_Ledger'!$A$329="","",'01_Warehouse_Ledger'!$A$329)</f>
        <v/>
      </c>
      <c r="D833" t="inlineStr">
        <is>
          <t>SCAN / FIND (Pallet → Location → Prism Node)</t>
        </is>
      </c>
    </row>
    <row r="834">
      <c r="A834" t="inlineStr">
        <is>
          <t>Pallet tag (stick on pallet).</t>
        </is>
      </c>
      <c r="B834">
        <f>IF('01_Warehouse_Ledger'!$A$330="","",'01_Warehouse_Ledger'!$A$330&amp;IF('01_Warehouse_Ledger'!$B$330&lt;&gt;""," | "&amp;'01_Warehouse_Ledger'!$B$330,""))</f>
        <v/>
      </c>
      <c r="C834">
        <f>IF('01_Warehouse_Ledger'!$A$330="","",'01_Warehouse_Ledger'!$A$330)</f>
        <v/>
      </c>
      <c r="D834" t="inlineStr">
        <is>
          <t>SCAN / FIND (Pallet → Location → Prism Node)</t>
        </is>
      </c>
    </row>
    <row r="835">
      <c r="A835" t="inlineStr">
        <is>
          <t>Pallet tag (stick on pallet).</t>
        </is>
      </c>
      <c r="B835">
        <f>IF('01_Warehouse_Ledger'!$A$331="","",'01_Warehouse_Ledger'!$A$331&amp;IF('01_Warehouse_Ledger'!$B$331&lt;&gt;""," | "&amp;'01_Warehouse_Ledger'!$B$331,""))</f>
        <v/>
      </c>
      <c r="C835">
        <f>IF('01_Warehouse_Ledger'!$A$331="","",'01_Warehouse_Ledger'!$A$331)</f>
        <v/>
      </c>
      <c r="D835" t="inlineStr">
        <is>
          <t>SCAN / FIND (Pallet → Location → Prism Node)</t>
        </is>
      </c>
    </row>
    <row r="836">
      <c r="A836" t="inlineStr">
        <is>
          <t>Pallet tag (stick on pallet).</t>
        </is>
      </c>
      <c r="B836">
        <f>IF('01_Warehouse_Ledger'!$A$332="","",'01_Warehouse_Ledger'!$A$332&amp;IF('01_Warehouse_Ledger'!$B$332&lt;&gt;""," | "&amp;'01_Warehouse_Ledger'!$B$332,""))</f>
        <v/>
      </c>
      <c r="C836">
        <f>IF('01_Warehouse_Ledger'!$A$332="","",'01_Warehouse_Ledger'!$A$332)</f>
        <v/>
      </c>
      <c r="D836" t="inlineStr">
        <is>
          <t>SCAN / FIND (Pallet → Location → Prism Node)</t>
        </is>
      </c>
    </row>
    <row r="837">
      <c r="A837" t="inlineStr">
        <is>
          <t>Pallet tag (stick on pallet).</t>
        </is>
      </c>
      <c r="B837">
        <f>IF('01_Warehouse_Ledger'!$A$333="","",'01_Warehouse_Ledger'!$A$333&amp;IF('01_Warehouse_Ledger'!$B$333&lt;&gt;""," | "&amp;'01_Warehouse_Ledger'!$B$333,""))</f>
        <v/>
      </c>
      <c r="C837">
        <f>IF('01_Warehouse_Ledger'!$A$333="","",'01_Warehouse_Ledger'!$A$333)</f>
        <v/>
      </c>
      <c r="D837" t="inlineStr">
        <is>
          <t>SCAN / FIND (Pallet → Location → Prism Node)</t>
        </is>
      </c>
    </row>
    <row r="838">
      <c r="A838" t="inlineStr">
        <is>
          <t>Pallet tag (stick on pallet).</t>
        </is>
      </c>
      <c r="B838">
        <f>IF('01_Warehouse_Ledger'!$A$334="","",'01_Warehouse_Ledger'!$A$334&amp;IF('01_Warehouse_Ledger'!$B$334&lt;&gt;""," | "&amp;'01_Warehouse_Ledger'!$B$334,""))</f>
        <v/>
      </c>
      <c r="C838">
        <f>IF('01_Warehouse_Ledger'!$A$334="","",'01_Warehouse_Ledger'!$A$334)</f>
        <v/>
      </c>
      <c r="D838" t="inlineStr">
        <is>
          <t>SCAN / FIND (Pallet → Location → Prism Node)</t>
        </is>
      </c>
    </row>
    <row r="839">
      <c r="A839" t="inlineStr">
        <is>
          <t>Pallet tag (stick on pallet).</t>
        </is>
      </c>
      <c r="B839">
        <f>IF('01_Warehouse_Ledger'!$A$335="","",'01_Warehouse_Ledger'!$A$335&amp;IF('01_Warehouse_Ledger'!$B$335&lt;&gt;""," | "&amp;'01_Warehouse_Ledger'!$B$335,""))</f>
        <v/>
      </c>
      <c r="C839">
        <f>IF('01_Warehouse_Ledger'!$A$335="","",'01_Warehouse_Ledger'!$A$335)</f>
        <v/>
      </c>
      <c r="D839" t="inlineStr">
        <is>
          <t>SCAN / FIND (Pallet → Location → Prism Node)</t>
        </is>
      </c>
    </row>
    <row r="840">
      <c r="A840" t="inlineStr">
        <is>
          <t>Pallet tag (stick on pallet).</t>
        </is>
      </c>
      <c r="B840">
        <f>IF('01_Warehouse_Ledger'!$A$336="","",'01_Warehouse_Ledger'!$A$336&amp;IF('01_Warehouse_Ledger'!$B$336&lt;&gt;""," | "&amp;'01_Warehouse_Ledger'!$B$336,""))</f>
        <v/>
      </c>
      <c r="C840">
        <f>IF('01_Warehouse_Ledger'!$A$336="","",'01_Warehouse_Ledger'!$A$336)</f>
        <v/>
      </c>
      <c r="D840" t="inlineStr">
        <is>
          <t>SCAN / FIND (Pallet → Location → Prism Node)</t>
        </is>
      </c>
    </row>
    <row r="841">
      <c r="A841" t="inlineStr">
        <is>
          <t>Pallet tag (stick on pallet).</t>
        </is>
      </c>
      <c r="B841">
        <f>IF('01_Warehouse_Ledger'!$A$337="","",'01_Warehouse_Ledger'!$A$337&amp;IF('01_Warehouse_Ledger'!$B$337&lt;&gt;""," | "&amp;'01_Warehouse_Ledger'!$B$337,""))</f>
        <v/>
      </c>
      <c r="C841">
        <f>IF('01_Warehouse_Ledger'!$A$337="","",'01_Warehouse_Ledger'!$A$337)</f>
        <v/>
      </c>
      <c r="D841" t="inlineStr">
        <is>
          <t>SCAN / FIND (Pallet → Location → Prism Node)</t>
        </is>
      </c>
    </row>
    <row r="842">
      <c r="A842" t="inlineStr">
        <is>
          <t>Pallet tag (stick on pallet).</t>
        </is>
      </c>
      <c r="B842">
        <f>IF('01_Warehouse_Ledger'!$A$338="","",'01_Warehouse_Ledger'!$A$338&amp;IF('01_Warehouse_Ledger'!$B$338&lt;&gt;""," | "&amp;'01_Warehouse_Ledger'!$B$338,""))</f>
        <v/>
      </c>
      <c r="C842">
        <f>IF('01_Warehouse_Ledger'!$A$338="","",'01_Warehouse_Ledger'!$A$338)</f>
        <v/>
      </c>
      <c r="D842" t="inlineStr">
        <is>
          <t>SCAN / FIND (Pallet → Location → Prism Node)</t>
        </is>
      </c>
    </row>
    <row r="843">
      <c r="A843" t="inlineStr">
        <is>
          <t>Pallet tag (stick on pallet).</t>
        </is>
      </c>
      <c r="B843">
        <f>IF('01_Warehouse_Ledger'!$A$339="","",'01_Warehouse_Ledger'!$A$339&amp;IF('01_Warehouse_Ledger'!$B$339&lt;&gt;""," | "&amp;'01_Warehouse_Ledger'!$B$339,""))</f>
        <v/>
      </c>
      <c r="C843">
        <f>IF('01_Warehouse_Ledger'!$A$339="","",'01_Warehouse_Ledger'!$A$339)</f>
        <v/>
      </c>
      <c r="D843" t="inlineStr">
        <is>
          <t>SCAN / FIND (Pallet → Location → Prism Node)</t>
        </is>
      </c>
    </row>
    <row r="844">
      <c r="A844" t="inlineStr">
        <is>
          <t>Pallet tag (stick on pallet).</t>
        </is>
      </c>
      <c r="B844">
        <f>IF('01_Warehouse_Ledger'!$A$340="","",'01_Warehouse_Ledger'!$A$340&amp;IF('01_Warehouse_Ledger'!$B$340&lt;&gt;""," | "&amp;'01_Warehouse_Ledger'!$B$340,""))</f>
        <v/>
      </c>
      <c r="C844">
        <f>IF('01_Warehouse_Ledger'!$A$340="","",'01_Warehouse_Ledger'!$A$340)</f>
        <v/>
      </c>
      <c r="D844" t="inlineStr">
        <is>
          <t>SCAN / FIND (Pallet → Location → Prism Node)</t>
        </is>
      </c>
    </row>
    <row r="845">
      <c r="A845" t="inlineStr">
        <is>
          <t>Pallet tag (stick on pallet).</t>
        </is>
      </c>
      <c r="B845">
        <f>IF('01_Warehouse_Ledger'!$A$341="","",'01_Warehouse_Ledger'!$A$341&amp;IF('01_Warehouse_Ledger'!$B$341&lt;&gt;""," | "&amp;'01_Warehouse_Ledger'!$B$341,""))</f>
        <v/>
      </c>
      <c r="C845">
        <f>IF('01_Warehouse_Ledger'!$A$341="","",'01_Warehouse_Ledger'!$A$341)</f>
        <v/>
      </c>
      <c r="D845" t="inlineStr">
        <is>
          <t>SCAN / FIND (Pallet → Location → Prism Node)</t>
        </is>
      </c>
    </row>
    <row r="846">
      <c r="A846" t="inlineStr">
        <is>
          <t>Pallet tag (stick on pallet).</t>
        </is>
      </c>
      <c r="B846">
        <f>IF('01_Warehouse_Ledger'!$A$342="","",'01_Warehouse_Ledger'!$A$342&amp;IF('01_Warehouse_Ledger'!$B$342&lt;&gt;""," | "&amp;'01_Warehouse_Ledger'!$B$342,""))</f>
        <v/>
      </c>
      <c r="C846">
        <f>IF('01_Warehouse_Ledger'!$A$342="","",'01_Warehouse_Ledger'!$A$342)</f>
        <v/>
      </c>
      <c r="D846" t="inlineStr">
        <is>
          <t>SCAN / FIND (Pallet → Location → Prism Node)</t>
        </is>
      </c>
    </row>
    <row r="847">
      <c r="A847" t="inlineStr">
        <is>
          <t>Pallet tag (stick on pallet).</t>
        </is>
      </c>
      <c r="B847">
        <f>IF('01_Warehouse_Ledger'!$A$343="","",'01_Warehouse_Ledger'!$A$343&amp;IF('01_Warehouse_Ledger'!$B$343&lt;&gt;""," | "&amp;'01_Warehouse_Ledger'!$B$343,""))</f>
        <v/>
      </c>
      <c r="C847">
        <f>IF('01_Warehouse_Ledger'!$A$343="","",'01_Warehouse_Ledger'!$A$343)</f>
        <v/>
      </c>
      <c r="D847" t="inlineStr">
        <is>
          <t>SCAN / FIND (Pallet → Location → Prism Node)</t>
        </is>
      </c>
    </row>
    <row r="848">
      <c r="A848" t="inlineStr">
        <is>
          <t>Pallet tag (stick on pallet).</t>
        </is>
      </c>
      <c r="B848">
        <f>IF('01_Warehouse_Ledger'!$A$344="","",'01_Warehouse_Ledger'!$A$344&amp;IF('01_Warehouse_Ledger'!$B$344&lt;&gt;""," | "&amp;'01_Warehouse_Ledger'!$B$344,""))</f>
        <v/>
      </c>
      <c r="C848">
        <f>IF('01_Warehouse_Ledger'!$A$344="","",'01_Warehouse_Ledger'!$A$344)</f>
        <v/>
      </c>
      <c r="D848" t="inlineStr">
        <is>
          <t>SCAN / FIND (Pallet → Location → Prism Node)</t>
        </is>
      </c>
    </row>
    <row r="849">
      <c r="A849" t="inlineStr">
        <is>
          <t>Pallet tag (stick on pallet).</t>
        </is>
      </c>
      <c r="B849">
        <f>IF('01_Warehouse_Ledger'!$A$345="","",'01_Warehouse_Ledger'!$A$345&amp;IF('01_Warehouse_Ledger'!$B$345&lt;&gt;""," | "&amp;'01_Warehouse_Ledger'!$B$345,""))</f>
        <v/>
      </c>
      <c r="C849">
        <f>IF('01_Warehouse_Ledger'!$A$345="","",'01_Warehouse_Ledger'!$A$345)</f>
        <v/>
      </c>
      <c r="D849" t="inlineStr">
        <is>
          <t>SCAN / FIND (Pallet → Location → Prism Node)</t>
        </is>
      </c>
    </row>
    <row r="850">
      <c r="A850" t="inlineStr">
        <is>
          <t>Pallet tag (stick on pallet).</t>
        </is>
      </c>
      <c r="B850">
        <f>IF('01_Warehouse_Ledger'!$A$346="","",'01_Warehouse_Ledger'!$A$346&amp;IF('01_Warehouse_Ledger'!$B$346&lt;&gt;""," | "&amp;'01_Warehouse_Ledger'!$B$346,""))</f>
        <v/>
      </c>
      <c r="C850">
        <f>IF('01_Warehouse_Ledger'!$A$346="","",'01_Warehouse_Ledger'!$A$346)</f>
        <v/>
      </c>
      <c r="D850" t="inlineStr">
        <is>
          <t>SCAN / FIND (Pallet → Location → Prism Node)</t>
        </is>
      </c>
    </row>
    <row r="851">
      <c r="A851" t="inlineStr">
        <is>
          <t>Pallet tag (stick on pallet).</t>
        </is>
      </c>
      <c r="B851">
        <f>IF('01_Warehouse_Ledger'!$A$347="","",'01_Warehouse_Ledger'!$A$347&amp;IF('01_Warehouse_Ledger'!$B$347&lt;&gt;""," | "&amp;'01_Warehouse_Ledger'!$B$347,""))</f>
        <v/>
      </c>
      <c r="C851">
        <f>IF('01_Warehouse_Ledger'!$A$347="","",'01_Warehouse_Ledger'!$A$347)</f>
        <v/>
      </c>
      <c r="D851" t="inlineStr">
        <is>
          <t>SCAN / FIND (Pallet → Location → Prism Node)</t>
        </is>
      </c>
    </row>
    <row r="852">
      <c r="A852" t="inlineStr">
        <is>
          <t>Pallet tag (stick on pallet).</t>
        </is>
      </c>
      <c r="B852">
        <f>IF('01_Warehouse_Ledger'!$A$348="","",'01_Warehouse_Ledger'!$A$348&amp;IF('01_Warehouse_Ledger'!$B$348&lt;&gt;""," | "&amp;'01_Warehouse_Ledger'!$B$348,""))</f>
        <v/>
      </c>
      <c r="C852">
        <f>IF('01_Warehouse_Ledger'!$A$348="","",'01_Warehouse_Ledger'!$A$348)</f>
        <v/>
      </c>
      <c r="D852" t="inlineStr">
        <is>
          <t>SCAN / FIND (Pallet → Location → Prism Node)</t>
        </is>
      </c>
    </row>
    <row r="853">
      <c r="A853" t="inlineStr">
        <is>
          <t>Pallet tag (stick on pallet).</t>
        </is>
      </c>
      <c r="B853">
        <f>IF('01_Warehouse_Ledger'!$A$349="","",'01_Warehouse_Ledger'!$A$349&amp;IF('01_Warehouse_Ledger'!$B$349&lt;&gt;""," | "&amp;'01_Warehouse_Ledger'!$B$349,""))</f>
        <v/>
      </c>
      <c r="C853">
        <f>IF('01_Warehouse_Ledger'!$A$349="","",'01_Warehouse_Ledger'!$A$349)</f>
        <v/>
      </c>
      <c r="D853" t="inlineStr">
        <is>
          <t>SCAN / FIND (Pallet → Location → Prism Node)</t>
        </is>
      </c>
    </row>
    <row r="854">
      <c r="A854" t="inlineStr">
        <is>
          <t>Pallet tag (stick on pallet).</t>
        </is>
      </c>
      <c r="B854">
        <f>IF('01_Warehouse_Ledger'!$A$350="","",'01_Warehouse_Ledger'!$A$350&amp;IF('01_Warehouse_Ledger'!$B$350&lt;&gt;""," | "&amp;'01_Warehouse_Ledger'!$B$350,""))</f>
        <v/>
      </c>
      <c r="C854">
        <f>IF('01_Warehouse_Ledger'!$A$350="","",'01_Warehouse_Ledger'!$A$350)</f>
        <v/>
      </c>
      <c r="D854" t="inlineStr">
        <is>
          <t>SCAN / FIND (Pallet → Location → Prism Node)</t>
        </is>
      </c>
    </row>
    <row r="855">
      <c r="A855" t="inlineStr">
        <is>
          <t>Pallet tag (stick on pallet).</t>
        </is>
      </c>
      <c r="B855">
        <f>IF('01_Warehouse_Ledger'!$A$351="","",'01_Warehouse_Ledger'!$A$351&amp;IF('01_Warehouse_Ledger'!$B$351&lt;&gt;""," | "&amp;'01_Warehouse_Ledger'!$B$351,""))</f>
        <v/>
      </c>
      <c r="C855">
        <f>IF('01_Warehouse_Ledger'!$A$351="","",'01_Warehouse_Ledger'!$A$351)</f>
        <v/>
      </c>
      <c r="D855" t="inlineStr">
        <is>
          <t>SCAN / FIND (Pallet → Location → Prism Node)</t>
        </is>
      </c>
    </row>
    <row r="856">
      <c r="A856" t="inlineStr">
        <is>
          <t>Pallet tag (stick on pallet).</t>
        </is>
      </c>
      <c r="B856">
        <f>IF('01_Warehouse_Ledger'!$A$352="","",'01_Warehouse_Ledger'!$A$352&amp;IF('01_Warehouse_Ledger'!$B$352&lt;&gt;""," | "&amp;'01_Warehouse_Ledger'!$B$352,""))</f>
        <v/>
      </c>
      <c r="C856">
        <f>IF('01_Warehouse_Ledger'!$A$352="","",'01_Warehouse_Ledger'!$A$352)</f>
        <v/>
      </c>
      <c r="D856" t="inlineStr">
        <is>
          <t>SCAN / FIND (Pallet → Location → Prism Node)</t>
        </is>
      </c>
    </row>
    <row r="857">
      <c r="A857" t="inlineStr">
        <is>
          <t>Pallet tag (stick on pallet).</t>
        </is>
      </c>
      <c r="B857">
        <f>IF('01_Warehouse_Ledger'!$A$353="","",'01_Warehouse_Ledger'!$A$353&amp;IF('01_Warehouse_Ledger'!$B$353&lt;&gt;""," | "&amp;'01_Warehouse_Ledger'!$B$353,""))</f>
        <v/>
      </c>
      <c r="C857">
        <f>IF('01_Warehouse_Ledger'!$A$353="","",'01_Warehouse_Ledger'!$A$353)</f>
        <v/>
      </c>
      <c r="D857" t="inlineStr">
        <is>
          <t>SCAN / FIND (Pallet → Location → Prism Node)</t>
        </is>
      </c>
    </row>
    <row r="858">
      <c r="A858" t="inlineStr">
        <is>
          <t>Pallet tag (stick on pallet).</t>
        </is>
      </c>
      <c r="B858">
        <f>IF('01_Warehouse_Ledger'!$A$354="","",'01_Warehouse_Ledger'!$A$354&amp;IF('01_Warehouse_Ledger'!$B$354&lt;&gt;""," | "&amp;'01_Warehouse_Ledger'!$B$354,""))</f>
        <v/>
      </c>
      <c r="C858">
        <f>IF('01_Warehouse_Ledger'!$A$354="","",'01_Warehouse_Ledger'!$A$354)</f>
        <v/>
      </c>
      <c r="D858" t="inlineStr">
        <is>
          <t>SCAN / FIND (Pallet → Location → Prism Node)</t>
        </is>
      </c>
    </row>
    <row r="859">
      <c r="A859" t="inlineStr">
        <is>
          <t>Pallet tag (stick on pallet).</t>
        </is>
      </c>
      <c r="B859">
        <f>IF('01_Warehouse_Ledger'!$A$355="","",'01_Warehouse_Ledger'!$A$355&amp;IF('01_Warehouse_Ledger'!$B$355&lt;&gt;""," | "&amp;'01_Warehouse_Ledger'!$B$355,""))</f>
        <v/>
      </c>
      <c r="C859">
        <f>IF('01_Warehouse_Ledger'!$A$355="","",'01_Warehouse_Ledger'!$A$355)</f>
        <v/>
      </c>
      <c r="D859" t="inlineStr">
        <is>
          <t>SCAN / FIND (Pallet → Location → Prism Node)</t>
        </is>
      </c>
    </row>
    <row r="860">
      <c r="A860" t="inlineStr">
        <is>
          <t>Pallet tag (stick on pallet).</t>
        </is>
      </c>
      <c r="B860">
        <f>IF('01_Warehouse_Ledger'!$A$356="","",'01_Warehouse_Ledger'!$A$356&amp;IF('01_Warehouse_Ledger'!$B$356&lt;&gt;""," | "&amp;'01_Warehouse_Ledger'!$B$356,""))</f>
        <v/>
      </c>
      <c r="C860">
        <f>IF('01_Warehouse_Ledger'!$A$356="","",'01_Warehouse_Ledger'!$A$356)</f>
        <v/>
      </c>
      <c r="D860" t="inlineStr">
        <is>
          <t>SCAN / FIND (Pallet → Location → Prism Node)</t>
        </is>
      </c>
    </row>
    <row r="861">
      <c r="A861" t="inlineStr">
        <is>
          <t>Pallet tag (stick on pallet).</t>
        </is>
      </c>
      <c r="B861">
        <f>IF('01_Warehouse_Ledger'!$A$357="","",'01_Warehouse_Ledger'!$A$357&amp;IF('01_Warehouse_Ledger'!$B$357&lt;&gt;""," | "&amp;'01_Warehouse_Ledger'!$B$357,""))</f>
        <v/>
      </c>
      <c r="C861">
        <f>IF('01_Warehouse_Ledger'!$A$357="","",'01_Warehouse_Ledger'!$A$357)</f>
        <v/>
      </c>
      <c r="D861" t="inlineStr">
        <is>
          <t>SCAN / FIND (Pallet → Location → Prism Node)</t>
        </is>
      </c>
    </row>
    <row r="862">
      <c r="A862" t="inlineStr">
        <is>
          <t>Pallet tag (stick on pallet).</t>
        </is>
      </c>
      <c r="B862">
        <f>IF('01_Warehouse_Ledger'!$A$358="","",'01_Warehouse_Ledger'!$A$358&amp;IF('01_Warehouse_Ledger'!$B$358&lt;&gt;""," | "&amp;'01_Warehouse_Ledger'!$B$358,""))</f>
        <v/>
      </c>
      <c r="C862">
        <f>IF('01_Warehouse_Ledger'!$A$358="","",'01_Warehouse_Ledger'!$A$358)</f>
        <v/>
      </c>
      <c r="D862" t="inlineStr">
        <is>
          <t>SCAN / FIND (Pallet → Location → Prism Node)</t>
        </is>
      </c>
    </row>
    <row r="863">
      <c r="A863" t="inlineStr">
        <is>
          <t>Pallet tag (stick on pallet).</t>
        </is>
      </c>
      <c r="B863">
        <f>IF('01_Warehouse_Ledger'!$A$359="","",'01_Warehouse_Ledger'!$A$359&amp;IF('01_Warehouse_Ledger'!$B$359&lt;&gt;""," | "&amp;'01_Warehouse_Ledger'!$B$359,""))</f>
        <v/>
      </c>
      <c r="C863">
        <f>IF('01_Warehouse_Ledger'!$A$359="","",'01_Warehouse_Ledger'!$A$359)</f>
        <v/>
      </c>
      <c r="D863" t="inlineStr">
        <is>
          <t>SCAN / FIND (Pallet → Location → Prism Node)</t>
        </is>
      </c>
    </row>
    <row r="864">
      <c r="A864" t="inlineStr">
        <is>
          <t>Pallet tag (stick on pallet).</t>
        </is>
      </c>
      <c r="B864">
        <f>IF('01_Warehouse_Ledger'!$A$360="","",'01_Warehouse_Ledger'!$A$360&amp;IF('01_Warehouse_Ledger'!$B$360&lt;&gt;""," | "&amp;'01_Warehouse_Ledger'!$B$360,""))</f>
        <v/>
      </c>
      <c r="C864">
        <f>IF('01_Warehouse_Ledger'!$A$360="","",'01_Warehouse_Ledger'!$A$360)</f>
        <v/>
      </c>
      <c r="D864" t="inlineStr">
        <is>
          <t>SCAN / FIND (Pallet → Location → Prism Node)</t>
        </is>
      </c>
    </row>
    <row r="865">
      <c r="A865" t="inlineStr">
        <is>
          <t>Pallet tag (stick on pallet).</t>
        </is>
      </c>
      <c r="B865">
        <f>IF('01_Warehouse_Ledger'!$A$361="","",'01_Warehouse_Ledger'!$A$361&amp;IF('01_Warehouse_Ledger'!$B$361&lt;&gt;""," | "&amp;'01_Warehouse_Ledger'!$B$361,""))</f>
        <v/>
      </c>
      <c r="C865">
        <f>IF('01_Warehouse_Ledger'!$A$361="","",'01_Warehouse_Ledger'!$A$361)</f>
        <v/>
      </c>
      <c r="D865" t="inlineStr">
        <is>
          <t>SCAN / FIND (Pallet → Location → Prism Node)</t>
        </is>
      </c>
    </row>
    <row r="866">
      <c r="A866" t="inlineStr">
        <is>
          <t>Pallet tag (stick on pallet).</t>
        </is>
      </c>
      <c r="B866">
        <f>IF('01_Warehouse_Ledger'!$A$362="","",'01_Warehouse_Ledger'!$A$362&amp;IF('01_Warehouse_Ledger'!$B$362&lt;&gt;""," | "&amp;'01_Warehouse_Ledger'!$B$362,""))</f>
        <v/>
      </c>
      <c r="C866">
        <f>IF('01_Warehouse_Ledger'!$A$362="","",'01_Warehouse_Ledger'!$A$362)</f>
        <v/>
      </c>
      <c r="D866" t="inlineStr">
        <is>
          <t>SCAN / FIND (Pallet → Location → Prism Node)</t>
        </is>
      </c>
    </row>
    <row r="867">
      <c r="A867" t="inlineStr">
        <is>
          <t>Pallet tag (stick on pallet).</t>
        </is>
      </c>
      <c r="B867">
        <f>IF('01_Warehouse_Ledger'!$A$363="","",'01_Warehouse_Ledger'!$A$363&amp;IF('01_Warehouse_Ledger'!$B$363&lt;&gt;""," | "&amp;'01_Warehouse_Ledger'!$B$363,""))</f>
        <v/>
      </c>
      <c r="C867">
        <f>IF('01_Warehouse_Ledger'!$A$363="","",'01_Warehouse_Ledger'!$A$363)</f>
        <v/>
      </c>
      <c r="D867" t="inlineStr">
        <is>
          <t>SCAN / FIND (Pallet → Location → Prism Node)</t>
        </is>
      </c>
    </row>
    <row r="868">
      <c r="A868" t="inlineStr">
        <is>
          <t>Pallet tag (stick on pallet).</t>
        </is>
      </c>
      <c r="B868">
        <f>IF('01_Warehouse_Ledger'!$A$364="","",'01_Warehouse_Ledger'!$A$364&amp;IF('01_Warehouse_Ledger'!$B$364&lt;&gt;""," | "&amp;'01_Warehouse_Ledger'!$B$364,""))</f>
        <v/>
      </c>
      <c r="C868">
        <f>IF('01_Warehouse_Ledger'!$A$364="","",'01_Warehouse_Ledger'!$A$364)</f>
        <v/>
      </c>
      <c r="D868" t="inlineStr">
        <is>
          <t>SCAN / FIND (Pallet → Location → Prism Node)</t>
        </is>
      </c>
    </row>
    <row r="869">
      <c r="A869" t="inlineStr">
        <is>
          <t>Pallet tag (stick on pallet).</t>
        </is>
      </c>
      <c r="B869">
        <f>IF('01_Warehouse_Ledger'!$A$365="","",'01_Warehouse_Ledger'!$A$365&amp;IF('01_Warehouse_Ledger'!$B$365&lt;&gt;""," | "&amp;'01_Warehouse_Ledger'!$B$365,""))</f>
        <v/>
      </c>
      <c r="C869">
        <f>IF('01_Warehouse_Ledger'!$A$365="","",'01_Warehouse_Ledger'!$A$365)</f>
        <v/>
      </c>
      <c r="D869" t="inlineStr">
        <is>
          <t>SCAN / FIND (Pallet → Location → Prism Node)</t>
        </is>
      </c>
    </row>
    <row r="870">
      <c r="A870" t="inlineStr">
        <is>
          <t>Pallet tag (stick on pallet).</t>
        </is>
      </c>
      <c r="B870">
        <f>IF('01_Warehouse_Ledger'!$A$366="","",'01_Warehouse_Ledger'!$A$366&amp;IF('01_Warehouse_Ledger'!$B$366&lt;&gt;""," | "&amp;'01_Warehouse_Ledger'!$B$366,""))</f>
        <v/>
      </c>
      <c r="C870">
        <f>IF('01_Warehouse_Ledger'!$A$366="","",'01_Warehouse_Ledger'!$A$366)</f>
        <v/>
      </c>
      <c r="D870" t="inlineStr">
        <is>
          <t>SCAN / FIND (Pallet → Location → Prism Node)</t>
        </is>
      </c>
    </row>
    <row r="871">
      <c r="A871" t="inlineStr">
        <is>
          <t>Pallet tag (stick on pallet).</t>
        </is>
      </c>
      <c r="B871">
        <f>IF('01_Warehouse_Ledger'!$A$367="","",'01_Warehouse_Ledger'!$A$367&amp;IF('01_Warehouse_Ledger'!$B$367&lt;&gt;""," | "&amp;'01_Warehouse_Ledger'!$B$367,""))</f>
        <v/>
      </c>
      <c r="C871">
        <f>IF('01_Warehouse_Ledger'!$A$367="","",'01_Warehouse_Ledger'!$A$367)</f>
        <v/>
      </c>
      <c r="D871" t="inlineStr">
        <is>
          <t>SCAN / FIND (Pallet → Location → Prism Node)</t>
        </is>
      </c>
    </row>
    <row r="872">
      <c r="A872" t="inlineStr">
        <is>
          <t>Pallet tag (stick on pallet).</t>
        </is>
      </c>
      <c r="B872">
        <f>IF('01_Warehouse_Ledger'!$A$368="","",'01_Warehouse_Ledger'!$A$368&amp;IF('01_Warehouse_Ledger'!$B$368&lt;&gt;""," | "&amp;'01_Warehouse_Ledger'!$B$368,""))</f>
        <v/>
      </c>
      <c r="C872">
        <f>IF('01_Warehouse_Ledger'!$A$368="","",'01_Warehouse_Ledger'!$A$368)</f>
        <v/>
      </c>
      <c r="D872" t="inlineStr">
        <is>
          <t>SCAN / FIND (Pallet → Location → Prism Node)</t>
        </is>
      </c>
    </row>
    <row r="873">
      <c r="A873" t="inlineStr">
        <is>
          <t>Pallet tag (stick on pallet).</t>
        </is>
      </c>
      <c r="B873">
        <f>IF('01_Warehouse_Ledger'!$A$369="","",'01_Warehouse_Ledger'!$A$369&amp;IF('01_Warehouse_Ledger'!$B$369&lt;&gt;""," | "&amp;'01_Warehouse_Ledger'!$B$369,""))</f>
        <v/>
      </c>
      <c r="C873">
        <f>IF('01_Warehouse_Ledger'!$A$369="","",'01_Warehouse_Ledger'!$A$369)</f>
        <v/>
      </c>
      <c r="D873" t="inlineStr">
        <is>
          <t>SCAN / FIND (Pallet → Location → Prism Node)</t>
        </is>
      </c>
    </row>
    <row r="874">
      <c r="A874" t="inlineStr">
        <is>
          <t>Pallet tag (stick on pallet).</t>
        </is>
      </c>
      <c r="B874">
        <f>IF('01_Warehouse_Ledger'!$A$370="","",'01_Warehouse_Ledger'!$A$370&amp;IF('01_Warehouse_Ledger'!$B$370&lt;&gt;""," | "&amp;'01_Warehouse_Ledger'!$B$370,""))</f>
        <v/>
      </c>
      <c r="C874">
        <f>IF('01_Warehouse_Ledger'!$A$370="","",'01_Warehouse_Ledger'!$A$370)</f>
        <v/>
      </c>
      <c r="D874" t="inlineStr">
        <is>
          <t>SCAN / FIND (Pallet → Location → Prism Node)</t>
        </is>
      </c>
    </row>
    <row r="875">
      <c r="A875" t="inlineStr">
        <is>
          <t>Pallet tag (stick on pallet).</t>
        </is>
      </c>
      <c r="B875">
        <f>IF('01_Warehouse_Ledger'!$A$371="","",'01_Warehouse_Ledger'!$A$371&amp;IF('01_Warehouse_Ledger'!$B$371&lt;&gt;""," | "&amp;'01_Warehouse_Ledger'!$B$371,""))</f>
        <v/>
      </c>
      <c r="C875">
        <f>IF('01_Warehouse_Ledger'!$A$371="","",'01_Warehouse_Ledger'!$A$371)</f>
        <v/>
      </c>
      <c r="D875" t="inlineStr">
        <is>
          <t>SCAN / FIND (Pallet → Location → Prism Node)</t>
        </is>
      </c>
    </row>
    <row r="876">
      <c r="A876" t="inlineStr">
        <is>
          <t>Pallet tag (stick on pallet).</t>
        </is>
      </c>
      <c r="B876">
        <f>IF('01_Warehouse_Ledger'!$A$372="","",'01_Warehouse_Ledger'!$A$372&amp;IF('01_Warehouse_Ledger'!$B$372&lt;&gt;""," | "&amp;'01_Warehouse_Ledger'!$B$372,""))</f>
        <v/>
      </c>
      <c r="C876">
        <f>IF('01_Warehouse_Ledger'!$A$372="","",'01_Warehouse_Ledger'!$A$372)</f>
        <v/>
      </c>
      <c r="D876" t="inlineStr">
        <is>
          <t>SCAN / FIND (Pallet → Location → Prism Node)</t>
        </is>
      </c>
    </row>
    <row r="877">
      <c r="A877" t="inlineStr">
        <is>
          <t>Pallet tag (stick on pallet).</t>
        </is>
      </c>
      <c r="B877">
        <f>IF('01_Warehouse_Ledger'!$A$373="","",'01_Warehouse_Ledger'!$A$373&amp;IF('01_Warehouse_Ledger'!$B$373&lt;&gt;""," | "&amp;'01_Warehouse_Ledger'!$B$373,""))</f>
        <v/>
      </c>
      <c r="C877">
        <f>IF('01_Warehouse_Ledger'!$A$373="","",'01_Warehouse_Ledger'!$A$373)</f>
        <v/>
      </c>
      <c r="D877" t="inlineStr">
        <is>
          <t>SCAN / FIND (Pallet → Location → Prism Node)</t>
        </is>
      </c>
    </row>
    <row r="878">
      <c r="A878" t="inlineStr">
        <is>
          <t>Pallet tag (stick on pallet).</t>
        </is>
      </c>
      <c r="B878">
        <f>IF('01_Warehouse_Ledger'!$A$374="","",'01_Warehouse_Ledger'!$A$374&amp;IF('01_Warehouse_Ledger'!$B$374&lt;&gt;""," | "&amp;'01_Warehouse_Ledger'!$B$374,""))</f>
        <v/>
      </c>
      <c r="C878">
        <f>IF('01_Warehouse_Ledger'!$A$374="","",'01_Warehouse_Ledger'!$A$374)</f>
        <v/>
      </c>
      <c r="D878" t="inlineStr">
        <is>
          <t>SCAN / FIND (Pallet → Location → Prism Node)</t>
        </is>
      </c>
    </row>
    <row r="879">
      <c r="A879" t="inlineStr">
        <is>
          <t>Pallet tag (stick on pallet).</t>
        </is>
      </c>
      <c r="B879">
        <f>IF('01_Warehouse_Ledger'!$A$375="","",'01_Warehouse_Ledger'!$A$375&amp;IF('01_Warehouse_Ledger'!$B$375&lt;&gt;""," | "&amp;'01_Warehouse_Ledger'!$B$375,""))</f>
        <v/>
      </c>
      <c r="C879">
        <f>IF('01_Warehouse_Ledger'!$A$375="","",'01_Warehouse_Ledger'!$A$375)</f>
        <v/>
      </c>
      <c r="D879" t="inlineStr">
        <is>
          <t>SCAN / FIND (Pallet → Location → Prism Node)</t>
        </is>
      </c>
    </row>
    <row r="880">
      <c r="A880" t="inlineStr">
        <is>
          <t>Pallet tag (stick on pallet).</t>
        </is>
      </c>
      <c r="B880">
        <f>IF('01_Warehouse_Ledger'!$A$376="","",'01_Warehouse_Ledger'!$A$376&amp;IF('01_Warehouse_Ledger'!$B$376&lt;&gt;""," | "&amp;'01_Warehouse_Ledger'!$B$376,""))</f>
        <v/>
      </c>
      <c r="C880">
        <f>IF('01_Warehouse_Ledger'!$A$376="","",'01_Warehouse_Ledger'!$A$376)</f>
        <v/>
      </c>
      <c r="D880" t="inlineStr">
        <is>
          <t>SCAN / FIND (Pallet → Location → Prism Node)</t>
        </is>
      </c>
    </row>
    <row r="881">
      <c r="A881" t="inlineStr">
        <is>
          <t>Pallet tag (stick on pallet).</t>
        </is>
      </c>
      <c r="B881">
        <f>IF('01_Warehouse_Ledger'!$A$377="","",'01_Warehouse_Ledger'!$A$377&amp;IF('01_Warehouse_Ledger'!$B$377&lt;&gt;""," | "&amp;'01_Warehouse_Ledger'!$B$377,""))</f>
        <v/>
      </c>
      <c r="C881">
        <f>IF('01_Warehouse_Ledger'!$A$377="","",'01_Warehouse_Ledger'!$A$377)</f>
        <v/>
      </c>
      <c r="D881" t="inlineStr">
        <is>
          <t>SCAN / FIND (Pallet → Location → Prism Node)</t>
        </is>
      </c>
    </row>
    <row r="882">
      <c r="A882" t="inlineStr">
        <is>
          <t>Pallet tag (stick on pallet).</t>
        </is>
      </c>
      <c r="B882">
        <f>IF('01_Warehouse_Ledger'!$A$378="","",'01_Warehouse_Ledger'!$A$378&amp;IF('01_Warehouse_Ledger'!$B$378&lt;&gt;""," | "&amp;'01_Warehouse_Ledger'!$B$378,""))</f>
        <v/>
      </c>
      <c r="C882">
        <f>IF('01_Warehouse_Ledger'!$A$378="","",'01_Warehouse_Ledger'!$A$378)</f>
        <v/>
      </c>
      <c r="D882" t="inlineStr">
        <is>
          <t>SCAN / FIND (Pallet → Location → Prism Node)</t>
        </is>
      </c>
    </row>
    <row r="883">
      <c r="A883" t="inlineStr">
        <is>
          <t>Pallet tag (stick on pallet).</t>
        </is>
      </c>
      <c r="B883">
        <f>IF('01_Warehouse_Ledger'!$A$379="","",'01_Warehouse_Ledger'!$A$379&amp;IF('01_Warehouse_Ledger'!$B$379&lt;&gt;""," | "&amp;'01_Warehouse_Ledger'!$B$379,""))</f>
        <v/>
      </c>
      <c r="C883">
        <f>IF('01_Warehouse_Ledger'!$A$379="","",'01_Warehouse_Ledger'!$A$379)</f>
        <v/>
      </c>
      <c r="D883" t="inlineStr">
        <is>
          <t>SCAN / FIND (Pallet → Location → Prism Node)</t>
        </is>
      </c>
    </row>
    <row r="884">
      <c r="A884" t="inlineStr">
        <is>
          <t>Pallet tag (stick on pallet).</t>
        </is>
      </c>
      <c r="B884">
        <f>IF('01_Warehouse_Ledger'!$A$380="","",'01_Warehouse_Ledger'!$A$380&amp;IF('01_Warehouse_Ledger'!$B$380&lt;&gt;""," | "&amp;'01_Warehouse_Ledger'!$B$380,""))</f>
        <v/>
      </c>
      <c r="C884">
        <f>IF('01_Warehouse_Ledger'!$A$380="","",'01_Warehouse_Ledger'!$A$380)</f>
        <v/>
      </c>
      <c r="D884" t="inlineStr">
        <is>
          <t>SCAN / FIND (Pallet → Location → Prism Node)</t>
        </is>
      </c>
    </row>
    <row r="885">
      <c r="A885" t="inlineStr">
        <is>
          <t>Pallet tag (stick on pallet).</t>
        </is>
      </c>
      <c r="B885">
        <f>IF('01_Warehouse_Ledger'!$A$381="","",'01_Warehouse_Ledger'!$A$381&amp;IF('01_Warehouse_Ledger'!$B$381&lt;&gt;""," | "&amp;'01_Warehouse_Ledger'!$B$381,""))</f>
        <v/>
      </c>
      <c r="C885">
        <f>IF('01_Warehouse_Ledger'!$A$381="","",'01_Warehouse_Ledger'!$A$381)</f>
        <v/>
      </c>
      <c r="D885" t="inlineStr">
        <is>
          <t>SCAN / FIND (Pallet → Location → Prism Node)</t>
        </is>
      </c>
    </row>
    <row r="886">
      <c r="A886" t="inlineStr">
        <is>
          <t>Pallet tag (stick on pallet).</t>
        </is>
      </c>
      <c r="B886">
        <f>IF('01_Warehouse_Ledger'!$A$382="","",'01_Warehouse_Ledger'!$A$382&amp;IF('01_Warehouse_Ledger'!$B$382&lt;&gt;""," | "&amp;'01_Warehouse_Ledger'!$B$382,""))</f>
        <v/>
      </c>
      <c r="C886">
        <f>IF('01_Warehouse_Ledger'!$A$382="","",'01_Warehouse_Ledger'!$A$382)</f>
        <v/>
      </c>
      <c r="D886" t="inlineStr">
        <is>
          <t>SCAN / FIND (Pallet → Location → Prism Node)</t>
        </is>
      </c>
    </row>
    <row r="887">
      <c r="A887" t="inlineStr">
        <is>
          <t>Pallet tag (stick on pallet).</t>
        </is>
      </c>
      <c r="B887">
        <f>IF('01_Warehouse_Ledger'!$A$383="","",'01_Warehouse_Ledger'!$A$383&amp;IF('01_Warehouse_Ledger'!$B$383&lt;&gt;""," | "&amp;'01_Warehouse_Ledger'!$B$383,""))</f>
        <v/>
      </c>
      <c r="C887">
        <f>IF('01_Warehouse_Ledger'!$A$383="","",'01_Warehouse_Ledger'!$A$383)</f>
        <v/>
      </c>
      <c r="D887" t="inlineStr">
        <is>
          <t>SCAN / FIND (Pallet → Location → Prism Node)</t>
        </is>
      </c>
    </row>
    <row r="888">
      <c r="A888" t="inlineStr">
        <is>
          <t>Pallet tag (stick on pallet).</t>
        </is>
      </c>
      <c r="B888">
        <f>IF('01_Warehouse_Ledger'!$A$384="","",'01_Warehouse_Ledger'!$A$384&amp;IF('01_Warehouse_Ledger'!$B$384&lt;&gt;""," | "&amp;'01_Warehouse_Ledger'!$B$384,""))</f>
        <v/>
      </c>
      <c r="C888">
        <f>IF('01_Warehouse_Ledger'!$A$384="","",'01_Warehouse_Ledger'!$A$384)</f>
        <v/>
      </c>
      <c r="D888" t="inlineStr">
        <is>
          <t>SCAN / FIND (Pallet → Location → Prism Node)</t>
        </is>
      </c>
    </row>
    <row r="889">
      <c r="A889" t="inlineStr">
        <is>
          <t>Pallet tag (stick on pallet).</t>
        </is>
      </c>
      <c r="B889">
        <f>IF('01_Warehouse_Ledger'!$A$385="","",'01_Warehouse_Ledger'!$A$385&amp;IF('01_Warehouse_Ledger'!$B$385&lt;&gt;""," | "&amp;'01_Warehouse_Ledger'!$B$385,""))</f>
        <v/>
      </c>
      <c r="C889">
        <f>IF('01_Warehouse_Ledger'!$A$385="","",'01_Warehouse_Ledger'!$A$385)</f>
        <v/>
      </c>
      <c r="D889" t="inlineStr">
        <is>
          <t>SCAN / FIND (Pallet → Location → Prism Node)</t>
        </is>
      </c>
    </row>
    <row r="890">
      <c r="A890" t="inlineStr">
        <is>
          <t>Pallet tag (stick on pallet).</t>
        </is>
      </c>
      <c r="B890">
        <f>IF('01_Warehouse_Ledger'!$A$386="","",'01_Warehouse_Ledger'!$A$386&amp;IF('01_Warehouse_Ledger'!$B$386&lt;&gt;""," | "&amp;'01_Warehouse_Ledger'!$B$386,""))</f>
        <v/>
      </c>
      <c r="C890">
        <f>IF('01_Warehouse_Ledger'!$A$386="","",'01_Warehouse_Ledger'!$A$386)</f>
        <v/>
      </c>
      <c r="D890" t="inlineStr">
        <is>
          <t>SCAN / FIND (Pallet → Location → Prism Node)</t>
        </is>
      </c>
    </row>
    <row r="891">
      <c r="A891" t="inlineStr">
        <is>
          <t>Pallet tag (stick on pallet).</t>
        </is>
      </c>
      <c r="B891">
        <f>IF('01_Warehouse_Ledger'!$A$387="","",'01_Warehouse_Ledger'!$A$387&amp;IF('01_Warehouse_Ledger'!$B$387&lt;&gt;""," | "&amp;'01_Warehouse_Ledger'!$B$387,""))</f>
        <v/>
      </c>
      <c r="C891">
        <f>IF('01_Warehouse_Ledger'!$A$387="","",'01_Warehouse_Ledger'!$A$387)</f>
        <v/>
      </c>
      <c r="D891" t="inlineStr">
        <is>
          <t>SCAN / FIND (Pallet → Location → Prism Node)</t>
        </is>
      </c>
    </row>
    <row r="892">
      <c r="A892" t="inlineStr">
        <is>
          <t>Pallet tag (stick on pallet).</t>
        </is>
      </c>
      <c r="B892">
        <f>IF('01_Warehouse_Ledger'!$A$388="","",'01_Warehouse_Ledger'!$A$388&amp;IF('01_Warehouse_Ledger'!$B$388&lt;&gt;""," | "&amp;'01_Warehouse_Ledger'!$B$388,""))</f>
        <v/>
      </c>
      <c r="C892">
        <f>IF('01_Warehouse_Ledger'!$A$388="","",'01_Warehouse_Ledger'!$A$388)</f>
        <v/>
      </c>
      <c r="D892" t="inlineStr">
        <is>
          <t>SCAN / FIND (Pallet → Location → Prism Node)</t>
        </is>
      </c>
    </row>
    <row r="893">
      <c r="A893" t="inlineStr">
        <is>
          <t>Pallet tag (stick on pallet).</t>
        </is>
      </c>
      <c r="B893">
        <f>IF('01_Warehouse_Ledger'!$A$389="","",'01_Warehouse_Ledger'!$A$389&amp;IF('01_Warehouse_Ledger'!$B$389&lt;&gt;""," | "&amp;'01_Warehouse_Ledger'!$B$389,""))</f>
        <v/>
      </c>
      <c r="C893">
        <f>IF('01_Warehouse_Ledger'!$A$389="","",'01_Warehouse_Ledger'!$A$389)</f>
        <v/>
      </c>
      <c r="D893" t="inlineStr">
        <is>
          <t>SCAN / FIND (Pallet → Location → Prism Node)</t>
        </is>
      </c>
    </row>
    <row r="894">
      <c r="A894" t="inlineStr">
        <is>
          <t>Pallet tag (stick on pallet).</t>
        </is>
      </c>
      <c r="B894">
        <f>IF('01_Warehouse_Ledger'!$A$390="","",'01_Warehouse_Ledger'!$A$390&amp;IF('01_Warehouse_Ledger'!$B$390&lt;&gt;""," | "&amp;'01_Warehouse_Ledger'!$B$390,""))</f>
        <v/>
      </c>
      <c r="C894">
        <f>IF('01_Warehouse_Ledger'!$A$390="","",'01_Warehouse_Ledger'!$A$390)</f>
        <v/>
      </c>
      <c r="D894" t="inlineStr">
        <is>
          <t>SCAN / FIND (Pallet → Location → Prism Node)</t>
        </is>
      </c>
    </row>
    <row r="895">
      <c r="A895" t="inlineStr">
        <is>
          <t>Pallet tag (stick on pallet).</t>
        </is>
      </c>
      <c r="B895">
        <f>IF('01_Warehouse_Ledger'!$A$391="","",'01_Warehouse_Ledger'!$A$391&amp;IF('01_Warehouse_Ledger'!$B$391&lt;&gt;""," | "&amp;'01_Warehouse_Ledger'!$B$391,""))</f>
        <v/>
      </c>
      <c r="C895">
        <f>IF('01_Warehouse_Ledger'!$A$391="","",'01_Warehouse_Ledger'!$A$391)</f>
        <v/>
      </c>
      <c r="D895" t="inlineStr">
        <is>
          <t>SCAN / FIND (Pallet → Location → Prism Node)</t>
        </is>
      </c>
    </row>
    <row r="896">
      <c r="A896" t="inlineStr">
        <is>
          <t>Pallet tag (stick on pallet).</t>
        </is>
      </c>
      <c r="B896">
        <f>IF('01_Warehouse_Ledger'!$A$392="","",'01_Warehouse_Ledger'!$A$392&amp;IF('01_Warehouse_Ledger'!$B$392&lt;&gt;""," | "&amp;'01_Warehouse_Ledger'!$B$392,""))</f>
        <v/>
      </c>
      <c r="C896">
        <f>IF('01_Warehouse_Ledger'!$A$392="","",'01_Warehouse_Ledger'!$A$392)</f>
        <v/>
      </c>
      <c r="D896" t="inlineStr">
        <is>
          <t>SCAN / FIND (Pallet → Location → Prism Node)</t>
        </is>
      </c>
    </row>
    <row r="897">
      <c r="A897" t="inlineStr">
        <is>
          <t>Pallet tag (stick on pallet).</t>
        </is>
      </c>
      <c r="B897">
        <f>IF('01_Warehouse_Ledger'!$A$393="","",'01_Warehouse_Ledger'!$A$393&amp;IF('01_Warehouse_Ledger'!$B$393&lt;&gt;""," | "&amp;'01_Warehouse_Ledger'!$B$393,""))</f>
        <v/>
      </c>
      <c r="C897">
        <f>IF('01_Warehouse_Ledger'!$A$393="","",'01_Warehouse_Ledger'!$A$393)</f>
        <v/>
      </c>
      <c r="D897" t="inlineStr">
        <is>
          <t>SCAN / FIND (Pallet → Location → Prism Node)</t>
        </is>
      </c>
    </row>
    <row r="898">
      <c r="A898" t="inlineStr">
        <is>
          <t>Pallet tag (stick on pallet).</t>
        </is>
      </c>
      <c r="B898">
        <f>IF('01_Warehouse_Ledger'!$A$394="","",'01_Warehouse_Ledger'!$A$394&amp;IF('01_Warehouse_Ledger'!$B$394&lt;&gt;""," | "&amp;'01_Warehouse_Ledger'!$B$394,""))</f>
        <v/>
      </c>
      <c r="C898">
        <f>IF('01_Warehouse_Ledger'!$A$394="","",'01_Warehouse_Ledger'!$A$394)</f>
        <v/>
      </c>
      <c r="D898" t="inlineStr">
        <is>
          <t>SCAN / FIND (Pallet → Location → Prism Node)</t>
        </is>
      </c>
    </row>
    <row r="899">
      <c r="A899" t="inlineStr">
        <is>
          <t>Pallet tag (stick on pallet).</t>
        </is>
      </c>
      <c r="B899">
        <f>IF('01_Warehouse_Ledger'!$A$395="","",'01_Warehouse_Ledger'!$A$395&amp;IF('01_Warehouse_Ledger'!$B$395&lt;&gt;""," | "&amp;'01_Warehouse_Ledger'!$B$395,""))</f>
        <v/>
      </c>
      <c r="C899">
        <f>IF('01_Warehouse_Ledger'!$A$395="","",'01_Warehouse_Ledger'!$A$395)</f>
        <v/>
      </c>
      <c r="D899" t="inlineStr">
        <is>
          <t>SCAN / FIND (Pallet → Location → Prism Node)</t>
        </is>
      </c>
    </row>
    <row r="900">
      <c r="A900" t="inlineStr">
        <is>
          <t>Pallet tag (stick on pallet).</t>
        </is>
      </c>
      <c r="B900">
        <f>IF('01_Warehouse_Ledger'!$A$396="","",'01_Warehouse_Ledger'!$A$396&amp;IF('01_Warehouse_Ledger'!$B$396&lt;&gt;""," | "&amp;'01_Warehouse_Ledger'!$B$396,""))</f>
        <v/>
      </c>
      <c r="C900">
        <f>IF('01_Warehouse_Ledger'!$A$396="","",'01_Warehouse_Ledger'!$A$396)</f>
        <v/>
      </c>
      <c r="D900" t="inlineStr">
        <is>
          <t>SCAN / FIND (Pallet → Location → Prism Node)</t>
        </is>
      </c>
    </row>
    <row r="901">
      <c r="A901" t="inlineStr">
        <is>
          <t>Pallet tag (stick on pallet).</t>
        </is>
      </c>
      <c r="B901">
        <f>IF('01_Warehouse_Ledger'!$A$397="","",'01_Warehouse_Ledger'!$A$397&amp;IF('01_Warehouse_Ledger'!$B$397&lt;&gt;""," | "&amp;'01_Warehouse_Ledger'!$B$397,""))</f>
        <v/>
      </c>
      <c r="C901">
        <f>IF('01_Warehouse_Ledger'!$A$397="","",'01_Warehouse_Ledger'!$A$397)</f>
        <v/>
      </c>
      <c r="D901" t="inlineStr">
        <is>
          <t>SCAN / FIND (Pallet → Location → Prism Node)</t>
        </is>
      </c>
    </row>
    <row r="902">
      <c r="A902" t="inlineStr">
        <is>
          <t>Pallet tag (stick on pallet).</t>
        </is>
      </c>
      <c r="B902">
        <f>IF('01_Warehouse_Ledger'!$A$398="","",'01_Warehouse_Ledger'!$A$398&amp;IF('01_Warehouse_Ledger'!$B$398&lt;&gt;""," | "&amp;'01_Warehouse_Ledger'!$B$398,""))</f>
        <v/>
      </c>
      <c r="C902">
        <f>IF('01_Warehouse_Ledger'!$A$398="","",'01_Warehouse_Ledger'!$A$398)</f>
        <v/>
      </c>
      <c r="D902" t="inlineStr">
        <is>
          <t>SCAN / FIND (Pallet → Location → Prism Node)</t>
        </is>
      </c>
    </row>
    <row r="903">
      <c r="A903" t="inlineStr">
        <is>
          <t>Pallet tag (stick on pallet).</t>
        </is>
      </c>
      <c r="B903">
        <f>IF('01_Warehouse_Ledger'!$A$399="","",'01_Warehouse_Ledger'!$A$399&amp;IF('01_Warehouse_Ledger'!$B$399&lt;&gt;""," | "&amp;'01_Warehouse_Ledger'!$B$399,""))</f>
        <v/>
      </c>
      <c r="C903">
        <f>IF('01_Warehouse_Ledger'!$A$399="","",'01_Warehouse_Ledger'!$A$399)</f>
        <v/>
      </c>
      <c r="D903" t="inlineStr">
        <is>
          <t>SCAN / FIND (Pallet → Location → Prism Node)</t>
        </is>
      </c>
    </row>
    <row r="904">
      <c r="A904" t="inlineStr">
        <is>
          <t>Pallet tag (stick on pallet).</t>
        </is>
      </c>
      <c r="B904">
        <f>IF('01_Warehouse_Ledger'!$A$400="","",'01_Warehouse_Ledger'!$A$400&amp;IF('01_Warehouse_Ledger'!$B$400&lt;&gt;""," | "&amp;'01_Warehouse_Ledger'!$B$400,""))</f>
        <v/>
      </c>
      <c r="C904">
        <f>IF('01_Warehouse_Ledger'!$A$400="","",'01_Warehouse_Ledger'!$A$400)</f>
        <v/>
      </c>
      <c r="D904" t="inlineStr">
        <is>
          <t>SCAN / FIND (Pallet → Location → Prism Node)</t>
        </is>
      </c>
    </row>
    <row r="905">
      <c r="A905" t="inlineStr">
        <is>
          <t>Pallet tag (stick on pallet).</t>
        </is>
      </c>
      <c r="B905">
        <f>IF('01_Warehouse_Ledger'!$A$401="","",'01_Warehouse_Ledger'!$A$401&amp;IF('01_Warehouse_Ledger'!$B$401&lt;&gt;""," | "&amp;'01_Warehouse_Ledger'!$B$401,""))</f>
        <v/>
      </c>
      <c r="C905">
        <f>IF('01_Warehouse_Ledger'!$A$401="","",'01_Warehouse_Ledger'!$A$401)</f>
        <v/>
      </c>
      <c r="D905" t="inlineStr">
        <is>
          <t>SCAN / FIND (Pallet → Location → Prism Node)</t>
        </is>
      </c>
    </row>
    <row r="906">
      <c r="A906" t="inlineStr">
        <is>
          <t>Pallet tag (stick on pallet).</t>
        </is>
      </c>
      <c r="B906">
        <f>IF('01_Warehouse_Ledger'!$A$402="","",'01_Warehouse_Ledger'!$A$402&amp;IF('01_Warehouse_Ledger'!$B$402&lt;&gt;""," | "&amp;'01_Warehouse_Ledger'!$B$402,""))</f>
        <v/>
      </c>
      <c r="C906">
        <f>IF('01_Warehouse_Ledger'!$A$402="","",'01_Warehouse_Ledger'!$A$402)</f>
        <v/>
      </c>
      <c r="D906" t="inlineStr">
        <is>
          <t>SCAN / FIND (Pallet → Location → Prism Node)</t>
        </is>
      </c>
    </row>
    <row r="907">
      <c r="A907" t="inlineStr">
        <is>
          <t>Pallet tag (stick on pallet).</t>
        </is>
      </c>
      <c r="B907">
        <f>IF('01_Warehouse_Ledger'!$A$403="","",'01_Warehouse_Ledger'!$A$403&amp;IF('01_Warehouse_Ledger'!$B$403&lt;&gt;""," | "&amp;'01_Warehouse_Ledger'!$B$403,""))</f>
        <v/>
      </c>
      <c r="C907">
        <f>IF('01_Warehouse_Ledger'!$A$403="","",'01_Warehouse_Ledger'!$A$403)</f>
        <v/>
      </c>
      <c r="D907" t="inlineStr">
        <is>
          <t>SCAN / FIND (Pallet → Location → Prism Node)</t>
        </is>
      </c>
    </row>
    <row r="908">
      <c r="A908" t="inlineStr">
        <is>
          <t>Pallet tag (stick on pallet).</t>
        </is>
      </c>
      <c r="B908">
        <f>IF('01_Warehouse_Ledger'!$A$404="","",'01_Warehouse_Ledger'!$A$404&amp;IF('01_Warehouse_Ledger'!$B$404&lt;&gt;""," | "&amp;'01_Warehouse_Ledger'!$B$404,""))</f>
        <v/>
      </c>
      <c r="C908">
        <f>IF('01_Warehouse_Ledger'!$A$404="","",'01_Warehouse_Ledger'!$A$404)</f>
        <v/>
      </c>
      <c r="D908" t="inlineStr">
        <is>
          <t>SCAN / FIND (Pallet → Location → Prism Node)</t>
        </is>
      </c>
    </row>
    <row r="909">
      <c r="A909" t="inlineStr">
        <is>
          <t>Pallet tag (stick on pallet).</t>
        </is>
      </c>
      <c r="B909">
        <f>IF('01_Warehouse_Ledger'!$A$405="","",'01_Warehouse_Ledger'!$A$405&amp;IF('01_Warehouse_Ledger'!$B$405&lt;&gt;""," | "&amp;'01_Warehouse_Ledger'!$B$405,""))</f>
        <v/>
      </c>
      <c r="C909">
        <f>IF('01_Warehouse_Ledger'!$A$405="","",'01_Warehouse_Ledger'!$A$405)</f>
        <v/>
      </c>
      <c r="D909" t="inlineStr">
        <is>
          <t>SCAN / FIND (Pallet → Location → Prism Node)</t>
        </is>
      </c>
    </row>
    <row r="910">
      <c r="A910" t="inlineStr">
        <is>
          <t>Pallet tag (stick on pallet).</t>
        </is>
      </c>
      <c r="B910">
        <f>IF('01_Warehouse_Ledger'!$A$406="","",'01_Warehouse_Ledger'!$A$406&amp;IF('01_Warehouse_Ledger'!$B$406&lt;&gt;""," | "&amp;'01_Warehouse_Ledger'!$B$406,""))</f>
        <v/>
      </c>
      <c r="C910">
        <f>IF('01_Warehouse_Ledger'!$A$406="","",'01_Warehouse_Ledger'!$A$406)</f>
        <v/>
      </c>
      <c r="D910" t="inlineStr">
        <is>
          <t>SCAN / FIND (Pallet → Location → Prism Node)</t>
        </is>
      </c>
    </row>
    <row r="911">
      <c r="A911" t="inlineStr">
        <is>
          <t>Pallet tag (stick on pallet).</t>
        </is>
      </c>
      <c r="B911">
        <f>IF('01_Warehouse_Ledger'!$A$407="","",'01_Warehouse_Ledger'!$A$407&amp;IF('01_Warehouse_Ledger'!$B$407&lt;&gt;""," | "&amp;'01_Warehouse_Ledger'!$B$407,""))</f>
        <v/>
      </c>
      <c r="C911">
        <f>IF('01_Warehouse_Ledger'!$A$407="","",'01_Warehouse_Ledger'!$A$407)</f>
        <v/>
      </c>
      <c r="D911" t="inlineStr">
        <is>
          <t>SCAN / FIND (Pallet → Location → Prism Node)</t>
        </is>
      </c>
    </row>
    <row r="912">
      <c r="A912" t="inlineStr">
        <is>
          <t>Pallet tag (stick on pallet).</t>
        </is>
      </c>
      <c r="B912">
        <f>IF('01_Warehouse_Ledger'!$A$408="","",'01_Warehouse_Ledger'!$A$408&amp;IF('01_Warehouse_Ledger'!$B$408&lt;&gt;""," | "&amp;'01_Warehouse_Ledger'!$B$408,""))</f>
        <v/>
      </c>
      <c r="C912">
        <f>IF('01_Warehouse_Ledger'!$A$408="","",'01_Warehouse_Ledger'!$A$408)</f>
        <v/>
      </c>
      <c r="D912" t="inlineStr">
        <is>
          <t>SCAN / FIND (Pallet → Location → Prism Node)</t>
        </is>
      </c>
    </row>
    <row r="913">
      <c r="A913" t="inlineStr">
        <is>
          <t>Pallet tag (stick on pallet).</t>
        </is>
      </c>
      <c r="B913">
        <f>IF('01_Warehouse_Ledger'!$A$409="","",'01_Warehouse_Ledger'!$A$409&amp;IF('01_Warehouse_Ledger'!$B$409&lt;&gt;""," | "&amp;'01_Warehouse_Ledger'!$B$409,""))</f>
        <v/>
      </c>
      <c r="C913">
        <f>IF('01_Warehouse_Ledger'!$A$409="","",'01_Warehouse_Ledger'!$A$409)</f>
        <v/>
      </c>
      <c r="D913" t="inlineStr">
        <is>
          <t>SCAN / FIND (Pallet → Location → Prism Node)</t>
        </is>
      </c>
    </row>
    <row r="914">
      <c r="A914" t="inlineStr">
        <is>
          <t>Pallet tag (stick on pallet).</t>
        </is>
      </c>
      <c r="B914">
        <f>IF('01_Warehouse_Ledger'!$A$410="","",'01_Warehouse_Ledger'!$A$410&amp;IF('01_Warehouse_Ledger'!$B$410&lt;&gt;""," | "&amp;'01_Warehouse_Ledger'!$B$410,""))</f>
        <v/>
      </c>
      <c r="C914">
        <f>IF('01_Warehouse_Ledger'!$A$410="","",'01_Warehouse_Ledger'!$A$410)</f>
        <v/>
      </c>
      <c r="D914" t="inlineStr">
        <is>
          <t>SCAN / FIND (Pallet → Location → Prism Node)</t>
        </is>
      </c>
    </row>
    <row r="915">
      <c r="A915" t="inlineStr">
        <is>
          <t>Pallet tag (stick on pallet).</t>
        </is>
      </c>
      <c r="B915">
        <f>IF('01_Warehouse_Ledger'!$A$411="","",'01_Warehouse_Ledger'!$A$411&amp;IF('01_Warehouse_Ledger'!$B$411&lt;&gt;""," | "&amp;'01_Warehouse_Ledger'!$B$411,""))</f>
        <v/>
      </c>
      <c r="C915">
        <f>IF('01_Warehouse_Ledger'!$A$411="","",'01_Warehouse_Ledger'!$A$411)</f>
        <v/>
      </c>
      <c r="D915" t="inlineStr">
        <is>
          <t>SCAN / FIND (Pallet → Location → Prism Node)</t>
        </is>
      </c>
    </row>
    <row r="916">
      <c r="A916" t="inlineStr">
        <is>
          <t>Pallet tag (stick on pallet).</t>
        </is>
      </c>
      <c r="B916">
        <f>IF('01_Warehouse_Ledger'!$A$412="","",'01_Warehouse_Ledger'!$A$412&amp;IF('01_Warehouse_Ledger'!$B$412&lt;&gt;""," | "&amp;'01_Warehouse_Ledger'!$B$412,""))</f>
        <v/>
      </c>
      <c r="C916">
        <f>IF('01_Warehouse_Ledger'!$A$412="","",'01_Warehouse_Ledger'!$A$412)</f>
        <v/>
      </c>
      <c r="D916" t="inlineStr">
        <is>
          <t>SCAN / FIND (Pallet → Location → Prism Node)</t>
        </is>
      </c>
    </row>
    <row r="917">
      <c r="A917" t="inlineStr">
        <is>
          <t>Pallet tag (stick on pallet).</t>
        </is>
      </c>
      <c r="B917">
        <f>IF('01_Warehouse_Ledger'!$A$413="","",'01_Warehouse_Ledger'!$A$413&amp;IF('01_Warehouse_Ledger'!$B$413&lt;&gt;""," | "&amp;'01_Warehouse_Ledger'!$B$413,""))</f>
        <v/>
      </c>
      <c r="C917">
        <f>IF('01_Warehouse_Ledger'!$A$413="","",'01_Warehouse_Ledger'!$A$413)</f>
        <v/>
      </c>
      <c r="D917" t="inlineStr">
        <is>
          <t>SCAN / FIND (Pallet → Location → Prism Node)</t>
        </is>
      </c>
    </row>
    <row r="918">
      <c r="A918" t="inlineStr">
        <is>
          <t>Pallet tag (stick on pallet).</t>
        </is>
      </c>
      <c r="B918">
        <f>IF('01_Warehouse_Ledger'!$A$414="","",'01_Warehouse_Ledger'!$A$414&amp;IF('01_Warehouse_Ledger'!$B$414&lt;&gt;""," | "&amp;'01_Warehouse_Ledger'!$B$414,""))</f>
        <v/>
      </c>
      <c r="C918">
        <f>IF('01_Warehouse_Ledger'!$A$414="","",'01_Warehouse_Ledger'!$A$414)</f>
        <v/>
      </c>
      <c r="D918" t="inlineStr">
        <is>
          <t>SCAN / FIND (Pallet → Location → Prism Node)</t>
        </is>
      </c>
    </row>
    <row r="919">
      <c r="A919" t="inlineStr">
        <is>
          <t>Pallet tag (stick on pallet).</t>
        </is>
      </c>
      <c r="B919">
        <f>IF('01_Warehouse_Ledger'!$A$415="","",'01_Warehouse_Ledger'!$A$415&amp;IF('01_Warehouse_Ledger'!$B$415&lt;&gt;""," | "&amp;'01_Warehouse_Ledger'!$B$415,""))</f>
        <v/>
      </c>
      <c r="C919">
        <f>IF('01_Warehouse_Ledger'!$A$415="","",'01_Warehouse_Ledger'!$A$415)</f>
        <v/>
      </c>
      <c r="D919" t="inlineStr">
        <is>
          <t>SCAN / FIND (Pallet → Location → Prism Node)</t>
        </is>
      </c>
    </row>
    <row r="920">
      <c r="A920" t="inlineStr">
        <is>
          <t>Pallet tag (stick on pallet).</t>
        </is>
      </c>
      <c r="B920">
        <f>IF('01_Warehouse_Ledger'!$A$416="","",'01_Warehouse_Ledger'!$A$416&amp;IF('01_Warehouse_Ledger'!$B$416&lt;&gt;""," | "&amp;'01_Warehouse_Ledger'!$B$416,""))</f>
        <v/>
      </c>
      <c r="C920">
        <f>IF('01_Warehouse_Ledger'!$A$416="","",'01_Warehouse_Ledger'!$A$416)</f>
        <v/>
      </c>
      <c r="D920" t="inlineStr">
        <is>
          <t>SCAN / FIND (Pallet → Location → Prism Node)</t>
        </is>
      </c>
    </row>
    <row r="921">
      <c r="A921" t="inlineStr">
        <is>
          <t>Pallet tag (stick on pallet).</t>
        </is>
      </c>
      <c r="B921">
        <f>IF('01_Warehouse_Ledger'!$A$417="","",'01_Warehouse_Ledger'!$A$417&amp;IF('01_Warehouse_Ledger'!$B$417&lt;&gt;""," | "&amp;'01_Warehouse_Ledger'!$B$417,""))</f>
        <v/>
      </c>
      <c r="C921">
        <f>IF('01_Warehouse_Ledger'!$A$417="","",'01_Warehouse_Ledger'!$A$417)</f>
        <v/>
      </c>
      <c r="D921" t="inlineStr">
        <is>
          <t>SCAN / FIND (Pallet → Location → Prism Node)</t>
        </is>
      </c>
    </row>
    <row r="922">
      <c r="A922" t="inlineStr">
        <is>
          <t>Pallet tag (stick on pallet).</t>
        </is>
      </c>
      <c r="B922">
        <f>IF('01_Warehouse_Ledger'!$A$418="","",'01_Warehouse_Ledger'!$A$418&amp;IF('01_Warehouse_Ledger'!$B$418&lt;&gt;""," | "&amp;'01_Warehouse_Ledger'!$B$418,""))</f>
        <v/>
      </c>
      <c r="C922">
        <f>IF('01_Warehouse_Ledger'!$A$418="","",'01_Warehouse_Ledger'!$A$418)</f>
        <v/>
      </c>
      <c r="D922" t="inlineStr">
        <is>
          <t>SCAN / FIND (Pallet → Location → Prism Node)</t>
        </is>
      </c>
    </row>
    <row r="923">
      <c r="A923" t="inlineStr">
        <is>
          <t>Pallet tag (stick on pallet).</t>
        </is>
      </c>
      <c r="B923">
        <f>IF('01_Warehouse_Ledger'!$A$419="","",'01_Warehouse_Ledger'!$A$419&amp;IF('01_Warehouse_Ledger'!$B$419&lt;&gt;""," | "&amp;'01_Warehouse_Ledger'!$B$419,""))</f>
        <v/>
      </c>
      <c r="C923">
        <f>IF('01_Warehouse_Ledger'!$A$419="","",'01_Warehouse_Ledger'!$A$419)</f>
        <v/>
      </c>
      <c r="D923" t="inlineStr">
        <is>
          <t>SCAN / FIND (Pallet → Location → Prism Node)</t>
        </is>
      </c>
    </row>
    <row r="924">
      <c r="A924" t="inlineStr">
        <is>
          <t>Pallet tag (stick on pallet).</t>
        </is>
      </c>
      <c r="B924">
        <f>IF('01_Warehouse_Ledger'!$A$420="","",'01_Warehouse_Ledger'!$A$420&amp;IF('01_Warehouse_Ledger'!$B$420&lt;&gt;""," | "&amp;'01_Warehouse_Ledger'!$B$420,""))</f>
        <v/>
      </c>
      <c r="C924">
        <f>IF('01_Warehouse_Ledger'!$A$420="","",'01_Warehouse_Ledger'!$A$420)</f>
        <v/>
      </c>
      <c r="D924" t="inlineStr">
        <is>
          <t>SCAN / FIND (Pallet → Location → Prism Node)</t>
        </is>
      </c>
    </row>
    <row r="925">
      <c r="A925" t="inlineStr">
        <is>
          <t>Pallet tag (stick on pallet).</t>
        </is>
      </c>
      <c r="B925">
        <f>IF('01_Warehouse_Ledger'!$A$421="","",'01_Warehouse_Ledger'!$A$421&amp;IF('01_Warehouse_Ledger'!$B$421&lt;&gt;""," | "&amp;'01_Warehouse_Ledger'!$B$421,""))</f>
        <v/>
      </c>
      <c r="C925">
        <f>IF('01_Warehouse_Ledger'!$A$421="","",'01_Warehouse_Ledger'!$A$421)</f>
        <v/>
      </c>
      <c r="D925" t="inlineStr">
        <is>
          <t>SCAN / FIND (Pallet → Location → Prism Node)</t>
        </is>
      </c>
    </row>
    <row r="926">
      <c r="A926" t="inlineStr">
        <is>
          <t>Pallet tag (stick on pallet).</t>
        </is>
      </c>
      <c r="B926">
        <f>IF('01_Warehouse_Ledger'!$A$422="","",'01_Warehouse_Ledger'!$A$422&amp;IF('01_Warehouse_Ledger'!$B$422&lt;&gt;""," | "&amp;'01_Warehouse_Ledger'!$B$422,""))</f>
        <v/>
      </c>
      <c r="C926">
        <f>IF('01_Warehouse_Ledger'!$A$422="","",'01_Warehouse_Ledger'!$A$422)</f>
        <v/>
      </c>
      <c r="D926" t="inlineStr">
        <is>
          <t>SCAN / FIND (Pallet → Location → Prism Node)</t>
        </is>
      </c>
    </row>
    <row r="927">
      <c r="A927" t="inlineStr">
        <is>
          <t>Pallet tag (stick on pallet).</t>
        </is>
      </c>
      <c r="B927">
        <f>IF('01_Warehouse_Ledger'!$A$423="","",'01_Warehouse_Ledger'!$A$423&amp;IF('01_Warehouse_Ledger'!$B$423&lt;&gt;""," | "&amp;'01_Warehouse_Ledger'!$B$423,""))</f>
        <v/>
      </c>
      <c r="C927">
        <f>IF('01_Warehouse_Ledger'!$A$423="","",'01_Warehouse_Ledger'!$A$423)</f>
        <v/>
      </c>
      <c r="D927" t="inlineStr">
        <is>
          <t>SCAN / FIND (Pallet → Location → Prism Node)</t>
        </is>
      </c>
    </row>
    <row r="928">
      <c r="A928" t="inlineStr">
        <is>
          <t>Pallet tag (stick on pallet).</t>
        </is>
      </c>
      <c r="B928">
        <f>IF('01_Warehouse_Ledger'!$A$424="","",'01_Warehouse_Ledger'!$A$424&amp;IF('01_Warehouse_Ledger'!$B$424&lt;&gt;""," | "&amp;'01_Warehouse_Ledger'!$B$424,""))</f>
        <v/>
      </c>
      <c r="C928">
        <f>IF('01_Warehouse_Ledger'!$A$424="","",'01_Warehouse_Ledger'!$A$424)</f>
        <v/>
      </c>
      <c r="D928" t="inlineStr">
        <is>
          <t>SCAN / FIND (Pallet → Location → Prism Node)</t>
        </is>
      </c>
    </row>
    <row r="929">
      <c r="A929" t="inlineStr">
        <is>
          <t>Pallet tag (stick on pallet).</t>
        </is>
      </c>
      <c r="B929">
        <f>IF('01_Warehouse_Ledger'!$A$425="","",'01_Warehouse_Ledger'!$A$425&amp;IF('01_Warehouse_Ledger'!$B$425&lt;&gt;""," | "&amp;'01_Warehouse_Ledger'!$B$425,""))</f>
        <v/>
      </c>
      <c r="C929">
        <f>IF('01_Warehouse_Ledger'!$A$425="","",'01_Warehouse_Ledger'!$A$425)</f>
        <v/>
      </c>
      <c r="D929" t="inlineStr">
        <is>
          <t>SCAN / FIND (Pallet → Location → Prism Node)</t>
        </is>
      </c>
    </row>
    <row r="930">
      <c r="A930" t="inlineStr">
        <is>
          <t>Pallet tag (stick on pallet).</t>
        </is>
      </c>
      <c r="B930">
        <f>IF('01_Warehouse_Ledger'!$A$426="","",'01_Warehouse_Ledger'!$A$426&amp;IF('01_Warehouse_Ledger'!$B$426&lt;&gt;""," | "&amp;'01_Warehouse_Ledger'!$B$426,""))</f>
        <v/>
      </c>
      <c r="C930">
        <f>IF('01_Warehouse_Ledger'!$A$426="","",'01_Warehouse_Ledger'!$A$426)</f>
        <v/>
      </c>
      <c r="D930" t="inlineStr">
        <is>
          <t>SCAN / FIND (Pallet → Location → Prism Node)</t>
        </is>
      </c>
    </row>
    <row r="931">
      <c r="A931" t="inlineStr">
        <is>
          <t>Pallet tag (stick on pallet).</t>
        </is>
      </c>
      <c r="B931">
        <f>IF('01_Warehouse_Ledger'!$A$427="","",'01_Warehouse_Ledger'!$A$427&amp;IF('01_Warehouse_Ledger'!$B$427&lt;&gt;""," | "&amp;'01_Warehouse_Ledger'!$B$427,""))</f>
        <v/>
      </c>
      <c r="C931">
        <f>IF('01_Warehouse_Ledger'!$A$427="","",'01_Warehouse_Ledger'!$A$427)</f>
        <v/>
      </c>
      <c r="D931" t="inlineStr">
        <is>
          <t>SCAN / FIND (Pallet → Location → Prism Node)</t>
        </is>
      </c>
    </row>
    <row r="932">
      <c r="A932" t="inlineStr">
        <is>
          <t>Pallet tag (stick on pallet).</t>
        </is>
      </c>
      <c r="B932">
        <f>IF('01_Warehouse_Ledger'!$A$428="","",'01_Warehouse_Ledger'!$A$428&amp;IF('01_Warehouse_Ledger'!$B$428&lt;&gt;""," | "&amp;'01_Warehouse_Ledger'!$B$428,""))</f>
        <v/>
      </c>
      <c r="C932">
        <f>IF('01_Warehouse_Ledger'!$A$428="","",'01_Warehouse_Ledger'!$A$428)</f>
        <v/>
      </c>
      <c r="D932" t="inlineStr">
        <is>
          <t>SCAN / FIND (Pallet → Location → Prism Node)</t>
        </is>
      </c>
    </row>
    <row r="933">
      <c r="A933" t="inlineStr">
        <is>
          <t>Pallet tag (stick on pallet).</t>
        </is>
      </c>
      <c r="B933">
        <f>IF('01_Warehouse_Ledger'!$A$429="","",'01_Warehouse_Ledger'!$A$429&amp;IF('01_Warehouse_Ledger'!$B$429&lt;&gt;""," | "&amp;'01_Warehouse_Ledger'!$B$429,""))</f>
        <v/>
      </c>
      <c r="C933">
        <f>IF('01_Warehouse_Ledger'!$A$429="","",'01_Warehouse_Ledger'!$A$429)</f>
        <v/>
      </c>
      <c r="D933" t="inlineStr">
        <is>
          <t>SCAN / FIND (Pallet → Location → Prism Node)</t>
        </is>
      </c>
    </row>
    <row r="934">
      <c r="A934" t="inlineStr">
        <is>
          <t>Pallet tag (stick on pallet).</t>
        </is>
      </c>
      <c r="B934">
        <f>IF('01_Warehouse_Ledger'!$A$430="","",'01_Warehouse_Ledger'!$A$430&amp;IF('01_Warehouse_Ledger'!$B$430&lt;&gt;""," | "&amp;'01_Warehouse_Ledger'!$B$430,""))</f>
        <v/>
      </c>
      <c r="C934">
        <f>IF('01_Warehouse_Ledger'!$A$430="","",'01_Warehouse_Ledger'!$A$430)</f>
        <v/>
      </c>
      <c r="D934" t="inlineStr">
        <is>
          <t>SCAN / FIND (Pallet → Location → Prism Node)</t>
        </is>
      </c>
    </row>
    <row r="935">
      <c r="A935" t="inlineStr">
        <is>
          <t>Pallet tag (stick on pallet).</t>
        </is>
      </c>
      <c r="B935">
        <f>IF('01_Warehouse_Ledger'!$A$431="","",'01_Warehouse_Ledger'!$A$431&amp;IF('01_Warehouse_Ledger'!$B$431&lt;&gt;""," | "&amp;'01_Warehouse_Ledger'!$B$431,""))</f>
        <v/>
      </c>
      <c r="C935">
        <f>IF('01_Warehouse_Ledger'!$A$431="","",'01_Warehouse_Ledger'!$A$431)</f>
        <v/>
      </c>
      <c r="D935" t="inlineStr">
        <is>
          <t>SCAN / FIND (Pallet → Location → Prism Node)</t>
        </is>
      </c>
    </row>
    <row r="936">
      <c r="A936" t="inlineStr">
        <is>
          <t>Pallet tag (stick on pallet).</t>
        </is>
      </c>
      <c r="B936">
        <f>IF('01_Warehouse_Ledger'!$A$432="","",'01_Warehouse_Ledger'!$A$432&amp;IF('01_Warehouse_Ledger'!$B$432&lt;&gt;""," | "&amp;'01_Warehouse_Ledger'!$B$432,""))</f>
        <v/>
      </c>
      <c r="C936">
        <f>IF('01_Warehouse_Ledger'!$A$432="","",'01_Warehouse_Ledger'!$A$432)</f>
        <v/>
      </c>
      <c r="D936" t="inlineStr">
        <is>
          <t>SCAN / FIND (Pallet → Location → Prism Node)</t>
        </is>
      </c>
    </row>
    <row r="937">
      <c r="A937" t="inlineStr">
        <is>
          <t>Pallet tag (stick on pallet).</t>
        </is>
      </c>
      <c r="B937">
        <f>IF('01_Warehouse_Ledger'!$A$433="","",'01_Warehouse_Ledger'!$A$433&amp;IF('01_Warehouse_Ledger'!$B$433&lt;&gt;""," | "&amp;'01_Warehouse_Ledger'!$B$433,""))</f>
        <v/>
      </c>
      <c r="C937">
        <f>IF('01_Warehouse_Ledger'!$A$433="","",'01_Warehouse_Ledger'!$A$433)</f>
        <v/>
      </c>
      <c r="D937" t="inlineStr">
        <is>
          <t>SCAN / FIND (Pallet → Location → Prism Node)</t>
        </is>
      </c>
    </row>
    <row r="938">
      <c r="A938" t="inlineStr">
        <is>
          <t>Pallet tag (stick on pallet).</t>
        </is>
      </c>
      <c r="B938">
        <f>IF('01_Warehouse_Ledger'!$A$434="","",'01_Warehouse_Ledger'!$A$434&amp;IF('01_Warehouse_Ledger'!$B$434&lt;&gt;""," | "&amp;'01_Warehouse_Ledger'!$B$434,""))</f>
        <v/>
      </c>
      <c r="C938">
        <f>IF('01_Warehouse_Ledger'!$A$434="","",'01_Warehouse_Ledger'!$A$434)</f>
        <v/>
      </c>
      <c r="D938" t="inlineStr">
        <is>
          <t>SCAN / FIND (Pallet → Location → Prism Node)</t>
        </is>
      </c>
    </row>
    <row r="939">
      <c r="A939" t="inlineStr">
        <is>
          <t>Pallet tag (stick on pallet).</t>
        </is>
      </c>
      <c r="B939">
        <f>IF('01_Warehouse_Ledger'!$A$435="","",'01_Warehouse_Ledger'!$A$435&amp;IF('01_Warehouse_Ledger'!$B$435&lt;&gt;""," | "&amp;'01_Warehouse_Ledger'!$B$435,""))</f>
        <v/>
      </c>
      <c r="C939">
        <f>IF('01_Warehouse_Ledger'!$A$435="","",'01_Warehouse_Ledger'!$A$435)</f>
        <v/>
      </c>
      <c r="D939" t="inlineStr">
        <is>
          <t>SCAN / FIND (Pallet → Location → Prism Node)</t>
        </is>
      </c>
    </row>
    <row r="940">
      <c r="A940" t="inlineStr">
        <is>
          <t>Pallet tag (stick on pallet).</t>
        </is>
      </c>
      <c r="B940">
        <f>IF('01_Warehouse_Ledger'!$A$436="","",'01_Warehouse_Ledger'!$A$436&amp;IF('01_Warehouse_Ledger'!$B$436&lt;&gt;""," | "&amp;'01_Warehouse_Ledger'!$B$436,""))</f>
        <v/>
      </c>
      <c r="C940">
        <f>IF('01_Warehouse_Ledger'!$A$436="","",'01_Warehouse_Ledger'!$A$436)</f>
        <v/>
      </c>
      <c r="D940" t="inlineStr">
        <is>
          <t>SCAN / FIND (Pallet → Location → Prism Node)</t>
        </is>
      </c>
    </row>
    <row r="941">
      <c r="A941" t="inlineStr">
        <is>
          <t>Pallet tag (stick on pallet).</t>
        </is>
      </c>
      <c r="B941">
        <f>IF('01_Warehouse_Ledger'!$A$437="","",'01_Warehouse_Ledger'!$A$437&amp;IF('01_Warehouse_Ledger'!$B$437&lt;&gt;""," | "&amp;'01_Warehouse_Ledger'!$B$437,""))</f>
        <v/>
      </c>
      <c r="C941">
        <f>IF('01_Warehouse_Ledger'!$A$437="","",'01_Warehouse_Ledger'!$A$437)</f>
        <v/>
      </c>
      <c r="D941" t="inlineStr">
        <is>
          <t>SCAN / FIND (Pallet → Location → Prism Node)</t>
        </is>
      </c>
    </row>
    <row r="942">
      <c r="A942" t="inlineStr">
        <is>
          <t>Pallet tag (stick on pallet).</t>
        </is>
      </c>
      <c r="B942">
        <f>IF('01_Warehouse_Ledger'!$A$438="","",'01_Warehouse_Ledger'!$A$438&amp;IF('01_Warehouse_Ledger'!$B$438&lt;&gt;""," | "&amp;'01_Warehouse_Ledger'!$B$438,""))</f>
        <v/>
      </c>
      <c r="C942">
        <f>IF('01_Warehouse_Ledger'!$A$438="","",'01_Warehouse_Ledger'!$A$438)</f>
        <v/>
      </c>
      <c r="D942" t="inlineStr">
        <is>
          <t>SCAN / FIND (Pallet → Location → Prism Node)</t>
        </is>
      </c>
    </row>
    <row r="943">
      <c r="A943" t="inlineStr">
        <is>
          <t>Pallet tag (stick on pallet).</t>
        </is>
      </c>
      <c r="B943">
        <f>IF('01_Warehouse_Ledger'!$A$439="","",'01_Warehouse_Ledger'!$A$439&amp;IF('01_Warehouse_Ledger'!$B$439&lt;&gt;""," | "&amp;'01_Warehouse_Ledger'!$B$439,""))</f>
        <v/>
      </c>
      <c r="C943">
        <f>IF('01_Warehouse_Ledger'!$A$439="","",'01_Warehouse_Ledger'!$A$439)</f>
        <v/>
      </c>
      <c r="D943" t="inlineStr">
        <is>
          <t>SCAN / FIND (Pallet → Location → Prism Node)</t>
        </is>
      </c>
    </row>
    <row r="944">
      <c r="A944" t="inlineStr">
        <is>
          <t>Pallet tag (stick on pallet).</t>
        </is>
      </c>
      <c r="B944">
        <f>IF('01_Warehouse_Ledger'!$A$440="","",'01_Warehouse_Ledger'!$A$440&amp;IF('01_Warehouse_Ledger'!$B$440&lt;&gt;""," | "&amp;'01_Warehouse_Ledger'!$B$440,""))</f>
        <v/>
      </c>
      <c r="C944">
        <f>IF('01_Warehouse_Ledger'!$A$440="","",'01_Warehouse_Ledger'!$A$440)</f>
        <v/>
      </c>
      <c r="D944" t="inlineStr">
        <is>
          <t>SCAN / FIND (Pallet → Location → Prism Node)</t>
        </is>
      </c>
    </row>
    <row r="945">
      <c r="A945" t="inlineStr">
        <is>
          <t>Pallet tag (stick on pallet).</t>
        </is>
      </c>
      <c r="B945">
        <f>IF('01_Warehouse_Ledger'!$A$441="","",'01_Warehouse_Ledger'!$A$441&amp;IF('01_Warehouse_Ledger'!$B$441&lt;&gt;""," | "&amp;'01_Warehouse_Ledger'!$B$441,""))</f>
        <v/>
      </c>
      <c r="C945">
        <f>IF('01_Warehouse_Ledger'!$A$441="","",'01_Warehouse_Ledger'!$A$441)</f>
        <v/>
      </c>
      <c r="D945" t="inlineStr">
        <is>
          <t>SCAN / FIND (Pallet → Location → Prism Node)</t>
        </is>
      </c>
    </row>
    <row r="946">
      <c r="A946" t="inlineStr">
        <is>
          <t>Pallet tag (stick on pallet).</t>
        </is>
      </c>
      <c r="B946">
        <f>IF('01_Warehouse_Ledger'!$A$442="","",'01_Warehouse_Ledger'!$A$442&amp;IF('01_Warehouse_Ledger'!$B$442&lt;&gt;""," | "&amp;'01_Warehouse_Ledger'!$B$442,""))</f>
        <v/>
      </c>
      <c r="C946">
        <f>IF('01_Warehouse_Ledger'!$A$442="","",'01_Warehouse_Ledger'!$A$442)</f>
        <v/>
      </c>
      <c r="D946" t="inlineStr">
        <is>
          <t>SCAN / FIND (Pallet → Location → Prism Node)</t>
        </is>
      </c>
    </row>
    <row r="947">
      <c r="A947" t="inlineStr">
        <is>
          <t>Pallet tag (stick on pallet).</t>
        </is>
      </c>
      <c r="B947">
        <f>IF('01_Warehouse_Ledger'!$A$443="","",'01_Warehouse_Ledger'!$A$443&amp;IF('01_Warehouse_Ledger'!$B$443&lt;&gt;""," | "&amp;'01_Warehouse_Ledger'!$B$443,""))</f>
        <v/>
      </c>
      <c r="C947">
        <f>IF('01_Warehouse_Ledger'!$A$443="","",'01_Warehouse_Ledger'!$A$443)</f>
        <v/>
      </c>
      <c r="D947" t="inlineStr">
        <is>
          <t>SCAN / FIND (Pallet → Location → Prism Node)</t>
        </is>
      </c>
    </row>
    <row r="948">
      <c r="A948" t="inlineStr">
        <is>
          <t>Pallet tag (stick on pallet).</t>
        </is>
      </c>
      <c r="B948">
        <f>IF('01_Warehouse_Ledger'!$A$444="","",'01_Warehouse_Ledger'!$A$444&amp;IF('01_Warehouse_Ledger'!$B$444&lt;&gt;""," | "&amp;'01_Warehouse_Ledger'!$B$444,""))</f>
        <v/>
      </c>
      <c r="C948">
        <f>IF('01_Warehouse_Ledger'!$A$444="","",'01_Warehouse_Ledger'!$A$444)</f>
        <v/>
      </c>
      <c r="D948" t="inlineStr">
        <is>
          <t>SCAN / FIND (Pallet → Location → Prism Node)</t>
        </is>
      </c>
    </row>
    <row r="949">
      <c r="A949" t="inlineStr">
        <is>
          <t>Pallet tag (stick on pallet).</t>
        </is>
      </c>
      <c r="B949">
        <f>IF('01_Warehouse_Ledger'!$A$445="","",'01_Warehouse_Ledger'!$A$445&amp;IF('01_Warehouse_Ledger'!$B$445&lt;&gt;""," | "&amp;'01_Warehouse_Ledger'!$B$445,""))</f>
        <v/>
      </c>
      <c r="C949">
        <f>IF('01_Warehouse_Ledger'!$A$445="","",'01_Warehouse_Ledger'!$A$445)</f>
        <v/>
      </c>
      <c r="D949" t="inlineStr">
        <is>
          <t>SCAN / FIND (Pallet → Location → Prism Node)</t>
        </is>
      </c>
    </row>
    <row r="950">
      <c r="A950" t="inlineStr">
        <is>
          <t>Pallet tag (stick on pallet).</t>
        </is>
      </c>
      <c r="B950">
        <f>IF('01_Warehouse_Ledger'!$A$446="","",'01_Warehouse_Ledger'!$A$446&amp;IF('01_Warehouse_Ledger'!$B$446&lt;&gt;""," | "&amp;'01_Warehouse_Ledger'!$B$446,""))</f>
        <v/>
      </c>
      <c r="C950">
        <f>IF('01_Warehouse_Ledger'!$A$446="","",'01_Warehouse_Ledger'!$A$446)</f>
        <v/>
      </c>
      <c r="D950" t="inlineStr">
        <is>
          <t>SCAN / FIND (Pallet → Location → Prism Node)</t>
        </is>
      </c>
    </row>
    <row r="951">
      <c r="A951" t="inlineStr">
        <is>
          <t>Pallet tag (stick on pallet).</t>
        </is>
      </c>
      <c r="B951">
        <f>IF('01_Warehouse_Ledger'!$A$447="","",'01_Warehouse_Ledger'!$A$447&amp;IF('01_Warehouse_Ledger'!$B$447&lt;&gt;""," | "&amp;'01_Warehouse_Ledger'!$B$447,""))</f>
        <v/>
      </c>
      <c r="C951">
        <f>IF('01_Warehouse_Ledger'!$A$447="","",'01_Warehouse_Ledger'!$A$447)</f>
        <v/>
      </c>
      <c r="D951" t="inlineStr">
        <is>
          <t>SCAN / FIND (Pallet → Location → Prism Node)</t>
        </is>
      </c>
    </row>
    <row r="952">
      <c r="A952" t="inlineStr">
        <is>
          <t>Pallet tag (stick on pallet).</t>
        </is>
      </c>
      <c r="B952">
        <f>IF('01_Warehouse_Ledger'!$A$448="","",'01_Warehouse_Ledger'!$A$448&amp;IF('01_Warehouse_Ledger'!$B$448&lt;&gt;""," | "&amp;'01_Warehouse_Ledger'!$B$448,""))</f>
        <v/>
      </c>
      <c r="C952">
        <f>IF('01_Warehouse_Ledger'!$A$448="","",'01_Warehouse_Ledger'!$A$448)</f>
        <v/>
      </c>
      <c r="D952" t="inlineStr">
        <is>
          <t>SCAN / FIND (Pallet → Location → Prism Node)</t>
        </is>
      </c>
    </row>
    <row r="953">
      <c r="A953" t="inlineStr">
        <is>
          <t>Pallet tag (stick on pallet).</t>
        </is>
      </c>
      <c r="B953">
        <f>IF('01_Warehouse_Ledger'!$A$449="","",'01_Warehouse_Ledger'!$A$449&amp;IF('01_Warehouse_Ledger'!$B$449&lt;&gt;""," | "&amp;'01_Warehouse_Ledger'!$B$449,""))</f>
        <v/>
      </c>
      <c r="C953">
        <f>IF('01_Warehouse_Ledger'!$A$449="","",'01_Warehouse_Ledger'!$A$449)</f>
        <v/>
      </c>
      <c r="D953" t="inlineStr">
        <is>
          <t>SCAN / FIND (Pallet → Location → Prism Node)</t>
        </is>
      </c>
    </row>
    <row r="954">
      <c r="A954" t="inlineStr">
        <is>
          <t>Pallet tag (stick on pallet).</t>
        </is>
      </c>
      <c r="B954">
        <f>IF('01_Warehouse_Ledger'!$A$450="","",'01_Warehouse_Ledger'!$A$450&amp;IF('01_Warehouse_Ledger'!$B$450&lt;&gt;""," | "&amp;'01_Warehouse_Ledger'!$B$450,""))</f>
        <v/>
      </c>
      <c r="C954">
        <f>IF('01_Warehouse_Ledger'!$A$450="","",'01_Warehouse_Ledger'!$A$450)</f>
        <v/>
      </c>
      <c r="D954" t="inlineStr">
        <is>
          <t>SCAN / FIND (Pallet → Location → Prism Node)</t>
        </is>
      </c>
    </row>
    <row r="955">
      <c r="A955" t="inlineStr">
        <is>
          <t>Pallet tag (stick on pallet).</t>
        </is>
      </c>
      <c r="B955">
        <f>IF('01_Warehouse_Ledger'!$A$451="","",'01_Warehouse_Ledger'!$A$451&amp;IF('01_Warehouse_Ledger'!$B$451&lt;&gt;""," | "&amp;'01_Warehouse_Ledger'!$B$451,""))</f>
        <v/>
      </c>
      <c r="C955">
        <f>IF('01_Warehouse_Ledger'!$A$451="","",'01_Warehouse_Ledger'!$A$451)</f>
        <v/>
      </c>
      <c r="D955" t="inlineStr">
        <is>
          <t>SCAN / FIND (Pallet → Location → Prism Node)</t>
        </is>
      </c>
    </row>
    <row r="956">
      <c r="A956" t="inlineStr">
        <is>
          <t>Pallet tag (stick on pallet).</t>
        </is>
      </c>
      <c r="B956">
        <f>IF('01_Warehouse_Ledger'!$A$452="","",'01_Warehouse_Ledger'!$A$452&amp;IF('01_Warehouse_Ledger'!$B$452&lt;&gt;""," | "&amp;'01_Warehouse_Ledger'!$B$452,""))</f>
        <v/>
      </c>
      <c r="C956">
        <f>IF('01_Warehouse_Ledger'!$A$452="","",'01_Warehouse_Ledger'!$A$452)</f>
        <v/>
      </c>
      <c r="D956" t="inlineStr">
        <is>
          <t>SCAN / FIND (Pallet → Location → Prism Node)</t>
        </is>
      </c>
    </row>
    <row r="957">
      <c r="A957" t="inlineStr">
        <is>
          <t>Pallet tag (stick on pallet).</t>
        </is>
      </c>
      <c r="B957">
        <f>IF('01_Warehouse_Ledger'!$A$453="","",'01_Warehouse_Ledger'!$A$453&amp;IF('01_Warehouse_Ledger'!$B$453&lt;&gt;""," | "&amp;'01_Warehouse_Ledger'!$B$453,""))</f>
        <v/>
      </c>
      <c r="C957">
        <f>IF('01_Warehouse_Ledger'!$A$453="","",'01_Warehouse_Ledger'!$A$453)</f>
        <v/>
      </c>
      <c r="D957" t="inlineStr">
        <is>
          <t>SCAN / FIND (Pallet → Location → Prism Node)</t>
        </is>
      </c>
    </row>
    <row r="958">
      <c r="A958" t="inlineStr">
        <is>
          <t>Pallet tag (stick on pallet).</t>
        </is>
      </c>
      <c r="B958">
        <f>IF('01_Warehouse_Ledger'!$A$454="","",'01_Warehouse_Ledger'!$A$454&amp;IF('01_Warehouse_Ledger'!$B$454&lt;&gt;""," | "&amp;'01_Warehouse_Ledger'!$B$454,""))</f>
        <v/>
      </c>
      <c r="C958">
        <f>IF('01_Warehouse_Ledger'!$A$454="","",'01_Warehouse_Ledger'!$A$454)</f>
        <v/>
      </c>
      <c r="D958" t="inlineStr">
        <is>
          <t>SCAN / FIND (Pallet → Location → Prism Node)</t>
        </is>
      </c>
    </row>
    <row r="959">
      <c r="A959" t="inlineStr">
        <is>
          <t>Pallet tag (stick on pallet).</t>
        </is>
      </c>
      <c r="B959">
        <f>IF('01_Warehouse_Ledger'!$A$455="","",'01_Warehouse_Ledger'!$A$455&amp;IF('01_Warehouse_Ledger'!$B$455&lt;&gt;""," | "&amp;'01_Warehouse_Ledger'!$B$455,""))</f>
        <v/>
      </c>
      <c r="C959">
        <f>IF('01_Warehouse_Ledger'!$A$455="","",'01_Warehouse_Ledger'!$A$455)</f>
        <v/>
      </c>
      <c r="D959" t="inlineStr">
        <is>
          <t>SCAN / FIND (Pallet → Location → Prism Node)</t>
        </is>
      </c>
    </row>
    <row r="960">
      <c r="A960" t="inlineStr">
        <is>
          <t>Pallet tag (stick on pallet).</t>
        </is>
      </c>
      <c r="B960">
        <f>IF('01_Warehouse_Ledger'!$A$456="","",'01_Warehouse_Ledger'!$A$456&amp;IF('01_Warehouse_Ledger'!$B$456&lt;&gt;""," | "&amp;'01_Warehouse_Ledger'!$B$456,""))</f>
        <v/>
      </c>
      <c r="C960">
        <f>IF('01_Warehouse_Ledger'!$A$456="","",'01_Warehouse_Ledger'!$A$456)</f>
        <v/>
      </c>
      <c r="D960" t="inlineStr">
        <is>
          <t>SCAN / FIND (Pallet → Location → Prism Node)</t>
        </is>
      </c>
    </row>
    <row r="961">
      <c r="A961" t="inlineStr">
        <is>
          <t>Pallet tag (stick on pallet).</t>
        </is>
      </c>
      <c r="B961">
        <f>IF('01_Warehouse_Ledger'!$A$457="","",'01_Warehouse_Ledger'!$A$457&amp;IF('01_Warehouse_Ledger'!$B$457&lt;&gt;""," | "&amp;'01_Warehouse_Ledger'!$B$457,""))</f>
        <v/>
      </c>
      <c r="C961">
        <f>IF('01_Warehouse_Ledger'!$A$457="","",'01_Warehouse_Ledger'!$A$457)</f>
        <v/>
      </c>
      <c r="D961" t="inlineStr">
        <is>
          <t>SCAN / FIND (Pallet → Location → Prism Node)</t>
        </is>
      </c>
    </row>
    <row r="962">
      <c r="A962" t="inlineStr">
        <is>
          <t>Pallet tag (stick on pallet).</t>
        </is>
      </c>
      <c r="B962">
        <f>IF('01_Warehouse_Ledger'!$A$458="","",'01_Warehouse_Ledger'!$A$458&amp;IF('01_Warehouse_Ledger'!$B$458&lt;&gt;""," | "&amp;'01_Warehouse_Ledger'!$B$458,""))</f>
        <v/>
      </c>
      <c r="C962">
        <f>IF('01_Warehouse_Ledger'!$A$458="","",'01_Warehouse_Ledger'!$A$458)</f>
        <v/>
      </c>
      <c r="D962" t="inlineStr">
        <is>
          <t>SCAN / FIND (Pallet → Location → Prism Node)</t>
        </is>
      </c>
    </row>
    <row r="963">
      <c r="A963" t="inlineStr">
        <is>
          <t>Pallet tag (stick on pallet).</t>
        </is>
      </c>
      <c r="B963">
        <f>IF('01_Warehouse_Ledger'!$A$459="","",'01_Warehouse_Ledger'!$A$459&amp;IF('01_Warehouse_Ledger'!$B$459&lt;&gt;""," | "&amp;'01_Warehouse_Ledger'!$B$459,""))</f>
        <v/>
      </c>
      <c r="C963">
        <f>IF('01_Warehouse_Ledger'!$A$459="","",'01_Warehouse_Ledger'!$A$459)</f>
        <v/>
      </c>
      <c r="D963" t="inlineStr">
        <is>
          <t>SCAN / FIND (Pallet → Location → Prism Node)</t>
        </is>
      </c>
    </row>
    <row r="964">
      <c r="A964" t="inlineStr">
        <is>
          <t>Pallet tag (stick on pallet).</t>
        </is>
      </c>
      <c r="B964">
        <f>IF('01_Warehouse_Ledger'!$A$460="","",'01_Warehouse_Ledger'!$A$460&amp;IF('01_Warehouse_Ledger'!$B$460&lt;&gt;""," | "&amp;'01_Warehouse_Ledger'!$B$460,""))</f>
        <v/>
      </c>
      <c r="C964">
        <f>IF('01_Warehouse_Ledger'!$A$460="","",'01_Warehouse_Ledger'!$A$460)</f>
        <v/>
      </c>
      <c r="D964" t="inlineStr">
        <is>
          <t>SCAN / FIND (Pallet → Location → Prism Node)</t>
        </is>
      </c>
    </row>
    <row r="965">
      <c r="A965" t="inlineStr">
        <is>
          <t>Pallet tag (stick on pallet).</t>
        </is>
      </c>
      <c r="B965">
        <f>IF('01_Warehouse_Ledger'!$A$461="","",'01_Warehouse_Ledger'!$A$461&amp;IF('01_Warehouse_Ledger'!$B$461&lt;&gt;""," | "&amp;'01_Warehouse_Ledger'!$B$461,""))</f>
        <v/>
      </c>
      <c r="C965">
        <f>IF('01_Warehouse_Ledger'!$A$461="","",'01_Warehouse_Ledger'!$A$461)</f>
        <v/>
      </c>
      <c r="D965" t="inlineStr">
        <is>
          <t>SCAN / FIND (Pallet → Location → Prism Node)</t>
        </is>
      </c>
    </row>
    <row r="966">
      <c r="A966" t="inlineStr">
        <is>
          <t>Pallet tag (stick on pallet).</t>
        </is>
      </c>
      <c r="B966">
        <f>IF('01_Warehouse_Ledger'!$A$462="","",'01_Warehouse_Ledger'!$A$462&amp;IF('01_Warehouse_Ledger'!$B$462&lt;&gt;""," | "&amp;'01_Warehouse_Ledger'!$B$462,""))</f>
        <v/>
      </c>
      <c r="C966">
        <f>IF('01_Warehouse_Ledger'!$A$462="","",'01_Warehouse_Ledger'!$A$462)</f>
        <v/>
      </c>
      <c r="D966" t="inlineStr">
        <is>
          <t>SCAN / FIND (Pallet → Location → Prism Node)</t>
        </is>
      </c>
    </row>
    <row r="967">
      <c r="A967" t="inlineStr">
        <is>
          <t>Pallet tag (stick on pallet).</t>
        </is>
      </c>
      <c r="B967">
        <f>IF('01_Warehouse_Ledger'!$A$463="","",'01_Warehouse_Ledger'!$A$463&amp;IF('01_Warehouse_Ledger'!$B$463&lt;&gt;""," | "&amp;'01_Warehouse_Ledger'!$B$463,""))</f>
        <v/>
      </c>
      <c r="C967">
        <f>IF('01_Warehouse_Ledger'!$A$463="","",'01_Warehouse_Ledger'!$A$463)</f>
        <v/>
      </c>
      <c r="D967" t="inlineStr">
        <is>
          <t>SCAN / FIND (Pallet → Location → Prism Node)</t>
        </is>
      </c>
    </row>
    <row r="968">
      <c r="A968" t="inlineStr">
        <is>
          <t>Pallet tag (stick on pallet).</t>
        </is>
      </c>
      <c r="B968">
        <f>IF('01_Warehouse_Ledger'!$A$464="","",'01_Warehouse_Ledger'!$A$464&amp;IF('01_Warehouse_Ledger'!$B$464&lt;&gt;""," | "&amp;'01_Warehouse_Ledger'!$B$464,""))</f>
        <v/>
      </c>
      <c r="C968">
        <f>IF('01_Warehouse_Ledger'!$A$464="","",'01_Warehouse_Ledger'!$A$464)</f>
        <v/>
      </c>
      <c r="D968" t="inlineStr">
        <is>
          <t>SCAN / FIND (Pallet → Location → Prism Node)</t>
        </is>
      </c>
    </row>
    <row r="969">
      <c r="A969" t="inlineStr">
        <is>
          <t>Pallet tag (stick on pallet).</t>
        </is>
      </c>
      <c r="B969">
        <f>IF('01_Warehouse_Ledger'!$A$465="","",'01_Warehouse_Ledger'!$A$465&amp;IF('01_Warehouse_Ledger'!$B$465&lt;&gt;""," | "&amp;'01_Warehouse_Ledger'!$B$465,""))</f>
        <v/>
      </c>
      <c r="C969">
        <f>IF('01_Warehouse_Ledger'!$A$465="","",'01_Warehouse_Ledger'!$A$465)</f>
        <v/>
      </c>
      <c r="D969" t="inlineStr">
        <is>
          <t>SCAN / FIND (Pallet → Location → Prism Node)</t>
        </is>
      </c>
    </row>
    <row r="970">
      <c r="A970" t="inlineStr">
        <is>
          <t>Pallet tag (stick on pallet).</t>
        </is>
      </c>
      <c r="B970">
        <f>IF('01_Warehouse_Ledger'!$A$466="","",'01_Warehouse_Ledger'!$A$466&amp;IF('01_Warehouse_Ledger'!$B$466&lt;&gt;""," | "&amp;'01_Warehouse_Ledger'!$B$466,""))</f>
        <v/>
      </c>
      <c r="C970">
        <f>IF('01_Warehouse_Ledger'!$A$466="","",'01_Warehouse_Ledger'!$A$466)</f>
        <v/>
      </c>
      <c r="D970" t="inlineStr">
        <is>
          <t>SCAN / FIND (Pallet → Location → Prism Node)</t>
        </is>
      </c>
    </row>
    <row r="971">
      <c r="A971" t="inlineStr">
        <is>
          <t>Pallet tag (stick on pallet).</t>
        </is>
      </c>
      <c r="B971">
        <f>IF('01_Warehouse_Ledger'!$A$467="","",'01_Warehouse_Ledger'!$A$467&amp;IF('01_Warehouse_Ledger'!$B$467&lt;&gt;""," | "&amp;'01_Warehouse_Ledger'!$B$467,""))</f>
        <v/>
      </c>
      <c r="C971">
        <f>IF('01_Warehouse_Ledger'!$A$467="","",'01_Warehouse_Ledger'!$A$467)</f>
        <v/>
      </c>
      <c r="D971" t="inlineStr">
        <is>
          <t>SCAN / FIND (Pallet → Location → Prism Node)</t>
        </is>
      </c>
    </row>
    <row r="972">
      <c r="A972" t="inlineStr">
        <is>
          <t>Pallet tag (stick on pallet).</t>
        </is>
      </c>
      <c r="B972">
        <f>IF('01_Warehouse_Ledger'!$A$468="","",'01_Warehouse_Ledger'!$A$468&amp;IF('01_Warehouse_Ledger'!$B$468&lt;&gt;""," | "&amp;'01_Warehouse_Ledger'!$B$468,""))</f>
        <v/>
      </c>
      <c r="C972">
        <f>IF('01_Warehouse_Ledger'!$A$468="","",'01_Warehouse_Ledger'!$A$468)</f>
        <v/>
      </c>
      <c r="D972" t="inlineStr">
        <is>
          <t>SCAN / FIND (Pallet → Location → Prism Node)</t>
        </is>
      </c>
    </row>
    <row r="973">
      <c r="A973" t="inlineStr">
        <is>
          <t>Pallet tag (stick on pallet).</t>
        </is>
      </c>
      <c r="B973">
        <f>IF('01_Warehouse_Ledger'!$A$469="","",'01_Warehouse_Ledger'!$A$469&amp;IF('01_Warehouse_Ledger'!$B$469&lt;&gt;""," | "&amp;'01_Warehouse_Ledger'!$B$469,""))</f>
        <v/>
      </c>
      <c r="C973">
        <f>IF('01_Warehouse_Ledger'!$A$469="","",'01_Warehouse_Ledger'!$A$469)</f>
        <v/>
      </c>
      <c r="D973" t="inlineStr">
        <is>
          <t>SCAN / FIND (Pallet → Location → Prism Node)</t>
        </is>
      </c>
    </row>
    <row r="974">
      <c r="A974" t="inlineStr">
        <is>
          <t>Pallet tag (stick on pallet).</t>
        </is>
      </c>
      <c r="B974">
        <f>IF('01_Warehouse_Ledger'!$A$470="","",'01_Warehouse_Ledger'!$A$470&amp;IF('01_Warehouse_Ledger'!$B$470&lt;&gt;""," | "&amp;'01_Warehouse_Ledger'!$B$470,""))</f>
        <v/>
      </c>
      <c r="C974">
        <f>IF('01_Warehouse_Ledger'!$A$470="","",'01_Warehouse_Ledger'!$A$470)</f>
        <v/>
      </c>
      <c r="D974" t="inlineStr">
        <is>
          <t>SCAN / FIND (Pallet → Location → Prism Node)</t>
        </is>
      </c>
    </row>
    <row r="975">
      <c r="A975" t="inlineStr">
        <is>
          <t>Pallet tag (stick on pallet).</t>
        </is>
      </c>
      <c r="B975">
        <f>IF('01_Warehouse_Ledger'!$A$471="","",'01_Warehouse_Ledger'!$A$471&amp;IF('01_Warehouse_Ledger'!$B$471&lt;&gt;""," | "&amp;'01_Warehouse_Ledger'!$B$471,""))</f>
        <v/>
      </c>
      <c r="C975">
        <f>IF('01_Warehouse_Ledger'!$A$471="","",'01_Warehouse_Ledger'!$A$471)</f>
        <v/>
      </c>
      <c r="D975" t="inlineStr">
        <is>
          <t>SCAN / FIND (Pallet → Location → Prism Node)</t>
        </is>
      </c>
    </row>
    <row r="976">
      <c r="A976" t="inlineStr">
        <is>
          <t>Pallet tag (stick on pallet).</t>
        </is>
      </c>
      <c r="B976">
        <f>IF('01_Warehouse_Ledger'!$A$472="","",'01_Warehouse_Ledger'!$A$472&amp;IF('01_Warehouse_Ledger'!$B$472&lt;&gt;""," | "&amp;'01_Warehouse_Ledger'!$B$472,""))</f>
        <v/>
      </c>
      <c r="C976">
        <f>IF('01_Warehouse_Ledger'!$A$472="","",'01_Warehouse_Ledger'!$A$472)</f>
        <v/>
      </c>
      <c r="D976" t="inlineStr">
        <is>
          <t>SCAN / FIND (Pallet → Location → Prism Node)</t>
        </is>
      </c>
    </row>
    <row r="977">
      <c r="A977" t="inlineStr">
        <is>
          <t>Pallet tag (stick on pallet).</t>
        </is>
      </c>
      <c r="B977">
        <f>IF('01_Warehouse_Ledger'!$A$473="","",'01_Warehouse_Ledger'!$A$473&amp;IF('01_Warehouse_Ledger'!$B$473&lt;&gt;""," | "&amp;'01_Warehouse_Ledger'!$B$473,""))</f>
        <v/>
      </c>
      <c r="C977">
        <f>IF('01_Warehouse_Ledger'!$A$473="","",'01_Warehouse_Ledger'!$A$473)</f>
        <v/>
      </c>
      <c r="D977" t="inlineStr">
        <is>
          <t>SCAN / FIND (Pallet → Location → Prism Node)</t>
        </is>
      </c>
    </row>
    <row r="978">
      <c r="A978" t="inlineStr">
        <is>
          <t>Pallet tag (stick on pallet).</t>
        </is>
      </c>
      <c r="B978">
        <f>IF('01_Warehouse_Ledger'!$A$474="","",'01_Warehouse_Ledger'!$A$474&amp;IF('01_Warehouse_Ledger'!$B$474&lt;&gt;""," | "&amp;'01_Warehouse_Ledger'!$B$474,""))</f>
        <v/>
      </c>
      <c r="C978">
        <f>IF('01_Warehouse_Ledger'!$A$474="","",'01_Warehouse_Ledger'!$A$474)</f>
        <v/>
      </c>
      <c r="D978" t="inlineStr">
        <is>
          <t>SCAN / FIND (Pallet → Location → Prism Node)</t>
        </is>
      </c>
    </row>
    <row r="979">
      <c r="A979" t="inlineStr">
        <is>
          <t>Pallet tag (stick on pallet).</t>
        </is>
      </c>
      <c r="B979">
        <f>IF('01_Warehouse_Ledger'!$A$475="","",'01_Warehouse_Ledger'!$A$475&amp;IF('01_Warehouse_Ledger'!$B$475&lt;&gt;""," | "&amp;'01_Warehouse_Ledger'!$B$475,""))</f>
        <v/>
      </c>
      <c r="C979">
        <f>IF('01_Warehouse_Ledger'!$A$475="","",'01_Warehouse_Ledger'!$A$475)</f>
        <v/>
      </c>
      <c r="D979" t="inlineStr">
        <is>
          <t>SCAN / FIND (Pallet → Location → Prism Node)</t>
        </is>
      </c>
    </row>
    <row r="980">
      <c r="A980" t="inlineStr">
        <is>
          <t>Pallet tag (stick on pallet).</t>
        </is>
      </c>
      <c r="B980">
        <f>IF('01_Warehouse_Ledger'!$A$476="","",'01_Warehouse_Ledger'!$A$476&amp;IF('01_Warehouse_Ledger'!$B$476&lt;&gt;""," | "&amp;'01_Warehouse_Ledger'!$B$476,""))</f>
        <v/>
      </c>
      <c r="C980">
        <f>IF('01_Warehouse_Ledger'!$A$476="","",'01_Warehouse_Ledger'!$A$476)</f>
        <v/>
      </c>
      <c r="D980" t="inlineStr">
        <is>
          <t>SCAN / FIND (Pallet → Location → Prism Node)</t>
        </is>
      </c>
    </row>
    <row r="981">
      <c r="A981" t="inlineStr">
        <is>
          <t>Pallet tag (stick on pallet).</t>
        </is>
      </c>
      <c r="B981">
        <f>IF('01_Warehouse_Ledger'!$A$477="","",'01_Warehouse_Ledger'!$A$477&amp;IF('01_Warehouse_Ledger'!$B$477&lt;&gt;""," | "&amp;'01_Warehouse_Ledger'!$B$477,""))</f>
        <v/>
      </c>
      <c r="C981">
        <f>IF('01_Warehouse_Ledger'!$A$477="","",'01_Warehouse_Ledger'!$A$477)</f>
        <v/>
      </c>
      <c r="D981" t="inlineStr">
        <is>
          <t>SCAN / FIND (Pallet → Location → Prism Node)</t>
        </is>
      </c>
    </row>
    <row r="982">
      <c r="A982" t="inlineStr">
        <is>
          <t>Pallet tag (stick on pallet).</t>
        </is>
      </c>
      <c r="B982">
        <f>IF('01_Warehouse_Ledger'!$A$478="","",'01_Warehouse_Ledger'!$A$478&amp;IF('01_Warehouse_Ledger'!$B$478&lt;&gt;""," | "&amp;'01_Warehouse_Ledger'!$B$478,""))</f>
        <v/>
      </c>
      <c r="C982">
        <f>IF('01_Warehouse_Ledger'!$A$478="","",'01_Warehouse_Ledger'!$A$478)</f>
        <v/>
      </c>
      <c r="D982" t="inlineStr">
        <is>
          <t>SCAN / FIND (Pallet → Location → Prism Node)</t>
        </is>
      </c>
    </row>
    <row r="983">
      <c r="A983" t="inlineStr">
        <is>
          <t>Pallet tag (stick on pallet).</t>
        </is>
      </c>
      <c r="B983">
        <f>IF('01_Warehouse_Ledger'!$A$479="","",'01_Warehouse_Ledger'!$A$479&amp;IF('01_Warehouse_Ledger'!$B$479&lt;&gt;""," | "&amp;'01_Warehouse_Ledger'!$B$479,""))</f>
        <v/>
      </c>
      <c r="C983">
        <f>IF('01_Warehouse_Ledger'!$A$479="","",'01_Warehouse_Ledger'!$A$479)</f>
        <v/>
      </c>
      <c r="D983" t="inlineStr">
        <is>
          <t>SCAN / FIND (Pallet → Location → Prism Node)</t>
        </is>
      </c>
    </row>
    <row r="984">
      <c r="A984" t="inlineStr">
        <is>
          <t>Pallet tag (stick on pallet).</t>
        </is>
      </c>
      <c r="B984">
        <f>IF('01_Warehouse_Ledger'!$A$480="","",'01_Warehouse_Ledger'!$A$480&amp;IF('01_Warehouse_Ledger'!$B$480&lt;&gt;""," | "&amp;'01_Warehouse_Ledger'!$B$480,""))</f>
        <v/>
      </c>
      <c r="C984">
        <f>IF('01_Warehouse_Ledger'!$A$480="","",'01_Warehouse_Ledger'!$A$480)</f>
        <v/>
      </c>
      <c r="D984" t="inlineStr">
        <is>
          <t>SCAN / FIND (Pallet → Location → Prism Node)</t>
        </is>
      </c>
    </row>
    <row r="985">
      <c r="A985" t="inlineStr">
        <is>
          <t>Pallet tag (stick on pallet).</t>
        </is>
      </c>
      <c r="B985">
        <f>IF('01_Warehouse_Ledger'!$A$481="","",'01_Warehouse_Ledger'!$A$481&amp;IF('01_Warehouse_Ledger'!$B$481&lt;&gt;""," | "&amp;'01_Warehouse_Ledger'!$B$481,""))</f>
        <v/>
      </c>
      <c r="C985">
        <f>IF('01_Warehouse_Ledger'!$A$481="","",'01_Warehouse_Ledger'!$A$481)</f>
        <v/>
      </c>
      <c r="D985" t="inlineStr">
        <is>
          <t>SCAN / FIND (Pallet → Location → Prism Node)</t>
        </is>
      </c>
    </row>
    <row r="986">
      <c r="A986" t="inlineStr">
        <is>
          <t>Pallet tag (stick on pallet).</t>
        </is>
      </c>
      <c r="B986">
        <f>IF('01_Warehouse_Ledger'!$A$482="","",'01_Warehouse_Ledger'!$A$482&amp;IF('01_Warehouse_Ledger'!$B$482&lt;&gt;""," | "&amp;'01_Warehouse_Ledger'!$B$482,""))</f>
        <v/>
      </c>
      <c r="C986">
        <f>IF('01_Warehouse_Ledger'!$A$482="","",'01_Warehouse_Ledger'!$A$482)</f>
        <v/>
      </c>
      <c r="D986" t="inlineStr">
        <is>
          <t>SCAN / FIND (Pallet → Location → Prism Node)</t>
        </is>
      </c>
    </row>
    <row r="987">
      <c r="A987" t="inlineStr">
        <is>
          <t>Pallet tag (stick on pallet).</t>
        </is>
      </c>
      <c r="B987">
        <f>IF('01_Warehouse_Ledger'!$A$483="","",'01_Warehouse_Ledger'!$A$483&amp;IF('01_Warehouse_Ledger'!$B$483&lt;&gt;""," | "&amp;'01_Warehouse_Ledger'!$B$483,""))</f>
        <v/>
      </c>
      <c r="C987">
        <f>IF('01_Warehouse_Ledger'!$A$483="","",'01_Warehouse_Ledger'!$A$483)</f>
        <v/>
      </c>
      <c r="D987" t="inlineStr">
        <is>
          <t>SCAN / FIND (Pallet → Location → Prism Node)</t>
        </is>
      </c>
    </row>
    <row r="988">
      <c r="A988" t="inlineStr">
        <is>
          <t>Pallet tag (stick on pallet).</t>
        </is>
      </c>
      <c r="B988">
        <f>IF('01_Warehouse_Ledger'!$A$484="","",'01_Warehouse_Ledger'!$A$484&amp;IF('01_Warehouse_Ledger'!$B$484&lt;&gt;""," | "&amp;'01_Warehouse_Ledger'!$B$484,""))</f>
        <v/>
      </c>
      <c r="C988">
        <f>IF('01_Warehouse_Ledger'!$A$484="","",'01_Warehouse_Ledger'!$A$484)</f>
        <v/>
      </c>
      <c r="D988" t="inlineStr">
        <is>
          <t>SCAN / FIND (Pallet → Location → Prism Node)</t>
        </is>
      </c>
    </row>
    <row r="989">
      <c r="A989" t="inlineStr">
        <is>
          <t>Pallet tag (stick on pallet).</t>
        </is>
      </c>
      <c r="B989">
        <f>IF('01_Warehouse_Ledger'!$A$485="","",'01_Warehouse_Ledger'!$A$485&amp;IF('01_Warehouse_Ledger'!$B$485&lt;&gt;""," | "&amp;'01_Warehouse_Ledger'!$B$485,""))</f>
        <v/>
      </c>
      <c r="C989">
        <f>IF('01_Warehouse_Ledger'!$A$485="","",'01_Warehouse_Ledger'!$A$485)</f>
        <v/>
      </c>
      <c r="D989" t="inlineStr">
        <is>
          <t>SCAN / FIND (Pallet → Location → Prism Node)</t>
        </is>
      </c>
    </row>
    <row r="990">
      <c r="A990" t="inlineStr">
        <is>
          <t>Pallet tag (stick on pallet).</t>
        </is>
      </c>
      <c r="B990">
        <f>IF('01_Warehouse_Ledger'!$A$486="","",'01_Warehouse_Ledger'!$A$486&amp;IF('01_Warehouse_Ledger'!$B$486&lt;&gt;""," | "&amp;'01_Warehouse_Ledger'!$B$486,""))</f>
        <v/>
      </c>
      <c r="C990">
        <f>IF('01_Warehouse_Ledger'!$A$486="","",'01_Warehouse_Ledger'!$A$486)</f>
        <v/>
      </c>
      <c r="D990" t="inlineStr">
        <is>
          <t>SCAN / FIND (Pallet → Location → Prism Node)</t>
        </is>
      </c>
    </row>
    <row r="991">
      <c r="A991" t="inlineStr">
        <is>
          <t>Pallet tag (stick on pallet).</t>
        </is>
      </c>
      <c r="B991">
        <f>IF('01_Warehouse_Ledger'!$A$487="","",'01_Warehouse_Ledger'!$A$487&amp;IF('01_Warehouse_Ledger'!$B$487&lt;&gt;""," | "&amp;'01_Warehouse_Ledger'!$B$487,""))</f>
        <v/>
      </c>
      <c r="C991">
        <f>IF('01_Warehouse_Ledger'!$A$487="","",'01_Warehouse_Ledger'!$A$487)</f>
        <v/>
      </c>
      <c r="D991" t="inlineStr">
        <is>
          <t>SCAN / FIND (Pallet → Location → Prism Node)</t>
        </is>
      </c>
    </row>
    <row r="992">
      <c r="A992" t="inlineStr">
        <is>
          <t>Pallet tag (stick on pallet).</t>
        </is>
      </c>
      <c r="B992">
        <f>IF('01_Warehouse_Ledger'!$A$488="","",'01_Warehouse_Ledger'!$A$488&amp;IF('01_Warehouse_Ledger'!$B$488&lt;&gt;""," | "&amp;'01_Warehouse_Ledger'!$B$488,""))</f>
        <v/>
      </c>
      <c r="C992">
        <f>IF('01_Warehouse_Ledger'!$A$488="","",'01_Warehouse_Ledger'!$A$488)</f>
        <v/>
      </c>
      <c r="D992" t="inlineStr">
        <is>
          <t>SCAN / FIND (Pallet → Location → Prism Node)</t>
        </is>
      </c>
    </row>
    <row r="993">
      <c r="A993" t="inlineStr">
        <is>
          <t>Pallet tag (stick on pallet).</t>
        </is>
      </c>
      <c r="B993">
        <f>IF('01_Warehouse_Ledger'!$A$489="","",'01_Warehouse_Ledger'!$A$489&amp;IF('01_Warehouse_Ledger'!$B$489&lt;&gt;""," | "&amp;'01_Warehouse_Ledger'!$B$489,""))</f>
        <v/>
      </c>
      <c r="C993">
        <f>IF('01_Warehouse_Ledger'!$A$489="","",'01_Warehouse_Ledger'!$A$489)</f>
        <v/>
      </c>
      <c r="D993" t="inlineStr">
        <is>
          <t>SCAN / FIND (Pallet → Location → Prism Node)</t>
        </is>
      </c>
    </row>
    <row r="994">
      <c r="A994" t="inlineStr">
        <is>
          <t>Pallet tag (stick on pallet).</t>
        </is>
      </c>
      <c r="B994">
        <f>IF('01_Warehouse_Ledger'!$A$490="","",'01_Warehouse_Ledger'!$A$490&amp;IF('01_Warehouse_Ledger'!$B$490&lt;&gt;""," | "&amp;'01_Warehouse_Ledger'!$B$490,""))</f>
        <v/>
      </c>
      <c r="C994">
        <f>IF('01_Warehouse_Ledger'!$A$490="","",'01_Warehouse_Ledger'!$A$490)</f>
        <v/>
      </c>
      <c r="D994" t="inlineStr">
        <is>
          <t>SCAN / FIND (Pallet → Location → Prism Node)</t>
        </is>
      </c>
    </row>
    <row r="995">
      <c r="A995" t="inlineStr">
        <is>
          <t>Pallet tag (stick on pallet).</t>
        </is>
      </c>
      <c r="B995">
        <f>IF('01_Warehouse_Ledger'!$A$491="","",'01_Warehouse_Ledger'!$A$491&amp;IF('01_Warehouse_Ledger'!$B$491&lt;&gt;""," | "&amp;'01_Warehouse_Ledger'!$B$491,""))</f>
        <v/>
      </c>
      <c r="C995">
        <f>IF('01_Warehouse_Ledger'!$A$491="","",'01_Warehouse_Ledger'!$A$491)</f>
        <v/>
      </c>
      <c r="D995" t="inlineStr">
        <is>
          <t>SCAN / FIND (Pallet → Location → Prism Node)</t>
        </is>
      </c>
    </row>
    <row r="996">
      <c r="A996" t="inlineStr">
        <is>
          <t>Pallet tag (stick on pallet).</t>
        </is>
      </c>
      <c r="B996">
        <f>IF('01_Warehouse_Ledger'!$A$492="","",'01_Warehouse_Ledger'!$A$492&amp;IF('01_Warehouse_Ledger'!$B$492&lt;&gt;""," | "&amp;'01_Warehouse_Ledger'!$B$492,""))</f>
        <v/>
      </c>
      <c r="C996">
        <f>IF('01_Warehouse_Ledger'!$A$492="","",'01_Warehouse_Ledger'!$A$492)</f>
        <v/>
      </c>
      <c r="D996" t="inlineStr">
        <is>
          <t>SCAN / FIND (Pallet → Location → Prism Node)</t>
        </is>
      </c>
    </row>
    <row r="997">
      <c r="A997" t="inlineStr">
        <is>
          <t>Pallet tag (stick on pallet).</t>
        </is>
      </c>
      <c r="B997">
        <f>IF('01_Warehouse_Ledger'!$A$493="","",'01_Warehouse_Ledger'!$A$493&amp;IF('01_Warehouse_Ledger'!$B$493&lt;&gt;""," | "&amp;'01_Warehouse_Ledger'!$B$493,""))</f>
        <v/>
      </c>
      <c r="C997">
        <f>IF('01_Warehouse_Ledger'!$A$493="","",'01_Warehouse_Ledger'!$A$493)</f>
        <v/>
      </c>
      <c r="D997" t="inlineStr">
        <is>
          <t>SCAN / FIND (Pallet → Location → Prism Node)</t>
        </is>
      </c>
    </row>
    <row r="998">
      <c r="A998" t="inlineStr">
        <is>
          <t>Pallet tag (stick on pallet).</t>
        </is>
      </c>
      <c r="B998">
        <f>IF('01_Warehouse_Ledger'!$A$494="","",'01_Warehouse_Ledger'!$A$494&amp;IF('01_Warehouse_Ledger'!$B$494&lt;&gt;""," | "&amp;'01_Warehouse_Ledger'!$B$494,""))</f>
        <v/>
      </c>
      <c r="C998">
        <f>IF('01_Warehouse_Ledger'!$A$494="","",'01_Warehouse_Ledger'!$A$494)</f>
        <v/>
      </c>
      <c r="D998" t="inlineStr">
        <is>
          <t>SCAN / FIND (Pallet → Location → Prism Node)</t>
        </is>
      </c>
    </row>
    <row r="999">
      <c r="A999" t="inlineStr">
        <is>
          <t>Pallet tag (stick on pallet).</t>
        </is>
      </c>
      <c r="B999">
        <f>IF('01_Warehouse_Ledger'!$A$495="","",'01_Warehouse_Ledger'!$A$495&amp;IF('01_Warehouse_Ledger'!$B$495&lt;&gt;""," | "&amp;'01_Warehouse_Ledger'!$B$495,""))</f>
        <v/>
      </c>
      <c r="C999">
        <f>IF('01_Warehouse_Ledger'!$A$495="","",'01_Warehouse_Ledger'!$A$495)</f>
        <v/>
      </c>
      <c r="D999" t="inlineStr">
        <is>
          <t>SCAN / FIND (Pallet → Location → Prism Node)</t>
        </is>
      </c>
    </row>
    <row r="1000">
      <c r="A1000" t="inlineStr">
        <is>
          <t>Pallet tag (stick on pallet).</t>
        </is>
      </c>
      <c r="B1000">
        <f>IF('01_Warehouse_Ledger'!$A$496="","",'01_Warehouse_Ledger'!$A$496&amp;IF('01_Warehouse_Ledger'!$B$496&lt;&gt;""," | "&amp;'01_Warehouse_Ledger'!$B$496,""))</f>
        <v/>
      </c>
      <c r="C1000">
        <f>IF('01_Warehouse_Ledger'!$A$496="","",'01_Warehouse_Ledger'!$A$496)</f>
        <v/>
      </c>
      <c r="D1000" t="inlineStr">
        <is>
          <t>SCAN / FIND (Pallet → Location → Prism Node)</t>
        </is>
      </c>
    </row>
    <row r="1001">
      <c r="A1001" t="inlineStr">
        <is>
          <t>Pallet tag (stick on pallet).</t>
        </is>
      </c>
      <c r="B1001">
        <f>IF('01_Warehouse_Ledger'!$A$497="","",'01_Warehouse_Ledger'!$A$497&amp;IF('01_Warehouse_Ledger'!$B$497&lt;&gt;""," | "&amp;'01_Warehouse_Ledger'!$B$497,""))</f>
        <v/>
      </c>
      <c r="C1001">
        <f>IF('01_Warehouse_Ledger'!$A$497="","",'01_Warehouse_Ledger'!$A$497)</f>
        <v/>
      </c>
      <c r="D1001" t="inlineStr">
        <is>
          <t>SCAN / FIND (Pallet → Location → Prism Node)</t>
        </is>
      </c>
    </row>
    <row r="1002">
      <c r="A1002" t="inlineStr">
        <is>
          <t>Pallet tag (stick on pallet).</t>
        </is>
      </c>
      <c r="B1002">
        <f>IF('01_Warehouse_Ledger'!$A$498="","",'01_Warehouse_Ledger'!$A$498&amp;IF('01_Warehouse_Ledger'!$B$498&lt;&gt;""," | "&amp;'01_Warehouse_Ledger'!$B$498,""))</f>
        <v/>
      </c>
      <c r="C1002">
        <f>IF('01_Warehouse_Ledger'!$A$498="","",'01_Warehouse_Ledger'!$A$498)</f>
        <v/>
      </c>
      <c r="D1002" t="inlineStr">
        <is>
          <t>SCAN / FIND (Pallet → Location → Prism Node)</t>
        </is>
      </c>
    </row>
    <row r="1003">
      <c r="A1003" t="inlineStr">
        <is>
          <t>Pallet tag (stick on pallet).</t>
        </is>
      </c>
      <c r="B1003">
        <f>IF('01_Warehouse_Ledger'!$A$499="","",'01_Warehouse_Ledger'!$A$499&amp;IF('01_Warehouse_Ledger'!$B$499&lt;&gt;""," | "&amp;'01_Warehouse_Ledger'!$B$499,""))</f>
        <v/>
      </c>
      <c r="C1003">
        <f>IF('01_Warehouse_Ledger'!$A$499="","",'01_Warehouse_Ledger'!$A$499)</f>
        <v/>
      </c>
      <c r="D1003" t="inlineStr">
        <is>
          <t>SCAN / FIND (Pallet → Location → Prism Node)</t>
        </is>
      </c>
    </row>
    <row r="1004">
      <c r="A1004" t="inlineStr">
        <is>
          <t>Pallet tag (stick on pallet).</t>
        </is>
      </c>
      <c r="B1004">
        <f>IF('01_Warehouse_Ledger'!$A$500="","",'01_Warehouse_Ledger'!$A$500&amp;IF('01_Warehouse_Ledger'!$B$500&lt;&gt;""," | "&amp;'01_Warehouse_Ledger'!$B$500,""))</f>
        <v/>
      </c>
      <c r="C1004">
        <f>IF('01_Warehouse_Ledger'!$A$500="","",'01_Warehouse_Ledger'!$A$500)</f>
        <v/>
      </c>
      <c r="D1004" t="inlineStr">
        <is>
          <t>SCAN / FIND (Pallet → Location → Prism Node)</t>
        </is>
      </c>
    </row>
    <row r="1005">
      <c r="A1005" t="inlineStr">
        <is>
          <t>Pallet tag (stick on pallet).</t>
        </is>
      </c>
      <c r="B1005">
        <f>IF('01_Warehouse_Ledger'!$A$501="","",'01_Warehouse_Ledger'!$A$501&amp;IF('01_Warehouse_Ledger'!$B$501&lt;&gt;""," | "&amp;'01_Warehouse_Ledger'!$B$501,""))</f>
        <v/>
      </c>
      <c r="C1005">
        <f>IF('01_Warehouse_Ledger'!$A$501="","",'01_Warehouse_Ledger'!$A$501)</f>
        <v/>
      </c>
      <c r="D1005" t="inlineStr">
        <is>
          <t>SCAN / FIND (Pallet → Location → Prism Node)</t>
        </is>
      </c>
    </row>
  </sheetData>
  <conditionalFormatting sqref="A3:D1005">
    <cfRule type="expression" priority="3" dxfId="282">
      <formula>AND(OR($A3="LOCATION",$A3="PALLET"),TRIM($B3)&lt;&gt;"",TRIM($C3)="")</formula>
    </cfRule>
  </conditionalFormatting>
  <dataValidations count="2">
    <dataValidation sqref="B2:C1048576" showDropDown="0" showInputMessage="1" showErrorMessage="1" allowBlank="1" type="custom">
      <formula1>FALSE</formula1>
    </dataValidation>
    <dataValidation sqref="D3:D502 D506:D1004" showDropDown="0" showInputMessage="1" showErrorMessage="1" allowBlank="1" errorTitle="Automated field, foo 🤡" error="Skedaddle 💨. Don't overwrite formulas 😄" type="custom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91" min="1" max="1"/>
    <col width="48" customWidth="1" style="91" min="2" max="2"/>
    <col width="38" customWidth="1" style="91" min="4" max="4"/>
  </cols>
  <sheetData>
    <row r="1" ht="21" customHeight="1" s="91">
      <c r="A1" s="28" t="inlineStr">
        <is>
          <t>Scan PalletID here:</t>
        </is>
      </c>
    </row>
    <row r="3">
      <c r="A3" s="29" t="inlineStr">
        <is>
          <t>Tip: click B3, scan QR, press Enter.</t>
        </is>
      </c>
      <c r="B3" s="4" t="n"/>
      <c r="D3" s="30" t="inlineStr">
        <is>
          <t>CurrentLocationCode</t>
        </is>
      </c>
    </row>
    <row r="4">
      <c r="A4" s="5" t="n"/>
      <c r="B4" s="5" t="n"/>
    </row>
    <row r="5">
      <c r="A5" s="31" t="inlineStr">
        <is>
          <t>HomeLocationCode</t>
        </is>
      </c>
      <c r="B5" s="32">
        <f>IFERROR(INDEX('01_Warehouse_Ledger'!$B$2:$B$2002,MATCH($B$3,'01_Warehouse_Ledger'!$A$2:$A$2002,0)),"")</f>
        <v/>
      </c>
    </row>
    <row r="6">
      <c r="A6" s="31" t="inlineStr">
        <is>
          <t>LocationDisplayLabel</t>
        </is>
      </c>
      <c r="B6" s="32">
        <f>IFERROR(INDEX('01_Warehouse_Ledger'!$D$2:$D$2002,MATCH($B$3,'01_Warehouse_Ledger'!$A$2:$A$2002,0)),"")</f>
        <v/>
      </c>
    </row>
    <row r="7">
      <c r="A7" s="31" t="inlineStr">
        <is>
          <t>Slot</t>
        </is>
      </c>
      <c r="B7" s="32">
        <f>IFERROR(INDEX('02_Warehouse_Locations'!$J$2:$J$501,MATCH($B$6,'02_Warehouse_Locations'!$A$2:$A$501,0)),"")</f>
        <v/>
      </c>
    </row>
    <row r="8">
      <c r="A8" s="31" t="inlineStr">
        <is>
          <t>Aisle</t>
        </is>
      </c>
      <c r="B8" s="32">
        <f>IFERROR(INDEX('02_Warehouse_Locations'!$B$2:$B$501,MATCH($B$6,'02_Warehouse_Locations'!$A$2:$A$501,0)),"")</f>
        <v/>
      </c>
    </row>
    <row r="9">
      <c r="A9" s="31" t="inlineStr">
        <is>
          <t>Position/Slot</t>
        </is>
      </c>
      <c r="B9" s="32">
        <f>IFERROR(INDEX('02_Warehouse_Locations'!$C$2:$C$501,MATCH($B$6,'02_Warehouse_Locations'!$A$2:$A$501,0)),"")</f>
        <v/>
      </c>
    </row>
    <row r="10">
      <c r="A10" s="31" t="inlineStr">
        <is>
          <t>PrismNode</t>
        </is>
      </c>
      <c r="B10" s="32">
        <f>IFERROR(INDEX('02_Warehouse_Locations'!$D$2:$D$501,MATCH($B$6,'02_Warehouse_Locations'!$A$2:$A$501,0)),"")</f>
        <v/>
      </c>
    </row>
    <row r="11">
      <c r="A11" s="31" t="inlineStr">
        <is>
          <t>AccessRating(1-5)</t>
        </is>
      </c>
      <c r="B11" s="32">
        <f>IFERROR(INDEX('02_Warehouse_Locations'!$E$2:$E$501,MATCH($B$6,'02_Warehouse_Locations'!$A$2:$A$501,0)),"")</f>
        <v/>
      </c>
    </row>
    <row r="12">
      <c r="A12" s="31" t="inlineStr">
        <is>
          <t>WAREHOUSE GRID MAP (Column Letter x Row #)</t>
        </is>
      </c>
      <c r="B12" s="32">
        <f>IFERROR(INDEX('02_Warehouse_Locations'!$N$2:$N$501,MATCH($B$6,'02_Warehouse_Locations'!$A$2:$A$501,0)),"")</f>
        <v/>
      </c>
    </row>
    <row r="13">
      <c r="A13" s="31" t="inlineStr">
        <is>
          <t>GridRow (AUTO)</t>
        </is>
      </c>
      <c r="B13" s="32">
        <f>IFERROR(INDEX('02_Warehouse_Locations'!$O$2:$O$501,MATCH($B$6,'02_Warehouse_Locations'!$A$2:$A$501,0)),"")</f>
        <v/>
      </c>
    </row>
    <row r="14">
      <c r="A14" s="31" t="inlineStr">
        <is>
          <t>GridNode (AUTO)</t>
        </is>
      </c>
      <c r="B14" s="32">
        <f>IFERROR(INDEX('02_Warehouse_Locations'!$P$2:$P$501,MATCH($B$6,'02_Warehouse_Locations'!$A$2:$A$501,0)),"")</f>
        <v/>
      </c>
    </row>
    <row r="15">
      <c r="A15" t="inlineStr">
        <is>
          <t>WH</t>
        </is>
      </c>
      <c r="B15">
        <f>IFERROR(INDEX('02_Warehouse_Locations'!$Q$2:$Q$501,MATCH($B$6,'02_Warehouse_Locations'!$A$2:$A$501,0)),"")</f>
        <v/>
      </c>
    </row>
  </sheetData>
  <conditionalFormatting sqref="B3">
    <cfRule type="expression" priority="1" dxfId="397" stopIfTrue="1">
      <formula>AND(TRIM($A3)="",OR($B3&lt;&gt;"",$C3&lt;&gt;"",$D3&lt;&gt;"",$E3&lt;&gt;"",$I3&lt;&gt;"",$J3&lt;&gt;""))</formula>
    </cfRule>
    <cfRule type="expression" priority="2" dxfId="397">
      <formula>AND(TRIM($A3)&lt;&gt;"",NOT(AND(LEFT($A3,4)="PAL-",LEN($A3)=11,ISNUMBER(--MID($A3,5,7)))))</formula>
    </cfRule>
    <cfRule type="expression" priority="3" dxfId="397">
      <formula>AND(TRIM($A3)&lt;&gt;"",COUNTIF($A$2:$A$2002,$A3)&gt;1)</formula>
    </cfRule>
    <cfRule type="expression" priority="4" dxfId="282">
      <formula>AND(TRIM($A3)&lt;&gt;"",$C3&lt;&gt;"",$D3&lt;&gt;"",$D3&lt;&gt;"0",$C3&lt;&gt;$D3)</formula>
    </cfRule>
  </conditionalFormatting>
  <dataValidations count="2">
    <dataValidation sqref="A6:A15" showDropDown="0" showInputMessage="1" showErrorMessage="1" allowBlank="1" errorTitle="Automated field, foo 🤡" error="Skedaddle 💨. Don't overwrite formulas 😄" type="custom">
      <formula1>FALSE</formula1>
    </dataValidation>
    <dataValidation sqref="B3" showDropDown="0" showInputMessage="1" showErrorMessage="1" allowBlank="1" errorTitle="Invalid Pallet ID" error="Expected format: PAL-#######" type="custom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U40"/>
  <sheetViews>
    <sheetView workbookViewId="0">
      <pane xSplit="1" ySplit="6" topLeftCell="B7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91" min="1" max="1"/>
    <col width="12" customWidth="1" style="91" min="2" max="2"/>
    <col width="4.42578125" customWidth="1" style="91" min="3" max="3"/>
  </cols>
  <sheetData>
    <row r="1" ht="21" customHeight="1" s="91">
      <c r="A1" s="33" t="inlineStr">
        <is>
          <t>SelectedCol</t>
        </is>
      </c>
    </row>
    <row r="2">
      <c r="A2" s="34" t="inlineStr">
        <is>
          <t>SelectedRow</t>
        </is>
      </c>
      <c r="B2" s="35">
        <f>IFERROR('05_Scan_Lookup'!$B$13,"")</f>
        <v/>
      </c>
    </row>
    <row r="3">
      <c r="A3" s="34" t="inlineStr">
        <is>
          <t>SelectedLevelNum</t>
        </is>
      </c>
      <c r="B3" s="35">
        <f>IFERROR('05_Scan_Lookup'!$B$14,"")</f>
        <v/>
      </c>
    </row>
    <row r="4">
      <c r="A4" s="34" t="inlineStr">
        <is>
          <t>Rows →</t>
        </is>
      </c>
      <c r="B4" s="35">
        <f>IFERROR(INDEX('02_Warehouse_Locations'!$M$2:$M$501,MATCH('05_Scan_Lookup'!$B$6,'02_Warehouse_Locations'!$A$2:$A$501,0)),"")</f>
        <v/>
      </c>
    </row>
    <row r="5">
      <c r="A5" s="34" t="inlineStr">
        <is>
          <t>Columns →</t>
        </is>
      </c>
      <c r="B5" s="35" t="inlineStr">
        <is>
          <t>Aisle ↓ / Slot →</t>
        </is>
      </c>
    </row>
    <row r="6" ht="20.1" customHeight="1" s="91">
      <c r="A6" s="38" t="inlineStr">
        <is>
          <t>G</t>
        </is>
      </c>
      <c r="B6" s="38" t="inlineStr">
        <is>
          <t>AISLE_FLOOR</t>
        </is>
      </c>
      <c r="C6" s="38" t="inlineStr">
        <is>
          <t>PAL-0000011</t>
        </is>
      </c>
      <c r="D6" s="38" t="inlineStr">
        <is>
          <t>SAMPLE: Grid C01</t>
        </is>
      </c>
      <c r="E6" s="38" t="inlineStr">
        <is>
          <t>SAMPLE: Grid D01</t>
        </is>
      </c>
      <c r="F6" s="38" t="inlineStr">
        <is>
          <t>SAMPLE: Grid E01</t>
        </is>
      </c>
      <c r="G6" s="38" t="inlineStr">
        <is>
          <t>SAMPLE: Grid F01</t>
        </is>
      </c>
      <c r="H6" s="38" t="inlineStr">
        <is>
          <t>H</t>
        </is>
      </c>
      <c r="I6" s="38" t="inlineStr">
        <is>
          <t>I</t>
        </is>
      </c>
      <c r="J6" s="38" t="inlineStr">
        <is>
          <t>J</t>
        </is>
      </c>
      <c r="K6" s="38" t="inlineStr">
        <is>
          <t>K</t>
        </is>
      </c>
      <c r="L6" s="38" t="inlineStr">
        <is>
          <t>Note: Special locations (Stage/Overflow/Quarantine) may not have grid coordinates; they will not appear on this map.</t>
        </is>
      </c>
      <c r="M6" s="38" t="inlineStr">
        <is>
          <t>ENDCAP</t>
        </is>
      </c>
      <c r="N6" s="38" t="n">
        <v>13</v>
      </c>
      <c r="O6" s="38" t="n">
        <v>14</v>
      </c>
      <c r="P6" s="38" t="n">
        <v>15</v>
      </c>
      <c r="Q6" s="38" t="n">
        <v>16</v>
      </c>
      <c r="R6" s="38" t="n">
        <v>17</v>
      </c>
      <c r="S6" s="38" t="n">
        <v>18</v>
      </c>
      <c r="T6" s="38" t="n">
        <v>19</v>
      </c>
      <c r="U6" s="38" t="n">
        <v>20</v>
      </c>
    </row>
    <row r="7" ht="15.75" customHeight="1" s="91">
      <c r="A7" s="36" t="n">
        <v>1</v>
      </c>
      <c r="B7" s="37">
        <f>IF(AND(B6=$B$2,A7=$B$3),"●","")</f>
        <v/>
      </c>
      <c r="C7" s="37">
        <f>IF(AND(C6=$B$2,A7=$B$3),"●","")</f>
        <v/>
      </c>
      <c r="D7" s="37">
        <f>IF(AND(D6=$B$2,A7=$B$3),"●","")</f>
        <v/>
      </c>
      <c r="E7" s="37">
        <f>IF(AND(E6=$B$2,A7=$B$3),"●","")</f>
        <v/>
      </c>
      <c r="F7" s="37">
        <f>IF(AND(F6=$B$2,A7=$B$3),"●","")</f>
        <v/>
      </c>
      <c r="G7" s="37">
        <f>IF(AND(G6=$B$2,A7=$B$3),"●","")</f>
        <v/>
      </c>
      <c r="H7" s="37">
        <f>IF(AND(H6=$B$2,A7=$B$3),"●","")</f>
        <v/>
      </c>
      <c r="I7" s="37">
        <f>IF(AND(I6=$B$2,A7=$B$3),"●","")</f>
        <v/>
      </c>
      <c r="J7" s="37">
        <f>IF(AND(J6=$B$2,A7=$B$3),"●","")</f>
        <v/>
      </c>
      <c r="K7" s="37">
        <f>IF(AND(K6=$B$2,A7=$B$3),"●","")</f>
        <v/>
      </c>
      <c r="L7" s="37">
        <f>IF(AND(L6=$B$2,A7=$B$3),"●","")</f>
        <v/>
      </c>
      <c r="M7" s="37">
        <f>IF(AND(M6=$B$2,A7=$B$3),"●","")</f>
        <v/>
      </c>
      <c r="N7" s="37">
        <f>IF(AND($A7=$B$2,N$6=$B$3),"●","")</f>
        <v/>
      </c>
      <c r="O7" s="37">
        <f>IF(AND($A7=$B$2,O$6=$B$3),"●","")</f>
        <v/>
      </c>
      <c r="P7" s="37">
        <f>IF(AND($A7=$B$2,P$6=$B$3),"●","")</f>
        <v/>
      </c>
      <c r="Q7" s="37">
        <f>IF(AND($A7=$B$2,Q$6=$B$3),"●","")</f>
        <v/>
      </c>
      <c r="R7" s="37">
        <f>IF(AND($A7=$B$2,R$6=$B$3),"●","")</f>
        <v/>
      </c>
      <c r="S7" s="37">
        <f>IF(AND($A7=$B$2,S$6=$B$3),"●","")</f>
        <v/>
      </c>
      <c r="T7" s="37">
        <f>IF(AND($A7=$B$2,T$6=$B$3),"●","")</f>
        <v/>
      </c>
      <c r="U7" s="37">
        <f>IF(AND($A7=$B$2,U$6=$B$3),"●","")</f>
        <v/>
      </c>
    </row>
    <row r="8" ht="15.75" customHeight="1" s="91">
      <c r="A8" s="36" t="n">
        <v>2</v>
      </c>
      <c r="B8" s="37">
        <f>IF(AND(B6=$B$2,A8=$B$3),"●","")</f>
        <v/>
      </c>
      <c r="C8" s="37">
        <f>IF(AND(C6=$B$2,A8=$B$3),"●","")</f>
        <v/>
      </c>
      <c r="D8" s="37">
        <f>IF(AND(D6=$B$2,A8=$B$3),"●","")</f>
        <v/>
      </c>
      <c r="E8" s="37">
        <f>IF(AND(E6=$B$2,A8=$B$3),"●","")</f>
        <v/>
      </c>
      <c r="F8" s="37">
        <f>IF(AND(F6=$B$2,A8=$B$3),"●","")</f>
        <v/>
      </c>
      <c r="G8" s="37">
        <f>IF(AND(G6=$B$2,A8=$B$3),"●","")</f>
        <v/>
      </c>
      <c r="H8" s="37">
        <f>IF(AND(H6=$B$2,A8=$B$3),"●","")</f>
        <v/>
      </c>
      <c r="I8" s="37">
        <f>IF(AND(I6=$B$2,A8=$B$3),"●","")</f>
        <v/>
      </c>
      <c r="J8" s="37">
        <f>IF(AND(J6=$B$2,A8=$B$3),"●","")</f>
        <v/>
      </c>
      <c r="K8" s="37">
        <f>IF(AND(K6=$B$2,A8=$B$3),"●","")</f>
        <v/>
      </c>
      <c r="L8" s="37">
        <f>IF(AND(L6=$B$2,A8=$B$3),"●","")</f>
        <v/>
      </c>
      <c r="M8" s="37">
        <f>IF(AND(M6=$B$2,A8=$B$3),"●","")</f>
        <v/>
      </c>
      <c r="N8" s="37">
        <f>IF(AND($A8=$B$2,N$6=$B$3),"●","")</f>
        <v/>
      </c>
      <c r="O8" s="37">
        <f>IF(AND($A8=$B$2,O$6=$B$3),"●","")</f>
        <v/>
      </c>
      <c r="P8" s="37">
        <f>IF(AND($A8=$B$2,P$6=$B$3),"●","")</f>
        <v/>
      </c>
      <c r="Q8" s="37">
        <f>IF(AND($A8=$B$2,Q$6=$B$3),"●","")</f>
        <v/>
      </c>
      <c r="R8" s="37">
        <f>IF(AND($A8=$B$2,R$6=$B$3),"●","")</f>
        <v/>
      </c>
      <c r="S8" s="37">
        <f>IF(AND($A8=$B$2,S$6=$B$3),"●","")</f>
        <v/>
      </c>
      <c r="T8" s="37">
        <f>IF(AND($A8=$B$2,T$6=$B$3),"●","")</f>
        <v/>
      </c>
      <c r="U8" s="37">
        <f>IF(AND($A8=$B$2,U$6=$B$3),"●","")</f>
        <v/>
      </c>
    </row>
    <row r="9" ht="15.75" customHeight="1" s="91">
      <c r="A9" s="36" t="n">
        <v>3</v>
      </c>
      <c r="B9" s="37">
        <f>IF(AND(B6=$B$2,A9=$B$3),"●","")</f>
        <v/>
      </c>
      <c r="C9" s="37">
        <f>IF(AND(C6=$B$2,A9=$B$3),"●","")</f>
        <v/>
      </c>
      <c r="D9" s="37">
        <f>IF(AND(D6=$B$2,A9=$B$3),"●","")</f>
        <v/>
      </c>
      <c r="E9" s="37">
        <f>IF(AND(E6=$B$2,A9=$B$3),"●","")</f>
        <v/>
      </c>
      <c r="F9" s="37">
        <f>IF(AND(F6=$B$2,A9=$B$3),"●","")</f>
        <v/>
      </c>
      <c r="G9" s="37">
        <f>IF(AND(G6=$B$2,A9=$B$3),"●","")</f>
        <v/>
      </c>
      <c r="H9" s="37">
        <f>IF(AND(H6=$B$2,A9=$B$3),"●","")</f>
        <v/>
      </c>
      <c r="I9" s="37">
        <f>IF(AND(I6=$B$2,A9=$B$3),"●","")</f>
        <v/>
      </c>
      <c r="J9" s="37">
        <f>IF(AND(J6=$B$2,A9=$B$3),"●","")</f>
        <v/>
      </c>
      <c r="K9" s="37">
        <f>IF(AND(K6=$B$2,A9=$B$3),"●","")</f>
        <v/>
      </c>
      <c r="L9" s="37">
        <f>IF(AND(L6=$B$2,A9=$B$3),"●","")</f>
        <v/>
      </c>
      <c r="M9" s="37">
        <f>IF(AND(M6=$B$2,A9=$B$3),"●","")</f>
        <v/>
      </c>
      <c r="N9" s="37">
        <f>IF(AND($A9=$B$2,N$6=$B$3),"●","")</f>
        <v/>
      </c>
      <c r="O9" s="37">
        <f>IF(AND($A9=$B$2,O$6=$B$3),"●","")</f>
        <v/>
      </c>
      <c r="P9" s="37">
        <f>IF(AND($A9=$B$2,P$6=$B$3),"●","")</f>
        <v/>
      </c>
      <c r="Q9" s="37">
        <f>IF(AND($A9=$B$2,Q$6=$B$3),"●","")</f>
        <v/>
      </c>
      <c r="R9" s="37">
        <f>IF(AND($A9=$B$2,R$6=$B$3),"●","")</f>
        <v/>
      </c>
      <c r="S9" s="37">
        <f>IF(AND($A9=$B$2,S$6=$B$3),"●","")</f>
        <v/>
      </c>
      <c r="T9" s="37">
        <f>IF(AND($A9=$B$2,T$6=$B$3),"●","")</f>
        <v/>
      </c>
      <c r="U9" s="37">
        <f>IF(AND($A9=$B$2,U$6=$B$3),"●","")</f>
        <v/>
      </c>
    </row>
    <row r="10" ht="15.75" customHeight="1" s="91">
      <c r="A10" s="36" t="n">
        <v>4</v>
      </c>
      <c r="B10" s="37">
        <f>IF(AND(B6=$B$2,A10=$B$3),"●","")</f>
        <v/>
      </c>
      <c r="C10" s="37">
        <f>IF(AND(C6=$B$2,A10=$B$3),"●","")</f>
        <v/>
      </c>
      <c r="D10" s="37">
        <f>IF(AND(D6=$B$2,A10=$B$3),"●","")</f>
        <v/>
      </c>
      <c r="E10" s="37">
        <f>IF(AND(E6=$B$2,A10=$B$3),"●","")</f>
        <v/>
      </c>
      <c r="F10" s="37">
        <f>IF(AND(F6=$B$2,A10=$B$3),"●","")</f>
        <v/>
      </c>
      <c r="G10" s="37">
        <f>IF(AND(G6=$B$2,A10=$B$3),"●","")</f>
        <v/>
      </c>
      <c r="H10" s="37">
        <f>IF(AND(H6=$B$2,A10=$B$3),"●","")</f>
        <v/>
      </c>
      <c r="I10" s="37">
        <f>IF(AND(I6=$B$2,A10=$B$3),"●","")</f>
        <v/>
      </c>
      <c r="J10" s="37">
        <f>IF(AND(J6=$B$2,A10=$B$3),"●","")</f>
        <v/>
      </c>
      <c r="K10" s="37">
        <f>IF(AND(K6=$B$2,A10=$B$3),"●","")</f>
        <v/>
      </c>
      <c r="L10" s="37">
        <f>IF(AND(L6=$B$2,A10=$B$3),"●","")</f>
        <v/>
      </c>
      <c r="M10" s="37">
        <f>IF(AND(M6=$B$2,A10=$B$3),"●","")</f>
        <v/>
      </c>
      <c r="N10" s="37">
        <f>IF(AND($A10=$B$2,N$6=$B$3),"●","")</f>
        <v/>
      </c>
      <c r="O10" s="37">
        <f>IF(AND($A10=$B$2,O$6=$B$3),"●","")</f>
        <v/>
      </c>
      <c r="P10" s="37">
        <f>IF(AND($A10=$B$2,P$6=$B$3),"●","")</f>
        <v/>
      </c>
      <c r="Q10" s="37">
        <f>IF(AND($A10=$B$2,Q$6=$B$3),"●","")</f>
        <v/>
      </c>
      <c r="R10" s="37">
        <f>IF(AND($A10=$B$2,R$6=$B$3),"●","")</f>
        <v/>
      </c>
      <c r="S10" s="37">
        <f>IF(AND($A10=$B$2,S$6=$B$3),"●","")</f>
        <v/>
      </c>
      <c r="T10" s="37">
        <f>IF(AND($A10=$B$2,T$6=$B$3),"●","")</f>
        <v/>
      </c>
      <c r="U10" s="37">
        <f>IF(AND($A10=$B$2,U$6=$B$3),"●","")</f>
        <v/>
      </c>
    </row>
    <row r="11" ht="15.75" customHeight="1" s="91">
      <c r="A11" s="36" t="n">
        <v>5</v>
      </c>
      <c r="B11" s="37">
        <f>IF(AND(B6=$B$2,A11=$B$3),"●","")</f>
        <v/>
      </c>
      <c r="C11" s="37">
        <f>IF(AND(C6=$B$2,A11=$B$3),"●","")</f>
        <v/>
      </c>
      <c r="D11" s="37">
        <f>IF(AND(D6=$B$2,A11=$B$3),"●","")</f>
        <v/>
      </c>
      <c r="E11" s="37">
        <f>IF(AND(E6=$B$2,A11=$B$3),"●","")</f>
        <v/>
      </c>
      <c r="F11" s="37">
        <f>IF(AND(F6=$B$2,A11=$B$3),"●","")</f>
        <v/>
      </c>
      <c r="G11" s="37">
        <f>IF(AND(G6=$B$2,A11=$B$3),"●","")</f>
        <v/>
      </c>
      <c r="H11" s="37">
        <f>IF(AND(H6=$B$2,A11=$B$3),"●","")</f>
        <v/>
      </c>
      <c r="I11" s="37">
        <f>IF(AND(I6=$B$2,A11=$B$3),"●","")</f>
        <v/>
      </c>
      <c r="J11" s="37">
        <f>IF(AND(J6=$B$2,A11=$B$3),"●","")</f>
        <v/>
      </c>
      <c r="K11" s="37">
        <f>IF(AND(K6=$B$2,A11=$B$3),"●","")</f>
        <v/>
      </c>
      <c r="L11" s="37">
        <f>IF(AND(L6=$B$2,A11=$B$3),"●","")</f>
        <v/>
      </c>
      <c r="M11" s="37">
        <f>IF(AND(M6=$B$2,A11=$B$3),"●","")</f>
        <v/>
      </c>
      <c r="N11" s="37">
        <f>IF(AND($A11=$B$2,N$6=$B$3),"●","")</f>
        <v/>
      </c>
      <c r="O11" s="37">
        <f>IF(AND($A11=$B$2,O$6=$B$3),"●","")</f>
        <v/>
      </c>
      <c r="P11" s="37">
        <f>IF(AND($A11=$B$2,P$6=$B$3),"●","")</f>
        <v/>
      </c>
      <c r="Q11" s="37">
        <f>IF(AND($A11=$B$2,Q$6=$B$3),"●","")</f>
        <v/>
      </c>
      <c r="R11" s="37">
        <f>IF(AND($A11=$B$2,R$6=$B$3),"●","")</f>
        <v/>
      </c>
      <c r="S11" s="37">
        <f>IF(AND($A11=$B$2,S$6=$B$3),"●","")</f>
        <v/>
      </c>
      <c r="T11" s="37">
        <f>IF(AND($A11=$B$2,T$6=$B$3),"●","")</f>
        <v/>
      </c>
      <c r="U11" s="37">
        <f>IF(AND($A11=$B$2,U$6=$B$3),"●","")</f>
        <v/>
      </c>
    </row>
    <row r="12" ht="15.75" customHeight="1" s="91">
      <c r="A12" s="36" t="n">
        <v>6</v>
      </c>
      <c r="B12" s="37">
        <f>IF(AND(B6=$B$2,A12=$B$3),"●","")</f>
        <v/>
      </c>
      <c r="C12" s="37">
        <f>IF(AND(C6=$B$2,A12=$B$3),"●","")</f>
        <v/>
      </c>
      <c r="D12" s="37">
        <f>IF(AND(D6=$B$2,A12=$B$3),"●","")</f>
        <v/>
      </c>
      <c r="E12" s="37">
        <f>IF(AND(E6=$B$2,A12=$B$3),"●","")</f>
        <v/>
      </c>
      <c r="F12" s="37">
        <f>IF(AND(F6=$B$2,A12=$B$3),"●","")</f>
        <v/>
      </c>
      <c r="G12" s="37">
        <f>IF(AND(G6=$B$2,A12=$B$3),"●","")</f>
        <v/>
      </c>
      <c r="H12" s="37">
        <f>IF(AND(H6=$B$2,A12=$B$3),"●","")</f>
        <v/>
      </c>
      <c r="I12" s="37">
        <f>IF(AND(I6=$B$2,A12=$B$3),"●","")</f>
        <v/>
      </c>
      <c r="J12" s="37">
        <f>IF(AND(J6=$B$2,A12=$B$3),"●","")</f>
        <v/>
      </c>
      <c r="K12" s="37">
        <f>IF(AND(K6=$B$2,A12=$B$3),"●","")</f>
        <v/>
      </c>
      <c r="L12" s="37">
        <f>IF(AND(L6=$B$2,A12=$B$3),"●","")</f>
        <v/>
      </c>
      <c r="M12" s="37">
        <f>IF(AND(M6=$B$2,A12=$B$3),"●","")</f>
        <v/>
      </c>
      <c r="N12" s="37">
        <f>IF(AND($A12=$B$2,N$6=$B$3),"●","")</f>
        <v/>
      </c>
      <c r="O12" s="37">
        <f>IF(AND($A12=$B$2,O$6=$B$3),"●","")</f>
        <v/>
      </c>
      <c r="P12" s="37">
        <f>IF(AND($A12=$B$2,P$6=$B$3),"●","")</f>
        <v/>
      </c>
      <c r="Q12" s="37">
        <f>IF(AND($A12=$B$2,Q$6=$B$3),"●","")</f>
        <v/>
      </c>
      <c r="R12" s="37">
        <f>IF(AND($A12=$B$2,R$6=$B$3),"●","")</f>
        <v/>
      </c>
      <c r="S12" s="37">
        <f>IF(AND($A12=$B$2,S$6=$B$3),"●","")</f>
        <v/>
      </c>
      <c r="T12" s="37">
        <f>IF(AND($A12=$B$2,T$6=$B$3),"●","")</f>
        <v/>
      </c>
      <c r="U12" s="37">
        <f>IF(AND($A12=$B$2,U$6=$B$3),"●","")</f>
        <v/>
      </c>
    </row>
    <row r="13" ht="15.75" customHeight="1" s="91">
      <c r="A13" s="36" t="n">
        <v>7</v>
      </c>
      <c r="B13" s="37">
        <f>IF(AND(B6=$B$2,A13=$B$3),"●","")</f>
        <v/>
      </c>
      <c r="C13" s="37">
        <f>IF(AND(C6=$B$2,A13=$B$3),"●","")</f>
        <v/>
      </c>
      <c r="D13" s="37">
        <f>IF(AND(D6=$B$2,A13=$B$3),"●","")</f>
        <v/>
      </c>
      <c r="E13" s="37">
        <f>IF(AND(E6=$B$2,A13=$B$3),"●","")</f>
        <v/>
      </c>
      <c r="F13" s="37">
        <f>IF(AND(F6=$B$2,A13=$B$3),"●","")</f>
        <v/>
      </c>
      <c r="G13" s="37">
        <f>IF(AND(G6=$B$2,A13=$B$3),"●","")</f>
        <v/>
      </c>
      <c r="H13" s="37">
        <f>IF(AND(H6=$B$2,A13=$B$3),"●","")</f>
        <v/>
      </c>
      <c r="I13" s="37">
        <f>IF(AND(I6=$B$2,A13=$B$3),"●","")</f>
        <v/>
      </c>
      <c r="J13" s="37">
        <f>IF(AND(J6=$B$2,A13=$B$3),"●","")</f>
        <v/>
      </c>
      <c r="K13" s="37">
        <f>IF(AND(K6=$B$2,A13=$B$3),"●","")</f>
        <v/>
      </c>
      <c r="L13" s="37">
        <f>IF(AND(L6=$B$2,A13=$B$3),"●","")</f>
        <v/>
      </c>
      <c r="M13" s="37">
        <f>IF(AND(M6=$B$2,A13=$B$3),"●","")</f>
        <v/>
      </c>
      <c r="N13" s="37">
        <f>IF(AND($A13=$B$2,N$6=$B$3),"●","")</f>
        <v/>
      </c>
      <c r="O13" s="37">
        <f>IF(AND($A13=$B$2,O$6=$B$3),"●","")</f>
        <v/>
      </c>
      <c r="P13" s="37">
        <f>IF(AND($A13=$B$2,P$6=$B$3),"●","")</f>
        <v/>
      </c>
      <c r="Q13" s="37">
        <f>IF(AND($A13=$B$2,Q$6=$B$3),"●","")</f>
        <v/>
      </c>
      <c r="R13" s="37">
        <f>IF(AND($A13=$B$2,R$6=$B$3),"●","")</f>
        <v/>
      </c>
      <c r="S13" s="37">
        <f>IF(AND($A13=$B$2,S$6=$B$3),"●","")</f>
        <v/>
      </c>
      <c r="T13" s="37">
        <f>IF(AND($A13=$B$2,T$6=$B$3),"●","")</f>
        <v/>
      </c>
      <c r="U13" s="37">
        <f>IF(AND($A13=$B$2,U$6=$B$3),"●","")</f>
        <v/>
      </c>
    </row>
    <row r="14" ht="15.75" customHeight="1" s="91">
      <c r="A14" s="36" t="n">
        <v>8</v>
      </c>
      <c r="B14" s="37">
        <f>IF(AND(B6=$B$2,A14=$B$3),"●","")</f>
        <v/>
      </c>
      <c r="C14" s="37">
        <f>IF(AND(C6=$B$2,A14=$B$3),"●","")</f>
        <v/>
      </c>
      <c r="D14" s="37">
        <f>IF(AND(D6=$B$2,A14=$B$3),"●","")</f>
        <v/>
      </c>
      <c r="E14" s="37">
        <f>IF(AND(E6=$B$2,A14=$B$3),"●","")</f>
        <v/>
      </c>
      <c r="F14" s="37">
        <f>IF(AND(F6=$B$2,A14=$B$3),"●","")</f>
        <v/>
      </c>
      <c r="G14" s="37">
        <f>IF(AND(G6=$B$2,A14=$B$3),"●","")</f>
        <v/>
      </c>
      <c r="H14" s="37">
        <f>IF(AND(H6=$B$2,A14=$B$3),"●","")</f>
        <v/>
      </c>
      <c r="I14" s="37">
        <f>IF(AND(I6=$B$2,A14=$B$3),"●","")</f>
        <v/>
      </c>
      <c r="J14" s="37">
        <f>IF(AND(J6=$B$2,A14=$B$3),"●","")</f>
        <v/>
      </c>
      <c r="K14" s="37">
        <f>IF(AND(K6=$B$2,A14=$B$3),"●","")</f>
        <v/>
      </c>
      <c r="L14" s="37">
        <f>IF(AND(L6=$B$2,A14=$B$3),"●","")</f>
        <v/>
      </c>
      <c r="M14" s="37">
        <f>IF(AND(M6=$B$2,A14=$B$3),"●","")</f>
        <v/>
      </c>
      <c r="N14" s="37">
        <f>IF(AND($A14=$B$2,N$6=$B$3),"●","")</f>
        <v/>
      </c>
      <c r="O14" s="37">
        <f>IF(AND($A14=$B$2,O$6=$B$3),"●","")</f>
        <v/>
      </c>
      <c r="P14" s="37">
        <f>IF(AND($A14=$B$2,P$6=$B$3),"●","")</f>
        <v/>
      </c>
      <c r="Q14" s="37">
        <f>IF(AND($A14=$B$2,Q$6=$B$3),"●","")</f>
        <v/>
      </c>
      <c r="R14" s="37">
        <f>IF(AND($A14=$B$2,R$6=$B$3),"●","")</f>
        <v/>
      </c>
      <c r="S14" s="37">
        <f>IF(AND($A14=$B$2,S$6=$B$3),"●","")</f>
        <v/>
      </c>
      <c r="T14" s="37">
        <f>IF(AND($A14=$B$2,T$6=$B$3),"●","")</f>
        <v/>
      </c>
      <c r="U14" s="37">
        <f>IF(AND($A14=$B$2,U$6=$B$3),"●","")</f>
        <v/>
      </c>
    </row>
    <row r="15" ht="15.75" customHeight="1" s="91">
      <c r="A15" s="36" t="n">
        <v>9</v>
      </c>
      <c r="B15" s="37">
        <f>IF(AND(B6=$B$2,A15=$B$3),"●","")</f>
        <v/>
      </c>
      <c r="C15" s="37">
        <f>IF(AND(C6=$B$2,A15=$B$3),"●","")</f>
        <v/>
      </c>
      <c r="D15" s="37">
        <f>IF(AND(D6=$B$2,A15=$B$3),"●","")</f>
        <v/>
      </c>
      <c r="E15" s="37">
        <f>IF(AND(E6=$B$2,A15=$B$3),"●","")</f>
        <v/>
      </c>
      <c r="F15" s="37">
        <f>IF(AND(F6=$B$2,A15=$B$3),"●","")</f>
        <v/>
      </c>
      <c r="G15" s="37">
        <f>IF(AND(G6=$B$2,A15=$B$3),"●","")</f>
        <v/>
      </c>
      <c r="H15" s="37">
        <f>IF(AND(H6=$B$2,A15=$B$3),"●","")</f>
        <v/>
      </c>
      <c r="I15" s="37">
        <f>IF(AND(I6=$B$2,A15=$B$3),"●","")</f>
        <v/>
      </c>
      <c r="J15" s="37">
        <f>IF(AND(J6=$B$2,A15=$B$3),"●","")</f>
        <v/>
      </c>
      <c r="K15" s="37">
        <f>IF(AND(K6=$B$2,A15=$B$3),"●","")</f>
        <v/>
      </c>
      <c r="L15" s="37">
        <f>IF(AND(L6=$B$2,A15=$B$3),"●","")</f>
        <v/>
      </c>
      <c r="M15" s="37">
        <f>IF(AND(M6=$B$2,A15=$B$3),"●","")</f>
        <v/>
      </c>
      <c r="N15" s="37">
        <f>IF(AND($A15=$B$2,N$6=$B$3),"●","")</f>
        <v/>
      </c>
      <c r="O15" s="37">
        <f>IF(AND($A15=$B$2,O$6=$B$3),"●","")</f>
        <v/>
      </c>
      <c r="P15" s="37">
        <f>IF(AND($A15=$B$2,P$6=$B$3),"●","")</f>
        <v/>
      </c>
      <c r="Q15" s="37">
        <f>IF(AND($A15=$B$2,Q$6=$B$3),"●","")</f>
        <v/>
      </c>
      <c r="R15" s="37">
        <f>IF(AND($A15=$B$2,R$6=$B$3),"●","")</f>
        <v/>
      </c>
      <c r="S15" s="37">
        <f>IF(AND($A15=$B$2,S$6=$B$3),"●","")</f>
        <v/>
      </c>
      <c r="T15" s="37">
        <f>IF(AND($A15=$B$2,T$6=$B$3),"●","")</f>
        <v/>
      </c>
      <c r="U15" s="37">
        <f>IF(AND($A15=$B$2,U$6=$B$3),"●","")</f>
        <v/>
      </c>
    </row>
    <row r="16" ht="15.75" customHeight="1" s="91">
      <c r="A16" s="36" t="n">
        <v>10</v>
      </c>
      <c r="B16" s="37">
        <f>IF(AND(B6=$B$2,A16=$B$3),"●","")</f>
        <v/>
      </c>
      <c r="C16" s="37">
        <f>IF(AND(C6=$B$2,A16=$B$3),"●","")</f>
        <v/>
      </c>
      <c r="D16" s="37">
        <f>IF(AND(D6=$B$2,A16=$B$3),"●","")</f>
        <v/>
      </c>
      <c r="E16" s="37">
        <f>IF(AND(E6=$B$2,A16=$B$3),"●","")</f>
        <v/>
      </c>
      <c r="F16" s="37">
        <f>IF(AND(F6=$B$2,A16=$B$3),"●","")</f>
        <v/>
      </c>
      <c r="G16" s="37">
        <f>IF(AND(G6=$B$2,A16=$B$3),"●","")</f>
        <v/>
      </c>
      <c r="H16" s="37">
        <f>IF(AND(H6=$B$2,A16=$B$3),"●","")</f>
        <v/>
      </c>
      <c r="I16" s="37">
        <f>IF(AND(I6=$B$2,A16=$B$3),"●","")</f>
        <v/>
      </c>
      <c r="J16" s="37">
        <f>IF(AND(J6=$B$2,A16=$B$3),"●","")</f>
        <v/>
      </c>
      <c r="K16" s="37">
        <f>IF(AND(K6=$B$2,A16=$B$3),"●","")</f>
        <v/>
      </c>
      <c r="L16" s="37">
        <f>IF(AND(L6=$B$2,A16=$B$3),"●","")</f>
        <v/>
      </c>
      <c r="M16" s="37">
        <f>IF(AND(M6=$B$2,A16=$B$3),"●","")</f>
        <v/>
      </c>
      <c r="N16" s="37">
        <f>IF(AND($A16=$B$2,N$6=$B$3),"●","")</f>
        <v/>
      </c>
      <c r="O16" s="37">
        <f>IF(AND($A16=$B$2,O$6=$B$3),"●","")</f>
        <v/>
      </c>
      <c r="P16" s="37">
        <f>IF(AND($A16=$B$2,P$6=$B$3),"●","")</f>
        <v/>
      </c>
      <c r="Q16" s="37">
        <f>IF(AND($A16=$B$2,Q$6=$B$3),"●","")</f>
        <v/>
      </c>
      <c r="R16" s="37">
        <f>IF(AND($A16=$B$2,R$6=$B$3),"●","")</f>
        <v/>
      </c>
      <c r="S16" s="37">
        <f>IF(AND($A16=$B$2,S$6=$B$3),"●","")</f>
        <v/>
      </c>
      <c r="T16" s="37">
        <f>IF(AND($A16=$B$2,T$6=$B$3),"●","")</f>
        <v/>
      </c>
      <c r="U16" s="37">
        <f>IF(AND($A16=$B$2,U$6=$B$3),"●","")</f>
        <v/>
      </c>
    </row>
    <row r="17" ht="15.75" customHeight="1" s="91">
      <c r="A17" s="36" t="n">
        <v>11</v>
      </c>
      <c r="B17" s="37">
        <f>IF(AND(B6=$B$2,A17=$B$3),"●","")</f>
        <v/>
      </c>
      <c r="C17" s="37">
        <f>IF(AND(C6=$B$2,A17=$B$3),"●","")</f>
        <v/>
      </c>
      <c r="D17" s="37">
        <f>IF(AND(D6=$B$2,A17=$B$3),"●","")</f>
        <v/>
      </c>
      <c r="E17" s="37">
        <f>IF(AND(E6=$B$2,A17=$B$3),"●","")</f>
        <v/>
      </c>
      <c r="F17" s="37">
        <f>IF(AND(F6=$B$2,A17=$B$3),"●","")</f>
        <v/>
      </c>
      <c r="G17" s="37">
        <f>IF(AND(G6=$B$2,A17=$B$3),"●","")</f>
        <v/>
      </c>
      <c r="H17" s="37">
        <f>IF(AND(H6=$B$2,A17=$B$3),"●","")</f>
        <v/>
      </c>
      <c r="I17" s="37">
        <f>IF(AND(I6=$B$2,A17=$B$3),"●","")</f>
        <v/>
      </c>
      <c r="J17" s="37">
        <f>IF(AND(J6=$B$2,A17=$B$3),"●","")</f>
        <v/>
      </c>
      <c r="K17" s="37">
        <f>IF(AND(K6=$B$2,A17=$B$3),"●","")</f>
        <v/>
      </c>
      <c r="L17" s="37">
        <f>IF(AND(L6=$B$2,A17=$B$3),"●","")</f>
        <v/>
      </c>
      <c r="M17" s="37">
        <f>IF(AND(M6=$B$2,A17=$B$3),"●","")</f>
        <v/>
      </c>
      <c r="N17" s="37">
        <f>IF(AND($A17=$B$2,N$6=$B$3),"●","")</f>
        <v/>
      </c>
      <c r="O17" s="37">
        <f>IF(AND($A17=$B$2,O$6=$B$3),"●","")</f>
        <v/>
      </c>
      <c r="P17" s="37">
        <f>IF(AND($A17=$B$2,P$6=$B$3),"●","")</f>
        <v/>
      </c>
      <c r="Q17" s="37">
        <f>IF(AND($A17=$B$2,Q$6=$B$3),"●","")</f>
        <v/>
      </c>
      <c r="R17" s="37">
        <f>IF(AND($A17=$B$2,R$6=$B$3),"●","")</f>
        <v/>
      </c>
      <c r="S17" s="37">
        <f>IF(AND($A17=$B$2,S$6=$B$3),"●","")</f>
        <v/>
      </c>
      <c r="T17" s="37">
        <f>IF(AND($A17=$B$2,T$6=$B$3),"●","")</f>
        <v/>
      </c>
      <c r="U17" s="37">
        <f>IF(AND($A17=$B$2,U$6=$B$3),"●","")</f>
        <v/>
      </c>
    </row>
    <row r="18" ht="15.75" customHeight="1" s="91">
      <c r="A18" s="36" t="n">
        <v>12</v>
      </c>
      <c r="B18" s="37">
        <f>IF(AND(B6=$B$2,A18=$B$3),"●","")</f>
        <v/>
      </c>
      <c r="C18" s="37">
        <f>IF(AND(C6=$B$2,A18=$B$3),"●","")</f>
        <v/>
      </c>
      <c r="D18" s="37">
        <f>IF(AND(D6=$B$2,A18=$B$3),"●","")</f>
        <v/>
      </c>
      <c r="E18" s="37">
        <f>IF(AND(E6=$B$2,A18=$B$3),"●","")</f>
        <v/>
      </c>
      <c r="F18" s="37">
        <f>IF(AND(F6=$B$2,A18=$B$3),"●","")</f>
        <v/>
      </c>
      <c r="G18" s="37">
        <f>IF(AND(G6=$B$2,A18=$B$3),"●","")</f>
        <v/>
      </c>
      <c r="H18" s="37">
        <f>IF(AND(H6=$B$2,A18=$B$3),"●","")</f>
        <v/>
      </c>
      <c r="I18" s="37">
        <f>IF(AND(I6=$B$2,A18=$B$3),"●","")</f>
        <v/>
      </c>
      <c r="J18" s="37">
        <f>IF(AND(J6=$B$2,A18=$B$3),"●","")</f>
        <v/>
      </c>
      <c r="K18" s="37">
        <f>IF(AND(K6=$B$2,A18=$B$3),"●","")</f>
        <v/>
      </c>
      <c r="L18" s="37">
        <f>IF(AND(L6=$B$2,A18=$B$3),"●","")</f>
        <v/>
      </c>
      <c r="M18" s="37">
        <f>IF(AND(M6=$B$2,A18=$B$3),"●","")</f>
        <v/>
      </c>
      <c r="N18" s="37">
        <f>IF(AND($A18=$B$2,N$6=$B$3),"●","")</f>
        <v/>
      </c>
      <c r="O18" s="37">
        <f>IF(AND($A18=$B$2,O$6=$B$3),"●","")</f>
        <v/>
      </c>
      <c r="P18" s="37">
        <f>IF(AND($A18=$B$2,P$6=$B$3),"●","")</f>
        <v/>
      </c>
      <c r="Q18" s="37">
        <f>IF(AND($A18=$B$2,Q$6=$B$3),"●","")</f>
        <v/>
      </c>
      <c r="R18" s="37">
        <f>IF(AND($A18=$B$2,R$6=$B$3),"●","")</f>
        <v/>
      </c>
      <c r="S18" s="37">
        <f>IF(AND($A18=$B$2,S$6=$B$3),"●","")</f>
        <v/>
      </c>
      <c r="T18" s="37">
        <f>IF(AND($A18=$B$2,T$6=$B$3),"●","")</f>
        <v/>
      </c>
      <c r="U18" s="37">
        <f>IF(AND($A18=$B$2,U$6=$B$3),"●","")</f>
        <v/>
      </c>
    </row>
    <row r="19" ht="15.75" customHeight="1" s="91">
      <c r="A19" s="36" t="n">
        <v>13</v>
      </c>
      <c r="B19" s="37">
        <f>IF(AND(B6=$B$2,A19=$B$3),"●","")</f>
        <v/>
      </c>
      <c r="C19" s="37">
        <f>IF(AND(C6=$B$2,A19=$B$3),"●","")</f>
        <v/>
      </c>
      <c r="D19" s="37">
        <f>IF(AND(D6=$B$2,A19=$B$3),"●","")</f>
        <v/>
      </c>
      <c r="E19" s="37">
        <f>IF(AND(E6=$B$2,A19=$B$3),"●","")</f>
        <v/>
      </c>
      <c r="F19" s="37">
        <f>IF(AND(F6=$B$2,A19=$B$3),"●","")</f>
        <v/>
      </c>
      <c r="G19" s="37">
        <f>IF(AND(G6=$B$2,A19=$B$3),"●","")</f>
        <v/>
      </c>
      <c r="H19" s="37">
        <f>IF(AND(H6=$B$2,A19=$B$3),"●","")</f>
        <v/>
      </c>
      <c r="I19" s="37">
        <f>IF(AND(I6=$B$2,A19=$B$3),"●","")</f>
        <v/>
      </c>
      <c r="J19" s="37">
        <f>IF(AND(J6=$B$2,A19=$B$3),"●","")</f>
        <v/>
      </c>
      <c r="K19" s="37">
        <f>IF(AND(K6=$B$2,A19=$B$3),"●","")</f>
        <v/>
      </c>
      <c r="L19" s="37">
        <f>IF(AND(L6=$B$2,A19=$B$3),"●","")</f>
        <v/>
      </c>
      <c r="M19" s="37">
        <f>IF(AND(M6=$B$2,A19=$B$3),"●","")</f>
        <v/>
      </c>
      <c r="N19" s="37">
        <f>IF(AND($A19=$B$2,N$6=$B$3),"●","")</f>
        <v/>
      </c>
      <c r="O19" s="37">
        <f>IF(AND($A19=$B$2,O$6=$B$3),"●","")</f>
        <v/>
      </c>
      <c r="P19" s="37">
        <f>IF(AND($A19=$B$2,P$6=$B$3),"●","")</f>
        <v/>
      </c>
      <c r="Q19" s="37">
        <f>IF(AND($A19=$B$2,Q$6=$B$3),"●","")</f>
        <v/>
      </c>
      <c r="R19" s="37">
        <f>IF(AND($A19=$B$2,R$6=$B$3),"●","")</f>
        <v/>
      </c>
      <c r="S19" s="37">
        <f>IF(AND($A19=$B$2,S$6=$B$3),"●","")</f>
        <v/>
      </c>
      <c r="T19" s="37">
        <f>IF(AND($A19=$B$2,T$6=$B$3),"●","")</f>
        <v/>
      </c>
      <c r="U19" s="37">
        <f>IF(AND($A19=$B$2,U$6=$B$3),"●","")</f>
        <v/>
      </c>
    </row>
    <row r="20" ht="15.75" customHeight="1" s="91">
      <c r="A20" s="36" t="n">
        <v>14</v>
      </c>
      <c r="B20" s="37">
        <f>IF(AND(B6=$B$2,A20=$B$3),"●","")</f>
        <v/>
      </c>
      <c r="C20" s="37">
        <f>IF(AND(C6=$B$2,A20=$B$3),"●","")</f>
        <v/>
      </c>
      <c r="D20" s="37">
        <f>IF(AND(D6=$B$2,A20=$B$3),"●","")</f>
        <v/>
      </c>
      <c r="E20" s="37">
        <f>IF(AND(E6=$B$2,A20=$B$3),"●","")</f>
        <v/>
      </c>
      <c r="F20" s="37">
        <f>IF(AND(F6=$B$2,A20=$B$3),"●","")</f>
        <v/>
      </c>
      <c r="G20" s="37">
        <f>IF(AND(G6=$B$2,A20=$B$3),"●","")</f>
        <v/>
      </c>
      <c r="H20" s="37">
        <f>IF(AND(H6=$B$2,A20=$B$3),"●","")</f>
        <v/>
      </c>
      <c r="I20" s="37">
        <f>IF(AND(I6=$B$2,A20=$B$3),"●","")</f>
        <v/>
      </c>
      <c r="J20" s="37">
        <f>IF(AND(J6=$B$2,A20=$B$3),"●","")</f>
        <v/>
      </c>
      <c r="K20" s="37">
        <f>IF(AND(K6=$B$2,A20=$B$3),"●","")</f>
        <v/>
      </c>
      <c r="L20" s="37">
        <f>IF(AND(L6=$B$2,A20=$B$3),"●","")</f>
        <v/>
      </c>
      <c r="M20" s="37">
        <f>IF(AND(M6=$B$2,A20=$B$3),"●","")</f>
        <v/>
      </c>
      <c r="N20" s="37">
        <f>IF(AND($A20=$B$2,N$6=$B$3),"●","")</f>
        <v/>
      </c>
      <c r="O20" s="37">
        <f>IF(AND($A20=$B$2,O$6=$B$3),"●","")</f>
        <v/>
      </c>
      <c r="P20" s="37">
        <f>IF(AND($A20=$B$2,P$6=$B$3),"●","")</f>
        <v/>
      </c>
      <c r="Q20" s="37">
        <f>IF(AND($A20=$B$2,Q$6=$B$3),"●","")</f>
        <v/>
      </c>
      <c r="R20" s="37">
        <f>IF(AND($A20=$B$2,R$6=$B$3),"●","")</f>
        <v/>
      </c>
      <c r="S20" s="37">
        <f>IF(AND($A20=$B$2,S$6=$B$3),"●","")</f>
        <v/>
      </c>
      <c r="T20" s="37">
        <f>IF(AND($A20=$B$2,T$6=$B$3),"●","")</f>
        <v/>
      </c>
      <c r="U20" s="37">
        <f>IF(AND($A20=$B$2,U$6=$B$3),"●","")</f>
        <v/>
      </c>
    </row>
    <row r="21" ht="15.75" customHeight="1" s="91">
      <c r="A21" s="36" t="n">
        <v>15</v>
      </c>
      <c r="B21" s="37">
        <f>IF(AND(B6=$B$2,A21=$B$3),"●","")</f>
        <v/>
      </c>
      <c r="C21" s="37">
        <f>IF(AND(C6=$B$2,A21=$B$3),"●","")</f>
        <v/>
      </c>
      <c r="D21" s="37">
        <f>IF(AND(D6=$B$2,A21=$B$3),"●","")</f>
        <v/>
      </c>
      <c r="E21" s="37">
        <f>IF(AND(E6=$B$2,A21=$B$3),"●","")</f>
        <v/>
      </c>
      <c r="F21" s="37">
        <f>IF(AND(F6=$B$2,A21=$B$3),"●","")</f>
        <v/>
      </c>
      <c r="G21" s="37">
        <f>IF(AND(G6=$B$2,A21=$B$3),"●","")</f>
        <v/>
      </c>
      <c r="H21" s="37">
        <f>IF(AND(H6=$B$2,A21=$B$3),"●","")</f>
        <v/>
      </c>
      <c r="I21" s="37">
        <f>IF(AND(I6=$B$2,A21=$B$3),"●","")</f>
        <v/>
      </c>
      <c r="J21" s="37">
        <f>IF(AND(J6=$B$2,A21=$B$3),"●","")</f>
        <v/>
      </c>
      <c r="K21" s="37">
        <f>IF(AND(K6=$B$2,A21=$B$3),"●","")</f>
        <v/>
      </c>
      <c r="L21" s="37">
        <f>IF(AND(L6=$B$2,A21=$B$3),"●","")</f>
        <v/>
      </c>
      <c r="M21" s="37">
        <f>IF(AND(M6=$B$2,A21=$B$3),"●","")</f>
        <v/>
      </c>
      <c r="N21" s="37">
        <f>IF(AND($A21=$B$2,N$6=$B$3),"●","")</f>
        <v/>
      </c>
      <c r="O21" s="37">
        <f>IF(AND($A21=$B$2,O$6=$B$3),"●","")</f>
        <v/>
      </c>
      <c r="P21" s="37">
        <f>IF(AND($A21=$B$2,P$6=$B$3),"●","")</f>
        <v/>
      </c>
      <c r="Q21" s="37">
        <f>IF(AND($A21=$B$2,Q$6=$B$3),"●","")</f>
        <v/>
      </c>
      <c r="R21" s="37">
        <f>IF(AND($A21=$B$2,R$6=$B$3),"●","")</f>
        <v/>
      </c>
      <c r="S21" s="37">
        <f>IF(AND($A21=$B$2,S$6=$B$3),"●","")</f>
        <v/>
      </c>
      <c r="T21" s="37">
        <f>IF(AND($A21=$B$2,T$6=$B$3),"●","")</f>
        <v/>
      </c>
      <c r="U21" s="37">
        <f>IF(AND($A21=$B$2,U$6=$B$3),"●","")</f>
        <v/>
      </c>
    </row>
    <row r="22" ht="15.75" customHeight="1" s="91">
      <c r="A22" s="36" t="n">
        <v>16</v>
      </c>
      <c r="B22" s="37">
        <f>IF(AND(B6=$B$2,A22=$B$3),"●","")</f>
        <v/>
      </c>
      <c r="C22" s="37">
        <f>IF(AND(C6=$B$2,A22=$B$3),"●","")</f>
        <v/>
      </c>
      <c r="D22" s="37">
        <f>IF(AND(D6=$B$2,A22=$B$3),"●","")</f>
        <v/>
      </c>
      <c r="E22" s="37">
        <f>IF(AND(E6=$B$2,A22=$B$3),"●","")</f>
        <v/>
      </c>
      <c r="F22" s="37">
        <f>IF(AND(F6=$B$2,A22=$B$3),"●","")</f>
        <v/>
      </c>
      <c r="G22" s="37">
        <f>IF(AND(G6=$B$2,A22=$B$3),"●","")</f>
        <v/>
      </c>
      <c r="H22" s="37">
        <f>IF(AND(H6=$B$2,A22=$B$3),"●","")</f>
        <v/>
      </c>
      <c r="I22" s="37">
        <f>IF(AND(I6=$B$2,A22=$B$3),"●","")</f>
        <v/>
      </c>
      <c r="J22" s="37">
        <f>IF(AND(J6=$B$2,A22=$B$3),"●","")</f>
        <v/>
      </c>
      <c r="K22" s="37">
        <f>IF(AND(K6=$B$2,A22=$B$3),"●","")</f>
        <v/>
      </c>
      <c r="L22" s="37">
        <f>IF(AND(L6=$B$2,A22=$B$3),"●","")</f>
        <v/>
      </c>
      <c r="M22" s="37">
        <f>IF(AND(M6=$B$2,A22=$B$3),"●","")</f>
        <v/>
      </c>
      <c r="N22" s="37">
        <f>IF(AND($A22=$B$2,N$6=$B$3),"●","")</f>
        <v/>
      </c>
      <c r="O22" s="37">
        <f>IF(AND($A22=$B$2,O$6=$B$3),"●","")</f>
        <v/>
      </c>
      <c r="P22" s="37">
        <f>IF(AND($A22=$B$2,P$6=$B$3),"●","")</f>
        <v/>
      </c>
      <c r="Q22" s="37">
        <f>IF(AND($A22=$B$2,Q$6=$B$3),"●","")</f>
        <v/>
      </c>
      <c r="R22" s="37">
        <f>IF(AND($A22=$B$2,R$6=$B$3),"●","")</f>
        <v/>
      </c>
      <c r="S22" s="37">
        <f>IF(AND($A22=$B$2,S$6=$B$3),"●","")</f>
        <v/>
      </c>
      <c r="T22" s="37">
        <f>IF(AND($A22=$B$2,T$6=$B$3),"●","")</f>
        <v/>
      </c>
      <c r="U22" s="37">
        <f>IF(AND($A22=$B$2,U$6=$B$3),"●","")</f>
        <v/>
      </c>
    </row>
    <row r="23" ht="15.75" customHeight="1" s="91">
      <c r="A23" s="36" t="n">
        <v>17</v>
      </c>
      <c r="B23" s="37">
        <f>IF(AND(B6=$B$2,A23=$B$3),"●","")</f>
        <v/>
      </c>
      <c r="C23" s="37">
        <f>IF(AND(C6=$B$2,A23=$B$3),"●","")</f>
        <v/>
      </c>
      <c r="D23" s="37">
        <f>IF(AND(D6=$B$2,A23=$B$3),"●","")</f>
        <v/>
      </c>
      <c r="E23" s="37">
        <f>IF(AND(E6=$B$2,A23=$B$3),"●","")</f>
        <v/>
      </c>
      <c r="F23" s="37">
        <f>IF(AND(F6=$B$2,A23=$B$3),"●","")</f>
        <v/>
      </c>
      <c r="G23" s="37">
        <f>IF(AND(G6=$B$2,A23=$B$3),"●","")</f>
        <v/>
      </c>
      <c r="H23" s="37">
        <f>IF(AND(H6=$B$2,A23=$B$3),"●","")</f>
        <v/>
      </c>
      <c r="I23" s="37">
        <f>IF(AND(I6=$B$2,A23=$B$3),"●","")</f>
        <v/>
      </c>
      <c r="J23" s="37">
        <f>IF(AND(J6=$B$2,A23=$B$3),"●","")</f>
        <v/>
      </c>
      <c r="K23" s="37">
        <f>IF(AND(K6=$B$2,A23=$B$3),"●","")</f>
        <v/>
      </c>
      <c r="L23" s="37">
        <f>IF(AND(L6=$B$2,A23=$B$3),"●","")</f>
        <v/>
      </c>
      <c r="M23" s="37">
        <f>IF(AND(M6=$B$2,A23=$B$3),"●","")</f>
        <v/>
      </c>
      <c r="N23" s="37">
        <f>IF(AND($A23=$B$2,N$6=$B$3),"●","")</f>
        <v/>
      </c>
      <c r="O23" s="37">
        <f>IF(AND($A23=$B$2,O$6=$B$3),"●","")</f>
        <v/>
      </c>
      <c r="P23" s="37">
        <f>IF(AND($A23=$B$2,P$6=$B$3),"●","")</f>
        <v/>
      </c>
      <c r="Q23" s="37">
        <f>IF(AND($A23=$B$2,Q$6=$B$3),"●","")</f>
        <v/>
      </c>
      <c r="R23" s="37">
        <f>IF(AND($A23=$B$2,R$6=$B$3),"●","")</f>
        <v/>
      </c>
      <c r="S23" s="37">
        <f>IF(AND($A23=$B$2,S$6=$B$3),"●","")</f>
        <v/>
      </c>
      <c r="T23" s="37">
        <f>IF(AND($A23=$B$2,T$6=$B$3),"●","")</f>
        <v/>
      </c>
      <c r="U23" s="37">
        <f>IF(AND($A23=$B$2,U$6=$B$3),"●","")</f>
        <v/>
      </c>
    </row>
    <row r="24" ht="15.75" customHeight="1" s="91">
      <c r="A24" s="36" t="n">
        <v>18</v>
      </c>
      <c r="B24" s="37">
        <f>IF(AND(B6=$B$2,A24=$B$3),"●","")</f>
        <v/>
      </c>
      <c r="C24" s="37">
        <f>IF(AND(C6=$B$2,A24=$B$3),"●","")</f>
        <v/>
      </c>
      <c r="D24" s="37">
        <f>IF(AND(D6=$B$2,A24=$B$3),"●","")</f>
        <v/>
      </c>
      <c r="E24" s="37">
        <f>IF(AND(E6=$B$2,A24=$B$3),"●","")</f>
        <v/>
      </c>
      <c r="F24" s="37">
        <f>IF(AND(F6=$B$2,A24=$B$3),"●","")</f>
        <v/>
      </c>
      <c r="G24" s="37">
        <f>IF(AND(G6=$B$2,A24=$B$3),"●","")</f>
        <v/>
      </c>
      <c r="H24" s="37">
        <f>IF(AND(H6=$B$2,A24=$B$3),"●","")</f>
        <v/>
      </c>
      <c r="I24" s="37">
        <f>IF(AND(I6=$B$2,A24=$B$3),"●","")</f>
        <v/>
      </c>
      <c r="J24" s="37">
        <f>IF(AND(J6=$B$2,A24=$B$3),"●","")</f>
        <v/>
      </c>
      <c r="K24" s="37">
        <f>IF(AND(K6=$B$2,A24=$B$3),"●","")</f>
        <v/>
      </c>
      <c r="L24" s="37">
        <f>IF(AND(L6=$B$2,A24=$B$3),"●","")</f>
        <v/>
      </c>
      <c r="M24" s="37">
        <f>IF(AND(M6=$B$2,A24=$B$3),"●","")</f>
        <v/>
      </c>
      <c r="N24" s="37">
        <f>IF(AND($A24=$B$2,N$6=$B$3),"●","")</f>
        <v/>
      </c>
      <c r="O24" s="37">
        <f>IF(AND($A24=$B$2,O$6=$B$3),"●","")</f>
        <v/>
      </c>
      <c r="P24" s="37">
        <f>IF(AND($A24=$B$2,P$6=$B$3),"●","")</f>
        <v/>
      </c>
      <c r="Q24" s="37">
        <f>IF(AND($A24=$B$2,Q$6=$B$3),"●","")</f>
        <v/>
      </c>
      <c r="R24" s="37">
        <f>IF(AND($A24=$B$2,R$6=$B$3),"●","")</f>
        <v/>
      </c>
      <c r="S24" s="37">
        <f>IF(AND($A24=$B$2,S$6=$B$3),"●","")</f>
        <v/>
      </c>
      <c r="T24" s="37">
        <f>IF(AND($A24=$B$2,T$6=$B$3),"●","")</f>
        <v/>
      </c>
      <c r="U24" s="37">
        <f>IF(AND($A24=$B$2,U$6=$B$3),"●","")</f>
        <v/>
      </c>
    </row>
    <row r="25" ht="15.75" customHeight="1" s="91">
      <c r="A25" s="36" t="n">
        <v>19</v>
      </c>
      <c r="B25" s="37">
        <f>IF(AND(B6=$B$2,A25=$B$3),"●","")</f>
        <v/>
      </c>
      <c r="C25" s="37">
        <f>IF(AND(C6=$B$2,A25=$B$3),"●","")</f>
        <v/>
      </c>
      <c r="D25" s="37">
        <f>IF(AND(D6=$B$2,A25=$B$3),"●","")</f>
        <v/>
      </c>
      <c r="E25" s="37">
        <f>IF(AND(E6=$B$2,A25=$B$3),"●","")</f>
        <v/>
      </c>
      <c r="F25" s="37">
        <f>IF(AND(F6=$B$2,A25=$B$3),"●","")</f>
        <v/>
      </c>
      <c r="G25" s="37">
        <f>IF(AND(G6=$B$2,A25=$B$3),"●","")</f>
        <v/>
      </c>
      <c r="H25" s="37">
        <f>IF(AND(H6=$B$2,A25=$B$3),"●","")</f>
        <v/>
      </c>
      <c r="I25" s="37">
        <f>IF(AND(I6=$B$2,A25=$B$3),"●","")</f>
        <v/>
      </c>
      <c r="J25" s="37">
        <f>IF(AND(J6=$B$2,A25=$B$3),"●","")</f>
        <v/>
      </c>
      <c r="K25" s="37">
        <f>IF(AND(K6=$B$2,A25=$B$3),"●","")</f>
        <v/>
      </c>
      <c r="L25" s="37">
        <f>IF(AND(L6=$B$2,A25=$B$3),"●","")</f>
        <v/>
      </c>
      <c r="M25" s="37">
        <f>IF(AND(M6=$B$2,A25=$B$3),"●","")</f>
        <v/>
      </c>
      <c r="N25" s="37">
        <f>IF(AND($A25=$B$2,N$6=$B$3),"●","")</f>
        <v/>
      </c>
      <c r="O25" s="37">
        <f>IF(AND($A25=$B$2,O$6=$B$3),"●","")</f>
        <v/>
      </c>
      <c r="P25" s="37">
        <f>IF(AND($A25=$B$2,P$6=$B$3),"●","")</f>
        <v/>
      </c>
      <c r="Q25" s="37">
        <f>IF(AND($A25=$B$2,Q$6=$B$3),"●","")</f>
        <v/>
      </c>
      <c r="R25" s="37">
        <f>IF(AND($A25=$B$2,R$6=$B$3),"●","")</f>
        <v/>
      </c>
      <c r="S25" s="37">
        <f>IF(AND($A25=$B$2,S$6=$B$3),"●","")</f>
        <v/>
      </c>
      <c r="T25" s="37">
        <f>IF(AND($A25=$B$2,T$6=$B$3),"●","")</f>
        <v/>
      </c>
      <c r="U25" s="37">
        <f>IF(AND($A25=$B$2,U$6=$B$3),"●","")</f>
        <v/>
      </c>
    </row>
    <row r="26" ht="15.75" customHeight="1" s="91">
      <c r="A26" s="36" t="n">
        <v>20</v>
      </c>
      <c r="B26" s="37">
        <f>IF(AND(B6=$B$2,A26=$B$3),"●","")</f>
        <v/>
      </c>
      <c r="C26" s="37">
        <f>IF(AND(C6=$B$2,A26=$B$3),"●","")</f>
        <v/>
      </c>
      <c r="D26" s="37">
        <f>IF(AND(D6=$B$2,A26=$B$3),"●","")</f>
        <v/>
      </c>
      <c r="E26" s="37">
        <f>IF(AND(E6=$B$2,A26=$B$3),"●","")</f>
        <v/>
      </c>
      <c r="F26" s="37">
        <f>IF(AND(F6=$B$2,A26=$B$3),"●","")</f>
        <v/>
      </c>
      <c r="G26" s="37">
        <f>IF(AND(G6=$B$2,A26=$B$3),"●","")</f>
        <v/>
      </c>
      <c r="H26" s="37">
        <f>IF(AND(H6=$B$2,A26=$B$3),"●","")</f>
        <v/>
      </c>
      <c r="I26" s="37">
        <f>IF(AND(I6=$B$2,A26=$B$3),"●","")</f>
        <v/>
      </c>
      <c r="J26" s="37">
        <f>IF(AND(J6=$B$2,A26=$B$3),"●","")</f>
        <v/>
      </c>
      <c r="K26" s="37">
        <f>IF(AND(K6=$B$2,A26=$B$3),"●","")</f>
        <v/>
      </c>
      <c r="L26" s="37">
        <f>IF(AND(L6=$B$2,A26=$B$3),"●","")</f>
        <v/>
      </c>
      <c r="M26" s="37">
        <f>IF(AND(M6=$B$2,A26=$B$3),"●","")</f>
        <v/>
      </c>
      <c r="N26" s="37">
        <f>IF(AND($A26=$B$2,N$6=$B$3),"●","")</f>
        <v/>
      </c>
      <c r="O26" s="37">
        <f>IF(AND($A26=$B$2,O$6=$B$3),"●","")</f>
        <v/>
      </c>
      <c r="P26" s="37">
        <f>IF(AND($A26=$B$2,P$6=$B$3),"●","")</f>
        <v/>
      </c>
      <c r="Q26" s="37">
        <f>IF(AND($A26=$B$2,Q$6=$B$3),"●","")</f>
        <v/>
      </c>
      <c r="R26" s="37">
        <f>IF(AND($A26=$B$2,R$6=$B$3),"●","")</f>
        <v/>
      </c>
      <c r="S26" s="37">
        <f>IF(AND($A26=$B$2,S$6=$B$3),"●","")</f>
        <v/>
      </c>
      <c r="T26" s="37">
        <f>IF(AND($A26=$B$2,T$6=$B$3),"●","")</f>
        <v/>
      </c>
      <c r="U26" s="37">
        <f>IF(AND($A26=$B$2,U$6=$B$3),"●","")</f>
        <v/>
      </c>
    </row>
    <row r="27" ht="15.75" customHeight="1" s="91">
      <c r="A27" s="36" t="n">
        <v>21</v>
      </c>
      <c r="B27" s="37">
        <f>IF(AND($A27=$B$2,B$6=$B$3),"●","")</f>
        <v/>
      </c>
      <c r="C27" s="37">
        <f>IF(AND($A27=$B$2,C$6=$B$3),"●","")</f>
        <v/>
      </c>
      <c r="D27" s="37">
        <f>IF(AND($A27=$B$2,D$6=$B$3),"●","")</f>
        <v/>
      </c>
      <c r="E27" s="37">
        <f>IF(AND($A27=$B$2,E$6=$B$3),"●","")</f>
        <v/>
      </c>
      <c r="F27" s="37">
        <f>IF(AND($A27=$B$2,F$6=$B$3),"●","")</f>
        <v/>
      </c>
      <c r="G27" s="37">
        <f>IF(AND($A27=$B$2,G$6=$B$3),"●","")</f>
        <v/>
      </c>
      <c r="H27" s="37">
        <f>IF(AND($A27=$B$2,H$6=$B$3),"●","")</f>
        <v/>
      </c>
      <c r="I27" s="37">
        <f>IF(AND($A27=$B$2,I$6=$B$3),"●","")</f>
        <v/>
      </c>
      <c r="J27" s="37">
        <f>IF(AND($A27=$B$2,J$6=$B$3),"●","")</f>
        <v/>
      </c>
      <c r="K27" s="37">
        <f>IF(AND($A27=$B$2,K$6=$B$3),"●","")</f>
        <v/>
      </c>
      <c r="L27" s="37">
        <f>IF(AND($A27=$B$2,L$6=$B$3),"●","")</f>
        <v/>
      </c>
      <c r="M27" s="37">
        <f>IF(AND($A27=$B$2,M$6=$B$3),"●","")</f>
        <v/>
      </c>
      <c r="N27" s="37">
        <f>IF(AND($A27=$B$2,N$6=$B$3),"●","")</f>
        <v/>
      </c>
      <c r="O27" s="37">
        <f>IF(AND($A27=$B$2,O$6=$B$3),"●","")</f>
        <v/>
      </c>
      <c r="P27" s="37">
        <f>IF(AND($A27=$B$2,P$6=$B$3),"●","")</f>
        <v/>
      </c>
      <c r="Q27" s="37">
        <f>IF(AND($A27=$B$2,Q$6=$B$3),"●","")</f>
        <v/>
      </c>
      <c r="R27" s="37">
        <f>IF(AND($A27=$B$2,R$6=$B$3),"●","")</f>
        <v/>
      </c>
      <c r="S27" s="37">
        <f>IF(AND($A27=$B$2,S$6=$B$3),"●","")</f>
        <v/>
      </c>
      <c r="T27" s="37">
        <f>IF(AND($A27=$B$2,T$6=$B$3),"●","")</f>
        <v/>
      </c>
      <c r="U27" s="37">
        <f>IF(AND($A27=$B$2,U$6=$B$3),"●","")</f>
        <v/>
      </c>
    </row>
    <row r="28" ht="15.75" customHeight="1" s="91">
      <c r="A28" s="36" t="inlineStr">
        <is>
          <t>Legend</t>
        </is>
      </c>
      <c r="B28" s="37">
        <f>IF(AND($A28=$B$2,B$6=$B$3),"●","")</f>
        <v/>
      </c>
      <c r="C28" s="37">
        <f>IF(AND($A28=$B$2,C$6=$B$3),"●","")</f>
        <v/>
      </c>
      <c r="D28" s="37">
        <f>IF(AND($A28=$B$2,D$6=$B$3),"●","")</f>
        <v/>
      </c>
      <c r="E28" s="37">
        <f>IF(AND($A28=$B$2,E$6=$B$3),"●","")</f>
        <v/>
      </c>
      <c r="F28" s="37">
        <f>IF(AND($A28=$B$2,F$6=$B$3),"●","")</f>
        <v/>
      </c>
      <c r="G28" s="37">
        <f>IF(AND($A28=$B$2,G$6=$B$3),"●","")</f>
        <v/>
      </c>
      <c r="H28" s="37">
        <f>IF(AND($A28=$B$2,H$6=$B$3),"●","")</f>
        <v/>
      </c>
      <c r="I28" s="37">
        <f>IF(AND($A28=$B$2,I$6=$B$3),"●","")</f>
        <v/>
      </c>
      <c r="J28" s="37">
        <f>IF(AND($A28=$B$2,J$6=$B$3),"●","")</f>
        <v/>
      </c>
      <c r="K28" s="37">
        <f>IF(AND($A28=$B$2,K$6=$B$3),"●","")</f>
        <v/>
      </c>
      <c r="L28" s="37">
        <f>IF(AND($A28=$B$2,L$6=$B$3),"●","")</f>
        <v/>
      </c>
      <c r="M28" s="37">
        <f>IF(AND($A28=$B$2,M$6=$B$3),"●","")</f>
        <v/>
      </c>
      <c r="N28" s="37">
        <f>IF(AND($A28=$B$2,N$6=$B$3),"●","")</f>
        <v/>
      </c>
      <c r="O28" s="37">
        <f>IF(AND($A28=$B$2,O$6=$B$3),"●","")</f>
        <v/>
      </c>
      <c r="P28" s="37">
        <f>IF(AND($A28=$B$2,P$6=$B$3),"●","")</f>
        <v/>
      </c>
      <c r="Q28" s="37">
        <f>IF(AND($A28=$B$2,Q$6=$B$3),"●","")</f>
        <v/>
      </c>
      <c r="R28" s="37">
        <f>IF(AND($A28=$B$2,R$6=$B$3),"●","")</f>
        <v/>
      </c>
      <c r="S28" s="37">
        <f>IF(AND($A28=$B$2,S$6=$B$3),"●","")</f>
        <v/>
      </c>
      <c r="T28" s="37">
        <f>IF(AND($A28=$B$2,T$6=$B$3),"●","")</f>
        <v/>
      </c>
      <c r="U28" s="37">
        <f>IF(AND($A28=$B$2,U$6=$B$3),"●","")</f>
        <v/>
      </c>
    </row>
    <row r="29" ht="15.75" customHeight="1" s="91">
      <c r="A29" s="36" t="n">
        <v>23</v>
      </c>
      <c r="B29" s="37">
        <f>IF(AND($A29=$B$2,B$6=$B$3),"●","")</f>
        <v/>
      </c>
      <c r="C29" s="37">
        <f>IF(AND($A29=$B$2,C$6=$B$3),"●","")</f>
        <v/>
      </c>
      <c r="D29" s="37">
        <f>IF(AND($A29=$B$2,D$6=$B$3),"●","")</f>
        <v/>
      </c>
      <c r="E29" s="37">
        <f>IF(AND($A29=$B$2,E$6=$B$3),"●","")</f>
        <v/>
      </c>
      <c r="F29" s="37">
        <f>IF(AND($A29=$B$2,F$6=$B$3),"●","")</f>
        <v/>
      </c>
      <c r="G29" s="37">
        <f>IF(AND($A29=$B$2,G$6=$B$3),"●","")</f>
        <v/>
      </c>
      <c r="H29" s="37">
        <f>IF(AND($A29=$B$2,H$6=$B$3),"●","")</f>
        <v/>
      </c>
      <c r="I29" s="37">
        <f>IF(AND($A29=$B$2,I$6=$B$3),"●","")</f>
        <v/>
      </c>
      <c r="J29" s="37">
        <f>IF(AND($A29=$B$2,J$6=$B$3),"●","")</f>
        <v/>
      </c>
      <c r="K29" s="37">
        <f>IF(AND($A29=$B$2,K$6=$B$3),"●","")</f>
        <v/>
      </c>
      <c r="L29" s="37">
        <f>IF(AND($A29=$B$2,L$6=$B$3),"●","")</f>
        <v/>
      </c>
      <c r="M29" s="37">
        <f>IF(AND($A29=$B$2,M$6=$B$3),"●","")</f>
        <v/>
      </c>
      <c r="N29" s="37">
        <f>IF(AND($A29=$B$2,N$6=$B$3),"●","")</f>
        <v/>
      </c>
      <c r="O29" s="37">
        <f>IF(AND($A29=$B$2,O$6=$B$3),"●","")</f>
        <v/>
      </c>
      <c r="P29" s="37">
        <f>IF(AND($A29=$B$2,P$6=$B$3),"●","")</f>
        <v/>
      </c>
      <c r="Q29" s="37">
        <f>IF(AND($A29=$B$2,Q$6=$B$3),"●","")</f>
        <v/>
      </c>
      <c r="R29" s="37">
        <f>IF(AND($A29=$B$2,R$6=$B$3),"●","")</f>
        <v/>
      </c>
      <c r="S29" s="37">
        <f>IF(AND($A29=$B$2,S$6=$B$3),"●","")</f>
        <v/>
      </c>
      <c r="T29" s="37">
        <f>IF(AND($A29=$B$2,T$6=$B$3),"●","")</f>
        <v/>
      </c>
      <c r="U29" s="37">
        <f>IF(AND($A29=$B$2,U$6=$B$3),"●","")</f>
        <v/>
      </c>
    </row>
    <row r="30" ht="15.75" customHeight="1" s="91">
      <c r="A30" s="36" t="n">
        <v>24</v>
      </c>
      <c r="B30" s="37">
        <f>IF(AND($A30=$B$2,B$6=$B$3),"●","")</f>
        <v/>
      </c>
      <c r="C30" s="37">
        <f>IF(AND($A30=$B$2,C$6=$B$3),"●","")</f>
        <v/>
      </c>
      <c r="D30" s="37">
        <f>IF(AND($A30=$B$2,D$6=$B$3),"●","")</f>
        <v/>
      </c>
      <c r="E30" s="37">
        <f>IF(AND($A30=$B$2,E$6=$B$3),"●","")</f>
        <v/>
      </c>
      <c r="F30" s="37">
        <f>IF(AND($A30=$B$2,F$6=$B$3),"●","")</f>
        <v/>
      </c>
      <c r="G30" s="37">
        <f>IF(AND($A30=$B$2,G$6=$B$3),"●","")</f>
        <v/>
      </c>
      <c r="H30" s="37">
        <f>IF(AND($A30=$B$2,H$6=$B$3),"●","")</f>
        <v/>
      </c>
      <c r="I30" s="37">
        <f>IF(AND($A30=$B$2,I$6=$B$3),"●","")</f>
        <v/>
      </c>
      <c r="J30" s="37">
        <f>IF(AND($A30=$B$2,J$6=$B$3),"●","")</f>
        <v/>
      </c>
      <c r="K30" s="37">
        <f>IF(AND($A30=$B$2,K$6=$B$3),"●","")</f>
        <v/>
      </c>
      <c r="L30" s="37">
        <f>IF(AND($A30=$B$2,L$6=$B$3),"●","")</f>
        <v/>
      </c>
      <c r="M30" s="37">
        <f>IF(AND($A30=$B$2,M$6=$B$3),"●","")</f>
        <v/>
      </c>
      <c r="N30" s="37">
        <f>IF(AND($A30=$B$2,N$6=$B$3),"●","")</f>
        <v/>
      </c>
      <c r="O30" s="37">
        <f>IF(AND($A30=$B$2,O$6=$B$3),"●","")</f>
        <v/>
      </c>
      <c r="P30" s="37">
        <f>IF(AND($A30=$B$2,P$6=$B$3),"●","")</f>
        <v/>
      </c>
      <c r="Q30" s="37">
        <f>IF(AND($A30=$B$2,Q$6=$B$3),"●","")</f>
        <v/>
      </c>
      <c r="R30" s="37">
        <f>IF(AND($A30=$B$2,R$6=$B$3),"●","")</f>
        <v/>
      </c>
      <c r="S30" s="37">
        <f>IF(AND($A30=$B$2,S$6=$B$3),"●","")</f>
        <v/>
      </c>
      <c r="T30" s="37">
        <f>IF(AND($A30=$B$2,T$6=$B$3),"●","")</f>
        <v/>
      </c>
      <c r="U30" s="37">
        <f>IF(AND($A30=$B$2,U$6=$B$3),"●","")</f>
        <v/>
      </c>
    </row>
    <row r="31" ht="15.75" customHeight="1" s="91">
      <c r="A31" s="36" t="n">
        <v>25</v>
      </c>
      <c r="B31" s="37">
        <f>IF(AND($A31=$B$2,B$6=$B$3),"●","")</f>
        <v/>
      </c>
      <c r="C31" s="37">
        <f>IF(AND($A31=$B$2,C$6=$B$3),"●","")</f>
        <v/>
      </c>
      <c r="D31" s="37">
        <f>IF(AND($A31=$B$2,D$6=$B$3),"●","")</f>
        <v/>
      </c>
      <c r="E31" s="37">
        <f>IF(AND($A31=$B$2,E$6=$B$3),"●","")</f>
        <v/>
      </c>
      <c r="F31" s="37">
        <f>IF(AND($A31=$B$2,F$6=$B$3),"●","")</f>
        <v/>
      </c>
      <c r="G31" s="37">
        <f>IF(AND($A31=$B$2,G$6=$B$3),"●","")</f>
        <v/>
      </c>
      <c r="H31" s="37">
        <f>IF(AND($A31=$B$2,H$6=$B$3),"●","")</f>
        <v/>
      </c>
      <c r="I31" s="37">
        <f>IF(AND($A31=$B$2,I$6=$B$3),"●","")</f>
        <v/>
      </c>
      <c r="J31" s="37">
        <f>IF(AND($A31=$B$2,J$6=$B$3),"●","")</f>
        <v/>
      </c>
      <c r="K31" s="37">
        <f>IF(AND($A31=$B$2,K$6=$B$3),"●","")</f>
        <v/>
      </c>
      <c r="L31" s="37">
        <f>IF(AND($A31=$B$2,L$6=$B$3),"●","")</f>
        <v/>
      </c>
      <c r="M31" s="37">
        <f>IF(AND($A31=$B$2,M$6=$B$3),"●","")</f>
        <v/>
      </c>
      <c r="N31" s="37">
        <f>IF(AND($A31=$B$2,N$6=$B$3),"●","")</f>
        <v/>
      </c>
      <c r="O31" s="37">
        <f>IF(AND($A31=$B$2,O$6=$B$3),"●","")</f>
        <v/>
      </c>
      <c r="P31" s="37">
        <f>IF(AND($A31=$B$2,P$6=$B$3),"●","")</f>
        <v/>
      </c>
      <c r="Q31" s="37">
        <f>IF(AND($A31=$B$2,Q$6=$B$3),"●","")</f>
        <v/>
      </c>
      <c r="R31" s="37">
        <f>IF(AND($A31=$B$2,R$6=$B$3),"●","")</f>
        <v/>
      </c>
      <c r="S31" s="37">
        <f>IF(AND($A31=$B$2,S$6=$B$3),"●","")</f>
        <v/>
      </c>
      <c r="T31" s="37">
        <f>IF(AND($A31=$B$2,T$6=$B$3),"●","")</f>
        <v/>
      </c>
      <c r="U31" s="37">
        <f>IF(AND($A31=$B$2,U$6=$B$3),"●","")</f>
        <v/>
      </c>
    </row>
    <row r="32" ht="15.75" customHeight="1" s="91">
      <c r="A32" s="36" t="n">
        <v>26</v>
      </c>
      <c r="B32" s="37">
        <f>IF(AND($A32=$B$2,B$6=$B$3),"●","")</f>
        <v/>
      </c>
      <c r="C32" s="37">
        <f>IF(AND($A32=$B$2,C$6=$B$3),"●","")</f>
        <v/>
      </c>
      <c r="D32" s="37">
        <f>IF(AND($A32=$B$2,D$6=$B$3),"●","")</f>
        <v/>
      </c>
      <c r="E32" s="37">
        <f>IF(AND($A32=$B$2,E$6=$B$3),"●","")</f>
        <v/>
      </c>
      <c r="F32" s="37">
        <f>IF(AND($A32=$B$2,F$6=$B$3),"●","")</f>
        <v/>
      </c>
      <c r="G32" s="37">
        <f>IF(AND($A32=$B$2,G$6=$B$3),"●","")</f>
        <v/>
      </c>
      <c r="H32" s="37">
        <f>IF(AND($A32=$B$2,H$6=$B$3),"●","")</f>
        <v/>
      </c>
      <c r="I32" s="37">
        <f>IF(AND($A32=$B$2,I$6=$B$3),"●","")</f>
        <v/>
      </c>
      <c r="J32" s="37">
        <f>IF(AND($A32=$B$2,J$6=$B$3),"●","")</f>
        <v/>
      </c>
      <c r="K32" s="37">
        <f>IF(AND($A32=$B$2,K$6=$B$3),"●","")</f>
        <v/>
      </c>
      <c r="L32" s="37">
        <f>IF(AND($A32=$B$2,L$6=$B$3),"●","")</f>
        <v/>
      </c>
      <c r="M32" s="37">
        <f>IF(AND($A32=$B$2,M$6=$B$3),"●","")</f>
        <v/>
      </c>
      <c r="N32" s="37">
        <f>IF(AND($A32=$B$2,N$6=$B$3),"●","")</f>
        <v/>
      </c>
      <c r="O32" s="37">
        <f>IF(AND($A32=$B$2,O$6=$B$3),"●","")</f>
        <v/>
      </c>
      <c r="P32" s="37">
        <f>IF(AND($A32=$B$2,P$6=$B$3),"●","")</f>
        <v/>
      </c>
      <c r="Q32" s="37">
        <f>IF(AND($A32=$B$2,Q$6=$B$3),"●","")</f>
        <v/>
      </c>
      <c r="R32" s="37">
        <f>IF(AND($A32=$B$2,R$6=$B$3),"●","")</f>
        <v/>
      </c>
      <c r="S32" s="37">
        <f>IF(AND($A32=$B$2,S$6=$B$3),"●","")</f>
        <v/>
      </c>
      <c r="T32" s="37">
        <f>IF(AND($A32=$B$2,T$6=$B$3),"●","")</f>
        <v/>
      </c>
      <c r="U32" s="37">
        <f>IF(AND($A32=$B$2,U$6=$B$3),"●","")</f>
        <v/>
      </c>
    </row>
    <row r="33" ht="15.75" customHeight="1" s="91">
      <c r="A33" s="36" t="n">
        <v>27</v>
      </c>
      <c r="B33" s="37">
        <f>IF(AND($A33=$B$2,B$6=$B$3),"●","")</f>
        <v/>
      </c>
      <c r="C33" s="37">
        <f>IF(AND($A33=$B$2,C$6=$B$3),"●","")</f>
        <v/>
      </c>
      <c r="D33" s="37">
        <f>IF(AND($A33=$B$2,D$6=$B$3),"●","")</f>
        <v/>
      </c>
      <c r="E33" s="37">
        <f>IF(AND($A33=$B$2,E$6=$B$3),"●","")</f>
        <v/>
      </c>
      <c r="F33" s="37">
        <f>IF(AND($A33=$B$2,F$6=$B$3),"●","")</f>
        <v/>
      </c>
      <c r="G33" s="37">
        <f>IF(AND($A33=$B$2,G$6=$B$3),"●","")</f>
        <v/>
      </c>
      <c r="H33" s="37">
        <f>IF(AND($A33=$B$2,H$6=$B$3),"●","")</f>
        <v/>
      </c>
      <c r="I33" s="37">
        <f>IF(AND($A33=$B$2,I$6=$B$3),"●","")</f>
        <v/>
      </c>
      <c r="J33" s="37">
        <f>IF(AND($A33=$B$2,J$6=$B$3),"●","")</f>
        <v/>
      </c>
      <c r="K33" s="37">
        <f>IF(AND($A33=$B$2,K$6=$B$3),"●","")</f>
        <v/>
      </c>
      <c r="L33" s="37">
        <f>IF(AND($A33=$B$2,L$6=$B$3),"●","")</f>
        <v/>
      </c>
      <c r="M33" s="37">
        <f>IF(AND($A33=$B$2,M$6=$B$3),"●","")</f>
        <v/>
      </c>
      <c r="N33" s="37">
        <f>IF(AND($A33=$B$2,N$6=$B$3),"●","")</f>
        <v/>
      </c>
      <c r="O33" s="37">
        <f>IF(AND($A33=$B$2,O$6=$B$3),"●","")</f>
        <v/>
      </c>
      <c r="P33" s="37">
        <f>IF(AND($A33=$B$2,P$6=$B$3),"●","")</f>
        <v/>
      </c>
      <c r="Q33" s="37">
        <f>IF(AND($A33=$B$2,Q$6=$B$3),"●","")</f>
        <v/>
      </c>
      <c r="R33" s="37">
        <f>IF(AND($A33=$B$2,R$6=$B$3),"●","")</f>
        <v/>
      </c>
      <c r="S33" s="37">
        <f>IF(AND($A33=$B$2,S$6=$B$3),"●","")</f>
        <v/>
      </c>
      <c r="T33" s="37">
        <f>IF(AND($A33=$B$2,T$6=$B$3),"●","")</f>
        <v/>
      </c>
      <c r="U33" s="37">
        <f>IF(AND($A33=$B$2,U$6=$B$3),"●","")</f>
        <v/>
      </c>
    </row>
    <row r="34" ht="15.75" customHeight="1" s="91">
      <c r="A34" s="36" t="n">
        <v>28</v>
      </c>
      <c r="B34" s="37">
        <f>IF(AND($A34=$B$2,B$6=$B$3),"●","")</f>
        <v/>
      </c>
      <c r="C34" s="37">
        <f>IF(AND($A34=$B$2,C$6=$B$3),"●","")</f>
        <v/>
      </c>
      <c r="D34" s="37">
        <f>IF(AND($A34=$B$2,D$6=$B$3),"●","")</f>
        <v/>
      </c>
      <c r="E34" s="37">
        <f>IF(AND($A34=$B$2,E$6=$B$3),"●","")</f>
        <v/>
      </c>
      <c r="F34" s="37">
        <f>IF(AND($A34=$B$2,F$6=$B$3),"●","")</f>
        <v/>
      </c>
      <c r="G34" s="37">
        <f>IF(AND($A34=$B$2,G$6=$B$3),"●","")</f>
        <v/>
      </c>
      <c r="H34" s="37">
        <f>IF(AND($A34=$B$2,H$6=$B$3),"●","")</f>
        <v/>
      </c>
      <c r="I34" s="37">
        <f>IF(AND($A34=$B$2,I$6=$B$3),"●","")</f>
        <v/>
      </c>
      <c r="J34" s="37">
        <f>IF(AND($A34=$B$2,J$6=$B$3),"●","")</f>
        <v/>
      </c>
      <c r="K34" s="37">
        <f>IF(AND($A34=$B$2,K$6=$B$3),"●","")</f>
        <v/>
      </c>
      <c r="L34" s="37">
        <f>IF(AND($A34=$B$2,L$6=$B$3),"●","")</f>
        <v/>
      </c>
      <c r="M34" s="37">
        <f>IF(AND($A34=$B$2,M$6=$B$3),"●","")</f>
        <v/>
      </c>
      <c r="N34" s="37">
        <f>IF(AND($A34=$B$2,N$6=$B$3),"●","")</f>
        <v/>
      </c>
      <c r="O34" s="37">
        <f>IF(AND($A34=$B$2,O$6=$B$3),"●","")</f>
        <v/>
      </c>
      <c r="P34" s="37">
        <f>IF(AND($A34=$B$2,P$6=$B$3),"●","")</f>
        <v/>
      </c>
      <c r="Q34" s="37">
        <f>IF(AND($A34=$B$2,Q$6=$B$3),"●","")</f>
        <v/>
      </c>
      <c r="R34" s="37">
        <f>IF(AND($A34=$B$2,R$6=$B$3),"●","")</f>
        <v/>
      </c>
      <c r="S34" s="37">
        <f>IF(AND($A34=$B$2,S$6=$B$3),"●","")</f>
        <v/>
      </c>
      <c r="T34" s="37">
        <f>IF(AND($A34=$B$2,T$6=$B$3),"●","")</f>
        <v/>
      </c>
      <c r="U34" s="37">
        <f>IF(AND($A34=$B$2,U$6=$B$3),"●","")</f>
        <v/>
      </c>
    </row>
    <row r="35" ht="15.75" customHeight="1" s="91">
      <c r="A35" s="36" t="n">
        <v>29</v>
      </c>
      <c r="B35" s="37">
        <f>IF(AND($A35=$B$2,B$6=$B$3),"●","")</f>
        <v/>
      </c>
      <c r="C35" s="37">
        <f>IF(AND($A35=$B$2,C$6=$B$3),"●","")</f>
        <v/>
      </c>
      <c r="D35" s="37">
        <f>IF(AND($A35=$B$2,D$6=$B$3),"●","")</f>
        <v/>
      </c>
      <c r="E35" s="37">
        <f>IF(AND($A35=$B$2,E$6=$B$3),"●","")</f>
        <v/>
      </c>
      <c r="F35" s="37">
        <f>IF(AND($A35=$B$2,F$6=$B$3),"●","")</f>
        <v/>
      </c>
      <c r="G35" s="37">
        <f>IF(AND($A35=$B$2,G$6=$B$3),"●","")</f>
        <v/>
      </c>
      <c r="H35" s="37">
        <f>IF(AND($A35=$B$2,H$6=$B$3),"●","")</f>
        <v/>
      </c>
      <c r="I35" s="37">
        <f>IF(AND($A35=$B$2,I$6=$B$3),"●","")</f>
        <v/>
      </c>
      <c r="J35" s="37">
        <f>IF(AND($A35=$B$2,J$6=$B$3),"●","")</f>
        <v/>
      </c>
      <c r="K35" s="37">
        <f>IF(AND($A35=$B$2,K$6=$B$3),"●","")</f>
        <v/>
      </c>
      <c r="L35" s="37">
        <f>IF(AND($A35=$B$2,L$6=$B$3),"●","")</f>
        <v/>
      </c>
      <c r="M35" s="37">
        <f>IF(AND($A35=$B$2,M$6=$B$3),"●","")</f>
        <v/>
      </c>
      <c r="N35" s="37">
        <f>IF(AND($A35=$B$2,N$6=$B$3),"●","")</f>
        <v/>
      </c>
      <c r="O35" s="37">
        <f>IF(AND($A35=$B$2,O$6=$B$3),"●","")</f>
        <v/>
      </c>
      <c r="P35" s="37">
        <f>IF(AND($A35=$B$2,P$6=$B$3),"●","")</f>
        <v/>
      </c>
      <c r="Q35" s="37">
        <f>IF(AND($A35=$B$2,Q$6=$B$3),"●","")</f>
        <v/>
      </c>
      <c r="R35" s="37">
        <f>IF(AND($A35=$B$2,R$6=$B$3),"●","")</f>
        <v/>
      </c>
      <c r="S35" s="37">
        <f>IF(AND($A35=$B$2,S$6=$B$3),"●","")</f>
        <v/>
      </c>
      <c r="T35" s="37">
        <f>IF(AND($A35=$B$2,T$6=$B$3),"●","")</f>
        <v/>
      </c>
      <c r="U35" s="37">
        <f>IF(AND($A35=$B$2,U$6=$B$3),"●","")</f>
        <v/>
      </c>
    </row>
    <row r="36" ht="15.75" customHeight="1" s="91">
      <c r="A36" s="36" t="n">
        <v>30</v>
      </c>
      <c r="B36" s="37">
        <f>IF(AND($A36=$B$2,B$6=$B$3),"●","")</f>
        <v/>
      </c>
      <c r="C36" s="37">
        <f>IF(AND($A36=$B$2,C$6=$B$3),"●","")</f>
        <v/>
      </c>
      <c r="D36" s="37">
        <f>IF(AND($A36=$B$2,D$6=$B$3),"●","")</f>
        <v/>
      </c>
      <c r="E36" s="37">
        <f>IF(AND($A36=$B$2,E$6=$B$3),"●","")</f>
        <v/>
      </c>
      <c r="F36" s="37">
        <f>IF(AND($A36=$B$2,F$6=$B$3),"●","")</f>
        <v/>
      </c>
      <c r="G36" s="37">
        <f>IF(AND($A36=$B$2,G$6=$B$3),"●","")</f>
        <v/>
      </c>
      <c r="H36" s="37">
        <f>IF(AND($A36=$B$2,H$6=$B$3),"●","")</f>
        <v/>
      </c>
      <c r="I36" s="37">
        <f>IF(AND($A36=$B$2,I$6=$B$3),"●","")</f>
        <v/>
      </c>
      <c r="J36" s="37">
        <f>IF(AND($A36=$B$2,J$6=$B$3),"●","")</f>
        <v/>
      </c>
      <c r="K36" s="37">
        <f>IF(AND($A36=$B$2,K$6=$B$3),"●","")</f>
        <v/>
      </c>
      <c r="L36" s="37">
        <f>IF(AND($A36=$B$2,L$6=$B$3),"●","")</f>
        <v/>
      </c>
      <c r="M36" s="37">
        <f>IF(AND($A36=$B$2,M$6=$B$3),"●","")</f>
        <v/>
      </c>
      <c r="N36" s="37">
        <f>IF(AND($A36=$B$2,N$6=$B$3),"●","")</f>
        <v/>
      </c>
      <c r="O36" s="37">
        <f>IF(AND($A36=$B$2,O$6=$B$3),"●","")</f>
        <v/>
      </c>
      <c r="P36" s="37">
        <f>IF(AND($A36=$B$2,P$6=$B$3),"●","")</f>
        <v/>
      </c>
      <c r="Q36" s="37">
        <f>IF(AND($A36=$B$2,Q$6=$B$3),"●","")</f>
        <v/>
      </c>
      <c r="R36" s="37">
        <f>IF(AND($A36=$B$2,R$6=$B$3),"●","")</f>
        <v/>
      </c>
      <c r="S36" s="37">
        <f>IF(AND($A36=$B$2,S$6=$B$3),"●","")</f>
        <v/>
      </c>
      <c r="T36" s="37">
        <f>IF(AND($A36=$B$2,T$6=$B$3),"●","")</f>
        <v/>
      </c>
      <c r="U36" s="37">
        <f>IF(AND($A36=$B$2,U$6=$B$3),"●","")</f>
        <v/>
      </c>
    </row>
    <row r="38">
      <c r="A38" s="10" t="inlineStr">
        <is>
          <t>● = selected location (based on scanned pallet’s CurrentLocationCode).</t>
        </is>
      </c>
    </row>
    <row r="39">
      <c r="A39" s="30" t="inlineStr">
        <is>
          <t>If no dot appears, that location is a special area (Stage/Overflow) with no prism coordinates yet.</t>
        </is>
      </c>
    </row>
    <row r="40">
      <c r="A40" s="30" t="inlineStr">
        <is>
          <t>If no dot appears, that location is a special area (Stage/Overflow) with no prism coordinates yet.</t>
        </is>
      </c>
    </row>
  </sheetData>
  <dataValidations count="1">
    <dataValidation sqref="A3:A5 A8:A36 C7:C36 D7:D36 E7:E36 F7:F36 G7:G36 H7:H36 I7:I36 J7:J36 K7:K36 L7:L36 M7:M36 N7:N36 O7:O36 P7:P36 Q7:Q36 R7:R36 S7:S36 T7:T36 U7:U36" showDropDown="0" showInputMessage="1" showErrorMessage="1" allowBlank="1" errorTitle="Automated field, foo 🤡" error="Skedaddle 💨. Don't overwrite formulas 😄" type="custom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1">
    <tabColor theme="7" tint="0.5999938962981048"/>
    <outlinePr summaryBelow="1" summaryRight="1"/>
    <pageSetUpPr/>
  </sheetPr>
  <dimension ref="A1:L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1" min="1" max="1"/>
    <col width="18" customWidth="1" style="91" min="2" max="2"/>
    <col width="28" customWidth="1" style="91" min="3" max="3"/>
    <col width="8" customWidth="1" style="91" min="4" max="4"/>
    <col width="10" customWidth="1" style="91" min="5" max="5"/>
    <col width="14" customWidth="1" style="91" min="6" max="6"/>
    <col width="18" customWidth="1" style="91" min="7" max="7"/>
    <col width="30" customWidth="1" style="91" min="8" max="8"/>
    <col width="18" customWidth="1" style="91" min="9" max="9"/>
    <col width="12" customWidth="1" style="91" min="10" max="10"/>
    <col hidden="1" width="13" customWidth="1" style="91" min="12" max="12"/>
  </cols>
  <sheetData>
    <row r="1" ht="27.75" customHeight="1" s="91">
      <c r="A1" s="90" t="inlineStr">
        <is>
          <t>PalletID</t>
        </is>
      </c>
      <c r="B1" s="90" t="inlineStr">
        <is>
          <t>PartNumber</t>
        </is>
      </c>
      <c r="C1" s="90" t="inlineStr">
        <is>
          <t>ItemName</t>
        </is>
      </c>
      <c r="D1" s="90" t="inlineStr">
        <is>
          <t>Qty</t>
        </is>
      </c>
      <c r="E1" s="90" t="inlineStr">
        <is>
          <t>UOM</t>
        </is>
      </c>
      <c r="F1" s="90" t="inlineStr">
        <is>
          <t>Condition</t>
        </is>
      </c>
      <c r="G1" s="90" t="inlineStr">
        <is>
          <t>Ref</t>
        </is>
      </c>
      <c r="H1" s="90" t="inlineStr">
        <is>
          <t>Notes</t>
        </is>
      </c>
      <c r="I1" s="90" t="inlineStr">
        <is>
          <t>_FirstPNFlag (AUTO)</t>
        </is>
      </c>
      <c r="J1" s="90" t="inlineStr">
        <is>
          <t>_RowKey (AUTO)</t>
        </is>
      </c>
      <c r="L1" s="90" t="inlineStr">
        <is>
          <t>DV_PalletID_List (AUTO)</t>
        </is>
      </c>
    </row>
    <row r="2">
      <c r="I2">
        <f>IF(OR($A2="",$B2=""),"",IF(COUNTIFS($A$2:$A2,$A2,$B$2:$B2,$B2)=1,1,0))</f>
        <v/>
      </c>
      <c r="J2">
        <f>IF($A2="","",ROW())</f>
        <v/>
      </c>
      <c r="L2">
        <f>IF('01_Warehouse_Ledger'!$A2="","",'01_Warehouse_Ledger'!$A2)</f>
        <v/>
      </c>
    </row>
    <row r="3">
      <c r="I3">
        <f>IF(OR($A3="",$B3=""),"",IF(COUNTIFS($A$2:$A3,$A3,$B$2:$B3,$B3)=1,1,0))</f>
        <v/>
      </c>
      <c r="J3">
        <f>IF($A3="","",ROW())</f>
        <v/>
      </c>
      <c r="L3">
        <f>IF('01_Warehouse_Ledger'!$A3="","",'01_Warehouse_Ledger'!$A3)</f>
        <v/>
      </c>
    </row>
    <row r="4">
      <c r="I4">
        <f>IF(OR($A4="",$B4=""),"",IF(COUNTIFS($A$2:$A4,$A4,$B$2:$B4,$B4)=1,1,0))</f>
        <v/>
      </c>
      <c r="J4">
        <f>IF($A4="","",ROW())</f>
        <v/>
      </c>
      <c r="L4">
        <f>IF('01_Warehouse_Ledger'!$A4="","",'01_Warehouse_Ledger'!$A4)</f>
        <v/>
      </c>
    </row>
    <row r="5">
      <c r="I5">
        <f>IF(OR($A5="",$B5=""),"",IF(COUNTIFS($A$2:$A5,$A5,$B$2:$B5,$B5)=1,1,0))</f>
        <v/>
      </c>
      <c r="J5">
        <f>IF($A5="","",ROW())</f>
        <v/>
      </c>
      <c r="L5">
        <f>IF('01_Warehouse_Ledger'!$A5="","",'01_Warehouse_Ledger'!$A5)</f>
        <v/>
      </c>
    </row>
    <row r="6">
      <c r="I6">
        <f>IF(OR($A6="",$B6=""),"",IF(COUNTIFS($A$2:$A6,$A6,$B$2:$B6,$B6)=1,1,0))</f>
        <v/>
      </c>
      <c r="J6">
        <f>IF($A6="","",ROW())</f>
        <v/>
      </c>
      <c r="L6">
        <f>IF('01_Warehouse_Ledger'!$A6="","",'01_Warehouse_Ledger'!$A6)</f>
        <v/>
      </c>
    </row>
    <row r="7">
      <c r="I7">
        <f>IF(OR($A7="",$B7=""),"",IF(COUNTIFS($A$2:$A7,$A7,$B$2:$B7,$B7)=1,1,0))</f>
        <v/>
      </c>
      <c r="J7">
        <f>IF($A7="","",ROW())</f>
        <v/>
      </c>
      <c r="L7">
        <f>IF('01_Warehouse_Ledger'!$A7="","",'01_Warehouse_Ledger'!$A7)</f>
        <v/>
      </c>
    </row>
    <row r="8">
      <c r="I8">
        <f>IF(OR($A8="",$B8=""),"",IF(COUNTIFS($A$2:$A8,$A8,$B$2:$B8,$B8)=1,1,0))</f>
        <v/>
      </c>
      <c r="J8">
        <f>IF($A8="","",ROW())</f>
        <v/>
      </c>
      <c r="L8">
        <f>IF('01_Warehouse_Ledger'!$A8="","",'01_Warehouse_Ledger'!$A8)</f>
        <v/>
      </c>
    </row>
    <row r="9">
      <c r="I9">
        <f>IF(OR($A9="",$B9=""),"",IF(COUNTIFS($A$2:$A9,$A9,$B$2:$B9,$B9)=1,1,0))</f>
        <v/>
      </c>
      <c r="J9">
        <f>IF($A9="","",ROW())</f>
        <v/>
      </c>
      <c r="L9">
        <f>IF('01_Warehouse_Ledger'!$A9="","",'01_Warehouse_Ledger'!$A9)</f>
        <v/>
      </c>
    </row>
    <row r="10">
      <c r="I10">
        <f>IF(OR($A10="",$B10=""),"",IF(COUNTIFS($A$2:$A10,$A10,$B$2:$B10,$B10)=1,1,0))</f>
        <v/>
      </c>
      <c r="J10">
        <f>IF($A10="","",ROW())</f>
        <v/>
      </c>
      <c r="L10">
        <f>IF('01_Warehouse_Ledger'!$A10="","",'01_Warehouse_Ledger'!$A10)</f>
        <v/>
      </c>
    </row>
    <row r="11">
      <c r="I11">
        <f>IF(OR($A11="",$B11=""),"",IF(COUNTIFS($A$2:$A11,$A11,$B$2:$B11,$B11)=1,1,0))</f>
        <v/>
      </c>
      <c r="J11">
        <f>IF($A11="","",ROW())</f>
        <v/>
      </c>
      <c r="L11">
        <f>IF('01_Warehouse_Ledger'!$A11="","",'01_Warehouse_Ledger'!$A11)</f>
        <v/>
      </c>
    </row>
    <row r="12">
      <c r="I12">
        <f>IF(OR($A12="",$B12=""),"",IF(COUNTIFS($A$2:$A12,$A12,$B$2:$B12,$B12)=1,1,0))</f>
        <v/>
      </c>
      <c r="J12">
        <f>IF($A12="","",ROW())</f>
        <v/>
      </c>
      <c r="L12">
        <f>IF('01_Warehouse_Ledger'!$A12="","",'01_Warehouse_Ledger'!$A12)</f>
        <v/>
      </c>
    </row>
    <row r="13">
      <c r="I13">
        <f>IF(OR($A13="",$B13=""),"",IF(COUNTIFS($A$2:$A13,$A13,$B$2:$B13,$B13)=1,1,0))</f>
        <v/>
      </c>
      <c r="J13">
        <f>IF($A13="","",ROW())</f>
        <v/>
      </c>
      <c r="L13">
        <f>IF('01_Warehouse_Ledger'!$A13="","",'01_Warehouse_Ledger'!$A13)</f>
        <v/>
      </c>
    </row>
    <row r="14">
      <c r="I14">
        <f>IF(OR($A14="",$B14=""),"",IF(COUNTIFS($A$2:$A14,$A14,$B$2:$B14,$B14)=1,1,0))</f>
        <v/>
      </c>
      <c r="J14">
        <f>IF($A14="","",ROW())</f>
        <v/>
      </c>
      <c r="L14">
        <f>IF('01_Warehouse_Ledger'!$A14="","",'01_Warehouse_Ledger'!$A14)</f>
        <v/>
      </c>
    </row>
    <row r="15">
      <c r="I15">
        <f>IF(OR($A15="",$B15=""),"",IF(COUNTIFS($A$2:$A15,$A15,$B$2:$B15,$B15)=1,1,0))</f>
        <v/>
      </c>
      <c r="J15">
        <f>IF($A15="","",ROW())</f>
        <v/>
      </c>
      <c r="L15">
        <f>IF('01_Warehouse_Ledger'!$A15="","",'01_Warehouse_Ledger'!$A15)</f>
        <v/>
      </c>
    </row>
    <row r="16">
      <c r="I16">
        <f>IF(OR($A16="",$B16=""),"",IF(COUNTIFS($A$2:$A16,$A16,$B$2:$B16,$B16)=1,1,0))</f>
        <v/>
      </c>
      <c r="J16">
        <f>IF($A16="","",ROW())</f>
        <v/>
      </c>
      <c r="L16">
        <f>IF('01_Warehouse_Ledger'!$A16="","",'01_Warehouse_Ledger'!$A16)</f>
        <v/>
      </c>
    </row>
    <row r="17">
      <c r="I17">
        <f>IF(OR($A17="",$B17=""),"",IF(COUNTIFS($A$2:$A17,$A17,$B$2:$B17,$B17)=1,1,0))</f>
        <v/>
      </c>
      <c r="J17">
        <f>IF($A17="","",ROW())</f>
        <v/>
      </c>
      <c r="L17">
        <f>IF('01_Warehouse_Ledger'!$A17="","",'01_Warehouse_Ledger'!$A17)</f>
        <v/>
      </c>
    </row>
    <row r="18">
      <c r="I18">
        <f>IF(OR($A18="",$B18=""),"",IF(COUNTIFS($A$2:$A18,$A18,$B$2:$B18,$B18)=1,1,0))</f>
        <v/>
      </c>
      <c r="J18">
        <f>IF($A18="","",ROW())</f>
        <v/>
      </c>
      <c r="L18">
        <f>IF('01_Warehouse_Ledger'!$A18="","",'01_Warehouse_Ledger'!$A18)</f>
        <v/>
      </c>
    </row>
    <row r="19">
      <c r="I19">
        <f>IF(OR($A19="",$B19=""),"",IF(COUNTIFS($A$2:$A19,$A19,$B$2:$B19,$B19)=1,1,0))</f>
        <v/>
      </c>
      <c r="J19">
        <f>IF($A19="","",ROW())</f>
        <v/>
      </c>
      <c r="L19">
        <f>IF('01_Warehouse_Ledger'!$A19="","",'01_Warehouse_Ledger'!$A19)</f>
        <v/>
      </c>
    </row>
    <row r="20">
      <c r="I20">
        <f>IF(OR($A20="",$B20=""),"",IF(COUNTIFS($A$2:$A20,$A20,$B$2:$B20,$B20)=1,1,0))</f>
        <v/>
      </c>
      <c r="J20">
        <f>IF($A20="","",ROW())</f>
        <v/>
      </c>
      <c r="L20">
        <f>IF('01_Warehouse_Ledger'!$A20="","",'01_Warehouse_Ledger'!$A20)</f>
        <v/>
      </c>
    </row>
    <row r="21">
      <c r="I21">
        <f>IF(OR($A21="",$B21=""),"",IF(COUNTIFS($A$2:$A21,$A21,$B$2:$B21,$B21)=1,1,0))</f>
        <v/>
      </c>
      <c r="J21">
        <f>IF($A21="","",ROW())</f>
        <v/>
      </c>
      <c r="L21">
        <f>IF('01_Warehouse_Ledger'!$A21="","",'01_Warehouse_Ledger'!$A21)</f>
        <v/>
      </c>
    </row>
    <row r="22">
      <c r="I22">
        <f>IF(OR($A22="",$B22=""),"",IF(COUNTIFS($A$2:$A22,$A22,$B$2:$B22,$B22)=1,1,0))</f>
        <v/>
      </c>
      <c r="J22">
        <f>IF($A22="","",ROW())</f>
        <v/>
      </c>
      <c r="L22">
        <f>IF('01_Warehouse_Ledger'!$A22="","",'01_Warehouse_Ledger'!$A22)</f>
        <v/>
      </c>
    </row>
    <row r="23">
      <c r="I23">
        <f>IF(OR($A23="",$B23=""),"",IF(COUNTIFS($A$2:$A23,$A23,$B$2:$B23,$B23)=1,1,0))</f>
        <v/>
      </c>
      <c r="J23">
        <f>IF($A23="","",ROW())</f>
        <v/>
      </c>
      <c r="L23">
        <f>IF('01_Warehouse_Ledger'!$A23="","",'01_Warehouse_Ledger'!$A23)</f>
        <v/>
      </c>
    </row>
    <row r="24">
      <c r="I24">
        <f>IF(OR($A24="",$B24=""),"",IF(COUNTIFS($A$2:$A24,$A24,$B$2:$B24,$B24)=1,1,0))</f>
        <v/>
      </c>
      <c r="J24">
        <f>IF($A24="","",ROW())</f>
        <v/>
      </c>
      <c r="L24">
        <f>IF('01_Warehouse_Ledger'!$A24="","",'01_Warehouse_Ledger'!$A24)</f>
        <v/>
      </c>
    </row>
    <row r="25">
      <c r="I25">
        <f>IF(OR($A25="",$B25=""),"",IF(COUNTIFS($A$2:$A25,$A25,$B$2:$B25,$B25)=1,1,0))</f>
        <v/>
      </c>
      <c r="J25">
        <f>IF($A25="","",ROW())</f>
        <v/>
      </c>
      <c r="L25">
        <f>IF('01_Warehouse_Ledger'!$A25="","",'01_Warehouse_Ledger'!$A25)</f>
        <v/>
      </c>
    </row>
    <row r="26">
      <c r="I26">
        <f>IF(OR($A26="",$B26=""),"",IF(COUNTIFS($A$2:$A26,$A26,$B$2:$B26,$B26)=1,1,0))</f>
        <v/>
      </c>
      <c r="J26">
        <f>IF($A26="","",ROW())</f>
        <v/>
      </c>
      <c r="L26">
        <f>IF('01_Warehouse_Ledger'!$A26="","",'01_Warehouse_Ledger'!$A26)</f>
        <v/>
      </c>
    </row>
    <row r="27">
      <c r="I27">
        <f>IF(OR($A27="",$B27=""),"",IF(COUNTIFS($A$2:$A27,$A27,$B$2:$B27,$B27)=1,1,0))</f>
        <v/>
      </c>
      <c r="J27">
        <f>IF($A27="","",ROW())</f>
        <v/>
      </c>
      <c r="L27">
        <f>IF('01_Warehouse_Ledger'!$A27="","",'01_Warehouse_Ledger'!$A27)</f>
        <v/>
      </c>
    </row>
    <row r="28">
      <c r="I28">
        <f>IF(OR($A28="",$B28=""),"",IF(COUNTIFS($A$2:$A28,$A28,$B$2:$B28,$B28)=1,1,0))</f>
        <v/>
      </c>
      <c r="J28">
        <f>IF($A28="","",ROW())</f>
        <v/>
      </c>
      <c r="L28">
        <f>IF('01_Warehouse_Ledger'!$A28="","",'01_Warehouse_Ledger'!$A28)</f>
        <v/>
      </c>
    </row>
    <row r="29">
      <c r="I29">
        <f>IF(OR($A29="",$B29=""),"",IF(COUNTIFS($A$2:$A29,$A29,$B$2:$B29,$B29)=1,1,0))</f>
        <v/>
      </c>
      <c r="J29">
        <f>IF($A29="","",ROW())</f>
        <v/>
      </c>
      <c r="L29">
        <f>IF('01_Warehouse_Ledger'!$A29="","",'01_Warehouse_Ledger'!$A29)</f>
        <v/>
      </c>
    </row>
    <row r="30">
      <c r="I30">
        <f>IF(OR($A30="",$B30=""),"",IF(COUNTIFS($A$2:$A30,$A30,$B$2:$B30,$B30)=1,1,0))</f>
        <v/>
      </c>
      <c r="J30">
        <f>IF($A30="","",ROW())</f>
        <v/>
      </c>
      <c r="L30">
        <f>IF('01_Warehouse_Ledger'!$A30="","",'01_Warehouse_Ledger'!$A30)</f>
        <v/>
      </c>
    </row>
    <row r="31">
      <c r="I31">
        <f>IF(OR($A31="",$B31=""),"",IF(COUNTIFS($A$2:$A31,$A31,$B$2:$B31,$B31)=1,1,0))</f>
        <v/>
      </c>
      <c r="J31">
        <f>IF($A31="","",ROW())</f>
        <v/>
      </c>
      <c r="L31">
        <f>IF('01_Warehouse_Ledger'!$A31="","",'01_Warehouse_Ledger'!$A31)</f>
        <v/>
      </c>
    </row>
    <row r="32">
      <c r="I32">
        <f>IF(OR($A32="",$B32=""),"",IF(COUNTIFS($A$2:$A32,$A32,$B$2:$B32,$B32)=1,1,0))</f>
        <v/>
      </c>
      <c r="J32">
        <f>IF($A32="","",ROW())</f>
        <v/>
      </c>
      <c r="L32">
        <f>IF('01_Warehouse_Ledger'!$A32="","",'01_Warehouse_Ledger'!$A32)</f>
        <v/>
      </c>
    </row>
    <row r="33">
      <c r="I33">
        <f>IF(OR($A33="",$B33=""),"",IF(COUNTIFS($A$2:$A33,$A33,$B$2:$B33,$B33)=1,1,0))</f>
        <v/>
      </c>
      <c r="J33">
        <f>IF($A33="","",ROW())</f>
        <v/>
      </c>
      <c r="L33">
        <f>IF('01_Warehouse_Ledger'!$A33="","",'01_Warehouse_Ledger'!$A33)</f>
        <v/>
      </c>
    </row>
    <row r="34">
      <c r="I34">
        <f>IF(OR($A34="",$B34=""),"",IF(COUNTIFS($A$2:$A34,$A34,$B$2:$B34,$B34)=1,1,0))</f>
        <v/>
      </c>
      <c r="J34">
        <f>IF($A34="","",ROW())</f>
        <v/>
      </c>
      <c r="L34">
        <f>IF('01_Warehouse_Ledger'!$A34="","",'01_Warehouse_Ledger'!$A34)</f>
        <v/>
      </c>
    </row>
    <row r="35">
      <c r="I35">
        <f>IF(OR($A35="",$B35=""),"",IF(COUNTIFS($A$2:$A35,$A35,$B$2:$B35,$B35)=1,1,0))</f>
        <v/>
      </c>
      <c r="J35">
        <f>IF($A35="","",ROW())</f>
        <v/>
      </c>
      <c r="L35">
        <f>IF('01_Warehouse_Ledger'!$A35="","",'01_Warehouse_Ledger'!$A35)</f>
        <v/>
      </c>
    </row>
    <row r="36">
      <c r="I36">
        <f>IF(OR($A36="",$B36=""),"",IF(COUNTIFS($A$2:$A36,$A36,$B$2:$B36,$B36)=1,1,0))</f>
        <v/>
      </c>
      <c r="J36">
        <f>IF($A36="","",ROW())</f>
        <v/>
      </c>
      <c r="L36">
        <f>IF('01_Warehouse_Ledger'!$A36="","",'01_Warehouse_Ledger'!$A36)</f>
        <v/>
      </c>
    </row>
    <row r="37">
      <c r="I37">
        <f>IF(OR($A37="",$B37=""),"",IF(COUNTIFS($A$2:$A37,$A37,$B$2:$B37,$B37)=1,1,0))</f>
        <v/>
      </c>
      <c r="J37">
        <f>IF($A37="","",ROW())</f>
        <v/>
      </c>
      <c r="L37">
        <f>IF('01_Warehouse_Ledger'!$A37="","",'01_Warehouse_Ledger'!$A37)</f>
        <v/>
      </c>
    </row>
    <row r="38">
      <c r="I38">
        <f>IF(OR($A38="",$B38=""),"",IF(COUNTIFS($A$2:$A38,$A38,$B$2:$B38,$B38)=1,1,0))</f>
        <v/>
      </c>
      <c r="J38">
        <f>IF($A38="","",ROW())</f>
        <v/>
      </c>
      <c r="L38">
        <f>IF('01_Warehouse_Ledger'!$A38="","",'01_Warehouse_Ledger'!$A38)</f>
        <v/>
      </c>
    </row>
    <row r="39">
      <c r="I39">
        <f>IF(OR($A39="",$B39=""),"",IF(COUNTIFS($A$2:$A39,$A39,$B$2:$B39,$B39)=1,1,0))</f>
        <v/>
      </c>
      <c r="J39">
        <f>IF($A39="","",ROW())</f>
        <v/>
      </c>
      <c r="L39">
        <f>IF('01_Warehouse_Ledger'!$A39="","",'01_Warehouse_Ledger'!$A39)</f>
        <v/>
      </c>
    </row>
    <row r="40">
      <c r="I40">
        <f>IF(OR($A40="",$B40=""),"",IF(COUNTIFS($A$2:$A40,$A40,$B$2:$B40,$B40)=1,1,0))</f>
        <v/>
      </c>
      <c r="J40">
        <f>IF($A40="","",ROW())</f>
        <v/>
      </c>
      <c r="L40">
        <f>IF('01_Warehouse_Ledger'!$A40="","",'01_Warehouse_Ledger'!$A40)</f>
        <v/>
      </c>
    </row>
    <row r="41">
      <c r="I41">
        <f>IF(OR($A41="",$B41=""),"",IF(COUNTIFS($A$2:$A41,$A41,$B$2:$B41,$B41)=1,1,0))</f>
        <v/>
      </c>
      <c r="J41">
        <f>IF($A41="","",ROW())</f>
        <v/>
      </c>
      <c r="L41">
        <f>IF('01_Warehouse_Ledger'!$A41="","",'01_Warehouse_Ledger'!$A41)</f>
        <v/>
      </c>
    </row>
    <row r="42">
      <c r="I42">
        <f>IF(OR($A42="",$B42=""),"",IF(COUNTIFS($A$2:$A42,$A42,$B$2:$B42,$B42)=1,1,0))</f>
        <v/>
      </c>
      <c r="J42">
        <f>IF($A42="","",ROW())</f>
        <v/>
      </c>
      <c r="L42">
        <f>IF('01_Warehouse_Ledger'!$A42="","",'01_Warehouse_Ledger'!$A42)</f>
        <v/>
      </c>
    </row>
    <row r="43">
      <c r="I43">
        <f>IF(OR($A43="",$B43=""),"",IF(COUNTIFS($A$2:$A43,$A43,$B$2:$B43,$B43)=1,1,0))</f>
        <v/>
      </c>
      <c r="J43">
        <f>IF($A43="","",ROW())</f>
        <v/>
      </c>
      <c r="L43">
        <f>IF('01_Warehouse_Ledger'!$A43="","",'01_Warehouse_Ledger'!$A43)</f>
        <v/>
      </c>
    </row>
    <row r="44">
      <c r="I44">
        <f>IF(OR($A44="",$B44=""),"",IF(COUNTIFS($A$2:$A44,$A44,$B$2:$B44,$B44)=1,1,0))</f>
        <v/>
      </c>
      <c r="J44">
        <f>IF($A44="","",ROW())</f>
        <v/>
      </c>
      <c r="L44">
        <f>IF('01_Warehouse_Ledger'!$A44="","",'01_Warehouse_Ledger'!$A44)</f>
        <v/>
      </c>
    </row>
    <row r="45">
      <c r="I45">
        <f>IF(OR($A45="",$B45=""),"",IF(COUNTIFS($A$2:$A45,$A45,$B$2:$B45,$B45)=1,1,0))</f>
        <v/>
      </c>
      <c r="J45">
        <f>IF($A45="","",ROW())</f>
        <v/>
      </c>
      <c r="L45">
        <f>IF('01_Warehouse_Ledger'!$A45="","",'01_Warehouse_Ledger'!$A45)</f>
        <v/>
      </c>
    </row>
    <row r="46">
      <c r="I46">
        <f>IF(OR($A46="",$B46=""),"",IF(COUNTIFS($A$2:$A46,$A46,$B$2:$B46,$B46)=1,1,0))</f>
        <v/>
      </c>
      <c r="J46">
        <f>IF($A46="","",ROW())</f>
        <v/>
      </c>
      <c r="L46">
        <f>IF('01_Warehouse_Ledger'!$A46="","",'01_Warehouse_Ledger'!$A46)</f>
        <v/>
      </c>
    </row>
    <row r="47">
      <c r="I47">
        <f>IF(OR($A47="",$B47=""),"",IF(COUNTIFS($A$2:$A47,$A47,$B$2:$B47,$B47)=1,1,0))</f>
        <v/>
      </c>
      <c r="J47">
        <f>IF($A47="","",ROW())</f>
        <v/>
      </c>
      <c r="L47">
        <f>IF('01_Warehouse_Ledger'!$A47="","",'01_Warehouse_Ledger'!$A47)</f>
        <v/>
      </c>
    </row>
    <row r="48">
      <c r="I48">
        <f>IF(OR($A48="",$B48=""),"",IF(COUNTIFS($A$2:$A48,$A48,$B$2:$B48,$B48)=1,1,0))</f>
        <v/>
      </c>
      <c r="J48">
        <f>IF($A48="","",ROW())</f>
        <v/>
      </c>
      <c r="L48">
        <f>IF('01_Warehouse_Ledger'!$A48="","",'01_Warehouse_Ledger'!$A48)</f>
        <v/>
      </c>
    </row>
    <row r="49">
      <c r="I49">
        <f>IF(OR($A49="",$B49=""),"",IF(COUNTIFS($A$2:$A49,$A49,$B$2:$B49,$B49)=1,1,0))</f>
        <v/>
      </c>
      <c r="J49">
        <f>IF($A49="","",ROW())</f>
        <v/>
      </c>
      <c r="L49">
        <f>IF('01_Warehouse_Ledger'!$A49="","",'01_Warehouse_Ledger'!$A49)</f>
        <v/>
      </c>
    </row>
    <row r="50">
      <c r="I50">
        <f>IF(OR($A50="",$B50=""),"",IF(COUNTIFS($A$2:$A50,$A50,$B$2:$B50,$B50)=1,1,0))</f>
        <v/>
      </c>
      <c r="J50">
        <f>IF($A50="","",ROW())</f>
        <v/>
      </c>
      <c r="L50">
        <f>IF('01_Warehouse_Ledger'!$A50="","",'01_Warehouse_Ledger'!$A50)</f>
        <v/>
      </c>
    </row>
    <row r="51">
      <c r="I51">
        <f>IF(OR($A51="",$B51=""),"",IF(COUNTIFS($A$2:$A51,$A51,$B$2:$B51,$B51)=1,1,0))</f>
        <v/>
      </c>
      <c r="J51">
        <f>IF($A51="","",ROW())</f>
        <v/>
      </c>
      <c r="L51">
        <f>IF('01_Warehouse_Ledger'!$A51="","",'01_Warehouse_Ledger'!$A51)</f>
        <v/>
      </c>
    </row>
    <row r="52">
      <c r="I52">
        <f>IF(OR($A52="",$B52=""),"",IF(COUNTIFS($A$2:$A52,$A52,$B$2:$B52,$B52)=1,1,0))</f>
        <v/>
      </c>
      <c r="J52">
        <f>IF($A52="","",ROW())</f>
        <v/>
      </c>
      <c r="L52">
        <f>IF('01_Warehouse_Ledger'!$A52="","",'01_Warehouse_Ledger'!$A52)</f>
        <v/>
      </c>
    </row>
    <row r="53">
      <c r="I53">
        <f>IF(OR($A53="",$B53=""),"",IF(COUNTIFS($A$2:$A53,$A53,$B$2:$B53,$B53)=1,1,0))</f>
        <v/>
      </c>
      <c r="J53">
        <f>IF($A53="","",ROW())</f>
        <v/>
      </c>
      <c r="L53">
        <f>IF('01_Warehouse_Ledger'!$A53="","",'01_Warehouse_Ledger'!$A53)</f>
        <v/>
      </c>
    </row>
    <row r="54">
      <c r="I54">
        <f>IF(OR($A54="",$B54=""),"",IF(COUNTIFS($A$2:$A54,$A54,$B$2:$B54,$B54)=1,1,0))</f>
        <v/>
      </c>
      <c r="J54">
        <f>IF($A54="","",ROW())</f>
        <v/>
      </c>
      <c r="L54">
        <f>IF('01_Warehouse_Ledger'!$A54="","",'01_Warehouse_Ledger'!$A54)</f>
        <v/>
      </c>
    </row>
    <row r="55">
      <c r="I55">
        <f>IF(OR($A55="",$B55=""),"",IF(COUNTIFS($A$2:$A55,$A55,$B$2:$B55,$B55)=1,1,0))</f>
        <v/>
      </c>
      <c r="J55">
        <f>IF($A55="","",ROW())</f>
        <v/>
      </c>
      <c r="L55">
        <f>IF('01_Warehouse_Ledger'!$A55="","",'01_Warehouse_Ledger'!$A55)</f>
        <v/>
      </c>
    </row>
    <row r="56">
      <c r="I56">
        <f>IF(OR($A56="",$B56=""),"",IF(COUNTIFS($A$2:$A56,$A56,$B$2:$B56,$B56)=1,1,0))</f>
        <v/>
      </c>
      <c r="J56">
        <f>IF($A56="","",ROW())</f>
        <v/>
      </c>
      <c r="L56">
        <f>IF('01_Warehouse_Ledger'!$A56="","",'01_Warehouse_Ledger'!$A56)</f>
        <v/>
      </c>
    </row>
    <row r="57">
      <c r="I57">
        <f>IF(OR($A57="",$B57=""),"",IF(COUNTIFS($A$2:$A57,$A57,$B$2:$B57,$B57)=1,1,0))</f>
        <v/>
      </c>
      <c r="J57">
        <f>IF($A57="","",ROW())</f>
        <v/>
      </c>
      <c r="L57">
        <f>IF('01_Warehouse_Ledger'!$A57="","",'01_Warehouse_Ledger'!$A57)</f>
        <v/>
      </c>
    </row>
    <row r="58">
      <c r="I58">
        <f>IF(OR($A58="",$B58=""),"",IF(COUNTIFS($A$2:$A58,$A58,$B$2:$B58,$B58)=1,1,0))</f>
        <v/>
      </c>
      <c r="J58">
        <f>IF($A58="","",ROW())</f>
        <v/>
      </c>
      <c r="L58">
        <f>IF('01_Warehouse_Ledger'!$A58="","",'01_Warehouse_Ledger'!$A58)</f>
        <v/>
      </c>
    </row>
    <row r="59">
      <c r="I59">
        <f>IF(OR($A59="",$B59=""),"",IF(COUNTIFS($A$2:$A59,$A59,$B$2:$B59,$B59)=1,1,0))</f>
        <v/>
      </c>
      <c r="J59">
        <f>IF($A59="","",ROW())</f>
        <v/>
      </c>
      <c r="L59">
        <f>IF('01_Warehouse_Ledger'!$A59="","",'01_Warehouse_Ledger'!$A59)</f>
        <v/>
      </c>
    </row>
    <row r="60">
      <c r="I60">
        <f>IF(OR($A60="",$B60=""),"",IF(COUNTIFS($A$2:$A60,$A60,$B$2:$B60,$B60)=1,1,0))</f>
        <v/>
      </c>
      <c r="J60">
        <f>IF($A60="","",ROW())</f>
        <v/>
      </c>
      <c r="L60">
        <f>IF('01_Warehouse_Ledger'!$A60="","",'01_Warehouse_Ledger'!$A60)</f>
        <v/>
      </c>
    </row>
    <row r="61">
      <c r="I61">
        <f>IF(OR($A61="",$B61=""),"",IF(COUNTIFS($A$2:$A61,$A61,$B$2:$B61,$B61)=1,1,0))</f>
        <v/>
      </c>
      <c r="J61">
        <f>IF($A61="","",ROW())</f>
        <v/>
      </c>
      <c r="L61">
        <f>IF('01_Warehouse_Ledger'!$A61="","",'01_Warehouse_Ledger'!$A61)</f>
        <v/>
      </c>
    </row>
    <row r="62">
      <c r="I62">
        <f>IF(OR($A62="",$B62=""),"",IF(COUNTIFS($A$2:$A62,$A62,$B$2:$B62,$B62)=1,1,0))</f>
        <v/>
      </c>
      <c r="J62">
        <f>IF($A62="","",ROW())</f>
        <v/>
      </c>
      <c r="L62">
        <f>IF('01_Warehouse_Ledger'!$A62="","",'01_Warehouse_Ledger'!$A62)</f>
        <v/>
      </c>
    </row>
    <row r="63">
      <c r="I63">
        <f>IF(OR($A63="",$B63=""),"",IF(COUNTIFS($A$2:$A63,$A63,$B$2:$B63,$B63)=1,1,0))</f>
        <v/>
      </c>
      <c r="J63">
        <f>IF($A63="","",ROW())</f>
        <v/>
      </c>
      <c r="L63">
        <f>IF('01_Warehouse_Ledger'!$A63="","",'01_Warehouse_Ledger'!$A63)</f>
        <v/>
      </c>
    </row>
    <row r="64">
      <c r="I64">
        <f>IF(OR($A64="",$B64=""),"",IF(COUNTIFS($A$2:$A64,$A64,$B$2:$B64,$B64)=1,1,0))</f>
        <v/>
      </c>
      <c r="J64">
        <f>IF($A64="","",ROW())</f>
        <v/>
      </c>
      <c r="L64">
        <f>IF('01_Warehouse_Ledger'!$A64="","",'01_Warehouse_Ledger'!$A64)</f>
        <v/>
      </c>
    </row>
    <row r="65">
      <c r="I65">
        <f>IF(OR($A65="",$B65=""),"",IF(COUNTIFS($A$2:$A65,$A65,$B$2:$B65,$B65)=1,1,0))</f>
        <v/>
      </c>
      <c r="J65">
        <f>IF($A65="","",ROW())</f>
        <v/>
      </c>
      <c r="L65">
        <f>IF('01_Warehouse_Ledger'!$A65="","",'01_Warehouse_Ledger'!$A65)</f>
        <v/>
      </c>
    </row>
    <row r="66">
      <c r="I66">
        <f>IF(OR($A66="",$B66=""),"",IF(COUNTIFS($A$2:$A66,$A66,$B$2:$B66,$B66)=1,1,0))</f>
        <v/>
      </c>
      <c r="J66">
        <f>IF($A66="","",ROW())</f>
        <v/>
      </c>
      <c r="L66">
        <f>IF('01_Warehouse_Ledger'!$A66="","",'01_Warehouse_Ledger'!$A66)</f>
        <v/>
      </c>
    </row>
    <row r="67">
      <c r="I67">
        <f>IF(OR($A67="",$B67=""),"",IF(COUNTIFS($A$2:$A67,$A67,$B$2:$B67,$B67)=1,1,0))</f>
        <v/>
      </c>
      <c r="J67">
        <f>IF($A67="","",ROW())</f>
        <v/>
      </c>
      <c r="L67">
        <f>IF('01_Warehouse_Ledger'!$A67="","",'01_Warehouse_Ledger'!$A67)</f>
        <v/>
      </c>
    </row>
    <row r="68">
      <c r="I68">
        <f>IF(OR($A68="",$B68=""),"",IF(COUNTIFS($A$2:$A68,$A68,$B$2:$B68,$B68)=1,1,0))</f>
        <v/>
      </c>
      <c r="J68">
        <f>IF($A68="","",ROW())</f>
        <v/>
      </c>
      <c r="L68">
        <f>IF('01_Warehouse_Ledger'!$A68="","",'01_Warehouse_Ledger'!$A68)</f>
        <v/>
      </c>
    </row>
    <row r="69">
      <c r="I69">
        <f>IF(OR($A69="",$B69=""),"",IF(COUNTIFS($A$2:$A69,$A69,$B$2:$B69,$B69)=1,1,0))</f>
        <v/>
      </c>
      <c r="J69">
        <f>IF($A69="","",ROW())</f>
        <v/>
      </c>
      <c r="L69">
        <f>IF('01_Warehouse_Ledger'!$A69="","",'01_Warehouse_Ledger'!$A69)</f>
        <v/>
      </c>
    </row>
    <row r="70">
      <c r="I70">
        <f>IF(OR($A70="",$B70=""),"",IF(COUNTIFS($A$2:$A70,$A70,$B$2:$B70,$B70)=1,1,0))</f>
        <v/>
      </c>
      <c r="J70">
        <f>IF($A70="","",ROW())</f>
        <v/>
      </c>
      <c r="L70">
        <f>IF('01_Warehouse_Ledger'!$A70="","",'01_Warehouse_Ledger'!$A70)</f>
        <v/>
      </c>
    </row>
    <row r="71">
      <c r="I71">
        <f>IF(OR($A71="",$B71=""),"",IF(COUNTIFS($A$2:$A71,$A71,$B$2:$B71,$B71)=1,1,0))</f>
        <v/>
      </c>
      <c r="J71">
        <f>IF($A71="","",ROW())</f>
        <v/>
      </c>
      <c r="L71">
        <f>IF('01_Warehouse_Ledger'!$A71="","",'01_Warehouse_Ledger'!$A71)</f>
        <v/>
      </c>
    </row>
    <row r="72">
      <c r="I72">
        <f>IF(OR($A72="",$B72=""),"",IF(COUNTIFS($A$2:$A72,$A72,$B$2:$B72,$B72)=1,1,0))</f>
        <v/>
      </c>
      <c r="J72">
        <f>IF($A72="","",ROW())</f>
        <v/>
      </c>
      <c r="L72">
        <f>IF('01_Warehouse_Ledger'!$A72="","",'01_Warehouse_Ledger'!$A72)</f>
        <v/>
      </c>
    </row>
    <row r="73">
      <c r="I73">
        <f>IF(OR($A73="",$B73=""),"",IF(COUNTIFS($A$2:$A73,$A73,$B$2:$B73,$B73)=1,1,0))</f>
        <v/>
      </c>
      <c r="J73">
        <f>IF($A73="","",ROW())</f>
        <v/>
      </c>
      <c r="L73">
        <f>IF('01_Warehouse_Ledger'!$A73="","",'01_Warehouse_Ledger'!$A73)</f>
        <v/>
      </c>
    </row>
    <row r="74">
      <c r="I74">
        <f>IF(OR($A74="",$B74=""),"",IF(COUNTIFS($A$2:$A74,$A74,$B$2:$B74,$B74)=1,1,0))</f>
        <v/>
      </c>
      <c r="J74">
        <f>IF($A74="","",ROW())</f>
        <v/>
      </c>
      <c r="L74">
        <f>IF('01_Warehouse_Ledger'!$A74="","",'01_Warehouse_Ledger'!$A74)</f>
        <v/>
      </c>
    </row>
    <row r="75">
      <c r="I75">
        <f>IF(OR($A75="",$B75=""),"",IF(COUNTIFS($A$2:$A75,$A75,$B$2:$B75,$B75)=1,1,0))</f>
        <v/>
      </c>
      <c r="J75">
        <f>IF($A75="","",ROW())</f>
        <v/>
      </c>
      <c r="L75">
        <f>IF('01_Warehouse_Ledger'!$A75="","",'01_Warehouse_Ledger'!$A75)</f>
        <v/>
      </c>
    </row>
    <row r="76">
      <c r="I76">
        <f>IF(OR($A76="",$B76=""),"",IF(COUNTIFS($A$2:$A76,$A76,$B$2:$B76,$B76)=1,1,0))</f>
        <v/>
      </c>
      <c r="J76">
        <f>IF($A76="","",ROW())</f>
        <v/>
      </c>
      <c r="L76">
        <f>IF('01_Warehouse_Ledger'!$A76="","",'01_Warehouse_Ledger'!$A76)</f>
        <v/>
      </c>
    </row>
    <row r="77">
      <c r="I77">
        <f>IF(OR($A77="",$B77=""),"",IF(COUNTIFS($A$2:$A77,$A77,$B$2:$B77,$B77)=1,1,0))</f>
        <v/>
      </c>
      <c r="J77">
        <f>IF($A77="","",ROW())</f>
        <v/>
      </c>
      <c r="L77">
        <f>IF('01_Warehouse_Ledger'!$A77="","",'01_Warehouse_Ledger'!$A77)</f>
        <v/>
      </c>
    </row>
    <row r="78">
      <c r="I78">
        <f>IF(OR($A78="",$B78=""),"",IF(COUNTIFS($A$2:$A78,$A78,$B$2:$B78,$B78)=1,1,0))</f>
        <v/>
      </c>
      <c r="J78">
        <f>IF($A78="","",ROW())</f>
        <v/>
      </c>
      <c r="L78">
        <f>IF('01_Warehouse_Ledger'!$A78="","",'01_Warehouse_Ledger'!$A78)</f>
        <v/>
      </c>
    </row>
    <row r="79">
      <c r="I79">
        <f>IF(OR($A79="",$B79=""),"",IF(COUNTIFS($A$2:$A79,$A79,$B$2:$B79,$B79)=1,1,0))</f>
        <v/>
      </c>
      <c r="J79">
        <f>IF($A79="","",ROW())</f>
        <v/>
      </c>
      <c r="L79">
        <f>IF('01_Warehouse_Ledger'!$A79="","",'01_Warehouse_Ledger'!$A79)</f>
        <v/>
      </c>
    </row>
    <row r="80">
      <c r="I80">
        <f>IF(OR($A80="",$B80=""),"",IF(COUNTIFS($A$2:$A80,$A80,$B$2:$B80,$B80)=1,1,0))</f>
        <v/>
      </c>
      <c r="J80">
        <f>IF($A80="","",ROW())</f>
        <v/>
      </c>
      <c r="L80">
        <f>IF('01_Warehouse_Ledger'!$A80="","",'01_Warehouse_Ledger'!$A80)</f>
        <v/>
      </c>
    </row>
    <row r="81">
      <c r="I81">
        <f>IF(OR($A81="",$B81=""),"",IF(COUNTIFS($A$2:$A81,$A81,$B$2:$B81,$B81)=1,1,0))</f>
        <v/>
      </c>
      <c r="J81">
        <f>IF($A81="","",ROW())</f>
        <v/>
      </c>
      <c r="L81">
        <f>IF('01_Warehouse_Ledger'!$A81="","",'01_Warehouse_Ledger'!$A81)</f>
        <v/>
      </c>
    </row>
    <row r="82">
      <c r="I82">
        <f>IF(OR($A82="",$B82=""),"",IF(COUNTIFS($A$2:$A82,$A82,$B$2:$B82,$B82)=1,1,0))</f>
        <v/>
      </c>
      <c r="J82">
        <f>IF($A82="","",ROW())</f>
        <v/>
      </c>
      <c r="L82">
        <f>IF('01_Warehouse_Ledger'!$A82="","",'01_Warehouse_Ledger'!$A82)</f>
        <v/>
      </c>
    </row>
    <row r="83">
      <c r="I83">
        <f>IF(OR($A83="",$B83=""),"",IF(COUNTIFS($A$2:$A83,$A83,$B$2:$B83,$B83)=1,1,0))</f>
        <v/>
      </c>
      <c r="J83">
        <f>IF($A83="","",ROW())</f>
        <v/>
      </c>
      <c r="L83">
        <f>IF('01_Warehouse_Ledger'!$A83="","",'01_Warehouse_Ledger'!$A83)</f>
        <v/>
      </c>
    </row>
    <row r="84">
      <c r="I84">
        <f>IF(OR($A84="",$B84=""),"",IF(COUNTIFS($A$2:$A84,$A84,$B$2:$B84,$B84)=1,1,0))</f>
        <v/>
      </c>
      <c r="J84">
        <f>IF($A84="","",ROW())</f>
        <v/>
      </c>
      <c r="L84">
        <f>IF('01_Warehouse_Ledger'!$A84="","",'01_Warehouse_Ledger'!$A84)</f>
        <v/>
      </c>
    </row>
    <row r="85">
      <c r="I85">
        <f>IF(OR($A85="",$B85=""),"",IF(COUNTIFS($A$2:$A85,$A85,$B$2:$B85,$B85)=1,1,0))</f>
        <v/>
      </c>
      <c r="J85">
        <f>IF($A85="","",ROW())</f>
        <v/>
      </c>
      <c r="L85">
        <f>IF('01_Warehouse_Ledger'!$A85="","",'01_Warehouse_Ledger'!$A85)</f>
        <v/>
      </c>
    </row>
    <row r="86">
      <c r="I86">
        <f>IF(OR($A86="",$B86=""),"",IF(COUNTIFS($A$2:$A86,$A86,$B$2:$B86,$B86)=1,1,0))</f>
        <v/>
      </c>
      <c r="J86">
        <f>IF($A86="","",ROW())</f>
        <v/>
      </c>
      <c r="L86">
        <f>IF('01_Warehouse_Ledger'!$A86="","",'01_Warehouse_Ledger'!$A86)</f>
        <v/>
      </c>
    </row>
    <row r="87">
      <c r="I87">
        <f>IF(OR($A87="",$B87=""),"",IF(COUNTIFS($A$2:$A87,$A87,$B$2:$B87,$B87)=1,1,0))</f>
        <v/>
      </c>
      <c r="J87">
        <f>IF($A87="","",ROW())</f>
        <v/>
      </c>
      <c r="L87">
        <f>IF('01_Warehouse_Ledger'!$A87="","",'01_Warehouse_Ledger'!$A87)</f>
        <v/>
      </c>
    </row>
    <row r="88">
      <c r="I88">
        <f>IF(OR($A88="",$B88=""),"",IF(COUNTIFS($A$2:$A88,$A88,$B$2:$B88,$B88)=1,1,0))</f>
        <v/>
      </c>
      <c r="J88">
        <f>IF($A88="","",ROW())</f>
        <v/>
      </c>
      <c r="L88">
        <f>IF('01_Warehouse_Ledger'!$A88="","",'01_Warehouse_Ledger'!$A88)</f>
        <v/>
      </c>
    </row>
    <row r="89">
      <c r="I89">
        <f>IF(OR($A89="",$B89=""),"",IF(COUNTIFS($A$2:$A89,$A89,$B$2:$B89,$B89)=1,1,0))</f>
        <v/>
      </c>
      <c r="J89">
        <f>IF($A89="","",ROW())</f>
        <v/>
      </c>
      <c r="L89">
        <f>IF('01_Warehouse_Ledger'!$A89="","",'01_Warehouse_Ledger'!$A89)</f>
        <v/>
      </c>
    </row>
    <row r="90">
      <c r="I90">
        <f>IF(OR($A90="",$B90=""),"",IF(COUNTIFS($A$2:$A90,$A90,$B$2:$B90,$B90)=1,1,0))</f>
        <v/>
      </c>
      <c r="J90">
        <f>IF($A90="","",ROW())</f>
        <v/>
      </c>
      <c r="L90">
        <f>IF('01_Warehouse_Ledger'!$A90="","",'01_Warehouse_Ledger'!$A90)</f>
        <v/>
      </c>
    </row>
    <row r="91">
      <c r="I91">
        <f>IF(OR($A91="",$B91=""),"",IF(COUNTIFS($A$2:$A91,$A91,$B$2:$B91,$B91)=1,1,0))</f>
        <v/>
      </c>
      <c r="J91">
        <f>IF($A91="","",ROW())</f>
        <v/>
      </c>
      <c r="L91">
        <f>IF('01_Warehouse_Ledger'!$A91="","",'01_Warehouse_Ledger'!$A91)</f>
        <v/>
      </c>
    </row>
    <row r="92">
      <c r="I92">
        <f>IF(OR($A92="",$B92=""),"",IF(COUNTIFS($A$2:$A92,$A92,$B$2:$B92,$B92)=1,1,0))</f>
        <v/>
      </c>
      <c r="J92">
        <f>IF($A92="","",ROW())</f>
        <v/>
      </c>
      <c r="L92">
        <f>IF('01_Warehouse_Ledger'!$A92="","",'01_Warehouse_Ledger'!$A92)</f>
        <v/>
      </c>
    </row>
    <row r="93">
      <c r="I93">
        <f>IF(OR($A93="",$B93=""),"",IF(COUNTIFS($A$2:$A93,$A93,$B$2:$B93,$B93)=1,1,0))</f>
        <v/>
      </c>
      <c r="J93">
        <f>IF($A93="","",ROW())</f>
        <v/>
      </c>
      <c r="L93">
        <f>IF('01_Warehouse_Ledger'!$A93="","",'01_Warehouse_Ledger'!$A93)</f>
        <v/>
      </c>
    </row>
    <row r="94">
      <c r="I94">
        <f>IF(OR($A94="",$B94=""),"",IF(COUNTIFS($A$2:$A94,$A94,$B$2:$B94,$B94)=1,1,0))</f>
        <v/>
      </c>
      <c r="J94">
        <f>IF($A94="","",ROW())</f>
        <v/>
      </c>
      <c r="L94">
        <f>IF('01_Warehouse_Ledger'!$A94="","",'01_Warehouse_Ledger'!$A94)</f>
        <v/>
      </c>
    </row>
    <row r="95">
      <c r="I95">
        <f>IF(OR($A95="",$B95=""),"",IF(COUNTIFS($A$2:$A95,$A95,$B$2:$B95,$B95)=1,1,0))</f>
        <v/>
      </c>
      <c r="J95">
        <f>IF($A95="","",ROW())</f>
        <v/>
      </c>
      <c r="L95">
        <f>IF('01_Warehouse_Ledger'!$A95="","",'01_Warehouse_Ledger'!$A95)</f>
        <v/>
      </c>
    </row>
    <row r="96">
      <c r="I96">
        <f>IF(OR($A96="",$B96=""),"",IF(COUNTIFS($A$2:$A96,$A96,$B$2:$B96,$B96)=1,1,0))</f>
        <v/>
      </c>
      <c r="J96">
        <f>IF($A96="","",ROW())</f>
        <v/>
      </c>
      <c r="L96">
        <f>IF('01_Warehouse_Ledger'!$A96="","",'01_Warehouse_Ledger'!$A96)</f>
        <v/>
      </c>
    </row>
    <row r="97">
      <c r="I97">
        <f>IF(OR($A97="",$B97=""),"",IF(COUNTIFS($A$2:$A97,$A97,$B$2:$B97,$B97)=1,1,0))</f>
        <v/>
      </c>
      <c r="J97">
        <f>IF($A97="","",ROW())</f>
        <v/>
      </c>
      <c r="L97">
        <f>IF('01_Warehouse_Ledger'!$A97="","",'01_Warehouse_Ledger'!$A97)</f>
        <v/>
      </c>
    </row>
    <row r="98">
      <c r="I98">
        <f>IF(OR($A98="",$B98=""),"",IF(COUNTIFS($A$2:$A98,$A98,$B$2:$B98,$B98)=1,1,0))</f>
        <v/>
      </c>
      <c r="J98">
        <f>IF($A98="","",ROW())</f>
        <v/>
      </c>
      <c r="L98">
        <f>IF('01_Warehouse_Ledger'!$A98="","",'01_Warehouse_Ledger'!$A98)</f>
        <v/>
      </c>
    </row>
    <row r="99">
      <c r="I99">
        <f>IF(OR($A99="",$B99=""),"",IF(COUNTIFS($A$2:$A99,$A99,$B$2:$B99,$B99)=1,1,0))</f>
        <v/>
      </c>
      <c r="J99">
        <f>IF($A99="","",ROW())</f>
        <v/>
      </c>
      <c r="L99">
        <f>IF('01_Warehouse_Ledger'!$A99="","",'01_Warehouse_Ledger'!$A99)</f>
        <v/>
      </c>
    </row>
    <row r="100">
      <c r="I100">
        <f>IF(OR($A100="",$B100=""),"",IF(COUNTIFS($A$2:$A100,$A100,$B$2:$B100,$B100)=1,1,0))</f>
        <v/>
      </c>
      <c r="J100">
        <f>IF($A100="","",ROW())</f>
        <v/>
      </c>
      <c r="L100">
        <f>IF('01_Warehouse_Ledger'!$A100="","",'01_Warehouse_Ledger'!$A100)</f>
        <v/>
      </c>
    </row>
    <row r="101">
      <c r="I101">
        <f>IF(OR($A101="",$B101=""),"",IF(COUNTIFS($A$2:$A101,$A101,$B$2:$B101,$B101)=1,1,0))</f>
        <v/>
      </c>
      <c r="J101">
        <f>IF($A101="","",ROW())</f>
        <v/>
      </c>
      <c r="L101">
        <f>IF('01_Warehouse_Ledger'!$A101="","",'01_Warehouse_Ledger'!$A101)</f>
        <v/>
      </c>
    </row>
    <row r="102">
      <c r="I102">
        <f>IF(OR($A102="",$B102=""),"",IF(COUNTIFS($A$2:$A102,$A102,$B$2:$B102,$B102)=1,1,0))</f>
        <v/>
      </c>
      <c r="J102">
        <f>IF($A102="","",ROW())</f>
        <v/>
      </c>
      <c r="L102">
        <f>IF('01_Warehouse_Ledger'!$A102="","",'01_Warehouse_Ledger'!$A102)</f>
        <v/>
      </c>
    </row>
    <row r="103">
      <c r="I103">
        <f>IF(OR($A103="",$B103=""),"",IF(COUNTIFS($A$2:$A103,$A103,$B$2:$B103,$B103)=1,1,0))</f>
        <v/>
      </c>
      <c r="J103">
        <f>IF($A103="","",ROW())</f>
        <v/>
      </c>
      <c r="L103">
        <f>IF('01_Warehouse_Ledger'!$A103="","",'01_Warehouse_Ledger'!$A103)</f>
        <v/>
      </c>
    </row>
    <row r="104">
      <c r="I104">
        <f>IF(OR($A104="",$B104=""),"",IF(COUNTIFS($A$2:$A104,$A104,$B$2:$B104,$B104)=1,1,0))</f>
        <v/>
      </c>
      <c r="J104">
        <f>IF($A104="","",ROW())</f>
        <v/>
      </c>
      <c r="L104">
        <f>IF('01_Warehouse_Ledger'!$A104="","",'01_Warehouse_Ledger'!$A104)</f>
        <v/>
      </c>
    </row>
    <row r="105">
      <c r="I105">
        <f>IF(OR($A105="",$B105=""),"",IF(COUNTIFS($A$2:$A105,$A105,$B$2:$B105,$B105)=1,1,0))</f>
        <v/>
      </c>
      <c r="J105">
        <f>IF($A105="","",ROW())</f>
        <v/>
      </c>
      <c r="L105">
        <f>IF('01_Warehouse_Ledger'!$A105="","",'01_Warehouse_Ledger'!$A105)</f>
        <v/>
      </c>
    </row>
    <row r="106">
      <c r="I106">
        <f>IF(OR($A106="",$B106=""),"",IF(COUNTIFS($A$2:$A106,$A106,$B$2:$B106,$B106)=1,1,0))</f>
        <v/>
      </c>
      <c r="J106">
        <f>IF($A106="","",ROW())</f>
        <v/>
      </c>
      <c r="L106">
        <f>IF('01_Warehouse_Ledger'!$A106="","",'01_Warehouse_Ledger'!$A106)</f>
        <v/>
      </c>
    </row>
    <row r="107">
      <c r="I107">
        <f>IF(OR($A107="",$B107=""),"",IF(COUNTIFS($A$2:$A107,$A107,$B$2:$B107,$B107)=1,1,0))</f>
        <v/>
      </c>
      <c r="J107">
        <f>IF($A107="","",ROW())</f>
        <v/>
      </c>
      <c r="L107">
        <f>IF('01_Warehouse_Ledger'!$A107="","",'01_Warehouse_Ledger'!$A107)</f>
        <v/>
      </c>
    </row>
    <row r="108">
      <c r="I108">
        <f>IF(OR($A108="",$B108=""),"",IF(COUNTIFS($A$2:$A108,$A108,$B$2:$B108,$B108)=1,1,0))</f>
        <v/>
      </c>
      <c r="J108">
        <f>IF($A108="","",ROW())</f>
        <v/>
      </c>
      <c r="L108">
        <f>IF('01_Warehouse_Ledger'!$A108="","",'01_Warehouse_Ledger'!$A108)</f>
        <v/>
      </c>
    </row>
    <row r="109">
      <c r="I109">
        <f>IF(OR($A109="",$B109=""),"",IF(COUNTIFS($A$2:$A109,$A109,$B$2:$B109,$B109)=1,1,0))</f>
        <v/>
      </c>
      <c r="J109">
        <f>IF($A109="","",ROW())</f>
        <v/>
      </c>
      <c r="L109">
        <f>IF('01_Warehouse_Ledger'!$A109="","",'01_Warehouse_Ledger'!$A109)</f>
        <v/>
      </c>
    </row>
    <row r="110">
      <c r="I110">
        <f>IF(OR($A110="",$B110=""),"",IF(COUNTIFS($A$2:$A110,$A110,$B$2:$B110,$B110)=1,1,0))</f>
        <v/>
      </c>
      <c r="J110">
        <f>IF($A110="","",ROW())</f>
        <v/>
      </c>
      <c r="L110">
        <f>IF('01_Warehouse_Ledger'!$A110="","",'01_Warehouse_Ledger'!$A110)</f>
        <v/>
      </c>
    </row>
    <row r="111">
      <c r="I111">
        <f>IF(OR($A111="",$B111=""),"",IF(COUNTIFS($A$2:$A111,$A111,$B$2:$B111,$B111)=1,1,0))</f>
        <v/>
      </c>
      <c r="J111">
        <f>IF($A111="","",ROW())</f>
        <v/>
      </c>
      <c r="L111">
        <f>IF('01_Warehouse_Ledger'!$A111="","",'01_Warehouse_Ledger'!$A111)</f>
        <v/>
      </c>
    </row>
    <row r="112">
      <c r="I112">
        <f>IF(OR($A112="",$B112=""),"",IF(COUNTIFS($A$2:$A112,$A112,$B$2:$B112,$B112)=1,1,0))</f>
        <v/>
      </c>
      <c r="J112">
        <f>IF($A112="","",ROW())</f>
        <v/>
      </c>
      <c r="L112">
        <f>IF('01_Warehouse_Ledger'!$A112="","",'01_Warehouse_Ledger'!$A112)</f>
        <v/>
      </c>
    </row>
    <row r="113">
      <c r="I113">
        <f>IF(OR($A113="",$B113=""),"",IF(COUNTIFS($A$2:$A113,$A113,$B$2:$B113,$B113)=1,1,0))</f>
        <v/>
      </c>
      <c r="J113">
        <f>IF($A113="","",ROW())</f>
        <v/>
      </c>
      <c r="L113">
        <f>IF('01_Warehouse_Ledger'!$A113="","",'01_Warehouse_Ledger'!$A113)</f>
        <v/>
      </c>
    </row>
    <row r="114">
      <c r="I114">
        <f>IF(OR($A114="",$B114=""),"",IF(COUNTIFS($A$2:$A114,$A114,$B$2:$B114,$B114)=1,1,0))</f>
        <v/>
      </c>
      <c r="J114">
        <f>IF($A114="","",ROW())</f>
        <v/>
      </c>
      <c r="L114">
        <f>IF('01_Warehouse_Ledger'!$A114="","",'01_Warehouse_Ledger'!$A114)</f>
        <v/>
      </c>
    </row>
    <row r="115">
      <c r="I115">
        <f>IF(OR($A115="",$B115=""),"",IF(COUNTIFS($A$2:$A115,$A115,$B$2:$B115,$B115)=1,1,0))</f>
        <v/>
      </c>
      <c r="J115">
        <f>IF($A115="","",ROW())</f>
        <v/>
      </c>
      <c r="L115">
        <f>IF('01_Warehouse_Ledger'!$A115="","",'01_Warehouse_Ledger'!$A115)</f>
        <v/>
      </c>
    </row>
    <row r="116">
      <c r="I116">
        <f>IF(OR($A116="",$B116=""),"",IF(COUNTIFS($A$2:$A116,$A116,$B$2:$B116,$B116)=1,1,0))</f>
        <v/>
      </c>
      <c r="J116">
        <f>IF($A116="","",ROW())</f>
        <v/>
      </c>
      <c r="L116">
        <f>IF('01_Warehouse_Ledger'!$A116="","",'01_Warehouse_Ledger'!$A116)</f>
        <v/>
      </c>
    </row>
    <row r="117">
      <c r="I117">
        <f>IF(OR($A117="",$B117=""),"",IF(COUNTIFS($A$2:$A117,$A117,$B$2:$B117,$B117)=1,1,0))</f>
        <v/>
      </c>
      <c r="J117">
        <f>IF($A117="","",ROW())</f>
        <v/>
      </c>
      <c r="L117">
        <f>IF('01_Warehouse_Ledger'!$A117="","",'01_Warehouse_Ledger'!$A117)</f>
        <v/>
      </c>
    </row>
    <row r="118">
      <c r="I118">
        <f>IF(OR($A118="",$B118=""),"",IF(COUNTIFS($A$2:$A118,$A118,$B$2:$B118,$B118)=1,1,0))</f>
        <v/>
      </c>
      <c r="J118">
        <f>IF($A118="","",ROW())</f>
        <v/>
      </c>
      <c r="L118">
        <f>IF('01_Warehouse_Ledger'!$A118="","",'01_Warehouse_Ledger'!$A118)</f>
        <v/>
      </c>
    </row>
    <row r="119">
      <c r="I119">
        <f>IF(OR($A119="",$B119=""),"",IF(COUNTIFS($A$2:$A119,$A119,$B$2:$B119,$B119)=1,1,0))</f>
        <v/>
      </c>
      <c r="J119">
        <f>IF($A119="","",ROW())</f>
        <v/>
      </c>
      <c r="L119">
        <f>IF('01_Warehouse_Ledger'!$A119="","",'01_Warehouse_Ledger'!$A119)</f>
        <v/>
      </c>
    </row>
    <row r="120">
      <c r="I120">
        <f>IF(OR($A120="",$B120=""),"",IF(COUNTIFS($A$2:$A120,$A120,$B$2:$B120,$B120)=1,1,0))</f>
        <v/>
      </c>
      <c r="J120">
        <f>IF($A120="","",ROW())</f>
        <v/>
      </c>
      <c r="L120">
        <f>IF('01_Warehouse_Ledger'!$A120="","",'01_Warehouse_Ledger'!$A120)</f>
        <v/>
      </c>
    </row>
    <row r="121">
      <c r="I121">
        <f>IF(OR($A121="",$B121=""),"",IF(COUNTIFS($A$2:$A121,$A121,$B$2:$B121,$B121)=1,1,0))</f>
        <v/>
      </c>
      <c r="J121">
        <f>IF($A121="","",ROW())</f>
        <v/>
      </c>
      <c r="L121">
        <f>IF('01_Warehouse_Ledger'!$A121="","",'01_Warehouse_Ledger'!$A121)</f>
        <v/>
      </c>
    </row>
    <row r="122">
      <c r="I122">
        <f>IF(OR($A122="",$B122=""),"",IF(COUNTIFS($A$2:$A122,$A122,$B$2:$B122,$B122)=1,1,0))</f>
        <v/>
      </c>
      <c r="J122">
        <f>IF($A122="","",ROW())</f>
        <v/>
      </c>
      <c r="L122">
        <f>IF('01_Warehouse_Ledger'!$A122="","",'01_Warehouse_Ledger'!$A122)</f>
        <v/>
      </c>
    </row>
    <row r="123">
      <c r="I123">
        <f>IF(OR($A123="",$B123=""),"",IF(COUNTIFS($A$2:$A123,$A123,$B$2:$B123,$B123)=1,1,0))</f>
        <v/>
      </c>
      <c r="J123">
        <f>IF($A123="","",ROW())</f>
        <v/>
      </c>
      <c r="L123">
        <f>IF('01_Warehouse_Ledger'!$A123="","",'01_Warehouse_Ledger'!$A123)</f>
        <v/>
      </c>
    </row>
    <row r="124">
      <c r="I124">
        <f>IF(OR($A124="",$B124=""),"",IF(COUNTIFS($A$2:$A124,$A124,$B$2:$B124,$B124)=1,1,0))</f>
        <v/>
      </c>
      <c r="J124">
        <f>IF($A124="","",ROW())</f>
        <v/>
      </c>
      <c r="L124">
        <f>IF('01_Warehouse_Ledger'!$A124="","",'01_Warehouse_Ledger'!$A124)</f>
        <v/>
      </c>
    </row>
    <row r="125">
      <c r="I125">
        <f>IF(OR($A125="",$B125=""),"",IF(COUNTIFS($A$2:$A125,$A125,$B$2:$B125,$B125)=1,1,0))</f>
        <v/>
      </c>
      <c r="J125">
        <f>IF($A125="","",ROW())</f>
        <v/>
      </c>
      <c r="L125">
        <f>IF('01_Warehouse_Ledger'!$A125="","",'01_Warehouse_Ledger'!$A125)</f>
        <v/>
      </c>
    </row>
    <row r="126">
      <c r="I126">
        <f>IF(OR($A126="",$B126=""),"",IF(COUNTIFS($A$2:$A126,$A126,$B$2:$B126,$B126)=1,1,0))</f>
        <v/>
      </c>
      <c r="J126">
        <f>IF($A126="","",ROW())</f>
        <v/>
      </c>
      <c r="L126">
        <f>IF('01_Warehouse_Ledger'!$A126="","",'01_Warehouse_Ledger'!$A126)</f>
        <v/>
      </c>
    </row>
    <row r="127">
      <c r="I127">
        <f>IF(OR($A127="",$B127=""),"",IF(COUNTIFS($A$2:$A127,$A127,$B$2:$B127,$B127)=1,1,0))</f>
        <v/>
      </c>
      <c r="J127">
        <f>IF($A127="","",ROW())</f>
        <v/>
      </c>
      <c r="L127">
        <f>IF('01_Warehouse_Ledger'!$A127="","",'01_Warehouse_Ledger'!$A127)</f>
        <v/>
      </c>
    </row>
    <row r="128">
      <c r="I128">
        <f>IF(OR($A128="",$B128=""),"",IF(COUNTIFS($A$2:$A128,$A128,$B$2:$B128,$B128)=1,1,0))</f>
        <v/>
      </c>
      <c r="J128">
        <f>IF($A128="","",ROW())</f>
        <v/>
      </c>
      <c r="L128">
        <f>IF('01_Warehouse_Ledger'!$A128="","",'01_Warehouse_Ledger'!$A128)</f>
        <v/>
      </c>
    </row>
    <row r="129">
      <c r="I129">
        <f>IF(OR($A129="",$B129=""),"",IF(COUNTIFS($A$2:$A129,$A129,$B$2:$B129,$B129)=1,1,0))</f>
        <v/>
      </c>
      <c r="J129">
        <f>IF($A129="","",ROW())</f>
        <v/>
      </c>
      <c r="L129">
        <f>IF('01_Warehouse_Ledger'!$A129="","",'01_Warehouse_Ledger'!$A129)</f>
        <v/>
      </c>
    </row>
    <row r="130">
      <c r="I130">
        <f>IF(OR($A130="",$B130=""),"",IF(COUNTIFS($A$2:$A130,$A130,$B$2:$B130,$B130)=1,1,0))</f>
        <v/>
      </c>
      <c r="J130">
        <f>IF($A130="","",ROW())</f>
        <v/>
      </c>
      <c r="L130">
        <f>IF('01_Warehouse_Ledger'!$A130="","",'01_Warehouse_Ledger'!$A130)</f>
        <v/>
      </c>
    </row>
    <row r="131">
      <c r="I131">
        <f>IF(OR($A131="",$B131=""),"",IF(COUNTIFS($A$2:$A131,$A131,$B$2:$B131,$B131)=1,1,0))</f>
        <v/>
      </c>
      <c r="J131">
        <f>IF($A131="","",ROW())</f>
        <v/>
      </c>
      <c r="L131">
        <f>IF('01_Warehouse_Ledger'!$A131="","",'01_Warehouse_Ledger'!$A131)</f>
        <v/>
      </c>
    </row>
    <row r="132">
      <c r="I132">
        <f>IF(OR($A132="",$B132=""),"",IF(COUNTIFS($A$2:$A132,$A132,$B$2:$B132,$B132)=1,1,0))</f>
        <v/>
      </c>
      <c r="J132">
        <f>IF($A132="","",ROW())</f>
        <v/>
      </c>
      <c r="L132">
        <f>IF('01_Warehouse_Ledger'!$A132="","",'01_Warehouse_Ledger'!$A132)</f>
        <v/>
      </c>
    </row>
    <row r="133">
      <c r="I133">
        <f>IF(OR($A133="",$B133=""),"",IF(COUNTIFS($A$2:$A133,$A133,$B$2:$B133,$B133)=1,1,0))</f>
        <v/>
      </c>
      <c r="J133">
        <f>IF($A133="","",ROW())</f>
        <v/>
      </c>
      <c r="L133">
        <f>IF('01_Warehouse_Ledger'!$A133="","",'01_Warehouse_Ledger'!$A133)</f>
        <v/>
      </c>
    </row>
    <row r="134">
      <c r="I134">
        <f>IF(OR($A134="",$B134=""),"",IF(COUNTIFS($A$2:$A134,$A134,$B$2:$B134,$B134)=1,1,0))</f>
        <v/>
      </c>
      <c r="J134">
        <f>IF($A134="","",ROW())</f>
        <v/>
      </c>
      <c r="L134">
        <f>IF('01_Warehouse_Ledger'!$A134="","",'01_Warehouse_Ledger'!$A134)</f>
        <v/>
      </c>
    </row>
    <row r="135">
      <c r="I135">
        <f>IF(OR($A135="",$B135=""),"",IF(COUNTIFS($A$2:$A135,$A135,$B$2:$B135,$B135)=1,1,0))</f>
        <v/>
      </c>
      <c r="J135">
        <f>IF($A135="","",ROW())</f>
        <v/>
      </c>
      <c r="L135">
        <f>IF('01_Warehouse_Ledger'!$A135="","",'01_Warehouse_Ledger'!$A135)</f>
        <v/>
      </c>
    </row>
    <row r="136">
      <c r="I136">
        <f>IF(OR($A136="",$B136=""),"",IF(COUNTIFS($A$2:$A136,$A136,$B$2:$B136,$B136)=1,1,0))</f>
        <v/>
      </c>
      <c r="J136">
        <f>IF($A136="","",ROW())</f>
        <v/>
      </c>
      <c r="L136">
        <f>IF('01_Warehouse_Ledger'!$A136="","",'01_Warehouse_Ledger'!$A136)</f>
        <v/>
      </c>
    </row>
    <row r="137">
      <c r="I137">
        <f>IF(OR($A137="",$B137=""),"",IF(COUNTIFS($A$2:$A137,$A137,$B$2:$B137,$B137)=1,1,0))</f>
        <v/>
      </c>
      <c r="J137">
        <f>IF($A137="","",ROW())</f>
        <v/>
      </c>
      <c r="L137">
        <f>IF('01_Warehouse_Ledger'!$A137="","",'01_Warehouse_Ledger'!$A137)</f>
        <v/>
      </c>
    </row>
    <row r="138">
      <c r="I138">
        <f>IF(OR($A138="",$B138=""),"",IF(COUNTIFS($A$2:$A138,$A138,$B$2:$B138,$B138)=1,1,0))</f>
        <v/>
      </c>
      <c r="J138">
        <f>IF($A138="","",ROW())</f>
        <v/>
      </c>
      <c r="L138">
        <f>IF('01_Warehouse_Ledger'!$A138="","",'01_Warehouse_Ledger'!$A138)</f>
        <v/>
      </c>
    </row>
    <row r="139">
      <c r="I139">
        <f>IF(OR($A139="",$B139=""),"",IF(COUNTIFS($A$2:$A139,$A139,$B$2:$B139,$B139)=1,1,0))</f>
        <v/>
      </c>
      <c r="J139">
        <f>IF($A139="","",ROW())</f>
        <v/>
      </c>
      <c r="L139">
        <f>IF('01_Warehouse_Ledger'!$A139="","",'01_Warehouse_Ledger'!$A139)</f>
        <v/>
      </c>
    </row>
    <row r="140">
      <c r="I140">
        <f>IF(OR($A140="",$B140=""),"",IF(COUNTIFS($A$2:$A140,$A140,$B$2:$B140,$B140)=1,1,0))</f>
        <v/>
      </c>
      <c r="J140">
        <f>IF($A140="","",ROW())</f>
        <v/>
      </c>
      <c r="L140">
        <f>IF('01_Warehouse_Ledger'!$A140="","",'01_Warehouse_Ledger'!$A140)</f>
        <v/>
      </c>
    </row>
    <row r="141">
      <c r="I141">
        <f>IF(OR($A141="",$B141=""),"",IF(COUNTIFS($A$2:$A141,$A141,$B$2:$B141,$B141)=1,1,0))</f>
        <v/>
      </c>
      <c r="J141">
        <f>IF($A141="","",ROW())</f>
        <v/>
      </c>
      <c r="L141">
        <f>IF('01_Warehouse_Ledger'!$A141="","",'01_Warehouse_Ledger'!$A141)</f>
        <v/>
      </c>
    </row>
    <row r="142">
      <c r="I142">
        <f>IF(OR($A142="",$B142=""),"",IF(COUNTIFS($A$2:$A142,$A142,$B$2:$B142,$B142)=1,1,0))</f>
        <v/>
      </c>
      <c r="J142">
        <f>IF($A142="","",ROW())</f>
        <v/>
      </c>
      <c r="L142">
        <f>IF('01_Warehouse_Ledger'!$A142="","",'01_Warehouse_Ledger'!$A142)</f>
        <v/>
      </c>
    </row>
    <row r="143">
      <c r="I143">
        <f>IF(OR($A143="",$B143=""),"",IF(COUNTIFS($A$2:$A143,$A143,$B$2:$B143,$B143)=1,1,0))</f>
        <v/>
      </c>
      <c r="J143">
        <f>IF($A143="","",ROW())</f>
        <v/>
      </c>
      <c r="L143">
        <f>IF('01_Warehouse_Ledger'!$A143="","",'01_Warehouse_Ledger'!$A143)</f>
        <v/>
      </c>
    </row>
    <row r="144">
      <c r="I144">
        <f>IF(OR($A144="",$B144=""),"",IF(COUNTIFS($A$2:$A144,$A144,$B$2:$B144,$B144)=1,1,0))</f>
        <v/>
      </c>
      <c r="J144">
        <f>IF($A144="","",ROW())</f>
        <v/>
      </c>
      <c r="L144">
        <f>IF('01_Warehouse_Ledger'!$A144="","",'01_Warehouse_Ledger'!$A144)</f>
        <v/>
      </c>
    </row>
    <row r="145">
      <c r="I145">
        <f>IF(OR($A145="",$B145=""),"",IF(COUNTIFS($A$2:$A145,$A145,$B$2:$B145,$B145)=1,1,0))</f>
        <v/>
      </c>
      <c r="J145">
        <f>IF($A145="","",ROW())</f>
        <v/>
      </c>
      <c r="L145">
        <f>IF('01_Warehouse_Ledger'!$A145="","",'01_Warehouse_Ledger'!$A145)</f>
        <v/>
      </c>
    </row>
    <row r="146">
      <c r="I146">
        <f>IF(OR($A146="",$B146=""),"",IF(COUNTIFS($A$2:$A146,$A146,$B$2:$B146,$B146)=1,1,0))</f>
        <v/>
      </c>
      <c r="J146">
        <f>IF($A146="","",ROW())</f>
        <v/>
      </c>
      <c r="L146">
        <f>IF('01_Warehouse_Ledger'!$A146="","",'01_Warehouse_Ledger'!$A146)</f>
        <v/>
      </c>
    </row>
    <row r="147">
      <c r="I147">
        <f>IF(OR($A147="",$B147=""),"",IF(COUNTIFS($A$2:$A147,$A147,$B$2:$B147,$B147)=1,1,0))</f>
        <v/>
      </c>
      <c r="J147">
        <f>IF($A147="","",ROW())</f>
        <v/>
      </c>
      <c r="L147">
        <f>IF('01_Warehouse_Ledger'!$A147="","",'01_Warehouse_Ledger'!$A147)</f>
        <v/>
      </c>
    </row>
    <row r="148">
      <c r="I148">
        <f>IF(OR($A148="",$B148=""),"",IF(COUNTIFS($A$2:$A148,$A148,$B$2:$B148,$B148)=1,1,0))</f>
        <v/>
      </c>
      <c r="J148">
        <f>IF($A148="","",ROW())</f>
        <v/>
      </c>
      <c r="L148">
        <f>IF('01_Warehouse_Ledger'!$A148="","",'01_Warehouse_Ledger'!$A148)</f>
        <v/>
      </c>
    </row>
    <row r="149">
      <c r="I149">
        <f>IF(OR($A149="",$B149=""),"",IF(COUNTIFS($A$2:$A149,$A149,$B$2:$B149,$B149)=1,1,0))</f>
        <v/>
      </c>
      <c r="J149">
        <f>IF($A149="","",ROW())</f>
        <v/>
      </c>
      <c r="L149">
        <f>IF('01_Warehouse_Ledger'!$A149="","",'01_Warehouse_Ledger'!$A149)</f>
        <v/>
      </c>
    </row>
    <row r="150">
      <c r="I150">
        <f>IF(OR($A150="",$B150=""),"",IF(COUNTIFS($A$2:$A150,$A150,$B$2:$B150,$B150)=1,1,0))</f>
        <v/>
      </c>
      <c r="J150">
        <f>IF($A150="","",ROW())</f>
        <v/>
      </c>
      <c r="L150">
        <f>IF('01_Warehouse_Ledger'!$A150="","",'01_Warehouse_Ledger'!$A150)</f>
        <v/>
      </c>
    </row>
    <row r="151">
      <c r="I151">
        <f>IF(OR($A151="",$B151=""),"",IF(COUNTIFS($A$2:$A151,$A151,$B$2:$B151,$B151)=1,1,0))</f>
        <v/>
      </c>
      <c r="J151">
        <f>IF($A151="","",ROW())</f>
        <v/>
      </c>
      <c r="L151">
        <f>IF('01_Warehouse_Ledger'!$A151="","",'01_Warehouse_Ledger'!$A151)</f>
        <v/>
      </c>
    </row>
    <row r="152">
      <c r="I152">
        <f>IF(OR($A152="",$B152=""),"",IF(COUNTIFS($A$2:$A152,$A152,$B$2:$B152,$B152)=1,1,0))</f>
        <v/>
      </c>
      <c r="J152">
        <f>IF($A152="","",ROW())</f>
        <v/>
      </c>
      <c r="L152">
        <f>IF('01_Warehouse_Ledger'!$A152="","",'01_Warehouse_Ledger'!$A152)</f>
        <v/>
      </c>
    </row>
    <row r="153">
      <c r="I153">
        <f>IF(OR($A153="",$B153=""),"",IF(COUNTIFS($A$2:$A153,$A153,$B$2:$B153,$B153)=1,1,0))</f>
        <v/>
      </c>
      <c r="J153">
        <f>IF($A153="","",ROW())</f>
        <v/>
      </c>
      <c r="L153">
        <f>IF('01_Warehouse_Ledger'!$A153="","",'01_Warehouse_Ledger'!$A153)</f>
        <v/>
      </c>
    </row>
    <row r="154">
      <c r="I154">
        <f>IF(OR($A154="",$B154=""),"",IF(COUNTIFS($A$2:$A154,$A154,$B$2:$B154,$B154)=1,1,0))</f>
        <v/>
      </c>
      <c r="J154">
        <f>IF($A154="","",ROW())</f>
        <v/>
      </c>
      <c r="L154">
        <f>IF('01_Warehouse_Ledger'!$A154="","",'01_Warehouse_Ledger'!$A154)</f>
        <v/>
      </c>
    </row>
    <row r="155">
      <c r="I155">
        <f>IF(OR($A155="",$B155=""),"",IF(COUNTIFS($A$2:$A155,$A155,$B$2:$B155,$B155)=1,1,0))</f>
        <v/>
      </c>
      <c r="J155">
        <f>IF($A155="","",ROW())</f>
        <v/>
      </c>
      <c r="L155">
        <f>IF('01_Warehouse_Ledger'!$A155="","",'01_Warehouse_Ledger'!$A155)</f>
        <v/>
      </c>
    </row>
    <row r="156">
      <c r="I156">
        <f>IF(OR($A156="",$B156=""),"",IF(COUNTIFS($A$2:$A156,$A156,$B$2:$B156,$B156)=1,1,0))</f>
        <v/>
      </c>
      <c r="J156">
        <f>IF($A156="","",ROW())</f>
        <v/>
      </c>
      <c r="L156">
        <f>IF('01_Warehouse_Ledger'!$A156="","",'01_Warehouse_Ledger'!$A156)</f>
        <v/>
      </c>
    </row>
    <row r="157">
      <c r="I157">
        <f>IF(OR($A157="",$B157=""),"",IF(COUNTIFS($A$2:$A157,$A157,$B$2:$B157,$B157)=1,1,0))</f>
        <v/>
      </c>
      <c r="J157">
        <f>IF($A157="","",ROW())</f>
        <v/>
      </c>
      <c r="L157">
        <f>IF('01_Warehouse_Ledger'!$A157="","",'01_Warehouse_Ledger'!$A157)</f>
        <v/>
      </c>
    </row>
    <row r="158">
      <c r="I158">
        <f>IF(OR($A158="",$B158=""),"",IF(COUNTIFS($A$2:$A158,$A158,$B$2:$B158,$B158)=1,1,0))</f>
        <v/>
      </c>
      <c r="J158">
        <f>IF($A158="","",ROW())</f>
        <v/>
      </c>
      <c r="L158">
        <f>IF('01_Warehouse_Ledger'!$A158="","",'01_Warehouse_Ledger'!$A158)</f>
        <v/>
      </c>
    </row>
    <row r="159">
      <c r="I159">
        <f>IF(OR($A159="",$B159=""),"",IF(COUNTIFS($A$2:$A159,$A159,$B$2:$B159,$B159)=1,1,0))</f>
        <v/>
      </c>
      <c r="J159">
        <f>IF($A159="","",ROW())</f>
        <v/>
      </c>
      <c r="L159">
        <f>IF('01_Warehouse_Ledger'!$A159="","",'01_Warehouse_Ledger'!$A159)</f>
        <v/>
      </c>
    </row>
    <row r="160">
      <c r="I160">
        <f>IF(OR($A160="",$B160=""),"",IF(COUNTIFS($A$2:$A160,$A160,$B$2:$B160,$B160)=1,1,0))</f>
        <v/>
      </c>
      <c r="J160">
        <f>IF($A160="","",ROW())</f>
        <v/>
      </c>
      <c r="L160">
        <f>IF('01_Warehouse_Ledger'!$A160="","",'01_Warehouse_Ledger'!$A160)</f>
        <v/>
      </c>
    </row>
    <row r="161">
      <c r="I161">
        <f>IF(OR($A161="",$B161=""),"",IF(COUNTIFS($A$2:$A161,$A161,$B$2:$B161,$B161)=1,1,0))</f>
        <v/>
      </c>
      <c r="J161">
        <f>IF($A161="","",ROW())</f>
        <v/>
      </c>
      <c r="L161">
        <f>IF('01_Warehouse_Ledger'!$A161="","",'01_Warehouse_Ledger'!$A161)</f>
        <v/>
      </c>
    </row>
    <row r="162">
      <c r="I162">
        <f>IF(OR($A162="",$B162=""),"",IF(COUNTIFS($A$2:$A162,$A162,$B$2:$B162,$B162)=1,1,0))</f>
        <v/>
      </c>
      <c r="J162">
        <f>IF($A162="","",ROW())</f>
        <v/>
      </c>
      <c r="L162">
        <f>IF('01_Warehouse_Ledger'!$A162="","",'01_Warehouse_Ledger'!$A162)</f>
        <v/>
      </c>
    </row>
    <row r="163">
      <c r="I163">
        <f>IF(OR($A163="",$B163=""),"",IF(COUNTIFS($A$2:$A163,$A163,$B$2:$B163,$B163)=1,1,0))</f>
        <v/>
      </c>
      <c r="J163">
        <f>IF($A163="","",ROW())</f>
        <v/>
      </c>
      <c r="L163">
        <f>IF('01_Warehouse_Ledger'!$A163="","",'01_Warehouse_Ledger'!$A163)</f>
        <v/>
      </c>
    </row>
    <row r="164">
      <c r="I164">
        <f>IF(OR($A164="",$B164=""),"",IF(COUNTIFS($A$2:$A164,$A164,$B$2:$B164,$B164)=1,1,0))</f>
        <v/>
      </c>
      <c r="J164">
        <f>IF($A164="","",ROW())</f>
        <v/>
      </c>
      <c r="L164">
        <f>IF('01_Warehouse_Ledger'!$A164="","",'01_Warehouse_Ledger'!$A164)</f>
        <v/>
      </c>
    </row>
    <row r="165">
      <c r="I165">
        <f>IF(OR($A165="",$B165=""),"",IF(COUNTIFS($A$2:$A165,$A165,$B$2:$B165,$B165)=1,1,0))</f>
        <v/>
      </c>
      <c r="J165">
        <f>IF($A165="","",ROW())</f>
        <v/>
      </c>
      <c r="L165">
        <f>IF('01_Warehouse_Ledger'!$A165="","",'01_Warehouse_Ledger'!$A165)</f>
        <v/>
      </c>
    </row>
    <row r="166">
      <c r="I166">
        <f>IF(OR($A166="",$B166=""),"",IF(COUNTIFS($A$2:$A166,$A166,$B$2:$B166,$B166)=1,1,0))</f>
        <v/>
      </c>
      <c r="J166">
        <f>IF($A166="","",ROW())</f>
        <v/>
      </c>
      <c r="L166">
        <f>IF('01_Warehouse_Ledger'!$A166="","",'01_Warehouse_Ledger'!$A166)</f>
        <v/>
      </c>
    </row>
    <row r="167">
      <c r="I167">
        <f>IF(OR($A167="",$B167=""),"",IF(COUNTIFS($A$2:$A167,$A167,$B$2:$B167,$B167)=1,1,0))</f>
        <v/>
      </c>
      <c r="J167">
        <f>IF($A167="","",ROW())</f>
        <v/>
      </c>
      <c r="L167">
        <f>IF('01_Warehouse_Ledger'!$A167="","",'01_Warehouse_Ledger'!$A167)</f>
        <v/>
      </c>
    </row>
    <row r="168">
      <c r="I168">
        <f>IF(OR($A168="",$B168=""),"",IF(COUNTIFS($A$2:$A168,$A168,$B$2:$B168,$B168)=1,1,0))</f>
        <v/>
      </c>
      <c r="J168">
        <f>IF($A168="","",ROW())</f>
        <v/>
      </c>
      <c r="L168">
        <f>IF('01_Warehouse_Ledger'!$A168="","",'01_Warehouse_Ledger'!$A168)</f>
        <v/>
      </c>
    </row>
    <row r="169">
      <c r="I169">
        <f>IF(OR($A169="",$B169=""),"",IF(COUNTIFS($A$2:$A169,$A169,$B$2:$B169,$B169)=1,1,0))</f>
        <v/>
      </c>
      <c r="J169">
        <f>IF($A169="","",ROW())</f>
        <v/>
      </c>
      <c r="L169">
        <f>IF('01_Warehouse_Ledger'!$A169="","",'01_Warehouse_Ledger'!$A169)</f>
        <v/>
      </c>
    </row>
    <row r="170">
      <c r="I170">
        <f>IF(OR($A170="",$B170=""),"",IF(COUNTIFS($A$2:$A170,$A170,$B$2:$B170,$B170)=1,1,0))</f>
        <v/>
      </c>
      <c r="J170">
        <f>IF($A170="","",ROW())</f>
        <v/>
      </c>
      <c r="L170">
        <f>IF('01_Warehouse_Ledger'!$A170="","",'01_Warehouse_Ledger'!$A170)</f>
        <v/>
      </c>
    </row>
    <row r="171">
      <c r="I171">
        <f>IF(OR($A171="",$B171=""),"",IF(COUNTIFS($A$2:$A171,$A171,$B$2:$B171,$B171)=1,1,0))</f>
        <v/>
      </c>
      <c r="J171">
        <f>IF($A171="","",ROW())</f>
        <v/>
      </c>
      <c r="L171">
        <f>IF('01_Warehouse_Ledger'!$A171="","",'01_Warehouse_Ledger'!$A171)</f>
        <v/>
      </c>
    </row>
    <row r="172">
      <c r="I172">
        <f>IF(OR($A172="",$B172=""),"",IF(COUNTIFS($A$2:$A172,$A172,$B$2:$B172,$B172)=1,1,0))</f>
        <v/>
      </c>
      <c r="J172">
        <f>IF($A172="","",ROW())</f>
        <v/>
      </c>
      <c r="L172">
        <f>IF('01_Warehouse_Ledger'!$A172="","",'01_Warehouse_Ledger'!$A172)</f>
        <v/>
      </c>
    </row>
    <row r="173">
      <c r="I173">
        <f>IF(OR($A173="",$B173=""),"",IF(COUNTIFS($A$2:$A173,$A173,$B$2:$B173,$B173)=1,1,0))</f>
        <v/>
      </c>
      <c r="J173">
        <f>IF($A173="","",ROW())</f>
        <v/>
      </c>
      <c r="L173">
        <f>IF('01_Warehouse_Ledger'!$A173="","",'01_Warehouse_Ledger'!$A173)</f>
        <v/>
      </c>
    </row>
    <row r="174">
      <c r="I174">
        <f>IF(OR($A174="",$B174=""),"",IF(COUNTIFS($A$2:$A174,$A174,$B$2:$B174,$B174)=1,1,0))</f>
        <v/>
      </c>
      <c r="J174">
        <f>IF($A174="","",ROW())</f>
        <v/>
      </c>
      <c r="L174">
        <f>IF('01_Warehouse_Ledger'!$A174="","",'01_Warehouse_Ledger'!$A174)</f>
        <v/>
      </c>
    </row>
    <row r="175">
      <c r="I175">
        <f>IF(OR($A175="",$B175=""),"",IF(COUNTIFS($A$2:$A175,$A175,$B$2:$B175,$B175)=1,1,0))</f>
        <v/>
      </c>
      <c r="J175">
        <f>IF($A175="","",ROW())</f>
        <v/>
      </c>
      <c r="L175">
        <f>IF('01_Warehouse_Ledger'!$A175="","",'01_Warehouse_Ledger'!$A175)</f>
        <v/>
      </c>
    </row>
    <row r="176">
      <c r="I176">
        <f>IF(OR($A176="",$B176=""),"",IF(COUNTIFS($A$2:$A176,$A176,$B$2:$B176,$B176)=1,1,0))</f>
        <v/>
      </c>
      <c r="J176">
        <f>IF($A176="","",ROW())</f>
        <v/>
      </c>
      <c r="L176">
        <f>IF('01_Warehouse_Ledger'!$A176="","",'01_Warehouse_Ledger'!$A176)</f>
        <v/>
      </c>
    </row>
    <row r="177">
      <c r="I177">
        <f>IF(OR($A177="",$B177=""),"",IF(COUNTIFS($A$2:$A177,$A177,$B$2:$B177,$B177)=1,1,0))</f>
        <v/>
      </c>
      <c r="J177">
        <f>IF($A177="","",ROW())</f>
        <v/>
      </c>
      <c r="L177">
        <f>IF('01_Warehouse_Ledger'!$A177="","",'01_Warehouse_Ledger'!$A177)</f>
        <v/>
      </c>
    </row>
    <row r="178">
      <c r="I178">
        <f>IF(OR($A178="",$B178=""),"",IF(COUNTIFS($A$2:$A178,$A178,$B$2:$B178,$B178)=1,1,0))</f>
        <v/>
      </c>
      <c r="J178">
        <f>IF($A178="","",ROW())</f>
        <v/>
      </c>
      <c r="L178">
        <f>IF('01_Warehouse_Ledger'!$A178="","",'01_Warehouse_Ledger'!$A178)</f>
        <v/>
      </c>
    </row>
    <row r="179">
      <c r="I179">
        <f>IF(OR($A179="",$B179=""),"",IF(COUNTIFS($A$2:$A179,$A179,$B$2:$B179,$B179)=1,1,0))</f>
        <v/>
      </c>
      <c r="J179">
        <f>IF($A179="","",ROW())</f>
        <v/>
      </c>
      <c r="L179">
        <f>IF('01_Warehouse_Ledger'!$A179="","",'01_Warehouse_Ledger'!$A179)</f>
        <v/>
      </c>
    </row>
    <row r="180">
      <c r="I180">
        <f>IF(OR($A180="",$B180=""),"",IF(COUNTIFS($A$2:$A180,$A180,$B$2:$B180,$B180)=1,1,0))</f>
        <v/>
      </c>
      <c r="J180">
        <f>IF($A180="","",ROW())</f>
        <v/>
      </c>
      <c r="L180">
        <f>IF('01_Warehouse_Ledger'!$A180="","",'01_Warehouse_Ledger'!$A180)</f>
        <v/>
      </c>
    </row>
    <row r="181">
      <c r="I181">
        <f>IF(OR($A181="",$B181=""),"",IF(COUNTIFS($A$2:$A181,$A181,$B$2:$B181,$B181)=1,1,0))</f>
        <v/>
      </c>
      <c r="J181">
        <f>IF($A181="","",ROW())</f>
        <v/>
      </c>
      <c r="L181">
        <f>IF('01_Warehouse_Ledger'!$A181="","",'01_Warehouse_Ledger'!$A181)</f>
        <v/>
      </c>
    </row>
    <row r="182">
      <c r="I182">
        <f>IF(OR($A182="",$B182=""),"",IF(COUNTIFS($A$2:$A182,$A182,$B$2:$B182,$B182)=1,1,0))</f>
        <v/>
      </c>
      <c r="J182">
        <f>IF($A182="","",ROW())</f>
        <v/>
      </c>
      <c r="L182">
        <f>IF('01_Warehouse_Ledger'!$A182="","",'01_Warehouse_Ledger'!$A182)</f>
        <v/>
      </c>
    </row>
    <row r="183">
      <c r="I183">
        <f>IF(OR($A183="",$B183=""),"",IF(COUNTIFS($A$2:$A183,$A183,$B$2:$B183,$B183)=1,1,0))</f>
        <v/>
      </c>
      <c r="J183">
        <f>IF($A183="","",ROW())</f>
        <v/>
      </c>
      <c r="L183">
        <f>IF('01_Warehouse_Ledger'!$A183="","",'01_Warehouse_Ledger'!$A183)</f>
        <v/>
      </c>
    </row>
    <row r="184">
      <c r="I184">
        <f>IF(OR($A184="",$B184=""),"",IF(COUNTIFS($A$2:$A184,$A184,$B$2:$B184,$B184)=1,1,0))</f>
        <v/>
      </c>
      <c r="J184">
        <f>IF($A184="","",ROW())</f>
        <v/>
      </c>
      <c r="L184">
        <f>IF('01_Warehouse_Ledger'!$A184="","",'01_Warehouse_Ledger'!$A184)</f>
        <v/>
      </c>
    </row>
    <row r="185">
      <c r="I185">
        <f>IF(OR($A185="",$B185=""),"",IF(COUNTIFS($A$2:$A185,$A185,$B$2:$B185,$B185)=1,1,0))</f>
        <v/>
      </c>
      <c r="J185">
        <f>IF($A185="","",ROW())</f>
        <v/>
      </c>
      <c r="L185">
        <f>IF('01_Warehouse_Ledger'!$A185="","",'01_Warehouse_Ledger'!$A185)</f>
        <v/>
      </c>
    </row>
    <row r="186">
      <c r="I186">
        <f>IF(OR($A186="",$B186=""),"",IF(COUNTIFS($A$2:$A186,$A186,$B$2:$B186,$B186)=1,1,0))</f>
        <v/>
      </c>
      <c r="J186">
        <f>IF($A186="","",ROW())</f>
        <v/>
      </c>
      <c r="L186">
        <f>IF('01_Warehouse_Ledger'!$A186="","",'01_Warehouse_Ledger'!$A186)</f>
        <v/>
      </c>
    </row>
    <row r="187">
      <c r="I187">
        <f>IF(OR($A187="",$B187=""),"",IF(COUNTIFS($A$2:$A187,$A187,$B$2:$B187,$B187)=1,1,0))</f>
        <v/>
      </c>
      <c r="J187">
        <f>IF($A187="","",ROW())</f>
        <v/>
      </c>
      <c r="L187">
        <f>IF('01_Warehouse_Ledger'!$A187="","",'01_Warehouse_Ledger'!$A187)</f>
        <v/>
      </c>
    </row>
    <row r="188">
      <c r="I188">
        <f>IF(OR($A188="",$B188=""),"",IF(COUNTIFS($A$2:$A188,$A188,$B$2:$B188,$B188)=1,1,0))</f>
        <v/>
      </c>
      <c r="J188">
        <f>IF($A188="","",ROW())</f>
        <v/>
      </c>
      <c r="L188">
        <f>IF('01_Warehouse_Ledger'!$A188="","",'01_Warehouse_Ledger'!$A188)</f>
        <v/>
      </c>
    </row>
    <row r="189">
      <c r="I189">
        <f>IF(OR($A189="",$B189=""),"",IF(COUNTIFS($A$2:$A189,$A189,$B$2:$B189,$B189)=1,1,0))</f>
        <v/>
      </c>
      <c r="J189">
        <f>IF($A189="","",ROW())</f>
        <v/>
      </c>
      <c r="L189">
        <f>IF('01_Warehouse_Ledger'!$A189="","",'01_Warehouse_Ledger'!$A189)</f>
        <v/>
      </c>
    </row>
    <row r="190">
      <c r="I190">
        <f>IF(OR($A190="",$B190=""),"",IF(COUNTIFS($A$2:$A190,$A190,$B$2:$B190,$B190)=1,1,0))</f>
        <v/>
      </c>
      <c r="J190">
        <f>IF($A190="","",ROW())</f>
        <v/>
      </c>
      <c r="L190">
        <f>IF('01_Warehouse_Ledger'!$A190="","",'01_Warehouse_Ledger'!$A190)</f>
        <v/>
      </c>
    </row>
    <row r="191">
      <c r="I191">
        <f>IF(OR($A191="",$B191=""),"",IF(COUNTIFS($A$2:$A191,$A191,$B$2:$B191,$B191)=1,1,0))</f>
        <v/>
      </c>
      <c r="J191">
        <f>IF($A191="","",ROW())</f>
        <v/>
      </c>
      <c r="L191">
        <f>IF('01_Warehouse_Ledger'!$A191="","",'01_Warehouse_Ledger'!$A191)</f>
        <v/>
      </c>
    </row>
    <row r="192">
      <c r="I192">
        <f>IF(OR($A192="",$B192=""),"",IF(COUNTIFS($A$2:$A192,$A192,$B$2:$B192,$B192)=1,1,0))</f>
        <v/>
      </c>
      <c r="J192">
        <f>IF($A192="","",ROW())</f>
        <v/>
      </c>
      <c r="L192">
        <f>IF('01_Warehouse_Ledger'!$A192="","",'01_Warehouse_Ledger'!$A192)</f>
        <v/>
      </c>
    </row>
    <row r="193">
      <c r="I193">
        <f>IF(OR($A193="",$B193=""),"",IF(COUNTIFS($A$2:$A193,$A193,$B$2:$B193,$B193)=1,1,0))</f>
        <v/>
      </c>
      <c r="J193">
        <f>IF($A193="","",ROW())</f>
        <v/>
      </c>
      <c r="L193">
        <f>IF('01_Warehouse_Ledger'!$A193="","",'01_Warehouse_Ledger'!$A193)</f>
        <v/>
      </c>
    </row>
    <row r="194">
      <c r="I194">
        <f>IF(OR($A194="",$B194=""),"",IF(COUNTIFS($A$2:$A194,$A194,$B$2:$B194,$B194)=1,1,0))</f>
        <v/>
      </c>
      <c r="J194">
        <f>IF($A194="","",ROW())</f>
        <v/>
      </c>
      <c r="L194">
        <f>IF('01_Warehouse_Ledger'!$A194="","",'01_Warehouse_Ledger'!$A194)</f>
        <v/>
      </c>
    </row>
    <row r="195">
      <c r="I195">
        <f>IF(OR($A195="",$B195=""),"",IF(COUNTIFS($A$2:$A195,$A195,$B$2:$B195,$B195)=1,1,0))</f>
        <v/>
      </c>
      <c r="J195">
        <f>IF($A195="","",ROW())</f>
        <v/>
      </c>
      <c r="L195">
        <f>IF('01_Warehouse_Ledger'!$A195="","",'01_Warehouse_Ledger'!$A195)</f>
        <v/>
      </c>
    </row>
    <row r="196">
      <c r="I196">
        <f>IF(OR($A196="",$B196=""),"",IF(COUNTIFS($A$2:$A196,$A196,$B$2:$B196,$B196)=1,1,0))</f>
        <v/>
      </c>
      <c r="J196">
        <f>IF($A196="","",ROW())</f>
        <v/>
      </c>
      <c r="L196">
        <f>IF('01_Warehouse_Ledger'!$A196="","",'01_Warehouse_Ledger'!$A196)</f>
        <v/>
      </c>
    </row>
    <row r="197">
      <c r="I197">
        <f>IF(OR($A197="",$B197=""),"",IF(COUNTIFS($A$2:$A197,$A197,$B$2:$B197,$B197)=1,1,0))</f>
        <v/>
      </c>
      <c r="J197">
        <f>IF($A197="","",ROW())</f>
        <v/>
      </c>
      <c r="L197">
        <f>IF('01_Warehouse_Ledger'!$A197="","",'01_Warehouse_Ledger'!$A197)</f>
        <v/>
      </c>
    </row>
    <row r="198">
      <c r="I198">
        <f>IF(OR($A198="",$B198=""),"",IF(COUNTIFS($A$2:$A198,$A198,$B$2:$B198,$B198)=1,1,0))</f>
        <v/>
      </c>
      <c r="J198">
        <f>IF($A198="","",ROW())</f>
        <v/>
      </c>
      <c r="L198">
        <f>IF('01_Warehouse_Ledger'!$A198="","",'01_Warehouse_Ledger'!$A198)</f>
        <v/>
      </c>
    </row>
    <row r="199">
      <c r="I199">
        <f>IF(OR($A199="",$B199=""),"",IF(COUNTIFS($A$2:$A199,$A199,$B$2:$B199,$B199)=1,1,0))</f>
        <v/>
      </c>
      <c r="J199">
        <f>IF($A199="","",ROW())</f>
        <v/>
      </c>
      <c r="L199">
        <f>IF('01_Warehouse_Ledger'!$A199="","",'01_Warehouse_Ledger'!$A199)</f>
        <v/>
      </c>
    </row>
    <row r="200">
      <c r="I200">
        <f>IF(OR($A200="",$B200=""),"",IF(COUNTIFS($A$2:$A200,$A200,$B$2:$B200,$B200)=1,1,0))</f>
        <v/>
      </c>
      <c r="J200">
        <f>IF($A200="","",ROW())</f>
        <v/>
      </c>
      <c r="L200">
        <f>IF('01_Warehouse_Ledger'!$A200="","",'01_Warehouse_Ledger'!$A200)</f>
        <v/>
      </c>
    </row>
    <row r="201">
      <c r="I201">
        <f>IF(OR($A201="",$B201=""),"",IF(COUNTIFS($A$2:$A201,$A201,$B$2:$B201,$B201)=1,1,0))</f>
        <v/>
      </c>
      <c r="J201">
        <f>IF($A201="","",ROW())</f>
        <v/>
      </c>
      <c r="L201">
        <f>IF('01_Warehouse_Ledger'!$A201="","",'01_Warehouse_Ledger'!$A201)</f>
        <v/>
      </c>
    </row>
    <row r="202">
      <c r="I202">
        <f>IF(OR($A202="",$B202=""),"",IF(COUNTIFS($A$2:$A202,$A202,$B$2:$B202,$B202)=1,1,0))</f>
        <v/>
      </c>
      <c r="J202">
        <f>IF($A202="","",ROW())</f>
        <v/>
      </c>
      <c r="L202">
        <f>IF('01_Warehouse_Ledger'!$A202="","",'01_Warehouse_Ledger'!$A202)</f>
        <v/>
      </c>
    </row>
    <row r="203">
      <c r="I203">
        <f>IF(OR($A203="",$B203=""),"",IF(COUNTIFS($A$2:$A203,$A203,$B$2:$B203,$B203)=1,1,0))</f>
        <v/>
      </c>
      <c r="J203">
        <f>IF($A203="","",ROW())</f>
        <v/>
      </c>
      <c r="L203">
        <f>IF('01_Warehouse_Ledger'!$A203="","",'01_Warehouse_Ledger'!$A203)</f>
        <v/>
      </c>
    </row>
    <row r="204">
      <c r="I204">
        <f>IF(OR($A204="",$B204=""),"",IF(COUNTIFS($A$2:$A204,$A204,$B$2:$B204,$B204)=1,1,0))</f>
        <v/>
      </c>
      <c r="J204">
        <f>IF($A204="","",ROW())</f>
        <v/>
      </c>
      <c r="L204">
        <f>IF('01_Warehouse_Ledger'!$A204="","",'01_Warehouse_Ledger'!$A204)</f>
        <v/>
      </c>
    </row>
    <row r="205">
      <c r="I205">
        <f>IF(OR($A205="",$B205=""),"",IF(COUNTIFS($A$2:$A205,$A205,$B$2:$B205,$B205)=1,1,0))</f>
        <v/>
      </c>
      <c r="J205">
        <f>IF($A205="","",ROW())</f>
        <v/>
      </c>
      <c r="L205">
        <f>IF('01_Warehouse_Ledger'!$A205="","",'01_Warehouse_Ledger'!$A205)</f>
        <v/>
      </c>
    </row>
    <row r="206">
      <c r="I206">
        <f>IF(OR($A206="",$B206=""),"",IF(COUNTIFS($A$2:$A206,$A206,$B$2:$B206,$B206)=1,1,0))</f>
        <v/>
      </c>
      <c r="J206">
        <f>IF($A206="","",ROW())</f>
        <v/>
      </c>
      <c r="L206">
        <f>IF('01_Warehouse_Ledger'!$A206="","",'01_Warehouse_Ledger'!$A206)</f>
        <v/>
      </c>
    </row>
    <row r="207">
      <c r="I207">
        <f>IF(OR($A207="",$B207=""),"",IF(COUNTIFS($A$2:$A207,$A207,$B$2:$B207,$B207)=1,1,0))</f>
        <v/>
      </c>
      <c r="J207">
        <f>IF($A207="","",ROW())</f>
        <v/>
      </c>
      <c r="L207">
        <f>IF('01_Warehouse_Ledger'!$A207="","",'01_Warehouse_Ledger'!$A207)</f>
        <v/>
      </c>
    </row>
    <row r="208">
      <c r="I208">
        <f>IF(OR($A208="",$B208=""),"",IF(COUNTIFS($A$2:$A208,$A208,$B$2:$B208,$B208)=1,1,0))</f>
        <v/>
      </c>
      <c r="J208">
        <f>IF($A208="","",ROW())</f>
        <v/>
      </c>
      <c r="L208">
        <f>IF('01_Warehouse_Ledger'!$A208="","",'01_Warehouse_Ledger'!$A208)</f>
        <v/>
      </c>
    </row>
    <row r="209">
      <c r="I209">
        <f>IF(OR($A209="",$B209=""),"",IF(COUNTIFS($A$2:$A209,$A209,$B$2:$B209,$B209)=1,1,0))</f>
        <v/>
      </c>
      <c r="J209">
        <f>IF($A209="","",ROW())</f>
        <v/>
      </c>
      <c r="L209">
        <f>IF('01_Warehouse_Ledger'!$A209="","",'01_Warehouse_Ledger'!$A209)</f>
        <v/>
      </c>
    </row>
    <row r="210">
      <c r="I210">
        <f>IF(OR($A210="",$B210=""),"",IF(COUNTIFS($A$2:$A210,$A210,$B$2:$B210,$B210)=1,1,0))</f>
        <v/>
      </c>
      <c r="J210">
        <f>IF($A210="","",ROW())</f>
        <v/>
      </c>
      <c r="L210">
        <f>IF('01_Warehouse_Ledger'!$A210="","",'01_Warehouse_Ledger'!$A210)</f>
        <v/>
      </c>
    </row>
    <row r="211">
      <c r="I211">
        <f>IF(OR($A211="",$B211=""),"",IF(COUNTIFS($A$2:$A211,$A211,$B$2:$B211,$B211)=1,1,0))</f>
        <v/>
      </c>
      <c r="J211">
        <f>IF($A211="","",ROW())</f>
        <v/>
      </c>
      <c r="L211">
        <f>IF('01_Warehouse_Ledger'!$A211="","",'01_Warehouse_Ledger'!$A211)</f>
        <v/>
      </c>
    </row>
    <row r="212">
      <c r="I212">
        <f>IF(OR($A212="",$B212=""),"",IF(COUNTIFS($A$2:$A212,$A212,$B$2:$B212,$B212)=1,1,0))</f>
        <v/>
      </c>
      <c r="J212">
        <f>IF($A212="","",ROW())</f>
        <v/>
      </c>
      <c r="L212">
        <f>IF('01_Warehouse_Ledger'!$A212="","",'01_Warehouse_Ledger'!$A212)</f>
        <v/>
      </c>
    </row>
    <row r="213">
      <c r="I213">
        <f>IF(OR($A213="",$B213=""),"",IF(COUNTIFS($A$2:$A213,$A213,$B$2:$B213,$B213)=1,1,0))</f>
        <v/>
      </c>
      <c r="J213">
        <f>IF($A213="","",ROW())</f>
        <v/>
      </c>
      <c r="L213">
        <f>IF('01_Warehouse_Ledger'!$A213="","",'01_Warehouse_Ledger'!$A213)</f>
        <v/>
      </c>
    </row>
    <row r="214">
      <c r="I214">
        <f>IF(OR($A214="",$B214=""),"",IF(COUNTIFS($A$2:$A214,$A214,$B$2:$B214,$B214)=1,1,0))</f>
        <v/>
      </c>
      <c r="J214">
        <f>IF($A214="","",ROW())</f>
        <v/>
      </c>
      <c r="L214">
        <f>IF('01_Warehouse_Ledger'!$A214="","",'01_Warehouse_Ledger'!$A214)</f>
        <v/>
      </c>
    </row>
    <row r="215">
      <c r="I215">
        <f>IF(OR($A215="",$B215=""),"",IF(COUNTIFS($A$2:$A215,$A215,$B$2:$B215,$B215)=1,1,0))</f>
        <v/>
      </c>
      <c r="J215">
        <f>IF($A215="","",ROW())</f>
        <v/>
      </c>
      <c r="L215">
        <f>IF('01_Warehouse_Ledger'!$A215="","",'01_Warehouse_Ledger'!$A215)</f>
        <v/>
      </c>
    </row>
    <row r="216">
      <c r="I216">
        <f>IF(OR($A216="",$B216=""),"",IF(COUNTIFS($A$2:$A216,$A216,$B$2:$B216,$B216)=1,1,0))</f>
        <v/>
      </c>
      <c r="J216">
        <f>IF($A216="","",ROW())</f>
        <v/>
      </c>
      <c r="L216">
        <f>IF('01_Warehouse_Ledger'!$A216="","",'01_Warehouse_Ledger'!$A216)</f>
        <v/>
      </c>
    </row>
    <row r="217">
      <c r="I217">
        <f>IF(OR($A217="",$B217=""),"",IF(COUNTIFS($A$2:$A217,$A217,$B$2:$B217,$B217)=1,1,0))</f>
        <v/>
      </c>
      <c r="J217">
        <f>IF($A217="","",ROW())</f>
        <v/>
      </c>
      <c r="L217">
        <f>IF('01_Warehouse_Ledger'!$A217="","",'01_Warehouse_Ledger'!$A217)</f>
        <v/>
      </c>
    </row>
    <row r="218">
      <c r="I218">
        <f>IF(OR($A218="",$B218=""),"",IF(COUNTIFS($A$2:$A218,$A218,$B$2:$B218,$B218)=1,1,0))</f>
        <v/>
      </c>
      <c r="J218">
        <f>IF($A218="","",ROW())</f>
        <v/>
      </c>
      <c r="L218">
        <f>IF('01_Warehouse_Ledger'!$A218="","",'01_Warehouse_Ledger'!$A218)</f>
        <v/>
      </c>
    </row>
    <row r="219">
      <c r="I219">
        <f>IF(OR($A219="",$B219=""),"",IF(COUNTIFS($A$2:$A219,$A219,$B$2:$B219,$B219)=1,1,0))</f>
        <v/>
      </c>
      <c r="J219">
        <f>IF($A219="","",ROW())</f>
        <v/>
      </c>
      <c r="L219">
        <f>IF('01_Warehouse_Ledger'!$A219="","",'01_Warehouse_Ledger'!$A219)</f>
        <v/>
      </c>
    </row>
    <row r="220">
      <c r="I220">
        <f>IF(OR($A220="",$B220=""),"",IF(COUNTIFS($A$2:$A220,$A220,$B$2:$B220,$B220)=1,1,0))</f>
        <v/>
      </c>
      <c r="J220">
        <f>IF($A220="","",ROW())</f>
        <v/>
      </c>
      <c r="L220">
        <f>IF('01_Warehouse_Ledger'!$A220="","",'01_Warehouse_Ledger'!$A220)</f>
        <v/>
      </c>
    </row>
    <row r="221">
      <c r="I221">
        <f>IF(OR($A221="",$B221=""),"",IF(COUNTIFS($A$2:$A221,$A221,$B$2:$B221,$B221)=1,1,0))</f>
        <v/>
      </c>
      <c r="J221">
        <f>IF($A221="","",ROW())</f>
        <v/>
      </c>
      <c r="L221">
        <f>IF('01_Warehouse_Ledger'!$A221="","",'01_Warehouse_Ledger'!$A221)</f>
        <v/>
      </c>
    </row>
    <row r="222">
      <c r="I222">
        <f>IF(OR($A222="",$B222=""),"",IF(COUNTIFS($A$2:$A222,$A222,$B$2:$B222,$B222)=1,1,0))</f>
        <v/>
      </c>
      <c r="J222">
        <f>IF($A222="","",ROW())</f>
        <v/>
      </c>
      <c r="L222">
        <f>IF('01_Warehouse_Ledger'!$A222="","",'01_Warehouse_Ledger'!$A222)</f>
        <v/>
      </c>
    </row>
    <row r="223">
      <c r="I223">
        <f>IF(OR($A223="",$B223=""),"",IF(COUNTIFS($A$2:$A223,$A223,$B$2:$B223,$B223)=1,1,0))</f>
        <v/>
      </c>
      <c r="J223">
        <f>IF($A223="","",ROW())</f>
        <v/>
      </c>
      <c r="L223">
        <f>IF('01_Warehouse_Ledger'!$A223="","",'01_Warehouse_Ledger'!$A223)</f>
        <v/>
      </c>
    </row>
    <row r="224">
      <c r="I224">
        <f>IF(OR($A224="",$B224=""),"",IF(COUNTIFS($A$2:$A224,$A224,$B$2:$B224,$B224)=1,1,0))</f>
        <v/>
      </c>
      <c r="J224">
        <f>IF($A224="","",ROW())</f>
        <v/>
      </c>
      <c r="L224">
        <f>IF('01_Warehouse_Ledger'!$A224="","",'01_Warehouse_Ledger'!$A224)</f>
        <v/>
      </c>
    </row>
    <row r="225">
      <c r="I225">
        <f>IF(OR($A225="",$B225=""),"",IF(COUNTIFS($A$2:$A225,$A225,$B$2:$B225,$B225)=1,1,0))</f>
        <v/>
      </c>
      <c r="J225">
        <f>IF($A225="","",ROW())</f>
        <v/>
      </c>
      <c r="L225">
        <f>IF('01_Warehouse_Ledger'!$A225="","",'01_Warehouse_Ledger'!$A225)</f>
        <v/>
      </c>
    </row>
    <row r="226">
      <c r="I226">
        <f>IF(OR($A226="",$B226=""),"",IF(COUNTIFS($A$2:$A226,$A226,$B$2:$B226,$B226)=1,1,0))</f>
        <v/>
      </c>
      <c r="J226">
        <f>IF($A226="","",ROW())</f>
        <v/>
      </c>
      <c r="L226">
        <f>IF('01_Warehouse_Ledger'!$A226="","",'01_Warehouse_Ledger'!$A226)</f>
        <v/>
      </c>
    </row>
    <row r="227">
      <c r="I227">
        <f>IF(OR($A227="",$B227=""),"",IF(COUNTIFS($A$2:$A227,$A227,$B$2:$B227,$B227)=1,1,0))</f>
        <v/>
      </c>
      <c r="J227">
        <f>IF($A227="","",ROW())</f>
        <v/>
      </c>
      <c r="L227">
        <f>IF('01_Warehouse_Ledger'!$A227="","",'01_Warehouse_Ledger'!$A227)</f>
        <v/>
      </c>
    </row>
    <row r="228">
      <c r="I228">
        <f>IF(OR($A228="",$B228=""),"",IF(COUNTIFS($A$2:$A228,$A228,$B$2:$B228,$B228)=1,1,0))</f>
        <v/>
      </c>
      <c r="J228">
        <f>IF($A228="","",ROW())</f>
        <v/>
      </c>
      <c r="L228">
        <f>IF('01_Warehouse_Ledger'!$A228="","",'01_Warehouse_Ledger'!$A228)</f>
        <v/>
      </c>
    </row>
    <row r="229">
      <c r="I229">
        <f>IF(OR($A229="",$B229=""),"",IF(COUNTIFS($A$2:$A229,$A229,$B$2:$B229,$B229)=1,1,0))</f>
        <v/>
      </c>
      <c r="J229">
        <f>IF($A229="","",ROW())</f>
        <v/>
      </c>
      <c r="L229">
        <f>IF('01_Warehouse_Ledger'!$A229="","",'01_Warehouse_Ledger'!$A229)</f>
        <v/>
      </c>
    </row>
    <row r="230">
      <c r="I230">
        <f>IF(OR($A230="",$B230=""),"",IF(COUNTIFS($A$2:$A230,$A230,$B$2:$B230,$B230)=1,1,0))</f>
        <v/>
      </c>
      <c r="J230">
        <f>IF($A230="","",ROW())</f>
        <v/>
      </c>
      <c r="L230">
        <f>IF('01_Warehouse_Ledger'!$A230="","",'01_Warehouse_Ledger'!$A230)</f>
        <v/>
      </c>
    </row>
    <row r="231">
      <c r="I231">
        <f>IF(OR($A231="",$B231=""),"",IF(COUNTIFS($A$2:$A231,$A231,$B$2:$B231,$B231)=1,1,0))</f>
        <v/>
      </c>
      <c r="J231">
        <f>IF($A231="","",ROW())</f>
        <v/>
      </c>
      <c r="L231">
        <f>IF('01_Warehouse_Ledger'!$A231="","",'01_Warehouse_Ledger'!$A231)</f>
        <v/>
      </c>
    </row>
    <row r="232">
      <c r="I232">
        <f>IF(OR($A232="",$B232=""),"",IF(COUNTIFS($A$2:$A232,$A232,$B$2:$B232,$B232)=1,1,0))</f>
        <v/>
      </c>
      <c r="J232">
        <f>IF($A232="","",ROW())</f>
        <v/>
      </c>
      <c r="L232">
        <f>IF('01_Warehouse_Ledger'!$A232="","",'01_Warehouse_Ledger'!$A232)</f>
        <v/>
      </c>
    </row>
    <row r="233">
      <c r="I233">
        <f>IF(OR($A233="",$B233=""),"",IF(COUNTIFS($A$2:$A233,$A233,$B$2:$B233,$B233)=1,1,0))</f>
        <v/>
      </c>
      <c r="J233">
        <f>IF($A233="","",ROW())</f>
        <v/>
      </c>
      <c r="L233">
        <f>IF('01_Warehouse_Ledger'!$A233="","",'01_Warehouse_Ledger'!$A233)</f>
        <v/>
      </c>
    </row>
    <row r="234">
      <c r="I234">
        <f>IF(OR($A234="",$B234=""),"",IF(COUNTIFS($A$2:$A234,$A234,$B$2:$B234,$B234)=1,1,0))</f>
        <v/>
      </c>
      <c r="J234">
        <f>IF($A234="","",ROW())</f>
        <v/>
      </c>
      <c r="L234">
        <f>IF('01_Warehouse_Ledger'!$A234="","",'01_Warehouse_Ledger'!$A234)</f>
        <v/>
      </c>
    </row>
    <row r="235">
      <c r="I235">
        <f>IF(OR($A235="",$B235=""),"",IF(COUNTIFS($A$2:$A235,$A235,$B$2:$B235,$B235)=1,1,0))</f>
        <v/>
      </c>
      <c r="J235">
        <f>IF($A235="","",ROW())</f>
        <v/>
      </c>
      <c r="L235">
        <f>IF('01_Warehouse_Ledger'!$A235="","",'01_Warehouse_Ledger'!$A235)</f>
        <v/>
      </c>
    </row>
    <row r="236">
      <c r="I236">
        <f>IF(OR($A236="",$B236=""),"",IF(COUNTIFS($A$2:$A236,$A236,$B$2:$B236,$B236)=1,1,0))</f>
        <v/>
      </c>
      <c r="J236">
        <f>IF($A236="","",ROW())</f>
        <v/>
      </c>
      <c r="L236">
        <f>IF('01_Warehouse_Ledger'!$A236="","",'01_Warehouse_Ledger'!$A236)</f>
        <v/>
      </c>
    </row>
    <row r="237">
      <c r="I237">
        <f>IF(OR($A237="",$B237=""),"",IF(COUNTIFS($A$2:$A237,$A237,$B$2:$B237,$B237)=1,1,0))</f>
        <v/>
      </c>
      <c r="J237">
        <f>IF($A237="","",ROW())</f>
        <v/>
      </c>
      <c r="L237">
        <f>IF('01_Warehouse_Ledger'!$A237="","",'01_Warehouse_Ledger'!$A237)</f>
        <v/>
      </c>
    </row>
    <row r="238">
      <c r="I238">
        <f>IF(OR($A238="",$B238=""),"",IF(COUNTIFS($A$2:$A238,$A238,$B$2:$B238,$B238)=1,1,0))</f>
        <v/>
      </c>
      <c r="J238">
        <f>IF($A238="","",ROW())</f>
        <v/>
      </c>
      <c r="L238">
        <f>IF('01_Warehouse_Ledger'!$A238="","",'01_Warehouse_Ledger'!$A238)</f>
        <v/>
      </c>
    </row>
    <row r="239">
      <c r="I239">
        <f>IF(OR($A239="",$B239=""),"",IF(COUNTIFS($A$2:$A239,$A239,$B$2:$B239,$B239)=1,1,0))</f>
        <v/>
      </c>
      <c r="J239">
        <f>IF($A239="","",ROW())</f>
        <v/>
      </c>
      <c r="L239">
        <f>IF('01_Warehouse_Ledger'!$A239="","",'01_Warehouse_Ledger'!$A239)</f>
        <v/>
      </c>
    </row>
    <row r="240">
      <c r="I240">
        <f>IF(OR($A240="",$B240=""),"",IF(COUNTIFS($A$2:$A240,$A240,$B$2:$B240,$B240)=1,1,0))</f>
        <v/>
      </c>
      <c r="J240">
        <f>IF($A240="","",ROW())</f>
        <v/>
      </c>
      <c r="L240">
        <f>IF('01_Warehouse_Ledger'!$A240="","",'01_Warehouse_Ledger'!$A240)</f>
        <v/>
      </c>
    </row>
    <row r="241">
      <c r="I241">
        <f>IF(OR($A241="",$B241=""),"",IF(COUNTIFS($A$2:$A241,$A241,$B$2:$B241,$B241)=1,1,0))</f>
        <v/>
      </c>
      <c r="J241">
        <f>IF($A241="","",ROW())</f>
        <v/>
      </c>
      <c r="L241">
        <f>IF('01_Warehouse_Ledger'!$A241="","",'01_Warehouse_Ledger'!$A241)</f>
        <v/>
      </c>
    </row>
    <row r="242">
      <c r="I242">
        <f>IF(OR($A242="",$B242=""),"",IF(COUNTIFS($A$2:$A242,$A242,$B$2:$B242,$B242)=1,1,0))</f>
        <v/>
      </c>
      <c r="J242">
        <f>IF($A242="","",ROW())</f>
        <v/>
      </c>
      <c r="L242">
        <f>IF('01_Warehouse_Ledger'!$A242="","",'01_Warehouse_Ledger'!$A242)</f>
        <v/>
      </c>
    </row>
    <row r="243">
      <c r="I243">
        <f>IF(OR($A243="",$B243=""),"",IF(COUNTIFS($A$2:$A243,$A243,$B$2:$B243,$B243)=1,1,0))</f>
        <v/>
      </c>
      <c r="J243">
        <f>IF($A243="","",ROW())</f>
        <v/>
      </c>
      <c r="L243">
        <f>IF('01_Warehouse_Ledger'!$A243="","",'01_Warehouse_Ledger'!$A243)</f>
        <v/>
      </c>
    </row>
    <row r="244">
      <c r="I244">
        <f>IF(OR($A244="",$B244=""),"",IF(COUNTIFS($A$2:$A244,$A244,$B$2:$B244,$B244)=1,1,0))</f>
        <v/>
      </c>
      <c r="J244">
        <f>IF($A244="","",ROW())</f>
        <v/>
      </c>
      <c r="L244">
        <f>IF('01_Warehouse_Ledger'!$A244="","",'01_Warehouse_Ledger'!$A244)</f>
        <v/>
      </c>
    </row>
    <row r="245">
      <c r="I245">
        <f>IF(OR($A245="",$B245=""),"",IF(COUNTIFS($A$2:$A245,$A245,$B$2:$B245,$B245)=1,1,0))</f>
        <v/>
      </c>
      <c r="J245">
        <f>IF($A245="","",ROW())</f>
        <v/>
      </c>
      <c r="L245">
        <f>IF('01_Warehouse_Ledger'!$A245="","",'01_Warehouse_Ledger'!$A245)</f>
        <v/>
      </c>
    </row>
    <row r="246">
      <c r="I246">
        <f>IF(OR($A246="",$B246=""),"",IF(COUNTIFS($A$2:$A246,$A246,$B$2:$B246,$B246)=1,1,0))</f>
        <v/>
      </c>
      <c r="J246">
        <f>IF($A246="","",ROW())</f>
        <v/>
      </c>
      <c r="L246">
        <f>IF('01_Warehouse_Ledger'!$A246="","",'01_Warehouse_Ledger'!$A246)</f>
        <v/>
      </c>
    </row>
    <row r="247">
      <c r="I247">
        <f>IF(OR($A247="",$B247=""),"",IF(COUNTIFS($A$2:$A247,$A247,$B$2:$B247,$B247)=1,1,0))</f>
        <v/>
      </c>
      <c r="J247">
        <f>IF($A247="","",ROW())</f>
        <v/>
      </c>
      <c r="L247">
        <f>IF('01_Warehouse_Ledger'!$A247="","",'01_Warehouse_Ledger'!$A247)</f>
        <v/>
      </c>
    </row>
    <row r="248">
      <c r="I248">
        <f>IF(OR($A248="",$B248=""),"",IF(COUNTIFS($A$2:$A248,$A248,$B$2:$B248,$B248)=1,1,0))</f>
        <v/>
      </c>
      <c r="J248">
        <f>IF($A248="","",ROW())</f>
        <v/>
      </c>
      <c r="L248">
        <f>IF('01_Warehouse_Ledger'!$A248="","",'01_Warehouse_Ledger'!$A248)</f>
        <v/>
      </c>
    </row>
    <row r="249">
      <c r="I249">
        <f>IF(OR($A249="",$B249=""),"",IF(COUNTIFS($A$2:$A249,$A249,$B$2:$B249,$B249)=1,1,0))</f>
        <v/>
      </c>
      <c r="J249">
        <f>IF($A249="","",ROW())</f>
        <v/>
      </c>
      <c r="L249">
        <f>IF('01_Warehouse_Ledger'!$A249="","",'01_Warehouse_Ledger'!$A249)</f>
        <v/>
      </c>
    </row>
    <row r="250">
      <c r="I250">
        <f>IF(OR($A250="",$B250=""),"",IF(COUNTIFS($A$2:$A250,$A250,$B$2:$B250,$B250)=1,1,0))</f>
        <v/>
      </c>
      <c r="J250">
        <f>IF($A250="","",ROW())</f>
        <v/>
      </c>
      <c r="L250">
        <f>IF('01_Warehouse_Ledger'!$A250="","",'01_Warehouse_Ledger'!$A250)</f>
        <v/>
      </c>
    </row>
    <row r="251">
      <c r="I251">
        <f>IF(OR($A251="",$B251=""),"",IF(COUNTIFS($A$2:$A251,$A251,$B$2:$B251,$B251)=1,1,0))</f>
        <v/>
      </c>
      <c r="J251">
        <f>IF($A251="","",ROW())</f>
        <v/>
      </c>
      <c r="L251">
        <f>IF('01_Warehouse_Ledger'!$A251="","",'01_Warehouse_Ledger'!$A251)</f>
        <v/>
      </c>
    </row>
    <row r="252">
      <c r="I252">
        <f>IF(OR($A252="",$B252=""),"",IF(COUNTIFS($A$2:$A252,$A252,$B$2:$B252,$B252)=1,1,0))</f>
        <v/>
      </c>
      <c r="J252">
        <f>IF($A252="","",ROW())</f>
        <v/>
      </c>
      <c r="L252">
        <f>IF('01_Warehouse_Ledger'!$A252="","",'01_Warehouse_Ledger'!$A252)</f>
        <v/>
      </c>
    </row>
    <row r="253">
      <c r="I253">
        <f>IF(OR($A253="",$B253=""),"",IF(COUNTIFS($A$2:$A253,$A253,$B$2:$B253,$B253)=1,1,0))</f>
        <v/>
      </c>
      <c r="J253">
        <f>IF($A253="","",ROW())</f>
        <v/>
      </c>
      <c r="L253">
        <f>IF('01_Warehouse_Ledger'!$A253="","",'01_Warehouse_Ledger'!$A253)</f>
        <v/>
      </c>
    </row>
    <row r="254">
      <c r="I254">
        <f>IF(OR($A254="",$B254=""),"",IF(COUNTIFS($A$2:$A254,$A254,$B$2:$B254,$B254)=1,1,0))</f>
        <v/>
      </c>
      <c r="J254">
        <f>IF($A254="","",ROW())</f>
        <v/>
      </c>
      <c r="L254">
        <f>IF('01_Warehouse_Ledger'!$A254="","",'01_Warehouse_Ledger'!$A254)</f>
        <v/>
      </c>
    </row>
    <row r="255">
      <c r="I255">
        <f>IF(OR($A255="",$B255=""),"",IF(COUNTIFS($A$2:$A255,$A255,$B$2:$B255,$B255)=1,1,0))</f>
        <v/>
      </c>
      <c r="J255">
        <f>IF($A255="","",ROW())</f>
        <v/>
      </c>
      <c r="L255">
        <f>IF('01_Warehouse_Ledger'!$A255="","",'01_Warehouse_Ledger'!$A255)</f>
        <v/>
      </c>
    </row>
    <row r="256">
      <c r="I256">
        <f>IF(OR($A256="",$B256=""),"",IF(COUNTIFS($A$2:$A256,$A256,$B$2:$B256,$B256)=1,1,0))</f>
        <v/>
      </c>
      <c r="J256">
        <f>IF($A256="","",ROW())</f>
        <v/>
      </c>
      <c r="L256">
        <f>IF('01_Warehouse_Ledger'!$A256="","",'01_Warehouse_Ledger'!$A256)</f>
        <v/>
      </c>
    </row>
    <row r="257">
      <c r="I257">
        <f>IF(OR($A257="",$B257=""),"",IF(COUNTIFS($A$2:$A257,$A257,$B$2:$B257,$B257)=1,1,0))</f>
        <v/>
      </c>
      <c r="J257">
        <f>IF($A257="","",ROW())</f>
        <v/>
      </c>
      <c r="L257">
        <f>IF('01_Warehouse_Ledger'!$A257="","",'01_Warehouse_Ledger'!$A257)</f>
        <v/>
      </c>
    </row>
    <row r="258">
      <c r="I258">
        <f>IF(OR($A258="",$B258=""),"",IF(COUNTIFS($A$2:$A258,$A258,$B$2:$B258,$B258)=1,1,0))</f>
        <v/>
      </c>
      <c r="J258">
        <f>IF($A258="","",ROW())</f>
        <v/>
      </c>
      <c r="L258">
        <f>IF('01_Warehouse_Ledger'!$A258="","",'01_Warehouse_Ledger'!$A258)</f>
        <v/>
      </c>
    </row>
    <row r="259">
      <c r="I259">
        <f>IF(OR($A259="",$B259=""),"",IF(COUNTIFS($A$2:$A259,$A259,$B$2:$B259,$B259)=1,1,0))</f>
        <v/>
      </c>
      <c r="J259">
        <f>IF($A259="","",ROW())</f>
        <v/>
      </c>
      <c r="L259">
        <f>IF('01_Warehouse_Ledger'!$A259="","",'01_Warehouse_Ledger'!$A259)</f>
        <v/>
      </c>
    </row>
    <row r="260">
      <c r="I260">
        <f>IF(OR($A260="",$B260=""),"",IF(COUNTIFS($A$2:$A260,$A260,$B$2:$B260,$B260)=1,1,0))</f>
        <v/>
      </c>
      <c r="J260">
        <f>IF($A260="","",ROW())</f>
        <v/>
      </c>
      <c r="L260">
        <f>IF('01_Warehouse_Ledger'!$A260="","",'01_Warehouse_Ledger'!$A260)</f>
        <v/>
      </c>
    </row>
    <row r="261">
      <c r="I261">
        <f>IF(OR($A261="",$B261=""),"",IF(COUNTIFS($A$2:$A261,$A261,$B$2:$B261,$B261)=1,1,0))</f>
        <v/>
      </c>
      <c r="J261">
        <f>IF($A261="","",ROW())</f>
        <v/>
      </c>
      <c r="L261">
        <f>IF('01_Warehouse_Ledger'!$A261="","",'01_Warehouse_Ledger'!$A261)</f>
        <v/>
      </c>
    </row>
    <row r="262">
      <c r="I262">
        <f>IF(OR($A262="",$B262=""),"",IF(COUNTIFS($A$2:$A262,$A262,$B$2:$B262,$B262)=1,1,0))</f>
        <v/>
      </c>
      <c r="J262">
        <f>IF($A262="","",ROW())</f>
        <v/>
      </c>
      <c r="L262">
        <f>IF('01_Warehouse_Ledger'!$A262="","",'01_Warehouse_Ledger'!$A262)</f>
        <v/>
      </c>
    </row>
    <row r="263">
      <c r="I263">
        <f>IF(OR($A263="",$B263=""),"",IF(COUNTIFS($A$2:$A263,$A263,$B$2:$B263,$B263)=1,1,0))</f>
        <v/>
      </c>
      <c r="J263">
        <f>IF($A263="","",ROW())</f>
        <v/>
      </c>
      <c r="L263">
        <f>IF('01_Warehouse_Ledger'!$A263="","",'01_Warehouse_Ledger'!$A263)</f>
        <v/>
      </c>
    </row>
    <row r="264">
      <c r="I264">
        <f>IF(OR($A264="",$B264=""),"",IF(COUNTIFS($A$2:$A264,$A264,$B$2:$B264,$B264)=1,1,0))</f>
        <v/>
      </c>
      <c r="J264">
        <f>IF($A264="","",ROW())</f>
        <v/>
      </c>
      <c r="L264">
        <f>IF('01_Warehouse_Ledger'!$A264="","",'01_Warehouse_Ledger'!$A264)</f>
        <v/>
      </c>
    </row>
    <row r="265">
      <c r="I265">
        <f>IF(OR($A265="",$B265=""),"",IF(COUNTIFS($A$2:$A265,$A265,$B$2:$B265,$B265)=1,1,0))</f>
        <v/>
      </c>
      <c r="J265">
        <f>IF($A265="","",ROW())</f>
        <v/>
      </c>
      <c r="L265">
        <f>IF('01_Warehouse_Ledger'!$A265="","",'01_Warehouse_Ledger'!$A265)</f>
        <v/>
      </c>
    </row>
    <row r="266">
      <c r="I266">
        <f>IF(OR($A266="",$B266=""),"",IF(COUNTIFS($A$2:$A266,$A266,$B$2:$B266,$B266)=1,1,0))</f>
        <v/>
      </c>
      <c r="J266">
        <f>IF($A266="","",ROW())</f>
        <v/>
      </c>
      <c r="L266">
        <f>IF('01_Warehouse_Ledger'!$A266="","",'01_Warehouse_Ledger'!$A266)</f>
        <v/>
      </c>
    </row>
    <row r="267">
      <c r="I267">
        <f>IF(OR($A267="",$B267=""),"",IF(COUNTIFS($A$2:$A267,$A267,$B$2:$B267,$B267)=1,1,0))</f>
        <v/>
      </c>
      <c r="J267">
        <f>IF($A267="","",ROW())</f>
        <v/>
      </c>
      <c r="L267">
        <f>IF('01_Warehouse_Ledger'!$A267="","",'01_Warehouse_Ledger'!$A267)</f>
        <v/>
      </c>
    </row>
    <row r="268">
      <c r="I268">
        <f>IF(OR($A268="",$B268=""),"",IF(COUNTIFS($A$2:$A268,$A268,$B$2:$B268,$B268)=1,1,0))</f>
        <v/>
      </c>
      <c r="J268">
        <f>IF($A268="","",ROW())</f>
        <v/>
      </c>
      <c r="L268">
        <f>IF('01_Warehouse_Ledger'!$A268="","",'01_Warehouse_Ledger'!$A268)</f>
        <v/>
      </c>
    </row>
    <row r="269">
      <c r="I269">
        <f>IF(OR($A269="",$B269=""),"",IF(COUNTIFS($A$2:$A269,$A269,$B$2:$B269,$B269)=1,1,0))</f>
        <v/>
      </c>
      <c r="J269">
        <f>IF($A269="","",ROW())</f>
        <v/>
      </c>
      <c r="L269">
        <f>IF('01_Warehouse_Ledger'!$A269="","",'01_Warehouse_Ledger'!$A269)</f>
        <v/>
      </c>
    </row>
    <row r="270">
      <c r="I270">
        <f>IF(OR($A270="",$B270=""),"",IF(COUNTIFS($A$2:$A270,$A270,$B$2:$B270,$B270)=1,1,0))</f>
        <v/>
      </c>
      <c r="J270">
        <f>IF($A270="","",ROW())</f>
        <v/>
      </c>
      <c r="L270">
        <f>IF('01_Warehouse_Ledger'!$A270="","",'01_Warehouse_Ledger'!$A270)</f>
        <v/>
      </c>
    </row>
    <row r="271">
      <c r="I271">
        <f>IF(OR($A271="",$B271=""),"",IF(COUNTIFS($A$2:$A271,$A271,$B$2:$B271,$B271)=1,1,0))</f>
        <v/>
      </c>
      <c r="J271">
        <f>IF($A271="","",ROW())</f>
        <v/>
      </c>
      <c r="L271">
        <f>IF('01_Warehouse_Ledger'!$A271="","",'01_Warehouse_Ledger'!$A271)</f>
        <v/>
      </c>
    </row>
    <row r="272">
      <c r="I272">
        <f>IF(OR($A272="",$B272=""),"",IF(COUNTIFS($A$2:$A272,$A272,$B$2:$B272,$B272)=1,1,0))</f>
        <v/>
      </c>
      <c r="J272">
        <f>IF($A272="","",ROW())</f>
        <v/>
      </c>
      <c r="L272">
        <f>IF('01_Warehouse_Ledger'!$A272="","",'01_Warehouse_Ledger'!$A272)</f>
        <v/>
      </c>
    </row>
    <row r="273">
      <c r="I273">
        <f>IF(OR($A273="",$B273=""),"",IF(COUNTIFS($A$2:$A273,$A273,$B$2:$B273,$B273)=1,1,0))</f>
        <v/>
      </c>
      <c r="J273">
        <f>IF($A273="","",ROW())</f>
        <v/>
      </c>
      <c r="L273">
        <f>IF('01_Warehouse_Ledger'!$A273="","",'01_Warehouse_Ledger'!$A273)</f>
        <v/>
      </c>
    </row>
    <row r="274">
      <c r="I274">
        <f>IF(OR($A274="",$B274=""),"",IF(COUNTIFS($A$2:$A274,$A274,$B$2:$B274,$B274)=1,1,0))</f>
        <v/>
      </c>
      <c r="J274">
        <f>IF($A274="","",ROW())</f>
        <v/>
      </c>
      <c r="L274">
        <f>IF('01_Warehouse_Ledger'!$A274="","",'01_Warehouse_Ledger'!$A274)</f>
        <v/>
      </c>
    </row>
    <row r="275">
      <c r="I275">
        <f>IF(OR($A275="",$B275=""),"",IF(COUNTIFS($A$2:$A275,$A275,$B$2:$B275,$B275)=1,1,0))</f>
        <v/>
      </c>
      <c r="J275">
        <f>IF($A275="","",ROW())</f>
        <v/>
      </c>
      <c r="L275">
        <f>IF('01_Warehouse_Ledger'!$A275="","",'01_Warehouse_Ledger'!$A275)</f>
        <v/>
      </c>
    </row>
    <row r="276">
      <c r="I276">
        <f>IF(OR($A276="",$B276=""),"",IF(COUNTIFS($A$2:$A276,$A276,$B$2:$B276,$B276)=1,1,0))</f>
        <v/>
      </c>
      <c r="J276">
        <f>IF($A276="","",ROW())</f>
        <v/>
      </c>
      <c r="L276">
        <f>IF('01_Warehouse_Ledger'!$A276="","",'01_Warehouse_Ledger'!$A276)</f>
        <v/>
      </c>
    </row>
    <row r="277">
      <c r="I277">
        <f>IF(OR($A277="",$B277=""),"",IF(COUNTIFS($A$2:$A277,$A277,$B$2:$B277,$B277)=1,1,0))</f>
        <v/>
      </c>
      <c r="J277">
        <f>IF($A277="","",ROW())</f>
        <v/>
      </c>
      <c r="L277">
        <f>IF('01_Warehouse_Ledger'!$A277="","",'01_Warehouse_Ledger'!$A277)</f>
        <v/>
      </c>
    </row>
    <row r="278">
      <c r="I278">
        <f>IF(OR($A278="",$B278=""),"",IF(COUNTIFS($A$2:$A278,$A278,$B$2:$B278,$B278)=1,1,0))</f>
        <v/>
      </c>
      <c r="J278">
        <f>IF($A278="","",ROW())</f>
        <v/>
      </c>
      <c r="L278">
        <f>IF('01_Warehouse_Ledger'!$A278="","",'01_Warehouse_Ledger'!$A278)</f>
        <v/>
      </c>
    </row>
    <row r="279">
      <c r="I279">
        <f>IF(OR($A279="",$B279=""),"",IF(COUNTIFS($A$2:$A279,$A279,$B$2:$B279,$B279)=1,1,0))</f>
        <v/>
      </c>
      <c r="J279">
        <f>IF($A279="","",ROW())</f>
        <v/>
      </c>
      <c r="L279">
        <f>IF('01_Warehouse_Ledger'!$A279="","",'01_Warehouse_Ledger'!$A279)</f>
        <v/>
      </c>
    </row>
    <row r="280">
      <c r="I280">
        <f>IF(OR($A280="",$B280=""),"",IF(COUNTIFS($A$2:$A280,$A280,$B$2:$B280,$B280)=1,1,0))</f>
        <v/>
      </c>
      <c r="J280">
        <f>IF($A280="","",ROW())</f>
        <v/>
      </c>
      <c r="L280">
        <f>IF('01_Warehouse_Ledger'!$A280="","",'01_Warehouse_Ledger'!$A280)</f>
        <v/>
      </c>
    </row>
    <row r="281">
      <c r="I281">
        <f>IF(OR($A281="",$B281=""),"",IF(COUNTIFS($A$2:$A281,$A281,$B$2:$B281,$B281)=1,1,0))</f>
        <v/>
      </c>
      <c r="J281">
        <f>IF($A281="","",ROW())</f>
        <v/>
      </c>
      <c r="L281">
        <f>IF('01_Warehouse_Ledger'!$A281="","",'01_Warehouse_Ledger'!$A281)</f>
        <v/>
      </c>
    </row>
    <row r="282">
      <c r="I282">
        <f>IF(OR($A282="",$B282=""),"",IF(COUNTIFS($A$2:$A282,$A282,$B$2:$B282,$B282)=1,1,0))</f>
        <v/>
      </c>
      <c r="J282">
        <f>IF($A282="","",ROW())</f>
        <v/>
      </c>
      <c r="L282">
        <f>IF('01_Warehouse_Ledger'!$A282="","",'01_Warehouse_Ledger'!$A282)</f>
        <v/>
      </c>
    </row>
    <row r="283">
      <c r="I283">
        <f>IF(OR($A283="",$B283=""),"",IF(COUNTIFS($A$2:$A283,$A283,$B$2:$B283,$B283)=1,1,0))</f>
        <v/>
      </c>
      <c r="J283">
        <f>IF($A283="","",ROW())</f>
        <v/>
      </c>
      <c r="L283">
        <f>IF('01_Warehouse_Ledger'!$A283="","",'01_Warehouse_Ledger'!$A283)</f>
        <v/>
      </c>
    </row>
    <row r="284">
      <c r="I284">
        <f>IF(OR($A284="",$B284=""),"",IF(COUNTIFS($A$2:$A284,$A284,$B$2:$B284,$B284)=1,1,0))</f>
        <v/>
      </c>
      <c r="J284">
        <f>IF($A284="","",ROW())</f>
        <v/>
      </c>
      <c r="L284">
        <f>IF('01_Warehouse_Ledger'!$A284="","",'01_Warehouse_Ledger'!$A284)</f>
        <v/>
      </c>
    </row>
    <row r="285">
      <c r="I285">
        <f>IF(OR($A285="",$B285=""),"",IF(COUNTIFS($A$2:$A285,$A285,$B$2:$B285,$B285)=1,1,0))</f>
        <v/>
      </c>
      <c r="J285">
        <f>IF($A285="","",ROW())</f>
        <v/>
      </c>
      <c r="L285">
        <f>IF('01_Warehouse_Ledger'!$A285="","",'01_Warehouse_Ledger'!$A285)</f>
        <v/>
      </c>
    </row>
    <row r="286">
      <c r="I286">
        <f>IF(OR($A286="",$B286=""),"",IF(COUNTIFS($A$2:$A286,$A286,$B$2:$B286,$B286)=1,1,0))</f>
        <v/>
      </c>
      <c r="J286">
        <f>IF($A286="","",ROW())</f>
        <v/>
      </c>
      <c r="L286">
        <f>IF('01_Warehouse_Ledger'!$A286="","",'01_Warehouse_Ledger'!$A286)</f>
        <v/>
      </c>
    </row>
    <row r="287">
      <c r="I287">
        <f>IF(OR($A287="",$B287=""),"",IF(COUNTIFS($A$2:$A287,$A287,$B$2:$B287,$B287)=1,1,0))</f>
        <v/>
      </c>
      <c r="J287">
        <f>IF($A287="","",ROW())</f>
        <v/>
      </c>
      <c r="L287">
        <f>IF('01_Warehouse_Ledger'!$A287="","",'01_Warehouse_Ledger'!$A287)</f>
        <v/>
      </c>
    </row>
    <row r="288">
      <c r="I288">
        <f>IF(OR($A288="",$B288=""),"",IF(COUNTIFS($A$2:$A288,$A288,$B$2:$B288,$B288)=1,1,0))</f>
        <v/>
      </c>
      <c r="J288">
        <f>IF($A288="","",ROW())</f>
        <v/>
      </c>
      <c r="L288">
        <f>IF('01_Warehouse_Ledger'!$A288="","",'01_Warehouse_Ledger'!$A288)</f>
        <v/>
      </c>
    </row>
    <row r="289">
      <c r="I289">
        <f>IF(OR($A289="",$B289=""),"",IF(COUNTIFS($A$2:$A289,$A289,$B$2:$B289,$B289)=1,1,0))</f>
        <v/>
      </c>
      <c r="J289">
        <f>IF($A289="","",ROW())</f>
        <v/>
      </c>
      <c r="L289">
        <f>IF('01_Warehouse_Ledger'!$A289="","",'01_Warehouse_Ledger'!$A289)</f>
        <v/>
      </c>
    </row>
    <row r="290">
      <c r="I290">
        <f>IF(OR($A290="",$B290=""),"",IF(COUNTIFS($A$2:$A290,$A290,$B$2:$B290,$B290)=1,1,0))</f>
        <v/>
      </c>
      <c r="J290">
        <f>IF($A290="","",ROW())</f>
        <v/>
      </c>
      <c r="L290">
        <f>IF('01_Warehouse_Ledger'!$A290="","",'01_Warehouse_Ledger'!$A290)</f>
        <v/>
      </c>
    </row>
    <row r="291">
      <c r="I291">
        <f>IF(OR($A291="",$B291=""),"",IF(COUNTIFS($A$2:$A291,$A291,$B$2:$B291,$B291)=1,1,0))</f>
        <v/>
      </c>
      <c r="J291">
        <f>IF($A291="","",ROW())</f>
        <v/>
      </c>
      <c r="L291">
        <f>IF('01_Warehouse_Ledger'!$A291="","",'01_Warehouse_Ledger'!$A291)</f>
        <v/>
      </c>
    </row>
    <row r="292">
      <c r="I292">
        <f>IF(OR($A292="",$B292=""),"",IF(COUNTIFS($A$2:$A292,$A292,$B$2:$B292,$B292)=1,1,0))</f>
        <v/>
      </c>
      <c r="J292">
        <f>IF($A292="","",ROW())</f>
        <v/>
      </c>
      <c r="L292">
        <f>IF('01_Warehouse_Ledger'!$A292="","",'01_Warehouse_Ledger'!$A292)</f>
        <v/>
      </c>
    </row>
    <row r="293">
      <c r="I293">
        <f>IF(OR($A293="",$B293=""),"",IF(COUNTIFS($A$2:$A293,$A293,$B$2:$B293,$B293)=1,1,0))</f>
        <v/>
      </c>
      <c r="J293">
        <f>IF($A293="","",ROW())</f>
        <v/>
      </c>
      <c r="L293">
        <f>IF('01_Warehouse_Ledger'!$A293="","",'01_Warehouse_Ledger'!$A293)</f>
        <v/>
      </c>
    </row>
    <row r="294">
      <c r="I294">
        <f>IF(OR($A294="",$B294=""),"",IF(COUNTIFS($A$2:$A294,$A294,$B$2:$B294,$B294)=1,1,0))</f>
        <v/>
      </c>
      <c r="J294">
        <f>IF($A294="","",ROW())</f>
        <v/>
      </c>
      <c r="L294">
        <f>IF('01_Warehouse_Ledger'!$A294="","",'01_Warehouse_Ledger'!$A294)</f>
        <v/>
      </c>
    </row>
    <row r="295">
      <c r="I295">
        <f>IF(OR($A295="",$B295=""),"",IF(COUNTIFS($A$2:$A295,$A295,$B$2:$B295,$B295)=1,1,0))</f>
        <v/>
      </c>
      <c r="J295">
        <f>IF($A295="","",ROW())</f>
        <v/>
      </c>
      <c r="L295">
        <f>IF('01_Warehouse_Ledger'!$A295="","",'01_Warehouse_Ledger'!$A295)</f>
        <v/>
      </c>
    </row>
    <row r="296">
      <c r="I296">
        <f>IF(OR($A296="",$B296=""),"",IF(COUNTIFS($A$2:$A296,$A296,$B$2:$B296,$B296)=1,1,0))</f>
        <v/>
      </c>
      <c r="J296">
        <f>IF($A296="","",ROW())</f>
        <v/>
      </c>
      <c r="L296">
        <f>IF('01_Warehouse_Ledger'!$A296="","",'01_Warehouse_Ledger'!$A296)</f>
        <v/>
      </c>
    </row>
    <row r="297">
      <c r="I297">
        <f>IF(OR($A297="",$B297=""),"",IF(COUNTIFS($A$2:$A297,$A297,$B$2:$B297,$B297)=1,1,0))</f>
        <v/>
      </c>
      <c r="J297">
        <f>IF($A297="","",ROW())</f>
        <v/>
      </c>
      <c r="L297">
        <f>IF('01_Warehouse_Ledger'!$A297="","",'01_Warehouse_Ledger'!$A297)</f>
        <v/>
      </c>
    </row>
    <row r="298">
      <c r="I298">
        <f>IF(OR($A298="",$B298=""),"",IF(COUNTIFS($A$2:$A298,$A298,$B$2:$B298,$B298)=1,1,0))</f>
        <v/>
      </c>
      <c r="J298">
        <f>IF($A298="","",ROW())</f>
        <v/>
      </c>
      <c r="L298">
        <f>IF('01_Warehouse_Ledger'!$A298="","",'01_Warehouse_Ledger'!$A298)</f>
        <v/>
      </c>
    </row>
    <row r="299">
      <c r="I299">
        <f>IF(OR($A299="",$B299=""),"",IF(COUNTIFS($A$2:$A299,$A299,$B$2:$B299,$B299)=1,1,0))</f>
        <v/>
      </c>
      <c r="J299">
        <f>IF($A299="","",ROW())</f>
        <v/>
      </c>
      <c r="L299">
        <f>IF('01_Warehouse_Ledger'!$A299="","",'01_Warehouse_Ledger'!$A299)</f>
        <v/>
      </c>
    </row>
    <row r="300">
      <c r="I300">
        <f>IF(OR($A300="",$B300=""),"",IF(COUNTIFS($A$2:$A300,$A300,$B$2:$B300,$B300)=1,1,0))</f>
        <v/>
      </c>
      <c r="J300">
        <f>IF($A300="","",ROW())</f>
        <v/>
      </c>
      <c r="L300">
        <f>IF('01_Warehouse_Ledger'!$A300="","",'01_Warehouse_Ledger'!$A300)</f>
        <v/>
      </c>
    </row>
    <row r="301">
      <c r="I301">
        <f>IF(OR($A301="",$B301=""),"",IF(COUNTIFS($A$2:$A301,$A301,$B$2:$B301,$B301)=1,1,0))</f>
        <v/>
      </c>
      <c r="J301">
        <f>IF($A301="","",ROW())</f>
        <v/>
      </c>
      <c r="L301">
        <f>IF('01_Warehouse_Ledger'!$A301="","",'01_Warehouse_Ledger'!$A301)</f>
        <v/>
      </c>
    </row>
    <row r="302">
      <c r="I302">
        <f>IF(OR($A302="",$B302=""),"",IF(COUNTIFS($A$2:$A302,$A302,$B$2:$B302,$B302)=1,1,0))</f>
        <v/>
      </c>
      <c r="J302">
        <f>IF($A302="","",ROW())</f>
        <v/>
      </c>
      <c r="L302">
        <f>IF('01_Warehouse_Ledger'!$A302="","",'01_Warehouse_Ledger'!$A302)</f>
        <v/>
      </c>
    </row>
    <row r="303">
      <c r="I303">
        <f>IF(OR($A303="",$B303=""),"",IF(COUNTIFS($A$2:$A303,$A303,$B$2:$B303,$B303)=1,1,0))</f>
        <v/>
      </c>
      <c r="J303">
        <f>IF($A303="","",ROW())</f>
        <v/>
      </c>
      <c r="L303">
        <f>IF('01_Warehouse_Ledger'!$A303="","",'01_Warehouse_Ledger'!$A303)</f>
        <v/>
      </c>
    </row>
    <row r="304">
      <c r="I304">
        <f>IF(OR($A304="",$B304=""),"",IF(COUNTIFS($A$2:$A304,$A304,$B$2:$B304,$B304)=1,1,0))</f>
        <v/>
      </c>
      <c r="J304">
        <f>IF($A304="","",ROW())</f>
        <v/>
      </c>
      <c r="L304">
        <f>IF('01_Warehouse_Ledger'!$A304="","",'01_Warehouse_Ledger'!$A304)</f>
        <v/>
      </c>
    </row>
    <row r="305">
      <c r="I305">
        <f>IF(OR($A305="",$B305=""),"",IF(COUNTIFS($A$2:$A305,$A305,$B$2:$B305,$B305)=1,1,0))</f>
        <v/>
      </c>
      <c r="J305">
        <f>IF($A305="","",ROW())</f>
        <v/>
      </c>
      <c r="L305">
        <f>IF('01_Warehouse_Ledger'!$A305="","",'01_Warehouse_Ledger'!$A305)</f>
        <v/>
      </c>
    </row>
    <row r="306">
      <c r="I306">
        <f>IF(OR($A306="",$B306=""),"",IF(COUNTIFS($A$2:$A306,$A306,$B$2:$B306,$B306)=1,1,0))</f>
        <v/>
      </c>
      <c r="J306">
        <f>IF($A306="","",ROW())</f>
        <v/>
      </c>
      <c r="L306">
        <f>IF('01_Warehouse_Ledger'!$A306="","",'01_Warehouse_Ledger'!$A306)</f>
        <v/>
      </c>
    </row>
    <row r="307">
      <c r="I307">
        <f>IF(OR($A307="",$B307=""),"",IF(COUNTIFS($A$2:$A307,$A307,$B$2:$B307,$B307)=1,1,0))</f>
        <v/>
      </c>
      <c r="J307">
        <f>IF($A307="","",ROW())</f>
        <v/>
      </c>
      <c r="L307">
        <f>IF('01_Warehouse_Ledger'!$A307="","",'01_Warehouse_Ledger'!$A307)</f>
        <v/>
      </c>
    </row>
    <row r="308">
      <c r="I308">
        <f>IF(OR($A308="",$B308=""),"",IF(COUNTIFS($A$2:$A308,$A308,$B$2:$B308,$B308)=1,1,0))</f>
        <v/>
      </c>
      <c r="J308">
        <f>IF($A308="","",ROW())</f>
        <v/>
      </c>
      <c r="L308">
        <f>IF('01_Warehouse_Ledger'!$A308="","",'01_Warehouse_Ledger'!$A308)</f>
        <v/>
      </c>
    </row>
    <row r="309">
      <c r="I309">
        <f>IF(OR($A309="",$B309=""),"",IF(COUNTIFS($A$2:$A309,$A309,$B$2:$B309,$B309)=1,1,0))</f>
        <v/>
      </c>
      <c r="J309">
        <f>IF($A309="","",ROW())</f>
        <v/>
      </c>
      <c r="L309">
        <f>IF('01_Warehouse_Ledger'!$A309="","",'01_Warehouse_Ledger'!$A309)</f>
        <v/>
      </c>
    </row>
    <row r="310">
      <c r="I310">
        <f>IF(OR($A310="",$B310=""),"",IF(COUNTIFS($A$2:$A310,$A310,$B$2:$B310,$B310)=1,1,0))</f>
        <v/>
      </c>
      <c r="J310">
        <f>IF($A310="","",ROW())</f>
        <v/>
      </c>
      <c r="L310">
        <f>IF('01_Warehouse_Ledger'!$A310="","",'01_Warehouse_Ledger'!$A310)</f>
        <v/>
      </c>
    </row>
    <row r="311">
      <c r="I311">
        <f>IF(OR($A311="",$B311=""),"",IF(COUNTIFS($A$2:$A311,$A311,$B$2:$B311,$B311)=1,1,0))</f>
        <v/>
      </c>
      <c r="J311">
        <f>IF($A311="","",ROW())</f>
        <v/>
      </c>
      <c r="L311">
        <f>IF('01_Warehouse_Ledger'!$A311="","",'01_Warehouse_Ledger'!$A311)</f>
        <v/>
      </c>
    </row>
    <row r="312">
      <c r="I312">
        <f>IF(OR($A312="",$B312=""),"",IF(COUNTIFS($A$2:$A312,$A312,$B$2:$B312,$B312)=1,1,0))</f>
        <v/>
      </c>
      <c r="J312">
        <f>IF($A312="","",ROW())</f>
        <v/>
      </c>
      <c r="L312">
        <f>IF('01_Warehouse_Ledger'!$A312="","",'01_Warehouse_Ledger'!$A312)</f>
        <v/>
      </c>
    </row>
    <row r="313">
      <c r="I313">
        <f>IF(OR($A313="",$B313=""),"",IF(COUNTIFS($A$2:$A313,$A313,$B$2:$B313,$B313)=1,1,0))</f>
        <v/>
      </c>
      <c r="J313">
        <f>IF($A313="","",ROW())</f>
        <v/>
      </c>
      <c r="L313">
        <f>IF('01_Warehouse_Ledger'!$A313="","",'01_Warehouse_Ledger'!$A313)</f>
        <v/>
      </c>
    </row>
    <row r="314">
      <c r="I314">
        <f>IF(OR($A314="",$B314=""),"",IF(COUNTIFS($A$2:$A314,$A314,$B$2:$B314,$B314)=1,1,0))</f>
        <v/>
      </c>
      <c r="J314">
        <f>IF($A314="","",ROW())</f>
        <v/>
      </c>
      <c r="L314">
        <f>IF('01_Warehouse_Ledger'!$A314="","",'01_Warehouse_Ledger'!$A314)</f>
        <v/>
      </c>
    </row>
    <row r="315">
      <c r="I315">
        <f>IF(OR($A315="",$B315=""),"",IF(COUNTIFS($A$2:$A315,$A315,$B$2:$B315,$B315)=1,1,0))</f>
        <v/>
      </c>
      <c r="J315">
        <f>IF($A315="","",ROW())</f>
        <v/>
      </c>
      <c r="L315">
        <f>IF('01_Warehouse_Ledger'!$A315="","",'01_Warehouse_Ledger'!$A315)</f>
        <v/>
      </c>
    </row>
    <row r="316">
      <c r="I316">
        <f>IF(OR($A316="",$B316=""),"",IF(COUNTIFS($A$2:$A316,$A316,$B$2:$B316,$B316)=1,1,0))</f>
        <v/>
      </c>
      <c r="J316">
        <f>IF($A316="","",ROW())</f>
        <v/>
      </c>
      <c r="L316">
        <f>IF('01_Warehouse_Ledger'!$A316="","",'01_Warehouse_Ledger'!$A316)</f>
        <v/>
      </c>
    </row>
    <row r="317">
      <c r="I317">
        <f>IF(OR($A317="",$B317=""),"",IF(COUNTIFS($A$2:$A317,$A317,$B$2:$B317,$B317)=1,1,0))</f>
        <v/>
      </c>
      <c r="J317">
        <f>IF($A317="","",ROW())</f>
        <v/>
      </c>
      <c r="L317">
        <f>IF('01_Warehouse_Ledger'!$A317="","",'01_Warehouse_Ledger'!$A317)</f>
        <v/>
      </c>
    </row>
    <row r="318">
      <c r="I318">
        <f>IF(OR($A318="",$B318=""),"",IF(COUNTIFS($A$2:$A318,$A318,$B$2:$B318,$B318)=1,1,0))</f>
        <v/>
      </c>
      <c r="J318">
        <f>IF($A318="","",ROW())</f>
        <v/>
      </c>
      <c r="L318">
        <f>IF('01_Warehouse_Ledger'!$A318="","",'01_Warehouse_Ledger'!$A318)</f>
        <v/>
      </c>
    </row>
    <row r="319">
      <c r="I319">
        <f>IF(OR($A319="",$B319=""),"",IF(COUNTIFS($A$2:$A319,$A319,$B$2:$B319,$B319)=1,1,0))</f>
        <v/>
      </c>
      <c r="J319">
        <f>IF($A319="","",ROW())</f>
        <v/>
      </c>
      <c r="L319">
        <f>IF('01_Warehouse_Ledger'!$A319="","",'01_Warehouse_Ledger'!$A319)</f>
        <v/>
      </c>
    </row>
    <row r="320">
      <c r="I320">
        <f>IF(OR($A320="",$B320=""),"",IF(COUNTIFS($A$2:$A320,$A320,$B$2:$B320,$B320)=1,1,0))</f>
        <v/>
      </c>
      <c r="J320">
        <f>IF($A320="","",ROW())</f>
        <v/>
      </c>
      <c r="L320">
        <f>IF('01_Warehouse_Ledger'!$A320="","",'01_Warehouse_Ledger'!$A320)</f>
        <v/>
      </c>
    </row>
    <row r="321">
      <c r="I321">
        <f>IF(OR($A321="",$B321=""),"",IF(COUNTIFS($A$2:$A321,$A321,$B$2:$B321,$B321)=1,1,0))</f>
        <v/>
      </c>
      <c r="J321">
        <f>IF($A321="","",ROW())</f>
        <v/>
      </c>
      <c r="L321">
        <f>IF('01_Warehouse_Ledger'!$A321="","",'01_Warehouse_Ledger'!$A321)</f>
        <v/>
      </c>
    </row>
    <row r="322">
      <c r="I322">
        <f>IF(OR($A322="",$B322=""),"",IF(COUNTIFS($A$2:$A322,$A322,$B$2:$B322,$B322)=1,1,0))</f>
        <v/>
      </c>
      <c r="J322">
        <f>IF($A322="","",ROW())</f>
        <v/>
      </c>
      <c r="L322">
        <f>IF('01_Warehouse_Ledger'!$A322="","",'01_Warehouse_Ledger'!$A322)</f>
        <v/>
      </c>
    </row>
    <row r="323">
      <c r="I323">
        <f>IF(OR($A323="",$B323=""),"",IF(COUNTIFS($A$2:$A323,$A323,$B$2:$B323,$B323)=1,1,0))</f>
        <v/>
      </c>
      <c r="J323">
        <f>IF($A323="","",ROW())</f>
        <v/>
      </c>
      <c r="L323">
        <f>IF('01_Warehouse_Ledger'!$A323="","",'01_Warehouse_Ledger'!$A323)</f>
        <v/>
      </c>
    </row>
    <row r="324">
      <c r="I324">
        <f>IF(OR($A324="",$B324=""),"",IF(COUNTIFS($A$2:$A324,$A324,$B$2:$B324,$B324)=1,1,0))</f>
        <v/>
      </c>
      <c r="J324">
        <f>IF($A324="","",ROW())</f>
        <v/>
      </c>
      <c r="L324">
        <f>IF('01_Warehouse_Ledger'!$A324="","",'01_Warehouse_Ledger'!$A324)</f>
        <v/>
      </c>
    </row>
    <row r="325">
      <c r="I325">
        <f>IF(OR($A325="",$B325=""),"",IF(COUNTIFS($A$2:$A325,$A325,$B$2:$B325,$B325)=1,1,0))</f>
        <v/>
      </c>
      <c r="J325">
        <f>IF($A325="","",ROW())</f>
        <v/>
      </c>
      <c r="L325">
        <f>IF('01_Warehouse_Ledger'!$A325="","",'01_Warehouse_Ledger'!$A325)</f>
        <v/>
      </c>
    </row>
    <row r="326">
      <c r="I326">
        <f>IF(OR($A326="",$B326=""),"",IF(COUNTIFS($A$2:$A326,$A326,$B$2:$B326,$B326)=1,1,0))</f>
        <v/>
      </c>
      <c r="J326">
        <f>IF($A326="","",ROW())</f>
        <v/>
      </c>
      <c r="L326">
        <f>IF('01_Warehouse_Ledger'!$A326="","",'01_Warehouse_Ledger'!$A326)</f>
        <v/>
      </c>
    </row>
    <row r="327">
      <c r="I327">
        <f>IF(OR($A327="",$B327=""),"",IF(COUNTIFS($A$2:$A327,$A327,$B$2:$B327,$B327)=1,1,0))</f>
        <v/>
      </c>
      <c r="J327">
        <f>IF($A327="","",ROW())</f>
        <v/>
      </c>
      <c r="L327">
        <f>IF('01_Warehouse_Ledger'!$A327="","",'01_Warehouse_Ledger'!$A327)</f>
        <v/>
      </c>
    </row>
    <row r="328">
      <c r="I328">
        <f>IF(OR($A328="",$B328=""),"",IF(COUNTIFS($A$2:$A328,$A328,$B$2:$B328,$B328)=1,1,0))</f>
        <v/>
      </c>
      <c r="J328">
        <f>IF($A328="","",ROW())</f>
        <v/>
      </c>
      <c r="L328">
        <f>IF('01_Warehouse_Ledger'!$A328="","",'01_Warehouse_Ledger'!$A328)</f>
        <v/>
      </c>
    </row>
    <row r="329">
      <c r="I329">
        <f>IF(OR($A329="",$B329=""),"",IF(COUNTIFS($A$2:$A329,$A329,$B$2:$B329,$B329)=1,1,0))</f>
        <v/>
      </c>
      <c r="J329">
        <f>IF($A329="","",ROW())</f>
        <v/>
      </c>
      <c r="L329">
        <f>IF('01_Warehouse_Ledger'!$A329="","",'01_Warehouse_Ledger'!$A329)</f>
        <v/>
      </c>
    </row>
    <row r="330">
      <c r="I330">
        <f>IF(OR($A330="",$B330=""),"",IF(COUNTIFS($A$2:$A330,$A330,$B$2:$B330,$B330)=1,1,0))</f>
        <v/>
      </c>
      <c r="J330">
        <f>IF($A330="","",ROW())</f>
        <v/>
      </c>
      <c r="L330">
        <f>IF('01_Warehouse_Ledger'!$A330="","",'01_Warehouse_Ledger'!$A330)</f>
        <v/>
      </c>
    </row>
    <row r="331">
      <c r="I331">
        <f>IF(OR($A331="",$B331=""),"",IF(COUNTIFS($A$2:$A331,$A331,$B$2:$B331,$B331)=1,1,0))</f>
        <v/>
      </c>
      <c r="J331">
        <f>IF($A331="","",ROW())</f>
        <v/>
      </c>
      <c r="L331">
        <f>IF('01_Warehouse_Ledger'!$A331="","",'01_Warehouse_Ledger'!$A331)</f>
        <v/>
      </c>
    </row>
    <row r="332">
      <c r="I332">
        <f>IF(OR($A332="",$B332=""),"",IF(COUNTIFS($A$2:$A332,$A332,$B$2:$B332,$B332)=1,1,0))</f>
        <v/>
      </c>
      <c r="J332">
        <f>IF($A332="","",ROW())</f>
        <v/>
      </c>
      <c r="L332">
        <f>IF('01_Warehouse_Ledger'!$A332="","",'01_Warehouse_Ledger'!$A332)</f>
        <v/>
      </c>
    </row>
    <row r="333">
      <c r="I333">
        <f>IF(OR($A333="",$B333=""),"",IF(COUNTIFS($A$2:$A333,$A333,$B$2:$B333,$B333)=1,1,0))</f>
        <v/>
      </c>
      <c r="J333">
        <f>IF($A333="","",ROW())</f>
        <v/>
      </c>
      <c r="L333">
        <f>IF('01_Warehouse_Ledger'!$A333="","",'01_Warehouse_Ledger'!$A333)</f>
        <v/>
      </c>
    </row>
    <row r="334">
      <c r="I334">
        <f>IF(OR($A334="",$B334=""),"",IF(COUNTIFS($A$2:$A334,$A334,$B$2:$B334,$B334)=1,1,0))</f>
        <v/>
      </c>
      <c r="J334">
        <f>IF($A334="","",ROW())</f>
        <v/>
      </c>
      <c r="L334">
        <f>IF('01_Warehouse_Ledger'!$A334="","",'01_Warehouse_Ledger'!$A334)</f>
        <v/>
      </c>
    </row>
    <row r="335">
      <c r="I335">
        <f>IF(OR($A335="",$B335=""),"",IF(COUNTIFS($A$2:$A335,$A335,$B$2:$B335,$B335)=1,1,0))</f>
        <v/>
      </c>
      <c r="J335">
        <f>IF($A335="","",ROW())</f>
        <v/>
      </c>
      <c r="L335">
        <f>IF('01_Warehouse_Ledger'!$A335="","",'01_Warehouse_Ledger'!$A335)</f>
        <v/>
      </c>
    </row>
    <row r="336">
      <c r="I336">
        <f>IF(OR($A336="",$B336=""),"",IF(COUNTIFS($A$2:$A336,$A336,$B$2:$B336,$B336)=1,1,0))</f>
        <v/>
      </c>
      <c r="J336">
        <f>IF($A336="","",ROW())</f>
        <v/>
      </c>
      <c r="L336">
        <f>IF('01_Warehouse_Ledger'!$A336="","",'01_Warehouse_Ledger'!$A336)</f>
        <v/>
      </c>
    </row>
    <row r="337">
      <c r="I337">
        <f>IF(OR($A337="",$B337=""),"",IF(COUNTIFS($A$2:$A337,$A337,$B$2:$B337,$B337)=1,1,0))</f>
        <v/>
      </c>
      <c r="J337">
        <f>IF($A337="","",ROW())</f>
        <v/>
      </c>
      <c r="L337">
        <f>IF('01_Warehouse_Ledger'!$A337="","",'01_Warehouse_Ledger'!$A337)</f>
        <v/>
      </c>
    </row>
    <row r="338">
      <c r="I338">
        <f>IF(OR($A338="",$B338=""),"",IF(COUNTIFS($A$2:$A338,$A338,$B$2:$B338,$B338)=1,1,0))</f>
        <v/>
      </c>
      <c r="J338">
        <f>IF($A338="","",ROW())</f>
        <v/>
      </c>
      <c r="L338">
        <f>IF('01_Warehouse_Ledger'!$A338="","",'01_Warehouse_Ledger'!$A338)</f>
        <v/>
      </c>
    </row>
    <row r="339">
      <c r="I339">
        <f>IF(OR($A339="",$B339=""),"",IF(COUNTIFS($A$2:$A339,$A339,$B$2:$B339,$B339)=1,1,0))</f>
        <v/>
      </c>
      <c r="J339">
        <f>IF($A339="","",ROW())</f>
        <v/>
      </c>
      <c r="L339">
        <f>IF('01_Warehouse_Ledger'!$A339="","",'01_Warehouse_Ledger'!$A339)</f>
        <v/>
      </c>
    </row>
    <row r="340">
      <c r="I340">
        <f>IF(OR($A340="",$B340=""),"",IF(COUNTIFS($A$2:$A340,$A340,$B$2:$B340,$B340)=1,1,0))</f>
        <v/>
      </c>
      <c r="J340">
        <f>IF($A340="","",ROW())</f>
        <v/>
      </c>
      <c r="L340">
        <f>IF('01_Warehouse_Ledger'!$A340="","",'01_Warehouse_Ledger'!$A340)</f>
        <v/>
      </c>
    </row>
    <row r="341">
      <c r="I341">
        <f>IF(OR($A341="",$B341=""),"",IF(COUNTIFS($A$2:$A341,$A341,$B$2:$B341,$B341)=1,1,0))</f>
        <v/>
      </c>
      <c r="J341">
        <f>IF($A341="","",ROW())</f>
        <v/>
      </c>
      <c r="L341">
        <f>IF('01_Warehouse_Ledger'!$A341="","",'01_Warehouse_Ledger'!$A341)</f>
        <v/>
      </c>
    </row>
    <row r="342">
      <c r="I342">
        <f>IF(OR($A342="",$B342=""),"",IF(COUNTIFS($A$2:$A342,$A342,$B$2:$B342,$B342)=1,1,0))</f>
        <v/>
      </c>
      <c r="J342">
        <f>IF($A342="","",ROW())</f>
        <v/>
      </c>
      <c r="L342">
        <f>IF('01_Warehouse_Ledger'!$A342="","",'01_Warehouse_Ledger'!$A342)</f>
        <v/>
      </c>
    </row>
    <row r="343">
      <c r="I343">
        <f>IF(OR($A343="",$B343=""),"",IF(COUNTIFS($A$2:$A343,$A343,$B$2:$B343,$B343)=1,1,0))</f>
        <v/>
      </c>
      <c r="J343">
        <f>IF($A343="","",ROW())</f>
        <v/>
      </c>
      <c r="L343">
        <f>IF('01_Warehouse_Ledger'!$A343="","",'01_Warehouse_Ledger'!$A343)</f>
        <v/>
      </c>
    </row>
    <row r="344">
      <c r="I344">
        <f>IF(OR($A344="",$B344=""),"",IF(COUNTIFS($A$2:$A344,$A344,$B$2:$B344,$B344)=1,1,0))</f>
        <v/>
      </c>
      <c r="J344">
        <f>IF($A344="","",ROW())</f>
        <v/>
      </c>
      <c r="L344">
        <f>IF('01_Warehouse_Ledger'!$A344="","",'01_Warehouse_Ledger'!$A344)</f>
        <v/>
      </c>
    </row>
    <row r="345">
      <c r="I345">
        <f>IF(OR($A345="",$B345=""),"",IF(COUNTIFS($A$2:$A345,$A345,$B$2:$B345,$B345)=1,1,0))</f>
        <v/>
      </c>
      <c r="J345">
        <f>IF($A345="","",ROW())</f>
        <v/>
      </c>
      <c r="L345">
        <f>IF('01_Warehouse_Ledger'!$A345="","",'01_Warehouse_Ledger'!$A345)</f>
        <v/>
      </c>
    </row>
    <row r="346">
      <c r="I346">
        <f>IF(OR($A346="",$B346=""),"",IF(COUNTIFS($A$2:$A346,$A346,$B$2:$B346,$B346)=1,1,0))</f>
        <v/>
      </c>
      <c r="J346">
        <f>IF($A346="","",ROW())</f>
        <v/>
      </c>
      <c r="L346">
        <f>IF('01_Warehouse_Ledger'!$A346="","",'01_Warehouse_Ledger'!$A346)</f>
        <v/>
      </c>
    </row>
    <row r="347">
      <c r="I347">
        <f>IF(OR($A347="",$B347=""),"",IF(COUNTIFS($A$2:$A347,$A347,$B$2:$B347,$B347)=1,1,0))</f>
        <v/>
      </c>
      <c r="J347">
        <f>IF($A347="","",ROW())</f>
        <v/>
      </c>
      <c r="L347">
        <f>IF('01_Warehouse_Ledger'!$A347="","",'01_Warehouse_Ledger'!$A347)</f>
        <v/>
      </c>
    </row>
    <row r="348">
      <c r="I348">
        <f>IF(OR($A348="",$B348=""),"",IF(COUNTIFS($A$2:$A348,$A348,$B$2:$B348,$B348)=1,1,0))</f>
        <v/>
      </c>
      <c r="J348">
        <f>IF($A348="","",ROW())</f>
        <v/>
      </c>
      <c r="L348">
        <f>IF('01_Warehouse_Ledger'!$A348="","",'01_Warehouse_Ledger'!$A348)</f>
        <v/>
      </c>
    </row>
    <row r="349">
      <c r="I349">
        <f>IF(OR($A349="",$B349=""),"",IF(COUNTIFS($A$2:$A349,$A349,$B$2:$B349,$B349)=1,1,0))</f>
        <v/>
      </c>
      <c r="J349">
        <f>IF($A349="","",ROW())</f>
        <v/>
      </c>
      <c r="L349">
        <f>IF('01_Warehouse_Ledger'!$A349="","",'01_Warehouse_Ledger'!$A349)</f>
        <v/>
      </c>
    </row>
    <row r="350">
      <c r="I350">
        <f>IF(OR($A350="",$B350=""),"",IF(COUNTIFS($A$2:$A350,$A350,$B$2:$B350,$B350)=1,1,0))</f>
        <v/>
      </c>
      <c r="J350">
        <f>IF($A350="","",ROW())</f>
        <v/>
      </c>
      <c r="L350">
        <f>IF('01_Warehouse_Ledger'!$A350="","",'01_Warehouse_Ledger'!$A350)</f>
        <v/>
      </c>
    </row>
    <row r="351">
      <c r="I351">
        <f>IF(OR($A351="",$B351=""),"",IF(COUNTIFS($A$2:$A351,$A351,$B$2:$B351,$B351)=1,1,0))</f>
        <v/>
      </c>
      <c r="J351">
        <f>IF($A351="","",ROW())</f>
        <v/>
      </c>
      <c r="L351">
        <f>IF('01_Warehouse_Ledger'!$A351="","",'01_Warehouse_Ledger'!$A351)</f>
        <v/>
      </c>
    </row>
    <row r="352">
      <c r="I352">
        <f>IF(OR($A352="",$B352=""),"",IF(COUNTIFS($A$2:$A352,$A352,$B$2:$B352,$B352)=1,1,0))</f>
        <v/>
      </c>
      <c r="J352">
        <f>IF($A352="","",ROW())</f>
        <v/>
      </c>
      <c r="L352">
        <f>IF('01_Warehouse_Ledger'!$A352="","",'01_Warehouse_Ledger'!$A352)</f>
        <v/>
      </c>
    </row>
    <row r="353">
      <c r="I353">
        <f>IF(OR($A353="",$B353=""),"",IF(COUNTIFS($A$2:$A353,$A353,$B$2:$B353,$B353)=1,1,0))</f>
        <v/>
      </c>
      <c r="J353">
        <f>IF($A353="","",ROW())</f>
        <v/>
      </c>
      <c r="L353">
        <f>IF('01_Warehouse_Ledger'!$A353="","",'01_Warehouse_Ledger'!$A353)</f>
        <v/>
      </c>
    </row>
    <row r="354">
      <c r="I354">
        <f>IF(OR($A354="",$B354=""),"",IF(COUNTIFS($A$2:$A354,$A354,$B$2:$B354,$B354)=1,1,0))</f>
        <v/>
      </c>
      <c r="J354">
        <f>IF($A354="","",ROW())</f>
        <v/>
      </c>
      <c r="L354">
        <f>IF('01_Warehouse_Ledger'!$A354="","",'01_Warehouse_Ledger'!$A354)</f>
        <v/>
      </c>
    </row>
    <row r="355">
      <c r="I355">
        <f>IF(OR($A355="",$B355=""),"",IF(COUNTIFS($A$2:$A355,$A355,$B$2:$B355,$B355)=1,1,0))</f>
        <v/>
      </c>
      <c r="J355">
        <f>IF($A355="","",ROW())</f>
        <v/>
      </c>
      <c r="L355">
        <f>IF('01_Warehouse_Ledger'!$A355="","",'01_Warehouse_Ledger'!$A355)</f>
        <v/>
      </c>
    </row>
    <row r="356">
      <c r="I356">
        <f>IF(OR($A356="",$B356=""),"",IF(COUNTIFS($A$2:$A356,$A356,$B$2:$B356,$B356)=1,1,0))</f>
        <v/>
      </c>
      <c r="J356">
        <f>IF($A356="","",ROW())</f>
        <v/>
      </c>
      <c r="L356">
        <f>IF('01_Warehouse_Ledger'!$A356="","",'01_Warehouse_Ledger'!$A356)</f>
        <v/>
      </c>
    </row>
    <row r="357">
      <c r="I357">
        <f>IF(OR($A357="",$B357=""),"",IF(COUNTIFS($A$2:$A357,$A357,$B$2:$B357,$B357)=1,1,0))</f>
        <v/>
      </c>
      <c r="J357">
        <f>IF($A357="","",ROW())</f>
        <v/>
      </c>
      <c r="L357">
        <f>IF('01_Warehouse_Ledger'!$A357="","",'01_Warehouse_Ledger'!$A357)</f>
        <v/>
      </c>
    </row>
    <row r="358">
      <c r="I358">
        <f>IF(OR($A358="",$B358=""),"",IF(COUNTIFS($A$2:$A358,$A358,$B$2:$B358,$B358)=1,1,0))</f>
        <v/>
      </c>
      <c r="J358">
        <f>IF($A358="","",ROW())</f>
        <v/>
      </c>
      <c r="L358">
        <f>IF('01_Warehouse_Ledger'!$A358="","",'01_Warehouse_Ledger'!$A358)</f>
        <v/>
      </c>
    </row>
    <row r="359">
      <c r="I359">
        <f>IF(OR($A359="",$B359=""),"",IF(COUNTIFS($A$2:$A359,$A359,$B$2:$B359,$B359)=1,1,0))</f>
        <v/>
      </c>
      <c r="J359">
        <f>IF($A359="","",ROW())</f>
        <v/>
      </c>
      <c r="L359">
        <f>IF('01_Warehouse_Ledger'!$A359="","",'01_Warehouse_Ledger'!$A359)</f>
        <v/>
      </c>
    </row>
    <row r="360">
      <c r="I360">
        <f>IF(OR($A360="",$B360=""),"",IF(COUNTIFS($A$2:$A360,$A360,$B$2:$B360,$B360)=1,1,0))</f>
        <v/>
      </c>
      <c r="J360">
        <f>IF($A360="","",ROW())</f>
        <v/>
      </c>
      <c r="L360">
        <f>IF('01_Warehouse_Ledger'!$A360="","",'01_Warehouse_Ledger'!$A360)</f>
        <v/>
      </c>
    </row>
    <row r="361">
      <c r="I361">
        <f>IF(OR($A361="",$B361=""),"",IF(COUNTIFS($A$2:$A361,$A361,$B$2:$B361,$B361)=1,1,0))</f>
        <v/>
      </c>
      <c r="J361">
        <f>IF($A361="","",ROW())</f>
        <v/>
      </c>
      <c r="L361">
        <f>IF('01_Warehouse_Ledger'!$A361="","",'01_Warehouse_Ledger'!$A361)</f>
        <v/>
      </c>
    </row>
    <row r="362">
      <c r="I362">
        <f>IF(OR($A362="",$B362=""),"",IF(COUNTIFS($A$2:$A362,$A362,$B$2:$B362,$B362)=1,1,0))</f>
        <v/>
      </c>
      <c r="J362">
        <f>IF($A362="","",ROW())</f>
        <v/>
      </c>
      <c r="L362">
        <f>IF('01_Warehouse_Ledger'!$A362="","",'01_Warehouse_Ledger'!$A362)</f>
        <v/>
      </c>
    </row>
    <row r="363">
      <c r="I363">
        <f>IF(OR($A363="",$B363=""),"",IF(COUNTIFS($A$2:$A363,$A363,$B$2:$B363,$B363)=1,1,0))</f>
        <v/>
      </c>
      <c r="J363">
        <f>IF($A363="","",ROW())</f>
        <v/>
      </c>
      <c r="L363">
        <f>IF('01_Warehouse_Ledger'!$A363="","",'01_Warehouse_Ledger'!$A363)</f>
        <v/>
      </c>
    </row>
    <row r="364">
      <c r="I364">
        <f>IF(OR($A364="",$B364=""),"",IF(COUNTIFS($A$2:$A364,$A364,$B$2:$B364,$B364)=1,1,0))</f>
        <v/>
      </c>
      <c r="J364">
        <f>IF($A364="","",ROW())</f>
        <v/>
      </c>
      <c r="L364">
        <f>IF('01_Warehouse_Ledger'!$A364="","",'01_Warehouse_Ledger'!$A364)</f>
        <v/>
      </c>
    </row>
    <row r="365">
      <c r="I365">
        <f>IF(OR($A365="",$B365=""),"",IF(COUNTIFS($A$2:$A365,$A365,$B$2:$B365,$B365)=1,1,0))</f>
        <v/>
      </c>
      <c r="J365">
        <f>IF($A365="","",ROW())</f>
        <v/>
      </c>
      <c r="L365">
        <f>IF('01_Warehouse_Ledger'!$A365="","",'01_Warehouse_Ledger'!$A365)</f>
        <v/>
      </c>
    </row>
    <row r="366">
      <c r="I366">
        <f>IF(OR($A366="",$B366=""),"",IF(COUNTIFS($A$2:$A366,$A366,$B$2:$B366,$B366)=1,1,0))</f>
        <v/>
      </c>
      <c r="J366">
        <f>IF($A366="","",ROW())</f>
        <v/>
      </c>
      <c r="L366">
        <f>IF('01_Warehouse_Ledger'!$A366="","",'01_Warehouse_Ledger'!$A366)</f>
        <v/>
      </c>
    </row>
    <row r="367">
      <c r="I367">
        <f>IF(OR($A367="",$B367=""),"",IF(COUNTIFS($A$2:$A367,$A367,$B$2:$B367,$B367)=1,1,0))</f>
        <v/>
      </c>
      <c r="J367">
        <f>IF($A367="","",ROW())</f>
        <v/>
      </c>
      <c r="L367">
        <f>IF('01_Warehouse_Ledger'!$A367="","",'01_Warehouse_Ledger'!$A367)</f>
        <v/>
      </c>
    </row>
    <row r="368">
      <c r="I368">
        <f>IF(OR($A368="",$B368=""),"",IF(COUNTIFS($A$2:$A368,$A368,$B$2:$B368,$B368)=1,1,0))</f>
        <v/>
      </c>
      <c r="J368">
        <f>IF($A368="","",ROW())</f>
        <v/>
      </c>
      <c r="L368">
        <f>IF('01_Warehouse_Ledger'!$A368="","",'01_Warehouse_Ledger'!$A368)</f>
        <v/>
      </c>
    </row>
    <row r="369">
      <c r="I369">
        <f>IF(OR($A369="",$B369=""),"",IF(COUNTIFS($A$2:$A369,$A369,$B$2:$B369,$B369)=1,1,0))</f>
        <v/>
      </c>
      <c r="J369">
        <f>IF($A369="","",ROW())</f>
        <v/>
      </c>
      <c r="L369">
        <f>IF('01_Warehouse_Ledger'!$A369="","",'01_Warehouse_Ledger'!$A369)</f>
        <v/>
      </c>
    </row>
    <row r="370">
      <c r="I370">
        <f>IF(OR($A370="",$B370=""),"",IF(COUNTIFS($A$2:$A370,$A370,$B$2:$B370,$B370)=1,1,0))</f>
        <v/>
      </c>
      <c r="J370">
        <f>IF($A370="","",ROW())</f>
        <v/>
      </c>
      <c r="L370">
        <f>IF('01_Warehouse_Ledger'!$A370="","",'01_Warehouse_Ledger'!$A370)</f>
        <v/>
      </c>
    </row>
    <row r="371">
      <c r="I371">
        <f>IF(OR($A371="",$B371=""),"",IF(COUNTIFS($A$2:$A371,$A371,$B$2:$B371,$B371)=1,1,0))</f>
        <v/>
      </c>
      <c r="J371">
        <f>IF($A371="","",ROW())</f>
        <v/>
      </c>
      <c r="L371">
        <f>IF('01_Warehouse_Ledger'!$A371="","",'01_Warehouse_Ledger'!$A371)</f>
        <v/>
      </c>
    </row>
    <row r="372">
      <c r="I372">
        <f>IF(OR($A372="",$B372=""),"",IF(COUNTIFS($A$2:$A372,$A372,$B$2:$B372,$B372)=1,1,0))</f>
        <v/>
      </c>
      <c r="J372">
        <f>IF($A372="","",ROW())</f>
        <v/>
      </c>
      <c r="L372">
        <f>IF('01_Warehouse_Ledger'!$A372="","",'01_Warehouse_Ledger'!$A372)</f>
        <v/>
      </c>
    </row>
    <row r="373">
      <c r="I373">
        <f>IF(OR($A373="",$B373=""),"",IF(COUNTIFS($A$2:$A373,$A373,$B$2:$B373,$B373)=1,1,0))</f>
        <v/>
      </c>
      <c r="J373">
        <f>IF($A373="","",ROW())</f>
        <v/>
      </c>
      <c r="L373">
        <f>IF('01_Warehouse_Ledger'!$A373="","",'01_Warehouse_Ledger'!$A373)</f>
        <v/>
      </c>
    </row>
    <row r="374">
      <c r="I374">
        <f>IF(OR($A374="",$B374=""),"",IF(COUNTIFS($A$2:$A374,$A374,$B$2:$B374,$B374)=1,1,0))</f>
        <v/>
      </c>
      <c r="J374">
        <f>IF($A374="","",ROW())</f>
        <v/>
      </c>
      <c r="L374">
        <f>IF('01_Warehouse_Ledger'!$A374="","",'01_Warehouse_Ledger'!$A374)</f>
        <v/>
      </c>
    </row>
    <row r="375">
      <c r="I375">
        <f>IF(OR($A375="",$B375=""),"",IF(COUNTIFS($A$2:$A375,$A375,$B$2:$B375,$B375)=1,1,0))</f>
        <v/>
      </c>
      <c r="J375">
        <f>IF($A375="","",ROW())</f>
        <v/>
      </c>
      <c r="L375">
        <f>IF('01_Warehouse_Ledger'!$A375="","",'01_Warehouse_Ledger'!$A375)</f>
        <v/>
      </c>
    </row>
    <row r="376">
      <c r="I376">
        <f>IF(OR($A376="",$B376=""),"",IF(COUNTIFS($A$2:$A376,$A376,$B$2:$B376,$B376)=1,1,0))</f>
        <v/>
      </c>
      <c r="J376">
        <f>IF($A376="","",ROW())</f>
        <v/>
      </c>
      <c r="L376">
        <f>IF('01_Warehouse_Ledger'!$A376="","",'01_Warehouse_Ledger'!$A376)</f>
        <v/>
      </c>
    </row>
    <row r="377">
      <c r="I377">
        <f>IF(OR($A377="",$B377=""),"",IF(COUNTIFS($A$2:$A377,$A377,$B$2:$B377,$B377)=1,1,0))</f>
        <v/>
      </c>
      <c r="J377">
        <f>IF($A377="","",ROW())</f>
        <v/>
      </c>
      <c r="L377">
        <f>IF('01_Warehouse_Ledger'!$A377="","",'01_Warehouse_Ledger'!$A377)</f>
        <v/>
      </c>
    </row>
    <row r="378">
      <c r="I378">
        <f>IF(OR($A378="",$B378=""),"",IF(COUNTIFS($A$2:$A378,$A378,$B$2:$B378,$B378)=1,1,0))</f>
        <v/>
      </c>
      <c r="J378">
        <f>IF($A378="","",ROW())</f>
        <v/>
      </c>
      <c r="L378">
        <f>IF('01_Warehouse_Ledger'!$A378="","",'01_Warehouse_Ledger'!$A378)</f>
        <v/>
      </c>
    </row>
    <row r="379">
      <c r="I379">
        <f>IF(OR($A379="",$B379=""),"",IF(COUNTIFS($A$2:$A379,$A379,$B$2:$B379,$B379)=1,1,0))</f>
        <v/>
      </c>
      <c r="J379">
        <f>IF($A379="","",ROW())</f>
        <v/>
      </c>
      <c r="L379">
        <f>IF('01_Warehouse_Ledger'!$A379="","",'01_Warehouse_Ledger'!$A379)</f>
        <v/>
      </c>
    </row>
    <row r="380">
      <c r="I380">
        <f>IF(OR($A380="",$B380=""),"",IF(COUNTIFS($A$2:$A380,$A380,$B$2:$B380,$B380)=1,1,0))</f>
        <v/>
      </c>
      <c r="J380">
        <f>IF($A380="","",ROW())</f>
        <v/>
      </c>
      <c r="L380">
        <f>IF('01_Warehouse_Ledger'!$A380="","",'01_Warehouse_Ledger'!$A380)</f>
        <v/>
      </c>
    </row>
    <row r="381">
      <c r="I381">
        <f>IF(OR($A381="",$B381=""),"",IF(COUNTIFS($A$2:$A381,$A381,$B$2:$B381,$B381)=1,1,0))</f>
        <v/>
      </c>
      <c r="J381">
        <f>IF($A381="","",ROW())</f>
        <v/>
      </c>
      <c r="L381">
        <f>IF('01_Warehouse_Ledger'!$A381="","",'01_Warehouse_Ledger'!$A381)</f>
        <v/>
      </c>
    </row>
    <row r="382">
      <c r="I382">
        <f>IF(OR($A382="",$B382=""),"",IF(COUNTIFS($A$2:$A382,$A382,$B$2:$B382,$B382)=1,1,0))</f>
        <v/>
      </c>
      <c r="J382">
        <f>IF($A382="","",ROW())</f>
        <v/>
      </c>
      <c r="L382">
        <f>IF('01_Warehouse_Ledger'!$A382="","",'01_Warehouse_Ledger'!$A382)</f>
        <v/>
      </c>
    </row>
    <row r="383">
      <c r="I383">
        <f>IF(OR($A383="",$B383=""),"",IF(COUNTIFS($A$2:$A383,$A383,$B$2:$B383,$B383)=1,1,0))</f>
        <v/>
      </c>
      <c r="J383">
        <f>IF($A383="","",ROW())</f>
        <v/>
      </c>
      <c r="L383">
        <f>IF('01_Warehouse_Ledger'!$A383="","",'01_Warehouse_Ledger'!$A383)</f>
        <v/>
      </c>
    </row>
    <row r="384">
      <c r="I384">
        <f>IF(OR($A384="",$B384=""),"",IF(COUNTIFS($A$2:$A384,$A384,$B$2:$B384,$B384)=1,1,0))</f>
        <v/>
      </c>
      <c r="J384">
        <f>IF($A384="","",ROW())</f>
        <v/>
      </c>
      <c r="L384">
        <f>IF('01_Warehouse_Ledger'!$A384="","",'01_Warehouse_Ledger'!$A384)</f>
        <v/>
      </c>
    </row>
    <row r="385">
      <c r="I385">
        <f>IF(OR($A385="",$B385=""),"",IF(COUNTIFS($A$2:$A385,$A385,$B$2:$B385,$B385)=1,1,0))</f>
        <v/>
      </c>
      <c r="J385">
        <f>IF($A385="","",ROW())</f>
        <v/>
      </c>
      <c r="L385">
        <f>IF('01_Warehouse_Ledger'!$A385="","",'01_Warehouse_Ledger'!$A385)</f>
        <v/>
      </c>
    </row>
    <row r="386">
      <c r="I386">
        <f>IF(OR($A386="",$B386=""),"",IF(COUNTIFS($A$2:$A386,$A386,$B$2:$B386,$B386)=1,1,0))</f>
        <v/>
      </c>
      <c r="J386">
        <f>IF($A386="","",ROW())</f>
        <v/>
      </c>
      <c r="L386">
        <f>IF('01_Warehouse_Ledger'!$A386="","",'01_Warehouse_Ledger'!$A386)</f>
        <v/>
      </c>
    </row>
    <row r="387">
      <c r="I387">
        <f>IF(OR($A387="",$B387=""),"",IF(COUNTIFS($A$2:$A387,$A387,$B$2:$B387,$B387)=1,1,0))</f>
        <v/>
      </c>
      <c r="J387">
        <f>IF($A387="","",ROW())</f>
        <v/>
      </c>
      <c r="L387">
        <f>IF('01_Warehouse_Ledger'!$A387="","",'01_Warehouse_Ledger'!$A387)</f>
        <v/>
      </c>
    </row>
    <row r="388">
      <c r="I388">
        <f>IF(OR($A388="",$B388=""),"",IF(COUNTIFS($A$2:$A388,$A388,$B$2:$B388,$B388)=1,1,0))</f>
        <v/>
      </c>
      <c r="J388">
        <f>IF($A388="","",ROW())</f>
        <v/>
      </c>
      <c r="L388">
        <f>IF('01_Warehouse_Ledger'!$A388="","",'01_Warehouse_Ledger'!$A388)</f>
        <v/>
      </c>
    </row>
    <row r="389">
      <c r="I389">
        <f>IF(OR($A389="",$B389=""),"",IF(COUNTIFS($A$2:$A389,$A389,$B$2:$B389,$B389)=1,1,0))</f>
        <v/>
      </c>
      <c r="J389">
        <f>IF($A389="","",ROW())</f>
        <v/>
      </c>
      <c r="L389">
        <f>IF('01_Warehouse_Ledger'!$A389="","",'01_Warehouse_Ledger'!$A389)</f>
        <v/>
      </c>
    </row>
    <row r="390">
      <c r="I390">
        <f>IF(OR($A390="",$B390=""),"",IF(COUNTIFS($A$2:$A390,$A390,$B$2:$B390,$B390)=1,1,0))</f>
        <v/>
      </c>
      <c r="J390">
        <f>IF($A390="","",ROW())</f>
        <v/>
      </c>
      <c r="L390">
        <f>IF('01_Warehouse_Ledger'!$A390="","",'01_Warehouse_Ledger'!$A390)</f>
        <v/>
      </c>
    </row>
    <row r="391">
      <c r="I391">
        <f>IF(OR($A391="",$B391=""),"",IF(COUNTIFS($A$2:$A391,$A391,$B$2:$B391,$B391)=1,1,0))</f>
        <v/>
      </c>
      <c r="J391">
        <f>IF($A391="","",ROW())</f>
        <v/>
      </c>
      <c r="L391">
        <f>IF('01_Warehouse_Ledger'!$A391="","",'01_Warehouse_Ledger'!$A391)</f>
        <v/>
      </c>
    </row>
    <row r="392">
      <c r="I392">
        <f>IF(OR($A392="",$B392=""),"",IF(COUNTIFS($A$2:$A392,$A392,$B$2:$B392,$B392)=1,1,0))</f>
        <v/>
      </c>
      <c r="J392">
        <f>IF($A392="","",ROW())</f>
        <v/>
      </c>
      <c r="L392">
        <f>IF('01_Warehouse_Ledger'!$A392="","",'01_Warehouse_Ledger'!$A392)</f>
        <v/>
      </c>
    </row>
    <row r="393">
      <c r="I393">
        <f>IF(OR($A393="",$B393=""),"",IF(COUNTIFS($A$2:$A393,$A393,$B$2:$B393,$B393)=1,1,0))</f>
        <v/>
      </c>
      <c r="J393">
        <f>IF($A393="","",ROW())</f>
        <v/>
      </c>
      <c r="L393">
        <f>IF('01_Warehouse_Ledger'!$A393="","",'01_Warehouse_Ledger'!$A393)</f>
        <v/>
      </c>
    </row>
    <row r="394">
      <c r="I394">
        <f>IF(OR($A394="",$B394=""),"",IF(COUNTIFS($A$2:$A394,$A394,$B$2:$B394,$B394)=1,1,0))</f>
        <v/>
      </c>
      <c r="J394">
        <f>IF($A394="","",ROW())</f>
        <v/>
      </c>
      <c r="L394">
        <f>IF('01_Warehouse_Ledger'!$A394="","",'01_Warehouse_Ledger'!$A394)</f>
        <v/>
      </c>
    </row>
    <row r="395">
      <c r="I395">
        <f>IF(OR($A395="",$B395=""),"",IF(COUNTIFS($A$2:$A395,$A395,$B$2:$B395,$B395)=1,1,0))</f>
        <v/>
      </c>
      <c r="J395">
        <f>IF($A395="","",ROW())</f>
        <v/>
      </c>
      <c r="L395">
        <f>IF('01_Warehouse_Ledger'!$A395="","",'01_Warehouse_Ledger'!$A395)</f>
        <v/>
      </c>
    </row>
    <row r="396">
      <c r="I396">
        <f>IF(OR($A396="",$B396=""),"",IF(COUNTIFS($A$2:$A396,$A396,$B$2:$B396,$B396)=1,1,0))</f>
        <v/>
      </c>
      <c r="J396">
        <f>IF($A396="","",ROW())</f>
        <v/>
      </c>
      <c r="L396">
        <f>IF('01_Warehouse_Ledger'!$A396="","",'01_Warehouse_Ledger'!$A396)</f>
        <v/>
      </c>
    </row>
    <row r="397">
      <c r="I397">
        <f>IF(OR($A397="",$B397=""),"",IF(COUNTIFS($A$2:$A397,$A397,$B$2:$B397,$B397)=1,1,0))</f>
        <v/>
      </c>
      <c r="J397">
        <f>IF($A397="","",ROW())</f>
        <v/>
      </c>
      <c r="L397">
        <f>IF('01_Warehouse_Ledger'!$A397="","",'01_Warehouse_Ledger'!$A397)</f>
        <v/>
      </c>
    </row>
    <row r="398">
      <c r="I398">
        <f>IF(OR($A398="",$B398=""),"",IF(COUNTIFS($A$2:$A398,$A398,$B$2:$B398,$B398)=1,1,0))</f>
        <v/>
      </c>
      <c r="J398">
        <f>IF($A398="","",ROW())</f>
        <v/>
      </c>
      <c r="L398">
        <f>IF('01_Warehouse_Ledger'!$A398="","",'01_Warehouse_Ledger'!$A398)</f>
        <v/>
      </c>
    </row>
    <row r="399">
      <c r="I399">
        <f>IF(OR($A399="",$B399=""),"",IF(COUNTIFS($A$2:$A399,$A399,$B$2:$B399,$B399)=1,1,0))</f>
        <v/>
      </c>
      <c r="J399">
        <f>IF($A399="","",ROW())</f>
        <v/>
      </c>
      <c r="L399">
        <f>IF('01_Warehouse_Ledger'!$A399="","",'01_Warehouse_Ledger'!$A399)</f>
        <v/>
      </c>
    </row>
    <row r="400">
      <c r="I400">
        <f>IF(OR($A400="",$B400=""),"",IF(COUNTIFS($A$2:$A400,$A400,$B$2:$B400,$B400)=1,1,0))</f>
        <v/>
      </c>
      <c r="J400">
        <f>IF($A400="","",ROW())</f>
        <v/>
      </c>
      <c r="L400">
        <f>IF('01_Warehouse_Ledger'!$A400="","",'01_Warehouse_Ledger'!$A400)</f>
        <v/>
      </c>
    </row>
    <row r="401">
      <c r="I401">
        <f>IF(OR($A401="",$B401=""),"",IF(COUNTIFS($A$2:$A401,$A401,$B$2:$B401,$B401)=1,1,0))</f>
        <v/>
      </c>
      <c r="J401">
        <f>IF($A401="","",ROW())</f>
        <v/>
      </c>
      <c r="L401">
        <f>IF('01_Warehouse_Ledger'!$A401="","",'01_Warehouse_Ledger'!$A401)</f>
        <v/>
      </c>
    </row>
    <row r="402">
      <c r="I402">
        <f>IF(OR($A402="",$B402=""),"",IF(COUNTIFS($A$2:$A402,$A402,$B$2:$B402,$B402)=1,1,0))</f>
        <v/>
      </c>
      <c r="J402">
        <f>IF($A402="","",ROW())</f>
        <v/>
      </c>
      <c r="L402">
        <f>IF('01_Warehouse_Ledger'!$A402="","",'01_Warehouse_Ledger'!$A402)</f>
        <v/>
      </c>
    </row>
    <row r="403">
      <c r="I403">
        <f>IF(OR($A403="",$B403=""),"",IF(COUNTIFS($A$2:$A403,$A403,$B$2:$B403,$B403)=1,1,0))</f>
        <v/>
      </c>
      <c r="J403">
        <f>IF($A403="","",ROW())</f>
        <v/>
      </c>
      <c r="L403">
        <f>IF('01_Warehouse_Ledger'!$A403="","",'01_Warehouse_Ledger'!$A403)</f>
        <v/>
      </c>
    </row>
    <row r="404">
      <c r="I404">
        <f>IF(OR($A404="",$B404=""),"",IF(COUNTIFS($A$2:$A404,$A404,$B$2:$B404,$B404)=1,1,0))</f>
        <v/>
      </c>
      <c r="J404">
        <f>IF($A404="","",ROW())</f>
        <v/>
      </c>
      <c r="L404">
        <f>IF('01_Warehouse_Ledger'!$A404="","",'01_Warehouse_Ledger'!$A404)</f>
        <v/>
      </c>
    </row>
    <row r="405">
      <c r="I405">
        <f>IF(OR($A405="",$B405=""),"",IF(COUNTIFS($A$2:$A405,$A405,$B$2:$B405,$B405)=1,1,0))</f>
        <v/>
      </c>
      <c r="J405">
        <f>IF($A405="","",ROW())</f>
        <v/>
      </c>
      <c r="L405">
        <f>IF('01_Warehouse_Ledger'!$A405="","",'01_Warehouse_Ledger'!$A405)</f>
        <v/>
      </c>
    </row>
    <row r="406">
      <c r="I406">
        <f>IF(OR($A406="",$B406=""),"",IF(COUNTIFS($A$2:$A406,$A406,$B$2:$B406,$B406)=1,1,0))</f>
        <v/>
      </c>
      <c r="J406">
        <f>IF($A406="","",ROW())</f>
        <v/>
      </c>
      <c r="L406">
        <f>IF('01_Warehouse_Ledger'!$A406="","",'01_Warehouse_Ledger'!$A406)</f>
        <v/>
      </c>
    </row>
    <row r="407">
      <c r="I407">
        <f>IF(OR($A407="",$B407=""),"",IF(COUNTIFS($A$2:$A407,$A407,$B$2:$B407,$B407)=1,1,0))</f>
        <v/>
      </c>
      <c r="J407">
        <f>IF($A407="","",ROW())</f>
        <v/>
      </c>
      <c r="L407">
        <f>IF('01_Warehouse_Ledger'!$A407="","",'01_Warehouse_Ledger'!$A407)</f>
        <v/>
      </c>
    </row>
    <row r="408">
      <c r="I408">
        <f>IF(OR($A408="",$B408=""),"",IF(COUNTIFS($A$2:$A408,$A408,$B$2:$B408,$B408)=1,1,0))</f>
        <v/>
      </c>
      <c r="J408">
        <f>IF($A408="","",ROW())</f>
        <v/>
      </c>
      <c r="L408">
        <f>IF('01_Warehouse_Ledger'!$A408="","",'01_Warehouse_Ledger'!$A408)</f>
        <v/>
      </c>
    </row>
    <row r="409">
      <c r="I409">
        <f>IF(OR($A409="",$B409=""),"",IF(COUNTIFS($A$2:$A409,$A409,$B$2:$B409,$B409)=1,1,0))</f>
        <v/>
      </c>
      <c r="J409">
        <f>IF($A409="","",ROW())</f>
        <v/>
      </c>
      <c r="L409">
        <f>IF('01_Warehouse_Ledger'!$A409="","",'01_Warehouse_Ledger'!$A409)</f>
        <v/>
      </c>
    </row>
    <row r="410">
      <c r="I410">
        <f>IF(OR($A410="",$B410=""),"",IF(COUNTIFS($A$2:$A410,$A410,$B$2:$B410,$B410)=1,1,0))</f>
        <v/>
      </c>
      <c r="J410">
        <f>IF($A410="","",ROW())</f>
        <v/>
      </c>
      <c r="L410">
        <f>IF('01_Warehouse_Ledger'!$A410="","",'01_Warehouse_Ledger'!$A410)</f>
        <v/>
      </c>
    </row>
    <row r="411">
      <c r="I411">
        <f>IF(OR($A411="",$B411=""),"",IF(COUNTIFS($A$2:$A411,$A411,$B$2:$B411,$B411)=1,1,0))</f>
        <v/>
      </c>
      <c r="J411">
        <f>IF($A411="","",ROW())</f>
        <v/>
      </c>
      <c r="L411">
        <f>IF('01_Warehouse_Ledger'!$A411="","",'01_Warehouse_Ledger'!$A411)</f>
        <v/>
      </c>
    </row>
    <row r="412">
      <c r="I412">
        <f>IF(OR($A412="",$B412=""),"",IF(COUNTIFS($A$2:$A412,$A412,$B$2:$B412,$B412)=1,1,0))</f>
        <v/>
      </c>
      <c r="J412">
        <f>IF($A412="","",ROW())</f>
        <v/>
      </c>
      <c r="L412">
        <f>IF('01_Warehouse_Ledger'!$A412="","",'01_Warehouse_Ledger'!$A412)</f>
        <v/>
      </c>
    </row>
    <row r="413">
      <c r="I413">
        <f>IF(OR($A413="",$B413=""),"",IF(COUNTIFS($A$2:$A413,$A413,$B$2:$B413,$B413)=1,1,0))</f>
        <v/>
      </c>
      <c r="J413">
        <f>IF($A413="","",ROW())</f>
        <v/>
      </c>
      <c r="L413">
        <f>IF('01_Warehouse_Ledger'!$A413="","",'01_Warehouse_Ledger'!$A413)</f>
        <v/>
      </c>
    </row>
    <row r="414">
      <c r="I414">
        <f>IF(OR($A414="",$B414=""),"",IF(COUNTIFS($A$2:$A414,$A414,$B$2:$B414,$B414)=1,1,0))</f>
        <v/>
      </c>
      <c r="J414">
        <f>IF($A414="","",ROW())</f>
        <v/>
      </c>
      <c r="L414">
        <f>IF('01_Warehouse_Ledger'!$A414="","",'01_Warehouse_Ledger'!$A414)</f>
        <v/>
      </c>
    </row>
    <row r="415">
      <c r="I415">
        <f>IF(OR($A415="",$B415=""),"",IF(COUNTIFS($A$2:$A415,$A415,$B$2:$B415,$B415)=1,1,0))</f>
        <v/>
      </c>
      <c r="J415">
        <f>IF($A415="","",ROW())</f>
        <v/>
      </c>
      <c r="L415">
        <f>IF('01_Warehouse_Ledger'!$A415="","",'01_Warehouse_Ledger'!$A415)</f>
        <v/>
      </c>
    </row>
    <row r="416">
      <c r="I416">
        <f>IF(OR($A416="",$B416=""),"",IF(COUNTIFS($A$2:$A416,$A416,$B$2:$B416,$B416)=1,1,0))</f>
        <v/>
      </c>
      <c r="J416">
        <f>IF($A416="","",ROW())</f>
        <v/>
      </c>
      <c r="L416">
        <f>IF('01_Warehouse_Ledger'!$A416="","",'01_Warehouse_Ledger'!$A416)</f>
        <v/>
      </c>
    </row>
    <row r="417">
      <c r="I417">
        <f>IF(OR($A417="",$B417=""),"",IF(COUNTIFS($A$2:$A417,$A417,$B$2:$B417,$B417)=1,1,0))</f>
        <v/>
      </c>
      <c r="J417">
        <f>IF($A417="","",ROW())</f>
        <v/>
      </c>
      <c r="L417">
        <f>IF('01_Warehouse_Ledger'!$A417="","",'01_Warehouse_Ledger'!$A417)</f>
        <v/>
      </c>
    </row>
    <row r="418">
      <c r="I418">
        <f>IF(OR($A418="",$B418=""),"",IF(COUNTIFS($A$2:$A418,$A418,$B$2:$B418,$B418)=1,1,0))</f>
        <v/>
      </c>
      <c r="J418">
        <f>IF($A418="","",ROW())</f>
        <v/>
      </c>
      <c r="L418">
        <f>IF('01_Warehouse_Ledger'!$A418="","",'01_Warehouse_Ledger'!$A418)</f>
        <v/>
      </c>
    </row>
    <row r="419">
      <c r="I419">
        <f>IF(OR($A419="",$B419=""),"",IF(COUNTIFS($A$2:$A419,$A419,$B$2:$B419,$B419)=1,1,0))</f>
        <v/>
      </c>
      <c r="J419">
        <f>IF($A419="","",ROW())</f>
        <v/>
      </c>
      <c r="L419">
        <f>IF('01_Warehouse_Ledger'!$A419="","",'01_Warehouse_Ledger'!$A419)</f>
        <v/>
      </c>
    </row>
    <row r="420">
      <c r="I420">
        <f>IF(OR($A420="",$B420=""),"",IF(COUNTIFS($A$2:$A420,$A420,$B$2:$B420,$B420)=1,1,0))</f>
        <v/>
      </c>
      <c r="J420">
        <f>IF($A420="","",ROW())</f>
        <v/>
      </c>
      <c r="L420">
        <f>IF('01_Warehouse_Ledger'!$A420="","",'01_Warehouse_Ledger'!$A420)</f>
        <v/>
      </c>
    </row>
    <row r="421">
      <c r="I421">
        <f>IF(OR($A421="",$B421=""),"",IF(COUNTIFS($A$2:$A421,$A421,$B$2:$B421,$B421)=1,1,0))</f>
        <v/>
      </c>
      <c r="J421">
        <f>IF($A421="","",ROW())</f>
        <v/>
      </c>
      <c r="L421">
        <f>IF('01_Warehouse_Ledger'!$A421="","",'01_Warehouse_Ledger'!$A421)</f>
        <v/>
      </c>
    </row>
    <row r="422">
      <c r="I422">
        <f>IF(OR($A422="",$B422=""),"",IF(COUNTIFS($A$2:$A422,$A422,$B$2:$B422,$B422)=1,1,0))</f>
        <v/>
      </c>
      <c r="J422">
        <f>IF($A422="","",ROW())</f>
        <v/>
      </c>
      <c r="L422">
        <f>IF('01_Warehouse_Ledger'!$A422="","",'01_Warehouse_Ledger'!$A422)</f>
        <v/>
      </c>
    </row>
    <row r="423">
      <c r="I423">
        <f>IF(OR($A423="",$B423=""),"",IF(COUNTIFS($A$2:$A423,$A423,$B$2:$B423,$B423)=1,1,0))</f>
        <v/>
      </c>
      <c r="J423">
        <f>IF($A423="","",ROW())</f>
        <v/>
      </c>
      <c r="L423">
        <f>IF('01_Warehouse_Ledger'!$A423="","",'01_Warehouse_Ledger'!$A423)</f>
        <v/>
      </c>
    </row>
    <row r="424">
      <c r="I424">
        <f>IF(OR($A424="",$B424=""),"",IF(COUNTIFS($A$2:$A424,$A424,$B$2:$B424,$B424)=1,1,0))</f>
        <v/>
      </c>
      <c r="J424">
        <f>IF($A424="","",ROW())</f>
        <v/>
      </c>
      <c r="L424">
        <f>IF('01_Warehouse_Ledger'!$A424="","",'01_Warehouse_Ledger'!$A424)</f>
        <v/>
      </c>
    </row>
    <row r="425">
      <c r="I425">
        <f>IF(OR($A425="",$B425=""),"",IF(COUNTIFS($A$2:$A425,$A425,$B$2:$B425,$B425)=1,1,0))</f>
        <v/>
      </c>
      <c r="J425">
        <f>IF($A425="","",ROW())</f>
        <v/>
      </c>
      <c r="L425">
        <f>IF('01_Warehouse_Ledger'!$A425="","",'01_Warehouse_Ledger'!$A425)</f>
        <v/>
      </c>
    </row>
    <row r="426">
      <c r="I426">
        <f>IF(OR($A426="",$B426=""),"",IF(COUNTIFS($A$2:$A426,$A426,$B$2:$B426,$B426)=1,1,0))</f>
        <v/>
      </c>
      <c r="J426">
        <f>IF($A426="","",ROW())</f>
        <v/>
      </c>
      <c r="L426">
        <f>IF('01_Warehouse_Ledger'!$A426="","",'01_Warehouse_Ledger'!$A426)</f>
        <v/>
      </c>
    </row>
    <row r="427">
      <c r="I427">
        <f>IF(OR($A427="",$B427=""),"",IF(COUNTIFS($A$2:$A427,$A427,$B$2:$B427,$B427)=1,1,0))</f>
        <v/>
      </c>
      <c r="J427">
        <f>IF($A427="","",ROW())</f>
        <v/>
      </c>
      <c r="L427">
        <f>IF('01_Warehouse_Ledger'!$A427="","",'01_Warehouse_Ledger'!$A427)</f>
        <v/>
      </c>
    </row>
    <row r="428">
      <c r="I428">
        <f>IF(OR($A428="",$B428=""),"",IF(COUNTIFS($A$2:$A428,$A428,$B$2:$B428,$B428)=1,1,0))</f>
        <v/>
      </c>
      <c r="J428">
        <f>IF($A428="","",ROW())</f>
        <v/>
      </c>
      <c r="L428">
        <f>IF('01_Warehouse_Ledger'!$A428="","",'01_Warehouse_Ledger'!$A428)</f>
        <v/>
      </c>
    </row>
    <row r="429">
      <c r="I429">
        <f>IF(OR($A429="",$B429=""),"",IF(COUNTIFS($A$2:$A429,$A429,$B$2:$B429,$B429)=1,1,0))</f>
        <v/>
      </c>
      <c r="J429">
        <f>IF($A429="","",ROW())</f>
        <v/>
      </c>
      <c r="L429">
        <f>IF('01_Warehouse_Ledger'!$A429="","",'01_Warehouse_Ledger'!$A429)</f>
        <v/>
      </c>
    </row>
    <row r="430">
      <c r="I430">
        <f>IF(OR($A430="",$B430=""),"",IF(COUNTIFS($A$2:$A430,$A430,$B$2:$B430,$B430)=1,1,0))</f>
        <v/>
      </c>
      <c r="J430">
        <f>IF($A430="","",ROW())</f>
        <v/>
      </c>
      <c r="L430">
        <f>IF('01_Warehouse_Ledger'!$A430="","",'01_Warehouse_Ledger'!$A430)</f>
        <v/>
      </c>
    </row>
    <row r="431">
      <c r="I431">
        <f>IF(OR($A431="",$B431=""),"",IF(COUNTIFS($A$2:$A431,$A431,$B$2:$B431,$B431)=1,1,0))</f>
        <v/>
      </c>
      <c r="J431">
        <f>IF($A431="","",ROW())</f>
        <v/>
      </c>
      <c r="L431">
        <f>IF('01_Warehouse_Ledger'!$A431="","",'01_Warehouse_Ledger'!$A431)</f>
        <v/>
      </c>
    </row>
    <row r="432">
      <c r="I432">
        <f>IF(OR($A432="",$B432=""),"",IF(COUNTIFS($A$2:$A432,$A432,$B$2:$B432,$B432)=1,1,0))</f>
        <v/>
      </c>
      <c r="J432">
        <f>IF($A432="","",ROW())</f>
        <v/>
      </c>
      <c r="L432">
        <f>IF('01_Warehouse_Ledger'!$A432="","",'01_Warehouse_Ledger'!$A432)</f>
        <v/>
      </c>
    </row>
    <row r="433">
      <c r="I433">
        <f>IF(OR($A433="",$B433=""),"",IF(COUNTIFS($A$2:$A433,$A433,$B$2:$B433,$B433)=1,1,0))</f>
        <v/>
      </c>
      <c r="J433">
        <f>IF($A433="","",ROW())</f>
        <v/>
      </c>
      <c r="L433">
        <f>IF('01_Warehouse_Ledger'!$A433="","",'01_Warehouse_Ledger'!$A433)</f>
        <v/>
      </c>
    </row>
    <row r="434">
      <c r="I434">
        <f>IF(OR($A434="",$B434=""),"",IF(COUNTIFS($A$2:$A434,$A434,$B$2:$B434,$B434)=1,1,0))</f>
        <v/>
      </c>
      <c r="J434">
        <f>IF($A434="","",ROW())</f>
        <v/>
      </c>
      <c r="L434">
        <f>IF('01_Warehouse_Ledger'!$A434="","",'01_Warehouse_Ledger'!$A434)</f>
        <v/>
      </c>
    </row>
    <row r="435">
      <c r="I435">
        <f>IF(OR($A435="",$B435=""),"",IF(COUNTIFS($A$2:$A435,$A435,$B$2:$B435,$B435)=1,1,0))</f>
        <v/>
      </c>
      <c r="J435">
        <f>IF($A435="","",ROW())</f>
        <v/>
      </c>
      <c r="L435">
        <f>IF('01_Warehouse_Ledger'!$A435="","",'01_Warehouse_Ledger'!$A435)</f>
        <v/>
      </c>
    </row>
    <row r="436">
      <c r="I436">
        <f>IF(OR($A436="",$B436=""),"",IF(COUNTIFS($A$2:$A436,$A436,$B$2:$B436,$B436)=1,1,0))</f>
        <v/>
      </c>
      <c r="J436">
        <f>IF($A436="","",ROW())</f>
        <v/>
      </c>
      <c r="L436">
        <f>IF('01_Warehouse_Ledger'!$A436="","",'01_Warehouse_Ledger'!$A436)</f>
        <v/>
      </c>
    </row>
    <row r="437">
      <c r="I437">
        <f>IF(OR($A437="",$B437=""),"",IF(COUNTIFS($A$2:$A437,$A437,$B$2:$B437,$B437)=1,1,0))</f>
        <v/>
      </c>
      <c r="J437">
        <f>IF($A437="","",ROW())</f>
        <v/>
      </c>
      <c r="L437">
        <f>IF('01_Warehouse_Ledger'!$A437="","",'01_Warehouse_Ledger'!$A437)</f>
        <v/>
      </c>
    </row>
    <row r="438">
      <c r="I438">
        <f>IF(OR($A438="",$B438=""),"",IF(COUNTIFS($A$2:$A438,$A438,$B$2:$B438,$B438)=1,1,0))</f>
        <v/>
      </c>
      <c r="J438">
        <f>IF($A438="","",ROW())</f>
        <v/>
      </c>
      <c r="L438">
        <f>IF('01_Warehouse_Ledger'!$A438="","",'01_Warehouse_Ledger'!$A438)</f>
        <v/>
      </c>
    </row>
    <row r="439">
      <c r="I439">
        <f>IF(OR($A439="",$B439=""),"",IF(COUNTIFS($A$2:$A439,$A439,$B$2:$B439,$B439)=1,1,0))</f>
        <v/>
      </c>
      <c r="J439">
        <f>IF($A439="","",ROW())</f>
        <v/>
      </c>
      <c r="L439">
        <f>IF('01_Warehouse_Ledger'!$A439="","",'01_Warehouse_Ledger'!$A439)</f>
        <v/>
      </c>
    </row>
    <row r="440">
      <c r="I440">
        <f>IF(OR($A440="",$B440=""),"",IF(COUNTIFS($A$2:$A440,$A440,$B$2:$B440,$B440)=1,1,0))</f>
        <v/>
      </c>
      <c r="J440">
        <f>IF($A440="","",ROW())</f>
        <v/>
      </c>
      <c r="L440">
        <f>IF('01_Warehouse_Ledger'!$A440="","",'01_Warehouse_Ledger'!$A440)</f>
        <v/>
      </c>
    </row>
    <row r="441">
      <c r="I441">
        <f>IF(OR($A441="",$B441=""),"",IF(COUNTIFS($A$2:$A441,$A441,$B$2:$B441,$B441)=1,1,0))</f>
        <v/>
      </c>
      <c r="J441">
        <f>IF($A441="","",ROW())</f>
        <v/>
      </c>
      <c r="L441">
        <f>IF('01_Warehouse_Ledger'!$A441="","",'01_Warehouse_Ledger'!$A441)</f>
        <v/>
      </c>
    </row>
    <row r="442">
      <c r="I442">
        <f>IF(OR($A442="",$B442=""),"",IF(COUNTIFS($A$2:$A442,$A442,$B$2:$B442,$B442)=1,1,0))</f>
        <v/>
      </c>
      <c r="J442">
        <f>IF($A442="","",ROW())</f>
        <v/>
      </c>
      <c r="L442">
        <f>IF('01_Warehouse_Ledger'!$A442="","",'01_Warehouse_Ledger'!$A442)</f>
        <v/>
      </c>
    </row>
    <row r="443">
      <c r="I443">
        <f>IF(OR($A443="",$B443=""),"",IF(COUNTIFS($A$2:$A443,$A443,$B$2:$B443,$B443)=1,1,0))</f>
        <v/>
      </c>
      <c r="J443">
        <f>IF($A443="","",ROW())</f>
        <v/>
      </c>
      <c r="L443">
        <f>IF('01_Warehouse_Ledger'!$A443="","",'01_Warehouse_Ledger'!$A443)</f>
        <v/>
      </c>
    </row>
    <row r="444">
      <c r="I444">
        <f>IF(OR($A444="",$B444=""),"",IF(COUNTIFS($A$2:$A444,$A444,$B$2:$B444,$B444)=1,1,0))</f>
        <v/>
      </c>
      <c r="J444">
        <f>IF($A444="","",ROW())</f>
        <v/>
      </c>
      <c r="L444">
        <f>IF('01_Warehouse_Ledger'!$A444="","",'01_Warehouse_Ledger'!$A444)</f>
        <v/>
      </c>
    </row>
    <row r="445">
      <c r="I445">
        <f>IF(OR($A445="",$B445=""),"",IF(COUNTIFS($A$2:$A445,$A445,$B$2:$B445,$B445)=1,1,0))</f>
        <v/>
      </c>
      <c r="J445">
        <f>IF($A445="","",ROW())</f>
        <v/>
      </c>
      <c r="L445">
        <f>IF('01_Warehouse_Ledger'!$A445="","",'01_Warehouse_Ledger'!$A445)</f>
        <v/>
      </c>
    </row>
    <row r="446">
      <c r="I446">
        <f>IF(OR($A446="",$B446=""),"",IF(COUNTIFS($A$2:$A446,$A446,$B$2:$B446,$B446)=1,1,0))</f>
        <v/>
      </c>
      <c r="J446">
        <f>IF($A446="","",ROW())</f>
        <v/>
      </c>
      <c r="L446">
        <f>IF('01_Warehouse_Ledger'!$A446="","",'01_Warehouse_Ledger'!$A446)</f>
        <v/>
      </c>
    </row>
    <row r="447">
      <c r="I447">
        <f>IF(OR($A447="",$B447=""),"",IF(COUNTIFS($A$2:$A447,$A447,$B$2:$B447,$B447)=1,1,0))</f>
        <v/>
      </c>
      <c r="J447">
        <f>IF($A447="","",ROW())</f>
        <v/>
      </c>
      <c r="L447">
        <f>IF('01_Warehouse_Ledger'!$A447="","",'01_Warehouse_Ledger'!$A447)</f>
        <v/>
      </c>
    </row>
    <row r="448">
      <c r="I448">
        <f>IF(OR($A448="",$B448=""),"",IF(COUNTIFS($A$2:$A448,$A448,$B$2:$B448,$B448)=1,1,0))</f>
        <v/>
      </c>
      <c r="J448">
        <f>IF($A448="","",ROW())</f>
        <v/>
      </c>
      <c r="L448">
        <f>IF('01_Warehouse_Ledger'!$A448="","",'01_Warehouse_Ledger'!$A448)</f>
        <v/>
      </c>
    </row>
    <row r="449">
      <c r="I449">
        <f>IF(OR($A449="",$B449=""),"",IF(COUNTIFS($A$2:$A449,$A449,$B$2:$B449,$B449)=1,1,0))</f>
        <v/>
      </c>
      <c r="J449">
        <f>IF($A449="","",ROW())</f>
        <v/>
      </c>
      <c r="L449">
        <f>IF('01_Warehouse_Ledger'!$A449="","",'01_Warehouse_Ledger'!$A449)</f>
        <v/>
      </c>
    </row>
    <row r="450">
      <c r="I450">
        <f>IF(OR($A450="",$B450=""),"",IF(COUNTIFS($A$2:$A450,$A450,$B$2:$B450,$B450)=1,1,0))</f>
        <v/>
      </c>
      <c r="J450">
        <f>IF($A450="","",ROW())</f>
        <v/>
      </c>
      <c r="L450">
        <f>IF('01_Warehouse_Ledger'!$A450="","",'01_Warehouse_Ledger'!$A450)</f>
        <v/>
      </c>
    </row>
    <row r="451">
      <c r="I451">
        <f>IF(OR($A451="",$B451=""),"",IF(COUNTIFS($A$2:$A451,$A451,$B$2:$B451,$B451)=1,1,0))</f>
        <v/>
      </c>
      <c r="J451">
        <f>IF($A451="","",ROW())</f>
        <v/>
      </c>
      <c r="L451">
        <f>IF('01_Warehouse_Ledger'!$A451="","",'01_Warehouse_Ledger'!$A451)</f>
        <v/>
      </c>
    </row>
    <row r="452">
      <c r="I452">
        <f>IF(OR($A452="",$B452=""),"",IF(COUNTIFS($A$2:$A452,$A452,$B$2:$B452,$B452)=1,1,0))</f>
        <v/>
      </c>
      <c r="J452">
        <f>IF($A452="","",ROW())</f>
        <v/>
      </c>
      <c r="L452">
        <f>IF('01_Warehouse_Ledger'!$A452="","",'01_Warehouse_Ledger'!$A452)</f>
        <v/>
      </c>
    </row>
    <row r="453">
      <c r="I453">
        <f>IF(OR($A453="",$B453=""),"",IF(COUNTIFS($A$2:$A453,$A453,$B$2:$B453,$B453)=1,1,0))</f>
        <v/>
      </c>
      <c r="J453">
        <f>IF($A453="","",ROW())</f>
        <v/>
      </c>
      <c r="L453">
        <f>IF('01_Warehouse_Ledger'!$A453="","",'01_Warehouse_Ledger'!$A453)</f>
        <v/>
      </c>
    </row>
    <row r="454">
      <c r="I454">
        <f>IF(OR($A454="",$B454=""),"",IF(COUNTIFS($A$2:$A454,$A454,$B$2:$B454,$B454)=1,1,0))</f>
        <v/>
      </c>
      <c r="J454">
        <f>IF($A454="","",ROW())</f>
        <v/>
      </c>
      <c r="L454">
        <f>IF('01_Warehouse_Ledger'!$A454="","",'01_Warehouse_Ledger'!$A454)</f>
        <v/>
      </c>
    </row>
    <row r="455">
      <c r="I455">
        <f>IF(OR($A455="",$B455=""),"",IF(COUNTIFS($A$2:$A455,$A455,$B$2:$B455,$B455)=1,1,0))</f>
        <v/>
      </c>
      <c r="J455">
        <f>IF($A455="","",ROW())</f>
        <v/>
      </c>
      <c r="L455">
        <f>IF('01_Warehouse_Ledger'!$A455="","",'01_Warehouse_Ledger'!$A455)</f>
        <v/>
      </c>
    </row>
    <row r="456">
      <c r="I456">
        <f>IF(OR($A456="",$B456=""),"",IF(COUNTIFS($A$2:$A456,$A456,$B$2:$B456,$B456)=1,1,0))</f>
        <v/>
      </c>
      <c r="J456">
        <f>IF($A456="","",ROW())</f>
        <v/>
      </c>
      <c r="L456">
        <f>IF('01_Warehouse_Ledger'!$A456="","",'01_Warehouse_Ledger'!$A456)</f>
        <v/>
      </c>
    </row>
    <row r="457">
      <c r="I457">
        <f>IF(OR($A457="",$B457=""),"",IF(COUNTIFS($A$2:$A457,$A457,$B$2:$B457,$B457)=1,1,0))</f>
        <v/>
      </c>
      <c r="J457">
        <f>IF($A457="","",ROW())</f>
        <v/>
      </c>
      <c r="L457">
        <f>IF('01_Warehouse_Ledger'!$A457="","",'01_Warehouse_Ledger'!$A457)</f>
        <v/>
      </c>
    </row>
    <row r="458">
      <c r="I458">
        <f>IF(OR($A458="",$B458=""),"",IF(COUNTIFS($A$2:$A458,$A458,$B$2:$B458,$B458)=1,1,0))</f>
        <v/>
      </c>
      <c r="J458">
        <f>IF($A458="","",ROW())</f>
        <v/>
      </c>
      <c r="L458">
        <f>IF('01_Warehouse_Ledger'!$A458="","",'01_Warehouse_Ledger'!$A458)</f>
        <v/>
      </c>
    </row>
    <row r="459">
      <c r="I459">
        <f>IF(OR($A459="",$B459=""),"",IF(COUNTIFS($A$2:$A459,$A459,$B$2:$B459,$B459)=1,1,0))</f>
        <v/>
      </c>
      <c r="J459">
        <f>IF($A459="","",ROW())</f>
        <v/>
      </c>
      <c r="L459">
        <f>IF('01_Warehouse_Ledger'!$A459="","",'01_Warehouse_Ledger'!$A459)</f>
        <v/>
      </c>
    </row>
    <row r="460">
      <c r="I460">
        <f>IF(OR($A460="",$B460=""),"",IF(COUNTIFS($A$2:$A460,$A460,$B$2:$B460,$B460)=1,1,0))</f>
        <v/>
      </c>
      <c r="J460">
        <f>IF($A460="","",ROW())</f>
        <v/>
      </c>
      <c r="L460">
        <f>IF('01_Warehouse_Ledger'!$A460="","",'01_Warehouse_Ledger'!$A460)</f>
        <v/>
      </c>
    </row>
    <row r="461">
      <c r="I461">
        <f>IF(OR($A461="",$B461=""),"",IF(COUNTIFS($A$2:$A461,$A461,$B$2:$B461,$B461)=1,1,0))</f>
        <v/>
      </c>
      <c r="J461">
        <f>IF($A461="","",ROW())</f>
        <v/>
      </c>
      <c r="L461">
        <f>IF('01_Warehouse_Ledger'!$A461="","",'01_Warehouse_Ledger'!$A461)</f>
        <v/>
      </c>
    </row>
    <row r="462">
      <c r="I462">
        <f>IF(OR($A462="",$B462=""),"",IF(COUNTIFS($A$2:$A462,$A462,$B$2:$B462,$B462)=1,1,0))</f>
        <v/>
      </c>
      <c r="J462">
        <f>IF($A462="","",ROW())</f>
        <v/>
      </c>
      <c r="L462">
        <f>IF('01_Warehouse_Ledger'!$A462="","",'01_Warehouse_Ledger'!$A462)</f>
        <v/>
      </c>
    </row>
    <row r="463">
      <c r="I463">
        <f>IF(OR($A463="",$B463=""),"",IF(COUNTIFS($A$2:$A463,$A463,$B$2:$B463,$B463)=1,1,0))</f>
        <v/>
      </c>
      <c r="J463">
        <f>IF($A463="","",ROW())</f>
        <v/>
      </c>
      <c r="L463">
        <f>IF('01_Warehouse_Ledger'!$A463="","",'01_Warehouse_Ledger'!$A463)</f>
        <v/>
      </c>
    </row>
    <row r="464">
      <c r="I464">
        <f>IF(OR($A464="",$B464=""),"",IF(COUNTIFS($A$2:$A464,$A464,$B$2:$B464,$B464)=1,1,0))</f>
        <v/>
      </c>
      <c r="J464">
        <f>IF($A464="","",ROW())</f>
        <v/>
      </c>
      <c r="L464">
        <f>IF('01_Warehouse_Ledger'!$A464="","",'01_Warehouse_Ledger'!$A464)</f>
        <v/>
      </c>
    </row>
    <row r="465">
      <c r="I465">
        <f>IF(OR($A465="",$B465=""),"",IF(COUNTIFS($A$2:$A465,$A465,$B$2:$B465,$B465)=1,1,0))</f>
        <v/>
      </c>
      <c r="J465">
        <f>IF($A465="","",ROW())</f>
        <v/>
      </c>
      <c r="L465">
        <f>IF('01_Warehouse_Ledger'!$A465="","",'01_Warehouse_Ledger'!$A465)</f>
        <v/>
      </c>
    </row>
    <row r="466">
      <c r="I466">
        <f>IF(OR($A466="",$B466=""),"",IF(COUNTIFS($A$2:$A466,$A466,$B$2:$B466,$B466)=1,1,0))</f>
        <v/>
      </c>
      <c r="J466">
        <f>IF($A466="","",ROW())</f>
        <v/>
      </c>
      <c r="L466">
        <f>IF('01_Warehouse_Ledger'!$A466="","",'01_Warehouse_Ledger'!$A466)</f>
        <v/>
      </c>
    </row>
    <row r="467">
      <c r="I467">
        <f>IF(OR($A467="",$B467=""),"",IF(COUNTIFS($A$2:$A467,$A467,$B$2:$B467,$B467)=1,1,0))</f>
        <v/>
      </c>
      <c r="J467">
        <f>IF($A467="","",ROW())</f>
        <v/>
      </c>
      <c r="L467">
        <f>IF('01_Warehouse_Ledger'!$A467="","",'01_Warehouse_Ledger'!$A467)</f>
        <v/>
      </c>
    </row>
    <row r="468">
      <c r="I468">
        <f>IF(OR($A468="",$B468=""),"",IF(COUNTIFS($A$2:$A468,$A468,$B$2:$B468,$B468)=1,1,0))</f>
        <v/>
      </c>
      <c r="J468">
        <f>IF($A468="","",ROW())</f>
        <v/>
      </c>
      <c r="L468">
        <f>IF('01_Warehouse_Ledger'!$A468="","",'01_Warehouse_Ledger'!$A468)</f>
        <v/>
      </c>
    </row>
    <row r="469">
      <c r="I469">
        <f>IF(OR($A469="",$B469=""),"",IF(COUNTIFS($A$2:$A469,$A469,$B$2:$B469,$B469)=1,1,0))</f>
        <v/>
      </c>
      <c r="J469">
        <f>IF($A469="","",ROW())</f>
        <v/>
      </c>
      <c r="L469">
        <f>IF('01_Warehouse_Ledger'!$A469="","",'01_Warehouse_Ledger'!$A469)</f>
        <v/>
      </c>
    </row>
    <row r="470">
      <c r="I470">
        <f>IF(OR($A470="",$B470=""),"",IF(COUNTIFS($A$2:$A470,$A470,$B$2:$B470,$B470)=1,1,0))</f>
        <v/>
      </c>
      <c r="J470">
        <f>IF($A470="","",ROW())</f>
        <v/>
      </c>
      <c r="L470">
        <f>IF('01_Warehouse_Ledger'!$A470="","",'01_Warehouse_Ledger'!$A470)</f>
        <v/>
      </c>
    </row>
    <row r="471">
      <c r="I471">
        <f>IF(OR($A471="",$B471=""),"",IF(COUNTIFS($A$2:$A471,$A471,$B$2:$B471,$B471)=1,1,0))</f>
        <v/>
      </c>
      <c r="J471">
        <f>IF($A471="","",ROW())</f>
        <v/>
      </c>
      <c r="L471">
        <f>IF('01_Warehouse_Ledger'!$A471="","",'01_Warehouse_Ledger'!$A471)</f>
        <v/>
      </c>
    </row>
    <row r="472">
      <c r="I472">
        <f>IF(OR($A472="",$B472=""),"",IF(COUNTIFS($A$2:$A472,$A472,$B$2:$B472,$B472)=1,1,0))</f>
        <v/>
      </c>
      <c r="J472">
        <f>IF($A472="","",ROW())</f>
        <v/>
      </c>
      <c r="L472">
        <f>IF('01_Warehouse_Ledger'!$A472="","",'01_Warehouse_Ledger'!$A472)</f>
        <v/>
      </c>
    </row>
    <row r="473">
      <c r="I473">
        <f>IF(OR($A473="",$B473=""),"",IF(COUNTIFS($A$2:$A473,$A473,$B$2:$B473,$B473)=1,1,0))</f>
        <v/>
      </c>
      <c r="J473">
        <f>IF($A473="","",ROW())</f>
        <v/>
      </c>
      <c r="L473">
        <f>IF('01_Warehouse_Ledger'!$A473="","",'01_Warehouse_Ledger'!$A473)</f>
        <v/>
      </c>
    </row>
    <row r="474">
      <c r="I474">
        <f>IF(OR($A474="",$B474=""),"",IF(COUNTIFS($A$2:$A474,$A474,$B$2:$B474,$B474)=1,1,0))</f>
        <v/>
      </c>
      <c r="J474">
        <f>IF($A474="","",ROW())</f>
        <v/>
      </c>
      <c r="L474">
        <f>IF('01_Warehouse_Ledger'!$A474="","",'01_Warehouse_Ledger'!$A474)</f>
        <v/>
      </c>
    </row>
    <row r="475">
      <c r="I475">
        <f>IF(OR($A475="",$B475=""),"",IF(COUNTIFS($A$2:$A475,$A475,$B$2:$B475,$B475)=1,1,0))</f>
        <v/>
      </c>
      <c r="J475">
        <f>IF($A475="","",ROW())</f>
        <v/>
      </c>
      <c r="L475">
        <f>IF('01_Warehouse_Ledger'!$A475="","",'01_Warehouse_Ledger'!$A475)</f>
        <v/>
      </c>
    </row>
    <row r="476">
      <c r="I476">
        <f>IF(OR($A476="",$B476=""),"",IF(COUNTIFS($A$2:$A476,$A476,$B$2:$B476,$B476)=1,1,0))</f>
        <v/>
      </c>
      <c r="J476">
        <f>IF($A476="","",ROW())</f>
        <v/>
      </c>
      <c r="L476">
        <f>IF('01_Warehouse_Ledger'!$A476="","",'01_Warehouse_Ledger'!$A476)</f>
        <v/>
      </c>
    </row>
    <row r="477">
      <c r="I477">
        <f>IF(OR($A477="",$B477=""),"",IF(COUNTIFS($A$2:$A477,$A477,$B$2:$B477,$B477)=1,1,0))</f>
        <v/>
      </c>
      <c r="J477">
        <f>IF($A477="","",ROW())</f>
        <v/>
      </c>
      <c r="L477">
        <f>IF('01_Warehouse_Ledger'!$A477="","",'01_Warehouse_Ledger'!$A477)</f>
        <v/>
      </c>
    </row>
    <row r="478">
      <c r="I478">
        <f>IF(OR($A478="",$B478=""),"",IF(COUNTIFS($A$2:$A478,$A478,$B$2:$B478,$B478)=1,1,0))</f>
        <v/>
      </c>
      <c r="J478">
        <f>IF($A478="","",ROW())</f>
        <v/>
      </c>
      <c r="L478">
        <f>IF('01_Warehouse_Ledger'!$A478="","",'01_Warehouse_Ledger'!$A478)</f>
        <v/>
      </c>
    </row>
    <row r="479">
      <c r="I479">
        <f>IF(OR($A479="",$B479=""),"",IF(COUNTIFS($A$2:$A479,$A479,$B$2:$B479,$B479)=1,1,0))</f>
        <v/>
      </c>
      <c r="J479">
        <f>IF($A479="","",ROW())</f>
        <v/>
      </c>
      <c r="L479">
        <f>IF('01_Warehouse_Ledger'!$A479="","",'01_Warehouse_Ledger'!$A479)</f>
        <v/>
      </c>
    </row>
    <row r="480">
      <c r="I480">
        <f>IF(OR($A480="",$B480=""),"",IF(COUNTIFS($A$2:$A480,$A480,$B$2:$B480,$B480)=1,1,0))</f>
        <v/>
      </c>
      <c r="J480">
        <f>IF($A480="","",ROW())</f>
        <v/>
      </c>
      <c r="L480">
        <f>IF('01_Warehouse_Ledger'!$A480="","",'01_Warehouse_Ledger'!$A480)</f>
        <v/>
      </c>
    </row>
    <row r="481">
      <c r="I481">
        <f>IF(OR($A481="",$B481=""),"",IF(COUNTIFS($A$2:$A481,$A481,$B$2:$B481,$B481)=1,1,0))</f>
        <v/>
      </c>
      <c r="J481">
        <f>IF($A481="","",ROW())</f>
        <v/>
      </c>
      <c r="L481">
        <f>IF('01_Warehouse_Ledger'!$A481="","",'01_Warehouse_Ledger'!$A481)</f>
        <v/>
      </c>
    </row>
    <row r="482">
      <c r="I482">
        <f>IF(OR($A482="",$B482=""),"",IF(COUNTIFS($A$2:$A482,$A482,$B$2:$B482,$B482)=1,1,0))</f>
        <v/>
      </c>
      <c r="J482">
        <f>IF($A482="","",ROW())</f>
        <v/>
      </c>
      <c r="L482">
        <f>IF('01_Warehouse_Ledger'!$A482="","",'01_Warehouse_Ledger'!$A482)</f>
        <v/>
      </c>
    </row>
    <row r="483">
      <c r="I483">
        <f>IF(OR($A483="",$B483=""),"",IF(COUNTIFS($A$2:$A483,$A483,$B$2:$B483,$B483)=1,1,0))</f>
        <v/>
      </c>
      <c r="J483">
        <f>IF($A483="","",ROW())</f>
        <v/>
      </c>
      <c r="L483">
        <f>IF('01_Warehouse_Ledger'!$A483="","",'01_Warehouse_Ledger'!$A483)</f>
        <v/>
      </c>
    </row>
    <row r="484">
      <c r="I484">
        <f>IF(OR($A484="",$B484=""),"",IF(COUNTIFS($A$2:$A484,$A484,$B$2:$B484,$B484)=1,1,0))</f>
        <v/>
      </c>
      <c r="J484">
        <f>IF($A484="","",ROW())</f>
        <v/>
      </c>
      <c r="L484">
        <f>IF('01_Warehouse_Ledger'!$A484="","",'01_Warehouse_Ledger'!$A484)</f>
        <v/>
      </c>
    </row>
    <row r="485">
      <c r="I485">
        <f>IF(OR($A485="",$B485=""),"",IF(COUNTIFS($A$2:$A485,$A485,$B$2:$B485,$B485)=1,1,0))</f>
        <v/>
      </c>
      <c r="J485">
        <f>IF($A485="","",ROW())</f>
        <v/>
      </c>
      <c r="L485">
        <f>IF('01_Warehouse_Ledger'!$A485="","",'01_Warehouse_Ledger'!$A485)</f>
        <v/>
      </c>
    </row>
    <row r="486">
      <c r="I486">
        <f>IF(OR($A486="",$B486=""),"",IF(COUNTIFS($A$2:$A486,$A486,$B$2:$B486,$B486)=1,1,0))</f>
        <v/>
      </c>
      <c r="J486">
        <f>IF($A486="","",ROW())</f>
        <v/>
      </c>
      <c r="L486">
        <f>IF('01_Warehouse_Ledger'!$A486="","",'01_Warehouse_Ledger'!$A486)</f>
        <v/>
      </c>
    </row>
    <row r="487">
      <c r="I487">
        <f>IF(OR($A487="",$B487=""),"",IF(COUNTIFS($A$2:$A487,$A487,$B$2:$B487,$B487)=1,1,0))</f>
        <v/>
      </c>
      <c r="J487">
        <f>IF($A487="","",ROW())</f>
        <v/>
      </c>
      <c r="L487">
        <f>IF('01_Warehouse_Ledger'!$A487="","",'01_Warehouse_Ledger'!$A487)</f>
        <v/>
      </c>
    </row>
    <row r="488">
      <c r="I488">
        <f>IF(OR($A488="",$B488=""),"",IF(COUNTIFS($A$2:$A488,$A488,$B$2:$B488,$B488)=1,1,0))</f>
        <v/>
      </c>
      <c r="J488">
        <f>IF($A488="","",ROW())</f>
        <v/>
      </c>
      <c r="L488">
        <f>IF('01_Warehouse_Ledger'!$A488="","",'01_Warehouse_Ledger'!$A488)</f>
        <v/>
      </c>
    </row>
    <row r="489">
      <c r="I489">
        <f>IF(OR($A489="",$B489=""),"",IF(COUNTIFS($A$2:$A489,$A489,$B$2:$B489,$B489)=1,1,0))</f>
        <v/>
      </c>
      <c r="J489">
        <f>IF($A489="","",ROW())</f>
        <v/>
      </c>
      <c r="L489">
        <f>IF('01_Warehouse_Ledger'!$A489="","",'01_Warehouse_Ledger'!$A489)</f>
        <v/>
      </c>
    </row>
    <row r="490">
      <c r="I490">
        <f>IF(OR($A490="",$B490=""),"",IF(COUNTIFS($A$2:$A490,$A490,$B$2:$B490,$B490)=1,1,0))</f>
        <v/>
      </c>
      <c r="J490">
        <f>IF($A490="","",ROW())</f>
        <v/>
      </c>
      <c r="L490">
        <f>IF('01_Warehouse_Ledger'!$A490="","",'01_Warehouse_Ledger'!$A490)</f>
        <v/>
      </c>
    </row>
    <row r="491">
      <c r="I491">
        <f>IF(OR($A491="",$B491=""),"",IF(COUNTIFS($A$2:$A491,$A491,$B$2:$B491,$B491)=1,1,0))</f>
        <v/>
      </c>
      <c r="J491">
        <f>IF($A491="","",ROW())</f>
        <v/>
      </c>
      <c r="L491">
        <f>IF('01_Warehouse_Ledger'!$A491="","",'01_Warehouse_Ledger'!$A491)</f>
        <v/>
      </c>
    </row>
    <row r="492">
      <c r="I492">
        <f>IF(OR($A492="",$B492=""),"",IF(COUNTIFS($A$2:$A492,$A492,$B$2:$B492,$B492)=1,1,0))</f>
        <v/>
      </c>
      <c r="J492">
        <f>IF($A492="","",ROW())</f>
        <v/>
      </c>
      <c r="L492">
        <f>IF('01_Warehouse_Ledger'!$A492="","",'01_Warehouse_Ledger'!$A492)</f>
        <v/>
      </c>
    </row>
    <row r="493">
      <c r="I493">
        <f>IF(OR($A493="",$B493=""),"",IF(COUNTIFS($A$2:$A493,$A493,$B$2:$B493,$B493)=1,1,0))</f>
        <v/>
      </c>
      <c r="J493">
        <f>IF($A493="","",ROW())</f>
        <v/>
      </c>
      <c r="L493">
        <f>IF('01_Warehouse_Ledger'!$A493="","",'01_Warehouse_Ledger'!$A493)</f>
        <v/>
      </c>
    </row>
    <row r="494">
      <c r="I494">
        <f>IF(OR($A494="",$B494=""),"",IF(COUNTIFS($A$2:$A494,$A494,$B$2:$B494,$B494)=1,1,0))</f>
        <v/>
      </c>
      <c r="J494">
        <f>IF($A494="","",ROW())</f>
        <v/>
      </c>
      <c r="L494">
        <f>IF('01_Warehouse_Ledger'!$A494="","",'01_Warehouse_Ledger'!$A494)</f>
        <v/>
      </c>
    </row>
    <row r="495">
      <c r="I495">
        <f>IF(OR($A495="",$B495=""),"",IF(COUNTIFS($A$2:$A495,$A495,$B$2:$B495,$B495)=1,1,0))</f>
        <v/>
      </c>
      <c r="J495">
        <f>IF($A495="","",ROW())</f>
        <v/>
      </c>
      <c r="L495">
        <f>IF('01_Warehouse_Ledger'!$A495="","",'01_Warehouse_Ledger'!$A495)</f>
        <v/>
      </c>
    </row>
    <row r="496">
      <c r="I496">
        <f>IF(OR($A496="",$B496=""),"",IF(COUNTIFS($A$2:$A496,$A496,$B$2:$B496,$B496)=1,1,0))</f>
        <v/>
      </c>
      <c r="J496">
        <f>IF($A496="","",ROW())</f>
        <v/>
      </c>
      <c r="L496">
        <f>IF('01_Warehouse_Ledger'!$A496="","",'01_Warehouse_Ledger'!$A496)</f>
        <v/>
      </c>
    </row>
    <row r="497">
      <c r="I497">
        <f>IF(OR($A497="",$B497=""),"",IF(COUNTIFS($A$2:$A497,$A497,$B$2:$B497,$B497)=1,1,0))</f>
        <v/>
      </c>
      <c r="J497">
        <f>IF($A497="","",ROW())</f>
        <v/>
      </c>
      <c r="L497">
        <f>IF('01_Warehouse_Ledger'!$A497="","",'01_Warehouse_Ledger'!$A497)</f>
        <v/>
      </c>
    </row>
    <row r="498">
      <c r="I498">
        <f>IF(OR($A498="",$B498=""),"",IF(COUNTIFS($A$2:$A498,$A498,$B$2:$B498,$B498)=1,1,0))</f>
        <v/>
      </c>
      <c r="J498">
        <f>IF($A498="","",ROW())</f>
        <v/>
      </c>
      <c r="L498">
        <f>IF('01_Warehouse_Ledger'!$A498="","",'01_Warehouse_Ledger'!$A498)</f>
        <v/>
      </c>
    </row>
    <row r="499">
      <c r="I499">
        <f>IF(OR($A499="",$B499=""),"",IF(COUNTIFS($A$2:$A499,$A499,$B$2:$B499,$B499)=1,1,0))</f>
        <v/>
      </c>
      <c r="J499">
        <f>IF($A499="","",ROW())</f>
        <v/>
      </c>
      <c r="L499">
        <f>IF('01_Warehouse_Ledger'!$A499="","",'01_Warehouse_Ledger'!$A499)</f>
        <v/>
      </c>
    </row>
    <row r="500">
      <c r="I500">
        <f>IF(OR($A500="",$B500=""),"",IF(COUNTIFS($A$2:$A500,$A500,$B$2:$B500,$B500)=1,1,0))</f>
        <v/>
      </c>
      <c r="J500">
        <f>IF($A500="","",ROW())</f>
        <v/>
      </c>
      <c r="L500">
        <f>IF('01_Warehouse_Ledger'!$A500="","",'01_Warehouse_Ledger'!$A500)</f>
        <v/>
      </c>
    </row>
    <row r="501">
      <c r="I501">
        <f>IF(OR($A501="",$B501=""),"",IF(COUNTIFS($A$2:$A501,$A501,$B$2:$B501,$B501)=1,1,0))</f>
        <v/>
      </c>
      <c r="J501">
        <f>IF($A501="","",ROW())</f>
        <v/>
      </c>
      <c r="L501">
        <f>IF('01_Warehouse_Ledger'!$A501="","",'01_Warehouse_Ledger'!$A501)</f>
        <v/>
      </c>
    </row>
    <row r="502">
      <c r="I502">
        <f>IF(OR($A502="",$B502=""),"",IF(COUNTIFS($A$2:$A502,$A502,$B$2:$B502,$B502)=1,1,0))</f>
        <v/>
      </c>
      <c r="J502">
        <f>IF($A502="","",ROW())</f>
        <v/>
      </c>
      <c r="L502">
        <f>IF('01_Warehouse_Ledger'!$A502="","",'01_Warehouse_Ledger'!$A502)</f>
        <v/>
      </c>
    </row>
    <row r="503">
      <c r="I503">
        <f>IF(OR($A503="",$B503=""),"",IF(COUNTIFS($A$2:$A503,$A503,$B$2:$B503,$B503)=1,1,0))</f>
        <v/>
      </c>
      <c r="J503">
        <f>IF($A503="","",ROW())</f>
        <v/>
      </c>
      <c r="L503">
        <f>IF('01_Warehouse_Ledger'!$A503="","",'01_Warehouse_Ledger'!$A503)</f>
        <v/>
      </c>
    </row>
    <row r="504">
      <c r="I504">
        <f>IF(OR($A504="",$B504=""),"",IF(COUNTIFS($A$2:$A504,$A504,$B$2:$B504,$B504)=1,1,0))</f>
        <v/>
      </c>
      <c r="J504">
        <f>IF($A504="","",ROW())</f>
        <v/>
      </c>
      <c r="L504">
        <f>IF('01_Warehouse_Ledger'!$A504="","",'01_Warehouse_Ledger'!$A504)</f>
        <v/>
      </c>
    </row>
    <row r="505">
      <c r="I505">
        <f>IF(OR($A505="",$B505=""),"",IF(COUNTIFS($A$2:$A505,$A505,$B$2:$B505,$B505)=1,1,0))</f>
        <v/>
      </c>
      <c r="J505">
        <f>IF($A505="","",ROW())</f>
        <v/>
      </c>
      <c r="L505">
        <f>IF('01_Warehouse_Ledger'!$A505="","",'01_Warehouse_Ledger'!$A505)</f>
        <v/>
      </c>
    </row>
    <row r="506">
      <c r="I506">
        <f>IF(OR($A506="",$B506=""),"",IF(COUNTIFS($A$2:$A506,$A506,$B$2:$B506,$B506)=1,1,0))</f>
        <v/>
      </c>
      <c r="J506">
        <f>IF($A506="","",ROW())</f>
        <v/>
      </c>
      <c r="L506">
        <f>IF('01_Warehouse_Ledger'!$A506="","",'01_Warehouse_Ledger'!$A506)</f>
        <v/>
      </c>
    </row>
    <row r="507">
      <c r="I507">
        <f>IF(OR($A507="",$B507=""),"",IF(COUNTIFS($A$2:$A507,$A507,$B$2:$B507,$B507)=1,1,0))</f>
        <v/>
      </c>
      <c r="J507">
        <f>IF($A507="","",ROW())</f>
        <v/>
      </c>
      <c r="L507">
        <f>IF('01_Warehouse_Ledger'!$A507="","",'01_Warehouse_Ledger'!$A507)</f>
        <v/>
      </c>
    </row>
    <row r="508">
      <c r="I508">
        <f>IF(OR($A508="",$B508=""),"",IF(COUNTIFS($A$2:$A508,$A508,$B$2:$B508,$B508)=1,1,0))</f>
        <v/>
      </c>
      <c r="J508">
        <f>IF($A508="","",ROW())</f>
        <v/>
      </c>
      <c r="L508">
        <f>IF('01_Warehouse_Ledger'!$A508="","",'01_Warehouse_Ledger'!$A508)</f>
        <v/>
      </c>
    </row>
    <row r="509">
      <c r="I509">
        <f>IF(OR($A509="",$B509=""),"",IF(COUNTIFS($A$2:$A509,$A509,$B$2:$B509,$B509)=1,1,0))</f>
        <v/>
      </c>
      <c r="J509">
        <f>IF($A509="","",ROW())</f>
        <v/>
      </c>
      <c r="L509">
        <f>IF('01_Warehouse_Ledger'!$A509="","",'01_Warehouse_Ledger'!$A509)</f>
        <v/>
      </c>
    </row>
    <row r="510">
      <c r="I510">
        <f>IF(OR($A510="",$B510=""),"",IF(COUNTIFS($A$2:$A510,$A510,$B$2:$B510,$B510)=1,1,0))</f>
        <v/>
      </c>
      <c r="J510">
        <f>IF($A510="","",ROW())</f>
        <v/>
      </c>
      <c r="L510">
        <f>IF('01_Warehouse_Ledger'!$A510="","",'01_Warehouse_Ledger'!$A510)</f>
        <v/>
      </c>
    </row>
    <row r="511">
      <c r="I511">
        <f>IF(OR($A511="",$B511=""),"",IF(COUNTIFS($A$2:$A511,$A511,$B$2:$B511,$B511)=1,1,0))</f>
        <v/>
      </c>
      <c r="J511">
        <f>IF($A511="","",ROW())</f>
        <v/>
      </c>
      <c r="L511">
        <f>IF('01_Warehouse_Ledger'!$A511="","",'01_Warehouse_Ledger'!$A511)</f>
        <v/>
      </c>
    </row>
    <row r="512">
      <c r="I512">
        <f>IF(OR($A512="",$B512=""),"",IF(COUNTIFS($A$2:$A512,$A512,$B$2:$B512,$B512)=1,1,0))</f>
        <v/>
      </c>
      <c r="J512">
        <f>IF($A512="","",ROW())</f>
        <v/>
      </c>
      <c r="L512">
        <f>IF('01_Warehouse_Ledger'!$A512="","",'01_Warehouse_Ledger'!$A512)</f>
        <v/>
      </c>
    </row>
    <row r="513">
      <c r="I513">
        <f>IF(OR($A513="",$B513=""),"",IF(COUNTIFS($A$2:$A513,$A513,$B$2:$B513,$B513)=1,1,0))</f>
        <v/>
      </c>
      <c r="J513">
        <f>IF($A513="","",ROW())</f>
        <v/>
      </c>
      <c r="L513">
        <f>IF('01_Warehouse_Ledger'!$A513="","",'01_Warehouse_Ledger'!$A513)</f>
        <v/>
      </c>
    </row>
    <row r="514">
      <c r="I514">
        <f>IF(OR($A514="",$B514=""),"",IF(COUNTIFS($A$2:$A514,$A514,$B$2:$B514,$B514)=1,1,0))</f>
        <v/>
      </c>
      <c r="J514">
        <f>IF($A514="","",ROW())</f>
        <v/>
      </c>
      <c r="L514">
        <f>IF('01_Warehouse_Ledger'!$A514="","",'01_Warehouse_Ledger'!$A514)</f>
        <v/>
      </c>
    </row>
    <row r="515">
      <c r="I515">
        <f>IF(OR($A515="",$B515=""),"",IF(COUNTIFS($A$2:$A515,$A515,$B$2:$B515,$B515)=1,1,0))</f>
        <v/>
      </c>
      <c r="J515">
        <f>IF($A515="","",ROW())</f>
        <v/>
      </c>
      <c r="L515">
        <f>IF('01_Warehouse_Ledger'!$A515="","",'01_Warehouse_Ledger'!$A515)</f>
        <v/>
      </c>
    </row>
    <row r="516">
      <c r="I516">
        <f>IF(OR($A516="",$B516=""),"",IF(COUNTIFS($A$2:$A516,$A516,$B$2:$B516,$B516)=1,1,0))</f>
        <v/>
      </c>
      <c r="J516">
        <f>IF($A516="","",ROW())</f>
        <v/>
      </c>
      <c r="L516">
        <f>IF('01_Warehouse_Ledger'!$A516="","",'01_Warehouse_Ledger'!$A516)</f>
        <v/>
      </c>
    </row>
    <row r="517">
      <c r="I517">
        <f>IF(OR($A517="",$B517=""),"",IF(COUNTIFS($A$2:$A517,$A517,$B$2:$B517,$B517)=1,1,0))</f>
        <v/>
      </c>
      <c r="J517">
        <f>IF($A517="","",ROW())</f>
        <v/>
      </c>
      <c r="L517">
        <f>IF('01_Warehouse_Ledger'!$A517="","",'01_Warehouse_Ledger'!$A517)</f>
        <v/>
      </c>
    </row>
    <row r="518">
      <c r="I518">
        <f>IF(OR($A518="",$B518=""),"",IF(COUNTIFS($A$2:$A518,$A518,$B$2:$B518,$B518)=1,1,0))</f>
        <v/>
      </c>
      <c r="J518">
        <f>IF($A518="","",ROW())</f>
        <v/>
      </c>
      <c r="L518">
        <f>IF('01_Warehouse_Ledger'!$A518="","",'01_Warehouse_Ledger'!$A518)</f>
        <v/>
      </c>
    </row>
    <row r="519">
      <c r="I519">
        <f>IF(OR($A519="",$B519=""),"",IF(COUNTIFS($A$2:$A519,$A519,$B$2:$B519,$B519)=1,1,0))</f>
        <v/>
      </c>
      <c r="J519">
        <f>IF($A519="","",ROW())</f>
        <v/>
      </c>
      <c r="L519">
        <f>IF('01_Warehouse_Ledger'!$A519="","",'01_Warehouse_Ledger'!$A519)</f>
        <v/>
      </c>
    </row>
    <row r="520">
      <c r="I520">
        <f>IF(OR($A520="",$B520=""),"",IF(COUNTIFS($A$2:$A520,$A520,$B$2:$B520,$B520)=1,1,0))</f>
        <v/>
      </c>
      <c r="J520">
        <f>IF($A520="","",ROW())</f>
        <v/>
      </c>
      <c r="L520">
        <f>IF('01_Warehouse_Ledger'!$A520="","",'01_Warehouse_Ledger'!$A520)</f>
        <v/>
      </c>
    </row>
    <row r="521">
      <c r="I521">
        <f>IF(OR($A521="",$B521=""),"",IF(COUNTIFS($A$2:$A521,$A521,$B$2:$B521,$B521)=1,1,0))</f>
        <v/>
      </c>
      <c r="J521">
        <f>IF($A521="","",ROW())</f>
        <v/>
      </c>
      <c r="L521">
        <f>IF('01_Warehouse_Ledger'!$A521="","",'01_Warehouse_Ledger'!$A521)</f>
        <v/>
      </c>
    </row>
    <row r="522">
      <c r="I522">
        <f>IF(OR($A522="",$B522=""),"",IF(COUNTIFS($A$2:$A522,$A522,$B$2:$B522,$B522)=1,1,0))</f>
        <v/>
      </c>
      <c r="J522">
        <f>IF($A522="","",ROW())</f>
        <v/>
      </c>
      <c r="L522">
        <f>IF('01_Warehouse_Ledger'!$A522="","",'01_Warehouse_Ledger'!$A522)</f>
        <v/>
      </c>
    </row>
    <row r="523">
      <c r="I523">
        <f>IF(OR($A523="",$B523=""),"",IF(COUNTIFS($A$2:$A523,$A523,$B$2:$B523,$B523)=1,1,0))</f>
        <v/>
      </c>
      <c r="J523">
        <f>IF($A523="","",ROW())</f>
        <v/>
      </c>
      <c r="L523">
        <f>IF('01_Warehouse_Ledger'!$A523="","",'01_Warehouse_Ledger'!$A523)</f>
        <v/>
      </c>
    </row>
    <row r="524">
      <c r="I524">
        <f>IF(OR($A524="",$B524=""),"",IF(COUNTIFS($A$2:$A524,$A524,$B$2:$B524,$B524)=1,1,0))</f>
        <v/>
      </c>
      <c r="J524">
        <f>IF($A524="","",ROW())</f>
        <v/>
      </c>
      <c r="L524">
        <f>IF('01_Warehouse_Ledger'!$A524="","",'01_Warehouse_Ledger'!$A524)</f>
        <v/>
      </c>
    </row>
    <row r="525">
      <c r="I525">
        <f>IF(OR($A525="",$B525=""),"",IF(COUNTIFS($A$2:$A525,$A525,$B$2:$B525,$B525)=1,1,0))</f>
        <v/>
      </c>
      <c r="J525">
        <f>IF($A525="","",ROW())</f>
        <v/>
      </c>
      <c r="L525">
        <f>IF('01_Warehouse_Ledger'!$A525="","",'01_Warehouse_Ledger'!$A525)</f>
        <v/>
      </c>
    </row>
    <row r="526">
      <c r="I526">
        <f>IF(OR($A526="",$B526=""),"",IF(COUNTIFS($A$2:$A526,$A526,$B$2:$B526,$B526)=1,1,0))</f>
        <v/>
      </c>
      <c r="J526">
        <f>IF($A526="","",ROW())</f>
        <v/>
      </c>
      <c r="L526">
        <f>IF('01_Warehouse_Ledger'!$A526="","",'01_Warehouse_Ledger'!$A526)</f>
        <v/>
      </c>
    </row>
    <row r="527">
      <c r="I527">
        <f>IF(OR($A527="",$B527=""),"",IF(COUNTIFS($A$2:$A527,$A527,$B$2:$B527,$B527)=1,1,0))</f>
        <v/>
      </c>
      <c r="J527">
        <f>IF($A527="","",ROW())</f>
        <v/>
      </c>
      <c r="L527">
        <f>IF('01_Warehouse_Ledger'!$A527="","",'01_Warehouse_Ledger'!$A527)</f>
        <v/>
      </c>
    </row>
    <row r="528">
      <c r="I528">
        <f>IF(OR($A528="",$B528=""),"",IF(COUNTIFS($A$2:$A528,$A528,$B$2:$B528,$B528)=1,1,0))</f>
        <v/>
      </c>
      <c r="J528">
        <f>IF($A528="","",ROW())</f>
        <v/>
      </c>
      <c r="L528">
        <f>IF('01_Warehouse_Ledger'!$A528="","",'01_Warehouse_Ledger'!$A528)</f>
        <v/>
      </c>
    </row>
    <row r="529">
      <c r="I529">
        <f>IF(OR($A529="",$B529=""),"",IF(COUNTIFS($A$2:$A529,$A529,$B$2:$B529,$B529)=1,1,0))</f>
        <v/>
      </c>
      <c r="J529">
        <f>IF($A529="","",ROW())</f>
        <v/>
      </c>
      <c r="L529">
        <f>IF('01_Warehouse_Ledger'!$A529="","",'01_Warehouse_Ledger'!$A529)</f>
        <v/>
      </c>
    </row>
    <row r="530">
      <c r="I530">
        <f>IF(OR($A530="",$B530=""),"",IF(COUNTIFS($A$2:$A530,$A530,$B$2:$B530,$B530)=1,1,0))</f>
        <v/>
      </c>
      <c r="J530">
        <f>IF($A530="","",ROW())</f>
        <v/>
      </c>
      <c r="L530">
        <f>IF('01_Warehouse_Ledger'!$A530="","",'01_Warehouse_Ledger'!$A530)</f>
        <v/>
      </c>
    </row>
    <row r="531">
      <c r="I531">
        <f>IF(OR($A531="",$B531=""),"",IF(COUNTIFS($A$2:$A531,$A531,$B$2:$B531,$B531)=1,1,0))</f>
        <v/>
      </c>
      <c r="J531">
        <f>IF($A531="","",ROW())</f>
        <v/>
      </c>
      <c r="L531">
        <f>IF('01_Warehouse_Ledger'!$A531="","",'01_Warehouse_Ledger'!$A531)</f>
        <v/>
      </c>
    </row>
    <row r="532">
      <c r="I532">
        <f>IF(OR($A532="",$B532=""),"",IF(COUNTIFS($A$2:$A532,$A532,$B$2:$B532,$B532)=1,1,0))</f>
        <v/>
      </c>
      <c r="J532">
        <f>IF($A532="","",ROW())</f>
        <v/>
      </c>
      <c r="L532">
        <f>IF('01_Warehouse_Ledger'!$A532="","",'01_Warehouse_Ledger'!$A532)</f>
        <v/>
      </c>
    </row>
    <row r="533">
      <c r="I533">
        <f>IF(OR($A533="",$B533=""),"",IF(COUNTIFS($A$2:$A533,$A533,$B$2:$B533,$B533)=1,1,0))</f>
        <v/>
      </c>
      <c r="J533">
        <f>IF($A533="","",ROW())</f>
        <v/>
      </c>
      <c r="L533">
        <f>IF('01_Warehouse_Ledger'!$A533="","",'01_Warehouse_Ledger'!$A533)</f>
        <v/>
      </c>
    </row>
    <row r="534">
      <c r="I534">
        <f>IF(OR($A534="",$B534=""),"",IF(COUNTIFS($A$2:$A534,$A534,$B$2:$B534,$B534)=1,1,0))</f>
        <v/>
      </c>
      <c r="J534">
        <f>IF($A534="","",ROW())</f>
        <v/>
      </c>
      <c r="L534">
        <f>IF('01_Warehouse_Ledger'!$A534="","",'01_Warehouse_Ledger'!$A534)</f>
        <v/>
      </c>
    </row>
    <row r="535">
      <c r="I535">
        <f>IF(OR($A535="",$B535=""),"",IF(COUNTIFS($A$2:$A535,$A535,$B$2:$B535,$B535)=1,1,0))</f>
        <v/>
      </c>
      <c r="J535">
        <f>IF($A535="","",ROW())</f>
        <v/>
      </c>
      <c r="L535">
        <f>IF('01_Warehouse_Ledger'!$A535="","",'01_Warehouse_Ledger'!$A535)</f>
        <v/>
      </c>
    </row>
    <row r="536">
      <c r="I536">
        <f>IF(OR($A536="",$B536=""),"",IF(COUNTIFS($A$2:$A536,$A536,$B$2:$B536,$B536)=1,1,0))</f>
        <v/>
      </c>
      <c r="J536">
        <f>IF($A536="","",ROW())</f>
        <v/>
      </c>
      <c r="L536">
        <f>IF('01_Warehouse_Ledger'!$A536="","",'01_Warehouse_Ledger'!$A536)</f>
        <v/>
      </c>
    </row>
    <row r="537">
      <c r="I537">
        <f>IF(OR($A537="",$B537=""),"",IF(COUNTIFS($A$2:$A537,$A537,$B$2:$B537,$B537)=1,1,0))</f>
        <v/>
      </c>
      <c r="J537">
        <f>IF($A537="","",ROW())</f>
        <v/>
      </c>
      <c r="L537">
        <f>IF('01_Warehouse_Ledger'!$A537="","",'01_Warehouse_Ledger'!$A537)</f>
        <v/>
      </c>
    </row>
    <row r="538">
      <c r="I538">
        <f>IF(OR($A538="",$B538=""),"",IF(COUNTIFS($A$2:$A538,$A538,$B$2:$B538,$B538)=1,1,0))</f>
        <v/>
      </c>
      <c r="J538">
        <f>IF($A538="","",ROW())</f>
        <v/>
      </c>
      <c r="L538">
        <f>IF('01_Warehouse_Ledger'!$A538="","",'01_Warehouse_Ledger'!$A538)</f>
        <v/>
      </c>
    </row>
    <row r="539">
      <c r="I539">
        <f>IF(OR($A539="",$B539=""),"",IF(COUNTIFS($A$2:$A539,$A539,$B$2:$B539,$B539)=1,1,0))</f>
        <v/>
      </c>
      <c r="J539">
        <f>IF($A539="","",ROW())</f>
        <v/>
      </c>
      <c r="L539">
        <f>IF('01_Warehouse_Ledger'!$A539="","",'01_Warehouse_Ledger'!$A539)</f>
        <v/>
      </c>
    </row>
    <row r="540">
      <c r="I540">
        <f>IF(OR($A540="",$B540=""),"",IF(COUNTIFS($A$2:$A540,$A540,$B$2:$B540,$B540)=1,1,0))</f>
        <v/>
      </c>
      <c r="J540">
        <f>IF($A540="","",ROW())</f>
        <v/>
      </c>
      <c r="L540">
        <f>IF('01_Warehouse_Ledger'!$A540="","",'01_Warehouse_Ledger'!$A540)</f>
        <v/>
      </c>
    </row>
    <row r="541">
      <c r="I541">
        <f>IF(OR($A541="",$B541=""),"",IF(COUNTIFS($A$2:$A541,$A541,$B$2:$B541,$B541)=1,1,0))</f>
        <v/>
      </c>
      <c r="J541">
        <f>IF($A541="","",ROW())</f>
        <v/>
      </c>
      <c r="L541">
        <f>IF('01_Warehouse_Ledger'!$A541="","",'01_Warehouse_Ledger'!$A541)</f>
        <v/>
      </c>
    </row>
    <row r="542">
      <c r="I542">
        <f>IF(OR($A542="",$B542=""),"",IF(COUNTIFS($A$2:$A542,$A542,$B$2:$B542,$B542)=1,1,0))</f>
        <v/>
      </c>
      <c r="J542">
        <f>IF($A542="","",ROW())</f>
        <v/>
      </c>
      <c r="L542">
        <f>IF('01_Warehouse_Ledger'!$A542="","",'01_Warehouse_Ledger'!$A542)</f>
        <v/>
      </c>
    </row>
    <row r="543">
      <c r="I543">
        <f>IF(OR($A543="",$B543=""),"",IF(COUNTIFS($A$2:$A543,$A543,$B$2:$B543,$B543)=1,1,0))</f>
        <v/>
      </c>
      <c r="J543">
        <f>IF($A543="","",ROW())</f>
        <v/>
      </c>
      <c r="L543">
        <f>IF('01_Warehouse_Ledger'!$A543="","",'01_Warehouse_Ledger'!$A543)</f>
        <v/>
      </c>
    </row>
    <row r="544">
      <c r="I544">
        <f>IF(OR($A544="",$B544=""),"",IF(COUNTIFS($A$2:$A544,$A544,$B$2:$B544,$B544)=1,1,0))</f>
        <v/>
      </c>
      <c r="J544">
        <f>IF($A544="","",ROW())</f>
        <v/>
      </c>
      <c r="L544">
        <f>IF('01_Warehouse_Ledger'!$A544="","",'01_Warehouse_Ledger'!$A544)</f>
        <v/>
      </c>
    </row>
    <row r="545">
      <c r="I545">
        <f>IF(OR($A545="",$B545=""),"",IF(COUNTIFS($A$2:$A545,$A545,$B$2:$B545,$B545)=1,1,0))</f>
        <v/>
      </c>
      <c r="J545">
        <f>IF($A545="","",ROW())</f>
        <v/>
      </c>
      <c r="L545">
        <f>IF('01_Warehouse_Ledger'!$A545="","",'01_Warehouse_Ledger'!$A545)</f>
        <v/>
      </c>
    </row>
    <row r="546">
      <c r="I546">
        <f>IF(OR($A546="",$B546=""),"",IF(COUNTIFS($A$2:$A546,$A546,$B$2:$B546,$B546)=1,1,0))</f>
        <v/>
      </c>
      <c r="J546">
        <f>IF($A546="","",ROW())</f>
        <v/>
      </c>
      <c r="L546">
        <f>IF('01_Warehouse_Ledger'!$A546="","",'01_Warehouse_Ledger'!$A546)</f>
        <v/>
      </c>
    </row>
    <row r="547">
      <c r="I547">
        <f>IF(OR($A547="",$B547=""),"",IF(COUNTIFS($A$2:$A547,$A547,$B$2:$B547,$B547)=1,1,0))</f>
        <v/>
      </c>
      <c r="J547">
        <f>IF($A547="","",ROW())</f>
        <v/>
      </c>
      <c r="L547">
        <f>IF('01_Warehouse_Ledger'!$A547="","",'01_Warehouse_Ledger'!$A547)</f>
        <v/>
      </c>
    </row>
    <row r="548">
      <c r="I548">
        <f>IF(OR($A548="",$B548=""),"",IF(COUNTIFS($A$2:$A548,$A548,$B$2:$B548,$B548)=1,1,0))</f>
        <v/>
      </c>
      <c r="J548">
        <f>IF($A548="","",ROW())</f>
        <v/>
      </c>
      <c r="L548">
        <f>IF('01_Warehouse_Ledger'!$A548="","",'01_Warehouse_Ledger'!$A548)</f>
        <v/>
      </c>
    </row>
    <row r="549">
      <c r="I549">
        <f>IF(OR($A549="",$B549=""),"",IF(COUNTIFS($A$2:$A549,$A549,$B$2:$B549,$B549)=1,1,0))</f>
        <v/>
      </c>
      <c r="J549">
        <f>IF($A549="","",ROW())</f>
        <v/>
      </c>
      <c r="L549">
        <f>IF('01_Warehouse_Ledger'!$A549="","",'01_Warehouse_Ledger'!$A549)</f>
        <v/>
      </c>
    </row>
    <row r="550">
      <c r="I550">
        <f>IF(OR($A550="",$B550=""),"",IF(COUNTIFS($A$2:$A550,$A550,$B$2:$B550,$B550)=1,1,0))</f>
        <v/>
      </c>
      <c r="J550">
        <f>IF($A550="","",ROW())</f>
        <v/>
      </c>
      <c r="L550">
        <f>IF('01_Warehouse_Ledger'!$A550="","",'01_Warehouse_Ledger'!$A550)</f>
        <v/>
      </c>
    </row>
    <row r="551">
      <c r="I551">
        <f>IF(OR($A551="",$B551=""),"",IF(COUNTIFS($A$2:$A551,$A551,$B$2:$B551,$B551)=1,1,0))</f>
        <v/>
      </c>
      <c r="J551">
        <f>IF($A551="","",ROW())</f>
        <v/>
      </c>
      <c r="L551">
        <f>IF('01_Warehouse_Ledger'!$A551="","",'01_Warehouse_Ledger'!$A551)</f>
        <v/>
      </c>
    </row>
    <row r="552">
      <c r="I552">
        <f>IF(OR($A552="",$B552=""),"",IF(COUNTIFS($A$2:$A552,$A552,$B$2:$B552,$B552)=1,1,0))</f>
        <v/>
      </c>
      <c r="J552">
        <f>IF($A552="","",ROW())</f>
        <v/>
      </c>
      <c r="L552">
        <f>IF('01_Warehouse_Ledger'!$A552="","",'01_Warehouse_Ledger'!$A552)</f>
        <v/>
      </c>
    </row>
    <row r="553">
      <c r="I553">
        <f>IF(OR($A553="",$B553=""),"",IF(COUNTIFS($A$2:$A553,$A553,$B$2:$B553,$B553)=1,1,0))</f>
        <v/>
      </c>
      <c r="J553">
        <f>IF($A553="","",ROW())</f>
        <v/>
      </c>
      <c r="L553">
        <f>IF('01_Warehouse_Ledger'!$A553="","",'01_Warehouse_Ledger'!$A553)</f>
        <v/>
      </c>
    </row>
    <row r="554">
      <c r="I554">
        <f>IF(OR($A554="",$B554=""),"",IF(COUNTIFS($A$2:$A554,$A554,$B$2:$B554,$B554)=1,1,0))</f>
        <v/>
      </c>
      <c r="J554">
        <f>IF($A554="","",ROW())</f>
        <v/>
      </c>
      <c r="L554">
        <f>IF('01_Warehouse_Ledger'!$A554="","",'01_Warehouse_Ledger'!$A554)</f>
        <v/>
      </c>
    </row>
    <row r="555">
      <c r="I555">
        <f>IF(OR($A555="",$B555=""),"",IF(COUNTIFS($A$2:$A555,$A555,$B$2:$B555,$B555)=1,1,0))</f>
        <v/>
      </c>
      <c r="J555">
        <f>IF($A555="","",ROW())</f>
        <v/>
      </c>
      <c r="L555">
        <f>IF('01_Warehouse_Ledger'!$A555="","",'01_Warehouse_Ledger'!$A555)</f>
        <v/>
      </c>
    </row>
    <row r="556">
      <c r="I556">
        <f>IF(OR($A556="",$B556=""),"",IF(COUNTIFS($A$2:$A556,$A556,$B$2:$B556,$B556)=1,1,0))</f>
        <v/>
      </c>
      <c r="J556">
        <f>IF($A556="","",ROW())</f>
        <v/>
      </c>
      <c r="L556">
        <f>IF('01_Warehouse_Ledger'!$A556="","",'01_Warehouse_Ledger'!$A556)</f>
        <v/>
      </c>
    </row>
    <row r="557">
      <c r="I557">
        <f>IF(OR($A557="",$B557=""),"",IF(COUNTIFS($A$2:$A557,$A557,$B$2:$B557,$B557)=1,1,0))</f>
        <v/>
      </c>
      <c r="J557">
        <f>IF($A557="","",ROW())</f>
        <v/>
      </c>
      <c r="L557">
        <f>IF('01_Warehouse_Ledger'!$A557="","",'01_Warehouse_Ledger'!$A557)</f>
        <v/>
      </c>
    </row>
    <row r="558">
      <c r="I558">
        <f>IF(OR($A558="",$B558=""),"",IF(COUNTIFS($A$2:$A558,$A558,$B$2:$B558,$B558)=1,1,0))</f>
        <v/>
      </c>
      <c r="J558">
        <f>IF($A558="","",ROW())</f>
        <v/>
      </c>
      <c r="L558">
        <f>IF('01_Warehouse_Ledger'!$A558="","",'01_Warehouse_Ledger'!$A558)</f>
        <v/>
      </c>
    </row>
    <row r="559">
      <c r="I559">
        <f>IF(OR($A559="",$B559=""),"",IF(COUNTIFS($A$2:$A559,$A559,$B$2:$B559,$B559)=1,1,0))</f>
        <v/>
      </c>
      <c r="J559">
        <f>IF($A559="","",ROW())</f>
        <v/>
      </c>
      <c r="L559">
        <f>IF('01_Warehouse_Ledger'!$A559="","",'01_Warehouse_Ledger'!$A559)</f>
        <v/>
      </c>
    </row>
    <row r="560">
      <c r="I560">
        <f>IF(OR($A560="",$B560=""),"",IF(COUNTIFS($A$2:$A560,$A560,$B$2:$B560,$B560)=1,1,0))</f>
        <v/>
      </c>
      <c r="J560">
        <f>IF($A560="","",ROW())</f>
        <v/>
      </c>
      <c r="L560">
        <f>IF('01_Warehouse_Ledger'!$A560="","",'01_Warehouse_Ledger'!$A560)</f>
        <v/>
      </c>
    </row>
    <row r="561">
      <c r="I561">
        <f>IF(OR($A561="",$B561=""),"",IF(COUNTIFS($A$2:$A561,$A561,$B$2:$B561,$B561)=1,1,0))</f>
        <v/>
      </c>
      <c r="J561">
        <f>IF($A561="","",ROW())</f>
        <v/>
      </c>
      <c r="L561">
        <f>IF('01_Warehouse_Ledger'!$A561="","",'01_Warehouse_Ledger'!$A561)</f>
        <v/>
      </c>
    </row>
    <row r="562">
      <c r="I562">
        <f>IF(OR($A562="",$B562=""),"",IF(COUNTIFS($A$2:$A562,$A562,$B$2:$B562,$B562)=1,1,0))</f>
        <v/>
      </c>
      <c r="J562">
        <f>IF($A562="","",ROW())</f>
        <v/>
      </c>
      <c r="L562">
        <f>IF('01_Warehouse_Ledger'!$A562="","",'01_Warehouse_Ledger'!$A562)</f>
        <v/>
      </c>
    </row>
    <row r="563">
      <c r="I563">
        <f>IF(OR($A563="",$B563=""),"",IF(COUNTIFS($A$2:$A563,$A563,$B$2:$B563,$B563)=1,1,0))</f>
        <v/>
      </c>
      <c r="J563">
        <f>IF($A563="","",ROW())</f>
        <v/>
      </c>
      <c r="L563">
        <f>IF('01_Warehouse_Ledger'!$A563="","",'01_Warehouse_Ledger'!$A563)</f>
        <v/>
      </c>
    </row>
    <row r="564">
      <c r="I564">
        <f>IF(OR($A564="",$B564=""),"",IF(COUNTIFS($A$2:$A564,$A564,$B$2:$B564,$B564)=1,1,0))</f>
        <v/>
      </c>
      <c r="J564">
        <f>IF($A564="","",ROW())</f>
        <v/>
      </c>
      <c r="L564">
        <f>IF('01_Warehouse_Ledger'!$A564="","",'01_Warehouse_Ledger'!$A564)</f>
        <v/>
      </c>
    </row>
    <row r="565">
      <c r="I565">
        <f>IF(OR($A565="",$B565=""),"",IF(COUNTIFS($A$2:$A565,$A565,$B$2:$B565,$B565)=1,1,0))</f>
        <v/>
      </c>
      <c r="J565">
        <f>IF($A565="","",ROW())</f>
        <v/>
      </c>
      <c r="L565">
        <f>IF('01_Warehouse_Ledger'!$A565="","",'01_Warehouse_Ledger'!$A565)</f>
        <v/>
      </c>
    </row>
    <row r="566">
      <c r="I566">
        <f>IF(OR($A566="",$B566=""),"",IF(COUNTIFS($A$2:$A566,$A566,$B$2:$B566,$B566)=1,1,0))</f>
        <v/>
      </c>
      <c r="J566">
        <f>IF($A566="","",ROW())</f>
        <v/>
      </c>
      <c r="L566">
        <f>IF('01_Warehouse_Ledger'!$A566="","",'01_Warehouse_Ledger'!$A566)</f>
        <v/>
      </c>
    </row>
    <row r="567">
      <c r="I567">
        <f>IF(OR($A567="",$B567=""),"",IF(COUNTIFS($A$2:$A567,$A567,$B$2:$B567,$B567)=1,1,0))</f>
        <v/>
      </c>
      <c r="J567">
        <f>IF($A567="","",ROW())</f>
        <v/>
      </c>
      <c r="L567">
        <f>IF('01_Warehouse_Ledger'!$A567="","",'01_Warehouse_Ledger'!$A567)</f>
        <v/>
      </c>
    </row>
    <row r="568">
      <c r="I568">
        <f>IF(OR($A568="",$B568=""),"",IF(COUNTIFS($A$2:$A568,$A568,$B$2:$B568,$B568)=1,1,0))</f>
        <v/>
      </c>
      <c r="J568">
        <f>IF($A568="","",ROW())</f>
        <v/>
      </c>
      <c r="L568">
        <f>IF('01_Warehouse_Ledger'!$A568="","",'01_Warehouse_Ledger'!$A568)</f>
        <v/>
      </c>
    </row>
    <row r="569">
      <c r="I569">
        <f>IF(OR($A569="",$B569=""),"",IF(COUNTIFS($A$2:$A569,$A569,$B$2:$B569,$B569)=1,1,0))</f>
        <v/>
      </c>
      <c r="J569">
        <f>IF($A569="","",ROW())</f>
        <v/>
      </c>
      <c r="L569">
        <f>IF('01_Warehouse_Ledger'!$A569="","",'01_Warehouse_Ledger'!$A569)</f>
        <v/>
      </c>
    </row>
    <row r="570">
      <c r="I570">
        <f>IF(OR($A570="",$B570=""),"",IF(COUNTIFS($A$2:$A570,$A570,$B$2:$B570,$B570)=1,1,0))</f>
        <v/>
      </c>
      <c r="J570">
        <f>IF($A570="","",ROW())</f>
        <v/>
      </c>
      <c r="L570">
        <f>IF('01_Warehouse_Ledger'!$A570="","",'01_Warehouse_Ledger'!$A570)</f>
        <v/>
      </c>
    </row>
    <row r="571">
      <c r="I571">
        <f>IF(OR($A571="",$B571=""),"",IF(COUNTIFS($A$2:$A571,$A571,$B$2:$B571,$B571)=1,1,0))</f>
        <v/>
      </c>
      <c r="J571">
        <f>IF($A571="","",ROW())</f>
        <v/>
      </c>
      <c r="L571">
        <f>IF('01_Warehouse_Ledger'!$A571="","",'01_Warehouse_Ledger'!$A571)</f>
        <v/>
      </c>
    </row>
    <row r="572">
      <c r="I572">
        <f>IF(OR($A572="",$B572=""),"",IF(COUNTIFS($A$2:$A572,$A572,$B$2:$B572,$B572)=1,1,0))</f>
        <v/>
      </c>
      <c r="J572">
        <f>IF($A572="","",ROW())</f>
        <v/>
      </c>
      <c r="L572">
        <f>IF('01_Warehouse_Ledger'!$A572="","",'01_Warehouse_Ledger'!$A572)</f>
        <v/>
      </c>
    </row>
    <row r="573">
      <c r="I573">
        <f>IF(OR($A573="",$B573=""),"",IF(COUNTIFS($A$2:$A573,$A573,$B$2:$B573,$B573)=1,1,0))</f>
        <v/>
      </c>
      <c r="J573">
        <f>IF($A573="","",ROW())</f>
        <v/>
      </c>
      <c r="L573">
        <f>IF('01_Warehouse_Ledger'!$A573="","",'01_Warehouse_Ledger'!$A573)</f>
        <v/>
      </c>
    </row>
    <row r="574">
      <c r="I574">
        <f>IF(OR($A574="",$B574=""),"",IF(COUNTIFS($A$2:$A574,$A574,$B$2:$B574,$B574)=1,1,0))</f>
        <v/>
      </c>
      <c r="J574">
        <f>IF($A574="","",ROW())</f>
        <v/>
      </c>
      <c r="L574">
        <f>IF('01_Warehouse_Ledger'!$A574="","",'01_Warehouse_Ledger'!$A574)</f>
        <v/>
      </c>
    </row>
    <row r="575">
      <c r="I575">
        <f>IF(OR($A575="",$B575=""),"",IF(COUNTIFS($A$2:$A575,$A575,$B$2:$B575,$B575)=1,1,0))</f>
        <v/>
      </c>
      <c r="J575">
        <f>IF($A575="","",ROW())</f>
        <v/>
      </c>
      <c r="L575">
        <f>IF('01_Warehouse_Ledger'!$A575="","",'01_Warehouse_Ledger'!$A575)</f>
        <v/>
      </c>
    </row>
    <row r="576">
      <c r="I576">
        <f>IF(OR($A576="",$B576=""),"",IF(COUNTIFS($A$2:$A576,$A576,$B$2:$B576,$B576)=1,1,0))</f>
        <v/>
      </c>
      <c r="J576">
        <f>IF($A576="","",ROW())</f>
        <v/>
      </c>
      <c r="L576">
        <f>IF('01_Warehouse_Ledger'!$A576="","",'01_Warehouse_Ledger'!$A576)</f>
        <v/>
      </c>
    </row>
    <row r="577">
      <c r="I577">
        <f>IF(OR($A577="",$B577=""),"",IF(COUNTIFS($A$2:$A577,$A577,$B$2:$B577,$B577)=1,1,0))</f>
        <v/>
      </c>
      <c r="J577">
        <f>IF($A577="","",ROW())</f>
        <v/>
      </c>
      <c r="L577">
        <f>IF('01_Warehouse_Ledger'!$A577="","",'01_Warehouse_Ledger'!$A577)</f>
        <v/>
      </c>
    </row>
    <row r="578">
      <c r="I578">
        <f>IF(OR($A578="",$B578=""),"",IF(COUNTIFS($A$2:$A578,$A578,$B$2:$B578,$B578)=1,1,0))</f>
        <v/>
      </c>
      <c r="J578">
        <f>IF($A578="","",ROW())</f>
        <v/>
      </c>
      <c r="L578">
        <f>IF('01_Warehouse_Ledger'!$A578="","",'01_Warehouse_Ledger'!$A578)</f>
        <v/>
      </c>
    </row>
    <row r="579">
      <c r="I579">
        <f>IF(OR($A579="",$B579=""),"",IF(COUNTIFS($A$2:$A579,$A579,$B$2:$B579,$B579)=1,1,0))</f>
        <v/>
      </c>
      <c r="J579">
        <f>IF($A579="","",ROW())</f>
        <v/>
      </c>
      <c r="L579">
        <f>IF('01_Warehouse_Ledger'!$A579="","",'01_Warehouse_Ledger'!$A579)</f>
        <v/>
      </c>
    </row>
    <row r="580">
      <c r="I580">
        <f>IF(OR($A580="",$B580=""),"",IF(COUNTIFS($A$2:$A580,$A580,$B$2:$B580,$B580)=1,1,0))</f>
        <v/>
      </c>
      <c r="J580">
        <f>IF($A580="","",ROW())</f>
        <v/>
      </c>
      <c r="L580">
        <f>IF('01_Warehouse_Ledger'!$A580="","",'01_Warehouse_Ledger'!$A580)</f>
        <v/>
      </c>
    </row>
    <row r="581">
      <c r="I581">
        <f>IF(OR($A581="",$B581=""),"",IF(COUNTIFS($A$2:$A581,$A581,$B$2:$B581,$B581)=1,1,0))</f>
        <v/>
      </c>
      <c r="J581">
        <f>IF($A581="","",ROW())</f>
        <v/>
      </c>
      <c r="L581">
        <f>IF('01_Warehouse_Ledger'!$A581="","",'01_Warehouse_Ledger'!$A581)</f>
        <v/>
      </c>
    </row>
    <row r="582">
      <c r="I582">
        <f>IF(OR($A582="",$B582=""),"",IF(COUNTIFS($A$2:$A582,$A582,$B$2:$B582,$B582)=1,1,0))</f>
        <v/>
      </c>
      <c r="J582">
        <f>IF($A582="","",ROW())</f>
        <v/>
      </c>
      <c r="L582">
        <f>IF('01_Warehouse_Ledger'!$A582="","",'01_Warehouse_Ledger'!$A582)</f>
        <v/>
      </c>
    </row>
    <row r="583">
      <c r="I583">
        <f>IF(OR($A583="",$B583=""),"",IF(COUNTIFS($A$2:$A583,$A583,$B$2:$B583,$B583)=1,1,0))</f>
        <v/>
      </c>
      <c r="J583">
        <f>IF($A583="","",ROW())</f>
        <v/>
      </c>
      <c r="L583">
        <f>IF('01_Warehouse_Ledger'!$A583="","",'01_Warehouse_Ledger'!$A583)</f>
        <v/>
      </c>
    </row>
    <row r="584">
      <c r="I584">
        <f>IF(OR($A584="",$B584=""),"",IF(COUNTIFS($A$2:$A584,$A584,$B$2:$B584,$B584)=1,1,0))</f>
        <v/>
      </c>
      <c r="J584">
        <f>IF($A584="","",ROW())</f>
        <v/>
      </c>
      <c r="L584">
        <f>IF('01_Warehouse_Ledger'!$A584="","",'01_Warehouse_Ledger'!$A584)</f>
        <v/>
      </c>
    </row>
    <row r="585">
      <c r="I585">
        <f>IF(OR($A585="",$B585=""),"",IF(COUNTIFS($A$2:$A585,$A585,$B$2:$B585,$B585)=1,1,0))</f>
        <v/>
      </c>
      <c r="J585">
        <f>IF($A585="","",ROW())</f>
        <v/>
      </c>
      <c r="L585">
        <f>IF('01_Warehouse_Ledger'!$A585="","",'01_Warehouse_Ledger'!$A585)</f>
        <v/>
      </c>
    </row>
    <row r="586">
      <c r="I586">
        <f>IF(OR($A586="",$B586=""),"",IF(COUNTIFS($A$2:$A586,$A586,$B$2:$B586,$B586)=1,1,0))</f>
        <v/>
      </c>
      <c r="J586">
        <f>IF($A586="","",ROW())</f>
        <v/>
      </c>
      <c r="L586">
        <f>IF('01_Warehouse_Ledger'!$A586="","",'01_Warehouse_Ledger'!$A586)</f>
        <v/>
      </c>
    </row>
    <row r="587">
      <c r="I587">
        <f>IF(OR($A587="",$B587=""),"",IF(COUNTIFS($A$2:$A587,$A587,$B$2:$B587,$B587)=1,1,0))</f>
        <v/>
      </c>
      <c r="J587">
        <f>IF($A587="","",ROW())</f>
        <v/>
      </c>
      <c r="L587">
        <f>IF('01_Warehouse_Ledger'!$A587="","",'01_Warehouse_Ledger'!$A587)</f>
        <v/>
      </c>
    </row>
    <row r="588">
      <c r="I588">
        <f>IF(OR($A588="",$B588=""),"",IF(COUNTIFS($A$2:$A588,$A588,$B$2:$B588,$B588)=1,1,0))</f>
        <v/>
      </c>
      <c r="J588">
        <f>IF($A588="","",ROW())</f>
        <v/>
      </c>
      <c r="L588">
        <f>IF('01_Warehouse_Ledger'!$A588="","",'01_Warehouse_Ledger'!$A588)</f>
        <v/>
      </c>
    </row>
    <row r="589">
      <c r="I589">
        <f>IF(OR($A589="",$B589=""),"",IF(COUNTIFS($A$2:$A589,$A589,$B$2:$B589,$B589)=1,1,0))</f>
        <v/>
      </c>
      <c r="J589">
        <f>IF($A589="","",ROW())</f>
        <v/>
      </c>
      <c r="L589">
        <f>IF('01_Warehouse_Ledger'!$A589="","",'01_Warehouse_Ledger'!$A589)</f>
        <v/>
      </c>
    </row>
    <row r="590">
      <c r="I590">
        <f>IF(OR($A590="",$B590=""),"",IF(COUNTIFS($A$2:$A590,$A590,$B$2:$B590,$B590)=1,1,0))</f>
        <v/>
      </c>
      <c r="J590">
        <f>IF($A590="","",ROW())</f>
        <v/>
      </c>
      <c r="L590">
        <f>IF('01_Warehouse_Ledger'!$A590="","",'01_Warehouse_Ledger'!$A590)</f>
        <v/>
      </c>
    </row>
    <row r="591">
      <c r="I591">
        <f>IF(OR($A591="",$B591=""),"",IF(COUNTIFS($A$2:$A591,$A591,$B$2:$B591,$B591)=1,1,0))</f>
        <v/>
      </c>
      <c r="J591">
        <f>IF($A591="","",ROW())</f>
        <v/>
      </c>
      <c r="L591">
        <f>IF('01_Warehouse_Ledger'!$A591="","",'01_Warehouse_Ledger'!$A591)</f>
        <v/>
      </c>
    </row>
    <row r="592">
      <c r="I592">
        <f>IF(OR($A592="",$B592=""),"",IF(COUNTIFS($A$2:$A592,$A592,$B$2:$B592,$B592)=1,1,0))</f>
        <v/>
      </c>
      <c r="J592">
        <f>IF($A592="","",ROW())</f>
        <v/>
      </c>
      <c r="L592">
        <f>IF('01_Warehouse_Ledger'!$A592="","",'01_Warehouse_Ledger'!$A592)</f>
        <v/>
      </c>
    </row>
    <row r="593">
      <c r="I593">
        <f>IF(OR($A593="",$B593=""),"",IF(COUNTIFS($A$2:$A593,$A593,$B$2:$B593,$B593)=1,1,0))</f>
        <v/>
      </c>
      <c r="J593">
        <f>IF($A593="","",ROW())</f>
        <v/>
      </c>
      <c r="L593">
        <f>IF('01_Warehouse_Ledger'!$A593="","",'01_Warehouse_Ledger'!$A593)</f>
        <v/>
      </c>
    </row>
    <row r="594">
      <c r="I594">
        <f>IF(OR($A594="",$B594=""),"",IF(COUNTIFS($A$2:$A594,$A594,$B$2:$B594,$B594)=1,1,0))</f>
        <v/>
      </c>
      <c r="J594">
        <f>IF($A594="","",ROW())</f>
        <v/>
      </c>
      <c r="L594">
        <f>IF('01_Warehouse_Ledger'!$A594="","",'01_Warehouse_Ledger'!$A594)</f>
        <v/>
      </c>
    </row>
    <row r="595">
      <c r="I595">
        <f>IF(OR($A595="",$B595=""),"",IF(COUNTIFS($A$2:$A595,$A595,$B$2:$B595,$B595)=1,1,0))</f>
        <v/>
      </c>
      <c r="J595">
        <f>IF($A595="","",ROW())</f>
        <v/>
      </c>
      <c r="L595">
        <f>IF('01_Warehouse_Ledger'!$A595="","",'01_Warehouse_Ledger'!$A595)</f>
        <v/>
      </c>
    </row>
    <row r="596">
      <c r="I596">
        <f>IF(OR($A596="",$B596=""),"",IF(COUNTIFS($A$2:$A596,$A596,$B$2:$B596,$B596)=1,1,0))</f>
        <v/>
      </c>
      <c r="J596">
        <f>IF($A596="","",ROW())</f>
        <v/>
      </c>
      <c r="L596">
        <f>IF('01_Warehouse_Ledger'!$A596="","",'01_Warehouse_Ledger'!$A596)</f>
        <v/>
      </c>
    </row>
    <row r="597">
      <c r="I597">
        <f>IF(OR($A597="",$B597=""),"",IF(COUNTIFS($A$2:$A597,$A597,$B$2:$B597,$B597)=1,1,0))</f>
        <v/>
      </c>
      <c r="J597">
        <f>IF($A597="","",ROW())</f>
        <v/>
      </c>
      <c r="L597">
        <f>IF('01_Warehouse_Ledger'!$A597="","",'01_Warehouse_Ledger'!$A597)</f>
        <v/>
      </c>
    </row>
    <row r="598">
      <c r="I598">
        <f>IF(OR($A598="",$B598=""),"",IF(COUNTIFS($A$2:$A598,$A598,$B$2:$B598,$B598)=1,1,0))</f>
        <v/>
      </c>
      <c r="J598">
        <f>IF($A598="","",ROW())</f>
        <v/>
      </c>
      <c r="L598">
        <f>IF('01_Warehouse_Ledger'!$A598="","",'01_Warehouse_Ledger'!$A598)</f>
        <v/>
      </c>
    </row>
    <row r="599">
      <c r="I599">
        <f>IF(OR($A599="",$B599=""),"",IF(COUNTIFS($A$2:$A599,$A599,$B$2:$B599,$B599)=1,1,0))</f>
        <v/>
      </c>
      <c r="J599">
        <f>IF($A599="","",ROW())</f>
        <v/>
      </c>
      <c r="L599">
        <f>IF('01_Warehouse_Ledger'!$A599="","",'01_Warehouse_Ledger'!$A599)</f>
        <v/>
      </c>
    </row>
    <row r="600">
      <c r="I600">
        <f>IF(OR($A600="",$B600=""),"",IF(COUNTIFS($A$2:$A600,$A600,$B$2:$B600,$B600)=1,1,0))</f>
        <v/>
      </c>
      <c r="J600">
        <f>IF($A600="","",ROW())</f>
        <v/>
      </c>
      <c r="L600">
        <f>IF('01_Warehouse_Ledger'!$A600="","",'01_Warehouse_Ledger'!$A600)</f>
        <v/>
      </c>
    </row>
    <row r="601">
      <c r="I601">
        <f>IF(OR($A601="",$B601=""),"",IF(COUNTIFS($A$2:$A601,$A601,$B$2:$B601,$B601)=1,1,0))</f>
        <v/>
      </c>
      <c r="J601">
        <f>IF($A601="","",ROW())</f>
        <v/>
      </c>
      <c r="L601">
        <f>IF('01_Warehouse_Ledger'!$A601="","",'01_Warehouse_Ledger'!$A601)</f>
        <v/>
      </c>
    </row>
    <row r="602">
      <c r="I602">
        <f>IF(OR($A602="",$B602=""),"",IF(COUNTIFS($A$2:$A602,$A602,$B$2:$B602,$B602)=1,1,0))</f>
        <v/>
      </c>
      <c r="J602">
        <f>IF($A602="","",ROW())</f>
        <v/>
      </c>
      <c r="L602">
        <f>IF('01_Warehouse_Ledger'!$A602="","",'01_Warehouse_Ledger'!$A602)</f>
        <v/>
      </c>
    </row>
    <row r="603">
      <c r="I603">
        <f>IF(OR($A603="",$B603=""),"",IF(COUNTIFS($A$2:$A603,$A603,$B$2:$B603,$B603)=1,1,0))</f>
        <v/>
      </c>
      <c r="J603">
        <f>IF($A603="","",ROW())</f>
        <v/>
      </c>
      <c r="L603">
        <f>IF('01_Warehouse_Ledger'!$A603="","",'01_Warehouse_Ledger'!$A603)</f>
        <v/>
      </c>
    </row>
    <row r="604">
      <c r="I604">
        <f>IF(OR($A604="",$B604=""),"",IF(COUNTIFS($A$2:$A604,$A604,$B$2:$B604,$B604)=1,1,0))</f>
        <v/>
      </c>
      <c r="J604">
        <f>IF($A604="","",ROW())</f>
        <v/>
      </c>
      <c r="L604">
        <f>IF('01_Warehouse_Ledger'!$A604="","",'01_Warehouse_Ledger'!$A604)</f>
        <v/>
      </c>
    </row>
    <row r="605">
      <c r="I605">
        <f>IF(OR($A605="",$B605=""),"",IF(COUNTIFS($A$2:$A605,$A605,$B$2:$B605,$B605)=1,1,0))</f>
        <v/>
      </c>
      <c r="J605">
        <f>IF($A605="","",ROW())</f>
        <v/>
      </c>
      <c r="L605">
        <f>IF('01_Warehouse_Ledger'!$A605="","",'01_Warehouse_Ledger'!$A605)</f>
        <v/>
      </c>
    </row>
    <row r="606">
      <c r="I606">
        <f>IF(OR($A606="",$B606=""),"",IF(COUNTIFS($A$2:$A606,$A606,$B$2:$B606,$B606)=1,1,0))</f>
        <v/>
      </c>
      <c r="J606">
        <f>IF($A606="","",ROW())</f>
        <v/>
      </c>
      <c r="L606">
        <f>IF('01_Warehouse_Ledger'!$A606="","",'01_Warehouse_Ledger'!$A606)</f>
        <v/>
      </c>
    </row>
    <row r="607">
      <c r="I607">
        <f>IF(OR($A607="",$B607=""),"",IF(COUNTIFS($A$2:$A607,$A607,$B$2:$B607,$B607)=1,1,0))</f>
        <v/>
      </c>
      <c r="J607">
        <f>IF($A607="","",ROW())</f>
        <v/>
      </c>
      <c r="L607">
        <f>IF('01_Warehouse_Ledger'!$A607="","",'01_Warehouse_Ledger'!$A607)</f>
        <v/>
      </c>
    </row>
    <row r="608">
      <c r="I608">
        <f>IF(OR($A608="",$B608=""),"",IF(COUNTIFS($A$2:$A608,$A608,$B$2:$B608,$B608)=1,1,0))</f>
        <v/>
      </c>
      <c r="J608">
        <f>IF($A608="","",ROW())</f>
        <v/>
      </c>
      <c r="L608">
        <f>IF('01_Warehouse_Ledger'!$A608="","",'01_Warehouse_Ledger'!$A608)</f>
        <v/>
      </c>
    </row>
    <row r="609">
      <c r="I609">
        <f>IF(OR($A609="",$B609=""),"",IF(COUNTIFS($A$2:$A609,$A609,$B$2:$B609,$B609)=1,1,0))</f>
        <v/>
      </c>
      <c r="J609">
        <f>IF($A609="","",ROW())</f>
        <v/>
      </c>
      <c r="L609">
        <f>IF('01_Warehouse_Ledger'!$A609="","",'01_Warehouse_Ledger'!$A609)</f>
        <v/>
      </c>
    </row>
    <row r="610">
      <c r="I610">
        <f>IF(OR($A610="",$B610=""),"",IF(COUNTIFS($A$2:$A610,$A610,$B$2:$B610,$B610)=1,1,0))</f>
        <v/>
      </c>
      <c r="J610">
        <f>IF($A610="","",ROW())</f>
        <v/>
      </c>
      <c r="L610">
        <f>IF('01_Warehouse_Ledger'!$A610="","",'01_Warehouse_Ledger'!$A610)</f>
        <v/>
      </c>
    </row>
    <row r="611">
      <c r="I611">
        <f>IF(OR($A611="",$B611=""),"",IF(COUNTIFS($A$2:$A611,$A611,$B$2:$B611,$B611)=1,1,0))</f>
        <v/>
      </c>
      <c r="J611">
        <f>IF($A611="","",ROW())</f>
        <v/>
      </c>
      <c r="L611">
        <f>IF('01_Warehouse_Ledger'!$A611="","",'01_Warehouse_Ledger'!$A611)</f>
        <v/>
      </c>
    </row>
    <row r="612">
      <c r="I612">
        <f>IF(OR($A612="",$B612=""),"",IF(COUNTIFS($A$2:$A612,$A612,$B$2:$B612,$B612)=1,1,0))</f>
        <v/>
      </c>
      <c r="J612">
        <f>IF($A612="","",ROW())</f>
        <v/>
      </c>
      <c r="L612">
        <f>IF('01_Warehouse_Ledger'!$A612="","",'01_Warehouse_Ledger'!$A612)</f>
        <v/>
      </c>
    </row>
    <row r="613">
      <c r="I613">
        <f>IF(OR($A613="",$B613=""),"",IF(COUNTIFS($A$2:$A613,$A613,$B$2:$B613,$B613)=1,1,0))</f>
        <v/>
      </c>
      <c r="J613">
        <f>IF($A613="","",ROW())</f>
        <v/>
      </c>
      <c r="L613">
        <f>IF('01_Warehouse_Ledger'!$A613="","",'01_Warehouse_Ledger'!$A613)</f>
        <v/>
      </c>
    </row>
    <row r="614">
      <c r="I614">
        <f>IF(OR($A614="",$B614=""),"",IF(COUNTIFS($A$2:$A614,$A614,$B$2:$B614,$B614)=1,1,0))</f>
        <v/>
      </c>
      <c r="J614">
        <f>IF($A614="","",ROW())</f>
        <v/>
      </c>
      <c r="L614">
        <f>IF('01_Warehouse_Ledger'!$A614="","",'01_Warehouse_Ledger'!$A614)</f>
        <v/>
      </c>
    </row>
    <row r="615">
      <c r="I615">
        <f>IF(OR($A615="",$B615=""),"",IF(COUNTIFS($A$2:$A615,$A615,$B$2:$B615,$B615)=1,1,0))</f>
        <v/>
      </c>
      <c r="J615">
        <f>IF($A615="","",ROW())</f>
        <v/>
      </c>
      <c r="L615">
        <f>IF('01_Warehouse_Ledger'!$A615="","",'01_Warehouse_Ledger'!$A615)</f>
        <v/>
      </c>
    </row>
    <row r="616">
      <c r="I616">
        <f>IF(OR($A616="",$B616=""),"",IF(COUNTIFS($A$2:$A616,$A616,$B$2:$B616,$B616)=1,1,0))</f>
        <v/>
      </c>
      <c r="J616">
        <f>IF($A616="","",ROW())</f>
        <v/>
      </c>
      <c r="L616">
        <f>IF('01_Warehouse_Ledger'!$A616="","",'01_Warehouse_Ledger'!$A616)</f>
        <v/>
      </c>
    </row>
    <row r="617">
      <c r="I617">
        <f>IF(OR($A617="",$B617=""),"",IF(COUNTIFS($A$2:$A617,$A617,$B$2:$B617,$B617)=1,1,0))</f>
        <v/>
      </c>
      <c r="J617">
        <f>IF($A617="","",ROW())</f>
        <v/>
      </c>
      <c r="L617">
        <f>IF('01_Warehouse_Ledger'!$A617="","",'01_Warehouse_Ledger'!$A617)</f>
        <v/>
      </c>
    </row>
    <row r="618">
      <c r="I618">
        <f>IF(OR($A618="",$B618=""),"",IF(COUNTIFS($A$2:$A618,$A618,$B$2:$B618,$B618)=1,1,0))</f>
        <v/>
      </c>
      <c r="J618">
        <f>IF($A618="","",ROW())</f>
        <v/>
      </c>
      <c r="L618">
        <f>IF('01_Warehouse_Ledger'!$A618="","",'01_Warehouse_Ledger'!$A618)</f>
        <v/>
      </c>
    </row>
    <row r="619">
      <c r="I619">
        <f>IF(OR($A619="",$B619=""),"",IF(COUNTIFS($A$2:$A619,$A619,$B$2:$B619,$B619)=1,1,0))</f>
        <v/>
      </c>
      <c r="J619">
        <f>IF($A619="","",ROW())</f>
        <v/>
      </c>
      <c r="L619">
        <f>IF('01_Warehouse_Ledger'!$A619="","",'01_Warehouse_Ledger'!$A619)</f>
        <v/>
      </c>
    </row>
    <row r="620">
      <c r="I620">
        <f>IF(OR($A620="",$B620=""),"",IF(COUNTIFS($A$2:$A620,$A620,$B$2:$B620,$B620)=1,1,0))</f>
        <v/>
      </c>
      <c r="J620">
        <f>IF($A620="","",ROW())</f>
        <v/>
      </c>
      <c r="L620">
        <f>IF('01_Warehouse_Ledger'!$A620="","",'01_Warehouse_Ledger'!$A620)</f>
        <v/>
      </c>
    </row>
    <row r="621">
      <c r="I621">
        <f>IF(OR($A621="",$B621=""),"",IF(COUNTIFS($A$2:$A621,$A621,$B$2:$B621,$B621)=1,1,0))</f>
        <v/>
      </c>
      <c r="J621">
        <f>IF($A621="","",ROW())</f>
        <v/>
      </c>
      <c r="L621">
        <f>IF('01_Warehouse_Ledger'!$A621="","",'01_Warehouse_Ledger'!$A621)</f>
        <v/>
      </c>
    </row>
    <row r="622">
      <c r="I622">
        <f>IF(OR($A622="",$B622=""),"",IF(COUNTIFS($A$2:$A622,$A622,$B$2:$B622,$B622)=1,1,0))</f>
        <v/>
      </c>
      <c r="J622">
        <f>IF($A622="","",ROW())</f>
        <v/>
      </c>
      <c r="L622">
        <f>IF('01_Warehouse_Ledger'!$A622="","",'01_Warehouse_Ledger'!$A622)</f>
        <v/>
      </c>
    </row>
    <row r="623">
      <c r="I623">
        <f>IF(OR($A623="",$B623=""),"",IF(COUNTIFS($A$2:$A623,$A623,$B$2:$B623,$B623)=1,1,0))</f>
        <v/>
      </c>
      <c r="J623">
        <f>IF($A623="","",ROW())</f>
        <v/>
      </c>
      <c r="L623">
        <f>IF('01_Warehouse_Ledger'!$A623="","",'01_Warehouse_Ledger'!$A623)</f>
        <v/>
      </c>
    </row>
    <row r="624">
      <c r="I624">
        <f>IF(OR($A624="",$B624=""),"",IF(COUNTIFS($A$2:$A624,$A624,$B$2:$B624,$B624)=1,1,0))</f>
        <v/>
      </c>
      <c r="J624">
        <f>IF($A624="","",ROW())</f>
        <v/>
      </c>
      <c r="L624">
        <f>IF('01_Warehouse_Ledger'!$A624="","",'01_Warehouse_Ledger'!$A624)</f>
        <v/>
      </c>
    </row>
    <row r="625">
      <c r="I625">
        <f>IF(OR($A625="",$B625=""),"",IF(COUNTIFS($A$2:$A625,$A625,$B$2:$B625,$B625)=1,1,0))</f>
        <v/>
      </c>
      <c r="J625">
        <f>IF($A625="","",ROW())</f>
        <v/>
      </c>
      <c r="L625">
        <f>IF('01_Warehouse_Ledger'!$A625="","",'01_Warehouse_Ledger'!$A625)</f>
        <v/>
      </c>
    </row>
    <row r="626">
      <c r="I626">
        <f>IF(OR($A626="",$B626=""),"",IF(COUNTIFS($A$2:$A626,$A626,$B$2:$B626,$B626)=1,1,0))</f>
        <v/>
      </c>
      <c r="J626">
        <f>IF($A626="","",ROW())</f>
        <v/>
      </c>
      <c r="L626">
        <f>IF('01_Warehouse_Ledger'!$A626="","",'01_Warehouse_Ledger'!$A626)</f>
        <v/>
      </c>
    </row>
    <row r="627">
      <c r="I627">
        <f>IF(OR($A627="",$B627=""),"",IF(COUNTIFS($A$2:$A627,$A627,$B$2:$B627,$B627)=1,1,0))</f>
        <v/>
      </c>
      <c r="J627">
        <f>IF($A627="","",ROW())</f>
        <v/>
      </c>
      <c r="L627">
        <f>IF('01_Warehouse_Ledger'!$A627="","",'01_Warehouse_Ledger'!$A627)</f>
        <v/>
      </c>
    </row>
    <row r="628">
      <c r="I628">
        <f>IF(OR($A628="",$B628=""),"",IF(COUNTIFS($A$2:$A628,$A628,$B$2:$B628,$B628)=1,1,0))</f>
        <v/>
      </c>
      <c r="J628">
        <f>IF($A628="","",ROW())</f>
        <v/>
      </c>
      <c r="L628">
        <f>IF('01_Warehouse_Ledger'!$A628="","",'01_Warehouse_Ledger'!$A628)</f>
        <v/>
      </c>
    </row>
    <row r="629">
      <c r="I629">
        <f>IF(OR($A629="",$B629=""),"",IF(COUNTIFS($A$2:$A629,$A629,$B$2:$B629,$B629)=1,1,0))</f>
        <v/>
      </c>
      <c r="J629">
        <f>IF($A629="","",ROW())</f>
        <v/>
      </c>
      <c r="L629">
        <f>IF('01_Warehouse_Ledger'!$A629="","",'01_Warehouse_Ledger'!$A629)</f>
        <v/>
      </c>
    </row>
    <row r="630">
      <c r="I630">
        <f>IF(OR($A630="",$B630=""),"",IF(COUNTIFS($A$2:$A630,$A630,$B$2:$B630,$B630)=1,1,0))</f>
        <v/>
      </c>
      <c r="J630">
        <f>IF($A630="","",ROW())</f>
        <v/>
      </c>
      <c r="L630">
        <f>IF('01_Warehouse_Ledger'!$A630="","",'01_Warehouse_Ledger'!$A630)</f>
        <v/>
      </c>
    </row>
    <row r="631">
      <c r="I631">
        <f>IF(OR($A631="",$B631=""),"",IF(COUNTIFS($A$2:$A631,$A631,$B$2:$B631,$B631)=1,1,0))</f>
        <v/>
      </c>
      <c r="J631">
        <f>IF($A631="","",ROW())</f>
        <v/>
      </c>
      <c r="L631">
        <f>IF('01_Warehouse_Ledger'!$A631="","",'01_Warehouse_Ledger'!$A631)</f>
        <v/>
      </c>
    </row>
    <row r="632">
      <c r="I632">
        <f>IF(OR($A632="",$B632=""),"",IF(COUNTIFS($A$2:$A632,$A632,$B$2:$B632,$B632)=1,1,0))</f>
        <v/>
      </c>
      <c r="J632">
        <f>IF($A632="","",ROW())</f>
        <v/>
      </c>
      <c r="L632">
        <f>IF('01_Warehouse_Ledger'!$A632="","",'01_Warehouse_Ledger'!$A632)</f>
        <v/>
      </c>
    </row>
    <row r="633">
      <c r="I633">
        <f>IF(OR($A633="",$B633=""),"",IF(COUNTIFS($A$2:$A633,$A633,$B$2:$B633,$B633)=1,1,0))</f>
        <v/>
      </c>
      <c r="J633">
        <f>IF($A633="","",ROW())</f>
        <v/>
      </c>
      <c r="L633">
        <f>IF('01_Warehouse_Ledger'!$A633="","",'01_Warehouse_Ledger'!$A633)</f>
        <v/>
      </c>
    </row>
    <row r="634">
      <c r="I634">
        <f>IF(OR($A634="",$B634=""),"",IF(COUNTIFS($A$2:$A634,$A634,$B$2:$B634,$B634)=1,1,0))</f>
        <v/>
      </c>
      <c r="J634">
        <f>IF($A634="","",ROW())</f>
        <v/>
      </c>
      <c r="L634">
        <f>IF('01_Warehouse_Ledger'!$A634="","",'01_Warehouse_Ledger'!$A634)</f>
        <v/>
      </c>
    </row>
    <row r="635">
      <c r="I635">
        <f>IF(OR($A635="",$B635=""),"",IF(COUNTIFS($A$2:$A635,$A635,$B$2:$B635,$B635)=1,1,0))</f>
        <v/>
      </c>
      <c r="J635">
        <f>IF($A635="","",ROW())</f>
        <v/>
      </c>
      <c r="L635">
        <f>IF('01_Warehouse_Ledger'!$A635="","",'01_Warehouse_Ledger'!$A635)</f>
        <v/>
      </c>
    </row>
    <row r="636">
      <c r="I636">
        <f>IF(OR($A636="",$B636=""),"",IF(COUNTIFS($A$2:$A636,$A636,$B$2:$B636,$B636)=1,1,0))</f>
        <v/>
      </c>
      <c r="J636">
        <f>IF($A636="","",ROW())</f>
        <v/>
      </c>
      <c r="L636">
        <f>IF('01_Warehouse_Ledger'!$A636="","",'01_Warehouse_Ledger'!$A636)</f>
        <v/>
      </c>
    </row>
    <row r="637">
      <c r="I637">
        <f>IF(OR($A637="",$B637=""),"",IF(COUNTIFS($A$2:$A637,$A637,$B$2:$B637,$B637)=1,1,0))</f>
        <v/>
      </c>
      <c r="J637">
        <f>IF($A637="","",ROW())</f>
        <v/>
      </c>
      <c r="L637">
        <f>IF('01_Warehouse_Ledger'!$A637="","",'01_Warehouse_Ledger'!$A637)</f>
        <v/>
      </c>
    </row>
    <row r="638">
      <c r="I638">
        <f>IF(OR($A638="",$B638=""),"",IF(COUNTIFS($A$2:$A638,$A638,$B$2:$B638,$B638)=1,1,0))</f>
        <v/>
      </c>
      <c r="J638">
        <f>IF($A638="","",ROW())</f>
        <v/>
      </c>
      <c r="L638">
        <f>IF('01_Warehouse_Ledger'!$A638="","",'01_Warehouse_Ledger'!$A638)</f>
        <v/>
      </c>
    </row>
    <row r="639">
      <c r="I639">
        <f>IF(OR($A639="",$B639=""),"",IF(COUNTIFS($A$2:$A639,$A639,$B$2:$B639,$B639)=1,1,0))</f>
        <v/>
      </c>
      <c r="J639">
        <f>IF($A639="","",ROW())</f>
        <v/>
      </c>
      <c r="L639">
        <f>IF('01_Warehouse_Ledger'!$A639="","",'01_Warehouse_Ledger'!$A639)</f>
        <v/>
      </c>
    </row>
    <row r="640">
      <c r="I640">
        <f>IF(OR($A640="",$B640=""),"",IF(COUNTIFS($A$2:$A640,$A640,$B$2:$B640,$B640)=1,1,0))</f>
        <v/>
      </c>
      <c r="J640">
        <f>IF($A640="","",ROW())</f>
        <v/>
      </c>
      <c r="L640">
        <f>IF('01_Warehouse_Ledger'!$A640="","",'01_Warehouse_Ledger'!$A640)</f>
        <v/>
      </c>
    </row>
    <row r="641">
      <c r="I641">
        <f>IF(OR($A641="",$B641=""),"",IF(COUNTIFS($A$2:$A641,$A641,$B$2:$B641,$B641)=1,1,0))</f>
        <v/>
      </c>
      <c r="J641">
        <f>IF($A641="","",ROW())</f>
        <v/>
      </c>
      <c r="L641">
        <f>IF('01_Warehouse_Ledger'!$A641="","",'01_Warehouse_Ledger'!$A641)</f>
        <v/>
      </c>
    </row>
    <row r="642">
      <c r="I642">
        <f>IF(OR($A642="",$B642=""),"",IF(COUNTIFS($A$2:$A642,$A642,$B$2:$B642,$B642)=1,1,0))</f>
        <v/>
      </c>
      <c r="J642">
        <f>IF($A642="","",ROW())</f>
        <v/>
      </c>
      <c r="L642">
        <f>IF('01_Warehouse_Ledger'!$A642="","",'01_Warehouse_Ledger'!$A642)</f>
        <v/>
      </c>
    </row>
    <row r="643">
      <c r="I643">
        <f>IF(OR($A643="",$B643=""),"",IF(COUNTIFS($A$2:$A643,$A643,$B$2:$B643,$B643)=1,1,0))</f>
        <v/>
      </c>
      <c r="J643">
        <f>IF($A643="","",ROW())</f>
        <v/>
      </c>
      <c r="L643">
        <f>IF('01_Warehouse_Ledger'!$A643="","",'01_Warehouse_Ledger'!$A643)</f>
        <v/>
      </c>
    </row>
    <row r="644">
      <c r="I644">
        <f>IF(OR($A644="",$B644=""),"",IF(COUNTIFS($A$2:$A644,$A644,$B$2:$B644,$B644)=1,1,0))</f>
        <v/>
      </c>
      <c r="J644">
        <f>IF($A644="","",ROW())</f>
        <v/>
      </c>
      <c r="L644">
        <f>IF('01_Warehouse_Ledger'!$A644="","",'01_Warehouse_Ledger'!$A644)</f>
        <v/>
      </c>
    </row>
    <row r="645">
      <c r="I645">
        <f>IF(OR($A645="",$B645=""),"",IF(COUNTIFS($A$2:$A645,$A645,$B$2:$B645,$B645)=1,1,0))</f>
        <v/>
      </c>
      <c r="J645">
        <f>IF($A645="","",ROW())</f>
        <v/>
      </c>
      <c r="L645">
        <f>IF('01_Warehouse_Ledger'!$A645="","",'01_Warehouse_Ledger'!$A645)</f>
        <v/>
      </c>
    </row>
    <row r="646">
      <c r="I646">
        <f>IF(OR($A646="",$B646=""),"",IF(COUNTIFS($A$2:$A646,$A646,$B$2:$B646,$B646)=1,1,0))</f>
        <v/>
      </c>
      <c r="J646">
        <f>IF($A646="","",ROW())</f>
        <v/>
      </c>
      <c r="L646">
        <f>IF('01_Warehouse_Ledger'!$A646="","",'01_Warehouse_Ledger'!$A646)</f>
        <v/>
      </c>
    </row>
    <row r="647">
      <c r="I647">
        <f>IF(OR($A647="",$B647=""),"",IF(COUNTIFS($A$2:$A647,$A647,$B$2:$B647,$B647)=1,1,0))</f>
        <v/>
      </c>
      <c r="J647">
        <f>IF($A647="","",ROW())</f>
        <v/>
      </c>
      <c r="L647">
        <f>IF('01_Warehouse_Ledger'!$A647="","",'01_Warehouse_Ledger'!$A647)</f>
        <v/>
      </c>
    </row>
    <row r="648">
      <c r="I648">
        <f>IF(OR($A648="",$B648=""),"",IF(COUNTIFS($A$2:$A648,$A648,$B$2:$B648,$B648)=1,1,0))</f>
        <v/>
      </c>
      <c r="J648">
        <f>IF($A648="","",ROW())</f>
        <v/>
      </c>
      <c r="L648">
        <f>IF('01_Warehouse_Ledger'!$A648="","",'01_Warehouse_Ledger'!$A648)</f>
        <v/>
      </c>
    </row>
    <row r="649">
      <c r="I649">
        <f>IF(OR($A649="",$B649=""),"",IF(COUNTIFS($A$2:$A649,$A649,$B$2:$B649,$B649)=1,1,0))</f>
        <v/>
      </c>
      <c r="J649">
        <f>IF($A649="","",ROW())</f>
        <v/>
      </c>
      <c r="L649">
        <f>IF('01_Warehouse_Ledger'!$A649="","",'01_Warehouse_Ledger'!$A649)</f>
        <v/>
      </c>
    </row>
    <row r="650">
      <c r="I650">
        <f>IF(OR($A650="",$B650=""),"",IF(COUNTIFS($A$2:$A650,$A650,$B$2:$B650,$B650)=1,1,0))</f>
        <v/>
      </c>
      <c r="J650">
        <f>IF($A650="","",ROW())</f>
        <v/>
      </c>
      <c r="L650">
        <f>IF('01_Warehouse_Ledger'!$A650="","",'01_Warehouse_Ledger'!$A650)</f>
        <v/>
      </c>
    </row>
    <row r="651">
      <c r="I651">
        <f>IF(OR($A651="",$B651=""),"",IF(COUNTIFS($A$2:$A651,$A651,$B$2:$B651,$B651)=1,1,0))</f>
        <v/>
      </c>
      <c r="J651">
        <f>IF($A651="","",ROW())</f>
        <v/>
      </c>
      <c r="L651">
        <f>IF('01_Warehouse_Ledger'!$A651="","",'01_Warehouse_Ledger'!$A651)</f>
        <v/>
      </c>
    </row>
    <row r="652">
      <c r="I652">
        <f>IF(OR($A652="",$B652=""),"",IF(COUNTIFS($A$2:$A652,$A652,$B$2:$B652,$B652)=1,1,0))</f>
        <v/>
      </c>
      <c r="J652">
        <f>IF($A652="","",ROW())</f>
        <v/>
      </c>
      <c r="L652">
        <f>IF('01_Warehouse_Ledger'!$A652="","",'01_Warehouse_Ledger'!$A652)</f>
        <v/>
      </c>
    </row>
    <row r="653">
      <c r="I653">
        <f>IF(OR($A653="",$B653=""),"",IF(COUNTIFS($A$2:$A653,$A653,$B$2:$B653,$B653)=1,1,0))</f>
        <v/>
      </c>
      <c r="J653">
        <f>IF($A653="","",ROW())</f>
        <v/>
      </c>
      <c r="L653">
        <f>IF('01_Warehouse_Ledger'!$A653="","",'01_Warehouse_Ledger'!$A653)</f>
        <v/>
      </c>
    </row>
    <row r="654">
      <c r="I654">
        <f>IF(OR($A654="",$B654=""),"",IF(COUNTIFS($A$2:$A654,$A654,$B$2:$B654,$B654)=1,1,0))</f>
        <v/>
      </c>
      <c r="J654">
        <f>IF($A654="","",ROW())</f>
        <v/>
      </c>
      <c r="L654">
        <f>IF('01_Warehouse_Ledger'!$A654="","",'01_Warehouse_Ledger'!$A654)</f>
        <v/>
      </c>
    </row>
    <row r="655">
      <c r="I655">
        <f>IF(OR($A655="",$B655=""),"",IF(COUNTIFS($A$2:$A655,$A655,$B$2:$B655,$B655)=1,1,0))</f>
        <v/>
      </c>
      <c r="J655">
        <f>IF($A655="","",ROW())</f>
        <v/>
      </c>
      <c r="L655">
        <f>IF('01_Warehouse_Ledger'!$A655="","",'01_Warehouse_Ledger'!$A655)</f>
        <v/>
      </c>
    </row>
    <row r="656">
      <c r="I656">
        <f>IF(OR($A656="",$B656=""),"",IF(COUNTIFS($A$2:$A656,$A656,$B$2:$B656,$B656)=1,1,0))</f>
        <v/>
      </c>
      <c r="J656">
        <f>IF($A656="","",ROW())</f>
        <v/>
      </c>
      <c r="L656">
        <f>IF('01_Warehouse_Ledger'!$A656="","",'01_Warehouse_Ledger'!$A656)</f>
        <v/>
      </c>
    </row>
    <row r="657">
      <c r="I657">
        <f>IF(OR($A657="",$B657=""),"",IF(COUNTIFS($A$2:$A657,$A657,$B$2:$B657,$B657)=1,1,0))</f>
        <v/>
      </c>
      <c r="J657">
        <f>IF($A657="","",ROW())</f>
        <v/>
      </c>
      <c r="L657">
        <f>IF('01_Warehouse_Ledger'!$A657="","",'01_Warehouse_Ledger'!$A657)</f>
        <v/>
      </c>
    </row>
    <row r="658">
      <c r="I658">
        <f>IF(OR($A658="",$B658=""),"",IF(COUNTIFS($A$2:$A658,$A658,$B$2:$B658,$B658)=1,1,0))</f>
        <v/>
      </c>
      <c r="J658">
        <f>IF($A658="","",ROW())</f>
        <v/>
      </c>
      <c r="L658">
        <f>IF('01_Warehouse_Ledger'!$A658="","",'01_Warehouse_Ledger'!$A658)</f>
        <v/>
      </c>
    </row>
    <row r="659">
      <c r="I659">
        <f>IF(OR($A659="",$B659=""),"",IF(COUNTIFS($A$2:$A659,$A659,$B$2:$B659,$B659)=1,1,0))</f>
        <v/>
      </c>
      <c r="J659">
        <f>IF($A659="","",ROW())</f>
        <v/>
      </c>
      <c r="L659">
        <f>IF('01_Warehouse_Ledger'!$A659="","",'01_Warehouse_Ledger'!$A659)</f>
        <v/>
      </c>
    </row>
    <row r="660">
      <c r="I660">
        <f>IF(OR($A660="",$B660=""),"",IF(COUNTIFS($A$2:$A660,$A660,$B$2:$B660,$B660)=1,1,0))</f>
        <v/>
      </c>
      <c r="J660">
        <f>IF($A660="","",ROW())</f>
        <v/>
      </c>
      <c r="L660">
        <f>IF('01_Warehouse_Ledger'!$A660="","",'01_Warehouse_Ledger'!$A660)</f>
        <v/>
      </c>
    </row>
    <row r="661">
      <c r="I661">
        <f>IF(OR($A661="",$B661=""),"",IF(COUNTIFS($A$2:$A661,$A661,$B$2:$B661,$B661)=1,1,0))</f>
        <v/>
      </c>
      <c r="J661">
        <f>IF($A661="","",ROW())</f>
        <v/>
      </c>
      <c r="L661">
        <f>IF('01_Warehouse_Ledger'!$A661="","",'01_Warehouse_Ledger'!$A661)</f>
        <v/>
      </c>
    </row>
    <row r="662">
      <c r="I662">
        <f>IF(OR($A662="",$B662=""),"",IF(COUNTIFS($A$2:$A662,$A662,$B$2:$B662,$B662)=1,1,0))</f>
        <v/>
      </c>
      <c r="J662">
        <f>IF($A662="","",ROW())</f>
        <v/>
      </c>
      <c r="L662">
        <f>IF('01_Warehouse_Ledger'!$A662="","",'01_Warehouse_Ledger'!$A662)</f>
        <v/>
      </c>
    </row>
    <row r="663">
      <c r="I663">
        <f>IF(OR($A663="",$B663=""),"",IF(COUNTIFS($A$2:$A663,$A663,$B$2:$B663,$B663)=1,1,0))</f>
        <v/>
      </c>
      <c r="J663">
        <f>IF($A663="","",ROW())</f>
        <v/>
      </c>
      <c r="L663">
        <f>IF('01_Warehouse_Ledger'!$A663="","",'01_Warehouse_Ledger'!$A663)</f>
        <v/>
      </c>
    </row>
    <row r="664">
      <c r="I664">
        <f>IF(OR($A664="",$B664=""),"",IF(COUNTIFS($A$2:$A664,$A664,$B$2:$B664,$B664)=1,1,0))</f>
        <v/>
      </c>
      <c r="J664">
        <f>IF($A664="","",ROW())</f>
        <v/>
      </c>
      <c r="L664">
        <f>IF('01_Warehouse_Ledger'!$A664="","",'01_Warehouse_Ledger'!$A664)</f>
        <v/>
      </c>
    </row>
    <row r="665">
      <c r="I665">
        <f>IF(OR($A665="",$B665=""),"",IF(COUNTIFS($A$2:$A665,$A665,$B$2:$B665,$B665)=1,1,0))</f>
        <v/>
      </c>
      <c r="J665">
        <f>IF($A665="","",ROW())</f>
        <v/>
      </c>
      <c r="L665">
        <f>IF('01_Warehouse_Ledger'!$A665="","",'01_Warehouse_Ledger'!$A665)</f>
        <v/>
      </c>
    </row>
    <row r="666">
      <c r="I666">
        <f>IF(OR($A666="",$B666=""),"",IF(COUNTIFS($A$2:$A666,$A666,$B$2:$B666,$B666)=1,1,0))</f>
        <v/>
      </c>
      <c r="J666">
        <f>IF($A666="","",ROW())</f>
        <v/>
      </c>
      <c r="L666">
        <f>IF('01_Warehouse_Ledger'!$A666="","",'01_Warehouse_Ledger'!$A666)</f>
        <v/>
      </c>
    </row>
    <row r="667">
      <c r="I667">
        <f>IF(OR($A667="",$B667=""),"",IF(COUNTIFS($A$2:$A667,$A667,$B$2:$B667,$B667)=1,1,0))</f>
        <v/>
      </c>
      <c r="J667">
        <f>IF($A667="","",ROW())</f>
        <v/>
      </c>
      <c r="L667">
        <f>IF('01_Warehouse_Ledger'!$A667="","",'01_Warehouse_Ledger'!$A667)</f>
        <v/>
      </c>
    </row>
    <row r="668">
      <c r="I668">
        <f>IF(OR($A668="",$B668=""),"",IF(COUNTIFS($A$2:$A668,$A668,$B$2:$B668,$B668)=1,1,0))</f>
        <v/>
      </c>
      <c r="J668">
        <f>IF($A668="","",ROW())</f>
        <v/>
      </c>
      <c r="L668">
        <f>IF('01_Warehouse_Ledger'!$A668="","",'01_Warehouse_Ledger'!$A668)</f>
        <v/>
      </c>
    </row>
    <row r="669">
      <c r="I669">
        <f>IF(OR($A669="",$B669=""),"",IF(COUNTIFS($A$2:$A669,$A669,$B$2:$B669,$B669)=1,1,0))</f>
        <v/>
      </c>
      <c r="J669">
        <f>IF($A669="","",ROW())</f>
        <v/>
      </c>
      <c r="L669">
        <f>IF('01_Warehouse_Ledger'!$A669="","",'01_Warehouse_Ledger'!$A669)</f>
        <v/>
      </c>
    </row>
    <row r="670">
      <c r="I670">
        <f>IF(OR($A670="",$B670=""),"",IF(COUNTIFS($A$2:$A670,$A670,$B$2:$B670,$B670)=1,1,0))</f>
        <v/>
      </c>
      <c r="J670">
        <f>IF($A670="","",ROW())</f>
        <v/>
      </c>
      <c r="L670">
        <f>IF('01_Warehouse_Ledger'!$A670="","",'01_Warehouse_Ledger'!$A670)</f>
        <v/>
      </c>
    </row>
    <row r="671">
      <c r="I671">
        <f>IF(OR($A671="",$B671=""),"",IF(COUNTIFS($A$2:$A671,$A671,$B$2:$B671,$B671)=1,1,0))</f>
        <v/>
      </c>
      <c r="J671">
        <f>IF($A671="","",ROW())</f>
        <v/>
      </c>
      <c r="L671">
        <f>IF('01_Warehouse_Ledger'!$A671="","",'01_Warehouse_Ledger'!$A671)</f>
        <v/>
      </c>
    </row>
    <row r="672">
      <c r="I672">
        <f>IF(OR($A672="",$B672=""),"",IF(COUNTIFS($A$2:$A672,$A672,$B$2:$B672,$B672)=1,1,0))</f>
        <v/>
      </c>
      <c r="J672">
        <f>IF($A672="","",ROW())</f>
        <v/>
      </c>
      <c r="L672">
        <f>IF('01_Warehouse_Ledger'!$A672="","",'01_Warehouse_Ledger'!$A672)</f>
        <v/>
      </c>
    </row>
    <row r="673">
      <c r="I673">
        <f>IF(OR($A673="",$B673=""),"",IF(COUNTIFS($A$2:$A673,$A673,$B$2:$B673,$B673)=1,1,0))</f>
        <v/>
      </c>
      <c r="J673">
        <f>IF($A673="","",ROW())</f>
        <v/>
      </c>
      <c r="L673">
        <f>IF('01_Warehouse_Ledger'!$A673="","",'01_Warehouse_Ledger'!$A673)</f>
        <v/>
      </c>
    </row>
    <row r="674">
      <c r="I674">
        <f>IF(OR($A674="",$B674=""),"",IF(COUNTIFS($A$2:$A674,$A674,$B$2:$B674,$B674)=1,1,0))</f>
        <v/>
      </c>
      <c r="J674">
        <f>IF($A674="","",ROW())</f>
        <v/>
      </c>
      <c r="L674">
        <f>IF('01_Warehouse_Ledger'!$A674="","",'01_Warehouse_Ledger'!$A674)</f>
        <v/>
      </c>
    </row>
    <row r="675">
      <c r="I675">
        <f>IF(OR($A675="",$B675=""),"",IF(COUNTIFS($A$2:$A675,$A675,$B$2:$B675,$B675)=1,1,0))</f>
        <v/>
      </c>
      <c r="J675">
        <f>IF($A675="","",ROW())</f>
        <v/>
      </c>
      <c r="L675">
        <f>IF('01_Warehouse_Ledger'!$A675="","",'01_Warehouse_Ledger'!$A675)</f>
        <v/>
      </c>
    </row>
    <row r="676">
      <c r="I676">
        <f>IF(OR($A676="",$B676=""),"",IF(COUNTIFS($A$2:$A676,$A676,$B$2:$B676,$B676)=1,1,0))</f>
        <v/>
      </c>
      <c r="J676">
        <f>IF($A676="","",ROW())</f>
        <v/>
      </c>
      <c r="L676">
        <f>IF('01_Warehouse_Ledger'!$A676="","",'01_Warehouse_Ledger'!$A676)</f>
        <v/>
      </c>
    </row>
    <row r="677">
      <c r="I677">
        <f>IF(OR($A677="",$B677=""),"",IF(COUNTIFS($A$2:$A677,$A677,$B$2:$B677,$B677)=1,1,0))</f>
        <v/>
      </c>
      <c r="J677">
        <f>IF($A677="","",ROW())</f>
        <v/>
      </c>
      <c r="L677">
        <f>IF('01_Warehouse_Ledger'!$A677="","",'01_Warehouse_Ledger'!$A677)</f>
        <v/>
      </c>
    </row>
    <row r="678">
      <c r="I678">
        <f>IF(OR($A678="",$B678=""),"",IF(COUNTIFS($A$2:$A678,$A678,$B$2:$B678,$B678)=1,1,0))</f>
        <v/>
      </c>
      <c r="J678">
        <f>IF($A678="","",ROW())</f>
        <v/>
      </c>
      <c r="L678">
        <f>IF('01_Warehouse_Ledger'!$A678="","",'01_Warehouse_Ledger'!$A678)</f>
        <v/>
      </c>
    </row>
    <row r="679">
      <c r="I679">
        <f>IF(OR($A679="",$B679=""),"",IF(COUNTIFS($A$2:$A679,$A679,$B$2:$B679,$B679)=1,1,0))</f>
        <v/>
      </c>
      <c r="J679">
        <f>IF($A679="","",ROW())</f>
        <v/>
      </c>
      <c r="L679">
        <f>IF('01_Warehouse_Ledger'!$A679="","",'01_Warehouse_Ledger'!$A679)</f>
        <v/>
      </c>
    </row>
    <row r="680">
      <c r="I680">
        <f>IF(OR($A680="",$B680=""),"",IF(COUNTIFS($A$2:$A680,$A680,$B$2:$B680,$B680)=1,1,0))</f>
        <v/>
      </c>
      <c r="J680">
        <f>IF($A680="","",ROW())</f>
        <v/>
      </c>
      <c r="L680">
        <f>IF('01_Warehouse_Ledger'!$A680="","",'01_Warehouse_Ledger'!$A680)</f>
        <v/>
      </c>
    </row>
    <row r="681">
      <c r="I681">
        <f>IF(OR($A681="",$B681=""),"",IF(COUNTIFS($A$2:$A681,$A681,$B$2:$B681,$B681)=1,1,0))</f>
        <v/>
      </c>
      <c r="J681">
        <f>IF($A681="","",ROW())</f>
        <v/>
      </c>
      <c r="L681">
        <f>IF('01_Warehouse_Ledger'!$A681="","",'01_Warehouse_Ledger'!$A681)</f>
        <v/>
      </c>
    </row>
    <row r="682">
      <c r="I682">
        <f>IF(OR($A682="",$B682=""),"",IF(COUNTIFS($A$2:$A682,$A682,$B$2:$B682,$B682)=1,1,0))</f>
        <v/>
      </c>
      <c r="J682">
        <f>IF($A682="","",ROW())</f>
        <v/>
      </c>
      <c r="L682">
        <f>IF('01_Warehouse_Ledger'!$A682="","",'01_Warehouse_Ledger'!$A682)</f>
        <v/>
      </c>
    </row>
    <row r="683">
      <c r="I683">
        <f>IF(OR($A683="",$B683=""),"",IF(COUNTIFS($A$2:$A683,$A683,$B$2:$B683,$B683)=1,1,0))</f>
        <v/>
      </c>
      <c r="J683">
        <f>IF($A683="","",ROW())</f>
        <v/>
      </c>
      <c r="L683">
        <f>IF('01_Warehouse_Ledger'!$A683="","",'01_Warehouse_Ledger'!$A683)</f>
        <v/>
      </c>
    </row>
    <row r="684">
      <c r="I684">
        <f>IF(OR($A684="",$B684=""),"",IF(COUNTIFS($A$2:$A684,$A684,$B$2:$B684,$B684)=1,1,0))</f>
        <v/>
      </c>
      <c r="J684">
        <f>IF($A684="","",ROW())</f>
        <v/>
      </c>
      <c r="L684">
        <f>IF('01_Warehouse_Ledger'!$A684="","",'01_Warehouse_Ledger'!$A684)</f>
        <v/>
      </c>
    </row>
    <row r="685">
      <c r="I685">
        <f>IF(OR($A685="",$B685=""),"",IF(COUNTIFS($A$2:$A685,$A685,$B$2:$B685,$B685)=1,1,0))</f>
        <v/>
      </c>
      <c r="J685">
        <f>IF($A685="","",ROW())</f>
        <v/>
      </c>
      <c r="L685">
        <f>IF('01_Warehouse_Ledger'!$A685="","",'01_Warehouse_Ledger'!$A685)</f>
        <v/>
      </c>
    </row>
    <row r="686">
      <c r="I686">
        <f>IF(OR($A686="",$B686=""),"",IF(COUNTIFS($A$2:$A686,$A686,$B$2:$B686,$B686)=1,1,0))</f>
        <v/>
      </c>
      <c r="J686">
        <f>IF($A686="","",ROW())</f>
        <v/>
      </c>
      <c r="L686">
        <f>IF('01_Warehouse_Ledger'!$A686="","",'01_Warehouse_Ledger'!$A686)</f>
        <v/>
      </c>
    </row>
    <row r="687">
      <c r="I687">
        <f>IF(OR($A687="",$B687=""),"",IF(COUNTIFS($A$2:$A687,$A687,$B$2:$B687,$B687)=1,1,0))</f>
        <v/>
      </c>
      <c r="J687">
        <f>IF($A687="","",ROW())</f>
        <v/>
      </c>
      <c r="L687">
        <f>IF('01_Warehouse_Ledger'!$A687="","",'01_Warehouse_Ledger'!$A687)</f>
        <v/>
      </c>
    </row>
    <row r="688">
      <c r="I688">
        <f>IF(OR($A688="",$B688=""),"",IF(COUNTIFS($A$2:$A688,$A688,$B$2:$B688,$B688)=1,1,0))</f>
        <v/>
      </c>
      <c r="J688">
        <f>IF($A688="","",ROW())</f>
        <v/>
      </c>
      <c r="L688">
        <f>IF('01_Warehouse_Ledger'!$A688="","",'01_Warehouse_Ledger'!$A688)</f>
        <v/>
      </c>
    </row>
    <row r="689">
      <c r="I689">
        <f>IF(OR($A689="",$B689=""),"",IF(COUNTIFS($A$2:$A689,$A689,$B$2:$B689,$B689)=1,1,0))</f>
        <v/>
      </c>
      <c r="J689">
        <f>IF($A689="","",ROW())</f>
        <v/>
      </c>
      <c r="L689">
        <f>IF('01_Warehouse_Ledger'!$A689="","",'01_Warehouse_Ledger'!$A689)</f>
        <v/>
      </c>
    </row>
    <row r="690">
      <c r="I690">
        <f>IF(OR($A690="",$B690=""),"",IF(COUNTIFS($A$2:$A690,$A690,$B$2:$B690,$B690)=1,1,0))</f>
        <v/>
      </c>
      <c r="J690">
        <f>IF($A690="","",ROW())</f>
        <v/>
      </c>
      <c r="L690">
        <f>IF('01_Warehouse_Ledger'!$A690="","",'01_Warehouse_Ledger'!$A690)</f>
        <v/>
      </c>
    </row>
    <row r="691">
      <c r="I691">
        <f>IF(OR($A691="",$B691=""),"",IF(COUNTIFS($A$2:$A691,$A691,$B$2:$B691,$B691)=1,1,0))</f>
        <v/>
      </c>
      <c r="J691">
        <f>IF($A691="","",ROW())</f>
        <v/>
      </c>
      <c r="L691">
        <f>IF('01_Warehouse_Ledger'!$A691="","",'01_Warehouse_Ledger'!$A691)</f>
        <v/>
      </c>
    </row>
    <row r="692">
      <c r="I692">
        <f>IF(OR($A692="",$B692=""),"",IF(COUNTIFS($A$2:$A692,$A692,$B$2:$B692,$B692)=1,1,0))</f>
        <v/>
      </c>
      <c r="J692">
        <f>IF($A692="","",ROW())</f>
        <v/>
      </c>
      <c r="L692">
        <f>IF('01_Warehouse_Ledger'!$A692="","",'01_Warehouse_Ledger'!$A692)</f>
        <v/>
      </c>
    </row>
    <row r="693">
      <c r="I693">
        <f>IF(OR($A693="",$B693=""),"",IF(COUNTIFS($A$2:$A693,$A693,$B$2:$B693,$B693)=1,1,0))</f>
        <v/>
      </c>
      <c r="J693">
        <f>IF($A693="","",ROW())</f>
        <v/>
      </c>
      <c r="L693">
        <f>IF('01_Warehouse_Ledger'!$A693="","",'01_Warehouse_Ledger'!$A693)</f>
        <v/>
      </c>
    </row>
    <row r="694">
      <c r="I694">
        <f>IF(OR($A694="",$B694=""),"",IF(COUNTIFS($A$2:$A694,$A694,$B$2:$B694,$B694)=1,1,0))</f>
        <v/>
      </c>
      <c r="J694">
        <f>IF($A694="","",ROW())</f>
        <v/>
      </c>
      <c r="L694">
        <f>IF('01_Warehouse_Ledger'!$A694="","",'01_Warehouse_Ledger'!$A694)</f>
        <v/>
      </c>
    </row>
    <row r="695">
      <c r="I695">
        <f>IF(OR($A695="",$B695=""),"",IF(COUNTIFS($A$2:$A695,$A695,$B$2:$B695,$B695)=1,1,0))</f>
        <v/>
      </c>
      <c r="J695">
        <f>IF($A695="","",ROW())</f>
        <v/>
      </c>
      <c r="L695">
        <f>IF('01_Warehouse_Ledger'!$A695="","",'01_Warehouse_Ledger'!$A695)</f>
        <v/>
      </c>
    </row>
    <row r="696">
      <c r="I696">
        <f>IF(OR($A696="",$B696=""),"",IF(COUNTIFS($A$2:$A696,$A696,$B$2:$B696,$B696)=1,1,0))</f>
        <v/>
      </c>
      <c r="J696">
        <f>IF($A696="","",ROW())</f>
        <v/>
      </c>
      <c r="L696">
        <f>IF('01_Warehouse_Ledger'!$A696="","",'01_Warehouse_Ledger'!$A696)</f>
        <v/>
      </c>
    </row>
    <row r="697">
      <c r="I697">
        <f>IF(OR($A697="",$B697=""),"",IF(COUNTIFS($A$2:$A697,$A697,$B$2:$B697,$B697)=1,1,0))</f>
        <v/>
      </c>
      <c r="J697">
        <f>IF($A697="","",ROW())</f>
        <v/>
      </c>
      <c r="L697">
        <f>IF('01_Warehouse_Ledger'!$A697="","",'01_Warehouse_Ledger'!$A697)</f>
        <v/>
      </c>
    </row>
    <row r="698">
      <c r="I698">
        <f>IF(OR($A698="",$B698=""),"",IF(COUNTIFS($A$2:$A698,$A698,$B$2:$B698,$B698)=1,1,0))</f>
        <v/>
      </c>
      <c r="J698">
        <f>IF($A698="","",ROW())</f>
        <v/>
      </c>
      <c r="L698">
        <f>IF('01_Warehouse_Ledger'!$A698="","",'01_Warehouse_Ledger'!$A698)</f>
        <v/>
      </c>
    </row>
    <row r="699">
      <c r="I699">
        <f>IF(OR($A699="",$B699=""),"",IF(COUNTIFS($A$2:$A699,$A699,$B$2:$B699,$B699)=1,1,0))</f>
        <v/>
      </c>
      <c r="J699">
        <f>IF($A699="","",ROW())</f>
        <v/>
      </c>
      <c r="L699">
        <f>IF('01_Warehouse_Ledger'!$A699="","",'01_Warehouse_Ledger'!$A699)</f>
        <v/>
      </c>
    </row>
    <row r="700">
      <c r="I700">
        <f>IF(OR($A700="",$B700=""),"",IF(COUNTIFS($A$2:$A700,$A700,$B$2:$B700,$B700)=1,1,0))</f>
        <v/>
      </c>
      <c r="J700">
        <f>IF($A700="","",ROW())</f>
        <v/>
      </c>
      <c r="L700">
        <f>IF('01_Warehouse_Ledger'!$A700="","",'01_Warehouse_Ledger'!$A700)</f>
        <v/>
      </c>
    </row>
    <row r="701">
      <c r="I701">
        <f>IF(OR($A701="",$B701=""),"",IF(COUNTIFS($A$2:$A701,$A701,$B$2:$B701,$B701)=1,1,0))</f>
        <v/>
      </c>
      <c r="J701">
        <f>IF($A701="","",ROW())</f>
        <v/>
      </c>
      <c r="L701">
        <f>IF('01_Warehouse_Ledger'!$A701="","",'01_Warehouse_Ledger'!$A701)</f>
        <v/>
      </c>
    </row>
    <row r="702">
      <c r="I702">
        <f>IF(OR($A702="",$B702=""),"",IF(COUNTIFS($A$2:$A702,$A702,$B$2:$B702,$B702)=1,1,0))</f>
        <v/>
      </c>
      <c r="J702">
        <f>IF($A702="","",ROW())</f>
        <v/>
      </c>
      <c r="L702">
        <f>IF('01_Warehouse_Ledger'!$A702="","",'01_Warehouse_Ledger'!$A702)</f>
        <v/>
      </c>
    </row>
    <row r="703">
      <c r="I703">
        <f>IF(OR($A703="",$B703=""),"",IF(COUNTIFS($A$2:$A703,$A703,$B$2:$B703,$B703)=1,1,0))</f>
        <v/>
      </c>
      <c r="J703">
        <f>IF($A703="","",ROW())</f>
        <v/>
      </c>
      <c r="L703">
        <f>IF('01_Warehouse_Ledger'!$A703="","",'01_Warehouse_Ledger'!$A703)</f>
        <v/>
      </c>
    </row>
    <row r="704">
      <c r="I704">
        <f>IF(OR($A704="",$B704=""),"",IF(COUNTIFS($A$2:$A704,$A704,$B$2:$B704,$B704)=1,1,0))</f>
        <v/>
      </c>
      <c r="J704">
        <f>IF($A704="","",ROW())</f>
        <v/>
      </c>
      <c r="L704">
        <f>IF('01_Warehouse_Ledger'!$A704="","",'01_Warehouse_Ledger'!$A704)</f>
        <v/>
      </c>
    </row>
    <row r="705">
      <c r="I705">
        <f>IF(OR($A705="",$B705=""),"",IF(COUNTIFS($A$2:$A705,$A705,$B$2:$B705,$B705)=1,1,0))</f>
        <v/>
      </c>
      <c r="J705">
        <f>IF($A705="","",ROW())</f>
        <v/>
      </c>
      <c r="L705">
        <f>IF('01_Warehouse_Ledger'!$A705="","",'01_Warehouse_Ledger'!$A705)</f>
        <v/>
      </c>
    </row>
    <row r="706">
      <c r="I706">
        <f>IF(OR($A706="",$B706=""),"",IF(COUNTIFS($A$2:$A706,$A706,$B$2:$B706,$B706)=1,1,0))</f>
        <v/>
      </c>
      <c r="J706">
        <f>IF($A706="","",ROW())</f>
        <v/>
      </c>
      <c r="L706">
        <f>IF('01_Warehouse_Ledger'!$A706="","",'01_Warehouse_Ledger'!$A706)</f>
        <v/>
      </c>
    </row>
    <row r="707">
      <c r="I707">
        <f>IF(OR($A707="",$B707=""),"",IF(COUNTIFS($A$2:$A707,$A707,$B$2:$B707,$B707)=1,1,0))</f>
        <v/>
      </c>
      <c r="J707">
        <f>IF($A707="","",ROW())</f>
        <v/>
      </c>
      <c r="L707">
        <f>IF('01_Warehouse_Ledger'!$A707="","",'01_Warehouse_Ledger'!$A707)</f>
        <v/>
      </c>
    </row>
    <row r="708">
      <c r="I708">
        <f>IF(OR($A708="",$B708=""),"",IF(COUNTIFS($A$2:$A708,$A708,$B$2:$B708,$B708)=1,1,0))</f>
        <v/>
      </c>
      <c r="J708">
        <f>IF($A708="","",ROW())</f>
        <v/>
      </c>
      <c r="L708">
        <f>IF('01_Warehouse_Ledger'!$A708="","",'01_Warehouse_Ledger'!$A708)</f>
        <v/>
      </c>
    </row>
    <row r="709">
      <c r="I709">
        <f>IF(OR($A709="",$B709=""),"",IF(COUNTIFS($A$2:$A709,$A709,$B$2:$B709,$B709)=1,1,0))</f>
        <v/>
      </c>
      <c r="J709">
        <f>IF($A709="","",ROW())</f>
        <v/>
      </c>
      <c r="L709">
        <f>IF('01_Warehouse_Ledger'!$A709="","",'01_Warehouse_Ledger'!$A709)</f>
        <v/>
      </c>
    </row>
    <row r="710">
      <c r="I710">
        <f>IF(OR($A710="",$B710=""),"",IF(COUNTIFS($A$2:$A710,$A710,$B$2:$B710,$B710)=1,1,0))</f>
        <v/>
      </c>
      <c r="J710">
        <f>IF($A710="","",ROW())</f>
        <v/>
      </c>
      <c r="L710">
        <f>IF('01_Warehouse_Ledger'!$A710="","",'01_Warehouse_Ledger'!$A710)</f>
        <v/>
      </c>
    </row>
    <row r="711">
      <c r="I711">
        <f>IF(OR($A711="",$B711=""),"",IF(COUNTIFS($A$2:$A711,$A711,$B$2:$B711,$B711)=1,1,0))</f>
        <v/>
      </c>
      <c r="J711">
        <f>IF($A711="","",ROW())</f>
        <v/>
      </c>
      <c r="L711">
        <f>IF('01_Warehouse_Ledger'!$A711="","",'01_Warehouse_Ledger'!$A711)</f>
        <v/>
      </c>
    </row>
    <row r="712">
      <c r="I712">
        <f>IF(OR($A712="",$B712=""),"",IF(COUNTIFS($A$2:$A712,$A712,$B$2:$B712,$B712)=1,1,0))</f>
        <v/>
      </c>
      <c r="J712">
        <f>IF($A712="","",ROW())</f>
        <v/>
      </c>
      <c r="L712">
        <f>IF('01_Warehouse_Ledger'!$A712="","",'01_Warehouse_Ledger'!$A712)</f>
        <v/>
      </c>
    </row>
    <row r="713">
      <c r="I713">
        <f>IF(OR($A713="",$B713=""),"",IF(COUNTIFS($A$2:$A713,$A713,$B$2:$B713,$B713)=1,1,0))</f>
        <v/>
      </c>
      <c r="J713">
        <f>IF($A713="","",ROW())</f>
        <v/>
      </c>
      <c r="L713">
        <f>IF('01_Warehouse_Ledger'!$A713="","",'01_Warehouse_Ledger'!$A713)</f>
        <v/>
      </c>
    </row>
    <row r="714">
      <c r="I714">
        <f>IF(OR($A714="",$B714=""),"",IF(COUNTIFS($A$2:$A714,$A714,$B$2:$B714,$B714)=1,1,0))</f>
        <v/>
      </c>
      <c r="J714">
        <f>IF($A714="","",ROW())</f>
        <v/>
      </c>
      <c r="L714">
        <f>IF('01_Warehouse_Ledger'!$A714="","",'01_Warehouse_Ledger'!$A714)</f>
        <v/>
      </c>
    </row>
    <row r="715">
      <c r="I715">
        <f>IF(OR($A715="",$B715=""),"",IF(COUNTIFS($A$2:$A715,$A715,$B$2:$B715,$B715)=1,1,0))</f>
        <v/>
      </c>
      <c r="J715">
        <f>IF($A715="","",ROW())</f>
        <v/>
      </c>
      <c r="L715">
        <f>IF('01_Warehouse_Ledger'!$A715="","",'01_Warehouse_Ledger'!$A715)</f>
        <v/>
      </c>
    </row>
    <row r="716">
      <c r="I716">
        <f>IF(OR($A716="",$B716=""),"",IF(COUNTIFS($A$2:$A716,$A716,$B$2:$B716,$B716)=1,1,0))</f>
        <v/>
      </c>
      <c r="J716">
        <f>IF($A716="","",ROW())</f>
        <v/>
      </c>
      <c r="L716">
        <f>IF('01_Warehouse_Ledger'!$A716="","",'01_Warehouse_Ledger'!$A716)</f>
        <v/>
      </c>
    </row>
    <row r="717">
      <c r="I717">
        <f>IF(OR($A717="",$B717=""),"",IF(COUNTIFS($A$2:$A717,$A717,$B$2:$B717,$B717)=1,1,0))</f>
        <v/>
      </c>
      <c r="J717">
        <f>IF($A717="","",ROW())</f>
        <v/>
      </c>
      <c r="L717">
        <f>IF('01_Warehouse_Ledger'!$A717="","",'01_Warehouse_Ledger'!$A717)</f>
        <v/>
      </c>
    </row>
    <row r="718">
      <c r="I718">
        <f>IF(OR($A718="",$B718=""),"",IF(COUNTIFS($A$2:$A718,$A718,$B$2:$B718,$B718)=1,1,0))</f>
        <v/>
      </c>
      <c r="J718">
        <f>IF($A718="","",ROW())</f>
        <v/>
      </c>
      <c r="L718">
        <f>IF('01_Warehouse_Ledger'!$A718="","",'01_Warehouse_Ledger'!$A718)</f>
        <v/>
      </c>
    </row>
    <row r="719">
      <c r="I719">
        <f>IF(OR($A719="",$B719=""),"",IF(COUNTIFS($A$2:$A719,$A719,$B$2:$B719,$B719)=1,1,0))</f>
        <v/>
      </c>
      <c r="J719">
        <f>IF($A719="","",ROW())</f>
        <v/>
      </c>
      <c r="L719">
        <f>IF('01_Warehouse_Ledger'!$A719="","",'01_Warehouse_Ledger'!$A719)</f>
        <v/>
      </c>
    </row>
    <row r="720">
      <c r="I720">
        <f>IF(OR($A720="",$B720=""),"",IF(COUNTIFS($A$2:$A720,$A720,$B$2:$B720,$B720)=1,1,0))</f>
        <v/>
      </c>
      <c r="J720">
        <f>IF($A720="","",ROW())</f>
        <v/>
      </c>
      <c r="L720">
        <f>IF('01_Warehouse_Ledger'!$A720="","",'01_Warehouse_Ledger'!$A720)</f>
        <v/>
      </c>
    </row>
    <row r="721">
      <c r="I721">
        <f>IF(OR($A721="",$B721=""),"",IF(COUNTIFS($A$2:$A721,$A721,$B$2:$B721,$B721)=1,1,0))</f>
        <v/>
      </c>
      <c r="J721">
        <f>IF($A721="","",ROW())</f>
        <v/>
      </c>
      <c r="L721">
        <f>IF('01_Warehouse_Ledger'!$A721="","",'01_Warehouse_Ledger'!$A721)</f>
        <v/>
      </c>
    </row>
    <row r="722">
      <c r="I722">
        <f>IF(OR($A722="",$B722=""),"",IF(COUNTIFS($A$2:$A722,$A722,$B$2:$B722,$B722)=1,1,0))</f>
        <v/>
      </c>
      <c r="J722">
        <f>IF($A722="","",ROW())</f>
        <v/>
      </c>
      <c r="L722">
        <f>IF('01_Warehouse_Ledger'!$A722="","",'01_Warehouse_Ledger'!$A722)</f>
        <v/>
      </c>
    </row>
    <row r="723">
      <c r="I723">
        <f>IF(OR($A723="",$B723=""),"",IF(COUNTIFS($A$2:$A723,$A723,$B$2:$B723,$B723)=1,1,0))</f>
        <v/>
      </c>
      <c r="J723">
        <f>IF($A723="","",ROW())</f>
        <v/>
      </c>
      <c r="L723">
        <f>IF('01_Warehouse_Ledger'!$A723="","",'01_Warehouse_Ledger'!$A723)</f>
        <v/>
      </c>
    </row>
    <row r="724">
      <c r="I724">
        <f>IF(OR($A724="",$B724=""),"",IF(COUNTIFS($A$2:$A724,$A724,$B$2:$B724,$B724)=1,1,0))</f>
        <v/>
      </c>
      <c r="J724">
        <f>IF($A724="","",ROW())</f>
        <v/>
      </c>
      <c r="L724">
        <f>IF('01_Warehouse_Ledger'!$A724="","",'01_Warehouse_Ledger'!$A724)</f>
        <v/>
      </c>
    </row>
    <row r="725">
      <c r="I725">
        <f>IF(OR($A725="",$B725=""),"",IF(COUNTIFS($A$2:$A725,$A725,$B$2:$B725,$B725)=1,1,0))</f>
        <v/>
      </c>
      <c r="J725">
        <f>IF($A725="","",ROW())</f>
        <v/>
      </c>
      <c r="L725">
        <f>IF('01_Warehouse_Ledger'!$A725="","",'01_Warehouse_Ledger'!$A725)</f>
        <v/>
      </c>
    </row>
    <row r="726">
      <c r="I726">
        <f>IF(OR($A726="",$B726=""),"",IF(COUNTIFS($A$2:$A726,$A726,$B$2:$B726,$B726)=1,1,0))</f>
        <v/>
      </c>
      <c r="J726">
        <f>IF($A726="","",ROW())</f>
        <v/>
      </c>
      <c r="L726">
        <f>IF('01_Warehouse_Ledger'!$A726="","",'01_Warehouse_Ledger'!$A726)</f>
        <v/>
      </c>
    </row>
    <row r="727">
      <c r="I727">
        <f>IF(OR($A727="",$B727=""),"",IF(COUNTIFS($A$2:$A727,$A727,$B$2:$B727,$B727)=1,1,0))</f>
        <v/>
      </c>
      <c r="J727">
        <f>IF($A727="","",ROW())</f>
        <v/>
      </c>
      <c r="L727">
        <f>IF('01_Warehouse_Ledger'!$A727="","",'01_Warehouse_Ledger'!$A727)</f>
        <v/>
      </c>
    </row>
    <row r="728">
      <c r="I728">
        <f>IF(OR($A728="",$B728=""),"",IF(COUNTIFS($A$2:$A728,$A728,$B$2:$B728,$B728)=1,1,0))</f>
        <v/>
      </c>
      <c r="J728">
        <f>IF($A728="","",ROW())</f>
        <v/>
      </c>
      <c r="L728">
        <f>IF('01_Warehouse_Ledger'!$A728="","",'01_Warehouse_Ledger'!$A728)</f>
        <v/>
      </c>
    </row>
    <row r="729">
      <c r="I729">
        <f>IF(OR($A729="",$B729=""),"",IF(COUNTIFS($A$2:$A729,$A729,$B$2:$B729,$B729)=1,1,0))</f>
        <v/>
      </c>
      <c r="J729">
        <f>IF($A729="","",ROW())</f>
        <v/>
      </c>
      <c r="L729">
        <f>IF('01_Warehouse_Ledger'!$A729="","",'01_Warehouse_Ledger'!$A729)</f>
        <v/>
      </c>
    </row>
    <row r="730">
      <c r="I730">
        <f>IF(OR($A730="",$B730=""),"",IF(COUNTIFS($A$2:$A730,$A730,$B$2:$B730,$B730)=1,1,0))</f>
        <v/>
      </c>
      <c r="J730">
        <f>IF($A730="","",ROW())</f>
        <v/>
      </c>
      <c r="L730">
        <f>IF('01_Warehouse_Ledger'!$A730="","",'01_Warehouse_Ledger'!$A730)</f>
        <v/>
      </c>
    </row>
    <row r="731">
      <c r="I731">
        <f>IF(OR($A731="",$B731=""),"",IF(COUNTIFS($A$2:$A731,$A731,$B$2:$B731,$B731)=1,1,0))</f>
        <v/>
      </c>
      <c r="J731">
        <f>IF($A731="","",ROW())</f>
        <v/>
      </c>
      <c r="L731">
        <f>IF('01_Warehouse_Ledger'!$A731="","",'01_Warehouse_Ledger'!$A731)</f>
        <v/>
      </c>
    </row>
    <row r="732">
      <c r="I732">
        <f>IF(OR($A732="",$B732=""),"",IF(COUNTIFS($A$2:$A732,$A732,$B$2:$B732,$B732)=1,1,0))</f>
        <v/>
      </c>
      <c r="J732">
        <f>IF($A732="","",ROW())</f>
        <v/>
      </c>
      <c r="L732">
        <f>IF('01_Warehouse_Ledger'!$A732="","",'01_Warehouse_Ledger'!$A732)</f>
        <v/>
      </c>
    </row>
    <row r="733">
      <c r="I733">
        <f>IF(OR($A733="",$B733=""),"",IF(COUNTIFS($A$2:$A733,$A733,$B$2:$B733,$B733)=1,1,0))</f>
        <v/>
      </c>
      <c r="J733">
        <f>IF($A733="","",ROW())</f>
        <v/>
      </c>
      <c r="L733">
        <f>IF('01_Warehouse_Ledger'!$A733="","",'01_Warehouse_Ledger'!$A733)</f>
        <v/>
      </c>
    </row>
    <row r="734">
      <c r="I734">
        <f>IF(OR($A734="",$B734=""),"",IF(COUNTIFS($A$2:$A734,$A734,$B$2:$B734,$B734)=1,1,0))</f>
        <v/>
      </c>
      <c r="J734">
        <f>IF($A734="","",ROW())</f>
        <v/>
      </c>
      <c r="L734">
        <f>IF('01_Warehouse_Ledger'!$A734="","",'01_Warehouse_Ledger'!$A734)</f>
        <v/>
      </c>
    </row>
    <row r="735">
      <c r="I735">
        <f>IF(OR($A735="",$B735=""),"",IF(COUNTIFS($A$2:$A735,$A735,$B$2:$B735,$B735)=1,1,0))</f>
        <v/>
      </c>
      <c r="J735">
        <f>IF($A735="","",ROW())</f>
        <v/>
      </c>
      <c r="L735">
        <f>IF('01_Warehouse_Ledger'!$A735="","",'01_Warehouse_Ledger'!$A735)</f>
        <v/>
      </c>
    </row>
    <row r="736">
      <c r="I736">
        <f>IF(OR($A736="",$B736=""),"",IF(COUNTIFS($A$2:$A736,$A736,$B$2:$B736,$B736)=1,1,0))</f>
        <v/>
      </c>
      <c r="J736">
        <f>IF($A736="","",ROW())</f>
        <v/>
      </c>
      <c r="L736">
        <f>IF('01_Warehouse_Ledger'!$A736="","",'01_Warehouse_Ledger'!$A736)</f>
        <v/>
      </c>
    </row>
    <row r="737">
      <c r="I737">
        <f>IF(OR($A737="",$B737=""),"",IF(COUNTIFS($A$2:$A737,$A737,$B$2:$B737,$B737)=1,1,0))</f>
        <v/>
      </c>
      <c r="J737">
        <f>IF($A737="","",ROW())</f>
        <v/>
      </c>
      <c r="L737">
        <f>IF('01_Warehouse_Ledger'!$A737="","",'01_Warehouse_Ledger'!$A737)</f>
        <v/>
      </c>
    </row>
    <row r="738">
      <c r="I738">
        <f>IF(OR($A738="",$B738=""),"",IF(COUNTIFS($A$2:$A738,$A738,$B$2:$B738,$B738)=1,1,0))</f>
        <v/>
      </c>
      <c r="J738">
        <f>IF($A738="","",ROW())</f>
        <v/>
      </c>
      <c r="L738">
        <f>IF('01_Warehouse_Ledger'!$A738="","",'01_Warehouse_Ledger'!$A738)</f>
        <v/>
      </c>
    </row>
    <row r="739">
      <c r="I739">
        <f>IF(OR($A739="",$B739=""),"",IF(COUNTIFS($A$2:$A739,$A739,$B$2:$B739,$B739)=1,1,0))</f>
        <v/>
      </c>
      <c r="J739">
        <f>IF($A739="","",ROW())</f>
        <v/>
      </c>
      <c r="L739">
        <f>IF('01_Warehouse_Ledger'!$A739="","",'01_Warehouse_Ledger'!$A739)</f>
        <v/>
      </c>
    </row>
    <row r="740">
      <c r="I740">
        <f>IF(OR($A740="",$B740=""),"",IF(COUNTIFS($A$2:$A740,$A740,$B$2:$B740,$B740)=1,1,0))</f>
        <v/>
      </c>
      <c r="J740">
        <f>IF($A740="","",ROW())</f>
        <v/>
      </c>
      <c r="L740">
        <f>IF('01_Warehouse_Ledger'!$A740="","",'01_Warehouse_Ledger'!$A740)</f>
        <v/>
      </c>
    </row>
    <row r="741">
      <c r="I741">
        <f>IF(OR($A741="",$B741=""),"",IF(COUNTIFS($A$2:$A741,$A741,$B$2:$B741,$B741)=1,1,0))</f>
        <v/>
      </c>
      <c r="J741">
        <f>IF($A741="","",ROW())</f>
        <v/>
      </c>
      <c r="L741">
        <f>IF('01_Warehouse_Ledger'!$A741="","",'01_Warehouse_Ledger'!$A741)</f>
        <v/>
      </c>
    </row>
    <row r="742">
      <c r="I742">
        <f>IF(OR($A742="",$B742=""),"",IF(COUNTIFS($A$2:$A742,$A742,$B$2:$B742,$B742)=1,1,0))</f>
        <v/>
      </c>
      <c r="J742">
        <f>IF($A742="","",ROW())</f>
        <v/>
      </c>
      <c r="L742">
        <f>IF('01_Warehouse_Ledger'!$A742="","",'01_Warehouse_Ledger'!$A742)</f>
        <v/>
      </c>
    </row>
    <row r="743">
      <c r="I743">
        <f>IF(OR($A743="",$B743=""),"",IF(COUNTIFS($A$2:$A743,$A743,$B$2:$B743,$B743)=1,1,0))</f>
        <v/>
      </c>
      <c r="J743">
        <f>IF($A743="","",ROW())</f>
        <v/>
      </c>
      <c r="L743">
        <f>IF('01_Warehouse_Ledger'!$A743="","",'01_Warehouse_Ledger'!$A743)</f>
        <v/>
      </c>
    </row>
    <row r="744">
      <c r="I744">
        <f>IF(OR($A744="",$B744=""),"",IF(COUNTIFS($A$2:$A744,$A744,$B$2:$B744,$B744)=1,1,0))</f>
        <v/>
      </c>
      <c r="J744">
        <f>IF($A744="","",ROW())</f>
        <v/>
      </c>
      <c r="L744">
        <f>IF('01_Warehouse_Ledger'!$A744="","",'01_Warehouse_Ledger'!$A744)</f>
        <v/>
      </c>
    </row>
    <row r="745">
      <c r="I745">
        <f>IF(OR($A745="",$B745=""),"",IF(COUNTIFS($A$2:$A745,$A745,$B$2:$B745,$B745)=1,1,0))</f>
        <v/>
      </c>
      <c r="J745">
        <f>IF($A745="","",ROW())</f>
        <v/>
      </c>
      <c r="L745">
        <f>IF('01_Warehouse_Ledger'!$A745="","",'01_Warehouse_Ledger'!$A745)</f>
        <v/>
      </c>
    </row>
    <row r="746">
      <c r="I746">
        <f>IF(OR($A746="",$B746=""),"",IF(COUNTIFS($A$2:$A746,$A746,$B$2:$B746,$B746)=1,1,0))</f>
        <v/>
      </c>
      <c r="J746">
        <f>IF($A746="","",ROW())</f>
        <v/>
      </c>
      <c r="L746">
        <f>IF('01_Warehouse_Ledger'!$A746="","",'01_Warehouse_Ledger'!$A746)</f>
        <v/>
      </c>
    </row>
    <row r="747">
      <c r="I747">
        <f>IF(OR($A747="",$B747=""),"",IF(COUNTIFS($A$2:$A747,$A747,$B$2:$B747,$B747)=1,1,0))</f>
        <v/>
      </c>
      <c r="J747">
        <f>IF($A747="","",ROW())</f>
        <v/>
      </c>
      <c r="L747">
        <f>IF('01_Warehouse_Ledger'!$A747="","",'01_Warehouse_Ledger'!$A747)</f>
        <v/>
      </c>
    </row>
    <row r="748">
      <c r="I748">
        <f>IF(OR($A748="",$B748=""),"",IF(COUNTIFS($A$2:$A748,$A748,$B$2:$B748,$B748)=1,1,0))</f>
        <v/>
      </c>
      <c r="J748">
        <f>IF($A748="","",ROW())</f>
        <v/>
      </c>
      <c r="L748">
        <f>IF('01_Warehouse_Ledger'!$A748="","",'01_Warehouse_Ledger'!$A748)</f>
        <v/>
      </c>
    </row>
    <row r="749">
      <c r="I749">
        <f>IF(OR($A749="",$B749=""),"",IF(COUNTIFS($A$2:$A749,$A749,$B$2:$B749,$B749)=1,1,0))</f>
        <v/>
      </c>
      <c r="J749">
        <f>IF($A749="","",ROW())</f>
        <v/>
      </c>
      <c r="L749">
        <f>IF('01_Warehouse_Ledger'!$A749="","",'01_Warehouse_Ledger'!$A749)</f>
        <v/>
      </c>
    </row>
    <row r="750">
      <c r="I750">
        <f>IF(OR($A750="",$B750=""),"",IF(COUNTIFS($A$2:$A750,$A750,$B$2:$B750,$B750)=1,1,0))</f>
        <v/>
      </c>
      <c r="J750">
        <f>IF($A750="","",ROW())</f>
        <v/>
      </c>
      <c r="L750">
        <f>IF('01_Warehouse_Ledger'!$A750="","",'01_Warehouse_Ledger'!$A750)</f>
        <v/>
      </c>
    </row>
    <row r="751">
      <c r="I751">
        <f>IF(OR($A751="",$B751=""),"",IF(COUNTIFS($A$2:$A751,$A751,$B$2:$B751,$B751)=1,1,0))</f>
        <v/>
      </c>
      <c r="J751">
        <f>IF($A751="","",ROW())</f>
        <v/>
      </c>
      <c r="L751">
        <f>IF('01_Warehouse_Ledger'!$A751="","",'01_Warehouse_Ledger'!$A751)</f>
        <v/>
      </c>
    </row>
    <row r="752">
      <c r="I752">
        <f>IF(OR($A752="",$B752=""),"",IF(COUNTIFS($A$2:$A752,$A752,$B$2:$B752,$B752)=1,1,0))</f>
        <v/>
      </c>
      <c r="J752">
        <f>IF($A752="","",ROW())</f>
        <v/>
      </c>
      <c r="L752">
        <f>IF('01_Warehouse_Ledger'!$A752="","",'01_Warehouse_Ledger'!$A752)</f>
        <v/>
      </c>
    </row>
    <row r="753">
      <c r="I753">
        <f>IF(OR($A753="",$B753=""),"",IF(COUNTIFS($A$2:$A753,$A753,$B$2:$B753,$B753)=1,1,0))</f>
        <v/>
      </c>
      <c r="J753">
        <f>IF($A753="","",ROW())</f>
        <v/>
      </c>
      <c r="L753">
        <f>IF('01_Warehouse_Ledger'!$A753="","",'01_Warehouse_Ledger'!$A753)</f>
        <v/>
      </c>
    </row>
    <row r="754">
      <c r="I754">
        <f>IF(OR($A754="",$B754=""),"",IF(COUNTIFS($A$2:$A754,$A754,$B$2:$B754,$B754)=1,1,0))</f>
        <v/>
      </c>
      <c r="J754">
        <f>IF($A754="","",ROW())</f>
        <v/>
      </c>
      <c r="L754">
        <f>IF('01_Warehouse_Ledger'!$A754="","",'01_Warehouse_Ledger'!$A754)</f>
        <v/>
      </c>
    </row>
    <row r="755">
      <c r="I755">
        <f>IF(OR($A755="",$B755=""),"",IF(COUNTIFS($A$2:$A755,$A755,$B$2:$B755,$B755)=1,1,0))</f>
        <v/>
      </c>
      <c r="J755">
        <f>IF($A755="","",ROW())</f>
        <v/>
      </c>
      <c r="L755">
        <f>IF('01_Warehouse_Ledger'!$A755="","",'01_Warehouse_Ledger'!$A755)</f>
        <v/>
      </c>
    </row>
    <row r="756">
      <c r="I756">
        <f>IF(OR($A756="",$B756=""),"",IF(COUNTIFS($A$2:$A756,$A756,$B$2:$B756,$B756)=1,1,0))</f>
        <v/>
      </c>
      <c r="J756">
        <f>IF($A756="","",ROW())</f>
        <v/>
      </c>
      <c r="L756">
        <f>IF('01_Warehouse_Ledger'!$A756="","",'01_Warehouse_Ledger'!$A756)</f>
        <v/>
      </c>
    </row>
    <row r="757">
      <c r="I757">
        <f>IF(OR($A757="",$B757=""),"",IF(COUNTIFS($A$2:$A757,$A757,$B$2:$B757,$B757)=1,1,0))</f>
        <v/>
      </c>
      <c r="J757">
        <f>IF($A757="","",ROW())</f>
        <v/>
      </c>
      <c r="L757">
        <f>IF('01_Warehouse_Ledger'!$A757="","",'01_Warehouse_Ledger'!$A757)</f>
        <v/>
      </c>
    </row>
    <row r="758">
      <c r="I758">
        <f>IF(OR($A758="",$B758=""),"",IF(COUNTIFS($A$2:$A758,$A758,$B$2:$B758,$B758)=1,1,0))</f>
        <v/>
      </c>
      <c r="J758">
        <f>IF($A758="","",ROW())</f>
        <v/>
      </c>
      <c r="L758">
        <f>IF('01_Warehouse_Ledger'!$A758="","",'01_Warehouse_Ledger'!$A758)</f>
        <v/>
      </c>
    </row>
    <row r="759">
      <c r="I759">
        <f>IF(OR($A759="",$B759=""),"",IF(COUNTIFS($A$2:$A759,$A759,$B$2:$B759,$B759)=1,1,0))</f>
        <v/>
      </c>
      <c r="J759">
        <f>IF($A759="","",ROW())</f>
        <v/>
      </c>
      <c r="L759">
        <f>IF('01_Warehouse_Ledger'!$A759="","",'01_Warehouse_Ledger'!$A759)</f>
        <v/>
      </c>
    </row>
    <row r="760">
      <c r="I760">
        <f>IF(OR($A760="",$B760=""),"",IF(COUNTIFS($A$2:$A760,$A760,$B$2:$B760,$B760)=1,1,0))</f>
        <v/>
      </c>
      <c r="J760">
        <f>IF($A760="","",ROW())</f>
        <v/>
      </c>
      <c r="L760">
        <f>IF('01_Warehouse_Ledger'!$A760="","",'01_Warehouse_Ledger'!$A760)</f>
        <v/>
      </c>
    </row>
    <row r="761">
      <c r="I761">
        <f>IF(OR($A761="",$B761=""),"",IF(COUNTIFS($A$2:$A761,$A761,$B$2:$B761,$B761)=1,1,0))</f>
        <v/>
      </c>
      <c r="J761">
        <f>IF($A761="","",ROW())</f>
        <v/>
      </c>
      <c r="L761">
        <f>IF('01_Warehouse_Ledger'!$A761="","",'01_Warehouse_Ledger'!$A761)</f>
        <v/>
      </c>
    </row>
    <row r="762">
      <c r="I762">
        <f>IF(OR($A762="",$B762=""),"",IF(COUNTIFS($A$2:$A762,$A762,$B$2:$B762,$B762)=1,1,0))</f>
        <v/>
      </c>
      <c r="J762">
        <f>IF($A762="","",ROW())</f>
        <v/>
      </c>
      <c r="L762">
        <f>IF('01_Warehouse_Ledger'!$A762="","",'01_Warehouse_Ledger'!$A762)</f>
        <v/>
      </c>
    </row>
    <row r="763">
      <c r="I763">
        <f>IF(OR($A763="",$B763=""),"",IF(COUNTIFS($A$2:$A763,$A763,$B$2:$B763,$B763)=1,1,0))</f>
        <v/>
      </c>
      <c r="J763">
        <f>IF($A763="","",ROW())</f>
        <v/>
      </c>
      <c r="L763">
        <f>IF('01_Warehouse_Ledger'!$A763="","",'01_Warehouse_Ledger'!$A763)</f>
        <v/>
      </c>
    </row>
    <row r="764">
      <c r="I764">
        <f>IF(OR($A764="",$B764=""),"",IF(COUNTIFS($A$2:$A764,$A764,$B$2:$B764,$B764)=1,1,0))</f>
        <v/>
      </c>
      <c r="J764">
        <f>IF($A764="","",ROW())</f>
        <v/>
      </c>
      <c r="L764">
        <f>IF('01_Warehouse_Ledger'!$A764="","",'01_Warehouse_Ledger'!$A764)</f>
        <v/>
      </c>
    </row>
    <row r="765">
      <c r="I765">
        <f>IF(OR($A765="",$B765=""),"",IF(COUNTIFS($A$2:$A765,$A765,$B$2:$B765,$B765)=1,1,0))</f>
        <v/>
      </c>
      <c r="J765">
        <f>IF($A765="","",ROW())</f>
        <v/>
      </c>
      <c r="L765">
        <f>IF('01_Warehouse_Ledger'!$A765="","",'01_Warehouse_Ledger'!$A765)</f>
        <v/>
      </c>
    </row>
    <row r="766">
      <c r="I766">
        <f>IF(OR($A766="",$B766=""),"",IF(COUNTIFS($A$2:$A766,$A766,$B$2:$B766,$B766)=1,1,0))</f>
        <v/>
      </c>
      <c r="J766">
        <f>IF($A766="","",ROW())</f>
        <v/>
      </c>
      <c r="L766">
        <f>IF('01_Warehouse_Ledger'!$A766="","",'01_Warehouse_Ledger'!$A766)</f>
        <v/>
      </c>
    </row>
    <row r="767">
      <c r="I767">
        <f>IF(OR($A767="",$B767=""),"",IF(COUNTIFS($A$2:$A767,$A767,$B$2:$B767,$B767)=1,1,0))</f>
        <v/>
      </c>
      <c r="J767">
        <f>IF($A767="","",ROW())</f>
        <v/>
      </c>
      <c r="L767">
        <f>IF('01_Warehouse_Ledger'!$A767="","",'01_Warehouse_Ledger'!$A767)</f>
        <v/>
      </c>
    </row>
    <row r="768">
      <c r="I768">
        <f>IF(OR($A768="",$B768=""),"",IF(COUNTIFS($A$2:$A768,$A768,$B$2:$B768,$B768)=1,1,0))</f>
        <v/>
      </c>
      <c r="J768">
        <f>IF($A768="","",ROW())</f>
        <v/>
      </c>
      <c r="L768">
        <f>IF('01_Warehouse_Ledger'!$A768="","",'01_Warehouse_Ledger'!$A768)</f>
        <v/>
      </c>
    </row>
    <row r="769">
      <c r="I769">
        <f>IF(OR($A769="",$B769=""),"",IF(COUNTIFS($A$2:$A769,$A769,$B$2:$B769,$B769)=1,1,0))</f>
        <v/>
      </c>
      <c r="J769">
        <f>IF($A769="","",ROW())</f>
        <v/>
      </c>
      <c r="L769">
        <f>IF('01_Warehouse_Ledger'!$A769="","",'01_Warehouse_Ledger'!$A769)</f>
        <v/>
      </c>
    </row>
    <row r="770">
      <c r="I770">
        <f>IF(OR($A770="",$B770=""),"",IF(COUNTIFS($A$2:$A770,$A770,$B$2:$B770,$B770)=1,1,0))</f>
        <v/>
      </c>
      <c r="J770">
        <f>IF($A770="","",ROW())</f>
        <v/>
      </c>
      <c r="L770">
        <f>IF('01_Warehouse_Ledger'!$A770="","",'01_Warehouse_Ledger'!$A770)</f>
        <v/>
      </c>
    </row>
    <row r="771">
      <c r="I771">
        <f>IF(OR($A771="",$B771=""),"",IF(COUNTIFS($A$2:$A771,$A771,$B$2:$B771,$B771)=1,1,0))</f>
        <v/>
      </c>
      <c r="J771">
        <f>IF($A771="","",ROW())</f>
        <v/>
      </c>
      <c r="L771">
        <f>IF('01_Warehouse_Ledger'!$A771="","",'01_Warehouse_Ledger'!$A771)</f>
        <v/>
      </c>
    </row>
    <row r="772">
      <c r="I772">
        <f>IF(OR($A772="",$B772=""),"",IF(COUNTIFS($A$2:$A772,$A772,$B$2:$B772,$B772)=1,1,0))</f>
        <v/>
      </c>
      <c r="J772">
        <f>IF($A772="","",ROW())</f>
        <v/>
      </c>
      <c r="L772">
        <f>IF('01_Warehouse_Ledger'!$A772="","",'01_Warehouse_Ledger'!$A772)</f>
        <v/>
      </c>
    </row>
    <row r="773">
      <c r="I773">
        <f>IF(OR($A773="",$B773=""),"",IF(COUNTIFS($A$2:$A773,$A773,$B$2:$B773,$B773)=1,1,0))</f>
        <v/>
      </c>
      <c r="J773">
        <f>IF($A773="","",ROW())</f>
        <v/>
      </c>
      <c r="L773">
        <f>IF('01_Warehouse_Ledger'!$A773="","",'01_Warehouse_Ledger'!$A773)</f>
        <v/>
      </c>
    </row>
    <row r="774">
      <c r="I774">
        <f>IF(OR($A774="",$B774=""),"",IF(COUNTIFS($A$2:$A774,$A774,$B$2:$B774,$B774)=1,1,0))</f>
        <v/>
      </c>
      <c r="J774">
        <f>IF($A774="","",ROW())</f>
        <v/>
      </c>
      <c r="L774">
        <f>IF('01_Warehouse_Ledger'!$A774="","",'01_Warehouse_Ledger'!$A774)</f>
        <v/>
      </c>
    </row>
    <row r="775">
      <c r="I775">
        <f>IF(OR($A775="",$B775=""),"",IF(COUNTIFS($A$2:$A775,$A775,$B$2:$B775,$B775)=1,1,0))</f>
        <v/>
      </c>
      <c r="J775">
        <f>IF($A775="","",ROW())</f>
        <v/>
      </c>
      <c r="L775">
        <f>IF('01_Warehouse_Ledger'!$A775="","",'01_Warehouse_Ledger'!$A775)</f>
        <v/>
      </c>
    </row>
    <row r="776">
      <c r="I776">
        <f>IF(OR($A776="",$B776=""),"",IF(COUNTIFS($A$2:$A776,$A776,$B$2:$B776,$B776)=1,1,0))</f>
        <v/>
      </c>
      <c r="J776">
        <f>IF($A776="","",ROW())</f>
        <v/>
      </c>
      <c r="L776">
        <f>IF('01_Warehouse_Ledger'!$A776="","",'01_Warehouse_Ledger'!$A776)</f>
        <v/>
      </c>
    </row>
    <row r="777">
      <c r="I777">
        <f>IF(OR($A777="",$B777=""),"",IF(COUNTIFS($A$2:$A777,$A777,$B$2:$B777,$B777)=1,1,0))</f>
        <v/>
      </c>
      <c r="J777">
        <f>IF($A777="","",ROW())</f>
        <v/>
      </c>
      <c r="L777">
        <f>IF('01_Warehouse_Ledger'!$A777="","",'01_Warehouse_Ledger'!$A777)</f>
        <v/>
      </c>
    </row>
    <row r="778">
      <c r="I778">
        <f>IF(OR($A778="",$B778=""),"",IF(COUNTIFS($A$2:$A778,$A778,$B$2:$B778,$B778)=1,1,0))</f>
        <v/>
      </c>
      <c r="J778">
        <f>IF($A778="","",ROW())</f>
        <v/>
      </c>
      <c r="L778">
        <f>IF('01_Warehouse_Ledger'!$A778="","",'01_Warehouse_Ledger'!$A778)</f>
        <v/>
      </c>
    </row>
    <row r="779">
      <c r="I779">
        <f>IF(OR($A779="",$B779=""),"",IF(COUNTIFS($A$2:$A779,$A779,$B$2:$B779,$B779)=1,1,0))</f>
        <v/>
      </c>
      <c r="J779">
        <f>IF($A779="","",ROW())</f>
        <v/>
      </c>
      <c r="L779">
        <f>IF('01_Warehouse_Ledger'!$A779="","",'01_Warehouse_Ledger'!$A779)</f>
        <v/>
      </c>
    </row>
    <row r="780">
      <c r="I780">
        <f>IF(OR($A780="",$B780=""),"",IF(COUNTIFS($A$2:$A780,$A780,$B$2:$B780,$B780)=1,1,0))</f>
        <v/>
      </c>
      <c r="J780">
        <f>IF($A780="","",ROW())</f>
        <v/>
      </c>
      <c r="L780">
        <f>IF('01_Warehouse_Ledger'!$A780="","",'01_Warehouse_Ledger'!$A780)</f>
        <v/>
      </c>
    </row>
    <row r="781">
      <c r="I781">
        <f>IF(OR($A781="",$B781=""),"",IF(COUNTIFS($A$2:$A781,$A781,$B$2:$B781,$B781)=1,1,0))</f>
        <v/>
      </c>
      <c r="J781">
        <f>IF($A781="","",ROW())</f>
        <v/>
      </c>
      <c r="L781">
        <f>IF('01_Warehouse_Ledger'!$A781="","",'01_Warehouse_Ledger'!$A781)</f>
        <v/>
      </c>
    </row>
    <row r="782">
      <c r="I782">
        <f>IF(OR($A782="",$B782=""),"",IF(COUNTIFS($A$2:$A782,$A782,$B$2:$B782,$B782)=1,1,0))</f>
        <v/>
      </c>
      <c r="J782">
        <f>IF($A782="","",ROW())</f>
        <v/>
      </c>
      <c r="L782">
        <f>IF('01_Warehouse_Ledger'!$A782="","",'01_Warehouse_Ledger'!$A782)</f>
        <v/>
      </c>
    </row>
    <row r="783">
      <c r="I783">
        <f>IF(OR($A783="",$B783=""),"",IF(COUNTIFS($A$2:$A783,$A783,$B$2:$B783,$B783)=1,1,0))</f>
        <v/>
      </c>
      <c r="J783">
        <f>IF($A783="","",ROW())</f>
        <v/>
      </c>
      <c r="L783">
        <f>IF('01_Warehouse_Ledger'!$A783="","",'01_Warehouse_Ledger'!$A783)</f>
        <v/>
      </c>
    </row>
    <row r="784">
      <c r="I784">
        <f>IF(OR($A784="",$B784=""),"",IF(COUNTIFS($A$2:$A784,$A784,$B$2:$B784,$B784)=1,1,0))</f>
        <v/>
      </c>
      <c r="J784">
        <f>IF($A784="","",ROW())</f>
        <v/>
      </c>
      <c r="L784">
        <f>IF('01_Warehouse_Ledger'!$A784="","",'01_Warehouse_Ledger'!$A784)</f>
        <v/>
      </c>
    </row>
    <row r="785">
      <c r="I785">
        <f>IF(OR($A785="",$B785=""),"",IF(COUNTIFS($A$2:$A785,$A785,$B$2:$B785,$B785)=1,1,0))</f>
        <v/>
      </c>
      <c r="J785">
        <f>IF($A785="","",ROW())</f>
        <v/>
      </c>
      <c r="L785">
        <f>IF('01_Warehouse_Ledger'!$A785="","",'01_Warehouse_Ledger'!$A785)</f>
        <v/>
      </c>
    </row>
    <row r="786">
      <c r="I786">
        <f>IF(OR($A786="",$B786=""),"",IF(COUNTIFS($A$2:$A786,$A786,$B$2:$B786,$B786)=1,1,0))</f>
        <v/>
      </c>
      <c r="J786">
        <f>IF($A786="","",ROW())</f>
        <v/>
      </c>
      <c r="L786">
        <f>IF('01_Warehouse_Ledger'!$A786="","",'01_Warehouse_Ledger'!$A786)</f>
        <v/>
      </c>
    </row>
    <row r="787">
      <c r="I787">
        <f>IF(OR($A787="",$B787=""),"",IF(COUNTIFS($A$2:$A787,$A787,$B$2:$B787,$B787)=1,1,0))</f>
        <v/>
      </c>
      <c r="J787">
        <f>IF($A787="","",ROW())</f>
        <v/>
      </c>
      <c r="L787">
        <f>IF('01_Warehouse_Ledger'!$A787="","",'01_Warehouse_Ledger'!$A787)</f>
        <v/>
      </c>
    </row>
    <row r="788">
      <c r="I788">
        <f>IF(OR($A788="",$B788=""),"",IF(COUNTIFS($A$2:$A788,$A788,$B$2:$B788,$B788)=1,1,0))</f>
        <v/>
      </c>
      <c r="J788">
        <f>IF($A788="","",ROW())</f>
        <v/>
      </c>
      <c r="L788">
        <f>IF('01_Warehouse_Ledger'!$A788="","",'01_Warehouse_Ledger'!$A788)</f>
        <v/>
      </c>
    </row>
    <row r="789">
      <c r="I789">
        <f>IF(OR($A789="",$B789=""),"",IF(COUNTIFS($A$2:$A789,$A789,$B$2:$B789,$B789)=1,1,0))</f>
        <v/>
      </c>
      <c r="J789">
        <f>IF($A789="","",ROW())</f>
        <v/>
      </c>
      <c r="L789">
        <f>IF('01_Warehouse_Ledger'!$A789="","",'01_Warehouse_Ledger'!$A789)</f>
        <v/>
      </c>
    </row>
    <row r="790">
      <c r="I790">
        <f>IF(OR($A790="",$B790=""),"",IF(COUNTIFS($A$2:$A790,$A790,$B$2:$B790,$B790)=1,1,0))</f>
        <v/>
      </c>
      <c r="J790">
        <f>IF($A790="","",ROW())</f>
        <v/>
      </c>
      <c r="L790">
        <f>IF('01_Warehouse_Ledger'!$A790="","",'01_Warehouse_Ledger'!$A790)</f>
        <v/>
      </c>
    </row>
    <row r="791">
      <c r="I791">
        <f>IF(OR($A791="",$B791=""),"",IF(COUNTIFS($A$2:$A791,$A791,$B$2:$B791,$B791)=1,1,0))</f>
        <v/>
      </c>
      <c r="J791">
        <f>IF($A791="","",ROW())</f>
        <v/>
      </c>
      <c r="L791">
        <f>IF('01_Warehouse_Ledger'!$A791="","",'01_Warehouse_Ledger'!$A791)</f>
        <v/>
      </c>
    </row>
    <row r="792">
      <c r="I792">
        <f>IF(OR($A792="",$B792=""),"",IF(COUNTIFS($A$2:$A792,$A792,$B$2:$B792,$B792)=1,1,0))</f>
        <v/>
      </c>
      <c r="J792">
        <f>IF($A792="","",ROW())</f>
        <v/>
      </c>
      <c r="L792">
        <f>IF('01_Warehouse_Ledger'!$A792="","",'01_Warehouse_Ledger'!$A792)</f>
        <v/>
      </c>
    </row>
    <row r="793">
      <c r="I793">
        <f>IF(OR($A793="",$B793=""),"",IF(COUNTIFS($A$2:$A793,$A793,$B$2:$B793,$B793)=1,1,0))</f>
        <v/>
      </c>
      <c r="J793">
        <f>IF($A793="","",ROW())</f>
        <v/>
      </c>
      <c r="L793">
        <f>IF('01_Warehouse_Ledger'!$A793="","",'01_Warehouse_Ledger'!$A793)</f>
        <v/>
      </c>
    </row>
    <row r="794">
      <c r="I794">
        <f>IF(OR($A794="",$B794=""),"",IF(COUNTIFS($A$2:$A794,$A794,$B$2:$B794,$B794)=1,1,0))</f>
        <v/>
      </c>
      <c r="J794">
        <f>IF($A794="","",ROW())</f>
        <v/>
      </c>
      <c r="L794">
        <f>IF('01_Warehouse_Ledger'!$A794="","",'01_Warehouse_Ledger'!$A794)</f>
        <v/>
      </c>
    </row>
    <row r="795">
      <c r="I795">
        <f>IF(OR($A795="",$B795=""),"",IF(COUNTIFS($A$2:$A795,$A795,$B$2:$B795,$B795)=1,1,0))</f>
        <v/>
      </c>
      <c r="J795">
        <f>IF($A795="","",ROW())</f>
        <v/>
      </c>
      <c r="L795">
        <f>IF('01_Warehouse_Ledger'!$A795="","",'01_Warehouse_Ledger'!$A795)</f>
        <v/>
      </c>
    </row>
    <row r="796">
      <c r="I796">
        <f>IF(OR($A796="",$B796=""),"",IF(COUNTIFS($A$2:$A796,$A796,$B$2:$B796,$B796)=1,1,0))</f>
        <v/>
      </c>
      <c r="J796">
        <f>IF($A796="","",ROW())</f>
        <v/>
      </c>
      <c r="L796">
        <f>IF('01_Warehouse_Ledger'!$A796="","",'01_Warehouse_Ledger'!$A796)</f>
        <v/>
      </c>
    </row>
    <row r="797">
      <c r="I797">
        <f>IF(OR($A797="",$B797=""),"",IF(COUNTIFS($A$2:$A797,$A797,$B$2:$B797,$B797)=1,1,0))</f>
        <v/>
      </c>
      <c r="J797">
        <f>IF($A797="","",ROW())</f>
        <v/>
      </c>
      <c r="L797">
        <f>IF('01_Warehouse_Ledger'!$A797="","",'01_Warehouse_Ledger'!$A797)</f>
        <v/>
      </c>
    </row>
    <row r="798">
      <c r="I798">
        <f>IF(OR($A798="",$B798=""),"",IF(COUNTIFS($A$2:$A798,$A798,$B$2:$B798,$B798)=1,1,0))</f>
        <v/>
      </c>
      <c r="J798">
        <f>IF($A798="","",ROW())</f>
        <v/>
      </c>
      <c r="L798">
        <f>IF('01_Warehouse_Ledger'!$A798="","",'01_Warehouse_Ledger'!$A798)</f>
        <v/>
      </c>
    </row>
    <row r="799">
      <c r="I799">
        <f>IF(OR($A799="",$B799=""),"",IF(COUNTIFS($A$2:$A799,$A799,$B$2:$B799,$B799)=1,1,0))</f>
        <v/>
      </c>
      <c r="J799">
        <f>IF($A799="","",ROW())</f>
        <v/>
      </c>
      <c r="L799">
        <f>IF('01_Warehouse_Ledger'!$A799="","",'01_Warehouse_Ledger'!$A799)</f>
        <v/>
      </c>
    </row>
    <row r="800">
      <c r="I800">
        <f>IF(OR($A800="",$B800=""),"",IF(COUNTIFS($A$2:$A800,$A800,$B$2:$B800,$B800)=1,1,0))</f>
        <v/>
      </c>
      <c r="J800">
        <f>IF($A800="","",ROW())</f>
        <v/>
      </c>
      <c r="L800">
        <f>IF('01_Warehouse_Ledger'!$A800="","",'01_Warehouse_Ledger'!$A800)</f>
        <v/>
      </c>
    </row>
    <row r="801">
      <c r="I801">
        <f>IF(OR($A801="",$B801=""),"",IF(COUNTIFS($A$2:$A801,$A801,$B$2:$B801,$B801)=1,1,0))</f>
        <v/>
      </c>
      <c r="J801">
        <f>IF($A801="","",ROW())</f>
        <v/>
      </c>
      <c r="L801">
        <f>IF('01_Warehouse_Ledger'!$A801="","",'01_Warehouse_Ledger'!$A801)</f>
        <v/>
      </c>
    </row>
    <row r="802">
      <c r="I802">
        <f>IF(OR($A802="",$B802=""),"",IF(COUNTIFS($A$2:$A802,$A802,$B$2:$B802,$B802)=1,1,0))</f>
        <v/>
      </c>
      <c r="J802">
        <f>IF($A802="","",ROW())</f>
        <v/>
      </c>
      <c r="L802">
        <f>IF('01_Warehouse_Ledger'!$A802="","",'01_Warehouse_Ledger'!$A802)</f>
        <v/>
      </c>
    </row>
    <row r="803">
      <c r="I803">
        <f>IF(OR($A803="",$B803=""),"",IF(COUNTIFS($A$2:$A803,$A803,$B$2:$B803,$B803)=1,1,0))</f>
        <v/>
      </c>
      <c r="J803">
        <f>IF($A803="","",ROW())</f>
        <v/>
      </c>
      <c r="L803">
        <f>IF('01_Warehouse_Ledger'!$A803="","",'01_Warehouse_Ledger'!$A803)</f>
        <v/>
      </c>
    </row>
    <row r="804">
      <c r="I804">
        <f>IF(OR($A804="",$B804=""),"",IF(COUNTIFS($A$2:$A804,$A804,$B$2:$B804,$B804)=1,1,0))</f>
        <v/>
      </c>
      <c r="J804">
        <f>IF($A804="","",ROW())</f>
        <v/>
      </c>
      <c r="L804">
        <f>IF('01_Warehouse_Ledger'!$A804="","",'01_Warehouse_Ledger'!$A804)</f>
        <v/>
      </c>
    </row>
    <row r="805">
      <c r="I805">
        <f>IF(OR($A805="",$B805=""),"",IF(COUNTIFS($A$2:$A805,$A805,$B$2:$B805,$B805)=1,1,0))</f>
        <v/>
      </c>
      <c r="J805">
        <f>IF($A805="","",ROW())</f>
        <v/>
      </c>
      <c r="L805">
        <f>IF('01_Warehouse_Ledger'!$A805="","",'01_Warehouse_Ledger'!$A805)</f>
        <v/>
      </c>
    </row>
    <row r="806">
      <c r="I806">
        <f>IF(OR($A806="",$B806=""),"",IF(COUNTIFS($A$2:$A806,$A806,$B$2:$B806,$B806)=1,1,0))</f>
        <v/>
      </c>
      <c r="J806">
        <f>IF($A806="","",ROW())</f>
        <v/>
      </c>
      <c r="L806">
        <f>IF('01_Warehouse_Ledger'!$A806="","",'01_Warehouse_Ledger'!$A806)</f>
        <v/>
      </c>
    </row>
    <row r="807">
      <c r="I807">
        <f>IF(OR($A807="",$B807=""),"",IF(COUNTIFS($A$2:$A807,$A807,$B$2:$B807,$B807)=1,1,0))</f>
        <v/>
      </c>
      <c r="J807">
        <f>IF($A807="","",ROW())</f>
        <v/>
      </c>
      <c r="L807">
        <f>IF('01_Warehouse_Ledger'!$A807="","",'01_Warehouse_Ledger'!$A807)</f>
        <v/>
      </c>
    </row>
    <row r="808">
      <c r="I808">
        <f>IF(OR($A808="",$B808=""),"",IF(COUNTIFS($A$2:$A808,$A808,$B$2:$B808,$B808)=1,1,0))</f>
        <v/>
      </c>
      <c r="J808">
        <f>IF($A808="","",ROW())</f>
        <v/>
      </c>
      <c r="L808">
        <f>IF('01_Warehouse_Ledger'!$A808="","",'01_Warehouse_Ledger'!$A808)</f>
        <v/>
      </c>
    </row>
    <row r="809">
      <c r="I809">
        <f>IF(OR($A809="",$B809=""),"",IF(COUNTIFS($A$2:$A809,$A809,$B$2:$B809,$B809)=1,1,0))</f>
        <v/>
      </c>
      <c r="J809">
        <f>IF($A809="","",ROW())</f>
        <v/>
      </c>
      <c r="L809">
        <f>IF('01_Warehouse_Ledger'!$A809="","",'01_Warehouse_Ledger'!$A809)</f>
        <v/>
      </c>
    </row>
    <row r="810">
      <c r="I810">
        <f>IF(OR($A810="",$B810=""),"",IF(COUNTIFS($A$2:$A810,$A810,$B$2:$B810,$B810)=1,1,0))</f>
        <v/>
      </c>
      <c r="J810">
        <f>IF($A810="","",ROW())</f>
        <v/>
      </c>
      <c r="L810">
        <f>IF('01_Warehouse_Ledger'!$A810="","",'01_Warehouse_Ledger'!$A810)</f>
        <v/>
      </c>
    </row>
    <row r="811">
      <c r="I811">
        <f>IF(OR($A811="",$B811=""),"",IF(COUNTIFS($A$2:$A811,$A811,$B$2:$B811,$B811)=1,1,0))</f>
        <v/>
      </c>
      <c r="J811">
        <f>IF($A811="","",ROW())</f>
        <v/>
      </c>
      <c r="L811">
        <f>IF('01_Warehouse_Ledger'!$A811="","",'01_Warehouse_Ledger'!$A811)</f>
        <v/>
      </c>
    </row>
    <row r="812">
      <c r="I812">
        <f>IF(OR($A812="",$B812=""),"",IF(COUNTIFS($A$2:$A812,$A812,$B$2:$B812,$B812)=1,1,0))</f>
        <v/>
      </c>
      <c r="J812">
        <f>IF($A812="","",ROW())</f>
        <v/>
      </c>
      <c r="L812">
        <f>IF('01_Warehouse_Ledger'!$A812="","",'01_Warehouse_Ledger'!$A812)</f>
        <v/>
      </c>
    </row>
    <row r="813">
      <c r="I813">
        <f>IF(OR($A813="",$B813=""),"",IF(COUNTIFS($A$2:$A813,$A813,$B$2:$B813,$B813)=1,1,0))</f>
        <v/>
      </c>
      <c r="J813">
        <f>IF($A813="","",ROW())</f>
        <v/>
      </c>
      <c r="L813">
        <f>IF('01_Warehouse_Ledger'!$A813="","",'01_Warehouse_Ledger'!$A813)</f>
        <v/>
      </c>
    </row>
    <row r="814">
      <c r="I814">
        <f>IF(OR($A814="",$B814=""),"",IF(COUNTIFS($A$2:$A814,$A814,$B$2:$B814,$B814)=1,1,0))</f>
        <v/>
      </c>
      <c r="J814">
        <f>IF($A814="","",ROW())</f>
        <v/>
      </c>
      <c r="L814">
        <f>IF('01_Warehouse_Ledger'!$A814="","",'01_Warehouse_Ledger'!$A814)</f>
        <v/>
      </c>
    </row>
    <row r="815">
      <c r="I815">
        <f>IF(OR($A815="",$B815=""),"",IF(COUNTIFS($A$2:$A815,$A815,$B$2:$B815,$B815)=1,1,0))</f>
        <v/>
      </c>
      <c r="J815">
        <f>IF($A815="","",ROW())</f>
        <v/>
      </c>
      <c r="L815">
        <f>IF('01_Warehouse_Ledger'!$A815="","",'01_Warehouse_Ledger'!$A815)</f>
        <v/>
      </c>
    </row>
    <row r="816">
      <c r="I816">
        <f>IF(OR($A816="",$B816=""),"",IF(COUNTIFS($A$2:$A816,$A816,$B$2:$B816,$B816)=1,1,0))</f>
        <v/>
      </c>
      <c r="J816">
        <f>IF($A816="","",ROW())</f>
        <v/>
      </c>
      <c r="L816">
        <f>IF('01_Warehouse_Ledger'!$A816="","",'01_Warehouse_Ledger'!$A816)</f>
        <v/>
      </c>
    </row>
    <row r="817">
      <c r="I817">
        <f>IF(OR($A817="",$B817=""),"",IF(COUNTIFS($A$2:$A817,$A817,$B$2:$B817,$B817)=1,1,0))</f>
        <v/>
      </c>
      <c r="J817">
        <f>IF($A817="","",ROW())</f>
        <v/>
      </c>
      <c r="L817">
        <f>IF('01_Warehouse_Ledger'!$A817="","",'01_Warehouse_Ledger'!$A817)</f>
        <v/>
      </c>
    </row>
    <row r="818">
      <c r="I818">
        <f>IF(OR($A818="",$B818=""),"",IF(COUNTIFS($A$2:$A818,$A818,$B$2:$B818,$B818)=1,1,0))</f>
        <v/>
      </c>
      <c r="J818">
        <f>IF($A818="","",ROW())</f>
        <v/>
      </c>
      <c r="L818">
        <f>IF('01_Warehouse_Ledger'!$A818="","",'01_Warehouse_Ledger'!$A818)</f>
        <v/>
      </c>
    </row>
    <row r="819">
      <c r="I819">
        <f>IF(OR($A819="",$B819=""),"",IF(COUNTIFS($A$2:$A819,$A819,$B$2:$B819,$B819)=1,1,0))</f>
        <v/>
      </c>
      <c r="J819">
        <f>IF($A819="","",ROW())</f>
        <v/>
      </c>
      <c r="L819">
        <f>IF('01_Warehouse_Ledger'!$A819="","",'01_Warehouse_Ledger'!$A819)</f>
        <v/>
      </c>
    </row>
    <row r="820">
      <c r="I820">
        <f>IF(OR($A820="",$B820=""),"",IF(COUNTIFS($A$2:$A820,$A820,$B$2:$B820,$B820)=1,1,0))</f>
        <v/>
      </c>
      <c r="J820">
        <f>IF($A820="","",ROW())</f>
        <v/>
      </c>
      <c r="L820">
        <f>IF('01_Warehouse_Ledger'!$A820="","",'01_Warehouse_Ledger'!$A820)</f>
        <v/>
      </c>
    </row>
    <row r="821">
      <c r="I821">
        <f>IF(OR($A821="",$B821=""),"",IF(COUNTIFS($A$2:$A821,$A821,$B$2:$B821,$B821)=1,1,0))</f>
        <v/>
      </c>
      <c r="J821">
        <f>IF($A821="","",ROW())</f>
        <v/>
      </c>
      <c r="L821">
        <f>IF('01_Warehouse_Ledger'!$A821="","",'01_Warehouse_Ledger'!$A821)</f>
        <v/>
      </c>
    </row>
    <row r="822">
      <c r="I822">
        <f>IF(OR($A822="",$B822=""),"",IF(COUNTIFS($A$2:$A822,$A822,$B$2:$B822,$B822)=1,1,0))</f>
        <v/>
      </c>
      <c r="J822">
        <f>IF($A822="","",ROW())</f>
        <v/>
      </c>
      <c r="L822">
        <f>IF('01_Warehouse_Ledger'!$A822="","",'01_Warehouse_Ledger'!$A822)</f>
        <v/>
      </c>
    </row>
    <row r="823">
      <c r="I823">
        <f>IF(OR($A823="",$B823=""),"",IF(COUNTIFS($A$2:$A823,$A823,$B$2:$B823,$B823)=1,1,0))</f>
        <v/>
      </c>
      <c r="J823">
        <f>IF($A823="","",ROW())</f>
        <v/>
      </c>
      <c r="L823">
        <f>IF('01_Warehouse_Ledger'!$A823="","",'01_Warehouse_Ledger'!$A823)</f>
        <v/>
      </c>
    </row>
    <row r="824">
      <c r="I824">
        <f>IF(OR($A824="",$B824=""),"",IF(COUNTIFS($A$2:$A824,$A824,$B$2:$B824,$B824)=1,1,0))</f>
        <v/>
      </c>
      <c r="J824">
        <f>IF($A824="","",ROW())</f>
        <v/>
      </c>
      <c r="L824">
        <f>IF('01_Warehouse_Ledger'!$A824="","",'01_Warehouse_Ledger'!$A824)</f>
        <v/>
      </c>
    </row>
    <row r="825">
      <c r="I825">
        <f>IF(OR($A825="",$B825=""),"",IF(COUNTIFS($A$2:$A825,$A825,$B$2:$B825,$B825)=1,1,0))</f>
        <v/>
      </c>
      <c r="J825">
        <f>IF($A825="","",ROW())</f>
        <v/>
      </c>
      <c r="L825">
        <f>IF('01_Warehouse_Ledger'!$A825="","",'01_Warehouse_Ledger'!$A825)</f>
        <v/>
      </c>
    </row>
    <row r="826">
      <c r="I826">
        <f>IF(OR($A826="",$B826=""),"",IF(COUNTIFS($A$2:$A826,$A826,$B$2:$B826,$B826)=1,1,0))</f>
        <v/>
      </c>
      <c r="J826">
        <f>IF($A826="","",ROW())</f>
        <v/>
      </c>
      <c r="L826">
        <f>IF('01_Warehouse_Ledger'!$A826="","",'01_Warehouse_Ledger'!$A826)</f>
        <v/>
      </c>
    </row>
    <row r="827">
      <c r="I827">
        <f>IF(OR($A827="",$B827=""),"",IF(COUNTIFS($A$2:$A827,$A827,$B$2:$B827,$B827)=1,1,0))</f>
        <v/>
      </c>
      <c r="J827">
        <f>IF($A827="","",ROW())</f>
        <v/>
      </c>
      <c r="L827">
        <f>IF('01_Warehouse_Ledger'!$A827="","",'01_Warehouse_Ledger'!$A827)</f>
        <v/>
      </c>
    </row>
    <row r="828">
      <c r="I828">
        <f>IF(OR($A828="",$B828=""),"",IF(COUNTIFS($A$2:$A828,$A828,$B$2:$B828,$B828)=1,1,0))</f>
        <v/>
      </c>
      <c r="J828">
        <f>IF($A828="","",ROW())</f>
        <v/>
      </c>
      <c r="L828">
        <f>IF('01_Warehouse_Ledger'!$A828="","",'01_Warehouse_Ledger'!$A828)</f>
        <v/>
      </c>
    </row>
    <row r="829">
      <c r="I829">
        <f>IF(OR($A829="",$B829=""),"",IF(COUNTIFS($A$2:$A829,$A829,$B$2:$B829,$B829)=1,1,0))</f>
        <v/>
      </c>
      <c r="J829">
        <f>IF($A829="","",ROW())</f>
        <v/>
      </c>
      <c r="L829">
        <f>IF('01_Warehouse_Ledger'!$A829="","",'01_Warehouse_Ledger'!$A829)</f>
        <v/>
      </c>
    </row>
    <row r="830">
      <c r="I830">
        <f>IF(OR($A830="",$B830=""),"",IF(COUNTIFS($A$2:$A830,$A830,$B$2:$B830,$B830)=1,1,0))</f>
        <v/>
      </c>
      <c r="J830">
        <f>IF($A830="","",ROW())</f>
        <v/>
      </c>
      <c r="L830">
        <f>IF('01_Warehouse_Ledger'!$A830="","",'01_Warehouse_Ledger'!$A830)</f>
        <v/>
      </c>
    </row>
    <row r="831">
      <c r="I831">
        <f>IF(OR($A831="",$B831=""),"",IF(COUNTIFS($A$2:$A831,$A831,$B$2:$B831,$B831)=1,1,0))</f>
        <v/>
      </c>
      <c r="J831">
        <f>IF($A831="","",ROW())</f>
        <v/>
      </c>
      <c r="L831">
        <f>IF('01_Warehouse_Ledger'!$A831="","",'01_Warehouse_Ledger'!$A831)</f>
        <v/>
      </c>
    </row>
    <row r="832">
      <c r="I832">
        <f>IF(OR($A832="",$B832=""),"",IF(COUNTIFS($A$2:$A832,$A832,$B$2:$B832,$B832)=1,1,0))</f>
        <v/>
      </c>
      <c r="J832">
        <f>IF($A832="","",ROW())</f>
        <v/>
      </c>
      <c r="L832">
        <f>IF('01_Warehouse_Ledger'!$A832="","",'01_Warehouse_Ledger'!$A832)</f>
        <v/>
      </c>
    </row>
    <row r="833">
      <c r="I833">
        <f>IF(OR($A833="",$B833=""),"",IF(COUNTIFS($A$2:$A833,$A833,$B$2:$B833,$B833)=1,1,0))</f>
        <v/>
      </c>
      <c r="J833">
        <f>IF($A833="","",ROW())</f>
        <v/>
      </c>
      <c r="L833">
        <f>IF('01_Warehouse_Ledger'!$A833="","",'01_Warehouse_Ledger'!$A833)</f>
        <v/>
      </c>
    </row>
    <row r="834">
      <c r="I834">
        <f>IF(OR($A834="",$B834=""),"",IF(COUNTIFS($A$2:$A834,$A834,$B$2:$B834,$B834)=1,1,0))</f>
        <v/>
      </c>
      <c r="J834">
        <f>IF($A834="","",ROW())</f>
        <v/>
      </c>
      <c r="L834">
        <f>IF('01_Warehouse_Ledger'!$A834="","",'01_Warehouse_Ledger'!$A834)</f>
        <v/>
      </c>
    </row>
    <row r="835">
      <c r="I835">
        <f>IF(OR($A835="",$B835=""),"",IF(COUNTIFS($A$2:$A835,$A835,$B$2:$B835,$B835)=1,1,0))</f>
        <v/>
      </c>
      <c r="J835">
        <f>IF($A835="","",ROW())</f>
        <v/>
      </c>
      <c r="L835">
        <f>IF('01_Warehouse_Ledger'!$A835="","",'01_Warehouse_Ledger'!$A835)</f>
        <v/>
      </c>
    </row>
    <row r="836">
      <c r="I836">
        <f>IF(OR($A836="",$B836=""),"",IF(COUNTIFS($A$2:$A836,$A836,$B$2:$B836,$B836)=1,1,0))</f>
        <v/>
      </c>
      <c r="J836">
        <f>IF($A836="","",ROW())</f>
        <v/>
      </c>
      <c r="L836">
        <f>IF('01_Warehouse_Ledger'!$A836="","",'01_Warehouse_Ledger'!$A836)</f>
        <v/>
      </c>
    </row>
    <row r="837">
      <c r="I837">
        <f>IF(OR($A837="",$B837=""),"",IF(COUNTIFS($A$2:$A837,$A837,$B$2:$B837,$B837)=1,1,0))</f>
        <v/>
      </c>
      <c r="J837">
        <f>IF($A837="","",ROW())</f>
        <v/>
      </c>
      <c r="L837">
        <f>IF('01_Warehouse_Ledger'!$A837="","",'01_Warehouse_Ledger'!$A837)</f>
        <v/>
      </c>
    </row>
    <row r="838">
      <c r="I838">
        <f>IF(OR($A838="",$B838=""),"",IF(COUNTIFS($A$2:$A838,$A838,$B$2:$B838,$B838)=1,1,0))</f>
        <v/>
      </c>
      <c r="J838">
        <f>IF($A838="","",ROW())</f>
        <v/>
      </c>
      <c r="L838">
        <f>IF('01_Warehouse_Ledger'!$A838="","",'01_Warehouse_Ledger'!$A838)</f>
        <v/>
      </c>
    </row>
    <row r="839">
      <c r="I839">
        <f>IF(OR($A839="",$B839=""),"",IF(COUNTIFS($A$2:$A839,$A839,$B$2:$B839,$B839)=1,1,0))</f>
        <v/>
      </c>
      <c r="J839">
        <f>IF($A839="","",ROW())</f>
        <v/>
      </c>
      <c r="L839">
        <f>IF('01_Warehouse_Ledger'!$A839="","",'01_Warehouse_Ledger'!$A839)</f>
        <v/>
      </c>
    </row>
    <row r="840">
      <c r="I840">
        <f>IF(OR($A840="",$B840=""),"",IF(COUNTIFS($A$2:$A840,$A840,$B$2:$B840,$B840)=1,1,0))</f>
        <v/>
      </c>
      <c r="J840">
        <f>IF($A840="","",ROW())</f>
        <v/>
      </c>
      <c r="L840">
        <f>IF('01_Warehouse_Ledger'!$A840="","",'01_Warehouse_Ledger'!$A840)</f>
        <v/>
      </c>
    </row>
    <row r="841">
      <c r="I841">
        <f>IF(OR($A841="",$B841=""),"",IF(COUNTIFS($A$2:$A841,$A841,$B$2:$B841,$B841)=1,1,0))</f>
        <v/>
      </c>
      <c r="J841">
        <f>IF($A841="","",ROW())</f>
        <v/>
      </c>
      <c r="L841">
        <f>IF('01_Warehouse_Ledger'!$A841="","",'01_Warehouse_Ledger'!$A841)</f>
        <v/>
      </c>
    </row>
    <row r="842">
      <c r="I842">
        <f>IF(OR($A842="",$B842=""),"",IF(COUNTIFS($A$2:$A842,$A842,$B$2:$B842,$B842)=1,1,0))</f>
        <v/>
      </c>
      <c r="J842">
        <f>IF($A842="","",ROW())</f>
        <v/>
      </c>
      <c r="L842">
        <f>IF('01_Warehouse_Ledger'!$A842="","",'01_Warehouse_Ledger'!$A842)</f>
        <v/>
      </c>
    </row>
    <row r="843">
      <c r="I843">
        <f>IF(OR($A843="",$B843=""),"",IF(COUNTIFS($A$2:$A843,$A843,$B$2:$B843,$B843)=1,1,0))</f>
        <v/>
      </c>
      <c r="J843">
        <f>IF($A843="","",ROW())</f>
        <v/>
      </c>
      <c r="L843">
        <f>IF('01_Warehouse_Ledger'!$A843="","",'01_Warehouse_Ledger'!$A843)</f>
        <v/>
      </c>
    </row>
    <row r="844">
      <c r="I844">
        <f>IF(OR($A844="",$B844=""),"",IF(COUNTIFS($A$2:$A844,$A844,$B$2:$B844,$B844)=1,1,0))</f>
        <v/>
      </c>
      <c r="J844">
        <f>IF($A844="","",ROW())</f>
        <v/>
      </c>
      <c r="L844">
        <f>IF('01_Warehouse_Ledger'!$A844="","",'01_Warehouse_Ledger'!$A844)</f>
        <v/>
      </c>
    </row>
    <row r="845">
      <c r="I845">
        <f>IF(OR($A845="",$B845=""),"",IF(COUNTIFS($A$2:$A845,$A845,$B$2:$B845,$B845)=1,1,0))</f>
        <v/>
      </c>
      <c r="J845">
        <f>IF($A845="","",ROW())</f>
        <v/>
      </c>
      <c r="L845">
        <f>IF('01_Warehouse_Ledger'!$A845="","",'01_Warehouse_Ledger'!$A845)</f>
        <v/>
      </c>
    </row>
    <row r="846">
      <c r="I846">
        <f>IF(OR($A846="",$B846=""),"",IF(COUNTIFS($A$2:$A846,$A846,$B$2:$B846,$B846)=1,1,0))</f>
        <v/>
      </c>
      <c r="J846">
        <f>IF($A846="","",ROW())</f>
        <v/>
      </c>
      <c r="L846">
        <f>IF('01_Warehouse_Ledger'!$A846="","",'01_Warehouse_Ledger'!$A846)</f>
        <v/>
      </c>
    </row>
    <row r="847">
      <c r="I847">
        <f>IF(OR($A847="",$B847=""),"",IF(COUNTIFS($A$2:$A847,$A847,$B$2:$B847,$B847)=1,1,0))</f>
        <v/>
      </c>
      <c r="J847">
        <f>IF($A847="","",ROW())</f>
        <v/>
      </c>
      <c r="L847">
        <f>IF('01_Warehouse_Ledger'!$A847="","",'01_Warehouse_Ledger'!$A847)</f>
        <v/>
      </c>
    </row>
    <row r="848">
      <c r="I848">
        <f>IF(OR($A848="",$B848=""),"",IF(COUNTIFS($A$2:$A848,$A848,$B$2:$B848,$B848)=1,1,0))</f>
        <v/>
      </c>
      <c r="J848">
        <f>IF($A848="","",ROW())</f>
        <v/>
      </c>
      <c r="L848">
        <f>IF('01_Warehouse_Ledger'!$A848="","",'01_Warehouse_Ledger'!$A848)</f>
        <v/>
      </c>
    </row>
    <row r="849">
      <c r="I849">
        <f>IF(OR($A849="",$B849=""),"",IF(COUNTIFS($A$2:$A849,$A849,$B$2:$B849,$B849)=1,1,0))</f>
        <v/>
      </c>
      <c r="J849">
        <f>IF($A849="","",ROW())</f>
        <v/>
      </c>
      <c r="L849">
        <f>IF('01_Warehouse_Ledger'!$A849="","",'01_Warehouse_Ledger'!$A849)</f>
        <v/>
      </c>
    </row>
    <row r="850">
      <c r="I850">
        <f>IF(OR($A850="",$B850=""),"",IF(COUNTIFS($A$2:$A850,$A850,$B$2:$B850,$B850)=1,1,0))</f>
        <v/>
      </c>
      <c r="J850">
        <f>IF($A850="","",ROW())</f>
        <v/>
      </c>
      <c r="L850">
        <f>IF('01_Warehouse_Ledger'!$A850="","",'01_Warehouse_Ledger'!$A850)</f>
        <v/>
      </c>
    </row>
    <row r="851">
      <c r="I851">
        <f>IF(OR($A851="",$B851=""),"",IF(COUNTIFS($A$2:$A851,$A851,$B$2:$B851,$B851)=1,1,0))</f>
        <v/>
      </c>
      <c r="J851">
        <f>IF($A851="","",ROW())</f>
        <v/>
      </c>
      <c r="L851">
        <f>IF('01_Warehouse_Ledger'!$A851="","",'01_Warehouse_Ledger'!$A851)</f>
        <v/>
      </c>
    </row>
    <row r="852">
      <c r="I852">
        <f>IF(OR($A852="",$B852=""),"",IF(COUNTIFS($A$2:$A852,$A852,$B$2:$B852,$B852)=1,1,0))</f>
        <v/>
      </c>
      <c r="J852">
        <f>IF($A852="","",ROW())</f>
        <v/>
      </c>
      <c r="L852">
        <f>IF('01_Warehouse_Ledger'!$A852="","",'01_Warehouse_Ledger'!$A852)</f>
        <v/>
      </c>
    </row>
    <row r="853">
      <c r="I853">
        <f>IF(OR($A853="",$B853=""),"",IF(COUNTIFS($A$2:$A853,$A853,$B$2:$B853,$B853)=1,1,0))</f>
        <v/>
      </c>
      <c r="J853">
        <f>IF($A853="","",ROW())</f>
        <v/>
      </c>
      <c r="L853">
        <f>IF('01_Warehouse_Ledger'!$A853="","",'01_Warehouse_Ledger'!$A853)</f>
        <v/>
      </c>
    </row>
    <row r="854">
      <c r="I854">
        <f>IF(OR($A854="",$B854=""),"",IF(COUNTIFS($A$2:$A854,$A854,$B$2:$B854,$B854)=1,1,0))</f>
        <v/>
      </c>
      <c r="J854">
        <f>IF($A854="","",ROW())</f>
        <v/>
      </c>
      <c r="L854">
        <f>IF('01_Warehouse_Ledger'!$A854="","",'01_Warehouse_Ledger'!$A854)</f>
        <v/>
      </c>
    </row>
    <row r="855">
      <c r="I855">
        <f>IF(OR($A855="",$B855=""),"",IF(COUNTIFS($A$2:$A855,$A855,$B$2:$B855,$B855)=1,1,0))</f>
        <v/>
      </c>
      <c r="J855">
        <f>IF($A855="","",ROW())</f>
        <v/>
      </c>
      <c r="L855">
        <f>IF('01_Warehouse_Ledger'!$A855="","",'01_Warehouse_Ledger'!$A855)</f>
        <v/>
      </c>
    </row>
    <row r="856">
      <c r="I856">
        <f>IF(OR($A856="",$B856=""),"",IF(COUNTIFS($A$2:$A856,$A856,$B$2:$B856,$B856)=1,1,0))</f>
        <v/>
      </c>
      <c r="J856">
        <f>IF($A856="","",ROW())</f>
        <v/>
      </c>
      <c r="L856">
        <f>IF('01_Warehouse_Ledger'!$A856="","",'01_Warehouse_Ledger'!$A856)</f>
        <v/>
      </c>
    </row>
    <row r="857">
      <c r="I857">
        <f>IF(OR($A857="",$B857=""),"",IF(COUNTIFS($A$2:$A857,$A857,$B$2:$B857,$B857)=1,1,0))</f>
        <v/>
      </c>
      <c r="J857">
        <f>IF($A857="","",ROW())</f>
        <v/>
      </c>
      <c r="L857">
        <f>IF('01_Warehouse_Ledger'!$A857="","",'01_Warehouse_Ledger'!$A857)</f>
        <v/>
      </c>
    </row>
    <row r="858">
      <c r="I858">
        <f>IF(OR($A858="",$B858=""),"",IF(COUNTIFS($A$2:$A858,$A858,$B$2:$B858,$B858)=1,1,0))</f>
        <v/>
      </c>
      <c r="J858">
        <f>IF($A858="","",ROW())</f>
        <v/>
      </c>
      <c r="L858">
        <f>IF('01_Warehouse_Ledger'!$A858="","",'01_Warehouse_Ledger'!$A858)</f>
        <v/>
      </c>
    </row>
    <row r="859">
      <c r="I859">
        <f>IF(OR($A859="",$B859=""),"",IF(COUNTIFS($A$2:$A859,$A859,$B$2:$B859,$B859)=1,1,0))</f>
        <v/>
      </c>
      <c r="J859">
        <f>IF($A859="","",ROW())</f>
        <v/>
      </c>
      <c r="L859">
        <f>IF('01_Warehouse_Ledger'!$A859="","",'01_Warehouse_Ledger'!$A859)</f>
        <v/>
      </c>
    </row>
    <row r="860">
      <c r="I860">
        <f>IF(OR($A860="",$B860=""),"",IF(COUNTIFS($A$2:$A860,$A860,$B$2:$B860,$B860)=1,1,0))</f>
        <v/>
      </c>
      <c r="J860">
        <f>IF($A860="","",ROW())</f>
        <v/>
      </c>
      <c r="L860">
        <f>IF('01_Warehouse_Ledger'!$A860="","",'01_Warehouse_Ledger'!$A860)</f>
        <v/>
      </c>
    </row>
    <row r="861">
      <c r="I861">
        <f>IF(OR($A861="",$B861=""),"",IF(COUNTIFS($A$2:$A861,$A861,$B$2:$B861,$B861)=1,1,0))</f>
        <v/>
      </c>
      <c r="J861">
        <f>IF($A861="","",ROW())</f>
        <v/>
      </c>
      <c r="L861">
        <f>IF('01_Warehouse_Ledger'!$A861="","",'01_Warehouse_Ledger'!$A861)</f>
        <v/>
      </c>
    </row>
    <row r="862">
      <c r="I862">
        <f>IF(OR($A862="",$B862=""),"",IF(COUNTIFS($A$2:$A862,$A862,$B$2:$B862,$B862)=1,1,0))</f>
        <v/>
      </c>
      <c r="J862">
        <f>IF($A862="","",ROW())</f>
        <v/>
      </c>
      <c r="L862">
        <f>IF('01_Warehouse_Ledger'!$A862="","",'01_Warehouse_Ledger'!$A862)</f>
        <v/>
      </c>
    </row>
    <row r="863">
      <c r="I863">
        <f>IF(OR($A863="",$B863=""),"",IF(COUNTIFS($A$2:$A863,$A863,$B$2:$B863,$B863)=1,1,0))</f>
        <v/>
      </c>
      <c r="J863">
        <f>IF($A863="","",ROW())</f>
        <v/>
      </c>
      <c r="L863">
        <f>IF('01_Warehouse_Ledger'!$A863="","",'01_Warehouse_Ledger'!$A863)</f>
        <v/>
      </c>
    </row>
    <row r="864">
      <c r="I864">
        <f>IF(OR($A864="",$B864=""),"",IF(COUNTIFS($A$2:$A864,$A864,$B$2:$B864,$B864)=1,1,0))</f>
        <v/>
      </c>
      <c r="J864">
        <f>IF($A864="","",ROW())</f>
        <v/>
      </c>
      <c r="L864">
        <f>IF('01_Warehouse_Ledger'!$A864="","",'01_Warehouse_Ledger'!$A864)</f>
        <v/>
      </c>
    </row>
    <row r="865">
      <c r="I865">
        <f>IF(OR($A865="",$B865=""),"",IF(COUNTIFS($A$2:$A865,$A865,$B$2:$B865,$B865)=1,1,0))</f>
        <v/>
      </c>
      <c r="J865">
        <f>IF($A865="","",ROW())</f>
        <v/>
      </c>
      <c r="L865">
        <f>IF('01_Warehouse_Ledger'!$A865="","",'01_Warehouse_Ledger'!$A865)</f>
        <v/>
      </c>
    </row>
    <row r="866">
      <c r="I866">
        <f>IF(OR($A866="",$B866=""),"",IF(COUNTIFS($A$2:$A866,$A866,$B$2:$B866,$B866)=1,1,0))</f>
        <v/>
      </c>
      <c r="J866">
        <f>IF($A866="","",ROW())</f>
        <v/>
      </c>
      <c r="L866">
        <f>IF('01_Warehouse_Ledger'!$A866="","",'01_Warehouse_Ledger'!$A866)</f>
        <v/>
      </c>
    </row>
    <row r="867">
      <c r="I867">
        <f>IF(OR($A867="",$B867=""),"",IF(COUNTIFS($A$2:$A867,$A867,$B$2:$B867,$B867)=1,1,0))</f>
        <v/>
      </c>
      <c r="J867">
        <f>IF($A867="","",ROW())</f>
        <v/>
      </c>
      <c r="L867">
        <f>IF('01_Warehouse_Ledger'!$A867="","",'01_Warehouse_Ledger'!$A867)</f>
        <v/>
      </c>
    </row>
    <row r="868">
      <c r="I868">
        <f>IF(OR($A868="",$B868=""),"",IF(COUNTIFS($A$2:$A868,$A868,$B$2:$B868,$B868)=1,1,0))</f>
        <v/>
      </c>
      <c r="J868">
        <f>IF($A868="","",ROW())</f>
        <v/>
      </c>
      <c r="L868">
        <f>IF('01_Warehouse_Ledger'!$A868="","",'01_Warehouse_Ledger'!$A868)</f>
        <v/>
      </c>
    </row>
    <row r="869">
      <c r="I869">
        <f>IF(OR($A869="",$B869=""),"",IF(COUNTIFS($A$2:$A869,$A869,$B$2:$B869,$B869)=1,1,0))</f>
        <v/>
      </c>
      <c r="J869">
        <f>IF($A869="","",ROW())</f>
        <v/>
      </c>
      <c r="L869">
        <f>IF('01_Warehouse_Ledger'!$A869="","",'01_Warehouse_Ledger'!$A869)</f>
        <v/>
      </c>
    </row>
    <row r="870">
      <c r="I870">
        <f>IF(OR($A870="",$B870=""),"",IF(COUNTIFS($A$2:$A870,$A870,$B$2:$B870,$B870)=1,1,0))</f>
        <v/>
      </c>
      <c r="J870">
        <f>IF($A870="","",ROW())</f>
        <v/>
      </c>
      <c r="L870">
        <f>IF('01_Warehouse_Ledger'!$A870="","",'01_Warehouse_Ledger'!$A870)</f>
        <v/>
      </c>
    </row>
    <row r="871">
      <c r="I871">
        <f>IF(OR($A871="",$B871=""),"",IF(COUNTIFS($A$2:$A871,$A871,$B$2:$B871,$B871)=1,1,0))</f>
        <v/>
      </c>
      <c r="J871">
        <f>IF($A871="","",ROW())</f>
        <v/>
      </c>
      <c r="L871">
        <f>IF('01_Warehouse_Ledger'!$A871="","",'01_Warehouse_Ledger'!$A871)</f>
        <v/>
      </c>
    </row>
    <row r="872">
      <c r="I872">
        <f>IF(OR($A872="",$B872=""),"",IF(COUNTIFS($A$2:$A872,$A872,$B$2:$B872,$B872)=1,1,0))</f>
        <v/>
      </c>
      <c r="J872">
        <f>IF($A872="","",ROW())</f>
        <v/>
      </c>
      <c r="L872">
        <f>IF('01_Warehouse_Ledger'!$A872="","",'01_Warehouse_Ledger'!$A872)</f>
        <v/>
      </c>
    </row>
    <row r="873">
      <c r="I873">
        <f>IF(OR($A873="",$B873=""),"",IF(COUNTIFS($A$2:$A873,$A873,$B$2:$B873,$B873)=1,1,0))</f>
        <v/>
      </c>
      <c r="J873">
        <f>IF($A873="","",ROW())</f>
        <v/>
      </c>
      <c r="L873">
        <f>IF('01_Warehouse_Ledger'!$A873="","",'01_Warehouse_Ledger'!$A873)</f>
        <v/>
      </c>
    </row>
    <row r="874">
      <c r="I874">
        <f>IF(OR($A874="",$B874=""),"",IF(COUNTIFS($A$2:$A874,$A874,$B$2:$B874,$B874)=1,1,0))</f>
        <v/>
      </c>
      <c r="J874">
        <f>IF($A874="","",ROW())</f>
        <v/>
      </c>
      <c r="L874">
        <f>IF('01_Warehouse_Ledger'!$A874="","",'01_Warehouse_Ledger'!$A874)</f>
        <v/>
      </c>
    </row>
    <row r="875">
      <c r="I875">
        <f>IF(OR($A875="",$B875=""),"",IF(COUNTIFS($A$2:$A875,$A875,$B$2:$B875,$B875)=1,1,0))</f>
        <v/>
      </c>
      <c r="J875">
        <f>IF($A875="","",ROW())</f>
        <v/>
      </c>
      <c r="L875">
        <f>IF('01_Warehouse_Ledger'!$A875="","",'01_Warehouse_Ledger'!$A875)</f>
        <v/>
      </c>
    </row>
    <row r="876">
      <c r="I876">
        <f>IF(OR($A876="",$B876=""),"",IF(COUNTIFS($A$2:$A876,$A876,$B$2:$B876,$B876)=1,1,0))</f>
        <v/>
      </c>
      <c r="J876">
        <f>IF($A876="","",ROW())</f>
        <v/>
      </c>
      <c r="L876">
        <f>IF('01_Warehouse_Ledger'!$A876="","",'01_Warehouse_Ledger'!$A876)</f>
        <v/>
      </c>
    </row>
    <row r="877">
      <c r="I877">
        <f>IF(OR($A877="",$B877=""),"",IF(COUNTIFS($A$2:$A877,$A877,$B$2:$B877,$B877)=1,1,0))</f>
        <v/>
      </c>
      <c r="J877">
        <f>IF($A877="","",ROW())</f>
        <v/>
      </c>
      <c r="L877">
        <f>IF('01_Warehouse_Ledger'!$A877="","",'01_Warehouse_Ledger'!$A877)</f>
        <v/>
      </c>
    </row>
    <row r="878">
      <c r="I878">
        <f>IF(OR($A878="",$B878=""),"",IF(COUNTIFS($A$2:$A878,$A878,$B$2:$B878,$B878)=1,1,0))</f>
        <v/>
      </c>
      <c r="J878">
        <f>IF($A878="","",ROW())</f>
        <v/>
      </c>
      <c r="L878">
        <f>IF('01_Warehouse_Ledger'!$A878="","",'01_Warehouse_Ledger'!$A878)</f>
        <v/>
      </c>
    </row>
    <row r="879">
      <c r="I879">
        <f>IF(OR($A879="",$B879=""),"",IF(COUNTIFS($A$2:$A879,$A879,$B$2:$B879,$B879)=1,1,0))</f>
        <v/>
      </c>
      <c r="J879">
        <f>IF($A879="","",ROW())</f>
        <v/>
      </c>
      <c r="L879">
        <f>IF('01_Warehouse_Ledger'!$A879="","",'01_Warehouse_Ledger'!$A879)</f>
        <v/>
      </c>
    </row>
    <row r="880">
      <c r="I880">
        <f>IF(OR($A880="",$B880=""),"",IF(COUNTIFS($A$2:$A880,$A880,$B$2:$B880,$B880)=1,1,0))</f>
        <v/>
      </c>
      <c r="J880">
        <f>IF($A880="","",ROW())</f>
        <v/>
      </c>
      <c r="L880">
        <f>IF('01_Warehouse_Ledger'!$A880="","",'01_Warehouse_Ledger'!$A880)</f>
        <v/>
      </c>
    </row>
    <row r="881">
      <c r="I881">
        <f>IF(OR($A881="",$B881=""),"",IF(COUNTIFS($A$2:$A881,$A881,$B$2:$B881,$B881)=1,1,0))</f>
        <v/>
      </c>
      <c r="J881">
        <f>IF($A881="","",ROW())</f>
        <v/>
      </c>
      <c r="L881">
        <f>IF('01_Warehouse_Ledger'!$A881="","",'01_Warehouse_Ledger'!$A881)</f>
        <v/>
      </c>
    </row>
    <row r="882">
      <c r="I882">
        <f>IF(OR($A882="",$B882=""),"",IF(COUNTIFS($A$2:$A882,$A882,$B$2:$B882,$B882)=1,1,0))</f>
        <v/>
      </c>
      <c r="J882">
        <f>IF($A882="","",ROW())</f>
        <v/>
      </c>
      <c r="L882">
        <f>IF('01_Warehouse_Ledger'!$A882="","",'01_Warehouse_Ledger'!$A882)</f>
        <v/>
      </c>
    </row>
    <row r="883">
      <c r="I883">
        <f>IF(OR($A883="",$B883=""),"",IF(COUNTIFS($A$2:$A883,$A883,$B$2:$B883,$B883)=1,1,0))</f>
        <v/>
      </c>
      <c r="J883">
        <f>IF($A883="","",ROW())</f>
        <v/>
      </c>
      <c r="L883">
        <f>IF('01_Warehouse_Ledger'!$A883="","",'01_Warehouse_Ledger'!$A883)</f>
        <v/>
      </c>
    </row>
    <row r="884">
      <c r="I884">
        <f>IF(OR($A884="",$B884=""),"",IF(COUNTIFS($A$2:$A884,$A884,$B$2:$B884,$B884)=1,1,0))</f>
        <v/>
      </c>
      <c r="J884">
        <f>IF($A884="","",ROW())</f>
        <v/>
      </c>
      <c r="L884">
        <f>IF('01_Warehouse_Ledger'!$A884="","",'01_Warehouse_Ledger'!$A884)</f>
        <v/>
      </c>
    </row>
    <row r="885">
      <c r="I885">
        <f>IF(OR($A885="",$B885=""),"",IF(COUNTIFS($A$2:$A885,$A885,$B$2:$B885,$B885)=1,1,0))</f>
        <v/>
      </c>
      <c r="J885">
        <f>IF($A885="","",ROW())</f>
        <v/>
      </c>
      <c r="L885">
        <f>IF('01_Warehouse_Ledger'!$A885="","",'01_Warehouse_Ledger'!$A885)</f>
        <v/>
      </c>
    </row>
    <row r="886">
      <c r="I886">
        <f>IF(OR($A886="",$B886=""),"",IF(COUNTIFS($A$2:$A886,$A886,$B$2:$B886,$B886)=1,1,0))</f>
        <v/>
      </c>
      <c r="J886">
        <f>IF($A886="","",ROW())</f>
        <v/>
      </c>
      <c r="L886">
        <f>IF('01_Warehouse_Ledger'!$A886="","",'01_Warehouse_Ledger'!$A886)</f>
        <v/>
      </c>
    </row>
    <row r="887">
      <c r="I887">
        <f>IF(OR($A887="",$B887=""),"",IF(COUNTIFS($A$2:$A887,$A887,$B$2:$B887,$B887)=1,1,0))</f>
        <v/>
      </c>
      <c r="J887">
        <f>IF($A887="","",ROW())</f>
        <v/>
      </c>
      <c r="L887">
        <f>IF('01_Warehouse_Ledger'!$A887="","",'01_Warehouse_Ledger'!$A887)</f>
        <v/>
      </c>
    </row>
    <row r="888">
      <c r="I888">
        <f>IF(OR($A888="",$B888=""),"",IF(COUNTIFS($A$2:$A888,$A888,$B$2:$B888,$B888)=1,1,0))</f>
        <v/>
      </c>
      <c r="J888">
        <f>IF($A888="","",ROW())</f>
        <v/>
      </c>
      <c r="L888">
        <f>IF('01_Warehouse_Ledger'!$A888="","",'01_Warehouse_Ledger'!$A888)</f>
        <v/>
      </c>
    </row>
    <row r="889">
      <c r="I889">
        <f>IF(OR($A889="",$B889=""),"",IF(COUNTIFS($A$2:$A889,$A889,$B$2:$B889,$B889)=1,1,0))</f>
        <v/>
      </c>
      <c r="J889">
        <f>IF($A889="","",ROW())</f>
        <v/>
      </c>
      <c r="L889">
        <f>IF('01_Warehouse_Ledger'!$A889="","",'01_Warehouse_Ledger'!$A889)</f>
        <v/>
      </c>
    </row>
    <row r="890">
      <c r="I890">
        <f>IF(OR($A890="",$B890=""),"",IF(COUNTIFS($A$2:$A890,$A890,$B$2:$B890,$B890)=1,1,0))</f>
        <v/>
      </c>
      <c r="J890">
        <f>IF($A890="","",ROW())</f>
        <v/>
      </c>
      <c r="L890">
        <f>IF('01_Warehouse_Ledger'!$A890="","",'01_Warehouse_Ledger'!$A890)</f>
        <v/>
      </c>
    </row>
    <row r="891">
      <c r="I891">
        <f>IF(OR($A891="",$B891=""),"",IF(COUNTIFS($A$2:$A891,$A891,$B$2:$B891,$B891)=1,1,0))</f>
        <v/>
      </c>
      <c r="J891">
        <f>IF($A891="","",ROW())</f>
        <v/>
      </c>
      <c r="L891">
        <f>IF('01_Warehouse_Ledger'!$A891="","",'01_Warehouse_Ledger'!$A891)</f>
        <v/>
      </c>
    </row>
    <row r="892">
      <c r="I892">
        <f>IF(OR($A892="",$B892=""),"",IF(COUNTIFS($A$2:$A892,$A892,$B$2:$B892,$B892)=1,1,0))</f>
        <v/>
      </c>
      <c r="J892">
        <f>IF($A892="","",ROW())</f>
        <v/>
      </c>
      <c r="L892">
        <f>IF('01_Warehouse_Ledger'!$A892="","",'01_Warehouse_Ledger'!$A892)</f>
        <v/>
      </c>
    </row>
    <row r="893">
      <c r="I893">
        <f>IF(OR($A893="",$B893=""),"",IF(COUNTIFS($A$2:$A893,$A893,$B$2:$B893,$B893)=1,1,0))</f>
        <v/>
      </c>
      <c r="J893">
        <f>IF($A893="","",ROW())</f>
        <v/>
      </c>
      <c r="L893">
        <f>IF('01_Warehouse_Ledger'!$A893="","",'01_Warehouse_Ledger'!$A893)</f>
        <v/>
      </c>
    </row>
    <row r="894">
      <c r="I894">
        <f>IF(OR($A894="",$B894=""),"",IF(COUNTIFS($A$2:$A894,$A894,$B$2:$B894,$B894)=1,1,0))</f>
        <v/>
      </c>
      <c r="J894">
        <f>IF($A894="","",ROW())</f>
        <v/>
      </c>
      <c r="L894">
        <f>IF('01_Warehouse_Ledger'!$A894="","",'01_Warehouse_Ledger'!$A894)</f>
        <v/>
      </c>
    </row>
    <row r="895">
      <c r="I895">
        <f>IF(OR($A895="",$B895=""),"",IF(COUNTIFS($A$2:$A895,$A895,$B$2:$B895,$B895)=1,1,0))</f>
        <v/>
      </c>
      <c r="J895">
        <f>IF($A895="","",ROW())</f>
        <v/>
      </c>
      <c r="L895">
        <f>IF('01_Warehouse_Ledger'!$A895="","",'01_Warehouse_Ledger'!$A895)</f>
        <v/>
      </c>
    </row>
    <row r="896">
      <c r="I896">
        <f>IF(OR($A896="",$B896=""),"",IF(COUNTIFS($A$2:$A896,$A896,$B$2:$B896,$B896)=1,1,0))</f>
        <v/>
      </c>
      <c r="J896">
        <f>IF($A896="","",ROW())</f>
        <v/>
      </c>
      <c r="L896">
        <f>IF('01_Warehouse_Ledger'!$A896="","",'01_Warehouse_Ledger'!$A896)</f>
        <v/>
      </c>
    </row>
    <row r="897">
      <c r="I897">
        <f>IF(OR($A897="",$B897=""),"",IF(COUNTIFS($A$2:$A897,$A897,$B$2:$B897,$B897)=1,1,0))</f>
        <v/>
      </c>
      <c r="J897">
        <f>IF($A897="","",ROW())</f>
        <v/>
      </c>
      <c r="L897">
        <f>IF('01_Warehouse_Ledger'!$A897="","",'01_Warehouse_Ledger'!$A897)</f>
        <v/>
      </c>
    </row>
    <row r="898">
      <c r="I898">
        <f>IF(OR($A898="",$B898=""),"",IF(COUNTIFS($A$2:$A898,$A898,$B$2:$B898,$B898)=1,1,0))</f>
        <v/>
      </c>
      <c r="J898">
        <f>IF($A898="","",ROW())</f>
        <v/>
      </c>
      <c r="L898">
        <f>IF('01_Warehouse_Ledger'!$A898="","",'01_Warehouse_Ledger'!$A898)</f>
        <v/>
      </c>
    </row>
    <row r="899">
      <c r="I899">
        <f>IF(OR($A899="",$B899=""),"",IF(COUNTIFS($A$2:$A899,$A899,$B$2:$B899,$B899)=1,1,0))</f>
        <v/>
      </c>
      <c r="J899">
        <f>IF($A899="","",ROW())</f>
        <v/>
      </c>
      <c r="L899">
        <f>IF('01_Warehouse_Ledger'!$A899="","",'01_Warehouse_Ledger'!$A899)</f>
        <v/>
      </c>
    </row>
    <row r="900">
      <c r="I900">
        <f>IF(OR($A900="",$B900=""),"",IF(COUNTIFS($A$2:$A900,$A900,$B$2:$B900,$B900)=1,1,0))</f>
        <v/>
      </c>
      <c r="J900">
        <f>IF($A900="","",ROW())</f>
        <v/>
      </c>
      <c r="L900">
        <f>IF('01_Warehouse_Ledger'!$A900="","",'01_Warehouse_Ledger'!$A900)</f>
        <v/>
      </c>
    </row>
    <row r="901">
      <c r="I901">
        <f>IF(OR($A901="",$B901=""),"",IF(COUNTIFS($A$2:$A901,$A901,$B$2:$B901,$B901)=1,1,0))</f>
        <v/>
      </c>
      <c r="J901">
        <f>IF($A901="","",ROW())</f>
        <v/>
      </c>
      <c r="L901">
        <f>IF('01_Warehouse_Ledger'!$A901="","",'01_Warehouse_Ledger'!$A901)</f>
        <v/>
      </c>
    </row>
    <row r="902">
      <c r="I902">
        <f>IF(OR($A902="",$B902=""),"",IF(COUNTIFS($A$2:$A902,$A902,$B$2:$B902,$B902)=1,1,0))</f>
        <v/>
      </c>
      <c r="J902">
        <f>IF($A902="","",ROW())</f>
        <v/>
      </c>
      <c r="L902">
        <f>IF('01_Warehouse_Ledger'!$A902="","",'01_Warehouse_Ledger'!$A902)</f>
        <v/>
      </c>
    </row>
    <row r="903">
      <c r="I903">
        <f>IF(OR($A903="",$B903=""),"",IF(COUNTIFS($A$2:$A903,$A903,$B$2:$B903,$B903)=1,1,0))</f>
        <v/>
      </c>
      <c r="J903">
        <f>IF($A903="","",ROW())</f>
        <v/>
      </c>
      <c r="L903">
        <f>IF('01_Warehouse_Ledger'!$A903="","",'01_Warehouse_Ledger'!$A903)</f>
        <v/>
      </c>
    </row>
    <row r="904">
      <c r="I904">
        <f>IF(OR($A904="",$B904=""),"",IF(COUNTIFS($A$2:$A904,$A904,$B$2:$B904,$B904)=1,1,0))</f>
        <v/>
      </c>
      <c r="J904">
        <f>IF($A904="","",ROW())</f>
        <v/>
      </c>
      <c r="L904">
        <f>IF('01_Warehouse_Ledger'!$A904="","",'01_Warehouse_Ledger'!$A904)</f>
        <v/>
      </c>
    </row>
    <row r="905">
      <c r="I905">
        <f>IF(OR($A905="",$B905=""),"",IF(COUNTIFS($A$2:$A905,$A905,$B$2:$B905,$B905)=1,1,0))</f>
        <v/>
      </c>
      <c r="J905">
        <f>IF($A905="","",ROW())</f>
        <v/>
      </c>
      <c r="L905">
        <f>IF('01_Warehouse_Ledger'!$A905="","",'01_Warehouse_Ledger'!$A905)</f>
        <v/>
      </c>
    </row>
    <row r="906">
      <c r="I906">
        <f>IF(OR($A906="",$B906=""),"",IF(COUNTIFS($A$2:$A906,$A906,$B$2:$B906,$B906)=1,1,0))</f>
        <v/>
      </c>
      <c r="J906">
        <f>IF($A906="","",ROW())</f>
        <v/>
      </c>
      <c r="L906">
        <f>IF('01_Warehouse_Ledger'!$A906="","",'01_Warehouse_Ledger'!$A906)</f>
        <v/>
      </c>
    </row>
    <row r="907">
      <c r="I907">
        <f>IF(OR($A907="",$B907=""),"",IF(COUNTIFS($A$2:$A907,$A907,$B$2:$B907,$B907)=1,1,0))</f>
        <v/>
      </c>
      <c r="J907">
        <f>IF($A907="","",ROW())</f>
        <v/>
      </c>
      <c r="L907">
        <f>IF('01_Warehouse_Ledger'!$A907="","",'01_Warehouse_Ledger'!$A907)</f>
        <v/>
      </c>
    </row>
    <row r="908">
      <c r="I908">
        <f>IF(OR($A908="",$B908=""),"",IF(COUNTIFS($A$2:$A908,$A908,$B$2:$B908,$B908)=1,1,0))</f>
        <v/>
      </c>
      <c r="J908">
        <f>IF($A908="","",ROW())</f>
        <v/>
      </c>
      <c r="L908">
        <f>IF('01_Warehouse_Ledger'!$A908="","",'01_Warehouse_Ledger'!$A908)</f>
        <v/>
      </c>
    </row>
    <row r="909">
      <c r="I909">
        <f>IF(OR($A909="",$B909=""),"",IF(COUNTIFS($A$2:$A909,$A909,$B$2:$B909,$B909)=1,1,0))</f>
        <v/>
      </c>
      <c r="J909">
        <f>IF($A909="","",ROW())</f>
        <v/>
      </c>
      <c r="L909">
        <f>IF('01_Warehouse_Ledger'!$A909="","",'01_Warehouse_Ledger'!$A909)</f>
        <v/>
      </c>
    </row>
    <row r="910">
      <c r="I910">
        <f>IF(OR($A910="",$B910=""),"",IF(COUNTIFS($A$2:$A910,$A910,$B$2:$B910,$B910)=1,1,0))</f>
        <v/>
      </c>
      <c r="J910">
        <f>IF($A910="","",ROW())</f>
        <v/>
      </c>
      <c r="L910">
        <f>IF('01_Warehouse_Ledger'!$A910="","",'01_Warehouse_Ledger'!$A910)</f>
        <v/>
      </c>
    </row>
    <row r="911">
      <c r="I911">
        <f>IF(OR($A911="",$B911=""),"",IF(COUNTIFS($A$2:$A911,$A911,$B$2:$B911,$B911)=1,1,0))</f>
        <v/>
      </c>
      <c r="J911">
        <f>IF($A911="","",ROW())</f>
        <v/>
      </c>
      <c r="L911">
        <f>IF('01_Warehouse_Ledger'!$A911="","",'01_Warehouse_Ledger'!$A911)</f>
        <v/>
      </c>
    </row>
    <row r="912">
      <c r="I912">
        <f>IF(OR($A912="",$B912=""),"",IF(COUNTIFS($A$2:$A912,$A912,$B$2:$B912,$B912)=1,1,0))</f>
        <v/>
      </c>
      <c r="J912">
        <f>IF($A912="","",ROW())</f>
        <v/>
      </c>
      <c r="L912">
        <f>IF('01_Warehouse_Ledger'!$A912="","",'01_Warehouse_Ledger'!$A912)</f>
        <v/>
      </c>
    </row>
    <row r="913">
      <c r="I913">
        <f>IF(OR($A913="",$B913=""),"",IF(COUNTIFS($A$2:$A913,$A913,$B$2:$B913,$B913)=1,1,0))</f>
        <v/>
      </c>
      <c r="J913">
        <f>IF($A913="","",ROW())</f>
        <v/>
      </c>
      <c r="L913">
        <f>IF('01_Warehouse_Ledger'!$A913="","",'01_Warehouse_Ledger'!$A913)</f>
        <v/>
      </c>
    </row>
    <row r="914">
      <c r="I914">
        <f>IF(OR($A914="",$B914=""),"",IF(COUNTIFS($A$2:$A914,$A914,$B$2:$B914,$B914)=1,1,0))</f>
        <v/>
      </c>
      <c r="J914">
        <f>IF($A914="","",ROW())</f>
        <v/>
      </c>
      <c r="L914">
        <f>IF('01_Warehouse_Ledger'!$A914="","",'01_Warehouse_Ledger'!$A914)</f>
        <v/>
      </c>
    </row>
    <row r="915">
      <c r="I915">
        <f>IF(OR($A915="",$B915=""),"",IF(COUNTIFS($A$2:$A915,$A915,$B$2:$B915,$B915)=1,1,0))</f>
        <v/>
      </c>
      <c r="J915">
        <f>IF($A915="","",ROW())</f>
        <v/>
      </c>
      <c r="L915">
        <f>IF('01_Warehouse_Ledger'!$A915="","",'01_Warehouse_Ledger'!$A915)</f>
        <v/>
      </c>
    </row>
    <row r="916">
      <c r="I916">
        <f>IF(OR($A916="",$B916=""),"",IF(COUNTIFS($A$2:$A916,$A916,$B$2:$B916,$B916)=1,1,0))</f>
        <v/>
      </c>
      <c r="J916">
        <f>IF($A916="","",ROW())</f>
        <v/>
      </c>
      <c r="L916">
        <f>IF('01_Warehouse_Ledger'!$A916="","",'01_Warehouse_Ledger'!$A916)</f>
        <v/>
      </c>
    </row>
    <row r="917">
      <c r="I917">
        <f>IF(OR($A917="",$B917=""),"",IF(COUNTIFS($A$2:$A917,$A917,$B$2:$B917,$B917)=1,1,0))</f>
        <v/>
      </c>
      <c r="J917">
        <f>IF($A917="","",ROW())</f>
        <v/>
      </c>
      <c r="L917">
        <f>IF('01_Warehouse_Ledger'!$A917="","",'01_Warehouse_Ledger'!$A917)</f>
        <v/>
      </c>
    </row>
    <row r="918">
      <c r="I918">
        <f>IF(OR($A918="",$B918=""),"",IF(COUNTIFS($A$2:$A918,$A918,$B$2:$B918,$B918)=1,1,0))</f>
        <v/>
      </c>
      <c r="J918">
        <f>IF($A918="","",ROW())</f>
        <v/>
      </c>
      <c r="L918">
        <f>IF('01_Warehouse_Ledger'!$A918="","",'01_Warehouse_Ledger'!$A918)</f>
        <v/>
      </c>
    </row>
    <row r="919">
      <c r="I919">
        <f>IF(OR($A919="",$B919=""),"",IF(COUNTIFS($A$2:$A919,$A919,$B$2:$B919,$B919)=1,1,0))</f>
        <v/>
      </c>
      <c r="J919">
        <f>IF($A919="","",ROW())</f>
        <v/>
      </c>
      <c r="L919">
        <f>IF('01_Warehouse_Ledger'!$A919="","",'01_Warehouse_Ledger'!$A919)</f>
        <v/>
      </c>
    </row>
    <row r="920">
      <c r="I920">
        <f>IF(OR($A920="",$B920=""),"",IF(COUNTIFS($A$2:$A920,$A920,$B$2:$B920,$B920)=1,1,0))</f>
        <v/>
      </c>
      <c r="J920">
        <f>IF($A920="","",ROW())</f>
        <v/>
      </c>
      <c r="L920">
        <f>IF('01_Warehouse_Ledger'!$A920="","",'01_Warehouse_Ledger'!$A920)</f>
        <v/>
      </c>
    </row>
    <row r="921">
      <c r="I921">
        <f>IF(OR($A921="",$B921=""),"",IF(COUNTIFS($A$2:$A921,$A921,$B$2:$B921,$B921)=1,1,0))</f>
        <v/>
      </c>
      <c r="J921">
        <f>IF($A921="","",ROW())</f>
        <v/>
      </c>
      <c r="L921">
        <f>IF('01_Warehouse_Ledger'!$A921="","",'01_Warehouse_Ledger'!$A921)</f>
        <v/>
      </c>
    </row>
    <row r="922">
      <c r="I922">
        <f>IF(OR($A922="",$B922=""),"",IF(COUNTIFS($A$2:$A922,$A922,$B$2:$B922,$B922)=1,1,0))</f>
        <v/>
      </c>
      <c r="J922">
        <f>IF($A922="","",ROW())</f>
        <v/>
      </c>
      <c r="L922">
        <f>IF('01_Warehouse_Ledger'!$A922="","",'01_Warehouse_Ledger'!$A922)</f>
        <v/>
      </c>
    </row>
    <row r="923">
      <c r="I923">
        <f>IF(OR($A923="",$B923=""),"",IF(COUNTIFS($A$2:$A923,$A923,$B$2:$B923,$B923)=1,1,0))</f>
        <v/>
      </c>
      <c r="J923">
        <f>IF($A923="","",ROW())</f>
        <v/>
      </c>
      <c r="L923">
        <f>IF('01_Warehouse_Ledger'!$A923="","",'01_Warehouse_Ledger'!$A923)</f>
        <v/>
      </c>
    </row>
    <row r="924">
      <c r="I924">
        <f>IF(OR($A924="",$B924=""),"",IF(COUNTIFS($A$2:$A924,$A924,$B$2:$B924,$B924)=1,1,0))</f>
        <v/>
      </c>
      <c r="J924">
        <f>IF($A924="","",ROW())</f>
        <v/>
      </c>
      <c r="L924">
        <f>IF('01_Warehouse_Ledger'!$A924="","",'01_Warehouse_Ledger'!$A924)</f>
        <v/>
      </c>
    </row>
    <row r="925">
      <c r="I925">
        <f>IF(OR($A925="",$B925=""),"",IF(COUNTIFS($A$2:$A925,$A925,$B$2:$B925,$B925)=1,1,0))</f>
        <v/>
      </c>
      <c r="J925">
        <f>IF($A925="","",ROW())</f>
        <v/>
      </c>
      <c r="L925">
        <f>IF('01_Warehouse_Ledger'!$A925="","",'01_Warehouse_Ledger'!$A925)</f>
        <v/>
      </c>
    </row>
    <row r="926">
      <c r="I926">
        <f>IF(OR($A926="",$B926=""),"",IF(COUNTIFS($A$2:$A926,$A926,$B$2:$B926,$B926)=1,1,0))</f>
        <v/>
      </c>
      <c r="J926">
        <f>IF($A926="","",ROW())</f>
        <v/>
      </c>
      <c r="L926">
        <f>IF('01_Warehouse_Ledger'!$A926="","",'01_Warehouse_Ledger'!$A926)</f>
        <v/>
      </c>
    </row>
    <row r="927">
      <c r="I927">
        <f>IF(OR($A927="",$B927=""),"",IF(COUNTIFS($A$2:$A927,$A927,$B$2:$B927,$B927)=1,1,0))</f>
        <v/>
      </c>
      <c r="J927">
        <f>IF($A927="","",ROW())</f>
        <v/>
      </c>
      <c r="L927">
        <f>IF('01_Warehouse_Ledger'!$A927="","",'01_Warehouse_Ledger'!$A927)</f>
        <v/>
      </c>
    </row>
    <row r="928">
      <c r="I928">
        <f>IF(OR($A928="",$B928=""),"",IF(COUNTIFS($A$2:$A928,$A928,$B$2:$B928,$B928)=1,1,0))</f>
        <v/>
      </c>
      <c r="J928">
        <f>IF($A928="","",ROW())</f>
        <v/>
      </c>
      <c r="L928">
        <f>IF('01_Warehouse_Ledger'!$A928="","",'01_Warehouse_Ledger'!$A928)</f>
        <v/>
      </c>
    </row>
    <row r="929">
      <c r="I929">
        <f>IF(OR($A929="",$B929=""),"",IF(COUNTIFS($A$2:$A929,$A929,$B$2:$B929,$B929)=1,1,0))</f>
        <v/>
      </c>
      <c r="J929">
        <f>IF($A929="","",ROW())</f>
        <v/>
      </c>
      <c r="L929">
        <f>IF('01_Warehouse_Ledger'!$A929="","",'01_Warehouse_Ledger'!$A929)</f>
        <v/>
      </c>
    </row>
    <row r="930">
      <c r="I930">
        <f>IF(OR($A930="",$B930=""),"",IF(COUNTIFS($A$2:$A930,$A930,$B$2:$B930,$B930)=1,1,0))</f>
        <v/>
      </c>
      <c r="J930">
        <f>IF($A930="","",ROW())</f>
        <v/>
      </c>
      <c r="L930">
        <f>IF('01_Warehouse_Ledger'!$A930="","",'01_Warehouse_Ledger'!$A930)</f>
        <v/>
      </c>
    </row>
    <row r="931">
      <c r="I931">
        <f>IF(OR($A931="",$B931=""),"",IF(COUNTIFS($A$2:$A931,$A931,$B$2:$B931,$B931)=1,1,0))</f>
        <v/>
      </c>
      <c r="J931">
        <f>IF($A931="","",ROW())</f>
        <v/>
      </c>
      <c r="L931">
        <f>IF('01_Warehouse_Ledger'!$A931="","",'01_Warehouse_Ledger'!$A931)</f>
        <v/>
      </c>
    </row>
    <row r="932">
      <c r="I932">
        <f>IF(OR($A932="",$B932=""),"",IF(COUNTIFS($A$2:$A932,$A932,$B$2:$B932,$B932)=1,1,0))</f>
        <v/>
      </c>
      <c r="J932">
        <f>IF($A932="","",ROW())</f>
        <v/>
      </c>
      <c r="L932">
        <f>IF('01_Warehouse_Ledger'!$A932="","",'01_Warehouse_Ledger'!$A932)</f>
        <v/>
      </c>
    </row>
    <row r="933">
      <c r="I933">
        <f>IF(OR($A933="",$B933=""),"",IF(COUNTIFS($A$2:$A933,$A933,$B$2:$B933,$B933)=1,1,0))</f>
        <v/>
      </c>
      <c r="J933">
        <f>IF($A933="","",ROW())</f>
        <v/>
      </c>
      <c r="L933">
        <f>IF('01_Warehouse_Ledger'!$A933="","",'01_Warehouse_Ledger'!$A933)</f>
        <v/>
      </c>
    </row>
    <row r="934">
      <c r="I934">
        <f>IF(OR($A934="",$B934=""),"",IF(COUNTIFS($A$2:$A934,$A934,$B$2:$B934,$B934)=1,1,0))</f>
        <v/>
      </c>
      <c r="J934">
        <f>IF($A934="","",ROW())</f>
        <v/>
      </c>
      <c r="L934">
        <f>IF('01_Warehouse_Ledger'!$A934="","",'01_Warehouse_Ledger'!$A934)</f>
        <v/>
      </c>
    </row>
    <row r="935">
      <c r="I935">
        <f>IF(OR($A935="",$B935=""),"",IF(COUNTIFS($A$2:$A935,$A935,$B$2:$B935,$B935)=1,1,0))</f>
        <v/>
      </c>
      <c r="J935">
        <f>IF($A935="","",ROW())</f>
        <v/>
      </c>
      <c r="L935">
        <f>IF('01_Warehouse_Ledger'!$A935="","",'01_Warehouse_Ledger'!$A935)</f>
        <v/>
      </c>
    </row>
    <row r="936">
      <c r="I936">
        <f>IF(OR($A936="",$B936=""),"",IF(COUNTIFS($A$2:$A936,$A936,$B$2:$B936,$B936)=1,1,0))</f>
        <v/>
      </c>
      <c r="J936">
        <f>IF($A936="","",ROW())</f>
        <v/>
      </c>
      <c r="L936">
        <f>IF('01_Warehouse_Ledger'!$A936="","",'01_Warehouse_Ledger'!$A936)</f>
        <v/>
      </c>
    </row>
    <row r="937">
      <c r="I937">
        <f>IF(OR($A937="",$B937=""),"",IF(COUNTIFS($A$2:$A937,$A937,$B$2:$B937,$B937)=1,1,0))</f>
        <v/>
      </c>
      <c r="J937">
        <f>IF($A937="","",ROW())</f>
        <v/>
      </c>
      <c r="L937">
        <f>IF('01_Warehouse_Ledger'!$A937="","",'01_Warehouse_Ledger'!$A937)</f>
        <v/>
      </c>
    </row>
    <row r="938">
      <c r="I938">
        <f>IF(OR($A938="",$B938=""),"",IF(COUNTIFS($A$2:$A938,$A938,$B$2:$B938,$B938)=1,1,0))</f>
        <v/>
      </c>
      <c r="J938">
        <f>IF($A938="","",ROW())</f>
        <v/>
      </c>
      <c r="L938">
        <f>IF('01_Warehouse_Ledger'!$A938="","",'01_Warehouse_Ledger'!$A938)</f>
        <v/>
      </c>
    </row>
    <row r="939">
      <c r="I939">
        <f>IF(OR($A939="",$B939=""),"",IF(COUNTIFS($A$2:$A939,$A939,$B$2:$B939,$B939)=1,1,0))</f>
        <v/>
      </c>
      <c r="J939">
        <f>IF($A939="","",ROW())</f>
        <v/>
      </c>
      <c r="L939">
        <f>IF('01_Warehouse_Ledger'!$A939="","",'01_Warehouse_Ledger'!$A939)</f>
        <v/>
      </c>
    </row>
    <row r="940">
      <c r="I940">
        <f>IF(OR($A940="",$B940=""),"",IF(COUNTIFS($A$2:$A940,$A940,$B$2:$B940,$B940)=1,1,0))</f>
        <v/>
      </c>
      <c r="J940">
        <f>IF($A940="","",ROW())</f>
        <v/>
      </c>
      <c r="L940">
        <f>IF('01_Warehouse_Ledger'!$A940="","",'01_Warehouse_Ledger'!$A940)</f>
        <v/>
      </c>
    </row>
    <row r="941">
      <c r="I941">
        <f>IF(OR($A941="",$B941=""),"",IF(COUNTIFS($A$2:$A941,$A941,$B$2:$B941,$B941)=1,1,0))</f>
        <v/>
      </c>
      <c r="J941">
        <f>IF($A941="","",ROW())</f>
        <v/>
      </c>
      <c r="L941">
        <f>IF('01_Warehouse_Ledger'!$A941="","",'01_Warehouse_Ledger'!$A941)</f>
        <v/>
      </c>
    </row>
    <row r="942">
      <c r="I942">
        <f>IF(OR($A942="",$B942=""),"",IF(COUNTIFS($A$2:$A942,$A942,$B$2:$B942,$B942)=1,1,0))</f>
        <v/>
      </c>
      <c r="J942">
        <f>IF($A942="","",ROW())</f>
        <v/>
      </c>
      <c r="L942">
        <f>IF('01_Warehouse_Ledger'!$A942="","",'01_Warehouse_Ledger'!$A942)</f>
        <v/>
      </c>
    </row>
    <row r="943">
      <c r="I943">
        <f>IF(OR($A943="",$B943=""),"",IF(COUNTIFS($A$2:$A943,$A943,$B$2:$B943,$B943)=1,1,0))</f>
        <v/>
      </c>
      <c r="J943">
        <f>IF($A943="","",ROW())</f>
        <v/>
      </c>
      <c r="L943">
        <f>IF('01_Warehouse_Ledger'!$A943="","",'01_Warehouse_Ledger'!$A943)</f>
        <v/>
      </c>
    </row>
    <row r="944">
      <c r="I944">
        <f>IF(OR($A944="",$B944=""),"",IF(COUNTIFS($A$2:$A944,$A944,$B$2:$B944,$B944)=1,1,0))</f>
        <v/>
      </c>
      <c r="J944">
        <f>IF($A944="","",ROW())</f>
        <v/>
      </c>
      <c r="L944">
        <f>IF('01_Warehouse_Ledger'!$A944="","",'01_Warehouse_Ledger'!$A944)</f>
        <v/>
      </c>
    </row>
    <row r="945">
      <c r="I945">
        <f>IF(OR($A945="",$B945=""),"",IF(COUNTIFS($A$2:$A945,$A945,$B$2:$B945,$B945)=1,1,0))</f>
        <v/>
      </c>
      <c r="J945">
        <f>IF($A945="","",ROW())</f>
        <v/>
      </c>
      <c r="L945">
        <f>IF('01_Warehouse_Ledger'!$A945="","",'01_Warehouse_Ledger'!$A945)</f>
        <v/>
      </c>
    </row>
    <row r="946">
      <c r="I946">
        <f>IF(OR($A946="",$B946=""),"",IF(COUNTIFS($A$2:$A946,$A946,$B$2:$B946,$B946)=1,1,0))</f>
        <v/>
      </c>
      <c r="J946">
        <f>IF($A946="","",ROW())</f>
        <v/>
      </c>
      <c r="L946">
        <f>IF('01_Warehouse_Ledger'!$A946="","",'01_Warehouse_Ledger'!$A946)</f>
        <v/>
      </c>
    </row>
    <row r="947">
      <c r="I947">
        <f>IF(OR($A947="",$B947=""),"",IF(COUNTIFS($A$2:$A947,$A947,$B$2:$B947,$B947)=1,1,0))</f>
        <v/>
      </c>
      <c r="J947">
        <f>IF($A947="","",ROW())</f>
        <v/>
      </c>
      <c r="L947">
        <f>IF('01_Warehouse_Ledger'!$A947="","",'01_Warehouse_Ledger'!$A947)</f>
        <v/>
      </c>
    </row>
    <row r="948">
      <c r="I948">
        <f>IF(OR($A948="",$B948=""),"",IF(COUNTIFS($A$2:$A948,$A948,$B$2:$B948,$B948)=1,1,0))</f>
        <v/>
      </c>
      <c r="J948">
        <f>IF($A948="","",ROW())</f>
        <v/>
      </c>
      <c r="L948">
        <f>IF('01_Warehouse_Ledger'!$A948="","",'01_Warehouse_Ledger'!$A948)</f>
        <v/>
      </c>
    </row>
    <row r="949">
      <c r="I949">
        <f>IF(OR($A949="",$B949=""),"",IF(COUNTIFS($A$2:$A949,$A949,$B$2:$B949,$B949)=1,1,0))</f>
        <v/>
      </c>
      <c r="J949">
        <f>IF($A949="","",ROW())</f>
        <v/>
      </c>
      <c r="L949">
        <f>IF('01_Warehouse_Ledger'!$A949="","",'01_Warehouse_Ledger'!$A949)</f>
        <v/>
      </c>
    </row>
    <row r="950">
      <c r="I950">
        <f>IF(OR($A950="",$B950=""),"",IF(COUNTIFS($A$2:$A950,$A950,$B$2:$B950,$B950)=1,1,0))</f>
        <v/>
      </c>
      <c r="J950">
        <f>IF($A950="","",ROW())</f>
        <v/>
      </c>
      <c r="L950">
        <f>IF('01_Warehouse_Ledger'!$A950="","",'01_Warehouse_Ledger'!$A950)</f>
        <v/>
      </c>
    </row>
    <row r="951">
      <c r="I951">
        <f>IF(OR($A951="",$B951=""),"",IF(COUNTIFS($A$2:$A951,$A951,$B$2:$B951,$B951)=1,1,0))</f>
        <v/>
      </c>
      <c r="J951">
        <f>IF($A951="","",ROW())</f>
        <v/>
      </c>
      <c r="L951">
        <f>IF('01_Warehouse_Ledger'!$A951="","",'01_Warehouse_Ledger'!$A951)</f>
        <v/>
      </c>
    </row>
    <row r="952">
      <c r="I952">
        <f>IF(OR($A952="",$B952=""),"",IF(COUNTIFS($A$2:$A952,$A952,$B$2:$B952,$B952)=1,1,0))</f>
        <v/>
      </c>
      <c r="J952">
        <f>IF($A952="","",ROW())</f>
        <v/>
      </c>
      <c r="L952">
        <f>IF('01_Warehouse_Ledger'!$A952="","",'01_Warehouse_Ledger'!$A952)</f>
        <v/>
      </c>
    </row>
    <row r="953">
      <c r="I953">
        <f>IF(OR($A953="",$B953=""),"",IF(COUNTIFS($A$2:$A953,$A953,$B$2:$B953,$B953)=1,1,0))</f>
        <v/>
      </c>
      <c r="J953">
        <f>IF($A953="","",ROW())</f>
        <v/>
      </c>
      <c r="L953">
        <f>IF('01_Warehouse_Ledger'!$A953="","",'01_Warehouse_Ledger'!$A953)</f>
        <v/>
      </c>
    </row>
    <row r="954">
      <c r="I954">
        <f>IF(OR($A954="",$B954=""),"",IF(COUNTIFS($A$2:$A954,$A954,$B$2:$B954,$B954)=1,1,0))</f>
        <v/>
      </c>
      <c r="J954">
        <f>IF($A954="","",ROW())</f>
        <v/>
      </c>
      <c r="L954">
        <f>IF('01_Warehouse_Ledger'!$A954="","",'01_Warehouse_Ledger'!$A954)</f>
        <v/>
      </c>
    </row>
    <row r="955">
      <c r="I955">
        <f>IF(OR($A955="",$B955=""),"",IF(COUNTIFS($A$2:$A955,$A955,$B$2:$B955,$B955)=1,1,0))</f>
        <v/>
      </c>
      <c r="J955">
        <f>IF($A955="","",ROW())</f>
        <v/>
      </c>
      <c r="L955">
        <f>IF('01_Warehouse_Ledger'!$A955="","",'01_Warehouse_Ledger'!$A955)</f>
        <v/>
      </c>
    </row>
    <row r="956">
      <c r="I956">
        <f>IF(OR($A956="",$B956=""),"",IF(COUNTIFS($A$2:$A956,$A956,$B$2:$B956,$B956)=1,1,0))</f>
        <v/>
      </c>
      <c r="J956">
        <f>IF($A956="","",ROW())</f>
        <v/>
      </c>
      <c r="L956">
        <f>IF('01_Warehouse_Ledger'!$A956="","",'01_Warehouse_Ledger'!$A956)</f>
        <v/>
      </c>
    </row>
    <row r="957">
      <c r="I957">
        <f>IF(OR($A957="",$B957=""),"",IF(COUNTIFS($A$2:$A957,$A957,$B$2:$B957,$B957)=1,1,0))</f>
        <v/>
      </c>
      <c r="J957">
        <f>IF($A957="","",ROW())</f>
        <v/>
      </c>
      <c r="L957">
        <f>IF('01_Warehouse_Ledger'!$A957="","",'01_Warehouse_Ledger'!$A957)</f>
        <v/>
      </c>
    </row>
    <row r="958">
      <c r="I958">
        <f>IF(OR($A958="",$B958=""),"",IF(COUNTIFS($A$2:$A958,$A958,$B$2:$B958,$B958)=1,1,0))</f>
        <v/>
      </c>
      <c r="J958">
        <f>IF($A958="","",ROW())</f>
        <v/>
      </c>
      <c r="L958">
        <f>IF('01_Warehouse_Ledger'!$A958="","",'01_Warehouse_Ledger'!$A958)</f>
        <v/>
      </c>
    </row>
    <row r="959">
      <c r="I959">
        <f>IF(OR($A959="",$B959=""),"",IF(COUNTIFS($A$2:$A959,$A959,$B$2:$B959,$B959)=1,1,0))</f>
        <v/>
      </c>
      <c r="J959">
        <f>IF($A959="","",ROW())</f>
        <v/>
      </c>
      <c r="L959">
        <f>IF('01_Warehouse_Ledger'!$A959="","",'01_Warehouse_Ledger'!$A959)</f>
        <v/>
      </c>
    </row>
    <row r="960">
      <c r="I960">
        <f>IF(OR($A960="",$B960=""),"",IF(COUNTIFS($A$2:$A960,$A960,$B$2:$B960,$B960)=1,1,0))</f>
        <v/>
      </c>
      <c r="J960">
        <f>IF($A960="","",ROW())</f>
        <v/>
      </c>
      <c r="L960">
        <f>IF('01_Warehouse_Ledger'!$A960="","",'01_Warehouse_Ledger'!$A960)</f>
        <v/>
      </c>
    </row>
    <row r="961">
      <c r="I961">
        <f>IF(OR($A961="",$B961=""),"",IF(COUNTIFS($A$2:$A961,$A961,$B$2:$B961,$B961)=1,1,0))</f>
        <v/>
      </c>
      <c r="J961">
        <f>IF($A961="","",ROW())</f>
        <v/>
      </c>
      <c r="L961">
        <f>IF('01_Warehouse_Ledger'!$A961="","",'01_Warehouse_Ledger'!$A961)</f>
        <v/>
      </c>
    </row>
    <row r="962">
      <c r="I962">
        <f>IF(OR($A962="",$B962=""),"",IF(COUNTIFS($A$2:$A962,$A962,$B$2:$B962,$B962)=1,1,0))</f>
        <v/>
      </c>
      <c r="J962">
        <f>IF($A962="","",ROW())</f>
        <v/>
      </c>
      <c r="L962">
        <f>IF('01_Warehouse_Ledger'!$A962="","",'01_Warehouse_Ledger'!$A962)</f>
        <v/>
      </c>
    </row>
    <row r="963">
      <c r="I963">
        <f>IF(OR($A963="",$B963=""),"",IF(COUNTIFS($A$2:$A963,$A963,$B$2:$B963,$B963)=1,1,0))</f>
        <v/>
      </c>
      <c r="J963">
        <f>IF($A963="","",ROW())</f>
        <v/>
      </c>
      <c r="L963">
        <f>IF('01_Warehouse_Ledger'!$A963="","",'01_Warehouse_Ledger'!$A963)</f>
        <v/>
      </c>
    </row>
    <row r="964">
      <c r="I964">
        <f>IF(OR($A964="",$B964=""),"",IF(COUNTIFS($A$2:$A964,$A964,$B$2:$B964,$B964)=1,1,0))</f>
        <v/>
      </c>
      <c r="J964">
        <f>IF($A964="","",ROW())</f>
        <v/>
      </c>
      <c r="L964">
        <f>IF('01_Warehouse_Ledger'!$A964="","",'01_Warehouse_Ledger'!$A964)</f>
        <v/>
      </c>
    </row>
    <row r="965">
      <c r="I965">
        <f>IF(OR($A965="",$B965=""),"",IF(COUNTIFS($A$2:$A965,$A965,$B$2:$B965,$B965)=1,1,0))</f>
        <v/>
      </c>
      <c r="J965">
        <f>IF($A965="","",ROW())</f>
        <v/>
      </c>
      <c r="L965">
        <f>IF('01_Warehouse_Ledger'!$A965="","",'01_Warehouse_Ledger'!$A965)</f>
        <v/>
      </c>
    </row>
    <row r="966">
      <c r="I966">
        <f>IF(OR($A966="",$B966=""),"",IF(COUNTIFS($A$2:$A966,$A966,$B$2:$B966,$B966)=1,1,0))</f>
        <v/>
      </c>
      <c r="J966">
        <f>IF($A966="","",ROW())</f>
        <v/>
      </c>
      <c r="L966">
        <f>IF('01_Warehouse_Ledger'!$A966="","",'01_Warehouse_Ledger'!$A966)</f>
        <v/>
      </c>
    </row>
    <row r="967">
      <c r="I967">
        <f>IF(OR($A967="",$B967=""),"",IF(COUNTIFS($A$2:$A967,$A967,$B$2:$B967,$B967)=1,1,0))</f>
        <v/>
      </c>
      <c r="J967">
        <f>IF($A967="","",ROW())</f>
        <v/>
      </c>
      <c r="L967">
        <f>IF('01_Warehouse_Ledger'!$A967="","",'01_Warehouse_Ledger'!$A967)</f>
        <v/>
      </c>
    </row>
    <row r="968">
      <c r="I968">
        <f>IF(OR($A968="",$B968=""),"",IF(COUNTIFS($A$2:$A968,$A968,$B$2:$B968,$B968)=1,1,0))</f>
        <v/>
      </c>
      <c r="J968">
        <f>IF($A968="","",ROW())</f>
        <v/>
      </c>
      <c r="L968">
        <f>IF('01_Warehouse_Ledger'!$A968="","",'01_Warehouse_Ledger'!$A968)</f>
        <v/>
      </c>
    </row>
    <row r="969">
      <c r="I969">
        <f>IF(OR($A969="",$B969=""),"",IF(COUNTIFS($A$2:$A969,$A969,$B$2:$B969,$B969)=1,1,0))</f>
        <v/>
      </c>
      <c r="J969">
        <f>IF($A969="","",ROW())</f>
        <v/>
      </c>
      <c r="L969">
        <f>IF('01_Warehouse_Ledger'!$A969="","",'01_Warehouse_Ledger'!$A969)</f>
        <v/>
      </c>
    </row>
    <row r="970">
      <c r="I970">
        <f>IF(OR($A970="",$B970=""),"",IF(COUNTIFS($A$2:$A970,$A970,$B$2:$B970,$B970)=1,1,0))</f>
        <v/>
      </c>
      <c r="J970">
        <f>IF($A970="","",ROW())</f>
        <v/>
      </c>
      <c r="L970">
        <f>IF('01_Warehouse_Ledger'!$A970="","",'01_Warehouse_Ledger'!$A970)</f>
        <v/>
      </c>
    </row>
    <row r="971">
      <c r="I971">
        <f>IF(OR($A971="",$B971=""),"",IF(COUNTIFS($A$2:$A971,$A971,$B$2:$B971,$B971)=1,1,0))</f>
        <v/>
      </c>
      <c r="J971">
        <f>IF($A971="","",ROW())</f>
        <v/>
      </c>
      <c r="L971">
        <f>IF('01_Warehouse_Ledger'!$A971="","",'01_Warehouse_Ledger'!$A971)</f>
        <v/>
      </c>
    </row>
    <row r="972">
      <c r="I972">
        <f>IF(OR($A972="",$B972=""),"",IF(COUNTIFS($A$2:$A972,$A972,$B$2:$B972,$B972)=1,1,0))</f>
        <v/>
      </c>
      <c r="J972">
        <f>IF($A972="","",ROW())</f>
        <v/>
      </c>
      <c r="L972">
        <f>IF('01_Warehouse_Ledger'!$A972="","",'01_Warehouse_Ledger'!$A972)</f>
        <v/>
      </c>
    </row>
    <row r="973">
      <c r="I973">
        <f>IF(OR($A973="",$B973=""),"",IF(COUNTIFS($A$2:$A973,$A973,$B$2:$B973,$B973)=1,1,0))</f>
        <v/>
      </c>
      <c r="J973">
        <f>IF($A973="","",ROW())</f>
        <v/>
      </c>
      <c r="L973">
        <f>IF('01_Warehouse_Ledger'!$A973="","",'01_Warehouse_Ledger'!$A973)</f>
        <v/>
      </c>
    </row>
    <row r="974">
      <c r="I974">
        <f>IF(OR($A974="",$B974=""),"",IF(COUNTIFS($A$2:$A974,$A974,$B$2:$B974,$B974)=1,1,0))</f>
        <v/>
      </c>
      <c r="J974">
        <f>IF($A974="","",ROW())</f>
        <v/>
      </c>
      <c r="L974">
        <f>IF('01_Warehouse_Ledger'!$A974="","",'01_Warehouse_Ledger'!$A974)</f>
        <v/>
      </c>
    </row>
    <row r="975">
      <c r="I975">
        <f>IF(OR($A975="",$B975=""),"",IF(COUNTIFS($A$2:$A975,$A975,$B$2:$B975,$B975)=1,1,0))</f>
        <v/>
      </c>
      <c r="J975">
        <f>IF($A975="","",ROW())</f>
        <v/>
      </c>
      <c r="L975">
        <f>IF('01_Warehouse_Ledger'!$A975="","",'01_Warehouse_Ledger'!$A975)</f>
        <v/>
      </c>
    </row>
    <row r="976">
      <c r="I976">
        <f>IF(OR($A976="",$B976=""),"",IF(COUNTIFS($A$2:$A976,$A976,$B$2:$B976,$B976)=1,1,0))</f>
        <v/>
      </c>
      <c r="J976">
        <f>IF($A976="","",ROW())</f>
        <v/>
      </c>
      <c r="L976">
        <f>IF('01_Warehouse_Ledger'!$A976="","",'01_Warehouse_Ledger'!$A976)</f>
        <v/>
      </c>
    </row>
    <row r="977">
      <c r="I977">
        <f>IF(OR($A977="",$B977=""),"",IF(COUNTIFS($A$2:$A977,$A977,$B$2:$B977,$B977)=1,1,0))</f>
        <v/>
      </c>
      <c r="J977">
        <f>IF($A977="","",ROW())</f>
        <v/>
      </c>
      <c r="L977">
        <f>IF('01_Warehouse_Ledger'!$A977="","",'01_Warehouse_Ledger'!$A977)</f>
        <v/>
      </c>
    </row>
    <row r="978">
      <c r="I978">
        <f>IF(OR($A978="",$B978=""),"",IF(COUNTIFS($A$2:$A978,$A978,$B$2:$B978,$B978)=1,1,0))</f>
        <v/>
      </c>
      <c r="J978">
        <f>IF($A978="","",ROW())</f>
        <v/>
      </c>
      <c r="L978">
        <f>IF('01_Warehouse_Ledger'!$A978="","",'01_Warehouse_Ledger'!$A978)</f>
        <v/>
      </c>
    </row>
    <row r="979">
      <c r="I979">
        <f>IF(OR($A979="",$B979=""),"",IF(COUNTIFS($A$2:$A979,$A979,$B$2:$B979,$B979)=1,1,0))</f>
        <v/>
      </c>
      <c r="J979">
        <f>IF($A979="","",ROW())</f>
        <v/>
      </c>
      <c r="L979">
        <f>IF('01_Warehouse_Ledger'!$A979="","",'01_Warehouse_Ledger'!$A979)</f>
        <v/>
      </c>
    </row>
    <row r="980">
      <c r="I980">
        <f>IF(OR($A980="",$B980=""),"",IF(COUNTIFS($A$2:$A980,$A980,$B$2:$B980,$B980)=1,1,0))</f>
        <v/>
      </c>
      <c r="J980">
        <f>IF($A980="","",ROW())</f>
        <v/>
      </c>
      <c r="L980">
        <f>IF('01_Warehouse_Ledger'!$A980="","",'01_Warehouse_Ledger'!$A980)</f>
        <v/>
      </c>
    </row>
    <row r="981">
      <c r="I981">
        <f>IF(OR($A981="",$B981=""),"",IF(COUNTIFS($A$2:$A981,$A981,$B$2:$B981,$B981)=1,1,0))</f>
        <v/>
      </c>
      <c r="J981">
        <f>IF($A981="","",ROW())</f>
        <v/>
      </c>
      <c r="L981">
        <f>IF('01_Warehouse_Ledger'!$A981="","",'01_Warehouse_Ledger'!$A981)</f>
        <v/>
      </c>
    </row>
    <row r="982">
      <c r="I982">
        <f>IF(OR($A982="",$B982=""),"",IF(COUNTIFS($A$2:$A982,$A982,$B$2:$B982,$B982)=1,1,0))</f>
        <v/>
      </c>
      <c r="J982">
        <f>IF($A982="","",ROW())</f>
        <v/>
      </c>
      <c r="L982">
        <f>IF('01_Warehouse_Ledger'!$A982="","",'01_Warehouse_Ledger'!$A982)</f>
        <v/>
      </c>
    </row>
    <row r="983">
      <c r="I983">
        <f>IF(OR($A983="",$B983=""),"",IF(COUNTIFS($A$2:$A983,$A983,$B$2:$B983,$B983)=1,1,0))</f>
        <v/>
      </c>
      <c r="J983">
        <f>IF($A983="","",ROW())</f>
        <v/>
      </c>
      <c r="L983">
        <f>IF('01_Warehouse_Ledger'!$A983="","",'01_Warehouse_Ledger'!$A983)</f>
        <v/>
      </c>
    </row>
    <row r="984">
      <c r="I984">
        <f>IF(OR($A984="",$B984=""),"",IF(COUNTIFS($A$2:$A984,$A984,$B$2:$B984,$B984)=1,1,0))</f>
        <v/>
      </c>
      <c r="J984">
        <f>IF($A984="","",ROW())</f>
        <v/>
      </c>
      <c r="L984">
        <f>IF('01_Warehouse_Ledger'!$A984="","",'01_Warehouse_Ledger'!$A984)</f>
        <v/>
      </c>
    </row>
    <row r="985">
      <c r="I985">
        <f>IF(OR($A985="",$B985=""),"",IF(COUNTIFS($A$2:$A985,$A985,$B$2:$B985,$B985)=1,1,0))</f>
        <v/>
      </c>
      <c r="J985">
        <f>IF($A985="","",ROW())</f>
        <v/>
      </c>
      <c r="L985">
        <f>IF('01_Warehouse_Ledger'!$A985="","",'01_Warehouse_Ledger'!$A985)</f>
        <v/>
      </c>
    </row>
    <row r="986">
      <c r="I986">
        <f>IF(OR($A986="",$B986=""),"",IF(COUNTIFS($A$2:$A986,$A986,$B$2:$B986,$B986)=1,1,0))</f>
        <v/>
      </c>
      <c r="J986">
        <f>IF($A986="","",ROW())</f>
        <v/>
      </c>
      <c r="L986">
        <f>IF('01_Warehouse_Ledger'!$A986="","",'01_Warehouse_Ledger'!$A986)</f>
        <v/>
      </c>
    </row>
    <row r="987">
      <c r="I987">
        <f>IF(OR($A987="",$B987=""),"",IF(COUNTIFS($A$2:$A987,$A987,$B$2:$B987,$B987)=1,1,0))</f>
        <v/>
      </c>
      <c r="J987">
        <f>IF($A987="","",ROW())</f>
        <v/>
      </c>
      <c r="L987">
        <f>IF('01_Warehouse_Ledger'!$A987="","",'01_Warehouse_Ledger'!$A987)</f>
        <v/>
      </c>
    </row>
    <row r="988">
      <c r="I988">
        <f>IF(OR($A988="",$B988=""),"",IF(COUNTIFS($A$2:$A988,$A988,$B$2:$B988,$B988)=1,1,0))</f>
        <v/>
      </c>
      <c r="J988">
        <f>IF($A988="","",ROW())</f>
        <v/>
      </c>
      <c r="L988">
        <f>IF('01_Warehouse_Ledger'!$A988="","",'01_Warehouse_Ledger'!$A988)</f>
        <v/>
      </c>
    </row>
    <row r="989">
      <c r="I989">
        <f>IF(OR($A989="",$B989=""),"",IF(COUNTIFS($A$2:$A989,$A989,$B$2:$B989,$B989)=1,1,0))</f>
        <v/>
      </c>
      <c r="J989">
        <f>IF($A989="","",ROW())</f>
        <v/>
      </c>
      <c r="L989">
        <f>IF('01_Warehouse_Ledger'!$A989="","",'01_Warehouse_Ledger'!$A989)</f>
        <v/>
      </c>
    </row>
    <row r="990">
      <c r="I990">
        <f>IF(OR($A990="",$B990=""),"",IF(COUNTIFS($A$2:$A990,$A990,$B$2:$B990,$B990)=1,1,0))</f>
        <v/>
      </c>
      <c r="J990">
        <f>IF($A990="","",ROW())</f>
        <v/>
      </c>
      <c r="L990">
        <f>IF('01_Warehouse_Ledger'!$A990="","",'01_Warehouse_Ledger'!$A990)</f>
        <v/>
      </c>
    </row>
    <row r="991">
      <c r="I991">
        <f>IF(OR($A991="",$B991=""),"",IF(COUNTIFS($A$2:$A991,$A991,$B$2:$B991,$B991)=1,1,0))</f>
        <v/>
      </c>
      <c r="J991">
        <f>IF($A991="","",ROW())</f>
        <v/>
      </c>
      <c r="L991">
        <f>IF('01_Warehouse_Ledger'!$A991="","",'01_Warehouse_Ledger'!$A991)</f>
        <v/>
      </c>
    </row>
    <row r="992">
      <c r="I992">
        <f>IF(OR($A992="",$B992=""),"",IF(COUNTIFS($A$2:$A992,$A992,$B$2:$B992,$B992)=1,1,0))</f>
        <v/>
      </c>
      <c r="J992">
        <f>IF($A992="","",ROW())</f>
        <v/>
      </c>
      <c r="L992">
        <f>IF('01_Warehouse_Ledger'!$A992="","",'01_Warehouse_Ledger'!$A992)</f>
        <v/>
      </c>
    </row>
    <row r="993">
      <c r="I993">
        <f>IF(OR($A993="",$B993=""),"",IF(COUNTIFS($A$2:$A993,$A993,$B$2:$B993,$B993)=1,1,0))</f>
        <v/>
      </c>
      <c r="J993">
        <f>IF($A993="","",ROW())</f>
        <v/>
      </c>
      <c r="L993">
        <f>IF('01_Warehouse_Ledger'!$A993="","",'01_Warehouse_Ledger'!$A993)</f>
        <v/>
      </c>
    </row>
    <row r="994">
      <c r="I994">
        <f>IF(OR($A994="",$B994=""),"",IF(COUNTIFS($A$2:$A994,$A994,$B$2:$B994,$B994)=1,1,0))</f>
        <v/>
      </c>
      <c r="J994">
        <f>IF($A994="","",ROW())</f>
        <v/>
      </c>
      <c r="L994">
        <f>IF('01_Warehouse_Ledger'!$A994="","",'01_Warehouse_Ledger'!$A994)</f>
        <v/>
      </c>
    </row>
    <row r="995">
      <c r="I995">
        <f>IF(OR($A995="",$B995=""),"",IF(COUNTIFS($A$2:$A995,$A995,$B$2:$B995,$B995)=1,1,0))</f>
        <v/>
      </c>
      <c r="J995">
        <f>IF($A995="","",ROW())</f>
        <v/>
      </c>
      <c r="L995">
        <f>IF('01_Warehouse_Ledger'!$A995="","",'01_Warehouse_Ledger'!$A995)</f>
        <v/>
      </c>
    </row>
    <row r="996">
      <c r="I996">
        <f>IF(OR($A996="",$B996=""),"",IF(COUNTIFS($A$2:$A996,$A996,$B$2:$B996,$B996)=1,1,0))</f>
        <v/>
      </c>
      <c r="J996">
        <f>IF($A996="","",ROW())</f>
        <v/>
      </c>
      <c r="L996">
        <f>IF('01_Warehouse_Ledger'!$A996="","",'01_Warehouse_Ledger'!$A996)</f>
        <v/>
      </c>
    </row>
    <row r="997">
      <c r="I997">
        <f>IF(OR($A997="",$B997=""),"",IF(COUNTIFS($A$2:$A997,$A997,$B$2:$B997,$B997)=1,1,0))</f>
        <v/>
      </c>
      <c r="J997">
        <f>IF($A997="","",ROW())</f>
        <v/>
      </c>
      <c r="L997">
        <f>IF('01_Warehouse_Ledger'!$A997="","",'01_Warehouse_Ledger'!$A997)</f>
        <v/>
      </c>
    </row>
    <row r="998">
      <c r="I998">
        <f>IF(OR($A998="",$B998=""),"",IF(COUNTIFS($A$2:$A998,$A998,$B$2:$B998,$B998)=1,1,0))</f>
        <v/>
      </c>
      <c r="J998">
        <f>IF($A998="","",ROW())</f>
        <v/>
      </c>
      <c r="L998">
        <f>IF('01_Warehouse_Ledger'!$A998="","",'01_Warehouse_Ledger'!$A998)</f>
        <v/>
      </c>
    </row>
    <row r="999">
      <c r="I999">
        <f>IF(OR($A999="",$B999=""),"",IF(COUNTIFS($A$2:$A999,$A999,$B$2:$B999,$B999)=1,1,0))</f>
        <v/>
      </c>
      <c r="J999">
        <f>IF($A999="","",ROW())</f>
        <v/>
      </c>
      <c r="L999">
        <f>IF('01_Warehouse_Ledger'!$A999="","",'01_Warehouse_Ledger'!$A999)</f>
        <v/>
      </c>
    </row>
    <row r="1000">
      <c r="I1000">
        <f>IF(OR($A1000="",$B1000=""),"",IF(COUNTIFS($A$2:$A1000,$A1000,$B$2:$B1000,$B1000)=1,1,0))</f>
        <v/>
      </c>
      <c r="J1000">
        <f>IF($A1000="","",ROW())</f>
        <v/>
      </c>
      <c r="L1000">
        <f>IF('01_Warehouse_Ledger'!$A1000="","",'01_Warehouse_Ledger'!$A1000)</f>
        <v/>
      </c>
    </row>
    <row r="1001">
      <c r="I1001">
        <f>IF(OR($A1001="",$B1001=""),"",IF(COUNTIFS($A$2:$A1001,$A1001,$B$2:$B1001,$B1001)=1,1,0))</f>
        <v/>
      </c>
      <c r="J1001">
        <f>IF($A1001="","",ROW())</f>
        <v/>
      </c>
      <c r="L1001">
        <f>IF('01_Warehouse_Ledger'!$A1001="","",'01_Warehouse_Ledger'!$A1001)</f>
        <v/>
      </c>
    </row>
    <row r="1002">
      <c r="I1002">
        <f>IF(OR($A1002="",$B1002=""),"",IF(COUNTIFS($A$2:$A1002,$A1002,$B$2:$B1002,$B1002)=1,1,0))</f>
        <v/>
      </c>
      <c r="J1002">
        <f>IF($A1002="","",ROW())</f>
        <v/>
      </c>
      <c r="L1002">
        <f>IF('01_Warehouse_Ledger'!$A1002="","",'01_Warehouse_Ledger'!$A1002)</f>
        <v/>
      </c>
    </row>
    <row r="1003">
      <c r="I1003">
        <f>IF(OR($A1003="",$B1003=""),"",IF(COUNTIFS($A$2:$A1003,$A1003,$B$2:$B1003,$B1003)=1,1,0))</f>
        <v/>
      </c>
      <c r="J1003">
        <f>IF($A1003="","",ROW())</f>
        <v/>
      </c>
      <c r="L1003">
        <f>IF('01_Warehouse_Ledger'!$A1003="","",'01_Warehouse_Ledger'!$A1003)</f>
        <v/>
      </c>
    </row>
    <row r="1004">
      <c r="I1004">
        <f>IF(OR($A1004="",$B1004=""),"",IF(COUNTIFS($A$2:$A1004,$A1004,$B$2:$B1004,$B1004)=1,1,0))</f>
        <v/>
      </c>
      <c r="J1004">
        <f>IF($A1004="","",ROW())</f>
        <v/>
      </c>
      <c r="L1004">
        <f>IF('01_Warehouse_Ledger'!$A1004="","",'01_Warehouse_Ledger'!$A1004)</f>
        <v/>
      </c>
    </row>
    <row r="1005">
      <c r="I1005">
        <f>IF(OR($A1005="",$B1005=""),"",IF(COUNTIFS($A$2:$A1005,$A1005,$B$2:$B1005,$B1005)=1,1,0))</f>
        <v/>
      </c>
      <c r="J1005">
        <f>IF($A1005="","",ROW())</f>
        <v/>
      </c>
      <c r="L1005">
        <f>IF('01_Warehouse_Ledger'!$A1005="","",'01_Warehouse_Ledger'!$A1005)</f>
        <v/>
      </c>
    </row>
    <row r="1006">
      <c r="I1006">
        <f>IF(OR($A1006="",$B1006=""),"",IF(COUNTIFS($A$2:$A1006,$A1006,$B$2:$B1006,$B1006)=1,1,0))</f>
        <v/>
      </c>
      <c r="J1006">
        <f>IF($A1006="","",ROW())</f>
        <v/>
      </c>
      <c r="L1006">
        <f>IF('01_Warehouse_Ledger'!$A1006="","",'01_Warehouse_Ledger'!$A1006)</f>
        <v/>
      </c>
    </row>
    <row r="1007">
      <c r="I1007">
        <f>IF(OR($A1007="",$B1007=""),"",IF(COUNTIFS($A$2:$A1007,$A1007,$B$2:$B1007,$B1007)=1,1,0))</f>
        <v/>
      </c>
      <c r="J1007">
        <f>IF($A1007="","",ROW())</f>
        <v/>
      </c>
      <c r="L1007">
        <f>IF('01_Warehouse_Ledger'!$A1007="","",'01_Warehouse_Ledger'!$A1007)</f>
        <v/>
      </c>
    </row>
    <row r="1008">
      <c r="I1008">
        <f>IF(OR($A1008="",$B1008=""),"",IF(COUNTIFS($A$2:$A1008,$A1008,$B$2:$B1008,$B1008)=1,1,0))</f>
        <v/>
      </c>
      <c r="J1008">
        <f>IF($A1008="","",ROW())</f>
        <v/>
      </c>
      <c r="L1008">
        <f>IF('01_Warehouse_Ledger'!$A1008="","",'01_Warehouse_Ledger'!$A1008)</f>
        <v/>
      </c>
    </row>
    <row r="1009">
      <c r="I1009">
        <f>IF(OR($A1009="",$B1009=""),"",IF(COUNTIFS($A$2:$A1009,$A1009,$B$2:$B1009,$B1009)=1,1,0))</f>
        <v/>
      </c>
      <c r="J1009">
        <f>IF($A1009="","",ROW())</f>
        <v/>
      </c>
      <c r="L1009">
        <f>IF('01_Warehouse_Ledger'!$A1009="","",'01_Warehouse_Ledger'!$A1009)</f>
        <v/>
      </c>
    </row>
    <row r="1010">
      <c r="I1010">
        <f>IF(OR($A1010="",$B1010=""),"",IF(COUNTIFS($A$2:$A1010,$A1010,$B$2:$B1010,$B1010)=1,1,0))</f>
        <v/>
      </c>
      <c r="J1010">
        <f>IF($A1010="","",ROW())</f>
        <v/>
      </c>
      <c r="L1010">
        <f>IF('01_Warehouse_Ledger'!$A1010="","",'01_Warehouse_Ledger'!$A1010)</f>
        <v/>
      </c>
    </row>
    <row r="1011">
      <c r="I1011">
        <f>IF(OR($A1011="",$B1011=""),"",IF(COUNTIFS($A$2:$A1011,$A1011,$B$2:$B1011,$B1011)=1,1,0))</f>
        <v/>
      </c>
      <c r="J1011">
        <f>IF($A1011="","",ROW())</f>
        <v/>
      </c>
      <c r="L1011">
        <f>IF('01_Warehouse_Ledger'!$A1011="","",'01_Warehouse_Ledger'!$A1011)</f>
        <v/>
      </c>
    </row>
    <row r="1012">
      <c r="I1012">
        <f>IF(OR($A1012="",$B1012=""),"",IF(COUNTIFS($A$2:$A1012,$A1012,$B$2:$B1012,$B1012)=1,1,0))</f>
        <v/>
      </c>
      <c r="J1012">
        <f>IF($A1012="","",ROW())</f>
        <v/>
      </c>
      <c r="L1012">
        <f>IF('01_Warehouse_Ledger'!$A1012="","",'01_Warehouse_Ledger'!$A1012)</f>
        <v/>
      </c>
    </row>
    <row r="1013">
      <c r="I1013">
        <f>IF(OR($A1013="",$B1013=""),"",IF(COUNTIFS($A$2:$A1013,$A1013,$B$2:$B1013,$B1013)=1,1,0))</f>
        <v/>
      </c>
      <c r="J1013">
        <f>IF($A1013="","",ROW())</f>
        <v/>
      </c>
      <c r="L1013">
        <f>IF('01_Warehouse_Ledger'!$A1013="","",'01_Warehouse_Ledger'!$A1013)</f>
        <v/>
      </c>
    </row>
    <row r="1014">
      <c r="I1014">
        <f>IF(OR($A1014="",$B1014=""),"",IF(COUNTIFS($A$2:$A1014,$A1014,$B$2:$B1014,$B1014)=1,1,0))</f>
        <v/>
      </c>
      <c r="J1014">
        <f>IF($A1014="","",ROW())</f>
        <v/>
      </c>
      <c r="L1014">
        <f>IF('01_Warehouse_Ledger'!$A1014="","",'01_Warehouse_Ledger'!$A1014)</f>
        <v/>
      </c>
    </row>
    <row r="1015">
      <c r="I1015">
        <f>IF(OR($A1015="",$B1015=""),"",IF(COUNTIFS($A$2:$A1015,$A1015,$B$2:$B1015,$B1015)=1,1,0))</f>
        <v/>
      </c>
      <c r="J1015">
        <f>IF($A1015="","",ROW())</f>
        <v/>
      </c>
      <c r="L1015">
        <f>IF('01_Warehouse_Ledger'!$A1015="","",'01_Warehouse_Ledger'!$A1015)</f>
        <v/>
      </c>
    </row>
    <row r="1016">
      <c r="I1016">
        <f>IF(OR($A1016="",$B1016=""),"",IF(COUNTIFS($A$2:$A1016,$A1016,$B$2:$B1016,$B1016)=1,1,0))</f>
        <v/>
      </c>
      <c r="J1016">
        <f>IF($A1016="","",ROW())</f>
        <v/>
      </c>
      <c r="L1016">
        <f>IF('01_Warehouse_Ledger'!$A1016="","",'01_Warehouse_Ledger'!$A1016)</f>
        <v/>
      </c>
    </row>
    <row r="1017">
      <c r="I1017">
        <f>IF(OR($A1017="",$B1017=""),"",IF(COUNTIFS($A$2:$A1017,$A1017,$B$2:$B1017,$B1017)=1,1,0))</f>
        <v/>
      </c>
      <c r="J1017">
        <f>IF($A1017="","",ROW())</f>
        <v/>
      </c>
      <c r="L1017">
        <f>IF('01_Warehouse_Ledger'!$A1017="","",'01_Warehouse_Ledger'!$A1017)</f>
        <v/>
      </c>
    </row>
    <row r="1018">
      <c r="I1018">
        <f>IF(OR($A1018="",$B1018=""),"",IF(COUNTIFS($A$2:$A1018,$A1018,$B$2:$B1018,$B1018)=1,1,0))</f>
        <v/>
      </c>
      <c r="J1018">
        <f>IF($A1018="","",ROW())</f>
        <v/>
      </c>
      <c r="L1018">
        <f>IF('01_Warehouse_Ledger'!$A1018="","",'01_Warehouse_Ledger'!$A1018)</f>
        <v/>
      </c>
    </row>
    <row r="1019">
      <c r="I1019">
        <f>IF(OR($A1019="",$B1019=""),"",IF(COUNTIFS($A$2:$A1019,$A1019,$B$2:$B1019,$B1019)=1,1,0))</f>
        <v/>
      </c>
      <c r="J1019">
        <f>IF($A1019="","",ROW())</f>
        <v/>
      </c>
      <c r="L1019">
        <f>IF('01_Warehouse_Ledger'!$A1019="","",'01_Warehouse_Ledger'!$A1019)</f>
        <v/>
      </c>
    </row>
    <row r="1020">
      <c r="I1020">
        <f>IF(OR($A1020="",$B1020=""),"",IF(COUNTIFS($A$2:$A1020,$A1020,$B$2:$B1020,$B1020)=1,1,0))</f>
        <v/>
      </c>
      <c r="J1020">
        <f>IF($A1020="","",ROW())</f>
        <v/>
      </c>
      <c r="L1020">
        <f>IF('01_Warehouse_Ledger'!$A1020="","",'01_Warehouse_Ledger'!$A1020)</f>
        <v/>
      </c>
    </row>
    <row r="1021">
      <c r="I1021">
        <f>IF(OR($A1021="",$B1021=""),"",IF(COUNTIFS($A$2:$A1021,$A1021,$B$2:$B1021,$B1021)=1,1,0))</f>
        <v/>
      </c>
      <c r="J1021">
        <f>IF($A1021="","",ROW())</f>
        <v/>
      </c>
      <c r="L1021">
        <f>IF('01_Warehouse_Ledger'!$A1021="","",'01_Warehouse_Ledger'!$A1021)</f>
        <v/>
      </c>
    </row>
    <row r="1022">
      <c r="I1022">
        <f>IF(OR($A1022="",$B1022=""),"",IF(COUNTIFS($A$2:$A1022,$A1022,$B$2:$B1022,$B1022)=1,1,0))</f>
        <v/>
      </c>
      <c r="J1022">
        <f>IF($A1022="","",ROW())</f>
        <v/>
      </c>
      <c r="L1022">
        <f>IF('01_Warehouse_Ledger'!$A1022="","",'01_Warehouse_Ledger'!$A1022)</f>
        <v/>
      </c>
    </row>
    <row r="1023">
      <c r="I1023">
        <f>IF(OR($A1023="",$B1023=""),"",IF(COUNTIFS($A$2:$A1023,$A1023,$B$2:$B1023,$B1023)=1,1,0))</f>
        <v/>
      </c>
      <c r="J1023">
        <f>IF($A1023="","",ROW())</f>
        <v/>
      </c>
      <c r="L1023">
        <f>IF('01_Warehouse_Ledger'!$A1023="","",'01_Warehouse_Ledger'!$A1023)</f>
        <v/>
      </c>
    </row>
    <row r="1024">
      <c r="I1024">
        <f>IF(OR($A1024="",$B1024=""),"",IF(COUNTIFS($A$2:$A1024,$A1024,$B$2:$B1024,$B1024)=1,1,0))</f>
        <v/>
      </c>
      <c r="J1024">
        <f>IF($A1024="","",ROW())</f>
        <v/>
      </c>
      <c r="L1024">
        <f>IF('01_Warehouse_Ledger'!$A1024="","",'01_Warehouse_Ledger'!$A1024)</f>
        <v/>
      </c>
    </row>
    <row r="1025">
      <c r="I1025">
        <f>IF(OR($A1025="",$B1025=""),"",IF(COUNTIFS($A$2:$A1025,$A1025,$B$2:$B1025,$B1025)=1,1,0))</f>
        <v/>
      </c>
      <c r="J1025">
        <f>IF($A1025="","",ROW())</f>
        <v/>
      </c>
      <c r="L1025">
        <f>IF('01_Warehouse_Ledger'!$A1025="","",'01_Warehouse_Ledger'!$A1025)</f>
        <v/>
      </c>
    </row>
    <row r="1026">
      <c r="I1026">
        <f>IF(OR($A1026="",$B1026=""),"",IF(COUNTIFS($A$2:$A1026,$A1026,$B$2:$B1026,$B1026)=1,1,0))</f>
        <v/>
      </c>
      <c r="J1026">
        <f>IF($A1026="","",ROW())</f>
        <v/>
      </c>
      <c r="L1026">
        <f>IF('01_Warehouse_Ledger'!$A1026="","",'01_Warehouse_Ledger'!$A1026)</f>
        <v/>
      </c>
    </row>
    <row r="1027">
      <c r="I1027">
        <f>IF(OR($A1027="",$B1027=""),"",IF(COUNTIFS($A$2:$A1027,$A1027,$B$2:$B1027,$B1027)=1,1,0))</f>
        <v/>
      </c>
      <c r="J1027">
        <f>IF($A1027="","",ROW())</f>
        <v/>
      </c>
      <c r="L1027">
        <f>IF('01_Warehouse_Ledger'!$A1027="","",'01_Warehouse_Ledger'!$A1027)</f>
        <v/>
      </c>
    </row>
    <row r="1028">
      <c r="I1028">
        <f>IF(OR($A1028="",$B1028=""),"",IF(COUNTIFS($A$2:$A1028,$A1028,$B$2:$B1028,$B1028)=1,1,0))</f>
        <v/>
      </c>
      <c r="J1028">
        <f>IF($A1028="","",ROW())</f>
        <v/>
      </c>
      <c r="L1028">
        <f>IF('01_Warehouse_Ledger'!$A1028="","",'01_Warehouse_Ledger'!$A1028)</f>
        <v/>
      </c>
    </row>
    <row r="1029">
      <c r="I1029">
        <f>IF(OR($A1029="",$B1029=""),"",IF(COUNTIFS($A$2:$A1029,$A1029,$B$2:$B1029,$B1029)=1,1,0))</f>
        <v/>
      </c>
      <c r="J1029">
        <f>IF($A1029="","",ROW())</f>
        <v/>
      </c>
      <c r="L1029">
        <f>IF('01_Warehouse_Ledger'!$A1029="","",'01_Warehouse_Ledger'!$A1029)</f>
        <v/>
      </c>
    </row>
    <row r="1030">
      <c r="I1030">
        <f>IF(OR($A1030="",$B1030=""),"",IF(COUNTIFS($A$2:$A1030,$A1030,$B$2:$B1030,$B1030)=1,1,0))</f>
        <v/>
      </c>
      <c r="J1030">
        <f>IF($A1030="","",ROW())</f>
        <v/>
      </c>
      <c r="L1030">
        <f>IF('01_Warehouse_Ledger'!$A1030="","",'01_Warehouse_Ledger'!$A1030)</f>
        <v/>
      </c>
    </row>
    <row r="1031">
      <c r="I1031">
        <f>IF(OR($A1031="",$B1031=""),"",IF(COUNTIFS($A$2:$A1031,$A1031,$B$2:$B1031,$B1031)=1,1,0))</f>
        <v/>
      </c>
      <c r="J1031">
        <f>IF($A1031="","",ROW())</f>
        <v/>
      </c>
      <c r="L1031">
        <f>IF('01_Warehouse_Ledger'!$A1031="","",'01_Warehouse_Ledger'!$A1031)</f>
        <v/>
      </c>
    </row>
    <row r="1032">
      <c r="I1032">
        <f>IF(OR($A1032="",$B1032=""),"",IF(COUNTIFS($A$2:$A1032,$A1032,$B$2:$B1032,$B1032)=1,1,0))</f>
        <v/>
      </c>
      <c r="J1032">
        <f>IF($A1032="","",ROW())</f>
        <v/>
      </c>
      <c r="L1032">
        <f>IF('01_Warehouse_Ledger'!$A1032="","",'01_Warehouse_Ledger'!$A1032)</f>
        <v/>
      </c>
    </row>
    <row r="1033">
      <c r="I1033">
        <f>IF(OR($A1033="",$B1033=""),"",IF(COUNTIFS($A$2:$A1033,$A1033,$B$2:$B1033,$B1033)=1,1,0))</f>
        <v/>
      </c>
      <c r="J1033">
        <f>IF($A1033="","",ROW())</f>
        <v/>
      </c>
      <c r="L1033">
        <f>IF('01_Warehouse_Ledger'!$A1033="","",'01_Warehouse_Ledger'!$A1033)</f>
        <v/>
      </c>
    </row>
    <row r="1034">
      <c r="I1034">
        <f>IF(OR($A1034="",$B1034=""),"",IF(COUNTIFS($A$2:$A1034,$A1034,$B$2:$B1034,$B1034)=1,1,0))</f>
        <v/>
      </c>
      <c r="J1034">
        <f>IF($A1034="","",ROW())</f>
        <v/>
      </c>
      <c r="L1034">
        <f>IF('01_Warehouse_Ledger'!$A1034="","",'01_Warehouse_Ledger'!$A1034)</f>
        <v/>
      </c>
    </row>
    <row r="1035">
      <c r="I1035">
        <f>IF(OR($A1035="",$B1035=""),"",IF(COUNTIFS($A$2:$A1035,$A1035,$B$2:$B1035,$B1035)=1,1,0))</f>
        <v/>
      </c>
      <c r="J1035">
        <f>IF($A1035="","",ROW())</f>
        <v/>
      </c>
      <c r="L1035">
        <f>IF('01_Warehouse_Ledger'!$A1035="","",'01_Warehouse_Ledger'!$A1035)</f>
        <v/>
      </c>
    </row>
    <row r="1036">
      <c r="I1036">
        <f>IF(OR($A1036="",$B1036=""),"",IF(COUNTIFS($A$2:$A1036,$A1036,$B$2:$B1036,$B1036)=1,1,0))</f>
        <v/>
      </c>
      <c r="J1036">
        <f>IF($A1036="","",ROW())</f>
        <v/>
      </c>
      <c r="L1036">
        <f>IF('01_Warehouse_Ledger'!$A1036="","",'01_Warehouse_Ledger'!$A1036)</f>
        <v/>
      </c>
    </row>
    <row r="1037">
      <c r="I1037">
        <f>IF(OR($A1037="",$B1037=""),"",IF(COUNTIFS($A$2:$A1037,$A1037,$B$2:$B1037,$B1037)=1,1,0))</f>
        <v/>
      </c>
      <c r="J1037">
        <f>IF($A1037="","",ROW())</f>
        <v/>
      </c>
      <c r="L1037">
        <f>IF('01_Warehouse_Ledger'!$A1037="","",'01_Warehouse_Ledger'!$A1037)</f>
        <v/>
      </c>
    </row>
    <row r="1038">
      <c r="I1038">
        <f>IF(OR($A1038="",$B1038=""),"",IF(COUNTIFS($A$2:$A1038,$A1038,$B$2:$B1038,$B1038)=1,1,0))</f>
        <v/>
      </c>
      <c r="J1038">
        <f>IF($A1038="","",ROW())</f>
        <v/>
      </c>
      <c r="L1038">
        <f>IF('01_Warehouse_Ledger'!$A1038="","",'01_Warehouse_Ledger'!$A1038)</f>
        <v/>
      </c>
    </row>
    <row r="1039">
      <c r="I1039">
        <f>IF(OR($A1039="",$B1039=""),"",IF(COUNTIFS($A$2:$A1039,$A1039,$B$2:$B1039,$B1039)=1,1,0))</f>
        <v/>
      </c>
      <c r="J1039">
        <f>IF($A1039="","",ROW())</f>
        <v/>
      </c>
      <c r="L1039">
        <f>IF('01_Warehouse_Ledger'!$A1039="","",'01_Warehouse_Ledger'!$A1039)</f>
        <v/>
      </c>
    </row>
    <row r="1040">
      <c r="I1040">
        <f>IF(OR($A1040="",$B1040=""),"",IF(COUNTIFS($A$2:$A1040,$A1040,$B$2:$B1040,$B1040)=1,1,0))</f>
        <v/>
      </c>
      <c r="J1040">
        <f>IF($A1040="","",ROW())</f>
        <v/>
      </c>
      <c r="L1040">
        <f>IF('01_Warehouse_Ledger'!$A1040="","",'01_Warehouse_Ledger'!$A1040)</f>
        <v/>
      </c>
    </row>
    <row r="1041">
      <c r="I1041">
        <f>IF(OR($A1041="",$B1041=""),"",IF(COUNTIFS($A$2:$A1041,$A1041,$B$2:$B1041,$B1041)=1,1,0))</f>
        <v/>
      </c>
      <c r="J1041">
        <f>IF($A1041="","",ROW())</f>
        <v/>
      </c>
      <c r="L1041">
        <f>IF('01_Warehouse_Ledger'!$A1041="","",'01_Warehouse_Ledger'!$A1041)</f>
        <v/>
      </c>
    </row>
    <row r="1042">
      <c r="I1042">
        <f>IF(OR($A1042="",$B1042=""),"",IF(COUNTIFS($A$2:$A1042,$A1042,$B$2:$B1042,$B1042)=1,1,0))</f>
        <v/>
      </c>
      <c r="J1042">
        <f>IF($A1042="","",ROW())</f>
        <v/>
      </c>
      <c r="L1042">
        <f>IF('01_Warehouse_Ledger'!$A1042="","",'01_Warehouse_Ledger'!$A1042)</f>
        <v/>
      </c>
    </row>
    <row r="1043">
      <c r="I1043">
        <f>IF(OR($A1043="",$B1043=""),"",IF(COUNTIFS($A$2:$A1043,$A1043,$B$2:$B1043,$B1043)=1,1,0))</f>
        <v/>
      </c>
      <c r="J1043">
        <f>IF($A1043="","",ROW())</f>
        <v/>
      </c>
      <c r="L1043">
        <f>IF('01_Warehouse_Ledger'!$A1043="","",'01_Warehouse_Ledger'!$A1043)</f>
        <v/>
      </c>
    </row>
    <row r="1044">
      <c r="I1044">
        <f>IF(OR($A1044="",$B1044=""),"",IF(COUNTIFS($A$2:$A1044,$A1044,$B$2:$B1044,$B1044)=1,1,0))</f>
        <v/>
      </c>
      <c r="J1044">
        <f>IF($A1044="","",ROW())</f>
        <v/>
      </c>
      <c r="L1044">
        <f>IF('01_Warehouse_Ledger'!$A1044="","",'01_Warehouse_Ledger'!$A1044)</f>
        <v/>
      </c>
    </row>
    <row r="1045">
      <c r="I1045">
        <f>IF(OR($A1045="",$B1045=""),"",IF(COUNTIFS($A$2:$A1045,$A1045,$B$2:$B1045,$B1045)=1,1,0))</f>
        <v/>
      </c>
      <c r="J1045">
        <f>IF($A1045="","",ROW())</f>
        <v/>
      </c>
      <c r="L1045">
        <f>IF('01_Warehouse_Ledger'!$A1045="","",'01_Warehouse_Ledger'!$A1045)</f>
        <v/>
      </c>
    </row>
    <row r="1046">
      <c r="I1046">
        <f>IF(OR($A1046="",$B1046=""),"",IF(COUNTIFS($A$2:$A1046,$A1046,$B$2:$B1046,$B1046)=1,1,0))</f>
        <v/>
      </c>
      <c r="J1046">
        <f>IF($A1046="","",ROW())</f>
        <v/>
      </c>
      <c r="L1046">
        <f>IF('01_Warehouse_Ledger'!$A1046="","",'01_Warehouse_Ledger'!$A1046)</f>
        <v/>
      </c>
    </row>
    <row r="1047">
      <c r="I1047">
        <f>IF(OR($A1047="",$B1047=""),"",IF(COUNTIFS($A$2:$A1047,$A1047,$B$2:$B1047,$B1047)=1,1,0))</f>
        <v/>
      </c>
      <c r="J1047">
        <f>IF($A1047="","",ROW())</f>
        <v/>
      </c>
      <c r="L1047">
        <f>IF('01_Warehouse_Ledger'!$A1047="","",'01_Warehouse_Ledger'!$A1047)</f>
        <v/>
      </c>
    </row>
    <row r="1048">
      <c r="I1048">
        <f>IF(OR($A1048="",$B1048=""),"",IF(COUNTIFS($A$2:$A1048,$A1048,$B$2:$B1048,$B1048)=1,1,0))</f>
        <v/>
      </c>
      <c r="J1048">
        <f>IF($A1048="","",ROW())</f>
        <v/>
      </c>
      <c r="L1048">
        <f>IF('01_Warehouse_Ledger'!$A1048="","",'01_Warehouse_Ledger'!$A1048)</f>
        <v/>
      </c>
    </row>
    <row r="1049">
      <c r="I1049">
        <f>IF(OR($A1049="",$B1049=""),"",IF(COUNTIFS($A$2:$A1049,$A1049,$B$2:$B1049,$B1049)=1,1,0))</f>
        <v/>
      </c>
      <c r="J1049">
        <f>IF($A1049="","",ROW())</f>
        <v/>
      </c>
      <c r="L1049">
        <f>IF('01_Warehouse_Ledger'!$A1049="","",'01_Warehouse_Ledger'!$A1049)</f>
        <v/>
      </c>
    </row>
    <row r="1050">
      <c r="I1050">
        <f>IF(OR($A1050="",$B1050=""),"",IF(COUNTIFS($A$2:$A1050,$A1050,$B$2:$B1050,$B1050)=1,1,0))</f>
        <v/>
      </c>
      <c r="J1050">
        <f>IF($A1050="","",ROW())</f>
        <v/>
      </c>
      <c r="L1050">
        <f>IF('01_Warehouse_Ledger'!$A1050="","",'01_Warehouse_Ledger'!$A1050)</f>
        <v/>
      </c>
    </row>
    <row r="1051">
      <c r="I1051">
        <f>IF(OR($A1051="",$B1051=""),"",IF(COUNTIFS($A$2:$A1051,$A1051,$B$2:$B1051,$B1051)=1,1,0))</f>
        <v/>
      </c>
      <c r="J1051">
        <f>IF($A1051="","",ROW())</f>
        <v/>
      </c>
      <c r="L1051">
        <f>IF('01_Warehouse_Ledger'!$A1051="","",'01_Warehouse_Ledger'!$A1051)</f>
        <v/>
      </c>
    </row>
    <row r="1052">
      <c r="I1052">
        <f>IF(OR($A1052="",$B1052=""),"",IF(COUNTIFS($A$2:$A1052,$A1052,$B$2:$B1052,$B1052)=1,1,0))</f>
        <v/>
      </c>
      <c r="J1052">
        <f>IF($A1052="","",ROW())</f>
        <v/>
      </c>
      <c r="L1052">
        <f>IF('01_Warehouse_Ledger'!$A1052="","",'01_Warehouse_Ledger'!$A1052)</f>
        <v/>
      </c>
    </row>
    <row r="1053">
      <c r="I1053">
        <f>IF(OR($A1053="",$B1053=""),"",IF(COUNTIFS($A$2:$A1053,$A1053,$B$2:$B1053,$B1053)=1,1,0))</f>
        <v/>
      </c>
      <c r="J1053">
        <f>IF($A1053="","",ROW())</f>
        <v/>
      </c>
      <c r="L1053">
        <f>IF('01_Warehouse_Ledger'!$A1053="","",'01_Warehouse_Ledger'!$A1053)</f>
        <v/>
      </c>
    </row>
    <row r="1054">
      <c r="I1054">
        <f>IF(OR($A1054="",$B1054=""),"",IF(COUNTIFS($A$2:$A1054,$A1054,$B$2:$B1054,$B1054)=1,1,0))</f>
        <v/>
      </c>
      <c r="J1054">
        <f>IF($A1054="","",ROW())</f>
        <v/>
      </c>
      <c r="L1054">
        <f>IF('01_Warehouse_Ledger'!$A1054="","",'01_Warehouse_Ledger'!$A1054)</f>
        <v/>
      </c>
    </row>
    <row r="1055">
      <c r="I1055">
        <f>IF(OR($A1055="",$B1055=""),"",IF(COUNTIFS($A$2:$A1055,$A1055,$B$2:$B1055,$B1055)=1,1,0))</f>
        <v/>
      </c>
      <c r="J1055">
        <f>IF($A1055="","",ROW())</f>
        <v/>
      </c>
      <c r="L1055">
        <f>IF('01_Warehouse_Ledger'!$A1055="","",'01_Warehouse_Ledger'!$A1055)</f>
        <v/>
      </c>
    </row>
    <row r="1056">
      <c r="I1056">
        <f>IF(OR($A1056="",$B1056=""),"",IF(COUNTIFS($A$2:$A1056,$A1056,$B$2:$B1056,$B1056)=1,1,0))</f>
        <v/>
      </c>
      <c r="J1056">
        <f>IF($A1056="","",ROW())</f>
        <v/>
      </c>
      <c r="L1056">
        <f>IF('01_Warehouse_Ledger'!$A1056="","",'01_Warehouse_Ledger'!$A1056)</f>
        <v/>
      </c>
    </row>
    <row r="1057">
      <c r="I1057">
        <f>IF(OR($A1057="",$B1057=""),"",IF(COUNTIFS($A$2:$A1057,$A1057,$B$2:$B1057,$B1057)=1,1,0))</f>
        <v/>
      </c>
      <c r="J1057">
        <f>IF($A1057="","",ROW())</f>
        <v/>
      </c>
      <c r="L1057">
        <f>IF('01_Warehouse_Ledger'!$A1057="","",'01_Warehouse_Ledger'!$A1057)</f>
        <v/>
      </c>
    </row>
    <row r="1058">
      <c r="I1058">
        <f>IF(OR($A1058="",$B1058=""),"",IF(COUNTIFS($A$2:$A1058,$A1058,$B$2:$B1058,$B1058)=1,1,0))</f>
        <v/>
      </c>
      <c r="J1058">
        <f>IF($A1058="","",ROW())</f>
        <v/>
      </c>
      <c r="L1058">
        <f>IF('01_Warehouse_Ledger'!$A1058="","",'01_Warehouse_Ledger'!$A1058)</f>
        <v/>
      </c>
    </row>
    <row r="1059">
      <c r="I1059">
        <f>IF(OR($A1059="",$B1059=""),"",IF(COUNTIFS($A$2:$A1059,$A1059,$B$2:$B1059,$B1059)=1,1,0))</f>
        <v/>
      </c>
      <c r="J1059">
        <f>IF($A1059="","",ROW())</f>
        <v/>
      </c>
      <c r="L1059">
        <f>IF('01_Warehouse_Ledger'!$A1059="","",'01_Warehouse_Ledger'!$A1059)</f>
        <v/>
      </c>
    </row>
    <row r="1060">
      <c r="I1060">
        <f>IF(OR($A1060="",$B1060=""),"",IF(COUNTIFS($A$2:$A1060,$A1060,$B$2:$B1060,$B1060)=1,1,0))</f>
        <v/>
      </c>
      <c r="J1060">
        <f>IF($A1060="","",ROW())</f>
        <v/>
      </c>
      <c r="L1060">
        <f>IF('01_Warehouse_Ledger'!$A1060="","",'01_Warehouse_Ledger'!$A1060)</f>
        <v/>
      </c>
    </row>
    <row r="1061">
      <c r="I1061">
        <f>IF(OR($A1061="",$B1061=""),"",IF(COUNTIFS($A$2:$A1061,$A1061,$B$2:$B1061,$B1061)=1,1,0))</f>
        <v/>
      </c>
      <c r="J1061">
        <f>IF($A1061="","",ROW())</f>
        <v/>
      </c>
      <c r="L1061">
        <f>IF('01_Warehouse_Ledger'!$A1061="","",'01_Warehouse_Ledger'!$A1061)</f>
        <v/>
      </c>
    </row>
    <row r="1062">
      <c r="I1062">
        <f>IF(OR($A1062="",$B1062=""),"",IF(COUNTIFS($A$2:$A1062,$A1062,$B$2:$B1062,$B1062)=1,1,0))</f>
        <v/>
      </c>
      <c r="J1062">
        <f>IF($A1062="","",ROW())</f>
        <v/>
      </c>
      <c r="L1062">
        <f>IF('01_Warehouse_Ledger'!$A1062="","",'01_Warehouse_Ledger'!$A1062)</f>
        <v/>
      </c>
    </row>
    <row r="1063">
      <c r="I1063">
        <f>IF(OR($A1063="",$B1063=""),"",IF(COUNTIFS($A$2:$A1063,$A1063,$B$2:$B1063,$B1063)=1,1,0))</f>
        <v/>
      </c>
      <c r="J1063">
        <f>IF($A1063="","",ROW())</f>
        <v/>
      </c>
      <c r="L1063">
        <f>IF('01_Warehouse_Ledger'!$A1063="","",'01_Warehouse_Ledger'!$A1063)</f>
        <v/>
      </c>
    </row>
    <row r="1064">
      <c r="I1064">
        <f>IF(OR($A1064="",$B1064=""),"",IF(COUNTIFS($A$2:$A1064,$A1064,$B$2:$B1064,$B1064)=1,1,0))</f>
        <v/>
      </c>
      <c r="J1064">
        <f>IF($A1064="","",ROW())</f>
        <v/>
      </c>
      <c r="L1064">
        <f>IF('01_Warehouse_Ledger'!$A1064="","",'01_Warehouse_Ledger'!$A1064)</f>
        <v/>
      </c>
    </row>
    <row r="1065">
      <c r="I1065">
        <f>IF(OR($A1065="",$B1065=""),"",IF(COUNTIFS($A$2:$A1065,$A1065,$B$2:$B1065,$B1065)=1,1,0))</f>
        <v/>
      </c>
      <c r="J1065">
        <f>IF($A1065="","",ROW())</f>
        <v/>
      </c>
      <c r="L1065">
        <f>IF('01_Warehouse_Ledger'!$A1065="","",'01_Warehouse_Ledger'!$A1065)</f>
        <v/>
      </c>
    </row>
    <row r="1066">
      <c r="I1066">
        <f>IF(OR($A1066="",$B1066=""),"",IF(COUNTIFS($A$2:$A1066,$A1066,$B$2:$B1066,$B1066)=1,1,0))</f>
        <v/>
      </c>
      <c r="J1066">
        <f>IF($A1066="","",ROW())</f>
        <v/>
      </c>
      <c r="L1066">
        <f>IF('01_Warehouse_Ledger'!$A1066="","",'01_Warehouse_Ledger'!$A1066)</f>
        <v/>
      </c>
    </row>
    <row r="1067">
      <c r="I1067">
        <f>IF(OR($A1067="",$B1067=""),"",IF(COUNTIFS($A$2:$A1067,$A1067,$B$2:$B1067,$B1067)=1,1,0))</f>
        <v/>
      </c>
      <c r="J1067">
        <f>IF($A1067="","",ROW())</f>
        <v/>
      </c>
      <c r="L1067">
        <f>IF('01_Warehouse_Ledger'!$A1067="","",'01_Warehouse_Ledger'!$A1067)</f>
        <v/>
      </c>
    </row>
    <row r="1068">
      <c r="I1068">
        <f>IF(OR($A1068="",$B1068=""),"",IF(COUNTIFS($A$2:$A1068,$A1068,$B$2:$B1068,$B1068)=1,1,0))</f>
        <v/>
      </c>
      <c r="J1068">
        <f>IF($A1068="","",ROW())</f>
        <v/>
      </c>
      <c r="L1068">
        <f>IF('01_Warehouse_Ledger'!$A1068="","",'01_Warehouse_Ledger'!$A1068)</f>
        <v/>
      </c>
    </row>
    <row r="1069">
      <c r="I1069">
        <f>IF(OR($A1069="",$B1069=""),"",IF(COUNTIFS($A$2:$A1069,$A1069,$B$2:$B1069,$B1069)=1,1,0))</f>
        <v/>
      </c>
      <c r="J1069">
        <f>IF($A1069="","",ROW())</f>
        <v/>
      </c>
      <c r="L1069">
        <f>IF('01_Warehouse_Ledger'!$A1069="","",'01_Warehouse_Ledger'!$A1069)</f>
        <v/>
      </c>
    </row>
    <row r="1070">
      <c r="I1070">
        <f>IF(OR($A1070="",$B1070=""),"",IF(COUNTIFS($A$2:$A1070,$A1070,$B$2:$B1070,$B1070)=1,1,0))</f>
        <v/>
      </c>
      <c r="J1070">
        <f>IF($A1070="","",ROW())</f>
        <v/>
      </c>
      <c r="L1070">
        <f>IF('01_Warehouse_Ledger'!$A1070="","",'01_Warehouse_Ledger'!$A1070)</f>
        <v/>
      </c>
    </row>
    <row r="1071">
      <c r="I1071">
        <f>IF(OR($A1071="",$B1071=""),"",IF(COUNTIFS($A$2:$A1071,$A1071,$B$2:$B1071,$B1071)=1,1,0))</f>
        <v/>
      </c>
      <c r="J1071">
        <f>IF($A1071="","",ROW())</f>
        <v/>
      </c>
      <c r="L1071">
        <f>IF('01_Warehouse_Ledger'!$A1071="","",'01_Warehouse_Ledger'!$A1071)</f>
        <v/>
      </c>
    </row>
    <row r="1072">
      <c r="I1072">
        <f>IF(OR($A1072="",$B1072=""),"",IF(COUNTIFS($A$2:$A1072,$A1072,$B$2:$B1072,$B1072)=1,1,0))</f>
        <v/>
      </c>
      <c r="J1072">
        <f>IF($A1072="","",ROW())</f>
        <v/>
      </c>
      <c r="L1072">
        <f>IF('01_Warehouse_Ledger'!$A1072="","",'01_Warehouse_Ledger'!$A1072)</f>
        <v/>
      </c>
    </row>
    <row r="1073">
      <c r="I1073">
        <f>IF(OR($A1073="",$B1073=""),"",IF(COUNTIFS($A$2:$A1073,$A1073,$B$2:$B1073,$B1073)=1,1,0))</f>
        <v/>
      </c>
      <c r="J1073">
        <f>IF($A1073="","",ROW())</f>
        <v/>
      </c>
      <c r="L1073">
        <f>IF('01_Warehouse_Ledger'!$A1073="","",'01_Warehouse_Ledger'!$A1073)</f>
        <v/>
      </c>
    </row>
    <row r="1074">
      <c r="I1074">
        <f>IF(OR($A1074="",$B1074=""),"",IF(COUNTIFS($A$2:$A1074,$A1074,$B$2:$B1074,$B1074)=1,1,0))</f>
        <v/>
      </c>
      <c r="J1074">
        <f>IF($A1074="","",ROW())</f>
        <v/>
      </c>
      <c r="L1074">
        <f>IF('01_Warehouse_Ledger'!$A1074="","",'01_Warehouse_Ledger'!$A1074)</f>
        <v/>
      </c>
    </row>
    <row r="1075">
      <c r="I1075">
        <f>IF(OR($A1075="",$B1075=""),"",IF(COUNTIFS($A$2:$A1075,$A1075,$B$2:$B1075,$B1075)=1,1,0))</f>
        <v/>
      </c>
      <c r="J1075">
        <f>IF($A1075="","",ROW())</f>
        <v/>
      </c>
      <c r="L1075">
        <f>IF('01_Warehouse_Ledger'!$A1075="","",'01_Warehouse_Ledger'!$A1075)</f>
        <v/>
      </c>
    </row>
    <row r="1076">
      <c r="I1076">
        <f>IF(OR($A1076="",$B1076=""),"",IF(COUNTIFS($A$2:$A1076,$A1076,$B$2:$B1076,$B1076)=1,1,0))</f>
        <v/>
      </c>
      <c r="J1076">
        <f>IF($A1076="","",ROW())</f>
        <v/>
      </c>
      <c r="L1076">
        <f>IF('01_Warehouse_Ledger'!$A1076="","",'01_Warehouse_Ledger'!$A1076)</f>
        <v/>
      </c>
    </row>
    <row r="1077">
      <c r="I1077">
        <f>IF(OR($A1077="",$B1077=""),"",IF(COUNTIFS($A$2:$A1077,$A1077,$B$2:$B1077,$B1077)=1,1,0))</f>
        <v/>
      </c>
      <c r="J1077">
        <f>IF($A1077="","",ROW())</f>
        <v/>
      </c>
      <c r="L1077">
        <f>IF('01_Warehouse_Ledger'!$A1077="","",'01_Warehouse_Ledger'!$A1077)</f>
        <v/>
      </c>
    </row>
    <row r="1078">
      <c r="I1078">
        <f>IF(OR($A1078="",$B1078=""),"",IF(COUNTIFS($A$2:$A1078,$A1078,$B$2:$B1078,$B1078)=1,1,0))</f>
        <v/>
      </c>
      <c r="J1078">
        <f>IF($A1078="","",ROW())</f>
        <v/>
      </c>
      <c r="L1078">
        <f>IF('01_Warehouse_Ledger'!$A1078="","",'01_Warehouse_Ledger'!$A1078)</f>
        <v/>
      </c>
    </row>
    <row r="1079">
      <c r="I1079">
        <f>IF(OR($A1079="",$B1079=""),"",IF(COUNTIFS($A$2:$A1079,$A1079,$B$2:$B1079,$B1079)=1,1,0))</f>
        <v/>
      </c>
      <c r="J1079">
        <f>IF($A1079="","",ROW())</f>
        <v/>
      </c>
      <c r="L1079">
        <f>IF('01_Warehouse_Ledger'!$A1079="","",'01_Warehouse_Ledger'!$A1079)</f>
        <v/>
      </c>
    </row>
    <row r="1080">
      <c r="I1080">
        <f>IF(OR($A1080="",$B1080=""),"",IF(COUNTIFS($A$2:$A1080,$A1080,$B$2:$B1080,$B1080)=1,1,0))</f>
        <v/>
      </c>
      <c r="J1080">
        <f>IF($A1080="","",ROW())</f>
        <v/>
      </c>
      <c r="L1080">
        <f>IF('01_Warehouse_Ledger'!$A1080="","",'01_Warehouse_Ledger'!$A1080)</f>
        <v/>
      </c>
    </row>
    <row r="1081">
      <c r="I1081">
        <f>IF(OR($A1081="",$B1081=""),"",IF(COUNTIFS($A$2:$A1081,$A1081,$B$2:$B1081,$B1081)=1,1,0))</f>
        <v/>
      </c>
      <c r="J1081">
        <f>IF($A1081="","",ROW())</f>
        <v/>
      </c>
      <c r="L1081">
        <f>IF('01_Warehouse_Ledger'!$A1081="","",'01_Warehouse_Ledger'!$A1081)</f>
        <v/>
      </c>
    </row>
    <row r="1082">
      <c r="I1082">
        <f>IF(OR($A1082="",$B1082=""),"",IF(COUNTIFS($A$2:$A1082,$A1082,$B$2:$B1082,$B1082)=1,1,0))</f>
        <v/>
      </c>
      <c r="J1082">
        <f>IF($A1082="","",ROW())</f>
        <v/>
      </c>
      <c r="L1082">
        <f>IF('01_Warehouse_Ledger'!$A1082="","",'01_Warehouse_Ledger'!$A1082)</f>
        <v/>
      </c>
    </row>
    <row r="1083">
      <c r="I1083">
        <f>IF(OR($A1083="",$B1083=""),"",IF(COUNTIFS($A$2:$A1083,$A1083,$B$2:$B1083,$B1083)=1,1,0))</f>
        <v/>
      </c>
      <c r="J1083">
        <f>IF($A1083="","",ROW())</f>
        <v/>
      </c>
      <c r="L1083">
        <f>IF('01_Warehouse_Ledger'!$A1083="","",'01_Warehouse_Ledger'!$A1083)</f>
        <v/>
      </c>
    </row>
    <row r="1084">
      <c r="I1084">
        <f>IF(OR($A1084="",$B1084=""),"",IF(COUNTIFS($A$2:$A1084,$A1084,$B$2:$B1084,$B1084)=1,1,0))</f>
        <v/>
      </c>
      <c r="J1084">
        <f>IF($A1084="","",ROW())</f>
        <v/>
      </c>
      <c r="L1084">
        <f>IF('01_Warehouse_Ledger'!$A1084="","",'01_Warehouse_Ledger'!$A1084)</f>
        <v/>
      </c>
    </row>
    <row r="1085">
      <c r="I1085">
        <f>IF(OR($A1085="",$B1085=""),"",IF(COUNTIFS($A$2:$A1085,$A1085,$B$2:$B1085,$B1085)=1,1,0))</f>
        <v/>
      </c>
      <c r="J1085">
        <f>IF($A1085="","",ROW())</f>
        <v/>
      </c>
      <c r="L1085">
        <f>IF('01_Warehouse_Ledger'!$A1085="","",'01_Warehouse_Ledger'!$A1085)</f>
        <v/>
      </c>
    </row>
    <row r="1086">
      <c r="I1086">
        <f>IF(OR($A1086="",$B1086=""),"",IF(COUNTIFS($A$2:$A1086,$A1086,$B$2:$B1086,$B1086)=1,1,0))</f>
        <v/>
      </c>
      <c r="J1086">
        <f>IF($A1086="","",ROW())</f>
        <v/>
      </c>
      <c r="L1086">
        <f>IF('01_Warehouse_Ledger'!$A1086="","",'01_Warehouse_Ledger'!$A1086)</f>
        <v/>
      </c>
    </row>
    <row r="1087">
      <c r="I1087">
        <f>IF(OR($A1087="",$B1087=""),"",IF(COUNTIFS($A$2:$A1087,$A1087,$B$2:$B1087,$B1087)=1,1,0))</f>
        <v/>
      </c>
      <c r="J1087">
        <f>IF($A1087="","",ROW())</f>
        <v/>
      </c>
      <c r="L1087">
        <f>IF('01_Warehouse_Ledger'!$A1087="","",'01_Warehouse_Ledger'!$A1087)</f>
        <v/>
      </c>
    </row>
    <row r="1088">
      <c r="I1088">
        <f>IF(OR($A1088="",$B1088=""),"",IF(COUNTIFS($A$2:$A1088,$A1088,$B$2:$B1088,$B1088)=1,1,0))</f>
        <v/>
      </c>
      <c r="J1088">
        <f>IF($A1088="","",ROW())</f>
        <v/>
      </c>
      <c r="L1088">
        <f>IF('01_Warehouse_Ledger'!$A1088="","",'01_Warehouse_Ledger'!$A1088)</f>
        <v/>
      </c>
    </row>
    <row r="1089">
      <c r="I1089">
        <f>IF(OR($A1089="",$B1089=""),"",IF(COUNTIFS($A$2:$A1089,$A1089,$B$2:$B1089,$B1089)=1,1,0))</f>
        <v/>
      </c>
      <c r="J1089">
        <f>IF($A1089="","",ROW())</f>
        <v/>
      </c>
      <c r="L1089">
        <f>IF('01_Warehouse_Ledger'!$A1089="","",'01_Warehouse_Ledger'!$A1089)</f>
        <v/>
      </c>
    </row>
    <row r="1090">
      <c r="I1090">
        <f>IF(OR($A1090="",$B1090=""),"",IF(COUNTIFS($A$2:$A1090,$A1090,$B$2:$B1090,$B1090)=1,1,0))</f>
        <v/>
      </c>
      <c r="J1090">
        <f>IF($A1090="","",ROW())</f>
        <v/>
      </c>
      <c r="L1090">
        <f>IF('01_Warehouse_Ledger'!$A1090="","",'01_Warehouse_Ledger'!$A1090)</f>
        <v/>
      </c>
    </row>
    <row r="1091">
      <c r="I1091">
        <f>IF(OR($A1091="",$B1091=""),"",IF(COUNTIFS($A$2:$A1091,$A1091,$B$2:$B1091,$B1091)=1,1,0))</f>
        <v/>
      </c>
      <c r="J1091">
        <f>IF($A1091="","",ROW())</f>
        <v/>
      </c>
      <c r="L1091">
        <f>IF('01_Warehouse_Ledger'!$A1091="","",'01_Warehouse_Ledger'!$A1091)</f>
        <v/>
      </c>
    </row>
    <row r="1092">
      <c r="I1092">
        <f>IF(OR($A1092="",$B1092=""),"",IF(COUNTIFS($A$2:$A1092,$A1092,$B$2:$B1092,$B1092)=1,1,0))</f>
        <v/>
      </c>
      <c r="J1092">
        <f>IF($A1092="","",ROW())</f>
        <v/>
      </c>
      <c r="L1092">
        <f>IF('01_Warehouse_Ledger'!$A1092="","",'01_Warehouse_Ledger'!$A1092)</f>
        <v/>
      </c>
    </row>
    <row r="1093">
      <c r="I1093">
        <f>IF(OR($A1093="",$B1093=""),"",IF(COUNTIFS($A$2:$A1093,$A1093,$B$2:$B1093,$B1093)=1,1,0))</f>
        <v/>
      </c>
      <c r="J1093">
        <f>IF($A1093="","",ROW())</f>
        <v/>
      </c>
      <c r="L1093">
        <f>IF('01_Warehouse_Ledger'!$A1093="","",'01_Warehouse_Ledger'!$A1093)</f>
        <v/>
      </c>
    </row>
    <row r="1094">
      <c r="I1094">
        <f>IF(OR($A1094="",$B1094=""),"",IF(COUNTIFS($A$2:$A1094,$A1094,$B$2:$B1094,$B1094)=1,1,0))</f>
        <v/>
      </c>
      <c r="J1094">
        <f>IF($A1094="","",ROW())</f>
        <v/>
      </c>
      <c r="L1094">
        <f>IF('01_Warehouse_Ledger'!$A1094="","",'01_Warehouse_Ledger'!$A1094)</f>
        <v/>
      </c>
    </row>
    <row r="1095">
      <c r="I1095">
        <f>IF(OR($A1095="",$B1095=""),"",IF(COUNTIFS($A$2:$A1095,$A1095,$B$2:$B1095,$B1095)=1,1,0))</f>
        <v/>
      </c>
      <c r="J1095">
        <f>IF($A1095="","",ROW())</f>
        <v/>
      </c>
      <c r="L1095">
        <f>IF('01_Warehouse_Ledger'!$A1095="","",'01_Warehouse_Ledger'!$A1095)</f>
        <v/>
      </c>
    </row>
    <row r="1096">
      <c r="I1096">
        <f>IF(OR($A1096="",$B1096=""),"",IF(COUNTIFS($A$2:$A1096,$A1096,$B$2:$B1096,$B1096)=1,1,0))</f>
        <v/>
      </c>
      <c r="J1096">
        <f>IF($A1096="","",ROW())</f>
        <v/>
      </c>
      <c r="L1096">
        <f>IF('01_Warehouse_Ledger'!$A1096="","",'01_Warehouse_Ledger'!$A1096)</f>
        <v/>
      </c>
    </row>
    <row r="1097">
      <c r="I1097">
        <f>IF(OR($A1097="",$B1097=""),"",IF(COUNTIFS($A$2:$A1097,$A1097,$B$2:$B1097,$B1097)=1,1,0))</f>
        <v/>
      </c>
      <c r="J1097">
        <f>IF($A1097="","",ROW())</f>
        <v/>
      </c>
      <c r="L1097">
        <f>IF('01_Warehouse_Ledger'!$A1097="","",'01_Warehouse_Ledger'!$A1097)</f>
        <v/>
      </c>
    </row>
    <row r="1098">
      <c r="I1098">
        <f>IF(OR($A1098="",$B1098=""),"",IF(COUNTIFS($A$2:$A1098,$A1098,$B$2:$B1098,$B1098)=1,1,0))</f>
        <v/>
      </c>
      <c r="J1098">
        <f>IF($A1098="","",ROW())</f>
        <v/>
      </c>
      <c r="L1098">
        <f>IF('01_Warehouse_Ledger'!$A1098="","",'01_Warehouse_Ledger'!$A1098)</f>
        <v/>
      </c>
    </row>
    <row r="1099">
      <c r="I1099">
        <f>IF(OR($A1099="",$B1099=""),"",IF(COUNTIFS($A$2:$A1099,$A1099,$B$2:$B1099,$B1099)=1,1,0))</f>
        <v/>
      </c>
      <c r="J1099">
        <f>IF($A1099="","",ROW())</f>
        <v/>
      </c>
      <c r="L1099">
        <f>IF('01_Warehouse_Ledger'!$A1099="","",'01_Warehouse_Ledger'!$A1099)</f>
        <v/>
      </c>
    </row>
    <row r="1100">
      <c r="I1100">
        <f>IF(OR($A1100="",$B1100=""),"",IF(COUNTIFS($A$2:$A1100,$A1100,$B$2:$B1100,$B1100)=1,1,0))</f>
        <v/>
      </c>
      <c r="J1100">
        <f>IF($A1100="","",ROW())</f>
        <v/>
      </c>
      <c r="L1100">
        <f>IF('01_Warehouse_Ledger'!$A1100="","",'01_Warehouse_Ledger'!$A1100)</f>
        <v/>
      </c>
    </row>
    <row r="1101">
      <c r="I1101">
        <f>IF(OR($A1101="",$B1101=""),"",IF(COUNTIFS($A$2:$A1101,$A1101,$B$2:$B1101,$B1101)=1,1,0))</f>
        <v/>
      </c>
      <c r="J1101">
        <f>IF($A1101="","",ROW())</f>
        <v/>
      </c>
      <c r="L1101">
        <f>IF('01_Warehouse_Ledger'!$A1101="","",'01_Warehouse_Ledger'!$A1101)</f>
        <v/>
      </c>
    </row>
    <row r="1102">
      <c r="I1102">
        <f>IF(OR($A1102="",$B1102=""),"",IF(COUNTIFS($A$2:$A1102,$A1102,$B$2:$B1102,$B1102)=1,1,0))</f>
        <v/>
      </c>
      <c r="J1102">
        <f>IF($A1102="","",ROW())</f>
        <v/>
      </c>
      <c r="L1102">
        <f>IF('01_Warehouse_Ledger'!$A1102="","",'01_Warehouse_Ledger'!$A1102)</f>
        <v/>
      </c>
    </row>
    <row r="1103">
      <c r="I1103">
        <f>IF(OR($A1103="",$B1103=""),"",IF(COUNTIFS($A$2:$A1103,$A1103,$B$2:$B1103,$B1103)=1,1,0))</f>
        <v/>
      </c>
      <c r="J1103">
        <f>IF($A1103="","",ROW())</f>
        <v/>
      </c>
      <c r="L1103">
        <f>IF('01_Warehouse_Ledger'!$A1103="","",'01_Warehouse_Ledger'!$A1103)</f>
        <v/>
      </c>
    </row>
    <row r="1104">
      <c r="I1104">
        <f>IF(OR($A1104="",$B1104=""),"",IF(COUNTIFS($A$2:$A1104,$A1104,$B$2:$B1104,$B1104)=1,1,0))</f>
        <v/>
      </c>
      <c r="J1104">
        <f>IF($A1104="","",ROW())</f>
        <v/>
      </c>
      <c r="L1104">
        <f>IF('01_Warehouse_Ledger'!$A1104="","",'01_Warehouse_Ledger'!$A1104)</f>
        <v/>
      </c>
    </row>
    <row r="1105">
      <c r="I1105">
        <f>IF(OR($A1105="",$B1105=""),"",IF(COUNTIFS($A$2:$A1105,$A1105,$B$2:$B1105,$B1105)=1,1,0))</f>
        <v/>
      </c>
      <c r="J1105">
        <f>IF($A1105="","",ROW())</f>
        <v/>
      </c>
      <c r="L1105">
        <f>IF('01_Warehouse_Ledger'!$A1105="","",'01_Warehouse_Ledger'!$A1105)</f>
        <v/>
      </c>
    </row>
    <row r="1106">
      <c r="I1106">
        <f>IF(OR($A1106="",$B1106=""),"",IF(COUNTIFS($A$2:$A1106,$A1106,$B$2:$B1106,$B1106)=1,1,0))</f>
        <v/>
      </c>
      <c r="J1106">
        <f>IF($A1106="","",ROW())</f>
        <v/>
      </c>
      <c r="L1106">
        <f>IF('01_Warehouse_Ledger'!$A1106="","",'01_Warehouse_Ledger'!$A1106)</f>
        <v/>
      </c>
    </row>
    <row r="1107">
      <c r="I1107">
        <f>IF(OR($A1107="",$B1107=""),"",IF(COUNTIFS($A$2:$A1107,$A1107,$B$2:$B1107,$B1107)=1,1,0))</f>
        <v/>
      </c>
      <c r="J1107">
        <f>IF($A1107="","",ROW())</f>
        <v/>
      </c>
      <c r="L1107">
        <f>IF('01_Warehouse_Ledger'!$A1107="","",'01_Warehouse_Ledger'!$A1107)</f>
        <v/>
      </c>
    </row>
    <row r="1108">
      <c r="I1108">
        <f>IF(OR($A1108="",$B1108=""),"",IF(COUNTIFS($A$2:$A1108,$A1108,$B$2:$B1108,$B1108)=1,1,0))</f>
        <v/>
      </c>
      <c r="J1108">
        <f>IF($A1108="","",ROW())</f>
        <v/>
      </c>
      <c r="L1108">
        <f>IF('01_Warehouse_Ledger'!$A1108="","",'01_Warehouse_Ledger'!$A1108)</f>
        <v/>
      </c>
    </row>
    <row r="1109">
      <c r="I1109">
        <f>IF(OR($A1109="",$B1109=""),"",IF(COUNTIFS($A$2:$A1109,$A1109,$B$2:$B1109,$B1109)=1,1,0))</f>
        <v/>
      </c>
      <c r="J1109">
        <f>IF($A1109="","",ROW())</f>
        <v/>
      </c>
      <c r="L1109">
        <f>IF('01_Warehouse_Ledger'!$A1109="","",'01_Warehouse_Ledger'!$A1109)</f>
        <v/>
      </c>
    </row>
    <row r="1110">
      <c r="I1110">
        <f>IF(OR($A1110="",$B1110=""),"",IF(COUNTIFS($A$2:$A1110,$A1110,$B$2:$B1110,$B1110)=1,1,0))</f>
        <v/>
      </c>
      <c r="J1110">
        <f>IF($A1110="","",ROW())</f>
        <v/>
      </c>
      <c r="L1110">
        <f>IF('01_Warehouse_Ledger'!$A1110="","",'01_Warehouse_Ledger'!$A1110)</f>
        <v/>
      </c>
    </row>
    <row r="1111">
      <c r="I1111">
        <f>IF(OR($A1111="",$B1111=""),"",IF(COUNTIFS($A$2:$A1111,$A1111,$B$2:$B1111,$B1111)=1,1,0))</f>
        <v/>
      </c>
      <c r="J1111">
        <f>IF($A1111="","",ROW())</f>
        <v/>
      </c>
      <c r="L1111">
        <f>IF('01_Warehouse_Ledger'!$A1111="","",'01_Warehouse_Ledger'!$A1111)</f>
        <v/>
      </c>
    </row>
    <row r="1112">
      <c r="I1112">
        <f>IF(OR($A1112="",$B1112=""),"",IF(COUNTIFS($A$2:$A1112,$A1112,$B$2:$B1112,$B1112)=1,1,0))</f>
        <v/>
      </c>
      <c r="J1112">
        <f>IF($A1112="","",ROW())</f>
        <v/>
      </c>
      <c r="L1112">
        <f>IF('01_Warehouse_Ledger'!$A1112="","",'01_Warehouse_Ledger'!$A1112)</f>
        <v/>
      </c>
    </row>
    <row r="1113">
      <c r="I1113">
        <f>IF(OR($A1113="",$B1113=""),"",IF(COUNTIFS($A$2:$A1113,$A1113,$B$2:$B1113,$B1113)=1,1,0))</f>
        <v/>
      </c>
      <c r="J1113">
        <f>IF($A1113="","",ROW())</f>
        <v/>
      </c>
      <c r="L1113">
        <f>IF('01_Warehouse_Ledger'!$A1113="","",'01_Warehouse_Ledger'!$A1113)</f>
        <v/>
      </c>
    </row>
    <row r="1114">
      <c r="I1114">
        <f>IF(OR($A1114="",$B1114=""),"",IF(COUNTIFS($A$2:$A1114,$A1114,$B$2:$B1114,$B1114)=1,1,0))</f>
        <v/>
      </c>
      <c r="J1114">
        <f>IF($A1114="","",ROW())</f>
        <v/>
      </c>
      <c r="L1114">
        <f>IF('01_Warehouse_Ledger'!$A1114="","",'01_Warehouse_Ledger'!$A1114)</f>
        <v/>
      </c>
    </row>
    <row r="1115">
      <c r="I1115">
        <f>IF(OR($A1115="",$B1115=""),"",IF(COUNTIFS($A$2:$A1115,$A1115,$B$2:$B1115,$B1115)=1,1,0))</f>
        <v/>
      </c>
      <c r="J1115">
        <f>IF($A1115="","",ROW())</f>
        <v/>
      </c>
      <c r="L1115">
        <f>IF('01_Warehouse_Ledger'!$A1115="","",'01_Warehouse_Ledger'!$A1115)</f>
        <v/>
      </c>
    </row>
    <row r="1116">
      <c r="I1116">
        <f>IF(OR($A1116="",$B1116=""),"",IF(COUNTIFS($A$2:$A1116,$A1116,$B$2:$B1116,$B1116)=1,1,0))</f>
        <v/>
      </c>
      <c r="J1116">
        <f>IF($A1116="","",ROW())</f>
        <v/>
      </c>
      <c r="L1116">
        <f>IF('01_Warehouse_Ledger'!$A1116="","",'01_Warehouse_Ledger'!$A1116)</f>
        <v/>
      </c>
    </row>
    <row r="1117">
      <c r="I1117">
        <f>IF(OR($A1117="",$B1117=""),"",IF(COUNTIFS($A$2:$A1117,$A1117,$B$2:$B1117,$B1117)=1,1,0))</f>
        <v/>
      </c>
      <c r="J1117">
        <f>IF($A1117="","",ROW())</f>
        <v/>
      </c>
      <c r="L1117">
        <f>IF('01_Warehouse_Ledger'!$A1117="","",'01_Warehouse_Ledger'!$A1117)</f>
        <v/>
      </c>
    </row>
    <row r="1118">
      <c r="I1118">
        <f>IF(OR($A1118="",$B1118=""),"",IF(COUNTIFS($A$2:$A1118,$A1118,$B$2:$B1118,$B1118)=1,1,0))</f>
        <v/>
      </c>
      <c r="J1118">
        <f>IF($A1118="","",ROW())</f>
        <v/>
      </c>
      <c r="L1118">
        <f>IF('01_Warehouse_Ledger'!$A1118="","",'01_Warehouse_Ledger'!$A1118)</f>
        <v/>
      </c>
    </row>
    <row r="1119">
      <c r="I1119">
        <f>IF(OR($A1119="",$B1119=""),"",IF(COUNTIFS($A$2:$A1119,$A1119,$B$2:$B1119,$B1119)=1,1,0))</f>
        <v/>
      </c>
      <c r="J1119">
        <f>IF($A1119="","",ROW())</f>
        <v/>
      </c>
      <c r="L1119">
        <f>IF('01_Warehouse_Ledger'!$A1119="","",'01_Warehouse_Ledger'!$A1119)</f>
        <v/>
      </c>
    </row>
    <row r="1120">
      <c r="I1120">
        <f>IF(OR($A1120="",$B1120=""),"",IF(COUNTIFS($A$2:$A1120,$A1120,$B$2:$B1120,$B1120)=1,1,0))</f>
        <v/>
      </c>
      <c r="J1120">
        <f>IF($A1120="","",ROW())</f>
        <v/>
      </c>
      <c r="L1120">
        <f>IF('01_Warehouse_Ledger'!$A1120="","",'01_Warehouse_Ledger'!$A1120)</f>
        <v/>
      </c>
    </row>
    <row r="1121">
      <c r="I1121">
        <f>IF(OR($A1121="",$B1121=""),"",IF(COUNTIFS($A$2:$A1121,$A1121,$B$2:$B1121,$B1121)=1,1,0))</f>
        <v/>
      </c>
      <c r="J1121">
        <f>IF($A1121="","",ROW())</f>
        <v/>
      </c>
      <c r="L1121">
        <f>IF('01_Warehouse_Ledger'!$A1121="","",'01_Warehouse_Ledger'!$A1121)</f>
        <v/>
      </c>
    </row>
    <row r="1122">
      <c r="I1122">
        <f>IF(OR($A1122="",$B1122=""),"",IF(COUNTIFS($A$2:$A1122,$A1122,$B$2:$B1122,$B1122)=1,1,0))</f>
        <v/>
      </c>
      <c r="J1122">
        <f>IF($A1122="","",ROW())</f>
        <v/>
      </c>
      <c r="L1122">
        <f>IF('01_Warehouse_Ledger'!$A1122="","",'01_Warehouse_Ledger'!$A1122)</f>
        <v/>
      </c>
    </row>
    <row r="1123">
      <c r="I1123">
        <f>IF(OR($A1123="",$B1123=""),"",IF(COUNTIFS($A$2:$A1123,$A1123,$B$2:$B1123,$B1123)=1,1,0))</f>
        <v/>
      </c>
      <c r="J1123">
        <f>IF($A1123="","",ROW())</f>
        <v/>
      </c>
      <c r="L1123">
        <f>IF('01_Warehouse_Ledger'!$A1123="","",'01_Warehouse_Ledger'!$A1123)</f>
        <v/>
      </c>
    </row>
    <row r="1124">
      <c r="I1124">
        <f>IF(OR($A1124="",$B1124=""),"",IF(COUNTIFS($A$2:$A1124,$A1124,$B$2:$B1124,$B1124)=1,1,0))</f>
        <v/>
      </c>
      <c r="J1124">
        <f>IF($A1124="","",ROW())</f>
        <v/>
      </c>
      <c r="L1124">
        <f>IF('01_Warehouse_Ledger'!$A1124="","",'01_Warehouse_Ledger'!$A1124)</f>
        <v/>
      </c>
    </row>
    <row r="1125">
      <c r="I1125">
        <f>IF(OR($A1125="",$B1125=""),"",IF(COUNTIFS($A$2:$A1125,$A1125,$B$2:$B1125,$B1125)=1,1,0))</f>
        <v/>
      </c>
      <c r="J1125">
        <f>IF($A1125="","",ROW())</f>
        <v/>
      </c>
      <c r="L1125">
        <f>IF('01_Warehouse_Ledger'!$A1125="","",'01_Warehouse_Ledger'!$A1125)</f>
        <v/>
      </c>
    </row>
    <row r="1126">
      <c r="I1126">
        <f>IF(OR($A1126="",$B1126=""),"",IF(COUNTIFS($A$2:$A1126,$A1126,$B$2:$B1126,$B1126)=1,1,0))</f>
        <v/>
      </c>
      <c r="J1126">
        <f>IF($A1126="","",ROW())</f>
        <v/>
      </c>
      <c r="L1126">
        <f>IF('01_Warehouse_Ledger'!$A1126="","",'01_Warehouse_Ledger'!$A1126)</f>
        <v/>
      </c>
    </row>
    <row r="1127">
      <c r="I1127">
        <f>IF(OR($A1127="",$B1127=""),"",IF(COUNTIFS($A$2:$A1127,$A1127,$B$2:$B1127,$B1127)=1,1,0))</f>
        <v/>
      </c>
      <c r="J1127">
        <f>IF($A1127="","",ROW())</f>
        <v/>
      </c>
      <c r="L1127">
        <f>IF('01_Warehouse_Ledger'!$A1127="","",'01_Warehouse_Ledger'!$A1127)</f>
        <v/>
      </c>
    </row>
    <row r="1128">
      <c r="I1128">
        <f>IF(OR($A1128="",$B1128=""),"",IF(COUNTIFS($A$2:$A1128,$A1128,$B$2:$B1128,$B1128)=1,1,0))</f>
        <v/>
      </c>
      <c r="J1128">
        <f>IF($A1128="","",ROW())</f>
        <v/>
      </c>
      <c r="L1128">
        <f>IF('01_Warehouse_Ledger'!$A1128="","",'01_Warehouse_Ledger'!$A1128)</f>
        <v/>
      </c>
    </row>
    <row r="1129">
      <c r="I1129">
        <f>IF(OR($A1129="",$B1129=""),"",IF(COUNTIFS($A$2:$A1129,$A1129,$B$2:$B1129,$B1129)=1,1,0))</f>
        <v/>
      </c>
      <c r="J1129">
        <f>IF($A1129="","",ROW())</f>
        <v/>
      </c>
      <c r="L1129">
        <f>IF('01_Warehouse_Ledger'!$A1129="","",'01_Warehouse_Ledger'!$A1129)</f>
        <v/>
      </c>
    </row>
    <row r="1130">
      <c r="I1130">
        <f>IF(OR($A1130="",$B1130=""),"",IF(COUNTIFS($A$2:$A1130,$A1130,$B$2:$B1130,$B1130)=1,1,0))</f>
        <v/>
      </c>
      <c r="J1130">
        <f>IF($A1130="","",ROW())</f>
        <v/>
      </c>
      <c r="L1130">
        <f>IF('01_Warehouse_Ledger'!$A1130="","",'01_Warehouse_Ledger'!$A1130)</f>
        <v/>
      </c>
    </row>
    <row r="1131">
      <c r="I1131">
        <f>IF(OR($A1131="",$B1131=""),"",IF(COUNTIFS($A$2:$A1131,$A1131,$B$2:$B1131,$B1131)=1,1,0))</f>
        <v/>
      </c>
      <c r="J1131">
        <f>IF($A1131="","",ROW())</f>
        <v/>
      </c>
      <c r="L1131">
        <f>IF('01_Warehouse_Ledger'!$A1131="","",'01_Warehouse_Ledger'!$A1131)</f>
        <v/>
      </c>
    </row>
    <row r="1132">
      <c r="I1132">
        <f>IF(OR($A1132="",$B1132=""),"",IF(COUNTIFS($A$2:$A1132,$A1132,$B$2:$B1132,$B1132)=1,1,0))</f>
        <v/>
      </c>
      <c r="J1132">
        <f>IF($A1132="","",ROW())</f>
        <v/>
      </c>
      <c r="L1132">
        <f>IF('01_Warehouse_Ledger'!$A1132="","",'01_Warehouse_Ledger'!$A1132)</f>
        <v/>
      </c>
    </row>
    <row r="1133">
      <c r="I1133">
        <f>IF(OR($A1133="",$B1133=""),"",IF(COUNTIFS($A$2:$A1133,$A1133,$B$2:$B1133,$B1133)=1,1,0))</f>
        <v/>
      </c>
      <c r="J1133">
        <f>IF($A1133="","",ROW())</f>
        <v/>
      </c>
      <c r="L1133">
        <f>IF('01_Warehouse_Ledger'!$A1133="","",'01_Warehouse_Ledger'!$A1133)</f>
        <v/>
      </c>
    </row>
    <row r="1134">
      <c r="I1134">
        <f>IF(OR($A1134="",$B1134=""),"",IF(COUNTIFS($A$2:$A1134,$A1134,$B$2:$B1134,$B1134)=1,1,0))</f>
        <v/>
      </c>
      <c r="J1134">
        <f>IF($A1134="","",ROW())</f>
        <v/>
      </c>
      <c r="L1134">
        <f>IF('01_Warehouse_Ledger'!$A1134="","",'01_Warehouse_Ledger'!$A1134)</f>
        <v/>
      </c>
    </row>
    <row r="1135">
      <c r="I1135">
        <f>IF(OR($A1135="",$B1135=""),"",IF(COUNTIFS($A$2:$A1135,$A1135,$B$2:$B1135,$B1135)=1,1,0))</f>
        <v/>
      </c>
      <c r="J1135">
        <f>IF($A1135="","",ROW())</f>
        <v/>
      </c>
      <c r="L1135">
        <f>IF('01_Warehouse_Ledger'!$A1135="","",'01_Warehouse_Ledger'!$A1135)</f>
        <v/>
      </c>
    </row>
    <row r="1136">
      <c r="I1136">
        <f>IF(OR($A1136="",$B1136=""),"",IF(COUNTIFS($A$2:$A1136,$A1136,$B$2:$B1136,$B1136)=1,1,0))</f>
        <v/>
      </c>
      <c r="J1136">
        <f>IF($A1136="","",ROW())</f>
        <v/>
      </c>
      <c r="L1136">
        <f>IF('01_Warehouse_Ledger'!$A1136="","",'01_Warehouse_Ledger'!$A1136)</f>
        <v/>
      </c>
    </row>
    <row r="1137">
      <c r="I1137">
        <f>IF(OR($A1137="",$B1137=""),"",IF(COUNTIFS($A$2:$A1137,$A1137,$B$2:$B1137,$B1137)=1,1,0))</f>
        <v/>
      </c>
      <c r="J1137">
        <f>IF($A1137="","",ROW())</f>
        <v/>
      </c>
      <c r="L1137">
        <f>IF('01_Warehouse_Ledger'!$A1137="","",'01_Warehouse_Ledger'!$A1137)</f>
        <v/>
      </c>
    </row>
    <row r="1138">
      <c r="I1138">
        <f>IF(OR($A1138="",$B1138=""),"",IF(COUNTIFS($A$2:$A1138,$A1138,$B$2:$B1138,$B1138)=1,1,0))</f>
        <v/>
      </c>
      <c r="J1138">
        <f>IF($A1138="","",ROW())</f>
        <v/>
      </c>
      <c r="L1138">
        <f>IF('01_Warehouse_Ledger'!$A1138="","",'01_Warehouse_Ledger'!$A1138)</f>
        <v/>
      </c>
    </row>
    <row r="1139">
      <c r="I1139">
        <f>IF(OR($A1139="",$B1139=""),"",IF(COUNTIFS($A$2:$A1139,$A1139,$B$2:$B1139,$B1139)=1,1,0))</f>
        <v/>
      </c>
      <c r="J1139">
        <f>IF($A1139="","",ROW())</f>
        <v/>
      </c>
      <c r="L1139">
        <f>IF('01_Warehouse_Ledger'!$A1139="","",'01_Warehouse_Ledger'!$A1139)</f>
        <v/>
      </c>
    </row>
    <row r="1140">
      <c r="I1140">
        <f>IF(OR($A1140="",$B1140=""),"",IF(COUNTIFS($A$2:$A1140,$A1140,$B$2:$B1140,$B1140)=1,1,0))</f>
        <v/>
      </c>
      <c r="J1140">
        <f>IF($A1140="","",ROW())</f>
        <v/>
      </c>
      <c r="L1140">
        <f>IF('01_Warehouse_Ledger'!$A1140="","",'01_Warehouse_Ledger'!$A1140)</f>
        <v/>
      </c>
    </row>
    <row r="1141">
      <c r="I1141">
        <f>IF(OR($A1141="",$B1141=""),"",IF(COUNTIFS($A$2:$A1141,$A1141,$B$2:$B1141,$B1141)=1,1,0))</f>
        <v/>
      </c>
      <c r="J1141">
        <f>IF($A1141="","",ROW())</f>
        <v/>
      </c>
      <c r="L1141">
        <f>IF('01_Warehouse_Ledger'!$A1141="","",'01_Warehouse_Ledger'!$A1141)</f>
        <v/>
      </c>
    </row>
    <row r="1142">
      <c r="I1142">
        <f>IF(OR($A1142="",$B1142=""),"",IF(COUNTIFS($A$2:$A1142,$A1142,$B$2:$B1142,$B1142)=1,1,0))</f>
        <v/>
      </c>
      <c r="J1142">
        <f>IF($A1142="","",ROW())</f>
        <v/>
      </c>
      <c r="L1142">
        <f>IF('01_Warehouse_Ledger'!$A1142="","",'01_Warehouse_Ledger'!$A1142)</f>
        <v/>
      </c>
    </row>
    <row r="1143">
      <c r="I1143">
        <f>IF(OR($A1143="",$B1143=""),"",IF(COUNTIFS($A$2:$A1143,$A1143,$B$2:$B1143,$B1143)=1,1,0))</f>
        <v/>
      </c>
      <c r="J1143">
        <f>IF($A1143="","",ROW())</f>
        <v/>
      </c>
      <c r="L1143">
        <f>IF('01_Warehouse_Ledger'!$A1143="","",'01_Warehouse_Ledger'!$A1143)</f>
        <v/>
      </c>
    </row>
    <row r="1144">
      <c r="I1144">
        <f>IF(OR($A1144="",$B1144=""),"",IF(COUNTIFS($A$2:$A1144,$A1144,$B$2:$B1144,$B1144)=1,1,0))</f>
        <v/>
      </c>
      <c r="J1144">
        <f>IF($A1144="","",ROW())</f>
        <v/>
      </c>
      <c r="L1144">
        <f>IF('01_Warehouse_Ledger'!$A1144="","",'01_Warehouse_Ledger'!$A1144)</f>
        <v/>
      </c>
    </row>
    <row r="1145">
      <c r="I1145">
        <f>IF(OR($A1145="",$B1145=""),"",IF(COUNTIFS($A$2:$A1145,$A1145,$B$2:$B1145,$B1145)=1,1,0))</f>
        <v/>
      </c>
      <c r="J1145">
        <f>IF($A1145="","",ROW())</f>
        <v/>
      </c>
      <c r="L1145">
        <f>IF('01_Warehouse_Ledger'!$A1145="","",'01_Warehouse_Ledger'!$A1145)</f>
        <v/>
      </c>
    </row>
    <row r="1146">
      <c r="I1146">
        <f>IF(OR($A1146="",$B1146=""),"",IF(COUNTIFS($A$2:$A1146,$A1146,$B$2:$B1146,$B1146)=1,1,0))</f>
        <v/>
      </c>
      <c r="J1146">
        <f>IF($A1146="","",ROW())</f>
        <v/>
      </c>
      <c r="L1146">
        <f>IF('01_Warehouse_Ledger'!$A1146="","",'01_Warehouse_Ledger'!$A1146)</f>
        <v/>
      </c>
    </row>
    <row r="1147">
      <c r="I1147">
        <f>IF(OR($A1147="",$B1147=""),"",IF(COUNTIFS($A$2:$A1147,$A1147,$B$2:$B1147,$B1147)=1,1,0))</f>
        <v/>
      </c>
      <c r="J1147">
        <f>IF($A1147="","",ROW())</f>
        <v/>
      </c>
      <c r="L1147">
        <f>IF('01_Warehouse_Ledger'!$A1147="","",'01_Warehouse_Ledger'!$A1147)</f>
        <v/>
      </c>
    </row>
    <row r="1148">
      <c r="I1148">
        <f>IF(OR($A1148="",$B1148=""),"",IF(COUNTIFS($A$2:$A1148,$A1148,$B$2:$B1148,$B1148)=1,1,0))</f>
        <v/>
      </c>
      <c r="J1148">
        <f>IF($A1148="","",ROW())</f>
        <v/>
      </c>
      <c r="L1148">
        <f>IF('01_Warehouse_Ledger'!$A1148="","",'01_Warehouse_Ledger'!$A1148)</f>
        <v/>
      </c>
    </row>
    <row r="1149">
      <c r="I1149">
        <f>IF(OR($A1149="",$B1149=""),"",IF(COUNTIFS($A$2:$A1149,$A1149,$B$2:$B1149,$B1149)=1,1,0))</f>
        <v/>
      </c>
      <c r="J1149">
        <f>IF($A1149="","",ROW())</f>
        <v/>
      </c>
      <c r="L1149">
        <f>IF('01_Warehouse_Ledger'!$A1149="","",'01_Warehouse_Ledger'!$A1149)</f>
        <v/>
      </c>
    </row>
    <row r="1150">
      <c r="I1150">
        <f>IF(OR($A1150="",$B1150=""),"",IF(COUNTIFS($A$2:$A1150,$A1150,$B$2:$B1150,$B1150)=1,1,0))</f>
        <v/>
      </c>
      <c r="J1150">
        <f>IF($A1150="","",ROW())</f>
        <v/>
      </c>
      <c r="L1150">
        <f>IF('01_Warehouse_Ledger'!$A1150="","",'01_Warehouse_Ledger'!$A1150)</f>
        <v/>
      </c>
    </row>
    <row r="1151">
      <c r="I1151">
        <f>IF(OR($A1151="",$B1151=""),"",IF(COUNTIFS($A$2:$A1151,$A1151,$B$2:$B1151,$B1151)=1,1,0))</f>
        <v/>
      </c>
      <c r="J1151">
        <f>IF($A1151="","",ROW())</f>
        <v/>
      </c>
      <c r="L1151">
        <f>IF('01_Warehouse_Ledger'!$A1151="","",'01_Warehouse_Ledger'!$A1151)</f>
        <v/>
      </c>
    </row>
    <row r="1152">
      <c r="I1152">
        <f>IF(OR($A1152="",$B1152=""),"",IF(COUNTIFS($A$2:$A1152,$A1152,$B$2:$B1152,$B1152)=1,1,0))</f>
        <v/>
      </c>
      <c r="J1152">
        <f>IF($A1152="","",ROW())</f>
        <v/>
      </c>
      <c r="L1152">
        <f>IF('01_Warehouse_Ledger'!$A1152="","",'01_Warehouse_Ledger'!$A1152)</f>
        <v/>
      </c>
    </row>
    <row r="1153">
      <c r="I1153">
        <f>IF(OR($A1153="",$B1153=""),"",IF(COUNTIFS($A$2:$A1153,$A1153,$B$2:$B1153,$B1153)=1,1,0))</f>
        <v/>
      </c>
      <c r="J1153">
        <f>IF($A1153="","",ROW())</f>
        <v/>
      </c>
      <c r="L1153">
        <f>IF('01_Warehouse_Ledger'!$A1153="","",'01_Warehouse_Ledger'!$A1153)</f>
        <v/>
      </c>
    </row>
    <row r="1154">
      <c r="I1154">
        <f>IF(OR($A1154="",$B1154=""),"",IF(COUNTIFS($A$2:$A1154,$A1154,$B$2:$B1154,$B1154)=1,1,0))</f>
        <v/>
      </c>
      <c r="J1154">
        <f>IF($A1154="","",ROW())</f>
        <v/>
      </c>
      <c r="L1154">
        <f>IF('01_Warehouse_Ledger'!$A1154="","",'01_Warehouse_Ledger'!$A1154)</f>
        <v/>
      </c>
    </row>
    <row r="1155">
      <c r="I1155">
        <f>IF(OR($A1155="",$B1155=""),"",IF(COUNTIFS($A$2:$A1155,$A1155,$B$2:$B1155,$B1155)=1,1,0))</f>
        <v/>
      </c>
      <c r="J1155">
        <f>IF($A1155="","",ROW())</f>
        <v/>
      </c>
      <c r="L1155">
        <f>IF('01_Warehouse_Ledger'!$A1155="","",'01_Warehouse_Ledger'!$A1155)</f>
        <v/>
      </c>
    </row>
    <row r="1156">
      <c r="I1156">
        <f>IF(OR($A1156="",$B1156=""),"",IF(COUNTIFS($A$2:$A1156,$A1156,$B$2:$B1156,$B1156)=1,1,0))</f>
        <v/>
      </c>
      <c r="J1156">
        <f>IF($A1156="","",ROW())</f>
        <v/>
      </c>
      <c r="L1156">
        <f>IF('01_Warehouse_Ledger'!$A1156="","",'01_Warehouse_Ledger'!$A1156)</f>
        <v/>
      </c>
    </row>
    <row r="1157">
      <c r="I1157">
        <f>IF(OR($A1157="",$B1157=""),"",IF(COUNTIFS($A$2:$A1157,$A1157,$B$2:$B1157,$B1157)=1,1,0))</f>
        <v/>
      </c>
      <c r="J1157">
        <f>IF($A1157="","",ROW())</f>
        <v/>
      </c>
      <c r="L1157">
        <f>IF('01_Warehouse_Ledger'!$A1157="","",'01_Warehouse_Ledger'!$A1157)</f>
        <v/>
      </c>
    </row>
    <row r="1158">
      <c r="I1158">
        <f>IF(OR($A1158="",$B1158=""),"",IF(COUNTIFS($A$2:$A1158,$A1158,$B$2:$B1158,$B1158)=1,1,0))</f>
        <v/>
      </c>
      <c r="J1158">
        <f>IF($A1158="","",ROW())</f>
        <v/>
      </c>
      <c r="L1158">
        <f>IF('01_Warehouse_Ledger'!$A1158="","",'01_Warehouse_Ledger'!$A1158)</f>
        <v/>
      </c>
    </row>
    <row r="1159">
      <c r="I1159">
        <f>IF(OR($A1159="",$B1159=""),"",IF(COUNTIFS($A$2:$A1159,$A1159,$B$2:$B1159,$B1159)=1,1,0))</f>
        <v/>
      </c>
      <c r="J1159">
        <f>IF($A1159="","",ROW())</f>
        <v/>
      </c>
      <c r="L1159">
        <f>IF('01_Warehouse_Ledger'!$A1159="","",'01_Warehouse_Ledger'!$A1159)</f>
        <v/>
      </c>
    </row>
    <row r="1160">
      <c r="I1160">
        <f>IF(OR($A1160="",$B1160=""),"",IF(COUNTIFS($A$2:$A1160,$A1160,$B$2:$B1160,$B1160)=1,1,0))</f>
        <v/>
      </c>
      <c r="J1160">
        <f>IF($A1160="","",ROW())</f>
        <v/>
      </c>
      <c r="L1160">
        <f>IF('01_Warehouse_Ledger'!$A1160="","",'01_Warehouse_Ledger'!$A1160)</f>
        <v/>
      </c>
    </row>
    <row r="1161">
      <c r="I1161">
        <f>IF(OR($A1161="",$B1161=""),"",IF(COUNTIFS($A$2:$A1161,$A1161,$B$2:$B1161,$B1161)=1,1,0))</f>
        <v/>
      </c>
      <c r="J1161">
        <f>IF($A1161="","",ROW())</f>
        <v/>
      </c>
      <c r="L1161">
        <f>IF('01_Warehouse_Ledger'!$A1161="","",'01_Warehouse_Ledger'!$A1161)</f>
        <v/>
      </c>
    </row>
    <row r="1162">
      <c r="I1162">
        <f>IF(OR($A1162="",$B1162=""),"",IF(COUNTIFS($A$2:$A1162,$A1162,$B$2:$B1162,$B1162)=1,1,0))</f>
        <v/>
      </c>
      <c r="J1162">
        <f>IF($A1162="","",ROW())</f>
        <v/>
      </c>
      <c r="L1162">
        <f>IF('01_Warehouse_Ledger'!$A1162="","",'01_Warehouse_Ledger'!$A1162)</f>
        <v/>
      </c>
    </row>
    <row r="1163">
      <c r="I1163">
        <f>IF(OR($A1163="",$B1163=""),"",IF(COUNTIFS($A$2:$A1163,$A1163,$B$2:$B1163,$B1163)=1,1,0))</f>
        <v/>
      </c>
      <c r="J1163">
        <f>IF($A1163="","",ROW())</f>
        <v/>
      </c>
      <c r="L1163">
        <f>IF('01_Warehouse_Ledger'!$A1163="","",'01_Warehouse_Ledger'!$A1163)</f>
        <v/>
      </c>
    </row>
    <row r="1164">
      <c r="I1164">
        <f>IF(OR($A1164="",$B1164=""),"",IF(COUNTIFS($A$2:$A1164,$A1164,$B$2:$B1164,$B1164)=1,1,0))</f>
        <v/>
      </c>
      <c r="J1164">
        <f>IF($A1164="","",ROW())</f>
        <v/>
      </c>
      <c r="L1164">
        <f>IF('01_Warehouse_Ledger'!$A1164="","",'01_Warehouse_Ledger'!$A1164)</f>
        <v/>
      </c>
    </row>
    <row r="1165">
      <c r="I1165">
        <f>IF(OR($A1165="",$B1165=""),"",IF(COUNTIFS($A$2:$A1165,$A1165,$B$2:$B1165,$B1165)=1,1,0))</f>
        <v/>
      </c>
      <c r="J1165">
        <f>IF($A1165="","",ROW())</f>
        <v/>
      </c>
      <c r="L1165">
        <f>IF('01_Warehouse_Ledger'!$A1165="","",'01_Warehouse_Ledger'!$A1165)</f>
        <v/>
      </c>
    </row>
    <row r="1166">
      <c r="I1166">
        <f>IF(OR($A1166="",$B1166=""),"",IF(COUNTIFS($A$2:$A1166,$A1166,$B$2:$B1166,$B1166)=1,1,0))</f>
        <v/>
      </c>
      <c r="J1166">
        <f>IF($A1166="","",ROW())</f>
        <v/>
      </c>
      <c r="L1166">
        <f>IF('01_Warehouse_Ledger'!$A1166="","",'01_Warehouse_Ledger'!$A1166)</f>
        <v/>
      </c>
    </row>
    <row r="1167">
      <c r="I1167">
        <f>IF(OR($A1167="",$B1167=""),"",IF(COUNTIFS($A$2:$A1167,$A1167,$B$2:$B1167,$B1167)=1,1,0))</f>
        <v/>
      </c>
      <c r="J1167">
        <f>IF($A1167="","",ROW())</f>
        <v/>
      </c>
      <c r="L1167">
        <f>IF('01_Warehouse_Ledger'!$A1167="","",'01_Warehouse_Ledger'!$A1167)</f>
        <v/>
      </c>
    </row>
    <row r="1168">
      <c r="I1168">
        <f>IF(OR($A1168="",$B1168=""),"",IF(COUNTIFS($A$2:$A1168,$A1168,$B$2:$B1168,$B1168)=1,1,0))</f>
        <v/>
      </c>
      <c r="J1168">
        <f>IF($A1168="","",ROW())</f>
        <v/>
      </c>
      <c r="L1168">
        <f>IF('01_Warehouse_Ledger'!$A1168="","",'01_Warehouse_Ledger'!$A1168)</f>
        <v/>
      </c>
    </row>
    <row r="1169">
      <c r="I1169">
        <f>IF(OR($A1169="",$B1169=""),"",IF(COUNTIFS($A$2:$A1169,$A1169,$B$2:$B1169,$B1169)=1,1,0))</f>
        <v/>
      </c>
      <c r="J1169">
        <f>IF($A1169="","",ROW())</f>
        <v/>
      </c>
      <c r="L1169">
        <f>IF('01_Warehouse_Ledger'!$A1169="","",'01_Warehouse_Ledger'!$A1169)</f>
        <v/>
      </c>
    </row>
    <row r="1170">
      <c r="I1170">
        <f>IF(OR($A1170="",$B1170=""),"",IF(COUNTIFS($A$2:$A1170,$A1170,$B$2:$B1170,$B1170)=1,1,0))</f>
        <v/>
      </c>
      <c r="J1170">
        <f>IF($A1170="","",ROW())</f>
        <v/>
      </c>
      <c r="L1170">
        <f>IF('01_Warehouse_Ledger'!$A1170="","",'01_Warehouse_Ledger'!$A1170)</f>
        <v/>
      </c>
    </row>
    <row r="1171">
      <c r="I1171">
        <f>IF(OR($A1171="",$B1171=""),"",IF(COUNTIFS($A$2:$A1171,$A1171,$B$2:$B1171,$B1171)=1,1,0))</f>
        <v/>
      </c>
      <c r="J1171">
        <f>IF($A1171="","",ROW())</f>
        <v/>
      </c>
      <c r="L1171">
        <f>IF('01_Warehouse_Ledger'!$A1171="","",'01_Warehouse_Ledger'!$A1171)</f>
        <v/>
      </c>
    </row>
    <row r="1172">
      <c r="I1172">
        <f>IF(OR($A1172="",$B1172=""),"",IF(COUNTIFS($A$2:$A1172,$A1172,$B$2:$B1172,$B1172)=1,1,0))</f>
        <v/>
      </c>
      <c r="J1172">
        <f>IF($A1172="","",ROW())</f>
        <v/>
      </c>
      <c r="L1172">
        <f>IF('01_Warehouse_Ledger'!$A1172="","",'01_Warehouse_Ledger'!$A1172)</f>
        <v/>
      </c>
    </row>
    <row r="1173">
      <c r="I1173">
        <f>IF(OR($A1173="",$B1173=""),"",IF(COUNTIFS($A$2:$A1173,$A1173,$B$2:$B1173,$B1173)=1,1,0))</f>
        <v/>
      </c>
      <c r="J1173">
        <f>IF($A1173="","",ROW())</f>
        <v/>
      </c>
      <c r="L1173">
        <f>IF('01_Warehouse_Ledger'!$A1173="","",'01_Warehouse_Ledger'!$A1173)</f>
        <v/>
      </c>
    </row>
    <row r="1174">
      <c r="I1174">
        <f>IF(OR($A1174="",$B1174=""),"",IF(COUNTIFS($A$2:$A1174,$A1174,$B$2:$B1174,$B1174)=1,1,0))</f>
        <v/>
      </c>
      <c r="J1174">
        <f>IF($A1174="","",ROW())</f>
        <v/>
      </c>
      <c r="L1174">
        <f>IF('01_Warehouse_Ledger'!$A1174="","",'01_Warehouse_Ledger'!$A1174)</f>
        <v/>
      </c>
    </row>
    <row r="1175">
      <c r="I1175">
        <f>IF(OR($A1175="",$B1175=""),"",IF(COUNTIFS($A$2:$A1175,$A1175,$B$2:$B1175,$B1175)=1,1,0))</f>
        <v/>
      </c>
      <c r="J1175">
        <f>IF($A1175="","",ROW())</f>
        <v/>
      </c>
      <c r="L1175">
        <f>IF('01_Warehouse_Ledger'!$A1175="","",'01_Warehouse_Ledger'!$A1175)</f>
        <v/>
      </c>
    </row>
    <row r="1176">
      <c r="I1176">
        <f>IF(OR($A1176="",$B1176=""),"",IF(COUNTIFS($A$2:$A1176,$A1176,$B$2:$B1176,$B1176)=1,1,0))</f>
        <v/>
      </c>
      <c r="J1176">
        <f>IF($A1176="","",ROW())</f>
        <v/>
      </c>
      <c r="L1176">
        <f>IF('01_Warehouse_Ledger'!$A1176="","",'01_Warehouse_Ledger'!$A1176)</f>
        <v/>
      </c>
    </row>
    <row r="1177">
      <c r="I1177">
        <f>IF(OR($A1177="",$B1177=""),"",IF(COUNTIFS($A$2:$A1177,$A1177,$B$2:$B1177,$B1177)=1,1,0))</f>
        <v/>
      </c>
      <c r="J1177">
        <f>IF($A1177="","",ROW())</f>
        <v/>
      </c>
      <c r="L1177">
        <f>IF('01_Warehouse_Ledger'!$A1177="","",'01_Warehouse_Ledger'!$A1177)</f>
        <v/>
      </c>
    </row>
    <row r="1178">
      <c r="I1178">
        <f>IF(OR($A1178="",$B1178=""),"",IF(COUNTIFS($A$2:$A1178,$A1178,$B$2:$B1178,$B1178)=1,1,0))</f>
        <v/>
      </c>
      <c r="J1178">
        <f>IF($A1178="","",ROW())</f>
        <v/>
      </c>
      <c r="L1178">
        <f>IF('01_Warehouse_Ledger'!$A1178="","",'01_Warehouse_Ledger'!$A1178)</f>
        <v/>
      </c>
    </row>
    <row r="1179">
      <c r="I1179">
        <f>IF(OR($A1179="",$B1179=""),"",IF(COUNTIFS($A$2:$A1179,$A1179,$B$2:$B1179,$B1179)=1,1,0))</f>
        <v/>
      </c>
      <c r="J1179">
        <f>IF($A1179="","",ROW())</f>
        <v/>
      </c>
      <c r="L1179">
        <f>IF('01_Warehouse_Ledger'!$A1179="","",'01_Warehouse_Ledger'!$A1179)</f>
        <v/>
      </c>
    </row>
    <row r="1180">
      <c r="I1180">
        <f>IF(OR($A1180="",$B1180=""),"",IF(COUNTIFS($A$2:$A1180,$A1180,$B$2:$B1180,$B1180)=1,1,0))</f>
        <v/>
      </c>
      <c r="J1180">
        <f>IF($A1180="","",ROW())</f>
        <v/>
      </c>
      <c r="L1180">
        <f>IF('01_Warehouse_Ledger'!$A1180="","",'01_Warehouse_Ledger'!$A1180)</f>
        <v/>
      </c>
    </row>
    <row r="1181">
      <c r="I1181">
        <f>IF(OR($A1181="",$B1181=""),"",IF(COUNTIFS($A$2:$A1181,$A1181,$B$2:$B1181,$B1181)=1,1,0))</f>
        <v/>
      </c>
      <c r="J1181">
        <f>IF($A1181="","",ROW())</f>
        <v/>
      </c>
      <c r="L1181">
        <f>IF('01_Warehouse_Ledger'!$A1181="","",'01_Warehouse_Ledger'!$A1181)</f>
        <v/>
      </c>
    </row>
    <row r="1182">
      <c r="I1182">
        <f>IF(OR($A1182="",$B1182=""),"",IF(COUNTIFS($A$2:$A1182,$A1182,$B$2:$B1182,$B1182)=1,1,0))</f>
        <v/>
      </c>
      <c r="J1182">
        <f>IF($A1182="","",ROW())</f>
        <v/>
      </c>
      <c r="L1182">
        <f>IF('01_Warehouse_Ledger'!$A1182="","",'01_Warehouse_Ledger'!$A1182)</f>
        <v/>
      </c>
    </row>
    <row r="1183">
      <c r="I1183">
        <f>IF(OR($A1183="",$B1183=""),"",IF(COUNTIFS($A$2:$A1183,$A1183,$B$2:$B1183,$B1183)=1,1,0))</f>
        <v/>
      </c>
      <c r="J1183">
        <f>IF($A1183="","",ROW())</f>
        <v/>
      </c>
      <c r="L1183">
        <f>IF('01_Warehouse_Ledger'!$A1183="","",'01_Warehouse_Ledger'!$A1183)</f>
        <v/>
      </c>
    </row>
    <row r="1184">
      <c r="I1184">
        <f>IF(OR($A1184="",$B1184=""),"",IF(COUNTIFS($A$2:$A1184,$A1184,$B$2:$B1184,$B1184)=1,1,0))</f>
        <v/>
      </c>
      <c r="J1184">
        <f>IF($A1184="","",ROW())</f>
        <v/>
      </c>
      <c r="L1184">
        <f>IF('01_Warehouse_Ledger'!$A1184="","",'01_Warehouse_Ledger'!$A1184)</f>
        <v/>
      </c>
    </row>
    <row r="1185">
      <c r="I1185">
        <f>IF(OR($A1185="",$B1185=""),"",IF(COUNTIFS($A$2:$A1185,$A1185,$B$2:$B1185,$B1185)=1,1,0))</f>
        <v/>
      </c>
      <c r="J1185">
        <f>IF($A1185="","",ROW())</f>
        <v/>
      </c>
      <c r="L1185">
        <f>IF('01_Warehouse_Ledger'!$A1185="","",'01_Warehouse_Ledger'!$A1185)</f>
        <v/>
      </c>
    </row>
    <row r="1186">
      <c r="I1186">
        <f>IF(OR($A1186="",$B1186=""),"",IF(COUNTIFS($A$2:$A1186,$A1186,$B$2:$B1186,$B1186)=1,1,0))</f>
        <v/>
      </c>
      <c r="J1186">
        <f>IF($A1186="","",ROW())</f>
        <v/>
      </c>
      <c r="L1186">
        <f>IF('01_Warehouse_Ledger'!$A1186="","",'01_Warehouse_Ledger'!$A1186)</f>
        <v/>
      </c>
    </row>
    <row r="1187">
      <c r="I1187">
        <f>IF(OR($A1187="",$B1187=""),"",IF(COUNTIFS($A$2:$A1187,$A1187,$B$2:$B1187,$B1187)=1,1,0))</f>
        <v/>
      </c>
      <c r="J1187">
        <f>IF($A1187="","",ROW())</f>
        <v/>
      </c>
      <c r="L1187">
        <f>IF('01_Warehouse_Ledger'!$A1187="","",'01_Warehouse_Ledger'!$A1187)</f>
        <v/>
      </c>
    </row>
    <row r="1188">
      <c r="I1188">
        <f>IF(OR($A1188="",$B1188=""),"",IF(COUNTIFS($A$2:$A1188,$A1188,$B$2:$B1188,$B1188)=1,1,0))</f>
        <v/>
      </c>
      <c r="J1188">
        <f>IF($A1188="","",ROW())</f>
        <v/>
      </c>
      <c r="L1188">
        <f>IF('01_Warehouse_Ledger'!$A1188="","",'01_Warehouse_Ledger'!$A1188)</f>
        <v/>
      </c>
    </row>
    <row r="1189">
      <c r="I1189">
        <f>IF(OR($A1189="",$B1189=""),"",IF(COUNTIFS($A$2:$A1189,$A1189,$B$2:$B1189,$B1189)=1,1,0))</f>
        <v/>
      </c>
      <c r="J1189">
        <f>IF($A1189="","",ROW())</f>
        <v/>
      </c>
      <c r="L1189">
        <f>IF('01_Warehouse_Ledger'!$A1189="","",'01_Warehouse_Ledger'!$A1189)</f>
        <v/>
      </c>
    </row>
    <row r="1190">
      <c r="I1190">
        <f>IF(OR($A1190="",$B1190=""),"",IF(COUNTIFS($A$2:$A1190,$A1190,$B$2:$B1190,$B1190)=1,1,0))</f>
        <v/>
      </c>
      <c r="J1190">
        <f>IF($A1190="","",ROW())</f>
        <v/>
      </c>
      <c r="L1190">
        <f>IF('01_Warehouse_Ledger'!$A1190="","",'01_Warehouse_Ledger'!$A1190)</f>
        <v/>
      </c>
    </row>
    <row r="1191">
      <c r="I1191">
        <f>IF(OR($A1191="",$B1191=""),"",IF(COUNTIFS($A$2:$A1191,$A1191,$B$2:$B1191,$B1191)=1,1,0))</f>
        <v/>
      </c>
      <c r="J1191">
        <f>IF($A1191="","",ROW())</f>
        <v/>
      </c>
      <c r="L1191">
        <f>IF('01_Warehouse_Ledger'!$A1191="","",'01_Warehouse_Ledger'!$A1191)</f>
        <v/>
      </c>
    </row>
    <row r="1192">
      <c r="I1192">
        <f>IF(OR($A1192="",$B1192=""),"",IF(COUNTIFS($A$2:$A1192,$A1192,$B$2:$B1192,$B1192)=1,1,0))</f>
        <v/>
      </c>
      <c r="J1192">
        <f>IF($A1192="","",ROW())</f>
        <v/>
      </c>
      <c r="L1192">
        <f>IF('01_Warehouse_Ledger'!$A1192="","",'01_Warehouse_Ledger'!$A1192)</f>
        <v/>
      </c>
    </row>
    <row r="1193">
      <c r="I1193">
        <f>IF(OR($A1193="",$B1193=""),"",IF(COUNTIFS($A$2:$A1193,$A1193,$B$2:$B1193,$B1193)=1,1,0))</f>
        <v/>
      </c>
      <c r="J1193">
        <f>IF($A1193="","",ROW())</f>
        <v/>
      </c>
      <c r="L1193">
        <f>IF('01_Warehouse_Ledger'!$A1193="","",'01_Warehouse_Ledger'!$A1193)</f>
        <v/>
      </c>
    </row>
    <row r="1194">
      <c r="I1194">
        <f>IF(OR($A1194="",$B1194=""),"",IF(COUNTIFS($A$2:$A1194,$A1194,$B$2:$B1194,$B1194)=1,1,0))</f>
        <v/>
      </c>
      <c r="J1194">
        <f>IF($A1194="","",ROW())</f>
        <v/>
      </c>
      <c r="L1194">
        <f>IF('01_Warehouse_Ledger'!$A1194="","",'01_Warehouse_Ledger'!$A1194)</f>
        <v/>
      </c>
    </row>
    <row r="1195">
      <c r="I1195">
        <f>IF(OR($A1195="",$B1195=""),"",IF(COUNTIFS($A$2:$A1195,$A1195,$B$2:$B1195,$B1195)=1,1,0))</f>
        <v/>
      </c>
      <c r="J1195">
        <f>IF($A1195="","",ROW())</f>
        <v/>
      </c>
      <c r="L1195">
        <f>IF('01_Warehouse_Ledger'!$A1195="","",'01_Warehouse_Ledger'!$A1195)</f>
        <v/>
      </c>
    </row>
    <row r="1196">
      <c r="I1196">
        <f>IF(OR($A1196="",$B1196=""),"",IF(COUNTIFS($A$2:$A1196,$A1196,$B$2:$B1196,$B1196)=1,1,0))</f>
        <v/>
      </c>
      <c r="J1196">
        <f>IF($A1196="","",ROW())</f>
        <v/>
      </c>
      <c r="L1196">
        <f>IF('01_Warehouse_Ledger'!$A1196="","",'01_Warehouse_Ledger'!$A1196)</f>
        <v/>
      </c>
    </row>
    <row r="1197">
      <c r="I1197">
        <f>IF(OR($A1197="",$B1197=""),"",IF(COUNTIFS($A$2:$A1197,$A1197,$B$2:$B1197,$B1197)=1,1,0))</f>
        <v/>
      </c>
      <c r="J1197">
        <f>IF($A1197="","",ROW())</f>
        <v/>
      </c>
      <c r="L1197">
        <f>IF('01_Warehouse_Ledger'!$A1197="","",'01_Warehouse_Ledger'!$A1197)</f>
        <v/>
      </c>
    </row>
    <row r="1198">
      <c r="I1198">
        <f>IF(OR($A1198="",$B1198=""),"",IF(COUNTIFS($A$2:$A1198,$A1198,$B$2:$B1198,$B1198)=1,1,0))</f>
        <v/>
      </c>
      <c r="J1198">
        <f>IF($A1198="","",ROW())</f>
        <v/>
      </c>
      <c r="L1198">
        <f>IF('01_Warehouse_Ledger'!$A1198="","",'01_Warehouse_Ledger'!$A1198)</f>
        <v/>
      </c>
    </row>
    <row r="1199">
      <c r="I1199">
        <f>IF(OR($A1199="",$B1199=""),"",IF(COUNTIFS($A$2:$A1199,$A1199,$B$2:$B1199,$B1199)=1,1,0))</f>
        <v/>
      </c>
      <c r="J1199">
        <f>IF($A1199="","",ROW())</f>
        <v/>
      </c>
      <c r="L1199">
        <f>IF('01_Warehouse_Ledger'!$A1199="","",'01_Warehouse_Ledger'!$A1199)</f>
        <v/>
      </c>
    </row>
    <row r="1200">
      <c r="I1200">
        <f>IF(OR($A1200="",$B1200=""),"",IF(COUNTIFS($A$2:$A1200,$A1200,$B$2:$B1200,$B1200)=1,1,0))</f>
        <v/>
      </c>
      <c r="J1200">
        <f>IF($A1200="","",ROW())</f>
        <v/>
      </c>
      <c r="L1200">
        <f>IF('01_Warehouse_Ledger'!$A1200="","",'01_Warehouse_Ledger'!$A1200)</f>
        <v/>
      </c>
    </row>
    <row r="1201">
      <c r="I1201">
        <f>IF(OR($A1201="",$B1201=""),"",IF(COUNTIFS($A$2:$A1201,$A1201,$B$2:$B1201,$B1201)=1,1,0))</f>
        <v/>
      </c>
      <c r="J1201">
        <f>IF($A1201="","",ROW())</f>
        <v/>
      </c>
      <c r="L1201">
        <f>IF('01_Warehouse_Ledger'!$A1201="","",'01_Warehouse_Ledger'!$A1201)</f>
        <v/>
      </c>
    </row>
    <row r="1202">
      <c r="I1202">
        <f>IF(OR($A1202="",$B1202=""),"",IF(COUNTIFS($A$2:$A1202,$A1202,$B$2:$B1202,$B1202)=1,1,0))</f>
        <v/>
      </c>
      <c r="J1202">
        <f>IF($A1202="","",ROW())</f>
        <v/>
      </c>
      <c r="L1202">
        <f>IF('01_Warehouse_Ledger'!$A1202="","",'01_Warehouse_Ledger'!$A1202)</f>
        <v/>
      </c>
    </row>
    <row r="1203">
      <c r="I1203">
        <f>IF(OR($A1203="",$B1203=""),"",IF(COUNTIFS($A$2:$A1203,$A1203,$B$2:$B1203,$B1203)=1,1,0))</f>
        <v/>
      </c>
      <c r="J1203">
        <f>IF($A1203="","",ROW())</f>
        <v/>
      </c>
      <c r="L1203">
        <f>IF('01_Warehouse_Ledger'!$A1203="","",'01_Warehouse_Ledger'!$A1203)</f>
        <v/>
      </c>
    </row>
    <row r="1204">
      <c r="I1204">
        <f>IF(OR($A1204="",$B1204=""),"",IF(COUNTIFS($A$2:$A1204,$A1204,$B$2:$B1204,$B1204)=1,1,0))</f>
        <v/>
      </c>
      <c r="J1204">
        <f>IF($A1204="","",ROW())</f>
        <v/>
      </c>
      <c r="L1204">
        <f>IF('01_Warehouse_Ledger'!$A1204="","",'01_Warehouse_Ledger'!$A1204)</f>
        <v/>
      </c>
    </row>
    <row r="1205">
      <c r="I1205">
        <f>IF(OR($A1205="",$B1205=""),"",IF(COUNTIFS($A$2:$A1205,$A1205,$B$2:$B1205,$B1205)=1,1,0))</f>
        <v/>
      </c>
      <c r="J1205">
        <f>IF($A1205="","",ROW())</f>
        <v/>
      </c>
      <c r="L1205">
        <f>IF('01_Warehouse_Ledger'!$A1205="","",'01_Warehouse_Ledger'!$A1205)</f>
        <v/>
      </c>
    </row>
    <row r="1206">
      <c r="I1206">
        <f>IF(OR($A1206="",$B1206=""),"",IF(COUNTIFS($A$2:$A1206,$A1206,$B$2:$B1206,$B1206)=1,1,0))</f>
        <v/>
      </c>
      <c r="J1206">
        <f>IF($A1206="","",ROW())</f>
        <v/>
      </c>
      <c r="L1206">
        <f>IF('01_Warehouse_Ledger'!$A1206="","",'01_Warehouse_Ledger'!$A1206)</f>
        <v/>
      </c>
    </row>
    <row r="1207">
      <c r="I1207">
        <f>IF(OR($A1207="",$B1207=""),"",IF(COUNTIFS($A$2:$A1207,$A1207,$B$2:$B1207,$B1207)=1,1,0))</f>
        <v/>
      </c>
      <c r="J1207">
        <f>IF($A1207="","",ROW())</f>
        <v/>
      </c>
      <c r="L1207">
        <f>IF('01_Warehouse_Ledger'!$A1207="","",'01_Warehouse_Ledger'!$A1207)</f>
        <v/>
      </c>
    </row>
    <row r="1208">
      <c r="I1208">
        <f>IF(OR($A1208="",$B1208=""),"",IF(COUNTIFS($A$2:$A1208,$A1208,$B$2:$B1208,$B1208)=1,1,0))</f>
        <v/>
      </c>
      <c r="J1208">
        <f>IF($A1208="","",ROW())</f>
        <v/>
      </c>
      <c r="L1208">
        <f>IF('01_Warehouse_Ledger'!$A1208="","",'01_Warehouse_Ledger'!$A1208)</f>
        <v/>
      </c>
    </row>
    <row r="1209">
      <c r="I1209">
        <f>IF(OR($A1209="",$B1209=""),"",IF(COUNTIFS($A$2:$A1209,$A1209,$B$2:$B1209,$B1209)=1,1,0))</f>
        <v/>
      </c>
      <c r="J1209">
        <f>IF($A1209="","",ROW())</f>
        <v/>
      </c>
      <c r="L1209">
        <f>IF('01_Warehouse_Ledger'!$A1209="","",'01_Warehouse_Ledger'!$A1209)</f>
        <v/>
      </c>
    </row>
    <row r="1210">
      <c r="I1210">
        <f>IF(OR($A1210="",$B1210=""),"",IF(COUNTIFS($A$2:$A1210,$A1210,$B$2:$B1210,$B1210)=1,1,0))</f>
        <v/>
      </c>
      <c r="J1210">
        <f>IF($A1210="","",ROW())</f>
        <v/>
      </c>
      <c r="L1210">
        <f>IF('01_Warehouse_Ledger'!$A1210="","",'01_Warehouse_Ledger'!$A1210)</f>
        <v/>
      </c>
    </row>
    <row r="1211">
      <c r="I1211">
        <f>IF(OR($A1211="",$B1211=""),"",IF(COUNTIFS($A$2:$A1211,$A1211,$B$2:$B1211,$B1211)=1,1,0))</f>
        <v/>
      </c>
      <c r="J1211">
        <f>IF($A1211="","",ROW())</f>
        <v/>
      </c>
      <c r="L1211">
        <f>IF('01_Warehouse_Ledger'!$A1211="","",'01_Warehouse_Ledger'!$A1211)</f>
        <v/>
      </c>
    </row>
    <row r="1212">
      <c r="I1212">
        <f>IF(OR($A1212="",$B1212=""),"",IF(COUNTIFS($A$2:$A1212,$A1212,$B$2:$B1212,$B1212)=1,1,0))</f>
        <v/>
      </c>
      <c r="J1212">
        <f>IF($A1212="","",ROW())</f>
        <v/>
      </c>
      <c r="L1212">
        <f>IF('01_Warehouse_Ledger'!$A1212="","",'01_Warehouse_Ledger'!$A1212)</f>
        <v/>
      </c>
    </row>
    <row r="1213">
      <c r="I1213">
        <f>IF(OR($A1213="",$B1213=""),"",IF(COUNTIFS($A$2:$A1213,$A1213,$B$2:$B1213,$B1213)=1,1,0))</f>
        <v/>
      </c>
      <c r="J1213">
        <f>IF($A1213="","",ROW())</f>
        <v/>
      </c>
      <c r="L1213">
        <f>IF('01_Warehouse_Ledger'!$A1213="","",'01_Warehouse_Ledger'!$A1213)</f>
        <v/>
      </c>
    </row>
    <row r="1214">
      <c r="I1214">
        <f>IF(OR($A1214="",$B1214=""),"",IF(COUNTIFS($A$2:$A1214,$A1214,$B$2:$B1214,$B1214)=1,1,0))</f>
        <v/>
      </c>
      <c r="J1214">
        <f>IF($A1214="","",ROW())</f>
        <v/>
      </c>
      <c r="L1214">
        <f>IF('01_Warehouse_Ledger'!$A1214="","",'01_Warehouse_Ledger'!$A1214)</f>
        <v/>
      </c>
    </row>
    <row r="1215">
      <c r="I1215">
        <f>IF(OR($A1215="",$B1215=""),"",IF(COUNTIFS($A$2:$A1215,$A1215,$B$2:$B1215,$B1215)=1,1,0))</f>
        <v/>
      </c>
      <c r="J1215">
        <f>IF($A1215="","",ROW())</f>
        <v/>
      </c>
      <c r="L1215">
        <f>IF('01_Warehouse_Ledger'!$A1215="","",'01_Warehouse_Ledger'!$A1215)</f>
        <v/>
      </c>
    </row>
    <row r="1216">
      <c r="I1216">
        <f>IF(OR($A1216="",$B1216=""),"",IF(COUNTIFS($A$2:$A1216,$A1216,$B$2:$B1216,$B1216)=1,1,0))</f>
        <v/>
      </c>
      <c r="J1216">
        <f>IF($A1216="","",ROW())</f>
        <v/>
      </c>
      <c r="L1216">
        <f>IF('01_Warehouse_Ledger'!$A1216="","",'01_Warehouse_Ledger'!$A1216)</f>
        <v/>
      </c>
    </row>
    <row r="1217">
      <c r="I1217">
        <f>IF(OR($A1217="",$B1217=""),"",IF(COUNTIFS($A$2:$A1217,$A1217,$B$2:$B1217,$B1217)=1,1,0))</f>
        <v/>
      </c>
      <c r="J1217">
        <f>IF($A1217="","",ROW())</f>
        <v/>
      </c>
      <c r="L1217">
        <f>IF('01_Warehouse_Ledger'!$A1217="","",'01_Warehouse_Ledger'!$A1217)</f>
        <v/>
      </c>
    </row>
    <row r="1218">
      <c r="I1218">
        <f>IF(OR($A1218="",$B1218=""),"",IF(COUNTIFS($A$2:$A1218,$A1218,$B$2:$B1218,$B1218)=1,1,0))</f>
        <v/>
      </c>
      <c r="J1218">
        <f>IF($A1218="","",ROW())</f>
        <v/>
      </c>
      <c r="L1218">
        <f>IF('01_Warehouse_Ledger'!$A1218="","",'01_Warehouse_Ledger'!$A1218)</f>
        <v/>
      </c>
    </row>
    <row r="1219">
      <c r="I1219">
        <f>IF(OR($A1219="",$B1219=""),"",IF(COUNTIFS($A$2:$A1219,$A1219,$B$2:$B1219,$B1219)=1,1,0))</f>
        <v/>
      </c>
      <c r="J1219">
        <f>IF($A1219="","",ROW())</f>
        <v/>
      </c>
      <c r="L1219">
        <f>IF('01_Warehouse_Ledger'!$A1219="","",'01_Warehouse_Ledger'!$A1219)</f>
        <v/>
      </c>
    </row>
    <row r="1220">
      <c r="I1220">
        <f>IF(OR($A1220="",$B1220=""),"",IF(COUNTIFS($A$2:$A1220,$A1220,$B$2:$B1220,$B1220)=1,1,0))</f>
        <v/>
      </c>
      <c r="J1220">
        <f>IF($A1220="","",ROW())</f>
        <v/>
      </c>
      <c r="L1220">
        <f>IF('01_Warehouse_Ledger'!$A1220="","",'01_Warehouse_Ledger'!$A1220)</f>
        <v/>
      </c>
    </row>
    <row r="1221">
      <c r="I1221">
        <f>IF(OR($A1221="",$B1221=""),"",IF(COUNTIFS($A$2:$A1221,$A1221,$B$2:$B1221,$B1221)=1,1,0))</f>
        <v/>
      </c>
      <c r="J1221">
        <f>IF($A1221="","",ROW())</f>
        <v/>
      </c>
      <c r="L1221">
        <f>IF('01_Warehouse_Ledger'!$A1221="","",'01_Warehouse_Ledger'!$A1221)</f>
        <v/>
      </c>
    </row>
    <row r="1222">
      <c r="I1222">
        <f>IF(OR($A1222="",$B1222=""),"",IF(COUNTIFS($A$2:$A1222,$A1222,$B$2:$B1222,$B1222)=1,1,0))</f>
        <v/>
      </c>
      <c r="J1222">
        <f>IF($A1222="","",ROW())</f>
        <v/>
      </c>
      <c r="L1222">
        <f>IF('01_Warehouse_Ledger'!$A1222="","",'01_Warehouse_Ledger'!$A1222)</f>
        <v/>
      </c>
    </row>
    <row r="1223">
      <c r="I1223">
        <f>IF(OR($A1223="",$B1223=""),"",IF(COUNTIFS($A$2:$A1223,$A1223,$B$2:$B1223,$B1223)=1,1,0))</f>
        <v/>
      </c>
      <c r="J1223">
        <f>IF($A1223="","",ROW())</f>
        <v/>
      </c>
      <c r="L1223">
        <f>IF('01_Warehouse_Ledger'!$A1223="","",'01_Warehouse_Ledger'!$A1223)</f>
        <v/>
      </c>
    </row>
    <row r="1224">
      <c r="I1224">
        <f>IF(OR($A1224="",$B1224=""),"",IF(COUNTIFS($A$2:$A1224,$A1224,$B$2:$B1224,$B1224)=1,1,0))</f>
        <v/>
      </c>
      <c r="J1224">
        <f>IF($A1224="","",ROW())</f>
        <v/>
      </c>
      <c r="L1224">
        <f>IF('01_Warehouse_Ledger'!$A1224="","",'01_Warehouse_Ledger'!$A1224)</f>
        <v/>
      </c>
    </row>
    <row r="1225">
      <c r="I1225">
        <f>IF(OR($A1225="",$B1225=""),"",IF(COUNTIFS($A$2:$A1225,$A1225,$B$2:$B1225,$B1225)=1,1,0))</f>
        <v/>
      </c>
      <c r="J1225">
        <f>IF($A1225="","",ROW())</f>
        <v/>
      </c>
      <c r="L1225">
        <f>IF('01_Warehouse_Ledger'!$A1225="","",'01_Warehouse_Ledger'!$A1225)</f>
        <v/>
      </c>
    </row>
    <row r="1226">
      <c r="I1226">
        <f>IF(OR($A1226="",$B1226=""),"",IF(COUNTIFS($A$2:$A1226,$A1226,$B$2:$B1226,$B1226)=1,1,0))</f>
        <v/>
      </c>
      <c r="J1226">
        <f>IF($A1226="","",ROW())</f>
        <v/>
      </c>
      <c r="L1226">
        <f>IF('01_Warehouse_Ledger'!$A1226="","",'01_Warehouse_Ledger'!$A1226)</f>
        <v/>
      </c>
    </row>
    <row r="1227">
      <c r="I1227">
        <f>IF(OR($A1227="",$B1227=""),"",IF(COUNTIFS($A$2:$A1227,$A1227,$B$2:$B1227,$B1227)=1,1,0))</f>
        <v/>
      </c>
      <c r="J1227">
        <f>IF($A1227="","",ROW())</f>
        <v/>
      </c>
      <c r="L1227">
        <f>IF('01_Warehouse_Ledger'!$A1227="","",'01_Warehouse_Ledger'!$A1227)</f>
        <v/>
      </c>
    </row>
    <row r="1228">
      <c r="I1228">
        <f>IF(OR($A1228="",$B1228=""),"",IF(COUNTIFS($A$2:$A1228,$A1228,$B$2:$B1228,$B1228)=1,1,0))</f>
        <v/>
      </c>
      <c r="J1228">
        <f>IF($A1228="","",ROW())</f>
        <v/>
      </c>
      <c r="L1228">
        <f>IF('01_Warehouse_Ledger'!$A1228="","",'01_Warehouse_Ledger'!$A1228)</f>
        <v/>
      </c>
    </row>
    <row r="1229">
      <c r="I1229">
        <f>IF(OR($A1229="",$B1229=""),"",IF(COUNTIFS($A$2:$A1229,$A1229,$B$2:$B1229,$B1229)=1,1,0))</f>
        <v/>
      </c>
      <c r="J1229">
        <f>IF($A1229="","",ROW())</f>
        <v/>
      </c>
      <c r="L1229">
        <f>IF('01_Warehouse_Ledger'!$A1229="","",'01_Warehouse_Ledger'!$A1229)</f>
        <v/>
      </c>
    </row>
    <row r="1230">
      <c r="I1230">
        <f>IF(OR($A1230="",$B1230=""),"",IF(COUNTIFS($A$2:$A1230,$A1230,$B$2:$B1230,$B1230)=1,1,0))</f>
        <v/>
      </c>
      <c r="J1230">
        <f>IF($A1230="","",ROW())</f>
        <v/>
      </c>
      <c r="L1230">
        <f>IF('01_Warehouse_Ledger'!$A1230="","",'01_Warehouse_Ledger'!$A1230)</f>
        <v/>
      </c>
    </row>
    <row r="1231">
      <c r="I1231">
        <f>IF(OR($A1231="",$B1231=""),"",IF(COUNTIFS($A$2:$A1231,$A1231,$B$2:$B1231,$B1231)=1,1,0))</f>
        <v/>
      </c>
      <c r="J1231">
        <f>IF($A1231="","",ROW())</f>
        <v/>
      </c>
      <c r="L1231">
        <f>IF('01_Warehouse_Ledger'!$A1231="","",'01_Warehouse_Ledger'!$A1231)</f>
        <v/>
      </c>
    </row>
    <row r="1232">
      <c r="I1232">
        <f>IF(OR($A1232="",$B1232=""),"",IF(COUNTIFS($A$2:$A1232,$A1232,$B$2:$B1232,$B1232)=1,1,0))</f>
        <v/>
      </c>
      <c r="J1232">
        <f>IF($A1232="","",ROW())</f>
        <v/>
      </c>
      <c r="L1232">
        <f>IF('01_Warehouse_Ledger'!$A1232="","",'01_Warehouse_Ledger'!$A1232)</f>
        <v/>
      </c>
    </row>
    <row r="1233">
      <c r="I1233">
        <f>IF(OR($A1233="",$B1233=""),"",IF(COUNTIFS($A$2:$A1233,$A1233,$B$2:$B1233,$B1233)=1,1,0))</f>
        <v/>
      </c>
      <c r="J1233">
        <f>IF($A1233="","",ROW())</f>
        <v/>
      </c>
      <c r="L1233">
        <f>IF('01_Warehouse_Ledger'!$A1233="","",'01_Warehouse_Ledger'!$A1233)</f>
        <v/>
      </c>
    </row>
    <row r="1234">
      <c r="I1234">
        <f>IF(OR($A1234="",$B1234=""),"",IF(COUNTIFS($A$2:$A1234,$A1234,$B$2:$B1234,$B1234)=1,1,0))</f>
        <v/>
      </c>
      <c r="J1234">
        <f>IF($A1234="","",ROW())</f>
        <v/>
      </c>
      <c r="L1234">
        <f>IF('01_Warehouse_Ledger'!$A1234="","",'01_Warehouse_Ledger'!$A1234)</f>
        <v/>
      </c>
    </row>
    <row r="1235">
      <c r="I1235">
        <f>IF(OR($A1235="",$B1235=""),"",IF(COUNTIFS($A$2:$A1235,$A1235,$B$2:$B1235,$B1235)=1,1,0))</f>
        <v/>
      </c>
      <c r="J1235">
        <f>IF($A1235="","",ROW())</f>
        <v/>
      </c>
      <c r="L1235">
        <f>IF('01_Warehouse_Ledger'!$A1235="","",'01_Warehouse_Ledger'!$A1235)</f>
        <v/>
      </c>
    </row>
    <row r="1236">
      <c r="I1236">
        <f>IF(OR($A1236="",$B1236=""),"",IF(COUNTIFS($A$2:$A1236,$A1236,$B$2:$B1236,$B1236)=1,1,0))</f>
        <v/>
      </c>
      <c r="J1236">
        <f>IF($A1236="","",ROW())</f>
        <v/>
      </c>
      <c r="L1236">
        <f>IF('01_Warehouse_Ledger'!$A1236="","",'01_Warehouse_Ledger'!$A1236)</f>
        <v/>
      </c>
    </row>
    <row r="1237">
      <c r="I1237">
        <f>IF(OR($A1237="",$B1237=""),"",IF(COUNTIFS($A$2:$A1237,$A1237,$B$2:$B1237,$B1237)=1,1,0))</f>
        <v/>
      </c>
      <c r="J1237">
        <f>IF($A1237="","",ROW())</f>
        <v/>
      </c>
      <c r="L1237">
        <f>IF('01_Warehouse_Ledger'!$A1237="","",'01_Warehouse_Ledger'!$A1237)</f>
        <v/>
      </c>
    </row>
    <row r="1238">
      <c r="I1238">
        <f>IF(OR($A1238="",$B1238=""),"",IF(COUNTIFS($A$2:$A1238,$A1238,$B$2:$B1238,$B1238)=1,1,0))</f>
        <v/>
      </c>
      <c r="J1238">
        <f>IF($A1238="","",ROW())</f>
        <v/>
      </c>
      <c r="L1238">
        <f>IF('01_Warehouse_Ledger'!$A1238="","",'01_Warehouse_Ledger'!$A1238)</f>
        <v/>
      </c>
    </row>
    <row r="1239">
      <c r="I1239">
        <f>IF(OR($A1239="",$B1239=""),"",IF(COUNTIFS($A$2:$A1239,$A1239,$B$2:$B1239,$B1239)=1,1,0))</f>
        <v/>
      </c>
      <c r="J1239">
        <f>IF($A1239="","",ROW())</f>
        <v/>
      </c>
      <c r="L1239">
        <f>IF('01_Warehouse_Ledger'!$A1239="","",'01_Warehouse_Ledger'!$A1239)</f>
        <v/>
      </c>
    </row>
    <row r="1240">
      <c r="I1240">
        <f>IF(OR($A1240="",$B1240=""),"",IF(COUNTIFS($A$2:$A1240,$A1240,$B$2:$B1240,$B1240)=1,1,0))</f>
        <v/>
      </c>
      <c r="J1240">
        <f>IF($A1240="","",ROW())</f>
        <v/>
      </c>
      <c r="L1240">
        <f>IF('01_Warehouse_Ledger'!$A1240="","",'01_Warehouse_Ledger'!$A1240)</f>
        <v/>
      </c>
    </row>
    <row r="1241">
      <c r="I1241">
        <f>IF(OR($A1241="",$B1241=""),"",IF(COUNTIFS($A$2:$A1241,$A1241,$B$2:$B1241,$B1241)=1,1,0))</f>
        <v/>
      </c>
      <c r="J1241">
        <f>IF($A1241="","",ROW())</f>
        <v/>
      </c>
      <c r="L1241">
        <f>IF('01_Warehouse_Ledger'!$A1241="","",'01_Warehouse_Ledger'!$A1241)</f>
        <v/>
      </c>
    </row>
    <row r="1242">
      <c r="I1242">
        <f>IF(OR($A1242="",$B1242=""),"",IF(COUNTIFS($A$2:$A1242,$A1242,$B$2:$B1242,$B1242)=1,1,0))</f>
        <v/>
      </c>
      <c r="J1242">
        <f>IF($A1242="","",ROW())</f>
        <v/>
      </c>
      <c r="L1242">
        <f>IF('01_Warehouse_Ledger'!$A1242="","",'01_Warehouse_Ledger'!$A1242)</f>
        <v/>
      </c>
    </row>
    <row r="1243">
      <c r="I1243">
        <f>IF(OR($A1243="",$B1243=""),"",IF(COUNTIFS($A$2:$A1243,$A1243,$B$2:$B1243,$B1243)=1,1,0))</f>
        <v/>
      </c>
      <c r="J1243">
        <f>IF($A1243="","",ROW())</f>
        <v/>
      </c>
      <c r="L1243">
        <f>IF('01_Warehouse_Ledger'!$A1243="","",'01_Warehouse_Ledger'!$A1243)</f>
        <v/>
      </c>
    </row>
    <row r="1244">
      <c r="I1244">
        <f>IF(OR($A1244="",$B1244=""),"",IF(COUNTIFS($A$2:$A1244,$A1244,$B$2:$B1244,$B1244)=1,1,0))</f>
        <v/>
      </c>
      <c r="J1244">
        <f>IF($A1244="","",ROW())</f>
        <v/>
      </c>
      <c r="L1244">
        <f>IF('01_Warehouse_Ledger'!$A1244="","",'01_Warehouse_Ledger'!$A1244)</f>
        <v/>
      </c>
    </row>
    <row r="1245">
      <c r="I1245">
        <f>IF(OR($A1245="",$B1245=""),"",IF(COUNTIFS($A$2:$A1245,$A1245,$B$2:$B1245,$B1245)=1,1,0))</f>
        <v/>
      </c>
      <c r="J1245">
        <f>IF($A1245="","",ROW())</f>
        <v/>
      </c>
      <c r="L1245">
        <f>IF('01_Warehouse_Ledger'!$A1245="","",'01_Warehouse_Ledger'!$A1245)</f>
        <v/>
      </c>
    </row>
    <row r="1246">
      <c r="I1246">
        <f>IF(OR($A1246="",$B1246=""),"",IF(COUNTIFS($A$2:$A1246,$A1246,$B$2:$B1246,$B1246)=1,1,0))</f>
        <v/>
      </c>
      <c r="J1246">
        <f>IF($A1246="","",ROW())</f>
        <v/>
      </c>
      <c r="L1246">
        <f>IF('01_Warehouse_Ledger'!$A1246="","",'01_Warehouse_Ledger'!$A1246)</f>
        <v/>
      </c>
    </row>
    <row r="1247">
      <c r="I1247">
        <f>IF(OR($A1247="",$B1247=""),"",IF(COUNTIFS($A$2:$A1247,$A1247,$B$2:$B1247,$B1247)=1,1,0))</f>
        <v/>
      </c>
      <c r="J1247">
        <f>IF($A1247="","",ROW())</f>
        <v/>
      </c>
      <c r="L1247">
        <f>IF('01_Warehouse_Ledger'!$A1247="","",'01_Warehouse_Ledger'!$A1247)</f>
        <v/>
      </c>
    </row>
    <row r="1248">
      <c r="I1248">
        <f>IF(OR($A1248="",$B1248=""),"",IF(COUNTIFS($A$2:$A1248,$A1248,$B$2:$B1248,$B1248)=1,1,0))</f>
        <v/>
      </c>
      <c r="J1248">
        <f>IF($A1248="","",ROW())</f>
        <v/>
      </c>
      <c r="L1248">
        <f>IF('01_Warehouse_Ledger'!$A1248="","",'01_Warehouse_Ledger'!$A1248)</f>
        <v/>
      </c>
    </row>
    <row r="1249">
      <c r="I1249">
        <f>IF(OR($A1249="",$B1249=""),"",IF(COUNTIFS($A$2:$A1249,$A1249,$B$2:$B1249,$B1249)=1,1,0))</f>
        <v/>
      </c>
      <c r="J1249">
        <f>IF($A1249="","",ROW())</f>
        <v/>
      </c>
      <c r="L1249">
        <f>IF('01_Warehouse_Ledger'!$A1249="","",'01_Warehouse_Ledger'!$A1249)</f>
        <v/>
      </c>
    </row>
    <row r="1250">
      <c r="I1250">
        <f>IF(OR($A1250="",$B1250=""),"",IF(COUNTIFS($A$2:$A1250,$A1250,$B$2:$B1250,$B1250)=1,1,0))</f>
        <v/>
      </c>
      <c r="J1250">
        <f>IF($A1250="","",ROW())</f>
        <v/>
      </c>
      <c r="L1250">
        <f>IF('01_Warehouse_Ledger'!$A1250="","",'01_Warehouse_Ledger'!$A1250)</f>
        <v/>
      </c>
    </row>
    <row r="1251">
      <c r="I1251">
        <f>IF(OR($A1251="",$B1251=""),"",IF(COUNTIFS($A$2:$A1251,$A1251,$B$2:$B1251,$B1251)=1,1,0))</f>
        <v/>
      </c>
      <c r="J1251">
        <f>IF($A1251="","",ROW())</f>
        <v/>
      </c>
      <c r="L1251">
        <f>IF('01_Warehouse_Ledger'!$A1251="","",'01_Warehouse_Ledger'!$A1251)</f>
        <v/>
      </c>
    </row>
    <row r="1252">
      <c r="I1252">
        <f>IF(OR($A1252="",$B1252=""),"",IF(COUNTIFS($A$2:$A1252,$A1252,$B$2:$B1252,$B1252)=1,1,0))</f>
        <v/>
      </c>
      <c r="J1252">
        <f>IF($A1252="","",ROW())</f>
        <v/>
      </c>
      <c r="L1252">
        <f>IF('01_Warehouse_Ledger'!$A1252="","",'01_Warehouse_Ledger'!$A1252)</f>
        <v/>
      </c>
    </row>
    <row r="1253">
      <c r="I1253">
        <f>IF(OR($A1253="",$B1253=""),"",IF(COUNTIFS($A$2:$A1253,$A1253,$B$2:$B1253,$B1253)=1,1,0))</f>
        <v/>
      </c>
      <c r="J1253">
        <f>IF($A1253="","",ROW())</f>
        <v/>
      </c>
      <c r="L1253">
        <f>IF('01_Warehouse_Ledger'!$A1253="","",'01_Warehouse_Ledger'!$A1253)</f>
        <v/>
      </c>
    </row>
    <row r="1254">
      <c r="I1254">
        <f>IF(OR($A1254="",$B1254=""),"",IF(COUNTIFS($A$2:$A1254,$A1254,$B$2:$B1254,$B1254)=1,1,0))</f>
        <v/>
      </c>
      <c r="J1254">
        <f>IF($A1254="","",ROW())</f>
        <v/>
      </c>
      <c r="L1254">
        <f>IF('01_Warehouse_Ledger'!$A1254="","",'01_Warehouse_Ledger'!$A1254)</f>
        <v/>
      </c>
    </row>
    <row r="1255">
      <c r="I1255">
        <f>IF(OR($A1255="",$B1255=""),"",IF(COUNTIFS($A$2:$A1255,$A1255,$B$2:$B1255,$B1255)=1,1,0))</f>
        <v/>
      </c>
      <c r="J1255">
        <f>IF($A1255="","",ROW())</f>
        <v/>
      </c>
      <c r="L1255">
        <f>IF('01_Warehouse_Ledger'!$A1255="","",'01_Warehouse_Ledger'!$A1255)</f>
        <v/>
      </c>
    </row>
    <row r="1256">
      <c r="I1256">
        <f>IF(OR($A1256="",$B1256=""),"",IF(COUNTIFS($A$2:$A1256,$A1256,$B$2:$B1256,$B1256)=1,1,0))</f>
        <v/>
      </c>
      <c r="J1256">
        <f>IF($A1256="","",ROW())</f>
        <v/>
      </c>
      <c r="L1256">
        <f>IF('01_Warehouse_Ledger'!$A1256="","",'01_Warehouse_Ledger'!$A1256)</f>
        <v/>
      </c>
    </row>
    <row r="1257">
      <c r="I1257">
        <f>IF(OR($A1257="",$B1257=""),"",IF(COUNTIFS($A$2:$A1257,$A1257,$B$2:$B1257,$B1257)=1,1,0))</f>
        <v/>
      </c>
      <c r="J1257">
        <f>IF($A1257="","",ROW())</f>
        <v/>
      </c>
      <c r="L1257">
        <f>IF('01_Warehouse_Ledger'!$A1257="","",'01_Warehouse_Ledger'!$A1257)</f>
        <v/>
      </c>
    </row>
    <row r="1258">
      <c r="I1258">
        <f>IF(OR($A1258="",$B1258=""),"",IF(COUNTIFS($A$2:$A1258,$A1258,$B$2:$B1258,$B1258)=1,1,0))</f>
        <v/>
      </c>
      <c r="J1258">
        <f>IF($A1258="","",ROW())</f>
        <v/>
      </c>
      <c r="L1258">
        <f>IF('01_Warehouse_Ledger'!$A1258="","",'01_Warehouse_Ledger'!$A1258)</f>
        <v/>
      </c>
    </row>
    <row r="1259">
      <c r="I1259">
        <f>IF(OR($A1259="",$B1259=""),"",IF(COUNTIFS($A$2:$A1259,$A1259,$B$2:$B1259,$B1259)=1,1,0))</f>
        <v/>
      </c>
      <c r="J1259">
        <f>IF($A1259="","",ROW())</f>
        <v/>
      </c>
      <c r="L1259">
        <f>IF('01_Warehouse_Ledger'!$A1259="","",'01_Warehouse_Ledger'!$A1259)</f>
        <v/>
      </c>
    </row>
    <row r="1260">
      <c r="I1260">
        <f>IF(OR($A1260="",$B1260=""),"",IF(COUNTIFS($A$2:$A1260,$A1260,$B$2:$B1260,$B1260)=1,1,0))</f>
        <v/>
      </c>
      <c r="J1260">
        <f>IF($A1260="","",ROW())</f>
        <v/>
      </c>
      <c r="L1260">
        <f>IF('01_Warehouse_Ledger'!$A1260="","",'01_Warehouse_Ledger'!$A1260)</f>
        <v/>
      </c>
    </row>
    <row r="1261">
      <c r="I1261">
        <f>IF(OR($A1261="",$B1261=""),"",IF(COUNTIFS($A$2:$A1261,$A1261,$B$2:$B1261,$B1261)=1,1,0))</f>
        <v/>
      </c>
      <c r="J1261">
        <f>IF($A1261="","",ROW())</f>
        <v/>
      </c>
      <c r="L1261">
        <f>IF('01_Warehouse_Ledger'!$A1261="","",'01_Warehouse_Ledger'!$A1261)</f>
        <v/>
      </c>
    </row>
    <row r="1262">
      <c r="I1262">
        <f>IF(OR($A1262="",$B1262=""),"",IF(COUNTIFS($A$2:$A1262,$A1262,$B$2:$B1262,$B1262)=1,1,0))</f>
        <v/>
      </c>
      <c r="J1262">
        <f>IF($A1262="","",ROW())</f>
        <v/>
      </c>
      <c r="L1262">
        <f>IF('01_Warehouse_Ledger'!$A1262="","",'01_Warehouse_Ledger'!$A1262)</f>
        <v/>
      </c>
    </row>
    <row r="1263">
      <c r="I1263">
        <f>IF(OR($A1263="",$B1263=""),"",IF(COUNTIFS($A$2:$A1263,$A1263,$B$2:$B1263,$B1263)=1,1,0))</f>
        <v/>
      </c>
      <c r="J1263">
        <f>IF($A1263="","",ROW())</f>
        <v/>
      </c>
      <c r="L1263">
        <f>IF('01_Warehouse_Ledger'!$A1263="","",'01_Warehouse_Ledger'!$A1263)</f>
        <v/>
      </c>
    </row>
    <row r="1264">
      <c r="I1264">
        <f>IF(OR($A1264="",$B1264=""),"",IF(COUNTIFS($A$2:$A1264,$A1264,$B$2:$B1264,$B1264)=1,1,0))</f>
        <v/>
      </c>
      <c r="J1264">
        <f>IF($A1264="","",ROW())</f>
        <v/>
      </c>
      <c r="L1264">
        <f>IF('01_Warehouse_Ledger'!$A1264="","",'01_Warehouse_Ledger'!$A1264)</f>
        <v/>
      </c>
    </row>
    <row r="1265">
      <c r="I1265">
        <f>IF(OR($A1265="",$B1265=""),"",IF(COUNTIFS($A$2:$A1265,$A1265,$B$2:$B1265,$B1265)=1,1,0))</f>
        <v/>
      </c>
      <c r="J1265">
        <f>IF($A1265="","",ROW())</f>
        <v/>
      </c>
      <c r="L1265">
        <f>IF('01_Warehouse_Ledger'!$A1265="","",'01_Warehouse_Ledger'!$A1265)</f>
        <v/>
      </c>
    </row>
    <row r="1266">
      <c r="I1266">
        <f>IF(OR($A1266="",$B1266=""),"",IF(COUNTIFS($A$2:$A1266,$A1266,$B$2:$B1266,$B1266)=1,1,0))</f>
        <v/>
      </c>
      <c r="J1266">
        <f>IF($A1266="","",ROW())</f>
        <v/>
      </c>
      <c r="L1266">
        <f>IF('01_Warehouse_Ledger'!$A1266="","",'01_Warehouse_Ledger'!$A1266)</f>
        <v/>
      </c>
    </row>
    <row r="1267">
      <c r="I1267">
        <f>IF(OR($A1267="",$B1267=""),"",IF(COUNTIFS($A$2:$A1267,$A1267,$B$2:$B1267,$B1267)=1,1,0))</f>
        <v/>
      </c>
      <c r="J1267">
        <f>IF($A1267="","",ROW())</f>
        <v/>
      </c>
      <c r="L1267">
        <f>IF('01_Warehouse_Ledger'!$A1267="","",'01_Warehouse_Ledger'!$A1267)</f>
        <v/>
      </c>
    </row>
    <row r="1268">
      <c r="I1268">
        <f>IF(OR($A1268="",$B1268=""),"",IF(COUNTIFS($A$2:$A1268,$A1268,$B$2:$B1268,$B1268)=1,1,0))</f>
        <v/>
      </c>
      <c r="J1268">
        <f>IF($A1268="","",ROW())</f>
        <v/>
      </c>
      <c r="L1268">
        <f>IF('01_Warehouse_Ledger'!$A1268="","",'01_Warehouse_Ledger'!$A1268)</f>
        <v/>
      </c>
    </row>
    <row r="1269">
      <c r="I1269">
        <f>IF(OR($A1269="",$B1269=""),"",IF(COUNTIFS($A$2:$A1269,$A1269,$B$2:$B1269,$B1269)=1,1,0))</f>
        <v/>
      </c>
      <c r="J1269">
        <f>IF($A1269="","",ROW())</f>
        <v/>
      </c>
      <c r="L1269">
        <f>IF('01_Warehouse_Ledger'!$A1269="","",'01_Warehouse_Ledger'!$A1269)</f>
        <v/>
      </c>
    </row>
    <row r="1270">
      <c r="I1270">
        <f>IF(OR($A1270="",$B1270=""),"",IF(COUNTIFS($A$2:$A1270,$A1270,$B$2:$B1270,$B1270)=1,1,0))</f>
        <v/>
      </c>
      <c r="J1270">
        <f>IF($A1270="","",ROW())</f>
        <v/>
      </c>
      <c r="L1270">
        <f>IF('01_Warehouse_Ledger'!$A1270="","",'01_Warehouse_Ledger'!$A1270)</f>
        <v/>
      </c>
    </row>
    <row r="1271">
      <c r="I1271">
        <f>IF(OR($A1271="",$B1271=""),"",IF(COUNTIFS($A$2:$A1271,$A1271,$B$2:$B1271,$B1271)=1,1,0))</f>
        <v/>
      </c>
      <c r="J1271">
        <f>IF($A1271="","",ROW())</f>
        <v/>
      </c>
      <c r="L1271">
        <f>IF('01_Warehouse_Ledger'!$A1271="","",'01_Warehouse_Ledger'!$A1271)</f>
        <v/>
      </c>
    </row>
    <row r="1272">
      <c r="I1272">
        <f>IF(OR($A1272="",$B1272=""),"",IF(COUNTIFS($A$2:$A1272,$A1272,$B$2:$B1272,$B1272)=1,1,0))</f>
        <v/>
      </c>
      <c r="J1272">
        <f>IF($A1272="","",ROW())</f>
        <v/>
      </c>
      <c r="L1272">
        <f>IF('01_Warehouse_Ledger'!$A1272="","",'01_Warehouse_Ledger'!$A1272)</f>
        <v/>
      </c>
    </row>
    <row r="1273">
      <c r="I1273">
        <f>IF(OR($A1273="",$B1273=""),"",IF(COUNTIFS($A$2:$A1273,$A1273,$B$2:$B1273,$B1273)=1,1,0))</f>
        <v/>
      </c>
      <c r="J1273">
        <f>IF($A1273="","",ROW())</f>
        <v/>
      </c>
      <c r="L1273">
        <f>IF('01_Warehouse_Ledger'!$A1273="","",'01_Warehouse_Ledger'!$A1273)</f>
        <v/>
      </c>
    </row>
    <row r="1274">
      <c r="I1274">
        <f>IF(OR($A1274="",$B1274=""),"",IF(COUNTIFS($A$2:$A1274,$A1274,$B$2:$B1274,$B1274)=1,1,0))</f>
        <v/>
      </c>
      <c r="J1274">
        <f>IF($A1274="","",ROW())</f>
        <v/>
      </c>
      <c r="L1274">
        <f>IF('01_Warehouse_Ledger'!$A1274="","",'01_Warehouse_Ledger'!$A1274)</f>
        <v/>
      </c>
    </row>
    <row r="1275">
      <c r="I1275">
        <f>IF(OR($A1275="",$B1275=""),"",IF(COUNTIFS($A$2:$A1275,$A1275,$B$2:$B1275,$B1275)=1,1,0))</f>
        <v/>
      </c>
      <c r="J1275">
        <f>IF($A1275="","",ROW())</f>
        <v/>
      </c>
      <c r="L1275">
        <f>IF('01_Warehouse_Ledger'!$A1275="","",'01_Warehouse_Ledger'!$A1275)</f>
        <v/>
      </c>
    </row>
    <row r="1276">
      <c r="I1276">
        <f>IF(OR($A1276="",$B1276=""),"",IF(COUNTIFS($A$2:$A1276,$A1276,$B$2:$B1276,$B1276)=1,1,0))</f>
        <v/>
      </c>
      <c r="J1276">
        <f>IF($A1276="","",ROW())</f>
        <v/>
      </c>
      <c r="L1276">
        <f>IF('01_Warehouse_Ledger'!$A1276="","",'01_Warehouse_Ledger'!$A1276)</f>
        <v/>
      </c>
    </row>
    <row r="1277">
      <c r="I1277">
        <f>IF(OR($A1277="",$B1277=""),"",IF(COUNTIFS($A$2:$A1277,$A1277,$B$2:$B1277,$B1277)=1,1,0))</f>
        <v/>
      </c>
      <c r="J1277">
        <f>IF($A1277="","",ROW())</f>
        <v/>
      </c>
      <c r="L1277">
        <f>IF('01_Warehouse_Ledger'!$A1277="","",'01_Warehouse_Ledger'!$A1277)</f>
        <v/>
      </c>
    </row>
    <row r="1278">
      <c r="I1278">
        <f>IF(OR($A1278="",$B1278=""),"",IF(COUNTIFS($A$2:$A1278,$A1278,$B$2:$B1278,$B1278)=1,1,0))</f>
        <v/>
      </c>
      <c r="J1278">
        <f>IF($A1278="","",ROW())</f>
        <v/>
      </c>
      <c r="L1278">
        <f>IF('01_Warehouse_Ledger'!$A1278="","",'01_Warehouse_Ledger'!$A1278)</f>
        <v/>
      </c>
    </row>
    <row r="1279">
      <c r="I1279">
        <f>IF(OR($A1279="",$B1279=""),"",IF(COUNTIFS($A$2:$A1279,$A1279,$B$2:$B1279,$B1279)=1,1,0))</f>
        <v/>
      </c>
      <c r="J1279">
        <f>IF($A1279="","",ROW())</f>
        <v/>
      </c>
      <c r="L1279">
        <f>IF('01_Warehouse_Ledger'!$A1279="","",'01_Warehouse_Ledger'!$A1279)</f>
        <v/>
      </c>
    </row>
    <row r="1280">
      <c r="I1280">
        <f>IF(OR($A1280="",$B1280=""),"",IF(COUNTIFS($A$2:$A1280,$A1280,$B$2:$B1280,$B1280)=1,1,0))</f>
        <v/>
      </c>
      <c r="J1280">
        <f>IF($A1280="","",ROW())</f>
        <v/>
      </c>
      <c r="L1280">
        <f>IF('01_Warehouse_Ledger'!$A1280="","",'01_Warehouse_Ledger'!$A1280)</f>
        <v/>
      </c>
    </row>
    <row r="1281">
      <c r="I1281">
        <f>IF(OR($A1281="",$B1281=""),"",IF(COUNTIFS($A$2:$A1281,$A1281,$B$2:$B1281,$B1281)=1,1,0))</f>
        <v/>
      </c>
      <c r="J1281">
        <f>IF($A1281="","",ROW())</f>
        <v/>
      </c>
      <c r="L1281">
        <f>IF('01_Warehouse_Ledger'!$A1281="","",'01_Warehouse_Ledger'!$A1281)</f>
        <v/>
      </c>
    </row>
    <row r="1282">
      <c r="I1282">
        <f>IF(OR($A1282="",$B1282=""),"",IF(COUNTIFS($A$2:$A1282,$A1282,$B$2:$B1282,$B1282)=1,1,0))</f>
        <v/>
      </c>
      <c r="J1282">
        <f>IF($A1282="","",ROW())</f>
        <v/>
      </c>
      <c r="L1282">
        <f>IF('01_Warehouse_Ledger'!$A1282="","",'01_Warehouse_Ledger'!$A1282)</f>
        <v/>
      </c>
    </row>
    <row r="1283">
      <c r="I1283">
        <f>IF(OR($A1283="",$B1283=""),"",IF(COUNTIFS($A$2:$A1283,$A1283,$B$2:$B1283,$B1283)=1,1,0))</f>
        <v/>
      </c>
      <c r="J1283">
        <f>IF($A1283="","",ROW())</f>
        <v/>
      </c>
      <c r="L1283">
        <f>IF('01_Warehouse_Ledger'!$A1283="","",'01_Warehouse_Ledger'!$A1283)</f>
        <v/>
      </c>
    </row>
    <row r="1284">
      <c r="I1284">
        <f>IF(OR($A1284="",$B1284=""),"",IF(COUNTIFS($A$2:$A1284,$A1284,$B$2:$B1284,$B1284)=1,1,0))</f>
        <v/>
      </c>
      <c r="J1284">
        <f>IF($A1284="","",ROW())</f>
        <v/>
      </c>
      <c r="L1284">
        <f>IF('01_Warehouse_Ledger'!$A1284="","",'01_Warehouse_Ledger'!$A1284)</f>
        <v/>
      </c>
    </row>
    <row r="1285">
      <c r="I1285">
        <f>IF(OR($A1285="",$B1285=""),"",IF(COUNTIFS($A$2:$A1285,$A1285,$B$2:$B1285,$B1285)=1,1,0))</f>
        <v/>
      </c>
      <c r="J1285">
        <f>IF($A1285="","",ROW())</f>
        <v/>
      </c>
      <c r="L1285">
        <f>IF('01_Warehouse_Ledger'!$A1285="","",'01_Warehouse_Ledger'!$A1285)</f>
        <v/>
      </c>
    </row>
    <row r="1286">
      <c r="I1286">
        <f>IF(OR($A1286="",$B1286=""),"",IF(COUNTIFS($A$2:$A1286,$A1286,$B$2:$B1286,$B1286)=1,1,0))</f>
        <v/>
      </c>
      <c r="J1286">
        <f>IF($A1286="","",ROW())</f>
        <v/>
      </c>
      <c r="L1286">
        <f>IF('01_Warehouse_Ledger'!$A1286="","",'01_Warehouse_Ledger'!$A1286)</f>
        <v/>
      </c>
    </row>
    <row r="1287">
      <c r="I1287">
        <f>IF(OR($A1287="",$B1287=""),"",IF(COUNTIFS($A$2:$A1287,$A1287,$B$2:$B1287,$B1287)=1,1,0))</f>
        <v/>
      </c>
      <c r="J1287">
        <f>IF($A1287="","",ROW())</f>
        <v/>
      </c>
      <c r="L1287">
        <f>IF('01_Warehouse_Ledger'!$A1287="","",'01_Warehouse_Ledger'!$A1287)</f>
        <v/>
      </c>
    </row>
    <row r="1288">
      <c r="I1288">
        <f>IF(OR($A1288="",$B1288=""),"",IF(COUNTIFS($A$2:$A1288,$A1288,$B$2:$B1288,$B1288)=1,1,0))</f>
        <v/>
      </c>
      <c r="J1288">
        <f>IF($A1288="","",ROW())</f>
        <v/>
      </c>
      <c r="L1288">
        <f>IF('01_Warehouse_Ledger'!$A1288="","",'01_Warehouse_Ledger'!$A1288)</f>
        <v/>
      </c>
    </row>
    <row r="1289">
      <c r="I1289">
        <f>IF(OR($A1289="",$B1289=""),"",IF(COUNTIFS($A$2:$A1289,$A1289,$B$2:$B1289,$B1289)=1,1,0))</f>
        <v/>
      </c>
      <c r="J1289">
        <f>IF($A1289="","",ROW())</f>
        <v/>
      </c>
      <c r="L1289">
        <f>IF('01_Warehouse_Ledger'!$A1289="","",'01_Warehouse_Ledger'!$A1289)</f>
        <v/>
      </c>
    </row>
    <row r="1290">
      <c r="I1290">
        <f>IF(OR($A1290="",$B1290=""),"",IF(COUNTIFS($A$2:$A1290,$A1290,$B$2:$B1290,$B1290)=1,1,0))</f>
        <v/>
      </c>
      <c r="J1290">
        <f>IF($A1290="","",ROW())</f>
        <v/>
      </c>
      <c r="L1290">
        <f>IF('01_Warehouse_Ledger'!$A1290="","",'01_Warehouse_Ledger'!$A1290)</f>
        <v/>
      </c>
    </row>
    <row r="1291">
      <c r="I1291">
        <f>IF(OR($A1291="",$B1291=""),"",IF(COUNTIFS($A$2:$A1291,$A1291,$B$2:$B1291,$B1291)=1,1,0))</f>
        <v/>
      </c>
      <c r="J1291">
        <f>IF($A1291="","",ROW())</f>
        <v/>
      </c>
      <c r="L1291">
        <f>IF('01_Warehouse_Ledger'!$A1291="","",'01_Warehouse_Ledger'!$A1291)</f>
        <v/>
      </c>
    </row>
    <row r="1292">
      <c r="I1292">
        <f>IF(OR($A1292="",$B1292=""),"",IF(COUNTIFS($A$2:$A1292,$A1292,$B$2:$B1292,$B1292)=1,1,0))</f>
        <v/>
      </c>
      <c r="J1292">
        <f>IF($A1292="","",ROW())</f>
        <v/>
      </c>
      <c r="L1292">
        <f>IF('01_Warehouse_Ledger'!$A1292="","",'01_Warehouse_Ledger'!$A1292)</f>
        <v/>
      </c>
    </row>
    <row r="1293">
      <c r="I1293">
        <f>IF(OR($A1293="",$B1293=""),"",IF(COUNTIFS($A$2:$A1293,$A1293,$B$2:$B1293,$B1293)=1,1,0))</f>
        <v/>
      </c>
      <c r="J1293">
        <f>IF($A1293="","",ROW())</f>
        <v/>
      </c>
      <c r="L1293">
        <f>IF('01_Warehouse_Ledger'!$A1293="","",'01_Warehouse_Ledger'!$A1293)</f>
        <v/>
      </c>
    </row>
    <row r="1294">
      <c r="I1294">
        <f>IF(OR($A1294="",$B1294=""),"",IF(COUNTIFS($A$2:$A1294,$A1294,$B$2:$B1294,$B1294)=1,1,0))</f>
        <v/>
      </c>
      <c r="J1294">
        <f>IF($A1294="","",ROW())</f>
        <v/>
      </c>
      <c r="L1294">
        <f>IF('01_Warehouse_Ledger'!$A1294="","",'01_Warehouse_Ledger'!$A1294)</f>
        <v/>
      </c>
    </row>
    <row r="1295">
      <c r="I1295">
        <f>IF(OR($A1295="",$B1295=""),"",IF(COUNTIFS($A$2:$A1295,$A1295,$B$2:$B1295,$B1295)=1,1,0))</f>
        <v/>
      </c>
      <c r="J1295">
        <f>IF($A1295="","",ROW())</f>
        <v/>
      </c>
      <c r="L1295">
        <f>IF('01_Warehouse_Ledger'!$A1295="","",'01_Warehouse_Ledger'!$A1295)</f>
        <v/>
      </c>
    </row>
    <row r="1296">
      <c r="I1296">
        <f>IF(OR($A1296="",$B1296=""),"",IF(COUNTIFS($A$2:$A1296,$A1296,$B$2:$B1296,$B1296)=1,1,0))</f>
        <v/>
      </c>
      <c r="J1296">
        <f>IF($A1296="","",ROW())</f>
        <v/>
      </c>
      <c r="L1296">
        <f>IF('01_Warehouse_Ledger'!$A1296="","",'01_Warehouse_Ledger'!$A1296)</f>
        <v/>
      </c>
    </row>
    <row r="1297">
      <c r="I1297">
        <f>IF(OR($A1297="",$B1297=""),"",IF(COUNTIFS($A$2:$A1297,$A1297,$B$2:$B1297,$B1297)=1,1,0))</f>
        <v/>
      </c>
      <c r="J1297">
        <f>IF($A1297="","",ROW())</f>
        <v/>
      </c>
      <c r="L1297">
        <f>IF('01_Warehouse_Ledger'!$A1297="","",'01_Warehouse_Ledger'!$A1297)</f>
        <v/>
      </c>
    </row>
    <row r="1298">
      <c r="I1298">
        <f>IF(OR($A1298="",$B1298=""),"",IF(COUNTIFS($A$2:$A1298,$A1298,$B$2:$B1298,$B1298)=1,1,0))</f>
        <v/>
      </c>
      <c r="J1298">
        <f>IF($A1298="","",ROW())</f>
        <v/>
      </c>
      <c r="L1298">
        <f>IF('01_Warehouse_Ledger'!$A1298="","",'01_Warehouse_Ledger'!$A1298)</f>
        <v/>
      </c>
    </row>
    <row r="1299">
      <c r="I1299">
        <f>IF(OR($A1299="",$B1299=""),"",IF(COUNTIFS($A$2:$A1299,$A1299,$B$2:$B1299,$B1299)=1,1,0))</f>
        <v/>
      </c>
      <c r="J1299">
        <f>IF($A1299="","",ROW())</f>
        <v/>
      </c>
      <c r="L1299">
        <f>IF('01_Warehouse_Ledger'!$A1299="","",'01_Warehouse_Ledger'!$A1299)</f>
        <v/>
      </c>
    </row>
    <row r="1300">
      <c r="I1300">
        <f>IF(OR($A1300="",$B1300=""),"",IF(COUNTIFS($A$2:$A1300,$A1300,$B$2:$B1300,$B1300)=1,1,0))</f>
        <v/>
      </c>
      <c r="J1300">
        <f>IF($A1300="","",ROW())</f>
        <v/>
      </c>
      <c r="L1300">
        <f>IF('01_Warehouse_Ledger'!$A1300="","",'01_Warehouse_Ledger'!$A1300)</f>
        <v/>
      </c>
    </row>
    <row r="1301">
      <c r="I1301">
        <f>IF(OR($A1301="",$B1301=""),"",IF(COUNTIFS($A$2:$A1301,$A1301,$B$2:$B1301,$B1301)=1,1,0))</f>
        <v/>
      </c>
      <c r="J1301">
        <f>IF($A1301="","",ROW())</f>
        <v/>
      </c>
      <c r="L1301">
        <f>IF('01_Warehouse_Ledger'!$A1301="","",'01_Warehouse_Ledger'!$A1301)</f>
        <v/>
      </c>
    </row>
    <row r="1302">
      <c r="I1302">
        <f>IF(OR($A1302="",$B1302=""),"",IF(COUNTIFS($A$2:$A1302,$A1302,$B$2:$B1302,$B1302)=1,1,0))</f>
        <v/>
      </c>
      <c r="J1302">
        <f>IF($A1302="","",ROW())</f>
        <v/>
      </c>
      <c r="L1302">
        <f>IF('01_Warehouse_Ledger'!$A1302="","",'01_Warehouse_Ledger'!$A1302)</f>
        <v/>
      </c>
    </row>
    <row r="1303">
      <c r="I1303">
        <f>IF(OR($A1303="",$B1303=""),"",IF(COUNTIFS($A$2:$A1303,$A1303,$B$2:$B1303,$B1303)=1,1,0))</f>
        <v/>
      </c>
      <c r="J1303">
        <f>IF($A1303="","",ROW())</f>
        <v/>
      </c>
      <c r="L1303">
        <f>IF('01_Warehouse_Ledger'!$A1303="","",'01_Warehouse_Ledger'!$A1303)</f>
        <v/>
      </c>
    </row>
    <row r="1304">
      <c r="I1304">
        <f>IF(OR($A1304="",$B1304=""),"",IF(COUNTIFS($A$2:$A1304,$A1304,$B$2:$B1304,$B1304)=1,1,0))</f>
        <v/>
      </c>
      <c r="J1304">
        <f>IF($A1304="","",ROW())</f>
        <v/>
      </c>
      <c r="L1304">
        <f>IF('01_Warehouse_Ledger'!$A1304="","",'01_Warehouse_Ledger'!$A1304)</f>
        <v/>
      </c>
    </row>
    <row r="1305">
      <c r="I1305">
        <f>IF(OR($A1305="",$B1305=""),"",IF(COUNTIFS($A$2:$A1305,$A1305,$B$2:$B1305,$B1305)=1,1,0))</f>
        <v/>
      </c>
      <c r="J1305">
        <f>IF($A1305="","",ROW())</f>
        <v/>
      </c>
      <c r="L1305">
        <f>IF('01_Warehouse_Ledger'!$A1305="","",'01_Warehouse_Ledger'!$A1305)</f>
        <v/>
      </c>
    </row>
    <row r="1306">
      <c r="I1306">
        <f>IF(OR($A1306="",$B1306=""),"",IF(COUNTIFS($A$2:$A1306,$A1306,$B$2:$B1306,$B1306)=1,1,0))</f>
        <v/>
      </c>
      <c r="J1306">
        <f>IF($A1306="","",ROW())</f>
        <v/>
      </c>
      <c r="L1306">
        <f>IF('01_Warehouse_Ledger'!$A1306="","",'01_Warehouse_Ledger'!$A1306)</f>
        <v/>
      </c>
    </row>
    <row r="1307">
      <c r="I1307">
        <f>IF(OR($A1307="",$B1307=""),"",IF(COUNTIFS($A$2:$A1307,$A1307,$B$2:$B1307,$B1307)=1,1,0))</f>
        <v/>
      </c>
      <c r="J1307">
        <f>IF($A1307="","",ROW())</f>
        <v/>
      </c>
      <c r="L1307">
        <f>IF('01_Warehouse_Ledger'!$A1307="","",'01_Warehouse_Ledger'!$A1307)</f>
        <v/>
      </c>
    </row>
    <row r="1308">
      <c r="I1308">
        <f>IF(OR($A1308="",$B1308=""),"",IF(COUNTIFS($A$2:$A1308,$A1308,$B$2:$B1308,$B1308)=1,1,0))</f>
        <v/>
      </c>
      <c r="J1308">
        <f>IF($A1308="","",ROW())</f>
        <v/>
      </c>
      <c r="L1308">
        <f>IF('01_Warehouse_Ledger'!$A1308="","",'01_Warehouse_Ledger'!$A1308)</f>
        <v/>
      </c>
    </row>
    <row r="1309">
      <c r="I1309">
        <f>IF(OR($A1309="",$B1309=""),"",IF(COUNTIFS($A$2:$A1309,$A1309,$B$2:$B1309,$B1309)=1,1,0))</f>
        <v/>
      </c>
      <c r="J1309">
        <f>IF($A1309="","",ROW())</f>
        <v/>
      </c>
      <c r="L1309">
        <f>IF('01_Warehouse_Ledger'!$A1309="","",'01_Warehouse_Ledger'!$A1309)</f>
        <v/>
      </c>
    </row>
    <row r="1310">
      <c r="I1310">
        <f>IF(OR($A1310="",$B1310=""),"",IF(COUNTIFS($A$2:$A1310,$A1310,$B$2:$B1310,$B1310)=1,1,0))</f>
        <v/>
      </c>
      <c r="J1310">
        <f>IF($A1310="","",ROW())</f>
        <v/>
      </c>
      <c r="L1310">
        <f>IF('01_Warehouse_Ledger'!$A1310="","",'01_Warehouse_Ledger'!$A1310)</f>
        <v/>
      </c>
    </row>
    <row r="1311">
      <c r="I1311">
        <f>IF(OR($A1311="",$B1311=""),"",IF(COUNTIFS($A$2:$A1311,$A1311,$B$2:$B1311,$B1311)=1,1,0))</f>
        <v/>
      </c>
      <c r="J1311">
        <f>IF($A1311="","",ROW())</f>
        <v/>
      </c>
      <c r="L1311">
        <f>IF('01_Warehouse_Ledger'!$A1311="","",'01_Warehouse_Ledger'!$A1311)</f>
        <v/>
      </c>
    </row>
    <row r="1312">
      <c r="I1312">
        <f>IF(OR($A1312="",$B1312=""),"",IF(COUNTIFS($A$2:$A1312,$A1312,$B$2:$B1312,$B1312)=1,1,0))</f>
        <v/>
      </c>
      <c r="J1312">
        <f>IF($A1312="","",ROW())</f>
        <v/>
      </c>
      <c r="L1312">
        <f>IF('01_Warehouse_Ledger'!$A1312="","",'01_Warehouse_Ledger'!$A1312)</f>
        <v/>
      </c>
    </row>
    <row r="1313">
      <c r="I1313">
        <f>IF(OR($A1313="",$B1313=""),"",IF(COUNTIFS($A$2:$A1313,$A1313,$B$2:$B1313,$B1313)=1,1,0))</f>
        <v/>
      </c>
      <c r="J1313">
        <f>IF($A1313="","",ROW())</f>
        <v/>
      </c>
      <c r="L1313">
        <f>IF('01_Warehouse_Ledger'!$A1313="","",'01_Warehouse_Ledger'!$A1313)</f>
        <v/>
      </c>
    </row>
    <row r="1314">
      <c r="I1314">
        <f>IF(OR($A1314="",$B1314=""),"",IF(COUNTIFS($A$2:$A1314,$A1314,$B$2:$B1314,$B1314)=1,1,0))</f>
        <v/>
      </c>
      <c r="J1314">
        <f>IF($A1314="","",ROW())</f>
        <v/>
      </c>
      <c r="L1314">
        <f>IF('01_Warehouse_Ledger'!$A1314="","",'01_Warehouse_Ledger'!$A1314)</f>
        <v/>
      </c>
    </row>
    <row r="1315">
      <c r="I1315">
        <f>IF(OR($A1315="",$B1315=""),"",IF(COUNTIFS($A$2:$A1315,$A1315,$B$2:$B1315,$B1315)=1,1,0))</f>
        <v/>
      </c>
      <c r="J1315">
        <f>IF($A1315="","",ROW())</f>
        <v/>
      </c>
      <c r="L1315">
        <f>IF('01_Warehouse_Ledger'!$A1315="","",'01_Warehouse_Ledger'!$A1315)</f>
        <v/>
      </c>
    </row>
    <row r="1316">
      <c r="I1316">
        <f>IF(OR($A1316="",$B1316=""),"",IF(COUNTIFS($A$2:$A1316,$A1316,$B$2:$B1316,$B1316)=1,1,0))</f>
        <v/>
      </c>
      <c r="J1316">
        <f>IF($A1316="","",ROW())</f>
        <v/>
      </c>
      <c r="L1316">
        <f>IF('01_Warehouse_Ledger'!$A1316="","",'01_Warehouse_Ledger'!$A1316)</f>
        <v/>
      </c>
    </row>
    <row r="1317">
      <c r="I1317">
        <f>IF(OR($A1317="",$B1317=""),"",IF(COUNTIFS($A$2:$A1317,$A1317,$B$2:$B1317,$B1317)=1,1,0))</f>
        <v/>
      </c>
      <c r="J1317">
        <f>IF($A1317="","",ROW())</f>
        <v/>
      </c>
      <c r="L1317">
        <f>IF('01_Warehouse_Ledger'!$A1317="","",'01_Warehouse_Ledger'!$A1317)</f>
        <v/>
      </c>
    </row>
    <row r="1318">
      <c r="I1318">
        <f>IF(OR($A1318="",$B1318=""),"",IF(COUNTIFS($A$2:$A1318,$A1318,$B$2:$B1318,$B1318)=1,1,0))</f>
        <v/>
      </c>
      <c r="J1318">
        <f>IF($A1318="","",ROW())</f>
        <v/>
      </c>
      <c r="L1318">
        <f>IF('01_Warehouse_Ledger'!$A1318="","",'01_Warehouse_Ledger'!$A1318)</f>
        <v/>
      </c>
    </row>
    <row r="1319">
      <c r="I1319">
        <f>IF(OR($A1319="",$B1319=""),"",IF(COUNTIFS($A$2:$A1319,$A1319,$B$2:$B1319,$B1319)=1,1,0))</f>
        <v/>
      </c>
      <c r="J1319">
        <f>IF($A1319="","",ROW())</f>
        <v/>
      </c>
      <c r="L1319">
        <f>IF('01_Warehouse_Ledger'!$A1319="","",'01_Warehouse_Ledger'!$A1319)</f>
        <v/>
      </c>
    </row>
    <row r="1320">
      <c r="I1320">
        <f>IF(OR($A1320="",$B1320=""),"",IF(COUNTIFS($A$2:$A1320,$A1320,$B$2:$B1320,$B1320)=1,1,0))</f>
        <v/>
      </c>
      <c r="J1320">
        <f>IF($A1320="","",ROW())</f>
        <v/>
      </c>
      <c r="L1320">
        <f>IF('01_Warehouse_Ledger'!$A1320="","",'01_Warehouse_Ledger'!$A1320)</f>
        <v/>
      </c>
    </row>
    <row r="1321">
      <c r="I1321">
        <f>IF(OR($A1321="",$B1321=""),"",IF(COUNTIFS($A$2:$A1321,$A1321,$B$2:$B1321,$B1321)=1,1,0))</f>
        <v/>
      </c>
      <c r="J1321">
        <f>IF($A1321="","",ROW())</f>
        <v/>
      </c>
      <c r="L1321">
        <f>IF('01_Warehouse_Ledger'!$A1321="","",'01_Warehouse_Ledger'!$A1321)</f>
        <v/>
      </c>
    </row>
    <row r="1322">
      <c r="I1322">
        <f>IF(OR($A1322="",$B1322=""),"",IF(COUNTIFS($A$2:$A1322,$A1322,$B$2:$B1322,$B1322)=1,1,0))</f>
        <v/>
      </c>
      <c r="J1322">
        <f>IF($A1322="","",ROW())</f>
        <v/>
      </c>
      <c r="L1322">
        <f>IF('01_Warehouse_Ledger'!$A1322="","",'01_Warehouse_Ledger'!$A1322)</f>
        <v/>
      </c>
    </row>
    <row r="1323">
      <c r="I1323">
        <f>IF(OR($A1323="",$B1323=""),"",IF(COUNTIFS($A$2:$A1323,$A1323,$B$2:$B1323,$B1323)=1,1,0))</f>
        <v/>
      </c>
      <c r="J1323">
        <f>IF($A1323="","",ROW())</f>
        <v/>
      </c>
      <c r="L1323">
        <f>IF('01_Warehouse_Ledger'!$A1323="","",'01_Warehouse_Ledger'!$A1323)</f>
        <v/>
      </c>
    </row>
    <row r="1324">
      <c r="I1324">
        <f>IF(OR($A1324="",$B1324=""),"",IF(COUNTIFS($A$2:$A1324,$A1324,$B$2:$B1324,$B1324)=1,1,0))</f>
        <v/>
      </c>
      <c r="J1324">
        <f>IF($A1324="","",ROW())</f>
        <v/>
      </c>
      <c r="L1324">
        <f>IF('01_Warehouse_Ledger'!$A1324="","",'01_Warehouse_Ledger'!$A1324)</f>
        <v/>
      </c>
    </row>
    <row r="1325">
      <c r="I1325">
        <f>IF(OR($A1325="",$B1325=""),"",IF(COUNTIFS($A$2:$A1325,$A1325,$B$2:$B1325,$B1325)=1,1,0))</f>
        <v/>
      </c>
      <c r="J1325">
        <f>IF($A1325="","",ROW())</f>
        <v/>
      </c>
      <c r="L1325">
        <f>IF('01_Warehouse_Ledger'!$A1325="","",'01_Warehouse_Ledger'!$A1325)</f>
        <v/>
      </c>
    </row>
    <row r="1326">
      <c r="I1326">
        <f>IF(OR($A1326="",$B1326=""),"",IF(COUNTIFS($A$2:$A1326,$A1326,$B$2:$B1326,$B1326)=1,1,0))</f>
        <v/>
      </c>
      <c r="J1326">
        <f>IF($A1326="","",ROW())</f>
        <v/>
      </c>
      <c r="L1326">
        <f>IF('01_Warehouse_Ledger'!$A1326="","",'01_Warehouse_Ledger'!$A1326)</f>
        <v/>
      </c>
    </row>
    <row r="1327">
      <c r="I1327">
        <f>IF(OR($A1327="",$B1327=""),"",IF(COUNTIFS($A$2:$A1327,$A1327,$B$2:$B1327,$B1327)=1,1,0))</f>
        <v/>
      </c>
      <c r="J1327">
        <f>IF($A1327="","",ROW())</f>
        <v/>
      </c>
      <c r="L1327">
        <f>IF('01_Warehouse_Ledger'!$A1327="","",'01_Warehouse_Ledger'!$A1327)</f>
        <v/>
      </c>
    </row>
    <row r="1328">
      <c r="I1328">
        <f>IF(OR($A1328="",$B1328=""),"",IF(COUNTIFS($A$2:$A1328,$A1328,$B$2:$B1328,$B1328)=1,1,0))</f>
        <v/>
      </c>
      <c r="J1328">
        <f>IF($A1328="","",ROW())</f>
        <v/>
      </c>
      <c r="L1328">
        <f>IF('01_Warehouse_Ledger'!$A1328="","",'01_Warehouse_Ledger'!$A1328)</f>
        <v/>
      </c>
    </row>
    <row r="1329">
      <c r="I1329">
        <f>IF(OR($A1329="",$B1329=""),"",IF(COUNTIFS($A$2:$A1329,$A1329,$B$2:$B1329,$B1329)=1,1,0))</f>
        <v/>
      </c>
      <c r="J1329">
        <f>IF($A1329="","",ROW())</f>
        <v/>
      </c>
      <c r="L1329">
        <f>IF('01_Warehouse_Ledger'!$A1329="","",'01_Warehouse_Ledger'!$A1329)</f>
        <v/>
      </c>
    </row>
    <row r="1330">
      <c r="I1330">
        <f>IF(OR($A1330="",$B1330=""),"",IF(COUNTIFS($A$2:$A1330,$A1330,$B$2:$B1330,$B1330)=1,1,0))</f>
        <v/>
      </c>
      <c r="J1330">
        <f>IF($A1330="","",ROW())</f>
        <v/>
      </c>
      <c r="L1330">
        <f>IF('01_Warehouse_Ledger'!$A1330="","",'01_Warehouse_Ledger'!$A1330)</f>
        <v/>
      </c>
    </row>
    <row r="1331">
      <c r="I1331">
        <f>IF(OR($A1331="",$B1331=""),"",IF(COUNTIFS($A$2:$A1331,$A1331,$B$2:$B1331,$B1331)=1,1,0))</f>
        <v/>
      </c>
      <c r="J1331">
        <f>IF($A1331="","",ROW())</f>
        <v/>
      </c>
      <c r="L1331">
        <f>IF('01_Warehouse_Ledger'!$A1331="","",'01_Warehouse_Ledger'!$A1331)</f>
        <v/>
      </c>
    </row>
    <row r="1332">
      <c r="I1332">
        <f>IF(OR($A1332="",$B1332=""),"",IF(COUNTIFS($A$2:$A1332,$A1332,$B$2:$B1332,$B1332)=1,1,0))</f>
        <v/>
      </c>
      <c r="J1332">
        <f>IF($A1332="","",ROW())</f>
        <v/>
      </c>
      <c r="L1332">
        <f>IF('01_Warehouse_Ledger'!$A1332="","",'01_Warehouse_Ledger'!$A1332)</f>
        <v/>
      </c>
    </row>
    <row r="1333">
      <c r="I1333">
        <f>IF(OR($A1333="",$B1333=""),"",IF(COUNTIFS($A$2:$A1333,$A1333,$B$2:$B1333,$B1333)=1,1,0))</f>
        <v/>
      </c>
      <c r="J1333">
        <f>IF($A1333="","",ROW())</f>
        <v/>
      </c>
      <c r="L1333">
        <f>IF('01_Warehouse_Ledger'!$A1333="","",'01_Warehouse_Ledger'!$A1333)</f>
        <v/>
      </c>
    </row>
    <row r="1334">
      <c r="I1334">
        <f>IF(OR($A1334="",$B1334=""),"",IF(COUNTIFS($A$2:$A1334,$A1334,$B$2:$B1334,$B1334)=1,1,0))</f>
        <v/>
      </c>
      <c r="J1334">
        <f>IF($A1334="","",ROW())</f>
        <v/>
      </c>
      <c r="L1334">
        <f>IF('01_Warehouse_Ledger'!$A1334="","",'01_Warehouse_Ledger'!$A1334)</f>
        <v/>
      </c>
    </row>
    <row r="1335">
      <c r="I1335">
        <f>IF(OR($A1335="",$B1335=""),"",IF(COUNTIFS($A$2:$A1335,$A1335,$B$2:$B1335,$B1335)=1,1,0))</f>
        <v/>
      </c>
      <c r="J1335">
        <f>IF($A1335="","",ROW())</f>
        <v/>
      </c>
      <c r="L1335">
        <f>IF('01_Warehouse_Ledger'!$A1335="","",'01_Warehouse_Ledger'!$A1335)</f>
        <v/>
      </c>
    </row>
    <row r="1336">
      <c r="I1336">
        <f>IF(OR($A1336="",$B1336=""),"",IF(COUNTIFS($A$2:$A1336,$A1336,$B$2:$B1336,$B1336)=1,1,0))</f>
        <v/>
      </c>
      <c r="J1336">
        <f>IF($A1336="","",ROW())</f>
        <v/>
      </c>
      <c r="L1336">
        <f>IF('01_Warehouse_Ledger'!$A1336="","",'01_Warehouse_Ledger'!$A1336)</f>
        <v/>
      </c>
    </row>
    <row r="1337">
      <c r="I1337">
        <f>IF(OR($A1337="",$B1337=""),"",IF(COUNTIFS($A$2:$A1337,$A1337,$B$2:$B1337,$B1337)=1,1,0))</f>
        <v/>
      </c>
      <c r="J1337">
        <f>IF($A1337="","",ROW())</f>
        <v/>
      </c>
      <c r="L1337">
        <f>IF('01_Warehouse_Ledger'!$A1337="","",'01_Warehouse_Ledger'!$A1337)</f>
        <v/>
      </c>
    </row>
    <row r="1338">
      <c r="I1338">
        <f>IF(OR($A1338="",$B1338=""),"",IF(COUNTIFS($A$2:$A1338,$A1338,$B$2:$B1338,$B1338)=1,1,0))</f>
        <v/>
      </c>
      <c r="J1338">
        <f>IF($A1338="","",ROW())</f>
        <v/>
      </c>
      <c r="L1338">
        <f>IF('01_Warehouse_Ledger'!$A1338="","",'01_Warehouse_Ledger'!$A1338)</f>
        <v/>
      </c>
    </row>
    <row r="1339">
      <c r="I1339">
        <f>IF(OR($A1339="",$B1339=""),"",IF(COUNTIFS($A$2:$A1339,$A1339,$B$2:$B1339,$B1339)=1,1,0))</f>
        <v/>
      </c>
      <c r="J1339">
        <f>IF($A1339="","",ROW())</f>
        <v/>
      </c>
      <c r="L1339">
        <f>IF('01_Warehouse_Ledger'!$A1339="","",'01_Warehouse_Ledger'!$A1339)</f>
        <v/>
      </c>
    </row>
    <row r="1340">
      <c r="I1340">
        <f>IF(OR($A1340="",$B1340=""),"",IF(COUNTIFS($A$2:$A1340,$A1340,$B$2:$B1340,$B1340)=1,1,0))</f>
        <v/>
      </c>
      <c r="J1340">
        <f>IF($A1340="","",ROW())</f>
        <v/>
      </c>
      <c r="L1340">
        <f>IF('01_Warehouse_Ledger'!$A1340="","",'01_Warehouse_Ledger'!$A1340)</f>
        <v/>
      </c>
    </row>
    <row r="1341">
      <c r="I1341">
        <f>IF(OR($A1341="",$B1341=""),"",IF(COUNTIFS($A$2:$A1341,$A1341,$B$2:$B1341,$B1341)=1,1,0))</f>
        <v/>
      </c>
      <c r="J1341">
        <f>IF($A1341="","",ROW())</f>
        <v/>
      </c>
      <c r="L1341">
        <f>IF('01_Warehouse_Ledger'!$A1341="","",'01_Warehouse_Ledger'!$A1341)</f>
        <v/>
      </c>
    </row>
    <row r="1342">
      <c r="I1342">
        <f>IF(OR($A1342="",$B1342=""),"",IF(COUNTIFS($A$2:$A1342,$A1342,$B$2:$B1342,$B1342)=1,1,0))</f>
        <v/>
      </c>
      <c r="J1342">
        <f>IF($A1342="","",ROW())</f>
        <v/>
      </c>
      <c r="L1342">
        <f>IF('01_Warehouse_Ledger'!$A1342="","",'01_Warehouse_Ledger'!$A1342)</f>
        <v/>
      </c>
    </row>
    <row r="1343">
      <c r="I1343">
        <f>IF(OR($A1343="",$B1343=""),"",IF(COUNTIFS($A$2:$A1343,$A1343,$B$2:$B1343,$B1343)=1,1,0))</f>
        <v/>
      </c>
      <c r="J1343">
        <f>IF($A1343="","",ROW())</f>
        <v/>
      </c>
      <c r="L1343">
        <f>IF('01_Warehouse_Ledger'!$A1343="","",'01_Warehouse_Ledger'!$A1343)</f>
        <v/>
      </c>
    </row>
    <row r="1344">
      <c r="I1344">
        <f>IF(OR($A1344="",$B1344=""),"",IF(COUNTIFS($A$2:$A1344,$A1344,$B$2:$B1344,$B1344)=1,1,0))</f>
        <v/>
      </c>
      <c r="J1344">
        <f>IF($A1344="","",ROW())</f>
        <v/>
      </c>
      <c r="L1344">
        <f>IF('01_Warehouse_Ledger'!$A1344="","",'01_Warehouse_Ledger'!$A1344)</f>
        <v/>
      </c>
    </row>
    <row r="1345">
      <c r="I1345">
        <f>IF(OR($A1345="",$B1345=""),"",IF(COUNTIFS($A$2:$A1345,$A1345,$B$2:$B1345,$B1345)=1,1,0))</f>
        <v/>
      </c>
      <c r="J1345">
        <f>IF($A1345="","",ROW())</f>
        <v/>
      </c>
      <c r="L1345">
        <f>IF('01_Warehouse_Ledger'!$A1345="","",'01_Warehouse_Ledger'!$A1345)</f>
        <v/>
      </c>
    </row>
    <row r="1346">
      <c r="I1346">
        <f>IF(OR($A1346="",$B1346=""),"",IF(COUNTIFS($A$2:$A1346,$A1346,$B$2:$B1346,$B1346)=1,1,0))</f>
        <v/>
      </c>
      <c r="J1346">
        <f>IF($A1346="","",ROW())</f>
        <v/>
      </c>
      <c r="L1346">
        <f>IF('01_Warehouse_Ledger'!$A1346="","",'01_Warehouse_Ledger'!$A1346)</f>
        <v/>
      </c>
    </row>
    <row r="1347">
      <c r="I1347">
        <f>IF(OR($A1347="",$B1347=""),"",IF(COUNTIFS($A$2:$A1347,$A1347,$B$2:$B1347,$B1347)=1,1,0))</f>
        <v/>
      </c>
      <c r="J1347">
        <f>IF($A1347="","",ROW())</f>
        <v/>
      </c>
      <c r="L1347">
        <f>IF('01_Warehouse_Ledger'!$A1347="","",'01_Warehouse_Ledger'!$A1347)</f>
        <v/>
      </c>
    </row>
    <row r="1348">
      <c r="I1348">
        <f>IF(OR($A1348="",$B1348=""),"",IF(COUNTIFS($A$2:$A1348,$A1348,$B$2:$B1348,$B1348)=1,1,0))</f>
        <v/>
      </c>
      <c r="J1348">
        <f>IF($A1348="","",ROW())</f>
        <v/>
      </c>
      <c r="L1348">
        <f>IF('01_Warehouse_Ledger'!$A1348="","",'01_Warehouse_Ledger'!$A1348)</f>
        <v/>
      </c>
    </row>
    <row r="1349">
      <c r="I1349">
        <f>IF(OR($A1349="",$B1349=""),"",IF(COUNTIFS($A$2:$A1349,$A1349,$B$2:$B1349,$B1349)=1,1,0))</f>
        <v/>
      </c>
      <c r="J1349">
        <f>IF($A1349="","",ROW())</f>
        <v/>
      </c>
      <c r="L1349">
        <f>IF('01_Warehouse_Ledger'!$A1349="","",'01_Warehouse_Ledger'!$A1349)</f>
        <v/>
      </c>
    </row>
    <row r="1350">
      <c r="I1350">
        <f>IF(OR($A1350="",$B1350=""),"",IF(COUNTIFS($A$2:$A1350,$A1350,$B$2:$B1350,$B1350)=1,1,0))</f>
        <v/>
      </c>
      <c r="J1350">
        <f>IF($A1350="","",ROW())</f>
        <v/>
      </c>
      <c r="L1350">
        <f>IF('01_Warehouse_Ledger'!$A1350="","",'01_Warehouse_Ledger'!$A1350)</f>
        <v/>
      </c>
    </row>
    <row r="1351">
      <c r="I1351">
        <f>IF(OR($A1351="",$B1351=""),"",IF(COUNTIFS($A$2:$A1351,$A1351,$B$2:$B1351,$B1351)=1,1,0))</f>
        <v/>
      </c>
      <c r="J1351">
        <f>IF($A1351="","",ROW())</f>
        <v/>
      </c>
      <c r="L1351">
        <f>IF('01_Warehouse_Ledger'!$A1351="","",'01_Warehouse_Ledger'!$A1351)</f>
        <v/>
      </c>
    </row>
    <row r="1352">
      <c r="I1352">
        <f>IF(OR($A1352="",$B1352=""),"",IF(COUNTIFS($A$2:$A1352,$A1352,$B$2:$B1352,$B1352)=1,1,0))</f>
        <v/>
      </c>
      <c r="J1352">
        <f>IF($A1352="","",ROW())</f>
        <v/>
      </c>
      <c r="L1352">
        <f>IF('01_Warehouse_Ledger'!$A1352="","",'01_Warehouse_Ledger'!$A1352)</f>
        <v/>
      </c>
    </row>
    <row r="1353">
      <c r="I1353">
        <f>IF(OR($A1353="",$B1353=""),"",IF(COUNTIFS($A$2:$A1353,$A1353,$B$2:$B1353,$B1353)=1,1,0))</f>
        <v/>
      </c>
      <c r="J1353">
        <f>IF($A1353="","",ROW())</f>
        <v/>
      </c>
      <c r="L1353">
        <f>IF('01_Warehouse_Ledger'!$A1353="","",'01_Warehouse_Ledger'!$A1353)</f>
        <v/>
      </c>
    </row>
    <row r="1354">
      <c r="I1354">
        <f>IF(OR($A1354="",$B1354=""),"",IF(COUNTIFS($A$2:$A1354,$A1354,$B$2:$B1354,$B1354)=1,1,0))</f>
        <v/>
      </c>
      <c r="J1354">
        <f>IF($A1354="","",ROW())</f>
        <v/>
      </c>
      <c r="L1354">
        <f>IF('01_Warehouse_Ledger'!$A1354="","",'01_Warehouse_Ledger'!$A1354)</f>
        <v/>
      </c>
    </row>
    <row r="1355">
      <c r="I1355">
        <f>IF(OR($A1355="",$B1355=""),"",IF(COUNTIFS($A$2:$A1355,$A1355,$B$2:$B1355,$B1355)=1,1,0))</f>
        <v/>
      </c>
      <c r="J1355">
        <f>IF($A1355="","",ROW())</f>
        <v/>
      </c>
      <c r="L1355">
        <f>IF('01_Warehouse_Ledger'!$A1355="","",'01_Warehouse_Ledger'!$A1355)</f>
        <v/>
      </c>
    </row>
    <row r="1356">
      <c r="I1356">
        <f>IF(OR($A1356="",$B1356=""),"",IF(COUNTIFS($A$2:$A1356,$A1356,$B$2:$B1356,$B1356)=1,1,0))</f>
        <v/>
      </c>
      <c r="J1356">
        <f>IF($A1356="","",ROW())</f>
        <v/>
      </c>
      <c r="L1356">
        <f>IF('01_Warehouse_Ledger'!$A1356="","",'01_Warehouse_Ledger'!$A1356)</f>
        <v/>
      </c>
    </row>
    <row r="1357">
      <c r="I1357">
        <f>IF(OR($A1357="",$B1357=""),"",IF(COUNTIFS($A$2:$A1357,$A1357,$B$2:$B1357,$B1357)=1,1,0))</f>
        <v/>
      </c>
      <c r="J1357">
        <f>IF($A1357="","",ROW())</f>
        <v/>
      </c>
      <c r="L1357">
        <f>IF('01_Warehouse_Ledger'!$A1357="","",'01_Warehouse_Ledger'!$A1357)</f>
        <v/>
      </c>
    </row>
    <row r="1358">
      <c r="I1358">
        <f>IF(OR($A1358="",$B1358=""),"",IF(COUNTIFS($A$2:$A1358,$A1358,$B$2:$B1358,$B1358)=1,1,0))</f>
        <v/>
      </c>
      <c r="J1358">
        <f>IF($A1358="","",ROW())</f>
        <v/>
      </c>
      <c r="L1358">
        <f>IF('01_Warehouse_Ledger'!$A1358="","",'01_Warehouse_Ledger'!$A1358)</f>
        <v/>
      </c>
    </row>
    <row r="1359">
      <c r="I1359">
        <f>IF(OR($A1359="",$B1359=""),"",IF(COUNTIFS($A$2:$A1359,$A1359,$B$2:$B1359,$B1359)=1,1,0))</f>
        <v/>
      </c>
      <c r="J1359">
        <f>IF($A1359="","",ROW())</f>
        <v/>
      </c>
      <c r="L1359">
        <f>IF('01_Warehouse_Ledger'!$A1359="","",'01_Warehouse_Ledger'!$A1359)</f>
        <v/>
      </c>
    </row>
    <row r="1360">
      <c r="I1360">
        <f>IF(OR($A1360="",$B1360=""),"",IF(COUNTIFS($A$2:$A1360,$A1360,$B$2:$B1360,$B1360)=1,1,0))</f>
        <v/>
      </c>
      <c r="J1360">
        <f>IF($A1360="","",ROW())</f>
        <v/>
      </c>
      <c r="L1360">
        <f>IF('01_Warehouse_Ledger'!$A1360="","",'01_Warehouse_Ledger'!$A1360)</f>
        <v/>
      </c>
    </row>
    <row r="1361">
      <c r="I1361">
        <f>IF(OR($A1361="",$B1361=""),"",IF(COUNTIFS($A$2:$A1361,$A1361,$B$2:$B1361,$B1361)=1,1,0))</f>
        <v/>
      </c>
      <c r="J1361">
        <f>IF($A1361="","",ROW())</f>
        <v/>
      </c>
      <c r="L1361">
        <f>IF('01_Warehouse_Ledger'!$A1361="","",'01_Warehouse_Ledger'!$A1361)</f>
        <v/>
      </c>
    </row>
    <row r="1362">
      <c r="I1362">
        <f>IF(OR($A1362="",$B1362=""),"",IF(COUNTIFS($A$2:$A1362,$A1362,$B$2:$B1362,$B1362)=1,1,0))</f>
        <v/>
      </c>
      <c r="J1362">
        <f>IF($A1362="","",ROW())</f>
        <v/>
      </c>
      <c r="L1362">
        <f>IF('01_Warehouse_Ledger'!$A1362="","",'01_Warehouse_Ledger'!$A1362)</f>
        <v/>
      </c>
    </row>
    <row r="1363">
      <c r="I1363">
        <f>IF(OR($A1363="",$B1363=""),"",IF(COUNTIFS($A$2:$A1363,$A1363,$B$2:$B1363,$B1363)=1,1,0))</f>
        <v/>
      </c>
      <c r="J1363">
        <f>IF($A1363="","",ROW())</f>
        <v/>
      </c>
      <c r="L1363">
        <f>IF('01_Warehouse_Ledger'!$A1363="","",'01_Warehouse_Ledger'!$A1363)</f>
        <v/>
      </c>
    </row>
    <row r="1364">
      <c r="I1364">
        <f>IF(OR($A1364="",$B1364=""),"",IF(COUNTIFS($A$2:$A1364,$A1364,$B$2:$B1364,$B1364)=1,1,0))</f>
        <v/>
      </c>
      <c r="J1364">
        <f>IF($A1364="","",ROW())</f>
        <v/>
      </c>
      <c r="L1364">
        <f>IF('01_Warehouse_Ledger'!$A1364="","",'01_Warehouse_Ledger'!$A1364)</f>
        <v/>
      </c>
    </row>
    <row r="1365">
      <c r="I1365">
        <f>IF(OR($A1365="",$B1365=""),"",IF(COUNTIFS($A$2:$A1365,$A1365,$B$2:$B1365,$B1365)=1,1,0))</f>
        <v/>
      </c>
      <c r="J1365">
        <f>IF($A1365="","",ROW())</f>
        <v/>
      </c>
      <c r="L1365">
        <f>IF('01_Warehouse_Ledger'!$A1365="","",'01_Warehouse_Ledger'!$A1365)</f>
        <v/>
      </c>
    </row>
    <row r="1366">
      <c r="I1366">
        <f>IF(OR($A1366="",$B1366=""),"",IF(COUNTIFS($A$2:$A1366,$A1366,$B$2:$B1366,$B1366)=1,1,0))</f>
        <v/>
      </c>
      <c r="J1366">
        <f>IF($A1366="","",ROW())</f>
        <v/>
      </c>
      <c r="L1366">
        <f>IF('01_Warehouse_Ledger'!$A1366="","",'01_Warehouse_Ledger'!$A1366)</f>
        <v/>
      </c>
    </row>
    <row r="1367">
      <c r="I1367">
        <f>IF(OR($A1367="",$B1367=""),"",IF(COUNTIFS($A$2:$A1367,$A1367,$B$2:$B1367,$B1367)=1,1,0))</f>
        <v/>
      </c>
      <c r="J1367">
        <f>IF($A1367="","",ROW())</f>
        <v/>
      </c>
      <c r="L1367">
        <f>IF('01_Warehouse_Ledger'!$A1367="","",'01_Warehouse_Ledger'!$A1367)</f>
        <v/>
      </c>
    </row>
    <row r="1368">
      <c r="I1368">
        <f>IF(OR($A1368="",$B1368=""),"",IF(COUNTIFS($A$2:$A1368,$A1368,$B$2:$B1368,$B1368)=1,1,0))</f>
        <v/>
      </c>
      <c r="J1368">
        <f>IF($A1368="","",ROW())</f>
        <v/>
      </c>
      <c r="L1368">
        <f>IF('01_Warehouse_Ledger'!$A1368="","",'01_Warehouse_Ledger'!$A1368)</f>
        <v/>
      </c>
    </row>
    <row r="1369">
      <c r="I1369">
        <f>IF(OR($A1369="",$B1369=""),"",IF(COUNTIFS($A$2:$A1369,$A1369,$B$2:$B1369,$B1369)=1,1,0))</f>
        <v/>
      </c>
      <c r="J1369">
        <f>IF($A1369="","",ROW())</f>
        <v/>
      </c>
      <c r="L1369">
        <f>IF('01_Warehouse_Ledger'!$A1369="","",'01_Warehouse_Ledger'!$A1369)</f>
        <v/>
      </c>
    </row>
    <row r="1370">
      <c r="I1370">
        <f>IF(OR($A1370="",$B1370=""),"",IF(COUNTIFS($A$2:$A1370,$A1370,$B$2:$B1370,$B1370)=1,1,0))</f>
        <v/>
      </c>
      <c r="J1370">
        <f>IF($A1370="","",ROW())</f>
        <v/>
      </c>
      <c r="L1370">
        <f>IF('01_Warehouse_Ledger'!$A1370="","",'01_Warehouse_Ledger'!$A1370)</f>
        <v/>
      </c>
    </row>
    <row r="1371">
      <c r="I1371">
        <f>IF(OR($A1371="",$B1371=""),"",IF(COUNTIFS($A$2:$A1371,$A1371,$B$2:$B1371,$B1371)=1,1,0))</f>
        <v/>
      </c>
      <c r="J1371">
        <f>IF($A1371="","",ROW())</f>
        <v/>
      </c>
      <c r="L1371">
        <f>IF('01_Warehouse_Ledger'!$A1371="","",'01_Warehouse_Ledger'!$A1371)</f>
        <v/>
      </c>
    </row>
    <row r="1372">
      <c r="I1372">
        <f>IF(OR($A1372="",$B1372=""),"",IF(COUNTIFS($A$2:$A1372,$A1372,$B$2:$B1372,$B1372)=1,1,0))</f>
        <v/>
      </c>
      <c r="J1372">
        <f>IF($A1372="","",ROW())</f>
        <v/>
      </c>
      <c r="L1372">
        <f>IF('01_Warehouse_Ledger'!$A1372="","",'01_Warehouse_Ledger'!$A1372)</f>
        <v/>
      </c>
    </row>
    <row r="1373">
      <c r="I1373">
        <f>IF(OR($A1373="",$B1373=""),"",IF(COUNTIFS($A$2:$A1373,$A1373,$B$2:$B1373,$B1373)=1,1,0))</f>
        <v/>
      </c>
      <c r="J1373">
        <f>IF($A1373="","",ROW())</f>
        <v/>
      </c>
      <c r="L1373">
        <f>IF('01_Warehouse_Ledger'!$A1373="","",'01_Warehouse_Ledger'!$A1373)</f>
        <v/>
      </c>
    </row>
    <row r="1374">
      <c r="I1374">
        <f>IF(OR($A1374="",$B1374=""),"",IF(COUNTIFS($A$2:$A1374,$A1374,$B$2:$B1374,$B1374)=1,1,0))</f>
        <v/>
      </c>
      <c r="J1374">
        <f>IF($A1374="","",ROW())</f>
        <v/>
      </c>
      <c r="L1374">
        <f>IF('01_Warehouse_Ledger'!$A1374="","",'01_Warehouse_Ledger'!$A1374)</f>
        <v/>
      </c>
    </row>
    <row r="1375">
      <c r="I1375">
        <f>IF(OR($A1375="",$B1375=""),"",IF(COUNTIFS($A$2:$A1375,$A1375,$B$2:$B1375,$B1375)=1,1,0))</f>
        <v/>
      </c>
      <c r="J1375">
        <f>IF($A1375="","",ROW())</f>
        <v/>
      </c>
      <c r="L1375">
        <f>IF('01_Warehouse_Ledger'!$A1375="","",'01_Warehouse_Ledger'!$A1375)</f>
        <v/>
      </c>
    </row>
    <row r="1376">
      <c r="I1376">
        <f>IF(OR($A1376="",$B1376=""),"",IF(COUNTIFS($A$2:$A1376,$A1376,$B$2:$B1376,$B1376)=1,1,0))</f>
        <v/>
      </c>
      <c r="J1376">
        <f>IF($A1376="","",ROW())</f>
        <v/>
      </c>
      <c r="L1376">
        <f>IF('01_Warehouse_Ledger'!$A1376="","",'01_Warehouse_Ledger'!$A1376)</f>
        <v/>
      </c>
    </row>
    <row r="1377">
      <c r="I1377">
        <f>IF(OR($A1377="",$B1377=""),"",IF(COUNTIFS($A$2:$A1377,$A1377,$B$2:$B1377,$B1377)=1,1,0))</f>
        <v/>
      </c>
      <c r="J1377">
        <f>IF($A1377="","",ROW())</f>
        <v/>
      </c>
      <c r="L1377">
        <f>IF('01_Warehouse_Ledger'!$A1377="","",'01_Warehouse_Ledger'!$A1377)</f>
        <v/>
      </c>
    </row>
    <row r="1378">
      <c r="I1378">
        <f>IF(OR($A1378="",$B1378=""),"",IF(COUNTIFS($A$2:$A1378,$A1378,$B$2:$B1378,$B1378)=1,1,0))</f>
        <v/>
      </c>
      <c r="J1378">
        <f>IF($A1378="","",ROW())</f>
        <v/>
      </c>
      <c r="L1378">
        <f>IF('01_Warehouse_Ledger'!$A1378="","",'01_Warehouse_Ledger'!$A1378)</f>
        <v/>
      </c>
    </row>
    <row r="1379">
      <c r="I1379">
        <f>IF(OR($A1379="",$B1379=""),"",IF(COUNTIFS($A$2:$A1379,$A1379,$B$2:$B1379,$B1379)=1,1,0))</f>
        <v/>
      </c>
      <c r="J1379">
        <f>IF($A1379="","",ROW())</f>
        <v/>
      </c>
      <c r="L1379">
        <f>IF('01_Warehouse_Ledger'!$A1379="","",'01_Warehouse_Ledger'!$A1379)</f>
        <v/>
      </c>
    </row>
    <row r="1380">
      <c r="I1380">
        <f>IF(OR($A1380="",$B1380=""),"",IF(COUNTIFS($A$2:$A1380,$A1380,$B$2:$B1380,$B1380)=1,1,0))</f>
        <v/>
      </c>
      <c r="J1380">
        <f>IF($A1380="","",ROW())</f>
        <v/>
      </c>
      <c r="L1380">
        <f>IF('01_Warehouse_Ledger'!$A1380="","",'01_Warehouse_Ledger'!$A1380)</f>
        <v/>
      </c>
    </row>
    <row r="1381">
      <c r="I1381">
        <f>IF(OR($A1381="",$B1381=""),"",IF(COUNTIFS($A$2:$A1381,$A1381,$B$2:$B1381,$B1381)=1,1,0))</f>
        <v/>
      </c>
      <c r="J1381">
        <f>IF($A1381="","",ROW())</f>
        <v/>
      </c>
      <c r="L1381">
        <f>IF('01_Warehouse_Ledger'!$A1381="","",'01_Warehouse_Ledger'!$A1381)</f>
        <v/>
      </c>
    </row>
    <row r="1382">
      <c r="I1382">
        <f>IF(OR($A1382="",$B1382=""),"",IF(COUNTIFS($A$2:$A1382,$A1382,$B$2:$B1382,$B1382)=1,1,0))</f>
        <v/>
      </c>
      <c r="J1382">
        <f>IF($A1382="","",ROW())</f>
        <v/>
      </c>
      <c r="L1382">
        <f>IF('01_Warehouse_Ledger'!$A1382="","",'01_Warehouse_Ledger'!$A1382)</f>
        <v/>
      </c>
    </row>
    <row r="1383">
      <c r="I1383">
        <f>IF(OR($A1383="",$B1383=""),"",IF(COUNTIFS($A$2:$A1383,$A1383,$B$2:$B1383,$B1383)=1,1,0))</f>
        <v/>
      </c>
      <c r="J1383">
        <f>IF($A1383="","",ROW())</f>
        <v/>
      </c>
      <c r="L1383">
        <f>IF('01_Warehouse_Ledger'!$A1383="","",'01_Warehouse_Ledger'!$A1383)</f>
        <v/>
      </c>
    </row>
    <row r="1384">
      <c r="I1384">
        <f>IF(OR($A1384="",$B1384=""),"",IF(COUNTIFS($A$2:$A1384,$A1384,$B$2:$B1384,$B1384)=1,1,0))</f>
        <v/>
      </c>
      <c r="J1384">
        <f>IF($A1384="","",ROW())</f>
        <v/>
      </c>
      <c r="L1384">
        <f>IF('01_Warehouse_Ledger'!$A1384="","",'01_Warehouse_Ledger'!$A1384)</f>
        <v/>
      </c>
    </row>
    <row r="1385">
      <c r="I1385">
        <f>IF(OR($A1385="",$B1385=""),"",IF(COUNTIFS($A$2:$A1385,$A1385,$B$2:$B1385,$B1385)=1,1,0))</f>
        <v/>
      </c>
      <c r="J1385">
        <f>IF($A1385="","",ROW())</f>
        <v/>
      </c>
      <c r="L1385">
        <f>IF('01_Warehouse_Ledger'!$A1385="","",'01_Warehouse_Ledger'!$A1385)</f>
        <v/>
      </c>
    </row>
    <row r="1386">
      <c r="I1386">
        <f>IF(OR($A1386="",$B1386=""),"",IF(COUNTIFS($A$2:$A1386,$A1386,$B$2:$B1386,$B1386)=1,1,0))</f>
        <v/>
      </c>
      <c r="J1386">
        <f>IF($A1386="","",ROW())</f>
        <v/>
      </c>
      <c r="L1386">
        <f>IF('01_Warehouse_Ledger'!$A1386="","",'01_Warehouse_Ledger'!$A1386)</f>
        <v/>
      </c>
    </row>
    <row r="1387">
      <c r="I1387">
        <f>IF(OR($A1387="",$B1387=""),"",IF(COUNTIFS($A$2:$A1387,$A1387,$B$2:$B1387,$B1387)=1,1,0))</f>
        <v/>
      </c>
      <c r="J1387">
        <f>IF($A1387="","",ROW())</f>
        <v/>
      </c>
      <c r="L1387">
        <f>IF('01_Warehouse_Ledger'!$A1387="","",'01_Warehouse_Ledger'!$A1387)</f>
        <v/>
      </c>
    </row>
    <row r="1388">
      <c r="I1388">
        <f>IF(OR($A1388="",$B1388=""),"",IF(COUNTIFS($A$2:$A1388,$A1388,$B$2:$B1388,$B1388)=1,1,0))</f>
        <v/>
      </c>
      <c r="J1388">
        <f>IF($A1388="","",ROW())</f>
        <v/>
      </c>
      <c r="L1388">
        <f>IF('01_Warehouse_Ledger'!$A1388="","",'01_Warehouse_Ledger'!$A1388)</f>
        <v/>
      </c>
    </row>
    <row r="1389">
      <c r="I1389">
        <f>IF(OR($A1389="",$B1389=""),"",IF(COUNTIFS($A$2:$A1389,$A1389,$B$2:$B1389,$B1389)=1,1,0))</f>
        <v/>
      </c>
      <c r="J1389">
        <f>IF($A1389="","",ROW())</f>
        <v/>
      </c>
      <c r="L1389">
        <f>IF('01_Warehouse_Ledger'!$A1389="","",'01_Warehouse_Ledger'!$A1389)</f>
        <v/>
      </c>
    </row>
    <row r="1390">
      <c r="I1390">
        <f>IF(OR($A1390="",$B1390=""),"",IF(COUNTIFS($A$2:$A1390,$A1390,$B$2:$B1390,$B1390)=1,1,0))</f>
        <v/>
      </c>
      <c r="J1390">
        <f>IF($A1390="","",ROW())</f>
        <v/>
      </c>
      <c r="L1390">
        <f>IF('01_Warehouse_Ledger'!$A1390="","",'01_Warehouse_Ledger'!$A1390)</f>
        <v/>
      </c>
    </row>
    <row r="1391">
      <c r="I1391">
        <f>IF(OR($A1391="",$B1391=""),"",IF(COUNTIFS($A$2:$A1391,$A1391,$B$2:$B1391,$B1391)=1,1,0))</f>
        <v/>
      </c>
      <c r="J1391">
        <f>IF($A1391="","",ROW())</f>
        <v/>
      </c>
      <c r="L1391">
        <f>IF('01_Warehouse_Ledger'!$A1391="","",'01_Warehouse_Ledger'!$A1391)</f>
        <v/>
      </c>
    </row>
    <row r="1392">
      <c r="I1392">
        <f>IF(OR($A1392="",$B1392=""),"",IF(COUNTIFS($A$2:$A1392,$A1392,$B$2:$B1392,$B1392)=1,1,0))</f>
        <v/>
      </c>
      <c r="J1392">
        <f>IF($A1392="","",ROW())</f>
        <v/>
      </c>
      <c r="L1392">
        <f>IF('01_Warehouse_Ledger'!$A1392="","",'01_Warehouse_Ledger'!$A1392)</f>
        <v/>
      </c>
    </row>
    <row r="1393">
      <c r="I1393">
        <f>IF(OR($A1393="",$B1393=""),"",IF(COUNTIFS($A$2:$A1393,$A1393,$B$2:$B1393,$B1393)=1,1,0))</f>
        <v/>
      </c>
      <c r="J1393">
        <f>IF($A1393="","",ROW())</f>
        <v/>
      </c>
      <c r="L1393">
        <f>IF('01_Warehouse_Ledger'!$A1393="","",'01_Warehouse_Ledger'!$A1393)</f>
        <v/>
      </c>
    </row>
    <row r="1394">
      <c r="I1394">
        <f>IF(OR($A1394="",$B1394=""),"",IF(COUNTIFS($A$2:$A1394,$A1394,$B$2:$B1394,$B1394)=1,1,0))</f>
        <v/>
      </c>
      <c r="J1394">
        <f>IF($A1394="","",ROW())</f>
        <v/>
      </c>
      <c r="L1394">
        <f>IF('01_Warehouse_Ledger'!$A1394="","",'01_Warehouse_Ledger'!$A1394)</f>
        <v/>
      </c>
    </row>
    <row r="1395">
      <c r="I1395">
        <f>IF(OR($A1395="",$B1395=""),"",IF(COUNTIFS($A$2:$A1395,$A1395,$B$2:$B1395,$B1395)=1,1,0))</f>
        <v/>
      </c>
      <c r="J1395">
        <f>IF($A1395="","",ROW())</f>
        <v/>
      </c>
      <c r="L1395">
        <f>IF('01_Warehouse_Ledger'!$A1395="","",'01_Warehouse_Ledger'!$A1395)</f>
        <v/>
      </c>
    </row>
    <row r="1396">
      <c r="I1396">
        <f>IF(OR($A1396="",$B1396=""),"",IF(COUNTIFS($A$2:$A1396,$A1396,$B$2:$B1396,$B1396)=1,1,0))</f>
        <v/>
      </c>
      <c r="J1396">
        <f>IF($A1396="","",ROW())</f>
        <v/>
      </c>
      <c r="L1396">
        <f>IF('01_Warehouse_Ledger'!$A1396="","",'01_Warehouse_Ledger'!$A1396)</f>
        <v/>
      </c>
    </row>
    <row r="1397">
      <c r="I1397">
        <f>IF(OR($A1397="",$B1397=""),"",IF(COUNTIFS($A$2:$A1397,$A1397,$B$2:$B1397,$B1397)=1,1,0))</f>
        <v/>
      </c>
      <c r="J1397">
        <f>IF($A1397="","",ROW())</f>
        <v/>
      </c>
      <c r="L1397">
        <f>IF('01_Warehouse_Ledger'!$A1397="","",'01_Warehouse_Ledger'!$A1397)</f>
        <v/>
      </c>
    </row>
    <row r="1398">
      <c r="I1398">
        <f>IF(OR($A1398="",$B1398=""),"",IF(COUNTIFS($A$2:$A1398,$A1398,$B$2:$B1398,$B1398)=1,1,0))</f>
        <v/>
      </c>
      <c r="J1398">
        <f>IF($A1398="","",ROW())</f>
        <v/>
      </c>
      <c r="L1398">
        <f>IF('01_Warehouse_Ledger'!$A1398="","",'01_Warehouse_Ledger'!$A1398)</f>
        <v/>
      </c>
    </row>
    <row r="1399">
      <c r="I1399">
        <f>IF(OR($A1399="",$B1399=""),"",IF(COUNTIFS($A$2:$A1399,$A1399,$B$2:$B1399,$B1399)=1,1,0))</f>
        <v/>
      </c>
      <c r="J1399">
        <f>IF($A1399="","",ROW())</f>
        <v/>
      </c>
      <c r="L1399">
        <f>IF('01_Warehouse_Ledger'!$A1399="","",'01_Warehouse_Ledger'!$A1399)</f>
        <v/>
      </c>
    </row>
    <row r="1400">
      <c r="I1400">
        <f>IF(OR($A1400="",$B1400=""),"",IF(COUNTIFS($A$2:$A1400,$A1400,$B$2:$B1400,$B1400)=1,1,0))</f>
        <v/>
      </c>
      <c r="J1400">
        <f>IF($A1400="","",ROW())</f>
        <v/>
      </c>
      <c r="L1400">
        <f>IF('01_Warehouse_Ledger'!$A1400="","",'01_Warehouse_Ledger'!$A1400)</f>
        <v/>
      </c>
    </row>
    <row r="1401">
      <c r="I1401">
        <f>IF(OR($A1401="",$B1401=""),"",IF(COUNTIFS($A$2:$A1401,$A1401,$B$2:$B1401,$B1401)=1,1,0))</f>
        <v/>
      </c>
      <c r="J1401">
        <f>IF($A1401="","",ROW())</f>
        <v/>
      </c>
      <c r="L1401">
        <f>IF('01_Warehouse_Ledger'!$A1401="","",'01_Warehouse_Ledger'!$A1401)</f>
        <v/>
      </c>
    </row>
    <row r="1402">
      <c r="I1402">
        <f>IF(OR($A1402="",$B1402=""),"",IF(COUNTIFS($A$2:$A1402,$A1402,$B$2:$B1402,$B1402)=1,1,0))</f>
        <v/>
      </c>
      <c r="J1402">
        <f>IF($A1402="","",ROW())</f>
        <v/>
      </c>
      <c r="L1402">
        <f>IF('01_Warehouse_Ledger'!$A1402="","",'01_Warehouse_Ledger'!$A1402)</f>
        <v/>
      </c>
    </row>
    <row r="1403">
      <c r="I1403">
        <f>IF(OR($A1403="",$B1403=""),"",IF(COUNTIFS($A$2:$A1403,$A1403,$B$2:$B1403,$B1403)=1,1,0))</f>
        <v/>
      </c>
      <c r="J1403">
        <f>IF($A1403="","",ROW())</f>
        <v/>
      </c>
      <c r="L1403">
        <f>IF('01_Warehouse_Ledger'!$A1403="","",'01_Warehouse_Ledger'!$A1403)</f>
        <v/>
      </c>
    </row>
    <row r="1404">
      <c r="I1404">
        <f>IF(OR($A1404="",$B1404=""),"",IF(COUNTIFS($A$2:$A1404,$A1404,$B$2:$B1404,$B1404)=1,1,0))</f>
        <v/>
      </c>
      <c r="J1404">
        <f>IF($A1404="","",ROW())</f>
        <v/>
      </c>
      <c r="L1404">
        <f>IF('01_Warehouse_Ledger'!$A1404="","",'01_Warehouse_Ledger'!$A1404)</f>
        <v/>
      </c>
    </row>
    <row r="1405">
      <c r="I1405">
        <f>IF(OR($A1405="",$B1405=""),"",IF(COUNTIFS($A$2:$A1405,$A1405,$B$2:$B1405,$B1405)=1,1,0))</f>
        <v/>
      </c>
      <c r="J1405">
        <f>IF($A1405="","",ROW())</f>
        <v/>
      </c>
      <c r="L1405">
        <f>IF('01_Warehouse_Ledger'!$A1405="","",'01_Warehouse_Ledger'!$A1405)</f>
        <v/>
      </c>
    </row>
    <row r="1406">
      <c r="I1406">
        <f>IF(OR($A1406="",$B1406=""),"",IF(COUNTIFS($A$2:$A1406,$A1406,$B$2:$B1406,$B1406)=1,1,0))</f>
        <v/>
      </c>
      <c r="J1406">
        <f>IF($A1406="","",ROW())</f>
        <v/>
      </c>
      <c r="L1406">
        <f>IF('01_Warehouse_Ledger'!$A1406="","",'01_Warehouse_Ledger'!$A1406)</f>
        <v/>
      </c>
    </row>
    <row r="1407">
      <c r="I1407">
        <f>IF(OR($A1407="",$B1407=""),"",IF(COUNTIFS($A$2:$A1407,$A1407,$B$2:$B1407,$B1407)=1,1,0))</f>
        <v/>
      </c>
      <c r="J1407">
        <f>IF($A1407="","",ROW())</f>
        <v/>
      </c>
      <c r="L1407">
        <f>IF('01_Warehouse_Ledger'!$A1407="","",'01_Warehouse_Ledger'!$A1407)</f>
        <v/>
      </c>
    </row>
    <row r="1408">
      <c r="I1408">
        <f>IF(OR($A1408="",$B1408=""),"",IF(COUNTIFS($A$2:$A1408,$A1408,$B$2:$B1408,$B1408)=1,1,0))</f>
        <v/>
      </c>
      <c r="J1408">
        <f>IF($A1408="","",ROW())</f>
        <v/>
      </c>
      <c r="L1408">
        <f>IF('01_Warehouse_Ledger'!$A1408="","",'01_Warehouse_Ledger'!$A1408)</f>
        <v/>
      </c>
    </row>
    <row r="1409">
      <c r="I1409">
        <f>IF(OR($A1409="",$B1409=""),"",IF(COUNTIFS($A$2:$A1409,$A1409,$B$2:$B1409,$B1409)=1,1,0))</f>
        <v/>
      </c>
      <c r="J1409">
        <f>IF($A1409="","",ROW())</f>
        <v/>
      </c>
      <c r="L1409">
        <f>IF('01_Warehouse_Ledger'!$A1409="","",'01_Warehouse_Ledger'!$A1409)</f>
        <v/>
      </c>
    </row>
    <row r="1410">
      <c r="I1410">
        <f>IF(OR($A1410="",$B1410=""),"",IF(COUNTIFS($A$2:$A1410,$A1410,$B$2:$B1410,$B1410)=1,1,0))</f>
        <v/>
      </c>
      <c r="J1410">
        <f>IF($A1410="","",ROW())</f>
        <v/>
      </c>
      <c r="L1410">
        <f>IF('01_Warehouse_Ledger'!$A1410="","",'01_Warehouse_Ledger'!$A1410)</f>
        <v/>
      </c>
    </row>
    <row r="1411">
      <c r="I1411">
        <f>IF(OR($A1411="",$B1411=""),"",IF(COUNTIFS($A$2:$A1411,$A1411,$B$2:$B1411,$B1411)=1,1,0))</f>
        <v/>
      </c>
      <c r="J1411">
        <f>IF($A1411="","",ROW())</f>
        <v/>
      </c>
      <c r="L1411">
        <f>IF('01_Warehouse_Ledger'!$A1411="","",'01_Warehouse_Ledger'!$A1411)</f>
        <v/>
      </c>
    </row>
    <row r="1412">
      <c r="I1412">
        <f>IF(OR($A1412="",$B1412=""),"",IF(COUNTIFS($A$2:$A1412,$A1412,$B$2:$B1412,$B1412)=1,1,0))</f>
        <v/>
      </c>
      <c r="J1412">
        <f>IF($A1412="","",ROW())</f>
        <v/>
      </c>
      <c r="L1412">
        <f>IF('01_Warehouse_Ledger'!$A1412="","",'01_Warehouse_Ledger'!$A1412)</f>
        <v/>
      </c>
    </row>
    <row r="1413">
      <c r="I1413">
        <f>IF(OR($A1413="",$B1413=""),"",IF(COUNTIFS($A$2:$A1413,$A1413,$B$2:$B1413,$B1413)=1,1,0))</f>
        <v/>
      </c>
      <c r="J1413">
        <f>IF($A1413="","",ROW())</f>
        <v/>
      </c>
      <c r="L1413">
        <f>IF('01_Warehouse_Ledger'!$A1413="","",'01_Warehouse_Ledger'!$A1413)</f>
        <v/>
      </c>
    </row>
    <row r="1414">
      <c r="I1414">
        <f>IF(OR($A1414="",$B1414=""),"",IF(COUNTIFS($A$2:$A1414,$A1414,$B$2:$B1414,$B1414)=1,1,0))</f>
        <v/>
      </c>
      <c r="J1414">
        <f>IF($A1414="","",ROW())</f>
        <v/>
      </c>
      <c r="L1414">
        <f>IF('01_Warehouse_Ledger'!$A1414="","",'01_Warehouse_Ledger'!$A1414)</f>
        <v/>
      </c>
    </row>
    <row r="1415">
      <c r="I1415">
        <f>IF(OR($A1415="",$B1415=""),"",IF(COUNTIFS($A$2:$A1415,$A1415,$B$2:$B1415,$B1415)=1,1,0))</f>
        <v/>
      </c>
      <c r="J1415">
        <f>IF($A1415="","",ROW())</f>
        <v/>
      </c>
      <c r="L1415">
        <f>IF('01_Warehouse_Ledger'!$A1415="","",'01_Warehouse_Ledger'!$A1415)</f>
        <v/>
      </c>
    </row>
    <row r="1416">
      <c r="I1416">
        <f>IF(OR($A1416="",$B1416=""),"",IF(COUNTIFS($A$2:$A1416,$A1416,$B$2:$B1416,$B1416)=1,1,0))</f>
        <v/>
      </c>
      <c r="J1416">
        <f>IF($A1416="","",ROW())</f>
        <v/>
      </c>
      <c r="L1416">
        <f>IF('01_Warehouse_Ledger'!$A1416="","",'01_Warehouse_Ledger'!$A1416)</f>
        <v/>
      </c>
    </row>
    <row r="1417">
      <c r="I1417">
        <f>IF(OR($A1417="",$B1417=""),"",IF(COUNTIFS($A$2:$A1417,$A1417,$B$2:$B1417,$B1417)=1,1,0))</f>
        <v/>
      </c>
      <c r="J1417">
        <f>IF($A1417="","",ROW())</f>
        <v/>
      </c>
      <c r="L1417">
        <f>IF('01_Warehouse_Ledger'!$A1417="","",'01_Warehouse_Ledger'!$A1417)</f>
        <v/>
      </c>
    </row>
    <row r="1418">
      <c r="I1418">
        <f>IF(OR($A1418="",$B1418=""),"",IF(COUNTIFS($A$2:$A1418,$A1418,$B$2:$B1418,$B1418)=1,1,0))</f>
        <v/>
      </c>
      <c r="J1418">
        <f>IF($A1418="","",ROW())</f>
        <v/>
      </c>
      <c r="L1418">
        <f>IF('01_Warehouse_Ledger'!$A1418="","",'01_Warehouse_Ledger'!$A1418)</f>
        <v/>
      </c>
    </row>
    <row r="1419">
      <c r="I1419">
        <f>IF(OR($A1419="",$B1419=""),"",IF(COUNTIFS($A$2:$A1419,$A1419,$B$2:$B1419,$B1419)=1,1,0))</f>
        <v/>
      </c>
      <c r="J1419">
        <f>IF($A1419="","",ROW())</f>
        <v/>
      </c>
      <c r="L1419">
        <f>IF('01_Warehouse_Ledger'!$A1419="","",'01_Warehouse_Ledger'!$A1419)</f>
        <v/>
      </c>
    </row>
    <row r="1420">
      <c r="I1420">
        <f>IF(OR($A1420="",$B1420=""),"",IF(COUNTIFS($A$2:$A1420,$A1420,$B$2:$B1420,$B1420)=1,1,0))</f>
        <v/>
      </c>
      <c r="J1420">
        <f>IF($A1420="","",ROW())</f>
        <v/>
      </c>
      <c r="L1420">
        <f>IF('01_Warehouse_Ledger'!$A1420="","",'01_Warehouse_Ledger'!$A1420)</f>
        <v/>
      </c>
    </row>
    <row r="1421">
      <c r="I1421">
        <f>IF(OR($A1421="",$B1421=""),"",IF(COUNTIFS($A$2:$A1421,$A1421,$B$2:$B1421,$B1421)=1,1,0))</f>
        <v/>
      </c>
      <c r="J1421">
        <f>IF($A1421="","",ROW())</f>
        <v/>
      </c>
      <c r="L1421">
        <f>IF('01_Warehouse_Ledger'!$A1421="","",'01_Warehouse_Ledger'!$A1421)</f>
        <v/>
      </c>
    </row>
    <row r="1422">
      <c r="I1422">
        <f>IF(OR($A1422="",$B1422=""),"",IF(COUNTIFS($A$2:$A1422,$A1422,$B$2:$B1422,$B1422)=1,1,0))</f>
        <v/>
      </c>
      <c r="J1422">
        <f>IF($A1422="","",ROW())</f>
        <v/>
      </c>
      <c r="L1422">
        <f>IF('01_Warehouse_Ledger'!$A1422="","",'01_Warehouse_Ledger'!$A1422)</f>
        <v/>
      </c>
    </row>
    <row r="1423">
      <c r="I1423">
        <f>IF(OR($A1423="",$B1423=""),"",IF(COUNTIFS($A$2:$A1423,$A1423,$B$2:$B1423,$B1423)=1,1,0))</f>
        <v/>
      </c>
      <c r="J1423">
        <f>IF($A1423="","",ROW())</f>
        <v/>
      </c>
      <c r="L1423">
        <f>IF('01_Warehouse_Ledger'!$A1423="","",'01_Warehouse_Ledger'!$A1423)</f>
        <v/>
      </c>
    </row>
    <row r="1424">
      <c r="I1424">
        <f>IF(OR($A1424="",$B1424=""),"",IF(COUNTIFS($A$2:$A1424,$A1424,$B$2:$B1424,$B1424)=1,1,0))</f>
        <v/>
      </c>
      <c r="J1424">
        <f>IF($A1424="","",ROW())</f>
        <v/>
      </c>
      <c r="L1424">
        <f>IF('01_Warehouse_Ledger'!$A1424="","",'01_Warehouse_Ledger'!$A1424)</f>
        <v/>
      </c>
    </row>
    <row r="1425">
      <c r="I1425">
        <f>IF(OR($A1425="",$B1425=""),"",IF(COUNTIFS($A$2:$A1425,$A1425,$B$2:$B1425,$B1425)=1,1,0))</f>
        <v/>
      </c>
      <c r="J1425">
        <f>IF($A1425="","",ROW())</f>
        <v/>
      </c>
      <c r="L1425">
        <f>IF('01_Warehouse_Ledger'!$A1425="","",'01_Warehouse_Ledger'!$A1425)</f>
        <v/>
      </c>
    </row>
    <row r="1426">
      <c r="I1426">
        <f>IF(OR($A1426="",$B1426=""),"",IF(COUNTIFS($A$2:$A1426,$A1426,$B$2:$B1426,$B1426)=1,1,0))</f>
        <v/>
      </c>
      <c r="J1426">
        <f>IF($A1426="","",ROW())</f>
        <v/>
      </c>
      <c r="L1426">
        <f>IF('01_Warehouse_Ledger'!$A1426="","",'01_Warehouse_Ledger'!$A1426)</f>
        <v/>
      </c>
    </row>
    <row r="1427">
      <c r="I1427">
        <f>IF(OR($A1427="",$B1427=""),"",IF(COUNTIFS($A$2:$A1427,$A1427,$B$2:$B1427,$B1427)=1,1,0))</f>
        <v/>
      </c>
      <c r="J1427">
        <f>IF($A1427="","",ROW())</f>
        <v/>
      </c>
      <c r="L1427">
        <f>IF('01_Warehouse_Ledger'!$A1427="","",'01_Warehouse_Ledger'!$A1427)</f>
        <v/>
      </c>
    </row>
    <row r="1428">
      <c r="I1428">
        <f>IF(OR($A1428="",$B1428=""),"",IF(COUNTIFS($A$2:$A1428,$A1428,$B$2:$B1428,$B1428)=1,1,0))</f>
        <v/>
      </c>
      <c r="J1428">
        <f>IF($A1428="","",ROW())</f>
        <v/>
      </c>
      <c r="L1428">
        <f>IF('01_Warehouse_Ledger'!$A1428="","",'01_Warehouse_Ledger'!$A1428)</f>
        <v/>
      </c>
    </row>
    <row r="1429">
      <c r="I1429">
        <f>IF(OR($A1429="",$B1429=""),"",IF(COUNTIFS($A$2:$A1429,$A1429,$B$2:$B1429,$B1429)=1,1,0))</f>
        <v/>
      </c>
      <c r="J1429">
        <f>IF($A1429="","",ROW())</f>
        <v/>
      </c>
      <c r="L1429">
        <f>IF('01_Warehouse_Ledger'!$A1429="","",'01_Warehouse_Ledger'!$A1429)</f>
        <v/>
      </c>
    </row>
    <row r="1430">
      <c r="I1430">
        <f>IF(OR($A1430="",$B1430=""),"",IF(COUNTIFS($A$2:$A1430,$A1430,$B$2:$B1430,$B1430)=1,1,0))</f>
        <v/>
      </c>
      <c r="J1430">
        <f>IF($A1430="","",ROW())</f>
        <v/>
      </c>
      <c r="L1430">
        <f>IF('01_Warehouse_Ledger'!$A1430="","",'01_Warehouse_Ledger'!$A1430)</f>
        <v/>
      </c>
    </row>
    <row r="1431">
      <c r="I1431">
        <f>IF(OR($A1431="",$B1431=""),"",IF(COUNTIFS($A$2:$A1431,$A1431,$B$2:$B1431,$B1431)=1,1,0))</f>
        <v/>
      </c>
      <c r="J1431">
        <f>IF($A1431="","",ROW())</f>
        <v/>
      </c>
      <c r="L1431">
        <f>IF('01_Warehouse_Ledger'!$A1431="","",'01_Warehouse_Ledger'!$A1431)</f>
        <v/>
      </c>
    </row>
    <row r="1432">
      <c r="I1432">
        <f>IF(OR($A1432="",$B1432=""),"",IF(COUNTIFS($A$2:$A1432,$A1432,$B$2:$B1432,$B1432)=1,1,0))</f>
        <v/>
      </c>
      <c r="J1432">
        <f>IF($A1432="","",ROW())</f>
        <v/>
      </c>
      <c r="L1432">
        <f>IF('01_Warehouse_Ledger'!$A1432="","",'01_Warehouse_Ledger'!$A1432)</f>
        <v/>
      </c>
    </row>
    <row r="1433">
      <c r="I1433">
        <f>IF(OR($A1433="",$B1433=""),"",IF(COUNTIFS($A$2:$A1433,$A1433,$B$2:$B1433,$B1433)=1,1,0))</f>
        <v/>
      </c>
      <c r="J1433">
        <f>IF($A1433="","",ROW())</f>
        <v/>
      </c>
      <c r="L1433">
        <f>IF('01_Warehouse_Ledger'!$A1433="","",'01_Warehouse_Ledger'!$A1433)</f>
        <v/>
      </c>
    </row>
    <row r="1434">
      <c r="I1434">
        <f>IF(OR($A1434="",$B1434=""),"",IF(COUNTIFS($A$2:$A1434,$A1434,$B$2:$B1434,$B1434)=1,1,0))</f>
        <v/>
      </c>
      <c r="J1434">
        <f>IF($A1434="","",ROW())</f>
        <v/>
      </c>
      <c r="L1434">
        <f>IF('01_Warehouse_Ledger'!$A1434="","",'01_Warehouse_Ledger'!$A1434)</f>
        <v/>
      </c>
    </row>
    <row r="1435">
      <c r="I1435">
        <f>IF(OR($A1435="",$B1435=""),"",IF(COUNTIFS($A$2:$A1435,$A1435,$B$2:$B1435,$B1435)=1,1,0))</f>
        <v/>
      </c>
      <c r="J1435">
        <f>IF($A1435="","",ROW())</f>
        <v/>
      </c>
      <c r="L1435">
        <f>IF('01_Warehouse_Ledger'!$A1435="","",'01_Warehouse_Ledger'!$A1435)</f>
        <v/>
      </c>
    </row>
    <row r="1436">
      <c r="I1436">
        <f>IF(OR($A1436="",$B1436=""),"",IF(COUNTIFS($A$2:$A1436,$A1436,$B$2:$B1436,$B1436)=1,1,0))</f>
        <v/>
      </c>
      <c r="J1436">
        <f>IF($A1436="","",ROW())</f>
        <v/>
      </c>
      <c r="L1436">
        <f>IF('01_Warehouse_Ledger'!$A1436="","",'01_Warehouse_Ledger'!$A1436)</f>
        <v/>
      </c>
    </row>
    <row r="1437">
      <c r="I1437">
        <f>IF(OR($A1437="",$B1437=""),"",IF(COUNTIFS($A$2:$A1437,$A1437,$B$2:$B1437,$B1437)=1,1,0))</f>
        <v/>
      </c>
      <c r="J1437">
        <f>IF($A1437="","",ROW())</f>
        <v/>
      </c>
      <c r="L1437">
        <f>IF('01_Warehouse_Ledger'!$A1437="","",'01_Warehouse_Ledger'!$A1437)</f>
        <v/>
      </c>
    </row>
    <row r="1438">
      <c r="I1438">
        <f>IF(OR($A1438="",$B1438=""),"",IF(COUNTIFS($A$2:$A1438,$A1438,$B$2:$B1438,$B1438)=1,1,0))</f>
        <v/>
      </c>
      <c r="J1438">
        <f>IF($A1438="","",ROW())</f>
        <v/>
      </c>
      <c r="L1438">
        <f>IF('01_Warehouse_Ledger'!$A1438="","",'01_Warehouse_Ledger'!$A1438)</f>
        <v/>
      </c>
    </row>
    <row r="1439">
      <c r="I1439">
        <f>IF(OR($A1439="",$B1439=""),"",IF(COUNTIFS($A$2:$A1439,$A1439,$B$2:$B1439,$B1439)=1,1,0))</f>
        <v/>
      </c>
      <c r="J1439">
        <f>IF($A1439="","",ROW())</f>
        <v/>
      </c>
      <c r="L1439">
        <f>IF('01_Warehouse_Ledger'!$A1439="","",'01_Warehouse_Ledger'!$A1439)</f>
        <v/>
      </c>
    </row>
    <row r="1440">
      <c r="I1440">
        <f>IF(OR($A1440="",$B1440=""),"",IF(COUNTIFS($A$2:$A1440,$A1440,$B$2:$B1440,$B1440)=1,1,0))</f>
        <v/>
      </c>
      <c r="J1440">
        <f>IF($A1440="","",ROW())</f>
        <v/>
      </c>
      <c r="L1440">
        <f>IF('01_Warehouse_Ledger'!$A1440="","",'01_Warehouse_Ledger'!$A1440)</f>
        <v/>
      </c>
    </row>
    <row r="1441">
      <c r="I1441">
        <f>IF(OR($A1441="",$B1441=""),"",IF(COUNTIFS($A$2:$A1441,$A1441,$B$2:$B1441,$B1441)=1,1,0))</f>
        <v/>
      </c>
      <c r="J1441">
        <f>IF($A1441="","",ROW())</f>
        <v/>
      </c>
      <c r="L1441">
        <f>IF('01_Warehouse_Ledger'!$A1441="","",'01_Warehouse_Ledger'!$A1441)</f>
        <v/>
      </c>
    </row>
    <row r="1442">
      <c r="I1442">
        <f>IF(OR($A1442="",$B1442=""),"",IF(COUNTIFS($A$2:$A1442,$A1442,$B$2:$B1442,$B1442)=1,1,0))</f>
        <v/>
      </c>
      <c r="J1442">
        <f>IF($A1442="","",ROW())</f>
        <v/>
      </c>
      <c r="L1442">
        <f>IF('01_Warehouse_Ledger'!$A1442="","",'01_Warehouse_Ledger'!$A1442)</f>
        <v/>
      </c>
    </row>
    <row r="1443">
      <c r="I1443">
        <f>IF(OR($A1443="",$B1443=""),"",IF(COUNTIFS($A$2:$A1443,$A1443,$B$2:$B1443,$B1443)=1,1,0))</f>
        <v/>
      </c>
      <c r="J1443">
        <f>IF($A1443="","",ROW())</f>
        <v/>
      </c>
      <c r="L1443">
        <f>IF('01_Warehouse_Ledger'!$A1443="","",'01_Warehouse_Ledger'!$A1443)</f>
        <v/>
      </c>
    </row>
    <row r="1444">
      <c r="I1444">
        <f>IF(OR($A1444="",$B1444=""),"",IF(COUNTIFS($A$2:$A1444,$A1444,$B$2:$B1444,$B1444)=1,1,0))</f>
        <v/>
      </c>
      <c r="J1444">
        <f>IF($A1444="","",ROW())</f>
        <v/>
      </c>
      <c r="L1444">
        <f>IF('01_Warehouse_Ledger'!$A1444="","",'01_Warehouse_Ledger'!$A1444)</f>
        <v/>
      </c>
    </row>
    <row r="1445">
      <c r="I1445">
        <f>IF(OR($A1445="",$B1445=""),"",IF(COUNTIFS($A$2:$A1445,$A1445,$B$2:$B1445,$B1445)=1,1,0))</f>
        <v/>
      </c>
      <c r="J1445">
        <f>IF($A1445="","",ROW())</f>
        <v/>
      </c>
      <c r="L1445">
        <f>IF('01_Warehouse_Ledger'!$A1445="","",'01_Warehouse_Ledger'!$A1445)</f>
        <v/>
      </c>
    </row>
    <row r="1446">
      <c r="I1446">
        <f>IF(OR($A1446="",$B1446=""),"",IF(COUNTIFS($A$2:$A1446,$A1446,$B$2:$B1446,$B1446)=1,1,0))</f>
        <v/>
      </c>
      <c r="J1446">
        <f>IF($A1446="","",ROW())</f>
        <v/>
      </c>
      <c r="L1446">
        <f>IF('01_Warehouse_Ledger'!$A1446="","",'01_Warehouse_Ledger'!$A1446)</f>
        <v/>
      </c>
    </row>
    <row r="1447">
      <c r="I1447">
        <f>IF(OR($A1447="",$B1447=""),"",IF(COUNTIFS($A$2:$A1447,$A1447,$B$2:$B1447,$B1447)=1,1,0))</f>
        <v/>
      </c>
      <c r="J1447">
        <f>IF($A1447="","",ROW())</f>
        <v/>
      </c>
      <c r="L1447">
        <f>IF('01_Warehouse_Ledger'!$A1447="","",'01_Warehouse_Ledger'!$A1447)</f>
        <v/>
      </c>
    </row>
    <row r="1448">
      <c r="I1448">
        <f>IF(OR($A1448="",$B1448=""),"",IF(COUNTIFS($A$2:$A1448,$A1448,$B$2:$B1448,$B1448)=1,1,0))</f>
        <v/>
      </c>
      <c r="J1448">
        <f>IF($A1448="","",ROW())</f>
        <v/>
      </c>
      <c r="L1448">
        <f>IF('01_Warehouse_Ledger'!$A1448="","",'01_Warehouse_Ledger'!$A1448)</f>
        <v/>
      </c>
    </row>
    <row r="1449">
      <c r="I1449">
        <f>IF(OR($A1449="",$B1449=""),"",IF(COUNTIFS($A$2:$A1449,$A1449,$B$2:$B1449,$B1449)=1,1,0))</f>
        <v/>
      </c>
      <c r="J1449">
        <f>IF($A1449="","",ROW())</f>
        <v/>
      </c>
      <c r="L1449">
        <f>IF('01_Warehouse_Ledger'!$A1449="","",'01_Warehouse_Ledger'!$A1449)</f>
        <v/>
      </c>
    </row>
    <row r="1450">
      <c r="I1450">
        <f>IF(OR($A1450="",$B1450=""),"",IF(COUNTIFS($A$2:$A1450,$A1450,$B$2:$B1450,$B1450)=1,1,0))</f>
        <v/>
      </c>
      <c r="J1450">
        <f>IF($A1450="","",ROW())</f>
        <v/>
      </c>
      <c r="L1450">
        <f>IF('01_Warehouse_Ledger'!$A1450="","",'01_Warehouse_Ledger'!$A1450)</f>
        <v/>
      </c>
    </row>
    <row r="1451">
      <c r="I1451">
        <f>IF(OR($A1451="",$B1451=""),"",IF(COUNTIFS($A$2:$A1451,$A1451,$B$2:$B1451,$B1451)=1,1,0))</f>
        <v/>
      </c>
      <c r="J1451">
        <f>IF($A1451="","",ROW())</f>
        <v/>
      </c>
      <c r="L1451">
        <f>IF('01_Warehouse_Ledger'!$A1451="","",'01_Warehouse_Ledger'!$A1451)</f>
        <v/>
      </c>
    </row>
    <row r="1452">
      <c r="I1452">
        <f>IF(OR($A1452="",$B1452=""),"",IF(COUNTIFS($A$2:$A1452,$A1452,$B$2:$B1452,$B1452)=1,1,0))</f>
        <v/>
      </c>
      <c r="J1452">
        <f>IF($A1452="","",ROW())</f>
        <v/>
      </c>
      <c r="L1452">
        <f>IF('01_Warehouse_Ledger'!$A1452="","",'01_Warehouse_Ledger'!$A1452)</f>
        <v/>
      </c>
    </row>
    <row r="1453">
      <c r="I1453">
        <f>IF(OR($A1453="",$B1453=""),"",IF(COUNTIFS($A$2:$A1453,$A1453,$B$2:$B1453,$B1453)=1,1,0))</f>
        <v/>
      </c>
      <c r="J1453">
        <f>IF($A1453="","",ROW())</f>
        <v/>
      </c>
      <c r="L1453">
        <f>IF('01_Warehouse_Ledger'!$A1453="","",'01_Warehouse_Ledger'!$A1453)</f>
        <v/>
      </c>
    </row>
    <row r="1454">
      <c r="I1454">
        <f>IF(OR($A1454="",$B1454=""),"",IF(COUNTIFS($A$2:$A1454,$A1454,$B$2:$B1454,$B1454)=1,1,0))</f>
        <v/>
      </c>
      <c r="J1454">
        <f>IF($A1454="","",ROW())</f>
        <v/>
      </c>
      <c r="L1454">
        <f>IF('01_Warehouse_Ledger'!$A1454="","",'01_Warehouse_Ledger'!$A1454)</f>
        <v/>
      </c>
    </row>
    <row r="1455">
      <c r="I1455">
        <f>IF(OR($A1455="",$B1455=""),"",IF(COUNTIFS($A$2:$A1455,$A1455,$B$2:$B1455,$B1455)=1,1,0))</f>
        <v/>
      </c>
      <c r="J1455">
        <f>IF($A1455="","",ROW())</f>
        <v/>
      </c>
      <c r="L1455">
        <f>IF('01_Warehouse_Ledger'!$A1455="","",'01_Warehouse_Ledger'!$A1455)</f>
        <v/>
      </c>
    </row>
    <row r="1456">
      <c r="I1456">
        <f>IF(OR($A1456="",$B1456=""),"",IF(COUNTIFS($A$2:$A1456,$A1456,$B$2:$B1456,$B1456)=1,1,0))</f>
        <v/>
      </c>
      <c r="J1456">
        <f>IF($A1456="","",ROW())</f>
        <v/>
      </c>
      <c r="L1456">
        <f>IF('01_Warehouse_Ledger'!$A1456="","",'01_Warehouse_Ledger'!$A1456)</f>
        <v/>
      </c>
    </row>
    <row r="1457">
      <c r="I1457">
        <f>IF(OR($A1457="",$B1457=""),"",IF(COUNTIFS($A$2:$A1457,$A1457,$B$2:$B1457,$B1457)=1,1,0))</f>
        <v/>
      </c>
      <c r="J1457">
        <f>IF($A1457="","",ROW())</f>
        <v/>
      </c>
      <c r="L1457">
        <f>IF('01_Warehouse_Ledger'!$A1457="","",'01_Warehouse_Ledger'!$A1457)</f>
        <v/>
      </c>
    </row>
    <row r="1458">
      <c r="I1458">
        <f>IF(OR($A1458="",$B1458=""),"",IF(COUNTIFS($A$2:$A1458,$A1458,$B$2:$B1458,$B1458)=1,1,0))</f>
        <v/>
      </c>
      <c r="J1458">
        <f>IF($A1458="","",ROW())</f>
        <v/>
      </c>
      <c r="L1458">
        <f>IF('01_Warehouse_Ledger'!$A1458="","",'01_Warehouse_Ledger'!$A1458)</f>
        <v/>
      </c>
    </row>
    <row r="1459">
      <c r="I1459">
        <f>IF(OR($A1459="",$B1459=""),"",IF(COUNTIFS($A$2:$A1459,$A1459,$B$2:$B1459,$B1459)=1,1,0))</f>
        <v/>
      </c>
      <c r="J1459">
        <f>IF($A1459="","",ROW())</f>
        <v/>
      </c>
      <c r="L1459">
        <f>IF('01_Warehouse_Ledger'!$A1459="","",'01_Warehouse_Ledger'!$A1459)</f>
        <v/>
      </c>
    </row>
    <row r="1460">
      <c r="I1460">
        <f>IF(OR($A1460="",$B1460=""),"",IF(COUNTIFS($A$2:$A1460,$A1460,$B$2:$B1460,$B1460)=1,1,0))</f>
        <v/>
      </c>
      <c r="J1460">
        <f>IF($A1460="","",ROW())</f>
        <v/>
      </c>
      <c r="L1460">
        <f>IF('01_Warehouse_Ledger'!$A1460="","",'01_Warehouse_Ledger'!$A1460)</f>
        <v/>
      </c>
    </row>
    <row r="1461">
      <c r="I1461">
        <f>IF(OR($A1461="",$B1461=""),"",IF(COUNTIFS($A$2:$A1461,$A1461,$B$2:$B1461,$B1461)=1,1,0))</f>
        <v/>
      </c>
      <c r="J1461">
        <f>IF($A1461="","",ROW())</f>
        <v/>
      </c>
      <c r="L1461">
        <f>IF('01_Warehouse_Ledger'!$A1461="","",'01_Warehouse_Ledger'!$A1461)</f>
        <v/>
      </c>
    </row>
    <row r="1462">
      <c r="I1462">
        <f>IF(OR($A1462="",$B1462=""),"",IF(COUNTIFS($A$2:$A1462,$A1462,$B$2:$B1462,$B1462)=1,1,0))</f>
        <v/>
      </c>
      <c r="J1462">
        <f>IF($A1462="","",ROW())</f>
        <v/>
      </c>
      <c r="L1462">
        <f>IF('01_Warehouse_Ledger'!$A1462="","",'01_Warehouse_Ledger'!$A1462)</f>
        <v/>
      </c>
    </row>
    <row r="1463">
      <c r="I1463">
        <f>IF(OR($A1463="",$B1463=""),"",IF(COUNTIFS($A$2:$A1463,$A1463,$B$2:$B1463,$B1463)=1,1,0))</f>
        <v/>
      </c>
      <c r="J1463">
        <f>IF($A1463="","",ROW())</f>
        <v/>
      </c>
      <c r="L1463">
        <f>IF('01_Warehouse_Ledger'!$A1463="","",'01_Warehouse_Ledger'!$A1463)</f>
        <v/>
      </c>
    </row>
    <row r="1464">
      <c r="I1464">
        <f>IF(OR($A1464="",$B1464=""),"",IF(COUNTIFS($A$2:$A1464,$A1464,$B$2:$B1464,$B1464)=1,1,0))</f>
        <v/>
      </c>
      <c r="J1464">
        <f>IF($A1464="","",ROW())</f>
        <v/>
      </c>
      <c r="L1464">
        <f>IF('01_Warehouse_Ledger'!$A1464="","",'01_Warehouse_Ledger'!$A1464)</f>
        <v/>
      </c>
    </row>
    <row r="1465">
      <c r="I1465">
        <f>IF(OR($A1465="",$B1465=""),"",IF(COUNTIFS($A$2:$A1465,$A1465,$B$2:$B1465,$B1465)=1,1,0))</f>
        <v/>
      </c>
      <c r="J1465">
        <f>IF($A1465="","",ROW())</f>
        <v/>
      </c>
      <c r="L1465">
        <f>IF('01_Warehouse_Ledger'!$A1465="","",'01_Warehouse_Ledger'!$A1465)</f>
        <v/>
      </c>
    </row>
    <row r="1466">
      <c r="I1466">
        <f>IF(OR($A1466="",$B1466=""),"",IF(COUNTIFS($A$2:$A1466,$A1466,$B$2:$B1466,$B1466)=1,1,0))</f>
        <v/>
      </c>
      <c r="J1466">
        <f>IF($A1466="","",ROW())</f>
        <v/>
      </c>
      <c r="L1466">
        <f>IF('01_Warehouse_Ledger'!$A1466="","",'01_Warehouse_Ledger'!$A1466)</f>
        <v/>
      </c>
    </row>
    <row r="1467">
      <c r="I1467">
        <f>IF(OR($A1467="",$B1467=""),"",IF(COUNTIFS($A$2:$A1467,$A1467,$B$2:$B1467,$B1467)=1,1,0))</f>
        <v/>
      </c>
      <c r="J1467">
        <f>IF($A1467="","",ROW())</f>
        <v/>
      </c>
      <c r="L1467">
        <f>IF('01_Warehouse_Ledger'!$A1467="","",'01_Warehouse_Ledger'!$A1467)</f>
        <v/>
      </c>
    </row>
    <row r="1468">
      <c r="I1468">
        <f>IF(OR($A1468="",$B1468=""),"",IF(COUNTIFS($A$2:$A1468,$A1468,$B$2:$B1468,$B1468)=1,1,0))</f>
        <v/>
      </c>
      <c r="J1468">
        <f>IF($A1468="","",ROW())</f>
        <v/>
      </c>
      <c r="L1468">
        <f>IF('01_Warehouse_Ledger'!$A1468="","",'01_Warehouse_Ledger'!$A1468)</f>
        <v/>
      </c>
    </row>
    <row r="1469">
      <c r="I1469">
        <f>IF(OR($A1469="",$B1469=""),"",IF(COUNTIFS($A$2:$A1469,$A1469,$B$2:$B1469,$B1469)=1,1,0))</f>
        <v/>
      </c>
      <c r="J1469">
        <f>IF($A1469="","",ROW())</f>
        <v/>
      </c>
      <c r="L1469">
        <f>IF('01_Warehouse_Ledger'!$A1469="","",'01_Warehouse_Ledger'!$A1469)</f>
        <v/>
      </c>
    </row>
    <row r="1470">
      <c r="I1470">
        <f>IF(OR($A1470="",$B1470=""),"",IF(COUNTIFS($A$2:$A1470,$A1470,$B$2:$B1470,$B1470)=1,1,0))</f>
        <v/>
      </c>
      <c r="J1470">
        <f>IF($A1470="","",ROW())</f>
        <v/>
      </c>
      <c r="L1470">
        <f>IF('01_Warehouse_Ledger'!$A1470="","",'01_Warehouse_Ledger'!$A1470)</f>
        <v/>
      </c>
    </row>
    <row r="1471">
      <c r="I1471">
        <f>IF(OR($A1471="",$B1471=""),"",IF(COUNTIFS($A$2:$A1471,$A1471,$B$2:$B1471,$B1471)=1,1,0))</f>
        <v/>
      </c>
      <c r="J1471">
        <f>IF($A1471="","",ROW())</f>
        <v/>
      </c>
      <c r="L1471">
        <f>IF('01_Warehouse_Ledger'!$A1471="","",'01_Warehouse_Ledger'!$A1471)</f>
        <v/>
      </c>
    </row>
    <row r="1472">
      <c r="I1472">
        <f>IF(OR($A1472="",$B1472=""),"",IF(COUNTIFS($A$2:$A1472,$A1472,$B$2:$B1472,$B1472)=1,1,0))</f>
        <v/>
      </c>
      <c r="J1472">
        <f>IF($A1472="","",ROW())</f>
        <v/>
      </c>
      <c r="L1472">
        <f>IF('01_Warehouse_Ledger'!$A1472="","",'01_Warehouse_Ledger'!$A1472)</f>
        <v/>
      </c>
    </row>
    <row r="1473">
      <c r="I1473">
        <f>IF(OR($A1473="",$B1473=""),"",IF(COUNTIFS($A$2:$A1473,$A1473,$B$2:$B1473,$B1473)=1,1,0))</f>
        <v/>
      </c>
      <c r="J1473">
        <f>IF($A1473="","",ROW())</f>
        <v/>
      </c>
      <c r="L1473">
        <f>IF('01_Warehouse_Ledger'!$A1473="","",'01_Warehouse_Ledger'!$A1473)</f>
        <v/>
      </c>
    </row>
    <row r="1474">
      <c r="I1474">
        <f>IF(OR($A1474="",$B1474=""),"",IF(COUNTIFS($A$2:$A1474,$A1474,$B$2:$B1474,$B1474)=1,1,0))</f>
        <v/>
      </c>
      <c r="J1474">
        <f>IF($A1474="","",ROW())</f>
        <v/>
      </c>
      <c r="L1474">
        <f>IF('01_Warehouse_Ledger'!$A1474="","",'01_Warehouse_Ledger'!$A1474)</f>
        <v/>
      </c>
    </row>
    <row r="1475">
      <c r="I1475">
        <f>IF(OR($A1475="",$B1475=""),"",IF(COUNTIFS($A$2:$A1475,$A1475,$B$2:$B1475,$B1475)=1,1,0))</f>
        <v/>
      </c>
      <c r="J1475">
        <f>IF($A1475="","",ROW())</f>
        <v/>
      </c>
      <c r="L1475">
        <f>IF('01_Warehouse_Ledger'!$A1475="","",'01_Warehouse_Ledger'!$A1475)</f>
        <v/>
      </c>
    </row>
    <row r="1476">
      <c r="I1476">
        <f>IF(OR($A1476="",$B1476=""),"",IF(COUNTIFS($A$2:$A1476,$A1476,$B$2:$B1476,$B1476)=1,1,0))</f>
        <v/>
      </c>
      <c r="J1476">
        <f>IF($A1476="","",ROW())</f>
        <v/>
      </c>
      <c r="L1476">
        <f>IF('01_Warehouse_Ledger'!$A1476="","",'01_Warehouse_Ledger'!$A1476)</f>
        <v/>
      </c>
    </row>
    <row r="1477">
      <c r="I1477">
        <f>IF(OR($A1477="",$B1477=""),"",IF(COUNTIFS($A$2:$A1477,$A1477,$B$2:$B1477,$B1477)=1,1,0))</f>
        <v/>
      </c>
      <c r="J1477">
        <f>IF($A1477="","",ROW())</f>
        <v/>
      </c>
      <c r="L1477">
        <f>IF('01_Warehouse_Ledger'!$A1477="","",'01_Warehouse_Ledger'!$A1477)</f>
        <v/>
      </c>
    </row>
    <row r="1478">
      <c r="I1478">
        <f>IF(OR($A1478="",$B1478=""),"",IF(COUNTIFS($A$2:$A1478,$A1478,$B$2:$B1478,$B1478)=1,1,0))</f>
        <v/>
      </c>
      <c r="J1478">
        <f>IF($A1478="","",ROW())</f>
        <v/>
      </c>
      <c r="L1478">
        <f>IF('01_Warehouse_Ledger'!$A1478="","",'01_Warehouse_Ledger'!$A1478)</f>
        <v/>
      </c>
    </row>
    <row r="1479">
      <c r="I1479">
        <f>IF(OR($A1479="",$B1479=""),"",IF(COUNTIFS($A$2:$A1479,$A1479,$B$2:$B1479,$B1479)=1,1,0))</f>
        <v/>
      </c>
      <c r="J1479">
        <f>IF($A1479="","",ROW())</f>
        <v/>
      </c>
      <c r="L1479">
        <f>IF('01_Warehouse_Ledger'!$A1479="","",'01_Warehouse_Ledger'!$A1479)</f>
        <v/>
      </c>
    </row>
    <row r="1480">
      <c r="I1480">
        <f>IF(OR($A1480="",$B1480=""),"",IF(COUNTIFS($A$2:$A1480,$A1480,$B$2:$B1480,$B1480)=1,1,0))</f>
        <v/>
      </c>
      <c r="J1480">
        <f>IF($A1480="","",ROW())</f>
        <v/>
      </c>
      <c r="L1480">
        <f>IF('01_Warehouse_Ledger'!$A1480="","",'01_Warehouse_Ledger'!$A1480)</f>
        <v/>
      </c>
    </row>
    <row r="1481">
      <c r="I1481">
        <f>IF(OR($A1481="",$B1481=""),"",IF(COUNTIFS($A$2:$A1481,$A1481,$B$2:$B1481,$B1481)=1,1,0))</f>
        <v/>
      </c>
      <c r="J1481">
        <f>IF($A1481="","",ROW())</f>
        <v/>
      </c>
      <c r="L1481">
        <f>IF('01_Warehouse_Ledger'!$A1481="","",'01_Warehouse_Ledger'!$A1481)</f>
        <v/>
      </c>
    </row>
    <row r="1482">
      <c r="I1482">
        <f>IF(OR($A1482="",$B1482=""),"",IF(COUNTIFS($A$2:$A1482,$A1482,$B$2:$B1482,$B1482)=1,1,0))</f>
        <v/>
      </c>
      <c r="J1482">
        <f>IF($A1482="","",ROW())</f>
        <v/>
      </c>
      <c r="L1482">
        <f>IF('01_Warehouse_Ledger'!$A1482="","",'01_Warehouse_Ledger'!$A1482)</f>
        <v/>
      </c>
    </row>
    <row r="1483">
      <c r="I1483">
        <f>IF(OR($A1483="",$B1483=""),"",IF(COUNTIFS($A$2:$A1483,$A1483,$B$2:$B1483,$B1483)=1,1,0))</f>
        <v/>
      </c>
      <c r="J1483">
        <f>IF($A1483="","",ROW())</f>
        <v/>
      </c>
      <c r="L1483">
        <f>IF('01_Warehouse_Ledger'!$A1483="","",'01_Warehouse_Ledger'!$A1483)</f>
        <v/>
      </c>
    </row>
    <row r="1484">
      <c r="I1484">
        <f>IF(OR($A1484="",$B1484=""),"",IF(COUNTIFS($A$2:$A1484,$A1484,$B$2:$B1484,$B1484)=1,1,0))</f>
        <v/>
      </c>
      <c r="J1484">
        <f>IF($A1484="","",ROW())</f>
        <v/>
      </c>
      <c r="L1484">
        <f>IF('01_Warehouse_Ledger'!$A1484="","",'01_Warehouse_Ledger'!$A1484)</f>
        <v/>
      </c>
    </row>
    <row r="1485">
      <c r="I1485">
        <f>IF(OR($A1485="",$B1485=""),"",IF(COUNTIFS($A$2:$A1485,$A1485,$B$2:$B1485,$B1485)=1,1,0))</f>
        <v/>
      </c>
      <c r="J1485">
        <f>IF($A1485="","",ROW())</f>
        <v/>
      </c>
      <c r="L1485">
        <f>IF('01_Warehouse_Ledger'!$A1485="","",'01_Warehouse_Ledger'!$A1485)</f>
        <v/>
      </c>
    </row>
    <row r="1486">
      <c r="I1486">
        <f>IF(OR($A1486="",$B1486=""),"",IF(COUNTIFS($A$2:$A1486,$A1486,$B$2:$B1486,$B1486)=1,1,0))</f>
        <v/>
      </c>
      <c r="J1486">
        <f>IF($A1486="","",ROW())</f>
        <v/>
      </c>
      <c r="L1486">
        <f>IF('01_Warehouse_Ledger'!$A1486="","",'01_Warehouse_Ledger'!$A1486)</f>
        <v/>
      </c>
    </row>
    <row r="1487">
      <c r="I1487">
        <f>IF(OR($A1487="",$B1487=""),"",IF(COUNTIFS($A$2:$A1487,$A1487,$B$2:$B1487,$B1487)=1,1,0))</f>
        <v/>
      </c>
      <c r="J1487">
        <f>IF($A1487="","",ROW())</f>
        <v/>
      </c>
      <c r="L1487">
        <f>IF('01_Warehouse_Ledger'!$A1487="","",'01_Warehouse_Ledger'!$A1487)</f>
        <v/>
      </c>
    </row>
    <row r="1488">
      <c r="I1488">
        <f>IF(OR($A1488="",$B1488=""),"",IF(COUNTIFS($A$2:$A1488,$A1488,$B$2:$B1488,$B1488)=1,1,0))</f>
        <v/>
      </c>
      <c r="J1488">
        <f>IF($A1488="","",ROW())</f>
        <v/>
      </c>
      <c r="L1488">
        <f>IF('01_Warehouse_Ledger'!$A1488="","",'01_Warehouse_Ledger'!$A1488)</f>
        <v/>
      </c>
    </row>
    <row r="1489">
      <c r="I1489">
        <f>IF(OR($A1489="",$B1489=""),"",IF(COUNTIFS($A$2:$A1489,$A1489,$B$2:$B1489,$B1489)=1,1,0))</f>
        <v/>
      </c>
      <c r="J1489">
        <f>IF($A1489="","",ROW())</f>
        <v/>
      </c>
      <c r="L1489">
        <f>IF('01_Warehouse_Ledger'!$A1489="","",'01_Warehouse_Ledger'!$A1489)</f>
        <v/>
      </c>
    </row>
    <row r="1490">
      <c r="I1490">
        <f>IF(OR($A1490="",$B1490=""),"",IF(COUNTIFS($A$2:$A1490,$A1490,$B$2:$B1490,$B1490)=1,1,0))</f>
        <v/>
      </c>
      <c r="J1490">
        <f>IF($A1490="","",ROW())</f>
        <v/>
      </c>
      <c r="L1490">
        <f>IF('01_Warehouse_Ledger'!$A1490="","",'01_Warehouse_Ledger'!$A1490)</f>
        <v/>
      </c>
    </row>
    <row r="1491">
      <c r="I1491">
        <f>IF(OR($A1491="",$B1491=""),"",IF(COUNTIFS($A$2:$A1491,$A1491,$B$2:$B1491,$B1491)=1,1,0))</f>
        <v/>
      </c>
      <c r="J1491">
        <f>IF($A1491="","",ROW())</f>
        <v/>
      </c>
      <c r="L1491">
        <f>IF('01_Warehouse_Ledger'!$A1491="","",'01_Warehouse_Ledger'!$A1491)</f>
        <v/>
      </c>
    </row>
    <row r="1492">
      <c r="I1492">
        <f>IF(OR($A1492="",$B1492=""),"",IF(COUNTIFS($A$2:$A1492,$A1492,$B$2:$B1492,$B1492)=1,1,0))</f>
        <v/>
      </c>
      <c r="J1492">
        <f>IF($A1492="","",ROW())</f>
        <v/>
      </c>
      <c r="L1492">
        <f>IF('01_Warehouse_Ledger'!$A1492="","",'01_Warehouse_Ledger'!$A1492)</f>
        <v/>
      </c>
    </row>
    <row r="1493">
      <c r="I1493">
        <f>IF(OR($A1493="",$B1493=""),"",IF(COUNTIFS($A$2:$A1493,$A1493,$B$2:$B1493,$B1493)=1,1,0))</f>
        <v/>
      </c>
      <c r="J1493">
        <f>IF($A1493="","",ROW())</f>
        <v/>
      </c>
      <c r="L1493">
        <f>IF('01_Warehouse_Ledger'!$A1493="","",'01_Warehouse_Ledger'!$A1493)</f>
        <v/>
      </c>
    </row>
    <row r="1494">
      <c r="I1494">
        <f>IF(OR($A1494="",$B1494=""),"",IF(COUNTIFS($A$2:$A1494,$A1494,$B$2:$B1494,$B1494)=1,1,0))</f>
        <v/>
      </c>
      <c r="J1494">
        <f>IF($A1494="","",ROW())</f>
        <v/>
      </c>
      <c r="L1494">
        <f>IF('01_Warehouse_Ledger'!$A1494="","",'01_Warehouse_Ledger'!$A1494)</f>
        <v/>
      </c>
    </row>
    <row r="1495">
      <c r="I1495">
        <f>IF(OR($A1495="",$B1495=""),"",IF(COUNTIFS($A$2:$A1495,$A1495,$B$2:$B1495,$B1495)=1,1,0))</f>
        <v/>
      </c>
      <c r="J1495">
        <f>IF($A1495="","",ROW())</f>
        <v/>
      </c>
      <c r="L1495">
        <f>IF('01_Warehouse_Ledger'!$A1495="","",'01_Warehouse_Ledger'!$A1495)</f>
        <v/>
      </c>
    </row>
    <row r="1496">
      <c r="I1496">
        <f>IF(OR($A1496="",$B1496=""),"",IF(COUNTIFS($A$2:$A1496,$A1496,$B$2:$B1496,$B1496)=1,1,0))</f>
        <v/>
      </c>
      <c r="J1496">
        <f>IF($A1496="","",ROW())</f>
        <v/>
      </c>
      <c r="L1496">
        <f>IF('01_Warehouse_Ledger'!$A1496="","",'01_Warehouse_Ledger'!$A1496)</f>
        <v/>
      </c>
    </row>
    <row r="1497">
      <c r="I1497">
        <f>IF(OR($A1497="",$B1497=""),"",IF(COUNTIFS($A$2:$A1497,$A1497,$B$2:$B1497,$B1497)=1,1,0))</f>
        <v/>
      </c>
      <c r="J1497">
        <f>IF($A1497="","",ROW())</f>
        <v/>
      </c>
      <c r="L1497">
        <f>IF('01_Warehouse_Ledger'!$A1497="","",'01_Warehouse_Ledger'!$A1497)</f>
        <v/>
      </c>
    </row>
    <row r="1498">
      <c r="I1498">
        <f>IF(OR($A1498="",$B1498=""),"",IF(COUNTIFS($A$2:$A1498,$A1498,$B$2:$B1498,$B1498)=1,1,0))</f>
        <v/>
      </c>
      <c r="J1498">
        <f>IF($A1498="","",ROW())</f>
        <v/>
      </c>
      <c r="L1498">
        <f>IF('01_Warehouse_Ledger'!$A1498="","",'01_Warehouse_Ledger'!$A1498)</f>
        <v/>
      </c>
    </row>
    <row r="1499">
      <c r="I1499">
        <f>IF(OR($A1499="",$B1499=""),"",IF(COUNTIFS($A$2:$A1499,$A1499,$B$2:$B1499,$B1499)=1,1,0))</f>
        <v/>
      </c>
      <c r="J1499">
        <f>IF($A1499="","",ROW())</f>
        <v/>
      </c>
      <c r="L1499">
        <f>IF('01_Warehouse_Ledger'!$A1499="","",'01_Warehouse_Ledger'!$A1499)</f>
        <v/>
      </c>
    </row>
    <row r="1500">
      <c r="I1500">
        <f>IF(OR($A1500="",$B1500=""),"",IF(COUNTIFS($A$2:$A1500,$A1500,$B$2:$B1500,$B1500)=1,1,0))</f>
        <v/>
      </c>
      <c r="J1500">
        <f>IF($A1500="","",ROW())</f>
        <v/>
      </c>
      <c r="L1500">
        <f>IF('01_Warehouse_Ledger'!$A1500="","",'01_Warehouse_Ledger'!$A1500)</f>
        <v/>
      </c>
    </row>
    <row r="1501">
      <c r="I1501">
        <f>IF(OR($A1501="",$B1501=""),"",IF(COUNTIFS($A$2:$A1501,$A1501,$B$2:$B1501,$B1501)=1,1,0))</f>
        <v/>
      </c>
      <c r="J1501">
        <f>IF($A1501="","",ROW())</f>
        <v/>
      </c>
      <c r="L1501">
        <f>IF('01_Warehouse_Ledger'!$A1501="","",'01_Warehouse_Ledger'!$A1501)</f>
        <v/>
      </c>
    </row>
    <row r="1502">
      <c r="I1502">
        <f>IF(OR($A1502="",$B1502=""),"",IF(COUNTIFS($A$2:$A1502,$A1502,$B$2:$B1502,$B1502)=1,1,0))</f>
        <v/>
      </c>
      <c r="J1502">
        <f>IF($A1502="","",ROW())</f>
        <v/>
      </c>
      <c r="L1502">
        <f>IF('01_Warehouse_Ledger'!$A1502="","",'01_Warehouse_Ledger'!$A1502)</f>
        <v/>
      </c>
    </row>
    <row r="1503">
      <c r="I1503">
        <f>IF(OR($A1503="",$B1503=""),"",IF(COUNTIFS($A$2:$A1503,$A1503,$B$2:$B1503,$B1503)=1,1,0))</f>
        <v/>
      </c>
      <c r="J1503">
        <f>IF($A1503="","",ROW())</f>
        <v/>
      </c>
      <c r="L1503">
        <f>IF('01_Warehouse_Ledger'!$A1503="","",'01_Warehouse_Ledger'!$A1503)</f>
        <v/>
      </c>
    </row>
    <row r="1504">
      <c r="I1504">
        <f>IF(OR($A1504="",$B1504=""),"",IF(COUNTIFS($A$2:$A1504,$A1504,$B$2:$B1504,$B1504)=1,1,0))</f>
        <v/>
      </c>
      <c r="J1504">
        <f>IF($A1504="","",ROW())</f>
        <v/>
      </c>
      <c r="L1504">
        <f>IF('01_Warehouse_Ledger'!$A1504="","",'01_Warehouse_Ledger'!$A1504)</f>
        <v/>
      </c>
    </row>
    <row r="1505">
      <c r="I1505">
        <f>IF(OR($A1505="",$B1505=""),"",IF(COUNTIFS($A$2:$A1505,$A1505,$B$2:$B1505,$B1505)=1,1,0))</f>
        <v/>
      </c>
      <c r="J1505">
        <f>IF($A1505="","",ROW())</f>
        <v/>
      </c>
      <c r="L1505">
        <f>IF('01_Warehouse_Ledger'!$A1505="","",'01_Warehouse_Ledger'!$A1505)</f>
        <v/>
      </c>
    </row>
    <row r="1506">
      <c r="I1506">
        <f>IF(OR($A1506="",$B1506=""),"",IF(COUNTIFS($A$2:$A1506,$A1506,$B$2:$B1506,$B1506)=1,1,0))</f>
        <v/>
      </c>
      <c r="J1506">
        <f>IF($A1506="","",ROW())</f>
        <v/>
      </c>
      <c r="L1506">
        <f>IF('01_Warehouse_Ledger'!$A1506="","",'01_Warehouse_Ledger'!$A1506)</f>
        <v/>
      </c>
    </row>
    <row r="1507">
      <c r="I1507">
        <f>IF(OR($A1507="",$B1507=""),"",IF(COUNTIFS($A$2:$A1507,$A1507,$B$2:$B1507,$B1507)=1,1,0))</f>
        <v/>
      </c>
      <c r="J1507">
        <f>IF($A1507="","",ROW())</f>
        <v/>
      </c>
      <c r="L1507">
        <f>IF('01_Warehouse_Ledger'!$A1507="","",'01_Warehouse_Ledger'!$A1507)</f>
        <v/>
      </c>
    </row>
    <row r="1508">
      <c r="I1508">
        <f>IF(OR($A1508="",$B1508=""),"",IF(COUNTIFS($A$2:$A1508,$A1508,$B$2:$B1508,$B1508)=1,1,0))</f>
        <v/>
      </c>
      <c r="J1508">
        <f>IF($A1508="","",ROW())</f>
        <v/>
      </c>
      <c r="L1508">
        <f>IF('01_Warehouse_Ledger'!$A1508="","",'01_Warehouse_Ledger'!$A1508)</f>
        <v/>
      </c>
    </row>
    <row r="1509">
      <c r="I1509">
        <f>IF(OR($A1509="",$B1509=""),"",IF(COUNTIFS($A$2:$A1509,$A1509,$B$2:$B1509,$B1509)=1,1,0))</f>
        <v/>
      </c>
      <c r="J1509">
        <f>IF($A1509="","",ROW())</f>
        <v/>
      </c>
      <c r="L1509">
        <f>IF('01_Warehouse_Ledger'!$A1509="","",'01_Warehouse_Ledger'!$A1509)</f>
        <v/>
      </c>
    </row>
    <row r="1510">
      <c r="I1510">
        <f>IF(OR($A1510="",$B1510=""),"",IF(COUNTIFS($A$2:$A1510,$A1510,$B$2:$B1510,$B1510)=1,1,0))</f>
        <v/>
      </c>
      <c r="J1510">
        <f>IF($A1510="","",ROW())</f>
        <v/>
      </c>
      <c r="L1510">
        <f>IF('01_Warehouse_Ledger'!$A1510="","",'01_Warehouse_Ledger'!$A1510)</f>
        <v/>
      </c>
    </row>
    <row r="1511">
      <c r="I1511">
        <f>IF(OR($A1511="",$B1511=""),"",IF(COUNTIFS($A$2:$A1511,$A1511,$B$2:$B1511,$B1511)=1,1,0))</f>
        <v/>
      </c>
      <c r="J1511">
        <f>IF($A1511="","",ROW())</f>
        <v/>
      </c>
      <c r="L1511">
        <f>IF('01_Warehouse_Ledger'!$A1511="","",'01_Warehouse_Ledger'!$A1511)</f>
        <v/>
      </c>
    </row>
    <row r="1512">
      <c r="I1512">
        <f>IF(OR($A1512="",$B1512=""),"",IF(COUNTIFS($A$2:$A1512,$A1512,$B$2:$B1512,$B1512)=1,1,0))</f>
        <v/>
      </c>
      <c r="J1512">
        <f>IF($A1512="","",ROW())</f>
        <v/>
      </c>
      <c r="L1512">
        <f>IF('01_Warehouse_Ledger'!$A1512="","",'01_Warehouse_Ledger'!$A1512)</f>
        <v/>
      </c>
    </row>
    <row r="1513">
      <c r="I1513">
        <f>IF(OR($A1513="",$B1513=""),"",IF(COUNTIFS($A$2:$A1513,$A1513,$B$2:$B1513,$B1513)=1,1,0))</f>
        <v/>
      </c>
      <c r="J1513">
        <f>IF($A1513="","",ROW())</f>
        <v/>
      </c>
      <c r="L1513">
        <f>IF('01_Warehouse_Ledger'!$A1513="","",'01_Warehouse_Ledger'!$A1513)</f>
        <v/>
      </c>
    </row>
    <row r="1514">
      <c r="I1514">
        <f>IF(OR($A1514="",$B1514=""),"",IF(COUNTIFS($A$2:$A1514,$A1514,$B$2:$B1514,$B1514)=1,1,0))</f>
        <v/>
      </c>
      <c r="J1514">
        <f>IF($A1514="","",ROW())</f>
        <v/>
      </c>
      <c r="L1514">
        <f>IF('01_Warehouse_Ledger'!$A1514="","",'01_Warehouse_Ledger'!$A1514)</f>
        <v/>
      </c>
    </row>
    <row r="1515">
      <c r="I1515">
        <f>IF(OR($A1515="",$B1515=""),"",IF(COUNTIFS($A$2:$A1515,$A1515,$B$2:$B1515,$B1515)=1,1,0))</f>
        <v/>
      </c>
      <c r="J1515">
        <f>IF($A1515="","",ROW())</f>
        <v/>
      </c>
      <c r="L1515">
        <f>IF('01_Warehouse_Ledger'!$A1515="","",'01_Warehouse_Ledger'!$A1515)</f>
        <v/>
      </c>
    </row>
    <row r="1516">
      <c r="I1516">
        <f>IF(OR($A1516="",$B1516=""),"",IF(COUNTIFS($A$2:$A1516,$A1516,$B$2:$B1516,$B1516)=1,1,0))</f>
        <v/>
      </c>
      <c r="J1516">
        <f>IF($A1516="","",ROW())</f>
        <v/>
      </c>
      <c r="L1516">
        <f>IF('01_Warehouse_Ledger'!$A1516="","",'01_Warehouse_Ledger'!$A1516)</f>
        <v/>
      </c>
    </row>
    <row r="1517">
      <c r="I1517">
        <f>IF(OR($A1517="",$B1517=""),"",IF(COUNTIFS($A$2:$A1517,$A1517,$B$2:$B1517,$B1517)=1,1,0))</f>
        <v/>
      </c>
      <c r="J1517">
        <f>IF($A1517="","",ROW())</f>
        <v/>
      </c>
      <c r="L1517">
        <f>IF('01_Warehouse_Ledger'!$A1517="","",'01_Warehouse_Ledger'!$A1517)</f>
        <v/>
      </c>
    </row>
    <row r="1518">
      <c r="I1518">
        <f>IF(OR($A1518="",$B1518=""),"",IF(COUNTIFS($A$2:$A1518,$A1518,$B$2:$B1518,$B1518)=1,1,0))</f>
        <v/>
      </c>
      <c r="J1518">
        <f>IF($A1518="","",ROW())</f>
        <v/>
      </c>
      <c r="L1518">
        <f>IF('01_Warehouse_Ledger'!$A1518="","",'01_Warehouse_Ledger'!$A1518)</f>
        <v/>
      </c>
    </row>
    <row r="1519">
      <c r="I1519">
        <f>IF(OR($A1519="",$B1519=""),"",IF(COUNTIFS($A$2:$A1519,$A1519,$B$2:$B1519,$B1519)=1,1,0))</f>
        <v/>
      </c>
      <c r="J1519">
        <f>IF($A1519="","",ROW())</f>
        <v/>
      </c>
      <c r="L1519">
        <f>IF('01_Warehouse_Ledger'!$A1519="","",'01_Warehouse_Ledger'!$A1519)</f>
        <v/>
      </c>
    </row>
    <row r="1520">
      <c r="I1520">
        <f>IF(OR($A1520="",$B1520=""),"",IF(COUNTIFS($A$2:$A1520,$A1520,$B$2:$B1520,$B1520)=1,1,0))</f>
        <v/>
      </c>
      <c r="J1520">
        <f>IF($A1520="","",ROW())</f>
        <v/>
      </c>
      <c r="L1520">
        <f>IF('01_Warehouse_Ledger'!$A1520="","",'01_Warehouse_Ledger'!$A1520)</f>
        <v/>
      </c>
    </row>
    <row r="1521">
      <c r="I1521">
        <f>IF(OR($A1521="",$B1521=""),"",IF(COUNTIFS($A$2:$A1521,$A1521,$B$2:$B1521,$B1521)=1,1,0))</f>
        <v/>
      </c>
      <c r="J1521">
        <f>IF($A1521="","",ROW())</f>
        <v/>
      </c>
      <c r="L1521">
        <f>IF('01_Warehouse_Ledger'!$A1521="","",'01_Warehouse_Ledger'!$A1521)</f>
        <v/>
      </c>
    </row>
    <row r="1522">
      <c r="I1522">
        <f>IF(OR($A1522="",$B1522=""),"",IF(COUNTIFS($A$2:$A1522,$A1522,$B$2:$B1522,$B1522)=1,1,0))</f>
        <v/>
      </c>
      <c r="J1522">
        <f>IF($A1522="","",ROW())</f>
        <v/>
      </c>
      <c r="L1522">
        <f>IF('01_Warehouse_Ledger'!$A1522="","",'01_Warehouse_Ledger'!$A1522)</f>
        <v/>
      </c>
    </row>
    <row r="1523">
      <c r="I1523">
        <f>IF(OR($A1523="",$B1523=""),"",IF(COUNTIFS($A$2:$A1523,$A1523,$B$2:$B1523,$B1523)=1,1,0))</f>
        <v/>
      </c>
      <c r="J1523">
        <f>IF($A1523="","",ROW())</f>
        <v/>
      </c>
      <c r="L1523">
        <f>IF('01_Warehouse_Ledger'!$A1523="","",'01_Warehouse_Ledger'!$A1523)</f>
        <v/>
      </c>
    </row>
    <row r="1524">
      <c r="I1524">
        <f>IF(OR($A1524="",$B1524=""),"",IF(COUNTIFS($A$2:$A1524,$A1524,$B$2:$B1524,$B1524)=1,1,0))</f>
        <v/>
      </c>
      <c r="J1524">
        <f>IF($A1524="","",ROW())</f>
        <v/>
      </c>
      <c r="L1524">
        <f>IF('01_Warehouse_Ledger'!$A1524="","",'01_Warehouse_Ledger'!$A1524)</f>
        <v/>
      </c>
    </row>
    <row r="1525">
      <c r="I1525">
        <f>IF(OR($A1525="",$B1525=""),"",IF(COUNTIFS($A$2:$A1525,$A1525,$B$2:$B1525,$B1525)=1,1,0))</f>
        <v/>
      </c>
      <c r="J1525">
        <f>IF($A1525="","",ROW())</f>
        <v/>
      </c>
      <c r="L1525">
        <f>IF('01_Warehouse_Ledger'!$A1525="","",'01_Warehouse_Ledger'!$A1525)</f>
        <v/>
      </c>
    </row>
    <row r="1526">
      <c r="I1526">
        <f>IF(OR($A1526="",$B1526=""),"",IF(COUNTIFS($A$2:$A1526,$A1526,$B$2:$B1526,$B1526)=1,1,0))</f>
        <v/>
      </c>
      <c r="J1526">
        <f>IF($A1526="","",ROW())</f>
        <v/>
      </c>
      <c r="L1526">
        <f>IF('01_Warehouse_Ledger'!$A1526="","",'01_Warehouse_Ledger'!$A1526)</f>
        <v/>
      </c>
    </row>
    <row r="1527">
      <c r="I1527">
        <f>IF(OR($A1527="",$B1527=""),"",IF(COUNTIFS($A$2:$A1527,$A1527,$B$2:$B1527,$B1527)=1,1,0))</f>
        <v/>
      </c>
      <c r="J1527">
        <f>IF($A1527="","",ROW())</f>
        <v/>
      </c>
      <c r="L1527">
        <f>IF('01_Warehouse_Ledger'!$A1527="","",'01_Warehouse_Ledger'!$A1527)</f>
        <v/>
      </c>
    </row>
    <row r="1528">
      <c r="I1528">
        <f>IF(OR($A1528="",$B1528=""),"",IF(COUNTIFS($A$2:$A1528,$A1528,$B$2:$B1528,$B1528)=1,1,0))</f>
        <v/>
      </c>
      <c r="J1528">
        <f>IF($A1528="","",ROW())</f>
        <v/>
      </c>
      <c r="L1528">
        <f>IF('01_Warehouse_Ledger'!$A1528="","",'01_Warehouse_Ledger'!$A1528)</f>
        <v/>
      </c>
    </row>
    <row r="1529">
      <c r="I1529">
        <f>IF(OR($A1529="",$B1529=""),"",IF(COUNTIFS($A$2:$A1529,$A1529,$B$2:$B1529,$B1529)=1,1,0))</f>
        <v/>
      </c>
      <c r="J1529">
        <f>IF($A1529="","",ROW())</f>
        <v/>
      </c>
      <c r="L1529">
        <f>IF('01_Warehouse_Ledger'!$A1529="","",'01_Warehouse_Ledger'!$A1529)</f>
        <v/>
      </c>
    </row>
    <row r="1530">
      <c r="I1530">
        <f>IF(OR($A1530="",$B1530=""),"",IF(COUNTIFS($A$2:$A1530,$A1530,$B$2:$B1530,$B1530)=1,1,0))</f>
        <v/>
      </c>
      <c r="J1530">
        <f>IF($A1530="","",ROW())</f>
        <v/>
      </c>
      <c r="L1530">
        <f>IF('01_Warehouse_Ledger'!$A1530="","",'01_Warehouse_Ledger'!$A1530)</f>
        <v/>
      </c>
    </row>
    <row r="1531">
      <c r="I1531">
        <f>IF(OR($A1531="",$B1531=""),"",IF(COUNTIFS($A$2:$A1531,$A1531,$B$2:$B1531,$B1531)=1,1,0))</f>
        <v/>
      </c>
      <c r="J1531">
        <f>IF($A1531="","",ROW())</f>
        <v/>
      </c>
      <c r="L1531">
        <f>IF('01_Warehouse_Ledger'!$A1531="","",'01_Warehouse_Ledger'!$A1531)</f>
        <v/>
      </c>
    </row>
    <row r="1532">
      <c r="I1532">
        <f>IF(OR($A1532="",$B1532=""),"",IF(COUNTIFS($A$2:$A1532,$A1532,$B$2:$B1532,$B1532)=1,1,0))</f>
        <v/>
      </c>
      <c r="J1532">
        <f>IF($A1532="","",ROW())</f>
        <v/>
      </c>
      <c r="L1532">
        <f>IF('01_Warehouse_Ledger'!$A1532="","",'01_Warehouse_Ledger'!$A1532)</f>
        <v/>
      </c>
    </row>
    <row r="1533">
      <c r="I1533">
        <f>IF(OR($A1533="",$B1533=""),"",IF(COUNTIFS($A$2:$A1533,$A1533,$B$2:$B1533,$B1533)=1,1,0))</f>
        <v/>
      </c>
      <c r="J1533">
        <f>IF($A1533="","",ROW())</f>
        <v/>
      </c>
      <c r="L1533">
        <f>IF('01_Warehouse_Ledger'!$A1533="","",'01_Warehouse_Ledger'!$A1533)</f>
        <v/>
      </c>
    </row>
    <row r="1534">
      <c r="I1534">
        <f>IF(OR($A1534="",$B1534=""),"",IF(COUNTIFS($A$2:$A1534,$A1534,$B$2:$B1534,$B1534)=1,1,0))</f>
        <v/>
      </c>
      <c r="J1534">
        <f>IF($A1534="","",ROW())</f>
        <v/>
      </c>
      <c r="L1534">
        <f>IF('01_Warehouse_Ledger'!$A1534="","",'01_Warehouse_Ledger'!$A1534)</f>
        <v/>
      </c>
    </row>
    <row r="1535">
      <c r="I1535">
        <f>IF(OR($A1535="",$B1535=""),"",IF(COUNTIFS($A$2:$A1535,$A1535,$B$2:$B1535,$B1535)=1,1,0))</f>
        <v/>
      </c>
      <c r="J1535">
        <f>IF($A1535="","",ROW())</f>
        <v/>
      </c>
      <c r="L1535">
        <f>IF('01_Warehouse_Ledger'!$A1535="","",'01_Warehouse_Ledger'!$A1535)</f>
        <v/>
      </c>
    </row>
    <row r="1536">
      <c r="I1536">
        <f>IF(OR($A1536="",$B1536=""),"",IF(COUNTIFS($A$2:$A1536,$A1536,$B$2:$B1536,$B1536)=1,1,0))</f>
        <v/>
      </c>
      <c r="J1536">
        <f>IF($A1536="","",ROW())</f>
        <v/>
      </c>
      <c r="L1536">
        <f>IF('01_Warehouse_Ledger'!$A1536="","",'01_Warehouse_Ledger'!$A1536)</f>
        <v/>
      </c>
    </row>
    <row r="1537">
      <c r="I1537">
        <f>IF(OR($A1537="",$B1537=""),"",IF(COUNTIFS($A$2:$A1537,$A1537,$B$2:$B1537,$B1537)=1,1,0))</f>
        <v/>
      </c>
      <c r="J1537">
        <f>IF($A1537="","",ROW())</f>
        <v/>
      </c>
      <c r="L1537">
        <f>IF('01_Warehouse_Ledger'!$A1537="","",'01_Warehouse_Ledger'!$A1537)</f>
        <v/>
      </c>
    </row>
    <row r="1538">
      <c r="I1538">
        <f>IF(OR($A1538="",$B1538=""),"",IF(COUNTIFS($A$2:$A1538,$A1538,$B$2:$B1538,$B1538)=1,1,0))</f>
        <v/>
      </c>
      <c r="J1538">
        <f>IF($A1538="","",ROW())</f>
        <v/>
      </c>
      <c r="L1538">
        <f>IF('01_Warehouse_Ledger'!$A1538="","",'01_Warehouse_Ledger'!$A1538)</f>
        <v/>
      </c>
    </row>
    <row r="1539">
      <c r="I1539">
        <f>IF(OR($A1539="",$B1539=""),"",IF(COUNTIFS($A$2:$A1539,$A1539,$B$2:$B1539,$B1539)=1,1,0))</f>
        <v/>
      </c>
      <c r="J1539">
        <f>IF($A1539="","",ROW())</f>
        <v/>
      </c>
      <c r="L1539">
        <f>IF('01_Warehouse_Ledger'!$A1539="","",'01_Warehouse_Ledger'!$A1539)</f>
        <v/>
      </c>
    </row>
    <row r="1540">
      <c r="I1540">
        <f>IF(OR($A1540="",$B1540=""),"",IF(COUNTIFS($A$2:$A1540,$A1540,$B$2:$B1540,$B1540)=1,1,0))</f>
        <v/>
      </c>
      <c r="J1540">
        <f>IF($A1540="","",ROW())</f>
        <v/>
      </c>
      <c r="L1540">
        <f>IF('01_Warehouse_Ledger'!$A1540="","",'01_Warehouse_Ledger'!$A1540)</f>
        <v/>
      </c>
    </row>
    <row r="1541">
      <c r="I1541">
        <f>IF(OR($A1541="",$B1541=""),"",IF(COUNTIFS($A$2:$A1541,$A1541,$B$2:$B1541,$B1541)=1,1,0))</f>
        <v/>
      </c>
      <c r="J1541">
        <f>IF($A1541="","",ROW())</f>
        <v/>
      </c>
      <c r="L1541">
        <f>IF('01_Warehouse_Ledger'!$A1541="","",'01_Warehouse_Ledger'!$A1541)</f>
        <v/>
      </c>
    </row>
    <row r="1542">
      <c r="I1542">
        <f>IF(OR($A1542="",$B1542=""),"",IF(COUNTIFS($A$2:$A1542,$A1542,$B$2:$B1542,$B1542)=1,1,0))</f>
        <v/>
      </c>
      <c r="J1542">
        <f>IF($A1542="","",ROW())</f>
        <v/>
      </c>
      <c r="L1542">
        <f>IF('01_Warehouse_Ledger'!$A1542="","",'01_Warehouse_Ledger'!$A1542)</f>
        <v/>
      </c>
    </row>
    <row r="1543">
      <c r="I1543">
        <f>IF(OR($A1543="",$B1543=""),"",IF(COUNTIFS($A$2:$A1543,$A1543,$B$2:$B1543,$B1543)=1,1,0))</f>
        <v/>
      </c>
      <c r="J1543">
        <f>IF($A1543="","",ROW())</f>
        <v/>
      </c>
      <c r="L1543">
        <f>IF('01_Warehouse_Ledger'!$A1543="","",'01_Warehouse_Ledger'!$A1543)</f>
        <v/>
      </c>
    </row>
    <row r="1544">
      <c r="I1544">
        <f>IF(OR($A1544="",$B1544=""),"",IF(COUNTIFS($A$2:$A1544,$A1544,$B$2:$B1544,$B1544)=1,1,0))</f>
        <v/>
      </c>
      <c r="J1544">
        <f>IF($A1544="","",ROW())</f>
        <v/>
      </c>
      <c r="L1544">
        <f>IF('01_Warehouse_Ledger'!$A1544="","",'01_Warehouse_Ledger'!$A1544)</f>
        <v/>
      </c>
    </row>
    <row r="1545">
      <c r="I1545">
        <f>IF(OR($A1545="",$B1545=""),"",IF(COUNTIFS($A$2:$A1545,$A1545,$B$2:$B1545,$B1545)=1,1,0))</f>
        <v/>
      </c>
      <c r="J1545">
        <f>IF($A1545="","",ROW())</f>
        <v/>
      </c>
      <c r="L1545">
        <f>IF('01_Warehouse_Ledger'!$A1545="","",'01_Warehouse_Ledger'!$A1545)</f>
        <v/>
      </c>
    </row>
    <row r="1546">
      <c r="I1546">
        <f>IF(OR($A1546="",$B1546=""),"",IF(COUNTIFS($A$2:$A1546,$A1546,$B$2:$B1546,$B1546)=1,1,0))</f>
        <v/>
      </c>
      <c r="J1546">
        <f>IF($A1546="","",ROW())</f>
        <v/>
      </c>
      <c r="L1546">
        <f>IF('01_Warehouse_Ledger'!$A1546="","",'01_Warehouse_Ledger'!$A1546)</f>
        <v/>
      </c>
    </row>
    <row r="1547">
      <c r="I1547">
        <f>IF(OR($A1547="",$B1547=""),"",IF(COUNTIFS($A$2:$A1547,$A1547,$B$2:$B1547,$B1547)=1,1,0))</f>
        <v/>
      </c>
      <c r="J1547">
        <f>IF($A1547="","",ROW())</f>
        <v/>
      </c>
      <c r="L1547">
        <f>IF('01_Warehouse_Ledger'!$A1547="","",'01_Warehouse_Ledger'!$A1547)</f>
        <v/>
      </c>
    </row>
    <row r="1548">
      <c r="I1548">
        <f>IF(OR($A1548="",$B1548=""),"",IF(COUNTIFS($A$2:$A1548,$A1548,$B$2:$B1548,$B1548)=1,1,0))</f>
        <v/>
      </c>
      <c r="J1548">
        <f>IF($A1548="","",ROW())</f>
        <v/>
      </c>
      <c r="L1548">
        <f>IF('01_Warehouse_Ledger'!$A1548="","",'01_Warehouse_Ledger'!$A1548)</f>
        <v/>
      </c>
    </row>
    <row r="1549">
      <c r="I1549">
        <f>IF(OR($A1549="",$B1549=""),"",IF(COUNTIFS($A$2:$A1549,$A1549,$B$2:$B1549,$B1549)=1,1,0))</f>
        <v/>
      </c>
      <c r="J1549">
        <f>IF($A1549="","",ROW())</f>
        <v/>
      </c>
      <c r="L1549">
        <f>IF('01_Warehouse_Ledger'!$A1549="","",'01_Warehouse_Ledger'!$A1549)</f>
        <v/>
      </c>
    </row>
    <row r="1550">
      <c r="I1550">
        <f>IF(OR($A1550="",$B1550=""),"",IF(COUNTIFS($A$2:$A1550,$A1550,$B$2:$B1550,$B1550)=1,1,0))</f>
        <v/>
      </c>
      <c r="J1550">
        <f>IF($A1550="","",ROW())</f>
        <v/>
      </c>
      <c r="L1550">
        <f>IF('01_Warehouse_Ledger'!$A1550="","",'01_Warehouse_Ledger'!$A1550)</f>
        <v/>
      </c>
    </row>
    <row r="1551">
      <c r="I1551">
        <f>IF(OR($A1551="",$B1551=""),"",IF(COUNTIFS($A$2:$A1551,$A1551,$B$2:$B1551,$B1551)=1,1,0))</f>
        <v/>
      </c>
      <c r="J1551">
        <f>IF($A1551="","",ROW())</f>
        <v/>
      </c>
      <c r="L1551">
        <f>IF('01_Warehouse_Ledger'!$A1551="","",'01_Warehouse_Ledger'!$A1551)</f>
        <v/>
      </c>
    </row>
    <row r="1552">
      <c r="I1552">
        <f>IF(OR($A1552="",$B1552=""),"",IF(COUNTIFS($A$2:$A1552,$A1552,$B$2:$B1552,$B1552)=1,1,0))</f>
        <v/>
      </c>
      <c r="J1552">
        <f>IF($A1552="","",ROW())</f>
        <v/>
      </c>
      <c r="L1552">
        <f>IF('01_Warehouse_Ledger'!$A1552="","",'01_Warehouse_Ledger'!$A1552)</f>
        <v/>
      </c>
    </row>
    <row r="1553">
      <c r="I1553">
        <f>IF(OR($A1553="",$B1553=""),"",IF(COUNTIFS($A$2:$A1553,$A1553,$B$2:$B1553,$B1553)=1,1,0))</f>
        <v/>
      </c>
      <c r="J1553">
        <f>IF($A1553="","",ROW())</f>
        <v/>
      </c>
      <c r="L1553">
        <f>IF('01_Warehouse_Ledger'!$A1553="","",'01_Warehouse_Ledger'!$A1553)</f>
        <v/>
      </c>
    </row>
    <row r="1554">
      <c r="I1554">
        <f>IF(OR($A1554="",$B1554=""),"",IF(COUNTIFS($A$2:$A1554,$A1554,$B$2:$B1554,$B1554)=1,1,0))</f>
        <v/>
      </c>
      <c r="J1554">
        <f>IF($A1554="","",ROW())</f>
        <v/>
      </c>
      <c r="L1554">
        <f>IF('01_Warehouse_Ledger'!$A1554="","",'01_Warehouse_Ledger'!$A1554)</f>
        <v/>
      </c>
    </row>
    <row r="1555">
      <c r="I1555">
        <f>IF(OR($A1555="",$B1555=""),"",IF(COUNTIFS($A$2:$A1555,$A1555,$B$2:$B1555,$B1555)=1,1,0))</f>
        <v/>
      </c>
      <c r="J1555">
        <f>IF($A1555="","",ROW())</f>
        <v/>
      </c>
      <c r="L1555">
        <f>IF('01_Warehouse_Ledger'!$A1555="","",'01_Warehouse_Ledger'!$A1555)</f>
        <v/>
      </c>
    </row>
    <row r="1556">
      <c r="I1556">
        <f>IF(OR($A1556="",$B1556=""),"",IF(COUNTIFS($A$2:$A1556,$A1556,$B$2:$B1556,$B1556)=1,1,0))</f>
        <v/>
      </c>
      <c r="J1556">
        <f>IF($A1556="","",ROW())</f>
        <v/>
      </c>
      <c r="L1556">
        <f>IF('01_Warehouse_Ledger'!$A1556="","",'01_Warehouse_Ledger'!$A1556)</f>
        <v/>
      </c>
    </row>
    <row r="1557">
      <c r="I1557">
        <f>IF(OR($A1557="",$B1557=""),"",IF(COUNTIFS($A$2:$A1557,$A1557,$B$2:$B1557,$B1557)=1,1,0))</f>
        <v/>
      </c>
      <c r="J1557">
        <f>IF($A1557="","",ROW())</f>
        <v/>
      </c>
      <c r="L1557">
        <f>IF('01_Warehouse_Ledger'!$A1557="","",'01_Warehouse_Ledger'!$A1557)</f>
        <v/>
      </c>
    </row>
    <row r="1558">
      <c r="I1558">
        <f>IF(OR($A1558="",$B1558=""),"",IF(COUNTIFS($A$2:$A1558,$A1558,$B$2:$B1558,$B1558)=1,1,0))</f>
        <v/>
      </c>
      <c r="J1558">
        <f>IF($A1558="","",ROW())</f>
        <v/>
      </c>
      <c r="L1558">
        <f>IF('01_Warehouse_Ledger'!$A1558="","",'01_Warehouse_Ledger'!$A1558)</f>
        <v/>
      </c>
    </row>
    <row r="1559">
      <c r="I1559">
        <f>IF(OR($A1559="",$B1559=""),"",IF(COUNTIFS($A$2:$A1559,$A1559,$B$2:$B1559,$B1559)=1,1,0))</f>
        <v/>
      </c>
      <c r="J1559">
        <f>IF($A1559="","",ROW())</f>
        <v/>
      </c>
      <c r="L1559">
        <f>IF('01_Warehouse_Ledger'!$A1559="","",'01_Warehouse_Ledger'!$A1559)</f>
        <v/>
      </c>
    </row>
    <row r="1560">
      <c r="I1560">
        <f>IF(OR($A1560="",$B1560=""),"",IF(COUNTIFS($A$2:$A1560,$A1560,$B$2:$B1560,$B1560)=1,1,0))</f>
        <v/>
      </c>
      <c r="J1560">
        <f>IF($A1560="","",ROW())</f>
        <v/>
      </c>
      <c r="L1560">
        <f>IF('01_Warehouse_Ledger'!$A1560="","",'01_Warehouse_Ledger'!$A1560)</f>
        <v/>
      </c>
    </row>
    <row r="1561">
      <c r="I1561">
        <f>IF(OR($A1561="",$B1561=""),"",IF(COUNTIFS($A$2:$A1561,$A1561,$B$2:$B1561,$B1561)=1,1,0))</f>
        <v/>
      </c>
      <c r="J1561">
        <f>IF($A1561="","",ROW())</f>
        <v/>
      </c>
      <c r="L1561">
        <f>IF('01_Warehouse_Ledger'!$A1561="","",'01_Warehouse_Ledger'!$A1561)</f>
        <v/>
      </c>
    </row>
    <row r="1562">
      <c r="I1562">
        <f>IF(OR($A1562="",$B1562=""),"",IF(COUNTIFS($A$2:$A1562,$A1562,$B$2:$B1562,$B1562)=1,1,0))</f>
        <v/>
      </c>
      <c r="J1562">
        <f>IF($A1562="","",ROW())</f>
        <v/>
      </c>
      <c r="L1562">
        <f>IF('01_Warehouse_Ledger'!$A1562="","",'01_Warehouse_Ledger'!$A1562)</f>
        <v/>
      </c>
    </row>
    <row r="1563">
      <c r="I1563">
        <f>IF(OR($A1563="",$B1563=""),"",IF(COUNTIFS($A$2:$A1563,$A1563,$B$2:$B1563,$B1563)=1,1,0))</f>
        <v/>
      </c>
      <c r="J1563">
        <f>IF($A1563="","",ROW())</f>
        <v/>
      </c>
      <c r="L1563">
        <f>IF('01_Warehouse_Ledger'!$A1563="","",'01_Warehouse_Ledger'!$A1563)</f>
        <v/>
      </c>
    </row>
    <row r="1564">
      <c r="I1564">
        <f>IF(OR($A1564="",$B1564=""),"",IF(COUNTIFS($A$2:$A1564,$A1564,$B$2:$B1564,$B1564)=1,1,0))</f>
        <v/>
      </c>
      <c r="J1564">
        <f>IF($A1564="","",ROW())</f>
        <v/>
      </c>
      <c r="L1564">
        <f>IF('01_Warehouse_Ledger'!$A1564="","",'01_Warehouse_Ledger'!$A1564)</f>
        <v/>
      </c>
    </row>
    <row r="1565">
      <c r="I1565">
        <f>IF(OR($A1565="",$B1565=""),"",IF(COUNTIFS($A$2:$A1565,$A1565,$B$2:$B1565,$B1565)=1,1,0))</f>
        <v/>
      </c>
      <c r="J1565">
        <f>IF($A1565="","",ROW())</f>
        <v/>
      </c>
      <c r="L1565">
        <f>IF('01_Warehouse_Ledger'!$A1565="","",'01_Warehouse_Ledger'!$A1565)</f>
        <v/>
      </c>
    </row>
    <row r="1566">
      <c r="I1566">
        <f>IF(OR($A1566="",$B1566=""),"",IF(COUNTIFS($A$2:$A1566,$A1566,$B$2:$B1566,$B1566)=1,1,0))</f>
        <v/>
      </c>
      <c r="J1566">
        <f>IF($A1566="","",ROW())</f>
        <v/>
      </c>
      <c r="L1566">
        <f>IF('01_Warehouse_Ledger'!$A1566="","",'01_Warehouse_Ledger'!$A1566)</f>
        <v/>
      </c>
    </row>
    <row r="1567">
      <c r="I1567">
        <f>IF(OR($A1567="",$B1567=""),"",IF(COUNTIFS($A$2:$A1567,$A1567,$B$2:$B1567,$B1567)=1,1,0))</f>
        <v/>
      </c>
      <c r="J1567">
        <f>IF($A1567="","",ROW())</f>
        <v/>
      </c>
      <c r="L1567">
        <f>IF('01_Warehouse_Ledger'!$A1567="","",'01_Warehouse_Ledger'!$A1567)</f>
        <v/>
      </c>
    </row>
    <row r="1568">
      <c r="I1568">
        <f>IF(OR($A1568="",$B1568=""),"",IF(COUNTIFS($A$2:$A1568,$A1568,$B$2:$B1568,$B1568)=1,1,0))</f>
        <v/>
      </c>
      <c r="J1568">
        <f>IF($A1568="","",ROW())</f>
        <v/>
      </c>
      <c r="L1568">
        <f>IF('01_Warehouse_Ledger'!$A1568="","",'01_Warehouse_Ledger'!$A1568)</f>
        <v/>
      </c>
    </row>
    <row r="1569">
      <c r="I1569">
        <f>IF(OR($A1569="",$B1569=""),"",IF(COUNTIFS($A$2:$A1569,$A1569,$B$2:$B1569,$B1569)=1,1,0))</f>
        <v/>
      </c>
      <c r="J1569">
        <f>IF($A1569="","",ROW())</f>
        <v/>
      </c>
      <c r="L1569">
        <f>IF('01_Warehouse_Ledger'!$A1569="","",'01_Warehouse_Ledger'!$A1569)</f>
        <v/>
      </c>
    </row>
    <row r="1570">
      <c r="I1570">
        <f>IF(OR($A1570="",$B1570=""),"",IF(COUNTIFS($A$2:$A1570,$A1570,$B$2:$B1570,$B1570)=1,1,0))</f>
        <v/>
      </c>
      <c r="J1570">
        <f>IF($A1570="","",ROW())</f>
        <v/>
      </c>
      <c r="L1570">
        <f>IF('01_Warehouse_Ledger'!$A1570="","",'01_Warehouse_Ledger'!$A1570)</f>
        <v/>
      </c>
    </row>
    <row r="1571">
      <c r="I1571">
        <f>IF(OR($A1571="",$B1571=""),"",IF(COUNTIFS($A$2:$A1571,$A1571,$B$2:$B1571,$B1571)=1,1,0))</f>
        <v/>
      </c>
      <c r="J1571">
        <f>IF($A1571="","",ROW())</f>
        <v/>
      </c>
      <c r="L1571">
        <f>IF('01_Warehouse_Ledger'!$A1571="","",'01_Warehouse_Ledger'!$A1571)</f>
        <v/>
      </c>
    </row>
    <row r="1572">
      <c r="I1572">
        <f>IF(OR($A1572="",$B1572=""),"",IF(COUNTIFS($A$2:$A1572,$A1572,$B$2:$B1572,$B1572)=1,1,0))</f>
        <v/>
      </c>
      <c r="J1572">
        <f>IF($A1572="","",ROW())</f>
        <v/>
      </c>
      <c r="L1572">
        <f>IF('01_Warehouse_Ledger'!$A1572="","",'01_Warehouse_Ledger'!$A1572)</f>
        <v/>
      </c>
    </row>
    <row r="1573">
      <c r="I1573">
        <f>IF(OR($A1573="",$B1573=""),"",IF(COUNTIFS($A$2:$A1573,$A1573,$B$2:$B1573,$B1573)=1,1,0))</f>
        <v/>
      </c>
      <c r="J1573">
        <f>IF($A1573="","",ROW())</f>
        <v/>
      </c>
      <c r="L1573">
        <f>IF('01_Warehouse_Ledger'!$A1573="","",'01_Warehouse_Ledger'!$A1573)</f>
        <v/>
      </c>
    </row>
    <row r="1574">
      <c r="I1574">
        <f>IF(OR($A1574="",$B1574=""),"",IF(COUNTIFS($A$2:$A1574,$A1574,$B$2:$B1574,$B1574)=1,1,0))</f>
        <v/>
      </c>
      <c r="J1574">
        <f>IF($A1574="","",ROW())</f>
        <v/>
      </c>
      <c r="L1574">
        <f>IF('01_Warehouse_Ledger'!$A1574="","",'01_Warehouse_Ledger'!$A1574)</f>
        <v/>
      </c>
    </row>
    <row r="1575">
      <c r="I1575">
        <f>IF(OR($A1575="",$B1575=""),"",IF(COUNTIFS($A$2:$A1575,$A1575,$B$2:$B1575,$B1575)=1,1,0))</f>
        <v/>
      </c>
      <c r="J1575">
        <f>IF($A1575="","",ROW())</f>
        <v/>
      </c>
      <c r="L1575">
        <f>IF('01_Warehouse_Ledger'!$A1575="","",'01_Warehouse_Ledger'!$A1575)</f>
        <v/>
      </c>
    </row>
    <row r="1576">
      <c r="I1576">
        <f>IF(OR($A1576="",$B1576=""),"",IF(COUNTIFS($A$2:$A1576,$A1576,$B$2:$B1576,$B1576)=1,1,0))</f>
        <v/>
      </c>
      <c r="J1576">
        <f>IF($A1576="","",ROW())</f>
        <v/>
      </c>
      <c r="L1576">
        <f>IF('01_Warehouse_Ledger'!$A1576="","",'01_Warehouse_Ledger'!$A1576)</f>
        <v/>
      </c>
    </row>
    <row r="1577">
      <c r="I1577">
        <f>IF(OR($A1577="",$B1577=""),"",IF(COUNTIFS($A$2:$A1577,$A1577,$B$2:$B1577,$B1577)=1,1,0))</f>
        <v/>
      </c>
      <c r="J1577">
        <f>IF($A1577="","",ROW())</f>
        <v/>
      </c>
      <c r="L1577">
        <f>IF('01_Warehouse_Ledger'!$A1577="","",'01_Warehouse_Ledger'!$A1577)</f>
        <v/>
      </c>
    </row>
    <row r="1578">
      <c r="I1578">
        <f>IF(OR($A1578="",$B1578=""),"",IF(COUNTIFS($A$2:$A1578,$A1578,$B$2:$B1578,$B1578)=1,1,0))</f>
        <v/>
      </c>
      <c r="J1578">
        <f>IF($A1578="","",ROW())</f>
        <v/>
      </c>
      <c r="L1578">
        <f>IF('01_Warehouse_Ledger'!$A1578="","",'01_Warehouse_Ledger'!$A1578)</f>
        <v/>
      </c>
    </row>
    <row r="1579">
      <c r="I1579">
        <f>IF(OR($A1579="",$B1579=""),"",IF(COUNTIFS($A$2:$A1579,$A1579,$B$2:$B1579,$B1579)=1,1,0))</f>
        <v/>
      </c>
      <c r="J1579">
        <f>IF($A1579="","",ROW())</f>
        <v/>
      </c>
      <c r="L1579">
        <f>IF('01_Warehouse_Ledger'!$A1579="","",'01_Warehouse_Ledger'!$A1579)</f>
        <v/>
      </c>
    </row>
    <row r="1580">
      <c r="I1580">
        <f>IF(OR($A1580="",$B1580=""),"",IF(COUNTIFS($A$2:$A1580,$A1580,$B$2:$B1580,$B1580)=1,1,0))</f>
        <v/>
      </c>
      <c r="J1580">
        <f>IF($A1580="","",ROW())</f>
        <v/>
      </c>
      <c r="L1580">
        <f>IF('01_Warehouse_Ledger'!$A1580="","",'01_Warehouse_Ledger'!$A1580)</f>
        <v/>
      </c>
    </row>
    <row r="1581">
      <c r="I1581">
        <f>IF(OR($A1581="",$B1581=""),"",IF(COUNTIFS($A$2:$A1581,$A1581,$B$2:$B1581,$B1581)=1,1,0))</f>
        <v/>
      </c>
      <c r="J1581">
        <f>IF($A1581="","",ROW())</f>
        <v/>
      </c>
      <c r="L1581">
        <f>IF('01_Warehouse_Ledger'!$A1581="","",'01_Warehouse_Ledger'!$A1581)</f>
        <v/>
      </c>
    </row>
    <row r="1582">
      <c r="I1582">
        <f>IF(OR($A1582="",$B1582=""),"",IF(COUNTIFS($A$2:$A1582,$A1582,$B$2:$B1582,$B1582)=1,1,0))</f>
        <v/>
      </c>
      <c r="J1582">
        <f>IF($A1582="","",ROW())</f>
        <v/>
      </c>
      <c r="L1582">
        <f>IF('01_Warehouse_Ledger'!$A1582="","",'01_Warehouse_Ledger'!$A1582)</f>
        <v/>
      </c>
    </row>
    <row r="1583">
      <c r="I1583">
        <f>IF(OR($A1583="",$B1583=""),"",IF(COUNTIFS($A$2:$A1583,$A1583,$B$2:$B1583,$B1583)=1,1,0))</f>
        <v/>
      </c>
      <c r="J1583">
        <f>IF($A1583="","",ROW())</f>
        <v/>
      </c>
      <c r="L1583">
        <f>IF('01_Warehouse_Ledger'!$A1583="","",'01_Warehouse_Ledger'!$A1583)</f>
        <v/>
      </c>
    </row>
    <row r="1584">
      <c r="I1584">
        <f>IF(OR($A1584="",$B1584=""),"",IF(COUNTIFS($A$2:$A1584,$A1584,$B$2:$B1584,$B1584)=1,1,0))</f>
        <v/>
      </c>
      <c r="J1584">
        <f>IF($A1584="","",ROW())</f>
        <v/>
      </c>
      <c r="L1584">
        <f>IF('01_Warehouse_Ledger'!$A1584="","",'01_Warehouse_Ledger'!$A1584)</f>
        <v/>
      </c>
    </row>
    <row r="1585">
      <c r="I1585">
        <f>IF(OR($A1585="",$B1585=""),"",IF(COUNTIFS($A$2:$A1585,$A1585,$B$2:$B1585,$B1585)=1,1,0))</f>
        <v/>
      </c>
      <c r="J1585">
        <f>IF($A1585="","",ROW())</f>
        <v/>
      </c>
      <c r="L1585">
        <f>IF('01_Warehouse_Ledger'!$A1585="","",'01_Warehouse_Ledger'!$A1585)</f>
        <v/>
      </c>
    </row>
    <row r="1586">
      <c r="I1586">
        <f>IF(OR($A1586="",$B1586=""),"",IF(COUNTIFS($A$2:$A1586,$A1586,$B$2:$B1586,$B1586)=1,1,0))</f>
        <v/>
      </c>
      <c r="J1586">
        <f>IF($A1586="","",ROW())</f>
        <v/>
      </c>
      <c r="L1586">
        <f>IF('01_Warehouse_Ledger'!$A1586="","",'01_Warehouse_Ledger'!$A1586)</f>
        <v/>
      </c>
    </row>
    <row r="1587">
      <c r="I1587">
        <f>IF(OR($A1587="",$B1587=""),"",IF(COUNTIFS($A$2:$A1587,$A1587,$B$2:$B1587,$B1587)=1,1,0))</f>
        <v/>
      </c>
      <c r="J1587">
        <f>IF($A1587="","",ROW())</f>
        <v/>
      </c>
      <c r="L1587">
        <f>IF('01_Warehouse_Ledger'!$A1587="","",'01_Warehouse_Ledger'!$A1587)</f>
        <v/>
      </c>
    </row>
    <row r="1588">
      <c r="I1588">
        <f>IF(OR($A1588="",$B1588=""),"",IF(COUNTIFS($A$2:$A1588,$A1588,$B$2:$B1588,$B1588)=1,1,0))</f>
        <v/>
      </c>
      <c r="J1588">
        <f>IF($A1588="","",ROW())</f>
        <v/>
      </c>
      <c r="L1588">
        <f>IF('01_Warehouse_Ledger'!$A1588="","",'01_Warehouse_Ledger'!$A1588)</f>
        <v/>
      </c>
    </row>
    <row r="1589">
      <c r="I1589">
        <f>IF(OR($A1589="",$B1589=""),"",IF(COUNTIFS($A$2:$A1589,$A1589,$B$2:$B1589,$B1589)=1,1,0))</f>
        <v/>
      </c>
      <c r="J1589">
        <f>IF($A1589="","",ROW())</f>
        <v/>
      </c>
      <c r="L1589">
        <f>IF('01_Warehouse_Ledger'!$A1589="","",'01_Warehouse_Ledger'!$A1589)</f>
        <v/>
      </c>
    </row>
    <row r="1590">
      <c r="I1590">
        <f>IF(OR($A1590="",$B1590=""),"",IF(COUNTIFS($A$2:$A1590,$A1590,$B$2:$B1590,$B1590)=1,1,0))</f>
        <v/>
      </c>
      <c r="J1590">
        <f>IF($A1590="","",ROW())</f>
        <v/>
      </c>
      <c r="L1590">
        <f>IF('01_Warehouse_Ledger'!$A1590="","",'01_Warehouse_Ledger'!$A1590)</f>
        <v/>
      </c>
    </row>
    <row r="1591">
      <c r="I1591">
        <f>IF(OR($A1591="",$B1591=""),"",IF(COUNTIFS($A$2:$A1591,$A1591,$B$2:$B1591,$B1591)=1,1,0))</f>
        <v/>
      </c>
      <c r="J1591">
        <f>IF($A1591="","",ROW())</f>
        <v/>
      </c>
      <c r="L1591">
        <f>IF('01_Warehouse_Ledger'!$A1591="","",'01_Warehouse_Ledger'!$A1591)</f>
        <v/>
      </c>
    </row>
    <row r="1592">
      <c r="I1592">
        <f>IF(OR($A1592="",$B1592=""),"",IF(COUNTIFS($A$2:$A1592,$A1592,$B$2:$B1592,$B1592)=1,1,0))</f>
        <v/>
      </c>
      <c r="J1592">
        <f>IF($A1592="","",ROW())</f>
        <v/>
      </c>
      <c r="L1592">
        <f>IF('01_Warehouse_Ledger'!$A1592="","",'01_Warehouse_Ledger'!$A1592)</f>
        <v/>
      </c>
    </row>
    <row r="1593">
      <c r="I1593">
        <f>IF(OR($A1593="",$B1593=""),"",IF(COUNTIFS($A$2:$A1593,$A1593,$B$2:$B1593,$B1593)=1,1,0))</f>
        <v/>
      </c>
      <c r="J1593">
        <f>IF($A1593="","",ROW())</f>
        <v/>
      </c>
      <c r="L1593">
        <f>IF('01_Warehouse_Ledger'!$A1593="","",'01_Warehouse_Ledger'!$A1593)</f>
        <v/>
      </c>
    </row>
    <row r="1594">
      <c r="I1594">
        <f>IF(OR($A1594="",$B1594=""),"",IF(COUNTIFS($A$2:$A1594,$A1594,$B$2:$B1594,$B1594)=1,1,0))</f>
        <v/>
      </c>
      <c r="J1594">
        <f>IF($A1594="","",ROW())</f>
        <v/>
      </c>
      <c r="L1594">
        <f>IF('01_Warehouse_Ledger'!$A1594="","",'01_Warehouse_Ledger'!$A1594)</f>
        <v/>
      </c>
    </row>
    <row r="1595">
      <c r="I1595">
        <f>IF(OR($A1595="",$B1595=""),"",IF(COUNTIFS($A$2:$A1595,$A1595,$B$2:$B1595,$B1595)=1,1,0))</f>
        <v/>
      </c>
      <c r="J1595">
        <f>IF($A1595="","",ROW())</f>
        <v/>
      </c>
      <c r="L1595">
        <f>IF('01_Warehouse_Ledger'!$A1595="","",'01_Warehouse_Ledger'!$A1595)</f>
        <v/>
      </c>
    </row>
    <row r="1596">
      <c r="I1596">
        <f>IF(OR($A1596="",$B1596=""),"",IF(COUNTIFS($A$2:$A1596,$A1596,$B$2:$B1596,$B1596)=1,1,0))</f>
        <v/>
      </c>
      <c r="J1596">
        <f>IF($A1596="","",ROW())</f>
        <v/>
      </c>
      <c r="L1596">
        <f>IF('01_Warehouse_Ledger'!$A1596="","",'01_Warehouse_Ledger'!$A1596)</f>
        <v/>
      </c>
    </row>
    <row r="1597">
      <c r="I1597">
        <f>IF(OR($A1597="",$B1597=""),"",IF(COUNTIFS($A$2:$A1597,$A1597,$B$2:$B1597,$B1597)=1,1,0))</f>
        <v/>
      </c>
      <c r="J1597">
        <f>IF($A1597="","",ROW())</f>
        <v/>
      </c>
      <c r="L1597">
        <f>IF('01_Warehouse_Ledger'!$A1597="","",'01_Warehouse_Ledger'!$A1597)</f>
        <v/>
      </c>
    </row>
    <row r="1598">
      <c r="I1598">
        <f>IF(OR($A1598="",$B1598=""),"",IF(COUNTIFS($A$2:$A1598,$A1598,$B$2:$B1598,$B1598)=1,1,0))</f>
        <v/>
      </c>
      <c r="J1598">
        <f>IF($A1598="","",ROW())</f>
        <v/>
      </c>
      <c r="L1598">
        <f>IF('01_Warehouse_Ledger'!$A1598="","",'01_Warehouse_Ledger'!$A1598)</f>
        <v/>
      </c>
    </row>
    <row r="1599">
      <c r="I1599">
        <f>IF(OR($A1599="",$B1599=""),"",IF(COUNTIFS($A$2:$A1599,$A1599,$B$2:$B1599,$B1599)=1,1,0))</f>
        <v/>
      </c>
      <c r="J1599">
        <f>IF($A1599="","",ROW())</f>
        <v/>
      </c>
      <c r="L1599">
        <f>IF('01_Warehouse_Ledger'!$A1599="","",'01_Warehouse_Ledger'!$A1599)</f>
        <v/>
      </c>
    </row>
    <row r="1600">
      <c r="I1600">
        <f>IF(OR($A1600="",$B1600=""),"",IF(COUNTIFS($A$2:$A1600,$A1600,$B$2:$B1600,$B1600)=1,1,0))</f>
        <v/>
      </c>
      <c r="J1600">
        <f>IF($A1600="","",ROW())</f>
        <v/>
      </c>
      <c r="L1600">
        <f>IF('01_Warehouse_Ledger'!$A1600="","",'01_Warehouse_Ledger'!$A1600)</f>
        <v/>
      </c>
    </row>
    <row r="1601">
      <c r="I1601">
        <f>IF(OR($A1601="",$B1601=""),"",IF(COUNTIFS($A$2:$A1601,$A1601,$B$2:$B1601,$B1601)=1,1,0))</f>
        <v/>
      </c>
      <c r="J1601">
        <f>IF($A1601="","",ROW())</f>
        <v/>
      </c>
      <c r="L1601">
        <f>IF('01_Warehouse_Ledger'!$A1601="","",'01_Warehouse_Ledger'!$A1601)</f>
        <v/>
      </c>
    </row>
    <row r="1602">
      <c r="I1602">
        <f>IF(OR($A1602="",$B1602=""),"",IF(COUNTIFS($A$2:$A1602,$A1602,$B$2:$B1602,$B1602)=1,1,0))</f>
        <v/>
      </c>
      <c r="J1602">
        <f>IF($A1602="","",ROW())</f>
        <v/>
      </c>
      <c r="L1602">
        <f>IF('01_Warehouse_Ledger'!$A1602="","",'01_Warehouse_Ledger'!$A1602)</f>
        <v/>
      </c>
    </row>
    <row r="1603">
      <c r="I1603">
        <f>IF(OR($A1603="",$B1603=""),"",IF(COUNTIFS($A$2:$A1603,$A1603,$B$2:$B1603,$B1603)=1,1,0))</f>
        <v/>
      </c>
      <c r="J1603">
        <f>IF($A1603="","",ROW())</f>
        <v/>
      </c>
      <c r="L1603">
        <f>IF('01_Warehouse_Ledger'!$A1603="","",'01_Warehouse_Ledger'!$A1603)</f>
        <v/>
      </c>
    </row>
    <row r="1604">
      <c r="I1604">
        <f>IF(OR($A1604="",$B1604=""),"",IF(COUNTIFS($A$2:$A1604,$A1604,$B$2:$B1604,$B1604)=1,1,0))</f>
        <v/>
      </c>
      <c r="J1604">
        <f>IF($A1604="","",ROW())</f>
        <v/>
      </c>
      <c r="L1604">
        <f>IF('01_Warehouse_Ledger'!$A1604="","",'01_Warehouse_Ledger'!$A1604)</f>
        <v/>
      </c>
    </row>
    <row r="1605">
      <c r="I1605">
        <f>IF(OR($A1605="",$B1605=""),"",IF(COUNTIFS($A$2:$A1605,$A1605,$B$2:$B1605,$B1605)=1,1,0))</f>
        <v/>
      </c>
      <c r="J1605">
        <f>IF($A1605="","",ROW())</f>
        <v/>
      </c>
      <c r="L1605">
        <f>IF('01_Warehouse_Ledger'!$A1605="","",'01_Warehouse_Ledger'!$A1605)</f>
        <v/>
      </c>
    </row>
    <row r="1606">
      <c r="I1606">
        <f>IF(OR($A1606="",$B1606=""),"",IF(COUNTIFS($A$2:$A1606,$A1606,$B$2:$B1606,$B1606)=1,1,0))</f>
        <v/>
      </c>
      <c r="J1606">
        <f>IF($A1606="","",ROW())</f>
        <v/>
      </c>
      <c r="L1606">
        <f>IF('01_Warehouse_Ledger'!$A1606="","",'01_Warehouse_Ledger'!$A1606)</f>
        <v/>
      </c>
    </row>
    <row r="1607">
      <c r="I1607">
        <f>IF(OR($A1607="",$B1607=""),"",IF(COUNTIFS($A$2:$A1607,$A1607,$B$2:$B1607,$B1607)=1,1,0))</f>
        <v/>
      </c>
      <c r="J1607">
        <f>IF($A1607="","",ROW())</f>
        <v/>
      </c>
      <c r="L1607">
        <f>IF('01_Warehouse_Ledger'!$A1607="","",'01_Warehouse_Ledger'!$A1607)</f>
        <v/>
      </c>
    </row>
    <row r="1608">
      <c r="I1608">
        <f>IF(OR($A1608="",$B1608=""),"",IF(COUNTIFS($A$2:$A1608,$A1608,$B$2:$B1608,$B1608)=1,1,0))</f>
        <v/>
      </c>
      <c r="J1608">
        <f>IF($A1608="","",ROW())</f>
        <v/>
      </c>
      <c r="L1608">
        <f>IF('01_Warehouse_Ledger'!$A1608="","",'01_Warehouse_Ledger'!$A1608)</f>
        <v/>
      </c>
    </row>
    <row r="1609">
      <c r="I1609">
        <f>IF(OR($A1609="",$B1609=""),"",IF(COUNTIFS($A$2:$A1609,$A1609,$B$2:$B1609,$B1609)=1,1,0))</f>
        <v/>
      </c>
      <c r="J1609">
        <f>IF($A1609="","",ROW())</f>
        <v/>
      </c>
      <c r="L1609">
        <f>IF('01_Warehouse_Ledger'!$A1609="","",'01_Warehouse_Ledger'!$A1609)</f>
        <v/>
      </c>
    </row>
    <row r="1610">
      <c r="I1610">
        <f>IF(OR($A1610="",$B1610=""),"",IF(COUNTIFS($A$2:$A1610,$A1610,$B$2:$B1610,$B1610)=1,1,0))</f>
        <v/>
      </c>
      <c r="J1610">
        <f>IF($A1610="","",ROW())</f>
        <v/>
      </c>
      <c r="L1610">
        <f>IF('01_Warehouse_Ledger'!$A1610="","",'01_Warehouse_Ledger'!$A1610)</f>
        <v/>
      </c>
    </row>
    <row r="1611">
      <c r="I1611">
        <f>IF(OR($A1611="",$B1611=""),"",IF(COUNTIFS($A$2:$A1611,$A1611,$B$2:$B1611,$B1611)=1,1,0))</f>
        <v/>
      </c>
      <c r="J1611">
        <f>IF($A1611="","",ROW())</f>
        <v/>
      </c>
      <c r="L1611">
        <f>IF('01_Warehouse_Ledger'!$A1611="","",'01_Warehouse_Ledger'!$A1611)</f>
        <v/>
      </c>
    </row>
    <row r="1612">
      <c r="I1612">
        <f>IF(OR($A1612="",$B1612=""),"",IF(COUNTIFS($A$2:$A1612,$A1612,$B$2:$B1612,$B1612)=1,1,0))</f>
        <v/>
      </c>
      <c r="J1612">
        <f>IF($A1612="","",ROW())</f>
        <v/>
      </c>
      <c r="L1612">
        <f>IF('01_Warehouse_Ledger'!$A1612="","",'01_Warehouse_Ledger'!$A1612)</f>
        <v/>
      </c>
    </row>
    <row r="1613">
      <c r="I1613">
        <f>IF(OR($A1613="",$B1613=""),"",IF(COUNTIFS($A$2:$A1613,$A1613,$B$2:$B1613,$B1613)=1,1,0))</f>
        <v/>
      </c>
      <c r="J1613">
        <f>IF($A1613="","",ROW())</f>
        <v/>
      </c>
      <c r="L1613">
        <f>IF('01_Warehouse_Ledger'!$A1613="","",'01_Warehouse_Ledger'!$A1613)</f>
        <v/>
      </c>
    </row>
    <row r="1614">
      <c r="I1614">
        <f>IF(OR($A1614="",$B1614=""),"",IF(COUNTIFS($A$2:$A1614,$A1614,$B$2:$B1614,$B1614)=1,1,0))</f>
        <v/>
      </c>
      <c r="J1614">
        <f>IF($A1614="","",ROW())</f>
        <v/>
      </c>
      <c r="L1614">
        <f>IF('01_Warehouse_Ledger'!$A1614="","",'01_Warehouse_Ledger'!$A1614)</f>
        <v/>
      </c>
    </row>
    <row r="1615">
      <c r="I1615">
        <f>IF(OR($A1615="",$B1615=""),"",IF(COUNTIFS($A$2:$A1615,$A1615,$B$2:$B1615,$B1615)=1,1,0))</f>
        <v/>
      </c>
      <c r="J1615">
        <f>IF($A1615="","",ROW())</f>
        <v/>
      </c>
      <c r="L1615">
        <f>IF('01_Warehouse_Ledger'!$A1615="","",'01_Warehouse_Ledger'!$A1615)</f>
        <v/>
      </c>
    </row>
    <row r="1616">
      <c r="I1616">
        <f>IF(OR($A1616="",$B1616=""),"",IF(COUNTIFS($A$2:$A1616,$A1616,$B$2:$B1616,$B1616)=1,1,0))</f>
        <v/>
      </c>
      <c r="J1616">
        <f>IF($A1616="","",ROW())</f>
        <v/>
      </c>
      <c r="L1616">
        <f>IF('01_Warehouse_Ledger'!$A1616="","",'01_Warehouse_Ledger'!$A1616)</f>
        <v/>
      </c>
    </row>
    <row r="1617">
      <c r="I1617">
        <f>IF(OR($A1617="",$B1617=""),"",IF(COUNTIFS($A$2:$A1617,$A1617,$B$2:$B1617,$B1617)=1,1,0))</f>
        <v/>
      </c>
      <c r="J1617">
        <f>IF($A1617="","",ROW())</f>
        <v/>
      </c>
      <c r="L1617">
        <f>IF('01_Warehouse_Ledger'!$A1617="","",'01_Warehouse_Ledger'!$A1617)</f>
        <v/>
      </c>
    </row>
    <row r="1618">
      <c r="I1618">
        <f>IF(OR($A1618="",$B1618=""),"",IF(COUNTIFS($A$2:$A1618,$A1618,$B$2:$B1618,$B1618)=1,1,0))</f>
        <v/>
      </c>
      <c r="J1618">
        <f>IF($A1618="","",ROW())</f>
        <v/>
      </c>
      <c r="L1618">
        <f>IF('01_Warehouse_Ledger'!$A1618="","",'01_Warehouse_Ledger'!$A1618)</f>
        <v/>
      </c>
    </row>
    <row r="1619">
      <c r="I1619">
        <f>IF(OR($A1619="",$B1619=""),"",IF(COUNTIFS($A$2:$A1619,$A1619,$B$2:$B1619,$B1619)=1,1,0))</f>
        <v/>
      </c>
      <c r="J1619">
        <f>IF($A1619="","",ROW())</f>
        <v/>
      </c>
      <c r="L1619">
        <f>IF('01_Warehouse_Ledger'!$A1619="","",'01_Warehouse_Ledger'!$A1619)</f>
        <v/>
      </c>
    </row>
    <row r="1620">
      <c r="I1620">
        <f>IF(OR($A1620="",$B1620=""),"",IF(COUNTIFS($A$2:$A1620,$A1620,$B$2:$B1620,$B1620)=1,1,0))</f>
        <v/>
      </c>
      <c r="J1620">
        <f>IF($A1620="","",ROW())</f>
        <v/>
      </c>
      <c r="L1620">
        <f>IF('01_Warehouse_Ledger'!$A1620="","",'01_Warehouse_Ledger'!$A1620)</f>
        <v/>
      </c>
    </row>
    <row r="1621">
      <c r="I1621">
        <f>IF(OR($A1621="",$B1621=""),"",IF(COUNTIFS($A$2:$A1621,$A1621,$B$2:$B1621,$B1621)=1,1,0))</f>
        <v/>
      </c>
      <c r="J1621">
        <f>IF($A1621="","",ROW())</f>
        <v/>
      </c>
      <c r="L1621">
        <f>IF('01_Warehouse_Ledger'!$A1621="","",'01_Warehouse_Ledger'!$A1621)</f>
        <v/>
      </c>
    </row>
    <row r="1622">
      <c r="I1622">
        <f>IF(OR($A1622="",$B1622=""),"",IF(COUNTIFS($A$2:$A1622,$A1622,$B$2:$B1622,$B1622)=1,1,0))</f>
        <v/>
      </c>
      <c r="J1622">
        <f>IF($A1622="","",ROW())</f>
        <v/>
      </c>
      <c r="L1622">
        <f>IF('01_Warehouse_Ledger'!$A1622="","",'01_Warehouse_Ledger'!$A1622)</f>
        <v/>
      </c>
    </row>
    <row r="1623">
      <c r="I1623">
        <f>IF(OR($A1623="",$B1623=""),"",IF(COUNTIFS($A$2:$A1623,$A1623,$B$2:$B1623,$B1623)=1,1,0))</f>
        <v/>
      </c>
      <c r="J1623">
        <f>IF($A1623="","",ROW())</f>
        <v/>
      </c>
      <c r="L1623">
        <f>IF('01_Warehouse_Ledger'!$A1623="","",'01_Warehouse_Ledger'!$A1623)</f>
        <v/>
      </c>
    </row>
    <row r="1624">
      <c r="I1624">
        <f>IF(OR($A1624="",$B1624=""),"",IF(COUNTIFS($A$2:$A1624,$A1624,$B$2:$B1624,$B1624)=1,1,0))</f>
        <v/>
      </c>
      <c r="J1624">
        <f>IF($A1624="","",ROW())</f>
        <v/>
      </c>
      <c r="L1624">
        <f>IF('01_Warehouse_Ledger'!$A1624="","",'01_Warehouse_Ledger'!$A1624)</f>
        <v/>
      </c>
    </row>
    <row r="1625">
      <c r="I1625">
        <f>IF(OR($A1625="",$B1625=""),"",IF(COUNTIFS($A$2:$A1625,$A1625,$B$2:$B1625,$B1625)=1,1,0))</f>
        <v/>
      </c>
      <c r="J1625">
        <f>IF($A1625="","",ROW())</f>
        <v/>
      </c>
      <c r="L1625">
        <f>IF('01_Warehouse_Ledger'!$A1625="","",'01_Warehouse_Ledger'!$A1625)</f>
        <v/>
      </c>
    </row>
    <row r="1626">
      <c r="I1626">
        <f>IF(OR($A1626="",$B1626=""),"",IF(COUNTIFS($A$2:$A1626,$A1626,$B$2:$B1626,$B1626)=1,1,0))</f>
        <v/>
      </c>
      <c r="J1626">
        <f>IF($A1626="","",ROW())</f>
        <v/>
      </c>
      <c r="L1626">
        <f>IF('01_Warehouse_Ledger'!$A1626="","",'01_Warehouse_Ledger'!$A1626)</f>
        <v/>
      </c>
    </row>
    <row r="1627">
      <c r="I1627">
        <f>IF(OR($A1627="",$B1627=""),"",IF(COUNTIFS($A$2:$A1627,$A1627,$B$2:$B1627,$B1627)=1,1,0))</f>
        <v/>
      </c>
      <c r="J1627">
        <f>IF($A1627="","",ROW())</f>
        <v/>
      </c>
      <c r="L1627">
        <f>IF('01_Warehouse_Ledger'!$A1627="","",'01_Warehouse_Ledger'!$A1627)</f>
        <v/>
      </c>
    </row>
    <row r="1628">
      <c r="I1628">
        <f>IF(OR($A1628="",$B1628=""),"",IF(COUNTIFS($A$2:$A1628,$A1628,$B$2:$B1628,$B1628)=1,1,0))</f>
        <v/>
      </c>
      <c r="J1628">
        <f>IF($A1628="","",ROW())</f>
        <v/>
      </c>
      <c r="L1628">
        <f>IF('01_Warehouse_Ledger'!$A1628="","",'01_Warehouse_Ledger'!$A1628)</f>
        <v/>
      </c>
    </row>
    <row r="1629">
      <c r="I1629">
        <f>IF(OR($A1629="",$B1629=""),"",IF(COUNTIFS($A$2:$A1629,$A1629,$B$2:$B1629,$B1629)=1,1,0))</f>
        <v/>
      </c>
      <c r="J1629">
        <f>IF($A1629="","",ROW())</f>
        <v/>
      </c>
      <c r="L1629">
        <f>IF('01_Warehouse_Ledger'!$A1629="","",'01_Warehouse_Ledger'!$A1629)</f>
        <v/>
      </c>
    </row>
    <row r="1630">
      <c r="I1630">
        <f>IF(OR($A1630="",$B1630=""),"",IF(COUNTIFS($A$2:$A1630,$A1630,$B$2:$B1630,$B1630)=1,1,0))</f>
        <v/>
      </c>
      <c r="J1630">
        <f>IF($A1630="","",ROW())</f>
        <v/>
      </c>
      <c r="L1630">
        <f>IF('01_Warehouse_Ledger'!$A1630="","",'01_Warehouse_Ledger'!$A1630)</f>
        <v/>
      </c>
    </row>
    <row r="1631">
      <c r="I1631">
        <f>IF(OR($A1631="",$B1631=""),"",IF(COUNTIFS($A$2:$A1631,$A1631,$B$2:$B1631,$B1631)=1,1,0))</f>
        <v/>
      </c>
      <c r="J1631">
        <f>IF($A1631="","",ROW())</f>
        <v/>
      </c>
      <c r="L1631">
        <f>IF('01_Warehouse_Ledger'!$A1631="","",'01_Warehouse_Ledger'!$A1631)</f>
        <v/>
      </c>
    </row>
    <row r="1632">
      <c r="I1632">
        <f>IF(OR($A1632="",$B1632=""),"",IF(COUNTIFS($A$2:$A1632,$A1632,$B$2:$B1632,$B1632)=1,1,0))</f>
        <v/>
      </c>
      <c r="J1632">
        <f>IF($A1632="","",ROW())</f>
        <v/>
      </c>
      <c r="L1632">
        <f>IF('01_Warehouse_Ledger'!$A1632="","",'01_Warehouse_Ledger'!$A1632)</f>
        <v/>
      </c>
    </row>
    <row r="1633">
      <c r="I1633">
        <f>IF(OR($A1633="",$B1633=""),"",IF(COUNTIFS($A$2:$A1633,$A1633,$B$2:$B1633,$B1633)=1,1,0))</f>
        <v/>
      </c>
      <c r="J1633">
        <f>IF($A1633="","",ROW())</f>
        <v/>
      </c>
      <c r="L1633">
        <f>IF('01_Warehouse_Ledger'!$A1633="","",'01_Warehouse_Ledger'!$A1633)</f>
        <v/>
      </c>
    </row>
    <row r="1634">
      <c r="I1634">
        <f>IF(OR($A1634="",$B1634=""),"",IF(COUNTIFS($A$2:$A1634,$A1634,$B$2:$B1634,$B1634)=1,1,0))</f>
        <v/>
      </c>
      <c r="J1634">
        <f>IF($A1634="","",ROW())</f>
        <v/>
      </c>
      <c r="L1634">
        <f>IF('01_Warehouse_Ledger'!$A1634="","",'01_Warehouse_Ledger'!$A1634)</f>
        <v/>
      </c>
    </row>
    <row r="1635">
      <c r="I1635">
        <f>IF(OR($A1635="",$B1635=""),"",IF(COUNTIFS($A$2:$A1635,$A1635,$B$2:$B1635,$B1635)=1,1,0))</f>
        <v/>
      </c>
      <c r="J1635">
        <f>IF($A1635="","",ROW())</f>
        <v/>
      </c>
      <c r="L1635">
        <f>IF('01_Warehouse_Ledger'!$A1635="","",'01_Warehouse_Ledger'!$A1635)</f>
        <v/>
      </c>
    </row>
    <row r="1636">
      <c r="I1636">
        <f>IF(OR($A1636="",$B1636=""),"",IF(COUNTIFS($A$2:$A1636,$A1636,$B$2:$B1636,$B1636)=1,1,0))</f>
        <v/>
      </c>
      <c r="J1636">
        <f>IF($A1636="","",ROW())</f>
        <v/>
      </c>
      <c r="L1636">
        <f>IF('01_Warehouse_Ledger'!$A1636="","",'01_Warehouse_Ledger'!$A1636)</f>
        <v/>
      </c>
    </row>
    <row r="1637">
      <c r="I1637">
        <f>IF(OR($A1637="",$B1637=""),"",IF(COUNTIFS($A$2:$A1637,$A1637,$B$2:$B1637,$B1637)=1,1,0))</f>
        <v/>
      </c>
      <c r="J1637">
        <f>IF($A1637="","",ROW())</f>
        <v/>
      </c>
      <c r="L1637">
        <f>IF('01_Warehouse_Ledger'!$A1637="","",'01_Warehouse_Ledger'!$A1637)</f>
        <v/>
      </c>
    </row>
    <row r="1638">
      <c r="I1638">
        <f>IF(OR($A1638="",$B1638=""),"",IF(COUNTIFS($A$2:$A1638,$A1638,$B$2:$B1638,$B1638)=1,1,0))</f>
        <v/>
      </c>
      <c r="J1638">
        <f>IF($A1638="","",ROW())</f>
        <v/>
      </c>
      <c r="L1638">
        <f>IF('01_Warehouse_Ledger'!$A1638="","",'01_Warehouse_Ledger'!$A1638)</f>
        <v/>
      </c>
    </row>
    <row r="1639">
      <c r="I1639">
        <f>IF(OR($A1639="",$B1639=""),"",IF(COUNTIFS($A$2:$A1639,$A1639,$B$2:$B1639,$B1639)=1,1,0))</f>
        <v/>
      </c>
      <c r="J1639">
        <f>IF($A1639="","",ROW())</f>
        <v/>
      </c>
      <c r="L1639">
        <f>IF('01_Warehouse_Ledger'!$A1639="","",'01_Warehouse_Ledger'!$A1639)</f>
        <v/>
      </c>
    </row>
    <row r="1640">
      <c r="I1640">
        <f>IF(OR($A1640="",$B1640=""),"",IF(COUNTIFS($A$2:$A1640,$A1640,$B$2:$B1640,$B1640)=1,1,0))</f>
        <v/>
      </c>
      <c r="J1640">
        <f>IF($A1640="","",ROW())</f>
        <v/>
      </c>
      <c r="L1640">
        <f>IF('01_Warehouse_Ledger'!$A1640="","",'01_Warehouse_Ledger'!$A1640)</f>
        <v/>
      </c>
    </row>
    <row r="1641">
      <c r="I1641">
        <f>IF(OR($A1641="",$B1641=""),"",IF(COUNTIFS($A$2:$A1641,$A1641,$B$2:$B1641,$B1641)=1,1,0))</f>
        <v/>
      </c>
      <c r="J1641">
        <f>IF($A1641="","",ROW())</f>
        <v/>
      </c>
      <c r="L1641">
        <f>IF('01_Warehouse_Ledger'!$A1641="","",'01_Warehouse_Ledger'!$A1641)</f>
        <v/>
      </c>
    </row>
    <row r="1642">
      <c r="I1642">
        <f>IF(OR($A1642="",$B1642=""),"",IF(COUNTIFS($A$2:$A1642,$A1642,$B$2:$B1642,$B1642)=1,1,0))</f>
        <v/>
      </c>
      <c r="J1642">
        <f>IF($A1642="","",ROW())</f>
        <v/>
      </c>
      <c r="L1642">
        <f>IF('01_Warehouse_Ledger'!$A1642="","",'01_Warehouse_Ledger'!$A1642)</f>
        <v/>
      </c>
    </row>
    <row r="1643">
      <c r="I1643">
        <f>IF(OR($A1643="",$B1643=""),"",IF(COUNTIFS($A$2:$A1643,$A1643,$B$2:$B1643,$B1643)=1,1,0))</f>
        <v/>
      </c>
      <c r="J1643">
        <f>IF($A1643="","",ROW())</f>
        <v/>
      </c>
      <c r="L1643">
        <f>IF('01_Warehouse_Ledger'!$A1643="","",'01_Warehouse_Ledger'!$A1643)</f>
        <v/>
      </c>
    </row>
    <row r="1644">
      <c r="I1644">
        <f>IF(OR($A1644="",$B1644=""),"",IF(COUNTIFS($A$2:$A1644,$A1644,$B$2:$B1644,$B1644)=1,1,0))</f>
        <v/>
      </c>
      <c r="J1644">
        <f>IF($A1644="","",ROW())</f>
        <v/>
      </c>
      <c r="L1644">
        <f>IF('01_Warehouse_Ledger'!$A1644="","",'01_Warehouse_Ledger'!$A1644)</f>
        <v/>
      </c>
    </row>
    <row r="1645">
      <c r="I1645">
        <f>IF(OR($A1645="",$B1645=""),"",IF(COUNTIFS($A$2:$A1645,$A1645,$B$2:$B1645,$B1645)=1,1,0))</f>
        <v/>
      </c>
      <c r="J1645">
        <f>IF($A1645="","",ROW())</f>
        <v/>
      </c>
      <c r="L1645">
        <f>IF('01_Warehouse_Ledger'!$A1645="","",'01_Warehouse_Ledger'!$A1645)</f>
        <v/>
      </c>
    </row>
    <row r="1646">
      <c r="I1646">
        <f>IF(OR($A1646="",$B1646=""),"",IF(COUNTIFS($A$2:$A1646,$A1646,$B$2:$B1646,$B1646)=1,1,0))</f>
        <v/>
      </c>
      <c r="J1646">
        <f>IF($A1646="","",ROW())</f>
        <v/>
      </c>
      <c r="L1646">
        <f>IF('01_Warehouse_Ledger'!$A1646="","",'01_Warehouse_Ledger'!$A1646)</f>
        <v/>
      </c>
    </row>
    <row r="1647">
      <c r="I1647">
        <f>IF(OR($A1647="",$B1647=""),"",IF(COUNTIFS($A$2:$A1647,$A1647,$B$2:$B1647,$B1647)=1,1,0))</f>
        <v/>
      </c>
      <c r="J1647">
        <f>IF($A1647="","",ROW())</f>
        <v/>
      </c>
      <c r="L1647">
        <f>IF('01_Warehouse_Ledger'!$A1647="","",'01_Warehouse_Ledger'!$A1647)</f>
        <v/>
      </c>
    </row>
    <row r="1648">
      <c r="I1648">
        <f>IF(OR($A1648="",$B1648=""),"",IF(COUNTIFS($A$2:$A1648,$A1648,$B$2:$B1648,$B1648)=1,1,0))</f>
        <v/>
      </c>
      <c r="J1648">
        <f>IF($A1648="","",ROW())</f>
        <v/>
      </c>
      <c r="L1648">
        <f>IF('01_Warehouse_Ledger'!$A1648="","",'01_Warehouse_Ledger'!$A1648)</f>
        <v/>
      </c>
    </row>
    <row r="1649">
      <c r="I1649">
        <f>IF(OR($A1649="",$B1649=""),"",IF(COUNTIFS($A$2:$A1649,$A1649,$B$2:$B1649,$B1649)=1,1,0))</f>
        <v/>
      </c>
      <c r="J1649">
        <f>IF($A1649="","",ROW())</f>
        <v/>
      </c>
      <c r="L1649">
        <f>IF('01_Warehouse_Ledger'!$A1649="","",'01_Warehouse_Ledger'!$A1649)</f>
        <v/>
      </c>
    </row>
    <row r="1650">
      <c r="I1650">
        <f>IF(OR($A1650="",$B1650=""),"",IF(COUNTIFS($A$2:$A1650,$A1650,$B$2:$B1650,$B1650)=1,1,0))</f>
        <v/>
      </c>
      <c r="J1650">
        <f>IF($A1650="","",ROW())</f>
        <v/>
      </c>
      <c r="L1650">
        <f>IF('01_Warehouse_Ledger'!$A1650="","",'01_Warehouse_Ledger'!$A1650)</f>
        <v/>
      </c>
    </row>
    <row r="1651">
      <c r="I1651">
        <f>IF(OR($A1651="",$B1651=""),"",IF(COUNTIFS($A$2:$A1651,$A1651,$B$2:$B1651,$B1651)=1,1,0))</f>
        <v/>
      </c>
      <c r="J1651">
        <f>IF($A1651="","",ROW())</f>
        <v/>
      </c>
      <c r="L1651">
        <f>IF('01_Warehouse_Ledger'!$A1651="","",'01_Warehouse_Ledger'!$A1651)</f>
        <v/>
      </c>
    </row>
    <row r="1652">
      <c r="I1652">
        <f>IF(OR($A1652="",$B1652=""),"",IF(COUNTIFS($A$2:$A1652,$A1652,$B$2:$B1652,$B1652)=1,1,0))</f>
        <v/>
      </c>
      <c r="J1652">
        <f>IF($A1652="","",ROW())</f>
        <v/>
      </c>
      <c r="L1652">
        <f>IF('01_Warehouse_Ledger'!$A1652="","",'01_Warehouse_Ledger'!$A1652)</f>
        <v/>
      </c>
    </row>
    <row r="1653">
      <c r="I1653">
        <f>IF(OR($A1653="",$B1653=""),"",IF(COUNTIFS($A$2:$A1653,$A1653,$B$2:$B1653,$B1653)=1,1,0))</f>
        <v/>
      </c>
      <c r="J1653">
        <f>IF($A1653="","",ROW())</f>
        <v/>
      </c>
      <c r="L1653">
        <f>IF('01_Warehouse_Ledger'!$A1653="","",'01_Warehouse_Ledger'!$A1653)</f>
        <v/>
      </c>
    </row>
    <row r="1654">
      <c r="I1654">
        <f>IF(OR($A1654="",$B1654=""),"",IF(COUNTIFS($A$2:$A1654,$A1654,$B$2:$B1654,$B1654)=1,1,0))</f>
        <v/>
      </c>
      <c r="J1654">
        <f>IF($A1654="","",ROW())</f>
        <v/>
      </c>
      <c r="L1654">
        <f>IF('01_Warehouse_Ledger'!$A1654="","",'01_Warehouse_Ledger'!$A1654)</f>
        <v/>
      </c>
    </row>
    <row r="1655">
      <c r="I1655">
        <f>IF(OR($A1655="",$B1655=""),"",IF(COUNTIFS($A$2:$A1655,$A1655,$B$2:$B1655,$B1655)=1,1,0))</f>
        <v/>
      </c>
      <c r="J1655">
        <f>IF($A1655="","",ROW())</f>
        <v/>
      </c>
      <c r="L1655">
        <f>IF('01_Warehouse_Ledger'!$A1655="","",'01_Warehouse_Ledger'!$A1655)</f>
        <v/>
      </c>
    </row>
    <row r="1656">
      <c r="I1656">
        <f>IF(OR($A1656="",$B1656=""),"",IF(COUNTIFS($A$2:$A1656,$A1656,$B$2:$B1656,$B1656)=1,1,0))</f>
        <v/>
      </c>
      <c r="J1656">
        <f>IF($A1656="","",ROW())</f>
        <v/>
      </c>
      <c r="L1656">
        <f>IF('01_Warehouse_Ledger'!$A1656="","",'01_Warehouse_Ledger'!$A1656)</f>
        <v/>
      </c>
    </row>
    <row r="1657">
      <c r="I1657">
        <f>IF(OR($A1657="",$B1657=""),"",IF(COUNTIFS($A$2:$A1657,$A1657,$B$2:$B1657,$B1657)=1,1,0))</f>
        <v/>
      </c>
      <c r="J1657">
        <f>IF($A1657="","",ROW())</f>
        <v/>
      </c>
      <c r="L1657">
        <f>IF('01_Warehouse_Ledger'!$A1657="","",'01_Warehouse_Ledger'!$A1657)</f>
        <v/>
      </c>
    </row>
    <row r="1658">
      <c r="I1658">
        <f>IF(OR($A1658="",$B1658=""),"",IF(COUNTIFS($A$2:$A1658,$A1658,$B$2:$B1658,$B1658)=1,1,0))</f>
        <v/>
      </c>
      <c r="J1658">
        <f>IF($A1658="","",ROW())</f>
        <v/>
      </c>
      <c r="L1658">
        <f>IF('01_Warehouse_Ledger'!$A1658="","",'01_Warehouse_Ledger'!$A1658)</f>
        <v/>
      </c>
    </row>
    <row r="1659">
      <c r="I1659">
        <f>IF(OR($A1659="",$B1659=""),"",IF(COUNTIFS($A$2:$A1659,$A1659,$B$2:$B1659,$B1659)=1,1,0))</f>
        <v/>
      </c>
      <c r="J1659">
        <f>IF($A1659="","",ROW())</f>
        <v/>
      </c>
      <c r="L1659">
        <f>IF('01_Warehouse_Ledger'!$A1659="","",'01_Warehouse_Ledger'!$A1659)</f>
        <v/>
      </c>
    </row>
    <row r="1660">
      <c r="I1660">
        <f>IF(OR($A1660="",$B1660=""),"",IF(COUNTIFS($A$2:$A1660,$A1660,$B$2:$B1660,$B1660)=1,1,0))</f>
        <v/>
      </c>
      <c r="J1660">
        <f>IF($A1660="","",ROW())</f>
        <v/>
      </c>
      <c r="L1660">
        <f>IF('01_Warehouse_Ledger'!$A1660="","",'01_Warehouse_Ledger'!$A1660)</f>
        <v/>
      </c>
    </row>
    <row r="1661">
      <c r="I1661">
        <f>IF(OR($A1661="",$B1661=""),"",IF(COUNTIFS($A$2:$A1661,$A1661,$B$2:$B1661,$B1661)=1,1,0))</f>
        <v/>
      </c>
      <c r="J1661">
        <f>IF($A1661="","",ROW())</f>
        <v/>
      </c>
      <c r="L1661">
        <f>IF('01_Warehouse_Ledger'!$A1661="","",'01_Warehouse_Ledger'!$A1661)</f>
        <v/>
      </c>
    </row>
    <row r="1662">
      <c r="I1662">
        <f>IF(OR($A1662="",$B1662=""),"",IF(COUNTIFS($A$2:$A1662,$A1662,$B$2:$B1662,$B1662)=1,1,0))</f>
        <v/>
      </c>
      <c r="J1662">
        <f>IF($A1662="","",ROW())</f>
        <v/>
      </c>
      <c r="L1662">
        <f>IF('01_Warehouse_Ledger'!$A1662="","",'01_Warehouse_Ledger'!$A1662)</f>
        <v/>
      </c>
    </row>
    <row r="1663">
      <c r="I1663">
        <f>IF(OR($A1663="",$B1663=""),"",IF(COUNTIFS($A$2:$A1663,$A1663,$B$2:$B1663,$B1663)=1,1,0))</f>
        <v/>
      </c>
      <c r="J1663">
        <f>IF($A1663="","",ROW())</f>
        <v/>
      </c>
      <c r="L1663">
        <f>IF('01_Warehouse_Ledger'!$A1663="","",'01_Warehouse_Ledger'!$A1663)</f>
        <v/>
      </c>
    </row>
    <row r="1664">
      <c r="I1664">
        <f>IF(OR($A1664="",$B1664=""),"",IF(COUNTIFS($A$2:$A1664,$A1664,$B$2:$B1664,$B1664)=1,1,0))</f>
        <v/>
      </c>
      <c r="J1664">
        <f>IF($A1664="","",ROW())</f>
        <v/>
      </c>
      <c r="L1664">
        <f>IF('01_Warehouse_Ledger'!$A1664="","",'01_Warehouse_Ledger'!$A1664)</f>
        <v/>
      </c>
    </row>
    <row r="1665">
      <c r="I1665">
        <f>IF(OR($A1665="",$B1665=""),"",IF(COUNTIFS($A$2:$A1665,$A1665,$B$2:$B1665,$B1665)=1,1,0))</f>
        <v/>
      </c>
      <c r="J1665">
        <f>IF($A1665="","",ROW())</f>
        <v/>
      </c>
      <c r="L1665">
        <f>IF('01_Warehouse_Ledger'!$A1665="","",'01_Warehouse_Ledger'!$A1665)</f>
        <v/>
      </c>
    </row>
    <row r="1666">
      <c r="I1666">
        <f>IF(OR($A1666="",$B1666=""),"",IF(COUNTIFS($A$2:$A1666,$A1666,$B$2:$B1666,$B1666)=1,1,0))</f>
        <v/>
      </c>
      <c r="J1666">
        <f>IF($A1666="","",ROW())</f>
        <v/>
      </c>
      <c r="L1666">
        <f>IF('01_Warehouse_Ledger'!$A1666="","",'01_Warehouse_Ledger'!$A1666)</f>
        <v/>
      </c>
    </row>
    <row r="1667">
      <c r="I1667">
        <f>IF(OR($A1667="",$B1667=""),"",IF(COUNTIFS($A$2:$A1667,$A1667,$B$2:$B1667,$B1667)=1,1,0))</f>
        <v/>
      </c>
      <c r="J1667">
        <f>IF($A1667="","",ROW())</f>
        <v/>
      </c>
      <c r="L1667">
        <f>IF('01_Warehouse_Ledger'!$A1667="","",'01_Warehouse_Ledger'!$A1667)</f>
        <v/>
      </c>
    </row>
    <row r="1668">
      <c r="I1668">
        <f>IF(OR($A1668="",$B1668=""),"",IF(COUNTIFS($A$2:$A1668,$A1668,$B$2:$B1668,$B1668)=1,1,0))</f>
        <v/>
      </c>
      <c r="J1668">
        <f>IF($A1668="","",ROW())</f>
        <v/>
      </c>
      <c r="L1668">
        <f>IF('01_Warehouse_Ledger'!$A1668="","",'01_Warehouse_Ledger'!$A1668)</f>
        <v/>
      </c>
    </row>
    <row r="1669">
      <c r="I1669">
        <f>IF(OR($A1669="",$B1669=""),"",IF(COUNTIFS($A$2:$A1669,$A1669,$B$2:$B1669,$B1669)=1,1,0))</f>
        <v/>
      </c>
      <c r="J1669">
        <f>IF($A1669="","",ROW())</f>
        <v/>
      </c>
      <c r="L1669">
        <f>IF('01_Warehouse_Ledger'!$A1669="","",'01_Warehouse_Ledger'!$A1669)</f>
        <v/>
      </c>
    </row>
    <row r="1670">
      <c r="I1670">
        <f>IF(OR($A1670="",$B1670=""),"",IF(COUNTIFS($A$2:$A1670,$A1670,$B$2:$B1670,$B1670)=1,1,0))</f>
        <v/>
      </c>
      <c r="J1670">
        <f>IF($A1670="","",ROW())</f>
        <v/>
      </c>
      <c r="L1670">
        <f>IF('01_Warehouse_Ledger'!$A1670="","",'01_Warehouse_Ledger'!$A1670)</f>
        <v/>
      </c>
    </row>
    <row r="1671">
      <c r="I1671">
        <f>IF(OR($A1671="",$B1671=""),"",IF(COUNTIFS($A$2:$A1671,$A1671,$B$2:$B1671,$B1671)=1,1,0))</f>
        <v/>
      </c>
      <c r="J1671">
        <f>IF($A1671="","",ROW())</f>
        <v/>
      </c>
      <c r="L1671">
        <f>IF('01_Warehouse_Ledger'!$A1671="","",'01_Warehouse_Ledger'!$A1671)</f>
        <v/>
      </c>
    </row>
    <row r="1672">
      <c r="I1672">
        <f>IF(OR($A1672="",$B1672=""),"",IF(COUNTIFS($A$2:$A1672,$A1672,$B$2:$B1672,$B1672)=1,1,0))</f>
        <v/>
      </c>
      <c r="J1672">
        <f>IF($A1672="","",ROW())</f>
        <v/>
      </c>
      <c r="L1672">
        <f>IF('01_Warehouse_Ledger'!$A1672="","",'01_Warehouse_Ledger'!$A1672)</f>
        <v/>
      </c>
    </row>
    <row r="1673">
      <c r="I1673">
        <f>IF(OR($A1673="",$B1673=""),"",IF(COUNTIFS($A$2:$A1673,$A1673,$B$2:$B1673,$B1673)=1,1,0))</f>
        <v/>
      </c>
      <c r="J1673">
        <f>IF($A1673="","",ROW())</f>
        <v/>
      </c>
      <c r="L1673">
        <f>IF('01_Warehouse_Ledger'!$A1673="","",'01_Warehouse_Ledger'!$A1673)</f>
        <v/>
      </c>
    </row>
    <row r="1674">
      <c r="I1674">
        <f>IF(OR($A1674="",$B1674=""),"",IF(COUNTIFS($A$2:$A1674,$A1674,$B$2:$B1674,$B1674)=1,1,0))</f>
        <v/>
      </c>
      <c r="J1674">
        <f>IF($A1674="","",ROW())</f>
        <v/>
      </c>
      <c r="L1674">
        <f>IF('01_Warehouse_Ledger'!$A1674="","",'01_Warehouse_Ledger'!$A1674)</f>
        <v/>
      </c>
    </row>
    <row r="1675">
      <c r="I1675">
        <f>IF(OR($A1675="",$B1675=""),"",IF(COUNTIFS($A$2:$A1675,$A1675,$B$2:$B1675,$B1675)=1,1,0))</f>
        <v/>
      </c>
      <c r="J1675">
        <f>IF($A1675="","",ROW())</f>
        <v/>
      </c>
      <c r="L1675">
        <f>IF('01_Warehouse_Ledger'!$A1675="","",'01_Warehouse_Ledger'!$A1675)</f>
        <v/>
      </c>
    </row>
    <row r="1676">
      <c r="I1676">
        <f>IF(OR($A1676="",$B1676=""),"",IF(COUNTIFS($A$2:$A1676,$A1676,$B$2:$B1676,$B1676)=1,1,0))</f>
        <v/>
      </c>
      <c r="J1676">
        <f>IF($A1676="","",ROW())</f>
        <v/>
      </c>
      <c r="L1676">
        <f>IF('01_Warehouse_Ledger'!$A1676="","",'01_Warehouse_Ledger'!$A1676)</f>
        <v/>
      </c>
    </row>
    <row r="1677">
      <c r="I1677">
        <f>IF(OR($A1677="",$B1677=""),"",IF(COUNTIFS($A$2:$A1677,$A1677,$B$2:$B1677,$B1677)=1,1,0))</f>
        <v/>
      </c>
      <c r="J1677">
        <f>IF($A1677="","",ROW())</f>
        <v/>
      </c>
      <c r="L1677">
        <f>IF('01_Warehouse_Ledger'!$A1677="","",'01_Warehouse_Ledger'!$A1677)</f>
        <v/>
      </c>
    </row>
    <row r="1678">
      <c r="I1678">
        <f>IF(OR($A1678="",$B1678=""),"",IF(COUNTIFS($A$2:$A1678,$A1678,$B$2:$B1678,$B1678)=1,1,0))</f>
        <v/>
      </c>
      <c r="J1678">
        <f>IF($A1678="","",ROW())</f>
        <v/>
      </c>
      <c r="L1678">
        <f>IF('01_Warehouse_Ledger'!$A1678="","",'01_Warehouse_Ledger'!$A1678)</f>
        <v/>
      </c>
    </row>
    <row r="1679">
      <c r="I1679">
        <f>IF(OR($A1679="",$B1679=""),"",IF(COUNTIFS($A$2:$A1679,$A1679,$B$2:$B1679,$B1679)=1,1,0))</f>
        <v/>
      </c>
      <c r="J1679">
        <f>IF($A1679="","",ROW())</f>
        <v/>
      </c>
      <c r="L1679">
        <f>IF('01_Warehouse_Ledger'!$A1679="","",'01_Warehouse_Ledger'!$A1679)</f>
        <v/>
      </c>
    </row>
    <row r="1680">
      <c r="I1680">
        <f>IF(OR($A1680="",$B1680=""),"",IF(COUNTIFS($A$2:$A1680,$A1680,$B$2:$B1680,$B1680)=1,1,0))</f>
        <v/>
      </c>
      <c r="J1680">
        <f>IF($A1680="","",ROW())</f>
        <v/>
      </c>
      <c r="L1680">
        <f>IF('01_Warehouse_Ledger'!$A1680="","",'01_Warehouse_Ledger'!$A1680)</f>
        <v/>
      </c>
    </row>
    <row r="1681">
      <c r="I1681">
        <f>IF(OR($A1681="",$B1681=""),"",IF(COUNTIFS($A$2:$A1681,$A1681,$B$2:$B1681,$B1681)=1,1,0))</f>
        <v/>
      </c>
      <c r="J1681">
        <f>IF($A1681="","",ROW())</f>
        <v/>
      </c>
      <c r="L1681">
        <f>IF('01_Warehouse_Ledger'!$A1681="","",'01_Warehouse_Ledger'!$A1681)</f>
        <v/>
      </c>
    </row>
    <row r="1682">
      <c r="I1682">
        <f>IF(OR($A1682="",$B1682=""),"",IF(COUNTIFS($A$2:$A1682,$A1682,$B$2:$B1682,$B1682)=1,1,0))</f>
        <v/>
      </c>
      <c r="J1682">
        <f>IF($A1682="","",ROW())</f>
        <v/>
      </c>
      <c r="L1682">
        <f>IF('01_Warehouse_Ledger'!$A1682="","",'01_Warehouse_Ledger'!$A1682)</f>
        <v/>
      </c>
    </row>
    <row r="1683">
      <c r="I1683">
        <f>IF(OR($A1683="",$B1683=""),"",IF(COUNTIFS($A$2:$A1683,$A1683,$B$2:$B1683,$B1683)=1,1,0))</f>
        <v/>
      </c>
      <c r="J1683">
        <f>IF($A1683="","",ROW())</f>
        <v/>
      </c>
      <c r="L1683">
        <f>IF('01_Warehouse_Ledger'!$A1683="","",'01_Warehouse_Ledger'!$A1683)</f>
        <v/>
      </c>
    </row>
    <row r="1684">
      <c r="I1684">
        <f>IF(OR($A1684="",$B1684=""),"",IF(COUNTIFS($A$2:$A1684,$A1684,$B$2:$B1684,$B1684)=1,1,0))</f>
        <v/>
      </c>
      <c r="J1684">
        <f>IF($A1684="","",ROW())</f>
        <v/>
      </c>
      <c r="L1684">
        <f>IF('01_Warehouse_Ledger'!$A1684="","",'01_Warehouse_Ledger'!$A1684)</f>
        <v/>
      </c>
    </row>
    <row r="1685">
      <c r="I1685">
        <f>IF(OR($A1685="",$B1685=""),"",IF(COUNTIFS($A$2:$A1685,$A1685,$B$2:$B1685,$B1685)=1,1,0))</f>
        <v/>
      </c>
      <c r="J1685">
        <f>IF($A1685="","",ROW())</f>
        <v/>
      </c>
      <c r="L1685">
        <f>IF('01_Warehouse_Ledger'!$A1685="","",'01_Warehouse_Ledger'!$A1685)</f>
        <v/>
      </c>
    </row>
    <row r="1686">
      <c r="I1686">
        <f>IF(OR($A1686="",$B1686=""),"",IF(COUNTIFS($A$2:$A1686,$A1686,$B$2:$B1686,$B1686)=1,1,0))</f>
        <v/>
      </c>
      <c r="J1686">
        <f>IF($A1686="","",ROW())</f>
        <v/>
      </c>
      <c r="L1686">
        <f>IF('01_Warehouse_Ledger'!$A1686="","",'01_Warehouse_Ledger'!$A1686)</f>
        <v/>
      </c>
    </row>
    <row r="1687">
      <c r="I1687">
        <f>IF(OR($A1687="",$B1687=""),"",IF(COUNTIFS($A$2:$A1687,$A1687,$B$2:$B1687,$B1687)=1,1,0))</f>
        <v/>
      </c>
      <c r="J1687">
        <f>IF($A1687="","",ROW())</f>
        <v/>
      </c>
      <c r="L1687">
        <f>IF('01_Warehouse_Ledger'!$A1687="","",'01_Warehouse_Ledger'!$A1687)</f>
        <v/>
      </c>
    </row>
    <row r="1688">
      <c r="I1688">
        <f>IF(OR($A1688="",$B1688=""),"",IF(COUNTIFS($A$2:$A1688,$A1688,$B$2:$B1688,$B1688)=1,1,0))</f>
        <v/>
      </c>
      <c r="J1688">
        <f>IF($A1688="","",ROW())</f>
        <v/>
      </c>
      <c r="L1688">
        <f>IF('01_Warehouse_Ledger'!$A1688="","",'01_Warehouse_Ledger'!$A1688)</f>
        <v/>
      </c>
    </row>
    <row r="1689">
      <c r="I1689">
        <f>IF(OR($A1689="",$B1689=""),"",IF(COUNTIFS($A$2:$A1689,$A1689,$B$2:$B1689,$B1689)=1,1,0))</f>
        <v/>
      </c>
      <c r="J1689">
        <f>IF($A1689="","",ROW())</f>
        <v/>
      </c>
      <c r="L1689">
        <f>IF('01_Warehouse_Ledger'!$A1689="","",'01_Warehouse_Ledger'!$A1689)</f>
        <v/>
      </c>
    </row>
    <row r="1690">
      <c r="I1690">
        <f>IF(OR($A1690="",$B1690=""),"",IF(COUNTIFS($A$2:$A1690,$A1690,$B$2:$B1690,$B1690)=1,1,0))</f>
        <v/>
      </c>
      <c r="J1690">
        <f>IF($A1690="","",ROW())</f>
        <v/>
      </c>
      <c r="L1690">
        <f>IF('01_Warehouse_Ledger'!$A1690="","",'01_Warehouse_Ledger'!$A1690)</f>
        <v/>
      </c>
    </row>
    <row r="1691">
      <c r="I1691">
        <f>IF(OR($A1691="",$B1691=""),"",IF(COUNTIFS($A$2:$A1691,$A1691,$B$2:$B1691,$B1691)=1,1,0))</f>
        <v/>
      </c>
      <c r="J1691">
        <f>IF($A1691="","",ROW())</f>
        <v/>
      </c>
      <c r="L1691">
        <f>IF('01_Warehouse_Ledger'!$A1691="","",'01_Warehouse_Ledger'!$A1691)</f>
        <v/>
      </c>
    </row>
    <row r="1692">
      <c r="I1692">
        <f>IF(OR($A1692="",$B1692=""),"",IF(COUNTIFS($A$2:$A1692,$A1692,$B$2:$B1692,$B1692)=1,1,0))</f>
        <v/>
      </c>
      <c r="J1692">
        <f>IF($A1692="","",ROW())</f>
        <v/>
      </c>
      <c r="L1692">
        <f>IF('01_Warehouse_Ledger'!$A1692="","",'01_Warehouse_Ledger'!$A1692)</f>
        <v/>
      </c>
    </row>
    <row r="1693">
      <c r="I1693">
        <f>IF(OR($A1693="",$B1693=""),"",IF(COUNTIFS($A$2:$A1693,$A1693,$B$2:$B1693,$B1693)=1,1,0))</f>
        <v/>
      </c>
      <c r="J1693">
        <f>IF($A1693="","",ROW())</f>
        <v/>
      </c>
      <c r="L1693">
        <f>IF('01_Warehouse_Ledger'!$A1693="","",'01_Warehouse_Ledger'!$A1693)</f>
        <v/>
      </c>
    </row>
    <row r="1694">
      <c r="I1694">
        <f>IF(OR($A1694="",$B1694=""),"",IF(COUNTIFS($A$2:$A1694,$A1694,$B$2:$B1694,$B1694)=1,1,0))</f>
        <v/>
      </c>
      <c r="J1694">
        <f>IF($A1694="","",ROW())</f>
        <v/>
      </c>
      <c r="L1694">
        <f>IF('01_Warehouse_Ledger'!$A1694="","",'01_Warehouse_Ledger'!$A1694)</f>
        <v/>
      </c>
    </row>
    <row r="1695">
      <c r="I1695">
        <f>IF(OR($A1695="",$B1695=""),"",IF(COUNTIFS($A$2:$A1695,$A1695,$B$2:$B1695,$B1695)=1,1,0))</f>
        <v/>
      </c>
      <c r="J1695">
        <f>IF($A1695="","",ROW())</f>
        <v/>
      </c>
      <c r="L1695">
        <f>IF('01_Warehouse_Ledger'!$A1695="","",'01_Warehouse_Ledger'!$A1695)</f>
        <v/>
      </c>
    </row>
    <row r="1696">
      <c r="I1696">
        <f>IF(OR($A1696="",$B1696=""),"",IF(COUNTIFS($A$2:$A1696,$A1696,$B$2:$B1696,$B1696)=1,1,0))</f>
        <v/>
      </c>
      <c r="J1696">
        <f>IF($A1696="","",ROW())</f>
        <v/>
      </c>
      <c r="L1696">
        <f>IF('01_Warehouse_Ledger'!$A1696="","",'01_Warehouse_Ledger'!$A1696)</f>
        <v/>
      </c>
    </row>
    <row r="1697">
      <c r="I1697">
        <f>IF(OR($A1697="",$B1697=""),"",IF(COUNTIFS($A$2:$A1697,$A1697,$B$2:$B1697,$B1697)=1,1,0))</f>
        <v/>
      </c>
      <c r="J1697">
        <f>IF($A1697="","",ROW())</f>
        <v/>
      </c>
      <c r="L1697">
        <f>IF('01_Warehouse_Ledger'!$A1697="","",'01_Warehouse_Ledger'!$A1697)</f>
        <v/>
      </c>
    </row>
    <row r="1698">
      <c r="I1698">
        <f>IF(OR($A1698="",$B1698=""),"",IF(COUNTIFS($A$2:$A1698,$A1698,$B$2:$B1698,$B1698)=1,1,0))</f>
        <v/>
      </c>
      <c r="J1698">
        <f>IF($A1698="","",ROW())</f>
        <v/>
      </c>
      <c r="L1698">
        <f>IF('01_Warehouse_Ledger'!$A1698="","",'01_Warehouse_Ledger'!$A1698)</f>
        <v/>
      </c>
    </row>
    <row r="1699">
      <c r="I1699">
        <f>IF(OR($A1699="",$B1699=""),"",IF(COUNTIFS($A$2:$A1699,$A1699,$B$2:$B1699,$B1699)=1,1,0))</f>
        <v/>
      </c>
      <c r="J1699">
        <f>IF($A1699="","",ROW())</f>
        <v/>
      </c>
      <c r="L1699">
        <f>IF('01_Warehouse_Ledger'!$A1699="","",'01_Warehouse_Ledger'!$A1699)</f>
        <v/>
      </c>
    </row>
    <row r="1700">
      <c r="I1700">
        <f>IF(OR($A1700="",$B1700=""),"",IF(COUNTIFS($A$2:$A1700,$A1700,$B$2:$B1700,$B1700)=1,1,0))</f>
        <v/>
      </c>
      <c r="J1700">
        <f>IF($A1700="","",ROW())</f>
        <v/>
      </c>
      <c r="L1700">
        <f>IF('01_Warehouse_Ledger'!$A1700="","",'01_Warehouse_Ledger'!$A1700)</f>
        <v/>
      </c>
    </row>
    <row r="1701">
      <c r="I1701">
        <f>IF(OR($A1701="",$B1701=""),"",IF(COUNTIFS($A$2:$A1701,$A1701,$B$2:$B1701,$B1701)=1,1,0))</f>
        <v/>
      </c>
      <c r="J1701">
        <f>IF($A1701="","",ROW())</f>
        <v/>
      </c>
      <c r="L1701">
        <f>IF('01_Warehouse_Ledger'!$A1701="","",'01_Warehouse_Ledger'!$A1701)</f>
        <v/>
      </c>
    </row>
    <row r="1702">
      <c r="I1702">
        <f>IF(OR($A1702="",$B1702=""),"",IF(COUNTIFS($A$2:$A1702,$A1702,$B$2:$B1702,$B1702)=1,1,0))</f>
        <v/>
      </c>
      <c r="J1702">
        <f>IF($A1702="","",ROW())</f>
        <v/>
      </c>
      <c r="L1702">
        <f>IF('01_Warehouse_Ledger'!$A1702="","",'01_Warehouse_Ledger'!$A1702)</f>
        <v/>
      </c>
    </row>
    <row r="1703">
      <c r="I1703">
        <f>IF(OR($A1703="",$B1703=""),"",IF(COUNTIFS($A$2:$A1703,$A1703,$B$2:$B1703,$B1703)=1,1,0))</f>
        <v/>
      </c>
      <c r="J1703">
        <f>IF($A1703="","",ROW())</f>
        <v/>
      </c>
      <c r="L1703">
        <f>IF('01_Warehouse_Ledger'!$A1703="","",'01_Warehouse_Ledger'!$A1703)</f>
        <v/>
      </c>
    </row>
    <row r="1704">
      <c r="I1704">
        <f>IF(OR($A1704="",$B1704=""),"",IF(COUNTIFS($A$2:$A1704,$A1704,$B$2:$B1704,$B1704)=1,1,0))</f>
        <v/>
      </c>
      <c r="J1704">
        <f>IF($A1704="","",ROW())</f>
        <v/>
      </c>
      <c r="L1704">
        <f>IF('01_Warehouse_Ledger'!$A1704="","",'01_Warehouse_Ledger'!$A1704)</f>
        <v/>
      </c>
    </row>
    <row r="1705">
      <c r="I1705">
        <f>IF(OR($A1705="",$B1705=""),"",IF(COUNTIFS($A$2:$A1705,$A1705,$B$2:$B1705,$B1705)=1,1,0))</f>
        <v/>
      </c>
      <c r="J1705">
        <f>IF($A1705="","",ROW())</f>
        <v/>
      </c>
      <c r="L1705">
        <f>IF('01_Warehouse_Ledger'!$A1705="","",'01_Warehouse_Ledger'!$A1705)</f>
        <v/>
      </c>
    </row>
    <row r="1706">
      <c r="I1706">
        <f>IF(OR($A1706="",$B1706=""),"",IF(COUNTIFS($A$2:$A1706,$A1706,$B$2:$B1706,$B1706)=1,1,0))</f>
        <v/>
      </c>
      <c r="J1706">
        <f>IF($A1706="","",ROW())</f>
        <v/>
      </c>
      <c r="L1706">
        <f>IF('01_Warehouse_Ledger'!$A1706="","",'01_Warehouse_Ledger'!$A1706)</f>
        <v/>
      </c>
    </row>
    <row r="1707">
      <c r="I1707">
        <f>IF(OR($A1707="",$B1707=""),"",IF(COUNTIFS($A$2:$A1707,$A1707,$B$2:$B1707,$B1707)=1,1,0))</f>
        <v/>
      </c>
      <c r="J1707">
        <f>IF($A1707="","",ROW())</f>
        <v/>
      </c>
      <c r="L1707">
        <f>IF('01_Warehouse_Ledger'!$A1707="","",'01_Warehouse_Ledger'!$A1707)</f>
        <v/>
      </c>
    </row>
    <row r="1708">
      <c r="I1708">
        <f>IF(OR($A1708="",$B1708=""),"",IF(COUNTIFS($A$2:$A1708,$A1708,$B$2:$B1708,$B1708)=1,1,0))</f>
        <v/>
      </c>
      <c r="J1708">
        <f>IF($A1708="","",ROW())</f>
        <v/>
      </c>
      <c r="L1708">
        <f>IF('01_Warehouse_Ledger'!$A1708="","",'01_Warehouse_Ledger'!$A1708)</f>
        <v/>
      </c>
    </row>
    <row r="1709">
      <c r="I1709">
        <f>IF(OR($A1709="",$B1709=""),"",IF(COUNTIFS($A$2:$A1709,$A1709,$B$2:$B1709,$B1709)=1,1,0))</f>
        <v/>
      </c>
      <c r="J1709">
        <f>IF($A1709="","",ROW())</f>
        <v/>
      </c>
      <c r="L1709">
        <f>IF('01_Warehouse_Ledger'!$A1709="","",'01_Warehouse_Ledger'!$A1709)</f>
        <v/>
      </c>
    </row>
    <row r="1710">
      <c r="I1710">
        <f>IF(OR($A1710="",$B1710=""),"",IF(COUNTIFS($A$2:$A1710,$A1710,$B$2:$B1710,$B1710)=1,1,0))</f>
        <v/>
      </c>
      <c r="J1710">
        <f>IF($A1710="","",ROW())</f>
        <v/>
      </c>
      <c r="L1710">
        <f>IF('01_Warehouse_Ledger'!$A1710="","",'01_Warehouse_Ledger'!$A1710)</f>
        <v/>
      </c>
    </row>
    <row r="1711">
      <c r="I1711">
        <f>IF(OR($A1711="",$B1711=""),"",IF(COUNTIFS($A$2:$A1711,$A1711,$B$2:$B1711,$B1711)=1,1,0))</f>
        <v/>
      </c>
      <c r="J1711">
        <f>IF($A1711="","",ROW())</f>
        <v/>
      </c>
      <c r="L1711">
        <f>IF('01_Warehouse_Ledger'!$A1711="","",'01_Warehouse_Ledger'!$A1711)</f>
        <v/>
      </c>
    </row>
    <row r="1712">
      <c r="I1712">
        <f>IF(OR($A1712="",$B1712=""),"",IF(COUNTIFS($A$2:$A1712,$A1712,$B$2:$B1712,$B1712)=1,1,0))</f>
        <v/>
      </c>
      <c r="J1712">
        <f>IF($A1712="","",ROW())</f>
        <v/>
      </c>
      <c r="L1712">
        <f>IF('01_Warehouse_Ledger'!$A1712="","",'01_Warehouse_Ledger'!$A1712)</f>
        <v/>
      </c>
    </row>
    <row r="1713">
      <c r="I1713">
        <f>IF(OR($A1713="",$B1713=""),"",IF(COUNTIFS($A$2:$A1713,$A1713,$B$2:$B1713,$B1713)=1,1,0))</f>
        <v/>
      </c>
      <c r="J1713">
        <f>IF($A1713="","",ROW())</f>
        <v/>
      </c>
      <c r="L1713">
        <f>IF('01_Warehouse_Ledger'!$A1713="","",'01_Warehouse_Ledger'!$A1713)</f>
        <v/>
      </c>
    </row>
    <row r="1714">
      <c r="I1714">
        <f>IF(OR($A1714="",$B1714=""),"",IF(COUNTIFS($A$2:$A1714,$A1714,$B$2:$B1714,$B1714)=1,1,0))</f>
        <v/>
      </c>
      <c r="J1714">
        <f>IF($A1714="","",ROW())</f>
        <v/>
      </c>
      <c r="L1714">
        <f>IF('01_Warehouse_Ledger'!$A1714="","",'01_Warehouse_Ledger'!$A1714)</f>
        <v/>
      </c>
    </row>
    <row r="1715">
      <c r="I1715">
        <f>IF(OR($A1715="",$B1715=""),"",IF(COUNTIFS($A$2:$A1715,$A1715,$B$2:$B1715,$B1715)=1,1,0))</f>
        <v/>
      </c>
      <c r="J1715">
        <f>IF($A1715="","",ROW())</f>
        <v/>
      </c>
      <c r="L1715">
        <f>IF('01_Warehouse_Ledger'!$A1715="","",'01_Warehouse_Ledger'!$A1715)</f>
        <v/>
      </c>
    </row>
    <row r="1716">
      <c r="I1716">
        <f>IF(OR($A1716="",$B1716=""),"",IF(COUNTIFS($A$2:$A1716,$A1716,$B$2:$B1716,$B1716)=1,1,0))</f>
        <v/>
      </c>
      <c r="J1716">
        <f>IF($A1716="","",ROW())</f>
        <v/>
      </c>
      <c r="L1716">
        <f>IF('01_Warehouse_Ledger'!$A1716="","",'01_Warehouse_Ledger'!$A1716)</f>
        <v/>
      </c>
    </row>
    <row r="1717">
      <c r="I1717">
        <f>IF(OR($A1717="",$B1717=""),"",IF(COUNTIFS($A$2:$A1717,$A1717,$B$2:$B1717,$B1717)=1,1,0))</f>
        <v/>
      </c>
      <c r="J1717">
        <f>IF($A1717="","",ROW())</f>
        <v/>
      </c>
      <c r="L1717">
        <f>IF('01_Warehouse_Ledger'!$A1717="","",'01_Warehouse_Ledger'!$A1717)</f>
        <v/>
      </c>
    </row>
    <row r="1718">
      <c r="I1718">
        <f>IF(OR($A1718="",$B1718=""),"",IF(COUNTIFS($A$2:$A1718,$A1718,$B$2:$B1718,$B1718)=1,1,0))</f>
        <v/>
      </c>
      <c r="J1718">
        <f>IF($A1718="","",ROW())</f>
        <v/>
      </c>
      <c r="L1718">
        <f>IF('01_Warehouse_Ledger'!$A1718="","",'01_Warehouse_Ledger'!$A1718)</f>
        <v/>
      </c>
    </row>
    <row r="1719">
      <c r="I1719">
        <f>IF(OR($A1719="",$B1719=""),"",IF(COUNTIFS($A$2:$A1719,$A1719,$B$2:$B1719,$B1719)=1,1,0))</f>
        <v/>
      </c>
      <c r="J1719">
        <f>IF($A1719="","",ROW())</f>
        <v/>
      </c>
      <c r="L1719">
        <f>IF('01_Warehouse_Ledger'!$A1719="","",'01_Warehouse_Ledger'!$A1719)</f>
        <v/>
      </c>
    </row>
    <row r="1720">
      <c r="I1720">
        <f>IF(OR($A1720="",$B1720=""),"",IF(COUNTIFS($A$2:$A1720,$A1720,$B$2:$B1720,$B1720)=1,1,0))</f>
        <v/>
      </c>
      <c r="J1720">
        <f>IF($A1720="","",ROW())</f>
        <v/>
      </c>
      <c r="L1720">
        <f>IF('01_Warehouse_Ledger'!$A1720="","",'01_Warehouse_Ledger'!$A1720)</f>
        <v/>
      </c>
    </row>
    <row r="1721">
      <c r="I1721">
        <f>IF(OR($A1721="",$B1721=""),"",IF(COUNTIFS($A$2:$A1721,$A1721,$B$2:$B1721,$B1721)=1,1,0))</f>
        <v/>
      </c>
      <c r="J1721">
        <f>IF($A1721="","",ROW())</f>
        <v/>
      </c>
      <c r="L1721">
        <f>IF('01_Warehouse_Ledger'!$A1721="","",'01_Warehouse_Ledger'!$A1721)</f>
        <v/>
      </c>
    </row>
    <row r="1722">
      <c r="I1722">
        <f>IF(OR($A1722="",$B1722=""),"",IF(COUNTIFS($A$2:$A1722,$A1722,$B$2:$B1722,$B1722)=1,1,0))</f>
        <v/>
      </c>
      <c r="J1722">
        <f>IF($A1722="","",ROW())</f>
        <v/>
      </c>
      <c r="L1722">
        <f>IF('01_Warehouse_Ledger'!$A1722="","",'01_Warehouse_Ledger'!$A1722)</f>
        <v/>
      </c>
    </row>
    <row r="1723">
      <c r="I1723">
        <f>IF(OR($A1723="",$B1723=""),"",IF(COUNTIFS($A$2:$A1723,$A1723,$B$2:$B1723,$B1723)=1,1,0))</f>
        <v/>
      </c>
      <c r="J1723">
        <f>IF($A1723="","",ROW())</f>
        <v/>
      </c>
      <c r="L1723">
        <f>IF('01_Warehouse_Ledger'!$A1723="","",'01_Warehouse_Ledger'!$A1723)</f>
        <v/>
      </c>
    </row>
    <row r="1724">
      <c r="I1724">
        <f>IF(OR($A1724="",$B1724=""),"",IF(COUNTIFS($A$2:$A1724,$A1724,$B$2:$B1724,$B1724)=1,1,0))</f>
        <v/>
      </c>
      <c r="J1724">
        <f>IF($A1724="","",ROW())</f>
        <v/>
      </c>
      <c r="L1724">
        <f>IF('01_Warehouse_Ledger'!$A1724="","",'01_Warehouse_Ledger'!$A1724)</f>
        <v/>
      </c>
    </row>
    <row r="1725">
      <c r="I1725">
        <f>IF(OR($A1725="",$B1725=""),"",IF(COUNTIFS($A$2:$A1725,$A1725,$B$2:$B1725,$B1725)=1,1,0))</f>
        <v/>
      </c>
      <c r="J1725">
        <f>IF($A1725="","",ROW())</f>
        <v/>
      </c>
      <c r="L1725">
        <f>IF('01_Warehouse_Ledger'!$A1725="","",'01_Warehouse_Ledger'!$A1725)</f>
        <v/>
      </c>
    </row>
    <row r="1726">
      <c r="I1726">
        <f>IF(OR($A1726="",$B1726=""),"",IF(COUNTIFS($A$2:$A1726,$A1726,$B$2:$B1726,$B1726)=1,1,0))</f>
        <v/>
      </c>
      <c r="J1726">
        <f>IF($A1726="","",ROW())</f>
        <v/>
      </c>
      <c r="L1726">
        <f>IF('01_Warehouse_Ledger'!$A1726="","",'01_Warehouse_Ledger'!$A1726)</f>
        <v/>
      </c>
    </row>
    <row r="1727">
      <c r="I1727">
        <f>IF(OR($A1727="",$B1727=""),"",IF(COUNTIFS($A$2:$A1727,$A1727,$B$2:$B1727,$B1727)=1,1,0))</f>
        <v/>
      </c>
      <c r="J1727">
        <f>IF($A1727="","",ROW())</f>
        <v/>
      </c>
      <c r="L1727">
        <f>IF('01_Warehouse_Ledger'!$A1727="","",'01_Warehouse_Ledger'!$A1727)</f>
        <v/>
      </c>
    </row>
    <row r="1728">
      <c r="I1728">
        <f>IF(OR($A1728="",$B1728=""),"",IF(COUNTIFS($A$2:$A1728,$A1728,$B$2:$B1728,$B1728)=1,1,0))</f>
        <v/>
      </c>
      <c r="J1728">
        <f>IF($A1728="","",ROW())</f>
        <v/>
      </c>
      <c r="L1728">
        <f>IF('01_Warehouse_Ledger'!$A1728="","",'01_Warehouse_Ledger'!$A1728)</f>
        <v/>
      </c>
    </row>
    <row r="1729">
      <c r="I1729">
        <f>IF(OR($A1729="",$B1729=""),"",IF(COUNTIFS($A$2:$A1729,$A1729,$B$2:$B1729,$B1729)=1,1,0))</f>
        <v/>
      </c>
      <c r="J1729">
        <f>IF($A1729="","",ROW())</f>
        <v/>
      </c>
      <c r="L1729">
        <f>IF('01_Warehouse_Ledger'!$A1729="","",'01_Warehouse_Ledger'!$A1729)</f>
        <v/>
      </c>
    </row>
    <row r="1730">
      <c r="I1730">
        <f>IF(OR($A1730="",$B1730=""),"",IF(COUNTIFS($A$2:$A1730,$A1730,$B$2:$B1730,$B1730)=1,1,0))</f>
        <v/>
      </c>
      <c r="J1730">
        <f>IF($A1730="","",ROW())</f>
        <v/>
      </c>
      <c r="L1730">
        <f>IF('01_Warehouse_Ledger'!$A1730="","",'01_Warehouse_Ledger'!$A1730)</f>
        <v/>
      </c>
    </row>
    <row r="1731">
      <c r="I1731">
        <f>IF(OR($A1731="",$B1731=""),"",IF(COUNTIFS($A$2:$A1731,$A1731,$B$2:$B1731,$B1731)=1,1,0))</f>
        <v/>
      </c>
      <c r="J1731">
        <f>IF($A1731="","",ROW())</f>
        <v/>
      </c>
      <c r="L1731">
        <f>IF('01_Warehouse_Ledger'!$A1731="","",'01_Warehouse_Ledger'!$A1731)</f>
        <v/>
      </c>
    </row>
    <row r="1732">
      <c r="I1732">
        <f>IF(OR($A1732="",$B1732=""),"",IF(COUNTIFS($A$2:$A1732,$A1732,$B$2:$B1732,$B1732)=1,1,0))</f>
        <v/>
      </c>
      <c r="J1732">
        <f>IF($A1732="","",ROW())</f>
        <v/>
      </c>
      <c r="L1732">
        <f>IF('01_Warehouse_Ledger'!$A1732="","",'01_Warehouse_Ledger'!$A1732)</f>
        <v/>
      </c>
    </row>
    <row r="1733">
      <c r="I1733">
        <f>IF(OR($A1733="",$B1733=""),"",IF(COUNTIFS($A$2:$A1733,$A1733,$B$2:$B1733,$B1733)=1,1,0))</f>
        <v/>
      </c>
      <c r="J1733">
        <f>IF($A1733="","",ROW())</f>
        <v/>
      </c>
      <c r="L1733">
        <f>IF('01_Warehouse_Ledger'!$A1733="","",'01_Warehouse_Ledger'!$A1733)</f>
        <v/>
      </c>
    </row>
    <row r="1734">
      <c r="I1734">
        <f>IF(OR($A1734="",$B1734=""),"",IF(COUNTIFS($A$2:$A1734,$A1734,$B$2:$B1734,$B1734)=1,1,0))</f>
        <v/>
      </c>
      <c r="J1734">
        <f>IF($A1734="","",ROW())</f>
        <v/>
      </c>
      <c r="L1734">
        <f>IF('01_Warehouse_Ledger'!$A1734="","",'01_Warehouse_Ledger'!$A1734)</f>
        <v/>
      </c>
    </row>
    <row r="1735">
      <c r="I1735">
        <f>IF(OR($A1735="",$B1735=""),"",IF(COUNTIFS($A$2:$A1735,$A1735,$B$2:$B1735,$B1735)=1,1,0))</f>
        <v/>
      </c>
      <c r="J1735">
        <f>IF($A1735="","",ROW())</f>
        <v/>
      </c>
      <c r="L1735">
        <f>IF('01_Warehouse_Ledger'!$A1735="","",'01_Warehouse_Ledger'!$A1735)</f>
        <v/>
      </c>
    </row>
    <row r="1736">
      <c r="I1736">
        <f>IF(OR($A1736="",$B1736=""),"",IF(COUNTIFS($A$2:$A1736,$A1736,$B$2:$B1736,$B1736)=1,1,0))</f>
        <v/>
      </c>
      <c r="J1736">
        <f>IF($A1736="","",ROW())</f>
        <v/>
      </c>
      <c r="L1736">
        <f>IF('01_Warehouse_Ledger'!$A1736="","",'01_Warehouse_Ledger'!$A1736)</f>
        <v/>
      </c>
    </row>
    <row r="1737">
      <c r="I1737">
        <f>IF(OR($A1737="",$B1737=""),"",IF(COUNTIFS($A$2:$A1737,$A1737,$B$2:$B1737,$B1737)=1,1,0))</f>
        <v/>
      </c>
      <c r="J1737">
        <f>IF($A1737="","",ROW())</f>
        <v/>
      </c>
      <c r="L1737">
        <f>IF('01_Warehouse_Ledger'!$A1737="","",'01_Warehouse_Ledger'!$A1737)</f>
        <v/>
      </c>
    </row>
    <row r="1738">
      <c r="I1738">
        <f>IF(OR($A1738="",$B1738=""),"",IF(COUNTIFS($A$2:$A1738,$A1738,$B$2:$B1738,$B1738)=1,1,0))</f>
        <v/>
      </c>
      <c r="J1738">
        <f>IF($A1738="","",ROW())</f>
        <v/>
      </c>
      <c r="L1738">
        <f>IF('01_Warehouse_Ledger'!$A1738="","",'01_Warehouse_Ledger'!$A1738)</f>
        <v/>
      </c>
    </row>
    <row r="1739">
      <c r="I1739">
        <f>IF(OR($A1739="",$B1739=""),"",IF(COUNTIFS($A$2:$A1739,$A1739,$B$2:$B1739,$B1739)=1,1,0))</f>
        <v/>
      </c>
      <c r="J1739">
        <f>IF($A1739="","",ROW())</f>
        <v/>
      </c>
      <c r="L1739">
        <f>IF('01_Warehouse_Ledger'!$A1739="","",'01_Warehouse_Ledger'!$A1739)</f>
        <v/>
      </c>
    </row>
    <row r="1740">
      <c r="I1740">
        <f>IF(OR($A1740="",$B1740=""),"",IF(COUNTIFS($A$2:$A1740,$A1740,$B$2:$B1740,$B1740)=1,1,0))</f>
        <v/>
      </c>
      <c r="J1740">
        <f>IF($A1740="","",ROW())</f>
        <v/>
      </c>
      <c r="L1740">
        <f>IF('01_Warehouse_Ledger'!$A1740="","",'01_Warehouse_Ledger'!$A1740)</f>
        <v/>
      </c>
    </row>
    <row r="1741">
      <c r="I1741">
        <f>IF(OR($A1741="",$B1741=""),"",IF(COUNTIFS($A$2:$A1741,$A1741,$B$2:$B1741,$B1741)=1,1,0))</f>
        <v/>
      </c>
      <c r="J1741">
        <f>IF($A1741="","",ROW())</f>
        <v/>
      </c>
      <c r="L1741">
        <f>IF('01_Warehouse_Ledger'!$A1741="","",'01_Warehouse_Ledger'!$A1741)</f>
        <v/>
      </c>
    </row>
    <row r="1742">
      <c r="I1742">
        <f>IF(OR($A1742="",$B1742=""),"",IF(COUNTIFS($A$2:$A1742,$A1742,$B$2:$B1742,$B1742)=1,1,0))</f>
        <v/>
      </c>
      <c r="J1742">
        <f>IF($A1742="","",ROW())</f>
        <v/>
      </c>
      <c r="L1742">
        <f>IF('01_Warehouse_Ledger'!$A1742="","",'01_Warehouse_Ledger'!$A1742)</f>
        <v/>
      </c>
    </row>
    <row r="1743">
      <c r="I1743">
        <f>IF(OR($A1743="",$B1743=""),"",IF(COUNTIFS($A$2:$A1743,$A1743,$B$2:$B1743,$B1743)=1,1,0))</f>
        <v/>
      </c>
      <c r="J1743">
        <f>IF($A1743="","",ROW())</f>
        <v/>
      </c>
      <c r="L1743">
        <f>IF('01_Warehouse_Ledger'!$A1743="","",'01_Warehouse_Ledger'!$A1743)</f>
        <v/>
      </c>
    </row>
    <row r="1744">
      <c r="I1744">
        <f>IF(OR($A1744="",$B1744=""),"",IF(COUNTIFS($A$2:$A1744,$A1744,$B$2:$B1744,$B1744)=1,1,0))</f>
        <v/>
      </c>
      <c r="J1744">
        <f>IF($A1744="","",ROW())</f>
        <v/>
      </c>
      <c r="L1744">
        <f>IF('01_Warehouse_Ledger'!$A1744="","",'01_Warehouse_Ledger'!$A1744)</f>
        <v/>
      </c>
    </row>
    <row r="1745">
      <c r="I1745">
        <f>IF(OR($A1745="",$B1745=""),"",IF(COUNTIFS($A$2:$A1745,$A1745,$B$2:$B1745,$B1745)=1,1,0))</f>
        <v/>
      </c>
      <c r="J1745">
        <f>IF($A1745="","",ROW())</f>
        <v/>
      </c>
      <c r="L1745">
        <f>IF('01_Warehouse_Ledger'!$A1745="","",'01_Warehouse_Ledger'!$A1745)</f>
        <v/>
      </c>
    </row>
    <row r="1746">
      <c r="I1746">
        <f>IF(OR($A1746="",$B1746=""),"",IF(COUNTIFS($A$2:$A1746,$A1746,$B$2:$B1746,$B1746)=1,1,0))</f>
        <v/>
      </c>
      <c r="J1746">
        <f>IF($A1746="","",ROW())</f>
        <v/>
      </c>
      <c r="L1746">
        <f>IF('01_Warehouse_Ledger'!$A1746="","",'01_Warehouse_Ledger'!$A1746)</f>
        <v/>
      </c>
    </row>
    <row r="1747">
      <c r="I1747">
        <f>IF(OR($A1747="",$B1747=""),"",IF(COUNTIFS($A$2:$A1747,$A1747,$B$2:$B1747,$B1747)=1,1,0))</f>
        <v/>
      </c>
      <c r="J1747">
        <f>IF($A1747="","",ROW())</f>
        <v/>
      </c>
      <c r="L1747">
        <f>IF('01_Warehouse_Ledger'!$A1747="","",'01_Warehouse_Ledger'!$A1747)</f>
        <v/>
      </c>
    </row>
    <row r="1748">
      <c r="I1748">
        <f>IF(OR($A1748="",$B1748=""),"",IF(COUNTIFS($A$2:$A1748,$A1748,$B$2:$B1748,$B1748)=1,1,0))</f>
        <v/>
      </c>
      <c r="J1748">
        <f>IF($A1748="","",ROW())</f>
        <v/>
      </c>
      <c r="L1748">
        <f>IF('01_Warehouse_Ledger'!$A1748="","",'01_Warehouse_Ledger'!$A1748)</f>
        <v/>
      </c>
    </row>
    <row r="1749">
      <c r="I1749">
        <f>IF(OR($A1749="",$B1749=""),"",IF(COUNTIFS($A$2:$A1749,$A1749,$B$2:$B1749,$B1749)=1,1,0))</f>
        <v/>
      </c>
      <c r="J1749">
        <f>IF($A1749="","",ROW())</f>
        <v/>
      </c>
      <c r="L1749">
        <f>IF('01_Warehouse_Ledger'!$A1749="","",'01_Warehouse_Ledger'!$A1749)</f>
        <v/>
      </c>
    </row>
    <row r="1750">
      <c r="I1750">
        <f>IF(OR($A1750="",$B1750=""),"",IF(COUNTIFS($A$2:$A1750,$A1750,$B$2:$B1750,$B1750)=1,1,0))</f>
        <v/>
      </c>
      <c r="J1750">
        <f>IF($A1750="","",ROW())</f>
        <v/>
      </c>
      <c r="L1750">
        <f>IF('01_Warehouse_Ledger'!$A1750="","",'01_Warehouse_Ledger'!$A1750)</f>
        <v/>
      </c>
    </row>
    <row r="1751">
      <c r="I1751">
        <f>IF(OR($A1751="",$B1751=""),"",IF(COUNTIFS($A$2:$A1751,$A1751,$B$2:$B1751,$B1751)=1,1,0))</f>
        <v/>
      </c>
      <c r="J1751">
        <f>IF($A1751="","",ROW())</f>
        <v/>
      </c>
      <c r="L1751">
        <f>IF('01_Warehouse_Ledger'!$A1751="","",'01_Warehouse_Ledger'!$A1751)</f>
        <v/>
      </c>
    </row>
    <row r="1752">
      <c r="I1752">
        <f>IF(OR($A1752="",$B1752=""),"",IF(COUNTIFS($A$2:$A1752,$A1752,$B$2:$B1752,$B1752)=1,1,0))</f>
        <v/>
      </c>
      <c r="J1752">
        <f>IF($A1752="","",ROW())</f>
        <v/>
      </c>
      <c r="L1752">
        <f>IF('01_Warehouse_Ledger'!$A1752="","",'01_Warehouse_Ledger'!$A1752)</f>
        <v/>
      </c>
    </row>
    <row r="1753">
      <c r="I1753">
        <f>IF(OR($A1753="",$B1753=""),"",IF(COUNTIFS($A$2:$A1753,$A1753,$B$2:$B1753,$B1753)=1,1,0))</f>
        <v/>
      </c>
      <c r="J1753">
        <f>IF($A1753="","",ROW())</f>
        <v/>
      </c>
      <c r="L1753">
        <f>IF('01_Warehouse_Ledger'!$A1753="","",'01_Warehouse_Ledger'!$A1753)</f>
        <v/>
      </c>
    </row>
    <row r="1754">
      <c r="I1754">
        <f>IF(OR($A1754="",$B1754=""),"",IF(COUNTIFS($A$2:$A1754,$A1754,$B$2:$B1754,$B1754)=1,1,0))</f>
        <v/>
      </c>
      <c r="J1754">
        <f>IF($A1754="","",ROW())</f>
        <v/>
      </c>
      <c r="L1754">
        <f>IF('01_Warehouse_Ledger'!$A1754="","",'01_Warehouse_Ledger'!$A1754)</f>
        <v/>
      </c>
    </row>
    <row r="1755">
      <c r="I1755">
        <f>IF(OR($A1755="",$B1755=""),"",IF(COUNTIFS($A$2:$A1755,$A1755,$B$2:$B1755,$B1755)=1,1,0))</f>
        <v/>
      </c>
      <c r="J1755">
        <f>IF($A1755="","",ROW())</f>
        <v/>
      </c>
      <c r="L1755">
        <f>IF('01_Warehouse_Ledger'!$A1755="","",'01_Warehouse_Ledger'!$A1755)</f>
        <v/>
      </c>
    </row>
    <row r="1756">
      <c r="I1756">
        <f>IF(OR($A1756="",$B1756=""),"",IF(COUNTIFS($A$2:$A1756,$A1756,$B$2:$B1756,$B1756)=1,1,0))</f>
        <v/>
      </c>
      <c r="J1756">
        <f>IF($A1756="","",ROW())</f>
        <v/>
      </c>
      <c r="L1756">
        <f>IF('01_Warehouse_Ledger'!$A1756="","",'01_Warehouse_Ledger'!$A1756)</f>
        <v/>
      </c>
    </row>
    <row r="1757">
      <c r="I1757">
        <f>IF(OR($A1757="",$B1757=""),"",IF(COUNTIFS($A$2:$A1757,$A1757,$B$2:$B1757,$B1757)=1,1,0))</f>
        <v/>
      </c>
      <c r="J1757">
        <f>IF($A1757="","",ROW())</f>
        <v/>
      </c>
      <c r="L1757">
        <f>IF('01_Warehouse_Ledger'!$A1757="","",'01_Warehouse_Ledger'!$A1757)</f>
        <v/>
      </c>
    </row>
    <row r="1758">
      <c r="I1758">
        <f>IF(OR($A1758="",$B1758=""),"",IF(COUNTIFS($A$2:$A1758,$A1758,$B$2:$B1758,$B1758)=1,1,0))</f>
        <v/>
      </c>
      <c r="J1758">
        <f>IF($A1758="","",ROW())</f>
        <v/>
      </c>
      <c r="L1758">
        <f>IF('01_Warehouse_Ledger'!$A1758="","",'01_Warehouse_Ledger'!$A1758)</f>
        <v/>
      </c>
    </row>
    <row r="1759">
      <c r="I1759">
        <f>IF(OR($A1759="",$B1759=""),"",IF(COUNTIFS($A$2:$A1759,$A1759,$B$2:$B1759,$B1759)=1,1,0))</f>
        <v/>
      </c>
      <c r="J1759">
        <f>IF($A1759="","",ROW())</f>
        <v/>
      </c>
      <c r="L1759">
        <f>IF('01_Warehouse_Ledger'!$A1759="","",'01_Warehouse_Ledger'!$A1759)</f>
        <v/>
      </c>
    </row>
    <row r="1760">
      <c r="I1760">
        <f>IF(OR($A1760="",$B1760=""),"",IF(COUNTIFS($A$2:$A1760,$A1760,$B$2:$B1760,$B1760)=1,1,0))</f>
        <v/>
      </c>
      <c r="J1760">
        <f>IF($A1760="","",ROW())</f>
        <v/>
      </c>
      <c r="L1760">
        <f>IF('01_Warehouse_Ledger'!$A1760="","",'01_Warehouse_Ledger'!$A1760)</f>
        <v/>
      </c>
    </row>
    <row r="1761">
      <c r="I1761">
        <f>IF(OR($A1761="",$B1761=""),"",IF(COUNTIFS($A$2:$A1761,$A1761,$B$2:$B1761,$B1761)=1,1,0))</f>
        <v/>
      </c>
      <c r="J1761">
        <f>IF($A1761="","",ROW())</f>
        <v/>
      </c>
      <c r="L1761">
        <f>IF('01_Warehouse_Ledger'!$A1761="","",'01_Warehouse_Ledger'!$A1761)</f>
        <v/>
      </c>
    </row>
    <row r="1762">
      <c r="I1762">
        <f>IF(OR($A1762="",$B1762=""),"",IF(COUNTIFS($A$2:$A1762,$A1762,$B$2:$B1762,$B1762)=1,1,0))</f>
        <v/>
      </c>
      <c r="J1762">
        <f>IF($A1762="","",ROW())</f>
        <v/>
      </c>
      <c r="L1762">
        <f>IF('01_Warehouse_Ledger'!$A1762="","",'01_Warehouse_Ledger'!$A1762)</f>
        <v/>
      </c>
    </row>
    <row r="1763">
      <c r="I1763">
        <f>IF(OR($A1763="",$B1763=""),"",IF(COUNTIFS($A$2:$A1763,$A1763,$B$2:$B1763,$B1763)=1,1,0))</f>
        <v/>
      </c>
      <c r="J1763">
        <f>IF($A1763="","",ROW())</f>
        <v/>
      </c>
      <c r="L1763">
        <f>IF('01_Warehouse_Ledger'!$A1763="","",'01_Warehouse_Ledger'!$A1763)</f>
        <v/>
      </c>
    </row>
    <row r="1764">
      <c r="I1764">
        <f>IF(OR($A1764="",$B1764=""),"",IF(COUNTIFS($A$2:$A1764,$A1764,$B$2:$B1764,$B1764)=1,1,0))</f>
        <v/>
      </c>
      <c r="J1764">
        <f>IF($A1764="","",ROW())</f>
        <v/>
      </c>
      <c r="L1764">
        <f>IF('01_Warehouse_Ledger'!$A1764="","",'01_Warehouse_Ledger'!$A1764)</f>
        <v/>
      </c>
    </row>
    <row r="1765">
      <c r="I1765">
        <f>IF(OR($A1765="",$B1765=""),"",IF(COUNTIFS($A$2:$A1765,$A1765,$B$2:$B1765,$B1765)=1,1,0))</f>
        <v/>
      </c>
      <c r="J1765">
        <f>IF($A1765="","",ROW())</f>
        <v/>
      </c>
      <c r="L1765">
        <f>IF('01_Warehouse_Ledger'!$A1765="","",'01_Warehouse_Ledger'!$A1765)</f>
        <v/>
      </c>
    </row>
    <row r="1766">
      <c r="I1766">
        <f>IF(OR($A1766="",$B1766=""),"",IF(COUNTIFS($A$2:$A1766,$A1766,$B$2:$B1766,$B1766)=1,1,0))</f>
        <v/>
      </c>
      <c r="J1766">
        <f>IF($A1766="","",ROW())</f>
        <v/>
      </c>
      <c r="L1766">
        <f>IF('01_Warehouse_Ledger'!$A1766="","",'01_Warehouse_Ledger'!$A1766)</f>
        <v/>
      </c>
    </row>
    <row r="1767">
      <c r="I1767">
        <f>IF(OR($A1767="",$B1767=""),"",IF(COUNTIFS($A$2:$A1767,$A1767,$B$2:$B1767,$B1767)=1,1,0))</f>
        <v/>
      </c>
      <c r="J1767">
        <f>IF($A1767="","",ROW())</f>
        <v/>
      </c>
      <c r="L1767">
        <f>IF('01_Warehouse_Ledger'!$A1767="","",'01_Warehouse_Ledger'!$A1767)</f>
        <v/>
      </c>
    </row>
    <row r="1768">
      <c r="I1768">
        <f>IF(OR($A1768="",$B1768=""),"",IF(COUNTIFS($A$2:$A1768,$A1768,$B$2:$B1768,$B1768)=1,1,0))</f>
        <v/>
      </c>
      <c r="J1768">
        <f>IF($A1768="","",ROW())</f>
        <v/>
      </c>
      <c r="L1768">
        <f>IF('01_Warehouse_Ledger'!$A1768="","",'01_Warehouse_Ledger'!$A1768)</f>
        <v/>
      </c>
    </row>
    <row r="1769">
      <c r="I1769">
        <f>IF(OR($A1769="",$B1769=""),"",IF(COUNTIFS($A$2:$A1769,$A1769,$B$2:$B1769,$B1769)=1,1,0))</f>
        <v/>
      </c>
      <c r="J1769">
        <f>IF($A1769="","",ROW())</f>
        <v/>
      </c>
      <c r="L1769">
        <f>IF('01_Warehouse_Ledger'!$A1769="","",'01_Warehouse_Ledger'!$A1769)</f>
        <v/>
      </c>
    </row>
    <row r="1770">
      <c r="I1770">
        <f>IF(OR($A1770="",$B1770=""),"",IF(COUNTIFS($A$2:$A1770,$A1770,$B$2:$B1770,$B1770)=1,1,0))</f>
        <v/>
      </c>
      <c r="J1770">
        <f>IF($A1770="","",ROW())</f>
        <v/>
      </c>
      <c r="L1770">
        <f>IF('01_Warehouse_Ledger'!$A1770="","",'01_Warehouse_Ledger'!$A1770)</f>
        <v/>
      </c>
    </row>
    <row r="1771">
      <c r="I1771">
        <f>IF(OR($A1771="",$B1771=""),"",IF(COUNTIFS($A$2:$A1771,$A1771,$B$2:$B1771,$B1771)=1,1,0))</f>
        <v/>
      </c>
      <c r="J1771">
        <f>IF($A1771="","",ROW())</f>
        <v/>
      </c>
      <c r="L1771">
        <f>IF('01_Warehouse_Ledger'!$A1771="","",'01_Warehouse_Ledger'!$A1771)</f>
        <v/>
      </c>
    </row>
    <row r="1772">
      <c r="I1772">
        <f>IF(OR($A1772="",$B1772=""),"",IF(COUNTIFS($A$2:$A1772,$A1772,$B$2:$B1772,$B1772)=1,1,0))</f>
        <v/>
      </c>
      <c r="J1772">
        <f>IF($A1772="","",ROW())</f>
        <v/>
      </c>
      <c r="L1772">
        <f>IF('01_Warehouse_Ledger'!$A1772="","",'01_Warehouse_Ledger'!$A1772)</f>
        <v/>
      </c>
    </row>
    <row r="1773">
      <c r="I1773">
        <f>IF(OR($A1773="",$B1773=""),"",IF(COUNTIFS($A$2:$A1773,$A1773,$B$2:$B1773,$B1773)=1,1,0))</f>
        <v/>
      </c>
      <c r="J1773">
        <f>IF($A1773="","",ROW())</f>
        <v/>
      </c>
      <c r="L1773">
        <f>IF('01_Warehouse_Ledger'!$A1773="","",'01_Warehouse_Ledger'!$A1773)</f>
        <v/>
      </c>
    </row>
    <row r="1774">
      <c r="I1774">
        <f>IF(OR($A1774="",$B1774=""),"",IF(COUNTIFS($A$2:$A1774,$A1774,$B$2:$B1774,$B1774)=1,1,0))</f>
        <v/>
      </c>
      <c r="J1774">
        <f>IF($A1774="","",ROW())</f>
        <v/>
      </c>
      <c r="L1774">
        <f>IF('01_Warehouse_Ledger'!$A1774="","",'01_Warehouse_Ledger'!$A1774)</f>
        <v/>
      </c>
    </row>
    <row r="1775">
      <c r="I1775">
        <f>IF(OR($A1775="",$B1775=""),"",IF(COUNTIFS($A$2:$A1775,$A1775,$B$2:$B1775,$B1775)=1,1,0))</f>
        <v/>
      </c>
      <c r="J1775">
        <f>IF($A1775="","",ROW())</f>
        <v/>
      </c>
      <c r="L1775">
        <f>IF('01_Warehouse_Ledger'!$A1775="","",'01_Warehouse_Ledger'!$A1775)</f>
        <v/>
      </c>
    </row>
    <row r="1776">
      <c r="I1776">
        <f>IF(OR($A1776="",$B1776=""),"",IF(COUNTIFS($A$2:$A1776,$A1776,$B$2:$B1776,$B1776)=1,1,0))</f>
        <v/>
      </c>
      <c r="J1776">
        <f>IF($A1776="","",ROW())</f>
        <v/>
      </c>
      <c r="L1776">
        <f>IF('01_Warehouse_Ledger'!$A1776="","",'01_Warehouse_Ledger'!$A1776)</f>
        <v/>
      </c>
    </row>
    <row r="1777">
      <c r="I1777">
        <f>IF(OR($A1777="",$B1777=""),"",IF(COUNTIFS($A$2:$A1777,$A1777,$B$2:$B1777,$B1777)=1,1,0))</f>
        <v/>
      </c>
      <c r="J1777">
        <f>IF($A1777="","",ROW())</f>
        <v/>
      </c>
      <c r="L1777">
        <f>IF('01_Warehouse_Ledger'!$A1777="","",'01_Warehouse_Ledger'!$A1777)</f>
        <v/>
      </c>
    </row>
    <row r="1778">
      <c r="I1778">
        <f>IF(OR($A1778="",$B1778=""),"",IF(COUNTIFS($A$2:$A1778,$A1778,$B$2:$B1778,$B1778)=1,1,0))</f>
        <v/>
      </c>
      <c r="J1778">
        <f>IF($A1778="","",ROW())</f>
        <v/>
      </c>
      <c r="L1778">
        <f>IF('01_Warehouse_Ledger'!$A1778="","",'01_Warehouse_Ledger'!$A1778)</f>
        <v/>
      </c>
    </row>
    <row r="1779">
      <c r="I1779">
        <f>IF(OR($A1779="",$B1779=""),"",IF(COUNTIFS($A$2:$A1779,$A1779,$B$2:$B1779,$B1779)=1,1,0))</f>
        <v/>
      </c>
      <c r="J1779">
        <f>IF($A1779="","",ROW())</f>
        <v/>
      </c>
      <c r="L1779">
        <f>IF('01_Warehouse_Ledger'!$A1779="","",'01_Warehouse_Ledger'!$A1779)</f>
        <v/>
      </c>
    </row>
    <row r="1780">
      <c r="I1780">
        <f>IF(OR($A1780="",$B1780=""),"",IF(COUNTIFS($A$2:$A1780,$A1780,$B$2:$B1780,$B1780)=1,1,0))</f>
        <v/>
      </c>
      <c r="J1780">
        <f>IF($A1780="","",ROW())</f>
        <v/>
      </c>
      <c r="L1780">
        <f>IF('01_Warehouse_Ledger'!$A1780="","",'01_Warehouse_Ledger'!$A1780)</f>
        <v/>
      </c>
    </row>
    <row r="1781">
      <c r="I1781">
        <f>IF(OR($A1781="",$B1781=""),"",IF(COUNTIFS($A$2:$A1781,$A1781,$B$2:$B1781,$B1781)=1,1,0))</f>
        <v/>
      </c>
      <c r="J1781">
        <f>IF($A1781="","",ROW())</f>
        <v/>
      </c>
      <c r="L1781">
        <f>IF('01_Warehouse_Ledger'!$A1781="","",'01_Warehouse_Ledger'!$A1781)</f>
        <v/>
      </c>
    </row>
    <row r="1782">
      <c r="I1782">
        <f>IF(OR($A1782="",$B1782=""),"",IF(COUNTIFS($A$2:$A1782,$A1782,$B$2:$B1782,$B1782)=1,1,0))</f>
        <v/>
      </c>
      <c r="J1782">
        <f>IF($A1782="","",ROW())</f>
        <v/>
      </c>
      <c r="L1782">
        <f>IF('01_Warehouse_Ledger'!$A1782="","",'01_Warehouse_Ledger'!$A1782)</f>
        <v/>
      </c>
    </row>
    <row r="1783">
      <c r="I1783">
        <f>IF(OR($A1783="",$B1783=""),"",IF(COUNTIFS($A$2:$A1783,$A1783,$B$2:$B1783,$B1783)=1,1,0))</f>
        <v/>
      </c>
      <c r="J1783">
        <f>IF($A1783="","",ROW())</f>
        <v/>
      </c>
      <c r="L1783">
        <f>IF('01_Warehouse_Ledger'!$A1783="","",'01_Warehouse_Ledger'!$A1783)</f>
        <v/>
      </c>
    </row>
    <row r="1784">
      <c r="I1784">
        <f>IF(OR($A1784="",$B1784=""),"",IF(COUNTIFS($A$2:$A1784,$A1784,$B$2:$B1784,$B1784)=1,1,0))</f>
        <v/>
      </c>
      <c r="J1784">
        <f>IF($A1784="","",ROW())</f>
        <v/>
      </c>
      <c r="L1784">
        <f>IF('01_Warehouse_Ledger'!$A1784="","",'01_Warehouse_Ledger'!$A1784)</f>
        <v/>
      </c>
    </row>
    <row r="1785">
      <c r="I1785">
        <f>IF(OR($A1785="",$B1785=""),"",IF(COUNTIFS($A$2:$A1785,$A1785,$B$2:$B1785,$B1785)=1,1,0))</f>
        <v/>
      </c>
      <c r="J1785">
        <f>IF($A1785="","",ROW())</f>
        <v/>
      </c>
      <c r="L1785">
        <f>IF('01_Warehouse_Ledger'!$A1785="","",'01_Warehouse_Ledger'!$A1785)</f>
        <v/>
      </c>
    </row>
    <row r="1786">
      <c r="I1786">
        <f>IF(OR($A1786="",$B1786=""),"",IF(COUNTIFS($A$2:$A1786,$A1786,$B$2:$B1786,$B1786)=1,1,0))</f>
        <v/>
      </c>
      <c r="J1786">
        <f>IF($A1786="","",ROW())</f>
        <v/>
      </c>
      <c r="L1786">
        <f>IF('01_Warehouse_Ledger'!$A1786="","",'01_Warehouse_Ledger'!$A1786)</f>
        <v/>
      </c>
    </row>
    <row r="1787">
      <c r="I1787">
        <f>IF(OR($A1787="",$B1787=""),"",IF(COUNTIFS($A$2:$A1787,$A1787,$B$2:$B1787,$B1787)=1,1,0))</f>
        <v/>
      </c>
      <c r="J1787">
        <f>IF($A1787="","",ROW())</f>
        <v/>
      </c>
      <c r="L1787">
        <f>IF('01_Warehouse_Ledger'!$A1787="","",'01_Warehouse_Ledger'!$A1787)</f>
        <v/>
      </c>
    </row>
    <row r="1788">
      <c r="I1788">
        <f>IF(OR($A1788="",$B1788=""),"",IF(COUNTIFS($A$2:$A1788,$A1788,$B$2:$B1788,$B1788)=1,1,0))</f>
        <v/>
      </c>
      <c r="J1788">
        <f>IF($A1788="","",ROW())</f>
        <v/>
      </c>
      <c r="L1788">
        <f>IF('01_Warehouse_Ledger'!$A1788="","",'01_Warehouse_Ledger'!$A1788)</f>
        <v/>
      </c>
    </row>
    <row r="1789">
      <c r="I1789">
        <f>IF(OR($A1789="",$B1789=""),"",IF(COUNTIFS($A$2:$A1789,$A1789,$B$2:$B1789,$B1789)=1,1,0))</f>
        <v/>
      </c>
      <c r="J1789">
        <f>IF($A1789="","",ROW())</f>
        <v/>
      </c>
      <c r="L1789">
        <f>IF('01_Warehouse_Ledger'!$A1789="","",'01_Warehouse_Ledger'!$A1789)</f>
        <v/>
      </c>
    </row>
    <row r="1790">
      <c r="I1790">
        <f>IF(OR($A1790="",$B1790=""),"",IF(COUNTIFS($A$2:$A1790,$A1790,$B$2:$B1790,$B1790)=1,1,0))</f>
        <v/>
      </c>
      <c r="J1790">
        <f>IF($A1790="","",ROW())</f>
        <v/>
      </c>
      <c r="L1790">
        <f>IF('01_Warehouse_Ledger'!$A1790="","",'01_Warehouse_Ledger'!$A1790)</f>
        <v/>
      </c>
    </row>
    <row r="1791">
      <c r="I1791">
        <f>IF(OR($A1791="",$B1791=""),"",IF(COUNTIFS($A$2:$A1791,$A1791,$B$2:$B1791,$B1791)=1,1,0))</f>
        <v/>
      </c>
      <c r="J1791">
        <f>IF($A1791="","",ROW())</f>
        <v/>
      </c>
      <c r="L1791">
        <f>IF('01_Warehouse_Ledger'!$A1791="","",'01_Warehouse_Ledger'!$A1791)</f>
        <v/>
      </c>
    </row>
    <row r="1792">
      <c r="I1792">
        <f>IF(OR($A1792="",$B1792=""),"",IF(COUNTIFS($A$2:$A1792,$A1792,$B$2:$B1792,$B1792)=1,1,0))</f>
        <v/>
      </c>
      <c r="J1792">
        <f>IF($A1792="","",ROW())</f>
        <v/>
      </c>
      <c r="L1792">
        <f>IF('01_Warehouse_Ledger'!$A1792="","",'01_Warehouse_Ledger'!$A1792)</f>
        <v/>
      </c>
    </row>
    <row r="1793">
      <c r="I1793">
        <f>IF(OR($A1793="",$B1793=""),"",IF(COUNTIFS($A$2:$A1793,$A1793,$B$2:$B1793,$B1793)=1,1,0))</f>
        <v/>
      </c>
      <c r="J1793">
        <f>IF($A1793="","",ROW())</f>
        <v/>
      </c>
      <c r="L1793">
        <f>IF('01_Warehouse_Ledger'!$A1793="","",'01_Warehouse_Ledger'!$A1793)</f>
        <v/>
      </c>
    </row>
    <row r="1794">
      <c r="I1794">
        <f>IF(OR($A1794="",$B1794=""),"",IF(COUNTIFS($A$2:$A1794,$A1794,$B$2:$B1794,$B1794)=1,1,0))</f>
        <v/>
      </c>
      <c r="J1794">
        <f>IF($A1794="","",ROW())</f>
        <v/>
      </c>
      <c r="L1794">
        <f>IF('01_Warehouse_Ledger'!$A1794="","",'01_Warehouse_Ledger'!$A1794)</f>
        <v/>
      </c>
    </row>
    <row r="1795">
      <c r="I1795">
        <f>IF(OR($A1795="",$B1795=""),"",IF(COUNTIFS($A$2:$A1795,$A1795,$B$2:$B1795,$B1795)=1,1,0))</f>
        <v/>
      </c>
      <c r="J1795">
        <f>IF($A1795="","",ROW())</f>
        <v/>
      </c>
      <c r="L1795">
        <f>IF('01_Warehouse_Ledger'!$A1795="","",'01_Warehouse_Ledger'!$A1795)</f>
        <v/>
      </c>
    </row>
    <row r="1796">
      <c r="I1796">
        <f>IF(OR($A1796="",$B1796=""),"",IF(COUNTIFS($A$2:$A1796,$A1796,$B$2:$B1796,$B1796)=1,1,0))</f>
        <v/>
      </c>
      <c r="J1796">
        <f>IF($A1796="","",ROW())</f>
        <v/>
      </c>
      <c r="L1796">
        <f>IF('01_Warehouse_Ledger'!$A1796="","",'01_Warehouse_Ledger'!$A1796)</f>
        <v/>
      </c>
    </row>
    <row r="1797">
      <c r="I1797">
        <f>IF(OR($A1797="",$B1797=""),"",IF(COUNTIFS($A$2:$A1797,$A1797,$B$2:$B1797,$B1797)=1,1,0))</f>
        <v/>
      </c>
      <c r="J1797">
        <f>IF($A1797="","",ROW())</f>
        <v/>
      </c>
      <c r="L1797">
        <f>IF('01_Warehouse_Ledger'!$A1797="","",'01_Warehouse_Ledger'!$A1797)</f>
        <v/>
      </c>
    </row>
    <row r="1798">
      <c r="I1798">
        <f>IF(OR($A1798="",$B1798=""),"",IF(COUNTIFS($A$2:$A1798,$A1798,$B$2:$B1798,$B1798)=1,1,0))</f>
        <v/>
      </c>
      <c r="J1798">
        <f>IF($A1798="","",ROW())</f>
        <v/>
      </c>
      <c r="L1798">
        <f>IF('01_Warehouse_Ledger'!$A1798="","",'01_Warehouse_Ledger'!$A1798)</f>
        <v/>
      </c>
    </row>
    <row r="1799">
      <c r="I1799">
        <f>IF(OR($A1799="",$B1799=""),"",IF(COUNTIFS($A$2:$A1799,$A1799,$B$2:$B1799,$B1799)=1,1,0))</f>
        <v/>
      </c>
      <c r="J1799">
        <f>IF($A1799="","",ROW())</f>
        <v/>
      </c>
      <c r="L1799">
        <f>IF('01_Warehouse_Ledger'!$A1799="","",'01_Warehouse_Ledger'!$A1799)</f>
        <v/>
      </c>
    </row>
    <row r="1800">
      <c r="I1800">
        <f>IF(OR($A1800="",$B1800=""),"",IF(COUNTIFS($A$2:$A1800,$A1800,$B$2:$B1800,$B1800)=1,1,0))</f>
        <v/>
      </c>
      <c r="J1800">
        <f>IF($A1800="","",ROW())</f>
        <v/>
      </c>
      <c r="L1800">
        <f>IF('01_Warehouse_Ledger'!$A1800="","",'01_Warehouse_Ledger'!$A1800)</f>
        <v/>
      </c>
    </row>
    <row r="1801">
      <c r="I1801">
        <f>IF(OR($A1801="",$B1801=""),"",IF(COUNTIFS($A$2:$A1801,$A1801,$B$2:$B1801,$B1801)=1,1,0))</f>
        <v/>
      </c>
      <c r="J1801">
        <f>IF($A1801="","",ROW())</f>
        <v/>
      </c>
      <c r="L1801">
        <f>IF('01_Warehouse_Ledger'!$A1801="","",'01_Warehouse_Ledger'!$A1801)</f>
        <v/>
      </c>
    </row>
    <row r="1802">
      <c r="I1802">
        <f>IF(OR($A1802="",$B1802=""),"",IF(COUNTIFS($A$2:$A1802,$A1802,$B$2:$B1802,$B1802)=1,1,0))</f>
        <v/>
      </c>
      <c r="J1802">
        <f>IF($A1802="","",ROW())</f>
        <v/>
      </c>
      <c r="L1802">
        <f>IF('01_Warehouse_Ledger'!$A1802="","",'01_Warehouse_Ledger'!$A1802)</f>
        <v/>
      </c>
    </row>
    <row r="1803">
      <c r="I1803">
        <f>IF(OR($A1803="",$B1803=""),"",IF(COUNTIFS($A$2:$A1803,$A1803,$B$2:$B1803,$B1803)=1,1,0))</f>
        <v/>
      </c>
      <c r="J1803">
        <f>IF($A1803="","",ROW())</f>
        <v/>
      </c>
      <c r="L1803">
        <f>IF('01_Warehouse_Ledger'!$A1803="","",'01_Warehouse_Ledger'!$A1803)</f>
        <v/>
      </c>
    </row>
    <row r="1804">
      <c r="I1804">
        <f>IF(OR($A1804="",$B1804=""),"",IF(COUNTIFS($A$2:$A1804,$A1804,$B$2:$B1804,$B1804)=1,1,0))</f>
        <v/>
      </c>
      <c r="J1804">
        <f>IF($A1804="","",ROW())</f>
        <v/>
      </c>
      <c r="L1804">
        <f>IF('01_Warehouse_Ledger'!$A1804="","",'01_Warehouse_Ledger'!$A1804)</f>
        <v/>
      </c>
    </row>
    <row r="1805">
      <c r="I1805">
        <f>IF(OR($A1805="",$B1805=""),"",IF(COUNTIFS($A$2:$A1805,$A1805,$B$2:$B1805,$B1805)=1,1,0))</f>
        <v/>
      </c>
      <c r="J1805">
        <f>IF($A1805="","",ROW())</f>
        <v/>
      </c>
      <c r="L1805">
        <f>IF('01_Warehouse_Ledger'!$A1805="","",'01_Warehouse_Ledger'!$A1805)</f>
        <v/>
      </c>
    </row>
    <row r="1806">
      <c r="I1806">
        <f>IF(OR($A1806="",$B1806=""),"",IF(COUNTIFS($A$2:$A1806,$A1806,$B$2:$B1806,$B1806)=1,1,0))</f>
        <v/>
      </c>
      <c r="J1806">
        <f>IF($A1806="","",ROW())</f>
        <v/>
      </c>
      <c r="L1806">
        <f>IF('01_Warehouse_Ledger'!$A1806="","",'01_Warehouse_Ledger'!$A1806)</f>
        <v/>
      </c>
    </row>
    <row r="1807">
      <c r="I1807">
        <f>IF(OR($A1807="",$B1807=""),"",IF(COUNTIFS($A$2:$A1807,$A1807,$B$2:$B1807,$B1807)=1,1,0))</f>
        <v/>
      </c>
      <c r="J1807">
        <f>IF($A1807="","",ROW())</f>
        <v/>
      </c>
      <c r="L1807">
        <f>IF('01_Warehouse_Ledger'!$A1807="","",'01_Warehouse_Ledger'!$A1807)</f>
        <v/>
      </c>
    </row>
    <row r="1808">
      <c r="I1808">
        <f>IF(OR($A1808="",$B1808=""),"",IF(COUNTIFS($A$2:$A1808,$A1808,$B$2:$B1808,$B1808)=1,1,0))</f>
        <v/>
      </c>
      <c r="J1808">
        <f>IF($A1808="","",ROW())</f>
        <v/>
      </c>
      <c r="L1808">
        <f>IF('01_Warehouse_Ledger'!$A1808="","",'01_Warehouse_Ledger'!$A1808)</f>
        <v/>
      </c>
    </row>
    <row r="1809">
      <c r="I1809">
        <f>IF(OR($A1809="",$B1809=""),"",IF(COUNTIFS($A$2:$A1809,$A1809,$B$2:$B1809,$B1809)=1,1,0))</f>
        <v/>
      </c>
      <c r="J1809">
        <f>IF($A1809="","",ROW())</f>
        <v/>
      </c>
      <c r="L1809">
        <f>IF('01_Warehouse_Ledger'!$A1809="","",'01_Warehouse_Ledger'!$A1809)</f>
        <v/>
      </c>
    </row>
    <row r="1810">
      <c r="I1810">
        <f>IF(OR($A1810="",$B1810=""),"",IF(COUNTIFS($A$2:$A1810,$A1810,$B$2:$B1810,$B1810)=1,1,0))</f>
        <v/>
      </c>
      <c r="J1810">
        <f>IF($A1810="","",ROW())</f>
        <v/>
      </c>
      <c r="L1810">
        <f>IF('01_Warehouse_Ledger'!$A1810="","",'01_Warehouse_Ledger'!$A1810)</f>
        <v/>
      </c>
    </row>
    <row r="1811">
      <c r="I1811">
        <f>IF(OR($A1811="",$B1811=""),"",IF(COUNTIFS($A$2:$A1811,$A1811,$B$2:$B1811,$B1811)=1,1,0))</f>
        <v/>
      </c>
      <c r="J1811">
        <f>IF($A1811="","",ROW())</f>
        <v/>
      </c>
      <c r="L1811">
        <f>IF('01_Warehouse_Ledger'!$A1811="","",'01_Warehouse_Ledger'!$A1811)</f>
        <v/>
      </c>
    </row>
    <row r="1812">
      <c r="I1812">
        <f>IF(OR($A1812="",$B1812=""),"",IF(COUNTIFS($A$2:$A1812,$A1812,$B$2:$B1812,$B1812)=1,1,0))</f>
        <v/>
      </c>
      <c r="J1812">
        <f>IF($A1812="","",ROW())</f>
        <v/>
      </c>
      <c r="L1812">
        <f>IF('01_Warehouse_Ledger'!$A1812="","",'01_Warehouse_Ledger'!$A1812)</f>
        <v/>
      </c>
    </row>
    <row r="1813">
      <c r="I1813">
        <f>IF(OR($A1813="",$B1813=""),"",IF(COUNTIFS($A$2:$A1813,$A1813,$B$2:$B1813,$B1813)=1,1,0))</f>
        <v/>
      </c>
      <c r="J1813">
        <f>IF($A1813="","",ROW())</f>
        <v/>
      </c>
      <c r="L1813">
        <f>IF('01_Warehouse_Ledger'!$A1813="","",'01_Warehouse_Ledger'!$A1813)</f>
        <v/>
      </c>
    </row>
    <row r="1814">
      <c r="I1814">
        <f>IF(OR($A1814="",$B1814=""),"",IF(COUNTIFS($A$2:$A1814,$A1814,$B$2:$B1814,$B1814)=1,1,0))</f>
        <v/>
      </c>
      <c r="J1814">
        <f>IF($A1814="","",ROW())</f>
        <v/>
      </c>
      <c r="L1814">
        <f>IF('01_Warehouse_Ledger'!$A1814="","",'01_Warehouse_Ledger'!$A1814)</f>
        <v/>
      </c>
    </row>
    <row r="1815">
      <c r="I1815">
        <f>IF(OR($A1815="",$B1815=""),"",IF(COUNTIFS($A$2:$A1815,$A1815,$B$2:$B1815,$B1815)=1,1,0))</f>
        <v/>
      </c>
      <c r="J1815">
        <f>IF($A1815="","",ROW())</f>
        <v/>
      </c>
      <c r="L1815">
        <f>IF('01_Warehouse_Ledger'!$A1815="","",'01_Warehouse_Ledger'!$A1815)</f>
        <v/>
      </c>
    </row>
    <row r="1816">
      <c r="I1816">
        <f>IF(OR($A1816="",$B1816=""),"",IF(COUNTIFS($A$2:$A1816,$A1816,$B$2:$B1816,$B1816)=1,1,0))</f>
        <v/>
      </c>
      <c r="J1816">
        <f>IF($A1816="","",ROW())</f>
        <v/>
      </c>
      <c r="L1816">
        <f>IF('01_Warehouse_Ledger'!$A1816="","",'01_Warehouse_Ledger'!$A1816)</f>
        <v/>
      </c>
    </row>
    <row r="1817">
      <c r="I1817">
        <f>IF(OR($A1817="",$B1817=""),"",IF(COUNTIFS($A$2:$A1817,$A1817,$B$2:$B1817,$B1817)=1,1,0))</f>
        <v/>
      </c>
      <c r="J1817">
        <f>IF($A1817="","",ROW())</f>
        <v/>
      </c>
      <c r="L1817">
        <f>IF('01_Warehouse_Ledger'!$A1817="","",'01_Warehouse_Ledger'!$A1817)</f>
        <v/>
      </c>
    </row>
    <row r="1818">
      <c r="I1818">
        <f>IF(OR($A1818="",$B1818=""),"",IF(COUNTIFS($A$2:$A1818,$A1818,$B$2:$B1818,$B1818)=1,1,0))</f>
        <v/>
      </c>
      <c r="J1818">
        <f>IF($A1818="","",ROW())</f>
        <v/>
      </c>
      <c r="L1818">
        <f>IF('01_Warehouse_Ledger'!$A1818="","",'01_Warehouse_Ledger'!$A1818)</f>
        <v/>
      </c>
    </row>
    <row r="1819">
      <c r="I1819">
        <f>IF(OR($A1819="",$B1819=""),"",IF(COUNTIFS($A$2:$A1819,$A1819,$B$2:$B1819,$B1819)=1,1,0))</f>
        <v/>
      </c>
      <c r="J1819">
        <f>IF($A1819="","",ROW())</f>
        <v/>
      </c>
      <c r="L1819">
        <f>IF('01_Warehouse_Ledger'!$A1819="","",'01_Warehouse_Ledger'!$A1819)</f>
        <v/>
      </c>
    </row>
    <row r="1820">
      <c r="I1820">
        <f>IF(OR($A1820="",$B1820=""),"",IF(COUNTIFS($A$2:$A1820,$A1820,$B$2:$B1820,$B1820)=1,1,0))</f>
        <v/>
      </c>
      <c r="J1820">
        <f>IF($A1820="","",ROW())</f>
        <v/>
      </c>
      <c r="L1820">
        <f>IF('01_Warehouse_Ledger'!$A1820="","",'01_Warehouse_Ledger'!$A1820)</f>
        <v/>
      </c>
    </row>
    <row r="1821">
      <c r="I1821">
        <f>IF(OR($A1821="",$B1821=""),"",IF(COUNTIFS($A$2:$A1821,$A1821,$B$2:$B1821,$B1821)=1,1,0))</f>
        <v/>
      </c>
      <c r="J1821">
        <f>IF($A1821="","",ROW())</f>
        <v/>
      </c>
      <c r="L1821">
        <f>IF('01_Warehouse_Ledger'!$A1821="","",'01_Warehouse_Ledger'!$A1821)</f>
        <v/>
      </c>
    </row>
    <row r="1822">
      <c r="I1822">
        <f>IF(OR($A1822="",$B1822=""),"",IF(COUNTIFS($A$2:$A1822,$A1822,$B$2:$B1822,$B1822)=1,1,0))</f>
        <v/>
      </c>
      <c r="J1822">
        <f>IF($A1822="","",ROW())</f>
        <v/>
      </c>
      <c r="L1822">
        <f>IF('01_Warehouse_Ledger'!$A1822="","",'01_Warehouse_Ledger'!$A1822)</f>
        <v/>
      </c>
    </row>
    <row r="1823">
      <c r="I1823">
        <f>IF(OR($A1823="",$B1823=""),"",IF(COUNTIFS($A$2:$A1823,$A1823,$B$2:$B1823,$B1823)=1,1,0))</f>
        <v/>
      </c>
      <c r="J1823">
        <f>IF($A1823="","",ROW())</f>
        <v/>
      </c>
      <c r="L1823">
        <f>IF('01_Warehouse_Ledger'!$A1823="","",'01_Warehouse_Ledger'!$A1823)</f>
        <v/>
      </c>
    </row>
    <row r="1824">
      <c r="I1824">
        <f>IF(OR($A1824="",$B1824=""),"",IF(COUNTIFS($A$2:$A1824,$A1824,$B$2:$B1824,$B1824)=1,1,0))</f>
        <v/>
      </c>
      <c r="J1824">
        <f>IF($A1824="","",ROW())</f>
        <v/>
      </c>
      <c r="L1824">
        <f>IF('01_Warehouse_Ledger'!$A1824="","",'01_Warehouse_Ledger'!$A1824)</f>
        <v/>
      </c>
    </row>
    <row r="1825">
      <c r="I1825">
        <f>IF(OR($A1825="",$B1825=""),"",IF(COUNTIFS($A$2:$A1825,$A1825,$B$2:$B1825,$B1825)=1,1,0))</f>
        <v/>
      </c>
      <c r="J1825">
        <f>IF($A1825="","",ROW())</f>
        <v/>
      </c>
      <c r="L1825">
        <f>IF('01_Warehouse_Ledger'!$A1825="","",'01_Warehouse_Ledger'!$A1825)</f>
        <v/>
      </c>
    </row>
    <row r="1826">
      <c r="I1826">
        <f>IF(OR($A1826="",$B1826=""),"",IF(COUNTIFS($A$2:$A1826,$A1826,$B$2:$B1826,$B1826)=1,1,0))</f>
        <v/>
      </c>
      <c r="J1826">
        <f>IF($A1826="","",ROW())</f>
        <v/>
      </c>
      <c r="L1826">
        <f>IF('01_Warehouse_Ledger'!$A1826="","",'01_Warehouse_Ledger'!$A1826)</f>
        <v/>
      </c>
    </row>
    <row r="1827">
      <c r="I1827">
        <f>IF(OR($A1827="",$B1827=""),"",IF(COUNTIFS($A$2:$A1827,$A1827,$B$2:$B1827,$B1827)=1,1,0))</f>
        <v/>
      </c>
      <c r="J1827">
        <f>IF($A1827="","",ROW())</f>
        <v/>
      </c>
      <c r="L1827">
        <f>IF('01_Warehouse_Ledger'!$A1827="","",'01_Warehouse_Ledger'!$A1827)</f>
        <v/>
      </c>
    </row>
    <row r="1828">
      <c r="I1828">
        <f>IF(OR($A1828="",$B1828=""),"",IF(COUNTIFS($A$2:$A1828,$A1828,$B$2:$B1828,$B1828)=1,1,0))</f>
        <v/>
      </c>
      <c r="J1828">
        <f>IF($A1828="","",ROW())</f>
        <v/>
      </c>
      <c r="L1828">
        <f>IF('01_Warehouse_Ledger'!$A1828="","",'01_Warehouse_Ledger'!$A1828)</f>
        <v/>
      </c>
    </row>
    <row r="1829">
      <c r="I1829">
        <f>IF(OR($A1829="",$B1829=""),"",IF(COUNTIFS($A$2:$A1829,$A1829,$B$2:$B1829,$B1829)=1,1,0))</f>
        <v/>
      </c>
      <c r="J1829">
        <f>IF($A1829="","",ROW())</f>
        <v/>
      </c>
      <c r="L1829">
        <f>IF('01_Warehouse_Ledger'!$A1829="","",'01_Warehouse_Ledger'!$A1829)</f>
        <v/>
      </c>
    </row>
    <row r="1830">
      <c r="I1830">
        <f>IF(OR($A1830="",$B1830=""),"",IF(COUNTIFS($A$2:$A1830,$A1830,$B$2:$B1830,$B1830)=1,1,0))</f>
        <v/>
      </c>
      <c r="J1830">
        <f>IF($A1830="","",ROW())</f>
        <v/>
      </c>
      <c r="L1830">
        <f>IF('01_Warehouse_Ledger'!$A1830="","",'01_Warehouse_Ledger'!$A1830)</f>
        <v/>
      </c>
    </row>
    <row r="1831">
      <c r="I1831">
        <f>IF(OR($A1831="",$B1831=""),"",IF(COUNTIFS($A$2:$A1831,$A1831,$B$2:$B1831,$B1831)=1,1,0))</f>
        <v/>
      </c>
      <c r="J1831">
        <f>IF($A1831="","",ROW())</f>
        <v/>
      </c>
      <c r="L1831">
        <f>IF('01_Warehouse_Ledger'!$A1831="","",'01_Warehouse_Ledger'!$A1831)</f>
        <v/>
      </c>
    </row>
    <row r="1832">
      <c r="I1832">
        <f>IF(OR($A1832="",$B1832=""),"",IF(COUNTIFS($A$2:$A1832,$A1832,$B$2:$B1832,$B1832)=1,1,0))</f>
        <v/>
      </c>
      <c r="J1832">
        <f>IF($A1832="","",ROW())</f>
        <v/>
      </c>
      <c r="L1832">
        <f>IF('01_Warehouse_Ledger'!$A1832="","",'01_Warehouse_Ledger'!$A1832)</f>
        <v/>
      </c>
    </row>
    <row r="1833">
      <c r="I1833">
        <f>IF(OR($A1833="",$B1833=""),"",IF(COUNTIFS($A$2:$A1833,$A1833,$B$2:$B1833,$B1833)=1,1,0))</f>
        <v/>
      </c>
      <c r="J1833">
        <f>IF($A1833="","",ROW())</f>
        <v/>
      </c>
      <c r="L1833">
        <f>IF('01_Warehouse_Ledger'!$A1833="","",'01_Warehouse_Ledger'!$A1833)</f>
        <v/>
      </c>
    </row>
    <row r="1834">
      <c r="I1834">
        <f>IF(OR($A1834="",$B1834=""),"",IF(COUNTIFS($A$2:$A1834,$A1834,$B$2:$B1834,$B1834)=1,1,0))</f>
        <v/>
      </c>
      <c r="J1834">
        <f>IF($A1834="","",ROW())</f>
        <v/>
      </c>
      <c r="L1834">
        <f>IF('01_Warehouse_Ledger'!$A1834="","",'01_Warehouse_Ledger'!$A1834)</f>
        <v/>
      </c>
    </row>
    <row r="1835">
      <c r="I1835">
        <f>IF(OR($A1835="",$B1835=""),"",IF(COUNTIFS($A$2:$A1835,$A1835,$B$2:$B1835,$B1835)=1,1,0))</f>
        <v/>
      </c>
      <c r="J1835">
        <f>IF($A1835="","",ROW())</f>
        <v/>
      </c>
      <c r="L1835">
        <f>IF('01_Warehouse_Ledger'!$A1835="","",'01_Warehouse_Ledger'!$A1835)</f>
        <v/>
      </c>
    </row>
    <row r="1836">
      <c r="I1836">
        <f>IF(OR($A1836="",$B1836=""),"",IF(COUNTIFS($A$2:$A1836,$A1836,$B$2:$B1836,$B1836)=1,1,0))</f>
        <v/>
      </c>
      <c r="J1836">
        <f>IF($A1836="","",ROW())</f>
        <v/>
      </c>
      <c r="L1836">
        <f>IF('01_Warehouse_Ledger'!$A1836="","",'01_Warehouse_Ledger'!$A1836)</f>
        <v/>
      </c>
    </row>
    <row r="1837">
      <c r="I1837">
        <f>IF(OR($A1837="",$B1837=""),"",IF(COUNTIFS($A$2:$A1837,$A1837,$B$2:$B1837,$B1837)=1,1,0))</f>
        <v/>
      </c>
      <c r="J1837">
        <f>IF($A1837="","",ROW())</f>
        <v/>
      </c>
      <c r="L1837">
        <f>IF('01_Warehouse_Ledger'!$A1837="","",'01_Warehouse_Ledger'!$A1837)</f>
        <v/>
      </c>
    </row>
    <row r="1838">
      <c r="I1838">
        <f>IF(OR($A1838="",$B1838=""),"",IF(COUNTIFS($A$2:$A1838,$A1838,$B$2:$B1838,$B1838)=1,1,0))</f>
        <v/>
      </c>
      <c r="J1838">
        <f>IF($A1838="","",ROW())</f>
        <v/>
      </c>
      <c r="L1838">
        <f>IF('01_Warehouse_Ledger'!$A1838="","",'01_Warehouse_Ledger'!$A1838)</f>
        <v/>
      </c>
    </row>
    <row r="1839">
      <c r="I1839">
        <f>IF(OR($A1839="",$B1839=""),"",IF(COUNTIFS($A$2:$A1839,$A1839,$B$2:$B1839,$B1839)=1,1,0))</f>
        <v/>
      </c>
      <c r="J1839">
        <f>IF($A1839="","",ROW())</f>
        <v/>
      </c>
      <c r="L1839">
        <f>IF('01_Warehouse_Ledger'!$A1839="","",'01_Warehouse_Ledger'!$A1839)</f>
        <v/>
      </c>
    </row>
    <row r="1840">
      <c r="I1840">
        <f>IF(OR($A1840="",$B1840=""),"",IF(COUNTIFS($A$2:$A1840,$A1840,$B$2:$B1840,$B1840)=1,1,0))</f>
        <v/>
      </c>
      <c r="J1840">
        <f>IF($A1840="","",ROW())</f>
        <v/>
      </c>
      <c r="L1840">
        <f>IF('01_Warehouse_Ledger'!$A1840="","",'01_Warehouse_Ledger'!$A1840)</f>
        <v/>
      </c>
    </row>
    <row r="1841">
      <c r="I1841">
        <f>IF(OR($A1841="",$B1841=""),"",IF(COUNTIFS($A$2:$A1841,$A1841,$B$2:$B1841,$B1841)=1,1,0))</f>
        <v/>
      </c>
      <c r="J1841">
        <f>IF($A1841="","",ROW())</f>
        <v/>
      </c>
      <c r="L1841">
        <f>IF('01_Warehouse_Ledger'!$A1841="","",'01_Warehouse_Ledger'!$A1841)</f>
        <v/>
      </c>
    </row>
    <row r="1842">
      <c r="I1842">
        <f>IF(OR($A1842="",$B1842=""),"",IF(COUNTIFS($A$2:$A1842,$A1842,$B$2:$B1842,$B1842)=1,1,0))</f>
        <v/>
      </c>
      <c r="J1842">
        <f>IF($A1842="","",ROW())</f>
        <v/>
      </c>
      <c r="L1842">
        <f>IF('01_Warehouse_Ledger'!$A1842="","",'01_Warehouse_Ledger'!$A1842)</f>
        <v/>
      </c>
    </row>
    <row r="1843">
      <c r="I1843">
        <f>IF(OR($A1843="",$B1843=""),"",IF(COUNTIFS($A$2:$A1843,$A1843,$B$2:$B1843,$B1843)=1,1,0))</f>
        <v/>
      </c>
      <c r="J1843">
        <f>IF($A1843="","",ROW())</f>
        <v/>
      </c>
      <c r="L1843">
        <f>IF('01_Warehouse_Ledger'!$A1843="","",'01_Warehouse_Ledger'!$A1843)</f>
        <v/>
      </c>
    </row>
    <row r="1844">
      <c r="I1844">
        <f>IF(OR($A1844="",$B1844=""),"",IF(COUNTIFS($A$2:$A1844,$A1844,$B$2:$B1844,$B1844)=1,1,0))</f>
        <v/>
      </c>
      <c r="J1844">
        <f>IF($A1844="","",ROW())</f>
        <v/>
      </c>
      <c r="L1844">
        <f>IF('01_Warehouse_Ledger'!$A1844="","",'01_Warehouse_Ledger'!$A1844)</f>
        <v/>
      </c>
    </row>
    <row r="1845">
      <c r="I1845">
        <f>IF(OR($A1845="",$B1845=""),"",IF(COUNTIFS($A$2:$A1845,$A1845,$B$2:$B1845,$B1845)=1,1,0))</f>
        <v/>
      </c>
      <c r="J1845">
        <f>IF($A1845="","",ROW())</f>
        <v/>
      </c>
      <c r="L1845">
        <f>IF('01_Warehouse_Ledger'!$A1845="","",'01_Warehouse_Ledger'!$A1845)</f>
        <v/>
      </c>
    </row>
    <row r="1846">
      <c r="I1846">
        <f>IF(OR($A1846="",$B1846=""),"",IF(COUNTIFS($A$2:$A1846,$A1846,$B$2:$B1846,$B1846)=1,1,0))</f>
        <v/>
      </c>
      <c r="J1846">
        <f>IF($A1846="","",ROW())</f>
        <v/>
      </c>
      <c r="L1846">
        <f>IF('01_Warehouse_Ledger'!$A1846="","",'01_Warehouse_Ledger'!$A1846)</f>
        <v/>
      </c>
    </row>
    <row r="1847">
      <c r="I1847">
        <f>IF(OR($A1847="",$B1847=""),"",IF(COUNTIFS($A$2:$A1847,$A1847,$B$2:$B1847,$B1847)=1,1,0))</f>
        <v/>
      </c>
      <c r="J1847">
        <f>IF($A1847="","",ROW())</f>
        <v/>
      </c>
      <c r="L1847">
        <f>IF('01_Warehouse_Ledger'!$A1847="","",'01_Warehouse_Ledger'!$A1847)</f>
        <v/>
      </c>
    </row>
    <row r="1848">
      <c r="I1848">
        <f>IF(OR($A1848="",$B1848=""),"",IF(COUNTIFS($A$2:$A1848,$A1848,$B$2:$B1848,$B1848)=1,1,0))</f>
        <v/>
      </c>
      <c r="J1848">
        <f>IF($A1848="","",ROW())</f>
        <v/>
      </c>
      <c r="L1848">
        <f>IF('01_Warehouse_Ledger'!$A1848="","",'01_Warehouse_Ledger'!$A1848)</f>
        <v/>
      </c>
    </row>
    <row r="1849">
      <c r="I1849">
        <f>IF(OR($A1849="",$B1849=""),"",IF(COUNTIFS($A$2:$A1849,$A1849,$B$2:$B1849,$B1849)=1,1,0))</f>
        <v/>
      </c>
      <c r="J1849">
        <f>IF($A1849="","",ROW())</f>
        <v/>
      </c>
      <c r="L1849">
        <f>IF('01_Warehouse_Ledger'!$A1849="","",'01_Warehouse_Ledger'!$A1849)</f>
        <v/>
      </c>
    </row>
    <row r="1850">
      <c r="I1850">
        <f>IF(OR($A1850="",$B1850=""),"",IF(COUNTIFS($A$2:$A1850,$A1850,$B$2:$B1850,$B1850)=1,1,0))</f>
        <v/>
      </c>
      <c r="J1850">
        <f>IF($A1850="","",ROW())</f>
        <v/>
      </c>
      <c r="L1850">
        <f>IF('01_Warehouse_Ledger'!$A1850="","",'01_Warehouse_Ledger'!$A1850)</f>
        <v/>
      </c>
    </row>
    <row r="1851">
      <c r="I1851">
        <f>IF(OR($A1851="",$B1851=""),"",IF(COUNTIFS($A$2:$A1851,$A1851,$B$2:$B1851,$B1851)=1,1,0))</f>
        <v/>
      </c>
      <c r="J1851">
        <f>IF($A1851="","",ROW())</f>
        <v/>
      </c>
      <c r="L1851">
        <f>IF('01_Warehouse_Ledger'!$A1851="","",'01_Warehouse_Ledger'!$A1851)</f>
        <v/>
      </c>
    </row>
    <row r="1852">
      <c r="I1852">
        <f>IF(OR($A1852="",$B1852=""),"",IF(COUNTIFS($A$2:$A1852,$A1852,$B$2:$B1852,$B1852)=1,1,0))</f>
        <v/>
      </c>
      <c r="J1852">
        <f>IF($A1852="","",ROW())</f>
        <v/>
      </c>
      <c r="L1852">
        <f>IF('01_Warehouse_Ledger'!$A1852="","",'01_Warehouse_Ledger'!$A1852)</f>
        <v/>
      </c>
    </row>
    <row r="1853">
      <c r="I1853">
        <f>IF(OR($A1853="",$B1853=""),"",IF(COUNTIFS($A$2:$A1853,$A1853,$B$2:$B1853,$B1853)=1,1,0))</f>
        <v/>
      </c>
      <c r="J1853">
        <f>IF($A1853="","",ROW())</f>
        <v/>
      </c>
      <c r="L1853">
        <f>IF('01_Warehouse_Ledger'!$A1853="","",'01_Warehouse_Ledger'!$A1853)</f>
        <v/>
      </c>
    </row>
    <row r="1854">
      <c r="I1854">
        <f>IF(OR($A1854="",$B1854=""),"",IF(COUNTIFS($A$2:$A1854,$A1854,$B$2:$B1854,$B1854)=1,1,0))</f>
        <v/>
      </c>
      <c r="J1854">
        <f>IF($A1854="","",ROW())</f>
        <v/>
      </c>
      <c r="L1854">
        <f>IF('01_Warehouse_Ledger'!$A1854="","",'01_Warehouse_Ledger'!$A1854)</f>
        <v/>
      </c>
    </row>
    <row r="1855">
      <c r="I1855">
        <f>IF(OR($A1855="",$B1855=""),"",IF(COUNTIFS($A$2:$A1855,$A1855,$B$2:$B1855,$B1855)=1,1,0))</f>
        <v/>
      </c>
      <c r="J1855">
        <f>IF($A1855="","",ROW())</f>
        <v/>
      </c>
      <c r="L1855">
        <f>IF('01_Warehouse_Ledger'!$A1855="","",'01_Warehouse_Ledger'!$A1855)</f>
        <v/>
      </c>
    </row>
    <row r="1856">
      <c r="I1856">
        <f>IF(OR($A1856="",$B1856=""),"",IF(COUNTIFS($A$2:$A1856,$A1856,$B$2:$B1856,$B1856)=1,1,0))</f>
        <v/>
      </c>
      <c r="J1856">
        <f>IF($A1856="","",ROW())</f>
        <v/>
      </c>
      <c r="L1856">
        <f>IF('01_Warehouse_Ledger'!$A1856="","",'01_Warehouse_Ledger'!$A1856)</f>
        <v/>
      </c>
    </row>
    <row r="1857">
      <c r="I1857">
        <f>IF(OR($A1857="",$B1857=""),"",IF(COUNTIFS($A$2:$A1857,$A1857,$B$2:$B1857,$B1857)=1,1,0))</f>
        <v/>
      </c>
      <c r="J1857">
        <f>IF($A1857="","",ROW())</f>
        <v/>
      </c>
      <c r="L1857">
        <f>IF('01_Warehouse_Ledger'!$A1857="","",'01_Warehouse_Ledger'!$A1857)</f>
        <v/>
      </c>
    </row>
    <row r="1858">
      <c r="I1858">
        <f>IF(OR($A1858="",$B1858=""),"",IF(COUNTIFS($A$2:$A1858,$A1858,$B$2:$B1858,$B1858)=1,1,0))</f>
        <v/>
      </c>
      <c r="J1858">
        <f>IF($A1858="","",ROW())</f>
        <v/>
      </c>
      <c r="L1858">
        <f>IF('01_Warehouse_Ledger'!$A1858="","",'01_Warehouse_Ledger'!$A1858)</f>
        <v/>
      </c>
    </row>
    <row r="1859">
      <c r="I1859">
        <f>IF(OR($A1859="",$B1859=""),"",IF(COUNTIFS($A$2:$A1859,$A1859,$B$2:$B1859,$B1859)=1,1,0))</f>
        <v/>
      </c>
      <c r="J1859">
        <f>IF($A1859="","",ROW())</f>
        <v/>
      </c>
      <c r="L1859">
        <f>IF('01_Warehouse_Ledger'!$A1859="","",'01_Warehouse_Ledger'!$A1859)</f>
        <v/>
      </c>
    </row>
    <row r="1860">
      <c r="I1860">
        <f>IF(OR($A1860="",$B1860=""),"",IF(COUNTIFS($A$2:$A1860,$A1860,$B$2:$B1860,$B1860)=1,1,0))</f>
        <v/>
      </c>
      <c r="J1860">
        <f>IF($A1860="","",ROW())</f>
        <v/>
      </c>
      <c r="L1860">
        <f>IF('01_Warehouse_Ledger'!$A1860="","",'01_Warehouse_Ledger'!$A1860)</f>
        <v/>
      </c>
    </row>
    <row r="1861">
      <c r="I1861">
        <f>IF(OR($A1861="",$B1861=""),"",IF(COUNTIFS($A$2:$A1861,$A1861,$B$2:$B1861,$B1861)=1,1,0))</f>
        <v/>
      </c>
      <c r="J1861">
        <f>IF($A1861="","",ROW())</f>
        <v/>
      </c>
      <c r="L1861">
        <f>IF('01_Warehouse_Ledger'!$A1861="","",'01_Warehouse_Ledger'!$A1861)</f>
        <v/>
      </c>
    </row>
    <row r="1862">
      <c r="I1862">
        <f>IF(OR($A1862="",$B1862=""),"",IF(COUNTIFS($A$2:$A1862,$A1862,$B$2:$B1862,$B1862)=1,1,0))</f>
        <v/>
      </c>
      <c r="J1862">
        <f>IF($A1862="","",ROW())</f>
        <v/>
      </c>
      <c r="L1862">
        <f>IF('01_Warehouse_Ledger'!$A1862="","",'01_Warehouse_Ledger'!$A1862)</f>
        <v/>
      </c>
    </row>
    <row r="1863">
      <c r="I1863">
        <f>IF(OR($A1863="",$B1863=""),"",IF(COUNTIFS($A$2:$A1863,$A1863,$B$2:$B1863,$B1863)=1,1,0))</f>
        <v/>
      </c>
      <c r="J1863">
        <f>IF($A1863="","",ROW())</f>
        <v/>
      </c>
      <c r="L1863">
        <f>IF('01_Warehouse_Ledger'!$A1863="","",'01_Warehouse_Ledger'!$A1863)</f>
        <v/>
      </c>
    </row>
    <row r="1864">
      <c r="I1864">
        <f>IF(OR($A1864="",$B1864=""),"",IF(COUNTIFS($A$2:$A1864,$A1864,$B$2:$B1864,$B1864)=1,1,0))</f>
        <v/>
      </c>
      <c r="J1864">
        <f>IF($A1864="","",ROW())</f>
        <v/>
      </c>
      <c r="L1864">
        <f>IF('01_Warehouse_Ledger'!$A1864="","",'01_Warehouse_Ledger'!$A1864)</f>
        <v/>
      </c>
    </row>
    <row r="1865">
      <c r="I1865">
        <f>IF(OR($A1865="",$B1865=""),"",IF(COUNTIFS($A$2:$A1865,$A1865,$B$2:$B1865,$B1865)=1,1,0))</f>
        <v/>
      </c>
      <c r="J1865">
        <f>IF($A1865="","",ROW())</f>
        <v/>
      </c>
      <c r="L1865">
        <f>IF('01_Warehouse_Ledger'!$A1865="","",'01_Warehouse_Ledger'!$A1865)</f>
        <v/>
      </c>
    </row>
    <row r="1866">
      <c r="I1866">
        <f>IF(OR($A1866="",$B1866=""),"",IF(COUNTIFS($A$2:$A1866,$A1866,$B$2:$B1866,$B1866)=1,1,0))</f>
        <v/>
      </c>
      <c r="J1866">
        <f>IF($A1866="","",ROW())</f>
        <v/>
      </c>
      <c r="L1866">
        <f>IF('01_Warehouse_Ledger'!$A1866="","",'01_Warehouse_Ledger'!$A1866)</f>
        <v/>
      </c>
    </row>
    <row r="1867">
      <c r="I1867">
        <f>IF(OR($A1867="",$B1867=""),"",IF(COUNTIFS($A$2:$A1867,$A1867,$B$2:$B1867,$B1867)=1,1,0))</f>
        <v/>
      </c>
      <c r="J1867">
        <f>IF($A1867="","",ROW())</f>
        <v/>
      </c>
      <c r="L1867">
        <f>IF('01_Warehouse_Ledger'!$A1867="","",'01_Warehouse_Ledger'!$A1867)</f>
        <v/>
      </c>
    </row>
    <row r="1868">
      <c r="I1868">
        <f>IF(OR($A1868="",$B1868=""),"",IF(COUNTIFS($A$2:$A1868,$A1868,$B$2:$B1868,$B1868)=1,1,0))</f>
        <v/>
      </c>
      <c r="J1868">
        <f>IF($A1868="","",ROW())</f>
        <v/>
      </c>
      <c r="L1868">
        <f>IF('01_Warehouse_Ledger'!$A1868="","",'01_Warehouse_Ledger'!$A1868)</f>
        <v/>
      </c>
    </row>
    <row r="1869">
      <c r="I1869">
        <f>IF(OR($A1869="",$B1869=""),"",IF(COUNTIFS($A$2:$A1869,$A1869,$B$2:$B1869,$B1869)=1,1,0))</f>
        <v/>
      </c>
      <c r="J1869">
        <f>IF($A1869="","",ROW())</f>
        <v/>
      </c>
      <c r="L1869">
        <f>IF('01_Warehouse_Ledger'!$A1869="","",'01_Warehouse_Ledger'!$A1869)</f>
        <v/>
      </c>
    </row>
    <row r="1870">
      <c r="I1870">
        <f>IF(OR($A1870="",$B1870=""),"",IF(COUNTIFS($A$2:$A1870,$A1870,$B$2:$B1870,$B1870)=1,1,0))</f>
        <v/>
      </c>
      <c r="J1870">
        <f>IF($A1870="","",ROW())</f>
        <v/>
      </c>
      <c r="L1870">
        <f>IF('01_Warehouse_Ledger'!$A1870="","",'01_Warehouse_Ledger'!$A1870)</f>
        <v/>
      </c>
    </row>
    <row r="1871">
      <c r="I1871">
        <f>IF(OR($A1871="",$B1871=""),"",IF(COUNTIFS($A$2:$A1871,$A1871,$B$2:$B1871,$B1871)=1,1,0))</f>
        <v/>
      </c>
      <c r="J1871">
        <f>IF($A1871="","",ROW())</f>
        <v/>
      </c>
      <c r="L1871">
        <f>IF('01_Warehouse_Ledger'!$A1871="","",'01_Warehouse_Ledger'!$A1871)</f>
        <v/>
      </c>
    </row>
    <row r="1872">
      <c r="I1872">
        <f>IF(OR($A1872="",$B1872=""),"",IF(COUNTIFS($A$2:$A1872,$A1872,$B$2:$B1872,$B1872)=1,1,0))</f>
        <v/>
      </c>
      <c r="J1872">
        <f>IF($A1872="","",ROW())</f>
        <v/>
      </c>
      <c r="L1872">
        <f>IF('01_Warehouse_Ledger'!$A1872="","",'01_Warehouse_Ledger'!$A1872)</f>
        <v/>
      </c>
    </row>
    <row r="1873">
      <c r="I1873">
        <f>IF(OR($A1873="",$B1873=""),"",IF(COUNTIFS($A$2:$A1873,$A1873,$B$2:$B1873,$B1873)=1,1,0))</f>
        <v/>
      </c>
      <c r="J1873">
        <f>IF($A1873="","",ROW())</f>
        <v/>
      </c>
      <c r="L1873">
        <f>IF('01_Warehouse_Ledger'!$A1873="","",'01_Warehouse_Ledger'!$A1873)</f>
        <v/>
      </c>
    </row>
    <row r="1874">
      <c r="I1874">
        <f>IF(OR($A1874="",$B1874=""),"",IF(COUNTIFS($A$2:$A1874,$A1874,$B$2:$B1874,$B1874)=1,1,0))</f>
        <v/>
      </c>
      <c r="J1874">
        <f>IF($A1874="","",ROW())</f>
        <v/>
      </c>
      <c r="L1874">
        <f>IF('01_Warehouse_Ledger'!$A1874="","",'01_Warehouse_Ledger'!$A1874)</f>
        <v/>
      </c>
    </row>
    <row r="1875">
      <c r="I1875">
        <f>IF(OR($A1875="",$B1875=""),"",IF(COUNTIFS($A$2:$A1875,$A1875,$B$2:$B1875,$B1875)=1,1,0))</f>
        <v/>
      </c>
      <c r="J1875">
        <f>IF($A1875="","",ROW())</f>
        <v/>
      </c>
      <c r="L1875">
        <f>IF('01_Warehouse_Ledger'!$A1875="","",'01_Warehouse_Ledger'!$A1875)</f>
        <v/>
      </c>
    </row>
    <row r="1876">
      <c r="I1876">
        <f>IF(OR($A1876="",$B1876=""),"",IF(COUNTIFS($A$2:$A1876,$A1876,$B$2:$B1876,$B1876)=1,1,0))</f>
        <v/>
      </c>
      <c r="J1876">
        <f>IF($A1876="","",ROW())</f>
        <v/>
      </c>
      <c r="L1876">
        <f>IF('01_Warehouse_Ledger'!$A1876="","",'01_Warehouse_Ledger'!$A1876)</f>
        <v/>
      </c>
    </row>
    <row r="1877">
      <c r="I1877">
        <f>IF(OR($A1877="",$B1877=""),"",IF(COUNTIFS($A$2:$A1877,$A1877,$B$2:$B1877,$B1877)=1,1,0))</f>
        <v/>
      </c>
      <c r="J1877">
        <f>IF($A1877="","",ROW())</f>
        <v/>
      </c>
      <c r="L1877">
        <f>IF('01_Warehouse_Ledger'!$A1877="","",'01_Warehouse_Ledger'!$A1877)</f>
        <v/>
      </c>
    </row>
    <row r="1878">
      <c r="I1878">
        <f>IF(OR($A1878="",$B1878=""),"",IF(COUNTIFS($A$2:$A1878,$A1878,$B$2:$B1878,$B1878)=1,1,0))</f>
        <v/>
      </c>
      <c r="J1878">
        <f>IF($A1878="","",ROW())</f>
        <v/>
      </c>
      <c r="L1878">
        <f>IF('01_Warehouse_Ledger'!$A1878="","",'01_Warehouse_Ledger'!$A1878)</f>
        <v/>
      </c>
    </row>
    <row r="1879">
      <c r="I1879">
        <f>IF(OR($A1879="",$B1879=""),"",IF(COUNTIFS($A$2:$A1879,$A1879,$B$2:$B1879,$B1879)=1,1,0))</f>
        <v/>
      </c>
      <c r="J1879">
        <f>IF($A1879="","",ROW())</f>
        <v/>
      </c>
      <c r="L1879">
        <f>IF('01_Warehouse_Ledger'!$A1879="","",'01_Warehouse_Ledger'!$A1879)</f>
        <v/>
      </c>
    </row>
    <row r="1880">
      <c r="I1880">
        <f>IF(OR($A1880="",$B1880=""),"",IF(COUNTIFS($A$2:$A1880,$A1880,$B$2:$B1880,$B1880)=1,1,0))</f>
        <v/>
      </c>
      <c r="J1880">
        <f>IF($A1880="","",ROW())</f>
        <v/>
      </c>
      <c r="L1880">
        <f>IF('01_Warehouse_Ledger'!$A1880="","",'01_Warehouse_Ledger'!$A1880)</f>
        <v/>
      </c>
    </row>
    <row r="1881">
      <c r="I1881">
        <f>IF(OR($A1881="",$B1881=""),"",IF(COUNTIFS($A$2:$A1881,$A1881,$B$2:$B1881,$B1881)=1,1,0))</f>
        <v/>
      </c>
      <c r="J1881">
        <f>IF($A1881="","",ROW())</f>
        <v/>
      </c>
      <c r="L1881">
        <f>IF('01_Warehouse_Ledger'!$A1881="","",'01_Warehouse_Ledger'!$A1881)</f>
        <v/>
      </c>
    </row>
    <row r="1882">
      <c r="I1882">
        <f>IF(OR($A1882="",$B1882=""),"",IF(COUNTIFS($A$2:$A1882,$A1882,$B$2:$B1882,$B1882)=1,1,0))</f>
        <v/>
      </c>
      <c r="J1882">
        <f>IF($A1882="","",ROW())</f>
        <v/>
      </c>
      <c r="L1882">
        <f>IF('01_Warehouse_Ledger'!$A1882="","",'01_Warehouse_Ledger'!$A1882)</f>
        <v/>
      </c>
    </row>
    <row r="1883">
      <c r="I1883">
        <f>IF(OR($A1883="",$B1883=""),"",IF(COUNTIFS($A$2:$A1883,$A1883,$B$2:$B1883,$B1883)=1,1,0))</f>
        <v/>
      </c>
      <c r="J1883">
        <f>IF($A1883="","",ROW())</f>
        <v/>
      </c>
      <c r="L1883">
        <f>IF('01_Warehouse_Ledger'!$A1883="","",'01_Warehouse_Ledger'!$A1883)</f>
        <v/>
      </c>
    </row>
    <row r="1884">
      <c r="I1884">
        <f>IF(OR($A1884="",$B1884=""),"",IF(COUNTIFS($A$2:$A1884,$A1884,$B$2:$B1884,$B1884)=1,1,0))</f>
        <v/>
      </c>
      <c r="J1884">
        <f>IF($A1884="","",ROW())</f>
        <v/>
      </c>
      <c r="L1884">
        <f>IF('01_Warehouse_Ledger'!$A1884="","",'01_Warehouse_Ledger'!$A1884)</f>
        <v/>
      </c>
    </row>
    <row r="1885">
      <c r="I1885">
        <f>IF(OR($A1885="",$B1885=""),"",IF(COUNTIFS($A$2:$A1885,$A1885,$B$2:$B1885,$B1885)=1,1,0))</f>
        <v/>
      </c>
      <c r="J1885">
        <f>IF($A1885="","",ROW())</f>
        <v/>
      </c>
      <c r="L1885">
        <f>IF('01_Warehouse_Ledger'!$A1885="","",'01_Warehouse_Ledger'!$A1885)</f>
        <v/>
      </c>
    </row>
    <row r="1886">
      <c r="I1886">
        <f>IF(OR($A1886="",$B1886=""),"",IF(COUNTIFS($A$2:$A1886,$A1886,$B$2:$B1886,$B1886)=1,1,0))</f>
        <v/>
      </c>
      <c r="J1886">
        <f>IF($A1886="","",ROW())</f>
        <v/>
      </c>
      <c r="L1886">
        <f>IF('01_Warehouse_Ledger'!$A1886="","",'01_Warehouse_Ledger'!$A1886)</f>
        <v/>
      </c>
    </row>
    <row r="1887">
      <c r="I1887">
        <f>IF(OR($A1887="",$B1887=""),"",IF(COUNTIFS($A$2:$A1887,$A1887,$B$2:$B1887,$B1887)=1,1,0))</f>
        <v/>
      </c>
      <c r="J1887">
        <f>IF($A1887="","",ROW())</f>
        <v/>
      </c>
      <c r="L1887">
        <f>IF('01_Warehouse_Ledger'!$A1887="","",'01_Warehouse_Ledger'!$A1887)</f>
        <v/>
      </c>
    </row>
    <row r="1888">
      <c r="I1888">
        <f>IF(OR($A1888="",$B1888=""),"",IF(COUNTIFS($A$2:$A1888,$A1888,$B$2:$B1888,$B1888)=1,1,0))</f>
        <v/>
      </c>
      <c r="J1888">
        <f>IF($A1888="","",ROW())</f>
        <v/>
      </c>
      <c r="L1888">
        <f>IF('01_Warehouse_Ledger'!$A1888="","",'01_Warehouse_Ledger'!$A1888)</f>
        <v/>
      </c>
    </row>
    <row r="1889">
      <c r="I1889">
        <f>IF(OR($A1889="",$B1889=""),"",IF(COUNTIFS($A$2:$A1889,$A1889,$B$2:$B1889,$B1889)=1,1,0))</f>
        <v/>
      </c>
      <c r="J1889">
        <f>IF($A1889="","",ROW())</f>
        <v/>
      </c>
      <c r="L1889">
        <f>IF('01_Warehouse_Ledger'!$A1889="","",'01_Warehouse_Ledger'!$A1889)</f>
        <v/>
      </c>
    </row>
    <row r="1890">
      <c r="I1890">
        <f>IF(OR($A1890="",$B1890=""),"",IF(COUNTIFS($A$2:$A1890,$A1890,$B$2:$B1890,$B1890)=1,1,0))</f>
        <v/>
      </c>
      <c r="J1890">
        <f>IF($A1890="","",ROW())</f>
        <v/>
      </c>
      <c r="L1890">
        <f>IF('01_Warehouse_Ledger'!$A1890="","",'01_Warehouse_Ledger'!$A1890)</f>
        <v/>
      </c>
    </row>
    <row r="1891">
      <c r="I1891">
        <f>IF(OR($A1891="",$B1891=""),"",IF(COUNTIFS($A$2:$A1891,$A1891,$B$2:$B1891,$B1891)=1,1,0))</f>
        <v/>
      </c>
      <c r="J1891">
        <f>IF($A1891="","",ROW())</f>
        <v/>
      </c>
      <c r="L1891">
        <f>IF('01_Warehouse_Ledger'!$A1891="","",'01_Warehouse_Ledger'!$A1891)</f>
        <v/>
      </c>
    </row>
    <row r="1892">
      <c r="I1892">
        <f>IF(OR($A1892="",$B1892=""),"",IF(COUNTIFS($A$2:$A1892,$A1892,$B$2:$B1892,$B1892)=1,1,0))</f>
        <v/>
      </c>
      <c r="J1892">
        <f>IF($A1892="","",ROW())</f>
        <v/>
      </c>
      <c r="L1892">
        <f>IF('01_Warehouse_Ledger'!$A1892="","",'01_Warehouse_Ledger'!$A1892)</f>
        <v/>
      </c>
    </row>
    <row r="1893">
      <c r="I1893">
        <f>IF(OR($A1893="",$B1893=""),"",IF(COUNTIFS($A$2:$A1893,$A1893,$B$2:$B1893,$B1893)=1,1,0))</f>
        <v/>
      </c>
      <c r="J1893">
        <f>IF($A1893="","",ROW())</f>
        <v/>
      </c>
      <c r="L1893">
        <f>IF('01_Warehouse_Ledger'!$A1893="","",'01_Warehouse_Ledger'!$A1893)</f>
        <v/>
      </c>
    </row>
    <row r="1894">
      <c r="I1894">
        <f>IF(OR($A1894="",$B1894=""),"",IF(COUNTIFS($A$2:$A1894,$A1894,$B$2:$B1894,$B1894)=1,1,0))</f>
        <v/>
      </c>
      <c r="J1894">
        <f>IF($A1894="","",ROW())</f>
        <v/>
      </c>
      <c r="L1894">
        <f>IF('01_Warehouse_Ledger'!$A1894="","",'01_Warehouse_Ledger'!$A1894)</f>
        <v/>
      </c>
    </row>
    <row r="1895">
      <c r="I1895">
        <f>IF(OR($A1895="",$B1895=""),"",IF(COUNTIFS($A$2:$A1895,$A1895,$B$2:$B1895,$B1895)=1,1,0))</f>
        <v/>
      </c>
      <c r="J1895">
        <f>IF($A1895="","",ROW())</f>
        <v/>
      </c>
      <c r="L1895">
        <f>IF('01_Warehouse_Ledger'!$A1895="","",'01_Warehouse_Ledger'!$A1895)</f>
        <v/>
      </c>
    </row>
    <row r="1896">
      <c r="I1896">
        <f>IF(OR($A1896="",$B1896=""),"",IF(COUNTIFS($A$2:$A1896,$A1896,$B$2:$B1896,$B1896)=1,1,0))</f>
        <v/>
      </c>
      <c r="J1896">
        <f>IF($A1896="","",ROW())</f>
        <v/>
      </c>
      <c r="L1896">
        <f>IF('01_Warehouse_Ledger'!$A1896="","",'01_Warehouse_Ledger'!$A1896)</f>
        <v/>
      </c>
    </row>
    <row r="1897">
      <c r="I1897">
        <f>IF(OR($A1897="",$B1897=""),"",IF(COUNTIFS($A$2:$A1897,$A1897,$B$2:$B1897,$B1897)=1,1,0))</f>
        <v/>
      </c>
      <c r="J1897">
        <f>IF($A1897="","",ROW())</f>
        <v/>
      </c>
      <c r="L1897">
        <f>IF('01_Warehouse_Ledger'!$A1897="","",'01_Warehouse_Ledger'!$A1897)</f>
        <v/>
      </c>
    </row>
    <row r="1898">
      <c r="I1898">
        <f>IF(OR($A1898="",$B1898=""),"",IF(COUNTIFS($A$2:$A1898,$A1898,$B$2:$B1898,$B1898)=1,1,0))</f>
        <v/>
      </c>
      <c r="J1898">
        <f>IF($A1898="","",ROW())</f>
        <v/>
      </c>
      <c r="L1898">
        <f>IF('01_Warehouse_Ledger'!$A1898="","",'01_Warehouse_Ledger'!$A1898)</f>
        <v/>
      </c>
    </row>
    <row r="1899">
      <c r="I1899">
        <f>IF(OR($A1899="",$B1899=""),"",IF(COUNTIFS($A$2:$A1899,$A1899,$B$2:$B1899,$B1899)=1,1,0))</f>
        <v/>
      </c>
      <c r="J1899">
        <f>IF($A1899="","",ROW())</f>
        <v/>
      </c>
      <c r="L1899">
        <f>IF('01_Warehouse_Ledger'!$A1899="","",'01_Warehouse_Ledger'!$A1899)</f>
        <v/>
      </c>
    </row>
    <row r="1900">
      <c r="I1900">
        <f>IF(OR($A1900="",$B1900=""),"",IF(COUNTIFS($A$2:$A1900,$A1900,$B$2:$B1900,$B1900)=1,1,0))</f>
        <v/>
      </c>
      <c r="J1900">
        <f>IF($A1900="","",ROW())</f>
        <v/>
      </c>
      <c r="L1900">
        <f>IF('01_Warehouse_Ledger'!$A1900="","",'01_Warehouse_Ledger'!$A1900)</f>
        <v/>
      </c>
    </row>
    <row r="1901">
      <c r="I1901">
        <f>IF(OR($A1901="",$B1901=""),"",IF(COUNTIFS($A$2:$A1901,$A1901,$B$2:$B1901,$B1901)=1,1,0))</f>
        <v/>
      </c>
      <c r="J1901">
        <f>IF($A1901="","",ROW())</f>
        <v/>
      </c>
      <c r="L1901">
        <f>IF('01_Warehouse_Ledger'!$A1901="","",'01_Warehouse_Ledger'!$A1901)</f>
        <v/>
      </c>
    </row>
    <row r="1902">
      <c r="I1902">
        <f>IF(OR($A1902="",$B1902=""),"",IF(COUNTIFS($A$2:$A1902,$A1902,$B$2:$B1902,$B1902)=1,1,0))</f>
        <v/>
      </c>
      <c r="J1902">
        <f>IF($A1902="","",ROW())</f>
        <v/>
      </c>
      <c r="L1902">
        <f>IF('01_Warehouse_Ledger'!$A1902="","",'01_Warehouse_Ledger'!$A1902)</f>
        <v/>
      </c>
    </row>
    <row r="1903">
      <c r="I1903">
        <f>IF(OR($A1903="",$B1903=""),"",IF(COUNTIFS($A$2:$A1903,$A1903,$B$2:$B1903,$B1903)=1,1,0))</f>
        <v/>
      </c>
      <c r="J1903">
        <f>IF($A1903="","",ROW())</f>
        <v/>
      </c>
      <c r="L1903">
        <f>IF('01_Warehouse_Ledger'!$A1903="","",'01_Warehouse_Ledger'!$A1903)</f>
        <v/>
      </c>
    </row>
    <row r="1904">
      <c r="I1904">
        <f>IF(OR($A1904="",$B1904=""),"",IF(COUNTIFS($A$2:$A1904,$A1904,$B$2:$B1904,$B1904)=1,1,0))</f>
        <v/>
      </c>
      <c r="J1904">
        <f>IF($A1904="","",ROW())</f>
        <v/>
      </c>
      <c r="L1904">
        <f>IF('01_Warehouse_Ledger'!$A1904="","",'01_Warehouse_Ledger'!$A1904)</f>
        <v/>
      </c>
    </row>
    <row r="1905">
      <c r="I1905">
        <f>IF(OR($A1905="",$B1905=""),"",IF(COUNTIFS($A$2:$A1905,$A1905,$B$2:$B1905,$B1905)=1,1,0))</f>
        <v/>
      </c>
      <c r="J1905">
        <f>IF($A1905="","",ROW())</f>
        <v/>
      </c>
      <c r="L1905">
        <f>IF('01_Warehouse_Ledger'!$A1905="","",'01_Warehouse_Ledger'!$A1905)</f>
        <v/>
      </c>
    </row>
    <row r="1906">
      <c r="I1906">
        <f>IF(OR($A1906="",$B1906=""),"",IF(COUNTIFS($A$2:$A1906,$A1906,$B$2:$B1906,$B1906)=1,1,0))</f>
        <v/>
      </c>
      <c r="J1906">
        <f>IF($A1906="","",ROW())</f>
        <v/>
      </c>
      <c r="L1906">
        <f>IF('01_Warehouse_Ledger'!$A1906="","",'01_Warehouse_Ledger'!$A1906)</f>
        <v/>
      </c>
    </row>
    <row r="1907">
      <c r="I1907">
        <f>IF(OR($A1907="",$B1907=""),"",IF(COUNTIFS($A$2:$A1907,$A1907,$B$2:$B1907,$B1907)=1,1,0))</f>
        <v/>
      </c>
      <c r="J1907">
        <f>IF($A1907="","",ROW())</f>
        <v/>
      </c>
      <c r="L1907">
        <f>IF('01_Warehouse_Ledger'!$A1907="","",'01_Warehouse_Ledger'!$A1907)</f>
        <v/>
      </c>
    </row>
    <row r="1908">
      <c r="I1908">
        <f>IF(OR($A1908="",$B1908=""),"",IF(COUNTIFS($A$2:$A1908,$A1908,$B$2:$B1908,$B1908)=1,1,0))</f>
        <v/>
      </c>
      <c r="J1908">
        <f>IF($A1908="","",ROW())</f>
        <v/>
      </c>
      <c r="L1908">
        <f>IF('01_Warehouse_Ledger'!$A1908="","",'01_Warehouse_Ledger'!$A1908)</f>
        <v/>
      </c>
    </row>
    <row r="1909">
      <c r="I1909">
        <f>IF(OR($A1909="",$B1909=""),"",IF(COUNTIFS($A$2:$A1909,$A1909,$B$2:$B1909,$B1909)=1,1,0))</f>
        <v/>
      </c>
      <c r="J1909">
        <f>IF($A1909="","",ROW())</f>
        <v/>
      </c>
      <c r="L1909">
        <f>IF('01_Warehouse_Ledger'!$A1909="","",'01_Warehouse_Ledger'!$A1909)</f>
        <v/>
      </c>
    </row>
    <row r="1910">
      <c r="I1910">
        <f>IF(OR($A1910="",$B1910=""),"",IF(COUNTIFS($A$2:$A1910,$A1910,$B$2:$B1910,$B1910)=1,1,0))</f>
        <v/>
      </c>
      <c r="J1910">
        <f>IF($A1910="","",ROW())</f>
        <v/>
      </c>
      <c r="L1910">
        <f>IF('01_Warehouse_Ledger'!$A1910="","",'01_Warehouse_Ledger'!$A1910)</f>
        <v/>
      </c>
    </row>
    <row r="1911">
      <c r="I1911">
        <f>IF(OR($A1911="",$B1911=""),"",IF(COUNTIFS($A$2:$A1911,$A1911,$B$2:$B1911,$B1911)=1,1,0))</f>
        <v/>
      </c>
      <c r="J1911">
        <f>IF($A1911="","",ROW())</f>
        <v/>
      </c>
      <c r="L1911">
        <f>IF('01_Warehouse_Ledger'!$A1911="","",'01_Warehouse_Ledger'!$A1911)</f>
        <v/>
      </c>
    </row>
    <row r="1912">
      <c r="I1912">
        <f>IF(OR($A1912="",$B1912=""),"",IF(COUNTIFS($A$2:$A1912,$A1912,$B$2:$B1912,$B1912)=1,1,0))</f>
        <v/>
      </c>
      <c r="J1912">
        <f>IF($A1912="","",ROW())</f>
        <v/>
      </c>
      <c r="L1912">
        <f>IF('01_Warehouse_Ledger'!$A1912="","",'01_Warehouse_Ledger'!$A1912)</f>
        <v/>
      </c>
    </row>
    <row r="1913">
      <c r="I1913">
        <f>IF(OR($A1913="",$B1913=""),"",IF(COUNTIFS($A$2:$A1913,$A1913,$B$2:$B1913,$B1913)=1,1,0))</f>
        <v/>
      </c>
      <c r="J1913">
        <f>IF($A1913="","",ROW())</f>
        <v/>
      </c>
      <c r="L1913">
        <f>IF('01_Warehouse_Ledger'!$A1913="","",'01_Warehouse_Ledger'!$A1913)</f>
        <v/>
      </c>
    </row>
    <row r="1914">
      <c r="I1914">
        <f>IF(OR($A1914="",$B1914=""),"",IF(COUNTIFS($A$2:$A1914,$A1914,$B$2:$B1914,$B1914)=1,1,0))</f>
        <v/>
      </c>
      <c r="J1914">
        <f>IF($A1914="","",ROW())</f>
        <v/>
      </c>
      <c r="L1914">
        <f>IF('01_Warehouse_Ledger'!$A1914="","",'01_Warehouse_Ledger'!$A1914)</f>
        <v/>
      </c>
    </row>
    <row r="1915">
      <c r="I1915">
        <f>IF(OR($A1915="",$B1915=""),"",IF(COUNTIFS($A$2:$A1915,$A1915,$B$2:$B1915,$B1915)=1,1,0))</f>
        <v/>
      </c>
      <c r="J1915">
        <f>IF($A1915="","",ROW())</f>
        <v/>
      </c>
      <c r="L1915">
        <f>IF('01_Warehouse_Ledger'!$A1915="","",'01_Warehouse_Ledger'!$A1915)</f>
        <v/>
      </c>
    </row>
    <row r="1916">
      <c r="I1916">
        <f>IF(OR($A1916="",$B1916=""),"",IF(COUNTIFS($A$2:$A1916,$A1916,$B$2:$B1916,$B1916)=1,1,0))</f>
        <v/>
      </c>
      <c r="J1916">
        <f>IF($A1916="","",ROW())</f>
        <v/>
      </c>
      <c r="L1916">
        <f>IF('01_Warehouse_Ledger'!$A1916="","",'01_Warehouse_Ledger'!$A1916)</f>
        <v/>
      </c>
    </row>
    <row r="1917">
      <c r="I1917">
        <f>IF(OR($A1917="",$B1917=""),"",IF(COUNTIFS($A$2:$A1917,$A1917,$B$2:$B1917,$B1917)=1,1,0))</f>
        <v/>
      </c>
      <c r="J1917">
        <f>IF($A1917="","",ROW())</f>
        <v/>
      </c>
      <c r="L1917">
        <f>IF('01_Warehouse_Ledger'!$A1917="","",'01_Warehouse_Ledger'!$A1917)</f>
        <v/>
      </c>
    </row>
    <row r="1918">
      <c r="I1918">
        <f>IF(OR($A1918="",$B1918=""),"",IF(COUNTIFS($A$2:$A1918,$A1918,$B$2:$B1918,$B1918)=1,1,0))</f>
        <v/>
      </c>
      <c r="J1918">
        <f>IF($A1918="","",ROW())</f>
        <v/>
      </c>
      <c r="L1918">
        <f>IF('01_Warehouse_Ledger'!$A1918="","",'01_Warehouse_Ledger'!$A1918)</f>
        <v/>
      </c>
    </row>
    <row r="1919">
      <c r="I1919">
        <f>IF(OR($A1919="",$B1919=""),"",IF(COUNTIFS($A$2:$A1919,$A1919,$B$2:$B1919,$B1919)=1,1,0))</f>
        <v/>
      </c>
      <c r="J1919">
        <f>IF($A1919="","",ROW())</f>
        <v/>
      </c>
      <c r="L1919">
        <f>IF('01_Warehouse_Ledger'!$A1919="","",'01_Warehouse_Ledger'!$A1919)</f>
        <v/>
      </c>
    </row>
    <row r="1920">
      <c r="I1920">
        <f>IF(OR($A1920="",$B1920=""),"",IF(COUNTIFS($A$2:$A1920,$A1920,$B$2:$B1920,$B1920)=1,1,0))</f>
        <v/>
      </c>
      <c r="J1920">
        <f>IF($A1920="","",ROW())</f>
        <v/>
      </c>
      <c r="L1920">
        <f>IF('01_Warehouse_Ledger'!$A1920="","",'01_Warehouse_Ledger'!$A1920)</f>
        <v/>
      </c>
    </row>
    <row r="1921">
      <c r="I1921">
        <f>IF(OR($A1921="",$B1921=""),"",IF(COUNTIFS($A$2:$A1921,$A1921,$B$2:$B1921,$B1921)=1,1,0))</f>
        <v/>
      </c>
      <c r="J1921">
        <f>IF($A1921="","",ROW())</f>
        <v/>
      </c>
      <c r="L1921">
        <f>IF('01_Warehouse_Ledger'!$A1921="","",'01_Warehouse_Ledger'!$A1921)</f>
        <v/>
      </c>
    </row>
    <row r="1922">
      <c r="I1922">
        <f>IF(OR($A1922="",$B1922=""),"",IF(COUNTIFS($A$2:$A1922,$A1922,$B$2:$B1922,$B1922)=1,1,0))</f>
        <v/>
      </c>
      <c r="J1922">
        <f>IF($A1922="","",ROW())</f>
        <v/>
      </c>
      <c r="L1922">
        <f>IF('01_Warehouse_Ledger'!$A1922="","",'01_Warehouse_Ledger'!$A1922)</f>
        <v/>
      </c>
    </row>
    <row r="1923">
      <c r="I1923">
        <f>IF(OR($A1923="",$B1923=""),"",IF(COUNTIFS($A$2:$A1923,$A1923,$B$2:$B1923,$B1923)=1,1,0))</f>
        <v/>
      </c>
      <c r="J1923">
        <f>IF($A1923="","",ROW())</f>
        <v/>
      </c>
      <c r="L1923">
        <f>IF('01_Warehouse_Ledger'!$A1923="","",'01_Warehouse_Ledger'!$A1923)</f>
        <v/>
      </c>
    </row>
    <row r="1924">
      <c r="I1924">
        <f>IF(OR($A1924="",$B1924=""),"",IF(COUNTIFS($A$2:$A1924,$A1924,$B$2:$B1924,$B1924)=1,1,0))</f>
        <v/>
      </c>
      <c r="J1924">
        <f>IF($A1924="","",ROW())</f>
        <v/>
      </c>
      <c r="L1924">
        <f>IF('01_Warehouse_Ledger'!$A1924="","",'01_Warehouse_Ledger'!$A1924)</f>
        <v/>
      </c>
    </row>
    <row r="1925">
      <c r="I1925">
        <f>IF(OR($A1925="",$B1925=""),"",IF(COUNTIFS($A$2:$A1925,$A1925,$B$2:$B1925,$B1925)=1,1,0))</f>
        <v/>
      </c>
      <c r="J1925">
        <f>IF($A1925="","",ROW())</f>
        <v/>
      </c>
      <c r="L1925">
        <f>IF('01_Warehouse_Ledger'!$A1925="","",'01_Warehouse_Ledger'!$A1925)</f>
        <v/>
      </c>
    </row>
    <row r="1926">
      <c r="I1926">
        <f>IF(OR($A1926="",$B1926=""),"",IF(COUNTIFS($A$2:$A1926,$A1926,$B$2:$B1926,$B1926)=1,1,0))</f>
        <v/>
      </c>
      <c r="J1926">
        <f>IF($A1926="","",ROW())</f>
        <v/>
      </c>
      <c r="L1926">
        <f>IF('01_Warehouse_Ledger'!$A1926="","",'01_Warehouse_Ledger'!$A1926)</f>
        <v/>
      </c>
    </row>
    <row r="1927">
      <c r="I1927">
        <f>IF(OR($A1927="",$B1927=""),"",IF(COUNTIFS($A$2:$A1927,$A1927,$B$2:$B1927,$B1927)=1,1,0))</f>
        <v/>
      </c>
      <c r="J1927">
        <f>IF($A1927="","",ROW())</f>
        <v/>
      </c>
      <c r="L1927">
        <f>IF('01_Warehouse_Ledger'!$A1927="","",'01_Warehouse_Ledger'!$A1927)</f>
        <v/>
      </c>
    </row>
    <row r="1928">
      <c r="I1928">
        <f>IF(OR($A1928="",$B1928=""),"",IF(COUNTIFS($A$2:$A1928,$A1928,$B$2:$B1928,$B1928)=1,1,0))</f>
        <v/>
      </c>
      <c r="J1928">
        <f>IF($A1928="","",ROW())</f>
        <v/>
      </c>
      <c r="L1928">
        <f>IF('01_Warehouse_Ledger'!$A1928="","",'01_Warehouse_Ledger'!$A1928)</f>
        <v/>
      </c>
    </row>
    <row r="1929">
      <c r="I1929">
        <f>IF(OR($A1929="",$B1929=""),"",IF(COUNTIFS($A$2:$A1929,$A1929,$B$2:$B1929,$B1929)=1,1,0))</f>
        <v/>
      </c>
      <c r="J1929">
        <f>IF($A1929="","",ROW())</f>
        <v/>
      </c>
      <c r="L1929">
        <f>IF('01_Warehouse_Ledger'!$A1929="","",'01_Warehouse_Ledger'!$A1929)</f>
        <v/>
      </c>
    </row>
    <row r="1930">
      <c r="I1930">
        <f>IF(OR($A1930="",$B1930=""),"",IF(COUNTIFS($A$2:$A1930,$A1930,$B$2:$B1930,$B1930)=1,1,0))</f>
        <v/>
      </c>
      <c r="J1930">
        <f>IF($A1930="","",ROW())</f>
        <v/>
      </c>
      <c r="L1930">
        <f>IF('01_Warehouse_Ledger'!$A1930="","",'01_Warehouse_Ledger'!$A1930)</f>
        <v/>
      </c>
    </row>
    <row r="1931">
      <c r="I1931">
        <f>IF(OR($A1931="",$B1931=""),"",IF(COUNTIFS($A$2:$A1931,$A1931,$B$2:$B1931,$B1931)=1,1,0))</f>
        <v/>
      </c>
      <c r="J1931">
        <f>IF($A1931="","",ROW())</f>
        <v/>
      </c>
      <c r="L1931">
        <f>IF('01_Warehouse_Ledger'!$A1931="","",'01_Warehouse_Ledger'!$A1931)</f>
        <v/>
      </c>
    </row>
    <row r="1932">
      <c r="I1932">
        <f>IF(OR($A1932="",$B1932=""),"",IF(COUNTIFS($A$2:$A1932,$A1932,$B$2:$B1932,$B1932)=1,1,0))</f>
        <v/>
      </c>
      <c r="J1932">
        <f>IF($A1932="","",ROW())</f>
        <v/>
      </c>
      <c r="L1932">
        <f>IF('01_Warehouse_Ledger'!$A1932="","",'01_Warehouse_Ledger'!$A1932)</f>
        <v/>
      </c>
    </row>
    <row r="1933">
      <c r="I1933">
        <f>IF(OR($A1933="",$B1933=""),"",IF(COUNTIFS($A$2:$A1933,$A1933,$B$2:$B1933,$B1933)=1,1,0))</f>
        <v/>
      </c>
      <c r="J1933">
        <f>IF($A1933="","",ROW())</f>
        <v/>
      </c>
      <c r="L1933">
        <f>IF('01_Warehouse_Ledger'!$A1933="","",'01_Warehouse_Ledger'!$A1933)</f>
        <v/>
      </c>
    </row>
    <row r="1934">
      <c r="I1934">
        <f>IF(OR($A1934="",$B1934=""),"",IF(COUNTIFS($A$2:$A1934,$A1934,$B$2:$B1934,$B1934)=1,1,0))</f>
        <v/>
      </c>
      <c r="J1934">
        <f>IF($A1934="","",ROW())</f>
        <v/>
      </c>
      <c r="L1934">
        <f>IF('01_Warehouse_Ledger'!$A1934="","",'01_Warehouse_Ledger'!$A1934)</f>
        <v/>
      </c>
    </row>
    <row r="1935">
      <c r="I1935">
        <f>IF(OR($A1935="",$B1935=""),"",IF(COUNTIFS($A$2:$A1935,$A1935,$B$2:$B1935,$B1935)=1,1,0))</f>
        <v/>
      </c>
      <c r="J1935">
        <f>IF($A1935="","",ROW())</f>
        <v/>
      </c>
      <c r="L1935">
        <f>IF('01_Warehouse_Ledger'!$A1935="","",'01_Warehouse_Ledger'!$A1935)</f>
        <v/>
      </c>
    </row>
    <row r="1936">
      <c r="I1936">
        <f>IF(OR($A1936="",$B1936=""),"",IF(COUNTIFS($A$2:$A1936,$A1936,$B$2:$B1936,$B1936)=1,1,0))</f>
        <v/>
      </c>
      <c r="J1936">
        <f>IF($A1936="","",ROW())</f>
        <v/>
      </c>
      <c r="L1936">
        <f>IF('01_Warehouse_Ledger'!$A1936="","",'01_Warehouse_Ledger'!$A1936)</f>
        <v/>
      </c>
    </row>
    <row r="1937">
      <c r="I1937">
        <f>IF(OR($A1937="",$B1937=""),"",IF(COUNTIFS($A$2:$A1937,$A1937,$B$2:$B1937,$B1937)=1,1,0))</f>
        <v/>
      </c>
      <c r="J1937">
        <f>IF($A1937="","",ROW())</f>
        <v/>
      </c>
      <c r="L1937">
        <f>IF('01_Warehouse_Ledger'!$A1937="","",'01_Warehouse_Ledger'!$A1937)</f>
        <v/>
      </c>
    </row>
    <row r="1938">
      <c r="I1938">
        <f>IF(OR($A1938="",$B1938=""),"",IF(COUNTIFS($A$2:$A1938,$A1938,$B$2:$B1938,$B1938)=1,1,0))</f>
        <v/>
      </c>
      <c r="J1938">
        <f>IF($A1938="","",ROW())</f>
        <v/>
      </c>
      <c r="L1938">
        <f>IF('01_Warehouse_Ledger'!$A1938="","",'01_Warehouse_Ledger'!$A1938)</f>
        <v/>
      </c>
    </row>
    <row r="1939">
      <c r="I1939">
        <f>IF(OR($A1939="",$B1939=""),"",IF(COUNTIFS($A$2:$A1939,$A1939,$B$2:$B1939,$B1939)=1,1,0))</f>
        <v/>
      </c>
      <c r="J1939">
        <f>IF($A1939="","",ROW())</f>
        <v/>
      </c>
      <c r="L1939">
        <f>IF('01_Warehouse_Ledger'!$A1939="","",'01_Warehouse_Ledger'!$A1939)</f>
        <v/>
      </c>
    </row>
    <row r="1940">
      <c r="I1940">
        <f>IF(OR($A1940="",$B1940=""),"",IF(COUNTIFS($A$2:$A1940,$A1940,$B$2:$B1940,$B1940)=1,1,0))</f>
        <v/>
      </c>
      <c r="J1940">
        <f>IF($A1940="","",ROW())</f>
        <v/>
      </c>
      <c r="L1940">
        <f>IF('01_Warehouse_Ledger'!$A1940="","",'01_Warehouse_Ledger'!$A1940)</f>
        <v/>
      </c>
    </row>
    <row r="1941">
      <c r="I1941">
        <f>IF(OR($A1941="",$B1941=""),"",IF(COUNTIFS($A$2:$A1941,$A1941,$B$2:$B1941,$B1941)=1,1,0))</f>
        <v/>
      </c>
      <c r="J1941">
        <f>IF($A1941="","",ROW())</f>
        <v/>
      </c>
      <c r="L1941">
        <f>IF('01_Warehouse_Ledger'!$A1941="","",'01_Warehouse_Ledger'!$A1941)</f>
        <v/>
      </c>
    </row>
    <row r="1942">
      <c r="I1942">
        <f>IF(OR($A1942="",$B1942=""),"",IF(COUNTIFS($A$2:$A1942,$A1942,$B$2:$B1942,$B1942)=1,1,0))</f>
        <v/>
      </c>
      <c r="J1942">
        <f>IF($A1942="","",ROW())</f>
        <v/>
      </c>
      <c r="L1942">
        <f>IF('01_Warehouse_Ledger'!$A1942="","",'01_Warehouse_Ledger'!$A1942)</f>
        <v/>
      </c>
    </row>
    <row r="1943">
      <c r="I1943">
        <f>IF(OR($A1943="",$B1943=""),"",IF(COUNTIFS($A$2:$A1943,$A1943,$B$2:$B1943,$B1943)=1,1,0))</f>
        <v/>
      </c>
      <c r="J1943">
        <f>IF($A1943="","",ROW())</f>
        <v/>
      </c>
      <c r="L1943">
        <f>IF('01_Warehouse_Ledger'!$A1943="","",'01_Warehouse_Ledger'!$A1943)</f>
        <v/>
      </c>
    </row>
    <row r="1944">
      <c r="I1944">
        <f>IF(OR($A1944="",$B1944=""),"",IF(COUNTIFS($A$2:$A1944,$A1944,$B$2:$B1944,$B1944)=1,1,0))</f>
        <v/>
      </c>
      <c r="J1944">
        <f>IF($A1944="","",ROW())</f>
        <v/>
      </c>
      <c r="L1944">
        <f>IF('01_Warehouse_Ledger'!$A1944="","",'01_Warehouse_Ledger'!$A1944)</f>
        <v/>
      </c>
    </row>
    <row r="1945">
      <c r="I1945">
        <f>IF(OR($A1945="",$B1945=""),"",IF(COUNTIFS($A$2:$A1945,$A1945,$B$2:$B1945,$B1945)=1,1,0))</f>
        <v/>
      </c>
      <c r="J1945">
        <f>IF($A1945="","",ROW())</f>
        <v/>
      </c>
      <c r="L1945">
        <f>IF('01_Warehouse_Ledger'!$A1945="","",'01_Warehouse_Ledger'!$A1945)</f>
        <v/>
      </c>
    </row>
    <row r="1946">
      <c r="I1946">
        <f>IF(OR($A1946="",$B1946=""),"",IF(COUNTIFS($A$2:$A1946,$A1946,$B$2:$B1946,$B1946)=1,1,0))</f>
        <v/>
      </c>
      <c r="J1946">
        <f>IF($A1946="","",ROW())</f>
        <v/>
      </c>
      <c r="L1946">
        <f>IF('01_Warehouse_Ledger'!$A1946="","",'01_Warehouse_Ledger'!$A1946)</f>
        <v/>
      </c>
    </row>
    <row r="1947">
      <c r="I1947">
        <f>IF(OR($A1947="",$B1947=""),"",IF(COUNTIFS($A$2:$A1947,$A1947,$B$2:$B1947,$B1947)=1,1,0))</f>
        <v/>
      </c>
      <c r="J1947">
        <f>IF($A1947="","",ROW())</f>
        <v/>
      </c>
      <c r="L1947">
        <f>IF('01_Warehouse_Ledger'!$A1947="","",'01_Warehouse_Ledger'!$A1947)</f>
        <v/>
      </c>
    </row>
    <row r="1948">
      <c r="I1948">
        <f>IF(OR($A1948="",$B1948=""),"",IF(COUNTIFS($A$2:$A1948,$A1948,$B$2:$B1948,$B1948)=1,1,0))</f>
        <v/>
      </c>
      <c r="J1948">
        <f>IF($A1948="","",ROW())</f>
        <v/>
      </c>
      <c r="L1948">
        <f>IF('01_Warehouse_Ledger'!$A1948="","",'01_Warehouse_Ledger'!$A1948)</f>
        <v/>
      </c>
    </row>
    <row r="1949">
      <c r="I1949">
        <f>IF(OR($A1949="",$B1949=""),"",IF(COUNTIFS($A$2:$A1949,$A1949,$B$2:$B1949,$B1949)=1,1,0))</f>
        <v/>
      </c>
      <c r="J1949">
        <f>IF($A1949="","",ROW())</f>
        <v/>
      </c>
      <c r="L1949">
        <f>IF('01_Warehouse_Ledger'!$A1949="","",'01_Warehouse_Ledger'!$A1949)</f>
        <v/>
      </c>
    </row>
    <row r="1950">
      <c r="I1950">
        <f>IF(OR($A1950="",$B1950=""),"",IF(COUNTIFS($A$2:$A1950,$A1950,$B$2:$B1950,$B1950)=1,1,0))</f>
        <v/>
      </c>
      <c r="J1950">
        <f>IF($A1950="","",ROW())</f>
        <v/>
      </c>
      <c r="L1950">
        <f>IF('01_Warehouse_Ledger'!$A1950="","",'01_Warehouse_Ledger'!$A1950)</f>
        <v/>
      </c>
    </row>
    <row r="1951">
      <c r="I1951">
        <f>IF(OR($A1951="",$B1951=""),"",IF(COUNTIFS($A$2:$A1951,$A1951,$B$2:$B1951,$B1951)=1,1,0))</f>
        <v/>
      </c>
      <c r="J1951">
        <f>IF($A1951="","",ROW())</f>
        <v/>
      </c>
      <c r="L1951">
        <f>IF('01_Warehouse_Ledger'!$A1951="","",'01_Warehouse_Ledger'!$A1951)</f>
        <v/>
      </c>
    </row>
    <row r="1952">
      <c r="I1952">
        <f>IF(OR($A1952="",$B1952=""),"",IF(COUNTIFS($A$2:$A1952,$A1952,$B$2:$B1952,$B1952)=1,1,0))</f>
        <v/>
      </c>
      <c r="J1952">
        <f>IF($A1952="","",ROW())</f>
        <v/>
      </c>
      <c r="L1952">
        <f>IF('01_Warehouse_Ledger'!$A1952="","",'01_Warehouse_Ledger'!$A1952)</f>
        <v/>
      </c>
    </row>
    <row r="1953">
      <c r="I1953">
        <f>IF(OR($A1953="",$B1953=""),"",IF(COUNTIFS($A$2:$A1953,$A1953,$B$2:$B1953,$B1953)=1,1,0))</f>
        <v/>
      </c>
      <c r="J1953">
        <f>IF($A1953="","",ROW())</f>
        <v/>
      </c>
      <c r="L1953">
        <f>IF('01_Warehouse_Ledger'!$A1953="","",'01_Warehouse_Ledger'!$A1953)</f>
        <v/>
      </c>
    </row>
    <row r="1954">
      <c r="I1954">
        <f>IF(OR($A1954="",$B1954=""),"",IF(COUNTIFS($A$2:$A1954,$A1954,$B$2:$B1954,$B1954)=1,1,0))</f>
        <v/>
      </c>
      <c r="J1954">
        <f>IF($A1954="","",ROW())</f>
        <v/>
      </c>
      <c r="L1954">
        <f>IF('01_Warehouse_Ledger'!$A1954="","",'01_Warehouse_Ledger'!$A1954)</f>
        <v/>
      </c>
    </row>
    <row r="1955">
      <c r="I1955">
        <f>IF(OR($A1955="",$B1955=""),"",IF(COUNTIFS($A$2:$A1955,$A1955,$B$2:$B1955,$B1955)=1,1,0))</f>
        <v/>
      </c>
      <c r="J1955">
        <f>IF($A1955="","",ROW())</f>
        <v/>
      </c>
      <c r="L1955">
        <f>IF('01_Warehouse_Ledger'!$A1955="","",'01_Warehouse_Ledger'!$A1955)</f>
        <v/>
      </c>
    </row>
    <row r="1956">
      <c r="I1956">
        <f>IF(OR($A1956="",$B1956=""),"",IF(COUNTIFS($A$2:$A1956,$A1956,$B$2:$B1956,$B1956)=1,1,0))</f>
        <v/>
      </c>
      <c r="J1956">
        <f>IF($A1956="","",ROW())</f>
        <v/>
      </c>
      <c r="L1956">
        <f>IF('01_Warehouse_Ledger'!$A1956="","",'01_Warehouse_Ledger'!$A1956)</f>
        <v/>
      </c>
    </row>
    <row r="1957">
      <c r="I1957">
        <f>IF(OR($A1957="",$B1957=""),"",IF(COUNTIFS($A$2:$A1957,$A1957,$B$2:$B1957,$B1957)=1,1,0))</f>
        <v/>
      </c>
      <c r="J1957">
        <f>IF($A1957="","",ROW())</f>
        <v/>
      </c>
      <c r="L1957">
        <f>IF('01_Warehouse_Ledger'!$A1957="","",'01_Warehouse_Ledger'!$A1957)</f>
        <v/>
      </c>
    </row>
    <row r="1958">
      <c r="I1958">
        <f>IF(OR($A1958="",$B1958=""),"",IF(COUNTIFS($A$2:$A1958,$A1958,$B$2:$B1958,$B1958)=1,1,0))</f>
        <v/>
      </c>
      <c r="J1958">
        <f>IF($A1958="","",ROW())</f>
        <v/>
      </c>
      <c r="L1958">
        <f>IF('01_Warehouse_Ledger'!$A1958="","",'01_Warehouse_Ledger'!$A1958)</f>
        <v/>
      </c>
    </row>
    <row r="1959">
      <c r="I1959">
        <f>IF(OR($A1959="",$B1959=""),"",IF(COUNTIFS($A$2:$A1959,$A1959,$B$2:$B1959,$B1959)=1,1,0))</f>
        <v/>
      </c>
      <c r="J1959">
        <f>IF($A1959="","",ROW())</f>
        <v/>
      </c>
      <c r="L1959">
        <f>IF('01_Warehouse_Ledger'!$A1959="","",'01_Warehouse_Ledger'!$A1959)</f>
        <v/>
      </c>
    </row>
    <row r="1960">
      <c r="I1960">
        <f>IF(OR($A1960="",$B1960=""),"",IF(COUNTIFS($A$2:$A1960,$A1960,$B$2:$B1960,$B1960)=1,1,0))</f>
        <v/>
      </c>
      <c r="J1960">
        <f>IF($A1960="","",ROW())</f>
        <v/>
      </c>
      <c r="L1960">
        <f>IF('01_Warehouse_Ledger'!$A1960="","",'01_Warehouse_Ledger'!$A1960)</f>
        <v/>
      </c>
    </row>
    <row r="1961">
      <c r="I1961">
        <f>IF(OR($A1961="",$B1961=""),"",IF(COUNTIFS($A$2:$A1961,$A1961,$B$2:$B1961,$B1961)=1,1,0))</f>
        <v/>
      </c>
      <c r="J1961">
        <f>IF($A1961="","",ROW())</f>
        <v/>
      </c>
      <c r="L1961">
        <f>IF('01_Warehouse_Ledger'!$A1961="","",'01_Warehouse_Ledger'!$A1961)</f>
        <v/>
      </c>
    </row>
    <row r="1962">
      <c r="I1962">
        <f>IF(OR($A1962="",$B1962=""),"",IF(COUNTIFS($A$2:$A1962,$A1962,$B$2:$B1962,$B1962)=1,1,0))</f>
        <v/>
      </c>
      <c r="J1962">
        <f>IF($A1962="","",ROW())</f>
        <v/>
      </c>
      <c r="L1962">
        <f>IF('01_Warehouse_Ledger'!$A1962="","",'01_Warehouse_Ledger'!$A1962)</f>
        <v/>
      </c>
    </row>
    <row r="1963">
      <c r="I1963">
        <f>IF(OR($A1963="",$B1963=""),"",IF(COUNTIFS($A$2:$A1963,$A1963,$B$2:$B1963,$B1963)=1,1,0))</f>
        <v/>
      </c>
      <c r="J1963">
        <f>IF($A1963="","",ROW())</f>
        <v/>
      </c>
      <c r="L1963">
        <f>IF('01_Warehouse_Ledger'!$A1963="","",'01_Warehouse_Ledger'!$A1963)</f>
        <v/>
      </c>
    </row>
    <row r="1964">
      <c r="I1964">
        <f>IF(OR($A1964="",$B1964=""),"",IF(COUNTIFS($A$2:$A1964,$A1964,$B$2:$B1964,$B1964)=1,1,0))</f>
        <v/>
      </c>
      <c r="J1964">
        <f>IF($A1964="","",ROW())</f>
        <v/>
      </c>
      <c r="L1964">
        <f>IF('01_Warehouse_Ledger'!$A1964="","",'01_Warehouse_Ledger'!$A1964)</f>
        <v/>
      </c>
    </row>
    <row r="1965">
      <c r="I1965">
        <f>IF(OR($A1965="",$B1965=""),"",IF(COUNTIFS($A$2:$A1965,$A1965,$B$2:$B1965,$B1965)=1,1,0))</f>
        <v/>
      </c>
      <c r="J1965">
        <f>IF($A1965="","",ROW())</f>
        <v/>
      </c>
      <c r="L1965">
        <f>IF('01_Warehouse_Ledger'!$A1965="","",'01_Warehouse_Ledger'!$A1965)</f>
        <v/>
      </c>
    </row>
    <row r="1966">
      <c r="I1966">
        <f>IF(OR($A1966="",$B1966=""),"",IF(COUNTIFS($A$2:$A1966,$A1966,$B$2:$B1966,$B1966)=1,1,0))</f>
        <v/>
      </c>
      <c r="J1966">
        <f>IF($A1966="","",ROW())</f>
        <v/>
      </c>
      <c r="L1966">
        <f>IF('01_Warehouse_Ledger'!$A1966="","",'01_Warehouse_Ledger'!$A1966)</f>
        <v/>
      </c>
    </row>
    <row r="1967">
      <c r="I1967">
        <f>IF(OR($A1967="",$B1967=""),"",IF(COUNTIFS($A$2:$A1967,$A1967,$B$2:$B1967,$B1967)=1,1,0))</f>
        <v/>
      </c>
      <c r="J1967">
        <f>IF($A1967="","",ROW())</f>
        <v/>
      </c>
      <c r="L1967">
        <f>IF('01_Warehouse_Ledger'!$A1967="","",'01_Warehouse_Ledger'!$A1967)</f>
        <v/>
      </c>
    </row>
    <row r="1968">
      <c r="I1968">
        <f>IF(OR($A1968="",$B1968=""),"",IF(COUNTIFS($A$2:$A1968,$A1968,$B$2:$B1968,$B1968)=1,1,0))</f>
        <v/>
      </c>
      <c r="J1968">
        <f>IF($A1968="","",ROW())</f>
        <v/>
      </c>
      <c r="L1968">
        <f>IF('01_Warehouse_Ledger'!$A1968="","",'01_Warehouse_Ledger'!$A1968)</f>
        <v/>
      </c>
    </row>
    <row r="1969">
      <c r="I1969">
        <f>IF(OR($A1969="",$B1969=""),"",IF(COUNTIFS($A$2:$A1969,$A1969,$B$2:$B1969,$B1969)=1,1,0))</f>
        <v/>
      </c>
      <c r="J1969">
        <f>IF($A1969="","",ROW())</f>
        <v/>
      </c>
      <c r="L1969">
        <f>IF('01_Warehouse_Ledger'!$A1969="","",'01_Warehouse_Ledger'!$A1969)</f>
        <v/>
      </c>
    </row>
    <row r="1970">
      <c r="I1970">
        <f>IF(OR($A1970="",$B1970=""),"",IF(COUNTIFS($A$2:$A1970,$A1970,$B$2:$B1970,$B1970)=1,1,0))</f>
        <v/>
      </c>
      <c r="J1970">
        <f>IF($A1970="","",ROW())</f>
        <v/>
      </c>
      <c r="L1970">
        <f>IF('01_Warehouse_Ledger'!$A1970="","",'01_Warehouse_Ledger'!$A1970)</f>
        <v/>
      </c>
    </row>
    <row r="1971">
      <c r="I1971">
        <f>IF(OR($A1971="",$B1971=""),"",IF(COUNTIFS($A$2:$A1971,$A1971,$B$2:$B1971,$B1971)=1,1,0))</f>
        <v/>
      </c>
      <c r="J1971">
        <f>IF($A1971="","",ROW())</f>
        <v/>
      </c>
      <c r="L1971">
        <f>IF('01_Warehouse_Ledger'!$A1971="","",'01_Warehouse_Ledger'!$A1971)</f>
        <v/>
      </c>
    </row>
    <row r="1972">
      <c r="I1972">
        <f>IF(OR($A1972="",$B1972=""),"",IF(COUNTIFS($A$2:$A1972,$A1972,$B$2:$B1972,$B1972)=1,1,0))</f>
        <v/>
      </c>
      <c r="J1972">
        <f>IF($A1972="","",ROW())</f>
        <v/>
      </c>
      <c r="L1972">
        <f>IF('01_Warehouse_Ledger'!$A1972="","",'01_Warehouse_Ledger'!$A1972)</f>
        <v/>
      </c>
    </row>
    <row r="1973">
      <c r="I1973">
        <f>IF(OR($A1973="",$B1973=""),"",IF(COUNTIFS($A$2:$A1973,$A1973,$B$2:$B1973,$B1973)=1,1,0))</f>
        <v/>
      </c>
      <c r="J1973">
        <f>IF($A1973="","",ROW())</f>
        <v/>
      </c>
      <c r="L1973">
        <f>IF('01_Warehouse_Ledger'!$A1973="","",'01_Warehouse_Ledger'!$A1973)</f>
        <v/>
      </c>
    </row>
    <row r="1974">
      <c r="I1974">
        <f>IF(OR($A1974="",$B1974=""),"",IF(COUNTIFS($A$2:$A1974,$A1974,$B$2:$B1974,$B1974)=1,1,0))</f>
        <v/>
      </c>
      <c r="J1974">
        <f>IF($A1974="","",ROW())</f>
        <v/>
      </c>
      <c r="L1974">
        <f>IF('01_Warehouse_Ledger'!$A1974="","",'01_Warehouse_Ledger'!$A1974)</f>
        <v/>
      </c>
    </row>
    <row r="1975">
      <c r="I1975">
        <f>IF(OR($A1975="",$B1975=""),"",IF(COUNTIFS($A$2:$A1975,$A1975,$B$2:$B1975,$B1975)=1,1,0))</f>
        <v/>
      </c>
      <c r="J1975">
        <f>IF($A1975="","",ROW())</f>
        <v/>
      </c>
      <c r="L1975">
        <f>IF('01_Warehouse_Ledger'!$A1975="","",'01_Warehouse_Ledger'!$A1975)</f>
        <v/>
      </c>
    </row>
    <row r="1976">
      <c r="I1976">
        <f>IF(OR($A1976="",$B1976=""),"",IF(COUNTIFS($A$2:$A1976,$A1976,$B$2:$B1976,$B1976)=1,1,0))</f>
        <v/>
      </c>
      <c r="J1976">
        <f>IF($A1976="","",ROW())</f>
        <v/>
      </c>
      <c r="L1976">
        <f>IF('01_Warehouse_Ledger'!$A1976="","",'01_Warehouse_Ledger'!$A1976)</f>
        <v/>
      </c>
    </row>
    <row r="1977">
      <c r="I1977">
        <f>IF(OR($A1977="",$B1977=""),"",IF(COUNTIFS($A$2:$A1977,$A1977,$B$2:$B1977,$B1977)=1,1,0))</f>
        <v/>
      </c>
      <c r="J1977">
        <f>IF($A1977="","",ROW())</f>
        <v/>
      </c>
      <c r="L1977">
        <f>IF('01_Warehouse_Ledger'!$A1977="","",'01_Warehouse_Ledger'!$A1977)</f>
        <v/>
      </c>
    </row>
    <row r="1978">
      <c r="I1978">
        <f>IF(OR($A1978="",$B1978=""),"",IF(COUNTIFS($A$2:$A1978,$A1978,$B$2:$B1978,$B1978)=1,1,0))</f>
        <v/>
      </c>
      <c r="J1978">
        <f>IF($A1978="","",ROW())</f>
        <v/>
      </c>
      <c r="L1978">
        <f>IF('01_Warehouse_Ledger'!$A1978="","",'01_Warehouse_Ledger'!$A1978)</f>
        <v/>
      </c>
    </row>
    <row r="1979">
      <c r="I1979">
        <f>IF(OR($A1979="",$B1979=""),"",IF(COUNTIFS($A$2:$A1979,$A1979,$B$2:$B1979,$B1979)=1,1,0))</f>
        <v/>
      </c>
      <c r="J1979">
        <f>IF($A1979="","",ROW())</f>
        <v/>
      </c>
      <c r="L1979">
        <f>IF('01_Warehouse_Ledger'!$A1979="","",'01_Warehouse_Ledger'!$A1979)</f>
        <v/>
      </c>
    </row>
    <row r="1980">
      <c r="I1980">
        <f>IF(OR($A1980="",$B1980=""),"",IF(COUNTIFS($A$2:$A1980,$A1980,$B$2:$B1980,$B1980)=1,1,0))</f>
        <v/>
      </c>
      <c r="J1980">
        <f>IF($A1980="","",ROW())</f>
        <v/>
      </c>
      <c r="L1980">
        <f>IF('01_Warehouse_Ledger'!$A1980="","",'01_Warehouse_Ledger'!$A1980)</f>
        <v/>
      </c>
    </row>
    <row r="1981">
      <c r="I1981">
        <f>IF(OR($A1981="",$B1981=""),"",IF(COUNTIFS($A$2:$A1981,$A1981,$B$2:$B1981,$B1981)=1,1,0))</f>
        <v/>
      </c>
      <c r="J1981">
        <f>IF($A1981="","",ROW())</f>
        <v/>
      </c>
      <c r="L1981">
        <f>IF('01_Warehouse_Ledger'!$A1981="","",'01_Warehouse_Ledger'!$A1981)</f>
        <v/>
      </c>
    </row>
    <row r="1982">
      <c r="I1982">
        <f>IF(OR($A1982="",$B1982=""),"",IF(COUNTIFS($A$2:$A1982,$A1982,$B$2:$B1982,$B1982)=1,1,0))</f>
        <v/>
      </c>
      <c r="J1982">
        <f>IF($A1982="","",ROW())</f>
        <v/>
      </c>
      <c r="L1982">
        <f>IF('01_Warehouse_Ledger'!$A1982="","",'01_Warehouse_Ledger'!$A1982)</f>
        <v/>
      </c>
    </row>
    <row r="1983">
      <c r="I1983">
        <f>IF(OR($A1983="",$B1983=""),"",IF(COUNTIFS($A$2:$A1983,$A1983,$B$2:$B1983,$B1983)=1,1,0))</f>
        <v/>
      </c>
      <c r="J1983">
        <f>IF($A1983="","",ROW())</f>
        <v/>
      </c>
      <c r="L1983">
        <f>IF('01_Warehouse_Ledger'!$A1983="","",'01_Warehouse_Ledger'!$A1983)</f>
        <v/>
      </c>
    </row>
    <row r="1984">
      <c r="I1984">
        <f>IF(OR($A1984="",$B1984=""),"",IF(COUNTIFS($A$2:$A1984,$A1984,$B$2:$B1984,$B1984)=1,1,0))</f>
        <v/>
      </c>
      <c r="J1984">
        <f>IF($A1984="","",ROW())</f>
        <v/>
      </c>
      <c r="L1984">
        <f>IF('01_Warehouse_Ledger'!$A1984="","",'01_Warehouse_Ledger'!$A1984)</f>
        <v/>
      </c>
    </row>
    <row r="1985">
      <c r="I1985">
        <f>IF(OR($A1985="",$B1985=""),"",IF(COUNTIFS($A$2:$A1985,$A1985,$B$2:$B1985,$B1985)=1,1,0))</f>
        <v/>
      </c>
      <c r="J1985">
        <f>IF($A1985="","",ROW())</f>
        <v/>
      </c>
      <c r="L1985">
        <f>IF('01_Warehouse_Ledger'!$A1985="","",'01_Warehouse_Ledger'!$A1985)</f>
        <v/>
      </c>
    </row>
    <row r="1986">
      <c r="I1986">
        <f>IF(OR($A1986="",$B1986=""),"",IF(COUNTIFS($A$2:$A1986,$A1986,$B$2:$B1986,$B1986)=1,1,0))</f>
        <v/>
      </c>
      <c r="J1986">
        <f>IF($A1986="","",ROW())</f>
        <v/>
      </c>
      <c r="L1986">
        <f>IF('01_Warehouse_Ledger'!$A1986="","",'01_Warehouse_Ledger'!$A1986)</f>
        <v/>
      </c>
    </row>
    <row r="1987">
      <c r="I1987">
        <f>IF(OR($A1987="",$B1987=""),"",IF(COUNTIFS($A$2:$A1987,$A1987,$B$2:$B1987,$B1987)=1,1,0))</f>
        <v/>
      </c>
      <c r="J1987">
        <f>IF($A1987="","",ROW())</f>
        <v/>
      </c>
      <c r="L1987">
        <f>IF('01_Warehouse_Ledger'!$A1987="","",'01_Warehouse_Ledger'!$A1987)</f>
        <v/>
      </c>
    </row>
    <row r="1988">
      <c r="I1988">
        <f>IF(OR($A1988="",$B1988=""),"",IF(COUNTIFS($A$2:$A1988,$A1988,$B$2:$B1988,$B1988)=1,1,0))</f>
        <v/>
      </c>
      <c r="J1988">
        <f>IF($A1988="","",ROW())</f>
        <v/>
      </c>
      <c r="L1988">
        <f>IF('01_Warehouse_Ledger'!$A1988="","",'01_Warehouse_Ledger'!$A1988)</f>
        <v/>
      </c>
    </row>
    <row r="1989">
      <c r="I1989">
        <f>IF(OR($A1989="",$B1989=""),"",IF(COUNTIFS($A$2:$A1989,$A1989,$B$2:$B1989,$B1989)=1,1,0))</f>
        <v/>
      </c>
      <c r="J1989">
        <f>IF($A1989="","",ROW())</f>
        <v/>
      </c>
      <c r="L1989">
        <f>IF('01_Warehouse_Ledger'!$A1989="","",'01_Warehouse_Ledger'!$A1989)</f>
        <v/>
      </c>
    </row>
    <row r="1990">
      <c r="I1990">
        <f>IF(OR($A1990="",$B1990=""),"",IF(COUNTIFS($A$2:$A1990,$A1990,$B$2:$B1990,$B1990)=1,1,0))</f>
        <v/>
      </c>
      <c r="J1990">
        <f>IF($A1990="","",ROW())</f>
        <v/>
      </c>
      <c r="L1990">
        <f>IF('01_Warehouse_Ledger'!$A1990="","",'01_Warehouse_Ledger'!$A1990)</f>
        <v/>
      </c>
    </row>
    <row r="1991">
      <c r="I1991">
        <f>IF(OR($A1991="",$B1991=""),"",IF(COUNTIFS($A$2:$A1991,$A1991,$B$2:$B1991,$B1991)=1,1,0))</f>
        <v/>
      </c>
      <c r="J1991">
        <f>IF($A1991="","",ROW())</f>
        <v/>
      </c>
      <c r="L1991">
        <f>IF('01_Warehouse_Ledger'!$A1991="","",'01_Warehouse_Ledger'!$A1991)</f>
        <v/>
      </c>
    </row>
    <row r="1992">
      <c r="I1992">
        <f>IF(OR($A1992="",$B1992=""),"",IF(COUNTIFS($A$2:$A1992,$A1992,$B$2:$B1992,$B1992)=1,1,0))</f>
        <v/>
      </c>
      <c r="J1992">
        <f>IF($A1992="","",ROW())</f>
        <v/>
      </c>
      <c r="L1992">
        <f>IF('01_Warehouse_Ledger'!$A1992="","",'01_Warehouse_Ledger'!$A1992)</f>
        <v/>
      </c>
    </row>
    <row r="1993">
      <c r="I1993">
        <f>IF(OR($A1993="",$B1993=""),"",IF(COUNTIFS($A$2:$A1993,$A1993,$B$2:$B1993,$B1993)=1,1,0))</f>
        <v/>
      </c>
      <c r="J1993">
        <f>IF($A1993="","",ROW())</f>
        <v/>
      </c>
      <c r="L1993">
        <f>IF('01_Warehouse_Ledger'!$A1993="","",'01_Warehouse_Ledger'!$A1993)</f>
        <v/>
      </c>
    </row>
    <row r="1994">
      <c r="I1994">
        <f>IF(OR($A1994="",$B1994=""),"",IF(COUNTIFS($A$2:$A1994,$A1994,$B$2:$B1994,$B1994)=1,1,0))</f>
        <v/>
      </c>
      <c r="J1994">
        <f>IF($A1994="","",ROW())</f>
        <v/>
      </c>
      <c r="L1994">
        <f>IF('01_Warehouse_Ledger'!$A1994="","",'01_Warehouse_Ledger'!$A1994)</f>
        <v/>
      </c>
    </row>
    <row r="1995">
      <c r="I1995">
        <f>IF(OR($A1995="",$B1995=""),"",IF(COUNTIFS($A$2:$A1995,$A1995,$B$2:$B1995,$B1995)=1,1,0))</f>
        <v/>
      </c>
      <c r="J1995">
        <f>IF($A1995="","",ROW())</f>
        <v/>
      </c>
      <c r="L1995">
        <f>IF('01_Warehouse_Ledger'!$A1995="","",'01_Warehouse_Ledger'!$A1995)</f>
        <v/>
      </c>
    </row>
    <row r="1996">
      <c r="I1996">
        <f>IF(OR($A1996="",$B1996=""),"",IF(COUNTIFS($A$2:$A1996,$A1996,$B$2:$B1996,$B1996)=1,1,0))</f>
        <v/>
      </c>
      <c r="J1996">
        <f>IF($A1996="","",ROW())</f>
        <v/>
      </c>
      <c r="L1996">
        <f>IF('01_Warehouse_Ledger'!$A1996="","",'01_Warehouse_Ledger'!$A1996)</f>
        <v/>
      </c>
    </row>
    <row r="1997">
      <c r="I1997">
        <f>IF(OR($A1997="",$B1997=""),"",IF(COUNTIFS($A$2:$A1997,$A1997,$B$2:$B1997,$B1997)=1,1,0))</f>
        <v/>
      </c>
      <c r="J1997">
        <f>IF($A1997="","",ROW())</f>
        <v/>
      </c>
      <c r="L1997">
        <f>IF('01_Warehouse_Ledger'!$A1997="","",'01_Warehouse_Ledger'!$A1997)</f>
        <v/>
      </c>
    </row>
    <row r="1998">
      <c r="I1998">
        <f>IF(OR($A1998="",$B1998=""),"",IF(COUNTIFS($A$2:$A1998,$A1998,$B$2:$B1998,$B1998)=1,1,0))</f>
        <v/>
      </c>
      <c r="J1998">
        <f>IF($A1998="","",ROW())</f>
        <v/>
      </c>
      <c r="L1998">
        <f>IF('01_Warehouse_Ledger'!$A1998="","",'01_Warehouse_Ledger'!$A1998)</f>
        <v/>
      </c>
    </row>
    <row r="1999">
      <c r="I1999">
        <f>IF(OR($A1999="",$B1999=""),"",IF(COUNTIFS($A$2:$A1999,$A1999,$B$2:$B1999,$B1999)=1,1,0))</f>
        <v/>
      </c>
      <c r="J1999">
        <f>IF($A1999="","",ROW())</f>
        <v/>
      </c>
      <c r="L1999">
        <f>IF('01_Warehouse_Ledger'!$A1999="","",'01_Warehouse_Ledger'!$A1999)</f>
        <v/>
      </c>
    </row>
    <row r="2000">
      <c r="I2000">
        <f>IF(OR($A2000="",$B2000=""),"",IF(COUNTIFS($A$2:$A2000,$A2000,$B$2:$B2000,$B2000)=1,1,0))</f>
        <v/>
      </c>
      <c r="J2000">
        <f>IF($A2000="","",ROW())</f>
        <v/>
      </c>
      <c r="L2000">
        <f>IF('01_Warehouse_Ledger'!$A2000="","",'01_Warehouse_Ledger'!$A2000)</f>
        <v/>
      </c>
    </row>
    <row r="2001">
      <c r="I2001">
        <f>IF(OR($A2001="",$B2001=""),"",IF(COUNTIFS($A$2:$A2001,$A2001,$B$2:$B2001,$B2001)=1,1,0))</f>
        <v/>
      </c>
      <c r="J2001">
        <f>IF($A2001="","",ROW())</f>
        <v/>
      </c>
      <c r="L2001">
        <f>IF('01_Warehouse_Ledger'!$A2001="","",'01_Warehouse_Ledger'!$A2001)</f>
        <v/>
      </c>
    </row>
    <row r="2002">
      <c r="I2002">
        <f>IF(OR($A2002="",$B2002=""),"",IF(COUNTIFS($A$2:$A2002,$A2002,$B$2:$B2002,$B2002)=1,1,0))</f>
        <v/>
      </c>
      <c r="J2002">
        <f>IF($A2002="","",ROW())</f>
        <v/>
      </c>
    </row>
    <row r="2003">
      <c r="I2003">
        <f>IF(OR($A2003="",$B2003=""),"",IF(COUNTIFS($A$2:$A2003,$A2003,$B$2:$B2003,$B2003)=1,1,0))</f>
        <v/>
      </c>
      <c r="J2003">
        <f>IF($A2003="","",ROW())</f>
        <v/>
      </c>
    </row>
    <row r="2004">
      <c r="I2004">
        <f>IF(OR($A2004="",$B2004=""),"",IF(COUNTIFS($A$2:$A2004,$A2004,$B$2:$B2004,$B2004)=1,1,0))</f>
        <v/>
      </c>
      <c r="J2004">
        <f>IF($A2004="","",ROW())</f>
        <v/>
      </c>
    </row>
    <row r="2005">
      <c r="I2005">
        <f>IF(OR($A2005="",$B2005=""),"",IF(COUNTIFS($A$2:$A2005,$A2005,$B$2:$B2005,$B2005)=1,1,0))</f>
        <v/>
      </c>
      <c r="J2005">
        <f>IF($A2005="","",ROW())</f>
        <v/>
      </c>
    </row>
    <row r="2006">
      <c r="I2006">
        <f>IF(OR($A2006="",$B2006=""),"",IF(COUNTIFS($A$2:$A2006,$A2006,$B$2:$B2006,$B2006)=1,1,0))</f>
        <v/>
      </c>
      <c r="J2006">
        <f>IF($A2006="","",ROW())</f>
        <v/>
      </c>
    </row>
    <row r="2007">
      <c r="I2007">
        <f>IF(OR($A2007="",$B2007=""),"",IF(COUNTIFS($A$2:$A2007,$A2007,$B$2:$B2007,$B2007)=1,1,0))</f>
        <v/>
      </c>
      <c r="J2007">
        <f>IF($A2007="","",ROW())</f>
        <v/>
      </c>
    </row>
    <row r="2008">
      <c r="I2008">
        <f>IF(OR($A2008="",$B2008=""),"",IF(COUNTIFS($A$2:$A2008,$A2008,$B$2:$B2008,$B2008)=1,1,0))</f>
        <v/>
      </c>
      <c r="J2008">
        <f>IF($A2008="","",ROW())</f>
        <v/>
      </c>
    </row>
    <row r="2009">
      <c r="I2009">
        <f>IF(OR($A2009="",$B2009=""),"",IF(COUNTIFS($A$2:$A2009,$A2009,$B$2:$B2009,$B2009)=1,1,0))</f>
        <v/>
      </c>
      <c r="J2009">
        <f>IF($A2009="","",ROW())</f>
        <v/>
      </c>
    </row>
    <row r="2010">
      <c r="I2010">
        <f>IF(OR($A2010="",$B2010=""),"",IF(COUNTIFS($A$2:$A2010,$A2010,$B$2:$B2010,$B2010)=1,1,0))</f>
        <v/>
      </c>
      <c r="J2010">
        <f>IF($A2010="","",ROW())</f>
        <v/>
      </c>
    </row>
    <row r="2011">
      <c r="I2011">
        <f>IF(OR($A2011="",$B2011=""),"",IF(COUNTIFS($A$2:$A2011,$A2011,$B$2:$B2011,$B2011)=1,1,0))</f>
        <v/>
      </c>
      <c r="J2011">
        <f>IF($A2011="","",ROW())</f>
        <v/>
      </c>
    </row>
    <row r="2012">
      <c r="I2012">
        <f>IF(OR($A2012="",$B2012=""),"",IF(COUNTIFS($A$2:$A2012,$A2012,$B$2:$B2012,$B2012)=1,1,0))</f>
        <v/>
      </c>
      <c r="J2012">
        <f>IF($A2012="","",ROW())</f>
        <v/>
      </c>
    </row>
    <row r="2013">
      <c r="I2013">
        <f>IF(OR($A2013="",$B2013=""),"",IF(COUNTIFS($A$2:$A2013,$A2013,$B$2:$B2013,$B2013)=1,1,0))</f>
        <v/>
      </c>
      <c r="J2013">
        <f>IF($A2013="","",ROW())</f>
        <v/>
      </c>
    </row>
    <row r="2014">
      <c r="I2014">
        <f>IF(OR($A2014="",$B2014=""),"",IF(COUNTIFS($A$2:$A2014,$A2014,$B$2:$B2014,$B2014)=1,1,0))</f>
        <v/>
      </c>
      <c r="J2014">
        <f>IF($A2014="","",ROW())</f>
        <v/>
      </c>
    </row>
    <row r="2015">
      <c r="I2015">
        <f>IF(OR($A2015="",$B2015=""),"",IF(COUNTIFS($A$2:$A2015,$A2015,$B$2:$B2015,$B2015)=1,1,0))</f>
        <v/>
      </c>
      <c r="J2015">
        <f>IF($A2015="","",ROW())</f>
        <v/>
      </c>
    </row>
    <row r="2016">
      <c r="I2016">
        <f>IF(OR($A2016="",$B2016=""),"",IF(COUNTIFS($A$2:$A2016,$A2016,$B$2:$B2016,$B2016)=1,1,0))</f>
        <v/>
      </c>
      <c r="J2016">
        <f>IF($A2016="","",ROW())</f>
        <v/>
      </c>
    </row>
    <row r="2017">
      <c r="I2017">
        <f>IF(OR($A2017="",$B2017=""),"",IF(COUNTIFS($A$2:$A2017,$A2017,$B$2:$B2017,$B2017)=1,1,0))</f>
        <v/>
      </c>
      <c r="J2017">
        <f>IF($A2017="","",ROW())</f>
        <v/>
      </c>
    </row>
    <row r="2018">
      <c r="I2018">
        <f>IF(OR($A2018="",$B2018=""),"",IF(COUNTIFS($A$2:$A2018,$A2018,$B$2:$B2018,$B2018)=1,1,0))</f>
        <v/>
      </c>
      <c r="J2018">
        <f>IF($A2018="","",ROW())</f>
        <v/>
      </c>
    </row>
    <row r="2019">
      <c r="I2019">
        <f>IF(OR($A2019="",$B2019=""),"",IF(COUNTIFS($A$2:$A2019,$A2019,$B$2:$B2019,$B2019)=1,1,0))</f>
        <v/>
      </c>
      <c r="J2019">
        <f>IF($A2019="","",ROW())</f>
        <v/>
      </c>
    </row>
    <row r="2020">
      <c r="I2020">
        <f>IF(OR($A2020="",$B2020=""),"",IF(COUNTIFS($A$2:$A2020,$A2020,$B$2:$B2020,$B2020)=1,1,0))</f>
        <v/>
      </c>
      <c r="J2020">
        <f>IF($A2020="","",ROW())</f>
        <v/>
      </c>
    </row>
    <row r="2021">
      <c r="I2021">
        <f>IF(OR($A2021="",$B2021=""),"",IF(COUNTIFS($A$2:$A2021,$A2021,$B$2:$B2021,$B2021)=1,1,0))</f>
        <v/>
      </c>
      <c r="J2021">
        <f>IF($A2021="","",ROW())</f>
        <v/>
      </c>
    </row>
    <row r="2022">
      <c r="I2022">
        <f>IF(OR($A2022="",$B2022=""),"",IF(COUNTIFS($A$2:$A2022,$A2022,$B$2:$B2022,$B2022)=1,1,0))</f>
        <v/>
      </c>
      <c r="J2022">
        <f>IF($A2022="","",ROW())</f>
        <v/>
      </c>
    </row>
    <row r="2023">
      <c r="I2023">
        <f>IF(OR($A2023="",$B2023=""),"",IF(COUNTIFS($A$2:$A2023,$A2023,$B$2:$B2023,$B2023)=1,1,0))</f>
        <v/>
      </c>
      <c r="J2023">
        <f>IF($A2023="","",ROW())</f>
        <v/>
      </c>
    </row>
    <row r="2024">
      <c r="I2024">
        <f>IF(OR($A2024="",$B2024=""),"",IF(COUNTIFS($A$2:$A2024,$A2024,$B$2:$B2024,$B2024)=1,1,0))</f>
        <v/>
      </c>
      <c r="J2024">
        <f>IF($A2024="","",ROW())</f>
        <v/>
      </c>
    </row>
    <row r="2025">
      <c r="I2025">
        <f>IF(OR($A2025="",$B2025=""),"",IF(COUNTIFS($A$2:$A2025,$A2025,$B$2:$B2025,$B2025)=1,1,0))</f>
        <v/>
      </c>
      <c r="J2025">
        <f>IF($A2025="","",ROW())</f>
        <v/>
      </c>
    </row>
    <row r="2026">
      <c r="I2026">
        <f>IF(OR($A2026="",$B2026=""),"",IF(COUNTIFS($A$2:$A2026,$A2026,$B$2:$B2026,$B2026)=1,1,0))</f>
        <v/>
      </c>
      <c r="J2026">
        <f>IF($A2026="","",ROW())</f>
        <v/>
      </c>
    </row>
    <row r="2027">
      <c r="I2027">
        <f>IF(OR($A2027="",$B2027=""),"",IF(COUNTIFS($A$2:$A2027,$A2027,$B$2:$B2027,$B2027)=1,1,0))</f>
        <v/>
      </c>
      <c r="J2027">
        <f>IF($A2027="","",ROW())</f>
        <v/>
      </c>
    </row>
    <row r="2028">
      <c r="I2028">
        <f>IF(OR($A2028="",$B2028=""),"",IF(COUNTIFS($A$2:$A2028,$A2028,$B$2:$B2028,$B2028)=1,1,0))</f>
        <v/>
      </c>
      <c r="J2028">
        <f>IF($A2028="","",ROW())</f>
        <v/>
      </c>
    </row>
    <row r="2029">
      <c r="I2029">
        <f>IF(OR($A2029="",$B2029=""),"",IF(COUNTIFS($A$2:$A2029,$A2029,$B$2:$B2029,$B2029)=1,1,0))</f>
        <v/>
      </c>
      <c r="J2029">
        <f>IF($A2029="","",ROW())</f>
        <v/>
      </c>
    </row>
    <row r="2030">
      <c r="I2030">
        <f>IF(OR($A2030="",$B2030=""),"",IF(COUNTIFS($A$2:$A2030,$A2030,$B$2:$B2030,$B2030)=1,1,0))</f>
        <v/>
      </c>
      <c r="J2030">
        <f>IF($A2030="","",ROW())</f>
        <v/>
      </c>
    </row>
    <row r="2031">
      <c r="I2031">
        <f>IF(OR($A2031="",$B2031=""),"",IF(COUNTIFS($A$2:$A2031,$A2031,$B$2:$B2031,$B2031)=1,1,0))</f>
        <v/>
      </c>
      <c r="J2031">
        <f>IF($A2031="","",ROW())</f>
        <v/>
      </c>
    </row>
    <row r="2032">
      <c r="I2032">
        <f>IF(OR($A2032="",$B2032=""),"",IF(COUNTIFS($A$2:$A2032,$A2032,$B$2:$B2032,$B2032)=1,1,0))</f>
        <v/>
      </c>
      <c r="J2032">
        <f>IF($A2032="","",ROW())</f>
        <v/>
      </c>
    </row>
    <row r="2033">
      <c r="I2033">
        <f>IF(OR($A2033="",$B2033=""),"",IF(COUNTIFS($A$2:$A2033,$A2033,$B$2:$B2033,$B2033)=1,1,0))</f>
        <v/>
      </c>
      <c r="J2033">
        <f>IF($A2033="","",ROW())</f>
        <v/>
      </c>
    </row>
    <row r="2034">
      <c r="I2034">
        <f>IF(OR($A2034="",$B2034=""),"",IF(COUNTIFS($A$2:$A2034,$A2034,$B$2:$B2034,$B2034)=1,1,0))</f>
        <v/>
      </c>
      <c r="J2034">
        <f>IF($A2034="","",ROW())</f>
        <v/>
      </c>
    </row>
    <row r="2035">
      <c r="I2035">
        <f>IF(OR($A2035="",$B2035=""),"",IF(COUNTIFS($A$2:$A2035,$A2035,$B$2:$B2035,$B2035)=1,1,0))</f>
        <v/>
      </c>
      <c r="J2035">
        <f>IF($A2035="","",ROW())</f>
        <v/>
      </c>
    </row>
    <row r="2036">
      <c r="I2036">
        <f>IF(OR($A2036="",$B2036=""),"",IF(COUNTIFS($A$2:$A2036,$A2036,$B$2:$B2036,$B2036)=1,1,0))</f>
        <v/>
      </c>
      <c r="J2036">
        <f>IF($A2036="","",ROW())</f>
        <v/>
      </c>
    </row>
    <row r="2037">
      <c r="I2037">
        <f>IF(OR($A2037="",$B2037=""),"",IF(COUNTIFS($A$2:$A2037,$A2037,$B$2:$B2037,$B2037)=1,1,0))</f>
        <v/>
      </c>
      <c r="J2037">
        <f>IF($A2037="","",ROW())</f>
        <v/>
      </c>
    </row>
    <row r="2038">
      <c r="I2038">
        <f>IF(OR($A2038="",$B2038=""),"",IF(COUNTIFS($A$2:$A2038,$A2038,$B$2:$B2038,$B2038)=1,1,0))</f>
        <v/>
      </c>
      <c r="J2038">
        <f>IF($A2038="","",ROW())</f>
        <v/>
      </c>
    </row>
    <row r="2039">
      <c r="I2039">
        <f>IF(OR($A2039="",$B2039=""),"",IF(COUNTIFS($A$2:$A2039,$A2039,$B$2:$B2039,$B2039)=1,1,0))</f>
        <v/>
      </c>
      <c r="J2039">
        <f>IF($A2039="","",ROW())</f>
        <v/>
      </c>
    </row>
    <row r="2040">
      <c r="I2040">
        <f>IF(OR($A2040="",$B2040=""),"",IF(COUNTIFS($A$2:$A2040,$A2040,$B$2:$B2040,$B2040)=1,1,0))</f>
        <v/>
      </c>
      <c r="J2040">
        <f>IF($A2040="","",ROW())</f>
        <v/>
      </c>
    </row>
    <row r="2041">
      <c r="I2041">
        <f>IF(OR($A2041="",$B2041=""),"",IF(COUNTIFS($A$2:$A2041,$A2041,$B$2:$B2041,$B2041)=1,1,0))</f>
        <v/>
      </c>
      <c r="J2041">
        <f>IF($A2041="","",ROW())</f>
        <v/>
      </c>
    </row>
    <row r="2042">
      <c r="I2042">
        <f>IF(OR($A2042="",$B2042=""),"",IF(COUNTIFS($A$2:$A2042,$A2042,$B$2:$B2042,$B2042)=1,1,0))</f>
        <v/>
      </c>
      <c r="J2042">
        <f>IF($A2042="","",ROW())</f>
        <v/>
      </c>
    </row>
    <row r="2043">
      <c r="I2043">
        <f>IF(OR($A2043="",$B2043=""),"",IF(COUNTIFS($A$2:$A2043,$A2043,$B$2:$B2043,$B2043)=1,1,0))</f>
        <v/>
      </c>
      <c r="J2043">
        <f>IF($A2043="","",ROW())</f>
        <v/>
      </c>
    </row>
    <row r="2044">
      <c r="I2044">
        <f>IF(OR($A2044="",$B2044=""),"",IF(COUNTIFS($A$2:$A2044,$A2044,$B$2:$B2044,$B2044)=1,1,0))</f>
        <v/>
      </c>
      <c r="J2044">
        <f>IF($A2044="","",ROW())</f>
        <v/>
      </c>
    </row>
    <row r="2045">
      <c r="I2045">
        <f>IF(OR($A2045="",$B2045=""),"",IF(COUNTIFS($A$2:$A2045,$A2045,$B$2:$B2045,$B2045)=1,1,0))</f>
        <v/>
      </c>
      <c r="J2045">
        <f>IF($A2045="","",ROW())</f>
        <v/>
      </c>
    </row>
    <row r="2046">
      <c r="I2046">
        <f>IF(OR($A2046="",$B2046=""),"",IF(COUNTIFS($A$2:$A2046,$A2046,$B$2:$B2046,$B2046)=1,1,0))</f>
        <v/>
      </c>
      <c r="J2046">
        <f>IF($A2046="","",ROW())</f>
        <v/>
      </c>
    </row>
    <row r="2047">
      <c r="I2047">
        <f>IF(OR($A2047="",$B2047=""),"",IF(COUNTIFS($A$2:$A2047,$A2047,$B$2:$B2047,$B2047)=1,1,0))</f>
        <v/>
      </c>
      <c r="J2047">
        <f>IF($A2047="","",ROW())</f>
        <v/>
      </c>
    </row>
    <row r="2048">
      <c r="I2048">
        <f>IF(OR($A2048="",$B2048=""),"",IF(COUNTIFS($A$2:$A2048,$A2048,$B$2:$B2048,$B2048)=1,1,0))</f>
        <v/>
      </c>
      <c r="J2048">
        <f>IF($A2048="","",ROW())</f>
        <v/>
      </c>
    </row>
    <row r="2049">
      <c r="I2049">
        <f>IF(OR($A2049="",$B2049=""),"",IF(COUNTIFS($A$2:$A2049,$A2049,$B$2:$B2049,$B2049)=1,1,0))</f>
        <v/>
      </c>
      <c r="J2049">
        <f>IF($A2049="","",ROW())</f>
        <v/>
      </c>
    </row>
    <row r="2050">
      <c r="I2050">
        <f>IF(OR($A2050="",$B2050=""),"",IF(COUNTIFS($A$2:$A2050,$A2050,$B$2:$B2050,$B2050)=1,1,0))</f>
        <v/>
      </c>
      <c r="J2050">
        <f>IF($A2050="","",ROW())</f>
        <v/>
      </c>
    </row>
    <row r="2051">
      <c r="I2051">
        <f>IF(OR($A2051="",$B2051=""),"",IF(COUNTIFS($A$2:$A2051,$A2051,$B$2:$B2051,$B2051)=1,1,0))</f>
        <v/>
      </c>
      <c r="J2051">
        <f>IF($A2051="","",ROW())</f>
        <v/>
      </c>
    </row>
    <row r="2052">
      <c r="I2052">
        <f>IF(OR($A2052="",$B2052=""),"",IF(COUNTIFS($A$2:$A2052,$A2052,$B$2:$B2052,$B2052)=1,1,0))</f>
        <v/>
      </c>
      <c r="J2052">
        <f>IF($A2052="","",ROW())</f>
        <v/>
      </c>
    </row>
    <row r="2053">
      <c r="I2053">
        <f>IF(OR($A2053="",$B2053=""),"",IF(COUNTIFS($A$2:$A2053,$A2053,$B$2:$B2053,$B2053)=1,1,0))</f>
        <v/>
      </c>
      <c r="J2053">
        <f>IF($A2053="","",ROW())</f>
        <v/>
      </c>
    </row>
    <row r="2054">
      <c r="I2054">
        <f>IF(OR($A2054="",$B2054=""),"",IF(COUNTIFS($A$2:$A2054,$A2054,$B$2:$B2054,$B2054)=1,1,0))</f>
        <v/>
      </c>
      <c r="J2054">
        <f>IF($A2054="","",ROW())</f>
        <v/>
      </c>
    </row>
    <row r="2055">
      <c r="I2055">
        <f>IF(OR($A2055="",$B2055=""),"",IF(COUNTIFS($A$2:$A2055,$A2055,$B$2:$B2055,$B2055)=1,1,0))</f>
        <v/>
      </c>
      <c r="J2055">
        <f>IF($A2055="","",ROW())</f>
        <v/>
      </c>
    </row>
    <row r="2056">
      <c r="I2056">
        <f>IF(OR($A2056="",$B2056=""),"",IF(COUNTIFS($A$2:$A2056,$A2056,$B$2:$B2056,$B2056)=1,1,0))</f>
        <v/>
      </c>
      <c r="J2056">
        <f>IF($A2056="","",ROW())</f>
        <v/>
      </c>
    </row>
    <row r="2057">
      <c r="I2057">
        <f>IF(OR($A2057="",$B2057=""),"",IF(COUNTIFS($A$2:$A2057,$A2057,$B$2:$B2057,$B2057)=1,1,0))</f>
        <v/>
      </c>
      <c r="J2057">
        <f>IF($A2057="","",ROW())</f>
        <v/>
      </c>
    </row>
    <row r="2058">
      <c r="I2058">
        <f>IF(OR($A2058="",$B2058=""),"",IF(COUNTIFS($A$2:$A2058,$A2058,$B$2:$B2058,$B2058)=1,1,0))</f>
        <v/>
      </c>
      <c r="J2058">
        <f>IF($A2058="","",ROW())</f>
        <v/>
      </c>
    </row>
    <row r="2059">
      <c r="I2059">
        <f>IF(OR($A2059="",$B2059=""),"",IF(COUNTIFS($A$2:$A2059,$A2059,$B$2:$B2059,$B2059)=1,1,0))</f>
        <v/>
      </c>
      <c r="J2059">
        <f>IF($A2059="","",ROW())</f>
        <v/>
      </c>
    </row>
    <row r="2060">
      <c r="I2060">
        <f>IF(OR($A2060="",$B2060=""),"",IF(COUNTIFS($A$2:$A2060,$A2060,$B$2:$B2060,$B2060)=1,1,0))</f>
        <v/>
      </c>
      <c r="J2060">
        <f>IF($A2060="","",ROW())</f>
        <v/>
      </c>
    </row>
    <row r="2061">
      <c r="I2061">
        <f>IF(OR($A2061="",$B2061=""),"",IF(COUNTIFS($A$2:$A2061,$A2061,$B$2:$B2061,$B2061)=1,1,0))</f>
        <v/>
      </c>
      <c r="J2061">
        <f>IF($A2061="","",ROW())</f>
        <v/>
      </c>
    </row>
    <row r="2062">
      <c r="I2062">
        <f>IF(OR($A2062="",$B2062=""),"",IF(COUNTIFS($A$2:$A2062,$A2062,$B$2:$B2062,$B2062)=1,1,0))</f>
        <v/>
      </c>
      <c r="J2062">
        <f>IF($A2062="","",ROW())</f>
        <v/>
      </c>
    </row>
    <row r="2063">
      <c r="I2063">
        <f>IF(OR($A2063="",$B2063=""),"",IF(COUNTIFS($A$2:$A2063,$A2063,$B$2:$B2063,$B2063)=1,1,0))</f>
        <v/>
      </c>
      <c r="J2063">
        <f>IF($A2063="","",ROW())</f>
        <v/>
      </c>
    </row>
    <row r="2064">
      <c r="I2064">
        <f>IF(OR($A2064="",$B2064=""),"",IF(COUNTIFS($A$2:$A2064,$A2064,$B$2:$B2064,$B2064)=1,1,0))</f>
        <v/>
      </c>
      <c r="J2064">
        <f>IF($A2064="","",ROW())</f>
        <v/>
      </c>
    </row>
    <row r="2065">
      <c r="I2065">
        <f>IF(OR($A2065="",$B2065=""),"",IF(COUNTIFS($A$2:$A2065,$A2065,$B$2:$B2065,$B2065)=1,1,0))</f>
        <v/>
      </c>
      <c r="J2065">
        <f>IF($A2065="","",ROW())</f>
        <v/>
      </c>
    </row>
    <row r="2066">
      <c r="I2066">
        <f>IF(OR($A2066="",$B2066=""),"",IF(COUNTIFS($A$2:$A2066,$A2066,$B$2:$B2066,$B2066)=1,1,0))</f>
        <v/>
      </c>
      <c r="J2066">
        <f>IF($A2066="","",ROW())</f>
        <v/>
      </c>
    </row>
    <row r="2067">
      <c r="I2067">
        <f>IF(OR($A2067="",$B2067=""),"",IF(COUNTIFS($A$2:$A2067,$A2067,$B$2:$B2067,$B2067)=1,1,0))</f>
        <v/>
      </c>
      <c r="J2067">
        <f>IF($A2067="","",ROW())</f>
        <v/>
      </c>
    </row>
    <row r="2068">
      <c r="I2068">
        <f>IF(OR($A2068="",$B2068=""),"",IF(COUNTIFS($A$2:$A2068,$A2068,$B$2:$B2068,$B2068)=1,1,0))</f>
        <v/>
      </c>
      <c r="J2068">
        <f>IF($A2068="","",ROW())</f>
        <v/>
      </c>
    </row>
    <row r="2069">
      <c r="I2069">
        <f>IF(OR($A2069="",$B2069=""),"",IF(COUNTIFS($A$2:$A2069,$A2069,$B$2:$B2069,$B2069)=1,1,0))</f>
        <v/>
      </c>
      <c r="J2069">
        <f>IF($A2069="","",ROW())</f>
        <v/>
      </c>
    </row>
    <row r="2070">
      <c r="I2070">
        <f>IF(OR($A2070="",$B2070=""),"",IF(COUNTIFS($A$2:$A2070,$A2070,$B$2:$B2070,$B2070)=1,1,0))</f>
        <v/>
      </c>
      <c r="J2070">
        <f>IF($A2070="","",ROW())</f>
        <v/>
      </c>
    </row>
    <row r="2071">
      <c r="I2071">
        <f>IF(OR($A2071="",$B2071=""),"",IF(COUNTIFS($A$2:$A2071,$A2071,$B$2:$B2071,$B2071)=1,1,0))</f>
        <v/>
      </c>
      <c r="J2071">
        <f>IF($A2071="","",ROW())</f>
        <v/>
      </c>
    </row>
    <row r="2072">
      <c r="I2072">
        <f>IF(OR($A2072="",$B2072=""),"",IF(COUNTIFS($A$2:$A2072,$A2072,$B$2:$B2072,$B2072)=1,1,0))</f>
        <v/>
      </c>
      <c r="J2072">
        <f>IF($A2072="","",ROW())</f>
        <v/>
      </c>
    </row>
    <row r="2073">
      <c r="I2073">
        <f>IF(OR($A2073="",$B2073=""),"",IF(COUNTIFS($A$2:$A2073,$A2073,$B$2:$B2073,$B2073)=1,1,0))</f>
        <v/>
      </c>
      <c r="J2073">
        <f>IF($A2073="","",ROW())</f>
        <v/>
      </c>
    </row>
    <row r="2074">
      <c r="I2074">
        <f>IF(OR($A2074="",$B2074=""),"",IF(COUNTIFS($A$2:$A2074,$A2074,$B$2:$B2074,$B2074)=1,1,0))</f>
        <v/>
      </c>
      <c r="J2074">
        <f>IF($A2074="","",ROW())</f>
        <v/>
      </c>
    </row>
    <row r="2075">
      <c r="I2075">
        <f>IF(OR($A2075="",$B2075=""),"",IF(COUNTIFS($A$2:$A2075,$A2075,$B$2:$B2075,$B2075)=1,1,0))</f>
        <v/>
      </c>
      <c r="J2075">
        <f>IF($A2075="","",ROW())</f>
        <v/>
      </c>
    </row>
    <row r="2076">
      <c r="I2076">
        <f>IF(OR($A2076="",$B2076=""),"",IF(COUNTIFS($A$2:$A2076,$A2076,$B$2:$B2076,$B2076)=1,1,0))</f>
        <v/>
      </c>
      <c r="J2076">
        <f>IF($A2076="","",ROW())</f>
        <v/>
      </c>
    </row>
    <row r="2077">
      <c r="I2077">
        <f>IF(OR($A2077="",$B2077=""),"",IF(COUNTIFS($A$2:$A2077,$A2077,$B$2:$B2077,$B2077)=1,1,0))</f>
        <v/>
      </c>
      <c r="J2077">
        <f>IF($A2077="","",ROW())</f>
        <v/>
      </c>
    </row>
    <row r="2078">
      <c r="I2078">
        <f>IF(OR($A2078="",$B2078=""),"",IF(COUNTIFS($A$2:$A2078,$A2078,$B$2:$B2078,$B2078)=1,1,0))</f>
        <v/>
      </c>
      <c r="J2078">
        <f>IF($A2078="","",ROW())</f>
        <v/>
      </c>
    </row>
    <row r="2079">
      <c r="I2079">
        <f>IF(OR($A2079="",$B2079=""),"",IF(COUNTIFS($A$2:$A2079,$A2079,$B$2:$B2079,$B2079)=1,1,0))</f>
        <v/>
      </c>
      <c r="J2079">
        <f>IF($A2079="","",ROW())</f>
        <v/>
      </c>
    </row>
    <row r="2080">
      <c r="I2080">
        <f>IF(OR($A2080="",$B2080=""),"",IF(COUNTIFS($A$2:$A2080,$A2080,$B$2:$B2080,$B2080)=1,1,0))</f>
        <v/>
      </c>
      <c r="J2080">
        <f>IF($A2080="","",ROW())</f>
        <v/>
      </c>
    </row>
    <row r="2081">
      <c r="I2081">
        <f>IF(OR($A2081="",$B2081=""),"",IF(COUNTIFS($A$2:$A2081,$A2081,$B$2:$B2081,$B2081)=1,1,0))</f>
        <v/>
      </c>
      <c r="J2081">
        <f>IF($A2081="","",ROW())</f>
        <v/>
      </c>
    </row>
    <row r="2082">
      <c r="I2082">
        <f>IF(OR($A2082="",$B2082=""),"",IF(COUNTIFS($A$2:$A2082,$A2082,$B$2:$B2082,$B2082)=1,1,0))</f>
        <v/>
      </c>
      <c r="J2082">
        <f>IF($A2082="","",ROW())</f>
        <v/>
      </c>
    </row>
    <row r="2083">
      <c r="I2083">
        <f>IF(OR($A2083="",$B2083=""),"",IF(COUNTIFS($A$2:$A2083,$A2083,$B$2:$B2083,$B2083)=1,1,0))</f>
        <v/>
      </c>
      <c r="J2083">
        <f>IF($A2083="","",ROW())</f>
        <v/>
      </c>
    </row>
    <row r="2084">
      <c r="I2084">
        <f>IF(OR($A2084="",$B2084=""),"",IF(COUNTIFS($A$2:$A2084,$A2084,$B$2:$B2084,$B2084)=1,1,0))</f>
        <v/>
      </c>
      <c r="J2084">
        <f>IF($A2084="","",ROW())</f>
        <v/>
      </c>
    </row>
    <row r="2085">
      <c r="I2085">
        <f>IF(OR($A2085="",$B2085=""),"",IF(COUNTIFS($A$2:$A2085,$A2085,$B$2:$B2085,$B2085)=1,1,0))</f>
        <v/>
      </c>
      <c r="J2085">
        <f>IF($A2085="","",ROW())</f>
        <v/>
      </c>
    </row>
    <row r="2086">
      <c r="I2086">
        <f>IF(OR($A2086="",$B2086=""),"",IF(COUNTIFS($A$2:$A2086,$A2086,$B$2:$B2086,$B2086)=1,1,0))</f>
        <v/>
      </c>
      <c r="J2086">
        <f>IF($A2086="","",ROW())</f>
        <v/>
      </c>
    </row>
    <row r="2087">
      <c r="I2087">
        <f>IF(OR($A2087="",$B2087=""),"",IF(COUNTIFS($A$2:$A2087,$A2087,$B$2:$B2087,$B2087)=1,1,0))</f>
        <v/>
      </c>
      <c r="J2087">
        <f>IF($A2087="","",ROW())</f>
        <v/>
      </c>
    </row>
    <row r="2088">
      <c r="I2088">
        <f>IF(OR($A2088="",$B2088=""),"",IF(COUNTIFS($A$2:$A2088,$A2088,$B$2:$B2088,$B2088)=1,1,0))</f>
        <v/>
      </c>
      <c r="J2088">
        <f>IF($A2088="","",ROW())</f>
        <v/>
      </c>
    </row>
    <row r="2089">
      <c r="I2089">
        <f>IF(OR($A2089="",$B2089=""),"",IF(COUNTIFS($A$2:$A2089,$A2089,$B$2:$B2089,$B2089)=1,1,0))</f>
        <v/>
      </c>
      <c r="J2089">
        <f>IF($A2089="","",ROW())</f>
        <v/>
      </c>
    </row>
    <row r="2090">
      <c r="I2090">
        <f>IF(OR($A2090="",$B2090=""),"",IF(COUNTIFS($A$2:$A2090,$A2090,$B$2:$B2090,$B2090)=1,1,0))</f>
        <v/>
      </c>
      <c r="J2090">
        <f>IF($A2090="","",ROW())</f>
        <v/>
      </c>
    </row>
    <row r="2091">
      <c r="I2091">
        <f>IF(OR($A2091="",$B2091=""),"",IF(COUNTIFS($A$2:$A2091,$A2091,$B$2:$B2091,$B2091)=1,1,0))</f>
        <v/>
      </c>
      <c r="J2091">
        <f>IF($A2091="","",ROW())</f>
        <v/>
      </c>
    </row>
    <row r="2092">
      <c r="I2092">
        <f>IF(OR($A2092="",$B2092=""),"",IF(COUNTIFS($A$2:$A2092,$A2092,$B$2:$B2092,$B2092)=1,1,0))</f>
        <v/>
      </c>
      <c r="J2092">
        <f>IF($A2092="","",ROW())</f>
        <v/>
      </c>
    </row>
    <row r="2093">
      <c r="I2093">
        <f>IF(OR($A2093="",$B2093=""),"",IF(COUNTIFS($A$2:$A2093,$A2093,$B$2:$B2093,$B2093)=1,1,0))</f>
        <v/>
      </c>
      <c r="J2093">
        <f>IF($A2093="","",ROW())</f>
        <v/>
      </c>
    </row>
    <row r="2094">
      <c r="I2094">
        <f>IF(OR($A2094="",$B2094=""),"",IF(COUNTIFS($A$2:$A2094,$A2094,$B$2:$B2094,$B2094)=1,1,0))</f>
        <v/>
      </c>
      <c r="J2094">
        <f>IF($A2094="","",ROW())</f>
        <v/>
      </c>
    </row>
    <row r="2095">
      <c r="I2095">
        <f>IF(OR($A2095="",$B2095=""),"",IF(COUNTIFS($A$2:$A2095,$A2095,$B$2:$B2095,$B2095)=1,1,0))</f>
        <v/>
      </c>
      <c r="J2095">
        <f>IF($A2095="","",ROW())</f>
        <v/>
      </c>
    </row>
    <row r="2096">
      <c r="I2096">
        <f>IF(OR($A2096="",$B2096=""),"",IF(COUNTIFS($A$2:$A2096,$A2096,$B$2:$B2096,$B2096)=1,1,0))</f>
        <v/>
      </c>
      <c r="J2096">
        <f>IF($A2096="","",ROW())</f>
        <v/>
      </c>
    </row>
    <row r="2097">
      <c r="I2097">
        <f>IF(OR($A2097="",$B2097=""),"",IF(COUNTIFS($A$2:$A2097,$A2097,$B$2:$B2097,$B2097)=1,1,0))</f>
        <v/>
      </c>
      <c r="J2097">
        <f>IF($A2097="","",ROW())</f>
        <v/>
      </c>
    </row>
    <row r="2098">
      <c r="I2098">
        <f>IF(OR($A2098="",$B2098=""),"",IF(COUNTIFS($A$2:$A2098,$A2098,$B$2:$B2098,$B2098)=1,1,0))</f>
        <v/>
      </c>
      <c r="J2098">
        <f>IF($A2098="","",ROW())</f>
        <v/>
      </c>
    </row>
    <row r="2099">
      <c r="I2099">
        <f>IF(OR($A2099="",$B2099=""),"",IF(COUNTIFS($A$2:$A2099,$A2099,$B$2:$B2099,$B2099)=1,1,0))</f>
        <v/>
      </c>
      <c r="J2099">
        <f>IF($A2099="","",ROW())</f>
        <v/>
      </c>
    </row>
    <row r="2100">
      <c r="I2100">
        <f>IF(OR($A2100="",$B2100=""),"",IF(COUNTIFS($A$2:$A2100,$A2100,$B$2:$B2100,$B2100)=1,1,0))</f>
        <v/>
      </c>
      <c r="J2100">
        <f>IF($A2100="","",ROW())</f>
        <v/>
      </c>
    </row>
    <row r="2101">
      <c r="I2101">
        <f>IF(OR($A2101="",$B2101=""),"",IF(COUNTIFS($A$2:$A2101,$A2101,$B$2:$B2101,$B2101)=1,1,0))</f>
        <v/>
      </c>
      <c r="J2101">
        <f>IF($A2101="","",ROW())</f>
        <v/>
      </c>
    </row>
    <row r="2102">
      <c r="I2102">
        <f>IF(OR($A2102="",$B2102=""),"",IF(COUNTIFS($A$2:$A2102,$A2102,$B$2:$B2102,$B2102)=1,1,0))</f>
        <v/>
      </c>
      <c r="J2102">
        <f>IF($A2102="","",ROW())</f>
        <v/>
      </c>
    </row>
    <row r="2103">
      <c r="I2103">
        <f>IF(OR($A2103="",$B2103=""),"",IF(COUNTIFS($A$2:$A2103,$A2103,$B$2:$B2103,$B2103)=1,1,0))</f>
        <v/>
      </c>
      <c r="J2103">
        <f>IF($A2103="","",ROW())</f>
        <v/>
      </c>
    </row>
    <row r="2104">
      <c r="I2104">
        <f>IF(OR($A2104="",$B2104=""),"",IF(COUNTIFS($A$2:$A2104,$A2104,$B$2:$B2104,$B2104)=1,1,0))</f>
        <v/>
      </c>
      <c r="J2104">
        <f>IF($A2104="","",ROW())</f>
        <v/>
      </c>
    </row>
    <row r="2105">
      <c r="I2105">
        <f>IF(OR($A2105="",$B2105=""),"",IF(COUNTIFS($A$2:$A2105,$A2105,$B$2:$B2105,$B2105)=1,1,0))</f>
        <v/>
      </c>
      <c r="J2105">
        <f>IF($A2105="","",ROW())</f>
        <v/>
      </c>
    </row>
    <row r="2106">
      <c r="I2106">
        <f>IF(OR($A2106="",$B2106=""),"",IF(COUNTIFS($A$2:$A2106,$A2106,$B$2:$B2106,$B2106)=1,1,0))</f>
        <v/>
      </c>
      <c r="J2106">
        <f>IF($A2106="","",ROW())</f>
        <v/>
      </c>
    </row>
    <row r="2107">
      <c r="I2107">
        <f>IF(OR($A2107="",$B2107=""),"",IF(COUNTIFS($A$2:$A2107,$A2107,$B$2:$B2107,$B2107)=1,1,0))</f>
        <v/>
      </c>
      <c r="J2107">
        <f>IF($A2107="","",ROW())</f>
        <v/>
      </c>
    </row>
    <row r="2108">
      <c r="I2108">
        <f>IF(OR($A2108="",$B2108=""),"",IF(COUNTIFS($A$2:$A2108,$A2108,$B$2:$B2108,$B2108)=1,1,0))</f>
        <v/>
      </c>
      <c r="J2108">
        <f>IF($A2108="","",ROW())</f>
        <v/>
      </c>
    </row>
    <row r="2109">
      <c r="I2109">
        <f>IF(OR($A2109="",$B2109=""),"",IF(COUNTIFS($A$2:$A2109,$A2109,$B$2:$B2109,$B2109)=1,1,0))</f>
        <v/>
      </c>
      <c r="J2109">
        <f>IF($A2109="","",ROW())</f>
        <v/>
      </c>
    </row>
    <row r="2110">
      <c r="I2110">
        <f>IF(OR($A2110="",$B2110=""),"",IF(COUNTIFS($A$2:$A2110,$A2110,$B$2:$B2110,$B2110)=1,1,0))</f>
        <v/>
      </c>
      <c r="J2110">
        <f>IF($A2110="","",ROW())</f>
        <v/>
      </c>
    </row>
    <row r="2111">
      <c r="I2111">
        <f>IF(OR($A2111="",$B2111=""),"",IF(COUNTIFS($A$2:$A2111,$A2111,$B$2:$B2111,$B2111)=1,1,0))</f>
        <v/>
      </c>
      <c r="J2111">
        <f>IF($A2111="","",ROW())</f>
        <v/>
      </c>
    </row>
    <row r="2112">
      <c r="I2112">
        <f>IF(OR($A2112="",$B2112=""),"",IF(COUNTIFS($A$2:$A2112,$A2112,$B$2:$B2112,$B2112)=1,1,0))</f>
        <v/>
      </c>
      <c r="J2112">
        <f>IF($A2112="","",ROW())</f>
        <v/>
      </c>
    </row>
    <row r="2113">
      <c r="I2113">
        <f>IF(OR($A2113="",$B2113=""),"",IF(COUNTIFS($A$2:$A2113,$A2113,$B$2:$B2113,$B2113)=1,1,0))</f>
        <v/>
      </c>
      <c r="J2113">
        <f>IF($A2113="","",ROW())</f>
        <v/>
      </c>
    </row>
    <row r="2114">
      <c r="I2114">
        <f>IF(OR($A2114="",$B2114=""),"",IF(COUNTIFS($A$2:$A2114,$A2114,$B$2:$B2114,$B2114)=1,1,0))</f>
        <v/>
      </c>
      <c r="J2114">
        <f>IF($A2114="","",ROW())</f>
        <v/>
      </c>
    </row>
    <row r="2115">
      <c r="I2115">
        <f>IF(OR($A2115="",$B2115=""),"",IF(COUNTIFS($A$2:$A2115,$A2115,$B$2:$B2115,$B2115)=1,1,0))</f>
        <v/>
      </c>
      <c r="J2115">
        <f>IF($A2115="","",ROW())</f>
        <v/>
      </c>
    </row>
    <row r="2116">
      <c r="I2116">
        <f>IF(OR($A2116="",$B2116=""),"",IF(COUNTIFS($A$2:$A2116,$A2116,$B$2:$B2116,$B2116)=1,1,0))</f>
        <v/>
      </c>
      <c r="J2116">
        <f>IF($A2116="","",ROW())</f>
        <v/>
      </c>
    </row>
    <row r="2117">
      <c r="I2117">
        <f>IF(OR($A2117="",$B2117=""),"",IF(COUNTIFS($A$2:$A2117,$A2117,$B$2:$B2117,$B2117)=1,1,0))</f>
        <v/>
      </c>
      <c r="J2117">
        <f>IF($A2117="","",ROW())</f>
        <v/>
      </c>
    </row>
    <row r="2118">
      <c r="I2118">
        <f>IF(OR($A2118="",$B2118=""),"",IF(COUNTIFS($A$2:$A2118,$A2118,$B$2:$B2118,$B2118)=1,1,0))</f>
        <v/>
      </c>
      <c r="J2118">
        <f>IF($A2118="","",ROW())</f>
        <v/>
      </c>
    </row>
    <row r="2119">
      <c r="I2119">
        <f>IF(OR($A2119="",$B2119=""),"",IF(COUNTIFS($A$2:$A2119,$A2119,$B$2:$B2119,$B2119)=1,1,0))</f>
        <v/>
      </c>
      <c r="J2119">
        <f>IF($A2119="","",ROW())</f>
        <v/>
      </c>
    </row>
    <row r="2120">
      <c r="I2120">
        <f>IF(OR($A2120="",$B2120=""),"",IF(COUNTIFS($A$2:$A2120,$A2120,$B$2:$B2120,$B2120)=1,1,0))</f>
        <v/>
      </c>
      <c r="J2120">
        <f>IF($A2120="","",ROW())</f>
        <v/>
      </c>
    </row>
    <row r="2121">
      <c r="I2121">
        <f>IF(OR($A2121="",$B2121=""),"",IF(COUNTIFS($A$2:$A2121,$A2121,$B$2:$B2121,$B2121)=1,1,0))</f>
        <v/>
      </c>
      <c r="J2121">
        <f>IF($A2121="","",ROW())</f>
        <v/>
      </c>
    </row>
    <row r="2122">
      <c r="I2122">
        <f>IF(OR($A2122="",$B2122=""),"",IF(COUNTIFS($A$2:$A2122,$A2122,$B$2:$B2122,$B2122)=1,1,0))</f>
        <v/>
      </c>
      <c r="J2122">
        <f>IF($A2122="","",ROW())</f>
        <v/>
      </c>
    </row>
    <row r="2123">
      <c r="I2123">
        <f>IF(OR($A2123="",$B2123=""),"",IF(COUNTIFS($A$2:$A2123,$A2123,$B$2:$B2123,$B2123)=1,1,0))</f>
        <v/>
      </c>
      <c r="J2123">
        <f>IF($A2123="","",ROW())</f>
        <v/>
      </c>
    </row>
    <row r="2124">
      <c r="I2124">
        <f>IF(OR($A2124="",$B2124=""),"",IF(COUNTIFS($A$2:$A2124,$A2124,$B$2:$B2124,$B2124)=1,1,0))</f>
        <v/>
      </c>
      <c r="J2124">
        <f>IF($A2124="","",ROW())</f>
        <v/>
      </c>
    </row>
    <row r="2125">
      <c r="I2125">
        <f>IF(OR($A2125="",$B2125=""),"",IF(COUNTIFS($A$2:$A2125,$A2125,$B$2:$B2125,$B2125)=1,1,0))</f>
        <v/>
      </c>
      <c r="J2125">
        <f>IF($A2125="","",ROW())</f>
        <v/>
      </c>
    </row>
    <row r="2126">
      <c r="I2126">
        <f>IF(OR($A2126="",$B2126=""),"",IF(COUNTIFS($A$2:$A2126,$A2126,$B$2:$B2126,$B2126)=1,1,0))</f>
        <v/>
      </c>
      <c r="J2126">
        <f>IF($A2126="","",ROW())</f>
        <v/>
      </c>
    </row>
    <row r="2127">
      <c r="I2127">
        <f>IF(OR($A2127="",$B2127=""),"",IF(COUNTIFS($A$2:$A2127,$A2127,$B$2:$B2127,$B2127)=1,1,0))</f>
        <v/>
      </c>
      <c r="J2127">
        <f>IF($A2127="","",ROW())</f>
        <v/>
      </c>
    </row>
    <row r="2128">
      <c r="I2128">
        <f>IF(OR($A2128="",$B2128=""),"",IF(COUNTIFS($A$2:$A2128,$A2128,$B$2:$B2128,$B2128)=1,1,0))</f>
        <v/>
      </c>
      <c r="J2128">
        <f>IF($A2128="","",ROW())</f>
        <v/>
      </c>
    </row>
    <row r="2129">
      <c r="I2129">
        <f>IF(OR($A2129="",$B2129=""),"",IF(COUNTIFS($A$2:$A2129,$A2129,$B$2:$B2129,$B2129)=1,1,0))</f>
        <v/>
      </c>
      <c r="J2129">
        <f>IF($A2129="","",ROW())</f>
        <v/>
      </c>
    </row>
    <row r="2130">
      <c r="I2130">
        <f>IF(OR($A2130="",$B2130=""),"",IF(COUNTIFS($A$2:$A2130,$A2130,$B$2:$B2130,$B2130)=1,1,0))</f>
        <v/>
      </c>
      <c r="J2130">
        <f>IF($A2130="","",ROW())</f>
        <v/>
      </c>
    </row>
    <row r="2131">
      <c r="I2131">
        <f>IF(OR($A2131="",$B2131=""),"",IF(COUNTIFS($A$2:$A2131,$A2131,$B$2:$B2131,$B2131)=1,1,0))</f>
        <v/>
      </c>
      <c r="J2131">
        <f>IF($A2131="","",ROW())</f>
        <v/>
      </c>
    </row>
    <row r="2132">
      <c r="I2132">
        <f>IF(OR($A2132="",$B2132=""),"",IF(COUNTIFS($A$2:$A2132,$A2132,$B$2:$B2132,$B2132)=1,1,0))</f>
        <v/>
      </c>
      <c r="J2132">
        <f>IF($A2132="","",ROW())</f>
        <v/>
      </c>
    </row>
    <row r="2133">
      <c r="I2133">
        <f>IF(OR($A2133="",$B2133=""),"",IF(COUNTIFS($A$2:$A2133,$A2133,$B$2:$B2133,$B2133)=1,1,0))</f>
        <v/>
      </c>
      <c r="J2133">
        <f>IF($A2133="","",ROW())</f>
        <v/>
      </c>
    </row>
    <row r="2134">
      <c r="I2134">
        <f>IF(OR($A2134="",$B2134=""),"",IF(COUNTIFS($A$2:$A2134,$A2134,$B$2:$B2134,$B2134)=1,1,0))</f>
        <v/>
      </c>
      <c r="J2134">
        <f>IF($A2134="","",ROW())</f>
        <v/>
      </c>
    </row>
    <row r="2135">
      <c r="I2135">
        <f>IF(OR($A2135="",$B2135=""),"",IF(COUNTIFS($A$2:$A2135,$A2135,$B$2:$B2135,$B2135)=1,1,0))</f>
        <v/>
      </c>
      <c r="J2135">
        <f>IF($A2135="","",ROW())</f>
        <v/>
      </c>
    </row>
    <row r="2136">
      <c r="I2136">
        <f>IF(OR($A2136="",$B2136=""),"",IF(COUNTIFS($A$2:$A2136,$A2136,$B$2:$B2136,$B2136)=1,1,0))</f>
        <v/>
      </c>
      <c r="J2136">
        <f>IF($A2136="","",ROW())</f>
        <v/>
      </c>
    </row>
    <row r="2137">
      <c r="I2137">
        <f>IF(OR($A2137="",$B2137=""),"",IF(COUNTIFS($A$2:$A2137,$A2137,$B$2:$B2137,$B2137)=1,1,0))</f>
        <v/>
      </c>
      <c r="J2137">
        <f>IF($A2137="","",ROW())</f>
        <v/>
      </c>
    </row>
    <row r="2138">
      <c r="I2138">
        <f>IF(OR($A2138="",$B2138=""),"",IF(COUNTIFS($A$2:$A2138,$A2138,$B$2:$B2138,$B2138)=1,1,0))</f>
        <v/>
      </c>
      <c r="J2138">
        <f>IF($A2138="","",ROW())</f>
        <v/>
      </c>
    </row>
    <row r="2139">
      <c r="I2139">
        <f>IF(OR($A2139="",$B2139=""),"",IF(COUNTIFS($A$2:$A2139,$A2139,$B$2:$B2139,$B2139)=1,1,0))</f>
        <v/>
      </c>
      <c r="J2139">
        <f>IF($A2139="","",ROW())</f>
        <v/>
      </c>
    </row>
    <row r="2140">
      <c r="I2140">
        <f>IF(OR($A2140="",$B2140=""),"",IF(COUNTIFS($A$2:$A2140,$A2140,$B$2:$B2140,$B2140)=1,1,0))</f>
        <v/>
      </c>
      <c r="J2140">
        <f>IF($A2140="","",ROW())</f>
        <v/>
      </c>
    </row>
    <row r="2141">
      <c r="I2141">
        <f>IF(OR($A2141="",$B2141=""),"",IF(COUNTIFS($A$2:$A2141,$A2141,$B$2:$B2141,$B2141)=1,1,0))</f>
        <v/>
      </c>
      <c r="J2141">
        <f>IF($A2141="","",ROW())</f>
        <v/>
      </c>
    </row>
    <row r="2142">
      <c r="I2142">
        <f>IF(OR($A2142="",$B2142=""),"",IF(COUNTIFS($A$2:$A2142,$A2142,$B$2:$B2142,$B2142)=1,1,0))</f>
        <v/>
      </c>
      <c r="J2142">
        <f>IF($A2142="","",ROW())</f>
        <v/>
      </c>
    </row>
    <row r="2143">
      <c r="I2143">
        <f>IF(OR($A2143="",$B2143=""),"",IF(COUNTIFS($A$2:$A2143,$A2143,$B$2:$B2143,$B2143)=1,1,0))</f>
        <v/>
      </c>
      <c r="J2143">
        <f>IF($A2143="","",ROW())</f>
        <v/>
      </c>
    </row>
    <row r="2144">
      <c r="I2144">
        <f>IF(OR($A2144="",$B2144=""),"",IF(COUNTIFS($A$2:$A2144,$A2144,$B$2:$B2144,$B2144)=1,1,0))</f>
        <v/>
      </c>
      <c r="J2144">
        <f>IF($A2144="","",ROW())</f>
        <v/>
      </c>
    </row>
    <row r="2145">
      <c r="I2145">
        <f>IF(OR($A2145="",$B2145=""),"",IF(COUNTIFS($A$2:$A2145,$A2145,$B$2:$B2145,$B2145)=1,1,0))</f>
        <v/>
      </c>
      <c r="J2145">
        <f>IF($A2145="","",ROW())</f>
        <v/>
      </c>
    </row>
    <row r="2146">
      <c r="I2146">
        <f>IF(OR($A2146="",$B2146=""),"",IF(COUNTIFS($A$2:$A2146,$A2146,$B$2:$B2146,$B2146)=1,1,0))</f>
        <v/>
      </c>
      <c r="J2146">
        <f>IF($A2146="","",ROW())</f>
        <v/>
      </c>
    </row>
    <row r="2147">
      <c r="I2147">
        <f>IF(OR($A2147="",$B2147=""),"",IF(COUNTIFS($A$2:$A2147,$A2147,$B$2:$B2147,$B2147)=1,1,0))</f>
        <v/>
      </c>
      <c r="J2147">
        <f>IF($A2147="","",ROW())</f>
        <v/>
      </c>
    </row>
    <row r="2148">
      <c r="I2148">
        <f>IF(OR($A2148="",$B2148=""),"",IF(COUNTIFS($A$2:$A2148,$A2148,$B$2:$B2148,$B2148)=1,1,0))</f>
        <v/>
      </c>
      <c r="J2148">
        <f>IF($A2148="","",ROW())</f>
        <v/>
      </c>
    </row>
    <row r="2149">
      <c r="I2149">
        <f>IF(OR($A2149="",$B2149=""),"",IF(COUNTIFS($A$2:$A2149,$A2149,$B$2:$B2149,$B2149)=1,1,0))</f>
        <v/>
      </c>
      <c r="J2149">
        <f>IF($A2149="","",ROW())</f>
        <v/>
      </c>
    </row>
    <row r="2150">
      <c r="I2150">
        <f>IF(OR($A2150="",$B2150=""),"",IF(COUNTIFS($A$2:$A2150,$A2150,$B$2:$B2150,$B2150)=1,1,0))</f>
        <v/>
      </c>
      <c r="J2150">
        <f>IF($A2150="","",ROW())</f>
        <v/>
      </c>
    </row>
    <row r="2151">
      <c r="I2151">
        <f>IF(OR($A2151="",$B2151=""),"",IF(COUNTIFS($A$2:$A2151,$A2151,$B$2:$B2151,$B2151)=1,1,0))</f>
        <v/>
      </c>
      <c r="J2151">
        <f>IF($A2151="","",ROW())</f>
        <v/>
      </c>
    </row>
    <row r="2152">
      <c r="I2152">
        <f>IF(OR($A2152="",$B2152=""),"",IF(COUNTIFS($A$2:$A2152,$A2152,$B$2:$B2152,$B2152)=1,1,0))</f>
        <v/>
      </c>
      <c r="J2152">
        <f>IF($A2152="","",ROW())</f>
        <v/>
      </c>
    </row>
    <row r="2153">
      <c r="I2153">
        <f>IF(OR($A2153="",$B2153=""),"",IF(COUNTIFS($A$2:$A2153,$A2153,$B$2:$B2153,$B2153)=1,1,0))</f>
        <v/>
      </c>
      <c r="J2153">
        <f>IF($A2153="","",ROW())</f>
        <v/>
      </c>
    </row>
    <row r="2154">
      <c r="I2154">
        <f>IF(OR($A2154="",$B2154=""),"",IF(COUNTIFS($A$2:$A2154,$A2154,$B$2:$B2154,$B2154)=1,1,0))</f>
        <v/>
      </c>
      <c r="J2154">
        <f>IF($A2154="","",ROW())</f>
        <v/>
      </c>
    </row>
    <row r="2155">
      <c r="I2155">
        <f>IF(OR($A2155="",$B2155=""),"",IF(COUNTIFS($A$2:$A2155,$A2155,$B$2:$B2155,$B2155)=1,1,0))</f>
        <v/>
      </c>
      <c r="J2155">
        <f>IF($A2155="","",ROW())</f>
        <v/>
      </c>
    </row>
    <row r="2156">
      <c r="I2156">
        <f>IF(OR($A2156="",$B2156=""),"",IF(COUNTIFS($A$2:$A2156,$A2156,$B$2:$B2156,$B2156)=1,1,0))</f>
        <v/>
      </c>
      <c r="J2156">
        <f>IF($A2156="","",ROW())</f>
        <v/>
      </c>
    </row>
    <row r="2157">
      <c r="I2157">
        <f>IF(OR($A2157="",$B2157=""),"",IF(COUNTIFS($A$2:$A2157,$A2157,$B$2:$B2157,$B2157)=1,1,0))</f>
        <v/>
      </c>
      <c r="J2157">
        <f>IF($A2157="","",ROW())</f>
        <v/>
      </c>
    </row>
    <row r="2158">
      <c r="I2158">
        <f>IF(OR($A2158="",$B2158=""),"",IF(COUNTIFS($A$2:$A2158,$A2158,$B$2:$B2158,$B2158)=1,1,0))</f>
        <v/>
      </c>
      <c r="J2158">
        <f>IF($A2158="","",ROW())</f>
        <v/>
      </c>
    </row>
    <row r="2159">
      <c r="I2159">
        <f>IF(OR($A2159="",$B2159=""),"",IF(COUNTIFS($A$2:$A2159,$A2159,$B$2:$B2159,$B2159)=1,1,0))</f>
        <v/>
      </c>
      <c r="J2159">
        <f>IF($A2159="","",ROW())</f>
        <v/>
      </c>
    </row>
    <row r="2160">
      <c r="I2160">
        <f>IF(OR($A2160="",$B2160=""),"",IF(COUNTIFS($A$2:$A2160,$A2160,$B$2:$B2160,$B2160)=1,1,0))</f>
        <v/>
      </c>
      <c r="J2160">
        <f>IF($A2160="","",ROW())</f>
        <v/>
      </c>
    </row>
    <row r="2161">
      <c r="I2161">
        <f>IF(OR($A2161="",$B2161=""),"",IF(COUNTIFS($A$2:$A2161,$A2161,$B$2:$B2161,$B2161)=1,1,0))</f>
        <v/>
      </c>
      <c r="J2161">
        <f>IF($A2161="","",ROW())</f>
        <v/>
      </c>
    </row>
    <row r="2162">
      <c r="I2162">
        <f>IF(OR($A2162="",$B2162=""),"",IF(COUNTIFS($A$2:$A2162,$A2162,$B$2:$B2162,$B2162)=1,1,0))</f>
        <v/>
      </c>
      <c r="J2162">
        <f>IF($A2162="","",ROW())</f>
        <v/>
      </c>
    </row>
    <row r="2163">
      <c r="I2163">
        <f>IF(OR($A2163="",$B2163=""),"",IF(COUNTIFS($A$2:$A2163,$A2163,$B$2:$B2163,$B2163)=1,1,0))</f>
        <v/>
      </c>
      <c r="J2163">
        <f>IF($A2163="","",ROW())</f>
        <v/>
      </c>
    </row>
    <row r="2164">
      <c r="I2164">
        <f>IF(OR($A2164="",$B2164=""),"",IF(COUNTIFS($A$2:$A2164,$A2164,$B$2:$B2164,$B2164)=1,1,0))</f>
        <v/>
      </c>
      <c r="J2164">
        <f>IF($A2164="","",ROW())</f>
        <v/>
      </c>
    </row>
    <row r="2165">
      <c r="I2165">
        <f>IF(OR($A2165="",$B2165=""),"",IF(COUNTIFS($A$2:$A2165,$A2165,$B$2:$B2165,$B2165)=1,1,0))</f>
        <v/>
      </c>
      <c r="J2165">
        <f>IF($A2165="","",ROW())</f>
        <v/>
      </c>
    </row>
    <row r="2166">
      <c r="I2166">
        <f>IF(OR($A2166="",$B2166=""),"",IF(COUNTIFS($A$2:$A2166,$A2166,$B$2:$B2166,$B2166)=1,1,0))</f>
        <v/>
      </c>
      <c r="J2166">
        <f>IF($A2166="","",ROW())</f>
        <v/>
      </c>
    </row>
    <row r="2167">
      <c r="I2167">
        <f>IF(OR($A2167="",$B2167=""),"",IF(COUNTIFS($A$2:$A2167,$A2167,$B$2:$B2167,$B2167)=1,1,0))</f>
        <v/>
      </c>
      <c r="J2167">
        <f>IF($A2167="","",ROW())</f>
        <v/>
      </c>
    </row>
    <row r="2168">
      <c r="I2168">
        <f>IF(OR($A2168="",$B2168=""),"",IF(COUNTIFS($A$2:$A2168,$A2168,$B$2:$B2168,$B2168)=1,1,0))</f>
        <v/>
      </c>
      <c r="J2168">
        <f>IF($A2168="","",ROW())</f>
        <v/>
      </c>
    </row>
    <row r="2169">
      <c r="I2169">
        <f>IF(OR($A2169="",$B2169=""),"",IF(COUNTIFS($A$2:$A2169,$A2169,$B$2:$B2169,$B2169)=1,1,0))</f>
        <v/>
      </c>
      <c r="J2169">
        <f>IF($A2169="","",ROW())</f>
        <v/>
      </c>
    </row>
    <row r="2170">
      <c r="I2170">
        <f>IF(OR($A2170="",$B2170=""),"",IF(COUNTIFS($A$2:$A2170,$A2170,$B$2:$B2170,$B2170)=1,1,0))</f>
        <v/>
      </c>
      <c r="J2170">
        <f>IF($A2170="","",ROW())</f>
        <v/>
      </c>
    </row>
    <row r="2171">
      <c r="I2171">
        <f>IF(OR($A2171="",$B2171=""),"",IF(COUNTIFS($A$2:$A2171,$A2171,$B$2:$B2171,$B2171)=1,1,0))</f>
        <v/>
      </c>
      <c r="J2171">
        <f>IF($A2171="","",ROW())</f>
        <v/>
      </c>
    </row>
    <row r="2172">
      <c r="I2172">
        <f>IF(OR($A2172="",$B2172=""),"",IF(COUNTIFS($A$2:$A2172,$A2172,$B$2:$B2172,$B2172)=1,1,0))</f>
        <v/>
      </c>
      <c r="J2172">
        <f>IF($A2172="","",ROW())</f>
        <v/>
      </c>
    </row>
    <row r="2173">
      <c r="I2173">
        <f>IF(OR($A2173="",$B2173=""),"",IF(COUNTIFS($A$2:$A2173,$A2173,$B$2:$B2173,$B2173)=1,1,0))</f>
        <v/>
      </c>
      <c r="J2173">
        <f>IF($A2173="","",ROW())</f>
        <v/>
      </c>
    </row>
    <row r="2174">
      <c r="I2174">
        <f>IF(OR($A2174="",$B2174=""),"",IF(COUNTIFS($A$2:$A2174,$A2174,$B$2:$B2174,$B2174)=1,1,0))</f>
        <v/>
      </c>
      <c r="J2174">
        <f>IF($A2174="","",ROW())</f>
        <v/>
      </c>
    </row>
    <row r="2175">
      <c r="I2175">
        <f>IF(OR($A2175="",$B2175=""),"",IF(COUNTIFS($A$2:$A2175,$A2175,$B$2:$B2175,$B2175)=1,1,0))</f>
        <v/>
      </c>
      <c r="J2175">
        <f>IF($A2175="","",ROW())</f>
        <v/>
      </c>
    </row>
    <row r="2176">
      <c r="I2176">
        <f>IF(OR($A2176="",$B2176=""),"",IF(COUNTIFS($A$2:$A2176,$A2176,$B$2:$B2176,$B2176)=1,1,0))</f>
        <v/>
      </c>
      <c r="J2176">
        <f>IF($A2176="","",ROW())</f>
        <v/>
      </c>
    </row>
    <row r="2177">
      <c r="I2177">
        <f>IF(OR($A2177="",$B2177=""),"",IF(COUNTIFS($A$2:$A2177,$A2177,$B$2:$B2177,$B2177)=1,1,0))</f>
        <v/>
      </c>
      <c r="J2177">
        <f>IF($A2177="","",ROW())</f>
        <v/>
      </c>
    </row>
    <row r="2178">
      <c r="I2178">
        <f>IF(OR($A2178="",$B2178=""),"",IF(COUNTIFS($A$2:$A2178,$A2178,$B$2:$B2178,$B2178)=1,1,0))</f>
        <v/>
      </c>
      <c r="J2178">
        <f>IF($A2178="","",ROW())</f>
        <v/>
      </c>
    </row>
    <row r="2179">
      <c r="I2179">
        <f>IF(OR($A2179="",$B2179=""),"",IF(COUNTIFS($A$2:$A2179,$A2179,$B$2:$B2179,$B2179)=1,1,0))</f>
        <v/>
      </c>
      <c r="J2179">
        <f>IF($A2179="","",ROW())</f>
        <v/>
      </c>
    </row>
    <row r="2180">
      <c r="I2180">
        <f>IF(OR($A2180="",$B2180=""),"",IF(COUNTIFS($A$2:$A2180,$A2180,$B$2:$B2180,$B2180)=1,1,0))</f>
        <v/>
      </c>
      <c r="J2180">
        <f>IF($A2180="","",ROW())</f>
        <v/>
      </c>
    </row>
    <row r="2181">
      <c r="I2181">
        <f>IF(OR($A2181="",$B2181=""),"",IF(COUNTIFS($A$2:$A2181,$A2181,$B$2:$B2181,$B2181)=1,1,0))</f>
        <v/>
      </c>
      <c r="J2181">
        <f>IF($A2181="","",ROW())</f>
        <v/>
      </c>
    </row>
    <row r="2182">
      <c r="I2182">
        <f>IF(OR($A2182="",$B2182=""),"",IF(COUNTIFS($A$2:$A2182,$A2182,$B$2:$B2182,$B2182)=1,1,0))</f>
        <v/>
      </c>
      <c r="J2182">
        <f>IF($A2182="","",ROW())</f>
        <v/>
      </c>
    </row>
    <row r="2183">
      <c r="I2183">
        <f>IF(OR($A2183="",$B2183=""),"",IF(COUNTIFS($A$2:$A2183,$A2183,$B$2:$B2183,$B2183)=1,1,0))</f>
        <v/>
      </c>
      <c r="J2183">
        <f>IF($A2183="","",ROW())</f>
        <v/>
      </c>
    </row>
    <row r="2184">
      <c r="I2184">
        <f>IF(OR($A2184="",$B2184=""),"",IF(COUNTIFS($A$2:$A2184,$A2184,$B$2:$B2184,$B2184)=1,1,0))</f>
        <v/>
      </c>
      <c r="J2184">
        <f>IF($A2184="","",ROW())</f>
        <v/>
      </c>
    </row>
    <row r="2185">
      <c r="I2185">
        <f>IF(OR($A2185="",$B2185=""),"",IF(COUNTIFS($A$2:$A2185,$A2185,$B$2:$B2185,$B2185)=1,1,0))</f>
        <v/>
      </c>
      <c r="J2185">
        <f>IF($A2185="","",ROW())</f>
        <v/>
      </c>
    </row>
    <row r="2186">
      <c r="I2186">
        <f>IF(OR($A2186="",$B2186=""),"",IF(COUNTIFS($A$2:$A2186,$A2186,$B$2:$B2186,$B2186)=1,1,0))</f>
        <v/>
      </c>
      <c r="J2186">
        <f>IF($A2186="","",ROW())</f>
        <v/>
      </c>
    </row>
    <row r="2187">
      <c r="I2187">
        <f>IF(OR($A2187="",$B2187=""),"",IF(COUNTIFS($A$2:$A2187,$A2187,$B$2:$B2187,$B2187)=1,1,0))</f>
        <v/>
      </c>
      <c r="J2187">
        <f>IF($A2187="","",ROW())</f>
        <v/>
      </c>
    </row>
    <row r="2188">
      <c r="I2188">
        <f>IF(OR($A2188="",$B2188=""),"",IF(COUNTIFS($A$2:$A2188,$A2188,$B$2:$B2188,$B2188)=1,1,0))</f>
        <v/>
      </c>
      <c r="J2188">
        <f>IF($A2188="","",ROW())</f>
        <v/>
      </c>
    </row>
    <row r="2189">
      <c r="I2189">
        <f>IF(OR($A2189="",$B2189=""),"",IF(COUNTIFS($A$2:$A2189,$A2189,$B$2:$B2189,$B2189)=1,1,0))</f>
        <v/>
      </c>
      <c r="J2189">
        <f>IF($A2189="","",ROW())</f>
        <v/>
      </c>
    </row>
    <row r="2190">
      <c r="I2190">
        <f>IF(OR($A2190="",$B2190=""),"",IF(COUNTIFS($A$2:$A2190,$A2190,$B$2:$B2190,$B2190)=1,1,0))</f>
        <v/>
      </c>
      <c r="J2190">
        <f>IF($A2190="","",ROW())</f>
        <v/>
      </c>
    </row>
    <row r="2191">
      <c r="I2191">
        <f>IF(OR($A2191="",$B2191=""),"",IF(COUNTIFS($A$2:$A2191,$A2191,$B$2:$B2191,$B2191)=1,1,0))</f>
        <v/>
      </c>
      <c r="J2191">
        <f>IF($A2191="","",ROW())</f>
        <v/>
      </c>
    </row>
    <row r="2192">
      <c r="I2192">
        <f>IF(OR($A2192="",$B2192=""),"",IF(COUNTIFS($A$2:$A2192,$A2192,$B$2:$B2192,$B2192)=1,1,0))</f>
        <v/>
      </c>
      <c r="J2192">
        <f>IF($A2192="","",ROW())</f>
        <v/>
      </c>
    </row>
    <row r="2193">
      <c r="I2193">
        <f>IF(OR($A2193="",$B2193=""),"",IF(COUNTIFS($A$2:$A2193,$A2193,$B$2:$B2193,$B2193)=1,1,0))</f>
        <v/>
      </c>
      <c r="J2193">
        <f>IF($A2193="","",ROW())</f>
        <v/>
      </c>
    </row>
    <row r="2194">
      <c r="I2194">
        <f>IF(OR($A2194="",$B2194=""),"",IF(COUNTIFS($A$2:$A2194,$A2194,$B$2:$B2194,$B2194)=1,1,0))</f>
        <v/>
      </c>
      <c r="J2194">
        <f>IF($A2194="","",ROW())</f>
        <v/>
      </c>
    </row>
    <row r="2195">
      <c r="I2195">
        <f>IF(OR($A2195="",$B2195=""),"",IF(COUNTIFS($A$2:$A2195,$A2195,$B$2:$B2195,$B2195)=1,1,0))</f>
        <v/>
      </c>
      <c r="J2195">
        <f>IF($A2195="","",ROW())</f>
        <v/>
      </c>
    </row>
    <row r="2196">
      <c r="I2196">
        <f>IF(OR($A2196="",$B2196=""),"",IF(COUNTIFS($A$2:$A2196,$A2196,$B$2:$B2196,$B2196)=1,1,0))</f>
        <v/>
      </c>
      <c r="J2196">
        <f>IF($A2196="","",ROW())</f>
        <v/>
      </c>
    </row>
    <row r="2197">
      <c r="I2197">
        <f>IF(OR($A2197="",$B2197=""),"",IF(COUNTIFS($A$2:$A2197,$A2197,$B$2:$B2197,$B2197)=1,1,0))</f>
        <v/>
      </c>
      <c r="J2197">
        <f>IF($A2197="","",ROW())</f>
        <v/>
      </c>
    </row>
    <row r="2198">
      <c r="I2198">
        <f>IF(OR($A2198="",$B2198=""),"",IF(COUNTIFS($A$2:$A2198,$A2198,$B$2:$B2198,$B2198)=1,1,0))</f>
        <v/>
      </c>
      <c r="J2198">
        <f>IF($A2198="","",ROW())</f>
        <v/>
      </c>
    </row>
    <row r="2199">
      <c r="I2199">
        <f>IF(OR($A2199="",$B2199=""),"",IF(COUNTIFS($A$2:$A2199,$A2199,$B$2:$B2199,$B2199)=1,1,0))</f>
        <v/>
      </c>
      <c r="J2199">
        <f>IF($A2199="","",ROW())</f>
        <v/>
      </c>
    </row>
    <row r="2200">
      <c r="I2200">
        <f>IF(OR($A2200="",$B2200=""),"",IF(COUNTIFS($A$2:$A2200,$A2200,$B$2:$B2200,$B2200)=1,1,0))</f>
        <v/>
      </c>
      <c r="J2200">
        <f>IF($A2200="","",ROW())</f>
        <v/>
      </c>
    </row>
    <row r="2201">
      <c r="I2201">
        <f>IF(OR($A2201="",$B2201=""),"",IF(COUNTIFS($A$2:$A2201,$A2201,$B$2:$B2201,$B2201)=1,1,0))</f>
        <v/>
      </c>
      <c r="J2201">
        <f>IF($A2201="","",ROW())</f>
        <v/>
      </c>
    </row>
    <row r="2202">
      <c r="I2202">
        <f>IF(OR($A2202="",$B2202=""),"",IF(COUNTIFS($A$2:$A2202,$A2202,$B$2:$B2202,$B2202)=1,1,0))</f>
        <v/>
      </c>
      <c r="J2202">
        <f>IF($A2202="","",ROW())</f>
        <v/>
      </c>
    </row>
    <row r="2203">
      <c r="I2203">
        <f>IF(OR($A2203="",$B2203=""),"",IF(COUNTIFS($A$2:$A2203,$A2203,$B$2:$B2203,$B2203)=1,1,0))</f>
        <v/>
      </c>
      <c r="J2203">
        <f>IF($A2203="","",ROW())</f>
        <v/>
      </c>
    </row>
    <row r="2204">
      <c r="I2204">
        <f>IF(OR($A2204="",$B2204=""),"",IF(COUNTIFS($A$2:$A2204,$A2204,$B$2:$B2204,$B2204)=1,1,0))</f>
        <v/>
      </c>
      <c r="J2204">
        <f>IF($A2204="","",ROW())</f>
        <v/>
      </c>
    </row>
    <row r="2205">
      <c r="I2205">
        <f>IF(OR($A2205="",$B2205=""),"",IF(COUNTIFS($A$2:$A2205,$A2205,$B$2:$B2205,$B2205)=1,1,0))</f>
        <v/>
      </c>
      <c r="J2205">
        <f>IF($A2205="","",ROW())</f>
        <v/>
      </c>
    </row>
    <row r="2206">
      <c r="I2206">
        <f>IF(OR($A2206="",$B2206=""),"",IF(COUNTIFS($A$2:$A2206,$A2206,$B$2:$B2206,$B2206)=1,1,0))</f>
        <v/>
      </c>
      <c r="J2206">
        <f>IF($A2206="","",ROW())</f>
        <v/>
      </c>
    </row>
    <row r="2207">
      <c r="I2207">
        <f>IF(OR($A2207="",$B2207=""),"",IF(COUNTIFS($A$2:$A2207,$A2207,$B$2:$B2207,$B2207)=1,1,0))</f>
        <v/>
      </c>
      <c r="J2207">
        <f>IF($A2207="","",ROW())</f>
        <v/>
      </c>
    </row>
    <row r="2208">
      <c r="I2208">
        <f>IF(OR($A2208="",$B2208=""),"",IF(COUNTIFS($A$2:$A2208,$A2208,$B$2:$B2208,$B2208)=1,1,0))</f>
        <v/>
      </c>
      <c r="J2208">
        <f>IF($A2208="","",ROW())</f>
        <v/>
      </c>
    </row>
    <row r="2209">
      <c r="I2209">
        <f>IF(OR($A2209="",$B2209=""),"",IF(COUNTIFS($A$2:$A2209,$A2209,$B$2:$B2209,$B2209)=1,1,0))</f>
        <v/>
      </c>
      <c r="J2209">
        <f>IF($A2209="","",ROW())</f>
        <v/>
      </c>
    </row>
    <row r="2210">
      <c r="I2210">
        <f>IF(OR($A2210="",$B2210=""),"",IF(COUNTIFS($A$2:$A2210,$A2210,$B$2:$B2210,$B2210)=1,1,0))</f>
        <v/>
      </c>
      <c r="J2210">
        <f>IF($A2210="","",ROW())</f>
        <v/>
      </c>
    </row>
    <row r="2211">
      <c r="I2211">
        <f>IF(OR($A2211="",$B2211=""),"",IF(COUNTIFS($A$2:$A2211,$A2211,$B$2:$B2211,$B2211)=1,1,0))</f>
        <v/>
      </c>
      <c r="J2211">
        <f>IF($A2211="","",ROW())</f>
        <v/>
      </c>
    </row>
    <row r="2212">
      <c r="I2212">
        <f>IF(OR($A2212="",$B2212=""),"",IF(COUNTIFS($A$2:$A2212,$A2212,$B$2:$B2212,$B2212)=1,1,0))</f>
        <v/>
      </c>
      <c r="J2212">
        <f>IF($A2212="","",ROW())</f>
        <v/>
      </c>
    </row>
    <row r="2213">
      <c r="I2213">
        <f>IF(OR($A2213="",$B2213=""),"",IF(COUNTIFS($A$2:$A2213,$A2213,$B$2:$B2213,$B2213)=1,1,0))</f>
        <v/>
      </c>
      <c r="J2213">
        <f>IF($A2213="","",ROW())</f>
        <v/>
      </c>
    </row>
    <row r="2214">
      <c r="I2214">
        <f>IF(OR($A2214="",$B2214=""),"",IF(COUNTIFS($A$2:$A2214,$A2214,$B$2:$B2214,$B2214)=1,1,0))</f>
        <v/>
      </c>
      <c r="J2214">
        <f>IF($A2214="","",ROW())</f>
        <v/>
      </c>
    </row>
    <row r="2215">
      <c r="I2215">
        <f>IF(OR($A2215="",$B2215=""),"",IF(COUNTIFS($A$2:$A2215,$A2215,$B$2:$B2215,$B2215)=1,1,0))</f>
        <v/>
      </c>
      <c r="J2215">
        <f>IF($A2215="","",ROW())</f>
        <v/>
      </c>
    </row>
    <row r="2216">
      <c r="I2216">
        <f>IF(OR($A2216="",$B2216=""),"",IF(COUNTIFS($A$2:$A2216,$A2216,$B$2:$B2216,$B2216)=1,1,0))</f>
        <v/>
      </c>
      <c r="J2216">
        <f>IF($A2216="","",ROW())</f>
        <v/>
      </c>
    </row>
    <row r="2217">
      <c r="I2217">
        <f>IF(OR($A2217="",$B2217=""),"",IF(COUNTIFS($A$2:$A2217,$A2217,$B$2:$B2217,$B2217)=1,1,0))</f>
        <v/>
      </c>
      <c r="J2217">
        <f>IF($A2217="","",ROW())</f>
        <v/>
      </c>
    </row>
    <row r="2218">
      <c r="I2218">
        <f>IF(OR($A2218="",$B2218=""),"",IF(COUNTIFS($A$2:$A2218,$A2218,$B$2:$B2218,$B2218)=1,1,0))</f>
        <v/>
      </c>
      <c r="J2218">
        <f>IF($A2218="","",ROW())</f>
        <v/>
      </c>
    </row>
    <row r="2219">
      <c r="I2219">
        <f>IF(OR($A2219="",$B2219=""),"",IF(COUNTIFS($A$2:$A2219,$A2219,$B$2:$B2219,$B2219)=1,1,0))</f>
        <v/>
      </c>
      <c r="J2219">
        <f>IF($A2219="","",ROW())</f>
        <v/>
      </c>
    </row>
    <row r="2220">
      <c r="I2220">
        <f>IF(OR($A2220="",$B2220=""),"",IF(COUNTIFS($A$2:$A2220,$A2220,$B$2:$B2220,$B2220)=1,1,0))</f>
        <v/>
      </c>
      <c r="J2220">
        <f>IF($A2220="","",ROW())</f>
        <v/>
      </c>
    </row>
    <row r="2221">
      <c r="I2221">
        <f>IF(OR($A2221="",$B2221=""),"",IF(COUNTIFS($A$2:$A2221,$A2221,$B$2:$B2221,$B2221)=1,1,0))</f>
        <v/>
      </c>
      <c r="J2221">
        <f>IF($A2221="","",ROW())</f>
        <v/>
      </c>
    </row>
    <row r="2222">
      <c r="I2222">
        <f>IF(OR($A2222="",$B2222=""),"",IF(COUNTIFS($A$2:$A2222,$A2222,$B$2:$B2222,$B2222)=1,1,0))</f>
        <v/>
      </c>
      <c r="J2222">
        <f>IF($A2222="","",ROW())</f>
        <v/>
      </c>
    </row>
    <row r="2223">
      <c r="I2223">
        <f>IF(OR($A2223="",$B2223=""),"",IF(COUNTIFS($A$2:$A2223,$A2223,$B$2:$B2223,$B2223)=1,1,0))</f>
        <v/>
      </c>
      <c r="J2223">
        <f>IF($A2223="","",ROW())</f>
        <v/>
      </c>
    </row>
    <row r="2224">
      <c r="I2224">
        <f>IF(OR($A2224="",$B2224=""),"",IF(COUNTIFS($A$2:$A2224,$A2224,$B$2:$B2224,$B2224)=1,1,0))</f>
        <v/>
      </c>
      <c r="J2224">
        <f>IF($A2224="","",ROW())</f>
        <v/>
      </c>
    </row>
    <row r="2225">
      <c r="I2225">
        <f>IF(OR($A2225="",$B2225=""),"",IF(COUNTIFS($A$2:$A2225,$A2225,$B$2:$B2225,$B2225)=1,1,0))</f>
        <v/>
      </c>
      <c r="J2225">
        <f>IF($A2225="","",ROW())</f>
        <v/>
      </c>
    </row>
    <row r="2226">
      <c r="I2226">
        <f>IF(OR($A2226="",$B2226=""),"",IF(COUNTIFS($A$2:$A2226,$A2226,$B$2:$B2226,$B2226)=1,1,0))</f>
        <v/>
      </c>
      <c r="J2226">
        <f>IF($A2226="","",ROW())</f>
        <v/>
      </c>
    </row>
    <row r="2227">
      <c r="I2227">
        <f>IF(OR($A2227="",$B2227=""),"",IF(COUNTIFS($A$2:$A2227,$A2227,$B$2:$B2227,$B2227)=1,1,0))</f>
        <v/>
      </c>
      <c r="J2227">
        <f>IF($A2227="","",ROW())</f>
        <v/>
      </c>
    </row>
    <row r="2228">
      <c r="I2228">
        <f>IF(OR($A2228="",$B2228=""),"",IF(COUNTIFS($A$2:$A2228,$A2228,$B$2:$B2228,$B2228)=1,1,0))</f>
        <v/>
      </c>
      <c r="J2228">
        <f>IF($A2228="","",ROW())</f>
        <v/>
      </c>
    </row>
    <row r="2229">
      <c r="I2229">
        <f>IF(OR($A2229="",$B2229=""),"",IF(COUNTIFS($A$2:$A2229,$A2229,$B$2:$B2229,$B2229)=1,1,0))</f>
        <v/>
      </c>
      <c r="J2229">
        <f>IF($A2229="","",ROW())</f>
        <v/>
      </c>
    </row>
    <row r="2230">
      <c r="I2230">
        <f>IF(OR($A2230="",$B2230=""),"",IF(COUNTIFS($A$2:$A2230,$A2230,$B$2:$B2230,$B2230)=1,1,0))</f>
        <v/>
      </c>
      <c r="J2230">
        <f>IF($A2230="","",ROW())</f>
        <v/>
      </c>
    </row>
    <row r="2231">
      <c r="I2231">
        <f>IF(OR($A2231="",$B2231=""),"",IF(COUNTIFS($A$2:$A2231,$A2231,$B$2:$B2231,$B2231)=1,1,0))</f>
        <v/>
      </c>
      <c r="J2231">
        <f>IF($A2231="","",ROW())</f>
        <v/>
      </c>
    </row>
    <row r="2232">
      <c r="I2232">
        <f>IF(OR($A2232="",$B2232=""),"",IF(COUNTIFS($A$2:$A2232,$A2232,$B$2:$B2232,$B2232)=1,1,0))</f>
        <v/>
      </c>
      <c r="J2232">
        <f>IF($A2232="","",ROW())</f>
        <v/>
      </c>
    </row>
    <row r="2233">
      <c r="I2233">
        <f>IF(OR($A2233="",$B2233=""),"",IF(COUNTIFS($A$2:$A2233,$A2233,$B$2:$B2233,$B2233)=1,1,0))</f>
        <v/>
      </c>
      <c r="J2233">
        <f>IF($A2233="","",ROW())</f>
        <v/>
      </c>
    </row>
    <row r="2234">
      <c r="I2234">
        <f>IF(OR($A2234="",$B2234=""),"",IF(COUNTIFS($A$2:$A2234,$A2234,$B$2:$B2234,$B2234)=1,1,0))</f>
        <v/>
      </c>
      <c r="J2234">
        <f>IF($A2234="","",ROW())</f>
        <v/>
      </c>
    </row>
    <row r="2235">
      <c r="I2235">
        <f>IF(OR($A2235="",$B2235=""),"",IF(COUNTIFS($A$2:$A2235,$A2235,$B$2:$B2235,$B2235)=1,1,0))</f>
        <v/>
      </c>
      <c r="J2235">
        <f>IF($A2235="","",ROW())</f>
        <v/>
      </c>
    </row>
    <row r="2236">
      <c r="I2236">
        <f>IF(OR($A2236="",$B2236=""),"",IF(COUNTIFS($A$2:$A2236,$A2236,$B$2:$B2236,$B2236)=1,1,0))</f>
        <v/>
      </c>
      <c r="J2236">
        <f>IF($A2236="","",ROW())</f>
        <v/>
      </c>
    </row>
    <row r="2237">
      <c r="I2237">
        <f>IF(OR($A2237="",$B2237=""),"",IF(COUNTIFS($A$2:$A2237,$A2237,$B$2:$B2237,$B2237)=1,1,0))</f>
        <v/>
      </c>
      <c r="J2237">
        <f>IF($A2237="","",ROW())</f>
        <v/>
      </c>
    </row>
    <row r="2238">
      <c r="I2238">
        <f>IF(OR($A2238="",$B2238=""),"",IF(COUNTIFS($A$2:$A2238,$A2238,$B$2:$B2238,$B2238)=1,1,0))</f>
        <v/>
      </c>
      <c r="J2238">
        <f>IF($A2238="","",ROW())</f>
        <v/>
      </c>
    </row>
    <row r="2239">
      <c r="I2239">
        <f>IF(OR($A2239="",$B2239=""),"",IF(COUNTIFS($A$2:$A2239,$A2239,$B$2:$B2239,$B2239)=1,1,0))</f>
        <v/>
      </c>
      <c r="J2239">
        <f>IF($A2239="","",ROW())</f>
        <v/>
      </c>
    </row>
    <row r="2240">
      <c r="I2240">
        <f>IF(OR($A2240="",$B2240=""),"",IF(COUNTIFS($A$2:$A2240,$A2240,$B$2:$B2240,$B2240)=1,1,0))</f>
        <v/>
      </c>
      <c r="J2240">
        <f>IF($A2240="","",ROW())</f>
        <v/>
      </c>
    </row>
    <row r="2241">
      <c r="I2241">
        <f>IF(OR($A2241="",$B2241=""),"",IF(COUNTIFS($A$2:$A2241,$A2241,$B$2:$B2241,$B2241)=1,1,0))</f>
        <v/>
      </c>
      <c r="J2241">
        <f>IF($A2241="","",ROW())</f>
        <v/>
      </c>
    </row>
    <row r="2242">
      <c r="I2242">
        <f>IF(OR($A2242="",$B2242=""),"",IF(COUNTIFS($A$2:$A2242,$A2242,$B$2:$B2242,$B2242)=1,1,0))</f>
        <v/>
      </c>
      <c r="J2242">
        <f>IF($A2242="","",ROW())</f>
        <v/>
      </c>
    </row>
    <row r="2243">
      <c r="I2243">
        <f>IF(OR($A2243="",$B2243=""),"",IF(COUNTIFS($A$2:$A2243,$A2243,$B$2:$B2243,$B2243)=1,1,0))</f>
        <v/>
      </c>
      <c r="J2243">
        <f>IF($A2243="","",ROW())</f>
        <v/>
      </c>
    </row>
    <row r="2244">
      <c r="I2244">
        <f>IF(OR($A2244="",$B2244=""),"",IF(COUNTIFS($A$2:$A2244,$A2244,$B$2:$B2244,$B2244)=1,1,0))</f>
        <v/>
      </c>
      <c r="J2244">
        <f>IF($A2244="","",ROW())</f>
        <v/>
      </c>
    </row>
    <row r="2245">
      <c r="I2245">
        <f>IF(OR($A2245="",$B2245=""),"",IF(COUNTIFS($A$2:$A2245,$A2245,$B$2:$B2245,$B2245)=1,1,0))</f>
        <v/>
      </c>
      <c r="J2245">
        <f>IF($A2245="","",ROW())</f>
        <v/>
      </c>
    </row>
    <row r="2246">
      <c r="I2246">
        <f>IF(OR($A2246="",$B2246=""),"",IF(COUNTIFS($A$2:$A2246,$A2246,$B$2:$B2246,$B2246)=1,1,0))</f>
        <v/>
      </c>
      <c r="J2246">
        <f>IF($A2246="","",ROW())</f>
        <v/>
      </c>
    </row>
    <row r="2247">
      <c r="I2247">
        <f>IF(OR($A2247="",$B2247=""),"",IF(COUNTIFS($A$2:$A2247,$A2247,$B$2:$B2247,$B2247)=1,1,0))</f>
        <v/>
      </c>
      <c r="J2247">
        <f>IF($A2247="","",ROW())</f>
        <v/>
      </c>
    </row>
    <row r="2248">
      <c r="I2248">
        <f>IF(OR($A2248="",$B2248=""),"",IF(COUNTIFS($A$2:$A2248,$A2248,$B$2:$B2248,$B2248)=1,1,0))</f>
        <v/>
      </c>
      <c r="J2248">
        <f>IF($A2248="","",ROW())</f>
        <v/>
      </c>
    </row>
    <row r="2249">
      <c r="I2249">
        <f>IF(OR($A2249="",$B2249=""),"",IF(COUNTIFS($A$2:$A2249,$A2249,$B$2:$B2249,$B2249)=1,1,0))</f>
        <v/>
      </c>
      <c r="J2249">
        <f>IF($A2249="","",ROW())</f>
        <v/>
      </c>
    </row>
    <row r="2250">
      <c r="I2250">
        <f>IF(OR($A2250="",$B2250=""),"",IF(COUNTIFS($A$2:$A2250,$A2250,$B$2:$B2250,$B2250)=1,1,0))</f>
        <v/>
      </c>
      <c r="J2250">
        <f>IF($A2250="","",ROW())</f>
        <v/>
      </c>
    </row>
    <row r="2251">
      <c r="I2251">
        <f>IF(OR($A2251="",$B2251=""),"",IF(COUNTIFS($A$2:$A2251,$A2251,$B$2:$B2251,$B2251)=1,1,0))</f>
        <v/>
      </c>
      <c r="J2251">
        <f>IF($A2251="","",ROW())</f>
        <v/>
      </c>
    </row>
    <row r="2252">
      <c r="I2252">
        <f>IF(OR($A2252="",$B2252=""),"",IF(COUNTIFS($A$2:$A2252,$A2252,$B$2:$B2252,$B2252)=1,1,0))</f>
        <v/>
      </c>
      <c r="J2252">
        <f>IF($A2252="","",ROW())</f>
        <v/>
      </c>
    </row>
    <row r="2253">
      <c r="I2253">
        <f>IF(OR($A2253="",$B2253=""),"",IF(COUNTIFS($A$2:$A2253,$A2253,$B$2:$B2253,$B2253)=1,1,0))</f>
        <v/>
      </c>
      <c r="J2253">
        <f>IF($A2253="","",ROW())</f>
        <v/>
      </c>
    </row>
    <row r="2254">
      <c r="I2254">
        <f>IF(OR($A2254="",$B2254=""),"",IF(COUNTIFS($A$2:$A2254,$A2254,$B$2:$B2254,$B2254)=1,1,0))</f>
        <v/>
      </c>
      <c r="J2254">
        <f>IF($A2254="","",ROW())</f>
        <v/>
      </c>
    </row>
    <row r="2255">
      <c r="I2255">
        <f>IF(OR($A2255="",$B2255=""),"",IF(COUNTIFS($A$2:$A2255,$A2255,$B$2:$B2255,$B2255)=1,1,0))</f>
        <v/>
      </c>
      <c r="J2255">
        <f>IF($A2255="","",ROW())</f>
        <v/>
      </c>
    </row>
    <row r="2256">
      <c r="I2256">
        <f>IF(OR($A2256="",$B2256=""),"",IF(COUNTIFS($A$2:$A2256,$A2256,$B$2:$B2256,$B2256)=1,1,0))</f>
        <v/>
      </c>
      <c r="J2256">
        <f>IF($A2256="","",ROW())</f>
        <v/>
      </c>
    </row>
    <row r="2257">
      <c r="I2257">
        <f>IF(OR($A2257="",$B2257=""),"",IF(COUNTIFS($A$2:$A2257,$A2257,$B$2:$B2257,$B2257)=1,1,0))</f>
        <v/>
      </c>
      <c r="J2257">
        <f>IF($A2257="","",ROW())</f>
        <v/>
      </c>
    </row>
    <row r="2258">
      <c r="I2258">
        <f>IF(OR($A2258="",$B2258=""),"",IF(COUNTIFS($A$2:$A2258,$A2258,$B$2:$B2258,$B2258)=1,1,0))</f>
        <v/>
      </c>
      <c r="J2258">
        <f>IF($A2258="","",ROW())</f>
        <v/>
      </c>
    </row>
    <row r="2259">
      <c r="I2259">
        <f>IF(OR($A2259="",$B2259=""),"",IF(COUNTIFS($A$2:$A2259,$A2259,$B$2:$B2259,$B2259)=1,1,0))</f>
        <v/>
      </c>
      <c r="J2259">
        <f>IF($A2259="","",ROW())</f>
        <v/>
      </c>
    </row>
    <row r="2260">
      <c r="I2260">
        <f>IF(OR($A2260="",$B2260=""),"",IF(COUNTIFS($A$2:$A2260,$A2260,$B$2:$B2260,$B2260)=1,1,0))</f>
        <v/>
      </c>
      <c r="J2260">
        <f>IF($A2260="","",ROW())</f>
        <v/>
      </c>
    </row>
    <row r="2261">
      <c r="I2261">
        <f>IF(OR($A2261="",$B2261=""),"",IF(COUNTIFS($A$2:$A2261,$A2261,$B$2:$B2261,$B2261)=1,1,0))</f>
        <v/>
      </c>
      <c r="J2261">
        <f>IF($A2261="","",ROW())</f>
        <v/>
      </c>
    </row>
    <row r="2262">
      <c r="I2262">
        <f>IF(OR($A2262="",$B2262=""),"",IF(COUNTIFS($A$2:$A2262,$A2262,$B$2:$B2262,$B2262)=1,1,0))</f>
        <v/>
      </c>
      <c r="J2262">
        <f>IF($A2262="","",ROW())</f>
        <v/>
      </c>
    </row>
    <row r="2263">
      <c r="I2263">
        <f>IF(OR($A2263="",$B2263=""),"",IF(COUNTIFS($A$2:$A2263,$A2263,$B$2:$B2263,$B2263)=1,1,0))</f>
        <v/>
      </c>
      <c r="J2263">
        <f>IF($A2263="","",ROW())</f>
        <v/>
      </c>
    </row>
    <row r="2264">
      <c r="I2264">
        <f>IF(OR($A2264="",$B2264=""),"",IF(COUNTIFS($A$2:$A2264,$A2264,$B$2:$B2264,$B2264)=1,1,0))</f>
        <v/>
      </c>
      <c r="J2264">
        <f>IF($A2264="","",ROW())</f>
        <v/>
      </c>
    </row>
    <row r="2265">
      <c r="I2265">
        <f>IF(OR($A2265="",$B2265=""),"",IF(COUNTIFS($A$2:$A2265,$A2265,$B$2:$B2265,$B2265)=1,1,0))</f>
        <v/>
      </c>
      <c r="J2265">
        <f>IF($A2265="","",ROW())</f>
        <v/>
      </c>
    </row>
    <row r="2266">
      <c r="I2266">
        <f>IF(OR($A2266="",$B2266=""),"",IF(COUNTIFS($A$2:$A2266,$A2266,$B$2:$B2266,$B2266)=1,1,0))</f>
        <v/>
      </c>
      <c r="J2266">
        <f>IF($A2266="","",ROW())</f>
        <v/>
      </c>
    </row>
    <row r="2267">
      <c r="I2267">
        <f>IF(OR($A2267="",$B2267=""),"",IF(COUNTIFS($A$2:$A2267,$A2267,$B$2:$B2267,$B2267)=1,1,0))</f>
        <v/>
      </c>
      <c r="J2267">
        <f>IF($A2267="","",ROW())</f>
        <v/>
      </c>
    </row>
    <row r="2268">
      <c r="I2268">
        <f>IF(OR($A2268="",$B2268=""),"",IF(COUNTIFS($A$2:$A2268,$A2268,$B$2:$B2268,$B2268)=1,1,0))</f>
        <v/>
      </c>
      <c r="J2268">
        <f>IF($A2268="","",ROW())</f>
        <v/>
      </c>
    </row>
    <row r="2269">
      <c r="I2269">
        <f>IF(OR($A2269="",$B2269=""),"",IF(COUNTIFS($A$2:$A2269,$A2269,$B$2:$B2269,$B2269)=1,1,0))</f>
        <v/>
      </c>
      <c r="J2269">
        <f>IF($A2269="","",ROW())</f>
        <v/>
      </c>
    </row>
    <row r="2270">
      <c r="I2270">
        <f>IF(OR($A2270="",$B2270=""),"",IF(COUNTIFS($A$2:$A2270,$A2270,$B$2:$B2270,$B2270)=1,1,0))</f>
        <v/>
      </c>
      <c r="J2270">
        <f>IF($A2270="","",ROW())</f>
        <v/>
      </c>
    </row>
    <row r="2271">
      <c r="I2271">
        <f>IF(OR($A2271="",$B2271=""),"",IF(COUNTIFS($A$2:$A2271,$A2271,$B$2:$B2271,$B2271)=1,1,0))</f>
        <v/>
      </c>
      <c r="J2271">
        <f>IF($A2271="","",ROW())</f>
        <v/>
      </c>
    </row>
    <row r="2272">
      <c r="I2272">
        <f>IF(OR($A2272="",$B2272=""),"",IF(COUNTIFS($A$2:$A2272,$A2272,$B$2:$B2272,$B2272)=1,1,0))</f>
        <v/>
      </c>
      <c r="J2272">
        <f>IF($A2272="","",ROW())</f>
        <v/>
      </c>
    </row>
    <row r="2273">
      <c r="I2273">
        <f>IF(OR($A2273="",$B2273=""),"",IF(COUNTIFS($A$2:$A2273,$A2273,$B$2:$B2273,$B2273)=1,1,0))</f>
        <v/>
      </c>
      <c r="J2273">
        <f>IF($A2273="","",ROW())</f>
        <v/>
      </c>
    </row>
    <row r="2274">
      <c r="I2274">
        <f>IF(OR($A2274="",$B2274=""),"",IF(COUNTIFS($A$2:$A2274,$A2274,$B$2:$B2274,$B2274)=1,1,0))</f>
        <v/>
      </c>
      <c r="J2274">
        <f>IF($A2274="","",ROW())</f>
        <v/>
      </c>
    </row>
    <row r="2275">
      <c r="I2275">
        <f>IF(OR($A2275="",$B2275=""),"",IF(COUNTIFS($A$2:$A2275,$A2275,$B$2:$B2275,$B2275)=1,1,0))</f>
        <v/>
      </c>
      <c r="J2275">
        <f>IF($A2275="","",ROW())</f>
        <v/>
      </c>
    </row>
    <row r="2276">
      <c r="I2276">
        <f>IF(OR($A2276="",$B2276=""),"",IF(COUNTIFS($A$2:$A2276,$A2276,$B$2:$B2276,$B2276)=1,1,0))</f>
        <v/>
      </c>
      <c r="J2276">
        <f>IF($A2276="","",ROW())</f>
        <v/>
      </c>
    </row>
    <row r="2277">
      <c r="I2277">
        <f>IF(OR($A2277="",$B2277=""),"",IF(COUNTIFS($A$2:$A2277,$A2277,$B$2:$B2277,$B2277)=1,1,0))</f>
        <v/>
      </c>
      <c r="J2277">
        <f>IF($A2277="","",ROW())</f>
        <v/>
      </c>
    </row>
    <row r="2278">
      <c r="I2278">
        <f>IF(OR($A2278="",$B2278=""),"",IF(COUNTIFS($A$2:$A2278,$A2278,$B$2:$B2278,$B2278)=1,1,0))</f>
        <v/>
      </c>
      <c r="J2278">
        <f>IF($A2278="","",ROW())</f>
        <v/>
      </c>
    </row>
    <row r="2279">
      <c r="I2279">
        <f>IF(OR($A2279="",$B2279=""),"",IF(COUNTIFS($A$2:$A2279,$A2279,$B$2:$B2279,$B2279)=1,1,0))</f>
        <v/>
      </c>
      <c r="J2279">
        <f>IF($A2279="","",ROW())</f>
        <v/>
      </c>
    </row>
    <row r="2280">
      <c r="I2280">
        <f>IF(OR($A2280="",$B2280=""),"",IF(COUNTIFS($A$2:$A2280,$A2280,$B$2:$B2280,$B2280)=1,1,0))</f>
        <v/>
      </c>
      <c r="J2280">
        <f>IF($A2280="","",ROW())</f>
        <v/>
      </c>
    </row>
    <row r="2281">
      <c r="I2281">
        <f>IF(OR($A2281="",$B2281=""),"",IF(COUNTIFS($A$2:$A2281,$A2281,$B$2:$B2281,$B2281)=1,1,0))</f>
        <v/>
      </c>
      <c r="J2281">
        <f>IF($A2281="","",ROW())</f>
        <v/>
      </c>
    </row>
    <row r="2282">
      <c r="I2282">
        <f>IF(OR($A2282="",$B2282=""),"",IF(COUNTIFS($A$2:$A2282,$A2282,$B$2:$B2282,$B2282)=1,1,0))</f>
        <v/>
      </c>
      <c r="J2282">
        <f>IF($A2282="","",ROW())</f>
        <v/>
      </c>
    </row>
    <row r="2283">
      <c r="I2283">
        <f>IF(OR($A2283="",$B2283=""),"",IF(COUNTIFS($A$2:$A2283,$A2283,$B$2:$B2283,$B2283)=1,1,0))</f>
        <v/>
      </c>
      <c r="J2283">
        <f>IF($A2283="","",ROW())</f>
        <v/>
      </c>
    </row>
    <row r="2284">
      <c r="I2284">
        <f>IF(OR($A2284="",$B2284=""),"",IF(COUNTIFS($A$2:$A2284,$A2284,$B$2:$B2284,$B2284)=1,1,0))</f>
        <v/>
      </c>
      <c r="J2284">
        <f>IF($A2284="","",ROW())</f>
        <v/>
      </c>
    </row>
    <row r="2285">
      <c r="I2285">
        <f>IF(OR($A2285="",$B2285=""),"",IF(COUNTIFS($A$2:$A2285,$A2285,$B$2:$B2285,$B2285)=1,1,0))</f>
        <v/>
      </c>
      <c r="J2285">
        <f>IF($A2285="","",ROW())</f>
        <v/>
      </c>
    </row>
    <row r="2286">
      <c r="I2286">
        <f>IF(OR($A2286="",$B2286=""),"",IF(COUNTIFS($A$2:$A2286,$A2286,$B$2:$B2286,$B2286)=1,1,0))</f>
        <v/>
      </c>
      <c r="J2286">
        <f>IF($A2286="","",ROW())</f>
        <v/>
      </c>
    </row>
    <row r="2287">
      <c r="I2287">
        <f>IF(OR($A2287="",$B2287=""),"",IF(COUNTIFS($A$2:$A2287,$A2287,$B$2:$B2287,$B2287)=1,1,0))</f>
        <v/>
      </c>
      <c r="J2287">
        <f>IF($A2287="","",ROW())</f>
        <v/>
      </c>
    </row>
    <row r="2288">
      <c r="I2288">
        <f>IF(OR($A2288="",$B2288=""),"",IF(COUNTIFS($A$2:$A2288,$A2288,$B$2:$B2288,$B2288)=1,1,0))</f>
        <v/>
      </c>
      <c r="J2288">
        <f>IF($A2288="","",ROW())</f>
        <v/>
      </c>
    </row>
    <row r="2289">
      <c r="I2289">
        <f>IF(OR($A2289="",$B2289=""),"",IF(COUNTIFS($A$2:$A2289,$A2289,$B$2:$B2289,$B2289)=1,1,0))</f>
        <v/>
      </c>
      <c r="J2289">
        <f>IF($A2289="","",ROW())</f>
        <v/>
      </c>
    </row>
    <row r="2290">
      <c r="I2290">
        <f>IF(OR($A2290="",$B2290=""),"",IF(COUNTIFS($A$2:$A2290,$A2290,$B$2:$B2290,$B2290)=1,1,0))</f>
        <v/>
      </c>
      <c r="J2290">
        <f>IF($A2290="","",ROW())</f>
        <v/>
      </c>
    </row>
    <row r="2291">
      <c r="I2291">
        <f>IF(OR($A2291="",$B2291=""),"",IF(COUNTIFS($A$2:$A2291,$A2291,$B$2:$B2291,$B2291)=1,1,0))</f>
        <v/>
      </c>
      <c r="J2291">
        <f>IF($A2291="","",ROW())</f>
        <v/>
      </c>
    </row>
    <row r="2292">
      <c r="I2292">
        <f>IF(OR($A2292="",$B2292=""),"",IF(COUNTIFS($A$2:$A2292,$A2292,$B$2:$B2292,$B2292)=1,1,0))</f>
        <v/>
      </c>
      <c r="J2292">
        <f>IF($A2292="","",ROW())</f>
        <v/>
      </c>
    </row>
    <row r="2293">
      <c r="I2293">
        <f>IF(OR($A2293="",$B2293=""),"",IF(COUNTIFS($A$2:$A2293,$A2293,$B$2:$B2293,$B2293)=1,1,0))</f>
        <v/>
      </c>
      <c r="J2293">
        <f>IF($A2293="","",ROW())</f>
        <v/>
      </c>
    </row>
    <row r="2294">
      <c r="I2294">
        <f>IF(OR($A2294="",$B2294=""),"",IF(COUNTIFS($A$2:$A2294,$A2294,$B$2:$B2294,$B2294)=1,1,0))</f>
        <v/>
      </c>
      <c r="J2294">
        <f>IF($A2294="","",ROW())</f>
        <v/>
      </c>
    </row>
    <row r="2295">
      <c r="I2295">
        <f>IF(OR($A2295="",$B2295=""),"",IF(COUNTIFS($A$2:$A2295,$A2295,$B$2:$B2295,$B2295)=1,1,0))</f>
        <v/>
      </c>
      <c r="J2295">
        <f>IF($A2295="","",ROW())</f>
        <v/>
      </c>
    </row>
    <row r="2296">
      <c r="I2296">
        <f>IF(OR($A2296="",$B2296=""),"",IF(COUNTIFS($A$2:$A2296,$A2296,$B$2:$B2296,$B2296)=1,1,0))</f>
        <v/>
      </c>
      <c r="J2296">
        <f>IF($A2296="","",ROW())</f>
        <v/>
      </c>
    </row>
    <row r="2297">
      <c r="I2297">
        <f>IF(OR($A2297="",$B2297=""),"",IF(COUNTIFS($A$2:$A2297,$A2297,$B$2:$B2297,$B2297)=1,1,0))</f>
        <v/>
      </c>
      <c r="J2297">
        <f>IF($A2297="","",ROW())</f>
        <v/>
      </c>
    </row>
    <row r="2298">
      <c r="I2298">
        <f>IF(OR($A2298="",$B2298=""),"",IF(COUNTIFS($A$2:$A2298,$A2298,$B$2:$B2298,$B2298)=1,1,0))</f>
        <v/>
      </c>
      <c r="J2298">
        <f>IF($A2298="","",ROW())</f>
        <v/>
      </c>
    </row>
    <row r="2299">
      <c r="I2299">
        <f>IF(OR($A2299="",$B2299=""),"",IF(COUNTIFS($A$2:$A2299,$A2299,$B$2:$B2299,$B2299)=1,1,0))</f>
        <v/>
      </c>
      <c r="J2299">
        <f>IF($A2299="","",ROW())</f>
        <v/>
      </c>
    </row>
    <row r="2300">
      <c r="I2300">
        <f>IF(OR($A2300="",$B2300=""),"",IF(COUNTIFS($A$2:$A2300,$A2300,$B$2:$B2300,$B2300)=1,1,0))</f>
        <v/>
      </c>
      <c r="J2300">
        <f>IF($A2300="","",ROW())</f>
        <v/>
      </c>
    </row>
    <row r="2301">
      <c r="I2301">
        <f>IF(OR($A2301="",$B2301=""),"",IF(COUNTIFS($A$2:$A2301,$A2301,$B$2:$B2301,$B2301)=1,1,0))</f>
        <v/>
      </c>
      <c r="J2301">
        <f>IF($A2301="","",ROW())</f>
        <v/>
      </c>
    </row>
    <row r="2302">
      <c r="I2302">
        <f>IF(OR($A2302="",$B2302=""),"",IF(COUNTIFS($A$2:$A2302,$A2302,$B$2:$B2302,$B2302)=1,1,0))</f>
        <v/>
      </c>
      <c r="J2302">
        <f>IF($A2302="","",ROW())</f>
        <v/>
      </c>
    </row>
    <row r="2303">
      <c r="I2303">
        <f>IF(OR($A2303="",$B2303=""),"",IF(COUNTIFS($A$2:$A2303,$A2303,$B$2:$B2303,$B2303)=1,1,0))</f>
        <v/>
      </c>
      <c r="J2303">
        <f>IF($A2303="","",ROW())</f>
        <v/>
      </c>
    </row>
    <row r="2304">
      <c r="I2304">
        <f>IF(OR($A2304="",$B2304=""),"",IF(COUNTIFS($A$2:$A2304,$A2304,$B$2:$B2304,$B2304)=1,1,0))</f>
        <v/>
      </c>
      <c r="J2304">
        <f>IF($A2304="","",ROW())</f>
        <v/>
      </c>
    </row>
    <row r="2305">
      <c r="I2305">
        <f>IF(OR($A2305="",$B2305=""),"",IF(COUNTIFS($A$2:$A2305,$A2305,$B$2:$B2305,$B2305)=1,1,0))</f>
        <v/>
      </c>
      <c r="J2305">
        <f>IF($A2305="","",ROW())</f>
        <v/>
      </c>
    </row>
    <row r="2306">
      <c r="I2306">
        <f>IF(OR($A2306="",$B2306=""),"",IF(COUNTIFS($A$2:$A2306,$A2306,$B$2:$B2306,$B2306)=1,1,0))</f>
        <v/>
      </c>
      <c r="J2306">
        <f>IF($A2306="","",ROW())</f>
        <v/>
      </c>
    </row>
    <row r="2307">
      <c r="I2307">
        <f>IF(OR($A2307="",$B2307=""),"",IF(COUNTIFS($A$2:$A2307,$A2307,$B$2:$B2307,$B2307)=1,1,0))</f>
        <v/>
      </c>
      <c r="J2307">
        <f>IF($A2307="","",ROW())</f>
        <v/>
      </c>
    </row>
    <row r="2308">
      <c r="I2308">
        <f>IF(OR($A2308="",$B2308=""),"",IF(COUNTIFS($A$2:$A2308,$A2308,$B$2:$B2308,$B2308)=1,1,0))</f>
        <v/>
      </c>
      <c r="J2308">
        <f>IF($A2308="","",ROW())</f>
        <v/>
      </c>
    </row>
    <row r="2309">
      <c r="I2309">
        <f>IF(OR($A2309="",$B2309=""),"",IF(COUNTIFS($A$2:$A2309,$A2309,$B$2:$B2309,$B2309)=1,1,0))</f>
        <v/>
      </c>
      <c r="J2309">
        <f>IF($A2309="","",ROW())</f>
        <v/>
      </c>
    </row>
    <row r="2310">
      <c r="I2310">
        <f>IF(OR($A2310="",$B2310=""),"",IF(COUNTIFS($A$2:$A2310,$A2310,$B$2:$B2310,$B2310)=1,1,0))</f>
        <v/>
      </c>
      <c r="J2310">
        <f>IF($A2310="","",ROW())</f>
        <v/>
      </c>
    </row>
    <row r="2311">
      <c r="I2311">
        <f>IF(OR($A2311="",$B2311=""),"",IF(COUNTIFS($A$2:$A2311,$A2311,$B$2:$B2311,$B2311)=1,1,0))</f>
        <v/>
      </c>
      <c r="J2311">
        <f>IF($A2311="","",ROW())</f>
        <v/>
      </c>
    </row>
    <row r="2312">
      <c r="I2312">
        <f>IF(OR($A2312="",$B2312=""),"",IF(COUNTIFS($A$2:$A2312,$A2312,$B$2:$B2312,$B2312)=1,1,0))</f>
        <v/>
      </c>
      <c r="J2312">
        <f>IF($A2312="","",ROW())</f>
        <v/>
      </c>
    </row>
    <row r="2313">
      <c r="I2313">
        <f>IF(OR($A2313="",$B2313=""),"",IF(COUNTIFS($A$2:$A2313,$A2313,$B$2:$B2313,$B2313)=1,1,0))</f>
        <v/>
      </c>
      <c r="J2313">
        <f>IF($A2313="","",ROW())</f>
        <v/>
      </c>
    </row>
    <row r="2314">
      <c r="I2314">
        <f>IF(OR($A2314="",$B2314=""),"",IF(COUNTIFS($A$2:$A2314,$A2314,$B$2:$B2314,$B2314)=1,1,0))</f>
        <v/>
      </c>
      <c r="J2314">
        <f>IF($A2314="","",ROW())</f>
        <v/>
      </c>
    </row>
    <row r="2315">
      <c r="I2315">
        <f>IF(OR($A2315="",$B2315=""),"",IF(COUNTIFS($A$2:$A2315,$A2315,$B$2:$B2315,$B2315)=1,1,0))</f>
        <v/>
      </c>
      <c r="J2315">
        <f>IF($A2315="","",ROW())</f>
        <v/>
      </c>
    </row>
    <row r="2316">
      <c r="I2316">
        <f>IF(OR($A2316="",$B2316=""),"",IF(COUNTIFS($A$2:$A2316,$A2316,$B$2:$B2316,$B2316)=1,1,0))</f>
        <v/>
      </c>
      <c r="J2316">
        <f>IF($A2316="","",ROW())</f>
        <v/>
      </c>
    </row>
    <row r="2317">
      <c r="I2317">
        <f>IF(OR($A2317="",$B2317=""),"",IF(COUNTIFS($A$2:$A2317,$A2317,$B$2:$B2317,$B2317)=1,1,0))</f>
        <v/>
      </c>
      <c r="J2317">
        <f>IF($A2317="","",ROW())</f>
        <v/>
      </c>
    </row>
    <row r="2318">
      <c r="I2318">
        <f>IF(OR($A2318="",$B2318=""),"",IF(COUNTIFS($A$2:$A2318,$A2318,$B$2:$B2318,$B2318)=1,1,0))</f>
        <v/>
      </c>
      <c r="J2318">
        <f>IF($A2318="","",ROW())</f>
        <v/>
      </c>
    </row>
    <row r="2319">
      <c r="I2319">
        <f>IF(OR($A2319="",$B2319=""),"",IF(COUNTIFS($A$2:$A2319,$A2319,$B$2:$B2319,$B2319)=1,1,0))</f>
        <v/>
      </c>
      <c r="J2319">
        <f>IF($A2319="","",ROW())</f>
        <v/>
      </c>
    </row>
    <row r="2320">
      <c r="I2320">
        <f>IF(OR($A2320="",$B2320=""),"",IF(COUNTIFS($A$2:$A2320,$A2320,$B$2:$B2320,$B2320)=1,1,0))</f>
        <v/>
      </c>
      <c r="J2320">
        <f>IF($A2320="","",ROW())</f>
        <v/>
      </c>
    </row>
    <row r="2321">
      <c r="I2321">
        <f>IF(OR($A2321="",$B2321=""),"",IF(COUNTIFS($A$2:$A2321,$A2321,$B$2:$B2321,$B2321)=1,1,0))</f>
        <v/>
      </c>
      <c r="J2321">
        <f>IF($A2321="","",ROW())</f>
        <v/>
      </c>
    </row>
    <row r="2322">
      <c r="I2322">
        <f>IF(OR($A2322="",$B2322=""),"",IF(COUNTIFS($A$2:$A2322,$A2322,$B$2:$B2322,$B2322)=1,1,0))</f>
        <v/>
      </c>
      <c r="J2322">
        <f>IF($A2322="","",ROW())</f>
        <v/>
      </c>
    </row>
    <row r="2323">
      <c r="I2323">
        <f>IF(OR($A2323="",$B2323=""),"",IF(COUNTIFS($A$2:$A2323,$A2323,$B$2:$B2323,$B2323)=1,1,0))</f>
        <v/>
      </c>
      <c r="J2323">
        <f>IF($A2323="","",ROW())</f>
        <v/>
      </c>
    </row>
    <row r="2324">
      <c r="I2324">
        <f>IF(OR($A2324="",$B2324=""),"",IF(COUNTIFS($A$2:$A2324,$A2324,$B$2:$B2324,$B2324)=1,1,0))</f>
        <v/>
      </c>
      <c r="J2324">
        <f>IF($A2324="","",ROW())</f>
        <v/>
      </c>
    </row>
    <row r="2325">
      <c r="I2325">
        <f>IF(OR($A2325="",$B2325=""),"",IF(COUNTIFS($A$2:$A2325,$A2325,$B$2:$B2325,$B2325)=1,1,0))</f>
        <v/>
      </c>
      <c r="J2325">
        <f>IF($A2325="","",ROW())</f>
        <v/>
      </c>
    </row>
    <row r="2326">
      <c r="I2326">
        <f>IF(OR($A2326="",$B2326=""),"",IF(COUNTIFS($A$2:$A2326,$A2326,$B$2:$B2326,$B2326)=1,1,0))</f>
        <v/>
      </c>
      <c r="J2326">
        <f>IF($A2326="","",ROW())</f>
        <v/>
      </c>
    </row>
    <row r="2327">
      <c r="I2327">
        <f>IF(OR($A2327="",$B2327=""),"",IF(COUNTIFS($A$2:$A2327,$A2327,$B$2:$B2327,$B2327)=1,1,0))</f>
        <v/>
      </c>
      <c r="J2327">
        <f>IF($A2327="","",ROW())</f>
        <v/>
      </c>
    </row>
    <row r="2328">
      <c r="I2328">
        <f>IF(OR($A2328="",$B2328=""),"",IF(COUNTIFS($A$2:$A2328,$A2328,$B$2:$B2328,$B2328)=1,1,0))</f>
        <v/>
      </c>
      <c r="J2328">
        <f>IF($A2328="","",ROW())</f>
        <v/>
      </c>
    </row>
    <row r="2329">
      <c r="I2329">
        <f>IF(OR($A2329="",$B2329=""),"",IF(COUNTIFS($A$2:$A2329,$A2329,$B$2:$B2329,$B2329)=1,1,0))</f>
        <v/>
      </c>
      <c r="J2329">
        <f>IF($A2329="","",ROW())</f>
        <v/>
      </c>
    </row>
    <row r="2330">
      <c r="I2330">
        <f>IF(OR($A2330="",$B2330=""),"",IF(COUNTIFS($A$2:$A2330,$A2330,$B$2:$B2330,$B2330)=1,1,0))</f>
        <v/>
      </c>
      <c r="J2330">
        <f>IF($A2330="","",ROW())</f>
        <v/>
      </c>
    </row>
    <row r="2331">
      <c r="I2331">
        <f>IF(OR($A2331="",$B2331=""),"",IF(COUNTIFS($A$2:$A2331,$A2331,$B$2:$B2331,$B2331)=1,1,0))</f>
        <v/>
      </c>
      <c r="J2331">
        <f>IF($A2331="","",ROW())</f>
        <v/>
      </c>
    </row>
    <row r="2332">
      <c r="I2332">
        <f>IF(OR($A2332="",$B2332=""),"",IF(COUNTIFS($A$2:$A2332,$A2332,$B$2:$B2332,$B2332)=1,1,0))</f>
        <v/>
      </c>
      <c r="J2332">
        <f>IF($A2332="","",ROW())</f>
        <v/>
      </c>
    </row>
    <row r="2333">
      <c r="I2333">
        <f>IF(OR($A2333="",$B2333=""),"",IF(COUNTIFS($A$2:$A2333,$A2333,$B$2:$B2333,$B2333)=1,1,0))</f>
        <v/>
      </c>
      <c r="J2333">
        <f>IF($A2333="","",ROW())</f>
        <v/>
      </c>
    </row>
    <row r="2334">
      <c r="I2334">
        <f>IF(OR($A2334="",$B2334=""),"",IF(COUNTIFS($A$2:$A2334,$A2334,$B$2:$B2334,$B2334)=1,1,0))</f>
        <v/>
      </c>
      <c r="J2334">
        <f>IF($A2334="","",ROW())</f>
        <v/>
      </c>
    </row>
    <row r="2335">
      <c r="I2335">
        <f>IF(OR($A2335="",$B2335=""),"",IF(COUNTIFS($A$2:$A2335,$A2335,$B$2:$B2335,$B2335)=1,1,0))</f>
        <v/>
      </c>
      <c r="J2335">
        <f>IF($A2335="","",ROW())</f>
        <v/>
      </c>
    </row>
    <row r="2336">
      <c r="I2336">
        <f>IF(OR($A2336="",$B2336=""),"",IF(COUNTIFS($A$2:$A2336,$A2336,$B$2:$B2336,$B2336)=1,1,0))</f>
        <v/>
      </c>
      <c r="J2336">
        <f>IF($A2336="","",ROW())</f>
        <v/>
      </c>
    </row>
    <row r="2337">
      <c r="I2337">
        <f>IF(OR($A2337="",$B2337=""),"",IF(COUNTIFS($A$2:$A2337,$A2337,$B$2:$B2337,$B2337)=1,1,0))</f>
        <v/>
      </c>
      <c r="J2337">
        <f>IF($A2337="","",ROW())</f>
        <v/>
      </c>
    </row>
    <row r="2338">
      <c r="I2338">
        <f>IF(OR($A2338="",$B2338=""),"",IF(COUNTIFS($A$2:$A2338,$A2338,$B$2:$B2338,$B2338)=1,1,0))</f>
        <v/>
      </c>
      <c r="J2338">
        <f>IF($A2338="","",ROW())</f>
        <v/>
      </c>
    </row>
    <row r="2339">
      <c r="I2339">
        <f>IF(OR($A2339="",$B2339=""),"",IF(COUNTIFS($A$2:$A2339,$A2339,$B$2:$B2339,$B2339)=1,1,0))</f>
        <v/>
      </c>
      <c r="J2339">
        <f>IF($A2339="","",ROW())</f>
        <v/>
      </c>
    </row>
    <row r="2340">
      <c r="I2340">
        <f>IF(OR($A2340="",$B2340=""),"",IF(COUNTIFS($A$2:$A2340,$A2340,$B$2:$B2340,$B2340)=1,1,0))</f>
        <v/>
      </c>
      <c r="J2340">
        <f>IF($A2340="","",ROW())</f>
        <v/>
      </c>
    </row>
    <row r="2341">
      <c r="I2341">
        <f>IF(OR($A2341="",$B2341=""),"",IF(COUNTIFS($A$2:$A2341,$A2341,$B$2:$B2341,$B2341)=1,1,0))</f>
        <v/>
      </c>
      <c r="J2341">
        <f>IF($A2341="","",ROW())</f>
        <v/>
      </c>
    </row>
    <row r="2342">
      <c r="I2342">
        <f>IF(OR($A2342="",$B2342=""),"",IF(COUNTIFS($A$2:$A2342,$A2342,$B$2:$B2342,$B2342)=1,1,0))</f>
        <v/>
      </c>
      <c r="J2342">
        <f>IF($A2342="","",ROW())</f>
        <v/>
      </c>
    </row>
    <row r="2343">
      <c r="I2343">
        <f>IF(OR($A2343="",$B2343=""),"",IF(COUNTIFS($A$2:$A2343,$A2343,$B$2:$B2343,$B2343)=1,1,0))</f>
        <v/>
      </c>
      <c r="J2343">
        <f>IF($A2343="","",ROW())</f>
        <v/>
      </c>
    </row>
    <row r="2344">
      <c r="I2344">
        <f>IF(OR($A2344="",$B2344=""),"",IF(COUNTIFS($A$2:$A2344,$A2344,$B$2:$B2344,$B2344)=1,1,0))</f>
        <v/>
      </c>
      <c r="J2344">
        <f>IF($A2344="","",ROW())</f>
        <v/>
      </c>
    </row>
    <row r="2345">
      <c r="I2345">
        <f>IF(OR($A2345="",$B2345=""),"",IF(COUNTIFS($A$2:$A2345,$A2345,$B$2:$B2345,$B2345)=1,1,0))</f>
        <v/>
      </c>
      <c r="J2345">
        <f>IF($A2345="","",ROW())</f>
        <v/>
      </c>
    </row>
    <row r="2346">
      <c r="I2346">
        <f>IF(OR($A2346="",$B2346=""),"",IF(COUNTIFS($A$2:$A2346,$A2346,$B$2:$B2346,$B2346)=1,1,0))</f>
        <v/>
      </c>
      <c r="J2346">
        <f>IF($A2346="","",ROW())</f>
        <v/>
      </c>
    </row>
    <row r="2347">
      <c r="I2347">
        <f>IF(OR($A2347="",$B2347=""),"",IF(COUNTIFS($A$2:$A2347,$A2347,$B$2:$B2347,$B2347)=1,1,0))</f>
        <v/>
      </c>
      <c r="J2347">
        <f>IF($A2347="","",ROW())</f>
        <v/>
      </c>
    </row>
    <row r="2348">
      <c r="I2348">
        <f>IF(OR($A2348="",$B2348=""),"",IF(COUNTIFS($A$2:$A2348,$A2348,$B$2:$B2348,$B2348)=1,1,0))</f>
        <v/>
      </c>
      <c r="J2348">
        <f>IF($A2348="","",ROW())</f>
        <v/>
      </c>
    </row>
    <row r="2349">
      <c r="I2349">
        <f>IF(OR($A2349="",$B2349=""),"",IF(COUNTIFS($A$2:$A2349,$A2349,$B$2:$B2349,$B2349)=1,1,0))</f>
        <v/>
      </c>
      <c r="J2349">
        <f>IF($A2349="","",ROW())</f>
        <v/>
      </c>
    </row>
    <row r="2350">
      <c r="I2350">
        <f>IF(OR($A2350="",$B2350=""),"",IF(COUNTIFS($A$2:$A2350,$A2350,$B$2:$B2350,$B2350)=1,1,0))</f>
        <v/>
      </c>
      <c r="J2350">
        <f>IF($A2350="","",ROW())</f>
        <v/>
      </c>
    </row>
    <row r="2351">
      <c r="I2351">
        <f>IF(OR($A2351="",$B2351=""),"",IF(COUNTIFS($A$2:$A2351,$A2351,$B$2:$B2351,$B2351)=1,1,0))</f>
        <v/>
      </c>
      <c r="J2351">
        <f>IF($A2351="","",ROW())</f>
        <v/>
      </c>
    </row>
    <row r="2352">
      <c r="I2352">
        <f>IF(OR($A2352="",$B2352=""),"",IF(COUNTIFS($A$2:$A2352,$A2352,$B$2:$B2352,$B2352)=1,1,0))</f>
        <v/>
      </c>
      <c r="J2352">
        <f>IF($A2352="","",ROW())</f>
        <v/>
      </c>
    </row>
    <row r="2353">
      <c r="I2353">
        <f>IF(OR($A2353="",$B2353=""),"",IF(COUNTIFS($A$2:$A2353,$A2353,$B$2:$B2353,$B2353)=1,1,0))</f>
        <v/>
      </c>
      <c r="J2353">
        <f>IF($A2353="","",ROW())</f>
        <v/>
      </c>
    </row>
    <row r="2354">
      <c r="I2354">
        <f>IF(OR($A2354="",$B2354=""),"",IF(COUNTIFS($A$2:$A2354,$A2354,$B$2:$B2354,$B2354)=1,1,0))</f>
        <v/>
      </c>
      <c r="J2354">
        <f>IF($A2354="","",ROW())</f>
        <v/>
      </c>
    </row>
    <row r="2355">
      <c r="I2355">
        <f>IF(OR($A2355="",$B2355=""),"",IF(COUNTIFS($A$2:$A2355,$A2355,$B$2:$B2355,$B2355)=1,1,0))</f>
        <v/>
      </c>
      <c r="J2355">
        <f>IF($A2355="","",ROW())</f>
        <v/>
      </c>
    </row>
    <row r="2356">
      <c r="I2356">
        <f>IF(OR($A2356="",$B2356=""),"",IF(COUNTIFS($A$2:$A2356,$A2356,$B$2:$B2356,$B2356)=1,1,0))</f>
        <v/>
      </c>
      <c r="J2356">
        <f>IF($A2356="","",ROW())</f>
        <v/>
      </c>
    </row>
    <row r="2357">
      <c r="I2357">
        <f>IF(OR($A2357="",$B2357=""),"",IF(COUNTIFS($A$2:$A2357,$A2357,$B$2:$B2357,$B2357)=1,1,0))</f>
        <v/>
      </c>
      <c r="J2357">
        <f>IF($A2357="","",ROW())</f>
        <v/>
      </c>
    </row>
    <row r="2358">
      <c r="I2358">
        <f>IF(OR($A2358="",$B2358=""),"",IF(COUNTIFS($A$2:$A2358,$A2358,$B$2:$B2358,$B2358)=1,1,0))</f>
        <v/>
      </c>
      <c r="J2358">
        <f>IF($A2358="","",ROW())</f>
        <v/>
      </c>
    </row>
    <row r="2359">
      <c r="I2359">
        <f>IF(OR($A2359="",$B2359=""),"",IF(COUNTIFS($A$2:$A2359,$A2359,$B$2:$B2359,$B2359)=1,1,0))</f>
        <v/>
      </c>
      <c r="J2359">
        <f>IF($A2359="","",ROW())</f>
        <v/>
      </c>
    </row>
    <row r="2360">
      <c r="I2360">
        <f>IF(OR($A2360="",$B2360=""),"",IF(COUNTIFS($A$2:$A2360,$A2360,$B$2:$B2360,$B2360)=1,1,0))</f>
        <v/>
      </c>
      <c r="J2360">
        <f>IF($A2360="","",ROW())</f>
        <v/>
      </c>
    </row>
    <row r="2361">
      <c r="I2361">
        <f>IF(OR($A2361="",$B2361=""),"",IF(COUNTIFS($A$2:$A2361,$A2361,$B$2:$B2361,$B2361)=1,1,0))</f>
        <v/>
      </c>
      <c r="J2361">
        <f>IF($A2361="","",ROW())</f>
        <v/>
      </c>
    </row>
    <row r="2362">
      <c r="I2362">
        <f>IF(OR($A2362="",$B2362=""),"",IF(COUNTIFS($A$2:$A2362,$A2362,$B$2:$B2362,$B2362)=1,1,0))</f>
        <v/>
      </c>
      <c r="J2362">
        <f>IF($A2362="","",ROW())</f>
        <v/>
      </c>
    </row>
    <row r="2363">
      <c r="I2363">
        <f>IF(OR($A2363="",$B2363=""),"",IF(COUNTIFS($A$2:$A2363,$A2363,$B$2:$B2363,$B2363)=1,1,0))</f>
        <v/>
      </c>
      <c r="J2363">
        <f>IF($A2363="","",ROW())</f>
        <v/>
      </c>
    </row>
    <row r="2364">
      <c r="I2364">
        <f>IF(OR($A2364="",$B2364=""),"",IF(COUNTIFS($A$2:$A2364,$A2364,$B$2:$B2364,$B2364)=1,1,0))</f>
        <v/>
      </c>
      <c r="J2364">
        <f>IF($A2364="","",ROW())</f>
        <v/>
      </c>
    </row>
    <row r="2365">
      <c r="I2365">
        <f>IF(OR($A2365="",$B2365=""),"",IF(COUNTIFS($A$2:$A2365,$A2365,$B$2:$B2365,$B2365)=1,1,0))</f>
        <v/>
      </c>
      <c r="J2365">
        <f>IF($A2365="","",ROW())</f>
        <v/>
      </c>
    </row>
    <row r="2366">
      <c r="I2366">
        <f>IF(OR($A2366="",$B2366=""),"",IF(COUNTIFS($A$2:$A2366,$A2366,$B$2:$B2366,$B2366)=1,1,0))</f>
        <v/>
      </c>
      <c r="J2366">
        <f>IF($A2366="","",ROW())</f>
        <v/>
      </c>
    </row>
    <row r="2367">
      <c r="I2367">
        <f>IF(OR($A2367="",$B2367=""),"",IF(COUNTIFS($A$2:$A2367,$A2367,$B$2:$B2367,$B2367)=1,1,0))</f>
        <v/>
      </c>
      <c r="J2367">
        <f>IF($A2367="","",ROW())</f>
        <v/>
      </c>
    </row>
    <row r="2368">
      <c r="I2368">
        <f>IF(OR($A2368="",$B2368=""),"",IF(COUNTIFS($A$2:$A2368,$A2368,$B$2:$B2368,$B2368)=1,1,0))</f>
        <v/>
      </c>
      <c r="J2368">
        <f>IF($A2368="","",ROW())</f>
        <v/>
      </c>
    </row>
    <row r="2369">
      <c r="I2369">
        <f>IF(OR($A2369="",$B2369=""),"",IF(COUNTIFS($A$2:$A2369,$A2369,$B$2:$B2369,$B2369)=1,1,0))</f>
        <v/>
      </c>
      <c r="J2369">
        <f>IF($A2369="","",ROW())</f>
        <v/>
      </c>
    </row>
    <row r="2370">
      <c r="I2370">
        <f>IF(OR($A2370="",$B2370=""),"",IF(COUNTIFS($A$2:$A2370,$A2370,$B$2:$B2370,$B2370)=1,1,0))</f>
        <v/>
      </c>
      <c r="J2370">
        <f>IF($A2370="","",ROW())</f>
        <v/>
      </c>
    </row>
    <row r="2371">
      <c r="I2371">
        <f>IF(OR($A2371="",$B2371=""),"",IF(COUNTIFS($A$2:$A2371,$A2371,$B$2:$B2371,$B2371)=1,1,0))</f>
        <v/>
      </c>
      <c r="J2371">
        <f>IF($A2371="","",ROW())</f>
        <v/>
      </c>
    </row>
    <row r="2372">
      <c r="I2372">
        <f>IF(OR($A2372="",$B2372=""),"",IF(COUNTIFS($A$2:$A2372,$A2372,$B$2:$B2372,$B2372)=1,1,0))</f>
        <v/>
      </c>
      <c r="J2372">
        <f>IF($A2372="","",ROW())</f>
        <v/>
      </c>
    </row>
    <row r="2373">
      <c r="I2373">
        <f>IF(OR($A2373="",$B2373=""),"",IF(COUNTIFS($A$2:$A2373,$A2373,$B$2:$B2373,$B2373)=1,1,0))</f>
        <v/>
      </c>
      <c r="J2373">
        <f>IF($A2373="","",ROW())</f>
        <v/>
      </c>
    </row>
    <row r="2374">
      <c r="I2374">
        <f>IF(OR($A2374="",$B2374=""),"",IF(COUNTIFS($A$2:$A2374,$A2374,$B$2:$B2374,$B2374)=1,1,0))</f>
        <v/>
      </c>
      <c r="J2374">
        <f>IF($A2374="","",ROW())</f>
        <v/>
      </c>
    </row>
    <row r="2375">
      <c r="I2375">
        <f>IF(OR($A2375="",$B2375=""),"",IF(COUNTIFS($A$2:$A2375,$A2375,$B$2:$B2375,$B2375)=1,1,0))</f>
        <v/>
      </c>
      <c r="J2375">
        <f>IF($A2375="","",ROW())</f>
        <v/>
      </c>
    </row>
    <row r="2376">
      <c r="I2376">
        <f>IF(OR($A2376="",$B2376=""),"",IF(COUNTIFS($A$2:$A2376,$A2376,$B$2:$B2376,$B2376)=1,1,0))</f>
        <v/>
      </c>
      <c r="J2376">
        <f>IF($A2376="","",ROW())</f>
        <v/>
      </c>
    </row>
    <row r="2377">
      <c r="I2377">
        <f>IF(OR($A2377="",$B2377=""),"",IF(COUNTIFS($A$2:$A2377,$A2377,$B$2:$B2377,$B2377)=1,1,0))</f>
        <v/>
      </c>
      <c r="J2377">
        <f>IF($A2377="","",ROW())</f>
        <v/>
      </c>
    </row>
    <row r="2378">
      <c r="I2378">
        <f>IF(OR($A2378="",$B2378=""),"",IF(COUNTIFS($A$2:$A2378,$A2378,$B$2:$B2378,$B2378)=1,1,0))</f>
        <v/>
      </c>
      <c r="J2378">
        <f>IF($A2378="","",ROW())</f>
        <v/>
      </c>
    </row>
    <row r="2379">
      <c r="I2379">
        <f>IF(OR($A2379="",$B2379=""),"",IF(COUNTIFS($A$2:$A2379,$A2379,$B$2:$B2379,$B2379)=1,1,0))</f>
        <v/>
      </c>
      <c r="J2379">
        <f>IF($A2379="","",ROW())</f>
        <v/>
      </c>
    </row>
    <row r="2380">
      <c r="I2380">
        <f>IF(OR($A2380="",$B2380=""),"",IF(COUNTIFS($A$2:$A2380,$A2380,$B$2:$B2380,$B2380)=1,1,0))</f>
        <v/>
      </c>
      <c r="J2380">
        <f>IF($A2380="","",ROW())</f>
        <v/>
      </c>
    </row>
    <row r="2381">
      <c r="I2381">
        <f>IF(OR($A2381="",$B2381=""),"",IF(COUNTIFS($A$2:$A2381,$A2381,$B$2:$B2381,$B2381)=1,1,0))</f>
        <v/>
      </c>
      <c r="J2381">
        <f>IF($A2381="","",ROW())</f>
        <v/>
      </c>
    </row>
    <row r="2382">
      <c r="I2382">
        <f>IF(OR($A2382="",$B2382=""),"",IF(COUNTIFS($A$2:$A2382,$A2382,$B$2:$B2382,$B2382)=1,1,0))</f>
        <v/>
      </c>
      <c r="J2382">
        <f>IF($A2382="","",ROW())</f>
        <v/>
      </c>
    </row>
    <row r="2383">
      <c r="I2383">
        <f>IF(OR($A2383="",$B2383=""),"",IF(COUNTIFS($A$2:$A2383,$A2383,$B$2:$B2383,$B2383)=1,1,0))</f>
        <v/>
      </c>
      <c r="J2383">
        <f>IF($A2383="","",ROW())</f>
        <v/>
      </c>
    </row>
    <row r="2384">
      <c r="I2384">
        <f>IF(OR($A2384="",$B2384=""),"",IF(COUNTIFS($A$2:$A2384,$A2384,$B$2:$B2384,$B2384)=1,1,0))</f>
        <v/>
      </c>
      <c r="J2384">
        <f>IF($A2384="","",ROW())</f>
        <v/>
      </c>
    </row>
    <row r="2385">
      <c r="I2385">
        <f>IF(OR($A2385="",$B2385=""),"",IF(COUNTIFS($A$2:$A2385,$A2385,$B$2:$B2385,$B2385)=1,1,0))</f>
        <v/>
      </c>
      <c r="J2385">
        <f>IF($A2385="","",ROW())</f>
        <v/>
      </c>
    </row>
    <row r="2386">
      <c r="I2386">
        <f>IF(OR($A2386="",$B2386=""),"",IF(COUNTIFS($A$2:$A2386,$A2386,$B$2:$B2386,$B2386)=1,1,0))</f>
        <v/>
      </c>
      <c r="J2386">
        <f>IF($A2386="","",ROW())</f>
        <v/>
      </c>
    </row>
    <row r="2387">
      <c r="I2387">
        <f>IF(OR($A2387="",$B2387=""),"",IF(COUNTIFS($A$2:$A2387,$A2387,$B$2:$B2387,$B2387)=1,1,0))</f>
        <v/>
      </c>
      <c r="J2387">
        <f>IF($A2387="","",ROW())</f>
        <v/>
      </c>
    </row>
    <row r="2388">
      <c r="I2388">
        <f>IF(OR($A2388="",$B2388=""),"",IF(COUNTIFS($A$2:$A2388,$A2388,$B$2:$B2388,$B2388)=1,1,0))</f>
        <v/>
      </c>
      <c r="J2388">
        <f>IF($A2388="","",ROW())</f>
        <v/>
      </c>
    </row>
    <row r="2389">
      <c r="I2389">
        <f>IF(OR($A2389="",$B2389=""),"",IF(COUNTIFS($A$2:$A2389,$A2389,$B$2:$B2389,$B2389)=1,1,0))</f>
        <v/>
      </c>
      <c r="J2389">
        <f>IF($A2389="","",ROW())</f>
        <v/>
      </c>
    </row>
    <row r="2390">
      <c r="I2390">
        <f>IF(OR($A2390="",$B2390=""),"",IF(COUNTIFS($A$2:$A2390,$A2390,$B$2:$B2390,$B2390)=1,1,0))</f>
        <v/>
      </c>
      <c r="J2390">
        <f>IF($A2390="","",ROW())</f>
        <v/>
      </c>
    </row>
    <row r="2391">
      <c r="I2391">
        <f>IF(OR($A2391="",$B2391=""),"",IF(COUNTIFS($A$2:$A2391,$A2391,$B$2:$B2391,$B2391)=1,1,0))</f>
        <v/>
      </c>
      <c r="J2391">
        <f>IF($A2391="","",ROW())</f>
        <v/>
      </c>
    </row>
    <row r="2392">
      <c r="I2392">
        <f>IF(OR($A2392="",$B2392=""),"",IF(COUNTIFS($A$2:$A2392,$A2392,$B$2:$B2392,$B2392)=1,1,0))</f>
        <v/>
      </c>
      <c r="J2392">
        <f>IF($A2392="","",ROW())</f>
        <v/>
      </c>
    </row>
    <row r="2393">
      <c r="I2393">
        <f>IF(OR($A2393="",$B2393=""),"",IF(COUNTIFS($A$2:$A2393,$A2393,$B$2:$B2393,$B2393)=1,1,0))</f>
        <v/>
      </c>
      <c r="J2393">
        <f>IF($A2393="","",ROW())</f>
        <v/>
      </c>
    </row>
    <row r="2394">
      <c r="I2394">
        <f>IF(OR($A2394="",$B2394=""),"",IF(COUNTIFS($A$2:$A2394,$A2394,$B$2:$B2394,$B2394)=1,1,0))</f>
        <v/>
      </c>
      <c r="J2394">
        <f>IF($A2394="","",ROW())</f>
        <v/>
      </c>
    </row>
    <row r="2395">
      <c r="I2395">
        <f>IF(OR($A2395="",$B2395=""),"",IF(COUNTIFS($A$2:$A2395,$A2395,$B$2:$B2395,$B2395)=1,1,0))</f>
        <v/>
      </c>
      <c r="J2395">
        <f>IF($A2395="","",ROW())</f>
        <v/>
      </c>
    </row>
    <row r="2396">
      <c r="I2396">
        <f>IF(OR($A2396="",$B2396=""),"",IF(COUNTIFS($A$2:$A2396,$A2396,$B$2:$B2396,$B2396)=1,1,0))</f>
        <v/>
      </c>
      <c r="J2396">
        <f>IF($A2396="","",ROW())</f>
        <v/>
      </c>
    </row>
    <row r="2397">
      <c r="I2397">
        <f>IF(OR($A2397="",$B2397=""),"",IF(COUNTIFS($A$2:$A2397,$A2397,$B$2:$B2397,$B2397)=1,1,0))</f>
        <v/>
      </c>
      <c r="J2397">
        <f>IF($A2397="","",ROW())</f>
        <v/>
      </c>
    </row>
    <row r="2398">
      <c r="I2398">
        <f>IF(OR($A2398="",$B2398=""),"",IF(COUNTIFS($A$2:$A2398,$A2398,$B$2:$B2398,$B2398)=1,1,0))</f>
        <v/>
      </c>
      <c r="J2398">
        <f>IF($A2398="","",ROW())</f>
        <v/>
      </c>
    </row>
    <row r="2399">
      <c r="I2399">
        <f>IF(OR($A2399="",$B2399=""),"",IF(COUNTIFS($A$2:$A2399,$A2399,$B$2:$B2399,$B2399)=1,1,0))</f>
        <v/>
      </c>
      <c r="J2399">
        <f>IF($A2399="","",ROW())</f>
        <v/>
      </c>
    </row>
    <row r="2400">
      <c r="I2400">
        <f>IF(OR($A2400="",$B2400=""),"",IF(COUNTIFS($A$2:$A2400,$A2400,$B$2:$B2400,$B2400)=1,1,0))</f>
        <v/>
      </c>
      <c r="J2400">
        <f>IF($A2400="","",ROW())</f>
        <v/>
      </c>
    </row>
    <row r="2401">
      <c r="I2401">
        <f>IF(OR($A2401="",$B2401=""),"",IF(COUNTIFS($A$2:$A2401,$A2401,$B$2:$B2401,$B2401)=1,1,0))</f>
        <v/>
      </c>
      <c r="J2401">
        <f>IF($A2401="","",ROW())</f>
        <v/>
      </c>
    </row>
    <row r="2402">
      <c r="I2402">
        <f>IF(OR($A2402="",$B2402=""),"",IF(COUNTIFS($A$2:$A2402,$A2402,$B$2:$B2402,$B2402)=1,1,0))</f>
        <v/>
      </c>
      <c r="J2402">
        <f>IF($A2402="","",ROW())</f>
        <v/>
      </c>
    </row>
    <row r="2403">
      <c r="I2403">
        <f>IF(OR($A2403="",$B2403=""),"",IF(COUNTIFS($A$2:$A2403,$A2403,$B$2:$B2403,$B2403)=1,1,0))</f>
        <v/>
      </c>
      <c r="J2403">
        <f>IF($A2403="","",ROW())</f>
        <v/>
      </c>
    </row>
    <row r="2404">
      <c r="I2404">
        <f>IF(OR($A2404="",$B2404=""),"",IF(COUNTIFS($A$2:$A2404,$A2404,$B$2:$B2404,$B2404)=1,1,0))</f>
        <v/>
      </c>
      <c r="J2404">
        <f>IF($A2404="","",ROW())</f>
        <v/>
      </c>
    </row>
    <row r="2405">
      <c r="I2405">
        <f>IF(OR($A2405="",$B2405=""),"",IF(COUNTIFS($A$2:$A2405,$A2405,$B$2:$B2405,$B2405)=1,1,0))</f>
        <v/>
      </c>
      <c r="J2405">
        <f>IF($A2405="","",ROW())</f>
        <v/>
      </c>
    </row>
    <row r="2406">
      <c r="I2406">
        <f>IF(OR($A2406="",$B2406=""),"",IF(COUNTIFS($A$2:$A2406,$A2406,$B$2:$B2406,$B2406)=1,1,0))</f>
        <v/>
      </c>
      <c r="J2406">
        <f>IF($A2406="","",ROW())</f>
        <v/>
      </c>
    </row>
    <row r="2407">
      <c r="I2407">
        <f>IF(OR($A2407="",$B2407=""),"",IF(COUNTIFS($A$2:$A2407,$A2407,$B$2:$B2407,$B2407)=1,1,0))</f>
        <v/>
      </c>
      <c r="J2407">
        <f>IF($A2407="","",ROW())</f>
        <v/>
      </c>
    </row>
    <row r="2408">
      <c r="I2408">
        <f>IF(OR($A2408="",$B2408=""),"",IF(COUNTIFS($A$2:$A2408,$A2408,$B$2:$B2408,$B2408)=1,1,0))</f>
        <v/>
      </c>
      <c r="J2408">
        <f>IF($A2408="","",ROW())</f>
        <v/>
      </c>
    </row>
    <row r="2409">
      <c r="I2409">
        <f>IF(OR($A2409="",$B2409=""),"",IF(COUNTIFS($A$2:$A2409,$A2409,$B$2:$B2409,$B2409)=1,1,0))</f>
        <v/>
      </c>
      <c r="J2409">
        <f>IF($A2409="","",ROW())</f>
        <v/>
      </c>
    </row>
    <row r="2410">
      <c r="I2410">
        <f>IF(OR($A2410="",$B2410=""),"",IF(COUNTIFS($A$2:$A2410,$A2410,$B$2:$B2410,$B2410)=1,1,0))</f>
        <v/>
      </c>
      <c r="J2410">
        <f>IF($A2410="","",ROW())</f>
        <v/>
      </c>
    </row>
    <row r="2411">
      <c r="I2411">
        <f>IF(OR($A2411="",$B2411=""),"",IF(COUNTIFS($A$2:$A2411,$A2411,$B$2:$B2411,$B2411)=1,1,0))</f>
        <v/>
      </c>
      <c r="J2411">
        <f>IF($A2411="","",ROW())</f>
        <v/>
      </c>
    </row>
    <row r="2412">
      <c r="I2412">
        <f>IF(OR($A2412="",$B2412=""),"",IF(COUNTIFS($A$2:$A2412,$A2412,$B$2:$B2412,$B2412)=1,1,0))</f>
        <v/>
      </c>
      <c r="J2412">
        <f>IF($A2412="","",ROW())</f>
        <v/>
      </c>
    </row>
    <row r="2413">
      <c r="I2413">
        <f>IF(OR($A2413="",$B2413=""),"",IF(COUNTIFS($A$2:$A2413,$A2413,$B$2:$B2413,$B2413)=1,1,0))</f>
        <v/>
      </c>
      <c r="J2413">
        <f>IF($A2413="","",ROW())</f>
        <v/>
      </c>
    </row>
    <row r="2414">
      <c r="I2414">
        <f>IF(OR($A2414="",$B2414=""),"",IF(COUNTIFS($A$2:$A2414,$A2414,$B$2:$B2414,$B2414)=1,1,0))</f>
        <v/>
      </c>
      <c r="J2414">
        <f>IF($A2414="","",ROW())</f>
        <v/>
      </c>
    </row>
    <row r="2415">
      <c r="I2415">
        <f>IF(OR($A2415="",$B2415=""),"",IF(COUNTIFS($A$2:$A2415,$A2415,$B$2:$B2415,$B2415)=1,1,0))</f>
        <v/>
      </c>
      <c r="J2415">
        <f>IF($A2415="","",ROW())</f>
        <v/>
      </c>
    </row>
    <row r="2416">
      <c r="I2416">
        <f>IF(OR($A2416="",$B2416=""),"",IF(COUNTIFS($A$2:$A2416,$A2416,$B$2:$B2416,$B2416)=1,1,0))</f>
        <v/>
      </c>
      <c r="J2416">
        <f>IF($A2416="","",ROW())</f>
        <v/>
      </c>
    </row>
    <row r="2417">
      <c r="I2417">
        <f>IF(OR($A2417="",$B2417=""),"",IF(COUNTIFS($A$2:$A2417,$A2417,$B$2:$B2417,$B2417)=1,1,0))</f>
        <v/>
      </c>
      <c r="J2417">
        <f>IF($A2417="","",ROW())</f>
        <v/>
      </c>
    </row>
    <row r="2418">
      <c r="I2418">
        <f>IF(OR($A2418="",$B2418=""),"",IF(COUNTIFS($A$2:$A2418,$A2418,$B$2:$B2418,$B2418)=1,1,0))</f>
        <v/>
      </c>
      <c r="J2418">
        <f>IF($A2418="","",ROW())</f>
        <v/>
      </c>
    </row>
    <row r="2419">
      <c r="I2419">
        <f>IF(OR($A2419="",$B2419=""),"",IF(COUNTIFS($A$2:$A2419,$A2419,$B$2:$B2419,$B2419)=1,1,0))</f>
        <v/>
      </c>
      <c r="J2419">
        <f>IF($A2419="","",ROW())</f>
        <v/>
      </c>
    </row>
    <row r="2420">
      <c r="I2420">
        <f>IF(OR($A2420="",$B2420=""),"",IF(COUNTIFS($A$2:$A2420,$A2420,$B$2:$B2420,$B2420)=1,1,0))</f>
        <v/>
      </c>
      <c r="J2420">
        <f>IF($A2420="","",ROW())</f>
        <v/>
      </c>
    </row>
    <row r="2421">
      <c r="I2421">
        <f>IF(OR($A2421="",$B2421=""),"",IF(COUNTIFS($A$2:$A2421,$A2421,$B$2:$B2421,$B2421)=1,1,0))</f>
        <v/>
      </c>
      <c r="J2421">
        <f>IF($A2421="","",ROW())</f>
        <v/>
      </c>
    </row>
    <row r="2422">
      <c r="I2422">
        <f>IF(OR($A2422="",$B2422=""),"",IF(COUNTIFS($A$2:$A2422,$A2422,$B$2:$B2422,$B2422)=1,1,0))</f>
        <v/>
      </c>
      <c r="J2422">
        <f>IF($A2422="","",ROW())</f>
        <v/>
      </c>
    </row>
    <row r="2423">
      <c r="I2423">
        <f>IF(OR($A2423="",$B2423=""),"",IF(COUNTIFS($A$2:$A2423,$A2423,$B$2:$B2423,$B2423)=1,1,0))</f>
        <v/>
      </c>
      <c r="J2423">
        <f>IF($A2423="","",ROW())</f>
        <v/>
      </c>
    </row>
    <row r="2424">
      <c r="I2424">
        <f>IF(OR($A2424="",$B2424=""),"",IF(COUNTIFS($A$2:$A2424,$A2424,$B$2:$B2424,$B2424)=1,1,0))</f>
        <v/>
      </c>
      <c r="J2424">
        <f>IF($A2424="","",ROW())</f>
        <v/>
      </c>
    </row>
    <row r="2425">
      <c r="I2425">
        <f>IF(OR($A2425="",$B2425=""),"",IF(COUNTIFS($A$2:$A2425,$A2425,$B$2:$B2425,$B2425)=1,1,0))</f>
        <v/>
      </c>
      <c r="J2425">
        <f>IF($A2425="","",ROW())</f>
        <v/>
      </c>
    </row>
    <row r="2426">
      <c r="I2426">
        <f>IF(OR($A2426="",$B2426=""),"",IF(COUNTIFS($A$2:$A2426,$A2426,$B$2:$B2426,$B2426)=1,1,0))</f>
        <v/>
      </c>
      <c r="J2426">
        <f>IF($A2426="","",ROW())</f>
        <v/>
      </c>
    </row>
    <row r="2427">
      <c r="I2427">
        <f>IF(OR($A2427="",$B2427=""),"",IF(COUNTIFS($A$2:$A2427,$A2427,$B$2:$B2427,$B2427)=1,1,0))</f>
        <v/>
      </c>
      <c r="J2427">
        <f>IF($A2427="","",ROW())</f>
        <v/>
      </c>
    </row>
    <row r="2428">
      <c r="I2428">
        <f>IF(OR($A2428="",$B2428=""),"",IF(COUNTIFS($A$2:$A2428,$A2428,$B$2:$B2428,$B2428)=1,1,0))</f>
        <v/>
      </c>
      <c r="J2428">
        <f>IF($A2428="","",ROW())</f>
        <v/>
      </c>
    </row>
    <row r="2429">
      <c r="I2429">
        <f>IF(OR($A2429="",$B2429=""),"",IF(COUNTIFS($A$2:$A2429,$A2429,$B$2:$B2429,$B2429)=1,1,0))</f>
        <v/>
      </c>
      <c r="J2429">
        <f>IF($A2429="","",ROW())</f>
        <v/>
      </c>
    </row>
    <row r="2430">
      <c r="I2430">
        <f>IF(OR($A2430="",$B2430=""),"",IF(COUNTIFS($A$2:$A2430,$A2430,$B$2:$B2430,$B2430)=1,1,0))</f>
        <v/>
      </c>
      <c r="J2430">
        <f>IF($A2430="","",ROW())</f>
        <v/>
      </c>
    </row>
    <row r="2431">
      <c r="I2431">
        <f>IF(OR($A2431="",$B2431=""),"",IF(COUNTIFS($A$2:$A2431,$A2431,$B$2:$B2431,$B2431)=1,1,0))</f>
        <v/>
      </c>
      <c r="J2431">
        <f>IF($A2431="","",ROW())</f>
        <v/>
      </c>
    </row>
    <row r="2432">
      <c r="I2432">
        <f>IF(OR($A2432="",$B2432=""),"",IF(COUNTIFS($A$2:$A2432,$A2432,$B$2:$B2432,$B2432)=1,1,0))</f>
        <v/>
      </c>
      <c r="J2432">
        <f>IF($A2432="","",ROW())</f>
        <v/>
      </c>
    </row>
    <row r="2433">
      <c r="I2433">
        <f>IF(OR($A2433="",$B2433=""),"",IF(COUNTIFS($A$2:$A2433,$A2433,$B$2:$B2433,$B2433)=1,1,0))</f>
        <v/>
      </c>
      <c r="J2433">
        <f>IF($A2433="","",ROW())</f>
        <v/>
      </c>
    </row>
    <row r="2434">
      <c r="I2434">
        <f>IF(OR($A2434="",$B2434=""),"",IF(COUNTIFS($A$2:$A2434,$A2434,$B$2:$B2434,$B2434)=1,1,0))</f>
        <v/>
      </c>
      <c r="J2434">
        <f>IF($A2434="","",ROW())</f>
        <v/>
      </c>
    </row>
    <row r="2435">
      <c r="I2435">
        <f>IF(OR($A2435="",$B2435=""),"",IF(COUNTIFS($A$2:$A2435,$A2435,$B$2:$B2435,$B2435)=1,1,0))</f>
        <v/>
      </c>
      <c r="J2435">
        <f>IF($A2435="","",ROW())</f>
        <v/>
      </c>
    </row>
    <row r="2436">
      <c r="I2436">
        <f>IF(OR($A2436="",$B2436=""),"",IF(COUNTIFS($A$2:$A2436,$A2436,$B$2:$B2436,$B2436)=1,1,0))</f>
        <v/>
      </c>
      <c r="J2436">
        <f>IF($A2436="","",ROW())</f>
        <v/>
      </c>
    </row>
    <row r="2437">
      <c r="I2437">
        <f>IF(OR($A2437="",$B2437=""),"",IF(COUNTIFS($A$2:$A2437,$A2437,$B$2:$B2437,$B2437)=1,1,0))</f>
        <v/>
      </c>
      <c r="J2437">
        <f>IF($A2437="","",ROW())</f>
        <v/>
      </c>
    </row>
    <row r="2438">
      <c r="I2438">
        <f>IF(OR($A2438="",$B2438=""),"",IF(COUNTIFS($A$2:$A2438,$A2438,$B$2:$B2438,$B2438)=1,1,0))</f>
        <v/>
      </c>
      <c r="J2438">
        <f>IF($A2438="","",ROW())</f>
        <v/>
      </c>
    </row>
    <row r="2439">
      <c r="I2439">
        <f>IF(OR($A2439="",$B2439=""),"",IF(COUNTIFS($A$2:$A2439,$A2439,$B$2:$B2439,$B2439)=1,1,0))</f>
        <v/>
      </c>
      <c r="J2439">
        <f>IF($A2439="","",ROW())</f>
        <v/>
      </c>
    </row>
    <row r="2440">
      <c r="I2440">
        <f>IF(OR($A2440="",$B2440=""),"",IF(COUNTIFS($A$2:$A2440,$A2440,$B$2:$B2440,$B2440)=1,1,0))</f>
        <v/>
      </c>
      <c r="J2440">
        <f>IF($A2440="","",ROW())</f>
        <v/>
      </c>
    </row>
    <row r="2441">
      <c r="I2441">
        <f>IF(OR($A2441="",$B2441=""),"",IF(COUNTIFS($A$2:$A2441,$A2441,$B$2:$B2441,$B2441)=1,1,0))</f>
        <v/>
      </c>
      <c r="J2441">
        <f>IF($A2441="","",ROW())</f>
        <v/>
      </c>
    </row>
    <row r="2442">
      <c r="I2442">
        <f>IF(OR($A2442="",$B2442=""),"",IF(COUNTIFS($A$2:$A2442,$A2442,$B$2:$B2442,$B2442)=1,1,0))</f>
        <v/>
      </c>
      <c r="J2442">
        <f>IF($A2442="","",ROW())</f>
        <v/>
      </c>
    </row>
    <row r="2443">
      <c r="I2443">
        <f>IF(OR($A2443="",$B2443=""),"",IF(COUNTIFS($A$2:$A2443,$A2443,$B$2:$B2443,$B2443)=1,1,0))</f>
        <v/>
      </c>
      <c r="J2443">
        <f>IF($A2443="","",ROW())</f>
        <v/>
      </c>
    </row>
    <row r="2444">
      <c r="I2444">
        <f>IF(OR($A2444="",$B2444=""),"",IF(COUNTIFS($A$2:$A2444,$A2444,$B$2:$B2444,$B2444)=1,1,0))</f>
        <v/>
      </c>
      <c r="J2444">
        <f>IF($A2444="","",ROW())</f>
        <v/>
      </c>
    </row>
    <row r="2445">
      <c r="I2445">
        <f>IF(OR($A2445="",$B2445=""),"",IF(COUNTIFS($A$2:$A2445,$A2445,$B$2:$B2445,$B2445)=1,1,0))</f>
        <v/>
      </c>
      <c r="J2445">
        <f>IF($A2445="","",ROW())</f>
        <v/>
      </c>
    </row>
    <row r="2446">
      <c r="I2446">
        <f>IF(OR($A2446="",$B2446=""),"",IF(COUNTIFS($A$2:$A2446,$A2446,$B$2:$B2446,$B2446)=1,1,0))</f>
        <v/>
      </c>
      <c r="J2446">
        <f>IF($A2446="","",ROW())</f>
        <v/>
      </c>
    </row>
    <row r="2447">
      <c r="I2447">
        <f>IF(OR($A2447="",$B2447=""),"",IF(COUNTIFS($A$2:$A2447,$A2447,$B$2:$B2447,$B2447)=1,1,0))</f>
        <v/>
      </c>
      <c r="J2447">
        <f>IF($A2447="","",ROW())</f>
        <v/>
      </c>
    </row>
    <row r="2448">
      <c r="I2448">
        <f>IF(OR($A2448="",$B2448=""),"",IF(COUNTIFS($A$2:$A2448,$A2448,$B$2:$B2448,$B2448)=1,1,0))</f>
        <v/>
      </c>
      <c r="J2448">
        <f>IF($A2448="","",ROW())</f>
        <v/>
      </c>
    </row>
    <row r="2449">
      <c r="I2449">
        <f>IF(OR($A2449="",$B2449=""),"",IF(COUNTIFS($A$2:$A2449,$A2449,$B$2:$B2449,$B2449)=1,1,0))</f>
        <v/>
      </c>
      <c r="J2449">
        <f>IF($A2449="","",ROW())</f>
        <v/>
      </c>
    </row>
    <row r="2450">
      <c r="I2450">
        <f>IF(OR($A2450="",$B2450=""),"",IF(COUNTIFS($A$2:$A2450,$A2450,$B$2:$B2450,$B2450)=1,1,0))</f>
        <v/>
      </c>
      <c r="J2450">
        <f>IF($A2450="","",ROW())</f>
        <v/>
      </c>
    </row>
    <row r="2451">
      <c r="I2451">
        <f>IF(OR($A2451="",$B2451=""),"",IF(COUNTIFS($A$2:$A2451,$A2451,$B$2:$B2451,$B2451)=1,1,0))</f>
        <v/>
      </c>
      <c r="J2451">
        <f>IF($A2451="","",ROW())</f>
        <v/>
      </c>
    </row>
    <row r="2452">
      <c r="I2452">
        <f>IF(OR($A2452="",$B2452=""),"",IF(COUNTIFS($A$2:$A2452,$A2452,$B$2:$B2452,$B2452)=1,1,0))</f>
        <v/>
      </c>
      <c r="J2452">
        <f>IF($A2452="","",ROW())</f>
        <v/>
      </c>
    </row>
    <row r="2453">
      <c r="I2453">
        <f>IF(OR($A2453="",$B2453=""),"",IF(COUNTIFS($A$2:$A2453,$A2453,$B$2:$B2453,$B2453)=1,1,0))</f>
        <v/>
      </c>
      <c r="J2453">
        <f>IF($A2453="","",ROW())</f>
        <v/>
      </c>
    </row>
    <row r="2454">
      <c r="I2454">
        <f>IF(OR($A2454="",$B2454=""),"",IF(COUNTIFS($A$2:$A2454,$A2454,$B$2:$B2454,$B2454)=1,1,0))</f>
        <v/>
      </c>
      <c r="J2454">
        <f>IF($A2454="","",ROW())</f>
        <v/>
      </c>
    </row>
    <row r="2455">
      <c r="I2455">
        <f>IF(OR($A2455="",$B2455=""),"",IF(COUNTIFS($A$2:$A2455,$A2455,$B$2:$B2455,$B2455)=1,1,0))</f>
        <v/>
      </c>
      <c r="J2455">
        <f>IF($A2455="","",ROW())</f>
        <v/>
      </c>
    </row>
    <row r="2456">
      <c r="I2456">
        <f>IF(OR($A2456="",$B2456=""),"",IF(COUNTIFS($A$2:$A2456,$A2456,$B$2:$B2456,$B2456)=1,1,0))</f>
        <v/>
      </c>
      <c r="J2456">
        <f>IF($A2456="","",ROW())</f>
        <v/>
      </c>
    </row>
    <row r="2457">
      <c r="I2457">
        <f>IF(OR($A2457="",$B2457=""),"",IF(COUNTIFS($A$2:$A2457,$A2457,$B$2:$B2457,$B2457)=1,1,0))</f>
        <v/>
      </c>
      <c r="J2457">
        <f>IF($A2457="","",ROW())</f>
        <v/>
      </c>
    </row>
    <row r="2458">
      <c r="I2458">
        <f>IF(OR($A2458="",$B2458=""),"",IF(COUNTIFS($A$2:$A2458,$A2458,$B$2:$B2458,$B2458)=1,1,0))</f>
        <v/>
      </c>
      <c r="J2458">
        <f>IF($A2458="","",ROW())</f>
        <v/>
      </c>
    </row>
    <row r="2459">
      <c r="I2459">
        <f>IF(OR($A2459="",$B2459=""),"",IF(COUNTIFS($A$2:$A2459,$A2459,$B$2:$B2459,$B2459)=1,1,0))</f>
        <v/>
      </c>
      <c r="J2459">
        <f>IF($A2459="","",ROW())</f>
        <v/>
      </c>
    </row>
    <row r="2460">
      <c r="I2460">
        <f>IF(OR($A2460="",$B2460=""),"",IF(COUNTIFS($A$2:$A2460,$A2460,$B$2:$B2460,$B2460)=1,1,0))</f>
        <v/>
      </c>
      <c r="J2460">
        <f>IF($A2460="","",ROW())</f>
        <v/>
      </c>
    </row>
    <row r="2461">
      <c r="I2461">
        <f>IF(OR($A2461="",$B2461=""),"",IF(COUNTIFS($A$2:$A2461,$A2461,$B$2:$B2461,$B2461)=1,1,0))</f>
        <v/>
      </c>
      <c r="J2461">
        <f>IF($A2461="","",ROW())</f>
        <v/>
      </c>
    </row>
    <row r="2462">
      <c r="I2462">
        <f>IF(OR($A2462="",$B2462=""),"",IF(COUNTIFS($A$2:$A2462,$A2462,$B$2:$B2462,$B2462)=1,1,0))</f>
        <v/>
      </c>
      <c r="J2462">
        <f>IF($A2462="","",ROW())</f>
        <v/>
      </c>
    </row>
    <row r="2463">
      <c r="I2463">
        <f>IF(OR($A2463="",$B2463=""),"",IF(COUNTIFS($A$2:$A2463,$A2463,$B$2:$B2463,$B2463)=1,1,0))</f>
        <v/>
      </c>
      <c r="J2463">
        <f>IF($A2463="","",ROW())</f>
        <v/>
      </c>
    </row>
    <row r="2464">
      <c r="I2464">
        <f>IF(OR($A2464="",$B2464=""),"",IF(COUNTIFS($A$2:$A2464,$A2464,$B$2:$B2464,$B2464)=1,1,0))</f>
        <v/>
      </c>
      <c r="J2464">
        <f>IF($A2464="","",ROW())</f>
        <v/>
      </c>
    </row>
    <row r="2465">
      <c r="I2465">
        <f>IF(OR($A2465="",$B2465=""),"",IF(COUNTIFS($A$2:$A2465,$A2465,$B$2:$B2465,$B2465)=1,1,0))</f>
        <v/>
      </c>
      <c r="J2465">
        <f>IF($A2465="","",ROW())</f>
        <v/>
      </c>
    </row>
    <row r="2466">
      <c r="I2466">
        <f>IF(OR($A2466="",$B2466=""),"",IF(COUNTIFS($A$2:$A2466,$A2466,$B$2:$B2466,$B2466)=1,1,0))</f>
        <v/>
      </c>
      <c r="J2466">
        <f>IF($A2466="","",ROW())</f>
        <v/>
      </c>
    </row>
    <row r="2467">
      <c r="I2467">
        <f>IF(OR($A2467="",$B2467=""),"",IF(COUNTIFS($A$2:$A2467,$A2467,$B$2:$B2467,$B2467)=1,1,0))</f>
        <v/>
      </c>
      <c r="J2467">
        <f>IF($A2467="","",ROW())</f>
        <v/>
      </c>
    </row>
    <row r="2468">
      <c r="I2468">
        <f>IF(OR($A2468="",$B2468=""),"",IF(COUNTIFS($A$2:$A2468,$A2468,$B$2:$B2468,$B2468)=1,1,0))</f>
        <v/>
      </c>
      <c r="J2468">
        <f>IF($A2468="","",ROW())</f>
        <v/>
      </c>
    </row>
    <row r="2469">
      <c r="I2469">
        <f>IF(OR($A2469="",$B2469=""),"",IF(COUNTIFS($A$2:$A2469,$A2469,$B$2:$B2469,$B2469)=1,1,0))</f>
        <v/>
      </c>
      <c r="J2469">
        <f>IF($A2469="","",ROW())</f>
        <v/>
      </c>
    </row>
    <row r="2470">
      <c r="I2470">
        <f>IF(OR($A2470="",$B2470=""),"",IF(COUNTIFS($A$2:$A2470,$A2470,$B$2:$B2470,$B2470)=1,1,0))</f>
        <v/>
      </c>
      <c r="J2470">
        <f>IF($A2470="","",ROW())</f>
        <v/>
      </c>
    </row>
    <row r="2471">
      <c r="I2471">
        <f>IF(OR($A2471="",$B2471=""),"",IF(COUNTIFS($A$2:$A2471,$A2471,$B$2:$B2471,$B2471)=1,1,0))</f>
        <v/>
      </c>
      <c r="J2471">
        <f>IF($A2471="","",ROW())</f>
        <v/>
      </c>
    </row>
    <row r="2472">
      <c r="I2472">
        <f>IF(OR($A2472="",$B2472=""),"",IF(COUNTIFS($A$2:$A2472,$A2472,$B$2:$B2472,$B2472)=1,1,0))</f>
        <v/>
      </c>
      <c r="J2472">
        <f>IF($A2472="","",ROW())</f>
        <v/>
      </c>
    </row>
    <row r="2473">
      <c r="I2473">
        <f>IF(OR($A2473="",$B2473=""),"",IF(COUNTIFS($A$2:$A2473,$A2473,$B$2:$B2473,$B2473)=1,1,0))</f>
        <v/>
      </c>
      <c r="J2473">
        <f>IF($A2473="","",ROW())</f>
        <v/>
      </c>
    </row>
    <row r="2474">
      <c r="I2474">
        <f>IF(OR($A2474="",$B2474=""),"",IF(COUNTIFS($A$2:$A2474,$A2474,$B$2:$B2474,$B2474)=1,1,0))</f>
        <v/>
      </c>
      <c r="J2474">
        <f>IF($A2474="","",ROW())</f>
        <v/>
      </c>
    </row>
    <row r="2475">
      <c r="I2475">
        <f>IF(OR($A2475="",$B2475=""),"",IF(COUNTIFS($A$2:$A2475,$A2475,$B$2:$B2475,$B2475)=1,1,0))</f>
        <v/>
      </c>
      <c r="J2475">
        <f>IF($A2475="","",ROW())</f>
        <v/>
      </c>
    </row>
    <row r="2476">
      <c r="I2476">
        <f>IF(OR($A2476="",$B2476=""),"",IF(COUNTIFS($A$2:$A2476,$A2476,$B$2:$B2476,$B2476)=1,1,0))</f>
        <v/>
      </c>
      <c r="J2476">
        <f>IF($A2476="","",ROW())</f>
        <v/>
      </c>
    </row>
    <row r="2477">
      <c r="I2477">
        <f>IF(OR($A2477="",$B2477=""),"",IF(COUNTIFS($A$2:$A2477,$A2477,$B$2:$B2477,$B2477)=1,1,0))</f>
        <v/>
      </c>
      <c r="J2477">
        <f>IF($A2477="","",ROW())</f>
        <v/>
      </c>
    </row>
    <row r="2478">
      <c r="I2478">
        <f>IF(OR($A2478="",$B2478=""),"",IF(COUNTIFS($A$2:$A2478,$A2478,$B$2:$B2478,$B2478)=1,1,0))</f>
        <v/>
      </c>
      <c r="J2478">
        <f>IF($A2478="","",ROW())</f>
        <v/>
      </c>
    </row>
    <row r="2479">
      <c r="I2479">
        <f>IF(OR($A2479="",$B2479=""),"",IF(COUNTIFS($A$2:$A2479,$A2479,$B$2:$B2479,$B2479)=1,1,0))</f>
        <v/>
      </c>
      <c r="J2479">
        <f>IF($A2479="","",ROW())</f>
        <v/>
      </c>
    </row>
    <row r="2480">
      <c r="I2480">
        <f>IF(OR($A2480="",$B2480=""),"",IF(COUNTIFS($A$2:$A2480,$A2480,$B$2:$B2480,$B2480)=1,1,0))</f>
        <v/>
      </c>
      <c r="J2480">
        <f>IF($A2480="","",ROW())</f>
        <v/>
      </c>
    </row>
    <row r="2481">
      <c r="I2481">
        <f>IF(OR($A2481="",$B2481=""),"",IF(COUNTIFS($A$2:$A2481,$A2481,$B$2:$B2481,$B2481)=1,1,0))</f>
        <v/>
      </c>
      <c r="J2481">
        <f>IF($A2481="","",ROW())</f>
        <v/>
      </c>
    </row>
    <row r="2482">
      <c r="I2482">
        <f>IF(OR($A2482="",$B2482=""),"",IF(COUNTIFS($A$2:$A2482,$A2482,$B$2:$B2482,$B2482)=1,1,0))</f>
        <v/>
      </c>
      <c r="J2482">
        <f>IF($A2482="","",ROW())</f>
        <v/>
      </c>
    </row>
    <row r="2483">
      <c r="I2483">
        <f>IF(OR($A2483="",$B2483=""),"",IF(COUNTIFS($A$2:$A2483,$A2483,$B$2:$B2483,$B2483)=1,1,0))</f>
        <v/>
      </c>
      <c r="J2483">
        <f>IF($A2483="","",ROW())</f>
        <v/>
      </c>
    </row>
    <row r="2484">
      <c r="I2484">
        <f>IF(OR($A2484="",$B2484=""),"",IF(COUNTIFS($A$2:$A2484,$A2484,$B$2:$B2484,$B2484)=1,1,0))</f>
        <v/>
      </c>
      <c r="J2484">
        <f>IF($A2484="","",ROW())</f>
        <v/>
      </c>
    </row>
    <row r="2485">
      <c r="I2485">
        <f>IF(OR($A2485="",$B2485=""),"",IF(COUNTIFS($A$2:$A2485,$A2485,$B$2:$B2485,$B2485)=1,1,0))</f>
        <v/>
      </c>
      <c r="J2485">
        <f>IF($A2485="","",ROW())</f>
        <v/>
      </c>
    </row>
    <row r="2486">
      <c r="I2486">
        <f>IF(OR($A2486="",$B2486=""),"",IF(COUNTIFS($A$2:$A2486,$A2486,$B$2:$B2486,$B2486)=1,1,0))</f>
        <v/>
      </c>
      <c r="J2486">
        <f>IF($A2486="","",ROW())</f>
        <v/>
      </c>
    </row>
    <row r="2487">
      <c r="I2487">
        <f>IF(OR($A2487="",$B2487=""),"",IF(COUNTIFS($A$2:$A2487,$A2487,$B$2:$B2487,$B2487)=1,1,0))</f>
        <v/>
      </c>
      <c r="J2487">
        <f>IF($A2487="","",ROW())</f>
        <v/>
      </c>
    </row>
    <row r="2488">
      <c r="I2488">
        <f>IF(OR($A2488="",$B2488=""),"",IF(COUNTIFS($A$2:$A2488,$A2488,$B$2:$B2488,$B2488)=1,1,0))</f>
        <v/>
      </c>
      <c r="J2488">
        <f>IF($A2488="","",ROW())</f>
        <v/>
      </c>
    </row>
    <row r="2489">
      <c r="I2489">
        <f>IF(OR($A2489="",$B2489=""),"",IF(COUNTIFS($A$2:$A2489,$A2489,$B$2:$B2489,$B2489)=1,1,0))</f>
        <v/>
      </c>
      <c r="J2489">
        <f>IF($A2489="","",ROW())</f>
        <v/>
      </c>
    </row>
    <row r="2490">
      <c r="I2490">
        <f>IF(OR($A2490="",$B2490=""),"",IF(COUNTIFS($A$2:$A2490,$A2490,$B$2:$B2490,$B2490)=1,1,0))</f>
        <v/>
      </c>
      <c r="J2490">
        <f>IF($A2490="","",ROW())</f>
        <v/>
      </c>
    </row>
    <row r="2491">
      <c r="I2491">
        <f>IF(OR($A2491="",$B2491=""),"",IF(COUNTIFS($A$2:$A2491,$A2491,$B$2:$B2491,$B2491)=1,1,0))</f>
        <v/>
      </c>
      <c r="J2491">
        <f>IF($A2491="","",ROW())</f>
        <v/>
      </c>
    </row>
    <row r="2492">
      <c r="I2492">
        <f>IF(OR($A2492="",$B2492=""),"",IF(COUNTIFS($A$2:$A2492,$A2492,$B$2:$B2492,$B2492)=1,1,0))</f>
        <v/>
      </c>
      <c r="J2492">
        <f>IF($A2492="","",ROW())</f>
        <v/>
      </c>
    </row>
    <row r="2493">
      <c r="I2493">
        <f>IF(OR($A2493="",$B2493=""),"",IF(COUNTIFS($A$2:$A2493,$A2493,$B$2:$B2493,$B2493)=1,1,0))</f>
        <v/>
      </c>
      <c r="J2493">
        <f>IF($A2493="","",ROW())</f>
        <v/>
      </c>
    </row>
    <row r="2494">
      <c r="I2494">
        <f>IF(OR($A2494="",$B2494=""),"",IF(COUNTIFS($A$2:$A2494,$A2494,$B$2:$B2494,$B2494)=1,1,0))</f>
        <v/>
      </c>
      <c r="J2494">
        <f>IF($A2494="","",ROW())</f>
        <v/>
      </c>
    </row>
    <row r="2495">
      <c r="I2495">
        <f>IF(OR($A2495="",$B2495=""),"",IF(COUNTIFS($A$2:$A2495,$A2495,$B$2:$B2495,$B2495)=1,1,0))</f>
        <v/>
      </c>
      <c r="J2495">
        <f>IF($A2495="","",ROW())</f>
        <v/>
      </c>
    </row>
    <row r="2496">
      <c r="I2496">
        <f>IF(OR($A2496="",$B2496=""),"",IF(COUNTIFS($A$2:$A2496,$A2496,$B$2:$B2496,$B2496)=1,1,0))</f>
        <v/>
      </c>
      <c r="J2496">
        <f>IF($A2496="","",ROW())</f>
        <v/>
      </c>
    </row>
    <row r="2497">
      <c r="I2497">
        <f>IF(OR($A2497="",$B2497=""),"",IF(COUNTIFS($A$2:$A2497,$A2497,$B$2:$B2497,$B2497)=1,1,0))</f>
        <v/>
      </c>
      <c r="J2497">
        <f>IF($A2497="","",ROW())</f>
        <v/>
      </c>
    </row>
    <row r="2498">
      <c r="I2498">
        <f>IF(OR($A2498="",$B2498=""),"",IF(COUNTIFS($A$2:$A2498,$A2498,$B$2:$B2498,$B2498)=1,1,0))</f>
        <v/>
      </c>
      <c r="J2498">
        <f>IF($A2498="","",ROW())</f>
        <v/>
      </c>
    </row>
    <row r="2499">
      <c r="I2499">
        <f>IF(OR($A2499="",$B2499=""),"",IF(COUNTIFS($A$2:$A2499,$A2499,$B$2:$B2499,$B2499)=1,1,0))</f>
        <v/>
      </c>
      <c r="J2499">
        <f>IF($A2499="","",ROW())</f>
        <v/>
      </c>
    </row>
    <row r="2500">
      <c r="I2500">
        <f>IF(OR($A2500="",$B2500=""),"",IF(COUNTIFS($A$2:$A2500,$A2500,$B$2:$B2500,$B2500)=1,1,0))</f>
        <v/>
      </c>
      <c r="J2500">
        <f>IF($A2500="","",ROW())</f>
        <v/>
      </c>
    </row>
    <row r="2501">
      <c r="I2501">
        <f>IF(OR($A2501="",$B2501=""),"",IF(COUNTIFS($A$2:$A2501,$A2501,$B$2:$B2501,$B2501)=1,1,0))</f>
        <v/>
      </c>
      <c r="J2501">
        <f>IF($A2501="","",ROW())</f>
        <v/>
      </c>
    </row>
    <row r="2502">
      <c r="I2502">
        <f>IF(OR($A2502="",$B2502=""),"",IF(COUNTIFS($A$2:$A2502,$A2502,$B$2:$B2502,$B2502)=1,1,0))</f>
        <v/>
      </c>
      <c r="J2502">
        <f>IF($A2502="","",ROW())</f>
        <v/>
      </c>
    </row>
    <row r="2503">
      <c r="I2503">
        <f>IF(OR($A2503="",$B2503=""),"",IF(COUNTIFS($A$2:$A2503,$A2503,$B$2:$B2503,$B2503)=1,1,0))</f>
        <v/>
      </c>
      <c r="J2503">
        <f>IF($A2503="","",ROW())</f>
        <v/>
      </c>
    </row>
    <row r="2504">
      <c r="I2504">
        <f>IF(OR($A2504="",$B2504=""),"",IF(COUNTIFS($A$2:$A2504,$A2504,$B$2:$B2504,$B2504)=1,1,0))</f>
        <v/>
      </c>
      <c r="J2504">
        <f>IF($A2504="","",ROW())</f>
        <v/>
      </c>
    </row>
    <row r="2505">
      <c r="I2505">
        <f>IF(OR($A2505="",$B2505=""),"",IF(COUNTIFS($A$2:$A2505,$A2505,$B$2:$B2505,$B2505)=1,1,0))</f>
        <v/>
      </c>
      <c r="J2505">
        <f>IF($A2505="","",ROW())</f>
        <v/>
      </c>
    </row>
    <row r="2506">
      <c r="I2506">
        <f>IF(OR($A2506="",$B2506=""),"",IF(COUNTIFS($A$2:$A2506,$A2506,$B$2:$B2506,$B2506)=1,1,0))</f>
        <v/>
      </c>
      <c r="J2506">
        <f>IF($A2506="","",ROW())</f>
        <v/>
      </c>
    </row>
    <row r="2507">
      <c r="I2507">
        <f>IF(OR($A2507="",$B2507=""),"",IF(COUNTIFS($A$2:$A2507,$A2507,$B$2:$B2507,$B2507)=1,1,0))</f>
        <v/>
      </c>
      <c r="J2507">
        <f>IF($A2507="","",ROW())</f>
        <v/>
      </c>
    </row>
    <row r="2508">
      <c r="I2508">
        <f>IF(OR($A2508="",$B2508=""),"",IF(COUNTIFS($A$2:$A2508,$A2508,$B$2:$B2508,$B2508)=1,1,0))</f>
        <v/>
      </c>
      <c r="J2508">
        <f>IF($A2508="","",ROW())</f>
        <v/>
      </c>
    </row>
    <row r="2509">
      <c r="I2509">
        <f>IF(OR($A2509="",$B2509=""),"",IF(COUNTIFS($A$2:$A2509,$A2509,$B$2:$B2509,$B2509)=1,1,0))</f>
        <v/>
      </c>
      <c r="J2509">
        <f>IF($A2509="","",ROW())</f>
        <v/>
      </c>
    </row>
    <row r="2510">
      <c r="I2510">
        <f>IF(OR($A2510="",$B2510=""),"",IF(COUNTIFS($A$2:$A2510,$A2510,$B$2:$B2510,$B2510)=1,1,0))</f>
        <v/>
      </c>
      <c r="J2510">
        <f>IF($A2510="","",ROW())</f>
        <v/>
      </c>
    </row>
    <row r="2511">
      <c r="I2511">
        <f>IF(OR($A2511="",$B2511=""),"",IF(COUNTIFS($A$2:$A2511,$A2511,$B$2:$B2511,$B2511)=1,1,0))</f>
        <v/>
      </c>
      <c r="J2511">
        <f>IF($A2511="","",ROW())</f>
        <v/>
      </c>
    </row>
    <row r="2512">
      <c r="I2512">
        <f>IF(OR($A2512="",$B2512=""),"",IF(COUNTIFS($A$2:$A2512,$A2512,$B$2:$B2512,$B2512)=1,1,0))</f>
        <v/>
      </c>
      <c r="J2512">
        <f>IF($A2512="","",ROW())</f>
        <v/>
      </c>
    </row>
    <row r="2513">
      <c r="I2513">
        <f>IF(OR($A2513="",$B2513=""),"",IF(COUNTIFS($A$2:$A2513,$A2513,$B$2:$B2513,$B2513)=1,1,0))</f>
        <v/>
      </c>
      <c r="J2513">
        <f>IF($A2513="","",ROW())</f>
        <v/>
      </c>
    </row>
    <row r="2514">
      <c r="I2514">
        <f>IF(OR($A2514="",$B2514=""),"",IF(COUNTIFS($A$2:$A2514,$A2514,$B$2:$B2514,$B2514)=1,1,0))</f>
        <v/>
      </c>
      <c r="J2514">
        <f>IF($A2514="","",ROW())</f>
        <v/>
      </c>
    </row>
    <row r="2515">
      <c r="I2515">
        <f>IF(OR($A2515="",$B2515=""),"",IF(COUNTIFS($A$2:$A2515,$A2515,$B$2:$B2515,$B2515)=1,1,0))</f>
        <v/>
      </c>
      <c r="J2515">
        <f>IF($A2515="","",ROW())</f>
        <v/>
      </c>
    </row>
    <row r="2516">
      <c r="I2516">
        <f>IF(OR($A2516="",$B2516=""),"",IF(COUNTIFS($A$2:$A2516,$A2516,$B$2:$B2516,$B2516)=1,1,0))</f>
        <v/>
      </c>
      <c r="J2516">
        <f>IF($A2516="","",ROW())</f>
        <v/>
      </c>
    </row>
    <row r="2517">
      <c r="I2517">
        <f>IF(OR($A2517="",$B2517=""),"",IF(COUNTIFS($A$2:$A2517,$A2517,$B$2:$B2517,$B2517)=1,1,0))</f>
        <v/>
      </c>
      <c r="J2517">
        <f>IF($A2517="","",ROW())</f>
        <v/>
      </c>
    </row>
    <row r="2518">
      <c r="I2518">
        <f>IF(OR($A2518="",$B2518=""),"",IF(COUNTIFS($A$2:$A2518,$A2518,$B$2:$B2518,$B2518)=1,1,0))</f>
        <v/>
      </c>
      <c r="J2518">
        <f>IF($A2518="","",ROW())</f>
        <v/>
      </c>
    </row>
    <row r="2519">
      <c r="I2519">
        <f>IF(OR($A2519="",$B2519=""),"",IF(COUNTIFS($A$2:$A2519,$A2519,$B$2:$B2519,$B2519)=1,1,0))</f>
        <v/>
      </c>
      <c r="J2519">
        <f>IF($A2519="","",ROW())</f>
        <v/>
      </c>
    </row>
    <row r="2520">
      <c r="I2520">
        <f>IF(OR($A2520="",$B2520=""),"",IF(COUNTIFS($A$2:$A2520,$A2520,$B$2:$B2520,$B2520)=1,1,0))</f>
        <v/>
      </c>
      <c r="J2520">
        <f>IF($A2520="","",ROW())</f>
        <v/>
      </c>
    </row>
    <row r="2521">
      <c r="I2521">
        <f>IF(OR($A2521="",$B2521=""),"",IF(COUNTIFS($A$2:$A2521,$A2521,$B$2:$B2521,$B2521)=1,1,0))</f>
        <v/>
      </c>
      <c r="J2521">
        <f>IF($A2521="","",ROW())</f>
        <v/>
      </c>
    </row>
    <row r="2522">
      <c r="I2522">
        <f>IF(OR($A2522="",$B2522=""),"",IF(COUNTIFS($A$2:$A2522,$A2522,$B$2:$B2522,$B2522)=1,1,0))</f>
        <v/>
      </c>
      <c r="J2522">
        <f>IF($A2522="","",ROW())</f>
        <v/>
      </c>
    </row>
    <row r="2523">
      <c r="I2523">
        <f>IF(OR($A2523="",$B2523=""),"",IF(COUNTIFS($A$2:$A2523,$A2523,$B$2:$B2523,$B2523)=1,1,0))</f>
        <v/>
      </c>
      <c r="J2523">
        <f>IF($A2523="","",ROW())</f>
        <v/>
      </c>
    </row>
    <row r="2524">
      <c r="I2524">
        <f>IF(OR($A2524="",$B2524=""),"",IF(COUNTIFS($A$2:$A2524,$A2524,$B$2:$B2524,$B2524)=1,1,0))</f>
        <v/>
      </c>
      <c r="J2524">
        <f>IF($A2524="","",ROW())</f>
        <v/>
      </c>
    </row>
    <row r="2525">
      <c r="I2525">
        <f>IF(OR($A2525="",$B2525=""),"",IF(COUNTIFS($A$2:$A2525,$A2525,$B$2:$B2525,$B2525)=1,1,0))</f>
        <v/>
      </c>
      <c r="J2525">
        <f>IF($A2525="","",ROW())</f>
        <v/>
      </c>
    </row>
    <row r="2526">
      <c r="I2526">
        <f>IF(OR($A2526="",$B2526=""),"",IF(COUNTIFS($A$2:$A2526,$A2526,$B$2:$B2526,$B2526)=1,1,0))</f>
        <v/>
      </c>
      <c r="J2526">
        <f>IF($A2526="","",ROW())</f>
        <v/>
      </c>
    </row>
    <row r="2527">
      <c r="I2527">
        <f>IF(OR($A2527="",$B2527=""),"",IF(COUNTIFS($A$2:$A2527,$A2527,$B$2:$B2527,$B2527)=1,1,0))</f>
        <v/>
      </c>
      <c r="J2527">
        <f>IF($A2527="","",ROW())</f>
        <v/>
      </c>
    </row>
    <row r="2528">
      <c r="I2528">
        <f>IF(OR($A2528="",$B2528=""),"",IF(COUNTIFS($A$2:$A2528,$A2528,$B$2:$B2528,$B2528)=1,1,0))</f>
        <v/>
      </c>
      <c r="J2528">
        <f>IF($A2528="","",ROW())</f>
        <v/>
      </c>
    </row>
    <row r="2529">
      <c r="I2529">
        <f>IF(OR($A2529="",$B2529=""),"",IF(COUNTIFS($A$2:$A2529,$A2529,$B$2:$B2529,$B2529)=1,1,0))</f>
        <v/>
      </c>
      <c r="J2529">
        <f>IF($A2529="","",ROW())</f>
        <v/>
      </c>
    </row>
    <row r="2530">
      <c r="I2530">
        <f>IF(OR($A2530="",$B2530=""),"",IF(COUNTIFS($A$2:$A2530,$A2530,$B$2:$B2530,$B2530)=1,1,0))</f>
        <v/>
      </c>
      <c r="J2530">
        <f>IF($A2530="","",ROW())</f>
        <v/>
      </c>
    </row>
    <row r="2531">
      <c r="I2531">
        <f>IF(OR($A2531="",$B2531=""),"",IF(COUNTIFS($A$2:$A2531,$A2531,$B$2:$B2531,$B2531)=1,1,0))</f>
        <v/>
      </c>
      <c r="J2531">
        <f>IF($A2531="","",ROW())</f>
        <v/>
      </c>
    </row>
    <row r="2532">
      <c r="I2532">
        <f>IF(OR($A2532="",$B2532=""),"",IF(COUNTIFS($A$2:$A2532,$A2532,$B$2:$B2532,$B2532)=1,1,0))</f>
        <v/>
      </c>
      <c r="J2532">
        <f>IF($A2532="","",ROW())</f>
        <v/>
      </c>
    </row>
    <row r="2533">
      <c r="I2533">
        <f>IF(OR($A2533="",$B2533=""),"",IF(COUNTIFS($A$2:$A2533,$A2533,$B$2:$B2533,$B2533)=1,1,0))</f>
        <v/>
      </c>
      <c r="J2533">
        <f>IF($A2533="","",ROW())</f>
        <v/>
      </c>
    </row>
    <row r="2534">
      <c r="I2534">
        <f>IF(OR($A2534="",$B2534=""),"",IF(COUNTIFS($A$2:$A2534,$A2534,$B$2:$B2534,$B2534)=1,1,0))</f>
        <v/>
      </c>
      <c r="J2534">
        <f>IF($A2534="","",ROW())</f>
        <v/>
      </c>
    </row>
    <row r="2535">
      <c r="I2535">
        <f>IF(OR($A2535="",$B2535=""),"",IF(COUNTIFS($A$2:$A2535,$A2535,$B$2:$B2535,$B2535)=1,1,0))</f>
        <v/>
      </c>
      <c r="J2535">
        <f>IF($A2535="","",ROW())</f>
        <v/>
      </c>
    </row>
    <row r="2536">
      <c r="I2536">
        <f>IF(OR($A2536="",$B2536=""),"",IF(COUNTIFS($A$2:$A2536,$A2536,$B$2:$B2536,$B2536)=1,1,0))</f>
        <v/>
      </c>
      <c r="J2536">
        <f>IF($A2536="","",ROW())</f>
        <v/>
      </c>
    </row>
    <row r="2537">
      <c r="I2537">
        <f>IF(OR($A2537="",$B2537=""),"",IF(COUNTIFS($A$2:$A2537,$A2537,$B$2:$B2537,$B2537)=1,1,0))</f>
        <v/>
      </c>
      <c r="J2537">
        <f>IF($A2537="","",ROW())</f>
        <v/>
      </c>
    </row>
    <row r="2538">
      <c r="I2538">
        <f>IF(OR($A2538="",$B2538=""),"",IF(COUNTIFS($A$2:$A2538,$A2538,$B$2:$B2538,$B2538)=1,1,0))</f>
        <v/>
      </c>
      <c r="J2538">
        <f>IF($A2538="","",ROW())</f>
        <v/>
      </c>
    </row>
    <row r="2539">
      <c r="I2539">
        <f>IF(OR($A2539="",$B2539=""),"",IF(COUNTIFS($A$2:$A2539,$A2539,$B$2:$B2539,$B2539)=1,1,0))</f>
        <v/>
      </c>
      <c r="J2539">
        <f>IF($A2539="","",ROW())</f>
        <v/>
      </c>
    </row>
    <row r="2540">
      <c r="I2540">
        <f>IF(OR($A2540="",$B2540=""),"",IF(COUNTIFS($A$2:$A2540,$A2540,$B$2:$B2540,$B2540)=1,1,0))</f>
        <v/>
      </c>
      <c r="J2540">
        <f>IF($A2540="","",ROW())</f>
        <v/>
      </c>
    </row>
    <row r="2541">
      <c r="I2541">
        <f>IF(OR($A2541="",$B2541=""),"",IF(COUNTIFS($A$2:$A2541,$A2541,$B$2:$B2541,$B2541)=1,1,0))</f>
        <v/>
      </c>
      <c r="J2541">
        <f>IF($A2541="","",ROW())</f>
        <v/>
      </c>
    </row>
    <row r="2542">
      <c r="I2542">
        <f>IF(OR($A2542="",$B2542=""),"",IF(COUNTIFS($A$2:$A2542,$A2542,$B$2:$B2542,$B2542)=1,1,0))</f>
        <v/>
      </c>
      <c r="J2542">
        <f>IF($A2542="","",ROW())</f>
        <v/>
      </c>
    </row>
    <row r="2543">
      <c r="I2543">
        <f>IF(OR($A2543="",$B2543=""),"",IF(COUNTIFS($A$2:$A2543,$A2543,$B$2:$B2543,$B2543)=1,1,0))</f>
        <v/>
      </c>
      <c r="J2543">
        <f>IF($A2543="","",ROW())</f>
        <v/>
      </c>
    </row>
    <row r="2544">
      <c r="I2544">
        <f>IF(OR($A2544="",$B2544=""),"",IF(COUNTIFS($A$2:$A2544,$A2544,$B$2:$B2544,$B2544)=1,1,0))</f>
        <v/>
      </c>
      <c r="J2544">
        <f>IF($A2544="","",ROW())</f>
        <v/>
      </c>
    </row>
    <row r="2545">
      <c r="I2545">
        <f>IF(OR($A2545="",$B2545=""),"",IF(COUNTIFS($A$2:$A2545,$A2545,$B$2:$B2545,$B2545)=1,1,0))</f>
        <v/>
      </c>
      <c r="J2545">
        <f>IF($A2545="","",ROW())</f>
        <v/>
      </c>
    </row>
    <row r="2546">
      <c r="I2546">
        <f>IF(OR($A2546="",$B2546=""),"",IF(COUNTIFS($A$2:$A2546,$A2546,$B$2:$B2546,$B2546)=1,1,0))</f>
        <v/>
      </c>
      <c r="J2546">
        <f>IF($A2546="","",ROW())</f>
        <v/>
      </c>
    </row>
    <row r="2547">
      <c r="I2547">
        <f>IF(OR($A2547="",$B2547=""),"",IF(COUNTIFS($A$2:$A2547,$A2547,$B$2:$B2547,$B2547)=1,1,0))</f>
        <v/>
      </c>
      <c r="J2547">
        <f>IF($A2547="","",ROW())</f>
        <v/>
      </c>
    </row>
    <row r="2548">
      <c r="I2548">
        <f>IF(OR($A2548="",$B2548=""),"",IF(COUNTIFS($A$2:$A2548,$A2548,$B$2:$B2548,$B2548)=1,1,0))</f>
        <v/>
      </c>
      <c r="J2548">
        <f>IF($A2548="","",ROW())</f>
        <v/>
      </c>
    </row>
    <row r="2549">
      <c r="I2549">
        <f>IF(OR($A2549="",$B2549=""),"",IF(COUNTIFS($A$2:$A2549,$A2549,$B$2:$B2549,$B2549)=1,1,0))</f>
        <v/>
      </c>
      <c r="J2549">
        <f>IF($A2549="","",ROW())</f>
        <v/>
      </c>
    </row>
    <row r="2550">
      <c r="I2550">
        <f>IF(OR($A2550="",$B2550=""),"",IF(COUNTIFS($A$2:$A2550,$A2550,$B$2:$B2550,$B2550)=1,1,0))</f>
        <v/>
      </c>
      <c r="J2550">
        <f>IF($A2550="","",ROW())</f>
        <v/>
      </c>
    </row>
    <row r="2551">
      <c r="I2551">
        <f>IF(OR($A2551="",$B2551=""),"",IF(COUNTIFS($A$2:$A2551,$A2551,$B$2:$B2551,$B2551)=1,1,0))</f>
        <v/>
      </c>
      <c r="J2551">
        <f>IF($A2551="","",ROW())</f>
        <v/>
      </c>
    </row>
    <row r="2552">
      <c r="I2552">
        <f>IF(OR($A2552="",$B2552=""),"",IF(COUNTIFS($A$2:$A2552,$A2552,$B$2:$B2552,$B2552)=1,1,0))</f>
        <v/>
      </c>
      <c r="J2552">
        <f>IF($A2552="","",ROW())</f>
        <v/>
      </c>
    </row>
    <row r="2553">
      <c r="I2553">
        <f>IF(OR($A2553="",$B2553=""),"",IF(COUNTIFS($A$2:$A2553,$A2553,$B$2:$B2553,$B2553)=1,1,0))</f>
        <v/>
      </c>
      <c r="J2553">
        <f>IF($A2553="","",ROW())</f>
        <v/>
      </c>
    </row>
    <row r="2554">
      <c r="I2554">
        <f>IF(OR($A2554="",$B2554=""),"",IF(COUNTIFS($A$2:$A2554,$A2554,$B$2:$B2554,$B2554)=1,1,0))</f>
        <v/>
      </c>
      <c r="J2554">
        <f>IF($A2554="","",ROW())</f>
        <v/>
      </c>
    </row>
    <row r="2555">
      <c r="I2555">
        <f>IF(OR($A2555="",$B2555=""),"",IF(COUNTIFS($A$2:$A2555,$A2555,$B$2:$B2555,$B2555)=1,1,0))</f>
        <v/>
      </c>
      <c r="J2555">
        <f>IF($A2555="","",ROW())</f>
        <v/>
      </c>
    </row>
    <row r="2556">
      <c r="I2556">
        <f>IF(OR($A2556="",$B2556=""),"",IF(COUNTIFS($A$2:$A2556,$A2556,$B$2:$B2556,$B2556)=1,1,0))</f>
        <v/>
      </c>
      <c r="J2556">
        <f>IF($A2556="","",ROW())</f>
        <v/>
      </c>
    </row>
    <row r="2557">
      <c r="I2557">
        <f>IF(OR($A2557="",$B2557=""),"",IF(COUNTIFS($A$2:$A2557,$A2557,$B$2:$B2557,$B2557)=1,1,0))</f>
        <v/>
      </c>
      <c r="J2557">
        <f>IF($A2557="","",ROW())</f>
        <v/>
      </c>
    </row>
    <row r="2558">
      <c r="I2558">
        <f>IF(OR($A2558="",$B2558=""),"",IF(COUNTIFS($A$2:$A2558,$A2558,$B$2:$B2558,$B2558)=1,1,0))</f>
        <v/>
      </c>
      <c r="J2558">
        <f>IF($A2558="","",ROW())</f>
        <v/>
      </c>
    </row>
    <row r="2559">
      <c r="I2559">
        <f>IF(OR($A2559="",$B2559=""),"",IF(COUNTIFS($A$2:$A2559,$A2559,$B$2:$B2559,$B2559)=1,1,0))</f>
        <v/>
      </c>
      <c r="J2559">
        <f>IF($A2559="","",ROW())</f>
        <v/>
      </c>
    </row>
    <row r="2560">
      <c r="I2560">
        <f>IF(OR($A2560="",$B2560=""),"",IF(COUNTIFS($A$2:$A2560,$A2560,$B$2:$B2560,$B2560)=1,1,0))</f>
        <v/>
      </c>
      <c r="J2560">
        <f>IF($A2560="","",ROW())</f>
        <v/>
      </c>
    </row>
    <row r="2561">
      <c r="I2561">
        <f>IF(OR($A2561="",$B2561=""),"",IF(COUNTIFS($A$2:$A2561,$A2561,$B$2:$B2561,$B2561)=1,1,0))</f>
        <v/>
      </c>
      <c r="J2561">
        <f>IF($A2561="","",ROW())</f>
        <v/>
      </c>
    </row>
    <row r="2562">
      <c r="I2562">
        <f>IF(OR($A2562="",$B2562=""),"",IF(COUNTIFS($A$2:$A2562,$A2562,$B$2:$B2562,$B2562)=1,1,0))</f>
        <v/>
      </c>
      <c r="J2562">
        <f>IF($A2562="","",ROW())</f>
        <v/>
      </c>
    </row>
    <row r="2563">
      <c r="I2563">
        <f>IF(OR($A2563="",$B2563=""),"",IF(COUNTIFS($A$2:$A2563,$A2563,$B$2:$B2563,$B2563)=1,1,0))</f>
        <v/>
      </c>
      <c r="J2563">
        <f>IF($A2563="","",ROW())</f>
        <v/>
      </c>
    </row>
    <row r="2564">
      <c r="I2564">
        <f>IF(OR($A2564="",$B2564=""),"",IF(COUNTIFS($A$2:$A2564,$A2564,$B$2:$B2564,$B2564)=1,1,0))</f>
        <v/>
      </c>
      <c r="J2564">
        <f>IF($A2564="","",ROW())</f>
        <v/>
      </c>
    </row>
    <row r="2565">
      <c r="I2565">
        <f>IF(OR($A2565="",$B2565=""),"",IF(COUNTIFS($A$2:$A2565,$A2565,$B$2:$B2565,$B2565)=1,1,0))</f>
        <v/>
      </c>
      <c r="J2565">
        <f>IF($A2565="","",ROW())</f>
        <v/>
      </c>
    </row>
    <row r="2566">
      <c r="I2566">
        <f>IF(OR($A2566="",$B2566=""),"",IF(COUNTIFS($A$2:$A2566,$A2566,$B$2:$B2566,$B2566)=1,1,0))</f>
        <v/>
      </c>
      <c r="J2566">
        <f>IF($A2566="","",ROW())</f>
        <v/>
      </c>
    </row>
    <row r="2567">
      <c r="I2567">
        <f>IF(OR($A2567="",$B2567=""),"",IF(COUNTIFS($A$2:$A2567,$A2567,$B$2:$B2567,$B2567)=1,1,0))</f>
        <v/>
      </c>
      <c r="J2567">
        <f>IF($A2567="","",ROW())</f>
        <v/>
      </c>
    </row>
    <row r="2568">
      <c r="I2568">
        <f>IF(OR($A2568="",$B2568=""),"",IF(COUNTIFS($A$2:$A2568,$A2568,$B$2:$B2568,$B2568)=1,1,0))</f>
        <v/>
      </c>
      <c r="J2568">
        <f>IF($A2568="","",ROW())</f>
        <v/>
      </c>
    </row>
    <row r="2569">
      <c r="I2569">
        <f>IF(OR($A2569="",$B2569=""),"",IF(COUNTIFS($A$2:$A2569,$A2569,$B$2:$B2569,$B2569)=1,1,0))</f>
        <v/>
      </c>
      <c r="J2569">
        <f>IF($A2569="","",ROW())</f>
        <v/>
      </c>
    </row>
    <row r="2570">
      <c r="I2570">
        <f>IF(OR($A2570="",$B2570=""),"",IF(COUNTIFS($A$2:$A2570,$A2570,$B$2:$B2570,$B2570)=1,1,0))</f>
        <v/>
      </c>
      <c r="J2570">
        <f>IF($A2570="","",ROW())</f>
        <v/>
      </c>
    </row>
    <row r="2571">
      <c r="I2571">
        <f>IF(OR($A2571="",$B2571=""),"",IF(COUNTIFS($A$2:$A2571,$A2571,$B$2:$B2571,$B2571)=1,1,0))</f>
        <v/>
      </c>
      <c r="J2571">
        <f>IF($A2571="","",ROW())</f>
        <v/>
      </c>
    </row>
    <row r="2572">
      <c r="I2572">
        <f>IF(OR($A2572="",$B2572=""),"",IF(COUNTIFS($A$2:$A2572,$A2572,$B$2:$B2572,$B2572)=1,1,0))</f>
        <v/>
      </c>
      <c r="J2572">
        <f>IF($A2572="","",ROW())</f>
        <v/>
      </c>
    </row>
    <row r="2573">
      <c r="I2573">
        <f>IF(OR($A2573="",$B2573=""),"",IF(COUNTIFS($A$2:$A2573,$A2573,$B$2:$B2573,$B2573)=1,1,0))</f>
        <v/>
      </c>
      <c r="J2573">
        <f>IF($A2573="","",ROW())</f>
        <v/>
      </c>
    </row>
    <row r="2574">
      <c r="I2574">
        <f>IF(OR($A2574="",$B2574=""),"",IF(COUNTIFS($A$2:$A2574,$A2574,$B$2:$B2574,$B2574)=1,1,0))</f>
        <v/>
      </c>
      <c r="J2574">
        <f>IF($A2574="","",ROW())</f>
        <v/>
      </c>
    </row>
    <row r="2575">
      <c r="I2575">
        <f>IF(OR($A2575="",$B2575=""),"",IF(COUNTIFS($A$2:$A2575,$A2575,$B$2:$B2575,$B2575)=1,1,0))</f>
        <v/>
      </c>
      <c r="J2575">
        <f>IF($A2575="","",ROW())</f>
        <v/>
      </c>
    </row>
    <row r="2576">
      <c r="I2576">
        <f>IF(OR($A2576="",$B2576=""),"",IF(COUNTIFS($A$2:$A2576,$A2576,$B$2:$B2576,$B2576)=1,1,0))</f>
        <v/>
      </c>
      <c r="J2576">
        <f>IF($A2576="","",ROW())</f>
        <v/>
      </c>
    </row>
    <row r="2577">
      <c r="I2577">
        <f>IF(OR($A2577="",$B2577=""),"",IF(COUNTIFS($A$2:$A2577,$A2577,$B$2:$B2577,$B2577)=1,1,0))</f>
        <v/>
      </c>
      <c r="J2577">
        <f>IF($A2577="","",ROW())</f>
        <v/>
      </c>
    </row>
    <row r="2578">
      <c r="I2578">
        <f>IF(OR($A2578="",$B2578=""),"",IF(COUNTIFS($A$2:$A2578,$A2578,$B$2:$B2578,$B2578)=1,1,0))</f>
        <v/>
      </c>
      <c r="J2578">
        <f>IF($A2578="","",ROW())</f>
        <v/>
      </c>
    </row>
    <row r="2579">
      <c r="I2579">
        <f>IF(OR($A2579="",$B2579=""),"",IF(COUNTIFS($A$2:$A2579,$A2579,$B$2:$B2579,$B2579)=1,1,0))</f>
        <v/>
      </c>
      <c r="J2579">
        <f>IF($A2579="","",ROW())</f>
        <v/>
      </c>
    </row>
    <row r="2580">
      <c r="I2580">
        <f>IF(OR($A2580="",$B2580=""),"",IF(COUNTIFS($A$2:$A2580,$A2580,$B$2:$B2580,$B2580)=1,1,0))</f>
        <v/>
      </c>
      <c r="J2580">
        <f>IF($A2580="","",ROW())</f>
        <v/>
      </c>
    </row>
    <row r="2581">
      <c r="I2581">
        <f>IF(OR($A2581="",$B2581=""),"",IF(COUNTIFS($A$2:$A2581,$A2581,$B$2:$B2581,$B2581)=1,1,0))</f>
        <v/>
      </c>
      <c r="J2581">
        <f>IF($A2581="","",ROW())</f>
        <v/>
      </c>
    </row>
    <row r="2582">
      <c r="I2582">
        <f>IF(OR($A2582="",$B2582=""),"",IF(COUNTIFS($A$2:$A2582,$A2582,$B$2:$B2582,$B2582)=1,1,0))</f>
        <v/>
      </c>
      <c r="J2582">
        <f>IF($A2582="","",ROW())</f>
        <v/>
      </c>
    </row>
    <row r="2583">
      <c r="I2583">
        <f>IF(OR($A2583="",$B2583=""),"",IF(COUNTIFS($A$2:$A2583,$A2583,$B$2:$B2583,$B2583)=1,1,0))</f>
        <v/>
      </c>
      <c r="J2583">
        <f>IF($A2583="","",ROW())</f>
        <v/>
      </c>
    </row>
    <row r="2584">
      <c r="I2584">
        <f>IF(OR($A2584="",$B2584=""),"",IF(COUNTIFS($A$2:$A2584,$A2584,$B$2:$B2584,$B2584)=1,1,0))</f>
        <v/>
      </c>
      <c r="J2584">
        <f>IF($A2584="","",ROW())</f>
        <v/>
      </c>
    </row>
    <row r="2585">
      <c r="I2585">
        <f>IF(OR($A2585="",$B2585=""),"",IF(COUNTIFS($A$2:$A2585,$A2585,$B$2:$B2585,$B2585)=1,1,0))</f>
        <v/>
      </c>
      <c r="J2585">
        <f>IF($A2585="","",ROW())</f>
        <v/>
      </c>
    </row>
    <row r="2586">
      <c r="I2586">
        <f>IF(OR($A2586="",$B2586=""),"",IF(COUNTIFS($A$2:$A2586,$A2586,$B$2:$B2586,$B2586)=1,1,0))</f>
        <v/>
      </c>
      <c r="J2586">
        <f>IF($A2586="","",ROW())</f>
        <v/>
      </c>
    </row>
    <row r="2587">
      <c r="I2587">
        <f>IF(OR($A2587="",$B2587=""),"",IF(COUNTIFS($A$2:$A2587,$A2587,$B$2:$B2587,$B2587)=1,1,0))</f>
        <v/>
      </c>
      <c r="J2587">
        <f>IF($A2587="","",ROW())</f>
        <v/>
      </c>
    </row>
    <row r="2588">
      <c r="I2588">
        <f>IF(OR($A2588="",$B2588=""),"",IF(COUNTIFS($A$2:$A2588,$A2588,$B$2:$B2588,$B2588)=1,1,0))</f>
        <v/>
      </c>
      <c r="J2588">
        <f>IF($A2588="","",ROW())</f>
        <v/>
      </c>
    </row>
    <row r="2589">
      <c r="I2589">
        <f>IF(OR($A2589="",$B2589=""),"",IF(COUNTIFS($A$2:$A2589,$A2589,$B$2:$B2589,$B2589)=1,1,0))</f>
        <v/>
      </c>
      <c r="J2589">
        <f>IF($A2589="","",ROW())</f>
        <v/>
      </c>
    </row>
    <row r="2590">
      <c r="I2590">
        <f>IF(OR($A2590="",$B2590=""),"",IF(COUNTIFS($A$2:$A2590,$A2590,$B$2:$B2590,$B2590)=1,1,0))</f>
        <v/>
      </c>
      <c r="J2590">
        <f>IF($A2590="","",ROW())</f>
        <v/>
      </c>
    </row>
    <row r="2591">
      <c r="I2591">
        <f>IF(OR($A2591="",$B2591=""),"",IF(COUNTIFS($A$2:$A2591,$A2591,$B$2:$B2591,$B2591)=1,1,0))</f>
        <v/>
      </c>
      <c r="J2591">
        <f>IF($A2591="","",ROW())</f>
        <v/>
      </c>
    </row>
    <row r="2592">
      <c r="I2592">
        <f>IF(OR($A2592="",$B2592=""),"",IF(COUNTIFS($A$2:$A2592,$A2592,$B$2:$B2592,$B2592)=1,1,0))</f>
        <v/>
      </c>
      <c r="J2592">
        <f>IF($A2592="","",ROW())</f>
        <v/>
      </c>
    </row>
    <row r="2593">
      <c r="I2593">
        <f>IF(OR($A2593="",$B2593=""),"",IF(COUNTIFS($A$2:$A2593,$A2593,$B$2:$B2593,$B2593)=1,1,0))</f>
        <v/>
      </c>
      <c r="J2593">
        <f>IF($A2593="","",ROW())</f>
        <v/>
      </c>
    </row>
    <row r="2594">
      <c r="I2594">
        <f>IF(OR($A2594="",$B2594=""),"",IF(COUNTIFS($A$2:$A2594,$A2594,$B$2:$B2594,$B2594)=1,1,0))</f>
        <v/>
      </c>
      <c r="J2594">
        <f>IF($A2594="","",ROW())</f>
        <v/>
      </c>
    </row>
    <row r="2595">
      <c r="I2595">
        <f>IF(OR($A2595="",$B2595=""),"",IF(COUNTIFS($A$2:$A2595,$A2595,$B$2:$B2595,$B2595)=1,1,0))</f>
        <v/>
      </c>
      <c r="J2595">
        <f>IF($A2595="","",ROW())</f>
        <v/>
      </c>
    </row>
    <row r="2596">
      <c r="I2596">
        <f>IF(OR($A2596="",$B2596=""),"",IF(COUNTIFS($A$2:$A2596,$A2596,$B$2:$B2596,$B2596)=1,1,0))</f>
        <v/>
      </c>
      <c r="J2596">
        <f>IF($A2596="","",ROW())</f>
        <v/>
      </c>
    </row>
    <row r="2597">
      <c r="I2597">
        <f>IF(OR($A2597="",$B2597=""),"",IF(COUNTIFS($A$2:$A2597,$A2597,$B$2:$B2597,$B2597)=1,1,0))</f>
        <v/>
      </c>
      <c r="J2597">
        <f>IF($A2597="","",ROW())</f>
        <v/>
      </c>
    </row>
    <row r="2598">
      <c r="I2598">
        <f>IF(OR($A2598="",$B2598=""),"",IF(COUNTIFS($A$2:$A2598,$A2598,$B$2:$B2598,$B2598)=1,1,0))</f>
        <v/>
      </c>
      <c r="J2598">
        <f>IF($A2598="","",ROW())</f>
        <v/>
      </c>
    </row>
    <row r="2599">
      <c r="I2599">
        <f>IF(OR($A2599="",$B2599=""),"",IF(COUNTIFS($A$2:$A2599,$A2599,$B$2:$B2599,$B2599)=1,1,0))</f>
        <v/>
      </c>
      <c r="J2599">
        <f>IF($A2599="","",ROW())</f>
        <v/>
      </c>
    </row>
    <row r="2600">
      <c r="I2600">
        <f>IF(OR($A2600="",$B2600=""),"",IF(COUNTIFS($A$2:$A2600,$A2600,$B$2:$B2600,$B2600)=1,1,0))</f>
        <v/>
      </c>
      <c r="J2600">
        <f>IF($A2600="","",ROW())</f>
        <v/>
      </c>
    </row>
    <row r="2601">
      <c r="I2601">
        <f>IF(OR($A2601="",$B2601=""),"",IF(COUNTIFS($A$2:$A2601,$A2601,$B$2:$B2601,$B2601)=1,1,0))</f>
        <v/>
      </c>
      <c r="J2601">
        <f>IF($A2601="","",ROW())</f>
        <v/>
      </c>
    </row>
    <row r="2602">
      <c r="I2602">
        <f>IF(OR($A2602="",$B2602=""),"",IF(COUNTIFS($A$2:$A2602,$A2602,$B$2:$B2602,$B2602)=1,1,0))</f>
        <v/>
      </c>
      <c r="J2602">
        <f>IF($A2602="","",ROW())</f>
        <v/>
      </c>
    </row>
    <row r="2603">
      <c r="I2603">
        <f>IF(OR($A2603="",$B2603=""),"",IF(COUNTIFS($A$2:$A2603,$A2603,$B$2:$B2603,$B2603)=1,1,0))</f>
        <v/>
      </c>
      <c r="J2603">
        <f>IF($A2603="","",ROW())</f>
        <v/>
      </c>
    </row>
    <row r="2604">
      <c r="I2604">
        <f>IF(OR($A2604="",$B2604=""),"",IF(COUNTIFS($A$2:$A2604,$A2604,$B$2:$B2604,$B2604)=1,1,0))</f>
        <v/>
      </c>
      <c r="J2604">
        <f>IF($A2604="","",ROW())</f>
        <v/>
      </c>
    </row>
    <row r="2605">
      <c r="I2605">
        <f>IF(OR($A2605="",$B2605=""),"",IF(COUNTIFS($A$2:$A2605,$A2605,$B$2:$B2605,$B2605)=1,1,0))</f>
        <v/>
      </c>
      <c r="J2605">
        <f>IF($A2605="","",ROW())</f>
        <v/>
      </c>
    </row>
    <row r="2606">
      <c r="I2606">
        <f>IF(OR($A2606="",$B2606=""),"",IF(COUNTIFS($A$2:$A2606,$A2606,$B$2:$B2606,$B2606)=1,1,0))</f>
        <v/>
      </c>
      <c r="J2606">
        <f>IF($A2606="","",ROW())</f>
        <v/>
      </c>
    </row>
    <row r="2607">
      <c r="I2607">
        <f>IF(OR($A2607="",$B2607=""),"",IF(COUNTIFS($A$2:$A2607,$A2607,$B$2:$B2607,$B2607)=1,1,0))</f>
        <v/>
      </c>
      <c r="J2607">
        <f>IF($A2607="","",ROW())</f>
        <v/>
      </c>
    </row>
    <row r="2608">
      <c r="I2608">
        <f>IF(OR($A2608="",$B2608=""),"",IF(COUNTIFS($A$2:$A2608,$A2608,$B$2:$B2608,$B2608)=1,1,0))</f>
        <v/>
      </c>
      <c r="J2608">
        <f>IF($A2608="","",ROW())</f>
        <v/>
      </c>
    </row>
    <row r="2609">
      <c r="I2609">
        <f>IF(OR($A2609="",$B2609=""),"",IF(COUNTIFS($A$2:$A2609,$A2609,$B$2:$B2609,$B2609)=1,1,0))</f>
        <v/>
      </c>
      <c r="J2609">
        <f>IF($A2609="","",ROW())</f>
        <v/>
      </c>
    </row>
    <row r="2610">
      <c r="I2610">
        <f>IF(OR($A2610="",$B2610=""),"",IF(COUNTIFS($A$2:$A2610,$A2610,$B$2:$B2610,$B2610)=1,1,0))</f>
        <v/>
      </c>
      <c r="J2610">
        <f>IF($A2610="","",ROW())</f>
        <v/>
      </c>
    </row>
    <row r="2611">
      <c r="I2611">
        <f>IF(OR($A2611="",$B2611=""),"",IF(COUNTIFS($A$2:$A2611,$A2611,$B$2:$B2611,$B2611)=1,1,0))</f>
        <v/>
      </c>
      <c r="J2611">
        <f>IF($A2611="","",ROW())</f>
        <v/>
      </c>
    </row>
    <row r="2612">
      <c r="I2612">
        <f>IF(OR($A2612="",$B2612=""),"",IF(COUNTIFS($A$2:$A2612,$A2612,$B$2:$B2612,$B2612)=1,1,0))</f>
        <v/>
      </c>
      <c r="J2612">
        <f>IF($A2612="","",ROW())</f>
        <v/>
      </c>
    </row>
    <row r="2613">
      <c r="I2613">
        <f>IF(OR($A2613="",$B2613=""),"",IF(COUNTIFS($A$2:$A2613,$A2613,$B$2:$B2613,$B2613)=1,1,0))</f>
        <v/>
      </c>
      <c r="J2613">
        <f>IF($A2613="","",ROW())</f>
        <v/>
      </c>
    </row>
    <row r="2614">
      <c r="I2614">
        <f>IF(OR($A2614="",$B2614=""),"",IF(COUNTIFS($A$2:$A2614,$A2614,$B$2:$B2614,$B2614)=1,1,0))</f>
        <v/>
      </c>
      <c r="J2614">
        <f>IF($A2614="","",ROW())</f>
        <v/>
      </c>
    </row>
    <row r="2615">
      <c r="I2615">
        <f>IF(OR($A2615="",$B2615=""),"",IF(COUNTIFS($A$2:$A2615,$A2615,$B$2:$B2615,$B2615)=1,1,0))</f>
        <v/>
      </c>
      <c r="J2615">
        <f>IF($A2615="","",ROW())</f>
        <v/>
      </c>
    </row>
    <row r="2616">
      <c r="I2616">
        <f>IF(OR($A2616="",$B2616=""),"",IF(COUNTIFS($A$2:$A2616,$A2616,$B$2:$B2616,$B2616)=1,1,0))</f>
        <v/>
      </c>
      <c r="J2616">
        <f>IF($A2616="","",ROW())</f>
        <v/>
      </c>
    </row>
    <row r="2617">
      <c r="I2617">
        <f>IF(OR($A2617="",$B2617=""),"",IF(COUNTIFS($A$2:$A2617,$A2617,$B$2:$B2617,$B2617)=1,1,0))</f>
        <v/>
      </c>
      <c r="J2617">
        <f>IF($A2617="","",ROW())</f>
        <v/>
      </c>
    </row>
    <row r="2618">
      <c r="I2618">
        <f>IF(OR($A2618="",$B2618=""),"",IF(COUNTIFS($A$2:$A2618,$A2618,$B$2:$B2618,$B2618)=1,1,0))</f>
        <v/>
      </c>
      <c r="J2618">
        <f>IF($A2618="","",ROW())</f>
        <v/>
      </c>
    </row>
    <row r="2619">
      <c r="I2619">
        <f>IF(OR($A2619="",$B2619=""),"",IF(COUNTIFS($A$2:$A2619,$A2619,$B$2:$B2619,$B2619)=1,1,0))</f>
        <v/>
      </c>
      <c r="J2619">
        <f>IF($A2619="","",ROW())</f>
        <v/>
      </c>
    </row>
    <row r="2620">
      <c r="I2620">
        <f>IF(OR($A2620="",$B2620=""),"",IF(COUNTIFS($A$2:$A2620,$A2620,$B$2:$B2620,$B2620)=1,1,0))</f>
        <v/>
      </c>
      <c r="J2620">
        <f>IF($A2620="","",ROW())</f>
        <v/>
      </c>
    </row>
    <row r="2621">
      <c r="I2621">
        <f>IF(OR($A2621="",$B2621=""),"",IF(COUNTIFS($A$2:$A2621,$A2621,$B$2:$B2621,$B2621)=1,1,0))</f>
        <v/>
      </c>
      <c r="J2621">
        <f>IF($A2621="","",ROW())</f>
        <v/>
      </c>
    </row>
    <row r="2622">
      <c r="I2622">
        <f>IF(OR($A2622="",$B2622=""),"",IF(COUNTIFS($A$2:$A2622,$A2622,$B$2:$B2622,$B2622)=1,1,0))</f>
        <v/>
      </c>
      <c r="J2622">
        <f>IF($A2622="","",ROW())</f>
        <v/>
      </c>
    </row>
    <row r="2623">
      <c r="I2623">
        <f>IF(OR($A2623="",$B2623=""),"",IF(COUNTIFS($A$2:$A2623,$A2623,$B$2:$B2623,$B2623)=1,1,0))</f>
        <v/>
      </c>
      <c r="J2623">
        <f>IF($A2623="","",ROW())</f>
        <v/>
      </c>
    </row>
    <row r="2624">
      <c r="I2624">
        <f>IF(OR($A2624="",$B2624=""),"",IF(COUNTIFS($A$2:$A2624,$A2624,$B$2:$B2624,$B2624)=1,1,0))</f>
        <v/>
      </c>
      <c r="J2624">
        <f>IF($A2624="","",ROW())</f>
        <v/>
      </c>
    </row>
    <row r="2625">
      <c r="I2625">
        <f>IF(OR($A2625="",$B2625=""),"",IF(COUNTIFS($A$2:$A2625,$A2625,$B$2:$B2625,$B2625)=1,1,0))</f>
        <v/>
      </c>
      <c r="J2625">
        <f>IF($A2625="","",ROW())</f>
        <v/>
      </c>
    </row>
    <row r="2626">
      <c r="I2626">
        <f>IF(OR($A2626="",$B2626=""),"",IF(COUNTIFS($A$2:$A2626,$A2626,$B$2:$B2626,$B2626)=1,1,0))</f>
        <v/>
      </c>
      <c r="J2626">
        <f>IF($A2626="","",ROW())</f>
        <v/>
      </c>
    </row>
    <row r="2627">
      <c r="I2627">
        <f>IF(OR($A2627="",$B2627=""),"",IF(COUNTIFS($A$2:$A2627,$A2627,$B$2:$B2627,$B2627)=1,1,0))</f>
        <v/>
      </c>
      <c r="J2627">
        <f>IF($A2627="","",ROW())</f>
        <v/>
      </c>
    </row>
    <row r="2628">
      <c r="I2628">
        <f>IF(OR($A2628="",$B2628=""),"",IF(COUNTIFS($A$2:$A2628,$A2628,$B$2:$B2628,$B2628)=1,1,0))</f>
        <v/>
      </c>
      <c r="J2628">
        <f>IF($A2628="","",ROW())</f>
        <v/>
      </c>
    </row>
    <row r="2629">
      <c r="I2629">
        <f>IF(OR($A2629="",$B2629=""),"",IF(COUNTIFS($A$2:$A2629,$A2629,$B$2:$B2629,$B2629)=1,1,0))</f>
        <v/>
      </c>
      <c r="J2629">
        <f>IF($A2629="","",ROW())</f>
        <v/>
      </c>
    </row>
    <row r="2630">
      <c r="I2630">
        <f>IF(OR($A2630="",$B2630=""),"",IF(COUNTIFS($A$2:$A2630,$A2630,$B$2:$B2630,$B2630)=1,1,0))</f>
        <v/>
      </c>
      <c r="J2630">
        <f>IF($A2630="","",ROW())</f>
        <v/>
      </c>
    </row>
    <row r="2631">
      <c r="I2631">
        <f>IF(OR($A2631="",$B2631=""),"",IF(COUNTIFS($A$2:$A2631,$A2631,$B$2:$B2631,$B2631)=1,1,0))</f>
        <v/>
      </c>
      <c r="J2631">
        <f>IF($A2631="","",ROW())</f>
        <v/>
      </c>
    </row>
    <row r="2632">
      <c r="I2632">
        <f>IF(OR($A2632="",$B2632=""),"",IF(COUNTIFS($A$2:$A2632,$A2632,$B$2:$B2632,$B2632)=1,1,0))</f>
        <v/>
      </c>
      <c r="J2632">
        <f>IF($A2632="","",ROW())</f>
        <v/>
      </c>
    </row>
    <row r="2633">
      <c r="I2633">
        <f>IF(OR($A2633="",$B2633=""),"",IF(COUNTIFS($A$2:$A2633,$A2633,$B$2:$B2633,$B2633)=1,1,0))</f>
        <v/>
      </c>
      <c r="J2633">
        <f>IF($A2633="","",ROW())</f>
        <v/>
      </c>
    </row>
    <row r="2634">
      <c r="I2634">
        <f>IF(OR($A2634="",$B2634=""),"",IF(COUNTIFS($A$2:$A2634,$A2634,$B$2:$B2634,$B2634)=1,1,0))</f>
        <v/>
      </c>
      <c r="J2634">
        <f>IF($A2634="","",ROW())</f>
        <v/>
      </c>
    </row>
    <row r="2635">
      <c r="I2635">
        <f>IF(OR($A2635="",$B2635=""),"",IF(COUNTIFS($A$2:$A2635,$A2635,$B$2:$B2635,$B2635)=1,1,0))</f>
        <v/>
      </c>
      <c r="J2635">
        <f>IF($A2635="","",ROW())</f>
        <v/>
      </c>
    </row>
    <row r="2636">
      <c r="I2636">
        <f>IF(OR($A2636="",$B2636=""),"",IF(COUNTIFS($A$2:$A2636,$A2636,$B$2:$B2636,$B2636)=1,1,0))</f>
        <v/>
      </c>
      <c r="J2636">
        <f>IF($A2636="","",ROW())</f>
        <v/>
      </c>
    </row>
    <row r="2637">
      <c r="I2637">
        <f>IF(OR($A2637="",$B2637=""),"",IF(COUNTIFS($A$2:$A2637,$A2637,$B$2:$B2637,$B2637)=1,1,0))</f>
        <v/>
      </c>
      <c r="J2637">
        <f>IF($A2637="","",ROW())</f>
        <v/>
      </c>
    </row>
    <row r="2638">
      <c r="I2638">
        <f>IF(OR($A2638="",$B2638=""),"",IF(COUNTIFS($A$2:$A2638,$A2638,$B$2:$B2638,$B2638)=1,1,0))</f>
        <v/>
      </c>
      <c r="J2638">
        <f>IF($A2638="","",ROW())</f>
        <v/>
      </c>
    </row>
    <row r="2639">
      <c r="I2639">
        <f>IF(OR($A2639="",$B2639=""),"",IF(COUNTIFS($A$2:$A2639,$A2639,$B$2:$B2639,$B2639)=1,1,0))</f>
        <v/>
      </c>
      <c r="J2639">
        <f>IF($A2639="","",ROW())</f>
        <v/>
      </c>
    </row>
    <row r="2640">
      <c r="I2640">
        <f>IF(OR($A2640="",$B2640=""),"",IF(COUNTIFS($A$2:$A2640,$A2640,$B$2:$B2640,$B2640)=1,1,0))</f>
        <v/>
      </c>
      <c r="J2640">
        <f>IF($A2640="","",ROW())</f>
        <v/>
      </c>
    </row>
    <row r="2641">
      <c r="I2641">
        <f>IF(OR($A2641="",$B2641=""),"",IF(COUNTIFS($A$2:$A2641,$A2641,$B$2:$B2641,$B2641)=1,1,0))</f>
        <v/>
      </c>
      <c r="J2641">
        <f>IF($A2641="","",ROW())</f>
        <v/>
      </c>
    </row>
    <row r="2642">
      <c r="I2642">
        <f>IF(OR($A2642="",$B2642=""),"",IF(COUNTIFS($A$2:$A2642,$A2642,$B$2:$B2642,$B2642)=1,1,0))</f>
        <v/>
      </c>
      <c r="J2642">
        <f>IF($A2642="","",ROW())</f>
        <v/>
      </c>
    </row>
    <row r="2643">
      <c r="I2643">
        <f>IF(OR($A2643="",$B2643=""),"",IF(COUNTIFS($A$2:$A2643,$A2643,$B$2:$B2643,$B2643)=1,1,0))</f>
        <v/>
      </c>
      <c r="J2643">
        <f>IF($A2643="","",ROW())</f>
        <v/>
      </c>
    </row>
    <row r="2644">
      <c r="I2644">
        <f>IF(OR($A2644="",$B2644=""),"",IF(COUNTIFS($A$2:$A2644,$A2644,$B$2:$B2644,$B2644)=1,1,0))</f>
        <v/>
      </c>
      <c r="J2644">
        <f>IF($A2644="","",ROW())</f>
        <v/>
      </c>
    </row>
    <row r="2645">
      <c r="I2645">
        <f>IF(OR($A2645="",$B2645=""),"",IF(COUNTIFS($A$2:$A2645,$A2645,$B$2:$B2645,$B2645)=1,1,0))</f>
        <v/>
      </c>
      <c r="J2645">
        <f>IF($A2645="","",ROW())</f>
        <v/>
      </c>
    </row>
    <row r="2646">
      <c r="I2646">
        <f>IF(OR($A2646="",$B2646=""),"",IF(COUNTIFS($A$2:$A2646,$A2646,$B$2:$B2646,$B2646)=1,1,0))</f>
        <v/>
      </c>
      <c r="J2646">
        <f>IF($A2646="","",ROW())</f>
        <v/>
      </c>
    </row>
    <row r="2647">
      <c r="I2647">
        <f>IF(OR($A2647="",$B2647=""),"",IF(COUNTIFS($A$2:$A2647,$A2647,$B$2:$B2647,$B2647)=1,1,0))</f>
        <v/>
      </c>
      <c r="J2647">
        <f>IF($A2647="","",ROW())</f>
        <v/>
      </c>
    </row>
    <row r="2648">
      <c r="I2648">
        <f>IF(OR($A2648="",$B2648=""),"",IF(COUNTIFS($A$2:$A2648,$A2648,$B$2:$B2648,$B2648)=1,1,0))</f>
        <v/>
      </c>
      <c r="J2648">
        <f>IF($A2648="","",ROW())</f>
        <v/>
      </c>
    </row>
    <row r="2649">
      <c r="I2649">
        <f>IF(OR($A2649="",$B2649=""),"",IF(COUNTIFS($A$2:$A2649,$A2649,$B$2:$B2649,$B2649)=1,1,0))</f>
        <v/>
      </c>
      <c r="J2649">
        <f>IF($A2649="","",ROW())</f>
        <v/>
      </c>
    </row>
    <row r="2650">
      <c r="I2650">
        <f>IF(OR($A2650="",$B2650=""),"",IF(COUNTIFS($A$2:$A2650,$A2650,$B$2:$B2650,$B2650)=1,1,0))</f>
        <v/>
      </c>
      <c r="J2650">
        <f>IF($A2650="","",ROW())</f>
        <v/>
      </c>
    </row>
    <row r="2651">
      <c r="I2651">
        <f>IF(OR($A2651="",$B2651=""),"",IF(COUNTIFS($A$2:$A2651,$A2651,$B$2:$B2651,$B2651)=1,1,0))</f>
        <v/>
      </c>
      <c r="J2651">
        <f>IF($A2651="","",ROW())</f>
        <v/>
      </c>
    </row>
    <row r="2652">
      <c r="I2652">
        <f>IF(OR($A2652="",$B2652=""),"",IF(COUNTIFS($A$2:$A2652,$A2652,$B$2:$B2652,$B2652)=1,1,0))</f>
        <v/>
      </c>
      <c r="J2652">
        <f>IF($A2652="","",ROW())</f>
        <v/>
      </c>
    </row>
    <row r="2653">
      <c r="I2653">
        <f>IF(OR($A2653="",$B2653=""),"",IF(COUNTIFS($A$2:$A2653,$A2653,$B$2:$B2653,$B2653)=1,1,0))</f>
        <v/>
      </c>
      <c r="J2653">
        <f>IF($A2653="","",ROW())</f>
        <v/>
      </c>
    </row>
    <row r="2654">
      <c r="I2654">
        <f>IF(OR($A2654="",$B2654=""),"",IF(COUNTIFS($A$2:$A2654,$A2654,$B$2:$B2654,$B2654)=1,1,0))</f>
        <v/>
      </c>
      <c r="J2654">
        <f>IF($A2654="","",ROW())</f>
        <v/>
      </c>
    </row>
    <row r="2655">
      <c r="I2655">
        <f>IF(OR($A2655="",$B2655=""),"",IF(COUNTIFS($A$2:$A2655,$A2655,$B$2:$B2655,$B2655)=1,1,0))</f>
        <v/>
      </c>
      <c r="J2655">
        <f>IF($A2655="","",ROW())</f>
        <v/>
      </c>
    </row>
    <row r="2656">
      <c r="I2656">
        <f>IF(OR($A2656="",$B2656=""),"",IF(COUNTIFS($A$2:$A2656,$A2656,$B$2:$B2656,$B2656)=1,1,0))</f>
        <v/>
      </c>
      <c r="J2656">
        <f>IF($A2656="","",ROW())</f>
        <v/>
      </c>
    </row>
    <row r="2657">
      <c r="I2657">
        <f>IF(OR($A2657="",$B2657=""),"",IF(COUNTIFS($A$2:$A2657,$A2657,$B$2:$B2657,$B2657)=1,1,0))</f>
        <v/>
      </c>
      <c r="J2657">
        <f>IF($A2657="","",ROW())</f>
        <v/>
      </c>
    </row>
    <row r="2658">
      <c r="I2658">
        <f>IF(OR($A2658="",$B2658=""),"",IF(COUNTIFS($A$2:$A2658,$A2658,$B$2:$B2658,$B2658)=1,1,0))</f>
        <v/>
      </c>
      <c r="J2658">
        <f>IF($A2658="","",ROW())</f>
        <v/>
      </c>
    </row>
    <row r="2659">
      <c r="I2659">
        <f>IF(OR($A2659="",$B2659=""),"",IF(COUNTIFS($A$2:$A2659,$A2659,$B$2:$B2659,$B2659)=1,1,0))</f>
        <v/>
      </c>
      <c r="J2659">
        <f>IF($A2659="","",ROW())</f>
        <v/>
      </c>
    </row>
    <row r="2660">
      <c r="I2660">
        <f>IF(OR($A2660="",$B2660=""),"",IF(COUNTIFS($A$2:$A2660,$A2660,$B$2:$B2660,$B2660)=1,1,0))</f>
        <v/>
      </c>
      <c r="J2660">
        <f>IF($A2660="","",ROW())</f>
        <v/>
      </c>
    </row>
    <row r="2661">
      <c r="I2661">
        <f>IF(OR($A2661="",$B2661=""),"",IF(COUNTIFS($A$2:$A2661,$A2661,$B$2:$B2661,$B2661)=1,1,0))</f>
        <v/>
      </c>
      <c r="J2661">
        <f>IF($A2661="","",ROW())</f>
        <v/>
      </c>
    </row>
    <row r="2662">
      <c r="I2662">
        <f>IF(OR($A2662="",$B2662=""),"",IF(COUNTIFS($A$2:$A2662,$A2662,$B$2:$B2662,$B2662)=1,1,0))</f>
        <v/>
      </c>
      <c r="J2662">
        <f>IF($A2662="","",ROW())</f>
        <v/>
      </c>
    </row>
    <row r="2663">
      <c r="I2663">
        <f>IF(OR($A2663="",$B2663=""),"",IF(COUNTIFS($A$2:$A2663,$A2663,$B$2:$B2663,$B2663)=1,1,0))</f>
        <v/>
      </c>
      <c r="J2663">
        <f>IF($A2663="","",ROW())</f>
        <v/>
      </c>
    </row>
    <row r="2664">
      <c r="I2664">
        <f>IF(OR($A2664="",$B2664=""),"",IF(COUNTIFS($A$2:$A2664,$A2664,$B$2:$B2664,$B2664)=1,1,0))</f>
        <v/>
      </c>
      <c r="J2664">
        <f>IF($A2664="","",ROW())</f>
        <v/>
      </c>
    </row>
    <row r="2665">
      <c r="I2665">
        <f>IF(OR($A2665="",$B2665=""),"",IF(COUNTIFS($A$2:$A2665,$A2665,$B$2:$B2665,$B2665)=1,1,0))</f>
        <v/>
      </c>
      <c r="J2665">
        <f>IF($A2665="","",ROW())</f>
        <v/>
      </c>
    </row>
    <row r="2666">
      <c r="I2666">
        <f>IF(OR($A2666="",$B2666=""),"",IF(COUNTIFS($A$2:$A2666,$A2666,$B$2:$B2666,$B2666)=1,1,0))</f>
        <v/>
      </c>
      <c r="J2666">
        <f>IF($A2666="","",ROW())</f>
        <v/>
      </c>
    </row>
    <row r="2667">
      <c r="I2667">
        <f>IF(OR($A2667="",$B2667=""),"",IF(COUNTIFS($A$2:$A2667,$A2667,$B$2:$B2667,$B2667)=1,1,0))</f>
        <v/>
      </c>
      <c r="J2667">
        <f>IF($A2667="","",ROW())</f>
        <v/>
      </c>
    </row>
    <row r="2668">
      <c r="I2668">
        <f>IF(OR($A2668="",$B2668=""),"",IF(COUNTIFS($A$2:$A2668,$A2668,$B$2:$B2668,$B2668)=1,1,0))</f>
        <v/>
      </c>
      <c r="J2668">
        <f>IF($A2668="","",ROW())</f>
        <v/>
      </c>
    </row>
    <row r="2669">
      <c r="I2669">
        <f>IF(OR($A2669="",$B2669=""),"",IF(COUNTIFS($A$2:$A2669,$A2669,$B$2:$B2669,$B2669)=1,1,0))</f>
        <v/>
      </c>
      <c r="J2669">
        <f>IF($A2669="","",ROW())</f>
        <v/>
      </c>
    </row>
    <row r="2670">
      <c r="I2670">
        <f>IF(OR($A2670="",$B2670=""),"",IF(COUNTIFS($A$2:$A2670,$A2670,$B$2:$B2670,$B2670)=1,1,0))</f>
        <v/>
      </c>
      <c r="J2670">
        <f>IF($A2670="","",ROW())</f>
        <v/>
      </c>
    </row>
    <row r="2671">
      <c r="I2671">
        <f>IF(OR($A2671="",$B2671=""),"",IF(COUNTIFS($A$2:$A2671,$A2671,$B$2:$B2671,$B2671)=1,1,0))</f>
        <v/>
      </c>
      <c r="J2671">
        <f>IF($A2671="","",ROW())</f>
        <v/>
      </c>
    </row>
    <row r="2672">
      <c r="I2672">
        <f>IF(OR($A2672="",$B2672=""),"",IF(COUNTIFS($A$2:$A2672,$A2672,$B$2:$B2672,$B2672)=1,1,0))</f>
        <v/>
      </c>
      <c r="J2672">
        <f>IF($A2672="","",ROW())</f>
        <v/>
      </c>
    </row>
    <row r="2673">
      <c r="I2673">
        <f>IF(OR($A2673="",$B2673=""),"",IF(COUNTIFS($A$2:$A2673,$A2673,$B$2:$B2673,$B2673)=1,1,0))</f>
        <v/>
      </c>
      <c r="J2673">
        <f>IF($A2673="","",ROW())</f>
        <v/>
      </c>
    </row>
    <row r="2674">
      <c r="I2674">
        <f>IF(OR($A2674="",$B2674=""),"",IF(COUNTIFS($A$2:$A2674,$A2674,$B$2:$B2674,$B2674)=1,1,0))</f>
        <v/>
      </c>
      <c r="J2674">
        <f>IF($A2674="","",ROW())</f>
        <v/>
      </c>
    </row>
    <row r="2675">
      <c r="I2675">
        <f>IF(OR($A2675="",$B2675=""),"",IF(COUNTIFS($A$2:$A2675,$A2675,$B$2:$B2675,$B2675)=1,1,0))</f>
        <v/>
      </c>
      <c r="J2675">
        <f>IF($A2675="","",ROW())</f>
        <v/>
      </c>
    </row>
    <row r="2676">
      <c r="I2676">
        <f>IF(OR($A2676="",$B2676=""),"",IF(COUNTIFS($A$2:$A2676,$A2676,$B$2:$B2676,$B2676)=1,1,0))</f>
        <v/>
      </c>
      <c r="J2676">
        <f>IF($A2676="","",ROW())</f>
        <v/>
      </c>
    </row>
    <row r="2677">
      <c r="I2677">
        <f>IF(OR($A2677="",$B2677=""),"",IF(COUNTIFS($A$2:$A2677,$A2677,$B$2:$B2677,$B2677)=1,1,0))</f>
        <v/>
      </c>
      <c r="J2677">
        <f>IF($A2677="","",ROW())</f>
        <v/>
      </c>
    </row>
    <row r="2678">
      <c r="I2678">
        <f>IF(OR($A2678="",$B2678=""),"",IF(COUNTIFS($A$2:$A2678,$A2678,$B$2:$B2678,$B2678)=1,1,0))</f>
        <v/>
      </c>
      <c r="J2678">
        <f>IF($A2678="","",ROW())</f>
        <v/>
      </c>
    </row>
    <row r="2679">
      <c r="I2679">
        <f>IF(OR($A2679="",$B2679=""),"",IF(COUNTIFS($A$2:$A2679,$A2679,$B$2:$B2679,$B2679)=1,1,0))</f>
        <v/>
      </c>
      <c r="J2679">
        <f>IF($A2679="","",ROW())</f>
        <v/>
      </c>
    </row>
    <row r="2680">
      <c r="I2680">
        <f>IF(OR($A2680="",$B2680=""),"",IF(COUNTIFS($A$2:$A2680,$A2680,$B$2:$B2680,$B2680)=1,1,0))</f>
        <v/>
      </c>
      <c r="J2680">
        <f>IF($A2680="","",ROW())</f>
        <v/>
      </c>
    </row>
    <row r="2681">
      <c r="I2681">
        <f>IF(OR($A2681="",$B2681=""),"",IF(COUNTIFS($A$2:$A2681,$A2681,$B$2:$B2681,$B2681)=1,1,0))</f>
        <v/>
      </c>
      <c r="J2681">
        <f>IF($A2681="","",ROW())</f>
        <v/>
      </c>
    </row>
    <row r="2682">
      <c r="I2682">
        <f>IF(OR($A2682="",$B2682=""),"",IF(COUNTIFS($A$2:$A2682,$A2682,$B$2:$B2682,$B2682)=1,1,0))</f>
        <v/>
      </c>
      <c r="J2682">
        <f>IF($A2682="","",ROW())</f>
        <v/>
      </c>
    </row>
    <row r="2683">
      <c r="I2683">
        <f>IF(OR($A2683="",$B2683=""),"",IF(COUNTIFS($A$2:$A2683,$A2683,$B$2:$B2683,$B2683)=1,1,0))</f>
        <v/>
      </c>
      <c r="J2683">
        <f>IF($A2683="","",ROW())</f>
        <v/>
      </c>
    </row>
    <row r="2684">
      <c r="I2684">
        <f>IF(OR($A2684="",$B2684=""),"",IF(COUNTIFS($A$2:$A2684,$A2684,$B$2:$B2684,$B2684)=1,1,0))</f>
        <v/>
      </c>
      <c r="J2684">
        <f>IF($A2684="","",ROW())</f>
        <v/>
      </c>
    </row>
    <row r="2685">
      <c r="I2685">
        <f>IF(OR($A2685="",$B2685=""),"",IF(COUNTIFS($A$2:$A2685,$A2685,$B$2:$B2685,$B2685)=1,1,0))</f>
        <v/>
      </c>
      <c r="J2685">
        <f>IF($A2685="","",ROW())</f>
        <v/>
      </c>
    </row>
    <row r="2686">
      <c r="I2686">
        <f>IF(OR($A2686="",$B2686=""),"",IF(COUNTIFS($A$2:$A2686,$A2686,$B$2:$B2686,$B2686)=1,1,0))</f>
        <v/>
      </c>
      <c r="J2686">
        <f>IF($A2686="","",ROW())</f>
        <v/>
      </c>
    </row>
    <row r="2687">
      <c r="I2687">
        <f>IF(OR($A2687="",$B2687=""),"",IF(COUNTIFS($A$2:$A2687,$A2687,$B$2:$B2687,$B2687)=1,1,0))</f>
        <v/>
      </c>
      <c r="J2687">
        <f>IF($A2687="","",ROW())</f>
        <v/>
      </c>
    </row>
    <row r="2688">
      <c r="I2688">
        <f>IF(OR($A2688="",$B2688=""),"",IF(COUNTIFS($A$2:$A2688,$A2688,$B$2:$B2688,$B2688)=1,1,0))</f>
        <v/>
      </c>
      <c r="J2688">
        <f>IF($A2688="","",ROW())</f>
        <v/>
      </c>
    </row>
    <row r="2689">
      <c r="I2689">
        <f>IF(OR($A2689="",$B2689=""),"",IF(COUNTIFS($A$2:$A2689,$A2689,$B$2:$B2689,$B2689)=1,1,0))</f>
        <v/>
      </c>
      <c r="J2689">
        <f>IF($A2689="","",ROW())</f>
        <v/>
      </c>
    </row>
    <row r="2690">
      <c r="I2690">
        <f>IF(OR($A2690="",$B2690=""),"",IF(COUNTIFS($A$2:$A2690,$A2690,$B$2:$B2690,$B2690)=1,1,0))</f>
        <v/>
      </c>
      <c r="J2690">
        <f>IF($A2690="","",ROW())</f>
        <v/>
      </c>
    </row>
    <row r="2691">
      <c r="I2691">
        <f>IF(OR($A2691="",$B2691=""),"",IF(COUNTIFS($A$2:$A2691,$A2691,$B$2:$B2691,$B2691)=1,1,0))</f>
        <v/>
      </c>
      <c r="J2691">
        <f>IF($A2691="","",ROW())</f>
        <v/>
      </c>
    </row>
    <row r="2692">
      <c r="I2692">
        <f>IF(OR($A2692="",$B2692=""),"",IF(COUNTIFS($A$2:$A2692,$A2692,$B$2:$B2692,$B2692)=1,1,0))</f>
        <v/>
      </c>
      <c r="J2692">
        <f>IF($A2692="","",ROW())</f>
        <v/>
      </c>
    </row>
    <row r="2693">
      <c r="I2693">
        <f>IF(OR($A2693="",$B2693=""),"",IF(COUNTIFS($A$2:$A2693,$A2693,$B$2:$B2693,$B2693)=1,1,0))</f>
        <v/>
      </c>
      <c r="J2693">
        <f>IF($A2693="","",ROW())</f>
        <v/>
      </c>
    </row>
    <row r="2694">
      <c r="I2694">
        <f>IF(OR($A2694="",$B2694=""),"",IF(COUNTIFS($A$2:$A2694,$A2694,$B$2:$B2694,$B2694)=1,1,0))</f>
        <v/>
      </c>
      <c r="J2694">
        <f>IF($A2694="","",ROW())</f>
        <v/>
      </c>
    </row>
    <row r="2695">
      <c r="I2695">
        <f>IF(OR($A2695="",$B2695=""),"",IF(COUNTIFS($A$2:$A2695,$A2695,$B$2:$B2695,$B2695)=1,1,0))</f>
        <v/>
      </c>
      <c r="J2695">
        <f>IF($A2695="","",ROW())</f>
        <v/>
      </c>
    </row>
    <row r="2696">
      <c r="I2696">
        <f>IF(OR($A2696="",$B2696=""),"",IF(COUNTIFS($A$2:$A2696,$A2696,$B$2:$B2696,$B2696)=1,1,0))</f>
        <v/>
      </c>
      <c r="J2696">
        <f>IF($A2696="","",ROW())</f>
        <v/>
      </c>
    </row>
    <row r="2697">
      <c r="I2697">
        <f>IF(OR($A2697="",$B2697=""),"",IF(COUNTIFS($A$2:$A2697,$A2697,$B$2:$B2697,$B2697)=1,1,0))</f>
        <v/>
      </c>
      <c r="J2697">
        <f>IF($A2697="","",ROW())</f>
        <v/>
      </c>
    </row>
    <row r="2698">
      <c r="I2698">
        <f>IF(OR($A2698="",$B2698=""),"",IF(COUNTIFS($A$2:$A2698,$A2698,$B$2:$B2698,$B2698)=1,1,0))</f>
        <v/>
      </c>
      <c r="J2698">
        <f>IF($A2698="","",ROW())</f>
        <v/>
      </c>
    </row>
    <row r="2699">
      <c r="I2699">
        <f>IF(OR($A2699="",$B2699=""),"",IF(COUNTIFS($A$2:$A2699,$A2699,$B$2:$B2699,$B2699)=1,1,0))</f>
        <v/>
      </c>
      <c r="J2699">
        <f>IF($A2699="","",ROW())</f>
        <v/>
      </c>
    </row>
    <row r="2700">
      <c r="I2700">
        <f>IF(OR($A2700="",$B2700=""),"",IF(COUNTIFS($A$2:$A2700,$A2700,$B$2:$B2700,$B2700)=1,1,0))</f>
        <v/>
      </c>
      <c r="J2700">
        <f>IF($A2700="","",ROW())</f>
        <v/>
      </c>
    </row>
    <row r="2701">
      <c r="I2701">
        <f>IF(OR($A2701="",$B2701=""),"",IF(COUNTIFS($A$2:$A2701,$A2701,$B$2:$B2701,$B2701)=1,1,0))</f>
        <v/>
      </c>
      <c r="J2701">
        <f>IF($A2701="","",ROW())</f>
        <v/>
      </c>
    </row>
    <row r="2702">
      <c r="I2702">
        <f>IF(OR($A2702="",$B2702=""),"",IF(COUNTIFS($A$2:$A2702,$A2702,$B$2:$B2702,$B2702)=1,1,0))</f>
        <v/>
      </c>
      <c r="J2702">
        <f>IF($A2702="","",ROW())</f>
        <v/>
      </c>
    </row>
    <row r="2703">
      <c r="I2703">
        <f>IF(OR($A2703="",$B2703=""),"",IF(COUNTIFS($A$2:$A2703,$A2703,$B$2:$B2703,$B2703)=1,1,0))</f>
        <v/>
      </c>
      <c r="J2703">
        <f>IF($A2703="","",ROW())</f>
        <v/>
      </c>
    </row>
    <row r="2704">
      <c r="I2704">
        <f>IF(OR($A2704="",$B2704=""),"",IF(COUNTIFS($A$2:$A2704,$A2704,$B$2:$B2704,$B2704)=1,1,0))</f>
        <v/>
      </c>
      <c r="J2704">
        <f>IF($A2704="","",ROW())</f>
        <v/>
      </c>
    </row>
    <row r="2705">
      <c r="I2705">
        <f>IF(OR($A2705="",$B2705=""),"",IF(COUNTIFS($A$2:$A2705,$A2705,$B$2:$B2705,$B2705)=1,1,0))</f>
        <v/>
      </c>
      <c r="J2705">
        <f>IF($A2705="","",ROW())</f>
        <v/>
      </c>
    </row>
    <row r="2706">
      <c r="I2706">
        <f>IF(OR($A2706="",$B2706=""),"",IF(COUNTIFS($A$2:$A2706,$A2706,$B$2:$B2706,$B2706)=1,1,0))</f>
        <v/>
      </c>
      <c r="J2706">
        <f>IF($A2706="","",ROW())</f>
        <v/>
      </c>
    </row>
    <row r="2707">
      <c r="I2707">
        <f>IF(OR($A2707="",$B2707=""),"",IF(COUNTIFS($A$2:$A2707,$A2707,$B$2:$B2707,$B2707)=1,1,0))</f>
        <v/>
      </c>
      <c r="J2707">
        <f>IF($A2707="","",ROW())</f>
        <v/>
      </c>
    </row>
    <row r="2708">
      <c r="I2708">
        <f>IF(OR($A2708="",$B2708=""),"",IF(COUNTIFS($A$2:$A2708,$A2708,$B$2:$B2708,$B2708)=1,1,0))</f>
        <v/>
      </c>
      <c r="J2708">
        <f>IF($A2708="","",ROW())</f>
        <v/>
      </c>
    </row>
    <row r="2709">
      <c r="I2709">
        <f>IF(OR($A2709="",$B2709=""),"",IF(COUNTIFS($A$2:$A2709,$A2709,$B$2:$B2709,$B2709)=1,1,0))</f>
        <v/>
      </c>
      <c r="J2709">
        <f>IF($A2709="","",ROW())</f>
        <v/>
      </c>
    </row>
    <row r="2710">
      <c r="I2710">
        <f>IF(OR($A2710="",$B2710=""),"",IF(COUNTIFS($A$2:$A2710,$A2710,$B$2:$B2710,$B2710)=1,1,0))</f>
        <v/>
      </c>
      <c r="J2710">
        <f>IF($A2710="","",ROW())</f>
        <v/>
      </c>
    </row>
    <row r="2711">
      <c r="I2711">
        <f>IF(OR($A2711="",$B2711=""),"",IF(COUNTIFS($A$2:$A2711,$A2711,$B$2:$B2711,$B2711)=1,1,0))</f>
        <v/>
      </c>
      <c r="J2711">
        <f>IF($A2711="","",ROW())</f>
        <v/>
      </c>
    </row>
    <row r="2712">
      <c r="I2712">
        <f>IF(OR($A2712="",$B2712=""),"",IF(COUNTIFS($A$2:$A2712,$A2712,$B$2:$B2712,$B2712)=1,1,0))</f>
        <v/>
      </c>
      <c r="J2712">
        <f>IF($A2712="","",ROW())</f>
        <v/>
      </c>
    </row>
    <row r="2713">
      <c r="I2713">
        <f>IF(OR($A2713="",$B2713=""),"",IF(COUNTIFS($A$2:$A2713,$A2713,$B$2:$B2713,$B2713)=1,1,0))</f>
        <v/>
      </c>
      <c r="J2713">
        <f>IF($A2713="","",ROW())</f>
        <v/>
      </c>
    </row>
    <row r="2714">
      <c r="I2714">
        <f>IF(OR($A2714="",$B2714=""),"",IF(COUNTIFS($A$2:$A2714,$A2714,$B$2:$B2714,$B2714)=1,1,0))</f>
        <v/>
      </c>
      <c r="J2714">
        <f>IF($A2714="","",ROW())</f>
        <v/>
      </c>
    </row>
    <row r="2715">
      <c r="I2715">
        <f>IF(OR($A2715="",$B2715=""),"",IF(COUNTIFS($A$2:$A2715,$A2715,$B$2:$B2715,$B2715)=1,1,0))</f>
        <v/>
      </c>
      <c r="J2715">
        <f>IF($A2715="","",ROW())</f>
        <v/>
      </c>
    </row>
    <row r="2716">
      <c r="I2716">
        <f>IF(OR($A2716="",$B2716=""),"",IF(COUNTIFS($A$2:$A2716,$A2716,$B$2:$B2716,$B2716)=1,1,0))</f>
        <v/>
      </c>
      <c r="J2716">
        <f>IF($A2716="","",ROW())</f>
        <v/>
      </c>
    </row>
    <row r="2717">
      <c r="I2717">
        <f>IF(OR($A2717="",$B2717=""),"",IF(COUNTIFS($A$2:$A2717,$A2717,$B$2:$B2717,$B2717)=1,1,0))</f>
        <v/>
      </c>
      <c r="J2717">
        <f>IF($A2717="","",ROW())</f>
        <v/>
      </c>
    </row>
    <row r="2718">
      <c r="I2718">
        <f>IF(OR($A2718="",$B2718=""),"",IF(COUNTIFS($A$2:$A2718,$A2718,$B$2:$B2718,$B2718)=1,1,0))</f>
        <v/>
      </c>
      <c r="J2718">
        <f>IF($A2718="","",ROW())</f>
        <v/>
      </c>
    </row>
    <row r="2719">
      <c r="I2719">
        <f>IF(OR($A2719="",$B2719=""),"",IF(COUNTIFS($A$2:$A2719,$A2719,$B$2:$B2719,$B2719)=1,1,0))</f>
        <v/>
      </c>
      <c r="J2719">
        <f>IF($A2719="","",ROW())</f>
        <v/>
      </c>
    </row>
    <row r="2720">
      <c r="I2720">
        <f>IF(OR($A2720="",$B2720=""),"",IF(COUNTIFS($A$2:$A2720,$A2720,$B$2:$B2720,$B2720)=1,1,0))</f>
        <v/>
      </c>
      <c r="J2720">
        <f>IF($A2720="","",ROW())</f>
        <v/>
      </c>
    </row>
    <row r="2721">
      <c r="I2721">
        <f>IF(OR($A2721="",$B2721=""),"",IF(COUNTIFS($A$2:$A2721,$A2721,$B$2:$B2721,$B2721)=1,1,0))</f>
        <v/>
      </c>
      <c r="J2721">
        <f>IF($A2721="","",ROW())</f>
        <v/>
      </c>
    </row>
    <row r="2722">
      <c r="I2722">
        <f>IF(OR($A2722="",$B2722=""),"",IF(COUNTIFS($A$2:$A2722,$A2722,$B$2:$B2722,$B2722)=1,1,0))</f>
        <v/>
      </c>
      <c r="J2722">
        <f>IF($A2722="","",ROW())</f>
        <v/>
      </c>
    </row>
    <row r="2723">
      <c r="I2723">
        <f>IF(OR($A2723="",$B2723=""),"",IF(COUNTIFS($A$2:$A2723,$A2723,$B$2:$B2723,$B2723)=1,1,0))</f>
        <v/>
      </c>
      <c r="J2723">
        <f>IF($A2723="","",ROW())</f>
        <v/>
      </c>
    </row>
    <row r="2724">
      <c r="I2724">
        <f>IF(OR($A2724="",$B2724=""),"",IF(COUNTIFS($A$2:$A2724,$A2724,$B$2:$B2724,$B2724)=1,1,0))</f>
        <v/>
      </c>
      <c r="J2724">
        <f>IF($A2724="","",ROW())</f>
        <v/>
      </c>
    </row>
    <row r="2725">
      <c r="I2725">
        <f>IF(OR($A2725="",$B2725=""),"",IF(COUNTIFS($A$2:$A2725,$A2725,$B$2:$B2725,$B2725)=1,1,0))</f>
        <v/>
      </c>
      <c r="J2725">
        <f>IF($A2725="","",ROW())</f>
        <v/>
      </c>
    </row>
    <row r="2726">
      <c r="I2726">
        <f>IF(OR($A2726="",$B2726=""),"",IF(COUNTIFS($A$2:$A2726,$A2726,$B$2:$B2726,$B2726)=1,1,0))</f>
        <v/>
      </c>
      <c r="J2726">
        <f>IF($A2726="","",ROW())</f>
        <v/>
      </c>
    </row>
    <row r="2727">
      <c r="I2727">
        <f>IF(OR($A2727="",$B2727=""),"",IF(COUNTIFS($A$2:$A2727,$A2727,$B$2:$B2727,$B2727)=1,1,0))</f>
        <v/>
      </c>
      <c r="J2727">
        <f>IF($A2727="","",ROW())</f>
        <v/>
      </c>
    </row>
    <row r="2728">
      <c r="I2728">
        <f>IF(OR($A2728="",$B2728=""),"",IF(COUNTIFS($A$2:$A2728,$A2728,$B$2:$B2728,$B2728)=1,1,0))</f>
        <v/>
      </c>
      <c r="J2728">
        <f>IF($A2728="","",ROW())</f>
        <v/>
      </c>
    </row>
    <row r="2729">
      <c r="I2729">
        <f>IF(OR($A2729="",$B2729=""),"",IF(COUNTIFS($A$2:$A2729,$A2729,$B$2:$B2729,$B2729)=1,1,0))</f>
        <v/>
      </c>
      <c r="J2729">
        <f>IF($A2729="","",ROW())</f>
        <v/>
      </c>
    </row>
    <row r="2730">
      <c r="I2730">
        <f>IF(OR($A2730="",$B2730=""),"",IF(COUNTIFS($A$2:$A2730,$A2730,$B$2:$B2730,$B2730)=1,1,0))</f>
        <v/>
      </c>
      <c r="J2730">
        <f>IF($A2730="","",ROW())</f>
        <v/>
      </c>
    </row>
    <row r="2731">
      <c r="I2731">
        <f>IF(OR($A2731="",$B2731=""),"",IF(COUNTIFS($A$2:$A2731,$A2731,$B$2:$B2731,$B2731)=1,1,0))</f>
        <v/>
      </c>
      <c r="J2731">
        <f>IF($A2731="","",ROW())</f>
        <v/>
      </c>
    </row>
    <row r="2732">
      <c r="I2732">
        <f>IF(OR($A2732="",$B2732=""),"",IF(COUNTIFS($A$2:$A2732,$A2732,$B$2:$B2732,$B2732)=1,1,0))</f>
        <v/>
      </c>
      <c r="J2732">
        <f>IF($A2732="","",ROW())</f>
        <v/>
      </c>
    </row>
    <row r="2733">
      <c r="I2733">
        <f>IF(OR($A2733="",$B2733=""),"",IF(COUNTIFS($A$2:$A2733,$A2733,$B$2:$B2733,$B2733)=1,1,0))</f>
        <v/>
      </c>
      <c r="J2733">
        <f>IF($A2733="","",ROW())</f>
        <v/>
      </c>
    </row>
    <row r="2734">
      <c r="I2734">
        <f>IF(OR($A2734="",$B2734=""),"",IF(COUNTIFS($A$2:$A2734,$A2734,$B$2:$B2734,$B2734)=1,1,0))</f>
        <v/>
      </c>
      <c r="J2734">
        <f>IF($A2734="","",ROW())</f>
        <v/>
      </c>
    </row>
    <row r="2735">
      <c r="I2735">
        <f>IF(OR($A2735="",$B2735=""),"",IF(COUNTIFS($A$2:$A2735,$A2735,$B$2:$B2735,$B2735)=1,1,0))</f>
        <v/>
      </c>
      <c r="J2735">
        <f>IF($A2735="","",ROW())</f>
        <v/>
      </c>
    </row>
    <row r="2736">
      <c r="I2736">
        <f>IF(OR($A2736="",$B2736=""),"",IF(COUNTIFS($A$2:$A2736,$A2736,$B$2:$B2736,$B2736)=1,1,0))</f>
        <v/>
      </c>
      <c r="J2736">
        <f>IF($A2736="","",ROW())</f>
        <v/>
      </c>
    </row>
    <row r="2737">
      <c r="I2737">
        <f>IF(OR($A2737="",$B2737=""),"",IF(COUNTIFS($A$2:$A2737,$A2737,$B$2:$B2737,$B2737)=1,1,0))</f>
        <v/>
      </c>
      <c r="J2737">
        <f>IF($A2737="","",ROW())</f>
        <v/>
      </c>
    </row>
    <row r="2738">
      <c r="I2738">
        <f>IF(OR($A2738="",$B2738=""),"",IF(COUNTIFS($A$2:$A2738,$A2738,$B$2:$B2738,$B2738)=1,1,0))</f>
        <v/>
      </c>
      <c r="J2738">
        <f>IF($A2738="","",ROW())</f>
        <v/>
      </c>
    </row>
    <row r="2739">
      <c r="I2739">
        <f>IF(OR($A2739="",$B2739=""),"",IF(COUNTIFS($A$2:$A2739,$A2739,$B$2:$B2739,$B2739)=1,1,0))</f>
        <v/>
      </c>
      <c r="J2739">
        <f>IF($A2739="","",ROW())</f>
        <v/>
      </c>
    </row>
    <row r="2740">
      <c r="I2740">
        <f>IF(OR($A2740="",$B2740=""),"",IF(COUNTIFS($A$2:$A2740,$A2740,$B$2:$B2740,$B2740)=1,1,0))</f>
        <v/>
      </c>
      <c r="J2740">
        <f>IF($A2740="","",ROW())</f>
        <v/>
      </c>
    </row>
    <row r="2741">
      <c r="I2741">
        <f>IF(OR($A2741="",$B2741=""),"",IF(COUNTIFS($A$2:$A2741,$A2741,$B$2:$B2741,$B2741)=1,1,0))</f>
        <v/>
      </c>
      <c r="J2741">
        <f>IF($A2741="","",ROW())</f>
        <v/>
      </c>
    </row>
    <row r="2742">
      <c r="I2742">
        <f>IF(OR($A2742="",$B2742=""),"",IF(COUNTIFS($A$2:$A2742,$A2742,$B$2:$B2742,$B2742)=1,1,0))</f>
        <v/>
      </c>
      <c r="J2742">
        <f>IF($A2742="","",ROW())</f>
        <v/>
      </c>
    </row>
    <row r="2743">
      <c r="I2743">
        <f>IF(OR($A2743="",$B2743=""),"",IF(COUNTIFS($A$2:$A2743,$A2743,$B$2:$B2743,$B2743)=1,1,0))</f>
        <v/>
      </c>
      <c r="J2743">
        <f>IF($A2743="","",ROW())</f>
        <v/>
      </c>
    </row>
    <row r="2744">
      <c r="I2744">
        <f>IF(OR($A2744="",$B2744=""),"",IF(COUNTIFS($A$2:$A2744,$A2744,$B$2:$B2744,$B2744)=1,1,0))</f>
        <v/>
      </c>
      <c r="J2744">
        <f>IF($A2744="","",ROW())</f>
        <v/>
      </c>
    </row>
    <row r="2745">
      <c r="I2745">
        <f>IF(OR($A2745="",$B2745=""),"",IF(COUNTIFS($A$2:$A2745,$A2745,$B$2:$B2745,$B2745)=1,1,0))</f>
        <v/>
      </c>
      <c r="J2745">
        <f>IF($A2745="","",ROW())</f>
        <v/>
      </c>
    </row>
    <row r="2746">
      <c r="I2746">
        <f>IF(OR($A2746="",$B2746=""),"",IF(COUNTIFS($A$2:$A2746,$A2746,$B$2:$B2746,$B2746)=1,1,0))</f>
        <v/>
      </c>
      <c r="J2746">
        <f>IF($A2746="","",ROW())</f>
        <v/>
      </c>
    </row>
    <row r="2747">
      <c r="I2747">
        <f>IF(OR($A2747="",$B2747=""),"",IF(COUNTIFS($A$2:$A2747,$A2747,$B$2:$B2747,$B2747)=1,1,0))</f>
        <v/>
      </c>
      <c r="J2747">
        <f>IF($A2747="","",ROW())</f>
        <v/>
      </c>
    </row>
    <row r="2748">
      <c r="I2748">
        <f>IF(OR($A2748="",$B2748=""),"",IF(COUNTIFS($A$2:$A2748,$A2748,$B$2:$B2748,$B2748)=1,1,0))</f>
        <v/>
      </c>
      <c r="J2748">
        <f>IF($A2748="","",ROW())</f>
        <v/>
      </c>
    </row>
    <row r="2749">
      <c r="I2749">
        <f>IF(OR($A2749="",$B2749=""),"",IF(COUNTIFS($A$2:$A2749,$A2749,$B$2:$B2749,$B2749)=1,1,0))</f>
        <v/>
      </c>
      <c r="J2749">
        <f>IF($A2749="","",ROW())</f>
        <v/>
      </c>
    </row>
    <row r="2750">
      <c r="I2750">
        <f>IF(OR($A2750="",$B2750=""),"",IF(COUNTIFS($A$2:$A2750,$A2750,$B$2:$B2750,$B2750)=1,1,0))</f>
        <v/>
      </c>
      <c r="J2750">
        <f>IF($A2750="","",ROW())</f>
        <v/>
      </c>
    </row>
    <row r="2751">
      <c r="I2751">
        <f>IF(OR($A2751="",$B2751=""),"",IF(COUNTIFS($A$2:$A2751,$A2751,$B$2:$B2751,$B2751)=1,1,0))</f>
        <v/>
      </c>
      <c r="J2751">
        <f>IF($A2751="","",ROW())</f>
        <v/>
      </c>
    </row>
    <row r="2752">
      <c r="I2752">
        <f>IF(OR($A2752="",$B2752=""),"",IF(COUNTIFS($A$2:$A2752,$A2752,$B$2:$B2752,$B2752)=1,1,0))</f>
        <v/>
      </c>
      <c r="J2752">
        <f>IF($A2752="","",ROW())</f>
        <v/>
      </c>
    </row>
    <row r="2753">
      <c r="I2753">
        <f>IF(OR($A2753="",$B2753=""),"",IF(COUNTIFS($A$2:$A2753,$A2753,$B$2:$B2753,$B2753)=1,1,0))</f>
        <v/>
      </c>
      <c r="J2753">
        <f>IF($A2753="","",ROW())</f>
        <v/>
      </c>
    </row>
    <row r="2754">
      <c r="I2754">
        <f>IF(OR($A2754="",$B2754=""),"",IF(COUNTIFS($A$2:$A2754,$A2754,$B$2:$B2754,$B2754)=1,1,0))</f>
        <v/>
      </c>
      <c r="J2754">
        <f>IF($A2754="","",ROW())</f>
        <v/>
      </c>
    </row>
    <row r="2755">
      <c r="I2755">
        <f>IF(OR($A2755="",$B2755=""),"",IF(COUNTIFS($A$2:$A2755,$A2755,$B$2:$B2755,$B2755)=1,1,0))</f>
        <v/>
      </c>
      <c r="J2755">
        <f>IF($A2755="","",ROW())</f>
        <v/>
      </c>
    </row>
    <row r="2756">
      <c r="I2756">
        <f>IF(OR($A2756="",$B2756=""),"",IF(COUNTIFS($A$2:$A2756,$A2756,$B$2:$B2756,$B2756)=1,1,0))</f>
        <v/>
      </c>
      <c r="J2756">
        <f>IF($A2756="","",ROW())</f>
        <v/>
      </c>
    </row>
    <row r="2757">
      <c r="I2757">
        <f>IF(OR($A2757="",$B2757=""),"",IF(COUNTIFS($A$2:$A2757,$A2757,$B$2:$B2757,$B2757)=1,1,0))</f>
        <v/>
      </c>
      <c r="J2757">
        <f>IF($A2757="","",ROW())</f>
        <v/>
      </c>
    </row>
    <row r="2758">
      <c r="I2758">
        <f>IF(OR($A2758="",$B2758=""),"",IF(COUNTIFS($A$2:$A2758,$A2758,$B$2:$B2758,$B2758)=1,1,0))</f>
        <v/>
      </c>
      <c r="J2758">
        <f>IF($A2758="","",ROW())</f>
        <v/>
      </c>
    </row>
    <row r="2759">
      <c r="I2759">
        <f>IF(OR($A2759="",$B2759=""),"",IF(COUNTIFS($A$2:$A2759,$A2759,$B$2:$B2759,$B2759)=1,1,0))</f>
        <v/>
      </c>
      <c r="J2759">
        <f>IF($A2759="","",ROW())</f>
        <v/>
      </c>
    </row>
    <row r="2760">
      <c r="I2760">
        <f>IF(OR($A2760="",$B2760=""),"",IF(COUNTIFS($A$2:$A2760,$A2760,$B$2:$B2760,$B2760)=1,1,0))</f>
        <v/>
      </c>
      <c r="J2760">
        <f>IF($A2760="","",ROW())</f>
        <v/>
      </c>
    </row>
    <row r="2761">
      <c r="I2761">
        <f>IF(OR($A2761="",$B2761=""),"",IF(COUNTIFS($A$2:$A2761,$A2761,$B$2:$B2761,$B2761)=1,1,0))</f>
        <v/>
      </c>
      <c r="J2761">
        <f>IF($A2761="","",ROW())</f>
        <v/>
      </c>
    </row>
    <row r="2762">
      <c r="I2762">
        <f>IF(OR($A2762="",$B2762=""),"",IF(COUNTIFS($A$2:$A2762,$A2762,$B$2:$B2762,$B2762)=1,1,0))</f>
        <v/>
      </c>
      <c r="J2762">
        <f>IF($A2762="","",ROW())</f>
        <v/>
      </c>
    </row>
    <row r="2763">
      <c r="I2763">
        <f>IF(OR($A2763="",$B2763=""),"",IF(COUNTIFS($A$2:$A2763,$A2763,$B$2:$B2763,$B2763)=1,1,0))</f>
        <v/>
      </c>
      <c r="J2763">
        <f>IF($A2763="","",ROW())</f>
        <v/>
      </c>
    </row>
    <row r="2764">
      <c r="I2764">
        <f>IF(OR($A2764="",$B2764=""),"",IF(COUNTIFS($A$2:$A2764,$A2764,$B$2:$B2764,$B2764)=1,1,0))</f>
        <v/>
      </c>
      <c r="J2764">
        <f>IF($A2764="","",ROW())</f>
        <v/>
      </c>
    </row>
    <row r="2765">
      <c r="I2765">
        <f>IF(OR($A2765="",$B2765=""),"",IF(COUNTIFS($A$2:$A2765,$A2765,$B$2:$B2765,$B2765)=1,1,0))</f>
        <v/>
      </c>
      <c r="J2765">
        <f>IF($A2765="","",ROW())</f>
        <v/>
      </c>
    </row>
    <row r="2766">
      <c r="I2766">
        <f>IF(OR($A2766="",$B2766=""),"",IF(COUNTIFS($A$2:$A2766,$A2766,$B$2:$B2766,$B2766)=1,1,0))</f>
        <v/>
      </c>
      <c r="J2766">
        <f>IF($A2766="","",ROW())</f>
        <v/>
      </c>
    </row>
    <row r="2767">
      <c r="I2767">
        <f>IF(OR($A2767="",$B2767=""),"",IF(COUNTIFS($A$2:$A2767,$A2767,$B$2:$B2767,$B2767)=1,1,0))</f>
        <v/>
      </c>
      <c r="J2767">
        <f>IF($A2767="","",ROW())</f>
        <v/>
      </c>
    </row>
    <row r="2768">
      <c r="I2768">
        <f>IF(OR($A2768="",$B2768=""),"",IF(COUNTIFS($A$2:$A2768,$A2768,$B$2:$B2768,$B2768)=1,1,0))</f>
        <v/>
      </c>
      <c r="J2768">
        <f>IF($A2768="","",ROW())</f>
        <v/>
      </c>
    </row>
    <row r="2769">
      <c r="I2769">
        <f>IF(OR($A2769="",$B2769=""),"",IF(COUNTIFS($A$2:$A2769,$A2769,$B$2:$B2769,$B2769)=1,1,0))</f>
        <v/>
      </c>
      <c r="J2769">
        <f>IF($A2769="","",ROW())</f>
        <v/>
      </c>
    </row>
    <row r="2770">
      <c r="I2770">
        <f>IF(OR($A2770="",$B2770=""),"",IF(COUNTIFS($A$2:$A2770,$A2770,$B$2:$B2770,$B2770)=1,1,0))</f>
        <v/>
      </c>
      <c r="J2770">
        <f>IF($A2770="","",ROW())</f>
        <v/>
      </c>
    </row>
    <row r="2771">
      <c r="I2771">
        <f>IF(OR($A2771="",$B2771=""),"",IF(COUNTIFS($A$2:$A2771,$A2771,$B$2:$B2771,$B2771)=1,1,0))</f>
        <v/>
      </c>
      <c r="J2771">
        <f>IF($A2771="","",ROW())</f>
        <v/>
      </c>
    </row>
    <row r="2772">
      <c r="I2772">
        <f>IF(OR($A2772="",$B2772=""),"",IF(COUNTIFS($A$2:$A2772,$A2772,$B$2:$B2772,$B2772)=1,1,0))</f>
        <v/>
      </c>
      <c r="J2772">
        <f>IF($A2772="","",ROW())</f>
        <v/>
      </c>
    </row>
    <row r="2773">
      <c r="I2773">
        <f>IF(OR($A2773="",$B2773=""),"",IF(COUNTIFS($A$2:$A2773,$A2773,$B$2:$B2773,$B2773)=1,1,0))</f>
        <v/>
      </c>
      <c r="J2773">
        <f>IF($A2773="","",ROW())</f>
        <v/>
      </c>
    </row>
    <row r="2774">
      <c r="I2774">
        <f>IF(OR($A2774="",$B2774=""),"",IF(COUNTIFS($A$2:$A2774,$A2774,$B$2:$B2774,$B2774)=1,1,0))</f>
        <v/>
      </c>
      <c r="J2774">
        <f>IF($A2774="","",ROW())</f>
        <v/>
      </c>
    </row>
    <row r="2775">
      <c r="I2775">
        <f>IF(OR($A2775="",$B2775=""),"",IF(COUNTIFS($A$2:$A2775,$A2775,$B$2:$B2775,$B2775)=1,1,0))</f>
        <v/>
      </c>
      <c r="J2775">
        <f>IF($A2775="","",ROW())</f>
        <v/>
      </c>
    </row>
    <row r="2776">
      <c r="I2776">
        <f>IF(OR($A2776="",$B2776=""),"",IF(COUNTIFS($A$2:$A2776,$A2776,$B$2:$B2776,$B2776)=1,1,0))</f>
        <v/>
      </c>
      <c r="J2776">
        <f>IF($A2776="","",ROW())</f>
        <v/>
      </c>
    </row>
    <row r="2777">
      <c r="I2777">
        <f>IF(OR($A2777="",$B2777=""),"",IF(COUNTIFS($A$2:$A2777,$A2777,$B$2:$B2777,$B2777)=1,1,0))</f>
        <v/>
      </c>
      <c r="J2777">
        <f>IF($A2777="","",ROW())</f>
        <v/>
      </c>
    </row>
    <row r="2778">
      <c r="I2778">
        <f>IF(OR($A2778="",$B2778=""),"",IF(COUNTIFS($A$2:$A2778,$A2778,$B$2:$B2778,$B2778)=1,1,0))</f>
        <v/>
      </c>
      <c r="J2778">
        <f>IF($A2778="","",ROW())</f>
        <v/>
      </c>
    </row>
    <row r="2779">
      <c r="I2779">
        <f>IF(OR($A2779="",$B2779=""),"",IF(COUNTIFS($A$2:$A2779,$A2779,$B$2:$B2779,$B2779)=1,1,0))</f>
        <v/>
      </c>
      <c r="J2779">
        <f>IF($A2779="","",ROW())</f>
        <v/>
      </c>
    </row>
    <row r="2780">
      <c r="I2780">
        <f>IF(OR($A2780="",$B2780=""),"",IF(COUNTIFS($A$2:$A2780,$A2780,$B$2:$B2780,$B2780)=1,1,0))</f>
        <v/>
      </c>
      <c r="J2780">
        <f>IF($A2780="","",ROW())</f>
        <v/>
      </c>
    </row>
    <row r="2781">
      <c r="I2781">
        <f>IF(OR($A2781="",$B2781=""),"",IF(COUNTIFS($A$2:$A2781,$A2781,$B$2:$B2781,$B2781)=1,1,0))</f>
        <v/>
      </c>
      <c r="J2781">
        <f>IF($A2781="","",ROW())</f>
        <v/>
      </c>
    </row>
    <row r="2782">
      <c r="I2782">
        <f>IF(OR($A2782="",$B2782=""),"",IF(COUNTIFS($A$2:$A2782,$A2782,$B$2:$B2782,$B2782)=1,1,0))</f>
        <v/>
      </c>
      <c r="J2782">
        <f>IF($A2782="","",ROW())</f>
        <v/>
      </c>
    </row>
    <row r="2783">
      <c r="I2783">
        <f>IF(OR($A2783="",$B2783=""),"",IF(COUNTIFS($A$2:$A2783,$A2783,$B$2:$B2783,$B2783)=1,1,0))</f>
        <v/>
      </c>
      <c r="J2783">
        <f>IF($A2783="","",ROW())</f>
        <v/>
      </c>
    </row>
    <row r="2784">
      <c r="I2784">
        <f>IF(OR($A2784="",$B2784=""),"",IF(COUNTIFS($A$2:$A2784,$A2784,$B$2:$B2784,$B2784)=1,1,0))</f>
        <v/>
      </c>
      <c r="J2784">
        <f>IF($A2784="","",ROW())</f>
        <v/>
      </c>
    </row>
    <row r="2785">
      <c r="I2785">
        <f>IF(OR($A2785="",$B2785=""),"",IF(COUNTIFS($A$2:$A2785,$A2785,$B$2:$B2785,$B2785)=1,1,0))</f>
        <v/>
      </c>
      <c r="J2785">
        <f>IF($A2785="","",ROW())</f>
        <v/>
      </c>
    </row>
    <row r="2786">
      <c r="I2786">
        <f>IF(OR($A2786="",$B2786=""),"",IF(COUNTIFS($A$2:$A2786,$A2786,$B$2:$B2786,$B2786)=1,1,0))</f>
        <v/>
      </c>
      <c r="J2786">
        <f>IF($A2786="","",ROW())</f>
        <v/>
      </c>
    </row>
    <row r="2787">
      <c r="I2787">
        <f>IF(OR($A2787="",$B2787=""),"",IF(COUNTIFS($A$2:$A2787,$A2787,$B$2:$B2787,$B2787)=1,1,0))</f>
        <v/>
      </c>
      <c r="J2787">
        <f>IF($A2787="","",ROW())</f>
        <v/>
      </c>
    </row>
    <row r="2788">
      <c r="I2788">
        <f>IF(OR($A2788="",$B2788=""),"",IF(COUNTIFS($A$2:$A2788,$A2788,$B$2:$B2788,$B2788)=1,1,0))</f>
        <v/>
      </c>
      <c r="J2788">
        <f>IF($A2788="","",ROW())</f>
        <v/>
      </c>
    </row>
    <row r="2789">
      <c r="I2789">
        <f>IF(OR($A2789="",$B2789=""),"",IF(COUNTIFS($A$2:$A2789,$A2789,$B$2:$B2789,$B2789)=1,1,0))</f>
        <v/>
      </c>
      <c r="J2789">
        <f>IF($A2789="","",ROW())</f>
        <v/>
      </c>
    </row>
    <row r="2790">
      <c r="I2790">
        <f>IF(OR($A2790="",$B2790=""),"",IF(COUNTIFS($A$2:$A2790,$A2790,$B$2:$B2790,$B2790)=1,1,0))</f>
        <v/>
      </c>
      <c r="J2790">
        <f>IF($A2790="","",ROW())</f>
        <v/>
      </c>
    </row>
    <row r="2791">
      <c r="I2791">
        <f>IF(OR($A2791="",$B2791=""),"",IF(COUNTIFS($A$2:$A2791,$A2791,$B$2:$B2791,$B2791)=1,1,0))</f>
        <v/>
      </c>
      <c r="J2791">
        <f>IF($A2791="","",ROW())</f>
        <v/>
      </c>
    </row>
    <row r="2792">
      <c r="I2792">
        <f>IF(OR($A2792="",$B2792=""),"",IF(COUNTIFS($A$2:$A2792,$A2792,$B$2:$B2792,$B2792)=1,1,0))</f>
        <v/>
      </c>
      <c r="J2792">
        <f>IF($A2792="","",ROW())</f>
        <v/>
      </c>
    </row>
    <row r="2793">
      <c r="I2793">
        <f>IF(OR($A2793="",$B2793=""),"",IF(COUNTIFS($A$2:$A2793,$A2793,$B$2:$B2793,$B2793)=1,1,0))</f>
        <v/>
      </c>
      <c r="J2793">
        <f>IF($A2793="","",ROW())</f>
        <v/>
      </c>
    </row>
    <row r="2794">
      <c r="I2794">
        <f>IF(OR($A2794="",$B2794=""),"",IF(COUNTIFS($A$2:$A2794,$A2794,$B$2:$B2794,$B2794)=1,1,0))</f>
        <v/>
      </c>
      <c r="J2794">
        <f>IF($A2794="","",ROW())</f>
        <v/>
      </c>
    </row>
    <row r="2795">
      <c r="I2795">
        <f>IF(OR($A2795="",$B2795=""),"",IF(COUNTIFS($A$2:$A2795,$A2795,$B$2:$B2795,$B2795)=1,1,0))</f>
        <v/>
      </c>
      <c r="J2795">
        <f>IF($A2795="","",ROW())</f>
        <v/>
      </c>
    </row>
    <row r="2796">
      <c r="I2796">
        <f>IF(OR($A2796="",$B2796=""),"",IF(COUNTIFS($A$2:$A2796,$A2796,$B$2:$B2796,$B2796)=1,1,0))</f>
        <v/>
      </c>
      <c r="J2796">
        <f>IF($A2796="","",ROW())</f>
        <v/>
      </c>
    </row>
    <row r="2797">
      <c r="I2797">
        <f>IF(OR($A2797="",$B2797=""),"",IF(COUNTIFS($A$2:$A2797,$A2797,$B$2:$B2797,$B2797)=1,1,0))</f>
        <v/>
      </c>
      <c r="J2797">
        <f>IF($A2797="","",ROW())</f>
        <v/>
      </c>
    </row>
    <row r="2798">
      <c r="I2798">
        <f>IF(OR($A2798="",$B2798=""),"",IF(COUNTIFS($A$2:$A2798,$A2798,$B$2:$B2798,$B2798)=1,1,0))</f>
        <v/>
      </c>
      <c r="J2798">
        <f>IF($A2798="","",ROW())</f>
        <v/>
      </c>
    </row>
    <row r="2799">
      <c r="I2799">
        <f>IF(OR($A2799="",$B2799=""),"",IF(COUNTIFS($A$2:$A2799,$A2799,$B$2:$B2799,$B2799)=1,1,0))</f>
        <v/>
      </c>
      <c r="J2799">
        <f>IF($A2799="","",ROW())</f>
        <v/>
      </c>
    </row>
    <row r="2800">
      <c r="I2800">
        <f>IF(OR($A2800="",$B2800=""),"",IF(COUNTIFS($A$2:$A2800,$A2800,$B$2:$B2800,$B2800)=1,1,0))</f>
        <v/>
      </c>
      <c r="J2800">
        <f>IF($A2800="","",ROW())</f>
        <v/>
      </c>
    </row>
    <row r="2801">
      <c r="I2801">
        <f>IF(OR($A2801="",$B2801=""),"",IF(COUNTIFS($A$2:$A2801,$A2801,$B$2:$B2801,$B2801)=1,1,0))</f>
        <v/>
      </c>
      <c r="J2801">
        <f>IF($A2801="","",ROW())</f>
        <v/>
      </c>
    </row>
    <row r="2802">
      <c r="I2802">
        <f>IF(OR($A2802="",$B2802=""),"",IF(COUNTIFS($A$2:$A2802,$A2802,$B$2:$B2802,$B2802)=1,1,0))</f>
        <v/>
      </c>
      <c r="J2802">
        <f>IF($A2802="","",ROW())</f>
        <v/>
      </c>
    </row>
    <row r="2803">
      <c r="I2803">
        <f>IF(OR($A2803="",$B2803=""),"",IF(COUNTIFS($A$2:$A2803,$A2803,$B$2:$B2803,$B2803)=1,1,0))</f>
        <v/>
      </c>
      <c r="J2803">
        <f>IF($A2803="","",ROW())</f>
        <v/>
      </c>
    </row>
    <row r="2804">
      <c r="I2804">
        <f>IF(OR($A2804="",$B2804=""),"",IF(COUNTIFS($A$2:$A2804,$A2804,$B$2:$B2804,$B2804)=1,1,0))</f>
        <v/>
      </c>
      <c r="J2804">
        <f>IF($A2804="","",ROW())</f>
        <v/>
      </c>
    </row>
    <row r="2805">
      <c r="I2805">
        <f>IF(OR($A2805="",$B2805=""),"",IF(COUNTIFS($A$2:$A2805,$A2805,$B$2:$B2805,$B2805)=1,1,0))</f>
        <v/>
      </c>
      <c r="J2805">
        <f>IF($A2805="","",ROW())</f>
        <v/>
      </c>
    </row>
    <row r="2806">
      <c r="I2806">
        <f>IF(OR($A2806="",$B2806=""),"",IF(COUNTIFS($A$2:$A2806,$A2806,$B$2:$B2806,$B2806)=1,1,0))</f>
        <v/>
      </c>
      <c r="J2806">
        <f>IF($A2806="","",ROW())</f>
        <v/>
      </c>
    </row>
    <row r="2807">
      <c r="I2807">
        <f>IF(OR($A2807="",$B2807=""),"",IF(COUNTIFS($A$2:$A2807,$A2807,$B$2:$B2807,$B2807)=1,1,0))</f>
        <v/>
      </c>
      <c r="J2807">
        <f>IF($A2807="","",ROW())</f>
        <v/>
      </c>
    </row>
    <row r="2808">
      <c r="I2808">
        <f>IF(OR($A2808="",$B2808=""),"",IF(COUNTIFS($A$2:$A2808,$A2808,$B$2:$B2808,$B2808)=1,1,0))</f>
        <v/>
      </c>
      <c r="J2808">
        <f>IF($A2808="","",ROW())</f>
        <v/>
      </c>
    </row>
    <row r="2809">
      <c r="I2809">
        <f>IF(OR($A2809="",$B2809=""),"",IF(COUNTIFS($A$2:$A2809,$A2809,$B$2:$B2809,$B2809)=1,1,0))</f>
        <v/>
      </c>
      <c r="J2809">
        <f>IF($A2809="","",ROW())</f>
        <v/>
      </c>
    </row>
    <row r="2810">
      <c r="I2810">
        <f>IF(OR($A2810="",$B2810=""),"",IF(COUNTIFS($A$2:$A2810,$A2810,$B$2:$B2810,$B2810)=1,1,0))</f>
        <v/>
      </c>
      <c r="J2810">
        <f>IF($A2810="","",ROW())</f>
        <v/>
      </c>
    </row>
    <row r="2811">
      <c r="I2811">
        <f>IF(OR($A2811="",$B2811=""),"",IF(COUNTIFS($A$2:$A2811,$A2811,$B$2:$B2811,$B2811)=1,1,0))</f>
        <v/>
      </c>
      <c r="J2811">
        <f>IF($A2811="","",ROW())</f>
        <v/>
      </c>
    </row>
    <row r="2812">
      <c r="I2812">
        <f>IF(OR($A2812="",$B2812=""),"",IF(COUNTIFS($A$2:$A2812,$A2812,$B$2:$B2812,$B2812)=1,1,0))</f>
        <v/>
      </c>
      <c r="J2812">
        <f>IF($A2812="","",ROW())</f>
        <v/>
      </c>
    </row>
    <row r="2813">
      <c r="I2813">
        <f>IF(OR($A2813="",$B2813=""),"",IF(COUNTIFS($A$2:$A2813,$A2813,$B$2:$B2813,$B2813)=1,1,0))</f>
        <v/>
      </c>
      <c r="J2813">
        <f>IF($A2813="","",ROW())</f>
        <v/>
      </c>
    </row>
    <row r="2814">
      <c r="I2814">
        <f>IF(OR($A2814="",$B2814=""),"",IF(COUNTIFS($A$2:$A2814,$A2814,$B$2:$B2814,$B2814)=1,1,0))</f>
        <v/>
      </c>
      <c r="J2814">
        <f>IF($A2814="","",ROW())</f>
        <v/>
      </c>
    </row>
    <row r="2815">
      <c r="I2815">
        <f>IF(OR($A2815="",$B2815=""),"",IF(COUNTIFS($A$2:$A2815,$A2815,$B$2:$B2815,$B2815)=1,1,0))</f>
        <v/>
      </c>
      <c r="J2815">
        <f>IF($A2815="","",ROW())</f>
        <v/>
      </c>
    </row>
    <row r="2816">
      <c r="I2816">
        <f>IF(OR($A2816="",$B2816=""),"",IF(COUNTIFS($A$2:$A2816,$A2816,$B$2:$B2816,$B2816)=1,1,0))</f>
        <v/>
      </c>
      <c r="J2816">
        <f>IF($A2816="","",ROW())</f>
        <v/>
      </c>
    </row>
    <row r="2817">
      <c r="I2817">
        <f>IF(OR($A2817="",$B2817=""),"",IF(COUNTIFS($A$2:$A2817,$A2817,$B$2:$B2817,$B2817)=1,1,0))</f>
        <v/>
      </c>
      <c r="J2817">
        <f>IF($A2817="","",ROW())</f>
        <v/>
      </c>
    </row>
    <row r="2818">
      <c r="I2818">
        <f>IF(OR($A2818="",$B2818=""),"",IF(COUNTIFS($A$2:$A2818,$A2818,$B$2:$B2818,$B2818)=1,1,0))</f>
        <v/>
      </c>
      <c r="J2818">
        <f>IF($A2818="","",ROW())</f>
        <v/>
      </c>
    </row>
    <row r="2819">
      <c r="I2819">
        <f>IF(OR($A2819="",$B2819=""),"",IF(COUNTIFS($A$2:$A2819,$A2819,$B$2:$B2819,$B2819)=1,1,0))</f>
        <v/>
      </c>
      <c r="J2819">
        <f>IF($A2819="","",ROW())</f>
        <v/>
      </c>
    </row>
    <row r="2820">
      <c r="I2820">
        <f>IF(OR($A2820="",$B2820=""),"",IF(COUNTIFS($A$2:$A2820,$A2820,$B$2:$B2820,$B2820)=1,1,0))</f>
        <v/>
      </c>
      <c r="J2820">
        <f>IF($A2820="","",ROW())</f>
        <v/>
      </c>
    </row>
    <row r="2821">
      <c r="I2821">
        <f>IF(OR($A2821="",$B2821=""),"",IF(COUNTIFS($A$2:$A2821,$A2821,$B$2:$B2821,$B2821)=1,1,0))</f>
        <v/>
      </c>
      <c r="J2821">
        <f>IF($A2821="","",ROW())</f>
        <v/>
      </c>
    </row>
    <row r="2822">
      <c r="I2822">
        <f>IF(OR($A2822="",$B2822=""),"",IF(COUNTIFS($A$2:$A2822,$A2822,$B$2:$B2822,$B2822)=1,1,0))</f>
        <v/>
      </c>
      <c r="J2822">
        <f>IF($A2822="","",ROW())</f>
        <v/>
      </c>
    </row>
    <row r="2823">
      <c r="I2823">
        <f>IF(OR($A2823="",$B2823=""),"",IF(COUNTIFS($A$2:$A2823,$A2823,$B$2:$B2823,$B2823)=1,1,0))</f>
        <v/>
      </c>
      <c r="J2823">
        <f>IF($A2823="","",ROW())</f>
        <v/>
      </c>
    </row>
    <row r="2824">
      <c r="I2824">
        <f>IF(OR($A2824="",$B2824=""),"",IF(COUNTIFS($A$2:$A2824,$A2824,$B$2:$B2824,$B2824)=1,1,0))</f>
        <v/>
      </c>
      <c r="J2824">
        <f>IF($A2824="","",ROW())</f>
        <v/>
      </c>
    </row>
    <row r="2825">
      <c r="I2825">
        <f>IF(OR($A2825="",$B2825=""),"",IF(COUNTIFS($A$2:$A2825,$A2825,$B$2:$B2825,$B2825)=1,1,0))</f>
        <v/>
      </c>
      <c r="J2825">
        <f>IF($A2825="","",ROW())</f>
        <v/>
      </c>
    </row>
    <row r="2826">
      <c r="I2826">
        <f>IF(OR($A2826="",$B2826=""),"",IF(COUNTIFS($A$2:$A2826,$A2826,$B$2:$B2826,$B2826)=1,1,0))</f>
        <v/>
      </c>
      <c r="J2826">
        <f>IF($A2826="","",ROW())</f>
        <v/>
      </c>
    </row>
    <row r="2827">
      <c r="I2827">
        <f>IF(OR($A2827="",$B2827=""),"",IF(COUNTIFS($A$2:$A2827,$A2827,$B$2:$B2827,$B2827)=1,1,0))</f>
        <v/>
      </c>
      <c r="J2827">
        <f>IF($A2827="","",ROW())</f>
        <v/>
      </c>
    </row>
    <row r="2828">
      <c r="I2828">
        <f>IF(OR($A2828="",$B2828=""),"",IF(COUNTIFS($A$2:$A2828,$A2828,$B$2:$B2828,$B2828)=1,1,0))</f>
        <v/>
      </c>
      <c r="J2828">
        <f>IF($A2828="","",ROW())</f>
        <v/>
      </c>
    </row>
    <row r="2829">
      <c r="I2829">
        <f>IF(OR($A2829="",$B2829=""),"",IF(COUNTIFS($A$2:$A2829,$A2829,$B$2:$B2829,$B2829)=1,1,0))</f>
        <v/>
      </c>
      <c r="J2829">
        <f>IF($A2829="","",ROW())</f>
        <v/>
      </c>
    </row>
    <row r="2830">
      <c r="I2830">
        <f>IF(OR($A2830="",$B2830=""),"",IF(COUNTIFS($A$2:$A2830,$A2830,$B$2:$B2830,$B2830)=1,1,0))</f>
        <v/>
      </c>
      <c r="J2830">
        <f>IF($A2830="","",ROW())</f>
        <v/>
      </c>
    </row>
    <row r="2831">
      <c r="I2831">
        <f>IF(OR($A2831="",$B2831=""),"",IF(COUNTIFS($A$2:$A2831,$A2831,$B$2:$B2831,$B2831)=1,1,0))</f>
        <v/>
      </c>
      <c r="J2831">
        <f>IF($A2831="","",ROW())</f>
        <v/>
      </c>
    </row>
    <row r="2832">
      <c r="I2832">
        <f>IF(OR($A2832="",$B2832=""),"",IF(COUNTIFS($A$2:$A2832,$A2832,$B$2:$B2832,$B2832)=1,1,0))</f>
        <v/>
      </c>
      <c r="J2832">
        <f>IF($A2832="","",ROW())</f>
        <v/>
      </c>
    </row>
    <row r="2833">
      <c r="I2833">
        <f>IF(OR($A2833="",$B2833=""),"",IF(COUNTIFS($A$2:$A2833,$A2833,$B$2:$B2833,$B2833)=1,1,0))</f>
        <v/>
      </c>
      <c r="J2833">
        <f>IF($A2833="","",ROW())</f>
        <v/>
      </c>
    </row>
    <row r="2834">
      <c r="I2834">
        <f>IF(OR($A2834="",$B2834=""),"",IF(COUNTIFS($A$2:$A2834,$A2834,$B$2:$B2834,$B2834)=1,1,0))</f>
        <v/>
      </c>
      <c r="J2834">
        <f>IF($A2834="","",ROW())</f>
        <v/>
      </c>
    </row>
    <row r="2835">
      <c r="I2835">
        <f>IF(OR($A2835="",$B2835=""),"",IF(COUNTIFS($A$2:$A2835,$A2835,$B$2:$B2835,$B2835)=1,1,0))</f>
        <v/>
      </c>
      <c r="J2835">
        <f>IF($A2835="","",ROW())</f>
        <v/>
      </c>
    </row>
    <row r="2836">
      <c r="I2836">
        <f>IF(OR($A2836="",$B2836=""),"",IF(COUNTIFS($A$2:$A2836,$A2836,$B$2:$B2836,$B2836)=1,1,0))</f>
        <v/>
      </c>
      <c r="J2836">
        <f>IF($A2836="","",ROW())</f>
        <v/>
      </c>
    </row>
    <row r="2837">
      <c r="I2837">
        <f>IF(OR($A2837="",$B2837=""),"",IF(COUNTIFS($A$2:$A2837,$A2837,$B$2:$B2837,$B2837)=1,1,0))</f>
        <v/>
      </c>
      <c r="J2837">
        <f>IF($A2837="","",ROW())</f>
        <v/>
      </c>
    </row>
    <row r="2838">
      <c r="I2838">
        <f>IF(OR($A2838="",$B2838=""),"",IF(COUNTIFS($A$2:$A2838,$A2838,$B$2:$B2838,$B2838)=1,1,0))</f>
        <v/>
      </c>
      <c r="J2838">
        <f>IF($A2838="","",ROW())</f>
        <v/>
      </c>
    </row>
    <row r="2839">
      <c r="I2839">
        <f>IF(OR($A2839="",$B2839=""),"",IF(COUNTIFS($A$2:$A2839,$A2839,$B$2:$B2839,$B2839)=1,1,0))</f>
        <v/>
      </c>
      <c r="J2839">
        <f>IF($A2839="","",ROW())</f>
        <v/>
      </c>
    </row>
    <row r="2840">
      <c r="I2840">
        <f>IF(OR($A2840="",$B2840=""),"",IF(COUNTIFS($A$2:$A2840,$A2840,$B$2:$B2840,$B2840)=1,1,0))</f>
        <v/>
      </c>
      <c r="J2840">
        <f>IF($A2840="","",ROW())</f>
        <v/>
      </c>
    </row>
    <row r="2841">
      <c r="I2841">
        <f>IF(OR($A2841="",$B2841=""),"",IF(COUNTIFS($A$2:$A2841,$A2841,$B$2:$B2841,$B2841)=1,1,0))</f>
        <v/>
      </c>
      <c r="J2841">
        <f>IF($A2841="","",ROW())</f>
        <v/>
      </c>
    </row>
    <row r="2842">
      <c r="I2842">
        <f>IF(OR($A2842="",$B2842=""),"",IF(COUNTIFS($A$2:$A2842,$A2842,$B$2:$B2842,$B2842)=1,1,0))</f>
        <v/>
      </c>
      <c r="J2842">
        <f>IF($A2842="","",ROW())</f>
        <v/>
      </c>
    </row>
    <row r="2843">
      <c r="I2843">
        <f>IF(OR($A2843="",$B2843=""),"",IF(COUNTIFS($A$2:$A2843,$A2843,$B$2:$B2843,$B2843)=1,1,0))</f>
        <v/>
      </c>
      <c r="J2843">
        <f>IF($A2843="","",ROW())</f>
        <v/>
      </c>
    </row>
    <row r="2844">
      <c r="I2844">
        <f>IF(OR($A2844="",$B2844=""),"",IF(COUNTIFS($A$2:$A2844,$A2844,$B$2:$B2844,$B2844)=1,1,0))</f>
        <v/>
      </c>
      <c r="J2844">
        <f>IF($A2844="","",ROW())</f>
        <v/>
      </c>
    </row>
    <row r="2845">
      <c r="I2845">
        <f>IF(OR($A2845="",$B2845=""),"",IF(COUNTIFS($A$2:$A2845,$A2845,$B$2:$B2845,$B2845)=1,1,0))</f>
        <v/>
      </c>
      <c r="J2845">
        <f>IF($A2845="","",ROW())</f>
        <v/>
      </c>
    </row>
    <row r="2846">
      <c r="I2846">
        <f>IF(OR($A2846="",$B2846=""),"",IF(COUNTIFS($A$2:$A2846,$A2846,$B$2:$B2846,$B2846)=1,1,0))</f>
        <v/>
      </c>
      <c r="J2846">
        <f>IF($A2846="","",ROW())</f>
        <v/>
      </c>
    </row>
    <row r="2847">
      <c r="I2847">
        <f>IF(OR($A2847="",$B2847=""),"",IF(COUNTIFS($A$2:$A2847,$A2847,$B$2:$B2847,$B2847)=1,1,0))</f>
        <v/>
      </c>
      <c r="J2847">
        <f>IF($A2847="","",ROW())</f>
        <v/>
      </c>
    </row>
    <row r="2848">
      <c r="I2848">
        <f>IF(OR($A2848="",$B2848=""),"",IF(COUNTIFS($A$2:$A2848,$A2848,$B$2:$B2848,$B2848)=1,1,0))</f>
        <v/>
      </c>
      <c r="J2848">
        <f>IF($A2848="","",ROW())</f>
        <v/>
      </c>
    </row>
    <row r="2849">
      <c r="I2849">
        <f>IF(OR($A2849="",$B2849=""),"",IF(COUNTIFS($A$2:$A2849,$A2849,$B$2:$B2849,$B2849)=1,1,0))</f>
        <v/>
      </c>
      <c r="J2849">
        <f>IF($A2849="","",ROW())</f>
        <v/>
      </c>
    </row>
    <row r="2850">
      <c r="I2850">
        <f>IF(OR($A2850="",$B2850=""),"",IF(COUNTIFS($A$2:$A2850,$A2850,$B$2:$B2850,$B2850)=1,1,0))</f>
        <v/>
      </c>
      <c r="J2850">
        <f>IF($A2850="","",ROW())</f>
        <v/>
      </c>
    </row>
    <row r="2851">
      <c r="I2851">
        <f>IF(OR($A2851="",$B2851=""),"",IF(COUNTIFS($A$2:$A2851,$A2851,$B$2:$B2851,$B2851)=1,1,0))</f>
        <v/>
      </c>
      <c r="J2851">
        <f>IF($A2851="","",ROW())</f>
        <v/>
      </c>
    </row>
    <row r="2852">
      <c r="I2852">
        <f>IF(OR($A2852="",$B2852=""),"",IF(COUNTIFS($A$2:$A2852,$A2852,$B$2:$B2852,$B2852)=1,1,0))</f>
        <v/>
      </c>
      <c r="J2852">
        <f>IF($A2852="","",ROW())</f>
        <v/>
      </c>
    </row>
    <row r="2853">
      <c r="I2853">
        <f>IF(OR($A2853="",$B2853=""),"",IF(COUNTIFS($A$2:$A2853,$A2853,$B$2:$B2853,$B2853)=1,1,0))</f>
        <v/>
      </c>
      <c r="J2853">
        <f>IF($A2853="","",ROW())</f>
        <v/>
      </c>
    </row>
    <row r="2854">
      <c r="I2854">
        <f>IF(OR($A2854="",$B2854=""),"",IF(COUNTIFS($A$2:$A2854,$A2854,$B$2:$B2854,$B2854)=1,1,0))</f>
        <v/>
      </c>
      <c r="J2854">
        <f>IF($A2854="","",ROW())</f>
        <v/>
      </c>
    </row>
    <row r="2855">
      <c r="I2855">
        <f>IF(OR($A2855="",$B2855=""),"",IF(COUNTIFS($A$2:$A2855,$A2855,$B$2:$B2855,$B2855)=1,1,0))</f>
        <v/>
      </c>
      <c r="J2855">
        <f>IF($A2855="","",ROW())</f>
        <v/>
      </c>
    </row>
    <row r="2856">
      <c r="I2856">
        <f>IF(OR($A2856="",$B2856=""),"",IF(COUNTIFS($A$2:$A2856,$A2856,$B$2:$B2856,$B2856)=1,1,0))</f>
        <v/>
      </c>
      <c r="J2856">
        <f>IF($A2856="","",ROW())</f>
        <v/>
      </c>
    </row>
    <row r="2857">
      <c r="I2857">
        <f>IF(OR($A2857="",$B2857=""),"",IF(COUNTIFS($A$2:$A2857,$A2857,$B$2:$B2857,$B2857)=1,1,0))</f>
        <v/>
      </c>
      <c r="J2857">
        <f>IF($A2857="","",ROW())</f>
        <v/>
      </c>
    </row>
    <row r="2858">
      <c r="I2858">
        <f>IF(OR($A2858="",$B2858=""),"",IF(COUNTIFS($A$2:$A2858,$A2858,$B$2:$B2858,$B2858)=1,1,0))</f>
        <v/>
      </c>
      <c r="J2858">
        <f>IF($A2858="","",ROW())</f>
        <v/>
      </c>
    </row>
    <row r="2859">
      <c r="I2859">
        <f>IF(OR($A2859="",$B2859=""),"",IF(COUNTIFS($A$2:$A2859,$A2859,$B$2:$B2859,$B2859)=1,1,0))</f>
        <v/>
      </c>
      <c r="J2859">
        <f>IF($A2859="","",ROW())</f>
        <v/>
      </c>
    </row>
    <row r="2860">
      <c r="I2860">
        <f>IF(OR($A2860="",$B2860=""),"",IF(COUNTIFS($A$2:$A2860,$A2860,$B$2:$B2860,$B2860)=1,1,0))</f>
        <v/>
      </c>
      <c r="J2860">
        <f>IF($A2860="","",ROW())</f>
        <v/>
      </c>
    </row>
    <row r="2861">
      <c r="I2861">
        <f>IF(OR($A2861="",$B2861=""),"",IF(COUNTIFS($A$2:$A2861,$A2861,$B$2:$B2861,$B2861)=1,1,0))</f>
        <v/>
      </c>
      <c r="J2861">
        <f>IF($A2861="","",ROW())</f>
        <v/>
      </c>
    </row>
    <row r="2862">
      <c r="I2862">
        <f>IF(OR($A2862="",$B2862=""),"",IF(COUNTIFS($A$2:$A2862,$A2862,$B$2:$B2862,$B2862)=1,1,0))</f>
        <v/>
      </c>
      <c r="J2862">
        <f>IF($A2862="","",ROW())</f>
        <v/>
      </c>
    </row>
    <row r="2863">
      <c r="I2863">
        <f>IF(OR($A2863="",$B2863=""),"",IF(COUNTIFS($A$2:$A2863,$A2863,$B$2:$B2863,$B2863)=1,1,0))</f>
        <v/>
      </c>
      <c r="J2863">
        <f>IF($A2863="","",ROW())</f>
        <v/>
      </c>
    </row>
    <row r="2864">
      <c r="I2864">
        <f>IF(OR($A2864="",$B2864=""),"",IF(COUNTIFS($A$2:$A2864,$A2864,$B$2:$B2864,$B2864)=1,1,0))</f>
        <v/>
      </c>
      <c r="J2864">
        <f>IF($A2864="","",ROW())</f>
        <v/>
      </c>
    </row>
    <row r="2865">
      <c r="I2865">
        <f>IF(OR($A2865="",$B2865=""),"",IF(COUNTIFS($A$2:$A2865,$A2865,$B$2:$B2865,$B2865)=1,1,0))</f>
        <v/>
      </c>
      <c r="J2865">
        <f>IF($A2865="","",ROW())</f>
        <v/>
      </c>
    </row>
    <row r="2866">
      <c r="I2866">
        <f>IF(OR($A2866="",$B2866=""),"",IF(COUNTIFS($A$2:$A2866,$A2866,$B$2:$B2866,$B2866)=1,1,0))</f>
        <v/>
      </c>
      <c r="J2866">
        <f>IF($A2866="","",ROW())</f>
        <v/>
      </c>
    </row>
    <row r="2867">
      <c r="I2867">
        <f>IF(OR($A2867="",$B2867=""),"",IF(COUNTIFS($A$2:$A2867,$A2867,$B$2:$B2867,$B2867)=1,1,0))</f>
        <v/>
      </c>
      <c r="J2867">
        <f>IF($A2867="","",ROW())</f>
        <v/>
      </c>
    </row>
    <row r="2868">
      <c r="I2868">
        <f>IF(OR($A2868="",$B2868=""),"",IF(COUNTIFS($A$2:$A2868,$A2868,$B$2:$B2868,$B2868)=1,1,0))</f>
        <v/>
      </c>
      <c r="J2868">
        <f>IF($A2868="","",ROW())</f>
        <v/>
      </c>
    </row>
    <row r="2869">
      <c r="I2869">
        <f>IF(OR($A2869="",$B2869=""),"",IF(COUNTIFS($A$2:$A2869,$A2869,$B$2:$B2869,$B2869)=1,1,0))</f>
        <v/>
      </c>
      <c r="J2869">
        <f>IF($A2869="","",ROW())</f>
        <v/>
      </c>
    </row>
    <row r="2870">
      <c r="I2870">
        <f>IF(OR($A2870="",$B2870=""),"",IF(COUNTIFS($A$2:$A2870,$A2870,$B$2:$B2870,$B2870)=1,1,0))</f>
        <v/>
      </c>
      <c r="J2870">
        <f>IF($A2870="","",ROW())</f>
        <v/>
      </c>
    </row>
    <row r="2871">
      <c r="I2871">
        <f>IF(OR($A2871="",$B2871=""),"",IF(COUNTIFS($A$2:$A2871,$A2871,$B$2:$B2871,$B2871)=1,1,0))</f>
        <v/>
      </c>
      <c r="J2871">
        <f>IF($A2871="","",ROW())</f>
        <v/>
      </c>
    </row>
    <row r="2872">
      <c r="I2872">
        <f>IF(OR($A2872="",$B2872=""),"",IF(COUNTIFS($A$2:$A2872,$A2872,$B$2:$B2872,$B2872)=1,1,0))</f>
        <v/>
      </c>
      <c r="J2872">
        <f>IF($A2872="","",ROW())</f>
        <v/>
      </c>
    </row>
    <row r="2873">
      <c r="I2873">
        <f>IF(OR($A2873="",$B2873=""),"",IF(COUNTIFS($A$2:$A2873,$A2873,$B$2:$B2873,$B2873)=1,1,0))</f>
        <v/>
      </c>
      <c r="J2873">
        <f>IF($A2873="","",ROW())</f>
        <v/>
      </c>
    </row>
    <row r="2874">
      <c r="I2874">
        <f>IF(OR($A2874="",$B2874=""),"",IF(COUNTIFS($A$2:$A2874,$A2874,$B$2:$B2874,$B2874)=1,1,0))</f>
        <v/>
      </c>
      <c r="J2874">
        <f>IF($A2874="","",ROW())</f>
        <v/>
      </c>
    </row>
    <row r="2875">
      <c r="I2875">
        <f>IF(OR($A2875="",$B2875=""),"",IF(COUNTIFS($A$2:$A2875,$A2875,$B$2:$B2875,$B2875)=1,1,0))</f>
        <v/>
      </c>
      <c r="J2875">
        <f>IF($A2875="","",ROW())</f>
        <v/>
      </c>
    </row>
    <row r="2876">
      <c r="I2876">
        <f>IF(OR($A2876="",$B2876=""),"",IF(COUNTIFS($A$2:$A2876,$A2876,$B$2:$B2876,$B2876)=1,1,0))</f>
        <v/>
      </c>
      <c r="J2876">
        <f>IF($A2876="","",ROW())</f>
        <v/>
      </c>
    </row>
    <row r="2877">
      <c r="I2877">
        <f>IF(OR($A2877="",$B2877=""),"",IF(COUNTIFS($A$2:$A2877,$A2877,$B$2:$B2877,$B2877)=1,1,0))</f>
        <v/>
      </c>
      <c r="J2877">
        <f>IF($A2877="","",ROW())</f>
        <v/>
      </c>
    </row>
    <row r="2878">
      <c r="I2878">
        <f>IF(OR($A2878="",$B2878=""),"",IF(COUNTIFS($A$2:$A2878,$A2878,$B$2:$B2878,$B2878)=1,1,0))</f>
        <v/>
      </c>
      <c r="J2878">
        <f>IF($A2878="","",ROW())</f>
        <v/>
      </c>
    </row>
    <row r="2879">
      <c r="I2879">
        <f>IF(OR($A2879="",$B2879=""),"",IF(COUNTIFS($A$2:$A2879,$A2879,$B$2:$B2879,$B2879)=1,1,0))</f>
        <v/>
      </c>
      <c r="J2879">
        <f>IF($A2879="","",ROW())</f>
        <v/>
      </c>
    </row>
    <row r="2880">
      <c r="I2880">
        <f>IF(OR($A2880="",$B2880=""),"",IF(COUNTIFS($A$2:$A2880,$A2880,$B$2:$B2880,$B2880)=1,1,0))</f>
        <v/>
      </c>
      <c r="J2880">
        <f>IF($A2880="","",ROW())</f>
        <v/>
      </c>
    </row>
    <row r="2881">
      <c r="I2881">
        <f>IF(OR($A2881="",$B2881=""),"",IF(COUNTIFS($A$2:$A2881,$A2881,$B$2:$B2881,$B2881)=1,1,0))</f>
        <v/>
      </c>
      <c r="J2881">
        <f>IF($A2881="","",ROW())</f>
        <v/>
      </c>
    </row>
    <row r="2882">
      <c r="I2882">
        <f>IF(OR($A2882="",$B2882=""),"",IF(COUNTIFS($A$2:$A2882,$A2882,$B$2:$B2882,$B2882)=1,1,0))</f>
        <v/>
      </c>
      <c r="J2882">
        <f>IF($A2882="","",ROW())</f>
        <v/>
      </c>
    </row>
    <row r="2883">
      <c r="I2883">
        <f>IF(OR($A2883="",$B2883=""),"",IF(COUNTIFS($A$2:$A2883,$A2883,$B$2:$B2883,$B2883)=1,1,0))</f>
        <v/>
      </c>
      <c r="J2883">
        <f>IF($A2883="","",ROW())</f>
        <v/>
      </c>
    </row>
    <row r="2884">
      <c r="I2884">
        <f>IF(OR($A2884="",$B2884=""),"",IF(COUNTIFS($A$2:$A2884,$A2884,$B$2:$B2884,$B2884)=1,1,0))</f>
        <v/>
      </c>
      <c r="J2884">
        <f>IF($A2884="","",ROW())</f>
        <v/>
      </c>
    </row>
    <row r="2885">
      <c r="I2885">
        <f>IF(OR($A2885="",$B2885=""),"",IF(COUNTIFS($A$2:$A2885,$A2885,$B$2:$B2885,$B2885)=1,1,0))</f>
        <v/>
      </c>
      <c r="J2885">
        <f>IF($A2885="","",ROW())</f>
        <v/>
      </c>
    </row>
    <row r="2886">
      <c r="I2886">
        <f>IF(OR($A2886="",$B2886=""),"",IF(COUNTIFS($A$2:$A2886,$A2886,$B$2:$B2886,$B2886)=1,1,0))</f>
        <v/>
      </c>
      <c r="J2886">
        <f>IF($A2886="","",ROW())</f>
        <v/>
      </c>
    </row>
    <row r="2887">
      <c r="I2887">
        <f>IF(OR($A2887="",$B2887=""),"",IF(COUNTIFS($A$2:$A2887,$A2887,$B$2:$B2887,$B2887)=1,1,0))</f>
        <v/>
      </c>
      <c r="J2887">
        <f>IF($A2887="","",ROW())</f>
        <v/>
      </c>
    </row>
    <row r="2888">
      <c r="I2888">
        <f>IF(OR($A2888="",$B2888=""),"",IF(COUNTIFS($A$2:$A2888,$A2888,$B$2:$B2888,$B2888)=1,1,0))</f>
        <v/>
      </c>
      <c r="J2888">
        <f>IF($A2888="","",ROW())</f>
        <v/>
      </c>
    </row>
    <row r="2889">
      <c r="I2889">
        <f>IF(OR($A2889="",$B2889=""),"",IF(COUNTIFS($A$2:$A2889,$A2889,$B$2:$B2889,$B2889)=1,1,0))</f>
        <v/>
      </c>
      <c r="J2889">
        <f>IF($A2889="","",ROW())</f>
        <v/>
      </c>
    </row>
    <row r="2890">
      <c r="I2890">
        <f>IF(OR($A2890="",$B2890=""),"",IF(COUNTIFS($A$2:$A2890,$A2890,$B$2:$B2890,$B2890)=1,1,0))</f>
        <v/>
      </c>
      <c r="J2890">
        <f>IF($A2890="","",ROW())</f>
        <v/>
      </c>
    </row>
    <row r="2891">
      <c r="I2891">
        <f>IF(OR($A2891="",$B2891=""),"",IF(COUNTIFS($A$2:$A2891,$A2891,$B$2:$B2891,$B2891)=1,1,0))</f>
        <v/>
      </c>
      <c r="J2891">
        <f>IF($A2891="","",ROW())</f>
        <v/>
      </c>
    </row>
    <row r="2892">
      <c r="I2892">
        <f>IF(OR($A2892="",$B2892=""),"",IF(COUNTIFS($A$2:$A2892,$A2892,$B$2:$B2892,$B2892)=1,1,0))</f>
        <v/>
      </c>
      <c r="J2892">
        <f>IF($A2892="","",ROW())</f>
        <v/>
      </c>
    </row>
    <row r="2893">
      <c r="I2893">
        <f>IF(OR($A2893="",$B2893=""),"",IF(COUNTIFS($A$2:$A2893,$A2893,$B$2:$B2893,$B2893)=1,1,0))</f>
        <v/>
      </c>
      <c r="J2893">
        <f>IF($A2893="","",ROW())</f>
        <v/>
      </c>
    </row>
    <row r="2894">
      <c r="I2894">
        <f>IF(OR($A2894="",$B2894=""),"",IF(COUNTIFS($A$2:$A2894,$A2894,$B$2:$B2894,$B2894)=1,1,0))</f>
        <v/>
      </c>
      <c r="J2894">
        <f>IF($A2894="","",ROW())</f>
        <v/>
      </c>
    </row>
    <row r="2895">
      <c r="I2895">
        <f>IF(OR($A2895="",$B2895=""),"",IF(COUNTIFS($A$2:$A2895,$A2895,$B$2:$B2895,$B2895)=1,1,0))</f>
        <v/>
      </c>
      <c r="J2895">
        <f>IF($A2895="","",ROW())</f>
        <v/>
      </c>
    </row>
    <row r="2896">
      <c r="I2896">
        <f>IF(OR($A2896="",$B2896=""),"",IF(COUNTIFS($A$2:$A2896,$A2896,$B$2:$B2896,$B2896)=1,1,0))</f>
        <v/>
      </c>
      <c r="J2896">
        <f>IF($A2896="","",ROW())</f>
        <v/>
      </c>
    </row>
    <row r="2897">
      <c r="I2897">
        <f>IF(OR($A2897="",$B2897=""),"",IF(COUNTIFS($A$2:$A2897,$A2897,$B$2:$B2897,$B2897)=1,1,0))</f>
        <v/>
      </c>
      <c r="J2897">
        <f>IF($A2897="","",ROW())</f>
        <v/>
      </c>
    </row>
    <row r="2898">
      <c r="I2898">
        <f>IF(OR($A2898="",$B2898=""),"",IF(COUNTIFS($A$2:$A2898,$A2898,$B$2:$B2898,$B2898)=1,1,0))</f>
        <v/>
      </c>
      <c r="J2898">
        <f>IF($A2898="","",ROW())</f>
        <v/>
      </c>
    </row>
    <row r="2899">
      <c r="I2899">
        <f>IF(OR($A2899="",$B2899=""),"",IF(COUNTIFS($A$2:$A2899,$A2899,$B$2:$B2899,$B2899)=1,1,0))</f>
        <v/>
      </c>
      <c r="J2899">
        <f>IF($A2899="","",ROW())</f>
        <v/>
      </c>
    </row>
    <row r="2900">
      <c r="I2900">
        <f>IF(OR($A2900="",$B2900=""),"",IF(COUNTIFS($A$2:$A2900,$A2900,$B$2:$B2900,$B2900)=1,1,0))</f>
        <v/>
      </c>
      <c r="J2900">
        <f>IF($A2900="","",ROW())</f>
        <v/>
      </c>
    </row>
    <row r="2901">
      <c r="I2901">
        <f>IF(OR($A2901="",$B2901=""),"",IF(COUNTIFS($A$2:$A2901,$A2901,$B$2:$B2901,$B2901)=1,1,0))</f>
        <v/>
      </c>
      <c r="J2901">
        <f>IF($A2901="","",ROW())</f>
        <v/>
      </c>
    </row>
    <row r="2902">
      <c r="I2902">
        <f>IF(OR($A2902="",$B2902=""),"",IF(COUNTIFS($A$2:$A2902,$A2902,$B$2:$B2902,$B2902)=1,1,0))</f>
        <v/>
      </c>
      <c r="J2902">
        <f>IF($A2902="","",ROW())</f>
        <v/>
      </c>
    </row>
    <row r="2903">
      <c r="I2903">
        <f>IF(OR($A2903="",$B2903=""),"",IF(COUNTIFS($A$2:$A2903,$A2903,$B$2:$B2903,$B2903)=1,1,0))</f>
        <v/>
      </c>
      <c r="J2903">
        <f>IF($A2903="","",ROW())</f>
        <v/>
      </c>
    </row>
    <row r="2904">
      <c r="I2904">
        <f>IF(OR($A2904="",$B2904=""),"",IF(COUNTIFS($A$2:$A2904,$A2904,$B$2:$B2904,$B2904)=1,1,0))</f>
        <v/>
      </c>
      <c r="J2904">
        <f>IF($A2904="","",ROW())</f>
        <v/>
      </c>
    </row>
    <row r="2905">
      <c r="I2905">
        <f>IF(OR($A2905="",$B2905=""),"",IF(COUNTIFS($A$2:$A2905,$A2905,$B$2:$B2905,$B2905)=1,1,0))</f>
        <v/>
      </c>
      <c r="J2905">
        <f>IF($A2905="","",ROW())</f>
        <v/>
      </c>
    </row>
    <row r="2906">
      <c r="I2906">
        <f>IF(OR($A2906="",$B2906=""),"",IF(COUNTIFS($A$2:$A2906,$A2906,$B$2:$B2906,$B2906)=1,1,0))</f>
        <v/>
      </c>
      <c r="J2906">
        <f>IF($A2906="","",ROW())</f>
        <v/>
      </c>
    </row>
    <row r="2907">
      <c r="I2907">
        <f>IF(OR($A2907="",$B2907=""),"",IF(COUNTIFS($A$2:$A2907,$A2907,$B$2:$B2907,$B2907)=1,1,0))</f>
        <v/>
      </c>
      <c r="J2907">
        <f>IF($A2907="","",ROW())</f>
        <v/>
      </c>
    </row>
    <row r="2908">
      <c r="I2908">
        <f>IF(OR($A2908="",$B2908=""),"",IF(COUNTIFS($A$2:$A2908,$A2908,$B$2:$B2908,$B2908)=1,1,0))</f>
        <v/>
      </c>
      <c r="J2908">
        <f>IF($A2908="","",ROW())</f>
        <v/>
      </c>
    </row>
    <row r="2909">
      <c r="I2909">
        <f>IF(OR($A2909="",$B2909=""),"",IF(COUNTIFS($A$2:$A2909,$A2909,$B$2:$B2909,$B2909)=1,1,0))</f>
        <v/>
      </c>
      <c r="J2909">
        <f>IF($A2909="","",ROW())</f>
        <v/>
      </c>
    </row>
    <row r="2910">
      <c r="I2910">
        <f>IF(OR($A2910="",$B2910=""),"",IF(COUNTIFS($A$2:$A2910,$A2910,$B$2:$B2910,$B2910)=1,1,0))</f>
        <v/>
      </c>
      <c r="J2910">
        <f>IF($A2910="","",ROW())</f>
        <v/>
      </c>
    </row>
    <row r="2911">
      <c r="I2911">
        <f>IF(OR($A2911="",$B2911=""),"",IF(COUNTIFS($A$2:$A2911,$A2911,$B$2:$B2911,$B2911)=1,1,0))</f>
        <v/>
      </c>
      <c r="J2911">
        <f>IF($A2911="","",ROW())</f>
        <v/>
      </c>
    </row>
    <row r="2912">
      <c r="I2912">
        <f>IF(OR($A2912="",$B2912=""),"",IF(COUNTIFS($A$2:$A2912,$A2912,$B$2:$B2912,$B2912)=1,1,0))</f>
        <v/>
      </c>
      <c r="J2912">
        <f>IF($A2912="","",ROW())</f>
        <v/>
      </c>
    </row>
    <row r="2913">
      <c r="I2913">
        <f>IF(OR($A2913="",$B2913=""),"",IF(COUNTIFS($A$2:$A2913,$A2913,$B$2:$B2913,$B2913)=1,1,0))</f>
        <v/>
      </c>
      <c r="J2913">
        <f>IF($A2913="","",ROW())</f>
        <v/>
      </c>
    </row>
    <row r="2914">
      <c r="I2914">
        <f>IF(OR($A2914="",$B2914=""),"",IF(COUNTIFS($A$2:$A2914,$A2914,$B$2:$B2914,$B2914)=1,1,0))</f>
        <v/>
      </c>
      <c r="J2914">
        <f>IF($A2914="","",ROW())</f>
        <v/>
      </c>
    </row>
    <row r="2915">
      <c r="I2915">
        <f>IF(OR($A2915="",$B2915=""),"",IF(COUNTIFS($A$2:$A2915,$A2915,$B$2:$B2915,$B2915)=1,1,0))</f>
        <v/>
      </c>
      <c r="J2915">
        <f>IF($A2915="","",ROW())</f>
        <v/>
      </c>
    </row>
    <row r="2916">
      <c r="I2916">
        <f>IF(OR($A2916="",$B2916=""),"",IF(COUNTIFS($A$2:$A2916,$A2916,$B$2:$B2916,$B2916)=1,1,0))</f>
        <v/>
      </c>
      <c r="J2916">
        <f>IF($A2916="","",ROW())</f>
        <v/>
      </c>
    </row>
    <row r="2917">
      <c r="I2917">
        <f>IF(OR($A2917="",$B2917=""),"",IF(COUNTIFS($A$2:$A2917,$A2917,$B$2:$B2917,$B2917)=1,1,0))</f>
        <v/>
      </c>
      <c r="J2917">
        <f>IF($A2917="","",ROW())</f>
        <v/>
      </c>
    </row>
    <row r="2918">
      <c r="I2918">
        <f>IF(OR($A2918="",$B2918=""),"",IF(COUNTIFS($A$2:$A2918,$A2918,$B$2:$B2918,$B2918)=1,1,0))</f>
        <v/>
      </c>
      <c r="J2918">
        <f>IF($A2918="","",ROW())</f>
        <v/>
      </c>
    </row>
    <row r="2919">
      <c r="I2919">
        <f>IF(OR($A2919="",$B2919=""),"",IF(COUNTIFS($A$2:$A2919,$A2919,$B$2:$B2919,$B2919)=1,1,0))</f>
        <v/>
      </c>
      <c r="J2919">
        <f>IF($A2919="","",ROW())</f>
        <v/>
      </c>
    </row>
    <row r="2920">
      <c r="I2920">
        <f>IF(OR($A2920="",$B2920=""),"",IF(COUNTIFS($A$2:$A2920,$A2920,$B$2:$B2920,$B2920)=1,1,0))</f>
        <v/>
      </c>
      <c r="J2920">
        <f>IF($A2920="","",ROW())</f>
        <v/>
      </c>
    </row>
    <row r="2921">
      <c r="I2921">
        <f>IF(OR($A2921="",$B2921=""),"",IF(COUNTIFS($A$2:$A2921,$A2921,$B$2:$B2921,$B2921)=1,1,0))</f>
        <v/>
      </c>
      <c r="J2921">
        <f>IF($A2921="","",ROW())</f>
        <v/>
      </c>
    </row>
    <row r="2922">
      <c r="I2922">
        <f>IF(OR($A2922="",$B2922=""),"",IF(COUNTIFS($A$2:$A2922,$A2922,$B$2:$B2922,$B2922)=1,1,0))</f>
        <v/>
      </c>
      <c r="J2922">
        <f>IF($A2922="","",ROW())</f>
        <v/>
      </c>
    </row>
    <row r="2923">
      <c r="I2923">
        <f>IF(OR($A2923="",$B2923=""),"",IF(COUNTIFS($A$2:$A2923,$A2923,$B$2:$B2923,$B2923)=1,1,0))</f>
        <v/>
      </c>
      <c r="J2923">
        <f>IF($A2923="","",ROW())</f>
        <v/>
      </c>
    </row>
    <row r="2924">
      <c r="I2924">
        <f>IF(OR($A2924="",$B2924=""),"",IF(COUNTIFS($A$2:$A2924,$A2924,$B$2:$B2924,$B2924)=1,1,0))</f>
        <v/>
      </c>
      <c r="J2924">
        <f>IF($A2924="","",ROW())</f>
        <v/>
      </c>
    </row>
    <row r="2925">
      <c r="I2925">
        <f>IF(OR($A2925="",$B2925=""),"",IF(COUNTIFS($A$2:$A2925,$A2925,$B$2:$B2925,$B2925)=1,1,0))</f>
        <v/>
      </c>
      <c r="J2925">
        <f>IF($A2925="","",ROW())</f>
        <v/>
      </c>
    </row>
    <row r="2926">
      <c r="I2926">
        <f>IF(OR($A2926="",$B2926=""),"",IF(COUNTIFS($A$2:$A2926,$A2926,$B$2:$B2926,$B2926)=1,1,0))</f>
        <v/>
      </c>
      <c r="J2926">
        <f>IF($A2926="","",ROW())</f>
        <v/>
      </c>
    </row>
    <row r="2927">
      <c r="I2927">
        <f>IF(OR($A2927="",$B2927=""),"",IF(COUNTIFS($A$2:$A2927,$A2927,$B$2:$B2927,$B2927)=1,1,0))</f>
        <v/>
      </c>
      <c r="J2927">
        <f>IF($A2927="","",ROW())</f>
        <v/>
      </c>
    </row>
    <row r="2928">
      <c r="I2928">
        <f>IF(OR($A2928="",$B2928=""),"",IF(COUNTIFS($A$2:$A2928,$A2928,$B$2:$B2928,$B2928)=1,1,0))</f>
        <v/>
      </c>
      <c r="J2928">
        <f>IF($A2928="","",ROW())</f>
        <v/>
      </c>
    </row>
    <row r="2929">
      <c r="I2929">
        <f>IF(OR($A2929="",$B2929=""),"",IF(COUNTIFS($A$2:$A2929,$A2929,$B$2:$B2929,$B2929)=1,1,0))</f>
        <v/>
      </c>
      <c r="J2929">
        <f>IF($A2929="","",ROW())</f>
        <v/>
      </c>
    </row>
    <row r="2930">
      <c r="I2930">
        <f>IF(OR($A2930="",$B2930=""),"",IF(COUNTIFS($A$2:$A2930,$A2930,$B$2:$B2930,$B2930)=1,1,0))</f>
        <v/>
      </c>
      <c r="J2930">
        <f>IF($A2930="","",ROW())</f>
        <v/>
      </c>
    </row>
    <row r="2931">
      <c r="I2931">
        <f>IF(OR($A2931="",$B2931=""),"",IF(COUNTIFS($A$2:$A2931,$A2931,$B$2:$B2931,$B2931)=1,1,0))</f>
        <v/>
      </c>
      <c r="J2931">
        <f>IF($A2931="","",ROW())</f>
        <v/>
      </c>
    </row>
    <row r="2932">
      <c r="I2932">
        <f>IF(OR($A2932="",$B2932=""),"",IF(COUNTIFS($A$2:$A2932,$A2932,$B$2:$B2932,$B2932)=1,1,0))</f>
        <v/>
      </c>
      <c r="J2932">
        <f>IF($A2932="","",ROW())</f>
        <v/>
      </c>
    </row>
    <row r="2933">
      <c r="I2933">
        <f>IF(OR($A2933="",$B2933=""),"",IF(COUNTIFS($A$2:$A2933,$A2933,$B$2:$B2933,$B2933)=1,1,0))</f>
        <v/>
      </c>
      <c r="J2933">
        <f>IF($A2933="","",ROW())</f>
        <v/>
      </c>
    </row>
    <row r="2934">
      <c r="I2934">
        <f>IF(OR($A2934="",$B2934=""),"",IF(COUNTIFS($A$2:$A2934,$A2934,$B$2:$B2934,$B2934)=1,1,0))</f>
        <v/>
      </c>
      <c r="J2934">
        <f>IF($A2934="","",ROW())</f>
        <v/>
      </c>
    </row>
    <row r="2935">
      <c r="I2935">
        <f>IF(OR($A2935="",$B2935=""),"",IF(COUNTIFS($A$2:$A2935,$A2935,$B$2:$B2935,$B2935)=1,1,0))</f>
        <v/>
      </c>
      <c r="J2935">
        <f>IF($A2935="","",ROW())</f>
        <v/>
      </c>
    </row>
    <row r="2936">
      <c r="I2936">
        <f>IF(OR($A2936="",$B2936=""),"",IF(COUNTIFS($A$2:$A2936,$A2936,$B$2:$B2936,$B2936)=1,1,0))</f>
        <v/>
      </c>
      <c r="J2936">
        <f>IF($A2936="","",ROW())</f>
        <v/>
      </c>
    </row>
    <row r="2937">
      <c r="I2937">
        <f>IF(OR($A2937="",$B2937=""),"",IF(COUNTIFS($A$2:$A2937,$A2937,$B$2:$B2937,$B2937)=1,1,0))</f>
        <v/>
      </c>
      <c r="J2937">
        <f>IF($A2937="","",ROW())</f>
        <v/>
      </c>
    </row>
    <row r="2938">
      <c r="I2938">
        <f>IF(OR($A2938="",$B2938=""),"",IF(COUNTIFS($A$2:$A2938,$A2938,$B$2:$B2938,$B2938)=1,1,0))</f>
        <v/>
      </c>
      <c r="J2938">
        <f>IF($A2938="","",ROW())</f>
        <v/>
      </c>
    </row>
    <row r="2939">
      <c r="I2939">
        <f>IF(OR($A2939="",$B2939=""),"",IF(COUNTIFS($A$2:$A2939,$A2939,$B$2:$B2939,$B2939)=1,1,0))</f>
        <v/>
      </c>
      <c r="J2939">
        <f>IF($A2939="","",ROW())</f>
        <v/>
      </c>
    </row>
    <row r="2940">
      <c r="I2940">
        <f>IF(OR($A2940="",$B2940=""),"",IF(COUNTIFS($A$2:$A2940,$A2940,$B$2:$B2940,$B2940)=1,1,0))</f>
        <v/>
      </c>
      <c r="J2940">
        <f>IF($A2940="","",ROW())</f>
        <v/>
      </c>
    </row>
    <row r="2941">
      <c r="I2941">
        <f>IF(OR($A2941="",$B2941=""),"",IF(COUNTIFS($A$2:$A2941,$A2941,$B$2:$B2941,$B2941)=1,1,0))</f>
        <v/>
      </c>
      <c r="J2941">
        <f>IF($A2941="","",ROW())</f>
        <v/>
      </c>
    </row>
    <row r="2942">
      <c r="I2942">
        <f>IF(OR($A2942="",$B2942=""),"",IF(COUNTIFS($A$2:$A2942,$A2942,$B$2:$B2942,$B2942)=1,1,0))</f>
        <v/>
      </c>
      <c r="J2942">
        <f>IF($A2942="","",ROW())</f>
        <v/>
      </c>
    </row>
    <row r="2943">
      <c r="I2943">
        <f>IF(OR($A2943="",$B2943=""),"",IF(COUNTIFS($A$2:$A2943,$A2943,$B$2:$B2943,$B2943)=1,1,0))</f>
        <v/>
      </c>
      <c r="J2943">
        <f>IF($A2943="","",ROW())</f>
        <v/>
      </c>
    </row>
    <row r="2944">
      <c r="I2944">
        <f>IF(OR($A2944="",$B2944=""),"",IF(COUNTIFS($A$2:$A2944,$A2944,$B$2:$B2944,$B2944)=1,1,0))</f>
        <v/>
      </c>
      <c r="J2944">
        <f>IF($A2944="","",ROW())</f>
        <v/>
      </c>
    </row>
    <row r="2945">
      <c r="I2945">
        <f>IF(OR($A2945="",$B2945=""),"",IF(COUNTIFS($A$2:$A2945,$A2945,$B$2:$B2945,$B2945)=1,1,0))</f>
        <v/>
      </c>
      <c r="J2945">
        <f>IF($A2945="","",ROW())</f>
        <v/>
      </c>
    </row>
    <row r="2946">
      <c r="I2946">
        <f>IF(OR($A2946="",$B2946=""),"",IF(COUNTIFS($A$2:$A2946,$A2946,$B$2:$B2946,$B2946)=1,1,0))</f>
        <v/>
      </c>
      <c r="J2946">
        <f>IF($A2946="","",ROW())</f>
        <v/>
      </c>
    </row>
    <row r="2947">
      <c r="I2947">
        <f>IF(OR($A2947="",$B2947=""),"",IF(COUNTIFS($A$2:$A2947,$A2947,$B$2:$B2947,$B2947)=1,1,0))</f>
        <v/>
      </c>
      <c r="J2947">
        <f>IF($A2947="","",ROW())</f>
        <v/>
      </c>
    </row>
    <row r="2948">
      <c r="I2948">
        <f>IF(OR($A2948="",$B2948=""),"",IF(COUNTIFS($A$2:$A2948,$A2948,$B$2:$B2948,$B2948)=1,1,0))</f>
        <v/>
      </c>
      <c r="J2948">
        <f>IF($A2948="","",ROW())</f>
        <v/>
      </c>
    </row>
    <row r="2949">
      <c r="I2949">
        <f>IF(OR($A2949="",$B2949=""),"",IF(COUNTIFS($A$2:$A2949,$A2949,$B$2:$B2949,$B2949)=1,1,0))</f>
        <v/>
      </c>
      <c r="J2949">
        <f>IF($A2949="","",ROW())</f>
        <v/>
      </c>
    </row>
    <row r="2950">
      <c r="I2950">
        <f>IF(OR($A2950="",$B2950=""),"",IF(COUNTIFS($A$2:$A2950,$A2950,$B$2:$B2950,$B2950)=1,1,0))</f>
        <v/>
      </c>
      <c r="J2950">
        <f>IF($A2950="","",ROW())</f>
        <v/>
      </c>
    </row>
    <row r="2951">
      <c r="I2951">
        <f>IF(OR($A2951="",$B2951=""),"",IF(COUNTIFS($A$2:$A2951,$A2951,$B$2:$B2951,$B2951)=1,1,0))</f>
        <v/>
      </c>
      <c r="J2951">
        <f>IF($A2951="","",ROW())</f>
        <v/>
      </c>
    </row>
    <row r="2952">
      <c r="I2952">
        <f>IF(OR($A2952="",$B2952=""),"",IF(COUNTIFS($A$2:$A2952,$A2952,$B$2:$B2952,$B2952)=1,1,0))</f>
        <v/>
      </c>
      <c r="J2952">
        <f>IF($A2952="","",ROW())</f>
        <v/>
      </c>
    </row>
    <row r="2953">
      <c r="I2953">
        <f>IF(OR($A2953="",$B2953=""),"",IF(COUNTIFS($A$2:$A2953,$A2953,$B$2:$B2953,$B2953)=1,1,0))</f>
        <v/>
      </c>
      <c r="J2953">
        <f>IF($A2953="","",ROW())</f>
        <v/>
      </c>
    </row>
    <row r="2954">
      <c r="I2954">
        <f>IF(OR($A2954="",$B2954=""),"",IF(COUNTIFS($A$2:$A2954,$A2954,$B$2:$B2954,$B2954)=1,1,0))</f>
        <v/>
      </c>
      <c r="J2954">
        <f>IF($A2954="","",ROW())</f>
        <v/>
      </c>
    </row>
    <row r="2955">
      <c r="I2955">
        <f>IF(OR($A2955="",$B2955=""),"",IF(COUNTIFS($A$2:$A2955,$A2955,$B$2:$B2955,$B2955)=1,1,0))</f>
        <v/>
      </c>
      <c r="J2955">
        <f>IF($A2955="","",ROW())</f>
        <v/>
      </c>
    </row>
    <row r="2956">
      <c r="I2956">
        <f>IF(OR($A2956="",$B2956=""),"",IF(COUNTIFS($A$2:$A2956,$A2956,$B$2:$B2956,$B2956)=1,1,0))</f>
        <v/>
      </c>
      <c r="J2956">
        <f>IF($A2956="","",ROW())</f>
        <v/>
      </c>
    </row>
    <row r="2957">
      <c r="I2957">
        <f>IF(OR($A2957="",$B2957=""),"",IF(COUNTIFS($A$2:$A2957,$A2957,$B$2:$B2957,$B2957)=1,1,0))</f>
        <v/>
      </c>
      <c r="J2957">
        <f>IF($A2957="","",ROW())</f>
        <v/>
      </c>
    </row>
    <row r="2958">
      <c r="I2958">
        <f>IF(OR($A2958="",$B2958=""),"",IF(COUNTIFS($A$2:$A2958,$A2958,$B$2:$B2958,$B2958)=1,1,0))</f>
        <v/>
      </c>
      <c r="J2958">
        <f>IF($A2958="","",ROW())</f>
        <v/>
      </c>
    </row>
    <row r="2959">
      <c r="I2959">
        <f>IF(OR($A2959="",$B2959=""),"",IF(COUNTIFS($A$2:$A2959,$A2959,$B$2:$B2959,$B2959)=1,1,0))</f>
        <v/>
      </c>
      <c r="J2959">
        <f>IF($A2959="","",ROW())</f>
        <v/>
      </c>
    </row>
    <row r="2960">
      <c r="I2960">
        <f>IF(OR($A2960="",$B2960=""),"",IF(COUNTIFS($A$2:$A2960,$A2960,$B$2:$B2960,$B2960)=1,1,0))</f>
        <v/>
      </c>
      <c r="J2960">
        <f>IF($A2960="","",ROW())</f>
        <v/>
      </c>
    </row>
    <row r="2961">
      <c r="I2961">
        <f>IF(OR($A2961="",$B2961=""),"",IF(COUNTIFS($A$2:$A2961,$A2961,$B$2:$B2961,$B2961)=1,1,0))</f>
        <v/>
      </c>
      <c r="J2961">
        <f>IF($A2961="","",ROW())</f>
        <v/>
      </c>
    </row>
    <row r="2962">
      <c r="I2962">
        <f>IF(OR($A2962="",$B2962=""),"",IF(COUNTIFS($A$2:$A2962,$A2962,$B$2:$B2962,$B2962)=1,1,0))</f>
        <v/>
      </c>
      <c r="J2962">
        <f>IF($A2962="","",ROW())</f>
        <v/>
      </c>
    </row>
    <row r="2963">
      <c r="I2963">
        <f>IF(OR($A2963="",$B2963=""),"",IF(COUNTIFS($A$2:$A2963,$A2963,$B$2:$B2963,$B2963)=1,1,0))</f>
        <v/>
      </c>
      <c r="J2963">
        <f>IF($A2963="","",ROW())</f>
        <v/>
      </c>
    </row>
    <row r="2964">
      <c r="I2964">
        <f>IF(OR($A2964="",$B2964=""),"",IF(COUNTIFS($A$2:$A2964,$A2964,$B$2:$B2964,$B2964)=1,1,0))</f>
        <v/>
      </c>
      <c r="J2964">
        <f>IF($A2964="","",ROW())</f>
        <v/>
      </c>
    </row>
    <row r="2965">
      <c r="I2965">
        <f>IF(OR($A2965="",$B2965=""),"",IF(COUNTIFS($A$2:$A2965,$A2965,$B$2:$B2965,$B2965)=1,1,0))</f>
        <v/>
      </c>
      <c r="J2965">
        <f>IF($A2965="","",ROW())</f>
        <v/>
      </c>
    </row>
    <row r="2966">
      <c r="I2966">
        <f>IF(OR($A2966="",$B2966=""),"",IF(COUNTIFS($A$2:$A2966,$A2966,$B$2:$B2966,$B2966)=1,1,0))</f>
        <v/>
      </c>
      <c r="J2966">
        <f>IF($A2966="","",ROW())</f>
        <v/>
      </c>
    </row>
    <row r="2967">
      <c r="I2967">
        <f>IF(OR($A2967="",$B2967=""),"",IF(COUNTIFS($A$2:$A2967,$A2967,$B$2:$B2967,$B2967)=1,1,0))</f>
        <v/>
      </c>
      <c r="J2967">
        <f>IF($A2967="","",ROW())</f>
        <v/>
      </c>
    </row>
    <row r="2968">
      <c r="I2968">
        <f>IF(OR($A2968="",$B2968=""),"",IF(COUNTIFS($A$2:$A2968,$A2968,$B$2:$B2968,$B2968)=1,1,0))</f>
        <v/>
      </c>
      <c r="J2968">
        <f>IF($A2968="","",ROW())</f>
        <v/>
      </c>
    </row>
    <row r="2969">
      <c r="I2969">
        <f>IF(OR($A2969="",$B2969=""),"",IF(COUNTIFS($A$2:$A2969,$A2969,$B$2:$B2969,$B2969)=1,1,0))</f>
        <v/>
      </c>
      <c r="J2969">
        <f>IF($A2969="","",ROW())</f>
        <v/>
      </c>
    </row>
    <row r="2970">
      <c r="I2970">
        <f>IF(OR($A2970="",$B2970=""),"",IF(COUNTIFS($A$2:$A2970,$A2970,$B$2:$B2970,$B2970)=1,1,0))</f>
        <v/>
      </c>
      <c r="J2970">
        <f>IF($A2970="","",ROW())</f>
        <v/>
      </c>
    </row>
    <row r="2971">
      <c r="I2971">
        <f>IF(OR($A2971="",$B2971=""),"",IF(COUNTIFS($A$2:$A2971,$A2971,$B$2:$B2971,$B2971)=1,1,0))</f>
        <v/>
      </c>
      <c r="J2971">
        <f>IF($A2971="","",ROW())</f>
        <v/>
      </c>
    </row>
    <row r="2972">
      <c r="I2972">
        <f>IF(OR($A2972="",$B2972=""),"",IF(COUNTIFS($A$2:$A2972,$A2972,$B$2:$B2972,$B2972)=1,1,0))</f>
        <v/>
      </c>
      <c r="J2972">
        <f>IF($A2972="","",ROW())</f>
        <v/>
      </c>
    </row>
    <row r="2973">
      <c r="I2973">
        <f>IF(OR($A2973="",$B2973=""),"",IF(COUNTIFS($A$2:$A2973,$A2973,$B$2:$B2973,$B2973)=1,1,0))</f>
        <v/>
      </c>
      <c r="J2973">
        <f>IF($A2973="","",ROW())</f>
        <v/>
      </c>
    </row>
    <row r="2974">
      <c r="I2974">
        <f>IF(OR($A2974="",$B2974=""),"",IF(COUNTIFS($A$2:$A2974,$A2974,$B$2:$B2974,$B2974)=1,1,0))</f>
        <v/>
      </c>
      <c r="J2974">
        <f>IF($A2974="","",ROW())</f>
        <v/>
      </c>
    </row>
    <row r="2975">
      <c r="I2975">
        <f>IF(OR($A2975="",$B2975=""),"",IF(COUNTIFS($A$2:$A2975,$A2975,$B$2:$B2975,$B2975)=1,1,0))</f>
        <v/>
      </c>
      <c r="J2975">
        <f>IF($A2975="","",ROW())</f>
        <v/>
      </c>
    </row>
    <row r="2976">
      <c r="I2976">
        <f>IF(OR($A2976="",$B2976=""),"",IF(COUNTIFS($A$2:$A2976,$A2976,$B$2:$B2976,$B2976)=1,1,0))</f>
        <v/>
      </c>
      <c r="J2976">
        <f>IF($A2976="","",ROW())</f>
        <v/>
      </c>
    </row>
    <row r="2977">
      <c r="I2977">
        <f>IF(OR($A2977="",$B2977=""),"",IF(COUNTIFS($A$2:$A2977,$A2977,$B$2:$B2977,$B2977)=1,1,0))</f>
        <v/>
      </c>
      <c r="J2977">
        <f>IF($A2977="","",ROW())</f>
        <v/>
      </c>
    </row>
    <row r="2978">
      <c r="I2978">
        <f>IF(OR($A2978="",$B2978=""),"",IF(COUNTIFS($A$2:$A2978,$A2978,$B$2:$B2978,$B2978)=1,1,0))</f>
        <v/>
      </c>
      <c r="J2978">
        <f>IF($A2978="","",ROW())</f>
        <v/>
      </c>
    </row>
    <row r="2979">
      <c r="I2979">
        <f>IF(OR($A2979="",$B2979=""),"",IF(COUNTIFS($A$2:$A2979,$A2979,$B$2:$B2979,$B2979)=1,1,0))</f>
        <v/>
      </c>
      <c r="J2979">
        <f>IF($A2979="","",ROW())</f>
        <v/>
      </c>
    </row>
    <row r="2980">
      <c r="I2980">
        <f>IF(OR($A2980="",$B2980=""),"",IF(COUNTIFS($A$2:$A2980,$A2980,$B$2:$B2980,$B2980)=1,1,0))</f>
        <v/>
      </c>
      <c r="J2980">
        <f>IF($A2980="","",ROW())</f>
        <v/>
      </c>
    </row>
    <row r="2981">
      <c r="I2981">
        <f>IF(OR($A2981="",$B2981=""),"",IF(COUNTIFS($A$2:$A2981,$A2981,$B$2:$B2981,$B2981)=1,1,0))</f>
        <v/>
      </c>
      <c r="J2981">
        <f>IF($A2981="","",ROW())</f>
        <v/>
      </c>
    </row>
    <row r="2982">
      <c r="I2982">
        <f>IF(OR($A2982="",$B2982=""),"",IF(COUNTIFS($A$2:$A2982,$A2982,$B$2:$B2982,$B2982)=1,1,0))</f>
        <v/>
      </c>
      <c r="J2982">
        <f>IF($A2982="","",ROW())</f>
        <v/>
      </c>
    </row>
    <row r="2983">
      <c r="I2983">
        <f>IF(OR($A2983="",$B2983=""),"",IF(COUNTIFS($A$2:$A2983,$A2983,$B$2:$B2983,$B2983)=1,1,0))</f>
        <v/>
      </c>
      <c r="J2983">
        <f>IF($A2983="","",ROW())</f>
        <v/>
      </c>
    </row>
    <row r="2984">
      <c r="I2984">
        <f>IF(OR($A2984="",$B2984=""),"",IF(COUNTIFS($A$2:$A2984,$A2984,$B$2:$B2984,$B2984)=1,1,0))</f>
        <v/>
      </c>
      <c r="J2984">
        <f>IF($A2984="","",ROW())</f>
        <v/>
      </c>
    </row>
    <row r="2985">
      <c r="I2985">
        <f>IF(OR($A2985="",$B2985=""),"",IF(COUNTIFS($A$2:$A2985,$A2985,$B$2:$B2985,$B2985)=1,1,0))</f>
        <v/>
      </c>
      <c r="J2985">
        <f>IF($A2985="","",ROW())</f>
        <v/>
      </c>
    </row>
    <row r="2986">
      <c r="I2986">
        <f>IF(OR($A2986="",$B2986=""),"",IF(COUNTIFS($A$2:$A2986,$A2986,$B$2:$B2986,$B2986)=1,1,0))</f>
        <v/>
      </c>
      <c r="J2986">
        <f>IF($A2986="","",ROW())</f>
        <v/>
      </c>
    </row>
    <row r="2987">
      <c r="I2987">
        <f>IF(OR($A2987="",$B2987=""),"",IF(COUNTIFS($A$2:$A2987,$A2987,$B$2:$B2987,$B2987)=1,1,0))</f>
        <v/>
      </c>
      <c r="J2987">
        <f>IF($A2987="","",ROW())</f>
        <v/>
      </c>
    </row>
    <row r="2988">
      <c r="I2988">
        <f>IF(OR($A2988="",$B2988=""),"",IF(COUNTIFS($A$2:$A2988,$A2988,$B$2:$B2988,$B2988)=1,1,0))</f>
        <v/>
      </c>
      <c r="J2988">
        <f>IF($A2988="","",ROW())</f>
        <v/>
      </c>
    </row>
    <row r="2989">
      <c r="I2989">
        <f>IF(OR($A2989="",$B2989=""),"",IF(COUNTIFS($A$2:$A2989,$A2989,$B$2:$B2989,$B2989)=1,1,0))</f>
        <v/>
      </c>
      <c r="J2989">
        <f>IF($A2989="","",ROW())</f>
        <v/>
      </c>
    </row>
    <row r="2990">
      <c r="I2990">
        <f>IF(OR($A2990="",$B2990=""),"",IF(COUNTIFS($A$2:$A2990,$A2990,$B$2:$B2990,$B2990)=1,1,0))</f>
        <v/>
      </c>
      <c r="J2990">
        <f>IF($A2990="","",ROW())</f>
        <v/>
      </c>
    </row>
    <row r="2991">
      <c r="I2991">
        <f>IF(OR($A2991="",$B2991=""),"",IF(COUNTIFS($A$2:$A2991,$A2991,$B$2:$B2991,$B2991)=1,1,0))</f>
        <v/>
      </c>
      <c r="J2991">
        <f>IF($A2991="","",ROW())</f>
        <v/>
      </c>
    </row>
    <row r="2992">
      <c r="I2992">
        <f>IF(OR($A2992="",$B2992=""),"",IF(COUNTIFS($A$2:$A2992,$A2992,$B$2:$B2992,$B2992)=1,1,0))</f>
        <v/>
      </c>
      <c r="J2992">
        <f>IF($A2992="","",ROW())</f>
        <v/>
      </c>
    </row>
    <row r="2993">
      <c r="I2993">
        <f>IF(OR($A2993="",$B2993=""),"",IF(COUNTIFS($A$2:$A2993,$A2993,$B$2:$B2993,$B2993)=1,1,0))</f>
        <v/>
      </c>
      <c r="J2993">
        <f>IF($A2993="","",ROW())</f>
        <v/>
      </c>
    </row>
    <row r="2994">
      <c r="I2994">
        <f>IF(OR($A2994="",$B2994=""),"",IF(COUNTIFS($A$2:$A2994,$A2994,$B$2:$B2994,$B2994)=1,1,0))</f>
        <v/>
      </c>
      <c r="J2994">
        <f>IF($A2994="","",ROW())</f>
        <v/>
      </c>
    </row>
    <row r="2995">
      <c r="I2995">
        <f>IF(OR($A2995="",$B2995=""),"",IF(COUNTIFS($A$2:$A2995,$A2995,$B$2:$B2995,$B2995)=1,1,0))</f>
        <v/>
      </c>
      <c r="J2995">
        <f>IF($A2995="","",ROW())</f>
        <v/>
      </c>
    </row>
    <row r="2996">
      <c r="I2996">
        <f>IF(OR($A2996="",$B2996=""),"",IF(COUNTIFS($A$2:$A2996,$A2996,$B$2:$B2996,$B2996)=1,1,0))</f>
        <v/>
      </c>
      <c r="J2996">
        <f>IF($A2996="","",ROW())</f>
        <v/>
      </c>
    </row>
    <row r="2997">
      <c r="I2997">
        <f>IF(OR($A2997="",$B2997=""),"",IF(COUNTIFS($A$2:$A2997,$A2997,$B$2:$B2997,$B2997)=1,1,0))</f>
        <v/>
      </c>
      <c r="J2997">
        <f>IF($A2997="","",ROW())</f>
        <v/>
      </c>
    </row>
    <row r="2998">
      <c r="I2998">
        <f>IF(OR($A2998="",$B2998=""),"",IF(COUNTIFS($A$2:$A2998,$A2998,$B$2:$B2998,$B2998)=1,1,0))</f>
        <v/>
      </c>
      <c r="J2998">
        <f>IF($A2998="","",ROW())</f>
        <v/>
      </c>
    </row>
    <row r="2999">
      <c r="I2999">
        <f>IF(OR($A2999="",$B2999=""),"",IF(COUNTIFS($A$2:$A2999,$A2999,$B$2:$B2999,$B2999)=1,1,0))</f>
        <v/>
      </c>
      <c r="J2999">
        <f>IF($A2999="","",ROW())</f>
        <v/>
      </c>
    </row>
    <row r="3000">
      <c r="I3000">
        <f>IF(OR($A3000="",$B3000=""),"",IF(COUNTIFS($A$2:$A3000,$A3000,$B$2:$B3000,$B3000)=1,1,0))</f>
        <v/>
      </c>
      <c r="J3000">
        <f>IF($A3000="","",ROW())</f>
        <v/>
      </c>
    </row>
  </sheetData>
  <dataValidations count="2">
    <dataValidation sqref="A2:A3000" showDropDown="1" showInputMessage="0" showErrorMessage="0" allowBlank="1" type="list">
      <formula1>$L$2:$L$2001</formula1>
    </dataValidation>
    <dataValidation sqref="I3:I3000 J2:J3000 L2:L2001" showDropDown="0" showInputMessage="1" showErrorMessage="1" allowBlank="1" errorTitle="Automated field, foo 🤡" error="Skedaddle 💨. Don't overwrite formulas 😄" type="custom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2">
    <tabColor rgb="FF92D050"/>
    <outlinePr summaryBelow="1" summaryRight="1"/>
    <pageSetUpPr/>
  </sheetPr>
  <dimension ref="A1:I200"/>
  <sheetViews>
    <sheetView topLeftCell="B38" workbookViewId="0">
      <selection activeCell="D42" sqref="D42"/>
    </sheetView>
  </sheetViews>
  <sheetFormatPr baseColWidth="8" defaultColWidth="20.7109375" defaultRowHeight="15"/>
  <cols>
    <col width="62.28515625" customWidth="1" style="91" min="3" max="3"/>
    <col width="9.140625" bestFit="1" customWidth="1" style="77" min="4" max="4"/>
    <col width="27.28515625" customWidth="1" style="77" min="5" max="5"/>
    <col width="20.7109375" customWidth="1" style="77" min="6" max="6"/>
    <col width="30.7109375" customWidth="1" style="77" min="7" max="7"/>
    <col width="54.85546875" bestFit="1" customWidth="1" style="77" min="8" max="8"/>
    <col width="78.7109375" customWidth="1" style="91" min="9" max="9"/>
  </cols>
  <sheetData>
    <row r="1" ht="20.25" customFormat="1" customHeight="1" s="14">
      <c r="A1" s="14" t="inlineStr">
        <is>
          <t>Date Updated</t>
        </is>
      </c>
      <c r="B1" s="14" t="inlineStr">
        <is>
          <t>Item Type</t>
        </is>
      </c>
      <c r="C1" s="14" t="inlineStr">
        <is>
          <t>Item Name</t>
        </is>
      </c>
      <c r="D1" s="14" t="inlineStr">
        <is>
          <t>Count</t>
        </is>
      </c>
      <c r="E1" s="14" t="inlineStr">
        <is>
          <t>Needed According to Tim - 3/9</t>
        </is>
      </c>
      <c r="F1" s="14" t="inlineStr">
        <is>
          <t>Site Locations</t>
        </is>
      </c>
      <c r="G1" s="14" t="inlineStr">
        <is>
          <t>Area</t>
        </is>
      </c>
      <c r="H1" s="14" t="inlineStr">
        <is>
          <t>Subarea</t>
        </is>
      </c>
      <c r="I1" s="14" t="inlineStr">
        <is>
          <t>Notes</t>
        </is>
      </c>
    </row>
    <row r="2" ht="20.25" customHeight="1" s="91">
      <c r="A2" s="18" t="n"/>
      <c r="B2" t="inlineStr">
        <is>
          <t>Adapters</t>
        </is>
      </c>
      <c r="C2" t="inlineStr">
        <is>
          <t>B1-CFD</t>
        </is>
      </c>
      <c r="D2" s="77" t="n">
        <v>0</v>
      </c>
      <c r="F2" s="77" t="inlineStr">
        <is>
          <t>Plainview HQ</t>
        </is>
      </c>
      <c r="G2" s="77" t="inlineStr">
        <is>
          <t>Config area</t>
        </is>
      </c>
      <c r="H2" s="77" t="inlineStr">
        <is>
          <t>far left corner</t>
        </is>
      </c>
    </row>
    <row r="3" ht="20.25" customHeight="1" s="91">
      <c r="A3" s="18" t="n"/>
      <c r="B3" t="inlineStr">
        <is>
          <t>Adapters</t>
        </is>
      </c>
      <c r="C3" t="inlineStr">
        <is>
          <t>B1-CFU</t>
        </is>
      </c>
      <c r="D3" s="77" t="n">
        <v>0</v>
      </c>
      <c r="E3" s="77" t="n">
        <v>28</v>
      </c>
      <c r="F3" s="77" t="inlineStr">
        <is>
          <t>Plainview HQ</t>
        </is>
      </c>
      <c r="G3" s="77" t="inlineStr">
        <is>
          <t>Config area</t>
        </is>
      </c>
      <c r="H3" s="77" t="inlineStr">
        <is>
          <t>far left corner</t>
        </is>
      </c>
    </row>
    <row r="4" ht="20.25" customHeight="1" s="91">
      <c r="A4" s="18" t="n"/>
      <c r="B4" t="inlineStr">
        <is>
          <t>Adapters</t>
        </is>
      </c>
      <c r="C4" t="inlineStr">
        <is>
          <t>B1-DAE</t>
        </is>
      </c>
      <c r="D4" s="77" t="n">
        <v>0</v>
      </c>
      <c r="E4" s="77" t="n">
        <v>2</v>
      </c>
      <c r="F4" s="77" t="inlineStr">
        <is>
          <t>Plainview HQ</t>
        </is>
      </c>
      <c r="G4" s="77" t="inlineStr">
        <is>
          <t>Config area</t>
        </is>
      </c>
      <c r="H4" s="77" t="inlineStr">
        <is>
          <t>far left corner</t>
        </is>
      </c>
    </row>
    <row r="5" ht="20.25" customHeight="1" s="91">
      <c r="A5" s="18" t="n"/>
      <c r="B5" t="inlineStr">
        <is>
          <t>Adapters</t>
        </is>
      </c>
      <c r="C5" t="inlineStr">
        <is>
          <t>B1-CFB</t>
        </is>
      </c>
      <c r="D5" s="77" t="n">
        <v>0</v>
      </c>
      <c r="E5" s="77" t="n">
        <v>45</v>
      </c>
      <c r="F5" s="77" t="inlineStr">
        <is>
          <t>Plainview HQ</t>
        </is>
      </c>
      <c r="G5" s="77" t="inlineStr">
        <is>
          <t>Config area</t>
        </is>
      </c>
      <c r="H5" s="77" t="inlineStr">
        <is>
          <t>far left corner</t>
        </is>
      </c>
    </row>
    <row r="6" ht="20.25" customHeight="1" s="91">
      <c r="A6" s="18" t="n"/>
      <c r="B6" t="inlineStr">
        <is>
          <t>Adapters</t>
        </is>
      </c>
      <c r="C6" t="inlineStr">
        <is>
          <t>B1-CFA</t>
        </is>
      </c>
      <c r="D6" s="77" t="n">
        <v>0</v>
      </c>
      <c r="F6" s="77" t="inlineStr">
        <is>
          <t>Plainview HQ</t>
        </is>
      </c>
      <c r="G6" s="77" t="inlineStr">
        <is>
          <t>Config area</t>
        </is>
      </c>
      <c r="H6" s="77" t="inlineStr">
        <is>
          <t>far left corner</t>
        </is>
      </c>
    </row>
    <row r="7" ht="20.25" customHeight="1" s="91">
      <c r="A7" s="18" t="n"/>
      <c r="B7" t="inlineStr">
        <is>
          <t>Adapters</t>
        </is>
      </c>
      <c r="C7" t="inlineStr">
        <is>
          <t>B1-CFT</t>
        </is>
      </c>
      <c r="D7" s="77" t="n">
        <v>0</v>
      </c>
      <c r="F7" s="77" t="inlineStr">
        <is>
          <t>Plainview HQ</t>
        </is>
      </c>
      <c r="G7" s="77" t="inlineStr">
        <is>
          <t>Config area</t>
        </is>
      </c>
      <c r="H7" s="77" t="inlineStr">
        <is>
          <t>far left corner</t>
        </is>
      </c>
    </row>
    <row r="8" ht="20.25" customHeight="1" s="91">
      <c r="A8" s="18" t="n"/>
      <c r="B8" t="inlineStr">
        <is>
          <t>Adapters</t>
        </is>
      </c>
      <c r="C8" t="inlineStr">
        <is>
          <t>B1-CFY</t>
        </is>
      </c>
      <c r="D8" s="77" t="n">
        <v>0</v>
      </c>
      <c r="F8" s="77" t="inlineStr">
        <is>
          <t>Plainview HQ</t>
        </is>
      </c>
      <c r="G8" s="77" t="inlineStr">
        <is>
          <t>Config area</t>
        </is>
      </c>
      <c r="H8" s="77" t="inlineStr">
        <is>
          <t>far left corner</t>
        </is>
      </c>
    </row>
    <row r="9" ht="20.25" customFormat="1" customHeight="1" s="79">
      <c r="A9" s="78" t="n"/>
      <c r="B9" s="79" t="inlineStr">
        <is>
          <t>Adapters</t>
        </is>
      </c>
      <c r="C9" s="79" t="inlineStr">
        <is>
          <t>B1-CFW</t>
        </is>
      </c>
      <c r="D9" s="77" t="n">
        <v>0</v>
      </c>
      <c r="E9" s="80" t="n"/>
      <c r="F9" s="80" t="inlineStr">
        <is>
          <t>Plainview HQ</t>
        </is>
      </c>
      <c r="G9" s="80" t="inlineStr">
        <is>
          <t>Config area</t>
        </is>
      </c>
      <c r="H9" s="80" t="inlineStr">
        <is>
          <t>far left corner</t>
        </is>
      </c>
    </row>
    <row r="10" ht="20.25" customHeight="1" s="91">
      <c r="A10" s="18" t="n"/>
      <c r="B10" t="inlineStr">
        <is>
          <t>Adapters</t>
        </is>
      </c>
      <c r="C10" t="inlineStr">
        <is>
          <t>B1-CAQ</t>
        </is>
      </c>
      <c r="D10" s="77" t="n">
        <v>0</v>
      </c>
      <c r="F10" s="77" t="inlineStr">
        <is>
          <t>Plainview HQ</t>
        </is>
      </c>
      <c r="G10" s="77" t="inlineStr">
        <is>
          <t>Config area</t>
        </is>
      </c>
      <c r="H10" s="77" t="inlineStr">
        <is>
          <t>far left corner</t>
        </is>
      </c>
    </row>
    <row r="11" ht="20.25" customHeight="1" s="91">
      <c r="A11" s="18" t="n"/>
      <c r="B11" t="inlineStr">
        <is>
          <t>Adapters</t>
        </is>
      </c>
      <c r="C11" t="inlineStr">
        <is>
          <t>CBCC402237</t>
        </is>
      </c>
      <c r="D11" s="77" t="n">
        <v>0</v>
      </c>
      <c r="E11" s="77" t="n">
        <v>2</v>
      </c>
      <c r="F11" s="77" t="inlineStr">
        <is>
          <t>Plainview HQ</t>
        </is>
      </c>
      <c r="G11" s="77" t="inlineStr">
        <is>
          <t>Config area</t>
        </is>
      </c>
      <c r="H11" s="77" t="inlineStr">
        <is>
          <t>far left corner</t>
        </is>
      </c>
    </row>
    <row r="12" ht="20.25" customHeight="1" s="91">
      <c r="A12" s="18" t="n"/>
      <c r="B12" t="inlineStr">
        <is>
          <t>Adapters</t>
        </is>
      </c>
      <c r="C12" t="inlineStr">
        <is>
          <t>SPEC999015</t>
        </is>
      </c>
      <c r="D12" s="77" t="n">
        <v>0</v>
      </c>
      <c r="F12" s="77" t="inlineStr">
        <is>
          <t>Plainview HQ</t>
        </is>
      </c>
      <c r="G12" s="77" t="inlineStr">
        <is>
          <t>Config area</t>
        </is>
      </c>
      <c r="H12" s="77" t="inlineStr">
        <is>
          <t>far left corner</t>
        </is>
      </c>
    </row>
    <row r="13" ht="20.25" customHeight="1" s="91">
      <c r="A13" s="18" t="n"/>
      <c r="B13" t="inlineStr">
        <is>
          <t>Adapters</t>
        </is>
      </c>
      <c r="C13" t="inlineStr">
        <is>
          <t>GE-ADAPTOR</t>
        </is>
      </c>
      <c r="D13" s="77" t="n">
        <v>0</v>
      </c>
      <c r="F13" s="77" t="inlineStr">
        <is>
          <t>Plainview HQ</t>
        </is>
      </c>
      <c r="G13" s="77" t="inlineStr">
        <is>
          <t>Config area</t>
        </is>
      </c>
      <c r="H13" s="77" t="inlineStr">
        <is>
          <t>far left corner</t>
        </is>
      </c>
    </row>
    <row r="14" ht="20.25" customHeight="1" s="91">
      <c r="A14" s="18" t="n"/>
      <c r="B14" t="inlineStr">
        <is>
          <t>Adapters</t>
        </is>
      </c>
      <c r="C14" t="inlineStr">
        <is>
          <t>ATEN UC-232A</t>
        </is>
      </c>
      <c r="D14" s="77" t="n">
        <v>0</v>
      </c>
      <c r="F14" s="77" t="inlineStr">
        <is>
          <t>Plainview HQ</t>
        </is>
      </c>
      <c r="G14" s="77" t="inlineStr">
        <is>
          <t>Config area</t>
        </is>
      </c>
      <c r="H14" s="77" t="inlineStr">
        <is>
          <t>far left corner</t>
        </is>
      </c>
    </row>
    <row r="15" ht="20.25" customHeight="1" s="91">
      <c r="A15" s="18" t="n"/>
      <c r="B15" t="inlineStr">
        <is>
          <t>Adapters</t>
        </is>
      </c>
      <c r="C15" t="inlineStr">
        <is>
          <t>CCAC0009869</t>
        </is>
      </c>
      <c r="D15" s="77" t="n">
        <v>0</v>
      </c>
      <c r="F15" s="77" t="inlineStr">
        <is>
          <t>Plainview HQ</t>
        </is>
      </c>
      <c r="G15" s="77" t="inlineStr">
        <is>
          <t>Config area</t>
        </is>
      </c>
      <c r="H15" s="77" t="inlineStr">
        <is>
          <t>far left corner</t>
        </is>
      </c>
    </row>
    <row r="16" ht="20.25" customHeight="1" s="91">
      <c r="A16" s="18" t="n"/>
      <c r="B16" t="inlineStr">
        <is>
          <t>Adapters</t>
        </is>
      </c>
      <c r="C16" t="inlineStr">
        <is>
          <t>CBCC0001395</t>
        </is>
      </c>
      <c r="D16" s="77" t="n">
        <v>0</v>
      </c>
      <c r="E16" s="77" t="n">
        <v>30</v>
      </c>
      <c r="F16" s="77" t="inlineStr">
        <is>
          <t>Plainview HQ</t>
        </is>
      </c>
      <c r="G16" s="77" t="inlineStr">
        <is>
          <t>CANT LOCATE</t>
        </is>
      </c>
      <c r="H16" s="77" t="inlineStr">
        <is>
          <t>CANT LOCATE</t>
        </is>
      </c>
    </row>
    <row r="17" ht="20.25" customHeight="1" s="91">
      <c r="A17" s="18" t="n"/>
      <c r="B17" t="inlineStr">
        <is>
          <t>Adapters</t>
        </is>
      </c>
      <c r="C17" t="inlineStr">
        <is>
          <t>BKA6ASD8INBL (Breakaway Adapter)</t>
        </is>
      </c>
      <c r="D17" s="77" t="n">
        <v>73</v>
      </c>
      <c r="F17" s="77" t="inlineStr">
        <is>
          <t>1 Marcus</t>
        </is>
      </c>
    </row>
    <row r="18" ht="20.25" customHeight="1" s="91">
      <c r="A18" s="18" t="n"/>
      <c r="B18" t="inlineStr">
        <is>
          <t>Accessories</t>
        </is>
      </c>
      <c r="C18" t="inlineStr">
        <is>
          <t>Patch Cable - Gray (B1-CPAT-DIM-14)</t>
        </is>
      </c>
      <c r="D18" s="77" t="n">
        <v>39</v>
      </c>
      <c r="F18" s="77" t="inlineStr">
        <is>
          <t>1 Marcus</t>
        </is>
      </c>
    </row>
    <row r="19" ht="20.25" customHeight="1" s="91">
      <c r="A19" s="18" t="n"/>
      <c r="B19" t="inlineStr">
        <is>
          <t>Accessories</t>
        </is>
      </c>
      <c r="C19" t="inlineStr">
        <is>
          <t>Neuron Power Cable</t>
        </is>
      </c>
      <c r="D19" s="77" t="n">
        <v>6</v>
      </c>
      <c r="F19" s="77" t="inlineStr">
        <is>
          <t>1 Marcus</t>
        </is>
      </c>
    </row>
    <row r="20" ht="20.25" customHeight="1" s="91">
      <c r="A20" s="18" t="n"/>
      <c r="B20" t="inlineStr">
        <is>
          <t>Accessories</t>
        </is>
      </c>
      <c r="C20" t="inlineStr">
        <is>
          <t>Neuron Power Adapter</t>
        </is>
      </c>
      <c r="D20" s="77" t="n">
        <v>4</v>
      </c>
      <c r="F20" s="77" t="inlineStr">
        <is>
          <t>1 Marcus</t>
        </is>
      </c>
    </row>
    <row r="21" ht="20.25" customHeight="1" s="91">
      <c r="A21" s="18" t="n"/>
      <c r="B21" t="inlineStr">
        <is>
          <t>DIMs</t>
        </is>
      </c>
      <c r="C21" t="inlineStr">
        <is>
          <t>DIMs</t>
        </is>
      </c>
      <c r="D21" s="77" t="n">
        <v>203</v>
      </c>
      <c r="F21" s="77" t="inlineStr">
        <is>
          <t>1 Marcus</t>
        </is>
      </c>
      <c r="I21" t="inlineStr">
        <is>
          <t>SOME ON PALLET / SOME IN RECON ACCESS</t>
        </is>
      </c>
    </row>
    <row r="22" ht="20.25" customHeight="1" s="91">
      <c r="A22" s="18" t="n"/>
      <c r="B22" t="inlineStr">
        <is>
          <t>Keyboard</t>
        </is>
      </c>
      <c r="C22" t="inlineStr">
        <is>
          <t>Wired Keyboards</t>
        </is>
      </c>
      <c r="D22" s="77" t="n">
        <v>154</v>
      </c>
      <c r="F22" s="77" t="inlineStr">
        <is>
          <t>1 Marcus</t>
        </is>
      </c>
      <c r="I22" t="inlineStr">
        <is>
          <t>SOME ON PALLET / SOME IN RECON ACCESS</t>
        </is>
      </c>
    </row>
    <row r="23" ht="20.25" customHeight="1" s="91">
      <c r="A23" s="18" t="n"/>
      <c r="B23" t="inlineStr">
        <is>
          <t>Mice</t>
        </is>
      </c>
      <c r="C23" t="inlineStr">
        <is>
          <t>Wired Mice</t>
        </is>
      </c>
      <c r="D23" s="77" t="n">
        <v>117</v>
      </c>
      <c r="F23" s="77" t="inlineStr">
        <is>
          <t>1 Marcus</t>
        </is>
      </c>
      <c r="I23" t="inlineStr">
        <is>
          <t>SOME ON PALLET / SOME IN RECON ACCESS</t>
        </is>
      </c>
    </row>
    <row r="24" ht="20.25" customHeight="1" s="91">
      <c r="A24" s="18" t="n"/>
      <c r="B24" t="inlineStr">
        <is>
          <t>Neuron</t>
        </is>
      </c>
      <c r="C24" t="inlineStr">
        <is>
          <t>Neurons</t>
        </is>
      </c>
      <c r="D24" s="77" t="n">
        <v>4</v>
      </c>
      <c r="F24" s="77" t="inlineStr">
        <is>
          <t>1 Marcus</t>
        </is>
      </c>
    </row>
    <row r="25" ht="20.25" customHeight="1" s="91">
      <c r="A25" s="18" t="n"/>
      <c r="B25" t="inlineStr">
        <is>
          <t>Adapter</t>
        </is>
      </c>
      <c r="C25" t="inlineStr">
        <is>
          <t>B1-CFH</t>
        </is>
      </c>
      <c r="D25" s="77" t="n">
        <v>0</v>
      </c>
      <c r="F25" s="77" t="inlineStr">
        <is>
          <t>1 Marcus</t>
        </is>
      </c>
    </row>
    <row r="26" ht="20.25" customHeight="1" s="91">
      <c r="A26" s="18" t="n"/>
      <c r="B26" t="inlineStr">
        <is>
          <t>GCX Arm</t>
        </is>
      </c>
      <c r="C26" t="inlineStr">
        <is>
          <t>Articulating Arm for Flat Panel (FLP-0009-05B)</t>
        </is>
      </c>
      <c r="D26" s="77" t="n">
        <v>0</v>
      </c>
      <c r="F26" s="77" t="inlineStr">
        <is>
          <t>1 Marcus</t>
        </is>
      </c>
    </row>
    <row r="27" ht="20.25" customHeight="1" s="91">
      <c r="A27" s="18" t="n"/>
      <c r="B27" t="inlineStr">
        <is>
          <t>Accessories</t>
        </is>
      </c>
      <c r="C27" t="inlineStr">
        <is>
          <t>WM-0024-03C (Power supply flush wall mount)</t>
        </is>
      </c>
      <c r="D27" s="77" t="n">
        <v>92</v>
      </c>
      <c r="F27" s="77" t="inlineStr">
        <is>
          <t>1 Marcus</t>
        </is>
      </c>
      <c r="I27" t="inlineStr">
        <is>
          <t>73 IN BOX ON PALLET / 19 IN RECON ACCES.</t>
        </is>
      </c>
    </row>
    <row r="28" ht="20.25" customHeight="1" s="91">
      <c r="A28" s="18" t="n"/>
      <c r="B28" t="inlineStr">
        <is>
          <t>Accessories</t>
        </is>
      </c>
      <c r="C28" t="inlineStr">
        <is>
          <t>Scanners</t>
        </is>
      </c>
      <c r="D28" s="77" t="n">
        <v>58</v>
      </c>
      <c r="F28" s="77" t="inlineStr">
        <is>
          <t>1 Marcus</t>
        </is>
      </c>
    </row>
    <row r="29" ht="20.25" customHeight="1" s="91">
      <c r="A29" s="18" t="n"/>
      <c r="B29" t="inlineStr">
        <is>
          <t>Adapter</t>
        </is>
      </c>
      <c r="C29" s="81" t="inlineStr">
        <is>
          <t>B1-CPAT-DIM-14</t>
        </is>
      </c>
    </row>
    <row r="30" ht="20.25" customHeight="1" s="91">
      <c r="A30" s="18" t="n"/>
      <c r="C30" t="inlineStr">
        <is>
          <t>CBCC342077</t>
        </is>
      </c>
      <c r="D30" s="77" t="n">
        <v>0</v>
      </c>
    </row>
    <row r="31" ht="20.25" customHeight="1" s="91">
      <c r="A31" s="18" t="n"/>
      <c r="B31" t="inlineStr">
        <is>
          <t>Mice</t>
        </is>
      </c>
      <c r="C31" t="inlineStr">
        <is>
          <t>Seal Storm Wireless Mouse w/scroll wheel</t>
        </is>
      </c>
      <c r="D31" s="77" t="n">
        <v>69</v>
      </c>
      <c r="F31" s="77" t="inlineStr">
        <is>
          <t>1 Marcus</t>
        </is>
      </c>
    </row>
    <row r="32" ht="20.25" customHeight="1" s="91">
      <c r="A32" s="18" t="n"/>
      <c r="B32" t="inlineStr">
        <is>
          <t>Keyboard</t>
        </is>
      </c>
      <c r="C32" t="inlineStr">
        <is>
          <t>Cleanwipe Wireless Keyboard (white)</t>
        </is>
      </c>
      <c r="D32" s="77" t="n">
        <v>60</v>
      </c>
      <c r="F32" s="77" t="inlineStr">
        <is>
          <t>1 Marcus</t>
        </is>
      </c>
    </row>
    <row r="33" ht="20.25" customHeight="1" s="91">
      <c r="A33" s="18" t="n"/>
      <c r="B33" t="inlineStr">
        <is>
          <t>Accessories</t>
        </is>
      </c>
      <c r="C33" t="inlineStr">
        <is>
          <t>Tap Badge Readers</t>
        </is>
      </c>
      <c r="D33" s="77" t="n">
        <v>126</v>
      </c>
      <c r="F33" s="77" t="inlineStr">
        <is>
          <t>1 Marcus</t>
        </is>
      </c>
    </row>
    <row r="34" ht="20.25" customHeight="1" s="91">
      <c r="A34" s="18" t="n"/>
      <c r="B34" t="inlineStr">
        <is>
          <t>Adapter</t>
        </is>
      </c>
      <c r="C34" t="inlineStr">
        <is>
          <t>B1-CFW</t>
        </is>
      </c>
      <c r="F34" s="77" t="inlineStr">
        <is>
          <t>1 Marcus</t>
        </is>
      </c>
    </row>
    <row r="35" ht="20.25" customHeight="1" s="91">
      <c r="A35" s="18" t="n"/>
      <c r="B35" t="inlineStr">
        <is>
          <t>Accessories</t>
        </is>
      </c>
      <c r="C35" t="inlineStr">
        <is>
          <t>Seismic PolyMount Channel (WC-0002-03)</t>
        </is>
      </c>
      <c r="D35" s="77" t="n">
        <v>4</v>
      </c>
      <c r="F35" s="77" t="inlineStr">
        <is>
          <t>1 Marcus</t>
        </is>
      </c>
      <c r="G35" s="77" t="inlineStr">
        <is>
          <t>ON PALLET</t>
        </is>
      </c>
      <c r="I35" t="inlineStr">
        <is>
          <t>13" / 33 CM CHANNEL / QTY 1 IN A BOX</t>
        </is>
      </c>
    </row>
    <row r="36" ht="20.25" customHeight="1" s="91">
      <c r="A36" s="18" t="n"/>
      <c r="B36" t="inlineStr">
        <is>
          <t>Accessories</t>
        </is>
      </c>
      <c r="C36" t="inlineStr">
        <is>
          <t>VHM-P EXT FIXED ANGLE (WS-0012-17)</t>
        </is>
      </c>
      <c r="D36" s="77" t="n">
        <v>3</v>
      </c>
      <c r="F36" s="77" t="inlineStr">
        <is>
          <t>1 Marcus</t>
        </is>
      </c>
      <c r="G36" s="77" t="inlineStr">
        <is>
          <t>ON PALLET</t>
        </is>
      </c>
      <c r="I36" t="inlineStr">
        <is>
          <t>25-45 (QTY 1 IN A BOX)</t>
        </is>
      </c>
    </row>
    <row r="37" ht="20.25" customHeight="1" s="91">
      <c r="A37" s="18" t="n"/>
      <c r="B37" t="inlineStr">
        <is>
          <t>Accessories</t>
        </is>
      </c>
      <c r="C37" t="inlineStr">
        <is>
          <t>ANES MNT CONF ADVISORY LABEL KIT (TPL-0001-01)</t>
        </is>
      </c>
      <c r="D37" s="77" t="n">
        <v>116</v>
      </c>
      <c r="F37" s="77" t="inlineStr">
        <is>
          <t>1 Marcus</t>
        </is>
      </c>
      <c r="G37" s="77" t="inlineStr">
        <is>
          <t>ON PALLET</t>
        </is>
      </c>
    </row>
    <row r="38" ht="20.25" customHeight="1" s="91">
      <c r="A38" s="18" t="n"/>
      <c r="C38" t="inlineStr">
        <is>
          <t>WMM-0002-02C</t>
        </is>
      </c>
      <c r="D38" s="77" t="n">
        <v>87</v>
      </c>
      <c r="F38" s="77" t="inlineStr">
        <is>
          <t>1 Marcus</t>
        </is>
      </c>
      <c r="G38" s="77" t="inlineStr">
        <is>
          <t>ON PALLETS</t>
        </is>
      </c>
      <c r="I38" t="inlineStr">
        <is>
          <t>PIVOT ARM W/SLIDE IN MNTN PLATE M SERIES 12" /30.5 CM MAX DEV WGHT 30LB / 13.6KG - MAX ARM LOAD 60 LB / 27.2KG</t>
        </is>
      </c>
    </row>
    <row r="39" ht="20.25" customHeight="1" s="91">
      <c r="A39" s="18" t="n"/>
      <c r="C39" t="inlineStr">
        <is>
          <t>DX-0034-08</t>
        </is>
      </c>
      <c r="D39" s="77" t="n">
        <v>22</v>
      </c>
      <c r="F39" s="77" t="inlineStr">
        <is>
          <t>1 Marcus</t>
        </is>
      </c>
      <c r="G39" s="77" t="inlineStr">
        <is>
          <t>ON PALLET</t>
        </is>
      </c>
      <c r="I39" t="inlineStr">
        <is>
          <t>AVANCE/AISYS 13" / 33CM LEFT SIDE OFFSET CHANNEL  MAX LOAD 60LB /27.2KG - NOT FOR USE W/VHM/VHM-P/VHM-PL W/14" / 35.6CM EXT</t>
        </is>
      </c>
    </row>
    <row r="40" ht="20.25" customHeight="1" s="91">
      <c r="A40" s="18" t="n"/>
      <c r="C40" t="inlineStr">
        <is>
          <t>PM-0005-20</t>
        </is>
      </c>
      <c r="D40" s="77" t="n">
        <v>5</v>
      </c>
      <c r="F40" s="77" t="inlineStr">
        <is>
          <t>1 Marcus</t>
        </is>
      </c>
      <c r="G40" s="77" t="inlineStr">
        <is>
          <t>ON PALLET</t>
        </is>
      </c>
    </row>
    <row r="41" ht="20.25" customHeight="1" s="91">
      <c r="A41" s="18" t="n"/>
      <c r="C41" t="inlineStr">
        <is>
          <t>BLK 10' PATCH CABLE</t>
        </is>
      </c>
      <c r="D41" s="77" t="n">
        <v>25</v>
      </c>
      <c r="F41" s="77" t="inlineStr">
        <is>
          <t>1 Marcus</t>
        </is>
      </c>
      <c r="G41" s="77" t="inlineStr">
        <is>
          <t>ON PALLET</t>
        </is>
      </c>
      <c r="I41" t="inlineStr">
        <is>
          <t>BELKIN A3L791 -10-BLK CABLE CAT5E UTP RJ45M/M</t>
        </is>
      </c>
    </row>
    <row r="42" ht="20.25" customHeight="1" s="91">
      <c r="A42" s="18" t="n"/>
      <c r="C42" t="inlineStr">
        <is>
          <t>WM-0007-51C</t>
        </is>
      </c>
      <c r="D42" s="77" t="n">
        <v>11</v>
      </c>
      <c r="F42" s="77" t="inlineStr">
        <is>
          <t>1 Marcus</t>
        </is>
      </c>
      <c r="G42" s="77" t="inlineStr">
        <is>
          <t>ON PALLET</t>
        </is>
      </c>
      <c r="I42" t="inlineStr">
        <is>
          <t>UNIVERSAL THIN CLIENT REAR DIS ADPT PLATE - INLC 75/100MM VESA HOLE PATTERN AND 21" VELCRO STRAPS, FOR DEVICES W/LESS THAN 21" TOTAL PERI ETER (WIDTH NOT TO EXCEED 4.25")</t>
        </is>
      </c>
    </row>
    <row r="43" ht="20.25" customHeight="1" s="91">
      <c r="A43" s="18" t="n"/>
      <c r="C43" t="inlineStr">
        <is>
          <t>BACKUP BATTERY (POWER SAVING)</t>
        </is>
      </c>
      <c r="D43" s="77" t="n">
        <v>6</v>
      </c>
      <c r="F43" s="77" t="inlineStr">
        <is>
          <t>1 Marcus</t>
        </is>
      </c>
      <c r="G43" s="77" t="inlineStr">
        <is>
          <t>ON PALLET</t>
        </is>
      </c>
      <c r="I43" t="inlineStr">
        <is>
          <t>UP 164 MIN RUNTIME / 10 OUTLETS / AVR TECH</t>
        </is>
      </c>
    </row>
    <row r="44" ht="20.25" customHeight="1" s="91">
      <c r="A44" s="18" t="n"/>
      <c r="C44" t="inlineStr">
        <is>
          <t>FLP-0008-45D</t>
        </is>
      </c>
      <c r="D44" s="77" t="n">
        <v>3</v>
      </c>
      <c r="F44" s="77" t="inlineStr">
        <is>
          <t>1 Marcus</t>
        </is>
      </c>
    </row>
    <row r="45" ht="20.25" customHeight="1" s="91">
      <c r="A45" s="18" t="n"/>
      <c r="C45" t="inlineStr">
        <is>
          <t>WS-0012-11B</t>
        </is>
      </c>
      <c r="D45" s="77" t="n">
        <v>3</v>
      </c>
    </row>
    <row r="46" ht="20.25" customHeight="1" s="91">
      <c r="A46" s="18" t="n"/>
      <c r="C46" t="inlineStr">
        <is>
          <t>WC-0002-07</t>
        </is>
      </c>
      <c r="D46" s="77" t="n">
        <v>3</v>
      </c>
      <c r="F46" s="77" t="inlineStr">
        <is>
          <t>1 Marcus</t>
        </is>
      </c>
      <c r="I46" t="inlineStr">
        <is>
          <t>Seismic Poly Mount 25" / 63.5cm channel</t>
        </is>
      </c>
    </row>
    <row r="47" ht="20.25" customHeight="1" s="91">
      <c r="A47" s="18" t="n"/>
    </row>
    <row r="48" ht="20.25" customHeight="1" s="91">
      <c r="A48" s="18" t="n"/>
    </row>
    <row r="49" ht="20.25" customHeight="1" s="91">
      <c r="A49" s="18" t="n"/>
    </row>
    <row r="50" ht="20.25" customHeight="1" s="91">
      <c r="A50" s="18" t="n"/>
    </row>
    <row r="51" ht="20.25" customHeight="1" s="91">
      <c r="A51" s="18" t="n"/>
    </row>
    <row r="52" ht="20.25" customHeight="1" s="91">
      <c r="A52" s="18" t="n"/>
    </row>
    <row r="53" ht="20.25" customHeight="1" s="91">
      <c r="A53" s="18" t="n"/>
    </row>
    <row r="54" ht="20.25" customHeight="1" s="91">
      <c r="A54" s="18" t="n"/>
    </row>
    <row r="55" ht="20.25" customHeight="1" s="91">
      <c r="A55" s="18" t="n"/>
    </row>
    <row r="56" ht="20.25" customHeight="1" s="91">
      <c r="A56" s="18" t="n"/>
    </row>
    <row r="57" ht="20.25" customHeight="1" s="91">
      <c r="A57" s="18" t="n"/>
    </row>
    <row r="58" ht="20.25" customHeight="1" s="91">
      <c r="A58" s="18" t="n"/>
    </row>
    <row r="59" ht="20.25" customHeight="1" s="91">
      <c r="A59" s="18" t="n"/>
    </row>
    <row r="60" ht="20.25" customHeight="1" s="91">
      <c r="A60" s="18" t="n"/>
    </row>
    <row r="61" ht="20.25" customHeight="1" s="91">
      <c r="A61" s="18" t="n"/>
    </row>
    <row r="62" ht="20.25" customHeight="1" s="91">
      <c r="A62" s="18" t="n"/>
    </row>
    <row r="63" ht="20.25" customHeight="1" s="91">
      <c r="A63" s="18" t="n"/>
    </row>
    <row r="64" ht="20.25" customHeight="1" s="91">
      <c r="A64" s="18" t="n"/>
    </row>
    <row r="65" ht="20.25" customHeight="1" s="91">
      <c r="A65" s="18" t="n"/>
    </row>
    <row r="66" ht="20.25" customHeight="1" s="91">
      <c r="A66" s="18" t="n"/>
    </row>
    <row r="67" ht="20.25" customHeight="1" s="91">
      <c r="A67" s="18" t="n"/>
    </row>
    <row r="68" ht="20.25" customHeight="1" s="91">
      <c r="A68" s="18" t="n"/>
    </row>
    <row r="69" ht="20.25" customHeight="1" s="91">
      <c r="A69" s="18" t="n"/>
    </row>
    <row r="70" ht="20.25" customHeight="1" s="91">
      <c r="A70" s="18" t="n"/>
    </row>
    <row r="71" ht="20.25" customHeight="1" s="91">
      <c r="A71" s="18" t="n"/>
    </row>
    <row r="72" ht="20.25" customHeight="1" s="91">
      <c r="A72" s="18" t="n"/>
    </row>
    <row r="73" ht="20.25" customHeight="1" s="91">
      <c r="A73" s="18" t="n"/>
    </row>
    <row r="74" ht="20.25" customHeight="1" s="91">
      <c r="A74" s="18" t="n"/>
    </row>
    <row r="75" ht="20.25" customHeight="1" s="91">
      <c r="A75" s="18" t="n"/>
    </row>
    <row r="76" ht="20.25" customHeight="1" s="91">
      <c r="A76" s="18" t="n"/>
    </row>
    <row r="77" ht="20.25" customHeight="1" s="91">
      <c r="A77" s="18" t="n"/>
    </row>
    <row r="78" ht="20.25" customHeight="1" s="91">
      <c r="A78" s="18" t="n"/>
    </row>
    <row r="79" ht="20.25" customHeight="1" s="91">
      <c r="A79" s="18" t="n"/>
    </row>
    <row r="80" ht="20.25" customHeight="1" s="91">
      <c r="A80" s="18" t="n"/>
    </row>
    <row r="81" ht="20.25" customHeight="1" s="91">
      <c r="A81" s="18" t="n"/>
    </row>
    <row r="82" ht="20.25" customHeight="1" s="91">
      <c r="A82" s="18" t="n"/>
    </row>
    <row r="83" ht="20.25" customHeight="1" s="91">
      <c r="A83" s="18" t="n"/>
    </row>
    <row r="84" ht="20.25" customHeight="1" s="91">
      <c r="A84" s="18" t="n"/>
    </row>
    <row r="85" ht="20.25" customHeight="1" s="91">
      <c r="A85" s="18" t="n"/>
    </row>
    <row r="86" ht="20.25" customHeight="1" s="91">
      <c r="A86" s="18" t="n"/>
    </row>
    <row r="87" ht="20.25" customHeight="1" s="91">
      <c r="A87" s="18" t="n"/>
    </row>
    <row r="88" ht="20.25" customHeight="1" s="91">
      <c r="A88" s="18" t="n"/>
    </row>
    <row r="89" ht="20.25" customHeight="1" s="91">
      <c r="A89" s="18" t="n"/>
    </row>
    <row r="90" ht="20.25" customHeight="1" s="91">
      <c r="A90" s="18" t="n"/>
    </row>
    <row r="91" ht="20.25" customHeight="1" s="91">
      <c r="A91" s="18" t="n"/>
    </row>
    <row r="92" ht="20.25" customHeight="1" s="91">
      <c r="A92" s="18" t="n"/>
    </row>
    <row r="93" ht="20.25" customHeight="1" s="91">
      <c r="A93" s="18" t="n"/>
    </row>
    <row r="94" ht="20.25" customHeight="1" s="91">
      <c r="A94" s="18" t="n"/>
    </row>
    <row r="95" ht="20.25" customHeight="1" s="91">
      <c r="A95" s="18" t="n"/>
    </row>
    <row r="96" ht="20.25" customHeight="1" s="91">
      <c r="A96" s="18" t="n"/>
    </row>
    <row r="97" ht="20.25" customHeight="1" s="91">
      <c r="A97" s="18" t="n"/>
    </row>
    <row r="98" ht="20.25" customHeight="1" s="91">
      <c r="A98" s="18" t="n"/>
    </row>
    <row r="99" ht="20.25" customHeight="1" s="91">
      <c r="A99" s="18" t="n"/>
    </row>
    <row r="100" ht="20.25" customHeight="1" s="91">
      <c r="A100" s="18" t="n"/>
    </row>
    <row r="101" ht="20.25" customHeight="1" s="91">
      <c r="A101" s="18" t="n"/>
    </row>
    <row r="102" ht="20.25" customHeight="1" s="91">
      <c r="A102" s="18" t="n"/>
    </row>
    <row r="103" ht="20.25" customHeight="1" s="91">
      <c r="A103" s="18" t="n"/>
    </row>
    <row r="104" ht="20.25" customHeight="1" s="91">
      <c r="A104" s="18" t="n"/>
    </row>
    <row r="105" ht="20.25" customHeight="1" s="91">
      <c r="A105" s="18" t="n"/>
    </row>
    <row r="106" ht="20.25" customHeight="1" s="91">
      <c r="A106" s="18" t="n"/>
    </row>
    <row r="107" ht="20.25" customHeight="1" s="91">
      <c r="A107" s="18" t="n"/>
    </row>
    <row r="108" ht="20.25" customHeight="1" s="91">
      <c r="A108" s="18" t="n"/>
    </row>
    <row r="109" ht="20.25" customHeight="1" s="91">
      <c r="A109" s="18" t="n"/>
    </row>
    <row r="110" ht="20.25" customHeight="1" s="91">
      <c r="A110" s="18" t="n"/>
    </row>
    <row r="111" ht="20.25" customHeight="1" s="91">
      <c r="A111" s="18" t="n"/>
    </row>
    <row r="112" ht="20.25" customHeight="1" s="91">
      <c r="A112" s="18" t="n"/>
    </row>
    <row r="113" ht="20.25" customHeight="1" s="91">
      <c r="A113" s="18" t="n"/>
    </row>
    <row r="114" ht="20.25" customHeight="1" s="91">
      <c r="A114" s="18" t="n"/>
    </row>
    <row r="115" ht="20.25" customHeight="1" s="91">
      <c r="A115" s="18" t="n"/>
    </row>
    <row r="116" ht="20.25" customHeight="1" s="91">
      <c r="A116" s="18" t="n"/>
    </row>
    <row r="117" ht="20.25" customHeight="1" s="91">
      <c r="A117" s="18" t="n"/>
    </row>
    <row r="118" ht="20.25" customHeight="1" s="91">
      <c r="A118" s="18" t="n"/>
    </row>
    <row r="119" ht="20.25" customHeight="1" s="91">
      <c r="A119" s="18" t="n"/>
    </row>
    <row r="120" ht="20.25" customHeight="1" s="91">
      <c r="A120" s="18" t="n"/>
    </row>
    <row r="121" ht="20.25" customHeight="1" s="91">
      <c r="A121" s="18" t="n"/>
    </row>
    <row r="122" ht="20.25" customHeight="1" s="91">
      <c r="A122" s="18" t="n"/>
    </row>
    <row r="123" ht="20.25" customHeight="1" s="91">
      <c r="A123" s="18" t="n"/>
    </row>
    <row r="124" ht="20.25" customHeight="1" s="91">
      <c r="A124" s="18" t="n"/>
    </row>
    <row r="125" ht="20.25" customHeight="1" s="91">
      <c r="A125" s="18" t="n"/>
    </row>
    <row r="126" ht="20.25" customHeight="1" s="91">
      <c r="A126" s="18" t="n"/>
    </row>
    <row r="127" ht="20.25" customHeight="1" s="91">
      <c r="A127" s="18" t="n"/>
    </row>
    <row r="128" ht="20.25" customHeight="1" s="91">
      <c r="A128" s="18" t="n"/>
    </row>
    <row r="129" ht="20.25" customHeight="1" s="91">
      <c r="A129" s="18" t="n"/>
    </row>
    <row r="130" ht="20.25" customHeight="1" s="91">
      <c r="A130" s="18" t="n"/>
    </row>
    <row r="131" ht="20.25" customHeight="1" s="91">
      <c r="A131" s="18" t="n"/>
    </row>
    <row r="132" ht="20.25" customHeight="1" s="91">
      <c r="A132" s="18" t="n"/>
    </row>
    <row r="133" ht="20.25" customHeight="1" s="91">
      <c r="A133" s="18" t="n"/>
    </row>
    <row r="134" ht="20.25" customHeight="1" s="91">
      <c r="A134" s="18" t="n"/>
    </row>
    <row r="135" ht="20.25" customHeight="1" s="91">
      <c r="A135" s="18" t="n"/>
    </row>
    <row r="136" ht="20.25" customHeight="1" s="91">
      <c r="A136" s="18" t="n"/>
    </row>
    <row r="137" ht="20.25" customHeight="1" s="91">
      <c r="A137" s="18" t="n"/>
    </row>
    <row r="138" ht="20.25" customHeight="1" s="91">
      <c r="A138" s="18" t="n"/>
    </row>
    <row r="139" ht="20.25" customHeight="1" s="91">
      <c r="A139" s="18" t="n"/>
    </row>
    <row r="140" ht="20.25" customHeight="1" s="91">
      <c r="A140" s="18" t="n"/>
    </row>
    <row r="141" ht="20.25" customHeight="1" s="91">
      <c r="A141" s="18" t="n"/>
    </row>
    <row r="142" ht="20.25" customHeight="1" s="91">
      <c r="A142" s="18" t="n"/>
    </row>
    <row r="143" ht="20.25" customHeight="1" s="91">
      <c r="A143" s="18" t="n"/>
    </row>
    <row r="144" ht="20.25" customHeight="1" s="91">
      <c r="A144" s="18" t="n"/>
    </row>
    <row r="145" ht="20.25" customHeight="1" s="91">
      <c r="A145" s="18" t="n"/>
    </row>
    <row r="146" ht="20.25" customHeight="1" s="91">
      <c r="A146" s="18" t="n"/>
    </row>
    <row r="147" ht="20.25" customHeight="1" s="91">
      <c r="A147" s="18" t="n"/>
    </row>
    <row r="148" ht="20.25" customHeight="1" s="91">
      <c r="A148" s="18" t="n"/>
    </row>
    <row r="149" ht="20.25" customHeight="1" s="91">
      <c r="A149" s="18" t="n"/>
    </row>
    <row r="150" ht="20.25" customHeight="1" s="91">
      <c r="A150" s="18" t="n"/>
    </row>
    <row r="151" ht="20.25" customHeight="1" s="91">
      <c r="A151" s="18" t="n"/>
    </row>
    <row r="152" ht="20.25" customHeight="1" s="91">
      <c r="A152" s="18" t="n"/>
    </row>
    <row r="153" ht="20.25" customHeight="1" s="91">
      <c r="A153" s="18" t="n"/>
    </row>
    <row r="154" ht="20.25" customHeight="1" s="91">
      <c r="A154" s="18" t="n"/>
    </row>
    <row r="155" ht="20.25" customHeight="1" s="91">
      <c r="A155" s="18" t="n"/>
    </row>
    <row r="156" ht="20.25" customHeight="1" s="91">
      <c r="A156" s="18" t="n"/>
    </row>
    <row r="157" ht="20.25" customHeight="1" s="91">
      <c r="A157" s="18" t="n"/>
    </row>
    <row r="158" ht="20.25" customHeight="1" s="91">
      <c r="A158" s="18" t="n"/>
    </row>
    <row r="159" ht="20.25" customHeight="1" s="91">
      <c r="A159" s="18" t="n"/>
    </row>
    <row r="160" ht="20.25" customHeight="1" s="91">
      <c r="A160" s="18" t="n"/>
    </row>
    <row r="161" ht="20.25" customHeight="1" s="91">
      <c r="A161" s="18" t="n"/>
    </row>
    <row r="162" ht="20.25" customHeight="1" s="91">
      <c r="A162" s="18" t="n"/>
    </row>
    <row r="163" ht="20.25" customHeight="1" s="91">
      <c r="A163" s="18" t="n"/>
    </row>
    <row r="164" ht="20.25" customHeight="1" s="91">
      <c r="A164" s="18" t="n"/>
    </row>
    <row r="165" ht="20.25" customHeight="1" s="91">
      <c r="A165" s="18" t="n"/>
    </row>
    <row r="166" ht="20.25" customHeight="1" s="91">
      <c r="A166" s="18" t="n"/>
    </row>
    <row r="167" ht="20.25" customHeight="1" s="91">
      <c r="A167" s="18" t="n"/>
    </row>
    <row r="168" ht="20.25" customHeight="1" s="91">
      <c r="A168" s="18" t="n"/>
    </row>
    <row r="169" ht="20.25" customHeight="1" s="91">
      <c r="A169" s="18" t="n"/>
    </row>
    <row r="170" ht="20.25" customHeight="1" s="91">
      <c r="A170" s="18" t="n"/>
    </row>
    <row r="171" ht="20.25" customHeight="1" s="91">
      <c r="A171" s="18" t="n"/>
    </row>
    <row r="172" ht="20.25" customHeight="1" s="91">
      <c r="A172" s="18" t="n"/>
    </row>
    <row r="173" ht="20.25" customHeight="1" s="91">
      <c r="A173" s="18" t="n"/>
    </row>
    <row r="174" ht="20.25" customHeight="1" s="91">
      <c r="A174" s="18" t="n"/>
    </row>
    <row r="175" ht="20.25" customHeight="1" s="91">
      <c r="A175" s="18" t="n"/>
    </row>
    <row r="176" ht="20.25" customHeight="1" s="91">
      <c r="A176" s="18" t="n"/>
    </row>
    <row r="177" ht="20.25" customHeight="1" s="91">
      <c r="A177" s="18" t="n"/>
    </row>
    <row r="178" ht="20.25" customHeight="1" s="91">
      <c r="A178" s="18" t="n"/>
    </row>
    <row r="179" ht="20.25" customHeight="1" s="91">
      <c r="A179" s="18" t="n"/>
    </row>
    <row r="180" ht="20.25" customHeight="1" s="91">
      <c r="A180" s="18" t="n"/>
    </row>
    <row r="181" ht="20.25" customHeight="1" s="91">
      <c r="A181" s="18" t="n"/>
    </row>
    <row r="182" ht="20.25" customHeight="1" s="91">
      <c r="A182" s="18" t="n"/>
    </row>
    <row r="183" ht="20.25" customHeight="1" s="91">
      <c r="A183" s="18" t="n"/>
    </row>
    <row r="184" ht="20.25" customHeight="1" s="91">
      <c r="A184" s="18" t="n"/>
    </row>
    <row r="185" ht="20.25" customHeight="1" s="91">
      <c r="A185" s="18" t="n"/>
    </row>
    <row r="186" ht="20.25" customHeight="1" s="91">
      <c r="A186" s="18" t="n"/>
    </row>
    <row r="187" ht="20.25" customHeight="1" s="91">
      <c r="A187" s="18" t="n"/>
    </row>
    <row r="188" ht="20.25" customHeight="1" s="91">
      <c r="A188" s="18" t="n"/>
    </row>
    <row r="189" ht="20.25" customHeight="1" s="91">
      <c r="A189" s="18" t="n"/>
    </row>
    <row r="190" ht="20.25" customHeight="1" s="91">
      <c r="A190" s="18" t="n"/>
    </row>
    <row r="191" ht="20.25" customHeight="1" s="91">
      <c r="A191" s="18" t="n"/>
    </row>
    <row r="192" ht="20.25" customHeight="1" s="91">
      <c r="A192" s="18" t="n"/>
    </row>
    <row r="193" ht="20.25" customHeight="1" s="91">
      <c r="A193" s="18" t="n"/>
    </row>
    <row r="194" ht="20.25" customHeight="1" s="91">
      <c r="A194" s="18" t="n"/>
    </row>
    <row r="195" ht="20.25" customHeight="1" s="91">
      <c r="A195" s="18" t="n"/>
    </row>
    <row r="196" ht="20.25" customHeight="1" s="91">
      <c r="A196" s="18" t="n"/>
    </row>
    <row r="197" ht="20.25" customHeight="1" s="91">
      <c r="A197" s="18" t="n"/>
    </row>
    <row r="198" ht="20.25" customHeight="1" s="91">
      <c r="A198" s="18" t="n"/>
    </row>
    <row r="199" ht="20.25" customHeight="1" s="91">
      <c r="A199" s="18" t="n"/>
    </row>
    <row r="200" ht="20.25" customHeight="1" s="91">
      <c r="A200" s="18" t="n"/>
    </row>
  </sheetData>
  <dataValidations count="2">
    <dataValidation sqref="F2:F1048576" showDropDown="0" showInputMessage="1" showErrorMessage="1" allowBlank="1" type="list">
      <formula1>"Plainview HQ, 1 Marcus, Other"</formula1>
    </dataValidation>
    <dataValidation sqref="B2:B1048576" showDropDown="0" showInputMessage="1" showErrorMessage="1" allowBlank="1" type="list">
      <formula1>"Adapter, GCX Arm, Accessories, DIMs, Neuron, Cybernet, Keyboard, Mice"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6" activePane="bottomLeft" state="frozen"/>
      <selection pane="bottomLeft" activeCell="F31" sqref="F31"/>
    </sheetView>
  </sheetViews>
  <sheetFormatPr baseColWidth="8" defaultColWidth="25.7109375" defaultRowHeight="15"/>
  <cols>
    <col width="25.7109375" customWidth="1" style="69" min="1" max="5"/>
    <col width="76.42578125" bestFit="1" customWidth="1" style="69" min="6" max="6"/>
    <col width="25.7109375" customWidth="1" style="69" min="7" max="16375"/>
    <col width="25.7109375" customWidth="1" style="69" min="16376" max="16384"/>
  </cols>
  <sheetData>
    <row r="1">
      <c r="A1" s="69" t="inlineStr">
        <is>
          <t>Item Type</t>
        </is>
      </c>
      <c r="B1" s="69" t="inlineStr">
        <is>
          <t>Model/Part #</t>
        </is>
      </c>
      <c r="C1" s="70" t="inlineStr">
        <is>
          <t>Quantity</t>
        </is>
      </c>
      <c r="D1" s="69" t="inlineStr">
        <is>
          <t>Packaging State</t>
        </is>
      </c>
      <c r="E1" s="69" t="inlineStr">
        <is>
          <t>Condition</t>
        </is>
      </c>
      <c r="F1" s="69" t="inlineStr">
        <is>
          <t>Notes</t>
        </is>
      </c>
    </row>
    <row r="2">
      <c r="A2" s="69" t="inlineStr">
        <is>
          <t>Special Cable</t>
        </is>
      </c>
      <c r="B2" s="69" t="inlineStr">
        <is>
          <t>B1-CFB</t>
        </is>
      </c>
      <c r="C2" s="70" t="n">
        <v>2</v>
      </c>
      <c r="D2" s="69" t="inlineStr">
        <is>
          <t>Bagged</t>
        </is>
      </c>
      <c r="E2" s="69" t="inlineStr">
        <is>
          <t>Good</t>
        </is>
      </c>
      <c r="F2" s="69" t="inlineStr">
        <is>
          <t>LABELED:DRAGER FABIUS TIRO / BLUE&amp;GREY</t>
        </is>
      </c>
      <c r="G2" s="89" t="inlineStr">
        <is>
          <t>BAGGED TOGETHER / LONGER CABLES</t>
        </is>
      </c>
    </row>
    <row r="3">
      <c r="A3" s="69" t="inlineStr">
        <is>
          <t>Special Cable</t>
        </is>
      </c>
      <c r="B3" s="69" t="inlineStr">
        <is>
          <t>B1-CFB</t>
        </is>
      </c>
      <c r="C3" s="70" t="n">
        <v>3</v>
      </c>
      <c r="D3" s="69" t="inlineStr">
        <is>
          <t>Bagged</t>
        </is>
      </c>
      <c r="E3" s="69" t="inlineStr">
        <is>
          <t>Good</t>
        </is>
      </c>
      <c r="F3" s="69" t="inlineStr">
        <is>
          <t>LABELED: DRAEGER FABIUS GS PREMIUM / BLUE&amp;GREY</t>
        </is>
      </c>
    </row>
    <row r="4">
      <c r="A4" s="69" t="inlineStr">
        <is>
          <t>Special Cable</t>
        </is>
      </c>
      <c r="B4" s="69" t="inlineStr">
        <is>
          <t>Hemosphere</t>
        </is>
      </c>
      <c r="C4" s="70" t="n">
        <v>3</v>
      </c>
      <c r="D4" s="69" t="inlineStr">
        <is>
          <t>Bagged</t>
        </is>
      </c>
      <c r="E4" s="69" t="inlineStr">
        <is>
          <t>Good</t>
        </is>
      </c>
      <c r="F4" s="69" t="inlineStr">
        <is>
          <t>SIS HEMO/ BLUE 9-PIN MALE &amp; GREY FEMALE 9-PIN</t>
        </is>
      </c>
    </row>
    <row r="5">
      <c r="A5" s="69" t="inlineStr">
        <is>
          <t>Special Cable</t>
        </is>
      </c>
      <c r="B5" s="69" t="inlineStr">
        <is>
          <t>B1-CFV</t>
        </is>
      </c>
      <c r="C5" s="70" t="n">
        <v>4</v>
      </c>
      <c r="D5" s="69" t="inlineStr">
        <is>
          <t>Loose</t>
        </is>
      </c>
      <c r="E5" s="69" t="inlineStr">
        <is>
          <t>Good</t>
        </is>
      </c>
      <c r="F5" s="69" t="inlineStr">
        <is>
          <t>NELLCORE 600X</t>
        </is>
      </c>
    </row>
    <row r="6">
      <c r="A6" s="69" t="inlineStr">
        <is>
          <t>Special Cable</t>
        </is>
      </c>
      <c r="B6" s="69" t="inlineStr">
        <is>
          <t>SIS BIS</t>
        </is>
      </c>
      <c r="C6" s="70" t="n">
        <v>8</v>
      </c>
      <c r="D6" s="69" t="inlineStr">
        <is>
          <t>Bagged</t>
        </is>
      </c>
      <c r="E6" s="69" t="inlineStr">
        <is>
          <t>Fair</t>
        </is>
      </c>
      <c r="F6" s="69" t="inlineStr">
        <is>
          <t>SOME CABLES DAMAGED / SIS VISTA BIS / BLUE 9-PIN MALE TO GREY 9-PIN FEMALE</t>
        </is>
      </c>
    </row>
    <row r="7">
      <c r="A7" s="69" t="inlineStr">
        <is>
          <t>Special Cable</t>
        </is>
      </c>
      <c r="B7" s="69" t="inlineStr">
        <is>
          <t>B1-CFB</t>
        </is>
      </c>
      <c r="C7" s="70" t="n">
        <v>2</v>
      </c>
      <c r="D7" s="69" t="inlineStr">
        <is>
          <t>Loose</t>
        </is>
      </c>
      <c r="E7" s="69" t="inlineStr">
        <is>
          <t>Damaged</t>
        </is>
      </c>
      <c r="F7" s="69" t="inlineStr">
        <is>
          <t>ASPECT VISTA BIS / BENT/RUST</t>
        </is>
      </c>
    </row>
    <row r="8">
      <c r="A8" s="69" t="inlineStr">
        <is>
          <t>Special Cable</t>
        </is>
      </c>
      <c r="B8" s="69" t="inlineStr">
        <is>
          <t>B1-CFT</t>
        </is>
      </c>
      <c r="C8" s="70" t="n">
        <v>1</v>
      </c>
      <c r="D8" s="69" t="inlineStr">
        <is>
          <t>Loose</t>
        </is>
      </c>
      <c r="E8" s="69" t="inlineStr">
        <is>
          <t>Good</t>
        </is>
      </c>
      <c r="F8" s="69" t="inlineStr">
        <is>
          <t>DATAX OHMEDA S/5</t>
        </is>
      </c>
    </row>
    <row r="9">
      <c r="A9" s="69" t="inlineStr">
        <is>
          <t>Special Cable</t>
        </is>
      </c>
      <c r="B9" s="69" t="inlineStr">
        <is>
          <t>B650</t>
        </is>
      </c>
      <c r="C9" s="70" t="n">
        <v>3</v>
      </c>
      <c r="D9" s="69" t="inlineStr">
        <is>
          <t>Loose</t>
        </is>
      </c>
      <c r="E9" s="69" t="inlineStr">
        <is>
          <t>Good</t>
        </is>
      </c>
      <c r="F9" s="69" t="inlineStr">
        <is>
          <t>BLUE/GREY 9-PIN FEMALE HEADS</t>
        </is>
      </c>
    </row>
    <row r="10">
      <c r="A10" s="69" t="inlineStr">
        <is>
          <t>Special Cable</t>
        </is>
      </c>
      <c r="B10" s="69" t="inlineStr">
        <is>
          <t>GE S5 AVANCE</t>
        </is>
      </c>
      <c r="C10" s="70" t="n">
        <v>6</v>
      </c>
      <c r="D10" s="69" t="inlineStr">
        <is>
          <t>Bagged</t>
        </is>
      </c>
      <c r="E10" s="69" t="inlineStr">
        <is>
          <t>Fair</t>
        </is>
      </c>
      <c r="F10" s="69" t="inlineStr">
        <is>
          <t>1 CABLE END BENT</t>
        </is>
      </c>
    </row>
    <row r="11">
      <c r="A11" s="69" t="inlineStr">
        <is>
          <t>Special Cable</t>
        </is>
      </c>
      <c r="B11" s="69" t="inlineStr">
        <is>
          <t>B1-CFU</t>
        </is>
      </c>
      <c r="C11" s="70" t="n">
        <v>1</v>
      </c>
      <c r="D11" s="69" t="inlineStr">
        <is>
          <t>Loose</t>
        </is>
      </c>
      <c r="E11" s="69" t="inlineStr">
        <is>
          <t>Damaged</t>
        </is>
      </c>
      <c r="F11" s="69" t="inlineStr">
        <is>
          <t>DATEX-OHMEDA ASTIVA/5</t>
        </is>
      </c>
    </row>
    <row r="12">
      <c r="A12" s="69" t="inlineStr">
        <is>
          <t>Special Cable</t>
        </is>
      </c>
      <c r="B12" s="69" t="inlineStr">
        <is>
          <t>B1-CAQ</t>
        </is>
      </c>
      <c r="C12" s="70" t="n">
        <v>3</v>
      </c>
      <c r="D12" s="69" t="inlineStr">
        <is>
          <t>Bagged</t>
        </is>
      </c>
      <c r="E12" s="69" t="inlineStr">
        <is>
          <t>Good</t>
        </is>
      </c>
      <c r="F12" s="69" t="inlineStr">
        <is>
          <t>GREY 9-PIN MALE TO ETHERNET</t>
        </is>
      </c>
    </row>
    <row r="13">
      <c r="A13" s="69" t="inlineStr">
        <is>
          <t>Special Cable</t>
        </is>
      </c>
      <c r="B13" s="69" t="inlineStr">
        <is>
          <t>B1-CFY</t>
        </is>
      </c>
      <c r="C13" s="70" t="n">
        <v>13</v>
      </c>
      <c r="D13" s="69" t="inlineStr">
        <is>
          <t>Bagged</t>
        </is>
      </c>
      <c r="E13" s="69" t="inlineStr">
        <is>
          <t>Good</t>
        </is>
      </c>
      <c r="F13" s="69" t="inlineStr">
        <is>
          <t>GREY 9-PIN FEM TO ETH</t>
        </is>
      </c>
    </row>
    <row r="14">
      <c r="A14" s="69" t="inlineStr">
        <is>
          <t>Special Cable</t>
        </is>
      </c>
      <c r="B14" s="69" t="inlineStr">
        <is>
          <t>B1-CFW</t>
        </is>
      </c>
      <c r="C14" s="70" t="n">
        <v>1</v>
      </c>
      <c r="D14" s="69" t="inlineStr">
        <is>
          <t>Loose</t>
        </is>
      </c>
      <c r="E14" s="69" t="inlineStr">
        <is>
          <t>Good</t>
        </is>
      </c>
      <c r="F14" s="69" t="inlineStr">
        <is>
          <t>GREY 9-PIN FEM TO ETH</t>
        </is>
      </c>
    </row>
    <row r="15">
      <c r="A15" s="69" t="inlineStr">
        <is>
          <t>Special Cable</t>
        </is>
      </c>
      <c r="B15" s="69" t="inlineStr">
        <is>
          <t>CBCC342077</t>
        </is>
      </c>
      <c r="C15" s="70" t="n">
        <v>1</v>
      </c>
      <c r="D15" s="69" t="inlineStr">
        <is>
          <t>Loose</t>
        </is>
      </c>
      <c r="E15" s="69" t="inlineStr">
        <is>
          <t>Good</t>
        </is>
      </c>
      <c r="F15" s="69" t="inlineStr">
        <is>
          <t>GREY 9-PIN MALE TO DUAL 9-PIN FEM</t>
        </is>
      </c>
    </row>
    <row r="16">
      <c r="A16" s="69" t="inlineStr">
        <is>
          <t>Special Cable</t>
        </is>
      </c>
      <c r="B16" s="69" t="inlineStr">
        <is>
          <t>B1-DAE</t>
        </is>
      </c>
      <c r="C16" s="70" t="n">
        <v>28</v>
      </c>
      <c r="D16" s="69" t="inlineStr">
        <is>
          <t>Bagged</t>
        </is>
      </c>
      <c r="E16" s="69" t="inlineStr">
        <is>
          <t>Good</t>
        </is>
      </c>
      <c r="F16" s="69" t="inlineStr">
        <is>
          <t>GREY 9-PIN FEM TO 15-PIN MALE ANGLED</t>
        </is>
      </c>
    </row>
    <row r="17">
      <c r="A17" s="69" t="inlineStr">
        <is>
          <t>Special Cable</t>
        </is>
      </c>
      <c r="B17" s="69" t="inlineStr">
        <is>
          <t>SPEC999015</t>
        </is>
      </c>
      <c r="C17" s="70" t="n">
        <v>40</v>
      </c>
      <c r="D17" s="69" t="inlineStr">
        <is>
          <t>Bagged</t>
        </is>
      </c>
      <c r="E17" s="69" t="inlineStr">
        <is>
          <t>Good</t>
        </is>
      </c>
      <c r="F17" s="69" t="inlineStr">
        <is>
          <t>GREY 9-PIN FEM BOTH ENDS</t>
        </is>
      </c>
    </row>
    <row r="18">
      <c r="A18" s="69" t="inlineStr">
        <is>
          <t>Special Cable</t>
        </is>
      </c>
      <c r="B18" s="69" t="inlineStr">
        <is>
          <t>B1-CFA</t>
        </is>
      </c>
      <c r="C18" s="70" t="n">
        <v>50</v>
      </c>
      <c r="D18" s="69" t="inlineStr">
        <is>
          <t>Bagged</t>
        </is>
      </c>
      <c r="E18" s="69" t="inlineStr">
        <is>
          <t>Good</t>
        </is>
      </c>
      <c r="F18" s="69" t="inlineStr">
        <is>
          <t>GREY 9-PIN MALE TO FEM</t>
        </is>
      </c>
    </row>
    <row r="19">
      <c r="A19" s="69" t="inlineStr">
        <is>
          <t>Special Cable</t>
        </is>
      </c>
      <c r="B19" s="69" t="inlineStr">
        <is>
          <t>B1-CFD</t>
        </is>
      </c>
      <c r="C19" s="70" t="n">
        <v>56</v>
      </c>
      <c r="D19" s="69" t="inlineStr">
        <is>
          <t>Bagged</t>
        </is>
      </c>
      <c r="E19" s="69" t="inlineStr">
        <is>
          <t>Good</t>
        </is>
      </c>
      <c r="F19" s="69" t="inlineStr">
        <is>
          <t>GREY 9-PIN MALE TO MALE</t>
        </is>
      </c>
    </row>
    <row r="20">
      <c r="A20" s="69" t="inlineStr">
        <is>
          <t>Special Cable</t>
        </is>
      </c>
      <c r="B20" s="69" t="inlineStr">
        <is>
          <t>B1-CFB</t>
        </is>
      </c>
      <c r="C20" s="70" t="n">
        <v>16</v>
      </c>
      <c r="D20" s="69" t="inlineStr">
        <is>
          <t>Bagged</t>
        </is>
      </c>
      <c r="E20" s="69" t="inlineStr">
        <is>
          <t>Good</t>
        </is>
      </c>
      <c r="F20" s="69" t="inlineStr">
        <is>
          <t>GREY 9-PIN MALE TO FEM (~6IN)</t>
        </is>
      </c>
    </row>
    <row r="21">
      <c r="A21" s="69" t="inlineStr">
        <is>
          <t>Special Cable</t>
        </is>
      </c>
      <c r="B21" s="69" t="inlineStr">
        <is>
          <t>CAPSULE ATEN UC-232A</t>
        </is>
      </c>
      <c r="C21" s="70" t="n">
        <v>28</v>
      </c>
      <c r="D21" s="69" t="inlineStr">
        <is>
          <t>Bagged</t>
        </is>
      </c>
      <c r="E21" s="69" t="inlineStr">
        <is>
          <t>Good</t>
        </is>
      </c>
      <c r="F21" s="69" t="inlineStr">
        <is>
          <t>BLK 9-PIN MALE TO USB</t>
        </is>
      </c>
    </row>
    <row r="22">
      <c r="A22" s="69" t="inlineStr">
        <is>
          <t>Special Cable</t>
        </is>
      </c>
      <c r="B22" s="69" t="inlineStr">
        <is>
          <t>CCAC0009869</t>
        </is>
      </c>
      <c r="C22" s="70" t="n">
        <v>16</v>
      </c>
      <c r="D22" s="69" t="inlineStr">
        <is>
          <t>Bagged</t>
        </is>
      </c>
      <c r="E22" s="69" t="inlineStr">
        <is>
          <t>Good</t>
        </is>
      </c>
      <c r="F22" s="69" t="inlineStr">
        <is>
          <t>ROND MINI-DIN6 TO DP9 PIN FEM</t>
        </is>
      </c>
    </row>
    <row r="23">
      <c r="A23" s="69" t="inlineStr">
        <is>
          <t>Special Cable</t>
        </is>
      </c>
      <c r="B23" s="69" t="inlineStr">
        <is>
          <t>CBCC402237</t>
        </is>
      </c>
      <c r="C23" s="70" t="n">
        <v>2</v>
      </c>
      <c r="D23" s="69" t="inlineStr">
        <is>
          <t>Bagged</t>
        </is>
      </c>
      <c r="E23" s="69" t="inlineStr">
        <is>
          <t>Good</t>
        </is>
      </c>
      <c r="F23" s="69" t="inlineStr">
        <is>
          <t>GREY DP9 MALE TO FEM</t>
        </is>
      </c>
    </row>
    <row r="24">
      <c r="A24" s="69" t="inlineStr">
        <is>
          <t>Special Cable</t>
        </is>
      </c>
      <c r="B24" s="69" t="inlineStr">
        <is>
          <t>GE ADAPTER</t>
        </is>
      </c>
      <c r="C24" s="70" t="n">
        <v>4</v>
      </c>
      <c r="D24" s="69" t="inlineStr">
        <is>
          <t>Bagged</t>
        </is>
      </c>
      <c r="E24" s="69" t="inlineStr">
        <is>
          <t>Good</t>
        </is>
      </c>
      <c r="F24" s="69" t="inlineStr">
        <is>
          <t>DP9 MALE TO USB / SANDBERG 833-08</t>
        </is>
      </c>
    </row>
    <row r="25">
      <c r="A25" s="69" t="inlineStr">
        <is>
          <t>Special Cable</t>
        </is>
      </c>
      <c r="B25" s="69" t="inlineStr">
        <is>
          <t>CBCC0001395</t>
        </is>
      </c>
      <c r="C25" s="70" t="n">
        <v>13</v>
      </c>
      <c r="D25" s="69" t="inlineStr">
        <is>
          <t>Bagged</t>
        </is>
      </c>
      <c r="E25" s="69" t="inlineStr">
        <is>
          <t>Good</t>
        </is>
      </c>
      <c r="F25" s="69" t="inlineStr">
        <is>
          <t>DP15  MALE ANGLED TO DUAL DP9/DB15 FEM / BLK</t>
        </is>
      </c>
    </row>
    <row r="26">
      <c r="A26" s="69" t="inlineStr">
        <is>
          <t>Special Cable</t>
        </is>
      </c>
      <c r="B26" s="69" t="inlineStr">
        <is>
          <t>B1-CFU+CBCC0001395 PK</t>
        </is>
      </c>
      <c r="C26" s="70" t="n">
        <v>5</v>
      </c>
      <c r="D26" s="69" t="inlineStr">
        <is>
          <t>Bagged</t>
        </is>
      </c>
      <c r="E26" s="69" t="inlineStr">
        <is>
          <t>Good</t>
        </is>
      </c>
      <c r="F26" s="69" t="inlineStr">
        <is>
          <t>2 SET CABLE BAGGY</t>
        </is>
      </c>
    </row>
    <row r="27">
      <c r="A27" s="69" t="inlineStr">
        <is>
          <t>Special Cable</t>
        </is>
      </c>
      <c r="B27" s="69" t="inlineStr">
        <is>
          <t>B1-CFT</t>
        </is>
      </c>
      <c r="C27" s="70" t="n">
        <v>25</v>
      </c>
      <c r="D27" s="69" t="inlineStr">
        <is>
          <t>Bagged</t>
        </is>
      </c>
      <c r="E27" s="69" t="inlineStr">
        <is>
          <t>Good</t>
        </is>
      </c>
      <c r="F27" s="69" t="inlineStr">
        <is>
          <t>DB9 FEM TO FEM</t>
        </is>
      </c>
    </row>
    <row r="28">
      <c r="A28" s="69" t="inlineStr">
        <is>
          <t>Scanner</t>
        </is>
      </c>
      <c r="B28" s="69" t="inlineStr">
        <is>
          <t>ZEBRA DS8178A/CR8178-SC</t>
        </is>
      </c>
      <c r="C28" s="70" t="n">
        <v>15</v>
      </c>
      <c r="D28" s="69" t="inlineStr">
        <is>
          <t>Loose</t>
        </is>
      </c>
      <c r="E28" s="69" t="inlineStr">
        <is>
          <t>Good</t>
        </is>
      </c>
    </row>
    <row r="29">
      <c r="A29" s="69" t="inlineStr">
        <is>
          <t>Scanner</t>
        </is>
      </c>
      <c r="B29" s="69" t="inlineStr">
        <is>
          <t>USB CABLE</t>
        </is>
      </c>
      <c r="C29" s="70" t="n">
        <v>1</v>
      </c>
      <c r="D29" s="69" t="inlineStr">
        <is>
          <t>Loose</t>
        </is>
      </c>
      <c r="E29" s="69" t="inlineStr">
        <is>
          <t>Good</t>
        </is>
      </c>
      <c r="F29" s="69" t="inlineStr">
        <is>
          <t>POSSIBLE EXTRA SCANNER USB CABLE</t>
        </is>
      </c>
    </row>
    <row r="30">
      <c r="A30" s="69" t="inlineStr">
        <is>
          <t>Mouse</t>
        </is>
      </c>
      <c r="B30" s="69" t="inlineStr">
        <is>
          <t>MOUSE HOLDER</t>
        </is>
      </c>
      <c r="C30" s="70" t="n">
        <v>10</v>
      </c>
      <c r="D30" s="69" t="inlineStr">
        <is>
          <t>Bagged</t>
        </is>
      </c>
      <c r="E30" s="69" t="inlineStr">
        <is>
          <t>Good</t>
        </is>
      </c>
    </row>
    <row r="31">
      <c r="A31" s="69" t="inlineStr">
        <is>
          <t>Mouse</t>
        </is>
      </c>
      <c r="B31" s="69" t="inlineStr">
        <is>
          <t>WIRED / STWM042</t>
        </is>
      </c>
      <c r="C31" s="70" t="n">
        <v>34</v>
      </c>
      <c r="D31" s="69" t="inlineStr">
        <is>
          <t>Bagged</t>
        </is>
      </c>
      <c r="E31" s="69" t="inlineStr">
        <is>
          <t>Good</t>
        </is>
      </c>
    </row>
    <row r="32">
      <c r="C32" s="70" t="n"/>
    </row>
    <row r="33">
      <c r="C33" s="70" t="n"/>
    </row>
    <row r="34">
      <c r="C34" s="70" t="n"/>
    </row>
    <row r="35">
      <c r="C35" s="70" t="n"/>
    </row>
    <row r="36">
      <c r="C36" s="70" t="n"/>
    </row>
    <row r="37">
      <c r="C37" s="70" t="n"/>
    </row>
    <row r="38">
      <c r="C38" s="70" t="n"/>
    </row>
    <row r="39">
      <c r="C39" s="70" t="n"/>
    </row>
    <row r="40">
      <c r="C40" s="70" t="n"/>
    </row>
    <row r="41">
      <c r="C41" s="70" t="n"/>
    </row>
    <row r="42">
      <c r="C42" s="70" t="n"/>
    </row>
    <row r="43">
      <c r="C43" s="70" t="n"/>
    </row>
    <row r="44">
      <c r="C44" s="70" t="n"/>
    </row>
    <row r="45">
      <c r="C45" s="70" t="n"/>
    </row>
    <row r="46">
      <c r="C46" s="70" t="n"/>
    </row>
    <row r="47">
      <c r="C47" s="70" t="n"/>
    </row>
    <row r="48">
      <c r="C48" s="70" t="n"/>
    </row>
    <row r="49">
      <c r="C49" s="70" t="n"/>
    </row>
    <row r="50">
      <c r="C50" s="70" t="n"/>
    </row>
    <row r="51">
      <c r="C51" s="70" t="n"/>
    </row>
    <row r="52">
      <c r="C52" s="70" t="n"/>
    </row>
    <row r="53">
      <c r="C53" s="70" t="n"/>
    </row>
    <row r="54">
      <c r="C54" s="70" t="n"/>
    </row>
    <row r="55">
      <c r="C55" s="70" t="n"/>
    </row>
    <row r="56">
      <c r="C56" s="70" t="n"/>
    </row>
    <row r="57">
      <c r="C57" s="70" t="n"/>
    </row>
    <row r="58">
      <c r="C58" s="70" t="n"/>
    </row>
    <row r="59">
      <c r="C59" s="70" t="n"/>
    </row>
    <row r="60">
      <c r="C60" s="70" t="n"/>
    </row>
    <row r="61">
      <c r="C61" s="70" t="n"/>
    </row>
    <row r="62">
      <c r="C62" s="70" t="n"/>
    </row>
    <row r="63">
      <c r="C63" s="70" t="n"/>
    </row>
    <row r="64">
      <c r="C64" s="70" t="n"/>
    </row>
    <row r="65">
      <c r="C65" s="70" t="n"/>
    </row>
    <row r="66">
      <c r="C66" s="70" t="n"/>
    </row>
    <row r="67">
      <c r="C67" s="70" t="n"/>
    </row>
    <row r="68">
      <c r="C68" s="70" t="n"/>
    </row>
    <row r="69">
      <c r="C69" s="70" t="n"/>
    </row>
    <row r="70">
      <c r="C70" s="70" t="n"/>
    </row>
    <row r="71">
      <c r="C71" s="70" t="n"/>
    </row>
    <row r="72">
      <c r="C72" s="70" t="n"/>
    </row>
    <row r="73">
      <c r="C73" s="70" t="n"/>
    </row>
    <row r="74">
      <c r="C74" s="70" t="n"/>
    </row>
    <row r="75">
      <c r="C75" s="70" t="n"/>
    </row>
    <row r="76">
      <c r="C76" s="70" t="n"/>
    </row>
    <row r="77">
      <c r="C77" s="70" t="n"/>
    </row>
    <row r="78">
      <c r="C78" s="70" t="n"/>
    </row>
    <row r="79">
      <c r="C79" s="70" t="n"/>
    </row>
    <row r="80">
      <c r="C80" s="70" t="n"/>
    </row>
    <row r="81">
      <c r="C81" s="70" t="n"/>
    </row>
    <row r="82">
      <c r="C82" s="70" t="n"/>
    </row>
    <row r="83">
      <c r="C83" s="70" t="n"/>
    </row>
    <row r="84">
      <c r="C84" s="70" t="n"/>
    </row>
    <row r="85">
      <c r="C85" s="70" t="n"/>
    </row>
    <row r="86">
      <c r="C86" s="70" t="n"/>
    </row>
    <row r="87">
      <c r="C87" s="70" t="n"/>
    </row>
    <row r="88">
      <c r="C88" s="70" t="n"/>
    </row>
    <row r="89">
      <c r="C89" s="70" t="n"/>
    </row>
    <row r="90">
      <c r="C90" s="70" t="n"/>
    </row>
    <row r="91">
      <c r="C91" s="70" t="n"/>
    </row>
    <row r="92">
      <c r="C92" s="70" t="n"/>
    </row>
    <row r="93">
      <c r="C93" s="70" t="n"/>
    </row>
    <row r="94">
      <c r="C94" s="70" t="n"/>
    </row>
    <row r="95">
      <c r="C95" s="70" t="n"/>
    </row>
    <row r="96">
      <c r="C96" s="70" t="n"/>
    </row>
    <row r="97">
      <c r="C97" s="70" t="n"/>
    </row>
    <row r="98">
      <c r="C98" s="70" t="n"/>
    </row>
    <row r="99">
      <c r="C99" s="70" t="n"/>
    </row>
    <row r="100">
      <c r="C100" s="70" t="n"/>
    </row>
  </sheetData>
  <mergeCells count="1">
    <mergeCell ref="G2:G11"/>
  </mergeCells>
  <conditionalFormatting sqref="A2:A27 A23:B27 A28:D100 B2:F6 B8:B22 C7:D27 E7:F100">
    <cfRule type="expression" priority="9" dxfId="341">
      <formula>$D2="Identified"</formula>
    </cfRule>
    <cfRule type="expression" priority="10" dxfId="340">
      <formula>$D2="Needs Verification"</formula>
    </cfRule>
    <cfRule type="expression" priority="11" dxfId="1">
      <formula>$D2="Redeployable"</formula>
    </cfRule>
    <cfRule type="expression" priority="12" dxfId="338">
      <formula>$D2="Assigned"</formula>
    </cfRule>
    <cfRule type="expression" priority="13" dxfId="337">
      <formula>$D2="Hold"</formula>
    </cfRule>
    <cfRule type="expression" priority="14" dxfId="28">
      <formula>$D2="Scrap"</formula>
    </cfRule>
    <cfRule type="expression" priority="8" dxfId="282">
      <formula>$D2="Intake"</formula>
    </cfRule>
  </conditionalFormatting>
  <conditionalFormatting sqref="B7">
    <cfRule type="expression" priority="1" dxfId="282">
      <formula>$D7="Intake"</formula>
    </cfRule>
    <cfRule type="expression" priority="2" dxfId="341">
      <formula>$D7="Identified"</formula>
    </cfRule>
    <cfRule type="expression" priority="3" dxfId="340">
      <formula>$D7="Needs Verification"</formula>
    </cfRule>
    <cfRule type="expression" priority="4" dxfId="1">
      <formula>$D7="Redeployable"</formula>
    </cfRule>
    <cfRule type="expression" priority="5" dxfId="338">
      <formula>$D7="Assigned"</formula>
    </cfRule>
    <cfRule type="expression" priority="6" dxfId="337">
      <formula>$D7="Hold"</formula>
    </cfRule>
    <cfRule type="expression" priority="7" dxfId="28">
      <formula>$D7="Scrap"</formula>
    </cfRule>
  </conditionalFormatting>
  <conditionalFormatting sqref="A101:G499">
    <cfRule type="expression" priority="3784" dxfId="282">
      <formula>#REF!="Intake"</formula>
    </cfRule>
    <cfRule type="expression" priority="3785" dxfId="341">
      <formula>#REF!="Identified"</formula>
    </cfRule>
    <cfRule type="expression" priority="3786" dxfId="340">
      <formula>#REF!="Needs Verification"</formula>
    </cfRule>
    <cfRule type="expression" priority="3787" dxfId="1">
      <formula>#REF!="Redeployable"</formula>
    </cfRule>
    <cfRule type="expression" priority="3788" dxfId="338">
      <formula>#REF!="Assigned"</formula>
    </cfRule>
    <cfRule type="expression" priority="3789" dxfId="337">
      <formula>#REF!="Hold"</formula>
    </cfRule>
    <cfRule type="expression" priority="3790" dxfId="28">
      <formula>#REF!="Scrap"</formula>
    </cfRule>
  </conditionalFormatting>
  <dataValidations count="5">
    <dataValidation sqref="D2:D1048576" showDropDown="0" showInputMessage="1" showErrorMessage="1" allowBlank="1" type="list">
      <formula1>"Loose,Boxed,Bagged,Mixed"</formula1>
    </dataValidation>
    <dataValidation sqref="E1" showDropDown="0" showInputMessage="1" showErrorMessage="1" allowBlank="1" type="list">
      <formula1>"Good,Fair,Damaged,Unknown,"</formula1>
    </dataValidation>
    <dataValidation sqref="B1:B1048576 D1" showDropDown="0" showInputMessage="1" showErrorMessage="1" allowBlank="1"/>
    <dataValidation sqref="A2:A1048576" showDropDown="0" showInputMessage="1" showErrorMessage="1" allowBlank="1" type="list">
      <formula1>"Cybernet,Neuron,Arm,Tray,Tangent Monitor,Keyboard,Mouse,Scanner Badge,Scanner,Special Cable,Mount Bracket, Ethernet Cable, Patch Cable(grey),Power Cable,Breakaway Cable"</formula1>
    </dataValidation>
    <dataValidation sqref="E2:E1048576" showDropDown="0" showInputMessage="1" showErrorMessage="1" allowBlank="1" type="list">
      <formula1>"Good,Fair,Damaged,Unknown"</formula1>
    </dataValidation>
  </dataValidations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codeName="Sheet1">
    <outlinePr summaryBelow="1" summaryRight="1"/>
    <pageSetUpPr/>
  </sheetPr>
  <dimension ref="A1:R100"/>
  <sheetViews>
    <sheetView workbookViewId="0">
      <pane ySplit="1" topLeftCell="I2" activePane="bottomLeft" state="frozen"/>
      <selection pane="bottomLeft" activeCell="D65" sqref="D65"/>
    </sheetView>
  </sheetViews>
  <sheetFormatPr baseColWidth="8" defaultColWidth="25.7109375" defaultRowHeight="15"/>
  <cols>
    <col width="25.7109375" customWidth="1" style="72" min="1" max="1"/>
    <col width="25.7109375" customWidth="1" style="69" min="2" max="2"/>
    <col width="33" bestFit="1" customWidth="1" style="69" min="3" max="3"/>
    <col width="38.85546875" bestFit="1" customWidth="1" style="69" min="4" max="4"/>
    <col width="25.7109375" customWidth="1" style="69" min="5" max="5"/>
    <col width="36.28515625" bestFit="1" customWidth="1" style="91" min="6" max="6"/>
    <col width="25.7109375" customWidth="1" style="69" min="7" max="7"/>
    <col width="25.7109375" customWidth="1" style="70" min="8" max="8"/>
    <col width="25.7109375" customWidth="1" style="69" min="9" max="14"/>
    <col width="25.7109375" customWidth="1" style="69" min="15" max="16"/>
    <col width="25.7109375" customWidth="1" style="69" min="17" max="17"/>
    <col width="111.42578125" bestFit="1" customWidth="1" style="69" min="18" max="18"/>
    <col width="83.140625" bestFit="1" customWidth="1" style="69" min="19" max="19"/>
    <col width="25.7109375" customWidth="1" style="69" min="20" max="16384"/>
  </cols>
  <sheetData>
    <row r="1">
      <c r="A1" s="68" t="inlineStr">
        <is>
          <t>Date Added</t>
        </is>
      </c>
      <c r="B1" s="69" t="inlineStr">
        <is>
          <t>Item Type</t>
        </is>
      </c>
      <c r="C1" s="69" t="inlineStr">
        <is>
          <t>Item Model/Brand</t>
        </is>
      </c>
      <c r="D1" s="69" t="inlineStr">
        <is>
          <t>Part / Model Number</t>
        </is>
      </c>
      <c r="E1" s="69" t="inlineStr">
        <is>
          <t>Category</t>
        </is>
      </c>
      <c r="F1" s="69" t="inlineStr">
        <is>
          <t>Description</t>
        </is>
      </c>
      <c r="G1" s="70" t="inlineStr">
        <is>
          <t>Quantity</t>
        </is>
      </c>
      <c r="H1" s="70" t="inlineStr">
        <is>
          <t>Current Hostname</t>
        </is>
      </c>
      <c r="I1" s="69" t="inlineStr">
        <is>
          <t>Serial Number</t>
        </is>
      </c>
      <c r="J1" s="69" t="inlineStr">
        <is>
          <t>Configured for Site</t>
        </is>
      </c>
      <c r="K1" s="69" t="inlineStr">
        <is>
          <t>Status</t>
        </is>
      </c>
      <c r="L1" s="69" t="inlineStr">
        <is>
          <t>Tracker Verified</t>
        </is>
      </c>
      <c r="M1" s="69" t="inlineStr">
        <is>
          <t>Condition</t>
        </is>
      </c>
      <c r="N1" s="69" t="inlineStr">
        <is>
          <t>Action Needed</t>
        </is>
      </c>
      <c r="O1" s="69" t="inlineStr">
        <is>
          <t>Target Site</t>
        </is>
      </c>
      <c r="P1" s="69" t="inlineStr">
        <is>
          <t>Target Hostname</t>
        </is>
      </c>
      <c r="Q1" s="69" t="inlineStr">
        <is>
          <t>Physical Zone</t>
        </is>
      </c>
      <c r="R1" s="69" t="inlineStr">
        <is>
          <t>Notes</t>
        </is>
      </c>
    </row>
    <row r="2">
      <c r="A2" s="71" t="inlineStr">
        <is>
          <t>4/8/2026</t>
        </is>
      </c>
      <c r="B2" s="69" t="inlineStr">
        <is>
          <t>Cybernet</t>
        </is>
      </c>
      <c r="C2" s="69" t="inlineStr">
        <is>
          <t>CyberMed NB24/CyberMed S24</t>
        </is>
      </c>
      <c r="D2" s="69" t="inlineStr">
        <is>
          <t>MEDS24A-xxxxx</t>
        </is>
      </c>
      <c r="E2" s="69" t="inlineStr">
        <is>
          <t>PC Hardware</t>
        </is>
      </c>
      <c r="F2" s="69" t="inlineStr">
        <is>
          <t>Cybernet w/ mount</t>
        </is>
      </c>
      <c r="G2" s="70" t="n">
        <v>1</v>
      </c>
      <c r="H2" s="69" t="inlineStr">
        <is>
          <t>WNH270OPRXXX</t>
        </is>
      </c>
      <c r="I2" s="69" t="inlineStr">
        <is>
          <t>MEDxxxxx</t>
        </is>
      </c>
      <c r="J2" s="69" t="inlineStr">
        <is>
          <t>EXAMPLE</t>
        </is>
      </c>
      <c r="K2" s="69" t="inlineStr">
        <is>
          <t>Needs Verification</t>
        </is>
      </c>
      <c r="L2" s="69" t="inlineStr">
        <is>
          <t>No</t>
        </is>
      </c>
      <c r="M2" s="69" t="inlineStr">
        <is>
          <t>Good</t>
        </is>
      </c>
      <c r="N2" s="69" t="inlineStr">
        <is>
          <t>Verify</t>
        </is>
      </c>
      <c r="Q2" s="69" t="inlineStr">
        <is>
          <t>Cybernets</t>
        </is>
      </c>
      <c r="R2" s="69" t="inlineStr">
        <is>
          <t>No label on unit [EXAMPLE]</t>
        </is>
      </c>
    </row>
    <row r="3">
      <c r="A3" s="71" t="n">
        <v>46120</v>
      </c>
      <c r="B3" s="69" t="inlineStr">
        <is>
          <t>Cybernet</t>
        </is>
      </c>
      <c r="C3" s="69" t="inlineStr">
        <is>
          <t>CyberMed NB24/CyberMed S24</t>
        </is>
      </c>
      <c r="D3" s="69" t="inlineStr">
        <is>
          <t>MEDS24A-NH1410</t>
        </is>
      </c>
      <c r="E3" s="69" t="inlineStr">
        <is>
          <t>PC Hardware</t>
        </is>
      </c>
      <c r="F3" s="69" t="inlineStr">
        <is>
          <t>CCMC cybernet</t>
        </is>
      </c>
      <c r="G3" s="70" t="n">
        <v>1</v>
      </c>
      <c r="H3" s="69" t="inlineStr">
        <is>
          <t>WNH269OPR024</t>
        </is>
      </c>
      <c r="I3" s="69" t="inlineStr">
        <is>
          <t>MEDSG2425F-0162</t>
        </is>
      </c>
      <c r="J3" s="69" t="inlineStr">
        <is>
          <t>CCMC</t>
        </is>
      </c>
      <c r="K3" s="69" t="inlineStr">
        <is>
          <t>Assigned</t>
        </is>
      </c>
      <c r="L3" s="69" t="inlineStr">
        <is>
          <t>No</t>
        </is>
      </c>
      <c r="M3" s="69" t="inlineStr">
        <is>
          <t>New</t>
        </is>
      </c>
      <c r="N3" s="69" t="inlineStr">
        <is>
          <t>Redeploy</t>
        </is>
      </c>
      <c r="O3" s="69" t="inlineStr">
        <is>
          <t>LIJ</t>
        </is>
      </c>
      <c r="P3" s="69" t="inlineStr">
        <is>
          <t>WNH270OPR260</t>
        </is>
      </c>
      <c r="Q3" s="69" t="inlineStr">
        <is>
          <t>Cybernets</t>
        </is>
      </c>
      <c r="R3" s="69" t="inlineStr">
        <is>
          <t>Labeled MRI; no charger in box</t>
        </is>
      </c>
    </row>
    <row r="4">
      <c r="A4" s="71" t="n">
        <v>46120</v>
      </c>
      <c r="B4" s="69" t="inlineStr">
        <is>
          <t>Cybernet</t>
        </is>
      </c>
      <c r="C4" s="69" t="inlineStr">
        <is>
          <t>CyberMed NB24/CyberMed S24</t>
        </is>
      </c>
      <c r="D4" s="69" t="inlineStr">
        <is>
          <t>MEDS24A-NH1410</t>
        </is>
      </c>
      <c r="E4" s="69" t="inlineStr">
        <is>
          <t>PC Hardware</t>
        </is>
      </c>
      <c r="F4" s="69" t="inlineStr">
        <is>
          <t>NHP Cybernet</t>
        </is>
      </c>
      <c r="G4" s="70" t="n">
        <v>1</v>
      </c>
      <c r="H4" s="69" t="inlineStr">
        <is>
          <t>WNH270OPR458</t>
        </is>
      </c>
      <c r="I4" s="69" t="inlineStr">
        <is>
          <t>MEDNG2425E-3137</t>
        </is>
      </c>
      <c r="J4" s="69" t="inlineStr">
        <is>
          <t>LIJ</t>
        </is>
      </c>
      <c r="K4" s="69" t="inlineStr">
        <is>
          <t>Assigned</t>
        </is>
      </c>
      <c r="L4" s="69" t="inlineStr">
        <is>
          <t>No</t>
        </is>
      </c>
      <c r="M4" s="69" t="inlineStr">
        <is>
          <t>New</t>
        </is>
      </c>
      <c r="N4" s="69" t="inlineStr">
        <is>
          <t>Redeploy</t>
        </is>
      </c>
      <c r="O4" s="69" t="inlineStr">
        <is>
          <t>LIJ</t>
        </is>
      </c>
      <c r="P4" s="69" t="inlineStr">
        <is>
          <t>WNH270OPR458</t>
        </is>
      </c>
      <c r="Q4" s="69" t="inlineStr">
        <is>
          <t>Cybernets</t>
        </is>
      </c>
      <c r="R4" s="69" t="inlineStr">
        <is>
          <t>charger in box; box labeled HN</t>
        </is>
      </c>
    </row>
    <row r="5">
      <c r="A5" s="71" t="n">
        <v>46120</v>
      </c>
      <c r="B5" s="69" t="inlineStr">
        <is>
          <t>Cybernet</t>
        </is>
      </c>
      <c r="C5" s="69" t="inlineStr">
        <is>
          <t>CyberMed NB24/CyberMed S24</t>
        </is>
      </c>
      <c r="D5" s="69" t="inlineStr">
        <is>
          <t>MEDS24A-NH1410</t>
        </is>
      </c>
      <c r="E5" s="69" t="inlineStr">
        <is>
          <t>PC Hardware</t>
        </is>
      </c>
      <c r="F5" s="69" t="inlineStr">
        <is>
          <t>NHP Cybernet</t>
        </is>
      </c>
      <c r="G5" s="70" t="n">
        <v>1</v>
      </c>
      <c r="H5" s="69" t="inlineStr">
        <is>
          <t>WNH270OPR409</t>
        </is>
      </c>
      <c r="I5" s="69" t="inlineStr">
        <is>
          <t>MEDNG2425E-3058</t>
        </is>
      </c>
      <c r="J5" s="69" t="inlineStr">
        <is>
          <t>LIJ</t>
        </is>
      </c>
      <c r="K5" s="69" t="inlineStr">
        <is>
          <t>Assigned</t>
        </is>
      </c>
      <c r="L5" s="69" t="inlineStr">
        <is>
          <t>No</t>
        </is>
      </c>
      <c r="M5" s="69" t="inlineStr">
        <is>
          <t>New</t>
        </is>
      </c>
      <c r="N5" s="69" t="inlineStr">
        <is>
          <t>Redeploy</t>
        </is>
      </c>
      <c r="O5" s="69" t="inlineStr">
        <is>
          <t>LIJ</t>
        </is>
      </c>
      <c r="P5" s="69" t="inlineStr">
        <is>
          <t>WNH270OPR409</t>
        </is>
      </c>
      <c r="Q5" s="69" t="inlineStr">
        <is>
          <t>Cybernets</t>
        </is>
      </c>
      <c r="R5" s="69" t="inlineStr">
        <is>
          <t>charger in box; box labeled HN</t>
        </is>
      </c>
    </row>
    <row r="6">
      <c r="A6" s="71" t="n">
        <v>46120</v>
      </c>
      <c r="B6" s="69" t="inlineStr">
        <is>
          <t>Cybernet</t>
        </is>
      </c>
      <c r="C6" s="69" t="inlineStr">
        <is>
          <t>CyberMed NB24/CyberMed S24</t>
        </is>
      </c>
      <c r="D6" s="69" t="inlineStr">
        <is>
          <t>MEDS24A-NH1410</t>
        </is>
      </c>
      <c r="E6" s="69" t="inlineStr">
        <is>
          <t>PC Hardware</t>
        </is>
      </c>
      <c r="F6" s="69" t="inlineStr">
        <is>
          <t>CFAM Cybernet</t>
        </is>
      </c>
      <c r="G6" s="70" t="n">
        <v>1</v>
      </c>
      <c r="H6" s="69" t="inlineStr">
        <is>
          <t>WLS450OPR006</t>
        </is>
      </c>
      <c r="I6" s="69" t="inlineStr">
        <is>
          <t>MEDNG2425E-3141</t>
        </is>
      </c>
      <c r="J6" s="69" t="inlineStr">
        <is>
          <t>CFAM</t>
        </is>
      </c>
      <c r="K6" s="69" t="inlineStr">
        <is>
          <t>Assigned</t>
        </is>
      </c>
      <c r="L6" s="69" t="inlineStr">
        <is>
          <t>Yes</t>
        </is>
      </c>
      <c r="M6" s="69" t="inlineStr">
        <is>
          <t>New</t>
        </is>
      </c>
      <c r="N6" s="69" t="inlineStr">
        <is>
          <t>Redeploy</t>
        </is>
      </c>
      <c r="O6" s="69" t="inlineStr">
        <is>
          <t>LIJ</t>
        </is>
      </c>
      <c r="P6" s="69" t="inlineStr">
        <is>
          <t>WNH270OPR261</t>
        </is>
      </c>
      <c r="Q6" s="69" t="inlineStr">
        <is>
          <t>Cybernets</t>
        </is>
      </c>
      <c r="R6" s="69" t="inlineStr">
        <is>
          <t>CHARGER &amp; BACK CASE IN BOX; NOT IN DEPLOYMENT TAB--</t>
        </is>
      </c>
    </row>
    <row r="7">
      <c r="A7" s="71" t="n">
        <v>46120</v>
      </c>
      <c r="B7" s="69" t="inlineStr">
        <is>
          <t>Cybernet</t>
        </is>
      </c>
      <c r="C7" s="69" t="inlineStr">
        <is>
          <t>CyberMed NB24/CyberMed S24</t>
        </is>
      </c>
      <c r="D7" s="69" t="inlineStr">
        <is>
          <t>MEDS24A-NH1410</t>
        </is>
      </c>
      <c r="E7" s="69" t="inlineStr">
        <is>
          <t>PC Hardware</t>
        </is>
      </c>
      <c r="F7" s="69" t="inlineStr">
        <is>
          <t>UN-CONFIGURED CYBERNET</t>
        </is>
      </c>
      <c r="G7" s="70" t="n">
        <v>1</v>
      </c>
      <c r="H7" s="69" t="inlineStr">
        <is>
          <t>N/A</t>
        </is>
      </c>
      <c r="I7" s="69" t="inlineStr">
        <is>
          <t>MEDNG2425E-3765</t>
        </is>
      </c>
      <c r="J7" s="69" t="inlineStr">
        <is>
          <t>N/A</t>
        </is>
      </c>
      <c r="K7" s="69" t="inlineStr">
        <is>
          <t>Unconfigured</t>
        </is>
      </c>
      <c r="L7" s="69" t="inlineStr">
        <is>
          <t>No</t>
        </is>
      </c>
      <c r="M7" s="69" t="inlineStr">
        <is>
          <t>New</t>
        </is>
      </c>
      <c r="N7" s="69" t="inlineStr">
        <is>
          <t>Hold</t>
        </is>
      </c>
      <c r="Q7" s="69" t="inlineStr">
        <is>
          <t>Cybernets</t>
        </is>
      </c>
      <c r="R7" s="69" t="inlineStr">
        <is>
          <t>NEW CYBERNET; BOX LABELED OR3 FOR SY OR PV--VERIFY WHICH SITE NEEDS DEVICE IN OR3</t>
        </is>
      </c>
    </row>
    <row r="8">
      <c r="A8" s="71" t="n">
        <v>46120</v>
      </c>
      <c r="B8" s="69" t="inlineStr">
        <is>
          <t>Cybernet</t>
        </is>
      </c>
      <c r="C8" s="69" t="inlineStr">
        <is>
          <t>CyberMed NB24/CyberMed S24</t>
        </is>
      </c>
      <c r="D8" s="69" t="inlineStr">
        <is>
          <t>MEDS24A-NH1410</t>
        </is>
      </c>
      <c r="E8" s="69" t="inlineStr">
        <is>
          <t>PC Hardware</t>
        </is>
      </c>
      <c r="F8" s="69" t="inlineStr">
        <is>
          <t>CCMC cybernet</t>
        </is>
      </c>
      <c r="G8" s="70" t="n">
        <v>1</v>
      </c>
      <c r="H8" s="69" t="inlineStr">
        <is>
          <t>WNH269OPR026</t>
        </is>
      </c>
      <c r="I8" s="69" t="inlineStr">
        <is>
          <t>MEDSG2425F-0269</t>
        </is>
      </c>
      <c r="J8" s="69" t="inlineStr">
        <is>
          <t>CCMC</t>
        </is>
      </c>
      <c r="K8" s="69" t="inlineStr">
        <is>
          <t>Redeployable</t>
        </is>
      </c>
      <c r="L8" s="69" t="inlineStr">
        <is>
          <t>No</t>
        </is>
      </c>
      <c r="M8" s="69" t="inlineStr">
        <is>
          <t>New</t>
        </is>
      </c>
      <c r="N8" s="69" t="inlineStr">
        <is>
          <t>Hold</t>
        </is>
      </c>
      <c r="Q8" s="69" t="inlineStr">
        <is>
          <t>Cybernets</t>
        </is>
      </c>
      <c r="R8" s="69" t="inlineStr">
        <is>
          <t>IN BOX W/ANOTHER CCMC CYB(025)</t>
        </is>
      </c>
    </row>
    <row r="9">
      <c r="A9" s="71" t="n">
        <v>46120</v>
      </c>
      <c r="B9" s="69" t="inlineStr">
        <is>
          <t>Cybernet</t>
        </is>
      </c>
      <c r="C9" s="69" t="inlineStr">
        <is>
          <t>CyberMed NB24/CyberMed S24</t>
        </is>
      </c>
      <c r="D9" s="69" t="inlineStr">
        <is>
          <t>MEDS24A-NH1410</t>
        </is>
      </c>
      <c r="E9" s="69" t="inlineStr">
        <is>
          <t>PC Hardware</t>
        </is>
      </c>
      <c r="F9" s="69" t="inlineStr">
        <is>
          <t>CCMC cybernet</t>
        </is>
      </c>
      <c r="G9" s="70" t="n">
        <v>1</v>
      </c>
      <c r="H9" s="69" t="inlineStr">
        <is>
          <t>WNH269OPR025</t>
        </is>
      </c>
      <c r="I9" s="69" t="inlineStr">
        <is>
          <t>MEDSG2425F-0170</t>
        </is>
      </c>
      <c r="J9" s="69" t="inlineStr">
        <is>
          <t>CCMC</t>
        </is>
      </c>
      <c r="K9" s="69" t="inlineStr">
        <is>
          <t>Redeployable</t>
        </is>
      </c>
      <c r="L9" s="69" t="inlineStr">
        <is>
          <t>Yes</t>
        </is>
      </c>
      <c r="M9" s="69" t="inlineStr">
        <is>
          <t>New</t>
        </is>
      </c>
      <c r="N9" s="69" t="inlineStr">
        <is>
          <t>Hold</t>
        </is>
      </c>
      <c r="Q9" s="69" t="inlineStr">
        <is>
          <t>Cybernets</t>
        </is>
      </c>
      <c r="R9" s="69" t="inlineStr">
        <is>
          <t>IN BOX W/ANOTHER CCMC CYB(026)</t>
        </is>
      </c>
    </row>
    <row r="10">
      <c r="A10" s="71" t="n">
        <v>46120</v>
      </c>
      <c r="B10" s="69" t="inlineStr">
        <is>
          <t>Cybernet</t>
        </is>
      </c>
      <c r="C10" s="69" t="inlineStr">
        <is>
          <t>CyberMed NB24/CyberMed S24</t>
        </is>
      </c>
      <c r="D10" s="69" t="inlineStr">
        <is>
          <t>MEDS24A-NH1410</t>
        </is>
      </c>
      <c r="E10" s="69" t="inlineStr">
        <is>
          <t>PC Hardware</t>
        </is>
      </c>
      <c r="F10" s="69" t="inlineStr">
        <is>
          <t>CCMC cybernet</t>
        </is>
      </c>
      <c r="G10" s="70" t="n">
        <v>1</v>
      </c>
      <c r="H10" s="69" t="inlineStr">
        <is>
          <t>WNH269OPR023</t>
        </is>
      </c>
      <c r="I10" s="69" t="inlineStr">
        <is>
          <t>MEDSG2425F-0264</t>
        </is>
      </c>
      <c r="J10" s="69" t="inlineStr">
        <is>
          <t>CCMC</t>
        </is>
      </c>
      <c r="K10" s="69" t="inlineStr">
        <is>
          <t>Redeployable</t>
        </is>
      </c>
      <c r="L10" s="69" t="inlineStr">
        <is>
          <t>No</t>
        </is>
      </c>
      <c r="M10" s="69" t="inlineStr">
        <is>
          <t>New</t>
        </is>
      </c>
      <c r="N10" s="69" t="inlineStr">
        <is>
          <t>Hold</t>
        </is>
      </c>
      <c r="Q10" s="69" t="inlineStr">
        <is>
          <t>Cybernets</t>
        </is>
      </c>
      <c r="R10" s="69" t="inlineStr">
        <is>
          <t>IN BOX W/ANOTHER CCMC CYB(013)</t>
        </is>
      </c>
    </row>
    <row r="11">
      <c r="A11" s="71" t="n">
        <v>46120</v>
      </c>
      <c r="B11" s="69" t="inlineStr">
        <is>
          <t>Cybernet</t>
        </is>
      </c>
      <c r="C11" s="69" t="inlineStr">
        <is>
          <t>CyberMed NB24/CyberMed S24</t>
        </is>
      </c>
      <c r="D11" s="69" t="inlineStr">
        <is>
          <t>MEDS24A-NH1410</t>
        </is>
      </c>
      <c r="E11" s="69" t="inlineStr">
        <is>
          <t>PC Hardware</t>
        </is>
      </c>
      <c r="F11" s="69" t="inlineStr">
        <is>
          <t>CCMC cybernet</t>
        </is>
      </c>
      <c r="G11" s="70" t="n">
        <v>1</v>
      </c>
      <c r="H11" s="69" t="inlineStr">
        <is>
          <t>WNH269OPR013</t>
        </is>
      </c>
      <c r="I11" s="69" t="inlineStr">
        <is>
          <t>MEDNG2425E-3155</t>
        </is>
      </c>
      <c r="J11" s="69" t="inlineStr">
        <is>
          <t>CCMC</t>
        </is>
      </c>
      <c r="K11" s="69" t="inlineStr">
        <is>
          <t>Assigned</t>
        </is>
      </c>
      <c r="L11" s="69" t="inlineStr">
        <is>
          <t>No</t>
        </is>
      </c>
      <c r="M11" s="69" t="inlineStr">
        <is>
          <t>New</t>
        </is>
      </c>
      <c r="N11" s="69" t="inlineStr">
        <is>
          <t>Redeploy</t>
        </is>
      </c>
      <c r="O11" s="69" t="inlineStr">
        <is>
          <t>LIJ</t>
        </is>
      </c>
      <c r="P11" s="69" t="inlineStr">
        <is>
          <t>WNH270OPR262</t>
        </is>
      </c>
      <c r="Q11" s="69" t="inlineStr">
        <is>
          <t>Cybernets</t>
        </is>
      </c>
      <c r="R11" s="69" t="inlineStr">
        <is>
          <t>IN BOX W/ANOTHER CCMC CYB(023)</t>
        </is>
      </c>
    </row>
    <row r="12">
      <c r="A12" s="71" t="n">
        <v>46120</v>
      </c>
      <c r="B12" s="69" t="inlineStr">
        <is>
          <t>Power Supply Mount</t>
        </is>
      </c>
      <c r="D12" s="69" t="inlineStr">
        <is>
          <t>WM-0024-03C</t>
        </is>
      </c>
      <c r="E12" s="69" t="inlineStr">
        <is>
          <t>Accessories</t>
        </is>
      </c>
      <c r="F12" s="69" t="inlineStr">
        <is>
          <t>mounting accessory for channel</t>
        </is>
      </c>
      <c r="G12" s="70" t="n">
        <v>19</v>
      </c>
      <c r="H12" s="69" t="inlineStr">
        <is>
          <t>N/A</t>
        </is>
      </c>
      <c r="I12" s="69" t="inlineStr">
        <is>
          <t>P316785-1-1</t>
        </is>
      </c>
      <c r="J12" s="69" t="inlineStr">
        <is>
          <t>N/A</t>
        </is>
      </c>
      <c r="K12" s="69" t="inlineStr">
        <is>
          <t>Redeployable</t>
        </is>
      </c>
      <c r="L12" s="69" t="inlineStr">
        <is>
          <t>N/A</t>
        </is>
      </c>
      <c r="M12" s="69" t="inlineStr">
        <is>
          <t>New</t>
        </is>
      </c>
      <c r="Q12" s="69" t="inlineStr">
        <is>
          <t>Peripherals &amp; Accessories</t>
        </is>
      </c>
      <c r="R12" s="69" t="inlineStr">
        <is>
          <t>also has extra straps</t>
        </is>
      </c>
    </row>
    <row r="13">
      <c r="A13" s="71" t="n">
        <v>46120</v>
      </c>
      <c r="B13" s="69" t="inlineStr">
        <is>
          <t>Breakawy Adapter</t>
        </is>
      </c>
      <c r="D13" s="69" t="inlineStr">
        <is>
          <t>BKA6ASD8INBL</t>
        </is>
      </c>
      <c r="E13" s="69" t="inlineStr">
        <is>
          <t>Accessories</t>
        </is>
      </c>
      <c r="F13" s="69" t="inlineStr">
        <is>
          <t>cat 6a 10gig utp 8", black</t>
        </is>
      </c>
      <c r="G13" s="70" t="n">
        <v>73</v>
      </c>
      <c r="H13" s="69" t="inlineStr">
        <is>
          <t>N/A</t>
        </is>
      </c>
      <c r="I13" s="73" t="n">
        <v>613056024045</v>
      </c>
      <c r="J13" s="69" t="inlineStr">
        <is>
          <t>N/A</t>
        </is>
      </c>
      <c r="K13" s="69" t="inlineStr">
        <is>
          <t>Redeployable</t>
        </is>
      </c>
      <c r="L13" s="69" t="inlineStr">
        <is>
          <t>N/A</t>
        </is>
      </c>
      <c r="M13" s="69" t="inlineStr">
        <is>
          <t>New</t>
        </is>
      </c>
      <c r="Q13" s="69" t="inlineStr">
        <is>
          <t>Peripherals &amp; Accessories</t>
        </is>
      </c>
    </row>
    <row r="14">
      <c r="A14" s="71" t="n">
        <v>46120</v>
      </c>
      <c r="B14" s="69" t="inlineStr">
        <is>
          <t>Badge Scanner</t>
        </is>
      </c>
      <c r="D14" s="69" t="inlineStr">
        <is>
          <t>HDW-IMP-60</t>
        </is>
      </c>
      <c r="E14" s="69" t="inlineStr">
        <is>
          <t>Accessories</t>
        </is>
      </c>
      <c r="F14" s="69" t="inlineStr">
        <is>
          <t>IMPRIVATA BADGE SCANNER</t>
        </is>
      </c>
      <c r="G14" s="70" t="n">
        <v>126</v>
      </c>
      <c r="H14" s="69" t="inlineStr">
        <is>
          <t>N/A</t>
        </is>
      </c>
      <c r="I14" s="69" t="inlineStr">
        <is>
          <t>VARIOUS</t>
        </is>
      </c>
      <c r="J14" s="69" t="inlineStr">
        <is>
          <t>N/A</t>
        </is>
      </c>
      <c r="K14" s="69" t="inlineStr">
        <is>
          <t>Redeployable</t>
        </is>
      </c>
      <c r="L14" s="69" t="inlineStr">
        <is>
          <t>N/A</t>
        </is>
      </c>
      <c r="M14" s="69" t="inlineStr">
        <is>
          <t>New</t>
        </is>
      </c>
      <c r="Q14" s="69" t="inlineStr">
        <is>
          <t>Peripherals &amp; Accessories</t>
        </is>
      </c>
    </row>
    <row r="15">
      <c r="A15" s="71" t="n">
        <v>46120</v>
      </c>
      <c r="B15" s="69" t="inlineStr">
        <is>
          <t>Hand Scanner(BOXED)</t>
        </is>
      </c>
      <c r="C15" s="69" t="inlineStr">
        <is>
          <t>Zebra</t>
        </is>
      </c>
      <c r="D15" s="69" t="inlineStr">
        <is>
          <t>1PDS8178-HCBU210MS5W</t>
        </is>
      </c>
      <c r="E15" s="69" t="inlineStr">
        <is>
          <t>Peripheral</t>
        </is>
      </c>
      <c r="F15" s="69" t="inlineStr">
        <is>
          <t>ZEBRA HAND SCANNER SET</t>
        </is>
      </c>
      <c r="G15" s="70" t="n">
        <v>6</v>
      </c>
      <c r="H15" s="69" t="inlineStr">
        <is>
          <t>N/A</t>
        </is>
      </c>
      <c r="I15" s="69" t="inlineStr">
        <is>
          <t>VARIOUS</t>
        </is>
      </c>
      <c r="J15" s="69" t="inlineStr">
        <is>
          <t>N/A</t>
        </is>
      </c>
      <c r="K15" s="69" t="inlineStr">
        <is>
          <t>Redeployable</t>
        </is>
      </c>
      <c r="L15" s="69" t="inlineStr">
        <is>
          <t>N/A</t>
        </is>
      </c>
      <c r="M15" s="69" t="inlineStr">
        <is>
          <t>New</t>
        </is>
      </c>
      <c r="Q15" s="69" t="inlineStr">
        <is>
          <t>Peripherals &amp; Accessories</t>
        </is>
      </c>
    </row>
    <row r="16">
      <c r="A16" s="71" t="n">
        <v>46120</v>
      </c>
      <c r="B16" s="69" t="inlineStr">
        <is>
          <t>Hand Scanner(UNBOXED)</t>
        </is>
      </c>
      <c r="C16" s="69" t="inlineStr">
        <is>
          <t>Zebra</t>
        </is>
      </c>
      <c r="D16" s="74" t="inlineStr">
        <is>
          <t>1PDS8178-HCMF00BVMWW</t>
        </is>
      </c>
      <c r="E16" s="69" t="inlineStr">
        <is>
          <t>Peripheral</t>
        </is>
      </c>
      <c r="F16" s="69" t="inlineStr">
        <is>
          <t>ZEBRA HAND SCANNER W/BATTERY</t>
        </is>
      </c>
      <c r="G16" s="70" t="n">
        <v>18</v>
      </c>
      <c r="H16" s="69" t="inlineStr">
        <is>
          <t>N/A</t>
        </is>
      </c>
      <c r="I16" s="69" t="inlineStr">
        <is>
          <t>S25195010550721</t>
        </is>
      </c>
      <c r="J16" s="69" t="inlineStr">
        <is>
          <t>N/A</t>
        </is>
      </c>
      <c r="K16" s="69" t="inlineStr">
        <is>
          <t>Redeployable</t>
        </is>
      </c>
      <c r="M16" s="69" t="inlineStr">
        <is>
          <t>New</t>
        </is>
      </c>
      <c r="Q16" s="69" t="inlineStr">
        <is>
          <t>Peripherals &amp; Accessories</t>
        </is>
      </c>
    </row>
    <row r="17">
      <c r="A17" s="71" t="n">
        <v>46120</v>
      </c>
      <c r="B17" s="69" t="inlineStr">
        <is>
          <t>Hand Scanner(UNBOXED)</t>
        </is>
      </c>
      <c r="C17" s="69" t="inlineStr">
        <is>
          <t>Zebra</t>
        </is>
      </c>
      <c r="D17" s="69" t="inlineStr">
        <is>
          <t>1PCR8178-SC100FBWW</t>
        </is>
      </c>
      <c r="E17" s="69" t="inlineStr">
        <is>
          <t>Peripheral</t>
        </is>
      </c>
      <c r="F17" s="69" t="inlineStr">
        <is>
          <t>STANDARD CRADLE ZBR</t>
        </is>
      </c>
      <c r="G17" s="70" t="n">
        <v>19</v>
      </c>
      <c r="H17" s="69" t="inlineStr">
        <is>
          <t>N/A</t>
        </is>
      </c>
      <c r="I17" s="69" t="inlineStr">
        <is>
          <t>S25057010556612</t>
        </is>
      </c>
      <c r="J17" s="69" t="inlineStr">
        <is>
          <t>N/A</t>
        </is>
      </c>
      <c r="K17" s="69" t="inlineStr">
        <is>
          <t>Redeployable</t>
        </is>
      </c>
      <c r="Q17" s="69" t="inlineStr">
        <is>
          <t>Peripherals &amp; Accessories</t>
        </is>
      </c>
    </row>
    <row r="18">
      <c r="A18" s="71" t="n">
        <v>46120</v>
      </c>
      <c r="B18" s="69" t="inlineStr">
        <is>
          <t>Hand Scanner(UNBOXED)</t>
        </is>
      </c>
      <c r="C18" s="69" t="inlineStr">
        <is>
          <t>Zebra</t>
        </is>
      </c>
      <c r="D18" s="69" t="inlineStr">
        <is>
          <t>1PCBA-U21-S07ZBR</t>
        </is>
      </c>
      <c r="E18" s="69" t="inlineStr">
        <is>
          <t>Peripheral</t>
        </is>
      </c>
      <c r="F18" s="69" t="inlineStr">
        <is>
          <t>SHIELDED USB FOR ZBR HAND SCANNER</t>
        </is>
      </c>
      <c r="G18" s="70" t="n">
        <v>17</v>
      </c>
      <c r="H18" s="69" t="inlineStr">
        <is>
          <t>N/A</t>
        </is>
      </c>
      <c r="I18" s="69" t="inlineStr">
        <is>
          <t>N/A</t>
        </is>
      </c>
      <c r="J18" s="69" t="inlineStr">
        <is>
          <t>N/A</t>
        </is>
      </c>
      <c r="K18" s="69" t="inlineStr">
        <is>
          <t>Redeployable</t>
        </is>
      </c>
      <c r="Q18" s="69" t="inlineStr">
        <is>
          <t>Peripherals &amp; Accessories</t>
        </is>
      </c>
    </row>
    <row r="19">
      <c r="A19" s="71" t="n">
        <v>46121</v>
      </c>
      <c r="B19" s="69" t="inlineStr">
        <is>
          <t>Wired Mouse</t>
        </is>
      </c>
      <c r="C19" s="69" t="inlineStr">
        <is>
          <t>Seal Storm Waterproof Mouse, USB</t>
        </is>
      </c>
      <c r="D19" s="69" t="inlineStr">
        <is>
          <t>STWM042</t>
        </is>
      </c>
      <c r="E19" s="69" t="inlineStr">
        <is>
          <t>Peripheral</t>
        </is>
      </c>
      <c r="F19" s="69" t="inlineStr">
        <is>
          <t>SEAL SHIELD USB MOUSE</t>
        </is>
      </c>
      <c r="G19" s="70" t="n">
        <v>28</v>
      </c>
      <c r="H19" s="69" t="n"/>
      <c r="K19" s="69" t="inlineStr">
        <is>
          <t>Redeployable</t>
        </is>
      </c>
      <c r="M19" s="69" t="inlineStr">
        <is>
          <t>New</t>
        </is>
      </c>
      <c r="Q19" s="69" t="inlineStr">
        <is>
          <t>Peripherals &amp; Accessories</t>
        </is>
      </c>
    </row>
    <row r="20">
      <c r="A20" s="71" t="n">
        <v>46121</v>
      </c>
      <c r="B20" s="69" t="inlineStr">
        <is>
          <t>Wired Keyboard</t>
        </is>
      </c>
      <c r="C20" s="69" t="inlineStr">
        <is>
          <t>Seal Glow Silicone Backlit keyboard</t>
        </is>
      </c>
      <c r="D20" s="69" t="inlineStr">
        <is>
          <t>SW106G2 R2</t>
        </is>
      </c>
      <c r="E20" s="69" t="inlineStr">
        <is>
          <t>Peripheral</t>
        </is>
      </c>
      <c r="F20" s="69" t="inlineStr">
        <is>
          <t>SEAL SHIELD KEYBOARD WASHABLE</t>
        </is>
      </c>
      <c r="G20" s="70" t="n">
        <v>12</v>
      </c>
      <c r="H20" s="69" t="n"/>
      <c r="K20" s="69" t="inlineStr">
        <is>
          <t>Redeployable</t>
        </is>
      </c>
      <c r="M20" s="69" t="inlineStr">
        <is>
          <t>New</t>
        </is>
      </c>
      <c r="Q20" s="69" t="inlineStr">
        <is>
          <t>Peripherals &amp; Accessories</t>
        </is>
      </c>
    </row>
    <row r="21">
      <c r="A21" s="71" t="n">
        <v>46121</v>
      </c>
      <c r="B21" s="69" t="inlineStr">
        <is>
          <t>Ethernet</t>
        </is>
      </c>
      <c r="D21" s="69" t="inlineStr">
        <is>
          <t>N6PATCH25BK</t>
        </is>
      </c>
      <c r="E21" s="69" t="inlineStr">
        <is>
          <t>Accessories</t>
        </is>
      </c>
      <c r="F21" s="69" t="inlineStr">
        <is>
          <t>25FT CABLE</t>
        </is>
      </c>
      <c r="G21" s="70" t="n">
        <v>7</v>
      </c>
      <c r="H21" s="69" t="n"/>
      <c r="K21" s="69" t="inlineStr">
        <is>
          <t>Redeployable</t>
        </is>
      </c>
      <c r="M21" s="69" t="inlineStr">
        <is>
          <t>New</t>
        </is>
      </c>
      <c r="Q21" s="69" t="inlineStr">
        <is>
          <t>Peripherals &amp; Accessories</t>
        </is>
      </c>
    </row>
    <row r="22">
      <c r="A22" s="71" t="n">
        <v>46121</v>
      </c>
      <c r="B22" s="69" t="inlineStr">
        <is>
          <t>DIMS</t>
        </is>
      </c>
      <c r="D22" s="69" t="inlineStr">
        <is>
          <t>SL-DIM-HW</t>
        </is>
      </c>
      <c r="E22" s="69" t="inlineStr">
        <is>
          <t>Accessories</t>
        </is>
      </c>
      <c r="F22" s="69" t="inlineStr">
        <is>
          <t>Capsule DIMM</t>
        </is>
      </c>
      <c r="G22" s="70" t="n">
        <v>25</v>
      </c>
      <c r="H22" s="69" t="n"/>
      <c r="K22" s="69" t="inlineStr">
        <is>
          <t>Redeployable</t>
        </is>
      </c>
      <c r="M22" s="69" t="inlineStr">
        <is>
          <t>New</t>
        </is>
      </c>
      <c r="Q22" s="69" t="inlineStr">
        <is>
          <t>Peripherals &amp; Accessories</t>
        </is>
      </c>
    </row>
    <row r="23">
      <c r="A23" s="71" t="n">
        <v>46121</v>
      </c>
      <c r="B23" s="69" t="inlineStr">
        <is>
          <t>Patch Cable(grey)</t>
        </is>
      </c>
      <c r="D23" s="69" t="inlineStr">
        <is>
          <t>OEM-175792-10</t>
        </is>
      </c>
      <c r="E23" s="69" t="inlineStr">
        <is>
          <t>Accessories</t>
        </is>
      </c>
      <c r="F23" s="69" t="inlineStr">
        <is>
          <t>cable to connect nerons to device carts etc</t>
        </is>
      </c>
      <c r="G23" s="70" t="n">
        <v>39</v>
      </c>
      <c r="H23" s="69" t="n"/>
      <c r="K23" s="69" t="inlineStr">
        <is>
          <t>Redeployable</t>
        </is>
      </c>
      <c r="Q23" s="69" t="inlineStr">
        <is>
          <t>Peripherals &amp; Accessories</t>
        </is>
      </c>
    </row>
    <row r="24">
      <c r="A24" s="71" t="n">
        <v>46121</v>
      </c>
      <c r="B24" s="69" t="inlineStr">
        <is>
          <t>Cybernet Stylus</t>
        </is>
      </c>
      <c r="E24" s="69" t="inlineStr">
        <is>
          <t>Accessories</t>
        </is>
      </c>
      <c r="F24" s="69" t="inlineStr">
        <is>
          <t>Pen for cybernet screen</t>
        </is>
      </c>
      <c r="G24" s="70" t="n">
        <v>6</v>
      </c>
      <c r="H24" s="69" t="n"/>
      <c r="K24" s="69" t="inlineStr">
        <is>
          <t>Redeployable</t>
        </is>
      </c>
    </row>
    <row r="25">
      <c r="A25" s="71" t="n">
        <v>46121</v>
      </c>
      <c r="B25" s="69" t="inlineStr">
        <is>
          <t>Cybernet Arms</t>
        </is>
      </c>
      <c r="C25" s="69" t="inlineStr">
        <is>
          <t>GCX</t>
        </is>
      </c>
      <c r="D25" s="69" t="inlineStr">
        <is>
          <t>FLP-0008-45D</t>
        </is>
      </c>
      <c r="E25" s="69" t="inlineStr">
        <is>
          <t>Arms</t>
        </is>
      </c>
      <c r="F25" s="69" t="inlineStr">
        <is>
          <t>Keyboard Arm (I Think)</t>
        </is>
      </c>
      <c r="G25" s="70" t="n">
        <v>6</v>
      </c>
      <c r="H25" s="69" t="n"/>
      <c r="K25" s="69" t="inlineStr">
        <is>
          <t>Needs Verification</t>
        </is>
      </c>
      <c r="M25" s="69" t="inlineStr">
        <is>
          <t>New</t>
        </is>
      </c>
      <c r="N25" s="69" t="inlineStr">
        <is>
          <t>Verify</t>
        </is>
      </c>
    </row>
    <row r="26">
      <c r="A26" s="71" t="n">
        <v>46121</v>
      </c>
      <c r="B26" s="69" t="inlineStr">
        <is>
          <t>Cybernet Arms</t>
        </is>
      </c>
      <c r="C26" s="69" t="inlineStr">
        <is>
          <t>GCX</t>
        </is>
      </c>
      <c r="D26" s="69" t="inlineStr">
        <is>
          <t>wm-0023-56b</t>
        </is>
      </c>
      <c r="E26" s="69" t="inlineStr">
        <is>
          <t>Arms</t>
        </is>
      </c>
      <c r="F26" s="69" t="inlineStr">
        <is>
          <t>Keyboard tray</t>
        </is>
      </c>
      <c r="G26" s="70" t="n">
        <v>16</v>
      </c>
      <c r="H26" s="69" t="n"/>
      <c r="K26" s="69" t="inlineStr">
        <is>
          <t>Needs Verification</t>
        </is>
      </c>
      <c r="M26" s="69" t="inlineStr">
        <is>
          <t>New</t>
        </is>
      </c>
      <c r="N26" s="69" t="inlineStr">
        <is>
          <t>Verify</t>
        </is>
      </c>
    </row>
    <row r="27">
      <c r="A27" s="71" t="n">
        <v>46121</v>
      </c>
      <c r="B27" s="69" t="inlineStr">
        <is>
          <t>Cybernet Arms</t>
        </is>
      </c>
      <c r="C27" s="69" t="inlineStr">
        <is>
          <t>GCX</t>
        </is>
      </c>
      <c r="D27" s="69" t="inlineStr">
        <is>
          <t>ws-0008-02</t>
        </is>
      </c>
      <c r="E27" s="69" t="inlineStr">
        <is>
          <t>Arms</t>
        </is>
      </c>
      <c r="F27" s="69" t="inlineStr">
        <is>
          <t>Cybernet Arm Mount</t>
        </is>
      </c>
      <c r="G27" s="70" t="n">
        <v>2</v>
      </c>
      <c r="H27" s="69" t="n"/>
      <c r="K27" s="69" t="inlineStr">
        <is>
          <t>Needs Verification</t>
        </is>
      </c>
      <c r="M27" s="69" t="inlineStr">
        <is>
          <t>New</t>
        </is>
      </c>
      <c r="N27" s="69" t="inlineStr">
        <is>
          <t>Verify</t>
        </is>
      </c>
    </row>
    <row r="28">
      <c r="A28" s="71" t="n">
        <v>46121</v>
      </c>
      <c r="B28" s="69" t="inlineStr">
        <is>
          <t>Cybernet Arms</t>
        </is>
      </c>
      <c r="C28" s="69" t="inlineStr">
        <is>
          <t>GCX</t>
        </is>
      </c>
      <c r="D28" s="69" t="inlineStr">
        <is>
          <t>ws-0008-07</t>
        </is>
      </c>
      <c r="E28" s="69" t="inlineStr">
        <is>
          <t>Arms</t>
        </is>
      </c>
      <c r="F28" s="69" t="inlineStr">
        <is>
          <t>Cybernet Arm Mount</t>
        </is>
      </c>
      <c r="G28" s="70" t="n">
        <v>2</v>
      </c>
      <c r="H28" s="69" t="n"/>
      <c r="K28" s="69" t="inlineStr">
        <is>
          <t>Needs Verification</t>
        </is>
      </c>
      <c r="M28" s="69" t="inlineStr">
        <is>
          <t>New</t>
        </is>
      </c>
      <c r="N28" s="69" t="inlineStr">
        <is>
          <t>Verify</t>
        </is>
      </c>
    </row>
    <row r="29">
      <c r="A29" s="71" t="n">
        <v>46121</v>
      </c>
      <c r="B29" s="69" t="inlineStr">
        <is>
          <t>New Right-Side Channel</t>
        </is>
      </c>
      <c r="D29" s="69" t="inlineStr">
        <is>
          <t>DR-0015-79</t>
        </is>
      </c>
      <c r="E29" s="69" t="inlineStr">
        <is>
          <t>Channel</t>
        </is>
      </c>
      <c r="F29" s="69" t="inlineStr">
        <is>
          <t>Channel for right side / Track of drager apollo/primus</t>
        </is>
      </c>
      <c r="G29" s="70" t="n">
        <v>16</v>
      </c>
      <c r="H29" s="69" t="n"/>
      <c r="I29" s="69" t="inlineStr">
        <is>
          <t>DR-0015-79</t>
        </is>
      </c>
      <c r="K29" s="69" t="inlineStr">
        <is>
          <t>Identified</t>
        </is>
      </c>
      <c r="M29" s="69" t="inlineStr">
        <is>
          <t>New</t>
        </is>
      </c>
      <c r="N29" s="69" t="inlineStr">
        <is>
          <t>Verify</t>
        </is>
      </c>
    </row>
    <row r="30">
      <c r="A30" s="71" t="n">
        <v>46121</v>
      </c>
      <c r="B30" s="69" t="inlineStr">
        <is>
          <t>Old Monitors</t>
        </is>
      </c>
      <c r="C30" s="69" t="inlineStr">
        <is>
          <t>Elo TS LCD 24in</t>
        </is>
      </c>
      <c r="D30" s="69" t="inlineStr">
        <is>
          <t>e330019</t>
        </is>
      </c>
      <c r="E30" s="69" t="inlineStr">
        <is>
          <t>Monitors</t>
        </is>
      </c>
      <c r="F30" s="69" t="inlineStr">
        <is>
          <t>ELO Touch Monitors 24ins</t>
        </is>
      </c>
      <c r="G30" s="70" t="n">
        <v>7</v>
      </c>
      <c r="H30" s="69" t="n"/>
      <c r="K30" s="69" t="inlineStr">
        <is>
          <t>Hold</t>
        </is>
      </c>
      <c r="M30" s="69" t="inlineStr">
        <is>
          <t>Fair</t>
        </is>
      </c>
      <c r="N30" s="69" t="inlineStr">
        <is>
          <t>Hold</t>
        </is>
      </c>
      <c r="Q30" s="69" t="inlineStr">
        <is>
          <t>Near old/used peripherals &amp; accessories</t>
        </is>
      </c>
      <c r="R30" s="69" t="inlineStr">
        <is>
          <t>Updated count and descriptions 4/13</t>
        </is>
      </c>
    </row>
    <row r="31">
      <c r="A31" s="71" t="n">
        <v>46121</v>
      </c>
      <c r="B31" s="69" t="inlineStr">
        <is>
          <t>Neuron Arms</t>
        </is>
      </c>
      <c r="C31" s="69" t="inlineStr">
        <is>
          <t>GCX</t>
        </is>
      </c>
      <c r="D31" s="69" t="inlineStr">
        <is>
          <t>WMM-0001-04</t>
        </is>
      </c>
      <c r="E31" s="69" t="inlineStr">
        <is>
          <t>Arms</t>
        </is>
      </c>
      <c r="F31" s="69" t="inlineStr">
        <is>
          <t>M SERIES MAX 30LB/14KG GCX ARMS</t>
        </is>
      </c>
      <c r="G31" s="70" t="n">
        <v>10</v>
      </c>
      <c r="H31" s="69" t="n"/>
      <c r="K31" s="69" t="inlineStr">
        <is>
          <t>Hold</t>
        </is>
      </c>
      <c r="M31" s="69" t="inlineStr">
        <is>
          <t>Good</t>
        </is>
      </c>
      <c r="N31" s="69" t="inlineStr">
        <is>
          <t>Hold</t>
        </is>
      </c>
    </row>
    <row r="32">
      <c r="A32" s="71" t="n">
        <v>46125</v>
      </c>
      <c r="B32" s="69" t="inlineStr">
        <is>
          <t>Old Monitors</t>
        </is>
      </c>
      <c r="C32" s="69" t="inlineStr">
        <is>
          <t>Planar 24in</t>
        </is>
      </c>
      <c r="D32" s="69" t="inlineStr">
        <is>
          <t>N/A</t>
        </is>
      </c>
      <c r="E32" s="69" t="inlineStr">
        <is>
          <t>Monitors</t>
        </is>
      </c>
      <c r="F32" s="69" t="inlineStr">
        <is>
          <t>24in screen w/0 ac charger or stand</t>
        </is>
      </c>
      <c r="G32" s="70" t="n">
        <v>5</v>
      </c>
      <c r="H32" s="69" t="n"/>
      <c r="I32" s="69" t="inlineStr">
        <is>
          <t>various</t>
        </is>
      </c>
      <c r="K32" s="69" t="inlineStr">
        <is>
          <t>Hold</t>
        </is>
      </c>
      <c r="M32" s="69" t="inlineStr">
        <is>
          <t>Fair</t>
        </is>
      </c>
      <c r="N32" s="69" t="inlineStr">
        <is>
          <t>Hold</t>
        </is>
      </c>
      <c r="Q32" s="69" t="inlineStr">
        <is>
          <t>Near old/used peripherals &amp; accessories</t>
        </is>
      </c>
    </row>
    <row r="33">
      <c r="A33" s="71" t="n">
        <v>46125</v>
      </c>
      <c r="B33" s="69" t="inlineStr">
        <is>
          <t>Old Monitors</t>
        </is>
      </c>
      <c r="C33" s="69" t="inlineStr">
        <is>
          <t>Thinkvision 24in</t>
        </is>
      </c>
      <c r="D33" s="69" t="inlineStr">
        <is>
          <t>A22238FT0</t>
        </is>
      </c>
      <c r="E33" s="69" t="inlineStr">
        <is>
          <t>Monitors</t>
        </is>
      </c>
      <c r="F33" s="69" t="inlineStr">
        <is>
          <t>24in thinkvisions w/o stand or ac cable</t>
        </is>
      </c>
      <c r="G33" s="70" t="n">
        <v>4</v>
      </c>
      <c r="H33" s="69" t="n"/>
      <c r="I33" s="69" t="inlineStr">
        <is>
          <t>various</t>
        </is>
      </c>
      <c r="K33" s="69" t="inlineStr">
        <is>
          <t>Hold</t>
        </is>
      </c>
      <c r="M33" s="69" t="inlineStr">
        <is>
          <t>Good</t>
        </is>
      </c>
      <c r="N33" s="69" t="inlineStr">
        <is>
          <t>Hold</t>
        </is>
      </c>
      <c r="Q33" s="69" t="inlineStr">
        <is>
          <t>Near old/used peripherals &amp; accessories</t>
        </is>
      </c>
    </row>
    <row r="34">
      <c r="A34" s="71" t="n">
        <v>46125</v>
      </c>
      <c r="B34" s="69" t="inlineStr">
        <is>
          <t>Cybernet Tray Arm</t>
        </is>
      </c>
      <c r="C34" s="69" t="inlineStr">
        <is>
          <t>GCX</t>
        </is>
      </c>
      <c r="D34" s="69" t="inlineStr">
        <is>
          <t>n/a</t>
        </is>
      </c>
      <c r="E34" s="69" t="inlineStr">
        <is>
          <t>Tray arms</t>
        </is>
      </c>
      <c r="F34" s="69" t="inlineStr">
        <is>
          <t>combination of tray arms and trays with cybernet holding attachments</t>
        </is>
      </c>
      <c r="G34" s="70" t="inlineStr">
        <is>
          <t>40+</t>
        </is>
      </c>
      <c r="H34" s="69" t="inlineStr">
        <is>
          <t>N/A</t>
        </is>
      </c>
      <c r="I34" s="69" t="inlineStr">
        <is>
          <t>N/A</t>
        </is>
      </c>
      <c r="J34" s="69" t="inlineStr">
        <is>
          <t>N/A</t>
        </is>
      </c>
      <c r="K34" s="69" t="inlineStr">
        <is>
          <t>Scrap</t>
        </is>
      </c>
      <c r="M34" s="69" t="inlineStr">
        <is>
          <t>Old</t>
        </is>
      </c>
      <c r="N34" s="69" t="inlineStr">
        <is>
          <t>Dispose</t>
        </is>
      </c>
      <c r="Q34" s="69" t="inlineStr">
        <is>
          <t>Tray area</t>
        </is>
      </c>
    </row>
    <row r="35">
      <c r="A35" s="71" t="n">
        <v>46125</v>
      </c>
      <c r="B35" s="69" t="inlineStr">
        <is>
          <t>PC Mounting Accessory</t>
        </is>
      </c>
      <c r="C35" s="69" t="inlineStr">
        <is>
          <t>GCX</t>
        </is>
      </c>
      <c r="D35" s="69" t="inlineStr">
        <is>
          <t>n/a</t>
        </is>
      </c>
      <c r="E35" s="69" t="inlineStr">
        <is>
          <t>PC Mounting acc</t>
        </is>
      </c>
      <c r="F35" s="69" t="inlineStr">
        <is>
          <t>holds desktop PC and attached to wall, usually</t>
        </is>
      </c>
      <c r="G35" s="70" t="inlineStr">
        <is>
          <t>30+</t>
        </is>
      </c>
      <c r="H35" s="69" t="inlineStr">
        <is>
          <t>N/A</t>
        </is>
      </c>
      <c r="I35" s="69" t="inlineStr">
        <is>
          <t>N/A</t>
        </is>
      </c>
      <c r="J35" s="69" t="inlineStr">
        <is>
          <t>N/A</t>
        </is>
      </c>
      <c r="K35" s="69" t="inlineStr">
        <is>
          <t>Scrap</t>
        </is>
      </c>
      <c r="M35" s="69" t="inlineStr">
        <is>
          <t>Old</t>
        </is>
      </c>
      <c r="N35" s="69" t="inlineStr">
        <is>
          <t>Dispose</t>
        </is>
      </c>
      <c r="Q35" s="69" t="inlineStr">
        <is>
          <t>Near old/used peripherals &amp; accessories / in various degrees of assembly</t>
        </is>
      </c>
    </row>
    <row r="36">
      <c r="A36" s="71" t="n">
        <v>46125</v>
      </c>
      <c r="B36" s="69" t="inlineStr">
        <is>
          <t>Old Arms</t>
        </is>
      </c>
      <c r="C36" s="69" t="inlineStr">
        <is>
          <t>GCX</t>
        </is>
      </c>
      <c r="D36" s="69" t="inlineStr">
        <is>
          <t>n/a</t>
        </is>
      </c>
      <c r="E36" s="69" t="inlineStr">
        <is>
          <t>Older model arms</t>
        </is>
      </c>
      <c r="F36" s="69" t="inlineStr">
        <is>
          <t>Possible arms for neurons</t>
        </is>
      </c>
      <c r="G36" s="70" t="inlineStr">
        <is>
          <t>20+</t>
        </is>
      </c>
      <c r="H36" s="69" t="inlineStr">
        <is>
          <t>N/A</t>
        </is>
      </c>
      <c r="I36" s="69" t="inlineStr">
        <is>
          <t>N/A</t>
        </is>
      </c>
      <c r="J36" s="69" t="inlineStr">
        <is>
          <t>N/A</t>
        </is>
      </c>
      <c r="K36" s="69" t="inlineStr">
        <is>
          <t>Scrap</t>
        </is>
      </c>
      <c r="M36" s="69" t="inlineStr">
        <is>
          <t>Old</t>
        </is>
      </c>
      <c r="N36" s="69" t="inlineStr">
        <is>
          <t>Dispose</t>
        </is>
      </c>
      <c r="Q36" s="69" t="inlineStr">
        <is>
          <t>Near old/use periphs and acc.</t>
        </is>
      </c>
      <c r="R36" s="69" t="inlineStr">
        <is>
          <t>previously used arms, older model.  includes parts accessories in bags next to boxes</t>
        </is>
      </c>
    </row>
    <row r="37">
      <c r="A37" s="71" t="n"/>
      <c r="B37" s="69" t="inlineStr">
        <is>
          <t>Mounting Bracket</t>
        </is>
      </c>
      <c r="C37" s="69" t="inlineStr">
        <is>
          <t>GCX</t>
        </is>
      </c>
      <c r="D37" s="69" t="inlineStr">
        <is>
          <t>n/a</t>
        </is>
      </c>
      <c r="E37" s="69" t="inlineStr">
        <is>
          <t>Channel extender</t>
        </is>
      </c>
      <c r="F37" s="69" t="inlineStr">
        <is>
          <t>act as middle connectors for arms or devices</t>
        </is>
      </c>
      <c r="G37" s="70" t="inlineStr">
        <is>
          <t>30+</t>
        </is>
      </c>
      <c r="H37" s="69" t="inlineStr">
        <is>
          <t>N/A</t>
        </is>
      </c>
      <c r="I37" s="69" t="inlineStr">
        <is>
          <t>N/A</t>
        </is>
      </c>
      <c r="J37" s="69" t="inlineStr">
        <is>
          <t>N/A</t>
        </is>
      </c>
      <c r="K37" s="69" t="inlineStr">
        <is>
          <t>Hold</t>
        </is>
      </c>
      <c r="M37" s="69" t="inlineStr">
        <is>
          <t>Fair</t>
        </is>
      </c>
      <c r="N37" s="69" t="inlineStr">
        <is>
          <t>Hold</t>
        </is>
      </c>
      <c r="Q37" s="69" t="inlineStr">
        <is>
          <t>Near Tray area</t>
        </is>
      </c>
      <c r="R37" s="69" t="inlineStr">
        <is>
          <t>in box on crate</t>
        </is>
      </c>
    </row>
    <row r="38">
      <c r="A38" s="71" t="n">
        <v>46132</v>
      </c>
      <c r="B38" s="69" t="inlineStr">
        <is>
          <t>Desk Stand / Mount</t>
        </is>
      </c>
      <c r="C38" s="69" t="inlineStr">
        <is>
          <t>VESA</t>
        </is>
      </c>
      <c r="D38" s="69" t="inlineStr">
        <is>
          <t>FLP-0008-02E</t>
        </is>
      </c>
      <c r="E38" s="69" t="inlineStr">
        <is>
          <t>Cybernet Mounts</t>
        </is>
      </c>
      <c r="F38" s="69" t="inlineStr">
        <is>
          <t>Usually deployed in reading and control rooms and connected to peripheral monitors</t>
        </is>
      </c>
      <c r="G38" s="70" t="n">
        <v>3</v>
      </c>
      <c r="H38" s="69" t="inlineStr">
        <is>
          <t>N/A</t>
        </is>
      </c>
      <c r="I38" s="69" t="inlineStr">
        <is>
          <t>N/A</t>
        </is>
      </c>
      <c r="J38" s="69" t="inlineStr">
        <is>
          <t>N/A</t>
        </is>
      </c>
      <c r="K38" s="69" t="inlineStr">
        <is>
          <t>Redeployable</t>
        </is>
      </c>
      <c r="M38" s="69" t="inlineStr">
        <is>
          <t>New</t>
        </is>
      </c>
      <c r="N38" s="69" t="inlineStr">
        <is>
          <t>Redeploy</t>
        </is>
      </c>
      <c r="P38" s="69" t="inlineStr">
        <is>
          <t>n/a</t>
        </is>
      </c>
    </row>
    <row r="39">
      <c r="A39" s="71" t="n">
        <v>46132</v>
      </c>
      <c r="B39" s="69" t="inlineStr">
        <is>
          <t>Wired Keyboard</t>
        </is>
      </c>
      <c r="C39" s="69" t="inlineStr">
        <is>
          <t>Seal Shield</t>
        </is>
      </c>
      <c r="D39" s="69" t="inlineStr">
        <is>
          <t>SW106G2M</t>
        </is>
      </c>
      <c r="E39" s="69" t="inlineStr">
        <is>
          <t>Keyboards</t>
        </is>
      </c>
      <c r="F39" s="69" t="inlineStr">
        <is>
          <t>Waterproof keyboard with magnetic backing / no velcro required</t>
        </is>
      </c>
      <c r="G39" s="70" t="n">
        <v>142</v>
      </c>
      <c r="H39" s="69" t="inlineStr">
        <is>
          <t>N/A</t>
        </is>
      </c>
      <c r="I39" s="69" t="inlineStr">
        <is>
          <t>N/A</t>
        </is>
      </c>
      <c r="J39" s="69" t="inlineStr">
        <is>
          <t>N/A</t>
        </is>
      </c>
      <c r="K39" s="69" t="inlineStr">
        <is>
          <t>Identified</t>
        </is>
      </c>
      <c r="M39" s="69" t="inlineStr">
        <is>
          <t>New</t>
        </is>
      </c>
      <c r="N39" s="69" t="inlineStr">
        <is>
          <t>Hold</t>
        </is>
      </c>
    </row>
    <row r="40">
      <c r="A40" s="71" t="n">
        <v>46132</v>
      </c>
      <c r="B40" s="69" t="inlineStr">
        <is>
          <t>Wired Mouse</t>
        </is>
      </c>
      <c r="C40" s="69" t="inlineStr">
        <is>
          <t>Seal Storm Waterproof Mouse, USB</t>
        </is>
      </c>
      <c r="E40" s="69" t="inlineStr">
        <is>
          <t>Mouse</t>
        </is>
      </c>
      <c r="F40" s="69" t="n"/>
      <c r="G40" s="70" t="n">
        <v>89</v>
      </c>
      <c r="H40" s="69" t="inlineStr">
        <is>
          <t>N/A</t>
        </is>
      </c>
      <c r="I40" s="69" t="inlineStr">
        <is>
          <t>N/A</t>
        </is>
      </c>
      <c r="J40" s="69" t="inlineStr">
        <is>
          <t>N/A</t>
        </is>
      </c>
      <c r="K40" s="69" t="inlineStr">
        <is>
          <t>Identified</t>
        </is>
      </c>
      <c r="M40" s="69" t="inlineStr">
        <is>
          <t>New</t>
        </is>
      </c>
      <c r="N40" s="69" t="inlineStr">
        <is>
          <t>Hold</t>
        </is>
      </c>
    </row>
    <row r="41">
      <c r="A41" s="71" t="n">
        <v>46132</v>
      </c>
      <c r="B41" s="69" t="inlineStr">
        <is>
          <t>Power Supply</t>
        </is>
      </c>
      <c r="C41" s="69" t="inlineStr">
        <is>
          <t>King Cord</t>
        </is>
      </c>
      <c r="D41" s="69" t="inlineStr">
        <is>
          <t>Neuron medical-grade power cables</t>
        </is>
      </c>
      <c r="E41" s="69" t="inlineStr">
        <is>
          <t>Power Cables</t>
        </is>
      </c>
      <c r="F41" s="69" t="inlineStr">
        <is>
          <t>For Neurons</t>
        </is>
      </c>
      <c r="G41" s="70" t="n">
        <v>9</v>
      </c>
      <c r="H41" s="69" t="inlineStr">
        <is>
          <t>N/A</t>
        </is>
      </c>
      <c r="I41" s="69" t="inlineStr">
        <is>
          <t>N/A</t>
        </is>
      </c>
      <c r="J41" s="69" t="inlineStr">
        <is>
          <t>N/A</t>
        </is>
      </c>
      <c r="K41" s="69" t="inlineStr">
        <is>
          <t>Redeployable</t>
        </is>
      </c>
      <c r="M41" s="69" t="inlineStr">
        <is>
          <t>New</t>
        </is>
      </c>
      <c r="N41" s="69" t="inlineStr">
        <is>
          <t>Redeploy</t>
        </is>
      </c>
      <c r="R41" s="69" t="inlineStr">
        <is>
          <t>1 may be old</t>
        </is>
      </c>
    </row>
    <row r="42">
      <c r="A42" s="71" t="n">
        <v>46132</v>
      </c>
      <c r="B42" s="69" t="inlineStr">
        <is>
          <t>Special Cables</t>
        </is>
      </c>
      <c r="D42" s="69" t="inlineStr">
        <is>
          <t>add 2 833-09 / 9-pin monitor cables</t>
        </is>
      </c>
      <c r="E42" s="69" t="inlineStr">
        <is>
          <t>Special Cable</t>
        </is>
      </c>
      <c r="F42" s="69" t="inlineStr">
        <is>
          <t>Often uses with the GE Machines and the Canvas 1000 Monitors / Sandberg serial-to-usb</t>
        </is>
      </c>
      <c r="G42" s="70" t="n">
        <v>2</v>
      </c>
      <c r="H42" s="69" t="n"/>
    </row>
    <row r="43">
      <c r="A43" s="71" t="n">
        <v>46132</v>
      </c>
      <c r="B43" s="69" t="inlineStr">
        <is>
          <t>Patch Cable (grey)</t>
        </is>
      </c>
      <c r="D43" s="69" t="inlineStr">
        <is>
          <t>add 2 grey ethernet cables</t>
        </is>
      </c>
      <c r="F43" s="69" t="n"/>
      <c r="G43" s="70" t="n">
        <v>2</v>
      </c>
      <c r="H43" s="69" t="n"/>
    </row>
    <row r="44">
      <c r="A44" s="71" t="n">
        <v>46132</v>
      </c>
      <c r="B44" s="69" t="inlineStr">
        <is>
          <t>Special Cables</t>
        </is>
      </c>
      <c r="D44" s="69" t="inlineStr">
        <is>
          <t>add 2 spec990015</t>
        </is>
      </c>
      <c r="F44" s="69" t="n"/>
      <c r="G44" s="70" t="n">
        <v>2</v>
      </c>
      <c r="H44" s="69" t="n"/>
    </row>
    <row r="45">
      <c r="A45" s="71" t="n">
        <v>46132</v>
      </c>
      <c r="B45" s="69" t="inlineStr">
        <is>
          <t>Special Cables</t>
        </is>
      </c>
      <c r="D45" s="69" t="inlineStr">
        <is>
          <t>add 2 B1-CFU cables</t>
        </is>
      </c>
      <c r="F45" s="69" t="n"/>
      <c r="G45" s="70" t="n">
        <v>2</v>
      </c>
      <c r="H45" s="69" t="n"/>
    </row>
    <row r="46">
      <c r="A46" s="71" t="n">
        <v>46132</v>
      </c>
      <c r="B46" s="69" t="inlineStr">
        <is>
          <t>Adapter Plate</t>
        </is>
      </c>
      <c r="C46" s="69" t="inlineStr">
        <is>
          <t>VESA</t>
        </is>
      </c>
      <c r="D46" s="69" t="inlineStr">
        <is>
          <t>WM-0007-51C</t>
        </is>
      </c>
      <c r="E46" s="69" t="inlineStr">
        <is>
          <t>Adapter Mounts</t>
        </is>
      </c>
      <c r="F46" s="69" t="n"/>
      <c r="G46" s="70" t="n">
        <v>6</v>
      </c>
      <c r="H46" s="69" t="inlineStr">
        <is>
          <t>N/A</t>
        </is>
      </c>
      <c r="I46" s="69" t="inlineStr">
        <is>
          <t>N/A</t>
        </is>
      </c>
      <c r="J46" s="69" t="inlineStr">
        <is>
          <t>N/A</t>
        </is>
      </c>
      <c r="K46" s="69" t="inlineStr">
        <is>
          <t>Redeployable</t>
        </is>
      </c>
    </row>
    <row r="47">
      <c r="A47" s="71" t="n">
        <v>46132</v>
      </c>
      <c r="B47" s="69" t="inlineStr">
        <is>
          <t>Battery Supply</t>
        </is>
      </c>
      <c r="C47" s="69" t="inlineStr">
        <is>
          <t>APC</t>
        </is>
      </c>
      <c r="D47" s="69" t="inlineStr">
        <is>
          <t>BR1500G</t>
        </is>
      </c>
      <c r="E47" s="69" t="inlineStr">
        <is>
          <t>Backup UPS</t>
        </is>
      </c>
      <c r="F47" s="69" t="inlineStr">
        <is>
          <t>Power saving UPS</t>
        </is>
      </c>
      <c r="G47" s="70" t="n">
        <v>6</v>
      </c>
      <c r="H47" s="69" t="inlineStr">
        <is>
          <t>N/A</t>
        </is>
      </c>
      <c r="I47" s="69" t="inlineStr">
        <is>
          <t>N/A</t>
        </is>
      </c>
      <c r="J47" s="69" t="inlineStr">
        <is>
          <t>N/A</t>
        </is>
      </c>
      <c r="K47" s="69" t="inlineStr">
        <is>
          <t>Identified</t>
        </is>
      </c>
      <c r="M47" s="69" t="inlineStr">
        <is>
          <t>New</t>
        </is>
      </c>
      <c r="N47" s="69" t="inlineStr">
        <is>
          <t>Hold</t>
        </is>
      </c>
      <c r="R47" s="69" t="inlineStr">
        <is>
          <t>UP 164 MIN RUNTIME / 10 OUTLETS / AVR TECH -- NOTE PBMC PO#7022030386 PRJ 407407 MARKED ON ONE OF THE UPS</t>
        </is>
      </c>
    </row>
    <row r="48">
      <c r="A48" s="71" t="n">
        <v>46132</v>
      </c>
      <c r="B48" s="69" t="inlineStr">
        <is>
          <t>Manuel</t>
        </is>
      </c>
      <c r="E48" s="69" t="inlineStr">
        <is>
          <t>Neuron Manual</t>
        </is>
      </c>
      <c r="F48" s="69" t="n"/>
      <c r="G48" s="70" t="inlineStr">
        <is>
          <t>3 boxes</t>
        </is>
      </c>
      <c r="H48" s="69" t="inlineStr">
        <is>
          <t>N/A</t>
        </is>
      </c>
      <c r="I48" s="69" t="inlineStr">
        <is>
          <t>N/A</t>
        </is>
      </c>
      <c r="J48" s="69" t="inlineStr">
        <is>
          <t>N/A</t>
        </is>
      </c>
      <c r="K48" s="69" t="inlineStr">
        <is>
          <t>Identified</t>
        </is>
      </c>
      <c r="M48" s="69" t="inlineStr">
        <is>
          <t>New</t>
        </is>
      </c>
      <c r="N48" s="69" t="inlineStr">
        <is>
          <t>Hold</t>
        </is>
      </c>
    </row>
    <row r="49">
      <c r="A49" s="71" t="n">
        <v>46132</v>
      </c>
      <c r="B49" s="69" t="inlineStr">
        <is>
          <t>PC Mounting Accessory</t>
        </is>
      </c>
      <c r="C49" s="69" t="inlineStr">
        <is>
          <t>M-Series</t>
        </is>
      </c>
      <c r="D49" s="69" t="inlineStr">
        <is>
          <t>WMM-0002-02C</t>
        </is>
      </c>
      <c r="E49" s="69" t="inlineStr">
        <is>
          <t>Pivot Arm</t>
        </is>
      </c>
      <c r="F49" s="69" t="n"/>
      <c r="G49" s="70" t="n">
        <v>40</v>
      </c>
      <c r="H49" s="69" t="n"/>
    </row>
    <row r="50">
      <c r="A50" s="71" t="n">
        <v>46132</v>
      </c>
      <c r="B50" s="69" t="inlineStr">
        <is>
          <t>Neuron</t>
        </is>
      </c>
      <c r="C50" s="69" t="inlineStr">
        <is>
          <t>Philips</t>
        </is>
      </c>
      <c r="E50" s="69" t="inlineStr">
        <is>
          <t>IT /Biomed Integration Device</t>
        </is>
      </c>
      <c r="F50" s="69" t="inlineStr">
        <is>
          <t>Need to configure, allocate, and name</t>
        </is>
      </c>
      <c r="G50" s="70" t="n">
        <v>80</v>
      </c>
      <c r="H50" s="69" t="n"/>
    </row>
    <row r="51">
      <c r="A51" s="71" t="n">
        <v>46132</v>
      </c>
      <c r="B51" s="69" t="inlineStr">
        <is>
          <t>Defective Neuron</t>
        </is>
      </c>
      <c r="C51" s="69" t="inlineStr">
        <is>
          <t>Philips</t>
        </is>
      </c>
      <c r="E51" s="69" t="inlineStr">
        <is>
          <t>IT /Biomed Integration Device</t>
        </is>
      </c>
      <c r="F51" s="69" t="inlineStr">
        <is>
          <t>3 Defective Neurons that require troubleshooting</t>
        </is>
      </c>
      <c r="G51" s="70" t="n">
        <v>3</v>
      </c>
      <c r="H51" s="69" t="n"/>
    </row>
    <row r="52">
      <c r="A52" s="71" t="n">
        <v>46132</v>
      </c>
      <c r="B52" s="69" t="inlineStr">
        <is>
          <t>Configured Cybernet</t>
        </is>
      </c>
      <c r="E52" s="69" t="inlineStr">
        <is>
          <t>OR Workstation</t>
        </is>
      </c>
      <c r="F52" s="69" t="n"/>
      <c r="G52" s="70" t="n">
        <v>37</v>
      </c>
      <c r="H52" s="69" t="n"/>
    </row>
    <row r="53">
      <c r="A53" s="71" t="n">
        <v>46132</v>
      </c>
      <c r="B53" s="69" t="inlineStr">
        <is>
          <t>Unconfigured Cybernet</t>
        </is>
      </c>
      <c r="E53" s="69" t="inlineStr">
        <is>
          <t>OR Workstation</t>
        </is>
      </c>
      <c r="F53" s="69" t="n"/>
      <c r="G53" s="70" t="n">
        <v>127</v>
      </c>
      <c r="H53" s="69" t="n"/>
    </row>
    <row r="54">
      <c r="A54" s="71" t="n">
        <v>46132</v>
      </c>
      <c r="B54" s="69" t="inlineStr">
        <is>
          <t>Cybernet under Configuration</t>
        </is>
      </c>
      <c r="E54" s="69" t="inlineStr">
        <is>
          <t>OR Workstation</t>
        </is>
      </c>
      <c r="F54" s="69" t="n"/>
      <c r="G54" s="70" t="n">
        <v>7</v>
      </c>
      <c r="H54" s="69" t="n"/>
    </row>
    <row r="55">
      <c r="A55" s="71" t="n">
        <v>46132</v>
      </c>
      <c r="B55" s="69" t="inlineStr">
        <is>
          <t>PC Mounting Accessory</t>
        </is>
      </c>
      <c r="D55" s="69" t="inlineStr">
        <is>
          <t>FLP-0008-45D</t>
        </is>
      </c>
      <c r="E55" s="69" t="inlineStr">
        <is>
          <t>Fixed Angle L</t>
        </is>
      </c>
      <c r="F55" s="69" t="n"/>
      <c r="G55" s="70" t="n">
        <v>3</v>
      </c>
      <c r="H55" s="69" t="n"/>
    </row>
    <row r="56">
      <c r="A56" s="71" t="n">
        <v>46132</v>
      </c>
      <c r="B56" s="69" t="inlineStr">
        <is>
          <t>PC Mounting Accessory</t>
        </is>
      </c>
      <c r="D56" s="69" t="inlineStr">
        <is>
          <t>WS-0012-11B</t>
        </is>
      </c>
      <c r="E56" s="69" t="inlineStr">
        <is>
          <t>VHM-P ARM</t>
        </is>
      </c>
      <c r="F56" s="69" t="inlineStr">
        <is>
          <t>VHM-P VAR HEIGHT ARM W/FIXED ANGLE</t>
        </is>
      </c>
      <c r="G56" s="70" t="n">
        <v>3</v>
      </c>
      <c r="H56" s="69" t="n"/>
      <c r="R56" s="69" t="inlineStr">
        <is>
          <t>AS FIXED ANGLE FRONT END FOR L BRACKETS - LOAD RANGE 25-45LBS / 11.3-20.4KG</t>
        </is>
      </c>
    </row>
    <row r="57">
      <c r="A57" s="71" t="n">
        <v>46132</v>
      </c>
      <c r="B57" s="69" t="inlineStr">
        <is>
          <t>PC Mounting Accessory</t>
        </is>
      </c>
      <c r="D57" s="69" t="inlineStr">
        <is>
          <t>FLP-0009-04C</t>
        </is>
      </c>
      <c r="E57" s="69" t="inlineStr">
        <is>
          <t>Mount for Flat Panel</t>
        </is>
      </c>
      <c r="F57" s="69" t="inlineStr">
        <is>
          <t>flush tilt/swivel mount for flat panel</t>
        </is>
      </c>
      <c r="G57" s="70" t="n">
        <v>2</v>
      </c>
      <c r="H57" s="69" t="n"/>
    </row>
    <row r="58">
      <c r="A58" s="71" t="n">
        <v>46132</v>
      </c>
      <c r="B58" s="69" t="inlineStr">
        <is>
          <t>Channel</t>
        </is>
      </c>
      <c r="D58" s="69" t="inlineStr">
        <is>
          <t>OH-0010-84B</t>
        </is>
      </c>
      <c r="E58" s="69" t="inlineStr">
        <is>
          <t>Channel/track</t>
        </is>
      </c>
      <c r="F58" s="69" t="inlineStr">
        <is>
          <t>hannel for GE/Datax Ohmeda Dovetail Acc Track</t>
        </is>
      </c>
      <c r="G58" s="70" t="n">
        <v>17</v>
      </c>
      <c r="H58" s="69" t="n"/>
    </row>
    <row r="59">
      <c r="A59" s="71" t="n">
        <v>46132</v>
      </c>
      <c r="B59" s="69" t="inlineStr">
        <is>
          <t>PC Mounting Accessory</t>
        </is>
      </c>
      <c r="D59" s="69" t="inlineStr">
        <is>
          <t>FLP-0008-48</t>
        </is>
      </c>
      <c r="E59" s="69" t="inlineStr">
        <is>
          <t>Worksurface</t>
        </is>
      </c>
      <c r="F59" s="69" t="inlineStr">
        <is>
          <t>worksurface for L bracket FLP-008-45</t>
        </is>
      </c>
      <c r="G59" s="70" t="n">
        <v>2</v>
      </c>
      <c r="H59" s="69" t="n"/>
    </row>
    <row r="60">
      <c r="A60" s="71" t="n">
        <v>46132</v>
      </c>
      <c r="B60" s="69" t="inlineStr">
        <is>
          <t>Channel</t>
        </is>
      </c>
      <c r="D60" s="69" t="inlineStr">
        <is>
          <t>WC-0002-07</t>
        </is>
      </c>
      <c r="E60" s="69" t="inlineStr">
        <is>
          <t>Channel</t>
        </is>
      </c>
      <c r="F60" s="69" t="inlineStr">
        <is>
          <t>Seismic Poly Mount</t>
        </is>
      </c>
      <c r="G60" s="70" t="n">
        <v>3</v>
      </c>
      <c r="H60" s="69" t="n"/>
      <c r="R60" s="69" t="inlineStr">
        <is>
          <t>25" / 63.5cm channel</t>
        </is>
      </c>
    </row>
    <row r="61">
      <c r="A61" s="71" t="n">
        <v>46132</v>
      </c>
      <c r="B61" s="69" t="inlineStr">
        <is>
          <t>Channel</t>
        </is>
      </c>
      <c r="D61" s="69" t="inlineStr">
        <is>
          <t>PM-0005-20</t>
        </is>
      </c>
      <c r="E61" s="69" t="inlineStr">
        <is>
          <t>Channel</t>
        </is>
      </c>
      <c r="F61" s="69" t="inlineStr">
        <is>
          <t>Channel w/Poly Clamps</t>
        </is>
      </c>
      <c r="G61" s="70" t="n">
        <v>5</v>
      </c>
      <c r="H61" s="69" t="n"/>
      <c r="R61" s="69" t="inlineStr">
        <is>
          <t>7" / 17.8cm Channel w/Poly Clamp Interface for Post Diameter 75-2" / 19-51mm - max load 60lb / 27.2kg</t>
        </is>
      </c>
    </row>
    <row r="62">
      <c r="A62" s="71" t="n">
        <v>46141</v>
      </c>
      <c r="B62" s="69" t="inlineStr">
        <is>
          <t>Special Cables</t>
        </is>
      </c>
      <c r="D62" s="69" t="inlineStr">
        <is>
          <t>CBCC402237</t>
        </is>
      </c>
      <c r="E62" s="69" t="inlineStr">
        <is>
          <t>Special Cable</t>
        </is>
      </c>
      <c r="F62" s="69" t="inlineStr">
        <is>
          <t>9-pin male to 9-pin femail serial cable</t>
        </is>
      </c>
      <c r="G62" s="70" t="n">
        <v>16</v>
      </c>
      <c r="H62" s="69" t="n"/>
      <c r="R62" s="69" t="inlineStr">
        <is>
          <t>cables found in stock of GCH Neurons from PACU</t>
        </is>
      </c>
    </row>
    <row r="63">
      <c r="A63" s="71" t="n">
        <v>46141</v>
      </c>
      <c r="B63" s="69" t="inlineStr">
        <is>
          <t>DIMS</t>
        </is>
      </c>
      <c r="D63" s="69" t="inlineStr">
        <is>
          <t>SL-DIM-HW</t>
        </is>
      </c>
      <c r="E63" s="69" t="inlineStr">
        <is>
          <t>DIMS</t>
        </is>
      </c>
      <c r="F63" s="69" t="inlineStr">
        <is>
          <t>White DIMS</t>
        </is>
      </c>
      <c r="G63" s="70" t="n">
        <v>10</v>
      </c>
      <c r="H63" s="69" t="n"/>
      <c r="R63" s="69" t="inlineStr">
        <is>
          <t>attached to serial cables from GCH</t>
        </is>
      </c>
    </row>
    <row r="64">
      <c r="A64" s="71" t="n">
        <v>46141</v>
      </c>
      <c r="B64" s="69" t="inlineStr">
        <is>
          <t>Power Supply</t>
        </is>
      </c>
      <c r="E64" s="69" t="inlineStr">
        <is>
          <t>Power cables</t>
        </is>
      </c>
      <c r="F64" s="69" t="inlineStr">
        <is>
          <t>Black power cables for neurons</t>
        </is>
      </c>
      <c r="G64" s="70" t="n">
        <v>7</v>
      </c>
      <c r="H64" s="69" t="n"/>
    </row>
    <row r="65">
      <c r="A65" s="71" t="n"/>
      <c r="F65" s="69" t="n"/>
      <c r="G65" s="70" t="n"/>
      <c r="H65" s="69" t="n"/>
    </row>
    <row r="66">
      <c r="A66" s="71" t="n"/>
      <c r="F66" s="69" t="n"/>
      <c r="G66" s="70" t="n"/>
      <c r="H66" s="69" t="n"/>
    </row>
    <row r="67">
      <c r="A67" s="71" t="n"/>
      <c r="F67" s="69" t="n"/>
      <c r="G67" s="70" t="n"/>
      <c r="H67" s="69" t="n"/>
    </row>
    <row r="68">
      <c r="A68" s="71" t="n"/>
      <c r="F68" s="69" t="n"/>
      <c r="G68" s="70" t="n"/>
      <c r="H68" s="69" t="n"/>
    </row>
    <row r="69">
      <c r="A69" s="71" t="n"/>
      <c r="F69" s="69" t="n"/>
      <c r="G69" s="70" t="n"/>
      <c r="H69" s="69" t="n"/>
    </row>
    <row r="70">
      <c r="A70" s="71" t="n"/>
      <c r="F70" s="69" t="n"/>
      <c r="G70" s="70" t="n"/>
      <c r="H70" s="69" t="n"/>
    </row>
    <row r="71">
      <c r="A71" s="71" t="n"/>
      <c r="F71" s="69" t="n"/>
      <c r="G71" s="70" t="n"/>
      <c r="H71" s="69" t="n"/>
    </row>
    <row r="72">
      <c r="A72" s="71" t="n"/>
      <c r="F72" s="69" t="n"/>
      <c r="G72" s="70" t="n"/>
      <c r="H72" s="69" t="n"/>
    </row>
    <row r="73">
      <c r="A73" s="71" t="n"/>
      <c r="F73" s="69" t="n"/>
      <c r="G73" s="70" t="n"/>
      <c r="H73" s="69" t="n"/>
    </row>
    <row r="74">
      <c r="A74" s="71" t="n"/>
      <c r="F74" s="69" t="n"/>
      <c r="G74" s="70" t="n"/>
      <c r="H74" s="69" t="n"/>
    </row>
    <row r="75">
      <c r="A75" s="71" t="n"/>
      <c r="F75" s="69" t="n"/>
      <c r="G75" s="70" t="n"/>
      <c r="H75" s="69" t="n"/>
    </row>
    <row r="76">
      <c r="A76" s="71" t="n"/>
      <c r="F76" s="69" t="n"/>
      <c r="G76" s="70" t="n"/>
      <c r="H76" s="69" t="n"/>
    </row>
    <row r="77">
      <c r="A77" s="71" t="n"/>
      <c r="F77" s="69" t="n"/>
      <c r="G77" s="70" t="n"/>
      <c r="H77" s="69" t="n"/>
    </row>
    <row r="78">
      <c r="A78" s="71" t="n"/>
      <c r="F78" s="69" t="n"/>
      <c r="G78" s="70" t="n"/>
      <c r="H78" s="69" t="n"/>
    </row>
    <row r="79">
      <c r="A79" s="71" t="n"/>
      <c r="F79" s="69" t="n"/>
      <c r="G79" s="70" t="n"/>
      <c r="H79" s="69" t="n"/>
    </row>
    <row r="80">
      <c r="A80" s="71" t="n"/>
      <c r="F80" s="69" t="n"/>
      <c r="G80" s="70" t="n"/>
      <c r="H80" s="69" t="n"/>
    </row>
    <row r="81">
      <c r="A81" s="71" t="n"/>
      <c r="F81" s="69" t="n"/>
      <c r="G81" s="70" t="n"/>
      <c r="H81" s="69" t="n"/>
    </row>
    <row r="82">
      <c r="A82" s="71" t="n"/>
      <c r="F82" s="69" t="n"/>
      <c r="G82" s="70" t="n"/>
      <c r="H82" s="69" t="n"/>
    </row>
    <row r="83">
      <c r="A83" s="71" t="n"/>
      <c r="F83" s="69" t="n"/>
      <c r="G83" s="70" t="n"/>
      <c r="H83" s="69" t="n"/>
    </row>
    <row r="84">
      <c r="A84" s="71" t="n"/>
      <c r="F84" s="69" t="n"/>
      <c r="G84" s="70" t="n"/>
      <c r="H84" s="69" t="n"/>
    </row>
    <row r="85">
      <c r="A85" s="71" t="n"/>
      <c r="F85" s="69" t="n"/>
      <c r="G85" s="70" t="n"/>
      <c r="H85" s="69" t="n"/>
    </row>
    <row r="86">
      <c r="A86" s="71" t="n"/>
      <c r="F86" s="69" t="n"/>
      <c r="G86" s="70" t="n"/>
      <c r="H86" s="69" t="n"/>
    </row>
    <row r="87">
      <c r="A87" s="71" t="n"/>
      <c r="F87" s="69" t="n"/>
      <c r="G87" s="70" t="n"/>
      <c r="H87" s="69" t="n"/>
    </row>
    <row r="88">
      <c r="A88" s="71" t="n"/>
      <c r="F88" s="69" t="n"/>
      <c r="G88" s="70" t="n"/>
      <c r="H88" s="69" t="n"/>
    </row>
    <row r="89">
      <c r="A89" s="71" t="n"/>
      <c r="F89" s="69" t="n"/>
      <c r="G89" s="70" t="n"/>
      <c r="H89" s="69" t="n"/>
    </row>
    <row r="90">
      <c r="A90" s="71" t="n"/>
      <c r="F90" s="69" t="n"/>
      <c r="G90" s="70" t="n"/>
      <c r="H90" s="69" t="n"/>
    </row>
    <row r="91">
      <c r="A91" s="71" t="n"/>
      <c r="F91" s="69" t="n"/>
      <c r="G91" s="70" t="n"/>
      <c r="H91" s="69" t="n"/>
    </row>
    <row r="92">
      <c r="A92" s="71" t="n"/>
      <c r="F92" s="69" t="n"/>
      <c r="G92" s="70" t="n"/>
      <c r="H92" s="69" t="n"/>
    </row>
    <row r="93">
      <c r="A93" s="71" t="n"/>
      <c r="F93" s="69" t="n"/>
      <c r="G93" s="70" t="n"/>
      <c r="H93" s="69" t="n"/>
    </row>
    <row r="94">
      <c r="A94" s="71" t="n"/>
      <c r="F94" s="69" t="n"/>
      <c r="G94" s="70" t="n"/>
      <c r="H94" s="69" t="n"/>
    </row>
    <row r="95">
      <c r="A95" s="71" t="n"/>
      <c r="F95" s="69" t="n"/>
      <c r="G95" s="70" t="n"/>
      <c r="H95" s="69" t="n"/>
    </row>
    <row r="96">
      <c r="A96" s="71" t="n"/>
      <c r="F96" s="69" t="n"/>
      <c r="G96" s="70" t="n"/>
      <c r="H96" s="69" t="n"/>
    </row>
    <row r="97">
      <c r="A97" s="71" t="n"/>
      <c r="F97" s="69" t="n"/>
      <c r="G97" s="70" t="n"/>
      <c r="H97" s="69" t="n"/>
    </row>
    <row r="98">
      <c r="A98" s="71" t="n"/>
      <c r="F98" s="69" t="n"/>
      <c r="G98" s="70" t="n"/>
      <c r="H98" s="69" t="n"/>
    </row>
    <row r="99">
      <c r="A99" s="71" t="n"/>
      <c r="F99" s="69" t="n"/>
      <c r="G99" s="70" t="n"/>
      <c r="H99" s="69" t="n"/>
    </row>
    <row r="100">
      <c r="A100" s="71" t="n"/>
      <c r="F100" s="69" t="n"/>
      <c r="G100" s="70" t="n"/>
      <c r="H100" s="69" t="n"/>
    </row>
  </sheetData>
  <conditionalFormatting sqref="A2:C2 A3:D5 A6:S6 A7:A19 A20:C27 A28:K100 B7 B8:E11 B12:C19 D2:R5 D7:D27 E7 E12:E27 F7:K27 L7:R100">
    <cfRule type="expression" priority="16" dxfId="341">
      <formula>$K2="Identified"</formula>
    </cfRule>
    <cfRule type="expression" priority="17" dxfId="340">
      <formula>$K2="Needs Verification"</formula>
    </cfRule>
    <cfRule type="expression" priority="18" dxfId="1">
      <formula>$K2="Redeployable"</formula>
    </cfRule>
    <cfRule type="expression" priority="19" dxfId="338">
      <formula>$K2="Assigned"</formula>
    </cfRule>
    <cfRule type="expression" priority="20" dxfId="337">
      <formula>$K2="Hold"</formula>
    </cfRule>
    <cfRule type="expression" priority="21" dxfId="28">
      <formula>$K2="Scrap"</formula>
    </cfRule>
    <cfRule type="expression" priority="15" dxfId="282">
      <formula>$K2="Intake"</formula>
    </cfRule>
  </conditionalFormatting>
  <conditionalFormatting sqref="A101:E499 G101:S499">
    <cfRule type="expression" priority="2795" dxfId="282">
      <formula>$L101="Intake"</formula>
    </cfRule>
    <cfRule type="expression" priority="2796" dxfId="341">
      <formula>$L101="Identified"</formula>
    </cfRule>
    <cfRule type="expression" priority="2797" dxfId="340">
      <formula>$L101="Needs Verification"</formula>
    </cfRule>
    <cfRule type="expression" priority="2798" dxfId="1">
      <formula>$L101="Redeployable"</formula>
    </cfRule>
    <cfRule type="expression" priority="2799" dxfId="338">
      <formula>$L101="Assigned"</formula>
    </cfRule>
    <cfRule type="expression" priority="2800" dxfId="337">
      <formula>$L101="Hold"</formula>
    </cfRule>
    <cfRule type="expression" priority="2801" dxfId="28">
      <formula>$L101="Scrap"</formula>
    </cfRule>
  </conditionalFormatting>
  <conditionalFormatting sqref="C7:D7">
    <cfRule type="expression" priority="8" dxfId="282">
      <formula>$K7="Intake"</formula>
    </cfRule>
    <cfRule type="expression" priority="9" dxfId="341">
      <formula>$K7="Identified"</formula>
    </cfRule>
    <cfRule type="expression" priority="10" dxfId="340">
      <formula>$K7="Needs Verification"</formula>
    </cfRule>
    <cfRule type="expression" priority="11" dxfId="1">
      <formula>$K7="Redeployable"</formula>
    </cfRule>
    <cfRule type="expression" priority="12" dxfId="338">
      <formula>$K7="Assigned"</formula>
    </cfRule>
    <cfRule type="expression" priority="13" dxfId="337">
      <formula>$K7="Hold"</formula>
    </cfRule>
    <cfRule type="expression" priority="14" dxfId="28">
      <formula>$K7="Scrap"</formula>
    </cfRule>
  </conditionalFormatting>
  <dataValidations count="10">
    <dataValidation sqref="L101:L499" showDropDown="0" showInputMessage="0" showErrorMessage="0" allowBlank="1" type="list">
      <formula1>"Intake,Identified,Needs Verification,Redeployable,Assigned,Hold,Scrap"</formula1>
    </dataValidation>
    <dataValidation sqref="B101:B1048576" showDropDown="0" showInputMessage="1" showErrorMessage="1" allowBlank="1" type="list">
      <formula1>"Cybernet,Neuron,Badge Scanner,Hand Scanner,Ethernet,Wired Keyboard,Wired Mouse,Wireless Keyboard,Wireless Mouse,Neuron Arms,Cybernet Arms,DIMS,Patch Cable(grey),Breakawys,Power Supply Mount"</formula1>
    </dataValidation>
    <dataValidation sqref="C101:C1048576" showDropDown="0" showInputMessage="1" showErrorMessage="1" allowBlank="1" type="list">
      <formula1>"CyberMed NB24/CyberMed S24"</formula1>
    </dataValidation>
    <dataValidation sqref="L2:L100 M101:M499" showDropDown="0" showInputMessage="0" showErrorMessage="0" allowBlank="1" type="list">
      <formula1>"Yes,No,N/A"</formula1>
    </dataValidation>
    <dataValidation sqref="N2:N100 Q101:Q499" showDropDown="0" showInputMessage="0" showErrorMessage="0" allowBlank="1" type="list">
      <formula1>"Redeploy,Verify,Dispose,Hold"</formula1>
    </dataValidation>
    <dataValidation sqref="M2:M100 N101:N499" showDropDown="0" showInputMessage="0" showErrorMessage="0" allowBlank="1" type="list">
      <formula1>"Good,Fair,Damaged,Unknown,New,Old"</formula1>
    </dataValidation>
    <dataValidation sqref="K2:K100" showDropDown="0" showInputMessage="1" showErrorMessage="1" allowBlank="1" type="list">
      <formula1>"Intake,Needs Verification,Identified,Redeployable,Assigned,Hold,Scrap,Unconfigured"</formula1>
    </dataValidation>
    <dataValidation sqref="B2:B100" showDropDown="0" showInputMessage="1" showErrorMessage="1" allowBlank="1" type="list">
      <formula1>ItemType</formula1>
    </dataValidation>
    <dataValidation sqref="C2:C100" showDropDown="0" showInputMessage="1" showErrorMessage="1" allowBlank="1" type="list">
      <formula1>ItemModel</formula1>
    </dataValidation>
    <dataValidation sqref="O1:P1048576" showDropDown="0" showInputMessage="1" showErrorMessage="1" allowBlank="1"/>
  </dataValidations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24" sqref="A24"/>
    </sheetView>
  </sheetViews>
  <sheetFormatPr baseColWidth="8" defaultRowHeight="15"/>
  <cols>
    <col width="24.28515625" bestFit="1" customWidth="1" style="91" min="1" max="1"/>
    <col width="33" bestFit="1" customWidth="1" style="91" min="4" max="4"/>
  </cols>
  <sheetData>
    <row r="1" ht="18.75" customHeight="1" s="91">
      <c r="A1" s="75" t="inlineStr">
        <is>
          <t>Item Type</t>
        </is>
      </c>
      <c r="D1" s="75" t="inlineStr">
        <is>
          <t>Item Model</t>
        </is>
      </c>
    </row>
    <row r="2">
      <c r="A2" t="inlineStr">
        <is>
          <t>Cybernet</t>
        </is>
      </c>
      <c r="D2" s="15" t="inlineStr">
        <is>
          <t>CyberMed NB24/CyberMed S24</t>
        </is>
      </c>
    </row>
    <row r="3">
      <c r="A3" t="inlineStr">
        <is>
          <t>Neuron</t>
        </is>
      </c>
      <c r="D3" t="inlineStr">
        <is>
          <t>Seal Storm Waterproof Mouse, USB</t>
        </is>
      </c>
    </row>
    <row r="4">
      <c r="A4" t="inlineStr">
        <is>
          <t>Badge Scanner</t>
        </is>
      </c>
      <c r="D4" t="inlineStr">
        <is>
          <t>Seal Glow Silicone Backlit keyb</t>
        </is>
      </c>
    </row>
    <row r="5">
      <c r="A5" t="inlineStr">
        <is>
          <t>Hand Scanner (BOXED)</t>
        </is>
      </c>
      <c r="D5" t="inlineStr">
        <is>
          <t>Zebra</t>
        </is>
      </c>
    </row>
    <row r="6">
      <c r="A6" t="inlineStr">
        <is>
          <t>Hand Scanner (UNBOXED)</t>
        </is>
      </c>
      <c r="D6" t="inlineStr">
        <is>
          <t>Planar 24in</t>
        </is>
      </c>
    </row>
    <row r="7">
      <c r="A7" t="inlineStr">
        <is>
          <t>Ethernet</t>
        </is>
      </c>
      <c r="D7" t="inlineStr">
        <is>
          <t>Thinkvision 24in</t>
        </is>
      </c>
    </row>
    <row r="8">
      <c r="A8" t="inlineStr">
        <is>
          <t>Wired Keyboard</t>
        </is>
      </c>
      <c r="D8" t="inlineStr">
        <is>
          <t>Elo TS LCD 24in</t>
        </is>
      </c>
    </row>
    <row r="9">
      <c r="A9" t="inlineStr">
        <is>
          <t>Wired Mouse</t>
        </is>
      </c>
      <c r="D9" t="inlineStr">
        <is>
          <t>GCX</t>
        </is>
      </c>
    </row>
    <row r="10">
      <c r="A10" t="inlineStr">
        <is>
          <t>Wireless Keyboard</t>
        </is>
      </c>
      <c r="D10" t="inlineStr">
        <is>
          <t>APC</t>
        </is>
      </c>
    </row>
    <row r="11">
      <c r="A11" t="inlineStr">
        <is>
          <t>Wireless Mouse</t>
        </is>
      </c>
      <c r="D11" t="inlineStr">
        <is>
          <t>M-Series</t>
        </is>
      </c>
    </row>
    <row r="12">
      <c r="A12" t="inlineStr">
        <is>
          <t>Neuron Arms</t>
        </is>
      </c>
    </row>
    <row r="13">
      <c r="A13" t="inlineStr">
        <is>
          <t>Cybernet Arms</t>
        </is>
      </c>
    </row>
    <row r="14">
      <c r="A14" t="inlineStr">
        <is>
          <t>DIMS</t>
        </is>
      </c>
    </row>
    <row r="15">
      <c r="A15" t="inlineStr">
        <is>
          <t>Patch Cable (grey)</t>
        </is>
      </c>
    </row>
    <row r="16">
      <c r="A16" t="inlineStr">
        <is>
          <t>Breakaway Adapter</t>
        </is>
      </c>
    </row>
    <row r="17">
      <c r="A17" t="inlineStr">
        <is>
          <t>Power Supply Mount</t>
        </is>
      </c>
    </row>
    <row r="18">
      <c r="A18" t="inlineStr">
        <is>
          <t>Cybernet Stylus</t>
        </is>
      </c>
    </row>
    <row r="19">
      <c r="A19" t="inlineStr">
        <is>
          <t>Old Monitors</t>
        </is>
      </c>
    </row>
    <row r="20">
      <c r="A20" t="inlineStr">
        <is>
          <t>Used Right-Side Channels</t>
        </is>
      </c>
    </row>
    <row r="21">
      <c r="A21" t="inlineStr">
        <is>
          <t>New Right-Side Channel</t>
        </is>
      </c>
    </row>
    <row r="22">
      <c r="A22" t="inlineStr">
        <is>
          <t>Cybernet Tray Arm</t>
        </is>
      </c>
    </row>
    <row r="23">
      <c r="A23" t="inlineStr">
        <is>
          <t>PC Mounting Accessory</t>
        </is>
      </c>
    </row>
    <row r="24">
      <c r="A24" t="inlineStr">
        <is>
          <t>Old Arms</t>
        </is>
      </c>
    </row>
    <row r="25">
      <c r="A25" t="inlineStr">
        <is>
          <t>Mounting Bracket</t>
        </is>
      </c>
    </row>
    <row r="26">
      <c r="A26" t="inlineStr">
        <is>
          <t>Battery Supply</t>
        </is>
      </c>
    </row>
    <row r="27">
      <c r="A27" t="inlineStr">
        <is>
          <t>Manuel</t>
        </is>
      </c>
    </row>
    <row r="28">
      <c r="A28" t="inlineStr">
        <is>
          <t>Channel</t>
        </is>
      </c>
    </row>
    <row r="29">
      <c r="A29" t="inlineStr">
        <is>
          <t>Special Cables</t>
        </is>
      </c>
    </row>
    <row r="30">
      <c r="A30" t="inlineStr">
        <is>
          <t>Power Supply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3">
    <tabColor theme="3" tint="0.5999938962981048"/>
    <outlinePr summaryBelow="1" summaryRight="1"/>
    <pageSetUpPr/>
  </sheetPr>
  <dimension ref="A1:CW518"/>
  <sheetViews>
    <sheetView tabSelected="1" workbookViewId="0">
      <pane ySplit="1" topLeftCell="A326" activePane="bottomLeft" state="frozen"/>
      <selection pane="bottomLeft" activeCell="E338" sqref="E338"/>
      <selection activeCell="G1" sqref="G1"/>
    </sheetView>
  </sheetViews>
  <sheetFormatPr baseColWidth="8" defaultColWidth="9.140625" defaultRowHeight="15"/>
  <cols>
    <col width="22.42578125" customWidth="1" style="91" min="1" max="1"/>
    <col width="9.140625" customWidth="1" style="91" min="2" max="2"/>
    <col width="13.140625" customWidth="1" style="91" min="3" max="3"/>
    <col width="9.140625" customWidth="1" style="91" min="4" max="4"/>
    <col width="20.140625" customWidth="1" style="91" min="5" max="5"/>
    <col width="11.85546875" customWidth="1" style="91" min="6" max="6"/>
    <col width="9.140625" customWidth="1" style="91" min="7" max="7"/>
    <col width="17.42578125" customWidth="1" style="91" min="8" max="8"/>
    <col width="18" customWidth="1" style="91" min="9" max="9"/>
    <col width="9.140625" customWidth="1" style="91" min="10" max="10"/>
    <col width="20.140625" customWidth="1" style="91" min="11" max="11"/>
    <col width="25.42578125" customWidth="1" style="18" min="12" max="12"/>
    <col width="20.140625" customWidth="1" style="91" min="13" max="17"/>
    <col width="11.85546875" customWidth="1" style="91" min="18" max="18"/>
    <col width="12.42578125" customWidth="1" style="91" min="19" max="19"/>
    <col width="19.42578125" customWidth="1" style="91" min="20" max="20"/>
    <col width="9.140625" customWidth="1" style="91" min="21" max="21"/>
    <col width="17.140625" customWidth="1" style="91" min="22" max="28"/>
    <col width="23.42578125" customWidth="1" style="91" min="29" max="33"/>
    <col width="18.7109375" customWidth="1" style="91" min="34" max="34"/>
    <col width="18.5703125" customWidth="1" style="91" min="35" max="38"/>
    <col width="25.28515625" customWidth="1" style="91" min="39" max="39"/>
    <col width="24" customWidth="1" style="91" min="40" max="40"/>
    <col width="18.5703125" customWidth="1" style="91" min="41" max="43"/>
    <col width="19.85546875" customWidth="1" style="91" min="44" max="44"/>
    <col width="18.5703125" customWidth="1" style="91" min="45" max="48"/>
    <col width="9.140625" customWidth="1" style="91" min="49" max="49"/>
    <col width="46.140625" customWidth="1" style="91" min="50" max="50"/>
    <col width="9.140625" customWidth="1" style="91" min="51" max="51"/>
    <col width="24.85546875" customWidth="1" style="91" min="52" max="52"/>
    <col width="9.140625" customWidth="1" style="91" min="53" max="54"/>
    <col width="9.28515625" customWidth="1" style="91" min="55" max="55"/>
    <col width="9.140625" customWidth="1" style="91" min="56" max="56"/>
  </cols>
  <sheetData>
    <row r="1">
      <c r="A1" t="inlineStr">
        <is>
          <t>Device Type</t>
        </is>
      </c>
      <c r="B1" t="inlineStr">
        <is>
          <t>Deployed</t>
        </is>
      </c>
      <c r="C1" t="inlineStr">
        <is>
          <t>Installed</t>
        </is>
      </c>
      <c r="D1" t="inlineStr">
        <is>
          <t>Spare</t>
        </is>
      </c>
      <c r="E1" t="inlineStr">
        <is>
          <t>DesignationChanged</t>
        </is>
      </c>
      <c r="F1" t="inlineStr">
        <is>
          <t>DupDeployed</t>
        </is>
      </c>
      <c r="G1" t="inlineStr">
        <is>
          <t>Current Building</t>
        </is>
      </c>
      <c r="H1" t="inlineStr">
        <is>
          <t>Install Building</t>
        </is>
      </c>
      <c r="I1" t="inlineStr">
        <is>
          <t>Area/Unit/Dept</t>
        </is>
      </c>
      <c r="J1" t="inlineStr">
        <is>
          <t>Room</t>
        </is>
      </c>
      <c r="K1" t="inlineStr">
        <is>
          <t>Bay</t>
        </is>
      </c>
      <c r="L1" t="inlineStr">
        <is>
          <t>PI_Validated_Date</t>
        </is>
      </c>
      <c r="M1" t="inlineStr">
        <is>
          <t>PI_Workflow</t>
        </is>
      </c>
      <c r="N1" t="inlineStr">
        <is>
          <t>PI_Config_Shared</t>
        </is>
      </c>
      <c r="O1" t="inlineStr">
        <is>
          <t>PI_Config_Autologon</t>
        </is>
      </c>
      <c r="P1" t="inlineStr">
        <is>
          <t>PI_Imprivata</t>
        </is>
      </c>
      <c r="Q1" t="inlineStr">
        <is>
          <t>PI_Imprivata_Type</t>
        </is>
      </c>
      <c r="R1" t="inlineStr">
        <is>
          <t>Epic TDR</t>
        </is>
      </c>
      <c r="S1" t="inlineStr">
        <is>
          <t>PI_Result</t>
        </is>
      </c>
      <c r="T1" t="inlineStr">
        <is>
          <t>PI_Rejection_Reason</t>
        </is>
      </c>
      <c r="U1" t="inlineStr">
        <is>
          <t>PI_Validated_By</t>
        </is>
      </c>
      <c r="V1" t="inlineStr">
        <is>
          <t>Cybernet Hostname</t>
        </is>
      </c>
      <c r="W1" t="inlineStr">
        <is>
          <t>Cybernet Serial</t>
        </is>
      </c>
      <c r="X1" t="inlineStr">
        <is>
          <t>Neuron Hostname</t>
        </is>
      </c>
      <c r="Y1" t="inlineStr">
        <is>
          <t>Neuron MAC</t>
        </is>
      </c>
      <c r="Z1" t="inlineStr">
        <is>
          <t>Neuron IP</t>
        </is>
      </c>
      <c r="AA1" t="inlineStr">
        <is>
          <t>Neuron Renamed</t>
        </is>
      </c>
      <c r="AB1" t="inlineStr">
        <is>
          <t>Neuron S/N</t>
        </is>
      </c>
      <c r="AC1" t="inlineStr">
        <is>
          <t>Neuron Profile</t>
        </is>
      </c>
      <c r="AD1" t="inlineStr">
        <is>
          <t>Firmware Downloaded</t>
        </is>
      </c>
      <c r="AE1" t="inlineStr">
        <is>
          <t>Firmware Installed</t>
        </is>
      </c>
      <c r="AF1" t="inlineStr">
        <is>
          <t>Software Downloaded</t>
        </is>
      </c>
      <c r="AG1" t="inlineStr">
        <is>
          <t>Software Installed</t>
        </is>
      </c>
      <c r="AH1" t="inlineStr">
        <is>
          <t>Cybernet MAC</t>
        </is>
      </c>
      <c r="AI1" t="inlineStr">
        <is>
          <t>Medical Device Class</t>
        </is>
      </c>
      <c r="AJ1" t="inlineStr">
        <is>
          <t>Asset Tag</t>
        </is>
      </c>
      <c r="AK1" t="inlineStr">
        <is>
          <t>Wave/PO</t>
        </is>
      </c>
      <c r="AL1" t="inlineStr">
        <is>
          <t>Port No.</t>
        </is>
      </c>
      <c r="AM1" t="inlineStr">
        <is>
          <t>Medical Device Manufacturer</t>
        </is>
      </c>
      <c r="AN1" t="inlineStr">
        <is>
          <t>Medical Device Model</t>
        </is>
      </c>
      <c r="AO1" t="inlineStr">
        <is>
          <t>Dialysis S/N</t>
        </is>
      </c>
      <c r="AP1" t="inlineStr">
        <is>
          <t>Anesthesia S/N</t>
        </is>
      </c>
      <c r="AQ1" t="inlineStr">
        <is>
          <t>Medical Device S/N</t>
        </is>
      </c>
      <c r="AR1" t="inlineStr">
        <is>
          <t>Replaced Hostname</t>
        </is>
      </c>
      <c r="AS1" t="inlineStr">
        <is>
          <t>Serial Connector Cable 1</t>
        </is>
      </c>
      <c r="AT1" t="inlineStr">
        <is>
          <t>Serial Connector Cable 2</t>
        </is>
      </c>
      <c r="AU1" t="inlineStr">
        <is>
          <t>Serial Connector Cable 3</t>
        </is>
      </c>
      <c r="AV1" t="inlineStr">
        <is>
          <t>Serial Connector Cable 4</t>
        </is>
      </c>
      <c r="AW1" t="inlineStr">
        <is>
          <t>Serial Connector Cable 5</t>
        </is>
      </c>
      <c r="AX1" t="inlineStr">
        <is>
          <t>Medical Peripheral 1</t>
        </is>
      </c>
      <c r="AY1" t="inlineStr">
        <is>
          <t>Medical Peripheral 2</t>
        </is>
      </c>
      <c r="AZ1" t="inlineStr">
        <is>
          <t>Medical Peripheral 3</t>
        </is>
      </c>
      <c r="BA1" t="inlineStr">
        <is>
          <t>Medical Peripheral 4</t>
        </is>
      </c>
      <c r="BB1" t="inlineStr">
        <is>
          <t>Medical Peripheral 5</t>
        </is>
      </c>
      <c r="BC1" t="inlineStr">
        <is>
          <t>Asset ID 1</t>
        </is>
      </c>
      <c r="BD1" t="inlineStr">
        <is>
          <t>Asset ID 2</t>
        </is>
      </c>
      <c r="BE1" t="inlineStr">
        <is>
          <t>Asset ID 3</t>
        </is>
      </c>
      <c r="BF1" t="inlineStr">
        <is>
          <t>Asset ID 4</t>
        </is>
      </c>
      <c r="BG1" t="inlineStr">
        <is>
          <t>Asset ID 5</t>
        </is>
      </c>
      <c r="BH1" t="inlineStr">
        <is>
          <t>Baud Rate 1</t>
        </is>
      </c>
      <c r="BI1" t="inlineStr">
        <is>
          <t>Baud Rate 2</t>
        </is>
      </c>
      <c r="BJ1" t="inlineStr">
        <is>
          <t>Baud Rate 3</t>
        </is>
      </c>
      <c r="BK1" t="inlineStr">
        <is>
          <t>Baud Rate 4</t>
        </is>
      </c>
      <c r="BL1" t="inlineStr">
        <is>
          <t>Baud Rate 5</t>
        </is>
      </c>
      <c r="BM1" t="inlineStr">
        <is>
          <t>Parity 1</t>
        </is>
      </c>
      <c r="BN1" t="inlineStr">
        <is>
          <t>Parity 2</t>
        </is>
      </c>
      <c r="BO1" t="inlineStr">
        <is>
          <t>Parity 3</t>
        </is>
      </c>
      <c r="BP1" t="inlineStr">
        <is>
          <t>Parity 4</t>
        </is>
      </c>
      <c r="BQ1" t="inlineStr">
        <is>
          <t>Parity 5</t>
        </is>
      </c>
      <c r="BR1" t="inlineStr">
        <is>
          <t>Neuron Power Cable Present</t>
        </is>
      </c>
      <c r="BS1" t="inlineStr">
        <is>
          <t>Battery Present</t>
        </is>
      </c>
      <c r="BT1" t="inlineStr">
        <is>
          <t>Has Barcode Scanner</t>
        </is>
      </c>
      <c r="BU1" t="inlineStr">
        <is>
          <t>Has Badge Scanner</t>
        </is>
      </c>
      <c r="BV1" t="inlineStr">
        <is>
          <t>Tickets Submitted</t>
        </is>
      </c>
      <c r="BW1" t="inlineStr">
        <is>
          <t>Ready for Deployment</t>
        </is>
      </c>
      <c r="BX1" t="inlineStr">
        <is>
          <t>Configuration Date</t>
        </is>
      </c>
      <c r="BY1" t="inlineStr">
        <is>
          <t>Notes</t>
        </is>
      </c>
      <c r="BZ1" t="inlineStr">
        <is>
          <t>IT Device Status</t>
        </is>
      </c>
      <c r="CA1" t="inlineStr">
        <is>
          <t>Software List</t>
        </is>
      </c>
      <c r="CB1" t="inlineStr">
        <is>
          <t>Device ID Assigned</t>
        </is>
      </c>
      <c r="CC1" t="inlineStr">
        <is>
          <t>Epic Beans Data Sent</t>
        </is>
      </c>
      <c r="CD1" t="inlineStr">
        <is>
          <t>Blocker Reason</t>
        </is>
      </c>
      <c r="CE1" t="inlineStr">
        <is>
          <t>Readiness (Auto)</t>
        </is>
      </c>
      <c r="CF1" t="inlineStr">
        <is>
          <t>Has Mouse</t>
        </is>
      </c>
      <c r="CG1" t="inlineStr">
        <is>
          <t>Has Keyboard</t>
        </is>
      </c>
      <c r="CH1" t="inlineStr">
        <is>
          <t>Has New Ethernet</t>
        </is>
      </c>
      <c r="CI1" t="inlineStr">
        <is>
          <t>Has New Breakaway</t>
        </is>
      </c>
      <c r="CJ1" t="inlineStr">
        <is>
          <t>GCX Arm Deployed</t>
        </is>
      </c>
      <c r="CK1" t="inlineStr">
        <is>
          <t>Baud Rate</t>
        </is>
      </c>
      <c r="CL1" t="inlineStr">
        <is>
          <t>Part Numbers</t>
        </is>
      </c>
      <c r="CM1" t="inlineStr">
        <is>
          <t>GCX Arm Part Numbers</t>
        </is>
      </c>
      <c r="CN1" t="inlineStr">
        <is>
          <t>Pallet Association</t>
        </is>
      </c>
      <c r="CO1" t="inlineStr">
        <is>
          <t>PalletID (Manual)</t>
        </is>
      </c>
      <c r="CP1" t="inlineStr">
        <is>
          <t>Warehouse Location (AUTO)</t>
        </is>
      </c>
      <c r="CQ1" t="inlineStr">
        <is>
          <t>Pallet Status (AUTO)</t>
        </is>
      </c>
      <c r="CR1" t="inlineStr">
        <is>
          <t>Last Move TS (AUTO)</t>
        </is>
      </c>
      <c r="CS1" t="inlineStr">
        <is>
          <t>Manual Reallocation Notes</t>
        </is>
      </c>
      <c r="CT1" t="inlineStr">
        <is>
          <t>Old Hostname</t>
        </is>
      </c>
      <c r="CU1" t="inlineStr">
        <is>
          <t>A Secret Next Thing</t>
        </is>
      </c>
      <c r="CV1" t="inlineStr">
        <is>
          <t>A Secret Next Thing2</t>
        </is>
      </c>
      <c r="CW1" t="inlineStr">
        <is>
          <t>PI_Rejection_Logic (AUTO)</t>
        </is>
      </c>
    </row>
    <row r="2">
      <c r="A2" t="inlineStr">
        <is>
          <t>Cybernet-Neuron</t>
        </is>
      </c>
      <c r="B2" t="inlineStr">
        <is>
          <t>Yes</t>
        </is>
      </c>
      <c r="C2" t="inlineStr">
        <is>
          <t>Yes</t>
        </is>
      </c>
      <c r="D2">
        <f>IF($B2&lt;&gt;"Yes","",IF($C2="No","Yes",IF($C2="Yes","No","")))</f>
        <v/>
      </c>
      <c r="E2">
        <f>IF($A2="","",IF(OR(AND($V2&lt;&gt;"",LOWER(TRIM($V2))&lt;&gt;"n/a",LOWER(TRIM($V2))&lt;&gt;"na",SUMPRODUCT(--(UPPER(TRIM($V$2:$V$518))=UPPER(TRIM($V2))),--(TRIM($V$2:$V$518)&lt;&gt;""),--(LOWER(TRIM($V$2:$V$518))&lt;&gt;"n/a"),--(LOWER(TRIM($V$2:$V$518))&lt;&gt;"na"))&gt;1),AND($W2&lt;&gt;"",LOWER(TRIM($W2))&lt;&gt;"n/a",LOWER(TRIM($W2))&lt;&gt;"na",SUMPRODUCT(--(UPPER(TRIM($W$2:$W$518))=UPPER(TRIM($W2))),--(TRIM($W$2:$W$518)&lt;&gt;""),--(LOWER(TRIM($W$2:$W$518))&lt;&gt;"n/a"),--(LOWER(TRIM($W$2:$W$518))&lt;&gt;"na"))&gt;1),AND($X2&lt;&gt;"",LOWER(TRIM($X2))&lt;&gt;"n/a",LOWER(TRIM($X2))&lt;&gt;"na",SUMPRODUCT(--(UPPER(TRIM($X$2:$X$518))=UPPER(TRIM($X2))),--(TRIM($X$2:$X$518)&lt;&gt;""),--(LOWER(TRIM($X$2:$X$518))&lt;&gt;"n/a"),--(LOWER(TRIM($X$2:$X$518))&lt;&gt;"na"))&gt;1),AND($Y2&lt;&gt;"",LOWER(TRIM($Y2))&lt;&gt;"n/a",LOWER(TRIM($Y2))&lt;&gt;"na",SUMPRODUCT(--(UPPER(SUBSTITUTE(SUBSTITUTE(TRIM($Y$2:$Y$518),":",""),"-",""))=UPPER(SUBSTITUTE(SUBSTITUTE(TRIM($Y2),":",""),"-",""))),--(TRIM($Y$2:$Y$518)&lt;&gt;""),--(LOWER(TRIM($Y$2:$Y$518))&lt;&gt;"n/a"),--(LOWER(TRIM($Y$2:$Y$518))&lt;&gt;"na"))&gt;1),AND($AB2&lt;&gt;"",LOWER(TRIM($AB2))&lt;&gt;"n/a",LOWER(TRIM($AB2))&lt;&gt;"na",SUMPRODUCT(--(UPPER(TRIM($AB$2:$AB$518))=UPPER(TRIM($AB2))),--(TRIM($AB$2:$AB$518)&lt;&gt;""),--(LOWER(TRIM($AB$2:$AB$518))&lt;&gt;"n/a"),--(LOWER(TRIM($AB$2:$AB$518))&lt;&gt;"na"))&gt;1),AND($AH2&lt;&gt;"",LOWER(TRIM($AH2))&lt;&gt;"n/a",LOWER(TRIM($AH2))&lt;&gt;"na",SUMPRODUCT(--(UPPER(SUBSTITUTE(SUBSTITUTE(TRIM($AH$2:$AH$518),":",""),"-",""))=UPPER(SUBSTITUTE(SUBSTITUTE(TRIM($AH2),":",""),"-",""))),--(TRIM($AH$2:$AH$518)&lt;&gt;""),--(LOWER(TRIM($AH$2:$AH$518))&lt;&gt;"n/a"),--(LOWER(TRIM($AH$2:$AH$518))&lt;&gt;"na"))&gt;1),AND($AP2&lt;&gt;"",LOWER(TRIM($AP2))&lt;&gt;"n/a",LOWER(TRIM($AP2))&lt;&gt;"na",SUMPRODUCT(--(UPPER(TRIM($AP$2:$AP$518))=UPPER(TRIM($AP2))),--(TRIM($AP$2:$AP$518)&lt;&gt;""),--(LOWER(TRIM($AP$2:$AP$518))&lt;&gt;"n/a"),--(LOWER(TRIM($AP$2:$AP$518))&lt;&gt;"na"))&gt;1),AND($AQ2&lt;&gt;"",LOWER(TRIM($AQ2))&lt;&gt;"n/a",LOWER(TRIM($AQ2))&lt;&gt;"na",SUMPRODUCT(--(UPPER(TRIM($AQ$2:$AQ$518))=UPPER(TRIM($AQ2))),--(TRIM($AQ$2:$AQ$518)&lt;&gt;""),--(LOWER(TRIM($AQ$2:$AQ$518))&lt;&gt;"n/a"),--(LOWER(TRIM($AQ$2:$AQ$518))&lt;&gt;"na"))&gt;1)),"Yes","No"))</f>
        <v/>
      </c>
      <c r="F2">
        <f>IF(UPPER(TRIM($B2))&lt;&gt;"YES","", IF(OR(AND($V2&lt;&gt;"", LOWER(TRIM($V2))&lt;&gt;"n/a", LOWER(TRIM($V2))&lt;&gt;"na", SUMPRODUCT(--(UPPER(TRIM($V$2:$V$518))=UPPER(TRIM($V2))), --(UPPER(TRIM($B$2:$B$518))="YES"), --(UPPER(TRIM($G$2:$G$518)&amp;TRIM($I$2:$I$518)&amp;TRIM($J$2:$J$518))&lt;&gt;UPPER(TRIM($G2)&amp;TRIM($I2)&amp;TRIM($J2))))&gt;0), AND($W2&lt;&gt;"", LOWER(TRIM($W2))&lt;&gt;"n/a", LOWER(TRIM($W2))&lt;&gt;"na", SUMPRODUCT(--(UPPER(TRIM($W$2:$W$518))=UPPER(TRIM($W2))), --(UPPER(TRIM($B$2:$B$518))="YES"), --(UPPER(TRIM($G$2:$G$518)&amp;TRIM($I$2:$I$518)&amp;TRIM($J$2:$J$518))&lt;&gt;UPPER(TRIM($G2)&amp;TRIM($I2)&amp;TRIM($J2))))&gt;0), AND($X2&lt;&gt;"", LOWER(TRIM($X2))&lt;&gt;"n/a", LOWER(TRIM($X2))&lt;&gt;"na", SUMPRODUCT(--(UPPER(TRIM($X$2:$X$518))=UPPER(TRIM($X2))), --(UPPER(TRIM($B$2:$B$518))="YES"), --(UPPER(TRIM($G$2:$G$518)&amp;TRIM($I$2:$I$518)&amp;TRIM($J$2:$J$518))&lt;&gt;UPPER(TRIM($G2)&amp;TRIM($I2)&amp;TRIM($J2))))&gt;0), AND($Y2&lt;&gt;"", LOWER(TRIM($Y2))&lt;&gt;"n/a", LOWER(TRIM($Y2))&lt;&gt;"na", SUMPRODUCT(--(UPPER(SUBSTITUTE(SUBSTITUTE(TRIM($Y$2:$Y$518),":",""),"-",""))=UPPER(SUBSTITUTE(SUBSTITUTE(TRIM($Y2),":",""),"-",""))), --(UPPER(TRIM($B$2:$B$518))="YES"), --(UPPER(TRIM($G$2:$G$518)&amp;TRIM($I$2:$I$518)&amp;TRIM($J$2:$J$518))&lt;&gt;UPPER(TRIM($G2)&amp;TRIM($I2)&amp;TRIM($J2))))&gt;0), AND($AB2&lt;&gt;"", LOWER(TRIM($AB2))&lt;&gt;"n/a", LOWER(TRIM($AB2))&lt;&gt;"na", SUMPRODUCT(--(UPPER(TRIM($AB$2:$AB$518))=UPPER(TRIM($AB2))), --(UPPER(TRIM($B$2:$B$518))="YES"), --(UPPER(TRIM($G$2:$G$518)&amp;TRIM($I$2:$I$518)&amp;TRIM($J$2:$J$518))&lt;&gt;UPPER(TRIM($G2)&amp;TRIM($I2)&amp;TRIM($J2))))&gt;0), AND($AH2&lt;&gt;"", LOWER(TRIM($AH2))&lt;&gt;"n/a", LOWER(TRIM($AH2))&lt;&gt;"na", SUMPRODUCT(--(UPPER(SUBSTITUTE(SUBSTITUTE(TRIM($AH$2:$AH$518),":",""),"-",""))=UPPER(SUBSTITUTE(SUBSTITUTE(TRIM($AH2),":",""),"-",""))), --(UPPER(TRIM($B$2:$B$518))="YES"), --(UPPER(TRIM($G$2:$G$518)&amp;TRIM($I$2:$I$518)&amp;TRIM($J$2:$J$518))&lt;&gt;UPPER(TRIM($G2)&amp;TRIM($I2)&amp;TRIM($J2))))&gt;0), AND($AP2&lt;&gt;"", LOWER(TRIM($AP2))&lt;&gt;"n/a", LOWER(TRIM($AP2))&lt;&gt;"na", SUMPRODUCT(--(UPPER(TRIM($AP$2:$AP$518))=UPPER(TRIM($AP2))), --(UPPER(TRIM($B$2:$B$518))="YES"), --(UPPER(TRIM($G$2:$G$518)&amp;TRIM($I$2:$I$518)&amp;TRIM($J$2:$J$518))&lt;&gt;UPPER(TRIM($G2)&amp;TRIM($I2)&amp;TRIM($J2))))&gt;0), AND($AQ2&lt;&gt;"", LOWER(TRIM($AQ2))&lt;&gt;"n/a", LOWER(TRIM($AQ2))&lt;&gt;"na", SUMPRODUCT(--(UPPER(TRIM($AQ$2:$AQ$518))=UPPER(TRIM($AQ2))), --(UPPER(TRIM($B$2:$B$518))="YES"), --(UPPER(TRIM($G$2:$G$518)&amp;TRIM($I$2:$I$518)&amp;TRIM($J$2:$J$518))&lt;&gt;UPPER(TRIM($G2)&amp;TRIM($I2)&amp;TRIM($J2))))&gt;0)), "Yes", "No"))</f>
        <v/>
      </c>
      <c r="G2" t="inlineStr">
        <is>
          <t>NSUH - PSP</t>
        </is>
      </c>
      <c r="H2" t="inlineStr">
        <is>
          <t>NSUH - PSP</t>
        </is>
      </c>
      <c r="I2" t="inlineStr">
        <is>
          <t>Main ORs - PSP - 2nd Floor</t>
        </is>
      </c>
      <c r="J2" t="inlineStr">
        <is>
          <t xml:space="preserve">OR 19 </t>
        </is>
      </c>
      <c r="K2" t="inlineStr">
        <is>
          <t>n/a</t>
        </is>
      </c>
      <c r="L2" s="18" t="n">
        <v>46116</v>
      </c>
      <c r="M2" t="inlineStr">
        <is>
          <t>OR Cybernet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Inpatient</t>
        </is>
      </c>
      <c r="R2" t="inlineStr">
        <is>
          <t>Yes</t>
        </is>
      </c>
      <c r="U2" t="inlineStr">
        <is>
          <t>Dr. Palilla, Timothy W. Seeberger</t>
        </is>
      </c>
      <c r="V2" t="inlineStr">
        <is>
          <t>WMH300OPR365</t>
        </is>
      </c>
      <c r="W2" t="inlineStr">
        <is>
          <t>MEDSG2425F-0139</t>
        </is>
      </c>
      <c r="X2" t="inlineStr">
        <is>
          <t>NSUH-MACH-MM</t>
        </is>
      </c>
      <c r="Y2" t="inlineStr">
        <is>
          <t>A0F5097FDFF1</t>
        </is>
      </c>
      <c r="AB2" t="inlineStr">
        <is>
          <t>WA24406226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  <c r="AH2" t="inlineStr">
        <is>
          <t>000D050AA58D</t>
        </is>
      </c>
      <c r="AI2" t="inlineStr">
        <is>
          <t>Anesthesia Machine</t>
        </is>
      </c>
      <c r="AJ2" t="n">
        <v>452513</v>
      </c>
      <c r="AL2" t="inlineStr">
        <is>
          <t>7102-444 / 445</t>
        </is>
      </c>
      <c r="AM2" t="inlineStr">
        <is>
          <t>GE Healthcare</t>
        </is>
      </c>
      <c r="AN2" t="inlineStr">
        <is>
          <t>Aisys CS2</t>
        </is>
      </c>
      <c r="AP2" t="inlineStr">
        <is>
          <t>010084068210229221APWC0265611230915</t>
        </is>
      </c>
      <c r="AQ2" s="65" t="inlineStr">
        <is>
          <t>010084068210229221APWC0265611230915</t>
        </is>
      </c>
      <c r="AS2" t="inlineStr">
        <is>
          <t>GE Canvas 1000: 833-08, SPEC999015 / GE G1500213: 133-08C</t>
        </is>
      </c>
      <c r="AX2" t="inlineStr">
        <is>
          <t>GE Canvas 1000: 165HA / GE G1500213: 091181400</t>
        </is>
      </c>
      <c r="AY2" t="inlineStr">
        <is>
          <t>010084068210229221APWC0265611230915</t>
        </is>
      </c>
      <c r="BC2" t="n">
        <v>452513</v>
      </c>
      <c r="BD2" t="n">
        <v>452512</v>
      </c>
      <c r="BH2" t="n">
        <v>115200</v>
      </c>
      <c r="BI2" t="n">
        <v>19200</v>
      </c>
      <c r="BM2" t="inlineStr">
        <is>
          <t>E81</t>
        </is>
      </c>
      <c r="BN2" t="inlineStr">
        <is>
          <t>O71</t>
        </is>
      </c>
      <c r="BR2" t="inlineStr">
        <is>
          <t>Yes</t>
        </is>
      </c>
      <c r="BS2" t="inlineStr">
        <is>
          <t>Yes</t>
        </is>
      </c>
      <c r="BT2" t="inlineStr">
        <is>
          <t>Yes</t>
        </is>
      </c>
      <c r="CF2" t="inlineStr">
        <is>
          <t>Yes</t>
        </is>
      </c>
      <c r="CG2" t="inlineStr">
        <is>
          <t>Yes</t>
        </is>
      </c>
      <c r="CH2" t="inlineStr">
        <is>
          <t>Yes</t>
        </is>
      </c>
      <c r="CI2" t="inlineStr">
        <is>
          <t>Yes</t>
        </is>
      </c>
      <c r="CJ2" t="inlineStr">
        <is>
          <t>Yes</t>
        </is>
      </c>
      <c r="CW2">
        <f>IF($S2="","",IF(UPPER(TRIM($S2))&lt;&gt;"PASS","",IF(LEN(TRIM($BY2))&gt;0,"NOTES_PRESENT",IF(LEN(TRIM($T2))=0,"SET_NA",IF(OR(LOWER(TRIM($T2))="na",LOWER(TRIM($T2))="n/a"),"OK","MANUAL_OVERRIDE")))))</f>
        <v/>
      </c>
    </row>
    <row r="3">
      <c r="A3" t="inlineStr">
        <is>
          <t>Cybernet-Neuron</t>
        </is>
      </c>
      <c r="B3" t="inlineStr">
        <is>
          <t>Yes</t>
        </is>
      </c>
      <c r="C3" t="inlineStr">
        <is>
          <t>Yes</t>
        </is>
      </c>
      <c r="D3">
        <f>IF($B3&lt;&gt;"Yes","",IF($C3="No","Yes",IF($C3="Yes","No","")))</f>
        <v/>
      </c>
      <c r="E3">
        <f>IF($A3="","",IF(OR(AND($V3&lt;&gt;"",LOWER(TRIM($V3))&lt;&gt;"n/a",LOWER(TRIM($V3))&lt;&gt;"na",SUMPRODUCT(--(UPPER(TRIM($V$2:$V$518))=UPPER(TRIM($V3))),--(TRIM($V$2:$V$518)&lt;&gt;""),--(LOWER(TRIM($V$2:$V$518))&lt;&gt;"n/a"),--(LOWER(TRIM($V$2:$V$518))&lt;&gt;"na"))&gt;1),AND($W3&lt;&gt;"",LOWER(TRIM($W3))&lt;&gt;"n/a",LOWER(TRIM($W3))&lt;&gt;"na",SUMPRODUCT(--(UPPER(TRIM($W$2:$W$518))=UPPER(TRIM($W3))),--(TRIM($W$2:$W$518)&lt;&gt;""),--(LOWER(TRIM($W$2:$W$518))&lt;&gt;"n/a"),--(LOWER(TRIM($W$2:$W$518))&lt;&gt;"na"))&gt;1),AND($X3&lt;&gt;"",LOWER(TRIM($X3))&lt;&gt;"n/a",LOWER(TRIM($X3))&lt;&gt;"na",SUMPRODUCT(--(UPPER(TRIM($X$2:$X$518))=UPPER(TRIM($X3))),--(TRIM($X$2:$X$518)&lt;&gt;""),--(LOWER(TRIM($X$2:$X$518))&lt;&gt;"n/a"),--(LOWER(TRIM($X$2:$X$518))&lt;&gt;"na"))&gt;1),AND($Y3&lt;&gt;"",LOWER(TRIM($Y3))&lt;&gt;"n/a",LOWER(TRIM($Y3))&lt;&gt;"na",SUMPRODUCT(--(UPPER(SUBSTITUTE(SUBSTITUTE(TRIM($Y$2:$Y$518),":",""),"-",""))=UPPER(SUBSTITUTE(SUBSTITUTE(TRIM($Y3),":",""),"-",""))),--(TRIM($Y$2:$Y$518)&lt;&gt;""),--(LOWER(TRIM($Y$2:$Y$518))&lt;&gt;"n/a"),--(LOWER(TRIM($Y$2:$Y$518))&lt;&gt;"na"))&gt;1),AND($AB3&lt;&gt;"",LOWER(TRIM($AB3))&lt;&gt;"n/a",LOWER(TRIM($AB3))&lt;&gt;"na",SUMPRODUCT(--(UPPER(TRIM($AB$2:$AB$518))=UPPER(TRIM($AB3))),--(TRIM($AB$2:$AB$518)&lt;&gt;""),--(LOWER(TRIM($AB$2:$AB$518))&lt;&gt;"n/a"),--(LOWER(TRIM($AB$2:$AB$518))&lt;&gt;"na"))&gt;1),AND($AH3&lt;&gt;"",LOWER(TRIM($AH3))&lt;&gt;"n/a",LOWER(TRIM($AH3))&lt;&gt;"na",SUMPRODUCT(--(UPPER(SUBSTITUTE(SUBSTITUTE(TRIM($AH$2:$AH$518),":",""),"-",""))=UPPER(SUBSTITUTE(SUBSTITUTE(TRIM($AH3),":",""),"-",""))),--(TRIM($AH$2:$AH$518)&lt;&gt;""),--(LOWER(TRIM($AH$2:$AH$518))&lt;&gt;"n/a"),--(LOWER(TRIM($AH$2:$AH$518))&lt;&gt;"na"))&gt;1),AND($AP3&lt;&gt;"",LOWER(TRIM($AP3))&lt;&gt;"n/a",LOWER(TRIM($AP3))&lt;&gt;"na",SUMPRODUCT(--(UPPER(TRIM($AP$2:$AP$518))=UPPER(TRIM($AP3))),--(TRIM($AP$2:$AP$518)&lt;&gt;""),--(LOWER(TRIM($AP$2:$AP$518))&lt;&gt;"n/a"),--(LOWER(TRIM($AP$2:$AP$518))&lt;&gt;"na"))&gt;1),AND($AQ3&lt;&gt;"",LOWER(TRIM($AQ3))&lt;&gt;"n/a",LOWER(TRIM($AQ3))&lt;&gt;"na",SUMPRODUCT(--(UPPER(TRIM($AQ$2:$AQ$518))=UPPER(TRIM($AQ3))),--(TRIM($AQ$2:$AQ$518)&lt;&gt;""),--(LOWER(TRIM($AQ$2:$AQ$518))&lt;&gt;"n/a"),--(LOWER(TRIM($AQ$2:$AQ$518))&lt;&gt;"na"))&gt;1)),"Yes","No"))</f>
        <v/>
      </c>
      <c r="F3">
        <f>IF(UPPER(TRIM($B3))&lt;&gt;"YES","", IF(OR(AND($V3&lt;&gt;"", LOWER(TRIM($V3))&lt;&gt;"n/a", LOWER(TRIM($V3))&lt;&gt;"na", SUMPRODUCT(--(UPPER(TRIM($V$2:$V$518))=UPPER(TRIM($V3))), --(UPPER(TRIM($B$2:$B$518))="YES"), --(UPPER(TRIM($G$2:$G$518)&amp;TRIM($I$2:$I$518)&amp;TRIM($J$2:$J$518))&lt;&gt;UPPER(TRIM($G3)&amp;TRIM($I3)&amp;TRIM($J3))))&gt;0), AND($W3&lt;&gt;"", LOWER(TRIM($W3))&lt;&gt;"n/a", LOWER(TRIM($W3))&lt;&gt;"na", SUMPRODUCT(--(UPPER(TRIM($W$2:$W$518))=UPPER(TRIM($W3))), --(UPPER(TRIM($B$2:$B$518))="YES"), --(UPPER(TRIM($G$2:$G$518)&amp;TRIM($I$2:$I$518)&amp;TRIM($J$2:$J$518))&lt;&gt;UPPER(TRIM($G3)&amp;TRIM($I3)&amp;TRIM($J3))))&gt;0), AND($X3&lt;&gt;"", LOWER(TRIM($X3))&lt;&gt;"n/a", LOWER(TRIM($X3))&lt;&gt;"na", SUMPRODUCT(--(UPPER(TRIM($X$2:$X$518))=UPPER(TRIM($X3))), --(UPPER(TRIM($B$2:$B$518))="YES"), --(UPPER(TRIM($G$2:$G$518)&amp;TRIM($I$2:$I$518)&amp;TRIM($J$2:$J$518))&lt;&gt;UPPER(TRIM($G3)&amp;TRIM($I3)&amp;TRIM($J3))))&gt;0), AND($Y3&lt;&gt;"", LOWER(TRIM($Y3))&lt;&gt;"n/a", LOWER(TRIM($Y3))&lt;&gt;"na", SUMPRODUCT(--(UPPER(SUBSTITUTE(SUBSTITUTE(TRIM($Y$2:$Y$518),":",""),"-",""))=UPPER(SUBSTITUTE(SUBSTITUTE(TRIM($Y3),":",""),"-",""))), --(UPPER(TRIM($B$2:$B$518))="YES"), --(UPPER(TRIM($G$2:$G$518)&amp;TRIM($I$2:$I$518)&amp;TRIM($J$2:$J$518))&lt;&gt;UPPER(TRIM($G3)&amp;TRIM($I3)&amp;TRIM($J3))))&gt;0), AND($AB3&lt;&gt;"", LOWER(TRIM($AB3))&lt;&gt;"n/a", LOWER(TRIM($AB3))&lt;&gt;"na", SUMPRODUCT(--(UPPER(TRIM($AB$2:$AB$518))=UPPER(TRIM($AB3))), --(UPPER(TRIM($B$2:$B$518))="YES"), --(UPPER(TRIM($G$2:$G$518)&amp;TRIM($I$2:$I$518)&amp;TRIM($J$2:$J$518))&lt;&gt;UPPER(TRIM($G3)&amp;TRIM($I3)&amp;TRIM($J3))))&gt;0), AND($AH3&lt;&gt;"", LOWER(TRIM($AH3))&lt;&gt;"n/a", LOWER(TRIM($AH3))&lt;&gt;"na", SUMPRODUCT(--(UPPER(SUBSTITUTE(SUBSTITUTE(TRIM($AH$2:$AH$518),":",""),"-",""))=UPPER(SUBSTITUTE(SUBSTITUTE(TRIM($AH3),":",""),"-",""))), --(UPPER(TRIM($B$2:$B$518))="YES"), --(UPPER(TRIM($G$2:$G$518)&amp;TRIM($I$2:$I$518)&amp;TRIM($J$2:$J$518))&lt;&gt;UPPER(TRIM($G3)&amp;TRIM($I3)&amp;TRIM($J3))))&gt;0), AND($AP3&lt;&gt;"", LOWER(TRIM($AP3))&lt;&gt;"n/a", LOWER(TRIM($AP3))&lt;&gt;"na", SUMPRODUCT(--(UPPER(TRIM($AP$2:$AP$518))=UPPER(TRIM($AP3))), --(UPPER(TRIM($B$2:$B$518))="YES"), --(UPPER(TRIM($G$2:$G$518)&amp;TRIM($I$2:$I$518)&amp;TRIM($J$2:$J$518))&lt;&gt;UPPER(TRIM($G3)&amp;TRIM($I3)&amp;TRIM($J3))))&gt;0), AND($AQ3&lt;&gt;"", LOWER(TRIM($AQ3))&lt;&gt;"n/a", LOWER(TRIM($AQ3))&lt;&gt;"na", SUMPRODUCT(--(UPPER(TRIM($AQ$2:$AQ$518))=UPPER(TRIM($AQ3))), --(UPPER(TRIM($B$2:$B$518))="YES"), --(UPPER(TRIM($G$2:$G$518)&amp;TRIM($I$2:$I$518)&amp;TRIM($J$2:$J$518))&lt;&gt;UPPER(TRIM($G3)&amp;TRIM($I3)&amp;TRIM($J3))))&gt;0)), "Yes", "No"))</f>
        <v/>
      </c>
      <c r="G3" t="inlineStr">
        <is>
          <t>NSUH - PSP</t>
        </is>
      </c>
      <c r="H3" t="inlineStr">
        <is>
          <t>NSUH - PSP</t>
        </is>
      </c>
      <c r="I3" t="inlineStr">
        <is>
          <t>Main ORs - PSP - 2nd Floor</t>
        </is>
      </c>
      <c r="J3" t="inlineStr">
        <is>
          <t>OR29</t>
        </is>
      </c>
      <c r="K3" t="inlineStr">
        <is>
          <t>n/a</t>
        </is>
      </c>
      <c r="L3" s="18" t="n">
        <v>46116</v>
      </c>
      <c r="M3" t="inlineStr">
        <is>
          <t>OR Cybernet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Inpatient</t>
        </is>
      </c>
      <c r="R3" t="inlineStr">
        <is>
          <t>Yes</t>
        </is>
      </c>
      <c r="S3" t="inlineStr">
        <is>
          <t>Fail</t>
        </is>
      </c>
      <c r="T3" t="inlineStr">
        <is>
          <t>Inadequate Imprivata access and permissions to sync</t>
        </is>
      </c>
      <c r="V3" t="inlineStr">
        <is>
          <t>WMH300OPR403</t>
        </is>
      </c>
      <c r="W3" t="inlineStr">
        <is>
          <t>MEDSG2425F-0137</t>
        </is>
      </c>
      <c r="X3" t="inlineStr">
        <is>
          <t>NSUH-MACH-CCC</t>
        </is>
      </c>
      <c r="Y3" t="inlineStr">
        <is>
          <t>A0F5097B8B9A</t>
        </is>
      </c>
      <c r="AB3" t="inlineStr">
        <is>
          <t>WA25203823</t>
        </is>
      </c>
      <c r="AC3" t="inlineStr">
        <is>
          <t>NSUH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I3" t="inlineStr">
        <is>
          <t>Anesthesia Machine</t>
        </is>
      </c>
      <c r="AJ3" t="n">
        <v>452533</v>
      </c>
      <c r="AL3" t="inlineStr">
        <is>
          <t xml:space="preserve"> 070-4477 / 0702-021 </t>
        </is>
      </c>
      <c r="AM3" t="inlineStr">
        <is>
          <t>GE Healthcare</t>
        </is>
      </c>
      <c r="AN3" t="inlineStr">
        <is>
          <t>Aisys CS2</t>
        </is>
      </c>
      <c r="AP3" t="inlineStr">
        <is>
          <t>010084068210229221APWC0264511230915</t>
        </is>
      </c>
      <c r="AQ3" t="inlineStr">
        <is>
          <t>010084068210229221APWC0264511230915</t>
        </is>
      </c>
      <c r="AS3" t="inlineStr">
        <is>
          <t>GE Canvas 1000: 833-08 / GE G1500213: 133-08C</t>
        </is>
      </c>
      <c r="AT3" t="inlineStr">
        <is>
          <t>B1-CFU</t>
        </is>
      </c>
      <c r="AX3" s="65" t="inlineStr">
        <is>
          <t>GE Canvas 1000: 193HA / GE G1500213: 091181404</t>
        </is>
      </c>
      <c r="AY3" t="inlineStr">
        <is>
          <t>010084068210229221APWC0264511230915</t>
        </is>
      </c>
      <c r="BC3" t="n">
        <v>452533</v>
      </c>
      <c r="BD3" t="n">
        <v>452532</v>
      </c>
      <c r="BH3" t="n">
        <v>115200</v>
      </c>
      <c r="BI3" t="n">
        <v>19200</v>
      </c>
      <c r="BM3" t="inlineStr">
        <is>
          <t>E81</t>
        </is>
      </c>
      <c r="BN3" t="inlineStr">
        <is>
          <t>O71</t>
        </is>
      </c>
      <c r="BR3" t="inlineStr">
        <is>
          <t>Yes</t>
        </is>
      </c>
      <c r="BS3" t="inlineStr">
        <is>
          <t>Yes</t>
        </is>
      </c>
      <c r="BT3" t="inlineStr">
        <is>
          <t>Yes</t>
        </is>
      </c>
      <c r="BZ3" t="inlineStr">
        <is>
          <t>In Storage</t>
        </is>
      </c>
      <c r="CD3">
        <f>IF($Y3="","",IF((IF(AND($BR3&lt;&gt;"Yes",$BR3&lt;&gt;"N/A"),"Power Cable, ","")&amp;IF(AND($BS3&lt;&gt;"Yes",$BS3&lt;&gt;"N/A"),"Battery, ","")&amp;IF(AND($AD3&lt;&gt;"Yes",$AD3&lt;&gt;"N/A"),"Firmware Download, ","")&amp;IF(AND(OR($AD3="Yes",$AD3="N/A"),$AE3&lt;&gt;"Yes",$AE3&lt;&gt;"N/A"),"Firmware Install, ","")&amp;IF(AND($CB3&lt;&gt;"Yes",$CB3&lt;&gt;"N/A"),"Device ID, ","")&amp;IF(AND($CC3&lt;&gt;"Yes",$CC3&lt;&gt;"N/A"),"Epic Beans Relay, ",""))="","",LEFT(IF(AND($BR3&lt;&gt;"Yes",$BR3&lt;&gt;"N/A"),"Power Cable, ","")&amp;IF(AND($BS3&lt;&gt;"Yes",$BS3&lt;&gt;"N/A"),"Battery, ","")&amp;IF(AND($AD3&lt;&gt;"Yes",$AD3&lt;&gt;"N/A"),"Firmware Download, ","")&amp;IF(AND(OR($AD3="Yes",$AD3="N/A"),$AE3&lt;&gt;"Yes",$AE3&lt;&gt;"N/A"),"Firmware Install, ","")&amp;IF(AND($CB3&lt;&gt;"Yes",$CB3&lt;&gt;"N/A"),"Device ID, ","")&amp;IF(AND($CC3&lt;&gt;"Yes",$CC3&lt;&gt;"N/A"),"Epic Beans Relay, ",""),LEN(IF(AND($BR3&lt;&gt;"Yes",$BR3&lt;&gt;"N/A"),"Power Cable, ","")&amp;IF(AND($BS3&lt;&gt;"Yes",$BS3&lt;&gt;"N/A"),"Battery, ","")&amp;IF(AND($AD3&lt;&gt;"Yes",$AD3&lt;&gt;"N/A"),"Firmware Download, ","")&amp;IF(AND(OR($AD3="Yes",$AD3="N/A"),$AE3&lt;&gt;"Yes",$AE3&lt;&gt;"N/A"),"Firmware Install, ","")&amp;IF(AND($CB3&lt;&gt;"Yes",$CB3&lt;&gt;"N/A"),"Device ID, ","")&amp;IF(AND($CC3&lt;&gt;"Yes",$CC3&lt;&gt;"N/A"),"Epic Beans Relay, ",""))-2)))</f>
        <v/>
      </c>
      <c r="CE3">
        <f>IF($Y3="","",IF($CD3="","Yes","Blocked"))</f>
        <v/>
      </c>
      <c r="CF3" t="inlineStr">
        <is>
          <t>Yes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Yes</t>
        </is>
      </c>
      <c r="CP3">
        <f>IF($CO3="","",IFERROR(VLOOKUP($CO3,'01_Warehouse_Ledger'!$A:$N,4,FALSE),""))</f>
        <v/>
      </c>
      <c r="CQ3">
        <f>IF($CO3="","",IFERROR(VLOOKUP($CO3,'01_Warehouse_Ledger'!$A:$N,5,FALSE),""))</f>
        <v/>
      </c>
      <c r="CR3">
        <f>IF($CO3="","",IFERROR(VLOOKUP($CO3,'01_Warehouse_Ledger'!$A:$N,13,FALSE),""))</f>
        <v/>
      </c>
      <c r="CW3">
        <f>IF($S3="","",IF(UPPER(TRIM($S3))&lt;&gt;"PASS","",IF(LEN(TRIM($BY3))&gt;0,"NOTES_PRESENT",IF(LEN(TRIM($T3))=0,"SET_NA",IF(OR(LOWER(TRIM($T3))="na",LOWER(TRIM($T3))="n/a"),"OK","MANUAL_OVERRIDE")))))</f>
        <v/>
      </c>
    </row>
    <row r="4">
      <c r="A4" t="inlineStr">
        <is>
          <t>Neuron Cybernet</t>
        </is>
      </c>
      <c r="B4" t="inlineStr">
        <is>
          <t>Yes</t>
        </is>
      </c>
      <c r="C4" t="inlineStr">
        <is>
          <t>Yes</t>
        </is>
      </c>
      <c r="D4">
        <f>IF($B4&lt;&gt;"Yes","",IF($C4="No","Yes",IF($C4="Yes","No","")))</f>
        <v/>
      </c>
      <c r="E4">
        <f>IF($A4="","",IF(OR(AND($V4&lt;&gt;"",LOWER(TRIM($V4))&lt;&gt;"n/a",LOWER(TRIM($V4))&lt;&gt;"na",SUMPRODUCT(--(UPPER(TRIM($V$2:$V$518))=UPPER(TRIM($V4))),--(TRIM($V$2:$V$518)&lt;&gt;""),--(LOWER(TRIM($V$2:$V$518))&lt;&gt;"n/a"),--(LOWER(TRIM($V$2:$V$518))&lt;&gt;"na"))&gt;1),AND($W4&lt;&gt;"",LOWER(TRIM($W4))&lt;&gt;"n/a",LOWER(TRIM($W4))&lt;&gt;"na",SUMPRODUCT(--(UPPER(TRIM($W$2:$W$518))=UPPER(TRIM($W4))),--(TRIM($W$2:$W$518)&lt;&gt;""),--(LOWER(TRIM($W$2:$W$518))&lt;&gt;"n/a"),--(LOWER(TRIM($W$2:$W$518))&lt;&gt;"na"))&gt;1),AND($X4&lt;&gt;"",LOWER(TRIM($X4))&lt;&gt;"n/a",LOWER(TRIM($X4))&lt;&gt;"na",SUMPRODUCT(--(UPPER(TRIM($X$2:$X$518))=UPPER(TRIM($X4))),--(TRIM($X$2:$X$518)&lt;&gt;""),--(LOWER(TRIM($X$2:$X$518))&lt;&gt;"n/a"),--(LOWER(TRIM($X$2:$X$518))&lt;&gt;"na"))&gt;1),AND($Y4&lt;&gt;"",LOWER(TRIM($Y4))&lt;&gt;"n/a",LOWER(TRIM($Y4))&lt;&gt;"na",SUMPRODUCT(--(UPPER(SUBSTITUTE(SUBSTITUTE(TRIM($Y$2:$Y$518),":",""),"-",""))=UPPER(SUBSTITUTE(SUBSTITUTE(TRIM($Y4),":",""),"-",""))),--(TRIM($Y$2:$Y$518)&lt;&gt;""),--(LOWER(TRIM($Y$2:$Y$518))&lt;&gt;"n/a"),--(LOWER(TRIM($Y$2:$Y$518))&lt;&gt;"na"))&gt;1),AND($AB4&lt;&gt;"",LOWER(TRIM($AB4))&lt;&gt;"n/a",LOWER(TRIM($AB4))&lt;&gt;"na",SUMPRODUCT(--(UPPER(TRIM($AB$2:$AB$518))=UPPER(TRIM($AB4))),--(TRIM($AB$2:$AB$518)&lt;&gt;""),--(LOWER(TRIM($AB$2:$AB$518))&lt;&gt;"n/a"),--(LOWER(TRIM($AB$2:$AB$518))&lt;&gt;"na"))&gt;1),AND($AH4&lt;&gt;"",LOWER(TRIM($AH4))&lt;&gt;"n/a",LOWER(TRIM($AH4))&lt;&gt;"na",SUMPRODUCT(--(UPPER(SUBSTITUTE(SUBSTITUTE(TRIM($AH$2:$AH$518),":",""),"-",""))=UPPER(SUBSTITUTE(SUBSTITUTE(TRIM($AH4),":",""),"-",""))),--(TRIM($AH$2:$AH$518)&lt;&gt;""),--(LOWER(TRIM($AH$2:$AH$518))&lt;&gt;"n/a"),--(LOWER(TRIM($AH$2:$AH$518))&lt;&gt;"na"))&gt;1),AND($AP4&lt;&gt;"",LOWER(TRIM($AP4))&lt;&gt;"n/a",LOWER(TRIM($AP4))&lt;&gt;"na",SUMPRODUCT(--(UPPER(TRIM($AP$2:$AP$518))=UPPER(TRIM($AP4))),--(TRIM($AP$2:$AP$518)&lt;&gt;""),--(LOWER(TRIM($AP$2:$AP$518))&lt;&gt;"n/a"),--(LOWER(TRIM($AP$2:$AP$518))&lt;&gt;"na"))&gt;1),AND($AQ4&lt;&gt;"",LOWER(TRIM($AQ4))&lt;&gt;"n/a",LOWER(TRIM($AQ4))&lt;&gt;"na",SUMPRODUCT(--(UPPER(TRIM($AQ$2:$AQ$518))=UPPER(TRIM($AQ4))),--(TRIM($AQ$2:$AQ$518)&lt;&gt;""),--(LOWER(TRIM($AQ$2:$AQ$518))&lt;&gt;"n/a"),--(LOWER(TRIM($AQ$2:$AQ$518))&lt;&gt;"na"))&gt;1)),"Yes","No"))</f>
        <v/>
      </c>
      <c r="F4">
        <f>IF(UPPER(TRIM($B4))&lt;&gt;"YES","", IF(OR(AND($V4&lt;&gt;"", LOWER(TRIM($V4))&lt;&gt;"n/a", LOWER(TRIM($V4))&lt;&gt;"na", SUMPRODUCT(--(UPPER(TRIM($V$2:$V$518))=UPPER(TRIM($V4))), --(UPPER(TRIM($B$2:$B$518))="YES"), --(UPPER(TRIM($G$2:$G$518)&amp;TRIM($I$2:$I$518)&amp;TRIM($J$2:$J$518))&lt;&gt;UPPER(TRIM($G4)&amp;TRIM($I4)&amp;TRIM($J4))))&gt;0), AND($W4&lt;&gt;"", LOWER(TRIM($W4))&lt;&gt;"n/a", LOWER(TRIM($W4))&lt;&gt;"na", SUMPRODUCT(--(UPPER(TRIM($W$2:$W$518))=UPPER(TRIM($W4))), --(UPPER(TRIM($B$2:$B$518))="YES"), --(UPPER(TRIM($G$2:$G$518)&amp;TRIM($I$2:$I$518)&amp;TRIM($J$2:$J$518))&lt;&gt;UPPER(TRIM($G4)&amp;TRIM($I4)&amp;TRIM($J4))))&gt;0), AND($X4&lt;&gt;"", LOWER(TRIM($X4))&lt;&gt;"n/a", LOWER(TRIM($X4))&lt;&gt;"na", SUMPRODUCT(--(UPPER(TRIM($X$2:$X$518))=UPPER(TRIM($X4))), --(UPPER(TRIM($B$2:$B$518))="YES"), --(UPPER(TRIM($G$2:$G$518)&amp;TRIM($I$2:$I$518)&amp;TRIM($J$2:$J$518))&lt;&gt;UPPER(TRIM($G4)&amp;TRIM($I4)&amp;TRIM($J4))))&gt;0), AND($Y4&lt;&gt;"", LOWER(TRIM($Y4))&lt;&gt;"n/a", LOWER(TRIM($Y4))&lt;&gt;"na", SUMPRODUCT(--(UPPER(SUBSTITUTE(SUBSTITUTE(TRIM($Y$2:$Y$518),":",""),"-",""))=UPPER(SUBSTITUTE(SUBSTITUTE(TRIM($Y4),":",""),"-",""))), --(UPPER(TRIM($B$2:$B$518))="YES"), --(UPPER(TRIM($G$2:$G$518)&amp;TRIM($I$2:$I$518)&amp;TRIM($J$2:$J$518))&lt;&gt;UPPER(TRIM($G4)&amp;TRIM($I4)&amp;TRIM($J4))))&gt;0), AND($AB4&lt;&gt;"", LOWER(TRIM($AB4))&lt;&gt;"n/a", LOWER(TRIM($AB4))&lt;&gt;"na", SUMPRODUCT(--(UPPER(TRIM($AB$2:$AB$518))=UPPER(TRIM($AB4))), --(UPPER(TRIM($B$2:$B$518))="YES"), --(UPPER(TRIM($G$2:$G$518)&amp;TRIM($I$2:$I$518)&amp;TRIM($J$2:$J$518))&lt;&gt;UPPER(TRIM($G4)&amp;TRIM($I4)&amp;TRIM($J4))))&gt;0), AND($AH4&lt;&gt;"", LOWER(TRIM($AH4))&lt;&gt;"n/a", LOWER(TRIM($AH4))&lt;&gt;"na", SUMPRODUCT(--(UPPER(SUBSTITUTE(SUBSTITUTE(TRIM($AH$2:$AH$518),":",""),"-",""))=UPPER(SUBSTITUTE(SUBSTITUTE(TRIM($AH4),":",""),"-",""))), --(UPPER(TRIM($B$2:$B$518))="YES"), --(UPPER(TRIM($G$2:$G$518)&amp;TRIM($I$2:$I$518)&amp;TRIM($J$2:$J$518))&lt;&gt;UPPER(TRIM($G4)&amp;TRIM($I4)&amp;TRIM($J4))))&gt;0), AND($AP4&lt;&gt;"", LOWER(TRIM($AP4))&lt;&gt;"n/a", LOWER(TRIM($AP4))&lt;&gt;"na", SUMPRODUCT(--(UPPER(TRIM($AP$2:$AP$518))=UPPER(TRIM($AP4))), --(UPPER(TRIM($B$2:$B$518))="YES"), --(UPPER(TRIM($G$2:$G$518)&amp;TRIM($I$2:$I$518)&amp;TRIM($J$2:$J$518))&lt;&gt;UPPER(TRIM($G4)&amp;TRIM($I4)&amp;TRIM($J4))))&gt;0), AND($AQ4&lt;&gt;"", LOWER(TRIM($AQ4))&lt;&gt;"n/a", LOWER(TRIM($AQ4))&lt;&gt;"na", SUMPRODUCT(--(UPPER(TRIM($AQ$2:$AQ$518))=UPPER(TRIM($AQ4))), --(UPPER(TRIM($B$2:$B$518))="YES"), --(UPPER(TRIM($G$2:$G$518)&amp;TRIM($I$2:$I$518)&amp;TRIM($J$2:$J$518))&lt;&gt;UPPER(TRIM($G4)&amp;TRIM($I4)&amp;TRIM($J4))))&gt;0)), "Yes", "No"))</f>
        <v/>
      </c>
      <c r="G4" t="inlineStr">
        <is>
          <t>NSUH - PSP</t>
        </is>
      </c>
      <c r="H4" t="inlineStr">
        <is>
          <t>NSUH - PSP</t>
        </is>
      </c>
      <c r="I4" t="inlineStr">
        <is>
          <t>Legacy ORs - 2nd Floor</t>
        </is>
      </c>
      <c r="J4" t="inlineStr">
        <is>
          <t>OR21</t>
        </is>
      </c>
      <c r="K4" t="inlineStr">
        <is>
          <t>n/a</t>
        </is>
      </c>
      <c r="L4" s="18" t="n">
        <v>46116</v>
      </c>
      <c r="M4" t="inlineStr">
        <is>
          <t>OR Cybernet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Inpatient</t>
        </is>
      </c>
      <c r="R4" t="inlineStr">
        <is>
          <t>Yes</t>
        </is>
      </c>
      <c r="U4" t="inlineStr">
        <is>
          <t>Dr. Palilla, Timothy W. Seeberger</t>
        </is>
      </c>
      <c r="V4" t="inlineStr">
        <is>
          <t>WMH300OPR337</t>
        </is>
      </c>
      <c r="W4" t="inlineStr">
        <is>
          <t>MEDSG2425F-0180</t>
        </is>
      </c>
      <c r="X4" t="inlineStr">
        <is>
          <t>NSUH-MACH-OOO</t>
        </is>
      </c>
      <c r="Y4" t="inlineStr">
        <is>
          <t>A0F5097FF154</t>
        </is>
      </c>
      <c r="AB4" t="inlineStr">
        <is>
          <t>WA24406284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00:0D:05:0A:A6:DD</t>
        </is>
      </c>
      <c r="AI4" t="inlineStr">
        <is>
          <t>Anesthesia Machine</t>
        </is>
      </c>
      <c r="AJ4" t="n">
        <v>461519</v>
      </c>
      <c r="AL4" t="inlineStr">
        <is>
          <t>0604676 / 0604677</t>
        </is>
      </c>
      <c r="AM4" t="inlineStr">
        <is>
          <t>Cybernet Manufacturing Inc</t>
        </is>
      </c>
      <c r="AN4" t="inlineStr">
        <is>
          <t>CyberMed-S24 TGL</t>
        </is>
      </c>
      <c r="AP4" t="inlineStr">
        <is>
          <t>010084068210229221APWD0084411240320</t>
        </is>
      </c>
      <c r="AQ4" t="inlineStr">
        <is>
          <t>010084068210229221APWD0084411240320</t>
        </is>
      </c>
      <c r="AS4" t="inlineStr">
        <is>
          <t>GE Canvas 1000: 833-08 SPEC999015 / E139956-T Type C02</t>
        </is>
      </c>
      <c r="AT4" t="inlineStr">
        <is>
          <t>B1-CFU</t>
        </is>
      </c>
      <c r="AX4" t="inlineStr">
        <is>
          <t>GE CANVAS 1000: 380SA / GE G1500213: 091188026</t>
        </is>
      </c>
      <c r="AY4" t="inlineStr">
        <is>
          <t>Datex-Ohmeda\ 010084068210229221APWD0084411240320</t>
        </is>
      </c>
      <c r="BC4" t="n">
        <v>461519</v>
      </c>
      <c r="BD4" t="n">
        <v>460238</v>
      </c>
      <c r="BH4" t="n">
        <v>115200</v>
      </c>
      <c r="BI4" t="n">
        <v>19200</v>
      </c>
      <c r="BM4" t="inlineStr">
        <is>
          <t>E81</t>
        </is>
      </c>
      <c r="BN4" t="inlineStr">
        <is>
          <t>O71</t>
        </is>
      </c>
      <c r="BY4" t="inlineStr">
        <is>
          <t>Ran POSTINSTALL, boxe</t>
        </is>
      </c>
      <c r="BZ4" t="inlineStr">
        <is>
          <t>In Storage</t>
        </is>
      </c>
      <c r="CA4" t="inlineStr">
        <is>
          <t>iPro
Epic Satellite
ALLSCRIPTS
EPIC BCA</t>
        </is>
      </c>
      <c r="CD4">
        <f>IF($Y4="","",IF((IF(AND($BR4&lt;&gt;"Yes",$BR4&lt;&gt;"N/A"),"Power Cable, ","")&amp;IF(AND($BS4&lt;&gt;"Yes",$BS4&lt;&gt;"N/A"),"Battery, ","")&amp;IF(AND($AD4&lt;&gt;"Yes",$AD4&lt;&gt;"N/A"),"Firmware Download, ","")&amp;IF(AND(OR($AD4="Yes",$AD4="N/A"),$AE4&lt;&gt;"Yes",$AE4&lt;&gt;"N/A"),"Firmware Install, ","")&amp;IF(AND($CB4&lt;&gt;"Yes",$CB4&lt;&gt;"N/A"),"Device ID, ","")&amp;IF(AND($CC4&lt;&gt;"Yes",$CC4&lt;&gt;"N/A"),"Epic Beans Relay, ",""))="","",LEFT(IF(AND($BR4&lt;&gt;"Yes",$BR4&lt;&gt;"N/A"),"Power Cable, ","")&amp;IF(AND($BS4&lt;&gt;"Yes",$BS4&lt;&gt;"N/A"),"Battery, ","")&amp;IF(AND($AD4&lt;&gt;"Yes",$AD4&lt;&gt;"N/A"),"Firmware Download, ","")&amp;IF(AND(OR($AD4="Yes",$AD4="N/A"),$AE4&lt;&gt;"Yes",$AE4&lt;&gt;"N/A"),"Firmware Install, ","")&amp;IF(AND($CB4&lt;&gt;"Yes",$CB4&lt;&gt;"N/A"),"Device ID, ","")&amp;IF(AND($CC4&lt;&gt;"Yes",$CC4&lt;&gt;"N/A"),"Epic Beans Relay, ",""),LEN(IF(AND($BR4&lt;&gt;"Yes",$BR4&lt;&gt;"N/A"),"Power Cable, ","")&amp;IF(AND($BS4&lt;&gt;"Yes",$BS4&lt;&gt;"N/A"),"Battery, ","")&amp;IF(AND($AD4&lt;&gt;"Yes",$AD4&lt;&gt;"N/A"),"Firmware Download, ","")&amp;IF(AND(OR($AD4="Yes",$AD4="N/A"),$AE4&lt;&gt;"Yes",$AE4&lt;&gt;"N/A"),"Firmware Install, ","")&amp;IF(AND($CB4&lt;&gt;"Yes",$CB4&lt;&gt;"N/A"),"Device ID, ","")&amp;IF(AND($CC4&lt;&gt;"Yes",$CC4&lt;&gt;"N/A"),"Epic Beans Relay, ",""))-2)))</f>
        <v/>
      </c>
      <c r="CE4">
        <f>IF($Y4="","",IF($CD4="","Yes","Blocked"))</f>
        <v/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n">
        <v>19200</v>
      </c>
      <c r="CP4">
        <f>IF($CO4="","",IFERROR(VLOOKUP($CO4,'01_Warehouse_Ledger'!$A:$N,4,FALSE),""))</f>
        <v/>
      </c>
      <c r="CQ4">
        <f>IF($CO4="","",IFERROR(VLOOKUP($CO4,'01_Warehouse_Ledger'!$A:$N,5,FALSE),""))</f>
        <v/>
      </c>
      <c r="CR4">
        <f>IF($CO4="","",IFERROR(VLOOKUP($CO4,'01_Warehouse_Ledger'!$A:$N,13,FALSE),""))</f>
        <v/>
      </c>
      <c r="CW4">
        <f>IF($S4="","",IF(UPPER(TRIM($S4))&lt;&gt;"PASS","",IF(LEN(TRIM($BY4))&gt;0,"NOTES_PRESENT",IF(LEN(TRIM($T4))=0,"SET_NA",IF(OR(LOWER(TRIM($T4))="na",LOWER(TRIM($T4))="n/a"),"OK","MANUAL_OVERRIDE")))))</f>
        <v/>
      </c>
    </row>
    <row r="5" ht="81" customHeight="1" s="91">
      <c r="A5" t="inlineStr">
        <is>
          <t>Cybernet-Neuron</t>
        </is>
      </c>
      <c r="B5" t="inlineStr">
        <is>
          <t>Yes</t>
        </is>
      </c>
      <c r="C5" t="inlineStr">
        <is>
          <t>Yes</t>
        </is>
      </c>
      <c r="D5">
        <f>IF($B5&lt;&gt;"Yes","",IF($C5="No","Yes",IF($C5="Yes","No","")))</f>
        <v/>
      </c>
      <c r="E5">
        <f>IF($A5="","",IF(OR(AND($V5&lt;&gt;"",LOWER(TRIM($V5))&lt;&gt;"n/a",LOWER(TRIM($V5))&lt;&gt;"na",SUMPRODUCT(--(UPPER(TRIM($V$2:$V$518))=UPPER(TRIM($V5))),--(TRIM($V$2:$V$518)&lt;&gt;""),--(LOWER(TRIM($V$2:$V$518))&lt;&gt;"n/a"),--(LOWER(TRIM($V$2:$V$518))&lt;&gt;"na"))&gt;1),AND($W5&lt;&gt;"",LOWER(TRIM($W5))&lt;&gt;"n/a",LOWER(TRIM($W5))&lt;&gt;"na",SUMPRODUCT(--(UPPER(TRIM($W$2:$W$518))=UPPER(TRIM($W5))),--(TRIM($W$2:$W$518)&lt;&gt;""),--(LOWER(TRIM($W$2:$W$518))&lt;&gt;"n/a"),--(LOWER(TRIM($W$2:$W$518))&lt;&gt;"na"))&gt;1),AND($X5&lt;&gt;"",LOWER(TRIM($X5))&lt;&gt;"n/a",LOWER(TRIM($X5))&lt;&gt;"na",SUMPRODUCT(--(UPPER(TRIM($X$2:$X$518))=UPPER(TRIM($X5))),--(TRIM($X$2:$X$518)&lt;&gt;""),--(LOWER(TRIM($X$2:$X$518))&lt;&gt;"n/a"),--(LOWER(TRIM($X$2:$X$518))&lt;&gt;"na"))&gt;1),AND($Y5&lt;&gt;"",LOWER(TRIM($Y5))&lt;&gt;"n/a",LOWER(TRIM($Y5))&lt;&gt;"na",SUMPRODUCT(--(UPPER(SUBSTITUTE(SUBSTITUTE(TRIM($Y$2:$Y$518),":",""),"-",""))=UPPER(SUBSTITUTE(SUBSTITUTE(TRIM($Y5),":",""),"-",""))),--(TRIM($Y$2:$Y$518)&lt;&gt;""),--(LOWER(TRIM($Y$2:$Y$518))&lt;&gt;"n/a"),--(LOWER(TRIM($Y$2:$Y$518))&lt;&gt;"na"))&gt;1),AND($AB5&lt;&gt;"",LOWER(TRIM($AB5))&lt;&gt;"n/a",LOWER(TRIM($AB5))&lt;&gt;"na",SUMPRODUCT(--(UPPER(TRIM($AB$2:$AB$518))=UPPER(TRIM($AB5))),--(TRIM($AB$2:$AB$518)&lt;&gt;""),--(LOWER(TRIM($AB$2:$AB$518))&lt;&gt;"n/a"),--(LOWER(TRIM($AB$2:$AB$518))&lt;&gt;"na"))&gt;1),AND($AH5&lt;&gt;"",LOWER(TRIM($AH5))&lt;&gt;"n/a",LOWER(TRIM($AH5))&lt;&gt;"na",SUMPRODUCT(--(UPPER(SUBSTITUTE(SUBSTITUTE(TRIM($AH$2:$AH$518),":",""),"-",""))=UPPER(SUBSTITUTE(SUBSTITUTE(TRIM($AH5),":",""),"-",""))),--(TRIM($AH$2:$AH$518)&lt;&gt;""),--(LOWER(TRIM($AH$2:$AH$518))&lt;&gt;"n/a"),--(LOWER(TRIM($AH$2:$AH$518))&lt;&gt;"na"))&gt;1),AND($AP5&lt;&gt;"",LOWER(TRIM($AP5))&lt;&gt;"n/a",LOWER(TRIM($AP5))&lt;&gt;"na",SUMPRODUCT(--(UPPER(TRIM($AP$2:$AP$518))=UPPER(TRIM($AP5))),--(TRIM($AP$2:$AP$518)&lt;&gt;""),--(LOWER(TRIM($AP$2:$AP$518))&lt;&gt;"n/a"),--(LOWER(TRIM($AP$2:$AP$518))&lt;&gt;"na"))&gt;1),AND($AQ5&lt;&gt;"",LOWER(TRIM($AQ5))&lt;&gt;"n/a",LOWER(TRIM($AQ5))&lt;&gt;"na",SUMPRODUCT(--(UPPER(TRIM($AQ$2:$AQ$518))=UPPER(TRIM($AQ5))),--(TRIM($AQ$2:$AQ$518)&lt;&gt;""),--(LOWER(TRIM($AQ$2:$AQ$518))&lt;&gt;"n/a"),--(LOWER(TRIM($AQ$2:$AQ$518))&lt;&gt;"na"))&gt;1)),"Yes","No"))</f>
        <v/>
      </c>
      <c r="F5">
        <f>IF(UPPER(TRIM($B5))&lt;&gt;"YES","", IF(OR(AND($V5&lt;&gt;"", LOWER(TRIM($V5))&lt;&gt;"n/a", LOWER(TRIM($V5))&lt;&gt;"na", SUMPRODUCT(--(UPPER(TRIM($V$2:$V$518))=UPPER(TRIM($V5))), --(UPPER(TRIM($B$2:$B$518))="YES"), --(UPPER(TRIM($G$2:$G$518)&amp;TRIM($I$2:$I$518)&amp;TRIM($J$2:$J$518))&lt;&gt;UPPER(TRIM($G5)&amp;TRIM($I5)&amp;TRIM($J5))))&gt;0), AND($W5&lt;&gt;"", LOWER(TRIM($W5))&lt;&gt;"n/a", LOWER(TRIM($W5))&lt;&gt;"na", SUMPRODUCT(--(UPPER(TRIM($W$2:$W$518))=UPPER(TRIM($W5))), --(UPPER(TRIM($B$2:$B$518))="YES"), --(UPPER(TRIM($G$2:$G$518)&amp;TRIM($I$2:$I$518)&amp;TRIM($J$2:$J$518))&lt;&gt;UPPER(TRIM($G5)&amp;TRIM($I5)&amp;TRIM($J5))))&gt;0), AND($X5&lt;&gt;"", LOWER(TRIM($X5))&lt;&gt;"n/a", LOWER(TRIM($X5))&lt;&gt;"na", SUMPRODUCT(--(UPPER(TRIM($X$2:$X$518))=UPPER(TRIM($X5))), --(UPPER(TRIM($B$2:$B$518))="YES"), --(UPPER(TRIM($G$2:$G$518)&amp;TRIM($I$2:$I$518)&amp;TRIM($J$2:$J$518))&lt;&gt;UPPER(TRIM($G5)&amp;TRIM($I5)&amp;TRIM($J5))))&gt;0), AND($Y5&lt;&gt;"", LOWER(TRIM($Y5))&lt;&gt;"n/a", LOWER(TRIM($Y5))&lt;&gt;"na", SUMPRODUCT(--(UPPER(SUBSTITUTE(SUBSTITUTE(TRIM($Y$2:$Y$518),":",""),"-",""))=UPPER(SUBSTITUTE(SUBSTITUTE(TRIM($Y5),":",""),"-",""))), --(UPPER(TRIM($B$2:$B$518))="YES"), --(UPPER(TRIM($G$2:$G$518)&amp;TRIM($I$2:$I$518)&amp;TRIM($J$2:$J$518))&lt;&gt;UPPER(TRIM($G5)&amp;TRIM($I5)&amp;TRIM($J5))))&gt;0), AND($AB5&lt;&gt;"", LOWER(TRIM($AB5))&lt;&gt;"n/a", LOWER(TRIM($AB5))&lt;&gt;"na", SUMPRODUCT(--(UPPER(TRIM($AB$2:$AB$518))=UPPER(TRIM($AB5))), --(UPPER(TRIM($B$2:$B$518))="YES"), --(UPPER(TRIM($G$2:$G$518)&amp;TRIM($I$2:$I$518)&amp;TRIM($J$2:$J$518))&lt;&gt;UPPER(TRIM($G5)&amp;TRIM($I5)&amp;TRIM($J5))))&gt;0), AND($AH5&lt;&gt;"", LOWER(TRIM($AH5))&lt;&gt;"n/a", LOWER(TRIM($AH5))&lt;&gt;"na", SUMPRODUCT(--(UPPER(SUBSTITUTE(SUBSTITUTE(TRIM($AH$2:$AH$518),":",""),"-",""))=UPPER(SUBSTITUTE(SUBSTITUTE(TRIM($AH5),":",""),"-",""))), --(UPPER(TRIM($B$2:$B$518))="YES"), --(UPPER(TRIM($G$2:$G$518)&amp;TRIM($I$2:$I$518)&amp;TRIM($J$2:$J$518))&lt;&gt;UPPER(TRIM($G5)&amp;TRIM($I5)&amp;TRIM($J5))))&gt;0), AND($AP5&lt;&gt;"", LOWER(TRIM($AP5))&lt;&gt;"n/a", LOWER(TRIM($AP5))&lt;&gt;"na", SUMPRODUCT(--(UPPER(TRIM($AP$2:$AP$518))=UPPER(TRIM($AP5))), --(UPPER(TRIM($B$2:$B$518))="YES"), --(UPPER(TRIM($G$2:$G$518)&amp;TRIM($I$2:$I$518)&amp;TRIM($J$2:$J$518))&lt;&gt;UPPER(TRIM($G5)&amp;TRIM($I5)&amp;TRIM($J5))))&gt;0), AND($AQ5&lt;&gt;"", LOWER(TRIM($AQ5))&lt;&gt;"n/a", LOWER(TRIM($AQ5))&lt;&gt;"na", SUMPRODUCT(--(UPPER(TRIM($AQ$2:$AQ$518))=UPPER(TRIM($AQ5))), --(UPPER(TRIM($B$2:$B$518))="YES"), --(UPPER(TRIM($G$2:$G$518)&amp;TRIM($I$2:$I$518)&amp;TRIM($J$2:$J$518))&lt;&gt;UPPER(TRIM($G5)&amp;TRIM($I5)&amp;TRIM($J5))))&gt;0)), "Yes", "No"))</f>
        <v/>
      </c>
      <c r="G5" t="inlineStr">
        <is>
          <t>NSUH - PSP</t>
        </is>
      </c>
      <c r="H5" t="inlineStr">
        <is>
          <t>NSUH - PSP</t>
        </is>
      </c>
      <c r="I5" t="inlineStr">
        <is>
          <t>Main ORs - PSP - 2nd Floor</t>
        </is>
      </c>
      <c r="J5" t="inlineStr">
        <is>
          <t>OR 6</t>
        </is>
      </c>
      <c r="K5" t="inlineStr">
        <is>
          <t>n/a</t>
        </is>
      </c>
      <c r="L5" s="18" t="n">
        <v>46116</v>
      </c>
      <c r="M5" t="inlineStr">
        <is>
          <t>OR Cybernet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Inpatient</t>
        </is>
      </c>
      <c r="R5" t="inlineStr">
        <is>
          <t>Yes</t>
        </is>
      </c>
      <c r="U5" t="inlineStr">
        <is>
          <t>Dr. Palilla, Timothy W. Seeberger</t>
        </is>
      </c>
      <c r="V5" t="inlineStr">
        <is>
          <t>WMH300OPR340</t>
        </is>
      </c>
      <c r="W5" t="inlineStr">
        <is>
          <t>MEDSG2425F-0123</t>
        </is>
      </c>
      <c r="X5" t="inlineStr">
        <is>
          <t>NSUH-MACH-AA</t>
        </is>
      </c>
      <c r="Y5" t="inlineStr">
        <is>
          <t>A0F5097FDE55</t>
        </is>
      </c>
      <c r="AB5" t="inlineStr">
        <is>
          <t>WA24406317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00:0D:05:0A:A7:49</t>
        </is>
      </c>
      <c r="AI5" t="inlineStr">
        <is>
          <t>Anesthesia Machine</t>
        </is>
      </c>
      <c r="AJ5" t="n">
        <v>452517</v>
      </c>
      <c r="AL5" t="inlineStr">
        <is>
          <t>7202-413 / 7202-417</t>
        </is>
      </c>
      <c r="AM5" t="inlineStr">
        <is>
          <t>Datex-ohmeda</t>
        </is>
      </c>
      <c r="AP5" t="inlineStr">
        <is>
          <t>010084068210229221APWC0265711230915</t>
        </is>
      </c>
      <c r="AQ5" t="inlineStr">
        <is>
          <t>010084068210229221APWC0265711230915</t>
        </is>
      </c>
      <c r="AS5" t="inlineStr">
        <is>
          <t>GE Canvas 1000: 833-08 / GE G1500213: 133-08C</t>
        </is>
      </c>
      <c r="AT5" t="inlineStr">
        <is>
          <t>B1-CFU</t>
        </is>
      </c>
      <c r="AX5" t="inlineStr">
        <is>
          <t>GE Canvas 1000: 136HA / GE G1500213: 091181091</t>
        </is>
      </c>
      <c r="AY5" s="67" t="inlineStr">
        <is>
          <t>010084068210229221APWC0265711230915</t>
        </is>
      </c>
      <c r="BC5" t="n">
        <v>452517</v>
      </c>
      <c r="BD5" t="n">
        <v>452516</v>
      </c>
      <c r="BH5" t="n">
        <v>115200</v>
      </c>
      <c r="BI5" t="n">
        <v>19200</v>
      </c>
      <c r="BM5" t="inlineStr">
        <is>
          <t>E81</t>
        </is>
      </c>
      <c r="BN5" t="inlineStr">
        <is>
          <t>O71</t>
        </is>
      </c>
      <c r="BZ5" t="inlineStr">
        <is>
          <t>In Storage</t>
        </is>
      </c>
      <c r="CA5" s="22" t="inlineStr">
        <is>
          <t>iPro
Epic Satellite
ALLSCRIPTS
EPIC BCA</t>
        </is>
      </c>
      <c r="CD5">
        <f>IF($Y5="","",IF((IF(AND($BR5&lt;&gt;"Yes",$BR5&lt;&gt;"N/A"),"Power Cable, ","")&amp;IF(AND($BS5&lt;&gt;"Yes",$BS5&lt;&gt;"N/A"),"Battery, ","")&amp;IF(AND($AD5&lt;&gt;"Yes",$AD5&lt;&gt;"N/A"),"Firmware Download, ","")&amp;IF(AND(OR($AD5="Yes",$AD5="N/A"),$AE5&lt;&gt;"Yes",$AE5&lt;&gt;"N/A"),"Firmware Install, ","")&amp;IF(AND($CB5&lt;&gt;"Yes",$CB5&lt;&gt;"N/A"),"Device ID, ","")&amp;IF(AND($CC5&lt;&gt;"Yes",$CC5&lt;&gt;"N/A"),"Epic Beans Relay, ",""))="","",LEFT(IF(AND($BR5&lt;&gt;"Yes",$BR5&lt;&gt;"N/A"),"Power Cable, ","")&amp;IF(AND($BS5&lt;&gt;"Yes",$BS5&lt;&gt;"N/A"),"Battery, ","")&amp;IF(AND($AD5&lt;&gt;"Yes",$AD5&lt;&gt;"N/A"),"Firmware Download, ","")&amp;IF(AND(OR($AD5="Yes",$AD5="N/A"),$AE5&lt;&gt;"Yes",$AE5&lt;&gt;"N/A"),"Firmware Install, ","")&amp;IF(AND($CB5&lt;&gt;"Yes",$CB5&lt;&gt;"N/A"),"Device ID, ","")&amp;IF(AND($CC5&lt;&gt;"Yes",$CC5&lt;&gt;"N/A"),"Epic Beans Relay, ",""),LEN(IF(AND($BR5&lt;&gt;"Yes",$BR5&lt;&gt;"N/A"),"Power Cable, ","")&amp;IF(AND($BS5&lt;&gt;"Yes",$BS5&lt;&gt;"N/A"),"Battery, ","")&amp;IF(AND($AD5&lt;&gt;"Yes",$AD5&lt;&gt;"N/A"),"Firmware Download, ","")&amp;IF(AND(OR($AD5="Yes",$AD5="N/A"),$AE5&lt;&gt;"Yes",$AE5&lt;&gt;"N/A"),"Firmware Install, ","")&amp;IF(AND($CB5&lt;&gt;"Yes",$CB5&lt;&gt;"N/A"),"Device ID, ","")&amp;IF(AND($CC5&lt;&gt;"Yes",$CC5&lt;&gt;"N/A"),"Epic Beans Relay, ",""))-2)))</f>
        <v/>
      </c>
      <c r="CE5">
        <f>IF($Y5="","",IF($CD5="","Yes","Blocked"))</f>
        <v/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n">
        <v>19200</v>
      </c>
      <c r="CP5">
        <f>IF($CO5="","",IFERROR(VLOOKUP($CO5,'01_Warehouse_Ledger'!$A:$N,4,FALSE),""))</f>
        <v/>
      </c>
      <c r="CQ5">
        <f>IF($CO5="","",IFERROR(VLOOKUP($CO5,'01_Warehouse_Ledger'!$A:$N,5,FALSE),""))</f>
        <v/>
      </c>
      <c r="CR5">
        <f>IF($CO5="","",IFERROR(VLOOKUP($CO5,'01_Warehouse_Ledger'!$A:$N,13,FALSE),""))</f>
        <v/>
      </c>
      <c r="CW5">
        <f>IF($S5="","",IF(UPPER(TRIM($S5))&lt;&gt;"PASS","",IF(LEN(TRIM($BY5))&gt;0,"NOTES_PRESENT",IF(LEN(TRIM($T5))=0,"SET_NA",IF(OR(LOWER(TRIM($T5))="na",LOWER(TRIM($T5))="n/a"),"OK","MANUAL_OVERRIDE")))))</f>
        <v/>
      </c>
    </row>
    <row r="6">
      <c r="A6" t="inlineStr">
        <is>
          <t>Cybernet-Neuron</t>
        </is>
      </c>
      <c r="B6" s="51" t="inlineStr">
        <is>
          <t>Yes</t>
        </is>
      </c>
      <c r="C6" t="inlineStr">
        <is>
          <t>Yes</t>
        </is>
      </c>
      <c r="D6">
        <f>IF($B6&lt;&gt;"Yes","",IF($C6="No","Yes",IF($C6="Yes","No","")))</f>
        <v/>
      </c>
      <c r="E6">
        <f>IF($A6="","",IF(OR(AND($V6&lt;&gt;"",LOWER(TRIM($V6))&lt;&gt;"n/a",LOWER(TRIM($V6))&lt;&gt;"na",SUMPRODUCT(--(UPPER(TRIM($V$2:$V$518))=UPPER(TRIM($V6))),--(TRIM($V$2:$V$518)&lt;&gt;""),--(LOWER(TRIM($V$2:$V$518))&lt;&gt;"n/a"),--(LOWER(TRIM($V$2:$V$518))&lt;&gt;"na"))&gt;1),AND($W6&lt;&gt;"",LOWER(TRIM($W6))&lt;&gt;"n/a",LOWER(TRIM($W6))&lt;&gt;"na",SUMPRODUCT(--(UPPER(TRIM($W$2:$W$518))=UPPER(TRIM($W6))),--(TRIM($W$2:$W$518)&lt;&gt;""),--(LOWER(TRIM($W$2:$W$518))&lt;&gt;"n/a"),--(LOWER(TRIM($W$2:$W$518))&lt;&gt;"na"))&gt;1),AND($X6&lt;&gt;"",LOWER(TRIM($X6))&lt;&gt;"n/a",LOWER(TRIM($X6))&lt;&gt;"na",SUMPRODUCT(--(UPPER(TRIM($X$2:$X$518))=UPPER(TRIM($X6))),--(TRIM($X$2:$X$518)&lt;&gt;""),--(LOWER(TRIM($X$2:$X$518))&lt;&gt;"n/a"),--(LOWER(TRIM($X$2:$X$518))&lt;&gt;"na"))&gt;1),AND($Y6&lt;&gt;"",LOWER(TRIM($Y6))&lt;&gt;"n/a",LOWER(TRIM($Y6))&lt;&gt;"na",SUMPRODUCT(--(UPPER(SUBSTITUTE(SUBSTITUTE(TRIM($Y$2:$Y$518),":",""),"-",""))=UPPER(SUBSTITUTE(SUBSTITUTE(TRIM($Y6),":",""),"-",""))),--(TRIM($Y$2:$Y$518)&lt;&gt;""),--(LOWER(TRIM($Y$2:$Y$518))&lt;&gt;"n/a"),--(LOWER(TRIM($Y$2:$Y$518))&lt;&gt;"na"))&gt;1),AND($AB6&lt;&gt;"",LOWER(TRIM($AB6))&lt;&gt;"n/a",LOWER(TRIM($AB6))&lt;&gt;"na",SUMPRODUCT(--(UPPER(TRIM($AB$2:$AB$518))=UPPER(TRIM($AB6))),--(TRIM($AB$2:$AB$518)&lt;&gt;""),--(LOWER(TRIM($AB$2:$AB$518))&lt;&gt;"n/a"),--(LOWER(TRIM($AB$2:$AB$518))&lt;&gt;"na"))&gt;1),AND($AH6&lt;&gt;"",LOWER(TRIM($AH6))&lt;&gt;"n/a",LOWER(TRIM($AH6))&lt;&gt;"na",SUMPRODUCT(--(UPPER(SUBSTITUTE(SUBSTITUTE(TRIM($AH$2:$AH$518),":",""),"-",""))=UPPER(SUBSTITUTE(SUBSTITUTE(TRIM($AH6),":",""),"-",""))),--(TRIM($AH$2:$AH$518)&lt;&gt;""),--(LOWER(TRIM($AH$2:$AH$518))&lt;&gt;"n/a"),--(LOWER(TRIM($AH$2:$AH$518))&lt;&gt;"na"))&gt;1),AND($AP6&lt;&gt;"",LOWER(TRIM($AP6))&lt;&gt;"n/a",LOWER(TRIM($AP6))&lt;&gt;"na",SUMPRODUCT(--(UPPER(TRIM($AP$2:$AP$518))=UPPER(TRIM($AP6))),--(TRIM($AP$2:$AP$518)&lt;&gt;""),--(LOWER(TRIM($AP$2:$AP$518))&lt;&gt;"n/a"),--(LOWER(TRIM($AP$2:$AP$518))&lt;&gt;"na"))&gt;1),AND($AQ6&lt;&gt;"",LOWER(TRIM($AQ6))&lt;&gt;"n/a",LOWER(TRIM($AQ6))&lt;&gt;"na",SUMPRODUCT(--(UPPER(TRIM($AQ$2:$AQ$518))=UPPER(TRIM($AQ6))),--(TRIM($AQ$2:$AQ$518)&lt;&gt;""),--(LOWER(TRIM($AQ$2:$AQ$518))&lt;&gt;"n/a"),--(LOWER(TRIM($AQ$2:$AQ$518))&lt;&gt;"na"))&gt;1)),"Yes","No"))</f>
        <v/>
      </c>
      <c r="F6">
        <f>IF(UPPER(TRIM($B6))&lt;&gt;"YES","", IF(OR(AND($V6&lt;&gt;"", LOWER(TRIM($V6))&lt;&gt;"n/a", LOWER(TRIM($V6))&lt;&gt;"na", SUMPRODUCT(--(UPPER(TRIM($V$2:$V$518))=UPPER(TRIM($V6))), --(UPPER(TRIM($B$2:$B$518))="YES"), --(UPPER(TRIM($G$2:$G$518)&amp;TRIM($I$2:$I$518)&amp;TRIM($J$2:$J$518))&lt;&gt;UPPER(TRIM($G6)&amp;TRIM($I6)&amp;TRIM($J6))))&gt;0), AND($W6&lt;&gt;"", LOWER(TRIM($W6))&lt;&gt;"n/a", LOWER(TRIM($W6))&lt;&gt;"na", SUMPRODUCT(--(UPPER(TRIM($W$2:$W$518))=UPPER(TRIM($W6))), --(UPPER(TRIM($B$2:$B$518))="YES"), --(UPPER(TRIM($G$2:$G$518)&amp;TRIM($I$2:$I$518)&amp;TRIM($J$2:$J$518))&lt;&gt;UPPER(TRIM($G6)&amp;TRIM($I6)&amp;TRIM($J6))))&gt;0), AND($X6&lt;&gt;"", LOWER(TRIM($X6))&lt;&gt;"n/a", LOWER(TRIM($X6))&lt;&gt;"na", SUMPRODUCT(--(UPPER(TRIM($X$2:$X$518))=UPPER(TRIM($X6))), --(UPPER(TRIM($B$2:$B$518))="YES"), --(UPPER(TRIM($G$2:$G$518)&amp;TRIM($I$2:$I$518)&amp;TRIM($J$2:$J$518))&lt;&gt;UPPER(TRIM($G6)&amp;TRIM($I6)&amp;TRIM($J6))))&gt;0), AND($Y6&lt;&gt;"", LOWER(TRIM($Y6))&lt;&gt;"n/a", LOWER(TRIM($Y6))&lt;&gt;"na", SUMPRODUCT(--(UPPER(SUBSTITUTE(SUBSTITUTE(TRIM($Y$2:$Y$518),":",""),"-",""))=UPPER(SUBSTITUTE(SUBSTITUTE(TRIM($Y6),":",""),"-",""))), --(UPPER(TRIM($B$2:$B$518))="YES"), --(UPPER(TRIM($G$2:$G$518)&amp;TRIM($I$2:$I$518)&amp;TRIM($J$2:$J$518))&lt;&gt;UPPER(TRIM($G6)&amp;TRIM($I6)&amp;TRIM($J6))))&gt;0), AND($AB6&lt;&gt;"", LOWER(TRIM($AB6))&lt;&gt;"n/a", LOWER(TRIM($AB6))&lt;&gt;"na", SUMPRODUCT(--(UPPER(TRIM($AB$2:$AB$518))=UPPER(TRIM($AB6))), --(UPPER(TRIM($B$2:$B$518))="YES"), --(UPPER(TRIM($G$2:$G$518)&amp;TRIM($I$2:$I$518)&amp;TRIM($J$2:$J$518))&lt;&gt;UPPER(TRIM($G6)&amp;TRIM($I6)&amp;TRIM($J6))))&gt;0), AND($AH6&lt;&gt;"", LOWER(TRIM($AH6))&lt;&gt;"n/a", LOWER(TRIM($AH6))&lt;&gt;"na", SUMPRODUCT(--(UPPER(SUBSTITUTE(SUBSTITUTE(TRIM($AH$2:$AH$518),":",""),"-",""))=UPPER(SUBSTITUTE(SUBSTITUTE(TRIM($AH6),":",""),"-",""))), --(UPPER(TRIM($B$2:$B$518))="YES"), --(UPPER(TRIM($G$2:$G$518)&amp;TRIM($I$2:$I$518)&amp;TRIM($J$2:$J$518))&lt;&gt;UPPER(TRIM($G6)&amp;TRIM($I6)&amp;TRIM($J6))))&gt;0), AND($AP6&lt;&gt;"", LOWER(TRIM($AP6))&lt;&gt;"n/a", LOWER(TRIM($AP6))&lt;&gt;"na", SUMPRODUCT(--(UPPER(TRIM($AP$2:$AP$518))=UPPER(TRIM($AP6))), --(UPPER(TRIM($B$2:$B$518))="YES"), --(UPPER(TRIM($G$2:$G$518)&amp;TRIM($I$2:$I$518)&amp;TRIM($J$2:$J$518))&lt;&gt;UPPER(TRIM($G6)&amp;TRIM($I6)&amp;TRIM($J6))))&gt;0), AND($AQ6&lt;&gt;"", LOWER(TRIM($AQ6))&lt;&gt;"n/a", LOWER(TRIM($AQ6))&lt;&gt;"na", SUMPRODUCT(--(UPPER(TRIM($AQ$2:$AQ$518))=UPPER(TRIM($AQ6))), --(UPPER(TRIM($B$2:$B$518))="YES"), --(UPPER(TRIM($G$2:$G$518)&amp;TRIM($I$2:$I$518)&amp;TRIM($J$2:$J$518))&lt;&gt;UPPER(TRIM($G6)&amp;TRIM($I6)&amp;TRIM($J6))))&gt;0)), "Yes", "No"))</f>
        <v/>
      </c>
      <c r="G6" t="inlineStr">
        <is>
          <t>NSUH - PSP</t>
        </is>
      </c>
      <c r="H6" t="inlineStr">
        <is>
          <t>NSUH - PSP</t>
        </is>
      </c>
      <c r="I6" t="inlineStr">
        <is>
          <t>Main ORs - PSP - 2nd Floor</t>
        </is>
      </c>
      <c r="J6" t="inlineStr">
        <is>
          <t>OR 28</t>
        </is>
      </c>
      <c r="K6" t="inlineStr">
        <is>
          <t>n/a</t>
        </is>
      </c>
      <c r="L6" s="18" t="n">
        <v>46116</v>
      </c>
      <c r="M6" t="inlineStr">
        <is>
          <t>OR Cybernet</t>
        </is>
      </c>
      <c r="N6" t="inlineStr">
        <is>
          <t>No</t>
        </is>
      </c>
      <c r="O6" t="inlineStr">
        <is>
          <t>Yes</t>
        </is>
      </c>
      <c r="P6" t="inlineStr">
        <is>
          <t>No</t>
        </is>
      </c>
      <c r="Q6" t="inlineStr">
        <is>
          <t>Inpatient</t>
        </is>
      </c>
      <c r="R6" t="inlineStr">
        <is>
          <t>Yes</t>
        </is>
      </c>
      <c r="S6" t="inlineStr">
        <is>
          <t>Fail</t>
        </is>
      </c>
      <c r="T6" t="inlineStr">
        <is>
          <t>Inadequate Imprivata access and permissions to sync</t>
        </is>
      </c>
      <c r="V6" t="inlineStr">
        <is>
          <t>WMH300OPR362</t>
        </is>
      </c>
      <c r="W6" t="inlineStr">
        <is>
          <t>MEDSG2425F-0124</t>
        </is>
      </c>
      <c r="X6" t="inlineStr">
        <is>
          <t>NSUH-MACH-Z</t>
        </is>
      </c>
      <c r="Y6" t="inlineStr">
        <is>
          <t>A0F5097FDFBB</t>
        </is>
      </c>
      <c r="AB6" t="inlineStr">
        <is>
          <t>WA24406393</t>
        </is>
      </c>
      <c r="AC6" t="inlineStr">
        <is>
          <t>NSUH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000D050AA87B</t>
        </is>
      </c>
      <c r="AI6" t="inlineStr">
        <is>
          <t>Anesthesia Machine</t>
        </is>
      </c>
      <c r="AJ6" t="n">
        <v>448524</v>
      </c>
      <c r="AL6" t="inlineStr">
        <is>
          <t>07049-49 / 50</t>
        </is>
      </c>
      <c r="AM6" t="inlineStr">
        <is>
          <t xml:space="preserve">Drager </t>
        </is>
      </c>
      <c r="AN6" t="inlineStr">
        <is>
          <t>FABIUS GS PREMIUM</t>
        </is>
      </c>
      <c r="AP6" t="inlineStr">
        <is>
          <t>8607000-37ASBH-0030</t>
        </is>
      </c>
      <c r="AQ6" t="inlineStr">
        <is>
          <t>8607000-37ASBH-0030</t>
        </is>
      </c>
      <c r="AS6" t="inlineStr">
        <is>
          <t>GE CARESCAPE B650; 833-08, SPEC999015</t>
        </is>
      </c>
      <c r="AT6" t="inlineStr">
        <is>
          <t>B1-CFT</t>
        </is>
      </c>
      <c r="AX6" t="inlineStr">
        <is>
          <t>GE CARESCAPE B650; 833-08, SPEC999015</t>
        </is>
      </c>
      <c r="AY6" t="inlineStr">
        <is>
          <t xml:space="preserve">Drager Fabious GS Premium </t>
        </is>
      </c>
      <c r="BB6" t="inlineStr">
        <is>
          <t xml:space="preserve"> </t>
        </is>
      </c>
      <c r="BC6" t="n">
        <v>448524</v>
      </c>
      <c r="BD6" t="n">
        <v>60610</v>
      </c>
      <c r="BH6" t="n">
        <v>19200</v>
      </c>
      <c r="BI6" t="n">
        <v>9600</v>
      </c>
      <c r="BM6" t="inlineStr">
        <is>
          <t>E81</t>
        </is>
      </c>
      <c r="BN6" t="inlineStr">
        <is>
          <t>N81</t>
        </is>
      </c>
      <c r="CD6">
        <f>IF($Y6="","",IF((IF(AND($BR6&lt;&gt;"Yes",$BR6&lt;&gt;"N/A"),"Power Cable, ","")&amp;IF(AND($BS6&lt;&gt;"Yes",$BS6&lt;&gt;"N/A"),"Battery, ","")&amp;IF(AND($AD6&lt;&gt;"Yes",$AD6&lt;&gt;"N/A"),"Firmware Download, ","")&amp;IF(AND(OR($AD6="Yes",$AD6="N/A"),$AE6&lt;&gt;"Yes",$AE6&lt;&gt;"N/A"),"Firmware Install, ","")&amp;IF(AND($CB6&lt;&gt;"Yes",$CB6&lt;&gt;"N/A"),"Device ID, ","")&amp;IF(AND($CC6&lt;&gt;"Yes",$CC6&lt;&gt;"N/A"),"Epic Beans Relay, ",""))="","",LEFT(IF(AND($BR6&lt;&gt;"Yes",$BR6&lt;&gt;"N/A"),"Power Cable, ","")&amp;IF(AND($BS6&lt;&gt;"Yes",$BS6&lt;&gt;"N/A"),"Battery, ","")&amp;IF(AND($AD6&lt;&gt;"Yes",$AD6&lt;&gt;"N/A"),"Firmware Download, ","")&amp;IF(AND(OR($AD6="Yes",$AD6="N/A"),$AE6&lt;&gt;"Yes",$AE6&lt;&gt;"N/A"),"Firmware Install, ","")&amp;IF(AND($CB6&lt;&gt;"Yes",$CB6&lt;&gt;"N/A"),"Device ID, ","")&amp;IF(AND($CC6&lt;&gt;"Yes",$CC6&lt;&gt;"N/A"),"Epic Beans Relay, ",""),LEN(IF(AND($BR6&lt;&gt;"Yes",$BR6&lt;&gt;"N/A"),"Power Cable, ","")&amp;IF(AND($BS6&lt;&gt;"Yes",$BS6&lt;&gt;"N/A"),"Battery, ","")&amp;IF(AND($AD6&lt;&gt;"Yes",$AD6&lt;&gt;"N/A"),"Firmware Download, ","")&amp;IF(AND(OR($AD6="Yes",$AD6="N/A"),$AE6&lt;&gt;"Yes",$AE6&lt;&gt;"N/A"),"Firmware Install, ","")&amp;IF(AND($CB6&lt;&gt;"Yes",$CB6&lt;&gt;"N/A"),"Device ID, ","")&amp;IF(AND($CC6&lt;&gt;"Yes",$CC6&lt;&gt;"N/A"),"Epic Beans Relay, ",""))-2)))</f>
        <v/>
      </c>
      <c r="CE6">
        <f>IF($Y6="","",IF($CD6="","Yes","Blocked"))</f>
        <v/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Yes</t>
        </is>
      </c>
      <c r="CJ6" t="inlineStr">
        <is>
          <t>Yes</t>
        </is>
      </c>
      <c r="CK6" t="inlineStr">
        <is>
          <t>Yes</t>
        </is>
      </c>
      <c r="CL6" t="inlineStr">
        <is>
          <t>Yes</t>
        </is>
      </c>
      <c r="CM6" t="inlineStr">
        <is>
          <t>Yes</t>
        </is>
      </c>
      <c r="CN6" t="inlineStr">
        <is>
          <t>Yes</t>
        </is>
      </c>
      <c r="CO6" t="inlineStr">
        <is>
          <t>Yes</t>
        </is>
      </c>
      <c r="CP6" t="inlineStr">
        <is>
          <t>Yes</t>
        </is>
      </c>
      <c r="CQ6" t="inlineStr">
        <is>
          <t>Yes</t>
        </is>
      </c>
      <c r="CR6" t="inlineStr">
        <is>
          <t>Yes</t>
        </is>
      </c>
      <c r="CS6" t="inlineStr">
        <is>
          <t>Yes</t>
        </is>
      </c>
      <c r="CW6">
        <f>IF($S6="","",IF(UPPER(TRIM($S6))&lt;&gt;"PASS","",IF(LEN(TRIM($BY6))&gt;0,"NOTES_PRESENT",IF(LEN(TRIM($T6))=0,"SET_NA",IF(OR(LOWER(TRIM($T6))="na",LOWER(TRIM($T6))="n/a"),"OK","MANUAL_OVERRIDE")))))</f>
        <v/>
      </c>
    </row>
    <row r="7">
      <c r="A7" t="inlineStr">
        <is>
          <t>Neuron Cybernet</t>
        </is>
      </c>
      <c r="B7" s="51" t="inlineStr">
        <is>
          <t>Yes</t>
        </is>
      </c>
      <c r="C7" t="inlineStr">
        <is>
          <t>Yes</t>
        </is>
      </c>
      <c r="D7">
        <f>IF($B7&lt;&gt;"Yes","",IF($C7="No","Yes",IF($C7="Yes","No","")))</f>
        <v/>
      </c>
      <c r="E7">
        <f>IF($A7="","",IF(OR(AND($V7&lt;&gt;"",LOWER(TRIM($V7))&lt;&gt;"n/a",LOWER(TRIM($V7))&lt;&gt;"na",SUMPRODUCT(--(UPPER(TRIM($V$2:$V$518))=UPPER(TRIM($V7))),--(TRIM($V$2:$V$518)&lt;&gt;""),--(LOWER(TRIM($V$2:$V$518))&lt;&gt;"n/a"),--(LOWER(TRIM($V$2:$V$518))&lt;&gt;"na"))&gt;1),AND($W7&lt;&gt;"",LOWER(TRIM($W7))&lt;&gt;"n/a",LOWER(TRIM($W7))&lt;&gt;"na",SUMPRODUCT(--(UPPER(TRIM($W$2:$W$518))=UPPER(TRIM($W7))),--(TRIM($W$2:$W$518)&lt;&gt;""),--(LOWER(TRIM($W$2:$W$518))&lt;&gt;"n/a"),--(LOWER(TRIM($W$2:$W$518))&lt;&gt;"na"))&gt;1),AND($X7&lt;&gt;"",LOWER(TRIM($X7))&lt;&gt;"n/a",LOWER(TRIM($X7))&lt;&gt;"na",SUMPRODUCT(--(UPPER(TRIM($X$2:$X$518))=UPPER(TRIM($X7))),--(TRIM($X$2:$X$518)&lt;&gt;""),--(LOWER(TRIM($X$2:$X$518))&lt;&gt;"n/a"),--(LOWER(TRIM($X$2:$X$518))&lt;&gt;"na"))&gt;1),AND($Y7&lt;&gt;"",LOWER(TRIM($Y7))&lt;&gt;"n/a",LOWER(TRIM($Y7))&lt;&gt;"na",SUMPRODUCT(--(UPPER(SUBSTITUTE(SUBSTITUTE(TRIM($Y$2:$Y$518),":",""),"-",""))=UPPER(SUBSTITUTE(SUBSTITUTE(TRIM($Y7),":",""),"-",""))),--(TRIM($Y$2:$Y$518)&lt;&gt;""),--(LOWER(TRIM($Y$2:$Y$518))&lt;&gt;"n/a"),--(LOWER(TRIM($Y$2:$Y$518))&lt;&gt;"na"))&gt;1),AND($AB7&lt;&gt;"",LOWER(TRIM($AB7))&lt;&gt;"n/a",LOWER(TRIM($AB7))&lt;&gt;"na",SUMPRODUCT(--(UPPER(TRIM($AB$2:$AB$518))=UPPER(TRIM($AB7))),--(TRIM($AB$2:$AB$518)&lt;&gt;""),--(LOWER(TRIM($AB$2:$AB$518))&lt;&gt;"n/a"),--(LOWER(TRIM($AB$2:$AB$518))&lt;&gt;"na"))&gt;1),AND($AH7&lt;&gt;"",LOWER(TRIM($AH7))&lt;&gt;"n/a",LOWER(TRIM($AH7))&lt;&gt;"na",SUMPRODUCT(--(UPPER(SUBSTITUTE(SUBSTITUTE(TRIM($AH$2:$AH$518),":",""),"-",""))=UPPER(SUBSTITUTE(SUBSTITUTE(TRIM($AH7),":",""),"-",""))),--(TRIM($AH$2:$AH$518)&lt;&gt;""),--(LOWER(TRIM($AH$2:$AH$518))&lt;&gt;"n/a"),--(LOWER(TRIM($AH$2:$AH$518))&lt;&gt;"na"))&gt;1),AND($AP7&lt;&gt;"",LOWER(TRIM($AP7))&lt;&gt;"n/a",LOWER(TRIM($AP7))&lt;&gt;"na",SUMPRODUCT(--(UPPER(TRIM($AP$2:$AP$518))=UPPER(TRIM($AP7))),--(TRIM($AP$2:$AP$518)&lt;&gt;""),--(LOWER(TRIM($AP$2:$AP$518))&lt;&gt;"n/a"),--(LOWER(TRIM($AP$2:$AP$518))&lt;&gt;"na"))&gt;1),AND($AQ7&lt;&gt;"",LOWER(TRIM($AQ7))&lt;&gt;"n/a",LOWER(TRIM($AQ7))&lt;&gt;"na",SUMPRODUCT(--(UPPER(TRIM($AQ$2:$AQ$518))=UPPER(TRIM($AQ7))),--(TRIM($AQ$2:$AQ$518)&lt;&gt;""),--(LOWER(TRIM($AQ$2:$AQ$518))&lt;&gt;"n/a"),--(LOWER(TRIM($AQ$2:$AQ$518))&lt;&gt;"na"))&gt;1)),"Yes","No"))</f>
        <v/>
      </c>
      <c r="F7">
        <f>IF(UPPER(TRIM($B7))&lt;&gt;"YES","", IF(OR(AND($V7&lt;&gt;"", LOWER(TRIM($V7))&lt;&gt;"n/a", LOWER(TRIM($V7))&lt;&gt;"na", SUMPRODUCT(--(UPPER(TRIM($V$2:$V$518))=UPPER(TRIM($V7))), --(UPPER(TRIM($B$2:$B$518))="YES"), --(UPPER(TRIM($G$2:$G$518)&amp;TRIM($I$2:$I$518)&amp;TRIM($J$2:$J$518))&lt;&gt;UPPER(TRIM($G7)&amp;TRIM($I7)&amp;TRIM($J7))))&gt;0), AND($W7&lt;&gt;"", LOWER(TRIM($W7))&lt;&gt;"n/a", LOWER(TRIM($W7))&lt;&gt;"na", SUMPRODUCT(--(UPPER(TRIM($W$2:$W$518))=UPPER(TRIM($W7))), --(UPPER(TRIM($B$2:$B$518))="YES"), --(UPPER(TRIM($G$2:$G$518)&amp;TRIM($I$2:$I$518)&amp;TRIM($J$2:$J$518))&lt;&gt;UPPER(TRIM($G7)&amp;TRIM($I7)&amp;TRIM($J7))))&gt;0), AND($X7&lt;&gt;"", LOWER(TRIM($X7))&lt;&gt;"n/a", LOWER(TRIM($X7))&lt;&gt;"na", SUMPRODUCT(--(UPPER(TRIM($X$2:$X$518))=UPPER(TRIM($X7))), --(UPPER(TRIM($B$2:$B$518))="YES"), --(UPPER(TRIM($G$2:$G$518)&amp;TRIM($I$2:$I$518)&amp;TRIM($J$2:$J$518))&lt;&gt;UPPER(TRIM($G7)&amp;TRIM($I7)&amp;TRIM($J7))))&gt;0), AND($Y7&lt;&gt;"", LOWER(TRIM($Y7))&lt;&gt;"n/a", LOWER(TRIM($Y7))&lt;&gt;"na", SUMPRODUCT(--(UPPER(SUBSTITUTE(SUBSTITUTE(TRIM($Y$2:$Y$518),":",""),"-",""))=UPPER(SUBSTITUTE(SUBSTITUTE(TRIM($Y7),":",""),"-",""))), --(UPPER(TRIM($B$2:$B$518))="YES"), --(UPPER(TRIM($G$2:$G$518)&amp;TRIM($I$2:$I$518)&amp;TRIM($J$2:$J$518))&lt;&gt;UPPER(TRIM($G7)&amp;TRIM($I7)&amp;TRIM($J7))))&gt;0), AND($AB7&lt;&gt;"", LOWER(TRIM($AB7))&lt;&gt;"n/a", LOWER(TRIM($AB7))&lt;&gt;"na", SUMPRODUCT(--(UPPER(TRIM($AB$2:$AB$518))=UPPER(TRIM($AB7))), --(UPPER(TRIM($B$2:$B$518))="YES"), --(UPPER(TRIM($G$2:$G$518)&amp;TRIM($I$2:$I$518)&amp;TRIM($J$2:$J$518))&lt;&gt;UPPER(TRIM($G7)&amp;TRIM($I7)&amp;TRIM($J7))))&gt;0), AND($AH7&lt;&gt;"", LOWER(TRIM($AH7))&lt;&gt;"n/a", LOWER(TRIM($AH7))&lt;&gt;"na", SUMPRODUCT(--(UPPER(SUBSTITUTE(SUBSTITUTE(TRIM($AH$2:$AH$518),":",""),"-",""))=UPPER(SUBSTITUTE(SUBSTITUTE(TRIM($AH7),":",""),"-",""))), --(UPPER(TRIM($B$2:$B$518))="YES"), --(UPPER(TRIM($G$2:$G$518)&amp;TRIM($I$2:$I$518)&amp;TRIM($J$2:$J$518))&lt;&gt;UPPER(TRIM($G7)&amp;TRIM($I7)&amp;TRIM($J7))))&gt;0), AND($AP7&lt;&gt;"", LOWER(TRIM($AP7))&lt;&gt;"n/a", LOWER(TRIM($AP7))&lt;&gt;"na", SUMPRODUCT(--(UPPER(TRIM($AP$2:$AP$518))=UPPER(TRIM($AP7))), --(UPPER(TRIM($B$2:$B$518))="YES"), --(UPPER(TRIM($G$2:$G$518)&amp;TRIM($I$2:$I$518)&amp;TRIM($J$2:$J$518))&lt;&gt;UPPER(TRIM($G7)&amp;TRIM($I7)&amp;TRIM($J7))))&gt;0), AND($AQ7&lt;&gt;"", LOWER(TRIM($AQ7))&lt;&gt;"n/a", LOWER(TRIM($AQ7))&lt;&gt;"na", SUMPRODUCT(--(UPPER(TRIM($AQ$2:$AQ$518))=UPPER(TRIM($AQ7))), --(UPPER(TRIM($B$2:$B$518))="YES"), --(UPPER(TRIM($G$2:$G$518)&amp;TRIM($I$2:$I$518)&amp;TRIM($J$2:$J$518))&lt;&gt;UPPER(TRIM($G7)&amp;TRIM($I7)&amp;TRIM($J7))))&gt;0)), "Yes", "No"))</f>
        <v/>
      </c>
      <c r="G7" t="inlineStr">
        <is>
          <t>NSUH - PSP</t>
        </is>
      </c>
      <c r="H7" t="inlineStr">
        <is>
          <t>NSUH - PSP</t>
        </is>
      </c>
      <c r="I7" t="inlineStr">
        <is>
          <t>Legacy ORs - 2nd Floor</t>
        </is>
      </c>
      <c r="J7" t="inlineStr">
        <is>
          <t>OR 20</t>
        </is>
      </c>
      <c r="K7" t="inlineStr">
        <is>
          <t>n/a</t>
        </is>
      </c>
      <c r="L7" s="18" t="n">
        <v>46116</v>
      </c>
      <c r="M7" t="inlineStr">
        <is>
          <t>OR Cybernet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Inpatient</t>
        </is>
      </c>
      <c r="R7" t="inlineStr">
        <is>
          <t>Yes</t>
        </is>
      </c>
      <c r="U7" t="inlineStr">
        <is>
          <t>Dr. Palilla, Timothy W. Seeberger</t>
        </is>
      </c>
      <c r="V7" t="inlineStr">
        <is>
          <t>WMH300OPR367</t>
        </is>
      </c>
      <c r="W7" t="inlineStr">
        <is>
          <t>MEDSG2425F-0196</t>
        </is>
      </c>
      <c r="X7" t="inlineStr">
        <is>
          <t>NSUH-MACH-OO</t>
        </is>
      </c>
      <c r="Y7" t="inlineStr">
        <is>
          <t>A0F5097FEFA5</t>
        </is>
      </c>
      <c r="AB7" t="inlineStr">
        <is>
          <t>WA24406845</t>
        </is>
      </c>
      <c r="AC7" t="inlineStr">
        <is>
          <t>NSUH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000D050AA817</t>
        </is>
      </c>
      <c r="AI7" t="inlineStr">
        <is>
          <t>Anesthesia Machine</t>
        </is>
      </c>
      <c r="AJ7" t="n">
        <v>452543</v>
      </c>
      <c r="AL7" t="inlineStr">
        <is>
          <t>0604655/656</t>
        </is>
      </c>
      <c r="AM7" t="inlineStr">
        <is>
          <t>Datex-Ohmeda</t>
        </is>
      </c>
      <c r="AN7" t="inlineStr">
        <is>
          <t>Aisys CS2</t>
        </is>
      </c>
      <c r="AP7" t="inlineStr">
        <is>
          <t>010084068210229221APWC0265911230915</t>
        </is>
      </c>
      <c r="AQ7" t="inlineStr">
        <is>
          <t>010084068210229221APWC0265911230915</t>
        </is>
      </c>
      <c r="AS7" t="inlineStr">
        <is>
          <t>GE Canvas 1000: 833-08, SPEC999015 / GE G1500213: 133-08C, GE B850</t>
        </is>
      </c>
      <c r="AT7" t="inlineStr">
        <is>
          <t>B1-CFU</t>
        </is>
      </c>
      <c r="AX7" t="inlineStr">
        <is>
          <t>GE Canvas 1000: 147HA : 091181388 SPEC999015 / E139956-T Type C02</t>
        </is>
      </c>
      <c r="AY7" t="inlineStr">
        <is>
          <t>010084068210229221APWC0265911230915</t>
        </is>
      </c>
      <c r="BC7" t="n">
        <v>452543</v>
      </c>
      <c r="BD7" t="n">
        <v>452542</v>
      </c>
      <c r="BH7" t="n">
        <v>115200</v>
      </c>
      <c r="BI7" t="n">
        <v>19200</v>
      </c>
      <c r="BM7" t="inlineStr">
        <is>
          <t>E81</t>
        </is>
      </c>
      <c r="BN7" t="inlineStr">
        <is>
          <t>O71</t>
        </is>
      </c>
      <c r="BY7" t="inlineStr">
        <is>
          <t>Requires a Download Check: SIS as a service; VMware Stallaris, uncheck log-in as current user, and add server(qr code provided)</t>
        </is>
      </c>
      <c r="CD7">
        <f>IF($Y7="","",IF((IF(AND($BR7&lt;&gt;"Yes",$BR7&lt;&gt;"N/A"),"Power Cable, ","")&amp;IF(AND($BS7&lt;&gt;"Yes",$BS7&lt;&gt;"N/A"),"Battery, ","")&amp;IF(AND($AD7&lt;&gt;"Yes",$AD7&lt;&gt;"N/A"),"Firmware Download, ","")&amp;IF(AND(OR($AD7="Yes",$AD7="N/A"),$AE7&lt;&gt;"Yes",$AE7&lt;&gt;"N/A"),"Firmware Install, ","")&amp;IF(AND($CB7&lt;&gt;"Yes",$CB7&lt;&gt;"N/A"),"Device ID, ","")&amp;IF(AND($CC7&lt;&gt;"Yes",$CC7&lt;&gt;"N/A"),"Epic Beans Relay, ",""))="","",LEFT(IF(AND($BR7&lt;&gt;"Yes",$BR7&lt;&gt;"N/A"),"Power Cable, ","")&amp;IF(AND($BS7&lt;&gt;"Yes",$BS7&lt;&gt;"N/A"),"Battery, ","")&amp;IF(AND($AD7&lt;&gt;"Yes",$AD7&lt;&gt;"N/A"),"Firmware Download, ","")&amp;IF(AND(OR($AD7="Yes",$AD7="N/A"),$AE7&lt;&gt;"Yes",$AE7&lt;&gt;"N/A"),"Firmware Install, ","")&amp;IF(AND($CB7&lt;&gt;"Yes",$CB7&lt;&gt;"N/A"),"Device ID, ","")&amp;IF(AND($CC7&lt;&gt;"Yes",$CC7&lt;&gt;"N/A"),"Epic Beans Relay, ",""),LEN(IF(AND($BR7&lt;&gt;"Yes",$BR7&lt;&gt;"N/A"),"Power Cable, ","")&amp;IF(AND($BS7&lt;&gt;"Yes",$BS7&lt;&gt;"N/A"),"Battery, ","")&amp;IF(AND($AD7&lt;&gt;"Yes",$AD7&lt;&gt;"N/A"),"Firmware Download, ","")&amp;IF(AND(OR($AD7="Yes",$AD7="N/A"),$AE7&lt;&gt;"Yes",$AE7&lt;&gt;"N/A"),"Firmware Install, ","")&amp;IF(AND($CB7&lt;&gt;"Yes",$CB7&lt;&gt;"N/A"),"Device ID, ","")&amp;IF(AND($CC7&lt;&gt;"Yes",$CC7&lt;&gt;"N/A"),"Epic Beans Relay, ",""))-2)))</f>
        <v/>
      </c>
      <c r="CE7">
        <f>IF($Y7="","",IF($CD7="","Yes","Blocked"))</f>
        <v/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W7">
        <f>IF($S7="","",IF(UPPER(TRIM($S7))&lt;&gt;"PASS","",IF(LEN(TRIM($BY7))&gt;0,"NOTES_PRESENT",IF(LEN(TRIM($T7))=0,"SET_NA",IF(OR(LOWER(TRIM($T7))="na",LOWER(TRIM($T7))="n/a"),"OK","MANUAL_OVERRIDE")))))</f>
        <v/>
      </c>
    </row>
    <row r="8">
      <c r="A8" t="inlineStr">
        <is>
          <t>Cybernet-Neuron</t>
        </is>
      </c>
      <c r="B8" s="51" t="inlineStr">
        <is>
          <t>Yes</t>
        </is>
      </c>
      <c r="C8" t="inlineStr">
        <is>
          <t>Yes</t>
        </is>
      </c>
      <c r="D8">
        <f>IF($B8&lt;&gt;"Yes","",IF($C8="No","Yes",IF($C8="Yes","No","")))</f>
        <v/>
      </c>
      <c r="E8">
        <f>IF($A8="","",IF(OR(AND($V8&lt;&gt;"",LOWER(TRIM($V8))&lt;&gt;"n/a",LOWER(TRIM($V8))&lt;&gt;"na",SUMPRODUCT(--(UPPER(TRIM($V$2:$V$518))=UPPER(TRIM($V8))),--(TRIM($V$2:$V$518)&lt;&gt;""),--(LOWER(TRIM($V$2:$V$518))&lt;&gt;"n/a"),--(LOWER(TRIM($V$2:$V$518))&lt;&gt;"na"))&gt;1),AND($W8&lt;&gt;"",LOWER(TRIM($W8))&lt;&gt;"n/a",LOWER(TRIM($W8))&lt;&gt;"na",SUMPRODUCT(--(UPPER(TRIM($W$2:$W$518))=UPPER(TRIM($W8))),--(TRIM($W$2:$W$518)&lt;&gt;""),--(LOWER(TRIM($W$2:$W$518))&lt;&gt;"n/a"),--(LOWER(TRIM($W$2:$W$518))&lt;&gt;"na"))&gt;1),AND($X8&lt;&gt;"",LOWER(TRIM($X8))&lt;&gt;"n/a",LOWER(TRIM($X8))&lt;&gt;"na",SUMPRODUCT(--(UPPER(TRIM($X$2:$X$518))=UPPER(TRIM($X8))),--(TRIM($X$2:$X$518)&lt;&gt;""),--(LOWER(TRIM($X$2:$X$518))&lt;&gt;"n/a"),--(LOWER(TRIM($X$2:$X$518))&lt;&gt;"na"))&gt;1),AND($Y8&lt;&gt;"",LOWER(TRIM($Y8))&lt;&gt;"n/a",LOWER(TRIM($Y8))&lt;&gt;"na",SUMPRODUCT(--(UPPER(SUBSTITUTE(SUBSTITUTE(TRIM($Y$2:$Y$518),":",""),"-",""))=UPPER(SUBSTITUTE(SUBSTITUTE(TRIM($Y8),":",""),"-",""))),--(TRIM($Y$2:$Y$518)&lt;&gt;""),--(LOWER(TRIM($Y$2:$Y$518))&lt;&gt;"n/a"),--(LOWER(TRIM($Y$2:$Y$518))&lt;&gt;"na"))&gt;1),AND($AB8&lt;&gt;"",LOWER(TRIM($AB8))&lt;&gt;"n/a",LOWER(TRIM($AB8))&lt;&gt;"na",SUMPRODUCT(--(UPPER(TRIM($AB$2:$AB$518))=UPPER(TRIM($AB8))),--(TRIM($AB$2:$AB$518)&lt;&gt;""),--(LOWER(TRIM($AB$2:$AB$518))&lt;&gt;"n/a"),--(LOWER(TRIM($AB$2:$AB$518))&lt;&gt;"na"))&gt;1),AND($AH8&lt;&gt;"",LOWER(TRIM($AH8))&lt;&gt;"n/a",LOWER(TRIM($AH8))&lt;&gt;"na",SUMPRODUCT(--(UPPER(SUBSTITUTE(SUBSTITUTE(TRIM($AH$2:$AH$518),":",""),"-",""))=UPPER(SUBSTITUTE(SUBSTITUTE(TRIM($AH8),":",""),"-",""))),--(TRIM($AH$2:$AH$518)&lt;&gt;""),--(LOWER(TRIM($AH$2:$AH$518))&lt;&gt;"n/a"),--(LOWER(TRIM($AH$2:$AH$518))&lt;&gt;"na"))&gt;1),AND($AP8&lt;&gt;"",LOWER(TRIM($AP8))&lt;&gt;"n/a",LOWER(TRIM($AP8))&lt;&gt;"na",SUMPRODUCT(--(UPPER(TRIM($AP$2:$AP$518))=UPPER(TRIM($AP8))),--(TRIM($AP$2:$AP$518)&lt;&gt;""),--(LOWER(TRIM($AP$2:$AP$518))&lt;&gt;"n/a"),--(LOWER(TRIM($AP$2:$AP$518))&lt;&gt;"na"))&gt;1),AND($AQ8&lt;&gt;"",LOWER(TRIM($AQ8))&lt;&gt;"n/a",LOWER(TRIM($AQ8))&lt;&gt;"na",SUMPRODUCT(--(UPPER(TRIM($AQ$2:$AQ$518))=UPPER(TRIM($AQ8))),--(TRIM($AQ$2:$AQ$518)&lt;&gt;""),--(LOWER(TRIM($AQ$2:$AQ$518))&lt;&gt;"n/a"),--(LOWER(TRIM($AQ$2:$AQ$518))&lt;&gt;"na"))&gt;1)),"Yes","No"))</f>
        <v/>
      </c>
      <c r="F8">
        <f>IF(UPPER(TRIM($B8))&lt;&gt;"YES","", IF(OR(AND($V8&lt;&gt;"", LOWER(TRIM($V8))&lt;&gt;"n/a", LOWER(TRIM($V8))&lt;&gt;"na", SUMPRODUCT(--(UPPER(TRIM($V$2:$V$518))=UPPER(TRIM($V8))), --(UPPER(TRIM($B$2:$B$518))="YES"), --(UPPER(TRIM($G$2:$G$518)&amp;TRIM($I$2:$I$518)&amp;TRIM($J$2:$J$518))&lt;&gt;UPPER(TRIM($G8)&amp;TRIM($I8)&amp;TRIM($J8))))&gt;0), AND($W8&lt;&gt;"", LOWER(TRIM($W8))&lt;&gt;"n/a", LOWER(TRIM($W8))&lt;&gt;"na", SUMPRODUCT(--(UPPER(TRIM($W$2:$W$518))=UPPER(TRIM($W8))), --(UPPER(TRIM($B$2:$B$518))="YES"), --(UPPER(TRIM($G$2:$G$518)&amp;TRIM($I$2:$I$518)&amp;TRIM($J$2:$J$518))&lt;&gt;UPPER(TRIM($G8)&amp;TRIM($I8)&amp;TRIM($J8))))&gt;0), AND($X8&lt;&gt;"", LOWER(TRIM($X8))&lt;&gt;"n/a", LOWER(TRIM($X8))&lt;&gt;"na", SUMPRODUCT(--(UPPER(TRIM($X$2:$X$518))=UPPER(TRIM($X8))), --(UPPER(TRIM($B$2:$B$518))="YES"), --(UPPER(TRIM($G$2:$G$518)&amp;TRIM($I$2:$I$518)&amp;TRIM($J$2:$J$518))&lt;&gt;UPPER(TRIM($G8)&amp;TRIM($I8)&amp;TRIM($J8))))&gt;0), AND($Y8&lt;&gt;"", LOWER(TRIM($Y8))&lt;&gt;"n/a", LOWER(TRIM($Y8))&lt;&gt;"na", SUMPRODUCT(--(UPPER(SUBSTITUTE(SUBSTITUTE(TRIM($Y$2:$Y$518),":",""),"-",""))=UPPER(SUBSTITUTE(SUBSTITUTE(TRIM($Y8),":",""),"-",""))), --(UPPER(TRIM($B$2:$B$518))="YES"), --(UPPER(TRIM($G$2:$G$518)&amp;TRIM($I$2:$I$518)&amp;TRIM($J$2:$J$518))&lt;&gt;UPPER(TRIM($G8)&amp;TRIM($I8)&amp;TRIM($J8))))&gt;0), AND($AB8&lt;&gt;"", LOWER(TRIM($AB8))&lt;&gt;"n/a", LOWER(TRIM($AB8))&lt;&gt;"na", SUMPRODUCT(--(UPPER(TRIM($AB$2:$AB$518))=UPPER(TRIM($AB8))), --(UPPER(TRIM($B$2:$B$518))="YES"), --(UPPER(TRIM($G$2:$G$518)&amp;TRIM($I$2:$I$518)&amp;TRIM($J$2:$J$518))&lt;&gt;UPPER(TRIM($G8)&amp;TRIM($I8)&amp;TRIM($J8))))&gt;0), AND($AH8&lt;&gt;"", LOWER(TRIM($AH8))&lt;&gt;"n/a", LOWER(TRIM($AH8))&lt;&gt;"na", SUMPRODUCT(--(UPPER(SUBSTITUTE(SUBSTITUTE(TRIM($AH$2:$AH$518),":",""),"-",""))=UPPER(SUBSTITUTE(SUBSTITUTE(TRIM($AH8),":",""),"-",""))), --(UPPER(TRIM($B$2:$B$518))="YES"), --(UPPER(TRIM($G$2:$G$518)&amp;TRIM($I$2:$I$518)&amp;TRIM($J$2:$J$518))&lt;&gt;UPPER(TRIM($G8)&amp;TRIM($I8)&amp;TRIM($J8))))&gt;0), AND($AP8&lt;&gt;"", LOWER(TRIM($AP8))&lt;&gt;"n/a", LOWER(TRIM($AP8))&lt;&gt;"na", SUMPRODUCT(--(UPPER(TRIM($AP$2:$AP$518))=UPPER(TRIM($AP8))), --(UPPER(TRIM($B$2:$B$518))="YES"), --(UPPER(TRIM($G$2:$G$518)&amp;TRIM($I$2:$I$518)&amp;TRIM($J$2:$J$518))&lt;&gt;UPPER(TRIM($G8)&amp;TRIM($I8)&amp;TRIM($J8))))&gt;0), AND($AQ8&lt;&gt;"", LOWER(TRIM($AQ8))&lt;&gt;"n/a", LOWER(TRIM($AQ8))&lt;&gt;"na", SUMPRODUCT(--(UPPER(TRIM($AQ$2:$AQ$518))=UPPER(TRIM($AQ8))), --(UPPER(TRIM($B$2:$B$518))="YES"), --(UPPER(TRIM($G$2:$G$518)&amp;TRIM($I$2:$I$518)&amp;TRIM($J$2:$J$518))&lt;&gt;UPPER(TRIM($G8)&amp;TRIM($I8)&amp;TRIM($J8))))&gt;0)), "Yes", "No"))</f>
        <v/>
      </c>
      <c r="G8" t="inlineStr">
        <is>
          <t>NSUH - PSP</t>
        </is>
      </c>
      <c r="H8" t="inlineStr">
        <is>
          <t>NSUH - PSP</t>
        </is>
      </c>
      <c r="I8" t="inlineStr">
        <is>
          <t>Legacy ORs - 2nd Floor</t>
        </is>
      </c>
      <c r="J8" t="inlineStr">
        <is>
          <t>OR 25</t>
        </is>
      </c>
      <c r="K8" t="inlineStr">
        <is>
          <t>n/a</t>
        </is>
      </c>
      <c r="L8" s="18" t="n">
        <v>46116</v>
      </c>
      <c r="M8" t="inlineStr">
        <is>
          <t>OR Cybernet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Inpatient</t>
        </is>
      </c>
      <c r="R8" t="inlineStr">
        <is>
          <t>Yes</t>
        </is>
      </c>
      <c r="S8" t="inlineStr">
        <is>
          <t>Imprivata not active...</t>
        </is>
      </c>
      <c r="U8" t="inlineStr">
        <is>
          <t>Dr. Palilla, Timothy W. Seeberger</t>
        </is>
      </c>
      <c r="V8" t="inlineStr">
        <is>
          <t>WMH300OPR369</t>
        </is>
      </c>
      <c r="W8" t="inlineStr">
        <is>
          <t>MEDSG2425F-0152</t>
        </is>
      </c>
      <c r="X8" t="inlineStr">
        <is>
          <t>NSUH-MACH-L</t>
        </is>
      </c>
      <c r="Y8" t="inlineStr">
        <is>
          <t>A0F5097FE48F</t>
        </is>
      </c>
      <c r="AB8" t="inlineStr">
        <is>
          <t>WA24406390</t>
        </is>
      </c>
      <c r="AC8" t="inlineStr">
        <is>
          <t>NSUH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000D050AA4F5</t>
        </is>
      </c>
      <c r="AI8" t="inlineStr">
        <is>
          <t>Anesthesia Machine</t>
        </is>
      </c>
      <c r="AJ8" t="n">
        <v>452499</v>
      </c>
      <c r="AL8" t="inlineStr">
        <is>
          <t>0602236 / 3502-112</t>
        </is>
      </c>
      <c r="AM8" t="inlineStr">
        <is>
          <t>Datex-Ohmeda</t>
        </is>
      </c>
      <c r="AN8" t="inlineStr">
        <is>
          <t>Aisys CS2</t>
        </is>
      </c>
      <c r="AP8" t="inlineStr">
        <is>
          <t>010084068210229221APWC0264911230915</t>
        </is>
      </c>
      <c r="AQ8" t="inlineStr">
        <is>
          <t>010084068210229221APWC0264911230915</t>
        </is>
      </c>
      <c r="AS8" t="inlineStr">
        <is>
          <t>GE Canvas 1000: 833-08, SPEC999015 / GE G1500213: 133-08C, GE B850</t>
        </is>
      </c>
      <c r="AT8" t="inlineStr">
        <is>
          <t>B1-CFU</t>
        </is>
      </c>
      <c r="AX8" t="inlineStr">
        <is>
          <t>GE Canvas 1000: 162HA: 091181414 SPEC999015</t>
        </is>
      </c>
      <c r="AY8" t="inlineStr">
        <is>
          <t>010084068210229221APWC0264911230915</t>
        </is>
      </c>
      <c r="BC8" t="n">
        <v>452499</v>
      </c>
      <c r="BD8" t="n">
        <v>452498</v>
      </c>
      <c r="BH8" t="n">
        <v>115200</v>
      </c>
      <c r="BI8" t="n">
        <v>19200</v>
      </c>
      <c r="BM8" t="inlineStr">
        <is>
          <t>E81</t>
        </is>
      </c>
      <c r="BN8" t="inlineStr">
        <is>
          <t>O71</t>
        </is>
      </c>
      <c r="BY8" s="65" t="inlineStr">
        <is>
          <t>Requires a Download Check: SIS as a service; VMware Stallaris, uncheck log-in as current user, and add server(qr code provided)</t>
        </is>
      </c>
      <c r="CD8">
        <f>IF($Y8="","",IF((IF(AND($BR8&lt;&gt;"Yes",$BR8&lt;&gt;"N/A"),"Power Cable, ","")&amp;IF(AND($BS8&lt;&gt;"Yes",$BS8&lt;&gt;"N/A"),"Battery, ","")&amp;IF(AND($AD8&lt;&gt;"Yes",$AD8&lt;&gt;"N/A"),"Firmware Download, ","")&amp;IF(AND(OR($AD8="Yes",$AD8="N/A"),$AE8&lt;&gt;"Yes",$AE8&lt;&gt;"N/A"),"Firmware Install, ","")&amp;IF(AND($CB8&lt;&gt;"Yes",$CB8&lt;&gt;"N/A"),"Device ID, ","")&amp;IF(AND($CC8&lt;&gt;"Yes",$CC8&lt;&gt;"N/A"),"Epic Beans Relay, ",""))="","",LEFT(IF(AND($BR8&lt;&gt;"Yes",$BR8&lt;&gt;"N/A"),"Power Cable, ","")&amp;IF(AND($BS8&lt;&gt;"Yes",$BS8&lt;&gt;"N/A"),"Battery, ","")&amp;IF(AND($AD8&lt;&gt;"Yes",$AD8&lt;&gt;"N/A"),"Firmware Download, ","")&amp;IF(AND(OR($AD8="Yes",$AD8="N/A"),$AE8&lt;&gt;"Yes",$AE8&lt;&gt;"N/A"),"Firmware Install, ","")&amp;IF(AND($CB8&lt;&gt;"Yes",$CB8&lt;&gt;"N/A"),"Device ID, ","")&amp;IF(AND($CC8&lt;&gt;"Yes",$CC8&lt;&gt;"N/A"),"Epic Beans Relay, ",""),LEN(IF(AND($BR8&lt;&gt;"Yes",$BR8&lt;&gt;"N/A"),"Power Cable, ","")&amp;IF(AND($BS8&lt;&gt;"Yes",$BS8&lt;&gt;"N/A"),"Battery, ","")&amp;IF(AND($AD8&lt;&gt;"Yes",$AD8&lt;&gt;"N/A"),"Firmware Download, ","")&amp;IF(AND(OR($AD8="Yes",$AD8="N/A"),$AE8&lt;&gt;"Yes",$AE8&lt;&gt;"N/A"),"Firmware Install, ","")&amp;IF(AND($CB8&lt;&gt;"Yes",$CB8&lt;&gt;"N/A"),"Device ID, ","")&amp;IF(AND($CC8&lt;&gt;"Yes",$CC8&lt;&gt;"N/A"),"Epic Beans Relay, ",""))-2)))</f>
        <v/>
      </c>
      <c r="CE8">
        <f>IF($Y8="","",IF($CD8="","Yes","Blocked"))</f>
        <v/>
      </c>
      <c r="CF8" t="inlineStr">
        <is>
          <t>Yes</t>
        </is>
      </c>
      <c r="CG8" t="inlineStr">
        <is>
          <t>Yes</t>
        </is>
      </c>
      <c r="CH8" t="inlineStr">
        <is>
          <t>Yes</t>
        </is>
      </c>
      <c r="CI8" t="inlineStr">
        <is>
          <t>Yes</t>
        </is>
      </c>
      <c r="CJ8" t="inlineStr">
        <is>
          <t>Yes</t>
        </is>
      </c>
      <c r="CK8" t="inlineStr">
        <is>
          <t>Yes</t>
        </is>
      </c>
      <c r="CL8" t="inlineStr">
        <is>
          <t>Yes</t>
        </is>
      </c>
      <c r="CM8" t="inlineStr">
        <is>
          <t>Yes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  <c r="CQ8" t="inlineStr">
        <is>
          <t>Yes</t>
        </is>
      </c>
      <c r="CR8" t="inlineStr">
        <is>
          <t>Yes</t>
        </is>
      </c>
      <c r="CS8" t="inlineStr">
        <is>
          <t>Yes</t>
        </is>
      </c>
      <c r="CW8">
        <f>IF($S8="","",IF(UPPER(TRIM($S8))&lt;&gt;"PASS","",IF(LEN(TRIM($BY8))&gt;0,"NOTES_PRESENT",IF(LEN(TRIM($T8))=0,"SET_NA",IF(OR(LOWER(TRIM($T8))="na",LOWER(TRIM($T8))="n/a"),"OK","MANUAL_OVERRIDE")))))</f>
        <v/>
      </c>
    </row>
    <row r="9">
      <c r="A9" t="inlineStr">
        <is>
          <t>Cybernet-Neuron</t>
        </is>
      </c>
      <c r="B9" s="51" t="inlineStr">
        <is>
          <t>Yes</t>
        </is>
      </c>
      <c r="C9" t="inlineStr">
        <is>
          <t>Yes</t>
        </is>
      </c>
      <c r="D9">
        <f>IF($B9&lt;&gt;"Yes","",IF($C9="No","Yes",IF($C9="Yes","No","")))</f>
        <v/>
      </c>
      <c r="E9">
        <f>IF($A9="","",IF(OR(AND($V9&lt;&gt;"",LOWER(TRIM($V9))&lt;&gt;"n/a",LOWER(TRIM($V9))&lt;&gt;"na",SUMPRODUCT(--(UPPER(TRIM($V$2:$V$518))=UPPER(TRIM($V9))),--(TRIM($V$2:$V$518)&lt;&gt;""),--(LOWER(TRIM($V$2:$V$518))&lt;&gt;"n/a"),--(LOWER(TRIM($V$2:$V$518))&lt;&gt;"na"))&gt;1),AND($W9&lt;&gt;"",LOWER(TRIM($W9))&lt;&gt;"n/a",LOWER(TRIM($W9))&lt;&gt;"na",SUMPRODUCT(--(UPPER(TRIM($W$2:$W$518))=UPPER(TRIM($W9))),--(TRIM($W$2:$W$518)&lt;&gt;""),--(LOWER(TRIM($W$2:$W$518))&lt;&gt;"n/a"),--(LOWER(TRIM($W$2:$W$518))&lt;&gt;"na"))&gt;1),AND($X9&lt;&gt;"",LOWER(TRIM($X9))&lt;&gt;"n/a",LOWER(TRIM($X9))&lt;&gt;"na",SUMPRODUCT(--(UPPER(TRIM($X$2:$X$518))=UPPER(TRIM($X9))),--(TRIM($X$2:$X$518)&lt;&gt;""),--(LOWER(TRIM($X$2:$X$518))&lt;&gt;"n/a"),--(LOWER(TRIM($X$2:$X$518))&lt;&gt;"na"))&gt;1),AND($Y9&lt;&gt;"",LOWER(TRIM($Y9))&lt;&gt;"n/a",LOWER(TRIM($Y9))&lt;&gt;"na",SUMPRODUCT(--(UPPER(SUBSTITUTE(SUBSTITUTE(TRIM($Y$2:$Y$518),":",""),"-",""))=UPPER(SUBSTITUTE(SUBSTITUTE(TRIM($Y9),":",""),"-",""))),--(TRIM($Y$2:$Y$518)&lt;&gt;""),--(LOWER(TRIM($Y$2:$Y$518))&lt;&gt;"n/a"),--(LOWER(TRIM($Y$2:$Y$518))&lt;&gt;"na"))&gt;1),AND($AB9&lt;&gt;"",LOWER(TRIM($AB9))&lt;&gt;"n/a",LOWER(TRIM($AB9))&lt;&gt;"na",SUMPRODUCT(--(UPPER(TRIM($AB$2:$AB$518))=UPPER(TRIM($AB9))),--(TRIM($AB$2:$AB$518)&lt;&gt;""),--(LOWER(TRIM($AB$2:$AB$518))&lt;&gt;"n/a"),--(LOWER(TRIM($AB$2:$AB$518))&lt;&gt;"na"))&gt;1),AND($AH9&lt;&gt;"",LOWER(TRIM($AH9))&lt;&gt;"n/a",LOWER(TRIM($AH9))&lt;&gt;"na",SUMPRODUCT(--(UPPER(SUBSTITUTE(SUBSTITUTE(TRIM($AH$2:$AH$518),":",""),"-",""))=UPPER(SUBSTITUTE(SUBSTITUTE(TRIM($AH9),":",""),"-",""))),--(TRIM($AH$2:$AH$518)&lt;&gt;""),--(LOWER(TRIM($AH$2:$AH$518))&lt;&gt;"n/a"),--(LOWER(TRIM($AH$2:$AH$518))&lt;&gt;"na"))&gt;1),AND($AP9&lt;&gt;"",LOWER(TRIM($AP9))&lt;&gt;"n/a",LOWER(TRIM($AP9))&lt;&gt;"na",SUMPRODUCT(--(UPPER(TRIM($AP$2:$AP$518))=UPPER(TRIM($AP9))),--(TRIM($AP$2:$AP$518)&lt;&gt;""),--(LOWER(TRIM($AP$2:$AP$518))&lt;&gt;"n/a"),--(LOWER(TRIM($AP$2:$AP$518))&lt;&gt;"na"))&gt;1),AND($AQ9&lt;&gt;"",LOWER(TRIM($AQ9))&lt;&gt;"n/a",LOWER(TRIM($AQ9))&lt;&gt;"na",SUMPRODUCT(--(UPPER(TRIM($AQ$2:$AQ$518))=UPPER(TRIM($AQ9))),--(TRIM($AQ$2:$AQ$518)&lt;&gt;""),--(LOWER(TRIM($AQ$2:$AQ$518))&lt;&gt;"n/a"),--(LOWER(TRIM($AQ$2:$AQ$518))&lt;&gt;"na"))&gt;1)),"Yes","No"))</f>
        <v/>
      </c>
      <c r="F9">
        <f>IF(UPPER(TRIM($B9))&lt;&gt;"YES","", IF(OR(AND($V9&lt;&gt;"", LOWER(TRIM($V9))&lt;&gt;"n/a", LOWER(TRIM($V9))&lt;&gt;"na", SUMPRODUCT(--(UPPER(TRIM($V$2:$V$518))=UPPER(TRIM($V9))), --(UPPER(TRIM($B$2:$B$518))="YES"), --(UPPER(TRIM($G$2:$G$518)&amp;TRIM($I$2:$I$518)&amp;TRIM($J$2:$J$518))&lt;&gt;UPPER(TRIM($G9)&amp;TRIM($I9)&amp;TRIM($J9))))&gt;0), AND($W9&lt;&gt;"", LOWER(TRIM($W9))&lt;&gt;"n/a", LOWER(TRIM($W9))&lt;&gt;"na", SUMPRODUCT(--(UPPER(TRIM($W$2:$W$518))=UPPER(TRIM($W9))), --(UPPER(TRIM($B$2:$B$518))="YES"), --(UPPER(TRIM($G$2:$G$518)&amp;TRIM($I$2:$I$518)&amp;TRIM($J$2:$J$518))&lt;&gt;UPPER(TRIM($G9)&amp;TRIM($I9)&amp;TRIM($J9))))&gt;0), AND($X9&lt;&gt;"", LOWER(TRIM($X9))&lt;&gt;"n/a", LOWER(TRIM($X9))&lt;&gt;"na", SUMPRODUCT(--(UPPER(TRIM($X$2:$X$518))=UPPER(TRIM($X9))), --(UPPER(TRIM($B$2:$B$518))="YES"), --(UPPER(TRIM($G$2:$G$518)&amp;TRIM($I$2:$I$518)&amp;TRIM($J$2:$J$518))&lt;&gt;UPPER(TRIM($G9)&amp;TRIM($I9)&amp;TRIM($J9))))&gt;0), AND($Y9&lt;&gt;"", LOWER(TRIM($Y9))&lt;&gt;"n/a", LOWER(TRIM($Y9))&lt;&gt;"na", SUMPRODUCT(--(UPPER(SUBSTITUTE(SUBSTITUTE(TRIM($Y$2:$Y$518),":",""),"-",""))=UPPER(SUBSTITUTE(SUBSTITUTE(TRIM($Y9),":",""),"-",""))), --(UPPER(TRIM($B$2:$B$518))="YES"), --(UPPER(TRIM($G$2:$G$518)&amp;TRIM($I$2:$I$518)&amp;TRIM($J$2:$J$518))&lt;&gt;UPPER(TRIM($G9)&amp;TRIM($I9)&amp;TRIM($J9))))&gt;0), AND($AB9&lt;&gt;"", LOWER(TRIM($AB9))&lt;&gt;"n/a", LOWER(TRIM($AB9))&lt;&gt;"na", SUMPRODUCT(--(UPPER(TRIM($AB$2:$AB$518))=UPPER(TRIM($AB9))), --(UPPER(TRIM($B$2:$B$518))="YES"), --(UPPER(TRIM($G$2:$G$518)&amp;TRIM($I$2:$I$518)&amp;TRIM($J$2:$J$518))&lt;&gt;UPPER(TRIM($G9)&amp;TRIM($I9)&amp;TRIM($J9))))&gt;0), AND($AH9&lt;&gt;"", LOWER(TRIM($AH9))&lt;&gt;"n/a", LOWER(TRIM($AH9))&lt;&gt;"na", SUMPRODUCT(--(UPPER(SUBSTITUTE(SUBSTITUTE(TRIM($AH$2:$AH$518),":",""),"-",""))=UPPER(SUBSTITUTE(SUBSTITUTE(TRIM($AH9),":",""),"-",""))), --(UPPER(TRIM($B$2:$B$518))="YES"), --(UPPER(TRIM($G$2:$G$518)&amp;TRIM($I$2:$I$518)&amp;TRIM($J$2:$J$518))&lt;&gt;UPPER(TRIM($G9)&amp;TRIM($I9)&amp;TRIM($J9))))&gt;0), AND($AP9&lt;&gt;"", LOWER(TRIM($AP9))&lt;&gt;"n/a", LOWER(TRIM($AP9))&lt;&gt;"na", SUMPRODUCT(--(UPPER(TRIM($AP$2:$AP$518))=UPPER(TRIM($AP9))), --(UPPER(TRIM($B$2:$B$518))="YES"), --(UPPER(TRIM($G$2:$G$518)&amp;TRIM($I$2:$I$518)&amp;TRIM($J$2:$J$518))&lt;&gt;UPPER(TRIM($G9)&amp;TRIM($I9)&amp;TRIM($J9))))&gt;0), AND($AQ9&lt;&gt;"", LOWER(TRIM($AQ9))&lt;&gt;"n/a", LOWER(TRIM($AQ9))&lt;&gt;"na", SUMPRODUCT(--(UPPER(TRIM($AQ$2:$AQ$518))=UPPER(TRIM($AQ9))), --(UPPER(TRIM($B$2:$B$518))="YES"), --(UPPER(TRIM($G$2:$G$518)&amp;TRIM($I$2:$I$518)&amp;TRIM($J$2:$J$518))&lt;&gt;UPPER(TRIM($G9)&amp;TRIM($I9)&amp;TRIM($J9))))&gt;0)), "Yes", "No"))</f>
        <v/>
      </c>
      <c r="G9" t="inlineStr">
        <is>
          <t>NSUH - PSP</t>
        </is>
      </c>
      <c r="H9" t="inlineStr">
        <is>
          <t>NSUH - PSP</t>
        </is>
      </c>
      <c r="I9" t="inlineStr">
        <is>
          <t>Legacy ORs - 2nd Floor</t>
        </is>
      </c>
      <c r="J9" t="inlineStr">
        <is>
          <t xml:space="preserve">OR 24 </t>
        </is>
      </c>
      <c r="K9" t="inlineStr">
        <is>
          <t>n/a</t>
        </is>
      </c>
      <c r="L9" s="18" t="n">
        <v>46116</v>
      </c>
      <c r="M9" t="inlineStr">
        <is>
          <t>OR Cybernet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Inpatient</t>
        </is>
      </c>
      <c r="R9" t="inlineStr">
        <is>
          <t>Yes</t>
        </is>
      </c>
      <c r="S9" t="inlineStr">
        <is>
          <t>Imprivata not active...</t>
        </is>
      </c>
      <c r="U9" t="inlineStr">
        <is>
          <t>Dr. Palilla, Timothy W. Seeberger</t>
        </is>
      </c>
      <c r="V9" t="inlineStr">
        <is>
          <t>WMH300OPR368</t>
        </is>
      </c>
      <c r="W9" t="inlineStr">
        <is>
          <t>MEDSG2425F-0155</t>
        </is>
      </c>
      <c r="X9" t="inlineStr">
        <is>
          <t>NSUH-NACH-TT</t>
        </is>
      </c>
      <c r="Y9" t="inlineStr">
        <is>
          <t>A0F5097FF0EF</t>
        </is>
      </c>
      <c r="AB9" t="inlineStr">
        <is>
          <t>WA24406236</t>
        </is>
      </c>
      <c r="AC9" t="inlineStr">
        <is>
          <t>NSUH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000D050AA601</t>
        </is>
      </c>
      <c r="AI9" t="inlineStr">
        <is>
          <t>Anesthesia Machine</t>
        </is>
      </c>
      <c r="AJ9" t="n">
        <v>452497</v>
      </c>
      <c r="AL9" t="inlineStr">
        <is>
          <t xml:space="preserve"> 0602-233 / 0602-148</t>
        </is>
      </c>
      <c r="AM9" t="inlineStr">
        <is>
          <t>Datex-Ohmeda</t>
        </is>
      </c>
      <c r="AN9" t="inlineStr">
        <is>
          <t>Aisys CS2</t>
        </is>
      </c>
      <c r="AP9" t="inlineStr">
        <is>
          <t>010084068210229221APWC0265411230915</t>
        </is>
      </c>
      <c r="AQ9" t="inlineStr">
        <is>
          <t>010084068210229221APWC0265411230915</t>
        </is>
      </c>
      <c r="AS9" t="inlineStr">
        <is>
          <t>GE Canvas 1000: 833-08, SPEC999015 / GE G1500213: 133-08C, GE B850</t>
        </is>
      </c>
      <c r="AX9" t="inlineStr">
        <is>
          <t>GE Canvas 1000: 166HA / GE G1500213: 091181410</t>
        </is>
      </c>
      <c r="AY9" t="inlineStr">
        <is>
          <t>010084068210229221APWC0265411230915</t>
        </is>
      </c>
      <c r="BC9" t="n">
        <v>452497</v>
      </c>
      <c r="BD9" t="n">
        <v>452488</v>
      </c>
      <c r="BH9" t="n">
        <v>115200</v>
      </c>
      <c r="BI9" t="n">
        <v>19200</v>
      </c>
      <c r="BM9" t="inlineStr">
        <is>
          <t>E81</t>
        </is>
      </c>
      <c r="BN9" t="inlineStr">
        <is>
          <t>O71</t>
        </is>
      </c>
      <c r="BY9" t="inlineStr">
        <is>
          <t>Requires a Download Check: SIS as a service; VMware Stallaris, uncheck log-in as current user, and add server(qr code provided)</t>
        </is>
      </c>
      <c r="CD9">
        <f>IF($Y9="","",IF((IF(AND($BR9&lt;&gt;"Yes",$BR9&lt;&gt;"N/A"),"Power Cable, ","")&amp;IF(AND($BS9&lt;&gt;"Yes",$BS9&lt;&gt;"N/A"),"Battery, ","")&amp;IF(AND($AD9&lt;&gt;"Yes",$AD9&lt;&gt;"N/A"),"Firmware Download, ","")&amp;IF(AND(OR($AD9="Yes",$AD9="N/A"),$AE9&lt;&gt;"Yes",$AE9&lt;&gt;"N/A"),"Firmware Install, ","")&amp;IF(AND($CB9&lt;&gt;"Yes",$CB9&lt;&gt;"N/A"),"Device ID, ","")&amp;IF(AND($CC9&lt;&gt;"Yes",$CC9&lt;&gt;"N/A"),"Epic Beans Relay, ",""))="","",LEFT(IF(AND($BR9&lt;&gt;"Yes",$BR9&lt;&gt;"N/A"),"Power Cable, ","")&amp;IF(AND($BS9&lt;&gt;"Yes",$BS9&lt;&gt;"N/A"),"Battery, ","")&amp;IF(AND($AD9&lt;&gt;"Yes",$AD9&lt;&gt;"N/A"),"Firmware Download, ","")&amp;IF(AND(OR($AD9="Yes",$AD9="N/A"),$AE9&lt;&gt;"Yes",$AE9&lt;&gt;"N/A"),"Firmware Install, ","")&amp;IF(AND($CB9&lt;&gt;"Yes",$CB9&lt;&gt;"N/A"),"Device ID, ","")&amp;IF(AND($CC9&lt;&gt;"Yes",$CC9&lt;&gt;"N/A"),"Epic Beans Relay, ",""),LEN(IF(AND($BR9&lt;&gt;"Yes",$BR9&lt;&gt;"N/A"),"Power Cable, ","")&amp;IF(AND($BS9&lt;&gt;"Yes",$BS9&lt;&gt;"N/A"),"Battery, ","")&amp;IF(AND($AD9&lt;&gt;"Yes",$AD9&lt;&gt;"N/A"),"Firmware Download, ","")&amp;IF(AND(OR($AD9="Yes",$AD9="N/A"),$AE9&lt;&gt;"Yes",$AE9&lt;&gt;"N/A"),"Firmware Install, ","")&amp;IF(AND($CB9&lt;&gt;"Yes",$CB9&lt;&gt;"N/A"),"Device ID, ","")&amp;IF(AND($CC9&lt;&gt;"Yes",$CC9&lt;&gt;"N/A"),"Epic Beans Relay, ",""))-2)))</f>
        <v/>
      </c>
      <c r="CE9">
        <f>IF($Y9="","",IF($CD9="","Yes","Blocked"))</f>
        <v/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W9">
        <f>IF($S9="","",IF(UPPER(TRIM($S9))&lt;&gt;"PASS","",IF(LEN(TRIM($BY9))&gt;0,"NOTES_PRESENT",IF(LEN(TRIM($T9))=0,"SET_NA",IF(OR(LOWER(TRIM($T9))="na",LOWER(TRIM($T9))="n/a"),"OK","MANUAL_OVERRIDE")))))</f>
        <v/>
      </c>
    </row>
    <row r="10">
      <c r="A10" t="inlineStr">
        <is>
          <t>Cybernet-Neuron</t>
        </is>
      </c>
      <c r="B10" s="51" t="inlineStr">
        <is>
          <t>No</t>
        </is>
      </c>
      <c r="C10" t="inlineStr">
        <is>
          <t>No</t>
        </is>
      </c>
      <c r="D10">
        <f>IF($B10&lt;&gt;"Yes","",IF($C10="No","Yes",IF($C10="Yes","No","")))</f>
        <v/>
      </c>
      <c r="E10">
        <f>IF($A10="","",IF(OR(AND($V10&lt;&gt;"",LOWER(TRIM($V10))&lt;&gt;"n/a",LOWER(TRIM($V10))&lt;&gt;"na",SUMPRODUCT(--(UPPER(TRIM($V$2:$V$518))=UPPER(TRIM($V10))),--(TRIM($V$2:$V$518)&lt;&gt;""),--(LOWER(TRIM($V$2:$V$518))&lt;&gt;"n/a"),--(LOWER(TRIM($V$2:$V$518))&lt;&gt;"na"))&gt;1),AND($W10&lt;&gt;"",LOWER(TRIM($W10))&lt;&gt;"n/a",LOWER(TRIM($W10))&lt;&gt;"na",SUMPRODUCT(--(UPPER(TRIM($W$2:$W$518))=UPPER(TRIM($W10))),--(TRIM($W$2:$W$518)&lt;&gt;""),--(LOWER(TRIM($W$2:$W$518))&lt;&gt;"n/a"),--(LOWER(TRIM($W$2:$W$518))&lt;&gt;"na"))&gt;1),AND($X10&lt;&gt;"",LOWER(TRIM($X10))&lt;&gt;"n/a",LOWER(TRIM($X10))&lt;&gt;"na",SUMPRODUCT(--(UPPER(TRIM($X$2:$X$518))=UPPER(TRIM($X10))),--(TRIM($X$2:$X$518)&lt;&gt;""),--(LOWER(TRIM($X$2:$X$518))&lt;&gt;"n/a"),--(LOWER(TRIM($X$2:$X$518))&lt;&gt;"na"))&gt;1),AND($Y10&lt;&gt;"",LOWER(TRIM($Y10))&lt;&gt;"n/a",LOWER(TRIM($Y10))&lt;&gt;"na",SUMPRODUCT(--(UPPER(SUBSTITUTE(SUBSTITUTE(TRIM($Y$2:$Y$518),":",""),"-",""))=UPPER(SUBSTITUTE(SUBSTITUTE(TRIM($Y10),":",""),"-",""))),--(TRIM($Y$2:$Y$518)&lt;&gt;""),--(LOWER(TRIM($Y$2:$Y$518))&lt;&gt;"n/a"),--(LOWER(TRIM($Y$2:$Y$518))&lt;&gt;"na"))&gt;1),AND($AB10&lt;&gt;"",LOWER(TRIM($AB10))&lt;&gt;"n/a",LOWER(TRIM($AB10))&lt;&gt;"na",SUMPRODUCT(--(UPPER(TRIM($AB$2:$AB$518))=UPPER(TRIM($AB10))),--(TRIM($AB$2:$AB$518)&lt;&gt;""),--(LOWER(TRIM($AB$2:$AB$518))&lt;&gt;"n/a"),--(LOWER(TRIM($AB$2:$AB$518))&lt;&gt;"na"))&gt;1),AND($AH10&lt;&gt;"",LOWER(TRIM($AH10))&lt;&gt;"n/a",LOWER(TRIM($AH10))&lt;&gt;"na",SUMPRODUCT(--(UPPER(SUBSTITUTE(SUBSTITUTE(TRIM($AH$2:$AH$518),":",""),"-",""))=UPPER(SUBSTITUTE(SUBSTITUTE(TRIM($AH10),":",""),"-",""))),--(TRIM($AH$2:$AH$518)&lt;&gt;""),--(LOWER(TRIM($AH$2:$AH$518))&lt;&gt;"n/a"),--(LOWER(TRIM($AH$2:$AH$518))&lt;&gt;"na"))&gt;1),AND($AP10&lt;&gt;"",LOWER(TRIM($AP10))&lt;&gt;"n/a",LOWER(TRIM($AP10))&lt;&gt;"na",SUMPRODUCT(--(UPPER(TRIM($AP$2:$AP$518))=UPPER(TRIM($AP10))),--(TRIM($AP$2:$AP$518)&lt;&gt;""),--(LOWER(TRIM($AP$2:$AP$518))&lt;&gt;"n/a"),--(LOWER(TRIM($AP$2:$AP$518))&lt;&gt;"na"))&gt;1),AND($AQ10&lt;&gt;"",LOWER(TRIM($AQ10))&lt;&gt;"n/a",LOWER(TRIM($AQ10))&lt;&gt;"na",SUMPRODUCT(--(UPPER(TRIM($AQ$2:$AQ$518))=UPPER(TRIM($AQ10))),--(TRIM($AQ$2:$AQ$518)&lt;&gt;""),--(LOWER(TRIM($AQ$2:$AQ$518))&lt;&gt;"n/a"),--(LOWER(TRIM($AQ$2:$AQ$518))&lt;&gt;"na"))&gt;1)),"Yes","No"))</f>
        <v/>
      </c>
      <c r="F10">
        <f>IF(UPPER(TRIM($B10))&lt;&gt;"YES","", IF(OR(AND($V10&lt;&gt;"", LOWER(TRIM($V10))&lt;&gt;"n/a", LOWER(TRIM($V10))&lt;&gt;"na", SUMPRODUCT(--(UPPER(TRIM($V$2:$V$518))=UPPER(TRIM($V10))), --(UPPER(TRIM($B$2:$B$518))="YES"), --(UPPER(TRIM($G$2:$G$518)&amp;TRIM($I$2:$I$518)&amp;TRIM($J$2:$J$518))&lt;&gt;UPPER(TRIM($G10)&amp;TRIM($I10)&amp;TRIM($J10))))&gt;0), AND($W10&lt;&gt;"", LOWER(TRIM($W10))&lt;&gt;"n/a", LOWER(TRIM($W10))&lt;&gt;"na", SUMPRODUCT(--(UPPER(TRIM($W$2:$W$518))=UPPER(TRIM($W10))), --(UPPER(TRIM($B$2:$B$518))="YES"), --(UPPER(TRIM($G$2:$G$518)&amp;TRIM($I$2:$I$518)&amp;TRIM($J$2:$J$518))&lt;&gt;UPPER(TRIM($G10)&amp;TRIM($I10)&amp;TRIM($J10))))&gt;0), AND($X10&lt;&gt;"", LOWER(TRIM($X10))&lt;&gt;"n/a", LOWER(TRIM($X10))&lt;&gt;"na", SUMPRODUCT(--(UPPER(TRIM($X$2:$X$518))=UPPER(TRIM($X10))), --(UPPER(TRIM($B$2:$B$518))="YES"), --(UPPER(TRIM($G$2:$G$518)&amp;TRIM($I$2:$I$518)&amp;TRIM($J$2:$J$518))&lt;&gt;UPPER(TRIM($G10)&amp;TRIM($I10)&amp;TRIM($J10))))&gt;0), AND($Y10&lt;&gt;"", LOWER(TRIM($Y10))&lt;&gt;"n/a", LOWER(TRIM($Y10))&lt;&gt;"na", SUMPRODUCT(--(UPPER(SUBSTITUTE(SUBSTITUTE(TRIM($Y$2:$Y$518),":",""),"-",""))=UPPER(SUBSTITUTE(SUBSTITUTE(TRIM($Y10),":",""),"-",""))), --(UPPER(TRIM($B$2:$B$518))="YES"), --(UPPER(TRIM($G$2:$G$518)&amp;TRIM($I$2:$I$518)&amp;TRIM($J$2:$J$518))&lt;&gt;UPPER(TRIM($G10)&amp;TRIM($I10)&amp;TRIM($J10))))&gt;0), AND($AB10&lt;&gt;"", LOWER(TRIM($AB10))&lt;&gt;"n/a", LOWER(TRIM($AB10))&lt;&gt;"na", SUMPRODUCT(--(UPPER(TRIM($AB$2:$AB$518))=UPPER(TRIM($AB10))), --(UPPER(TRIM($B$2:$B$518))="YES"), --(UPPER(TRIM($G$2:$G$518)&amp;TRIM($I$2:$I$518)&amp;TRIM($J$2:$J$518))&lt;&gt;UPPER(TRIM($G10)&amp;TRIM($I10)&amp;TRIM($J10))))&gt;0), AND($AH10&lt;&gt;"", LOWER(TRIM($AH10))&lt;&gt;"n/a", LOWER(TRIM($AH10))&lt;&gt;"na", SUMPRODUCT(--(UPPER(SUBSTITUTE(SUBSTITUTE(TRIM($AH$2:$AH$518),":",""),"-",""))=UPPER(SUBSTITUTE(SUBSTITUTE(TRIM($AH10),":",""),"-",""))), --(UPPER(TRIM($B$2:$B$518))="YES"), --(UPPER(TRIM($G$2:$G$518)&amp;TRIM($I$2:$I$518)&amp;TRIM($J$2:$J$518))&lt;&gt;UPPER(TRIM($G10)&amp;TRIM($I10)&amp;TRIM($J10))))&gt;0), AND($AP10&lt;&gt;"", LOWER(TRIM($AP10))&lt;&gt;"n/a", LOWER(TRIM($AP10))&lt;&gt;"na", SUMPRODUCT(--(UPPER(TRIM($AP$2:$AP$518))=UPPER(TRIM($AP10))), --(UPPER(TRIM($B$2:$B$518))="YES"), --(UPPER(TRIM($G$2:$G$518)&amp;TRIM($I$2:$I$518)&amp;TRIM($J$2:$J$518))&lt;&gt;UPPER(TRIM($G10)&amp;TRIM($I10)&amp;TRIM($J10))))&gt;0), AND($AQ10&lt;&gt;"", LOWER(TRIM($AQ10))&lt;&gt;"n/a", LOWER(TRIM($AQ10))&lt;&gt;"na", SUMPRODUCT(--(UPPER(TRIM($AQ$2:$AQ$518))=UPPER(TRIM($AQ10))), --(UPPER(TRIM($B$2:$B$518))="YES"), --(UPPER(TRIM($G$2:$G$518)&amp;TRIM($I$2:$I$518)&amp;TRIM($J$2:$J$518))&lt;&gt;UPPER(TRIM($G10)&amp;TRIM($I10)&amp;TRIM($J10))))&gt;0)), "Yes", "No"))</f>
        <v/>
      </c>
      <c r="G10" t="inlineStr">
        <is>
          <t>NSUH - PSP</t>
        </is>
      </c>
      <c r="H10" t="inlineStr">
        <is>
          <t>NSUH - PSP</t>
        </is>
      </c>
      <c r="I10" t="inlineStr">
        <is>
          <t>Main ORs - PSP - 2nd Floor</t>
        </is>
      </c>
      <c r="J10" t="inlineStr">
        <is>
          <t>2 PSP - OR 12</t>
        </is>
      </c>
      <c r="K10" t="inlineStr">
        <is>
          <t>n/a</t>
        </is>
      </c>
      <c r="L10" s="18" t="n">
        <v>46116</v>
      </c>
      <c r="M10" t="inlineStr">
        <is>
          <t>OR Cybernet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Inpatient</t>
        </is>
      </c>
      <c r="R10" t="inlineStr">
        <is>
          <t>Yes</t>
        </is>
      </c>
      <c r="S10" t="inlineStr">
        <is>
          <t>Fail</t>
        </is>
      </c>
      <c r="T10" t="inlineStr">
        <is>
          <t>bad COM-port behavior showing comms 3, 4, 5, and 6</t>
        </is>
      </c>
      <c r="U10" t="inlineStr">
        <is>
          <t>Dr. Palilla, Timothy W. Seeberger</t>
        </is>
      </c>
      <c r="V10" t="inlineStr">
        <is>
          <t>WMH300OPR384</t>
        </is>
      </c>
      <c r="W10" t="inlineStr">
        <is>
          <t>MEDSG2425F-0195</t>
        </is>
      </c>
      <c r="X10" t="inlineStr">
        <is>
          <t>NSUH-MACH-V</t>
        </is>
      </c>
      <c r="Y10" t="inlineStr">
        <is>
          <t>A0F5097FDF02</t>
        </is>
      </c>
      <c r="AB10" t="inlineStr">
        <is>
          <t>WA24406126</t>
        </is>
      </c>
      <c r="AC10" t="inlineStr">
        <is>
          <t>NSUH</t>
        </is>
      </c>
      <c r="AJ10" t="n">
        <v>452503</v>
      </c>
      <c r="AL10" t="inlineStr">
        <is>
          <t>7202-1013 / 7202-1017</t>
        </is>
      </c>
      <c r="AM10" t="inlineStr">
        <is>
          <t>Datex-Ohmeda</t>
        </is>
      </c>
      <c r="AP10" t="inlineStr">
        <is>
          <t>010084068210229221APWC0264311230915</t>
        </is>
      </c>
      <c r="AQ10" t="inlineStr">
        <is>
          <t>010084068210229221APWC0264311230915</t>
        </is>
      </c>
      <c r="AS10" t="inlineStr">
        <is>
          <t>GE Canvas 1000: 833-08, SPEC999015 / GE G1500213: 133-08C, GE B850</t>
        </is>
      </c>
      <c r="AT10" t="inlineStr">
        <is>
          <t>B1-CFU</t>
        </is>
      </c>
      <c r="AX10" t="inlineStr">
        <is>
          <t>GE Canvas 1000: 160HA / GE G1500213: 091181413</t>
        </is>
      </c>
      <c r="AY10" t="inlineStr">
        <is>
          <t>010084068210229221APWC0264311230915</t>
        </is>
      </c>
      <c r="BC10" t="n">
        <v>452503</v>
      </c>
      <c r="BD10" t="n">
        <v>452502</v>
      </c>
      <c r="BH10" t="n">
        <v>115200</v>
      </c>
      <c r="BI10" t="n">
        <v>19200</v>
      </c>
      <c r="BM10" t="inlineStr">
        <is>
          <t>E81</t>
        </is>
      </c>
      <c r="BN10" t="inlineStr">
        <is>
          <t>O71</t>
        </is>
      </c>
      <c r="CD10">
        <f>IF($Y10="","",IF((IF(AND($BR10&lt;&gt;"Yes",$BR10&lt;&gt;"N/A"),"Power Cable, ","")&amp;IF(AND($BS10&lt;&gt;"Yes",$BS10&lt;&gt;"N/A"),"Battery, ","")&amp;IF(AND($AD10&lt;&gt;"Yes",$AD10&lt;&gt;"N/A"),"Firmware Download, ","")&amp;IF(AND(OR($AD10="Yes",$AD10="N/A"),$AE10&lt;&gt;"Yes",$AE10&lt;&gt;"N/A"),"Firmware Install, ","")&amp;IF(AND($CB10&lt;&gt;"Yes",$CB10&lt;&gt;"N/A"),"Device ID, ","")&amp;IF(AND($CC10&lt;&gt;"Yes",$CC10&lt;&gt;"N/A"),"Epic Beans Relay, ",""))="","",LEFT(IF(AND($BR10&lt;&gt;"Yes",$BR10&lt;&gt;"N/A"),"Power Cable, ","")&amp;IF(AND($BS10&lt;&gt;"Yes",$BS10&lt;&gt;"N/A"),"Battery, ","")&amp;IF(AND($AD10&lt;&gt;"Yes",$AD10&lt;&gt;"N/A"),"Firmware Download, ","")&amp;IF(AND(OR($AD10="Yes",$AD10="N/A"),$AE10&lt;&gt;"Yes",$AE10&lt;&gt;"N/A"),"Firmware Install, ","")&amp;IF(AND($CB10&lt;&gt;"Yes",$CB10&lt;&gt;"N/A"),"Device ID, ","")&amp;IF(AND($CC10&lt;&gt;"Yes",$CC10&lt;&gt;"N/A"),"Epic Beans Relay, ",""),LEN(IF(AND($BR10&lt;&gt;"Yes",$BR10&lt;&gt;"N/A"),"Power Cable, ","")&amp;IF(AND($BS10&lt;&gt;"Yes",$BS10&lt;&gt;"N/A"),"Battery, ","")&amp;IF(AND($AD10&lt;&gt;"Yes",$AD10&lt;&gt;"N/A"),"Firmware Download, ","")&amp;IF(AND(OR($AD10="Yes",$AD10="N/A"),$AE10&lt;&gt;"Yes",$AE10&lt;&gt;"N/A"),"Firmware Install, ","")&amp;IF(AND($CB10&lt;&gt;"Yes",$CB10&lt;&gt;"N/A"),"Device ID, ","")&amp;IF(AND($CC10&lt;&gt;"Yes",$CC10&lt;&gt;"N/A"),"Epic Beans Relay, ",""))-2)))</f>
        <v/>
      </c>
      <c r="CE10">
        <f>IF($Y10="","",IF($CD10="","Yes","Blocked"))</f>
        <v/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Yes</t>
        </is>
      </c>
      <c r="CN10" t="inlineStr">
        <is>
          <t>Yes</t>
        </is>
      </c>
      <c r="CO10" t="inlineStr">
        <is>
          <t>Yes</t>
        </is>
      </c>
      <c r="CP10" t="inlineStr">
        <is>
          <t>Yes</t>
        </is>
      </c>
      <c r="CQ10" t="inlineStr">
        <is>
          <t>Yes</t>
        </is>
      </c>
      <c r="CR10" t="inlineStr">
        <is>
          <t>Yes</t>
        </is>
      </c>
      <c r="CS10" t="inlineStr">
        <is>
          <t>Yes</t>
        </is>
      </c>
      <c r="CW10">
        <f>IF($S10="","",IF(UPPER(TRIM($S10))&lt;&gt;"PASS","",IF(LEN(TRIM($BY10))&gt;0,"NOTES_PRESENT",IF(LEN(TRIM($T10))=0,"SET_NA",IF(OR(LOWER(TRIM($T10))="na",LOWER(TRIM($T10))="n/a"),"OK","MANUAL_OVERRIDE")))))</f>
        <v/>
      </c>
    </row>
    <row r="11">
      <c r="A11" t="inlineStr">
        <is>
          <t>Cybernet-Neuron</t>
        </is>
      </c>
      <c r="B11" s="51" t="inlineStr">
        <is>
          <t>Yes</t>
        </is>
      </c>
      <c r="C11" t="inlineStr">
        <is>
          <t>Yes</t>
        </is>
      </c>
      <c r="D11">
        <f>IF($B11&lt;&gt;"Yes","",IF($C11="No","Yes",IF($C11="Yes","No","")))</f>
        <v/>
      </c>
      <c r="E11">
        <f>IF($A11="","",IF(OR(AND($V11&lt;&gt;"",LOWER(TRIM($V11))&lt;&gt;"n/a",LOWER(TRIM($V11))&lt;&gt;"na",SUMPRODUCT(--(UPPER(TRIM($V$2:$V$518))=UPPER(TRIM($V11))),--(TRIM($V$2:$V$518)&lt;&gt;""),--(LOWER(TRIM($V$2:$V$518))&lt;&gt;"n/a"),--(LOWER(TRIM($V$2:$V$518))&lt;&gt;"na"))&gt;1),AND($W11&lt;&gt;"",LOWER(TRIM($W11))&lt;&gt;"n/a",LOWER(TRIM($W11))&lt;&gt;"na",SUMPRODUCT(--(UPPER(TRIM($W$2:$W$518))=UPPER(TRIM($W11))),--(TRIM($W$2:$W$518)&lt;&gt;""),--(LOWER(TRIM($W$2:$W$518))&lt;&gt;"n/a"),--(LOWER(TRIM($W$2:$W$518))&lt;&gt;"na"))&gt;1),AND($X11&lt;&gt;"",LOWER(TRIM($X11))&lt;&gt;"n/a",LOWER(TRIM($X11))&lt;&gt;"na",SUMPRODUCT(--(UPPER(TRIM($X$2:$X$518))=UPPER(TRIM($X11))),--(TRIM($X$2:$X$518)&lt;&gt;""),--(LOWER(TRIM($X$2:$X$518))&lt;&gt;"n/a"),--(LOWER(TRIM($X$2:$X$518))&lt;&gt;"na"))&gt;1),AND($Y11&lt;&gt;"",LOWER(TRIM($Y11))&lt;&gt;"n/a",LOWER(TRIM($Y11))&lt;&gt;"na",SUMPRODUCT(--(UPPER(SUBSTITUTE(SUBSTITUTE(TRIM($Y$2:$Y$518),":",""),"-",""))=UPPER(SUBSTITUTE(SUBSTITUTE(TRIM($Y11),":",""),"-",""))),--(TRIM($Y$2:$Y$518)&lt;&gt;""),--(LOWER(TRIM($Y$2:$Y$518))&lt;&gt;"n/a"),--(LOWER(TRIM($Y$2:$Y$518))&lt;&gt;"na"))&gt;1),AND($AB11&lt;&gt;"",LOWER(TRIM($AB11))&lt;&gt;"n/a",LOWER(TRIM($AB11))&lt;&gt;"na",SUMPRODUCT(--(UPPER(TRIM($AB$2:$AB$518))=UPPER(TRIM($AB11))),--(TRIM($AB$2:$AB$518)&lt;&gt;""),--(LOWER(TRIM($AB$2:$AB$518))&lt;&gt;"n/a"),--(LOWER(TRIM($AB$2:$AB$518))&lt;&gt;"na"))&gt;1),AND($AH11&lt;&gt;"",LOWER(TRIM($AH11))&lt;&gt;"n/a",LOWER(TRIM($AH11))&lt;&gt;"na",SUMPRODUCT(--(UPPER(SUBSTITUTE(SUBSTITUTE(TRIM($AH$2:$AH$518),":",""),"-",""))=UPPER(SUBSTITUTE(SUBSTITUTE(TRIM($AH11),":",""),"-",""))),--(TRIM($AH$2:$AH$518)&lt;&gt;""),--(LOWER(TRIM($AH$2:$AH$518))&lt;&gt;"n/a"),--(LOWER(TRIM($AH$2:$AH$518))&lt;&gt;"na"))&gt;1),AND($AP11&lt;&gt;"",LOWER(TRIM($AP11))&lt;&gt;"n/a",LOWER(TRIM($AP11))&lt;&gt;"na",SUMPRODUCT(--(UPPER(TRIM($AP$2:$AP$518))=UPPER(TRIM($AP11))),--(TRIM($AP$2:$AP$518)&lt;&gt;""),--(LOWER(TRIM($AP$2:$AP$518))&lt;&gt;"n/a"),--(LOWER(TRIM($AP$2:$AP$518))&lt;&gt;"na"))&gt;1),AND($AQ11&lt;&gt;"",LOWER(TRIM($AQ11))&lt;&gt;"n/a",LOWER(TRIM($AQ11))&lt;&gt;"na",SUMPRODUCT(--(UPPER(TRIM($AQ$2:$AQ$518))=UPPER(TRIM($AQ11))),--(TRIM($AQ$2:$AQ$518)&lt;&gt;""),--(LOWER(TRIM($AQ$2:$AQ$518))&lt;&gt;"n/a"),--(LOWER(TRIM($AQ$2:$AQ$518))&lt;&gt;"na"))&gt;1)),"Yes","No"))</f>
        <v/>
      </c>
      <c r="F11">
        <f>IF(UPPER(TRIM($B11))&lt;&gt;"YES","", IF(OR(AND($V11&lt;&gt;"", LOWER(TRIM($V11))&lt;&gt;"n/a", LOWER(TRIM($V11))&lt;&gt;"na", SUMPRODUCT(--(UPPER(TRIM($V$2:$V$518))=UPPER(TRIM($V11))), --(UPPER(TRIM($B$2:$B$518))="YES"), --(UPPER(TRIM($G$2:$G$518)&amp;TRIM($I$2:$I$518)&amp;TRIM($J$2:$J$518))&lt;&gt;UPPER(TRIM($G11)&amp;TRIM($I11)&amp;TRIM($J11))))&gt;0), AND($W11&lt;&gt;"", LOWER(TRIM($W11))&lt;&gt;"n/a", LOWER(TRIM($W11))&lt;&gt;"na", SUMPRODUCT(--(UPPER(TRIM($W$2:$W$518))=UPPER(TRIM($W11))), --(UPPER(TRIM($B$2:$B$518))="YES"), --(UPPER(TRIM($G$2:$G$518)&amp;TRIM($I$2:$I$518)&amp;TRIM($J$2:$J$518))&lt;&gt;UPPER(TRIM($G11)&amp;TRIM($I11)&amp;TRIM($J11))))&gt;0), AND($X11&lt;&gt;"", LOWER(TRIM($X11))&lt;&gt;"n/a", LOWER(TRIM($X11))&lt;&gt;"na", SUMPRODUCT(--(UPPER(TRIM($X$2:$X$518))=UPPER(TRIM($X11))), --(UPPER(TRIM($B$2:$B$518))="YES"), --(UPPER(TRIM($G$2:$G$518)&amp;TRIM($I$2:$I$518)&amp;TRIM($J$2:$J$518))&lt;&gt;UPPER(TRIM($G11)&amp;TRIM($I11)&amp;TRIM($J11))))&gt;0), AND($Y11&lt;&gt;"", LOWER(TRIM($Y11))&lt;&gt;"n/a", LOWER(TRIM($Y11))&lt;&gt;"na", SUMPRODUCT(--(UPPER(SUBSTITUTE(SUBSTITUTE(TRIM($Y$2:$Y$518),":",""),"-",""))=UPPER(SUBSTITUTE(SUBSTITUTE(TRIM($Y11),":",""),"-",""))), --(UPPER(TRIM($B$2:$B$518))="YES"), --(UPPER(TRIM($G$2:$G$518)&amp;TRIM($I$2:$I$518)&amp;TRIM($J$2:$J$518))&lt;&gt;UPPER(TRIM($G11)&amp;TRIM($I11)&amp;TRIM($J11))))&gt;0), AND($AB11&lt;&gt;"", LOWER(TRIM($AB11))&lt;&gt;"n/a", LOWER(TRIM($AB11))&lt;&gt;"na", SUMPRODUCT(--(UPPER(TRIM($AB$2:$AB$518))=UPPER(TRIM($AB11))), --(UPPER(TRIM($B$2:$B$518))="YES"), --(UPPER(TRIM($G$2:$G$518)&amp;TRIM($I$2:$I$518)&amp;TRIM($J$2:$J$518))&lt;&gt;UPPER(TRIM($G11)&amp;TRIM($I11)&amp;TRIM($J11))))&gt;0), AND($AH11&lt;&gt;"", LOWER(TRIM($AH11))&lt;&gt;"n/a", LOWER(TRIM($AH11))&lt;&gt;"na", SUMPRODUCT(--(UPPER(SUBSTITUTE(SUBSTITUTE(TRIM($AH$2:$AH$518),":",""),"-",""))=UPPER(SUBSTITUTE(SUBSTITUTE(TRIM($AH11),":",""),"-",""))), --(UPPER(TRIM($B$2:$B$518))="YES"), --(UPPER(TRIM($G$2:$G$518)&amp;TRIM($I$2:$I$518)&amp;TRIM($J$2:$J$518))&lt;&gt;UPPER(TRIM($G11)&amp;TRIM($I11)&amp;TRIM($J11))))&gt;0), AND($AP11&lt;&gt;"", LOWER(TRIM($AP11))&lt;&gt;"n/a", LOWER(TRIM($AP11))&lt;&gt;"na", SUMPRODUCT(--(UPPER(TRIM($AP$2:$AP$518))=UPPER(TRIM($AP11))), --(UPPER(TRIM($B$2:$B$518))="YES"), --(UPPER(TRIM($G$2:$G$518)&amp;TRIM($I$2:$I$518)&amp;TRIM($J$2:$J$518))&lt;&gt;UPPER(TRIM($G11)&amp;TRIM($I11)&amp;TRIM($J11))))&gt;0), AND($AQ11&lt;&gt;"", LOWER(TRIM($AQ11))&lt;&gt;"n/a", LOWER(TRIM($AQ11))&lt;&gt;"na", SUMPRODUCT(--(UPPER(TRIM($AQ$2:$AQ$518))=UPPER(TRIM($AQ11))), --(UPPER(TRIM($B$2:$B$518))="YES"), --(UPPER(TRIM($G$2:$G$518)&amp;TRIM($I$2:$I$518)&amp;TRIM($J$2:$J$518))&lt;&gt;UPPER(TRIM($G11)&amp;TRIM($I11)&amp;TRIM($J11))))&gt;0)), "Yes", "No"))</f>
        <v/>
      </c>
      <c r="G11" t="inlineStr">
        <is>
          <t>NSUH - PSP</t>
        </is>
      </c>
      <c r="H11" t="inlineStr">
        <is>
          <t>NSUH - PSP</t>
        </is>
      </c>
      <c r="I11" t="inlineStr">
        <is>
          <t>Legacy ORs - 2nd Floor</t>
        </is>
      </c>
      <c r="J11" t="inlineStr">
        <is>
          <t>OR 23</t>
        </is>
      </c>
      <c r="K11" t="inlineStr">
        <is>
          <t>n/a</t>
        </is>
      </c>
      <c r="L11" s="18" t="n">
        <v>46116</v>
      </c>
      <c r="M11" t="inlineStr">
        <is>
          <t>OR Cybernet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Inpatient</t>
        </is>
      </c>
      <c r="R11" t="inlineStr">
        <is>
          <t>Yes</t>
        </is>
      </c>
      <c r="S11" t="inlineStr">
        <is>
          <t>Fail</t>
        </is>
      </c>
      <c r="T11" t="inlineStr">
        <is>
          <t>Inadequate Imprivata access and permissions to sync</t>
        </is>
      </c>
      <c r="V11" t="inlineStr">
        <is>
          <t>WMH300OPR387</t>
        </is>
      </c>
      <c r="W11" t="inlineStr">
        <is>
          <t>MEDSG2425F-0289</t>
        </is>
      </c>
      <c r="X11" t="inlineStr">
        <is>
          <t>NSUH-MACH-BB</t>
        </is>
      </c>
      <c r="Y11" t="inlineStr">
        <is>
          <t>A0F5097B8E02</t>
        </is>
      </c>
      <c r="AB11" t="inlineStr">
        <is>
          <t>WA25203864</t>
        </is>
      </c>
      <c r="AC11" t="inlineStr">
        <is>
          <t>NSUH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I11" t="inlineStr">
        <is>
          <t>Anesthesia Machine</t>
        </is>
      </c>
      <c r="AJ11" t="n">
        <v>461518</v>
      </c>
      <c r="AL11" t="inlineStr">
        <is>
          <t>0602-149/ 150</t>
        </is>
      </c>
      <c r="AM11" t="inlineStr">
        <is>
          <t>Datex-Ohmeda</t>
        </is>
      </c>
      <c r="AN11" t="inlineStr">
        <is>
          <t>Aisys CS2</t>
        </is>
      </c>
      <c r="AP11" t="inlineStr">
        <is>
          <t>010084068210229221APWD0084311240320</t>
        </is>
      </c>
      <c r="AQ11" t="inlineStr">
        <is>
          <t>010084068210229221APWD0084311240320</t>
        </is>
      </c>
      <c r="AS11" t="inlineStr">
        <is>
          <t>GE Canvas 1000: 833-08, SPEC999015 / GE G1500213: 133-08C, GE B850</t>
        </is>
      </c>
      <c r="AT11" t="inlineStr">
        <is>
          <t>B1-CFU</t>
        </is>
      </c>
      <c r="AX11" t="inlineStr">
        <is>
          <t>GE Canvas 1000: 395SA / 091188017</t>
        </is>
      </c>
      <c r="AY11" t="inlineStr">
        <is>
          <t>010084068210229221APWD0084311240320</t>
        </is>
      </c>
      <c r="BC11" t="n">
        <v>461518</v>
      </c>
      <c r="BD11" t="n">
        <v>460236</v>
      </c>
      <c r="BH11" t="n">
        <v>115200</v>
      </c>
      <c r="BI11" t="n">
        <v>19200</v>
      </c>
      <c r="BM11" t="inlineStr">
        <is>
          <t>E81</t>
        </is>
      </c>
      <c r="BN11" t="inlineStr">
        <is>
          <t>O71</t>
        </is>
      </c>
      <c r="CD11">
        <f>IF($Y11="","",IF((IF(AND($BR11&lt;&gt;"Yes",$BR11&lt;&gt;"N/A"),"Power Cable, ","")&amp;IF(AND($BS11&lt;&gt;"Yes",$BS11&lt;&gt;"N/A"),"Battery, ","")&amp;IF(AND($AD11&lt;&gt;"Yes",$AD11&lt;&gt;"N/A"),"Firmware Download, ","")&amp;IF(AND(OR($AD11="Yes",$AD11="N/A"),$AE11&lt;&gt;"Yes",$AE11&lt;&gt;"N/A"),"Firmware Install, ","")&amp;IF(AND($CB11&lt;&gt;"Yes",$CB11&lt;&gt;"N/A"),"Device ID, ","")&amp;IF(AND($CC11&lt;&gt;"Yes",$CC11&lt;&gt;"N/A"),"Epic Beans Relay, ",""))="","",LEFT(IF(AND($BR11&lt;&gt;"Yes",$BR11&lt;&gt;"N/A"),"Power Cable, ","")&amp;IF(AND($BS11&lt;&gt;"Yes",$BS11&lt;&gt;"N/A"),"Battery, ","")&amp;IF(AND($AD11&lt;&gt;"Yes",$AD11&lt;&gt;"N/A"),"Firmware Download, ","")&amp;IF(AND(OR($AD11="Yes",$AD11="N/A"),$AE11&lt;&gt;"Yes",$AE11&lt;&gt;"N/A"),"Firmware Install, ","")&amp;IF(AND($CB11&lt;&gt;"Yes",$CB11&lt;&gt;"N/A"),"Device ID, ","")&amp;IF(AND($CC11&lt;&gt;"Yes",$CC11&lt;&gt;"N/A"),"Epic Beans Relay, ",""),LEN(IF(AND($BR11&lt;&gt;"Yes",$BR11&lt;&gt;"N/A"),"Power Cable, ","")&amp;IF(AND($BS11&lt;&gt;"Yes",$BS11&lt;&gt;"N/A"),"Battery, ","")&amp;IF(AND($AD11&lt;&gt;"Yes",$AD11&lt;&gt;"N/A"),"Firmware Download, ","")&amp;IF(AND(OR($AD11="Yes",$AD11="N/A"),$AE11&lt;&gt;"Yes",$AE11&lt;&gt;"N/A"),"Firmware Install, ","")&amp;IF(AND($CB11&lt;&gt;"Yes",$CB11&lt;&gt;"N/A"),"Device ID, ","")&amp;IF(AND($CC11&lt;&gt;"Yes",$CC11&lt;&gt;"N/A"),"Epic Beans Relay, ",""))-2)))</f>
        <v/>
      </c>
      <c r="CE11">
        <f>IF($Y11="","",IF($CD11="","Yes","Blocked"))</f>
        <v/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Yes</t>
        </is>
      </c>
      <c r="CP11" t="inlineStr">
        <is>
          <t>Yes</t>
        </is>
      </c>
      <c r="CQ11" t="inlineStr">
        <is>
          <t>Yes</t>
        </is>
      </c>
      <c r="CR11" t="inlineStr">
        <is>
          <t>Yes</t>
        </is>
      </c>
      <c r="CS11" t="inlineStr">
        <is>
          <t>Yes</t>
        </is>
      </c>
      <c r="CW11">
        <f>IF($S11="","",IF(UPPER(TRIM($S11))&lt;&gt;"PASS","",IF(LEN(TRIM($BY11))&gt;0,"NOTES_PRESENT",IF(LEN(TRIM($T11))=0,"SET_NA",IF(OR(LOWER(TRIM($T11))="na",LOWER(TRIM($T11))="n/a"),"OK","MANUAL_OVERRIDE")))))</f>
        <v/>
      </c>
    </row>
    <row r="12">
      <c r="A12" t="inlineStr">
        <is>
          <t>Cybernet-Neuron</t>
        </is>
      </c>
      <c r="B12" s="51" t="inlineStr">
        <is>
          <t>Yes</t>
        </is>
      </c>
      <c r="C12" t="inlineStr">
        <is>
          <t>Yes</t>
        </is>
      </c>
      <c r="D12">
        <f>IF($B12&lt;&gt;"Yes","",IF($C12="No","Yes",IF($C12="Yes","No","")))</f>
        <v/>
      </c>
      <c r="E12">
        <f>IF($A12="","",IF(OR(AND($V12&lt;&gt;"",LOWER(TRIM($V12))&lt;&gt;"n/a",LOWER(TRIM($V12))&lt;&gt;"na",SUMPRODUCT(--(UPPER(TRIM($V$2:$V$518))=UPPER(TRIM($V12))),--(TRIM($V$2:$V$518)&lt;&gt;""),--(LOWER(TRIM($V$2:$V$518))&lt;&gt;"n/a"),--(LOWER(TRIM($V$2:$V$518))&lt;&gt;"na"))&gt;1),AND($W12&lt;&gt;"",LOWER(TRIM($W12))&lt;&gt;"n/a",LOWER(TRIM($W12))&lt;&gt;"na",SUMPRODUCT(--(UPPER(TRIM($W$2:$W$518))=UPPER(TRIM($W12))),--(TRIM($W$2:$W$518)&lt;&gt;""),--(LOWER(TRIM($W$2:$W$518))&lt;&gt;"n/a"),--(LOWER(TRIM($W$2:$W$518))&lt;&gt;"na"))&gt;1),AND($X12&lt;&gt;"",LOWER(TRIM($X12))&lt;&gt;"n/a",LOWER(TRIM($X12))&lt;&gt;"na",SUMPRODUCT(--(UPPER(TRIM($X$2:$X$518))=UPPER(TRIM($X12))),--(TRIM($X$2:$X$518)&lt;&gt;""),--(LOWER(TRIM($X$2:$X$518))&lt;&gt;"n/a"),--(LOWER(TRIM($X$2:$X$518))&lt;&gt;"na"))&gt;1),AND($Y12&lt;&gt;"",LOWER(TRIM($Y12))&lt;&gt;"n/a",LOWER(TRIM($Y12))&lt;&gt;"na",SUMPRODUCT(--(UPPER(SUBSTITUTE(SUBSTITUTE(TRIM($Y$2:$Y$518),":",""),"-",""))=UPPER(SUBSTITUTE(SUBSTITUTE(TRIM($Y12),":",""),"-",""))),--(TRIM($Y$2:$Y$518)&lt;&gt;""),--(LOWER(TRIM($Y$2:$Y$518))&lt;&gt;"n/a"),--(LOWER(TRIM($Y$2:$Y$518))&lt;&gt;"na"))&gt;1),AND($AB12&lt;&gt;"",LOWER(TRIM($AB12))&lt;&gt;"n/a",LOWER(TRIM($AB12))&lt;&gt;"na",SUMPRODUCT(--(UPPER(TRIM($AB$2:$AB$518))=UPPER(TRIM($AB12))),--(TRIM($AB$2:$AB$518)&lt;&gt;""),--(LOWER(TRIM($AB$2:$AB$518))&lt;&gt;"n/a"),--(LOWER(TRIM($AB$2:$AB$518))&lt;&gt;"na"))&gt;1),AND($AH12&lt;&gt;"",LOWER(TRIM($AH12))&lt;&gt;"n/a",LOWER(TRIM($AH12))&lt;&gt;"na",SUMPRODUCT(--(UPPER(SUBSTITUTE(SUBSTITUTE(TRIM($AH$2:$AH$518),":",""),"-",""))=UPPER(SUBSTITUTE(SUBSTITUTE(TRIM($AH12),":",""),"-",""))),--(TRIM($AH$2:$AH$518)&lt;&gt;""),--(LOWER(TRIM($AH$2:$AH$518))&lt;&gt;"n/a"),--(LOWER(TRIM($AH$2:$AH$518))&lt;&gt;"na"))&gt;1),AND($AP12&lt;&gt;"",LOWER(TRIM($AP12))&lt;&gt;"n/a",LOWER(TRIM($AP12))&lt;&gt;"na",SUMPRODUCT(--(UPPER(TRIM($AP$2:$AP$518))=UPPER(TRIM($AP12))),--(TRIM($AP$2:$AP$518)&lt;&gt;""),--(LOWER(TRIM($AP$2:$AP$518))&lt;&gt;"n/a"),--(LOWER(TRIM($AP$2:$AP$518))&lt;&gt;"na"))&gt;1),AND($AQ12&lt;&gt;"",LOWER(TRIM($AQ12))&lt;&gt;"n/a",LOWER(TRIM($AQ12))&lt;&gt;"na",SUMPRODUCT(--(UPPER(TRIM($AQ$2:$AQ$518))=UPPER(TRIM($AQ12))),--(TRIM($AQ$2:$AQ$518)&lt;&gt;""),--(LOWER(TRIM($AQ$2:$AQ$518))&lt;&gt;"n/a"),--(LOWER(TRIM($AQ$2:$AQ$518))&lt;&gt;"na"))&gt;1)),"Yes","No"))</f>
        <v/>
      </c>
      <c r="F12">
        <f>IF(UPPER(TRIM($B12))&lt;&gt;"YES","", IF(OR(AND($V12&lt;&gt;"", LOWER(TRIM($V12))&lt;&gt;"n/a", LOWER(TRIM($V12))&lt;&gt;"na", SUMPRODUCT(--(UPPER(TRIM($V$2:$V$518))=UPPER(TRIM($V12))), --(UPPER(TRIM($B$2:$B$518))="YES"), --(UPPER(TRIM($G$2:$G$518)&amp;TRIM($I$2:$I$518)&amp;TRIM($J$2:$J$518))&lt;&gt;UPPER(TRIM($G12)&amp;TRIM($I12)&amp;TRIM($J12))))&gt;0), AND($W12&lt;&gt;"", LOWER(TRIM($W12))&lt;&gt;"n/a", LOWER(TRIM($W12))&lt;&gt;"na", SUMPRODUCT(--(UPPER(TRIM($W$2:$W$518))=UPPER(TRIM($W12))), --(UPPER(TRIM($B$2:$B$518))="YES"), --(UPPER(TRIM($G$2:$G$518)&amp;TRIM($I$2:$I$518)&amp;TRIM($J$2:$J$518))&lt;&gt;UPPER(TRIM($G12)&amp;TRIM($I12)&amp;TRIM($J12))))&gt;0), AND($X12&lt;&gt;"", LOWER(TRIM($X12))&lt;&gt;"n/a", LOWER(TRIM($X12))&lt;&gt;"na", SUMPRODUCT(--(UPPER(TRIM($X$2:$X$518))=UPPER(TRIM($X12))), --(UPPER(TRIM($B$2:$B$518))="YES"), --(UPPER(TRIM($G$2:$G$518)&amp;TRIM($I$2:$I$518)&amp;TRIM($J$2:$J$518))&lt;&gt;UPPER(TRIM($G12)&amp;TRIM($I12)&amp;TRIM($J12))))&gt;0), AND($Y12&lt;&gt;"", LOWER(TRIM($Y12))&lt;&gt;"n/a", LOWER(TRIM($Y12))&lt;&gt;"na", SUMPRODUCT(--(UPPER(SUBSTITUTE(SUBSTITUTE(TRIM($Y$2:$Y$518),":",""),"-",""))=UPPER(SUBSTITUTE(SUBSTITUTE(TRIM($Y12),":",""),"-",""))), --(UPPER(TRIM($B$2:$B$518))="YES"), --(UPPER(TRIM($G$2:$G$518)&amp;TRIM($I$2:$I$518)&amp;TRIM($J$2:$J$518))&lt;&gt;UPPER(TRIM($G12)&amp;TRIM($I12)&amp;TRIM($J12))))&gt;0), AND($AB12&lt;&gt;"", LOWER(TRIM($AB12))&lt;&gt;"n/a", LOWER(TRIM($AB12))&lt;&gt;"na", SUMPRODUCT(--(UPPER(TRIM($AB$2:$AB$518))=UPPER(TRIM($AB12))), --(UPPER(TRIM($B$2:$B$518))="YES"), --(UPPER(TRIM($G$2:$G$518)&amp;TRIM($I$2:$I$518)&amp;TRIM($J$2:$J$518))&lt;&gt;UPPER(TRIM($G12)&amp;TRIM($I12)&amp;TRIM($J12))))&gt;0), AND($AH12&lt;&gt;"", LOWER(TRIM($AH12))&lt;&gt;"n/a", LOWER(TRIM($AH12))&lt;&gt;"na", SUMPRODUCT(--(UPPER(SUBSTITUTE(SUBSTITUTE(TRIM($AH$2:$AH$518),":",""),"-",""))=UPPER(SUBSTITUTE(SUBSTITUTE(TRIM($AH12),":",""),"-",""))), --(UPPER(TRIM($B$2:$B$518))="YES"), --(UPPER(TRIM($G$2:$G$518)&amp;TRIM($I$2:$I$518)&amp;TRIM($J$2:$J$518))&lt;&gt;UPPER(TRIM($G12)&amp;TRIM($I12)&amp;TRIM($J12))))&gt;0), AND($AP12&lt;&gt;"", LOWER(TRIM($AP12))&lt;&gt;"n/a", LOWER(TRIM($AP12))&lt;&gt;"na", SUMPRODUCT(--(UPPER(TRIM($AP$2:$AP$518))=UPPER(TRIM($AP12))), --(UPPER(TRIM($B$2:$B$518))="YES"), --(UPPER(TRIM($G$2:$G$518)&amp;TRIM($I$2:$I$518)&amp;TRIM($J$2:$J$518))&lt;&gt;UPPER(TRIM($G12)&amp;TRIM($I12)&amp;TRIM($J12))))&gt;0), AND($AQ12&lt;&gt;"", LOWER(TRIM($AQ12))&lt;&gt;"n/a", LOWER(TRIM($AQ12))&lt;&gt;"na", SUMPRODUCT(--(UPPER(TRIM($AQ$2:$AQ$518))=UPPER(TRIM($AQ12))), --(UPPER(TRIM($B$2:$B$518))="YES"), --(UPPER(TRIM($G$2:$G$518)&amp;TRIM($I$2:$I$518)&amp;TRIM($J$2:$J$518))&lt;&gt;UPPER(TRIM($G12)&amp;TRIM($I12)&amp;TRIM($J12))))&gt;0)), "Yes", "No"))</f>
        <v/>
      </c>
      <c r="G12" t="inlineStr">
        <is>
          <t>NSUH - PSP</t>
        </is>
      </c>
      <c r="H12" t="inlineStr">
        <is>
          <t>NSUH - PSP</t>
        </is>
      </c>
      <c r="I12" t="inlineStr">
        <is>
          <t>Legacy ORs - 2nd Floor</t>
        </is>
      </c>
      <c r="J12" t="inlineStr">
        <is>
          <t>OR 22</t>
        </is>
      </c>
      <c r="K12" t="inlineStr">
        <is>
          <t>n/a</t>
        </is>
      </c>
      <c r="L12" s="18" t="n">
        <v>46116</v>
      </c>
      <c r="M12" t="inlineStr">
        <is>
          <t>OR Cybernet</t>
        </is>
      </c>
      <c r="N12" t="inlineStr">
        <is>
          <t>No</t>
        </is>
      </c>
      <c r="O12" t="inlineStr">
        <is>
          <t>Yes</t>
        </is>
      </c>
      <c r="P12" t="inlineStr">
        <is>
          <t>No</t>
        </is>
      </c>
      <c r="Q12" t="inlineStr">
        <is>
          <t>Inpatient</t>
        </is>
      </c>
      <c r="R12" t="inlineStr">
        <is>
          <t>Yes</t>
        </is>
      </c>
      <c r="S12" t="inlineStr">
        <is>
          <t>Fail</t>
        </is>
      </c>
      <c r="T12" t="inlineStr">
        <is>
          <t>Inadequate Imprivata access and permissions to sync</t>
        </is>
      </c>
      <c r="V12" t="inlineStr">
        <is>
          <t>WMH300OPR390</t>
        </is>
      </c>
      <c r="W12" t="inlineStr">
        <is>
          <t>MEDSG2425F-0300</t>
        </is>
      </c>
      <c r="X12" t="inlineStr">
        <is>
          <t>NSUH-MACH-KKK</t>
        </is>
      </c>
      <c r="Y12" t="inlineStr">
        <is>
          <t>A0F5097FE1D8</t>
        </is>
      </c>
      <c r="AB12" t="inlineStr">
        <is>
          <t>WA24406222</t>
        </is>
      </c>
      <c r="AC12" t="inlineStr">
        <is>
          <t>NSUH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I12" t="inlineStr">
        <is>
          <t>Anesthesia Machine</t>
        </is>
      </c>
      <c r="AJ12" t="n">
        <v>452537</v>
      </c>
      <c r="AL12" t="inlineStr">
        <is>
          <t>0602-155 / 3502089</t>
        </is>
      </c>
      <c r="AM12" t="inlineStr">
        <is>
          <t>Datex-Ohmeda</t>
        </is>
      </c>
      <c r="AN12" t="inlineStr">
        <is>
          <t>Aisys CS2</t>
        </is>
      </c>
      <c r="AP12" t="inlineStr">
        <is>
          <t>010084068210229221APWC0263411230914</t>
        </is>
      </c>
      <c r="AQ12" t="inlineStr">
        <is>
          <t>010084068210229221APWC0263411230914</t>
        </is>
      </c>
      <c r="AS12" t="inlineStr">
        <is>
          <t>GE Canvas 1000: 833-08, SPEC999015 / GE G1500213: 133-08C, GE B850</t>
        </is>
      </c>
      <c r="AT12" t="inlineStr">
        <is>
          <t>B1-CFU</t>
        </is>
      </c>
      <c r="AX12" t="inlineStr">
        <is>
          <t>GE Canvas 1000: 159HA / 091181394</t>
        </is>
      </c>
      <c r="AY12" t="inlineStr">
        <is>
          <t>010084068210229221APWC0263411230914</t>
        </is>
      </c>
      <c r="BC12" t="n">
        <v>452537</v>
      </c>
      <c r="BD12" t="n">
        <v>452536</v>
      </c>
      <c r="BH12" t="n">
        <v>115200</v>
      </c>
      <c r="BI12" t="n">
        <v>19200</v>
      </c>
      <c r="BM12" t="inlineStr">
        <is>
          <t>E81</t>
        </is>
      </c>
      <c r="BN12" t="inlineStr">
        <is>
          <t>O71</t>
        </is>
      </c>
      <c r="CD12">
        <f>IF($Y12="","",IF((IF(AND($BR12&lt;&gt;"Yes",$BR12&lt;&gt;"N/A"),"Power Cable, ","")&amp;IF(AND($BS12&lt;&gt;"Yes",$BS12&lt;&gt;"N/A"),"Battery, ","")&amp;IF(AND($AD12&lt;&gt;"Yes",$AD12&lt;&gt;"N/A"),"Firmware Download, ","")&amp;IF(AND(OR($AD12="Yes",$AD12="N/A"),$AE12&lt;&gt;"Yes",$AE12&lt;&gt;"N/A"),"Firmware Install, ","")&amp;IF(AND($CB12&lt;&gt;"Yes",$CB12&lt;&gt;"N/A"),"Device ID, ","")&amp;IF(AND($CC12&lt;&gt;"Yes",$CC12&lt;&gt;"N/A"),"Epic Beans Relay, ",""))="","",LEFT(IF(AND($BR12&lt;&gt;"Yes",$BR12&lt;&gt;"N/A"),"Power Cable, ","")&amp;IF(AND($BS12&lt;&gt;"Yes",$BS12&lt;&gt;"N/A"),"Battery, ","")&amp;IF(AND($AD12&lt;&gt;"Yes",$AD12&lt;&gt;"N/A"),"Firmware Download, ","")&amp;IF(AND(OR($AD12="Yes",$AD12="N/A"),$AE12&lt;&gt;"Yes",$AE12&lt;&gt;"N/A"),"Firmware Install, ","")&amp;IF(AND($CB12&lt;&gt;"Yes",$CB12&lt;&gt;"N/A"),"Device ID, ","")&amp;IF(AND($CC12&lt;&gt;"Yes",$CC12&lt;&gt;"N/A"),"Epic Beans Relay, ",""),LEN(IF(AND($BR12&lt;&gt;"Yes",$BR12&lt;&gt;"N/A"),"Power Cable, ","")&amp;IF(AND($BS12&lt;&gt;"Yes",$BS12&lt;&gt;"N/A"),"Battery, ","")&amp;IF(AND($AD12&lt;&gt;"Yes",$AD12&lt;&gt;"N/A"),"Firmware Download, ","")&amp;IF(AND(OR($AD12="Yes",$AD12="N/A"),$AE12&lt;&gt;"Yes",$AE12&lt;&gt;"N/A"),"Firmware Install, ","")&amp;IF(AND($CB12&lt;&gt;"Yes",$CB12&lt;&gt;"N/A"),"Device ID, ","")&amp;IF(AND($CC12&lt;&gt;"Yes",$CC12&lt;&gt;"N/A"),"Epic Beans Relay, ",""))-2)))</f>
        <v/>
      </c>
      <c r="CE12">
        <f>IF($Y12="","",IF($CD12="","Yes","Blocked"))</f>
        <v/>
      </c>
      <c r="CF12" t="inlineStr">
        <is>
          <t>Yes</t>
        </is>
      </c>
      <c r="CG12" t="inlineStr">
        <is>
          <t>Yes</t>
        </is>
      </c>
      <c r="CH12" t="inlineStr">
        <is>
          <t>Yes</t>
        </is>
      </c>
      <c r="CI12" t="inlineStr">
        <is>
          <t>Yes</t>
        </is>
      </c>
      <c r="CJ12" t="inlineStr">
        <is>
          <t>Yes</t>
        </is>
      </c>
      <c r="CK12" t="inlineStr">
        <is>
          <t>Yes</t>
        </is>
      </c>
      <c r="CL12" t="inlineStr">
        <is>
          <t>Yes</t>
        </is>
      </c>
      <c r="CM12" t="inlineStr">
        <is>
          <t>Yes</t>
        </is>
      </c>
      <c r="CN12" t="inlineStr">
        <is>
          <t>Yes</t>
        </is>
      </c>
      <c r="CO12" t="inlineStr">
        <is>
          <t>Yes</t>
        </is>
      </c>
      <c r="CP12" t="inlineStr">
        <is>
          <t>Yes</t>
        </is>
      </c>
      <c r="CQ12" t="inlineStr">
        <is>
          <t>Yes</t>
        </is>
      </c>
      <c r="CR12" t="inlineStr">
        <is>
          <t>Yes</t>
        </is>
      </c>
      <c r="CS12" t="inlineStr">
        <is>
          <t>Yes</t>
        </is>
      </c>
      <c r="CW12">
        <f>IF($S12="","",IF(UPPER(TRIM($S12))&lt;&gt;"PASS","",IF(LEN(TRIM($BY12))&gt;0,"NOTES_PRESENT",IF(LEN(TRIM($T12))=0,"SET_NA",IF(OR(LOWER(TRIM($T12))="na",LOWER(TRIM($T12))="n/a"),"OK","MANUAL_OVERRIDE")))))</f>
        <v/>
      </c>
    </row>
    <row r="13">
      <c r="A13" t="inlineStr">
        <is>
          <t>Neuron Cybernet</t>
        </is>
      </c>
      <c r="B13" s="51" t="inlineStr">
        <is>
          <t>Yes</t>
        </is>
      </c>
      <c r="C13" t="inlineStr">
        <is>
          <t>Yes</t>
        </is>
      </c>
      <c r="D13">
        <f>IF($B13&lt;&gt;"Yes","",IF($C13="No","Yes",IF($C13="Yes","No","")))</f>
        <v/>
      </c>
      <c r="E13">
        <f>IF($A13="","",IF(OR(AND($V13&lt;&gt;"",LOWER(TRIM($V13))&lt;&gt;"n/a",LOWER(TRIM($V13))&lt;&gt;"na",SUMPRODUCT(--(UPPER(TRIM($V$2:$V$518))=UPPER(TRIM($V13))),--(TRIM($V$2:$V$518)&lt;&gt;""),--(LOWER(TRIM($V$2:$V$518))&lt;&gt;"n/a"),--(LOWER(TRIM($V$2:$V$518))&lt;&gt;"na"))&gt;1),AND($W13&lt;&gt;"",LOWER(TRIM($W13))&lt;&gt;"n/a",LOWER(TRIM($W13))&lt;&gt;"na",SUMPRODUCT(--(UPPER(TRIM($W$2:$W$518))=UPPER(TRIM($W13))),--(TRIM($W$2:$W$518)&lt;&gt;""),--(LOWER(TRIM($W$2:$W$518))&lt;&gt;"n/a"),--(LOWER(TRIM($W$2:$W$518))&lt;&gt;"na"))&gt;1),AND($X13&lt;&gt;"",LOWER(TRIM($X13))&lt;&gt;"n/a",LOWER(TRIM($X13))&lt;&gt;"na",SUMPRODUCT(--(UPPER(TRIM($X$2:$X$518))=UPPER(TRIM($X13))),--(TRIM($X$2:$X$518)&lt;&gt;""),--(LOWER(TRIM($X$2:$X$518))&lt;&gt;"n/a"),--(LOWER(TRIM($X$2:$X$518))&lt;&gt;"na"))&gt;1),AND($Y13&lt;&gt;"",LOWER(TRIM($Y13))&lt;&gt;"n/a",LOWER(TRIM($Y13))&lt;&gt;"na",SUMPRODUCT(--(UPPER(SUBSTITUTE(SUBSTITUTE(TRIM($Y$2:$Y$518),":",""),"-",""))=UPPER(SUBSTITUTE(SUBSTITUTE(TRIM($Y13),":",""),"-",""))),--(TRIM($Y$2:$Y$518)&lt;&gt;""),--(LOWER(TRIM($Y$2:$Y$518))&lt;&gt;"n/a"),--(LOWER(TRIM($Y$2:$Y$518))&lt;&gt;"na"))&gt;1),AND($AB13&lt;&gt;"",LOWER(TRIM($AB13))&lt;&gt;"n/a",LOWER(TRIM($AB13))&lt;&gt;"na",SUMPRODUCT(--(UPPER(TRIM($AB$2:$AB$518))=UPPER(TRIM($AB13))),--(TRIM($AB$2:$AB$518)&lt;&gt;""),--(LOWER(TRIM($AB$2:$AB$518))&lt;&gt;"n/a"),--(LOWER(TRIM($AB$2:$AB$518))&lt;&gt;"na"))&gt;1),AND($AH13&lt;&gt;"",LOWER(TRIM($AH13))&lt;&gt;"n/a",LOWER(TRIM($AH13))&lt;&gt;"na",SUMPRODUCT(--(UPPER(SUBSTITUTE(SUBSTITUTE(TRIM($AH$2:$AH$518),":",""),"-",""))=UPPER(SUBSTITUTE(SUBSTITUTE(TRIM($AH13),":",""),"-",""))),--(TRIM($AH$2:$AH$518)&lt;&gt;""),--(LOWER(TRIM($AH$2:$AH$518))&lt;&gt;"n/a"),--(LOWER(TRIM($AH$2:$AH$518))&lt;&gt;"na"))&gt;1),AND($AP13&lt;&gt;"",LOWER(TRIM($AP13))&lt;&gt;"n/a",LOWER(TRIM($AP13))&lt;&gt;"na",SUMPRODUCT(--(UPPER(TRIM($AP$2:$AP$518))=UPPER(TRIM($AP13))),--(TRIM($AP$2:$AP$518)&lt;&gt;""),--(LOWER(TRIM($AP$2:$AP$518))&lt;&gt;"n/a"),--(LOWER(TRIM($AP$2:$AP$518))&lt;&gt;"na"))&gt;1),AND($AQ13&lt;&gt;"",LOWER(TRIM($AQ13))&lt;&gt;"n/a",LOWER(TRIM($AQ13))&lt;&gt;"na",SUMPRODUCT(--(UPPER(TRIM($AQ$2:$AQ$518))=UPPER(TRIM($AQ13))),--(TRIM($AQ$2:$AQ$518)&lt;&gt;""),--(LOWER(TRIM($AQ$2:$AQ$518))&lt;&gt;"n/a"),--(LOWER(TRIM($AQ$2:$AQ$518))&lt;&gt;"na"))&gt;1)),"Yes","No"))</f>
        <v/>
      </c>
      <c r="F13">
        <f>IF(UPPER(TRIM($B13))&lt;&gt;"YES","", IF(OR(AND($V13&lt;&gt;"", LOWER(TRIM($V13))&lt;&gt;"n/a", LOWER(TRIM($V13))&lt;&gt;"na", SUMPRODUCT(--(UPPER(TRIM($V$2:$V$518))=UPPER(TRIM($V13))), --(UPPER(TRIM($B$2:$B$518))="YES"), --(UPPER(TRIM($G$2:$G$518)&amp;TRIM($I$2:$I$518)&amp;TRIM($J$2:$J$518))&lt;&gt;UPPER(TRIM($G13)&amp;TRIM($I13)&amp;TRIM($J13))))&gt;0), AND($W13&lt;&gt;"", LOWER(TRIM($W13))&lt;&gt;"n/a", LOWER(TRIM($W13))&lt;&gt;"na", SUMPRODUCT(--(UPPER(TRIM($W$2:$W$518))=UPPER(TRIM($W13))), --(UPPER(TRIM($B$2:$B$518))="YES"), --(UPPER(TRIM($G$2:$G$518)&amp;TRIM($I$2:$I$518)&amp;TRIM($J$2:$J$518))&lt;&gt;UPPER(TRIM($G13)&amp;TRIM($I13)&amp;TRIM($J13))))&gt;0), AND($X13&lt;&gt;"", LOWER(TRIM($X13))&lt;&gt;"n/a", LOWER(TRIM($X13))&lt;&gt;"na", SUMPRODUCT(--(UPPER(TRIM($X$2:$X$518))=UPPER(TRIM($X13))), --(UPPER(TRIM($B$2:$B$518))="YES"), --(UPPER(TRIM($G$2:$G$518)&amp;TRIM($I$2:$I$518)&amp;TRIM($J$2:$J$518))&lt;&gt;UPPER(TRIM($G13)&amp;TRIM($I13)&amp;TRIM($J13))))&gt;0), AND($Y13&lt;&gt;"", LOWER(TRIM($Y13))&lt;&gt;"n/a", LOWER(TRIM($Y13))&lt;&gt;"na", SUMPRODUCT(--(UPPER(SUBSTITUTE(SUBSTITUTE(TRIM($Y$2:$Y$518),":",""),"-",""))=UPPER(SUBSTITUTE(SUBSTITUTE(TRIM($Y13),":",""),"-",""))), --(UPPER(TRIM($B$2:$B$518))="YES"), --(UPPER(TRIM($G$2:$G$518)&amp;TRIM($I$2:$I$518)&amp;TRIM($J$2:$J$518))&lt;&gt;UPPER(TRIM($G13)&amp;TRIM($I13)&amp;TRIM($J13))))&gt;0), AND($AB13&lt;&gt;"", LOWER(TRIM($AB13))&lt;&gt;"n/a", LOWER(TRIM($AB13))&lt;&gt;"na", SUMPRODUCT(--(UPPER(TRIM($AB$2:$AB$518))=UPPER(TRIM($AB13))), --(UPPER(TRIM($B$2:$B$518))="YES"), --(UPPER(TRIM($G$2:$G$518)&amp;TRIM($I$2:$I$518)&amp;TRIM($J$2:$J$518))&lt;&gt;UPPER(TRIM($G13)&amp;TRIM($I13)&amp;TRIM($J13))))&gt;0), AND($AH13&lt;&gt;"", LOWER(TRIM($AH13))&lt;&gt;"n/a", LOWER(TRIM($AH13))&lt;&gt;"na", SUMPRODUCT(--(UPPER(SUBSTITUTE(SUBSTITUTE(TRIM($AH$2:$AH$518),":",""),"-",""))=UPPER(SUBSTITUTE(SUBSTITUTE(TRIM($AH13),":",""),"-",""))), --(UPPER(TRIM($B$2:$B$518))="YES"), --(UPPER(TRIM($G$2:$G$518)&amp;TRIM($I$2:$I$518)&amp;TRIM($J$2:$J$518))&lt;&gt;UPPER(TRIM($G13)&amp;TRIM($I13)&amp;TRIM($J13))))&gt;0), AND($AP13&lt;&gt;"", LOWER(TRIM($AP13))&lt;&gt;"n/a", LOWER(TRIM($AP13))&lt;&gt;"na", SUMPRODUCT(--(UPPER(TRIM($AP$2:$AP$518))=UPPER(TRIM($AP13))), --(UPPER(TRIM($B$2:$B$518))="YES"), --(UPPER(TRIM($G$2:$G$518)&amp;TRIM($I$2:$I$518)&amp;TRIM($J$2:$J$518))&lt;&gt;UPPER(TRIM($G13)&amp;TRIM($I13)&amp;TRIM($J13))))&gt;0), AND($AQ13&lt;&gt;"", LOWER(TRIM($AQ13))&lt;&gt;"n/a", LOWER(TRIM($AQ13))&lt;&gt;"na", SUMPRODUCT(--(UPPER(TRIM($AQ$2:$AQ$518))=UPPER(TRIM($AQ13))), --(UPPER(TRIM($B$2:$B$518))="YES"), --(UPPER(TRIM($G$2:$G$518)&amp;TRIM($I$2:$I$518)&amp;TRIM($J$2:$J$518))&lt;&gt;UPPER(TRIM($G13)&amp;TRIM($I13)&amp;TRIM($J13))))&gt;0)), "Yes", "No"))</f>
        <v/>
      </c>
      <c r="G13" t="inlineStr">
        <is>
          <t>NSUH - PSP</t>
        </is>
      </c>
      <c r="H13" t="inlineStr">
        <is>
          <t>NSUH - PSP</t>
        </is>
      </c>
      <c r="I13" t="inlineStr">
        <is>
          <t>Legacy ORs - 2nd Floor</t>
        </is>
      </c>
      <c r="J13" t="inlineStr">
        <is>
          <t>OR30</t>
        </is>
      </c>
      <c r="K13" t="inlineStr">
        <is>
          <t>n/a</t>
        </is>
      </c>
      <c r="L13" s="18" t="n">
        <v>46116</v>
      </c>
      <c r="M13" t="inlineStr">
        <is>
          <t>OR Cybernet</t>
        </is>
      </c>
      <c r="N13" t="inlineStr">
        <is>
          <t>No</t>
        </is>
      </c>
      <c r="O13" t="inlineStr">
        <is>
          <t>Yes</t>
        </is>
      </c>
      <c r="P13" t="inlineStr">
        <is>
          <t>Yes</t>
        </is>
      </c>
      <c r="Q13" t="inlineStr">
        <is>
          <t>Inpatient</t>
        </is>
      </c>
      <c r="R13" t="inlineStr">
        <is>
          <t>Yes</t>
        </is>
      </c>
      <c r="U13" t="inlineStr">
        <is>
          <t>Dr. Palilla, Timothy W. Seeberger</t>
        </is>
      </c>
      <c r="V13" t="inlineStr">
        <is>
          <t>WMH300OPR402</t>
        </is>
      </c>
      <c r="W13" t="inlineStr">
        <is>
          <t>MEDNG2425E-3306</t>
        </is>
      </c>
      <c r="X13" t="inlineStr">
        <is>
          <t>NSUH-MACH-N</t>
        </is>
      </c>
      <c r="Y13" t="inlineStr">
        <is>
          <t>A0F5097FDF61</t>
        </is>
      </c>
      <c r="AB13" t="inlineStr">
        <is>
          <t>WA24406388</t>
        </is>
      </c>
      <c r="AC13" t="inlineStr">
        <is>
          <t>NSUH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I13" t="inlineStr">
        <is>
          <t>Anesthesia Machine</t>
        </is>
      </c>
      <c r="AJ13" t="n">
        <v>452528</v>
      </c>
      <c r="AL13" t="inlineStr">
        <is>
          <t>07044-75 / 76</t>
        </is>
      </c>
      <c r="AM13" t="inlineStr">
        <is>
          <t>Datex-Ohmeda</t>
        </is>
      </c>
      <c r="AP13" t="inlineStr">
        <is>
          <t>010084068210229221APWC0264111230915</t>
        </is>
      </c>
      <c r="AQ13" t="inlineStr">
        <is>
          <t>010084068210229221APWC0264111230915</t>
        </is>
      </c>
      <c r="AS13" t="inlineStr">
        <is>
          <t>GE Canvas 1000: 833-08, SPEC999015 / GE G1500213: 133-08C, GE B850</t>
        </is>
      </c>
      <c r="AT13" t="inlineStr">
        <is>
          <t>B1-CFU</t>
        </is>
      </c>
      <c r="AX13" t="inlineStr">
        <is>
          <t>GE Canvas 1000: 148HA / 091181405</t>
        </is>
      </c>
      <c r="AY13" t="inlineStr">
        <is>
          <t>010084068210229221APWC0264111230915</t>
        </is>
      </c>
      <c r="BC13" t="n">
        <v>452528</v>
      </c>
      <c r="BD13" t="n">
        <v>452526</v>
      </c>
      <c r="BH13" t="n">
        <v>115200</v>
      </c>
      <c r="BI13" t="n">
        <v>19200</v>
      </c>
      <c r="BM13" t="inlineStr">
        <is>
          <t>E81</t>
        </is>
      </c>
      <c r="BN13" t="inlineStr">
        <is>
          <t>O71</t>
        </is>
      </c>
      <c r="CD13">
        <f>IF($Y13="","",IF((IF(AND($BR13&lt;&gt;"Yes",$BR13&lt;&gt;"N/A"),"Power Cable, ","")&amp;IF(AND($BS13&lt;&gt;"Yes",$BS13&lt;&gt;"N/A"),"Battery, ","")&amp;IF(AND($AD13&lt;&gt;"Yes",$AD13&lt;&gt;"N/A"),"Firmware Download, ","")&amp;IF(AND(OR($AD13="Yes",$AD13="N/A"),$AE13&lt;&gt;"Yes",$AE13&lt;&gt;"N/A"),"Firmware Install, ","")&amp;IF(AND($CB13&lt;&gt;"Yes",$CB13&lt;&gt;"N/A"),"Device ID, ","")&amp;IF(AND($CC13&lt;&gt;"Yes",$CC13&lt;&gt;"N/A"),"Epic Beans Relay, ",""))="","",LEFT(IF(AND($BR13&lt;&gt;"Yes",$BR13&lt;&gt;"N/A"),"Power Cable, ","")&amp;IF(AND($BS13&lt;&gt;"Yes",$BS13&lt;&gt;"N/A"),"Battery, ","")&amp;IF(AND($AD13&lt;&gt;"Yes",$AD13&lt;&gt;"N/A"),"Firmware Download, ","")&amp;IF(AND(OR($AD13="Yes",$AD13="N/A"),$AE13&lt;&gt;"Yes",$AE13&lt;&gt;"N/A"),"Firmware Install, ","")&amp;IF(AND($CB13&lt;&gt;"Yes",$CB13&lt;&gt;"N/A"),"Device ID, ","")&amp;IF(AND($CC13&lt;&gt;"Yes",$CC13&lt;&gt;"N/A"),"Epic Beans Relay, ",""),LEN(IF(AND($BR13&lt;&gt;"Yes",$BR13&lt;&gt;"N/A"),"Power Cable, ","")&amp;IF(AND($BS13&lt;&gt;"Yes",$BS13&lt;&gt;"N/A"),"Battery, ","")&amp;IF(AND($AD13&lt;&gt;"Yes",$AD13&lt;&gt;"N/A"),"Firmware Download, ","")&amp;IF(AND(OR($AD13="Yes",$AD13="N/A"),$AE13&lt;&gt;"Yes",$AE13&lt;&gt;"N/A"),"Firmware Install, ","")&amp;IF(AND($CB13&lt;&gt;"Yes",$CB13&lt;&gt;"N/A"),"Device ID, ","")&amp;IF(AND($CC13&lt;&gt;"Yes",$CC13&lt;&gt;"N/A"),"Epic Beans Relay, ",""))-2)))</f>
        <v/>
      </c>
      <c r="CE13">
        <f>IF($Y13="","",IF($CD13="","Yes","Blocked"))</f>
        <v/>
      </c>
      <c r="CF13" t="inlineStr">
        <is>
          <t>Yes</t>
        </is>
      </c>
      <c r="CG13" t="inlineStr">
        <is>
          <t>Yes</t>
        </is>
      </c>
      <c r="CH13" t="inlineStr">
        <is>
          <t>Yes</t>
        </is>
      </c>
      <c r="CI13" t="inlineStr">
        <is>
          <t>Yes</t>
        </is>
      </c>
      <c r="CJ13" t="inlineStr">
        <is>
          <t>Yes</t>
        </is>
      </c>
      <c r="CK13" t="inlineStr">
        <is>
          <t>Yes</t>
        </is>
      </c>
      <c r="CL13" t="inlineStr">
        <is>
          <t>Yes</t>
        </is>
      </c>
      <c r="CM13" t="inlineStr">
        <is>
          <t>Yes</t>
        </is>
      </c>
      <c r="CN13" t="inlineStr">
        <is>
          <t>Yes</t>
        </is>
      </c>
      <c r="CO13" t="inlineStr">
        <is>
          <t>Yes</t>
        </is>
      </c>
      <c r="CP13" t="inlineStr">
        <is>
          <t>Yes</t>
        </is>
      </c>
      <c r="CQ13" t="inlineStr">
        <is>
          <t>Yes</t>
        </is>
      </c>
      <c r="CR13" t="inlineStr">
        <is>
          <t>Yes</t>
        </is>
      </c>
      <c r="CS13" t="inlineStr">
        <is>
          <t>Yes</t>
        </is>
      </c>
      <c r="CW13">
        <f>IF($S13="","",IF(UPPER(TRIM($S13))&lt;&gt;"PASS","",IF(LEN(TRIM($BY13))&gt;0,"NOTES_PRESENT",IF(LEN(TRIM($T13))=0,"SET_NA",IF(OR(LOWER(TRIM($T13))="na",LOWER(TRIM($T13))="n/a"),"OK","MANUAL_OVERRIDE")))))</f>
        <v/>
      </c>
    </row>
    <row r="14">
      <c r="A14" t="inlineStr">
        <is>
          <t>Cybernet-Neuron</t>
        </is>
      </c>
      <c r="B14" t="inlineStr">
        <is>
          <t>Yes</t>
        </is>
      </c>
      <c r="C14" t="inlineStr">
        <is>
          <t>Yes</t>
        </is>
      </c>
      <c r="D14">
        <f>IF($B14&lt;&gt;"Yes","",IF($C14="No","Yes",IF($C14="Yes","No","")))</f>
        <v/>
      </c>
      <c r="F14">
        <f>IF(UPPER(TRIM($B14))&lt;&gt;"YES","", IF(OR(AND($V14&lt;&gt;"", LOWER(TRIM($V14))&lt;&gt;"n/a", LOWER(TRIM($V14))&lt;&gt;"na", SUMPRODUCT(--(UPPER(TRIM($V$2:$V$518))=UPPER(TRIM($V14))), --(UPPER(TRIM($B$2:$B$518))="YES"), --(UPPER(TRIM($G$2:$G$518)&amp;TRIM($I$2:$I$518)&amp;TRIM($J$2:$J$518))&lt;&gt;UPPER(TRIM($G14)&amp;TRIM($I14)&amp;TRIM($J14))))&gt;0), AND($W14&lt;&gt;"", LOWER(TRIM($W14))&lt;&gt;"n/a", LOWER(TRIM($W14))&lt;&gt;"na", SUMPRODUCT(--(UPPER(TRIM($W$2:$W$518))=UPPER(TRIM($W14))), --(UPPER(TRIM($B$2:$B$518))="YES"), --(UPPER(TRIM($G$2:$G$518)&amp;TRIM($I$2:$I$518)&amp;TRIM($J$2:$J$518))&lt;&gt;UPPER(TRIM($G14)&amp;TRIM($I14)&amp;TRIM($J14))))&gt;0), AND($X14&lt;&gt;"", LOWER(TRIM($X14))&lt;&gt;"n/a", LOWER(TRIM($X14))&lt;&gt;"na", SUMPRODUCT(--(UPPER(TRIM($X$2:$X$518))=UPPER(TRIM($X14))), --(UPPER(TRIM($B$2:$B$518))="YES"), --(UPPER(TRIM($G$2:$G$518)&amp;TRIM($I$2:$I$518)&amp;TRIM($J$2:$J$518))&lt;&gt;UPPER(TRIM($G14)&amp;TRIM($I14)&amp;TRIM($J14))))&gt;0), AND($Y14&lt;&gt;"", LOWER(TRIM($Y14))&lt;&gt;"n/a", LOWER(TRIM($Y14))&lt;&gt;"na", SUMPRODUCT(--(UPPER(SUBSTITUTE(SUBSTITUTE(TRIM($Y$2:$Y$518),":",""),"-",""))=UPPER(SUBSTITUTE(SUBSTITUTE(TRIM($Y14),":",""),"-",""))), --(UPPER(TRIM($B$2:$B$518))="YES"), --(UPPER(TRIM($G$2:$G$518)&amp;TRIM($I$2:$I$518)&amp;TRIM($J$2:$J$518))&lt;&gt;UPPER(TRIM($G14)&amp;TRIM($I14)&amp;TRIM($J14))))&gt;0), AND($AB14&lt;&gt;"", LOWER(TRIM($AB14))&lt;&gt;"n/a", LOWER(TRIM($AB14))&lt;&gt;"na", SUMPRODUCT(--(UPPER(TRIM($AB$2:$AB$518))=UPPER(TRIM($AB14))), --(UPPER(TRIM($B$2:$B$518))="YES"), --(UPPER(TRIM($G$2:$G$518)&amp;TRIM($I$2:$I$518)&amp;TRIM($J$2:$J$518))&lt;&gt;UPPER(TRIM($G14)&amp;TRIM($I14)&amp;TRIM($J14))))&gt;0), AND($AH14&lt;&gt;"", LOWER(TRIM($AH14))&lt;&gt;"n/a", LOWER(TRIM($AH14))&lt;&gt;"na", SUMPRODUCT(--(UPPER(SUBSTITUTE(SUBSTITUTE(TRIM($AH$2:$AH$518),":",""),"-",""))=UPPER(SUBSTITUTE(SUBSTITUTE(TRIM($AH14),":",""),"-",""))), --(UPPER(TRIM($B$2:$B$518))="YES"), --(UPPER(TRIM($G$2:$G$518)&amp;TRIM($I$2:$I$518)&amp;TRIM($J$2:$J$518))&lt;&gt;UPPER(TRIM($G14)&amp;TRIM($I14)&amp;TRIM($J14))))&gt;0), AND($AP14&lt;&gt;"", LOWER(TRIM($AP14))&lt;&gt;"n/a", LOWER(TRIM($AP14))&lt;&gt;"na", SUMPRODUCT(--(UPPER(TRIM($AP$2:$AP$518))=UPPER(TRIM($AP14))), --(UPPER(TRIM($B$2:$B$518))="YES"), --(UPPER(TRIM($G$2:$G$518)&amp;TRIM($I$2:$I$518)&amp;TRIM($J$2:$J$518))&lt;&gt;UPPER(TRIM($G14)&amp;TRIM($I14)&amp;TRIM($J14))))&gt;0), AND($AQ14&lt;&gt;"", LOWER(TRIM($AQ14))&lt;&gt;"n/a", LOWER(TRIM($AQ14))&lt;&gt;"na", SUMPRODUCT(--(UPPER(TRIM($AQ$2:$AQ$518))=UPPER(TRIM($AQ14))), --(UPPER(TRIM($B$2:$B$518))="YES"), --(UPPER(TRIM($G$2:$G$518)&amp;TRIM($I$2:$I$518)&amp;TRIM($J$2:$J$518))&lt;&gt;UPPER(TRIM($G14)&amp;TRIM($I14)&amp;TRIM($J14))))&gt;0)), "Yes", "No"))</f>
        <v/>
      </c>
      <c r="G14" t="inlineStr">
        <is>
          <t>NSUH - PSP</t>
        </is>
      </c>
      <c r="H14" t="inlineStr">
        <is>
          <t>NSUH - PSP</t>
        </is>
      </c>
      <c r="I14" t="inlineStr">
        <is>
          <t>Legacy ORs - 2nd Floor</t>
        </is>
      </c>
      <c r="J14" t="inlineStr">
        <is>
          <t>OR 26</t>
        </is>
      </c>
      <c r="K14" t="inlineStr">
        <is>
          <t>n/a</t>
        </is>
      </c>
      <c r="L14" s="18" t="n">
        <v>46116</v>
      </c>
      <c r="M14" t="inlineStr">
        <is>
          <t>OR Cybernet</t>
        </is>
      </c>
      <c r="N14" t="inlineStr">
        <is>
          <t>No</t>
        </is>
      </c>
      <c r="O14" t="inlineStr">
        <is>
          <t>Yes</t>
        </is>
      </c>
      <c r="P14" t="inlineStr">
        <is>
          <t>No</t>
        </is>
      </c>
      <c r="Q14" t="inlineStr">
        <is>
          <t>Inpatient</t>
        </is>
      </c>
      <c r="R14" t="inlineStr">
        <is>
          <t>Yes</t>
        </is>
      </c>
      <c r="S14" t="inlineStr">
        <is>
          <t>Fail</t>
        </is>
      </c>
      <c r="T14" t="inlineStr">
        <is>
          <t>Inadequate Imprivata access and permissions to sync</t>
        </is>
      </c>
      <c r="V14" t="inlineStr">
        <is>
          <t>WMH300OPR385</t>
        </is>
      </c>
      <c r="W14" t="inlineStr">
        <is>
          <t>MEDSG2425F-0205</t>
        </is>
      </c>
      <c r="X14" t="inlineStr">
        <is>
          <t>NSUH-MACH-BBB</t>
        </is>
      </c>
      <c r="Y14" t="inlineStr">
        <is>
          <t>A0F5097B969A</t>
        </is>
      </c>
      <c r="AB14" t="inlineStr">
        <is>
          <t>WA25300268</t>
        </is>
      </c>
      <c r="AC14" t="inlineStr">
        <is>
          <t>NSUH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I14" t="inlineStr">
        <is>
          <t>Anesthesia Machine</t>
        </is>
      </c>
      <c r="AJ14" t="n">
        <v>452495</v>
      </c>
      <c r="AL14" t="inlineStr">
        <is>
          <t>0703-152 / 0702-16</t>
        </is>
      </c>
      <c r="AM14" t="inlineStr">
        <is>
          <t>Datex-Ohmeda</t>
        </is>
      </c>
      <c r="AP14" t="inlineStr">
        <is>
          <t>010084068210229221APWC0265111230915</t>
        </is>
      </c>
      <c r="AS14" t="inlineStr">
        <is>
          <t>GE Canvas 1000: 833-08, SPEC999015 / GE G1500213: 133-08C, GE B850</t>
        </is>
      </c>
      <c r="AT14" t="inlineStr">
        <is>
          <t>B1-CFU</t>
        </is>
      </c>
      <c r="AX14" t="inlineStr">
        <is>
          <t>GE Canvas 1000: 167HA / GE G1500213: 091181403</t>
        </is>
      </c>
      <c r="AY14" t="inlineStr">
        <is>
          <t>010084068210229221APWC0265111230915</t>
        </is>
      </c>
      <c r="BC14" t="n">
        <v>452495</v>
      </c>
      <c r="BD14" t="n">
        <v>452489</v>
      </c>
      <c r="BH14" t="n">
        <v>115200</v>
      </c>
      <c r="BI14" t="n">
        <v>19200</v>
      </c>
      <c r="BM14" t="inlineStr">
        <is>
          <t>E81</t>
        </is>
      </c>
      <c r="BN14" t="inlineStr">
        <is>
          <t>O71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Yes</t>
        </is>
      </c>
      <c r="CN14" t="inlineStr">
        <is>
          <t>Yes</t>
        </is>
      </c>
      <c r="CO14" t="inlineStr">
        <is>
          <t>Yes</t>
        </is>
      </c>
      <c r="CP14" t="inlineStr">
        <is>
          <t>Yes</t>
        </is>
      </c>
      <c r="CQ14" t="inlineStr">
        <is>
          <t>Yes</t>
        </is>
      </c>
      <c r="CR14" t="inlineStr">
        <is>
          <t>Yes</t>
        </is>
      </c>
      <c r="CS14" t="inlineStr">
        <is>
          <t>Yes</t>
        </is>
      </c>
      <c r="CW14">
        <f>IF($S14="","",IF(UPPER(TRIM($S14))&lt;&gt;"PASS","",IF(LEN(TRIM($BY14))&gt;0,"NOTES_PRESENT",IF(LEN(TRIM($T14))=0,"SET_NA",IF(OR(LOWER(TRIM($T14))="na",LOWER(TRIM($T14))="n/a"),"OK","MANUAL_OVERRIDE")))))</f>
        <v/>
      </c>
    </row>
    <row r="15">
      <c r="A15" t="inlineStr">
        <is>
          <t>Neuron Cybernet</t>
        </is>
      </c>
      <c r="B15" t="inlineStr">
        <is>
          <t>No</t>
        </is>
      </c>
      <c r="C15" t="inlineStr">
        <is>
          <t>No</t>
        </is>
      </c>
      <c r="D15">
        <f>IF($B15&lt;&gt;"Yes","",IF($C15="No","Yes",IF($C15="Yes","No","")))</f>
        <v/>
      </c>
      <c r="E15">
        <f>IF($A15="","",IF(OR(AND($V15&lt;&gt;"",LOWER(TRIM($V15))&lt;&gt;"n/a",LOWER(TRIM($V15))&lt;&gt;"na",SUMPRODUCT(--(UPPER(TRIM($V$2:$V$518))=UPPER(TRIM($V15))),--(TRIM($V$2:$V$518)&lt;&gt;""),--(LOWER(TRIM($V$2:$V$518))&lt;&gt;"n/a"),--(LOWER(TRIM($V$2:$V$518))&lt;&gt;"na"))&gt;1),AND($W15&lt;&gt;"",LOWER(TRIM($W15))&lt;&gt;"n/a",LOWER(TRIM($W15))&lt;&gt;"na",SUMPRODUCT(--(UPPER(TRIM($W$2:$W$518))=UPPER(TRIM($W15))),--(TRIM($W$2:$W$518)&lt;&gt;""),--(LOWER(TRIM($W$2:$W$518))&lt;&gt;"n/a"),--(LOWER(TRIM($W$2:$W$518))&lt;&gt;"na"))&gt;1),AND($X15&lt;&gt;"",LOWER(TRIM($X15))&lt;&gt;"n/a",LOWER(TRIM($X15))&lt;&gt;"na",SUMPRODUCT(--(UPPER(TRIM($X$2:$X$518))=UPPER(TRIM($X15))),--(TRIM($X$2:$X$518)&lt;&gt;""),--(LOWER(TRIM($X$2:$X$518))&lt;&gt;"n/a"),--(LOWER(TRIM($X$2:$X$518))&lt;&gt;"na"))&gt;1),AND($Y15&lt;&gt;"",LOWER(TRIM($Y15))&lt;&gt;"n/a",LOWER(TRIM($Y15))&lt;&gt;"na",SUMPRODUCT(--(UPPER(SUBSTITUTE(SUBSTITUTE(TRIM($Y$2:$Y$518),":",""),"-",""))=UPPER(SUBSTITUTE(SUBSTITUTE(TRIM($Y15),":",""),"-",""))),--(TRIM($Y$2:$Y$518)&lt;&gt;""),--(LOWER(TRIM($Y$2:$Y$518))&lt;&gt;"n/a"),--(LOWER(TRIM($Y$2:$Y$518))&lt;&gt;"na"))&gt;1),AND($AB15&lt;&gt;"",LOWER(TRIM($AB15))&lt;&gt;"n/a",LOWER(TRIM($AB15))&lt;&gt;"na",SUMPRODUCT(--(UPPER(TRIM($AB$2:$AB$518))=UPPER(TRIM($AB15))),--(TRIM($AB$2:$AB$518)&lt;&gt;""),--(LOWER(TRIM($AB$2:$AB$518))&lt;&gt;"n/a"),--(LOWER(TRIM($AB$2:$AB$518))&lt;&gt;"na"))&gt;1),AND($AH15&lt;&gt;"",LOWER(TRIM($AH15))&lt;&gt;"n/a",LOWER(TRIM($AH15))&lt;&gt;"na",SUMPRODUCT(--(UPPER(SUBSTITUTE(SUBSTITUTE(TRIM($AH$2:$AH$518),":",""),"-",""))=UPPER(SUBSTITUTE(SUBSTITUTE(TRIM($AH15),":",""),"-",""))),--(TRIM($AH$2:$AH$518)&lt;&gt;""),--(LOWER(TRIM($AH$2:$AH$518))&lt;&gt;"n/a"),--(LOWER(TRIM($AH$2:$AH$518))&lt;&gt;"na"))&gt;1),AND($AP15&lt;&gt;"",LOWER(TRIM($AP15))&lt;&gt;"n/a",LOWER(TRIM($AP15))&lt;&gt;"na",SUMPRODUCT(--(UPPER(TRIM($AP$2:$AP$518))=UPPER(TRIM($AP15))),--(TRIM($AP$2:$AP$518)&lt;&gt;""),--(LOWER(TRIM($AP$2:$AP$518))&lt;&gt;"n/a"),--(LOWER(TRIM($AP$2:$AP$518))&lt;&gt;"na"))&gt;1),AND($AQ15&lt;&gt;"",LOWER(TRIM($AQ15))&lt;&gt;"n/a",LOWER(TRIM($AQ15))&lt;&gt;"na",SUMPRODUCT(--(UPPER(TRIM($AQ$2:$AQ$518))=UPPER(TRIM($AQ15))),--(TRIM($AQ$2:$AQ$518)&lt;&gt;""),--(LOWER(TRIM($AQ$2:$AQ$518))&lt;&gt;"n/a"),--(LOWER(TRIM($AQ$2:$AQ$518))&lt;&gt;"na"))&gt;1)),"Yes","No"))</f>
        <v/>
      </c>
      <c r="F15">
        <f>IF(UPPER(TRIM($B15))&lt;&gt;"YES","", IF(OR(AND($V15&lt;&gt;"", LOWER(TRIM($V15))&lt;&gt;"n/a", LOWER(TRIM($V15))&lt;&gt;"na", SUMPRODUCT(--(UPPER(TRIM($V$2:$V$518))=UPPER(TRIM($V15))), --(UPPER(TRIM($B$2:$B$518))="YES"), --(UPPER(TRIM($G$2:$G$518)&amp;TRIM($I$2:$I$518)&amp;TRIM($J$2:$J$518))&lt;&gt;UPPER(TRIM($G15)&amp;TRIM($I15)&amp;TRIM($J15))))&gt;0), AND($W15&lt;&gt;"", LOWER(TRIM($W15))&lt;&gt;"n/a", LOWER(TRIM($W15))&lt;&gt;"na", SUMPRODUCT(--(UPPER(TRIM($W$2:$W$518))=UPPER(TRIM($W15))), --(UPPER(TRIM($B$2:$B$518))="YES"), --(UPPER(TRIM($G$2:$G$518)&amp;TRIM($I$2:$I$518)&amp;TRIM($J$2:$J$518))&lt;&gt;UPPER(TRIM($G15)&amp;TRIM($I15)&amp;TRIM($J15))))&gt;0), AND($X15&lt;&gt;"", LOWER(TRIM($X15))&lt;&gt;"n/a", LOWER(TRIM($X15))&lt;&gt;"na", SUMPRODUCT(--(UPPER(TRIM($X$2:$X$518))=UPPER(TRIM($X15))), --(UPPER(TRIM($B$2:$B$518))="YES"), --(UPPER(TRIM($G$2:$G$518)&amp;TRIM($I$2:$I$518)&amp;TRIM($J$2:$J$518))&lt;&gt;UPPER(TRIM($G15)&amp;TRIM($I15)&amp;TRIM($J15))))&gt;0), AND($Y15&lt;&gt;"", LOWER(TRIM($Y15))&lt;&gt;"n/a", LOWER(TRIM($Y15))&lt;&gt;"na", SUMPRODUCT(--(UPPER(SUBSTITUTE(SUBSTITUTE(TRIM($Y$2:$Y$518),":",""),"-",""))=UPPER(SUBSTITUTE(SUBSTITUTE(TRIM($Y15),":",""),"-",""))), --(UPPER(TRIM($B$2:$B$518))="YES"), --(UPPER(TRIM($G$2:$G$518)&amp;TRIM($I$2:$I$518)&amp;TRIM($J$2:$J$518))&lt;&gt;UPPER(TRIM($G15)&amp;TRIM($I15)&amp;TRIM($J15))))&gt;0), AND($AB15&lt;&gt;"", LOWER(TRIM($AB15))&lt;&gt;"n/a", LOWER(TRIM($AB15))&lt;&gt;"na", SUMPRODUCT(--(UPPER(TRIM($AB$2:$AB$518))=UPPER(TRIM($AB15))), --(UPPER(TRIM($B$2:$B$518))="YES"), --(UPPER(TRIM($G$2:$G$518)&amp;TRIM($I$2:$I$518)&amp;TRIM($J$2:$J$518))&lt;&gt;UPPER(TRIM($G15)&amp;TRIM($I15)&amp;TRIM($J15))))&gt;0), AND($AH15&lt;&gt;"", LOWER(TRIM($AH15))&lt;&gt;"n/a", LOWER(TRIM($AH15))&lt;&gt;"na", SUMPRODUCT(--(UPPER(SUBSTITUTE(SUBSTITUTE(TRIM($AH$2:$AH$518),":",""),"-",""))=UPPER(SUBSTITUTE(SUBSTITUTE(TRIM($AH15),":",""),"-",""))), --(UPPER(TRIM($B$2:$B$518))="YES"), --(UPPER(TRIM($G$2:$G$518)&amp;TRIM($I$2:$I$518)&amp;TRIM($J$2:$J$518))&lt;&gt;UPPER(TRIM($G15)&amp;TRIM($I15)&amp;TRIM($J15))))&gt;0), AND($AP15&lt;&gt;"", LOWER(TRIM($AP15))&lt;&gt;"n/a", LOWER(TRIM($AP15))&lt;&gt;"na", SUMPRODUCT(--(UPPER(TRIM($AP$2:$AP$518))=UPPER(TRIM($AP15))), --(UPPER(TRIM($B$2:$B$518))="YES"), --(UPPER(TRIM($G$2:$G$518)&amp;TRIM($I$2:$I$518)&amp;TRIM($J$2:$J$518))&lt;&gt;UPPER(TRIM($G15)&amp;TRIM($I15)&amp;TRIM($J15))))&gt;0), AND($AQ15&lt;&gt;"", LOWER(TRIM($AQ15))&lt;&gt;"n/a", LOWER(TRIM($AQ15))&lt;&gt;"na", SUMPRODUCT(--(UPPER(TRIM($AQ$2:$AQ$518))=UPPER(TRIM($AQ15))), --(UPPER(TRIM($B$2:$B$518))="YES"), --(UPPER(TRIM($G$2:$G$518)&amp;TRIM($I$2:$I$518)&amp;TRIM($J$2:$J$518))&lt;&gt;UPPER(TRIM($G15)&amp;TRIM($I15)&amp;TRIM($J15))))&gt;0)), "Yes", "No"))</f>
        <v/>
      </c>
      <c r="G15" t="inlineStr">
        <is>
          <t>NSUH-ENDO</t>
        </is>
      </c>
      <c r="H15" t="inlineStr">
        <is>
          <t>NSUH- ENDO</t>
        </is>
      </c>
      <c r="I15" t="inlineStr">
        <is>
          <t>Main ORs - PSP - 2nd Floor</t>
        </is>
      </c>
      <c r="J15" t="inlineStr">
        <is>
          <t>ENDO 4</t>
        </is>
      </c>
      <c r="L15" s="18" t="n">
        <v>46103</v>
      </c>
      <c r="M15" t="inlineStr">
        <is>
          <t>OR iPro Cybernet Workstation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U15" t="inlineStr">
        <is>
          <t>Dr. Palilla, Timothy W. Seeberger</t>
        </is>
      </c>
      <c r="V15" t="inlineStr">
        <is>
          <t>WMH300OPR336</t>
        </is>
      </c>
      <c r="W15" t="inlineStr">
        <is>
          <t>MEDSG2425F-0142</t>
        </is>
      </c>
      <c r="X15" t="inlineStr">
        <is>
          <t>NSUH-MACH-LLL</t>
        </is>
      </c>
      <c r="Y15" t="inlineStr">
        <is>
          <t>A0F5097FE18B</t>
        </is>
      </c>
      <c r="AB15" t="inlineStr">
        <is>
          <t>WA24406212</t>
        </is>
      </c>
      <c r="AH15" t="inlineStr">
        <is>
          <t>00:0D:05:0A:A4:F9</t>
        </is>
      </c>
      <c r="AI15" t="inlineStr">
        <is>
          <t>Anesthesia Machine</t>
        </is>
      </c>
      <c r="AJ15" t="n">
        <v>402485</v>
      </c>
      <c r="AL15" t="n">
        <v>7041519</v>
      </c>
      <c r="AM15" t="inlineStr">
        <is>
          <t>DRAGER</t>
        </is>
      </c>
      <c r="AN15" t="inlineStr">
        <is>
          <t>FABIUS TRIO</t>
        </is>
      </c>
      <c r="AP15" t="inlineStr">
        <is>
          <t>8606000-64ASDF-0035</t>
        </is>
      </c>
      <c r="AQ15" s="65" t="inlineStr">
        <is>
          <t>8606000-64ASDF-0035</t>
        </is>
      </c>
      <c r="AS15" t="inlineStr">
        <is>
          <t>SPEC999015\833-08</t>
        </is>
      </c>
      <c r="AT15" t="inlineStr">
        <is>
          <t>B1-CFB</t>
        </is>
      </c>
      <c r="AX15" t="inlineStr">
        <is>
          <t>CARESCAPE - B450\SNT22232026SA\449294</t>
        </is>
      </c>
      <c r="AY15" t="inlineStr">
        <is>
          <t>FABIUS TRIO\8606000-64ASDF-0035\402485</t>
        </is>
      </c>
      <c r="BH15" t="n">
        <v>19200</v>
      </c>
      <c r="BI15" t="n">
        <v>9600</v>
      </c>
      <c r="BM15" t="inlineStr">
        <is>
          <t>E81</t>
        </is>
      </c>
      <c r="BN15" t="inlineStr">
        <is>
          <t>N81</t>
        </is>
      </c>
      <c r="BY15" t="inlineStr">
        <is>
          <t>Ran POSTINSTALL, boxe</t>
        </is>
      </c>
      <c r="BZ15" t="inlineStr">
        <is>
          <t>In Storage</t>
        </is>
      </c>
      <c r="CA15" t="inlineStr">
        <is>
          <t>iPro
Epic Satellite
ALLSCRIPTS
EPIC BCA</t>
        </is>
      </c>
      <c r="CD15">
        <f>IF($Y15="","",IF((IF(AND($BR15&lt;&gt;"Yes",$BR15&lt;&gt;"N/A"),"Power Cable, ","")&amp;IF(AND($BS15&lt;&gt;"Yes",$BS15&lt;&gt;"N/A"),"Battery, ","")&amp;IF(AND($AD15&lt;&gt;"Yes",$AD15&lt;&gt;"N/A"),"Firmware Download, ","")&amp;IF(AND(OR($AD15="Yes",$AD15="N/A"),$AE15&lt;&gt;"Yes",$AE15&lt;&gt;"N/A"),"Firmware Install, ","")&amp;IF(AND($CB15&lt;&gt;"Yes",$CB15&lt;&gt;"N/A"),"Device ID, ","")&amp;IF(AND($CC15&lt;&gt;"Yes",$CC15&lt;&gt;"N/A"),"Epic Beans Relay, ",""))="","",LEFT(IF(AND($BR15&lt;&gt;"Yes",$BR15&lt;&gt;"N/A"),"Power Cable, ","")&amp;IF(AND($BS15&lt;&gt;"Yes",$BS15&lt;&gt;"N/A"),"Battery, ","")&amp;IF(AND($AD15&lt;&gt;"Yes",$AD15&lt;&gt;"N/A"),"Firmware Download, ","")&amp;IF(AND(OR($AD15="Yes",$AD15="N/A"),$AE15&lt;&gt;"Yes",$AE15&lt;&gt;"N/A"),"Firmware Install, ","")&amp;IF(AND($CB15&lt;&gt;"Yes",$CB15&lt;&gt;"N/A"),"Device ID, ","")&amp;IF(AND($CC15&lt;&gt;"Yes",$CC15&lt;&gt;"N/A"),"Epic Beans Relay, ",""),LEN(IF(AND($BR15&lt;&gt;"Yes",$BR15&lt;&gt;"N/A"),"Power Cable, ","")&amp;IF(AND($BS15&lt;&gt;"Yes",$BS15&lt;&gt;"N/A"),"Battery, ","")&amp;IF(AND($AD15&lt;&gt;"Yes",$AD15&lt;&gt;"N/A"),"Firmware Download, ","")&amp;IF(AND(OR($AD15="Yes",$AD15="N/A"),$AE15&lt;&gt;"Yes",$AE15&lt;&gt;"N/A"),"Firmware Install, ","")&amp;IF(AND($CB15&lt;&gt;"Yes",$CB15&lt;&gt;"N/A"),"Device ID, ","")&amp;IF(AND($CC15&lt;&gt;"Yes",$CC15&lt;&gt;"N/A"),"Epic Beans Relay, ",""))-2)))</f>
        <v/>
      </c>
      <c r="CE15">
        <f>IF($Y15="","",IF($CD15="","Yes","Blocked"))</f>
        <v/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n">
        <v>19200</v>
      </c>
      <c r="CP15">
        <f>IF($CO15="","",IFERROR(VLOOKUP($CO15,'01_Warehouse_Ledger'!$A:$N,4,FALSE),""))</f>
        <v/>
      </c>
      <c r="CQ15">
        <f>IF($CO15="","",IFERROR(VLOOKUP($CO15,'01_Warehouse_Ledger'!$A:$N,5,FALSE),""))</f>
        <v/>
      </c>
      <c r="CR15">
        <f>IF($CO15="","",IFERROR(VLOOKUP($CO15,'01_Warehouse_Ledger'!$A:$N,13,FALSE),""))</f>
        <v/>
      </c>
      <c r="CW15">
        <f>IF($S15="","",IF(UPPER(TRIM($S15))&lt;&gt;"PASS","",IF(LEN(TRIM($BY15))&gt;0,"NOTES_PRESENT",IF(LEN(TRIM($T15))=0,"SET_NA",IF(OR(LOWER(TRIM($T15))="na",LOWER(TRIM($T15))="n/a"),"OK","MANUAL_OVERRIDE")))))</f>
        <v/>
      </c>
    </row>
    <row r="16" ht="27.75" customHeight="1" s="91">
      <c r="A16" t="inlineStr">
        <is>
          <t>Neuron Cybernet</t>
        </is>
      </c>
      <c r="B16" t="inlineStr">
        <is>
          <t>Yes</t>
        </is>
      </c>
      <c r="C16" t="inlineStr">
        <is>
          <t>No</t>
        </is>
      </c>
      <c r="D16">
        <f>IF($B16&lt;&gt;"Yes","",IF($C16="No","Yes",IF($C16="Yes","No","")))</f>
        <v/>
      </c>
      <c r="E16">
        <f>IF($A16="","",IF(OR(AND($V16&lt;&gt;"",LOWER(TRIM($V16))&lt;&gt;"n/a",LOWER(TRIM($V16))&lt;&gt;"na",SUMPRODUCT(--(UPPER(TRIM($V$2:$V$518))=UPPER(TRIM($V16))),--(TRIM($V$2:$V$518)&lt;&gt;""),--(LOWER(TRIM($V$2:$V$518))&lt;&gt;"n/a"),--(LOWER(TRIM($V$2:$V$518))&lt;&gt;"na"))&gt;1),AND($W16&lt;&gt;"",LOWER(TRIM($W16))&lt;&gt;"n/a",LOWER(TRIM($W16))&lt;&gt;"na",SUMPRODUCT(--(UPPER(TRIM($W$2:$W$518))=UPPER(TRIM($W16))),--(TRIM($W$2:$W$518)&lt;&gt;""),--(LOWER(TRIM($W$2:$W$518))&lt;&gt;"n/a"),--(LOWER(TRIM($W$2:$W$518))&lt;&gt;"na"))&gt;1),AND($X16&lt;&gt;"",LOWER(TRIM($X16))&lt;&gt;"n/a",LOWER(TRIM($X16))&lt;&gt;"na",SUMPRODUCT(--(UPPER(TRIM($X$2:$X$518))=UPPER(TRIM($X16))),--(TRIM($X$2:$X$518)&lt;&gt;""),--(LOWER(TRIM($X$2:$X$518))&lt;&gt;"n/a"),--(LOWER(TRIM($X$2:$X$518))&lt;&gt;"na"))&gt;1),AND($Y16&lt;&gt;"",LOWER(TRIM($Y16))&lt;&gt;"n/a",LOWER(TRIM($Y16))&lt;&gt;"na",SUMPRODUCT(--(UPPER(SUBSTITUTE(SUBSTITUTE(TRIM($Y$2:$Y$518),":",""),"-",""))=UPPER(SUBSTITUTE(SUBSTITUTE(TRIM($Y16),":",""),"-",""))),--(TRIM($Y$2:$Y$518)&lt;&gt;""),--(LOWER(TRIM($Y$2:$Y$518))&lt;&gt;"n/a"),--(LOWER(TRIM($Y$2:$Y$518))&lt;&gt;"na"))&gt;1),AND($AB16&lt;&gt;"",LOWER(TRIM($AB16))&lt;&gt;"n/a",LOWER(TRIM($AB16))&lt;&gt;"na",SUMPRODUCT(--(UPPER(TRIM($AB$2:$AB$518))=UPPER(TRIM($AB16))),--(TRIM($AB$2:$AB$518)&lt;&gt;""),--(LOWER(TRIM($AB$2:$AB$518))&lt;&gt;"n/a"),--(LOWER(TRIM($AB$2:$AB$518))&lt;&gt;"na"))&gt;1),AND($AH16&lt;&gt;"",LOWER(TRIM($AH16))&lt;&gt;"n/a",LOWER(TRIM($AH16))&lt;&gt;"na",SUMPRODUCT(--(UPPER(SUBSTITUTE(SUBSTITUTE(TRIM($AH$2:$AH$518),":",""),"-",""))=UPPER(SUBSTITUTE(SUBSTITUTE(TRIM($AH16),":",""),"-",""))),--(TRIM($AH$2:$AH$518)&lt;&gt;""),--(LOWER(TRIM($AH$2:$AH$518))&lt;&gt;"n/a"),--(LOWER(TRIM($AH$2:$AH$518))&lt;&gt;"na"))&gt;1),AND($AP16&lt;&gt;"",LOWER(TRIM($AP16))&lt;&gt;"n/a",LOWER(TRIM($AP16))&lt;&gt;"na",SUMPRODUCT(--(UPPER(TRIM($AP$2:$AP$518))=UPPER(TRIM($AP16))),--(TRIM($AP$2:$AP$518)&lt;&gt;""),--(LOWER(TRIM($AP$2:$AP$518))&lt;&gt;"n/a"),--(LOWER(TRIM($AP$2:$AP$518))&lt;&gt;"na"))&gt;1),AND($AQ16&lt;&gt;"",LOWER(TRIM($AQ16))&lt;&gt;"n/a",LOWER(TRIM($AQ16))&lt;&gt;"na",SUMPRODUCT(--(UPPER(TRIM($AQ$2:$AQ$518))=UPPER(TRIM($AQ16))),--(TRIM($AQ$2:$AQ$518)&lt;&gt;""),--(LOWER(TRIM($AQ$2:$AQ$518))&lt;&gt;"n/a"),--(LOWER(TRIM($AQ$2:$AQ$518))&lt;&gt;"na"))&gt;1)),"Yes","No"))</f>
        <v/>
      </c>
      <c r="F16">
        <f>IF(UPPER(TRIM($B16))&lt;&gt;"YES","", IF(OR(AND($V16&lt;&gt;"", LOWER(TRIM($V16))&lt;&gt;"n/a", LOWER(TRIM($V16))&lt;&gt;"na", SUMPRODUCT(--(UPPER(TRIM($V$2:$V$518))=UPPER(TRIM($V16))), --(UPPER(TRIM($B$2:$B$518))="YES"), --(UPPER(TRIM($G$2:$G$518)&amp;TRIM($I$2:$I$518)&amp;TRIM($J$2:$J$518))&lt;&gt;UPPER(TRIM($G16)&amp;TRIM($I16)&amp;TRIM($J16))))&gt;0), AND($W16&lt;&gt;"", LOWER(TRIM($W16))&lt;&gt;"n/a", LOWER(TRIM($W16))&lt;&gt;"na", SUMPRODUCT(--(UPPER(TRIM($W$2:$W$518))=UPPER(TRIM($W16))), --(UPPER(TRIM($B$2:$B$518))="YES"), --(UPPER(TRIM($G$2:$G$518)&amp;TRIM($I$2:$I$518)&amp;TRIM($J$2:$J$518))&lt;&gt;UPPER(TRIM($G16)&amp;TRIM($I16)&amp;TRIM($J16))))&gt;0), AND($X16&lt;&gt;"", LOWER(TRIM($X16))&lt;&gt;"n/a", LOWER(TRIM($X16))&lt;&gt;"na", SUMPRODUCT(--(UPPER(TRIM($X$2:$X$518))=UPPER(TRIM($X16))), --(UPPER(TRIM($B$2:$B$518))="YES"), --(UPPER(TRIM($G$2:$G$518)&amp;TRIM($I$2:$I$518)&amp;TRIM($J$2:$J$518))&lt;&gt;UPPER(TRIM($G16)&amp;TRIM($I16)&amp;TRIM($J16))))&gt;0), AND($Y16&lt;&gt;"", LOWER(TRIM($Y16))&lt;&gt;"n/a", LOWER(TRIM($Y16))&lt;&gt;"na", SUMPRODUCT(--(UPPER(SUBSTITUTE(SUBSTITUTE(TRIM($Y$2:$Y$518),":",""),"-",""))=UPPER(SUBSTITUTE(SUBSTITUTE(TRIM($Y16),":",""),"-",""))), --(UPPER(TRIM($B$2:$B$518))="YES"), --(UPPER(TRIM($G$2:$G$518)&amp;TRIM($I$2:$I$518)&amp;TRIM($J$2:$J$518))&lt;&gt;UPPER(TRIM($G16)&amp;TRIM($I16)&amp;TRIM($J16))))&gt;0), AND($AB16&lt;&gt;"", LOWER(TRIM($AB16))&lt;&gt;"n/a", LOWER(TRIM($AB16))&lt;&gt;"na", SUMPRODUCT(--(UPPER(TRIM($AB$2:$AB$518))=UPPER(TRIM($AB16))), --(UPPER(TRIM($B$2:$B$518))="YES"), --(UPPER(TRIM($G$2:$G$518)&amp;TRIM($I$2:$I$518)&amp;TRIM($J$2:$J$518))&lt;&gt;UPPER(TRIM($G16)&amp;TRIM($I16)&amp;TRIM($J16))))&gt;0), AND($AH16&lt;&gt;"", LOWER(TRIM($AH16))&lt;&gt;"n/a", LOWER(TRIM($AH16))&lt;&gt;"na", SUMPRODUCT(--(UPPER(SUBSTITUTE(SUBSTITUTE(TRIM($AH$2:$AH$518),":",""),"-",""))=UPPER(SUBSTITUTE(SUBSTITUTE(TRIM($AH16),":",""),"-",""))), --(UPPER(TRIM($B$2:$B$518))="YES"), --(UPPER(TRIM($G$2:$G$518)&amp;TRIM($I$2:$I$518)&amp;TRIM($J$2:$J$518))&lt;&gt;UPPER(TRIM($G16)&amp;TRIM($I16)&amp;TRIM($J16))))&gt;0), AND($AP16&lt;&gt;"", LOWER(TRIM($AP16))&lt;&gt;"n/a", LOWER(TRIM($AP16))&lt;&gt;"na", SUMPRODUCT(--(UPPER(TRIM($AP$2:$AP$518))=UPPER(TRIM($AP16))), --(UPPER(TRIM($B$2:$B$518))="YES"), --(UPPER(TRIM($G$2:$G$518)&amp;TRIM($I$2:$I$518)&amp;TRIM($J$2:$J$518))&lt;&gt;UPPER(TRIM($G16)&amp;TRIM($I16)&amp;TRIM($J16))))&gt;0), AND($AQ16&lt;&gt;"", LOWER(TRIM($AQ16))&lt;&gt;"n/a", LOWER(TRIM($AQ16))&lt;&gt;"na", SUMPRODUCT(--(UPPER(TRIM($AQ$2:$AQ$518))=UPPER(TRIM($AQ16))), --(UPPER(TRIM($B$2:$B$518))="YES"), --(UPPER(TRIM($G$2:$G$518)&amp;TRIM($I$2:$I$518)&amp;TRIM($J$2:$J$518))&lt;&gt;UPPER(TRIM($G16)&amp;TRIM($I16)&amp;TRIM($J16))))&gt;0)), "Yes", "No"))</f>
        <v/>
      </c>
      <c r="G16" t="inlineStr">
        <is>
          <t>NSUH - PSP</t>
        </is>
      </c>
      <c r="H16" t="inlineStr">
        <is>
          <t>NSUH - PSP</t>
        </is>
      </c>
      <c r="I16" t="inlineStr">
        <is>
          <t>Main ORs - PSP - 2nd Floor</t>
        </is>
      </c>
      <c r="J16" t="inlineStr">
        <is>
          <t>ENDO 5</t>
        </is>
      </c>
      <c r="L16" s="18" t="n">
        <v>46103</v>
      </c>
      <c r="M16" t="inlineStr">
        <is>
          <t>OR iPro Cybernet Workstation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U16" t="inlineStr">
        <is>
          <t>Dr. Palilla, Timothy W. Seeberger</t>
        </is>
      </c>
      <c r="V16" t="inlineStr">
        <is>
          <t>WMH300OPR342</t>
        </is>
      </c>
      <c r="W16" t="inlineStr">
        <is>
          <t>MEDSG2425F-0165</t>
        </is>
      </c>
      <c r="X16" t="inlineStr">
        <is>
          <t>NSUH-MACH-NNN</t>
        </is>
      </c>
      <c r="Y16" t="inlineStr">
        <is>
          <t>A0F5097B8BC2</t>
        </is>
      </c>
      <c r="Z16" t="inlineStr">
        <is>
          <t>N/A</t>
        </is>
      </c>
      <c r="AB16" t="inlineStr">
        <is>
          <t>WA25203747</t>
        </is>
      </c>
      <c r="AH16" t="inlineStr">
        <is>
          <t>00:0d:05:0a:a7:43</t>
        </is>
      </c>
      <c r="AI16" t="inlineStr">
        <is>
          <t>Anesthesia Machine</t>
        </is>
      </c>
      <c r="AJ16" t="n">
        <v>60743</v>
      </c>
      <c r="AL16" t="inlineStr">
        <is>
          <t>0604-25</t>
        </is>
      </c>
      <c r="AM16" t="inlineStr">
        <is>
          <t>Drager</t>
        </is>
      </c>
      <c r="AN16" t="inlineStr">
        <is>
          <t>FABIUS GS PREMIUM</t>
        </is>
      </c>
      <c r="AP16" t="inlineStr">
        <is>
          <t>8607000-33ASBB-0049</t>
        </is>
      </c>
      <c r="AQ16" t="inlineStr">
        <is>
          <t>8607000-33ASBB-0049</t>
        </is>
      </c>
      <c r="AS16" t="inlineStr">
        <is>
          <t>B1-CFT\UPSTAIRS</t>
        </is>
      </c>
      <c r="AT16" t="inlineStr">
        <is>
          <t>B1-CFB</t>
        </is>
      </c>
      <c r="AX16" t="inlineStr">
        <is>
          <t>GE D19KT DISPLAY/DTQ181K1392\SED10132395GA\061388</t>
        </is>
      </c>
      <c r="AY16" t="inlineStr">
        <is>
          <t>FABIUS GS PREMIUM\8607000-33ASBB-0049\060743</t>
        </is>
      </c>
      <c r="BH16" t="n">
        <v>19200</v>
      </c>
      <c r="BI16" t="n">
        <v>9600</v>
      </c>
      <c r="BM16" t="inlineStr">
        <is>
          <t>E81</t>
        </is>
      </c>
      <c r="BN16" t="inlineStr">
        <is>
          <t>N81</t>
        </is>
      </c>
      <c r="BZ16" t="inlineStr">
        <is>
          <t>In Storage</t>
        </is>
      </c>
      <c r="CA16" t="inlineStr">
        <is>
          <t>iPro
Epic Satellite
ALLSCRIPTS
EPIC BCA</t>
        </is>
      </c>
      <c r="CD16">
        <f>IF($Y16="","",IF((IF(AND($BR16&lt;&gt;"Yes",$BR16&lt;&gt;"N/A"),"Power Cable, ","")&amp;IF(AND($BS16&lt;&gt;"Yes",$BS16&lt;&gt;"N/A"),"Battery, ","")&amp;IF(AND($AD16&lt;&gt;"Yes",$AD16&lt;&gt;"N/A"),"Firmware Download, ","")&amp;IF(AND(OR($AD16="Yes",$AD16="N/A"),$AE16&lt;&gt;"Yes",$AE16&lt;&gt;"N/A"),"Firmware Install, ","")&amp;IF(AND($CB16&lt;&gt;"Yes",$CB16&lt;&gt;"N/A"),"Device ID, ","")&amp;IF(AND($CC16&lt;&gt;"Yes",$CC16&lt;&gt;"N/A"),"Epic Beans Relay, ",""))="","",LEFT(IF(AND($BR16&lt;&gt;"Yes",$BR16&lt;&gt;"N/A"),"Power Cable, ","")&amp;IF(AND($BS16&lt;&gt;"Yes",$BS16&lt;&gt;"N/A"),"Battery, ","")&amp;IF(AND($AD16&lt;&gt;"Yes",$AD16&lt;&gt;"N/A"),"Firmware Download, ","")&amp;IF(AND(OR($AD16="Yes",$AD16="N/A"),$AE16&lt;&gt;"Yes",$AE16&lt;&gt;"N/A"),"Firmware Install, ","")&amp;IF(AND($CB16&lt;&gt;"Yes",$CB16&lt;&gt;"N/A"),"Device ID, ","")&amp;IF(AND($CC16&lt;&gt;"Yes",$CC16&lt;&gt;"N/A"),"Epic Beans Relay, ",""),LEN(IF(AND($BR16&lt;&gt;"Yes",$BR16&lt;&gt;"N/A"),"Power Cable, ","")&amp;IF(AND($BS16&lt;&gt;"Yes",$BS16&lt;&gt;"N/A"),"Battery, ","")&amp;IF(AND($AD16&lt;&gt;"Yes",$AD16&lt;&gt;"N/A"),"Firmware Download, ","")&amp;IF(AND(OR($AD16="Yes",$AD16="N/A"),$AE16&lt;&gt;"Yes",$AE16&lt;&gt;"N/A"),"Firmware Install, ","")&amp;IF(AND($CB16&lt;&gt;"Yes",$CB16&lt;&gt;"N/A"),"Device ID, ","")&amp;IF(AND($CC16&lt;&gt;"Yes",$CC16&lt;&gt;"N/A"),"Epic Beans Relay, ",""))-2)))</f>
        <v/>
      </c>
      <c r="CE16">
        <f>IF($Y16="","",IF($CD16="","Yes","Blocked"))</f>
        <v/>
      </c>
      <c r="CF16" t="inlineStr">
        <is>
          <t>Yes</t>
        </is>
      </c>
      <c r="CG16" t="inlineStr">
        <is>
          <t>Yes</t>
        </is>
      </c>
      <c r="CH16" t="inlineStr">
        <is>
          <t>Yes</t>
        </is>
      </c>
      <c r="CI16" t="inlineStr">
        <is>
          <t>Yes</t>
        </is>
      </c>
      <c r="CJ16" t="inlineStr">
        <is>
          <t>Yes</t>
        </is>
      </c>
      <c r="CK16" t="n">
        <v>19200</v>
      </c>
      <c r="CP16">
        <f>IF($CO16="","",IFERROR(VLOOKUP($CO16,'01_Warehouse_Ledger'!$A:$N,4,FALSE),""))</f>
        <v/>
      </c>
      <c r="CQ16">
        <f>IF($CO16="","",IFERROR(VLOOKUP($CO16,'01_Warehouse_Ledger'!$A:$N,5,FALSE),""))</f>
        <v/>
      </c>
      <c r="CR16">
        <f>IF($CO16="","",IFERROR(VLOOKUP($CO16,'01_Warehouse_Ledger'!$A:$N,13,FALSE),""))</f>
        <v/>
      </c>
      <c r="CT16" s="22" t="inlineStr">
        <is>
          <t>WMH300ANS025</t>
        </is>
      </c>
      <c r="CU16" s="22" t="n"/>
      <c r="CV16" s="22" t="n"/>
      <c r="CW16">
        <f>IF($S16="","",IF(UPPER(TRIM($S16))&lt;&gt;"PASS","",IF(LEN(TRIM($BY16))&gt;0,"NOTES_PRESENT",IF(LEN(TRIM($T16))=0,"SET_NA",IF(OR(LOWER(TRIM($T16))="na",LOWER(TRIM($T16))="n/a"),"OK","MANUAL_OVERRIDE")))))</f>
        <v/>
      </c>
    </row>
    <row r="17">
      <c r="A17" t="inlineStr">
        <is>
          <t>Neuron Cybernet</t>
        </is>
      </c>
      <c r="B17" s="51" t="inlineStr">
        <is>
          <t>Yes</t>
        </is>
      </c>
      <c r="C17" t="inlineStr">
        <is>
          <t>Yes</t>
        </is>
      </c>
      <c r="D17">
        <f>IF($B17&lt;&gt;"Yes","",IF($C17="No","Yes",IF($C17="Yes","No","")))</f>
        <v/>
      </c>
      <c r="E17">
        <f>IF($A17="","",IF(OR(AND($V17&lt;&gt;"",LOWER(TRIM($V17))&lt;&gt;"n/a",LOWER(TRIM($V17))&lt;&gt;"na",SUMPRODUCT(--(UPPER(TRIM($V$2:$V$518))=UPPER(TRIM($V17))),--(TRIM($V$2:$V$518)&lt;&gt;""),--(LOWER(TRIM($V$2:$V$518))&lt;&gt;"n/a"),--(LOWER(TRIM($V$2:$V$518))&lt;&gt;"na"))&gt;1),AND($W17&lt;&gt;"",LOWER(TRIM($W17))&lt;&gt;"n/a",LOWER(TRIM($W17))&lt;&gt;"na",SUMPRODUCT(--(UPPER(TRIM($W$2:$W$518))=UPPER(TRIM($W17))),--(TRIM($W$2:$W$518)&lt;&gt;""),--(LOWER(TRIM($W$2:$W$518))&lt;&gt;"n/a"),--(LOWER(TRIM($W$2:$W$518))&lt;&gt;"na"))&gt;1),AND($X17&lt;&gt;"",LOWER(TRIM($X17))&lt;&gt;"n/a",LOWER(TRIM($X17))&lt;&gt;"na",SUMPRODUCT(--(UPPER(TRIM($X$2:$X$518))=UPPER(TRIM($X17))),--(TRIM($X$2:$X$518)&lt;&gt;""),--(LOWER(TRIM($X$2:$X$518))&lt;&gt;"n/a"),--(LOWER(TRIM($X$2:$X$518))&lt;&gt;"na"))&gt;1),AND($Y17&lt;&gt;"",LOWER(TRIM($Y17))&lt;&gt;"n/a",LOWER(TRIM($Y17))&lt;&gt;"na",SUMPRODUCT(--(UPPER(SUBSTITUTE(SUBSTITUTE(TRIM($Y$2:$Y$518),":",""),"-",""))=UPPER(SUBSTITUTE(SUBSTITUTE(TRIM($Y17),":",""),"-",""))),--(TRIM($Y$2:$Y$518)&lt;&gt;""),--(LOWER(TRIM($Y$2:$Y$518))&lt;&gt;"n/a"),--(LOWER(TRIM($Y$2:$Y$518))&lt;&gt;"na"))&gt;1),AND($AB17&lt;&gt;"",LOWER(TRIM($AB17))&lt;&gt;"n/a",LOWER(TRIM($AB17))&lt;&gt;"na",SUMPRODUCT(--(UPPER(TRIM($AB$2:$AB$518))=UPPER(TRIM($AB17))),--(TRIM($AB$2:$AB$518)&lt;&gt;""),--(LOWER(TRIM($AB$2:$AB$518))&lt;&gt;"n/a"),--(LOWER(TRIM($AB$2:$AB$518))&lt;&gt;"na"))&gt;1),AND($AH17&lt;&gt;"",LOWER(TRIM($AH17))&lt;&gt;"n/a",LOWER(TRIM($AH17))&lt;&gt;"na",SUMPRODUCT(--(UPPER(SUBSTITUTE(SUBSTITUTE(TRIM($AH$2:$AH$518),":",""),"-",""))=UPPER(SUBSTITUTE(SUBSTITUTE(TRIM($AH17),":",""),"-",""))),--(TRIM($AH$2:$AH$518)&lt;&gt;""),--(LOWER(TRIM($AH$2:$AH$518))&lt;&gt;"n/a"),--(LOWER(TRIM($AH$2:$AH$518))&lt;&gt;"na"))&gt;1),AND($AP17&lt;&gt;"",LOWER(TRIM($AP17))&lt;&gt;"n/a",LOWER(TRIM($AP17))&lt;&gt;"na",SUMPRODUCT(--(UPPER(TRIM($AP$2:$AP$518))=UPPER(TRIM($AP17))),--(TRIM($AP$2:$AP$518)&lt;&gt;""),--(LOWER(TRIM($AP$2:$AP$518))&lt;&gt;"n/a"),--(LOWER(TRIM($AP$2:$AP$518))&lt;&gt;"na"))&gt;1),AND($AQ17&lt;&gt;"",LOWER(TRIM($AQ17))&lt;&gt;"n/a",LOWER(TRIM($AQ17))&lt;&gt;"na",SUMPRODUCT(--(UPPER(TRIM($AQ$2:$AQ$518))=UPPER(TRIM($AQ17))),--(TRIM($AQ$2:$AQ$518)&lt;&gt;""),--(LOWER(TRIM($AQ$2:$AQ$518))&lt;&gt;"n/a"),--(LOWER(TRIM($AQ$2:$AQ$518))&lt;&gt;"na"))&gt;1)),"Yes","No"))</f>
        <v/>
      </c>
      <c r="F17">
        <f>IF(UPPER(TRIM($B17))&lt;&gt;"YES","", IF(OR(AND($V17&lt;&gt;"", LOWER(TRIM($V17))&lt;&gt;"n/a", LOWER(TRIM($V17))&lt;&gt;"na", SUMPRODUCT(--(UPPER(TRIM($V$2:$V$518))=UPPER(TRIM($V17))), --(UPPER(TRIM($B$2:$B$518))="YES"), --(UPPER(TRIM($G$2:$G$518)&amp;TRIM($I$2:$I$518)&amp;TRIM($J$2:$J$518))&lt;&gt;UPPER(TRIM($G17)&amp;TRIM($I17)&amp;TRIM($J17))))&gt;0), AND($W17&lt;&gt;"", LOWER(TRIM($W17))&lt;&gt;"n/a", LOWER(TRIM($W17))&lt;&gt;"na", SUMPRODUCT(--(UPPER(TRIM($W$2:$W$518))=UPPER(TRIM($W17))), --(UPPER(TRIM($B$2:$B$518))="YES"), --(UPPER(TRIM($G$2:$G$518)&amp;TRIM($I$2:$I$518)&amp;TRIM($J$2:$J$518))&lt;&gt;UPPER(TRIM($G17)&amp;TRIM($I17)&amp;TRIM($J17))))&gt;0), AND($X17&lt;&gt;"", LOWER(TRIM($X17))&lt;&gt;"n/a", LOWER(TRIM($X17))&lt;&gt;"na", SUMPRODUCT(--(UPPER(TRIM($X$2:$X$518))=UPPER(TRIM($X17))), --(UPPER(TRIM($B$2:$B$518))="YES"), --(UPPER(TRIM($G$2:$G$518)&amp;TRIM($I$2:$I$518)&amp;TRIM($J$2:$J$518))&lt;&gt;UPPER(TRIM($G17)&amp;TRIM($I17)&amp;TRIM($J17))))&gt;0), AND($Y17&lt;&gt;"", LOWER(TRIM($Y17))&lt;&gt;"n/a", LOWER(TRIM($Y17))&lt;&gt;"na", SUMPRODUCT(--(UPPER(SUBSTITUTE(SUBSTITUTE(TRIM($Y$2:$Y$518),":",""),"-",""))=UPPER(SUBSTITUTE(SUBSTITUTE(TRIM($Y17),":",""),"-",""))), --(UPPER(TRIM($B$2:$B$518))="YES"), --(UPPER(TRIM($G$2:$G$518)&amp;TRIM($I$2:$I$518)&amp;TRIM($J$2:$J$518))&lt;&gt;UPPER(TRIM($G17)&amp;TRIM($I17)&amp;TRIM($J17))))&gt;0), AND($AB17&lt;&gt;"", LOWER(TRIM($AB17))&lt;&gt;"n/a", LOWER(TRIM($AB17))&lt;&gt;"na", SUMPRODUCT(--(UPPER(TRIM($AB$2:$AB$518))=UPPER(TRIM($AB17))), --(UPPER(TRIM($B$2:$B$518))="YES"), --(UPPER(TRIM($G$2:$G$518)&amp;TRIM($I$2:$I$518)&amp;TRIM($J$2:$J$518))&lt;&gt;UPPER(TRIM($G17)&amp;TRIM($I17)&amp;TRIM($J17))))&gt;0), AND($AH17&lt;&gt;"", LOWER(TRIM($AH17))&lt;&gt;"n/a", LOWER(TRIM($AH17))&lt;&gt;"na", SUMPRODUCT(--(UPPER(SUBSTITUTE(SUBSTITUTE(TRIM($AH$2:$AH$518),":",""),"-",""))=UPPER(SUBSTITUTE(SUBSTITUTE(TRIM($AH17),":",""),"-",""))), --(UPPER(TRIM($B$2:$B$518))="YES"), --(UPPER(TRIM($G$2:$G$518)&amp;TRIM($I$2:$I$518)&amp;TRIM($J$2:$J$518))&lt;&gt;UPPER(TRIM($G17)&amp;TRIM($I17)&amp;TRIM($J17))))&gt;0), AND($AP17&lt;&gt;"", LOWER(TRIM($AP17))&lt;&gt;"n/a", LOWER(TRIM($AP17))&lt;&gt;"na", SUMPRODUCT(--(UPPER(TRIM($AP$2:$AP$518))=UPPER(TRIM($AP17))), --(UPPER(TRIM($B$2:$B$518))="YES"), --(UPPER(TRIM($G$2:$G$518)&amp;TRIM($I$2:$I$518)&amp;TRIM($J$2:$J$518))&lt;&gt;UPPER(TRIM($G17)&amp;TRIM($I17)&amp;TRIM($J17))))&gt;0), AND($AQ17&lt;&gt;"", LOWER(TRIM($AQ17))&lt;&gt;"n/a", LOWER(TRIM($AQ17))&lt;&gt;"na", SUMPRODUCT(--(UPPER(TRIM($AQ$2:$AQ$518))=UPPER(TRIM($AQ17))), --(UPPER(TRIM($B$2:$B$518))="YES"), --(UPPER(TRIM($G$2:$G$518)&amp;TRIM($I$2:$I$518)&amp;TRIM($J$2:$J$518))&lt;&gt;UPPER(TRIM($G17)&amp;TRIM($I17)&amp;TRIM($J17))))&gt;0)), "Yes", "No"))</f>
        <v/>
      </c>
      <c r="G17" t="inlineStr">
        <is>
          <t>NSUH - ENDO</t>
        </is>
      </c>
      <c r="H17" t="inlineStr">
        <is>
          <t>NSUH - ENDO</t>
        </is>
      </c>
      <c r="I17" t="inlineStr">
        <is>
          <t>NSUH - ENDO</t>
        </is>
      </c>
      <c r="J17" t="inlineStr">
        <is>
          <t>ENDO 2</t>
        </is>
      </c>
      <c r="K17" t="inlineStr">
        <is>
          <t>n/a</t>
        </is>
      </c>
      <c r="L17" s="18" t="n">
        <v>46103</v>
      </c>
      <c r="S17" t="inlineStr">
        <is>
          <t>Pass</t>
        </is>
      </c>
      <c r="U17" t="inlineStr">
        <is>
          <t>Dr. Palilla, Timothy W. Seeberger</t>
        </is>
      </c>
      <c r="V17" t="inlineStr">
        <is>
          <t>WMH300OPR353</t>
        </is>
      </c>
      <c r="W17" t="inlineStr">
        <is>
          <t>MEDNG2425E-3742</t>
        </is>
      </c>
      <c r="X17" t="inlineStr">
        <is>
          <t>NSUH-MACH-M</t>
        </is>
      </c>
      <c r="Y17" t="inlineStr">
        <is>
          <t>A0F5097FE0CC</t>
        </is>
      </c>
      <c r="AB17" t="inlineStr">
        <is>
          <t>WA24406369</t>
        </is>
      </c>
      <c r="AH17" t="inlineStr">
        <is>
          <t>000D050AB465</t>
        </is>
      </c>
      <c r="AI17" t="inlineStr">
        <is>
          <t>Anesthesia Machine</t>
        </is>
      </c>
      <c r="AJ17" t="n">
        <v>443776</v>
      </c>
      <c r="AL17" t="n">
        <v>7041075</v>
      </c>
      <c r="AM17" t="inlineStr">
        <is>
          <t>DRAGER</t>
        </is>
      </c>
      <c r="AN17" t="inlineStr">
        <is>
          <t>FABIUS GS PREMIUM</t>
        </is>
      </c>
      <c r="AP17" s="65" t="inlineStr">
        <is>
          <t>01040486750414671119071121ASMH-0014938607000-73</t>
        </is>
      </c>
      <c r="AQ17" s="65" t="inlineStr">
        <is>
          <t>01040486750414671119071121ASMH-0014938607000-73</t>
        </is>
      </c>
      <c r="AS17" t="inlineStr">
        <is>
          <t>SPEC999015\833-08</t>
        </is>
      </c>
      <c r="AT17" t="inlineStr">
        <is>
          <t>B1-CFB</t>
        </is>
      </c>
      <c r="AX17" t="inlineStr">
        <is>
          <t>CARESCAPE B450\SNT22232019SA\449301</t>
        </is>
      </c>
      <c r="AY17" t="inlineStr">
        <is>
          <t>FABIUS GS PREMIUM\01040486750414671119071121ASMH-0014938607000-73\443776</t>
        </is>
      </c>
      <c r="BH17" t="n">
        <v>19200</v>
      </c>
      <c r="BI17" t="n">
        <v>9600</v>
      </c>
      <c r="BM17" t="inlineStr">
        <is>
          <t>E81</t>
        </is>
      </c>
      <c r="BN17" t="inlineStr">
        <is>
          <t>N81</t>
        </is>
      </c>
      <c r="CD17">
        <f>IF($Y17="","",IF((IF(AND($BR17&lt;&gt;"Yes",$BR17&lt;&gt;"N/A"),"Power Cable, ","")&amp;IF(AND($BS17&lt;&gt;"Yes",$BS17&lt;&gt;"N/A"),"Battery, ","")&amp;IF(AND($AD17&lt;&gt;"Yes",$AD17&lt;&gt;"N/A"),"Firmware Download, ","")&amp;IF(AND(OR($AD17="Yes",$AD17="N/A"),$AE17&lt;&gt;"Yes",$AE17&lt;&gt;"N/A"),"Firmware Install, ","")&amp;IF(AND($CB17&lt;&gt;"Yes",$CB17&lt;&gt;"N/A"),"Device ID, ","")&amp;IF(AND($CC17&lt;&gt;"Yes",$CC17&lt;&gt;"N/A"),"Epic Beans Relay, ",""))="","",LEFT(IF(AND($BR17&lt;&gt;"Yes",$BR17&lt;&gt;"N/A"),"Power Cable, ","")&amp;IF(AND($BS17&lt;&gt;"Yes",$BS17&lt;&gt;"N/A"),"Battery, ","")&amp;IF(AND($AD17&lt;&gt;"Yes",$AD17&lt;&gt;"N/A"),"Firmware Download, ","")&amp;IF(AND(OR($AD17="Yes",$AD17="N/A"),$AE17&lt;&gt;"Yes",$AE17&lt;&gt;"N/A"),"Firmware Install, ","")&amp;IF(AND($CB17&lt;&gt;"Yes",$CB17&lt;&gt;"N/A"),"Device ID, ","")&amp;IF(AND($CC17&lt;&gt;"Yes",$CC17&lt;&gt;"N/A"),"Epic Beans Relay, ",""),LEN(IF(AND($BR17&lt;&gt;"Yes",$BR17&lt;&gt;"N/A"),"Power Cable, ","")&amp;IF(AND($BS17&lt;&gt;"Yes",$BS17&lt;&gt;"N/A"),"Battery, ","")&amp;IF(AND($AD17&lt;&gt;"Yes",$AD17&lt;&gt;"N/A"),"Firmware Download, ","")&amp;IF(AND(OR($AD17="Yes",$AD17="N/A"),$AE17&lt;&gt;"Yes",$AE17&lt;&gt;"N/A"),"Firmware Install, ","")&amp;IF(AND($CB17&lt;&gt;"Yes",$CB17&lt;&gt;"N/A"),"Device ID, ","")&amp;IF(AND($CC17&lt;&gt;"Yes",$CC17&lt;&gt;"N/A"),"Epic Beans Relay, ",""))-2)))</f>
        <v/>
      </c>
      <c r="CE17">
        <f>IF($Y17="","",IF($CD17="","Yes","Blocked"))</f>
        <v/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Yes</t>
        </is>
      </c>
      <c r="CR17" t="inlineStr">
        <is>
          <t>Yes</t>
        </is>
      </c>
      <c r="CS17" t="inlineStr">
        <is>
          <t>Yes</t>
        </is>
      </c>
      <c r="CT17" t="inlineStr">
        <is>
          <t>NSW10MH300ANS53 old tangent IN OR 2</t>
        </is>
      </c>
      <c r="CW17">
        <f>IF($S17="","",IF(UPPER(TRIM($S17))&lt;&gt;"PASS","",IF(LEN(TRIM($BY17))&gt;0,"NOTES_PRESENT",IF(LEN(TRIM($T17))=0,"SET_NA",IF(OR(LOWER(TRIM($T17))="na",LOWER(TRIM($T17))="n/a"),"OK","MANUAL_OVERRIDE")))))</f>
        <v/>
      </c>
    </row>
    <row r="18">
      <c r="A18" t="inlineStr">
        <is>
          <t>Neuron Cybernet</t>
        </is>
      </c>
      <c r="B18" s="51" t="inlineStr">
        <is>
          <t>Yes</t>
        </is>
      </c>
      <c r="C18" t="inlineStr">
        <is>
          <t>Yes</t>
        </is>
      </c>
      <c r="D18">
        <f>IF($B18&lt;&gt;"Yes","",IF($C18="No","Yes",IF($C18="Yes","No","")))</f>
        <v/>
      </c>
      <c r="E18">
        <f>IF($A18="","",IF(OR(AND($V18&lt;&gt;"",LOWER(TRIM($V18))&lt;&gt;"n/a",LOWER(TRIM($V18))&lt;&gt;"na",SUMPRODUCT(--(UPPER(TRIM($V$2:$V$518))=UPPER(TRIM($V18))),--(TRIM($V$2:$V$518)&lt;&gt;""),--(LOWER(TRIM($V$2:$V$518))&lt;&gt;"n/a"),--(LOWER(TRIM($V$2:$V$518))&lt;&gt;"na"))&gt;1),AND($W18&lt;&gt;"",LOWER(TRIM($W18))&lt;&gt;"n/a",LOWER(TRIM($W18))&lt;&gt;"na",SUMPRODUCT(--(UPPER(TRIM($W$2:$W$518))=UPPER(TRIM($W18))),--(TRIM($W$2:$W$518)&lt;&gt;""),--(LOWER(TRIM($W$2:$W$518))&lt;&gt;"n/a"),--(LOWER(TRIM($W$2:$W$518))&lt;&gt;"na"))&gt;1),AND($X18&lt;&gt;"",LOWER(TRIM($X18))&lt;&gt;"n/a",LOWER(TRIM($X18))&lt;&gt;"na",SUMPRODUCT(--(UPPER(TRIM($X$2:$X$518))=UPPER(TRIM($X18))),--(TRIM($X$2:$X$518)&lt;&gt;""),--(LOWER(TRIM($X$2:$X$518))&lt;&gt;"n/a"),--(LOWER(TRIM($X$2:$X$518))&lt;&gt;"na"))&gt;1),AND($Y18&lt;&gt;"",LOWER(TRIM($Y18))&lt;&gt;"n/a",LOWER(TRIM($Y18))&lt;&gt;"na",SUMPRODUCT(--(UPPER(SUBSTITUTE(SUBSTITUTE(TRIM($Y$2:$Y$518),":",""),"-",""))=UPPER(SUBSTITUTE(SUBSTITUTE(TRIM($Y18),":",""),"-",""))),--(TRIM($Y$2:$Y$518)&lt;&gt;""),--(LOWER(TRIM($Y$2:$Y$518))&lt;&gt;"n/a"),--(LOWER(TRIM($Y$2:$Y$518))&lt;&gt;"na"))&gt;1),AND($AB18&lt;&gt;"",LOWER(TRIM($AB18))&lt;&gt;"n/a",LOWER(TRIM($AB18))&lt;&gt;"na",SUMPRODUCT(--(UPPER(TRIM($AB$2:$AB$518))=UPPER(TRIM($AB18))),--(TRIM($AB$2:$AB$518)&lt;&gt;""),--(LOWER(TRIM($AB$2:$AB$518))&lt;&gt;"n/a"),--(LOWER(TRIM($AB$2:$AB$518))&lt;&gt;"na"))&gt;1),AND($AH18&lt;&gt;"",LOWER(TRIM($AH18))&lt;&gt;"n/a",LOWER(TRIM($AH18))&lt;&gt;"na",SUMPRODUCT(--(UPPER(SUBSTITUTE(SUBSTITUTE(TRIM($AH$2:$AH$518),":",""),"-",""))=UPPER(SUBSTITUTE(SUBSTITUTE(TRIM($AH18),":",""),"-",""))),--(TRIM($AH$2:$AH$518)&lt;&gt;""),--(LOWER(TRIM($AH$2:$AH$518))&lt;&gt;"n/a"),--(LOWER(TRIM($AH$2:$AH$518))&lt;&gt;"na"))&gt;1),AND($AP18&lt;&gt;"",LOWER(TRIM($AP18))&lt;&gt;"n/a",LOWER(TRIM($AP18))&lt;&gt;"na",SUMPRODUCT(--(UPPER(TRIM($AP$2:$AP$518))=UPPER(TRIM($AP18))),--(TRIM($AP$2:$AP$518)&lt;&gt;""),--(LOWER(TRIM($AP$2:$AP$518))&lt;&gt;"n/a"),--(LOWER(TRIM($AP$2:$AP$518))&lt;&gt;"na"))&gt;1),AND($AQ18&lt;&gt;"",LOWER(TRIM($AQ18))&lt;&gt;"n/a",LOWER(TRIM($AQ18))&lt;&gt;"na",SUMPRODUCT(--(UPPER(TRIM($AQ$2:$AQ$518))=UPPER(TRIM($AQ18))),--(TRIM($AQ$2:$AQ$518)&lt;&gt;""),--(LOWER(TRIM($AQ$2:$AQ$518))&lt;&gt;"n/a"),--(LOWER(TRIM($AQ$2:$AQ$518))&lt;&gt;"na"))&gt;1)),"Yes","No"))</f>
        <v/>
      </c>
      <c r="F18">
        <f>IF(UPPER(TRIM($B18))&lt;&gt;"YES","", IF(OR(AND($V18&lt;&gt;"", LOWER(TRIM($V18))&lt;&gt;"n/a", LOWER(TRIM($V18))&lt;&gt;"na", SUMPRODUCT(--(UPPER(TRIM($V$2:$V$518))=UPPER(TRIM($V18))), --(UPPER(TRIM($B$2:$B$518))="YES"), --(UPPER(TRIM($G$2:$G$518)&amp;TRIM($I$2:$I$518)&amp;TRIM($J$2:$J$518))&lt;&gt;UPPER(TRIM($G18)&amp;TRIM($I18)&amp;TRIM($J18))))&gt;0), AND($W18&lt;&gt;"", LOWER(TRIM($W18))&lt;&gt;"n/a", LOWER(TRIM($W18))&lt;&gt;"na", SUMPRODUCT(--(UPPER(TRIM($W$2:$W$518))=UPPER(TRIM($W18))), --(UPPER(TRIM($B$2:$B$518))="YES"), --(UPPER(TRIM($G$2:$G$518)&amp;TRIM($I$2:$I$518)&amp;TRIM($J$2:$J$518))&lt;&gt;UPPER(TRIM($G18)&amp;TRIM($I18)&amp;TRIM($J18))))&gt;0), AND($X18&lt;&gt;"", LOWER(TRIM($X18))&lt;&gt;"n/a", LOWER(TRIM($X18))&lt;&gt;"na", SUMPRODUCT(--(UPPER(TRIM($X$2:$X$518))=UPPER(TRIM($X18))), --(UPPER(TRIM($B$2:$B$518))="YES"), --(UPPER(TRIM($G$2:$G$518)&amp;TRIM($I$2:$I$518)&amp;TRIM($J$2:$J$518))&lt;&gt;UPPER(TRIM($G18)&amp;TRIM($I18)&amp;TRIM($J18))))&gt;0), AND($Y18&lt;&gt;"", LOWER(TRIM($Y18))&lt;&gt;"n/a", LOWER(TRIM($Y18))&lt;&gt;"na", SUMPRODUCT(--(UPPER(SUBSTITUTE(SUBSTITUTE(TRIM($Y$2:$Y$518),":",""),"-",""))=UPPER(SUBSTITUTE(SUBSTITUTE(TRIM($Y18),":",""),"-",""))), --(UPPER(TRIM($B$2:$B$518))="YES"), --(UPPER(TRIM($G$2:$G$518)&amp;TRIM($I$2:$I$518)&amp;TRIM($J$2:$J$518))&lt;&gt;UPPER(TRIM($G18)&amp;TRIM($I18)&amp;TRIM($J18))))&gt;0), AND($AB18&lt;&gt;"", LOWER(TRIM($AB18))&lt;&gt;"n/a", LOWER(TRIM($AB18))&lt;&gt;"na", SUMPRODUCT(--(UPPER(TRIM($AB$2:$AB$518))=UPPER(TRIM($AB18))), --(UPPER(TRIM($B$2:$B$518))="YES"), --(UPPER(TRIM($G$2:$G$518)&amp;TRIM($I$2:$I$518)&amp;TRIM($J$2:$J$518))&lt;&gt;UPPER(TRIM($G18)&amp;TRIM($I18)&amp;TRIM($J18))))&gt;0), AND($AH18&lt;&gt;"", LOWER(TRIM($AH18))&lt;&gt;"n/a", LOWER(TRIM($AH18))&lt;&gt;"na", SUMPRODUCT(--(UPPER(SUBSTITUTE(SUBSTITUTE(TRIM($AH$2:$AH$518),":",""),"-",""))=UPPER(SUBSTITUTE(SUBSTITUTE(TRIM($AH18),":",""),"-",""))), --(UPPER(TRIM($B$2:$B$518))="YES"), --(UPPER(TRIM($G$2:$G$518)&amp;TRIM($I$2:$I$518)&amp;TRIM($J$2:$J$518))&lt;&gt;UPPER(TRIM($G18)&amp;TRIM($I18)&amp;TRIM($J18))))&gt;0), AND($AP18&lt;&gt;"", LOWER(TRIM($AP18))&lt;&gt;"n/a", LOWER(TRIM($AP18))&lt;&gt;"na", SUMPRODUCT(--(UPPER(TRIM($AP$2:$AP$518))=UPPER(TRIM($AP18))), --(UPPER(TRIM($B$2:$B$518))="YES"), --(UPPER(TRIM($G$2:$G$518)&amp;TRIM($I$2:$I$518)&amp;TRIM($J$2:$J$518))&lt;&gt;UPPER(TRIM($G18)&amp;TRIM($I18)&amp;TRIM($J18))))&gt;0), AND($AQ18&lt;&gt;"", LOWER(TRIM($AQ18))&lt;&gt;"n/a", LOWER(TRIM($AQ18))&lt;&gt;"na", SUMPRODUCT(--(UPPER(TRIM($AQ$2:$AQ$518))=UPPER(TRIM($AQ18))), --(UPPER(TRIM($B$2:$B$518))="YES"), --(UPPER(TRIM($G$2:$G$518)&amp;TRIM($I$2:$I$518)&amp;TRIM($J$2:$J$518))&lt;&gt;UPPER(TRIM($G18)&amp;TRIM($I18)&amp;TRIM($J18))))&gt;0)), "Yes", "No"))</f>
        <v/>
      </c>
      <c r="G18" t="inlineStr">
        <is>
          <t>NSUH - PSP</t>
        </is>
      </c>
      <c r="H18" t="inlineStr">
        <is>
          <t>NSUH - PSP</t>
        </is>
      </c>
      <c r="I18" t="inlineStr">
        <is>
          <t>Main ORs - PSP - 2nd Floor</t>
        </is>
      </c>
      <c r="J18" t="inlineStr">
        <is>
          <t>L&amp;D B</t>
        </is>
      </c>
      <c r="K18" t="inlineStr">
        <is>
          <t>N/A</t>
        </is>
      </c>
      <c r="L18" s="18" t="n">
        <v>46103</v>
      </c>
      <c r="M18" t="inlineStr">
        <is>
          <t>Cybernet OR</t>
        </is>
      </c>
      <c r="S18" t="inlineStr">
        <is>
          <t>Pass</t>
        </is>
      </c>
      <c r="U18" t="inlineStr">
        <is>
          <t>Dr. Palilla, Timothy W. Seeberger</t>
        </is>
      </c>
      <c r="V18" t="inlineStr">
        <is>
          <t>WMH300OPR357</t>
        </is>
      </c>
      <c r="W18" t="inlineStr">
        <is>
          <t>MEDSG2425F-0022</t>
        </is>
      </c>
      <c r="X18" t="inlineStr">
        <is>
          <t>NSUH-MACH-E</t>
        </is>
      </c>
      <c r="Y18" t="inlineStr">
        <is>
          <t>A0F5097FE3EC</t>
        </is>
      </c>
      <c r="Z18" t="inlineStr">
        <is>
          <t>N/A</t>
        </is>
      </c>
      <c r="AB18" t="inlineStr">
        <is>
          <t>WA24406269</t>
        </is>
      </c>
      <c r="AH18" t="inlineStr">
        <is>
          <t>000D050AA887</t>
        </is>
      </c>
      <c r="AI18" t="inlineStr">
        <is>
          <t>Anesthesia Machine</t>
        </is>
      </c>
      <c r="AJ18" t="n">
        <v>404200</v>
      </c>
      <c r="AL18" t="inlineStr">
        <is>
          <t>0803466 / 0803467</t>
        </is>
      </c>
      <c r="AM18" t="inlineStr">
        <is>
          <t xml:space="preserve">Drager </t>
        </is>
      </c>
      <c r="AN18" s="65" t="inlineStr">
        <is>
          <t>Fabius GS premium</t>
        </is>
      </c>
      <c r="AP18" t="inlineStr">
        <is>
          <t>8607000-56ASEM-0032</t>
        </is>
      </c>
      <c r="AQ18" t="inlineStr">
        <is>
          <t>8607000-56ASEM-0032</t>
        </is>
      </c>
      <c r="AS18" t="inlineStr">
        <is>
          <t>B1-CFT</t>
        </is>
      </c>
      <c r="AT18" t="inlineStr">
        <is>
          <t>B1-CFB</t>
        </is>
      </c>
      <c r="AU18" t="inlineStr">
        <is>
          <t>B1-CFV</t>
        </is>
      </c>
      <c r="AX18" t="inlineStr">
        <is>
          <t>CARESCAPE Monitor B650:</t>
        </is>
      </c>
      <c r="AY18" t="inlineStr">
        <is>
          <t xml:space="preserve">Drager Fabious GS Premium </t>
        </is>
      </c>
      <c r="BC18" t="n">
        <v>448532</v>
      </c>
      <c r="BD18" t="n">
        <v>404200</v>
      </c>
      <c r="BE18" t="n">
        <v>99566</v>
      </c>
      <c r="BH18" t="n">
        <v>19200</v>
      </c>
      <c r="BI18" t="n">
        <v>9600</v>
      </c>
      <c r="BM18" t="inlineStr">
        <is>
          <t>N81</t>
        </is>
      </c>
      <c r="BN18" t="inlineStr">
        <is>
          <t>N81</t>
        </is>
      </c>
      <c r="CD18">
        <f>IF($Y18="","",IF((IF(AND($BR18&lt;&gt;"Yes",$BR18&lt;&gt;"N/A"),"Power Cable, ","")&amp;IF(AND($BS18&lt;&gt;"Yes",$BS18&lt;&gt;"N/A"),"Battery, ","")&amp;IF(AND($AD18&lt;&gt;"Yes",$AD18&lt;&gt;"N/A"),"Firmware Download, ","")&amp;IF(AND(OR($AD18="Yes",$AD18="N/A"),$AE18&lt;&gt;"Yes",$AE18&lt;&gt;"N/A"),"Firmware Install, ","")&amp;IF(AND($CB18&lt;&gt;"Yes",$CB18&lt;&gt;"N/A"),"Device ID, ","")&amp;IF(AND($CC18&lt;&gt;"Yes",$CC18&lt;&gt;"N/A"),"Epic Beans Relay, ",""))="","",LEFT(IF(AND($BR18&lt;&gt;"Yes",$BR18&lt;&gt;"N/A"),"Power Cable, ","")&amp;IF(AND($BS18&lt;&gt;"Yes",$BS18&lt;&gt;"N/A"),"Battery, ","")&amp;IF(AND($AD18&lt;&gt;"Yes",$AD18&lt;&gt;"N/A"),"Firmware Download, ","")&amp;IF(AND(OR($AD18="Yes",$AD18="N/A"),$AE18&lt;&gt;"Yes",$AE18&lt;&gt;"N/A"),"Firmware Install, ","")&amp;IF(AND($CB18&lt;&gt;"Yes",$CB18&lt;&gt;"N/A"),"Device ID, ","")&amp;IF(AND($CC18&lt;&gt;"Yes",$CC18&lt;&gt;"N/A"),"Epic Beans Relay, ",""),LEN(IF(AND($BR18&lt;&gt;"Yes",$BR18&lt;&gt;"N/A"),"Power Cable, ","")&amp;IF(AND($BS18&lt;&gt;"Yes",$BS18&lt;&gt;"N/A"),"Battery, ","")&amp;IF(AND($AD18&lt;&gt;"Yes",$AD18&lt;&gt;"N/A"),"Firmware Download, ","")&amp;IF(AND(OR($AD18="Yes",$AD18="N/A"),$AE18&lt;&gt;"Yes",$AE18&lt;&gt;"N/A"),"Firmware Install, ","")&amp;IF(AND($CB18&lt;&gt;"Yes",$CB18&lt;&gt;"N/A"),"Device ID, ","")&amp;IF(AND($CC18&lt;&gt;"Yes",$CC18&lt;&gt;"N/A"),"Epic Beans Relay, ",""))-2)))</f>
        <v/>
      </c>
      <c r="CE18">
        <f>IF($Y18="","",IF($CD18="","Yes","Blocked"))</f>
        <v/>
      </c>
      <c r="CF18" t="inlineStr">
        <is>
          <t>Yes</t>
        </is>
      </c>
      <c r="CG18" t="inlineStr">
        <is>
          <t>Yes</t>
        </is>
      </c>
      <c r="CH18" t="inlineStr">
        <is>
          <t>Yes</t>
        </is>
      </c>
      <c r="CI18" t="inlineStr">
        <is>
          <t>Yes</t>
        </is>
      </c>
      <c r="CJ18" t="inlineStr">
        <is>
          <t>Yes</t>
        </is>
      </c>
      <c r="CK18" t="inlineStr">
        <is>
          <t>Yes</t>
        </is>
      </c>
      <c r="CL18" t="inlineStr">
        <is>
          <t>Yes</t>
        </is>
      </c>
      <c r="CM18" t="inlineStr">
        <is>
          <t>Yes</t>
        </is>
      </c>
      <c r="CN18" t="inlineStr">
        <is>
          <t>Yes</t>
        </is>
      </c>
      <c r="CO18" t="inlineStr">
        <is>
          <t>Yes</t>
        </is>
      </c>
      <c r="CP18" t="inlineStr">
        <is>
          <t>Yes</t>
        </is>
      </c>
      <c r="CQ18" t="inlineStr">
        <is>
          <t>Yes</t>
        </is>
      </c>
      <c r="CR18" t="inlineStr">
        <is>
          <t>Yes</t>
        </is>
      </c>
      <c r="CS18" t="inlineStr">
        <is>
          <t>Yes</t>
        </is>
      </c>
      <c r="CT18" t="inlineStr">
        <is>
          <t>NSW10MH300ANS??</t>
        </is>
      </c>
      <c r="CW18">
        <f>IF($S18="","",IF(UPPER(TRIM($S18))&lt;&gt;"PASS","",IF(LEN(TRIM($BY18))&gt;0,"NOTES_PRESENT",IF(LEN(TRIM($T18))=0,"SET_NA",IF(OR(LOWER(TRIM($T18))="na",LOWER(TRIM($T18))="n/a"),"OK","MANUAL_OVERRIDE")))))</f>
        <v/>
      </c>
    </row>
    <row r="19">
      <c r="A19" t="inlineStr">
        <is>
          <t>Neuron Cybernet</t>
        </is>
      </c>
      <c r="B19" s="51" t="inlineStr">
        <is>
          <t>Yes</t>
        </is>
      </c>
      <c r="C19" t="inlineStr">
        <is>
          <t>Yes</t>
        </is>
      </c>
      <c r="D19">
        <f>IF($B19&lt;&gt;"Yes","",IF($C19="No","Yes",IF($C19="Yes","No","")))</f>
        <v/>
      </c>
      <c r="E19">
        <f>IF($A19="","",IF(OR(AND($V19&lt;&gt;"",LOWER(TRIM($V19))&lt;&gt;"n/a",LOWER(TRIM($V19))&lt;&gt;"na",SUMPRODUCT(--(UPPER(TRIM($V$2:$V$518))=UPPER(TRIM($V19))),--(TRIM($V$2:$V$518)&lt;&gt;""),--(LOWER(TRIM($V$2:$V$518))&lt;&gt;"n/a"),--(LOWER(TRIM($V$2:$V$518))&lt;&gt;"na"))&gt;1),AND($W19&lt;&gt;"",LOWER(TRIM($W19))&lt;&gt;"n/a",LOWER(TRIM($W19))&lt;&gt;"na",SUMPRODUCT(--(UPPER(TRIM($W$2:$W$518))=UPPER(TRIM($W19))),--(TRIM($W$2:$W$518)&lt;&gt;""),--(LOWER(TRIM($W$2:$W$518))&lt;&gt;"n/a"),--(LOWER(TRIM($W$2:$W$518))&lt;&gt;"na"))&gt;1),AND($X19&lt;&gt;"",LOWER(TRIM($X19))&lt;&gt;"n/a",LOWER(TRIM($X19))&lt;&gt;"na",SUMPRODUCT(--(UPPER(TRIM($X$2:$X$518))=UPPER(TRIM($X19))),--(TRIM($X$2:$X$518)&lt;&gt;""),--(LOWER(TRIM($X$2:$X$518))&lt;&gt;"n/a"),--(LOWER(TRIM($X$2:$X$518))&lt;&gt;"na"))&gt;1),AND($Y19&lt;&gt;"",LOWER(TRIM($Y19))&lt;&gt;"n/a",LOWER(TRIM($Y19))&lt;&gt;"na",SUMPRODUCT(--(UPPER(SUBSTITUTE(SUBSTITUTE(TRIM($Y$2:$Y$518),":",""),"-",""))=UPPER(SUBSTITUTE(SUBSTITUTE(TRIM($Y19),":",""),"-",""))),--(TRIM($Y$2:$Y$518)&lt;&gt;""),--(LOWER(TRIM($Y$2:$Y$518))&lt;&gt;"n/a"),--(LOWER(TRIM($Y$2:$Y$518))&lt;&gt;"na"))&gt;1),AND($AB19&lt;&gt;"",LOWER(TRIM($AB19))&lt;&gt;"n/a",LOWER(TRIM($AB19))&lt;&gt;"na",SUMPRODUCT(--(UPPER(TRIM($AB$2:$AB$518))=UPPER(TRIM($AB19))),--(TRIM($AB$2:$AB$518)&lt;&gt;""),--(LOWER(TRIM($AB$2:$AB$518))&lt;&gt;"n/a"),--(LOWER(TRIM($AB$2:$AB$518))&lt;&gt;"na"))&gt;1),AND($AH19&lt;&gt;"",LOWER(TRIM($AH19))&lt;&gt;"n/a",LOWER(TRIM($AH19))&lt;&gt;"na",SUMPRODUCT(--(UPPER(SUBSTITUTE(SUBSTITUTE(TRIM($AH$2:$AH$518),":",""),"-",""))=UPPER(SUBSTITUTE(SUBSTITUTE(TRIM($AH19),":",""),"-",""))),--(TRIM($AH$2:$AH$518)&lt;&gt;""),--(LOWER(TRIM($AH$2:$AH$518))&lt;&gt;"n/a"),--(LOWER(TRIM($AH$2:$AH$518))&lt;&gt;"na"))&gt;1),AND($AP19&lt;&gt;"",LOWER(TRIM($AP19))&lt;&gt;"n/a",LOWER(TRIM($AP19))&lt;&gt;"na",SUMPRODUCT(--(UPPER(TRIM($AP$2:$AP$518))=UPPER(TRIM($AP19))),--(TRIM($AP$2:$AP$518)&lt;&gt;""),--(LOWER(TRIM($AP$2:$AP$518))&lt;&gt;"n/a"),--(LOWER(TRIM($AP$2:$AP$518))&lt;&gt;"na"))&gt;1),AND($AQ19&lt;&gt;"",LOWER(TRIM($AQ19))&lt;&gt;"n/a",LOWER(TRIM($AQ19))&lt;&gt;"na",SUMPRODUCT(--(UPPER(TRIM($AQ$2:$AQ$518))=UPPER(TRIM($AQ19))),--(TRIM($AQ$2:$AQ$518)&lt;&gt;""),--(LOWER(TRIM($AQ$2:$AQ$518))&lt;&gt;"n/a"),--(LOWER(TRIM($AQ$2:$AQ$518))&lt;&gt;"na"))&gt;1)),"Yes","No"))</f>
        <v/>
      </c>
      <c r="F19">
        <f>IF(UPPER(TRIM($B19))&lt;&gt;"YES","", IF(OR(AND($V19&lt;&gt;"", LOWER(TRIM($V19))&lt;&gt;"n/a", LOWER(TRIM($V19))&lt;&gt;"na", SUMPRODUCT(--(UPPER(TRIM($V$2:$V$518))=UPPER(TRIM($V19))), --(UPPER(TRIM($B$2:$B$518))="YES"), --(UPPER(TRIM($G$2:$G$518)&amp;TRIM($I$2:$I$518)&amp;TRIM($J$2:$J$518))&lt;&gt;UPPER(TRIM($G19)&amp;TRIM($I19)&amp;TRIM($J19))))&gt;0), AND($W19&lt;&gt;"", LOWER(TRIM($W19))&lt;&gt;"n/a", LOWER(TRIM($W19))&lt;&gt;"na", SUMPRODUCT(--(UPPER(TRIM($W$2:$W$518))=UPPER(TRIM($W19))), --(UPPER(TRIM($B$2:$B$518))="YES"), --(UPPER(TRIM($G$2:$G$518)&amp;TRIM($I$2:$I$518)&amp;TRIM($J$2:$J$518))&lt;&gt;UPPER(TRIM($G19)&amp;TRIM($I19)&amp;TRIM($J19))))&gt;0), AND($X19&lt;&gt;"", LOWER(TRIM($X19))&lt;&gt;"n/a", LOWER(TRIM($X19))&lt;&gt;"na", SUMPRODUCT(--(UPPER(TRIM($X$2:$X$518))=UPPER(TRIM($X19))), --(UPPER(TRIM($B$2:$B$518))="YES"), --(UPPER(TRIM($G$2:$G$518)&amp;TRIM($I$2:$I$518)&amp;TRIM($J$2:$J$518))&lt;&gt;UPPER(TRIM($G19)&amp;TRIM($I19)&amp;TRIM($J19))))&gt;0), AND($Y19&lt;&gt;"", LOWER(TRIM($Y19))&lt;&gt;"n/a", LOWER(TRIM($Y19))&lt;&gt;"na", SUMPRODUCT(--(UPPER(SUBSTITUTE(SUBSTITUTE(TRIM($Y$2:$Y$518),":",""),"-",""))=UPPER(SUBSTITUTE(SUBSTITUTE(TRIM($Y19),":",""),"-",""))), --(UPPER(TRIM($B$2:$B$518))="YES"), --(UPPER(TRIM($G$2:$G$518)&amp;TRIM($I$2:$I$518)&amp;TRIM($J$2:$J$518))&lt;&gt;UPPER(TRIM($G19)&amp;TRIM($I19)&amp;TRIM($J19))))&gt;0), AND($AB19&lt;&gt;"", LOWER(TRIM($AB19))&lt;&gt;"n/a", LOWER(TRIM($AB19))&lt;&gt;"na", SUMPRODUCT(--(UPPER(TRIM($AB$2:$AB$518))=UPPER(TRIM($AB19))), --(UPPER(TRIM($B$2:$B$518))="YES"), --(UPPER(TRIM($G$2:$G$518)&amp;TRIM($I$2:$I$518)&amp;TRIM($J$2:$J$518))&lt;&gt;UPPER(TRIM($G19)&amp;TRIM($I19)&amp;TRIM($J19))))&gt;0), AND($AH19&lt;&gt;"", LOWER(TRIM($AH19))&lt;&gt;"n/a", LOWER(TRIM($AH19))&lt;&gt;"na", SUMPRODUCT(--(UPPER(SUBSTITUTE(SUBSTITUTE(TRIM($AH$2:$AH$518),":",""),"-",""))=UPPER(SUBSTITUTE(SUBSTITUTE(TRIM($AH19),":",""),"-",""))), --(UPPER(TRIM($B$2:$B$518))="YES"), --(UPPER(TRIM($G$2:$G$518)&amp;TRIM($I$2:$I$518)&amp;TRIM($J$2:$J$518))&lt;&gt;UPPER(TRIM($G19)&amp;TRIM($I19)&amp;TRIM($J19))))&gt;0), AND($AP19&lt;&gt;"", LOWER(TRIM($AP19))&lt;&gt;"n/a", LOWER(TRIM($AP19))&lt;&gt;"na", SUMPRODUCT(--(UPPER(TRIM($AP$2:$AP$518))=UPPER(TRIM($AP19))), --(UPPER(TRIM($B$2:$B$518))="YES"), --(UPPER(TRIM($G$2:$G$518)&amp;TRIM($I$2:$I$518)&amp;TRIM($J$2:$J$518))&lt;&gt;UPPER(TRIM($G19)&amp;TRIM($I19)&amp;TRIM($J19))))&gt;0), AND($AQ19&lt;&gt;"", LOWER(TRIM($AQ19))&lt;&gt;"n/a", LOWER(TRIM($AQ19))&lt;&gt;"na", SUMPRODUCT(--(UPPER(TRIM($AQ$2:$AQ$518))=UPPER(TRIM($AQ19))), --(UPPER(TRIM($B$2:$B$518))="YES"), --(UPPER(TRIM($G$2:$G$518)&amp;TRIM($I$2:$I$518)&amp;TRIM($J$2:$J$518))&lt;&gt;UPPER(TRIM($G19)&amp;TRIM($I19)&amp;TRIM($J19))))&gt;0)), "Yes", "No"))</f>
        <v/>
      </c>
      <c r="G19" t="inlineStr">
        <is>
          <t>NSUH - IR</t>
        </is>
      </c>
      <c r="H19" t="inlineStr">
        <is>
          <t>NSUH - IR</t>
        </is>
      </c>
      <c r="I19" t="inlineStr">
        <is>
          <t>NSUH - IR</t>
        </is>
      </c>
      <c r="J19" t="inlineStr">
        <is>
          <t>IR 1 / Procedure 1</t>
        </is>
      </c>
      <c r="K19" t="inlineStr">
        <is>
          <t>n/a</t>
        </is>
      </c>
      <c r="L19" s="18" t="n">
        <v>46103</v>
      </c>
      <c r="M19" t="inlineStr">
        <is>
          <t>or cybernet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Inpatient</t>
        </is>
      </c>
      <c r="U19" t="inlineStr">
        <is>
          <t>Dr. Palilla, Timothy W. Seeberger</t>
        </is>
      </c>
      <c r="V19" t="inlineStr">
        <is>
          <t>WMH300OPR382</t>
        </is>
      </c>
      <c r="W19" t="inlineStr">
        <is>
          <t>MEDSG2425F-0176</t>
        </is>
      </c>
      <c r="X19" t="inlineStr">
        <is>
          <t>NSUH-MACH-III</t>
        </is>
      </c>
      <c r="Y19" t="inlineStr">
        <is>
          <t>A0F5097FDF2F</t>
        </is>
      </c>
      <c r="AB19" t="inlineStr">
        <is>
          <t>WA24406136</t>
        </is>
      </c>
      <c r="AC19" t="inlineStr">
        <is>
          <t>NSUH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I19" t="inlineStr">
        <is>
          <t>Anesthesia Machine</t>
        </is>
      </c>
      <c r="AJ19" t="n">
        <v>460041</v>
      </c>
      <c r="AL19" t="inlineStr">
        <is>
          <t>4101-367 / 4101-888</t>
        </is>
      </c>
      <c r="AM19" t="inlineStr">
        <is>
          <t xml:space="preserve">Drager </t>
        </is>
      </c>
      <c r="AN19" t="inlineStr">
        <is>
          <t>FABIUS GS PREMIUM</t>
        </is>
      </c>
      <c r="AP19" t="inlineStr">
        <is>
          <t>01040486750414671119071121ASMH-0010938607000-73</t>
        </is>
      </c>
      <c r="AQ19" t="inlineStr">
        <is>
          <t>01040486750414671119071121ASMH-0010938607000-73</t>
        </is>
      </c>
      <c r="AS19" t="inlineStr">
        <is>
          <t>GE Canvas 1000: 833-08, SPEC999015 / GE G1500213: 133-08C, GE B850</t>
        </is>
      </c>
      <c r="AT19" t="inlineStr">
        <is>
          <t>B1-CFB</t>
        </is>
      </c>
      <c r="AX19" t="inlineStr">
        <is>
          <t>GE Canvas 1000: 859SA / 010019527852232021STN24362859SA11240906</t>
        </is>
      </c>
      <c r="AY19" t="inlineStr">
        <is>
          <t>01040486750414671119071121ASMH-0010938607000-73</t>
        </is>
      </c>
      <c r="BC19" t="n">
        <v>460041</v>
      </c>
      <c r="BD19" t="n">
        <v>443809</v>
      </c>
      <c r="BH19" t="n">
        <v>19200</v>
      </c>
      <c r="BI19" t="n">
        <v>9600</v>
      </c>
      <c r="BM19" t="inlineStr">
        <is>
          <t>E81</t>
        </is>
      </c>
      <c r="BN19" t="inlineStr">
        <is>
          <t>N81</t>
        </is>
      </c>
      <c r="CD19">
        <f>IF($Y19="","",IF((IF(AND($BR19&lt;&gt;"Yes",$BR19&lt;&gt;"N/A"),"Power Cable, ","")&amp;IF(AND($BS19&lt;&gt;"Yes",$BS19&lt;&gt;"N/A"),"Battery, ","")&amp;IF(AND($AD19&lt;&gt;"Yes",$AD19&lt;&gt;"N/A"),"Firmware Download, ","")&amp;IF(AND(OR($AD19="Yes",$AD19="N/A"),$AE19&lt;&gt;"Yes",$AE19&lt;&gt;"N/A"),"Firmware Install, ","")&amp;IF(AND($CB19&lt;&gt;"Yes",$CB19&lt;&gt;"N/A"),"Device ID, ","")&amp;IF(AND($CC19&lt;&gt;"Yes",$CC19&lt;&gt;"N/A"),"Epic Beans Relay, ",""))="","",LEFT(IF(AND($BR19&lt;&gt;"Yes",$BR19&lt;&gt;"N/A"),"Power Cable, ","")&amp;IF(AND($BS19&lt;&gt;"Yes",$BS19&lt;&gt;"N/A"),"Battery, ","")&amp;IF(AND($AD19&lt;&gt;"Yes",$AD19&lt;&gt;"N/A"),"Firmware Download, ","")&amp;IF(AND(OR($AD19="Yes",$AD19="N/A"),$AE19&lt;&gt;"Yes",$AE19&lt;&gt;"N/A"),"Firmware Install, ","")&amp;IF(AND($CB19&lt;&gt;"Yes",$CB19&lt;&gt;"N/A"),"Device ID, ","")&amp;IF(AND($CC19&lt;&gt;"Yes",$CC19&lt;&gt;"N/A"),"Epic Beans Relay, ",""),LEN(IF(AND($BR19&lt;&gt;"Yes",$BR19&lt;&gt;"N/A"),"Power Cable, ","")&amp;IF(AND($BS19&lt;&gt;"Yes",$BS19&lt;&gt;"N/A"),"Battery, ","")&amp;IF(AND($AD19&lt;&gt;"Yes",$AD19&lt;&gt;"N/A"),"Firmware Download, ","")&amp;IF(AND(OR($AD19="Yes",$AD19="N/A"),$AE19&lt;&gt;"Yes",$AE19&lt;&gt;"N/A"),"Firmware Install, ","")&amp;IF(AND($CB19&lt;&gt;"Yes",$CB19&lt;&gt;"N/A"),"Device ID, ","")&amp;IF(AND($CC19&lt;&gt;"Yes",$CC19&lt;&gt;"N/A"),"Epic Beans Relay, ",""))-2)))</f>
        <v/>
      </c>
      <c r="CE19">
        <f>IF($Y19="","",IF($CD19="","Yes","Blocked"))</f>
        <v/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W19">
        <f>IF($S19="","",IF(UPPER(TRIM($S19))&lt;&gt;"PASS","",IF(LEN(TRIM($BY19))&gt;0,"NOTES_PRESENT",IF(LEN(TRIM($T19))=0,"SET_NA",IF(OR(LOWER(TRIM($T19))="na",LOWER(TRIM($T19))="n/a"),"OK","MANUAL_OVERRIDE")))))</f>
        <v/>
      </c>
    </row>
    <row r="20" customFormat="1" s="62">
      <c r="A20" s="60" t="inlineStr">
        <is>
          <t>Neuron Cybernet</t>
        </is>
      </c>
      <c r="B20" s="61" t="inlineStr">
        <is>
          <t>Yes</t>
        </is>
      </c>
      <c r="C20" s="62" t="inlineStr">
        <is>
          <t>Yes</t>
        </is>
      </c>
      <c r="D20" s="62">
        <f>IF($B20&lt;&gt;"Yes","",IF($C20="No","Yes",IF($C20="Yes","No","")))</f>
        <v/>
      </c>
      <c r="E20" s="62">
        <f>IF($A20="","",IF(OR(AND($V20&lt;&gt;"",LOWER(TRIM($V20))&lt;&gt;"n/a",LOWER(TRIM($V20))&lt;&gt;"na",SUMPRODUCT(--(UPPER(TRIM($V$2:$V$518))=UPPER(TRIM($V20))),--(TRIM($V$2:$V$518)&lt;&gt;""),--(LOWER(TRIM($V$2:$V$518))&lt;&gt;"n/a"),--(LOWER(TRIM($V$2:$V$518))&lt;&gt;"na"))&gt;1),AND($W20&lt;&gt;"",LOWER(TRIM($W20))&lt;&gt;"n/a",LOWER(TRIM($W20))&lt;&gt;"na",SUMPRODUCT(--(UPPER(TRIM($W$2:$W$518))=UPPER(TRIM($W20))),--(TRIM($W$2:$W$518)&lt;&gt;""),--(LOWER(TRIM($W$2:$W$518))&lt;&gt;"n/a"),--(LOWER(TRIM($W$2:$W$518))&lt;&gt;"na"))&gt;1),AND($X20&lt;&gt;"",LOWER(TRIM($X20))&lt;&gt;"n/a",LOWER(TRIM($X20))&lt;&gt;"na",SUMPRODUCT(--(UPPER(TRIM($X$2:$X$518))=UPPER(TRIM($X20))),--(TRIM($X$2:$X$518)&lt;&gt;""),--(LOWER(TRIM($X$2:$X$518))&lt;&gt;"n/a"),--(LOWER(TRIM($X$2:$X$518))&lt;&gt;"na"))&gt;1),AND($Y20&lt;&gt;"",LOWER(TRIM($Y20))&lt;&gt;"n/a",LOWER(TRIM($Y20))&lt;&gt;"na",SUMPRODUCT(--(UPPER(SUBSTITUTE(SUBSTITUTE(TRIM($Y$2:$Y$518),":",""),"-",""))=UPPER(SUBSTITUTE(SUBSTITUTE(TRIM($Y20),":",""),"-",""))),--(TRIM($Y$2:$Y$518)&lt;&gt;""),--(LOWER(TRIM($Y$2:$Y$518))&lt;&gt;"n/a"),--(LOWER(TRIM($Y$2:$Y$518))&lt;&gt;"na"))&gt;1),AND($AB20&lt;&gt;"",LOWER(TRIM($AB20))&lt;&gt;"n/a",LOWER(TRIM($AB20))&lt;&gt;"na",SUMPRODUCT(--(UPPER(TRIM($AB$2:$AB$518))=UPPER(TRIM($AB20))),--(TRIM($AB$2:$AB$518)&lt;&gt;""),--(LOWER(TRIM($AB$2:$AB$518))&lt;&gt;"n/a"),--(LOWER(TRIM($AB$2:$AB$518))&lt;&gt;"na"))&gt;1),AND($AH20&lt;&gt;"",LOWER(TRIM($AH20))&lt;&gt;"n/a",LOWER(TRIM($AH20))&lt;&gt;"na",SUMPRODUCT(--(UPPER(SUBSTITUTE(SUBSTITUTE(TRIM($AH$2:$AH$518),":",""),"-",""))=UPPER(SUBSTITUTE(SUBSTITUTE(TRIM($AH20),":",""),"-",""))),--(TRIM($AH$2:$AH$518)&lt;&gt;""),--(LOWER(TRIM($AH$2:$AH$518))&lt;&gt;"n/a"),--(LOWER(TRIM($AH$2:$AH$518))&lt;&gt;"na"))&gt;1),AND($AP20&lt;&gt;"",LOWER(TRIM($AP20))&lt;&gt;"n/a",LOWER(TRIM($AP20))&lt;&gt;"na",SUMPRODUCT(--(UPPER(TRIM($AP$2:$AP$518))=UPPER(TRIM($AP20))),--(TRIM($AP$2:$AP$518)&lt;&gt;""),--(LOWER(TRIM($AP$2:$AP$518))&lt;&gt;"n/a"),--(LOWER(TRIM($AP$2:$AP$518))&lt;&gt;"na"))&gt;1),AND($AQ20&lt;&gt;"",LOWER(TRIM($AQ20))&lt;&gt;"n/a",LOWER(TRIM($AQ20))&lt;&gt;"na",SUMPRODUCT(--(UPPER(TRIM($AQ$2:$AQ$518))=UPPER(TRIM($AQ20))),--(TRIM($AQ$2:$AQ$518)&lt;&gt;""),--(LOWER(TRIM($AQ$2:$AQ$518))&lt;&gt;"n/a"),--(LOWER(TRIM($AQ$2:$AQ$518))&lt;&gt;"na"))&gt;1)),"Yes","No"))</f>
        <v/>
      </c>
      <c r="F20" s="62">
        <f>IF(UPPER(TRIM($B20))&lt;&gt;"YES","", IF(OR(AND($V20&lt;&gt;"", LOWER(TRIM($V20))&lt;&gt;"n/a", LOWER(TRIM($V20))&lt;&gt;"na", SUMPRODUCT(--(UPPER(TRIM($V$2:$V$518))=UPPER(TRIM($V20))), --(UPPER(TRIM($B$2:$B$518))="YES"), --(UPPER(TRIM($G$2:$G$518)&amp;TRIM($I$2:$I$518)&amp;TRIM($J$2:$J$518))&lt;&gt;UPPER(TRIM($G20)&amp;TRIM($I20)&amp;TRIM($J20))))&gt;0), AND($W20&lt;&gt;"", LOWER(TRIM($W20))&lt;&gt;"n/a", LOWER(TRIM($W20))&lt;&gt;"na", SUMPRODUCT(--(UPPER(TRIM($W$2:$W$518))=UPPER(TRIM($W20))), --(UPPER(TRIM($B$2:$B$518))="YES"), --(UPPER(TRIM($G$2:$G$518)&amp;TRIM($I$2:$I$518)&amp;TRIM($J$2:$J$518))&lt;&gt;UPPER(TRIM($G20)&amp;TRIM($I20)&amp;TRIM($J20))))&gt;0), AND($X20&lt;&gt;"", LOWER(TRIM($X20))&lt;&gt;"n/a", LOWER(TRIM($X20))&lt;&gt;"na", SUMPRODUCT(--(UPPER(TRIM($X$2:$X$518))=UPPER(TRIM($X20))), --(UPPER(TRIM($B$2:$B$518))="YES"), --(UPPER(TRIM($G$2:$G$518)&amp;TRIM($I$2:$I$518)&amp;TRIM($J$2:$J$518))&lt;&gt;UPPER(TRIM($G20)&amp;TRIM($I20)&amp;TRIM($J20))))&gt;0), AND($Y20&lt;&gt;"", LOWER(TRIM($Y20))&lt;&gt;"n/a", LOWER(TRIM($Y20))&lt;&gt;"na", SUMPRODUCT(--(UPPER(SUBSTITUTE(SUBSTITUTE(TRIM($Y$2:$Y$518),":",""),"-",""))=UPPER(SUBSTITUTE(SUBSTITUTE(TRIM($Y20),":",""),"-",""))), --(UPPER(TRIM($B$2:$B$518))="YES"), --(UPPER(TRIM($G$2:$G$518)&amp;TRIM($I$2:$I$518)&amp;TRIM($J$2:$J$518))&lt;&gt;UPPER(TRIM($G20)&amp;TRIM($I20)&amp;TRIM($J20))))&gt;0), AND($AB20&lt;&gt;"", LOWER(TRIM($AB20))&lt;&gt;"n/a", LOWER(TRIM($AB20))&lt;&gt;"na", SUMPRODUCT(--(UPPER(TRIM($AB$2:$AB$518))=UPPER(TRIM($AB20))), --(UPPER(TRIM($B$2:$B$518))="YES"), --(UPPER(TRIM($G$2:$G$518)&amp;TRIM($I$2:$I$518)&amp;TRIM($J$2:$J$518))&lt;&gt;UPPER(TRIM($G20)&amp;TRIM($I20)&amp;TRIM($J20))))&gt;0), AND($AH20&lt;&gt;"", LOWER(TRIM($AH20))&lt;&gt;"n/a", LOWER(TRIM($AH20))&lt;&gt;"na", SUMPRODUCT(--(UPPER(SUBSTITUTE(SUBSTITUTE(TRIM($AH$2:$AH$518),":",""),"-",""))=UPPER(SUBSTITUTE(SUBSTITUTE(TRIM($AH20),":",""),"-",""))), --(UPPER(TRIM($B$2:$B$518))="YES"), --(UPPER(TRIM($G$2:$G$518)&amp;TRIM($I$2:$I$518)&amp;TRIM($J$2:$J$518))&lt;&gt;UPPER(TRIM($G20)&amp;TRIM($I20)&amp;TRIM($J20))))&gt;0), AND($AP20&lt;&gt;"", LOWER(TRIM($AP20))&lt;&gt;"n/a", LOWER(TRIM($AP20))&lt;&gt;"na", SUMPRODUCT(--(UPPER(TRIM($AP$2:$AP$518))=UPPER(TRIM($AP20))), --(UPPER(TRIM($B$2:$B$518))="YES"), --(UPPER(TRIM($G$2:$G$518)&amp;TRIM($I$2:$I$518)&amp;TRIM($J$2:$J$518))&lt;&gt;UPPER(TRIM($G20)&amp;TRIM($I20)&amp;TRIM($J20))))&gt;0), AND($AQ20&lt;&gt;"", LOWER(TRIM($AQ20))&lt;&gt;"n/a", LOWER(TRIM($AQ20))&lt;&gt;"na", SUMPRODUCT(--(UPPER(TRIM($AQ$2:$AQ$518))=UPPER(TRIM($AQ20))), --(UPPER(TRIM($B$2:$B$518))="YES"), --(UPPER(TRIM($G$2:$G$518)&amp;TRIM($I$2:$I$518)&amp;TRIM($J$2:$J$518))&lt;&gt;UPPER(TRIM($G20)&amp;TRIM($I20)&amp;TRIM($J20))))&gt;0)), "Yes", "No"))</f>
        <v/>
      </c>
      <c r="G20" s="62" t="inlineStr">
        <is>
          <t>NSUH - IR</t>
        </is>
      </c>
      <c r="H20" s="62" t="inlineStr">
        <is>
          <t>NSUH - IR</t>
        </is>
      </c>
      <c r="I20" s="62" t="inlineStr">
        <is>
          <t>NSUH - IR</t>
        </is>
      </c>
      <c r="J20" s="62" t="inlineStr">
        <is>
          <t>PROCEDURE 3</t>
        </is>
      </c>
      <c r="L20" s="63" t="n">
        <v>46103</v>
      </c>
      <c r="M20" s="62" t="inlineStr">
        <is>
          <t>or cybernet</t>
        </is>
      </c>
      <c r="N20" s="62" t="inlineStr">
        <is>
          <t>No</t>
        </is>
      </c>
      <c r="O20" s="62" t="inlineStr">
        <is>
          <t>Yes</t>
        </is>
      </c>
      <c r="P20" s="62" t="inlineStr">
        <is>
          <t>Yes</t>
        </is>
      </c>
      <c r="Q20" s="62" t="inlineStr">
        <is>
          <t>Inpatient</t>
        </is>
      </c>
      <c r="S20" s="62" t="inlineStr">
        <is>
          <t>Pass</t>
        </is>
      </c>
      <c r="T20" s="62" t="inlineStr">
        <is>
          <t>n/a</t>
        </is>
      </c>
      <c r="U20" s="62" t="inlineStr">
        <is>
          <t>Dr. Palilla, Timothy W. Seeberger</t>
        </is>
      </c>
      <c r="V20" s="62" t="inlineStr">
        <is>
          <t>WMH300OPR383</t>
        </is>
      </c>
      <c r="W20" s="62" t="inlineStr">
        <is>
          <t>MEDSG2425F-0197</t>
        </is>
      </c>
      <c r="X20" s="62" t="inlineStr">
        <is>
          <t>NSUH-MACH-ZZ</t>
        </is>
      </c>
      <c r="Y20" s="62" t="inlineStr">
        <is>
          <t>A0F5097B8ADC</t>
        </is>
      </c>
      <c r="AB20" s="62" t="inlineStr">
        <is>
          <t>WA25203890</t>
        </is>
      </c>
      <c r="AC20" s="62" t="inlineStr">
        <is>
          <t>NSUH</t>
        </is>
      </c>
      <c r="AD20" s="62" t="inlineStr">
        <is>
          <t>Yes</t>
        </is>
      </c>
      <c r="AE20" s="62" t="inlineStr">
        <is>
          <t>Yes</t>
        </is>
      </c>
      <c r="AF20" s="62" t="inlineStr">
        <is>
          <t>Yes</t>
        </is>
      </c>
      <c r="AG20" s="62" t="inlineStr">
        <is>
          <t>Yes</t>
        </is>
      </c>
      <c r="AI20" s="62" t="inlineStr">
        <is>
          <t>Anesthesia Machine</t>
        </is>
      </c>
      <c r="AJ20" s="62" t="n">
        <v>401990</v>
      </c>
      <c r="AL20" s="62" t="inlineStr">
        <is>
          <t>882-4101-883</t>
        </is>
      </c>
      <c r="AM20" s="62" t="inlineStr">
        <is>
          <t>Drager</t>
        </is>
      </c>
      <c r="AN20" s="62" t="inlineStr">
        <is>
          <t>FABIUS GS PREMIUM</t>
        </is>
      </c>
      <c r="AO20" s="62" t="inlineStr">
        <is>
          <t>N/A</t>
        </is>
      </c>
      <c r="AP20" s="62" t="inlineStr">
        <is>
          <t>8607000-40ASCF-0157</t>
        </is>
      </c>
      <c r="AQ20" s="62" t="inlineStr">
        <is>
          <t>8607000-40ASCF-0157</t>
        </is>
      </c>
      <c r="AS20" s="62" t="inlineStr">
        <is>
          <t xml:space="preserve">b1-cft </t>
        </is>
      </c>
      <c r="AT20" s="62" t="inlineStr">
        <is>
          <t>b1-cfb</t>
        </is>
      </c>
      <c r="AU20" s="62" t="inlineStr">
        <is>
          <t>b1-cfb</t>
        </is>
      </c>
      <c r="AX20" s="62" t="inlineStr">
        <is>
          <t>carescape canvas 1000\STN24362857SA</t>
        </is>
      </c>
      <c r="AY20" s="62" t="inlineStr">
        <is>
          <t>Fabius GS premium\8607000-40ASCF-0157</t>
        </is>
      </c>
      <c r="AZ20" s="62" t="inlineStr">
        <is>
          <t>Hemosphere advanced monitor\112307102113850941</t>
        </is>
      </c>
      <c r="BC20" s="62" t="n">
        <v>460061</v>
      </c>
      <c r="BD20" s="62" t="n">
        <v>401990</v>
      </c>
      <c r="BE20" s="62" t="n">
        <v>455503</v>
      </c>
      <c r="CD20" s="62">
        <f>IF($Y20="","",IF((IF(AND($BR20&lt;&gt;"Yes",$BR20&lt;&gt;"N/A"),"Power Cable, ","")&amp;IF(AND($BS20&lt;&gt;"Yes",$BS20&lt;&gt;"N/A"),"Battery, ","")&amp;IF(AND($AD20&lt;&gt;"Yes",$AD20&lt;&gt;"N/A"),"Firmware Download, ","")&amp;IF(AND(OR($AD20="Yes",$AD20="N/A"),$AE20&lt;&gt;"Yes",$AE20&lt;&gt;"N/A"),"Firmware Install, ","")&amp;IF(AND($CB20&lt;&gt;"Yes",$CB20&lt;&gt;"N/A"),"Device ID, ","")&amp;IF(AND($CC20&lt;&gt;"Yes",$CC20&lt;&gt;"N/A"),"Epic Beans Relay, ",""))="","",LEFT(IF(AND($BR20&lt;&gt;"Yes",$BR20&lt;&gt;"N/A"),"Power Cable, ","")&amp;IF(AND($BS20&lt;&gt;"Yes",$BS20&lt;&gt;"N/A"),"Battery, ","")&amp;IF(AND($AD20&lt;&gt;"Yes",$AD20&lt;&gt;"N/A"),"Firmware Download, ","")&amp;IF(AND(OR($AD20="Yes",$AD20="N/A"),$AE20&lt;&gt;"Yes",$AE20&lt;&gt;"N/A"),"Firmware Install, ","")&amp;IF(AND($CB20&lt;&gt;"Yes",$CB20&lt;&gt;"N/A"),"Device ID, ","")&amp;IF(AND($CC20&lt;&gt;"Yes",$CC20&lt;&gt;"N/A"),"Epic Beans Relay, ",""),LEN(IF(AND($BR20&lt;&gt;"Yes",$BR20&lt;&gt;"N/A"),"Power Cable, ","")&amp;IF(AND($BS20&lt;&gt;"Yes",$BS20&lt;&gt;"N/A"),"Battery, ","")&amp;IF(AND($AD20&lt;&gt;"Yes",$AD20&lt;&gt;"N/A"),"Firmware Download, ","")&amp;IF(AND(OR($AD20="Yes",$AD20="N/A"),$AE20&lt;&gt;"Yes",$AE20&lt;&gt;"N/A"),"Firmware Install, ","")&amp;IF(AND($CB20&lt;&gt;"Yes",$CB20&lt;&gt;"N/A"),"Device ID, ","")&amp;IF(AND($CC20&lt;&gt;"Yes",$CC20&lt;&gt;"N/A"),"Epic Beans Relay, ",""))-2)))</f>
        <v/>
      </c>
      <c r="CE20" s="62">
        <f>IF($Y20="","",IF($CD20="","Yes","Blocked"))</f>
        <v/>
      </c>
      <c r="CF20" s="62" t="inlineStr">
        <is>
          <t>Yes</t>
        </is>
      </c>
      <c r="CG20" s="62" t="inlineStr">
        <is>
          <t>Yes</t>
        </is>
      </c>
      <c r="CH20" s="62" t="inlineStr">
        <is>
          <t>Yes</t>
        </is>
      </c>
      <c r="CI20" s="62" t="inlineStr">
        <is>
          <t>Yes</t>
        </is>
      </c>
      <c r="CJ20" s="62" t="inlineStr">
        <is>
          <t>Yes</t>
        </is>
      </c>
      <c r="CK20" s="62" t="inlineStr">
        <is>
          <t>Yes</t>
        </is>
      </c>
      <c r="CL20" s="62" t="inlineStr">
        <is>
          <t>Yes</t>
        </is>
      </c>
      <c r="CM20" s="62" t="inlineStr">
        <is>
          <t>Yes</t>
        </is>
      </c>
      <c r="CN20" s="62" t="inlineStr">
        <is>
          <t>Yes</t>
        </is>
      </c>
      <c r="CO20" s="62" t="inlineStr">
        <is>
          <t>Yes</t>
        </is>
      </c>
      <c r="CP20" s="62" t="inlineStr">
        <is>
          <t>Yes</t>
        </is>
      </c>
      <c r="CQ20" s="62" t="inlineStr">
        <is>
          <t>Yes</t>
        </is>
      </c>
      <c r="CR20" s="62" t="inlineStr">
        <is>
          <t>Yes</t>
        </is>
      </c>
      <c r="CS20" s="62" t="inlineStr">
        <is>
          <t>Yes</t>
        </is>
      </c>
      <c r="CW20">
        <f>IF($S20="","",IF(UPPER(TRIM($S20))&lt;&gt;"PASS","",IF(LEN(TRIM($BY20))&gt;0,"NOTES_PRESENT",IF(LEN(TRIM($T20))=0,"SET_NA",IF(OR(LOWER(TRIM($T20))="na",LOWER(TRIM($T20))="n/a"),"OK","MANUAL_OVERRIDE")))))</f>
        <v/>
      </c>
    </row>
    <row r="21">
      <c r="A21" t="inlineStr">
        <is>
          <t>Neuron Cybernet</t>
        </is>
      </c>
      <c r="B21" t="inlineStr">
        <is>
          <t>Yes</t>
        </is>
      </c>
      <c r="C21" t="inlineStr">
        <is>
          <t>Yes</t>
        </is>
      </c>
      <c r="D21">
        <f>IF($B21&lt;&gt;"Yes","",IF($C21="No","Yes",IF($C21="Yes","No","")))</f>
        <v/>
      </c>
      <c r="E21">
        <f>IF($A21="","",IF(OR(AND($V21&lt;&gt;"",LOWER(TRIM($V21))&lt;&gt;"n/a",LOWER(TRIM($V21))&lt;&gt;"na",SUMPRODUCT(--(UPPER(TRIM($V$2:$V$518))=UPPER(TRIM($V21))),--(TRIM($V$2:$V$518)&lt;&gt;""),--(LOWER(TRIM($V$2:$V$518))&lt;&gt;"n/a"),--(LOWER(TRIM($V$2:$V$518))&lt;&gt;"na"))&gt;1),AND($W21&lt;&gt;"",LOWER(TRIM($W21))&lt;&gt;"n/a",LOWER(TRIM($W21))&lt;&gt;"na",SUMPRODUCT(--(UPPER(TRIM($W$2:$W$518))=UPPER(TRIM($W21))),--(TRIM($W$2:$W$518)&lt;&gt;""),--(LOWER(TRIM($W$2:$W$518))&lt;&gt;"n/a"),--(LOWER(TRIM($W$2:$W$518))&lt;&gt;"na"))&gt;1),AND($X21&lt;&gt;"",LOWER(TRIM($X21))&lt;&gt;"n/a",LOWER(TRIM($X21))&lt;&gt;"na",SUMPRODUCT(--(UPPER(TRIM($X$2:$X$518))=UPPER(TRIM($X21))),--(TRIM($X$2:$X$518)&lt;&gt;""),--(LOWER(TRIM($X$2:$X$518))&lt;&gt;"n/a"),--(LOWER(TRIM($X$2:$X$518))&lt;&gt;"na"))&gt;1),AND($Y21&lt;&gt;"",LOWER(TRIM($Y21))&lt;&gt;"n/a",LOWER(TRIM($Y21))&lt;&gt;"na",SUMPRODUCT(--(UPPER(SUBSTITUTE(SUBSTITUTE(TRIM($Y$2:$Y$518),":",""),"-",""))=UPPER(SUBSTITUTE(SUBSTITUTE(TRIM($Y21),":",""),"-",""))),--(TRIM($Y$2:$Y$518)&lt;&gt;""),--(LOWER(TRIM($Y$2:$Y$518))&lt;&gt;"n/a"),--(LOWER(TRIM($Y$2:$Y$518))&lt;&gt;"na"))&gt;1),AND($AB21&lt;&gt;"",LOWER(TRIM($AB21))&lt;&gt;"n/a",LOWER(TRIM($AB21))&lt;&gt;"na",SUMPRODUCT(--(UPPER(TRIM($AB$2:$AB$518))=UPPER(TRIM($AB21))),--(TRIM($AB$2:$AB$518)&lt;&gt;""),--(LOWER(TRIM($AB$2:$AB$518))&lt;&gt;"n/a"),--(LOWER(TRIM($AB$2:$AB$518))&lt;&gt;"na"))&gt;1),AND($AH21&lt;&gt;"",LOWER(TRIM($AH21))&lt;&gt;"n/a",LOWER(TRIM($AH21))&lt;&gt;"na",SUMPRODUCT(--(UPPER(SUBSTITUTE(SUBSTITUTE(TRIM($AH$2:$AH$518),":",""),"-",""))=UPPER(SUBSTITUTE(SUBSTITUTE(TRIM($AH21),":",""),"-",""))),--(TRIM($AH$2:$AH$518)&lt;&gt;""),--(LOWER(TRIM($AH$2:$AH$518))&lt;&gt;"n/a"),--(LOWER(TRIM($AH$2:$AH$518))&lt;&gt;"na"))&gt;1),AND($AP21&lt;&gt;"",LOWER(TRIM($AP21))&lt;&gt;"n/a",LOWER(TRIM($AP21))&lt;&gt;"na",SUMPRODUCT(--(UPPER(TRIM($AP$2:$AP$518))=UPPER(TRIM($AP21))),--(TRIM($AP$2:$AP$518)&lt;&gt;""),--(LOWER(TRIM($AP$2:$AP$518))&lt;&gt;"n/a"),--(LOWER(TRIM($AP$2:$AP$518))&lt;&gt;"na"))&gt;1),AND($AQ21&lt;&gt;"",LOWER(TRIM($AQ21))&lt;&gt;"n/a",LOWER(TRIM($AQ21))&lt;&gt;"na",SUMPRODUCT(--(UPPER(TRIM($AQ$2:$AQ$518))=UPPER(TRIM($AQ21))),--(TRIM($AQ$2:$AQ$518)&lt;&gt;""),--(LOWER(TRIM($AQ$2:$AQ$518))&lt;&gt;"n/a"),--(LOWER(TRIM($AQ$2:$AQ$518))&lt;&gt;"na"))&gt;1)),"Yes","No"))</f>
        <v/>
      </c>
      <c r="F21">
        <f>IF(UPPER(TRIM($B21))&lt;&gt;"YES","", IF(OR(AND($V21&lt;&gt;"", LOWER(TRIM($V21))&lt;&gt;"n/a", LOWER(TRIM($V21))&lt;&gt;"na", SUMPRODUCT(--(UPPER(TRIM($V$2:$V$518))=UPPER(TRIM($V21))), --(UPPER(TRIM($B$2:$B$518))="YES"), --(UPPER(TRIM($G$2:$G$518)&amp;TRIM($I$2:$I$518)&amp;TRIM($J$2:$J$518))&lt;&gt;UPPER(TRIM($G21)&amp;TRIM($I21)&amp;TRIM($J21))))&gt;0), AND($W21&lt;&gt;"", LOWER(TRIM($W21))&lt;&gt;"n/a", LOWER(TRIM($W21))&lt;&gt;"na", SUMPRODUCT(--(UPPER(TRIM($W$2:$W$518))=UPPER(TRIM($W21))), --(UPPER(TRIM($B$2:$B$518))="YES"), --(UPPER(TRIM($G$2:$G$518)&amp;TRIM($I$2:$I$518)&amp;TRIM($J$2:$J$518))&lt;&gt;UPPER(TRIM($G21)&amp;TRIM($I21)&amp;TRIM($J21))))&gt;0), AND($X21&lt;&gt;"", LOWER(TRIM($X21))&lt;&gt;"n/a", LOWER(TRIM($X21))&lt;&gt;"na", SUMPRODUCT(--(UPPER(TRIM($X$2:$X$518))=UPPER(TRIM($X21))), --(UPPER(TRIM($B$2:$B$518))="YES"), --(UPPER(TRIM($G$2:$G$518)&amp;TRIM($I$2:$I$518)&amp;TRIM($J$2:$J$518))&lt;&gt;UPPER(TRIM($G21)&amp;TRIM($I21)&amp;TRIM($J21))))&gt;0), AND($Y21&lt;&gt;"", LOWER(TRIM($Y21))&lt;&gt;"n/a", LOWER(TRIM($Y21))&lt;&gt;"na", SUMPRODUCT(--(UPPER(SUBSTITUTE(SUBSTITUTE(TRIM($Y$2:$Y$518),":",""),"-",""))=UPPER(SUBSTITUTE(SUBSTITUTE(TRIM($Y21),":",""),"-",""))), --(UPPER(TRIM($B$2:$B$518))="YES"), --(UPPER(TRIM($G$2:$G$518)&amp;TRIM($I$2:$I$518)&amp;TRIM($J$2:$J$518))&lt;&gt;UPPER(TRIM($G21)&amp;TRIM($I21)&amp;TRIM($J21))))&gt;0), AND($AB21&lt;&gt;"", LOWER(TRIM($AB21))&lt;&gt;"n/a", LOWER(TRIM($AB21))&lt;&gt;"na", SUMPRODUCT(--(UPPER(TRIM($AB$2:$AB$518))=UPPER(TRIM($AB21))), --(UPPER(TRIM($B$2:$B$518))="YES"), --(UPPER(TRIM($G$2:$G$518)&amp;TRIM($I$2:$I$518)&amp;TRIM($J$2:$J$518))&lt;&gt;UPPER(TRIM($G21)&amp;TRIM($I21)&amp;TRIM($J21))))&gt;0), AND($AH21&lt;&gt;"", LOWER(TRIM($AH21))&lt;&gt;"n/a", LOWER(TRIM($AH21))&lt;&gt;"na", SUMPRODUCT(--(UPPER(SUBSTITUTE(SUBSTITUTE(TRIM($AH$2:$AH$518),":",""),"-",""))=UPPER(SUBSTITUTE(SUBSTITUTE(TRIM($AH21),":",""),"-",""))), --(UPPER(TRIM($B$2:$B$518))="YES"), --(UPPER(TRIM($G$2:$G$518)&amp;TRIM($I$2:$I$518)&amp;TRIM($J$2:$J$518))&lt;&gt;UPPER(TRIM($G21)&amp;TRIM($I21)&amp;TRIM($J21))))&gt;0), AND($AP21&lt;&gt;"", LOWER(TRIM($AP21))&lt;&gt;"n/a", LOWER(TRIM($AP21))&lt;&gt;"na", SUMPRODUCT(--(UPPER(TRIM($AP$2:$AP$518))=UPPER(TRIM($AP21))), --(UPPER(TRIM($B$2:$B$518))="YES"), --(UPPER(TRIM($G$2:$G$518)&amp;TRIM($I$2:$I$518)&amp;TRIM($J$2:$J$518))&lt;&gt;UPPER(TRIM($G21)&amp;TRIM($I21)&amp;TRIM($J21))))&gt;0), AND($AQ21&lt;&gt;"", LOWER(TRIM($AQ21))&lt;&gt;"n/a", LOWER(TRIM($AQ21))&lt;&gt;"na", SUMPRODUCT(--(UPPER(TRIM($AQ$2:$AQ$518))=UPPER(TRIM($AQ21))), --(UPPER(TRIM($B$2:$B$518))="YES"), --(UPPER(TRIM($G$2:$G$518)&amp;TRIM($I$2:$I$518)&amp;TRIM($J$2:$J$518))&lt;&gt;UPPER(TRIM($G21)&amp;TRIM($I21)&amp;TRIM($J21))))&gt;0)), "Yes", "No"))</f>
        <v/>
      </c>
      <c r="G21" t="inlineStr">
        <is>
          <t>NSUH - L&amp;D</t>
        </is>
      </c>
      <c r="H21" t="inlineStr">
        <is>
          <t>NSUH - L&amp;D</t>
        </is>
      </c>
      <c r="I21" t="inlineStr">
        <is>
          <t>Labor &amp; Delivery</t>
        </is>
      </c>
      <c r="J21" t="inlineStr">
        <is>
          <t>L&amp;D A</t>
        </is>
      </c>
      <c r="L21" s="18" t="n">
        <v>46103</v>
      </c>
      <c r="T21" t="inlineStr">
        <is>
          <t>Pass</t>
        </is>
      </c>
      <c r="U21" t="inlineStr">
        <is>
          <t>Tim - NSUH L&amp;D</t>
        </is>
      </c>
      <c r="AI21" t="inlineStr">
        <is>
          <t>Anesthesia Machine</t>
        </is>
      </c>
      <c r="AJ21" t="n">
        <v>65483</v>
      </c>
      <c r="AM21" t="inlineStr">
        <is>
          <t>DRAGER</t>
        </is>
      </c>
      <c r="AN21" t="inlineStr">
        <is>
          <t>FABIUS GS PREMIUM</t>
        </is>
      </c>
      <c r="AP21" t="inlineStr">
        <is>
          <t>8607000-40ASCF-0156</t>
        </is>
      </c>
      <c r="AQ21" s="65" t="inlineStr">
        <is>
          <t>8607000-40ASCF-0156</t>
        </is>
      </c>
      <c r="AS21" t="inlineStr">
        <is>
          <t>BI-CFT- DAYTAX OMEDA</t>
        </is>
      </c>
      <c r="AT21" t="inlineStr">
        <is>
          <t>B1-CFB</t>
        </is>
      </c>
      <c r="AU21" t="inlineStr">
        <is>
          <t>B1-CFV</t>
        </is>
      </c>
      <c r="AX21" t="inlineStr">
        <is>
          <t>GE D-FPD15-00\DTL08120641\065434</t>
        </is>
      </c>
      <c r="AY21" t="inlineStr">
        <is>
          <t>FABIUS GS PERMIUM\8607000-40ASCF-0156\065483</t>
        </is>
      </c>
      <c r="BC21" t="n">
        <v>65434</v>
      </c>
      <c r="BD21" t="n">
        <v>65483</v>
      </c>
      <c r="BE21" t="n">
        <v>98394</v>
      </c>
      <c r="CD21">
        <f>IF($Y21="","",IF((IF(AND($BR21&lt;&gt;"Yes",$BR21&lt;&gt;"N/A"),"Power Cable, ","")&amp;IF(AND($BS21&lt;&gt;"Yes",$BS21&lt;&gt;"N/A"),"Battery, ","")&amp;IF(AND($AD21&lt;&gt;"Yes",$AD21&lt;&gt;"N/A"),"Firmware Download, ","")&amp;IF(AND(OR($AD21="Yes",$AD21="N/A"),$AE21&lt;&gt;"Yes",$AE21&lt;&gt;"N/A"),"Firmware Install, ","")&amp;IF(AND($CB21&lt;&gt;"Yes",$CB21&lt;&gt;"N/A"),"Device ID, ","")&amp;IF(AND($CC21&lt;&gt;"Yes",$CC21&lt;&gt;"N/A"),"Epic Beans Relay, ",""))="","",LEFT(IF(AND($BR21&lt;&gt;"Yes",$BR21&lt;&gt;"N/A"),"Power Cable, ","")&amp;IF(AND($BS21&lt;&gt;"Yes",$BS21&lt;&gt;"N/A"),"Battery, ","")&amp;IF(AND($AD21&lt;&gt;"Yes",$AD21&lt;&gt;"N/A"),"Firmware Download, ","")&amp;IF(AND(OR($AD21="Yes",$AD21="N/A"),$AE21&lt;&gt;"Yes",$AE21&lt;&gt;"N/A"),"Firmware Install, ","")&amp;IF(AND($CB21&lt;&gt;"Yes",$CB21&lt;&gt;"N/A"),"Device ID, ","")&amp;IF(AND($CC21&lt;&gt;"Yes",$CC21&lt;&gt;"N/A"),"Epic Beans Relay, ",""),LEN(IF(AND($BR21&lt;&gt;"Yes",$BR21&lt;&gt;"N/A"),"Power Cable, ","")&amp;IF(AND($BS21&lt;&gt;"Yes",$BS21&lt;&gt;"N/A"),"Battery, ","")&amp;IF(AND($AD21&lt;&gt;"Yes",$AD21&lt;&gt;"N/A"),"Firmware Download, ","")&amp;IF(AND(OR($AD21="Yes",$AD21="N/A"),$AE21&lt;&gt;"Yes",$AE21&lt;&gt;"N/A"),"Firmware Install, ","")&amp;IF(AND($CB21&lt;&gt;"Yes",$CB21&lt;&gt;"N/A"),"Device ID, ","")&amp;IF(AND($CC21&lt;&gt;"Yes",$CC21&lt;&gt;"N/A"),"Epic Beans Relay, ",""))-2)))</f>
        <v/>
      </c>
      <c r="CE21">
        <f>IF($Y21="","",IF($CD21="","Yes","Blocked"))</f>
        <v/>
      </c>
      <c r="CP21">
        <f>IF($CO21="","",IFERROR(VLOOKUP($CO21,'01_Warehouse_Ledger'!$A:$N,4,FALSE),""))</f>
        <v/>
      </c>
      <c r="CQ21">
        <f>IF($CO21="","",IFERROR(VLOOKUP($CO21,'01_Warehouse_Ledger'!$A:$N,5,FALSE),""))</f>
        <v/>
      </c>
      <c r="CR21">
        <f>IF($CO21="","",IFERROR(VLOOKUP($CO21,'01_Warehouse_Ledger'!$A:$N,13,FALSE),""))</f>
        <v/>
      </c>
      <c r="CW21">
        <f>IF($S21="","",IF(UPPER(TRIM($S21))&lt;&gt;"PASS","",IF(LEN(TRIM($BY21))&gt;0,"NOTES_PRESENT",IF(LEN(TRIM($T21))=0,"SET_NA",IF(OR(LOWER(TRIM($T21))="na",LOWER(TRIM($T21))="n/a"),"OK","MANUAL_OVERRIDE")))))</f>
        <v/>
      </c>
    </row>
    <row r="22">
      <c r="A22" t="inlineStr">
        <is>
          <t>Neuron Cybernet</t>
        </is>
      </c>
      <c r="B22" t="inlineStr">
        <is>
          <t>Yes</t>
        </is>
      </c>
      <c r="C22" t="inlineStr">
        <is>
          <t>Yes</t>
        </is>
      </c>
      <c r="D22">
        <f>IF($B22&lt;&gt;"Yes","",IF($C22="No","Yes",IF($C22="Yes","No","")))</f>
        <v/>
      </c>
      <c r="E22">
        <f>IF($A22="","",IF(OR(AND($V22&lt;&gt;"",LOWER(TRIM($V22))&lt;&gt;"n/a",LOWER(TRIM($V22))&lt;&gt;"na",SUMPRODUCT(--(UPPER(TRIM($V$2:$V$518))=UPPER(TRIM($V22))),--(TRIM($V$2:$V$518)&lt;&gt;""),--(LOWER(TRIM($V$2:$V$518))&lt;&gt;"n/a"),--(LOWER(TRIM($V$2:$V$518))&lt;&gt;"na"))&gt;1),AND($W22&lt;&gt;"",LOWER(TRIM($W22))&lt;&gt;"n/a",LOWER(TRIM($W22))&lt;&gt;"na",SUMPRODUCT(--(UPPER(TRIM($W$2:$W$518))=UPPER(TRIM($W22))),--(TRIM($W$2:$W$518)&lt;&gt;""),--(LOWER(TRIM($W$2:$W$518))&lt;&gt;"n/a"),--(LOWER(TRIM($W$2:$W$518))&lt;&gt;"na"))&gt;1),AND($X22&lt;&gt;"",LOWER(TRIM($X22))&lt;&gt;"n/a",LOWER(TRIM($X22))&lt;&gt;"na",SUMPRODUCT(--(UPPER(TRIM($X$2:$X$518))=UPPER(TRIM($X22))),--(TRIM($X$2:$X$518)&lt;&gt;""),--(LOWER(TRIM($X$2:$X$518))&lt;&gt;"n/a"),--(LOWER(TRIM($X$2:$X$518))&lt;&gt;"na"))&gt;1),AND($Y22&lt;&gt;"",LOWER(TRIM($Y22))&lt;&gt;"n/a",LOWER(TRIM($Y22))&lt;&gt;"na",SUMPRODUCT(--(UPPER(SUBSTITUTE(SUBSTITUTE(TRIM($Y$2:$Y$518),":",""),"-",""))=UPPER(SUBSTITUTE(SUBSTITUTE(TRIM($Y22),":",""),"-",""))),--(TRIM($Y$2:$Y$518)&lt;&gt;""),--(LOWER(TRIM($Y$2:$Y$518))&lt;&gt;"n/a"),--(LOWER(TRIM($Y$2:$Y$518))&lt;&gt;"na"))&gt;1),AND($AB22&lt;&gt;"",LOWER(TRIM($AB22))&lt;&gt;"n/a",LOWER(TRIM($AB22))&lt;&gt;"na",SUMPRODUCT(--(UPPER(TRIM($AB$2:$AB$518))=UPPER(TRIM($AB22))),--(TRIM($AB$2:$AB$518)&lt;&gt;""),--(LOWER(TRIM($AB$2:$AB$518))&lt;&gt;"n/a"),--(LOWER(TRIM($AB$2:$AB$518))&lt;&gt;"na"))&gt;1),AND($AH22&lt;&gt;"",LOWER(TRIM($AH22))&lt;&gt;"n/a",LOWER(TRIM($AH22))&lt;&gt;"na",SUMPRODUCT(--(UPPER(SUBSTITUTE(SUBSTITUTE(TRIM($AH$2:$AH$518),":",""),"-",""))=UPPER(SUBSTITUTE(SUBSTITUTE(TRIM($AH22),":",""),"-",""))),--(TRIM($AH$2:$AH$518)&lt;&gt;""),--(LOWER(TRIM($AH$2:$AH$518))&lt;&gt;"n/a"),--(LOWER(TRIM($AH$2:$AH$518))&lt;&gt;"na"))&gt;1),AND($AP22&lt;&gt;"",LOWER(TRIM($AP22))&lt;&gt;"n/a",LOWER(TRIM($AP22))&lt;&gt;"na",SUMPRODUCT(--(UPPER(TRIM($AP$2:$AP$518))=UPPER(TRIM($AP22))),--(TRIM($AP$2:$AP$518)&lt;&gt;""),--(LOWER(TRIM($AP$2:$AP$518))&lt;&gt;"n/a"),--(LOWER(TRIM($AP$2:$AP$518))&lt;&gt;"na"))&gt;1),AND($AQ22&lt;&gt;"",LOWER(TRIM($AQ22))&lt;&gt;"n/a",LOWER(TRIM($AQ22))&lt;&gt;"na",SUMPRODUCT(--(UPPER(TRIM($AQ$2:$AQ$518))=UPPER(TRIM($AQ22))),--(TRIM($AQ$2:$AQ$518)&lt;&gt;""),--(LOWER(TRIM($AQ$2:$AQ$518))&lt;&gt;"n/a"),--(LOWER(TRIM($AQ$2:$AQ$518))&lt;&gt;"na"))&gt;1)),"Yes","No"))</f>
        <v/>
      </c>
      <c r="F22">
        <f>IF(UPPER(TRIM($B22))&lt;&gt;"YES","", IF(OR(AND($V22&lt;&gt;"", LOWER(TRIM($V22))&lt;&gt;"n/a", LOWER(TRIM($V22))&lt;&gt;"na", SUMPRODUCT(--(UPPER(TRIM($V$2:$V$518))=UPPER(TRIM($V22))), --(UPPER(TRIM($B$2:$B$518))="YES"), --(UPPER(TRIM($G$2:$G$518)&amp;TRIM($I$2:$I$518)&amp;TRIM($J$2:$J$518))&lt;&gt;UPPER(TRIM($G22)&amp;TRIM($I22)&amp;TRIM($J22))))&gt;0), AND($W22&lt;&gt;"", LOWER(TRIM($W22))&lt;&gt;"n/a", LOWER(TRIM($W22))&lt;&gt;"na", SUMPRODUCT(--(UPPER(TRIM($W$2:$W$518))=UPPER(TRIM($W22))), --(UPPER(TRIM($B$2:$B$518))="YES"), --(UPPER(TRIM($G$2:$G$518)&amp;TRIM($I$2:$I$518)&amp;TRIM($J$2:$J$518))&lt;&gt;UPPER(TRIM($G22)&amp;TRIM($I22)&amp;TRIM($J22))))&gt;0), AND($X22&lt;&gt;"", LOWER(TRIM($X22))&lt;&gt;"n/a", LOWER(TRIM($X22))&lt;&gt;"na", SUMPRODUCT(--(UPPER(TRIM($X$2:$X$518))=UPPER(TRIM($X22))), --(UPPER(TRIM($B$2:$B$518))="YES"), --(UPPER(TRIM($G$2:$G$518)&amp;TRIM($I$2:$I$518)&amp;TRIM($J$2:$J$518))&lt;&gt;UPPER(TRIM($G22)&amp;TRIM($I22)&amp;TRIM($J22))))&gt;0), AND($Y22&lt;&gt;"", LOWER(TRIM($Y22))&lt;&gt;"n/a", LOWER(TRIM($Y22))&lt;&gt;"na", SUMPRODUCT(--(UPPER(SUBSTITUTE(SUBSTITUTE(TRIM($Y$2:$Y$518),":",""),"-",""))=UPPER(SUBSTITUTE(SUBSTITUTE(TRIM($Y22),":",""),"-",""))), --(UPPER(TRIM($B$2:$B$518))="YES"), --(UPPER(TRIM($G$2:$G$518)&amp;TRIM($I$2:$I$518)&amp;TRIM($J$2:$J$518))&lt;&gt;UPPER(TRIM($G22)&amp;TRIM($I22)&amp;TRIM($J22))))&gt;0), AND($AB22&lt;&gt;"", LOWER(TRIM($AB22))&lt;&gt;"n/a", LOWER(TRIM($AB22))&lt;&gt;"na", SUMPRODUCT(--(UPPER(TRIM($AB$2:$AB$518))=UPPER(TRIM($AB22))), --(UPPER(TRIM($B$2:$B$518))="YES"), --(UPPER(TRIM($G$2:$G$518)&amp;TRIM($I$2:$I$518)&amp;TRIM($J$2:$J$518))&lt;&gt;UPPER(TRIM($G22)&amp;TRIM($I22)&amp;TRIM($J22))))&gt;0), AND($AH22&lt;&gt;"", LOWER(TRIM($AH22))&lt;&gt;"n/a", LOWER(TRIM($AH22))&lt;&gt;"na", SUMPRODUCT(--(UPPER(SUBSTITUTE(SUBSTITUTE(TRIM($AH$2:$AH$518),":",""),"-",""))=UPPER(SUBSTITUTE(SUBSTITUTE(TRIM($AH22),":",""),"-",""))), --(UPPER(TRIM($B$2:$B$518))="YES"), --(UPPER(TRIM($G$2:$G$518)&amp;TRIM($I$2:$I$518)&amp;TRIM($J$2:$J$518))&lt;&gt;UPPER(TRIM($G22)&amp;TRIM($I22)&amp;TRIM($J22))))&gt;0), AND($AP22&lt;&gt;"", LOWER(TRIM($AP22))&lt;&gt;"n/a", LOWER(TRIM($AP22))&lt;&gt;"na", SUMPRODUCT(--(UPPER(TRIM($AP$2:$AP$518))=UPPER(TRIM($AP22))), --(UPPER(TRIM($B$2:$B$518))="YES"), --(UPPER(TRIM($G$2:$G$518)&amp;TRIM($I$2:$I$518)&amp;TRIM($J$2:$J$518))&lt;&gt;UPPER(TRIM($G22)&amp;TRIM($I22)&amp;TRIM($J22))))&gt;0), AND($AQ22&lt;&gt;"", LOWER(TRIM($AQ22))&lt;&gt;"n/a", LOWER(TRIM($AQ22))&lt;&gt;"na", SUMPRODUCT(--(UPPER(TRIM($AQ$2:$AQ$518))=UPPER(TRIM($AQ22))), --(UPPER(TRIM($B$2:$B$518))="YES"), --(UPPER(TRIM($G$2:$G$518)&amp;TRIM($I$2:$I$518)&amp;TRIM($J$2:$J$518))&lt;&gt;UPPER(TRIM($G22)&amp;TRIM($I22)&amp;TRIM($J22))))&gt;0)), "Yes", "No"))</f>
        <v/>
      </c>
      <c r="G22" s="64" t="inlineStr">
        <is>
          <t>NSUH - PSP</t>
        </is>
      </c>
      <c r="H22" s="64" t="inlineStr">
        <is>
          <t>NSUH - PSP</t>
        </is>
      </c>
      <c r="I22" t="inlineStr">
        <is>
          <t>Main ORs - PSP - 2nd Floor</t>
        </is>
      </c>
      <c r="J22" t="inlineStr">
        <is>
          <t>Cath Lab 5</t>
        </is>
      </c>
      <c r="L22" s="18" t="n">
        <v>46102</v>
      </c>
      <c r="S22" t="inlineStr">
        <is>
          <t>Pass</t>
        </is>
      </c>
      <c r="U22" t="inlineStr">
        <is>
          <t>Dr. Palilla, Timothy W. Seeberger</t>
        </is>
      </c>
      <c r="V22" t="inlineStr">
        <is>
          <t>WMH300OPR366</t>
        </is>
      </c>
      <c r="W22" t="inlineStr">
        <is>
          <t>MEDSG2425F-0294</t>
        </is>
      </c>
      <c r="X22" t="inlineStr">
        <is>
          <t>NSUH-MACH-EEE</t>
        </is>
      </c>
      <c r="Y22" t="inlineStr">
        <is>
          <t>A0F5097BA08B</t>
        </is>
      </c>
      <c r="AB22" t="inlineStr">
        <is>
          <t>WA25300267</t>
        </is>
      </c>
      <c r="AH22" t="inlineStr">
        <is>
          <t>000D050AA8A1</t>
        </is>
      </c>
      <c r="AI22" t="inlineStr">
        <is>
          <t>Anesthesia Machine</t>
        </is>
      </c>
      <c r="AJ22" t="n">
        <v>443604</v>
      </c>
      <c r="AM22" t="inlineStr">
        <is>
          <t>DRAGER</t>
        </is>
      </c>
      <c r="AN22" t="inlineStr">
        <is>
          <t>FABIUS GS PREMIUM</t>
        </is>
      </c>
      <c r="AP22" t="inlineStr">
        <is>
          <t>ASMH-0013</t>
        </is>
      </c>
      <c r="AQ22" t="inlineStr">
        <is>
          <t>ASMH-0013</t>
        </is>
      </c>
      <c r="AS22" t="inlineStr">
        <is>
          <t>B1-CFT / SPECO999015</t>
        </is>
      </c>
      <c r="AT22" t="inlineStr">
        <is>
          <t>B1-CFB</t>
        </is>
      </c>
      <c r="BH22" t="n">
        <v>19200</v>
      </c>
      <c r="BI22" t="n">
        <v>9600</v>
      </c>
      <c r="BM22" t="inlineStr">
        <is>
          <t>E81</t>
        </is>
      </c>
      <c r="BN22" t="inlineStr">
        <is>
          <t>N81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Yes</t>
        </is>
      </c>
      <c r="CK22" t="inlineStr">
        <is>
          <t>Yes</t>
        </is>
      </c>
      <c r="CL22" t="inlineStr">
        <is>
          <t>Yes</t>
        </is>
      </c>
      <c r="CM22" t="inlineStr">
        <is>
          <t>Yes</t>
        </is>
      </c>
      <c r="CN22" t="inlineStr">
        <is>
          <t>Yes</t>
        </is>
      </c>
      <c r="CO22" t="inlineStr">
        <is>
          <t>Yes</t>
        </is>
      </c>
      <c r="CP22" t="inlineStr">
        <is>
          <t>Yes</t>
        </is>
      </c>
      <c r="CQ22" t="inlineStr">
        <is>
          <t>Yes</t>
        </is>
      </c>
      <c r="CR22" t="inlineStr">
        <is>
          <t>Yes</t>
        </is>
      </c>
      <c r="CS22" t="inlineStr">
        <is>
          <t>Yes</t>
        </is>
      </c>
      <c r="CW22">
        <f>IF($S22="","",IF(UPPER(TRIM($S22))&lt;&gt;"PASS","",IF(LEN(TRIM($BY22))&gt;0,"NOTES_PRESENT",IF(LEN(TRIM($T22))=0,"SET_NA",IF(OR(LOWER(TRIM($T22))="na",LOWER(TRIM($T22))="n/a"),"OK","MANUAL_OVERRIDE")))))</f>
        <v/>
      </c>
    </row>
    <row r="23" customFormat="1" s="62">
      <c r="A23" s="60" t="inlineStr">
        <is>
          <t>Neuron Cybernet</t>
        </is>
      </c>
      <c r="B23" s="61" t="inlineStr">
        <is>
          <t>No</t>
        </is>
      </c>
      <c r="C23" s="62" t="inlineStr">
        <is>
          <t>No</t>
        </is>
      </c>
      <c r="D23" s="62">
        <f>IF($B23&lt;&gt;"Yes","",IF($C23="No","Yes",IF($C23="Yes","No","")))</f>
        <v/>
      </c>
      <c r="E23" s="62">
        <f>IF($A23="","",IF(OR(AND($V23&lt;&gt;"",LOWER(TRIM($V23))&lt;&gt;"n/a",LOWER(TRIM($V23))&lt;&gt;"na",SUMPRODUCT(--(UPPER(TRIM($V$2:$V$518))=UPPER(TRIM($V23))),--(TRIM($V$2:$V$518)&lt;&gt;""),--(LOWER(TRIM($V$2:$V$518))&lt;&gt;"n/a"),--(LOWER(TRIM($V$2:$V$518))&lt;&gt;"na"))&gt;1),AND($W23&lt;&gt;"",LOWER(TRIM($W23))&lt;&gt;"n/a",LOWER(TRIM($W23))&lt;&gt;"na",SUMPRODUCT(--(UPPER(TRIM($W$2:$W$518))=UPPER(TRIM($W23))),--(TRIM($W$2:$W$518)&lt;&gt;""),--(LOWER(TRIM($W$2:$W$518))&lt;&gt;"n/a"),--(LOWER(TRIM($W$2:$W$518))&lt;&gt;"na"))&gt;1),AND($X23&lt;&gt;"",LOWER(TRIM($X23))&lt;&gt;"n/a",LOWER(TRIM($X23))&lt;&gt;"na",SUMPRODUCT(--(UPPER(TRIM($X$2:$X$518))=UPPER(TRIM($X23))),--(TRIM($X$2:$X$518)&lt;&gt;""),--(LOWER(TRIM($X$2:$X$518))&lt;&gt;"n/a"),--(LOWER(TRIM($X$2:$X$518))&lt;&gt;"na"))&gt;1),AND($Y23&lt;&gt;"",LOWER(TRIM($Y23))&lt;&gt;"n/a",LOWER(TRIM($Y23))&lt;&gt;"na",SUMPRODUCT(--(UPPER(SUBSTITUTE(SUBSTITUTE(TRIM($Y$2:$Y$518),":",""),"-",""))=UPPER(SUBSTITUTE(SUBSTITUTE(TRIM($Y23),":",""),"-",""))),--(TRIM($Y$2:$Y$518)&lt;&gt;""),--(LOWER(TRIM($Y$2:$Y$518))&lt;&gt;"n/a"),--(LOWER(TRIM($Y$2:$Y$518))&lt;&gt;"na"))&gt;1),AND($AB23&lt;&gt;"",LOWER(TRIM($AB23))&lt;&gt;"n/a",LOWER(TRIM($AB23))&lt;&gt;"na",SUMPRODUCT(--(UPPER(TRIM($AB$2:$AB$518))=UPPER(TRIM($AB23))),--(TRIM($AB$2:$AB$518)&lt;&gt;""),--(LOWER(TRIM($AB$2:$AB$518))&lt;&gt;"n/a"),--(LOWER(TRIM($AB$2:$AB$518))&lt;&gt;"na"))&gt;1),AND($AH23&lt;&gt;"",LOWER(TRIM($AH23))&lt;&gt;"n/a",LOWER(TRIM($AH23))&lt;&gt;"na",SUMPRODUCT(--(UPPER(SUBSTITUTE(SUBSTITUTE(TRIM($AH$2:$AH$518),":",""),"-",""))=UPPER(SUBSTITUTE(SUBSTITUTE(TRIM($AH23),":",""),"-",""))),--(TRIM($AH$2:$AH$518)&lt;&gt;""),--(LOWER(TRIM($AH$2:$AH$518))&lt;&gt;"n/a"),--(LOWER(TRIM($AH$2:$AH$518))&lt;&gt;"na"))&gt;1),AND($AP23&lt;&gt;"",LOWER(TRIM($AP23))&lt;&gt;"n/a",LOWER(TRIM($AP23))&lt;&gt;"na",SUMPRODUCT(--(UPPER(TRIM($AP$2:$AP$518))=UPPER(TRIM($AP23))),--(TRIM($AP$2:$AP$518)&lt;&gt;""),--(LOWER(TRIM($AP$2:$AP$518))&lt;&gt;"n/a"),--(LOWER(TRIM($AP$2:$AP$518))&lt;&gt;"na"))&gt;1),AND($AQ23&lt;&gt;"",LOWER(TRIM($AQ23))&lt;&gt;"n/a",LOWER(TRIM($AQ23))&lt;&gt;"na",SUMPRODUCT(--(UPPER(TRIM($AQ$2:$AQ$518))=UPPER(TRIM($AQ23))),--(TRIM($AQ$2:$AQ$518)&lt;&gt;""),--(LOWER(TRIM($AQ$2:$AQ$518))&lt;&gt;"n/a"),--(LOWER(TRIM($AQ$2:$AQ$518))&lt;&gt;"na"))&gt;1)),"Yes","No"))</f>
        <v/>
      </c>
      <c r="F23" s="62">
        <f>IF(UPPER(TRIM($B23))&lt;&gt;"YES","", IF(OR(AND($V23&lt;&gt;"", LOWER(TRIM($V23))&lt;&gt;"n/a", LOWER(TRIM($V23))&lt;&gt;"na", SUMPRODUCT(--(UPPER(TRIM($V$2:$V$518))=UPPER(TRIM($V23))), --(UPPER(TRIM($B$2:$B$518))="YES"), --(UPPER(TRIM($G$2:$G$518)&amp;TRIM($I$2:$I$518)&amp;TRIM($J$2:$J$518))&lt;&gt;UPPER(TRIM($G23)&amp;TRIM($I23)&amp;TRIM($J23))))&gt;0), AND($W23&lt;&gt;"", LOWER(TRIM($W23))&lt;&gt;"n/a", LOWER(TRIM($W23))&lt;&gt;"na", SUMPRODUCT(--(UPPER(TRIM($W$2:$W$518))=UPPER(TRIM($W23))), --(UPPER(TRIM($B$2:$B$518))="YES"), --(UPPER(TRIM($G$2:$G$518)&amp;TRIM($I$2:$I$518)&amp;TRIM($J$2:$J$518))&lt;&gt;UPPER(TRIM($G23)&amp;TRIM($I23)&amp;TRIM($J23))))&gt;0), AND($X23&lt;&gt;"", LOWER(TRIM($X23))&lt;&gt;"n/a", LOWER(TRIM($X23))&lt;&gt;"na", SUMPRODUCT(--(UPPER(TRIM($X$2:$X$518))=UPPER(TRIM($X23))), --(UPPER(TRIM($B$2:$B$518))="YES"), --(UPPER(TRIM($G$2:$G$518)&amp;TRIM($I$2:$I$518)&amp;TRIM($J$2:$J$518))&lt;&gt;UPPER(TRIM($G23)&amp;TRIM($I23)&amp;TRIM($J23))))&gt;0), AND($Y23&lt;&gt;"", LOWER(TRIM($Y23))&lt;&gt;"n/a", LOWER(TRIM($Y23))&lt;&gt;"na", SUMPRODUCT(--(UPPER(SUBSTITUTE(SUBSTITUTE(TRIM($Y$2:$Y$518),":",""),"-",""))=UPPER(SUBSTITUTE(SUBSTITUTE(TRIM($Y23),":",""),"-",""))), --(UPPER(TRIM($B$2:$B$518))="YES"), --(UPPER(TRIM($G$2:$G$518)&amp;TRIM($I$2:$I$518)&amp;TRIM($J$2:$J$518))&lt;&gt;UPPER(TRIM($G23)&amp;TRIM($I23)&amp;TRIM($J23))))&gt;0), AND($AB23&lt;&gt;"", LOWER(TRIM($AB23))&lt;&gt;"n/a", LOWER(TRIM($AB23))&lt;&gt;"na", SUMPRODUCT(--(UPPER(TRIM($AB$2:$AB$518))=UPPER(TRIM($AB23))), --(UPPER(TRIM($B$2:$B$518))="YES"), --(UPPER(TRIM($G$2:$G$518)&amp;TRIM($I$2:$I$518)&amp;TRIM($J$2:$J$518))&lt;&gt;UPPER(TRIM($G23)&amp;TRIM($I23)&amp;TRIM($J23))))&gt;0), AND($AH23&lt;&gt;"", LOWER(TRIM($AH23))&lt;&gt;"n/a", LOWER(TRIM($AH23))&lt;&gt;"na", SUMPRODUCT(--(UPPER(SUBSTITUTE(SUBSTITUTE(TRIM($AH$2:$AH$518),":",""),"-",""))=UPPER(SUBSTITUTE(SUBSTITUTE(TRIM($AH23),":",""),"-",""))), --(UPPER(TRIM($B$2:$B$518))="YES"), --(UPPER(TRIM($G$2:$G$518)&amp;TRIM($I$2:$I$518)&amp;TRIM($J$2:$J$518))&lt;&gt;UPPER(TRIM($G23)&amp;TRIM($I23)&amp;TRIM($J23))))&gt;0), AND($AP23&lt;&gt;"", LOWER(TRIM($AP23))&lt;&gt;"n/a", LOWER(TRIM($AP23))&lt;&gt;"na", SUMPRODUCT(--(UPPER(TRIM($AP$2:$AP$518))=UPPER(TRIM($AP23))), --(UPPER(TRIM($B$2:$B$518))="YES"), --(UPPER(TRIM($G$2:$G$518)&amp;TRIM($I$2:$I$518)&amp;TRIM($J$2:$J$518))&lt;&gt;UPPER(TRIM($G23)&amp;TRIM($I23)&amp;TRIM($J23))))&gt;0), AND($AQ23&lt;&gt;"", LOWER(TRIM($AQ23))&lt;&gt;"n/a", LOWER(TRIM($AQ23))&lt;&gt;"na", SUMPRODUCT(--(UPPER(TRIM($AQ$2:$AQ$518))=UPPER(TRIM($AQ23))), --(UPPER(TRIM($B$2:$B$518))="YES"), --(UPPER(TRIM($G$2:$G$518)&amp;TRIM($I$2:$I$518)&amp;TRIM($J$2:$J$518))&lt;&gt;UPPER(TRIM($G23)&amp;TRIM($I23)&amp;TRIM($J23))))&gt;0)), "Yes", "No"))</f>
        <v/>
      </c>
      <c r="G23" s="62" t="inlineStr">
        <is>
          <t>NSUH - PSP</t>
        </is>
      </c>
      <c r="H23" s="62" t="inlineStr">
        <is>
          <t>NSUH - PSP</t>
        </is>
      </c>
      <c r="I23" s="62" t="inlineStr">
        <is>
          <t>Main ORs - PSP - 2nd Floor</t>
        </is>
      </c>
      <c r="J23" s="62" t="inlineStr">
        <is>
          <t>Cath LAB 4</t>
        </is>
      </c>
      <c r="L23" s="63" t="n">
        <v>46102</v>
      </c>
      <c r="U23" s="62" t="inlineStr">
        <is>
          <t>Dr. Palilla, Timothy W. Seeberger</t>
        </is>
      </c>
      <c r="V23" s="62" t="inlineStr">
        <is>
          <t>WMH300OPR358</t>
        </is>
      </c>
      <c r="W23" s="62" t="inlineStr">
        <is>
          <t>MEDSG2425F-0147</t>
        </is>
      </c>
      <c r="X23" s="62" t="inlineStr">
        <is>
          <t>NSUH-MACH-SSS</t>
        </is>
      </c>
      <c r="Y23" s="62" t="inlineStr">
        <is>
          <t>A0F5097B8E6F</t>
        </is>
      </c>
      <c r="AB23" s="62" t="inlineStr">
        <is>
          <t>WA25203897</t>
        </is>
      </c>
      <c r="AH23" s="62" t="inlineStr">
        <is>
          <t>000D050AA71F</t>
        </is>
      </c>
      <c r="AJ23" s="62" t="n">
        <v>65067</v>
      </c>
      <c r="AL23" s="62" t="inlineStr">
        <is>
          <t>4101555/4101557</t>
        </is>
      </c>
      <c r="AM23" s="62" t="inlineStr">
        <is>
          <t>Drager</t>
        </is>
      </c>
      <c r="AN23" s="62" t="inlineStr">
        <is>
          <t>Fabius GS premium</t>
        </is>
      </c>
      <c r="AO23" s="62" t="inlineStr">
        <is>
          <t>ASBB-0054</t>
        </is>
      </c>
      <c r="AP23" s="62" t="inlineStr">
        <is>
          <t>ASBB-0054</t>
        </is>
      </c>
      <c r="AQ23" s="62" t="inlineStr">
        <is>
          <t>ASBB-0054</t>
        </is>
      </c>
      <c r="AS23" s="62" t="inlineStr">
        <is>
          <t>GE CARESCAPE B850: B1-CAB-GE</t>
        </is>
      </c>
      <c r="AT23" s="62" t="inlineStr">
        <is>
          <t>B1-CFB</t>
        </is>
      </c>
      <c r="AX23" s="62" t="inlineStr">
        <is>
          <t xml:space="preserve">CARESCAPE Monitor B850: </t>
        </is>
      </c>
      <c r="AY23" s="62" t="inlineStr">
        <is>
          <t xml:space="preserve">Drager Fabious GS Premium </t>
        </is>
      </c>
      <c r="CD23" s="62">
        <f>IF($Y23="","",IF((IF(AND($BR23&lt;&gt;"Yes",$BR23&lt;&gt;"N/A"),"Power Cable, ","")&amp;IF(AND($BS23&lt;&gt;"Yes",$BS23&lt;&gt;"N/A"),"Battery, ","")&amp;IF(AND($AD23&lt;&gt;"Yes",$AD23&lt;&gt;"N/A"),"Firmware Download, ","")&amp;IF(AND(OR($AD23="Yes",$AD23="N/A"),$AE23&lt;&gt;"Yes",$AE23&lt;&gt;"N/A"),"Firmware Install, ","")&amp;IF(AND($CB23&lt;&gt;"Yes",$CB23&lt;&gt;"N/A"),"Device ID, ","")&amp;IF(AND($CC23&lt;&gt;"Yes",$CC23&lt;&gt;"N/A"),"Epic Beans Relay, ",""))="","",LEFT(IF(AND($BR23&lt;&gt;"Yes",$BR23&lt;&gt;"N/A"),"Power Cable, ","")&amp;IF(AND($BS23&lt;&gt;"Yes",$BS23&lt;&gt;"N/A"),"Battery, ","")&amp;IF(AND($AD23&lt;&gt;"Yes",$AD23&lt;&gt;"N/A"),"Firmware Download, ","")&amp;IF(AND(OR($AD23="Yes",$AD23="N/A"),$AE23&lt;&gt;"Yes",$AE23&lt;&gt;"N/A"),"Firmware Install, ","")&amp;IF(AND($CB23&lt;&gt;"Yes",$CB23&lt;&gt;"N/A"),"Device ID, ","")&amp;IF(AND($CC23&lt;&gt;"Yes",$CC23&lt;&gt;"N/A"),"Epic Beans Relay, ",""),LEN(IF(AND($BR23&lt;&gt;"Yes",$BR23&lt;&gt;"N/A"),"Power Cable, ","")&amp;IF(AND($BS23&lt;&gt;"Yes",$BS23&lt;&gt;"N/A"),"Battery, ","")&amp;IF(AND($AD23&lt;&gt;"Yes",$AD23&lt;&gt;"N/A"),"Firmware Download, ","")&amp;IF(AND(OR($AD23="Yes",$AD23="N/A"),$AE23&lt;&gt;"Yes",$AE23&lt;&gt;"N/A"),"Firmware Install, ","")&amp;IF(AND($CB23&lt;&gt;"Yes",$CB23&lt;&gt;"N/A"),"Device ID, ","")&amp;IF(AND($CC23&lt;&gt;"Yes",$CC23&lt;&gt;"N/A"),"Epic Beans Relay, ",""))-2)))</f>
        <v/>
      </c>
      <c r="CE23" s="62">
        <f>IF($Y23="","",IF($CD23="","Yes","Blocked"))</f>
        <v/>
      </c>
      <c r="CF23" s="62" t="inlineStr">
        <is>
          <t>Yes</t>
        </is>
      </c>
      <c r="CG23" s="62" t="inlineStr">
        <is>
          <t>Yes</t>
        </is>
      </c>
      <c r="CH23" s="62" t="inlineStr">
        <is>
          <t>Yes</t>
        </is>
      </c>
      <c r="CI23" s="62" t="inlineStr">
        <is>
          <t>Yes</t>
        </is>
      </c>
      <c r="CJ23" s="62" t="inlineStr">
        <is>
          <t>Yes</t>
        </is>
      </c>
      <c r="CK23" s="62" t="inlineStr">
        <is>
          <t>Yes</t>
        </is>
      </c>
      <c r="CL23" s="62" t="inlineStr">
        <is>
          <t>Yes</t>
        </is>
      </c>
      <c r="CM23" s="62" t="inlineStr">
        <is>
          <t>Yes</t>
        </is>
      </c>
      <c r="CN23" s="62" t="inlineStr">
        <is>
          <t>Yes</t>
        </is>
      </c>
      <c r="CO23" s="62" t="inlineStr">
        <is>
          <t>Yes</t>
        </is>
      </c>
      <c r="CP23" s="62" t="inlineStr">
        <is>
          <t>Yes</t>
        </is>
      </c>
      <c r="CQ23" s="62" t="inlineStr">
        <is>
          <t>Yes</t>
        </is>
      </c>
      <c r="CR23" s="62" t="inlineStr">
        <is>
          <t>Yes</t>
        </is>
      </c>
      <c r="CS23" s="62" t="inlineStr">
        <is>
          <t>Yes</t>
        </is>
      </c>
      <c r="CT23" s="62" t="inlineStr">
        <is>
          <t>NSW10MH300ANS04</t>
        </is>
      </c>
      <c r="CW23">
        <f>IF($S23="","",IF(UPPER(TRIM($S23))&lt;&gt;"PASS","",IF(LEN(TRIM($BY23))&gt;0,"NOTES_PRESENT",IF(LEN(TRIM($T23))=0,"SET_NA",IF(OR(LOWER(TRIM($T23))="na",LOWER(TRIM($T23))="n/a"),"OK","MANUAL_OVERRIDE")))))</f>
        <v/>
      </c>
    </row>
    <row r="24">
      <c r="A24" t="inlineStr">
        <is>
          <t>Neuron Cybernet</t>
        </is>
      </c>
      <c r="B24" s="51" t="inlineStr">
        <is>
          <t>No</t>
        </is>
      </c>
      <c r="C24" t="inlineStr">
        <is>
          <t>Yes</t>
        </is>
      </c>
      <c r="D24">
        <f>IF($B24&lt;&gt;"Yes","",IF($C24="No","Yes",IF($C24="Yes","No","")))</f>
        <v/>
      </c>
      <c r="E24">
        <f>IF($A24="","",IF(OR(AND($V24&lt;&gt;"",LOWER(TRIM($V24))&lt;&gt;"n/a",LOWER(TRIM($V24))&lt;&gt;"na",SUMPRODUCT(--(UPPER(TRIM($V$2:$V$518))=UPPER(TRIM($V24))),--(TRIM($V$2:$V$518)&lt;&gt;""),--(LOWER(TRIM($V$2:$V$518))&lt;&gt;"n/a"),--(LOWER(TRIM($V$2:$V$518))&lt;&gt;"na"))&gt;1),AND($W24&lt;&gt;"",LOWER(TRIM($W24))&lt;&gt;"n/a",LOWER(TRIM($W24))&lt;&gt;"na",SUMPRODUCT(--(UPPER(TRIM($W$2:$W$518))=UPPER(TRIM($W24))),--(TRIM($W$2:$W$518)&lt;&gt;""),--(LOWER(TRIM($W$2:$W$518))&lt;&gt;"n/a"),--(LOWER(TRIM($W$2:$W$518))&lt;&gt;"na"))&gt;1),AND($X24&lt;&gt;"",LOWER(TRIM($X24))&lt;&gt;"n/a",LOWER(TRIM($X24))&lt;&gt;"na",SUMPRODUCT(--(UPPER(TRIM($X$2:$X$518))=UPPER(TRIM($X24))),--(TRIM($X$2:$X$518)&lt;&gt;""),--(LOWER(TRIM($X$2:$X$518))&lt;&gt;"n/a"),--(LOWER(TRIM($X$2:$X$518))&lt;&gt;"na"))&gt;1),AND($Y24&lt;&gt;"",LOWER(TRIM($Y24))&lt;&gt;"n/a",LOWER(TRIM($Y24))&lt;&gt;"na",SUMPRODUCT(--(UPPER(SUBSTITUTE(SUBSTITUTE(TRIM($Y$2:$Y$518),":",""),"-",""))=UPPER(SUBSTITUTE(SUBSTITUTE(TRIM($Y24),":",""),"-",""))),--(TRIM($Y$2:$Y$518)&lt;&gt;""),--(LOWER(TRIM($Y$2:$Y$518))&lt;&gt;"n/a"),--(LOWER(TRIM($Y$2:$Y$518))&lt;&gt;"na"))&gt;1),AND($AB24&lt;&gt;"",LOWER(TRIM($AB24))&lt;&gt;"n/a",LOWER(TRIM($AB24))&lt;&gt;"na",SUMPRODUCT(--(UPPER(TRIM($AB$2:$AB$518))=UPPER(TRIM($AB24))),--(TRIM($AB$2:$AB$518)&lt;&gt;""),--(LOWER(TRIM($AB$2:$AB$518))&lt;&gt;"n/a"),--(LOWER(TRIM($AB$2:$AB$518))&lt;&gt;"na"))&gt;1),AND($AH24&lt;&gt;"",LOWER(TRIM($AH24))&lt;&gt;"n/a",LOWER(TRIM($AH24))&lt;&gt;"na",SUMPRODUCT(--(UPPER(SUBSTITUTE(SUBSTITUTE(TRIM($AH$2:$AH$518),":",""),"-",""))=UPPER(SUBSTITUTE(SUBSTITUTE(TRIM($AH24),":",""),"-",""))),--(TRIM($AH$2:$AH$518)&lt;&gt;""),--(LOWER(TRIM($AH$2:$AH$518))&lt;&gt;"n/a"),--(LOWER(TRIM($AH$2:$AH$518))&lt;&gt;"na"))&gt;1),AND($AP24&lt;&gt;"",LOWER(TRIM($AP24))&lt;&gt;"n/a",LOWER(TRIM($AP24))&lt;&gt;"na",SUMPRODUCT(--(UPPER(TRIM($AP$2:$AP$518))=UPPER(TRIM($AP24))),--(TRIM($AP$2:$AP$518)&lt;&gt;""),--(LOWER(TRIM($AP$2:$AP$518))&lt;&gt;"n/a"),--(LOWER(TRIM($AP$2:$AP$518))&lt;&gt;"na"))&gt;1),AND($AQ24&lt;&gt;"",LOWER(TRIM($AQ24))&lt;&gt;"n/a",LOWER(TRIM($AQ24))&lt;&gt;"na",SUMPRODUCT(--(UPPER(TRIM($AQ$2:$AQ$518))=UPPER(TRIM($AQ24))),--(TRIM($AQ$2:$AQ$518)&lt;&gt;""),--(LOWER(TRIM($AQ$2:$AQ$518))&lt;&gt;"n/a"),--(LOWER(TRIM($AQ$2:$AQ$518))&lt;&gt;"na"))&gt;1)),"Yes","No"))</f>
        <v/>
      </c>
      <c r="F24">
        <f>IF(UPPER(TRIM($B24))&lt;&gt;"YES","", IF(OR(AND($V24&lt;&gt;"", LOWER(TRIM($V24))&lt;&gt;"n/a", LOWER(TRIM($V24))&lt;&gt;"na", SUMPRODUCT(--(UPPER(TRIM($V$2:$V$518))=UPPER(TRIM($V24))), --(UPPER(TRIM($B$2:$B$518))="YES"), --(UPPER(TRIM($G$2:$G$518)&amp;TRIM($I$2:$I$518)&amp;TRIM($J$2:$J$518))&lt;&gt;UPPER(TRIM($G24)&amp;TRIM($I24)&amp;TRIM($J24))))&gt;0), AND($W24&lt;&gt;"", LOWER(TRIM($W24))&lt;&gt;"n/a", LOWER(TRIM($W24))&lt;&gt;"na", SUMPRODUCT(--(UPPER(TRIM($W$2:$W$518))=UPPER(TRIM($W24))), --(UPPER(TRIM($B$2:$B$518))="YES"), --(UPPER(TRIM($G$2:$G$518)&amp;TRIM($I$2:$I$518)&amp;TRIM($J$2:$J$518))&lt;&gt;UPPER(TRIM($G24)&amp;TRIM($I24)&amp;TRIM($J24))))&gt;0), AND($X24&lt;&gt;"", LOWER(TRIM($X24))&lt;&gt;"n/a", LOWER(TRIM($X24))&lt;&gt;"na", SUMPRODUCT(--(UPPER(TRIM($X$2:$X$518))=UPPER(TRIM($X24))), --(UPPER(TRIM($B$2:$B$518))="YES"), --(UPPER(TRIM($G$2:$G$518)&amp;TRIM($I$2:$I$518)&amp;TRIM($J$2:$J$518))&lt;&gt;UPPER(TRIM($G24)&amp;TRIM($I24)&amp;TRIM($J24))))&gt;0), AND($Y24&lt;&gt;"", LOWER(TRIM($Y24))&lt;&gt;"n/a", LOWER(TRIM($Y24))&lt;&gt;"na", SUMPRODUCT(--(UPPER(SUBSTITUTE(SUBSTITUTE(TRIM($Y$2:$Y$518),":",""),"-",""))=UPPER(SUBSTITUTE(SUBSTITUTE(TRIM($Y24),":",""),"-",""))), --(UPPER(TRIM($B$2:$B$518))="YES"), --(UPPER(TRIM($G$2:$G$518)&amp;TRIM($I$2:$I$518)&amp;TRIM($J$2:$J$518))&lt;&gt;UPPER(TRIM($G24)&amp;TRIM($I24)&amp;TRIM($J24))))&gt;0), AND($AB24&lt;&gt;"", LOWER(TRIM($AB24))&lt;&gt;"n/a", LOWER(TRIM($AB24))&lt;&gt;"na", SUMPRODUCT(--(UPPER(TRIM($AB$2:$AB$518))=UPPER(TRIM($AB24))), --(UPPER(TRIM($B$2:$B$518))="YES"), --(UPPER(TRIM($G$2:$G$518)&amp;TRIM($I$2:$I$518)&amp;TRIM($J$2:$J$518))&lt;&gt;UPPER(TRIM($G24)&amp;TRIM($I24)&amp;TRIM($J24))))&gt;0), AND($AH24&lt;&gt;"", LOWER(TRIM($AH24))&lt;&gt;"n/a", LOWER(TRIM($AH24))&lt;&gt;"na", SUMPRODUCT(--(UPPER(SUBSTITUTE(SUBSTITUTE(TRIM($AH$2:$AH$518),":",""),"-",""))=UPPER(SUBSTITUTE(SUBSTITUTE(TRIM($AH24),":",""),"-",""))), --(UPPER(TRIM($B$2:$B$518))="YES"), --(UPPER(TRIM($G$2:$G$518)&amp;TRIM($I$2:$I$518)&amp;TRIM($J$2:$J$518))&lt;&gt;UPPER(TRIM($G24)&amp;TRIM($I24)&amp;TRIM($J24))))&gt;0), AND($AP24&lt;&gt;"", LOWER(TRIM($AP24))&lt;&gt;"n/a", LOWER(TRIM($AP24))&lt;&gt;"na", SUMPRODUCT(--(UPPER(TRIM($AP$2:$AP$518))=UPPER(TRIM($AP24))), --(UPPER(TRIM($B$2:$B$518))="YES"), --(UPPER(TRIM($G$2:$G$518)&amp;TRIM($I$2:$I$518)&amp;TRIM($J$2:$J$518))&lt;&gt;UPPER(TRIM($G24)&amp;TRIM($I24)&amp;TRIM($J24))))&gt;0), AND($AQ24&lt;&gt;"", LOWER(TRIM($AQ24))&lt;&gt;"n/a", LOWER(TRIM($AQ24))&lt;&gt;"na", SUMPRODUCT(--(UPPER(TRIM($AQ$2:$AQ$518))=UPPER(TRIM($AQ24))), --(UPPER(TRIM($B$2:$B$518))="YES"), --(UPPER(TRIM($G$2:$G$518)&amp;TRIM($I$2:$I$518)&amp;TRIM($J$2:$J$518))&lt;&gt;UPPER(TRIM($G24)&amp;TRIM($I24)&amp;TRIM($J24))))&gt;0)), "Yes", "No"))</f>
        <v/>
      </c>
      <c r="G24" t="inlineStr">
        <is>
          <t>NSUH - PSP</t>
        </is>
      </c>
      <c r="H24" t="inlineStr">
        <is>
          <t>NSUH - PSP</t>
        </is>
      </c>
      <c r="I24" t="inlineStr">
        <is>
          <t>Main ORs - PSP - 2nd Floor</t>
        </is>
      </c>
      <c r="J24" t="inlineStr">
        <is>
          <t>Cath Lab 8</t>
        </is>
      </c>
      <c r="L24" s="18" t="n">
        <v>46102</v>
      </c>
      <c r="U24" t="inlineStr">
        <is>
          <t>Dr. Palilla, Timothy W. Seeberger</t>
        </is>
      </c>
      <c r="V24" t="inlineStr">
        <is>
          <t>WMH300OPR381</t>
        </is>
      </c>
      <c r="W24" t="inlineStr">
        <is>
          <t>MEDSG2425F-0029</t>
        </is>
      </c>
      <c r="X24" t="inlineStr">
        <is>
          <t>NSUH-MACH-EE</t>
        </is>
      </c>
      <c r="Y24" t="inlineStr">
        <is>
          <t>A0F5097FA4B6</t>
        </is>
      </c>
      <c r="AB24" t="inlineStr">
        <is>
          <t>WA23C03817</t>
        </is>
      </c>
      <c r="AJ24" t="n">
        <v>404201</v>
      </c>
      <c r="AL24" t="n">
        <v>4101820</v>
      </c>
      <c r="AP24" t="inlineStr">
        <is>
          <t>8607000-56ASEM-0031</t>
        </is>
      </c>
      <c r="CD24">
        <f>IF($Y24="","",IF((IF(AND($BR24&lt;&gt;"Yes",$BR24&lt;&gt;"N/A"),"Power Cable, ","")&amp;IF(AND($BS24&lt;&gt;"Yes",$BS24&lt;&gt;"N/A"),"Battery, ","")&amp;IF(AND($AD24&lt;&gt;"Yes",$AD24&lt;&gt;"N/A"),"Firmware Download, ","")&amp;IF(AND(OR($AD24="Yes",$AD24="N/A"),$AE24&lt;&gt;"Yes",$AE24&lt;&gt;"N/A"),"Firmware Install, ","")&amp;IF(AND($CB24&lt;&gt;"Yes",$CB24&lt;&gt;"N/A"),"Device ID, ","")&amp;IF(AND($CC24&lt;&gt;"Yes",$CC24&lt;&gt;"N/A"),"Epic Beans Relay, ",""))="","",LEFT(IF(AND($BR24&lt;&gt;"Yes",$BR24&lt;&gt;"N/A"),"Power Cable, ","")&amp;IF(AND($BS24&lt;&gt;"Yes",$BS24&lt;&gt;"N/A"),"Battery, ","")&amp;IF(AND($AD24&lt;&gt;"Yes",$AD24&lt;&gt;"N/A"),"Firmware Download, ","")&amp;IF(AND(OR($AD24="Yes",$AD24="N/A"),$AE24&lt;&gt;"Yes",$AE24&lt;&gt;"N/A"),"Firmware Install, ","")&amp;IF(AND($CB24&lt;&gt;"Yes",$CB24&lt;&gt;"N/A"),"Device ID, ","")&amp;IF(AND($CC24&lt;&gt;"Yes",$CC24&lt;&gt;"N/A"),"Epic Beans Relay, ",""),LEN(IF(AND($BR24&lt;&gt;"Yes",$BR24&lt;&gt;"N/A"),"Power Cable, ","")&amp;IF(AND($BS24&lt;&gt;"Yes",$BS24&lt;&gt;"N/A"),"Battery, ","")&amp;IF(AND($AD24&lt;&gt;"Yes",$AD24&lt;&gt;"N/A"),"Firmware Download, ","")&amp;IF(AND(OR($AD24="Yes",$AD24="N/A"),$AE24&lt;&gt;"Yes",$AE24&lt;&gt;"N/A"),"Firmware Install, ","")&amp;IF(AND($CB24&lt;&gt;"Yes",$CB24&lt;&gt;"N/A"),"Device ID, ","")&amp;IF(AND($CC24&lt;&gt;"Yes",$CC24&lt;&gt;"N/A"),"Epic Beans Relay, ",""))-2)))</f>
        <v/>
      </c>
      <c r="CE24">
        <f>IF($Y24="","",IF($CD24="","Yes","Blocked"))</f>
        <v/>
      </c>
      <c r="CF24" t="inlineStr">
        <is>
          <t>Yes</t>
        </is>
      </c>
      <c r="CG24" t="inlineStr">
        <is>
          <t>Yes</t>
        </is>
      </c>
      <c r="CH24" t="inlineStr">
        <is>
          <t>Yes</t>
        </is>
      </c>
      <c r="CI24" t="inlineStr">
        <is>
          <t>Yes</t>
        </is>
      </c>
      <c r="CJ24" t="inlineStr">
        <is>
          <t>Yes</t>
        </is>
      </c>
      <c r="CK24" t="inlineStr">
        <is>
          <t>Yes</t>
        </is>
      </c>
      <c r="CL24" t="inlineStr">
        <is>
          <t>Yes</t>
        </is>
      </c>
      <c r="CM24" t="inlineStr">
        <is>
          <t>Yes</t>
        </is>
      </c>
      <c r="CN24" t="inlineStr">
        <is>
          <t>Yes</t>
        </is>
      </c>
      <c r="CO24" t="inlineStr">
        <is>
          <t>Yes</t>
        </is>
      </c>
      <c r="CP24" t="inlineStr">
        <is>
          <t>Yes</t>
        </is>
      </c>
      <c r="CQ24" t="inlineStr">
        <is>
          <t>Yes</t>
        </is>
      </c>
      <c r="CR24" t="inlineStr">
        <is>
          <t>Yes</t>
        </is>
      </c>
      <c r="CS24" t="inlineStr">
        <is>
          <t>Yes</t>
        </is>
      </c>
      <c r="CW24">
        <f>IF($S24="","",IF(UPPER(TRIM($S24))&lt;&gt;"PASS","",IF(LEN(TRIM($BY24))&gt;0,"NOTES_PRESENT",IF(LEN(TRIM($T24))=0,"SET_NA",IF(OR(LOWER(TRIM($T24))="na",LOWER(TRIM($T24))="n/a"),"OK","MANUAL_OVERRIDE")))))</f>
        <v/>
      </c>
    </row>
    <row r="25">
      <c r="A25" t="inlineStr">
        <is>
          <t>Neuron Cybernet</t>
        </is>
      </c>
      <c r="B25" s="51" t="inlineStr">
        <is>
          <t>Yes</t>
        </is>
      </c>
      <c r="C25" t="inlineStr">
        <is>
          <t>Yes</t>
        </is>
      </c>
      <c r="D25">
        <f>IF($B25&lt;&gt;"Yes","",IF($C25="No","Yes",IF($C25="Yes","No","")))</f>
        <v/>
      </c>
      <c r="E25">
        <f>IF($A25="","",IF(OR(AND($V25&lt;&gt;"",LOWER(TRIM($V25))&lt;&gt;"n/a",LOWER(TRIM($V25))&lt;&gt;"na",SUMPRODUCT(--(UPPER(TRIM($V$2:$V$518))=UPPER(TRIM($V25))),--(TRIM($V$2:$V$518)&lt;&gt;""),--(LOWER(TRIM($V$2:$V$518))&lt;&gt;"n/a"),--(LOWER(TRIM($V$2:$V$518))&lt;&gt;"na"))&gt;1),AND($W25&lt;&gt;"",LOWER(TRIM($W25))&lt;&gt;"n/a",LOWER(TRIM($W25))&lt;&gt;"na",SUMPRODUCT(--(UPPER(TRIM($W$2:$W$518))=UPPER(TRIM($W25))),--(TRIM($W$2:$W$518)&lt;&gt;""),--(LOWER(TRIM($W$2:$W$518))&lt;&gt;"n/a"),--(LOWER(TRIM($W$2:$W$518))&lt;&gt;"na"))&gt;1),AND($X25&lt;&gt;"",LOWER(TRIM($X25))&lt;&gt;"n/a",LOWER(TRIM($X25))&lt;&gt;"na",SUMPRODUCT(--(UPPER(TRIM($X$2:$X$518))=UPPER(TRIM($X25))),--(TRIM($X$2:$X$518)&lt;&gt;""),--(LOWER(TRIM($X$2:$X$518))&lt;&gt;"n/a"),--(LOWER(TRIM($X$2:$X$518))&lt;&gt;"na"))&gt;1),AND($Y25&lt;&gt;"",LOWER(TRIM($Y25))&lt;&gt;"n/a",LOWER(TRIM($Y25))&lt;&gt;"na",SUMPRODUCT(--(UPPER(SUBSTITUTE(SUBSTITUTE(TRIM($Y$2:$Y$518),":",""),"-",""))=UPPER(SUBSTITUTE(SUBSTITUTE(TRIM($Y25),":",""),"-",""))),--(TRIM($Y$2:$Y$518)&lt;&gt;""),--(LOWER(TRIM($Y$2:$Y$518))&lt;&gt;"n/a"),--(LOWER(TRIM($Y$2:$Y$518))&lt;&gt;"na"))&gt;1),AND($AB25&lt;&gt;"",LOWER(TRIM($AB25))&lt;&gt;"n/a",LOWER(TRIM($AB25))&lt;&gt;"na",SUMPRODUCT(--(UPPER(TRIM($AB$2:$AB$518))=UPPER(TRIM($AB25))),--(TRIM($AB$2:$AB$518)&lt;&gt;""),--(LOWER(TRIM($AB$2:$AB$518))&lt;&gt;"n/a"),--(LOWER(TRIM($AB$2:$AB$518))&lt;&gt;"na"))&gt;1),AND($AH25&lt;&gt;"",LOWER(TRIM($AH25))&lt;&gt;"n/a",LOWER(TRIM($AH25))&lt;&gt;"na",SUMPRODUCT(--(UPPER(SUBSTITUTE(SUBSTITUTE(TRIM($AH$2:$AH$518),":",""),"-",""))=UPPER(SUBSTITUTE(SUBSTITUTE(TRIM($AH25),":",""),"-",""))),--(TRIM($AH$2:$AH$518)&lt;&gt;""),--(LOWER(TRIM($AH$2:$AH$518))&lt;&gt;"n/a"),--(LOWER(TRIM($AH$2:$AH$518))&lt;&gt;"na"))&gt;1),AND($AP25&lt;&gt;"",LOWER(TRIM($AP25))&lt;&gt;"n/a",LOWER(TRIM($AP25))&lt;&gt;"na",SUMPRODUCT(--(UPPER(TRIM($AP$2:$AP$518))=UPPER(TRIM($AP25))),--(TRIM($AP$2:$AP$518)&lt;&gt;""),--(LOWER(TRIM($AP$2:$AP$518))&lt;&gt;"n/a"),--(LOWER(TRIM($AP$2:$AP$518))&lt;&gt;"na"))&gt;1),AND($AQ25&lt;&gt;"",LOWER(TRIM($AQ25))&lt;&gt;"n/a",LOWER(TRIM($AQ25))&lt;&gt;"na",SUMPRODUCT(--(UPPER(TRIM($AQ$2:$AQ$518))=UPPER(TRIM($AQ25))),--(TRIM($AQ$2:$AQ$518)&lt;&gt;""),--(LOWER(TRIM($AQ$2:$AQ$518))&lt;&gt;"n/a"),--(LOWER(TRIM($AQ$2:$AQ$518))&lt;&gt;"na"))&gt;1)),"Yes","No"))</f>
        <v/>
      </c>
      <c r="F25">
        <f>IF(UPPER(TRIM($B25))&lt;&gt;"YES","", IF(OR(AND($V25&lt;&gt;"", LOWER(TRIM($V25))&lt;&gt;"n/a", LOWER(TRIM($V25))&lt;&gt;"na", SUMPRODUCT(--(UPPER(TRIM($V$2:$V$518))=UPPER(TRIM($V25))), --(UPPER(TRIM($B$2:$B$518))="YES"), --(UPPER(TRIM($G$2:$G$518)&amp;TRIM($I$2:$I$518)&amp;TRIM($J$2:$J$518))&lt;&gt;UPPER(TRIM($G25)&amp;TRIM($I25)&amp;TRIM($J25))))&gt;0), AND($W25&lt;&gt;"", LOWER(TRIM($W25))&lt;&gt;"n/a", LOWER(TRIM($W25))&lt;&gt;"na", SUMPRODUCT(--(UPPER(TRIM($W$2:$W$518))=UPPER(TRIM($W25))), --(UPPER(TRIM($B$2:$B$518))="YES"), --(UPPER(TRIM($G$2:$G$518)&amp;TRIM($I$2:$I$518)&amp;TRIM($J$2:$J$518))&lt;&gt;UPPER(TRIM($G25)&amp;TRIM($I25)&amp;TRIM($J25))))&gt;0), AND($X25&lt;&gt;"", LOWER(TRIM($X25))&lt;&gt;"n/a", LOWER(TRIM($X25))&lt;&gt;"na", SUMPRODUCT(--(UPPER(TRIM($X$2:$X$518))=UPPER(TRIM($X25))), --(UPPER(TRIM($B$2:$B$518))="YES"), --(UPPER(TRIM($G$2:$G$518)&amp;TRIM($I$2:$I$518)&amp;TRIM($J$2:$J$518))&lt;&gt;UPPER(TRIM($G25)&amp;TRIM($I25)&amp;TRIM($J25))))&gt;0), AND($Y25&lt;&gt;"", LOWER(TRIM($Y25))&lt;&gt;"n/a", LOWER(TRIM($Y25))&lt;&gt;"na", SUMPRODUCT(--(UPPER(SUBSTITUTE(SUBSTITUTE(TRIM($Y$2:$Y$518),":",""),"-",""))=UPPER(SUBSTITUTE(SUBSTITUTE(TRIM($Y25),":",""),"-",""))), --(UPPER(TRIM($B$2:$B$518))="YES"), --(UPPER(TRIM($G$2:$G$518)&amp;TRIM($I$2:$I$518)&amp;TRIM($J$2:$J$518))&lt;&gt;UPPER(TRIM($G25)&amp;TRIM($I25)&amp;TRIM($J25))))&gt;0), AND($AB25&lt;&gt;"", LOWER(TRIM($AB25))&lt;&gt;"n/a", LOWER(TRIM($AB25))&lt;&gt;"na", SUMPRODUCT(--(UPPER(TRIM($AB$2:$AB$518))=UPPER(TRIM($AB25))), --(UPPER(TRIM($B$2:$B$518))="YES"), --(UPPER(TRIM($G$2:$G$518)&amp;TRIM($I$2:$I$518)&amp;TRIM($J$2:$J$518))&lt;&gt;UPPER(TRIM($G25)&amp;TRIM($I25)&amp;TRIM($J25))))&gt;0), AND($AH25&lt;&gt;"", LOWER(TRIM($AH25))&lt;&gt;"n/a", LOWER(TRIM($AH25))&lt;&gt;"na", SUMPRODUCT(--(UPPER(SUBSTITUTE(SUBSTITUTE(TRIM($AH$2:$AH$518),":",""),"-",""))=UPPER(SUBSTITUTE(SUBSTITUTE(TRIM($AH25),":",""),"-",""))), --(UPPER(TRIM($B$2:$B$518))="YES"), --(UPPER(TRIM($G$2:$G$518)&amp;TRIM($I$2:$I$518)&amp;TRIM($J$2:$J$518))&lt;&gt;UPPER(TRIM($G25)&amp;TRIM($I25)&amp;TRIM($J25))))&gt;0), AND($AP25&lt;&gt;"", LOWER(TRIM($AP25))&lt;&gt;"n/a", LOWER(TRIM($AP25))&lt;&gt;"na", SUMPRODUCT(--(UPPER(TRIM($AP$2:$AP$518))=UPPER(TRIM($AP25))), --(UPPER(TRIM($B$2:$B$518))="YES"), --(UPPER(TRIM($G$2:$G$518)&amp;TRIM($I$2:$I$518)&amp;TRIM($J$2:$J$518))&lt;&gt;UPPER(TRIM($G25)&amp;TRIM($I25)&amp;TRIM($J25))))&gt;0), AND($AQ25&lt;&gt;"", LOWER(TRIM($AQ25))&lt;&gt;"n/a", LOWER(TRIM($AQ25))&lt;&gt;"na", SUMPRODUCT(--(UPPER(TRIM($AQ$2:$AQ$518))=UPPER(TRIM($AQ25))), --(UPPER(TRIM($B$2:$B$518))="YES"), --(UPPER(TRIM($G$2:$G$518)&amp;TRIM($I$2:$I$518)&amp;TRIM($J$2:$J$518))&lt;&gt;UPPER(TRIM($G25)&amp;TRIM($I25)&amp;TRIM($J25))))&gt;0)), "Yes", "No"))</f>
        <v/>
      </c>
      <c r="G25" t="inlineStr">
        <is>
          <t>NSUH - PSP</t>
        </is>
      </c>
      <c r="H25" t="inlineStr">
        <is>
          <t>NSUH - PSP</t>
        </is>
      </c>
      <c r="I25" t="inlineStr">
        <is>
          <t>Main ORs - PSP - 2nd Floor</t>
        </is>
      </c>
      <c r="J25" t="inlineStr">
        <is>
          <t>Cat Scan Room A</t>
        </is>
      </c>
      <c r="K25" t="inlineStr">
        <is>
          <t>n/a</t>
        </is>
      </c>
      <c r="L25" s="18" t="n">
        <v>46102</v>
      </c>
      <c r="M25" t="inlineStr">
        <is>
          <t>or cybernet</t>
        </is>
      </c>
      <c r="S25" t="inlineStr">
        <is>
          <t>Pass</t>
        </is>
      </c>
      <c r="U25" t="inlineStr">
        <is>
          <t>Dr. Palilla, Timothy W. Seeberger</t>
        </is>
      </c>
      <c r="V25" t="inlineStr">
        <is>
          <t>WMH300OPR391</t>
        </is>
      </c>
      <c r="W25" t="inlineStr">
        <is>
          <t>MEDSG2425F-0189</t>
        </is>
      </c>
      <c r="X25" t="inlineStr">
        <is>
          <t>NSUH-MACH-LL</t>
        </is>
      </c>
      <c r="Y25" t="inlineStr">
        <is>
          <t>A0F5097FE31E</t>
        </is>
      </c>
      <c r="AB25" t="inlineStr">
        <is>
          <t>WA24406134</t>
        </is>
      </c>
      <c r="CD25">
        <f>IF($Y25="","",IF((IF(AND($BR25&lt;&gt;"Yes",$BR25&lt;&gt;"N/A"),"Power Cable, ","")&amp;IF(AND($BS25&lt;&gt;"Yes",$BS25&lt;&gt;"N/A"),"Battery, ","")&amp;IF(AND($AD25&lt;&gt;"Yes",$AD25&lt;&gt;"N/A"),"Firmware Download, ","")&amp;IF(AND(OR($AD25="Yes",$AD25="N/A"),$AE25&lt;&gt;"Yes",$AE25&lt;&gt;"N/A"),"Firmware Install, ","")&amp;IF(AND($CB25&lt;&gt;"Yes",$CB25&lt;&gt;"N/A"),"Device ID, ","")&amp;IF(AND($CC25&lt;&gt;"Yes",$CC25&lt;&gt;"N/A"),"Epic Beans Relay, ",""))="","",LEFT(IF(AND($BR25&lt;&gt;"Yes",$BR25&lt;&gt;"N/A"),"Power Cable, ","")&amp;IF(AND($BS25&lt;&gt;"Yes",$BS25&lt;&gt;"N/A"),"Battery, ","")&amp;IF(AND($AD25&lt;&gt;"Yes",$AD25&lt;&gt;"N/A"),"Firmware Download, ","")&amp;IF(AND(OR($AD25="Yes",$AD25="N/A"),$AE25&lt;&gt;"Yes",$AE25&lt;&gt;"N/A"),"Firmware Install, ","")&amp;IF(AND($CB25&lt;&gt;"Yes",$CB25&lt;&gt;"N/A"),"Device ID, ","")&amp;IF(AND($CC25&lt;&gt;"Yes",$CC25&lt;&gt;"N/A"),"Epic Beans Relay, ",""),LEN(IF(AND($BR25&lt;&gt;"Yes",$BR25&lt;&gt;"N/A"),"Power Cable, ","")&amp;IF(AND($BS25&lt;&gt;"Yes",$BS25&lt;&gt;"N/A"),"Battery, ","")&amp;IF(AND($AD25&lt;&gt;"Yes",$AD25&lt;&gt;"N/A"),"Firmware Download, ","")&amp;IF(AND(OR($AD25="Yes",$AD25="N/A"),$AE25&lt;&gt;"Yes",$AE25&lt;&gt;"N/A"),"Firmware Install, ","")&amp;IF(AND($CB25&lt;&gt;"Yes",$CB25&lt;&gt;"N/A"),"Device ID, ","")&amp;IF(AND($CC25&lt;&gt;"Yes",$CC25&lt;&gt;"N/A"),"Epic Beans Relay, ",""))-2)))</f>
        <v/>
      </c>
      <c r="CE25">
        <f>IF($Y25="","",IF($CD25="","Yes","Blocked"))</f>
        <v/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W25">
        <f>IF($S25="","",IF(UPPER(TRIM($S25))&lt;&gt;"PASS","",IF(LEN(TRIM($BY25))&gt;0,"NOTES_PRESENT",IF(LEN(TRIM($T25))=0,"SET_NA",IF(OR(LOWER(TRIM($T25))="na",LOWER(TRIM($T25))="n/a"),"OK","MANUAL_OVERRIDE")))))</f>
        <v/>
      </c>
    </row>
    <row r="26">
      <c r="A26" t="inlineStr">
        <is>
          <t>Neuron</t>
        </is>
      </c>
      <c r="B26" t="inlineStr">
        <is>
          <t>No</t>
        </is>
      </c>
      <c r="C26" t="inlineStr">
        <is>
          <t>Yes</t>
        </is>
      </c>
      <c r="D26">
        <f>IF($B26&lt;&gt;"Yes","",IF($C26="No","Yes",IF($C26="Yes","No","")))</f>
        <v/>
      </c>
      <c r="E26">
        <f>IF($A26="","",IF(OR(AND($V26&lt;&gt;"",LOWER(TRIM($V26))&lt;&gt;"n/a",LOWER(TRIM($V26))&lt;&gt;"na",SUMPRODUCT(--(UPPER(TRIM($V$2:$V$518))=UPPER(TRIM($V26))),--(TRIM($V$2:$V$518)&lt;&gt;""),--(LOWER(TRIM($V$2:$V$518))&lt;&gt;"n/a"),--(LOWER(TRIM($V$2:$V$518))&lt;&gt;"na"))&gt;1),AND($W26&lt;&gt;"",LOWER(TRIM($W26))&lt;&gt;"n/a",LOWER(TRIM($W26))&lt;&gt;"na",SUMPRODUCT(--(UPPER(TRIM($W$2:$W$518))=UPPER(TRIM($W26))),--(TRIM($W$2:$W$518)&lt;&gt;""),--(LOWER(TRIM($W$2:$W$518))&lt;&gt;"n/a"),--(LOWER(TRIM($W$2:$W$518))&lt;&gt;"na"))&gt;1),AND($X26&lt;&gt;"",LOWER(TRIM($X26))&lt;&gt;"n/a",LOWER(TRIM($X26))&lt;&gt;"na",SUMPRODUCT(--(UPPER(TRIM($X$2:$X$518))=UPPER(TRIM($X26))),--(TRIM($X$2:$X$518)&lt;&gt;""),--(LOWER(TRIM($X$2:$X$518))&lt;&gt;"n/a"),--(LOWER(TRIM($X$2:$X$518))&lt;&gt;"na"))&gt;1),AND($Y26&lt;&gt;"",LOWER(TRIM($Y26))&lt;&gt;"n/a",LOWER(TRIM($Y26))&lt;&gt;"na",SUMPRODUCT(--(UPPER(SUBSTITUTE(SUBSTITUTE(TRIM($Y$2:$Y$518),":",""),"-",""))=UPPER(SUBSTITUTE(SUBSTITUTE(TRIM($Y26),":",""),"-",""))),--(TRIM($Y$2:$Y$518)&lt;&gt;""),--(LOWER(TRIM($Y$2:$Y$518))&lt;&gt;"n/a"),--(LOWER(TRIM($Y$2:$Y$518))&lt;&gt;"na"))&gt;1),AND($AB26&lt;&gt;"",LOWER(TRIM($AB26))&lt;&gt;"n/a",LOWER(TRIM($AB26))&lt;&gt;"na",SUMPRODUCT(--(UPPER(TRIM($AB$2:$AB$518))=UPPER(TRIM($AB26))),--(TRIM($AB$2:$AB$518)&lt;&gt;""),--(LOWER(TRIM($AB$2:$AB$518))&lt;&gt;"n/a"),--(LOWER(TRIM($AB$2:$AB$518))&lt;&gt;"na"))&gt;1),AND($AH26&lt;&gt;"",LOWER(TRIM($AH26))&lt;&gt;"n/a",LOWER(TRIM($AH26))&lt;&gt;"na",SUMPRODUCT(--(UPPER(SUBSTITUTE(SUBSTITUTE(TRIM($AH$2:$AH$518),":",""),"-",""))=UPPER(SUBSTITUTE(SUBSTITUTE(TRIM($AH26),":",""),"-",""))),--(TRIM($AH$2:$AH$518)&lt;&gt;""),--(LOWER(TRIM($AH$2:$AH$518))&lt;&gt;"n/a"),--(LOWER(TRIM($AH$2:$AH$518))&lt;&gt;"na"))&gt;1),AND($AP26&lt;&gt;"",LOWER(TRIM($AP26))&lt;&gt;"n/a",LOWER(TRIM($AP26))&lt;&gt;"na",SUMPRODUCT(--(UPPER(TRIM($AP$2:$AP$518))=UPPER(TRIM($AP26))),--(TRIM($AP$2:$AP$518)&lt;&gt;""),--(LOWER(TRIM($AP$2:$AP$518))&lt;&gt;"n/a"),--(LOWER(TRIM($AP$2:$AP$518))&lt;&gt;"na"))&gt;1),AND($AQ26&lt;&gt;"",LOWER(TRIM($AQ26))&lt;&gt;"n/a",LOWER(TRIM($AQ26))&lt;&gt;"na",SUMPRODUCT(--(UPPER(TRIM($AQ$2:$AQ$518))=UPPER(TRIM($AQ26))),--(TRIM($AQ$2:$AQ$518)&lt;&gt;""),--(LOWER(TRIM($AQ$2:$AQ$518))&lt;&gt;"n/a"),--(LOWER(TRIM($AQ$2:$AQ$518))&lt;&gt;"na"))&gt;1)),"Yes","No"))</f>
        <v/>
      </c>
      <c r="F26">
        <f>IF(UPPER(TRIM($B26))&lt;&gt;"YES","", IF(OR(AND($V26&lt;&gt;"", LOWER(TRIM($V26))&lt;&gt;"n/a", LOWER(TRIM($V26))&lt;&gt;"na", SUMPRODUCT(--(UPPER(TRIM($V$2:$V$518))=UPPER(TRIM($V26))), --(UPPER(TRIM($B$2:$B$518))="YES"), --(UPPER(TRIM($G$2:$G$518)&amp;TRIM($I$2:$I$518)&amp;TRIM($J$2:$J$518))&lt;&gt;UPPER(TRIM($G26)&amp;TRIM($I26)&amp;TRIM($J26))))&gt;0), AND($W26&lt;&gt;"", LOWER(TRIM($W26))&lt;&gt;"n/a", LOWER(TRIM($W26))&lt;&gt;"na", SUMPRODUCT(--(UPPER(TRIM($W$2:$W$518))=UPPER(TRIM($W26))), --(UPPER(TRIM($B$2:$B$518))="YES"), --(UPPER(TRIM($G$2:$G$518)&amp;TRIM($I$2:$I$518)&amp;TRIM($J$2:$J$518))&lt;&gt;UPPER(TRIM($G26)&amp;TRIM($I26)&amp;TRIM($J26))))&gt;0), AND($X26&lt;&gt;"", LOWER(TRIM($X26))&lt;&gt;"n/a", LOWER(TRIM($X26))&lt;&gt;"na", SUMPRODUCT(--(UPPER(TRIM($X$2:$X$518))=UPPER(TRIM($X26))), --(UPPER(TRIM($B$2:$B$518))="YES"), --(UPPER(TRIM($G$2:$G$518)&amp;TRIM($I$2:$I$518)&amp;TRIM($J$2:$J$518))&lt;&gt;UPPER(TRIM($G26)&amp;TRIM($I26)&amp;TRIM($J26))))&gt;0), AND($Y26&lt;&gt;"", LOWER(TRIM($Y26))&lt;&gt;"n/a", LOWER(TRIM($Y26))&lt;&gt;"na", SUMPRODUCT(--(UPPER(SUBSTITUTE(SUBSTITUTE(TRIM($Y$2:$Y$518),":",""),"-",""))=UPPER(SUBSTITUTE(SUBSTITUTE(TRIM($Y26),":",""),"-",""))), --(UPPER(TRIM($B$2:$B$518))="YES"), --(UPPER(TRIM($G$2:$G$518)&amp;TRIM($I$2:$I$518)&amp;TRIM($J$2:$J$518))&lt;&gt;UPPER(TRIM($G26)&amp;TRIM($I26)&amp;TRIM($J26))))&gt;0), AND($AB26&lt;&gt;"", LOWER(TRIM($AB26))&lt;&gt;"n/a", LOWER(TRIM($AB26))&lt;&gt;"na", SUMPRODUCT(--(UPPER(TRIM($AB$2:$AB$518))=UPPER(TRIM($AB26))), --(UPPER(TRIM($B$2:$B$518))="YES"), --(UPPER(TRIM($G$2:$G$518)&amp;TRIM($I$2:$I$518)&amp;TRIM($J$2:$J$518))&lt;&gt;UPPER(TRIM($G26)&amp;TRIM($I26)&amp;TRIM($J26))))&gt;0), AND($AH26&lt;&gt;"", LOWER(TRIM($AH26))&lt;&gt;"n/a", LOWER(TRIM($AH26))&lt;&gt;"na", SUMPRODUCT(--(UPPER(SUBSTITUTE(SUBSTITUTE(TRIM($AH$2:$AH$518),":",""),"-",""))=UPPER(SUBSTITUTE(SUBSTITUTE(TRIM($AH26),":",""),"-",""))), --(UPPER(TRIM($B$2:$B$518))="YES"), --(UPPER(TRIM($G$2:$G$518)&amp;TRIM($I$2:$I$518)&amp;TRIM($J$2:$J$518))&lt;&gt;UPPER(TRIM($G26)&amp;TRIM($I26)&amp;TRIM($J26))))&gt;0), AND($AP26&lt;&gt;"", LOWER(TRIM($AP26))&lt;&gt;"n/a", LOWER(TRIM($AP26))&lt;&gt;"na", SUMPRODUCT(--(UPPER(TRIM($AP$2:$AP$518))=UPPER(TRIM($AP26))), --(UPPER(TRIM($B$2:$B$518))="YES"), --(UPPER(TRIM($G$2:$G$518)&amp;TRIM($I$2:$I$518)&amp;TRIM($J$2:$J$518))&lt;&gt;UPPER(TRIM($G26)&amp;TRIM($I26)&amp;TRIM($J26))))&gt;0), AND($AQ26&lt;&gt;"", LOWER(TRIM($AQ26))&lt;&gt;"n/a", LOWER(TRIM($AQ26))&lt;&gt;"na", SUMPRODUCT(--(UPPER(TRIM($AQ$2:$AQ$518))=UPPER(TRIM($AQ26))), --(UPPER(TRIM($B$2:$B$518))="YES"), --(UPPER(TRIM($G$2:$G$518)&amp;TRIM($I$2:$I$518)&amp;TRIM($J$2:$J$518))&lt;&gt;UPPER(TRIM($G26)&amp;TRIM($I26)&amp;TRIM($J26))))&gt;0)), "Yes", "No"))</f>
        <v/>
      </c>
      <c r="G26" t="inlineStr">
        <is>
          <t>NSUH - Endo</t>
        </is>
      </c>
      <c r="H26" t="inlineStr">
        <is>
          <t>NSUH - Endo</t>
        </is>
      </c>
      <c r="I26" t="inlineStr">
        <is>
          <t>4th Floor - Between Tower and Levitt</t>
        </is>
      </c>
      <c r="J26" t="n">
        <v>2</v>
      </c>
      <c r="K26" t="inlineStr">
        <is>
          <t>endoscopy</t>
        </is>
      </c>
      <c r="L26" s="18" t="n">
        <v>46102</v>
      </c>
      <c r="M26" t="inlineStr">
        <is>
          <t>OR Neuron</t>
        </is>
      </c>
      <c r="S26" t="inlineStr">
        <is>
          <t>ALEJANDRO</t>
        </is>
      </c>
      <c r="U26" t="inlineStr">
        <is>
          <t>Tim - NSUH Endo</t>
        </is>
      </c>
      <c r="V26" t="inlineStr">
        <is>
          <t>NSW10MH300ANS53</t>
        </is>
      </c>
      <c r="W26" t="inlineStr">
        <is>
          <t>C19A032315</t>
        </is>
      </c>
      <c r="X26" t="inlineStr">
        <is>
          <t>NSUH-MACH-M</t>
        </is>
      </c>
      <c r="Y26" t="inlineStr">
        <is>
          <t>A0F5097E0CC</t>
        </is>
      </c>
      <c r="AB26" t="inlineStr">
        <is>
          <t>WA24406369</t>
        </is>
      </c>
      <c r="AC26" t="inlineStr">
        <is>
          <t>NSUH</t>
        </is>
      </c>
      <c r="AI26" t="inlineStr">
        <is>
          <t>Anesthesia Machine</t>
        </is>
      </c>
      <c r="AJ26" t="n">
        <v>443776</v>
      </c>
      <c r="AM26" t="inlineStr">
        <is>
          <t xml:space="preserve"> FABIUS GS PREMUM</t>
        </is>
      </c>
      <c r="AN26" t="inlineStr">
        <is>
          <t>FABIUS GS PREMIUM</t>
        </is>
      </c>
      <c r="AP26" t="inlineStr">
        <is>
          <t>01040486750414671119071121ASMH-0014938607000-73</t>
        </is>
      </c>
      <c r="AQ26" t="inlineStr">
        <is>
          <t>01040486750414671119071121ASMH-0014938607000-73</t>
        </is>
      </c>
      <c r="AS26" t="inlineStr">
        <is>
          <t>B1-CFT\UPSTAIRS</t>
        </is>
      </c>
      <c r="AT26" t="inlineStr">
        <is>
          <t>B1-CFB</t>
        </is>
      </c>
      <c r="AX26" t="inlineStr">
        <is>
          <t>CARESCAPE B450\SNT22232019SA\449301</t>
        </is>
      </c>
      <c r="AY26" t="inlineStr">
        <is>
          <t>FABIUS GS PREMIUM\01040486750414671119071121ASMH-0014938607000-73\443776</t>
        </is>
      </c>
      <c r="BH26" t="n">
        <v>115200</v>
      </c>
      <c r="BI26" t="n">
        <v>19200</v>
      </c>
      <c r="BM26" t="inlineStr">
        <is>
          <t>E81</t>
        </is>
      </c>
      <c r="BN26" t="inlineStr">
        <is>
          <t>O71</t>
        </is>
      </c>
      <c r="CD26">
        <f>IF($Y26="","",IF((IF(AND($BR26&lt;&gt;"Yes",$BR26&lt;&gt;"N/A"),"Power Cable, ","")&amp;IF(AND($BS26&lt;&gt;"Yes",$BS26&lt;&gt;"N/A"),"Battery, ","")&amp;IF(AND($AD26&lt;&gt;"Yes",$AD26&lt;&gt;"N/A"),"Firmware Download, ","")&amp;IF(AND(OR($AD26="Yes",$AD26="N/A"),$AE26&lt;&gt;"Yes",$AE26&lt;&gt;"N/A"),"Firmware Install, ","")&amp;IF(AND($CB26&lt;&gt;"Yes",$CB26&lt;&gt;"N/A"),"Device ID, ","")&amp;IF(AND($CC26&lt;&gt;"Yes",$CC26&lt;&gt;"N/A"),"Epic Beans Relay, ",""))="","",LEFT(IF(AND($BR26&lt;&gt;"Yes",$BR26&lt;&gt;"N/A"),"Power Cable, ","")&amp;IF(AND($BS26&lt;&gt;"Yes",$BS26&lt;&gt;"N/A"),"Battery, ","")&amp;IF(AND($AD26&lt;&gt;"Yes",$AD26&lt;&gt;"N/A"),"Firmware Download, ","")&amp;IF(AND(OR($AD26="Yes",$AD26="N/A"),$AE26&lt;&gt;"Yes",$AE26&lt;&gt;"N/A"),"Firmware Install, ","")&amp;IF(AND($CB26&lt;&gt;"Yes",$CB26&lt;&gt;"N/A"),"Device ID, ","")&amp;IF(AND($CC26&lt;&gt;"Yes",$CC26&lt;&gt;"N/A"),"Epic Beans Relay, ",""),LEN(IF(AND($BR26&lt;&gt;"Yes",$BR26&lt;&gt;"N/A"),"Power Cable, ","")&amp;IF(AND($BS26&lt;&gt;"Yes",$BS26&lt;&gt;"N/A"),"Battery, ","")&amp;IF(AND($AD26&lt;&gt;"Yes",$AD26&lt;&gt;"N/A"),"Firmware Download, ","")&amp;IF(AND(OR($AD26="Yes",$AD26="N/A"),$AE26&lt;&gt;"Yes",$AE26&lt;&gt;"N/A"),"Firmware Install, ","")&amp;IF(AND($CB26&lt;&gt;"Yes",$CB26&lt;&gt;"N/A"),"Device ID, ","")&amp;IF(AND($CC26&lt;&gt;"Yes",$CC26&lt;&gt;"N/A"),"Epic Beans Relay, ",""))-2)))</f>
        <v/>
      </c>
      <c r="CE26">
        <f>IF($Y26="","",IF($CD26="","Yes","Blocked"))</f>
        <v/>
      </c>
      <c r="CP26">
        <f>IF($CO26="","",IFERROR(VLOOKUP($CO26,'01_Warehouse_Ledger'!$A:$N,4,FALSE),""))</f>
        <v/>
      </c>
      <c r="CQ26">
        <f>IF($CO26="","",IFERROR(VLOOKUP($CO26,'01_Warehouse_Ledger'!$A:$N,5,FALSE),""))</f>
        <v/>
      </c>
      <c r="CR26">
        <f>IF($CO26="","",IFERROR(VLOOKUP($CO26,'01_Warehouse_Ledger'!$A:$N,13,FALSE),""))</f>
        <v/>
      </c>
      <c r="CW26">
        <f>IF($S26="","",IF(UPPER(TRIM($S26))&lt;&gt;"PASS","",IF(LEN(TRIM($BY26))&gt;0,"NOTES_PRESENT",IF(LEN(TRIM($T26))=0,"SET_NA",IF(OR(LOWER(TRIM($T26))="na",LOWER(TRIM($T26))="n/a"),"OK","MANUAL_OVERRIDE")))))</f>
        <v/>
      </c>
    </row>
    <row r="27">
      <c r="A27" t="inlineStr">
        <is>
          <t>Neuron</t>
        </is>
      </c>
      <c r="B27" t="inlineStr">
        <is>
          <t>No</t>
        </is>
      </c>
      <c r="C27" t="inlineStr">
        <is>
          <t>Yes</t>
        </is>
      </c>
      <c r="D27">
        <f>IF($B27&lt;&gt;"Yes","",IF($C27="No","Yes",IF($C27="Yes","No","")))</f>
        <v/>
      </c>
      <c r="E27">
        <f>IF($A27="","",IF(OR(AND($V27&lt;&gt;"",LOWER(TRIM($V27))&lt;&gt;"n/a",LOWER(TRIM($V27))&lt;&gt;"na",SUMPRODUCT(--(UPPER(TRIM($V$2:$V$518))=UPPER(TRIM($V27))),--(TRIM($V$2:$V$518)&lt;&gt;""),--(LOWER(TRIM($V$2:$V$518))&lt;&gt;"n/a"),--(LOWER(TRIM($V$2:$V$518))&lt;&gt;"na"))&gt;1),AND($W27&lt;&gt;"",LOWER(TRIM($W27))&lt;&gt;"n/a",LOWER(TRIM($W27))&lt;&gt;"na",SUMPRODUCT(--(UPPER(TRIM($W$2:$W$518))=UPPER(TRIM($W27))),--(TRIM($W$2:$W$518)&lt;&gt;""),--(LOWER(TRIM($W$2:$W$518))&lt;&gt;"n/a"),--(LOWER(TRIM($W$2:$W$518))&lt;&gt;"na"))&gt;1),AND($X27&lt;&gt;"",LOWER(TRIM($X27))&lt;&gt;"n/a",LOWER(TRIM($X27))&lt;&gt;"na",SUMPRODUCT(--(UPPER(TRIM($X$2:$X$518))=UPPER(TRIM($X27))),--(TRIM($X$2:$X$518)&lt;&gt;""),--(LOWER(TRIM($X$2:$X$518))&lt;&gt;"n/a"),--(LOWER(TRIM($X$2:$X$518))&lt;&gt;"na"))&gt;1),AND($Y27&lt;&gt;"",LOWER(TRIM($Y27))&lt;&gt;"n/a",LOWER(TRIM($Y27))&lt;&gt;"na",SUMPRODUCT(--(UPPER(SUBSTITUTE(SUBSTITUTE(TRIM($Y$2:$Y$518),":",""),"-",""))=UPPER(SUBSTITUTE(SUBSTITUTE(TRIM($Y27),":",""),"-",""))),--(TRIM($Y$2:$Y$518)&lt;&gt;""),--(LOWER(TRIM($Y$2:$Y$518))&lt;&gt;"n/a"),--(LOWER(TRIM($Y$2:$Y$518))&lt;&gt;"na"))&gt;1),AND($AB27&lt;&gt;"",LOWER(TRIM($AB27))&lt;&gt;"n/a",LOWER(TRIM($AB27))&lt;&gt;"na",SUMPRODUCT(--(UPPER(TRIM($AB$2:$AB$518))=UPPER(TRIM($AB27))),--(TRIM($AB$2:$AB$518)&lt;&gt;""),--(LOWER(TRIM($AB$2:$AB$518))&lt;&gt;"n/a"),--(LOWER(TRIM($AB$2:$AB$518))&lt;&gt;"na"))&gt;1),AND($AH27&lt;&gt;"",LOWER(TRIM($AH27))&lt;&gt;"n/a",LOWER(TRIM($AH27))&lt;&gt;"na",SUMPRODUCT(--(UPPER(SUBSTITUTE(SUBSTITUTE(TRIM($AH$2:$AH$518),":",""),"-",""))=UPPER(SUBSTITUTE(SUBSTITUTE(TRIM($AH27),":",""),"-",""))),--(TRIM($AH$2:$AH$518)&lt;&gt;""),--(LOWER(TRIM($AH$2:$AH$518))&lt;&gt;"n/a"),--(LOWER(TRIM($AH$2:$AH$518))&lt;&gt;"na"))&gt;1),AND($AP27&lt;&gt;"",LOWER(TRIM($AP27))&lt;&gt;"n/a",LOWER(TRIM($AP27))&lt;&gt;"na",SUMPRODUCT(--(UPPER(TRIM($AP$2:$AP$518))=UPPER(TRIM($AP27))),--(TRIM($AP$2:$AP$518)&lt;&gt;""),--(LOWER(TRIM($AP$2:$AP$518))&lt;&gt;"n/a"),--(LOWER(TRIM($AP$2:$AP$518))&lt;&gt;"na"))&gt;1),AND($AQ27&lt;&gt;"",LOWER(TRIM($AQ27))&lt;&gt;"n/a",LOWER(TRIM($AQ27))&lt;&gt;"na",SUMPRODUCT(--(UPPER(TRIM($AQ$2:$AQ$518))=UPPER(TRIM($AQ27))),--(TRIM($AQ$2:$AQ$518)&lt;&gt;""),--(LOWER(TRIM($AQ$2:$AQ$518))&lt;&gt;"n/a"),--(LOWER(TRIM($AQ$2:$AQ$518))&lt;&gt;"na"))&gt;1)),"Yes","No"))</f>
        <v/>
      </c>
      <c r="F27">
        <f>IF(UPPER(TRIM($B27))&lt;&gt;"YES","", IF(OR(AND($V27&lt;&gt;"", LOWER(TRIM($V27))&lt;&gt;"n/a", LOWER(TRIM($V27))&lt;&gt;"na", SUMPRODUCT(--(UPPER(TRIM($V$2:$V$518))=UPPER(TRIM($V27))), --(UPPER(TRIM($B$2:$B$518))="YES"), --(UPPER(TRIM($G$2:$G$518)&amp;TRIM($I$2:$I$518)&amp;TRIM($J$2:$J$518))&lt;&gt;UPPER(TRIM($G27)&amp;TRIM($I27)&amp;TRIM($J27))))&gt;0), AND($W27&lt;&gt;"", LOWER(TRIM($W27))&lt;&gt;"n/a", LOWER(TRIM($W27))&lt;&gt;"na", SUMPRODUCT(--(UPPER(TRIM($W$2:$W$518))=UPPER(TRIM($W27))), --(UPPER(TRIM($B$2:$B$518))="YES"), --(UPPER(TRIM($G$2:$G$518)&amp;TRIM($I$2:$I$518)&amp;TRIM($J$2:$J$518))&lt;&gt;UPPER(TRIM($G27)&amp;TRIM($I27)&amp;TRIM($J27))))&gt;0), AND($X27&lt;&gt;"", LOWER(TRIM($X27))&lt;&gt;"n/a", LOWER(TRIM($X27))&lt;&gt;"na", SUMPRODUCT(--(UPPER(TRIM($X$2:$X$518))=UPPER(TRIM($X27))), --(UPPER(TRIM($B$2:$B$518))="YES"), --(UPPER(TRIM($G$2:$G$518)&amp;TRIM($I$2:$I$518)&amp;TRIM($J$2:$J$518))&lt;&gt;UPPER(TRIM($G27)&amp;TRIM($I27)&amp;TRIM($J27))))&gt;0), AND($Y27&lt;&gt;"", LOWER(TRIM($Y27))&lt;&gt;"n/a", LOWER(TRIM($Y27))&lt;&gt;"na", SUMPRODUCT(--(UPPER(SUBSTITUTE(SUBSTITUTE(TRIM($Y$2:$Y$518),":",""),"-",""))=UPPER(SUBSTITUTE(SUBSTITUTE(TRIM($Y27),":",""),"-",""))), --(UPPER(TRIM($B$2:$B$518))="YES"), --(UPPER(TRIM($G$2:$G$518)&amp;TRIM($I$2:$I$518)&amp;TRIM($J$2:$J$518))&lt;&gt;UPPER(TRIM($G27)&amp;TRIM($I27)&amp;TRIM($J27))))&gt;0), AND($AB27&lt;&gt;"", LOWER(TRIM($AB27))&lt;&gt;"n/a", LOWER(TRIM($AB27))&lt;&gt;"na", SUMPRODUCT(--(UPPER(TRIM($AB$2:$AB$518))=UPPER(TRIM($AB27))), --(UPPER(TRIM($B$2:$B$518))="YES"), --(UPPER(TRIM($G$2:$G$518)&amp;TRIM($I$2:$I$518)&amp;TRIM($J$2:$J$518))&lt;&gt;UPPER(TRIM($G27)&amp;TRIM($I27)&amp;TRIM($J27))))&gt;0), AND($AH27&lt;&gt;"", LOWER(TRIM($AH27))&lt;&gt;"n/a", LOWER(TRIM($AH27))&lt;&gt;"na", SUMPRODUCT(--(UPPER(SUBSTITUTE(SUBSTITUTE(TRIM($AH$2:$AH$518),":",""),"-",""))=UPPER(SUBSTITUTE(SUBSTITUTE(TRIM($AH27),":",""),"-",""))), --(UPPER(TRIM($B$2:$B$518))="YES"), --(UPPER(TRIM($G$2:$G$518)&amp;TRIM($I$2:$I$518)&amp;TRIM($J$2:$J$518))&lt;&gt;UPPER(TRIM($G27)&amp;TRIM($I27)&amp;TRIM($J27))))&gt;0), AND($AP27&lt;&gt;"", LOWER(TRIM($AP27))&lt;&gt;"n/a", LOWER(TRIM($AP27))&lt;&gt;"na", SUMPRODUCT(--(UPPER(TRIM($AP$2:$AP$518))=UPPER(TRIM($AP27))), --(UPPER(TRIM($B$2:$B$518))="YES"), --(UPPER(TRIM($G$2:$G$518)&amp;TRIM($I$2:$I$518)&amp;TRIM($J$2:$J$518))&lt;&gt;UPPER(TRIM($G27)&amp;TRIM($I27)&amp;TRIM($J27))))&gt;0), AND($AQ27&lt;&gt;"", LOWER(TRIM($AQ27))&lt;&gt;"n/a", LOWER(TRIM($AQ27))&lt;&gt;"na", SUMPRODUCT(--(UPPER(TRIM($AQ$2:$AQ$518))=UPPER(TRIM($AQ27))), --(UPPER(TRIM($B$2:$B$518))="YES"), --(UPPER(TRIM($G$2:$G$518)&amp;TRIM($I$2:$I$518)&amp;TRIM($J$2:$J$518))&lt;&gt;UPPER(TRIM($G27)&amp;TRIM($I27)&amp;TRIM($J27))))&gt;0)), "Yes", "No"))</f>
        <v/>
      </c>
      <c r="G27" t="inlineStr">
        <is>
          <t>NSUH - ENDO</t>
        </is>
      </c>
      <c r="H27" t="inlineStr">
        <is>
          <t>NSUH - ENDO</t>
        </is>
      </c>
      <c r="I27" t="inlineStr">
        <is>
          <t>4 TH FLOOR</t>
        </is>
      </c>
      <c r="J27" t="n">
        <v>5</v>
      </c>
      <c r="K27" t="inlineStr">
        <is>
          <t>ENDOSCOPY</t>
        </is>
      </c>
      <c r="L27" s="18" t="n">
        <v>46102</v>
      </c>
      <c r="M27" t="inlineStr">
        <is>
          <t>OR NUERON</t>
        </is>
      </c>
      <c r="S27" t="inlineStr">
        <is>
          <t>ALEJANDRO</t>
        </is>
      </c>
      <c r="U27" t="inlineStr">
        <is>
          <t>Tim - NSUH Endo</t>
        </is>
      </c>
      <c r="V27" t="inlineStr">
        <is>
          <t>WMH300ANS025</t>
        </is>
      </c>
      <c r="W27" t="inlineStr">
        <is>
          <t>C195202015</t>
        </is>
      </c>
      <c r="AB27" t="inlineStr">
        <is>
          <t>WA25203747</t>
        </is>
      </c>
      <c r="AI27" t="inlineStr">
        <is>
          <t>Anesthesia Machine</t>
        </is>
      </c>
      <c r="AJ27" t="n">
        <v>60743</v>
      </c>
      <c r="AM27" t="inlineStr">
        <is>
          <t xml:space="preserve">fabuis gs premium </t>
        </is>
      </c>
      <c r="AN27" t="inlineStr">
        <is>
          <t xml:space="preserve">fabuis gs premium </t>
        </is>
      </c>
      <c r="AP27" t="inlineStr">
        <is>
          <t>8607000-33ASBB-0049</t>
        </is>
      </c>
      <c r="AQ27" t="inlineStr">
        <is>
          <t>8607000-33ASBB-0049</t>
        </is>
      </c>
      <c r="AS27" t="inlineStr">
        <is>
          <t>B1-CFT\UPSTAIRS</t>
        </is>
      </c>
      <c r="AT27" t="inlineStr">
        <is>
          <t>B1-CFB</t>
        </is>
      </c>
      <c r="AX27" t="inlineStr">
        <is>
          <t>Carescape b19kt\DTQ181K1392\410170</t>
        </is>
      </c>
      <c r="AY27" t="inlineStr">
        <is>
          <t>Fabiuss GS Premium\8607000-33ASBB-0049\060743</t>
        </is>
      </c>
      <c r="BH27" t="n">
        <v>115200</v>
      </c>
      <c r="BI27" t="n">
        <v>9600</v>
      </c>
      <c r="BM27" t="inlineStr">
        <is>
          <t>E81</t>
        </is>
      </c>
      <c r="BN27" t="inlineStr">
        <is>
          <t>E81</t>
        </is>
      </c>
      <c r="CW27">
        <f>IF($S27="","",IF(UPPER(TRIM($S27))&lt;&gt;"PASS","",IF(LEN(TRIM($BY27))&gt;0,"NOTES_PRESENT",IF(LEN(TRIM($T27))=0,"SET_NA",IF(OR(LOWER(TRIM($T27))="na",LOWER(TRIM($T27))="n/a"),"OK","MANUAL_OVERRIDE")))))</f>
        <v/>
      </c>
    </row>
    <row r="28">
      <c r="A28" t="inlineStr">
        <is>
          <t>Neuron Cybernet</t>
        </is>
      </c>
      <c r="B28" t="inlineStr">
        <is>
          <t>No</t>
        </is>
      </c>
      <c r="C28" t="inlineStr">
        <is>
          <t>No</t>
        </is>
      </c>
      <c r="D28">
        <f>IF($B28&lt;&gt;"Yes","",IF($C28="No","Yes",IF($C28="Yes","No","")))</f>
        <v/>
      </c>
      <c r="E28">
        <f>IF($A28="","",IF(OR(AND($V28&lt;&gt;"",LOWER(TRIM($V28))&lt;&gt;"n/a",LOWER(TRIM($V28))&lt;&gt;"na",SUMPRODUCT(--(UPPER(TRIM($V$2:$V$518))=UPPER(TRIM($V28))),--(TRIM($V$2:$V$518)&lt;&gt;""),--(LOWER(TRIM($V$2:$V$518))&lt;&gt;"n/a"),--(LOWER(TRIM($V$2:$V$518))&lt;&gt;"na"))&gt;1),AND($W28&lt;&gt;"",LOWER(TRIM($W28))&lt;&gt;"n/a",LOWER(TRIM($W28))&lt;&gt;"na",SUMPRODUCT(--(UPPER(TRIM($W$2:$W$518))=UPPER(TRIM($W28))),--(TRIM($W$2:$W$518)&lt;&gt;""),--(LOWER(TRIM($W$2:$W$518))&lt;&gt;"n/a"),--(LOWER(TRIM($W$2:$W$518))&lt;&gt;"na"))&gt;1),AND($X28&lt;&gt;"",LOWER(TRIM($X28))&lt;&gt;"n/a",LOWER(TRIM($X28))&lt;&gt;"na",SUMPRODUCT(--(UPPER(TRIM($X$2:$X$518))=UPPER(TRIM($X28))),--(TRIM($X$2:$X$518)&lt;&gt;""),--(LOWER(TRIM($X$2:$X$518))&lt;&gt;"n/a"),--(LOWER(TRIM($X$2:$X$518))&lt;&gt;"na"))&gt;1),AND($Y28&lt;&gt;"",LOWER(TRIM($Y28))&lt;&gt;"n/a",LOWER(TRIM($Y28))&lt;&gt;"na",SUMPRODUCT(--(UPPER(SUBSTITUTE(SUBSTITUTE(TRIM($Y$2:$Y$518),":",""),"-",""))=UPPER(SUBSTITUTE(SUBSTITUTE(TRIM($Y28),":",""),"-",""))),--(TRIM($Y$2:$Y$518)&lt;&gt;""),--(LOWER(TRIM($Y$2:$Y$518))&lt;&gt;"n/a"),--(LOWER(TRIM($Y$2:$Y$518))&lt;&gt;"na"))&gt;1),AND($AB28&lt;&gt;"",LOWER(TRIM($AB28))&lt;&gt;"n/a",LOWER(TRIM($AB28))&lt;&gt;"na",SUMPRODUCT(--(UPPER(TRIM($AB$2:$AB$518))=UPPER(TRIM($AB28))),--(TRIM($AB$2:$AB$518)&lt;&gt;""),--(LOWER(TRIM($AB$2:$AB$518))&lt;&gt;"n/a"),--(LOWER(TRIM($AB$2:$AB$518))&lt;&gt;"na"))&gt;1),AND($AH28&lt;&gt;"",LOWER(TRIM($AH28))&lt;&gt;"n/a",LOWER(TRIM($AH28))&lt;&gt;"na",SUMPRODUCT(--(UPPER(SUBSTITUTE(SUBSTITUTE(TRIM($AH$2:$AH$518),":",""),"-",""))=UPPER(SUBSTITUTE(SUBSTITUTE(TRIM($AH28),":",""),"-",""))),--(TRIM($AH$2:$AH$518)&lt;&gt;""),--(LOWER(TRIM($AH$2:$AH$518))&lt;&gt;"n/a"),--(LOWER(TRIM($AH$2:$AH$518))&lt;&gt;"na"))&gt;1),AND($AP28&lt;&gt;"",LOWER(TRIM($AP28))&lt;&gt;"n/a",LOWER(TRIM($AP28))&lt;&gt;"na",SUMPRODUCT(--(UPPER(TRIM($AP$2:$AP$518))=UPPER(TRIM($AP28))),--(TRIM($AP$2:$AP$518)&lt;&gt;""),--(LOWER(TRIM($AP$2:$AP$518))&lt;&gt;"n/a"),--(LOWER(TRIM($AP$2:$AP$518))&lt;&gt;"na"))&gt;1),AND($AQ28&lt;&gt;"",LOWER(TRIM($AQ28))&lt;&gt;"n/a",LOWER(TRIM($AQ28))&lt;&gt;"na",SUMPRODUCT(--(UPPER(TRIM($AQ$2:$AQ$518))=UPPER(TRIM($AQ28))),--(TRIM($AQ$2:$AQ$518)&lt;&gt;""),--(LOWER(TRIM($AQ$2:$AQ$518))&lt;&gt;"n/a"),--(LOWER(TRIM($AQ$2:$AQ$518))&lt;&gt;"na"))&gt;1)),"Yes","No"))</f>
        <v/>
      </c>
      <c r="F28">
        <f>IF(UPPER(TRIM($B28))&lt;&gt;"YES","", IF(OR(AND($V28&lt;&gt;"", LOWER(TRIM($V28))&lt;&gt;"n/a", LOWER(TRIM($V28))&lt;&gt;"na", SUMPRODUCT(--(UPPER(TRIM($V$2:$V$518))=UPPER(TRIM($V28))), --(UPPER(TRIM($B$2:$B$518))="YES"), --(UPPER(TRIM($G$2:$G$518)&amp;TRIM($I$2:$I$518)&amp;TRIM($J$2:$J$518))&lt;&gt;UPPER(TRIM($G28)&amp;TRIM($I28)&amp;TRIM($J28))))&gt;0), AND($W28&lt;&gt;"", LOWER(TRIM($W28))&lt;&gt;"n/a", LOWER(TRIM($W28))&lt;&gt;"na", SUMPRODUCT(--(UPPER(TRIM($W$2:$W$518))=UPPER(TRIM($W28))), --(UPPER(TRIM($B$2:$B$518))="YES"), --(UPPER(TRIM($G$2:$G$518)&amp;TRIM($I$2:$I$518)&amp;TRIM($J$2:$J$518))&lt;&gt;UPPER(TRIM($G28)&amp;TRIM($I28)&amp;TRIM($J28))))&gt;0), AND($X28&lt;&gt;"", LOWER(TRIM($X28))&lt;&gt;"n/a", LOWER(TRIM($X28))&lt;&gt;"na", SUMPRODUCT(--(UPPER(TRIM($X$2:$X$518))=UPPER(TRIM($X28))), --(UPPER(TRIM($B$2:$B$518))="YES"), --(UPPER(TRIM($G$2:$G$518)&amp;TRIM($I$2:$I$518)&amp;TRIM($J$2:$J$518))&lt;&gt;UPPER(TRIM($G28)&amp;TRIM($I28)&amp;TRIM($J28))))&gt;0), AND($Y28&lt;&gt;"", LOWER(TRIM($Y28))&lt;&gt;"n/a", LOWER(TRIM($Y28))&lt;&gt;"na", SUMPRODUCT(--(UPPER(SUBSTITUTE(SUBSTITUTE(TRIM($Y$2:$Y$518),":",""),"-",""))=UPPER(SUBSTITUTE(SUBSTITUTE(TRIM($Y28),":",""),"-",""))), --(UPPER(TRIM($B$2:$B$518))="YES"), --(UPPER(TRIM($G$2:$G$518)&amp;TRIM($I$2:$I$518)&amp;TRIM($J$2:$J$518))&lt;&gt;UPPER(TRIM($G28)&amp;TRIM($I28)&amp;TRIM($J28))))&gt;0), AND($AB28&lt;&gt;"", LOWER(TRIM($AB28))&lt;&gt;"n/a", LOWER(TRIM($AB28))&lt;&gt;"na", SUMPRODUCT(--(UPPER(TRIM($AB$2:$AB$518))=UPPER(TRIM($AB28))), --(UPPER(TRIM($B$2:$B$518))="YES"), --(UPPER(TRIM($G$2:$G$518)&amp;TRIM($I$2:$I$518)&amp;TRIM($J$2:$J$518))&lt;&gt;UPPER(TRIM($G28)&amp;TRIM($I28)&amp;TRIM($J28))))&gt;0), AND($AH28&lt;&gt;"", LOWER(TRIM($AH28))&lt;&gt;"n/a", LOWER(TRIM($AH28))&lt;&gt;"na", SUMPRODUCT(--(UPPER(SUBSTITUTE(SUBSTITUTE(TRIM($AH$2:$AH$518),":",""),"-",""))=UPPER(SUBSTITUTE(SUBSTITUTE(TRIM($AH28),":",""),"-",""))), --(UPPER(TRIM($B$2:$B$518))="YES"), --(UPPER(TRIM($G$2:$G$518)&amp;TRIM($I$2:$I$518)&amp;TRIM($J$2:$J$518))&lt;&gt;UPPER(TRIM($G28)&amp;TRIM($I28)&amp;TRIM($J28))))&gt;0), AND($AP28&lt;&gt;"", LOWER(TRIM($AP28))&lt;&gt;"n/a", LOWER(TRIM($AP28))&lt;&gt;"na", SUMPRODUCT(--(UPPER(TRIM($AP$2:$AP$518))=UPPER(TRIM($AP28))), --(UPPER(TRIM($B$2:$B$518))="YES"), --(UPPER(TRIM($G$2:$G$518)&amp;TRIM($I$2:$I$518)&amp;TRIM($J$2:$J$518))&lt;&gt;UPPER(TRIM($G28)&amp;TRIM($I28)&amp;TRIM($J28))))&gt;0), AND($AQ28&lt;&gt;"", LOWER(TRIM($AQ28))&lt;&gt;"n/a", LOWER(TRIM($AQ28))&lt;&gt;"na", SUMPRODUCT(--(UPPER(TRIM($AQ$2:$AQ$518))=UPPER(TRIM($AQ28))), --(UPPER(TRIM($B$2:$B$518))="YES"), --(UPPER(TRIM($G$2:$G$518)&amp;TRIM($I$2:$I$518)&amp;TRIM($J$2:$J$518))&lt;&gt;UPPER(TRIM($G28)&amp;TRIM($I28)&amp;TRIM($J28))))&gt;0)), "Yes", "No"))</f>
        <v/>
      </c>
      <c r="G28" t="inlineStr">
        <is>
          <t>NSUH - PSP</t>
        </is>
      </c>
      <c r="H28" t="inlineStr">
        <is>
          <t>NSUH - PSP</t>
        </is>
      </c>
      <c r="I28" t="inlineStr">
        <is>
          <t>Main ORs - PSP - 2nd Floor</t>
        </is>
      </c>
      <c r="J28" t="inlineStr">
        <is>
          <t>OR 16</t>
        </is>
      </c>
      <c r="L28" s="18" t="n">
        <v>46095</v>
      </c>
      <c r="U28" t="inlineStr">
        <is>
          <t>Dr. Palilla, Timothy W. Seeberger</t>
        </is>
      </c>
      <c r="V28" t="inlineStr">
        <is>
          <t>WMH300OPR359</t>
        </is>
      </c>
      <c r="W28" t="inlineStr">
        <is>
          <t>MEDSG2425F-0291</t>
        </is>
      </c>
      <c r="X28" t="inlineStr">
        <is>
          <t>NSUH-MACH-AAA</t>
        </is>
      </c>
      <c r="Y28" t="inlineStr">
        <is>
          <t>A0F5097B8C9F</t>
        </is>
      </c>
      <c r="AB28" t="inlineStr">
        <is>
          <t>WA25203887</t>
        </is>
      </c>
      <c r="AH28" t="inlineStr">
        <is>
          <t>000D050AA5AD</t>
        </is>
      </c>
      <c r="AI28" t="inlineStr">
        <is>
          <t>Anesthesia Machine</t>
        </is>
      </c>
      <c r="AJ28" t="n">
        <v>461517</v>
      </c>
      <c r="AL28" t="inlineStr">
        <is>
          <t>7102-767 / 7102-766</t>
        </is>
      </c>
      <c r="AM28" t="inlineStr">
        <is>
          <t>GE Healthcare</t>
        </is>
      </c>
      <c r="AN28" t="inlineStr">
        <is>
          <t>Aisys CS2</t>
        </is>
      </c>
      <c r="AP28" t="inlineStr">
        <is>
          <t>010084068210229221APWD0084511240320</t>
        </is>
      </c>
      <c r="AQ28" t="inlineStr">
        <is>
          <t>010084068210229221APWD0084511240320</t>
        </is>
      </c>
      <c r="AS28" t="inlineStr">
        <is>
          <t>GE Canvas 1000: 833-08 / GE G1500213: 133-08C</t>
        </is>
      </c>
      <c r="AT28" t="inlineStr">
        <is>
          <t>B1-CFU</t>
        </is>
      </c>
      <c r="AX28" t="inlineStr">
        <is>
          <t>GE Canvas 1000: 347SA / GE G1500213: 091188028</t>
        </is>
      </c>
      <c r="AY28" t="inlineStr">
        <is>
          <t>010084068210229221APWD0084511240320</t>
        </is>
      </c>
      <c r="CW28">
        <f>IF($S28="","",IF(UPPER(TRIM($S28))&lt;&gt;"PASS","",IF(LEN(TRIM($BY28))&gt;0,"NOTES_PRESENT",IF(LEN(TRIM($T28))=0,"SET_NA",IF(OR(LOWER(TRIM($T28))="na",LOWER(TRIM($T28))="n/a"),"OK","MANUAL_OVERRIDE")))))</f>
        <v/>
      </c>
    </row>
    <row r="29">
      <c r="A29" t="inlineStr">
        <is>
          <t>Neuron Cybernet</t>
        </is>
      </c>
      <c r="B29" t="inlineStr">
        <is>
          <t>Yes</t>
        </is>
      </c>
      <c r="C29" t="inlineStr">
        <is>
          <t>Yes</t>
        </is>
      </c>
      <c r="D29">
        <f>IF($B29&lt;&gt;"Yes","",IF($C29="No","Yes",IF($C29="Yes","No","")))</f>
        <v/>
      </c>
      <c r="E29">
        <f>IF($A29="","",IF(OR(AND($V29&lt;&gt;"",LOWER(TRIM($V29))&lt;&gt;"n/a",LOWER(TRIM($V29))&lt;&gt;"na",SUMPRODUCT(--(UPPER(TRIM($V$2:$V$518))=UPPER(TRIM($V29))),--(TRIM($V$2:$V$518)&lt;&gt;""),--(LOWER(TRIM($V$2:$V$518))&lt;&gt;"n/a"),--(LOWER(TRIM($V$2:$V$518))&lt;&gt;"na"))&gt;1),AND($W29&lt;&gt;"",LOWER(TRIM($W29))&lt;&gt;"n/a",LOWER(TRIM($W29))&lt;&gt;"na",SUMPRODUCT(--(UPPER(TRIM($W$2:$W$518))=UPPER(TRIM($W29))),--(TRIM($W$2:$W$518)&lt;&gt;""),--(LOWER(TRIM($W$2:$W$518))&lt;&gt;"n/a"),--(LOWER(TRIM($W$2:$W$518))&lt;&gt;"na"))&gt;1),AND($X29&lt;&gt;"",LOWER(TRIM($X29))&lt;&gt;"n/a",LOWER(TRIM($X29))&lt;&gt;"na",SUMPRODUCT(--(UPPER(TRIM($X$2:$X$518))=UPPER(TRIM($X29))),--(TRIM($X$2:$X$518)&lt;&gt;""),--(LOWER(TRIM($X$2:$X$518))&lt;&gt;"n/a"),--(LOWER(TRIM($X$2:$X$518))&lt;&gt;"na"))&gt;1),AND($Y29&lt;&gt;"",LOWER(TRIM($Y29))&lt;&gt;"n/a",LOWER(TRIM($Y29))&lt;&gt;"na",SUMPRODUCT(--(UPPER(SUBSTITUTE(SUBSTITUTE(TRIM($Y$2:$Y$518),":",""),"-",""))=UPPER(SUBSTITUTE(SUBSTITUTE(TRIM($Y29),":",""),"-",""))),--(TRIM($Y$2:$Y$518)&lt;&gt;""),--(LOWER(TRIM($Y$2:$Y$518))&lt;&gt;"n/a"),--(LOWER(TRIM($Y$2:$Y$518))&lt;&gt;"na"))&gt;1),AND($AB29&lt;&gt;"",LOWER(TRIM($AB29))&lt;&gt;"n/a",LOWER(TRIM($AB29))&lt;&gt;"na",SUMPRODUCT(--(UPPER(TRIM($AB$2:$AB$518))=UPPER(TRIM($AB29))),--(TRIM($AB$2:$AB$518)&lt;&gt;""),--(LOWER(TRIM($AB$2:$AB$518))&lt;&gt;"n/a"),--(LOWER(TRIM($AB$2:$AB$518))&lt;&gt;"na"))&gt;1),AND($AH29&lt;&gt;"",LOWER(TRIM($AH29))&lt;&gt;"n/a",LOWER(TRIM($AH29))&lt;&gt;"na",SUMPRODUCT(--(UPPER(SUBSTITUTE(SUBSTITUTE(TRIM($AH$2:$AH$518),":",""),"-",""))=UPPER(SUBSTITUTE(SUBSTITUTE(TRIM($AH29),":",""),"-",""))),--(TRIM($AH$2:$AH$518)&lt;&gt;""),--(LOWER(TRIM($AH$2:$AH$518))&lt;&gt;"n/a"),--(LOWER(TRIM($AH$2:$AH$518))&lt;&gt;"na"))&gt;1),AND($AP29&lt;&gt;"",LOWER(TRIM($AP29))&lt;&gt;"n/a",LOWER(TRIM($AP29))&lt;&gt;"na",SUMPRODUCT(--(UPPER(TRIM($AP$2:$AP$518))=UPPER(TRIM($AP29))),--(TRIM($AP$2:$AP$518)&lt;&gt;""),--(LOWER(TRIM($AP$2:$AP$518))&lt;&gt;"n/a"),--(LOWER(TRIM($AP$2:$AP$518))&lt;&gt;"na"))&gt;1),AND($AQ29&lt;&gt;"",LOWER(TRIM($AQ29))&lt;&gt;"n/a",LOWER(TRIM($AQ29))&lt;&gt;"na",SUMPRODUCT(--(UPPER(TRIM($AQ$2:$AQ$518))=UPPER(TRIM($AQ29))),--(TRIM($AQ$2:$AQ$518)&lt;&gt;""),--(LOWER(TRIM($AQ$2:$AQ$518))&lt;&gt;"n/a"),--(LOWER(TRIM($AQ$2:$AQ$518))&lt;&gt;"na"))&gt;1)),"Yes","No"))</f>
        <v/>
      </c>
      <c r="F29">
        <f>IF(UPPER(TRIM($B29))&lt;&gt;"YES","", IF(OR(AND($V29&lt;&gt;"", LOWER(TRIM($V29))&lt;&gt;"n/a", LOWER(TRIM($V29))&lt;&gt;"na", SUMPRODUCT(--(UPPER(TRIM($V$2:$V$518))=UPPER(TRIM($V29))), --(UPPER(TRIM($B$2:$B$518))="YES"), --(UPPER(TRIM($G$2:$G$518)&amp;TRIM($I$2:$I$518)&amp;TRIM($J$2:$J$518))&lt;&gt;UPPER(TRIM($G29)&amp;TRIM($I29)&amp;TRIM($J29))))&gt;0), AND($W29&lt;&gt;"", LOWER(TRIM($W29))&lt;&gt;"n/a", LOWER(TRIM($W29))&lt;&gt;"na", SUMPRODUCT(--(UPPER(TRIM($W$2:$W$518))=UPPER(TRIM($W29))), --(UPPER(TRIM($B$2:$B$518))="YES"), --(UPPER(TRIM($G$2:$G$518)&amp;TRIM($I$2:$I$518)&amp;TRIM($J$2:$J$518))&lt;&gt;UPPER(TRIM($G29)&amp;TRIM($I29)&amp;TRIM($J29))))&gt;0), AND($X29&lt;&gt;"", LOWER(TRIM($X29))&lt;&gt;"n/a", LOWER(TRIM($X29))&lt;&gt;"na", SUMPRODUCT(--(UPPER(TRIM($X$2:$X$518))=UPPER(TRIM($X29))), --(UPPER(TRIM($B$2:$B$518))="YES"), --(UPPER(TRIM($G$2:$G$518)&amp;TRIM($I$2:$I$518)&amp;TRIM($J$2:$J$518))&lt;&gt;UPPER(TRIM($G29)&amp;TRIM($I29)&amp;TRIM($J29))))&gt;0), AND($Y29&lt;&gt;"", LOWER(TRIM($Y29))&lt;&gt;"n/a", LOWER(TRIM($Y29))&lt;&gt;"na", SUMPRODUCT(--(UPPER(SUBSTITUTE(SUBSTITUTE(TRIM($Y$2:$Y$518),":",""),"-",""))=UPPER(SUBSTITUTE(SUBSTITUTE(TRIM($Y29),":",""),"-",""))), --(UPPER(TRIM($B$2:$B$518))="YES"), --(UPPER(TRIM($G$2:$G$518)&amp;TRIM($I$2:$I$518)&amp;TRIM($J$2:$J$518))&lt;&gt;UPPER(TRIM($G29)&amp;TRIM($I29)&amp;TRIM($J29))))&gt;0), AND($AB29&lt;&gt;"", LOWER(TRIM($AB29))&lt;&gt;"n/a", LOWER(TRIM($AB29))&lt;&gt;"na", SUMPRODUCT(--(UPPER(TRIM($AB$2:$AB$518))=UPPER(TRIM($AB29))), --(UPPER(TRIM($B$2:$B$518))="YES"), --(UPPER(TRIM($G$2:$G$518)&amp;TRIM($I$2:$I$518)&amp;TRIM($J$2:$J$518))&lt;&gt;UPPER(TRIM($G29)&amp;TRIM($I29)&amp;TRIM($J29))))&gt;0), AND($AH29&lt;&gt;"", LOWER(TRIM($AH29))&lt;&gt;"n/a", LOWER(TRIM($AH29))&lt;&gt;"na", SUMPRODUCT(--(UPPER(SUBSTITUTE(SUBSTITUTE(TRIM($AH$2:$AH$518),":",""),"-",""))=UPPER(SUBSTITUTE(SUBSTITUTE(TRIM($AH29),":",""),"-",""))), --(UPPER(TRIM($B$2:$B$518))="YES"), --(UPPER(TRIM($G$2:$G$518)&amp;TRIM($I$2:$I$518)&amp;TRIM($J$2:$J$518))&lt;&gt;UPPER(TRIM($G29)&amp;TRIM($I29)&amp;TRIM($J29))))&gt;0), AND($AP29&lt;&gt;"", LOWER(TRIM($AP29))&lt;&gt;"n/a", LOWER(TRIM($AP29))&lt;&gt;"na", SUMPRODUCT(--(UPPER(TRIM($AP$2:$AP$518))=UPPER(TRIM($AP29))), --(UPPER(TRIM($B$2:$B$518))="YES"), --(UPPER(TRIM($G$2:$G$518)&amp;TRIM($I$2:$I$518)&amp;TRIM($J$2:$J$518))&lt;&gt;UPPER(TRIM($G29)&amp;TRIM($I29)&amp;TRIM($J29))))&gt;0), AND($AQ29&lt;&gt;"", LOWER(TRIM($AQ29))&lt;&gt;"n/a", LOWER(TRIM($AQ29))&lt;&gt;"na", SUMPRODUCT(--(UPPER(TRIM($AQ$2:$AQ$518))=UPPER(TRIM($AQ29))), --(UPPER(TRIM($B$2:$B$518))="YES"), --(UPPER(TRIM($G$2:$G$518)&amp;TRIM($I$2:$I$518)&amp;TRIM($J$2:$J$518))&lt;&gt;UPPER(TRIM($G29)&amp;TRIM($I29)&amp;TRIM($J29))))&gt;0)), "Yes", "No"))</f>
        <v/>
      </c>
      <c r="G29" t="inlineStr">
        <is>
          <t>NSUH - PSP</t>
        </is>
      </c>
      <c r="H29" t="inlineStr">
        <is>
          <t>NSUH - PSP</t>
        </is>
      </c>
      <c r="I29" t="inlineStr">
        <is>
          <t>Main ORs - PSP - 2nd Floor</t>
        </is>
      </c>
      <c r="J29" t="inlineStr">
        <is>
          <t>OR 17</t>
        </is>
      </c>
      <c r="L29" s="18" t="n">
        <v>46095</v>
      </c>
      <c r="M29" t="inlineStr">
        <is>
          <t>OR iPro Cybernet Workstation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  <c r="U29" t="inlineStr">
        <is>
          <t>Dr. Palilla, Timothy W. Seeberger</t>
        </is>
      </c>
      <c r="V29" t="inlineStr">
        <is>
          <t>WMH300OPR338</t>
        </is>
      </c>
      <c r="W29" t="inlineStr">
        <is>
          <t>MEDSG2425F-0151</t>
        </is>
      </c>
      <c r="X29" t="inlineStr">
        <is>
          <t>NSUH-MACH-KK</t>
        </is>
      </c>
      <c r="Y29" t="inlineStr">
        <is>
          <t>A0F5097FDE48</t>
        </is>
      </c>
      <c r="AB29" t="inlineStr">
        <is>
          <t>WA24406379</t>
        </is>
      </c>
      <c r="AH29" t="inlineStr">
        <is>
          <t>00:0D:05:0A:A4:DD</t>
        </is>
      </c>
      <c r="AI29" t="inlineStr">
        <is>
          <t>Anesthesia Machine</t>
        </is>
      </c>
      <c r="AJ29" t="n">
        <v>453219</v>
      </c>
      <c r="AL29" t="inlineStr">
        <is>
          <t>7102-620 / 7102-621</t>
        </is>
      </c>
      <c r="AM29" t="inlineStr">
        <is>
          <t>GE Healthcare</t>
        </is>
      </c>
      <c r="AN29" t="inlineStr">
        <is>
          <t>Aisys CS2</t>
        </is>
      </c>
      <c r="AP29" t="inlineStr">
        <is>
          <t>APWC02653</t>
        </is>
      </c>
      <c r="AQ29" t="inlineStr">
        <is>
          <t>APWC02653</t>
        </is>
      </c>
      <c r="AS29" t="inlineStr">
        <is>
          <t>GE Canvas 1000: 833-08 / GE G1500213: 133-08C</t>
        </is>
      </c>
      <c r="AT29" t="inlineStr">
        <is>
          <t>B1-CFU</t>
        </is>
      </c>
      <c r="AX29" t="inlineStr">
        <is>
          <t>GE Canvas 1000: 149HA / GE G1500213: 091181406</t>
        </is>
      </c>
      <c r="AY29" t="inlineStr">
        <is>
          <t>010084068210229221APWC0265311230915</t>
        </is>
      </c>
      <c r="BZ29" t="inlineStr">
        <is>
          <t>In Storage</t>
        </is>
      </c>
      <c r="CA29" t="inlineStr">
        <is>
          <t>iPro
Epic Satellite
ALLSCRIPTS
EPIC BCA</t>
        </is>
      </c>
      <c r="CD29">
        <f>IF($Y29="","",IF((IF(AND($BR29&lt;&gt;"Yes",$BR29&lt;&gt;"N/A"),"Power Cable, ","")&amp;IF(AND($BS29&lt;&gt;"Yes",$BS29&lt;&gt;"N/A"),"Battery, ","")&amp;IF(AND($AD29&lt;&gt;"Yes",$AD29&lt;&gt;"N/A"),"Firmware Download, ","")&amp;IF(AND(OR($AD29="Yes",$AD29="N/A"),$AE29&lt;&gt;"Yes",$AE29&lt;&gt;"N/A"),"Firmware Install, ","")&amp;IF(AND($CB29&lt;&gt;"Yes",$CB29&lt;&gt;"N/A"),"Device ID, ","")&amp;IF(AND($CC29&lt;&gt;"Yes",$CC29&lt;&gt;"N/A"),"Epic Beans Relay, ",""))="","",LEFT(IF(AND($BR29&lt;&gt;"Yes",$BR29&lt;&gt;"N/A"),"Power Cable, ","")&amp;IF(AND($BS29&lt;&gt;"Yes",$BS29&lt;&gt;"N/A"),"Battery, ","")&amp;IF(AND($AD29&lt;&gt;"Yes",$AD29&lt;&gt;"N/A"),"Firmware Download, ","")&amp;IF(AND(OR($AD29="Yes",$AD29="N/A"),$AE29&lt;&gt;"Yes",$AE29&lt;&gt;"N/A"),"Firmware Install, ","")&amp;IF(AND($CB29&lt;&gt;"Yes",$CB29&lt;&gt;"N/A"),"Device ID, ","")&amp;IF(AND($CC29&lt;&gt;"Yes",$CC29&lt;&gt;"N/A"),"Epic Beans Relay, ",""),LEN(IF(AND($BR29&lt;&gt;"Yes",$BR29&lt;&gt;"N/A"),"Power Cable, ","")&amp;IF(AND($BS29&lt;&gt;"Yes",$BS29&lt;&gt;"N/A"),"Battery, ","")&amp;IF(AND($AD29&lt;&gt;"Yes",$AD29&lt;&gt;"N/A"),"Firmware Download, ","")&amp;IF(AND(OR($AD29="Yes",$AD29="N/A"),$AE29&lt;&gt;"Yes",$AE29&lt;&gt;"N/A"),"Firmware Install, ","")&amp;IF(AND($CB29&lt;&gt;"Yes",$CB29&lt;&gt;"N/A"),"Device ID, ","")&amp;IF(AND($CC29&lt;&gt;"Yes",$CC29&lt;&gt;"N/A"),"Epic Beans Relay, ",""))-2)))</f>
        <v/>
      </c>
      <c r="CE29">
        <f>IF($Y29="","",IF($CD29="","Yes","Blocked"))</f>
        <v/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n">
        <v>19200</v>
      </c>
      <c r="CP29">
        <f>IF($CO29="","",IFERROR(VLOOKUP($CO29,'01_Warehouse_Ledger'!$A:$N,4,FALSE),""))</f>
        <v/>
      </c>
      <c r="CQ29">
        <f>IF($CO29="","",IFERROR(VLOOKUP($CO29,'01_Warehouse_Ledger'!$A:$N,5,FALSE),""))</f>
        <v/>
      </c>
      <c r="CR29">
        <f>IF($CO29="","",IFERROR(VLOOKUP($CO29,'01_Warehouse_Ledger'!$A:$N,13,FALSE),""))</f>
        <v/>
      </c>
      <c r="CW29">
        <f>IF($S29="","",IF(UPPER(TRIM($S29))&lt;&gt;"PASS","",IF(LEN(TRIM($BY29))&gt;0,"NOTES_PRESENT",IF(LEN(TRIM($T29))=0,"SET_NA",IF(OR(LOWER(TRIM($T29))="na",LOWER(TRIM($T29))="n/a"),"OK","MANUAL_OVERRIDE")))))</f>
        <v/>
      </c>
    </row>
    <row r="30">
      <c r="A30" t="inlineStr">
        <is>
          <t>Cybernet</t>
        </is>
      </c>
      <c r="B30" t="inlineStr">
        <is>
          <t>No</t>
        </is>
      </c>
      <c r="C30" t="inlineStr">
        <is>
          <t>No</t>
        </is>
      </c>
      <c r="D30">
        <f>IF($B30&lt;&gt;"Yes","",IF($C30="No","Yes",IF($C30="Yes","No","")))</f>
        <v/>
      </c>
      <c r="E30">
        <f>IF($A30="","",IF(OR(AND($V30&lt;&gt;"",LOWER(TRIM($V30))&lt;&gt;"n/a",LOWER(TRIM($V30))&lt;&gt;"na",SUMPRODUCT(--(UPPER(TRIM($V$2:$V$518))=UPPER(TRIM($V30))),--(TRIM($V$2:$V$518)&lt;&gt;""),--(LOWER(TRIM($V$2:$V$518))&lt;&gt;"n/a"),--(LOWER(TRIM($V$2:$V$518))&lt;&gt;"na"))&gt;1),AND($W30&lt;&gt;"",LOWER(TRIM($W30))&lt;&gt;"n/a",LOWER(TRIM($W30))&lt;&gt;"na",SUMPRODUCT(--(UPPER(TRIM($W$2:$W$518))=UPPER(TRIM($W30))),--(TRIM($W$2:$W$518)&lt;&gt;""),--(LOWER(TRIM($W$2:$W$518))&lt;&gt;"n/a"),--(LOWER(TRIM($W$2:$W$518))&lt;&gt;"na"))&gt;1),AND($X30&lt;&gt;"",LOWER(TRIM($X30))&lt;&gt;"n/a",LOWER(TRIM($X30))&lt;&gt;"na",SUMPRODUCT(--(UPPER(TRIM($X$2:$X$518))=UPPER(TRIM($X30))),--(TRIM($X$2:$X$518)&lt;&gt;""),--(LOWER(TRIM($X$2:$X$518))&lt;&gt;"n/a"),--(LOWER(TRIM($X$2:$X$518))&lt;&gt;"na"))&gt;1),AND($Y30&lt;&gt;"",LOWER(TRIM($Y30))&lt;&gt;"n/a",LOWER(TRIM($Y30))&lt;&gt;"na",SUMPRODUCT(--(UPPER(SUBSTITUTE(SUBSTITUTE(TRIM($Y$2:$Y$518),":",""),"-",""))=UPPER(SUBSTITUTE(SUBSTITUTE(TRIM($Y30),":",""),"-",""))),--(TRIM($Y$2:$Y$518)&lt;&gt;""),--(LOWER(TRIM($Y$2:$Y$518))&lt;&gt;"n/a"),--(LOWER(TRIM($Y$2:$Y$518))&lt;&gt;"na"))&gt;1),AND($AB30&lt;&gt;"",LOWER(TRIM($AB30))&lt;&gt;"n/a",LOWER(TRIM($AB30))&lt;&gt;"na",SUMPRODUCT(--(UPPER(TRIM($AB$2:$AB$518))=UPPER(TRIM($AB30))),--(TRIM($AB$2:$AB$518)&lt;&gt;""),--(LOWER(TRIM($AB$2:$AB$518))&lt;&gt;"n/a"),--(LOWER(TRIM($AB$2:$AB$518))&lt;&gt;"na"))&gt;1),AND($AH30&lt;&gt;"",LOWER(TRIM($AH30))&lt;&gt;"n/a",LOWER(TRIM($AH30))&lt;&gt;"na",SUMPRODUCT(--(UPPER(SUBSTITUTE(SUBSTITUTE(TRIM($AH$2:$AH$518),":",""),"-",""))=UPPER(SUBSTITUTE(SUBSTITUTE(TRIM($AH30),":",""),"-",""))),--(TRIM($AH$2:$AH$518)&lt;&gt;""),--(LOWER(TRIM($AH$2:$AH$518))&lt;&gt;"n/a"),--(LOWER(TRIM($AH$2:$AH$518))&lt;&gt;"na"))&gt;1),AND($AP30&lt;&gt;"",LOWER(TRIM($AP30))&lt;&gt;"n/a",LOWER(TRIM($AP30))&lt;&gt;"na",SUMPRODUCT(--(UPPER(TRIM($AP$2:$AP$518))=UPPER(TRIM($AP30))),--(TRIM($AP$2:$AP$518)&lt;&gt;""),--(LOWER(TRIM($AP$2:$AP$518))&lt;&gt;"n/a"),--(LOWER(TRIM($AP$2:$AP$518))&lt;&gt;"na"))&gt;1),AND($AQ30&lt;&gt;"",LOWER(TRIM($AQ30))&lt;&gt;"n/a",LOWER(TRIM($AQ30))&lt;&gt;"na",SUMPRODUCT(--(UPPER(TRIM($AQ$2:$AQ$518))=UPPER(TRIM($AQ30))),--(TRIM($AQ$2:$AQ$518)&lt;&gt;""),--(LOWER(TRIM($AQ$2:$AQ$518))&lt;&gt;"n/a"),--(LOWER(TRIM($AQ$2:$AQ$518))&lt;&gt;"na"))&gt;1)),"Yes","No"))</f>
        <v/>
      </c>
      <c r="F30">
        <f>IF(UPPER(TRIM($B30))&lt;&gt;"YES","", IF(OR(AND($V30&lt;&gt;"", LOWER(TRIM($V30))&lt;&gt;"n/a", LOWER(TRIM($V30))&lt;&gt;"na", SUMPRODUCT(--(UPPER(TRIM($V$2:$V$518))=UPPER(TRIM($V30))), --(UPPER(TRIM($B$2:$B$518))="YES"), --(UPPER(TRIM($G$2:$G$518)&amp;TRIM($I$2:$I$518)&amp;TRIM($J$2:$J$518))&lt;&gt;UPPER(TRIM($G30)&amp;TRIM($I30)&amp;TRIM($J30))))&gt;0), AND($W30&lt;&gt;"", LOWER(TRIM($W30))&lt;&gt;"n/a", LOWER(TRIM($W30))&lt;&gt;"na", SUMPRODUCT(--(UPPER(TRIM($W$2:$W$518))=UPPER(TRIM($W30))), --(UPPER(TRIM($B$2:$B$518))="YES"), --(UPPER(TRIM($G$2:$G$518)&amp;TRIM($I$2:$I$518)&amp;TRIM($J$2:$J$518))&lt;&gt;UPPER(TRIM($G30)&amp;TRIM($I30)&amp;TRIM($J30))))&gt;0), AND($X30&lt;&gt;"", LOWER(TRIM($X30))&lt;&gt;"n/a", LOWER(TRIM($X30))&lt;&gt;"na", SUMPRODUCT(--(UPPER(TRIM($X$2:$X$518))=UPPER(TRIM($X30))), --(UPPER(TRIM($B$2:$B$518))="YES"), --(UPPER(TRIM($G$2:$G$518)&amp;TRIM($I$2:$I$518)&amp;TRIM($J$2:$J$518))&lt;&gt;UPPER(TRIM($G30)&amp;TRIM($I30)&amp;TRIM($J30))))&gt;0), AND($Y30&lt;&gt;"", LOWER(TRIM($Y30))&lt;&gt;"n/a", LOWER(TRIM($Y30))&lt;&gt;"na", SUMPRODUCT(--(UPPER(SUBSTITUTE(SUBSTITUTE(TRIM($Y$2:$Y$518),":",""),"-",""))=UPPER(SUBSTITUTE(SUBSTITUTE(TRIM($Y30),":",""),"-",""))), --(UPPER(TRIM($B$2:$B$518))="YES"), --(UPPER(TRIM($G$2:$G$518)&amp;TRIM($I$2:$I$518)&amp;TRIM($J$2:$J$518))&lt;&gt;UPPER(TRIM($G30)&amp;TRIM($I30)&amp;TRIM($J30))))&gt;0), AND($AB30&lt;&gt;"", LOWER(TRIM($AB30))&lt;&gt;"n/a", LOWER(TRIM($AB30))&lt;&gt;"na", SUMPRODUCT(--(UPPER(TRIM($AB$2:$AB$518))=UPPER(TRIM($AB30))), --(UPPER(TRIM($B$2:$B$518))="YES"), --(UPPER(TRIM($G$2:$G$518)&amp;TRIM($I$2:$I$518)&amp;TRIM($J$2:$J$518))&lt;&gt;UPPER(TRIM($G30)&amp;TRIM($I30)&amp;TRIM($J30))))&gt;0), AND($AH30&lt;&gt;"", LOWER(TRIM($AH30))&lt;&gt;"n/a", LOWER(TRIM($AH30))&lt;&gt;"na", SUMPRODUCT(--(UPPER(SUBSTITUTE(SUBSTITUTE(TRIM($AH$2:$AH$518),":",""),"-",""))=UPPER(SUBSTITUTE(SUBSTITUTE(TRIM($AH30),":",""),"-",""))), --(UPPER(TRIM($B$2:$B$518))="YES"), --(UPPER(TRIM($G$2:$G$518)&amp;TRIM($I$2:$I$518)&amp;TRIM($J$2:$J$518))&lt;&gt;UPPER(TRIM($G30)&amp;TRIM($I30)&amp;TRIM($J30))))&gt;0), AND($AP30&lt;&gt;"", LOWER(TRIM($AP30))&lt;&gt;"n/a", LOWER(TRIM($AP30))&lt;&gt;"na", SUMPRODUCT(--(UPPER(TRIM($AP$2:$AP$518))=UPPER(TRIM($AP30))), --(UPPER(TRIM($B$2:$B$518))="YES"), --(UPPER(TRIM($G$2:$G$518)&amp;TRIM($I$2:$I$518)&amp;TRIM($J$2:$J$518))&lt;&gt;UPPER(TRIM($G30)&amp;TRIM($I30)&amp;TRIM($J30))))&gt;0), AND($AQ30&lt;&gt;"", LOWER(TRIM($AQ30))&lt;&gt;"n/a", LOWER(TRIM($AQ30))&lt;&gt;"na", SUMPRODUCT(--(UPPER(TRIM($AQ$2:$AQ$518))=UPPER(TRIM($AQ30))), --(UPPER(TRIM($B$2:$B$518))="YES"), --(UPPER(TRIM($G$2:$G$518)&amp;TRIM($I$2:$I$518)&amp;TRIM($J$2:$J$518))&lt;&gt;UPPER(TRIM($G30)&amp;TRIM($I30)&amp;TRIM($J30))))&gt;0)), "Yes", "No"))</f>
        <v/>
      </c>
      <c r="G30" t="inlineStr">
        <is>
          <t>NSUH - PSP</t>
        </is>
      </c>
      <c r="H30" t="inlineStr">
        <is>
          <t>NSUH - PSP</t>
        </is>
      </c>
      <c r="I30" t="inlineStr">
        <is>
          <t>Main ORs - PSP - 2nd Floor</t>
        </is>
      </c>
      <c r="L30" s="18" t="n">
        <v>46095</v>
      </c>
      <c r="M30" t="inlineStr">
        <is>
          <t>OR iPro Cybernet Workstation</t>
        </is>
      </c>
      <c r="N30" t="inlineStr">
        <is>
          <t>Yes</t>
        </is>
      </c>
      <c r="O30" t="inlineStr">
        <is>
          <t>No</t>
        </is>
      </c>
      <c r="P30" t="inlineStr">
        <is>
          <t>Yes</t>
        </is>
      </c>
      <c r="U30" t="inlineStr">
        <is>
          <t>Dr. Palilla, Timothy W. Seeberger</t>
        </is>
      </c>
      <c r="V30" t="inlineStr">
        <is>
          <t>WMH300OPR339</t>
        </is>
      </c>
      <c r="W30" t="inlineStr">
        <is>
          <t>MEDSG2425F-0193</t>
        </is>
      </c>
      <c r="AH30" t="inlineStr">
        <is>
          <t>00:0D:05:0A:A5:2D</t>
        </is>
      </c>
      <c r="BY30" t="inlineStr">
        <is>
          <t>Requires a Download Check: SIS as a service; VMware Stallaris, uncheck log-in as current user, and add server(qr code provided)</t>
        </is>
      </c>
      <c r="BZ30" t="inlineStr">
        <is>
          <t>In Storage</t>
        </is>
      </c>
      <c r="CA30" t="inlineStr">
        <is>
          <t>iPro
Epic Satellite
ALLSCRIPTS
EPIC BCA</t>
        </is>
      </c>
      <c r="CD30">
        <f>IF($Y30="","",IF((IF(AND($BR30&lt;&gt;"Yes",$BR30&lt;&gt;"N/A"),"Power Cable, ","")&amp;IF(AND($BS30&lt;&gt;"Yes",$BS30&lt;&gt;"N/A"),"Battery, ","")&amp;IF(AND($AD30&lt;&gt;"Yes",$AD30&lt;&gt;"N/A"),"Firmware Download, ","")&amp;IF(AND(OR($AD30="Yes",$AD30="N/A"),$AE30&lt;&gt;"Yes",$AE30&lt;&gt;"N/A"),"Firmware Install, ","")&amp;IF(AND($CB30&lt;&gt;"Yes",$CB30&lt;&gt;"N/A"),"Device ID, ","")&amp;IF(AND($CC30&lt;&gt;"Yes",$CC30&lt;&gt;"N/A"),"Epic Beans Relay, ",""))="","",LEFT(IF(AND($BR30&lt;&gt;"Yes",$BR30&lt;&gt;"N/A"),"Power Cable, ","")&amp;IF(AND($BS30&lt;&gt;"Yes",$BS30&lt;&gt;"N/A"),"Battery, ","")&amp;IF(AND($AD30&lt;&gt;"Yes",$AD30&lt;&gt;"N/A"),"Firmware Download, ","")&amp;IF(AND(OR($AD30="Yes",$AD30="N/A"),$AE30&lt;&gt;"Yes",$AE30&lt;&gt;"N/A"),"Firmware Install, ","")&amp;IF(AND($CB30&lt;&gt;"Yes",$CB30&lt;&gt;"N/A"),"Device ID, ","")&amp;IF(AND($CC30&lt;&gt;"Yes",$CC30&lt;&gt;"N/A"),"Epic Beans Relay, ",""),LEN(IF(AND($BR30&lt;&gt;"Yes",$BR30&lt;&gt;"N/A"),"Power Cable, ","")&amp;IF(AND($BS30&lt;&gt;"Yes",$BS30&lt;&gt;"N/A"),"Battery, ","")&amp;IF(AND($AD30&lt;&gt;"Yes",$AD30&lt;&gt;"N/A"),"Firmware Download, ","")&amp;IF(AND(OR($AD30="Yes",$AD30="N/A"),$AE30&lt;&gt;"Yes",$AE30&lt;&gt;"N/A"),"Firmware Install, ","")&amp;IF(AND($CB30&lt;&gt;"Yes",$CB30&lt;&gt;"N/A"),"Device ID, ","")&amp;IF(AND($CC30&lt;&gt;"Yes",$CC30&lt;&gt;"N/A"),"Epic Beans Relay, ",""))-2)))</f>
        <v/>
      </c>
      <c r="CE30">
        <f>IF($Y30="","",IF($CD30="","Yes","Blocked"))</f>
        <v/>
      </c>
      <c r="CF30" t="inlineStr">
        <is>
          <t>Yes</t>
        </is>
      </c>
      <c r="CG30" t="inlineStr">
        <is>
          <t>Yes</t>
        </is>
      </c>
      <c r="CH30" t="inlineStr">
        <is>
          <t>Yes</t>
        </is>
      </c>
      <c r="CI30" t="inlineStr">
        <is>
          <t>Yes</t>
        </is>
      </c>
      <c r="CJ30" t="inlineStr">
        <is>
          <t>Yes</t>
        </is>
      </c>
      <c r="CK30" t="n">
        <v>19200</v>
      </c>
      <c r="CP30">
        <f>IF($CO30="","",IFERROR(VLOOKUP($CO30,'01_Warehouse_Ledger'!$A:$N,4,FALSE),""))</f>
        <v/>
      </c>
      <c r="CQ30">
        <f>IF($CO30="","",IFERROR(VLOOKUP($CO30,'01_Warehouse_Ledger'!$A:$N,5,FALSE),""))</f>
        <v/>
      </c>
      <c r="CR30">
        <f>IF($CO30="","",IFERROR(VLOOKUP($CO30,'01_Warehouse_Ledger'!$A:$N,13,FALSE),""))</f>
        <v/>
      </c>
      <c r="CW30">
        <f>IF($S30="","",IF(UPPER(TRIM($S30))&lt;&gt;"PASS","",IF(LEN(TRIM($BY30))&gt;0,"NOTES_PRESENT",IF(LEN(TRIM($T30))=0,"SET_NA",IF(OR(LOWER(TRIM($T30))="na",LOWER(TRIM($T30))="n/a"),"OK","MANUAL_OVERRIDE")))))</f>
        <v/>
      </c>
    </row>
    <row r="31">
      <c r="A31" t="inlineStr">
        <is>
          <t>Neuron Cybernet</t>
        </is>
      </c>
      <c r="B31" t="inlineStr">
        <is>
          <t>Yes</t>
        </is>
      </c>
      <c r="C31" t="inlineStr">
        <is>
          <t>Yes</t>
        </is>
      </c>
      <c r="D31">
        <f>IF($B31&lt;&gt;"Yes","",IF($C31="No","Yes",IF($C31="Yes","No","")))</f>
        <v/>
      </c>
      <c r="E31">
        <f>IF($A31="","",IF(OR(AND($V31&lt;&gt;"",LOWER(TRIM($V31))&lt;&gt;"n/a",LOWER(TRIM($V31))&lt;&gt;"na",SUMPRODUCT(--(UPPER(TRIM($V$2:$V$518))=UPPER(TRIM($V31))),--(TRIM($V$2:$V$518)&lt;&gt;""),--(LOWER(TRIM($V$2:$V$518))&lt;&gt;"n/a"),--(LOWER(TRIM($V$2:$V$518))&lt;&gt;"na"))&gt;1),AND($W31&lt;&gt;"",LOWER(TRIM($W31))&lt;&gt;"n/a",LOWER(TRIM($W31))&lt;&gt;"na",SUMPRODUCT(--(UPPER(TRIM($W$2:$W$518))=UPPER(TRIM($W31))),--(TRIM($W$2:$W$518)&lt;&gt;""),--(LOWER(TRIM($W$2:$W$518))&lt;&gt;"n/a"),--(LOWER(TRIM($W$2:$W$518))&lt;&gt;"na"))&gt;1),AND($X31&lt;&gt;"",LOWER(TRIM($X31))&lt;&gt;"n/a",LOWER(TRIM($X31))&lt;&gt;"na",SUMPRODUCT(--(UPPER(TRIM($X$2:$X$518))=UPPER(TRIM($X31))),--(TRIM($X$2:$X$518)&lt;&gt;""),--(LOWER(TRIM($X$2:$X$518))&lt;&gt;"n/a"),--(LOWER(TRIM($X$2:$X$518))&lt;&gt;"na"))&gt;1),AND($Y31&lt;&gt;"",LOWER(TRIM($Y31))&lt;&gt;"n/a",LOWER(TRIM($Y31))&lt;&gt;"na",SUMPRODUCT(--(UPPER(SUBSTITUTE(SUBSTITUTE(TRIM($Y$2:$Y$518),":",""),"-",""))=UPPER(SUBSTITUTE(SUBSTITUTE(TRIM($Y31),":",""),"-",""))),--(TRIM($Y$2:$Y$518)&lt;&gt;""),--(LOWER(TRIM($Y$2:$Y$518))&lt;&gt;"n/a"),--(LOWER(TRIM($Y$2:$Y$518))&lt;&gt;"na"))&gt;1),AND($AB31&lt;&gt;"",LOWER(TRIM($AB31))&lt;&gt;"n/a",LOWER(TRIM($AB31))&lt;&gt;"na",SUMPRODUCT(--(UPPER(TRIM($AB$2:$AB$518))=UPPER(TRIM($AB31))),--(TRIM($AB$2:$AB$518)&lt;&gt;""),--(LOWER(TRIM($AB$2:$AB$518))&lt;&gt;"n/a"),--(LOWER(TRIM($AB$2:$AB$518))&lt;&gt;"na"))&gt;1),AND($AH31&lt;&gt;"",LOWER(TRIM($AH31))&lt;&gt;"n/a",LOWER(TRIM($AH31))&lt;&gt;"na",SUMPRODUCT(--(UPPER(SUBSTITUTE(SUBSTITUTE(TRIM($AH$2:$AH$518),":",""),"-",""))=UPPER(SUBSTITUTE(SUBSTITUTE(TRIM($AH31),":",""),"-",""))),--(TRIM($AH$2:$AH$518)&lt;&gt;""),--(LOWER(TRIM($AH$2:$AH$518))&lt;&gt;"n/a"),--(LOWER(TRIM($AH$2:$AH$518))&lt;&gt;"na"))&gt;1),AND($AP31&lt;&gt;"",LOWER(TRIM($AP31))&lt;&gt;"n/a",LOWER(TRIM($AP31))&lt;&gt;"na",SUMPRODUCT(--(UPPER(TRIM($AP$2:$AP$518))=UPPER(TRIM($AP31))),--(TRIM($AP$2:$AP$518)&lt;&gt;""),--(LOWER(TRIM($AP$2:$AP$518))&lt;&gt;"n/a"),--(LOWER(TRIM($AP$2:$AP$518))&lt;&gt;"na"))&gt;1),AND($AQ31&lt;&gt;"",LOWER(TRIM($AQ31))&lt;&gt;"n/a",LOWER(TRIM($AQ31))&lt;&gt;"na",SUMPRODUCT(--(UPPER(TRIM($AQ$2:$AQ$518))=UPPER(TRIM($AQ31))),--(TRIM($AQ$2:$AQ$518)&lt;&gt;""),--(LOWER(TRIM($AQ$2:$AQ$518))&lt;&gt;"n/a"),--(LOWER(TRIM($AQ$2:$AQ$518))&lt;&gt;"na"))&gt;1)),"Yes","No"))</f>
        <v/>
      </c>
      <c r="F31">
        <f>IF(UPPER(TRIM($B31))&lt;&gt;"YES","", IF(OR(AND($V31&lt;&gt;"", LOWER(TRIM($V31))&lt;&gt;"n/a", LOWER(TRIM($V31))&lt;&gt;"na", SUMPRODUCT(--(UPPER(TRIM($V$2:$V$518))=UPPER(TRIM($V31))), --(UPPER(TRIM($B$2:$B$518))="YES"), --(UPPER(TRIM($G$2:$G$518)&amp;TRIM($I$2:$I$518)&amp;TRIM($J$2:$J$518))&lt;&gt;UPPER(TRIM($G31)&amp;TRIM($I31)&amp;TRIM($J31))))&gt;0), AND($W31&lt;&gt;"", LOWER(TRIM($W31))&lt;&gt;"n/a", LOWER(TRIM($W31))&lt;&gt;"na", SUMPRODUCT(--(UPPER(TRIM($W$2:$W$518))=UPPER(TRIM($W31))), --(UPPER(TRIM($B$2:$B$518))="YES"), --(UPPER(TRIM($G$2:$G$518)&amp;TRIM($I$2:$I$518)&amp;TRIM($J$2:$J$518))&lt;&gt;UPPER(TRIM($G31)&amp;TRIM($I31)&amp;TRIM($J31))))&gt;0), AND($X31&lt;&gt;"", LOWER(TRIM($X31))&lt;&gt;"n/a", LOWER(TRIM($X31))&lt;&gt;"na", SUMPRODUCT(--(UPPER(TRIM($X$2:$X$518))=UPPER(TRIM($X31))), --(UPPER(TRIM($B$2:$B$518))="YES"), --(UPPER(TRIM($G$2:$G$518)&amp;TRIM($I$2:$I$518)&amp;TRIM($J$2:$J$518))&lt;&gt;UPPER(TRIM($G31)&amp;TRIM($I31)&amp;TRIM($J31))))&gt;0), AND($Y31&lt;&gt;"", LOWER(TRIM($Y31))&lt;&gt;"n/a", LOWER(TRIM($Y31))&lt;&gt;"na", SUMPRODUCT(--(UPPER(SUBSTITUTE(SUBSTITUTE(TRIM($Y$2:$Y$518),":",""),"-",""))=UPPER(SUBSTITUTE(SUBSTITUTE(TRIM($Y31),":",""),"-",""))), --(UPPER(TRIM($B$2:$B$518))="YES"), --(UPPER(TRIM($G$2:$G$518)&amp;TRIM($I$2:$I$518)&amp;TRIM($J$2:$J$518))&lt;&gt;UPPER(TRIM($G31)&amp;TRIM($I31)&amp;TRIM($J31))))&gt;0), AND($AB31&lt;&gt;"", LOWER(TRIM($AB31))&lt;&gt;"n/a", LOWER(TRIM($AB31))&lt;&gt;"na", SUMPRODUCT(--(UPPER(TRIM($AB$2:$AB$518))=UPPER(TRIM($AB31))), --(UPPER(TRIM($B$2:$B$518))="YES"), --(UPPER(TRIM($G$2:$G$518)&amp;TRIM($I$2:$I$518)&amp;TRIM($J$2:$J$518))&lt;&gt;UPPER(TRIM($G31)&amp;TRIM($I31)&amp;TRIM($J31))))&gt;0), AND($AH31&lt;&gt;"", LOWER(TRIM($AH31))&lt;&gt;"n/a", LOWER(TRIM($AH31))&lt;&gt;"na", SUMPRODUCT(--(UPPER(SUBSTITUTE(SUBSTITUTE(TRIM($AH$2:$AH$518),":",""),"-",""))=UPPER(SUBSTITUTE(SUBSTITUTE(TRIM($AH31),":",""),"-",""))), --(UPPER(TRIM($B$2:$B$518))="YES"), --(UPPER(TRIM($G$2:$G$518)&amp;TRIM($I$2:$I$518)&amp;TRIM($J$2:$J$518))&lt;&gt;UPPER(TRIM($G31)&amp;TRIM($I31)&amp;TRIM($J31))))&gt;0), AND($AP31&lt;&gt;"", LOWER(TRIM($AP31))&lt;&gt;"n/a", LOWER(TRIM($AP31))&lt;&gt;"na", SUMPRODUCT(--(UPPER(TRIM($AP$2:$AP$518))=UPPER(TRIM($AP31))), --(UPPER(TRIM($B$2:$B$518))="YES"), --(UPPER(TRIM($G$2:$G$518)&amp;TRIM($I$2:$I$518)&amp;TRIM($J$2:$J$518))&lt;&gt;UPPER(TRIM($G31)&amp;TRIM($I31)&amp;TRIM($J31))))&gt;0), AND($AQ31&lt;&gt;"", LOWER(TRIM($AQ31))&lt;&gt;"n/a", LOWER(TRIM($AQ31))&lt;&gt;"na", SUMPRODUCT(--(UPPER(TRIM($AQ$2:$AQ$518))=UPPER(TRIM($AQ31))), --(UPPER(TRIM($B$2:$B$518))="YES"), --(UPPER(TRIM($G$2:$G$518)&amp;TRIM($I$2:$I$518)&amp;TRIM($J$2:$J$518))&lt;&gt;UPPER(TRIM($G31)&amp;TRIM($I31)&amp;TRIM($J31))))&gt;0)), "Yes", "No"))</f>
        <v/>
      </c>
      <c r="G31" t="inlineStr">
        <is>
          <t>NSUH - PSP</t>
        </is>
      </c>
      <c r="H31" t="inlineStr">
        <is>
          <t>NSUH - PSP</t>
        </is>
      </c>
      <c r="I31" t="inlineStr">
        <is>
          <t>Main ORs - PSP - 2nd Floor</t>
        </is>
      </c>
      <c r="J31" t="inlineStr">
        <is>
          <t>OR 1</t>
        </is>
      </c>
      <c r="L31" s="18" t="n">
        <v>46095</v>
      </c>
      <c r="M31" t="inlineStr">
        <is>
          <t>OR iPro Cybernet Workstation</t>
        </is>
      </c>
      <c r="N31" t="inlineStr">
        <is>
          <t>Yes</t>
        </is>
      </c>
      <c r="O31" t="inlineStr">
        <is>
          <t>No</t>
        </is>
      </c>
      <c r="P31" t="inlineStr">
        <is>
          <t>No</t>
        </is>
      </c>
      <c r="U31" t="inlineStr">
        <is>
          <t>Dr. Palilla, Timothy W. Seeberger</t>
        </is>
      </c>
      <c r="V31" t="inlineStr">
        <is>
          <t>WMH300OPR341</t>
        </is>
      </c>
      <c r="W31" t="inlineStr">
        <is>
          <t>MEDSG2425F-0163</t>
        </is>
      </c>
      <c r="X31" t="inlineStr">
        <is>
          <t>NSUH-MACH-DD</t>
        </is>
      </c>
      <c r="Y31" t="inlineStr">
        <is>
          <t>A0F5097BA067</t>
        </is>
      </c>
      <c r="AB31" t="inlineStr">
        <is>
          <t>WA25300338</t>
        </is>
      </c>
      <c r="AH31" t="inlineStr">
        <is>
          <t>00:0D:05:0A:A7:0D</t>
        </is>
      </c>
      <c r="AI31" t="inlineStr">
        <is>
          <t>Anesthesia Machine</t>
        </is>
      </c>
      <c r="AJ31" t="n">
        <v>452509</v>
      </c>
      <c r="AL31" t="inlineStr">
        <is>
          <t>Cybernet: 211-7102-212 / Neuron: 211-7102-216</t>
        </is>
      </c>
      <c r="AM31" t="inlineStr">
        <is>
          <t>GE Healthcare</t>
        </is>
      </c>
      <c r="AN31" t="inlineStr">
        <is>
          <t>Aisys CS2</t>
        </is>
      </c>
      <c r="AP31" t="inlineStr">
        <is>
          <t>APWC02658</t>
        </is>
      </c>
      <c r="AQ31" t="inlineStr">
        <is>
          <t>APWC02658</t>
        </is>
      </c>
      <c r="AS31" t="inlineStr">
        <is>
          <t>GE Canvas 1000: 833-08 / GE G1500213: 133-08C</t>
        </is>
      </c>
      <c r="AT31" t="inlineStr">
        <is>
          <t>B1-CFU</t>
        </is>
      </c>
      <c r="AX31" t="inlineStr">
        <is>
          <t>GE Canvas 1000: 163HA / GE G1500213: 091181398</t>
        </is>
      </c>
      <c r="AY31" t="inlineStr">
        <is>
          <t>010084068210229221APWC0265811230915</t>
        </is>
      </c>
      <c r="BH31" t="n">
        <v>115200</v>
      </c>
      <c r="BI31" t="n">
        <v>19200</v>
      </c>
      <c r="BM31" t="inlineStr">
        <is>
          <t>E81</t>
        </is>
      </c>
      <c r="BN31" t="inlineStr">
        <is>
          <t>O71</t>
        </is>
      </c>
      <c r="BZ31" t="inlineStr">
        <is>
          <t>In Storage</t>
        </is>
      </c>
      <c r="CA31" t="inlineStr">
        <is>
          <t>iPro
Epic Satellite
ALLSCRIPTS
EPIC BCA</t>
        </is>
      </c>
      <c r="CD31">
        <f>IF($Y31="","",IF((IF(AND($BR31&lt;&gt;"Yes",$BR31&lt;&gt;"N/A"),"Power Cable, ","")&amp;IF(AND($BS31&lt;&gt;"Yes",$BS31&lt;&gt;"N/A"),"Battery, ","")&amp;IF(AND($AD31&lt;&gt;"Yes",$AD31&lt;&gt;"N/A"),"Firmware Download, ","")&amp;IF(AND(OR($AD31="Yes",$AD31="N/A"),$AE31&lt;&gt;"Yes",$AE31&lt;&gt;"N/A"),"Firmware Install, ","")&amp;IF(AND($CB31&lt;&gt;"Yes",$CB31&lt;&gt;"N/A"),"Device ID, ","")&amp;IF(AND($CC31&lt;&gt;"Yes",$CC31&lt;&gt;"N/A"),"Epic Beans Relay, ",""))="","",LEFT(IF(AND($BR31&lt;&gt;"Yes",$BR31&lt;&gt;"N/A"),"Power Cable, ","")&amp;IF(AND($BS31&lt;&gt;"Yes",$BS31&lt;&gt;"N/A"),"Battery, ","")&amp;IF(AND($AD31&lt;&gt;"Yes",$AD31&lt;&gt;"N/A"),"Firmware Download, ","")&amp;IF(AND(OR($AD31="Yes",$AD31="N/A"),$AE31&lt;&gt;"Yes",$AE31&lt;&gt;"N/A"),"Firmware Install, ","")&amp;IF(AND($CB31&lt;&gt;"Yes",$CB31&lt;&gt;"N/A"),"Device ID, ","")&amp;IF(AND($CC31&lt;&gt;"Yes",$CC31&lt;&gt;"N/A"),"Epic Beans Relay, ",""),LEN(IF(AND($BR31&lt;&gt;"Yes",$BR31&lt;&gt;"N/A"),"Power Cable, ","")&amp;IF(AND($BS31&lt;&gt;"Yes",$BS31&lt;&gt;"N/A"),"Battery, ","")&amp;IF(AND($AD31&lt;&gt;"Yes",$AD31&lt;&gt;"N/A"),"Firmware Download, ","")&amp;IF(AND(OR($AD31="Yes",$AD31="N/A"),$AE31&lt;&gt;"Yes",$AE31&lt;&gt;"N/A"),"Firmware Install, ","")&amp;IF(AND($CB31&lt;&gt;"Yes",$CB31&lt;&gt;"N/A"),"Device ID, ","")&amp;IF(AND($CC31&lt;&gt;"Yes",$CC31&lt;&gt;"N/A"),"Epic Beans Relay, ",""))-2)))</f>
        <v/>
      </c>
      <c r="CE31">
        <f>IF($Y31="","",IF($CD31="","Yes","Blocked"))</f>
        <v/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n">
        <v>19200</v>
      </c>
      <c r="CP31">
        <f>IF($CO31="","",IFERROR(VLOOKUP($CO31,'01_Warehouse_Ledger'!$A:$N,4,FALSE),""))</f>
        <v/>
      </c>
      <c r="CQ31">
        <f>IF($CO31="","",IFERROR(VLOOKUP($CO31,'01_Warehouse_Ledger'!$A:$N,5,FALSE),""))</f>
        <v/>
      </c>
      <c r="CR31">
        <f>IF($CO31="","",IFERROR(VLOOKUP($CO31,'01_Warehouse_Ledger'!$A:$N,13,FALSE),""))</f>
        <v/>
      </c>
      <c r="CW31">
        <f>IF($S31="","",IF(UPPER(TRIM($S31))&lt;&gt;"PASS","",IF(LEN(TRIM($BY31))&gt;0,"NOTES_PRESENT",IF(LEN(TRIM($T31))=0,"SET_NA",IF(OR(LOWER(TRIM($T31))="na",LOWER(TRIM($T31))="n/a"),"OK","MANUAL_OVERRIDE")))))</f>
        <v/>
      </c>
    </row>
    <row r="32" ht="81" customHeight="1" s="91">
      <c r="A32" t="inlineStr">
        <is>
          <t>Cybernet</t>
        </is>
      </c>
      <c r="B32" t="inlineStr">
        <is>
          <t>Yes</t>
        </is>
      </c>
      <c r="C32" t="inlineStr">
        <is>
          <t>No</t>
        </is>
      </c>
      <c r="D32">
        <f>IF($B32&lt;&gt;"Yes","",IF($C32="No","Yes",IF($C32="Yes","No","")))</f>
        <v/>
      </c>
      <c r="E32">
        <f>IF($A32="","",IF(OR(AND($V32&lt;&gt;"",LOWER(TRIM($V32))&lt;&gt;"n/a",LOWER(TRIM($V32))&lt;&gt;"na",SUMPRODUCT(--(UPPER(TRIM($V$2:$V$518))=UPPER(TRIM($V32))),--(TRIM($V$2:$V$518)&lt;&gt;""),--(LOWER(TRIM($V$2:$V$518))&lt;&gt;"n/a"),--(LOWER(TRIM($V$2:$V$518))&lt;&gt;"na"))&gt;1),AND($W32&lt;&gt;"",LOWER(TRIM($W32))&lt;&gt;"n/a",LOWER(TRIM($W32))&lt;&gt;"na",SUMPRODUCT(--(UPPER(TRIM($W$2:$W$518))=UPPER(TRIM($W32))),--(TRIM($W$2:$W$518)&lt;&gt;""),--(LOWER(TRIM($W$2:$W$518))&lt;&gt;"n/a"),--(LOWER(TRIM($W$2:$W$518))&lt;&gt;"na"))&gt;1),AND($X32&lt;&gt;"",LOWER(TRIM($X32))&lt;&gt;"n/a",LOWER(TRIM($X32))&lt;&gt;"na",SUMPRODUCT(--(UPPER(TRIM($X$2:$X$518))=UPPER(TRIM($X32))),--(TRIM($X$2:$X$518)&lt;&gt;""),--(LOWER(TRIM($X$2:$X$518))&lt;&gt;"n/a"),--(LOWER(TRIM($X$2:$X$518))&lt;&gt;"na"))&gt;1),AND($Y32&lt;&gt;"",LOWER(TRIM($Y32))&lt;&gt;"n/a",LOWER(TRIM($Y32))&lt;&gt;"na",SUMPRODUCT(--(UPPER(SUBSTITUTE(SUBSTITUTE(TRIM($Y$2:$Y$518),":",""),"-",""))=UPPER(SUBSTITUTE(SUBSTITUTE(TRIM($Y32),":",""),"-",""))),--(TRIM($Y$2:$Y$518)&lt;&gt;""),--(LOWER(TRIM($Y$2:$Y$518))&lt;&gt;"n/a"),--(LOWER(TRIM($Y$2:$Y$518))&lt;&gt;"na"))&gt;1),AND($AB32&lt;&gt;"",LOWER(TRIM($AB32))&lt;&gt;"n/a",LOWER(TRIM($AB32))&lt;&gt;"na",SUMPRODUCT(--(UPPER(TRIM($AB$2:$AB$518))=UPPER(TRIM($AB32))),--(TRIM($AB$2:$AB$518)&lt;&gt;""),--(LOWER(TRIM($AB$2:$AB$518))&lt;&gt;"n/a"),--(LOWER(TRIM($AB$2:$AB$518))&lt;&gt;"na"))&gt;1),AND($AH32&lt;&gt;"",LOWER(TRIM($AH32))&lt;&gt;"n/a",LOWER(TRIM($AH32))&lt;&gt;"na",SUMPRODUCT(--(UPPER(SUBSTITUTE(SUBSTITUTE(TRIM($AH$2:$AH$518),":",""),"-",""))=UPPER(SUBSTITUTE(SUBSTITUTE(TRIM($AH32),":",""),"-",""))),--(TRIM($AH$2:$AH$518)&lt;&gt;""),--(LOWER(TRIM($AH$2:$AH$518))&lt;&gt;"n/a"),--(LOWER(TRIM($AH$2:$AH$518))&lt;&gt;"na"))&gt;1),AND($AP32&lt;&gt;"",LOWER(TRIM($AP32))&lt;&gt;"n/a",LOWER(TRIM($AP32))&lt;&gt;"na",SUMPRODUCT(--(UPPER(TRIM($AP$2:$AP$518))=UPPER(TRIM($AP32))),--(TRIM($AP$2:$AP$518)&lt;&gt;""),--(LOWER(TRIM($AP$2:$AP$518))&lt;&gt;"n/a"),--(LOWER(TRIM($AP$2:$AP$518))&lt;&gt;"na"))&gt;1),AND($AQ32&lt;&gt;"",LOWER(TRIM($AQ32))&lt;&gt;"n/a",LOWER(TRIM($AQ32))&lt;&gt;"na",SUMPRODUCT(--(UPPER(TRIM($AQ$2:$AQ$518))=UPPER(TRIM($AQ32))),--(TRIM($AQ$2:$AQ$518)&lt;&gt;""),--(LOWER(TRIM($AQ$2:$AQ$518))&lt;&gt;"n/a"),--(LOWER(TRIM($AQ$2:$AQ$518))&lt;&gt;"na"))&gt;1)),"Yes","No"))</f>
        <v/>
      </c>
      <c r="F32">
        <f>IF(UPPER(TRIM($B32))&lt;&gt;"YES","", IF(OR(AND($V32&lt;&gt;"", LOWER(TRIM($V32))&lt;&gt;"n/a", LOWER(TRIM($V32))&lt;&gt;"na", SUMPRODUCT(--(UPPER(TRIM($V$2:$V$518))=UPPER(TRIM($V32))), --(UPPER(TRIM($B$2:$B$518))="YES"), --(UPPER(TRIM($G$2:$G$518)&amp;TRIM($I$2:$I$518)&amp;TRIM($J$2:$J$518))&lt;&gt;UPPER(TRIM($G32)&amp;TRIM($I32)&amp;TRIM($J32))))&gt;0), AND($W32&lt;&gt;"", LOWER(TRIM($W32))&lt;&gt;"n/a", LOWER(TRIM($W32))&lt;&gt;"na", SUMPRODUCT(--(UPPER(TRIM($W$2:$W$518))=UPPER(TRIM($W32))), --(UPPER(TRIM($B$2:$B$518))="YES"), --(UPPER(TRIM($G$2:$G$518)&amp;TRIM($I$2:$I$518)&amp;TRIM($J$2:$J$518))&lt;&gt;UPPER(TRIM($G32)&amp;TRIM($I32)&amp;TRIM($J32))))&gt;0), AND($X32&lt;&gt;"", LOWER(TRIM($X32))&lt;&gt;"n/a", LOWER(TRIM($X32))&lt;&gt;"na", SUMPRODUCT(--(UPPER(TRIM($X$2:$X$518))=UPPER(TRIM($X32))), --(UPPER(TRIM($B$2:$B$518))="YES"), --(UPPER(TRIM($G$2:$G$518)&amp;TRIM($I$2:$I$518)&amp;TRIM($J$2:$J$518))&lt;&gt;UPPER(TRIM($G32)&amp;TRIM($I32)&amp;TRIM($J32))))&gt;0), AND($Y32&lt;&gt;"", LOWER(TRIM($Y32))&lt;&gt;"n/a", LOWER(TRIM($Y32))&lt;&gt;"na", SUMPRODUCT(--(UPPER(SUBSTITUTE(SUBSTITUTE(TRIM($Y$2:$Y$518),":",""),"-",""))=UPPER(SUBSTITUTE(SUBSTITUTE(TRIM($Y32),":",""),"-",""))), --(UPPER(TRIM($B$2:$B$518))="YES"), --(UPPER(TRIM($G$2:$G$518)&amp;TRIM($I$2:$I$518)&amp;TRIM($J$2:$J$518))&lt;&gt;UPPER(TRIM($G32)&amp;TRIM($I32)&amp;TRIM($J32))))&gt;0), AND($AB32&lt;&gt;"", LOWER(TRIM($AB32))&lt;&gt;"n/a", LOWER(TRIM($AB32))&lt;&gt;"na", SUMPRODUCT(--(UPPER(TRIM($AB$2:$AB$518))=UPPER(TRIM($AB32))), --(UPPER(TRIM($B$2:$B$518))="YES"), --(UPPER(TRIM($G$2:$G$518)&amp;TRIM($I$2:$I$518)&amp;TRIM($J$2:$J$518))&lt;&gt;UPPER(TRIM($G32)&amp;TRIM($I32)&amp;TRIM($J32))))&gt;0), AND($AH32&lt;&gt;"", LOWER(TRIM($AH32))&lt;&gt;"n/a", LOWER(TRIM($AH32))&lt;&gt;"na", SUMPRODUCT(--(UPPER(SUBSTITUTE(SUBSTITUTE(TRIM($AH$2:$AH$518),":",""),"-",""))=UPPER(SUBSTITUTE(SUBSTITUTE(TRIM($AH32),":",""),"-",""))), --(UPPER(TRIM($B$2:$B$518))="YES"), --(UPPER(TRIM($G$2:$G$518)&amp;TRIM($I$2:$I$518)&amp;TRIM($J$2:$J$518))&lt;&gt;UPPER(TRIM($G32)&amp;TRIM($I32)&amp;TRIM($J32))))&gt;0), AND($AP32&lt;&gt;"", LOWER(TRIM($AP32))&lt;&gt;"n/a", LOWER(TRIM($AP32))&lt;&gt;"na", SUMPRODUCT(--(UPPER(TRIM($AP$2:$AP$518))=UPPER(TRIM($AP32))), --(UPPER(TRIM($B$2:$B$518))="YES"), --(UPPER(TRIM($G$2:$G$518)&amp;TRIM($I$2:$I$518)&amp;TRIM($J$2:$J$518))&lt;&gt;UPPER(TRIM($G32)&amp;TRIM($I32)&amp;TRIM($J32))))&gt;0), AND($AQ32&lt;&gt;"", LOWER(TRIM($AQ32))&lt;&gt;"n/a", LOWER(TRIM($AQ32))&lt;&gt;"na", SUMPRODUCT(--(UPPER(TRIM($AQ$2:$AQ$518))=UPPER(TRIM($AQ32))), --(UPPER(TRIM($B$2:$B$518))="YES"), --(UPPER(TRIM($G$2:$G$518)&amp;TRIM($I$2:$I$518)&amp;TRIM($J$2:$J$518))&lt;&gt;UPPER(TRIM($G32)&amp;TRIM($I32)&amp;TRIM($J32))))&gt;0)), "Yes", "No"))</f>
        <v/>
      </c>
      <c r="G32" t="inlineStr">
        <is>
          <t>NSUH - PSP</t>
        </is>
      </c>
      <c r="H32" t="inlineStr">
        <is>
          <t>NSUH - PSP</t>
        </is>
      </c>
      <c r="I32" t="inlineStr">
        <is>
          <t>Main ORs - PSP - 2nd Floor</t>
        </is>
      </c>
      <c r="J32" t="inlineStr">
        <is>
          <t>OR 7</t>
        </is>
      </c>
      <c r="L32" s="18" t="n">
        <v>46095</v>
      </c>
      <c r="M32" t="inlineStr">
        <is>
          <t>OR iPro Cybernet Workstation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U32" t="inlineStr">
        <is>
          <t>Dr. Palilla, Timothy W. Seeberger</t>
        </is>
      </c>
      <c r="V32" t="inlineStr">
        <is>
          <t>WMH300OPR343</t>
        </is>
      </c>
      <c r="W32" t="inlineStr">
        <is>
          <t>MEDSG2425f-0265</t>
        </is>
      </c>
      <c r="X32" t="inlineStr">
        <is>
          <t>NSUH-MACH-Y</t>
        </is>
      </c>
      <c r="Y32" t="inlineStr">
        <is>
          <t>A0F5097FDD4E</t>
        </is>
      </c>
      <c r="AB32" t="inlineStr">
        <is>
          <t>WA24406326</t>
        </is>
      </c>
      <c r="AH32" t="inlineStr">
        <is>
          <t>00:0D:05:0A:A8:3B</t>
        </is>
      </c>
      <c r="AI32" t="inlineStr">
        <is>
          <t>Anesthesia Machine</t>
        </is>
      </c>
      <c r="AJ32" t="n">
        <v>452530</v>
      </c>
      <c r="AL32" t="inlineStr">
        <is>
          <t>7202-512 / 7202-516</t>
        </is>
      </c>
      <c r="AM32" t="inlineStr">
        <is>
          <t>GE Healthcare</t>
        </is>
      </c>
      <c r="AN32" t="inlineStr">
        <is>
          <t>Aisys CS2</t>
        </is>
      </c>
      <c r="AP32" t="inlineStr">
        <is>
          <t>010084068210229221APWC0265511230915</t>
        </is>
      </c>
      <c r="AQ32" t="inlineStr">
        <is>
          <t>APWC02655</t>
        </is>
      </c>
      <c r="AS32" t="inlineStr">
        <is>
          <t>GE Canvas 1000: 833-08 / GE G1500213: 133-08C</t>
        </is>
      </c>
      <c r="AT32" t="inlineStr">
        <is>
          <t>B1-CFU</t>
        </is>
      </c>
      <c r="AX32" t="inlineStr">
        <is>
          <t>GE Canvas 1000: 133HA / GE G1500213: 091181415</t>
        </is>
      </c>
      <c r="AY32" t="inlineStr">
        <is>
          <t>010084068210229221APWC0265511230915</t>
        </is>
      </c>
      <c r="BH32" t="n">
        <v>115200</v>
      </c>
      <c r="BI32" t="n">
        <v>19200</v>
      </c>
      <c r="BJ32" t="inlineStr">
        <is>
          <t>E81</t>
        </is>
      </c>
      <c r="BK32" t="inlineStr">
        <is>
          <t>O71</t>
        </is>
      </c>
      <c r="BM32" t="inlineStr">
        <is>
          <t>E81</t>
        </is>
      </c>
      <c r="BN32" t="inlineStr">
        <is>
          <t>O71</t>
        </is>
      </c>
      <c r="BZ32" t="inlineStr">
        <is>
          <t>In Storage</t>
        </is>
      </c>
      <c r="CA32" s="22" t="inlineStr">
        <is>
          <t>iPro
Epic Satellite
ALLSCRIPTS
EPIC BCA</t>
        </is>
      </c>
      <c r="CD32">
        <f>IF($Y32="","",IF((IF(AND($BR32&lt;&gt;"Yes",$BR32&lt;&gt;"N/A"),"Power Cable, ","")&amp;IF(AND($BS32&lt;&gt;"Yes",$BS32&lt;&gt;"N/A"),"Battery, ","")&amp;IF(AND($AD32&lt;&gt;"Yes",$AD32&lt;&gt;"N/A"),"Firmware Download, ","")&amp;IF(AND(OR($AD32="Yes",$AD32="N/A"),$AE32&lt;&gt;"Yes",$AE32&lt;&gt;"N/A"),"Firmware Install, ","")&amp;IF(AND($CB32&lt;&gt;"Yes",$CB32&lt;&gt;"N/A"),"Device ID, ","")&amp;IF(AND($CC32&lt;&gt;"Yes",$CC32&lt;&gt;"N/A"),"Epic Beans Relay, ",""))="","",LEFT(IF(AND($BR32&lt;&gt;"Yes",$BR32&lt;&gt;"N/A"),"Power Cable, ","")&amp;IF(AND($BS32&lt;&gt;"Yes",$BS32&lt;&gt;"N/A"),"Battery, ","")&amp;IF(AND($AD32&lt;&gt;"Yes",$AD32&lt;&gt;"N/A"),"Firmware Download, ","")&amp;IF(AND(OR($AD32="Yes",$AD32="N/A"),$AE32&lt;&gt;"Yes",$AE32&lt;&gt;"N/A"),"Firmware Install, ","")&amp;IF(AND($CB32&lt;&gt;"Yes",$CB32&lt;&gt;"N/A"),"Device ID, ","")&amp;IF(AND($CC32&lt;&gt;"Yes",$CC32&lt;&gt;"N/A"),"Epic Beans Relay, ",""),LEN(IF(AND($BR32&lt;&gt;"Yes",$BR32&lt;&gt;"N/A"),"Power Cable, ","")&amp;IF(AND($BS32&lt;&gt;"Yes",$BS32&lt;&gt;"N/A"),"Battery, ","")&amp;IF(AND($AD32&lt;&gt;"Yes",$AD32&lt;&gt;"N/A"),"Firmware Download, ","")&amp;IF(AND(OR($AD32="Yes",$AD32="N/A"),$AE32&lt;&gt;"Yes",$AE32&lt;&gt;"N/A"),"Firmware Install, ","")&amp;IF(AND($CB32&lt;&gt;"Yes",$CB32&lt;&gt;"N/A"),"Device ID, ","")&amp;IF(AND($CC32&lt;&gt;"Yes",$CC32&lt;&gt;"N/A"),"Epic Beans Relay, ",""))-2)))</f>
        <v/>
      </c>
      <c r="CE32">
        <f>IF($Y32="","",IF($CD32="","Yes","Blocked"))</f>
        <v/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n">
        <v>19200</v>
      </c>
      <c r="CP32">
        <f>IF($CO32="","",IFERROR(VLOOKUP($CO32,'01_Warehouse_Ledger'!$A:$N,4,FALSE),""))</f>
        <v/>
      </c>
      <c r="CQ32">
        <f>IF($CO32="","",IFERROR(VLOOKUP($CO32,'01_Warehouse_Ledger'!$A:$N,5,FALSE),""))</f>
        <v/>
      </c>
      <c r="CR32">
        <f>IF($CO32="","",IFERROR(VLOOKUP($CO32,'01_Warehouse_Ledger'!$A:$N,13,FALSE),""))</f>
        <v/>
      </c>
      <c r="CW32">
        <f>IF($S32="","",IF(UPPER(TRIM($S32))&lt;&gt;"PASS","",IF(LEN(TRIM($BY32))&gt;0,"NOTES_PRESENT",IF(LEN(TRIM($T32))=0,"SET_NA",IF(OR(LOWER(TRIM($T32))="na",LOWER(TRIM($T32))="n/a"),"OK","MANUAL_OVERRIDE")))))</f>
        <v/>
      </c>
    </row>
    <row r="33">
      <c r="A33" t="inlineStr">
        <is>
          <t>Cybernet</t>
        </is>
      </c>
      <c r="B33" t="inlineStr">
        <is>
          <t>No</t>
        </is>
      </c>
      <c r="C33" t="inlineStr">
        <is>
          <t>No</t>
        </is>
      </c>
      <c r="D33">
        <f>IF($B33&lt;&gt;"Yes","",IF($C33="No","Yes",IF($C33="Yes","No","")))</f>
        <v/>
      </c>
      <c r="E33">
        <f>IF($A33="","",IF(OR(AND($V33&lt;&gt;"",LOWER(TRIM($V33))&lt;&gt;"n/a",LOWER(TRIM($V33))&lt;&gt;"na",SUMPRODUCT(--(UPPER(TRIM($V$2:$V$518))=UPPER(TRIM($V33))),--(TRIM($V$2:$V$518)&lt;&gt;""),--(LOWER(TRIM($V$2:$V$518))&lt;&gt;"n/a"),--(LOWER(TRIM($V$2:$V$518))&lt;&gt;"na"))&gt;1),AND($W33&lt;&gt;"",LOWER(TRIM($W33))&lt;&gt;"n/a",LOWER(TRIM($W33))&lt;&gt;"na",SUMPRODUCT(--(UPPER(TRIM($W$2:$W$518))=UPPER(TRIM($W33))),--(TRIM($W$2:$W$518)&lt;&gt;""),--(LOWER(TRIM($W$2:$W$518))&lt;&gt;"n/a"),--(LOWER(TRIM($W$2:$W$518))&lt;&gt;"na"))&gt;1),AND($X33&lt;&gt;"",LOWER(TRIM($X33))&lt;&gt;"n/a",LOWER(TRIM($X33))&lt;&gt;"na",SUMPRODUCT(--(UPPER(TRIM($X$2:$X$518))=UPPER(TRIM($X33))),--(TRIM($X$2:$X$518)&lt;&gt;""),--(LOWER(TRIM($X$2:$X$518))&lt;&gt;"n/a"),--(LOWER(TRIM($X$2:$X$518))&lt;&gt;"na"))&gt;1),AND($Y33&lt;&gt;"",LOWER(TRIM($Y33))&lt;&gt;"n/a",LOWER(TRIM($Y33))&lt;&gt;"na",SUMPRODUCT(--(UPPER(SUBSTITUTE(SUBSTITUTE(TRIM($Y$2:$Y$518),":",""),"-",""))=UPPER(SUBSTITUTE(SUBSTITUTE(TRIM($Y33),":",""),"-",""))),--(TRIM($Y$2:$Y$518)&lt;&gt;""),--(LOWER(TRIM($Y$2:$Y$518))&lt;&gt;"n/a"),--(LOWER(TRIM($Y$2:$Y$518))&lt;&gt;"na"))&gt;1),AND($AB33&lt;&gt;"",LOWER(TRIM($AB33))&lt;&gt;"n/a",LOWER(TRIM($AB33))&lt;&gt;"na",SUMPRODUCT(--(UPPER(TRIM($AB$2:$AB$518))=UPPER(TRIM($AB33))),--(TRIM($AB$2:$AB$518)&lt;&gt;""),--(LOWER(TRIM($AB$2:$AB$518))&lt;&gt;"n/a"),--(LOWER(TRIM($AB$2:$AB$518))&lt;&gt;"na"))&gt;1),AND($AH33&lt;&gt;"",LOWER(TRIM($AH33))&lt;&gt;"n/a",LOWER(TRIM($AH33))&lt;&gt;"na",SUMPRODUCT(--(UPPER(SUBSTITUTE(SUBSTITUTE(TRIM($AH$2:$AH$518),":",""),"-",""))=UPPER(SUBSTITUTE(SUBSTITUTE(TRIM($AH33),":",""),"-",""))),--(TRIM($AH$2:$AH$518)&lt;&gt;""),--(LOWER(TRIM($AH$2:$AH$518))&lt;&gt;"n/a"),--(LOWER(TRIM($AH$2:$AH$518))&lt;&gt;"na"))&gt;1),AND($AP33&lt;&gt;"",LOWER(TRIM($AP33))&lt;&gt;"n/a",LOWER(TRIM($AP33))&lt;&gt;"na",SUMPRODUCT(--(UPPER(TRIM($AP$2:$AP$518))=UPPER(TRIM($AP33))),--(TRIM($AP$2:$AP$518)&lt;&gt;""),--(LOWER(TRIM($AP$2:$AP$518))&lt;&gt;"n/a"),--(LOWER(TRIM($AP$2:$AP$518))&lt;&gt;"na"))&gt;1),AND($AQ33&lt;&gt;"",LOWER(TRIM($AQ33))&lt;&gt;"n/a",LOWER(TRIM($AQ33))&lt;&gt;"na",SUMPRODUCT(--(UPPER(TRIM($AQ$2:$AQ$518))=UPPER(TRIM($AQ33))),--(TRIM($AQ$2:$AQ$518)&lt;&gt;""),--(LOWER(TRIM($AQ$2:$AQ$518))&lt;&gt;"n/a"),--(LOWER(TRIM($AQ$2:$AQ$518))&lt;&gt;"na"))&gt;1)),"Yes","No"))</f>
        <v/>
      </c>
      <c r="F33">
        <f>IF(UPPER(TRIM($B33))&lt;&gt;"YES","", IF(OR(AND($V33&lt;&gt;"", LOWER(TRIM($V33))&lt;&gt;"n/a", LOWER(TRIM($V33))&lt;&gt;"na", SUMPRODUCT(--(UPPER(TRIM($V$2:$V$518))=UPPER(TRIM($V33))), --(UPPER(TRIM($B$2:$B$518))="YES"), --(UPPER(TRIM($G$2:$G$518)&amp;TRIM($I$2:$I$518)&amp;TRIM($J$2:$J$518))&lt;&gt;UPPER(TRIM($G33)&amp;TRIM($I33)&amp;TRIM($J33))))&gt;0), AND($W33&lt;&gt;"", LOWER(TRIM($W33))&lt;&gt;"n/a", LOWER(TRIM($W33))&lt;&gt;"na", SUMPRODUCT(--(UPPER(TRIM($W$2:$W$518))=UPPER(TRIM($W33))), --(UPPER(TRIM($B$2:$B$518))="YES"), --(UPPER(TRIM($G$2:$G$518)&amp;TRIM($I$2:$I$518)&amp;TRIM($J$2:$J$518))&lt;&gt;UPPER(TRIM($G33)&amp;TRIM($I33)&amp;TRIM($J33))))&gt;0), AND($X33&lt;&gt;"", LOWER(TRIM($X33))&lt;&gt;"n/a", LOWER(TRIM($X33))&lt;&gt;"na", SUMPRODUCT(--(UPPER(TRIM($X$2:$X$518))=UPPER(TRIM($X33))), --(UPPER(TRIM($B$2:$B$518))="YES"), --(UPPER(TRIM($G$2:$G$518)&amp;TRIM($I$2:$I$518)&amp;TRIM($J$2:$J$518))&lt;&gt;UPPER(TRIM($G33)&amp;TRIM($I33)&amp;TRIM($J33))))&gt;0), AND($Y33&lt;&gt;"", LOWER(TRIM($Y33))&lt;&gt;"n/a", LOWER(TRIM($Y33))&lt;&gt;"na", SUMPRODUCT(--(UPPER(SUBSTITUTE(SUBSTITUTE(TRIM($Y$2:$Y$518),":",""),"-",""))=UPPER(SUBSTITUTE(SUBSTITUTE(TRIM($Y33),":",""),"-",""))), --(UPPER(TRIM($B$2:$B$518))="YES"), --(UPPER(TRIM($G$2:$G$518)&amp;TRIM($I$2:$I$518)&amp;TRIM($J$2:$J$518))&lt;&gt;UPPER(TRIM($G33)&amp;TRIM($I33)&amp;TRIM($J33))))&gt;0), AND($AB33&lt;&gt;"", LOWER(TRIM($AB33))&lt;&gt;"n/a", LOWER(TRIM($AB33))&lt;&gt;"na", SUMPRODUCT(--(UPPER(TRIM($AB$2:$AB$518))=UPPER(TRIM($AB33))), --(UPPER(TRIM($B$2:$B$518))="YES"), --(UPPER(TRIM($G$2:$G$518)&amp;TRIM($I$2:$I$518)&amp;TRIM($J$2:$J$518))&lt;&gt;UPPER(TRIM($G33)&amp;TRIM($I33)&amp;TRIM($J33))))&gt;0), AND($AH33&lt;&gt;"", LOWER(TRIM($AH33))&lt;&gt;"n/a", LOWER(TRIM($AH33))&lt;&gt;"na", SUMPRODUCT(--(UPPER(SUBSTITUTE(SUBSTITUTE(TRIM($AH$2:$AH$518),":",""),"-",""))=UPPER(SUBSTITUTE(SUBSTITUTE(TRIM($AH33),":",""),"-",""))), --(UPPER(TRIM($B$2:$B$518))="YES"), --(UPPER(TRIM($G$2:$G$518)&amp;TRIM($I$2:$I$518)&amp;TRIM($J$2:$J$518))&lt;&gt;UPPER(TRIM($G33)&amp;TRIM($I33)&amp;TRIM($J33))))&gt;0), AND($AP33&lt;&gt;"", LOWER(TRIM($AP33))&lt;&gt;"n/a", LOWER(TRIM($AP33))&lt;&gt;"na", SUMPRODUCT(--(UPPER(TRIM($AP$2:$AP$518))=UPPER(TRIM($AP33))), --(UPPER(TRIM($B$2:$B$518))="YES"), --(UPPER(TRIM($G$2:$G$518)&amp;TRIM($I$2:$I$518)&amp;TRIM($J$2:$J$518))&lt;&gt;UPPER(TRIM($G33)&amp;TRIM($I33)&amp;TRIM($J33))))&gt;0), AND($AQ33&lt;&gt;"", LOWER(TRIM($AQ33))&lt;&gt;"n/a", LOWER(TRIM($AQ33))&lt;&gt;"na", SUMPRODUCT(--(UPPER(TRIM($AQ$2:$AQ$518))=UPPER(TRIM($AQ33))), --(UPPER(TRIM($B$2:$B$518))="YES"), --(UPPER(TRIM($G$2:$G$518)&amp;TRIM($I$2:$I$518)&amp;TRIM($J$2:$J$518))&lt;&gt;UPPER(TRIM($G33)&amp;TRIM($I33)&amp;TRIM($J33))))&gt;0)), "Yes", "No"))</f>
        <v/>
      </c>
      <c r="G33" t="inlineStr">
        <is>
          <t>NSUH - PSP</t>
        </is>
      </c>
      <c r="H33" t="inlineStr">
        <is>
          <t>NSUH - PSP</t>
        </is>
      </c>
      <c r="I33" t="inlineStr">
        <is>
          <t>Main ORs - PSP - 2nd Floor</t>
        </is>
      </c>
      <c r="L33" s="18" t="n">
        <v>46095</v>
      </c>
      <c r="M33" t="inlineStr">
        <is>
          <t>OR iPro Cybernet Workstation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U33" t="inlineStr">
        <is>
          <t>Dr. Palilla, Timothy W. Seeberger</t>
        </is>
      </c>
      <c r="V33" t="inlineStr">
        <is>
          <t>WMH300OPR344</t>
        </is>
      </c>
      <c r="W33" t="inlineStr">
        <is>
          <t>MEDSG2425F-0121</t>
        </is>
      </c>
      <c r="AH33" t="inlineStr">
        <is>
          <t>00:0D:05:0A:A8:7D</t>
        </is>
      </c>
      <c r="BZ33" t="inlineStr">
        <is>
          <t>In Storage</t>
        </is>
      </c>
      <c r="CA33" t="inlineStr">
        <is>
          <t>iPro
Epic Satellite
ALLSCRIPTS
EPIC BCA</t>
        </is>
      </c>
      <c r="CD33">
        <f>IF($Y33="","",IF((IF(AND($BR33&lt;&gt;"Yes",$BR33&lt;&gt;"N/A"),"Power Cable, ","")&amp;IF(AND($BS33&lt;&gt;"Yes",$BS33&lt;&gt;"N/A"),"Battery, ","")&amp;IF(AND($AD33&lt;&gt;"Yes",$AD33&lt;&gt;"N/A"),"Firmware Download, ","")&amp;IF(AND(OR($AD33="Yes",$AD33="N/A"),$AE33&lt;&gt;"Yes",$AE33&lt;&gt;"N/A"),"Firmware Install, ","")&amp;IF(AND($CB33&lt;&gt;"Yes",$CB33&lt;&gt;"N/A"),"Device ID, ","")&amp;IF(AND($CC33&lt;&gt;"Yes",$CC33&lt;&gt;"N/A"),"Epic Beans Relay, ",""))="","",LEFT(IF(AND($BR33&lt;&gt;"Yes",$BR33&lt;&gt;"N/A"),"Power Cable, ","")&amp;IF(AND($BS33&lt;&gt;"Yes",$BS33&lt;&gt;"N/A"),"Battery, ","")&amp;IF(AND($AD33&lt;&gt;"Yes",$AD33&lt;&gt;"N/A"),"Firmware Download, ","")&amp;IF(AND(OR($AD33="Yes",$AD33="N/A"),$AE33&lt;&gt;"Yes",$AE33&lt;&gt;"N/A"),"Firmware Install, ","")&amp;IF(AND($CB33&lt;&gt;"Yes",$CB33&lt;&gt;"N/A"),"Device ID, ","")&amp;IF(AND($CC33&lt;&gt;"Yes",$CC33&lt;&gt;"N/A"),"Epic Beans Relay, ",""),LEN(IF(AND($BR33&lt;&gt;"Yes",$BR33&lt;&gt;"N/A"),"Power Cable, ","")&amp;IF(AND($BS33&lt;&gt;"Yes",$BS33&lt;&gt;"N/A"),"Battery, ","")&amp;IF(AND($AD33&lt;&gt;"Yes",$AD33&lt;&gt;"N/A"),"Firmware Download, ","")&amp;IF(AND(OR($AD33="Yes",$AD33="N/A"),$AE33&lt;&gt;"Yes",$AE33&lt;&gt;"N/A"),"Firmware Install, ","")&amp;IF(AND($CB33&lt;&gt;"Yes",$CB33&lt;&gt;"N/A"),"Device ID, ","")&amp;IF(AND($CC33&lt;&gt;"Yes",$CC33&lt;&gt;"N/A"),"Epic Beans Relay, ",""))-2)))</f>
        <v/>
      </c>
      <c r="CE33">
        <f>IF($Y33="","",IF($CD33="","Yes","Blocked"))</f>
        <v/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n">
        <v>19200</v>
      </c>
      <c r="CP33">
        <f>IF($CO33="","",IFERROR(VLOOKUP($CO33,'01_Warehouse_Ledger'!$A:$N,4,FALSE),""))</f>
        <v/>
      </c>
      <c r="CQ33">
        <f>IF($CO33="","",IFERROR(VLOOKUP($CO33,'01_Warehouse_Ledger'!$A:$N,5,FALSE),""))</f>
        <v/>
      </c>
      <c r="CR33">
        <f>IF($CO33="","",IFERROR(VLOOKUP($CO33,'01_Warehouse_Ledger'!$A:$N,13,FALSE),""))</f>
        <v/>
      </c>
      <c r="CW33">
        <f>IF($S33="","",IF(UPPER(TRIM($S33))&lt;&gt;"PASS","",IF(LEN(TRIM($BY33))&gt;0,"NOTES_PRESENT",IF(LEN(TRIM($T33))=0,"SET_NA",IF(OR(LOWER(TRIM($T33))="na",LOWER(TRIM($T33))="n/a"),"OK","MANUAL_OVERRIDE")))))</f>
        <v/>
      </c>
    </row>
    <row r="34">
      <c r="A34" t="inlineStr">
        <is>
          <t>Cybernet-Neuron</t>
        </is>
      </c>
      <c r="B34" t="inlineStr">
        <is>
          <t>Yes</t>
        </is>
      </c>
      <c r="C34" t="inlineStr">
        <is>
          <t>Yes</t>
        </is>
      </c>
      <c r="D34">
        <f>IF($B34&lt;&gt;"Yes","",IF($C34="No","Yes",IF($C34="Yes","No","")))</f>
        <v/>
      </c>
      <c r="E34">
        <f>IF($A34="","",IF(OR(AND($V34&lt;&gt;"",LOWER(TRIM($V34))&lt;&gt;"n/a",LOWER(TRIM($V34))&lt;&gt;"na",SUMPRODUCT(--(UPPER(TRIM($V$2:$V$518))=UPPER(TRIM($V34))),--(TRIM($V$2:$V$518)&lt;&gt;""),--(LOWER(TRIM($V$2:$V$518))&lt;&gt;"n/a"),--(LOWER(TRIM($V$2:$V$518))&lt;&gt;"na"))&gt;1),AND($W34&lt;&gt;"",LOWER(TRIM($W34))&lt;&gt;"n/a",LOWER(TRIM($W34))&lt;&gt;"na",SUMPRODUCT(--(UPPER(TRIM($W$2:$W$518))=UPPER(TRIM($W34))),--(TRIM($W$2:$W$518)&lt;&gt;""),--(LOWER(TRIM($W$2:$W$518))&lt;&gt;"n/a"),--(LOWER(TRIM($W$2:$W$518))&lt;&gt;"na"))&gt;1),AND($X34&lt;&gt;"",LOWER(TRIM($X34))&lt;&gt;"n/a",LOWER(TRIM($X34))&lt;&gt;"na",SUMPRODUCT(--(UPPER(TRIM($X$2:$X$518))=UPPER(TRIM($X34))),--(TRIM($X$2:$X$518)&lt;&gt;""),--(LOWER(TRIM($X$2:$X$518))&lt;&gt;"n/a"),--(LOWER(TRIM($X$2:$X$518))&lt;&gt;"na"))&gt;1),AND($Y34&lt;&gt;"",LOWER(TRIM($Y34))&lt;&gt;"n/a",LOWER(TRIM($Y34))&lt;&gt;"na",SUMPRODUCT(--(UPPER(SUBSTITUTE(SUBSTITUTE(TRIM($Y$2:$Y$518),":",""),"-",""))=UPPER(SUBSTITUTE(SUBSTITUTE(TRIM($Y34),":",""),"-",""))),--(TRIM($Y$2:$Y$518)&lt;&gt;""),--(LOWER(TRIM($Y$2:$Y$518))&lt;&gt;"n/a"),--(LOWER(TRIM($Y$2:$Y$518))&lt;&gt;"na"))&gt;1),AND($AB34&lt;&gt;"",LOWER(TRIM($AB34))&lt;&gt;"n/a",LOWER(TRIM($AB34))&lt;&gt;"na",SUMPRODUCT(--(UPPER(TRIM($AB$2:$AB$518))=UPPER(TRIM($AB34))),--(TRIM($AB$2:$AB$518)&lt;&gt;""),--(LOWER(TRIM($AB$2:$AB$518))&lt;&gt;"n/a"),--(LOWER(TRIM($AB$2:$AB$518))&lt;&gt;"na"))&gt;1),AND($AH34&lt;&gt;"",LOWER(TRIM($AH34))&lt;&gt;"n/a",LOWER(TRIM($AH34))&lt;&gt;"na",SUMPRODUCT(--(UPPER(SUBSTITUTE(SUBSTITUTE(TRIM($AH$2:$AH$518),":",""),"-",""))=UPPER(SUBSTITUTE(SUBSTITUTE(TRIM($AH34),":",""),"-",""))),--(TRIM($AH$2:$AH$518)&lt;&gt;""),--(LOWER(TRIM($AH$2:$AH$518))&lt;&gt;"n/a"),--(LOWER(TRIM($AH$2:$AH$518))&lt;&gt;"na"))&gt;1),AND($AP34&lt;&gt;"",LOWER(TRIM($AP34))&lt;&gt;"n/a",LOWER(TRIM($AP34))&lt;&gt;"na",SUMPRODUCT(--(UPPER(TRIM($AP$2:$AP$518))=UPPER(TRIM($AP34))),--(TRIM($AP$2:$AP$518)&lt;&gt;""),--(LOWER(TRIM($AP$2:$AP$518))&lt;&gt;"n/a"),--(LOWER(TRIM($AP$2:$AP$518))&lt;&gt;"na"))&gt;1),AND($AQ34&lt;&gt;"",LOWER(TRIM($AQ34))&lt;&gt;"n/a",LOWER(TRIM($AQ34))&lt;&gt;"na",SUMPRODUCT(--(UPPER(TRIM($AQ$2:$AQ$518))=UPPER(TRIM($AQ34))),--(TRIM($AQ$2:$AQ$518)&lt;&gt;""),--(LOWER(TRIM($AQ$2:$AQ$518))&lt;&gt;"n/a"),--(LOWER(TRIM($AQ$2:$AQ$518))&lt;&gt;"na"))&gt;1)),"Yes","No"))</f>
        <v/>
      </c>
      <c r="F34">
        <f>IF(UPPER(TRIM($B34))&lt;&gt;"YES","", IF(OR(AND($V34&lt;&gt;"", LOWER(TRIM($V34))&lt;&gt;"n/a", LOWER(TRIM($V34))&lt;&gt;"na", SUMPRODUCT(--(UPPER(TRIM($V$2:$V$518))=UPPER(TRIM($V34))), --(UPPER(TRIM($B$2:$B$518))="YES"), --(UPPER(TRIM($G$2:$G$518)&amp;TRIM($I$2:$I$518)&amp;TRIM($J$2:$J$518))&lt;&gt;UPPER(TRIM($G34)&amp;TRIM($I34)&amp;TRIM($J34))))&gt;0), AND($W34&lt;&gt;"", LOWER(TRIM($W34))&lt;&gt;"n/a", LOWER(TRIM($W34))&lt;&gt;"na", SUMPRODUCT(--(UPPER(TRIM($W$2:$W$518))=UPPER(TRIM($W34))), --(UPPER(TRIM($B$2:$B$518))="YES"), --(UPPER(TRIM($G$2:$G$518)&amp;TRIM($I$2:$I$518)&amp;TRIM($J$2:$J$518))&lt;&gt;UPPER(TRIM($G34)&amp;TRIM($I34)&amp;TRIM($J34))))&gt;0), AND($X34&lt;&gt;"", LOWER(TRIM($X34))&lt;&gt;"n/a", LOWER(TRIM($X34))&lt;&gt;"na", SUMPRODUCT(--(UPPER(TRIM($X$2:$X$518))=UPPER(TRIM($X34))), --(UPPER(TRIM($B$2:$B$518))="YES"), --(UPPER(TRIM($G$2:$G$518)&amp;TRIM($I$2:$I$518)&amp;TRIM($J$2:$J$518))&lt;&gt;UPPER(TRIM($G34)&amp;TRIM($I34)&amp;TRIM($J34))))&gt;0), AND($Y34&lt;&gt;"", LOWER(TRIM($Y34))&lt;&gt;"n/a", LOWER(TRIM($Y34))&lt;&gt;"na", SUMPRODUCT(--(UPPER(SUBSTITUTE(SUBSTITUTE(TRIM($Y$2:$Y$518),":",""),"-",""))=UPPER(SUBSTITUTE(SUBSTITUTE(TRIM($Y34),":",""),"-",""))), --(UPPER(TRIM($B$2:$B$518))="YES"), --(UPPER(TRIM($G$2:$G$518)&amp;TRIM($I$2:$I$518)&amp;TRIM($J$2:$J$518))&lt;&gt;UPPER(TRIM($G34)&amp;TRIM($I34)&amp;TRIM($J34))))&gt;0), AND($AB34&lt;&gt;"", LOWER(TRIM($AB34))&lt;&gt;"n/a", LOWER(TRIM($AB34))&lt;&gt;"na", SUMPRODUCT(--(UPPER(TRIM($AB$2:$AB$518))=UPPER(TRIM($AB34))), --(UPPER(TRIM($B$2:$B$518))="YES"), --(UPPER(TRIM($G$2:$G$518)&amp;TRIM($I$2:$I$518)&amp;TRIM($J$2:$J$518))&lt;&gt;UPPER(TRIM($G34)&amp;TRIM($I34)&amp;TRIM($J34))))&gt;0), AND($AH34&lt;&gt;"", LOWER(TRIM($AH34))&lt;&gt;"n/a", LOWER(TRIM($AH34))&lt;&gt;"na", SUMPRODUCT(--(UPPER(SUBSTITUTE(SUBSTITUTE(TRIM($AH$2:$AH$518),":",""),"-",""))=UPPER(SUBSTITUTE(SUBSTITUTE(TRIM($AH34),":",""),"-",""))), --(UPPER(TRIM($B$2:$B$518))="YES"), --(UPPER(TRIM($G$2:$G$518)&amp;TRIM($I$2:$I$518)&amp;TRIM($J$2:$J$518))&lt;&gt;UPPER(TRIM($G34)&amp;TRIM($I34)&amp;TRIM($J34))))&gt;0), AND($AP34&lt;&gt;"", LOWER(TRIM($AP34))&lt;&gt;"n/a", LOWER(TRIM($AP34))&lt;&gt;"na", SUMPRODUCT(--(UPPER(TRIM($AP$2:$AP$518))=UPPER(TRIM($AP34))), --(UPPER(TRIM($B$2:$B$518))="YES"), --(UPPER(TRIM($G$2:$G$518)&amp;TRIM($I$2:$I$518)&amp;TRIM($J$2:$J$518))&lt;&gt;UPPER(TRIM($G34)&amp;TRIM($I34)&amp;TRIM($J34))))&gt;0), AND($AQ34&lt;&gt;"", LOWER(TRIM($AQ34))&lt;&gt;"n/a", LOWER(TRIM($AQ34))&lt;&gt;"na", SUMPRODUCT(--(UPPER(TRIM($AQ$2:$AQ$518))=UPPER(TRIM($AQ34))), --(UPPER(TRIM($B$2:$B$518))="YES"), --(UPPER(TRIM($G$2:$G$518)&amp;TRIM($I$2:$I$518)&amp;TRIM($J$2:$J$518))&lt;&gt;UPPER(TRIM($G34)&amp;TRIM($I34)&amp;TRIM($J34))))&gt;0)), "Yes", "No"))</f>
        <v/>
      </c>
      <c r="G34" t="inlineStr">
        <is>
          <t>NSUH - Schwartz</t>
        </is>
      </c>
      <c r="H34" t="inlineStr">
        <is>
          <t>NSUH - Schwartz</t>
        </is>
      </c>
      <c r="I34" t="inlineStr">
        <is>
          <t>Main ORs</t>
        </is>
      </c>
      <c r="J34" t="inlineStr">
        <is>
          <t xml:space="preserve">OR 6 </t>
        </is>
      </c>
      <c r="L34" s="18" t="n">
        <v>46123</v>
      </c>
      <c r="M34" t="inlineStr">
        <is>
          <t>OR iPro Cybernet Workstation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R34" t="inlineStr">
        <is>
          <t>Yes</t>
        </is>
      </c>
      <c r="U34" t="inlineStr">
        <is>
          <t>Dr. Palilla, Timothy W. Seeberger</t>
        </is>
      </c>
      <c r="V34" t="inlineStr">
        <is>
          <t>WMH300OPR345</t>
        </is>
      </c>
      <c r="W34" t="inlineStr">
        <is>
          <t>MEDSG2425F-0284</t>
        </is>
      </c>
      <c r="X34" t="inlineStr">
        <is>
          <t>SCH-MACH-F</t>
        </is>
      </c>
      <c r="Y34" t="inlineStr">
        <is>
          <t>A0F5097FEA9D</t>
        </is>
      </c>
      <c r="AB34" t="inlineStr">
        <is>
          <t>WA24406292</t>
        </is>
      </c>
      <c r="AC34" t="inlineStr">
        <is>
          <t>NSUH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00:0D:05:0A:A8:4D</t>
        </is>
      </c>
      <c r="AJ34" t="n">
        <v>409536</v>
      </c>
      <c r="AL34" t="inlineStr">
        <is>
          <t>1301- 107 / 152</t>
        </is>
      </c>
      <c r="AM34" t="inlineStr">
        <is>
          <t xml:space="preserve">Drager </t>
        </is>
      </c>
      <c r="AN34" t="inlineStr">
        <is>
          <t>FABIUS GS PREMIUM</t>
        </is>
      </c>
      <c r="AP34" t="inlineStr">
        <is>
          <t>8607000-40ASCF-0158</t>
        </is>
      </c>
      <c r="AQ34" t="inlineStr">
        <is>
          <t>8607000-40ASCF-0158</t>
        </is>
      </c>
      <c r="AS34" t="inlineStr">
        <is>
          <t>Carespace B650: 833-08, SPEC999015</t>
        </is>
      </c>
      <c r="AT34" t="inlineStr">
        <is>
          <t>B1-CFT</t>
        </is>
      </c>
      <c r="AX34" t="inlineStr">
        <is>
          <t>Carespace B650: SK416381029HA</t>
        </is>
      </c>
      <c r="AY34" t="inlineStr">
        <is>
          <t>8607000-40ASCF-0158</t>
        </is>
      </c>
      <c r="BC34" t="n">
        <v>409536</v>
      </c>
      <c r="BD34" t="n">
        <v>65485</v>
      </c>
      <c r="BH34" t="n">
        <v>19200</v>
      </c>
      <c r="BI34" t="n">
        <v>9600</v>
      </c>
      <c r="BM34" t="inlineStr">
        <is>
          <t>E81</t>
        </is>
      </c>
      <c r="BN34" t="inlineStr">
        <is>
          <t>N81</t>
        </is>
      </c>
      <c r="BR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Z34" t="inlineStr">
        <is>
          <t>In Storage</t>
        </is>
      </c>
      <c r="CA34" t="inlineStr">
        <is>
          <t>iPro
Epic Satellite
ALLSCRIPTS
EPIC BCA</t>
        </is>
      </c>
      <c r="CD34">
        <f>IF($Y34="","",IF((IF(AND($BR34&lt;&gt;"Yes",$BR34&lt;&gt;"N/A"),"Power Cable, ","")&amp;IF(AND($BS34&lt;&gt;"Yes",$BS34&lt;&gt;"N/A"),"Battery, ","")&amp;IF(AND($AD34&lt;&gt;"Yes",$AD34&lt;&gt;"N/A"),"Firmware Download, ","")&amp;IF(AND(OR($AD34="Yes",$AD34="N/A"),$AE34&lt;&gt;"Yes",$AE34&lt;&gt;"N/A"),"Firmware Install, ","")&amp;IF(AND($CB34&lt;&gt;"Yes",$CB34&lt;&gt;"N/A"),"Device ID, ","")&amp;IF(AND($CC34&lt;&gt;"Yes",$CC34&lt;&gt;"N/A"),"Epic Beans Relay, ",""))="","",LEFT(IF(AND($BR34&lt;&gt;"Yes",$BR34&lt;&gt;"N/A"),"Power Cable, ","")&amp;IF(AND($BS34&lt;&gt;"Yes",$BS34&lt;&gt;"N/A"),"Battery, ","")&amp;IF(AND($AD34&lt;&gt;"Yes",$AD34&lt;&gt;"N/A"),"Firmware Download, ","")&amp;IF(AND(OR($AD34="Yes",$AD34="N/A"),$AE34&lt;&gt;"Yes",$AE34&lt;&gt;"N/A"),"Firmware Install, ","")&amp;IF(AND($CB34&lt;&gt;"Yes",$CB34&lt;&gt;"N/A"),"Device ID, ","")&amp;IF(AND($CC34&lt;&gt;"Yes",$CC34&lt;&gt;"N/A"),"Epic Beans Relay, ",""),LEN(IF(AND($BR34&lt;&gt;"Yes",$BR34&lt;&gt;"N/A"),"Power Cable, ","")&amp;IF(AND($BS34&lt;&gt;"Yes",$BS34&lt;&gt;"N/A"),"Battery, ","")&amp;IF(AND($AD34&lt;&gt;"Yes",$AD34&lt;&gt;"N/A"),"Firmware Download, ","")&amp;IF(AND(OR($AD34="Yes",$AD34="N/A"),$AE34&lt;&gt;"Yes",$AE34&lt;&gt;"N/A"),"Firmware Install, ","")&amp;IF(AND($CB34&lt;&gt;"Yes",$CB34&lt;&gt;"N/A"),"Device ID, ","")&amp;IF(AND($CC34&lt;&gt;"Yes",$CC34&lt;&gt;"N/A"),"Epic Beans Relay, ",""))-2)))</f>
        <v/>
      </c>
      <c r="CE34">
        <f>IF($Y34="","",IF($CD34="","Yes","Blocked"))</f>
        <v/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n">
        <v>19200</v>
      </c>
      <c r="CP34">
        <f>IF($CO34="","",IFERROR(VLOOKUP($CO34,'01_Warehouse_Ledger'!$A:$N,4,FALSE),""))</f>
        <v/>
      </c>
      <c r="CQ34">
        <f>IF($CO34="","",IFERROR(VLOOKUP($CO34,'01_Warehouse_Ledger'!$A:$N,5,FALSE),""))</f>
        <v/>
      </c>
      <c r="CR34">
        <f>IF($CO34="","",IFERROR(VLOOKUP($CO34,'01_Warehouse_Ledger'!$A:$N,13,FALSE),""))</f>
        <v/>
      </c>
      <c r="CW34">
        <f>IF($S34="","",IF(UPPER(TRIM($S34))&lt;&gt;"PASS","",IF(LEN(TRIM($BY34))&gt;0,"NOTES_PRESENT",IF(LEN(TRIM($T34))=0,"SET_NA",IF(OR(LOWER(TRIM($T34))="na",LOWER(TRIM($T34))="n/a"),"OK","MANUAL_OVERRIDE")))))</f>
        <v/>
      </c>
    </row>
    <row r="35">
      <c r="A35" t="inlineStr">
        <is>
          <t>Cybernet</t>
        </is>
      </c>
      <c r="B35" t="inlineStr">
        <is>
          <t>No</t>
        </is>
      </c>
      <c r="C35" t="inlineStr">
        <is>
          <t>No</t>
        </is>
      </c>
      <c r="D35">
        <f>IF($B35&lt;&gt;"Yes","",IF($C35="No","Yes",IF($C35="Yes","No","")))</f>
        <v/>
      </c>
      <c r="E35">
        <f>IF($A35="","",IF(OR(AND($V35&lt;&gt;"",LOWER(TRIM($V35))&lt;&gt;"n/a",LOWER(TRIM($V35))&lt;&gt;"na",SUMPRODUCT(--(UPPER(TRIM($V$2:$V$518))=UPPER(TRIM($V35))),--(TRIM($V$2:$V$518)&lt;&gt;""),--(LOWER(TRIM($V$2:$V$518))&lt;&gt;"n/a"),--(LOWER(TRIM($V$2:$V$518))&lt;&gt;"na"))&gt;1),AND($W35&lt;&gt;"",LOWER(TRIM($W35))&lt;&gt;"n/a",LOWER(TRIM($W35))&lt;&gt;"na",SUMPRODUCT(--(UPPER(TRIM($W$2:$W$518))=UPPER(TRIM($W35))),--(TRIM($W$2:$W$518)&lt;&gt;""),--(LOWER(TRIM($W$2:$W$518))&lt;&gt;"n/a"),--(LOWER(TRIM($W$2:$W$518))&lt;&gt;"na"))&gt;1),AND($X35&lt;&gt;"",LOWER(TRIM($X35))&lt;&gt;"n/a",LOWER(TRIM($X35))&lt;&gt;"na",SUMPRODUCT(--(UPPER(TRIM($X$2:$X$518))=UPPER(TRIM($X35))),--(TRIM($X$2:$X$518)&lt;&gt;""),--(LOWER(TRIM($X$2:$X$518))&lt;&gt;"n/a"),--(LOWER(TRIM($X$2:$X$518))&lt;&gt;"na"))&gt;1),AND($Y35&lt;&gt;"",LOWER(TRIM($Y35))&lt;&gt;"n/a",LOWER(TRIM($Y35))&lt;&gt;"na",SUMPRODUCT(--(UPPER(SUBSTITUTE(SUBSTITUTE(TRIM($Y$2:$Y$518),":",""),"-",""))=UPPER(SUBSTITUTE(SUBSTITUTE(TRIM($Y35),":",""),"-",""))),--(TRIM($Y$2:$Y$518)&lt;&gt;""),--(LOWER(TRIM($Y$2:$Y$518))&lt;&gt;"n/a"),--(LOWER(TRIM($Y$2:$Y$518))&lt;&gt;"na"))&gt;1),AND($AB35&lt;&gt;"",LOWER(TRIM($AB35))&lt;&gt;"n/a",LOWER(TRIM($AB35))&lt;&gt;"na",SUMPRODUCT(--(UPPER(TRIM($AB$2:$AB$518))=UPPER(TRIM($AB35))),--(TRIM($AB$2:$AB$518)&lt;&gt;""),--(LOWER(TRIM($AB$2:$AB$518))&lt;&gt;"n/a"),--(LOWER(TRIM($AB$2:$AB$518))&lt;&gt;"na"))&gt;1),AND($AH35&lt;&gt;"",LOWER(TRIM($AH35))&lt;&gt;"n/a",LOWER(TRIM($AH35))&lt;&gt;"na",SUMPRODUCT(--(UPPER(SUBSTITUTE(SUBSTITUTE(TRIM($AH$2:$AH$518),":",""),"-",""))=UPPER(SUBSTITUTE(SUBSTITUTE(TRIM($AH35),":",""),"-",""))),--(TRIM($AH$2:$AH$518)&lt;&gt;""),--(LOWER(TRIM($AH$2:$AH$518))&lt;&gt;"n/a"),--(LOWER(TRIM($AH$2:$AH$518))&lt;&gt;"na"))&gt;1),AND($AP35&lt;&gt;"",LOWER(TRIM($AP35))&lt;&gt;"n/a",LOWER(TRIM($AP35))&lt;&gt;"na",SUMPRODUCT(--(UPPER(TRIM($AP$2:$AP$518))=UPPER(TRIM($AP35))),--(TRIM($AP$2:$AP$518)&lt;&gt;""),--(LOWER(TRIM($AP$2:$AP$518))&lt;&gt;"n/a"),--(LOWER(TRIM($AP$2:$AP$518))&lt;&gt;"na"))&gt;1),AND($AQ35&lt;&gt;"",LOWER(TRIM($AQ35))&lt;&gt;"n/a",LOWER(TRIM($AQ35))&lt;&gt;"na",SUMPRODUCT(--(UPPER(TRIM($AQ$2:$AQ$518))=UPPER(TRIM($AQ35))),--(TRIM($AQ$2:$AQ$518)&lt;&gt;""),--(LOWER(TRIM($AQ$2:$AQ$518))&lt;&gt;"n/a"),--(LOWER(TRIM($AQ$2:$AQ$518))&lt;&gt;"na"))&gt;1)),"Yes","No"))</f>
        <v/>
      </c>
      <c r="F35">
        <f>IF(UPPER(TRIM($B35))&lt;&gt;"YES","", IF(OR(AND($V35&lt;&gt;"", LOWER(TRIM($V35))&lt;&gt;"n/a", LOWER(TRIM($V35))&lt;&gt;"na", SUMPRODUCT(--(UPPER(TRIM($V$2:$V$518))=UPPER(TRIM($V35))), --(UPPER(TRIM($B$2:$B$518))="YES"), --(UPPER(TRIM($G$2:$G$518)&amp;TRIM($I$2:$I$518)&amp;TRIM($J$2:$J$518))&lt;&gt;UPPER(TRIM($G35)&amp;TRIM($I35)&amp;TRIM($J35))))&gt;0), AND($W35&lt;&gt;"", LOWER(TRIM($W35))&lt;&gt;"n/a", LOWER(TRIM($W35))&lt;&gt;"na", SUMPRODUCT(--(UPPER(TRIM($W$2:$W$518))=UPPER(TRIM($W35))), --(UPPER(TRIM($B$2:$B$518))="YES"), --(UPPER(TRIM($G$2:$G$518)&amp;TRIM($I$2:$I$518)&amp;TRIM($J$2:$J$518))&lt;&gt;UPPER(TRIM($G35)&amp;TRIM($I35)&amp;TRIM($J35))))&gt;0), AND($X35&lt;&gt;"", LOWER(TRIM($X35))&lt;&gt;"n/a", LOWER(TRIM($X35))&lt;&gt;"na", SUMPRODUCT(--(UPPER(TRIM($X$2:$X$518))=UPPER(TRIM($X35))), --(UPPER(TRIM($B$2:$B$518))="YES"), --(UPPER(TRIM($G$2:$G$518)&amp;TRIM($I$2:$I$518)&amp;TRIM($J$2:$J$518))&lt;&gt;UPPER(TRIM($G35)&amp;TRIM($I35)&amp;TRIM($J35))))&gt;0), AND($Y35&lt;&gt;"", LOWER(TRIM($Y35))&lt;&gt;"n/a", LOWER(TRIM($Y35))&lt;&gt;"na", SUMPRODUCT(--(UPPER(SUBSTITUTE(SUBSTITUTE(TRIM($Y$2:$Y$518),":",""),"-",""))=UPPER(SUBSTITUTE(SUBSTITUTE(TRIM($Y35),":",""),"-",""))), --(UPPER(TRIM($B$2:$B$518))="YES"), --(UPPER(TRIM($G$2:$G$518)&amp;TRIM($I$2:$I$518)&amp;TRIM($J$2:$J$518))&lt;&gt;UPPER(TRIM($G35)&amp;TRIM($I35)&amp;TRIM($J35))))&gt;0), AND($AB35&lt;&gt;"", LOWER(TRIM($AB35))&lt;&gt;"n/a", LOWER(TRIM($AB35))&lt;&gt;"na", SUMPRODUCT(--(UPPER(TRIM($AB$2:$AB$518))=UPPER(TRIM($AB35))), --(UPPER(TRIM($B$2:$B$518))="YES"), --(UPPER(TRIM($G$2:$G$518)&amp;TRIM($I$2:$I$518)&amp;TRIM($J$2:$J$518))&lt;&gt;UPPER(TRIM($G35)&amp;TRIM($I35)&amp;TRIM($J35))))&gt;0), AND($AH35&lt;&gt;"", LOWER(TRIM($AH35))&lt;&gt;"n/a", LOWER(TRIM($AH35))&lt;&gt;"na", SUMPRODUCT(--(UPPER(SUBSTITUTE(SUBSTITUTE(TRIM($AH$2:$AH$518),":",""),"-",""))=UPPER(SUBSTITUTE(SUBSTITUTE(TRIM($AH35),":",""),"-",""))), --(UPPER(TRIM($B$2:$B$518))="YES"), --(UPPER(TRIM($G$2:$G$518)&amp;TRIM($I$2:$I$518)&amp;TRIM($J$2:$J$518))&lt;&gt;UPPER(TRIM($G35)&amp;TRIM($I35)&amp;TRIM($J35))))&gt;0), AND($AP35&lt;&gt;"", LOWER(TRIM($AP35))&lt;&gt;"n/a", LOWER(TRIM($AP35))&lt;&gt;"na", SUMPRODUCT(--(UPPER(TRIM($AP$2:$AP$518))=UPPER(TRIM($AP35))), --(UPPER(TRIM($B$2:$B$518))="YES"), --(UPPER(TRIM($G$2:$G$518)&amp;TRIM($I$2:$I$518)&amp;TRIM($J$2:$J$518))&lt;&gt;UPPER(TRIM($G35)&amp;TRIM($I35)&amp;TRIM($J35))))&gt;0), AND($AQ35&lt;&gt;"", LOWER(TRIM($AQ35))&lt;&gt;"n/a", LOWER(TRIM($AQ35))&lt;&gt;"na", SUMPRODUCT(--(UPPER(TRIM($AQ$2:$AQ$518))=UPPER(TRIM($AQ35))), --(UPPER(TRIM($B$2:$B$518))="YES"), --(UPPER(TRIM($G$2:$G$518)&amp;TRIM($I$2:$I$518)&amp;TRIM($J$2:$J$518))&lt;&gt;UPPER(TRIM($G35)&amp;TRIM($I35)&amp;TRIM($J35))))&gt;0)), "Yes", "No"))</f>
        <v/>
      </c>
      <c r="G35" t="inlineStr">
        <is>
          <t>NSUH - PSP</t>
        </is>
      </c>
      <c r="H35" t="inlineStr">
        <is>
          <t>NSUH - PSP</t>
        </is>
      </c>
      <c r="I35" t="inlineStr">
        <is>
          <t>Main ORs - PSP - 2nd Floor</t>
        </is>
      </c>
      <c r="L35" s="18" t="n">
        <v>46095</v>
      </c>
      <c r="M35" t="inlineStr">
        <is>
          <t>OR iPro Cybernet Workstation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U35" t="inlineStr">
        <is>
          <t>Dr. Palilla, Timothy W. Seeberger</t>
        </is>
      </c>
      <c r="V35" t="inlineStr">
        <is>
          <t>WMH300OPR346</t>
        </is>
      </c>
      <c r="W35" t="inlineStr">
        <is>
          <t>MEDSG2425F-0062</t>
        </is>
      </c>
      <c r="AH35" t="inlineStr">
        <is>
          <t>00:0D:05:0A:A6:89</t>
        </is>
      </c>
      <c r="BZ35" t="inlineStr">
        <is>
          <t>In Storage</t>
        </is>
      </c>
      <c r="CA35" t="inlineStr">
        <is>
          <t>iPro
Epic Satellite
ALLSCRIPTS
EPIC BCA</t>
        </is>
      </c>
      <c r="CD35">
        <f>IF($Y35="","",IF((IF(AND($BR35&lt;&gt;"Yes",$BR35&lt;&gt;"N/A"),"Power Cable, ","")&amp;IF(AND($BS35&lt;&gt;"Yes",$BS35&lt;&gt;"N/A"),"Battery, ","")&amp;IF(AND($AD35&lt;&gt;"Yes",$AD35&lt;&gt;"N/A"),"Firmware Download, ","")&amp;IF(AND(OR($AD35="Yes",$AD35="N/A"),$AE35&lt;&gt;"Yes",$AE35&lt;&gt;"N/A"),"Firmware Install, ","")&amp;IF(AND($CB35&lt;&gt;"Yes",$CB35&lt;&gt;"N/A"),"Device ID, ","")&amp;IF(AND($CC35&lt;&gt;"Yes",$CC35&lt;&gt;"N/A"),"Epic Beans Relay, ",""))="","",LEFT(IF(AND($BR35&lt;&gt;"Yes",$BR35&lt;&gt;"N/A"),"Power Cable, ","")&amp;IF(AND($BS35&lt;&gt;"Yes",$BS35&lt;&gt;"N/A"),"Battery, ","")&amp;IF(AND($AD35&lt;&gt;"Yes",$AD35&lt;&gt;"N/A"),"Firmware Download, ","")&amp;IF(AND(OR($AD35="Yes",$AD35="N/A"),$AE35&lt;&gt;"Yes",$AE35&lt;&gt;"N/A"),"Firmware Install, ","")&amp;IF(AND($CB35&lt;&gt;"Yes",$CB35&lt;&gt;"N/A"),"Device ID, ","")&amp;IF(AND($CC35&lt;&gt;"Yes",$CC35&lt;&gt;"N/A"),"Epic Beans Relay, ",""),LEN(IF(AND($BR35&lt;&gt;"Yes",$BR35&lt;&gt;"N/A"),"Power Cable, ","")&amp;IF(AND($BS35&lt;&gt;"Yes",$BS35&lt;&gt;"N/A"),"Battery, ","")&amp;IF(AND($AD35&lt;&gt;"Yes",$AD35&lt;&gt;"N/A"),"Firmware Download, ","")&amp;IF(AND(OR($AD35="Yes",$AD35="N/A"),$AE35&lt;&gt;"Yes",$AE35&lt;&gt;"N/A"),"Firmware Install, ","")&amp;IF(AND($CB35&lt;&gt;"Yes",$CB35&lt;&gt;"N/A"),"Device ID, ","")&amp;IF(AND($CC35&lt;&gt;"Yes",$CC35&lt;&gt;"N/A"),"Epic Beans Relay, ",""))-2)))</f>
        <v/>
      </c>
      <c r="CE35">
        <f>IF($Y35="","",IF($CD35="","Yes","Blocked"))</f>
        <v/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n">
        <v>19200</v>
      </c>
      <c r="CP35">
        <f>IF($CO35="","",IFERROR(VLOOKUP($CO35,'01_Warehouse_Ledger'!$A:$N,4,FALSE),""))</f>
        <v/>
      </c>
      <c r="CQ35">
        <f>IF($CO35="","",IFERROR(VLOOKUP($CO35,'01_Warehouse_Ledger'!$A:$N,5,FALSE),""))</f>
        <v/>
      </c>
      <c r="CR35">
        <f>IF($CO35="","",IFERROR(VLOOKUP($CO35,'01_Warehouse_Ledger'!$A:$N,13,FALSE),""))</f>
        <v/>
      </c>
      <c r="CW35">
        <f>IF($S35="","",IF(UPPER(TRIM($S35))&lt;&gt;"PASS","",IF(LEN(TRIM($BY35))&gt;0,"NOTES_PRESENT",IF(LEN(TRIM($T35))=0,"SET_NA",IF(OR(LOWER(TRIM($T35))="na",LOWER(TRIM($T35))="n/a"),"OK","MANUAL_OVERRIDE")))))</f>
        <v/>
      </c>
    </row>
    <row r="36">
      <c r="A36" t="inlineStr">
        <is>
          <t>Cybernet-Neuron</t>
        </is>
      </c>
      <c r="B36" t="inlineStr">
        <is>
          <t>Yes</t>
        </is>
      </c>
      <c r="C36" t="inlineStr">
        <is>
          <t>Yes</t>
        </is>
      </c>
      <c r="D36">
        <f>IF($B36&lt;&gt;"Yes","",IF($C36="No","Yes",IF($C36="Yes","No","")))</f>
        <v/>
      </c>
      <c r="E36">
        <f>IF($A36="","",IF(OR(AND($V36&lt;&gt;"",LOWER(TRIM($V36))&lt;&gt;"n/a",LOWER(TRIM($V36))&lt;&gt;"na",SUMPRODUCT(--(UPPER(TRIM($V$2:$V$518))=UPPER(TRIM($V36))),--(TRIM($V$2:$V$518)&lt;&gt;""),--(LOWER(TRIM($V$2:$V$518))&lt;&gt;"n/a"),--(LOWER(TRIM($V$2:$V$518))&lt;&gt;"na"))&gt;1),AND($W36&lt;&gt;"",LOWER(TRIM($W36))&lt;&gt;"n/a",LOWER(TRIM($W36))&lt;&gt;"na",SUMPRODUCT(--(UPPER(TRIM($W$2:$W$518))=UPPER(TRIM($W36))),--(TRIM($W$2:$W$518)&lt;&gt;""),--(LOWER(TRIM($W$2:$W$518))&lt;&gt;"n/a"),--(LOWER(TRIM($W$2:$W$518))&lt;&gt;"na"))&gt;1),AND($X36&lt;&gt;"",LOWER(TRIM($X36))&lt;&gt;"n/a",LOWER(TRIM($X36))&lt;&gt;"na",SUMPRODUCT(--(UPPER(TRIM($X$2:$X$518))=UPPER(TRIM($X36))),--(TRIM($X$2:$X$518)&lt;&gt;""),--(LOWER(TRIM($X$2:$X$518))&lt;&gt;"n/a"),--(LOWER(TRIM($X$2:$X$518))&lt;&gt;"na"))&gt;1),AND($Y36&lt;&gt;"",LOWER(TRIM($Y36))&lt;&gt;"n/a",LOWER(TRIM($Y36))&lt;&gt;"na",SUMPRODUCT(--(UPPER(SUBSTITUTE(SUBSTITUTE(TRIM($Y$2:$Y$518),":",""),"-",""))=UPPER(SUBSTITUTE(SUBSTITUTE(TRIM($Y36),":",""),"-",""))),--(TRIM($Y$2:$Y$518)&lt;&gt;""),--(LOWER(TRIM($Y$2:$Y$518))&lt;&gt;"n/a"),--(LOWER(TRIM($Y$2:$Y$518))&lt;&gt;"na"))&gt;1),AND($AB36&lt;&gt;"",LOWER(TRIM($AB36))&lt;&gt;"n/a",LOWER(TRIM($AB36))&lt;&gt;"na",SUMPRODUCT(--(UPPER(TRIM($AB$2:$AB$518))=UPPER(TRIM($AB36))),--(TRIM($AB$2:$AB$518)&lt;&gt;""),--(LOWER(TRIM($AB$2:$AB$518))&lt;&gt;"n/a"),--(LOWER(TRIM($AB$2:$AB$518))&lt;&gt;"na"))&gt;1),AND($AH36&lt;&gt;"",LOWER(TRIM($AH36))&lt;&gt;"n/a",LOWER(TRIM($AH36))&lt;&gt;"na",SUMPRODUCT(--(UPPER(SUBSTITUTE(SUBSTITUTE(TRIM($AH$2:$AH$518),":",""),"-",""))=UPPER(SUBSTITUTE(SUBSTITUTE(TRIM($AH36),":",""),"-",""))),--(TRIM($AH$2:$AH$518)&lt;&gt;""),--(LOWER(TRIM($AH$2:$AH$518))&lt;&gt;"n/a"),--(LOWER(TRIM($AH$2:$AH$518))&lt;&gt;"na"))&gt;1),AND($AP36&lt;&gt;"",LOWER(TRIM($AP36))&lt;&gt;"n/a",LOWER(TRIM($AP36))&lt;&gt;"na",SUMPRODUCT(--(UPPER(TRIM($AP$2:$AP$518))=UPPER(TRIM($AP36))),--(TRIM($AP$2:$AP$518)&lt;&gt;""),--(LOWER(TRIM($AP$2:$AP$518))&lt;&gt;"n/a"),--(LOWER(TRIM($AP$2:$AP$518))&lt;&gt;"na"))&gt;1),AND($AQ36&lt;&gt;"",LOWER(TRIM($AQ36))&lt;&gt;"n/a",LOWER(TRIM($AQ36))&lt;&gt;"na",SUMPRODUCT(--(UPPER(TRIM($AQ$2:$AQ$518))=UPPER(TRIM($AQ36))),--(TRIM($AQ$2:$AQ$518)&lt;&gt;""),--(LOWER(TRIM($AQ$2:$AQ$518))&lt;&gt;"n/a"),--(LOWER(TRIM($AQ$2:$AQ$518))&lt;&gt;"na"))&gt;1)),"Yes","No"))</f>
        <v/>
      </c>
      <c r="F36">
        <f>IF(UPPER(TRIM($B36))&lt;&gt;"YES","", IF(OR(AND($V36&lt;&gt;"", LOWER(TRIM($V36))&lt;&gt;"n/a", LOWER(TRIM($V36))&lt;&gt;"na", SUMPRODUCT(--(UPPER(TRIM($V$2:$V$518))=UPPER(TRIM($V36))), --(UPPER(TRIM($B$2:$B$518))="YES"), --(UPPER(TRIM($G$2:$G$518)&amp;TRIM($I$2:$I$518)&amp;TRIM($J$2:$J$518))&lt;&gt;UPPER(TRIM($G36)&amp;TRIM($I36)&amp;TRIM($J36))))&gt;0), AND($W36&lt;&gt;"", LOWER(TRIM($W36))&lt;&gt;"n/a", LOWER(TRIM($W36))&lt;&gt;"na", SUMPRODUCT(--(UPPER(TRIM($W$2:$W$518))=UPPER(TRIM($W36))), --(UPPER(TRIM($B$2:$B$518))="YES"), --(UPPER(TRIM($G$2:$G$518)&amp;TRIM($I$2:$I$518)&amp;TRIM($J$2:$J$518))&lt;&gt;UPPER(TRIM($G36)&amp;TRIM($I36)&amp;TRIM($J36))))&gt;0), AND($X36&lt;&gt;"", LOWER(TRIM($X36))&lt;&gt;"n/a", LOWER(TRIM($X36))&lt;&gt;"na", SUMPRODUCT(--(UPPER(TRIM($X$2:$X$518))=UPPER(TRIM($X36))), --(UPPER(TRIM($B$2:$B$518))="YES"), --(UPPER(TRIM($G$2:$G$518)&amp;TRIM($I$2:$I$518)&amp;TRIM($J$2:$J$518))&lt;&gt;UPPER(TRIM($G36)&amp;TRIM($I36)&amp;TRIM($J36))))&gt;0), AND($Y36&lt;&gt;"", LOWER(TRIM($Y36))&lt;&gt;"n/a", LOWER(TRIM($Y36))&lt;&gt;"na", SUMPRODUCT(--(UPPER(SUBSTITUTE(SUBSTITUTE(TRIM($Y$2:$Y$518),":",""),"-",""))=UPPER(SUBSTITUTE(SUBSTITUTE(TRIM($Y36),":",""),"-",""))), --(UPPER(TRIM($B$2:$B$518))="YES"), --(UPPER(TRIM($G$2:$G$518)&amp;TRIM($I$2:$I$518)&amp;TRIM($J$2:$J$518))&lt;&gt;UPPER(TRIM($G36)&amp;TRIM($I36)&amp;TRIM($J36))))&gt;0), AND($AB36&lt;&gt;"", LOWER(TRIM($AB36))&lt;&gt;"n/a", LOWER(TRIM($AB36))&lt;&gt;"na", SUMPRODUCT(--(UPPER(TRIM($AB$2:$AB$518))=UPPER(TRIM($AB36))), --(UPPER(TRIM($B$2:$B$518))="YES"), --(UPPER(TRIM($G$2:$G$518)&amp;TRIM($I$2:$I$518)&amp;TRIM($J$2:$J$518))&lt;&gt;UPPER(TRIM($G36)&amp;TRIM($I36)&amp;TRIM($J36))))&gt;0), AND($AH36&lt;&gt;"", LOWER(TRIM($AH36))&lt;&gt;"n/a", LOWER(TRIM($AH36))&lt;&gt;"na", SUMPRODUCT(--(UPPER(SUBSTITUTE(SUBSTITUTE(TRIM($AH$2:$AH$518),":",""),"-",""))=UPPER(SUBSTITUTE(SUBSTITUTE(TRIM($AH36),":",""),"-",""))), --(UPPER(TRIM($B$2:$B$518))="YES"), --(UPPER(TRIM($G$2:$G$518)&amp;TRIM($I$2:$I$518)&amp;TRIM($J$2:$J$518))&lt;&gt;UPPER(TRIM($G36)&amp;TRIM($I36)&amp;TRIM($J36))))&gt;0), AND($AP36&lt;&gt;"", LOWER(TRIM($AP36))&lt;&gt;"n/a", LOWER(TRIM($AP36))&lt;&gt;"na", SUMPRODUCT(--(UPPER(TRIM($AP$2:$AP$518))=UPPER(TRIM($AP36))), --(UPPER(TRIM($B$2:$B$518))="YES"), --(UPPER(TRIM($G$2:$G$518)&amp;TRIM($I$2:$I$518)&amp;TRIM($J$2:$J$518))&lt;&gt;UPPER(TRIM($G36)&amp;TRIM($I36)&amp;TRIM($J36))))&gt;0), AND($AQ36&lt;&gt;"", LOWER(TRIM($AQ36))&lt;&gt;"n/a", LOWER(TRIM($AQ36))&lt;&gt;"na", SUMPRODUCT(--(UPPER(TRIM($AQ$2:$AQ$518))=UPPER(TRIM($AQ36))), --(UPPER(TRIM($B$2:$B$518))="YES"), --(UPPER(TRIM($G$2:$G$518)&amp;TRIM($I$2:$I$518)&amp;TRIM($J$2:$J$518))&lt;&gt;UPPER(TRIM($G36)&amp;TRIM($I36)&amp;TRIM($J36))))&gt;0)), "Yes", "No"))</f>
        <v/>
      </c>
      <c r="G36" t="inlineStr">
        <is>
          <t>NSUH - Schwartz</t>
        </is>
      </c>
      <c r="H36" t="inlineStr">
        <is>
          <t>NSUH - Schwartz</t>
        </is>
      </c>
      <c r="I36" t="inlineStr">
        <is>
          <t>Main ORs Schwartz</t>
        </is>
      </c>
      <c r="J36" t="inlineStr">
        <is>
          <t>OR 5</t>
        </is>
      </c>
      <c r="L36" s="18" t="n">
        <v>46123</v>
      </c>
      <c r="M36" t="inlineStr">
        <is>
          <t>OR iPro Cybernet Workstation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R36" t="inlineStr">
        <is>
          <t>Yes</t>
        </is>
      </c>
      <c r="U36" t="inlineStr">
        <is>
          <t>Dr. Palilla, Timothy W. Seeberger</t>
        </is>
      </c>
      <c r="V36" t="inlineStr">
        <is>
          <t>WMH300OPR347</t>
        </is>
      </c>
      <c r="W36" t="inlineStr">
        <is>
          <t>MEDSG2425F-0093</t>
        </is>
      </c>
      <c r="X36" t="inlineStr">
        <is>
          <t xml:space="preserve">SCH-MACH-E </t>
        </is>
      </c>
      <c r="Y36" t="inlineStr">
        <is>
          <t>A0F5097FF01A</t>
        </is>
      </c>
      <c r="AB36" t="inlineStr">
        <is>
          <t>WA24406228</t>
        </is>
      </c>
      <c r="AC36" t="inlineStr">
        <is>
          <t>NSUH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00:0D:05:0A:A6:F9</t>
        </is>
      </c>
      <c r="AJ36" t="n">
        <v>409528</v>
      </c>
      <c r="AL36" t="inlineStr">
        <is>
          <t>1301- 105 / 106</t>
        </is>
      </c>
      <c r="AM36" t="inlineStr">
        <is>
          <t xml:space="preserve">Drager </t>
        </is>
      </c>
      <c r="AN36" t="inlineStr">
        <is>
          <t>FABIUS GS PREMIUM</t>
        </is>
      </c>
      <c r="AP36" t="inlineStr">
        <is>
          <t>8607000-50ASDF-0030</t>
        </is>
      </c>
      <c r="AQ36" t="inlineStr">
        <is>
          <t>8607000-50ASDF-0030</t>
        </is>
      </c>
      <c r="AS36" t="inlineStr">
        <is>
          <t>Carespace B650: 833-08, SPEC999015</t>
        </is>
      </c>
      <c r="AT36" t="inlineStr">
        <is>
          <t>B1-CFT</t>
        </is>
      </c>
      <c r="AX36" t="inlineStr">
        <is>
          <t>Carespace B650: SK416381031HA</t>
        </is>
      </c>
      <c r="AY36" s="65" t="inlineStr">
        <is>
          <t>8607000-50ASDF-0030</t>
        </is>
      </c>
      <c r="BC36" t="n">
        <v>409528</v>
      </c>
      <c r="BD36" t="n">
        <v>402490</v>
      </c>
      <c r="BH36" t="n">
        <v>19200</v>
      </c>
      <c r="BI36" t="n">
        <v>9600</v>
      </c>
      <c r="BM36" t="inlineStr">
        <is>
          <t>E81</t>
        </is>
      </c>
      <c r="BN36" t="inlineStr">
        <is>
          <t>N81</t>
        </is>
      </c>
      <c r="BR36" t="inlineStr">
        <is>
          <t>Yes</t>
        </is>
      </c>
      <c r="BS36" t="inlineStr">
        <is>
          <t>Yes</t>
        </is>
      </c>
      <c r="BT36" t="inlineStr">
        <is>
          <t>Yes</t>
        </is>
      </c>
      <c r="BU36" t="inlineStr">
        <is>
          <t>Yes</t>
        </is>
      </c>
      <c r="BZ36" t="inlineStr">
        <is>
          <t>In Storage</t>
        </is>
      </c>
      <c r="CA36" t="inlineStr">
        <is>
          <t>iPro
Epic Satellite
ALLSCRIPTS
EPIC BCA</t>
        </is>
      </c>
      <c r="CD36">
        <f>IF($Y36="","",IF((IF(AND($BR36&lt;&gt;"Yes",$BR36&lt;&gt;"N/A"),"Power Cable, ","")&amp;IF(AND($BS36&lt;&gt;"Yes",$BS36&lt;&gt;"N/A"),"Battery, ","")&amp;IF(AND($AD36&lt;&gt;"Yes",$AD36&lt;&gt;"N/A"),"Firmware Download, ","")&amp;IF(AND(OR($AD36="Yes",$AD36="N/A"),$AE36&lt;&gt;"Yes",$AE36&lt;&gt;"N/A"),"Firmware Install, ","")&amp;IF(AND($CB36&lt;&gt;"Yes",$CB36&lt;&gt;"N/A"),"Device ID, ","")&amp;IF(AND($CC36&lt;&gt;"Yes",$CC36&lt;&gt;"N/A"),"Epic Beans Relay, ",""))="","",LEFT(IF(AND($BR36&lt;&gt;"Yes",$BR36&lt;&gt;"N/A"),"Power Cable, ","")&amp;IF(AND($BS36&lt;&gt;"Yes",$BS36&lt;&gt;"N/A"),"Battery, ","")&amp;IF(AND($AD36&lt;&gt;"Yes",$AD36&lt;&gt;"N/A"),"Firmware Download, ","")&amp;IF(AND(OR($AD36="Yes",$AD36="N/A"),$AE36&lt;&gt;"Yes",$AE36&lt;&gt;"N/A"),"Firmware Install, ","")&amp;IF(AND($CB36&lt;&gt;"Yes",$CB36&lt;&gt;"N/A"),"Device ID, ","")&amp;IF(AND($CC36&lt;&gt;"Yes",$CC36&lt;&gt;"N/A"),"Epic Beans Relay, ",""),LEN(IF(AND($BR36&lt;&gt;"Yes",$BR36&lt;&gt;"N/A"),"Power Cable, ","")&amp;IF(AND($BS36&lt;&gt;"Yes",$BS36&lt;&gt;"N/A"),"Battery, ","")&amp;IF(AND($AD36&lt;&gt;"Yes",$AD36&lt;&gt;"N/A"),"Firmware Download, ","")&amp;IF(AND(OR($AD36="Yes",$AD36="N/A"),$AE36&lt;&gt;"Yes",$AE36&lt;&gt;"N/A"),"Firmware Install, ","")&amp;IF(AND($CB36&lt;&gt;"Yes",$CB36&lt;&gt;"N/A"),"Device ID, ","")&amp;IF(AND($CC36&lt;&gt;"Yes",$CC36&lt;&gt;"N/A"),"Epic Beans Relay, ",""))-2)))</f>
        <v/>
      </c>
      <c r="CE36">
        <f>IF($Y36="","",IF($CD36="","Yes","Blocked"))</f>
        <v/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n">
        <v>19200</v>
      </c>
      <c r="CP36">
        <f>IF($CO36="","",IFERROR(VLOOKUP($CO36,'01_Warehouse_Ledger'!$A:$N,4,FALSE),""))</f>
        <v/>
      </c>
      <c r="CQ36">
        <f>IF($CO36="","",IFERROR(VLOOKUP($CO36,'01_Warehouse_Ledger'!$A:$N,5,FALSE),""))</f>
        <v/>
      </c>
      <c r="CR36">
        <f>IF($CO36="","",IFERROR(VLOOKUP($CO36,'01_Warehouse_Ledger'!$A:$N,13,FALSE),""))</f>
        <v/>
      </c>
      <c r="CW36">
        <f>IF($S36="","",IF(UPPER(TRIM($S36))&lt;&gt;"PASS","",IF(LEN(TRIM($BY36))&gt;0,"NOTES_PRESENT",IF(LEN(TRIM($T36))=0,"SET_NA",IF(OR(LOWER(TRIM($T36))="na",LOWER(TRIM($T36))="n/a"),"OK","MANUAL_OVERRIDE")))))</f>
        <v/>
      </c>
    </row>
    <row r="37" ht="18" customHeight="1" s="91">
      <c r="A37" t="inlineStr">
        <is>
          <t>Cybernet-Neuron</t>
        </is>
      </c>
      <c r="B37" t="inlineStr">
        <is>
          <t>Yes</t>
        </is>
      </c>
      <c r="C37" t="inlineStr">
        <is>
          <t>Yes</t>
        </is>
      </c>
      <c r="D37">
        <f>IF($B37&lt;&gt;"Yes","",IF($C37="No","Yes",IF($C37="Yes","No","")))</f>
        <v/>
      </c>
      <c r="E37">
        <f>IF($A37="","",IF(OR(AND($V37&lt;&gt;"",LOWER(TRIM($V37))&lt;&gt;"n/a",LOWER(TRIM($V37))&lt;&gt;"na",SUMPRODUCT(--(UPPER(TRIM($V$2:$V$518))=UPPER(TRIM($V37))),--(TRIM($V$2:$V$518)&lt;&gt;""),--(LOWER(TRIM($V$2:$V$518))&lt;&gt;"n/a"),--(LOWER(TRIM($V$2:$V$518))&lt;&gt;"na"))&gt;1),AND($W37&lt;&gt;"",LOWER(TRIM($W37))&lt;&gt;"n/a",LOWER(TRIM($W37))&lt;&gt;"na",SUMPRODUCT(--(UPPER(TRIM($W$2:$W$518))=UPPER(TRIM($W37))),--(TRIM($W$2:$W$518)&lt;&gt;""),--(LOWER(TRIM($W$2:$W$518))&lt;&gt;"n/a"),--(LOWER(TRIM($W$2:$W$518))&lt;&gt;"na"))&gt;1),AND($X37&lt;&gt;"",LOWER(TRIM($X37))&lt;&gt;"n/a",LOWER(TRIM($X37))&lt;&gt;"na",SUMPRODUCT(--(UPPER(TRIM($X$2:$X$518))=UPPER(TRIM($X37))),--(TRIM($X$2:$X$518)&lt;&gt;""),--(LOWER(TRIM($X$2:$X$518))&lt;&gt;"n/a"),--(LOWER(TRIM($X$2:$X$518))&lt;&gt;"na"))&gt;1),AND($Y37&lt;&gt;"",LOWER(TRIM($Y37))&lt;&gt;"n/a",LOWER(TRIM($Y37))&lt;&gt;"na",SUMPRODUCT(--(UPPER(SUBSTITUTE(SUBSTITUTE(TRIM($Y$2:$Y$518),":",""),"-",""))=UPPER(SUBSTITUTE(SUBSTITUTE(TRIM($Y37),":",""),"-",""))),--(TRIM($Y$2:$Y$518)&lt;&gt;""),--(LOWER(TRIM($Y$2:$Y$518))&lt;&gt;"n/a"),--(LOWER(TRIM($Y$2:$Y$518))&lt;&gt;"na"))&gt;1),AND($AB37&lt;&gt;"",LOWER(TRIM($AB37))&lt;&gt;"n/a",LOWER(TRIM($AB37))&lt;&gt;"na",SUMPRODUCT(--(UPPER(TRIM($AB$2:$AB$518))=UPPER(TRIM($AB37))),--(TRIM($AB$2:$AB$518)&lt;&gt;""),--(LOWER(TRIM($AB$2:$AB$518))&lt;&gt;"n/a"),--(LOWER(TRIM($AB$2:$AB$518))&lt;&gt;"na"))&gt;1),AND($AH37&lt;&gt;"",LOWER(TRIM($AH37))&lt;&gt;"n/a",LOWER(TRIM($AH37))&lt;&gt;"na",SUMPRODUCT(--(UPPER(SUBSTITUTE(SUBSTITUTE(TRIM($AH$2:$AH$518),":",""),"-",""))=UPPER(SUBSTITUTE(SUBSTITUTE(TRIM($AH37),":",""),"-",""))),--(TRIM($AH$2:$AH$518)&lt;&gt;""),--(LOWER(TRIM($AH$2:$AH$518))&lt;&gt;"n/a"),--(LOWER(TRIM($AH$2:$AH$518))&lt;&gt;"na"))&gt;1),AND($AP37&lt;&gt;"",LOWER(TRIM($AP37))&lt;&gt;"n/a",LOWER(TRIM($AP37))&lt;&gt;"na",SUMPRODUCT(--(UPPER(TRIM($AP$2:$AP$518))=UPPER(TRIM($AP37))),--(TRIM($AP$2:$AP$518)&lt;&gt;""),--(LOWER(TRIM($AP$2:$AP$518))&lt;&gt;"n/a"),--(LOWER(TRIM($AP$2:$AP$518))&lt;&gt;"na"))&gt;1),AND($AQ37&lt;&gt;"",LOWER(TRIM($AQ37))&lt;&gt;"n/a",LOWER(TRIM($AQ37))&lt;&gt;"na",SUMPRODUCT(--(UPPER(TRIM($AQ$2:$AQ$518))=UPPER(TRIM($AQ37))),--(TRIM($AQ$2:$AQ$518)&lt;&gt;""),--(LOWER(TRIM($AQ$2:$AQ$518))&lt;&gt;"n/a"),--(LOWER(TRIM($AQ$2:$AQ$518))&lt;&gt;"na"))&gt;1)),"Yes","No"))</f>
        <v/>
      </c>
      <c r="F37">
        <f>IF(UPPER(TRIM($B37))&lt;&gt;"YES","", IF(OR(AND($V37&lt;&gt;"", LOWER(TRIM($V37))&lt;&gt;"n/a", LOWER(TRIM($V37))&lt;&gt;"na", SUMPRODUCT(--(UPPER(TRIM($V$2:$V$518))=UPPER(TRIM($V37))), --(UPPER(TRIM($B$2:$B$518))="YES"), --(UPPER(TRIM($G$2:$G$518)&amp;TRIM($I$2:$I$518)&amp;TRIM($J$2:$J$518))&lt;&gt;UPPER(TRIM($G37)&amp;TRIM($I37)&amp;TRIM($J37))))&gt;0), AND($W37&lt;&gt;"", LOWER(TRIM($W37))&lt;&gt;"n/a", LOWER(TRIM($W37))&lt;&gt;"na", SUMPRODUCT(--(UPPER(TRIM($W$2:$W$518))=UPPER(TRIM($W37))), --(UPPER(TRIM($B$2:$B$518))="YES"), --(UPPER(TRIM($G$2:$G$518)&amp;TRIM($I$2:$I$518)&amp;TRIM($J$2:$J$518))&lt;&gt;UPPER(TRIM($G37)&amp;TRIM($I37)&amp;TRIM($J37))))&gt;0), AND($X37&lt;&gt;"", LOWER(TRIM($X37))&lt;&gt;"n/a", LOWER(TRIM($X37))&lt;&gt;"na", SUMPRODUCT(--(UPPER(TRIM($X$2:$X$518))=UPPER(TRIM($X37))), --(UPPER(TRIM($B$2:$B$518))="YES"), --(UPPER(TRIM($G$2:$G$518)&amp;TRIM($I$2:$I$518)&amp;TRIM($J$2:$J$518))&lt;&gt;UPPER(TRIM($G37)&amp;TRIM($I37)&amp;TRIM($J37))))&gt;0), AND($Y37&lt;&gt;"", LOWER(TRIM($Y37))&lt;&gt;"n/a", LOWER(TRIM($Y37))&lt;&gt;"na", SUMPRODUCT(--(UPPER(SUBSTITUTE(SUBSTITUTE(TRIM($Y$2:$Y$518),":",""),"-",""))=UPPER(SUBSTITUTE(SUBSTITUTE(TRIM($Y37),":",""),"-",""))), --(UPPER(TRIM($B$2:$B$518))="YES"), --(UPPER(TRIM($G$2:$G$518)&amp;TRIM($I$2:$I$518)&amp;TRIM($J$2:$J$518))&lt;&gt;UPPER(TRIM($G37)&amp;TRIM($I37)&amp;TRIM($J37))))&gt;0), AND($AB37&lt;&gt;"", LOWER(TRIM($AB37))&lt;&gt;"n/a", LOWER(TRIM($AB37))&lt;&gt;"na", SUMPRODUCT(--(UPPER(TRIM($AB$2:$AB$518))=UPPER(TRIM($AB37))), --(UPPER(TRIM($B$2:$B$518))="YES"), --(UPPER(TRIM($G$2:$G$518)&amp;TRIM($I$2:$I$518)&amp;TRIM($J$2:$J$518))&lt;&gt;UPPER(TRIM($G37)&amp;TRIM($I37)&amp;TRIM($J37))))&gt;0), AND($AH37&lt;&gt;"", LOWER(TRIM($AH37))&lt;&gt;"n/a", LOWER(TRIM($AH37))&lt;&gt;"na", SUMPRODUCT(--(UPPER(SUBSTITUTE(SUBSTITUTE(TRIM($AH$2:$AH$518),":",""),"-",""))=UPPER(SUBSTITUTE(SUBSTITUTE(TRIM($AH37),":",""),"-",""))), --(UPPER(TRIM($B$2:$B$518))="YES"), --(UPPER(TRIM($G$2:$G$518)&amp;TRIM($I$2:$I$518)&amp;TRIM($J$2:$J$518))&lt;&gt;UPPER(TRIM($G37)&amp;TRIM($I37)&amp;TRIM($J37))))&gt;0), AND($AP37&lt;&gt;"", LOWER(TRIM($AP37))&lt;&gt;"n/a", LOWER(TRIM($AP37))&lt;&gt;"na", SUMPRODUCT(--(UPPER(TRIM($AP$2:$AP$518))=UPPER(TRIM($AP37))), --(UPPER(TRIM($B$2:$B$518))="YES"), --(UPPER(TRIM($G$2:$G$518)&amp;TRIM($I$2:$I$518)&amp;TRIM($J$2:$J$518))&lt;&gt;UPPER(TRIM($G37)&amp;TRIM($I37)&amp;TRIM($J37))))&gt;0), AND($AQ37&lt;&gt;"", LOWER(TRIM($AQ37))&lt;&gt;"n/a", LOWER(TRIM($AQ37))&lt;&gt;"na", SUMPRODUCT(--(UPPER(TRIM($AQ$2:$AQ$518))=UPPER(TRIM($AQ37))), --(UPPER(TRIM($B$2:$B$518))="YES"), --(UPPER(TRIM($G$2:$G$518)&amp;TRIM($I$2:$I$518)&amp;TRIM($J$2:$J$518))&lt;&gt;UPPER(TRIM($G37)&amp;TRIM($I37)&amp;TRIM($J37))))&gt;0)), "Yes", "No"))</f>
        <v/>
      </c>
      <c r="G37" t="inlineStr">
        <is>
          <t>NSUH - Schwartz</t>
        </is>
      </c>
      <c r="H37" t="inlineStr">
        <is>
          <t>NSUH - Schwartz</t>
        </is>
      </c>
      <c r="I37" t="inlineStr">
        <is>
          <t>Main ORs Schwartz</t>
        </is>
      </c>
      <c r="J37" t="inlineStr">
        <is>
          <t>OR 2</t>
        </is>
      </c>
      <c r="L37" s="18" t="n">
        <v>46123</v>
      </c>
      <c r="M37" t="inlineStr">
        <is>
          <t>OR iPro Cybernet Workstation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R37" t="inlineStr">
        <is>
          <t>Yes</t>
        </is>
      </c>
      <c r="U37" t="inlineStr">
        <is>
          <t>Dr. Palilla, Timothy W. Seeberger</t>
        </is>
      </c>
      <c r="V37" t="inlineStr">
        <is>
          <t>WMH300OPR348</t>
        </is>
      </c>
      <c r="W37" t="inlineStr">
        <is>
          <t>MEDSG2425F-0046</t>
        </is>
      </c>
      <c r="X37" t="inlineStr">
        <is>
          <t>SCH-MACH-B</t>
        </is>
      </c>
      <c r="Y37" t="inlineStr">
        <is>
          <t>A0F5097FA516</t>
        </is>
      </c>
      <c r="AB37" t="inlineStr">
        <is>
          <t>WA23C03118</t>
        </is>
      </c>
      <c r="AC37" t="inlineStr">
        <is>
          <t>NSUH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00:0D:05:0A:A8:F5</t>
        </is>
      </c>
      <c r="AJ37" t="n">
        <v>409538</v>
      </c>
      <c r="AL37" t="inlineStr">
        <is>
          <t>1301-099 / 100</t>
        </is>
      </c>
      <c r="AM37" t="inlineStr">
        <is>
          <t>Drager</t>
        </is>
      </c>
      <c r="AN37" t="inlineStr">
        <is>
          <t>FABIUS GS PREMIUM</t>
        </is>
      </c>
      <c r="AP37" t="inlineStr">
        <is>
          <t>8607000-50ASDF-0031</t>
        </is>
      </c>
      <c r="AQ37" t="inlineStr">
        <is>
          <t>8607000-50ASDF-0031</t>
        </is>
      </c>
      <c r="AS37" t="inlineStr">
        <is>
          <t>Carespace B650: 833-08, SPEC999015</t>
        </is>
      </c>
      <c r="AT37" t="inlineStr">
        <is>
          <t>B1-CFT</t>
        </is>
      </c>
      <c r="AX37" t="inlineStr">
        <is>
          <t>Carespace B650: SK416381025HA</t>
        </is>
      </c>
      <c r="AY37" t="inlineStr">
        <is>
          <t>8607000-50ASDF-0031</t>
        </is>
      </c>
      <c r="BC37" t="n">
        <v>409538</v>
      </c>
      <c r="BD37" t="n">
        <v>402489</v>
      </c>
      <c r="BH37" t="n">
        <v>19200</v>
      </c>
      <c r="BI37" t="n">
        <v>9600</v>
      </c>
      <c r="BM37" t="inlineStr">
        <is>
          <t>E81</t>
        </is>
      </c>
      <c r="BN37" t="inlineStr">
        <is>
          <t>N81</t>
        </is>
      </c>
      <c r="BR37" t="inlineStr">
        <is>
          <t>Yes</t>
        </is>
      </c>
      <c r="BS37" t="inlineStr">
        <is>
          <t>Yes</t>
        </is>
      </c>
      <c r="BT37" t="inlineStr">
        <is>
          <t>Yes</t>
        </is>
      </c>
      <c r="BU37" t="inlineStr">
        <is>
          <t>Yes</t>
        </is>
      </c>
      <c r="CA37" s="22" t="inlineStr">
        <is>
          <t>iPro
Epic Satellite
ALLSCRIPTS
EPIC BCA</t>
        </is>
      </c>
      <c r="CD37">
        <f>IF($Y37="","",IF((IF(AND($BR37&lt;&gt;"Yes",$BR37&lt;&gt;"N/A"),"Power Cable, ","")&amp;IF(AND($BS37&lt;&gt;"Yes",$BS37&lt;&gt;"N/A"),"Battery, ","")&amp;IF(AND($AD37&lt;&gt;"Yes",$AD37&lt;&gt;"N/A"),"Firmware Download, ","")&amp;IF(AND(OR($AD37="Yes",$AD37="N/A"),$AE37&lt;&gt;"Yes",$AE37&lt;&gt;"N/A"),"Firmware Install, ","")&amp;IF(AND($CB37&lt;&gt;"Yes",$CB37&lt;&gt;"N/A"),"Device ID, ","")&amp;IF(AND($CC37&lt;&gt;"Yes",$CC37&lt;&gt;"N/A"),"Epic Beans Relay, ",""))="","",LEFT(IF(AND($BR37&lt;&gt;"Yes",$BR37&lt;&gt;"N/A"),"Power Cable, ","")&amp;IF(AND($BS37&lt;&gt;"Yes",$BS37&lt;&gt;"N/A"),"Battery, ","")&amp;IF(AND($AD37&lt;&gt;"Yes",$AD37&lt;&gt;"N/A"),"Firmware Download, ","")&amp;IF(AND(OR($AD37="Yes",$AD37="N/A"),$AE37&lt;&gt;"Yes",$AE37&lt;&gt;"N/A"),"Firmware Install, ","")&amp;IF(AND($CB37&lt;&gt;"Yes",$CB37&lt;&gt;"N/A"),"Device ID, ","")&amp;IF(AND($CC37&lt;&gt;"Yes",$CC37&lt;&gt;"N/A"),"Epic Beans Relay, ",""),LEN(IF(AND($BR37&lt;&gt;"Yes",$BR37&lt;&gt;"N/A"),"Power Cable, ","")&amp;IF(AND($BS37&lt;&gt;"Yes",$BS37&lt;&gt;"N/A"),"Battery, ","")&amp;IF(AND($AD37&lt;&gt;"Yes",$AD37&lt;&gt;"N/A"),"Firmware Download, ","")&amp;IF(AND(OR($AD37="Yes",$AD37="N/A"),$AE37&lt;&gt;"Yes",$AE37&lt;&gt;"N/A"),"Firmware Install, ","")&amp;IF(AND($CB37&lt;&gt;"Yes",$CB37&lt;&gt;"N/A"),"Device ID, ","")&amp;IF(AND($CC37&lt;&gt;"Yes",$CC37&lt;&gt;"N/A"),"Epic Beans Relay, ",""))-2)))</f>
        <v/>
      </c>
      <c r="CE37">
        <f>IF($Y37="","",IF($CD37="","Yes","Blocked"))</f>
        <v/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n">
        <v>19200</v>
      </c>
      <c r="CP37">
        <f>IF($CO37="","",IFERROR(VLOOKUP($CO37,'01_Warehouse_Ledger'!$A:$N,4,FALSE),""))</f>
        <v/>
      </c>
      <c r="CQ37">
        <f>IF($CO37="","",IFERROR(VLOOKUP($CO37,'01_Warehouse_Ledger'!$A:$N,5,FALSE),""))</f>
        <v/>
      </c>
      <c r="CR37">
        <f>IF($CO37="","",IFERROR(VLOOKUP($CO37,'01_Warehouse_Ledger'!$A:$N,13,FALSE),""))</f>
        <v/>
      </c>
      <c r="CW37">
        <f>IF($S37="","",IF(UPPER(TRIM($S37))&lt;&gt;"PASS","",IF(LEN(TRIM($BY37))&gt;0,"NOTES_PRESENT",IF(LEN(TRIM($T37))=0,"SET_NA",IF(OR(LOWER(TRIM($T37))="na",LOWER(TRIM($T37))="n/a"),"OK","MANUAL_OVERRIDE")))))</f>
        <v/>
      </c>
    </row>
    <row r="38">
      <c r="A38" t="inlineStr">
        <is>
          <t>Neuron Cybernet</t>
        </is>
      </c>
      <c r="B38" t="inlineStr">
        <is>
          <t>Yes</t>
        </is>
      </c>
      <c r="C38" t="inlineStr">
        <is>
          <t>Yes</t>
        </is>
      </c>
      <c r="D38">
        <f>IF($B38&lt;&gt;"Yes","",IF($C38="No","Yes",IF($C38="Yes","No","")))</f>
        <v/>
      </c>
      <c r="E38">
        <f>IF($A38="","",IF(OR(AND($V38&lt;&gt;"",LOWER(TRIM($V38))&lt;&gt;"n/a",LOWER(TRIM($V38))&lt;&gt;"na",SUMPRODUCT(--(UPPER(TRIM($V$2:$V$518))=UPPER(TRIM($V38))),--(TRIM($V$2:$V$518)&lt;&gt;""),--(LOWER(TRIM($V$2:$V$518))&lt;&gt;"n/a"),--(LOWER(TRIM($V$2:$V$518))&lt;&gt;"na"))&gt;1),AND($W38&lt;&gt;"",LOWER(TRIM($W38))&lt;&gt;"n/a",LOWER(TRIM($W38))&lt;&gt;"na",SUMPRODUCT(--(UPPER(TRIM($W$2:$W$518))=UPPER(TRIM($W38))),--(TRIM($W$2:$W$518)&lt;&gt;""),--(LOWER(TRIM($W$2:$W$518))&lt;&gt;"n/a"),--(LOWER(TRIM($W$2:$W$518))&lt;&gt;"na"))&gt;1),AND($X38&lt;&gt;"",LOWER(TRIM($X38))&lt;&gt;"n/a",LOWER(TRIM($X38))&lt;&gt;"na",SUMPRODUCT(--(UPPER(TRIM($X$2:$X$518))=UPPER(TRIM($X38))),--(TRIM($X$2:$X$518)&lt;&gt;""),--(LOWER(TRIM($X$2:$X$518))&lt;&gt;"n/a"),--(LOWER(TRIM($X$2:$X$518))&lt;&gt;"na"))&gt;1),AND($Y38&lt;&gt;"",LOWER(TRIM($Y38))&lt;&gt;"n/a",LOWER(TRIM($Y38))&lt;&gt;"na",SUMPRODUCT(--(UPPER(SUBSTITUTE(SUBSTITUTE(TRIM($Y$2:$Y$518),":",""),"-",""))=UPPER(SUBSTITUTE(SUBSTITUTE(TRIM($Y38),":",""),"-",""))),--(TRIM($Y$2:$Y$518)&lt;&gt;""),--(LOWER(TRIM($Y$2:$Y$518))&lt;&gt;"n/a"),--(LOWER(TRIM($Y$2:$Y$518))&lt;&gt;"na"))&gt;1),AND($AB38&lt;&gt;"",LOWER(TRIM($AB38))&lt;&gt;"n/a",LOWER(TRIM($AB38))&lt;&gt;"na",SUMPRODUCT(--(UPPER(TRIM($AB$2:$AB$518))=UPPER(TRIM($AB38))),--(TRIM($AB$2:$AB$518)&lt;&gt;""),--(LOWER(TRIM($AB$2:$AB$518))&lt;&gt;"n/a"),--(LOWER(TRIM($AB$2:$AB$518))&lt;&gt;"na"))&gt;1),AND($AH38&lt;&gt;"",LOWER(TRIM($AH38))&lt;&gt;"n/a",LOWER(TRIM($AH38))&lt;&gt;"na",SUMPRODUCT(--(UPPER(SUBSTITUTE(SUBSTITUTE(TRIM($AH$2:$AH$518),":",""),"-",""))=UPPER(SUBSTITUTE(SUBSTITUTE(TRIM($AH38),":",""),"-",""))),--(TRIM($AH$2:$AH$518)&lt;&gt;""),--(LOWER(TRIM($AH$2:$AH$518))&lt;&gt;"n/a"),--(LOWER(TRIM($AH$2:$AH$518))&lt;&gt;"na"))&gt;1),AND($AP38&lt;&gt;"",LOWER(TRIM($AP38))&lt;&gt;"n/a",LOWER(TRIM($AP38))&lt;&gt;"na",SUMPRODUCT(--(UPPER(TRIM($AP$2:$AP$518))=UPPER(TRIM($AP38))),--(TRIM($AP$2:$AP$518)&lt;&gt;""),--(LOWER(TRIM($AP$2:$AP$518))&lt;&gt;"n/a"),--(LOWER(TRIM($AP$2:$AP$518))&lt;&gt;"na"))&gt;1),AND($AQ38&lt;&gt;"",LOWER(TRIM($AQ38))&lt;&gt;"n/a",LOWER(TRIM($AQ38))&lt;&gt;"na",SUMPRODUCT(--(UPPER(TRIM($AQ$2:$AQ$518))=UPPER(TRIM($AQ38))),--(TRIM($AQ$2:$AQ$518)&lt;&gt;""),--(LOWER(TRIM($AQ$2:$AQ$518))&lt;&gt;"n/a"),--(LOWER(TRIM($AQ$2:$AQ$518))&lt;&gt;"na"))&gt;1)),"Yes","No"))</f>
        <v/>
      </c>
      <c r="F38">
        <f>IF(UPPER(TRIM($B38))&lt;&gt;"YES","", IF(OR(AND($V38&lt;&gt;"", LOWER(TRIM($V38))&lt;&gt;"n/a", LOWER(TRIM($V38))&lt;&gt;"na", SUMPRODUCT(--(UPPER(TRIM($V$2:$V$518))=UPPER(TRIM($V38))), --(UPPER(TRIM($B$2:$B$518))="YES"), --(UPPER(TRIM($G$2:$G$518)&amp;TRIM($I$2:$I$518)&amp;TRIM($J$2:$J$518))&lt;&gt;UPPER(TRIM($G38)&amp;TRIM($I38)&amp;TRIM($J38))))&gt;0), AND($W38&lt;&gt;"", LOWER(TRIM($W38))&lt;&gt;"n/a", LOWER(TRIM($W38))&lt;&gt;"na", SUMPRODUCT(--(UPPER(TRIM($W$2:$W$518))=UPPER(TRIM($W38))), --(UPPER(TRIM($B$2:$B$518))="YES"), --(UPPER(TRIM($G$2:$G$518)&amp;TRIM($I$2:$I$518)&amp;TRIM($J$2:$J$518))&lt;&gt;UPPER(TRIM($G38)&amp;TRIM($I38)&amp;TRIM($J38))))&gt;0), AND($X38&lt;&gt;"", LOWER(TRIM($X38))&lt;&gt;"n/a", LOWER(TRIM($X38))&lt;&gt;"na", SUMPRODUCT(--(UPPER(TRIM($X$2:$X$518))=UPPER(TRIM($X38))), --(UPPER(TRIM($B$2:$B$518))="YES"), --(UPPER(TRIM($G$2:$G$518)&amp;TRIM($I$2:$I$518)&amp;TRIM($J$2:$J$518))&lt;&gt;UPPER(TRIM($G38)&amp;TRIM($I38)&amp;TRIM($J38))))&gt;0), AND($Y38&lt;&gt;"", LOWER(TRIM($Y38))&lt;&gt;"n/a", LOWER(TRIM($Y38))&lt;&gt;"na", SUMPRODUCT(--(UPPER(SUBSTITUTE(SUBSTITUTE(TRIM($Y$2:$Y$518),":",""),"-",""))=UPPER(SUBSTITUTE(SUBSTITUTE(TRIM($Y38),":",""),"-",""))), --(UPPER(TRIM($B$2:$B$518))="YES"), --(UPPER(TRIM($G$2:$G$518)&amp;TRIM($I$2:$I$518)&amp;TRIM($J$2:$J$518))&lt;&gt;UPPER(TRIM($G38)&amp;TRIM($I38)&amp;TRIM($J38))))&gt;0), AND($AB38&lt;&gt;"", LOWER(TRIM($AB38))&lt;&gt;"n/a", LOWER(TRIM($AB38))&lt;&gt;"na", SUMPRODUCT(--(UPPER(TRIM($AB$2:$AB$518))=UPPER(TRIM($AB38))), --(UPPER(TRIM($B$2:$B$518))="YES"), --(UPPER(TRIM($G$2:$G$518)&amp;TRIM($I$2:$I$518)&amp;TRIM($J$2:$J$518))&lt;&gt;UPPER(TRIM($G38)&amp;TRIM($I38)&amp;TRIM($J38))))&gt;0), AND($AH38&lt;&gt;"", LOWER(TRIM($AH38))&lt;&gt;"n/a", LOWER(TRIM($AH38))&lt;&gt;"na", SUMPRODUCT(--(UPPER(SUBSTITUTE(SUBSTITUTE(TRIM($AH$2:$AH$518),":",""),"-",""))=UPPER(SUBSTITUTE(SUBSTITUTE(TRIM($AH38),":",""),"-",""))), --(UPPER(TRIM($B$2:$B$518))="YES"), --(UPPER(TRIM($G$2:$G$518)&amp;TRIM($I$2:$I$518)&amp;TRIM($J$2:$J$518))&lt;&gt;UPPER(TRIM($G38)&amp;TRIM($I38)&amp;TRIM($J38))))&gt;0), AND($AP38&lt;&gt;"", LOWER(TRIM($AP38))&lt;&gt;"n/a", LOWER(TRIM($AP38))&lt;&gt;"na", SUMPRODUCT(--(UPPER(TRIM($AP$2:$AP$518))=UPPER(TRIM($AP38))), --(UPPER(TRIM($B$2:$B$518))="YES"), --(UPPER(TRIM($G$2:$G$518)&amp;TRIM($I$2:$I$518)&amp;TRIM($J$2:$J$518))&lt;&gt;UPPER(TRIM($G38)&amp;TRIM($I38)&amp;TRIM($J38))))&gt;0), AND($AQ38&lt;&gt;"", LOWER(TRIM($AQ38))&lt;&gt;"n/a", LOWER(TRIM($AQ38))&lt;&gt;"na", SUMPRODUCT(--(UPPER(TRIM($AQ$2:$AQ$518))=UPPER(TRIM($AQ38))), --(UPPER(TRIM($B$2:$B$518))="YES"), --(UPPER(TRIM($G$2:$G$518)&amp;TRIM($I$2:$I$518)&amp;TRIM($J$2:$J$518))&lt;&gt;UPPER(TRIM($G38)&amp;TRIM($I38)&amp;TRIM($J38))))&gt;0)), "Yes", "No"))</f>
        <v/>
      </c>
      <c r="G38" t="inlineStr">
        <is>
          <t>NSUH - Schwartz</t>
        </is>
      </c>
      <c r="H38" t="inlineStr">
        <is>
          <t>NSUH - Schwartz</t>
        </is>
      </c>
      <c r="I38" t="inlineStr">
        <is>
          <t>Main ORs Schwartz</t>
        </is>
      </c>
      <c r="J38" t="inlineStr">
        <is>
          <t>backup</t>
        </is>
      </c>
      <c r="L38" s="18" t="n">
        <v>46123</v>
      </c>
      <c r="M38" t="inlineStr">
        <is>
          <t>OR iPro Cybernet Workstation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Inpatient</t>
        </is>
      </c>
      <c r="R38" t="inlineStr">
        <is>
          <t>No</t>
        </is>
      </c>
      <c r="S38" t="inlineStr">
        <is>
          <t>Citrix not loading</t>
        </is>
      </c>
      <c r="T38" t="inlineStr">
        <is>
          <t>Citrix not loading</t>
        </is>
      </c>
      <c r="U38" t="inlineStr">
        <is>
          <t>Dr. Palilla, Timothy W. Seeberger</t>
        </is>
      </c>
      <c r="V38" t="inlineStr">
        <is>
          <t>WMH300OPR349</t>
        </is>
      </c>
      <c r="W38" t="inlineStr">
        <is>
          <t>MEDSG2425F-0109</t>
        </is>
      </c>
      <c r="X38" t="inlineStr">
        <is>
          <t>SCH-MACH-H</t>
        </is>
      </c>
      <c r="Y38" t="inlineStr">
        <is>
          <t>A0F5097FE27A</t>
        </is>
      </c>
      <c r="AB38" t="inlineStr">
        <is>
          <t>WA24406386</t>
        </is>
      </c>
      <c r="AC38" t="inlineStr">
        <is>
          <t>NSUH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  <c r="AH38" t="inlineStr">
        <is>
          <t>00:0D:05:0A:A7:69</t>
        </is>
      </c>
      <c r="AI38" t="inlineStr">
        <is>
          <t>Anesthesia Machine</t>
        </is>
      </c>
      <c r="AJ38" t="n">
        <v>404196</v>
      </c>
      <c r="AL38" t="inlineStr">
        <is>
          <t>131-200 / 210</t>
        </is>
      </c>
      <c r="AM38" t="inlineStr">
        <is>
          <t>Drager</t>
        </is>
      </c>
      <c r="AN38" t="inlineStr">
        <is>
          <t>Fabius Tiro</t>
        </is>
      </c>
      <c r="AP38" t="inlineStr">
        <is>
          <t>8606000-70ASEM-0037</t>
        </is>
      </c>
      <c r="AQ38" t="inlineStr">
        <is>
          <t>8606000-70ASEM-0037</t>
        </is>
      </c>
      <c r="AS38" t="inlineStr">
        <is>
          <t>Carespace B650: 833-08, SPEC999015</t>
        </is>
      </c>
      <c r="AT38" t="inlineStr">
        <is>
          <t>B1-CFB</t>
        </is>
      </c>
      <c r="AX38" s="65" t="inlineStr">
        <is>
          <t>Carespace B650: STF22032002SA</t>
        </is>
      </c>
      <c r="AY38" t="inlineStr">
        <is>
          <t>8606000-70ASEM-0037</t>
        </is>
      </c>
      <c r="BC38" t="n">
        <v>404196</v>
      </c>
      <c r="BD38" t="n">
        <v>448454</v>
      </c>
      <c r="BH38" t="n">
        <v>19200</v>
      </c>
      <c r="BI38" t="n">
        <v>9600</v>
      </c>
      <c r="BM38" t="inlineStr">
        <is>
          <t>E81</t>
        </is>
      </c>
      <c r="BN38" t="inlineStr">
        <is>
          <t>N81</t>
        </is>
      </c>
      <c r="BR38" t="inlineStr">
        <is>
          <t>Yes</t>
        </is>
      </c>
      <c r="BS38" t="inlineStr">
        <is>
          <t>Yes</t>
        </is>
      </c>
      <c r="BT38" t="inlineStr">
        <is>
          <t>Yes</t>
        </is>
      </c>
      <c r="BU38" t="inlineStr">
        <is>
          <t>Yes</t>
        </is>
      </c>
      <c r="CA38" t="inlineStr">
        <is>
          <t>iPro
Epic Satellite
ALLSCRIPTS
EPIC BCA</t>
        </is>
      </c>
      <c r="CD38">
        <f>IF($Y38="","",IF((IF(AND($BR38&lt;&gt;"Yes",$BR38&lt;&gt;"N/A"),"Power Cable, ","")&amp;IF(AND($BS38&lt;&gt;"Yes",$BS38&lt;&gt;"N/A"),"Battery, ","")&amp;IF(AND($AD38&lt;&gt;"Yes",$AD38&lt;&gt;"N/A"),"Firmware Download, ","")&amp;IF(AND(OR($AD38="Yes",$AD38="N/A"),$AE38&lt;&gt;"Yes",$AE38&lt;&gt;"N/A"),"Firmware Install, ","")&amp;IF(AND($CB38&lt;&gt;"Yes",$CB38&lt;&gt;"N/A"),"Device ID, ","")&amp;IF(AND($CC38&lt;&gt;"Yes",$CC38&lt;&gt;"N/A"),"Epic Beans Relay, ",""))="","",LEFT(IF(AND($BR38&lt;&gt;"Yes",$BR38&lt;&gt;"N/A"),"Power Cable, ","")&amp;IF(AND($BS38&lt;&gt;"Yes",$BS38&lt;&gt;"N/A"),"Battery, ","")&amp;IF(AND($AD38&lt;&gt;"Yes",$AD38&lt;&gt;"N/A"),"Firmware Download, ","")&amp;IF(AND(OR($AD38="Yes",$AD38="N/A"),$AE38&lt;&gt;"Yes",$AE38&lt;&gt;"N/A"),"Firmware Install, ","")&amp;IF(AND($CB38&lt;&gt;"Yes",$CB38&lt;&gt;"N/A"),"Device ID, ","")&amp;IF(AND($CC38&lt;&gt;"Yes",$CC38&lt;&gt;"N/A"),"Epic Beans Relay, ",""),LEN(IF(AND($BR38&lt;&gt;"Yes",$BR38&lt;&gt;"N/A"),"Power Cable, ","")&amp;IF(AND($BS38&lt;&gt;"Yes",$BS38&lt;&gt;"N/A"),"Battery, ","")&amp;IF(AND($AD38&lt;&gt;"Yes",$AD38&lt;&gt;"N/A"),"Firmware Download, ","")&amp;IF(AND(OR($AD38="Yes",$AD38="N/A"),$AE38&lt;&gt;"Yes",$AE38&lt;&gt;"N/A"),"Firmware Install, ","")&amp;IF(AND($CB38&lt;&gt;"Yes",$CB38&lt;&gt;"N/A"),"Device ID, ","")&amp;IF(AND($CC38&lt;&gt;"Yes",$CC38&lt;&gt;"N/A"),"Epic Beans Relay, ",""))-2)))</f>
        <v/>
      </c>
      <c r="CE38">
        <f>IF($Y38="","",IF($CD38="","Yes","Blocked"))</f>
        <v/>
      </c>
      <c r="CF38" t="inlineStr">
        <is>
          <t>Yes</t>
        </is>
      </c>
      <c r="CG38" t="inlineStr">
        <is>
          <t>Yes</t>
        </is>
      </c>
      <c r="CH38" t="inlineStr">
        <is>
          <t>Yes</t>
        </is>
      </c>
      <c r="CI38" t="inlineStr">
        <is>
          <t>Yes</t>
        </is>
      </c>
      <c r="CJ38" t="inlineStr">
        <is>
          <t>Yes</t>
        </is>
      </c>
      <c r="CK38" t="n">
        <v>19200</v>
      </c>
      <c r="CP38">
        <f>IF($CO38="","",IFERROR(VLOOKUP($CO38,'01_Warehouse_Ledger'!$A:$N,4,FALSE),""))</f>
        <v/>
      </c>
      <c r="CQ38">
        <f>IF($CO38="","",IFERROR(VLOOKUP($CO38,'01_Warehouse_Ledger'!$A:$N,5,FALSE),""))</f>
        <v/>
      </c>
      <c r="CR38">
        <f>IF($CO38="","",IFERROR(VLOOKUP($CO38,'01_Warehouse_Ledger'!$A:$N,13,FALSE),""))</f>
        <v/>
      </c>
      <c r="CW38">
        <f>IF($S38="","",IF(UPPER(TRIM($S38))&lt;&gt;"PASS","",IF(LEN(TRIM($BY38))&gt;0,"NOTES_PRESENT",IF(LEN(TRIM($T38))=0,"SET_NA",IF(OR(LOWER(TRIM($T38))="na",LOWER(TRIM($T38))="n/a"),"OK","MANUAL_OVERRIDE")))))</f>
        <v/>
      </c>
    </row>
    <row r="39">
      <c r="A39" t="inlineStr">
        <is>
          <t>Cybernet</t>
        </is>
      </c>
      <c r="B39" t="inlineStr">
        <is>
          <t>Yes</t>
        </is>
      </c>
      <c r="C39" t="inlineStr">
        <is>
          <t>Yes</t>
        </is>
      </c>
      <c r="D39">
        <f>IF($B39&lt;&gt;"Yes","",IF($C39="No","Yes",IF($C39="Yes","No","")))</f>
        <v/>
      </c>
      <c r="E39">
        <f>IF($A39="","",IF(OR(AND($V39&lt;&gt;"",LOWER(TRIM($V39))&lt;&gt;"n/a",LOWER(TRIM($V39))&lt;&gt;"na",SUMPRODUCT(--(UPPER(TRIM($V$2:$V$518))=UPPER(TRIM($V39))),--(TRIM($V$2:$V$518)&lt;&gt;""),--(LOWER(TRIM($V$2:$V$518))&lt;&gt;"n/a"),--(LOWER(TRIM($V$2:$V$518))&lt;&gt;"na"))&gt;1),AND($W39&lt;&gt;"",LOWER(TRIM($W39))&lt;&gt;"n/a",LOWER(TRIM($W39))&lt;&gt;"na",SUMPRODUCT(--(UPPER(TRIM($W$2:$W$518))=UPPER(TRIM($W39))),--(TRIM($W$2:$W$518)&lt;&gt;""),--(LOWER(TRIM($W$2:$W$518))&lt;&gt;"n/a"),--(LOWER(TRIM($W$2:$W$518))&lt;&gt;"na"))&gt;1),AND($X39&lt;&gt;"",LOWER(TRIM($X39))&lt;&gt;"n/a",LOWER(TRIM($X39))&lt;&gt;"na",SUMPRODUCT(--(UPPER(TRIM($X$2:$X$518))=UPPER(TRIM($X39))),--(TRIM($X$2:$X$518)&lt;&gt;""),--(LOWER(TRIM($X$2:$X$518))&lt;&gt;"n/a"),--(LOWER(TRIM($X$2:$X$518))&lt;&gt;"na"))&gt;1),AND($Y39&lt;&gt;"",LOWER(TRIM($Y39))&lt;&gt;"n/a",LOWER(TRIM($Y39))&lt;&gt;"na",SUMPRODUCT(--(UPPER(SUBSTITUTE(SUBSTITUTE(TRIM($Y$2:$Y$518),":",""),"-",""))=UPPER(SUBSTITUTE(SUBSTITUTE(TRIM($Y39),":",""),"-",""))),--(TRIM($Y$2:$Y$518)&lt;&gt;""),--(LOWER(TRIM($Y$2:$Y$518))&lt;&gt;"n/a"),--(LOWER(TRIM($Y$2:$Y$518))&lt;&gt;"na"))&gt;1),AND($AB39&lt;&gt;"",LOWER(TRIM($AB39))&lt;&gt;"n/a",LOWER(TRIM($AB39))&lt;&gt;"na",SUMPRODUCT(--(UPPER(TRIM($AB$2:$AB$518))=UPPER(TRIM($AB39))),--(TRIM($AB$2:$AB$518)&lt;&gt;""),--(LOWER(TRIM($AB$2:$AB$518))&lt;&gt;"n/a"),--(LOWER(TRIM($AB$2:$AB$518))&lt;&gt;"na"))&gt;1),AND($AH39&lt;&gt;"",LOWER(TRIM($AH39))&lt;&gt;"n/a",LOWER(TRIM($AH39))&lt;&gt;"na",SUMPRODUCT(--(UPPER(SUBSTITUTE(SUBSTITUTE(TRIM($AH$2:$AH$518),":",""),"-",""))=UPPER(SUBSTITUTE(SUBSTITUTE(TRIM($AH39),":",""),"-",""))),--(TRIM($AH$2:$AH$518)&lt;&gt;""),--(LOWER(TRIM($AH$2:$AH$518))&lt;&gt;"n/a"),--(LOWER(TRIM($AH$2:$AH$518))&lt;&gt;"na"))&gt;1),AND($AP39&lt;&gt;"",LOWER(TRIM($AP39))&lt;&gt;"n/a",LOWER(TRIM($AP39))&lt;&gt;"na",SUMPRODUCT(--(UPPER(TRIM($AP$2:$AP$518))=UPPER(TRIM($AP39))),--(TRIM($AP$2:$AP$518)&lt;&gt;""),--(LOWER(TRIM($AP$2:$AP$518))&lt;&gt;"n/a"),--(LOWER(TRIM($AP$2:$AP$518))&lt;&gt;"na"))&gt;1),AND($AQ39&lt;&gt;"",LOWER(TRIM($AQ39))&lt;&gt;"n/a",LOWER(TRIM($AQ39))&lt;&gt;"na",SUMPRODUCT(--(UPPER(TRIM($AQ$2:$AQ$518))=UPPER(TRIM($AQ39))),--(TRIM($AQ$2:$AQ$518)&lt;&gt;""),--(LOWER(TRIM($AQ$2:$AQ$518))&lt;&gt;"n/a"),--(LOWER(TRIM($AQ$2:$AQ$518))&lt;&gt;"na"))&gt;1)),"Yes","No"))</f>
        <v/>
      </c>
      <c r="F39">
        <f>IF(UPPER(TRIM($B39))&lt;&gt;"YES","", IF(OR(AND($V39&lt;&gt;"", LOWER(TRIM($V39))&lt;&gt;"n/a", LOWER(TRIM($V39))&lt;&gt;"na", SUMPRODUCT(--(UPPER(TRIM($V$2:$V$518))=UPPER(TRIM($V39))), --(UPPER(TRIM($B$2:$B$518))="YES"), --(UPPER(TRIM($G$2:$G$518)&amp;TRIM($I$2:$I$518)&amp;TRIM($J$2:$J$518))&lt;&gt;UPPER(TRIM($G39)&amp;TRIM($I39)&amp;TRIM($J39))))&gt;0), AND($W39&lt;&gt;"", LOWER(TRIM($W39))&lt;&gt;"n/a", LOWER(TRIM($W39))&lt;&gt;"na", SUMPRODUCT(--(UPPER(TRIM($W$2:$W$518))=UPPER(TRIM($W39))), --(UPPER(TRIM($B$2:$B$518))="YES"), --(UPPER(TRIM($G$2:$G$518)&amp;TRIM($I$2:$I$518)&amp;TRIM($J$2:$J$518))&lt;&gt;UPPER(TRIM($G39)&amp;TRIM($I39)&amp;TRIM($J39))))&gt;0), AND($X39&lt;&gt;"", LOWER(TRIM($X39))&lt;&gt;"n/a", LOWER(TRIM($X39))&lt;&gt;"na", SUMPRODUCT(--(UPPER(TRIM($X$2:$X$518))=UPPER(TRIM($X39))), --(UPPER(TRIM($B$2:$B$518))="YES"), --(UPPER(TRIM($G$2:$G$518)&amp;TRIM($I$2:$I$518)&amp;TRIM($J$2:$J$518))&lt;&gt;UPPER(TRIM($G39)&amp;TRIM($I39)&amp;TRIM($J39))))&gt;0), AND($Y39&lt;&gt;"", LOWER(TRIM($Y39))&lt;&gt;"n/a", LOWER(TRIM($Y39))&lt;&gt;"na", SUMPRODUCT(--(UPPER(SUBSTITUTE(SUBSTITUTE(TRIM($Y$2:$Y$518),":",""),"-",""))=UPPER(SUBSTITUTE(SUBSTITUTE(TRIM($Y39),":",""),"-",""))), --(UPPER(TRIM($B$2:$B$518))="YES"), --(UPPER(TRIM($G$2:$G$518)&amp;TRIM($I$2:$I$518)&amp;TRIM($J$2:$J$518))&lt;&gt;UPPER(TRIM($G39)&amp;TRIM($I39)&amp;TRIM($J39))))&gt;0), AND($AB39&lt;&gt;"", LOWER(TRIM($AB39))&lt;&gt;"n/a", LOWER(TRIM($AB39))&lt;&gt;"na", SUMPRODUCT(--(UPPER(TRIM($AB$2:$AB$518))=UPPER(TRIM($AB39))), --(UPPER(TRIM($B$2:$B$518))="YES"), --(UPPER(TRIM($G$2:$G$518)&amp;TRIM($I$2:$I$518)&amp;TRIM($J$2:$J$518))&lt;&gt;UPPER(TRIM($G39)&amp;TRIM($I39)&amp;TRIM($J39))))&gt;0), AND($AH39&lt;&gt;"", LOWER(TRIM($AH39))&lt;&gt;"n/a", LOWER(TRIM($AH39))&lt;&gt;"na", SUMPRODUCT(--(UPPER(SUBSTITUTE(SUBSTITUTE(TRIM($AH$2:$AH$518),":",""),"-",""))=UPPER(SUBSTITUTE(SUBSTITUTE(TRIM($AH39),":",""),"-",""))), --(UPPER(TRIM($B$2:$B$518))="YES"), --(UPPER(TRIM($G$2:$G$518)&amp;TRIM($I$2:$I$518)&amp;TRIM($J$2:$J$518))&lt;&gt;UPPER(TRIM($G39)&amp;TRIM($I39)&amp;TRIM($J39))))&gt;0), AND($AP39&lt;&gt;"", LOWER(TRIM($AP39))&lt;&gt;"n/a", LOWER(TRIM($AP39))&lt;&gt;"na", SUMPRODUCT(--(UPPER(TRIM($AP$2:$AP$518))=UPPER(TRIM($AP39))), --(UPPER(TRIM($B$2:$B$518))="YES"), --(UPPER(TRIM($G$2:$G$518)&amp;TRIM($I$2:$I$518)&amp;TRIM($J$2:$J$518))&lt;&gt;UPPER(TRIM($G39)&amp;TRIM($I39)&amp;TRIM($J39))))&gt;0), AND($AQ39&lt;&gt;"", LOWER(TRIM($AQ39))&lt;&gt;"n/a", LOWER(TRIM($AQ39))&lt;&gt;"na", SUMPRODUCT(--(UPPER(TRIM($AQ$2:$AQ$518))=UPPER(TRIM($AQ39))), --(UPPER(TRIM($B$2:$B$518))="YES"), --(UPPER(TRIM($G$2:$G$518)&amp;TRIM($I$2:$I$518)&amp;TRIM($J$2:$J$518))&lt;&gt;UPPER(TRIM($G39)&amp;TRIM($I39)&amp;TRIM($J39))))&gt;0)), "Yes", "No"))</f>
        <v/>
      </c>
      <c r="G39" t="inlineStr">
        <is>
          <t>1 Marcus</t>
        </is>
      </c>
      <c r="H39" t="inlineStr">
        <is>
          <t>NSUH - PSP</t>
        </is>
      </c>
      <c r="I39" t="inlineStr">
        <is>
          <t>Main ORs - PSP - 2nd Floor</t>
        </is>
      </c>
      <c r="L39" s="18" t="n">
        <v>46095</v>
      </c>
      <c r="M39" t="inlineStr">
        <is>
          <t>OR iPro Cybernet Workstation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U39" t="inlineStr">
        <is>
          <t>Dr. Palilla, Timothy W. Seeberger</t>
        </is>
      </c>
      <c r="V39" t="inlineStr">
        <is>
          <t>WMH300OPR350</t>
        </is>
      </c>
      <c r="W39" t="inlineStr">
        <is>
          <t>MEDSG2425F-0270</t>
        </is>
      </c>
      <c r="AH39" t="inlineStr">
        <is>
          <t>00:0D:05:0A:A8:5b</t>
        </is>
      </c>
      <c r="CA39" t="inlineStr">
        <is>
          <t>iPro
Epic Satellite
ALLSCRIPTS
EPIC BCA</t>
        </is>
      </c>
      <c r="CD39">
        <f>IF($Y39="","",IF((IF(AND($BR39&lt;&gt;"Yes",$BR39&lt;&gt;"N/A"),"Power Cable, ","")&amp;IF(AND($BS39&lt;&gt;"Yes",$BS39&lt;&gt;"N/A"),"Battery, ","")&amp;IF(AND($AD39&lt;&gt;"Yes",$AD39&lt;&gt;"N/A"),"Firmware Download, ","")&amp;IF(AND(OR($AD39="Yes",$AD39="N/A"),$AE39&lt;&gt;"Yes",$AE39&lt;&gt;"N/A"),"Firmware Install, ","")&amp;IF(AND($CB39&lt;&gt;"Yes",$CB39&lt;&gt;"N/A"),"Device ID, ","")&amp;IF(AND($CC39&lt;&gt;"Yes",$CC39&lt;&gt;"N/A"),"Epic Beans Relay, ",""))="","",LEFT(IF(AND($BR39&lt;&gt;"Yes",$BR39&lt;&gt;"N/A"),"Power Cable, ","")&amp;IF(AND($BS39&lt;&gt;"Yes",$BS39&lt;&gt;"N/A"),"Battery, ","")&amp;IF(AND($AD39&lt;&gt;"Yes",$AD39&lt;&gt;"N/A"),"Firmware Download, ","")&amp;IF(AND(OR($AD39="Yes",$AD39="N/A"),$AE39&lt;&gt;"Yes",$AE39&lt;&gt;"N/A"),"Firmware Install, ","")&amp;IF(AND($CB39&lt;&gt;"Yes",$CB39&lt;&gt;"N/A"),"Device ID, ","")&amp;IF(AND($CC39&lt;&gt;"Yes",$CC39&lt;&gt;"N/A"),"Epic Beans Relay, ",""),LEN(IF(AND($BR39&lt;&gt;"Yes",$BR39&lt;&gt;"N/A"),"Power Cable, ","")&amp;IF(AND($BS39&lt;&gt;"Yes",$BS39&lt;&gt;"N/A"),"Battery, ","")&amp;IF(AND($AD39&lt;&gt;"Yes",$AD39&lt;&gt;"N/A"),"Firmware Download, ","")&amp;IF(AND(OR($AD39="Yes",$AD39="N/A"),$AE39&lt;&gt;"Yes",$AE39&lt;&gt;"N/A"),"Firmware Install, ","")&amp;IF(AND($CB39&lt;&gt;"Yes",$CB39&lt;&gt;"N/A"),"Device ID, ","")&amp;IF(AND($CC39&lt;&gt;"Yes",$CC39&lt;&gt;"N/A"),"Epic Beans Relay, ",""))-2)))</f>
        <v/>
      </c>
      <c r="CE39">
        <f>IF($Y39="","",IF($CD39="","Yes","Blocked"))</f>
        <v/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n">
        <v>19200</v>
      </c>
      <c r="CP39">
        <f>IF($CO39="","",IFERROR(VLOOKUP($CO39,'01_Warehouse_Ledger'!$A:$N,4,FALSE),""))</f>
        <v/>
      </c>
      <c r="CQ39">
        <f>IF($CO39="","",IFERROR(VLOOKUP($CO39,'01_Warehouse_Ledger'!$A:$N,5,FALSE),""))</f>
        <v/>
      </c>
      <c r="CR39">
        <f>IF($CO39="","",IFERROR(VLOOKUP($CO39,'01_Warehouse_Ledger'!$A:$N,13,FALSE),""))</f>
        <v/>
      </c>
      <c r="CW39">
        <f>IF($S39="","",IF(UPPER(TRIM($S39))&lt;&gt;"PASS","",IF(LEN(TRIM($BY39))&gt;0,"NOTES_PRESENT",IF(LEN(TRIM($T39))=0,"SET_NA",IF(OR(LOWER(TRIM($T39))="na",LOWER(TRIM($T39))="n/a"),"OK","MANUAL_OVERRIDE")))))</f>
        <v/>
      </c>
    </row>
    <row r="40">
      <c r="A40" t="inlineStr">
        <is>
          <t>Cybernet-Neuron</t>
        </is>
      </c>
      <c r="B40" s="51" t="inlineStr">
        <is>
          <t>Yes</t>
        </is>
      </c>
      <c r="C40" t="inlineStr">
        <is>
          <t>No</t>
        </is>
      </c>
      <c r="D40">
        <f>IF($B40&lt;&gt;"Yes","",IF($C40="No","Yes",IF($C40="Yes","No","")))</f>
        <v/>
      </c>
      <c r="E40">
        <f>IF($A40="","",IF(OR(AND($V40&lt;&gt;"",LOWER(TRIM($V40))&lt;&gt;"n/a",LOWER(TRIM($V40))&lt;&gt;"na",SUMPRODUCT(--(UPPER(TRIM($V$2:$V$518))=UPPER(TRIM($V40))),--(TRIM($V$2:$V$518)&lt;&gt;""),--(LOWER(TRIM($V$2:$V$518))&lt;&gt;"n/a"),--(LOWER(TRIM($V$2:$V$518))&lt;&gt;"na"))&gt;1),AND($W40&lt;&gt;"",LOWER(TRIM($W40))&lt;&gt;"n/a",LOWER(TRIM($W40))&lt;&gt;"na",SUMPRODUCT(--(UPPER(TRIM($W$2:$W$518))=UPPER(TRIM($W40))),--(TRIM($W$2:$W$518)&lt;&gt;""),--(LOWER(TRIM($W$2:$W$518))&lt;&gt;"n/a"),--(LOWER(TRIM($W$2:$W$518))&lt;&gt;"na"))&gt;1),AND($X40&lt;&gt;"",LOWER(TRIM($X40))&lt;&gt;"n/a",LOWER(TRIM($X40))&lt;&gt;"na",SUMPRODUCT(--(UPPER(TRIM($X$2:$X$518))=UPPER(TRIM($X40))),--(TRIM($X$2:$X$518)&lt;&gt;""),--(LOWER(TRIM($X$2:$X$518))&lt;&gt;"n/a"),--(LOWER(TRIM($X$2:$X$518))&lt;&gt;"na"))&gt;1),AND($Y40&lt;&gt;"",LOWER(TRIM($Y40))&lt;&gt;"n/a",LOWER(TRIM($Y40))&lt;&gt;"na",SUMPRODUCT(--(UPPER(SUBSTITUTE(SUBSTITUTE(TRIM($Y$2:$Y$518),":",""),"-",""))=UPPER(SUBSTITUTE(SUBSTITUTE(TRIM($Y40),":",""),"-",""))),--(TRIM($Y$2:$Y$518)&lt;&gt;""),--(LOWER(TRIM($Y$2:$Y$518))&lt;&gt;"n/a"),--(LOWER(TRIM($Y$2:$Y$518))&lt;&gt;"na"))&gt;1),AND($AB40&lt;&gt;"",LOWER(TRIM($AB40))&lt;&gt;"n/a",LOWER(TRIM($AB40))&lt;&gt;"na",SUMPRODUCT(--(UPPER(TRIM($AB$2:$AB$518))=UPPER(TRIM($AB40))),--(TRIM($AB$2:$AB$518)&lt;&gt;""),--(LOWER(TRIM($AB$2:$AB$518))&lt;&gt;"n/a"),--(LOWER(TRIM($AB$2:$AB$518))&lt;&gt;"na"))&gt;1),AND($AH40&lt;&gt;"",LOWER(TRIM($AH40))&lt;&gt;"n/a",LOWER(TRIM($AH40))&lt;&gt;"na",SUMPRODUCT(--(UPPER(SUBSTITUTE(SUBSTITUTE(TRIM($AH$2:$AH$518),":",""),"-",""))=UPPER(SUBSTITUTE(SUBSTITUTE(TRIM($AH40),":",""),"-",""))),--(TRIM($AH$2:$AH$518)&lt;&gt;""),--(LOWER(TRIM($AH$2:$AH$518))&lt;&gt;"n/a"),--(LOWER(TRIM($AH$2:$AH$518))&lt;&gt;"na"))&gt;1),AND($AP40&lt;&gt;"",LOWER(TRIM($AP40))&lt;&gt;"n/a",LOWER(TRIM($AP40))&lt;&gt;"na",SUMPRODUCT(--(UPPER(TRIM($AP$2:$AP$518))=UPPER(TRIM($AP40))),--(TRIM($AP$2:$AP$518)&lt;&gt;""),--(LOWER(TRIM($AP$2:$AP$518))&lt;&gt;"n/a"),--(LOWER(TRIM($AP$2:$AP$518))&lt;&gt;"na"))&gt;1),AND($AQ40&lt;&gt;"",LOWER(TRIM($AQ40))&lt;&gt;"n/a",LOWER(TRIM($AQ40))&lt;&gt;"na",SUMPRODUCT(--(UPPER(TRIM($AQ$2:$AQ$518))=UPPER(TRIM($AQ40))),--(TRIM($AQ$2:$AQ$518)&lt;&gt;""),--(LOWER(TRIM($AQ$2:$AQ$518))&lt;&gt;"n/a"),--(LOWER(TRIM($AQ$2:$AQ$518))&lt;&gt;"na"))&gt;1)),"Yes","No"))</f>
        <v/>
      </c>
      <c r="F40">
        <f>IF(UPPER(TRIM($B40))&lt;&gt;"YES","", IF(OR(AND($V40&lt;&gt;"", LOWER(TRIM($V40))&lt;&gt;"n/a", LOWER(TRIM($V40))&lt;&gt;"na", SUMPRODUCT(--(UPPER(TRIM($V$2:$V$518))=UPPER(TRIM($V40))), --(UPPER(TRIM($B$2:$B$518))="YES"), --(UPPER(TRIM($G$2:$G$518)&amp;TRIM($I$2:$I$518)&amp;TRIM($J$2:$J$518))&lt;&gt;UPPER(TRIM($G40)&amp;TRIM($I40)&amp;TRIM($J40))))&gt;0), AND($W40&lt;&gt;"", LOWER(TRIM($W40))&lt;&gt;"n/a", LOWER(TRIM($W40))&lt;&gt;"na", SUMPRODUCT(--(UPPER(TRIM($W$2:$W$518))=UPPER(TRIM($W40))), --(UPPER(TRIM($B$2:$B$518))="YES"), --(UPPER(TRIM($G$2:$G$518)&amp;TRIM($I$2:$I$518)&amp;TRIM($J$2:$J$518))&lt;&gt;UPPER(TRIM($G40)&amp;TRIM($I40)&amp;TRIM($J40))))&gt;0), AND($X40&lt;&gt;"", LOWER(TRIM($X40))&lt;&gt;"n/a", LOWER(TRIM($X40))&lt;&gt;"na", SUMPRODUCT(--(UPPER(TRIM($X$2:$X$518))=UPPER(TRIM($X40))), --(UPPER(TRIM($B$2:$B$518))="YES"), --(UPPER(TRIM($G$2:$G$518)&amp;TRIM($I$2:$I$518)&amp;TRIM($J$2:$J$518))&lt;&gt;UPPER(TRIM($G40)&amp;TRIM($I40)&amp;TRIM($J40))))&gt;0), AND($Y40&lt;&gt;"", LOWER(TRIM($Y40))&lt;&gt;"n/a", LOWER(TRIM($Y40))&lt;&gt;"na", SUMPRODUCT(--(UPPER(SUBSTITUTE(SUBSTITUTE(TRIM($Y$2:$Y$518),":",""),"-",""))=UPPER(SUBSTITUTE(SUBSTITUTE(TRIM($Y40),":",""),"-",""))), --(UPPER(TRIM($B$2:$B$518))="YES"), --(UPPER(TRIM($G$2:$G$518)&amp;TRIM($I$2:$I$518)&amp;TRIM($J$2:$J$518))&lt;&gt;UPPER(TRIM($G40)&amp;TRIM($I40)&amp;TRIM($J40))))&gt;0), AND($AB40&lt;&gt;"", LOWER(TRIM($AB40))&lt;&gt;"n/a", LOWER(TRIM($AB40))&lt;&gt;"na", SUMPRODUCT(--(UPPER(TRIM($AB$2:$AB$518))=UPPER(TRIM($AB40))), --(UPPER(TRIM($B$2:$B$518))="YES"), --(UPPER(TRIM($G$2:$G$518)&amp;TRIM($I$2:$I$518)&amp;TRIM($J$2:$J$518))&lt;&gt;UPPER(TRIM($G40)&amp;TRIM($I40)&amp;TRIM($J40))))&gt;0), AND($AH40&lt;&gt;"", LOWER(TRIM($AH40))&lt;&gt;"n/a", LOWER(TRIM($AH40))&lt;&gt;"na", SUMPRODUCT(--(UPPER(SUBSTITUTE(SUBSTITUTE(TRIM($AH$2:$AH$518),":",""),"-",""))=UPPER(SUBSTITUTE(SUBSTITUTE(TRIM($AH40),":",""),"-",""))), --(UPPER(TRIM($B$2:$B$518))="YES"), --(UPPER(TRIM($G$2:$G$518)&amp;TRIM($I$2:$I$518)&amp;TRIM($J$2:$J$518))&lt;&gt;UPPER(TRIM($G40)&amp;TRIM($I40)&amp;TRIM($J40))))&gt;0), AND($AP40&lt;&gt;"", LOWER(TRIM($AP40))&lt;&gt;"n/a", LOWER(TRIM($AP40))&lt;&gt;"na", SUMPRODUCT(--(UPPER(TRIM($AP$2:$AP$518))=UPPER(TRIM($AP40))), --(UPPER(TRIM($B$2:$B$518))="YES"), --(UPPER(TRIM($G$2:$G$518)&amp;TRIM($I$2:$I$518)&amp;TRIM($J$2:$J$518))&lt;&gt;UPPER(TRIM($G40)&amp;TRIM($I40)&amp;TRIM($J40))))&gt;0), AND($AQ40&lt;&gt;"", LOWER(TRIM($AQ40))&lt;&gt;"n/a", LOWER(TRIM($AQ40))&lt;&gt;"na", SUMPRODUCT(--(UPPER(TRIM($AQ$2:$AQ$518))=UPPER(TRIM($AQ40))), --(UPPER(TRIM($B$2:$B$518))="YES"), --(UPPER(TRIM($G$2:$G$518)&amp;TRIM($I$2:$I$518)&amp;TRIM($J$2:$J$518))&lt;&gt;UPPER(TRIM($G40)&amp;TRIM($I40)&amp;TRIM($J40))))&gt;0)), "Yes", "No"))</f>
        <v/>
      </c>
      <c r="G40" t="inlineStr">
        <is>
          <t>NSUH - Schwartz</t>
        </is>
      </c>
      <c r="H40" t="inlineStr">
        <is>
          <t>NSUH - Schwartz</t>
        </is>
      </c>
      <c r="I40" t="inlineStr">
        <is>
          <t xml:space="preserve">IVF OR </t>
        </is>
      </c>
      <c r="J40" t="inlineStr">
        <is>
          <t>OR1</t>
        </is>
      </c>
      <c r="L40" s="18" t="n">
        <v>46123</v>
      </c>
      <c r="O40" t="inlineStr">
        <is>
          <t>Yes</t>
        </is>
      </c>
      <c r="P40" t="inlineStr">
        <is>
          <t>Yes</t>
        </is>
      </c>
      <c r="R40" t="inlineStr">
        <is>
          <t>Yes</t>
        </is>
      </c>
      <c r="U40" t="inlineStr">
        <is>
          <t>Dr. Palilla, Timothy W. Seeberger</t>
        </is>
      </c>
      <c r="V40" t="inlineStr">
        <is>
          <t>WMH300OPR351</t>
        </is>
      </c>
      <c r="W40" t="inlineStr">
        <is>
          <t>MEDSG2425F-0179</t>
        </is>
      </c>
      <c r="X40" t="inlineStr">
        <is>
          <t>SCH-MACH-J</t>
        </is>
      </c>
      <c r="Y40" t="inlineStr">
        <is>
          <t>A0F5097FEEFE</t>
        </is>
      </c>
      <c r="AB40" t="inlineStr">
        <is>
          <t>WA24406855</t>
        </is>
      </c>
      <c r="AC40" t="inlineStr">
        <is>
          <t>NSUH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000D050AA79F</t>
        </is>
      </c>
      <c r="AI40" t="inlineStr">
        <is>
          <t>Anesthesia Machine</t>
        </is>
      </c>
      <c r="AJ40" t="n">
        <v>409534</v>
      </c>
      <c r="AL40" t="inlineStr">
        <is>
          <t>1300- 075A / 075C</t>
        </is>
      </c>
      <c r="AM40" t="inlineStr">
        <is>
          <t xml:space="preserve">Drager </t>
        </is>
      </c>
      <c r="AN40" t="inlineStr">
        <is>
          <t>Fabius Tiro</t>
        </is>
      </c>
      <c r="AP40" t="inlineStr">
        <is>
          <t>01040486750414741118081321ASLH-0178938606000-85</t>
        </is>
      </c>
      <c r="AQ40" t="inlineStr">
        <is>
          <t>01040486750414741118081321ASLH-0178938606000-85</t>
        </is>
      </c>
      <c r="AS40" t="inlineStr">
        <is>
          <t>Carespace B650: 833-08, SPEC999015</t>
        </is>
      </c>
      <c r="AT40" t="inlineStr">
        <is>
          <t>B1-CFB</t>
        </is>
      </c>
      <c r="AX40" t="inlineStr">
        <is>
          <t>Carespace B650: SK416381030HA</t>
        </is>
      </c>
      <c r="AY40" t="inlineStr">
        <is>
          <t>01040486750414741118081321ASLH-0178938606000-85</t>
        </is>
      </c>
      <c r="BC40" t="n">
        <v>409534</v>
      </c>
      <c r="BD40" t="n">
        <v>415708</v>
      </c>
      <c r="BH40" t="n">
        <v>19200</v>
      </c>
      <c r="BI40" t="n">
        <v>9600</v>
      </c>
      <c r="BM40" t="inlineStr">
        <is>
          <t>E81</t>
        </is>
      </c>
      <c r="BN40" t="inlineStr">
        <is>
          <t>N81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CD40">
        <f>IF($Y40="","",IF((IF(AND($BR40&lt;&gt;"Yes",$BR40&lt;&gt;"N/A"),"Power Cable, ","")&amp;IF(AND($BS40&lt;&gt;"Yes",$BS40&lt;&gt;"N/A"),"Battery, ","")&amp;IF(AND($AD40&lt;&gt;"Yes",$AD40&lt;&gt;"N/A"),"Firmware Download, ","")&amp;IF(AND(OR($AD40="Yes",$AD40="N/A"),$AE40&lt;&gt;"Yes",$AE40&lt;&gt;"N/A"),"Firmware Install, ","")&amp;IF(AND($CB40&lt;&gt;"Yes",$CB40&lt;&gt;"N/A"),"Device ID, ","")&amp;IF(AND($CC40&lt;&gt;"Yes",$CC40&lt;&gt;"N/A"),"Epic Beans Relay, ",""))="","",LEFT(IF(AND($BR40&lt;&gt;"Yes",$BR40&lt;&gt;"N/A"),"Power Cable, ","")&amp;IF(AND($BS40&lt;&gt;"Yes",$BS40&lt;&gt;"N/A"),"Battery, ","")&amp;IF(AND($AD40&lt;&gt;"Yes",$AD40&lt;&gt;"N/A"),"Firmware Download, ","")&amp;IF(AND(OR($AD40="Yes",$AD40="N/A"),$AE40&lt;&gt;"Yes",$AE40&lt;&gt;"N/A"),"Firmware Install, ","")&amp;IF(AND($CB40&lt;&gt;"Yes",$CB40&lt;&gt;"N/A"),"Device ID, ","")&amp;IF(AND($CC40&lt;&gt;"Yes",$CC40&lt;&gt;"N/A"),"Epic Beans Relay, ",""),LEN(IF(AND($BR40&lt;&gt;"Yes",$BR40&lt;&gt;"N/A"),"Power Cable, ","")&amp;IF(AND($BS40&lt;&gt;"Yes",$BS40&lt;&gt;"N/A"),"Battery, ","")&amp;IF(AND($AD40&lt;&gt;"Yes",$AD40&lt;&gt;"N/A"),"Firmware Download, ","")&amp;IF(AND(OR($AD40="Yes",$AD40="N/A"),$AE40&lt;&gt;"Yes",$AE40&lt;&gt;"N/A"),"Firmware Install, ","")&amp;IF(AND($CB40&lt;&gt;"Yes",$CB40&lt;&gt;"N/A"),"Device ID, ","")&amp;IF(AND($CC40&lt;&gt;"Yes",$CC40&lt;&gt;"N/A"),"Epic Beans Relay, ",""))-2)))</f>
        <v/>
      </c>
      <c r="CE40">
        <f>IF($Y40="","",IF($CD40="","Yes","Blocked"))</f>
        <v/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  <c r="CQ40" t="inlineStr">
        <is>
          <t>Yes</t>
        </is>
      </c>
      <c r="CR40" t="inlineStr">
        <is>
          <t>Yes</t>
        </is>
      </c>
      <c r="CS40" t="inlineStr">
        <is>
          <t>Yes</t>
        </is>
      </c>
      <c r="CW40">
        <f>IF($S40="","",IF(UPPER(TRIM($S40))&lt;&gt;"PASS","",IF(LEN(TRIM($BY40))&gt;0,"NOTES_PRESENT",IF(LEN(TRIM($T40))=0,"SET_NA",IF(OR(LOWER(TRIM($T40))="na",LOWER(TRIM($T40))="n/a"),"OK","MANUAL_OVERRIDE")))))</f>
        <v/>
      </c>
    </row>
    <row r="41">
      <c r="A41" t="inlineStr">
        <is>
          <t>Cybernet</t>
        </is>
      </c>
      <c r="B41" s="51" t="inlineStr">
        <is>
          <t>No</t>
        </is>
      </c>
      <c r="C41" t="inlineStr">
        <is>
          <t>No</t>
        </is>
      </c>
      <c r="D41">
        <f>IF($B41&lt;&gt;"Yes","",IF($C41="No","Yes",IF($C41="Yes","No","")))</f>
        <v/>
      </c>
      <c r="E41">
        <f>IF($A41="","",IF(OR(AND($V41&lt;&gt;"",LOWER(TRIM($V41))&lt;&gt;"n/a",LOWER(TRIM($V41))&lt;&gt;"na",SUMPRODUCT(--(UPPER(TRIM($V$2:$V$518))=UPPER(TRIM($V41))),--(TRIM($V$2:$V$518)&lt;&gt;""),--(LOWER(TRIM($V$2:$V$518))&lt;&gt;"n/a"),--(LOWER(TRIM($V$2:$V$518))&lt;&gt;"na"))&gt;1),AND($W41&lt;&gt;"",LOWER(TRIM($W41))&lt;&gt;"n/a",LOWER(TRIM($W41))&lt;&gt;"na",SUMPRODUCT(--(UPPER(TRIM($W$2:$W$518))=UPPER(TRIM($W41))),--(TRIM($W$2:$W$518)&lt;&gt;""),--(LOWER(TRIM($W$2:$W$518))&lt;&gt;"n/a"),--(LOWER(TRIM($W$2:$W$518))&lt;&gt;"na"))&gt;1),AND($X41&lt;&gt;"",LOWER(TRIM($X41))&lt;&gt;"n/a",LOWER(TRIM($X41))&lt;&gt;"na",SUMPRODUCT(--(UPPER(TRIM($X$2:$X$518))=UPPER(TRIM($X41))),--(TRIM($X$2:$X$518)&lt;&gt;""),--(LOWER(TRIM($X$2:$X$518))&lt;&gt;"n/a"),--(LOWER(TRIM($X$2:$X$518))&lt;&gt;"na"))&gt;1),AND($Y41&lt;&gt;"",LOWER(TRIM($Y41))&lt;&gt;"n/a",LOWER(TRIM($Y41))&lt;&gt;"na",SUMPRODUCT(--(UPPER(SUBSTITUTE(SUBSTITUTE(TRIM($Y$2:$Y$518),":",""),"-",""))=UPPER(SUBSTITUTE(SUBSTITUTE(TRIM($Y41),":",""),"-",""))),--(TRIM($Y$2:$Y$518)&lt;&gt;""),--(LOWER(TRIM($Y$2:$Y$518))&lt;&gt;"n/a"),--(LOWER(TRIM($Y$2:$Y$518))&lt;&gt;"na"))&gt;1),AND($AB41&lt;&gt;"",LOWER(TRIM($AB41))&lt;&gt;"n/a",LOWER(TRIM($AB41))&lt;&gt;"na",SUMPRODUCT(--(UPPER(TRIM($AB$2:$AB$518))=UPPER(TRIM($AB41))),--(TRIM($AB$2:$AB$518)&lt;&gt;""),--(LOWER(TRIM($AB$2:$AB$518))&lt;&gt;"n/a"),--(LOWER(TRIM($AB$2:$AB$518))&lt;&gt;"na"))&gt;1),AND($AH41&lt;&gt;"",LOWER(TRIM($AH41))&lt;&gt;"n/a",LOWER(TRIM($AH41))&lt;&gt;"na",SUMPRODUCT(--(UPPER(SUBSTITUTE(SUBSTITUTE(TRIM($AH$2:$AH$518),":",""),"-",""))=UPPER(SUBSTITUTE(SUBSTITUTE(TRIM($AH41),":",""),"-",""))),--(TRIM($AH$2:$AH$518)&lt;&gt;""),--(LOWER(TRIM($AH$2:$AH$518))&lt;&gt;"n/a"),--(LOWER(TRIM($AH$2:$AH$518))&lt;&gt;"na"))&gt;1),AND($AP41&lt;&gt;"",LOWER(TRIM($AP41))&lt;&gt;"n/a",LOWER(TRIM($AP41))&lt;&gt;"na",SUMPRODUCT(--(UPPER(TRIM($AP$2:$AP$518))=UPPER(TRIM($AP41))),--(TRIM($AP$2:$AP$518)&lt;&gt;""),--(LOWER(TRIM($AP$2:$AP$518))&lt;&gt;"n/a"),--(LOWER(TRIM($AP$2:$AP$518))&lt;&gt;"na"))&gt;1),AND($AQ41&lt;&gt;"",LOWER(TRIM($AQ41))&lt;&gt;"n/a",LOWER(TRIM($AQ41))&lt;&gt;"na",SUMPRODUCT(--(UPPER(TRIM($AQ$2:$AQ$518))=UPPER(TRIM($AQ41))),--(TRIM($AQ$2:$AQ$518)&lt;&gt;""),--(LOWER(TRIM($AQ$2:$AQ$518))&lt;&gt;"n/a"),--(LOWER(TRIM($AQ$2:$AQ$518))&lt;&gt;"na"))&gt;1)),"Yes","No"))</f>
        <v/>
      </c>
      <c r="F41">
        <f>IF(UPPER(TRIM($B41))&lt;&gt;"YES","", IF(OR(AND($V41&lt;&gt;"", LOWER(TRIM($V41))&lt;&gt;"n/a", LOWER(TRIM($V41))&lt;&gt;"na", SUMPRODUCT(--(UPPER(TRIM($V$2:$V$518))=UPPER(TRIM($V41))), --(UPPER(TRIM($B$2:$B$518))="YES"), --(UPPER(TRIM($G$2:$G$518)&amp;TRIM($I$2:$I$518)&amp;TRIM($J$2:$J$518))&lt;&gt;UPPER(TRIM($G41)&amp;TRIM($I41)&amp;TRIM($J41))))&gt;0), AND($W41&lt;&gt;"", LOWER(TRIM($W41))&lt;&gt;"n/a", LOWER(TRIM($W41))&lt;&gt;"na", SUMPRODUCT(--(UPPER(TRIM($W$2:$W$518))=UPPER(TRIM($W41))), --(UPPER(TRIM($B$2:$B$518))="YES"), --(UPPER(TRIM($G$2:$G$518)&amp;TRIM($I$2:$I$518)&amp;TRIM($J$2:$J$518))&lt;&gt;UPPER(TRIM($G41)&amp;TRIM($I41)&amp;TRIM($J41))))&gt;0), AND($X41&lt;&gt;"", LOWER(TRIM($X41))&lt;&gt;"n/a", LOWER(TRIM($X41))&lt;&gt;"na", SUMPRODUCT(--(UPPER(TRIM($X$2:$X$518))=UPPER(TRIM($X41))), --(UPPER(TRIM($B$2:$B$518))="YES"), --(UPPER(TRIM($G$2:$G$518)&amp;TRIM($I$2:$I$518)&amp;TRIM($J$2:$J$518))&lt;&gt;UPPER(TRIM($G41)&amp;TRIM($I41)&amp;TRIM($J41))))&gt;0), AND($Y41&lt;&gt;"", LOWER(TRIM($Y41))&lt;&gt;"n/a", LOWER(TRIM($Y41))&lt;&gt;"na", SUMPRODUCT(--(UPPER(SUBSTITUTE(SUBSTITUTE(TRIM($Y$2:$Y$518),":",""),"-",""))=UPPER(SUBSTITUTE(SUBSTITUTE(TRIM($Y41),":",""),"-",""))), --(UPPER(TRIM($B$2:$B$518))="YES"), --(UPPER(TRIM($G$2:$G$518)&amp;TRIM($I$2:$I$518)&amp;TRIM($J$2:$J$518))&lt;&gt;UPPER(TRIM($G41)&amp;TRIM($I41)&amp;TRIM($J41))))&gt;0), AND($AB41&lt;&gt;"", LOWER(TRIM($AB41))&lt;&gt;"n/a", LOWER(TRIM($AB41))&lt;&gt;"na", SUMPRODUCT(--(UPPER(TRIM($AB$2:$AB$518))=UPPER(TRIM($AB41))), --(UPPER(TRIM($B$2:$B$518))="YES"), --(UPPER(TRIM($G$2:$G$518)&amp;TRIM($I$2:$I$518)&amp;TRIM($J$2:$J$518))&lt;&gt;UPPER(TRIM($G41)&amp;TRIM($I41)&amp;TRIM($J41))))&gt;0), AND($AH41&lt;&gt;"", LOWER(TRIM($AH41))&lt;&gt;"n/a", LOWER(TRIM($AH41))&lt;&gt;"na", SUMPRODUCT(--(UPPER(SUBSTITUTE(SUBSTITUTE(TRIM($AH$2:$AH$518),":",""),"-",""))=UPPER(SUBSTITUTE(SUBSTITUTE(TRIM($AH41),":",""),"-",""))), --(UPPER(TRIM($B$2:$B$518))="YES"), --(UPPER(TRIM($G$2:$G$518)&amp;TRIM($I$2:$I$518)&amp;TRIM($J$2:$J$518))&lt;&gt;UPPER(TRIM($G41)&amp;TRIM($I41)&amp;TRIM($J41))))&gt;0), AND($AP41&lt;&gt;"", LOWER(TRIM($AP41))&lt;&gt;"n/a", LOWER(TRIM($AP41))&lt;&gt;"na", SUMPRODUCT(--(UPPER(TRIM($AP$2:$AP$518))=UPPER(TRIM($AP41))), --(UPPER(TRIM($B$2:$B$518))="YES"), --(UPPER(TRIM($G$2:$G$518)&amp;TRIM($I$2:$I$518)&amp;TRIM($J$2:$J$518))&lt;&gt;UPPER(TRIM($G41)&amp;TRIM($I41)&amp;TRIM($J41))))&gt;0), AND($AQ41&lt;&gt;"", LOWER(TRIM($AQ41))&lt;&gt;"n/a", LOWER(TRIM($AQ41))&lt;&gt;"na", SUMPRODUCT(--(UPPER(TRIM($AQ$2:$AQ$518))=UPPER(TRIM($AQ41))), --(UPPER(TRIM($B$2:$B$518))="YES"), --(UPPER(TRIM($G$2:$G$518)&amp;TRIM($I$2:$I$518)&amp;TRIM($J$2:$J$518))&lt;&gt;UPPER(TRIM($G41)&amp;TRIM($I41)&amp;TRIM($J41))))&gt;0)), "Yes", "No"))</f>
        <v/>
      </c>
      <c r="G41" t="inlineStr">
        <is>
          <t>NSUH - PSP</t>
        </is>
      </c>
      <c r="H41" t="inlineStr">
        <is>
          <t>NSUH - PSP</t>
        </is>
      </c>
      <c r="I41" t="inlineStr">
        <is>
          <t>Main ORs - PSP - 2nd Floor</t>
        </is>
      </c>
      <c r="U41" t="inlineStr">
        <is>
          <t>Dr. Palilla, Timothy W. Seeberger</t>
        </is>
      </c>
      <c r="V41" t="inlineStr">
        <is>
          <t>WMH300OPR352</t>
        </is>
      </c>
      <c r="W41" t="inlineStr">
        <is>
          <t>MEDSG2425F-0286</t>
        </is>
      </c>
      <c r="AH41" t="inlineStr">
        <is>
          <t>000D050AA81F</t>
        </is>
      </c>
      <c r="CD41">
        <f>IF($Y41="","",IF((IF(AND($BR41&lt;&gt;"Yes",$BR41&lt;&gt;"N/A"),"Power Cable, ","")&amp;IF(AND($BS41&lt;&gt;"Yes",$BS41&lt;&gt;"N/A"),"Battery, ","")&amp;IF(AND($AD41&lt;&gt;"Yes",$AD41&lt;&gt;"N/A"),"Firmware Download, ","")&amp;IF(AND(OR($AD41="Yes",$AD41="N/A"),$AE41&lt;&gt;"Yes",$AE41&lt;&gt;"N/A"),"Firmware Install, ","")&amp;IF(AND($CB41&lt;&gt;"Yes",$CB41&lt;&gt;"N/A"),"Device ID, ","")&amp;IF(AND($CC41&lt;&gt;"Yes",$CC41&lt;&gt;"N/A"),"Epic Beans Relay, ",""))="","",LEFT(IF(AND($BR41&lt;&gt;"Yes",$BR41&lt;&gt;"N/A"),"Power Cable, ","")&amp;IF(AND($BS41&lt;&gt;"Yes",$BS41&lt;&gt;"N/A"),"Battery, ","")&amp;IF(AND($AD41&lt;&gt;"Yes",$AD41&lt;&gt;"N/A"),"Firmware Download, ","")&amp;IF(AND(OR($AD41="Yes",$AD41="N/A"),$AE41&lt;&gt;"Yes",$AE41&lt;&gt;"N/A"),"Firmware Install, ","")&amp;IF(AND($CB41&lt;&gt;"Yes",$CB41&lt;&gt;"N/A"),"Device ID, ","")&amp;IF(AND($CC41&lt;&gt;"Yes",$CC41&lt;&gt;"N/A"),"Epic Beans Relay, ",""),LEN(IF(AND($BR41&lt;&gt;"Yes",$BR41&lt;&gt;"N/A"),"Power Cable, ","")&amp;IF(AND($BS41&lt;&gt;"Yes",$BS41&lt;&gt;"N/A"),"Battery, ","")&amp;IF(AND($AD41&lt;&gt;"Yes",$AD41&lt;&gt;"N/A"),"Firmware Download, ","")&amp;IF(AND(OR($AD41="Yes",$AD41="N/A"),$AE41&lt;&gt;"Yes",$AE41&lt;&gt;"N/A"),"Firmware Install, ","")&amp;IF(AND($CB41&lt;&gt;"Yes",$CB41&lt;&gt;"N/A"),"Device ID, ","")&amp;IF(AND($CC41&lt;&gt;"Yes",$CC41&lt;&gt;"N/A"),"Epic Beans Relay, ",""))-2)))</f>
        <v/>
      </c>
      <c r="CE41">
        <f>IF($Y41="","",IF($CD41="","Yes","Blocked"))</f>
        <v/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W41">
        <f>IF($S41="","",IF(UPPER(TRIM($S41))&lt;&gt;"PASS","",IF(LEN(TRIM($BY41))&gt;0,"NOTES_PRESENT",IF(LEN(TRIM($T41))=0,"SET_NA",IF(OR(LOWER(TRIM($T41))="na",LOWER(TRIM($T41))="n/a"),"OK","MANUAL_OVERRIDE")))))</f>
        <v/>
      </c>
    </row>
    <row r="42">
      <c r="A42" t="inlineStr">
        <is>
          <t>Neuron Cybernet</t>
        </is>
      </c>
      <c r="B42" s="51" t="inlineStr">
        <is>
          <t>Yes</t>
        </is>
      </c>
      <c r="C42" t="inlineStr">
        <is>
          <t>Yes</t>
        </is>
      </c>
      <c r="D42">
        <f>IF($B42&lt;&gt;"Yes","",IF($C42="No","Yes",IF($C42="Yes","No","")))</f>
        <v/>
      </c>
      <c r="E42">
        <f>IF($A42="","",IF(OR(AND($V42&lt;&gt;"",LOWER(TRIM($V42))&lt;&gt;"n/a",LOWER(TRIM($V42))&lt;&gt;"na",SUMPRODUCT(--(UPPER(TRIM($V$2:$V$518))=UPPER(TRIM($V42))),--(TRIM($V$2:$V$518)&lt;&gt;""),--(LOWER(TRIM($V$2:$V$518))&lt;&gt;"n/a"),--(LOWER(TRIM($V$2:$V$518))&lt;&gt;"na"))&gt;1),AND($W42&lt;&gt;"",LOWER(TRIM($W42))&lt;&gt;"n/a",LOWER(TRIM($W42))&lt;&gt;"na",SUMPRODUCT(--(UPPER(TRIM($W$2:$W$518))=UPPER(TRIM($W42))),--(TRIM($W$2:$W$518)&lt;&gt;""),--(LOWER(TRIM($W$2:$W$518))&lt;&gt;"n/a"),--(LOWER(TRIM($W$2:$W$518))&lt;&gt;"na"))&gt;1),AND($X42&lt;&gt;"",LOWER(TRIM($X42))&lt;&gt;"n/a",LOWER(TRIM($X42))&lt;&gt;"na",SUMPRODUCT(--(UPPER(TRIM($X$2:$X$518))=UPPER(TRIM($X42))),--(TRIM($X$2:$X$518)&lt;&gt;""),--(LOWER(TRIM($X$2:$X$518))&lt;&gt;"n/a"),--(LOWER(TRIM($X$2:$X$518))&lt;&gt;"na"))&gt;1),AND($Y42&lt;&gt;"",LOWER(TRIM($Y42))&lt;&gt;"n/a",LOWER(TRIM($Y42))&lt;&gt;"na",SUMPRODUCT(--(UPPER(SUBSTITUTE(SUBSTITUTE(TRIM($Y$2:$Y$518),":",""),"-",""))=UPPER(SUBSTITUTE(SUBSTITUTE(TRIM($Y42),":",""),"-",""))),--(TRIM($Y$2:$Y$518)&lt;&gt;""),--(LOWER(TRIM($Y$2:$Y$518))&lt;&gt;"n/a"),--(LOWER(TRIM($Y$2:$Y$518))&lt;&gt;"na"))&gt;1),AND($AB42&lt;&gt;"",LOWER(TRIM($AB42))&lt;&gt;"n/a",LOWER(TRIM($AB42))&lt;&gt;"na",SUMPRODUCT(--(UPPER(TRIM($AB$2:$AB$518))=UPPER(TRIM($AB42))),--(TRIM($AB$2:$AB$518)&lt;&gt;""),--(LOWER(TRIM($AB$2:$AB$518))&lt;&gt;"n/a"),--(LOWER(TRIM($AB$2:$AB$518))&lt;&gt;"na"))&gt;1),AND($AH42&lt;&gt;"",LOWER(TRIM($AH42))&lt;&gt;"n/a",LOWER(TRIM($AH42))&lt;&gt;"na",SUMPRODUCT(--(UPPER(SUBSTITUTE(SUBSTITUTE(TRIM($AH$2:$AH$518),":",""),"-",""))=UPPER(SUBSTITUTE(SUBSTITUTE(TRIM($AH42),":",""),"-",""))),--(TRIM($AH$2:$AH$518)&lt;&gt;""),--(LOWER(TRIM($AH$2:$AH$518))&lt;&gt;"n/a"),--(LOWER(TRIM($AH$2:$AH$518))&lt;&gt;"na"))&gt;1),AND($AP42&lt;&gt;"",LOWER(TRIM($AP42))&lt;&gt;"n/a",LOWER(TRIM($AP42))&lt;&gt;"na",SUMPRODUCT(--(UPPER(TRIM($AP$2:$AP$518))=UPPER(TRIM($AP42))),--(TRIM($AP$2:$AP$518)&lt;&gt;""),--(LOWER(TRIM($AP$2:$AP$518))&lt;&gt;"n/a"),--(LOWER(TRIM($AP$2:$AP$518))&lt;&gt;"na"))&gt;1),AND($AQ42&lt;&gt;"",LOWER(TRIM($AQ42))&lt;&gt;"n/a",LOWER(TRIM($AQ42))&lt;&gt;"na",SUMPRODUCT(--(UPPER(TRIM($AQ$2:$AQ$518))=UPPER(TRIM($AQ42))),--(TRIM($AQ$2:$AQ$518)&lt;&gt;""),--(LOWER(TRIM($AQ$2:$AQ$518))&lt;&gt;"n/a"),--(LOWER(TRIM($AQ$2:$AQ$518))&lt;&gt;"na"))&gt;1)),"Yes","No"))</f>
        <v/>
      </c>
      <c r="F42">
        <f>IF(UPPER(TRIM($B42))&lt;&gt;"YES","", IF(OR(AND($V42&lt;&gt;"", LOWER(TRIM($V42))&lt;&gt;"n/a", LOWER(TRIM($V42))&lt;&gt;"na", SUMPRODUCT(--(UPPER(TRIM($V$2:$V$518))=UPPER(TRIM($V42))), --(UPPER(TRIM($B$2:$B$518))="YES"), --(UPPER(TRIM($G$2:$G$518)&amp;TRIM($I$2:$I$518)&amp;TRIM($J$2:$J$518))&lt;&gt;UPPER(TRIM($G42)&amp;TRIM($I42)&amp;TRIM($J42))))&gt;0), AND($W42&lt;&gt;"", LOWER(TRIM($W42))&lt;&gt;"n/a", LOWER(TRIM($W42))&lt;&gt;"na", SUMPRODUCT(--(UPPER(TRIM($W$2:$W$518))=UPPER(TRIM($W42))), --(UPPER(TRIM($B$2:$B$518))="YES"), --(UPPER(TRIM($G$2:$G$518)&amp;TRIM($I$2:$I$518)&amp;TRIM($J$2:$J$518))&lt;&gt;UPPER(TRIM($G42)&amp;TRIM($I42)&amp;TRIM($J42))))&gt;0), AND($X42&lt;&gt;"", LOWER(TRIM($X42))&lt;&gt;"n/a", LOWER(TRIM($X42))&lt;&gt;"na", SUMPRODUCT(--(UPPER(TRIM($X$2:$X$518))=UPPER(TRIM($X42))), --(UPPER(TRIM($B$2:$B$518))="YES"), --(UPPER(TRIM($G$2:$G$518)&amp;TRIM($I$2:$I$518)&amp;TRIM($J$2:$J$518))&lt;&gt;UPPER(TRIM($G42)&amp;TRIM($I42)&amp;TRIM($J42))))&gt;0), AND($Y42&lt;&gt;"", LOWER(TRIM($Y42))&lt;&gt;"n/a", LOWER(TRIM($Y42))&lt;&gt;"na", SUMPRODUCT(--(UPPER(SUBSTITUTE(SUBSTITUTE(TRIM($Y$2:$Y$518),":",""),"-",""))=UPPER(SUBSTITUTE(SUBSTITUTE(TRIM($Y42),":",""),"-",""))), --(UPPER(TRIM($B$2:$B$518))="YES"), --(UPPER(TRIM($G$2:$G$518)&amp;TRIM($I$2:$I$518)&amp;TRIM($J$2:$J$518))&lt;&gt;UPPER(TRIM($G42)&amp;TRIM($I42)&amp;TRIM($J42))))&gt;0), AND($AB42&lt;&gt;"", LOWER(TRIM($AB42))&lt;&gt;"n/a", LOWER(TRIM($AB42))&lt;&gt;"na", SUMPRODUCT(--(UPPER(TRIM($AB$2:$AB$518))=UPPER(TRIM($AB42))), --(UPPER(TRIM($B$2:$B$518))="YES"), --(UPPER(TRIM($G$2:$G$518)&amp;TRIM($I$2:$I$518)&amp;TRIM($J$2:$J$518))&lt;&gt;UPPER(TRIM($G42)&amp;TRIM($I42)&amp;TRIM($J42))))&gt;0), AND($AH42&lt;&gt;"", LOWER(TRIM($AH42))&lt;&gt;"n/a", LOWER(TRIM($AH42))&lt;&gt;"na", SUMPRODUCT(--(UPPER(SUBSTITUTE(SUBSTITUTE(TRIM($AH$2:$AH$518),":",""),"-",""))=UPPER(SUBSTITUTE(SUBSTITUTE(TRIM($AH42),":",""),"-",""))), --(UPPER(TRIM($B$2:$B$518))="YES"), --(UPPER(TRIM($G$2:$G$518)&amp;TRIM($I$2:$I$518)&amp;TRIM($J$2:$J$518))&lt;&gt;UPPER(TRIM($G42)&amp;TRIM($I42)&amp;TRIM($J42))))&gt;0), AND($AP42&lt;&gt;"", LOWER(TRIM($AP42))&lt;&gt;"n/a", LOWER(TRIM($AP42))&lt;&gt;"na", SUMPRODUCT(--(UPPER(TRIM($AP$2:$AP$518))=UPPER(TRIM($AP42))), --(UPPER(TRIM($B$2:$B$518))="YES"), --(UPPER(TRIM($G$2:$G$518)&amp;TRIM($I$2:$I$518)&amp;TRIM($J$2:$J$518))&lt;&gt;UPPER(TRIM($G42)&amp;TRIM($I42)&amp;TRIM($J42))))&gt;0), AND($AQ42&lt;&gt;"", LOWER(TRIM($AQ42))&lt;&gt;"n/a", LOWER(TRIM($AQ42))&lt;&gt;"na", SUMPRODUCT(--(UPPER(TRIM($AQ$2:$AQ$518))=UPPER(TRIM($AQ42))), --(UPPER(TRIM($B$2:$B$518))="YES"), --(UPPER(TRIM($G$2:$G$518)&amp;TRIM($I$2:$I$518)&amp;TRIM($J$2:$J$518))&lt;&gt;UPPER(TRIM($G42)&amp;TRIM($I42)&amp;TRIM($J42))))&gt;0)), "Yes", "No"))</f>
        <v/>
      </c>
      <c r="G42" t="inlineStr">
        <is>
          <t>NSUH - PSP</t>
        </is>
      </c>
      <c r="H42" t="inlineStr">
        <is>
          <t>NSUH - PSP</t>
        </is>
      </c>
      <c r="I42" t="inlineStr">
        <is>
          <t>Main ORs - PSP - 2nd Floor</t>
        </is>
      </c>
      <c r="J42" t="inlineStr">
        <is>
          <t>OR 5</t>
        </is>
      </c>
      <c r="K42" t="inlineStr">
        <is>
          <t>n/a</t>
        </is>
      </c>
      <c r="L42" s="18" t="n">
        <v>46095</v>
      </c>
      <c r="U42" t="inlineStr">
        <is>
          <t>Dr. Palilla, Timothy W. Seeberger</t>
        </is>
      </c>
      <c r="V42" t="inlineStr">
        <is>
          <t>WMH300OPR354</t>
        </is>
      </c>
      <c r="W42" t="inlineStr">
        <is>
          <t>MEDSG2425F-0126</t>
        </is>
      </c>
      <c r="X42" t="inlineStr">
        <is>
          <t>NSUH-MACH-CC</t>
        </is>
      </c>
      <c r="Y42" t="inlineStr">
        <is>
          <t>A0F5097B8CF9</t>
        </is>
      </c>
      <c r="AB42" t="inlineStr">
        <is>
          <t>WA25203818</t>
        </is>
      </c>
      <c r="AH42" t="inlineStr">
        <is>
          <t>000D050AA6BF</t>
        </is>
      </c>
      <c r="AI42" t="inlineStr">
        <is>
          <t>Anesthesia Machine</t>
        </is>
      </c>
      <c r="AJ42" t="n">
        <v>452541</v>
      </c>
      <c r="AL42" t="inlineStr">
        <is>
          <t>7202-266 / 7202-267</t>
        </is>
      </c>
      <c r="AM42" t="inlineStr">
        <is>
          <t>GE Healthcare</t>
        </is>
      </c>
      <c r="AN42" t="inlineStr">
        <is>
          <t>Aisys CS2</t>
        </is>
      </c>
      <c r="AP42" t="inlineStr">
        <is>
          <t>010084068210229221APWC0264611230915</t>
        </is>
      </c>
      <c r="AQ42" t="inlineStr">
        <is>
          <t>010084068210229221APWC0264611230915</t>
        </is>
      </c>
      <c r="AS42" t="inlineStr">
        <is>
          <t>GE Canvas 1000: 833-08, SPEC999015 / GE G1500213: 133-08C, GE B850</t>
        </is>
      </c>
      <c r="AT42" t="inlineStr">
        <is>
          <t>B1-CFU</t>
        </is>
      </c>
      <c r="AX42" t="inlineStr">
        <is>
          <t>GE Canvas 1000: 164HA / GE G1500213: 091181416</t>
        </is>
      </c>
      <c r="AY42" t="inlineStr">
        <is>
          <t>010084068210229221APWC0264611230915</t>
        </is>
      </c>
      <c r="BH42" t="n">
        <v>115200</v>
      </c>
      <c r="BI42" t="n">
        <v>19200</v>
      </c>
      <c r="BM42" t="inlineStr">
        <is>
          <t>E81</t>
        </is>
      </c>
      <c r="BN42" t="inlineStr">
        <is>
          <t>O71</t>
        </is>
      </c>
      <c r="CD42">
        <f>IF($Y42="","",IF((IF(AND($BR42&lt;&gt;"Yes",$BR42&lt;&gt;"N/A"),"Power Cable, ","")&amp;IF(AND($BS42&lt;&gt;"Yes",$BS42&lt;&gt;"N/A"),"Battery, ","")&amp;IF(AND($AD42&lt;&gt;"Yes",$AD42&lt;&gt;"N/A"),"Firmware Download, ","")&amp;IF(AND(OR($AD42="Yes",$AD42="N/A"),$AE42&lt;&gt;"Yes",$AE42&lt;&gt;"N/A"),"Firmware Install, ","")&amp;IF(AND($CB42&lt;&gt;"Yes",$CB42&lt;&gt;"N/A"),"Device ID, ","")&amp;IF(AND($CC42&lt;&gt;"Yes",$CC42&lt;&gt;"N/A"),"Epic Beans Relay, ",""))="","",LEFT(IF(AND($BR42&lt;&gt;"Yes",$BR42&lt;&gt;"N/A"),"Power Cable, ","")&amp;IF(AND($BS42&lt;&gt;"Yes",$BS42&lt;&gt;"N/A"),"Battery, ","")&amp;IF(AND($AD42&lt;&gt;"Yes",$AD42&lt;&gt;"N/A"),"Firmware Download, ","")&amp;IF(AND(OR($AD42="Yes",$AD42="N/A"),$AE42&lt;&gt;"Yes",$AE42&lt;&gt;"N/A"),"Firmware Install, ","")&amp;IF(AND($CB42&lt;&gt;"Yes",$CB42&lt;&gt;"N/A"),"Device ID, ","")&amp;IF(AND($CC42&lt;&gt;"Yes",$CC42&lt;&gt;"N/A"),"Epic Beans Relay, ",""),LEN(IF(AND($BR42&lt;&gt;"Yes",$BR42&lt;&gt;"N/A"),"Power Cable, ","")&amp;IF(AND($BS42&lt;&gt;"Yes",$BS42&lt;&gt;"N/A"),"Battery, ","")&amp;IF(AND($AD42&lt;&gt;"Yes",$AD42&lt;&gt;"N/A"),"Firmware Download, ","")&amp;IF(AND(OR($AD42="Yes",$AD42="N/A"),$AE42&lt;&gt;"Yes",$AE42&lt;&gt;"N/A"),"Firmware Install, ","")&amp;IF(AND($CB42&lt;&gt;"Yes",$CB42&lt;&gt;"N/A"),"Device ID, ","")&amp;IF(AND($CC42&lt;&gt;"Yes",$CC42&lt;&gt;"N/A"),"Epic Beans Relay, ",""))-2)))</f>
        <v/>
      </c>
      <c r="CE42">
        <f>IF($Y42="","",IF($CD42="","Yes","Blocked"))</f>
        <v/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W42">
        <f>IF($S42="","",IF(UPPER(TRIM($S42))&lt;&gt;"PASS","",IF(LEN(TRIM($BY42))&gt;0,"NOTES_PRESENT",IF(LEN(TRIM($T42))=0,"SET_NA",IF(OR(LOWER(TRIM($T42))="na",LOWER(TRIM($T42))="n/a"),"OK","MANUAL_OVERRIDE")))))</f>
        <v/>
      </c>
    </row>
    <row r="43">
      <c r="A43" t="inlineStr">
        <is>
          <t>Neuron Cybernet</t>
        </is>
      </c>
      <c r="B43" s="51" t="inlineStr">
        <is>
          <t>Yes</t>
        </is>
      </c>
      <c r="C43" t="inlineStr">
        <is>
          <t>Yes</t>
        </is>
      </c>
      <c r="D43">
        <f>IF($B43&lt;&gt;"Yes","",IF($C43="No","Yes",IF($C43="Yes","No","")))</f>
        <v/>
      </c>
      <c r="E43">
        <f>IF($A43="","",IF(OR(AND($V43&lt;&gt;"",LOWER(TRIM($V43))&lt;&gt;"n/a",LOWER(TRIM($V43))&lt;&gt;"na",SUMPRODUCT(--(UPPER(TRIM($V$2:$V$518))=UPPER(TRIM($V43))),--(TRIM($V$2:$V$518)&lt;&gt;""),--(LOWER(TRIM($V$2:$V$518))&lt;&gt;"n/a"),--(LOWER(TRIM($V$2:$V$518))&lt;&gt;"na"))&gt;1),AND($W43&lt;&gt;"",LOWER(TRIM($W43))&lt;&gt;"n/a",LOWER(TRIM($W43))&lt;&gt;"na",SUMPRODUCT(--(UPPER(TRIM($W$2:$W$518))=UPPER(TRIM($W43))),--(TRIM($W$2:$W$518)&lt;&gt;""),--(LOWER(TRIM($W$2:$W$518))&lt;&gt;"n/a"),--(LOWER(TRIM($W$2:$W$518))&lt;&gt;"na"))&gt;1),AND($X43&lt;&gt;"",LOWER(TRIM($X43))&lt;&gt;"n/a",LOWER(TRIM($X43))&lt;&gt;"na",SUMPRODUCT(--(UPPER(TRIM($X$2:$X$518))=UPPER(TRIM($X43))),--(TRIM($X$2:$X$518)&lt;&gt;""),--(LOWER(TRIM($X$2:$X$518))&lt;&gt;"n/a"),--(LOWER(TRIM($X$2:$X$518))&lt;&gt;"na"))&gt;1),AND($Y43&lt;&gt;"",LOWER(TRIM($Y43))&lt;&gt;"n/a",LOWER(TRIM($Y43))&lt;&gt;"na",SUMPRODUCT(--(UPPER(SUBSTITUTE(SUBSTITUTE(TRIM($Y$2:$Y$518),":",""),"-",""))=UPPER(SUBSTITUTE(SUBSTITUTE(TRIM($Y43),":",""),"-",""))),--(TRIM($Y$2:$Y$518)&lt;&gt;""),--(LOWER(TRIM($Y$2:$Y$518))&lt;&gt;"n/a"),--(LOWER(TRIM($Y$2:$Y$518))&lt;&gt;"na"))&gt;1),AND($AB43&lt;&gt;"",LOWER(TRIM($AB43))&lt;&gt;"n/a",LOWER(TRIM($AB43))&lt;&gt;"na",SUMPRODUCT(--(UPPER(TRIM($AB$2:$AB$518))=UPPER(TRIM($AB43))),--(TRIM($AB$2:$AB$518)&lt;&gt;""),--(LOWER(TRIM($AB$2:$AB$518))&lt;&gt;"n/a"),--(LOWER(TRIM($AB$2:$AB$518))&lt;&gt;"na"))&gt;1),AND($AH43&lt;&gt;"",LOWER(TRIM($AH43))&lt;&gt;"n/a",LOWER(TRIM($AH43))&lt;&gt;"na",SUMPRODUCT(--(UPPER(SUBSTITUTE(SUBSTITUTE(TRIM($AH$2:$AH$518),":",""),"-",""))=UPPER(SUBSTITUTE(SUBSTITUTE(TRIM($AH43),":",""),"-",""))),--(TRIM($AH$2:$AH$518)&lt;&gt;""),--(LOWER(TRIM($AH$2:$AH$518))&lt;&gt;"n/a"),--(LOWER(TRIM($AH$2:$AH$518))&lt;&gt;"na"))&gt;1),AND($AP43&lt;&gt;"",LOWER(TRIM($AP43))&lt;&gt;"n/a",LOWER(TRIM($AP43))&lt;&gt;"na",SUMPRODUCT(--(UPPER(TRIM($AP$2:$AP$518))=UPPER(TRIM($AP43))),--(TRIM($AP$2:$AP$518)&lt;&gt;""),--(LOWER(TRIM($AP$2:$AP$518))&lt;&gt;"n/a"),--(LOWER(TRIM($AP$2:$AP$518))&lt;&gt;"na"))&gt;1),AND($AQ43&lt;&gt;"",LOWER(TRIM($AQ43))&lt;&gt;"n/a",LOWER(TRIM($AQ43))&lt;&gt;"na",SUMPRODUCT(--(UPPER(TRIM($AQ$2:$AQ$518))=UPPER(TRIM($AQ43))),--(TRIM($AQ$2:$AQ$518)&lt;&gt;""),--(LOWER(TRIM($AQ$2:$AQ$518))&lt;&gt;"n/a"),--(LOWER(TRIM($AQ$2:$AQ$518))&lt;&gt;"na"))&gt;1)),"Yes","No"))</f>
        <v/>
      </c>
      <c r="F43">
        <f>IF(UPPER(TRIM($B43))&lt;&gt;"YES","", IF(OR(AND($V43&lt;&gt;"", LOWER(TRIM($V43))&lt;&gt;"n/a", LOWER(TRIM($V43))&lt;&gt;"na", SUMPRODUCT(--(UPPER(TRIM($V$2:$V$518))=UPPER(TRIM($V43))), --(UPPER(TRIM($B$2:$B$518))="YES"), --(UPPER(TRIM($G$2:$G$518)&amp;TRIM($I$2:$I$518)&amp;TRIM($J$2:$J$518))&lt;&gt;UPPER(TRIM($G43)&amp;TRIM($I43)&amp;TRIM($J43))))&gt;0), AND($W43&lt;&gt;"", LOWER(TRIM($W43))&lt;&gt;"n/a", LOWER(TRIM($W43))&lt;&gt;"na", SUMPRODUCT(--(UPPER(TRIM($W$2:$W$518))=UPPER(TRIM($W43))), --(UPPER(TRIM($B$2:$B$518))="YES"), --(UPPER(TRIM($G$2:$G$518)&amp;TRIM($I$2:$I$518)&amp;TRIM($J$2:$J$518))&lt;&gt;UPPER(TRIM($G43)&amp;TRIM($I43)&amp;TRIM($J43))))&gt;0), AND($X43&lt;&gt;"", LOWER(TRIM($X43))&lt;&gt;"n/a", LOWER(TRIM($X43))&lt;&gt;"na", SUMPRODUCT(--(UPPER(TRIM($X$2:$X$518))=UPPER(TRIM($X43))), --(UPPER(TRIM($B$2:$B$518))="YES"), --(UPPER(TRIM($G$2:$G$518)&amp;TRIM($I$2:$I$518)&amp;TRIM($J$2:$J$518))&lt;&gt;UPPER(TRIM($G43)&amp;TRIM($I43)&amp;TRIM($J43))))&gt;0), AND($Y43&lt;&gt;"", LOWER(TRIM($Y43))&lt;&gt;"n/a", LOWER(TRIM($Y43))&lt;&gt;"na", SUMPRODUCT(--(UPPER(SUBSTITUTE(SUBSTITUTE(TRIM($Y$2:$Y$518),":",""),"-",""))=UPPER(SUBSTITUTE(SUBSTITUTE(TRIM($Y43),":",""),"-",""))), --(UPPER(TRIM($B$2:$B$518))="YES"), --(UPPER(TRIM($G$2:$G$518)&amp;TRIM($I$2:$I$518)&amp;TRIM($J$2:$J$518))&lt;&gt;UPPER(TRIM($G43)&amp;TRIM($I43)&amp;TRIM($J43))))&gt;0), AND($AB43&lt;&gt;"", LOWER(TRIM($AB43))&lt;&gt;"n/a", LOWER(TRIM($AB43))&lt;&gt;"na", SUMPRODUCT(--(UPPER(TRIM($AB$2:$AB$518))=UPPER(TRIM($AB43))), --(UPPER(TRIM($B$2:$B$518))="YES"), --(UPPER(TRIM($G$2:$G$518)&amp;TRIM($I$2:$I$518)&amp;TRIM($J$2:$J$518))&lt;&gt;UPPER(TRIM($G43)&amp;TRIM($I43)&amp;TRIM($J43))))&gt;0), AND($AH43&lt;&gt;"", LOWER(TRIM($AH43))&lt;&gt;"n/a", LOWER(TRIM($AH43))&lt;&gt;"na", SUMPRODUCT(--(UPPER(SUBSTITUTE(SUBSTITUTE(TRIM($AH$2:$AH$518),":",""),"-",""))=UPPER(SUBSTITUTE(SUBSTITUTE(TRIM($AH43),":",""),"-",""))), --(UPPER(TRIM($B$2:$B$518))="YES"), --(UPPER(TRIM($G$2:$G$518)&amp;TRIM($I$2:$I$518)&amp;TRIM($J$2:$J$518))&lt;&gt;UPPER(TRIM($G43)&amp;TRIM($I43)&amp;TRIM($J43))))&gt;0), AND($AP43&lt;&gt;"", LOWER(TRIM($AP43))&lt;&gt;"n/a", LOWER(TRIM($AP43))&lt;&gt;"na", SUMPRODUCT(--(UPPER(TRIM($AP$2:$AP$518))=UPPER(TRIM($AP43))), --(UPPER(TRIM($B$2:$B$518))="YES"), --(UPPER(TRIM($G$2:$G$518)&amp;TRIM($I$2:$I$518)&amp;TRIM($J$2:$J$518))&lt;&gt;UPPER(TRIM($G43)&amp;TRIM($I43)&amp;TRIM($J43))))&gt;0), AND($AQ43&lt;&gt;"", LOWER(TRIM($AQ43))&lt;&gt;"n/a", LOWER(TRIM($AQ43))&lt;&gt;"na", SUMPRODUCT(--(UPPER(TRIM($AQ$2:$AQ$518))=UPPER(TRIM($AQ43))), --(UPPER(TRIM($B$2:$B$518))="YES"), --(UPPER(TRIM($G$2:$G$518)&amp;TRIM($I$2:$I$518)&amp;TRIM($J$2:$J$518))&lt;&gt;UPPER(TRIM($G43)&amp;TRIM($I43)&amp;TRIM($J43))))&gt;0)), "Yes", "No"))</f>
        <v/>
      </c>
      <c r="G43" t="inlineStr">
        <is>
          <t>NSUH - PSP</t>
        </is>
      </c>
      <c r="H43" t="inlineStr">
        <is>
          <t>NSUH - PSP</t>
        </is>
      </c>
      <c r="I43" t="inlineStr">
        <is>
          <t>Main ORs - PSP - 2nd Floor</t>
        </is>
      </c>
      <c r="J43" t="inlineStr">
        <is>
          <t>OR 14</t>
        </is>
      </c>
      <c r="L43" s="18" t="n">
        <v>46095</v>
      </c>
      <c r="U43" t="inlineStr">
        <is>
          <t>Dr. Palilla, Timothy W. Seeberger</t>
        </is>
      </c>
      <c r="V43" t="inlineStr">
        <is>
          <t>WMH300OPR355</t>
        </is>
      </c>
      <c r="W43" t="inlineStr">
        <is>
          <t>MEDSG2425F-0174</t>
        </is>
      </c>
      <c r="X43" t="inlineStr">
        <is>
          <t>NSUH-MACH-U</t>
        </is>
      </c>
      <c r="Y43" t="inlineStr">
        <is>
          <t>A0F5097FEEB6</t>
        </is>
      </c>
      <c r="AB43" t="inlineStr">
        <is>
          <t>WA24406190</t>
        </is>
      </c>
      <c r="AH43" t="inlineStr">
        <is>
          <t>000D050AA6CB</t>
        </is>
      </c>
      <c r="AI43" t="inlineStr">
        <is>
          <t>Anesthesia Machine</t>
        </is>
      </c>
      <c r="AJ43" t="n">
        <v>452487</v>
      </c>
      <c r="AL43" t="inlineStr">
        <is>
          <t>7202-1011 / 7202-1010</t>
        </is>
      </c>
      <c r="AM43" t="inlineStr">
        <is>
          <t>GE Healthcare</t>
        </is>
      </c>
      <c r="AN43" t="inlineStr">
        <is>
          <t>Aisys CS2</t>
        </is>
      </c>
      <c r="AP43" t="inlineStr">
        <is>
          <t>010084068210229221APWC0264711230915</t>
        </is>
      </c>
      <c r="AQ43" t="inlineStr">
        <is>
          <t>010084068210229221APWC0264711230915</t>
        </is>
      </c>
      <c r="AS43" t="inlineStr">
        <is>
          <t>GE Canvas 1000: 833-08, SPEC999015 / GE G1500213: 133-08C, GE B850</t>
        </is>
      </c>
      <c r="AT43" t="inlineStr">
        <is>
          <t>B1-CFU</t>
        </is>
      </c>
      <c r="AX43" t="inlineStr">
        <is>
          <t>GE Canvas 1000: 194HA/ GE G1500213: 091181409</t>
        </is>
      </c>
      <c r="AY43" t="inlineStr">
        <is>
          <t>010084068210229221APWC0264711230915</t>
        </is>
      </c>
      <c r="BH43" t="n">
        <v>115200</v>
      </c>
      <c r="BI43" t="n">
        <v>19200</v>
      </c>
      <c r="BM43" t="inlineStr">
        <is>
          <t>E81</t>
        </is>
      </c>
      <c r="BN43" t="inlineStr">
        <is>
          <t>O71</t>
        </is>
      </c>
      <c r="CD43">
        <f>IF($Y43="","",IF((IF(AND($BR43&lt;&gt;"Yes",$BR43&lt;&gt;"N/A"),"Power Cable, ","")&amp;IF(AND($BS43&lt;&gt;"Yes",$BS43&lt;&gt;"N/A"),"Battery, ","")&amp;IF(AND($AD43&lt;&gt;"Yes",$AD43&lt;&gt;"N/A"),"Firmware Download, ","")&amp;IF(AND(OR($AD43="Yes",$AD43="N/A"),$AE43&lt;&gt;"Yes",$AE43&lt;&gt;"N/A"),"Firmware Install, ","")&amp;IF(AND($CB43&lt;&gt;"Yes",$CB43&lt;&gt;"N/A"),"Device ID, ","")&amp;IF(AND($CC43&lt;&gt;"Yes",$CC43&lt;&gt;"N/A"),"Epic Beans Relay, ",""))="","",LEFT(IF(AND($BR43&lt;&gt;"Yes",$BR43&lt;&gt;"N/A"),"Power Cable, ","")&amp;IF(AND($BS43&lt;&gt;"Yes",$BS43&lt;&gt;"N/A"),"Battery, ","")&amp;IF(AND($AD43&lt;&gt;"Yes",$AD43&lt;&gt;"N/A"),"Firmware Download, ","")&amp;IF(AND(OR($AD43="Yes",$AD43="N/A"),$AE43&lt;&gt;"Yes",$AE43&lt;&gt;"N/A"),"Firmware Install, ","")&amp;IF(AND($CB43&lt;&gt;"Yes",$CB43&lt;&gt;"N/A"),"Device ID, ","")&amp;IF(AND($CC43&lt;&gt;"Yes",$CC43&lt;&gt;"N/A"),"Epic Beans Relay, ",""),LEN(IF(AND($BR43&lt;&gt;"Yes",$BR43&lt;&gt;"N/A"),"Power Cable, ","")&amp;IF(AND($BS43&lt;&gt;"Yes",$BS43&lt;&gt;"N/A"),"Battery, ","")&amp;IF(AND($AD43&lt;&gt;"Yes",$AD43&lt;&gt;"N/A"),"Firmware Download, ","")&amp;IF(AND(OR($AD43="Yes",$AD43="N/A"),$AE43&lt;&gt;"Yes",$AE43&lt;&gt;"N/A"),"Firmware Install, ","")&amp;IF(AND($CB43&lt;&gt;"Yes",$CB43&lt;&gt;"N/A"),"Device ID, ","")&amp;IF(AND($CC43&lt;&gt;"Yes",$CC43&lt;&gt;"N/A"),"Epic Beans Relay, ",""))-2)))</f>
        <v/>
      </c>
      <c r="CE43">
        <f>IF($Y43="","",IF($CD43="","Yes","Blocked"))</f>
        <v/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W43">
        <f>IF($S43="","",IF(UPPER(TRIM($S43))&lt;&gt;"PASS","",IF(LEN(TRIM($BY43))&gt;0,"NOTES_PRESENT",IF(LEN(TRIM($T43))=0,"SET_NA",IF(OR(LOWER(TRIM($T43))="na",LOWER(TRIM($T43))="n/a"),"OK","MANUAL_OVERRIDE")))))</f>
        <v/>
      </c>
    </row>
    <row r="44">
      <c r="A44" t="inlineStr">
        <is>
          <t>Cybernet</t>
        </is>
      </c>
      <c r="B44" s="51" t="inlineStr">
        <is>
          <t>No</t>
        </is>
      </c>
      <c r="C44" t="inlineStr">
        <is>
          <t>No</t>
        </is>
      </c>
      <c r="D44">
        <f>IF($B44&lt;&gt;"Yes","",IF($C44="No","Yes",IF($C44="Yes","No","")))</f>
        <v/>
      </c>
      <c r="E44">
        <f>IF($A44="","",IF(OR(AND($V44&lt;&gt;"",LOWER(TRIM($V44))&lt;&gt;"n/a",LOWER(TRIM($V44))&lt;&gt;"na",SUMPRODUCT(--(UPPER(TRIM($V$2:$V$518))=UPPER(TRIM($V44))),--(TRIM($V$2:$V$518)&lt;&gt;""),--(LOWER(TRIM($V$2:$V$518))&lt;&gt;"n/a"),--(LOWER(TRIM($V$2:$V$518))&lt;&gt;"na"))&gt;1),AND($W44&lt;&gt;"",LOWER(TRIM($W44))&lt;&gt;"n/a",LOWER(TRIM($W44))&lt;&gt;"na",SUMPRODUCT(--(UPPER(TRIM($W$2:$W$518))=UPPER(TRIM($W44))),--(TRIM($W$2:$W$518)&lt;&gt;""),--(LOWER(TRIM($W$2:$W$518))&lt;&gt;"n/a"),--(LOWER(TRIM($W$2:$W$518))&lt;&gt;"na"))&gt;1),AND($X44&lt;&gt;"",LOWER(TRIM($X44))&lt;&gt;"n/a",LOWER(TRIM($X44))&lt;&gt;"na",SUMPRODUCT(--(UPPER(TRIM($X$2:$X$518))=UPPER(TRIM($X44))),--(TRIM($X$2:$X$518)&lt;&gt;""),--(LOWER(TRIM($X$2:$X$518))&lt;&gt;"n/a"),--(LOWER(TRIM($X$2:$X$518))&lt;&gt;"na"))&gt;1),AND($Y44&lt;&gt;"",LOWER(TRIM($Y44))&lt;&gt;"n/a",LOWER(TRIM($Y44))&lt;&gt;"na",SUMPRODUCT(--(UPPER(SUBSTITUTE(SUBSTITUTE(TRIM($Y$2:$Y$518),":",""),"-",""))=UPPER(SUBSTITUTE(SUBSTITUTE(TRIM($Y44),":",""),"-",""))),--(TRIM($Y$2:$Y$518)&lt;&gt;""),--(LOWER(TRIM($Y$2:$Y$518))&lt;&gt;"n/a"),--(LOWER(TRIM($Y$2:$Y$518))&lt;&gt;"na"))&gt;1),AND($AB44&lt;&gt;"",LOWER(TRIM($AB44))&lt;&gt;"n/a",LOWER(TRIM($AB44))&lt;&gt;"na",SUMPRODUCT(--(UPPER(TRIM($AB$2:$AB$518))=UPPER(TRIM($AB44))),--(TRIM($AB$2:$AB$518)&lt;&gt;""),--(LOWER(TRIM($AB$2:$AB$518))&lt;&gt;"n/a"),--(LOWER(TRIM($AB$2:$AB$518))&lt;&gt;"na"))&gt;1),AND($AH44&lt;&gt;"",LOWER(TRIM($AH44))&lt;&gt;"n/a",LOWER(TRIM($AH44))&lt;&gt;"na",SUMPRODUCT(--(UPPER(SUBSTITUTE(SUBSTITUTE(TRIM($AH$2:$AH$518),":",""),"-",""))=UPPER(SUBSTITUTE(SUBSTITUTE(TRIM($AH44),":",""),"-",""))),--(TRIM($AH$2:$AH$518)&lt;&gt;""),--(LOWER(TRIM($AH$2:$AH$518))&lt;&gt;"n/a"),--(LOWER(TRIM($AH$2:$AH$518))&lt;&gt;"na"))&gt;1),AND($AP44&lt;&gt;"",LOWER(TRIM($AP44))&lt;&gt;"n/a",LOWER(TRIM($AP44))&lt;&gt;"na",SUMPRODUCT(--(UPPER(TRIM($AP$2:$AP$518))=UPPER(TRIM($AP44))),--(TRIM($AP$2:$AP$518)&lt;&gt;""),--(LOWER(TRIM($AP$2:$AP$518))&lt;&gt;"n/a"),--(LOWER(TRIM($AP$2:$AP$518))&lt;&gt;"na"))&gt;1),AND($AQ44&lt;&gt;"",LOWER(TRIM($AQ44))&lt;&gt;"n/a",LOWER(TRIM($AQ44))&lt;&gt;"na",SUMPRODUCT(--(UPPER(TRIM($AQ$2:$AQ$518))=UPPER(TRIM($AQ44))),--(TRIM($AQ$2:$AQ$518)&lt;&gt;""),--(LOWER(TRIM($AQ$2:$AQ$518))&lt;&gt;"n/a"),--(LOWER(TRIM($AQ$2:$AQ$518))&lt;&gt;"na"))&gt;1)),"Yes","No"))</f>
        <v/>
      </c>
      <c r="F44">
        <f>IF(UPPER(TRIM($B44))&lt;&gt;"YES","", IF(OR(AND($V44&lt;&gt;"", LOWER(TRIM($V44))&lt;&gt;"n/a", LOWER(TRIM($V44))&lt;&gt;"na", SUMPRODUCT(--(UPPER(TRIM($V$2:$V$518))=UPPER(TRIM($V44))), --(UPPER(TRIM($B$2:$B$518))="YES"), --(UPPER(TRIM($G$2:$G$518)&amp;TRIM($I$2:$I$518)&amp;TRIM($J$2:$J$518))&lt;&gt;UPPER(TRIM($G44)&amp;TRIM($I44)&amp;TRIM($J44))))&gt;0), AND($W44&lt;&gt;"", LOWER(TRIM($W44))&lt;&gt;"n/a", LOWER(TRIM($W44))&lt;&gt;"na", SUMPRODUCT(--(UPPER(TRIM($W$2:$W$518))=UPPER(TRIM($W44))), --(UPPER(TRIM($B$2:$B$518))="YES"), --(UPPER(TRIM($G$2:$G$518)&amp;TRIM($I$2:$I$518)&amp;TRIM($J$2:$J$518))&lt;&gt;UPPER(TRIM($G44)&amp;TRIM($I44)&amp;TRIM($J44))))&gt;0), AND($X44&lt;&gt;"", LOWER(TRIM($X44))&lt;&gt;"n/a", LOWER(TRIM($X44))&lt;&gt;"na", SUMPRODUCT(--(UPPER(TRIM($X$2:$X$518))=UPPER(TRIM($X44))), --(UPPER(TRIM($B$2:$B$518))="YES"), --(UPPER(TRIM($G$2:$G$518)&amp;TRIM($I$2:$I$518)&amp;TRIM($J$2:$J$518))&lt;&gt;UPPER(TRIM($G44)&amp;TRIM($I44)&amp;TRIM($J44))))&gt;0), AND($Y44&lt;&gt;"", LOWER(TRIM($Y44))&lt;&gt;"n/a", LOWER(TRIM($Y44))&lt;&gt;"na", SUMPRODUCT(--(UPPER(SUBSTITUTE(SUBSTITUTE(TRIM($Y$2:$Y$518),":",""),"-",""))=UPPER(SUBSTITUTE(SUBSTITUTE(TRIM($Y44),":",""),"-",""))), --(UPPER(TRIM($B$2:$B$518))="YES"), --(UPPER(TRIM($G$2:$G$518)&amp;TRIM($I$2:$I$518)&amp;TRIM($J$2:$J$518))&lt;&gt;UPPER(TRIM($G44)&amp;TRIM($I44)&amp;TRIM($J44))))&gt;0), AND($AB44&lt;&gt;"", LOWER(TRIM($AB44))&lt;&gt;"n/a", LOWER(TRIM($AB44))&lt;&gt;"na", SUMPRODUCT(--(UPPER(TRIM($AB$2:$AB$518))=UPPER(TRIM($AB44))), --(UPPER(TRIM($B$2:$B$518))="YES"), --(UPPER(TRIM($G$2:$G$518)&amp;TRIM($I$2:$I$518)&amp;TRIM($J$2:$J$518))&lt;&gt;UPPER(TRIM($G44)&amp;TRIM($I44)&amp;TRIM($J44))))&gt;0), AND($AH44&lt;&gt;"", LOWER(TRIM($AH44))&lt;&gt;"n/a", LOWER(TRIM($AH44))&lt;&gt;"na", SUMPRODUCT(--(UPPER(SUBSTITUTE(SUBSTITUTE(TRIM($AH$2:$AH$518),":",""),"-",""))=UPPER(SUBSTITUTE(SUBSTITUTE(TRIM($AH44),":",""),"-",""))), --(UPPER(TRIM($B$2:$B$518))="YES"), --(UPPER(TRIM($G$2:$G$518)&amp;TRIM($I$2:$I$518)&amp;TRIM($J$2:$J$518))&lt;&gt;UPPER(TRIM($G44)&amp;TRIM($I44)&amp;TRIM($J44))))&gt;0), AND($AP44&lt;&gt;"", LOWER(TRIM($AP44))&lt;&gt;"n/a", LOWER(TRIM($AP44))&lt;&gt;"na", SUMPRODUCT(--(UPPER(TRIM($AP$2:$AP$518))=UPPER(TRIM($AP44))), --(UPPER(TRIM($B$2:$B$518))="YES"), --(UPPER(TRIM($G$2:$G$518)&amp;TRIM($I$2:$I$518)&amp;TRIM($J$2:$J$518))&lt;&gt;UPPER(TRIM($G44)&amp;TRIM($I44)&amp;TRIM($J44))))&gt;0), AND($AQ44&lt;&gt;"", LOWER(TRIM($AQ44))&lt;&gt;"n/a", LOWER(TRIM($AQ44))&lt;&gt;"na", SUMPRODUCT(--(UPPER(TRIM($AQ$2:$AQ$518))=UPPER(TRIM($AQ44))), --(UPPER(TRIM($B$2:$B$518))="YES"), --(UPPER(TRIM($G$2:$G$518)&amp;TRIM($I$2:$I$518)&amp;TRIM($J$2:$J$518))&lt;&gt;UPPER(TRIM($G44)&amp;TRIM($I44)&amp;TRIM($J44))))&gt;0)), "Yes", "No"))</f>
        <v/>
      </c>
      <c r="G44" t="inlineStr">
        <is>
          <t>NSUH - PSP</t>
        </is>
      </c>
      <c r="H44" t="inlineStr">
        <is>
          <t>NSUH - PSP</t>
        </is>
      </c>
      <c r="I44" t="inlineStr">
        <is>
          <t>Main ORs - PSP - 2nd Floor</t>
        </is>
      </c>
      <c r="U44" t="inlineStr">
        <is>
          <t>Dr. Palilla, Timothy W. Seeberger</t>
        </is>
      </c>
      <c r="V44" t="inlineStr">
        <is>
          <t>WMH300OPR356</t>
        </is>
      </c>
      <c r="W44" t="inlineStr">
        <is>
          <t>MEDSG2425F-0057</t>
        </is>
      </c>
      <c r="AH44" t="inlineStr">
        <is>
          <t>000D050AA6A3</t>
        </is>
      </c>
      <c r="CD44">
        <f>IF($Y44="","",IF((IF(AND($BR44&lt;&gt;"Yes",$BR44&lt;&gt;"N/A"),"Power Cable, ","")&amp;IF(AND($BS44&lt;&gt;"Yes",$BS44&lt;&gt;"N/A"),"Battery, ","")&amp;IF(AND($AD44&lt;&gt;"Yes",$AD44&lt;&gt;"N/A"),"Firmware Download, ","")&amp;IF(AND(OR($AD44="Yes",$AD44="N/A"),$AE44&lt;&gt;"Yes",$AE44&lt;&gt;"N/A"),"Firmware Install, ","")&amp;IF(AND($CB44&lt;&gt;"Yes",$CB44&lt;&gt;"N/A"),"Device ID, ","")&amp;IF(AND($CC44&lt;&gt;"Yes",$CC44&lt;&gt;"N/A"),"Epic Beans Relay, ",""))="","",LEFT(IF(AND($BR44&lt;&gt;"Yes",$BR44&lt;&gt;"N/A"),"Power Cable, ","")&amp;IF(AND($BS44&lt;&gt;"Yes",$BS44&lt;&gt;"N/A"),"Battery, ","")&amp;IF(AND($AD44&lt;&gt;"Yes",$AD44&lt;&gt;"N/A"),"Firmware Download, ","")&amp;IF(AND(OR($AD44="Yes",$AD44="N/A"),$AE44&lt;&gt;"Yes",$AE44&lt;&gt;"N/A"),"Firmware Install, ","")&amp;IF(AND($CB44&lt;&gt;"Yes",$CB44&lt;&gt;"N/A"),"Device ID, ","")&amp;IF(AND($CC44&lt;&gt;"Yes",$CC44&lt;&gt;"N/A"),"Epic Beans Relay, ",""),LEN(IF(AND($BR44&lt;&gt;"Yes",$BR44&lt;&gt;"N/A"),"Power Cable, ","")&amp;IF(AND($BS44&lt;&gt;"Yes",$BS44&lt;&gt;"N/A"),"Battery, ","")&amp;IF(AND($AD44&lt;&gt;"Yes",$AD44&lt;&gt;"N/A"),"Firmware Download, ","")&amp;IF(AND(OR($AD44="Yes",$AD44="N/A"),$AE44&lt;&gt;"Yes",$AE44&lt;&gt;"N/A"),"Firmware Install, ","")&amp;IF(AND($CB44&lt;&gt;"Yes",$CB44&lt;&gt;"N/A"),"Device ID, ","")&amp;IF(AND($CC44&lt;&gt;"Yes",$CC44&lt;&gt;"N/A"),"Epic Beans Relay, ",""))-2)))</f>
        <v/>
      </c>
      <c r="CE44">
        <f>IF($Y44="","",IF($CD44="","Yes","Blocked"))</f>
        <v/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W44">
        <f>IF($S44="","",IF(UPPER(TRIM($S44))&lt;&gt;"PASS","",IF(LEN(TRIM($BY44))&gt;0,"NOTES_PRESENT",IF(LEN(TRIM($T44))=0,"SET_NA",IF(OR(LOWER(TRIM($T44))="na",LOWER(TRIM($T44))="n/a"),"OK","MANUAL_OVERRIDE")))))</f>
        <v/>
      </c>
    </row>
    <row r="45">
      <c r="A45" t="inlineStr">
        <is>
          <t>Neuron Cybernet</t>
        </is>
      </c>
      <c r="B45" s="51" t="inlineStr">
        <is>
          <t>Yes</t>
        </is>
      </c>
      <c r="C45" t="inlineStr">
        <is>
          <t>Yes</t>
        </is>
      </c>
      <c r="D45">
        <f>IF($B45&lt;&gt;"Yes","",IF($C45="No","Yes",IF($C45="Yes","No","")))</f>
        <v/>
      </c>
      <c r="E45">
        <f>IF($A45="","",IF(OR(AND($V45&lt;&gt;"",LOWER(TRIM($V45))&lt;&gt;"n/a",LOWER(TRIM($V45))&lt;&gt;"na",SUMPRODUCT(--(UPPER(TRIM($V$2:$V$518))=UPPER(TRIM($V45))),--(TRIM($V$2:$V$518)&lt;&gt;""),--(LOWER(TRIM($V$2:$V$518))&lt;&gt;"n/a"),--(LOWER(TRIM($V$2:$V$518))&lt;&gt;"na"))&gt;1),AND($W45&lt;&gt;"",LOWER(TRIM($W45))&lt;&gt;"n/a",LOWER(TRIM($W45))&lt;&gt;"na",SUMPRODUCT(--(UPPER(TRIM($W$2:$W$518))=UPPER(TRIM($W45))),--(TRIM($W$2:$W$518)&lt;&gt;""),--(LOWER(TRIM($W$2:$W$518))&lt;&gt;"n/a"),--(LOWER(TRIM($W$2:$W$518))&lt;&gt;"na"))&gt;1),AND($X45&lt;&gt;"",LOWER(TRIM($X45))&lt;&gt;"n/a",LOWER(TRIM($X45))&lt;&gt;"na",SUMPRODUCT(--(UPPER(TRIM($X$2:$X$518))=UPPER(TRIM($X45))),--(TRIM($X$2:$X$518)&lt;&gt;""),--(LOWER(TRIM($X$2:$X$518))&lt;&gt;"n/a"),--(LOWER(TRIM($X$2:$X$518))&lt;&gt;"na"))&gt;1),AND($Y45&lt;&gt;"",LOWER(TRIM($Y45))&lt;&gt;"n/a",LOWER(TRIM($Y45))&lt;&gt;"na",SUMPRODUCT(--(UPPER(SUBSTITUTE(SUBSTITUTE(TRIM($Y$2:$Y$518),":",""),"-",""))=UPPER(SUBSTITUTE(SUBSTITUTE(TRIM($Y45),":",""),"-",""))),--(TRIM($Y$2:$Y$518)&lt;&gt;""),--(LOWER(TRIM($Y$2:$Y$518))&lt;&gt;"n/a"),--(LOWER(TRIM($Y$2:$Y$518))&lt;&gt;"na"))&gt;1),AND($AB45&lt;&gt;"",LOWER(TRIM($AB45))&lt;&gt;"n/a",LOWER(TRIM($AB45))&lt;&gt;"na",SUMPRODUCT(--(UPPER(TRIM($AB$2:$AB$518))=UPPER(TRIM($AB45))),--(TRIM($AB$2:$AB$518)&lt;&gt;""),--(LOWER(TRIM($AB$2:$AB$518))&lt;&gt;"n/a"),--(LOWER(TRIM($AB$2:$AB$518))&lt;&gt;"na"))&gt;1),AND($AH45&lt;&gt;"",LOWER(TRIM($AH45))&lt;&gt;"n/a",LOWER(TRIM($AH45))&lt;&gt;"na",SUMPRODUCT(--(UPPER(SUBSTITUTE(SUBSTITUTE(TRIM($AH$2:$AH$518),":",""),"-",""))=UPPER(SUBSTITUTE(SUBSTITUTE(TRIM($AH45),":",""),"-",""))),--(TRIM($AH$2:$AH$518)&lt;&gt;""),--(LOWER(TRIM($AH$2:$AH$518))&lt;&gt;"n/a"),--(LOWER(TRIM($AH$2:$AH$518))&lt;&gt;"na"))&gt;1),AND($AP45&lt;&gt;"",LOWER(TRIM($AP45))&lt;&gt;"n/a",LOWER(TRIM($AP45))&lt;&gt;"na",SUMPRODUCT(--(UPPER(TRIM($AP$2:$AP$518))=UPPER(TRIM($AP45))),--(TRIM($AP$2:$AP$518)&lt;&gt;""),--(LOWER(TRIM($AP$2:$AP$518))&lt;&gt;"n/a"),--(LOWER(TRIM($AP$2:$AP$518))&lt;&gt;"na"))&gt;1),AND($AQ45&lt;&gt;"",LOWER(TRIM($AQ45))&lt;&gt;"n/a",LOWER(TRIM($AQ45))&lt;&gt;"na",SUMPRODUCT(--(UPPER(TRIM($AQ$2:$AQ$518))=UPPER(TRIM($AQ45))),--(TRIM($AQ$2:$AQ$518)&lt;&gt;""),--(LOWER(TRIM($AQ$2:$AQ$518))&lt;&gt;"n/a"),--(LOWER(TRIM($AQ$2:$AQ$518))&lt;&gt;"na"))&gt;1)),"Yes","No"))</f>
        <v/>
      </c>
      <c r="F45">
        <f>IF(UPPER(TRIM($B45))&lt;&gt;"YES","", IF(OR(AND($V45&lt;&gt;"", LOWER(TRIM($V45))&lt;&gt;"n/a", LOWER(TRIM($V45))&lt;&gt;"na", SUMPRODUCT(--(UPPER(TRIM($V$2:$V$518))=UPPER(TRIM($V45))), --(UPPER(TRIM($B$2:$B$518))="YES"), --(UPPER(TRIM($G$2:$G$518)&amp;TRIM($I$2:$I$518)&amp;TRIM($J$2:$J$518))&lt;&gt;UPPER(TRIM($G45)&amp;TRIM($I45)&amp;TRIM($J45))))&gt;0), AND($W45&lt;&gt;"", LOWER(TRIM($W45))&lt;&gt;"n/a", LOWER(TRIM($W45))&lt;&gt;"na", SUMPRODUCT(--(UPPER(TRIM($W$2:$W$518))=UPPER(TRIM($W45))), --(UPPER(TRIM($B$2:$B$518))="YES"), --(UPPER(TRIM($G$2:$G$518)&amp;TRIM($I$2:$I$518)&amp;TRIM($J$2:$J$518))&lt;&gt;UPPER(TRIM($G45)&amp;TRIM($I45)&amp;TRIM($J45))))&gt;0), AND($X45&lt;&gt;"", LOWER(TRIM($X45))&lt;&gt;"n/a", LOWER(TRIM($X45))&lt;&gt;"na", SUMPRODUCT(--(UPPER(TRIM($X$2:$X$518))=UPPER(TRIM($X45))), --(UPPER(TRIM($B$2:$B$518))="YES"), --(UPPER(TRIM($G$2:$G$518)&amp;TRIM($I$2:$I$518)&amp;TRIM($J$2:$J$518))&lt;&gt;UPPER(TRIM($G45)&amp;TRIM($I45)&amp;TRIM($J45))))&gt;0), AND($Y45&lt;&gt;"", LOWER(TRIM($Y45))&lt;&gt;"n/a", LOWER(TRIM($Y45))&lt;&gt;"na", SUMPRODUCT(--(UPPER(SUBSTITUTE(SUBSTITUTE(TRIM($Y$2:$Y$518),":",""),"-",""))=UPPER(SUBSTITUTE(SUBSTITUTE(TRIM($Y45),":",""),"-",""))), --(UPPER(TRIM($B$2:$B$518))="YES"), --(UPPER(TRIM($G$2:$G$518)&amp;TRIM($I$2:$I$518)&amp;TRIM($J$2:$J$518))&lt;&gt;UPPER(TRIM($G45)&amp;TRIM($I45)&amp;TRIM($J45))))&gt;0), AND($AB45&lt;&gt;"", LOWER(TRIM($AB45))&lt;&gt;"n/a", LOWER(TRIM($AB45))&lt;&gt;"na", SUMPRODUCT(--(UPPER(TRIM($AB$2:$AB$518))=UPPER(TRIM($AB45))), --(UPPER(TRIM($B$2:$B$518))="YES"), --(UPPER(TRIM($G$2:$G$518)&amp;TRIM($I$2:$I$518)&amp;TRIM($J$2:$J$518))&lt;&gt;UPPER(TRIM($G45)&amp;TRIM($I45)&amp;TRIM($J45))))&gt;0), AND($AH45&lt;&gt;"", LOWER(TRIM($AH45))&lt;&gt;"n/a", LOWER(TRIM($AH45))&lt;&gt;"na", SUMPRODUCT(--(UPPER(SUBSTITUTE(SUBSTITUTE(TRIM($AH$2:$AH$518),":",""),"-",""))=UPPER(SUBSTITUTE(SUBSTITUTE(TRIM($AH45),":",""),"-",""))), --(UPPER(TRIM($B$2:$B$518))="YES"), --(UPPER(TRIM($G$2:$G$518)&amp;TRIM($I$2:$I$518)&amp;TRIM($J$2:$J$518))&lt;&gt;UPPER(TRIM($G45)&amp;TRIM($I45)&amp;TRIM($J45))))&gt;0), AND($AP45&lt;&gt;"", LOWER(TRIM($AP45))&lt;&gt;"n/a", LOWER(TRIM($AP45))&lt;&gt;"na", SUMPRODUCT(--(UPPER(TRIM($AP$2:$AP$518))=UPPER(TRIM($AP45))), --(UPPER(TRIM($B$2:$B$518))="YES"), --(UPPER(TRIM($G$2:$G$518)&amp;TRIM($I$2:$I$518)&amp;TRIM($J$2:$J$518))&lt;&gt;UPPER(TRIM($G45)&amp;TRIM($I45)&amp;TRIM($J45))))&gt;0), AND($AQ45&lt;&gt;"", LOWER(TRIM($AQ45))&lt;&gt;"n/a", LOWER(TRIM($AQ45))&lt;&gt;"na", SUMPRODUCT(--(UPPER(TRIM($AQ$2:$AQ$518))=UPPER(TRIM($AQ45))), --(UPPER(TRIM($B$2:$B$518))="YES"), --(UPPER(TRIM($G$2:$G$518)&amp;TRIM($I$2:$I$518)&amp;TRIM($J$2:$J$518))&lt;&gt;UPPER(TRIM($G45)&amp;TRIM($I45)&amp;TRIM($J45))))&gt;0)), "Yes", "No"))</f>
        <v/>
      </c>
      <c r="G45" t="inlineStr">
        <is>
          <t>NSUH - PSP</t>
        </is>
      </c>
      <c r="H45" t="inlineStr">
        <is>
          <t>NSUH - PSP</t>
        </is>
      </c>
      <c r="I45" t="inlineStr">
        <is>
          <t>Main ORs - PSP - 2nd Floor</t>
        </is>
      </c>
      <c r="U45" t="inlineStr">
        <is>
          <t>Dr. Palilla, Timothy W. Seeberger</t>
        </is>
      </c>
      <c r="V45" t="inlineStr">
        <is>
          <t>WMH300OPR371</t>
        </is>
      </c>
      <c r="W45" t="inlineStr">
        <is>
          <t>MEDNG2425E-3064</t>
        </is>
      </c>
      <c r="AH45" t="inlineStr">
        <is>
          <t>000D050AB1D7</t>
        </is>
      </c>
      <c r="CD45">
        <f>IF($Y45="","",IF((IF(AND($BR45&lt;&gt;"Yes",$BR45&lt;&gt;"N/A"),"Power Cable, ","")&amp;IF(AND($BS45&lt;&gt;"Yes",$BS45&lt;&gt;"N/A"),"Battery, ","")&amp;IF(AND($AD45&lt;&gt;"Yes",$AD45&lt;&gt;"N/A"),"Firmware Download, ","")&amp;IF(AND(OR($AD45="Yes",$AD45="N/A"),$AE45&lt;&gt;"Yes",$AE45&lt;&gt;"N/A"),"Firmware Install, ","")&amp;IF(AND($CB45&lt;&gt;"Yes",$CB45&lt;&gt;"N/A"),"Device ID, ","")&amp;IF(AND($CC45&lt;&gt;"Yes",$CC45&lt;&gt;"N/A"),"Epic Beans Relay, ",""))="","",LEFT(IF(AND($BR45&lt;&gt;"Yes",$BR45&lt;&gt;"N/A"),"Power Cable, ","")&amp;IF(AND($BS45&lt;&gt;"Yes",$BS45&lt;&gt;"N/A"),"Battery, ","")&amp;IF(AND($AD45&lt;&gt;"Yes",$AD45&lt;&gt;"N/A"),"Firmware Download, ","")&amp;IF(AND(OR($AD45="Yes",$AD45="N/A"),$AE45&lt;&gt;"Yes",$AE45&lt;&gt;"N/A"),"Firmware Install, ","")&amp;IF(AND($CB45&lt;&gt;"Yes",$CB45&lt;&gt;"N/A"),"Device ID, ","")&amp;IF(AND($CC45&lt;&gt;"Yes",$CC45&lt;&gt;"N/A"),"Epic Beans Relay, ",""),LEN(IF(AND($BR45&lt;&gt;"Yes",$BR45&lt;&gt;"N/A"),"Power Cable, ","")&amp;IF(AND($BS45&lt;&gt;"Yes",$BS45&lt;&gt;"N/A"),"Battery, ","")&amp;IF(AND($AD45&lt;&gt;"Yes",$AD45&lt;&gt;"N/A"),"Firmware Download, ","")&amp;IF(AND(OR($AD45="Yes",$AD45="N/A"),$AE45&lt;&gt;"Yes",$AE45&lt;&gt;"N/A"),"Firmware Install, ","")&amp;IF(AND($CB45&lt;&gt;"Yes",$CB45&lt;&gt;"N/A"),"Device ID, ","")&amp;IF(AND($CC45&lt;&gt;"Yes",$CC45&lt;&gt;"N/A"),"Epic Beans Relay, ",""))-2)))</f>
        <v/>
      </c>
      <c r="CE45">
        <f>IF($Y45="","",IF($CD45="","Yes","Blocked"))</f>
        <v/>
      </c>
      <c r="CF45" t="inlineStr">
        <is>
          <t>Yes</t>
        </is>
      </c>
      <c r="CG45" t="inlineStr">
        <is>
          <t>Yes</t>
        </is>
      </c>
      <c r="CH45" t="inlineStr">
        <is>
          <t>Yes</t>
        </is>
      </c>
      <c r="CI45" t="inlineStr">
        <is>
          <t>Yes</t>
        </is>
      </c>
      <c r="CJ45" t="inlineStr">
        <is>
          <t>Yes</t>
        </is>
      </c>
      <c r="CK45" t="inlineStr">
        <is>
          <t>Yes</t>
        </is>
      </c>
      <c r="CL45" t="inlineStr">
        <is>
          <t>Yes</t>
        </is>
      </c>
      <c r="CM45" t="inlineStr">
        <is>
          <t>Yes</t>
        </is>
      </c>
      <c r="CN45" t="inlineStr">
        <is>
          <t>Yes</t>
        </is>
      </c>
      <c r="CO45" t="inlineStr">
        <is>
          <t>Yes</t>
        </is>
      </c>
      <c r="CP45" t="inlineStr">
        <is>
          <t>Yes</t>
        </is>
      </c>
      <c r="CQ45" t="inlineStr">
        <is>
          <t>Yes</t>
        </is>
      </c>
      <c r="CR45" t="inlineStr">
        <is>
          <t>Yes</t>
        </is>
      </c>
      <c r="CS45" t="inlineStr">
        <is>
          <t>Yes</t>
        </is>
      </c>
      <c r="CW45">
        <f>IF($S45="","",IF(UPPER(TRIM($S45))&lt;&gt;"PASS","",IF(LEN(TRIM($BY45))&gt;0,"NOTES_PRESENT",IF(LEN(TRIM($T45))=0,"SET_NA",IF(OR(LOWER(TRIM($T45))="na",LOWER(TRIM($T45))="n/a"),"OK","MANUAL_OVERRIDE")))))</f>
        <v/>
      </c>
    </row>
    <row r="46">
      <c r="A46" t="inlineStr">
        <is>
          <t>Cybernet</t>
        </is>
      </c>
      <c r="B46" s="51" t="inlineStr">
        <is>
          <t>No</t>
        </is>
      </c>
      <c r="C46" t="inlineStr">
        <is>
          <t>No</t>
        </is>
      </c>
      <c r="D46">
        <f>IF($B46&lt;&gt;"Yes","",IF($C46="No","Yes",IF($C46="Yes","No","")))</f>
        <v/>
      </c>
      <c r="E46">
        <f>IF($A46="","",IF(OR(AND($V46&lt;&gt;"",LOWER(TRIM($V46))&lt;&gt;"n/a",LOWER(TRIM($V46))&lt;&gt;"na",SUMPRODUCT(--(UPPER(TRIM($V$2:$V$518))=UPPER(TRIM($V46))),--(TRIM($V$2:$V$518)&lt;&gt;""),--(LOWER(TRIM($V$2:$V$518))&lt;&gt;"n/a"),--(LOWER(TRIM($V$2:$V$518))&lt;&gt;"na"))&gt;1),AND($W46&lt;&gt;"",LOWER(TRIM($W46))&lt;&gt;"n/a",LOWER(TRIM($W46))&lt;&gt;"na",SUMPRODUCT(--(UPPER(TRIM($W$2:$W$518))=UPPER(TRIM($W46))),--(TRIM($W$2:$W$518)&lt;&gt;""),--(LOWER(TRIM($W$2:$W$518))&lt;&gt;"n/a"),--(LOWER(TRIM($W$2:$W$518))&lt;&gt;"na"))&gt;1),AND($X46&lt;&gt;"",LOWER(TRIM($X46))&lt;&gt;"n/a",LOWER(TRIM($X46))&lt;&gt;"na",SUMPRODUCT(--(UPPER(TRIM($X$2:$X$518))=UPPER(TRIM($X46))),--(TRIM($X$2:$X$518)&lt;&gt;""),--(LOWER(TRIM($X$2:$X$518))&lt;&gt;"n/a"),--(LOWER(TRIM($X$2:$X$518))&lt;&gt;"na"))&gt;1),AND($Y46&lt;&gt;"",LOWER(TRIM($Y46))&lt;&gt;"n/a",LOWER(TRIM($Y46))&lt;&gt;"na",SUMPRODUCT(--(UPPER(SUBSTITUTE(SUBSTITUTE(TRIM($Y$2:$Y$518),":",""),"-",""))=UPPER(SUBSTITUTE(SUBSTITUTE(TRIM($Y46),":",""),"-",""))),--(TRIM($Y$2:$Y$518)&lt;&gt;""),--(LOWER(TRIM($Y$2:$Y$518))&lt;&gt;"n/a"),--(LOWER(TRIM($Y$2:$Y$518))&lt;&gt;"na"))&gt;1),AND($AB46&lt;&gt;"",LOWER(TRIM($AB46))&lt;&gt;"n/a",LOWER(TRIM($AB46))&lt;&gt;"na",SUMPRODUCT(--(UPPER(TRIM($AB$2:$AB$518))=UPPER(TRIM($AB46))),--(TRIM($AB$2:$AB$518)&lt;&gt;""),--(LOWER(TRIM($AB$2:$AB$518))&lt;&gt;"n/a"),--(LOWER(TRIM($AB$2:$AB$518))&lt;&gt;"na"))&gt;1),AND($AH46&lt;&gt;"",LOWER(TRIM($AH46))&lt;&gt;"n/a",LOWER(TRIM($AH46))&lt;&gt;"na",SUMPRODUCT(--(UPPER(SUBSTITUTE(SUBSTITUTE(TRIM($AH$2:$AH$518),":",""),"-",""))=UPPER(SUBSTITUTE(SUBSTITUTE(TRIM($AH46),":",""),"-",""))),--(TRIM($AH$2:$AH$518)&lt;&gt;""),--(LOWER(TRIM($AH$2:$AH$518))&lt;&gt;"n/a"),--(LOWER(TRIM($AH$2:$AH$518))&lt;&gt;"na"))&gt;1),AND($AP46&lt;&gt;"",LOWER(TRIM($AP46))&lt;&gt;"n/a",LOWER(TRIM($AP46))&lt;&gt;"na",SUMPRODUCT(--(UPPER(TRIM($AP$2:$AP$518))=UPPER(TRIM($AP46))),--(TRIM($AP$2:$AP$518)&lt;&gt;""),--(LOWER(TRIM($AP$2:$AP$518))&lt;&gt;"n/a"),--(LOWER(TRIM($AP$2:$AP$518))&lt;&gt;"na"))&gt;1),AND($AQ46&lt;&gt;"",LOWER(TRIM($AQ46))&lt;&gt;"n/a",LOWER(TRIM($AQ46))&lt;&gt;"na",SUMPRODUCT(--(UPPER(TRIM($AQ$2:$AQ$518))=UPPER(TRIM($AQ46))),--(TRIM($AQ$2:$AQ$518)&lt;&gt;""),--(LOWER(TRIM($AQ$2:$AQ$518))&lt;&gt;"n/a"),--(LOWER(TRIM($AQ$2:$AQ$518))&lt;&gt;"na"))&gt;1)),"Yes","No"))</f>
        <v/>
      </c>
      <c r="F46">
        <f>IF(UPPER(TRIM($B46))&lt;&gt;"YES","", IF(OR(AND($V46&lt;&gt;"", LOWER(TRIM($V46))&lt;&gt;"n/a", LOWER(TRIM($V46))&lt;&gt;"na", SUMPRODUCT(--(UPPER(TRIM($V$2:$V$518))=UPPER(TRIM($V46))), --(UPPER(TRIM($B$2:$B$518))="YES"), --(UPPER(TRIM($G$2:$G$518)&amp;TRIM($I$2:$I$518)&amp;TRIM($J$2:$J$518))&lt;&gt;UPPER(TRIM($G46)&amp;TRIM($I46)&amp;TRIM($J46))))&gt;0), AND($W46&lt;&gt;"", LOWER(TRIM($W46))&lt;&gt;"n/a", LOWER(TRIM($W46))&lt;&gt;"na", SUMPRODUCT(--(UPPER(TRIM($W$2:$W$518))=UPPER(TRIM($W46))), --(UPPER(TRIM($B$2:$B$518))="YES"), --(UPPER(TRIM($G$2:$G$518)&amp;TRIM($I$2:$I$518)&amp;TRIM($J$2:$J$518))&lt;&gt;UPPER(TRIM($G46)&amp;TRIM($I46)&amp;TRIM($J46))))&gt;0), AND($X46&lt;&gt;"", LOWER(TRIM($X46))&lt;&gt;"n/a", LOWER(TRIM($X46))&lt;&gt;"na", SUMPRODUCT(--(UPPER(TRIM($X$2:$X$518))=UPPER(TRIM($X46))), --(UPPER(TRIM($B$2:$B$518))="YES"), --(UPPER(TRIM($G$2:$G$518)&amp;TRIM($I$2:$I$518)&amp;TRIM($J$2:$J$518))&lt;&gt;UPPER(TRIM($G46)&amp;TRIM($I46)&amp;TRIM($J46))))&gt;0), AND($Y46&lt;&gt;"", LOWER(TRIM($Y46))&lt;&gt;"n/a", LOWER(TRIM($Y46))&lt;&gt;"na", SUMPRODUCT(--(UPPER(SUBSTITUTE(SUBSTITUTE(TRIM($Y$2:$Y$518),":",""),"-",""))=UPPER(SUBSTITUTE(SUBSTITUTE(TRIM($Y46),":",""),"-",""))), --(UPPER(TRIM($B$2:$B$518))="YES"), --(UPPER(TRIM($G$2:$G$518)&amp;TRIM($I$2:$I$518)&amp;TRIM($J$2:$J$518))&lt;&gt;UPPER(TRIM($G46)&amp;TRIM($I46)&amp;TRIM($J46))))&gt;0), AND($AB46&lt;&gt;"", LOWER(TRIM($AB46))&lt;&gt;"n/a", LOWER(TRIM($AB46))&lt;&gt;"na", SUMPRODUCT(--(UPPER(TRIM($AB$2:$AB$518))=UPPER(TRIM($AB46))), --(UPPER(TRIM($B$2:$B$518))="YES"), --(UPPER(TRIM($G$2:$G$518)&amp;TRIM($I$2:$I$518)&amp;TRIM($J$2:$J$518))&lt;&gt;UPPER(TRIM($G46)&amp;TRIM($I46)&amp;TRIM($J46))))&gt;0), AND($AH46&lt;&gt;"", LOWER(TRIM($AH46))&lt;&gt;"n/a", LOWER(TRIM($AH46))&lt;&gt;"na", SUMPRODUCT(--(UPPER(SUBSTITUTE(SUBSTITUTE(TRIM($AH$2:$AH$518),":",""),"-",""))=UPPER(SUBSTITUTE(SUBSTITUTE(TRIM($AH46),":",""),"-",""))), --(UPPER(TRIM($B$2:$B$518))="YES"), --(UPPER(TRIM($G$2:$G$518)&amp;TRIM($I$2:$I$518)&amp;TRIM($J$2:$J$518))&lt;&gt;UPPER(TRIM($G46)&amp;TRIM($I46)&amp;TRIM($J46))))&gt;0), AND($AP46&lt;&gt;"", LOWER(TRIM($AP46))&lt;&gt;"n/a", LOWER(TRIM($AP46))&lt;&gt;"na", SUMPRODUCT(--(UPPER(TRIM($AP$2:$AP$518))=UPPER(TRIM($AP46))), --(UPPER(TRIM($B$2:$B$518))="YES"), --(UPPER(TRIM($G$2:$G$518)&amp;TRIM($I$2:$I$518)&amp;TRIM($J$2:$J$518))&lt;&gt;UPPER(TRIM($G46)&amp;TRIM($I46)&amp;TRIM($J46))))&gt;0), AND($AQ46&lt;&gt;"", LOWER(TRIM($AQ46))&lt;&gt;"n/a", LOWER(TRIM($AQ46))&lt;&gt;"na", SUMPRODUCT(--(UPPER(TRIM($AQ$2:$AQ$518))=UPPER(TRIM($AQ46))), --(UPPER(TRIM($B$2:$B$518))="YES"), --(UPPER(TRIM($G$2:$G$518)&amp;TRIM($I$2:$I$518)&amp;TRIM($J$2:$J$518))&lt;&gt;UPPER(TRIM($G46)&amp;TRIM($I46)&amp;TRIM($J46))))&gt;0)), "Yes", "No"))</f>
        <v/>
      </c>
      <c r="G46" t="inlineStr">
        <is>
          <t>NSUH - PSP</t>
        </is>
      </c>
      <c r="H46" t="inlineStr">
        <is>
          <t>NSUH - PSP</t>
        </is>
      </c>
      <c r="I46" t="inlineStr">
        <is>
          <t>Main ORs - PSP - 2nd Floor</t>
        </is>
      </c>
      <c r="U46" t="inlineStr">
        <is>
          <t>Dr. Palilla, Timothy W. Seeberger</t>
        </is>
      </c>
      <c r="V46" t="inlineStr">
        <is>
          <t>WMH300OPR360</t>
        </is>
      </c>
      <c r="W46" t="inlineStr">
        <is>
          <t>MEDSG2425F-0178</t>
        </is>
      </c>
      <c r="AH46" t="inlineStr">
        <is>
          <t>000D050AA853</t>
        </is>
      </c>
      <c r="CD46">
        <f>IF($Y46="","",IF((IF(AND($BR46&lt;&gt;"Yes",$BR46&lt;&gt;"N/A"),"Power Cable, ","")&amp;IF(AND($BS46&lt;&gt;"Yes",$BS46&lt;&gt;"N/A"),"Battery, ","")&amp;IF(AND($AD46&lt;&gt;"Yes",$AD46&lt;&gt;"N/A"),"Firmware Download, ","")&amp;IF(AND(OR($AD46="Yes",$AD46="N/A"),$AE46&lt;&gt;"Yes",$AE46&lt;&gt;"N/A"),"Firmware Install, ","")&amp;IF(AND($CB46&lt;&gt;"Yes",$CB46&lt;&gt;"N/A"),"Device ID, ","")&amp;IF(AND($CC46&lt;&gt;"Yes",$CC46&lt;&gt;"N/A"),"Epic Beans Relay, ",""))="","",LEFT(IF(AND($BR46&lt;&gt;"Yes",$BR46&lt;&gt;"N/A"),"Power Cable, ","")&amp;IF(AND($BS46&lt;&gt;"Yes",$BS46&lt;&gt;"N/A"),"Battery, ","")&amp;IF(AND($AD46&lt;&gt;"Yes",$AD46&lt;&gt;"N/A"),"Firmware Download, ","")&amp;IF(AND(OR($AD46="Yes",$AD46="N/A"),$AE46&lt;&gt;"Yes",$AE46&lt;&gt;"N/A"),"Firmware Install, ","")&amp;IF(AND($CB46&lt;&gt;"Yes",$CB46&lt;&gt;"N/A"),"Device ID, ","")&amp;IF(AND($CC46&lt;&gt;"Yes",$CC46&lt;&gt;"N/A"),"Epic Beans Relay, ",""),LEN(IF(AND($BR46&lt;&gt;"Yes",$BR46&lt;&gt;"N/A"),"Power Cable, ","")&amp;IF(AND($BS46&lt;&gt;"Yes",$BS46&lt;&gt;"N/A"),"Battery, ","")&amp;IF(AND($AD46&lt;&gt;"Yes",$AD46&lt;&gt;"N/A"),"Firmware Download, ","")&amp;IF(AND(OR($AD46="Yes",$AD46="N/A"),$AE46&lt;&gt;"Yes",$AE46&lt;&gt;"N/A"),"Firmware Install, ","")&amp;IF(AND($CB46&lt;&gt;"Yes",$CB46&lt;&gt;"N/A"),"Device ID, ","")&amp;IF(AND($CC46&lt;&gt;"Yes",$CC46&lt;&gt;"N/A"),"Epic Beans Relay, ",""))-2)))</f>
        <v/>
      </c>
      <c r="CE46">
        <f>IF($Y46="","",IF($CD46="","Yes","Blocked"))</f>
        <v/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W46">
        <f>IF($S46="","",IF(UPPER(TRIM($S46))&lt;&gt;"PASS","",IF(LEN(TRIM($BY46))&gt;0,"NOTES_PRESENT",IF(LEN(TRIM($T46))=0,"SET_NA",IF(OR(LOWER(TRIM($T46))="na",LOWER(TRIM($T46))="n/a"),"OK","MANUAL_OVERRIDE")))))</f>
        <v/>
      </c>
    </row>
    <row r="47">
      <c r="A47" t="inlineStr">
        <is>
          <t>Neuron Cybernet</t>
        </is>
      </c>
      <c r="B47" s="51" t="inlineStr">
        <is>
          <t>Yes</t>
        </is>
      </c>
      <c r="C47" t="inlineStr">
        <is>
          <t>Yes</t>
        </is>
      </c>
      <c r="D47">
        <f>IF($B47&lt;&gt;"Yes","",IF($C47="No","Yes",IF($C47="Yes","No","")))</f>
        <v/>
      </c>
      <c r="E47">
        <f>IF($A47="","",IF(OR(AND($V47&lt;&gt;"",LOWER(TRIM($V47))&lt;&gt;"n/a",LOWER(TRIM($V47))&lt;&gt;"na",SUMPRODUCT(--(UPPER(TRIM($V$2:$V$518))=UPPER(TRIM($V47))),--(TRIM($V$2:$V$518)&lt;&gt;""),--(LOWER(TRIM($V$2:$V$518))&lt;&gt;"n/a"),--(LOWER(TRIM($V$2:$V$518))&lt;&gt;"na"))&gt;1),AND($W47&lt;&gt;"",LOWER(TRIM($W47))&lt;&gt;"n/a",LOWER(TRIM($W47))&lt;&gt;"na",SUMPRODUCT(--(UPPER(TRIM($W$2:$W$518))=UPPER(TRIM($W47))),--(TRIM($W$2:$W$518)&lt;&gt;""),--(LOWER(TRIM($W$2:$W$518))&lt;&gt;"n/a"),--(LOWER(TRIM($W$2:$W$518))&lt;&gt;"na"))&gt;1),AND($X47&lt;&gt;"",LOWER(TRIM($X47))&lt;&gt;"n/a",LOWER(TRIM($X47))&lt;&gt;"na",SUMPRODUCT(--(UPPER(TRIM($X$2:$X$518))=UPPER(TRIM($X47))),--(TRIM($X$2:$X$518)&lt;&gt;""),--(LOWER(TRIM($X$2:$X$518))&lt;&gt;"n/a"),--(LOWER(TRIM($X$2:$X$518))&lt;&gt;"na"))&gt;1),AND($Y47&lt;&gt;"",LOWER(TRIM($Y47))&lt;&gt;"n/a",LOWER(TRIM($Y47))&lt;&gt;"na",SUMPRODUCT(--(UPPER(SUBSTITUTE(SUBSTITUTE(TRIM($Y$2:$Y$518),":",""),"-",""))=UPPER(SUBSTITUTE(SUBSTITUTE(TRIM($Y47),":",""),"-",""))),--(TRIM($Y$2:$Y$518)&lt;&gt;""),--(LOWER(TRIM($Y$2:$Y$518))&lt;&gt;"n/a"),--(LOWER(TRIM($Y$2:$Y$518))&lt;&gt;"na"))&gt;1),AND($AB47&lt;&gt;"",LOWER(TRIM($AB47))&lt;&gt;"n/a",LOWER(TRIM($AB47))&lt;&gt;"na",SUMPRODUCT(--(UPPER(TRIM($AB$2:$AB$518))=UPPER(TRIM($AB47))),--(TRIM($AB$2:$AB$518)&lt;&gt;""),--(LOWER(TRIM($AB$2:$AB$518))&lt;&gt;"n/a"),--(LOWER(TRIM($AB$2:$AB$518))&lt;&gt;"na"))&gt;1),AND($AH47&lt;&gt;"",LOWER(TRIM($AH47))&lt;&gt;"n/a",LOWER(TRIM($AH47))&lt;&gt;"na",SUMPRODUCT(--(UPPER(SUBSTITUTE(SUBSTITUTE(TRIM($AH$2:$AH$518),":",""),"-",""))=UPPER(SUBSTITUTE(SUBSTITUTE(TRIM($AH47),":",""),"-",""))),--(TRIM($AH$2:$AH$518)&lt;&gt;""),--(LOWER(TRIM($AH$2:$AH$518))&lt;&gt;"n/a"),--(LOWER(TRIM($AH$2:$AH$518))&lt;&gt;"na"))&gt;1),AND($AP47&lt;&gt;"",LOWER(TRIM($AP47))&lt;&gt;"n/a",LOWER(TRIM($AP47))&lt;&gt;"na",SUMPRODUCT(--(UPPER(TRIM($AP$2:$AP$518))=UPPER(TRIM($AP47))),--(TRIM($AP$2:$AP$518)&lt;&gt;""),--(LOWER(TRIM($AP$2:$AP$518))&lt;&gt;"n/a"),--(LOWER(TRIM($AP$2:$AP$518))&lt;&gt;"na"))&gt;1),AND($AQ47&lt;&gt;"",LOWER(TRIM($AQ47))&lt;&gt;"n/a",LOWER(TRIM($AQ47))&lt;&gt;"na",SUMPRODUCT(--(UPPER(TRIM($AQ$2:$AQ$518))=UPPER(TRIM($AQ47))),--(TRIM($AQ$2:$AQ$518)&lt;&gt;""),--(LOWER(TRIM($AQ$2:$AQ$518))&lt;&gt;"n/a"),--(LOWER(TRIM($AQ$2:$AQ$518))&lt;&gt;"na"))&gt;1)),"Yes","No"))</f>
        <v/>
      </c>
      <c r="F47">
        <f>IF(UPPER(TRIM($B47))&lt;&gt;"YES","", IF(OR(AND($V47&lt;&gt;"", LOWER(TRIM($V47))&lt;&gt;"n/a", LOWER(TRIM($V47))&lt;&gt;"na", SUMPRODUCT(--(UPPER(TRIM($V$2:$V$518))=UPPER(TRIM($V47))), --(UPPER(TRIM($B$2:$B$518))="YES"), --(UPPER(TRIM($G$2:$G$518)&amp;TRIM($I$2:$I$518)&amp;TRIM($J$2:$J$518))&lt;&gt;UPPER(TRIM($G47)&amp;TRIM($I47)&amp;TRIM($J47))))&gt;0), AND($W47&lt;&gt;"", LOWER(TRIM($W47))&lt;&gt;"n/a", LOWER(TRIM($W47))&lt;&gt;"na", SUMPRODUCT(--(UPPER(TRIM($W$2:$W$518))=UPPER(TRIM($W47))), --(UPPER(TRIM($B$2:$B$518))="YES"), --(UPPER(TRIM($G$2:$G$518)&amp;TRIM($I$2:$I$518)&amp;TRIM($J$2:$J$518))&lt;&gt;UPPER(TRIM($G47)&amp;TRIM($I47)&amp;TRIM($J47))))&gt;0), AND($X47&lt;&gt;"", LOWER(TRIM($X47))&lt;&gt;"n/a", LOWER(TRIM($X47))&lt;&gt;"na", SUMPRODUCT(--(UPPER(TRIM($X$2:$X$518))=UPPER(TRIM($X47))), --(UPPER(TRIM($B$2:$B$518))="YES"), --(UPPER(TRIM($G$2:$G$518)&amp;TRIM($I$2:$I$518)&amp;TRIM($J$2:$J$518))&lt;&gt;UPPER(TRIM($G47)&amp;TRIM($I47)&amp;TRIM($J47))))&gt;0), AND($Y47&lt;&gt;"", LOWER(TRIM($Y47))&lt;&gt;"n/a", LOWER(TRIM($Y47))&lt;&gt;"na", SUMPRODUCT(--(UPPER(SUBSTITUTE(SUBSTITUTE(TRIM($Y$2:$Y$518),":",""),"-",""))=UPPER(SUBSTITUTE(SUBSTITUTE(TRIM($Y47),":",""),"-",""))), --(UPPER(TRIM($B$2:$B$518))="YES"), --(UPPER(TRIM($G$2:$G$518)&amp;TRIM($I$2:$I$518)&amp;TRIM($J$2:$J$518))&lt;&gt;UPPER(TRIM($G47)&amp;TRIM($I47)&amp;TRIM($J47))))&gt;0), AND($AB47&lt;&gt;"", LOWER(TRIM($AB47))&lt;&gt;"n/a", LOWER(TRIM($AB47))&lt;&gt;"na", SUMPRODUCT(--(UPPER(TRIM($AB$2:$AB$518))=UPPER(TRIM($AB47))), --(UPPER(TRIM($B$2:$B$518))="YES"), --(UPPER(TRIM($G$2:$G$518)&amp;TRIM($I$2:$I$518)&amp;TRIM($J$2:$J$518))&lt;&gt;UPPER(TRIM($G47)&amp;TRIM($I47)&amp;TRIM($J47))))&gt;0), AND($AH47&lt;&gt;"", LOWER(TRIM($AH47))&lt;&gt;"n/a", LOWER(TRIM($AH47))&lt;&gt;"na", SUMPRODUCT(--(UPPER(SUBSTITUTE(SUBSTITUTE(TRIM($AH$2:$AH$518),":",""),"-",""))=UPPER(SUBSTITUTE(SUBSTITUTE(TRIM($AH47),":",""),"-",""))), --(UPPER(TRIM($B$2:$B$518))="YES"), --(UPPER(TRIM($G$2:$G$518)&amp;TRIM($I$2:$I$518)&amp;TRIM($J$2:$J$518))&lt;&gt;UPPER(TRIM($G47)&amp;TRIM($I47)&amp;TRIM($J47))))&gt;0), AND($AP47&lt;&gt;"", LOWER(TRIM($AP47))&lt;&gt;"n/a", LOWER(TRIM($AP47))&lt;&gt;"na", SUMPRODUCT(--(UPPER(TRIM($AP$2:$AP$518))=UPPER(TRIM($AP47))), --(UPPER(TRIM($B$2:$B$518))="YES"), --(UPPER(TRIM($G$2:$G$518)&amp;TRIM($I$2:$I$518)&amp;TRIM($J$2:$J$518))&lt;&gt;UPPER(TRIM($G47)&amp;TRIM($I47)&amp;TRIM($J47))))&gt;0), AND($AQ47&lt;&gt;"", LOWER(TRIM($AQ47))&lt;&gt;"n/a", LOWER(TRIM($AQ47))&lt;&gt;"na", SUMPRODUCT(--(UPPER(TRIM($AQ$2:$AQ$518))=UPPER(TRIM($AQ47))), --(UPPER(TRIM($B$2:$B$518))="YES"), --(UPPER(TRIM($G$2:$G$518)&amp;TRIM($I$2:$I$518)&amp;TRIM($J$2:$J$518))&lt;&gt;UPPER(TRIM($G47)&amp;TRIM($I47)&amp;TRIM($J47))))&gt;0)), "Yes", "No"))</f>
        <v/>
      </c>
      <c r="G47" t="inlineStr">
        <is>
          <t>NSUH - PSP</t>
        </is>
      </c>
      <c r="H47" t="inlineStr">
        <is>
          <t>NSUH - PSP</t>
        </is>
      </c>
      <c r="I47" t="inlineStr">
        <is>
          <t>Main ORs - PSP - 2nd Floor</t>
        </is>
      </c>
      <c r="J47" t="inlineStr">
        <is>
          <t>OR 9</t>
        </is>
      </c>
      <c r="L47" s="18" t="n">
        <v>46095</v>
      </c>
      <c r="U47" t="inlineStr">
        <is>
          <t>Dr. Palilla, Timothy W. Seeberger</t>
        </is>
      </c>
      <c r="V47" t="inlineStr">
        <is>
          <t>WMH300OPR363</t>
        </is>
      </c>
      <c r="W47" t="inlineStr">
        <is>
          <t>medsg2425f-0027</t>
        </is>
      </c>
      <c r="X47" t="inlineStr">
        <is>
          <t>NSUH-MACH-R</t>
        </is>
      </c>
      <c r="Y47" t="inlineStr">
        <is>
          <t>A0F5097FEA85</t>
        </is>
      </c>
      <c r="AB47" t="inlineStr">
        <is>
          <t>WA24406831</t>
        </is>
      </c>
      <c r="AH47" t="inlineStr">
        <is>
          <t>000D050AA51D</t>
        </is>
      </c>
      <c r="AI47" t="inlineStr">
        <is>
          <t>Anesthesia Machine</t>
        </is>
      </c>
      <c r="AJ47" t="n">
        <v>452539</v>
      </c>
      <c r="AL47" t="inlineStr">
        <is>
          <t>7202-686 / 7202-687</t>
        </is>
      </c>
      <c r="AM47" t="inlineStr">
        <is>
          <t>GE Healthcare</t>
        </is>
      </c>
      <c r="AN47" t="inlineStr">
        <is>
          <t>Aisys CS2</t>
        </is>
      </c>
      <c r="AP47" t="inlineStr">
        <is>
          <t>010084068210229221APWC0263811230914</t>
        </is>
      </c>
      <c r="AQ47" t="inlineStr">
        <is>
          <t>010084068210229221APWC0263811230914</t>
        </is>
      </c>
      <c r="AS47" t="inlineStr">
        <is>
          <t>GE Canvas 1000: 833-08, SPEC999015 / GE G1500213: 133-08C, GE B850</t>
        </is>
      </c>
      <c r="AT47" t="inlineStr">
        <is>
          <t>B1-CFU</t>
        </is>
      </c>
      <c r="AX47" t="inlineStr">
        <is>
          <t>GE Canvas 1000: 134HA : 091181388 SPEC999015 / E139956-T Type C02</t>
        </is>
      </c>
      <c r="AY47" t="inlineStr">
        <is>
          <t>010084068210229221APWC0263811230914</t>
        </is>
      </c>
      <c r="BH47" t="n">
        <v>115200</v>
      </c>
      <c r="BI47" t="n">
        <v>19200</v>
      </c>
      <c r="BM47" t="inlineStr">
        <is>
          <t>E81</t>
        </is>
      </c>
      <c r="BN47" t="inlineStr">
        <is>
          <t>O71</t>
        </is>
      </c>
      <c r="CD47">
        <f>IF($Y47="","",IF((IF(AND($BR47&lt;&gt;"Yes",$BR47&lt;&gt;"N/A"),"Power Cable, ","")&amp;IF(AND($BS47&lt;&gt;"Yes",$BS47&lt;&gt;"N/A"),"Battery, ","")&amp;IF(AND($AD47&lt;&gt;"Yes",$AD47&lt;&gt;"N/A"),"Firmware Download, ","")&amp;IF(AND(OR($AD47="Yes",$AD47="N/A"),$AE47&lt;&gt;"Yes",$AE47&lt;&gt;"N/A"),"Firmware Install, ","")&amp;IF(AND($CB47&lt;&gt;"Yes",$CB47&lt;&gt;"N/A"),"Device ID, ","")&amp;IF(AND($CC47&lt;&gt;"Yes",$CC47&lt;&gt;"N/A"),"Epic Beans Relay, ",""))="","",LEFT(IF(AND($BR47&lt;&gt;"Yes",$BR47&lt;&gt;"N/A"),"Power Cable, ","")&amp;IF(AND($BS47&lt;&gt;"Yes",$BS47&lt;&gt;"N/A"),"Battery, ","")&amp;IF(AND($AD47&lt;&gt;"Yes",$AD47&lt;&gt;"N/A"),"Firmware Download, ","")&amp;IF(AND(OR($AD47="Yes",$AD47="N/A"),$AE47&lt;&gt;"Yes",$AE47&lt;&gt;"N/A"),"Firmware Install, ","")&amp;IF(AND($CB47&lt;&gt;"Yes",$CB47&lt;&gt;"N/A"),"Device ID, ","")&amp;IF(AND($CC47&lt;&gt;"Yes",$CC47&lt;&gt;"N/A"),"Epic Beans Relay, ",""),LEN(IF(AND($BR47&lt;&gt;"Yes",$BR47&lt;&gt;"N/A"),"Power Cable, ","")&amp;IF(AND($BS47&lt;&gt;"Yes",$BS47&lt;&gt;"N/A"),"Battery, ","")&amp;IF(AND($AD47&lt;&gt;"Yes",$AD47&lt;&gt;"N/A"),"Firmware Download, ","")&amp;IF(AND(OR($AD47="Yes",$AD47="N/A"),$AE47&lt;&gt;"Yes",$AE47&lt;&gt;"N/A"),"Firmware Install, ","")&amp;IF(AND($CB47&lt;&gt;"Yes",$CB47&lt;&gt;"N/A"),"Device ID, ","")&amp;IF(AND($CC47&lt;&gt;"Yes",$CC47&lt;&gt;"N/A"),"Epic Beans Relay, ",""))-2)))</f>
        <v/>
      </c>
      <c r="CE47">
        <f>IF($Y47="","",IF($CD47="","Yes","Blocked"))</f>
        <v/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W47">
        <f>IF($S47="","",IF(UPPER(TRIM($S47))&lt;&gt;"PASS","",IF(LEN(TRIM($BY47))&gt;0,"NOTES_PRESENT",IF(LEN(TRIM($T47))=0,"SET_NA",IF(OR(LOWER(TRIM($T47))="na",LOWER(TRIM($T47))="n/a"),"OK","MANUAL_OVERRIDE")))))</f>
        <v/>
      </c>
    </row>
    <row r="48">
      <c r="A48" t="inlineStr">
        <is>
          <t>Cybernet</t>
        </is>
      </c>
      <c r="B48" s="51" t="inlineStr">
        <is>
          <t>No</t>
        </is>
      </c>
      <c r="C48" t="inlineStr">
        <is>
          <t>No</t>
        </is>
      </c>
      <c r="D48">
        <f>IF($B48&lt;&gt;"Yes","",IF($C48="No","Yes",IF($C48="Yes","No","")))</f>
        <v/>
      </c>
      <c r="E48">
        <f>IF($A48="","",IF(OR(AND($V48&lt;&gt;"",LOWER(TRIM($V48))&lt;&gt;"n/a",LOWER(TRIM($V48))&lt;&gt;"na",SUMPRODUCT(--(UPPER(TRIM($V$2:$V$518))=UPPER(TRIM($V48))),--(TRIM($V$2:$V$518)&lt;&gt;""),--(LOWER(TRIM($V$2:$V$518))&lt;&gt;"n/a"),--(LOWER(TRIM($V$2:$V$518))&lt;&gt;"na"))&gt;1),AND($W48&lt;&gt;"",LOWER(TRIM($W48))&lt;&gt;"n/a",LOWER(TRIM($W48))&lt;&gt;"na",SUMPRODUCT(--(UPPER(TRIM($W$2:$W$518))=UPPER(TRIM($W48))),--(TRIM($W$2:$W$518)&lt;&gt;""),--(LOWER(TRIM($W$2:$W$518))&lt;&gt;"n/a"),--(LOWER(TRIM($W$2:$W$518))&lt;&gt;"na"))&gt;1),AND($X48&lt;&gt;"",LOWER(TRIM($X48))&lt;&gt;"n/a",LOWER(TRIM($X48))&lt;&gt;"na",SUMPRODUCT(--(UPPER(TRIM($X$2:$X$518))=UPPER(TRIM($X48))),--(TRIM($X$2:$X$518)&lt;&gt;""),--(LOWER(TRIM($X$2:$X$518))&lt;&gt;"n/a"),--(LOWER(TRIM($X$2:$X$518))&lt;&gt;"na"))&gt;1),AND($Y48&lt;&gt;"",LOWER(TRIM($Y48))&lt;&gt;"n/a",LOWER(TRIM($Y48))&lt;&gt;"na",SUMPRODUCT(--(UPPER(SUBSTITUTE(SUBSTITUTE(TRIM($Y$2:$Y$518),":",""),"-",""))=UPPER(SUBSTITUTE(SUBSTITUTE(TRIM($Y48),":",""),"-",""))),--(TRIM($Y$2:$Y$518)&lt;&gt;""),--(LOWER(TRIM($Y$2:$Y$518))&lt;&gt;"n/a"),--(LOWER(TRIM($Y$2:$Y$518))&lt;&gt;"na"))&gt;1),AND($AB48&lt;&gt;"",LOWER(TRIM($AB48))&lt;&gt;"n/a",LOWER(TRIM($AB48))&lt;&gt;"na",SUMPRODUCT(--(UPPER(TRIM($AB$2:$AB$518))=UPPER(TRIM($AB48))),--(TRIM($AB$2:$AB$518)&lt;&gt;""),--(LOWER(TRIM($AB$2:$AB$518))&lt;&gt;"n/a"),--(LOWER(TRIM($AB$2:$AB$518))&lt;&gt;"na"))&gt;1),AND($AH48&lt;&gt;"",LOWER(TRIM($AH48))&lt;&gt;"n/a",LOWER(TRIM($AH48))&lt;&gt;"na",SUMPRODUCT(--(UPPER(SUBSTITUTE(SUBSTITUTE(TRIM($AH$2:$AH$518),":",""),"-",""))=UPPER(SUBSTITUTE(SUBSTITUTE(TRIM($AH48),":",""),"-",""))),--(TRIM($AH$2:$AH$518)&lt;&gt;""),--(LOWER(TRIM($AH$2:$AH$518))&lt;&gt;"n/a"),--(LOWER(TRIM($AH$2:$AH$518))&lt;&gt;"na"))&gt;1),AND($AP48&lt;&gt;"",LOWER(TRIM($AP48))&lt;&gt;"n/a",LOWER(TRIM($AP48))&lt;&gt;"na",SUMPRODUCT(--(UPPER(TRIM($AP$2:$AP$518))=UPPER(TRIM($AP48))),--(TRIM($AP$2:$AP$518)&lt;&gt;""),--(LOWER(TRIM($AP$2:$AP$518))&lt;&gt;"n/a"),--(LOWER(TRIM($AP$2:$AP$518))&lt;&gt;"na"))&gt;1),AND($AQ48&lt;&gt;"",LOWER(TRIM($AQ48))&lt;&gt;"n/a",LOWER(TRIM($AQ48))&lt;&gt;"na",SUMPRODUCT(--(UPPER(TRIM($AQ$2:$AQ$518))=UPPER(TRIM($AQ48))),--(TRIM($AQ$2:$AQ$518)&lt;&gt;""),--(LOWER(TRIM($AQ$2:$AQ$518))&lt;&gt;"n/a"),--(LOWER(TRIM($AQ$2:$AQ$518))&lt;&gt;"na"))&gt;1)),"Yes","No"))</f>
        <v/>
      </c>
      <c r="F48">
        <f>IF(UPPER(TRIM($B48))&lt;&gt;"YES","", IF(OR(AND($V48&lt;&gt;"", LOWER(TRIM($V48))&lt;&gt;"n/a", LOWER(TRIM($V48))&lt;&gt;"na", SUMPRODUCT(--(UPPER(TRIM($V$2:$V$518))=UPPER(TRIM($V48))), --(UPPER(TRIM($B$2:$B$518))="YES"), --(UPPER(TRIM($G$2:$G$518)&amp;TRIM($I$2:$I$518)&amp;TRIM($J$2:$J$518))&lt;&gt;UPPER(TRIM($G48)&amp;TRIM($I48)&amp;TRIM($J48))))&gt;0), AND($W48&lt;&gt;"", LOWER(TRIM($W48))&lt;&gt;"n/a", LOWER(TRIM($W48))&lt;&gt;"na", SUMPRODUCT(--(UPPER(TRIM($W$2:$W$518))=UPPER(TRIM($W48))), --(UPPER(TRIM($B$2:$B$518))="YES"), --(UPPER(TRIM($G$2:$G$518)&amp;TRIM($I$2:$I$518)&amp;TRIM($J$2:$J$518))&lt;&gt;UPPER(TRIM($G48)&amp;TRIM($I48)&amp;TRIM($J48))))&gt;0), AND($X48&lt;&gt;"", LOWER(TRIM($X48))&lt;&gt;"n/a", LOWER(TRIM($X48))&lt;&gt;"na", SUMPRODUCT(--(UPPER(TRIM($X$2:$X$518))=UPPER(TRIM($X48))), --(UPPER(TRIM($B$2:$B$518))="YES"), --(UPPER(TRIM($G$2:$G$518)&amp;TRIM($I$2:$I$518)&amp;TRIM($J$2:$J$518))&lt;&gt;UPPER(TRIM($G48)&amp;TRIM($I48)&amp;TRIM($J48))))&gt;0), AND($Y48&lt;&gt;"", LOWER(TRIM($Y48))&lt;&gt;"n/a", LOWER(TRIM($Y48))&lt;&gt;"na", SUMPRODUCT(--(UPPER(SUBSTITUTE(SUBSTITUTE(TRIM($Y$2:$Y$518),":",""),"-",""))=UPPER(SUBSTITUTE(SUBSTITUTE(TRIM($Y48),":",""),"-",""))), --(UPPER(TRIM($B$2:$B$518))="YES"), --(UPPER(TRIM($G$2:$G$518)&amp;TRIM($I$2:$I$518)&amp;TRIM($J$2:$J$518))&lt;&gt;UPPER(TRIM($G48)&amp;TRIM($I48)&amp;TRIM($J48))))&gt;0), AND($AB48&lt;&gt;"", LOWER(TRIM($AB48))&lt;&gt;"n/a", LOWER(TRIM($AB48))&lt;&gt;"na", SUMPRODUCT(--(UPPER(TRIM($AB$2:$AB$518))=UPPER(TRIM($AB48))), --(UPPER(TRIM($B$2:$B$518))="YES"), --(UPPER(TRIM($G$2:$G$518)&amp;TRIM($I$2:$I$518)&amp;TRIM($J$2:$J$518))&lt;&gt;UPPER(TRIM($G48)&amp;TRIM($I48)&amp;TRIM($J48))))&gt;0), AND($AH48&lt;&gt;"", LOWER(TRIM($AH48))&lt;&gt;"n/a", LOWER(TRIM($AH48))&lt;&gt;"na", SUMPRODUCT(--(UPPER(SUBSTITUTE(SUBSTITUTE(TRIM($AH$2:$AH$518),":",""),"-",""))=UPPER(SUBSTITUTE(SUBSTITUTE(TRIM($AH48),":",""),"-",""))), --(UPPER(TRIM($B$2:$B$518))="YES"), --(UPPER(TRIM($G$2:$G$518)&amp;TRIM($I$2:$I$518)&amp;TRIM($J$2:$J$518))&lt;&gt;UPPER(TRIM($G48)&amp;TRIM($I48)&amp;TRIM($J48))))&gt;0), AND($AP48&lt;&gt;"", LOWER(TRIM($AP48))&lt;&gt;"n/a", LOWER(TRIM($AP48))&lt;&gt;"na", SUMPRODUCT(--(UPPER(TRIM($AP$2:$AP$518))=UPPER(TRIM($AP48))), --(UPPER(TRIM($B$2:$B$518))="YES"), --(UPPER(TRIM($G$2:$G$518)&amp;TRIM($I$2:$I$518)&amp;TRIM($J$2:$J$518))&lt;&gt;UPPER(TRIM($G48)&amp;TRIM($I48)&amp;TRIM($J48))))&gt;0), AND($AQ48&lt;&gt;"", LOWER(TRIM($AQ48))&lt;&gt;"n/a", LOWER(TRIM($AQ48))&lt;&gt;"na", SUMPRODUCT(--(UPPER(TRIM($AQ$2:$AQ$518))=UPPER(TRIM($AQ48))), --(UPPER(TRIM($B$2:$B$518))="YES"), --(UPPER(TRIM($G$2:$G$518)&amp;TRIM($I$2:$I$518)&amp;TRIM($J$2:$J$518))&lt;&gt;UPPER(TRIM($G48)&amp;TRIM($I48)&amp;TRIM($J48))))&gt;0)), "Yes", "No"))</f>
        <v/>
      </c>
      <c r="G48" t="inlineStr">
        <is>
          <t>NSUH - PSP</t>
        </is>
      </c>
      <c r="H48" t="inlineStr">
        <is>
          <t>NSUH - PSP</t>
        </is>
      </c>
      <c r="I48" t="inlineStr">
        <is>
          <t>Main ORs - PSP - 2nd Floor</t>
        </is>
      </c>
      <c r="L48" s="18" t="n">
        <v>46095</v>
      </c>
      <c r="U48" t="inlineStr">
        <is>
          <t>Dr. Palilla, Timothy W. Seeberger</t>
        </is>
      </c>
      <c r="V48" t="inlineStr">
        <is>
          <t>WMH300OPR364</t>
        </is>
      </c>
      <c r="W48" t="inlineStr">
        <is>
          <t>MEDSG2425F-0145</t>
        </is>
      </c>
      <c r="X48" t="inlineStr">
        <is>
          <t>NSUH-MACH-NN</t>
        </is>
      </c>
      <c r="Y48" t="inlineStr">
        <is>
          <t>A0F5097FE9DE</t>
        </is>
      </c>
      <c r="AB48" t="inlineStr">
        <is>
          <t>WA24406827</t>
        </is>
      </c>
      <c r="AH48" t="inlineStr">
        <is>
          <t>000D050AA6ED</t>
        </is>
      </c>
      <c r="AI48" t="inlineStr">
        <is>
          <t>Anesthesia Machine</t>
        </is>
      </c>
      <c r="AJ48" t="n">
        <v>62253</v>
      </c>
      <c r="AL48" t="inlineStr">
        <is>
          <t>4101-646/647/649</t>
        </is>
      </c>
      <c r="AP48" t="inlineStr">
        <is>
          <t>ASBJ-0225</t>
        </is>
      </c>
      <c r="AQ48" t="inlineStr">
        <is>
          <t>ASBJ-0225</t>
        </is>
      </c>
      <c r="AS48" t="inlineStr">
        <is>
          <t>B1-CAB GE &amp; USB Adapter / SPEC0999015 &amp; 833-08</t>
        </is>
      </c>
      <c r="AT48" t="inlineStr">
        <is>
          <t>B1-CFB</t>
        </is>
      </c>
      <c r="AX48" t="inlineStr">
        <is>
          <t>GE CARESCAPE 850 DTP121K1697</t>
        </is>
      </c>
      <c r="BC48" t="n">
        <v>407532</v>
      </c>
      <c r="BH48" t="n">
        <v>19200</v>
      </c>
      <c r="BI48" t="n">
        <v>9600</v>
      </c>
      <c r="BM48" t="inlineStr">
        <is>
          <t>E81</t>
        </is>
      </c>
      <c r="BN48" t="inlineStr">
        <is>
          <t>N81</t>
        </is>
      </c>
      <c r="CD48">
        <f>IF($Y48="","",IF((IF(AND($BR48&lt;&gt;"Yes",$BR48&lt;&gt;"N/A"),"Power Cable, ","")&amp;IF(AND($BS48&lt;&gt;"Yes",$BS48&lt;&gt;"N/A"),"Battery, ","")&amp;IF(AND($AD48&lt;&gt;"Yes",$AD48&lt;&gt;"N/A"),"Firmware Download, ","")&amp;IF(AND(OR($AD48="Yes",$AD48="N/A"),$AE48&lt;&gt;"Yes",$AE48&lt;&gt;"N/A"),"Firmware Install, ","")&amp;IF(AND($CB48&lt;&gt;"Yes",$CB48&lt;&gt;"N/A"),"Device ID, ","")&amp;IF(AND($CC48&lt;&gt;"Yes",$CC48&lt;&gt;"N/A"),"Epic Beans Relay, ",""))="","",LEFT(IF(AND($BR48&lt;&gt;"Yes",$BR48&lt;&gt;"N/A"),"Power Cable, ","")&amp;IF(AND($BS48&lt;&gt;"Yes",$BS48&lt;&gt;"N/A"),"Battery, ","")&amp;IF(AND($AD48&lt;&gt;"Yes",$AD48&lt;&gt;"N/A"),"Firmware Download, ","")&amp;IF(AND(OR($AD48="Yes",$AD48="N/A"),$AE48&lt;&gt;"Yes",$AE48&lt;&gt;"N/A"),"Firmware Install, ","")&amp;IF(AND($CB48&lt;&gt;"Yes",$CB48&lt;&gt;"N/A"),"Device ID, ","")&amp;IF(AND($CC48&lt;&gt;"Yes",$CC48&lt;&gt;"N/A"),"Epic Beans Relay, ",""),LEN(IF(AND($BR48&lt;&gt;"Yes",$BR48&lt;&gt;"N/A"),"Power Cable, ","")&amp;IF(AND($BS48&lt;&gt;"Yes",$BS48&lt;&gt;"N/A"),"Battery, ","")&amp;IF(AND($AD48&lt;&gt;"Yes",$AD48&lt;&gt;"N/A"),"Firmware Download, ","")&amp;IF(AND(OR($AD48="Yes",$AD48="N/A"),$AE48&lt;&gt;"Yes",$AE48&lt;&gt;"N/A"),"Firmware Install, ","")&amp;IF(AND($CB48&lt;&gt;"Yes",$CB48&lt;&gt;"N/A"),"Device ID, ","")&amp;IF(AND($CC48&lt;&gt;"Yes",$CC48&lt;&gt;"N/A"),"Epic Beans Relay, ",""))-2)))</f>
        <v/>
      </c>
      <c r="CE48">
        <f>IF($Y48="","",IF($CD48="","Yes","Blocked"))</f>
        <v/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W48">
        <f>IF($S48="","",IF(UPPER(TRIM($S48))&lt;&gt;"PASS","",IF(LEN(TRIM($BY48))&gt;0,"NOTES_PRESENT",IF(LEN(TRIM($T48))=0,"SET_NA",IF(OR(LOWER(TRIM($T48))="na",LOWER(TRIM($T48))="n/a"),"OK","MANUAL_OVERRIDE")))))</f>
        <v/>
      </c>
    </row>
    <row r="49">
      <c r="A49" t="inlineStr">
        <is>
          <t>Neuron Cybernet</t>
        </is>
      </c>
      <c r="B49" s="51" t="inlineStr">
        <is>
          <t>Yes</t>
        </is>
      </c>
      <c r="C49" t="inlineStr">
        <is>
          <t>Yes</t>
        </is>
      </c>
      <c r="D49">
        <f>IF($B49&lt;&gt;"Yes","",IF($C49="No","Yes",IF($C49="Yes","No","")))</f>
        <v/>
      </c>
      <c r="E49">
        <f>IF($A49="","",IF(OR(AND($V49&lt;&gt;"",LOWER(TRIM($V49))&lt;&gt;"n/a",LOWER(TRIM($V49))&lt;&gt;"na",SUMPRODUCT(--(UPPER(TRIM($V$2:$V$518))=UPPER(TRIM($V49))),--(TRIM($V$2:$V$518)&lt;&gt;""),--(LOWER(TRIM($V$2:$V$518))&lt;&gt;"n/a"),--(LOWER(TRIM($V$2:$V$518))&lt;&gt;"na"))&gt;1),AND($W49&lt;&gt;"",LOWER(TRIM($W49))&lt;&gt;"n/a",LOWER(TRIM($W49))&lt;&gt;"na",SUMPRODUCT(--(UPPER(TRIM($W$2:$W$518))=UPPER(TRIM($W49))),--(TRIM($W$2:$W$518)&lt;&gt;""),--(LOWER(TRIM($W$2:$W$518))&lt;&gt;"n/a"),--(LOWER(TRIM($W$2:$W$518))&lt;&gt;"na"))&gt;1),AND($X49&lt;&gt;"",LOWER(TRIM($X49))&lt;&gt;"n/a",LOWER(TRIM($X49))&lt;&gt;"na",SUMPRODUCT(--(UPPER(TRIM($X$2:$X$518))=UPPER(TRIM($X49))),--(TRIM($X$2:$X$518)&lt;&gt;""),--(LOWER(TRIM($X$2:$X$518))&lt;&gt;"n/a"),--(LOWER(TRIM($X$2:$X$518))&lt;&gt;"na"))&gt;1),AND($Y49&lt;&gt;"",LOWER(TRIM($Y49))&lt;&gt;"n/a",LOWER(TRIM($Y49))&lt;&gt;"na",SUMPRODUCT(--(UPPER(SUBSTITUTE(SUBSTITUTE(TRIM($Y$2:$Y$518),":",""),"-",""))=UPPER(SUBSTITUTE(SUBSTITUTE(TRIM($Y49),":",""),"-",""))),--(TRIM($Y$2:$Y$518)&lt;&gt;""),--(LOWER(TRIM($Y$2:$Y$518))&lt;&gt;"n/a"),--(LOWER(TRIM($Y$2:$Y$518))&lt;&gt;"na"))&gt;1),AND($AB49&lt;&gt;"",LOWER(TRIM($AB49))&lt;&gt;"n/a",LOWER(TRIM($AB49))&lt;&gt;"na",SUMPRODUCT(--(UPPER(TRIM($AB$2:$AB$518))=UPPER(TRIM($AB49))),--(TRIM($AB$2:$AB$518)&lt;&gt;""),--(LOWER(TRIM($AB$2:$AB$518))&lt;&gt;"n/a"),--(LOWER(TRIM($AB$2:$AB$518))&lt;&gt;"na"))&gt;1),AND($AH49&lt;&gt;"",LOWER(TRIM($AH49))&lt;&gt;"n/a",LOWER(TRIM($AH49))&lt;&gt;"na",SUMPRODUCT(--(UPPER(SUBSTITUTE(SUBSTITUTE(TRIM($AH$2:$AH$518),":",""),"-",""))=UPPER(SUBSTITUTE(SUBSTITUTE(TRIM($AH49),":",""),"-",""))),--(TRIM($AH$2:$AH$518)&lt;&gt;""),--(LOWER(TRIM($AH$2:$AH$518))&lt;&gt;"n/a"),--(LOWER(TRIM($AH$2:$AH$518))&lt;&gt;"na"))&gt;1),AND($AP49&lt;&gt;"",LOWER(TRIM($AP49))&lt;&gt;"n/a",LOWER(TRIM($AP49))&lt;&gt;"na",SUMPRODUCT(--(UPPER(TRIM($AP$2:$AP$518))=UPPER(TRIM($AP49))),--(TRIM($AP$2:$AP$518)&lt;&gt;""),--(LOWER(TRIM($AP$2:$AP$518))&lt;&gt;"n/a"),--(LOWER(TRIM($AP$2:$AP$518))&lt;&gt;"na"))&gt;1),AND($AQ49&lt;&gt;"",LOWER(TRIM($AQ49))&lt;&gt;"n/a",LOWER(TRIM($AQ49))&lt;&gt;"na",SUMPRODUCT(--(UPPER(TRIM($AQ$2:$AQ$518))=UPPER(TRIM($AQ49))),--(TRIM($AQ$2:$AQ$518)&lt;&gt;""),--(LOWER(TRIM($AQ$2:$AQ$518))&lt;&gt;"n/a"),--(LOWER(TRIM($AQ$2:$AQ$518))&lt;&gt;"na"))&gt;1)),"Yes","No"))</f>
        <v/>
      </c>
      <c r="F49">
        <f>IF(UPPER(TRIM($B49))&lt;&gt;"YES","", IF(OR(AND($V49&lt;&gt;"", LOWER(TRIM($V49))&lt;&gt;"n/a", LOWER(TRIM($V49))&lt;&gt;"na", SUMPRODUCT(--(UPPER(TRIM($V$2:$V$518))=UPPER(TRIM($V49))), --(UPPER(TRIM($B$2:$B$518))="YES"), --(UPPER(TRIM($G$2:$G$518)&amp;TRIM($I$2:$I$518)&amp;TRIM($J$2:$J$518))&lt;&gt;UPPER(TRIM($G49)&amp;TRIM($I49)&amp;TRIM($J49))))&gt;0), AND($W49&lt;&gt;"", LOWER(TRIM($W49))&lt;&gt;"n/a", LOWER(TRIM($W49))&lt;&gt;"na", SUMPRODUCT(--(UPPER(TRIM($W$2:$W$518))=UPPER(TRIM($W49))), --(UPPER(TRIM($B$2:$B$518))="YES"), --(UPPER(TRIM($G$2:$G$518)&amp;TRIM($I$2:$I$518)&amp;TRIM($J$2:$J$518))&lt;&gt;UPPER(TRIM($G49)&amp;TRIM($I49)&amp;TRIM($J49))))&gt;0), AND($X49&lt;&gt;"", LOWER(TRIM($X49))&lt;&gt;"n/a", LOWER(TRIM($X49))&lt;&gt;"na", SUMPRODUCT(--(UPPER(TRIM($X$2:$X$518))=UPPER(TRIM($X49))), --(UPPER(TRIM($B$2:$B$518))="YES"), --(UPPER(TRIM($G$2:$G$518)&amp;TRIM($I$2:$I$518)&amp;TRIM($J$2:$J$518))&lt;&gt;UPPER(TRIM($G49)&amp;TRIM($I49)&amp;TRIM($J49))))&gt;0), AND($Y49&lt;&gt;"", LOWER(TRIM($Y49))&lt;&gt;"n/a", LOWER(TRIM($Y49))&lt;&gt;"na", SUMPRODUCT(--(UPPER(SUBSTITUTE(SUBSTITUTE(TRIM($Y$2:$Y$518),":",""),"-",""))=UPPER(SUBSTITUTE(SUBSTITUTE(TRIM($Y49),":",""),"-",""))), --(UPPER(TRIM($B$2:$B$518))="YES"), --(UPPER(TRIM($G$2:$G$518)&amp;TRIM($I$2:$I$518)&amp;TRIM($J$2:$J$518))&lt;&gt;UPPER(TRIM($G49)&amp;TRIM($I49)&amp;TRIM($J49))))&gt;0), AND($AB49&lt;&gt;"", LOWER(TRIM($AB49))&lt;&gt;"n/a", LOWER(TRIM($AB49))&lt;&gt;"na", SUMPRODUCT(--(UPPER(TRIM($AB$2:$AB$518))=UPPER(TRIM($AB49))), --(UPPER(TRIM($B$2:$B$518))="YES"), --(UPPER(TRIM($G$2:$G$518)&amp;TRIM($I$2:$I$518)&amp;TRIM($J$2:$J$518))&lt;&gt;UPPER(TRIM($G49)&amp;TRIM($I49)&amp;TRIM($J49))))&gt;0), AND($AH49&lt;&gt;"", LOWER(TRIM($AH49))&lt;&gt;"n/a", LOWER(TRIM($AH49))&lt;&gt;"na", SUMPRODUCT(--(UPPER(SUBSTITUTE(SUBSTITUTE(TRIM($AH$2:$AH$518),":",""),"-",""))=UPPER(SUBSTITUTE(SUBSTITUTE(TRIM($AH49),":",""),"-",""))), --(UPPER(TRIM($B$2:$B$518))="YES"), --(UPPER(TRIM($G$2:$G$518)&amp;TRIM($I$2:$I$518)&amp;TRIM($J$2:$J$518))&lt;&gt;UPPER(TRIM($G49)&amp;TRIM($I49)&amp;TRIM($J49))))&gt;0), AND($AP49&lt;&gt;"", LOWER(TRIM($AP49))&lt;&gt;"n/a", LOWER(TRIM($AP49))&lt;&gt;"na", SUMPRODUCT(--(UPPER(TRIM($AP$2:$AP$518))=UPPER(TRIM($AP49))), --(UPPER(TRIM($B$2:$B$518))="YES"), --(UPPER(TRIM($G$2:$G$518)&amp;TRIM($I$2:$I$518)&amp;TRIM($J$2:$J$518))&lt;&gt;UPPER(TRIM($G49)&amp;TRIM($I49)&amp;TRIM($J49))))&gt;0), AND($AQ49&lt;&gt;"", LOWER(TRIM($AQ49))&lt;&gt;"n/a", LOWER(TRIM($AQ49))&lt;&gt;"na", SUMPRODUCT(--(UPPER(TRIM($AQ$2:$AQ$518))=UPPER(TRIM($AQ49))), --(UPPER(TRIM($B$2:$B$518))="YES"), --(UPPER(TRIM($G$2:$G$518)&amp;TRIM($I$2:$I$518)&amp;TRIM($J$2:$J$518))&lt;&gt;UPPER(TRIM($G49)&amp;TRIM($I49)&amp;TRIM($J49))))&gt;0)), "Yes", "No"))</f>
        <v/>
      </c>
      <c r="G49" t="inlineStr">
        <is>
          <t>NSUH - PSP</t>
        </is>
      </c>
      <c r="H49" t="inlineStr">
        <is>
          <t>NSUH - PSP</t>
        </is>
      </c>
      <c r="I49" t="inlineStr">
        <is>
          <t>Main ORs - PSP - 2nd Floor</t>
        </is>
      </c>
      <c r="J49" t="inlineStr">
        <is>
          <t>OR 4</t>
        </is>
      </c>
      <c r="L49" s="18" t="n">
        <v>46095</v>
      </c>
      <c r="U49" t="inlineStr">
        <is>
          <t>Dr. Palilla, Timothy W. Seeberger</t>
        </is>
      </c>
      <c r="V49" t="inlineStr">
        <is>
          <t>WMH300OPR370</t>
        </is>
      </c>
      <c r="W49" t="inlineStr">
        <is>
          <t>MEDSG2425F-0190</t>
        </is>
      </c>
      <c r="X49" t="inlineStr">
        <is>
          <t>NSUH-MACH-T</t>
        </is>
      </c>
      <c r="Y49" t="inlineStr">
        <is>
          <t>A0F5097FDE89</t>
        </is>
      </c>
      <c r="AB49" t="inlineStr">
        <is>
          <t>WA24406217</t>
        </is>
      </c>
      <c r="AH49" t="inlineStr">
        <is>
          <t>000D050AA4AD</t>
        </is>
      </c>
      <c r="AI49" t="inlineStr">
        <is>
          <t>Anesthesia Machine</t>
        </is>
      </c>
      <c r="AJ49" t="n">
        <v>452496</v>
      </c>
      <c r="AL49" t="inlineStr">
        <is>
          <t>7202-170 / 7202-174</t>
        </is>
      </c>
      <c r="AM49" t="inlineStr">
        <is>
          <t>GE Healthcare</t>
        </is>
      </c>
      <c r="AN49" t="inlineStr">
        <is>
          <t>Aisys CS2</t>
        </is>
      </c>
      <c r="AP49" t="inlineStr">
        <is>
          <t>APWC02648</t>
        </is>
      </c>
      <c r="AQ49" s="65" t="inlineStr">
        <is>
          <t>APWC02648</t>
        </is>
      </c>
      <c r="AS49" s="65" t="inlineStr">
        <is>
          <t>GE Canvas 1000: 833-08, SPEC999015 / GE G1500213: 133-08C, GE B850</t>
        </is>
      </c>
      <c r="AT49" t="inlineStr">
        <is>
          <t>B1-CFU</t>
        </is>
      </c>
      <c r="AX49" s="65" t="inlineStr">
        <is>
          <t>GE Canvas 1000: 157HA, / 091181402</t>
        </is>
      </c>
      <c r="AY49" t="inlineStr">
        <is>
          <t>010084068210229221APWC0264811230915</t>
        </is>
      </c>
      <c r="BH49" t="n">
        <v>115200</v>
      </c>
      <c r="BI49" t="n">
        <v>19200</v>
      </c>
      <c r="BM49" t="inlineStr">
        <is>
          <t>E81</t>
        </is>
      </c>
      <c r="BN49" t="inlineStr">
        <is>
          <t>O71</t>
        </is>
      </c>
      <c r="CD49">
        <f>IF($Y49="","",IF((IF(AND($BR49&lt;&gt;"Yes",$BR49&lt;&gt;"N/A"),"Power Cable, ","")&amp;IF(AND($BS49&lt;&gt;"Yes",$BS49&lt;&gt;"N/A"),"Battery, ","")&amp;IF(AND($AD49&lt;&gt;"Yes",$AD49&lt;&gt;"N/A"),"Firmware Download, ","")&amp;IF(AND(OR($AD49="Yes",$AD49="N/A"),$AE49&lt;&gt;"Yes",$AE49&lt;&gt;"N/A"),"Firmware Install, ","")&amp;IF(AND($CB49&lt;&gt;"Yes",$CB49&lt;&gt;"N/A"),"Device ID, ","")&amp;IF(AND($CC49&lt;&gt;"Yes",$CC49&lt;&gt;"N/A"),"Epic Beans Relay, ",""))="","",LEFT(IF(AND($BR49&lt;&gt;"Yes",$BR49&lt;&gt;"N/A"),"Power Cable, ","")&amp;IF(AND($BS49&lt;&gt;"Yes",$BS49&lt;&gt;"N/A"),"Battery, ","")&amp;IF(AND($AD49&lt;&gt;"Yes",$AD49&lt;&gt;"N/A"),"Firmware Download, ","")&amp;IF(AND(OR($AD49="Yes",$AD49="N/A"),$AE49&lt;&gt;"Yes",$AE49&lt;&gt;"N/A"),"Firmware Install, ","")&amp;IF(AND($CB49&lt;&gt;"Yes",$CB49&lt;&gt;"N/A"),"Device ID, ","")&amp;IF(AND($CC49&lt;&gt;"Yes",$CC49&lt;&gt;"N/A"),"Epic Beans Relay, ",""),LEN(IF(AND($BR49&lt;&gt;"Yes",$BR49&lt;&gt;"N/A"),"Power Cable, ","")&amp;IF(AND($BS49&lt;&gt;"Yes",$BS49&lt;&gt;"N/A"),"Battery, ","")&amp;IF(AND($AD49&lt;&gt;"Yes",$AD49&lt;&gt;"N/A"),"Firmware Download, ","")&amp;IF(AND(OR($AD49="Yes",$AD49="N/A"),$AE49&lt;&gt;"Yes",$AE49&lt;&gt;"N/A"),"Firmware Install, ","")&amp;IF(AND($CB49&lt;&gt;"Yes",$CB49&lt;&gt;"N/A"),"Device ID, ","")&amp;IF(AND($CC49&lt;&gt;"Yes",$CC49&lt;&gt;"N/A"),"Epic Beans Relay, ",""))-2)))</f>
        <v/>
      </c>
      <c r="CE49">
        <f>IF($Y49="","",IF($CD49="","Yes","Blocked"))</f>
        <v/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W49">
        <f>IF($S49="","",IF(UPPER(TRIM($S49))&lt;&gt;"PASS","",IF(LEN(TRIM($BY49))&gt;0,"NOTES_PRESENT",IF(LEN(TRIM($T49))=0,"SET_NA",IF(OR(LOWER(TRIM($T49))="na",LOWER(TRIM($T49))="n/a"),"OK","MANUAL_OVERRIDE")))))</f>
        <v/>
      </c>
    </row>
    <row r="50">
      <c r="A50" t="inlineStr">
        <is>
          <t>Neuron Cybernet</t>
        </is>
      </c>
      <c r="B50" s="51" t="inlineStr">
        <is>
          <t>Yes</t>
        </is>
      </c>
      <c r="C50" t="inlineStr">
        <is>
          <t>Yes</t>
        </is>
      </c>
      <c r="D50">
        <f>IF($B50&lt;&gt;"Yes","",IF($C50="No","Yes",IF($C50="Yes","No","")))</f>
        <v/>
      </c>
      <c r="E50">
        <f>IF($A50="","",IF(OR(AND($V50&lt;&gt;"",LOWER(TRIM($V50))&lt;&gt;"n/a",LOWER(TRIM($V50))&lt;&gt;"na",SUMPRODUCT(--(UPPER(TRIM($V$2:$V$518))=UPPER(TRIM($V50))),--(TRIM($V$2:$V$518)&lt;&gt;""),--(LOWER(TRIM($V$2:$V$518))&lt;&gt;"n/a"),--(LOWER(TRIM($V$2:$V$518))&lt;&gt;"na"))&gt;1),AND($W50&lt;&gt;"",LOWER(TRIM($W50))&lt;&gt;"n/a",LOWER(TRIM($W50))&lt;&gt;"na",SUMPRODUCT(--(UPPER(TRIM($W$2:$W$518))=UPPER(TRIM($W50))),--(TRIM($W$2:$W$518)&lt;&gt;""),--(LOWER(TRIM($W$2:$W$518))&lt;&gt;"n/a"),--(LOWER(TRIM($W$2:$W$518))&lt;&gt;"na"))&gt;1),AND($X50&lt;&gt;"",LOWER(TRIM($X50))&lt;&gt;"n/a",LOWER(TRIM($X50))&lt;&gt;"na",SUMPRODUCT(--(UPPER(TRIM($X$2:$X$518))=UPPER(TRIM($X50))),--(TRIM($X$2:$X$518)&lt;&gt;""),--(LOWER(TRIM($X$2:$X$518))&lt;&gt;"n/a"),--(LOWER(TRIM($X$2:$X$518))&lt;&gt;"na"))&gt;1),AND($Y50&lt;&gt;"",LOWER(TRIM($Y50))&lt;&gt;"n/a",LOWER(TRIM($Y50))&lt;&gt;"na",SUMPRODUCT(--(UPPER(SUBSTITUTE(SUBSTITUTE(TRIM($Y$2:$Y$518),":",""),"-",""))=UPPER(SUBSTITUTE(SUBSTITUTE(TRIM($Y50),":",""),"-",""))),--(TRIM($Y$2:$Y$518)&lt;&gt;""),--(LOWER(TRIM($Y$2:$Y$518))&lt;&gt;"n/a"),--(LOWER(TRIM($Y$2:$Y$518))&lt;&gt;"na"))&gt;1),AND($AB50&lt;&gt;"",LOWER(TRIM($AB50))&lt;&gt;"n/a",LOWER(TRIM($AB50))&lt;&gt;"na",SUMPRODUCT(--(UPPER(TRIM($AB$2:$AB$518))=UPPER(TRIM($AB50))),--(TRIM($AB$2:$AB$518)&lt;&gt;""),--(LOWER(TRIM($AB$2:$AB$518))&lt;&gt;"n/a"),--(LOWER(TRIM($AB$2:$AB$518))&lt;&gt;"na"))&gt;1),AND($AH50&lt;&gt;"",LOWER(TRIM($AH50))&lt;&gt;"n/a",LOWER(TRIM($AH50))&lt;&gt;"na",SUMPRODUCT(--(UPPER(SUBSTITUTE(SUBSTITUTE(TRIM($AH$2:$AH$518),":",""),"-",""))=UPPER(SUBSTITUTE(SUBSTITUTE(TRIM($AH50),":",""),"-",""))),--(TRIM($AH$2:$AH$518)&lt;&gt;""),--(LOWER(TRIM($AH$2:$AH$518))&lt;&gt;"n/a"),--(LOWER(TRIM($AH$2:$AH$518))&lt;&gt;"na"))&gt;1),AND($AP50&lt;&gt;"",LOWER(TRIM($AP50))&lt;&gt;"n/a",LOWER(TRIM($AP50))&lt;&gt;"na",SUMPRODUCT(--(UPPER(TRIM($AP$2:$AP$518))=UPPER(TRIM($AP50))),--(TRIM($AP$2:$AP$518)&lt;&gt;""),--(LOWER(TRIM($AP$2:$AP$518))&lt;&gt;"n/a"),--(LOWER(TRIM($AP$2:$AP$518))&lt;&gt;"na"))&gt;1),AND($AQ50&lt;&gt;"",LOWER(TRIM($AQ50))&lt;&gt;"n/a",LOWER(TRIM($AQ50))&lt;&gt;"na",SUMPRODUCT(--(UPPER(TRIM($AQ$2:$AQ$518))=UPPER(TRIM($AQ50))),--(TRIM($AQ$2:$AQ$518)&lt;&gt;""),--(LOWER(TRIM($AQ$2:$AQ$518))&lt;&gt;"n/a"),--(LOWER(TRIM($AQ$2:$AQ$518))&lt;&gt;"na"))&gt;1)),"Yes","No"))</f>
        <v/>
      </c>
      <c r="F50">
        <f>IF(UPPER(TRIM($B50))&lt;&gt;"YES","", IF(OR(AND($V50&lt;&gt;"", LOWER(TRIM($V50))&lt;&gt;"n/a", LOWER(TRIM($V50))&lt;&gt;"na", SUMPRODUCT(--(UPPER(TRIM($V$2:$V$518))=UPPER(TRIM($V50))), --(UPPER(TRIM($B$2:$B$518))="YES"), --(UPPER(TRIM($G$2:$G$518)&amp;TRIM($I$2:$I$518)&amp;TRIM($J$2:$J$518))&lt;&gt;UPPER(TRIM($G50)&amp;TRIM($I50)&amp;TRIM($J50))))&gt;0), AND($W50&lt;&gt;"", LOWER(TRIM($W50))&lt;&gt;"n/a", LOWER(TRIM($W50))&lt;&gt;"na", SUMPRODUCT(--(UPPER(TRIM($W$2:$W$518))=UPPER(TRIM($W50))), --(UPPER(TRIM($B$2:$B$518))="YES"), --(UPPER(TRIM($G$2:$G$518)&amp;TRIM($I$2:$I$518)&amp;TRIM($J$2:$J$518))&lt;&gt;UPPER(TRIM($G50)&amp;TRIM($I50)&amp;TRIM($J50))))&gt;0), AND($X50&lt;&gt;"", LOWER(TRIM($X50))&lt;&gt;"n/a", LOWER(TRIM($X50))&lt;&gt;"na", SUMPRODUCT(--(UPPER(TRIM($X$2:$X$518))=UPPER(TRIM($X50))), --(UPPER(TRIM($B$2:$B$518))="YES"), --(UPPER(TRIM($G$2:$G$518)&amp;TRIM($I$2:$I$518)&amp;TRIM($J$2:$J$518))&lt;&gt;UPPER(TRIM($G50)&amp;TRIM($I50)&amp;TRIM($J50))))&gt;0), AND($Y50&lt;&gt;"", LOWER(TRIM($Y50))&lt;&gt;"n/a", LOWER(TRIM($Y50))&lt;&gt;"na", SUMPRODUCT(--(UPPER(SUBSTITUTE(SUBSTITUTE(TRIM($Y$2:$Y$518),":",""),"-",""))=UPPER(SUBSTITUTE(SUBSTITUTE(TRIM($Y50),":",""),"-",""))), --(UPPER(TRIM($B$2:$B$518))="YES"), --(UPPER(TRIM($G$2:$G$518)&amp;TRIM($I$2:$I$518)&amp;TRIM($J$2:$J$518))&lt;&gt;UPPER(TRIM($G50)&amp;TRIM($I50)&amp;TRIM($J50))))&gt;0), AND($AB50&lt;&gt;"", LOWER(TRIM($AB50))&lt;&gt;"n/a", LOWER(TRIM($AB50))&lt;&gt;"na", SUMPRODUCT(--(UPPER(TRIM($AB$2:$AB$518))=UPPER(TRIM($AB50))), --(UPPER(TRIM($B$2:$B$518))="YES"), --(UPPER(TRIM($G$2:$G$518)&amp;TRIM($I$2:$I$518)&amp;TRIM($J$2:$J$518))&lt;&gt;UPPER(TRIM($G50)&amp;TRIM($I50)&amp;TRIM($J50))))&gt;0), AND($AH50&lt;&gt;"", LOWER(TRIM($AH50))&lt;&gt;"n/a", LOWER(TRIM($AH50))&lt;&gt;"na", SUMPRODUCT(--(UPPER(SUBSTITUTE(SUBSTITUTE(TRIM($AH$2:$AH$518),":",""),"-",""))=UPPER(SUBSTITUTE(SUBSTITUTE(TRIM($AH50),":",""),"-",""))), --(UPPER(TRIM($B$2:$B$518))="YES"), --(UPPER(TRIM($G$2:$G$518)&amp;TRIM($I$2:$I$518)&amp;TRIM($J$2:$J$518))&lt;&gt;UPPER(TRIM($G50)&amp;TRIM($I50)&amp;TRIM($J50))))&gt;0), AND($AP50&lt;&gt;"", LOWER(TRIM($AP50))&lt;&gt;"n/a", LOWER(TRIM($AP50))&lt;&gt;"na", SUMPRODUCT(--(UPPER(TRIM($AP$2:$AP$518))=UPPER(TRIM($AP50))), --(UPPER(TRIM($B$2:$B$518))="YES"), --(UPPER(TRIM($G$2:$G$518)&amp;TRIM($I$2:$I$518)&amp;TRIM($J$2:$J$518))&lt;&gt;UPPER(TRIM($G50)&amp;TRIM($I50)&amp;TRIM($J50))))&gt;0), AND($AQ50&lt;&gt;"", LOWER(TRIM($AQ50))&lt;&gt;"n/a", LOWER(TRIM($AQ50))&lt;&gt;"na", SUMPRODUCT(--(UPPER(TRIM($AQ$2:$AQ$518))=UPPER(TRIM($AQ50))), --(UPPER(TRIM($B$2:$B$518))="YES"), --(UPPER(TRIM($G$2:$G$518)&amp;TRIM($I$2:$I$518)&amp;TRIM($J$2:$J$518))&lt;&gt;UPPER(TRIM($G50)&amp;TRIM($I50)&amp;TRIM($J50))))&gt;0)), "Yes", "No"))</f>
        <v/>
      </c>
      <c r="G50" t="inlineStr">
        <is>
          <t>NSUH - PSP</t>
        </is>
      </c>
      <c r="H50" t="inlineStr">
        <is>
          <t>NSUH - PSP</t>
        </is>
      </c>
      <c r="I50" t="inlineStr">
        <is>
          <t>Main ORs - PSP - 2nd Floor</t>
        </is>
      </c>
      <c r="J50" t="inlineStr">
        <is>
          <t>OR 15</t>
        </is>
      </c>
      <c r="L50" s="18" t="n">
        <v>46095</v>
      </c>
      <c r="U50" t="inlineStr">
        <is>
          <t>Dr. Palilla, Timothy W. Seeberger</t>
        </is>
      </c>
      <c r="V50" t="inlineStr">
        <is>
          <t>WMH300OPR361</t>
        </is>
      </c>
      <c r="W50" t="inlineStr">
        <is>
          <t>MEDSG2425F-0191</t>
        </is>
      </c>
      <c r="X50" t="inlineStr">
        <is>
          <t>NSUH-MACH-X</t>
        </is>
      </c>
      <c r="Y50" t="inlineStr">
        <is>
          <t>A0F5097FE081</t>
        </is>
      </c>
      <c r="AB50" t="inlineStr">
        <is>
          <t>WA24406372</t>
        </is>
      </c>
      <c r="AI50" t="inlineStr">
        <is>
          <t>Anesthesia Machine</t>
        </is>
      </c>
      <c r="AJ50" t="n">
        <v>452494</v>
      </c>
      <c r="AL50" t="inlineStr">
        <is>
          <t>7102-898 / 7102-902</t>
        </is>
      </c>
      <c r="AM50" t="inlineStr">
        <is>
          <t>GE Healthcare</t>
        </is>
      </c>
      <c r="AN50" t="inlineStr">
        <is>
          <t>Aisys CS2</t>
        </is>
      </c>
      <c r="AP50" t="inlineStr">
        <is>
          <t>010084068210229221APWC0263711230914</t>
        </is>
      </c>
      <c r="AQ50" t="inlineStr">
        <is>
          <t>010084068210229221APWC0263711230914</t>
        </is>
      </c>
      <c r="AS50" t="inlineStr">
        <is>
          <t>GE Canvas 1000: 833-08, SPEC999015 / GE G1500213: 133-08C, GE B850</t>
        </is>
      </c>
      <c r="AX50" t="inlineStr">
        <is>
          <t>GE Canvas 1000: 150HA / GE G1500213: 091181384</t>
        </is>
      </c>
      <c r="AY50" t="inlineStr">
        <is>
          <t>010084068210229221APWC0263711230914</t>
        </is>
      </c>
      <c r="BH50" t="n">
        <v>115200</v>
      </c>
      <c r="BI50" t="n">
        <v>19200</v>
      </c>
      <c r="BJ50" t="inlineStr">
        <is>
          <t>E81</t>
        </is>
      </c>
      <c r="BK50" t="inlineStr">
        <is>
          <t>O71</t>
        </is>
      </c>
      <c r="BM50" t="inlineStr">
        <is>
          <t>E81</t>
        </is>
      </c>
      <c r="BN50" t="inlineStr">
        <is>
          <t>O71</t>
        </is>
      </c>
      <c r="CD50">
        <f>IF($Y50="","",IF((IF(AND($BR50&lt;&gt;"Yes",$BR50&lt;&gt;"N/A"),"Power Cable, ","")&amp;IF(AND($BS50&lt;&gt;"Yes",$BS50&lt;&gt;"N/A"),"Battery, ","")&amp;IF(AND($AD50&lt;&gt;"Yes",$AD50&lt;&gt;"N/A"),"Firmware Download, ","")&amp;IF(AND(OR($AD50="Yes",$AD50="N/A"),$AE50&lt;&gt;"Yes",$AE50&lt;&gt;"N/A"),"Firmware Install, ","")&amp;IF(AND($CB50&lt;&gt;"Yes",$CB50&lt;&gt;"N/A"),"Device ID, ","")&amp;IF(AND($CC50&lt;&gt;"Yes",$CC50&lt;&gt;"N/A"),"Epic Beans Relay, ",""))="","",LEFT(IF(AND($BR50&lt;&gt;"Yes",$BR50&lt;&gt;"N/A"),"Power Cable, ","")&amp;IF(AND($BS50&lt;&gt;"Yes",$BS50&lt;&gt;"N/A"),"Battery, ","")&amp;IF(AND($AD50&lt;&gt;"Yes",$AD50&lt;&gt;"N/A"),"Firmware Download, ","")&amp;IF(AND(OR($AD50="Yes",$AD50="N/A"),$AE50&lt;&gt;"Yes",$AE50&lt;&gt;"N/A"),"Firmware Install, ","")&amp;IF(AND($CB50&lt;&gt;"Yes",$CB50&lt;&gt;"N/A"),"Device ID, ","")&amp;IF(AND($CC50&lt;&gt;"Yes",$CC50&lt;&gt;"N/A"),"Epic Beans Relay, ",""),LEN(IF(AND($BR50&lt;&gt;"Yes",$BR50&lt;&gt;"N/A"),"Power Cable, ","")&amp;IF(AND($BS50&lt;&gt;"Yes",$BS50&lt;&gt;"N/A"),"Battery, ","")&amp;IF(AND($AD50&lt;&gt;"Yes",$AD50&lt;&gt;"N/A"),"Firmware Download, ","")&amp;IF(AND(OR($AD50="Yes",$AD50="N/A"),$AE50&lt;&gt;"Yes",$AE50&lt;&gt;"N/A"),"Firmware Install, ","")&amp;IF(AND($CB50&lt;&gt;"Yes",$CB50&lt;&gt;"N/A"),"Device ID, ","")&amp;IF(AND($CC50&lt;&gt;"Yes",$CC50&lt;&gt;"N/A"),"Epic Beans Relay, ",""))-2)))</f>
        <v/>
      </c>
      <c r="CE50">
        <f>IF($Y50="","",IF($CD50="","Yes","Blocked"))</f>
        <v/>
      </c>
      <c r="CF50" t="inlineStr">
        <is>
          <t>Yes</t>
        </is>
      </c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Yes</t>
        </is>
      </c>
      <c r="CQ50" t="inlineStr">
        <is>
          <t>Yes</t>
        </is>
      </c>
      <c r="CR50" t="inlineStr">
        <is>
          <t>Yes</t>
        </is>
      </c>
      <c r="CS50" t="inlineStr">
        <is>
          <t>Yes</t>
        </is>
      </c>
      <c r="CW50">
        <f>IF($S50="","",IF(UPPER(TRIM($S50))&lt;&gt;"PASS","",IF(LEN(TRIM($BY50))&gt;0,"NOTES_PRESENT",IF(LEN(TRIM($T50))=0,"SET_NA",IF(OR(LOWER(TRIM($T50))="na",LOWER(TRIM($T50))="n/a"),"OK","MANUAL_OVERRIDE")))))</f>
        <v/>
      </c>
    </row>
    <row r="51">
      <c r="A51" t="inlineStr">
        <is>
          <t>Neuron Cybernet</t>
        </is>
      </c>
      <c r="B51" s="51" t="inlineStr">
        <is>
          <t>Yes</t>
        </is>
      </c>
      <c r="C51" t="inlineStr">
        <is>
          <t>Yes</t>
        </is>
      </c>
      <c r="D51">
        <f>IF($B51&lt;&gt;"Yes","",IF($C51="No","Yes",IF($C51="Yes","No","")))</f>
        <v/>
      </c>
      <c r="E51">
        <f>IF($A51="","",IF(OR(AND($V51&lt;&gt;"",LOWER(TRIM($V51))&lt;&gt;"n/a",LOWER(TRIM($V51))&lt;&gt;"na",SUMPRODUCT(--(UPPER(TRIM($V$2:$V$518))=UPPER(TRIM($V51))),--(TRIM($V$2:$V$518)&lt;&gt;""),--(LOWER(TRIM($V$2:$V$518))&lt;&gt;"n/a"),--(LOWER(TRIM($V$2:$V$518))&lt;&gt;"na"))&gt;1),AND($W51&lt;&gt;"",LOWER(TRIM($W51))&lt;&gt;"n/a",LOWER(TRIM($W51))&lt;&gt;"na",SUMPRODUCT(--(UPPER(TRIM($W$2:$W$518))=UPPER(TRIM($W51))),--(TRIM($W$2:$W$518)&lt;&gt;""),--(LOWER(TRIM($W$2:$W$518))&lt;&gt;"n/a"),--(LOWER(TRIM($W$2:$W$518))&lt;&gt;"na"))&gt;1),AND($X51&lt;&gt;"",LOWER(TRIM($X51))&lt;&gt;"n/a",LOWER(TRIM($X51))&lt;&gt;"na",SUMPRODUCT(--(UPPER(TRIM($X$2:$X$518))=UPPER(TRIM($X51))),--(TRIM($X$2:$X$518)&lt;&gt;""),--(LOWER(TRIM($X$2:$X$518))&lt;&gt;"n/a"),--(LOWER(TRIM($X$2:$X$518))&lt;&gt;"na"))&gt;1),AND($Y51&lt;&gt;"",LOWER(TRIM($Y51))&lt;&gt;"n/a",LOWER(TRIM($Y51))&lt;&gt;"na",SUMPRODUCT(--(UPPER(SUBSTITUTE(SUBSTITUTE(TRIM($Y$2:$Y$518),":",""),"-",""))=UPPER(SUBSTITUTE(SUBSTITUTE(TRIM($Y51),":",""),"-",""))),--(TRIM($Y$2:$Y$518)&lt;&gt;""),--(LOWER(TRIM($Y$2:$Y$518))&lt;&gt;"n/a"),--(LOWER(TRIM($Y$2:$Y$518))&lt;&gt;"na"))&gt;1),AND($AB51&lt;&gt;"",LOWER(TRIM($AB51))&lt;&gt;"n/a",LOWER(TRIM($AB51))&lt;&gt;"na",SUMPRODUCT(--(UPPER(TRIM($AB$2:$AB$518))=UPPER(TRIM($AB51))),--(TRIM($AB$2:$AB$518)&lt;&gt;""),--(LOWER(TRIM($AB$2:$AB$518))&lt;&gt;"n/a"),--(LOWER(TRIM($AB$2:$AB$518))&lt;&gt;"na"))&gt;1),AND($AH51&lt;&gt;"",LOWER(TRIM($AH51))&lt;&gt;"n/a",LOWER(TRIM($AH51))&lt;&gt;"na",SUMPRODUCT(--(UPPER(SUBSTITUTE(SUBSTITUTE(TRIM($AH$2:$AH$518),":",""),"-",""))=UPPER(SUBSTITUTE(SUBSTITUTE(TRIM($AH51),":",""),"-",""))),--(TRIM($AH$2:$AH$518)&lt;&gt;""),--(LOWER(TRIM($AH$2:$AH$518))&lt;&gt;"n/a"),--(LOWER(TRIM($AH$2:$AH$518))&lt;&gt;"na"))&gt;1),AND($AP51&lt;&gt;"",LOWER(TRIM($AP51))&lt;&gt;"n/a",LOWER(TRIM($AP51))&lt;&gt;"na",SUMPRODUCT(--(UPPER(TRIM($AP$2:$AP$518))=UPPER(TRIM($AP51))),--(TRIM($AP$2:$AP$518)&lt;&gt;""),--(LOWER(TRIM($AP$2:$AP$518))&lt;&gt;"n/a"),--(LOWER(TRIM($AP$2:$AP$518))&lt;&gt;"na"))&gt;1),AND($AQ51&lt;&gt;"",LOWER(TRIM($AQ51))&lt;&gt;"n/a",LOWER(TRIM($AQ51))&lt;&gt;"na",SUMPRODUCT(--(UPPER(TRIM($AQ$2:$AQ$518))=UPPER(TRIM($AQ51))),--(TRIM($AQ$2:$AQ$518)&lt;&gt;""),--(LOWER(TRIM($AQ$2:$AQ$518))&lt;&gt;"n/a"),--(LOWER(TRIM($AQ$2:$AQ$518))&lt;&gt;"na"))&gt;1)),"Yes","No"))</f>
        <v/>
      </c>
      <c r="F51">
        <f>IF(UPPER(TRIM($B51))&lt;&gt;"YES","", IF(OR(AND($V51&lt;&gt;"", LOWER(TRIM($V51))&lt;&gt;"n/a", LOWER(TRIM($V51))&lt;&gt;"na", SUMPRODUCT(--(UPPER(TRIM($V$2:$V$518))=UPPER(TRIM($V51))), --(UPPER(TRIM($B$2:$B$518))="YES"), --(UPPER(TRIM($G$2:$G$518)&amp;TRIM($I$2:$I$518)&amp;TRIM($J$2:$J$518))&lt;&gt;UPPER(TRIM($G51)&amp;TRIM($I51)&amp;TRIM($J51))))&gt;0), AND($W51&lt;&gt;"", LOWER(TRIM($W51))&lt;&gt;"n/a", LOWER(TRIM($W51))&lt;&gt;"na", SUMPRODUCT(--(UPPER(TRIM($W$2:$W$518))=UPPER(TRIM($W51))), --(UPPER(TRIM($B$2:$B$518))="YES"), --(UPPER(TRIM($G$2:$G$518)&amp;TRIM($I$2:$I$518)&amp;TRIM($J$2:$J$518))&lt;&gt;UPPER(TRIM($G51)&amp;TRIM($I51)&amp;TRIM($J51))))&gt;0), AND($X51&lt;&gt;"", LOWER(TRIM($X51))&lt;&gt;"n/a", LOWER(TRIM($X51))&lt;&gt;"na", SUMPRODUCT(--(UPPER(TRIM($X$2:$X$518))=UPPER(TRIM($X51))), --(UPPER(TRIM($B$2:$B$518))="YES"), --(UPPER(TRIM($G$2:$G$518)&amp;TRIM($I$2:$I$518)&amp;TRIM($J$2:$J$518))&lt;&gt;UPPER(TRIM($G51)&amp;TRIM($I51)&amp;TRIM($J51))))&gt;0), AND($Y51&lt;&gt;"", LOWER(TRIM($Y51))&lt;&gt;"n/a", LOWER(TRIM($Y51))&lt;&gt;"na", SUMPRODUCT(--(UPPER(SUBSTITUTE(SUBSTITUTE(TRIM($Y$2:$Y$518),":",""),"-",""))=UPPER(SUBSTITUTE(SUBSTITUTE(TRIM($Y51),":",""),"-",""))), --(UPPER(TRIM($B$2:$B$518))="YES"), --(UPPER(TRIM($G$2:$G$518)&amp;TRIM($I$2:$I$518)&amp;TRIM($J$2:$J$518))&lt;&gt;UPPER(TRIM($G51)&amp;TRIM($I51)&amp;TRIM($J51))))&gt;0), AND($AB51&lt;&gt;"", LOWER(TRIM($AB51))&lt;&gt;"n/a", LOWER(TRIM($AB51))&lt;&gt;"na", SUMPRODUCT(--(UPPER(TRIM($AB$2:$AB$518))=UPPER(TRIM($AB51))), --(UPPER(TRIM($B$2:$B$518))="YES"), --(UPPER(TRIM($G$2:$G$518)&amp;TRIM($I$2:$I$518)&amp;TRIM($J$2:$J$518))&lt;&gt;UPPER(TRIM($G51)&amp;TRIM($I51)&amp;TRIM($J51))))&gt;0), AND($AH51&lt;&gt;"", LOWER(TRIM($AH51))&lt;&gt;"n/a", LOWER(TRIM($AH51))&lt;&gt;"na", SUMPRODUCT(--(UPPER(SUBSTITUTE(SUBSTITUTE(TRIM($AH$2:$AH$518),":",""),"-",""))=UPPER(SUBSTITUTE(SUBSTITUTE(TRIM($AH51),":",""),"-",""))), --(UPPER(TRIM($B$2:$B$518))="YES"), --(UPPER(TRIM($G$2:$G$518)&amp;TRIM($I$2:$I$518)&amp;TRIM($J$2:$J$518))&lt;&gt;UPPER(TRIM($G51)&amp;TRIM($I51)&amp;TRIM($J51))))&gt;0), AND($AP51&lt;&gt;"", LOWER(TRIM($AP51))&lt;&gt;"n/a", LOWER(TRIM($AP51))&lt;&gt;"na", SUMPRODUCT(--(UPPER(TRIM($AP$2:$AP$518))=UPPER(TRIM($AP51))), --(UPPER(TRIM($B$2:$B$518))="YES"), --(UPPER(TRIM($G$2:$G$518)&amp;TRIM($I$2:$I$518)&amp;TRIM($J$2:$J$518))&lt;&gt;UPPER(TRIM($G51)&amp;TRIM($I51)&amp;TRIM($J51))))&gt;0), AND($AQ51&lt;&gt;"", LOWER(TRIM($AQ51))&lt;&gt;"n/a", LOWER(TRIM($AQ51))&lt;&gt;"na", SUMPRODUCT(--(UPPER(TRIM($AQ$2:$AQ$518))=UPPER(TRIM($AQ51))), --(UPPER(TRIM($B$2:$B$518))="YES"), --(UPPER(TRIM($G$2:$G$518)&amp;TRIM($I$2:$I$518)&amp;TRIM($J$2:$J$518))&lt;&gt;UPPER(TRIM($G51)&amp;TRIM($I51)&amp;TRIM($J51))))&gt;0)), "Yes", "No"))</f>
        <v/>
      </c>
      <c r="G51" t="inlineStr">
        <is>
          <t>NSUH - PSP</t>
        </is>
      </c>
      <c r="H51" t="inlineStr">
        <is>
          <t>NSUH - PSP</t>
        </is>
      </c>
      <c r="I51" t="inlineStr">
        <is>
          <t>Main ORs - PSP - 2nd Floor</t>
        </is>
      </c>
      <c r="J51" t="inlineStr">
        <is>
          <t>OR 3</t>
        </is>
      </c>
      <c r="L51" s="18" t="n">
        <v>46095</v>
      </c>
      <c r="U51" t="inlineStr">
        <is>
          <t>Dr. Palilla, Timothy W. Seeberger</t>
        </is>
      </c>
      <c r="V51" t="inlineStr">
        <is>
          <t>WMH300OPR372</t>
        </is>
      </c>
      <c r="W51" t="inlineStr">
        <is>
          <t>MEDSG2425F-0181</t>
        </is>
      </c>
      <c r="X51" t="inlineStr">
        <is>
          <t>NSUH-MACH-W</t>
        </is>
      </c>
      <c r="Y51" t="inlineStr">
        <is>
          <t>A0F5097FEF1D</t>
        </is>
      </c>
      <c r="AB51" t="inlineStr">
        <is>
          <t>WA24406168</t>
        </is>
      </c>
      <c r="AI51" t="inlineStr">
        <is>
          <t>Anesthesia Machine</t>
        </is>
      </c>
      <c r="AJ51" t="n">
        <v>452507</v>
      </c>
      <c r="AL51" t="inlineStr">
        <is>
          <t>7202-055 / 7202-059</t>
        </is>
      </c>
      <c r="AM51" t="inlineStr">
        <is>
          <t>GE Healthcare</t>
        </is>
      </c>
      <c r="AN51" t="inlineStr">
        <is>
          <t>Aisys CS2</t>
        </is>
      </c>
      <c r="AP51" t="inlineStr">
        <is>
          <t>APWC02640</t>
        </is>
      </c>
      <c r="AQ51" t="inlineStr">
        <is>
          <t>APWC02640</t>
        </is>
      </c>
      <c r="AS51" t="inlineStr">
        <is>
          <t>GE Canvas 1000: 833-08, SPEC999015 / GE G1500213: 133-08C, GE B850</t>
        </is>
      </c>
      <c r="AT51" t="inlineStr">
        <is>
          <t>B1-CFU</t>
        </is>
      </c>
      <c r="AX51" t="inlineStr">
        <is>
          <t>GE Canvas 1000: 198HA / 091181408</t>
        </is>
      </c>
      <c r="AY51" t="inlineStr">
        <is>
          <t>010084068210229221APWC0264011230914</t>
        </is>
      </c>
      <c r="BH51" t="n">
        <v>115200</v>
      </c>
      <c r="BI51" t="n">
        <v>19200</v>
      </c>
      <c r="BM51" t="inlineStr">
        <is>
          <t>E81</t>
        </is>
      </c>
      <c r="BN51" t="inlineStr">
        <is>
          <t>O71</t>
        </is>
      </c>
      <c r="CD51">
        <f>IF($Y51="","",IF((IF(AND($BR51&lt;&gt;"Yes",$BR51&lt;&gt;"N/A"),"Power Cable, ","")&amp;IF(AND($BS51&lt;&gt;"Yes",$BS51&lt;&gt;"N/A"),"Battery, ","")&amp;IF(AND($AD51&lt;&gt;"Yes",$AD51&lt;&gt;"N/A"),"Firmware Download, ","")&amp;IF(AND(OR($AD51="Yes",$AD51="N/A"),$AE51&lt;&gt;"Yes",$AE51&lt;&gt;"N/A"),"Firmware Install, ","")&amp;IF(AND($CB51&lt;&gt;"Yes",$CB51&lt;&gt;"N/A"),"Device ID, ","")&amp;IF(AND($CC51&lt;&gt;"Yes",$CC51&lt;&gt;"N/A"),"Epic Beans Relay, ",""))="","",LEFT(IF(AND($BR51&lt;&gt;"Yes",$BR51&lt;&gt;"N/A"),"Power Cable, ","")&amp;IF(AND($BS51&lt;&gt;"Yes",$BS51&lt;&gt;"N/A"),"Battery, ","")&amp;IF(AND($AD51&lt;&gt;"Yes",$AD51&lt;&gt;"N/A"),"Firmware Download, ","")&amp;IF(AND(OR($AD51="Yes",$AD51="N/A"),$AE51&lt;&gt;"Yes",$AE51&lt;&gt;"N/A"),"Firmware Install, ","")&amp;IF(AND($CB51&lt;&gt;"Yes",$CB51&lt;&gt;"N/A"),"Device ID, ","")&amp;IF(AND($CC51&lt;&gt;"Yes",$CC51&lt;&gt;"N/A"),"Epic Beans Relay, ",""),LEN(IF(AND($BR51&lt;&gt;"Yes",$BR51&lt;&gt;"N/A"),"Power Cable, ","")&amp;IF(AND($BS51&lt;&gt;"Yes",$BS51&lt;&gt;"N/A"),"Battery, ","")&amp;IF(AND($AD51&lt;&gt;"Yes",$AD51&lt;&gt;"N/A"),"Firmware Download, ","")&amp;IF(AND(OR($AD51="Yes",$AD51="N/A"),$AE51&lt;&gt;"Yes",$AE51&lt;&gt;"N/A"),"Firmware Install, ","")&amp;IF(AND($CB51&lt;&gt;"Yes",$CB51&lt;&gt;"N/A"),"Device ID, ","")&amp;IF(AND($CC51&lt;&gt;"Yes",$CC51&lt;&gt;"N/A"),"Epic Beans Relay, ",""))-2)))</f>
        <v/>
      </c>
      <c r="CE51">
        <f>IF($Y51="","",IF($CD51="","Yes","Blocked"))</f>
        <v/>
      </c>
      <c r="CF51" t="inlineStr">
        <is>
          <t>Yes</t>
        </is>
      </c>
      <c r="CG51" t="inlineStr">
        <is>
          <t>Yes</t>
        </is>
      </c>
      <c r="CH51" t="inlineStr">
        <is>
          <t>Yes</t>
        </is>
      </c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 t="inlineStr">
        <is>
          <t>Yes</t>
        </is>
      </c>
      <c r="CO51" t="inlineStr">
        <is>
          <t>Yes</t>
        </is>
      </c>
      <c r="CP51" t="inlineStr">
        <is>
          <t>Yes</t>
        </is>
      </c>
      <c r="CQ51" t="inlineStr">
        <is>
          <t>Yes</t>
        </is>
      </c>
      <c r="CR51" t="inlineStr">
        <is>
          <t>Yes</t>
        </is>
      </c>
      <c r="CS51" t="inlineStr">
        <is>
          <t>Yes</t>
        </is>
      </c>
      <c r="CW51">
        <f>IF($S51="","",IF(UPPER(TRIM($S51))&lt;&gt;"PASS","",IF(LEN(TRIM($BY51))&gt;0,"NOTES_PRESENT",IF(LEN(TRIM($T51))=0,"SET_NA",IF(OR(LOWER(TRIM($T51))="na",LOWER(TRIM($T51))="n/a"),"OK","MANUAL_OVERRIDE")))))</f>
        <v/>
      </c>
    </row>
    <row r="52">
      <c r="A52" t="inlineStr">
        <is>
          <t>Neuron Cybernet</t>
        </is>
      </c>
      <c r="B52" s="51" t="inlineStr">
        <is>
          <t>Yes</t>
        </is>
      </c>
      <c r="C52" t="inlineStr">
        <is>
          <t>Yes</t>
        </is>
      </c>
      <c r="D52">
        <f>IF($B52&lt;&gt;"Yes","",IF($C52="No","Yes",IF($C52="Yes","No","")))</f>
        <v/>
      </c>
      <c r="E52">
        <f>IF($A52="","",IF(OR(AND($V52&lt;&gt;"",LOWER(TRIM($V52))&lt;&gt;"n/a",LOWER(TRIM($V52))&lt;&gt;"na",SUMPRODUCT(--(UPPER(TRIM($V$2:$V$518))=UPPER(TRIM($V52))),--(TRIM($V$2:$V$518)&lt;&gt;""),--(LOWER(TRIM($V$2:$V$518))&lt;&gt;"n/a"),--(LOWER(TRIM($V$2:$V$518))&lt;&gt;"na"))&gt;1),AND($W52&lt;&gt;"",LOWER(TRIM($W52))&lt;&gt;"n/a",LOWER(TRIM($W52))&lt;&gt;"na",SUMPRODUCT(--(UPPER(TRIM($W$2:$W$518))=UPPER(TRIM($W52))),--(TRIM($W$2:$W$518)&lt;&gt;""),--(LOWER(TRIM($W$2:$W$518))&lt;&gt;"n/a"),--(LOWER(TRIM($W$2:$W$518))&lt;&gt;"na"))&gt;1),AND($X52&lt;&gt;"",LOWER(TRIM($X52))&lt;&gt;"n/a",LOWER(TRIM($X52))&lt;&gt;"na",SUMPRODUCT(--(UPPER(TRIM($X$2:$X$518))=UPPER(TRIM($X52))),--(TRIM($X$2:$X$518)&lt;&gt;""),--(LOWER(TRIM($X$2:$X$518))&lt;&gt;"n/a"),--(LOWER(TRIM($X$2:$X$518))&lt;&gt;"na"))&gt;1),AND($Y52&lt;&gt;"",LOWER(TRIM($Y52))&lt;&gt;"n/a",LOWER(TRIM($Y52))&lt;&gt;"na",SUMPRODUCT(--(UPPER(SUBSTITUTE(SUBSTITUTE(TRIM($Y$2:$Y$518),":",""),"-",""))=UPPER(SUBSTITUTE(SUBSTITUTE(TRIM($Y52),":",""),"-",""))),--(TRIM($Y$2:$Y$518)&lt;&gt;""),--(LOWER(TRIM($Y$2:$Y$518))&lt;&gt;"n/a"),--(LOWER(TRIM($Y$2:$Y$518))&lt;&gt;"na"))&gt;1),AND($AB52&lt;&gt;"",LOWER(TRIM($AB52))&lt;&gt;"n/a",LOWER(TRIM($AB52))&lt;&gt;"na",SUMPRODUCT(--(UPPER(TRIM($AB$2:$AB$518))=UPPER(TRIM($AB52))),--(TRIM($AB$2:$AB$518)&lt;&gt;""),--(LOWER(TRIM($AB$2:$AB$518))&lt;&gt;"n/a"),--(LOWER(TRIM($AB$2:$AB$518))&lt;&gt;"na"))&gt;1),AND($AH52&lt;&gt;"",LOWER(TRIM($AH52))&lt;&gt;"n/a",LOWER(TRIM($AH52))&lt;&gt;"na",SUMPRODUCT(--(UPPER(SUBSTITUTE(SUBSTITUTE(TRIM($AH$2:$AH$518),":",""),"-",""))=UPPER(SUBSTITUTE(SUBSTITUTE(TRIM($AH52),":",""),"-",""))),--(TRIM($AH$2:$AH$518)&lt;&gt;""),--(LOWER(TRIM($AH$2:$AH$518))&lt;&gt;"n/a"),--(LOWER(TRIM($AH$2:$AH$518))&lt;&gt;"na"))&gt;1),AND($AP52&lt;&gt;"",LOWER(TRIM($AP52))&lt;&gt;"n/a",LOWER(TRIM($AP52))&lt;&gt;"na",SUMPRODUCT(--(UPPER(TRIM($AP$2:$AP$518))=UPPER(TRIM($AP52))),--(TRIM($AP$2:$AP$518)&lt;&gt;""),--(LOWER(TRIM($AP$2:$AP$518))&lt;&gt;"n/a"),--(LOWER(TRIM($AP$2:$AP$518))&lt;&gt;"na"))&gt;1),AND($AQ52&lt;&gt;"",LOWER(TRIM($AQ52))&lt;&gt;"n/a",LOWER(TRIM($AQ52))&lt;&gt;"na",SUMPRODUCT(--(UPPER(TRIM($AQ$2:$AQ$518))=UPPER(TRIM($AQ52))),--(TRIM($AQ$2:$AQ$518)&lt;&gt;""),--(LOWER(TRIM($AQ$2:$AQ$518))&lt;&gt;"n/a"),--(LOWER(TRIM($AQ$2:$AQ$518))&lt;&gt;"na"))&gt;1)),"Yes","No"))</f>
        <v/>
      </c>
      <c r="F52">
        <f>IF(UPPER(TRIM($B52))&lt;&gt;"YES","", IF(OR(AND($V52&lt;&gt;"", LOWER(TRIM($V52))&lt;&gt;"n/a", LOWER(TRIM($V52))&lt;&gt;"na", SUMPRODUCT(--(UPPER(TRIM($V$2:$V$518))=UPPER(TRIM($V52))), --(UPPER(TRIM($B$2:$B$518))="YES"), --(UPPER(TRIM($G$2:$G$518)&amp;TRIM($I$2:$I$518)&amp;TRIM($J$2:$J$518))&lt;&gt;UPPER(TRIM($G52)&amp;TRIM($I52)&amp;TRIM($J52))))&gt;0), AND($W52&lt;&gt;"", LOWER(TRIM($W52))&lt;&gt;"n/a", LOWER(TRIM($W52))&lt;&gt;"na", SUMPRODUCT(--(UPPER(TRIM($W$2:$W$518))=UPPER(TRIM($W52))), --(UPPER(TRIM($B$2:$B$518))="YES"), --(UPPER(TRIM($G$2:$G$518)&amp;TRIM($I$2:$I$518)&amp;TRIM($J$2:$J$518))&lt;&gt;UPPER(TRIM($G52)&amp;TRIM($I52)&amp;TRIM($J52))))&gt;0), AND($X52&lt;&gt;"", LOWER(TRIM($X52))&lt;&gt;"n/a", LOWER(TRIM($X52))&lt;&gt;"na", SUMPRODUCT(--(UPPER(TRIM($X$2:$X$518))=UPPER(TRIM($X52))), --(UPPER(TRIM($B$2:$B$518))="YES"), --(UPPER(TRIM($G$2:$G$518)&amp;TRIM($I$2:$I$518)&amp;TRIM($J$2:$J$518))&lt;&gt;UPPER(TRIM($G52)&amp;TRIM($I52)&amp;TRIM($J52))))&gt;0), AND($Y52&lt;&gt;"", LOWER(TRIM($Y52))&lt;&gt;"n/a", LOWER(TRIM($Y52))&lt;&gt;"na", SUMPRODUCT(--(UPPER(SUBSTITUTE(SUBSTITUTE(TRIM($Y$2:$Y$518),":",""),"-",""))=UPPER(SUBSTITUTE(SUBSTITUTE(TRIM($Y52),":",""),"-",""))), --(UPPER(TRIM($B$2:$B$518))="YES"), --(UPPER(TRIM($G$2:$G$518)&amp;TRIM($I$2:$I$518)&amp;TRIM($J$2:$J$518))&lt;&gt;UPPER(TRIM($G52)&amp;TRIM($I52)&amp;TRIM($J52))))&gt;0), AND($AB52&lt;&gt;"", LOWER(TRIM($AB52))&lt;&gt;"n/a", LOWER(TRIM($AB52))&lt;&gt;"na", SUMPRODUCT(--(UPPER(TRIM($AB$2:$AB$518))=UPPER(TRIM($AB52))), --(UPPER(TRIM($B$2:$B$518))="YES"), --(UPPER(TRIM($G$2:$G$518)&amp;TRIM($I$2:$I$518)&amp;TRIM($J$2:$J$518))&lt;&gt;UPPER(TRIM($G52)&amp;TRIM($I52)&amp;TRIM($J52))))&gt;0), AND($AH52&lt;&gt;"", LOWER(TRIM($AH52))&lt;&gt;"n/a", LOWER(TRIM($AH52))&lt;&gt;"na", SUMPRODUCT(--(UPPER(SUBSTITUTE(SUBSTITUTE(TRIM($AH$2:$AH$518),":",""),"-",""))=UPPER(SUBSTITUTE(SUBSTITUTE(TRIM($AH52),":",""),"-",""))), --(UPPER(TRIM($B$2:$B$518))="YES"), --(UPPER(TRIM($G$2:$G$518)&amp;TRIM($I$2:$I$518)&amp;TRIM($J$2:$J$518))&lt;&gt;UPPER(TRIM($G52)&amp;TRIM($I52)&amp;TRIM($J52))))&gt;0), AND($AP52&lt;&gt;"", LOWER(TRIM($AP52))&lt;&gt;"n/a", LOWER(TRIM($AP52))&lt;&gt;"na", SUMPRODUCT(--(UPPER(TRIM($AP$2:$AP$518))=UPPER(TRIM($AP52))), --(UPPER(TRIM($B$2:$B$518))="YES"), --(UPPER(TRIM($G$2:$G$518)&amp;TRIM($I$2:$I$518)&amp;TRIM($J$2:$J$518))&lt;&gt;UPPER(TRIM($G52)&amp;TRIM($I52)&amp;TRIM($J52))))&gt;0), AND($AQ52&lt;&gt;"", LOWER(TRIM($AQ52))&lt;&gt;"n/a", LOWER(TRIM($AQ52))&lt;&gt;"na", SUMPRODUCT(--(UPPER(TRIM($AQ$2:$AQ$518))=UPPER(TRIM($AQ52))), --(UPPER(TRIM($B$2:$B$518))="YES"), --(UPPER(TRIM($G$2:$G$518)&amp;TRIM($I$2:$I$518)&amp;TRIM($J$2:$J$518))&lt;&gt;UPPER(TRIM($G52)&amp;TRIM($I52)&amp;TRIM($J52))))&gt;0)), "Yes", "No"))</f>
        <v/>
      </c>
      <c r="G52" t="inlineStr">
        <is>
          <t>NSUH - PSP</t>
        </is>
      </c>
      <c r="H52" t="inlineStr">
        <is>
          <t>NSUH - PSP</t>
        </is>
      </c>
      <c r="I52" t="inlineStr">
        <is>
          <t>Main ORs - PSP - 2nd Floor</t>
        </is>
      </c>
      <c r="J52" t="inlineStr">
        <is>
          <t>OR18</t>
        </is>
      </c>
      <c r="L52" s="18" t="n">
        <v>46095</v>
      </c>
      <c r="U52" t="inlineStr">
        <is>
          <t>Dr. Palilla, Timothy W. Seeberger</t>
        </is>
      </c>
      <c r="V52" t="inlineStr">
        <is>
          <t>WMH300OPR373</t>
        </is>
      </c>
      <c r="W52" t="inlineStr">
        <is>
          <t>MEDSG2425F-0272</t>
        </is>
      </c>
      <c r="X52" t="inlineStr">
        <is>
          <t>NSUH-MACH-VV</t>
        </is>
      </c>
      <c r="Y52" t="inlineStr">
        <is>
          <t>A0F5097FF11B</t>
        </is>
      </c>
      <c r="AB52" t="inlineStr">
        <is>
          <t>WA24406843</t>
        </is>
      </c>
      <c r="AI52" t="inlineStr">
        <is>
          <t>Anesthesia Machine</t>
        </is>
      </c>
      <c r="AJ52" t="n">
        <v>452535</v>
      </c>
      <c r="AL52" t="inlineStr">
        <is>
          <t>7102-535 / 7102-539</t>
        </is>
      </c>
      <c r="AM52" t="inlineStr">
        <is>
          <t>GE Healthcare</t>
        </is>
      </c>
      <c r="AN52" t="inlineStr">
        <is>
          <t>Aisys CS2</t>
        </is>
      </c>
      <c r="AP52" t="inlineStr">
        <is>
          <t>010084068210229221APWC0263911230914</t>
        </is>
      </c>
      <c r="AQ52" t="inlineStr">
        <is>
          <t>010084068210229221APWC0263911230914</t>
        </is>
      </c>
      <c r="AS52" t="inlineStr">
        <is>
          <t>GE Canvas 1000: 833-08, SPEC999015 / GE G1500213: 133-08C, GE B850</t>
        </is>
      </c>
      <c r="AT52" t="inlineStr">
        <is>
          <t>B1-CFU</t>
        </is>
      </c>
      <c r="AX52" t="inlineStr">
        <is>
          <t>GE Canvas 1000: 158HA/ 091181126</t>
        </is>
      </c>
      <c r="AY52" t="inlineStr">
        <is>
          <t>010084068210229221APWC0263911230914</t>
        </is>
      </c>
      <c r="BH52" t="n">
        <v>115200</v>
      </c>
      <c r="BI52" t="n">
        <v>19200</v>
      </c>
      <c r="BM52" t="inlineStr">
        <is>
          <t>E81</t>
        </is>
      </c>
      <c r="BN52" t="inlineStr">
        <is>
          <t>O71</t>
        </is>
      </c>
      <c r="CD52">
        <f>IF($Y52="","",IF((IF(AND($BR52&lt;&gt;"Yes",$BR52&lt;&gt;"N/A"),"Power Cable, ","")&amp;IF(AND($BS52&lt;&gt;"Yes",$BS52&lt;&gt;"N/A"),"Battery, ","")&amp;IF(AND($AD52&lt;&gt;"Yes",$AD52&lt;&gt;"N/A"),"Firmware Download, ","")&amp;IF(AND(OR($AD52="Yes",$AD52="N/A"),$AE52&lt;&gt;"Yes",$AE52&lt;&gt;"N/A"),"Firmware Install, ","")&amp;IF(AND($CB52&lt;&gt;"Yes",$CB52&lt;&gt;"N/A"),"Device ID, ","")&amp;IF(AND($CC52&lt;&gt;"Yes",$CC52&lt;&gt;"N/A"),"Epic Beans Relay, ",""))="","",LEFT(IF(AND($BR52&lt;&gt;"Yes",$BR52&lt;&gt;"N/A"),"Power Cable, ","")&amp;IF(AND($BS52&lt;&gt;"Yes",$BS52&lt;&gt;"N/A"),"Battery, ","")&amp;IF(AND($AD52&lt;&gt;"Yes",$AD52&lt;&gt;"N/A"),"Firmware Download, ","")&amp;IF(AND(OR($AD52="Yes",$AD52="N/A"),$AE52&lt;&gt;"Yes",$AE52&lt;&gt;"N/A"),"Firmware Install, ","")&amp;IF(AND($CB52&lt;&gt;"Yes",$CB52&lt;&gt;"N/A"),"Device ID, ","")&amp;IF(AND($CC52&lt;&gt;"Yes",$CC52&lt;&gt;"N/A"),"Epic Beans Relay, ",""),LEN(IF(AND($BR52&lt;&gt;"Yes",$BR52&lt;&gt;"N/A"),"Power Cable, ","")&amp;IF(AND($BS52&lt;&gt;"Yes",$BS52&lt;&gt;"N/A"),"Battery, ","")&amp;IF(AND($AD52&lt;&gt;"Yes",$AD52&lt;&gt;"N/A"),"Firmware Download, ","")&amp;IF(AND(OR($AD52="Yes",$AD52="N/A"),$AE52&lt;&gt;"Yes",$AE52&lt;&gt;"N/A"),"Firmware Install, ","")&amp;IF(AND($CB52&lt;&gt;"Yes",$CB52&lt;&gt;"N/A"),"Device ID, ","")&amp;IF(AND($CC52&lt;&gt;"Yes",$CC52&lt;&gt;"N/A"),"Epic Beans Relay, ",""))-2)))</f>
        <v/>
      </c>
      <c r="CE52">
        <f>IF($Y52="","",IF($CD52="","Yes","Blocked"))</f>
        <v/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W52">
        <f>IF($S52="","",IF(UPPER(TRIM($S52))&lt;&gt;"PASS","",IF(LEN(TRIM($BY52))&gt;0,"NOTES_PRESENT",IF(LEN(TRIM($T52))=0,"SET_NA",IF(OR(LOWER(TRIM($T52))="na",LOWER(TRIM($T52))="n/a"),"OK","MANUAL_OVERRIDE")))))</f>
        <v/>
      </c>
    </row>
    <row r="53">
      <c r="A53" t="inlineStr">
        <is>
          <t>Neuron Cybernet</t>
        </is>
      </c>
      <c r="B53" s="51" t="inlineStr">
        <is>
          <t>Yes</t>
        </is>
      </c>
      <c r="C53" t="inlineStr">
        <is>
          <t>Yes</t>
        </is>
      </c>
      <c r="D53">
        <f>IF($B53&lt;&gt;"Yes","",IF($C53="No","Yes",IF($C53="Yes","No","")))</f>
        <v/>
      </c>
      <c r="E53">
        <f>IF($A53="","",IF(OR(AND($V53&lt;&gt;"",LOWER(TRIM($V53))&lt;&gt;"n/a",LOWER(TRIM($V53))&lt;&gt;"na",SUMPRODUCT(--(UPPER(TRIM($V$2:$V$518))=UPPER(TRIM($V53))),--(TRIM($V$2:$V$518)&lt;&gt;""),--(LOWER(TRIM($V$2:$V$518))&lt;&gt;"n/a"),--(LOWER(TRIM($V$2:$V$518))&lt;&gt;"na"))&gt;1),AND($W53&lt;&gt;"",LOWER(TRIM($W53))&lt;&gt;"n/a",LOWER(TRIM($W53))&lt;&gt;"na",SUMPRODUCT(--(UPPER(TRIM($W$2:$W$518))=UPPER(TRIM($W53))),--(TRIM($W$2:$W$518)&lt;&gt;""),--(LOWER(TRIM($W$2:$W$518))&lt;&gt;"n/a"),--(LOWER(TRIM($W$2:$W$518))&lt;&gt;"na"))&gt;1),AND($X53&lt;&gt;"",LOWER(TRIM($X53))&lt;&gt;"n/a",LOWER(TRIM($X53))&lt;&gt;"na",SUMPRODUCT(--(UPPER(TRIM($X$2:$X$518))=UPPER(TRIM($X53))),--(TRIM($X$2:$X$518)&lt;&gt;""),--(LOWER(TRIM($X$2:$X$518))&lt;&gt;"n/a"),--(LOWER(TRIM($X$2:$X$518))&lt;&gt;"na"))&gt;1),AND($Y53&lt;&gt;"",LOWER(TRIM($Y53))&lt;&gt;"n/a",LOWER(TRIM($Y53))&lt;&gt;"na",SUMPRODUCT(--(UPPER(SUBSTITUTE(SUBSTITUTE(TRIM($Y$2:$Y$518),":",""),"-",""))=UPPER(SUBSTITUTE(SUBSTITUTE(TRIM($Y53),":",""),"-",""))),--(TRIM($Y$2:$Y$518)&lt;&gt;""),--(LOWER(TRIM($Y$2:$Y$518))&lt;&gt;"n/a"),--(LOWER(TRIM($Y$2:$Y$518))&lt;&gt;"na"))&gt;1),AND($AB53&lt;&gt;"",LOWER(TRIM($AB53))&lt;&gt;"n/a",LOWER(TRIM($AB53))&lt;&gt;"na",SUMPRODUCT(--(UPPER(TRIM($AB$2:$AB$518))=UPPER(TRIM($AB53))),--(TRIM($AB$2:$AB$518)&lt;&gt;""),--(LOWER(TRIM($AB$2:$AB$518))&lt;&gt;"n/a"),--(LOWER(TRIM($AB$2:$AB$518))&lt;&gt;"na"))&gt;1),AND($AH53&lt;&gt;"",LOWER(TRIM($AH53))&lt;&gt;"n/a",LOWER(TRIM($AH53))&lt;&gt;"na",SUMPRODUCT(--(UPPER(SUBSTITUTE(SUBSTITUTE(TRIM($AH$2:$AH$518),":",""),"-",""))=UPPER(SUBSTITUTE(SUBSTITUTE(TRIM($AH53),":",""),"-",""))),--(TRIM($AH$2:$AH$518)&lt;&gt;""),--(LOWER(TRIM($AH$2:$AH$518))&lt;&gt;"n/a"),--(LOWER(TRIM($AH$2:$AH$518))&lt;&gt;"na"))&gt;1),AND($AP53&lt;&gt;"",LOWER(TRIM($AP53))&lt;&gt;"n/a",LOWER(TRIM($AP53))&lt;&gt;"na",SUMPRODUCT(--(UPPER(TRIM($AP$2:$AP$518))=UPPER(TRIM($AP53))),--(TRIM($AP$2:$AP$518)&lt;&gt;""),--(LOWER(TRIM($AP$2:$AP$518))&lt;&gt;"n/a"),--(LOWER(TRIM($AP$2:$AP$518))&lt;&gt;"na"))&gt;1),AND($AQ53&lt;&gt;"",LOWER(TRIM($AQ53))&lt;&gt;"n/a",LOWER(TRIM($AQ53))&lt;&gt;"na",SUMPRODUCT(--(UPPER(TRIM($AQ$2:$AQ$518))=UPPER(TRIM($AQ53))),--(TRIM($AQ$2:$AQ$518)&lt;&gt;""),--(LOWER(TRIM($AQ$2:$AQ$518))&lt;&gt;"n/a"),--(LOWER(TRIM($AQ$2:$AQ$518))&lt;&gt;"na"))&gt;1)),"Yes","No"))</f>
        <v/>
      </c>
      <c r="F53">
        <f>IF(UPPER(TRIM($B53))&lt;&gt;"YES","", IF(OR(AND($V53&lt;&gt;"", LOWER(TRIM($V53))&lt;&gt;"n/a", LOWER(TRIM($V53))&lt;&gt;"na", SUMPRODUCT(--(UPPER(TRIM($V$2:$V$518))=UPPER(TRIM($V53))), --(UPPER(TRIM($B$2:$B$518))="YES"), --(UPPER(TRIM($G$2:$G$518)&amp;TRIM($I$2:$I$518)&amp;TRIM($J$2:$J$518))&lt;&gt;UPPER(TRIM($G53)&amp;TRIM($I53)&amp;TRIM($J53))))&gt;0), AND($W53&lt;&gt;"", LOWER(TRIM($W53))&lt;&gt;"n/a", LOWER(TRIM($W53))&lt;&gt;"na", SUMPRODUCT(--(UPPER(TRIM($W$2:$W$518))=UPPER(TRIM($W53))), --(UPPER(TRIM($B$2:$B$518))="YES"), --(UPPER(TRIM($G$2:$G$518)&amp;TRIM($I$2:$I$518)&amp;TRIM($J$2:$J$518))&lt;&gt;UPPER(TRIM($G53)&amp;TRIM($I53)&amp;TRIM($J53))))&gt;0), AND($X53&lt;&gt;"", LOWER(TRIM($X53))&lt;&gt;"n/a", LOWER(TRIM($X53))&lt;&gt;"na", SUMPRODUCT(--(UPPER(TRIM($X$2:$X$518))=UPPER(TRIM($X53))), --(UPPER(TRIM($B$2:$B$518))="YES"), --(UPPER(TRIM($G$2:$G$518)&amp;TRIM($I$2:$I$518)&amp;TRIM($J$2:$J$518))&lt;&gt;UPPER(TRIM($G53)&amp;TRIM($I53)&amp;TRIM($J53))))&gt;0), AND($Y53&lt;&gt;"", LOWER(TRIM($Y53))&lt;&gt;"n/a", LOWER(TRIM($Y53))&lt;&gt;"na", SUMPRODUCT(--(UPPER(SUBSTITUTE(SUBSTITUTE(TRIM($Y$2:$Y$518),":",""),"-",""))=UPPER(SUBSTITUTE(SUBSTITUTE(TRIM($Y53),":",""),"-",""))), --(UPPER(TRIM($B$2:$B$518))="YES"), --(UPPER(TRIM($G$2:$G$518)&amp;TRIM($I$2:$I$518)&amp;TRIM($J$2:$J$518))&lt;&gt;UPPER(TRIM($G53)&amp;TRIM($I53)&amp;TRIM($J53))))&gt;0), AND($AB53&lt;&gt;"", LOWER(TRIM($AB53))&lt;&gt;"n/a", LOWER(TRIM($AB53))&lt;&gt;"na", SUMPRODUCT(--(UPPER(TRIM($AB$2:$AB$518))=UPPER(TRIM($AB53))), --(UPPER(TRIM($B$2:$B$518))="YES"), --(UPPER(TRIM($G$2:$G$518)&amp;TRIM($I$2:$I$518)&amp;TRIM($J$2:$J$518))&lt;&gt;UPPER(TRIM($G53)&amp;TRIM($I53)&amp;TRIM($J53))))&gt;0), AND($AH53&lt;&gt;"", LOWER(TRIM($AH53))&lt;&gt;"n/a", LOWER(TRIM($AH53))&lt;&gt;"na", SUMPRODUCT(--(UPPER(SUBSTITUTE(SUBSTITUTE(TRIM($AH$2:$AH$518),":",""),"-",""))=UPPER(SUBSTITUTE(SUBSTITUTE(TRIM($AH53),":",""),"-",""))), --(UPPER(TRIM($B$2:$B$518))="YES"), --(UPPER(TRIM($G$2:$G$518)&amp;TRIM($I$2:$I$518)&amp;TRIM($J$2:$J$518))&lt;&gt;UPPER(TRIM($G53)&amp;TRIM($I53)&amp;TRIM($J53))))&gt;0), AND($AP53&lt;&gt;"", LOWER(TRIM($AP53))&lt;&gt;"n/a", LOWER(TRIM($AP53))&lt;&gt;"na", SUMPRODUCT(--(UPPER(TRIM($AP$2:$AP$518))=UPPER(TRIM($AP53))), --(UPPER(TRIM($B$2:$B$518))="YES"), --(UPPER(TRIM($G$2:$G$518)&amp;TRIM($I$2:$I$518)&amp;TRIM($J$2:$J$518))&lt;&gt;UPPER(TRIM($G53)&amp;TRIM($I53)&amp;TRIM($J53))))&gt;0), AND($AQ53&lt;&gt;"", LOWER(TRIM($AQ53))&lt;&gt;"n/a", LOWER(TRIM($AQ53))&lt;&gt;"na", SUMPRODUCT(--(UPPER(TRIM($AQ$2:$AQ$518))=UPPER(TRIM($AQ53))), --(UPPER(TRIM($B$2:$B$518))="YES"), --(UPPER(TRIM($G$2:$G$518)&amp;TRIM($I$2:$I$518)&amp;TRIM($J$2:$J$518))&lt;&gt;UPPER(TRIM($G53)&amp;TRIM($I53)&amp;TRIM($J53))))&gt;0)), "Yes", "No"))</f>
        <v/>
      </c>
      <c r="G53" t="inlineStr">
        <is>
          <t>NSUH - PSP</t>
        </is>
      </c>
      <c r="H53" t="inlineStr">
        <is>
          <t>NSUH - PSP</t>
        </is>
      </c>
      <c r="I53" t="inlineStr">
        <is>
          <t>Main ORs - PSP - 2nd Floor</t>
        </is>
      </c>
      <c r="J53" t="inlineStr">
        <is>
          <t>OR 2</t>
        </is>
      </c>
      <c r="L53" s="18" t="n">
        <v>46095</v>
      </c>
      <c r="U53" t="inlineStr">
        <is>
          <t>Dr. Palilla, Timothy W. Seeberger</t>
        </is>
      </c>
      <c r="V53" t="inlineStr">
        <is>
          <t>WMH300OPR374</t>
        </is>
      </c>
      <c r="W53" t="inlineStr">
        <is>
          <t>MEDSG2425F-0140</t>
        </is>
      </c>
      <c r="X53" t="inlineStr">
        <is>
          <t>NSUH-MACH-RRR</t>
        </is>
      </c>
      <c r="Y53" t="inlineStr">
        <is>
          <t>A0F5097FEDC1</t>
        </is>
      </c>
      <c r="AB53" t="inlineStr">
        <is>
          <t>WA24406822</t>
        </is>
      </c>
      <c r="AI53" t="inlineStr">
        <is>
          <t>Anesthesia Machine</t>
        </is>
      </c>
      <c r="AJ53" t="n">
        <v>452505</v>
      </c>
      <c r="AL53" t="inlineStr">
        <is>
          <t>296-7102/297-7102</t>
        </is>
      </c>
      <c r="AM53" t="inlineStr">
        <is>
          <t>GE Healthcare</t>
        </is>
      </c>
      <c r="AN53" t="inlineStr">
        <is>
          <t>Aisys CS2</t>
        </is>
      </c>
      <c r="AP53" t="inlineStr">
        <is>
          <t>APWC02652</t>
        </is>
      </c>
      <c r="AQ53" t="inlineStr">
        <is>
          <t>APWC02652</t>
        </is>
      </c>
      <c r="AS53" t="inlineStr">
        <is>
          <t>GE Canvas 1000: 833-08, SPEC999015 / GE G1500213: 133-08C, GE B850</t>
        </is>
      </c>
      <c r="AT53" t="inlineStr">
        <is>
          <t>B1-CFU</t>
        </is>
      </c>
      <c r="AX53" t="inlineStr">
        <is>
          <t>GE Canvas 1000: 197HA / 091181385</t>
        </is>
      </c>
      <c r="AY53" t="inlineStr">
        <is>
          <t>010084068210229221APWC0265211230915</t>
        </is>
      </c>
      <c r="BH53" t="n">
        <v>115200</v>
      </c>
      <c r="BI53" t="n">
        <v>19200</v>
      </c>
      <c r="BM53" t="inlineStr">
        <is>
          <t>E81</t>
        </is>
      </c>
      <c r="BN53" t="inlineStr">
        <is>
          <t>O71</t>
        </is>
      </c>
      <c r="CD53">
        <f>IF($Y53="","",IF((IF(AND($BR53&lt;&gt;"Yes",$BR53&lt;&gt;"N/A"),"Power Cable, ","")&amp;IF(AND($BS53&lt;&gt;"Yes",$BS53&lt;&gt;"N/A"),"Battery, ","")&amp;IF(AND($AD53&lt;&gt;"Yes",$AD53&lt;&gt;"N/A"),"Firmware Download, ","")&amp;IF(AND(OR($AD53="Yes",$AD53="N/A"),$AE53&lt;&gt;"Yes",$AE53&lt;&gt;"N/A"),"Firmware Install, ","")&amp;IF(AND($CB53&lt;&gt;"Yes",$CB53&lt;&gt;"N/A"),"Device ID, ","")&amp;IF(AND($CC53&lt;&gt;"Yes",$CC53&lt;&gt;"N/A"),"Epic Beans Relay, ",""))="","",LEFT(IF(AND($BR53&lt;&gt;"Yes",$BR53&lt;&gt;"N/A"),"Power Cable, ","")&amp;IF(AND($BS53&lt;&gt;"Yes",$BS53&lt;&gt;"N/A"),"Battery, ","")&amp;IF(AND($AD53&lt;&gt;"Yes",$AD53&lt;&gt;"N/A"),"Firmware Download, ","")&amp;IF(AND(OR($AD53="Yes",$AD53="N/A"),$AE53&lt;&gt;"Yes",$AE53&lt;&gt;"N/A"),"Firmware Install, ","")&amp;IF(AND($CB53&lt;&gt;"Yes",$CB53&lt;&gt;"N/A"),"Device ID, ","")&amp;IF(AND($CC53&lt;&gt;"Yes",$CC53&lt;&gt;"N/A"),"Epic Beans Relay, ",""),LEN(IF(AND($BR53&lt;&gt;"Yes",$BR53&lt;&gt;"N/A"),"Power Cable, ","")&amp;IF(AND($BS53&lt;&gt;"Yes",$BS53&lt;&gt;"N/A"),"Battery, ","")&amp;IF(AND($AD53&lt;&gt;"Yes",$AD53&lt;&gt;"N/A"),"Firmware Download, ","")&amp;IF(AND(OR($AD53="Yes",$AD53="N/A"),$AE53&lt;&gt;"Yes",$AE53&lt;&gt;"N/A"),"Firmware Install, ","")&amp;IF(AND($CB53&lt;&gt;"Yes",$CB53&lt;&gt;"N/A"),"Device ID, ","")&amp;IF(AND($CC53&lt;&gt;"Yes",$CC53&lt;&gt;"N/A"),"Epic Beans Relay, ",""))-2)))</f>
        <v/>
      </c>
      <c r="CE53">
        <f>IF($Y53="","",IF($CD53="","Yes","Blocked"))</f>
        <v/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W53">
        <f>IF($S53="","",IF(UPPER(TRIM($S53))&lt;&gt;"PASS","",IF(LEN(TRIM($BY53))&gt;0,"NOTES_PRESENT",IF(LEN(TRIM($T53))=0,"SET_NA",IF(OR(LOWER(TRIM($T53))="na",LOWER(TRIM($T53))="n/a"),"OK","MANUAL_OVERRIDE")))))</f>
        <v/>
      </c>
    </row>
    <row r="54">
      <c r="A54" t="inlineStr">
        <is>
          <t>Cybernet</t>
        </is>
      </c>
      <c r="B54" s="51" t="inlineStr">
        <is>
          <t>No</t>
        </is>
      </c>
      <c r="C54" t="inlineStr">
        <is>
          <t>No</t>
        </is>
      </c>
      <c r="D54">
        <f>IF($B54&lt;&gt;"Yes","",IF($C54="No","Yes",IF($C54="Yes","No","")))</f>
        <v/>
      </c>
      <c r="E54">
        <f>IF($A54="","",IF(OR(AND($V54&lt;&gt;"",LOWER(TRIM($V54))&lt;&gt;"n/a",LOWER(TRIM($V54))&lt;&gt;"na",SUMPRODUCT(--(UPPER(TRIM($V$2:$V$518))=UPPER(TRIM($V54))),--(TRIM($V$2:$V$518)&lt;&gt;""),--(LOWER(TRIM($V$2:$V$518))&lt;&gt;"n/a"),--(LOWER(TRIM($V$2:$V$518))&lt;&gt;"na"))&gt;1),AND($W54&lt;&gt;"",LOWER(TRIM($W54))&lt;&gt;"n/a",LOWER(TRIM($W54))&lt;&gt;"na",SUMPRODUCT(--(UPPER(TRIM($W$2:$W$518))=UPPER(TRIM($W54))),--(TRIM($W$2:$W$518)&lt;&gt;""),--(LOWER(TRIM($W$2:$W$518))&lt;&gt;"n/a"),--(LOWER(TRIM($W$2:$W$518))&lt;&gt;"na"))&gt;1),AND($X54&lt;&gt;"",LOWER(TRIM($X54))&lt;&gt;"n/a",LOWER(TRIM($X54))&lt;&gt;"na",SUMPRODUCT(--(UPPER(TRIM($X$2:$X$518))=UPPER(TRIM($X54))),--(TRIM($X$2:$X$518)&lt;&gt;""),--(LOWER(TRIM($X$2:$X$518))&lt;&gt;"n/a"),--(LOWER(TRIM($X$2:$X$518))&lt;&gt;"na"))&gt;1),AND($Y54&lt;&gt;"",LOWER(TRIM($Y54))&lt;&gt;"n/a",LOWER(TRIM($Y54))&lt;&gt;"na",SUMPRODUCT(--(UPPER(SUBSTITUTE(SUBSTITUTE(TRIM($Y$2:$Y$518),":",""),"-",""))=UPPER(SUBSTITUTE(SUBSTITUTE(TRIM($Y54),":",""),"-",""))),--(TRIM($Y$2:$Y$518)&lt;&gt;""),--(LOWER(TRIM($Y$2:$Y$518))&lt;&gt;"n/a"),--(LOWER(TRIM($Y$2:$Y$518))&lt;&gt;"na"))&gt;1),AND($AB54&lt;&gt;"",LOWER(TRIM($AB54))&lt;&gt;"n/a",LOWER(TRIM($AB54))&lt;&gt;"na",SUMPRODUCT(--(UPPER(TRIM($AB$2:$AB$518))=UPPER(TRIM($AB54))),--(TRIM($AB$2:$AB$518)&lt;&gt;""),--(LOWER(TRIM($AB$2:$AB$518))&lt;&gt;"n/a"),--(LOWER(TRIM($AB$2:$AB$518))&lt;&gt;"na"))&gt;1),AND($AH54&lt;&gt;"",LOWER(TRIM($AH54))&lt;&gt;"n/a",LOWER(TRIM($AH54))&lt;&gt;"na",SUMPRODUCT(--(UPPER(SUBSTITUTE(SUBSTITUTE(TRIM($AH$2:$AH$518),":",""),"-",""))=UPPER(SUBSTITUTE(SUBSTITUTE(TRIM($AH54),":",""),"-",""))),--(TRIM($AH$2:$AH$518)&lt;&gt;""),--(LOWER(TRIM($AH$2:$AH$518))&lt;&gt;"n/a"),--(LOWER(TRIM($AH$2:$AH$518))&lt;&gt;"na"))&gt;1),AND($AP54&lt;&gt;"",LOWER(TRIM($AP54))&lt;&gt;"n/a",LOWER(TRIM($AP54))&lt;&gt;"na",SUMPRODUCT(--(UPPER(TRIM($AP$2:$AP$518))=UPPER(TRIM($AP54))),--(TRIM($AP$2:$AP$518)&lt;&gt;""),--(LOWER(TRIM($AP$2:$AP$518))&lt;&gt;"n/a"),--(LOWER(TRIM($AP$2:$AP$518))&lt;&gt;"na"))&gt;1),AND($AQ54&lt;&gt;"",LOWER(TRIM($AQ54))&lt;&gt;"n/a",LOWER(TRIM($AQ54))&lt;&gt;"na",SUMPRODUCT(--(UPPER(TRIM($AQ$2:$AQ$518))=UPPER(TRIM($AQ54))),--(TRIM($AQ$2:$AQ$518)&lt;&gt;""),--(LOWER(TRIM($AQ$2:$AQ$518))&lt;&gt;"n/a"),--(LOWER(TRIM($AQ$2:$AQ$518))&lt;&gt;"na"))&gt;1)),"Yes","No"))</f>
        <v/>
      </c>
      <c r="F54">
        <f>IF(UPPER(TRIM($B54))&lt;&gt;"YES","", IF(OR(AND($V54&lt;&gt;"", LOWER(TRIM($V54))&lt;&gt;"n/a", LOWER(TRIM($V54))&lt;&gt;"na", SUMPRODUCT(--(UPPER(TRIM($V$2:$V$518))=UPPER(TRIM($V54))), --(UPPER(TRIM($B$2:$B$518))="YES"), --(UPPER(TRIM($G$2:$G$518)&amp;TRIM($I$2:$I$518)&amp;TRIM($J$2:$J$518))&lt;&gt;UPPER(TRIM($G54)&amp;TRIM($I54)&amp;TRIM($J54))))&gt;0), AND($W54&lt;&gt;"", LOWER(TRIM($W54))&lt;&gt;"n/a", LOWER(TRIM($W54))&lt;&gt;"na", SUMPRODUCT(--(UPPER(TRIM($W$2:$W$518))=UPPER(TRIM($W54))), --(UPPER(TRIM($B$2:$B$518))="YES"), --(UPPER(TRIM($G$2:$G$518)&amp;TRIM($I$2:$I$518)&amp;TRIM($J$2:$J$518))&lt;&gt;UPPER(TRIM($G54)&amp;TRIM($I54)&amp;TRIM($J54))))&gt;0), AND($X54&lt;&gt;"", LOWER(TRIM($X54))&lt;&gt;"n/a", LOWER(TRIM($X54))&lt;&gt;"na", SUMPRODUCT(--(UPPER(TRIM($X$2:$X$518))=UPPER(TRIM($X54))), --(UPPER(TRIM($B$2:$B$518))="YES"), --(UPPER(TRIM($G$2:$G$518)&amp;TRIM($I$2:$I$518)&amp;TRIM($J$2:$J$518))&lt;&gt;UPPER(TRIM($G54)&amp;TRIM($I54)&amp;TRIM($J54))))&gt;0), AND($Y54&lt;&gt;"", LOWER(TRIM($Y54))&lt;&gt;"n/a", LOWER(TRIM($Y54))&lt;&gt;"na", SUMPRODUCT(--(UPPER(SUBSTITUTE(SUBSTITUTE(TRIM($Y$2:$Y$518),":",""),"-",""))=UPPER(SUBSTITUTE(SUBSTITUTE(TRIM($Y54),":",""),"-",""))), --(UPPER(TRIM($B$2:$B$518))="YES"), --(UPPER(TRIM($G$2:$G$518)&amp;TRIM($I$2:$I$518)&amp;TRIM($J$2:$J$518))&lt;&gt;UPPER(TRIM($G54)&amp;TRIM($I54)&amp;TRIM($J54))))&gt;0), AND($AB54&lt;&gt;"", LOWER(TRIM($AB54))&lt;&gt;"n/a", LOWER(TRIM($AB54))&lt;&gt;"na", SUMPRODUCT(--(UPPER(TRIM($AB$2:$AB$518))=UPPER(TRIM($AB54))), --(UPPER(TRIM($B$2:$B$518))="YES"), --(UPPER(TRIM($G$2:$G$518)&amp;TRIM($I$2:$I$518)&amp;TRIM($J$2:$J$518))&lt;&gt;UPPER(TRIM($G54)&amp;TRIM($I54)&amp;TRIM($J54))))&gt;0), AND($AH54&lt;&gt;"", LOWER(TRIM($AH54))&lt;&gt;"n/a", LOWER(TRIM($AH54))&lt;&gt;"na", SUMPRODUCT(--(UPPER(SUBSTITUTE(SUBSTITUTE(TRIM($AH$2:$AH$518),":",""),"-",""))=UPPER(SUBSTITUTE(SUBSTITUTE(TRIM($AH54),":",""),"-",""))), --(UPPER(TRIM($B$2:$B$518))="YES"), --(UPPER(TRIM($G$2:$G$518)&amp;TRIM($I$2:$I$518)&amp;TRIM($J$2:$J$518))&lt;&gt;UPPER(TRIM($G54)&amp;TRIM($I54)&amp;TRIM($J54))))&gt;0), AND($AP54&lt;&gt;"", LOWER(TRIM($AP54))&lt;&gt;"n/a", LOWER(TRIM($AP54))&lt;&gt;"na", SUMPRODUCT(--(UPPER(TRIM($AP$2:$AP$518))=UPPER(TRIM($AP54))), --(UPPER(TRIM($B$2:$B$518))="YES"), --(UPPER(TRIM($G$2:$G$518)&amp;TRIM($I$2:$I$518)&amp;TRIM($J$2:$J$518))&lt;&gt;UPPER(TRIM($G54)&amp;TRIM($I54)&amp;TRIM($J54))))&gt;0), AND($AQ54&lt;&gt;"", LOWER(TRIM($AQ54))&lt;&gt;"n/a", LOWER(TRIM($AQ54))&lt;&gt;"na", SUMPRODUCT(--(UPPER(TRIM($AQ$2:$AQ$518))=UPPER(TRIM($AQ54))), --(UPPER(TRIM($B$2:$B$518))="YES"), --(UPPER(TRIM($G$2:$G$518)&amp;TRIM($I$2:$I$518)&amp;TRIM($J$2:$J$518))&lt;&gt;UPPER(TRIM($G54)&amp;TRIM($I54)&amp;TRIM($J54))))&gt;0)), "Yes", "No"))</f>
        <v/>
      </c>
      <c r="G54" t="inlineStr">
        <is>
          <t>NSUH - PSP</t>
        </is>
      </c>
      <c r="H54" t="inlineStr">
        <is>
          <t>NSUH - PSP</t>
        </is>
      </c>
      <c r="I54" t="inlineStr">
        <is>
          <t>Main ORs - PSP - 2nd Floor</t>
        </is>
      </c>
      <c r="U54" t="inlineStr">
        <is>
          <t>Dr. Palilla, Timothy W. Seeberger</t>
        </is>
      </c>
      <c r="V54" t="inlineStr">
        <is>
          <t>WMH300OPR375</t>
        </is>
      </c>
      <c r="CD54">
        <f>IF($Y54="","",IF((IF(AND($BR54&lt;&gt;"Yes",$BR54&lt;&gt;"N/A"),"Power Cable, ","")&amp;IF(AND($BS54&lt;&gt;"Yes",$BS54&lt;&gt;"N/A"),"Battery, ","")&amp;IF(AND($AD54&lt;&gt;"Yes",$AD54&lt;&gt;"N/A"),"Firmware Download, ","")&amp;IF(AND(OR($AD54="Yes",$AD54="N/A"),$AE54&lt;&gt;"Yes",$AE54&lt;&gt;"N/A"),"Firmware Install, ","")&amp;IF(AND($CB54&lt;&gt;"Yes",$CB54&lt;&gt;"N/A"),"Device ID, ","")&amp;IF(AND($CC54&lt;&gt;"Yes",$CC54&lt;&gt;"N/A"),"Epic Beans Relay, ",""))="","",LEFT(IF(AND($BR54&lt;&gt;"Yes",$BR54&lt;&gt;"N/A"),"Power Cable, ","")&amp;IF(AND($BS54&lt;&gt;"Yes",$BS54&lt;&gt;"N/A"),"Battery, ","")&amp;IF(AND($AD54&lt;&gt;"Yes",$AD54&lt;&gt;"N/A"),"Firmware Download, ","")&amp;IF(AND(OR($AD54="Yes",$AD54="N/A"),$AE54&lt;&gt;"Yes",$AE54&lt;&gt;"N/A"),"Firmware Install, ","")&amp;IF(AND($CB54&lt;&gt;"Yes",$CB54&lt;&gt;"N/A"),"Device ID, ","")&amp;IF(AND($CC54&lt;&gt;"Yes",$CC54&lt;&gt;"N/A"),"Epic Beans Relay, ",""),LEN(IF(AND($BR54&lt;&gt;"Yes",$BR54&lt;&gt;"N/A"),"Power Cable, ","")&amp;IF(AND($BS54&lt;&gt;"Yes",$BS54&lt;&gt;"N/A"),"Battery, ","")&amp;IF(AND($AD54&lt;&gt;"Yes",$AD54&lt;&gt;"N/A"),"Firmware Download, ","")&amp;IF(AND(OR($AD54="Yes",$AD54="N/A"),$AE54&lt;&gt;"Yes",$AE54&lt;&gt;"N/A"),"Firmware Install, ","")&amp;IF(AND($CB54&lt;&gt;"Yes",$CB54&lt;&gt;"N/A"),"Device ID, ","")&amp;IF(AND($CC54&lt;&gt;"Yes",$CC54&lt;&gt;"N/A"),"Epic Beans Relay, ",""))-2)))</f>
        <v/>
      </c>
      <c r="CE54">
        <f>IF($Y54="","",IF($CD54="","Yes","Blocked"))</f>
        <v/>
      </c>
      <c r="CF54" t="inlineStr">
        <is>
          <t>Yes</t>
        </is>
      </c>
      <c r="CG54" t="inlineStr">
        <is>
          <t>Yes</t>
        </is>
      </c>
      <c r="CH54" t="inlineStr">
        <is>
          <t>Yes</t>
        </is>
      </c>
      <c r="CI54" t="inlineStr">
        <is>
          <t>Yes</t>
        </is>
      </c>
      <c r="CJ54" t="inlineStr">
        <is>
          <t>Yes</t>
        </is>
      </c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  <c r="CQ54" t="inlineStr">
        <is>
          <t>Yes</t>
        </is>
      </c>
      <c r="CR54" t="inlineStr">
        <is>
          <t>Yes</t>
        </is>
      </c>
      <c r="CS54" t="inlineStr">
        <is>
          <t>Yes</t>
        </is>
      </c>
      <c r="CW54">
        <f>IF($S54="","",IF(UPPER(TRIM($S54))&lt;&gt;"PASS","",IF(LEN(TRIM($BY54))&gt;0,"NOTES_PRESENT",IF(LEN(TRIM($T54))=0,"SET_NA",IF(OR(LOWER(TRIM($T54))="na",LOWER(TRIM($T54))="n/a"),"OK","MANUAL_OVERRIDE")))))</f>
        <v/>
      </c>
    </row>
    <row r="55">
      <c r="A55" t="inlineStr">
        <is>
          <t>Cybernet</t>
        </is>
      </c>
      <c r="B55" s="51" t="inlineStr">
        <is>
          <t>No</t>
        </is>
      </c>
      <c r="C55" t="inlineStr">
        <is>
          <t>No</t>
        </is>
      </c>
      <c r="D55">
        <f>IF($B55&lt;&gt;"Yes","",IF($C55="No","Yes",IF($C55="Yes","No","")))</f>
        <v/>
      </c>
      <c r="E55">
        <f>IF($A55="","",IF(OR(AND($V55&lt;&gt;"",LOWER(TRIM($V55))&lt;&gt;"n/a",LOWER(TRIM($V55))&lt;&gt;"na",SUMPRODUCT(--(UPPER(TRIM($V$2:$V$518))=UPPER(TRIM($V55))),--(TRIM($V$2:$V$518)&lt;&gt;""),--(LOWER(TRIM($V$2:$V$518))&lt;&gt;"n/a"),--(LOWER(TRIM($V$2:$V$518))&lt;&gt;"na"))&gt;1),AND($W55&lt;&gt;"",LOWER(TRIM($W55))&lt;&gt;"n/a",LOWER(TRIM($W55))&lt;&gt;"na",SUMPRODUCT(--(UPPER(TRIM($W$2:$W$518))=UPPER(TRIM($W55))),--(TRIM($W$2:$W$518)&lt;&gt;""),--(LOWER(TRIM($W$2:$W$518))&lt;&gt;"n/a"),--(LOWER(TRIM($W$2:$W$518))&lt;&gt;"na"))&gt;1),AND($X55&lt;&gt;"",LOWER(TRIM($X55))&lt;&gt;"n/a",LOWER(TRIM($X55))&lt;&gt;"na",SUMPRODUCT(--(UPPER(TRIM($X$2:$X$518))=UPPER(TRIM($X55))),--(TRIM($X$2:$X$518)&lt;&gt;""),--(LOWER(TRIM($X$2:$X$518))&lt;&gt;"n/a"),--(LOWER(TRIM($X$2:$X$518))&lt;&gt;"na"))&gt;1),AND($Y55&lt;&gt;"",LOWER(TRIM($Y55))&lt;&gt;"n/a",LOWER(TRIM($Y55))&lt;&gt;"na",SUMPRODUCT(--(UPPER(SUBSTITUTE(SUBSTITUTE(TRIM($Y$2:$Y$518),":",""),"-",""))=UPPER(SUBSTITUTE(SUBSTITUTE(TRIM($Y55),":",""),"-",""))),--(TRIM($Y$2:$Y$518)&lt;&gt;""),--(LOWER(TRIM($Y$2:$Y$518))&lt;&gt;"n/a"),--(LOWER(TRIM($Y$2:$Y$518))&lt;&gt;"na"))&gt;1),AND($AB55&lt;&gt;"",LOWER(TRIM($AB55))&lt;&gt;"n/a",LOWER(TRIM($AB55))&lt;&gt;"na",SUMPRODUCT(--(UPPER(TRIM($AB$2:$AB$518))=UPPER(TRIM($AB55))),--(TRIM($AB$2:$AB$518)&lt;&gt;""),--(LOWER(TRIM($AB$2:$AB$518))&lt;&gt;"n/a"),--(LOWER(TRIM($AB$2:$AB$518))&lt;&gt;"na"))&gt;1),AND($AH55&lt;&gt;"",LOWER(TRIM($AH55))&lt;&gt;"n/a",LOWER(TRIM($AH55))&lt;&gt;"na",SUMPRODUCT(--(UPPER(SUBSTITUTE(SUBSTITUTE(TRIM($AH$2:$AH$518),":",""),"-",""))=UPPER(SUBSTITUTE(SUBSTITUTE(TRIM($AH55),":",""),"-",""))),--(TRIM($AH$2:$AH$518)&lt;&gt;""),--(LOWER(TRIM($AH$2:$AH$518))&lt;&gt;"n/a"),--(LOWER(TRIM($AH$2:$AH$518))&lt;&gt;"na"))&gt;1),AND($AP55&lt;&gt;"",LOWER(TRIM($AP55))&lt;&gt;"n/a",LOWER(TRIM($AP55))&lt;&gt;"na",SUMPRODUCT(--(UPPER(TRIM($AP$2:$AP$518))=UPPER(TRIM($AP55))),--(TRIM($AP$2:$AP$518)&lt;&gt;""),--(LOWER(TRIM($AP$2:$AP$518))&lt;&gt;"n/a"),--(LOWER(TRIM($AP$2:$AP$518))&lt;&gt;"na"))&gt;1),AND($AQ55&lt;&gt;"",LOWER(TRIM($AQ55))&lt;&gt;"n/a",LOWER(TRIM($AQ55))&lt;&gt;"na",SUMPRODUCT(--(UPPER(TRIM($AQ$2:$AQ$518))=UPPER(TRIM($AQ55))),--(TRIM($AQ$2:$AQ$518)&lt;&gt;""),--(LOWER(TRIM($AQ$2:$AQ$518))&lt;&gt;"n/a"),--(LOWER(TRIM($AQ$2:$AQ$518))&lt;&gt;"na"))&gt;1)),"Yes","No"))</f>
        <v/>
      </c>
      <c r="F55">
        <f>IF(UPPER(TRIM($B55))&lt;&gt;"YES","", IF(OR(AND($V55&lt;&gt;"", LOWER(TRIM($V55))&lt;&gt;"n/a", LOWER(TRIM($V55))&lt;&gt;"na", SUMPRODUCT(--(UPPER(TRIM($V$2:$V$518))=UPPER(TRIM($V55))), --(UPPER(TRIM($B$2:$B$518))="YES"), --(UPPER(TRIM($G$2:$G$518)&amp;TRIM($I$2:$I$518)&amp;TRIM($J$2:$J$518))&lt;&gt;UPPER(TRIM($G55)&amp;TRIM($I55)&amp;TRIM($J55))))&gt;0), AND($W55&lt;&gt;"", LOWER(TRIM($W55))&lt;&gt;"n/a", LOWER(TRIM($W55))&lt;&gt;"na", SUMPRODUCT(--(UPPER(TRIM($W$2:$W$518))=UPPER(TRIM($W55))), --(UPPER(TRIM($B$2:$B$518))="YES"), --(UPPER(TRIM($G$2:$G$518)&amp;TRIM($I$2:$I$518)&amp;TRIM($J$2:$J$518))&lt;&gt;UPPER(TRIM($G55)&amp;TRIM($I55)&amp;TRIM($J55))))&gt;0), AND($X55&lt;&gt;"", LOWER(TRIM($X55))&lt;&gt;"n/a", LOWER(TRIM($X55))&lt;&gt;"na", SUMPRODUCT(--(UPPER(TRIM($X$2:$X$518))=UPPER(TRIM($X55))), --(UPPER(TRIM($B$2:$B$518))="YES"), --(UPPER(TRIM($G$2:$G$518)&amp;TRIM($I$2:$I$518)&amp;TRIM($J$2:$J$518))&lt;&gt;UPPER(TRIM($G55)&amp;TRIM($I55)&amp;TRIM($J55))))&gt;0), AND($Y55&lt;&gt;"", LOWER(TRIM($Y55))&lt;&gt;"n/a", LOWER(TRIM($Y55))&lt;&gt;"na", SUMPRODUCT(--(UPPER(SUBSTITUTE(SUBSTITUTE(TRIM($Y$2:$Y$518),":",""),"-",""))=UPPER(SUBSTITUTE(SUBSTITUTE(TRIM($Y55),":",""),"-",""))), --(UPPER(TRIM($B$2:$B$518))="YES"), --(UPPER(TRIM($G$2:$G$518)&amp;TRIM($I$2:$I$518)&amp;TRIM($J$2:$J$518))&lt;&gt;UPPER(TRIM($G55)&amp;TRIM($I55)&amp;TRIM($J55))))&gt;0), AND($AB55&lt;&gt;"", LOWER(TRIM($AB55))&lt;&gt;"n/a", LOWER(TRIM($AB55))&lt;&gt;"na", SUMPRODUCT(--(UPPER(TRIM($AB$2:$AB$518))=UPPER(TRIM($AB55))), --(UPPER(TRIM($B$2:$B$518))="YES"), --(UPPER(TRIM($G$2:$G$518)&amp;TRIM($I$2:$I$518)&amp;TRIM($J$2:$J$518))&lt;&gt;UPPER(TRIM($G55)&amp;TRIM($I55)&amp;TRIM($J55))))&gt;0), AND($AH55&lt;&gt;"", LOWER(TRIM($AH55))&lt;&gt;"n/a", LOWER(TRIM($AH55))&lt;&gt;"na", SUMPRODUCT(--(UPPER(SUBSTITUTE(SUBSTITUTE(TRIM($AH$2:$AH$518),":",""),"-",""))=UPPER(SUBSTITUTE(SUBSTITUTE(TRIM($AH55),":",""),"-",""))), --(UPPER(TRIM($B$2:$B$518))="YES"), --(UPPER(TRIM($G$2:$G$518)&amp;TRIM($I$2:$I$518)&amp;TRIM($J$2:$J$518))&lt;&gt;UPPER(TRIM($G55)&amp;TRIM($I55)&amp;TRIM($J55))))&gt;0), AND($AP55&lt;&gt;"", LOWER(TRIM($AP55))&lt;&gt;"n/a", LOWER(TRIM($AP55))&lt;&gt;"na", SUMPRODUCT(--(UPPER(TRIM($AP$2:$AP$518))=UPPER(TRIM($AP55))), --(UPPER(TRIM($B$2:$B$518))="YES"), --(UPPER(TRIM($G$2:$G$518)&amp;TRIM($I$2:$I$518)&amp;TRIM($J$2:$J$518))&lt;&gt;UPPER(TRIM($G55)&amp;TRIM($I55)&amp;TRIM($J55))))&gt;0), AND($AQ55&lt;&gt;"", LOWER(TRIM($AQ55))&lt;&gt;"n/a", LOWER(TRIM($AQ55))&lt;&gt;"na", SUMPRODUCT(--(UPPER(TRIM($AQ$2:$AQ$518))=UPPER(TRIM($AQ55))), --(UPPER(TRIM($B$2:$B$518))="YES"), --(UPPER(TRIM($G$2:$G$518)&amp;TRIM($I$2:$I$518)&amp;TRIM($J$2:$J$518))&lt;&gt;UPPER(TRIM($G55)&amp;TRIM($I55)&amp;TRIM($J55))))&gt;0)), "Yes", "No"))</f>
        <v/>
      </c>
      <c r="G55" t="inlineStr">
        <is>
          <t>NSUH - PSP</t>
        </is>
      </c>
      <c r="H55" t="inlineStr">
        <is>
          <t>NSUH - PSP</t>
        </is>
      </c>
      <c r="I55" t="inlineStr">
        <is>
          <t>Main ORs - PSP - 2nd Floor</t>
        </is>
      </c>
      <c r="U55" t="inlineStr">
        <is>
          <t>Dr. Palilla, Timothy W. Seeberger</t>
        </is>
      </c>
      <c r="V55" t="inlineStr">
        <is>
          <t>WMH300OPR376</t>
        </is>
      </c>
      <c r="AI55" t="inlineStr">
        <is>
          <t>Anesthesia Machine</t>
        </is>
      </c>
      <c r="AM55" t="inlineStr">
        <is>
          <t>GE Healthcare</t>
        </is>
      </c>
      <c r="AN55" t="inlineStr">
        <is>
          <t>Aisys CS2</t>
        </is>
      </c>
      <c r="AS55" t="inlineStr">
        <is>
          <t>GE Canvas 1000: 833-08, SPEC999015 / GE G1500213: 133-08C, GE B850</t>
        </is>
      </c>
      <c r="AT55" t="inlineStr">
        <is>
          <t>B1-CFU</t>
        </is>
      </c>
      <c r="AX55" t="inlineStr">
        <is>
          <t>GE Canvas 1000: 347SA / 091188028</t>
        </is>
      </c>
      <c r="CD55">
        <f>IF($Y55="","",IF((IF(AND($BR55&lt;&gt;"Yes",$BR55&lt;&gt;"N/A"),"Power Cable, ","")&amp;IF(AND($BS55&lt;&gt;"Yes",$BS55&lt;&gt;"N/A"),"Battery, ","")&amp;IF(AND($AD55&lt;&gt;"Yes",$AD55&lt;&gt;"N/A"),"Firmware Download, ","")&amp;IF(AND(OR($AD55="Yes",$AD55="N/A"),$AE55&lt;&gt;"Yes",$AE55&lt;&gt;"N/A"),"Firmware Install, ","")&amp;IF(AND($CB55&lt;&gt;"Yes",$CB55&lt;&gt;"N/A"),"Device ID, ","")&amp;IF(AND($CC55&lt;&gt;"Yes",$CC55&lt;&gt;"N/A"),"Epic Beans Relay, ",""))="","",LEFT(IF(AND($BR55&lt;&gt;"Yes",$BR55&lt;&gt;"N/A"),"Power Cable, ","")&amp;IF(AND($BS55&lt;&gt;"Yes",$BS55&lt;&gt;"N/A"),"Battery, ","")&amp;IF(AND($AD55&lt;&gt;"Yes",$AD55&lt;&gt;"N/A"),"Firmware Download, ","")&amp;IF(AND(OR($AD55="Yes",$AD55="N/A"),$AE55&lt;&gt;"Yes",$AE55&lt;&gt;"N/A"),"Firmware Install, ","")&amp;IF(AND($CB55&lt;&gt;"Yes",$CB55&lt;&gt;"N/A"),"Device ID, ","")&amp;IF(AND($CC55&lt;&gt;"Yes",$CC55&lt;&gt;"N/A"),"Epic Beans Relay, ",""),LEN(IF(AND($BR55&lt;&gt;"Yes",$BR55&lt;&gt;"N/A"),"Power Cable, ","")&amp;IF(AND($BS55&lt;&gt;"Yes",$BS55&lt;&gt;"N/A"),"Battery, ","")&amp;IF(AND($AD55&lt;&gt;"Yes",$AD55&lt;&gt;"N/A"),"Firmware Download, ","")&amp;IF(AND(OR($AD55="Yes",$AD55="N/A"),$AE55&lt;&gt;"Yes",$AE55&lt;&gt;"N/A"),"Firmware Install, ","")&amp;IF(AND($CB55&lt;&gt;"Yes",$CB55&lt;&gt;"N/A"),"Device ID, ","")&amp;IF(AND($CC55&lt;&gt;"Yes",$CC55&lt;&gt;"N/A"),"Epic Beans Relay, ",""))-2)))</f>
        <v/>
      </c>
      <c r="CE55">
        <f>IF($Y55="","",IF($CD55="","Yes","Blocked"))</f>
        <v/>
      </c>
      <c r="CF55" t="inlineStr">
        <is>
          <t>Yes</t>
        </is>
      </c>
      <c r="CG55" t="inlineStr">
        <is>
          <t>Yes</t>
        </is>
      </c>
      <c r="CH55" t="inlineStr">
        <is>
          <t>Yes</t>
        </is>
      </c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  <c r="CQ55" t="inlineStr">
        <is>
          <t>Yes</t>
        </is>
      </c>
      <c r="CR55" t="inlineStr">
        <is>
          <t>Yes</t>
        </is>
      </c>
      <c r="CS55" t="inlineStr">
        <is>
          <t>Yes</t>
        </is>
      </c>
      <c r="CW55">
        <f>IF($S55="","",IF(UPPER(TRIM($S55))&lt;&gt;"PASS","",IF(LEN(TRIM($BY55))&gt;0,"NOTES_PRESENT",IF(LEN(TRIM($T55))=0,"SET_NA",IF(OR(LOWER(TRIM($T55))="na",LOWER(TRIM($T55))="n/a"),"OK","MANUAL_OVERRIDE")))))</f>
        <v/>
      </c>
    </row>
    <row r="56">
      <c r="A56" t="inlineStr">
        <is>
          <t>Neuron Cybernet</t>
        </is>
      </c>
      <c r="B56" s="51" t="inlineStr">
        <is>
          <t>Yes</t>
        </is>
      </c>
      <c r="C56" t="inlineStr">
        <is>
          <t>Yes</t>
        </is>
      </c>
      <c r="D56">
        <f>IF($B56&lt;&gt;"Yes","",IF($C56="No","Yes",IF($C56="Yes","No","")))</f>
        <v/>
      </c>
      <c r="E56">
        <f>IF($A56="","",IF(OR(AND($V56&lt;&gt;"",LOWER(TRIM($V56))&lt;&gt;"n/a",LOWER(TRIM($V56))&lt;&gt;"na",SUMPRODUCT(--(UPPER(TRIM($V$2:$V$518))=UPPER(TRIM($V56))),--(TRIM($V$2:$V$518)&lt;&gt;""),--(LOWER(TRIM($V$2:$V$518))&lt;&gt;"n/a"),--(LOWER(TRIM($V$2:$V$518))&lt;&gt;"na"))&gt;1),AND($W56&lt;&gt;"",LOWER(TRIM($W56))&lt;&gt;"n/a",LOWER(TRIM($W56))&lt;&gt;"na",SUMPRODUCT(--(UPPER(TRIM($W$2:$W$518))=UPPER(TRIM($W56))),--(TRIM($W$2:$W$518)&lt;&gt;""),--(LOWER(TRIM($W$2:$W$518))&lt;&gt;"n/a"),--(LOWER(TRIM($W$2:$W$518))&lt;&gt;"na"))&gt;1),AND($X56&lt;&gt;"",LOWER(TRIM($X56))&lt;&gt;"n/a",LOWER(TRIM($X56))&lt;&gt;"na",SUMPRODUCT(--(UPPER(TRIM($X$2:$X$518))=UPPER(TRIM($X56))),--(TRIM($X$2:$X$518)&lt;&gt;""),--(LOWER(TRIM($X$2:$X$518))&lt;&gt;"n/a"),--(LOWER(TRIM($X$2:$X$518))&lt;&gt;"na"))&gt;1),AND($Y56&lt;&gt;"",LOWER(TRIM($Y56))&lt;&gt;"n/a",LOWER(TRIM($Y56))&lt;&gt;"na",SUMPRODUCT(--(UPPER(SUBSTITUTE(SUBSTITUTE(TRIM($Y$2:$Y$518),":",""),"-",""))=UPPER(SUBSTITUTE(SUBSTITUTE(TRIM($Y56),":",""),"-",""))),--(TRIM($Y$2:$Y$518)&lt;&gt;""),--(LOWER(TRIM($Y$2:$Y$518))&lt;&gt;"n/a"),--(LOWER(TRIM($Y$2:$Y$518))&lt;&gt;"na"))&gt;1),AND($AB56&lt;&gt;"",LOWER(TRIM($AB56))&lt;&gt;"n/a",LOWER(TRIM($AB56))&lt;&gt;"na",SUMPRODUCT(--(UPPER(TRIM($AB$2:$AB$518))=UPPER(TRIM($AB56))),--(TRIM($AB$2:$AB$518)&lt;&gt;""),--(LOWER(TRIM($AB$2:$AB$518))&lt;&gt;"n/a"),--(LOWER(TRIM($AB$2:$AB$518))&lt;&gt;"na"))&gt;1),AND($AH56&lt;&gt;"",LOWER(TRIM($AH56))&lt;&gt;"n/a",LOWER(TRIM($AH56))&lt;&gt;"na",SUMPRODUCT(--(UPPER(SUBSTITUTE(SUBSTITUTE(TRIM($AH$2:$AH$518),":",""),"-",""))=UPPER(SUBSTITUTE(SUBSTITUTE(TRIM($AH56),":",""),"-",""))),--(TRIM($AH$2:$AH$518)&lt;&gt;""),--(LOWER(TRIM($AH$2:$AH$518))&lt;&gt;"n/a"),--(LOWER(TRIM($AH$2:$AH$518))&lt;&gt;"na"))&gt;1),AND($AP56&lt;&gt;"",LOWER(TRIM($AP56))&lt;&gt;"n/a",LOWER(TRIM($AP56))&lt;&gt;"na",SUMPRODUCT(--(UPPER(TRIM($AP$2:$AP$518))=UPPER(TRIM($AP56))),--(TRIM($AP$2:$AP$518)&lt;&gt;""),--(LOWER(TRIM($AP$2:$AP$518))&lt;&gt;"n/a"),--(LOWER(TRIM($AP$2:$AP$518))&lt;&gt;"na"))&gt;1),AND($AQ56&lt;&gt;"",LOWER(TRIM($AQ56))&lt;&gt;"n/a",LOWER(TRIM($AQ56))&lt;&gt;"na",SUMPRODUCT(--(UPPER(TRIM($AQ$2:$AQ$518))=UPPER(TRIM($AQ56))),--(TRIM($AQ$2:$AQ$518)&lt;&gt;""),--(LOWER(TRIM($AQ$2:$AQ$518))&lt;&gt;"n/a"),--(LOWER(TRIM($AQ$2:$AQ$518))&lt;&gt;"na"))&gt;1)),"Yes","No"))</f>
        <v/>
      </c>
      <c r="F56">
        <f>IF(UPPER(TRIM($B56))&lt;&gt;"YES","", IF(OR(AND($V56&lt;&gt;"", LOWER(TRIM($V56))&lt;&gt;"n/a", LOWER(TRIM($V56))&lt;&gt;"na", SUMPRODUCT(--(UPPER(TRIM($V$2:$V$518))=UPPER(TRIM($V56))), --(UPPER(TRIM($B$2:$B$518))="YES"), --(UPPER(TRIM($G$2:$G$518)&amp;TRIM($I$2:$I$518)&amp;TRIM($J$2:$J$518))&lt;&gt;UPPER(TRIM($G56)&amp;TRIM($I56)&amp;TRIM($J56))))&gt;0), AND($W56&lt;&gt;"", LOWER(TRIM($W56))&lt;&gt;"n/a", LOWER(TRIM($W56))&lt;&gt;"na", SUMPRODUCT(--(UPPER(TRIM($W$2:$W$518))=UPPER(TRIM($W56))), --(UPPER(TRIM($B$2:$B$518))="YES"), --(UPPER(TRIM($G$2:$G$518)&amp;TRIM($I$2:$I$518)&amp;TRIM($J$2:$J$518))&lt;&gt;UPPER(TRIM($G56)&amp;TRIM($I56)&amp;TRIM($J56))))&gt;0), AND($X56&lt;&gt;"", LOWER(TRIM($X56))&lt;&gt;"n/a", LOWER(TRIM($X56))&lt;&gt;"na", SUMPRODUCT(--(UPPER(TRIM($X$2:$X$518))=UPPER(TRIM($X56))), --(UPPER(TRIM($B$2:$B$518))="YES"), --(UPPER(TRIM($G$2:$G$518)&amp;TRIM($I$2:$I$518)&amp;TRIM($J$2:$J$518))&lt;&gt;UPPER(TRIM($G56)&amp;TRIM($I56)&amp;TRIM($J56))))&gt;0), AND($Y56&lt;&gt;"", LOWER(TRIM($Y56))&lt;&gt;"n/a", LOWER(TRIM($Y56))&lt;&gt;"na", SUMPRODUCT(--(UPPER(SUBSTITUTE(SUBSTITUTE(TRIM($Y$2:$Y$518),":",""),"-",""))=UPPER(SUBSTITUTE(SUBSTITUTE(TRIM($Y56),":",""),"-",""))), --(UPPER(TRIM($B$2:$B$518))="YES"), --(UPPER(TRIM($G$2:$G$518)&amp;TRIM($I$2:$I$518)&amp;TRIM($J$2:$J$518))&lt;&gt;UPPER(TRIM($G56)&amp;TRIM($I56)&amp;TRIM($J56))))&gt;0), AND($AB56&lt;&gt;"", LOWER(TRIM($AB56))&lt;&gt;"n/a", LOWER(TRIM($AB56))&lt;&gt;"na", SUMPRODUCT(--(UPPER(TRIM($AB$2:$AB$518))=UPPER(TRIM($AB56))), --(UPPER(TRIM($B$2:$B$518))="YES"), --(UPPER(TRIM($G$2:$G$518)&amp;TRIM($I$2:$I$518)&amp;TRIM($J$2:$J$518))&lt;&gt;UPPER(TRIM($G56)&amp;TRIM($I56)&amp;TRIM($J56))))&gt;0), AND($AH56&lt;&gt;"", LOWER(TRIM($AH56))&lt;&gt;"n/a", LOWER(TRIM($AH56))&lt;&gt;"na", SUMPRODUCT(--(UPPER(SUBSTITUTE(SUBSTITUTE(TRIM($AH$2:$AH$518),":",""),"-",""))=UPPER(SUBSTITUTE(SUBSTITUTE(TRIM($AH56),":",""),"-",""))), --(UPPER(TRIM($B$2:$B$518))="YES"), --(UPPER(TRIM($G$2:$G$518)&amp;TRIM($I$2:$I$518)&amp;TRIM($J$2:$J$518))&lt;&gt;UPPER(TRIM($G56)&amp;TRIM($I56)&amp;TRIM($J56))))&gt;0), AND($AP56&lt;&gt;"", LOWER(TRIM($AP56))&lt;&gt;"n/a", LOWER(TRIM($AP56))&lt;&gt;"na", SUMPRODUCT(--(UPPER(TRIM($AP$2:$AP$518))=UPPER(TRIM($AP56))), --(UPPER(TRIM($B$2:$B$518))="YES"), --(UPPER(TRIM($G$2:$G$518)&amp;TRIM($I$2:$I$518)&amp;TRIM($J$2:$J$518))&lt;&gt;UPPER(TRIM($G56)&amp;TRIM($I56)&amp;TRIM($J56))))&gt;0), AND($AQ56&lt;&gt;"", LOWER(TRIM($AQ56))&lt;&gt;"n/a", LOWER(TRIM($AQ56))&lt;&gt;"na", SUMPRODUCT(--(UPPER(TRIM($AQ$2:$AQ$518))=UPPER(TRIM($AQ56))), --(UPPER(TRIM($B$2:$B$518))="YES"), --(UPPER(TRIM($G$2:$G$518)&amp;TRIM($I$2:$I$518)&amp;TRIM($J$2:$J$518))&lt;&gt;UPPER(TRIM($G56)&amp;TRIM($I56)&amp;TRIM($J56))))&gt;0)), "Yes", "No"))</f>
        <v/>
      </c>
      <c r="G56" t="inlineStr">
        <is>
          <t>NSUH - PSP</t>
        </is>
      </c>
      <c r="H56" t="inlineStr">
        <is>
          <t>NSUH - PSP</t>
        </is>
      </c>
      <c r="I56" t="inlineStr">
        <is>
          <t>Main ORs - PSP - 2nd Floor</t>
        </is>
      </c>
      <c r="J56" t="inlineStr">
        <is>
          <t>OR 10</t>
        </is>
      </c>
      <c r="L56" s="18" t="n">
        <v>46095</v>
      </c>
      <c r="U56" t="inlineStr">
        <is>
          <t>Dr. Palilla, Timothy W. Seeberger</t>
        </is>
      </c>
      <c r="V56" t="inlineStr">
        <is>
          <t>WMH300OPR377</t>
        </is>
      </c>
      <c r="W56" t="inlineStr">
        <is>
          <t>MEDSG2425F-0153</t>
        </is>
      </c>
      <c r="X56" t="inlineStr">
        <is>
          <t>NSUH-MACH-GGG</t>
        </is>
      </c>
      <c r="Y56" t="inlineStr">
        <is>
          <t>A0F5097FA358</t>
        </is>
      </c>
      <c r="AB56" t="inlineStr">
        <is>
          <t>WA23C03930</t>
        </is>
      </c>
      <c r="AI56" t="inlineStr">
        <is>
          <t>Anesthesia Machine</t>
        </is>
      </c>
      <c r="AJ56" t="n">
        <v>452529</v>
      </c>
      <c r="AL56" t="inlineStr">
        <is>
          <t>7202-777 / 7202-782</t>
        </is>
      </c>
      <c r="AM56" t="inlineStr">
        <is>
          <t>GE Healthcare</t>
        </is>
      </c>
      <c r="AN56" t="inlineStr">
        <is>
          <t>Aisys CS2</t>
        </is>
      </c>
      <c r="AP56" t="inlineStr">
        <is>
          <t>010084068210229221APWC0264211230915</t>
        </is>
      </c>
      <c r="AQ56" t="inlineStr">
        <is>
          <t>010084068210229221APWC0264211230915</t>
        </is>
      </c>
      <c r="AS56" t="inlineStr">
        <is>
          <t>GE Canvas 1000: 833-08, SPEC999015 / GE G1500213: 133-08C, GE B850</t>
        </is>
      </c>
      <c r="AT56" t="inlineStr">
        <is>
          <t>B1-CFU</t>
        </is>
      </c>
      <c r="AX56" t="inlineStr">
        <is>
          <t>GE Canvas 1000: 135HA / GE G1500213: 091181397</t>
        </is>
      </c>
      <c r="AY56" t="inlineStr">
        <is>
          <t>010084068210229221APWC0264211230915</t>
        </is>
      </c>
      <c r="BH56" t="n">
        <v>115200</v>
      </c>
      <c r="BI56" t="n">
        <v>19200</v>
      </c>
      <c r="BM56" t="inlineStr">
        <is>
          <t>E81</t>
        </is>
      </c>
      <c r="BN56" t="inlineStr">
        <is>
          <t>O71</t>
        </is>
      </c>
      <c r="CD56">
        <f>IF($Y56="","",IF((IF(AND($BR56&lt;&gt;"Yes",$BR56&lt;&gt;"N/A"),"Power Cable, ","")&amp;IF(AND($BS56&lt;&gt;"Yes",$BS56&lt;&gt;"N/A"),"Battery, ","")&amp;IF(AND($AD56&lt;&gt;"Yes",$AD56&lt;&gt;"N/A"),"Firmware Download, ","")&amp;IF(AND(OR($AD56="Yes",$AD56="N/A"),$AE56&lt;&gt;"Yes",$AE56&lt;&gt;"N/A"),"Firmware Install, ","")&amp;IF(AND($CB56&lt;&gt;"Yes",$CB56&lt;&gt;"N/A"),"Device ID, ","")&amp;IF(AND($CC56&lt;&gt;"Yes",$CC56&lt;&gt;"N/A"),"Epic Beans Relay, ",""))="","",LEFT(IF(AND($BR56&lt;&gt;"Yes",$BR56&lt;&gt;"N/A"),"Power Cable, ","")&amp;IF(AND($BS56&lt;&gt;"Yes",$BS56&lt;&gt;"N/A"),"Battery, ","")&amp;IF(AND($AD56&lt;&gt;"Yes",$AD56&lt;&gt;"N/A"),"Firmware Download, ","")&amp;IF(AND(OR($AD56="Yes",$AD56="N/A"),$AE56&lt;&gt;"Yes",$AE56&lt;&gt;"N/A"),"Firmware Install, ","")&amp;IF(AND($CB56&lt;&gt;"Yes",$CB56&lt;&gt;"N/A"),"Device ID, ","")&amp;IF(AND($CC56&lt;&gt;"Yes",$CC56&lt;&gt;"N/A"),"Epic Beans Relay, ",""),LEN(IF(AND($BR56&lt;&gt;"Yes",$BR56&lt;&gt;"N/A"),"Power Cable, ","")&amp;IF(AND($BS56&lt;&gt;"Yes",$BS56&lt;&gt;"N/A"),"Battery, ","")&amp;IF(AND($AD56&lt;&gt;"Yes",$AD56&lt;&gt;"N/A"),"Firmware Download, ","")&amp;IF(AND(OR($AD56="Yes",$AD56="N/A"),$AE56&lt;&gt;"Yes",$AE56&lt;&gt;"N/A"),"Firmware Install, ","")&amp;IF(AND($CB56&lt;&gt;"Yes",$CB56&lt;&gt;"N/A"),"Device ID, ","")&amp;IF(AND($CC56&lt;&gt;"Yes",$CC56&lt;&gt;"N/A"),"Epic Beans Relay, ",""))-2)))</f>
        <v/>
      </c>
      <c r="CE56">
        <f>IF($Y56="","",IF($CD56="","Yes","Blocked"))</f>
        <v/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W56">
        <f>IF($S56="","",IF(UPPER(TRIM($S56))&lt;&gt;"PASS","",IF(LEN(TRIM($BY56))&gt;0,"NOTES_PRESENT",IF(LEN(TRIM($T56))=0,"SET_NA",IF(OR(LOWER(TRIM($T56))="na",LOWER(TRIM($T56))="n/a"),"OK","MANUAL_OVERRIDE")))))</f>
        <v/>
      </c>
    </row>
    <row r="57">
      <c r="A57" t="inlineStr">
        <is>
          <t>Cybernet</t>
        </is>
      </c>
      <c r="B57" s="51" t="inlineStr">
        <is>
          <t>Yes</t>
        </is>
      </c>
      <c r="C57" t="inlineStr">
        <is>
          <t>No</t>
        </is>
      </c>
      <c r="D57">
        <f>IF($B57&lt;&gt;"Yes","",IF($C57="No","Yes",IF($C57="Yes","No","")))</f>
        <v/>
      </c>
      <c r="E57">
        <f>IF($A57="","",IF(OR(AND($V57&lt;&gt;"",LOWER(TRIM($V57))&lt;&gt;"n/a",LOWER(TRIM($V57))&lt;&gt;"na",SUMPRODUCT(--(UPPER(TRIM($V$2:$V$518))=UPPER(TRIM($V57))),--(TRIM($V$2:$V$518)&lt;&gt;""),--(LOWER(TRIM($V$2:$V$518))&lt;&gt;"n/a"),--(LOWER(TRIM($V$2:$V$518))&lt;&gt;"na"))&gt;1),AND($W57&lt;&gt;"",LOWER(TRIM($W57))&lt;&gt;"n/a",LOWER(TRIM($W57))&lt;&gt;"na",SUMPRODUCT(--(UPPER(TRIM($W$2:$W$518))=UPPER(TRIM($W57))),--(TRIM($W$2:$W$518)&lt;&gt;""),--(LOWER(TRIM($W$2:$W$518))&lt;&gt;"n/a"),--(LOWER(TRIM($W$2:$W$518))&lt;&gt;"na"))&gt;1),AND($X57&lt;&gt;"",LOWER(TRIM($X57))&lt;&gt;"n/a",LOWER(TRIM($X57))&lt;&gt;"na",SUMPRODUCT(--(UPPER(TRIM($X$2:$X$518))=UPPER(TRIM($X57))),--(TRIM($X$2:$X$518)&lt;&gt;""),--(LOWER(TRIM($X$2:$X$518))&lt;&gt;"n/a"),--(LOWER(TRIM($X$2:$X$518))&lt;&gt;"na"))&gt;1),AND($Y57&lt;&gt;"",LOWER(TRIM($Y57))&lt;&gt;"n/a",LOWER(TRIM($Y57))&lt;&gt;"na",SUMPRODUCT(--(UPPER(SUBSTITUTE(SUBSTITUTE(TRIM($Y$2:$Y$518),":",""),"-",""))=UPPER(SUBSTITUTE(SUBSTITUTE(TRIM($Y57),":",""),"-",""))),--(TRIM($Y$2:$Y$518)&lt;&gt;""),--(LOWER(TRIM($Y$2:$Y$518))&lt;&gt;"n/a"),--(LOWER(TRIM($Y$2:$Y$518))&lt;&gt;"na"))&gt;1),AND($AB57&lt;&gt;"",LOWER(TRIM($AB57))&lt;&gt;"n/a",LOWER(TRIM($AB57))&lt;&gt;"na",SUMPRODUCT(--(UPPER(TRIM($AB$2:$AB$518))=UPPER(TRIM($AB57))),--(TRIM($AB$2:$AB$518)&lt;&gt;""),--(LOWER(TRIM($AB$2:$AB$518))&lt;&gt;"n/a"),--(LOWER(TRIM($AB$2:$AB$518))&lt;&gt;"na"))&gt;1),AND($AH57&lt;&gt;"",LOWER(TRIM($AH57))&lt;&gt;"n/a",LOWER(TRIM($AH57))&lt;&gt;"na",SUMPRODUCT(--(UPPER(SUBSTITUTE(SUBSTITUTE(TRIM($AH$2:$AH$518),":",""),"-",""))=UPPER(SUBSTITUTE(SUBSTITUTE(TRIM($AH57),":",""),"-",""))),--(TRIM($AH$2:$AH$518)&lt;&gt;""),--(LOWER(TRIM($AH$2:$AH$518))&lt;&gt;"n/a"),--(LOWER(TRIM($AH$2:$AH$518))&lt;&gt;"na"))&gt;1),AND($AP57&lt;&gt;"",LOWER(TRIM($AP57))&lt;&gt;"n/a",LOWER(TRIM($AP57))&lt;&gt;"na",SUMPRODUCT(--(UPPER(TRIM($AP$2:$AP$518))=UPPER(TRIM($AP57))),--(TRIM($AP$2:$AP$518)&lt;&gt;""),--(LOWER(TRIM($AP$2:$AP$518))&lt;&gt;"n/a"),--(LOWER(TRIM($AP$2:$AP$518))&lt;&gt;"na"))&gt;1),AND($AQ57&lt;&gt;"",LOWER(TRIM($AQ57))&lt;&gt;"n/a",LOWER(TRIM($AQ57))&lt;&gt;"na",SUMPRODUCT(--(UPPER(TRIM($AQ$2:$AQ$518))=UPPER(TRIM($AQ57))),--(TRIM($AQ$2:$AQ$518)&lt;&gt;""),--(LOWER(TRIM($AQ$2:$AQ$518))&lt;&gt;"n/a"),--(LOWER(TRIM($AQ$2:$AQ$518))&lt;&gt;"na"))&gt;1)),"Yes","No"))</f>
        <v/>
      </c>
      <c r="F57">
        <f>IF(UPPER(TRIM($B57))&lt;&gt;"YES","", IF(OR(AND($V57&lt;&gt;"", LOWER(TRIM($V57))&lt;&gt;"n/a", LOWER(TRIM($V57))&lt;&gt;"na", SUMPRODUCT(--(UPPER(TRIM($V$2:$V$518))=UPPER(TRIM($V57))), --(UPPER(TRIM($B$2:$B$518))="YES"), --(UPPER(TRIM($G$2:$G$518)&amp;TRIM($I$2:$I$518)&amp;TRIM($J$2:$J$518))&lt;&gt;UPPER(TRIM($G57)&amp;TRIM($I57)&amp;TRIM($J57))))&gt;0), AND($W57&lt;&gt;"", LOWER(TRIM($W57))&lt;&gt;"n/a", LOWER(TRIM($W57))&lt;&gt;"na", SUMPRODUCT(--(UPPER(TRIM($W$2:$W$518))=UPPER(TRIM($W57))), --(UPPER(TRIM($B$2:$B$518))="YES"), --(UPPER(TRIM($G$2:$G$518)&amp;TRIM($I$2:$I$518)&amp;TRIM($J$2:$J$518))&lt;&gt;UPPER(TRIM($G57)&amp;TRIM($I57)&amp;TRIM($J57))))&gt;0), AND($X57&lt;&gt;"", LOWER(TRIM($X57))&lt;&gt;"n/a", LOWER(TRIM($X57))&lt;&gt;"na", SUMPRODUCT(--(UPPER(TRIM($X$2:$X$518))=UPPER(TRIM($X57))), --(UPPER(TRIM($B$2:$B$518))="YES"), --(UPPER(TRIM($G$2:$G$518)&amp;TRIM($I$2:$I$518)&amp;TRIM($J$2:$J$518))&lt;&gt;UPPER(TRIM($G57)&amp;TRIM($I57)&amp;TRIM($J57))))&gt;0), AND($Y57&lt;&gt;"", LOWER(TRIM($Y57))&lt;&gt;"n/a", LOWER(TRIM($Y57))&lt;&gt;"na", SUMPRODUCT(--(UPPER(SUBSTITUTE(SUBSTITUTE(TRIM($Y$2:$Y$518),":",""),"-",""))=UPPER(SUBSTITUTE(SUBSTITUTE(TRIM($Y57),":",""),"-",""))), --(UPPER(TRIM($B$2:$B$518))="YES"), --(UPPER(TRIM($G$2:$G$518)&amp;TRIM($I$2:$I$518)&amp;TRIM($J$2:$J$518))&lt;&gt;UPPER(TRIM($G57)&amp;TRIM($I57)&amp;TRIM($J57))))&gt;0), AND($AB57&lt;&gt;"", LOWER(TRIM($AB57))&lt;&gt;"n/a", LOWER(TRIM($AB57))&lt;&gt;"na", SUMPRODUCT(--(UPPER(TRIM($AB$2:$AB$518))=UPPER(TRIM($AB57))), --(UPPER(TRIM($B$2:$B$518))="YES"), --(UPPER(TRIM($G$2:$G$518)&amp;TRIM($I$2:$I$518)&amp;TRIM($J$2:$J$518))&lt;&gt;UPPER(TRIM($G57)&amp;TRIM($I57)&amp;TRIM($J57))))&gt;0), AND($AH57&lt;&gt;"", LOWER(TRIM($AH57))&lt;&gt;"n/a", LOWER(TRIM($AH57))&lt;&gt;"na", SUMPRODUCT(--(UPPER(SUBSTITUTE(SUBSTITUTE(TRIM($AH$2:$AH$518),":",""),"-",""))=UPPER(SUBSTITUTE(SUBSTITUTE(TRIM($AH57),":",""),"-",""))), --(UPPER(TRIM($B$2:$B$518))="YES"), --(UPPER(TRIM($G$2:$G$518)&amp;TRIM($I$2:$I$518)&amp;TRIM($J$2:$J$518))&lt;&gt;UPPER(TRIM($G57)&amp;TRIM($I57)&amp;TRIM($J57))))&gt;0), AND($AP57&lt;&gt;"", LOWER(TRIM($AP57))&lt;&gt;"n/a", LOWER(TRIM($AP57))&lt;&gt;"na", SUMPRODUCT(--(UPPER(TRIM($AP$2:$AP$518))=UPPER(TRIM($AP57))), --(UPPER(TRIM($B$2:$B$518))="YES"), --(UPPER(TRIM($G$2:$G$518)&amp;TRIM($I$2:$I$518)&amp;TRIM($J$2:$J$518))&lt;&gt;UPPER(TRIM($G57)&amp;TRIM($I57)&amp;TRIM($J57))))&gt;0), AND($AQ57&lt;&gt;"", LOWER(TRIM($AQ57))&lt;&gt;"n/a", LOWER(TRIM($AQ57))&lt;&gt;"na", SUMPRODUCT(--(UPPER(TRIM($AQ$2:$AQ$518))=UPPER(TRIM($AQ57))), --(UPPER(TRIM($B$2:$B$518))="YES"), --(UPPER(TRIM($G$2:$G$518)&amp;TRIM($I$2:$I$518)&amp;TRIM($J$2:$J$518))&lt;&gt;UPPER(TRIM($G57)&amp;TRIM($I57)&amp;TRIM($J57))))&gt;0)), "Yes", "No"))</f>
        <v/>
      </c>
      <c r="G57" t="inlineStr">
        <is>
          <t>1 Marcus</t>
        </is>
      </c>
      <c r="H57" t="inlineStr">
        <is>
          <t>1 Marcus</t>
        </is>
      </c>
      <c r="I57" t="inlineStr">
        <is>
          <t>Main ORs - PSP - 2nd Floor</t>
        </is>
      </c>
      <c r="J57" t="inlineStr">
        <is>
          <t>Config Space 3</t>
        </is>
      </c>
      <c r="K57" t="inlineStr">
        <is>
          <t>Config Space 3</t>
        </is>
      </c>
      <c r="U57" t="inlineStr">
        <is>
          <t>Dr. Palilla, Timothy W. Seeberger</t>
        </is>
      </c>
      <c r="V57" t="inlineStr">
        <is>
          <t>AKBARANATOR/WMH300OPR378</t>
        </is>
      </c>
      <c r="W57" t="inlineStr">
        <is>
          <t>MEDSG2425F-0141</t>
        </is>
      </c>
      <c r="CD57">
        <f>IF($Y57="","",IF((IF(AND($BR57&lt;&gt;"Yes",$BR57&lt;&gt;"N/A"),"Power Cable, ","")&amp;IF(AND($BS57&lt;&gt;"Yes",$BS57&lt;&gt;"N/A"),"Battery, ","")&amp;IF(AND($AD57&lt;&gt;"Yes",$AD57&lt;&gt;"N/A"),"Firmware Download, ","")&amp;IF(AND(OR($AD57="Yes",$AD57="N/A"),$AE57&lt;&gt;"Yes",$AE57&lt;&gt;"N/A"),"Firmware Install, ","")&amp;IF(AND($CB57&lt;&gt;"Yes",$CB57&lt;&gt;"N/A"),"Device ID, ","")&amp;IF(AND($CC57&lt;&gt;"Yes",$CC57&lt;&gt;"N/A"),"Epic Beans Relay, ",""))="","",LEFT(IF(AND($BR57&lt;&gt;"Yes",$BR57&lt;&gt;"N/A"),"Power Cable, ","")&amp;IF(AND($BS57&lt;&gt;"Yes",$BS57&lt;&gt;"N/A"),"Battery, ","")&amp;IF(AND($AD57&lt;&gt;"Yes",$AD57&lt;&gt;"N/A"),"Firmware Download, ","")&amp;IF(AND(OR($AD57="Yes",$AD57="N/A"),$AE57&lt;&gt;"Yes",$AE57&lt;&gt;"N/A"),"Firmware Install, ","")&amp;IF(AND($CB57&lt;&gt;"Yes",$CB57&lt;&gt;"N/A"),"Device ID, ","")&amp;IF(AND($CC57&lt;&gt;"Yes",$CC57&lt;&gt;"N/A"),"Epic Beans Relay, ",""),LEN(IF(AND($BR57&lt;&gt;"Yes",$BR57&lt;&gt;"N/A"),"Power Cable, ","")&amp;IF(AND($BS57&lt;&gt;"Yes",$BS57&lt;&gt;"N/A"),"Battery, ","")&amp;IF(AND($AD57&lt;&gt;"Yes",$AD57&lt;&gt;"N/A"),"Firmware Download, ","")&amp;IF(AND(OR($AD57="Yes",$AD57="N/A"),$AE57&lt;&gt;"Yes",$AE57&lt;&gt;"N/A"),"Firmware Install, ","")&amp;IF(AND($CB57&lt;&gt;"Yes",$CB57&lt;&gt;"N/A"),"Device ID, ","")&amp;IF(AND($CC57&lt;&gt;"Yes",$CC57&lt;&gt;"N/A"),"Epic Beans Relay, ",""))-2)))</f>
        <v/>
      </c>
      <c r="CE57">
        <f>IF($Y57="","",IF($CD57="","Yes","Blocked"))</f>
        <v/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W57">
        <f>IF($S57="","",IF(UPPER(TRIM($S57))&lt;&gt;"PASS","",IF(LEN(TRIM($BY57))&gt;0,"NOTES_PRESENT",IF(LEN(TRIM($T57))=0,"SET_NA",IF(OR(LOWER(TRIM($T57))="na",LOWER(TRIM($T57))="n/a"),"OK","MANUAL_OVERRIDE")))))</f>
        <v/>
      </c>
    </row>
    <row r="58">
      <c r="A58" t="inlineStr">
        <is>
          <t>Cybernet-Neuron</t>
        </is>
      </c>
      <c r="B58" s="51" t="inlineStr">
        <is>
          <t>Yes</t>
        </is>
      </c>
      <c r="C58" t="inlineStr">
        <is>
          <t>Yes</t>
        </is>
      </c>
      <c r="D58">
        <f>IF($B58&lt;&gt;"Yes","",IF($C58="No","Yes",IF($C58="Yes","No","")))</f>
        <v/>
      </c>
      <c r="E58">
        <f>IF($A58="","",IF(OR(AND($V58&lt;&gt;"",LOWER(TRIM($V58))&lt;&gt;"n/a",LOWER(TRIM($V58))&lt;&gt;"na",SUMPRODUCT(--(UPPER(TRIM($V$2:$V$518))=UPPER(TRIM($V58))),--(TRIM($V$2:$V$518)&lt;&gt;""),--(LOWER(TRIM($V$2:$V$518))&lt;&gt;"n/a"),--(LOWER(TRIM($V$2:$V$518))&lt;&gt;"na"))&gt;1),AND($W58&lt;&gt;"",LOWER(TRIM($W58))&lt;&gt;"n/a",LOWER(TRIM($W58))&lt;&gt;"na",SUMPRODUCT(--(UPPER(TRIM($W$2:$W$518))=UPPER(TRIM($W58))),--(TRIM($W$2:$W$518)&lt;&gt;""),--(LOWER(TRIM($W$2:$W$518))&lt;&gt;"n/a"),--(LOWER(TRIM($W$2:$W$518))&lt;&gt;"na"))&gt;1),AND($X58&lt;&gt;"",LOWER(TRIM($X58))&lt;&gt;"n/a",LOWER(TRIM($X58))&lt;&gt;"na",SUMPRODUCT(--(UPPER(TRIM($X$2:$X$518))=UPPER(TRIM($X58))),--(TRIM($X$2:$X$518)&lt;&gt;""),--(LOWER(TRIM($X$2:$X$518))&lt;&gt;"n/a"),--(LOWER(TRIM($X$2:$X$518))&lt;&gt;"na"))&gt;1),AND($Y58&lt;&gt;"",LOWER(TRIM($Y58))&lt;&gt;"n/a",LOWER(TRIM($Y58))&lt;&gt;"na",SUMPRODUCT(--(UPPER(SUBSTITUTE(SUBSTITUTE(TRIM($Y$2:$Y$518),":",""),"-",""))=UPPER(SUBSTITUTE(SUBSTITUTE(TRIM($Y58),":",""),"-",""))),--(TRIM($Y$2:$Y$518)&lt;&gt;""),--(LOWER(TRIM($Y$2:$Y$518))&lt;&gt;"n/a"),--(LOWER(TRIM($Y$2:$Y$518))&lt;&gt;"na"))&gt;1),AND($AB58&lt;&gt;"",LOWER(TRIM($AB58))&lt;&gt;"n/a",LOWER(TRIM($AB58))&lt;&gt;"na",SUMPRODUCT(--(UPPER(TRIM($AB$2:$AB$518))=UPPER(TRIM($AB58))),--(TRIM($AB$2:$AB$518)&lt;&gt;""),--(LOWER(TRIM($AB$2:$AB$518))&lt;&gt;"n/a"),--(LOWER(TRIM($AB$2:$AB$518))&lt;&gt;"na"))&gt;1),AND($AH58&lt;&gt;"",LOWER(TRIM($AH58))&lt;&gt;"n/a",LOWER(TRIM($AH58))&lt;&gt;"na",SUMPRODUCT(--(UPPER(SUBSTITUTE(SUBSTITUTE(TRIM($AH$2:$AH$518),":",""),"-",""))=UPPER(SUBSTITUTE(SUBSTITUTE(TRIM($AH58),":",""),"-",""))),--(TRIM($AH$2:$AH$518)&lt;&gt;""),--(LOWER(TRIM($AH$2:$AH$518))&lt;&gt;"n/a"),--(LOWER(TRIM($AH$2:$AH$518))&lt;&gt;"na"))&gt;1),AND($AP58&lt;&gt;"",LOWER(TRIM($AP58))&lt;&gt;"n/a",LOWER(TRIM($AP58))&lt;&gt;"na",SUMPRODUCT(--(UPPER(TRIM($AP$2:$AP$518))=UPPER(TRIM($AP58))),--(TRIM($AP$2:$AP$518)&lt;&gt;""),--(LOWER(TRIM($AP$2:$AP$518))&lt;&gt;"n/a"),--(LOWER(TRIM($AP$2:$AP$518))&lt;&gt;"na"))&gt;1),AND($AQ58&lt;&gt;"",LOWER(TRIM($AQ58))&lt;&gt;"n/a",LOWER(TRIM($AQ58))&lt;&gt;"na",SUMPRODUCT(--(UPPER(TRIM($AQ$2:$AQ$518))=UPPER(TRIM($AQ58))),--(TRIM($AQ$2:$AQ$518)&lt;&gt;""),--(LOWER(TRIM($AQ$2:$AQ$518))&lt;&gt;"n/a"),--(LOWER(TRIM($AQ$2:$AQ$518))&lt;&gt;"na"))&gt;1)),"Yes","No"))</f>
        <v/>
      </c>
      <c r="F58">
        <f>IF(UPPER(TRIM($B58))&lt;&gt;"YES","", IF(OR(AND($V58&lt;&gt;"", LOWER(TRIM($V58))&lt;&gt;"n/a", LOWER(TRIM($V58))&lt;&gt;"na", SUMPRODUCT(--(UPPER(TRIM($V$2:$V$518))=UPPER(TRIM($V58))), --(UPPER(TRIM($B$2:$B$518))="YES"), --(UPPER(TRIM($G$2:$G$518)&amp;TRIM($I$2:$I$518)&amp;TRIM($J$2:$J$518))&lt;&gt;UPPER(TRIM($G58)&amp;TRIM($I58)&amp;TRIM($J58))))&gt;0), AND($W58&lt;&gt;"", LOWER(TRIM($W58))&lt;&gt;"n/a", LOWER(TRIM($W58))&lt;&gt;"na", SUMPRODUCT(--(UPPER(TRIM($W$2:$W$518))=UPPER(TRIM($W58))), --(UPPER(TRIM($B$2:$B$518))="YES"), --(UPPER(TRIM($G$2:$G$518)&amp;TRIM($I$2:$I$518)&amp;TRIM($J$2:$J$518))&lt;&gt;UPPER(TRIM($G58)&amp;TRIM($I58)&amp;TRIM($J58))))&gt;0), AND($X58&lt;&gt;"", LOWER(TRIM($X58))&lt;&gt;"n/a", LOWER(TRIM($X58))&lt;&gt;"na", SUMPRODUCT(--(UPPER(TRIM($X$2:$X$518))=UPPER(TRIM($X58))), --(UPPER(TRIM($B$2:$B$518))="YES"), --(UPPER(TRIM($G$2:$G$518)&amp;TRIM($I$2:$I$518)&amp;TRIM($J$2:$J$518))&lt;&gt;UPPER(TRIM($G58)&amp;TRIM($I58)&amp;TRIM($J58))))&gt;0), AND($Y58&lt;&gt;"", LOWER(TRIM($Y58))&lt;&gt;"n/a", LOWER(TRIM($Y58))&lt;&gt;"na", SUMPRODUCT(--(UPPER(SUBSTITUTE(SUBSTITUTE(TRIM($Y$2:$Y$518),":",""),"-",""))=UPPER(SUBSTITUTE(SUBSTITUTE(TRIM($Y58),":",""),"-",""))), --(UPPER(TRIM($B$2:$B$518))="YES"), --(UPPER(TRIM($G$2:$G$518)&amp;TRIM($I$2:$I$518)&amp;TRIM($J$2:$J$518))&lt;&gt;UPPER(TRIM($G58)&amp;TRIM($I58)&amp;TRIM($J58))))&gt;0), AND($AB58&lt;&gt;"", LOWER(TRIM($AB58))&lt;&gt;"n/a", LOWER(TRIM($AB58))&lt;&gt;"na", SUMPRODUCT(--(UPPER(TRIM($AB$2:$AB$518))=UPPER(TRIM($AB58))), --(UPPER(TRIM($B$2:$B$518))="YES"), --(UPPER(TRIM($G$2:$G$518)&amp;TRIM($I$2:$I$518)&amp;TRIM($J$2:$J$518))&lt;&gt;UPPER(TRIM($G58)&amp;TRIM($I58)&amp;TRIM($J58))))&gt;0), AND($AH58&lt;&gt;"", LOWER(TRIM($AH58))&lt;&gt;"n/a", LOWER(TRIM($AH58))&lt;&gt;"na", SUMPRODUCT(--(UPPER(SUBSTITUTE(SUBSTITUTE(TRIM($AH$2:$AH$518),":",""),"-",""))=UPPER(SUBSTITUTE(SUBSTITUTE(TRIM($AH58),":",""),"-",""))), --(UPPER(TRIM($B$2:$B$518))="YES"), --(UPPER(TRIM($G$2:$G$518)&amp;TRIM($I$2:$I$518)&amp;TRIM($J$2:$J$518))&lt;&gt;UPPER(TRIM($G58)&amp;TRIM($I58)&amp;TRIM($J58))))&gt;0), AND($AP58&lt;&gt;"", LOWER(TRIM($AP58))&lt;&gt;"n/a", LOWER(TRIM($AP58))&lt;&gt;"na", SUMPRODUCT(--(UPPER(TRIM($AP$2:$AP$518))=UPPER(TRIM($AP58))), --(UPPER(TRIM($B$2:$B$518))="YES"), --(UPPER(TRIM($G$2:$G$518)&amp;TRIM($I$2:$I$518)&amp;TRIM($J$2:$J$518))&lt;&gt;UPPER(TRIM($G58)&amp;TRIM($I58)&amp;TRIM($J58))))&gt;0), AND($AQ58&lt;&gt;"", LOWER(TRIM($AQ58))&lt;&gt;"n/a", LOWER(TRIM($AQ58))&lt;&gt;"na", SUMPRODUCT(--(UPPER(TRIM($AQ$2:$AQ$518))=UPPER(TRIM($AQ58))), --(UPPER(TRIM($B$2:$B$518))="YES"), --(UPPER(TRIM($G$2:$G$518)&amp;TRIM($I$2:$I$518)&amp;TRIM($J$2:$J$518))&lt;&gt;UPPER(TRIM($G58)&amp;TRIM($I58)&amp;TRIM($J58))))&gt;0)), "Yes", "No"))</f>
        <v/>
      </c>
      <c r="G58" t="inlineStr">
        <is>
          <t>NSUH - PSP</t>
        </is>
      </c>
      <c r="H58" t="inlineStr">
        <is>
          <t>NSUH - PSP</t>
        </is>
      </c>
      <c r="I58" t="inlineStr">
        <is>
          <t>Main ORs - PSP - 2nd Floor</t>
        </is>
      </c>
      <c r="J58" t="inlineStr">
        <is>
          <t>OR 27</t>
        </is>
      </c>
      <c r="K58" t="inlineStr">
        <is>
          <t>n/a</t>
        </is>
      </c>
      <c r="L58" s="18" t="n">
        <v>46116</v>
      </c>
      <c r="M58" t="inlineStr">
        <is>
          <t>OR Cybernet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inlineStr">
        <is>
          <t>Inpatient</t>
        </is>
      </c>
      <c r="R58" t="inlineStr">
        <is>
          <t>Yes</t>
        </is>
      </c>
      <c r="S58" t="inlineStr">
        <is>
          <t>Fail</t>
        </is>
      </c>
      <c r="T58" t="inlineStr">
        <is>
          <t>Inadequate Imprivata access and permissions to sync</t>
        </is>
      </c>
      <c r="V58" t="inlineStr">
        <is>
          <t>WMH300OPR379</t>
        </is>
      </c>
      <c r="W58" t="inlineStr">
        <is>
          <t>MEDSG2425F-0200</t>
        </is>
      </c>
      <c r="X58" t="inlineStr">
        <is>
          <t>NSUH-MACH-QQQ</t>
        </is>
      </c>
      <c r="Y58" t="inlineStr">
        <is>
          <t>A0F5097B8B74</t>
        </is>
      </c>
      <c r="AB58" t="inlineStr">
        <is>
          <t>WA25203896</t>
        </is>
      </c>
      <c r="AC58" t="inlineStr">
        <is>
          <t>NSUH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I58" t="inlineStr">
        <is>
          <t>Anesthesia Machine</t>
        </is>
      </c>
      <c r="AJ58" t="n">
        <v>452515</v>
      </c>
      <c r="AL58" t="inlineStr">
        <is>
          <t>0702-147 / 148</t>
        </is>
      </c>
      <c r="AM58" t="inlineStr">
        <is>
          <t>GE Healthcare</t>
        </is>
      </c>
      <c r="AN58" t="inlineStr">
        <is>
          <t>Aisys CS2</t>
        </is>
      </c>
      <c r="AP58" t="inlineStr">
        <is>
          <t>010084068210229221APWC0263611230914</t>
        </is>
      </c>
      <c r="AQ58" t="inlineStr">
        <is>
          <t>010084068210229221APWC0263611230914</t>
        </is>
      </c>
      <c r="AS58" t="inlineStr">
        <is>
          <t>GE Canvas 1000: 833-08, SPEC999015 / GE G1500213: 133-08C, GE B850</t>
        </is>
      </c>
      <c r="AT58" t="inlineStr">
        <is>
          <t>B1-CFU</t>
        </is>
      </c>
      <c r="AX58" t="inlineStr">
        <is>
          <t>GE Canvas 1000: 137HA / GE G1500213: 091181411</t>
        </is>
      </c>
      <c r="AY58" t="inlineStr">
        <is>
          <t>010084068210229221APWC0263611230914</t>
        </is>
      </c>
      <c r="BC58" t="n">
        <v>452515</v>
      </c>
      <c r="BD58" t="n">
        <v>452514</v>
      </c>
      <c r="BH58" t="n">
        <v>115200</v>
      </c>
      <c r="BI58" t="n">
        <v>19200</v>
      </c>
      <c r="BM58" t="inlineStr">
        <is>
          <t>E81</t>
        </is>
      </c>
      <c r="BN58" t="inlineStr">
        <is>
          <t>O71</t>
        </is>
      </c>
      <c r="CD58">
        <f>IF($Y58="","",IF((IF(AND($BR58&lt;&gt;"Yes",$BR58&lt;&gt;"N/A"),"Power Cable, ","")&amp;IF(AND($BS58&lt;&gt;"Yes",$BS58&lt;&gt;"N/A"),"Battery, ","")&amp;IF(AND($AD58&lt;&gt;"Yes",$AD58&lt;&gt;"N/A"),"Firmware Download, ","")&amp;IF(AND(OR($AD58="Yes",$AD58="N/A"),$AE58&lt;&gt;"Yes",$AE58&lt;&gt;"N/A"),"Firmware Install, ","")&amp;IF(AND($CB58&lt;&gt;"Yes",$CB58&lt;&gt;"N/A"),"Device ID, ","")&amp;IF(AND($CC58&lt;&gt;"Yes",$CC58&lt;&gt;"N/A"),"Epic Beans Relay, ",""))="","",LEFT(IF(AND($BR58&lt;&gt;"Yes",$BR58&lt;&gt;"N/A"),"Power Cable, ","")&amp;IF(AND($BS58&lt;&gt;"Yes",$BS58&lt;&gt;"N/A"),"Battery, ","")&amp;IF(AND($AD58&lt;&gt;"Yes",$AD58&lt;&gt;"N/A"),"Firmware Download, ","")&amp;IF(AND(OR($AD58="Yes",$AD58="N/A"),$AE58&lt;&gt;"Yes",$AE58&lt;&gt;"N/A"),"Firmware Install, ","")&amp;IF(AND($CB58&lt;&gt;"Yes",$CB58&lt;&gt;"N/A"),"Device ID, ","")&amp;IF(AND($CC58&lt;&gt;"Yes",$CC58&lt;&gt;"N/A"),"Epic Beans Relay, ",""),LEN(IF(AND($BR58&lt;&gt;"Yes",$BR58&lt;&gt;"N/A"),"Power Cable, ","")&amp;IF(AND($BS58&lt;&gt;"Yes",$BS58&lt;&gt;"N/A"),"Battery, ","")&amp;IF(AND($AD58&lt;&gt;"Yes",$AD58&lt;&gt;"N/A"),"Firmware Download, ","")&amp;IF(AND(OR($AD58="Yes",$AD58="N/A"),$AE58&lt;&gt;"Yes",$AE58&lt;&gt;"N/A"),"Firmware Install, ","")&amp;IF(AND($CB58&lt;&gt;"Yes",$CB58&lt;&gt;"N/A"),"Device ID, ","")&amp;IF(AND($CC58&lt;&gt;"Yes",$CC58&lt;&gt;"N/A"),"Epic Beans Relay, ",""))-2)))</f>
        <v/>
      </c>
      <c r="CE58">
        <f>IF($Y58="","",IF($CD58="","Yes","Blocked"))</f>
        <v/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W58">
        <f>IF($S58="","",IF(UPPER(TRIM($S58))&lt;&gt;"PASS","",IF(LEN(TRIM($BY58))&gt;0,"NOTES_PRESENT",IF(LEN(TRIM($T58))=0,"SET_NA",IF(OR(LOWER(TRIM($T58))="na",LOWER(TRIM($T58))="n/a"),"OK","MANUAL_OVERRIDE")))))</f>
        <v/>
      </c>
    </row>
    <row r="59">
      <c r="A59" t="inlineStr">
        <is>
          <t>Cybernet</t>
        </is>
      </c>
      <c r="B59" s="51" t="inlineStr">
        <is>
          <t>No</t>
        </is>
      </c>
      <c r="C59" t="inlineStr">
        <is>
          <t>No</t>
        </is>
      </c>
      <c r="D59">
        <f>IF($B59&lt;&gt;"Yes","",IF($C59="No","Yes",IF($C59="Yes","No","")))</f>
        <v/>
      </c>
      <c r="E59">
        <f>IF($A59="","",IF(OR(AND($V59&lt;&gt;"",LOWER(TRIM($V59))&lt;&gt;"n/a",LOWER(TRIM($V59))&lt;&gt;"na",SUMPRODUCT(--(UPPER(TRIM($V$2:$V$518))=UPPER(TRIM($V59))),--(TRIM($V$2:$V$518)&lt;&gt;""),--(LOWER(TRIM($V$2:$V$518))&lt;&gt;"n/a"),--(LOWER(TRIM($V$2:$V$518))&lt;&gt;"na"))&gt;1),AND($W59&lt;&gt;"",LOWER(TRIM($W59))&lt;&gt;"n/a",LOWER(TRIM($W59))&lt;&gt;"na",SUMPRODUCT(--(UPPER(TRIM($W$2:$W$518))=UPPER(TRIM($W59))),--(TRIM($W$2:$W$518)&lt;&gt;""),--(LOWER(TRIM($W$2:$W$518))&lt;&gt;"n/a"),--(LOWER(TRIM($W$2:$W$518))&lt;&gt;"na"))&gt;1),AND($X59&lt;&gt;"",LOWER(TRIM($X59))&lt;&gt;"n/a",LOWER(TRIM($X59))&lt;&gt;"na",SUMPRODUCT(--(UPPER(TRIM($X$2:$X$518))=UPPER(TRIM($X59))),--(TRIM($X$2:$X$518)&lt;&gt;""),--(LOWER(TRIM($X$2:$X$518))&lt;&gt;"n/a"),--(LOWER(TRIM($X$2:$X$518))&lt;&gt;"na"))&gt;1),AND($Y59&lt;&gt;"",LOWER(TRIM($Y59))&lt;&gt;"n/a",LOWER(TRIM($Y59))&lt;&gt;"na",SUMPRODUCT(--(UPPER(SUBSTITUTE(SUBSTITUTE(TRIM($Y$2:$Y$518),":",""),"-",""))=UPPER(SUBSTITUTE(SUBSTITUTE(TRIM($Y59),":",""),"-",""))),--(TRIM($Y$2:$Y$518)&lt;&gt;""),--(LOWER(TRIM($Y$2:$Y$518))&lt;&gt;"n/a"),--(LOWER(TRIM($Y$2:$Y$518))&lt;&gt;"na"))&gt;1),AND($AB59&lt;&gt;"",LOWER(TRIM($AB59))&lt;&gt;"n/a",LOWER(TRIM($AB59))&lt;&gt;"na",SUMPRODUCT(--(UPPER(TRIM($AB$2:$AB$518))=UPPER(TRIM($AB59))),--(TRIM($AB$2:$AB$518)&lt;&gt;""),--(LOWER(TRIM($AB$2:$AB$518))&lt;&gt;"n/a"),--(LOWER(TRIM($AB$2:$AB$518))&lt;&gt;"na"))&gt;1),AND($AH59&lt;&gt;"",LOWER(TRIM($AH59))&lt;&gt;"n/a",LOWER(TRIM($AH59))&lt;&gt;"na",SUMPRODUCT(--(UPPER(SUBSTITUTE(SUBSTITUTE(TRIM($AH$2:$AH$518),":",""),"-",""))=UPPER(SUBSTITUTE(SUBSTITUTE(TRIM($AH59),":",""),"-",""))),--(TRIM($AH$2:$AH$518)&lt;&gt;""),--(LOWER(TRIM($AH$2:$AH$518))&lt;&gt;"n/a"),--(LOWER(TRIM($AH$2:$AH$518))&lt;&gt;"na"))&gt;1),AND($AP59&lt;&gt;"",LOWER(TRIM($AP59))&lt;&gt;"n/a",LOWER(TRIM($AP59))&lt;&gt;"na",SUMPRODUCT(--(UPPER(TRIM($AP$2:$AP$518))=UPPER(TRIM($AP59))),--(TRIM($AP$2:$AP$518)&lt;&gt;""),--(LOWER(TRIM($AP$2:$AP$518))&lt;&gt;"n/a"),--(LOWER(TRIM($AP$2:$AP$518))&lt;&gt;"na"))&gt;1),AND($AQ59&lt;&gt;"",LOWER(TRIM($AQ59))&lt;&gt;"n/a",LOWER(TRIM($AQ59))&lt;&gt;"na",SUMPRODUCT(--(UPPER(TRIM($AQ$2:$AQ$518))=UPPER(TRIM($AQ59))),--(TRIM($AQ$2:$AQ$518)&lt;&gt;""),--(LOWER(TRIM($AQ$2:$AQ$518))&lt;&gt;"n/a"),--(LOWER(TRIM($AQ$2:$AQ$518))&lt;&gt;"na"))&gt;1)),"Yes","No"))</f>
        <v/>
      </c>
      <c r="F59">
        <f>IF(UPPER(TRIM($B59))&lt;&gt;"YES","", IF(OR(AND($V59&lt;&gt;"", LOWER(TRIM($V59))&lt;&gt;"n/a", LOWER(TRIM($V59))&lt;&gt;"na", SUMPRODUCT(--(UPPER(TRIM($V$2:$V$518))=UPPER(TRIM($V59))), --(UPPER(TRIM($B$2:$B$518))="YES"), --(UPPER(TRIM($G$2:$G$518)&amp;TRIM($I$2:$I$518)&amp;TRIM($J$2:$J$518))&lt;&gt;UPPER(TRIM($G59)&amp;TRIM($I59)&amp;TRIM($J59))))&gt;0), AND($W59&lt;&gt;"", LOWER(TRIM($W59))&lt;&gt;"n/a", LOWER(TRIM($W59))&lt;&gt;"na", SUMPRODUCT(--(UPPER(TRIM($W$2:$W$518))=UPPER(TRIM($W59))), --(UPPER(TRIM($B$2:$B$518))="YES"), --(UPPER(TRIM($G$2:$G$518)&amp;TRIM($I$2:$I$518)&amp;TRIM($J$2:$J$518))&lt;&gt;UPPER(TRIM($G59)&amp;TRIM($I59)&amp;TRIM($J59))))&gt;0), AND($X59&lt;&gt;"", LOWER(TRIM($X59))&lt;&gt;"n/a", LOWER(TRIM($X59))&lt;&gt;"na", SUMPRODUCT(--(UPPER(TRIM($X$2:$X$518))=UPPER(TRIM($X59))), --(UPPER(TRIM($B$2:$B$518))="YES"), --(UPPER(TRIM($G$2:$G$518)&amp;TRIM($I$2:$I$518)&amp;TRIM($J$2:$J$518))&lt;&gt;UPPER(TRIM($G59)&amp;TRIM($I59)&amp;TRIM($J59))))&gt;0), AND($Y59&lt;&gt;"", LOWER(TRIM($Y59))&lt;&gt;"n/a", LOWER(TRIM($Y59))&lt;&gt;"na", SUMPRODUCT(--(UPPER(SUBSTITUTE(SUBSTITUTE(TRIM($Y$2:$Y$518),":",""),"-",""))=UPPER(SUBSTITUTE(SUBSTITUTE(TRIM($Y59),":",""),"-",""))), --(UPPER(TRIM($B$2:$B$518))="YES"), --(UPPER(TRIM($G$2:$G$518)&amp;TRIM($I$2:$I$518)&amp;TRIM($J$2:$J$518))&lt;&gt;UPPER(TRIM($G59)&amp;TRIM($I59)&amp;TRIM($J59))))&gt;0), AND($AB59&lt;&gt;"", LOWER(TRIM($AB59))&lt;&gt;"n/a", LOWER(TRIM($AB59))&lt;&gt;"na", SUMPRODUCT(--(UPPER(TRIM($AB$2:$AB$518))=UPPER(TRIM($AB59))), --(UPPER(TRIM($B$2:$B$518))="YES"), --(UPPER(TRIM($G$2:$G$518)&amp;TRIM($I$2:$I$518)&amp;TRIM($J$2:$J$518))&lt;&gt;UPPER(TRIM($G59)&amp;TRIM($I59)&amp;TRIM($J59))))&gt;0), AND($AH59&lt;&gt;"", LOWER(TRIM($AH59))&lt;&gt;"n/a", LOWER(TRIM($AH59))&lt;&gt;"na", SUMPRODUCT(--(UPPER(SUBSTITUTE(SUBSTITUTE(TRIM($AH$2:$AH$518),":",""),"-",""))=UPPER(SUBSTITUTE(SUBSTITUTE(TRIM($AH59),":",""),"-",""))), --(UPPER(TRIM($B$2:$B$518))="YES"), --(UPPER(TRIM($G$2:$G$518)&amp;TRIM($I$2:$I$518)&amp;TRIM($J$2:$J$518))&lt;&gt;UPPER(TRIM($G59)&amp;TRIM($I59)&amp;TRIM($J59))))&gt;0), AND($AP59&lt;&gt;"", LOWER(TRIM($AP59))&lt;&gt;"n/a", LOWER(TRIM($AP59))&lt;&gt;"na", SUMPRODUCT(--(UPPER(TRIM($AP$2:$AP$518))=UPPER(TRIM($AP59))), --(UPPER(TRIM($B$2:$B$518))="YES"), --(UPPER(TRIM($G$2:$G$518)&amp;TRIM($I$2:$I$518)&amp;TRIM($J$2:$J$518))&lt;&gt;UPPER(TRIM($G59)&amp;TRIM($I59)&amp;TRIM($J59))))&gt;0), AND($AQ59&lt;&gt;"", LOWER(TRIM($AQ59))&lt;&gt;"n/a", LOWER(TRIM($AQ59))&lt;&gt;"na", SUMPRODUCT(--(UPPER(TRIM($AQ$2:$AQ$518))=UPPER(TRIM($AQ59))), --(UPPER(TRIM($B$2:$B$518))="YES"), --(UPPER(TRIM($G$2:$G$518)&amp;TRIM($I$2:$I$518)&amp;TRIM($J$2:$J$518))&lt;&gt;UPPER(TRIM($G59)&amp;TRIM($I59)&amp;TRIM($J59))))&gt;0)), "Yes", "No"))</f>
        <v/>
      </c>
      <c r="G59" t="inlineStr">
        <is>
          <t>NSUH - PSP</t>
        </is>
      </c>
      <c r="H59" t="inlineStr">
        <is>
          <t>NSUH - PSP</t>
        </is>
      </c>
      <c r="I59" t="inlineStr">
        <is>
          <t>Main ORs - PSP - 2nd Floor</t>
        </is>
      </c>
      <c r="U59" t="inlineStr">
        <is>
          <t>Dr. Palilla, Timothy W. Seeberger</t>
        </is>
      </c>
      <c r="V59" t="inlineStr">
        <is>
          <t>WMH300OPR380</t>
        </is>
      </c>
      <c r="W59" t="inlineStr">
        <is>
          <t>MEDSG2425F-0285</t>
        </is>
      </c>
      <c r="CD59">
        <f>IF($Y59="","",IF((IF(AND($BR59&lt;&gt;"Yes",$BR59&lt;&gt;"N/A"),"Power Cable, ","")&amp;IF(AND($BS59&lt;&gt;"Yes",$BS59&lt;&gt;"N/A"),"Battery, ","")&amp;IF(AND($AD59&lt;&gt;"Yes",$AD59&lt;&gt;"N/A"),"Firmware Download, ","")&amp;IF(AND(OR($AD59="Yes",$AD59="N/A"),$AE59&lt;&gt;"Yes",$AE59&lt;&gt;"N/A"),"Firmware Install, ","")&amp;IF(AND($CB59&lt;&gt;"Yes",$CB59&lt;&gt;"N/A"),"Device ID, ","")&amp;IF(AND($CC59&lt;&gt;"Yes",$CC59&lt;&gt;"N/A"),"Epic Beans Relay, ",""))="","",LEFT(IF(AND($BR59&lt;&gt;"Yes",$BR59&lt;&gt;"N/A"),"Power Cable, ","")&amp;IF(AND($BS59&lt;&gt;"Yes",$BS59&lt;&gt;"N/A"),"Battery, ","")&amp;IF(AND($AD59&lt;&gt;"Yes",$AD59&lt;&gt;"N/A"),"Firmware Download, ","")&amp;IF(AND(OR($AD59="Yes",$AD59="N/A"),$AE59&lt;&gt;"Yes",$AE59&lt;&gt;"N/A"),"Firmware Install, ","")&amp;IF(AND($CB59&lt;&gt;"Yes",$CB59&lt;&gt;"N/A"),"Device ID, ","")&amp;IF(AND($CC59&lt;&gt;"Yes",$CC59&lt;&gt;"N/A"),"Epic Beans Relay, ",""),LEN(IF(AND($BR59&lt;&gt;"Yes",$BR59&lt;&gt;"N/A"),"Power Cable, ","")&amp;IF(AND($BS59&lt;&gt;"Yes",$BS59&lt;&gt;"N/A"),"Battery, ","")&amp;IF(AND($AD59&lt;&gt;"Yes",$AD59&lt;&gt;"N/A"),"Firmware Download, ","")&amp;IF(AND(OR($AD59="Yes",$AD59="N/A"),$AE59&lt;&gt;"Yes",$AE59&lt;&gt;"N/A"),"Firmware Install, ","")&amp;IF(AND($CB59&lt;&gt;"Yes",$CB59&lt;&gt;"N/A"),"Device ID, ","")&amp;IF(AND($CC59&lt;&gt;"Yes",$CC59&lt;&gt;"N/A"),"Epic Beans Relay, ",""))-2)))</f>
        <v/>
      </c>
      <c r="CE59">
        <f>IF($Y59="","",IF($CD59="","Yes","Blocked"))</f>
        <v/>
      </c>
      <c r="CF59" t="inlineStr">
        <is>
          <t>Yes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Yes</t>
        </is>
      </c>
      <c r="CK59" t="inlineStr">
        <is>
          <t>Yes</t>
        </is>
      </c>
      <c r="CL59" t="inlineStr">
        <is>
          <t>Yes</t>
        </is>
      </c>
      <c r="CM59" t="inlineStr">
        <is>
          <t>Yes</t>
        </is>
      </c>
      <c r="CN59" t="inlineStr">
        <is>
          <t>Yes</t>
        </is>
      </c>
      <c r="CO59" t="inlineStr">
        <is>
          <t>Yes</t>
        </is>
      </c>
      <c r="CP59" t="inlineStr">
        <is>
          <t>Yes</t>
        </is>
      </c>
      <c r="CQ59" t="inlineStr">
        <is>
          <t>Yes</t>
        </is>
      </c>
      <c r="CR59" t="inlineStr">
        <is>
          <t>Yes</t>
        </is>
      </c>
      <c r="CS59" t="inlineStr">
        <is>
          <t>Yes</t>
        </is>
      </c>
      <c r="CW59">
        <f>IF($S59="","",IF(UPPER(TRIM($S59))&lt;&gt;"PASS","",IF(LEN(TRIM($BY59))&gt;0,"NOTES_PRESENT",IF(LEN(TRIM($T59))=0,"SET_NA",IF(OR(LOWER(TRIM($T59))="na",LOWER(TRIM($T59))="n/a"),"OK","MANUAL_OVERRIDE")))))</f>
        <v/>
      </c>
    </row>
    <row r="60">
      <c r="A60" t="inlineStr">
        <is>
          <t>Cybernet</t>
        </is>
      </c>
      <c r="B60" s="51" t="inlineStr">
        <is>
          <t>No</t>
        </is>
      </c>
      <c r="C60" t="inlineStr">
        <is>
          <t>No</t>
        </is>
      </c>
      <c r="D60">
        <f>IF($B60&lt;&gt;"Yes","",IF($C60="No","Yes",IF($C60="Yes","No","")))</f>
        <v/>
      </c>
      <c r="E60">
        <f>IF($A60="","",IF(OR(AND($V60&lt;&gt;"",LOWER(TRIM($V60))&lt;&gt;"n/a",LOWER(TRIM($V60))&lt;&gt;"na",SUMPRODUCT(--(UPPER(TRIM($V$2:$V$518))=UPPER(TRIM($V60))),--(TRIM($V$2:$V$518)&lt;&gt;""),--(LOWER(TRIM($V$2:$V$518))&lt;&gt;"n/a"),--(LOWER(TRIM($V$2:$V$518))&lt;&gt;"na"))&gt;1),AND($W60&lt;&gt;"",LOWER(TRIM($W60))&lt;&gt;"n/a",LOWER(TRIM($W60))&lt;&gt;"na",SUMPRODUCT(--(UPPER(TRIM($W$2:$W$518))=UPPER(TRIM($W60))),--(TRIM($W$2:$W$518)&lt;&gt;""),--(LOWER(TRIM($W$2:$W$518))&lt;&gt;"n/a"),--(LOWER(TRIM($W$2:$W$518))&lt;&gt;"na"))&gt;1),AND($X60&lt;&gt;"",LOWER(TRIM($X60))&lt;&gt;"n/a",LOWER(TRIM($X60))&lt;&gt;"na",SUMPRODUCT(--(UPPER(TRIM($X$2:$X$518))=UPPER(TRIM($X60))),--(TRIM($X$2:$X$518)&lt;&gt;""),--(LOWER(TRIM($X$2:$X$518))&lt;&gt;"n/a"),--(LOWER(TRIM($X$2:$X$518))&lt;&gt;"na"))&gt;1),AND($Y60&lt;&gt;"",LOWER(TRIM($Y60))&lt;&gt;"n/a",LOWER(TRIM($Y60))&lt;&gt;"na",SUMPRODUCT(--(UPPER(SUBSTITUTE(SUBSTITUTE(TRIM($Y$2:$Y$518),":",""),"-",""))=UPPER(SUBSTITUTE(SUBSTITUTE(TRIM($Y60),":",""),"-",""))),--(TRIM($Y$2:$Y$518)&lt;&gt;""),--(LOWER(TRIM($Y$2:$Y$518))&lt;&gt;"n/a"),--(LOWER(TRIM($Y$2:$Y$518))&lt;&gt;"na"))&gt;1),AND($AB60&lt;&gt;"",LOWER(TRIM($AB60))&lt;&gt;"n/a",LOWER(TRIM($AB60))&lt;&gt;"na",SUMPRODUCT(--(UPPER(TRIM($AB$2:$AB$518))=UPPER(TRIM($AB60))),--(TRIM($AB$2:$AB$518)&lt;&gt;""),--(LOWER(TRIM($AB$2:$AB$518))&lt;&gt;"n/a"),--(LOWER(TRIM($AB$2:$AB$518))&lt;&gt;"na"))&gt;1),AND($AH60&lt;&gt;"",LOWER(TRIM($AH60))&lt;&gt;"n/a",LOWER(TRIM($AH60))&lt;&gt;"na",SUMPRODUCT(--(UPPER(SUBSTITUTE(SUBSTITUTE(TRIM($AH$2:$AH$518),":",""),"-",""))=UPPER(SUBSTITUTE(SUBSTITUTE(TRIM($AH60),":",""),"-",""))),--(TRIM($AH$2:$AH$518)&lt;&gt;""),--(LOWER(TRIM($AH$2:$AH$518))&lt;&gt;"n/a"),--(LOWER(TRIM($AH$2:$AH$518))&lt;&gt;"na"))&gt;1),AND($AP60&lt;&gt;"",LOWER(TRIM($AP60))&lt;&gt;"n/a",LOWER(TRIM($AP60))&lt;&gt;"na",SUMPRODUCT(--(UPPER(TRIM($AP$2:$AP$518))=UPPER(TRIM($AP60))),--(TRIM($AP$2:$AP$518)&lt;&gt;""),--(LOWER(TRIM($AP$2:$AP$518))&lt;&gt;"n/a"),--(LOWER(TRIM($AP$2:$AP$518))&lt;&gt;"na"))&gt;1),AND($AQ60&lt;&gt;"",LOWER(TRIM($AQ60))&lt;&gt;"n/a",LOWER(TRIM($AQ60))&lt;&gt;"na",SUMPRODUCT(--(UPPER(TRIM($AQ$2:$AQ$518))=UPPER(TRIM($AQ60))),--(TRIM($AQ$2:$AQ$518)&lt;&gt;""),--(LOWER(TRIM($AQ$2:$AQ$518))&lt;&gt;"n/a"),--(LOWER(TRIM($AQ$2:$AQ$518))&lt;&gt;"na"))&gt;1)),"Yes","No"))</f>
        <v/>
      </c>
      <c r="F60">
        <f>IF(UPPER(TRIM($B60))&lt;&gt;"YES","", IF(OR(AND($V60&lt;&gt;"", LOWER(TRIM($V60))&lt;&gt;"n/a", LOWER(TRIM($V60))&lt;&gt;"na", SUMPRODUCT(--(UPPER(TRIM($V$2:$V$518))=UPPER(TRIM($V60))), --(UPPER(TRIM($B$2:$B$518))="YES"), --(UPPER(TRIM($G$2:$G$518)&amp;TRIM($I$2:$I$518)&amp;TRIM($J$2:$J$518))&lt;&gt;UPPER(TRIM($G60)&amp;TRIM($I60)&amp;TRIM($J60))))&gt;0), AND($W60&lt;&gt;"", LOWER(TRIM($W60))&lt;&gt;"n/a", LOWER(TRIM($W60))&lt;&gt;"na", SUMPRODUCT(--(UPPER(TRIM($W$2:$W$518))=UPPER(TRIM($W60))), --(UPPER(TRIM($B$2:$B$518))="YES"), --(UPPER(TRIM($G$2:$G$518)&amp;TRIM($I$2:$I$518)&amp;TRIM($J$2:$J$518))&lt;&gt;UPPER(TRIM($G60)&amp;TRIM($I60)&amp;TRIM($J60))))&gt;0), AND($X60&lt;&gt;"", LOWER(TRIM($X60))&lt;&gt;"n/a", LOWER(TRIM($X60))&lt;&gt;"na", SUMPRODUCT(--(UPPER(TRIM($X$2:$X$518))=UPPER(TRIM($X60))), --(UPPER(TRIM($B$2:$B$518))="YES"), --(UPPER(TRIM($G$2:$G$518)&amp;TRIM($I$2:$I$518)&amp;TRIM($J$2:$J$518))&lt;&gt;UPPER(TRIM($G60)&amp;TRIM($I60)&amp;TRIM($J60))))&gt;0), AND($Y60&lt;&gt;"", LOWER(TRIM($Y60))&lt;&gt;"n/a", LOWER(TRIM($Y60))&lt;&gt;"na", SUMPRODUCT(--(UPPER(SUBSTITUTE(SUBSTITUTE(TRIM($Y$2:$Y$518),":",""),"-",""))=UPPER(SUBSTITUTE(SUBSTITUTE(TRIM($Y60),":",""),"-",""))), --(UPPER(TRIM($B$2:$B$518))="YES"), --(UPPER(TRIM($G$2:$G$518)&amp;TRIM($I$2:$I$518)&amp;TRIM($J$2:$J$518))&lt;&gt;UPPER(TRIM($G60)&amp;TRIM($I60)&amp;TRIM($J60))))&gt;0), AND($AB60&lt;&gt;"", LOWER(TRIM($AB60))&lt;&gt;"n/a", LOWER(TRIM($AB60))&lt;&gt;"na", SUMPRODUCT(--(UPPER(TRIM($AB$2:$AB$518))=UPPER(TRIM($AB60))), --(UPPER(TRIM($B$2:$B$518))="YES"), --(UPPER(TRIM($G$2:$G$518)&amp;TRIM($I$2:$I$518)&amp;TRIM($J$2:$J$518))&lt;&gt;UPPER(TRIM($G60)&amp;TRIM($I60)&amp;TRIM($J60))))&gt;0), AND($AH60&lt;&gt;"", LOWER(TRIM($AH60))&lt;&gt;"n/a", LOWER(TRIM($AH60))&lt;&gt;"na", SUMPRODUCT(--(UPPER(SUBSTITUTE(SUBSTITUTE(TRIM($AH$2:$AH$518),":",""),"-",""))=UPPER(SUBSTITUTE(SUBSTITUTE(TRIM($AH60),":",""),"-",""))), --(UPPER(TRIM($B$2:$B$518))="YES"), --(UPPER(TRIM($G$2:$G$518)&amp;TRIM($I$2:$I$518)&amp;TRIM($J$2:$J$518))&lt;&gt;UPPER(TRIM($G60)&amp;TRIM($I60)&amp;TRIM($J60))))&gt;0), AND($AP60&lt;&gt;"", LOWER(TRIM($AP60))&lt;&gt;"n/a", LOWER(TRIM($AP60))&lt;&gt;"na", SUMPRODUCT(--(UPPER(TRIM($AP$2:$AP$518))=UPPER(TRIM($AP60))), --(UPPER(TRIM($B$2:$B$518))="YES"), --(UPPER(TRIM($G$2:$G$518)&amp;TRIM($I$2:$I$518)&amp;TRIM($J$2:$J$518))&lt;&gt;UPPER(TRIM($G60)&amp;TRIM($I60)&amp;TRIM($J60))))&gt;0), AND($AQ60&lt;&gt;"", LOWER(TRIM($AQ60))&lt;&gt;"n/a", LOWER(TRIM($AQ60))&lt;&gt;"na", SUMPRODUCT(--(UPPER(TRIM($AQ$2:$AQ$518))=UPPER(TRIM($AQ60))), --(UPPER(TRIM($B$2:$B$518))="YES"), --(UPPER(TRIM($G$2:$G$518)&amp;TRIM($I$2:$I$518)&amp;TRIM($J$2:$J$518))&lt;&gt;UPPER(TRIM($G60)&amp;TRIM($I60)&amp;TRIM($J60))))&gt;0)), "Yes", "No"))</f>
        <v/>
      </c>
      <c r="G60" t="inlineStr">
        <is>
          <t>NSUH - PSP</t>
        </is>
      </c>
      <c r="H60" t="inlineStr">
        <is>
          <t>NSUH - PSP</t>
        </is>
      </c>
      <c r="I60" t="inlineStr">
        <is>
          <t>Main ORs - PSP - 2nd Floor</t>
        </is>
      </c>
      <c r="U60" t="inlineStr">
        <is>
          <t>Dr. Palilla, Timothy W. Seeberger</t>
        </is>
      </c>
      <c r="V60" t="inlineStr">
        <is>
          <t>WMH300OPR385</t>
        </is>
      </c>
      <c r="W60" t="inlineStr">
        <is>
          <t>MEDSG2425F-0205</t>
        </is>
      </c>
      <c r="CD60">
        <f>IF($Y60="","",IF((IF(AND($BR60&lt;&gt;"Yes",$BR60&lt;&gt;"N/A"),"Power Cable, ","")&amp;IF(AND($BS60&lt;&gt;"Yes",$BS60&lt;&gt;"N/A"),"Battery, ","")&amp;IF(AND($AD60&lt;&gt;"Yes",$AD60&lt;&gt;"N/A"),"Firmware Download, ","")&amp;IF(AND(OR($AD60="Yes",$AD60="N/A"),$AE60&lt;&gt;"Yes",$AE60&lt;&gt;"N/A"),"Firmware Install, ","")&amp;IF(AND($CB60&lt;&gt;"Yes",$CB60&lt;&gt;"N/A"),"Device ID, ","")&amp;IF(AND($CC60&lt;&gt;"Yes",$CC60&lt;&gt;"N/A"),"Epic Beans Relay, ",""))="","",LEFT(IF(AND($BR60&lt;&gt;"Yes",$BR60&lt;&gt;"N/A"),"Power Cable, ","")&amp;IF(AND($BS60&lt;&gt;"Yes",$BS60&lt;&gt;"N/A"),"Battery, ","")&amp;IF(AND($AD60&lt;&gt;"Yes",$AD60&lt;&gt;"N/A"),"Firmware Download, ","")&amp;IF(AND(OR($AD60="Yes",$AD60="N/A"),$AE60&lt;&gt;"Yes",$AE60&lt;&gt;"N/A"),"Firmware Install, ","")&amp;IF(AND($CB60&lt;&gt;"Yes",$CB60&lt;&gt;"N/A"),"Device ID, ","")&amp;IF(AND($CC60&lt;&gt;"Yes",$CC60&lt;&gt;"N/A"),"Epic Beans Relay, ",""),LEN(IF(AND($BR60&lt;&gt;"Yes",$BR60&lt;&gt;"N/A"),"Power Cable, ","")&amp;IF(AND($BS60&lt;&gt;"Yes",$BS60&lt;&gt;"N/A"),"Battery, ","")&amp;IF(AND($AD60&lt;&gt;"Yes",$AD60&lt;&gt;"N/A"),"Firmware Download, ","")&amp;IF(AND(OR($AD60="Yes",$AD60="N/A"),$AE60&lt;&gt;"Yes",$AE60&lt;&gt;"N/A"),"Firmware Install, ","")&amp;IF(AND($CB60&lt;&gt;"Yes",$CB60&lt;&gt;"N/A"),"Device ID, ","")&amp;IF(AND($CC60&lt;&gt;"Yes",$CC60&lt;&gt;"N/A"),"Epic Beans Relay, ",""))-2)))</f>
        <v/>
      </c>
      <c r="CE60">
        <f>IF($Y60="","",IF($CD60="","Yes","Blocked"))</f>
        <v/>
      </c>
      <c r="CF60" t="inlineStr">
        <is>
          <t>Yes</t>
        </is>
      </c>
      <c r="CG60" t="inlineStr">
        <is>
          <t>Yes</t>
        </is>
      </c>
      <c r="CH60" t="inlineStr">
        <is>
          <t>Yes</t>
        </is>
      </c>
      <c r="CI60" t="inlineStr">
        <is>
          <t>Yes</t>
        </is>
      </c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Yes</t>
        </is>
      </c>
      <c r="CN60" t="inlineStr">
        <is>
          <t>Yes</t>
        </is>
      </c>
      <c r="CO60" t="inlineStr">
        <is>
          <t>Yes</t>
        </is>
      </c>
      <c r="CP60" t="inlineStr">
        <is>
          <t>Yes</t>
        </is>
      </c>
      <c r="CQ60" t="inlineStr">
        <is>
          <t>Yes</t>
        </is>
      </c>
      <c r="CR60" t="inlineStr">
        <is>
          <t>Yes</t>
        </is>
      </c>
      <c r="CS60" t="inlineStr">
        <is>
          <t>Yes</t>
        </is>
      </c>
      <c r="CW60">
        <f>IF($S60="","",IF(UPPER(TRIM($S60))&lt;&gt;"PASS","",IF(LEN(TRIM($BY60))&gt;0,"NOTES_PRESENT",IF(LEN(TRIM($T60))=0,"SET_NA",IF(OR(LOWER(TRIM($T60))="na",LOWER(TRIM($T60))="n/a"),"OK","MANUAL_OVERRIDE")))))</f>
        <v/>
      </c>
    </row>
    <row r="61">
      <c r="A61" t="inlineStr">
        <is>
          <t>Cybernet-Neuron</t>
        </is>
      </c>
      <c r="B61" s="51" t="inlineStr">
        <is>
          <t>Yes</t>
        </is>
      </c>
      <c r="C61" t="inlineStr">
        <is>
          <t>Yes</t>
        </is>
      </c>
      <c r="D61">
        <f>IF($B61&lt;&gt;"Yes","",IF($C61="No","Yes",IF($C61="Yes","No","")))</f>
        <v/>
      </c>
      <c r="E61">
        <f>IF($A61="","",IF(OR(AND($V61&lt;&gt;"",LOWER(TRIM($V61))&lt;&gt;"n/a",LOWER(TRIM($V61))&lt;&gt;"na",SUMPRODUCT(--(UPPER(TRIM($V$2:$V$518))=UPPER(TRIM($V61))),--(TRIM($V$2:$V$518)&lt;&gt;""),--(LOWER(TRIM($V$2:$V$518))&lt;&gt;"n/a"),--(LOWER(TRIM($V$2:$V$518))&lt;&gt;"na"))&gt;1),AND($W61&lt;&gt;"",LOWER(TRIM($W61))&lt;&gt;"n/a",LOWER(TRIM($W61))&lt;&gt;"na",SUMPRODUCT(--(UPPER(TRIM($W$2:$W$518))=UPPER(TRIM($W61))),--(TRIM($W$2:$W$518)&lt;&gt;""),--(LOWER(TRIM($W$2:$W$518))&lt;&gt;"n/a"),--(LOWER(TRIM($W$2:$W$518))&lt;&gt;"na"))&gt;1),AND($X61&lt;&gt;"",LOWER(TRIM($X61))&lt;&gt;"n/a",LOWER(TRIM($X61))&lt;&gt;"na",SUMPRODUCT(--(UPPER(TRIM($X$2:$X$518))=UPPER(TRIM($X61))),--(TRIM($X$2:$X$518)&lt;&gt;""),--(LOWER(TRIM($X$2:$X$518))&lt;&gt;"n/a"),--(LOWER(TRIM($X$2:$X$518))&lt;&gt;"na"))&gt;1),AND($Y61&lt;&gt;"",LOWER(TRIM($Y61))&lt;&gt;"n/a",LOWER(TRIM($Y61))&lt;&gt;"na",SUMPRODUCT(--(UPPER(SUBSTITUTE(SUBSTITUTE(TRIM($Y$2:$Y$518),":",""),"-",""))=UPPER(SUBSTITUTE(SUBSTITUTE(TRIM($Y61),":",""),"-",""))),--(TRIM($Y$2:$Y$518)&lt;&gt;""),--(LOWER(TRIM($Y$2:$Y$518))&lt;&gt;"n/a"),--(LOWER(TRIM($Y$2:$Y$518))&lt;&gt;"na"))&gt;1),AND($AB61&lt;&gt;"",LOWER(TRIM($AB61))&lt;&gt;"n/a",LOWER(TRIM($AB61))&lt;&gt;"na",SUMPRODUCT(--(UPPER(TRIM($AB$2:$AB$518))=UPPER(TRIM($AB61))),--(TRIM($AB$2:$AB$518)&lt;&gt;""),--(LOWER(TRIM($AB$2:$AB$518))&lt;&gt;"n/a"),--(LOWER(TRIM($AB$2:$AB$518))&lt;&gt;"na"))&gt;1),AND($AH61&lt;&gt;"",LOWER(TRIM($AH61))&lt;&gt;"n/a",LOWER(TRIM($AH61))&lt;&gt;"na",SUMPRODUCT(--(UPPER(SUBSTITUTE(SUBSTITUTE(TRIM($AH$2:$AH$518),":",""),"-",""))=UPPER(SUBSTITUTE(SUBSTITUTE(TRIM($AH61),":",""),"-",""))),--(TRIM($AH$2:$AH$518)&lt;&gt;""),--(LOWER(TRIM($AH$2:$AH$518))&lt;&gt;"n/a"),--(LOWER(TRIM($AH$2:$AH$518))&lt;&gt;"na"))&gt;1),AND($AP61&lt;&gt;"",LOWER(TRIM($AP61))&lt;&gt;"n/a",LOWER(TRIM($AP61))&lt;&gt;"na",SUMPRODUCT(--(UPPER(TRIM($AP$2:$AP$518))=UPPER(TRIM($AP61))),--(TRIM($AP$2:$AP$518)&lt;&gt;""),--(LOWER(TRIM($AP$2:$AP$518))&lt;&gt;"n/a"),--(LOWER(TRIM($AP$2:$AP$518))&lt;&gt;"na"))&gt;1),AND($AQ61&lt;&gt;"",LOWER(TRIM($AQ61))&lt;&gt;"n/a",LOWER(TRIM($AQ61))&lt;&gt;"na",SUMPRODUCT(--(UPPER(TRIM($AQ$2:$AQ$518))=UPPER(TRIM($AQ61))),--(TRIM($AQ$2:$AQ$518)&lt;&gt;""),--(LOWER(TRIM($AQ$2:$AQ$518))&lt;&gt;"n/a"),--(LOWER(TRIM($AQ$2:$AQ$518))&lt;&gt;"na"))&gt;1)),"Yes","No"))</f>
        <v/>
      </c>
      <c r="F61">
        <f>IF(UPPER(TRIM($B61))&lt;&gt;"YES","", IF(OR(AND($V61&lt;&gt;"", LOWER(TRIM($V61))&lt;&gt;"n/a", LOWER(TRIM($V61))&lt;&gt;"na", SUMPRODUCT(--(UPPER(TRIM($V$2:$V$518))=UPPER(TRIM($V61))), --(UPPER(TRIM($B$2:$B$518))="YES"), --(UPPER(TRIM($G$2:$G$518)&amp;TRIM($I$2:$I$518)&amp;TRIM($J$2:$J$518))&lt;&gt;UPPER(TRIM($G61)&amp;TRIM($I61)&amp;TRIM($J61))))&gt;0), AND($W61&lt;&gt;"", LOWER(TRIM($W61))&lt;&gt;"n/a", LOWER(TRIM($W61))&lt;&gt;"na", SUMPRODUCT(--(UPPER(TRIM($W$2:$W$518))=UPPER(TRIM($W61))), --(UPPER(TRIM($B$2:$B$518))="YES"), --(UPPER(TRIM($G$2:$G$518)&amp;TRIM($I$2:$I$518)&amp;TRIM($J$2:$J$518))&lt;&gt;UPPER(TRIM($G61)&amp;TRIM($I61)&amp;TRIM($J61))))&gt;0), AND($X61&lt;&gt;"", LOWER(TRIM($X61))&lt;&gt;"n/a", LOWER(TRIM($X61))&lt;&gt;"na", SUMPRODUCT(--(UPPER(TRIM($X$2:$X$518))=UPPER(TRIM($X61))), --(UPPER(TRIM($B$2:$B$518))="YES"), --(UPPER(TRIM($G$2:$G$518)&amp;TRIM($I$2:$I$518)&amp;TRIM($J$2:$J$518))&lt;&gt;UPPER(TRIM($G61)&amp;TRIM($I61)&amp;TRIM($J61))))&gt;0), AND($Y61&lt;&gt;"", LOWER(TRIM($Y61))&lt;&gt;"n/a", LOWER(TRIM($Y61))&lt;&gt;"na", SUMPRODUCT(--(UPPER(SUBSTITUTE(SUBSTITUTE(TRIM($Y$2:$Y$518),":",""),"-",""))=UPPER(SUBSTITUTE(SUBSTITUTE(TRIM($Y61),":",""),"-",""))), --(UPPER(TRIM($B$2:$B$518))="YES"), --(UPPER(TRIM($G$2:$G$518)&amp;TRIM($I$2:$I$518)&amp;TRIM($J$2:$J$518))&lt;&gt;UPPER(TRIM($G61)&amp;TRIM($I61)&amp;TRIM($J61))))&gt;0), AND($AB61&lt;&gt;"", LOWER(TRIM($AB61))&lt;&gt;"n/a", LOWER(TRIM($AB61))&lt;&gt;"na", SUMPRODUCT(--(UPPER(TRIM($AB$2:$AB$518))=UPPER(TRIM($AB61))), --(UPPER(TRIM($B$2:$B$518))="YES"), --(UPPER(TRIM($G$2:$G$518)&amp;TRIM($I$2:$I$518)&amp;TRIM($J$2:$J$518))&lt;&gt;UPPER(TRIM($G61)&amp;TRIM($I61)&amp;TRIM($J61))))&gt;0), AND($AH61&lt;&gt;"", LOWER(TRIM($AH61))&lt;&gt;"n/a", LOWER(TRIM($AH61))&lt;&gt;"na", SUMPRODUCT(--(UPPER(SUBSTITUTE(SUBSTITUTE(TRIM($AH$2:$AH$518),":",""),"-",""))=UPPER(SUBSTITUTE(SUBSTITUTE(TRIM($AH61),":",""),"-",""))), --(UPPER(TRIM($B$2:$B$518))="YES"), --(UPPER(TRIM($G$2:$G$518)&amp;TRIM($I$2:$I$518)&amp;TRIM($J$2:$J$518))&lt;&gt;UPPER(TRIM($G61)&amp;TRIM($I61)&amp;TRIM($J61))))&gt;0), AND($AP61&lt;&gt;"", LOWER(TRIM($AP61))&lt;&gt;"n/a", LOWER(TRIM($AP61))&lt;&gt;"na", SUMPRODUCT(--(UPPER(TRIM($AP$2:$AP$518))=UPPER(TRIM($AP61))), --(UPPER(TRIM($B$2:$B$518))="YES"), --(UPPER(TRIM($G$2:$G$518)&amp;TRIM($I$2:$I$518)&amp;TRIM($J$2:$J$518))&lt;&gt;UPPER(TRIM($G61)&amp;TRIM($I61)&amp;TRIM($J61))))&gt;0), AND($AQ61&lt;&gt;"", LOWER(TRIM($AQ61))&lt;&gt;"n/a", LOWER(TRIM($AQ61))&lt;&gt;"na", SUMPRODUCT(--(UPPER(TRIM($AQ$2:$AQ$518))=UPPER(TRIM($AQ61))), --(UPPER(TRIM($B$2:$B$518))="YES"), --(UPPER(TRIM($G$2:$G$518)&amp;TRIM($I$2:$I$518)&amp;TRIM($J$2:$J$518))&lt;&gt;UPPER(TRIM($G61)&amp;TRIM($I61)&amp;TRIM($J61))))&gt;0)), "Yes", "No"))</f>
        <v/>
      </c>
      <c r="G61" t="inlineStr">
        <is>
          <t>NSUH - Schwartz</t>
        </is>
      </c>
      <c r="H61" t="inlineStr">
        <is>
          <t>NSUH - Schwartz</t>
        </is>
      </c>
      <c r="I61" t="inlineStr">
        <is>
          <t>Main ORs</t>
        </is>
      </c>
      <c r="J61" t="inlineStr">
        <is>
          <t>OR 4</t>
        </is>
      </c>
      <c r="L61" s="18" t="n">
        <v>46123</v>
      </c>
      <c r="O61" t="inlineStr">
        <is>
          <t>Yes</t>
        </is>
      </c>
      <c r="P61" t="inlineStr">
        <is>
          <t>Yes</t>
        </is>
      </c>
      <c r="R61" t="inlineStr">
        <is>
          <t>Yes</t>
        </is>
      </c>
      <c r="U61" t="inlineStr">
        <is>
          <t>Dr. Palilla, Timothy W. Seeberger</t>
        </is>
      </c>
      <c r="V61" t="inlineStr">
        <is>
          <t>WMH300OPR386</t>
        </is>
      </c>
      <c r="W61" t="inlineStr">
        <is>
          <t>MEDSG2425F-0171</t>
        </is>
      </c>
      <c r="X61" t="inlineStr">
        <is>
          <t>SCH-MACH-D</t>
        </is>
      </c>
      <c r="Y61" t="inlineStr">
        <is>
          <t>A0F5097FF0CC</t>
        </is>
      </c>
      <c r="AB61" t="inlineStr">
        <is>
          <t>WA24406291</t>
        </is>
      </c>
      <c r="AC61" t="inlineStr">
        <is>
          <t>NSUH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  <c r="AI61" t="inlineStr">
        <is>
          <t>Anesthesia Machine</t>
        </is>
      </c>
      <c r="AJ61" t="n">
        <v>62251</v>
      </c>
      <c r="AL61" t="inlineStr">
        <is>
          <t>1301-103 / 104</t>
        </is>
      </c>
      <c r="AM61" t="inlineStr">
        <is>
          <t xml:space="preserve">Drager </t>
        </is>
      </c>
      <c r="AN61" t="inlineStr">
        <is>
          <t>FABIUS GS PREMIUM</t>
        </is>
      </c>
      <c r="AP61" t="inlineStr">
        <is>
          <t>8607000-37ASBJ-0222</t>
        </is>
      </c>
      <c r="AQ61" t="inlineStr">
        <is>
          <t>8607000-37ASBJ-0222</t>
        </is>
      </c>
      <c r="AS61" t="inlineStr">
        <is>
          <t xml:space="preserve"> GE Carescape D19KT: 833-08, SPEC999015</t>
        </is>
      </c>
      <c r="AT61" t="inlineStr">
        <is>
          <t>B1-CFB</t>
        </is>
      </c>
      <c r="AX61" t="inlineStr">
        <is>
          <t xml:space="preserve"> Carescape D19KT: DTV10011083</t>
        </is>
      </c>
      <c r="AY61" t="inlineStr">
        <is>
          <t>8607000-37ASBJ-0222</t>
        </is>
      </c>
      <c r="BC61" t="n">
        <v>62251</v>
      </c>
      <c r="BD61" t="n">
        <v>62251</v>
      </c>
      <c r="BH61" t="n">
        <v>19200</v>
      </c>
      <c r="BI61" t="n">
        <v>9600</v>
      </c>
      <c r="BM61" t="inlineStr">
        <is>
          <t>E81</t>
        </is>
      </c>
      <c r="BN61" t="inlineStr">
        <is>
          <t>N81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>
        <is>
          <t>Yes</t>
        </is>
      </c>
      <c r="CD61">
        <f>IF($Y61="","",IF((IF(AND($BR61&lt;&gt;"Yes",$BR61&lt;&gt;"N/A"),"Power Cable, ","")&amp;IF(AND($BS61&lt;&gt;"Yes",$BS61&lt;&gt;"N/A"),"Battery, ","")&amp;IF(AND($AD61&lt;&gt;"Yes",$AD61&lt;&gt;"N/A"),"Firmware Download, ","")&amp;IF(AND(OR($AD61="Yes",$AD61="N/A"),$AE61&lt;&gt;"Yes",$AE61&lt;&gt;"N/A"),"Firmware Install, ","")&amp;IF(AND($CB61&lt;&gt;"Yes",$CB61&lt;&gt;"N/A"),"Device ID, ","")&amp;IF(AND($CC61&lt;&gt;"Yes",$CC61&lt;&gt;"N/A"),"Epic Beans Relay, ",""))="","",LEFT(IF(AND($BR61&lt;&gt;"Yes",$BR61&lt;&gt;"N/A"),"Power Cable, ","")&amp;IF(AND($BS61&lt;&gt;"Yes",$BS61&lt;&gt;"N/A"),"Battery, ","")&amp;IF(AND($AD61&lt;&gt;"Yes",$AD61&lt;&gt;"N/A"),"Firmware Download, ","")&amp;IF(AND(OR($AD61="Yes",$AD61="N/A"),$AE61&lt;&gt;"Yes",$AE61&lt;&gt;"N/A"),"Firmware Install, ","")&amp;IF(AND($CB61&lt;&gt;"Yes",$CB61&lt;&gt;"N/A"),"Device ID, ","")&amp;IF(AND($CC61&lt;&gt;"Yes",$CC61&lt;&gt;"N/A"),"Epic Beans Relay, ",""),LEN(IF(AND($BR61&lt;&gt;"Yes",$BR61&lt;&gt;"N/A"),"Power Cable, ","")&amp;IF(AND($BS61&lt;&gt;"Yes",$BS61&lt;&gt;"N/A"),"Battery, ","")&amp;IF(AND($AD61&lt;&gt;"Yes",$AD61&lt;&gt;"N/A"),"Firmware Download, ","")&amp;IF(AND(OR($AD61="Yes",$AD61="N/A"),$AE61&lt;&gt;"Yes",$AE61&lt;&gt;"N/A"),"Firmware Install, ","")&amp;IF(AND($CB61&lt;&gt;"Yes",$CB61&lt;&gt;"N/A"),"Device ID, ","")&amp;IF(AND($CC61&lt;&gt;"Yes",$CC61&lt;&gt;"N/A"),"Epic Beans Relay, ",""))-2)))</f>
        <v/>
      </c>
      <c r="CE61">
        <f>IF($Y61="","",IF($CD61="","Yes","Blocked"))</f>
        <v/>
      </c>
      <c r="CF61" t="inlineStr">
        <is>
          <t>Yes</t>
        </is>
      </c>
      <c r="CG61" t="inlineStr">
        <is>
          <t>Yes</t>
        </is>
      </c>
      <c r="CH61" t="inlineStr">
        <is>
          <t>Yes</t>
        </is>
      </c>
      <c r="CI61" t="inlineStr">
        <is>
          <t>Yes</t>
        </is>
      </c>
      <c r="CJ61" t="inlineStr">
        <is>
          <t>Yes</t>
        </is>
      </c>
      <c r="CK61" t="inlineStr">
        <is>
          <t>Yes</t>
        </is>
      </c>
      <c r="CL61" t="inlineStr">
        <is>
          <t>Yes</t>
        </is>
      </c>
      <c r="CM61" t="inlineStr">
        <is>
          <t>Yes</t>
        </is>
      </c>
      <c r="CN61" t="inlineStr">
        <is>
          <t>Yes</t>
        </is>
      </c>
      <c r="CO61" t="inlineStr">
        <is>
          <t>Yes</t>
        </is>
      </c>
      <c r="CP61" t="inlineStr">
        <is>
          <t>Yes</t>
        </is>
      </c>
      <c r="CQ61" t="inlineStr">
        <is>
          <t>Yes</t>
        </is>
      </c>
      <c r="CR61" t="inlineStr">
        <is>
          <t>Yes</t>
        </is>
      </c>
      <c r="CS61" t="inlineStr">
        <is>
          <t>Yes</t>
        </is>
      </c>
      <c r="CW61">
        <f>IF($S61="","",IF(UPPER(TRIM($S61))&lt;&gt;"PASS","",IF(LEN(TRIM($BY61))&gt;0,"NOTES_PRESENT",IF(LEN(TRIM($T61))=0,"SET_NA",IF(OR(LOWER(TRIM($T61))="na",LOWER(TRIM($T61))="n/a"),"OK","MANUAL_OVERRIDE")))))</f>
        <v/>
      </c>
    </row>
    <row r="62">
      <c r="A62" t="inlineStr">
        <is>
          <t>Cybernet-Neuron</t>
        </is>
      </c>
      <c r="B62" s="51" t="inlineStr">
        <is>
          <t>Yes</t>
        </is>
      </c>
      <c r="C62" t="inlineStr">
        <is>
          <t>Yes</t>
        </is>
      </c>
      <c r="D62">
        <f>IF($B62&lt;&gt;"Yes","",IF($C62="No","Yes",IF($C62="Yes","No","")))</f>
        <v/>
      </c>
      <c r="E62">
        <f>IF($A62="","",IF(OR(AND($V62&lt;&gt;"",LOWER(TRIM($V62))&lt;&gt;"n/a",LOWER(TRIM($V62))&lt;&gt;"na",SUMPRODUCT(--(UPPER(TRIM($V$2:$V$518))=UPPER(TRIM($V62))),--(TRIM($V$2:$V$518)&lt;&gt;""),--(LOWER(TRIM($V$2:$V$518))&lt;&gt;"n/a"),--(LOWER(TRIM($V$2:$V$518))&lt;&gt;"na"))&gt;1),AND($W62&lt;&gt;"",LOWER(TRIM($W62))&lt;&gt;"n/a",LOWER(TRIM($W62))&lt;&gt;"na",SUMPRODUCT(--(UPPER(TRIM($W$2:$W$518))=UPPER(TRIM($W62))),--(TRIM($W$2:$W$518)&lt;&gt;""),--(LOWER(TRIM($W$2:$W$518))&lt;&gt;"n/a"),--(LOWER(TRIM($W$2:$W$518))&lt;&gt;"na"))&gt;1),AND($X62&lt;&gt;"",LOWER(TRIM($X62))&lt;&gt;"n/a",LOWER(TRIM($X62))&lt;&gt;"na",SUMPRODUCT(--(UPPER(TRIM($X$2:$X$518))=UPPER(TRIM($X62))),--(TRIM($X$2:$X$518)&lt;&gt;""),--(LOWER(TRIM($X$2:$X$518))&lt;&gt;"n/a"),--(LOWER(TRIM($X$2:$X$518))&lt;&gt;"na"))&gt;1),AND($Y62&lt;&gt;"",LOWER(TRIM($Y62))&lt;&gt;"n/a",LOWER(TRIM($Y62))&lt;&gt;"na",SUMPRODUCT(--(UPPER(SUBSTITUTE(SUBSTITUTE(TRIM($Y$2:$Y$518),":",""),"-",""))=UPPER(SUBSTITUTE(SUBSTITUTE(TRIM($Y62),":",""),"-",""))),--(TRIM($Y$2:$Y$518)&lt;&gt;""),--(LOWER(TRIM($Y$2:$Y$518))&lt;&gt;"n/a"),--(LOWER(TRIM($Y$2:$Y$518))&lt;&gt;"na"))&gt;1),AND($AB62&lt;&gt;"",LOWER(TRIM($AB62))&lt;&gt;"n/a",LOWER(TRIM($AB62))&lt;&gt;"na",SUMPRODUCT(--(UPPER(TRIM($AB$2:$AB$518))=UPPER(TRIM($AB62))),--(TRIM($AB$2:$AB$518)&lt;&gt;""),--(LOWER(TRIM($AB$2:$AB$518))&lt;&gt;"n/a"),--(LOWER(TRIM($AB$2:$AB$518))&lt;&gt;"na"))&gt;1),AND($AH62&lt;&gt;"",LOWER(TRIM($AH62))&lt;&gt;"n/a",LOWER(TRIM($AH62))&lt;&gt;"na",SUMPRODUCT(--(UPPER(SUBSTITUTE(SUBSTITUTE(TRIM($AH$2:$AH$518),":",""),"-",""))=UPPER(SUBSTITUTE(SUBSTITUTE(TRIM($AH62),":",""),"-",""))),--(TRIM($AH$2:$AH$518)&lt;&gt;""),--(LOWER(TRIM($AH$2:$AH$518))&lt;&gt;"n/a"),--(LOWER(TRIM($AH$2:$AH$518))&lt;&gt;"na"))&gt;1),AND($AP62&lt;&gt;"",LOWER(TRIM($AP62))&lt;&gt;"n/a",LOWER(TRIM($AP62))&lt;&gt;"na",SUMPRODUCT(--(UPPER(TRIM($AP$2:$AP$518))=UPPER(TRIM($AP62))),--(TRIM($AP$2:$AP$518)&lt;&gt;""),--(LOWER(TRIM($AP$2:$AP$518))&lt;&gt;"n/a"),--(LOWER(TRIM($AP$2:$AP$518))&lt;&gt;"na"))&gt;1),AND($AQ62&lt;&gt;"",LOWER(TRIM($AQ62))&lt;&gt;"n/a",LOWER(TRIM($AQ62))&lt;&gt;"na",SUMPRODUCT(--(UPPER(TRIM($AQ$2:$AQ$518))=UPPER(TRIM($AQ62))),--(TRIM($AQ$2:$AQ$518)&lt;&gt;""),--(LOWER(TRIM($AQ$2:$AQ$518))&lt;&gt;"n/a"),--(LOWER(TRIM($AQ$2:$AQ$518))&lt;&gt;"na"))&gt;1)),"Yes","No"))</f>
        <v/>
      </c>
      <c r="F62">
        <f>IF(UPPER(TRIM($B62))&lt;&gt;"YES","", IF(OR(AND($V62&lt;&gt;"", LOWER(TRIM($V62))&lt;&gt;"n/a", LOWER(TRIM($V62))&lt;&gt;"na", SUMPRODUCT(--(UPPER(TRIM($V$2:$V$518))=UPPER(TRIM($V62))), --(UPPER(TRIM($B$2:$B$518))="YES"), --(UPPER(TRIM($G$2:$G$518)&amp;TRIM($I$2:$I$518)&amp;TRIM($J$2:$J$518))&lt;&gt;UPPER(TRIM($G62)&amp;TRIM($I62)&amp;TRIM($J62))))&gt;0), AND($W62&lt;&gt;"", LOWER(TRIM($W62))&lt;&gt;"n/a", LOWER(TRIM($W62))&lt;&gt;"na", SUMPRODUCT(--(UPPER(TRIM($W$2:$W$518))=UPPER(TRIM($W62))), --(UPPER(TRIM($B$2:$B$518))="YES"), --(UPPER(TRIM($G$2:$G$518)&amp;TRIM($I$2:$I$518)&amp;TRIM($J$2:$J$518))&lt;&gt;UPPER(TRIM($G62)&amp;TRIM($I62)&amp;TRIM($J62))))&gt;0), AND($X62&lt;&gt;"", LOWER(TRIM($X62))&lt;&gt;"n/a", LOWER(TRIM($X62))&lt;&gt;"na", SUMPRODUCT(--(UPPER(TRIM($X$2:$X$518))=UPPER(TRIM($X62))), --(UPPER(TRIM($B$2:$B$518))="YES"), --(UPPER(TRIM($G$2:$G$518)&amp;TRIM($I$2:$I$518)&amp;TRIM($J$2:$J$518))&lt;&gt;UPPER(TRIM($G62)&amp;TRIM($I62)&amp;TRIM($J62))))&gt;0), AND($Y62&lt;&gt;"", LOWER(TRIM($Y62))&lt;&gt;"n/a", LOWER(TRIM($Y62))&lt;&gt;"na", SUMPRODUCT(--(UPPER(SUBSTITUTE(SUBSTITUTE(TRIM($Y$2:$Y$518),":",""),"-",""))=UPPER(SUBSTITUTE(SUBSTITUTE(TRIM($Y62),":",""),"-",""))), --(UPPER(TRIM($B$2:$B$518))="YES"), --(UPPER(TRIM($G$2:$G$518)&amp;TRIM($I$2:$I$518)&amp;TRIM($J$2:$J$518))&lt;&gt;UPPER(TRIM($G62)&amp;TRIM($I62)&amp;TRIM($J62))))&gt;0), AND($AB62&lt;&gt;"", LOWER(TRIM($AB62))&lt;&gt;"n/a", LOWER(TRIM($AB62))&lt;&gt;"na", SUMPRODUCT(--(UPPER(TRIM($AB$2:$AB$518))=UPPER(TRIM($AB62))), --(UPPER(TRIM($B$2:$B$518))="YES"), --(UPPER(TRIM($G$2:$G$518)&amp;TRIM($I$2:$I$518)&amp;TRIM($J$2:$J$518))&lt;&gt;UPPER(TRIM($G62)&amp;TRIM($I62)&amp;TRIM($J62))))&gt;0), AND($AH62&lt;&gt;"", LOWER(TRIM($AH62))&lt;&gt;"n/a", LOWER(TRIM($AH62))&lt;&gt;"na", SUMPRODUCT(--(UPPER(SUBSTITUTE(SUBSTITUTE(TRIM($AH$2:$AH$518),":",""),"-",""))=UPPER(SUBSTITUTE(SUBSTITUTE(TRIM($AH62),":",""),"-",""))), --(UPPER(TRIM($B$2:$B$518))="YES"), --(UPPER(TRIM($G$2:$G$518)&amp;TRIM($I$2:$I$518)&amp;TRIM($J$2:$J$518))&lt;&gt;UPPER(TRIM($G62)&amp;TRIM($I62)&amp;TRIM($J62))))&gt;0), AND($AP62&lt;&gt;"", LOWER(TRIM($AP62))&lt;&gt;"n/a", LOWER(TRIM($AP62))&lt;&gt;"na", SUMPRODUCT(--(UPPER(TRIM($AP$2:$AP$518))=UPPER(TRIM($AP62))), --(UPPER(TRIM($B$2:$B$518))="YES"), --(UPPER(TRIM($G$2:$G$518)&amp;TRIM($I$2:$I$518)&amp;TRIM($J$2:$J$518))&lt;&gt;UPPER(TRIM($G62)&amp;TRIM($I62)&amp;TRIM($J62))))&gt;0), AND($AQ62&lt;&gt;"", LOWER(TRIM($AQ62))&lt;&gt;"n/a", LOWER(TRIM($AQ62))&lt;&gt;"na", SUMPRODUCT(--(UPPER(TRIM($AQ$2:$AQ$518))=UPPER(TRIM($AQ62))), --(UPPER(TRIM($B$2:$B$518))="YES"), --(UPPER(TRIM($G$2:$G$518)&amp;TRIM($I$2:$I$518)&amp;TRIM($J$2:$J$518))&lt;&gt;UPPER(TRIM($G62)&amp;TRIM($I62)&amp;TRIM($J62))))&gt;0)), "Yes", "No"))</f>
        <v/>
      </c>
      <c r="G62" t="inlineStr">
        <is>
          <t>NSUH - Schwartz</t>
        </is>
      </c>
      <c r="H62" t="inlineStr">
        <is>
          <t>NSUH - Schwartz</t>
        </is>
      </c>
      <c r="I62" t="inlineStr">
        <is>
          <t>Main ORs</t>
        </is>
      </c>
      <c r="J62" t="inlineStr">
        <is>
          <t>OR 1</t>
        </is>
      </c>
      <c r="L62" s="18" t="n">
        <v>46123</v>
      </c>
      <c r="O62" t="inlineStr">
        <is>
          <t>Yes</t>
        </is>
      </c>
      <c r="P62" t="inlineStr">
        <is>
          <t>No</t>
        </is>
      </c>
      <c r="R62" t="inlineStr">
        <is>
          <t>Yes</t>
        </is>
      </c>
      <c r="U62" t="inlineStr">
        <is>
          <t>Dr. Palilla, Timothy W. Seeberger</t>
        </is>
      </c>
      <c r="V62" t="inlineStr">
        <is>
          <t>WMH300OPR388</t>
        </is>
      </c>
      <c r="W62" t="inlineStr">
        <is>
          <t>MEDSG2425F-0168</t>
        </is>
      </c>
      <c r="X62" t="inlineStr">
        <is>
          <t xml:space="preserve">SCH-MACH-A </t>
        </is>
      </c>
      <c r="Y62" t="inlineStr">
        <is>
          <t>A0F5097FE20D</t>
        </is>
      </c>
      <c r="AB62" t="inlineStr">
        <is>
          <t>WA24406070</t>
        </is>
      </c>
      <c r="AC62" t="inlineStr">
        <is>
          <t>NSUH</t>
        </is>
      </c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  <c r="AI62" t="inlineStr">
        <is>
          <t>Anesthesia Machine</t>
        </is>
      </c>
      <c r="AJ62" t="n">
        <v>409526</v>
      </c>
      <c r="AL62" t="inlineStr">
        <is>
          <t>1301-96 / 95</t>
        </is>
      </c>
      <c r="AM62" t="inlineStr">
        <is>
          <t>Drager</t>
        </is>
      </c>
      <c r="AN62" t="inlineStr">
        <is>
          <t>Fabius Tiro</t>
        </is>
      </c>
      <c r="AP62" t="inlineStr">
        <is>
          <t>01040486750414741118081321ASLH-0180938606000-85</t>
        </is>
      </c>
      <c r="AQ62" t="inlineStr">
        <is>
          <t>01040486750414741118081321ASLH-0180938606000-85</t>
        </is>
      </c>
      <c r="AS62" t="inlineStr">
        <is>
          <t xml:space="preserve"> GE Carescape B650: 833-08, SPEC999015</t>
        </is>
      </c>
      <c r="AT62" t="inlineStr">
        <is>
          <t>B1-CFT</t>
        </is>
      </c>
      <c r="AX62" t="inlineStr">
        <is>
          <t>Carescape B650 : SK416381035HA</t>
        </is>
      </c>
      <c r="AY62" t="inlineStr">
        <is>
          <t>01040486750414741118081321ASLH-0180938606000-85</t>
        </is>
      </c>
      <c r="BC62" t="n">
        <v>409526</v>
      </c>
      <c r="BD62" t="n">
        <v>415707</v>
      </c>
      <c r="BH62" t="n">
        <v>19200</v>
      </c>
      <c r="BI62" t="n">
        <v>9600</v>
      </c>
      <c r="BM62" t="inlineStr">
        <is>
          <t>E81</t>
        </is>
      </c>
      <c r="BN62" t="inlineStr">
        <is>
          <t>N81</t>
        </is>
      </c>
      <c r="BR62" t="inlineStr">
        <is>
          <t>Yes</t>
        </is>
      </c>
      <c r="BS62" t="inlineStr">
        <is>
          <t>Yes</t>
        </is>
      </c>
      <c r="BT62" t="inlineStr">
        <is>
          <t>Yes</t>
        </is>
      </c>
      <c r="BU62" t="inlineStr">
        <is>
          <t>Yes</t>
        </is>
      </c>
      <c r="CD62">
        <f>IF($Y62="","",IF((IF(AND($BR62&lt;&gt;"Yes",$BR62&lt;&gt;"N/A"),"Power Cable, ","")&amp;IF(AND($BS62&lt;&gt;"Yes",$BS62&lt;&gt;"N/A"),"Battery, ","")&amp;IF(AND($AD62&lt;&gt;"Yes",$AD62&lt;&gt;"N/A"),"Firmware Download, ","")&amp;IF(AND(OR($AD62="Yes",$AD62="N/A"),$AE62&lt;&gt;"Yes",$AE62&lt;&gt;"N/A"),"Firmware Install, ","")&amp;IF(AND($CB62&lt;&gt;"Yes",$CB62&lt;&gt;"N/A"),"Device ID, ","")&amp;IF(AND($CC62&lt;&gt;"Yes",$CC62&lt;&gt;"N/A"),"Epic Beans Relay, ",""))="","",LEFT(IF(AND($BR62&lt;&gt;"Yes",$BR62&lt;&gt;"N/A"),"Power Cable, ","")&amp;IF(AND($BS62&lt;&gt;"Yes",$BS62&lt;&gt;"N/A"),"Battery, ","")&amp;IF(AND($AD62&lt;&gt;"Yes",$AD62&lt;&gt;"N/A"),"Firmware Download, ","")&amp;IF(AND(OR($AD62="Yes",$AD62="N/A"),$AE62&lt;&gt;"Yes",$AE62&lt;&gt;"N/A"),"Firmware Install, ","")&amp;IF(AND($CB62&lt;&gt;"Yes",$CB62&lt;&gt;"N/A"),"Device ID, ","")&amp;IF(AND($CC62&lt;&gt;"Yes",$CC62&lt;&gt;"N/A"),"Epic Beans Relay, ",""),LEN(IF(AND($BR62&lt;&gt;"Yes",$BR62&lt;&gt;"N/A"),"Power Cable, ","")&amp;IF(AND($BS62&lt;&gt;"Yes",$BS62&lt;&gt;"N/A"),"Battery, ","")&amp;IF(AND($AD62&lt;&gt;"Yes",$AD62&lt;&gt;"N/A"),"Firmware Download, ","")&amp;IF(AND(OR($AD62="Yes",$AD62="N/A"),$AE62&lt;&gt;"Yes",$AE62&lt;&gt;"N/A"),"Firmware Install, ","")&amp;IF(AND($CB62&lt;&gt;"Yes",$CB62&lt;&gt;"N/A"),"Device ID, ","")&amp;IF(AND($CC62&lt;&gt;"Yes",$CC62&lt;&gt;"N/A"),"Epic Beans Relay, ",""))-2)))</f>
        <v/>
      </c>
      <c r="CE62">
        <f>IF($Y62="","",IF($CD62="","Yes","Blocked"))</f>
        <v/>
      </c>
      <c r="CF62" t="inlineStr">
        <is>
          <t>Yes</t>
        </is>
      </c>
      <c r="CG62" t="inlineStr">
        <is>
          <t>Yes</t>
        </is>
      </c>
      <c r="CH62" t="inlineStr">
        <is>
          <t>Yes</t>
        </is>
      </c>
      <c r="CI62" t="inlineStr">
        <is>
          <t>Yes</t>
        </is>
      </c>
      <c r="CJ62" t="inlineStr">
        <is>
          <t>Yes</t>
        </is>
      </c>
      <c r="CK62" t="inlineStr">
        <is>
          <t>Yes</t>
        </is>
      </c>
      <c r="CL62" t="inlineStr">
        <is>
          <t>Yes</t>
        </is>
      </c>
      <c r="CM62" t="inlineStr">
        <is>
          <t>Yes</t>
        </is>
      </c>
      <c r="CN62" t="inlineStr">
        <is>
          <t>Yes</t>
        </is>
      </c>
      <c r="CO62" t="inlineStr">
        <is>
          <t>Yes</t>
        </is>
      </c>
      <c r="CP62" t="inlineStr">
        <is>
          <t>Yes</t>
        </is>
      </c>
      <c r="CQ62" t="inlineStr">
        <is>
          <t>Yes</t>
        </is>
      </c>
      <c r="CR62" t="inlineStr">
        <is>
          <t>Yes</t>
        </is>
      </c>
      <c r="CS62" t="inlineStr">
        <is>
          <t>Yes</t>
        </is>
      </c>
      <c r="CW62">
        <f>IF($S62="","",IF(UPPER(TRIM($S62))&lt;&gt;"PASS","",IF(LEN(TRIM($BY62))&gt;0,"NOTES_PRESENT",IF(LEN(TRIM($T62))=0,"SET_NA",IF(OR(LOWER(TRIM($T62))="na",LOWER(TRIM($T62))="n/a"),"OK","MANUAL_OVERRIDE")))))</f>
        <v/>
      </c>
    </row>
    <row r="63">
      <c r="A63" t="inlineStr">
        <is>
          <t>Cybernet</t>
        </is>
      </c>
      <c r="B63" s="51" t="inlineStr">
        <is>
          <t>No</t>
        </is>
      </c>
      <c r="C63" t="inlineStr">
        <is>
          <t>No</t>
        </is>
      </c>
      <c r="D63">
        <f>IF($B63&lt;&gt;"Yes","",IF($C63="No","Yes",IF($C63="Yes","No","")))</f>
        <v/>
      </c>
      <c r="E63">
        <f>IF($A63="","",IF(OR(AND($V63&lt;&gt;"",LOWER(TRIM($V63))&lt;&gt;"n/a",LOWER(TRIM($V63))&lt;&gt;"na",SUMPRODUCT(--(UPPER(TRIM($V$2:$V$518))=UPPER(TRIM($V63))),--(TRIM($V$2:$V$518)&lt;&gt;""),--(LOWER(TRIM($V$2:$V$518))&lt;&gt;"n/a"),--(LOWER(TRIM($V$2:$V$518))&lt;&gt;"na"))&gt;1),AND($W63&lt;&gt;"",LOWER(TRIM($W63))&lt;&gt;"n/a",LOWER(TRIM($W63))&lt;&gt;"na",SUMPRODUCT(--(UPPER(TRIM($W$2:$W$518))=UPPER(TRIM($W63))),--(TRIM($W$2:$W$518)&lt;&gt;""),--(LOWER(TRIM($W$2:$W$518))&lt;&gt;"n/a"),--(LOWER(TRIM($W$2:$W$518))&lt;&gt;"na"))&gt;1),AND($X63&lt;&gt;"",LOWER(TRIM($X63))&lt;&gt;"n/a",LOWER(TRIM($X63))&lt;&gt;"na",SUMPRODUCT(--(UPPER(TRIM($X$2:$X$518))=UPPER(TRIM($X63))),--(TRIM($X$2:$X$518)&lt;&gt;""),--(LOWER(TRIM($X$2:$X$518))&lt;&gt;"n/a"),--(LOWER(TRIM($X$2:$X$518))&lt;&gt;"na"))&gt;1),AND($Y63&lt;&gt;"",LOWER(TRIM($Y63))&lt;&gt;"n/a",LOWER(TRIM($Y63))&lt;&gt;"na",SUMPRODUCT(--(UPPER(SUBSTITUTE(SUBSTITUTE(TRIM($Y$2:$Y$518),":",""),"-",""))=UPPER(SUBSTITUTE(SUBSTITUTE(TRIM($Y63),":",""),"-",""))),--(TRIM($Y$2:$Y$518)&lt;&gt;""),--(LOWER(TRIM($Y$2:$Y$518))&lt;&gt;"n/a"),--(LOWER(TRIM($Y$2:$Y$518))&lt;&gt;"na"))&gt;1),AND($AB63&lt;&gt;"",LOWER(TRIM($AB63))&lt;&gt;"n/a",LOWER(TRIM($AB63))&lt;&gt;"na",SUMPRODUCT(--(UPPER(TRIM($AB$2:$AB$518))=UPPER(TRIM($AB63))),--(TRIM($AB$2:$AB$518)&lt;&gt;""),--(LOWER(TRIM($AB$2:$AB$518))&lt;&gt;"n/a"),--(LOWER(TRIM($AB$2:$AB$518))&lt;&gt;"na"))&gt;1),AND($AH63&lt;&gt;"",LOWER(TRIM($AH63))&lt;&gt;"n/a",LOWER(TRIM($AH63))&lt;&gt;"na",SUMPRODUCT(--(UPPER(SUBSTITUTE(SUBSTITUTE(TRIM($AH$2:$AH$518),":",""),"-",""))=UPPER(SUBSTITUTE(SUBSTITUTE(TRIM($AH63),":",""),"-",""))),--(TRIM($AH$2:$AH$518)&lt;&gt;""),--(LOWER(TRIM($AH$2:$AH$518))&lt;&gt;"n/a"),--(LOWER(TRIM($AH$2:$AH$518))&lt;&gt;"na"))&gt;1),AND($AP63&lt;&gt;"",LOWER(TRIM($AP63))&lt;&gt;"n/a",LOWER(TRIM($AP63))&lt;&gt;"na",SUMPRODUCT(--(UPPER(TRIM($AP$2:$AP$518))=UPPER(TRIM($AP63))),--(TRIM($AP$2:$AP$518)&lt;&gt;""),--(LOWER(TRIM($AP$2:$AP$518))&lt;&gt;"n/a"),--(LOWER(TRIM($AP$2:$AP$518))&lt;&gt;"na"))&gt;1),AND($AQ63&lt;&gt;"",LOWER(TRIM($AQ63))&lt;&gt;"n/a",LOWER(TRIM($AQ63))&lt;&gt;"na",SUMPRODUCT(--(UPPER(TRIM($AQ$2:$AQ$518))=UPPER(TRIM($AQ63))),--(TRIM($AQ$2:$AQ$518)&lt;&gt;""),--(LOWER(TRIM($AQ$2:$AQ$518))&lt;&gt;"n/a"),--(LOWER(TRIM($AQ$2:$AQ$518))&lt;&gt;"na"))&gt;1)),"Yes","No"))</f>
        <v/>
      </c>
      <c r="F63">
        <f>IF(UPPER(TRIM($B63))&lt;&gt;"YES","", IF(OR(AND($V63&lt;&gt;"", LOWER(TRIM($V63))&lt;&gt;"n/a", LOWER(TRIM($V63))&lt;&gt;"na", SUMPRODUCT(--(UPPER(TRIM($V$2:$V$518))=UPPER(TRIM($V63))), --(UPPER(TRIM($B$2:$B$518))="YES"), --(UPPER(TRIM($G$2:$G$518)&amp;TRIM($I$2:$I$518)&amp;TRIM($J$2:$J$518))&lt;&gt;UPPER(TRIM($G63)&amp;TRIM($I63)&amp;TRIM($J63))))&gt;0), AND($W63&lt;&gt;"", LOWER(TRIM($W63))&lt;&gt;"n/a", LOWER(TRIM($W63))&lt;&gt;"na", SUMPRODUCT(--(UPPER(TRIM($W$2:$W$518))=UPPER(TRIM($W63))), --(UPPER(TRIM($B$2:$B$518))="YES"), --(UPPER(TRIM($G$2:$G$518)&amp;TRIM($I$2:$I$518)&amp;TRIM($J$2:$J$518))&lt;&gt;UPPER(TRIM($G63)&amp;TRIM($I63)&amp;TRIM($J63))))&gt;0), AND($X63&lt;&gt;"", LOWER(TRIM($X63))&lt;&gt;"n/a", LOWER(TRIM($X63))&lt;&gt;"na", SUMPRODUCT(--(UPPER(TRIM($X$2:$X$518))=UPPER(TRIM($X63))), --(UPPER(TRIM($B$2:$B$518))="YES"), --(UPPER(TRIM($G$2:$G$518)&amp;TRIM($I$2:$I$518)&amp;TRIM($J$2:$J$518))&lt;&gt;UPPER(TRIM($G63)&amp;TRIM($I63)&amp;TRIM($J63))))&gt;0), AND($Y63&lt;&gt;"", LOWER(TRIM($Y63))&lt;&gt;"n/a", LOWER(TRIM($Y63))&lt;&gt;"na", SUMPRODUCT(--(UPPER(SUBSTITUTE(SUBSTITUTE(TRIM($Y$2:$Y$518),":",""),"-",""))=UPPER(SUBSTITUTE(SUBSTITUTE(TRIM($Y63),":",""),"-",""))), --(UPPER(TRIM($B$2:$B$518))="YES"), --(UPPER(TRIM($G$2:$G$518)&amp;TRIM($I$2:$I$518)&amp;TRIM($J$2:$J$518))&lt;&gt;UPPER(TRIM($G63)&amp;TRIM($I63)&amp;TRIM($J63))))&gt;0), AND($AB63&lt;&gt;"", LOWER(TRIM($AB63))&lt;&gt;"n/a", LOWER(TRIM($AB63))&lt;&gt;"na", SUMPRODUCT(--(UPPER(TRIM($AB$2:$AB$518))=UPPER(TRIM($AB63))), --(UPPER(TRIM($B$2:$B$518))="YES"), --(UPPER(TRIM($G$2:$G$518)&amp;TRIM($I$2:$I$518)&amp;TRIM($J$2:$J$518))&lt;&gt;UPPER(TRIM($G63)&amp;TRIM($I63)&amp;TRIM($J63))))&gt;0), AND($AH63&lt;&gt;"", LOWER(TRIM($AH63))&lt;&gt;"n/a", LOWER(TRIM($AH63))&lt;&gt;"na", SUMPRODUCT(--(UPPER(SUBSTITUTE(SUBSTITUTE(TRIM($AH$2:$AH$518),":",""),"-",""))=UPPER(SUBSTITUTE(SUBSTITUTE(TRIM($AH63),":",""),"-",""))), --(UPPER(TRIM($B$2:$B$518))="YES"), --(UPPER(TRIM($G$2:$G$518)&amp;TRIM($I$2:$I$518)&amp;TRIM($J$2:$J$518))&lt;&gt;UPPER(TRIM($G63)&amp;TRIM($I63)&amp;TRIM($J63))))&gt;0), AND($AP63&lt;&gt;"", LOWER(TRIM($AP63))&lt;&gt;"n/a", LOWER(TRIM($AP63))&lt;&gt;"na", SUMPRODUCT(--(UPPER(TRIM($AP$2:$AP$518))=UPPER(TRIM($AP63))), --(UPPER(TRIM($B$2:$B$518))="YES"), --(UPPER(TRIM($G$2:$G$518)&amp;TRIM($I$2:$I$518)&amp;TRIM($J$2:$J$518))&lt;&gt;UPPER(TRIM($G63)&amp;TRIM($I63)&amp;TRIM($J63))))&gt;0), AND($AQ63&lt;&gt;"", LOWER(TRIM($AQ63))&lt;&gt;"n/a", LOWER(TRIM($AQ63))&lt;&gt;"na", SUMPRODUCT(--(UPPER(TRIM($AQ$2:$AQ$518))=UPPER(TRIM($AQ63))), --(UPPER(TRIM($B$2:$B$518))="YES"), --(UPPER(TRIM($G$2:$G$518)&amp;TRIM($I$2:$I$518)&amp;TRIM($J$2:$J$518))&lt;&gt;UPPER(TRIM($G63)&amp;TRIM($I63)&amp;TRIM($J63))))&gt;0)), "Yes", "No"))</f>
        <v/>
      </c>
      <c r="G63" t="inlineStr">
        <is>
          <t>NSUH - PSP</t>
        </is>
      </c>
      <c r="H63" t="inlineStr">
        <is>
          <t>NSUH - PSP</t>
        </is>
      </c>
      <c r="I63" t="inlineStr">
        <is>
          <t>Main ORs - PSP - 2nd Floor</t>
        </is>
      </c>
      <c r="S63" t="inlineStr">
        <is>
          <t>Fail</t>
        </is>
      </c>
      <c r="T63" t="inlineStr">
        <is>
          <t>Offline SIS</t>
        </is>
      </c>
      <c r="U63" t="inlineStr">
        <is>
          <t>Dr. Palilla, Timothy W. Seeberger</t>
        </is>
      </c>
      <c r="V63" t="inlineStr">
        <is>
          <t>WMH300OPR389</t>
        </is>
      </c>
      <c r="W63" t="inlineStr">
        <is>
          <t>MEDSG2425F-0011</t>
        </is>
      </c>
      <c r="CD63">
        <f>IF($Y63="","",IF((IF(AND($BR63&lt;&gt;"Yes",$BR63&lt;&gt;"N/A"),"Power Cable, ","")&amp;IF(AND($BS63&lt;&gt;"Yes",$BS63&lt;&gt;"N/A"),"Battery, ","")&amp;IF(AND($AD63&lt;&gt;"Yes",$AD63&lt;&gt;"N/A"),"Firmware Download, ","")&amp;IF(AND(OR($AD63="Yes",$AD63="N/A"),$AE63&lt;&gt;"Yes",$AE63&lt;&gt;"N/A"),"Firmware Install, ","")&amp;IF(AND($CB63&lt;&gt;"Yes",$CB63&lt;&gt;"N/A"),"Device ID, ","")&amp;IF(AND($CC63&lt;&gt;"Yes",$CC63&lt;&gt;"N/A"),"Epic Beans Relay, ",""))="","",LEFT(IF(AND($BR63&lt;&gt;"Yes",$BR63&lt;&gt;"N/A"),"Power Cable, ","")&amp;IF(AND($BS63&lt;&gt;"Yes",$BS63&lt;&gt;"N/A"),"Battery, ","")&amp;IF(AND($AD63&lt;&gt;"Yes",$AD63&lt;&gt;"N/A"),"Firmware Download, ","")&amp;IF(AND(OR($AD63="Yes",$AD63="N/A"),$AE63&lt;&gt;"Yes",$AE63&lt;&gt;"N/A"),"Firmware Install, ","")&amp;IF(AND($CB63&lt;&gt;"Yes",$CB63&lt;&gt;"N/A"),"Device ID, ","")&amp;IF(AND($CC63&lt;&gt;"Yes",$CC63&lt;&gt;"N/A"),"Epic Beans Relay, ",""),LEN(IF(AND($BR63&lt;&gt;"Yes",$BR63&lt;&gt;"N/A"),"Power Cable, ","")&amp;IF(AND($BS63&lt;&gt;"Yes",$BS63&lt;&gt;"N/A"),"Battery, ","")&amp;IF(AND($AD63&lt;&gt;"Yes",$AD63&lt;&gt;"N/A"),"Firmware Download, ","")&amp;IF(AND(OR($AD63="Yes",$AD63="N/A"),$AE63&lt;&gt;"Yes",$AE63&lt;&gt;"N/A"),"Firmware Install, ","")&amp;IF(AND($CB63&lt;&gt;"Yes",$CB63&lt;&gt;"N/A"),"Device ID, ","")&amp;IF(AND($CC63&lt;&gt;"Yes",$CC63&lt;&gt;"N/A"),"Epic Beans Relay, ",""))-2)))</f>
        <v/>
      </c>
      <c r="CE63">
        <f>IF($Y63="","",IF($CD63="","Yes","Blocked"))</f>
        <v/>
      </c>
      <c r="CF63" t="inlineStr">
        <is>
          <t>Yes</t>
        </is>
      </c>
      <c r="CG63" t="inlineStr">
        <is>
          <t>Yes</t>
        </is>
      </c>
      <c r="CH63" t="inlineStr">
        <is>
          <t>Yes</t>
        </is>
      </c>
      <c r="CI63" t="inlineStr">
        <is>
          <t>Yes</t>
        </is>
      </c>
      <c r="CJ63" t="inlineStr">
        <is>
          <t>Yes</t>
        </is>
      </c>
      <c r="CK63" t="inlineStr">
        <is>
          <t>Yes</t>
        </is>
      </c>
      <c r="CL63" t="inlineStr">
        <is>
          <t>Yes</t>
        </is>
      </c>
      <c r="CM63" t="inlineStr">
        <is>
          <t>Yes</t>
        </is>
      </c>
      <c r="CN63" t="inlineStr">
        <is>
          <t>Yes</t>
        </is>
      </c>
      <c r="CO63" t="inlineStr">
        <is>
          <t>Yes</t>
        </is>
      </c>
      <c r="CP63" t="inlineStr">
        <is>
          <t>Yes</t>
        </is>
      </c>
      <c r="CQ63" t="inlineStr">
        <is>
          <t>Yes</t>
        </is>
      </c>
      <c r="CR63" t="inlineStr">
        <is>
          <t>Yes</t>
        </is>
      </c>
      <c r="CS63" t="inlineStr">
        <is>
          <t>Yes</t>
        </is>
      </c>
      <c r="CW63">
        <f>IF($S63="","",IF(UPPER(TRIM($S63))&lt;&gt;"PASS","",IF(LEN(TRIM($BY63))&gt;0,"NOTES_PRESENT",IF(LEN(TRIM($T63))=0,"SET_NA",IF(OR(LOWER(TRIM($T63))="na",LOWER(TRIM($T63))="n/a"),"OK","MANUAL_OVERRIDE")))))</f>
        <v/>
      </c>
    </row>
    <row r="64">
      <c r="A64" t="inlineStr">
        <is>
          <t>Cybernet</t>
        </is>
      </c>
      <c r="B64" s="51" t="inlineStr">
        <is>
          <t>Yes</t>
        </is>
      </c>
      <c r="C64" t="inlineStr">
        <is>
          <t>Yes</t>
        </is>
      </c>
      <c r="D64">
        <f>IF($B64&lt;&gt;"Yes","",IF($C64="No","Yes",IF($C64="Yes","No","")))</f>
        <v/>
      </c>
      <c r="E64">
        <f>IF($A64="","",IF(OR(AND($V64&lt;&gt;"",LOWER(TRIM($V64))&lt;&gt;"n/a",LOWER(TRIM($V64))&lt;&gt;"na",SUMPRODUCT(--(UPPER(TRIM($V$2:$V$518))=UPPER(TRIM($V64))),--(TRIM($V$2:$V$518)&lt;&gt;""),--(LOWER(TRIM($V$2:$V$518))&lt;&gt;"n/a"),--(LOWER(TRIM($V$2:$V$518))&lt;&gt;"na"))&gt;1),AND($W64&lt;&gt;"",LOWER(TRIM($W64))&lt;&gt;"n/a",LOWER(TRIM($W64))&lt;&gt;"na",SUMPRODUCT(--(UPPER(TRIM($W$2:$W$518))=UPPER(TRIM($W64))),--(TRIM($W$2:$W$518)&lt;&gt;""),--(LOWER(TRIM($W$2:$W$518))&lt;&gt;"n/a"),--(LOWER(TRIM($W$2:$W$518))&lt;&gt;"na"))&gt;1),AND($X64&lt;&gt;"",LOWER(TRIM($X64))&lt;&gt;"n/a",LOWER(TRIM($X64))&lt;&gt;"na",SUMPRODUCT(--(UPPER(TRIM($X$2:$X$518))=UPPER(TRIM($X64))),--(TRIM($X$2:$X$518)&lt;&gt;""),--(LOWER(TRIM($X$2:$X$518))&lt;&gt;"n/a"),--(LOWER(TRIM($X$2:$X$518))&lt;&gt;"na"))&gt;1),AND($Y64&lt;&gt;"",LOWER(TRIM($Y64))&lt;&gt;"n/a",LOWER(TRIM($Y64))&lt;&gt;"na",SUMPRODUCT(--(UPPER(SUBSTITUTE(SUBSTITUTE(TRIM($Y$2:$Y$518),":",""),"-",""))=UPPER(SUBSTITUTE(SUBSTITUTE(TRIM($Y64),":",""),"-",""))),--(TRIM($Y$2:$Y$518)&lt;&gt;""),--(LOWER(TRIM($Y$2:$Y$518))&lt;&gt;"n/a"),--(LOWER(TRIM($Y$2:$Y$518))&lt;&gt;"na"))&gt;1),AND($AB64&lt;&gt;"",LOWER(TRIM($AB64))&lt;&gt;"n/a",LOWER(TRIM($AB64))&lt;&gt;"na",SUMPRODUCT(--(UPPER(TRIM($AB$2:$AB$518))=UPPER(TRIM($AB64))),--(TRIM($AB$2:$AB$518)&lt;&gt;""),--(LOWER(TRIM($AB$2:$AB$518))&lt;&gt;"n/a"),--(LOWER(TRIM($AB$2:$AB$518))&lt;&gt;"na"))&gt;1),AND($AH64&lt;&gt;"",LOWER(TRIM($AH64))&lt;&gt;"n/a",LOWER(TRIM($AH64))&lt;&gt;"na",SUMPRODUCT(--(UPPER(SUBSTITUTE(SUBSTITUTE(TRIM($AH$2:$AH$518),":",""),"-",""))=UPPER(SUBSTITUTE(SUBSTITUTE(TRIM($AH64),":",""),"-",""))),--(TRIM($AH$2:$AH$518)&lt;&gt;""),--(LOWER(TRIM($AH$2:$AH$518))&lt;&gt;"n/a"),--(LOWER(TRIM($AH$2:$AH$518))&lt;&gt;"na"))&gt;1),AND($AP64&lt;&gt;"",LOWER(TRIM($AP64))&lt;&gt;"n/a",LOWER(TRIM($AP64))&lt;&gt;"na",SUMPRODUCT(--(UPPER(TRIM($AP$2:$AP$518))=UPPER(TRIM($AP64))),--(TRIM($AP$2:$AP$518)&lt;&gt;""),--(LOWER(TRIM($AP$2:$AP$518))&lt;&gt;"n/a"),--(LOWER(TRIM($AP$2:$AP$518))&lt;&gt;"na"))&gt;1),AND($AQ64&lt;&gt;"",LOWER(TRIM($AQ64))&lt;&gt;"n/a",LOWER(TRIM($AQ64))&lt;&gt;"na",SUMPRODUCT(--(UPPER(TRIM($AQ$2:$AQ$518))=UPPER(TRIM($AQ64))),--(TRIM($AQ$2:$AQ$518)&lt;&gt;""),--(LOWER(TRIM($AQ$2:$AQ$518))&lt;&gt;"n/a"),--(LOWER(TRIM($AQ$2:$AQ$518))&lt;&gt;"na"))&gt;1)),"Yes","No"))</f>
        <v/>
      </c>
      <c r="F64">
        <f>IF(UPPER(TRIM($B64))&lt;&gt;"YES","", IF(OR(AND($V64&lt;&gt;"", LOWER(TRIM($V64))&lt;&gt;"n/a", LOWER(TRIM($V64))&lt;&gt;"na", SUMPRODUCT(--(UPPER(TRIM($V$2:$V$518))=UPPER(TRIM($V64))), --(UPPER(TRIM($B$2:$B$518))="YES"), --(UPPER(TRIM($G$2:$G$518)&amp;TRIM($I$2:$I$518)&amp;TRIM($J$2:$J$518))&lt;&gt;UPPER(TRIM($G64)&amp;TRIM($I64)&amp;TRIM($J64))))&gt;0), AND($W64&lt;&gt;"", LOWER(TRIM($W64))&lt;&gt;"n/a", LOWER(TRIM($W64))&lt;&gt;"na", SUMPRODUCT(--(UPPER(TRIM($W$2:$W$518))=UPPER(TRIM($W64))), --(UPPER(TRIM($B$2:$B$518))="YES"), --(UPPER(TRIM($G$2:$G$518)&amp;TRIM($I$2:$I$518)&amp;TRIM($J$2:$J$518))&lt;&gt;UPPER(TRIM($G64)&amp;TRIM($I64)&amp;TRIM($J64))))&gt;0), AND($X64&lt;&gt;"", LOWER(TRIM($X64))&lt;&gt;"n/a", LOWER(TRIM($X64))&lt;&gt;"na", SUMPRODUCT(--(UPPER(TRIM($X$2:$X$518))=UPPER(TRIM($X64))), --(UPPER(TRIM($B$2:$B$518))="YES"), --(UPPER(TRIM($G$2:$G$518)&amp;TRIM($I$2:$I$518)&amp;TRIM($J$2:$J$518))&lt;&gt;UPPER(TRIM($G64)&amp;TRIM($I64)&amp;TRIM($J64))))&gt;0), AND($Y64&lt;&gt;"", LOWER(TRIM($Y64))&lt;&gt;"n/a", LOWER(TRIM($Y64))&lt;&gt;"na", SUMPRODUCT(--(UPPER(SUBSTITUTE(SUBSTITUTE(TRIM($Y$2:$Y$518),":",""),"-",""))=UPPER(SUBSTITUTE(SUBSTITUTE(TRIM($Y64),":",""),"-",""))), --(UPPER(TRIM($B$2:$B$518))="YES"), --(UPPER(TRIM($G$2:$G$518)&amp;TRIM($I$2:$I$518)&amp;TRIM($J$2:$J$518))&lt;&gt;UPPER(TRIM($G64)&amp;TRIM($I64)&amp;TRIM($J64))))&gt;0), AND($AB64&lt;&gt;"", LOWER(TRIM($AB64))&lt;&gt;"n/a", LOWER(TRIM($AB64))&lt;&gt;"na", SUMPRODUCT(--(UPPER(TRIM($AB$2:$AB$518))=UPPER(TRIM($AB64))), --(UPPER(TRIM($B$2:$B$518))="YES"), --(UPPER(TRIM($G$2:$G$518)&amp;TRIM($I$2:$I$518)&amp;TRIM($J$2:$J$518))&lt;&gt;UPPER(TRIM($G64)&amp;TRIM($I64)&amp;TRIM($J64))))&gt;0), AND($AH64&lt;&gt;"", LOWER(TRIM($AH64))&lt;&gt;"n/a", LOWER(TRIM($AH64))&lt;&gt;"na", SUMPRODUCT(--(UPPER(SUBSTITUTE(SUBSTITUTE(TRIM($AH$2:$AH$518),":",""),"-",""))=UPPER(SUBSTITUTE(SUBSTITUTE(TRIM($AH64),":",""),"-",""))), --(UPPER(TRIM($B$2:$B$518))="YES"), --(UPPER(TRIM($G$2:$G$518)&amp;TRIM($I$2:$I$518)&amp;TRIM($J$2:$J$518))&lt;&gt;UPPER(TRIM($G64)&amp;TRIM($I64)&amp;TRIM($J64))))&gt;0), AND($AP64&lt;&gt;"", LOWER(TRIM($AP64))&lt;&gt;"n/a", LOWER(TRIM($AP64))&lt;&gt;"na", SUMPRODUCT(--(UPPER(TRIM($AP$2:$AP$518))=UPPER(TRIM($AP64))), --(UPPER(TRIM($B$2:$B$518))="YES"), --(UPPER(TRIM($G$2:$G$518)&amp;TRIM($I$2:$I$518)&amp;TRIM($J$2:$J$518))&lt;&gt;UPPER(TRIM($G64)&amp;TRIM($I64)&amp;TRIM($J64))))&gt;0), AND($AQ64&lt;&gt;"", LOWER(TRIM($AQ64))&lt;&gt;"n/a", LOWER(TRIM($AQ64))&lt;&gt;"na", SUMPRODUCT(--(UPPER(TRIM($AQ$2:$AQ$518))=UPPER(TRIM($AQ64))), --(UPPER(TRIM($B$2:$B$518))="YES"), --(UPPER(TRIM($G$2:$G$518)&amp;TRIM($I$2:$I$518)&amp;TRIM($J$2:$J$518))&lt;&gt;UPPER(TRIM($G64)&amp;TRIM($I64)&amp;TRIM($J64))))&gt;0)), "Yes", "No"))</f>
        <v/>
      </c>
      <c r="G64" t="inlineStr">
        <is>
          <t>NSUH - IR - 1st Floor</t>
        </is>
      </c>
      <c r="H64" t="inlineStr">
        <is>
          <t>NSUH - IR - 1st Floor</t>
        </is>
      </c>
      <c r="I64" t="inlineStr">
        <is>
          <t>Interventional Radiology</t>
        </is>
      </c>
      <c r="J64" t="inlineStr">
        <is>
          <t>IR 2</t>
        </is>
      </c>
      <c r="L64" s="18" t="n">
        <v>46123</v>
      </c>
      <c r="M64" t="inlineStr">
        <is>
          <t>OR Workstation</t>
        </is>
      </c>
      <c r="N64" t="inlineStr">
        <is>
          <t>No</t>
        </is>
      </c>
      <c r="O64" t="inlineStr">
        <is>
          <t>Yes</t>
        </is>
      </c>
      <c r="P64" t="inlineStr">
        <is>
          <t>Yes</t>
        </is>
      </c>
      <c r="Q64" t="inlineStr">
        <is>
          <t>Inpatient</t>
        </is>
      </c>
      <c r="R64" t="inlineStr">
        <is>
          <t>No</t>
        </is>
      </c>
      <c r="S64" t="inlineStr">
        <is>
          <t>pass</t>
        </is>
      </c>
      <c r="T64" t="inlineStr">
        <is>
          <t>n/a</t>
        </is>
      </c>
      <c r="U64" t="inlineStr">
        <is>
          <t>Dr. Palilla, Timothy W. Seeberger</t>
        </is>
      </c>
      <c r="V64" t="inlineStr">
        <is>
          <t>WMH300OPR392</t>
        </is>
      </c>
      <c r="W64" t="inlineStr">
        <is>
          <t>MEDSG2425F-0028</t>
        </is>
      </c>
      <c r="X64" t="inlineStr">
        <is>
          <t>NSUH-MACH-MMM</t>
        </is>
      </c>
      <c r="Y64" t="inlineStr">
        <is>
          <t>A0F5097FF006</t>
        </is>
      </c>
      <c r="AB64" t="inlineStr">
        <is>
          <t>WA24406277</t>
        </is>
      </c>
      <c r="AI64" t="inlineStr">
        <is>
          <t>Anesthesia Machine</t>
        </is>
      </c>
      <c r="AJ64" t="n">
        <v>99288</v>
      </c>
      <c r="AK64" t="n">
        <v>2</v>
      </c>
      <c r="AL64" t="inlineStr">
        <is>
          <t>C: 4101-369 / N: 4101-886</t>
        </is>
      </c>
      <c r="AM64" t="inlineStr">
        <is>
          <t xml:space="preserve">Drager </t>
        </is>
      </c>
      <c r="AP64" t="inlineStr">
        <is>
          <t>8606000-24 ARYA-0083</t>
        </is>
      </c>
      <c r="AQ64" t="inlineStr">
        <is>
          <t>8606000-24 ARYA-0083</t>
        </is>
      </c>
      <c r="AS64" t="inlineStr">
        <is>
          <t>GE Canvas 1000: 833-08, SPEC999015 / GE G1500213: 133-08C, GE B850</t>
        </is>
      </c>
      <c r="AT64" t="inlineStr">
        <is>
          <t>B</t>
        </is>
      </c>
      <c r="AX64" t="inlineStr">
        <is>
          <t>CARESCAPE Canvas 1000 - 010019527852232021STN24362856SA11240906</t>
        </is>
      </c>
      <c r="AY64" t="inlineStr">
        <is>
          <t>B1-CFU</t>
        </is>
      </c>
      <c r="AZ64" t="inlineStr">
        <is>
          <t>B1-CFB</t>
        </is>
      </c>
      <c r="BC64" t="n">
        <v>459995</v>
      </c>
      <c r="BD64" t="n">
        <v>99288</v>
      </c>
      <c r="BH64" t="n">
        <v>115200</v>
      </c>
      <c r="BI64" t="n">
        <v>9600</v>
      </c>
      <c r="BM64" t="inlineStr">
        <is>
          <t>E81</t>
        </is>
      </c>
      <c r="BN64" t="inlineStr">
        <is>
          <t>N81</t>
        </is>
      </c>
      <c r="CD64">
        <f>IF($Y64="","",IF((IF(AND($BR64&lt;&gt;"Yes",$BR64&lt;&gt;"N/A"),"Power Cable, ","")&amp;IF(AND($BS64&lt;&gt;"Yes",$BS64&lt;&gt;"N/A"),"Battery, ","")&amp;IF(AND($AD64&lt;&gt;"Yes",$AD64&lt;&gt;"N/A"),"Firmware Download, ","")&amp;IF(AND(OR($AD64="Yes",$AD64="N/A"),$AE64&lt;&gt;"Yes",$AE64&lt;&gt;"N/A"),"Firmware Install, ","")&amp;IF(AND($CB64&lt;&gt;"Yes",$CB64&lt;&gt;"N/A"),"Device ID, ","")&amp;IF(AND($CC64&lt;&gt;"Yes",$CC64&lt;&gt;"N/A"),"Epic Beans Relay, ",""))="","",LEFT(IF(AND($BR64&lt;&gt;"Yes",$BR64&lt;&gt;"N/A"),"Power Cable, ","")&amp;IF(AND($BS64&lt;&gt;"Yes",$BS64&lt;&gt;"N/A"),"Battery, ","")&amp;IF(AND($AD64&lt;&gt;"Yes",$AD64&lt;&gt;"N/A"),"Firmware Download, ","")&amp;IF(AND(OR($AD64="Yes",$AD64="N/A"),$AE64&lt;&gt;"Yes",$AE64&lt;&gt;"N/A"),"Firmware Install, ","")&amp;IF(AND($CB64&lt;&gt;"Yes",$CB64&lt;&gt;"N/A"),"Device ID, ","")&amp;IF(AND($CC64&lt;&gt;"Yes",$CC64&lt;&gt;"N/A"),"Epic Beans Relay, ",""),LEN(IF(AND($BR64&lt;&gt;"Yes",$BR64&lt;&gt;"N/A"),"Power Cable, ","")&amp;IF(AND($BS64&lt;&gt;"Yes",$BS64&lt;&gt;"N/A"),"Battery, ","")&amp;IF(AND($AD64&lt;&gt;"Yes",$AD64&lt;&gt;"N/A"),"Firmware Download, ","")&amp;IF(AND(OR($AD64="Yes",$AD64="N/A"),$AE64&lt;&gt;"Yes",$AE64&lt;&gt;"N/A"),"Firmware Install, ","")&amp;IF(AND($CB64&lt;&gt;"Yes",$CB64&lt;&gt;"N/A"),"Device ID, ","")&amp;IF(AND($CC64&lt;&gt;"Yes",$CC64&lt;&gt;"N/A"),"Epic Beans Relay, ",""))-2)))</f>
        <v/>
      </c>
      <c r="CE64">
        <f>IF($Y64="","",IF($CD64="","Yes","Blocked"))</f>
        <v/>
      </c>
      <c r="CF64" t="inlineStr">
        <is>
          <t>Yes</t>
        </is>
      </c>
      <c r="CG64" t="inlineStr">
        <is>
          <t>Yes</t>
        </is>
      </c>
      <c r="CH64" t="inlineStr">
        <is>
          <t>Yes</t>
        </is>
      </c>
      <c r="CI64" t="inlineStr">
        <is>
          <t>Yes</t>
        </is>
      </c>
      <c r="CJ64" t="inlineStr">
        <is>
          <t>Yes</t>
        </is>
      </c>
      <c r="CK64" t="inlineStr">
        <is>
          <t>Yes</t>
        </is>
      </c>
      <c r="CL64" t="inlineStr">
        <is>
          <t>Yes</t>
        </is>
      </c>
      <c r="CM64" t="inlineStr">
        <is>
          <t>Yes</t>
        </is>
      </c>
      <c r="CN64" t="inlineStr">
        <is>
          <t>Yes</t>
        </is>
      </c>
      <c r="CO64" t="inlineStr">
        <is>
          <t>Yes</t>
        </is>
      </c>
      <c r="CP64" t="inlineStr">
        <is>
          <t>Yes</t>
        </is>
      </c>
      <c r="CQ64" t="inlineStr">
        <is>
          <t>Yes</t>
        </is>
      </c>
      <c r="CR64" t="inlineStr">
        <is>
          <t>Yes</t>
        </is>
      </c>
      <c r="CS64" t="inlineStr">
        <is>
          <t>Yes</t>
        </is>
      </c>
      <c r="CW64">
        <f>IF($S64="","",IF(UPPER(TRIM($S64))&lt;&gt;"PASS","",IF(LEN(TRIM($BY64))&gt;0,"NOTES_PRESENT",IF(LEN(TRIM($T64))=0,"SET_NA",IF(OR(LOWER(TRIM($T64))="na",LOWER(TRIM($T64))="n/a"),"OK","MANUAL_OVERRIDE")))))</f>
        <v/>
      </c>
    </row>
    <row r="65">
      <c r="A65" t="inlineStr">
        <is>
          <t>Cybernet</t>
        </is>
      </c>
      <c r="B65" s="51" t="inlineStr">
        <is>
          <t>No</t>
        </is>
      </c>
      <c r="C65" t="inlineStr">
        <is>
          <t>No</t>
        </is>
      </c>
      <c r="D65">
        <f>IF($B65&lt;&gt;"Yes","",IF($C65="No","Yes",IF($C65="Yes","No","")))</f>
        <v/>
      </c>
      <c r="E65">
        <f>IF($A65="","",IF(OR(AND($V65&lt;&gt;"",LOWER(TRIM($V65))&lt;&gt;"n/a",LOWER(TRIM($V65))&lt;&gt;"na",SUMPRODUCT(--(UPPER(TRIM($V$2:$V$518))=UPPER(TRIM($V65))),--(TRIM($V$2:$V$518)&lt;&gt;""),--(LOWER(TRIM($V$2:$V$518))&lt;&gt;"n/a"),--(LOWER(TRIM($V$2:$V$518))&lt;&gt;"na"))&gt;1),AND($W65&lt;&gt;"",LOWER(TRIM($W65))&lt;&gt;"n/a",LOWER(TRIM($W65))&lt;&gt;"na",SUMPRODUCT(--(UPPER(TRIM($W$2:$W$518))=UPPER(TRIM($W65))),--(TRIM($W$2:$W$518)&lt;&gt;""),--(LOWER(TRIM($W$2:$W$518))&lt;&gt;"n/a"),--(LOWER(TRIM($W$2:$W$518))&lt;&gt;"na"))&gt;1),AND($X65&lt;&gt;"",LOWER(TRIM($X65))&lt;&gt;"n/a",LOWER(TRIM($X65))&lt;&gt;"na",SUMPRODUCT(--(UPPER(TRIM($X$2:$X$518))=UPPER(TRIM($X65))),--(TRIM($X$2:$X$518)&lt;&gt;""),--(LOWER(TRIM($X$2:$X$518))&lt;&gt;"n/a"),--(LOWER(TRIM($X$2:$X$518))&lt;&gt;"na"))&gt;1),AND($Y65&lt;&gt;"",LOWER(TRIM($Y65))&lt;&gt;"n/a",LOWER(TRIM($Y65))&lt;&gt;"na",SUMPRODUCT(--(UPPER(SUBSTITUTE(SUBSTITUTE(TRIM($Y$2:$Y$518),":",""),"-",""))=UPPER(SUBSTITUTE(SUBSTITUTE(TRIM($Y65),":",""),"-",""))),--(TRIM($Y$2:$Y$518)&lt;&gt;""),--(LOWER(TRIM($Y$2:$Y$518))&lt;&gt;"n/a"),--(LOWER(TRIM($Y$2:$Y$518))&lt;&gt;"na"))&gt;1),AND($AB65&lt;&gt;"",LOWER(TRIM($AB65))&lt;&gt;"n/a",LOWER(TRIM($AB65))&lt;&gt;"na",SUMPRODUCT(--(UPPER(TRIM($AB$2:$AB$518))=UPPER(TRIM($AB65))),--(TRIM($AB$2:$AB$518)&lt;&gt;""),--(LOWER(TRIM($AB$2:$AB$518))&lt;&gt;"n/a"),--(LOWER(TRIM($AB$2:$AB$518))&lt;&gt;"na"))&gt;1),AND($AH65&lt;&gt;"",LOWER(TRIM($AH65))&lt;&gt;"n/a",LOWER(TRIM($AH65))&lt;&gt;"na",SUMPRODUCT(--(UPPER(SUBSTITUTE(SUBSTITUTE(TRIM($AH$2:$AH$518),":",""),"-",""))=UPPER(SUBSTITUTE(SUBSTITUTE(TRIM($AH65),":",""),"-",""))),--(TRIM($AH$2:$AH$518)&lt;&gt;""),--(LOWER(TRIM($AH$2:$AH$518))&lt;&gt;"n/a"),--(LOWER(TRIM($AH$2:$AH$518))&lt;&gt;"na"))&gt;1),AND($AP65&lt;&gt;"",LOWER(TRIM($AP65))&lt;&gt;"n/a",LOWER(TRIM($AP65))&lt;&gt;"na",SUMPRODUCT(--(UPPER(TRIM($AP$2:$AP$518))=UPPER(TRIM($AP65))),--(TRIM($AP$2:$AP$518)&lt;&gt;""),--(LOWER(TRIM($AP$2:$AP$518))&lt;&gt;"n/a"),--(LOWER(TRIM($AP$2:$AP$518))&lt;&gt;"na"))&gt;1),AND($AQ65&lt;&gt;"",LOWER(TRIM($AQ65))&lt;&gt;"n/a",LOWER(TRIM($AQ65))&lt;&gt;"na",SUMPRODUCT(--(UPPER(TRIM($AQ$2:$AQ$518))=UPPER(TRIM($AQ65))),--(TRIM($AQ$2:$AQ$518)&lt;&gt;""),--(LOWER(TRIM($AQ$2:$AQ$518))&lt;&gt;"n/a"),--(LOWER(TRIM($AQ$2:$AQ$518))&lt;&gt;"na"))&gt;1)),"Yes","No"))</f>
        <v/>
      </c>
      <c r="F65">
        <f>IF(UPPER(TRIM($B65))&lt;&gt;"YES","", IF(OR(AND($V65&lt;&gt;"", LOWER(TRIM($V65))&lt;&gt;"n/a", LOWER(TRIM($V65))&lt;&gt;"na", SUMPRODUCT(--(UPPER(TRIM($V$2:$V$518))=UPPER(TRIM($V65))), --(UPPER(TRIM($B$2:$B$518))="YES"), --(UPPER(TRIM($G$2:$G$518)&amp;TRIM($I$2:$I$518)&amp;TRIM($J$2:$J$518))&lt;&gt;UPPER(TRIM($G65)&amp;TRIM($I65)&amp;TRIM($J65))))&gt;0), AND($W65&lt;&gt;"", LOWER(TRIM($W65))&lt;&gt;"n/a", LOWER(TRIM($W65))&lt;&gt;"na", SUMPRODUCT(--(UPPER(TRIM($W$2:$W$518))=UPPER(TRIM($W65))), --(UPPER(TRIM($B$2:$B$518))="YES"), --(UPPER(TRIM($G$2:$G$518)&amp;TRIM($I$2:$I$518)&amp;TRIM($J$2:$J$518))&lt;&gt;UPPER(TRIM($G65)&amp;TRIM($I65)&amp;TRIM($J65))))&gt;0), AND($X65&lt;&gt;"", LOWER(TRIM($X65))&lt;&gt;"n/a", LOWER(TRIM($X65))&lt;&gt;"na", SUMPRODUCT(--(UPPER(TRIM($X$2:$X$518))=UPPER(TRIM($X65))), --(UPPER(TRIM($B$2:$B$518))="YES"), --(UPPER(TRIM($G$2:$G$518)&amp;TRIM($I$2:$I$518)&amp;TRIM($J$2:$J$518))&lt;&gt;UPPER(TRIM($G65)&amp;TRIM($I65)&amp;TRIM($J65))))&gt;0), AND($Y65&lt;&gt;"", LOWER(TRIM($Y65))&lt;&gt;"n/a", LOWER(TRIM($Y65))&lt;&gt;"na", SUMPRODUCT(--(UPPER(SUBSTITUTE(SUBSTITUTE(TRIM($Y$2:$Y$518),":",""),"-",""))=UPPER(SUBSTITUTE(SUBSTITUTE(TRIM($Y65),":",""),"-",""))), --(UPPER(TRIM($B$2:$B$518))="YES"), --(UPPER(TRIM($G$2:$G$518)&amp;TRIM($I$2:$I$518)&amp;TRIM($J$2:$J$518))&lt;&gt;UPPER(TRIM($G65)&amp;TRIM($I65)&amp;TRIM($J65))))&gt;0), AND($AB65&lt;&gt;"", LOWER(TRIM($AB65))&lt;&gt;"n/a", LOWER(TRIM($AB65))&lt;&gt;"na", SUMPRODUCT(--(UPPER(TRIM($AB$2:$AB$518))=UPPER(TRIM($AB65))), --(UPPER(TRIM($B$2:$B$518))="YES"), --(UPPER(TRIM($G$2:$G$518)&amp;TRIM($I$2:$I$518)&amp;TRIM($J$2:$J$518))&lt;&gt;UPPER(TRIM($G65)&amp;TRIM($I65)&amp;TRIM($J65))))&gt;0), AND($AH65&lt;&gt;"", LOWER(TRIM($AH65))&lt;&gt;"n/a", LOWER(TRIM($AH65))&lt;&gt;"na", SUMPRODUCT(--(UPPER(SUBSTITUTE(SUBSTITUTE(TRIM($AH$2:$AH$518),":",""),"-",""))=UPPER(SUBSTITUTE(SUBSTITUTE(TRIM($AH65),":",""),"-",""))), --(UPPER(TRIM($B$2:$B$518))="YES"), --(UPPER(TRIM($G$2:$G$518)&amp;TRIM($I$2:$I$518)&amp;TRIM($J$2:$J$518))&lt;&gt;UPPER(TRIM($G65)&amp;TRIM($I65)&amp;TRIM($J65))))&gt;0), AND($AP65&lt;&gt;"", LOWER(TRIM($AP65))&lt;&gt;"n/a", LOWER(TRIM($AP65))&lt;&gt;"na", SUMPRODUCT(--(UPPER(TRIM($AP$2:$AP$518))=UPPER(TRIM($AP65))), --(UPPER(TRIM($B$2:$B$518))="YES"), --(UPPER(TRIM($G$2:$G$518)&amp;TRIM($I$2:$I$518)&amp;TRIM($J$2:$J$518))&lt;&gt;UPPER(TRIM($G65)&amp;TRIM($I65)&amp;TRIM($J65))))&gt;0), AND($AQ65&lt;&gt;"", LOWER(TRIM($AQ65))&lt;&gt;"n/a", LOWER(TRIM($AQ65))&lt;&gt;"na", SUMPRODUCT(--(UPPER(TRIM($AQ$2:$AQ$518))=UPPER(TRIM($AQ65))), --(UPPER(TRIM($B$2:$B$518))="YES"), --(UPPER(TRIM($G$2:$G$518)&amp;TRIM($I$2:$I$518)&amp;TRIM($J$2:$J$518))&lt;&gt;UPPER(TRIM($G65)&amp;TRIM($I65)&amp;TRIM($J65))))&gt;0)), "Yes", "No"))</f>
        <v/>
      </c>
      <c r="G65" t="inlineStr">
        <is>
          <t>NSUH - PSP</t>
        </is>
      </c>
      <c r="H65" t="inlineStr">
        <is>
          <t>NSUH - PSP</t>
        </is>
      </c>
      <c r="I65" t="inlineStr">
        <is>
          <t>Main ORs - PSP - 2nd Floor</t>
        </is>
      </c>
      <c r="U65" t="inlineStr">
        <is>
          <t>Dr. Palilla, Timothy W. Seeberger</t>
        </is>
      </c>
      <c r="V65" t="inlineStr">
        <is>
          <t>WMH300OPR393</t>
        </is>
      </c>
      <c r="W65" t="inlineStr">
        <is>
          <t>MEDSG2425F-0138</t>
        </is>
      </c>
      <c r="CD65">
        <f>IF($Y65="","",IF((IF(AND($BR65&lt;&gt;"Yes",$BR65&lt;&gt;"N/A"),"Power Cable, ","")&amp;IF(AND($BS65&lt;&gt;"Yes",$BS65&lt;&gt;"N/A"),"Battery, ","")&amp;IF(AND($AD65&lt;&gt;"Yes",$AD65&lt;&gt;"N/A"),"Firmware Download, ","")&amp;IF(AND(OR($AD65="Yes",$AD65="N/A"),$AE65&lt;&gt;"Yes",$AE65&lt;&gt;"N/A"),"Firmware Install, ","")&amp;IF(AND($CB65&lt;&gt;"Yes",$CB65&lt;&gt;"N/A"),"Device ID, ","")&amp;IF(AND($CC65&lt;&gt;"Yes",$CC65&lt;&gt;"N/A"),"Epic Beans Relay, ",""))="","",LEFT(IF(AND($BR65&lt;&gt;"Yes",$BR65&lt;&gt;"N/A"),"Power Cable, ","")&amp;IF(AND($BS65&lt;&gt;"Yes",$BS65&lt;&gt;"N/A"),"Battery, ","")&amp;IF(AND($AD65&lt;&gt;"Yes",$AD65&lt;&gt;"N/A"),"Firmware Download, ","")&amp;IF(AND(OR($AD65="Yes",$AD65="N/A"),$AE65&lt;&gt;"Yes",$AE65&lt;&gt;"N/A"),"Firmware Install, ","")&amp;IF(AND($CB65&lt;&gt;"Yes",$CB65&lt;&gt;"N/A"),"Device ID, ","")&amp;IF(AND($CC65&lt;&gt;"Yes",$CC65&lt;&gt;"N/A"),"Epic Beans Relay, ",""),LEN(IF(AND($BR65&lt;&gt;"Yes",$BR65&lt;&gt;"N/A"),"Power Cable, ","")&amp;IF(AND($BS65&lt;&gt;"Yes",$BS65&lt;&gt;"N/A"),"Battery, ","")&amp;IF(AND($AD65&lt;&gt;"Yes",$AD65&lt;&gt;"N/A"),"Firmware Download, ","")&amp;IF(AND(OR($AD65="Yes",$AD65="N/A"),$AE65&lt;&gt;"Yes",$AE65&lt;&gt;"N/A"),"Firmware Install, ","")&amp;IF(AND($CB65&lt;&gt;"Yes",$CB65&lt;&gt;"N/A"),"Device ID, ","")&amp;IF(AND($CC65&lt;&gt;"Yes",$CC65&lt;&gt;"N/A"),"Epic Beans Relay, ",""))-2)))</f>
        <v/>
      </c>
      <c r="CE65">
        <f>IF($Y65="","",IF($CD65="","Yes","Blocked"))</f>
        <v/>
      </c>
      <c r="CF65" t="inlineStr">
        <is>
          <t>Yes</t>
        </is>
      </c>
      <c r="CG65" t="inlineStr">
        <is>
          <t>Yes</t>
        </is>
      </c>
      <c r="CH65" t="inlineStr">
        <is>
          <t>Yes</t>
        </is>
      </c>
      <c r="CI65" t="inlineStr">
        <is>
          <t>Yes</t>
        </is>
      </c>
      <c r="CJ65" t="inlineStr">
        <is>
          <t>Yes</t>
        </is>
      </c>
      <c r="CK65" t="inlineStr">
        <is>
          <t>Yes</t>
        </is>
      </c>
      <c r="CL65" t="inlineStr">
        <is>
          <t>Yes</t>
        </is>
      </c>
      <c r="CM65" t="inlineStr">
        <is>
          <t>Yes</t>
        </is>
      </c>
      <c r="CN65" t="inlineStr">
        <is>
          <t>Yes</t>
        </is>
      </c>
      <c r="CO65" t="inlineStr">
        <is>
          <t>Yes</t>
        </is>
      </c>
      <c r="CP65" t="inlineStr">
        <is>
          <t>Yes</t>
        </is>
      </c>
      <c r="CQ65" t="inlineStr">
        <is>
          <t>Yes</t>
        </is>
      </c>
      <c r="CR65" t="inlineStr">
        <is>
          <t>Yes</t>
        </is>
      </c>
      <c r="CS65" t="inlineStr">
        <is>
          <t>Yes</t>
        </is>
      </c>
      <c r="CW65">
        <f>IF($S65="","",IF(UPPER(TRIM($S65))&lt;&gt;"PASS","",IF(LEN(TRIM($BY65))&gt;0,"NOTES_PRESENT",IF(LEN(TRIM($T65))=0,"SET_NA",IF(OR(LOWER(TRIM($T65))="na",LOWER(TRIM($T65))="n/a"),"OK","MANUAL_OVERRIDE")))))</f>
        <v/>
      </c>
    </row>
    <row r="66">
      <c r="A66" t="inlineStr">
        <is>
          <t>Cybernet</t>
        </is>
      </c>
      <c r="B66" s="51" t="inlineStr">
        <is>
          <t>No</t>
        </is>
      </c>
      <c r="C66" t="inlineStr">
        <is>
          <t>No</t>
        </is>
      </c>
      <c r="D66">
        <f>IF($B66&lt;&gt;"Yes","",IF($C66="No","Yes",IF($C66="Yes","No","")))</f>
        <v/>
      </c>
      <c r="E66">
        <f>IF($A66="","",IF(OR(AND($V66&lt;&gt;"",LOWER(TRIM($V66))&lt;&gt;"n/a",LOWER(TRIM($V66))&lt;&gt;"na",SUMPRODUCT(--(UPPER(TRIM($V$2:$V$518))=UPPER(TRIM($V66))),--(TRIM($V$2:$V$518)&lt;&gt;""),--(LOWER(TRIM($V$2:$V$518))&lt;&gt;"n/a"),--(LOWER(TRIM($V$2:$V$518))&lt;&gt;"na"))&gt;1),AND($W66&lt;&gt;"",LOWER(TRIM($W66))&lt;&gt;"n/a",LOWER(TRIM($W66))&lt;&gt;"na",SUMPRODUCT(--(UPPER(TRIM($W$2:$W$518))=UPPER(TRIM($W66))),--(TRIM($W$2:$W$518)&lt;&gt;""),--(LOWER(TRIM($W$2:$W$518))&lt;&gt;"n/a"),--(LOWER(TRIM($W$2:$W$518))&lt;&gt;"na"))&gt;1),AND($X66&lt;&gt;"",LOWER(TRIM($X66))&lt;&gt;"n/a",LOWER(TRIM($X66))&lt;&gt;"na",SUMPRODUCT(--(UPPER(TRIM($X$2:$X$518))=UPPER(TRIM($X66))),--(TRIM($X$2:$X$518)&lt;&gt;""),--(LOWER(TRIM($X$2:$X$518))&lt;&gt;"n/a"),--(LOWER(TRIM($X$2:$X$518))&lt;&gt;"na"))&gt;1),AND($Y66&lt;&gt;"",LOWER(TRIM($Y66))&lt;&gt;"n/a",LOWER(TRIM($Y66))&lt;&gt;"na",SUMPRODUCT(--(UPPER(SUBSTITUTE(SUBSTITUTE(TRIM($Y$2:$Y$518),":",""),"-",""))=UPPER(SUBSTITUTE(SUBSTITUTE(TRIM($Y66),":",""),"-",""))),--(TRIM($Y$2:$Y$518)&lt;&gt;""),--(LOWER(TRIM($Y$2:$Y$518))&lt;&gt;"n/a"),--(LOWER(TRIM($Y$2:$Y$518))&lt;&gt;"na"))&gt;1),AND($AB66&lt;&gt;"",LOWER(TRIM($AB66))&lt;&gt;"n/a",LOWER(TRIM($AB66))&lt;&gt;"na",SUMPRODUCT(--(UPPER(TRIM($AB$2:$AB$518))=UPPER(TRIM($AB66))),--(TRIM($AB$2:$AB$518)&lt;&gt;""),--(LOWER(TRIM($AB$2:$AB$518))&lt;&gt;"n/a"),--(LOWER(TRIM($AB$2:$AB$518))&lt;&gt;"na"))&gt;1),AND($AH66&lt;&gt;"",LOWER(TRIM($AH66))&lt;&gt;"n/a",LOWER(TRIM($AH66))&lt;&gt;"na",SUMPRODUCT(--(UPPER(SUBSTITUTE(SUBSTITUTE(TRIM($AH$2:$AH$518),":",""),"-",""))=UPPER(SUBSTITUTE(SUBSTITUTE(TRIM($AH66),":",""),"-",""))),--(TRIM($AH$2:$AH$518)&lt;&gt;""),--(LOWER(TRIM($AH$2:$AH$518))&lt;&gt;"n/a"),--(LOWER(TRIM($AH$2:$AH$518))&lt;&gt;"na"))&gt;1),AND($AP66&lt;&gt;"",LOWER(TRIM($AP66))&lt;&gt;"n/a",LOWER(TRIM($AP66))&lt;&gt;"na",SUMPRODUCT(--(UPPER(TRIM($AP$2:$AP$518))=UPPER(TRIM($AP66))),--(TRIM($AP$2:$AP$518)&lt;&gt;""),--(LOWER(TRIM($AP$2:$AP$518))&lt;&gt;"n/a"),--(LOWER(TRIM($AP$2:$AP$518))&lt;&gt;"na"))&gt;1),AND($AQ66&lt;&gt;"",LOWER(TRIM($AQ66))&lt;&gt;"n/a",LOWER(TRIM($AQ66))&lt;&gt;"na",SUMPRODUCT(--(UPPER(TRIM($AQ$2:$AQ$518))=UPPER(TRIM($AQ66))),--(TRIM($AQ$2:$AQ$518)&lt;&gt;""),--(LOWER(TRIM($AQ$2:$AQ$518))&lt;&gt;"n/a"),--(LOWER(TRIM($AQ$2:$AQ$518))&lt;&gt;"na"))&gt;1)),"Yes","No"))</f>
        <v/>
      </c>
      <c r="F66">
        <f>IF(UPPER(TRIM($B66))&lt;&gt;"YES","", IF(OR(AND($V66&lt;&gt;"", LOWER(TRIM($V66))&lt;&gt;"n/a", LOWER(TRIM($V66))&lt;&gt;"na", SUMPRODUCT(--(UPPER(TRIM($V$2:$V$518))=UPPER(TRIM($V66))), --(UPPER(TRIM($B$2:$B$518))="YES"), --(UPPER(TRIM($G$2:$G$518)&amp;TRIM($I$2:$I$518)&amp;TRIM($J$2:$J$518))&lt;&gt;UPPER(TRIM($G66)&amp;TRIM($I66)&amp;TRIM($J66))))&gt;0), AND($W66&lt;&gt;"", LOWER(TRIM($W66))&lt;&gt;"n/a", LOWER(TRIM($W66))&lt;&gt;"na", SUMPRODUCT(--(UPPER(TRIM($W$2:$W$518))=UPPER(TRIM($W66))), --(UPPER(TRIM($B$2:$B$518))="YES"), --(UPPER(TRIM($G$2:$G$518)&amp;TRIM($I$2:$I$518)&amp;TRIM($J$2:$J$518))&lt;&gt;UPPER(TRIM($G66)&amp;TRIM($I66)&amp;TRIM($J66))))&gt;0), AND($X66&lt;&gt;"", LOWER(TRIM($X66))&lt;&gt;"n/a", LOWER(TRIM($X66))&lt;&gt;"na", SUMPRODUCT(--(UPPER(TRIM($X$2:$X$518))=UPPER(TRIM($X66))), --(UPPER(TRIM($B$2:$B$518))="YES"), --(UPPER(TRIM($G$2:$G$518)&amp;TRIM($I$2:$I$518)&amp;TRIM($J$2:$J$518))&lt;&gt;UPPER(TRIM($G66)&amp;TRIM($I66)&amp;TRIM($J66))))&gt;0), AND($Y66&lt;&gt;"", LOWER(TRIM($Y66))&lt;&gt;"n/a", LOWER(TRIM($Y66))&lt;&gt;"na", SUMPRODUCT(--(UPPER(SUBSTITUTE(SUBSTITUTE(TRIM($Y$2:$Y$518),":",""),"-",""))=UPPER(SUBSTITUTE(SUBSTITUTE(TRIM($Y66),":",""),"-",""))), --(UPPER(TRIM($B$2:$B$518))="YES"), --(UPPER(TRIM($G$2:$G$518)&amp;TRIM($I$2:$I$518)&amp;TRIM($J$2:$J$518))&lt;&gt;UPPER(TRIM($G66)&amp;TRIM($I66)&amp;TRIM($J66))))&gt;0), AND($AB66&lt;&gt;"", LOWER(TRIM($AB66))&lt;&gt;"n/a", LOWER(TRIM($AB66))&lt;&gt;"na", SUMPRODUCT(--(UPPER(TRIM($AB$2:$AB$518))=UPPER(TRIM($AB66))), --(UPPER(TRIM($B$2:$B$518))="YES"), --(UPPER(TRIM($G$2:$G$518)&amp;TRIM($I$2:$I$518)&amp;TRIM($J$2:$J$518))&lt;&gt;UPPER(TRIM($G66)&amp;TRIM($I66)&amp;TRIM($J66))))&gt;0), AND($AH66&lt;&gt;"", LOWER(TRIM($AH66))&lt;&gt;"n/a", LOWER(TRIM($AH66))&lt;&gt;"na", SUMPRODUCT(--(UPPER(SUBSTITUTE(SUBSTITUTE(TRIM($AH$2:$AH$518),":",""),"-",""))=UPPER(SUBSTITUTE(SUBSTITUTE(TRIM($AH66),":",""),"-",""))), --(UPPER(TRIM($B$2:$B$518))="YES"), --(UPPER(TRIM($G$2:$G$518)&amp;TRIM($I$2:$I$518)&amp;TRIM($J$2:$J$518))&lt;&gt;UPPER(TRIM($G66)&amp;TRIM($I66)&amp;TRIM($J66))))&gt;0), AND($AP66&lt;&gt;"", LOWER(TRIM($AP66))&lt;&gt;"n/a", LOWER(TRIM($AP66))&lt;&gt;"na", SUMPRODUCT(--(UPPER(TRIM($AP$2:$AP$518))=UPPER(TRIM($AP66))), --(UPPER(TRIM($B$2:$B$518))="YES"), --(UPPER(TRIM($G$2:$G$518)&amp;TRIM($I$2:$I$518)&amp;TRIM($J$2:$J$518))&lt;&gt;UPPER(TRIM($G66)&amp;TRIM($I66)&amp;TRIM($J66))))&gt;0), AND($AQ66&lt;&gt;"", LOWER(TRIM($AQ66))&lt;&gt;"n/a", LOWER(TRIM($AQ66))&lt;&gt;"na", SUMPRODUCT(--(UPPER(TRIM($AQ$2:$AQ$518))=UPPER(TRIM($AQ66))), --(UPPER(TRIM($B$2:$B$518))="YES"), --(UPPER(TRIM($G$2:$G$518)&amp;TRIM($I$2:$I$518)&amp;TRIM($J$2:$J$518))&lt;&gt;UPPER(TRIM($G66)&amp;TRIM($I66)&amp;TRIM($J66))))&gt;0)), "Yes", "No"))</f>
        <v/>
      </c>
      <c r="G66" t="inlineStr">
        <is>
          <t>NSUH - PSP</t>
        </is>
      </c>
      <c r="H66" t="inlineStr">
        <is>
          <t>NSUH - PSP</t>
        </is>
      </c>
      <c r="I66" t="inlineStr">
        <is>
          <t>Main ORs - PSP - 2nd Floor</t>
        </is>
      </c>
      <c r="U66" t="inlineStr">
        <is>
          <t>Dr. Palilla, Timothy W. Seeberger</t>
        </is>
      </c>
      <c r="V66" t="inlineStr">
        <is>
          <t>WMH300OPR394</t>
        </is>
      </c>
      <c r="W66" t="inlineStr">
        <is>
          <t>MEDSG2425F-0288</t>
        </is>
      </c>
      <c r="CD66">
        <f>IF($Y66="","",IF((IF(AND($BR66&lt;&gt;"Yes",$BR66&lt;&gt;"N/A"),"Power Cable, ","")&amp;IF(AND($BS66&lt;&gt;"Yes",$BS66&lt;&gt;"N/A"),"Battery, ","")&amp;IF(AND($AD66&lt;&gt;"Yes",$AD66&lt;&gt;"N/A"),"Firmware Download, ","")&amp;IF(AND(OR($AD66="Yes",$AD66="N/A"),$AE66&lt;&gt;"Yes",$AE66&lt;&gt;"N/A"),"Firmware Install, ","")&amp;IF(AND($CB66&lt;&gt;"Yes",$CB66&lt;&gt;"N/A"),"Device ID, ","")&amp;IF(AND($CC66&lt;&gt;"Yes",$CC66&lt;&gt;"N/A"),"Epic Beans Relay, ",""))="","",LEFT(IF(AND($BR66&lt;&gt;"Yes",$BR66&lt;&gt;"N/A"),"Power Cable, ","")&amp;IF(AND($BS66&lt;&gt;"Yes",$BS66&lt;&gt;"N/A"),"Battery, ","")&amp;IF(AND($AD66&lt;&gt;"Yes",$AD66&lt;&gt;"N/A"),"Firmware Download, ","")&amp;IF(AND(OR($AD66="Yes",$AD66="N/A"),$AE66&lt;&gt;"Yes",$AE66&lt;&gt;"N/A"),"Firmware Install, ","")&amp;IF(AND($CB66&lt;&gt;"Yes",$CB66&lt;&gt;"N/A"),"Device ID, ","")&amp;IF(AND($CC66&lt;&gt;"Yes",$CC66&lt;&gt;"N/A"),"Epic Beans Relay, ",""),LEN(IF(AND($BR66&lt;&gt;"Yes",$BR66&lt;&gt;"N/A"),"Power Cable, ","")&amp;IF(AND($BS66&lt;&gt;"Yes",$BS66&lt;&gt;"N/A"),"Battery, ","")&amp;IF(AND($AD66&lt;&gt;"Yes",$AD66&lt;&gt;"N/A"),"Firmware Download, ","")&amp;IF(AND(OR($AD66="Yes",$AD66="N/A"),$AE66&lt;&gt;"Yes",$AE66&lt;&gt;"N/A"),"Firmware Install, ","")&amp;IF(AND($CB66&lt;&gt;"Yes",$CB66&lt;&gt;"N/A"),"Device ID, ","")&amp;IF(AND($CC66&lt;&gt;"Yes",$CC66&lt;&gt;"N/A"),"Epic Beans Relay, ",""))-2)))</f>
        <v/>
      </c>
      <c r="CE66">
        <f>IF($Y66="","",IF($CD66="","Yes","Blocked"))</f>
        <v/>
      </c>
      <c r="CF66" t="inlineStr">
        <is>
          <t>Yes</t>
        </is>
      </c>
      <c r="CG66" t="inlineStr">
        <is>
          <t>Yes</t>
        </is>
      </c>
      <c r="CH66" t="inlineStr">
        <is>
          <t>Yes</t>
        </is>
      </c>
      <c r="CI66" t="inlineStr">
        <is>
          <t>Yes</t>
        </is>
      </c>
      <c r="CJ66" t="inlineStr">
        <is>
          <t>Yes</t>
        </is>
      </c>
      <c r="CK66" t="inlineStr">
        <is>
          <t>Yes</t>
        </is>
      </c>
      <c r="CL66" t="inlineStr">
        <is>
          <t>Yes</t>
        </is>
      </c>
      <c r="CM66" t="inlineStr">
        <is>
          <t>Yes</t>
        </is>
      </c>
      <c r="CN66" t="inlineStr">
        <is>
          <t>Yes</t>
        </is>
      </c>
      <c r="CO66" t="inlineStr">
        <is>
          <t>Yes</t>
        </is>
      </c>
      <c r="CP66" t="inlineStr">
        <is>
          <t>Yes</t>
        </is>
      </c>
      <c r="CQ66" t="inlineStr">
        <is>
          <t>Yes</t>
        </is>
      </c>
      <c r="CR66" t="inlineStr">
        <is>
          <t>Yes</t>
        </is>
      </c>
      <c r="CS66" t="inlineStr">
        <is>
          <t>Yes</t>
        </is>
      </c>
      <c r="CW66">
        <f>IF($S66="","",IF(UPPER(TRIM($S66))&lt;&gt;"PASS","",IF(LEN(TRIM($BY66))&gt;0,"NOTES_PRESENT",IF(LEN(TRIM($T66))=0,"SET_NA",IF(OR(LOWER(TRIM($T66))="na",LOWER(TRIM($T66))="n/a"),"OK","MANUAL_OVERRIDE")))))</f>
        <v/>
      </c>
    </row>
    <row r="67">
      <c r="A67" t="inlineStr">
        <is>
          <t>Cybernet-Neuron</t>
        </is>
      </c>
      <c r="B67" s="51" t="inlineStr">
        <is>
          <t>Yes</t>
        </is>
      </c>
      <c r="C67" t="inlineStr">
        <is>
          <t>Yes</t>
        </is>
      </c>
      <c r="D67">
        <f>IF($B67&lt;&gt;"Yes","",IF($C67="No","Yes",IF($C67="Yes","No","")))</f>
        <v/>
      </c>
      <c r="E67">
        <f>IF($A67="","",IF(OR(AND($V67&lt;&gt;"",LOWER(TRIM($V67))&lt;&gt;"n/a",LOWER(TRIM($V67))&lt;&gt;"na",SUMPRODUCT(--(UPPER(TRIM($V$2:$V$518))=UPPER(TRIM($V67))),--(TRIM($V$2:$V$518)&lt;&gt;""),--(LOWER(TRIM($V$2:$V$518))&lt;&gt;"n/a"),--(LOWER(TRIM($V$2:$V$518))&lt;&gt;"na"))&gt;1),AND($W67&lt;&gt;"",LOWER(TRIM($W67))&lt;&gt;"n/a",LOWER(TRIM($W67))&lt;&gt;"na",SUMPRODUCT(--(UPPER(TRIM($W$2:$W$518))=UPPER(TRIM($W67))),--(TRIM($W$2:$W$518)&lt;&gt;""),--(LOWER(TRIM($W$2:$W$518))&lt;&gt;"n/a"),--(LOWER(TRIM($W$2:$W$518))&lt;&gt;"na"))&gt;1),AND($X67&lt;&gt;"",LOWER(TRIM($X67))&lt;&gt;"n/a",LOWER(TRIM($X67))&lt;&gt;"na",SUMPRODUCT(--(UPPER(TRIM($X$2:$X$518))=UPPER(TRIM($X67))),--(TRIM($X$2:$X$518)&lt;&gt;""),--(LOWER(TRIM($X$2:$X$518))&lt;&gt;"n/a"),--(LOWER(TRIM($X$2:$X$518))&lt;&gt;"na"))&gt;1),AND($Y67&lt;&gt;"",LOWER(TRIM($Y67))&lt;&gt;"n/a",LOWER(TRIM($Y67))&lt;&gt;"na",SUMPRODUCT(--(UPPER(SUBSTITUTE(SUBSTITUTE(TRIM($Y$2:$Y$518),":",""),"-",""))=UPPER(SUBSTITUTE(SUBSTITUTE(TRIM($Y67),":",""),"-",""))),--(TRIM($Y$2:$Y$518)&lt;&gt;""),--(LOWER(TRIM($Y$2:$Y$518))&lt;&gt;"n/a"),--(LOWER(TRIM($Y$2:$Y$518))&lt;&gt;"na"))&gt;1),AND($AB67&lt;&gt;"",LOWER(TRIM($AB67))&lt;&gt;"n/a",LOWER(TRIM($AB67))&lt;&gt;"na",SUMPRODUCT(--(UPPER(TRIM($AB$2:$AB$518))=UPPER(TRIM($AB67))),--(TRIM($AB$2:$AB$518)&lt;&gt;""),--(LOWER(TRIM($AB$2:$AB$518))&lt;&gt;"n/a"),--(LOWER(TRIM($AB$2:$AB$518))&lt;&gt;"na"))&gt;1),AND($AH67&lt;&gt;"",LOWER(TRIM($AH67))&lt;&gt;"n/a",LOWER(TRIM($AH67))&lt;&gt;"na",SUMPRODUCT(--(UPPER(SUBSTITUTE(SUBSTITUTE(TRIM($AH$2:$AH$518),":",""),"-",""))=UPPER(SUBSTITUTE(SUBSTITUTE(TRIM($AH67),":",""),"-",""))),--(TRIM($AH$2:$AH$518)&lt;&gt;""),--(LOWER(TRIM($AH$2:$AH$518))&lt;&gt;"n/a"),--(LOWER(TRIM($AH$2:$AH$518))&lt;&gt;"na"))&gt;1),AND($AP67&lt;&gt;"",LOWER(TRIM($AP67))&lt;&gt;"n/a",LOWER(TRIM($AP67))&lt;&gt;"na",SUMPRODUCT(--(UPPER(TRIM($AP$2:$AP$518))=UPPER(TRIM($AP67))),--(TRIM($AP$2:$AP$518)&lt;&gt;""),--(LOWER(TRIM($AP$2:$AP$518))&lt;&gt;"n/a"),--(LOWER(TRIM($AP$2:$AP$518))&lt;&gt;"na"))&gt;1),AND($AQ67&lt;&gt;"",LOWER(TRIM($AQ67))&lt;&gt;"n/a",LOWER(TRIM($AQ67))&lt;&gt;"na",SUMPRODUCT(--(UPPER(TRIM($AQ$2:$AQ$518))=UPPER(TRIM($AQ67))),--(TRIM($AQ$2:$AQ$518)&lt;&gt;""),--(LOWER(TRIM($AQ$2:$AQ$518))&lt;&gt;"n/a"),--(LOWER(TRIM($AQ$2:$AQ$518))&lt;&gt;"na"))&gt;1)),"Yes","No"))</f>
        <v/>
      </c>
      <c r="F67">
        <f>IF(UPPER(TRIM($B67))&lt;&gt;"YES","", IF(OR(AND($V67&lt;&gt;"", LOWER(TRIM($V67))&lt;&gt;"n/a", LOWER(TRIM($V67))&lt;&gt;"na", SUMPRODUCT(--(UPPER(TRIM($V$2:$V$518))=UPPER(TRIM($V67))), --(UPPER(TRIM($B$2:$B$518))="YES"), --(UPPER(TRIM($G$2:$G$518)&amp;TRIM($I$2:$I$518)&amp;TRIM($J$2:$J$518))&lt;&gt;UPPER(TRIM($G67)&amp;TRIM($I67)&amp;TRIM($J67))))&gt;0), AND($W67&lt;&gt;"", LOWER(TRIM($W67))&lt;&gt;"n/a", LOWER(TRIM($W67))&lt;&gt;"na", SUMPRODUCT(--(UPPER(TRIM($W$2:$W$518))=UPPER(TRIM($W67))), --(UPPER(TRIM($B$2:$B$518))="YES"), --(UPPER(TRIM($G$2:$G$518)&amp;TRIM($I$2:$I$518)&amp;TRIM($J$2:$J$518))&lt;&gt;UPPER(TRIM($G67)&amp;TRIM($I67)&amp;TRIM($J67))))&gt;0), AND($X67&lt;&gt;"", LOWER(TRIM($X67))&lt;&gt;"n/a", LOWER(TRIM($X67))&lt;&gt;"na", SUMPRODUCT(--(UPPER(TRIM($X$2:$X$518))=UPPER(TRIM($X67))), --(UPPER(TRIM($B$2:$B$518))="YES"), --(UPPER(TRIM($G$2:$G$518)&amp;TRIM($I$2:$I$518)&amp;TRIM($J$2:$J$518))&lt;&gt;UPPER(TRIM($G67)&amp;TRIM($I67)&amp;TRIM($J67))))&gt;0), AND($Y67&lt;&gt;"", LOWER(TRIM($Y67))&lt;&gt;"n/a", LOWER(TRIM($Y67))&lt;&gt;"na", SUMPRODUCT(--(UPPER(SUBSTITUTE(SUBSTITUTE(TRIM($Y$2:$Y$518),":",""),"-",""))=UPPER(SUBSTITUTE(SUBSTITUTE(TRIM($Y67),":",""),"-",""))), --(UPPER(TRIM($B$2:$B$518))="YES"), --(UPPER(TRIM($G$2:$G$518)&amp;TRIM($I$2:$I$518)&amp;TRIM($J$2:$J$518))&lt;&gt;UPPER(TRIM($G67)&amp;TRIM($I67)&amp;TRIM($J67))))&gt;0), AND($AB67&lt;&gt;"", LOWER(TRIM($AB67))&lt;&gt;"n/a", LOWER(TRIM($AB67))&lt;&gt;"na", SUMPRODUCT(--(UPPER(TRIM($AB$2:$AB$518))=UPPER(TRIM($AB67))), --(UPPER(TRIM($B$2:$B$518))="YES"), --(UPPER(TRIM($G$2:$G$518)&amp;TRIM($I$2:$I$518)&amp;TRIM($J$2:$J$518))&lt;&gt;UPPER(TRIM($G67)&amp;TRIM($I67)&amp;TRIM($J67))))&gt;0), AND($AH67&lt;&gt;"", LOWER(TRIM($AH67))&lt;&gt;"n/a", LOWER(TRIM($AH67))&lt;&gt;"na", SUMPRODUCT(--(UPPER(SUBSTITUTE(SUBSTITUTE(TRIM($AH$2:$AH$518),":",""),"-",""))=UPPER(SUBSTITUTE(SUBSTITUTE(TRIM($AH67),":",""),"-",""))), --(UPPER(TRIM($B$2:$B$518))="YES"), --(UPPER(TRIM($G$2:$G$518)&amp;TRIM($I$2:$I$518)&amp;TRIM($J$2:$J$518))&lt;&gt;UPPER(TRIM($G67)&amp;TRIM($I67)&amp;TRIM($J67))))&gt;0), AND($AP67&lt;&gt;"", LOWER(TRIM($AP67))&lt;&gt;"n/a", LOWER(TRIM($AP67))&lt;&gt;"na", SUMPRODUCT(--(UPPER(TRIM($AP$2:$AP$518))=UPPER(TRIM($AP67))), --(UPPER(TRIM($B$2:$B$518))="YES"), --(UPPER(TRIM($G$2:$G$518)&amp;TRIM($I$2:$I$518)&amp;TRIM($J$2:$J$518))&lt;&gt;UPPER(TRIM($G67)&amp;TRIM($I67)&amp;TRIM($J67))))&gt;0), AND($AQ67&lt;&gt;"", LOWER(TRIM($AQ67))&lt;&gt;"n/a", LOWER(TRIM($AQ67))&lt;&gt;"na", SUMPRODUCT(--(UPPER(TRIM($AQ$2:$AQ$518))=UPPER(TRIM($AQ67))), --(UPPER(TRIM($B$2:$B$518))="YES"), --(UPPER(TRIM($G$2:$G$518)&amp;TRIM($I$2:$I$518)&amp;TRIM($J$2:$J$518))&lt;&gt;UPPER(TRIM($G67)&amp;TRIM($I67)&amp;TRIM($J67))))&gt;0)), "Yes", "No"))</f>
        <v/>
      </c>
      <c r="G67" t="inlineStr">
        <is>
          <t>NSUH - IR - 1st Floor</t>
        </is>
      </c>
      <c r="H67" t="inlineStr">
        <is>
          <t>NSUH - IR - 1st Floor</t>
        </is>
      </c>
      <c r="I67" t="inlineStr">
        <is>
          <t>Interventional Radiology</t>
        </is>
      </c>
      <c r="J67" t="inlineStr">
        <is>
          <t>IR 4</t>
        </is>
      </c>
      <c r="L67" s="18" t="n">
        <v>46123</v>
      </c>
      <c r="M67" t="inlineStr">
        <is>
          <t>OR Workstation</t>
        </is>
      </c>
      <c r="U67" t="inlineStr">
        <is>
          <t>Dr. Palilla, Timothy W. Seeberger</t>
        </is>
      </c>
      <c r="V67" t="inlineStr">
        <is>
          <t>WMH300OPR395</t>
        </is>
      </c>
      <c r="W67" t="inlineStr">
        <is>
          <t>MEDSG2425F-0278</t>
        </is>
      </c>
      <c r="X67" t="inlineStr">
        <is>
          <t>NSUH-MACH-TTT</t>
        </is>
      </c>
      <c r="Y67" t="inlineStr">
        <is>
          <t>A0F5097FA507</t>
        </is>
      </c>
      <c r="AB67" t="inlineStr">
        <is>
          <t>WA23C03775</t>
        </is>
      </c>
      <c r="AC67" t="inlineStr">
        <is>
          <t>NSUH</t>
        </is>
      </c>
      <c r="AD67" t="inlineStr">
        <is>
          <t>Yes</t>
        </is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  <c r="AH67" t="inlineStr">
        <is>
          <t>000D050AA814</t>
        </is>
      </c>
      <c r="AI67" t="inlineStr">
        <is>
          <t>Anesthesia Machine</t>
        </is>
      </c>
      <c r="AJ67" t="n">
        <v>443603</v>
      </c>
      <c r="AK67" t="n">
        <v>2</v>
      </c>
      <c r="AL67" t="n">
        <v>4301217</v>
      </c>
      <c r="AM67" t="inlineStr">
        <is>
          <t>Drager</t>
        </is>
      </c>
      <c r="AN67" t="inlineStr">
        <is>
          <t>Fabius Tiro</t>
        </is>
      </c>
      <c r="AP67" t="inlineStr">
        <is>
          <t>01040486750414741118090621ASLJ-0188938606000-85</t>
        </is>
      </c>
      <c r="AQ67" t="inlineStr">
        <is>
          <t>STN24362860SA</t>
        </is>
      </c>
      <c r="AS67" t="inlineStr">
        <is>
          <t>GE Canvas 1000: 833-08, SPEC999015 / GE G1500213: 133-08C, GE B650</t>
        </is>
      </c>
      <c r="CD67">
        <f>IF($Y67="","",IF((IF(AND($BR67&lt;&gt;"Yes",$BR67&lt;&gt;"N/A"),"Power Cable, ","")&amp;IF(AND($BS67&lt;&gt;"Yes",$BS67&lt;&gt;"N/A"),"Battery, ","")&amp;IF(AND($AD67&lt;&gt;"Yes",$AD67&lt;&gt;"N/A"),"Firmware Download, ","")&amp;IF(AND(OR($AD67="Yes",$AD67="N/A"),$AE67&lt;&gt;"Yes",$AE67&lt;&gt;"N/A"),"Firmware Install, ","")&amp;IF(AND($CB67&lt;&gt;"Yes",$CB67&lt;&gt;"N/A"),"Device ID, ","")&amp;IF(AND($CC67&lt;&gt;"Yes",$CC67&lt;&gt;"N/A"),"Epic Beans Relay, ",""))="","",LEFT(IF(AND($BR67&lt;&gt;"Yes",$BR67&lt;&gt;"N/A"),"Power Cable, ","")&amp;IF(AND($BS67&lt;&gt;"Yes",$BS67&lt;&gt;"N/A"),"Battery, ","")&amp;IF(AND($AD67&lt;&gt;"Yes",$AD67&lt;&gt;"N/A"),"Firmware Download, ","")&amp;IF(AND(OR($AD67="Yes",$AD67="N/A"),$AE67&lt;&gt;"Yes",$AE67&lt;&gt;"N/A"),"Firmware Install, ","")&amp;IF(AND($CB67&lt;&gt;"Yes",$CB67&lt;&gt;"N/A"),"Device ID, ","")&amp;IF(AND($CC67&lt;&gt;"Yes",$CC67&lt;&gt;"N/A"),"Epic Beans Relay, ",""),LEN(IF(AND($BR67&lt;&gt;"Yes",$BR67&lt;&gt;"N/A"),"Power Cable, ","")&amp;IF(AND($BS67&lt;&gt;"Yes",$BS67&lt;&gt;"N/A"),"Battery, ","")&amp;IF(AND($AD67&lt;&gt;"Yes",$AD67&lt;&gt;"N/A"),"Firmware Download, ","")&amp;IF(AND(OR($AD67="Yes",$AD67="N/A"),$AE67&lt;&gt;"Yes",$AE67&lt;&gt;"N/A"),"Firmware Install, ","")&amp;IF(AND($CB67&lt;&gt;"Yes",$CB67&lt;&gt;"N/A"),"Device ID, ","")&amp;IF(AND($CC67&lt;&gt;"Yes",$CC67&lt;&gt;"N/A"),"Epic Beans Relay, ",""))-2)))</f>
        <v/>
      </c>
      <c r="CE67">
        <f>IF($Y67="","",IF($CD67="","Yes","Blocked"))</f>
        <v/>
      </c>
      <c r="CF67" t="inlineStr">
        <is>
          <t>Yes</t>
        </is>
      </c>
      <c r="CG67" t="inlineStr">
        <is>
          <t>Yes</t>
        </is>
      </c>
      <c r="CH67" t="inlineStr">
        <is>
          <t>Yes</t>
        </is>
      </c>
      <c r="CI67" t="inlineStr">
        <is>
          <t>Yes</t>
        </is>
      </c>
      <c r="CJ67" t="inlineStr">
        <is>
          <t>Yes</t>
        </is>
      </c>
      <c r="CK67" t="inlineStr">
        <is>
          <t>Yes</t>
        </is>
      </c>
      <c r="CL67" t="inlineStr">
        <is>
          <t>Yes</t>
        </is>
      </c>
      <c r="CM67" t="inlineStr">
        <is>
          <t>Yes</t>
        </is>
      </c>
      <c r="CN67" t="inlineStr">
        <is>
          <t>Yes</t>
        </is>
      </c>
      <c r="CO67" t="inlineStr">
        <is>
          <t>Yes</t>
        </is>
      </c>
      <c r="CP67" t="inlineStr">
        <is>
          <t>Yes</t>
        </is>
      </c>
      <c r="CQ67" t="inlineStr">
        <is>
          <t>Yes</t>
        </is>
      </c>
      <c r="CR67" t="inlineStr">
        <is>
          <t>Yes</t>
        </is>
      </c>
      <c r="CS67" t="inlineStr">
        <is>
          <t>Yes</t>
        </is>
      </c>
      <c r="CW67">
        <f>IF($S67="","",IF(UPPER(TRIM($S67))&lt;&gt;"PASS","",IF(LEN(TRIM($BY67))&gt;0,"NOTES_PRESENT",IF(LEN(TRIM($T67))=0,"SET_NA",IF(OR(LOWER(TRIM($T67))="na",LOWER(TRIM($T67))="n/a"),"OK","MANUAL_OVERRIDE")))))</f>
        <v/>
      </c>
    </row>
    <row r="68">
      <c r="A68" t="inlineStr">
        <is>
          <t>Cybernet</t>
        </is>
      </c>
      <c r="B68" s="51" t="inlineStr">
        <is>
          <t>Yes</t>
        </is>
      </c>
      <c r="C68" t="inlineStr">
        <is>
          <t>Yes</t>
        </is>
      </c>
      <c r="D68">
        <f>IF($B68&lt;&gt;"Yes","",IF($C68="No","Yes",IF($C68="Yes","No","")))</f>
        <v/>
      </c>
      <c r="E68">
        <f>IF($A68="","",IF(OR(AND($V68&lt;&gt;"",LOWER(TRIM($V68))&lt;&gt;"n/a",LOWER(TRIM($V68))&lt;&gt;"na",SUMPRODUCT(--(UPPER(TRIM($V$2:$V$518))=UPPER(TRIM($V68))),--(TRIM($V$2:$V$518)&lt;&gt;""),--(LOWER(TRIM($V$2:$V$518))&lt;&gt;"n/a"),--(LOWER(TRIM($V$2:$V$518))&lt;&gt;"na"))&gt;1),AND($W68&lt;&gt;"",LOWER(TRIM($W68))&lt;&gt;"n/a",LOWER(TRIM($W68))&lt;&gt;"na",SUMPRODUCT(--(UPPER(TRIM($W$2:$W$518))=UPPER(TRIM($W68))),--(TRIM($W$2:$W$518)&lt;&gt;""),--(LOWER(TRIM($W$2:$W$518))&lt;&gt;"n/a"),--(LOWER(TRIM($W$2:$W$518))&lt;&gt;"na"))&gt;1),AND($X68&lt;&gt;"",LOWER(TRIM($X68))&lt;&gt;"n/a",LOWER(TRIM($X68))&lt;&gt;"na",SUMPRODUCT(--(UPPER(TRIM($X$2:$X$518))=UPPER(TRIM($X68))),--(TRIM($X$2:$X$518)&lt;&gt;""),--(LOWER(TRIM($X$2:$X$518))&lt;&gt;"n/a"),--(LOWER(TRIM($X$2:$X$518))&lt;&gt;"na"))&gt;1),AND($Y68&lt;&gt;"",LOWER(TRIM($Y68))&lt;&gt;"n/a",LOWER(TRIM($Y68))&lt;&gt;"na",SUMPRODUCT(--(UPPER(SUBSTITUTE(SUBSTITUTE(TRIM($Y$2:$Y$518),":",""),"-",""))=UPPER(SUBSTITUTE(SUBSTITUTE(TRIM($Y68),":",""),"-",""))),--(TRIM($Y$2:$Y$518)&lt;&gt;""),--(LOWER(TRIM($Y$2:$Y$518))&lt;&gt;"n/a"),--(LOWER(TRIM($Y$2:$Y$518))&lt;&gt;"na"))&gt;1),AND($AB68&lt;&gt;"",LOWER(TRIM($AB68))&lt;&gt;"n/a",LOWER(TRIM($AB68))&lt;&gt;"na",SUMPRODUCT(--(UPPER(TRIM($AB$2:$AB$518))=UPPER(TRIM($AB68))),--(TRIM($AB$2:$AB$518)&lt;&gt;""),--(LOWER(TRIM($AB$2:$AB$518))&lt;&gt;"n/a"),--(LOWER(TRIM($AB$2:$AB$518))&lt;&gt;"na"))&gt;1),AND($AH68&lt;&gt;"",LOWER(TRIM($AH68))&lt;&gt;"n/a",LOWER(TRIM($AH68))&lt;&gt;"na",SUMPRODUCT(--(UPPER(SUBSTITUTE(SUBSTITUTE(TRIM($AH$2:$AH$518),":",""),"-",""))=UPPER(SUBSTITUTE(SUBSTITUTE(TRIM($AH68),":",""),"-",""))),--(TRIM($AH$2:$AH$518)&lt;&gt;""),--(LOWER(TRIM($AH$2:$AH$518))&lt;&gt;"n/a"),--(LOWER(TRIM($AH$2:$AH$518))&lt;&gt;"na"))&gt;1),AND($AP68&lt;&gt;"",LOWER(TRIM($AP68))&lt;&gt;"n/a",LOWER(TRIM($AP68))&lt;&gt;"na",SUMPRODUCT(--(UPPER(TRIM($AP$2:$AP$518))=UPPER(TRIM($AP68))),--(TRIM($AP$2:$AP$518)&lt;&gt;""),--(LOWER(TRIM($AP$2:$AP$518))&lt;&gt;"n/a"),--(LOWER(TRIM($AP$2:$AP$518))&lt;&gt;"na"))&gt;1),AND($AQ68&lt;&gt;"",LOWER(TRIM($AQ68))&lt;&gt;"n/a",LOWER(TRIM($AQ68))&lt;&gt;"na",SUMPRODUCT(--(UPPER(TRIM($AQ$2:$AQ$518))=UPPER(TRIM($AQ68))),--(TRIM($AQ$2:$AQ$518)&lt;&gt;""),--(LOWER(TRIM($AQ$2:$AQ$518))&lt;&gt;"n/a"),--(LOWER(TRIM($AQ$2:$AQ$518))&lt;&gt;"na"))&gt;1)),"Yes","No"))</f>
        <v/>
      </c>
      <c r="F68">
        <f>IF(UPPER(TRIM($B68))&lt;&gt;"YES","", IF(OR(AND($V68&lt;&gt;"", LOWER(TRIM($V68))&lt;&gt;"n/a", LOWER(TRIM($V68))&lt;&gt;"na", SUMPRODUCT(--(UPPER(TRIM($V$2:$V$518))=UPPER(TRIM($V68))), --(UPPER(TRIM($B$2:$B$518))="YES"), --(UPPER(TRIM($G$2:$G$518)&amp;TRIM($I$2:$I$518)&amp;TRIM($J$2:$J$518))&lt;&gt;UPPER(TRIM($G68)&amp;TRIM($I68)&amp;TRIM($J68))))&gt;0), AND($W68&lt;&gt;"", LOWER(TRIM($W68))&lt;&gt;"n/a", LOWER(TRIM($W68))&lt;&gt;"na", SUMPRODUCT(--(UPPER(TRIM($W$2:$W$518))=UPPER(TRIM($W68))), --(UPPER(TRIM($B$2:$B$518))="YES"), --(UPPER(TRIM($G$2:$G$518)&amp;TRIM($I$2:$I$518)&amp;TRIM($J$2:$J$518))&lt;&gt;UPPER(TRIM($G68)&amp;TRIM($I68)&amp;TRIM($J68))))&gt;0), AND($X68&lt;&gt;"", LOWER(TRIM($X68))&lt;&gt;"n/a", LOWER(TRIM($X68))&lt;&gt;"na", SUMPRODUCT(--(UPPER(TRIM($X$2:$X$518))=UPPER(TRIM($X68))), --(UPPER(TRIM($B$2:$B$518))="YES"), --(UPPER(TRIM($G$2:$G$518)&amp;TRIM($I$2:$I$518)&amp;TRIM($J$2:$J$518))&lt;&gt;UPPER(TRIM($G68)&amp;TRIM($I68)&amp;TRIM($J68))))&gt;0), AND($Y68&lt;&gt;"", LOWER(TRIM($Y68))&lt;&gt;"n/a", LOWER(TRIM($Y68))&lt;&gt;"na", SUMPRODUCT(--(UPPER(SUBSTITUTE(SUBSTITUTE(TRIM($Y$2:$Y$518),":",""),"-",""))=UPPER(SUBSTITUTE(SUBSTITUTE(TRIM($Y68),":",""),"-",""))), --(UPPER(TRIM($B$2:$B$518))="YES"), --(UPPER(TRIM($G$2:$G$518)&amp;TRIM($I$2:$I$518)&amp;TRIM($J$2:$J$518))&lt;&gt;UPPER(TRIM($G68)&amp;TRIM($I68)&amp;TRIM($J68))))&gt;0), AND($AB68&lt;&gt;"", LOWER(TRIM($AB68))&lt;&gt;"n/a", LOWER(TRIM($AB68))&lt;&gt;"na", SUMPRODUCT(--(UPPER(TRIM($AB$2:$AB$518))=UPPER(TRIM($AB68))), --(UPPER(TRIM($B$2:$B$518))="YES"), --(UPPER(TRIM($G$2:$G$518)&amp;TRIM($I$2:$I$518)&amp;TRIM($J$2:$J$518))&lt;&gt;UPPER(TRIM($G68)&amp;TRIM($I68)&amp;TRIM($J68))))&gt;0), AND($AH68&lt;&gt;"", LOWER(TRIM($AH68))&lt;&gt;"n/a", LOWER(TRIM($AH68))&lt;&gt;"na", SUMPRODUCT(--(UPPER(SUBSTITUTE(SUBSTITUTE(TRIM($AH$2:$AH$518),":",""),"-",""))=UPPER(SUBSTITUTE(SUBSTITUTE(TRIM($AH68),":",""),"-",""))), --(UPPER(TRIM($B$2:$B$518))="YES"), --(UPPER(TRIM($G$2:$G$518)&amp;TRIM($I$2:$I$518)&amp;TRIM($J$2:$J$518))&lt;&gt;UPPER(TRIM($G68)&amp;TRIM($I68)&amp;TRIM($J68))))&gt;0), AND($AP68&lt;&gt;"", LOWER(TRIM($AP68))&lt;&gt;"n/a", LOWER(TRIM($AP68))&lt;&gt;"na", SUMPRODUCT(--(UPPER(TRIM($AP$2:$AP$518))=UPPER(TRIM($AP68))), --(UPPER(TRIM($B$2:$B$518))="YES"), --(UPPER(TRIM($G$2:$G$518)&amp;TRIM($I$2:$I$518)&amp;TRIM($J$2:$J$518))&lt;&gt;UPPER(TRIM($G68)&amp;TRIM($I68)&amp;TRIM($J68))))&gt;0), AND($AQ68&lt;&gt;"", LOWER(TRIM($AQ68))&lt;&gt;"n/a", LOWER(TRIM($AQ68))&lt;&gt;"na", SUMPRODUCT(--(UPPER(TRIM($AQ$2:$AQ$518))=UPPER(TRIM($AQ68))), --(UPPER(TRIM($B$2:$B$518))="YES"), --(UPPER(TRIM($G$2:$G$518)&amp;TRIM($I$2:$I$518)&amp;TRIM($J$2:$J$518))&lt;&gt;UPPER(TRIM($G68)&amp;TRIM($I68)&amp;TRIM($J68))))&gt;0)), "Yes", "No"))</f>
        <v/>
      </c>
      <c r="G68" t="inlineStr">
        <is>
          <t>NSUH - PSP</t>
        </is>
      </c>
      <c r="H68" t="inlineStr">
        <is>
          <t>NSUH - PSP</t>
        </is>
      </c>
      <c r="I68" t="inlineStr">
        <is>
          <t>MRI - 1st Floor</t>
        </is>
      </c>
      <c r="J68" t="inlineStr">
        <is>
          <t>MRI Control Room 3</t>
        </is>
      </c>
      <c r="K68" t="inlineStr">
        <is>
          <t>n/a</t>
        </is>
      </c>
      <c r="L68" s="18" t="n">
        <v>46123</v>
      </c>
      <c r="M68" t="inlineStr">
        <is>
          <t>OR Workstation</t>
        </is>
      </c>
      <c r="N68" t="inlineStr">
        <is>
          <t>No</t>
        </is>
      </c>
      <c r="O68" t="inlineStr">
        <is>
          <t>Yes</t>
        </is>
      </c>
      <c r="P68" t="inlineStr">
        <is>
          <t>Yes</t>
        </is>
      </c>
      <c r="Q68" t="inlineStr">
        <is>
          <t>Inpatient</t>
        </is>
      </c>
      <c r="R68" t="inlineStr">
        <is>
          <t>Yes</t>
        </is>
      </c>
      <c r="S68" t="inlineStr">
        <is>
          <t>Pass</t>
        </is>
      </c>
      <c r="T68" t="inlineStr">
        <is>
          <t>n/a</t>
        </is>
      </c>
      <c r="U68" t="inlineStr">
        <is>
          <t>Dr. Palilla, Timothy W. Seeberger</t>
        </is>
      </c>
      <c r="V68" t="inlineStr">
        <is>
          <t>WMH300OPR396</t>
        </is>
      </c>
      <c r="W68" t="inlineStr">
        <is>
          <t>MEDNG2425E-3208</t>
        </is>
      </c>
      <c r="X68" t="inlineStr">
        <is>
          <t>NSUH-MACH-HH</t>
        </is>
      </c>
      <c r="Y68" t="inlineStr">
        <is>
          <t>A0F5097FE0CD</t>
        </is>
      </c>
      <c r="AB68" t="inlineStr">
        <is>
          <t>WA24406315</t>
        </is>
      </c>
      <c r="AJ68" t="n">
        <v>603422907</v>
      </c>
      <c r="BY68" s="65" t="inlineStr">
        <is>
          <t>Requires a Download Check: SIS as a service; VMware Stallaris, uncheck log-in as current user, and add server(qr code provided)</t>
        </is>
      </c>
      <c r="CD68">
        <f>IF($Y68="","",IF((IF(AND($BR68&lt;&gt;"Yes",$BR68&lt;&gt;"N/A"),"Power Cable, ","")&amp;IF(AND($BS68&lt;&gt;"Yes",$BS68&lt;&gt;"N/A"),"Battery, ","")&amp;IF(AND($AD68&lt;&gt;"Yes",$AD68&lt;&gt;"N/A"),"Firmware Download, ","")&amp;IF(AND(OR($AD68="Yes",$AD68="N/A"),$AE68&lt;&gt;"Yes",$AE68&lt;&gt;"N/A"),"Firmware Install, ","")&amp;IF(AND($CB68&lt;&gt;"Yes",$CB68&lt;&gt;"N/A"),"Device ID, ","")&amp;IF(AND($CC68&lt;&gt;"Yes",$CC68&lt;&gt;"N/A"),"Epic Beans Relay, ",""))="","",LEFT(IF(AND($BR68&lt;&gt;"Yes",$BR68&lt;&gt;"N/A"),"Power Cable, ","")&amp;IF(AND($BS68&lt;&gt;"Yes",$BS68&lt;&gt;"N/A"),"Battery, ","")&amp;IF(AND($AD68&lt;&gt;"Yes",$AD68&lt;&gt;"N/A"),"Firmware Download, ","")&amp;IF(AND(OR($AD68="Yes",$AD68="N/A"),$AE68&lt;&gt;"Yes",$AE68&lt;&gt;"N/A"),"Firmware Install, ","")&amp;IF(AND($CB68&lt;&gt;"Yes",$CB68&lt;&gt;"N/A"),"Device ID, ","")&amp;IF(AND($CC68&lt;&gt;"Yes",$CC68&lt;&gt;"N/A"),"Epic Beans Relay, ",""),LEN(IF(AND($BR68&lt;&gt;"Yes",$BR68&lt;&gt;"N/A"),"Power Cable, ","")&amp;IF(AND($BS68&lt;&gt;"Yes",$BS68&lt;&gt;"N/A"),"Battery, ","")&amp;IF(AND($AD68&lt;&gt;"Yes",$AD68&lt;&gt;"N/A"),"Firmware Download, ","")&amp;IF(AND(OR($AD68="Yes",$AD68="N/A"),$AE68&lt;&gt;"Yes",$AE68&lt;&gt;"N/A"),"Firmware Install, ","")&amp;IF(AND($CB68&lt;&gt;"Yes",$CB68&lt;&gt;"N/A"),"Device ID, ","")&amp;IF(AND($CC68&lt;&gt;"Yes",$CC68&lt;&gt;"N/A"),"Epic Beans Relay, ",""))-2)))</f>
        <v/>
      </c>
      <c r="CE68">
        <f>IF($Y68="","",IF($CD68="","Yes","Blocked"))</f>
        <v/>
      </c>
      <c r="CF68" t="inlineStr">
        <is>
          <t>Yes</t>
        </is>
      </c>
      <c r="CG68" t="inlineStr">
        <is>
          <t>Yes</t>
        </is>
      </c>
      <c r="CH68" t="inlineStr">
        <is>
          <t>Yes</t>
        </is>
      </c>
      <c r="CI68" t="inlineStr">
        <is>
          <t>Yes</t>
        </is>
      </c>
      <c r="CJ68" t="inlineStr">
        <is>
          <t>Yes</t>
        </is>
      </c>
      <c r="CK68" t="inlineStr">
        <is>
          <t>Yes</t>
        </is>
      </c>
      <c r="CL68" t="inlineStr">
        <is>
          <t>Yes</t>
        </is>
      </c>
      <c r="CM68" t="inlineStr">
        <is>
          <t>Yes</t>
        </is>
      </c>
      <c r="CN68" t="inlineStr">
        <is>
          <t>Yes</t>
        </is>
      </c>
      <c r="CO68" t="inlineStr">
        <is>
          <t>Yes</t>
        </is>
      </c>
      <c r="CP68" t="inlineStr">
        <is>
          <t>Yes</t>
        </is>
      </c>
      <c r="CQ68" t="inlineStr">
        <is>
          <t>Yes</t>
        </is>
      </c>
      <c r="CR68" t="inlineStr">
        <is>
          <t>Yes</t>
        </is>
      </c>
      <c r="CS68" t="inlineStr">
        <is>
          <t>Yes</t>
        </is>
      </c>
      <c r="CW68">
        <f>IF($S68="","",IF(UPPER(TRIM($S68))&lt;&gt;"PASS","",IF(LEN(TRIM($BY68))&gt;0,"NOTES_PRESENT",IF(LEN(TRIM($T68))=0,"SET_NA",IF(OR(LOWER(TRIM($T68))="na",LOWER(TRIM($T68))="n/a"),"OK","MANUAL_OVERRIDE")))))</f>
        <v/>
      </c>
    </row>
    <row r="69">
      <c r="A69" t="inlineStr">
        <is>
          <t>Cybernet</t>
        </is>
      </c>
      <c r="B69" s="51" t="inlineStr">
        <is>
          <t>No</t>
        </is>
      </c>
      <c r="C69" t="inlineStr">
        <is>
          <t>No</t>
        </is>
      </c>
      <c r="D69">
        <f>IF($B69&lt;&gt;"Yes","",IF($C69="No","Yes",IF($C69="Yes","No","")))</f>
        <v/>
      </c>
      <c r="E69">
        <f>IF($A69="","",IF(OR(AND($V69&lt;&gt;"",LOWER(TRIM($V69))&lt;&gt;"n/a",LOWER(TRIM($V69))&lt;&gt;"na",SUMPRODUCT(--(UPPER(TRIM($V$2:$V$518))=UPPER(TRIM($V69))),--(TRIM($V$2:$V$518)&lt;&gt;""),--(LOWER(TRIM($V$2:$V$518))&lt;&gt;"n/a"),--(LOWER(TRIM($V$2:$V$518))&lt;&gt;"na"))&gt;1),AND($W69&lt;&gt;"",LOWER(TRIM($W69))&lt;&gt;"n/a",LOWER(TRIM($W69))&lt;&gt;"na",SUMPRODUCT(--(UPPER(TRIM($W$2:$W$518))=UPPER(TRIM($W69))),--(TRIM($W$2:$W$518)&lt;&gt;""),--(LOWER(TRIM($W$2:$W$518))&lt;&gt;"n/a"),--(LOWER(TRIM($W$2:$W$518))&lt;&gt;"na"))&gt;1),AND($X69&lt;&gt;"",LOWER(TRIM($X69))&lt;&gt;"n/a",LOWER(TRIM($X69))&lt;&gt;"na",SUMPRODUCT(--(UPPER(TRIM($X$2:$X$518))=UPPER(TRIM($X69))),--(TRIM($X$2:$X$518)&lt;&gt;""),--(LOWER(TRIM($X$2:$X$518))&lt;&gt;"n/a"),--(LOWER(TRIM($X$2:$X$518))&lt;&gt;"na"))&gt;1),AND($Y69&lt;&gt;"",LOWER(TRIM($Y69))&lt;&gt;"n/a",LOWER(TRIM($Y69))&lt;&gt;"na",SUMPRODUCT(--(UPPER(SUBSTITUTE(SUBSTITUTE(TRIM($Y$2:$Y$518),":",""),"-",""))=UPPER(SUBSTITUTE(SUBSTITUTE(TRIM($Y69),":",""),"-",""))),--(TRIM($Y$2:$Y$518)&lt;&gt;""),--(LOWER(TRIM($Y$2:$Y$518))&lt;&gt;"n/a"),--(LOWER(TRIM($Y$2:$Y$518))&lt;&gt;"na"))&gt;1),AND($AB69&lt;&gt;"",LOWER(TRIM($AB69))&lt;&gt;"n/a",LOWER(TRIM($AB69))&lt;&gt;"na",SUMPRODUCT(--(UPPER(TRIM($AB$2:$AB$518))=UPPER(TRIM($AB69))),--(TRIM($AB$2:$AB$518)&lt;&gt;""),--(LOWER(TRIM($AB$2:$AB$518))&lt;&gt;"n/a"),--(LOWER(TRIM($AB$2:$AB$518))&lt;&gt;"na"))&gt;1),AND($AH69&lt;&gt;"",LOWER(TRIM($AH69))&lt;&gt;"n/a",LOWER(TRIM($AH69))&lt;&gt;"na",SUMPRODUCT(--(UPPER(SUBSTITUTE(SUBSTITUTE(TRIM($AH$2:$AH$518),":",""),"-",""))=UPPER(SUBSTITUTE(SUBSTITUTE(TRIM($AH69),":",""),"-",""))),--(TRIM($AH$2:$AH$518)&lt;&gt;""),--(LOWER(TRIM($AH$2:$AH$518))&lt;&gt;"n/a"),--(LOWER(TRIM($AH$2:$AH$518))&lt;&gt;"na"))&gt;1),AND($AP69&lt;&gt;"",LOWER(TRIM($AP69))&lt;&gt;"n/a",LOWER(TRIM($AP69))&lt;&gt;"na",SUMPRODUCT(--(UPPER(TRIM($AP$2:$AP$518))=UPPER(TRIM($AP69))),--(TRIM($AP$2:$AP$518)&lt;&gt;""),--(LOWER(TRIM($AP$2:$AP$518))&lt;&gt;"n/a"),--(LOWER(TRIM($AP$2:$AP$518))&lt;&gt;"na"))&gt;1),AND($AQ69&lt;&gt;"",LOWER(TRIM($AQ69))&lt;&gt;"n/a",LOWER(TRIM($AQ69))&lt;&gt;"na",SUMPRODUCT(--(UPPER(TRIM($AQ$2:$AQ$518))=UPPER(TRIM($AQ69))),--(TRIM($AQ$2:$AQ$518)&lt;&gt;""),--(LOWER(TRIM($AQ$2:$AQ$518))&lt;&gt;"n/a"),--(LOWER(TRIM($AQ$2:$AQ$518))&lt;&gt;"na"))&gt;1)),"Yes","No"))</f>
        <v/>
      </c>
      <c r="F69">
        <f>IF(UPPER(TRIM($B69))&lt;&gt;"YES","", IF(OR(AND($V69&lt;&gt;"", LOWER(TRIM($V69))&lt;&gt;"n/a", LOWER(TRIM($V69))&lt;&gt;"na", SUMPRODUCT(--(UPPER(TRIM($V$2:$V$518))=UPPER(TRIM($V69))), --(UPPER(TRIM($B$2:$B$518))="YES"), --(UPPER(TRIM($G$2:$G$518)&amp;TRIM($I$2:$I$518)&amp;TRIM($J$2:$J$518))&lt;&gt;UPPER(TRIM($G69)&amp;TRIM($I69)&amp;TRIM($J69))))&gt;0), AND($W69&lt;&gt;"", LOWER(TRIM($W69))&lt;&gt;"n/a", LOWER(TRIM($W69))&lt;&gt;"na", SUMPRODUCT(--(UPPER(TRIM($W$2:$W$518))=UPPER(TRIM($W69))), --(UPPER(TRIM($B$2:$B$518))="YES"), --(UPPER(TRIM($G$2:$G$518)&amp;TRIM($I$2:$I$518)&amp;TRIM($J$2:$J$518))&lt;&gt;UPPER(TRIM($G69)&amp;TRIM($I69)&amp;TRIM($J69))))&gt;0), AND($X69&lt;&gt;"", LOWER(TRIM($X69))&lt;&gt;"n/a", LOWER(TRIM($X69))&lt;&gt;"na", SUMPRODUCT(--(UPPER(TRIM($X$2:$X$518))=UPPER(TRIM($X69))), --(UPPER(TRIM($B$2:$B$518))="YES"), --(UPPER(TRIM($G$2:$G$518)&amp;TRIM($I$2:$I$518)&amp;TRIM($J$2:$J$518))&lt;&gt;UPPER(TRIM($G69)&amp;TRIM($I69)&amp;TRIM($J69))))&gt;0), AND($Y69&lt;&gt;"", LOWER(TRIM($Y69))&lt;&gt;"n/a", LOWER(TRIM($Y69))&lt;&gt;"na", SUMPRODUCT(--(UPPER(SUBSTITUTE(SUBSTITUTE(TRIM($Y$2:$Y$518),":",""),"-",""))=UPPER(SUBSTITUTE(SUBSTITUTE(TRIM($Y69),":",""),"-",""))), --(UPPER(TRIM($B$2:$B$518))="YES"), --(UPPER(TRIM($G$2:$G$518)&amp;TRIM($I$2:$I$518)&amp;TRIM($J$2:$J$518))&lt;&gt;UPPER(TRIM($G69)&amp;TRIM($I69)&amp;TRIM($J69))))&gt;0), AND($AB69&lt;&gt;"", LOWER(TRIM($AB69))&lt;&gt;"n/a", LOWER(TRIM($AB69))&lt;&gt;"na", SUMPRODUCT(--(UPPER(TRIM($AB$2:$AB$518))=UPPER(TRIM($AB69))), --(UPPER(TRIM($B$2:$B$518))="YES"), --(UPPER(TRIM($G$2:$G$518)&amp;TRIM($I$2:$I$518)&amp;TRIM($J$2:$J$518))&lt;&gt;UPPER(TRIM($G69)&amp;TRIM($I69)&amp;TRIM($J69))))&gt;0), AND($AH69&lt;&gt;"", LOWER(TRIM($AH69))&lt;&gt;"n/a", LOWER(TRIM($AH69))&lt;&gt;"na", SUMPRODUCT(--(UPPER(SUBSTITUTE(SUBSTITUTE(TRIM($AH$2:$AH$518),":",""),"-",""))=UPPER(SUBSTITUTE(SUBSTITUTE(TRIM($AH69),":",""),"-",""))), --(UPPER(TRIM($B$2:$B$518))="YES"), --(UPPER(TRIM($G$2:$G$518)&amp;TRIM($I$2:$I$518)&amp;TRIM($J$2:$J$518))&lt;&gt;UPPER(TRIM($G69)&amp;TRIM($I69)&amp;TRIM($J69))))&gt;0), AND($AP69&lt;&gt;"", LOWER(TRIM($AP69))&lt;&gt;"n/a", LOWER(TRIM($AP69))&lt;&gt;"na", SUMPRODUCT(--(UPPER(TRIM($AP$2:$AP$518))=UPPER(TRIM($AP69))), --(UPPER(TRIM($B$2:$B$518))="YES"), --(UPPER(TRIM($G$2:$G$518)&amp;TRIM($I$2:$I$518)&amp;TRIM($J$2:$J$518))&lt;&gt;UPPER(TRIM($G69)&amp;TRIM($I69)&amp;TRIM($J69))))&gt;0), AND($AQ69&lt;&gt;"", LOWER(TRIM($AQ69))&lt;&gt;"n/a", LOWER(TRIM($AQ69))&lt;&gt;"na", SUMPRODUCT(--(UPPER(TRIM($AQ$2:$AQ$518))=UPPER(TRIM($AQ69))), --(UPPER(TRIM($B$2:$B$518))="YES"), --(UPPER(TRIM($G$2:$G$518)&amp;TRIM($I$2:$I$518)&amp;TRIM($J$2:$J$518))&lt;&gt;UPPER(TRIM($G69)&amp;TRIM($I69)&amp;TRIM($J69))))&gt;0)), "Yes", "No"))</f>
        <v/>
      </c>
      <c r="G69" t="inlineStr">
        <is>
          <t>NSUH - PSP</t>
        </is>
      </c>
      <c r="H69" t="inlineStr">
        <is>
          <t>NSUH - PSP</t>
        </is>
      </c>
      <c r="I69" t="inlineStr">
        <is>
          <t>Main ORs - PSP - 2nd Floor</t>
        </is>
      </c>
      <c r="P69" t="inlineStr">
        <is>
          <t>Yes</t>
        </is>
      </c>
      <c r="Q69" t="inlineStr">
        <is>
          <t xml:space="preserve"> </t>
        </is>
      </c>
      <c r="U69" t="inlineStr">
        <is>
          <t>Dr. Palilla, Timothy W. Seeberger</t>
        </is>
      </c>
      <c r="V69" t="inlineStr">
        <is>
          <t>WMH300OPR397</t>
        </is>
      </c>
      <c r="W69" t="inlineStr">
        <is>
          <t>MEDNG2425E-3187</t>
        </is>
      </c>
      <c r="BY69" s="65" t="inlineStr">
        <is>
          <t>Requires a Download Check: SIS as a service; VMware Stallaris, uncheck log-in as current user, and add server(qr code provided)</t>
        </is>
      </c>
      <c r="CD69">
        <f>IF($Y69="","",IF((IF(AND($BR69&lt;&gt;"Yes",$BR69&lt;&gt;"N/A"),"Power Cable, ","")&amp;IF(AND($BS69&lt;&gt;"Yes",$BS69&lt;&gt;"N/A"),"Battery, ","")&amp;IF(AND($AD69&lt;&gt;"Yes",$AD69&lt;&gt;"N/A"),"Firmware Download, ","")&amp;IF(AND(OR($AD69="Yes",$AD69="N/A"),$AE69&lt;&gt;"Yes",$AE69&lt;&gt;"N/A"),"Firmware Install, ","")&amp;IF(AND($CB69&lt;&gt;"Yes",$CB69&lt;&gt;"N/A"),"Device ID, ","")&amp;IF(AND($CC69&lt;&gt;"Yes",$CC69&lt;&gt;"N/A"),"Epic Beans Relay, ",""))="","",LEFT(IF(AND($BR69&lt;&gt;"Yes",$BR69&lt;&gt;"N/A"),"Power Cable, ","")&amp;IF(AND($BS69&lt;&gt;"Yes",$BS69&lt;&gt;"N/A"),"Battery, ","")&amp;IF(AND($AD69&lt;&gt;"Yes",$AD69&lt;&gt;"N/A"),"Firmware Download, ","")&amp;IF(AND(OR($AD69="Yes",$AD69="N/A"),$AE69&lt;&gt;"Yes",$AE69&lt;&gt;"N/A"),"Firmware Install, ","")&amp;IF(AND($CB69&lt;&gt;"Yes",$CB69&lt;&gt;"N/A"),"Device ID, ","")&amp;IF(AND($CC69&lt;&gt;"Yes",$CC69&lt;&gt;"N/A"),"Epic Beans Relay, ",""),LEN(IF(AND($BR69&lt;&gt;"Yes",$BR69&lt;&gt;"N/A"),"Power Cable, ","")&amp;IF(AND($BS69&lt;&gt;"Yes",$BS69&lt;&gt;"N/A"),"Battery, ","")&amp;IF(AND($AD69&lt;&gt;"Yes",$AD69&lt;&gt;"N/A"),"Firmware Download, ","")&amp;IF(AND(OR($AD69="Yes",$AD69="N/A"),$AE69&lt;&gt;"Yes",$AE69&lt;&gt;"N/A"),"Firmware Install, ","")&amp;IF(AND($CB69&lt;&gt;"Yes",$CB69&lt;&gt;"N/A"),"Device ID, ","")&amp;IF(AND($CC69&lt;&gt;"Yes",$CC69&lt;&gt;"N/A"),"Epic Beans Relay, ",""))-2)))</f>
        <v/>
      </c>
      <c r="CE69">
        <f>IF($Y69="","",IF($CD69="","Yes","Blocked"))</f>
        <v/>
      </c>
      <c r="CF69" t="inlineStr">
        <is>
          <t>Yes</t>
        </is>
      </c>
      <c r="CG69" t="inlineStr">
        <is>
          <t>Yes</t>
        </is>
      </c>
      <c r="CH69" t="inlineStr">
        <is>
          <t>Yes</t>
        </is>
      </c>
      <c r="CI69" t="inlineStr">
        <is>
          <t>Yes</t>
        </is>
      </c>
      <c r="CJ69" t="inlineStr">
        <is>
          <t>Yes</t>
        </is>
      </c>
      <c r="CK69" t="inlineStr">
        <is>
          <t>Yes</t>
        </is>
      </c>
      <c r="CL69" t="inlineStr">
        <is>
          <t>Yes</t>
        </is>
      </c>
      <c r="CM69" t="inlineStr">
        <is>
          <t>Yes</t>
        </is>
      </c>
      <c r="CN69" t="inlineStr">
        <is>
          <t>Yes</t>
        </is>
      </c>
      <c r="CO69" t="inlineStr">
        <is>
          <t>Yes</t>
        </is>
      </c>
      <c r="CP69" t="inlineStr">
        <is>
          <t>Yes</t>
        </is>
      </c>
      <c r="CQ69" t="inlineStr">
        <is>
          <t>Yes</t>
        </is>
      </c>
      <c r="CR69" t="inlineStr">
        <is>
          <t>Yes</t>
        </is>
      </c>
      <c r="CS69" t="inlineStr">
        <is>
          <t>Yes</t>
        </is>
      </c>
      <c r="CW69">
        <f>IF($S69="","",IF(UPPER(TRIM($S69))&lt;&gt;"PASS","",IF(LEN(TRIM($BY69))&gt;0,"NOTES_PRESENT",IF(LEN(TRIM($T69))=0,"SET_NA",IF(OR(LOWER(TRIM($T69))="na",LOWER(TRIM($T69))="n/a"),"OK","MANUAL_OVERRIDE")))))</f>
        <v/>
      </c>
    </row>
    <row r="70">
      <c r="A70" t="inlineStr">
        <is>
          <t>Cybernet</t>
        </is>
      </c>
      <c r="B70" s="51" t="inlineStr">
        <is>
          <t>No</t>
        </is>
      </c>
      <c r="C70" t="inlineStr">
        <is>
          <t>No</t>
        </is>
      </c>
      <c r="D70">
        <f>IF($B70&lt;&gt;"Yes","",IF($C70="No","Yes",IF($C70="Yes","No","")))</f>
        <v/>
      </c>
      <c r="E70">
        <f>IF($A70="","",IF(OR(AND($V70&lt;&gt;"",LOWER(TRIM($V70))&lt;&gt;"n/a",LOWER(TRIM($V70))&lt;&gt;"na",SUMPRODUCT(--(UPPER(TRIM($V$2:$V$518))=UPPER(TRIM($V70))),--(TRIM($V$2:$V$518)&lt;&gt;""),--(LOWER(TRIM($V$2:$V$518))&lt;&gt;"n/a"),--(LOWER(TRIM($V$2:$V$518))&lt;&gt;"na"))&gt;1),AND($W70&lt;&gt;"",LOWER(TRIM($W70))&lt;&gt;"n/a",LOWER(TRIM($W70))&lt;&gt;"na",SUMPRODUCT(--(UPPER(TRIM($W$2:$W$518))=UPPER(TRIM($W70))),--(TRIM($W$2:$W$518)&lt;&gt;""),--(LOWER(TRIM($W$2:$W$518))&lt;&gt;"n/a"),--(LOWER(TRIM($W$2:$W$518))&lt;&gt;"na"))&gt;1),AND($X70&lt;&gt;"",LOWER(TRIM($X70))&lt;&gt;"n/a",LOWER(TRIM($X70))&lt;&gt;"na",SUMPRODUCT(--(UPPER(TRIM($X$2:$X$518))=UPPER(TRIM($X70))),--(TRIM($X$2:$X$518)&lt;&gt;""),--(LOWER(TRIM($X$2:$X$518))&lt;&gt;"n/a"),--(LOWER(TRIM($X$2:$X$518))&lt;&gt;"na"))&gt;1),AND($Y70&lt;&gt;"",LOWER(TRIM($Y70))&lt;&gt;"n/a",LOWER(TRIM($Y70))&lt;&gt;"na",SUMPRODUCT(--(UPPER(SUBSTITUTE(SUBSTITUTE(TRIM($Y$2:$Y$518),":",""),"-",""))=UPPER(SUBSTITUTE(SUBSTITUTE(TRIM($Y70),":",""),"-",""))),--(TRIM($Y$2:$Y$518)&lt;&gt;""),--(LOWER(TRIM($Y$2:$Y$518))&lt;&gt;"n/a"),--(LOWER(TRIM($Y$2:$Y$518))&lt;&gt;"na"))&gt;1),AND($AB70&lt;&gt;"",LOWER(TRIM($AB70))&lt;&gt;"n/a",LOWER(TRIM($AB70))&lt;&gt;"na",SUMPRODUCT(--(UPPER(TRIM($AB$2:$AB$518))=UPPER(TRIM($AB70))),--(TRIM($AB$2:$AB$518)&lt;&gt;""),--(LOWER(TRIM($AB$2:$AB$518))&lt;&gt;"n/a"),--(LOWER(TRIM($AB$2:$AB$518))&lt;&gt;"na"))&gt;1),AND($AH70&lt;&gt;"",LOWER(TRIM($AH70))&lt;&gt;"n/a",LOWER(TRIM($AH70))&lt;&gt;"na",SUMPRODUCT(--(UPPER(SUBSTITUTE(SUBSTITUTE(TRIM($AH$2:$AH$518),":",""),"-",""))=UPPER(SUBSTITUTE(SUBSTITUTE(TRIM($AH70),":",""),"-",""))),--(TRIM($AH$2:$AH$518)&lt;&gt;""),--(LOWER(TRIM($AH$2:$AH$518))&lt;&gt;"n/a"),--(LOWER(TRIM($AH$2:$AH$518))&lt;&gt;"na"))&gt;1),AND($AP70&lt;&gt;"",LOWER(TRIM($AP70))&lt;&gt;"n/a",LOWER(TRIM($AP70))&lt;&gt;"na",SUMPRODUCT(--(UPPER(TRIM($AP$2:$AP$518))=UPPER(TRIM($AP70))),--(TRIM($AP$2:$AP$518)&lt;&gt;""),--(LOWER(TRIM($AP$2:$AP$518))&lt;&gt;"n/a"),--(LOWER(TRIM($AP$2:$AP$518))&lt;&gt;"na"))&gt;1),AND($AQ70&lt;&gt;"",LOWER(TRIM($AQ70))&lt;&gt;"n/a",LOWER(TRIM($AQ70))&lt;&gt;"na",SUMPRODUCT(--(UPPER(TRIM($AQ$2:$AQ$518))=UPPER(TRIM($AQ70))),--(TRIM($AQ$2:$AQ$518)&lt;&gt;""),--(LOWER(TRIM($AQ$2:$AQ$518))&lt;&gt;"n/a"),--(LOWER(TRIM($AQ$2:$AQ$518))&lt;&gt;"na"))&gt;1)),"Yes","No"))</f>
        <v/>
      </c>
      <c r="F70">
        <f>IF(UPPER(TRIM($B70))&lt;&gt;"YES","", IF(OR(AND($V70&lt;&gt;"", LOWER(TRIM($V70))&lt;&gt;"n/a", LOWER(TRIM($V70))&lt;&gt;"na", SUMPRODUCT(--(UPPER(TRIM($V$2:$V$518))=UPPER(TRIM($V70))), --(UPPER(TRIM($B$2:$B$518))="YES"), --(UPPER(TRIM($G$2:$G$518)&amp;TRIM($I$2:$I$518)&amp;TRIM($J$2:$J$518))&lt;&gt;UPPER(TRIM($G70)&amp;TRIM($I70)&amp;TRIM($J70))))&gt;0), AND($W70&lt;&gt;"", LOWER(TRIM($W70))&lt;&gt;"n/a", LOWER(TRIM($W70))&lt;&gt;"na", SUMPRODUCT(--(UPPER(TRIM($W$2:$W$518))=UPPER(TRIM($W70))), --(UPPER(TRIM($B$2:$B$518))="YES"), --(UPPER(TRIM($G$2:$G$518)&amp;TRIM($I$2:$I$518)&amp;TRIM($J$2:$J$518))&lt;&gt;UPPER(TRIM($G70)&amp;TRIM($I70)&amp;TRIM($J70))))&gt;0), AND($X70&lt;&gt;"", LOWER(TRIM($X70))&lt;&gt;"n/a", LOWER(TRIM($X70))&lt;&gt;"na", SUMPRODUCT(--(UPPER(TRIM($X$2:$X$518))=UPPER(TRIM($X70))), --(UPPER(TRIM($B$2:$B$518))="YES"), --(UPPER(TRIM($G$2:$G$518)&amp;TRIM($I$2:$I$518)&amp;TRIM($J$2:$J$518))&lt;&gt;UPPER(TRIM($G70)&amp;TRIM($I70)&amp;TRIM($J70))))&gt;0), AND($Y70&lt;&gt;"", LOWER(TRIM($Y70))&lt;&gt;"n/a", LOWER(TRIM($Y70))&lt;&gt;"na", SUMPRODUCT(--(UPPER(SUBSTITUTE(SUBSTITUTE(TRIM($Y$2:$Y$518),":",""),"-",""))=UPPER(SUBSTITUTE(SUBSTITUTE(TRIM($Y70),":",""),"-",""))), --(UPPER(TRIM($B$2:$B$518))="YES"), --(UPPER(TRIM($G$2:$G$518)&amp;TRIM($I$2:$I$518)&amp;TRIM($J$2:$J$518))&lt;&gt;UPPER(TRIM($G70)&amp;TRIM($I70)&amp;TRIM($J70))))&gt;0), AND($AB70&lt;&gt;"", LOWER(TRIM($AB70))&lt;&gt;"n/a", LOWER(TRIM($AB70))&lt;&gt;"na", SUMPRODUCT(--(UPPER(TRIM($AB$2:$AB$518))=UPPER(TRIM($AB70))), --(UPPER(TRIM($B$2:$B$518))="YES"), --(UPPER(TRIM($G$2:$G$518)&amp;TRIM($I$2:$I$518)&amp;TRIM($J$2:$J$518))&lt;&gt;UPPER(TRIM($G70)&amp;TRIM($I70)&amp;TRIM($J70))))&gt;0), AND($AH70&lt;&gt;"", LOWER(TRIM($AH70))&lt;&gt;"n/a", LOWER(TRIM($AH70))&lt;&gt;"na", SUMPRODUCT(--(UPPER(SUBSTITUTE(SUBSTITUTE(TRIM($AH$2:$AH$518),":",""),"-",""))=UPPER(SUBSTITUTE(SUBSTITUTE(TRIM($AH70),":",""),"-",""))), --(UPPER(TRIM($B$2:$B$518))="YES"), --(UPPER(TRIM($G$2:$G$518)&amp;TRIM($I$2:$I$518)&amp;TRIM($J$2:$J$518))&lt;&gt;UPPER(TRIM($G70)&amp;TRIM($I70)&amp;TRIM($J70))))&gt;0), AND($AP70&lt;&gt;"", LOWER(TRIM($AP70))&lt;&gt;"n/a", LOWER(TRIM($AP70))&lt;&gt;"na", SUMPRODUCT(--(UPPER(TRIM($AP$2:$AP$518))=UPPER(TRIM($AP70))), --(UPPER(TRIM($B$2:$B$518))="YES"), --(UPPER(TRIM($G$2:$G$518)&amp;TRIM($I$2:$I$518)&amp;TRIM($J$2:$J$518))&lt;&gt;UPPER(TRIM($G70)&amp;TRIM($I70)&amp;TRIM($J70))))&gt;0), AND($AQ70&lt;&gt;"", LOWER(TRIM($AQ70))&lt;&gt;"n/a", LOWER(TRIM($AQ70))&lt;&gt;"na", SUMPRODUCT(--(UPPER(TRIM($AQ$2:$AQ$518))=UPPER(TRIM($AQ70))), --(UPPER(TRIM($B$2:$B$518))="YES"), --(UPPER(TRIM($G$2:$G$518)&amp;TRIM($I$2:$I$518)&amp;TRIM($J$2:$J$518))&lt;&gt;UPPER(TRIM($G70)&amp;TRIM($I70)&amp;TRIM($J70))))&gt;0)), "Yes", "No"))</f>
        <v/>
      </c>
      <c r="G70" t="inlineStr">
        <is>
          <t>NSUH - PSP</t>
        </is>
      </c>
      <c r="H70" t="inlineStr">
        <is>
          <t>NSUH - PSP</t>
        </is>
      </c>
      <c r="I70" t="inlineStr">
        <is>
          <t>Main ORs - PSP - 2nd Floor</t>
        </is>
      </c>
      <c r="P70" t="inlineStr">
        <is>
          <t>Yes</t>
        </is>
      </c>
      <c r="U70" t="inlineStr">
        <is>
          <t>Dr. Palilla, Timothy W. Seeberger</t>
        </is>
      </c>
      <c r="V70" t="inlineStr">
        <is>
          <t>WMH300OPR398</t>
        </is>
      </c>
      <c r="W70" t="inlineStr">
        <is>
          <t>MEDNG2425E-3320</t>
        </is>
      </c>
      <c r="BY70" t="inlineStr">
        <is>
          <t>Requires a Download Check: SIS as a service; VMware Stallaris, uncheck log-in as current user, and add server(qr code provided)</t>
        </is>
      </c>
      <c r="CD70">
        <f>IF($Y70="","",IF((IF(AND($BR70&lt;&gt;"Yes",$BR70&lt;&gt;"N/A"),"Power Cable, ","")&amp;IF(AND($BS70&lt;&gt;"Yes",$BS70&lt;&gt;"N/A"),"Battery, ","")&amp;IF(AND($AD70&lt;&gt;"Yes",$AD70&lt;&gt;"N/A"),"Firmware Download, ","")&amp;IF(AND(OR($AD70="Yes",$AD70="N/A"),$AE70&lt;&gt;"Yes",$AE70&lt;&gt;"N/A"),"Firmware Install, ","")&amp;IF(AND($CB70&lt;&gt;"Yes",$CB70&lt;&gt;"N/A"),"Device ID, ","")&amp;IF(AND($CC70&lt;&gt;"Yes",$CC70&lt;&gt;"N/A"),"Epic Beans Relay, ",""))="","",LEFT(IF(AND($BR70&lt;&gt;"Yes",$BR70&lt;&gt;"N/A"),"Power Cable, ","")&amp;IF(AND($BS70&lt;&gt;"Yes",$BS70&lt;&gt;"N/A"),"Battery, ","")&amp;IF(AND($AD70&lt;&gt;"Yes",$AD70&lt;&gt;"N/A"),"Firmware Download, ","")&amp;IF(AND(OR($AD70="Yes",$AD70="N/A"),$AE70&lt;&gt;"Yes",$AE70&lt;&gt;"N/A"),"Firmware Install, ","")&amp;IF(AND($CB70&lt;&gt;"Yes",$CB70&lt;&gt;"N/A"),"Device ID, ","")&amp;IF(AND($CC70&lt;&gt;"Yes",$CC70&lt;&gt;"N/A"),"Epic Beans Relay, ",""),LEN(IF(AND($BR70&lt;&gt;"Yes",$BR70&lt;&gt;"N/A"),"Power Cable, ","")&amp;IF(AND($BS70&lt;&gt;"Yes",$BS70&lt;&gt;"N/A"),"Battery, ","")&amp;IF(AND($AD70&lt;&gt;"Yes",$AD70&lt;&gt;"N/A"),"Firmware Download, ","")&amp;IF(AND(OR($AD70="Yes",$AD70="N/A"),$AE70&lt;&gt;"Yes",$AE70&lt;&gt;"N/A"),"Firmware Install, ","")&amp;IF(AND($CB70&lt;&gt;"Yes",$CB70&lt;&gt;"N/A"),"Device ID, ","")&amp;IF(AND($CC70&lt;&gt;"Yes",$CC70&lt;&gt;"N/A"),"Epic Beans Relay, ",""))-2)))</f>
        <v/>
      </c>
      <c r="CE70">
        <f>IF($Y70="","",IF($CD70="","Yes","Blocked"))</f>
        <v/>
      </c>
      <c r="CF70" t="inlineStr">
        <is>
          <t>Yes</t>
        </is>
      </c>
      <c r="CG70" t="inlineStr">
        <is>
          <t>Yes</t>
        </is>
      </c>
      <c r="CH70" t="inlineStr">
        <is>
          <t>Yes</t>
        </is>
      </c>
      <c r="CI70" t="inlineStr">
        <is>
          <t>Yes</t>
        </is>
      </c>
      <c r="CJ70" t="inlineStr">
        <is>
          <t>Yes</t>
        </is>
      </c>
      <c r="CK70" t="inlineStr">
        <is>
          <t>Yes</t>
        </is>
      </c>
      <c r="CL70" t="inlineStr">
        <is>
          <t>Yes</t>
        </is>
      </c>
      <c r="CM70" t="inlineStr">
        <is>
          <t>Yes</t>
        </is>
      </c>
      <c r="CN70" t="inlineStr">
        <is>
          <t>Yes</t>
        </is>
      </c>
      <c r="CO70" t="inlineStr">
        <is>
          <t>Yes</t>
        </is>
      </c>
      <c r="CP70" t="inlineStr">
        <is>
          <t>Yes</t>
        </is>
      </c>
      <c r="CQ70" t="inlineStr">
        <is>
          <t>Yes</t>
        </is>
      </c>
      <c r="CR70" t="inlineStr">
        <is>
          <t>Yes</t>
        </is>
      </c>
      <c r="CS70" t="inlineStr">
        <is>
          <t>Yes</t>
        </is>
      </c>
      <c r="CW70">
        <f>IF($S70="","",IF(UPPER(TRIM($S70))&lt;&gt;"PASS","",IF(LEN(TRIM($BY70))&gt;0,"NOTES_PRESENT",IF(LEN(TRIM($T70))=0,"SET_NA",IF(OR(LOWER(TRIM($T70))="na",LOWER(TRIM($T70))="n/a"),"OK","MANUAL_OVERRIDE")))))</f>
        <v/>
      </c>
    </row>
    <row r="71">
      <c r="A71" t="inlineStr">
        <is>
          <t>Cybernet-Neuron</t>
        </is>
      </c>
      <c r="B71" s="51" t="inlineStr">
        <is>
          <t>No</t>
        </is>
      </c>
      <c r="C71" t="inlineStr">
        <is>
          <t>Yes</t>
        </is>
      </c>
      <c r="D71">
        <f>IF($B71&lt;&gt;"Yes","",IF($C71="No","Yes",IF($C71="Yes","No","")))</f>
        <v/>
      </c>
      <c r="E71">
        <f>IF($A71="","",IF(OR(AND($V71&lt;&gt;"",LOWER(TRIM($V71))&lt;&gt;"n/a",LOWER(TRIM($V71))&lt;&gt;"na",SUMPRODUCT(--(UPPER(TRIM($V$2:$V$518))=UPPER(TRIM($V71))),--(TRIM($V$2:$V$518)&lt;&gt;""),--(LOWER(TRIM($V$2:$V$518))&lt;&gt;"n/a"),--(LOWER(TRIM($V$2:$V$518))&lt;&gt;"na"))&gt;1),AND($W71&lt;&gt;"",LOWER(TRIM($W71))&lt;&gt;"n/a",LOWER(TRIM($W71))&lt;&gt;"na",SUMPRODUCT(--(UPPER(TRIM($W$2:$W$518))=UPPER(TRIM($W71))),--(TRIM($W$2:$W$518)&lt;&gt;""),--(LOWER(TRIM($W$2:$W$518))&lt;&gt;"n/a"),--(LOWER(TRIM($W$2:$W$518))&lt;&gt;"na"))&gt;1),AND($X71&lt;&gt;"",LOWER(TRIM($X71))&lt;&gt;"n/a",LOWER(TRIM($X71))&lt;&gt;"na",SUMPRODUCT(--(UPPER(TRIM($X$2:$X$518))=UPPER(TRIM($X71))),--(TRIM($X$2:$X$518)&lt;&gt;""),--(LOWER(TRIM($X$2:$X$518))&lt;&gt;"n/a"),--(LOWER(TRIM($X$2:$X$518))&lt;&gt;"na"))&gt;1),AND($Y71&lt;&gt;"",LOWER(TRIM($Y71))&lt;&gt;"n/a",LOWER(TRIM($Y71))&lt;&gt;"na",SUMPRODUCT(--(UPPER(SUBSTITUTE(SUBSTITUTE(TRIM($Y$2:$Y$518),":",""),"-",""))=UPPER(SUBSTITUTE(SUBSTITUTE(TRIM($Y71),":",""),"-",""))),--(TRIM($Y$2:$Y$518)&lt;&gt;""),--(LOWER(TRIM($Y$2:$Y$518))&lt;&gt;"n/a"),--(LOWER(TRIM($Y$2:$Y$518))&lt;&gt;"na"))&gt;1),AND($AB71&lt;&gt;"",LOWER(TRIM($AB71))&lt;&gt;"n/a",LOWER(TRIM($AB71))&lt;&gt;"na",SUMPRODUCT(--(UPPER(TRIM($AB$2:$AB$518))=UPPER(TRIM($AB71))),--(TRIM($AB$2:$AB$518)&lt;&gt;""),--(LOWER(TRIM($AB$2:$AB$518))&lt;&gt;"n/a"),--(LOWER(TRIM($AB$2:$AB$518))&lt;&gt;"na"))&gt;1),AND($AH71&lt;&gt;"",LOWER(TRIM($AH71))&lt;&gt;"n/a",LOWER(TRIM($AH71))&lt;&gt;"na",SUMPRODUCT(--(UPPER(SUBSTITUTE(SUBSTITUTE(TRIM($AH$2:$AH$518),":",""),"-",""))=UPPER(SUBSTITUTE(SUBSTITUTE(TRIM($AH71),":",""),"-",""))),--(TRIM($AH$2:$AH$518)&lt;&gt;""),--(LOWER(TRIM($AH$2:$AH$518))&lt;&gt;"n/a"),--(LOWER(TRIM($AH$2:$AH$518))&lt;&gt;"na"))&gt;1),AND($AP71&lt;&gt;"",LOWER(TRIM($AP71))&lt;&gt;"n/a",LOWER(TRIM($AP71))&lt;&gt;"na",SUMPRODUCT(--(UPPER(TRIM($AP$2:$AP$518))=UPPER(TRIM($AP71))),--(TRIM($AP$2:$AP$518)&lt;&gt;""),--(LOWER(TRIM($AP$2:$AP$518))&lt;&gt;"n/a"),--(LOWER(TRIM($AP$2:$AP$518))&lt;&gt;"na"))&gt;1),AND($AQ71&lt;&gt;"",LOWER(TRIM($AQ71))&lt;&gt;"n/a",LOWER(TRIM($AQ71))&lt;&gt;"na",SUMPRODUCT(--(UPPER(TRIM($AQ$2:$AQ$518))=UPPER(TRIM($AQ71))),--(TRIM($AQ$2:$AQ$518)&lt;&gt;""),--(LOWER(TRIM($AQ$2:$AQ$518))&lt;&gt;"n/a"),--(LOWER(TRIM($AQ$2:$AQ$518))&lt;&gt;"na"))&gt;1)),"Yes","No"))</f>
        <v/>
      </c>
      <c r="F71">
        <f>IF(UPPER(TRIM($B71))&lt;&gt;"YES","", IF(OR(AND($V71&lt;&gt;"", LOWER(TRIM($V71))&lt;&gt;"n/a", LOWER(TRIM($V71))&lt;&gt;"na", SUMPRODUCT(--(UPPER(TRIM($V$2:$V$518))=UPPER(TRIM($V71))), --(UPPER(TRIM($B$2:$B$518))="YES"), --(UPPER(TRIM($G$2:$G$518)&amp;TRIM($I$2:$I$518)&amp;TRIM($J$2:$J$518))&lt;&gt;UPPER(TRIM($G71)&amp;TRIM($I71)&amp;TRIM($J71))))&gt;0), AND($W71&lt;&gt;"", LOWER(TRIM($W71))&lt;&gt;"n/a", LOWER(TRIM($W71))&lt;&gt;"na", SUMPRODUCT(--(UPPER(TRIM($W$2:$W$518))=UPPER(TRIM($W71))), --(UPPER(TRIM($B$2:$B$518))="YES"), --(UPPER(TRIM($G$2:$G$518)&amp;TRIM($I$2:$I$518)&amp;TRIM($J$2:$J$518))&lt;&gt;UPPER(TRIM($G71)&amp;TRIM($I71)&amp;TRIM($J71))))&gt;0), AND($X71&lt;&gt;"", LOWER(TRIM($X71))&lt;&gt;"n/a", LOWER(TRIM($X71))&lt;&gt;"na", SUMPRODUCT(--(UPPER(TRIM($X$2:$X$518))=UPPER(TRIM($X71))), --(UPPER(TRIM($B$2:$B$518))="YES"), --(UPPER(TRIM($G$2:$G$518)&amp;TRIM($I$2:$I$518)&amp;TRIM($J$2:$J$518))&lt;&gt;UPPER(TRIM($G71)&amp;TRIM($I71)&amp;TRIM($J71))))&gt;0), AND($Y71&lt;&gt;"", LOWER(TRIM($Y71))&lt;&gt;"n/a", LOWER(TRIM($Y71))&lt;&gt;"na", SUMPRODUCT(--(UPPER(SUBSTITUTE(SUBSTITUTE(TRIM($Y$2:$Y$518),":",""),"-",""))=UPPER(SUBSTITUTE(SUBSTITUTE(TRIM($Y71),":",""),"-",""))), --(UPPER(TRIM($B$2:$B$518))="YES"), --(UPPER(TRIM($G$2:$G$518)&amp;TRIM($I$2:$I$518)&amp;TRIM($J$2:$J$518))&lt;&gt;UPPER(TRIM($G71)&amp;TRIM($I71)&amp;TRIM($J71))))&gt;0), AND($AB71&lt;&gt;"", LOWER(TRIM($AB71))&lt;&gt;"n/a", LOWER(TRIM($AB71))&lt;&gt;"na", SUMPRODUCT(--(UPPER(TRIM($AB$2:$AB$518))=UPPER(TRIM($AB71))), --(UPPER(TRIM($B$2:$B$518))="YES"), --(UPPER(TRIM($G$2:$G$518)&amp;TRIM($I$2:$I$518)&amp;TRIM($J$2:$J$518))&lt;&gt;UPPER(TRIM($G71)&amp;TRIM($I71)&amp;TRIM($J71))))&gt;0), AND($AH71&lt;&gt;"", LOWER(TRIM($AH71))&lt;&gt;"n/a", LOWER(TRIM($AH71))&lt;&gt;"na", SUMPRODUCT(--(UPPER(SUBSTITUTE(SUBSTITUTE(TRIM($AH$2:$AH$518),":",""),"-",""))=UPPER(SUBSTITUTE(SUBSTITUTE(TRIM($AH71),":",""),"-",""))), --(UPPER(TRIM($B$2:$B$518))="YES"), --(UPPER(TRIM($G$2:$G$518)&amp;TRIM($I$2:$I$518)&amp;TRIM($J$2:$J$518))&lt;&gt;UPPER(TRIM($G71)&amp;TRIM($I71)&amp;TRIM($J71))))&gt;0), AND($AP71&lt;&gt;"", LOWER(TRIM($AP71))&lt;&gt;"n/a", LOWER(TRIM($AP71))&lt;&gt;"na", SUMPRODUCT(--(UPPER(TRIM($AP$2:$AP$518))=UPPER(TRIM($AP71))), --(UPPER(TRIM($B$2:$B$518))="YES"), --(UPPER(TRIM($G$2:$G$518)&amp;TRIM($I$2:$I$518)&amp;TRIM($J$2:$J$518))&lt;&gt;UPPER(TRIM($G71)&amp;TRIM($I71)&amp;TRIM($J71))))&gt;0), AND($AQ71&lt;&gt;"", LOWER(TRIM($AQ71))&lt;&gt;"n/a", LOWER(TRIM($AQ71))&lt;&gt;"na", SUMPRODUCT(--(UPPER(TRIM($AQ$2:$AQ$518))=UPPER(TRIM($AQ71))), --(UPPER(TRIM($B$2:$B$518))="YES"), --(UPPER(TRIM($G$2:$G$518)&amp;TRIM($I$2:$I$518)&amp;TRIM($J$2:$J$518))&lt;&gt;UPPER(TRIM($G71)&amp;TRIM($I71)&amp;TRIM($J71))))&gt;0)), "Yes", "No"))</f>
        <v/>
      </c>
      <c r="G71" t="inlineStr">
        <is>
          <t>NSUH - Schwartz</t>
        </is>
      </c>
      <c r="H71" t="inlineStr">
        <is>
          <t>NSUH - Schwartz</t>
        </is>
      </c>
      <c r="I71" t="inlineStr">
        <is>
          <t>Main ORs</t>
        </is>
      </c>
      <c r="J71" t="inlineStr">
        <is>
          <t>backup</t>
        </is>
      </c>
      <c r="L71" s="18" t="n">
        <v>46123</v>
      </c>
      <c r="P71" t="inlineStr">
        <is>
          <t>Yes</t>
        </is>
      </c>
      <c r="U71" t="inlineStr">
        <is>
          <t>Dr. Palilla, Timothy W. Seeberger</t>
        </is>
      </c>
      <c r="V71" t="inlineStr">
        <is>
          <t>WMH300OPR399</t>
        </is>
      </c>
      <c r="W71" t="inlineStr">
        <is>
          <t>MEDNG2425E-3223</t>
        </is>
      </c>
      <c r="X71" t="inlineStr">
        <is>
          <t>NSUH-MACH-AH</t>
        </is>
      </c>
      <c r="Y71" t="inlineStr">
        <is>
          <t>A0F5097FED7F</t>
        </is>
      </c>
      <c r="AB71" t="inlineStr">
        <is>
          <t>WA24406283</t>
        </is>
      </c>
      <c r="AI71" t="inlineStr">
        <is>
          <t>Anesthesia Machine</t>
        </is>
      </c>
      <c r="AJ71" t="n">
        <v>448453</v>
      </c>
      <c r="AL71" t="inlineStr">
        <is>
          <t>131- 204 / 205</t>
        </is>
      </c>
      <c r="AM71" t="inlineStr">
        <is>
          <t>Drager</t>
        </is>
      </c>
      <c r="AN71" t="inlineStr">
        <is>
          <t>Fabius Tiro</t>
        </is>
      </c>
      <c r="AP71" t="inlineStr">
        <is>
          <t>8606000-59ASCM-0063</t>
        </is>
      </c>
      <c r="AQ71" t="inlineStr">
        <is>
          <t>8606000-59ASCM-0063</t>
        </is>
      </c>
      <c r="AS71" t="inlineStr">
        <is>
          <t xml:space="preserve">GE B650: 833-08, SPEC999015 </t>
        </is>
      </c>
      <c r="AT71" t="inlineStr">
        <is>
          <t>B1-CFT</t>
        </is>
      </c>
      <c r="AX71" t="inlineStr">
        <is>
          <t>GE Carespace B650: STF22032003SA</t>
        </is>
      </c>
      <c r="AY71" t="inlineStr">
        <is>
          <t>8606000-59ASCM-0063</t>
        </is>
      </c>
      <c r="BC71" t="n">
        <v>401989</v>
      </c>
      <c r="BD71" t="n">
        <v>448453</v>
      </c>
      <c r="BH71" t="n">
        <v>19200</v>
      </c>
      <c r="BI71" t="n">
        <v>9600</v>
      </c>
      <c r="BM71" t="inlineStr">
        <is>
          <t>E81</t>
        </is>
      </c>
      <c r="BN71" t="inlineStr">
        <is>
          <t>N81</t>
        </is>
      </c>
      <c r="BR71" t="inlineStr">
        <is>
          <t>Yes</t>
        </is>
      </c>
      <c r="BS71" t="inlineStr">
        <is>
          <t>Yes</t>
        </is>
      </c>
      <c r="BT71" t="inlineStr">
        <is>
          <t>Yes</t>
        </is>
      </c>
      <c r="BU71" t="inlineStr">
        <is>
          <t>Yes</t>
        </is>
      </c>
      <c r="BY71" t="inlineStr">
        <is>
          <t>Requires a Download Check: SIS as a service; VMware Stallaris, uncheck log-in as current user, and add server(qr code provided)</t>
        </is>
      </c>
      <c r="CD71">
        <f>IF($Y71="","",IF((IF(AND($BR71&lt;&gt;"Yes",$BR71&lt;&gt;"N/A"),"Power Cable, ","")&amp;IF(AND($BS71&lt;&gt;"Yes",$BS71&lt;&gt;"N/A"),"Battery, ","")&amp;IF(AND($AD71&lt;&gt;"Yes",$AD71&lt;&gt;"N/A"),"Firmware Download, ","")&amp;IF(AND(OR($AD71="Yes",$AD71="N/A"),$AE71&lt;&gt;"Yes",$AE71&lt;&gt;"N/A"),"Firmware Install, ","")&amp;IF(AND($CB71&lt;&gt;"Yes",$CB71&lt;&gt;"N/A"),"Device ID, ","")&amp;IF(AND($CC71&lt;&gt;"Yes",$CC71&lt;&gt;"N/A"),"Epic Beans Relay, ",""))="","",LEFT(IF(AND($BR71&lt;&gt;"Yes",$BR71&lt;&gt;"N/A"),"Power Cable, ","")&amp;IF(AND($BS71&lt;&gt;"Yes",$BS71&lt;&gt;"N/A"),"Battery, ","")&amp;IF(AND($AD71&lt;&gt;"Yes",$AD71&lt;&gt;"N/A"),"Firmware Download, ","")&amp;IF(AND(OR($AD71="Yes",$AD71="N/A"),$AE71&lt;&gt;"Yes",$AE71&lt;&gt;"N/A"),"Firmware Install, ","")&amp;IF(AND($CB71&lt;&gt;"Yes",$CB71&lt;&gt;"N/A"),"Device ID, ","")&amp;IF(AND($CC71&lt;&gt;"Yes",$CC71&lt;&gt;"N/A"),"Epic Beans Relay, ",""),LEN(IF(AND($BR71&lt;&gt;"Yes",$BR71&lt;&gt;"N/A"),"Power Cable, ","")&amp;IF(AND($BS71&lt;&gt;"Yes",$BS71&lt;&gt;"N/A"),"Battery, ","")&amp;IF(AND($AD71&lt;&gt;"Yes",$AD71&lt;&gt;"N/A"),"Firmware Download, ","")&amp;IF(AND(OR($AD71="Yes",$AD71="N/A"),$AE71&lt;&gt;"Yes",$AE71&lt;&gt;"N/A"),"Firmware Install, ","")&amp;IF(AND($CB71&lt;&gt;"Yes",$CB71&lt;&gt;"N/A"),"Device ID, ","")&amp;IF(AND($CC71&lt;&gt;"Yes",$CC71&lt;&gt;"N/A"),"Epic Beans Relay, ",""))-2)))</f>
        <v/>
      </c>
      <c r="CE71">
        <f>IF($Y71="","",IF($CD71="","Yes","Blocked"))</f>
        <v/>
      </c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Yes</t>
        </is>
      </c>
      <c r="CJ71" t="inlineStr">
        <is>
          <t>Yes</t>
        </is>
      </c>
      <c r="CK71" t="inlineStr">
        <is>
          <t>Yes</t>
        </is>
      </c>
      <c r="CL71" t="inlineStr">
        <is>
          <t>Yes</t>
        </is>
      </c>
      <c r="CM71" t="inlineStr">
        <is>
          <t>Yes</t>
        </is>
      </c>
      <c r="CN71" t="inlineStr">
        <is>
          <t>Yes</t>
        </is>
      </c>
      <c r="CO71" t="inlineStr">
        <is>
          <t>Yes</t>
        </is>
      </c>
      <c r="CP71" t="inlineStr">
        <is>
          <t>Yes</t>
        </is>
      </c>
      <c r="CQ71" t="inlineStr">
        <is>
          <t>Yes</t>
        </is>
      </c>
      <c r="CR71" t="inlineStr">
        <is>
          <t>Yes</t>
        </is>
      </c>
      <c r="CS71" t="inlineStr">
        <is>
          <t>Yes</t>
        </is>
      </c>
      <c r="CW71">
        <f>IF($S71="","",IF(UPPER(TRIM($S71))&lt;&gt;"PASS","",IF(LEN(TRIM($BY71))&gt;0,"NOTES_PRESENT",IF(LEN(TRIM($T71))=0,"SET_NA",IF(OR(LOWER(TRIM($T71))="na",LOWER(TRIM($T71))="n/a"),"OK","MANUAL_OVERRIDE")))))</f>
        <v/>
      </c>
    </row>
    <row r="72">
      <c r="A72" t="inlineStr">
        <is>
          <t>Cybernet</t>
        </is>
      </c>
      <c r="B72" s="51" t="inlineStr">
        <is>
          <t>No</t>
        </is>
      </c>
      <c r="C72" t="inlineStr">
        <is>
          <t>No</t>
        </is>
      </c>
      <c r="D72">
        <f>IF($B72&lt;&gt;"Yes","",IF($C72="No","Yes",IF($C72="Yes","No","")))</f>
        <v/>
      </c>
      <c r="E72">
        <f>IF($A72="","",IF(OR(AND($V72&lt;&gt;"",LOWER(TRIM($V72))&lt;&gt;"n/a",LOWER(TRIM($V72))&lt;&gt;"na",SUMPRODUCT(--(UPPER(TRIM($V$2:$V$518))=UPPER(TRIM($V72))),--(TRIM($V$2:$V$518)&lt;&gt;""),--(LOWER(TRIM($V$2:$V$518))&lt;&gt;"n/a"),--(LOWER(TRIM($V$2:$V$518))&lt;&gt;"na"))&gt;1),AND($W72&lt;&gt;"",LOWER(TRIM($W72))&lt;&gt;"n/a",LOWER(TRIM($W72))&lt;&gt;"na",SUMPRODUCT(--(UPPER(TRIM($W$2:$W$518))=UPPER(TRIM($W72))),--(TRIM($W$2:$W$518)&lt;&gt;""),--(LOWER(TRIM($W$2:$W$518))&lt;&gt;"n/a"),--(LOWER(TRIM($W$2:$W$518))&lt;&gt;"na"))&gt;1),AND($X72&lt;&gt;"",LOWER(TRIM($X72))&lt;&gt;"n/a",LOWER(TRIM($X72))&lt;&gt;"na",SUMPRODUCT(--(UPPER(TRIM($X$2:$X$518))=UPPER(TRIM($X72))),--(TRIM($X$2:$X$518)&lt;&gt;""),--(LOWER(TRIM($X$2:$X$518))&lt;&gt;"n/a"),--(LOWER(TRIM($X$2:$X$518))&lt;&gt;"na"))&gt;1),AND($Y72&lt;&gt;"",LOWER(TRIM($Y72))&lt;&gt;"n/a",LOWER(TRIM($Y72))&lt;&gt;"na",SUMPRODUCT(--(UPPER(SUBSTITUTE(SUBSTITUTE(TRIM($Y$2:$Y$518),":",""),"-",""))=UPPER(SUBSTITUTE(SUBSTITUTE(TRIM($Y72),":",""),"-",""))),--(TRIM($Y$2:$Y$518)&lt;&gt;""),--(LOWER(TRIM($Y$2:$Y$518))&lt;&gt;"n/a"),--(LOWER(TRIM($Y$2:$Y$518))&lt;&gt;"na"))&gt;1),AND($AB72&lt;&gt;"",LOWER(TRIM($AB72))&lt;&gt;"n/a",LOWER(TRIM($AB72))&lt;&gt;"na",SUMPRODUCT(--(UPPER(TRIM($AB$2:$AB$518))=UPPER(TRIM($AB72))),--(TRIM($AB$2:$AB$518)&lt;&gt;""),--(LOWER(TRIM($AB$2:$AB$518))&lt;&gt;"n/a"),--(LOWER(TRIM($AB$2:$AB$518))&lt;&gt;"na"))&gt;1),AND($AH72&lt;&gt;"",LOWER(TRIM($AH72))&lt;&gt;"n/a",LOWER(TRIM($AH72))&lt;&gt;"na",SUMPRODUCT(--(UPPER(SUBSTITUTE(SUBSTITUTE(TRIM($AH$2:$AH$518),":",""),"-",""))=UPPER(SUBSTITUTE(SUBSTITUTE(TRIM($AH72),":",""),"-",""))),--(TRIM($AH$2:$AH$518)&lt;&gt;""),--(LOWER(TRIM($AH$2:$AH$518))&lt;&gt;"n/a"),--(LOWER(TRIM($AH$2:$AH$518))&lt;&gt;"na"))&gt;1),AND($AP72&lt;&gt;"",LOWER(TRIM($AP72))&lt;&gt;"n/a",LOWER(TRIM($AP72))&lt;&gt;"na",SUMPRODUCT(--(UPPER(TRIM($AP$2:$AP$518))=UPPER(TRIM($AP72))),--(TRIM($AP$2:$AP$518)&lt;&gt;""),--(LOWER(TRIM($AP$2:$AP$518))&lt;&gt;"n/a"),--(LOWER(TRIM($AP$2:$AP$518))&lt;&gt;"na"))&gt;1),AND($AQ72&lt;&gt;"",LOWER(TRIM($AQ72))&lt;&gt;"n/a",LOWER(TRIM($AQ72))&lt;&gt;"na",SUMPRODUCT(--(UPPER(TRIM($AQ$2:$AQ$518))=UPPER(TRIM($AQ72))),--(TRIM($AQ$2:$AQ$518)&lt;&gt;""),--(LOWER(TRIM($AQ$2:$AQ$518))&lt;&gt;"n/a"),--(LOWER(TRIM($AQ$2:$AQ$518))&lt;&gt;"na"))&gt;1)),"Yes","No"))</f>
        <v/>
      </c>
      <c r="F72">
        <f>IF(UPPER(TRIM($B72))&lt;&gt;"YES","", IF(OR(AND($V72&lt;&gt;"", LOWER(TRIM($V72))&lt;&gt;"n/a", LOWER(TRIM($V72))&lt;&gt;"na", SUMPRODUCT(--(UPPER(TRIM($V$2:$V$518))=UPPER(TRIM($V72))), --(UPPER(TRIM($B$2:$B$518))="YES"), --(UPPER(TRIM($G$2:$G$518)&amp;TRIM($I$2:$I$518)&amp;TRIM($J$2:$J$518))&lt;&gt;UPPER(TRIM($G72)&amp;TRIM($I72)&amp;TRIM($J72))))&gt;0), AND($W72&lt;&gt;"", LOWER(TRIM($W72))&lt;&gt;"n/a", LOWER(TRIM($W72))&lt;&gt;"na", SUMPRODUCT(--(UPPER(TRIM($W$2:$W$518))=UPPER(TRIM($W72))), --(UPPER(TRIM($B$2:$B$518))="YES"), --(UPPER(TRIM($G$2:$G$518)&amp;TRIM($I$2:$I$518)&amp;TRIM($J$2:$J$518))&lt;&gt;UPPER(TRIM($G72)&amp;TRIM($I72)&amp;TRIM($J72))))&gt;0), AND($X72&lt;&gt;"", LOWER(TRIM($X72))&lt;&gt;"n/a", LOWER(TRIM($X72))&lt;&gt;"na", SUMPRODUCT(--(UPPER(TRIM($X$2:$X$518))=UPPER(TRIM($X72))), --(UPPER(TRIM($B$2:$B$518))="YES"), --(UPPER(TRIM($G$2:$G$518)&amp;TRIM($I$2:$I$518)&amp;TRIM($J$2:$J$518))&lt;&gt;UPPER(TRIM($G72)&amp;TRIM($I72)&amp;TRIM($J72))))&gt;0), AND($Y72&lt;&gt;"", LOWER(TRIM($Y72))&lt;&gt;"n/a", LOWER(TRIM($Y72))&lt;&gt;"na", SUMPRODUCT(--(UPPER(SUBSTITUTE(SUBSTITUTE(TRIM($Y$2:$Y$518),":",""),"-",""))=UPPER(SUBSTITUTE(SUBSTITUTE(TRIM($Y72),":",""),"-",""))), --(UPPER(TRIM($B$2:$B$518))="YES"), --(UPPER(TRIM($G$2:$G$518)&amp;TRIM($I$2:$I$518)&amp;TRIM($J$2:$J$518))&lt;&gt;UPPER(TRIM($G72)&amp;TRIM($I72)&amp;TRIM($J72))))&gt;0), AND($AB72&lt;&gt;"", LOWER(TRIM($AB72))&lt;&gt;"n/a", LOWER(TRIM($AB72))&lt;&gt;"na", SUMPRODUCT(--(UPPER(TRIM($AB$2:$AB$518))=UPPER(TRIM($AB72))), --(UPPER(TRIM($B$2:$B$518))="YES"), --(UPPER(TRIM($G$2:$G$518)&amp;TRIM($I$2:$I$518)&amp;TRIM($J$2:$J$518))&lt;&gt;UPPER(TRIM($G72)&amp;TRIM($I72)&amp;TRIM($J72))))&gt;0), AND($AH72&lt;&gt;"", LOWER(TRIM($AH72))&lt;&gt;"n/a", LOWER(TRIM($AH72))&lt;&gt;"na", SUMPRODUCT(--(UPPER(SUBSTITUTE(SUBSTITUTE(TRIM($AH$2:$AH$518),":",""),"-",""))=UPPER(SUBSTITUTE(SUBSTITUTE(TRIM($AH72),":",""),"-",""))), --(UPPER(TRIM($B$2:$B$518))="YES"), --(UPPER(TRIM($G$2:$G$518)&amp;TRIM($I$2:$I$518)&amp;TRIM($J$2:$J$518))&lt;&gt;UPPER(TRIM($G72)&amp;TRIM($I72)&amp;TRIM($J72))))&gt;0), AND($AP72&lt;&gt;"", LOWER(TRIM($AP72))&lt;&gt;"n/a", LOWER(TRIM($AP72))&lt;&gt;"na", SUMPRODUCT(--(UPPER(TRIM($AP$2:$AP$518))=UPPER(TRIM($AP72))), --(UPPER(TRIM($B$2:$B$518))="YES"), --(UPPER(TRIM($G$2:$G$518)&amp;TRIM($I$2:$I$518)&amp;TRIM($J$2:$J$518))&lt;&gt;UPPER(TRIM($G72)&amp;TRIM($I72)&amp;TRIM($J72))))&gt;0), AND($AQ72&lt;&gt;"", LOWER(TRIM($AQ72))&lt;&gt;"n/a", LOWER(TRIM($AQ72))&lt;&gt;"na", SUMPRODUCT(--(UPPER(TRIM($AQ$2:$AQ$518))=UPPER(TRIM($AQ72))), --(UPPER(TRIM($B$2:$B$518))="YES"), --(UPPER(TRIM($G$2:$G$518)&amp;TRIM($I$2:$I$518)&amp;TRIM($J$2:$J$518))&lt;&gt;UPPER(TRIM($G72)&amp;TRIM($I72)&amp;TRIM($J72))))&gt;0)), "Yes", "No"))</f>
        <v/>
      </c>
      <c r="G72" t="inlineStr">
        <is>
          <t>NSUH - PSP</t>
        </is>
      </c>
      <c r="H72" t="inlineStr">
        <is>
          <t>NSUH - PSP</t>
        </is>
      </c>
      <c r="I72" t="inlineStr">
        <is>
          <t>Main ORs - PSP - 2nd Floor</t>
        </is>
      </c>
      <c r="P72" t="inlineStr">
        <is>
          <t>Yes</t>
        </is>
      </c>
      <c r="U72" t="inlineStr">
        <is>
          <t>Dr. Palilla, Timothy W. Seeberger</t>
        </is>
      </c>
      <c r="V72" t="inlineStr">
        <is>
          <t>WMH300OPR400</t>
        </is>
      </c>
      <c r="W72" t="inlineStr">
        <is>
          <t>MEDNG2425E-3153</t>
        </is>
      </c>
      <c r="BY72" t="inlineStr">
        <is>
          <t>Requires a Download Check: SIS as a service; VMware Stallaris, uncheck log-in as current user, and add server(qr code provided)</t>
        </is>
      </c>
      <c r="CD72">
        <f>IF($Y72="","",IF((IF(AND($BR72&lt;&gt;"Yes",$BR72&lt;&gt;"N/A"),"Power Cable, ","")&amp;IF(AND($BS72&lt;&gt;"Yes",$BS72&lt;&gt;"N/A"),"Battery, ","")&amp;IF(AND($AD72&lt;&gt;"Yes",$AD72&lt;&gt;"N/A"),"Firmware Download, ","")&amp;IF(AND(OR($AD72="Yes",$AD72="N/A"),$AE72&lt;&gt;"Yes",$AE72&lt;&gt;"N/A"),"Firmware Install, ","")&amp;IF(AND($CB72&lt;&gt;"Yes",$CB72&lt;&gt;"N/A"),"Device ID, ","")&amp;IF(AND($CC72&lt;&gt;"Yes",$CC72&lt;&gt;"N/A"),"Epic Beans Relay, ",""))="","",LEFT(IF(AND($BR72&lt;&gt;"Yes",$BR72&lt;&gt;"N/A"),"Power Cable, ","")&amp;IF(AND($BS72&lt;&gt;"Yes",$BS72&lt;&gt;"N/A"),"Battery, ","")&amp;IF(AND($AD72&lt;&gt;"Yes",$AD72&lt;&gt;"N/A"),"Firmware Download, ","")&amp;IF(AND(OR($AD72="Yes",$AD72="N/A"),$AE72&lt;&gt;"Yes",$AE72&lt;&gt;"N/A"),"Firmware Install, ","")&amp;IF(AND($CB72&lt;&gt;"Yes",$CB72&lt;&gt;"N/A"),"Device ID, ","")&amp;IF(AND($CC72&lt;&gt;"Yes",$CC72&lt;&gt;"N/A"),"Epic Beans Relay, ",""),LEN(IF(AND($BR72&lt;&gt;"Yes",$BR72&lt;&gt;"N/A"),"Power Cable, ","")&amp;IF(AND($BS72&lt;&gt;"Yes",$BS72&lt;&gt;"N/A"),"Battery, ","")&amp;IF(AND($AD72&lt;&gt;"Yes",$AD72&lt;&gt;"N/A"),"Firmware Download, ","")&amp;IF(AND(OR($AD72="Yes",$AD72="N/A"),$AE72&lt;&gt;"Yes",$AE72&lt;&gt;"N/A"),"Firmware Install, ","")&amp;IF(AND($CB72&lt;&gt;"Yes",$CB72&lt;&gt;"N/A"),"Device ID, ","")&amp;IF(AND($CC72&lt;&gt;"Yes",$CC72&lt;&gt;"N/A"),"Epic Beans Relay, ",""))-2)))</f>
        <v/>
      </c>
      <c r="CE72">
        <f>IF($Y72="","",IF($CD72="","Yes","Blocked"))</f>
        <v/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W72">
        <f>IF($S72="","",IF(UPPER(TRIM($S72))&lt;&gt;"PASS","",IF(LEN(TRIM($BY72))&gt;0,"NOTES_PRESENT",IF(LEN(TRIM($T72))=0,"SET_NA",IF(OR(LOWER(TRIM($T72))="na",LOWER(TRIM($T72))="n/a"),"OK","MANUAL_OVERRIDE")))))</f>
        <v/>
      </c>
    </row>
    <row r="73">
      <c r="A73" t="inlineStr">
        <is>
          <t>Cybernet</t>
        </is>
      </c>
      <c r="B73" s="51" t="inlineStr">
        <is>
          <t>No</t>
        </is>
      </c>
      <c r="C73" t="inlineStr">
        <is>
          <t>No</t>
        </is>
      </c>
      <c r="D73">
        <f>IF($B73&lt;&gt;"Yes","",IF($C73="No","Yes",IF($C73="Yes","No","")))</f>
        <v/>
      </c>
      <c r="E73">
        <f>IF($A73="","",IF(OR(AND($V73&lt;&gt;"",LOWER(TRIM($V73))&lt;&gt;"n/a",LOWER(TRIM($V73))&lt;&gt;"na",SUMPRODUCT(--(UPPER(TRIM($V$2:$V$518))=UPPER(TRIM($V73))),--(TRIM($V$2:$V$518)&lt;&gt;""),--(LOWER(TRIM($V$2:$V$518))&lt;&gt;"n/a"),--(LOWER(TRIM($V$2:$V$518))&lt;&gt;"na"))&gt;1),AND($W73&lt;&gt;"",LOWER(TRIM($W73))&lt;&gt;"n/a",LOWER(TRIM($W73))&lt;&gt;"na",SUMPRODUCT(--(UPPER(TRIM($W$2:$W$518))=UPPER(TRIM($W73))),--(TRIM($W$2:$W$518)&lt;&gt;""),--(LOWER(TRIM($W$2:$W$518))&lt;&gt;"n/a"),--(LOWER(TRIM($W$2:$W$518))&lt;&gt;"na"))&gt;1),AND($X73&lt;&gt;"",LOWER(TRIM($X73))&lt;&gt;"n/a",LOWER(TRIM($X73))&lt;&gt;"na",SUMPRODUCT(--(UPPER(TRIM($X$2:$X$518))=UPPER(TRIM($X73))),--(TRIM($X$2:$X$518)&lt;&gt;""),--(LOWER(TRIM($X$2:$X$518))&lt;&gt;"n/a"),--(LOWER(TRIM($X$2:$X$518))&lt;&gt;"na"))&gt;1),AND($Y73&lt;&gt;"",LOWER(TRIM($Y73))&lt;&gt;"n/a",LOWER(TRIM($Y73))&lt;&gt;"na",SUMPRODUCT(--(UPPER(SUBSTITUTE(SUBSTITUTE(TRIM($Y$2:$Y$518),":",""),"-",""))=UPPER(SUBSTITUTE(SUBSTITUTE(TRIM($Y73),":",""),"-",""))),--(TRIM($Y$2:$Y$518)&lt;&gt;""),--(LOWER(TRIM($Y$2:$Y$518))&lt;&gt;"n/a"),--(LOWER(TRIM($Y$2:$Y$518))&lt;&gt;"na"))&gt;1),AND($AB73&lt;&gt;"",LOWER(TRIM($AB73))&lt;&gt;"n/a",LOWER(TRIM($AB73))&lt;&gt;"na",SUMPRODUCT(--(UPPER(TRIM($AB$2:$AB$518))=UPPER(TRIM($AB73))),--(TRIM($AB$2:$AB$518)&lt;&gt;""),--(LOWER(TRIM($AB$2:$AB$518))&lt;&gt;"n/a"),--(LOWER(TRIM($AB$2:$AB$518))&lt;&gt;"na"))&gt;1),AND($AH73&lt;&gt;"",LOWER(TRIM($AH73))&lt;&gt;"n/a",LOWER(TRIM($AH73))&lt;&gt;"na",SUMPRODUCT(--(UPPER(SUBSTITUTE(SUBSTITUTE(TRIM($AH$2:$AH$518),":",""),"-",""))=UPPER(SUBSTITUTE(SUBSTITUTE(TRIM($AH73),":",""),"-",""))),--(TRIM($AH$2:$AH$518)&lt;&gt;""),--(LOWER(TRIM($AH$2:$AH$518))&lt;&gt;"n/a"),--(LOWER(TRIM($AH$2:$AH$518))&lt;&gt;"na"))&gt;1),AND($AP73&lt;&gt;"",LOWER(TRIM($AP73))&lt;&gt;"n/a",LOWER(TRIM($AP73))&lt;&gt;"na",SUMPRODUCT(--(UPPER(TRIM($AP$2:$AP$518))=UPPER(TRIM($AP73))),--(TRIM($AP$2:$AP$518)&lt;&gt;""),--(LOWER(TRIM($AP$2:$AP$518))&lt;&gt;"n/a"),--(LOWER(TRIM($AP$2:$AP$518))&lt;&gt;"na"))&gt;1),AND($AQ73&lt;&gt;"",LOWER(TRIM($AQ73))&lt;&gt;"n/a",LOWER(TRIM($AQ73))&lt;&gt;"na",SUMPRODUCT(--(UPPER(TRIM($AQ$2:$AQ$518))=UPPER(TRIM($AQ73))),--(TRIM($AQ$2:$AQ$518)&lt;&gt;""),--(LOWER(TRIM($AQ$2:$AQ$518))&lt;&gt;"n/a"),--(LOWER(TRIM($AQ$2:$AQ$518))&lt;&gt;"na"))&gt;1)),"Yes","No"))</f>
        <v/>
      </c>
      <c r="F73">
        <f>IF(UPPER(TRIM($B73))&lt;&gt;"YES","", IF(OR(AND($V73&lt;&gt;"", LOWER(TRIM($V73))&lt;&gt;"n/a", LOWER(TRIM($V73))&lt;&gt;"na", SUMPRODUCT(--(UPPER(TRIM($V$2:$V$518))=UPPER(TRIM($V73))), --(UPPER(TRIM($B$2:$B$518))="YES"), --(UPPER(TRIM($G$2:$G$518)&amp;TRIM($I$2:$I$518)&amp;TRIM($J$2:$J$518))&lt;&gt;UPPER(TRIM($G73)&amp;TRIM($I73)&amp;TRIM($J73))))&gt;0), AND($W73&lt;&gt;"", LOWER(TRIM($W73))&lt;&gt;"n/a", LOWER(TRIM($W73))&lt;&gt;"na", SUMPRODUCT(--(UPPER(TRIM($W$2:$W$518))=UPPER(TRIM($W73))), --(UPPER(TRIM($B$2:$B$518))="YES"), --(UPPER(TRIM($G$2:$G$518)&amp;TRIM($I$2:$I$518)&amp;TRIM($J$2:$J$518))&lt;&gt;UPPER(TRIM($G73)&amp;TRIM($I73)&amp;TRIM($J73))))&gt;0), AND($X73&lt;&gt;"", LOWER(TRIM($X73))&lt;&gt;"n/a", LOWER(TRIM($X73))&lt;&gt;"na", SUMPRODUCT(--(UPPER(TRIM($X$2:$X$518))=UPPER(TRIM($X73))), --(UPPER(TRIM($B$2:$B$518))="YES"), --(UPPER(TRIM($G$2:$G$518)&amp;TRIM($I$2:$I$518)&amp;TRIM($J$2:$J$518))&lt;&gt;UPPER(TRIM($G73)&amp;TRIM($I73)&amp;TRIM($J73))))&gt;0), AND($Y73&lt;&gt;"", LOWER(TRIM($Y73))&lt;&gt;"n/a", LOWER(TRIM($Y73))&lt;&gt;"na", SUMPRODUCT(--(UPPER(SUBSTITUTE(SUBSTITUTE(TRIM($Y$2:$Y$518),":",""),"-",""))=UPPER(SUBSTITUTE(SUBSTITUTE(TRIM($Y73),":",""),"-",""))), --(UPPER(TRIM($B$2:$B$518))="YES"), --(UPPER(TRIM($G$2:$G$518)&amp;TRIM($I$2:$I$518)&amp;TRIM($J$2:$J$518))&lt;&gt;UPPER(TRIM($G73)&amp;TRIM($I73)&amp;TRIM($J73))))&gt;0), AND($AB73&lt;&gt;"", LOWER(TRIM($AB73))&lt;&gt;"n/a", LOWER(TRIM($AB73))&lt;&gt;"na", SUMPRODUCT(--(UPPER(TRIM($AB$2:$AB$518))=UPPER(TRIM($AB73))), --(UPPER(TRIM($B$2:$B$518))="YES"), --(UPPER(TRIM($G$2:$G$518)&amp;TRIM($I$2:$I$518)&amp;TRIM($J$2:$J$518))&lt;&gt;UPPER(TRIM($G73)&amp;TRIM($I73)&amp;TRIM($J73))))&gt;0), AND($AH73&lt;&gt;"", LOWER(TRIM($AH73))&lt;&gt;"n/a", LOWER(TRIM($AH73))&lt;&gt;"na", SUMPRODUCT(--(UPPER(SUBSTITUTE(SUBSTITUTE(TRIM($AH$2:$AH$518),":",""),"-",""))=UPPER(SUBSTITUTE(SUBSTITUTE(TRIM($AH73),":",""),"-",""))), --(UPPER(TRIM($B$2:$B$518))="YES"), --(UPPER(TRIM($G$2:$G$518)&amp;TRIM($I$2:$I$518)&amp;TRIM($J$2:$J$518))&lt;&gt;UPPER(TRIM($G73)&amp;TRIM($I73)&amp;TRIM($J73))))&gt;0), AND($AP73&lt;&gt;"", LOWER(TRIM($AP73))&lt;&gt;"n/a", LOWER(TRIM($AP73))&lt;&gt;"na", SUMPRODUCT(--(UPPER(TRIM($AP$2:$AP$518))=UPPER(TRIM($AP73))), --(UPPER(TRIM($B$2:$B$518))="YES"), --(UPPER(TRIM($G$2:$G$518)&amp;TRIM($I$2:$I$518)&amp;TRIM($J$2:$J$518))&lt;&gt;UPPER(TRIM($G73)&amp;TRIM($I73)&amp;TRIM($J73))))&gt;0), AND($AQ73&lt;&gt;"", LOWER(TRIM($AQ73))&lt;&gt;"n/a", LOWER(TRIM($AQ73))&lt;&gt;"na", SUMPRODUCT(--(UPPER(TRIM($AQ$2:$AQ$518))=UPPER(TRIM($AQ73))), --(UPPER(TRIM($B$2:$B$518))="YES"), --(UPPER(TRIM($G$2:$G$518)&amp;TRIM($I$2:$I$518)&amp;TRIM($J$2:$J$518))&lt;&gt;UPPER(TRIM($G73)&amp;TRIM($I73)&amp;TRIM($J73))))&gt;0)), "Yes", "No"))</f>
        <v/>
      </c>
      <c r="G73" t="inlineStr">
        <is>
          <t>NSUH - PSP</t>
        </is>
      </c>
      <c r="H73" t="inlineStr">
        <is>
          <t>NSUH - PSP</t>
        </is>
      </c>
      <c r="I73" t="inlineStr">
        <is>
          <t>Main ORs - PSP - 2nd Floor</t>
        </is>
      </c>
      <c r="P73" t="inlineStr">
        <is>
          <t>Yes</t>
        </is>
      </c>
      <c r="U73" t="inlineStr">
        <is>
          <t>Dr. Palilla, Timothy W. Seeberger</t>
        </is>
      </c>
      <c r="V73" t="inlineStr">
        <is>
          <t>WMH300OPR401</t>
        </is>
      </c>
      <c r="W73" t="inlineStr">
        <is>
          <t>MEDNG2425E-3090</t>
        </is>
      </c>
      <c r="BY73" t="inlineStr">
        <is>
          <t>Requires a Download Check: SIS as a service; VMware Stallaris, uncheck log-in as current user, and add server(qr code provided)</t>
        </is>
      </c>
      <c r="CD73">
        <f>IF($Y73="","",IF((IF(AND($BR73&lt;&gt;"Yes",$BR73&lt;&gt;"N/A"),"Power Cable, ","")&amp;IF(AND($BS73&lt;&gt;"Yes",$BS73&lt;&gt;"N/A"),"Battery, ","")&amp;IF(AND($AD73&lt;&gt;"Yes",$AD73&lt;&gt;"N/A"),"Firmware Download, ","")&amp;IF(AND(OR($AD73="Yes",$AD73="N/A"),$AE73&lt;&gt;"Yes",$AE73&lt;&gt;"N/A"),"Firmware Install, ","")&amp;IF(AND($CB73&lt;&gt;"Yes",$CB73&lt;&gt;"N/A"),"Device ID, ","")&amp;IF(AND($CC73&lt;&gt;"Yes",$CC73&lt;&gt;"N/A"),"Epic Beans Relay, ",""))="","",LEFT(IF(AND($BR73&lt;&gt;"Yes",$BR73&lt;&gt;"N/A"),"Power Cable, ","")&amp;IF(AND($BS73&lt;&gt;"Yes",$BS73&lt;&gt;"N/A"),"Battery, ","")&amp;IF(AND($AD73&lt;&gt;"Yes",$AD73&lt;&gt;"N/A"),"Firmware Download, ","")&amp;IF(AND(OR($AD73="Yes",$AD73="N/A"),$AE73&lt;&gt;"Yes",$AE73&lt;&gt;"N/A"),"Firmware Install, ","")&amp;IF(AND($CB73&lt;&gt;"Yes",$CB73&lt;&gt;"N/A"),"Device ID, ","")&amp;IF(AND($CC73&lt;&gt;"Yes",$CC73&lt;&gt;"N/A"),"Epic Beans Relay, ",""),LEN(IF(AND($BR73&lt;&gt;"Yes",$BR73&lt;&gt;"N/A"),"Power Cable, ","")&amp;IF(AND($BS73&lt;&gt;"Yes",$BS73&lt;&gt;"N/A"),"Battery, ","")&amp;IF(AND($AD73&lt;&gt;"Yes",$AD73&lt;&gt;"N/A"),"Firmware Download, ","")&amp;IF(AND(OR($AD73="Yes",$AD73="N/A"),$AE73&lt;&gt;"Yes",$AE73&lt;&gt;"N/A"),"Firmware Install, ","")&amp;IF(AND($CB73&lt;&gt;"Yes",$CB73&lt;&gt;"N/A"),"Device ID, ","")&amp;IF(AND($CC73&lt;&gt;"Yes",$CC73&lt;&gt;"N/A"),"Epic Beans Relay, ",""))-2)))</f>
        <v/>
      </c>
      <c r="CE73">
        <f>IF($Y73="","",IF($CD73="","Yes","Blocked"))</f>
        <v/>
      </c>
      <c r="CF73" t="inlineStr">
        <is>
          <t>Yes</t>
        </is>
      </c>
      <c r="CG73" t="inlineStr">
        <is>
          <t>Yes</t>
        </is>
      </c>
      <c r="CH73" t="inlineStr">
        <is>
          <t>Yes</t>
        </is>
      </c>
      <c r="CI73" t="inlineStr">
        <is>
          <t>Yes</t>
        </is>
      </c>
      <c r="CJ73" t="inlineStr">
        <is>
          <t>Yes</t>
        </is>
      </c>
      <c r="CK73" t="inlineStr">
        <is>
          <t>Yes</t>
        </is>
      </c>
      <c r="CL73" t="inlineStr">
        <is>
          <t>Yes</t>
        </is>
      </c>
      <c r="CM73" t="inlineStr">
        <is>
          <t>Yes</t>
        </is>
      </c>
      <c r="CN73" t="inlineStr">
        <is>
          <t>Yes</t>
        </is>
      </c>
      <c r="CO73" t="inlineStr">
        <is>
          <t>Yes</t>
        </is>
      </c>
      <c r="CP73" t="inlineStr">
        <is>
          <t>Yes</t>
        </is>
      </c>
      <c r="CQ73" t="inlineStr">
        <is>
          <t>Yes</t>
        </is>
      </c>
      <c r="CR73" t="inlineStr">
        <is>
          <t>Yes</t>
        </is>
      </c>
      <c r="CS73" t="inlineStr">
        <is>
          <t>Yes</t>
        </is>
      </c>
      <c r="CW73">
        <f>IF($S73="","",IF(UPPER(TRIM($S73))&lt;&gt;"PASS","",IF(LEN(TRIM($BY73))&gt;0,"NOTES_PRESENT",IF(LEN(TRIM($T73))=0,"SET_NA",IF(OR(LOWER(TRIM($T73))="na",LOWER(TRIM($T73))="n/a"),"OK","MANUAL_OVERRIDE")))))</f>
        <v/>
      </c>
    </row>
    <row r="74">
      <c r="A74" t="inlineStr">
        <is>
          <t>Cybernet</t>
        </is>
      </c>
      <c r="B74" s="51" t="inlineStr">
        <is>
          <t>No</t>
        </is>
      </c>
      <c r="C74" t="inlineStr">
        <is>
          <t>No</t>
        </is>
      </c>
      <c r="D74">
        <f>IF($B74&lt;&gt;"Yes","",IF($C74="No","Yes",IF($C74="Yes","No","")))</f>
        <v/>
      </c>
      <c r="E74">
        <f>IF($A74="","",IF(OR(AND($V74&lt;&gt;"",LOWER(TRIM($V74))&lt;&gt;"n/a",LOWER(TRIM($V74))&lt;&gt;"na",SUMPRODUCT(--(UPPER(TRIM($V$2:$V$518))=UPPER(TRIM($V74))),--(TRIM($V$2:$V$518)&lt;&gt;""),--(LOWER(TRIM($V$2:$V$518))&lt;&gt;"n/a"),--(LOWER(TRIM($V$2:$V$518))&lt;&gt;"na"))&gt;1),AND($W74&lt;&gt;"",LOWER(TRIM($W74))&lt;&gt;"n/a",LOWER(TRIM($W74))&lt;&gt;"na",SUMPRODUCT(--(UPPER(TRIM($W$2:$W$518))=UPPER(TRIM($W74))),--(TRIM($W$2:$W$518)&lt;&gt;""),--(LOWER(TRIM($W$2:$W$518))&lt;&gt;"n/a"),--(LOWER(TRIM($W$2:$W$518))&lt;&gt;"na"))&gt;1),AND($X74&lt;&gt;"",LOWER(TRIM($X74))&lt;&gt;"n/a",LOWER(TRIM($X74))&lt;&gt;"na",SUMPRODUCT(--(UPPER(TRIM($X$2:$X$518))=UPPER(TRIM($X74))),--(TRIM($X$2:$X$518)&lt;&gt;""),--(LOWER(TRIM($X$2:$X$518))&lt;&gt;"n/a"),--(LOWER(TRIM($X$2:$X$518))&lt;&gt;"na"))&gt;1),AND($Y74&lt;&gt;"",LOWER(TRIM($Y74))&lt;&gt;"n/a",LOWER(TRIM($Y74))&lt;&gt;"na",SUMPRODUCT(--(UPPER(SUBSTITUTE(SUBSTITUTE(TRIM($Y$2:$Y$518),":",""),"-",""))=UPPER(SUBSTITUTE(SUBSTITUTE(TRIM($Y74),":",""),"-",""))),--(TRIM($Y$2:$Y$518)&lt;&gt;""),--(LOWER(TRIM($Y$2:$Y$518))&lt;&gt;"n/a"),--(LOWER(TRIM($Y$2:$Y$518))&lt;&gt;"na"))&gt;1),AND($AB74&lt;&gt;"",LOWER(TRIM($AB74))&lt;&gt;"n/a",LOWER(TRIM($AB74))&lt;&gt;"na",SUMPRODUCT(--(UPPER(TRIM($AB$2:$AB$518))=UPPER(TRIM($AB74))),--(TRIM($AB$2:$AB$518)&lt;&gt;""),--(LOWER(TRIM($AB$2:$AB$518))&lt;&gt;"n/a"),--(LOWER(TRIM($AB$2:$AB$518))&lt;&gt;"na"))&gt;1),AND($AH74&lt;&gt;"",LOWER(TRIM($AH74))&lt;&gt;"n/a",LOWER(TRIM($AH74))&lt;&gt;"na",SUMPRODUCT(--(UPPER(SUBSTITUTE(SUBSTITUTE(TRIM($AH$2:$AH$518),":",""),"-",""))=UPPER(SUBSTITUTE(SUBSTITUTE(TRIM($AH74),":",""),"-",""))),--(TRIM($AH$2:$AH$518)&lt;&gt;""),--(LOWER(TRIM($AH$2:$AH$518))&lt;&gt;"n/a"),--(LOWER(TRIM($AH$2:$AH$518))&lt;&gt;"na"))&gt;1),AND($AP74&lt;&gt;"",LOWER(TRIM($AP74))&lt;&gt;"n/a",LOWER(TRIM($AP74))&lt;&gt;"na",SUMPRODUCT(--(UPPER(TRIM($AP$2:$AP$518))=UPPER(TRIM($AP74))),--(TRIM($AP$2:$AP$518)&lt;&gt;""),--(LOWER(TRIM($AP$2:$AP$518))&lt;&gt;"n/a"),--(LOWER(TRIM($AP$2:$AP$518))&lt;&gt;"na"))&gt;1),AND($AQ74&lt;&gt;"",LOWER(TRIM($AQ74))&lt;&gt;"n/a",LOWER(TRIM($AQ74))&lt;&gt;"na",SUMPRODUCT(--(UPPER(TRIM($AQ$2:$AQ$518))=UPPER(TRIM($AQ74))),--(TRIM($AQ$2:$AQ$518)&lt;&gt;""),--(LOWER(TRIM($AQ$2:$AQ$518))&lt;&gt;"n/a"),--(LOWER(TRIM($AQ$2:$AQ$518))&lt;&gt;"na"))&gt;1)),"Yes","No"))</f>
        <v/>
      </c>
      <c r="F74">
        <f>IF(UPPER(TRIM($B74))&lt;&gt;"YES","", IF(OR(AND($V74&lt;&gt;"", LOWER(TRIM($V74))&lt;&gt;"n/a", LOWER(TRIM($V74))&lt;&gt;"na", SUMPRODUCT(--(UPPER(TRIM($V$2:$V$518))=UPPER(TRIM($V74))), --(UPPER(TRIM($B$2:$B$518))="YES"), --(UPPER(TRIM($G$2:$G$518)&amp;TRIM($I$2:$I$518)&amp;TRIM($J$2:$J$518))&lt;&gt;UPPER(TRIM($G74)&amp;TRIM($I74)&amp;TRIM($J74))))&gt;0), AND($W74&lt;&gt;"", LOWER(TRIM($W74))&lt;&gt;"n/a", LOWER(TRIM($W74))&lt;&gt;"na", SUMPRODUCT(--(UPPER(TRIM($W$2:$W$518))=UPPER(TRIM($W74))), --(UPPER(TRIM($B$2:$B$518))="YES"), --(UPPER(TRIM($G$2:$G$518)&amp;TRIM($I$2:$I$518)&amp;TRIM($J$2:$J$518))&lt;&gt;UPPER(TRIM($G74)&amp;TRIM($I74)&amp;TRIM($J74))))&gt;0), AND($X74&lt;&gt;"", LOWER(TRIM($X74))&lt;&gt;"n/a", LOWER(TRIM($X74))&lt;&gt;"na", SUMPRODUCT(--(UPPER(TRIM($X$2:$X$518))=UPPER(TRIM($X74))), --(UPPER(TRIM($B$2:$B$518))="YES"), --(UPPER(TRIM($G$2:$G$518)&amp;TRIM($I$2:$I$518)&amp;TRIM($J$2:$J$518))&lt;&gt;UPPER(TRIM($G74)&amp;TRIM($I74)&amp;TRIM($J74))))&gt;0), AND($Y74&lt;&gt;"", LOWER(TRIM($Y74))&lt;&gt;"n/a", LOWER(TRIM($Y74))&lt;&gt;"na", SUMPRODUCT(--(UPPER(SUBSTITUTE(SUBSTITUTE(TRIM($Y$2:$Y$518),":",""),"-",""))=UPPER(SUBSTITUTE(SUBSTITUTE(TRIM($Y74),":",""),"-",""))), --(UPPER(TRIM($B$2:$B$518))="YES"), --(UPPER(TRIM($G$2:$G$518)&amp;TRIM($I$2:$I$518)&amp;TRIM($J$2:$J$518))&lt;&gt;UPPER(TRIM($G74)&amp;TRIM($I74)&amp;TRIM($J74))))&gt;0), AND($AB74&lt;&gt;"", LOWER(TRIM($AB74))&lt;&gt;"n/a", LOWER(TRIM($AB74))&lt;&gt;"na", SUMPRODUCT(--(UPPER(TRIM($AB$2:$AB$518))=UPPER(TRIM($AB74))), --(UPPER(TRIM($B$2:$B$518))="YES"), --(UPPER(TRIM($G$2:$G$518)&amp;TRIM($I$2:$I$518)&amp;TRIM($J$2:$J$518))&lt;&gt;UPPER(TRIM($G74)&amp;TRIM($I74)&amp;TRIM($J74))))&gt;0), AND($AH74&lt;&gt;"", LOWER(TRIM($AH74))&lt;&gt;"n/a", LOWER(TRIM($AH74))&lt;&gt;"na", SUMPRODUCT(--(UPPER(SUBSTITUTE(SUBSTITUTE(TRIM($AH$2:$AH$518),":",""),"-",""))=UPPER(SUBSTITUTE(SUBSTITUTE(TRIM($AH74),":",""),"-",""))), --(UPPER(TRIM($B$2:$B$518))="YES"), --(UPPER(TRIM($G$2:$G$518)&amp;TRIM($I$2:$I$518)&amp;TRIM($J$2:$J$518))&lt;&gt;UPPER(TRIM($G74)&amp;TRIM($I74)&amp;TRIM($J74))))&gt;0), AND($AP74&lt;&gt;"", LOWER(TRIM($AP74))&lt;&gt;"n/a", LOWER(TRIM($AP74))&lt;&gt;"na", SUMPRODUCT(--(UPPER(TRIM($AP$2:$AP$518))=UPPER(TRIM($AP74))), --(UPPER(TRIM($B$2:$B$518))="YES"), --(UPPER(TRIM($G$2:$G$518)&amp;TRIM($I$2:$I$518)&amp;TRIM($J$2:$J$518))&lt;&gt;UPPER(TRIM($G74)&amp;TRIM($I74)&amp;TRIM($J74))))&gt;0), AND($AQ74&lt;&gt;"", LOWER(TRIM($AQ74))&lt;&gt;"n/a", LOWER(TRIM($AQ74))&lt;&gt;"na", SUMPRODUCT(--(UPPER(TRIM($AQ$2:$AQ$518))=UPPER(TRIM($AQ74))), --(UPPER(TRIM($B$2:$B$518))="YES"), --(UPPER(TRIM($G$2:$G$518)&amp;TRIM($I$2:$I$518)&amp;TRIM($J$2:$J$518))&lt;&gt;UPPER(TRIM($G74)&amp;TRIM($I74)&amp;TRIM($J74))))&gt;0)), "Yes", "No"))</f>
        <v/>
      </c>
      <c r="G74" t="inlineStr">
        <is>
          <t>NSUH - PSP</t>
        </is>
      </c>
      <c r="H74" t="inlineStr">
        <is>
          <t>NSUH - PSP</t>
        </is>
      </c>
      <c r="I74" t="inlineStr">
        <is>
          <t>Main ORs - PSP - 2nd Floor</t>
        </is>
      </c>
      <c r="U74" t="inlineStr">
        <is>
          <t>Dr. Palilla, Timothy W. Seeberger</t>
        </is>
      </c>
      <c r="V74" t="inlineStr">
        <is>
          <t>WMH300OPR403</t>
        </is>
      </c>
      <c r="W74" t="inlineStr">
        <is>
          <t>MEDnSG2425F-0137</t>
        </is>
      </c>
      <c r="CD74">
        <f>IF($Y74="","",IF((IF(AND($BR74&lt;&gt;"Yes",$BR74&lt;&gt;"N/A"),"Power Cable, ","")&amp;IF(AND($BS74&lt;&gt;"Yes",$BS74&lt;&gt;"N/A"),"Battery, ","")&amp;IF(AND($AD74&lt;&gt;"Yes",$AD74&lt;&gt;"N/A"),"Firmware Download, ","")&amp;IF(AND(OR($AD74="Yes",$AD74="N/A"),$AE74&lt;&gt;"Yes",$AE74&lt;&gt;"N/A"),"Firmware Install, ","")&amp;IF(AND($CB74&lt;&gt;"Yes",$CB74&lt;&gt;"N/A"),"Device ID, ","")&amp;IF(AND($CC74&lt;&gt;"Yes",$CC74&lt;&gt;"N/A"),"Epic Beans Relay, ",""))="","",LEFT(IF(AND($BR74&lt;&gt;"Yes",$BR74&lt;&gt;"N/A"),"Power Cable, ","")&amp;IF(AND($BS74&lt;&gt;"Yes",$BS74&lt;&gt;"N/A"),"Battery, ","")&amp;IF(AND($AD74&lt;&gt;"Yes",$AD74&lt;&gt;"N/A"),"Firmware Download, ","")&amp;IF(AND(OR($AD74="Yes",$AD74="N/A"),$AE74&lt;&gt;"Yes",$AE74&lt;&gt;"N/A"),"Firmware Install, ","")&amp;IF(AND($CB74&lt;&gt;"Yes",$CB74&lt;&gt;"N/A"),"Device ID, ","")&amp;IF(AND($CC74&lt;&gt;"Yes",$CC74&lt;&gt;"N/A"),"Epic Beans Relay, ",""),LEN(IF(AND($BR74&lt;&gt;"Yes",$BR74&lt;&gt;"N/A"),"Power Cable, ","")&amp;IF(AND($BS74&lt;&gt;"Yes",$BS74&lt;&gt;"N/A"),"Battery, ","")&amp;IF(AND($AD74&lt;&gt;"Yes",$AD74&lt;&gt;"N/A"),"Firmware Download, ","")&amp;IF(AND(OR($AD74="Yes",$AD74="N/A"),$AE74&lt;&gt;"Yes",$AE74&lt;&gt;"N/A"),"Firmware Install, ","")&amp;IF(AND($CB74&lt;&gt;"Yes",$CB74&lt;&gt;"N/A"),"Device ID, ","")&amp;IF(AND($CC74&lt;&gt;"Yes",$CC74&lt;&gt;"N/A"),"Epic Beans Relay, ",""))-2)))</f>
        <v/>
      </c>
      <c r="CE74">
        <f>IF($Y74="","",IF($CD74="","Yes","Blocked"))</f>
        <v/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W74">
        <f>IF($S74="","",IF(UPPER(TRIM($S74))&lt;&gt;"PASS","",IF(LEN(TRIM($BY74))&gt;0,"NOTES_PRESENT",IF(LEN(TRIM($T74))=0,"SET_NA",IF(OR(LOWER(TRIM($T74))="na",LOWER(TRIM($T74))="n/a"),"OK","MANUAL_OVERRIDE")))))</f>
        <v/>
      </c>
    </row>
    <row r="75">
      <c r="A75" t="inlineStr">
        <is>
          <t>Cybernet</t>
        </is>
      </c>
      <c r="B75" s="51" t="inlineStr">
        <is>
          <t>No</t>
        </is>
      </c>
      <c r="C75" t="inlineStr">
        <is>
          <t>No</t>
        </is>
      </c>
      <c r="D75">
        <f>IF($B75&lt;&gt;"Yes","",IF($C75="No","Yes",IF($C75="Yes","No","")))</f>
        <v/>
      </c>
      <c r="E75">
        <f>IF($A75="","",IF(OR(AND($V75&lt;&gt;"",LOWER(TRIM($V75))&lt;&gt;"n/a",LOWER(TRIM($V75))&lt;&gt;"na",SUMPRODUCT(--(UPPER(TRIM($V$2:$V$518))=UPPER(TRIM($V75))),--(TRIM($V$2:$V$518)&lt;&gt;""),--(LOWER(TRIM($V$2:$V$518))&lt;&gt;"n/a"),--(LOWER(TRIM($V$2:$V$518))&lt;&gt;"na"))&gt;1),AND($W75&lt;&gt;"",LOWER(TRIM($W75))&lt;&gt;"n/a",LOWER(TRIM($W75))&lt;&gt;"na",SUMPRODUCT(--(UPPER(TRIM($W$2:$W$518))=UPPER(TRIM($W75))),--(TRIM($W$2:$W$518)&lt;&gt;""),--(LOWER(TRIM($W$2:$W$518))&lt;&gt;"n/a"),--(LOWER(TRIM($W$2:$W$518))&lt;&gt;"na"))&gt;1),AND($X75&lt;&gt;"",LOWER(TRIM($X75))&lt;&gt;"n/a",LOWER(TRIM($X75))&lt;&gt;"na",SUMPRODUCT(--(UPPER(TRIM($X$2:$X$518))=UPPER(TRIM($X75))),--(TRIM($X$2:$X$518)&lt;&gt;""),--(LOWER(TRIM($X$2:$X$518))&lt;&gt;"n/a"),--(LOWER(TRIM($X$2:$X$518))&lt;&gt;"na"))&gt;1),AND($Y75&lt;&gt;"",LOWER(TRIM($Y75))&lt;&gt;"n/a",LOWER(TRIM($Y75))&lt;&gt;"na",SUMPRODUCT(--(UPPER(SUBSTITUTE(SUBSTITUTE(TRIM($Y$2:$Y$518),":",""),"-",""))=UPPER(SUBSTITUTE(SUBSTITUTE(TRIM($Y75),":",""),"-",""))),--(TRIM($Y$2:$Y$518)&lt;&gt;""),--(LOWER(TRIM($Y$2:$Y$518))&lt;&gt;"n/a"),--(LOWER(TRIM($Y$2:$Y$518))&lt;&gt;"na"))&gt;1),AND($AB75&lt;&gt;"",LOWER(TRIM($AB75))&lt;&gt;"n/a",LOWER(TRIM($AB75))&lt;&gt;"na",SUMPRODUCT(--(UPPER(TRIM($AB$2:$AB$518))=UPPER(TRIM($AB75))),--(TRIM($AB$2:$AB$518)&lt;&gt;""),--(LOWER(TRIM($AB$2:$AB$518))&lt;&gt;"n/a"),--(LOWER(TRIM($AB$2:$AB$518))&lt;&gt;"na"))&gt;1),AND($AH75&lt;&gt;"",LOWER(TRIM($AH75))&lt;&gt;"n/a",LOWER(TRIM($AH75))&lt;&gt;"na",SUMPRODUCT(--(UPPER(SUBSTITUTE(SUBSTITUTE(TRIM($AH$2:$AH$518),":",""),"-",""))=UPPER(SUBSTITUTE(SUBSTITUTE(TRIM($AH75),":",""),"-",""))),--(TRIM($AH$2:$AH$518)&lt;&gt;""),--(LOWER(TRIM($AH$2:$AH$518))&lt;&gt;"n/a"),--(LOWER(TRIM($AH$2:$AH$518))&lt;&gt;"na"))&gt;1),AND($AP75&lt;&gt;"",LOWER(TRIM($AP75))&lt;&gt;"n/a",LOWER(TRIM($AP75))&lt;&gt;"na",SUMPRODUCT(--(UPPER(TRIM($AP$2:$AP$518))=UPPER(TRIM($AP75))),--(TRIM($AP$2:$AP$518)&lt;&gt;""),--(LOWER(TRIM($AP$2:$AP$518))&lt;&gt;"n/a"),--(LOWER(TRIM($AP$2:$AP$518))&lt;&gt;"na"))&gt;1),AND($AQ75&lt;&gt;"",LOWER(TRIM($AQ75))&lt;&gt;"n/a",LOWER(TRIM($AQ75))&lt;&gt;"na",SUMPRODUCT(--(UPPER(TRIM($AQ$2:$AQ$518))=UPPER(TRIM($AQ75))),--(TRIM($AQ$2:$AQ$518)&lt;&gt;""),--(LOWER(TRIM($AQ$2:$AQ$518))&lt;&gt;"n/a"),--(LOWER(TRIM($AQ$2:$AQ$518))&lt;&gt;"na"))&gt;1)),"Yes","No"))</f>
        <v/>
      </c>
      <c r="F75">
        <f>IF(UPPER(TRIM($B75))&lt;&gt;"YES","", IF(OR(AND($V75&lt;&gt;"", LOWER(TRIM($V75))&lt;&gt;"n/a", LOWER(TRIM($V75))&lt;&gt;"na", SUMPRODUCT(--(UPPER(TRIM($V$2:$V$518))=UPPER(TRIM($V75))), --(UPPER(TRIM($B$2:$B$518))="YES"), --(UPPER(TRIM($G$2:$G$518)&amp;TRIM($I$2:$I$518)&amp;TRIM($J$2:$J$518))&lt;&gt;UPPER(TRIM($G75)&amp;TRIM($I75)&amp;TRIM($J75))))&gt;0), AND($W75&lt;&gt;"", LOWER(TRIM($W75))&lt;&gt;"n/a", LOWER(TRIM($W75))&lt;&gt;"na", SUMPRODUCT(--(UPPER(TRIM($W$2:$W$518))=UPPER(TRIM($W75))), --(UPPER(TRIM($B$2:$B$518))="YES"), --(UPPER(TRIM($G$2:$G$518)&amp;TRIM($I$2:$I$518)&amp;TRIM($J$2:$J$518))&lt;&gt;UPPER(TRIM($G75)&amp;TRIM($I75)&amp;TRIM($J75))))&gt;0), AND($X75&lt;&gt;"", LOWER(TRIM($X75))&lt;&gt;"n/a", LOWER(TRIM($X75))&lt;&gt;"na", SUMPRODUCT(--(UPPER(TRIM($X$2:$X$518))=UPPER(TRIM($X75))), --(UPPER(TRIM($B$2:$B$518))="YES"), --(UPPER(TRIM($G$2:$G$518)&amp;TRIM($I$2:$I$518)&amp;TRIM($J$2:$J$518))&lt;&gt;UPPER(TRIM($G75)&amp;TRIM($I75)&amp;TRIM($J75))))&gt;0), AND($Y75&lt;&gt;"", LOWER(TRIM($Y75))&lt;&gt;"n/a", LOWER(TRIM($Y75))&lt;&gt;"na", SUMPRODUCT(--(UPPER(SUBSTITUTE(SUBSTITUTE(TRIM($Y$2:$Y$518),":",""),"-",""))=UPPER(SUBSTITUTE(SUBSTITUTE(TRIM($Y75),":",""),"-",""))), --(UPPER(TRIM($B$2:$B$518))="YES"), --(UPPER(TRIM($G$2:$G$518)&amp;TRIM($I$2:$I$518)&amp;TRIM($J$2:$J$518))&lt;&gt;UPPER(TRIM($G75)&amp;TRIM($I75)&amp;TRIM($J75))))&gt;0), AND($AB75&lt;&gt;"", LOWER(TRIM($AB75))&lt;&gt;"n/a", LOWER(TRIM($AB75))&lt;&gt;"na", SUMPRODUCT(--(UPPER(TRIM($AB$2:$AB$518))=UPPER(TRIM($AB75))), --(UPPER(TRIM($B$2:$B$518))="YES"), --(UPPER(TRIM($G$2:$G$518)&amp;TRIM($I$2:$I$518)&amp;TRIM($J$2:$J$518))&lt;&gt;UPPER(TRIM($G75)&amp;TRIM($I75)&amp;TRIM($J75))))&gt;0), AND($AH75&lt;&gt;"", LOWER(TRIM($AH75))&lt;&gt;"n/a", LOWER(TRIM($AH75))&lt;&gt;"na", SUMPRODUCT(--(UPPER(SUBSTITUTE(SUBSTITUTE(TRIM($AH$2:$AH$518),":",""),"-",""))=UPPER(SUBSTITUTE(SUBSTITUTE(TRIM($AH75),":",""),"-",""))), --(UPPER(TRIM($B$2:$B$518))="YES"), --(UPPER(TRIM($G$2:$G$518)&amp;TRIM($I$2:$I$518)&amp;TRIM($J$2:$J$518))&lt;&gt;UPPER(TRIM($G75)&amp;TRIM($I75)&amp;TRIM($J75))))&gt;0), AND($AP75&lt;&gt;"", LOWER(TRIM($AP75))&lt;&gt;"n/a", LOWER(TRIM($AP75))&lt;&gt;"na", SUMPRODUCT(--(UPPER(TRIM($AP$2:$AP$518))=UPPER(TRIM($AP75))), --(UPPER(TRIM($B$2:$B$518))="YES"), --(UPPER(TRIM($G$2:$G$518)&amp;TRIM($I$2:$I$518)&amp;TRIM($J$2:$J$518))&lt;&gt;UPPER(TRIM($G75)&amp;TRIM($I75)&amp;TRIM($J75))))&gt;0), AND($AQ75&lt;&gt;"", LOWER(TRIM($AQ75))&lt;&gt;"n/a", LOWER(TRIM($AQ75))&lt;&gt;"na", SUMPRODUCT(--(UPPER(TRIM($AQ$2:$AQ$518))=UPPER(TRIM($AQ75))), --(UPPER(TRIM($B$2:$B$518))="YES"), --(UPPER(TRIM($G$2:$G$518)&amp;TRIM($I$2:$I$518)&amp;TRIM($J$2:$J$518))&lt;&gt;UPPER(TRIM($G75)&amp;TRIM($I75)&amp;TRIM($J75))))&gt;0)), "Yes", "No"))</f>
        <v/>
      </c>
      <c r="G75" t="inlineStr">
        <is>
          <t>NSUH - PSP</t>
        </is>
      </c>
      <c r="H75" t="inlineStr">
        <is>
          <t>NSUH - PSP</t>
        </is>
      </c>
      <c r="I75" t="inlineStr">
        <is>
          <t>Main ORs - PSP - 2nd Floor</t>
        </is>
      </c>
      <c r="U75" t="inlineStr">
        <is>
          <t>Dr. Palilla, Timothy W. Seeberger</t>
        </is>
      </c>
      <c r="V75" t="inlineStr">
        <is>
          <t>WMH300OPR404</t>
        </is>
      </c>
      <c r="CD75">
        <f>IF($Y75="","",IF((IF(AND($BR75&lt;&gt;"Yes",$BR75&lt;&gt;"N/A"),"Power Cable, ","")&amp;IF(AND($BS75&lt;&gt;"Yes",$BS75&lt;&gt;"N/A"),"Battery, ","")&amp;IF(AND($AD75&lt;&gt;"Yes",$AD75&lt;&gt;"N/A"),"Firmware Download, ","")&amp;IF(AND(OR($AD75="Yes",$AD75="N/A"),$AE75&lt;&gt;"Yes",$AE75&lt;&gt;"N/A"),"Firmware Install, ","")&amp;IF(AND($CB75&lt;&gt;"Yes",$CB75&lt;&gt;"N/A"),"Device ID, ","")&amp;IF(AND($CC75&lt;&gt;"Yes",$CC75&lt;&gt;"N/A"),"Epic Beans Relay, ",""))="","",LEFT(IF(AND($BR75&lt;&gt;"Yes",$BR75&lt;&gt;"N/A"),"Power Cable, ","")&amp;IF(AND($BS75&lt;&gt;"Yes",$BS75&lt;&gt;"N/A"),"Battery, ","")&amp;IF(AND($AD75&lt;&gt;"Yes",$AD75&lt;&gt;"N/A"),"Firmware Download, ","")&amp;IF(AND(OR($AD75="Yes",$AD75="N/A"),$AE75&lt;&gt;"Yes",$AE75&lt;&gt;"N/A"),"Firmware Install, ","")&amp;IF(AND($CB75&lt;&gt;"Yes",$CB75&lt;&gt;"N/A"),"Device ID, ","")&amp;IF(AND($CC75&lt;&gt;"Yes",$CC75&lt;&gt;"N/A"),"Epic Beans Relay, ",""),LEN(IF(AND($BR75&lt;&gt;"Yes",$BR75&lt;&gt;"N/A"),"Power Cable, ","")&amp;IF(AND($BS75&lt;&gt;"Yes",$BS75&lt;&gt;"N/A"),"Battery, ","")&amp;IF(AND($AD75&lt;&gt;"Yes",$AD75&lt;&gt;"N/A"),"Firmware Download, ","")&amp;IF(AND(OR($AD75="Yes",$AD75="N/A"),$AE75&lt;&gt;"Yes",$AE75&lt;&gt;"N/A"),"Firmware Install, ","")&amp;IF(AND($CB75&lt;&gt;"Yes",$CB75&lt;&gt;"N/A"),"Device ID, ","")&amp;IF(AND($CC75&lt;&gt;"Yes",$CC75&lt;&gt;"N/A"),"Epic Beans Relay, ",""))-2)))</f>
        <v/>
      </c>
      <c r="CE75">
        <f>IF($Y75="","",IF($CD75="","Yes","Blocked"))</f>
        <v/>
      </c>
      <c r="CF75" t="inlineStr">
        <is>
          <t>Yes</t>
        </is>
      </c>
      <c r="CG75" t="inlineStr">
        <is>
          <t>Yes</t>
        </is>
      </c>
      <c r="CH75" t="inlineStr">
        <is>
          <t>Yes</t>
        </is>
      </c>
      <c r="CI75" t="inlineStr">
        <is>
          <t>Yes</t>
        </is>
      </c>
      <c r="CJ75" t="inlineStr">
        <is>
          <t>Yes</t>
        </is>
      </c>
      <c r="CK75" t="inlineStr">
        <is>
          <t>Yes</t>
        </is>
      </c>
      <c r="CL75" t="inlineStr">
        <is>
          <t>Yes</t>
        </is>
      </c>
      <c r="CM75" t="inlineStr">
        <is>
          <t>Yes</t>
        </is>
      </c>
      <c r="CN75" t="inlineStr">
        <is>
          <t>Yes</t>
        </is>
      </c>
      <c r="CO75" t="inlineStr">
        <is>
          <t>Yes</t>
        </is>
      </c>
      <c r="CP75" t="inlineStr">
        <is>
          <t>Yes</t>
        </is>
      </c>
      <c r="CQ75" t="inlineStr">
        <is>
          <t>Yes</t>
        </is>
      </c>
      <c r="CR75" t="inlineStr">
        <is>
          <t>Yes</t>
        </is>
      </c>
      <c r="CS75" t="inlineStr">
        <is>
          <t>Yes</t>
        </is>
      </c>
      <c r="CW75">
        <f>IF($S75="","",IF(UPPER(TRIM($S75))&lt;&gt;"PASS","",IF(LEN(TRIM($BY75))&gt;0,"NOTES_PRESENT",IF(LEN(TRIM($T75))=0,"SET_NA",IF(OR(LOWER(TRIM($T75))="na",LOWER(TRIM($T75))="n/a"),"OK","MANUAL_OVERRIDE")))))</f>
        <v/>
      </c>
    </row>
    <row r="76">
      <c r="A76" t="inlineStr">
        <is>
          <t>Cybernet</t>
        </is>
      </c>
      <c r="B76" s="51" t="inlineStr">
        <is>
          <t>No</t>
        </is>
      </c>
      <c r="C76" t="inlineStr">
        <is>
          <t>No</t>
        </is>
      </c>
      <c r="D76">
        <f>IF($B76&lt;&gt;"Yes","",IF($C76="No","Yes",IF($C76="Yes","No","")))</f>
        <v/>
      </c>
      <c r="E76">
        <f>IF($A76="","",IF(OR(AND($V76&lt;&gt;"",LOWER(TRIM($V76))&lt;&gt;"n/a",LOWER(TRIM($V76))&lt;&gt;"na",SUMPRODUCT(--(UPPER(TRIM($V$2:$V$518))=UPPER(TRIM($V76))),--(TRIM($V$2:$V$518)&lt;&gt;""),--(LOWER(TRIM($V$2:$V$518))&lt;&gt;"n/a"),--(LOWER(TRIM($V$2:$V$518))&lt;&gt;"na"))&gt;1),AND($W76&lt;&gt;"",LOWER(TRIM($W76))&lt;&gt;"n/a",LOWER(TRIM($W76))&lt;&gt;"na",SUMPRODUCT(--(UPPER(TRIM($W$2:$W$518))=UPPER(TRIM($W76))),--(TRIM($W$2:$W$518)&lt;&gt;""),--(LOWER(TRIM($W$2:$W$518))&lt;&gt;"n/a"),--(LOWER(TRIM($W$2:$W$518))&lt;&gt;"na"))&gt;1),AND($X76&lt;&gt;"",LOWER(TRIM($X76))&lt;&gt;"n/a",LOWER(TRIM($X76))&lt;&gt;"na",SUMPRODUCT(--(UPPER(TRIM($X$2:$X$518))=UPPER(TRIM($X76))),--(TRIM($X$2:$X$518)&lt;&gt;""),--(LOWER(TRIM($X$2:$X$518))&lt;&gt;"n/a"),--(LOWER(TRIM($X$2:$X$518))&lt;&gt;"na"))&gt;1),AND($Y76&lt;&gt;"",LOWER(TRIM($Y76))&lt;&gt;"n/a",LOWER(TRIM($Y76))&lt;&gt;"na",SUMPRODUCT(--(UPPER(SUBSTITUTE(SUBSTITUTE(TRIM($Y$2:$Y$518),":",""),"-",""))=UPPER(SUBSTITUTE(SUBSTITUTE(TRIM($Y76),":",""),"-",""))),--(TRIM($Y$2:$Y$518)&lt;&gt;""),--(LOWER(TRIM($Y$2:$Y$518))&lt;&gt;"n/a"),--(LOWER(TRIM($Y$2:$Y$518))&lt;&gt;"na"))&gt;1),AND($AB76&lt;&gt;"",LOWER(TRIM($AB76))&lt;&gt;"n/a",LOWER(TRIM($AB76))&lt;&gt;"na",SUMPRODUCT(--(UPPER(TRIM($AB$2:$AB$518))=UPPER(TRIM($AB76))),--(TRIM($AB$2:$AB$518)&lt;&gt;""),--(LOWER(TRIM($AB$2:$AB$518))&lt;&gt;"n/a"),--(LOWER(TRIM($AB$2:$AB$518))&lt;&gt;"na"))&gt;1),AND($AH76&lt;&gt;"",LOWER(TRIM($AH76))&lt;&gt;"n/a",LOWER(TRIM($AH76))&lt;&gt;"na",SUMPRODUCT(--(UPPER(SUBSTITUTE(SUBSTITUTE(TRIM($AH$2:$AH$518),":",""),"-",""))=UPPER(SUBSTITUTE(SUBSTITUTE(TRIM($AH76),":",""),"-",""))),--(TRIM($AH$2:$AH$518)&lt;&gt;""),--(LOWER(TRIM($AH$2:$AH$518))&lt;&gt;"n/a"),--(LOWER(TRIM($AH$2:$AH$518))&lt;&gt;"na"))&gt;1),AND($AP76&lt;&gt;"",LOWER(TRIM($AP76))&lt;&gt;"n/a",LOWER(TRIM($AP76))&lt;&gt;"na",SUMPRODUCT(--(UPPER(TRIM($AP$2:$AP$518))=UPPER(TRIM($AP76))),--(TRIM($AP$2:$AP$518)&lt;&gt;""),--(LOWER(TRIM($AP$2:$AP$518))&lt;&gt;"n/a"),--(LOWER(TRIM($AP$2:$AP$518))&lt;&gt;"na"))&gt;1),AND($AQ76&lt;&gt;"",LOWER(TRIM($AQ76))&lt;&gt;"n/a",LOWER(TRIM($AQ76))&lt;&gt;"na",SUMPRODUCT(--(UPPER(TRIM($AQ$2:$AQ$518))=UPPER(TRIM($AQ76))),--(TRIM($AQ$2:$AQ$518)&lt;&gt;""),--(LOWER(TRIM($AQ$2:$AQ$518))&lt;&gt;"n/a"),--(LOWER(TRIM($AQ$2:$AQ$518))&lt;&gt;"na"))&gt;1)),"Yes","No"))</f>
        <v/>
      </c>
      <c r="F76">
        <f>IF(UPPER(TRIM($B76))&lt;&gt;"YES","", IF(OR(AND($V76&lt;&gt;"", LOWER(TRIM($V76))&lt;&gt;"n/a", LOWER(TRIM($V76))&lt;&gt;"na", SUMPRODUCT(--(UPPER(TRIM($V$2:$V$518))=UPPER(TRIM($V76))), --(UPPER(TRIM($B$2:$B$518))="YES"), --(UPPER(TRIM($G$2:$G$518)&amp;TRIM($I$2:$I$518)&amp;TRIM($J$2:$J$518))&lt;&gt;UPPER(TRIM($G76)&amp;TRIM($I76)&amp;TRIM($J76))))&gt;0), AND($W76&lt;&gt;"", LOWER(TRIM($W76))&lt;&gt;"n/a", LOWER(TRIM($W76))&lt;&gt;"na", SUMPRODUCT(--(UPPER(TRIM($W$2:$W$518))=UPPER(TRIM($W76))), --(UPPER(TRIM($B$2:$B$518))="YES"), --(UPPER(TRIM($G$2:$G$518)&amp;TRIM($I$2:$I$518)&amp;TRIM($J$2:$J$518))&lt;&gt;UPPER(TRIM($G76)&amp;TRIM($I76)&amp;TRIM($J76))))&gt;0), AND($X76&lt;&gt;"", LOWER(TRIM($X76))&lt;&gt;"n/a", LOWER(TRIM($X76))&lt;&gt;"na", SUMPRODUCT(--(UPPER(TRIM($X$2:$X$518))=UPPER(TRIM($X76))), --(UPPER(TRIM($B$2:$B$518))="YES"), --(UPPER(TRIM($G$2:$G$518)&amp;TRIM($I$2:$I$518)&amp;TRIM($J$2:$J$518))&lt;&gt;UPPER(TRIM($G76)&amp;TRIM($I76)&amp;TRIM($J76))))&gt;0), AND($Y76&lt;&gt;"", LOWER(TRIM($Y76))&lt;&gt;"n/a", LOWER(TRIM($Y76))&lt;&gt;"na", SUMPRODUCT(--(UPPER(SUBSTITUTE(SUBSTITUTE(TRIM($Y$2:$Y$518),":",""),"-",""))=UPPER(SUBSTITUTE(SUBSTITUTE(TRIM($Y76),":",""),"-",""))), --(UPPER(TRIM($B$2:$B$518))="YES"), --(UPPER(TRIM($G$2:$G$518)&amp;TRIM($I$2:$I$518)&amp;TRIM($J$2:$J$518))&lt;&gt;UPPER(TRIM($G76)&amp;TRIM($I76)&amp;TRIM($J76))))&gt;0), AND($AB76&lt;&gt;"", LOWER(TRIM($AB76))&lt;&gt;"n/a", LOWER(TRIM($AB76))&lt;&gt;"na", SUMPRODUCT(--(UPPER(TRIM($AB$2:$AB$518))=UPPER(TRIM($AB76))), --(UPPER(TRIM($B$2:$B$518))="YES"), --(UPPER(TRIM($G$2:$G$518)&amp;TRIM($I$2:$I$518)&amp;TRIM($J$2:$J$518))&lt;&gt;UPPER(TRIM($G76)&amp;TRIM($I76)&amp;TRIM($J76))))&gt;0), AND($AH76&lt;&gt;"", LOWER(TRIM($AH76))&lt;&gt;"n/a", LOWER(TRIM($AH76))&lt;&gt;"na", SUMPRODUCT(--(UPPER(SUBSTITUTE(SUBSTITUTE(TRIM($AH$2:$AH$518),":",""),"-",""))=UPPER(SUBSTITUTE(SUBSTITUTE(TRIM($AH76),":",""),"-",""))), --(UPPER(TRIM($B$2:$B$518))="YES"), --(UPPER(TRIM($G$2:$G$518)&amp;TRIM($I$2:$I$518)&amp;TRIM($J$2:$J$518))&lt;&gt;UPPER(TRIM($G76)&amp;TRIM($I76)&amp;TRIM($J76))))&gt;0), AND($AP76&lt;&gt;"", LOWER(TRIM($AP76))&lt;&gt;"n/a", LOWER(TRIM($AP76))&lt;&gt;"na", SUMPRODUCT(--(UPPER(TRIM($AP$2:$AP$518))=UPPER(TRIM($AP76))), --(UPPER(TRIM($B$2:$B$518))="YES"), --(UPPER(TRIM($G$2:$G$518)&amp;TRIM($I$2:$I$518)&amp;TRIM($J$2:$J$518))&lt;&gt;UPPER(TRIM($G76)&amp;TRIM($I76)&amp;TRIM($J76))))&gt;0), AND($AQ76&lt;&gt;"", LOWER(TRIM($AQ76))&lt;&gt;"n/a", LOWER(TRIM($AQ76))&lt;&gt;"na", SUMPRODUCT(--(UPPER(TRIM($AQ$2:$AQ$518))=UPPER(TRIM($AQ76))), --(UPPER(TRIM($B$2:$B$518))="YES"), --(UPPER(TRIM($G$2:$G$518)&amp;TRIM($I$2:$I$518)&amp;TRIM($J$2:$J$518))&lt;&gt;UPPER(TRIM($G76)&amp;TRIM($I76)&amp;TRIM($J76))))&gt;0)), "Yes", "No"))</f>
        <v/>
      </c>
      <c r="G76" t="inlineStr">
        <is>
          <t>NSUH - PSP</t>
        </is>
      </c>
      <c r="H76" t="inlineStr">
        <is>
          <t>NSUH - PSP</t>
        </is>
      </c>
      <c r="I76" t="inlineStr">
        <is>
          <t>Main ORs - PSP - 2nd Floor</t>
        </is>
      </c>
      <c r="U76" t="inlineStr">
        <is>
          <t>Dr. Palilla, Timothy W. Seeberger</t>
        </is>
      </c>
      <c r="V76" t="inlineStr">
        <is>
          <t>WMH300OPR405</t>
        </is>
      </c>
      <c r="CD76">
        <f>IF($Y76="","",IF((IF(AND($BR76&lt;&gt;"Yes",$BR76&lt;&gt;"N/A"),"Power Cable, ","")&amp;IF(AND($BS76&lt;&gt;"Yes",$BS76&lt;&gt;"N/A"),"Battery, ","")&amp;IF(AND($AD76&lt;&gt;"Yes",$AD76&lt;&gt;"N/A"),"Firmware Download, ","")&amp;IF(AND(OR($AD76="Yes",$AD76="N/A"),$AE76&lt;&gt;"Yes",$AE76&lt;&gt;"N/A"),"Firmware Install, ","")&amp;IF(AND($CB76&lt;&gt;"Yes",$CB76&lt;&gt;"N/A"),"Device ID, ","")&amp;IF(AND($CC76&lt;&gt;"Yes",$CC76&lt;&gt;"N/A"),"Epic Beans Relay, ",""))="","",LEFT(IF(AND($BR76&lt;&gt;"Yes",$BR76&lt;&gt;"N/A"),"Power Cable, ","")&amp;IF(AND($BS76&lt;&gt;"Yes",$BS76&lt;&gt;"N/A"),"Battery, ","")&amp;IF(AND($AD76&lt;&gt;"Yes",$AD76&lt;&gt;"N/A"),"Firmware Download, ","")&amp;IF(AND(OR($AD76="Yes",$AD76="N/A"),$AE76&lt;&gt;"Yes",$AE76&lt;&gt;"N/A"),"Firmware Install, ","")&amp;IF(AND($CB76&lt;&gt;"Yes",$CB76&lt;&gt;"N/A"),"Device ID, ","")&amp;IF(AND($CC76&lt;&gt;"Yes",$CC76&lt;&gt;"N/A"),"Epic Beans Relay, ",""),LEN(IF(AND($BR76&lt;&gt;"Yes",$BR76&lt;&gt;"N/A"),"Power Cable, ","")&amp;IF(AND($BS76&lt;&gt;"Yes",$BS76&lt;&gt;"N/A"),"Battery, ","")&amp;IF(AND($AD76&lt;&gt;"Yes",$AD76&lt;&gt;"N/A"),"Firmware Download, ","")&amp;IF(AND(OR($AD76="Yes",$AD76="N/A"),$AE76&lt;&gt;"Yes",$AE76&lt;&gt;"N/A"),"Firmware Install, ","")&amp;IF(AND($CB76&lt;&gt;"Yes",$CB76&lt;&gt;"N/A"),"Device ID, ","")&amp;IF(AND($CC76&lt;&gt;"Yes",$CC76&lt;&gt;"N/A"),"Epic Beans Relay, ",""))-2)))</f>
        <v/>
      </c>
      <c r="CE76">
        <f>IF($Y76="","",IF($CD76="","Yes","Blocked"))</f>
        <v/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W76">
        <f>IF($S76="","",IF(UPPER(TRIM($S76))&lt;&gt;"PASS","",IF(LEN(TRIM($BY76))&gt;0,"NOTES_PRESENT",IF(LEN(TRIM($T76))=0,"SET_NA",IF(OR(LOWER(TRIM($T76))="na",LOWER(TRIM($T76))="n/a"),"OK","MANUAL_OVERRIDE")))))</f>
        <v/>
      </c>
    </row>
    <row r="77">
      <c r="A77" t="inlineStr">
        <is>
          <t>Cybernet</t>
        </is>
      </c>
      <c r="B77" s="51" t="inlineStr">
        <is>
          <t>No</t>
        </is>
      </c>
      <c r="C77" t="inlineStr">
        <is>
          <t>No</t>
        </is>
      </c>
      <c r="D77">
        <f>IF($B77&lt;&gt;"Yes","",IF($C77="No","Yes",IF($C77="Yes","No","")))</f>
        <v/>
      </c>
      <c r="E77">
        <f>IF($A77="","",IF(OR(AND($V77&lt;&gt;"",LOWER(TRIM($V77))&lt;&gt;"n/a",LOWER(TRIM($V77))&lt;&gt;"na",SUMPRODUCT(--(UPPER(TRIM($V$2:$V$518))=UPPER(TRIM($V77))),--(TRIM($V$2:$V$518)&lt;&gt;""),--(LOWER(TRIM($V$2:$V$518))&lt;&gt;"n/a"),--(LOWER(TRIM($V$2:$V$518))&lt;&gt;"na"))&gt;1),AND($W77&lt;&gt;"",LOWER(TRIM($W77))&lt;&gt;"n/a",LOWER(TRIM($W77))&lt;&gt;"na",SUMPRODUCT(--(UPPER(TRIM($W$2:$W$518))=UPPER(TRIM($W77))),--(TRIM($W$2:$W$518)&lt;&gt;""),--(LOWER(TRIM($W$2:$W$518))&lt;&gt;"n/a"),--(LOWER(TRIM($W$2:$W$518))&lt;&gt;"na"))&gt;1),AND($X77&lt;&gt;"",LOWER(TRIM($X77))&lt;&gt;"n/a",LOWER(TRIM($X77))&lt;&gt;"na",SUMPRODUCT(--(UPPER(TRIM($X$2:$X$518))=UPPER(TRIM($X77))),--(TRIM($X$2:$X$518)&lt;&gt;""),--(LOWER(TRIM($X$2:$X$518))&lt;&gt;"n/a"),--(LOWER(TRIM($X$2:$X$518))&lt;&gt;"na"))&gt;1),AND($Y77&lt;&gt;"",LOWER(TRIM($Y77))&lt;&gt;"n/a",LOWER(TRIM($Y77))&lt;&gt;"na",SUMPRODUCT(--(UPPER(SUBSTITUTE(SUBSTITUTE(TRIM($Y$2:$Y$518),":",""),"-",""))=UPPER(SUBSTITUTE(SUBSTITUTE(TRIM($Y77),":",""),"-",""))),--(TRIM($Y$2:$Y$518)&lt;&gt;""),--(LOWER(TRIM($Y$2:$Y$518))&lt;&gt;"n/a"),--(LOWER(TRIM($Y$2:$Y$518))&lt;&gt;"na"))&gt;1),AND($AB77&lt;&gt;"",LOWER(TRIM($AB77))&lt;&gt;"n/a",LOWER(TRIM($AB77))&lt;&gt;"na",SUMPRODUCT(--(UPPER(TRIM($AB$2:$AB$518))=UPPER(TRIM($AB77))),--(TRIM($AB$2:$AB$518)&lt;&gt;""),--(LOWER(TRIM($AB$2:$AB$518))&lt;&gt;"n/a"),--(LOWER(TRIM($AB$2:$AB$518))&lt;&gt;"na"))&gt;1),AND($AH77&lt;&gt;"",LOWER(TRIM($AH77))&lt;&gt;"n/a",LOWER(TRIM($AH77))&lt;&gt;"na",SUMPRODUCT(--(UPPER(SUBSTITUTE(SUBSTITUTE(TRIM($AH$2:$AH$518),":",""),"-",""))=UPPER(SUBSTITUTE(SUBSTITUTE(TRIM($AH77),":",""),"-",""))),--(TRIM($AH$2:$AH$518)&lt;&gt;""),--(LOWER(TRIM($AH$2:$AH$518))&lt;&gt;"n/a"),--(LOWER(TRIM($AH$2:$AH$518))&lt;&gt;"na"))&gt;1),AND($AP77&lt;&gt;"",LOWER(TRIM($AP77))&lt;&gt;"n/a",LOWER(TRIM($AP77))&lt;&gt;"na",SUMPRODUCT(--(UPPER(TRIM($AP$2:$AP$518))=UPPER(TRIM($AP77))),--(TRIM($AP$2:$AP$518)&lt;&gt;""),--(LOWER(TRIM($AP$2:$AP$518))&lt;&gt;"n/a"),--(LOWER(TRIM($AP$2:$AP$518))&lt;&gt;"na"))&gt;1),AND($AQ77&lt;&gt;"",LOWER(TRIM($AQ77))&lt;&gt;"n/a",LOWER(TRIM($AQ77))&lt;&gt;"na",SUMPRODUCT(--(UPPER(TRIM($AQ$2:$AQ$518))=UPPER(TRIM($AQ77))),--(TRIM($AQ$2:$AQ$518)&lt;&gt;""),--(LOWER(TRIM($AQ$2:$AQ$518))&lt;&gt;"n/a"),--(LOWER(TRIM($AQ$2:$AQ$518))&lt;&gt;"na"))&gt;1)),"Yes","No"))</f>
        <v/>
      </c>
      <c r="F77">
        <f>IF(UPPER(TRIM($B77))&lt;&gt;"YES","", IF(OR(AND($V77&lt;&gt;"", LOWER(TRIM($V77))&lt;&gt;"n/a", LOWER(TRIM($V77))&lt;&gt;"na", SUMPRODUCT(--(UPPER(TRIM($V$2:$V$518))=UPPER(TRIM($V77))), --(UPPER(TRIM($B$2:$B$518))="YES"), --(UPPER(TRIM($G$2:$G$518)&amp;TRIM($I$2:$I$518)&amp;TRIM($J$2:$J$518))&lt;&gt;UPPER(TRIM($G77)&amp;TRIM($I77)&amp;TRIM($J77))))&gt;0), AND($W77&lt;&gt;"", LOWER(TRIM($W77))&lt;&gt;"n/a", LOWER(TRIM($W77))&lt;&gt;"na", SUMPRODUCT(--(UPPER(TRIM($W$2:$W$518))=UPPER(TRIM($W77))), --(UPPER(TRIM($B$2:$B$518))="YES"), --(UPPER(TRIM($G$2:$G$518)&amp;TRIM($I$2:$I$518)&amp;TRIM($J$2:$J$518))&lt;&gt;UPPER(TRIM($G77)&amp;TRIM($I77)&amp;TRIM($J77))))&gt;0), AND($X77&lt;&gt;"", LOWER(TRIM($X77))&lt;&gt;"n/a", LOWER(TRIM($X77))&lt;&gt;"na", SUMPRODUCT(--(UPPER(TRIM($X$2:$X$518))=UPPER(TRIM($X77))), --(UPPER(TRIM($B$2:$B$518))="YES"), --(UPPER(TRIM($G$2:$G$518)&amp;TRIM($I$2:$I$518)&amp;TRIM($J$2:$J$518))&lt;&gt;UPPER(TRIM($G77)&amp;TRIM($I77)&amp;TRIM($J77))))&gt;0), AND($Y77&lt;&gt;"", LOWER(TRIM($Y77))&lt;&gt;"n/a", LOWER(TRIM($Y77))&lt;&gt;"na", SUMPRODUCT(--(UPPER(SUBSTITUTE(SUBSTITUTE(TRIM($Y$2:$Y$518),":",""),"-",""))=UPPER(SUBSTITUTE(SUBSTITUTE(TRIM($Y77),":",""),"-",""))), --(UPPER(TRIM($B$2:$B$518))="YES"), --(UPPER(TRIM($G$2:$G$518)&amp;TRIM($I$2:$I$518)&amp;TRIM($J$2:$J$518))&lt;&gt;UPPER(TRIM($G77)&amp;TRIM($I77)&amp;TRIM($J77))))&gt;0), AND($AB77&lt;&gt;"", LOWER(TRIM($AB77))&lt;&gt;"n/a", LOWER(TRIM($AB77))&lt;&gt;"na", SUMPRODUCT(--(UPPER(TRIM($AB$2:$AB$518))=UPPER(TRIM($AB77))), --(UPPER(TRIM($B$2:$B$518))="YES"), --(UPPER(TRIM($G$2:$G$518)&amp;TRIM($I$2:$I$518)&amp;TRIM($J$2:$J$518))&lt;&gt;UPPER(TRIM($G77)&amp;TRIM($I77)&amp;TRIM($J77))))&gt;0), AND($AH77&lt;&gt;"", LOWER(TRIM($AH77))&lt;&gt;"n/a", LOWER(TRIM($AH77))&lt;&gt;"na", SUMPRODUCT(--(UPPER(SUBSTITUTE(SUBSTITUTE(TRIM($AH$2:$AH$518),":",""),"-",""))=UPPER(SUBSTITUTE(SUBSTITUTE(TRIM($AH77),":",""),"-",""))), --(UPPER(TRIM($B$2:$B$518))="YES"), --(UPPER(TRIM($G$2:$G$518)&amp;TRIM($I$2:$I$518)&amp;TRIM($J$2:$J$518))&lt;&gt;UPPER(TRIM($G77)&amp;TRIM($I77)&amp;TRIM($J77))))&gt;0), AND($AP77&lt;&gt;"", LOWER(TRIM($AP77))&lt;&gt;"n/a", LOWER(TRIM($AP77))&lt;&gt;"na", SUMPRODUCT(--(UPPER(TRIM($AP$2:$AP$518))=UPPER(TRIM($AP77))), --(UPPER(TRIM($B$2:$B$518))="YES"), --(UPPER(TRIM($G$2:$G$518)&amp;TRIM($I$2:$I$518)&amp;TRIM($J$2:$J$518))&lt;&gt;UPPER(TRIM($G77)&amp;TRIM($I77)&amp;TRIM($J77))))&gt;0), AND($AQ77&lt;&gt;"", LOWER(TRIM($AQ77))&lt;&gt;"n/a", LOWER(TRIM($AQ77))&lt;&gt;"na", SUMPRODUCT(--(UPPER(TRIM($AQ$2:$AQ$518))=UPPER(TRIM($AQ77))), --(UPPER(TRIM($B$2:$B$518))="YES"), --(UPPER(TRIM($G$2:$G$518)&amp;TRIM($I$2:$I$518)&amp;TRIM($J$2:$J$518))&lt;&gt;UPPER(TRIM($G77)&amp;TRIM($I77)&amp;TRIM($J77))))&gt;0)), "Yes", "No"))</f>
        <v/>
      </c>
      <c r="G77" t="inlineStr">
        <is>
          <t>NSUH - PSP</t>
        </is>
      </c>
      <c r="H77" t="inlineStr">
        <is>
          <t>NSUH - PSP</t>
        </is>
      </c>
      <c r="I77" t="inlineStr">
        <is>
          <t>Main ORs - PSP - 2nd Floor</t>
        </is>
      </c>
      <c r="U77" t="inlineStr">
        <is>
          <t>Dr. Palilla, Timothy W. Seeberger</t>
        </is>
      </c>
      <c r="V77" t="inlineStr">
        <is>
          <t>WMH300OPR406</t>
        </is>
      </c>
      <c r="W77" t="inlineStr">
        <is>
          <t>MEDNG2425E-0261</t>
        </is>
      </c>
      <c r="CD77">
        <f>IF($Y77="","",IF((IF(AND($BR77&lt;&gt;"Yes",$BR77&lt;&gt;"N/A"),"Power Cable, ","")&amp;IF(AND($BS77&lt;&gt;"Yes",$BS77&lt;&gt;"N/A"),"Battery, ","")&amp;IF(AND($AD77&lt;&gt;"Yes",$AD77&lt;&gt;"N/A"),"Firmware Download, ","")&amp;IF(AND(OR($AD77="Yes",$AD77="N/A"),$AE77&lt;&gt;"Yes",$AE77&lt;&gt;"N/A"),"Firmware Install, ","")&amp;IF(AND($CB77&lt;&gt;"Yes",$CB77&lt;&gt;"N/A"),"Device ID, ","")&amp;IF(AND($CC77&lt;&gt;"Yes",$CC77&lt;&gt;"N/A"),"Epic Beans Relay, ",""))="","",LEFT(IF(AND($BR77&lt;&gt;"Yes",$BR77&lt;&gt;"N/A"),"Power Cable, ","")&amp;IF(AND($BS77&lt;&gt;"Yes",$BS77&lt;&gt;"N/A"),"Battery, ","")&amp;IF(AND($AD77&lt;&gt;"Yes",$AD77&lt;&gt;"N/A"),"Firmware Download, ","")&amp;IF(AND(OR($AD77="Yes",$AD77="N/A"),$AE77&lt;&gt;"Yes",$AE77&lt;&gt;"N/A"),"Firmware Install, ","")&amp;IF(AND($CB77&lt;&gt;"Yes",$CB77&lt;&gt;"N/A"),"Device ID, ","")&amp;IF(AND($CC77&lt;&gt;"Yes",$CC77&lt;&gt;"N/A"),"Epic Beans Relay, ",""),LEN(IF(AND($BR77&lt;&gt;"Yes",$BR77&lt;&gt;"N/A"),"Power Cable, ","")&amp;IF(AND($BS77&lt;&gt;"Yes",$BS77&lt;&gt;"N/A"),"Battery, ","")&amp;IF(AND($AD77&lt;&gt;"Yes",$AD77&lt;&gt;"N/A"),"Firmware Download, ","")&amp;IF(AND(OR($AD77="Yes",$AD77="N/A"),$AE77&lt;&gt;"Yes",$AE77&lt;&gt;"N/A"),"Firmware Install, ","")&amp;IF(AND($CB77&lt;&gt;"Yes",$CB77&lt;&gt;"N/A"),"Device ID, ","")&amp;IF(AND($CC77&lt;&gt;"Yes",$CC77&lt;&gt;"N/A"),"Epic Beans Relay, ",""))-2)))</f>
        <v/>
      </c>
      <c r="CE77">
        <f>IF($Y77="","",IF($CD77="","Yes","Blocked"))</f>
        <v/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W77">
        <f>IF($S77="","",IF(UPPER(TRIM($S77))&lt;&gt;"PASS","",IF(LEN(TRIM($BY77))&gt;0,"NOTES_PRESENT",IF(LEN(TRIM($T77))=0,"SET_NA",IF(OR(LOWER(TRIM($T77))="na",LOWER(TRIM($T77))="n/a"),"OK","MANUAL_OVERRIDE")))))</f>
        <v/>
      </c>
    </row>
    <row r="78">
      <c r="A78" t="inlineStr">
        <is>
          <t>Cybernet</t>
        </is>
      </c>
      <c r="B78" s="51" t="inlineStr">
        <is>
          <t>No</t>
        </is>
      </c>
      <c r="C78" t="inlineStr">
        <is>
          <t>No</t>
        </is>
      </c>
      <c r="D78">
        <f>IF($B78&lt;&gt;"Yes","",IF($C78="No","Yes",IF($C78="Yes","No","")))</f>
        <v/>
      </c>
      <c r="E78">
        <f>IF($A78="","",IF(OR(AND($V78&lt;&gt;"",LOWER(TRIM($V78))&lt;&gt;"n/a",LOWER(TRIM($V78))&lt;&gt;"na",SUMPRODUCT(--(UPPER(TRIM($V$2:$V$518))=UPPER(TRIM($V78))),--(TRIM($V$2:$V$518)&lt;&gt;""),--(LOWER(TRIM($V$2:$V$518))&lt;&gt;"n/a"),--(LOWER(TRIM($V$2:$V$518))&lt;&gt;"na"))&gt;1),AND($W78&lt;&gt;"",LOWER(TRIM($W78))&lt;&gt;"n/a",LOWER(TRIM($W78))&lt;&gt;"na",SUMPRODUCT(--(UPPER(TRIM($W$2:$W$518))=UPPER(TRIM($W78))),--(TRIM($W$2:$W$518)&lt;&gt;""),--(LOWER(TRIM($W$2:$W$518))&lt;&gt;"n/a"),--(LOWER(TRIM($W$2:$W$518))&lt;&gt;"na"))&gt;1),AND($X78&lt;&gt;"",LOWER(TRIM($X78))&lt;&gt;"n/a",LOWER(TRIM($X78))&lt;&gt;"na",SUMPRODUCT(--(UPPER(TRIM($X$2:$X$518))=UPPER(TRIM($X78))),--(TRIM($X$2:$X$518)&lt;&gt;""),--(LOWER(TRIM($X$2:$X$518))&lt;&gt;"n/a"),--(LOWER(TRIM($X$2:$X$518))&lt;&gt;"na"))&gt;1),AND($Y78&lt;&gt;"",LOWER(TRIM($Y78))&lt;&gt;"n/a",LOWER(TRIM($Y78))&lt;&gt;"na",SUMPRODUCT(--(UPPER(SUBSTITUTE(SUBSTITUTE(TRIM($Y$2:$Y$518),":",""),"-",""))=UPPER(SUBSTITUTE(SUBSTITUTE(TRIM($Y78),":",""),"-",""))),--(TRIM($Y$2:$Y$518)&lt;&gt;""),--(LOWER(TRIM($Y$2:$Y$518))&lt;&gt;"n/a"),--(LOWER(TRIM($Y$2:$Y$518))&lt;&gt;"na"))&gt;1),AND($AB78&lt;&gt;"",LOWER(TRIM($AB78))&lt;&gt;"n/a",LOWER(TRIM($AB78))&lt;&gt;"na",SUMPRODUCT(--(UPPER(TRIM($AB$2:$AB$518))=UPPER(TRIM($AB78))),--(TRIM($AB$2:$AB$518)&lt;&gt;""),--(LOWER(TRIM($AB$2:$AB$518))&lt;&gt;"n/a"),--(LOWER(TRIM($AB$2:$AB$518))&lt;&gt;"na"))&gt;1),AND($AH78&lt;&gt;"",LOWER(TRIM($AH78))&lt;&gt;"n/a",LOWER(TRIM($AH78))&lt;&gt;"na",SUMPRODUCT(--(UPPER(SUBSTITUTE(SUBSTITUTE(TRIM($AH$2:$AH$518),":",""),"-",""))=UPPER(SUBSTITUTE(SUBSTITUTE(TRIM($AH78),":",""),"-",""))),--(TRIM($AH$2:$AH$518)&lt;&gt;""),--(LOWER(TRIM($AH$2:$AH$518))&lt;&gt;"n/a"),--(LOWER(TRIM($AH$2:$AH$518))&lt;&gt;"na"))&gt;1),AND($AP78&lt;&gt;"",LOWER(TRIM($AP78))&lt;&gt;"n/a",LOWER(TRIM($AP78))&lt;&gt;"na",SUMPRODUCT(--(UPPER(TRIM($AP$2:$AP$518))=UPPER(TRIM($AP78))),--(TRIM($AP$2:$AP$518)&lt;&gt;""),--(LOWER(TRIM($AP$2:$AP$518))&lt;&gt;"n/a"),--(LOWER(TRIM($AP$2:$AP$518))&lt;&gt;"na"))&gt;1),AND($AQ78&lt;&gt;"",LOWER(TRIM($AQ78))&lt;&gt;"n/a",LOWER(TRIM($AQ78))&lt;&gt;"na",SUMPRODUCT(--(UPPER(TRIM($AQ$2:$AQ$518))=UPPER(TRIM($AQ78))),--(TRIM($AQ$2:$AQ$518)&lt;&gt;""),--(LOWER(TRIM($AQ$2:$AQ$518))&lt;&gt;"n/a"),--(LOWER(TRIM($AQ$2:$AQ$518))&lt;&gt;"na"))&gt;1)),"Yes","No"))</f>
        <v/>
      </c>
      <c r="F78">
        <f>IF(UPPER(TRIM($B78))&lt;&gt;"YES","", IF(OR(AND($V78&lt;&gt;"", LOWER(TRIM($V78))&lt;&gt;"n/a", LOWER(TRIM($V78))&lt;&gt;"na", SUMPRODUCT(--(UPPER(TRIM($V$2:$V$518))=UPPER(TRIM($V78))), --(UPPER(TRIM($B$2:$B$518))="YES"), --(UPPER(TRIM($G$2:$G$518)&amp;TRIM($I$2:$I$518)&amp;TRIM($J$2:$J$518))&lt;&gt;UPPER(TRIM($G78)&amp;TRIM($I78)&amp;TRIM($J78))))&gt;0), AND($W78&lt;&gt;"", LOWER(TRIM($W78))&lt;&gt;"n/a", LOWER(TRIM($W78))&lt;&gt;"na", SUMPRODUCT(--(UPPER(TRIM($W$2:$W$518))=UPPER(TRIM($W78))), --(UPPER(TRIM($B$2:$B$518))="YES"), --(UPPER(TRIM($G$2:$G$518)&amp;TRIM($I$2:$I$518)&amp;TRIM($J$2:$J$518))&lt;&gt;UPPER(TRIM($G78)&amp;TRIM($I78)&amp;TRIM($J78))))&gt;0), AND($X78&lt;&gt;"", LOWER(TRIM($X78))&lt;&gt;"n/a", LOWER(TRIM($X78))&lt;&gt;"na", SUMPRODUCT(--(UPPER(TRIM($X$2:$X$518))=UPPER(TRIM($X78))), --(UPPER(TRIM($B$2:$B$518))="YES"), --(UPPER(TRIM($G$2:$G$518)&amp;TRIM($I$2:$I$518)&amp;TRIM($J$2:$J$518))&lt;&gt;UPPER(TRIM($G78)&amp;TRIM($I78)&amp;TRIM($J78))))&gt;0), AND($Y78&lt;&gt;"", LOWER(TRIM($Y78))&lt;&gt;"n/a", LOWER(TRIM($Y78))&lt;&gt;"na", SUMPRODUCT(--(UPPER(SUBSTITUTE(SUBSTITUTE(TRIM($Y$2:$Y$518),":",""),"-",""))=UPPER(SUBSTITUTE(SUBSTITUTE(TRIM($Y78),":",""),"-",""))), --(UPPER(TRIM($B$2:$B$518))="YES"), --(UPPER(TRIM($G$2:$G$518)&amp;TRIM($I$2:$I$518)&amp;TRIM($J$2:$J$518))&lt;&gt;UPPER(TRIM($G78)&amp;TRIM($I78)&amp;TRIM($J78))))&gt;0), AND($AB78&lt;&gt;"", LOWER(TRIM($AB78))&lt;&gt;"n/a", LOWER(TRIM($AB78))&lt;&gt;"na", SUMPRODUCT(--(UPPER(TRIM($AB$2:$AB$518))=UPPER(TRIM($AB78))), --(UPPER(TRIM($B$2:$B$518))="YES"), --(UPPER(TRIM($G$2:$G$518)&amp;TRIM($I$2:$I$518)&amp;TRIM($J$2:$J$518))&lt;&gt;UPPER(TRIM($G78)&amp;TRIM($I78)&amp;TRIM($J78))))&gt;0), AND($AH78&lt;&gt;"", LOWER(TRIM($AH78))&lt;&gt;"n/a", LOWER(TRIM($AH78))&lt;&gt;"na", SUMPRODUCT(--(UPPER(SUBSTITUTE(SUBSTITUTE(TRIM($AH$2:$AH$518),":",""),"-",""))=UPPER(SUBSTITUTE(SUBSTITUTE(TRIM($AH78),":",""),"-",""))), --(UPPER(TRIM($B$2:$B$518))="YES"), --(UPPER(TRIM($G$2:$G$518)&amp;TRIM($I$2:$I$518)&amp;TRIM($J$2:$J$518))&lt;&gt;UPPER(TRIM($G78)&amp;TRIM($I78)&amp;TRIM($J78))))&gt;0), AND($AP78&lt;&gt;"", LOWER(TRIM($AP78))&lt;&gt;"n/a", LOWER(TRIM($AP78))&lt;&gt;"na", SUMPRODUCT(--(UPPER(TRIM($AP$2:$AP$518))=UPPER(TRIM($AP78))), --(UPPER(TRIM($B$2:$B$518))="YES"), --(UPPER(TRIM($G$2:$G$518)&amp;TRIM($I$2:$I$518)&amp;TRIM($J$2:$J$518))&lt;&gt;UPPER(TRIM($G78)&amp;TRIM($I78)&amp;TRIM($J78))))&gt;0), AND($AQ78&lt;&gt;"", LOWER(TRIM($AQ78))&lt;&gt;"n/a", LOWER(TRIM($AQ78))&lt;&gt;"na", SUMPRODUCT(--(UPPER(TRIM($AQ$2:$AQ$518))=UPPER(TRIM($AQ78))), --(UPPER(TRIM($B$2:$B$518))="YES"), --(UPPER(TRIM($G$2:$G$518)&amp;TRIM($I$2:$I$518)&amp;TRIM($J$2:$J$518))&lt;&gt;UPPER(TRIM($G78)&amp;TRIM($I78)&amp;TRIM($J78))))&gt;0)), "Yes", "No"))</f>
        <v/>
      </c>
      <c r="G78" t="inlineStr">
        <is>
          <t>NSUH - PSP</t>
        </is>
      </c>
      <c r="H78" t="inlineStr">
        <is>
          <t>NSUH - PSP</t>
        </is>
      </c>
      <c r="I78" t="inlineStr">
        <is>
          <t>Main ORs - PSP - 2nd Floor</t>
        </is>
      </c>
      <c r="U78" t="inlineStr">
        <is>
          <t>Dr. Palilla, Timothy W. Seeberger</t>
        </is>
      </c>
      <c r="V78" t="inlineStr">
        <is>
          <t>WMH300OPR407</t>
        </is>
      </c>
      <c r="W78" t="inlineStr">
        <is>
          <t>MEDNG2425E-0448</t>
        </is>
      </c>
      <c r="CD78">
        <f>IF($Y78="","",IF((IF(AND($BR78&lt;&gt;"Yes",$BR78&lt;&gt;"N/A"),"Power Cable, ","")&amp;IF(AND($BS78&lt;&gt;"Yes",$BS78&lt;&gt;"N/A"),"Battery, ","")&amp;IF(AND($AD78&lt;&gt;"Yes",$AD78&lt;&gt;"N/A"),"Firmware Download, ","")&amp;IF(AND(OR($AD78="Yes",$AD78="N/A"),$AE78&lt;&gt;"Yes",$AE78&lt;&gt;"N/A"),"Firmware Install, ","")&amp;IF(AND($CB78&lt;&gt;"Yes",$CB78&lt;&gt;"N/A"),"Device ID, ","")&amp;IF(AND($CC78&lt;&gt;"Yes",$CC78&lt;&gt;"N/A"),"Epic Beans Relay, ",""))="","",LEFT(IF(AND($BR78&lt;&gt;"Yes",$BR78&lt;&gt;"N/A"),"Power Cable, ","")&amp;IF(AND($BS78&lt;&gt;"Yes",$BS78&lt;&gt;"N/A"),"Battery, ","")&amp;IF(AND($AD78&lt;&gt;"Yes",$AD78&lt;&gt;"N/A"),"Firmware Download, ","")&amp;IF(AND(OR($AD78="Yes",$AD78="N/A"),$AE78&lt;&gt;"Yes",$AE78&lt;&gt;"N/A"),"Firmware Install, ","")&amp;IF(AND($CB78&lt;&gt;"Yes",$CB78&lt;&gt;"N/A"),"Device ID, ","")&amp;IF(AND($CC78&lt;&gt;"Yes",$CC78&lt;&gt;"N/A"),"Epic Beans Relay, ",""),LEN(IF(AND($BR78&lt;&gt;"Yes",$BR78&lt;&gt;"N/A"),"Power Cable, ","")&amp;IF(AND($BS78&lt;&gt;"Yes",$BS78&lt;&gt;"N/A"),"Battery, ","")&amp;IF(AND($AD78&lt;&gt;"Yes",$AD78&lt;&gt;"N/A"),"Firmware Download, ","")&amp;IF(AND(OR($AD78="Yes",$AD78="N/A"),$AE78&lt;&gt;"Yes",$AE78&lt;&gt;"N/A"),"Firmware Install, ","")&amp;IF(AND($CB78&lt;&gt;"Yes",$CB78&lt;&gt;"N/A"),"Device ID, ","")&amp;IF(AND($CC78&lt;&gt;"Yes",$CC78&lt;&gt;"N/A"),"Epic Beans Relay, ",""))-2)))</f>
        <v/>
      </c>
      <c r="CE78">
        <f>IF($Y78="","",IF($CD78="","Yes","Blocked"))</f>
        <v/>
      </c>
      <c r="CF78" t="inlineStr">
        <is>
          <t>Yes</t>
        </is>
      </c>
      <c r="CG78" t="inlineStr">
        <is>
          <t>Yes</t>
        </is>
      </c>
      <c r="CH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  <c r="CM78" t="inlineStr">
        <is>
          <t>Yes</t>
        </is>
      </c>
      <c r="CN78" t="inlineStr">
        <is>
          <t>Yes</t>
        </is>
      </c>
      <c r="CO78" t="inlineStr">
        <is>
          <t>Yes</t>
        </is>
      </c>
      <c r="CP78" t="inlineStr">
        <is>
          <t>Yes</t>
        </is>
      </c>
      <c r="CQ78" t="inlineStr">
        <is>
          <t>Yes</t>
        </is>
      </c>
      <c r="CR78" t="inlineStr">
        <is>
          <t>Yes</t>
        </is>
      </c>
      <c r="CS78" t="inlineStr">
        <is>
          <t>Yes</t>
        </is>
      </c>
      <c r="CW78">
        <f>IF($S78="","",IF(UPPER(TRIM($S78))&lt;&gt;"PASS","",IF(LEN(TRIM($BY78))&gt;0,"NOTES_PRESENT",IF(LEN(TRIM($T78))=0,"SET_NA",IF(OR(LOWER(TRIM($T78))="na",LOWER(TRIM($T78))="n/a"),"OK","MANUAL_OVERRIDE")))))</f>
        <v/>
      </c>
    </row>
    <row r="79">
      <c r="A79" t="inlineStr">
        <is>
          <t>Cybernet</t>
        </is>
      </c>
      <c r="B79" s="51" t="inlineStr">
        <is>
          <t>No</t>
        </is>
      </c>
      <c r="C79" t="inlineStr">
        <is>
          <t>No</t>
        </is>
      </c>
      <c r="D79">
        <f>IF($B79&lt;&gt;"Yes","",IF($C79="No","Yes",IF($C79="Yes","No","")))</f>
        <v/>
      </c>
      <c r="E79">
        <f>IF($A79="","",IF(OR(AND($V79&lt;&gt;"",LOWER(TRIM($V79))&lt;&gt;"n/a",LOWER(TRIM($V79))&lt;&gt;"na",SUMPRODUCT(--(UPPER(TRIM($V$2:$V$518))=UPPER(TRIM($V79))),--(TRIM($V$2:$V$518)&lt;&gt;""),--(LOWER(TRIM($V$2:$V$518))&lt;&gt;"n/a"),--(LOWER(TRIM($V$2:$V$518))&lt;&gt;"na"))&gt;1),AND($W79&lt;&gt;"",LOWER(TRIM($W79))&lt;&gt;"n/a",LOWER(TRIM($W79))&lt;&gt;"na",SUMPRODUCT(--(UPPER(TRIM($W$2:$W$518))=UPPER(TRIM($W79))),--(TRIM($W$2:$W$518)&lt;&gt;""),--(LOWER(TRIM($W$2:$W$518))&lt;&gt;"n/a"),--(LOWER(TRIM($W$2:$W$518))&lt;&gt;"na"))&gt;1),AND($X79&lt;&gt;"",LOWER(TRIM($X79))&lt;&gt;"n/a",LOWER(TRIM($X79))&lt;&gt;"na",SUMPRODUCT(--(UPPER(TRIM($X$2:$X$518))=UPPER(TRIM($X79))),--(TRIM($X$2:$X$518)&lt;&gt;""),--(LOWER(TRIM($X$2:$X$518))&lt;&gt;"n/a"),--(LOWER(TRIM($X$2:$X$518))&lt;&gt;"na"))&gt;1),AND($Y79&lt;&gt;"",LOWER(TRIM($Y79))&lt;&gt;"n/a",LOWER(TRIM($Y79))&lt;&gt;"na",SUMPRODUCT(--(UPPER(SUBSTITUTE(SUBSTITUTE(TRIM($Y$2:$Y$518),":",""),"-",""))=UPPER(SUBSTITUTE(SUBSTITUTE(TRIM($Y79),":",""),"-",""))),--(TRIM($Y$2:$Y$518)&lt;&gt;""),--(LOWER(TRIM($Y$2:$Y$518))&lt;&gt;"n/a"),--(LOWER(TRIM($Y$2:$Y$518))&lt;&gt;"na"))&gt;1),AND($AB79&lt;&gt;"",LOWER(TRIM($AB79))&lt;&gt;"n/a",LOWER(TRIM($AB79))&lt;&gt;"na",SUMPRODUCT(--(UPPER(TRIM($AB$2:$AB$518))=UPPER(TRIM($AB79))),--(TRIM($AB$2:$AB$518)&lt;&gt;""),--(LOWER(TRIM($AB$2:$AB$518))&lt;&gt;"n/a"),--(LOWER(TRIM($AB$2:$AB$518))&lt;&gt;"na"))&gt;1),AND($AH79&lt;&gt;"",LOWER(TRIM($AH79))&lt;&gt;"n/a",LOWER(TRIM($AH79))&lt;&gt;"na",SUMPRODUCT(--(UPPER(SUBSTITUTE(SUBSTITUTE(TRIM($AH$2:$AH$518),":",""),"-",""))=UPPER(SUBSTITUTE(SUBSTITUTE(TRIM($AH79),":",""),"-",""))),--(TRIM($AH$2:$AH$518)&lt;&gt;""),--(LOWER(TRIM($AH$2:$AH$518))&lt;&gt;"n/a"),--(LOWER(TRIM($AH$2:$AH$518))&lt;&gt;"na"))&gt;1),AND($AP79&lt;&gt;"",LOWER(TRIM($AP79))&lt;&gt;"n/a",LOWER(TRIM($AP79))&lt;&gt;"na",SUMPRODUCT(--(UPPER(TRIM($AP$2:$AP$518))=UPPER(TRIM($AP79))),--(TRIM($AP$2:$AP$518)&lt;&gt;""),--(LOWER(TRIM($AP$2:$AP$518))&lt;&gt;"n/a"),--(LOWER(TRIM($AP$2:$AP$518))&lt;&gt;"na"))&gt;1),AND($AQ79&lt;&gt;"",LOWER(TRIM($AQ79))&lt;&gt;"n/a",LOWER(TRIM($AQ79))&lt;&gt;"na",SUMPRODUCT(--(UPPER(TRIM($AQ$2:$AQ$518))=UPPER(TRIM($AQ79))),--(TRIM($AQ$2:$AQ$518)&lt;&gt;""),--(LOWER(TRIM($AQ$2:$AQ$518))&lt;&gt;"n/a"),--(LOWER(TRIM($AQ$2:$AQ$518))&lt;&gt;"na"))&gt;1)),"Yes","No"))</f>
        <v/>
      </c>
      <c r="F79">
        <f>IF(UPPER(TRIM($B79))&lt;&gt;"YES","", IF(OR(AND($V79&lt;&gt;"", LOWER(TRIM($V79))&lt;&gt;"n/a", LOWER(TRIM($V79))&lt;&gt;"na", SUMPRODUCT(--(UPPER(TRIM($V$2:$V$518))=UPPER(TRIM($V79))), --(UPPER(TRIM($B$2:$B$518))="YES"), --(UPPER(TRIM($G$2:$G$518)&amp;TRIM($I$2:$I$518)&amp;TRIM($J$2:$J$518))&lt;&gt;UPPER(TRIM($G79)&amp;TRIM($I79)&amp;TRIM($J79))))&gt;0), AND($W79&lt;&gt;"", LOWER(TRIM($W79))&lt;&gt;"n/a", LOWER(TRIM($W79))&lt;&gt;"na", SUMPRODUCT(--(UPPER(TRIM($W$2:$W$518))=UPPER(TRIM($W79))), --(UPPER(TRIM($B$2:$B$518))="YES"), --(UPPER(TRIM($G$2:$G$518)&amp;TRIM($I$2:$I$518)&amp;TRIM($J$2:$J$518))&lt;&gt;UPPER(TRIM($G79)&amp;TRIM($I79)&amp;TRIM($J79))))&gt;0), AND($X79&lt;&gt;"", LOWER(TRIM($X79))&lt;&gt;"n/a", LOWER(TRIM($X79))&lt;&gt;"na", SUMPRODUCT(--(UPPER(TRIM($X$2:$X$518))=UPPER(TRIM($X79))), --(UPPER(TRIM($B$2:$B$518))="YES"), --(UPPER(TRIM($G$2:$G$518)&amp;TRIM($I$2:$I$518)&amp;TRIM($J$2:$J$518))&lt;&gt;UPPER(TRIM($G79)&amp;TRIM($I79)&amp;TRIM($J79))))&gt;0), AND($Y79&lt;&gt;"", LOWER(TRIM($Y79))&lt;&gt;"n/a", LOWER(TRIM($Y79))&lt;&gt;"na", SUMPRODUCT(--(UPPER(SUBSTITUTE(SUBSTITUTE(TRIM($Y$2:$Y$518),":",""),"-",""))=UPPER(SUBSTITUTE(SUBSTITUTE(TRIM($Y79),":",""),"-",""))), --(UPPER(TRIM($B$2:$B$518))="YES"), --(UPPER(TRIM($G$2:$G$518)&amp;TRIM($I$2:$I$518)&amp;TRIM($J$2:$J$518))&lt;&gt;UPPER(TRIM($G79)&amp;TRIM($I79)&amp;TRIM($J79))))&gt;0), AND($AB79&lt;&gt;"", LOWER(TRIM($AB79))&lt;&gt;"n/a", LOWER(TRIM($AB79))&lt;&gt;"na", SUMPRODUCT(--(UPPER(TRIM($AB$2:$AB$518))=UPPER(TRIM($AB79))), --(UPPER(TRIM($B$2:$B$518))="YES"), --(UPPER(TRIM($G$2:$G$518)&amp;TRIM($I$2:$I$518)&amp;TRIM($J$2:$J$518))&lt;&gt;UPPER(TRIM($G79)&amp;TRIM($I79)&amp;TRIM($J79))))&gt;0), AND($AH79&lt;&gt;"", LOWER(TRIM($AH79))&lt;&gt;"n/a", LOWER(TRIM($AH79))&lt;&gt;"na", SUMPRODUCT(--(UPPER(SUBSTITUTE(SUBSTITUTE(TRIM($AH$2:$AH$518),":",""),"-",""))=UPPER(SUBSTITUTE(SUBSTITUTE(TRIM($AH79),":",""),"-",""))), --(UPPER(TRIM($B$2:$B$518))="YES"), --(UPPER(TRIM($G$2:$G$518)&amp;TRIM($I$2:$I$518)&amp;TRIM($J$2:$J$518))&lt;&gt;UPPER(TRIM($G79)&amp;TRIM($I79)&amp;TRIM($J79))))&gt;0), AND($AP79&lt;&gt;"", LOWER(TRIM($AP79))&lt;&gt;"n/a", LOWER(TRIM($AP79))&lt;&gt;"na", SUMPRODUCT(--(UPPER(TRIM($AP$2:$AP$518))=UPPER(TRIM($AP79))), --(UPPER(TRIM($B$2:$B$518))="YES"), --(UPPER(TRIM($G$2:$G$518)&amp;TRIM($I$2:$I$518)&amp;TRIM($J$2:$J$518))&lt;&gt;UPPER(TRIM($G79)&amp;TRIM($I79)&amp;TRIM($J79))))&gt;0), AND($AQ79&lt;&gt;"", LOWER(TRIM($AQ79))&lt;&gt;"n/a", LOWER(TRIM($AQ79))&lt;&gt;"na", SUMPRODUCT(--(UPPER(TRIM($AQ$2:$AQ$518))=UPPER(TRIM($AQ79))), --(UPPER(TRIM($B$2:$B$518))="YES"), --(UPPER(TRIM($G$2:$G$518)&amp;TRIM($I$2:$I$518)&amp;TRIM($J$2:$J$518))&lt;&gt;UPPER(TRIM($G79)&amp;TRIM($I79)&amp;TRIM($J79))))&gt;0)), "Yes", "No"))</f>
        <v/>
      </c>
      <c r="G79" t="inlineStr">
        <is>
          <t>NSUH - PSP</t>
        </is>
      </c>
      <c r="H79" t="inlineStr">
        <is>
          <t>NSUH - PSP</t>
        </is>
      </c>
      <c r="I79" t="inlineStr">
        <is>
          <t>Main ORs - PSP - 2nd Floor</t>
        </is>
      </c>
      <c r="U79" t="inlineStr">
        <is>
          <t>Dr. Palilla, Timothy W. Seeberger</t>
        </is>
      </c>
      <c r="V79" t="inlineStr">
        <is>
          <t>WMH300OPR408</t>
        </is>
      </c>
      <c r="W79" t="inlineStr">
        <is>
          <t>MEDNG2425E-0280</t>
        </is>
      </c>
      <c r="CD79">
        <f>IF($Y79="","",IF((IF(AND($BR79&lt;&gt;"Yes",$BR79&lt;&gt;"N/A"),"Power Cable, ","")&amp;IF(AND($BS79&lt;&gt;"Yes",$BS79&lt;&gt;"N/A"),"Battery, ","")&amp;IF(AND($AD79&lt;&gt;"Yes",$AD79&lt;&gt;"N/A"),"Firmware Download, ","")&amp;IF(AND(OR($AD79="Yes",$AD79="N/A"),$AE79&lt;&gt;"Yes",$AE79&lt;&gt;"N/A"),"Firmware Install, ","")&amp;IF(AND($CB79&lt;&gt;"Yes",$CB79&lt;&gt;"N/A"),"Device ID, ","")&amp;IF(AND($CC79&lt;&gt;"Yes",$CC79&lt;&gt;"N/A"),"Epic Beans Relay, ",""))="","",LEFT(IF(AND($BR79&lt;&gt;"Yes",$BR79&lt;&gt;"N/A"),"Power Cable, ","")&amp;IF(AND($BS79&lt;&gt;"Yes",$BS79&lt;&gt;"N/A"),"Battery, ","")&amp;IF(AND($AD79&lt;&gt;"Yes",$AD79&lt;&gt;"N/A"),"Firmware Download, ","")&amp;IF(AND(OR($AD79="Yes",$AD79="N/A"),$AE79&lt;&gt;"Yes",$AE79&lt;&gt;"N/A"),"Firmware Install, ","")&amp;IF(AND($CB79&lt;&gt;"Yes",$CB79&lt;&gt;"N/A"),"Device ID, ","")&amp;IF(AND($CC79&lt;&gt;"Yes",$CC79&lt;&gt;"N/A"),"Epic Beans Relay, ",""),LEN(IF(AND($BR79&lt;&gt;"Yes",$BR79&lt;&gt;"N/A"),"Power Cable, ","")&amp;IF(AND($BS79&lt;&gt;"Yes",$BS79&lt;&gt;"N/A"),"Battery, ","")&amp;IF(AND($AD79&lt;&gt;"Yes",$AD79&lt;&gt;"N/A"),"Firmware Download, ","")&amp;IF(AND(OR($AD79="Yes",$AD79="N/A"),$AE79&lt;&gt;"Yes",$AE79&lt;&gt;"N/A"),"Firmware Install, ","")&amp;IF(AND($CB79&lt;&gt;"Yes",$CB79&lt;&gt;"N/A"),"Device ID, ","")&amp;IF(AND($CC79&lt;&gt;"Yes",$CC79&lt;&gt;"N/A"),"Epic Beans Relay, ",""))-2)))</f>
        <v/>
      </c>
      <c r="CE79">
        <f>IF($Y79="","",IF($CD79="","Yes","Blocked"))</f>
        <v/>
      </c>
      <c r="CF79" t="inlineStr">
        <is>
          <t>Yes</t>
        </is>
      </c>
      <c r="CG79" t="inlineStr">
        <is>
          <t>Yes</t>
        </is>
      </c>
      <c r="CH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  <c r="CM79" t="inlineStr">
        <is>
          <t>Yes</t>
        </is>
      </c>
      <c r="CN79" t="inlineStr">
        <is>
          <t>Yes</t>
        </is>
      </c>
      <c r="CO79" t="inlineStr">
        <is>
          <t>Yes</t>
        </is>
      </c>
      <c r="CP79" t="inlineStr">
        <is>
          <t>Yes</t>
        </is>
      </c>
      <c r="CQ79" t="inlineStr">
        <is>
          <t>Yes</t>
        </is>
      </c>
      <c r="CR79" t="inlineStr">
        <is>
          <t>Yes</t>
        </is>
      </c>
      <c r="CS79" t="inlineStr">
        <is>
          <t>Yes</t>
        </is>
      </c>
      <c r="CW79">
        <f>IF($S79="","",IF(UPPER(TRIM($S79))&lt;&gt;"PASS","",IF(LEN(TRIM($BY79))&gt;0,"NOTES_PRESENT",IF(LEN(TRIM($T79))=0,"SET_NA",IF(OR(LOWER(TRIM($T79))="na",LOWER(TRIM($T79))="n/a"),"OK","MANUAL_OVERRIDE")))))</f>
        <v/>
      </c>
    </row>
    <row r="80">
      <c r="A80" t="inlineStr">
        <is>
          <t>Cybernet</t>
        </is>
      </c>
      <c r="B80" s="51" t="inlineStr">
        <is>
          <t>No</t>
        </is>
      </c>
      <c r="C80" t="inlineStr">
        <is>
          <t>No</t>
        </is>
      </c>
      <c r="D80">
        <f>IF($B80&lt;&gt;"Yes","",IF($C80="No","Yes",IF($C80="Yes","No","")))</f>
        <v/>
      </c>
      <c r="E80">
        <f>IF($A80="","",IF(OR(AND($V80&lt;&gt;"",LOWER(TRIM($V80))&lt;&gt;"n/a",LOWER(TRIM($V80))&lt;&gt;"na",SUMPRODUCT(--(UPPER(TRIM($V$2:$V$518))=UPPER(TRIM($V80))),--(TRIM($V$2:$V$518)&lt;&gt;""),--(LOWER(TRIM($V$2:$V$518))&lt;&gt;"n/a"),--(LOWER(TRIM($V$2:$V$518))&lt;&gt;"na"))&gt;1),AND($W80&lt;&gt;"",LOWER(TRIM($W80))&lt;&gt;"n/a",LOWER(TRIM($W80))&lt;&gt;"na",SUMPRODUCT(--(UPPER(TRIM($W$2:$W$518))=UPPER(TRIM($W80))),--(TRIM($W$2:$W$518)&lt;&gt;""),--(LOWER(TRIM($W$2:$W$518))&lt;&gt;"n/a"),--(LOWER(TRIM($W$2:$W$518))&lt;&gt;"na"))&gt;1),AND($X80&lt;&gt;"",LOWER(TRIM($X80))&lt;&gt;"n/a",LOWER(TRIM($X80))&lt;&gt;"na",SUMPRODUCT(--(UPPER(TRIM($X$2:$X$518))=UPPER(TRIM($X80))),--(TRIM($X$2:$X$518)&lt;&gt;""),--(LOWER(TRIM($X$2:$X$518))&lt;&gt;"n/a"),--(LOWER(TRIM($X$2:$X$518))&lt;&gt;"na"))&gt;1),AND($Y80&lt;&gt;"",LOWER(TRIM($Y80))&lt;&gt;"n/a",LOWER(TRIM($Y80))&lt;&gt;"na",SUMPRODUCT(--(UPPER(SUBSTITUTE(SUBSTITUTE(TRIM($Y$2:$Y$518),":",""),"-",""))=UPPER(SUBSTITUTE(SUBSTITUTE(TRIM($Y80),":",""),"-",""))),--(TRIM($Y$2:$Y$518)&lt;&gt;""),--(LOWER(TRIM($Y$2:$Y$518))&lt;&gt;"n/a"),--(LOWER(TRIM($Y$2:$Y$518))&lt;&gt;"na"))&gt;1),AND($AB80&lt;&gt;"",LOWER(TRIM($AB80))&lt;&gt;"n/a",LOWER(TRIM($AB80))&lt;&gt;"na",SUMPRODUCT(--(UPPER(TRIM($AB$2:$AB$518))=UPPER(TRIM($AB80))),--(TRIM($AB$2:$AB$518)&lt;&gt;""),--(LOWER(TRIM($AB$2:$AB$518))&lt;&gt;"n/a"),--(LOWER(TRIM($AB$2:$AB$518))&lt;&gt;"na"))&gt;1),AND($AH80&lt;&gt;"",LOWER(TRIM($AH80))&lt;&gt;"n/a",LOWER(TRIM($AH80))&lt;&gt;"na",SUMPRODUCT(--(UPPER(SUBSTITUTE(SUBSTITUTE(TRIM($AH$2:$AH$518),":",""),"-",""))=UPPER(SUBSTITUTE(SUBSTITUTE(TRIM($AH80),":",""),"-",""))),--(TRIM($AH$2:$AH$518)&lt;&gt;""),--(LOWER(TRIM($AH$2:$AH$518))&lt;&gt;"n/a"),--(LOWER(TRIM($AH$2:$AH$518))&lt;&gt;"na"))&gt;1),AND($AP80&lt;&gt;"",LOWER(TRIM($AP80))&lt;&gt;"n/a",LOWER(TRIM($AP80))&lt;&gt;"na",SUMPRODUCT(--(UPPER(TRIM($AP$2:$AP$518))=UPPER(TRIM($AP80))),--(TRIM($AP$2:$AP$518)&lt;&gt;""),--(LOWER(TRIM($AP$2:$AP$518))&lt;&gt;"n/a"),--(LOWER(TRIM($AP$2:$AP$518))&lt;&gt;"na"))&gt;1),AND($AQ80&lt;&gt;"",LOWER(TRIM($AQ80))&lt;&gt;"n/a",LOWER(TRIM($AQ80))&lt;&gt;"na",SUMPRODUCT(--(UPPER(TRIM($AQ$2:$AQ$518))=UPPER(TRIM($AQ80))),--(TRIM($AQ$2:$AQ$518)&lt;&gt;""),--(LOWER(TRIM($AQ$2:$AQ$518))&lt;&gt;"n/a"),--(LOWER(TRIM($AQ$2:$AQ$518))&lt;&gt;"na"))&gt;1)),"Yes","No"))</f>
        <v/>
      </c>
      <c r="F80">
        <f>IF(UPPER(TRIM($B80))&lt;&gt;"YES","", IF(OR(AND($V80&lt;&gt;"", LOWER(TRIM($V80))&lt;&gt;"n/a", LOWER(TRIM($V80))&lt;&gt;"na", SUMPRODUCT(--(UPPER(TRIM($V$2:$V$518))=UPPER(TRIM($V80))), --(UPPER(TRIM($B$2:$B$518))="YES"), --(UPPER(TRIM($G$2:$G$518)&amp;TRIM($I$2:$I$518)&amp;TRIM($J$2:$J$518))&lt;&gt;UPPER(TRIM($G80)&amp;TRIM($I80)&amp;TRIM($J80))))&gt;0), AND($W80&lt;&gt;"", LOWER(TRIM($W80))&lt;&gt;"n/a", LOWER(TRIM($W80))&lt;&gt;"na", SUMPRODUCT(--(UPPER(TRIM($W$2:$W$518))=UPPER(TRIM($W80))), --(UPPER(TRIM($B$2:$B$518))="YES"), --(UPPER(TRIM($G$2:$G$518)&amp;TRIM($I$2:$I$518)&amp;TRIM($J$2:$J$518))&lt;&gt;UPPER(TRIM($G80)&amp;TRIM($I80)&amp;TRIM($J80))))&gt;0), AND($X80&lt;&gt;"", LOWER(TRIM($X80))&lt;&gt;"n/a", LOWER(TRIM($X80))&lt;&gt;"na", SUMPRODUCT(--(UPPER(TRIM($X$2:$X$518))=UPPER(TRIM($X80))), --(UPPER(TRIM($B$2:$B$518))="YES"), --(UPPER(TRIM($G$2:$G$518)&amp;TRIM($I$2:$I$518)&amp;TRIM($J$2:$J$518))&lt;&gt;UPPER(TRIM($G80)&amp;TRIM($I80)&amp;TRIM($J80))))&gt;0), AND($Y80&lt;&gt;"", LOWER(TRIM($Y80))&lt;&gt;"n/a", LOWER(TRIM($Y80))&lt;&gt;"na", SUMPRODUCT(--(UPPER(SUBSTITUTE(SUBSTITUTE(TRIM($Y$2:$Y$518),":",""),"-",""))=UPPER(SUBSTITUTE(SUBSTITUTE(TRIM($Y80),":",""),"-",""))), --(UPPER(TRIM($B$2:$B$518))="YES"), --(UPPER(TRIM($G$2:$G$518)&amp;TRIM($I$2:$I$518)&amp;TRIM($J$2:$J$518))&lt;&gt;UPPER(TRIM($G80)&amp;TRIM($I80)&amp;TRIM($J80))))&gt;0), AND($AB80&lt;&gt;"", LOWER(TRIM($AB80))&lt;&gt;"n/a", LOWER(TRIM($AB80))&lt;&gt;"na", SUMPRODUCT(--(UPPER(TRIM($AB$2:$AB$518))=UPPER(TRIM($AB80))), --(UPPER(TRIM($B$2:$B$518))="YES"), --(UPPER(TRIM($G$2:$G$518)&amp;TRIM($I$2:$I$518)&amp;TRIM($J$2:$J$518))&lt;&gt;UPPER(TRIM($G80)&amp;TRIM($I80)&amp;TRIM($J80))))&gt;0), AND($AH80&lt;&gt;"", LOWER(TRIM($AH80))&lt;&gt;"n/a", LOWER(TRIM($AH80))&lt;&gt;"na", SUMPRODUCT(--(UPPER(SUBSTITUTE(SUBSTITUTE(TRIM($AH$2:$AH$518),":",""),"-",""))=UPPER(SUBSTITUTE(SUBSTITUTE(TRIM($AH80),":",""),"-",""))), --(UPPER(TRIM($B$2:$B$518))="YES"), --(UPPER(TRIM($G$2:$G$518)&amp;TRIM($I$2:$I$518)&amp;TRIM($J$2:$J$518))&lt;&gt;UPPER(TRIM($G80)&amp;TRIM($I80)&amp;TRIM($J80))))&gt;0), AND($AP80&lt;&gt;"", LOWER(TRIM($AP80))&lt;&gt;"n/a", LOWER(TRIM($AP80))&lt;&gt;"na", SUMPRODUCT(--(UPPER(TRIM($AP$2:$AP$518))=UPPER(TRIM($AP80))), --(UPPER(TRIM($B$2:$B$518))="YES"), --(UPPER(TRIM($G$2:$G$518)&amp;TRIM($I$2:$I$518)&amp;TRIM($J$2:$J$518))&lt;&gt;UPPER(TRIM($G80)&amp;TRIM($I80)&amp;TRIM($J80))))&gt;0), AND($AQ80&lt;&gt;"", LOWER(TRIM($AQ80))&lt;&gt;"n/a", LOWER(TRIM($AQ80))&lt;&gt;"na", SUMPRODUCT(--(UPPER(TRIM($AQ$2:$AQ$518))=UPPER(TRIM($AQ80))), --(UPPER(TRIM($B$2:$B$518))="YES"), --(UPPER(TRIM($G$2:$G$518)&amp;TRIM($I$2:$I$518)&amp;TRIM($J$2:$J$518))&lt;&gt;UPPER(TRIM($G80)&amp;TRIM($I80)&amp;TRIM($J80))))&gt;0)), "Yes", "No"))</f>
        <v/>
      </c>
      <c r="G80" t="inlineStr">
        <is>
          <t>NSUH - PSP</t>
        </is>
      </c>
      <c r="H80" t="inlineStr">
        <is>
          <t>NSUH - PSP</t>
        </is>
      </c>
      <c r="I80" t="inlineStr">
        <is>
          <t>Main ORs - PSP - 2nd Floor</t>
        </is>
      </c>
      <c r="U80" t="inlineStr">
        <is>
          <t>Dr. Palilla, Timothy W. Seeberger</t>
        </is>
      </c>
      <c r="V80" t="inlineStr">
        <is>
          <t>WMH300OPR409</t>
        </is>
      </c>
      <c r="W80" t="inlineStr">
        <is>
          <t>MEDNG2425E-0515</t>
        </is>
      </c>
      <c r="CD80">
        <f>IF($Y80="","",IF((IF(AND($BR80&lt;&gt;"Yes",$BR80&lt;&gt;"N/A"),"Power Cable, ","")&amp;IF(AND($BS80&lt;&gt;"Yes",$BS80&lt;&gt;"N/A"),"Battery, ","")&amp;IF(AND($AD80&lt;&gt;"Yes",$AD80&lt;&gt;"N/A"),"Firmware Download, ","")&amp;IF(AND(OR($AD80="Yes",$AD80="N/A"),$AE80&lt;&gt;"Yes",$AE80&lt;&gt;"N/A"),"Firmware Install, ","")&amp;IF(AND($CB80&lt;&gt;"Yes",$CB80&lt;&gt;"N/A"),"Device ID, ","")&amp;IF(AND($CC80&lt;&gt;"Yes",$CC80&lt;&gt;"N/A"),"Epic Beans Relay, ",""))="","",LEFT(IF(AND($BR80&lt;&gt;"Yes",$BR80&lt;&gt;"N/A"),"Power Cable, ","")&amp;IF(AND($BS80&lt;&gt;"Yes",$BS80&lt;&gt;"N/A"),"Battery, ","")&amp;IF(AND($AD80&lt;&gt;"Yes",$AD80&lt;&gt;"N/A"),"Firmware Download, ","")&amp;IF(AND(OR($AD80="Yes",$AD80="N/A"),$AE80&lt;&gt;"Yes",$AE80&lt;&gt;"N/A"),"Firmware Install, ","")&amp;IF(AND($CB80&lt;&gt;"Yes",$CB80&lt;&gt;"N/A"),"Device ID, ","")&amp;IF(AND($CC80&lt;&gt;"Yes",$CC80&lt;&gt;"N/A"),"Epic Beans Relay, ",""),LEN(IF(AND($BR80&lt;&gt;"Yes",$BR80&lt;&gt;"N/A"),"Power Cable, ","")&amp;IF(AND($BS80&lt;&gt;"Yes",$BS80&lt;&gt;"N/A"),"Battery, ","")&amp;IF(AND($AD80&lt;&gt;"Yes",$AD80&lt;&gt;"N/A"),"Firmware Download, ","")&amp;IF(AND(OR($AD80="Yes",$AD80="N/A"),$AE80&lt;&gt;"Yes",$AE80&lt;&gt;"N/A"),"Firmware Install, ","")&amp;IF(AND($CB80&lt;&gt;"Yes",$CB80&lt;&gt;"N/A"),"Device ID, ","")&amp;IF(AND($CC80&lt;&gt;"Yes",$CC80&lt;&gt;"N/A"),"Epic Beans Relay, ",""))-2)))</f>
        <v/>
      </c>
      <c r="CE80">
        <f>IF($Y80="","",IF($CD80="","Yes","Blocked"))</f>
        <v/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W80">
        <f>IF($S80="","",IF(UPPER(TRIM($S80))&lt;&gt;"PASS","",IF(LEN(TRIM($BY80))&gt;0,"NOTES_PRESENT",IF(LEN(TRIM($T80))=0,"SET_NA",IF(OR(LOWER(TRIM($T80))="na",LOWER(TRIM($T80))="n/a"),"OK","MANUAL_OVERRIDE")))))</f>
        <v/>
      </c>
    </row>
    <row r="81">
      <c r="A81" t="inlineStr">
        <is>
          <t>Cybernet</t>
        </is>
      </c>
      <c r="B81" s="51" t="inlineStr">
        <is>
          <t>No</t>
        </is>
      </c>
      <c r="C81" t="inlineStr">
        <is>
          <t>No</t>
        </is>
      </c>
      <c r="D81">
        <f>IF($B81&lt;&gt;"Yes","",IF($C81="No","Yes",IF($C81="Yes","No","")))</f>
        <v/>
      </c>
      <c r="E81">
        <f>IF($A81="","",IF(OR(AND($V81&lt;&gt;"",LOWER(TRIM($V81))&lt;&gt;"n/a",LOWER(TRIM($V81))&lt;&gt;"na",SUMPRODUCT(--(UPPER(TRIM($V$2:$V$518))=UPPER(TRIM($V81))),--(TRIM($V$2:$V$518)&lt;&gt;""),--(LOWER(TRIM($V$2:$V$518))&lt;&gt;"n/a"),--(LOWER(TRIM($V$2:$V$518))&lt;&gt;"na"))&gt;1),AND($W81&lt;&gt;"",LOWER(TRIM($W81))&lt;&gt;"n/a",LOWER(TRIM($W81))&lt;&gt;"na",SUMPRODUCT(--(UPPER(TRIM($W$2:$W$518))=UPPER(TRIM($W81))),--(TRIM($W$2:$W$518)&lt;&gt;""),--(LOWER(TRIM($W$2:$W$518))&lt;&gt;"n/a"),--(LOWER(TRIM($W$2:$W$518))&lt;&gt;"na"))&gt;1),AND($X81&lt;&gt;"",LOWER(TRIM($X81))&lt;&gt;"n/a",LOWER(TRIM($X81))&lt;&gt;"na",SUMPRODUCT(--(UPPER(TRIM($X$2:$X$518))=UPPER(TRIM($X81))),--(TRIM($X$2:$X$518)&lt;&gt;""),--(LOWER(TRIM($X$2:$X$518))&lt;&gt;"n/a"),--(LOWER(TRIM($X$2:$X$518))&lt;&gt;"na"))&gt;1),AND($Y81&lt;&gt;"",LOWER(TRIM($Y81))&lt;&gt;"n/a",LOWER(TRIM($Y81))&lt;&gt;"na",SUMPRODUCT(--(UPPER(SUBSTITUTE(SUBSTITUTE(TRIM($Y$2:$Y$518),":",""),"-",""))=UPPER(SUBSTITUTE(SUBSTITUTE(TRIM($Y81),":",""),"-",""))),--(TRIM($Y$2:$Y$518)&lt;&gt;""),--(LOWER(TRIM($Y$2:$Y$518))&lt;&gt;"n/a"),--(LOWER(TRIM($Y$2:$Y$518))&lt;&gt;"na"))&gt;1),AND($AB81&lt;&gt;"",LOWER(TRIM($AB81))&lt;&gt;"n/a",LOWER(TRIM($AB81))&lt;&gt;"na",SUMPRODUCT(--(UPPER(TRIM($AB$2:$AB$518))=UPPER(TRIM($AB81))),--(TRIM($AB$2:$AB$518)&lt;&gt;""),--(LOWER(TRIM($AB$2:$AB$518))&lt;&gt;"n/a"),--(LOWER(TRIM($AB$2:$AB$518))&lt;&gt;"na"))&gt;1),AND($AH81&lt;&gt;"",LOWER(TRIM($AH81))&lt;&gt;"n/a",LOWER(TRIM($AH81))&lt;&gt;"na",SUMPRODUCT(--(UPPER(SUBSTITUTE(SUBSTITUTE(TRIM($AH$2:$AH$518),":",""),"-",""))=UPPER(SUBSTITUTE(SUBSTITUTE(TRIM($AH81),":",""),"-",""))),--(TRIM($AH$2:$AH$518)&lt;&gt;""),--(LOWER(TRIM($AH$2:$AH$518))&lt;&gt;"n/a"),--(LOWER(TRIM($AH$2:$AH$518))&lt;&gt;"na"))&gt;1),AND($AP81&lt;&gt;"",LOWER(TRIM($AP81))&lt;&gt;"n/a",LOWER(TRIM($AP81))&lt;&gt;"na",SUMPRODUCT(--(UPPER(TRIM($AP$2:$AP$518))=UPPER(TRIM($AP81))),--(TRIM($AP$2:$AP$518)&lt;&gt;""),--(LOWER(TRIM($AP$2:$AP$518))&lt;&gt;"n/a"),--(LOWER(TRIM($AP$2:$AP$518))&lt;&gt;"na"))&gt;1),AND($AQ81&lt;&gt;"",LOWER(TRIM($AQ81))&lt;&gt;"n/a",LOWER(TRIM($AQ81))&lt;&gt;"na",SUMPRODUCT(--(UPPER(TRIM($AQ$2:$AQ$518))=UPPER(TRIM($AQ81))),--(TRIM($AQ$2:$AQ$518)&lt;&gt;""),--(LOWER(TRIM($AQ$2:$AQ$518))&lt;&gt;"n/a"),--(LOWER(TRIM($AQ$2:$AQ$518))&lt;&gt;"na"))&gt;1)),"Yes","No"))</f>
        <v/>
      </c>
      <c r="F81">
        <f>IF(UPPER(TRIM($B81))&lt;&gt;"YES","", IF(OR(AND($V81&lt;&gt;"", LOWER(TRIM($V81))&lt;&gt;"n/a", LOWER(TRIM($V81))&lt;&gt;"na", SUMPRODUCT(--(UPPER(TRIM($V$2:$V$518))=UPPER(TRIM($V81))), --(UPPER(TRIM($B$2:$B$518))="YES"), --(UPPER(TRIM($G$2:$G$518)&amp;TRIM($I$2:$I$518)&amp;TRIM($J$2:$J$518))&lt;&gt;UPPER(TRIM($G81)&amp;TRIM($I81)&amp;TRIM($J81))))&gt;0), AND($W81&lt;&gt;"", LOWER(TRIM($W81))&lt;&gt;"n/a", LOWER(TRIM($W81))&lt;&gt;"na", SUMPRODUCT(--(UPPER(TRIM($W$2:$W$518))=UPPER(TRIM($W81))), --(UPPER(TRIM($B$2:$B$518))="YES"), --(UPPER(TRIM($G$2:$G$518)&amp;TRIM($I$2:$I$518)&amp;TRIM($J$2:$J$518))&lt;&gt;UPPER(TRIM($G81)&amp;TRIM($I81)&amp;TRIM($J81))))&gt;0), AND($X81&lt;&gt;"", LOWER(TRIM($X81))&lt;&gt;"n/a", LOWER(TRIM($X81))&lt;&gt;"na", SUMPRODUCT(--(UPPER(TRIM($X$2:$X$518))=UPPER(TRIM($X81))), --(UPPER(TRIM($B$2:$B$518))="YES"), --(UPPER(TRIM($G$2:$G$518)&amp;TRIM($I$2:$I$518)&amp;TRIM($J$2:$J$518))&lt;&gt;UPPER(TRIM($G81)&amp;TRIM($I81)&amp;TRIM($J81))))&gt;0), AND($Y81&lt;&gt;"", LOWER(TRIM($Y81))&lt;&gt;"n/a", LOWER(TRIM($Y81))&lt;&gt;"na", SUMPRODUCT(--(UPPER(SUBSTITUTE(SUBSTITUTE(TRIM($Y$2:$Y$518),":",""),"-",""))=UPPER(SUBSTITUTE(SUBSTITUTE(TRIM($Y81),":",""),"-",""))), --(UPPER(TRIM($B$2:$B$518))="YES"), --(UPPER(TRIM($G$2:$G$518)&amp;TRIM($I$2:$I$518)&amp;TRIM($J$2:$J$518))&lt;&gt;UPPER(TRIM($G81)&amp;TRIM($I81)&amp;TRIM($J81))))&gt;0), AND($AB81&lt;&gt;"", LOWER(TRIM($AB81))&lt;&gt;"n/a", LOWER(TRIM($AB81))&lt;&gt;"na", SUMPRODUCT(--(UPPER(TRIM($AB$2:$AB$518))=UPPER(TRIM($AB81))), --(UPPER(TRIM($B$2:$B$518))="YES"), --(UPPER(TRIM($G$2:$G$518)&amp;TRIM($I$2:$I$518)&amp;TRIM($J$2:$J$518))&lt;&gt;UPPER(TRIM($G81)&amp;TRIM($I81)&amp;TRIM($J81))))&gt;0), AND($AH81&lt;&gt;"", LOWER(TRIM($AH81))&lt;&gt;"n/a", LOWER(TRIM($AH81))&lt;&gt;"na", SUMPRODUCT(--(UPPER(SUBSTITUTE(SUBSTITUTE(TRIM($AH$2:$AH$518),":",""),"-",""))=UPPER(SUBSTITUTE(SUBSTITUTE(TRIM($AH81),":",""),"-",""))), --(UPPER(TRIM($B$2:$B$518))="YES"), --(UPPER(TRIM($G$2:$G$518)&amp;TRIM($I$2:$I$518)&amp;TRIM($J$2:$J$518))&lt;&gt;UPPER(TRIM($G81)&amp;TRIM($I81)&amp;TRIM($J81))))&gt;0), AND($AP81&lt;&gt;"", LOWER(TRIM($AP81))&lt;&gt;"n/a", LOWER(TRIM($AP81))&lt;&gt;"na", SUMPRODUCT(--(UPPER(TRIM($AP$2:$AP$518))=UPPER(TRIM($AP81))), --(UPPER(TRIM($B$2:$B$518))="YES"), --(UPPER(TRIM($G$2:$G$518)&amp;TRIM($I$2:$I$518)&amp;TRIM($J$2:$J$518))&lt;&gt;UPPER(TRIM($G81)&amp;TRIM($I81)&amp;TRIM($J81))))&gt;0), AND($AQ81&lt;&gt;"", LOWER(TRIM($AQ81))&lt;&gt;"n/a", LOWER(TRIM($AQ81))&lt;&gt;"na", SUMPRODUCT(--(UPPER(TRIM($AQ$2:$AQ$518))=UPPER(TRIM($AQ81))), --(UPPER(TRIM($B$2:$B$518))="YES"), --(UPPER(TRIM($G$2:$G$518)&amp;TRIM($I$2:$I$518)&amp;TRIM($J$2:$J$518))&lt;&gt;UPPER(TRIM($G81)&amp;TRIM($I81)&amp;TRIM($J81))))&gt;0)), "Yes", "No"))</f>
        <v/>
      </c>
      <c r="G81" t="inlineStr">
        <is>
          <t>NSUH - PSP</t>
        </is>
      </c>
      <c r="H81" t="inlineStr">
        <is>
          <t>NSUH - PSP</t>
        </is>
      </c>
      <c r="I81" t="inlineStr">
        <is>
          <t>Main ORs - PSP - 2nd Floor</t>
        </is>
      </c>
      <c r="U81" t="inlineStr">
        <is>
          <t>Dr. Palilla, Timothy W. Seeberger</t>
        </is>
      </c>
      <c r="V81" t="inlineStr">
        <is>
          <t>WMH300OPR410</t>
        </is>
      </c>
      <c r="W81" t="inlineStr">
        <is>
          <t>MEDNG2425E-3240</t>
        </is>
      </c>
      <c r="AH81" t="inlineStr">
        <is>
          <t>000D050AB451</t>
        </is>
      </c>
      <c r="CD81">
        <f>IF($Y81="","",IF((IF(AND($BR81&lt;&gt;"Yes",$BR81&lt;&gt;"N/A"),"Power Cable, ","")&amp;IF(AND($BS81&lt;&gt;"Yes",$BS81&lt;&gt;"N/A"),"Battery, ","")&amp;IF(AND($AD81&lt;&gt;"Yes",$AD81&lt;&gt;"N/A"),"Firmware Download, ","")&amp;IF(AND(OR($AD81="Yes",$AD81="N/A"),$AE81&lt;&gt;"Yes",$AE81&lt;&gt;"N/A"),"Firmware Install, ","")&amp;IF(AND($CB81&lt;&gt;"Yes",$CB81&lt;&gt;"N/A"),"Device ID, ","")&amp;IF(AND($CC81&lt;&gt;"Yes",$CC81&lt;&gt;"N/A"),"Epic Beans Relay, ",""))="","",LEFT(IF(AND($BR81&lt;&gt;"Yes",$BR81&lt;&gt;"N/A"),"Power Cable, ","")&amp;IF(AND($BS81&lt;&gt;"Yes",$BS81&lt;&gt;"N/A"),"Battery, ","")&amp;IF(AND($AD81&lt;&gt;"Yes",$AD81&lt;&gt;"N/A"),"Firmware Download, ","")&amp;IF(AND(OR($AD81="Yes",$AD81="N/A"),$AE81&lt;&gt;"Yes",$AE81&lt;&gt;"N/A"),"Firmware Install, ","")&amp;IF(AND($CB81&lt;&gt;"Yes",$CB81&lt;&gt;"N/A"),"Device ID, ","")&amp;IF(AND($CC81&lt;&gt;"Yes",$CC81&lt;&gt;"N/A"),"Epic Beans Relay, ",""),LEN(IF(AND($BR81&lt;&gt;"Yes",$BR81&lt;&gt;"N/A"),"Power Cable, ","")&amp;IF(AND($BS81&lt;&gt;"Yes",$BS81&lt;&gt;"N/A"),"Battery, ","")&amp;IF(AND($AD81&lt;&gt;"Yes",$AD81&lt;&gt;"N/A"),"Firmware Download, ","")&amp;IF(AND(OR($AD81="Yes",$AD81="N/A"),$AE81&lt;&gt;"Yes",$AE81&lt;&gt;"N/A"),"Firmware Install, ","")&amp;IF(AND($CB81&lt;&gt;"Yes",$CB81&lt;&gt;"N/A"),"Device ID, ","")&amp;IF(AND($CC81&lt;&gt;"Yes",$CC81&lt;&gt;"N/A"),"Epic Beans Relay, ",""))-2)))</f>
        <v/>
      </c>
      <c r="CE81">
        <f>IF($Y81="","",IF($CD81="","Yes","Blocked"))</f>
        <v/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W81">
        <f>IF($S81="","",IF(UPPER(TRIM($S81))&lt;&gt;"PASS","",IF(LEN(TRIM($BY81))&gt;0,"NOTES_PRESENT",IF(LEN(TRIM($T81))=0,"SET_NA",IF(OR(LOWER(TRIM($T81))="na",LOWER(TRIM($T81))="n/a"),"OK","MANUAL_OVERRIDE")))))</f>
        <v/>
      </c>
    </row>
    <row r="82">
      <c r="A82" t="inlineStr">
        <is>
          <t>Cybernet</t>
        </is>
      </c>
      <c r="B82" s="51" t="inlineStr">
        <is>
          <t>No</t>
        </is>
      </c>
      <c r="C82" t="inlineStr">
        <is>
          <t>No</t>
        </is>
      </c>
      <c r="D82">
        <f>IF($B82&lt;&gt;"Yes","",IF($C82="No","Yes",IF($C82="Yes","No","")))</f>
        <v/>
      </c>
      <c r="E82">
        <f>IF($A82="","",IF(OR(AND($V82&lt;&gt;"",LOWER(TRIM($V82))&lt;&gt;"n/a",LOWER(TRIM($V82))&lt;&gt;"na",SUMPRODUCT(--(UPPER(TRIM($V$2:$V$518))=UPPER(TRIM($V82))),--(TRIM($V$2:$V$518)&lt;&gt;""),--(LOWER(TRIM($V$2:$V$518))&lt;&gt;"n/a"),--(LOWER(TRIM($V$2:$V$518))&lt;&gt;"na"))&gt;1),AND($W82&lt;&gt;"",LOWER(TRIM($W82))&lt;&gt;"n/a",LOWER(TRIM($W82))&lt;&gt;"na",SUMPRODUCT(--(UPPER(TRIM($W$2:$W$518))=UPPER(TRIM($W82))),--(TRIM($W$2:$W$518)&lt;&gt;""),--(LOWER(TRIM($W$2:$W$518))&lt;&gt;"n/a"),--(LOWER(TRIM($W$2:$W$518))&lt;&gt;"na"))&gt;1),AND($X82&lt;&gt;"",LOWER(TRIM($X82))&lt;&gt;"n/a",LOWER(TRIM($X82))&lt;&gt;"na",SUMPRODUCT(--(UPPER(TRIM($X$2:$X$518))=UPPER(TRIM($X82))),--(TRIM($X$2:$X$518)&lt;&gt;""),--(LOWER(TRIM($X$2:$X$518))&lt;&gt;"n/a"),--(LOWER(TRIM($X$2:$X$518))&lt;&gt;"na"))&gt;1),AND($Y82&lt;&gt;"",LOWER(TRIM($Y82))&lt;&gt;"n/a",LOWER(TRIM($Y82))&lt;&gt;"na",SUMPRODUCT(--(UPPER(SUBSTITUTE(SUBSTITUTE(TRIM($Y$2:$Y$518),":",""),"-",""))=UPPER(SUBSTITUTE(SUBSTITUTE(TRIM($Y82),":",""),"-",""))),--(TRIM($Y$2:$Y$518)&lt;&gt;""),--(LOWER(TRIM($Y$2:$Y$518))&lt;&gt;"n/a"),--(LOWER(TRIM($Y$2:$Y$518))&lt;&gt;"na"))&gt;1),AND($AB82&lt;&gt;"",LOWER(TRIM($AB82))&lt;&gt;"n/a",LOWER(TRIM($AB82))&lt;&gt;"na",SUMPRODUCT(--(UPPER(TRIM($AB$2:$AB$518))=UPPER(TRIM($AB82))),--(TRIM($AB$2:$AB$518)&lt;&gt;""),--(LOWER(TRIM($AB$2:$AB$518))&lt;&gt;"n/a"),--(LOWER(TRIM($AB$2:$AB$518))&lt;&gt;"na"))&gt;1),AND($AH82&lt;&gt;"",LOWER(TRIM($AH82))&lt;&gt;"n/a",LOWER(TRIM($AH82))&lt;&gt;"na",SUMPRODUCT(--(UPPER(SUBSTITUTE(SUBSTITUTE(TRIM($AH$2:$AH$518),":",""),"-",""))=UPPER(SUBSTITUTE(SUBSTITUTE(TRIM($AH82),":",""),"-",""))),--(TRIM($AH$2:$AH$518)&lt;&gt;""),--(LOWER(TRIM($AH$2:$AH$518))&lt;&gt;"n/a"),--(LOWER(TRIM($AH$2:$AH$518))&lt;&gt;"na"))&gt;1),AND($AP82&lt;&gt;"",LOWER(TRIM($AP82))&lt;&gt;"n/a",LOWER(TRIM($AP82))&lt;&gt;"na",SUMPRODUCT(--(UPPER(TRIM($AP$2:$AP$518))=UPPER(TRIM($AP82))),--(TRIM($AP$2:$AP$518)&lt;&gt;""),--(LOWER(TRIM($AP$2:$AP$518))&lt;&gt;"n/a"),--(LOWER(TRIM($AP$2:$AP$518))&lt;&gt;"na"))&gt;1),AND($AQ82&lt;&gt;"",LOWER(TRIM($AQ82))&lt;&gt;"n/a",LOWER(TRIM($AQ82))&lt;&gt;"na",SUMPRODUCT(--(UPPER(TRIM($AQ$2:$AQ$518))=UPPER(TRIM($AQ82))),--(TRIM($AQ$2:$AQ$518)&lt;&gt;""),--(LOWER(TRIM($AQ$2:$AQ$518))&lt;&gt;"n/a"),--(LOWER(TRIM($AQ$2:$AQ$518))&lt;&gt;"na"))&gt;1)),"Yes","No"))</f>
        <v/>
      </c>
      <c r="F82">
        <f>IF(UPPER(TRIM($B82))&lt;&gt;"YES","", IF(OR(AND($V82&lt;&gt;"", LOWER(TRIM($V82))&lt;&gt;"n/a", LOWER(TRIM($V82))&lt;&gt;"na", SUMPRODUCT(--(UPPER(TRIM($V$2:$V$518))=UPPER(TRIM($V82))), --(UPPER(TRIM($B$2:$B$518))="YES"), --(UPPER(TRIM($G$2:$G$518)&amp;TRIM($I$2:$I$518)&amp;TRIM($J$2:$J$518))&lt;&gt;UPPER(TRIM($G82)&amp;TRIM($I82)&amp;TRIM($J82))))&gt;0), AND($W82&lt;&gt;"", LOWER(TRIM($W82))&lt;&gt;"n/a", LOWER(TRIM($W82))&lt;&gt;"na", SUMPRODUCT(--(UPPER(TRIM($W$2:$W$518))=UPPER(TRIM($W82))), --(UPPER(TRIM($B$2:$B$518))="YES"), --(UPPER(TRIM($G$2:$G$518)&amp;TRIM($I$2:$I$518)&amp;TRIM($J$2:$J$518))&lt;&gt;UPPER(TRIM($G82)&amp;TRIM($I82)&amp;TRIM($J82))))&gt;0), AND($X82&lt;&gt;"", LOWER(TRIM($X82))&lt;&gt;"n/a", LOWER(TRIM($X82))&lt;&gt;"na", SUMPRODUCT(--(UPPER(TRIM($X$2:$X$518))=UPPER(TRIM($X82))), --(UPPER(TRIM($B$2:$B$518))="YES"), --(UPPER(TRIM($G$2:$G$518)&amp;TRIM($I$2:$I$518)&amp;TRIM($J$2:$J$518))&lt;&gt;UPPER(TRIM($G82)&amp;TRIM($I82)&amp;TRIM($J82))))&gt;0), AND($Y82&lt;&gt;"", LOWER(TRIM($Y82))&lt;&gt;"n/a", LOWER(TRIM($Y82))&lt;&gt;"na", SUMPRODUCT(--(UPPER(SUBSTITUTE(SUBSTITUTE(TRIM($Y$2:$Y$518),":",""),"-",""))=UPPER(SUBSTITUTE(SUBSTITUTE(TRIM($Y82),":",""),"-",""))), --(UPPER(TRIM($B$2:$B$518))="YES"), --(UPPER(TRIM($G$2:$G$518)&amp;TRIM($I$2:$I$518)&amp;TRIM($J$2:$J$518))&lt;&gt;UPPER(TRIM($G82)&amp;TRIM($I82)&amp;TRIM($J82))))&gt;0), AND($AB82&lt;&gt;"", LOWER(TRIM($AB82))&lt;&gt;"n/a", LOWER(TRIM($AB82))&lt;&gt;"na", SUMPRODUCT(--(UPPER(TRIM($AB$2:$AB$518))=UPPER(TRIM($AB82))), --(UPPER(TRIM($B$2:$B$518))="YES"), --(UPPER(TRIM($G$2:$G$518)&amp;TRIM($I$2:$I$518)&amp;TRIM($J$2:$J$518))&lt;&gt;UPPER(TRIM($G82)&amp;TRIM($I82)&amp;TRIM($J82))))&gt;0), AND($AH82&lt;&gt;"", LOWER(TRIM($AH82))&lt;&gt;"n/a", LOWER(TRIM($AH82))&lt;&gt;"na", SUMPRODUCT(--(UPPER(SUBSTITUTE(SUBSTITUTE(TRIM($AH$2:$AH$518),":",""),"-",""))=UPPER(SUBSTITUTE(SUBSTITUTE(TRIM($AH82),":",""),"-",""))), --(UPPER(TRIM($B$2:$B$518))="YES"), --(UPPER(TRIM($G$2:$G$518)&amp;TRIM($I$2:$I$518)&amp;TRIM($J$2:$J$518))&lt;&gt;UPPER(TRIM($G82)&amp;TRIM($I82)&amp;TRIM($J82))))&gt;0), AND($AP82&lt;&gt;"", LOWER(TRIM($AP82))&lt;&gt;"n/a", LOWER(TRIM($AP82))&lt;&gt;"na", SUMPRODUCT(--(UPPER(TRIM($AP$2:$AP$518))=UPPER(TRIM($AP82))), --(UPPER(TRIM($B$2:$B$518))="YES"), --(UPPER(TRIM($G$2:$G$518)&amp;TRIM($I$2:$I$518)&amp;TRIM($J$2:$J$518))&lt;&gt;UPPER(TRIM($G82)&amp;TRIM($I82)&amp;TRIM($J82))))&gt;0), AND($AQ82&lt;&gt;"", LOWER(TRIM($AQ82))&lt;&gt;"n/a", LOWER(TRIM($AQ82))&lt;&gt;"na", SUMPRODUCT(--(UPPER(TRIM($AQ$2:$AQ$518))=UPPER(TRIM($AQ82))), --(UPPER(TRIM($B$2:$B$518))="YES"), --(UPPER(TRIM($G$2:$G$518)&amp;TRIM($I$2:$I$518)&amp;TRIM($J$2:$J$518))&lt;&gt;UPPER(TRIM($G82)&amp;TRIM($I82)&amp;TRIM($J82))))&gt;0)), "Yes", "No"))</f>
        <v/>
      </c>
      <c r="G82" t="inlineStr">
        <is>
          <t>NSUH - PSP</t>
        </is>
      </c>
      <c r="H82" t="inlineStr">
        <is>
          <t>NSUH - PSP</t>
        </is>
      </c>
      <c r="I82" t="inlineStr">
        <is>
          <t>Main ORs - PSP - 2nd Floor</t>
        </is>
      </c>
      <c r="U82" t="inlineStr">
        <is>
          <t>Dr. Palilla, Timothy W. Seeberger</t>
        </is>
      </c>
      <c r="V82" t="inlineStr">
        <is>
          <t>WMH300OPR411</t>
        </is>
      </c>
      <c r="W82" t="inlineStr">
        <is>
          <t>MEDNG2425E-3347</t>
        </is>
      </c>
      <c r="AH82" t="inlineStr">
        <is>
          <t>000D050AB673</t>
        </is>
      </c>
      <c r="CD82">
        <f>IF($Y82="","",IF((IF(AND($BR82&lt;&gt;"Yes",$BR82&lt;&gt;"N/A"),"Power Cable, ","")&amp;IF(AND($BS82&lt;&gt;"Yes",$BS82&lt;&gt;"N/A"),"Battery, ","")&amp;IF(AND($AD82&lt;&gt;"Yes",$AD82&lt;&gt;"N/A"),"Firmware Download, ","")&amp;IF(AND(OR($AD82="Yes",$AD82="N/A"),$AE82&lt;&gt;"Yes",$AE82&lt;&gt;"N/A"),"Firmware Install, ","")&amp;IF(AND($CB82&lt;&gt;"Yes",$CB82&lt;&gt;"N/A"),"Device ID, ","")&amp;IF(AND($CC82&lt;&gt;"Yes",$CC82&lt;&gt;"N/A"),"Epic Beans Relay, ",""))="","",LEFT(IF(AND($BR82&lt;&gt;"Yes",$BR82&lt;&gt;"N/A"),"Power Cable, ","")&amp;IF(AND($BS82&lt;&gt;"Yes",$BS82&lt;&gt;"N/A"),"Battery, ","")&amp;IF(AND($AD82&lt;&gt;"Yes",$AD82&lt;&gt;"N/A"),"Firmware Download, ","")&amp;IF(AND(OR($AD82="Yes",$AD82="N/A"),$AE82&lt;&gt;"Yes",$AE82&lt;&gt;"N/A"),"Firmware Install, ","")&amp;IF(AND($CB82&lt;&gt;"Yes",$CB82&lt;&gt;"N/A"),"Device ID, ","")&amp;IF(AND($CC82&lt;&gt;"Yes",$CC82&lt;&gt;"N/A"),"Epic Beans Relay, ",""),LEN(IF(AND($BR82&lt;&gt;"Yes",$BR82&lt;&gt;"N/A"),"Power Cable, ","")&amp;IF(AND($BS82&lt;&gt;"Yes",$BS82&lt;&gt;"N/A"),"Battery, ","")&amp;IF(AND($AD82&lt;&gt;"Yes",$AD82&lt;&gt;"N/A"),"Firmware Download, ","")&amp;IF(AND(OR($AD82="Yes",$AD82="N/A"),$AE82&lt;&gt;"Yes",$AE82&lt;&gt;"N/A"),"Firmware Install, ","")&amp;IF(AND($CB82&lt;&gt;"Yes",$CB82&lt;&gt;"N/A"),"Device ID, ","")&amp;IF(AND($CC82&lt;&gt;"Yes",$CC82&lt;&gt;"N/A"),"Epic Beans Relay, ",""))-2)))</f>
        <v/>
      </c>
      <c r="CE82">
        <f>IF($Y82="","",IF($CD82="","Yes","Blocked"))</f>
        <v/>
      </c>
      <c r="CF82" t="inlineStr">
        <is>
          <t>Yes</t>
        </is>
      </c>
      <c r="CG82" t="inlineStr">
        <is>
          <t>Yes</t>
        </is>
      </c>
      <c r="CH82" t="inlineStr">
        <is>
          <t>Yes</t>
        </is>
      </c>
      <c r="CI82" t="inlineStr">
        <is>
          <t>Yes</t>
        </is>
      </c>
      <c r="CJ82" t="inlineStr">
        <is>
          <t>Yes</t>
        </is>
      </c>
      <c r="CK82" t="inlineStr">
        <is>
          <t>Yes</t>
        </is>
      </c>
      <c r="CL82" t="inlineStr">
        <is>
          <t>Yes</t>
        </is>
      </c>
      <c r="CM82" t="inlineStr">
        <is>
          <t>Yes</t>
        </is>
      </c>
      <c r="CN82" t="inlineStr">
        <is>
          <t>Yes</t>
        </is>
      </c>
      <c r="CO82" t="inlineStr">
        <is>
          <t>Yes</t>
        </is>
      </c>
      <c r="CP82" t="inlineStr">
        <is>
          <t>Yes</t>
        </is>
      </c>
      <c r="CQ82" t="inlineStr">
        <is>
          <t>Yes</t>
        </is>
      </c>
      <c r="CR82" t="inlineStr">
        <is>
          <t>Yes</t>
        </is>
      </c>
      <c r="CS82" t="inlineStr">
        <is>
          <t>Yes</t>
        </is>
      </c>
      <c r="CW82">
        <f>IF($S82="","",IF(UPPER(TRIM($S82))&lt;&gt;"PASS","",IF(LEN(TRIM($BY82))&gt;0,"NOTES_PRESENT",IF(LEN(TRIM($T82))=0,"SET_NA",IF(OR(LOWER(TRIM($T82))="na",LOWER(TRIM($T82))="n/a"),"OK","MANUAL_OVERRIDE")))))</f>
        <v/>
      </c>
    </row>
    <row r="83" customFormat="1" s="82">
      <c r="A83" s="82" t="inlineStr">
        <is>
          <t>Cybernet</t>
        </is>
      </c>
      <c r="B83" s="83" t="inlineStr">
        <is>
          <t>No</t>
        </is>
      </c>
      <c r="C83" s="82" t="inlineStr">
        <is>
          <t>No</t>
        </is>
      </c>
      <c r="D83" s="82">
        <f>IF($B83&lt;&gt;"Yes","",IF($C83="No","Yes",IF($C83="Yes","No","")))</f>
        <v/>
      </c>
      <c r="E83" s="82">
        <f>IF($A83="","",IF(OR(AND($V83&lt;&gt;"",LOWER(TRIM($V83))&lt;&gt;"n/a",LOWER(TRIM($V83))&lt;&gt;"na",SUMPRODUCT(--(UPPER(TRIM($V$2:$V$518))=UPPER(TRIM($V83))),--(TRIM($V$2:$V$518)&lt;&gt;""),--(LOWER(TRIM($V$2:$V$518))&lt;&gt;"n/a"),--(LOWER(TRIM($V$2:$V$518))&lt;&gt;"na"))&gt;1),AND($W83&lt;&gt;"",LOWER(TRIM($W83))&lt;&gt;"n/a",LOWER(TRIM($W83))&lt;&gt;"na",SUMPRODUCT(--(UPPER(TRIM($W$2:$W$518))=UPPER(TRIM($W83))),--(TRIM($W$2:$W$518)&lt;&gt;""),--(LOWER(TRIM($W$2:$W$518))&lt;&gt;"n/a"),--(LOWER(TRIM($W$2:$W$518))&lt;&gt;"na"))&gt;1),AND($X83&lt;&gt;"",LOWER(TRIM($X83))&lt;&gt;"n/a",LOWER(TRIM($X83))&lt;&gt;"na",SUMPRODUCT(--(UPPER(TRIM($X$2:$X$518))=UPPER(TRIM($X83))),--(TRIM($X$2:$X$518)&lt;&gt;""),--(LOWER(TRIM($X$2:$X$518))&lt;&gt;"n/a"),--(LOWER(TRIM($X$2:$X$518))&lt;&gt;"na"))&gt;1),AND($Y83&lt;&gt;"",LOWER(TRIM($Y83))&lt;&gt;"n/a",LOWER(TRIM($Y83))&lt;&gt;"na",SUMPRODUCT(--(UPPER(SUBSTITUTE(SUBSTITUTE(TRIM($Y$2:$Y$518),":",""),"-",""))=UPPER(SUBSTITUTE(SUBSTITUTE(TRIM($Y83),":",""),"-",""))),--(TRIM($Y$2:$Y$518)&lt;&gt;""),--(LOWER(TRIM($Y$2:$Y$518))&lt;&gt;"n/a"),--(LOWER(TRIM($Y$2:$Y$518))&lt;&gt;"na"))&gt;1),AND($AB83&lt;&gt;"",LOWER(TRIM($AB83))&lt;&gt;"n/a",LOWER(TRIM($AB83))&lt;&gt;"na",SUMPRODUCT(--(UPPER(TRIM($AB$2:$AB$518))=UPPER(TRIM($AB83))),--(TRIM($AB$2:$AB$518)&lt;&gt;""),--(LOWER(TRIM($AB$2:$AB$518))&lt;&gt;"n/a"),--(LOWER(TRIM($AB$2:$AB$518))&lt;&gt;"na"))&gt;1),AND($AH83&lt;&gt;"",LOWER(TRIM($AH83))&lt;&gt;"n/a",LOWER(TRIM($AH83))&lt;&gt;"na",SUMPRODUCT(--(UPPER(SUBSTITUTE(SUBSTITUTE(TRIM($AH$2:$AH$518),":",""),"-",""))=UPPER(SUBSTITUTE(SUBSTITUTE(TRIM($AH83),":",""),"-",""))),--(TRIM($AH$2:$AH$518)&lt;&gt;""),--(LOWER(TRIM($AH$2:$AH$518))&lt;&gt;"n/a"),--(LOWER(TRIM($AH$2:$AH$518))&lt;&gt;"na"))&gt;1),AND($AP83&lt;&gt;"",LOWER(TRIM($AP83))&lt;&gt;"n/a",LOWER(TRIM($AP83))&lt;&gt;"na",SUMPRODUCT(--(UPPER(TRIM($AP$2:$AP$518))=UPPER(TRIM($AP83))),--(TRIM($AP$2:$AP$518)&lt;&gt;""),--(LOWER(TRIM($AP$2:$AP$518))&lt;&gt;"n/a"),--(LOWER(TRIM($AP$2:$AP$518))&lt;&gt;"na"))&gt;1),AND($AQ83&lt;&gt;"",LOWER(TRIM($AQ83))&lt;&gt;"n/a",LOWER(TRIM($AQ83))&lt;&gt;"na",SUMPRODUCT(--(UPPER(TRIM($AQ$2:$AQ$518))=UPPER(TRIM($AQ83))),--(TRIM($AQ$2:$AQ$518)&lt;&gt;""),--(LOWER(TRIM($AQ$2:$AQ$518))&lt;&gt;"n/a"),--(LOWER(TRIM($AQ$2:$AQ$518))&lt;&gt;"na"))&gt;1)),"Yes","No"))</f>
        <v/>
      </c>
      <c r="F83" s="82">
        <f>IF(UPPER(TRIM($B83))&lt;&gt;"YES","", IF(OR(AND($V83&lt;&gt;"", LOWER(TRIM($V83))&lt;&gt;"n/a", LOWER(TRIM($V83))&lt;&gt;"na", SUMPRODUCT(--(UPPER(TRIM($V$2:$V$518))=UPPER(TRIM($V83))), --(UPPER(TRIM($B$2:$B$518))="YES"), --(UPPER(TRIM($G$2:$G$518)&amp;TRIM($I$2:$I$518)&amp;TRIM($J$2:$J$518))&lt;&gt;UPPER(TRIM($G83)&amp;TRIM($I83)&amp;TRIM($J83))))&gt;0), AND($W83&lt;&gt;"", LOWER(TRIM($W83))&lt;&gt;"n/a", LOWER(TRIM($W83))&lt;&gt;"na", SUMPRODUCT(--(UPPER(TRIM($W$2:$W$518))=UPPER(TRIM($W83))), --(UPPER(TRIM($B$2:$B$518))="YES"), --(UPPER(TRIM($G$2:$G$518)&amp;TRIM($I$2:$I$518)&amp;TRIM($J$2:$J$518))&lt;&gt;UPPER(TRIM($G83)&amp;TRIM($I83)&amp;TRIM($J83))))&gt;0), AND($X83&lt;&gt;"", LOWER(TRIM($X83))&lt;&gt;"n/a", LOWER(TRIM($X83))&lt;&gt;"na", SUMPRODUCT(--(UPPER(TRIM($X$2:$X$518))=UPPER(TRIM($X83))), --(UPPER(TRIM($B$2:$B$518))="YES"), --(UPPER(TRIM($G$2:$G$518)&amp;TRIM($I$2:$I$518)&amp;TRIM($J$2:$J$518))&lt;&gt;UPPER(TRIM($G83)&amp;TRIM($I83)&amp;TRIM($J83))))&gt;0), AND($Y83&lt;&gt;"", LOWER(TRIM($Y83))&lt;&gt;"n/a", LOWER(TRIM($Y83))&lt;&gt;"na", SUMPRODUCT(--(UPPER(SUBSTITUTE(SUBSTITUTE(TRIM($Y$2:$Y$518),":",""),"-",""))=UPPER(SUBSTITUTE(SUBSTITUTE(TRIM($Y83),":",""),"-",""))), --(UPPER(TRIM($B$2:$B$518))="YES"), --(UPPER(TRIM($G$2:$G$518)&amp;TRIM($I$2:$I$518)&amp;TRIM($J$2:$J$518))&lt;&gt;UPPER(TRIM($G83)&amp;TRIM($I83)&amp;TRIM($J83))))&gt;0), AND($AB83&lt;&gt;"", LOWER(TRIM($AB83))&lt;&gt;"n/a", LOWER(TRIM($AB83))&lt;&gt;"na", SUMPRODUCT(--(UPPER(TRIM($AB$2:$AB$518))=UPPER(TRIM($AB83))), --(UPPER(TRIM($B$2:$B$518))="YES"), --(UPPER(TRIM($G$2:$G$518)&amp;TRIM($I$2:$I$518)&amp;TRIM($J$2:$J$518))&lt;&gt;UPPER(TRIM($G83)&amp;TRIM($I83)&amp;TRIM($J83))))&gt;0), AND($AH83&lt;&gt;"", LOWER(TRIM($AH83))&lt;&gt;"n/a", LOWER(TRIM($AH83))&lt;&gt;"na", SUMPRODUCT(--(UPPER(SUBSTITUTE(SUBSTITUTE(TRIM($AH$2:$AH$518),":",""),"-",""))=UPPER(SUBSTITUTE(SUBSTITUTE(TRIM($AH83),":",""),"-",""))), --(UPPER(TRIM($B$2:$B$518))="YES"), --(UPPER(TRIM($G$2:$G$518)&amp;TRIM($I$2:$I$518)&amp;TRIM($J$2:$J$518))&lt;&gt;UPPER(TRIM($G83)&amp;TRIM($I83)&amp;TRIM($J83))))&gt;0), AND($AP83&lt;&gt;"", LOWER(TRIM($AP83))&lt;&gt;"n/a", LOWER(TRIM($AP83))&lt;&gt;"na", SUMPRODUCT(--(UPPER(TRIM($AP$2:$AP$518))=UPPER(TRIM($AP83))), --(UPPER(TRIM($B$2:$B$518))="YES"), --(UPPER(TRIM($G$2:$G$518)&amp;TRIM($I$2:$I$518)&amp;TRIM($J$2:$J$518))&lt;&gt;UPPER(TRIM($G83)&amp;TRIM($I83)&amp;TRIM($J83))))&gt;0), AND($AQ83&lt;&gt;"", LOWER(TRIM($AQ83))&lt;&gt;"n/a", LOWER(TRIM($AQ83))&lt;&gt;"na", SUMPRODUCT(--(UPPER(TRIM($AQ$2:$AQ$518))=UPPER(TRIM($AQ83))), --(UPPER(TRIM($B$2:$B$518))="YES"), --(UPPER(TRIM($G$2:$G$518)&amp;TRIM($I$2:$I$518)&amp;TRIM($J$2:$J$518))&lt;&gt;UPPER(TRIM($G83)&amp;TRIM($I83)&amp;TRIM($J83))))&gt;0)), "Yes", "No"))</f>
        <v/>
      </c>
      <c r="G83" s="82" t="inlineStr">
        <is>
          <t>1  MARCUS</t>
        </is>
      </c>
      <c r="H83" s="82" t="inlineStr">
        <is>
          <t>LIJFH</t>
        </is>
      </c>
      <c r="L83" s="84" t="n">
        <v>46095</v>
      </c>
      <c r="U83" s="82" t="inlineStr">
        <is>
          <t>Dr. Palilla, Timothy W. Seeberger</t>
        </is>
      </c>
      <c r="V83" s="82" t="inlineStr">
        <is>
          <t>WFH102OPR071</t>
        </is>
      </c>
      <c r="W83" s="82" t="inlineStr">
        <is>
          <t>MEDSG2425F-0144</t>
        </is>
      </c>
      <c r="AH83" s="82" t="inlineStr">
        <is>
          <t>000D050AA71B</t>
        </is>
      </c>
      <c r="CD83" s="82">
        <f>IF($Y83="","",IF((IF(AND($BR83&lt;&gt;"Yes",$BR83&lt;&gt;"N/A"),"Power Cable, ","")&amp;IF(AND($BS83&lt;&gt;"Yes",$BS83&lt;&gt;"N/A"),"Battery, ","")&amp;IF(AND($AD83&lt;&gt;"Yes",$AD83&lt;&gt;"N/A"),"Firmware Download, ","")&amp;IF(AND(OR($AD83="Yes",$AD83="N/A"),$AE83&lt;&gt;"Yes",$AE83&lt;&gt;"N/A"),"Firmware Install, ","")&amp;IF(AND($CB83&lt;&gt;"Yes",$CB83&lt;&gt;"N/A"),"Device ID, ","")&amp;IF(AND($CC83&lt;&gt;"Yes",$CC83&lt;&gt;"N/A"),"Epic Beans Relay, ",""))="","",LEFT(IF(AND($BR83&lt;&gt;"Yes",$BR83&lt;&gt;"N/A"),"Power Cable, ","")&amp;IF(AND($BS83&lt;&gt;"Yes",$BS83&lt;&gt;"N/A"),"Battery, ","")&amp;IF(AND($AD83&lt;&gt;"Yes",$AD83&lt;&gt;"N/A"),"Firmware Download, ","")&amp;IF(AND(OR($AD83="Yes",$AD83="N/A"),$AE83&lt;&gt;"Yes",$AE83&lt;&gt;"N/A"),"Firmware Install, ","")&amp;IF(AND($CB83&lt;&gt;"Yes",$CB83&lt;&gt;"N/A"),"Device ID, ","")&amp;IF(AND($CC83&lt;&gt;"Yes",$CC83&lt;&gt;"N/A"),"Epic Beans Relay, ",""),LEN(IF(AND($BR83&lt;&gt;"Yes",$BR83&lt;&gt;"N/A"),"Power Cable, ","")&amp;IF(AND($BS83&lt;&gt;"Yes",$BS83&lt;&gt;"N/A"),"Battery, ","")&amp;IF(AND($AD83&lt;&gt;"Yes",$AD83&lt;&gt;"N/A"),"Firmware Download, ","")&amp;IF(AND(OR($AD83="Yes",$AD83="N/A"),$AE83&lt;&gt;"Yes",$AE83&lt;&gt;"N/A"),"Firmware Install, ","")&amp;IF(AND($CB83&lt;&gt;"Yes",$CB83&lt;&gt;"N/A"),"Device ID, ","")&amp;IF(AND($CC83&lt;&gt;"Yes",$CC83&lt;&gt;"N/A"),"Epic Beans Relay, ",""))-2)))</f>
        <v/>
      </c>
      <c r="CE83" s="82">
        <f>IF($Y83="","",IF($CD83="","Yes","Blocked"))</f>
        <v/>
      </c>
      <c r="CF83" s="82" t="inlineStr">
        <is>
          <t>Yes</t>
        </is>
      </c>
      <c r="CG83" s="82" t="inlineStr">
        <is>
          <t>Yes</t>
        </is>
      </c>
      <c r="CH83" s="82" t="inlineStr">
        <is>
          <t>Yes</t>
        </is>
      </c>
      <c r="CI83" s="82" t="inlineStr">
        <is>
          <t>Yes</t>
        </is>
      </c>
      <c r="CJ83" s="82" t="inlineStr">
        <is>
          <t>Yes</t>
        </is>
      </c>
      <c r="CK83" s="82" t="inlineStr">
        <is>
          <t>Yes</t>
        </is>
      </c>
      <c r="CL83" s="82" t="inlineStr">
        <is>
          <t>Yes</t>
        </is>
      </c>
      <c r="CM83" s="82" t="inlineStr">
        <is>
          <t>Yes</t>
        </is>
      </c>
      <c r="CN83" s="82" t="inlineStr">
        <is>
          <t>Yes</t>
        </is>
      </c>
      <c r="CO83" s="82" t="inlineStr">
        <is>
          <t>Yes</t>
        </is>
      </c>
      <c r="CP83" s="82" t="inlineStr">
        <is>
          <t>Yes</t>
        </is>
      </c>
      <c r="CQ83" s="82" t="inlineStr">
        <is>
          <t>Yes</t>
        </is>
      </c>
      <c r="CR83" s="82" t="inlineStr">
        <is>
          <t>Yes</t>
        </is>
      </c>
      <c r="CS83" s="82" t="inlineStr">
        <is>
          <t>Yes</t>
        </is>
      </c>
      <c r="CW83" s="82">
        <f>IF($S83="","",IF(UPPER(TRIM($S83))&lt;&gt;"PASS","",IF(LEN(TRIM($BY83))&gt;0,"NOTES_PRESENT",IF(LEN(TRIM($T83))=0,"SET_NA",IF(OR(LOWER(TRIM($T83))="na",LOWER(TRIM($T83))="n/a"),"OK","MANUAL_OVERRIDE")))))</f>
        <v/>
      </c>
    </row>
    <row r="84">
      <c r="A84" t="inlineStr">
        <is>
          <t>Cybernet-Neuron</t>
        </is>
      </c>
      <c r="B84" s="51" t="inlineStr">
        <is>
          <t>Yes</t>
        </is>
      </c>
      <c r="C84" t="inlineStr">
        <is>
          <t>Yes</t>
        </is>
      </c>
      <c r="D84">
        <f>IF($B84&lt;&gt;"Yes","",IF($C84="No","Yes",IF($C84="Yes","No","")))</f>
        <v/>
      </c>
      <c r="E84">
        <f>IF($A84="","",IF(OR(AND($V84&lt;&gt;"",LOWER(TRIM($V84))&lt;&gt;"n/a",LOWER(TRIM($V84))&lt;&gt;"na",SUMPRODUCT(--(UPPER(TRIM($V$2:$V$518))=UPPER(TRIM($V84))),--(TRIM($V$2:$V$518)&lt;&gt;""),--(LOWER(TRIM($V$2:$V$518))&lt;&gt;"n/a"),--(LOWER(TRIM($V$2:$V$518))&lt;&gt;"na"))&gt;1),AND($W84&lt;&gt;"",LOWER(TRIM($W84))&lt;&gt;"n/a",LOWER(TRIM($W84))&lt;&gt;"na",SUMPRODUCT(--(UPPER(TRIM($W$2:$W$518))=UPPER(TRIM($W84))),--(TRIM($W$2:$W$518)&lt;&gt;""),--(LOWER(TRIM($W$2:$W$518))&lt;&gt;"n/a"),--(LOWER(TRIM($W$2:$W$518))&lt;&gt;"na"))&gt;1),AND($X84&lt;&gt;"",LOWER(TRIM($X84))&lt;&gt;"n/a",LOWER(TRIM($X84))&lt;&gt;"na",SUMPRODUCT(--(UPPER(TRIM($X$2:$X$518))=UPPER(TRIM($X84))),--(TRIM($X$2:$X$518)&lt;&gt;""),--(LOWER(TRIM($X$2:$X$518))&lt;&gt;"n/a"),--(LOWER(TRIM($X$2:$X$518))&lt;&gt;"na"))&gt;1),AND($Y84&lt;&gt;"",LOWER(TRIM($Y84))&lt;&gt;"n/a",LOWER(TRIM($Y84))&lt;&gt;"na",SUMPRODUCT(--(UPPER(SUBSTITUTE(SUBSTITUTE(TRIM($Y$2:$Y$518),":",""),"-",""))=UPPER(SUBSTITUTE(SUBSTITUTE(TRIM($Y84),":",""),"-",""))),--(TRIM($Y$2:$Y$518)&lt;&gt;""),--(LOWER(TRIM($Y$2:$Y$518))&lt;&gt;"n/a"),--(LOWER(TRIM($Y$2:$Y$518))&lt;&gt;"na"))&gt;1),AND($AB84&lt;&gt;"",LOWER(TRIM($AB84))&lt;&gt;"n/a",LOWER(TRIM($AB84))&lt;&gt;"na",SUMPRODUCT(--(UPPER(TRIM($AB$2:$AB$518))=UPPER(TRIM($AB84))),--(TRIM($AB$2:$AB$518)&lt;&gt;""),--(LOWER(TRIM($AB$2:$AB$518))&lt;&gt;"n/a"),--(LOWER(TRIM($AB$2:$AB$518))&lt;&gt;"na"))&gt;1),AND($AH84&lt;&gt;"",LOWER(TRIM($AH84))&lt;&gt;"n/a",LOWER(TRIM($AH84))&lt;&gt;"na",SUMPRODUCT(--(UPPER(SUBSTITUTE(SUBSTITUTE(TRIM($AH$2:$AH$518),":",""),"-",""))=UPPER(SUBSTITUTE(SUBSTITUTE(TRIM($AH84),":",""),"-",""))),--(TRIM($AH$2:$AH$518)&lt;&gt;""),--(LOWER(TRIM($AH$2:$AH$518))&lt;&gt;"n/a"),--(LOWER(TRIM($AH$2:$AH$518))&lt;&gt;"na"))&gt;1),AND($AP84&lt;&gt;"",LOWER(TRIM($AP84))&lt;&gt;"n/a",LOWER(TRIM($AP84))&lt;&gt;"na",SUMPRODUCT(--(UPPER(TRIM($AP$2:$AP$518))=UPPER(TRIM($AP84))),--(TRIM($AP$2:$AP$518)&lt;&gt;""),--(LOWER(TRIM($AP$2:$AP$518))&lt;&gt;"n/a"),--(LOWER(TRIM($AP$2:$AP$518))&lt;&gt;"na"))&gt;1),AND($AQ84&lt;&gt;"",LOWER(TRIM($AQ84))&lt;&gt;"n/a",LOWER(TRIM($AQ84))&lt;&gt;"na",SUMPRODUCT(--(UPPER(TRIM($AQ$2:$AQ$518))=UPPER(TRIM($AQ84))),--(TRIM($AQ$2:$AQ$518)&lt;&gt;""),--(LOWER(TRIM($AQ$2:$AQ$518))&lt;&gt;"n/a"),--(LOWER(TRIM($AQ$2:$AQ$518))&lt;&gt;"na"))&gt;1)),"Yes","No"))</f>
        <v/>
      </c>
      <c r="F84">
        <f>IF(UPPER(TRIM($B84))&lt;&gt;"YES","", IF(OR(AND($V84&lt;&gt;"", LOWER(TRIM($V84))&lt;&gt;"n/a", LOWER(TRIM($V84))&lt;&gt;"na", SUMPRODUCT(--(UPPER(TRIM($V$2:$V$518))=UPPER(TRIM($V84))), --(UPPER(TRIM($B$2:$B$518))="YES"), --(UPPER(TRIM($G$2:$G$518)&amp;TRIM($I$2:$I$518)&amp;TRIM($J$2:$J$518))&lt;&gt;UPPER(TRIM($G84)&amp;TRIM($I84)&amp;TRIM($J84))))&gt;0), AND($W84&lt;&gt;"", LOWER(TRIM($W84))&lt;&gt;"n/a", LOWER(TRIM($W84))&lt;&gt;"na", SUMPRODUCT(--(UPPER(TRIM($W$2:$W$518))=UPPER(TRIM($W84))), --(UPPER(TRIM($B$2:$B$518))="YES"), --(UPPER(TRIM($G$2:$G$518)&amp;TRIM($I$2:$I$518)&amp;TRIM($J$2:$J$518))&lt;&gt;UPPER(TRIM($G84)&amp;TRIM($I84)&amp;TRIM($J84))))&gt;0), AND($X84&lt;&gt;"", LOWER(TRIM($X84))&lt;&gt;"n/a", LOWER(TRIM($X84))&lt;&gt;"na", SUMPRODUCT(--(UPPER(TRIM($X$2:$X$518))=UPPER(TRIM($X84))), --(UPPER(TRIM($B$2:$B$518))="YES"), --(UPPER(TRIM($G$2:$G$518)&amp;TRIM($I$2:$I$518)&amp;TRIM($J$2:$J$518))&lt;&gt;UPPER(TRIM($G84)&amp;TRIM($I84)&amp;TRIM($J84))))&gt;0), AND($Y84&lt;&gt;"", LOWER(TRIM($Y84))&lt;&gt;"n/a", LOWER(TRIM($Y84))&lt;&gt;"na", SUMPRODUCT(--(UPPER(SUBSTITUTE(SUBSTITUTE(TRIM($Y$2:$Y$518),":",""),"-",""))=UPPER(SUBSTITUTE(SUBSTITUTE(TRIM($Y84),":",""),"-",""))), --(UPPER(TRIM($B$2:$B$518))="YES"), --(UPPER(TRIM($G$2:$G$518)&amp;TRIM($I$2:$I$518)&amp;TRIM($J$2:$J$518))&lt;&gt;UPPER(TRIM($G84)&amp;TRIM($I84)&amp;TRIM($J84))))&gt;0), AND($AB84&lt;&gt;"", LOWER(TRIM($AB84))&lt;&gt;"n/a", LOWER(TRIM($AB84))&lt;&gt;"na", SUMPRODUCT(--(UPPER(TRIM($AB$2:$AB$518))=UPPER(TRIM($AB84))), --(UPPER(TRIM($B$2:$B$518))="YES"), --(UPPER(TRIM($G$2:$G$518)&amp;TRIM($I$2:$I$518)&amp;TRIM($J$2:$J$518))&lt;&gt;UPPER(TRIM($G84)&amp;TRIM($I84)&amp;TRIM($J84))))&gt;0), AND($AH84&lt;&gt;"", LOWER(TRIM($AH84))&lt;&gt;"n/a", LOWER(TRIM($AH84))&lt;&gt;"na", SUMPRODUCT(--(UPPER(SUBSTITUTE(SUBSTITUTE(TRIM($AH$2:$AH$518),":",""),"-",""))=UPPER(SUBSTITUTE(SUBSTITUTE(TRIM($AH84),":",""),"-",""))), --(UPPER(TRIM($B$2:$B$518))="YES"), --(UPPER(TRIM($G$2:$G$518)&amp;TRIM($I$2:$I$518)&amp;TRIM($J$2:$J$518))&lt;&gt;UPPER(TRIM($G84)&amp;TRIM($I84)&amp;TRIM($J84))))&gt;0), AND($AP84&lt;&gt;"", LOWER(TRIM($AP84))&lt;&gt;"n/a", LOWER(TRIM($AP84))&lt;&gt;"na", SUMPRODUCT(--(UPPER(TRIM($AP$2:$AP$518))=UPPER(TRIM($AP84))), --(UPPER(TRIM($B$2:$B$518))="YES"), --(UPPER(TRIM($G$2:$G$518)&amp;TRIM($I$2:$I$518)&amp;TRIM($J$2:$J$518))&lt;&gt;UPPER(TRIM($G84)&amp;TRIM($I84)&amp;TRIM($J84))))&gt;0), AND($AQ84&lt;&gt;"", LOWER(TRIM($AQ84))&lt;&gt;"n/a", LOWER(TRIM($AQ84))&lt;&gt;"na", SUMPRODUCT(--(UPPER(TRIM($AQ$2:$AQ$518))=UPPER(TRIM($AQ84))), --(UPPER(TRIM($B$2:$B$518))="YES"), --(UPPER(TRIM($G$2:$G$518)&amp;TRIM($I$2:$I$518)&amp;TRIM($J$2:$J$518))&lt;&gt;UPPER(TRIM($G84)&amp;TRIM($I84)&amp;TRIM($J84))))&gt;0)), "Yes", "No"))</f>
        <v/>
      </c>
      <c r="G84" t="inlineStr">
        <is>
          <t>NSUH - Schwartz</t>
        </is>
      </c>
      <c r="H84" t="inlineStr">
        <is>
          <t>NSUH - Schwartz</t>
        </is>
      </c>
      <c r="I84" t="inlineStr">
        <is>
          <t xml:space="preserve">Main ORs </t>
        </is>
      </c>
      <c r="J84" t="inlineStr">
        <is>
          <t xml:space="preserve">OR 3 </t>
        </is>
      </c>
      <c r="L84" s="18" t="n">
        <v>46123</v>
      </c>
      <c r="O84" t="inlineStr">
        <is>
          <t>Yes</t>
        </is>
      </c>
      <c r="P84" t="inlineStr">
        <is>
          <t>Yes</t>
        </is>
      </c>
      <c r="R84" t="inlineStr">
        <is>
          <t>Yes</t>
        </is>
      </c>
      <c r="U84" t="inlineStr">
        <is>
          <t>Dr. Palilla, Timothy W. Seeberger</t>
        </is>
      </c>
      <c r="V84" t="inlineStr">
        <is>
          <t>WMH300OPR413</t>
        </is>
      </c>
      <c r="W84" t="inlineStr">
        <is>
          <t>MEDSG2425F-0175</t>
        </is>
      </c>
      <c r="X84" t="inlineStr">
        <is>
          <t>SCH-MACH-C</t>
        </is>
      </c>
      <c r="Y84" t="inlineStr">
        <is>
          <t>A0F5097FF04F</t>
        </is>
      </c>
      <c r="AB84" t="inlineStr">
        <is>
          <t>WA24406904</t>
        </is>
      </c>
      <c r="AC84" t="inlineStr">
        <is>
          <t>NSUH</t>
        </is>
      </c>
      <c r="AD84" t="inlineStr">
        <is>
          <t>Yes</t>
        </is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  <c r="AH84" t="inlineStr">
        <is>
          <t>000D050AA6C9</t>
        </is>
      </c>
      <c r="AJ84" t="n">
        <v>409530</v>
      </c>
      <c r="AL84" t="inlineStr">
        <is>
          <t>1301- 101 / 102</t>
        </is>
      </c>
      <c r="AM84" t="inlineStr">
        <is>
          <t>Drager</t>
        </is>
      </c>
      <c r="AN84" t="inlineStr">
        <is>
          <t>FABIUS GS PREMIUM</t>
        </is>
      </c>
      <c r="AP84" t="inlineStr">
        <is>
          <t>01040486750414671119071121ASMH-0015938607000-73</t>
        </is>
      </c>
      <c r="AQ84" t="inlineStr">
        <is>
          <t>01040486750414671119071121ASMH-0015938607000-73</t>
        </is>
      </c>
      <c r="AS84" t="inlineStr">
        <is>
          <t xml:space="preserve">GE B650: 833-08, SPEC999015 </t>
        </is>
      </c>
      <c r="AT84" t="inlineStr">
        <is>
          <t>B1-CFT</t>
        </is>
      </c>
      <c r="AX84" t="inlineStr">
        <is>
          <t>GE Carespace B650: SK416381038HA</t>
        </is>
      </c>
      <c r="AY84" t="inlineStr">
        <is>
          <t>01040486750414671119071121ASMH-0015938607000-73</t>
        </is>
      </c>
      <c r="BC84" t="n">
        <v>409530</v>
      </c>
      <c r="BD84" t="n">
        <v>443607</v>
      </c>
      <c r="BH84" t="n">
        <v>19200</v>
      </c>
      <c r="BI84" t="n">
        <v>9600</v>
      </c>
      <c r="BM84" t="inlineStr">
        <is>
          <t>E81</t>
        </is>
      </c>
      <c r="BN84" t="inlineStr">
        <is>
          <t>N81</t>
        </is>
      </c>
      <c r="BR84" t="inlineStr">
        <is>
          <t>Yes</t>
        </is>
      </c>
      <c r="BS84" t="inlineStr">
        <is>
          <t>Yes</t>
        </is>
      </c>
      <c r="BT84" t="inlineStr">
        <is>
          <t>Yes</t>
        </is>
      </c>
      <c r="BU84" t="inlineStr">
        <is>
          <t>Yes</t>
        </is>
      </c>
      <c r="CD84">
        <f>IF($Y84="","",IF((IF(AND($BR84&lt;&gt;"Yes",$BR84&lt;&gt;"N/A"),"Power Cable, ","")&amp;IF(AND($BS84&lt;&gt;"Yes",$BS84&lt;&gt;"N/A"),"Battery, ","")&amp;IF(AND($AD84&lt;&gt;"Yes",$AD84&lt;&gt;"N/A"),"Firmware Download, ","")&amp;IF(AND(OR($AD84="Yes",$AD84="N/A"),$AE84&lt;&gt;"Yes",$AE84&lt;&gt;"N/A"),"Firmware Install, ","")&amp;IF(AND($CB84&lt;&gt;"Yes",$CB84&lt;&gt;"N/A"),"Device ID, ","")&amp;IF(AND($CC84&lt;&gt;"Yes",$CC84&lt;&gt;"N/A"),"Epic Beans Relay, ",""))="","",LEFT(IF(AND($BR84&lt;&gt;"Yes",$BR84&lt;&gt;"N/A"),"Power Cable, ","")&amp;IF(AND($BS84&lt;&gt;"Yes",$BS84&lt;&gt;"N/A"),"Battery, ","")&amp;IF(AND($AD84&lt;&gt;"Yes",$AD84&lt;&gt;"N/A"),"Firmware Download, ","")&amp;IF(AND(OR($AD84="Yes",$AD84="N/A"),$AE84&lt;&gt;"Yes",$AE84&lt;&gt;"N/A"),"Firmware Install, ","")&amp;IF(AND($CB84&lt;&gt;"Yes",$CB84&lt;&gt;"N/A"),"Device ID, ","")&amp;IF(AND($CC84&lt;&gt;"Yes",$CC84&lt;&gt;"N/A"),"Epic Beans Relay, ",""),LEN(IF(AND($BR84&lt;&gt;"Yes",$BR84&lt;&gt;"N/A"),"Power Cable, ","")&amp;IF(AND($BS84&lt;&gt;"Yes",$BS84&lt;&gt;"N/A"),"Battery, ","")&amp;IF(AND($AD84&lt;&gt;"Yes",$AD84&lt;&gt;"N/A"),"Firmware Download, ","")&amp;IF(AND(OR($AD84="Yes",$AD84="N/A"),$AE84&lt;&gt;"Yes",$AE84&lt;&gt;"N/A"),"Firmware Install, ","")&amp;IF(AND($CB84&lt;&gt;"Yes",$CB84&lt;&gt;"N/A"),"Device ID, ","")&amp;IF(AND($CC84&lt;&gt;"Yes",$CC84&lt;&gt;"N/A"),"Epic Beans Relay, ",""))-2)))</f>
        <v/>
      </c>
      <c r="CE84">
        <f>IF($Y84="","",IF($CD84="","Yes","Blocked"))</f>
        <v/>
      </c>
      <c r="CF84" t="inlineStr">
        <is>
          <t>Yes</t>
        </is>
      </c>
      <c r="CG84" t="inlineStr">
        <is>
          <t>Yes</t>
        </is>
      </c>
      <c r="CH84" t="inlineStr">
        <is>
          <t>Yes</t>
        </is>
      </c>
      <c r="CI84" t="inlineStr">
        <is>
          <t>Yes</t>
        </is>
      </c>
      <c r="CJ84" t="inlineStr">
        <is>
          <t>Yes</t>
        </is>
      </c>
      <c r="CK84" t="inlineStr">
        <is>
          <t>Yes</t>
        </is>
      </c>
      <c r="CL84" t="inlineStr">
        <is>
          <t>Yes</t>
        </is>
      </c>
      <c r="CM84" t="inlineStr">
        <is>
          <t>Yes</t>
        </is>
      </c>
      <c r="CN84" t="inlineStr">
        <is>
          <t>Yes</t>
        </is>
      </c>
      <c r="CO84" t="inlineStr">
        <is>
          <t>Yes</t>
        </is>
      </c>
      <c r="CP84" t="inlineStr">
        <is>
          <t>Yes</t>
        </is>
      </c>
      <c r="CQ84" t="inlineStr">
        <is>
          <t>Yes</t>
        </is>
      </c>
      <c r="CR84" t="inlineStr">
        <is>
          <t>Yes</t>
        </is>
      </c>
      <c r="CS84" t="inlineStr">
        <is>
          <t>Yes</t>
        </is>
      </c>
      <c r="CW84">
        <f>IF($S84="","",IF(UPPER(TRIM($S84))&lt;&gt;"PASS","",IF(LEN(TRIM($BY84))&gt;0,"NOTES_PRESENT",IF(LEN(TRIM($T84))=0,"SET_NA",IF(OR(LOWER(TRIM($T84))="na",LOWER(TRIM($T84))="n/a"),"OK","MANUAL_OVERRIDE")))))</f>
        <v/>
      </c>
    </row>
    <row r="85">
      <c r="A85" t="inlineStr">
        <is>
          <t>Cybernet-Neuron</t>
        </is>
      </c>
      <c r="B85" s="51" t="inlineStr">
        <is>
          <t>Yes</t>
        </is>
      </c>
      <c r="C85" t="inlineStr">
        <is>
          <t>Yes</t>
        </is>
      </c>
      <c r="D85">
        <f>IF($B85&lt;&gt;"Yes","",IF($C85="No","Yes",IF($C85="Yes","No","")))</f>
        <v/>
      </c>
      <c r="E85">
        <f>IF($A85="","",IF(OR(AND($V85&lt;&gt;"",LOWER(TRIM($V85))&lt;&gt;"n/a",LOWER(TRIM($V85))&lt;&gt;"na",SUMPRODUCT(--(UPPER(TRIM($V$2:$V$518))=UPPER(TRIM($V85))),--(TRIM($V$2:$V$518)&lt;&gt;""),--(LOWER(TRIM($V$2:$V$518))&lt;&gt;"n/a"),--(LOWER(TRIM($V$2:$V$518))&lt;&gt;"na"))&gt;1),AND($W85&lt;&gt;"",LOWER(TRIM($W85))&lt;&gt;"n/a",LOWER(TRIM($W85))&lt;&gt;"na",SUMPRODUCT(--(UPPER(TRIM($W$2:$W$518))=UPPER(TRIM($W85))),--(TRIM($W$2:$W$518)&lt;&gt;""),--(LOWER(TRIM($W$2:$W$518))&lt;&gt;"n/a"),--(LOWER(TRIM($W$2:$W$518))&lt;&gt;"na"))&gt;1),AND($X85&lt;&gt;"",LOWER(TRIM($X85))&lt;&gt;"n/a",LOWER(TRIM($X85))&lt;&gt;"na",SUMPRODUCT(--(UPPER(TRIM($X$2:$X$518))=UPPER(TRIM($X85))),--(TRIM($X$2:$X$518)&lt;&gt;""),--(LOWER(TRIM($X$2:$X$518))&lt;&gt;"n/a"),--(LOWER(TRIM($X$2:$X$518))&lt;&gt;"na"))&gt;1),AND($Y85&lt;&gt;"",LOWER(TRIM($Y85))&lt;&gt;"n/a",LOWER(TRIM($Y85))&lt;&gt;"na",SUMPRODUCT(--(UPPER(SUBSTITUTE(SUBSTITUTE(TRIM($Y$2:$Y$518),":",""),"-",""))=UPPER(SUBSTITUTE(SUBSTITUTE(TRIM($Y85),":",""),"-",""))),--(TRIM($Y$2:$Y$518)&lt;&gt;""),--(LOWER(TRIM($Y$2:$Y$518))&lt;&gt;"n/a"),--(LOWER(TRIM($Y$2:$Y$518))&lt;&gt;"na"))&gt;1),AND($AB85&lt;&gt;"",LOWER(TRIM($AB85))&lt;&gt;"n/a",LOWER(TRIM($AB85))&lt;&gt;"na",SUMPRODUCT(--(UPPER(TRIM($AB$2:$AB$518))=UPPER(TRIM($AB85))),--(TRIM($AB$2:$AB$518)&lt;&gt;""),--(LOWER(TRIM($AB$2:$AB$518))&lt;&gt;"n/a"),--(LOWER(TRIM($AB$2:$AB$518))&lt;&gt;"na"))&gt;1),AND($AH85&lt;&gt;"",LOWER(TRIM($AH85))&lt;&gt;"n/a",LOWER(TRIM($AH85))&lt;&gt;"na",SUMPRODUCT(--(UPPER(SUBSTITUTE(SUBSTITUTE(TRIM($AH$2:$AH$518),":",""),"-",""))=UPPER(SUBSTITUTE(SUBSTITUTE(TRIM($AH85),":",""),"-",""))),--(TRIM($AH$2:$AH$518)&lt;&gt;""),--(LOWER(TRIM($AH$2:$AH$518))&lt;&gt;"n/a"),--(LOWER(TRIM($AH$2:$AH$518))&lt;&gt;"na"))&gt;1),AND($AP85&lt;&gt;"",LOWER(TRIM($AP85))&lt;&gt;"n/a",LOWER(TRIM($AP85))&lt;&gt;"na",SUMPRODUCT(--(UPPER(TRIM($AP$2:$AP$518))=UPPER(TRIM($AP85))),--(TRIM($AP$2:$AP$518)&lt;&gt;""),--(LOWER(TRIM($AP$2:$AP$518))&lt;&gt;"n/a"),--(LOWER(TRIM($AP$2:$AP$518))&lt;&gt;"na"))&gt;1),AND($AQ85&lt;&gt;"",LOWER(TRIM($AQ85))&lt;&gt;"n/a",LOWER(TRIM($AQ85))&lt;&gt;"na",SUMPRODUCT(--(UPPER(TRIM($AQ$2:$AQ$518))=UPPER(TRIM($AQ85))),--(TRIM($AQ$2:$AQ$518)&lt;&gt;""),--(LOWER(TRIM($AQ$2:$AQ$518))&lt;&gt;"n/a"),--(LOWER(TRIM($AQ$2:$AQ$518))&lt;&gt;"na"))&gt;1)),"Yes","No"))</f>
        <v/>
      </c>
      <c r="F85">
        <f>IF(UPPER(TRIM($B85))&lt;&gt;"YES","", IF(OR(AND($V85&lt;&gt;"", LOWER(TRIM($V85))&lt;&gt;"n/a", LOWER(TRIM($V85))&lt;&gt;"na", SUMPRODUCT(--(UPPER(TRIM($V$2:$V$518))=UPPER(TRIM($V85))), --(UPPER(TRIM($B$2:$B$518))="YES"), --(UPPER(TRIM($G$2:$G$518)&amp;TRIM($I$2:$I$518)&amp;TRIM($J$2:$J$518))&lt;&gt;UPPER(TRIM($G85)&amp;TRIM($I85)&amp;TRIM($J85))))&gt;0), AND($W85&lt;&gt;"", LOWER(TRIM($W85))&lt;&gt;"n/a", LOWER(TRIM($W85))&lt;&gt;"na", SUMPRODUCT(--(UPPER(TRIM($W$2:$W$518))=UPPER(TRIM($W85))), --(UPPER(TRIM($B$2:$B$518))="YES"), --(UPPER(TRIM($G$2:$G$518)&amp;TRIM($I$2:$I$518)&amp;TRIM($J$2:$J$518))&lt;&gt;UPPER(TRIM($G85)&amp;TRIM($I85)&amp;TRIM($J85))))&gt;0), AND($X85&lt;&gt;"", LOWER(TRIM($X85))&lt;&gt;"n/a", LOWER(TRIM($X85))&lt;&gt;"na", SUMPRODUCT(--(UPPER(TRIM($X$2:$X$518))=UPPER(TRIM($X85))), --(UPPER(TRIM($B$2:$B$518))="YES"), --(UPPER(TRIM($G$2:$G$518)&amp;TRIM($I$2:$I$518)&amp;TRIM($J$2:$J$518))&lt;&gt;UPPER(TRIM($G85)&amp;TRIM($I85)&amp;TRIM($J85))))&gt;0), AND($Y85&lt;&gt;"", LOWER(TRIM($Y85))&lt;&gt;"n/a", LOWER(TRIM($Y85))&lt;&gt;"na", SUMPRODUCT(--(UPPER(SUBSTITUTE(SUBSTITUTE(TRIM($Y$2:$Y$518),":",""),"-",""))=UPPER(SUBSTITUTE(SUBSTITUTE(TRIM($Y85),":",""),"-",""))), --(UPPER(TRIM($B$2:$B$518))="YES"), --(UPPER(TRIM($G$2:$G$518)&amp;TRIM($I$2:$I$518)&amp;TRIM($J$2:$J$518))&lt;&gt;UPPER(TRIM($G85)&amp;TRIM($I85)&amp;TRIM($J85))))&gt;0), AND($AB85&lt;&gt;"", LOWER(TRIM($AB85))&lt;&gt;"n/a", LOWER(TRIM($AB85))&lt;&gt;"na", SUMPRODUCT(--(UPPER(TRIM($AB$2:$AB$518))=UPPER(TRIM($AB85))), --(UPPER(TRIM($B$2:$B$518))="YES"), --(UPPER(TRIM($G$2:$G$518)&amp;TRIM($I$2:$I$518)&amp;TRIM($J$2:$J$518))&lt;&gt;UPPER(TRIM($G85)&amp;TRIM($I85)&amp;TRIM($J85))))&gt;0), AND($AH85&lt;&gt;"", LOWER(TRIM($AH85))&lt;&gt;"n/a", LOWER(TRIM($AH85))&lt;&gt;"na", SUMPRODUCT(--(UPPER(SUBSTITUTE(SUBSTITUTE(TRIM($AH$2:$AH$518),":",""),"-",""))=UPPER(SUBSTITUTE(SUBSTITUTE(TRIM($AH85),":",""),"-",""))), --(UPPER(TRIM($B$2:$B$518))="YES"), --(UPPER(TRIM($G$2:$G$518)&amp;TRIM($I$2:$I$518)&amp;TRIM($J$2:$J$518))&lt;&gt;UPPER(TRIM($G85)&amp;TRIM($I85)&amp;TRIM($J85))))&gt;0), AND($AP85&lt;&gt;"", LOWER(TRIM($AP85))&lt;&gt;"n/a", LOWER(TRIM($AP85))&lt;&gt;"na", SUMPRODUCT(--(UPPER(TRIM($AP$2:$AP$518))=UPPER(TRIM($AP85))), --(UPPER(TRIM($B$2:$B$518))="YES"), --(UPPER(TRIM($G$2:$G$518)&amp;TRIM($I$2:$I$518)&amp;TRIM($J$2:$J$518))&lt;&gt;UPPER(TRIM($G85)&amp;TRIM($I85)&amp;TRIM($J85))))&gt;0), AND($AQ85&lt;&gt;"", LOWER(TRIM($AQ85))&lt;&gt;"n/a", LOWER(TRIM($AQ85))&lt;&gt;"na", SUMPRODUCT(--(UPPER(TRIM($AQ$2:$AQ$518))=UPPER(TRIM($AQ85))), --(UPPER(TRIM($B$2:$B$518))="YES"), --(UPPER(TRIM($G$2:$G$518)&amp;TRIM($I$2:$I$518)&amp;TRIM($J$2:$J$518))&lt;&gt;UPPER(TRIM($G85)&amp;TRIM($I85)&amp;TRIM($J85))))&gt;0)), "Yes", "No"))</f>
        <v/>
      </c>
      <c r="G85" t="inlineStr">
        <is>
          <t>NSUH - MRI Suite</t>
        </is>
      </c>
      <c r="H85" t="inlineStr">
        <is>
          <t>NSUH - MRI Suite</t>
        </is>
      </c>
      <c r="I85" t="inlineStr">
        <is>
          <t>MRI - 1st Floor</t>
        </is>
      </c>
      <c r="J85" t="inlineStr">
        <is>
          <t>MRI Control Room 2</t>
        </is>
      </c>
      <c r="L85" s="18" t="n">
        <v>46123</v>
      </c>
      <c r="M85" t="inlineStr">
        <is>
          <t>OR Workstation</t>
        </is>
      </c>
      <c r="N85" t="inlineStr">
        <is>
          <t>No</t>
        </is>
      </c>
      <c r="O85" t="inlineStr">
        <is>
          <t>Yes</t>
        </is>
      </c>
      <c r="P85" t="inlineStr">
        <is>
          <t>Yes</t>
        </is>
      </c>
      <c r="Q85" t="inlineStr">
        <is>
          <t>Inpatient</t>
        </is>
      </c>
      <c r="R85" t="inlineStr">
        <is>
          <t>No</t>
        </is>
      </c>
      <c r="S85" t="inlineStr">
        <is>
          <t>tbd</t>
        </is>
      </c>
      <c r="T85" t="inlineStr">
        <is>
          <t>tbd</t>
        </is>
      </c>
      <c r="U85" t="inlineStr">
        <is>
          <t>Dr. Palilla, Timothy W. Seeberger</t>
        </is>
      </c>
      <c r="V85" t="inlineStr">
        <is>
          <t>WMH300OPR414</t>
        </is>
      </c>
      <c r="W85" t="inlineStr">
        <is>
          <t>MEDSG2425F-0043</t>
        </is>
      </c>
      <c r="X85" t="inlineStr">
        <is>
          <t>NSUH-MACH-AF</t>
        </is>
      </c>
      <c r="Y85" t="inlineStr">
        <is>
          <t>A0F5097FE183</t>
        </is>
      </c>
      <c r="AB85" t="inlineStr">
        <is>
          <t>WA24406380</t>
        </is>
      </c>
      <c r="AH85" t="inlineStr">
        <is>
          <t>000d050aa8cf</t>
        </is>
      </c>
      <c r="AJ85" t="n">
        <v>406086</v>
      </c>
      <c r="AM85" t="inlineStr">
        <is>
          <t>Philips</t>
        </is>
      </c>
      <c r="AN85" s="65" t="inlineStr">
        <is>
          <t>Expression IP5</t>
        </is>
      </c>
      <c r="CD85">
        <f>IF($Y85="","",IF((IF(AND($BR85&lt;&gt;"Yes",$BR85&lt;&gt;"N/A"),"Power Cable, ","")&amp;IF(AND($BS85&lt;&gt;"Yes",$BS85&lt;&gt;"N/A"),"Battery, ","")&amp;IF(AND($AD85&lt;&gt;"Yes",$AD85&lt;&gt;"N/A"),"Firmware Download, ","")&amp;IF(AND(OR($AD85="Yes",$AD85="N/A"),$AE85&lt;&gt;"Yes",$AE85&lt;&gt;"N/A"),"Firmware Install, ","")&amp;IF(AND($CB85&lt;&gt;"Yes",$CB85&lt;&gt;"N/A"),"Device ID, ","")&amp;IF(AND($CC85&lt;&gt;"Yes",$CC85&lt;&gt;"N/A"),"Epic Beans Relay, ",""))="","",LEFT(IF(AND($BR85&lt;&gt;"Yes",$BR85&lt;&gt;"N/A"),"Power Cable, ","")&amp;IF(AND($BS85&lt;&gt;"Yes",$BS85&lt;&gt;"N/A"),"Battery, ","")&amp;IF(AND($AD85&lt;&gt;"Yes",$AD85&lt;&gt;"N/A"),"Firmware Download, ","")&amp;IF(AND(OR($AD85="Yes",$AD85="N/A"),$AE85&lt;&gt;"Yes",$AE85&lt;&gt;"N/A"),"Firmware Install, ","")&amp;IF(AND($CB85&lt;&gt;"Yes",$CB85&lt;&gt;"N/A"),"Device ID, ","")&amp;IF(AND($CC85&lt;&gt;"Yes",$CC85&lt;&gt;"N/A"),"Epic Beans Relay, ",""),LEN(IF(AND($BR85&lt;&gt;"Yes",$BR85&lt;&gt;"N/A"),"Power Cable, ","")&amp;IF(AND($BS85&lt;&gt;"Yes",$BS85&lt;&gt;"N/A"),"Battery, ","")&amp;IF(AND($AD85&lt;&gt;"Yes",$AD85&lt;&gt;"N/A"),"Firmware Download, ","")&amp;IF(AND(OR($AD85="Yes",$AD85="N/A"),$AE85&lt;&gt;"Yes",$AE85&lt;&gt;"N/A"),"Firmware Install, ","")&amp;IF(AND($CB85&lt;&gt;"Yes",$CB85&lt;&gt;"N/A"),"Device ID, ","")&amp;IF(AND($CC85&lt;&gt;"Yes",$CC85&lt;&gt;"N/A"),"Epic Beans Relay, ",""))-2)))</f>
        <v/>
      </c>
      <c r="CE85">
        <f>IF($Y85="","",IF($CD85="","Yes","Blocked"))</f>
        <v/>
      </c>
      <c r="CF85" t="inlineStr">
        <is>
          <t>Yes</t>
        </is>
      </c>
      <c r="CG85" t="inlineStr">
        <is>
          <t>Yes</t>
        </is>
      </c>
      <c r="CH85" t="inlineStr">
        <is>
          <t>Yes</t>
        </is>
      </c>
      <c r="CI85" t="inlineStr">
        <is>
          <t>Yes</t>
        </is>
      </c>
      <c r="CJ85" t="inlineStr">
        <is>
          <t>Yes</t>
        </is>
      </c>
      <c r="CK85" t="inlineStr">
        <is>
          <t>Yes</t>
        </is>
      </c>
      <c r="CL85" t="inlineStr">
        <is>
          <t>Yes</t>
        </is>
      </c>
      <c r="CM85" t="inlineStr">
        <is>
          <t>Yes</t>
        </is>
      </c>
      <c r="CN85" t="inlineStr">
        <is>
          <t>Yes</t>
        </is>
      </c>
      <c r="CO85" t="inlineStr">
        <is>
          <t>Yes</t>
        </is>
      </c>
      <c r="CP85" t="inlineStr">
        <is>
          <t>Yes</t>
        </is>
      </c>
      <c r="CQ85" t="inlineStr">
        <is>
          <t>Yes</t>
        </is>
      </c>
      <c r="CR85" t="inlineStr">
        <is>
          <t>Yes</t>
        </is>
      </c>
      <c r="CS85" t="inlineStr">
        <is>
          <t>Yes</t>
        </is>
      </c>
      <c r="CW85">
        <f>IF($S85="","",IF(UPPER(TRIM($S85))&lt;&gt;"PASS","",IF(LEN(TRIM($BY85))&gt;0,"NOTES_PRESENT",IF(LEN(TRIM($T85))=0,"SET_NA",IF(OR(LOWER(TRIM($T85))="na",LOWER(TRIM($T85))="n/a"),"OK","MANUAL_OVERRIDE")))))</f>
        <v/>
      </c>
    </row>
    <row r="86">
      <c r="A86" t="inlineStr">
        <is>
          <t>Cybernet</t>
        </is>
      </c>
      <c r="B86" s="51" t="inlineStr">
        <is>
          <t>No</t>
        </is>
      </c>
      <c r="C86" t="inlineStr">
        <is>
          <t>No</t>
        </is>
      </c>
      <c r="D86">
        <f>IF($B86&lt;&gt;"Yes","",IF($C86="No","Yes",IF($C86="Yes","No","")))</f>
        <v/>
      </c>
      <c r="E86">
        <f>IF($A86="","",IF(OR(AND($V86&lt;&gt;"",LOWER(TRIM($V86))&lt;&gt;"n/a",LOWER(TRIM($V86))&lt;&gt;"na",SUMPRODUCT(--(UPPER(TRIM($V$2:$V$518))=UPPER(TRIM($V86))),--(TRIM($V$2:$V$518)&lt;&gt;""),--(LOWER(TRIM($V$2:$V$518))&lt;&gt;"n/a"),--(LOWER(TRIM($V$2:$V$518))&lt;&gt;"na"))&gt;1),AND($W86&lt;&gt;"",LOWER(TRIM($W86))&lt;&gt;"n/a",LOWER(TRIM($W86))&lt;&gt;"na",SUMPRODUCT(--(UPPER(TRIM($W$2:$W$518))=UPPER(TRIM($W86))),--(TRIM($W$2:$W$518)&lt;&gt;""),--(LOWER(TRIM($W$2:$W$518))&lt;&gt;"n/a"),--(LOWER(TRIM($W$2:$W$518))&lt;&gt;"na"))&gt;1),AND($X86&lt;&gt;"",LOWER(TRIM($X86))&lt;&gt;"n/a",LOWER(TRIM($X86))&lt;&gt;"na",SUMPRODUCT(--(UPPER(TRIM($X$2:$X$518))=UPPER(TRIM($X86))),--(TRIM($X$2:$X$518)&lt;&gt;""),--(LOWER(TRIM($X$2:$X$518))&lt;&gt;"n/a"),--(LOWER(TRIM($X$2:$X$518))&lt;&gt;"na"))&gt;1),AND($Y86&lt;&gt;"",LOWER(TRIM($Y86))&lt;&gt;"n/a",LOWER(TRIM($Y86))&lt;&gt;"na",SUMPRODUCT(--(UPPER(SUBSTITUTE(SUBSTITUTE(TRIM($Y$2:$Y$518),":",""),"-",""))=UPPER(SUBSTITUTE(SUBSTITUTE(TRIM($Y86),":",""),"-",""))),--(TRIM($Y$2:$Y$518)&lt;&gt;""),--(LOWER(TRIM($Y$2:$Y$518))&lt;&gt;"n/a"),--(LOWER(TRIM($Y$2:$Y$518))&lt;&gt;"na"))&gt;1),AND($AB86&lt;&gt;"",LOWER(TRIM($AB86))&lt;&gt;"n/a",LOWER(TRIM($AB86))&lt;&gt;"na",SUMPRODUCT(--(UPPER(TRIM($AB$2:$AB$518))=UPPER(TRIM($AB86))),--(TRIM($AB$2:$AB$518)&lt;&gt;""),--(LOWER(TRIM($AB$2:$AB$518))&lt;&gt;"n/a"),--(LOWER(TRIM($AB$2:$AB$518))&lt;&gt;"na"))&gt;1),AND($AH86&lt;&gt;"",LOWER(TRIM($AH86))&lt;&gt;"n/a",LOWER(TRIM($AH86))&lt;&gt;"na",SUMPRODUCT(--(UPPER(SUBSTITUTE(SUBSTITUTE(TRIM($AH$2:$AH$518),":",""),"-",""))=UPPER(SUBSTITUTE(SUBSTITUTE(TRIM($AH86),":",""),"-",""))),--(TRIM($AH$2:$AH$518)&lt;&gt;""),--(LOWER(TRIM($AH$2:$AH$518))&lt;&gt;"n/a"),--(LOWER(TRIM($AH$2:$AH$518))&lt;&gt;"na"))&gt;1),AND($AP86&lt;&gt;"",LOWER(TRIM($AP86))&lt;&gt;"n/a",LOWER(TRIM($AP86))&lt;&gt;"na",SUMPRODUCT(--(UPPER(TRIM($AP$2:$AP$518))=UPPER(TRIM($AP86))),--(TRIM($AP$2:$AP$518)&lt;&gt;""),--(LOWER(TRIM($AP$2:$AP$518))&lt;&gt;"n/a"),--(LOWER(TRIM($AP$2:$AP$518))&lt;&gt;"na"))&gt;1),AND($AQ86&lt;&gt;"",LOWER(TRIM($AQ86))&lt;&gt;"n/a",LOWER(TRIM($AQ86))&lt;&gt;"na",SUMPRODUCT(--(UPPER(TRIM($AQ$2:$AQ$518))=UPPER(TRIM($AQ86))),--(TRIM($AQ$2:$AQ$518)&lt;&gt;""),--(LOWER(TRIM($AQ$2:$AQ$518))&lt;&gt;"n/a"),--(LOWER(TRIM($AQ$2:$AQ$518))&lt;&gt;"na"))&gt;1)),"Yes","No"))</f>
        <v/>
      </c>
      <c r="F86">
        <f>IF(UPPER(TRIM($B86))&lt;&gt;"YES","", IF(OR(AND($V86&lt;&gt;"", LOWER(TRIM($V86))&lt;&gt;"n/a", LOWER(TRIM($V86))&lt;&gt;"na", SUMPRODUCT(--(UPPER(TRIM($V$2:$V$518))=UPPER(TRIM($V86))), --(UPPER(TRIM($B$2:$B$518))="YES"), --(UPPER(TRIM($G$2:$G$518)&amp;TRIM($I$2:$I$518)&amp;TRIM($J$2:$J$518))&lt;&gt;UPPER(TRIM($G86)&amp;TRIM($I86)&amp;TRIM($J86))))&gt;0), AND($W86&lt;&gt;"", LOWER(TRIM($W86))&lt;&gt;"n/a", LOWER(TRIM($W86))&lt;&gt;"na", SUMPRODUCT(--(UPPER(TRIM($W$2:$W$518))=UPPER(TRIM($W86))), --(UPPER(TRIM($B$2:$B$518))="YES"), --(UPPER(TRIM($G$2:$G$518)&amp;TRIM($I$2:$I$518)&amp;TRIM($J$2:$J$518))&lt;&gt;UPPER(TRIM($G86)&amp;TRIM($I86)&amp;TRIM($J86))))&gt;0), AND($X86&lt;&gt;"", LOWER(TRIM($X86))&lt;&gt;"n/a", LOWER(TRIM($X86))&lt;&gt;"na", SUMPRODUCT(--(UPPER(TRIM($X$2:$X$518))=UPPER(TRIM($X86))), --(UPPER(TRIM($B$2:$B$518))="YES"), --(UPPER(TRIM($G$2:$G$518)&amp;TRIM($I$2:$I$518)&amp;TRIM($J$2:$J$518))&lt;&gt;UPPER(TRIM($G86)&amp;TRIM($I86)&amp;TRIM($J86))))&gt;0), AND($Y86&lt;&gt;"", LOWER(TRIM($Y86))&lt;&gt;"n/a", LOWER(TRIM($Y86))&lt;&gt;"na", SUMPRODUCT(--(UPPER(SUBSTITUTE(SUBSTITUTE(TRIM($Y$2:$Y$518),":",""),"-",""))=UPPER(SUBSTITUTE(SUBSTITUTE(TRIM($Y86),":",""),"-",""))), --(UPPER(TRIM($B$2:$B$518))="YES"), --(UPPER(TRIM($G$2:$G$518)&amp;TRIM($I$2:$I$518)&amp;TRIM($J$2:$J$518))&lt;&gt;UPPER(TRIM($G86)&amp;TRIM($I86)&amp;TRIM($J86))))&gt;0), AND($AB86&lt;&gt;"", LOWER(TRIM($AB86))&lt;&gt;"n/a", LOWER(TRIM($AB86))&lt;&gt;"na", SUMPRODUCT(--(UPPER(TRIM($AB$2:$AB$518))=UPPER(TRIM($AB86))), --(UPPER(TRIM($B$2:$B$518))="YES"), --(UPPER(TRIM($G$2:$G$518)&amp;TRIM($I$2:$I$518)&amp;TRIM($J$2:$J$518))&lt;&gt;UPPER(TRIM($G86)&amp;TRIM($I86)&amp;TRIM($J86))))&gt;0), AND($AH86&lt;&gt;"", LOWER(TRIM($AH86))&lt;&gt;"n/a", LOWER(TRIM($AH86))&lt;&gt;"na", SUMPRODUCT(--(UPPER(SUBSTITUTE(SUBSTITUTE(TRIM($AH$2:$AH$518),":",""),"-",""))=UPPER(SUBSTITUTE(SUBSTITUTE(TRIM($AH86),":",""),"-",""))), --(UPPER(TRIM($B$2:$B$518))="YES"), --(UPPER(TRIM($G$2:$G$518)&amp;TRIM($I$2:$I$518)&amp;TRIM($J$2:$J$518))&lt;&gt;UPPER(TRIM($G86)&amp;TRIM($I86)&amp;TRIM($J86))))&gt;0), AND($AP86&lt;&gt;"", LOWER(TRIM($AP86))&lt;&gt;"n/a", LOWER(TRIM($AP86))&lt;&gt;"na", SUMPRODUCT(--(UPPER(TRIM($AP$2:$AP$518))=UPPER(TRIM($AP86))), --(UPPER(TRIM($B$2:$B$518))="YES"), --(UPPER(TRIM($G$2:$G$518)&amp;TRIM($I$2:$I$518)&amp;TRIM($J$2:$J$518))&lt;&gt;UPPER(TRIM($G86)&amp;TRIM($I86)&amp;TRIM($J86))))&gt;0), AND($AQ86&lt;&gt;"", LOWER(TRIM($AQ86))&lt;&gt;"n/a", LOWER(TRIM($AQ86))&lt;&gt;"na", SUMPRODUCT(--(UPPER(TRIM($AQ$2:$AQ$518))=UPPER(TRIM($AQ86))), --(UPPER(TRIM($B$2:$B$518))="YES"), --(UPPER(TRIM($G$2:$G$518)&amp;TRIM($I$2:$I$518)&amp;TRIM($J$2:$J$518))&lt;&gt;UPPER(TRIM($G86)&amp;TRIM($I86)&amp;TRIM($J86))))&gt;0)), "Yes", "No"))</f>
        <v/>
      </c>
      <c r="G86" t="inlineStr">
        <is>
          <t>NSUH - MRI Suite</t>
        </is>
      </c>
      <c r="I86" t="inlineStr">
        <is>
          <t>MRI - 1st Floor</t>
        </is>
      </c>
      <c r="U86" t="inlineStr">
        <is>
          <t>Dr. Palilla, Timothy W. Seeberger</t>
        </is>
      </c>
      <c r="V86" t="inlineStr">
        <is>
          <t>WMH300OPR415</t>
        </is>
      </c>
      <c r="W86" t="inlineStr">
        <is>
          <t>MEDSG2425F-0058</t>
        </is>
      </c>
      <c r="CD86">
        <f>IF($Y86="","",IF((IF(AND($BR86&lt;&gt;"Yes",$BR86&lt;&gt;"N/A"),"Power Cable, ","")&amp;IF(AND($BS86&lt;&gt;"Yes",$BS86&lt;&gt;"N/A"),"Battery, ","")&amp;IF(AND($AD86&lt;&gt;"Yes",$AD86&lt;&gt;"N/A"),"Firmware Download, ","")&amp;IF(AND(OR($AD86="Yes",$AD86="N/A"),$AE86&lt;&gt;"Yes",$AE86&lt;&gt;"N/A"),"Firmware Install, ","")&amp;IF(AND($CB86&lt;&gt;"Yes",$CB86&lt;&gt;"N/A"),"Device ID, ","")&amp;IF(AND($CC86&lt;&gt;"Yes",$CC86&lt;&gt;"N/A"),"Epic Beans Relay, ",""))="","",LEFT(IF(AND($BR86&lt;&gt;"Yes",$BR86&lt;&gt;"N/A"),"Power Cable, ","")&amp;IF(AND($BS86&lt;&gt;"Yes",$BS86&lt;&gt;"N/A"),"Battery, ","")&amp;IF(AND($AD86&lt;&gt;"Yes",$AD86&lt;&gt;"N/A"),"Firmware Download, ","")&amp;IF(AND(OR($AD86="Yes",$AD86="N/A"),$AE86&lt;&gt;"Yes",$AE86&lt;&gt;"N/A"),"Firmware Install, ","")&amp;IF(AND($CB86&lt;&gt;"Yes",$CB86&lt;&gt;"N/A"),"Device ID, ","")&amp;IF(AND($CC86&lt;&gt;"Yes",$CC86&lt;&gt;"N/A"),"Epic Beans Relay, ",""),LEN(IF(AND($BR86&lt;&gt;"Yes",$BR86&lt;&gt;"N/A"),"Power Cable, ","")&amp;IF(AND($BS86&lt;&gt;"Yes",$BS86&lt;&gt;"N/A"),"Battery, ","")&amp;IF(AND($AD86&lt;&gt;"Yes",$AD86&lt;&gt;"N/A"),"Firmware Download, ","")&amp;IF(AND(OR($AD86="Yes",$AD86="N/A"),$AE86&lt;&gt;"Yes",$AE86&lt;&gt;"N/A"),"Firmware Install, ","")&amp;IF(AND($CB86&lt;&gt;"Yes",$CB86&lt;&gt;"N/A"),"Device ID, ","")&amp;IF(AND($CC86&lt;&gt;"Yes",$CC86&lt;&gt;"N/A"),"Epic Beans Relay, ",""))-2)))</f>
        <v/>
      </c>
      <c r="CE86">
        <f>IF($Y86="","",IF($CD86="","Yes","Blocked"))</f>
        <v/>
      </c>
      <c r="CF86" t="inlineStr">
        <is>
          <t>Yes</t>
        </is>
      </c>
      <c r="CG86" t="inlineStr">
        <is>
          <t>Yes</t>
        </is>
      </c>
      <c r="CH86" t="inlineStr">
        <is>
          <t>Yes</t>
        </is>
      </c>
      <c r="CI86" t="inlineStr">
        <is>
          <t>Yes</t>
        </is>
      </c>
      <c r="CJ86" t="inlineStr">
        <is>
          <t>Yes</t>
        </is>
      </c>
      <c r="CK86" t="inlineStr">
        <is>
          <t>Yes</t>
        </is>
      </c>
      <c r="CL86" t="inlineStr">
        <is>
          <t>Yes</t>
        </is>
      </c>
      <c r="CM86" t="inlineStr">
        <is>
          <t>Yes</t>
        </is>
      </c>
      <c r="CN86" t="inlineStr">
        <is>
          <t>Yes</t>
        </is>
      </c>
      <c r="CO86" t="inlineStr">
        <is>
          <t>Yes</t>
        </is>
      </c>
      <c r="CP86" t="inlineStr">
        <is>
          <t>Yes</t>
        </is>
      </c>
      <c r="CQ86" t="inlineStr">
        <is>
          <t>Yes</t>
        </is>
      </c>
      <c r="CR86" t="inlineStr">
        <is>
          <t>Yes</t>
        </is>
      </c>
      <c r="CS86" t="inlineStr">
        <is>
          <t>Yes</t>
        </is>
      </c>
      <c r="CW86">
        <f>IF($S86="","",IF(UPPER(TRIM($S86))&lt;&gt;"PASS","",IF(LEN(TRIM($BY86))&gt;0,"NOTES_PRESENT",IF(LEN(TRIM($T86))=0,"SET_NA",IF(OR(LOWER(TRIM($T86))="na",LOWER(TRIM($T86))="n/a"),"OK","MANUAL_OVERRIDE")))))</f>
        <v/>
      </c>
    </row>
    <row r="87">
      <c r="A87" t="inlineStr">
        <is>
          <t>Cybernet</t>
        </is>
      </c>
      <c r="B87" s="51" t="inlineStr">
        <is>
          <t>No</t>
        </is>
      </c>
      <c r="C87" t="inlineStr">
        <is>
          <t>No</t>
        </is>
      </c>
      <c r="D87">
        <f>IF($B87&lt;&gt;"Yes","",IF($C87="No","Yes",IF($C87="Yes","No","")))</f>
        <v/>
      </c>
      <c r="E87">
        <f>IF($A87="","",IF(OR(AND($V87&lt;&gt;"",LOWER(TRIM($V87))&lt;&gt;"n/a",LOWER(TRIM($V87))&lt;&gt;"na",SUMPRODUCT(--(UPPER(TRIM($V$2:$V$518))=UPPER(TRIM($V87))),--(TRIM($V$2:$V$518)&lt;&gt;""),--(LOWER(TRIM($V$2:$V$518))&lt;&gt;"n/a"),--(LOWER(TRIM($V$2:$V$518))&lt;&gt;"na"))&gt;1),AND($W87&lt;&gt;"",LOWER(TRIM($W87))&lt;&gt;"n/a",LOWER(TRIM($W87))&lt;&gt;"na",SUMPRODUCT(--(UPPER(TRIM($W$2:$W$518))=UPPER(TRIM($W87))),--(TRIM($W$2:$W$518)&lt;&gt;""),--(LOWER(TRIM($W$2:$W$518))&lt;&gt;"n/a"),--(LOWER(TRIM($W$2:$W$518))&lt;&gt;"na"))&gt;1),AND($X87&lt;&gt;"",LOWER(TRIM($X87))&lt;&gt;"n/a",LOWER(TRIM($X87))&lt;&gt;"na",SUMPRODUCT(--(UPPER(TRIM($X$2:$X$518))=UPPER(TRIM($X87))),--(TRIM($X$2:$X$518)&lt;&gt;""),--(LOWER(TRIM($X$2:$X$518))&lt;&gt;"n/a"),--(LOWER(TRIM($X$2:$X$518))&lt;&gt;"na"))&gt;1),AND($Y87&lt;&gt;"",LOWER(TRIM($Y87))&lt;&gt;"n/a",LOWER(TRIM($Y87))&lt;&gt;"na",SUMPRODUCT(--(UPPER(SUBSTITUTE(SUBSTITUTE(TRIM($Y$2:$Y$518),":",""),"-",""))=UPPER(SUBSTITUTE(SUBSTITUTE(TRIM($Y87),":",""),"-",""))),--(TRIM($Y$2:$Y$518)&lt;&gt;""),--(LOWER(TRIM($Y$2:$Y$518))&lt;&gt;"n/a"),--(LOWER(TRIM($Y$2:$Y$518))&lt;&gt;"na"))&gt;1),AND($AB87&lt;&gt;"",LOWER(TRIM($AB87))&lt;&gt;"n/a",LOWER(TRIM($AB87))&lt;&gt;"na",SUMPRODUCT(--(UPPER(TRIM($AB$2:$AB$518))=UPPER(TRIM($AB87))),--(TRIM($AB$2:$AB$518)&lt;&gt;""),--(LOWER(TRIM($AB$2:$AB$518))&lt;&gt;"n/a"),--(LOWER(TRIM($AB$2:$AB$518))&lt;&gt;"na"))&gt;1),AND($AH87&lt;&gt;"",LOWER(TRIM($AH87))&lt;&gt;"n/a",LOWER(TRIM($AH87))&lt;&gt;"na",SUMPRODUCT(--(UPPER(SUBSTITUTE(SUBSTITUTE(TRIM($AH$2:$AH$518),":",""),"-",""))=UPPER(SUBSTITUTE(SUBSTITUTE(TRIM($AH87),":",""),"-",""))),--(TRIM($AH$2:$AH$518)&lt;&gt;""),--(LOWER(TRIM($AH$2:$AH$518))&lt;&gt;"n/a"),--(LOWER(TRIM($AH$2:$AH$518))&lt;&gt;"na"))&gt;1),AND($AP87&lt;&gt;"",LOWER(TRIM($AP87))&lt;&gt;"n/a",LOWER(TRIM($AP87))&lt;&gt;"na",SUMPRODUCT(--(UPPER(TRIM($AP$2:$AP$518))=UPPER(TRIM($AP87))),--(TRIM($AP$2:$AP$518)&lt;&gt;""),--(LOWER(TRIM($AP$2:$AP$518))&lt;&gt;"n/a"),--(LOWER(TRIM($AP$2:$AP$518))&lt;&gt;"na"))&gt;1),AND($AQ87&lt;&gt;"",LOWER(TRIM($AQ87))&lt;&gt;"n/a",LOWER(TRIM($AQ87))&lt;&gt;"na",SUMPRODUCT(--(UPPER(TRIM($AQ$2:$AQ$518))=UPPER(TRIM($AQ87))),--(TRIM($AQ$2:$AQ$518)&lt;&gt;""),--(LOWER(TRIM($AQ$2:$AQ$518))&lt;&gt;"n/a"),--(LOWER(TRIM($AQ$2:$AQ$518))&lt;&gt;"na"))&gt;1)),"Yes","No"))</f>
        <v/>
      </c>
      <c r="F87">
        <f>IF(UPPER(TRIM($B87))&lt;&gt;"YES","", IF(OR(AND($V87&lt;&gt;"", LOWER(TRIM($V87))&lt;&gt;"n/a", LOWER(TRIM($V87))&lt;&gt;"na", SUMPRODUCT(--(UPPER(TRIM($V$2:$V$518))=UPPER(TRIM($V87))), --(UPPER(TRIM($B$2:$B$518))="YES"), --(UPPER(TRIM($G$2:$G$518)&amp;TRIM($I$2:$I$518)&amp;TRIM($J$2:$J$518))&lt;&gt;UPPER(TRIM($G87)&amp;TRIM($I87)&amp;TRIM($J87))))&gt;0), AND($W87&lt;&gt;"", LOWER(TRIM($W87))&lt;&gt;"n/a", LOWER(TRIM($W87))&lt;&gt;"na", SUMPRODUCT(--(UPPER(TRIM($W$2:$W$518))=UPPER(TRIM($W87))), --(UPPER(TRIM($B$2:$B$518))="YES"), --(UPPER(TRIM($G$2:$G$518)&amp;TRIM($I$2:$I$518)&amp;TRIM($J$2:$J$518))&lt;&gt;UPPER(TRIM($G87)&amp;TRIM($I87)&amp;TRIM($J87))))&gt;0), AND($X87&lt;&gt;"", LOWER(TRIM($X87))&lt;&gt;"n/a", LOWER(TRIM($X87))&lt;&gt;"na", SUMPRODUCT(--(UPPER(TRIM($X$2:$X$518))=UPPER(TRIM($X87))), --(UPPER(TRIM($B$2:$B$518))="YES"), --(UPPER(TRIM($G$2:$G$518)&amp;TRIM($I$2:$I$518)&amp;TRIM($J$2:$J$518))&lt;&gt;UPPER(TRIM($G87)&amp;TRIM($I87)&amp;TRIM($J87))))&gt;0), AND($Y87&lt;&gt;"", LOWER(TRIM($Y87))&lt;&gt;"n/a", LOWER(TRIM($Y87))&lt;&gt;"na", SUMPRODUCT(--(UPPER(SUBSTITUTE(SUBSTITUTE(TRIM($Y$2:$Y$518),":",""),"-",""))=UPPER(SUBSTITUTE(SUBSTITUTE(TRIM($Y87),":",""),"-",""))), --(UPPER(TRIM($B$2:$B$518))="YES"), --(UPPER(TRIM($G$2:$G$518)&amp;TRIM($I$2:$I$518)&amp;TRIM($J$2:$J$518))&lt;&gt;UPPER(TRIM($G87)&amp;TRIM($I87)&amp;TRIM($J87))))&gt;0), AND($AB87&lt;&gt;"", LOWER(TRIM($AB87))&lt;&gt;"n/a", LOWER(TRIM($AB87))&lt;&gt;"na", SUMPRODUCT(--(UPPER(TRIM($AB$2:$AB$518))=UPPER(TRIM($AB87))), --(UPPER(TRIM($B$2:$B$518))="YES"), --(UPPER(TRIM($G$2:$G$518)&amp;TRIM($I$2:$I$518)&amp;TRIM($J$2:$J$518))&lt;&gt;UPPER(TRIM($G87)&amp;TRIM($I87)&amp;TRIM($J87))))&gt;0), AND($AH87&lt;&gt;"", LOWER(TRIM($AH87))&lt;&gt;"n/a", LOWER(TRIM($AH87))&lt;&gt;"na", SUMPRODUCT(--(UPPER(SUBSTITUTE(SUBSTITUTE(TRIM($AH$2:$AH$518),":",""),"-",""))=UPPER(SUBSTITUTE(SUBSTITUTE(TRIM($AH87),":",""),"-",""))), --(UPPER(TRIM($B$2:$B$518))="YES"), --(UPPER(TRIM($G$2:$G$518)&amp;TRIM($I$2:$I$518)&amp;TRIM($J$2:$J$518))&lt;&gt;UPPER(TRIM($G87)&amp;TRIM($I87)&amp;TRIM($J87))))&gt;0), AND($AP87&lt;&gt;"", LOWER(TRIM($AP87))&lt;&gt;"n/a", LOWER(TRIM($AP87))&lt;&gt;"na", SUMPRODUCT(--(UPPER(TRIM($AP$2:$AP$518))=UPPER(TRIM($AP87))), --(UPPER(TRIM($B$2:$B$518))="YES"), --(UPPER(TRIM($G$2:$G$518)&amp;TRIM($I$2:$I$518)&amp;TRIM($J$2:$J$518))&lt;&gt;UPPER(TRIM($G87)&amp;TRIM($I87)&amp;TRIM($J87))))&gt;0), AND($AQ87&lt;&gt;"", LOWER(TRIM($AQ87))&lt;&gt;"n/a", LOWER(TRIM($AQ87))&lt;&gt;"na", SUMPRODUCT(--(UPPER(TRIM($AQ$2:$AQ$518))=UPPER(TRIM($AQ87))), --(UPPER(TRIM($B$2:$B$518))="YES"), --(UPPER(TRIM($G$2:$G$518)&amp;TRIM($I$2:$I$518)&amp;TRIM($J$2:$J$518))&lt;&gt;UPPER(TRIM($G87)&amp;TRIM($I87)&amp;TRIM($J87))))&gt;0)), "Yes", "No"))</f>
        <v/>
      </c>
      <c r="G87" t="inlineStr">
        <is>
          <t>NSUH - PSP</t>
        </is>
      </c>
      <c r="H87" t="inlineStr">
        <is>
          <t>NSUH - PSP</t>
        </is>
      </c>
      <c r="I87" t="inlineStr">
        <is>
          <t>Main ORs - PSP - 2nd Floor</t>
        </is>
      </c>
      <c r="U87" t="inlineStr">
        <is>
          <t>Dr. Palilla, Timothy W. Seeberger</t>
        </is>
      </c>
      <c r="V87" t="inlineStr">
        <is>
          <t>WMH300OPR416</t>
        </is>
      </c>
      <c r="W87" t="inlineStr">
        <is>
          <t>MEDNG2425E-3171</t>
        </is>
      </c>
      <c r="CD87">
        <f>IF($Y87="","",IF((IF(AND($BR87&lt;&gt;"Yes",$BR87&lt;&gt;"N/A"),"Power Cable, ","")&amp;IF(AND($BS87&lt;&gt;"Yes",$BS87&lt;&gt;"N/A"),"Battery, ","")&amp;IF(AND($AD87&lt;&gt;"Yes",$AD87&lt;&gt;"N/A"),"Firmware Download, ","")&amp;IF(AND(OR($AD87="Yes",$AD87="N/A"),$AE87&lt;&gt;"Yes",$AE87&lt;&gt;"N/A"),"Firmware Install, ","")&amp;IF(AND($CB87&lt;&gt;"Yes",$CB87&lt;&gt;"N/A"),"Device ID, ","")&amp;IF(AND($CC87&lt;&gt;"Yes",$CC87&lt;&gt;"N/A"),"Epic Beans Relay, ",""))="","",LEFT(IF(AND($BR87&lt;&gt;"Yes",$BR87&lt;&gt;"N/A"),"Power Cable, ","")&amp;IF(AND($BS87&lt;&gt;"Yes",$BS87&lt;&gt;"N/A"),"Battery, ","")&amp;IF(AND($AD87&lt;&gt;"Yes",$AD87&lt;&gt;"N/A"),"Firmware Download, ","")&amp;IF(AND(OR($AD87="Yes",$AD87="N/A"),$AE87&lt;&gt;"Yes",$AE87&lt;&gt;"N/A"),"Firmware Install, ","")&amp;IF(AND($CB87&lt;&gt;"Yes",$CB87&lt;&gt;"N/A"),"Device ID, ","")&amp;IF(AND($CC87&lt;&gt;"Yes",$CC87&lt;&gt;"N/A"),"Epic Beans Relay, ",""),LEN(IF(AND($BR87&lt;&gt;"Yes",$BR87&lt;&gt;"N/A"),"Power Cable, ","")&amp;IF(AND($BS87&lt;&gt;"Yes",$BS87&lt;&gt;"N/A"),"Battery, ","")&amp;IF(AND($AD87&lt;&gt;"Yes",$AD87&lt;&gt;"N/A"),"Firmware Download, ","")&amp;IF(AND(OR($AD87="Yes",$AD87="N/A"),$AE87&lt;&gt;"Yes",$AE87&lt;&gt;"N/A"),"Firmware Install, ","")&amp;IF(AND($CB87&lt;&gt;"Yes",$CB87&lt;&gt;"N/A"),"Device ID, ","")&amp;IF(AND($CC87&lt;&gt;"Yes",$CC87&lt;&gt;"N/A"),"Epic Beans Relay, ",""))-2)))</f>
        <v/>
      </c>
      <c r="CE87">
        <f>IF($Y87="","",IF($CD87="","Yes","Blocked"))</f>
        <v/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M87" t="inlineStr">
        <is>
          <t>Yes</t>
        </is>
      </c>
      <c r="CN87" t="inlineStr">
        <is>
          <t>Yes</t>
        </is>
      </c>
      <c r="CO87" t="inlineStr">
        <is>
          <t>Yes</t>
        </is>
      </c>
      <c r="CP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W87">
        <f>IF($S87="","",IF(UPPER(TRIM($S87))&lt;&gt;"PASS","",IF(LEN(TRIM($BY87))&gt;0,"NOTES_PRESENT",IF(LEN(TRIM($T87))=0,"SET_NA",IF(OR(LOWER(TRIM($T87))="na",LOWER(TRIM($T87))="n/a"),"OK","MANUAL_OVERRIDE")))))</f>
        <v/>
      </c>
    </row>
    <row r="88">
      <c r="A88" t="inlineStr">
        <is>
          <t>Cybernet-Neuron</t>
        </is>
      </c>
      <c r="B88" s="51" t="inlineStr">
        <is>
          <t>Yes</t>
        </is>
      </c>
      <c r="C88" t="inlineStr">
        <is>
          <t>Yes</t>
        </is>
      </c>
      <c r="D88">
        <f>IF($B88&lt;&gt;"Yes","",IF($C88="No","Yes",IF($C88="Yes","No","")))</f>
        <v/>
      </c>
      <c r="E88">
        <f>IF($A88="","",IF(OR(AND($V88&lt;&gt;"",LOWER(TRIM($V88))&lt;&gt;"n/a",LOWER(TRIM($V88))&lt;&gt;"na",SUMPRODUCT(--(UPPER(TRIM($V$2:$V$518))=UPPER(TRIM($V88))),--(TRIM($V$2:$V$518)&lt;&gt;""),--(LOWER(TRIM($V$2:$V$518))&lt;&gt;"n/a"),--(LOWER(TRIM($V$2:$V$518))&lt;&gt;"na"))&gt;1),AND($W88&lt;&gt;"",LOWER(TRIM($W88))&lt;&gt;"n/a",LOWER(TRIM($W88))&lt;&gt;"na",SUMPRODUCT(--(UPPER(TRIM($W$2:$W$518))=UPPER(TRIM($W88))),--(TRIM($W$2:$W$518)&lt;&gt;""),--(LOWER(TRIM($W$2:$W$518))&lt;&gt;"n/a"),--(LOWER(TRIM($W$2:$W$518))&lt;&gt;"na"))&gt;1),AND($X88&lt;&gt;"",LOWER(TRIM($X88))&lt;&gt;"n/a",LOWER(TRIM($X88))&lt;&gt;"na",SUMPRODUCT(--(UPPER(TRIM($X$2:$X$518))=UPPER(TRIM($X88))),--(TRIM($X$2:$X$518)&lt;&gt;""),--(LOWER(TRIM($X$2:$X$518))&lt;&gt;"n/a"),--(LOWER(TRIM($X$2:$X$518))&lt;&gt;"na"))&gt;1),AND($Y88&lt;&gt;"",LOWER(TRIM($Y88))&lt;&gt;"n/a",LOWER(TRIM($Y88))&lt;&gt;"na",SUMPRODUCT(--(UPPER(SUBSTITUTE(SUBSTITUTE(TRIM($Y$2:$Y$518),":",""),"-",""))=UPPER(SUBSTITUTE(SUBSTITUTE(TRIM($Y88),":",""),"-",""))),--(TRIM($Y$2:$Y$518)&lt;&gt;""),--(LOWER(TRIM($Y$2:$Y$518))&lt;&gt;"n/a"),--(LOWER(TRIM($Y$2:$Y$518))&lt;&gt;"na"))&gt;1),AND($AB88&lt;&gt;"",LOWER(TRIM($AB88))&lt;&gt;"n/a",LOWER(TRIM($AB88))&lt;&gt;"na",SUMPRODUCT(--(UPPER(TRIM($AB$2:$AB$518))=UPPER(TRIM($AB88))),--(TRIM($AB$2:$AB$518)&lt;&gt;""),--(LOWER(TRIM($AB$2:$AB$518))&lt;&gt;"n/a"),--(LOWER(TRIM($AB$2:$AB$518))&lt;&gt;"na"))&gt;1),AND($AH88&lt;&gt;"",LOWER(TRIM($AH88))&lt;&gt;"n/a",LOWER(TRIM($AH88))&lt;&gt;"na",SUMPRODUCT(--(UPPER(SUBSTITUTE(SUBSTITUTE(TRIM($AH$2:$AH$518),":",""),"-",""))=UPPER(SUBSTITUTE(SUBSTITUTE(TRIM($AH88),":",""),"-",""))),--(TRIM($AH$2:$AH$518)&lt;&gt;""),--(LOWER(TRIM($AH$2:$AH$518))&lt;&gt;"n/a"),--(LOWER(TRIM($AH$2:$AH$518))&lt;&gt;"na"))&gt;1),AND($AP88&lt;&gt;"",LOWER(TRIM($AP88))&lt;&gt;"n/a",LOWER(TRIM($AP88))&lt;&gt;"na",SUMPRODUCT(--(UPPER(TRIM($AP$2:$AP$518))=UPPER(TRIM($AP88))),--(TRIM($AP$2:$AP$518)&lt;&gt;""),--(LOWER(TRIM($AP$2:$AP$518))&lt;&gt;"n/a"),--(LOWER(TRIM($AP$2:$AP$518))&lt;&gt;"na"))&gt;1),AND($AQ88&lt;&gt;"",LOWER(TRIM($AQ88))&lt;&gt;"n/a",LOWER(TRIM($AQ88))&lt;&gt;"na",SUMPRODUCT(--(UPPER(TRIM($AQ$2:$AQ$518))=UPPER(TRIM($AQ88))),--(TRIM($AQ$2:$AQ$518)&lt;&gt;""),--(LOWER(TRIM($AQ$2:$AQ$518))&lt;&gt;"n/a"),--(LOWER(TRIM($AQ$2:$AQ$518))&lt;&gt;"na"))&gt;1)),"Yes","No"))</f>
        <v/>
      </c>
      <c r="F88">
        <f>IF(UPPER(TRIM($B88))&lt;&gt;"YES","", IF(OR(AND($V88&lt;&gt;"", LOWER(TRIM($V88))&lt;&gt;"n/a", LOWER(TRIM($V88))&lt;&gt;"na", SUMPRODUCT(--(UPPER(TRIM($V$2:$V$518))=UPPER(TRIM($V88))), --(UPPER(TRIM($B$2:$B$518))="YES"), --(UPPER(TRIM($G$2:$G$518)&amp;TRIM($I$2:$I$518)&amp;TRIM($J$2:$J$518))&lt;&gt;UPPER(TRIM($G88)&amp;TRIM($I88)&amp;TRIM($J88))))&gt;0), AND($W88&lt;&gt;"", LOWER(TRIM($W88))&lt;&gt;"n/a", LOWER(TRIM($W88))&lt;&gt;"na", SUMPRODUCT(--(UPPER(TRIM($W$2:$W$518))=UPPER(TRIM($W88))), --(UPPER(TRIM($B$2:$B$518))="YES"), --(UPPER(TRIM($G$2:$G$518)&amp;TRIM($I$2:$I$518)&amp;TRIM($J$2:$J$518))&lt;&gt;UPPER(TRIM($G88)&amp;TRIM($I88)&amp;TRIM($J88))))&gt;0), AND($X88&lt;&gt;"", LOWER(TRIM($X88))&lt;&gt;"n/a", LOWER(TRIM($X88))&lt;&gt;"na", SUMPRODUCT(--(UPPER(TRIM($X$2:$X$518))=UPPER(TRIM($X88))), --(UPPER(TRIM($B$2:$B$518))="YES"), --(UPPER(TRIM($G$2:$G$518)&amp;TRIM($I$2:$I$518)&amp;TRIM($J$2:$J$518))&lt;&gt;UPPER(TRIM($G88)&amp;TRIM($I88)&amp;TRIM($J88))))&gt;0), AND($Y88&lt;&gt;"", LOWER(TRIM($Y88))&lt;&gt;"n/a", LOWER(TRIM($Y88))&lt;&gt;"na", SUMPRODUCT(--(UPPER(SUBSTITUTE(SUBSTITUTE(TRIM($Y$2:$Y$518),":",""),"-",""))=UPPER(SUBSTITUTE(SUBSTITUTE(TRIM($Y88),":",""),"-",""))), --(UPPER(TRIM($B$2:$B$518))="YES"), --(UPPER(TRIM($G$2:$G$518)&amp;TRIM($I$2:$I$518)&amp;TRIM($J$2:$J$518))&lt;&gt;UPPER(TRIM($G88)&amp;TRIM($I88)&amp;TRIM($J88))))&gt;0), AND($AB88&lt;&gt;"", LOWER(TRIM($AB88))&lt;&gt;"n/a", LOWER(TRIM($AB88))&lt;&gt;"na", SUMPRODUCT(--(UPPER(TRIM($AB$2:$AB$518))=UPPER(TRIM($AB88))), --(UPPER(TRIM($B$2:$B$518))="YES"), --(UPPER(TRIM($G$2:$G$518)&amp;TRIM($I$2:$I$518)&amp;TRIM($J$2:$J$518))&lt;&gt;UPPER(TRIM($G88)&amp;TRIM($I88)&amp;TRIM($J88))))&gt;0), AND($AH88&lt;&gt;"", LOWER(TRIM($AH88))&lt;&gt;"n/a", LOWER(TRIM($AH88))&lt;&gt;"na", SUMPRODUCT(--(UPPER(SUBSTITUTE(SUBSTITUTE(TRIM($AH$2:$AH$518),":",""),"-",""))=UPPER(SUBSTITUTE(SUBSTITUTE(TRIM($AH88),":",""),"-",""))), --(UPPER(TRIM($B$2:$B$518))="YES"), --(UPPER(TRIM($G$2:$G$518)&amp;TRIM($I$2:$I$518)&amp;TRIM($J$2:$J$518))&lt;&gt;UPPER(TRIM($G88)&amp;TRIM($I88)&amp;TRIM($J88))))&gt;0), AND($AP88&lt;&gt;"", LOWER(TRIM($AP88))&lt;&gt;"n/a", LOWER(TRIM($AP88))&lt;&gt;"na", SUMPRODUCT(--(UPPER(TRIM($AP$2:$AP$518))=UPPER(TRIM($AP88))), --(UPPER(TRIM($B$2:$B$518))="YES"), --(UPPER(TRIM($G$2:$G$518)&amp;TRIM($I$2:$I$518)&amp;TRIM($J$2:$J$518))&lt;&gt;UPPER(TRIM($G88)&amp;TRIM($I88)&amp;TRIM($J88))))&gt;0), AND($AQ88&lt;&gt;"", LOWER(TRIM($AQ88))&lt;&gt;"n/a", LOWER(TRIM($AQ88))&lt;&gt;"na", SUMPRODUCT(--(UPPER(TRIM($AQ$2:$AQ$518))=UPPER(TRIM($AQ88))), --(UPPER(TRIM($B$2:$B$518))="YES"), --(UPPER(TRIM($G$2:$G$518)&amp;TRIM($I$2:$I$518)&amp;TRIM($J$2:$J$518))&lt;&gt;UPPER(TRIM($G88)&amp;TRIM($I88)&amp;TRIM($J88))))&gt;0)), "Yes", "No"))</f>
        <v/>
      </c>
      <c r="G88" t="inlineStr">
        <is>
          <t>NSUH - MRI Suite</t>
        </is>
      </c>
      <c r="H88" t="inlineStr">
        <is>
          <t>NSUH - MRI Suite</t>
        </is>
      </c>
      <c r="I88" t="inlineStr">
        <is>
          <t>MRI - 1st Floor</t>
        </is>
      </c>
      <c r="J88" t="inlineStr">
        <is>
          <t>MRI Control Room 1</t>
        </is>
      </c>
      <c r="L88" s="18" t="n">
        <v>46123</v>
      </c>
      <c r="M88" t="inlineStr">
        <is>
          <t>OR Workstation</t>
        </is>
      </c>
      <c r="N88" t="inlineStr">
        <is>
          <t>No</t>
        </is>
      </c>
      <c r="O88" t="inlineStr">
        <is>
          <t>Yes</t>
        </is>
      </c>
      <c r="P88" t="inlineStr">
        <is>
          <t>Yes</t>
        </is>
      </c>
      <c r="Q88" t="inlineStr">
        <is>
          <t>Inpatient</t>
        </is>
      </c>
      <c r="R88" t="inlineStr">
        <is>
          <t>Yes</t>
        </is>
      </c>
      <c r="S88" t="inlineStr">
        <is>
          <t>tbd</t>
        </is>
      </c>
      <c r="T88" t="inlineStr">
        <is>
          <t>tbd</t>
        </is>
      </c>
      <c r="U88" t="inlineStr">
        <is>
          <t>Dr. Palilla, Timothy W. Seeberger</t>
        </is>
      </c>
      <c r="V88" t="inlineStr">
        <is>
          <t>WMH300OPR417</t>
        </is>
      </c>
      <c r="W88" t="inlineStr">
        <is>
          <t>MEDSG2425F-0148</t>
        </is>
      </c>
      <c r="X88" t="inlineStr">
        <is>
          <t>NSUH-MACH-D</t>
        </is>
      </c>
      <c r="Y88" t="inlineStr">
        <is>
          <t>A0F5097FE212</t>
        </is>
      </c>
      <c r="AB88" t="inlineStr">
        <is>
          <t>WA24406262</t>
        </is>
      </c>
      <c r="AC88" t="inlineStr">
        <is>
          <t>NSUH</t>
        </is>
      </c>
      <c r="AH88" t="inlineStr">
        <is>
          <t>000D050AA687</t>
        </is>
      </c>
      <c r="AJ88" t="n">
        <v>445179</v>
      </c>
      <c r="AK88" t="n">
        <v>2</v>
      </c>
      <c r="AL88" t="inlineStr">
        <is>
          <t>4201-229</t>
        </is>
      </c>
      <c r="AM88" t="inlineStr">
        <is>
          <t>Philips</t>
        </is>
      </c>
      <c r="AN88" t="inlineStr">
        <is>
          <t>Expression IP5</t>
        </is>
      </c>
      <c r="AO88" t="inlineStr">
        <is>
          <t>n/a</t>
        </is>
      </c>
      <c r="AP88" t="inlineStr">
        <is>
          <t>n/a</t>
        </is>
      </c>
      <c r="AQ88" t="inlineStr">
        <is>
          <t>n/a</t>
        </is>
      </c>
      <c r="AX88" t="inlineStr">
        <is>
          <t>Expression IP5</t>
        </is>
      </c>
      <c r="AY88" t="inlineStr">
        <is>
          <t>N/A</t>
        </is>
      </c>
      <c r="CD88">
        <f>IF($Y88="","",IF((IF(AND($BR88&lt;&gt;"Yes",$BR88&lt;&gt;"N/A"),"Power Cable, ","")&amp;IF(AND($BS88&lt;&gt;"Yes",$BS88&lt;&gt;"N/A"),"Battery, ","")&amp;IF(AND($AD88&lt;&gt;"Yes",$AD88&lt;&gt;"N/A"),"Firmware Download, ","")&amp;IF(AND(OR($AD88="Yes",$AD88="N/A"),$AE88&lt;&gt;"Yes",$AE88&lt;&gt;"N/A"),"Firmware Install, ","")&amp;IF(AND($CB88&lt;&gt;"Yes",$CB88&lt;&gt;"N/A"),"Device ID, ","")&amp;IF(AND($CC88&lt;&gt;"Yes",$CC88&lt;&gt;"N/A"),"Epic Beans Relay, ",""))="","",LEFT(IF(AND($BR88&lt;&gt;"Yes",$BR88&lt;&gt;"N/A"),"Power Cable, ","")&amp;IF(AND($BS88&lt;&gt;"Yes",$BS88&lt;&gt;"N/A"),"Battery, ","")&amp;IF(AND($AD88&lt;&gt;"Yes",$AD88&lt;&gt;"N/A"),"Firmware Download, ","")&amp;IF(AND(OR($AD88="Yes",$AD88="N/A"),$AE88&lt;&gt;"Yes",$AE88&lt;&gt;"N/A"),"Firmware Install, ","")&amp;IF(AND($CB88&lt;&gt;"Yes",$CB88&lt;&gt;"N/A"),"Device ID, ","")&amp;IF(AND($CC88&lt;&gt;"Yes",$CC88&lt;&gt;"N/A"),"Epic Beans Relay, ",""),LEN(IF(AND($BR88&lt;&gt;"Yes",$BR88&lt;&gt;"N/A"),"Power Cable, ","")&amp;IF(AND($BS88&lt;&gt;"Yes",$BS88&lt;&gt;"N/A"),"Battery, ","")&amp;IF(AND($AD88&lt;&gt;"Yes",$AD88&lt;&gt;"N/A"),"Firmware Download, ","")&amp;IF(AND(OR($AD88="Yes",$AD88="N/A"),$AE88&lt;&gt;"Yes",$AE88&lt;&gt;"N/A"),"Firmware Install, ","")&amp;IF(AND($CB88&lt;&gt;"Yes",$CB88&lt;&gt;"N/A"),"Device ID, ","")&amp;IF(AND($CC88&lt;&gt;"Yes",$CC88&lt;&gt;"N/A"),"Epic Beans Relay, ",""))-2)))</f>
        <v/>
      </c>
      <c r="CE88">
        <f>IF($Y88="","",IF($CD88="","Yes","Blocked"))</f>
        <v/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W88">
        <f>IF($S88="","",IF(UPPER(TRIM($S88))&lt;&gt;"PASS","",IF(LEN(TRIM($BY88))&gt;0,"NOTES_PRESENT",IF(LEN(TRIM($T88))=0,"SET_NA",IF(OR(LOWER(TRIM($T88))="na",LOWER(TRIM($T88))="n/a"),"OK","MANUAL_OVERRIDE")))))</f>
        <v/>
      </c>
    </row>
    <row r="89">
      <c r="A89" t="inlineStr">
        <is>
          <t>Cybernet</t>
        </is>
      </c>
      <c r="B89" s="51" t="inlineStr">
        <is>
          <t>No</t>
        </is>
      </c>
      <c r="C89" t="inlineStr">
        <is>
          <t>No</t>
        </is>
      </c>
      <c r="D89">
        <f>IF($B89&lt;&gt;"Yes","",IF($C89="No","Yes",IF($C89="Yes","No","")))</f>
        <v/>
      </c>
      <c r="E89">
        <f>IF($A89="","",IF(OR(AND($V89&lt;&gt;"",LOWER(TRIM($V89))&lt;&gt;"n/a",LOWER(TRIM($V89))&lt;&gt;"na",SUMPRODUCT(--(UPPER(TRIM($V$2:$V$518))=UPPER(TRIM($V89))),--(TRIM($V$2:$V$518)&lt;&gt;""),--(LOWER(TRIM($V$2:$V$518))&lt;&gt;"n/a"),--(LOWER(TRIM($V$2:$V$518))&lt;&gt;"na"))&gt;1),AND($W89&lt;&gt;"",LOWER(TRIM($W89))&lt;&gt;"n/a",LOWER(TRIM($W89))&lt;&gt;"na",SUMPRODUCT(--(UPPER(TRIM($W$2:$W$518))=UPPER(TRIM($W89))),--(TRIM($W$2:$W$518)&lt;&gt;""),--(LOWER(TRIM($W$2:$W$518))&lt;&gt;"n/a"),--(LOWER(TRIM($W$2:$W$518))&lt;&gt;"na"))&gt;1),AND($X89&lt;&gt;"",LOWER(TRIM($X89))&lt;&gt;"n/a",LOWER(TRIM($X89))&lt;&gt;"na",SUMPRODUCT(--(UPPER(TRIM($X$2:$X$518))=UPPER(TRIM($X89))),--(TRIM($X$2:$X$518)&lt;&gt;""),--(LOWER(TRIM($X$2:$X$518))&lt;&gt;"n/a"),--(LOWER(TRIM($X$2:$X$518))&lt;&gt;"na"))&gt;1),AND($Y89&lt;&gt;"",LOWER(TRIM($Y89))&lt;&gt;"n/a",LOWER(TRIM($Y89))&lt;&gt;"na",SUMPRODUCT(--(UPPER(SUBSTITUTE(SUBSTITUTE(TRIM($Y$2:$Y$518),":",""),"-",""))=UPPER(SUBSTITUTE(SUBSTITUTE(TRIM($Y89),":",""),"-",""))),--(TRIM($Y$2:$Y$518)&lt;&gt;""),--(LOWER(TRIM($Y$2:$Y$518))&lt;&gt;"n/a"),--(LOWER(TRIM($Y$2:$Y$518))&lt;&gt;"na"))&gt;1),AND($AB89&lt;&gt;"",LOWER(TRIM($AB89))&lt;&gt;"n/a",LOWER(TRIM($AB89))&lt;&gt;"na",SUMPRODUCT(--(UPPER(TRIM($AB$2:$AB$518))=UPPER(TRIM($AB89))),--(TRIM($AB$2:$AB$518)&lt;&gt;""),--(LOWER(TRIM($AB$2:$AB$518))&lt;&gt;"n/a"),--(LOWER(TRIM($AB$2:$AB$518))&lt;&gt;"na"))&gt;1),AND($AH89&lt;&gt;"",LOWER(TRIM($AH89))&lt;&gt;"n/a",LOWER(TRIM($AH89))&lt;&gt;"na",SUMPRODUCT(--(UPPER(SUBSTITUTE(SUBSTITUTE(TRIM($AH$2:$AH$518),":",""),"-",""))=UPPER(SUBSTITUTE(SUBSTITUTE(TRIM($AH89),":",""),"-",""))),--(TRIM($AH$2:$AH$518)&lt;&gt;""),--(LOWER(TRIM($AH$2:$AH$518))&lt;&gt;"n/a"),--(LOWER(TRIM($AH$2:$AH$518))&lt;&gt;"na"))&gt;1),AND($AP89&lt;&gt;"",LOWER(TRIM($AP89))&lt;&gt;"n/a",LOWER(TRIM($AP89))&lt;&gt;"na",SUMPRODUCT(--(UPPER(TRIM($AP$2:$AP$518))=UPPER(TRIM($AP89))),--(TRIM($AP$2:$AP$518)&lt;&gt;""),--(LOWER(TRIM($AP$2:$AP$518))&lt;&gt;"n/a"),--(LOWER(TRIM($AP$2:$AP$518))&lt;&gt;"na"))&gt;1),AND($AQ89&lt;&gt;"",LOWER(TRIM($AQ89))&lt;&gt;"n/a",LOWER(TRIM($AQ89))&lt;&gt;"na",SUMPRODUCT(--(UPPER(TRIM($AQ$2:$AQ$518))=UPPER(TRIM($AQ89))),--(TRIM($AQ$2:$AQ$518)&lt;&gt;""),--(LOWER(TRIM($AQ$2:$AQ$518))&lt;&gt;"n/a"),--(LOWER(TRIM($AQ$2:$AQ$518))&lt;&gt;"na"))&gt;1)),"Yes","No"))</f>
        <v/>
      </c>
      <c r="F89">
        <f>IF(UPPER(TRIM($B89))&lt;&gt;"YES","", IF(OR(AND($V89&lt;&gt;"", LOWER(TRIM($V89))&lt;&gt;"n/a", LOWER(TRIM($V89))&lt;&gt;"na", SUMPRODUCT(--(UPPER(TRIM($V$2:$V$518))=UPPER(TRIM($V89))), --(UPPER(TRIM($B$2:$B$518))="YES"), --(UPPER(TRIM($G$2:$G$518)&amp;TRIM($I$2:$I$518)&amp;TRIM($J$2:$J$518))&lt;&gt;UPPER(TRIM($G89)&amp;TRIM($I89)&amp;TRIM($J89))))&gt;0), AND($W89&lt;&gt;"", LOWER(TRIM($W89))&lt;&gt;"n/a", LOWER(TRIM($W89))&lt;&gt;"na", SUMPRODUCT(--(UPPER(TRIM($W$2:$W$518))=UPPER(TRIM($W89))), --(UPPER(TRIM($B$2:$B$518))="YES"), --(UPPER(TRIM($G$2:$G$518)&amp;TRIM($I$2:$I$518)&amp;TRIM($J$2:$J$518))&lt;&gt;UPPER(TRIM($G89)&amp;TRIM($I89)&amp;TRIM($J89))))&gt;0), AND($X89&lt;&gt;"", LOWER(TRIM($X89))&lt;&gt;"n/a", LOWER(TRIM($X89))&lt;&gt;"na", SUMPRODUCT(--(UPPER(TRIM($X$2:$X$518))=UPPER(TRIM($X89))), --(UPPER(TRIM($B$2:$B$518))="YES"), --(UPPER(TRIM($G$2:$G$518)&amp;TRIM($I$2:$I$518)&amp;TRIM($J$2:$J$518))&lt;&gt;UPPER(TRIM($G89)&amp;TRIM($I89)&amp;TRIM($J89))))&gt;0), AND($Y89&lt;&gt;"", LOWER(TRIM($Y89))&lt;&gt;"n/a", LOWER(TRIM($Y89))&lt;&gt;"na", SUMPRODUCT(--(UPPER(SUBSTITUTE(SUBSTITUTE(TRIM($Y$2:$Y$518),":",""),"-",""))=UPPER(SUBSTITUTE(SUBSTITUTE(TRIM($Y89),":",""),"-",""))), --(UPPER(TRIM($B$2:$B$518))="YES"), --(UPPER(TRIM($G$2:$G$518)&amp;TRIM($I$2:$I$518)&amp;TRIM($J$2:$J$518))&lt;&gt;UPPER(TRIM($G89)&amp;TRIM($I89)&amp;TRIM($J89))))&gt;0), AND($AB89&lt;&gt;"", LOWER(TRIM($AB89))&lt;&gt;"n/a", LOWER(TRIM($AB89))&lt;&gt;"na", SUMPRODUCT(--(UPPER(TRIM($AB$2:$AB$518))=UPPER(TRIM($AB89))), --(UPPER(TRIM($B$2:$B$518))="YES"), --(UPPER(TRIM($G$2:$G$518)&amp;TRIM($I$2:$I$518)&amp;TRIM($J$2:$J$518))&lt;&gt;UPPER(TRIM($G89)&amp;TRIM($I89)&amp;TRIM($J89))))&gt;0), AND($AH89&lt;&gt;"", LOWER(TRIM($AH89))&lt;&gt;"n/a", LOWER(TRIM($AH89))&lt;&gt;"na", SUMPRODUCT(--(UPPER(SUBSTITUTE(SUBSTITUTE(TRIM($AH$2:$AH$518),":",""),"-",""))=UPPER(SUBSTITUTE(SUBSTITUTE(TRIM($AH89),":",""),"-",""))), --(UPPER(TRIM($B$2:$B$518))="YES"), --(UPPER(TRIM($G$2:$G$518)&amp;TRIM($I$2:$I$518)&amp;TRIM($J$2:$J$518))&lt;&gt;UPPER(TRIM($G89)&amp;TRIM($I89)&amp;TRIM($J89))))&gt;0), AND($AP89&lt;&gt;"", LOWER(TRIM($AP89))&lt;&gt;"n/a", LOWER(TRIM($AP89))&lt;&gt;"na", SUMPRODUCT(--(UPPER(TRIM($AP$2:$AP$518))=UPPER(TRIM($AP89))), --(UPPER(TRIM($B$2:$B$518))="YES"), --(UPPER(TRIM($G$2:$G$518)&amp;TRIM($I$2:$I$518)&amp;TRIM($J$2:$J$518))&lt;&gt;UPPER(TRIM($G89)&amp;TRIM($I89)&amp;TRIM($J89))))&gt;0), AND($AQ89&lt;&gt;"", LOWER(TRIM($AQ89))&lt;&gt;"n/a", LOWER(TRIM($AQ89))&lt;&gt;"na", SUMPRODUCT(--(UPPER(TRIM($AQ$2:$AQ$518))=UPPER(TRIM($AQ89))), --(UPPER(TRIM($B$2:$B$518))="YES"), --(UPPER(TRIM($G$2:$G$518)&amp;TRIM($I$2:$I$518)&amp;TRIM($J$2:$J$518))&lt;&gt;UPPER(TRIM($G89)&amp;TRIM($I89)&amp;TRIM($J89))))&gt;0)), "Yes", "No"))</f>
        <v/>
      </c>
      <c r="G89" t="inlineStr">
        <is>
          <t>NSUH - PSP</t>
        </is>
      </c>
      <c r="H89" t="inlineStr">
        <is>
          <t>NSUH - PSP</t>
        </is>
      </c>
      <c r="I89" t="inlineStr">
        <is>
          <t>Main ORs - PSP - 2nd Floor</t>
        </is>
      </c>
      <c r="U89" t="inlineStr">
        <is>
          <t>Dr. Palilla, Timothy W. Seeberger</t>
        </is>
      </c>
      <c r="V89" t="inlineStr">
        <is>
          <t>WMH300OPR418</t>
        </is>
      </c>
      <c r="W89" t="inlineStr">
        <is>
          <t>MEDSG2425F-0090</t>
        </is>
      </c>
      <c r="CD89">
        <f>IF($Y89="","",IF((IF(AND($BR89&lt;&gt;"Yes",$BR89&lt;&gt;"N/A"),"Power Cable, ","")&amp;IF(AND($BS89&lt;&gt;"Yes",$BS89&lt;&gt;"N/A"),"Battery, ","")&amp;IF(AND($AD89&lt;&gt;"Yes",$AD89&lt;&gt;"N/A"),"Firmware Download, ","")&amp;IF(AND(OR($AD89="Yes",$AD89="N/A"),$AE89&lt;&gt;"Yes",$AE89&lt;&gt;"N/A"),"Firmware Install, ","")&amp;IF(AND($CB89&lt;&gt;"Yes",$CB89&lt;&gt;"N/A"),"Device ID, ","")&amp;IF(AND($CC89&lt;&gt;"Yes",$CC89&lt;&gt;"N/A"),"Epic Beans Relay, ",""))="","",LEFT(IF(AND($BR89&lt;&gt;"Yes",$BR89&lt;&gt;"N/A"),"Power Cable, ","")&amp;IF(AND($BS89&lt;&gt;"Yes",$BS89&lt;&gt;"N/A"),"Battery, ","")&amp;IF(AND($AD89&lt;&gt;"Yes",$AD89&lt;&gt;"N/A"),"Firmware Download, ","")&amp;IF(AND(OR($AD89="Yes",$AD89="N/A"),$AE89&lt;&gt;"Yes",$AE89&lt;&gt;"N/A"),"Firmware Install, ","")&amp;IF(AND($CB89&lt;&gt;"Yes",$CB89&lt;&gt;"N/A"),"Device ID, ","")&amp;IF(AND($CC89&lt;&gt;"Yes",$CC89&lt;&gt;"N/A"),"Epic Beans Relay, ",""),LEN(IF(AND($BR89&lt;&gt;"Yes",$BR89&lt;&gt;"N/A"),"Power Cable, ","")&amp;IF(AND($BS89&lt;&gt;"Yes",$BS89&lt;&gt;"N/A"),"Battery, ","")&amp;IF(AND($AD89&lt;&gt;"Yes",$AD89&lt;&gt;"N/A"),"Firmware Download, ","")&amp;IF(AND(OR($AD89="Yes",$AD89="N/A"),$AE89&lt;&gt;"Yes",$AE89&lt;&gt;"N/A"),"Firmware Install, ","")&amp;IF(AND($CB89&lt;&gt;"Yes",$CB89&lt;&gt;"N/A"),"Device ID, ","")&amp;IF(AND($CC89&lt;&gt;"Yes",$CC89&lt;&gt;"N/A"),"Epic Beans Relay, ",""))-2)))</f>
        <v/>
      </c>
      <c r="CE89">
        <f>IF($Y89="","",IF($CD89="","Yes","Blocked"))</f>
        <v/>
      </c>
      <c r="CF89" t="inlineStr">
        <is>
          <t>Yes</t>
        </is>
      </c>
      <c r="CG89" t="inlineStr">
        <is>
          <t>Yes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Yes</t>
        </is>
      </c>
      <c r="CM89" t="inlineStr">
        <is>
          <t>Yes</t>
        </is>
      </c>
      <c r="CN89" t="inlineStr">
        <is>
          <t>Yes</t>
        </is>
      </c>
      <c r="CO89" t="inlineStr">
        <is>
          <t>Yes</t>
        </is>
      </c>
      <c r="CP89" t="inlineStr">
        <is>
          <t>Yes</t>
        </is>
      </c>
      <c r="CQ89" t="inlineStr">
        <is>
          <t>Yes</t>
        </is>
      </c>
      <c r="CR89" t="inlineStr">
        <is>
          <t>Yes</t>
        </is>
      </c>
      <c r="CS89" t="inlineStr">
        <is>
          <t>Yes</t>
        </is>
      </c>
      <c r="CW89">
        <f>IF($S89="","",IF(UPPER(TRIM($S89))&lt;&gt;"PASS","",IF(LEN(TRIM($BY89))&gt;0,"NOTES_PRESENT",IF(LEN(TRIM($T89))=0,"SET_NA",IF(OR(LOWER(TRIM($T89))="na",LOWER(TRIM($T89))="n/a"),"OK","MANUAL_OVERRIDE")))))</f>
        <v/>
      </c>
    </row>
    <row r="90">
      <c r="A90" t="inlineStr">
        <is>
          <t>Cybernet</t>
        </is>
      </c>
      <c r="B90" s="51" t="inlineStr">
        <is>
          <t>No</t>
        </is>
      </c>
      <c r="C90" t="inlineStr">
        <is>
          <t>No</t>
        </is>
      </c>
      <c r="D90">
        <f>IF($B90&lt;&gt;"Yes","",IF($C90="No","Yes",IF($C90="Yes","No","")))</f>
        <v/>
      </c>
      <c r="E90">
        <f>IF($A90="","",IF(OR(AND($V90&lt;&gt;"",LOWER(TRIM($V90))&lt;&gt;"n/a",LOWER(TRIM($V90))&lt;&gt;"na",SUMPRODUCT(--(UPPER(TRIM($V$2:$V$518))=UPPER(TRIM($V90))),--(TRIM($V$2:$V$518)&lt;&gt;""),--(LOWER(TRIM($V$2:$V$518))&lt;&gt;"n/a"),--(LOWER(TRIM($V$2:$V$518))&lt;&gt;"na"))&gt;1),AND($W90&lt;&gt;"",LOWER(TRIM($W90))&lt;&gt;"n/a",LOWER(TRIM($W90))&lt;&gt;"na",SUMPRODUCT(--(UPPER(TRIM($W$2:$W$518))=UPPER(TRIM($W90))),--(TRIM($W$2:$W$518)&lt;&gt;""),--(LOWER(TRIM($W$2:$W$518))&lt;&gt;"n/a"),--(LOWER(TRIM($W$2:$W$518))&lt;&gt;"na"))&gt;1),AND($X90&lt;&gt;"",LOWER(TRIM($X90))&lt;&gt;"n/a",LOWER(TRIM($X90))&lt;&gt;"na",SUMPRODUCT(--(UPPER(TRIM($X$2:$X$518))=UPPER(TRIM($X90))),--(TRIM($X$2:$X$518)&lt;&gt;""),--(LOWER(TRIM($X$2:$X$518))&lt;&gt;"n/a"),--(LOWER(TRIM($X$2:$X$518))&lt;&gt;"na"))&gt;1),AND($Y90&lt;&gt;"",LOWER(TRIM($Y90))&lt;&gt;"n/a",LOWER(TRIM($Y90))&lt;&gt;"na",SUMPRODUCT(--(UPPER(SUBSTITUTE(SUBSTITUTE(TRIM($Y$2:$Y$518),":",""),"-",""))=UPPER(SUBSTITUTE(SUBSTITUTE(TRIM($Y90),":",""),"-",""))),--(TRIM($Y$2:$Y$518)&lt;&gt;""),--(LOWER(TRIM($Y$2:$Y$518))&lt;&gt;"n/a"),--(LOWER(TRIM($Y$2:$Y$518))&lt;&gt;"na"))&gt;1),AND($AB90&lt;&gt;"",LOWER(TRIM($AB90))&lt;&gt;"n/a",LOWER(TRIM($AB90))&lt;&gt;"na",SUMPRODUCT(--(UPPER(TRIM($AB$2:$AB$518))=UPPER(TRIM($AB90))),--(TRIM($AB$2:$AB$518)&lt;&gt;""),--(LOWER(TRIM($AB$2:$AB$518))&lt;&gt;"n/a"),--(LOWER(TRIM($AB$2:$AB$518))&lt;&gt;"na"))&gt;1),AND($AH90&lt;&gt;"",LOWER(TRIM($AH90))&lt;&gt;"n/a",LOWER(TRIM($AH90))&lt;&gt;"na",SUMPRODUCT(--(UPPER(SUBSTITUTE(SUBSTITUTE(TRIM($AH$2:$AH$518),":",""),"-",""))=UPPER(SUBSTITUTE(SUBSTITUTE(TRIM($AH90),":",""),"-",""))),--(TRIM($AH$2:$AH$518)&lt;&gt;""),--(LOWER(TRIM($AH$2:$AH$518))&lt;&gt;"n/a"),--(LOWER(TRIM($AH$2:$AH$518))&lt;&gt;"na"))&gt;1),AND($AP90&lt;&gt;"",LOWER(TRIM($AP90))&lt;&gt;"n/a",LOWER(TRIM($AP90))&lt;&gt;"na",SUMPRODUCT(--(UPPER(TRIM($AP$2:$AP$518))=UPPER(TRIM($AP90))),--(TRIM($AP$2:$AP$518)&lt;&gt;""),--(LOWER(TRIM($AP$2:$AP$518))&lt;&gt;"n/a"),--(LOWER(TRIM($AP$2:$AP$518))&lt;&gt;"na"))&gt;1),AND($AQ90&lt;&gt;"",LOWER(TRIM($AQ90))&lt;&gt;"n/a",LOWER(TRIM($AQ90))&lt;&gt;"na",SUMPRODUCT(--(UPPER(TRIM($AQ$2:$AQ$518))=UPPER(TRIM($AQ90))),--(TRIM($AQ$2:$AQ$518)&lt;&gt;""),--(LOWER(TRIM($AQ$2:$AQ$518))&lt;&gt;"n/a"),--(LOWER(TRIM($AQ$2:$AQ$518))&lt;&gt;"na"))&gt;1)),"Yes","No"))</f>
        <v/>
      </c>
      <c r="F90">
        <f>IF(UPPER(TRIM($B90))&lt;&gt;"YES","", IF(OR(AND($V90&lt;&gt;"", LOWER(TRIM($V90))&lt;&gt;"n/a", LOWER(TRIM($V90))&lt;&gt;"na", SUMPRODUCT(--(UPPER(TRIM($V$2:$V$518))=UPPER(TRIM($V90))), --(UPPER(TRIM($B$2:$B$518))="YES"), --(UPPER(TRIM($G$2:$G$518)&amp;TRIM($I$2:$I$518)&amp;TRIM($J$2:$J$518))&lt;&gt;UPPER(TRIM($G90)&amp;TRIM($I90)&amp;TRIM($J90))))&gt;0), AND($W90&lt;&gt;"", LOWER(TRIM($W90))&lt;&gt;"n/a", LOWER(TRIM($W90))&lt;&gt;"na", SUMPRODUCT(--(UPPER(TRIM($W$2:$W$518))=UPPER(TRIM($W90))), --(UPPER(TRIM($B$2:$B$518))="YES"), --(UPPER(TRIM($G$2:$G$518)&amp;TRIM($I$2:$I$518)&amp;TRIM($J$2:$J$518))&lt;&gt;UPPER(TRIM($G90)&amp;TRIM($I90)&amp;TRIM($J90))))&gt;0), AND($X90&lt;&gt;"", LOWER(TRIM($X90))&lt;&gt;"n/a", LOWER(TRIM($X90))&lt;&gt;"na", SUMPRODUCT(--(UPPER(TRIM($X$2:$X$518))=UPPER(TRIM($X90))), --(UPPER(TRIM($B$2:$B$518))="YES"), --(UPPER(TRIM($G$2:$G$518)&amp;TRIM($I$2:$I$518)&amp;TRIM($J$2:$J$518))&lt;&gt;UPPER(TRIM($G90)&amp;TRIM($I90)&amp;TRIM($J90))))&gt;0), AND($Y90&lt;&gt;"", LOWER(TRIM($Y90))&lt;&gt;"n/a", LOWER(TRIM($Y90))&lt;&gt;"na", SUMPRODUCT(--(UPPER(SUBSTITUTE(SUBSTITUTE(TRIM($Y$2:$Y$518),":",""),"-",""))=UPPER(SUBSTITUTE(SUBSTITUTE(TRIM($Y90),":",""),"-",""))), --(UPPER(TRIM($B$2:$B$518))="YES"), --(UPPER(TRIM($G$2:$G$518)&amp;TRIM($I$2:$I$518)&amp;TRIM($J$2:$J$518))&lt;&gt;UPPER(TRIM($G90)&amp;TRIM($I90)&amp;TRIM($J90))))&gt;0), AND($AB90&lt;&gt;"", LOWER(TRIM($AB90))&lt;&gt;"n/a", LOWER(TRIM($AB90))&lt;&gt;"na", SUMPRODUCT(--(UPPER(TRIM($AB$2:$AB$518))=UPPER(TRIM($AB90))), --(UPPER(TRIM($B$2:$B$518))="YES"), --(UPPER(TRIM($G$2:$G$518)&amp;TRIM($I$2:$I$518)&amp;TRIM($J$2:$J$518))&lt;&gt;UPPER(TRIM($G90)&amp;TRIM($I90)&amp;TRIM($J90))))&gt;0), AND($AH90&lt;&gt;"", LOWER(TRIM($AH90))&lt;&gt;"n/a", LOWER(TRIM($AH90))&lt;&gt;"na", SUMPRODUCT(--(UPPER(SUBSTITUTE(SUBSTITUTE(TRIM($AH$2:$AH$518),":",""),"-",""))=UPPER(SUBSTITUTE(SUBSTITUTE(TRIM($AH90),":",""),"-",""))), --(UPPER(TRIM($B$2:$B$518))="YES"), --(UPPER(TRIM($G$2:$G$518)&amp;TRIM($I$2:$I$518)&amp;TRIM($J$2:$J$518))&lt;&gt;UPPER(TRIM($G90)&amp;TRIM($I90)&amp;TRIM($J90))))&gt;0), AND($AP90&lt;&gt;"", LOWER(TRIM($AP90))&lt;&gt;"n/a", LOWER(TRIM($AP90))&lt;&gt;"na", SUMPRODUCT(--(UPPER(TRIM($AP$2:$AP$518))=UPPER(TRIM($AP90))), --(UPPER(TRIM($B$2:$B$518))="YES"), --(UPPER(TRIM($G$2:$G$518)&amp;TRIM($I$2:$I$518)&amp;TRIM($J$2:$J$518))&lt;&gt;UPPER(TRIM($G90)&amp;TRIM($I90)&amp;TRIM($J90))))&gt;0), AND($AQ90&lt;&gt;"", LOWER(TRIM($AQ90))&lt;&gt;"n/a", LOWER(TRIM($AQ90))&lt;&gt;"na", SUMPRODUCT(--(UPPER(TRIM($AQ$2:$AQ$518))=UPPER(TRIM($AQ90))), --(UPPER(TRIM($B$2:$B$518))="YES"), --(UPPER(TRIM($G$2:$G$518)&amp;TRIM($I$2:$I$518)&amp;TRIM($J$2:$J$518))&lt;&gt;UPPER(TRIM($G90)&amp;TRIM($I90)&amp;TRIM($J90))))&gt;0)), "Yes", "No"))</f>
        <v/>
      </c>
      <c r="G90" t="inlineStr">
        <is>
          <t>NSUH - PSP</t>
        </is>
      </c>
      <c r="H90" t="inlineStr">
        <is>
          <t>NSUH - PSP</t>
        </is>
      </c>
      <c r="U90" t="inlineStr">
        <is>
          <t>Dr. Palilla, Timothy W. Seeberger</t>
        </is>
      </c>
      <c r="V90" t="inlineStr">
        <is>
          <t>WMH300OPR419</t>
        </is>
      </c>
      <c r="W90" t="inlineStr">
        <is>
          <t>MEDSG2425F-0150</t>
        </is>
      </c>
      <c r="CD90">
        <f>IF($Y90="","",IF((IF(AND($BR90&lt;&gt;"Yes",$BR90&lt;&gt;"N/A"),"Power Cable, ","")&amp;IF(AND($BS90&lt;&gt;"Yes",$BS90&lt;&gt;"N/A"),"Battery, ","")&amp;IF(AND($AD90&lt;&gt;"Yes",$AD90&lt;&gt;"N/A"),"Firmware Download, ","")&amp;IF(AND(OR($AD90="Yes",$AD90="N/A"),$AE90&lt;&gt;"Yes",$AE90&lt;&gt;"N/A"),"Firmware Install, ","")&amp;IF(AND($CB90&lt;&gt;"Yes",$CB90&lt;&gt;"N/A"),"Device ID, ","")&amp;IF(AND($CC90&lt;&gt;"Yes",$CC90&lt;&gt;"N/A"),"Epic Beans Relay, ",""))="","",LEFT(IF(AND($BR90&lt;&gt;"Yes",$BR90&lt;&gt;"N/A"),"Power Cable, ","")&amp;IF(AND($BS90&lt;&gt;"Yes",$BS90&lt;&gt;"N/A"),"Battery, ","")&amp;IF(AND($AD90&lt;&gt;"Yes",$AD90&lt;&gt;"N/A"),"Firmware Download, ","")&amp;IF(AND(OR($AD90="Yes",$AD90="N/A"),$AE90&lt;&gt;"Yes",$AE90&lt;&gt;"N/A"),"Firmware Install, ","")&amp;IF(AND($CB90&lt;&gt;"Yes",$CB90&lt;&gt;"N/A"),"Device ID, ","")&amp;IF(AND($CC90&lt;&gt;"Yes",$CC90&lt;&gt;"N/A"),"Epic Beans Relay, ",""),LEN(IF(AND($BR90&lt;&gt;"Yes",$BR90&lt;&gt;"N/A"),"Power Cable, ","")&amp;IF(AND($BS90&lt;&gt;"Yes",$BS90&lt;&gt;"N/A"),"Battery, ","")&amp;IF(AND($AD90&lt;&gt;"Yes",$AD90&lt;&gt;"N/A"),"Firmware Download, ","")&amp;IF(AND(OR($AD90="Yes",$AD90="N/A"),$AE90&lt;&gt;"Yes",$AE90&lt;&gt;"N/A"),"Firmware Install, ","")&amp;IF(AND($CB90&lt;&gt;"Yes",$CB90&lt;&gt;"N/A"),"Device ID, ","")&amp;IF(AND($CC90&lt;&gt;"Yes",$CC90&lt;&gt;"N/A"),"Epic Beans Relay, ",""))-2)))</f>
        <v/>
      </c>
      <c r="CE90">
        <f>IF($Y90="","",IF($CD90="","Yes","Blocked"))</f>
        <v/>
      </c>
      <c r="CF90" t="inlineStr">
        <is>
          <t>Yes</t>
        </is>
      </c>
      <c r="CG90" t="inlineStr">
        <is>
          <t>Yes</t>
        </is>
      </c>
      <c r="CH90" t="inlineStr">
        <is>
          <t>Yes</t>
        </is>
      </c>
      <c r="CI90" t="inlineStr">
        <is>
          <t>Yes</t>
        </is>
      </c>
      <c r="CJ90" t="inlineStr">
        <is>
          <t>Yes</t>
        </is>
      </c>
      <c r="CK90" t="inlineStr">
        <is>
          <t>Yes</t>
        </is>
      </c>
      <c r="CL90" t="inlineStr">
        <is>
          <t>Yes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</t>
        </is>
      </c>
      <c r="CR90" t="inlineStr">
        <is>
          <t>Yes</t>
        </is>
      </c>
      <c r="CS90" t="inlineStr">
        <is>
          <t>Yes</t>
        </is>
      </c>
      <c r="CW90">
        <f>IF($S90="","",IF(UPPER(TRIM($S90))&lt;&gt;"PASS","",IF(LEN(TRIM($BY90))&gt;0,"NOTES_PRESENT",IF(LEN(TRIM($T90))=0,"SET_NA",IF(OR(LOWER(TRIM($T90))="na",LOWER(TRIM($T90))="n/a"),"OK","MANUAL_OVERRIDE")))))</f>
        <v/>
      </c>
    </row>
    <row r="91">
      <c r="A91" t="inlineStr">
        <is>
          <t>Cybernet-Neuron</t>
        </is>
      </c>
      <c r="B91" s="51" t="inlineStr">
        <is>
          <t>Yes</t>
        </is>
      </c>
      <c r="C91" t="inlineStr">
        <is>
          <t>Yes</t>
        </is>
      </c>
      <c r="D91">
        <f>IF($B91&lt;&gt;"Yes","",IF($C91="No","Yes",IF($C91="Yes","No","")))</f>
        <v/>
      </c>
      <c r="E91">
        <f>IF($A91="","",IF(OR(AND($V91&lt;&gt;"",LOWER(TRIM($V91))&lt;&gt;"n/a",LOWER(TRIM($V91))&lt;&gt;"na",SUMPRODUCT(--(UPPER(TRIM($V$2:$V$518))=UPPER(TRIM($V91))),--(TRIM($V$2:$V$518)&lt;&gt;""),--(LOWER(TRIM($V$2:$V$518))&lt;&gt;"n/a"),--(LOWER(TRIM($V$2:$V$518))&lt;&gt;"na"))&gt;1),AND($W91&lt;&gt;"",LOWER(TRIM($W91))&lt;&gt;"n/a",LOWER(TRIM($W91))&lt;&gt;"na",SUMPRODUCT(--(UPPER(TRIM($W$2:$W$518))=UPPER(TRIM($W91))),--(TRIM($W$2:$W$518)&lt;&gt;""),--(LOWER(TRIM($W$2:$W$518))&lt;&gt;"n/a"),--(LOWER(TRIM($W$2:$W$518))&lt;&gt;"na"))&gt;1),AND($X91&lt;&gt;"",LOWER(TRIM($X91))&lt;&gt;"n/a",LOWER(TRIM($X91))&lt;&gt;"na",SUMPRODUCT(--(UPPER(TRIM($X$2:$X$518))=UPPER(TRIM($X91))),--(TRIM($X$2:$X$518)&lt;&gt;""),--(LOWER(TRIM($X$2:$X$518))&lt;&gt;"n/a"),--(LOWER(TRIM($X$2:$X$518))&lt;&gt;"na"))&gt;1),AND($Y91&lt;&gt;"",LOWER(TRIM($Y91))&lt;&gt;"n/a",LOWER(TRIM($Y91))&lt;&gt;"na",SUMPRODUCT(--(UPPER(SUBSTITUTE(SUBSTITUTE(TRIM($Y$2:$Y$518),":",""),"-",""))=UPPER(SUBSTITUTE(SUBSTITUTE(TRIM($Y91),":",""),"-",""))),--(TRIM($Y$2:$Y$518)&lt;&gt;""),--(LOWER(TRIM($Y$2:$Y$518))&lt;&gt;"n/a"),--(LOWER(TRIM($Y$2:$Y$518))&lt;&gt;"na"))&gt;1),AND($AB91&lt;&gt;"",LOWER(TRIM($AB91))&lt;&gt;"n/a",LOWER(TRIM($AB91))&lt;&gt;"na",SUMPRODUCT(--(UPPER(TRIM($AB$2:$AB$518))=UPPER(TRIM($AB91))),--(TRIM($AB$2:$AB$518)&lt;&gt;""),--(LOWER(TRIM($AB$2:$AB$518))&lt;&gt;"n/a"),--(LOWER(TRIM($AB$2:$AB$518))&lt;&gt;"na"))&gt;1),AND($AH91&lt;&gt;"",LOWER(TRIM($AH91))&lt;&gt;"n/a",LOWER(TRIM($AH91))&lt;&gt;"na",SUMPRODUCT(--(UPPER(SUBSTITUTE(SUBSTITUTE(TRIM($AH$2:$AH$518),":",""),"-",""))=UPPER(SUBSTITUTE(SUBSTITUTE(TRIM($AH91),":",""),"-",""))),--(TRIM($AH$2:$AH$518)&lt;&gt;""),--(LOWER(TRIM($AH$2:$AH$518))&lt;&gt;"n/a"),--(LOWER(TRIM($AH$2:$AH$518))&lt;&gt;"na"))&gt;1),AND($AP91&lt;&gt;"",LOWER(TRIM($AP91))&lt;&gt;"n/a",LOWER(TRIM($AP91))&lt;&gt;"na",SUMPRODUCT(--(UPPER(TRIM($AP$2:$AP$518))=UPPER(TRIM($AP91))),--(TRIM($AP$2:$AP$518)&lt;&gt;""),--(LOWER(TRIM($AP$2:$AP$518))&lt;&gt;"n/a"),--(LOWER(TRIM($AP$2:$AP$518))&lt;&gt;"na"))&gt;1),AND($AQ91&lt;&gt;"",LOWER(TRIM($AQ91))&lt;&gt;"n/a",LOWER(TRIM($AQ91))&lt;&gt;"na",SUMPRODUCT(--(UPPER(TRIM($AQ$2:$AQ$518))=UPPER(TRIM($AQ91))),--(TRIM($AQ$2:$AQ$518)&lt;&gt;""),--(LOWER(TRIM($AQ$2:$AQ$518))&lt;&gt;"n/a"),--(LOWER(TRIM($AQ$2:$AQ$518))&lt;&gt;"na"))&gt;1)),"Yes","No"))</f>
        <v/>
      </c>
      <c r="F91">
        <f>IF(UPPER(TRIM($B91))&lt;&gt;"YES","", IF(OR(AND($V91&lt;&gt;"", LOWER(TRIM($V91))&lt;&gt;"n/a", LOWER(TRIM($V91))&lt;&gt;"na", SUMPRODUCT(--(UPPER(TRIM($V$2:$V$518))=UPPER(TRIM($V91))), --(UPPER(TRIM($B$2:$B$518))="YES"), --(UPPER(TRIM($G$2:$G$518)&amp;TRIM($I$2:$I$518)&amp;TRIM($J$2:$J$518))&lt;&gt;UPPER(TRIM($G91)&amp;TRIM($I91)&amp;TRIM($J91))))&gt;0), AND($W91&lt;&gt;"", LOWER(TRIM($W91))&lt;&gt;"n/a", LOWER(TRIM($W91))&lt;&gt;"na", SUMPRODUCT(--(UPPER(TRIM($W$2:$W$518))=UPPER(TRIM($W91))), --(UPPER(TRIM($B$2:$B$518))="YES"), --(UPPER(TRIM($G$2:$G$518)&amp;TRIM($I$2:$I$518)&amp;TRIM($J$2:$J$518))&lt;&gt;UPPER(TRIM($G91)&amp;TRIM($I91)&amp;TRIM($J91))))&gt;0), AND($X91&lt;&gt;"", LOWER(TRIM($X91))&lt;&gt;"n/a", LOWER(TRIM($X91))&lt;&gt;"na", SUMPRODUCT(--(UPPER(TRIM($X$2:$X$518))=UPPER(TRIM($X91))), --(UPPER(TRIM($B$2:$B$518))="YES"), --(UPPER(TRIM($G$2:$G$518)&amp;TRIM($I$2:$I$518)&amp;TRIM($J$2:$J$518))&lt;&gt;UPPER(TRIM($G91)&amp;TRIM($I91)&amp;TRIM($J91))))&gt;0), AND($Y91&lt;&gt;"", LOWER(TRIM($Y91))&lt;&gt;"n/a", LOWER(TRIM($Y91))&lt;&gt;"na", SUMPRODUCT(--(UPPER(SUBSTITUTE(SUBSTITUTE(TRIM($Y$2:$Y$518),":",""),"-",""))=UPPER(SUBSTITUTE(SUBSTITUTE(TRIM($Y91),":",""),"-",""))), --(UPPER(TRIM($B$2:$B$518))="YES"), --(UPPER(TRIM($G$2:$G$518)&amp;TRIM($I$2:$I$518)&amp;TRIM($J$2:$J$518))&lt;&gt;UPPER(TRIM($G91)&amp;TRIM($I91)&amp;TRIM($J91))))&gt;0), AND($AB91&lt;&gt;"", LOWER(TRIM($AB91))&lt;&gt;"n/a", LOWER(TRIM($AB91))&lt;&gt;"na", SUMPRODUCT(--(UPPER(TRIM($AB$2:$AB$518))=UPPER(TRIM($AB91))), --(UPPER(TRIM($B$2:$B$518))="YES"), --(UPPER(TRIM($G$2:$G$518)&amp;TRIM($I$2:$I$518)&amp;TRIM($J$2:$J$518))&lt;&gt;UPPER(TRIM($G91)&amp;TRIM($I91)&amp;TRIM($J91))))&gt;0), AND($AH91&lt;&gt;"", LOWER(TRIM($AH91))&lt;&gt;"n/a", LOWER(TRIM($AH91))&lt;&gt;"na", SUMPRODUCT(--(UPPER(SUBSTITUTE(SUBSTITUTE(TRIM($AH$2:$AH$518),":",""),"-",""))=UPPER(SUBSTITUTE(SUBSTITUTE(TRIM($AH91),":",""),"-",""))), --(UPPER(TRIM($B$2:$B$518))="YES"), --(UPPER(TRIM($G$2:$G$518)&amp;TRIM($I$2:$I$518)&amp;TRIM($J$2:$J$518))&lt;&gt;UPPER(TRIM($G91)&amp;TRIM($I91)&amp;TRIM($J91))))&gt;0), AND($AP91&lt;&gt;"", LOWER(TRIM($AP91))&lt;&gt;"n/a", LOWER(TRIM($AP91))&lt;&gt;"na", SUMPRODUCT(--(UPPER(TRIM($AP$2:$AP$518))=UPPER(TRIM($AP91))), --(UPPER(TRIM($B$2:$B$518))="YES"), --(UPPER(TRIM($G$2:$G$518)&amp;TRIM($I$2:$I$518)&amp;TRIM($J$2:$J$518))&lt;&gt;UPPER(TRIM($G91)&amp;TRIM($I91)&amp;TRIM($J91))))&gt;0), AND($AQ91&lt;&gt;"", LOWER(TRIM($AQ91))&lt;&gt;"n/a", LOWER(TRIM($AQ91))&lt;&gt;"na", SUMPRODUCT(--(UPPER(TRIM($AQ$2:$AQ$518))=UPPER(TRIM($AQ91))), --(UPPER(TRIM($B$2:$B$518))="YES"), --(UPPER(TRIM($G$2:$G$518)&amp;TRIM($I$2:$I$518)&amp;TRIM($J$2:$J$518))&lt;&gt;UPPER(TRIM($G91)&amp;TRIM($I91)&amp;TRIM($J91))))&gt;0)), "Yes", "No"))</f>
        <v/>
      </c>
      <c r="G91" t="inlineStr">
        <is>
          <t>NSUH - Schwartz</t>
        </is>
      </c>
      <c r="H91" t="inlineStr">
        <is>
          <t>NSUH - Schwartz</t>
        </is>
      </c>
      <c r="I91" t="inlineStr">
        <is>
          <t xml:space="preserve">Main ORs </t>
        </is>
      </c>
      <c r="J91" t="inlineStr">
        <is>
          <t xml:space="preserve">OR 7 </t>
        </is>
      </c>
      <c r="L91" s="18" t="n">
        <v>46123</v>
      </c>
      <c r="O91" t="inlineStr">
        <is>
          <t>Yes</t>
        </is>
      </c>
      <c r="P91" t="inlineStr">
        <is>
          <t>Yes</t>
        </is>
      </c>
      <c r="R91" t="inlineStr">
        <is>
          <t>Yes</t>
        </is>
      </c>
      <c r="U91" t="inlineStr">
        <is>
          <t>Dr. Palilla, Timothy W. Seeberger</t>
        </is>
      </c>
      <c r="V91" t="inlineStr">
        <is>
          <t>WMH300OPR420</t>
        </is>
      </c>
      <c r="W91" t="inlineStr">
        <is>
          <t>MEDSG2425F-0143</t>
        </is>
      </c>
      <c r="X91" t="inlineStr">
        <is>
          <t>SCH-MACH-G</t>
        </is>
      </c>
      <c r="Y91" t="inlineStr">
        <is>
          <t>A0F5097FDF00</t>
        </is>
      </c>
      <c r="AB91" t="inlineStr">
        <is>
          <t>WA24406124</t>
        </is>
      </c>
      <c r="AC91" t="inlineStr">
        <is>
          <t>NSUH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I91" t="inlineStr">
        <is>
          <t>Anesthesia Machine</t>
        </is>
      </c>
      <c r="AJ91" t="n">
        <v>443132</v>
      </c>
      <c r="AL91" t="inlineStr">
        <is>
          <t>1301- 146 / 147</t>
        </is>
      </c>
      <c r="AM91" t="inlineStr">
        <is>
          <t>Drager</t>
        </is>
      </c>
      <c r="AN91" t="inlineStr">
        <is>
          <t>FABIUS GS PREMIUM</t>
        </is>
      </c>
      <c r="AP91" t="inlineStr">
        <is>
          <t>01040486750414671119071121ASMH-0016938607000-73</t>
        </is>
      </c>
      <c r="AQ91" t="inlineStr">
        <is>
          <t>01040486750414671119071121ASMH-0016938607000-73</t>
        </is>
      </c>
      <c r="AS91" t="inlineStr">
        <is>
          <t xml:space="preserve">GE B650: 833-08, SPEC999015 </t>
        </is>
      </c>
      <c r="AT91" t="inlineStr">
        <is>
          <t>B1-CFT</t>
        </is>
      </c>
      <c r="AX91" t="inlineStr">
        <is>
          <t>GE Carespace B650: SK416381037HA</t>
        </is>
      </c>
      <c r="AY91" t="inlineStr">
        <is>
          <t>01040486750414671119071121ASMH-0016938607000-73</t>
        </is>
      </c>
      <c r="BC91" t="n">
        <v>409532</v>
      </c>
      <c r="BD91" t="n">
        <v>443132</v>
      </c>
      <c r="BH91" t="n">
        <v>19200</v>
      </c>
      <c r="BI91" t="n">
        <v>9600</v>
      </c>
      <c r="BM91" t="inlineStr">
        <is>
          <t>E81</t>
        </is>
      </c>
      <c r="BN91" t="inlineStr">
        <is>
          <t>N81</t>
        </is>
      </c>
      <c r="BR91" t="inlineStr">
        <is>
          <t>Yes</t>
        </is>
      </c>
      <c r="BS91" t="inlineStr">
        <is>
          <t>Yes</t>
        </is>
      </c>
      <c r="BT91" t="inlineStr">
        <is>
          <t>Yes</t>
        </is>
      </c>
      <c r="BU91" t="inlineStr">
        <is>
          <t>Yes</t>
        </is>
      </c>
      <c r="CD91">
        <f>IF($Y91="","",IF((IF(AND($BR91&lt;&gt;"Yes",$BR91&lt;&gt;"N/A"),"Power Cable, ","")&amp;IF(AND($BS91&lt;&gt;"Yes",$BS91&lt;&gt;"N/A"),"Battery, ","")&amp;IF(AND($AD91&lt;&gt;"Yes",$AD91&lt;&gt;"N/A"),"Firmware Download, ","")&amp;IF(AND(OR($AD91="Yes",$AD91="N/A"),$AE91&lt;&gt;"Yes",$AE91&lt;&gt;"N/A"),"Firmware Install, ","")&amp;IF(AND($CB91&lt;&gt;"Yes",$CB91&lt;&gt;"N/A"),"Device ID, ","")&amp;IF(AND($CC91&lt;&gt;"Yes",$CC91&lt;&gt;"N/A"),"Epic Beans Relay, ",""))="","",LEFT(IF(AND($BR91&lt;&gt;"Yes",$BR91&lt;&gt;"N/A"),"Power Cable, ","")&amp;IF(AND($BS91&lt;&gt;"Yes",$BS91&lt;&gt;"N/A"),"Battery, ","")&amp;IF(AND($AD91&lt;&gt;"Yes",$AD91&lt;&gt;"N/A"),"Firmware Download, ","")&amp;IF(AND(OR($AD91="Yes",$AD91="N/A"),$AE91&lt;&gt;"Yes",$AE91&lt;&gt;"N/A"),"Firmware Install, ","")&amp;IF(AND($CB91&lt;&gt;"Yes",$CB91&lt;&gt;"N/A"),"Device ID, ","")&amp;IF(AND($CC91&lt;&gt;"Yes",$CC91&lt;&gt;"N/A"),"Epic Beans Relay, ",""),LEN(IF(AND($BR91&lt;&gt;"Yes",$BR91&lt;&gt;"N/A"),"Power Cable, ","")&amp;IF(AND($BS91&lt;&gt;"Yes",$BS91&lt;&gt;"N/A"),"Battery, ","")&amp;IF(AND($AD91&lt;&gt;"Yes",$AD91&lt;&gt;"N/A"),"Firmware Download, ","")&amp;IF(AND(OR($AD91="Yes",$AD91="N/A"),$AE91&lt;&gt;"Yes",$AE91&lt;&gt;"N/A"),"Firmware Install, ","")&amp;IF(AND($CB91&lt;&gt;"Yes",$CB91&lt;&gt;"N/A"),"Device ID, ","")&amp;IF(AND($CC91&lt;&gt;"Yes",$CC91&lt;&gt;"N/A"),"Epic Beans Relay, ",""))-2)))</f>
        <v/>
      </c>
      <c r="CE91">
        <f>IF($Y91="","",IF($CD91="","Yes","Blocked"))</f>
        <v/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Q91" t="inlineStr">
        <is>
          <t>Yes</t>
        </is>
      </c>
      <c r="CR91" t="inlineStr">
        <is>
          <t>Yes</t>
        </is>
      </c>
      <c r="CS91" t="inlineStr">
        <is>
          <t>Yes</t>
        </is>
      </c>
      <c r="CW91">
        <f>IF($S91="","",IF(UPPER(TRIM($S91))&lt;&gt;"PASS","",IF(LEN(TRIM($BY91))&gt;0,"NOTES_PRESENT",IF(LEN(TRIM($T91))=0,"SET_NA",IF(OR(LOWER(TRIM($T91))="na",LOWER(TRIM($T91))="n/a"),"OK","MANUAL_OVERRIDE")))))</f>
        <v/>
      </c>
    </row>
    <row r="92">
      <c r="A92" t="inlineStr">
        <is>
          <t>Cybernet</t>
        </is>
      </c>
      <c r="B92" s="51" t="inlineStr">
        <is>
          <t>No</t>
        </is>
      </c>
      <c r="C92" t="inlineStr">
        <is>
          <t>Yes</t>
        </is>
      </c>
      <c r="D92">
        <f>IF($B92&lt;&gt;"Yes","",IF($C92="No","Yes",IF($C92="Yes","No","")))</f>
        <v/>
      </c>
      <c r="E92">
        <f>IF($A92="","",IF(OR(AND($V92&lt;&gt;"",LOWER(TRIM($V92))&lt;&gt;"n/a",LOWER(TRIM($V92))&lt;&gt;"na",SUMPRODUCT(--(UPPER(TRIM($V$2:$V$518))=UPPER(TRIM($V92))),--(TRIM($V$2:$V$518)&lt;&gt;""),--(LOWER(TRIM($V$2:$V$518))&lt;&gt;"n/a"),--(LOWER(TRIM($V$2:$V$518))&lt;&gt;"na"))&gt;1),AND($W92&lt;&gt;"",LOWER(TRIM($W92))&lt;&gt;"n/a",LOWER(TRIM($W92))&lt;&gt;"na",SUMPRODUCT(--(UPPER(TRIM($W$2:$W$518))=UPPER(TRIM($W92))),--(TRIM($W$2:$W$518)&lt;&gt;""),--(LOWER(TRIM($W$2:$W$518))&lt;&gt;"n/a"),--(LOWER(TRIM($W$2:$W$518))&lt;&gt;"na"))&gt;1),AND($X92&lt;&gt;"",LOWER(TRIM($X92))&lt;&gt;"n/a",LOWER(TRIM($X92))&lt;&gt;"na",SUMPRODUCT(--(UPPER(TRIM($X$2:$X$518))=UPPER(TRIM($X92))),--(TRIM($X$2:$X$518)&lt;&gt;""),--(LOWER(TRIM($X$2:$X$518))&lt;&gt;"n/a"),--(LOWER(TRIM($X$2:$X$518))&lt;&gt;"na"))&gt;1),AND($Y92&lt;&gt;"",LOWER(TRIM($Y92))&lt;&gt;"n/a",LOWER(TRIM($Y92))&lt;&gt;"na",SUMPRODUCT(--(UPPER(SUBSTITUTE(SUBSTITUTE(TRIM($Y$2:$Y$518),":",""),"-",""))=UPPER(SUBSTITUTE(SUBSTITUTE(TRIM($Y92),":",""),"-",""))),--(TRIM($Y$2:$Y$518)&lt;&gt;""),--(LOWER(TRIM($Y$2:$Y$518))&lt;&gt;"n/a"),--(LOWER(TRIM($Y$2:$Y$518))&lt;&gt;"na"))&gt;1),AND($AB92&lt;&gt;"",LOWER(TRIM($AB92))&lt;&gt;"n/a",LOWER(TRIM($AB92))&lt;&gt;"na",SUMPRODUCT(--(UPPER(TRIM($AB$2:$AB$518))=UPPER(TRIM($AB92))),--(TRIM($AB$2:$AB$518)&lt;&gt;""),--(LOWER(TRIM($AB$2:$AB$518))&lt;&gt;"n/a"),--(LOWER(TRIM($AB$2:$AB$518))&lt;&gt;"na"))&gt;1),AND($AH92&lt;&gt;"",LOWER(TRIM($AH92))&lt;&gt;"n/a",LOWER(TRIM($AH92))&lt;&gt;"na",SUMPRODUCT(--(UPPER(SUBSTITUTE(SUBSTITUTE(TRIM($AH$2:$AH$518),":",""),"-",""))=UPPER(SUBSTITUTE(SUBSTITUTE(TRIM($AH92),":",""),"-",""))),--(TRIM($AH$2:$AH$518)&lt;&gt;""),--(LOWER(TRIM($AH$2:$AH$518))&lt;&gt;"n/a"),--(LOWER(TRIM($AH$2:$AH$518))&lt;&gt;"na"))&gt;1),AND($AP92&lt;&gt;"",LOWER(TRIM($AP92))&lt;&gt;"n/a",LOWER(TRIM($AP92))&lt;&gt;"na",SUMPRODUCT(--(UPPER(TRIM($AP$2:$AP$518))=UPPER(TRIM($AP92))),--(TRIM($AP$2:$AP$518)&lt;&gt;""),--(LOWER(TRIM($AP$2:$AP$518))&lt;&gt;"n/a"),--(LOWER(TRIM($AP$2:$AP$518))&lt;&gt;"na"))&gt;1),AND($AQ92&lt;&gt;"",LOWER(TRIM($AQ92))&lt;&gt;"n/a",LOWER(TRIM($AQ92))&lt;&gt;"na",SUMPRODUCT(--(UPPER(TRIM($AQ$2:$AQ$518))=UPPER(TRIM($AQ92))),--(TRIM($AQ$2:$AQ$518)&lt;&gt;""),--(LOWER(TRIM($AQ$2:$AQ$518))&lt;&gt;"n/a"),--(LOWER(TRIM($AQ$2:$AQ$518))&lt;&gt;"na"))&gt;1)),"Yes","No"))</f>
        <v/>
      </c>
      <c r="F92">
        <f>IF(UPPER(TRIM($B92))&lt;&gt;"YES","", IF(OR(AND($V92&lt;&gt;"", LOWER(TRIM($V92))&lt;&gt;"n/a", LOWER(TRIM($V92))&lt;&gt;"na", SUMPRODUCT(--(UPPER(TRIM($V$2:$V$518))=UPPER(TRIM($V92))), --(UPPER(TRIM($B$2:$B$518))="YES"), --(UPPER(TRIM($G$2:$G$518)&amp;TRIM($I$2:$I$518)&amp;TRIM($J$2:$J$518))&lt;&gt;UPPER(TRIM($G92)&amp;TRIM($I92)&amp;TRIM($J92))))&gt;0), AND($W92&lt;&gt;"", LOWER(TRIM($W92))&lt;&gt;"n/a", LOWER(TRIM($W92))&lt;&gt;"na", SUMPRODUCT(--(UPPER(TRIM($W$2:$W$518))=UPPER(TRIM($W92))), --(UPPER(TRIM($B$2:$B$518))="YES"), --(UPPER(TRIM($G$2:$G$518)&amp;TRIM($I$2:$I$518)&amp;TRIM($J$2:$J$518))&lt;&gt;UPPER(TRIM($G92)&amp;TRIM($I92)&amp;TRIM($J92))))&gt;0), AND($X92&lt;&gt;"", LOWER(TRIM($X92))&lt;&gt;"n/a", LOWER(TRIM($X92))&lt;&gt;"na", SUMPRODUCT(--(UPPER(TRIM($X$2:$X$518))=UPPER(TRIM($X92))), --(UPPER(TRIM($B$2:$B$518))="YES"), --(UPPER(TRIM($G$2:$G$518)&amp;TRIM($I$2:$I$518)&amp;TRIM($J$2:$J$518))&lt;&gt;UPPER(TRIM($G92)&amp;TRIM($I92)&amp;TRIM($J92))))&gt;0), AND($Y92&lt;&gt;"", LOWER(TRIM($Y92))&lt;&gt;"n/a", LOWER(TRIM($Y92))&lt;&gt;"na", SUMPRODUCT(--(UPPER(SUBSTITUTE(SUBSTITUTE(TRIM($Y$2:$Y$518),":",""),"-",""))=UPPER(SUBSTITUTE(SUBSTITUTE(TRIM($Y92),":",""),"-",""))), --(UPPER(TRIM($B$2:$B$518))="YES"), --(UPPER(TRIM($G$2:$G$518)&amp;TRIM($I$2:$I$518)&amp;TRIM($J$2:$J$518))&lt;&gt;UPPER(TRIM($G92)&amp;TRIM($I92)&amp;TRIM($J92))))&gt;0), AND($AB92&lt;&gt;"", LOWER(TRIM($AB92))&lt;&gt;"n/a", LOWER(TRIM($AB92))&lt;&gt;"na", SUMPRODUCT(--(UPPER(TRIM($AB$2:$AB$518))=UPPER(TRIM($AB92))), --(UPPER(TRIM($B$2:$B$518))="YES"), --(UPPER(TRIM($G$2:$G$518)&amp;TRIM($I$2:$I$518)&amp;TRIM($J$2:$J$518))&lt;&gt;UPPER(TRIM($G92)&amp;TRIM($I92)&amp;TRIM($J92))))&gt;0), AND($AH92&lt;&gt;"", LOWER(TRIM($AH92))&lt;&gt;"n/a", LOWER(TRIM($AH92))&lt;&gt;"na", SUMPRODUCT(--(UPPER(SUBSTITUTE(SUBSTITUTE(TRIM($AH$2:$AH$518),":",""),"-",""))=UPPER(SUBSTITUTE(SUBSTITUTE(TRIM($AH92),":",""),"-",""))), --(UPPER(TRIM($B$2:$B$518))="YES"), --(UPPER(TRIM($G$2:$G$518)&amp;TRIM($I$2:$I$518)&amp;TRIM($J$2:$J$518))&lt;&gt;UPPER(TRIM($G92)&amp;TRIM($I92)&amp;TRIM($J92))))&gt;0), AND($AP92&lt;&gt;"", LOWER(TRIM($AP92))&lt;&gt;"n/a", LOWER(TRIM($AP92))&lt;&gt;"na", SUMPRODUCT(--(UPPER(TRIM($AP$2:$AP$518))=UPPER(TRIM($AP92))), --(UPPER(TRIM($B$2:$B$518))="YES"), --(UPPER(TRIM($G$2:$G$518)&amp;TRIM($I$2:$I$518)&amp;TRIM($J$2:$J$518))&lt;&gt;UPPER(TRIM($G92)&amp;TRIM($I92)&amp;TRIM($J92))))&gt;0), AND($AQ92&lt;&gt;"", LOWER(TRIM($AQ92))&lt;&gt;"n/a", LOWER(TRIM($AQ92))&lt;&gt;"na", SUMPRODUCT(--(UPPER(TRIM($AQ$2:$AQ$518))=UPPER(TRIM($AQ92))), --(UPPER(TRIM($B$2:$B$518))="YES"), --(UPPER(TRIM($G$2:$G$518)&amp;TRIM($I$2:$I$518)&amp;TRIM($J$2:$J$518))&lt;&gt;UPPER(TRIM($G92)&amp;TRIM($I92)&amp;TRIM($J92))))&gt;0)), "Yes", "No"))</f>
        <v/>
      </c>
      <c r="G92" t="inlineStr">
        <is>
          <t>NSUH - PSP</t>
        </is>
      </c>
      <c r="H92" t="inlineStr">
        <is>
          <t>NSUH - PSP</t>
        </is>
      </c>
      <c r="I92" t="inlineStr">
        <is>
          <t>Main ORs - PSP - 2nd Floor</t>
        </is>
      </c>
      <c r="J92" t="inlineStr">
        <is>
          <t>OR 6</t>
        </is>
      </c>
      <c r="L92" s="18" t="n">
        <v>46095</v>
      </c>
      <c r="U92" t="inlineStr">
        <is>
          <t>Dr. Palilla, Timothy W. Seeberger</t>
        </is>
      </c>
      <c r="V92" t="inlineStr">
        <is>
          <t>N/A</t>
        </is>
      </c>
      <c r="W92" t="inlineStr">
        <is>
          <t>N/A</t>
        </is>
      </c>
      <c r="AC92" t="inlineStr">
        <is>
          <t>NSUH</t>
        </is>
      </c>
      <c r="AD92" t="inlineStr">
        <is>
          <t>Yes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I92" t="inlineStr">
        <is>
          <t>Anesthesia Machine</t>
        </is>
      </c>
      <c r="AL92" t="inlineStr">
        <is>
          <t>7202-413 / 7202-417</t>
        </is>
      </c>
      <c r="AM92" t="inlineStr">
        <is>
          <t>GE Healthcare</t>
        </is>
      </c>
      <c r="AN92" t="inlineStr">
        <is>
          <t>Aisys CS2</t>
        </is>
      </c>
      <c r="AP92" t="inlineStr">
        <is>
          <t>010084068210229221APWC0265711230915</t>
        </is>
      </c>
      <c r="AQ92" t="inlineStr">
        <is>
          <t>010084068210229221APWC0265711230915</t>
        </is>
      </c>
      <c r="AS92" t="inlineStr">
        <is>
          <t>GE B650: 833-08, SPEC999015 GE Canvas 1000: 833-08, SPEC999015 / GE G1500213: 133-08C, GE B850</t>
        </is>
      </c>
      <c r="AX92" t="inlineStr">
        <is>
          <t>GE Canvas 1000: 136HA / 091181091</t>
        </is>
      </c>
      <c r="AY92" t="inlineStr">
        <is>
          <t>010084068210229221APWC0265711230915</t>
        </is>
      </c>
      <c r="BH92" t="n">
        <v>115200</v>
      </c>
      <c r="BI92" t="n">
        <v>19200</v>
      </c>
      <c r="BM92" t="inlineStr">
        <is>
          <t>E81</t>
        </is>
      </c>
      <c r="BN92" t="inlineStr">
        <is>
          <t>O71</t>
        </is>
      </c>
      <c r="CD92">
        <f>IF($Y92="","",IF((IF(AND($BR92&lt;&gt;"Yes",$BR92&lt;&gt;"N/A"),"Power Cable, ","")&amp;IF(AND($BS92&lt;&gt;"Yes",$BS92&lt;&gt;"N/A"),"Battery, ","")&amp;IF(AND($AD92&lt;&gt;"Yes",$AD92&lt;&gt;"N/A"),"Firmware Download, ","")&amp;IF(AND(OR($AD92="Yes",$AD92="N/A"),$AE92&lt;&gt;"Yes",$AE92&lt;&gt;"N/A"),"Firmware Install, ","")&amp;IF(AND($CB92&lt;&gt;"Yes",$CB92&lt;&gt;"N/A"),"Device ID, ","")&amp;IF(AND($CC92&lt;&gt;"Yes",$CC92&lt;&gt;"N/A"),"Epic Beans Relay, ",""))="","",LEFT(IF(AND($BR92&lt;&gt;"Yes",$BR92&lt;&gt;"N/A"),"Power Cable, ","")&amp;IF(AND($BS92&lt;&gt;"Yes",$BS92&lt;&gt;"N/A"),"Battery, ","")&amp;IF(AND($AD92&lt;&gt;"Yes",$AD92&lt;&gt;"N/A"),"Firmware Download, ","")&amp;IF(AND(OR($AD92="Yes",$AD92="N/A"),$AE92&lt;&gt;"Yes",$AE92&lt;&gt;"N/A"),"Firmware Install, ","")&amp;IF(AND($CB92&lt;&gt;"Yes",$CB92&lt;&gt;"N/A"),"Device ID, ","")&amp;IF(AND($CC92&lt;&gt;"Yes",$CC92&lt;&gt;"N/A"),"Epic Beans Relay, ",""),LEN(IF(AND($BR92&lt;&gt;"Yes",$BR92&lt;&gt;"N/A"),"Power Cable, ","")&amp;IF(AND($BS92&lt;&gt;"Yes",$BS92&lt;&gt;"N/A"),"Battery, ","")&amp;IF(AND($AD92&lt;&gt;"Yes",$AD92&lt;&gt;"N/A"),"Firmware Download, ","")&amp;IF(AND(OR($AD92="Yes",$AD92="N/A"),$AE92&lt;&gt;"Yes",$AE92&lt;&gt;"N/A"),"Firmware Install, ","")&amp;IF(AND($CB92&lt;&gt;"Yes",$CB92&lt;&gt;"N/A"),"Device ID, ","")&amp;IF(AND($CC92&lt;&gt;"Yes",$CC92&lt;&gt;"N/A"),"Epic Beans Relay, ",""))-2)))</f>
        <v/>
      </c>
      <c r="CE92">
        <f>IF($Y92="","",IF($CD92="","Yes","Blocked"))</f>
        <v/>
      </c>
      <c r="CF92" t="inlineStr">
        <is>
          <t>No</t>
        </is>
      </c>
      <c r="CG92" t="inlineStr">
        <is>
          <t>No</t>
        </is>
      </c>
      <c r="CH92" t="inlineStr">
        <is>
          <t>Yes</t>
        </is>
      </c>
      <c r="CI92" t="inlineStr">
        <is>
          <t>Yes</t>
        </is>
      </c>
      <c r="CJ92" t="inlineStr">
        <is>
          <t>Yes</t>
        </is>
      </c>
      <c r="CP92">
        <f>IF($CO92="","",IFERROR(VLOOKUP($CO92,'01_Warehouse_Ledger'!$A:$N,4,FALSE),""))</f>
        <v/>
      </c>
      <c r="CQ92">
        <f>IF($CO92="","",IFERROR(VLOOKUP($CO92,'01_Warehouse_Ledger'!$A:$N,5,FALSE),""))</f>
        <v/>
      </c>
      <c r="CR92">
        <f>IF($CO92="","",IFERROR(VLOOKUP($CO92,'01_Warehouse_Ledger'!$A:$N,13,FALSE),""))</f>
        <v/>
      </c>
      <c r="CW92">
        <f>IF($S92="","",IF(UPPER(TRIM($S92))&lt;&gt;"PASS","",IF(LEN(TRIM($BY92))&gt;0,"NOTES_PRESENT",IF(LEN(TRIM($T92))=0,"SET_NA",IF(OR(LOWER(TRIM($T92))="na",LOWER(TRIM($T92))="n/a"),"OK","MANUAL_OVERRIDE")))))</f>
        <v/>
      </c>
    </row>
    <row r="93">
      <c r="A93" t="inlineStr">
        <is>
          <t>Neuron</t>
        </is>
      </c>
      <c r="B93" s="51" t="inlineStr">
        <is>
          <t>Yes</t>
        </is>
      </c>
      <c r="C93" t="inlineStr">
        <is>
          <t>Yes</t>
        </is>
      </c>
      <c r="D93">
        <f>IF($B93&lt;&gt;"Yes","",IF($C93="No","Yes",IF($C93="Yes","No","")))</f>
        <v/>
      </c>
      <c r="E93">
        <f>IF($A93="","",IF(OR(AND($V93&lt;&gt;"",LOWER(TRIM($V93))&lt;&gt;"n/a",LOWER(TRIM($V93))&lt;&gt;"na",SUMPRODUCT(--(UPPER(TRIM($V$2:$V$518))=UPPER(TRIM($V93))),--(TRIM($V$2:$V$518)&lt;&gt;""),--(LOWER(TRIM($V$2:$V$518))&lt;&gt;"n/a"),--(LOWER(TRIM($V$2:$V$518))&lt;&gt;"na"))&gt;1),AND($W93&lt;&gt;"",LOWER(TRIM($W93))&lt;&gt;"n/a",LOWER(TRIM($W93))&lt;&gt;"na",SUMPRODUCT(--(UPPER(TRIM($W$2:$W$518))=UPPER(TRIM($W93))),--(TRIM($W$2:$W$518)&lt;&gt;""),--(LOWER(TRIM($W$2:$W$518))&lt;&gt;"n/a"),--(LOWER(TRIM($W$2:$W$518))&lt;&gt;"na"))&gt;1),AND($X93&lt;&gt;"",LOWER(TRIM($X93))&lt;&gt;"n/a",LOWER(TRIM($X93))&lt;&gt;"na",SUMPRODUCT(--(UPPER(TRIM($X$2:$X$518))=UPPER(TRIM($X93))),--(TRIM($X$2:$X$518)&lt;&gt;""),--(LOWER(TRIM($X$2:$X$518))&lt;&gt;"n/a"),--(LOWER(TRIM($X$2:$X$518))&lt;&gt;"na"))&gt;1),AND($Y93&lt;&gt;"",LOWER(TRIM($Y93))&lt;&gt;"n/a",LOWER(TRIM($Y93))&lt;&gt;"na",SUMPRODUCT(--(UPPER(SUBSTITUTE(SUBSTITUTE(TRIM($Y$2:$Y$518),":",""),"-",""))=UPPER(SUBSTITUTE(SUBSTITUTE(TRIM($Y93),":",""),"-",""))),--(TRIM($Y$2:$Y$518)&lt;&gt;""),--(LOWER(TRIM($Y$2:$Y$518))&lt;&gt;"n/a"),--(LOWER(TRIM($Y$2:$Y$518))&lt;&gt;"na"))&gt;1),AND($AB93&lt;&gt;"",LOWER(TRIM($AB93))&lt;&gt;"n/a",LOWER(TRIM($AB93))&lt;&gt;"na",SUMPRODUCT(--(UPPER(TRIM($AB$2:$AB$518))=UPPER(TRIM($AB93))),--(TRIM($AB$2:$AB$518)&lt;&gt;""),--(LOWER(TRIM($AB$2:$AB$518))&lt;&gt;"n/a"),--(LOWER(TRIM($AB$2:$AB$518))&lt;&gt;"na"))&gt;1),AND($AH93&lt;&gt;"",LOWER(TRIM($AH93))&lt;&gt;"n/a",LOWER(TRIM($AH93))&lt;&gt;"na",SUMPRODUCT(--(UPPER(SUBSTITUTE(SUBSTITUTE(TRIM($AH$2:$AH$518),":",""),"-",""))=UPPER(SUBSTITUTE(SUBSTITUTE(TRIM($AH93),":",""),"-",""))),--(TRIM($AH$2:$AH$518)&lt;&gt;""),--(LOWER(TRIM($AH$2:$AH$518))&lt;&gt;"n/a"),--(LOWER(TRIM($AH$2:$AH$518))&lt;&gt;"na"))&gt;1),AND($AP93&lt;&gt;"",LOWER(TRIM($AP93))&lt;&gt;"n/a",LOWER(TRIM($AP93))&lt;&gt;"na",SUMPRODUCT(--(UPPER(TRIM($AP$2:$AP$518))=UPPER(TRIM($AP93))),--(TRIM($AP$2:$AP$518)&lt;&gt;""),--(LOWER(TRIM($AP$2:$AP$518))&lt;&gt;"n/a"),--(LOWER(TRIM($AP$2:$AP$518))&lt;&gt;"na"))&gt;1),AND($AQ93&lt;&gt;"",LOWER(TRIM($AQ93))&lt;&gt;"n/a",LOWER(TRIM($AQ93))&lt;&gt;"na",SUMPRODUCT(--(UPPER(TRIM($AQ$2:$AQ$518))=UPPER(TRIM($AQ93))),--(TRIM($AQ$2:$AQ$518)&lt;&gt;""),--(LOWER(TRIM($AQ$2:$AQ$518))&lt;&gt;"n/a"),--(LOWER(TRIM($AQ$2:$AQ$518))&lt;&gt;"na"))&gt;1)),"Yes","No"))</f>
        <v/>
      </c>
      <c r="F93">
        <f>IF(UPPER(TRIM($B93))&lt;&gt;"YES","", IF(OR(AND($V93&lt;&gt;"", LOWER(TRIM($V93))&lt;&gt;"n/a", LOWER(TRIM($V93))&lt;&gt;"na", SUMPRODUCT(--(UPPER(TRIM($V$2:$V$518))=UPPER(TRIM($V93))), --(UPPER(TRIM($B$2:$B$518))="YES"), --(UPPER(TRIM($G$2:$G$518)&amp;TRIM($I$2:$I$518)&amp;TRIM($J$2:$J$518))&lt;&gt;UPPER(TRIM($G93)&amp;TRIM($I93)&amp;TRIM($J93))))&gt;0), AND($W93&lt;&gt;"", LOWER(TRIM($W93))&lt;&gt;"n/a", LOWER(TRIM($W93))&lt;&gt;"na", SUMPRODUCT(--(UPPER(TRIM($W$2:$W$518))=UPPER(TRIM($W93))), --(UPPER(TRIM($B$2:$B$518))="YES"), --(UPPER(TRIM($G$2:$G$518)&amp;TRIM($I$2:$I$518)&amp;TRIM($J$2:$J$518))&lt;&gt;UPPER(TRIM($G93)&amp;TRIM($I93)&amp;TRIM($J93))))&gt;0), AND($X93&lt;&gt;"", LOWER(TRIM($X93))&lt;&gt;"n/a", LOWER(TRIM($X93))&lt;&gt;"na", SUMPRODUCT(--(UPPER(TRIM($X$2:$X$518))=UPPER(TRIM($X93))), --(UPPER(TRIM($B$2:$B$518))="YES"), --(UPPER(TRIM($G$2:$G$518)&amp;TRIM($I$2:$I$518)&amp;TRIM($J$2:$J$518))&lt;&gt;UPPER(TRIM($G93)&amp;TRIM($I93)&amp;TRIM($J93))))&gt;0), AND($Y93&lt;&gt;"", LOWER(TRIM($Y93))&lt;&gt;"n/a", LOWER(TRIM($Y93))&lt;&gt;"na", SUMPRODUCT(--(UPPER(SUBSTITUTE(SUBSTITUTE(TRIM($Y$2:$Y$518),":",""),"-",""))=UPPER(SUBSTITUTE(SUBSTITUTE(TRIM($Y93),":",""),"-",""))), --(UPPER(TRIM($B$2:$B$518))="YES"), --(UPPER(TRIM($G$2:$G$518)&amp;TRIM($I$2:$I$518)&amp;TRIM($J$2:$J$518))&lt;&gt;UPPER(TRIM($G93)&amp;TRIM($I93)&amp;TRIM($J93))))&gt;0), AND($AB93&lt;&gt;"", LOWER(TRIM($AB93))&lt;&gt;"n/a", LOWER(TRIM($AB93))&lt;&gt;"na", SUMPRODUCT(--(UPPER(TRIM($AB$2:$AB$518))=UPPER(TRIM($AB93))), --(UPPER(TRIM($B$2:$B$518))="YES"), --(UPPER(TRIM($G$2:$G$518)&amp;TRIM($I$2:$I$518)&amp;TRIM($J$2:$J$518))&lt;&gt;UPPER(TRIM($G93)&amp;TRIM($I93)&amp;TRIM($J93))))&gt;0), AND($AH93&lt;&gt;"", LOWER(TRIM($AH93))&lt;&gt;"n/a", LOWER(TRIM($AH93))&lt;&gt;"na", SUMPRODUCT(--(UPPER(SUBSTITUTE(SUBSTITUTE(TRIM($AH$2:$AH$518),":",""),"-",""))=UPPER(SUBSTITUTE(SUBSTITUTE(TRIM($AH93),":",""),"-",""))), --(UPPER(TRIM($B$2:$B$518))="YES"), --(UPPER(TRIM($G$2:$G$518)&amp;TRIM($I$2:$I$518)&amp;TRIM($J$2:$J$518))&lt;&gt;UPPER(TRIM($G93)&amp;TRIM($I93)&amp;TRIM($J93))))&gt;0), AND($AP93&lt;&gt;"", LOWER(TRIM($AP93))&lt;&gt;"n/a", LOWER(TRIM($AP93))&lt;&gt;"na", SUMPRODUCT(--(UPPER(TRIM($AP$2:$AP$518))=UPPER(TRIM($AP93))), --(UPPER(TRIM($B$2:$B$518))="YES"), --(UPPER(TRIM($G$2:$G$518)&amp;TRIM($I$2:$I$518)&amp;TRIM($J$2:$J$518))&lt;&gt;UPPER(TRIM($G93)&amp;TRIM($I93)&amp;TRIM($J93))))&gt;0), AND($AQ93&lt;&gt;"", LOWER(TRIM($AQ93))&lt;&gt;"n/a", LOWER(TRIM($AQ93))&lt;&gt;"na", SUMPRODUCT(--(UPPER(TRIM($AQ$2:$AQ$518))=UPPER(TRIM($AQ93))), --(UPPER(TRIM($B$2:$B$518))="YES"), --(UPPER(TRIM($G$2:$G$518)&amp;TRIM($I$2:$I$518)&amp;TRIM($J$2:$J$518))&lt;&gt;UPPER(TRIM($G93)&amp;TRIM($I93)&amp;TRIM($J93))))&gt;0)), "Yes", "No"))</f>
        <v/>
      </c>
      <c r="G93" t="inlineStr">
        <is>
          <t>NSUH - PSP</t>
        </is>
      </c>
      <c r="H93" t="inlineStr">
        <is>
          <t>NSUH - PSP</t>
        </is>
      </c>
      <c r="I93" t="inlineStr">
        <is>
          <t>Main ORs - PSP - 2nd Floor</t>
        </is>
      </c>
      <c r="J93" t="inlineStr">
        <is>
          <t>OR 12</t>
        </is>
      </c>
      <c r="L93" s="18" t="n">
        <v>46095</v>
      </c>
      <c r="U93" t="inlineStr">
        <is>
          <t>Dr. Palilla, Timothy W. Seeberger</t>
        </is>
      </c>
      <c r="V93" t="inlineStr">
        <is>
          <t>N/A</t>
        </is>
      </c>
      <c r="W93" t="inlineStr">
        <is>
          <t>N/A</t>
        </is>
      </c>
      <c r="X93" t="inlineStr">
        <is>
          <t>NSUH-MACH-V</t>
        </is>
      </c>
      <c r="Y93" t="inlineStr">
        <is>
          <t>A0F5097FDF02</t>
        </is>
      </c>
      <c r="AB93" t="inlineStr">
        <is>
          <t>WA24406126</t>
        </is>
      </c>
      <c r="AC93" t="inlineStr">
        <is>
          <t>NSUH</t>
        </is>
      </c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  <c r="AI93" t="inlineStr">
        <is>
          <t>Anesthesia Machine</t>
        </is>
      </c>
      <c r="AJ93" t="n">
        <v>452503</v>
      </c>
      <c r="AL93" t="inlineStr">
        <is>
          <t>7202-1017 / 7202-1018</t>
        </is>
      </c>
      <c r="AM93" t="inlineStr">
        <is>
          <t>GE Healthcare</t>
        </is>
      </c>
      <c r="AN93" t="inlineStr">
        <is>
          <t>Aisys CS2</t>
        </is>
      </c>
      <c r="AP93" t="inlineStr">
        <is>
          <t>010084068210229221APWC0264311230915</t>
        </is>
      </c>
      <c r="AQ93" t="inlineStr">
        <is>
          <t>010084068210229221APWC0264311230915</t>
        </is>
      </c>
      <c r="AS93" t="inlineStr">
        <is>
          <t>GE Canvas 1000: 833-08, SPEC999015 / GE G1500213: 133-08C, GE B850</t>
        </is>
      </c>
      <c r="AX93" t="inlineStr">
        <is>
          <t>GE Canvas 1000: 160HA/ 091181413</t>
        </is>
      </c>
      <c r="AY93" t="inlineStr">
        <is>
          <t>010084068210229221APWC0264311230915</t>
        </is>
      </c>
      <c r="BH93" t="n">
        <v>115200</v>
      </c>
      <c r="BI93" t="n">
        <v>19200</v>
      </c>
      <c r="BM93" t="inlineStr">
        <is>
          <t>E81</t>
        </is>
      </c>
      <c r="BN93" t="inlineStr">
        <is>
          <t>O71</t>
        </is>
      </c>
      <c r="CD93">
        <f>IF($Y93="","",IF((IF(AND($BR93&lt;&gt;"Yes",$BR93&lt;&gt;"N/A"),"Power Cable, ","")&amp;IF(AND($BS93&lt;&gt;"Yes",$BS93&lt;&gt;"N/A"),"Battery, ","")&amp;IF(AND($AD93&lt;&gt;"Yes",$AD93&lt;&gt;"N/A"),"Firmware Download, ","")&amp;IF(AND(OR($AD93="Yes",$AD93="N/A"),$AE93&lt;&gt;"Yes",$AE93&lt;&gt;"N/A"),"Firmware Install, ","")&amp;IF(AND($CB93&lt;&gt;"Yes",$CB93&lt;&gt;"N/A"),"Device ID, ","")&amp;IF(AND($CC93&lt;&gt;"Yes",$CC93&lt;&gt;"N/A"),"Epic Beans Relay, ",""))="","",LEFT(IF(AND($BR93&lt;&gt;"Yes",$BR93&lt;&gt;"N/A"),"Power Cable, ","")&amp;IF(AND($BS93&lt;&gt;"Yes",$BS93&lt;&gt;"N/A"),"Battery, ","")&amp;IF(AND($AD93&lt;&gt;"Yes",$AD93&lt;&gt;"N/A"),"Firmware Download, ","")&amp;IF(AND(OR($AD93="Yes",$AD93="N/A"),$AE93&lt;&gt;"Yes",$AE93&lt;&gt;"N/A"),"Firmware Install, ","")&amp;IF(AND($CB93&lt;&gt;"Yes",$CB93&lt;&gt;"N/A"),"Device ID, ","")&amp;IF(AND($CC93&lt;&gt;"Yes",$CC93&lt;&gt;"N/A"),"Epic Beans Relay, ",""),LEN(IF(AND($BR93&lt;&gt;"Yes",$BR93&lt;&gt;"N/A"),"Power Cable, ","")&amp;IF(AND($BS93&lt;&gt;"Yes",$BS93&lt;&gt;"N/A"),"Battery, ","")&amp;IF(AND($AD93&lt;&gt;"Yes",$AD93&lt;&gt;"N/A"),"Firmware Download, ","")&amp;IF(AND(OR($AD93="Yes",$AD93="N/A"),$AE93&lt;&gt;"Yes",$AE93&lt;&gt;"N/A"),"Firmware Install, ","")&amp;IF(AND($CB93&lt;&gt;"Yes",$CB93&lt;&gt;"N/A"),"Device ID, ","")&amp;IF(AND($CC93&lt;&gt;"Yes",$CC93&lt;&gt;"N/A"),"Epic Beans Relay, ",""))-2)))</f>
        <v/>
      </c>
      <c r="CE93">
        <f>IF($Y93="","",IF($CD93="","Yes","Blocked"))</f>
        <v/>
      </c>
      <c r="CF93" t="inlineStr">
        <is>
          <t>No</t>
        </is>
      </c>
      <c r="CG93" t="inlineStr">
        <is>
          <t>No</t>
        </is>
      </c>
      <c r="CH93" t="inlineStr">
        <is>
          <t>Yes</t>
        </is>
      </c>
      <c r="CI93" t="inlineStr">
        <is>
          <t>Yes</t>
        </is>
      </c>
      <c r="CJ93" t="inlineStr">
        <is>
          <t>Yes</t>
        </is>
      </c>
      <c r="CP93">
        <f>IF($CO93="","",IFERROR(VLOOKUP($CO93,'01_Warehouse_Ledger'!$A:$N,4,FALSE),""))</f>
        <v/>
      </c>
      <c r="CQ93">
        <f>IF($CO93="","",IFERROR(VLOOKUP($CO93,'01_Warehouse_Ledger'!$A:$N,5,FALSE),""))</f>
        <v/>
      </c>
      <c r="CR93">
        <f>IF($CO93="","",IFERROR(VLOOKUP($CO93,'01_Warehouse_Ledger'!$A:$N,13,FALSE),""))</f>
        <v/>
      </c>
      <c r="CW93">
        <f>IF($S93="","",IF(UPPER(TRIM($S93))&lt;&gt;"PASS","",IF(LEN(TRIM($BY93))&gt;0,"NOTES_PRESENT",IF(LEN(TRIM($T93))=0,"SET_NA",IF(OR(LOWER(TRIM($T93))="na",LOWER(TRIM($T93))="n/a"),"OK","MANUAL_OVERRIDE")))))</f>
        <v/>
      </c>
    </row>
    <row r="94">
      <c r="A94" t="inlineStr">
        <is>
          <t>Peripherals</t>
        </is>
      </c>
      <c r="B94" t="inlineStr">
        <is>
          <t>Yes</t>
        </is>
      </c>
      <c r="C94" t="inlineStr">
        <is>
          <t>Yes</t>
        </is>
      </c>
      <c r="D94">
        <f>IF($B94&lt;&gt;"Yes","",IF($C94="No","Yes",IF($C94="Yes","No","")))</f>
        <v/>
      </c>
      <c r="E94">
        <f>IF($A94="","",IF(OR(AND($V94&lt;&gt;"",LOWER(TRIM($V94))&lt;&gt;"n/a",LOWER(TRIM($V94))&lt;&gt;"na",SUMPRODUCT(--(UPPER(TRIM($V$2:$V$518))=UPPER(TRIM($V94))),--(TRIM($V$2:$V$518)&lt;&gt;""),--(LOWER(TRIM($V$2:$V$518))&lt;&gt;"n/a"),--(LOWER(TRIM($V$2:$V$518))&lt;&gt;"na"))&gt;1),AND($W94&lt;&gt;"",LOWER(TRIM($W94))&lt;&gt;"n/a",LOWER(TRIM($W94))&lt;&gt;"na",SUMPRODUCT(--(UPPER(TRIM($W$2:$W$518))=UPPER(TRIM($W94))),--(TRIM($W$2:$W$518)&lt;&gt;""),--(LOWER(TRIM($W$2:$W$518))&lt;&gt;"n/a"),--(LOWER(TRIM($W$2:$W$518))&lt;&gt;"na"))&gt;1),AND($X94&lt;&gt;"",LOWER(TRIM($X94))&lt;&gt;"n/a",LOWER(TRIM($X94))&lt;&gt;"na",SUMPRODUCT(--(UPPER(TRIM($X$2:$X$518))=UPPER(TRIM($X94))),--(TRIM($X$2:$X$518)&lt;&gt;""),--(LOWER(TRIM($X$2:$X$518))&lt;&gt;"n/a"),--(LOWER(TRIM($X$2:$X$518))&lt;&gt;"na"))&gt;1),AND($Y94&lt;&gt;"",LOWER(TRIM($Y94))&lt;&gt;"n/a",LOWER(TRIM($Y94))&lt;&gt;"na",SUMPRODUCT(--(UPPER(SUBSTITUTE(SUBSTITUTE(TRIM($Y$2:$Y$518),":",""),"-",""))=UPPER(SUBSTITUTE(SUBSTITUTE(TRIM($Y94),":",""),"-",""))),--(TRIM($Y$2:$Y$518)&lt;&gt;""),--(LOWER(TRIM($Y$2:$Y$518))&lt;&gt;"n/a"),--(LOWER(TRIM($Y$2:$Y$518))&lt;&gt;"na"))&gt;1),AND($AB94&lt;&gt;"",LOWER(TRIM($AB94))&lt;&gt;"n/a",LOWER(TRIM($AB94))&lt;&gt;"na",SUMPRODUCT(--(UPPER(TRIM($AB$2:$AB$518))=UPPER(TRIM($AB94))),--(TRIM($AB$2:$AB$518)&lt;&gt;""),--(LOWER(TRIM($AB$2:$AB$518))&lt;&gt;"n/a"),--(LOWER(TRIM($AB$2:$AB$518))&lt;&gt;"na"))&gt;1),AND($AH94&lt;&gt;"",LOWER(TRIM($AH94))&lt;&gt;"n/a",LOWER(TRIM($AH94))&lt;&gt;"na",SUMPRODUCT(--(UPPER(SUBSTITUTE(SUBSTITUTE(TRIM($AH$2:$AH$518),":",""),"-",""))=UPPER(SUBSTITUTE(SUBSTITUTE(TRIM($AH94),":",""),"-",""))),--(TRIM($AH$2:$AH$518)&lt;&gt;""),--(LOWER(TRIM($AH$2:$AH$518))&lt;&gt;"n/a"),--(LOWER(TRIM($AH$2:$AH$518))&lt;&gt;"na"))&gt;1),AND($AP94&lt;&gt;"",LOWER(TRIM($AP94))&lt;&gt;"n/a",LOWER(TRIM($AP94))&lt;&gt;"na",SUMPRODUCT(--(UPPER(TRIM($AP$2:$AP$518))=UPPER(TRIM($AP94))),--(TRIM($AP$2:$AP$518)&lt;&gt;""),--(LOWER(TRIM($AP$2:$AP$518))&lt;&gt;"n/a"),--(LOWER(TRIM($AP$2:$AP$518))&lt;&gt;"na"))&gt;1),AND($AQ94&lt;&gt;"",LOWER(TRIM($AQ94))&lt;&gt;"n/a",LOWER(TRIM($AQ94))&lt;&gt;"na",SUMPRODUCT(--(UPPER(TRIM($AQ$2:$AQ$518))=UPPER(TRIM($AQ94))),--(TRIM($AQ$2:$AQ$518)&lt;&gt;""),--(LOWER(TRIM($AQ$2:$AQ$518))&lt;&gt;"n/a"),--(LOWER(TRIM($AQ$2:$AQ$518))&lt;&gt;"na"))&gt;1)),"Yes","No"))</f>
        <v/>
      </c>
      <c r="F94">
        <f>IF(UPPER(TRIM($B94))&lt;&gt;"YES","", IF(OR(AND($V94&lt;&gt;"", LOWER(TRIM($V94))&lt;&gt;"n/a", LOWER(TRIM($V94))&lt;&gt;"na", SUMPRODUCT(--(UPPER(TRIM($V$2:$V$518))=UPPER(TRIM($V94))), --(UPPER(TRIM($B$2:$B$518))="YES"), --(UPPER(TRIM($G$2:$G$518)&amp;TRIM($I$2:$I$518)&amp;TRIM($J$2:$J$518))&lt;&gt;UPPER(TRIM($G94)&amp;TRIM($I94)&amp;TRIM($J94))))&gt;0), AND($W94&lt;&gt;"", LOWER(TRIM($W94))&lt;&gt;"n/a", LOWER(TRIM($W94))&lt;&gt;"na", SUMPRODUCT(--(UPPER(TRIM($W$2:$W$518))=UPPER(TRIM($W94))), --(UPPER(TRIM($B$2:$B$518))="YES"), --(UPPER(TRIM($G$2:$G$518)&amp;TRIM($I$2:$I$518)&amp;TRIM($J$2:$J$518))&lt;&gt;UPPER(TRIM($G94)&amp;TRIM($I94)&amp;TRIM($J94))))&gt;0), AND($X94&lt;&gt;"", LOWER(TRIM($X94))&lt;&gt;"n/a", LOWER(TRIM($X94))&lt;&gt;"na", SUMPRODUCT(--(UPPER(TRIM($X$2:$X$518))=UPPER(TRIM($X94))), --(UPPER(TRIM($B$2:$B$518))="YES"), --(UPPER(TRIM($G$2:$G$518)&amp;TRIM($I$2:$I$518)&amp;TRIM($J$2:$J$518))&lt;&gt;UPPER(TRIM($G94)&amp;TRIM($I94)&amp;TRIM($J94))))&gt;0), AND($Y94&lt;&gt;"", LOWER(TRIM($Y94))&lt;&gt;"n/a", LOWER(TRIM($Y94))&lt;&gt;"na", SUMPRODUCT(--(UPPER(SUBSTITUTE(SUBSTITUTE(TRIM($Y$2:$Y$518),":",""),"-",""))=UPPER(SUBSTITUTE(SUBSTITUTE(TRIM($Y94),":",""),"-",""))), --(UPPER(TRIM($B$2:$B$518))="YES"), --(UPPER(TRIM($G$2:$G$518)&amp;TRIM($I$2:$I$518)&amp;TRIM($J$2:$J$518))&lt;&gt;UPPER(TRIM($G94)&amp;TRIM($I94)&amp;TRIM($J94))))&gt;0), AND($AB94&lt;&gt;"", LOWER(TRIM($AB94))&lt;&gt;"n/a", LOWER(TRIM($AB94))&lt;&gt;"na", SUMPRODUCT(--(UPPER(TRIM($AB$2:$AB$518))=UPPER(TRIM($AB94))), --(UPPER(TRIM($B$2:$B$518))="YES"), --(UPPER(TRIM($G$2:$G$518)&amp;TRIM($I$2:$I$518)&amp;TRIM($J$2:$J$518))&lt;&gt;UPPER(TRIM($G94)&amp;TRIM($I94)&amp;TRIM($J94))))&gt;0), AND($AH94&lt;&gt;"", LOWER(TRIM($AH94))&lt;&gt;"n/a", LOWER(TRIM($AH94))&lt;&gt;"na", SUMPRODUCT(--(UPPER(SUBSTITUTE(SUBSTITUTE(TRIM($AH$2:$AH$518),":",""),"-",""))=UPPER(SUBSTITUTE(SUBSTITUTE(TRIM($AH94),":",""),"-",""))), --(UPPER(TRIM($B$2:$B$518))="YES"), --(UPPER(TRIM($G$2:$G$518)&amp;TRIM($I$2:$I$518)&amp;TRIM($J$2:$J$518))&lt;&gt;UPPER(TRIM($G94)&amp;TRIM($I94)&amp;TRIM($J94))))&gt;0), AND($AP94&lt;&gt;"", LOWER(TRIM($AP94))&lt;&gt;"n/a", LOWER(TRIM($AP94))&lt;&gt;"na", SUMPRODUCT(--(UPPER(TRIM($AP$2:$AP$518))=UPPER(TRIM($AP94))), --(UPPER(TRIM($B$2:$B$518))="YES"), --(UPPER(TRIM($G$2:$G$518)&amp;TRIM($I$2:$I$518)&amp;TRIM($J$2:$J$518))&lt;&gt;UPPER(TRIM($G94)&amp;TRIM($I94)&amp;TRIM($J94))))&gt;0), AND($AQ94&lt;&gt;"", LOWER(TRIM($AQ94))&lt;&gt;"n/a", LOWER(TRIM($AQ94))&lt;&gt;"na", SUMPRODUCT(--(UPPER(TRIM($AQ$2:$AQ$518))=UPPER(TRIM($AQ94))), --(UPPER(TRIM($B$2:$B$518))="YES"), --(UPPER(TRIM($G$2:$G$518)&amp;TRIM($I$2:$I$518)&amp;TRIM($J$2:$J$518))&lt;&gt;UPPER(TRIM($G94)&amp;TRIM($I94)&amp;TRIM($J94))))&gt;0)), "Yes", "No"))</f>
        <v/>
      </c>
      <c r="G94" t="inlineStr">
        <is>
          <t>Syosset Hospital</t>
        </is>
      </c>
      <c r="H94" t="inlineStr">
        <is>
          <t>Syosset Hospital</t>
        </is>
      </c>
      <c r="I94" t="inlineStr">
        <is>
          <t>Main ORs - 3rd Floor</t>
        </is>
      </c>
      <c r="J94" t="inlineStr">
        <is>
          <t>OR 2</t>
        </is>
      </c>
      <c r="K94" t="inlineStr">
        <is>
          <t>n/a</t>
        </is>
      </c>
      <c r="L94" s="18" t="n">
        <v>46091</v>
      </c>
      <c r="M94" t="inlineStr">
        <is>
          <t>OR Cybernet</t>
        </is>
      </c>
      <c r="S94" t="inlineStr">
        <is>
          <t>Pass</t>
        </is>
      </c>
      <c r="T94" t="inlineStr">
        <is>
          <t>Neurons and Cybernets already deployed but off the domain and require peripherals: Mouse, Keyboard, Barcode Scanner, and Badge Scanner</t>
        </is>
      </c>
      <c r="V94" t="inlineStr">
        <is>
          <t>WSY221OPR051</t>
        </is>
      </c>
      <c r="W94" t="inlineStr">
        <is>
          <t>MEDNG2425D-2613</t>
        </is>
      </c>
      <c r="X94" t="inlineStr">
        <is>
          <t>SY-MACH-J</t>
        </is>
      </c>
      <c r="Y94" t="inlineStr">
        <is>
          <t>A0F5097FE36D</t>
        </is>
      </c>
      <c r="AB94" t="inlineStr">
        <is>
          <t>WA24406382</t>
        </is>
      </c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I94" t="inlineStr">
        <is>
          <t>Anesthesia Machine</t>
        </is>
      </c>
      <c r="AM94" t="inlineStr">
        <is>
          <t>Drager</t>
        </is>
      </c>
      <c r="AN94" t="inlineStr">
        <is>
          <t>Fabus GS premium</t>
        </is>
      </c>
      <c r="AP94" t="inlineStr">
        <is>
          <t>ASBC-0097</t>
        </is>
      </c>
      <c r="AQ94" t="inlineStr">
        <is>
          <t>ASBC-0097</t>
        </is>
      </c>
      <c r="AS94" t="inlineStr">
        <is>
          <t>B1-CFW</t>
        </is>
      </c>
      <c r="AT94" t="inlineStr">
        <is>
          <t>B1-CFB</t>
        </is>
      </c>
      <c r="AU94" t="inlineStr">
        <is>
          <t>n/a</t>
        </is>
      </c>
      <c r="AV94" t="inlineStr">
        <is>
          <t>n/a</t>
        </is>
      </c>
      <c r="AW94" t="inlineStr">
        <is>
          <t>n/a</t>
        </is>
      </c>
      <c r="AX94" t="inlineStr">
        <is>
          <t>MX750 - DE77674338</t>
        </is>
      </c>
      <c r="AY94" t="inlineStr">
        <is>
          <t>Anesthesia Machine</t>
        </is>
      </c>
      <c r="BH94" t="n">
        <v>115200</v>
      </c>
      <c r="BI94" t="n">
        <v>9600</v>
      </c>
      <c r="BM94" t="inlineStr">
        <is>
          <t>N81</t>
        </is>
      </c>
      <c r="BN94" t="inlineStr">
        <is>
          <t>N81</t>
        </is>
      </c>
      <c r="BR94" t="inlineStr">
        <is>
          <t>Yes</t>
        </is>
      </c>
      <c r="BS94" t="inlineStr">
        <is>
          <t>Yes</t>
        </is>
      </c>
      <c r="BT94" t="inlineStr">
        <is>
          <t>Yes</t>
        </is>
      </c>
      <c r="BU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I94" t="inlineStr">
        <is>
          <t>Yes</t>
        </is>
      </c>
      <c r="CJ94" t="inlineStr">
        <is>
          <t>Yes</t>
        </is>
      </c>
      <c r="CW94">
        <f>IF($S94="","",IF(UPPER(TRIM($S94))&lt;&gt;"PASS","",IF(LEN(TRIM($BY94))&gt;0,"NOTES_PRESENT",IF(LEN(TRIM($T94))=0,"SET_NA",IF(OR(LOWER(TRIM($T94))="na",LOWER(TRIM($T94))="n/a"),"OK","MANUAL_OVERRIDE")))))</f>
        <v/>
      </c>
    </row>
    <row r="95">
      <c r="A95" t="inlineStr">
        <is>
          <t>Cybernet</t>
        </is>
      </c>
      <c r="B95" s="51" t="inlineStr">
        <is>
          <t>Yes</t>
        </is>
      </c>
      <c r="C95" t="inlineStr">
        <is>
          <t>Yes</t>
        </is>
      </c>
      <c r="D95">
        <f>IF($B95&lt;&gt;"Yes","",IF($C95="No","Yes",IF($C95="Yes","No","")))</f>
        <v/>
      </c>
      <c r="E95">
        <f>IF($A95="","",IF(OR(AND($V95&lt;&gt;"",LOWER(TRIM($V95))&lt;&gt;"n/a",LOWER(TRIM($V95))&lt;&gt;"na",SUMPRODUCT(--(UPPER(TRIM($V$2:$V$518))=UPPER(TRIM($V95))),--(TRIM($V$2:$V$518)&lt;&gt;""),--(LOWER(TRIM($V$2:$V$518))&lt;&gt;"n/a"),--(LOWER(TRIM($V$2:$V$518))&lt;&gt;"na"))&gt;1),AND($W95&lt;&gt;"",LOWER(TRIM($W95))&lt;&gt;"n/a",LOWER(TRIM($W95))&lt;&gt;"na",SUMPRODUCT(--(UPPER(TRIM($W$2:$W$518))=UPPER(TRIM($W95))),--(TRIM($W$2:$W$518)&lt;&gt;""),--(LOWER(TRIM($W$2:$W$518))&lt;&gt;"n/a"),--(LOWER(TRIM($W$2:$W$518))&lt;&gt;"na"))&gt;1),AND($X95&lt;&gt;"",LOWER(TRIM($X95))&lt;&gt;"n/a",LOWER(TRIM($X95))&lt;&gt;"na",SUMPRODUCT(--(UPPER(TRIM($X$2:$X$518))=UPPER(TRIM($X95))),--(TRIM($X$2:$X$518)&lt;&gt;""),--(LOWER(TRIM($X$2:$X$518))&lt;&gt;"n/a"),--(LOWER(TRIM($X$2:$X$518))&lt;&gt;"na"))&gt;1),AND($Y95&lt;&gt;"",LOWER(TRIM($Y95))&lt;&gt;"n/a",LOWER(TRIM($Y95))&lt;&gt;"na",SUMPRODUCT(--(UPPER(SUBSTITUTE(SUBSTITUTE(TRIM($Y$2:$Y$518),":",""),"-",""))=UPPER(SUBSTITUTE(SUBSTITUTE(TRIM($Y95),":",""),"-",""))),--(TRIM($Y$2:$Y$518)&lt;&gt;""),--(LOWER(TRIM($Y$2:$Y$518))&lt;&gt;"n/a"),--(LOWER(TRIM($Y$2:$Y$518))&lt;&gt;"na"))&gt;1),AND($AB95&lt;&gt;"",LOWER(TRIM($AB95))&lt;&gt;"n/a",LOWER(TRIM($AB95))&lt;&gt;"na",SUMPRODUCT(--(UPPER(TRIM($AB$2:$AB$518))=UPPER(TRIM($AB95))),--(TRIM($AB$2:$AB$518)&lt;&gt;""),--(LOWER(TRIM($AB$2:$AB$518))&lt;&gt;"n/a"),--(LOWER(TRIM($AB$2:$AB$518))&lt;&gt;"na"))&gt;1),AND($AH95&lt;&gt;"",LOWER(TRIM($AH95))&lt;&gt;"n/a",LOWER(TRIM($AH95))&lt;&gt;"na",SUMPRODUCT(--(UPPER(SUBSTITUTE(SUBSTITUTE(TRIM($AH$2:$AH$518),":",""),"-",""))=UPPER(SUBSTITUTE(SUBSTITUTE(TRIM($AH95),":",""),"-",""))),--(TRIM($AH$2:$AH$518)&lt;&gt;""),--(LOWER(TRIM($AH$2:$AH$518))&lt;&gt;"n/a"),--(LOWER(TRIM($AH$2:$AH$518))&lt;&gt;"na"))&gt;1),AND($AP95&lt;&gt;"",LOWER(TRIM($AP95))&lt;&gt;"n/a",LOWER(TRIM($AP95))&lt;&gt;"na",SUMPRODUCT(--(UPPER(TRIM($AP$2:$AP$518))=UPPER(TRIM($AP95))),--(TRIM($AP$2:$AP$518)&lt;&gt;""),--(LOWER(TRIM($AP$2:$AP$518))&lt;&gt;"n/a"),--(LOWER(TRIM($AP$2:$AP$518))&lt;&gt;"na"))&gt;1),AND($AQ95&lt;&gt;"",LOWER(TRIM($AQ95))&lt;&gt;"n/a",LOWER(TRIM($AQ95))&lt;&gt;"na",SUMPRODUCT(--(UPPER(TRIM($AQ$2:$AQ$518))=UPPER(TRIM($AQ95))),--(TRIM($AQ$2:$AQ$518)&lt;&gt;""),--(LOWER(TRIM($AQ$2:$AQ$518))&lt;&gt;"n/a"),--(LOWER(TRIM($AQ$2:$AQ$518))&lt;&gt;"na"))&gt;1)),"Yes","No"))</f>
        <v/>
      </c>
      <c r="F95">
        <f>IF(UPPER(TRIM($B95))&lt;&gt;"YES","", IF(OR(AND($V95&lt;&gt;"", LOWER(TRIM($V95))&lt;&gt;"n/a", LOWER(TRIM($V95))&lt;&gt;"na", SUMPRODUCT(--(UPPER(TRIM($V$2:$V$518))=UPPER(TRIM($V95))), --(UPPER(TRIM($B$2:$B$518))="YES"), --(UPPER(TRIM($G$2:$G$518)&amp;TRIM($I$2:$I$518)&amp;TRIM($J$2:$J$518))&lt;&gt;UPPER(TRIM($G95)&amp;TRIM($I95)&amp;TRIM($J95))))&gt;0), AND($W95&lt;&gt;"", LOWER(TRIM($W95))&lt;&gt;"n/a", LOWER(TRIM($W95))&lt;&gt;"na", SUMPRODUCT(--(UPPER(TRIM($W$2:$W$518))=UPPER(TRIM($W95))), --(UPPER(TRIM($B$2:$B$518))="YES"), --(UPPER(TRIM($G$2:$G$518)&amp;TRIM($I$2:$I$518)&amp;TRIM($J$2:$J$518))&lt;&gt;UPPER(TRIM($G95)&amp;TRIM($I95)&amp;TRIM($J95))))&gt;0), AND($X95&lt;&gt;"", LOWER(TRIM($X95))&lt;&gt;"n/a", LOWER(TRIM($X95))&lt;&gt;"na", SUMPRODUCT(--(UPPER(TRIM($X$2:$X$518))=UPPER(TRIM($X95))), --(UPPER(TRIM($B$2:$B$518))="YES"), --(UPPER(TRIM($G$2:$G$518)&amp;TRIM($I$2:$I$518)&amp;TRIM($J$2:$J$518))&lt;&gt;UPPER(TRIM($G95)&amp;TRIM($I95)&amp;TRIM($J95))))&gt;0), AND($Y95&lt;&gt;"", LOWER(TRIM($Y95))&lt;&gt;"n/a", LOWER(TRIM($Y95))&lt;&gt;"na", SUMPRODUCT(--(UPPER(SUBSTITUTE(SUBSTITUTE(TRIM($Y$2:$Y$518),":",""),"-",""))=UPPER(SUBSTITUTE(SUBSTITUTE(TRIM($Y95),":",""),"-",""))), --(UPPER(TRIM($B$2:$B$518))="YES"), --(UPPER(TRIM($G$2:$G$518)&amp;TRIM($I$2:$I$518)&amp;TRIM($J$2:$J$518))&lt;&gt;UPPER(TRIM($G95)&amp;TRIM($I95)&amp;TRIM($J95))))&gt;0), AND($AB95&lt;&gt;"", LOWER(TRIM($AB95))&lt;&gt;"n/a", LOWER(TRIM($AB95))&lt;&gt;"na", SUMPRODUCT(--(UPPER(TRIM($AB$2:$AB$518))=UPPER(TRIM($AB95))), --(UPPER(TRIM($B$2:$B$518))="YES"), --(UPPER(TRIM($G$2:$G$518)&amp;TRIM($I$2:$I$518)&amp;TRIM($J$2:$J$518))&lt;&gt;UPPER(TRIM($G95)&amp;TRIM($I95)&amp;TRIM($J95))))&gt;0), AND($AH95&lt;&gt;"", LOWER(TRIM($AH95))&lt;&gt;"n/a", LOWER(TRIM($AH95))&lt;&gt;"na", SUMPRODUCT(--(UPPER(SUBSTITUTE(SUBSTITUTE(TRIM($AH$2:$AH$518),":",""),"-",""))=UPPER(SUBSTITUTE(SUBSTITUTE(TRIM($AH95),":",""),"-",""))), --(UPPER(TRIM($B$2:$B$518))="YES"), --(UPPER(TRIM($G$2:$G$518)&amp;TRIM($I$2:$I$518)&amp;TRIM($J$2:$J$518))&lt;&gt;UPPER(TRIM($G95)&amp;TRIM($I95)&amp;TRIM($J95))))&gt;0), AND($AP95&lt;&gt;"", LOWER(TRIM($AP95))&lt;&gt;"n/a", LOWER(TRIM($AP95))&lt;&gt;"na", SUMPRODUCT(--(UPPER(TRIM($AP$2:$AP$518))=UPPER(TRIM($AP95))), --(UPPER(TRIM($B$2:$B$518))="YES"), --(UPPER(TRIM($G$2:$G$518)&amp;TRIM($I$2:$I$518)&amp;TRIM($J$2:$J$518))&lt;&gt;UPPER(TRIM($G95)&amp;TRIM($I95)&amp;TRIM($J95))))&gt;0), AND($AQ95&lt;&gt;"", LOWER(TRIM($AQ95))&lt;&gt;"n/a", LOWER(TRIM($AQ95))&lt;&gt;"na", SUMPRODUCT(--(UPPER(TRIM($AQ$2:$AQ$518))=UPPER(TRIM($AQ95))), --(UPPER(TRIM($B$2:$B$518))="YES"), --(UPPER(TRIM($G$2:$G$518)&amp;TRIM($I$2:$I$518)&amp;TRIM($J$2:$J$518))&lt;&gt;UPPER(TRIM($G95)&amp;TRIM($I95)&amp;TRIM($J95))))&gt;0)), "Yes", "No"))</f>
        <v/>
      </c>
      <c r="G95" t="inlineStr">
        <is>
          <t>PV</t>
        </is>
      </c>
      <c r="H95" t="inlineStr">
        <is>
          <t>PV</t>
        </is>
      </c>
      <c r="I95" t="inlineStr">
        <is>
          <t>Main OR</t>
        </is>
      </c>
      <c r="J95" t="inlineStr">
        <is>
          <t>OR 5</t>
        </is>
      </c>
      <c r="K95" t="inlineStr">
        <is>
          <t>OR 5</t>
        </is>
      </c>
      <c r="L95" s="18" t="n">
        <v>46090</v>
      </c>
      <c r="S95" t="inlineStr">
        <is>
          <t>Pass</t>
        </is>
      </c>
      <c r="U95" t="inlineStr">
        <is>
          <t>Anthony, Tim, PVH Staff</t>
        </is>
      </c>
      <c r="V95" t="inlineStr">
        <is>
          <t>WPV109OPR006</t>
        </is>
      </c>
      <c r="W95" t="inlineStr">
        <is>
          <t>MEDNG2425E-3672</t>
        </is>
      </c>
      <c r="X95" t="inlineStr">
        <is>
          <t>PLV-MACH-A</t>
        </is>
      </c>
      <c r="Y95" t="inlineStr">
        <is>
          <t>A0F5097F9454</t>
        </is>
      </c>
      <c r="AB95" t="inlineStr">
        <is>
          <t>WA23C03175</t>
        </is>
      </c>
      <c r="AI95" t="inlineStr">
        <is>
          <t>Anesthesia Machine</t>
        </is>
      </c>
      <c r="AL95" t="inlineStr">
        <is>
          <t>0201601 / 602</t>
        </is>
      </c>
      <c r="AM95" t="inlineStr">
        <is>
          <t>DRAGER</t>
        </is>
      </c>
      <c r="AN95" t="inlineStr">
        <is>
          <t>FABIUS GS PREMIUM</t>
        </is>
      </c>
      <c r="AP95" t="inlineStr">
        <is>
          <t>8607000-19ARZE-0026</t>
        </is>
      </c>
      <c r="AQ95" t="inlineStr">
        <is>
          <t>8607000-19ARZE-0026</t>
        </is>
      </c>
      <c r="AS95" t="inlineStr">
        <is>
          <t>B1-CFB-ANES</t>
        </is>
      </c>
      <c r="AT95" t="inlineStr">
        <is>
          <t>B1-CFW-PHILLIPS</t>
        </is>
      </c>
      <c r="AX95" t="inlineStr">
        <is>
          <t>MX750 - 233507 - 010088483808333221DE776741879086647191866471</t>
        </is>
      </c>
      <c r="AY95" t="inlineStr">
        <is>
          <t>8607000-19ARZE-0026</t>
        </is>
      </c>
      <c r="BH95" t="n">
        <v>115200</v>
      </c>
      <c r="BI95" t="inlineStr">
        <is>
          <t>9600 - N81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I95" t="inlineStr">
        <is>
          <t>Yes</t>
        </is>
      </c>
      <c r="CJ95" t="inlineStr">
        <is>
          <t>Yes</t>
        </is>
      </c>
      <c r="CP95">
        <f>IF($CO95="","",IFERROR(VLOOKUP($CO95,'01_Warehouse_Ledger'!$A:$N,4,FALSE),""))</f>
        <v/>
      </c>
      <c r="CQ95">
        <f>IF($CO95="","",IFERROR(VLOOKUP($CO95,'01_Warehouse_Ledger'!$A:$N,5,FALSE),""))</f>
        <v/>
      </c>
      <c r="CR95">
        <f>IF($CO95="","",IFERROR(VLOOKUP($CO95,'01_Warehouse_Ledger'!$A:$N,13,FALSE),""))</f>
        <v/>
      </c>
      <c r="CW95">
        <f>IF($S95="","",IF(UPPER(TRIM($S95))&lt;&gt;"PASS","",IF(LEN(TRIM($BY95))&gt;0,"NOTES_PRESENT",IF(LEN(TRIM($T95))=0,"SET_NA",IF(OR(LOWER(TRIM($T95))="na",LOWER(TRIM($T95))="n/a"),"OK","MANUAL_OVERRIDE")))))</f>
        <v/>
      </c>
    </row>
    <row r="96">
      <c r="A96" t="inlineStr">
        <is>
          <t>Peripherals</t>
        </is>
      </c>
      <c r="B96" s="51" t="inlineStr">
        <is>
          <t>Yes</t>
        </is>
      </c>
      <c r="C96" t="inlineStr">
        <is>
          <t>Yes</t>
        </is>
      </c>
      <c r="D96">
        <f>IF($B96&lt;&gt;"Yes","",IF($C96="No","Yes",IF($C96="Yes","No","")))</f>
        <v/>
      </c>
      <c r="E96">
        <f>IF($A96="","",IF(OR(AND($V96&lt;&gt;"",LOWER(TRIM($V96))&lt;&gt;"n/a",LOWER(TRIM($V96))&lt;&gt;"na",SUMPRODUCT(--(UPPER(TRIM($V$2:$V$518))=UPPER(TRIM($V96))),--(TRIM($V$2:$V$518)&lt;&gt;""),--(LOWER(TRIM($V$2:$V$518))&lt;&gt;"n/a"),--(LOWER(TRIM($V$2:$V$518))&lt;&gt;"na"))&gt;1),AND($W96&lt;&gt;"",LOWER(TRIM($W96))&lt;&gt;"n/a",LOWER(TRIM($W96))&lt;&gt;"na",SUMPRODUCT(--(UPPER(TRIM($W$2:$W$518))=UPPER(TRIM($W96))),--(TRIM($W$2:$W$518)&lt;&gt;""),--(LOWER(TRIM($W$2:$W$518))&lt;&gt;"n/a"),--(LOWER(TRIM($W$2:$W$518))&lt;&gt;"na"))&gt;1),AND($X96&lt;&gt;"",LOWER(TRIM($X96))&lt;&gt;"n/a",LOWER(TRIM($X96))&lt;&gt;"na",SUMPRODUCT(--(UPPER(TRIM($X$2:$X$518))=UPPER(TRIM($X96))),--(TRIM($X$2:$X$518)&lt;&gt;""),--(LOWER(TRIM($X$2:$X$518))&lt;&gt;"n/a"),--(LOWER(TRIM($X$2:$X$518))&lt;&gt;"na"))&gt;1),AND($Y96&lt;&gt;"",LOWER(TRIM($Y96))&lt;&gt;"n/a",LOWER(TRIM($Y96))&lt;&gt;"na",SUMPRODUCT(--(UPPER(SUBSTITUTE(SUBSTITUTE(TRIM($Y$2:$Y$518),":",""),"-",""))=UPPER(SUBSTITUTE(SUBSTITUTE(TRIM($Y96),":",""),"-",""))),--(TRIM($Y$2:$Y$518)&lt;&gt;""),--(LOWER(TRIM($Y$2:$Y$518))&lt;&gt;"n/a"),--(LOWER(TRIM($Y$2:$Y$518))&lt;&gt;"na"))&gt;1),AND($AB96&lt;&gt;"",LOWER(TRIM($AB96))&lt;&gt;"n/a",LOWER(TRIM($AB96))&lt;&gt;"na",SUMPRODUCT(--(UPPER(TRIM($AB$2:$AB$518))=UPPER(TRIM($AB96))),--(TRIM($AB$2:$AB$518)&lt;&gt;""),--(LOWER(TRIM($AB$2:$AB$518))&lt;&gt;"n/a"),--(LOWER(TRIM($AB$2:$AB$518))&lt;&gt;"na"))&gt;1),AND($AH96&lt;&gt;"",LOWER(TRIM($AH96))&lt;&gt;"n/a",LOWER(TRIM($AH96))&lt;&gt;"na",SUMPRODUCT(--(UPPER(SUBSTITUTE(SUBSTITUTE(TRIM($AH$2:$AH$518),":",""),"-",""))=UPPER(SUBSTITUTE(SUBSTITUTE(TRIM($AH96),":",""),"-",""))),--(TRIM($AH$2:$AH$518)&lt;&gt;""),--(LOWER(TRIM($AH$2:$AH$518))&lt;&gt;"n/a"),--(LOWER(TRIM($AH$2:$AH$518))&lt;&gt;"na"))&gt;1),AND($AP96&lt;&gt;"",LOWER(TRIM($AP96))&lt;&gt;"n/a",LOWER(TRIM($AP96))&lt;&gt;"na",SUMPRODUCT(--(UPPER(TRIM($AP$2:$AP$518))=UPPER(TRIM($AP96))),--(TRIM($AP$2:$AP$518)&lt;&gt;""),--(LOWER(TRIM($AP$2:$AP$518))&lt;&gt;"n/a"),--(LOWER(TRIM($AP$2:$AP$518))&lt;&gt;"na"))&gt;1),AND($AQ96&lt;&gt;"",LOWER(TRIM($AQ96))&lt;&gt;"n/a",LOWER(TRIM($AQ96))&lt;&gt;"na",SUMPRODUCT(--(UPPER(TRIM($AQ$2:$AQ$518))=UPPER(TRIM($AQ96))),--(TRIM($AQ$2:$AQ$518)&lt;&gt;""),--(LOWER(TRIM($AQ$2:$AQ$518))&lt;&gt;"n/a"),--(LOWER(TRIM($AQ$2:$AQ$518))&lt;&gt;"na"))&gt;1)),"Yes","No"))</f>
        <v/>
      </c>
      <c r="F96">
        <f>IF(UPPER(TRIM($B96))&lt;&gt;"YES","", IF(OR(AND($V96&lt;&gt;"", LOWER(TRIM($V96))&lt;&gt;"n/a", LOWER(TRIM($V96))&lt;&gt;"na", SUMPRODUCT(--(UPPER(TRIM($V$2:$V$518))=UPPER(TRIM($V96))), --(UPPER(TRIM($B$2:$B$518))="YES"), --(UPPER(TRIM($G$2:$G$518)&amp;TRIM($I$2:$I$518)&amp;TRIM($J$2:$J$518))&lt;&gt;UPPER(TRIM($G96)&amp;TRIM($I96)&amp;TRIM($J96))))&gt;0), AND($W96&lt;&gt;"", LOWER(TRIM($W96))&lt;&gt;"n/a", LOWER(TRIM($W96))&lt;&gt;"na", SUMPRODUCT(--(UPPER(TRIM($W$2:$W$518))=UPPER(TRIM($W96))), --(UPPER(TRIM($B$2:$B$518))="YES"), --(UPPER(TRIM($G$2:$G$518)&amp;TRIM($I$2:$I$518)&amp;TRIM($J$2:$J$518))&lt;&gt;UPPER(TRIM($G96)&amp;TRIM($I96)&amp;TRIM($J96))))&gt;0), AND($X96&lt;&gt;"", LOWER(TRIM($X96))&lt;&gt;"n/a", LOWER(TRIM($X96))&lt;&gt;"na", SUMPRODUCT(--(UPPER(TRIM($X$2:$X$518))=UPPER(TRIM($X96))), --(UPPER(TRIM($B$2:$B$518))="YES"), --(UPPER(TRIM($G$2:$G$518)&amp;TRIM($I$2:$I$518)&amp;TRIM($J$2:$J$518))&lt;&gt;UPPER(TRIM($G96)&amp;TRIM($I96)&amp;TRIM($J96))))&gt;0), AND($Y96&lt;&gt;"", LOWER(TRIM($Y96))&lt;&gt;"n/a", LOWER(TRIM($Y96))&lt;&gt;"na", SUMPRODUCT(--(UPPER(SUBSTITUTE(SUBSTITUTE(TRIM($Y$2:$Y$518),":",""),"-",""))=UPPER(SUBSTITUTE(SUBSTITUTE(TRIM($Y96),":",""),"-",""))), --(UPPER(TRIM($B$2:$B$518))="YES"), --(UPPER(TRIM($G$2:$G$518)&amp;TRIM($I$2:$I$518)&amp;TRIM($J$2:$J$518))&lt;&gt;UPPER(TRIM($G96)&amp;TRIM($I96)&amp;TRIM($J96))))&gt;0), AND($AB96&lt;&gt;"", LOWER(TRIM($AB96))&lt;&gt;"n/a", LOWER(TRIM($AB96))&lt;&gt;"na", SUMPRODUCT(--(UPPER(TRIM($AB$2:$AB$518))=UPPER(TRIM($AB96))), --(UPPER(TRIM($B$2:$B$518))="YES"), --(UPPER(TRIM($G$2:$G$518)&amp;TRIM($I$2:$I$518)&amp;TRIM($J$2:$J$518))&lt;&gt;UPPER(TRIM($G96)&amp;TRIM($I96)&amp;TRIM($J96))))&gt;0), AND($AH96&lt;&gt;"", LOWER(TRIM($AH96))&lt;&gt;"n/a", LOWER(TRIM($AH96))&lt;&gt;"na", SUMPRODUCT(--(UPPER(SUBSTITUTE(SUBSTITUTE(TRIM($AH$2:$AH$518),":",""),"-",""))=UPPER(SUBSTITUTE(SUBSTITUTE(TRIM($AH96),":",""),"-",""))), --(UPPER(TRIM($B$2:$B$518))="YES"), --(UPPER(TRIM($G$2:$G$518)&amp;TRIM($I$2:$I$518)&amp;TRIM($J$2:$J$518))&lt;&gt;UPPER(TRIM($G96)&amp;TRIM($I96)&amp;TRIM($J96))))&gt;0), AND($AP96&lt;&gt;"", LOWER(TRIM($AP96))&lt;&gt;"n/a", LOWER(TRIM($AP96))&lt;&gt;"na", SUMPRODUCT(--(UPPER(TRIM($AP$2:$AP$518))=UPPER(TRIM($AP96))), --(UPPER(TRIM($B$2:$B$518))="YES"), --(UPPER(TRIM($G$2:$G$518)&amp;TRIM($I$2:$I$518)&amp;TRIM($J$2:$J$518))&lt;&gt;UPPER(TRIM($G96)&amp;TRIM($I96)&amp;TRIM($J96))))&gt;0), AND($AQ96&lt;&gt;"", LOWER(TRIM($AQ96))&lt;&gt;"n/a", LOWER(TRIM($AQ96))&lt;&gt;"na", SUMPRODUCT(--(UPPER(TRIM($AQ$2:$AQ$518))=UPPER(TRIM($AQ96))), --(UPPER(TRIM($B$2:$B$518))="YES"), --(UPPER(TRIM($G$2:$G$518)&amp;TRIM($I$2:$I$518)&amp;TRIM($J$2:$J$518))&lt;&gt;UPPER(TRIM($G96)&amp;TRIM($I96)&amp;TRIM($J96))))&gt;0)), "Yes", "No"))</f>
        <v/>
      </c>
      <c r="G96" t="inlineStr">
        <is>
          <t>PV</t>
        </is>
      </c>
      <c r="H96" t="inlineStr">
        <is>
          <t>PV</t>
        </is>
      </c>
      <c r="I96" t="inlineStr">
        <is>
          <t>Main OR</t>
        </is>
      </c>
      <c r="J96" t="inlineStr">
        <is>
          <t>OR 6</t>
        </is>
      </c>
      <c r="K96" t="inlineStr">
        <is>
          <t xml:space="preserve">OR 6 </t>
        </is>
      </c>
      <c r="L96" s="18" t="n">
        <v>46090</v>
      </c>
      <c r="S96" t="inlineStr">
        <is>
          <t>Pass</t>
        </is>
      </c>
      <c r="U96" t="inlineStr">
        <is>
          <t>Anthony, Tim, PVH Staff</t>
        </is>
      </c>
      <c r="V96" t="inlineStr">
        <is>
          <t>WPV109OPR011</t>
        </is>
      </c>
      <c r="W96" t="inlineStr">
        <is>
          <t>MEDNG2425E-3687</t>
        </is>
      </c>
      <c r="X96" t="inlineStr">
        <is>
          <t>PLV-MACH-C</t>
        </is>
      </c>
      <c r="Y96" t="inlineStr">
        <is>
          <t>A0F5097FA520</t>
        </is>
      </c>
      <c r="AB96" t="inlineStr">
        <is>
          <t>WA23C03765</t>
        </is>
      </c>
      <c r="AI96" t="inlineStr">
        <is>
          <t>Anesthesia Machine</t>
        </is>
      </c>
      <c r="AL96" t="inlineStr">
        <is>
          <t>0201599 / 600</t>
        </is>
      </c>
      <c r="AM96" t="inlineStr">
        <is>
          <t>DRAGER</t>
        </is>
      </c>
      <c r="AN96" t="inlineStr">
        <is>
          <t>FABIUS GS PREMIUM</t>
        </is>
      </c>
      <c r="AP96" t="inlineStr">
        <is>
          <t>8607000-37ASBJ-0239</t>
        </is>
      </c>
      <c r="AQ96" t="inlineStr">
        <is>
          <t>8607000-37ASBJ-0239</t>
        </is>
      </c>
      <c r="AS96" t="inlineStr">
        <is>
          <t>B1-CFB-ANES</t>
        </is>
      </c>
      <c r="AT96" t="inlineStr">
        <is>
          <t>B1-CFW-PHILLIPS</t>
        </is>
      </c>
      <c r="AX96" t="inlineStr">
        <is>
          <t>MX750 - 233506 - 010088483808333221DE776742349086647191866471</t>
        </is>
      </c>
      <c r="BH96" t="n">
        <v>115200</v>
      </c>
      <c r="BI96" t="inlineStr">
        <is>
          <t>9600 - N81</t>
        </is>
      </c>
      <c r="CF96" t="inlineStr">
        <is>
          <t>Yes</t>
        </is>
      </c>
      <c r="CG96" t="inlineStr">
        <is>
          <t>Yes</t>
        </is>
      </c>
      <c r="CH96" t="inlineStr">
        <is>
          <t>Yes</t>
        </is>
      </c>
      <c r="CI96" t="inlineStr">
        <is>
          <t>Yes</t>
        </is>
      </c>
      <c r="CJ96" t="inlineStr">
        <is>
          <t>Yes</t>
        </is>
      </c>
      <c r="CK96" t="inlineStr">
        <is>
          <t>Yes</t>
        </is>
      </c>
      <c r="CL96" t="inlineStr">
        <is>
          <t>Yes</t>
        </is>
      </c>
      <c r="CM96" t="inlineStr">
        <is>
          <t>Yes</t>
        </is>
      </c>
      <c r="CN96" t="inlineStr">
        <is>
          <t>Yes</t>
        </is>
      </c>
      <c r="CO96" t="inlineStr">
        <is>
          <t>Yes</t>
        </is>
      </c>
      <c r="CP96" t="inlineStr">
        <is>
          <t>Yes</t>
        </is>
      </c>
      <c r="CQ96" t="inlineStr">
        <is>
          <t>Yes</t>
        </is>
      </c>
      <c r="CR96" t="inlineStr">
        <is>
          <t>Yes</t>
        </is>
      </c>
      <c r="CS96" t="inlineStr">
        <is>
          <t>Yes</t>
        </is>
      </c>
      <c r="CW96">
        <f>IF($S96="","",IF(UPPER(TRIM($S96))&lt;&gt;"PASS","",IF(LEN(TRIM($BY96))&gt;0,"NOTES_PRESENT",IF(LEN(TRIM($T96))=0,"SET_NA",IF(OR(LOWER(TRIM($T96))="na",LOWER(TRIM($T96))="n/a"),"OK","MANUAL_OVERRIDE")))))</f>
        <v/>
      </c>
    </row>
    <row r="97">
      <c r="A97" t="inlineStr">
        <is>
          <t>Peripherals</t>
        </is>
      </c>
      <c r="B97" s="51" t="inlineStr">
        <is>
          <t>Yes</t>
        </is>
      </c>
      <c r="C97" t="inlineStr">
        <is>
          <t>Yes</t>
        </is>
      </c>
      <c r="D97">
        <f>IF($B97&lt;&gt;"Yes","",IF($C97="No","Yes",IF($C97="Yes","No","")))</f>
        <v/>
      </c>
      <c r="E97">
        <f>IF($A97="","",IF(OR(AND($V97&lt;&gt;"",LOWER(TRIM($V97))&lt;&gt;"n/a",LOWER(TRIM($V97))&lt;&gt;"na",SUMPRODUCT(--(UPPER(TRIM($V$2:$V$518))=UPPER(TRIM($V97))),--(TRIM($V$2:$V$518)&lt;&gt;""),--(LOWER(TRIM($V$2:$V$518))&lt;&gt;"n/a"),--(LOWER(TRIM($V$2:$V$518))&lt;&gt;"na"))&gt;1),AND($W97&lt;&gt;"",LOWER(TRIM($W97))&lt;&gt;"n/a",LOWER(TRIM($W97))&lt;&gt;"na",SUMPRODUCT(--(UPPER(TRIM($W$2:$W$518))=UPPER(TRIM($W97))),--(TRIM($W$2:$W$518)&lt;&gt;""),--(LOWER(TRIM($W$2:$W$518))&lt;&gt;"n/a"),--(LOWER(TRIM($W$2:$W$518))&lt;&gt;"na"))&gt;1),AND($X97&lt;&gt;"",LOWER(TRIM($X97))&lt;&gt;"n/a",LOWER(TRIM($X97))&lt;&gt;"na",SUMPRODUCT(--(UPPER(TRIM($X$2:$X$518))=UPPER(TRIM($X97))),--(TRIM($X$2:$X$518)&lt;&gt;""),--(LOWER(TRIM($X$2:$X$518))&lt;&gt;"n/a"),--(LOWER(TRIM($X$2:$X$518))&lt;&gt;"na"))&gt;1),AND($Y97&lt;&gt;"",LOWER(TRIM($Y97))&lt;&gt;"n/a",LOWER(TRIM($Y97))&lt;&gt;"na",SUMPRODUCT(--(UPPER(SUBSTITUTE(SUBSTITUTE(TRIM($Y$2:$Y$518),":",""),"-",""))=UPPER(SUBSTITUTE(SUBSTITUTE(TRIM($Y97),":",""),"-",""))),--(TRIM($Y$2:$Y$518)&lt;&gt;""),--(LOWER(TRIM($Y$2:$Y$518))&lt;&gt;"n/a"),--(LOWER(TRIM($Y$2:$Y$518))&lt;&gt;"na"))&gt;1),AND($AB97&lt;&gt;"",LOWER(TRIM($AB97))&lt;&gt;"n/a",LOWER(TRIM($AB97))&lt;&gt;"na",SUMPRODUCT(--(UPPER(TRIM($AB$2:$AB$518))=UPPER(TRIM($AB97))),--(TRIM($AB$2:$AB$518)&lt;&gt;""),--(LOWER(TRIM($AB$2:$AB$518))&lt;&gt;"n/a"),--(LOWER(TRIM($AB$2:$AB$518))&lt;&gt;"na"))&gt;1),AND($AH97&lt;&gt;"",LOWER(TRIM($AH97))&lt;&gt;"n/a",LOWER(TRIM($AH97))&lt;&gt;"na",SUMPRODUCT(--(UPPER(SUBSTITUTE(SUBSTITUTE(TRIM($AH$2:$AH$518),":",""),"-",""))=UPPER(SUBSTITUTE(SUBSTITUTE(TRIM($AH97),":",""),"-",""))),--(TRIM($AH$2:$AH$518)&lt;&gt;""),--(LOWER(TRIM($AH$2:$AH$518))&lt;&gt;"n/a"),--(LOWER(TRIM($AH$2:$AH$518))&lt;&gt;"na"))&gt;1),AND($AP97&lt;&gt;"",LOWER(TRIM($AP97))&lt;&gt;"n/a",LOWER(TRIM($AP97))&lt;&gt;"na",SUMPRODUCT(--(UPPER(TRIM($AP$2:$AP$518))=UPPER(TRIM($AP97))),--(TRIM($AP$2:$AP$518)&lt;&gt;""),--(LOWER(TRIM($AP$2:$AP$518))&lt;&gt;"n/a"),--(LOWER(TRIM($AP$2:$AP$518))&lt;&gt;"na"))&gt;1),AND($AQ97&lt;&gt;"",LOWER(TRIM($AQ97))&lt;&gt;"n/a",LOWER(TRIM($AQ97))&lt;&gt;"na",SUMPRODUCT(--(UPPER(TRIM($AQ$2:$AQ$518))=UPPER(TRIM($AQ97))),--(TRIM($AQ$2:$AQ$518)&lt;&gt;""),--(LOWER(TRIM($AQ$2:$AQ$518))&lt;&gt;"n/a"),--(LOWER(TRIM($AQ$2:$AQ$518))&lt;&gt;"na"))&gt;1)),"Yes","No"))</f>
        <v/>
      </c>
      <c r="F97">
        <f>IF(UPPER(TRIM($B97))&lt;&gt;"YES","", IF(OR(AND($V97&lt;&gt;"", LOWER(TRIM($V97))&lt;&gt;"n/a", LOWER(TRIM($V97))&lt;&gt;"na", SUMPRODUCT(--(UPPER(TRIM($V$2:$V$518))=UPPER(TRIM($V97))), --(UPPER(TRIM($B$2:$B$518))="YES"), --(UPPER(TRIM($G$2:$G$518)&amp;TRIM($I$2:$I$518)&amp;TRIM($J$2:$J$518))&lt;&gt;UPPER(TRIM($G97)&amp;TRIM($I97)&amp;TRIM($J97))))&gt;0), AND($W97&lt;&gt;"", LOWER(TRIM($W97))&lt;&gt;"n/a", LOWER(TRIM($W97))&lt;&gt;"na", SUMPRODUCT(--(UPPER(TRIM($W$2:$W$518))=UPPER(TRIM($W97))), --(UPPER(TRIM($B$2:$B$518))="YES"), --(UPPER(TRIM($G$2:$G$518)&amp;TRIM($I$2:$I$518)&amp;TRIM($J$2:$J$518))&lt;&gt;UPPER(TRIM($G97)&amp;TRIM($I97)&amp;TRIM($J97))))&gt;0), AND($X97&lt;&gt;"", LOWER(TRIM($X97))&lt;&gt;"n/a", LOWER(TRIM($X97))&lt;&gt;"na", SUMPRODUCT(--(UPPER(TRIM($X$2:$X$518))=UPPER(TRIM($X97))), --(UPPER(TRIM($B$2:$B$518))="YES"), --(UPPER(TRIM($G$2:$G$518)&amp;TRIM($I$2:$I$518)&amp;TRIM($J$2:$J$518))&lt;&gt;UPPER(TRIM($G97)&amp;TRIM($I97)&amp;TRIM($J97))))&gt;0), AND($Y97&lt;&gt;"", LOWER(TRIM($Y97))&lt;&gt;"n/a", LOWER(TRIM($Y97))&lt;&gt;"na", SUMPRODUCT(--(UPPER(SUBSTITUTE(SUBSTITUTE(TRIM($Y$2:$Y$518),":",""),"-",""))=UPPER(SUBSTITUTE(SUBSTITUTE(TRIM($Y97),":",""),"-",""))), --(UPPER(TRIM($B$2:$B$518))="YES"), --(UPPER(TRIM($G$2:$G$518)&amp;TRIM($I$2:$I$518)&amp;TRIM($J$2:$J$518))&lt;&gt;UPPER(TRIM($G97)&amp;TRIM($I97)&amp;TRIM($J97))))&gt;0), AND($AB97&lt;&gt;"", LOWER(TRIM($AB97))&lt;&gt;"n/a", LOWER(TRIM($AB97))&lt;&gt;"na", SUMPRODUCT(--(UPPER(TRIM($AB$2:$AB$518))=UPPER(TRIM($AB97))), --(UPPER(TRIM($B$2:$B$518))="YES"), --(UPPER(TRIM($G$2:$G$518)&amp;TRIM($I$2:$I$518)&amp;TRIM($J$2:$J$518))&lt;&gt;UPPER(TRIM($G97)&amp;TRIM($I97)&amp;TRIM($J97))))&gt;0), AND($AH97&lt;&gt;"", LOWER(TRIM($AH97))&lt;&gt;"n/a", LOWER(TRIM($AH97))&lt;&gt;"na", SUMPRODUCT(--(UPPER(SUBSTITUTE(SUBSTITUTE(TRIM($AH$2:$AH$518),":",""),"-",""))=UPPER(SUBSTITUTE(SUBSTITUTE(TRIM($AH97),":",""),"-",""))), --(UPPER(TRIM($B$2:$B$518))="YES"), --(UPPER(TRIM($G$2:$G$518)&amp;TRIM($I$2:$I$518)&amp;TRIM($J$2:$J$518))&lt;&gt;UPPER(TRIM($G97)&amp;TRIM($I97)&amp;TRIM($J97))))&gt;0), AND($AP97&lt;&gt;"", LOWER(TRIM($AP97))&lt;&gt;"n/a", LOWER(TRIM($AP97))&lt;&gt;"na", SUMPRODUCT(--(UPPER(TRIM($AP$2:$AP$518))=UPPER(TRIM($AP97))), --(UPPER(TRIM($B$2:$B$518))="YES"), --(UPPER(TRIM($G$2:$G$518)&amp;TRIM($I$2:$I$518)&amp;TRIM($J$2:$J$518))&lt;&gt;UPPER(TRIM($G97)&amp;TRIM($I97)&amp;TRIM($J97))))&gt;0), AND($AQ97&lt;&gt;"", LOWER(TRIM($AQ97))&lt;&gt;"n/a", LOWER(TRIM($AQ97))&lt;&gt;"na", SUMPRODUCT(--(UPPER(TRIM($AQ$2:$AQ$518))=UPPER(TRIM($AQ97))), --(UPPER(TRIM($B$2:$B$518))="YES"), --(UPPER(TRIM($G$2:$G$518)&amp;TRIM($I$2:$I$518)&amp;TRIM($J$2:$J$518))&lt;&gt;UPPER(TRIM($G97)&amp;TRIM($I97)&amp;TRIM($J97))))&gt;0)), "Yes", "No"))</f>
        <v/>
      </c>
      <c r="G97" t="inlineStr">
        <is>
          <t>PV</t>
        </is>
      </c>
      <c r="H97" t="inlineStr">
        <is>
          <t>PV</t>
        </is>
      </c>
      <c r="I97" t="inlineStr">
        <is>
          <t>2nd Floor - Surgical Pavillion</t>
        </is>
      </c>
      <c r="J97" t="inlineStr">
        <is>
          <t>OR 1</t>
        </is>
      </c>
      <c r="K97" t="inlineStr">
        <is>
          <t>OR 1</t>
        </is>
      </c>
      <c r="L97" s="18" t="n">
        <v>46090</v>
      </c>
      <c r="S97" t="inlineStr">
        <is>
          <t>Pass</t>
        </is>
      </c>
      <c r="U97" t="inlineStr">
        <is>
          <t>Anthony, Tim, PVH Staff</t>
        </is>
      </c>
      <c r="V97" t="inlineStr">
        <is>
          <t>WPV109OPR010</t>
        </is>
      </c>
      <c r="W97" t="inlineStr">
        <is>
          <t>MEDNG2425E-3321</t>
        </is>
      </c>
      <c r="X97" t="inlineStr">
        <is>
          <t>PLV-MACH-F</t>
        </is>
      </c>
      <c r="Y97" t="inlineStr">
        <is>
          <t>A0F5097FA59A</t>
        </is>
      </c>
      <c r="Z97" t="inlineStr">
        <is>
          <t>10.178.204.34</t>
        </is>
      </c>
      <c r="AB97" t="inlineStr">
        <is>
          <t>WA23C03113</t>
        </is>
      </c>
      <c r="AI97" t="inlineStr">
        <is>
          <t>Anesthesia Machine</t>
        </is>
      </c>
      <c r="AL97" t="inlineStr">
        <is>
          <t>0201575 /576</t>
        </is>
      </c>
      <c r="AM97" t="inlineStr">
        <is>
          <t>DRAGER</t>
        </is>
      </c>
      <c r="AN97" t="inlineStr">
        <is>
          <t>FABIUS GS PREMIUM</t>
        </is>
      </c>
      <c r="AP97" t="inlineStr">
        <is>
          <t>8607000-19ARZE-0025</t>
        </is>
      </c>
      <c r="AQ97" t="inlineStr">
        <is>
          <t>8607000-19ARZE-0025</t>
        </is>
      </c>
      <c r="AS97" t="inlineStr">
        <is>
          <t>B1-CFB-ANES</t>
        </is>
      </c>
      <c r="AT97" t="inlineStr">
        <is>
          <t>B1-CFW-PHILLIPS</t>
        </is>
      </c>
      <c r="AX97" t="inlineStr">
        <is>
          <t>MX750 - 233510 - 010088483808333221DE776744809086647191866471</t>
        </is>
      </c>
      <c r="BH97" t="n">
        <v>115200</v>
      </c>
      <c r="BI97" t="inlineStr">
        <is>
          <t>9600 - N81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I97" t="inlineStr">
        <is>
          <t>Yes</t>
        </is>
      </c>
      <c r="CJ97" t="inlineStr">
        <is>
          <t>Yes</t>
        </is>
      </c>
      <c r="CK97" t="inlineStr">
        <is>
          <t>Yes</t>
        </is>
      </c>
      <c r="CL97" t="inlineStr">
        <is>
          <t>Yes</t>
        </is>
      </c>
      <c r="CM97" t="inlineStr">
        <is>
          <t>Yes</t>
        </is>
      </c>
      <c r="CN97" t="inlineStr">
        <is>
          <t>Yes</t>
        </is>
      </c>
      <c r="CO97" t="inlineStr">
        <is>
          <t>Yes</t>
        </is>
      </c>
      <c r="CP97" t="inlineStr">
        <is>
          <t>Yes</t>
        </is>
      </c>
      <c r="CQ97" t="inlineStr">
        <is>
          <t>Yes</t>
        </is>
      </c>
      <c r="CR97" t="inlineStr">
        <is>
          <t>Yes</t>
        </is>
      </c>
      <c r="CS97" t="inlineStr">
        <is>
          <t>Yes</t>
        </is>
      </c>
      <c r="CW97">
        <f>IF($S97="","",IF(UPPER(TRIM($S97))&lt;&gt;"PASS","",IF(LEN(TRIM($BY97))&gt;0,"NOTES_PRESENT",IF(LEN(TRIM($T97))=0,"SET_NA",IF(OR(LOWER(TRIM($T97))="na",LOWER(TRIM($T97))="n/a"),"OK","MANUAL_OVERRIDE")))))</f>
        <v/>
      </c>
    </row>
    <row r="98">
      <c r="A98" t="inlineStr">
        <is>
          <t>Peripherals</t>
        </is>
      </c>
      <c r="B98" s="51" t="inlineStr">
        <is>
          <t>Yes</t>
        </is>
      </c>
      <c r="C98" t="inlineStr">
        <is>
          <t>Yes</t>
        </is>
      </c>
      <c r="D98">
        <f>IF($B98&lt;&gt;"Yes","",IF($C98="No","Yes",IF($C98="Yes","No","")))</f>
        <v/>
      </c>
      <c r="E98">
        <f>IF($A98="","",IF(OR(AND($V98&lt;&gt;"",LOWER(TRIM($V98))&lt;&gt;"n/a",LOWER(TRIM($V98))&lt;&gt;"na",SUMPRODUCT(--(UPPER(TRIM($V$2:$V$518))=UPPER(TRIM($V98))),--(TRIM($V$2:$V$518)&lt;&gt;""),--(LOWER(TRIM($V$2:$V$518))&lt;&gt;"n/a"),--(LOWER(TRIM($V$2:$V$518))&lt;&gt;"na"))&gt;1),AND($W98&lt;&gt;"",LOWER(TRIM($W98))&lt;&gt;"n/a",LOWER(TRIM($W98))&lt;&gt;"na",SUMPRODUCT(--(UPPER(TRIM($W$2:$W$518))=UPPER(TRIM($W98))),--(TRIM($W$2:$W$518)&lt;&gt;""),--(LOWER(TRIM($W$2:$W$518))&lt;&gt;"n/a"),--(LOWER(TRIM($W$2:$W$518))&lt;&gt;"na"))&gt;1),AND($X98&lt;&gt;"",LOWER(TRIM($X98))&lt;&gt;"n/a",LOWER(TRIM($X98))&lt;&gt;"na",SUMPRODUCT(--(UPPER(TRIM($X$2:$X$518))=UPPER(TRIM($X98))),--(TRIM($X$2:$X$518)&lt;&gt;""),--(LOWER(TRIM($X$2:$X$518))&lt;&gt;"n/a"),--(LOWER(TRIM($X$2:$X$518))&lt;&gt;"na"))&gt;1),AND($Y98&lt;&gt;"",LOWER(TRIM($Y98))&lt;&gt;"n/a",LOWER(TRIM($Y98))&lt;&gt;"na",SUMPRODUCT(--(UPPER(SUBSTITUTE(SUBSTITUTE(TRIM($Y$2:$Y$518),":",""),"-",""))=UPPER(SUBSTITUTE(SUBSTITUTE(TRIM($Y98),":",""),"-",""))),--(TRIM($Y$2:$Y$518)&lt;&gt;""),--(LOWER(TRIM($Y$2:$Y$518))&lt;&gt;"n/a"),--(LOWER(TRIM($Y$2:$Y$518))&lt;&gt;"na"))&gt;1),AND($AB98&lt;&gt;"",LOWER(TRIM($AB98))&lt;&gt;"n/a",LOWER(TRIM($AB98))&lt;&gt;"na",SUMPRODUCT(--(UPPER(TRIM($AB$2:$AB$518))=UPPER(TRIM($AB98))),--(TRIM($AB$2:$AB$518)&lt;&gt;""),--(LOWER(TRIM($AB$2:$AB$518))&lt;&gt;"n/a"),--(LOWER(TRIM($AB$2:$AB$518))&lt;&gt;"na"))&gt;1),AND($AH98&lt;&gt;"",LOWER(TRIM($AH98))&lt;&gt;"n/a",LOWER(TRIM($AH98))&lt;&gt;"na",SUMPRODUCT(--(UPPER(SUBSTITUTE(SUBSTITUTE(TRIM($AH$2:$AH$518),":",""),"-",""))=UPPER(SUBSTITUTE(SUBSTITUTE(TRIM($AH98),":",""),"-",""))),--(TRIM($AH$2:$AH$518)&lt;&gt;""),--(LOWER(TRIM($AH$2:$AH$518))&lt;&gt;"n/a"),--(LOWER(TRIM($AH$2:$AH$518))&lt;&gt;"na"))&gt;1),AND($AP98&lt;&gt;"",LOWER(TRIM($AP98))&lt;&gt;"n/a",LOWER(TRIM($AP98))&lt;&gt;"na",SUMPRODUCT(--(UPPER(TRIM($AP$2:$AP$518))=UPPER(TRIM($AP98))),--(TRIM($AP$2:$AP$518)&lt;&gt;""),--(LOWER(TRIM($AP$2:$AP$518))&lt;&gt;"n/a"),--(LOWER(TRIM($AP$2:$AP$518))&lt;&gt;"na"))&gt;1),AND($AQ98&lt;&gt;"",LOWER(TRIM($AQ98))&lt;&gt;"n/a",LOWER(TRIM($AQ98))&lt;&gt;"na",SUMPRODUCT(--(UPPER(TRIM($AQ$2:$AQ$518))=UPPER(TRIM($AQ98))),--(TRIM($AQ$2:$AQ$518)&lt;&gt;""),--(LOWER(TRIM($AQ$2:$AQ$518))&lt;&gt;"n/a"),--(LOWER(TRIM($AQ$2:$AQ$518))&lt;&gt;"na"))&gt;1)),"Yes","No"))</f>
        <v/>
      </c>
      <c r="F98">
        <f>IF(UPPER(TRIM($B98))&lt;&gt;"YES","", IF(OR(AND($V98&lt;&gt;"", LOWER(TRIM($V98))&lt;&gt;"n/a", LOWER(TRIM($V98))&lt;&gt;"na", SUMPRODUCT(--(UPPER(TRIM($V$2:$V$518))=UPPER(TRIM($V98))), --(UPPER(TRIM($B$2:$B$518))="YES"), --(UPPER(TRIM($G$2:$G$518)&amp;TRIM($I$2:$I$518)&amp;TRIM($J$2:$J$518))&lt;&gt;UPPER(TRIM($G98)&amp;TRIM($I98)&amp;TRIM($J98))))&gt;0), AND($W98&lt;&gt;"", LOWER(TRIM($W98))&lt;&gt;"n/a", LOWER(TRIM($W98))&lt;&gt;"na", SUMPRODUCT(--(UPPER(TRIM($W$2:$W$518))=UPPER(TRIM($W98))), --(UPPER(TRIM($B$2:$B$518))="YES"), --(UPPER(TRIM($G$2:$G$518)&amp;TRIM($I$2:$I$518)&amp;TRIM($J$2:$J$518))&lt;&gt;UPPER(TRIM($G98)&amp;TRIM($I98)&amp;TRIM($J98))))&gt;0), AND($X98&lt;&gt;"", LOWER(TRIM($X98))&lt;&gt;"n/a", LOWER(TRIM($X98))&lt;&gt;"na", SUMPRODUCT(--(UPPER(TRIM($X$2:$X$518))=UPPER(TRIM($X98))), --(UPPER(TRIM($B$2:$B$518))="YES"), --(UPPER(TRIM($G$2:$G$518)&amp;TRIM($I$2:$I$518)&amp;TRIM($J$2:$J$518))&lt;&gt;UPPER(TRIM($G98)&amp;TRIM($I98)&amp;TRIM($J98))))&gt;0), AND($Y98&lt;&gt;"", LOWER(TRIM($Y98))&lt;&gt;"n/a", LOWER(TRIM($Y98))&lt;&gt;"na", SUMPRODUCT(--(UPPER(SUBSTITUTE(SUBSTITUTE(TRIM($Y$2:$Y$518),":",""),"-",""))=UPPER(SUBSTITUTE(SUBSTITUTE(TRIM($Y98),":",""),"-",""))), --(UPPER(TRIM($B$2:$B$518))="YES"), --(UPPER(TRIM($G$2:$G$518)&amp;TRIM($I$2:$I$518)&amp;TRIM($J$2:$J$518))&lt;&gt;UPPER(TRIM($G98)&amp;TRIM($I98)&amp;TRIM($J98))))&gt;0), AND($AB98&lt;&gt;"", LOWER(TRIM($AB98))&lt;&gt;"n/a", LOWER(TRIM($AB98))&lt;&gt;"na", SUMPRODUCT(--(UPPER(TRIM($AB$2:$AB$518))=UPPER(TRIM($AB98))), --(UPPER(TRIM($B$2:$B$518))="YES"), --(UPPER(TRIM($G$2:$G$518)&amp;TRIM($I$2:$I$518)&amp;TRIM($J$2:$J$518))&lt;&gt;UPPER(TRIM($G98)&amp;TRIM($I98)&amp;TRIM($J98))))&gt;0), AND($AH98&lt;&gt;"", LOWER(TRIM($AH98))&lt;&gt;"n/a", LOWER(TRIM($AH98))&lt;&gt;"na", SUMPRODUCT(--(UPPER(SUBSTITUTE(SUBSTITUTE(TRIM($AH$2:$AH$518),":",""),"-",""))=UPPER(SUBSTITUTE(SUBSTITUTE(TRIM($AH98),":",""),"-",""))), --(UPPER(TRIM($B$2:$B$518))="YES"), --(UPPER(TRIM($G$2:$G$518)&amp;TRIM($I$2:$I$518)&amp;TRIM($J$2:$J$518))&lt;&gt;UPPER(TRIM($G98)&amp;TRIM($I98)&amp;TRIM($J98))))&gt;0), AND($AP98&lt;&gt;"", LOWER(TRIM($AP98))&lt;&gt;"n/a", LOWER(TRIM($AP98))&lt;&gt;"na", SUMPRODUCT(--(UPPER(TRIM($AP$2:$AP$518))=UPPER(TRIM($AP98))), --(UPPER(TRIM($B$2:$B$518))="YES"), --(UPPER(TRIM($G$2:$G$518)&amp;TRIM($I$2:$I$518)&amp;TRIM($J$2:$J$518))&lt;&gt;UPPER(TRIM($G98)&amp;TRIM($I98)&amp;TRIM($J98))))&gt;0), AND($AQ98&lt;&gt;"", LOWER(TRIM($AQ98))&lt;&gt;"n/a", LOWER(TRIM($AQ98))&lt;&gt;"na", SUMPRODUCT(--(UPPER(TRIM($AQ$2:$AQ$518))=UPPER(TRIM($AQ98))), --(UPPER(TRIM($B$2:$B$518))="YES"), --(UPPER(TRIM($G$2:$G$518)&amp;TRIM($I$2:$I$518)&amp;TRIM($J$2:$J$518))&lt;&gt;UPPER(TRIM($G98)&amp;TRIM($I98)&amp;TRIM($J98))))&gt;0)), "Yes", "No"))</f>
        <v/>
      </c>
      <c r="G98" t="inlineStr">
        <is>
          <t>PV</t>
        </is>
      </c>
      <c r="H98" t="inlineStr">
        <is>
          <t>PV</t>
        </is>
      </c>
      <c r="I98" t="inlineStr">
        <is>
          <t>2nd Floor - Surgical Pavillion</t>
        </is>
      </c>
      <c r="J98" t="inlineStr">
        <is>
          <t>OR 2</t>
        </is>
      </c>
      <c r="K98" t="inlineStr">
        <is>
          <t>OR 2</t>
        </is>
      </c>
      <c r="L98" s="18" t="n">
        <v>46090</v>
      </c>
      <c r="S98" t="inlineStr">
        <is>
          <t>Pass</t>
        </is>
      </c>
      <c r="U98" t="inlineStr">
        <is>
          <t>Anthony, Tim, PVH Staff</t>
        </is>
      </c>
      <c r="V98" t="inlineStr">
        <is>
          <t>WPV109OPR003</t>
        </is>
      </c>
      <c r="W98" t="inlineStr">
        <is>
          <t>MEDNG2425E-3169</t>
        </is>
      </c>
      <c r="X98" t="inlineStr">
        <is>
          <t>PLV-MACH-E</t>
        </is>
      </c>
      <c r="Y98" t="inlineStr">
        <is>
          <t>A0F5097F970E</t>
        </is>
      </c>
      <c r="Z98" t="inlineStr">
        <is>
          <t>10.178.205.19</t>
        </is>
      </c>
      <c r="AB98" t="inlineStr">
        <is>
          <t>WA23C03180</t>
        </is>
      </c>
      <c r="AI98" t="inlineStr">
        <is>
          <t>Anesthesia Machine</t>
        </is>
      </c>
      <c r="AL98" t="inlineStr">
        <is>
          <t>0201577 / 578</t>
        </is>
      </c>
      <c r="AM98" t="inlineStr">
        <is>
          <t>DRAGER</t>
        </is>
      </c>
      <c r="AN98" t="inlineStr">
        <is>
          <t>FABIUS GS PREMIUM</t>
        </is>
      </c>
      <c r="AP98" t="inlineStr">
        <is>
          <t>8607000-37ASBJ-0240</t>
        </is>
      </c>
      <c r="AQ98" t="inlineStr">
        <is>
          <t>8607000-37ASBJ-0240</t>
        </is>
      </c>
      <c r="AS98" t="inlineStr">
        <is>
          <t>B1-CFB-ANES</t>
        </is>
      </c>
      <c r="AT98" t="inlineStr">
        <is>
          <t>B1-CFW-PHILLIPS</t>
        </is>
      </c>
      <c r="AX98" t="inlineStr">
        <is>
          <t>MX750 - 233511 - 010088483808333221DE776744569086647191866471</t>
        </is>
      </c>
      <c r="BH98" t="n">
        <v>115200</v>
      </c>
      <c r="BI98" t="inlineStr">
        <is>
          <t>9600 - N81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I98" t="inlineStr">
        <is>
          <t>Yes</t>
        </is>
      </c>
      <c r="CJ98" t="inlineStr">
        <is>
          <t>Yes</t>
        </is>
      </c>
      <c r="CK98" t="inlineStr">
        <is>
          <t>Yes</t>
        </is>
      </c>
      <c r="CL98" t="inlineStr">
        <is>
          <t>Yes</t>
        </is>
      </c>
      <c r="CM98" t="inlineStr">
        <is>
          <t>Yes</t>
        </is>
      </c>
      <c r="CN98" t="inlineStr">
        <is>
          <t>Yes</t>
        </is>
      </c>
      <c r="CO98" t="inlineStr">
        <is>
          <t>Yes</t>
        </is>
      </c>
      <c r="CP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W98">
        <f>IF($S98="","",IF(UPPER(TRIM($S98))&lt;&gt;"PASS","",IF(LEN(TRIM($BY98))&gt;0,"NOTES_PRESENT",IF(LEN(TRIM($T98))=0,"SET_NA",IF(OR(LOWER(TRIM($T98))="na",LOWER(TRIM($T98))="n/a"),"OK","MANUAL_OVERRIDE")))))</f>
        <v/>
      </c>
    </row>
    <row r="99">
      <c r="A99" t="inlineStr">
        <is>
          <t>Peripherals</t>
        </is>
      </c>
      <c r="B99" s="51" t="inlineStr">
        <is>
          <t>Yes</t>
        </is>
      </c>
      <c r="C99" t="inlineStr">
        <is>
          <t>Yes</t>
        </is>
      </c>
      <c r="D99">
        <f>IF($B99&lt;&gt;"Yes","",IF($C99="No","Yes",IF($C99="Yes","No","")))</f>
        <v/>
      </c>
      <c r="E99">
        <f>IF($A99="","",IF(OR(AND($V99&lt;&gt;"",LOWER(TRIM($V99))&lt;&gt;"n/a",LOWER(TRIM($V99))&lt;&gt;"na",SUMPRODUCT(--(UPPER(TRIM($V$2:$V$518))=UPPER(TRIM($V99))),--(TRIM($V$2:$V$518)&lt;&gt;""),--(LOWER(TRIM($V$2:$V$518))&lt;&gt;"n/a"),--(LOWER(TRIM($V$2:$V$518))&lt;&gt;"na"))&gt;1),AND($W99&lt;&gt;"",LOWER(TRIM($W99))&lt;&gt;"n/a",LOWER(TRIM($W99))&lt;&gt;"na",SUMPRODUCT(--(UPPER(TRIM($W$2:$W$518))=UPPER(TRIM($W99))),--(TRIM($W$2:$W$518)&lt;&gt;""),--(LOWER(TRIM($W$2:$W$518))&lt;&gt;"n/a"),--(LOWER(TRIM($W$2:$W$518))&lt;&gt;"na"))&gt;1),AND($X99&lt;&gt;"",LOWER(TRIM($X99))&lt;&gt;"n/a",LOWER(TRIM($X99))&lt;&gt;"na",SUMPRODUCT(--(UPPER(TRIM($X$2:$X$518))=UPPER(TRIM($X99))),--(TRIM($X$2:$X$518)&lt;&gt;""),--(LOWER(TRIM($X$2:$X$518))&lt;&gt;"n/a"),--(LOWER(TRIM($X$2:$X$518))&lt;&gt;"na"))&gt;1),AND($Y99&lt;&gt;"",LOWER(TRIM($Y99))&lt;&gt;"n/a",LOWER(TRIM($Y99))&lt;&gt;"na",SUMPRODUCT(--(UPPER(SUBSTITUTE(SUBSTITUTE(TRIM($Y$2:$Y$518),":",""),"-",""))=UPPER(SUBSTITUTE(SUBSTITUTE(TRIM($Y99),":",""),"-",""))),--(TRIM($Y$2:$Y$518)&lt;&gt;""),--(LOWER(TRIM($Y$2:$Y$518))&lt;&gt;"n/a"),--(LOWER(TRIM($Y$2:$Y$518))&lt;&gt;"na"))&gt;1),AND($AB99&lt;&gt;"",LOWER(TRIM($AB99))&lt;&gt;"n/a",LOWER(TRIM($AB99))&lt;&gt;"na",SUMPRODUCT(--(UPPER(TRIM($AB$2:$AB$518))=UPPER(TRIM($AB99))),--(TRIM($AB$2:$AB$518)&lt;&gt;""),--(LOWER(TRIM($AB$2:$AB$518))&lt;&gt;"n/a"),--(LOWER(TRIM($AB$2:$AB$518))&lt;&gt;"na"))&gt;1),AND($AH99&lt;&gt;"",LOWER(TRIM($AH99))&lt;&gt;"n/a",LOWER(TRIM($AH99))&lt;&gt;"na",SUMPRODUCT(--(UPPER(SUBSTITUTE(SUBSTITUTE(TRIM($AH$2:$AH$518),":",""),"-",""))=UPPER(SUBSTITUTE(SUBSTITUTE(TRIM($AH99),":",""),"-",""))),--(TRIM($AH$2:$AH$518)&lt;&gt;""),--(LOWER(TRIM($AH$2:$AH$518))&lt;&gt;"n/a"),--(LOWER(TRIM($AH$2:$AH$518))&lt;&gt;"na"))&gt;1),AND($AP99&lt;&gt;"",LOWER(TRIM($AP99))&lt;&gt;"n/a",LOWER(TRIM($AP99))&lt;&gt;"na",SUMPRODUCT(--(UPPER(TRIM($AP$2:$AP$518))=UPPER(TRIM($AP99))),--(TRIM($AP$2:$AP$518)&lt;&gt;""),--(LOWER(TRIM($AP$2:$AP$518))&lt;&gt;"n/a"),--(LOWER(TRIM($AP$2:$AP$518))&lt;&gt;"na"))&gt;1),AND($AQ99&lt;&gt;"",LOWER(TRIM($AQ99))&lt;&gt;"n/a",LOWER(TRIM($AQ99))&lt;&gt;"na",SUMPRODUCT(--(UPPER(TRIM($AQ$2:$AQ$518))=UPPER(TRIM($AQ99))),--(TRIM($AQ$2:$AQ$518)&lt;&gt;""),--(LOWER(TRIM($AQ$2:$AQ$518))&lt;&gt;"n/a"),--(LOWER(TRIM($AQ$2:$AQ$518))&lt;&gt;"na"))&gt;1)),"Yes","No"))</f>
        <v/>
      </c>
      <c r="F99">
        <f>IF(UPPER(TRIM($B99))&lt;&gt;"YES","", IF(OR(AND($V99&lt;&gt;"", LOWER(TRIM($V99))&lt;&gt;"n/a", LOWER(TRIM($V99))&lt;&gt;"na", SUMPRODUCT(--(UPPER(TRIM($V$2:$V$518))=UPPER(TRIM($V99))), --(UPPER(TRIM($B$2:$B$518))="YES"), --(UPPER(TRIM($G$2:$G$518)&amp;TRIM($I$2:$I$518)&amp;TRIM($J$2:$J$518))&lt;&gt;UPPER(TRIM($G99)&amp;TRIM($I99)&amp;TRIM($J99))))&gt;0), AND($W99&lt;&gt;"", LOWER(TRIM($W99))&lt;&gt;"n/a", LOWER(TRIM($W99))&lt;&gt;"na", SUMPRODUCT(--(UPPER(TRIM($W$2:$W$518))=UPPER(TRIM($W99))), --(UPPER(TRIM($B$2:$B$518))="YES"), --(UPPER(TRIM($G$2:$G$518)&amp;TRIM($I$2:$I$518)&amp;TRIM($J$2:$J$518))&lt;&gt;UPPER(TRIM($G99)&amp;TRIM($I99)&amp;TRIM($J99))))&gt;0), AND($X99&lt;&gt;"", LOWER(TRIM($X99))&lt;&gt;"n/a", LOWER(TRIM($X99))&lt;&gt;"na", SUMPRODUCT(--(UPPER(TRIM($X$2:$X$518))=UPPER(TRIM($X99))), --(UPPER(TRIM($B$2:$B$518))="YES"), --(UPPER(TRIM($G$2:$G$518)&amp;TRIM($I$2:$I$518)&amp;TRIM($J$2:$J$518))&lt;&gt;UPPER(TRIM($G99)&amp;TRIM($I99)&amp;TRIM($J99))))&gt;0), AND($Y99&lt;&gt;"", LOWER(TRIM($Y99))&lt;&gt;"n/a", LOWER(TRIM($Y99))&lt;&gt;"na", SUMPRODUCT(--(UPPER(SUBSTITUTE(SUBSTITUTE(TRIM($Y$2:$Y$518),":",""),"-",""))=UPPER(SUBSTITUTE(SUBSTITUTE(TRIM($Y99),":",""),"-",""))), --(UPPER(TRIM($B$2:$B$518))="YES"), --(UPPER(TRIM($G$2:$G$518)&amp;TRIM($I$2:$I$518)&amp;TRIM($J$2:$J$518))&lt;&gt;UPPER(TRIM($G99)&amp;TRIM($I99)&amp;TRIM($J99))))&gt;0), AND($AB99&lt;&gt;"", LOWER(TRIM($AB99))&lt;&gt;"n/a", LOWER(TRIM($AB99))&lt;&gt;"na", SUMPRODUCT(--(UPPER(TRIM($AB$2:$AB$518))=UPPER(TRIM($AB99))), --(UPPER(TRIM($B$2:$B$518))="YES"), --(UPPER(TRIM($G$2:$G$518)&amp;TRIM($I$2:$I$518)&amp;TRIM($J$2:$J$518))&lt;&gt;UPPER(TRIM($G99)&amp;TRIM($I99)&amp;TRIM($J99))))&gt;0), AND($AH99&lt;&gt;"", LOWER(TRIM($AH99))&lt;&gt;"n/a", LOWER(TRIM($AH99))&lt;&gt;"na", SUMPRODUCT(--(UPPER(SUBSTITUTE(SUBSTITUTE(TRIM($AH$2:$AH$518),":",""),"-",""))=UPPER(SUBSTITUTE(SUBSTITUTE(TRIM($AH99),":",""),"-",""))), --(UPPER(TRIM($B$2:$B$518))="YES"), --(UPPER(TRIM($G$2:$G$518)&amp;TRIM($I$2:$I$518)&amp;TRIM($J$2:$J$518))&lt;&gt;UPPER(TRIM($G99)&amp;TRIM($I99)&amp;TRIM($J99))))&gt;0), AND($AP99&lt;&gt;"", LOWER(TRIM($AP99))&lt;&gt;"n/a", LOWER(TRIM($AP99))&lt;&gt;"na", SUMPRODUCT(--(UPPER(TRIM($AP$2:$AP$518))=UPPER(TRIM($AP99))), --(UPPER(TRIM($B$2:$B$518))="YES"), --(UPPER(TRIM($G$2:$G$518)&amp;TRIM($I$2:$I$518)&amp;TRIM($J$2:$J$518))&lt;&gt;UPPER(TRIM($G99)&amp;TRIM($I99)&amp;TRIM($J99))))&gt;0), AND($AQ99&lt;&gt;"", LOWER(TRIM($AQ99))&lt;&gt;"n/a", LOWER(TRIM($AQ99))&lt;&gt;"na", SUMPRODUCT(--(UPPER(TRIM($AQ$2:$AQ$518))=UPPER(TRIM($AQ99))), --(UPPER(TRIM($B$2:$B$518))="YES"), --(UPPER(TRIM($G$2:$G$518)&amp;TRIM($I$2:$I$518)&amp;TRIM($J$2:$J$518))&lt;&gt;UPPER(TRIM($G99)&amp;TRIM($I99)&amp;TRIM($J99))))&gt;0)), "Yes", "No"))</f>
        <v/>
      </c>
      <c r="G99" t="inlineStr">
        <is>
          <t>PV</t>
        </is>
      </c>
      <c r="H99" t="inlineStr">
        <is>
          <t>PV</t>
        </is>
      </c>
      <c r="I99" t="inlineStr">
        <is>
          <t>Main OR</t>
        </is>
      </c>
      <c r="J99" t="inlineStr">
        <is>
          <t>OR 4</t>
        </is>
      </c>
      <c r="K99" t="inlineStr">
        <is>
          <t>OR 4</t>
        </is>
      </c>
      <c r="L99" s="18" t="n">
        <v>46090</v>
      </c>
      <c r="S99" t="inlineStr">
        <is>
          <t>Pass</t>
        </is>
      </c>
      <c r="T99" t="inlineStr">
        <is>
          <t>N/A</t>
        </is>
      </c>
      <c r="U99" t="inlineStr">
        <is>
          <t>Anthony, Tim, PVH Staff</t>
        </is>
      </c>
      <c r="V99" t="inlineStr">
        <is>
          <t>WPV109OPR008</t>
        </is>
      </c>
      <c r="W99" t="inlineStr">
        <is>
          <t>MEDNG2425E-3348</t>
        </is>
      </c>
      <c r="X99" t="inlineStr">
        <is>
          <t>PLV-MACH-G</t>
        </is>
      </c>
      <c r="Y99" t="inlineStr">
        <is>
          <t>A0F5097FA45A</t>
        </is>
      </c>
      <c r="AB99" t="inlineStr">
        <is>
          <t>WA23C03757</t>
        </is>
      </c>
      <c r="AI99" t="inlineStr">
        <is>
          <t>Anesthesia Machine</t>
        </is>
      </c>
      <c r="AM99" t="inlineStr">
        <is>
          <t>DRAGER</t>
        </is>
      </c>
      <c r="AN99" t="inlineStr">
        <is>
          <t>FABIUS GS PREMIUM</t>
        </is>
      </c>
      <c r="AP99" t="inlineStr">
        <is>
          <t>8607000-37ASBJ-0242</t>
        </is>
      </c>
      <c r="AQ99" t="inlineStr">
        <is>
          <t>8607000-37ASBJ-0242</t>
        </is>
      </c>
      <c r="AS99" t="inlineStr">
        <is>
          <t>B1-CFB-ANES</t>
        </is>
      </c>
      <c r="AT99" t="inlineStr">
        <is>
          <t>B1-CFW-PHILLIPS</t>
        </is>
      </c>
      <c r="AX99" t="inlineStr">
        <is>
          <t>MX750 - 233505 - 010088483808333221DE776744849086647191866471</t>
        </is>
      </c>
      <c r="BH99" t="n">
        <v>115200</v>
      </c>
      <c r="BI99" t="inlineStr">
        <is>
          <t>9600 - N81</t>
        </is>
      </c>
      <c r="CD99">
        <f>IF($Y99="","",IF((IF(AND($BR99&lt;&gt;"Yes",$BR99&lt;&gt;"N/A"),"Power Cable, ","")&amp;IF(AND($BS99&lt;&gt;"Yes",$BS99&lt;&gt;"N/A"),"Battery, ","")&amp;IF(AND($AD99&lt;&gt;"Yes",$AD99&lt;&gt;"N/A"),"Firmware Download, ","")&amp;IF(AND(OR($AD99="Yes",$AD99="N/A"),$AE99&lt;&gt;"Yes",$AE99&lt;&gt;"N/A"),"Firmware Install, ","")&amp;IF(AND($CB99&lt;&gt;"Yes",$CB99&lt;&gt;"N/A"),"Device ID, ","")&amp;IF(AND($CC99&lt;&gt;"Yes",$CC99&lt;&gt;"N/A"),"Epic Beans Relay, ",""))="","",LEFT(IF(AND($BR99&lt;&gt;"Yes",$BR99&lt;&gt;"N/A"),"Power Cable, ","")&amp;IF(AND($BS99&lt;&gt;"Yes",$BS99&lt;&gt;"N/A"),"Battery, ","")&amp;IF(AND($AD99&lt;&gt;"Yes",$AD99&lt;&gt;"N/A"),"Firmware Download, ","")&amp;IF(AND(OR($AD99="Yes",$AD99="N/A"),$AE99&lt;&gt;"Yes",$AE99&lt;&gt;"N/A"),"Firmware Install, ","")&amp;IF(AND($CB99&lt;&gt;"Yes",$CB99&lt;&gt;"N/A"),"Device ID, ","")&amp;IF(AND($CC99&lt;&gt;"Yes",$CC99&lt;&gt;"N/A"),"Epic Beans Relay, ",""),LEN(IF(AND($BR99&lt;&gt;"Yes",$BR99&lt;&gt;"N/A"),"Power Cable, ","")&amp;IF(AND($BS99&lt;&gt;"Yes",$BS99&lt;&gt;"N/A"),"Battery, ","")&amp;IF(AND($AD99&lt;&gt;"Yes",$AD99&lt;&gt;"N/A"),"Firmware Download, ","")&amp;IF(AND(OR($AD99="Yes",$AD99="N/A"),$AE99&lt;&gt;"Yes",$AE99&lt;&gt;"N/A"),"Firmware Install, ","")&amp;IF(AND($CB99&lt;&gt;"Yes",$CB99&lt;&gt;"N/A"),"Device ID, ","")&amp;IF(AND($CC99&lt;&gt;"Yes",$CC99&lt;&gt;"N/A"),"Epic Beans Relay, ",""))-2)))</f>
        <v/>
      </c>
      <c r="CE99">
        <f>IF($Y99="","",IF($CD99="","Yes","Blocked"))</f>
        <v/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I99" t="inlineStr">
        <is>
          <t>Yes</t>
        </is>
      </c>
      <c r="CJ99" t="inlineStr">
        <is>
          <t>Yes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Yes</t>
        </is>
      </c>
      <c r="CO99" t="inlineStr">
        <is>
          <t>Yes</t>
        </is>
      </c>
      <c r="CP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W99">
        <f>IF($S99="","",IF(UPPER(TRIM($S99))&lt;&gt;"PASS","",IF(LEN(TRIM($BY99))&gt;0,"NOTES_PRESENT",IF(LEN(TRIM($T99))=0,"SET_NA",IF(OR(LOWER(TRIM($T99))="na",LOWER(TRIM($T99))="n/a"),"OK","MANUAL_OVERRIDE")))))</f>
        <v/>
      </c>
    </row>
    <row r="100">
      <c r="A100" t="inlineStr">
        <is>
          <t>Peripherals</t>
        </is>
      </c>
      <c r="B100" s="51" t="inlineStr">
        <is>
          <t>Yes</t>
        </is>
      </c>
      <c r="C100" t="inlineStr">
        <is>
          <t>Yes</t>
        </is>
      </c>
      <c r="D100">
        <f>IF($B100&lt;&gt;"Yes","",IF($C100="No","Yes",IF($C100="Yes","No","")))</f>
        <v/>
      </c>
      <c r="E100">
        <f>IF($A100="","",IF(OR(AND($V100&lt;&gt;"",LOWER(TRIM($V100))&lt;&gt;"n/a",LOWER(TRIM($V100))&lt;&gt;"na",SUMPRODUCT(--(UPPER(TRIM($V$2:$V$518))=UPPER(TRIM($V100))),--(TRIM($V$2:$V$518)&lt;&gt;""),--(LOWER(TRIM($V$2:$V$518))&lt;&gt;"n/a"),--(LOWER(TRIM($V$2:$V$518))&lt;&gt;"na"))&gt;1),AND($W100&lt;&gt;"",LOWER(TRIM($W100))&lt;&gt;"n/a",LOWER(TRIM($W100))&lt;&gt;"na",SUMPRODUCT(--(UPPER(TRIM($W$2:$W$518))=UPPER(TRIM($W100))),--(TRIM($W$2:$W$518)&lt;&gt;""),--(LOWER(TRIM($W$2:$W$518))&lt;&gt;"n/a"),--(LOWER(TRIM($W$2:$W$518))&lt;&gt;"na"))&gt;1),AND($X100&lt;&gt;"",LOWER(TRIM($X100))&lt;&gt;"n/a",LOWER(TRIM($X100))&lt;&gt;"na",SUMPRODUCT(--(UPPER(TRIM($X$2:$X$518))=UPPER(TRIM($X100))),--(TRIM($X$2:$X$518)&lt;&gt;""),--(LOWER(TRIM($X$2:$X$518))&lt;&gt;"n/a"),--(LOWER(TRIM($X$2:$X$518))&lt;&gt;"na"))&gt;1),AND($Y100&lt;&gt;"",LOWER(TRIM($Y100))&lt;&gt;"n/a",LOWER(TRIM($Y100))&lt;&gt;"na",SUMPRODUCT(--(UPPER(SUBSTITUTE(SUBSTITUTE(TRIM($Y$2:$Y$518),":",""),"-",""))=UPPER(SUBSTITUTE(SUBSTITUTE(TRIM($Y100),":",""),"-",""))),--(TRIM($Y$2:$Y$518)&lt;&gt;""),--(LOWER(TRIM($Y$2:$Y$518))&lt;&gt;"n/a"),--(LOWER(TRIM($Y$2:$Y$518))&lt;&gt;"na"))&gt;1),AND($AB100&lt;&gt;"",LOWER(TRIM($AB100))&lt;&gt;"n/a",LOWER(TRIM($AB100))&lt;&gt;"na",SUMPRODUCT(--(UPPER(TRIM($AB$2:$AB$518))=UPPER(TRIM($AB100))),--(TRIM($AB$2:$AB$518)&lt;&gt;""),--(LOWER(TRIM($AB$2:$AB$518))&lt;&gt;"n/a"),--(LOWER(TRIM($AB$2:$AB$518))&lt;&gt;"na"))&gt;1),AND($AH100&lt;&gt;"",LOWER(TRIM($AH100))&lt;&gt;"n/a",LOWER(TRIM($AH100))&lt;&gt;"na",SUMPRODUCT(--(UPPER(SUBSTITUTE(SUBSTITUTE(TRIM($AH$2:$AH$518),":",""),"-",""))=UPPER(SUBSTITUTE(SUBSTITUTE(TRIM($AH100),":",""),"-",""))),--(TRIM($AH$2:$AH$518)&lt;&gt;""),--(LOWER(TRIM($AH$2:$AH$518))&lt;&gt;"n/a"),--(LOWER(TRIM($AH$2:$AH$518))&lt;&gt;"na"))&gt;1),AND($AP100&lt;&gt;"",LOWER(TRIM($AP100))&lt;&gt;"n/a",LOWER(TRIM($AP100))&lt;&gt;"na",SUMPRODUCT(--(UPPER(TRIM($AP$2:$AP$518))=UPPER(TRIM($AP100))),--(TRIM($AP$2:$AP$518)&lt;&gt;""),--(LOWER(TRIM($AP$2:$AP$518))&lt;&gt;"n/a"),--(LOWER(TRIM($AP$2:$AP$518))&lt;&gt;"na"))&gt;1),AND($AQ100&lt;&gt;"",LOWER(TRIM($AQ100))&lt;&gt;"n/a",LOWER(TRIM($AQ100))&lt;&gt;"na",SUMPRODUCT(--(UPPER(TRIM($AQ$2:$AQ$518))=UPPER(TRIM($AQ100))),--(TRIM($AQ$2:$AQ$518)&lt;&gt;""),--(LOWER(TRIM($AQ$2:$AQ$518))&lt;&gt;"n/a"),--(LOWER(TRIM($AQ$2:$AQ$518))&lt;&gt;"na"))&gt;1)),"Yes","No"))</f>
        <v/>
      </c>
      <c r="F100">
        <f>IF(UPPER(TRIM($B100))&lt;&gt;"YES","", IF(OR(AND($V100&lt;&gt;"", LOWER(TRIM($V100))&lt;&gt;"n/a", LOWER(TRIM($V100))&lt;&gt;"na", SUMPRODUCT(--(UPPER(TRIM($V$2:$V$518))=UPPER(TRIM($V100))), --(UPPER(TRIM($B$2:$B$518))="YES"), --(UPPER(TRIM($G$2:$G$518)&amp;TRIM($I$2:$I$518)&amp;TRIM($J$2:$J$518))&lt;&gt;UPPER(TRIM($G100)&amp;TRIM($I100)&amp;TRIM($J100))))&gt;0), AND($W100&lt;&gt;"", LOWER(TRIM($W100))&lt;&gt;"n/a", LOWER(TRIM($W100))&lt;&gt;"na", SUMPRODUCT(--(UPPER(TRIM($W$2:$W$518))=UPPER(TRIM($W100))), --(UPPER(TRIM($B$2:$B$518))="YES"), --(UPPER(TRIM($G$2:$G$518)&amp;TRIM($I$2:$I$518)&amp;TRIM($J$2:$J$518))&lt;&gt;UPPER(TRIM($G100)&amp;TRIM($I100)&amp;TRIM($J100))))&gt;0), AND($X100&lt;&gt;"", LOWER(TRIM($X100))&lt;&gt;"n/a", LOWER(TRIM($X100))&lt;&gt;"na", SUMPRODUCT(--(UPPER(TRIM($X$2:$X$518))=UPPER(TRIM($X100))), --(UPPER(TRIM($B$2:$B$518))="YES"), --(UPPER(TRIM($G$2:$G$518)&amp;TRIM($I$2:$I$518)&amp;TRIM($J$2:$J$518))&lt;&gt;UPPER(TRIM($G100)&amp;TRIM($I100)&amp;TRIM($J100))))&gt;0), AND($Y100&lt;&gt;"", LOWER(TRIM($Y100))&lt;&gt;"n/a", LOWER(TRIM($Y100))&lt;&gt;"na", SUMPRODUCT(--(UPPER(SUBSTITUTE(SUBSTITUTE(TRIM($Y$2:$Y$518),":",""),"-",""))=UPPER(SUBSTITUTE(SUBSTITUTE(TRIM($Y100),":",""),"-",""))), --(UPPER(TRIM($B$2:$B$518))="YES"), --(UPPER(TRIM($G$2:$G$518)&amp;TRIM($I$2:$I$518)&amp;TRIM($J$2:$J$518))&lt;&gt;UPPER(TRIM($G100)&amp;TRIM($I100)&amp;TRIM($J100))))&gt;0), AND($AB100&lt;&gt;"", LOWER(TRIM($AB100))&lt;&gt;"n/a", LOWER(TRIM($AB100))&lt;&gt;"na", SUMPRODUCT(--(UPPER(TRIM($AB$2:$AB$518))=UPPER(TRIM($AB100))), --(UPPER(TRIM($B$2:$B$518))="YES"), --(UPPER(TRIM($G$2:$G$518)&amp;TRIM($I$2:$I$518)&amp;TRIM($J$2:$J$518))&lt;&gt;UPPER(TRIM($G100)&amp;TRIM($I100)&amp;TRIM($J100))))&gt;0), AND($AH100&lt;&gt;"", LOWER(TRIM($AH100))&lt;&gt;"n/a", LOWER(TRIM($AH100))&lt;&gt;"na", SUMPRODUCT(--(UPPER(SUBSTITUTE(SUBSTITUTE(TRIM($AH$2:$AH$518),":",""),"-",""))=UPPER(SUBSTITUTE(SUBSTITUTE(TRIM($AH100),":",""),"-",""))), --(UPPER(TRIM($B$2:$B$518))="YES"), --(UPPER(TRIM($G$2:$G$518)&amp;TRIM($I$2:$I$518)&amp;TRIM($J$2:$J$518))&lt;&gt;UPPER(TRIM($G100)&amp;TRIM($I100)&amp;TRIM($J100))))&gt;0), AND($AP100&lt;&gt;"", LOWER(TRIM($AP100))&lt;&gt;"n/a", LOWER(TRIM($AP100))&lt;&gt;"na", SUMPRODUCT(--(UPPER(TRIM($AP$2:$AP$518))=UPPER(TRIM($AP100))), --(UPPER(TRIM($B$2:$B$518))="YES"), --(UPPER(TRIM($G$2:$G$518)&amp;TRIM($I$2:$I$518)&amp;TRIM($J$2:$J$518))&lt;&gt;UPPER(TRIM($G100)&amp;TRIM($I100)&amp;TRIM($J100))))&gt;0), AND($AQ100&lt;&gt;"", LOWER(TRIM($AQ100))&lt;&gt;"n/a", LOWER(TRIM($AQ100))&lt;&gt;"na", SUMPRODUCT(--(UPPER(TRIM($AQ$2:$AQ$518))=UPPER(TRIM($AQ100))), --(UPPER(TRIM($B$2:$B$518))="YES"), --(UPPER(TRIM($G$2:$G$518)&amp;TRIM($I$2:$I$518)&amp;TRIM($J$2:$J$518))&lt;&gt;UPPER(TRIM($G100)&amp;TRIM($I100)&amp;TRIM($J100))))&gt;0)), "Yes", "No"))</f>
        <v/>
      </c>
      <c r="G100" t="inlineStr">
        <is>
          <t>PV</t>
        </is>
      </c>
      <c r="H100" t="inlineStr">
        <is>
          <t>PV</t>
        </is>
      </c>
      <c r="I100" t="inlineStr">
        <is>
          <t>Main OR</t>
        </is>
      </c>
      <c r="J100" t="inlineStr">
        <is>
          <t>OR7</t>
        </is>
      </c>
      <c r="K100" t="inlineStr">
        <is>
          <t>OR7</t>
        </is>
      </c>
      <c r="L100" s="18" t="n">
        <v>46090</v>
      </c>
      <c r="S100" t="inlineStr">
        <is>
          <t>Pass</t>
        </is>
      </c>
      <c r="U100" t="inlineStr">
        <is>
          <t>Anthony, Tim, PVH Staff</t>
        </is>
      </c>
      <c r="V100" t="inlineStr">
        <is>
          <t>WPV109OPR009</t>
        </is>
      </c>
      <c r="W100" t="inlineStr">
        <is>
          <t>medng2425e-3290</t>
        </is>
      </c>
      <c r="X100" t="inlineStr">
        <is>
          <t>PLV-MACH-B</t>
        </is>
      </c>
      <c r="Y100" t="inlineStr">
        <is>
          <t>A0F5097F9552</t>
        </is>
      </c>
      <c r="AB100" t="inlineStr">
        <is>
          <t>WA23C03178</t>
        </is>
      </c>
      <c r="AI100" t="inlineStr">
        <is>
          <t>Anesthesia Machine</t>
        </is>
      </c>
      <c r="AL100" t="inlineStr">
        <is>
          <t>0201597/598 - Good/Bad</t>
        </is>
      </c>
      <c r="AM100" t="inlineStr">
        <is>
          <t>DRAGER</t>
        </is>
      </c>
      <c r="AN100" t="inlineStr">
        <is>
          <t>FABIUS GS PREMIUM</t>
        </is>
      </c>
      <c r="AP100" t="inlineStr">
        <is>
          <t>8607000-37ASBJ-0241</t>
        </is>
      </c>
      <c r="AQ100" t="inlineStr">
        <is>
          <t>8607000-37ASBJ-0241</t>
        </is>
      </c>
      <c r="AS100" t="inlineStr">
        <is>
          <t>B1-CFB-ANES</t>
        </is>
      </c>
      <c r="AT100" t="inlineStr">
        <is>
          <t>B1-CFW-PHILLIPS</t>
        </is>
      </c>
      <c r="AX100" t="inlineStr">
        <is>
          <t>MX750 -233508 -010088483808333221DE776743369086647191866471</t>
        </is>
      </c>
      <c r="BH100" t="n">
        <v>115200</v>
      </c>
      <c r="BI100" t="inlineStr">
        <is>
          <t>9600 - N81</t>
        </is>
      </c>
      <c r="BY100" t="inlineStr">
        <is>
          <t xml:space="preserve">need imrivata push </t>
        </is>
      </c>
      <c r="CD100">
        <f>IF($Y100="","",IF((IF(AND($BR100&lt;&gt;"Yes",$BR100&lt;&gt;"N/A"),"Power Cable, ","")&amp;IF(AND($BS100&lt;&gt;"Yes",$BS100&lt;&gt;"N/A"),"Battery, ","")&amp;IF(AND($AD100&lt;&gt;"Yes",$AD100&lt;&gt;"N/A"),"Firmware Download, ","")&amp;IF(AND(OR($AD100="Yes",$AD100="N/A"),$AE100&lt;&gt;"Yes",$AE100&lt;&gt;"N/A"),"Firmware Install, ","")&amp;IF(AND($CB100&lt;&gt;"Yes",$CB100&lt;&gt;"N/A"),"Device ID, ","")&amp;IF(AND($CC100&lt;&gt;"Yes",$CC100&lt;&gt;"N/A"),"Epic Beans Relay, ",""))="","",LEFT(IF(AND($BR100&lt;&gt;"Yes",$BR100&lt;&gt;"N/A"),"Power Cable, ","")&amp;IF(AND($BS100&lt;&gt;"Yes",$BS100&lt;&gt;"N/A"),"Battery, ","")&amp;IF(AND($AD100&lt;&gt;"Yes",$AD100&lt;&gt;"N/A"),"Firmware Download, ","")&amp;IF(AND(OR($AD100="Yes",$AD100="N/A"),$AE100&lt;&gt;"Yes",$AE100&lt;&gt;"N/A"),"Firmware Install, ","")&amp;IF(AND($CB100&lt;&gt;"Yes",$CB100&lt;&gt;"N/A"),"Device ID, ","")&amp;IF(AND($CC100&lt;&gt;"Yes",$CC100&lt;&gt;"N/A"),"Epic Beans Relay, ",""),LEN(IF(AND($BR100&lt;&gt;"Yes",$BR100&lt;&gt;"N/A"),"Power Cable, ","")&amp;IF(AND($BS100&lt;&gt;"Yes",$BS100&lt;&gt;"N/A"),"Battery, ","")&amp;IF(AND($AD100&lt;&gt;"Yes",$AD100&lt;&gt;"N/A"),"Firmware Download, ","")&amp;IF(AND(OR($AD100="Yes",$AD100="N/A"),$AE100&lt;&gt;"Yes",$AE100&lt;&gt;"N/A"),"Firmware Install, ","")&amp;IF(AND($CB100&lt;&gt;"Yes",$CB100&lt;&gt;"N/A"),"Device ID, ","")&amp;IF(AND($CC100&lt;&gt;"Yes",$CC100&lt;&gt;"N/A"),"Epic Beans Relay, ",""))-2)))</f>
        <v/>
      </c>
      <c r="CE100">
        <f>IF($Y100="","",IF($CD100="","Yes","Blocked"))</f>
        <v/>
      </c>
      <c r="CF100" t="inlineStr">
        <is>
          <t>Yes</t>
        </is>
      </c>
      <c r="CG100" t="inlineStr">
        <is>
          <t>Yes</t>
        </is>
      </c>
      <c r="CH100" t="inlineStr">
        <is>
          <t>Yes</t>
        </is>
      </c>
      <c r="CI100" t="inlineStr">
        <is>
          <t>Yes</t>
        </is>
      </c>
      <c r="CJ100" t="inlineStr">
        <is>
          <t>Yes</t>
        </is>
      </c>
      <c r="CK100" t="inlineStr">
        <is>
          <t>Yes</t>
        </is>
      </c>
      <c r="CL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Q100" t="inlineStr">
        <is>
          <t>Yes</t>
        </is>
      </c>
      <c r="CR100" t="inlineStr">
        <is>
          <t>Yes</t>
        </is>
      </c>
      <c r="CS100" t="inlineStr">
        <is>
          <t>Yes</t>
        </is>
      </c>
      <c r="CW100">
        <f>IF($S100="","",IF(UPPER(TRIM($S100))&lt;&gt;"PASS","",IF(LEN(TRIM($BY100))&gt;0,"NOTES_PRESENT",IF(LEN(TRIM($T100))=0,"SET_NA",IF(OR(LOWER(TRIM($T100))="na",LOWER(TRIM($T100))="n/a"),"OK","MANUAL_OVERRIDE")))))</f>
        <v/>
      </c>
    </row>
    <row r="101">
      <c r="A101" t="inlineStr">
        <is>
          <t>Peripherals</t>
        </is>
      </c>
      <c r="B101" s="51" t="inlineStr">
        <is>
          <t>Yes</t>
        </is>
      </c>
      <c r="C101" t="inlineStr">
        <is>
          <t>Yes</t>
        </is>
      </c>
      <c r="D101">
        <f>IF($B101&lt;&gt;"Yes","",IF($C101="No","Yes",IF($C101="Yes","No","")))</f>
        <v/>
      </c>
      <c r="E101">
        <f>IF($A101="","",IF(OR(AND($V101&lt;&gt;"",LOWER(TRIM($V101))&lt;&gt;"n/a",LOWER(TRIM($V101))&lt;&gt;"na",SUMPRODUCT(--(UPPER(TRIM($V$2:$V$518))=UPPER(TRIM($V101))),--(TRIM($V$2:$V$518)&lt;&gt;""),--(LOWER(TRIM($V$2:$V$518))&lt;&gt;"n/a"),--(LOWER(TRIM($V$2:$V$518))&lt;&gt;"na"))&gt;1),AND($W101&lt;&gt;"",LOWER(TRIM($W101))&lt;&gt;"n/a",LOWER(TRIM($W101))&lt;&gt;"na",SUMPRODUCT(--(UPPER(TRIM($W$2:$W$518))=UPPER(TRIM($W101))),--(TRIM($W$2:$W$518)&lt;&gt;""),--(LOWER(TRIM($W$2:$W$518))&lt;&gt;"n/a"),--(LOWER(TRIM($W$2:$W$518))&lt;&gt;"na"))&gt;1),AND($X101&lt;&gt;"",LOWER(TRIM($X101))&lt;&gt;"n/a",LOWER(TRIM($X101))&lt;&gt;"na",SUMPRODUCT(--(UPPER(TRIM($X$2:$X$518))=UPPER(TRIM($X101))),--(TRIM($X$2:$X$518)&lt;&gt;""),--(LOWER(TRIM($X$2:$X$518))&lt;&gt;"n/a"),--(LOWER(TRIM($X$2:$X$518))&lt;&gt;"na"))&gt;1),AND($Y101&lt;&gt;"",LOWER(TRIM($Y101))&lt;&gt;"n/a",LOWER(TRIM($Y101))&lt;&gt;"na",SUMPRODUCT(--(UPPER(SUBSTITUTE(SUBSTITUTE(TRIM($Y$2:$Y$518),":",""),"-",""))=UPPER(SUBSTITUTE(SUBSTITUTE(TRIM($Y101),":",""),"-",""))),--(TRIM($Y$2:$Y$518)&lt;&gt;""),--(LOWER(TRIM($Y$2:$Y$518))&lt;&gt;"n/a"),--(LOWER(TRIM($Y$2:$Y$518))&lt;&gt;"na"))&gt;1),AND($AB101&lt;&gt;"",LOWER(TRIM($AB101))&lt;&gt;"n/a",LOWER(TRIM($AB101))&lt;&gt;"na",SUMPRODUCT(--(UPPER(TRIM($AB$2:$AB$518))=UPPER(TRIM($AB101))),--(TRIM($AB$2:$AB$518)&lt;&gt;""),--(LOWER(TRIM($AB$2:$AB$518))&lt;&gt;"n/a"),--(LOWER(TRIM($AB$2:$AB$518))&lt;&gt;"na"))&gt;1),AND($AH101&lt;&gt;"",LOWER(TRIM($AH101))&lt;&gt;"n/a",LOWER(TRIM($AH101))&lt;&gt;"na",SUMPRODUCT(--(UPPER(SUBSTITUTE(SUBSTITUTE(TRIM($AH$2:$AH$518),":",""),"-",""))=UPPER(SUBSTITUTE(SUBSTITUTE(TRIM($AH101),":",""),"-",""))),--(TRIM($AH$2:$AH$518)&lt;&gt;""),--(LOWER(TRIM($AH$2:$AH$518))&lt;&gt;"n/a"),--(LOWER(TRIM($AH$2:$AH$518))&lt;&gt;"na"))&gt;1),AND($AP101&lt;&gt;"",LOWER(TRIM($AP101))&lt;&gt;"n/a",LOWER(TRIM($AP101))&lt;&gt;"na",SUMPRODUCT(--(UPPER(TRIM($AP$2:$AP$518))=UPPER(TRIM($AP101))),--(TRIM($AP$2:$AP$518)&lt;&gt;""),--(LOWER(TRIM($AP$2:$AP$518))&lt;&gt;"n/a"),--(LOWER(TRIM($AP$2:$AP$518))&lt;&gt;"na"))&gt;1),AND($AQ101&lt;&gt;"",LOWER(TRIM($AQ101))&lt;&gt;"n/a",LOWER(TRIM($AQ101))&lt;&gt;"na",SUMPRODUCT(--(UPPER(TRIM($AQ$2:$AQ$518))=UPPER(TRIM($AQ101))),--(TRIM($AQ$2:$AQ$518)&lt;&gt;""),--(LOWER(TRIM($AQ$2:$AQ$518))&lt;&gt;"n/a"),--(LOWER(TRIM($AQ$2:$AQ$518))&lt;&gt;"na"))&gt;1)),"Yes","No"))</f>
        <v/>
      </c>
      <c r="F101">
        <f>IF(UPPER(TRIM($B101))&lt;&gt;"YES","", IF(OR(AND($V101&lt;&gt;"", LOWER(TRIM($V101))&lt;&gt;"n/a", LOWER(TRIM($V101))&lt;&gt;"na", SUMPRODUCT(--(UPPER(TRIM($V$2:$V$518))=UPPER(TRIM($V101))), --(UPPER(TRIM($B$2:$B$518))="YES"), --(UPPER(TRIM($G$2:$G$518)&amp;TRIM($I$2:$I$518)&amp;TRIM($J$2:$J$518))&lt;&gt;UPPER(TRIM($G101)&amp;TRIM($I101)&amp;TRIM($J101))))&gt;0), AND($W101&lt;&gt;"", LOWER(TRIM($W101))&lt;&gt;"n/a", LOWER(TRIM($W101))&lt;&gt;"na", SUMPRODUCT(--(UPPER(TRIM($W$2:$W$518))=UPPER(TRIM($W101))), --(UPPER(TRIM($B$2:$B$518))="YES"), --(UPPER(TRIM($G$2:$G$518)&amp;TRIM($I$2:$I$518)&amp;TRIM($J$2:$J$518))&lt;&gt;UPPER(TRIM($G101)&amp;TRIM($I101)&amp;TRIM($J101))))&gt;0), AND($X101&lt;&gt;"", LOWER(TRIM($X101))&lt;&gt;"n/a", LOWER(TRIM($X101))&lt;&gt;"na", SUMPRODUCT(--(UPPER(TRIM($X$2:$X$518))=UPPER(TRIM($X101))), --(UPPER(TRIM($B$2:$B$518))="YES"), --(UPPER(TRIM($G$2:$G$518)&amp;TRIM($I$2:$I$518)&amp;TRIM($J$2:$J$518))&lt;&gt;UPPER(TRIM($G101)&amp;TRIM($I101)&amp;TRIM($J101))))&gt;0), AND($Y101&lt;&gt;"", LOWER(TRIM($Y101))&lt;&gt;"n/a", LOWER(TRIM($Y101))&lt;&gt;"na", SUMPRODUCT(--(UPPER(SUBSTITUTE(SUBSTITUTE(TRIM($Y$2:$Y$518),":",""),"-",""))=UPPER(SUBSTITUTE(SUBSTITUTE(TRIM($Y101),":",""),"-",""))), --(UPPER(TRIM($B$2:$B$518))="YES"), --(UPPER(TRIM($G$2:$G$518)&amp;TRIM($I$2:$I$518)&amp;TRIM($J$2:$J$518))&lt;&gt;UPPER(TRIM($G101)&amp;TRIM($I101)&amp;TRIM($J101))))&gt;0), AND($AB101&lt;&gt;"", LOWER(TRIM($AB101))&lt;&gt;"n/a", LOWER(TRIM($AB101))&lt;&gt;"na", SUMPRODUCT(--(UPPER(TRIM($AB$2:$AB$518))=UPPER(TRIM($AB101))), --(UPPER(TRIM($B$2:$B$518))="YES"), --(UPPER(TRIM($G$2:$G$518)&amp;TRIM($I$2:$I$518)&amp;TRIM($J$2:$J$518))&lt;&gt;UPPER(TRIM($G101)&amp;TRIM($I101)&amp;TRIM($J101))))&gt;0), AND($AH101&lt;&gt;"", LOWER(TRIM($AH101))&lt;&gt;"n/a", LOWER(TRIM($AH101))&lt;&gt;"na", SUMPRODUCT(--(UPPER(SUBSTITUTE(SUBSTITUTE(TRIM($AH$2:$AH$518),":",""),"-",""))=UPPER(SUBSTITUTE(SUBSTITUTE(TRIM($AH101),":",""),"-",""))), --(UPPER(TRIM($B$2:$B$518))="YES"), --(UPPER(TRIM($G$2:$G$518)&amp;TRIM($I$2:$I$518)&amp;TRIM($J$2:$J$518))&lt;&gt;UPPER(TRIM($G101)&amp;TRIM($I101)&amp;TRIM($J101))))&gt;0), AND($AP101&lt;&gt;"", LOWER(TRIM($AP101))&lt;&gt;"n/a", LOWER(TRIM($AP101))&lt;&gt;"na", SUMPRODUCT(--(UPPER(TRIM($AP$2:$AP$518))=UPPER(TRIM($AP101))), --(UPPER(TRIM($B$2:$B$518))="YES"), --(UPPER(TRIM($G$2:$G$518)&amp;TRIM($I$2:$I$518)&amp;TRIM($J$2:$J$518))&lt;&gt;UPPER(TRIM($G101)&amp;TRIM($I101)&amp;TRIM($J101))))&gt;0), AND($AQ101&lt;&gt;"", LOWER(TRIM($AQ101))&lt;&gt;"n/a", LOWER(TRIM($AQ101))&lt;&gt;"na", SUMPRODUCT(--(UPPER(TRIM($AQ$2:$AQ$518))=UPPER(TRIM($AQ101))), --(UPPER(TRIM($B$2:$B$518))="YES"), --(UPPER(TRIM($G$2:$G$518)&amp;TRIM($I$2:$I$518)&amp;TRIM($J$2:$J$518))&lt;&gt;UPPER(TRIM($G101)&amp;TRIM($I101)&amp;TRIM($J101))))&gt;0)), "Yes", "No"))</f>
        <v/>
      </c>
      <c r="G101" t="inlineStr">
        <is>
          <t>PV</t>
        </is>
      </c>
      <c r="H101" t="inlineStr">
        <is>
          <t>PV</t>
        </is>
      </c>
      <c r="I101" t="inlineStr">
        <is>
          <t>Cath Lab</t>
        </is>
      </c>
      <c r="J101" t="inlineStr">
        <is>
          <t>EP Lab</t>
        </is>
      </c>
      <c r="K101" t="inlineStr">
        <is>
          <t>EP Lab</t>
        </is>
      </c>
      <c r="L101" s="18" t="n">
        <v>46090</v>
      </c>
      <c r="S101" t="inlineStr">
        <is>
          <t>Pass</t>
        </is>
      </c>
      <c r="U101" t="inlineStr">
        <is>
          <t>Anthony, Tim, PVH Staff</t>
        </is>
      </c>
      <c r="V101" t="inlineStr">
        <is>
          <t>WPV109OPR004</t>
        </is>
      </c>
      <c r="W101" t="inlineStr">
        <is>
          <t>MEDNG2425E-3357</t>
        </is>
      </c>
      <c r="X101" t="inlineStr">
        <is>
          <t>PLV-HEMO-B</t>
        </is>
      </c>
      <c r="Y101" t="inlineStr">
        <is>
          <t>A0F5097FA3C7</t>
        </is>
      </c>
      <c r="AB101" t="inlineStr">
        <is>
          <t>WA23C03761</t>
        </is>
      </c>
      <c r="AI101" t="inlineStr">
        <is>
          <t>Anesthesia Machine</t>
        </is>
      </c>
      <c r="AM101" t="inlineStr">
        <is>
          <t>DRAGER</t>
        </is>
      </c>
      <c r="AN101" t="inlineStr">
        <is>
          <t>FABIUS GS PREMIUM</t>
        </is>
      </c>
      <c r="AO101" t="inlineStr">
        <is>
          <t>n/a</t>
        </is>
      </c>
      <c r="AP101" t="inlineStr">
        <is>
          <t>01040486750414671122082521ASRJ-0028938607000-78</t>
        </is>
      </c>
      <c r="AQ101" t="inlineStr">
        <is>
          <t>01040486750414671122082521ASRJ-0028938607000-78</t>
        </is>
      </c>
      <c r="AS101" t="inlineStr">
        <is>
          <t>B1-CFB-ANES</t>
        </is>
      </c>
      <c r="AT101" t="inlineStr">
        <is>
          <t>B1-CFW-PHILLIPS</t>
        </is>
      </c>
      <c r="AX101" t="inlineStr">
        <is>
          <t>MX750 - 233308-010088483808333221DE776743209086647191866471</t>
        </is>
      </c>
      <c r="BH101" t="n">
        <v>115200</v>
      </c>
      <c r="BI101" t="inlineStr">
        <is>
          <t>9600 - N81</t>
        </is>
      </c>
      <c r="BY101" t="inlineStr">
        <is>
          <t>need imrivata push / port 175 bad</t>
        </is>
      </c>
      <c r="CD101">
        <f>IF($Y101="","",IF((IF(AND($BR101&lt;&gt;"Yes",$BR101&lt;&gt;"N/A"),"Power Cable, ","")&amp;IF(AND($BS101&lt;&gt;"Yes",$BS101&lt;&gt;"N/A"),"Battery, ","")&amp;IF(AND($AD101&lt;&gt;"Yes",$AD101&lt;&gt;"N/A"),"Firmware Download, ","")&amp;IF(AND(OR($AD101="Yes",$AD101="N/A"),$AE101&lt;&gt;"Yes",$AE101&lt;&gt;"N/A"),"Firmware Install, ","")&amp;IF(AND($CB101&lt;&gt;"Yes",$CB101&lt;&gt;"N/A"),"Device ID, ","")&amp;IF(AND($CC101&lt;&gt;"Yes",$CC101&lt;&gt;"N/A"),"Epic Beans Relay, ",""))="","",LEFT(IF(AND($BR101&lt;&gt;"Yes",$BR101&lt;&gt;"N/A"),"Power Cable, ","")&amp;IF(AND($BS101&lt;&gt;"Yes",$BS101&lt;&gt;"N/A"),"Battery, ","")&amp;IF(AND($AD101&lt;&gt;"Yes",$AD101&lt;&gt;"N/A"),"Firmware Download, ","")&amp;IF(AND(OR($AD101="Yes",$AD101="N/A"),$AE101&lt;&gt;"Yes",$AE101&lt;&gt;"N/A"),"Firmware Install, ","")&amp;IF(AND($CB101&lt;&gt;"Yes",$CB101&lt;&gt;"N/A"),"Device ID, ","")&amp;IF(AND($CC101&lt;&gt;"Yes",$CC101&lt;&gt;"N/A"),"Epic Beans Relay, ",""),LEN(IF(AND($BR101&lt;&gt;"Yes",$BR101&lt;&gt;"N/A"),"Power Cable, ","")&amp;IF(AND($BS101&lt;&gt;"Yes",$BS101&lt;&gt;"N/A"),"Battery, ","")&amp;IF(AND($AD101&lt;&gt;"Yes",$AD101&lt;&gt;"N/A"),"Firmware Download, ","")&amp;IF(AND(OR($AD101="Yes",$AD101="N/A"),$AE101&lt;&gt;"Yes",$AE101&lt;&gt;"N/A"),"Firmware Install, ","")&amp;IF(AND($CB101&lt;&gt;"Yes",$CB101&lt;&gt;"N/A"),"Device ID, ","")&amp;IF(AND($CC101&lt;&gt;"Yes",$CC101&lt;&gt;"N/A"),"Epic Beans Relay, ",""))-2)))</f>
        <v/>
      </c>
      <c r="CE101">
        <f>IF($Y101="","",IF($CD101="","Yes","Blocked"))</f>
        <v/>
      </c>
      <c r="CF101" t="inlineStr">
        <is>
          <t>Yes</t>
        </is>
      </c>
      <c r="CG101" t="inlineStr">
        <is>
          <t>Yes</t>
        </is>
      </c>
      <c r="CH101" t="inlineStr">
        <is>
          <t>Yes</t>
        </is>
      </c>
      <c r="CI101" t="inlineStr">
        <is>
          <t>Yes</t>
        </is>
      </c>
      <c r="CJ101" t="inlineStr">
        <is>
          <t>Yes</t>
        </is>
      </c>
      <c r="CK101" t="inlineStr">
        <is>
          <t>Yes</t>
        </is>
      </c>
      <c r="CL101" t="inlineStr">
        <is>
          <t>Yes</t>
        </is>
      </c>
      <c r="CM101" t="inlineStr">
        <is>
          <t>Yes</t>
        </is>
      </c>
      <c r="CN101" t="inlineStr">
        <is>
          <t>Yes</t>
        </is>
      </c>
      <c r="CO101" t="inlineStr">
        <is>
          <t>Yes</t>
        </is>
      </c>
      <c r="CP101" t="inlineStr">
        <is>
          <t>Yes</t>
        </is>
      </c>
      <c r="CQ101" t="inlineStr">
        <is>
          <t>Yes</t>
        </is>
      </c>
      <c r="CR101" t="inlineStr">
        <is>
          <t>Yes</t>
        </is>
      </c>
      <c r="CS101" t="inlineStr">
        <is>
          <t>Yes</t>
        </is>
      </c>
      <c r="CW101">
        <f>IF($S101="","",IF(UPPER(TRIM($S101))&lt;&gt;"PASS","",IF(LEN(TRIM($BY101))&gt;0,"NOTES_PRESENT",IF(LEN(TRIM($T101))=0,"SET_NA",IF(OR(LOWER(TRIM($T101))="na",LOWER(TRIM($T101))="n/a"),"OK","MANUAL_OVERRIDE")))))</f>
        <v/>
      </c>
    </row>
    <row r="102">
      <c r="A102" t="inlineStr">
        <is>
          <t>Peripherals</t>
        </is>
      </c>
      <c r="B102" s="51" t="inlineStr">
        <is>
          <t>Yes</t>
        </is>
      </c>
      <c r="C102" t="inlineStr">
        <is>
          <t>Yes</t>
        </is>
      </c>
      <c r="D102">
        <f>IF($B102&lt;&gt;"Yes","",IF($C102="No","Yes",IF($C102="Yes","No","")))</f>
        <v/>
      </c>
      <c r="E102">
        <f>IF($A102="","",IF(OR(AND($V102&lt;&gt;"",LOWER(TRIM($V102))&lt;&gt;"n/a",LOWER(TRIM($V102))&lt;&gt;"na",SUMPRODUCT(--(UPPER(TRIM($V$2:$V$518))=UPPER(TRIM($V102))),--(TRIM($V$2:$V$518)&lt;&gt;""),--(LOWER(TRIM($V$2:$V$518))&lt;&gt;"n/a"),--(LOWER(TRIM($V$2:$V$518))&lt;&gt;"na"))&gt;1),AND($W102&lt;&gt;"",LOWER(TRIM($W102))&lt;&gt;"n/a",LOWER(TRIM($W102))&lt;&gt;"na",SUMPRODUCT(--(UPPER(TRIM($W$2:$W$518))=UPPER(TRIM($W102))),--(TRIM($W$2:$W$518)&lt;&gt;""),--(LOWER(TRIM($W$2:$W$518))&lt;&gt;"n/a"),--(LOWER(TRIM($W$2:$W$518))&lt;&gt;"na"))&gt;1),AND($X102&lt;&gt;"",LOWER(TRIM($X102))&lt;&gt;"n/a",LOWER(TRIM($X102))&lt;&gt;"na",SUMPRODUCT(--(UPPER(TRIM($X$2:$X$518))=UPPER(TRIM($X102))),--(TRIM($X$2:$X$518)&lt;&gt;""),--(LOWER(TRIM($X$2:$X$518))&lt;&gt;"n/a"),--(LOWER(TRIM($X$2:$X$518))&lt;&gt;"na"))&gt;1),AND($Y102&lt;&gt;"",LOWER(TRIM($Y102))&lt;&gt;"n/a",LOWER(TRIM($Y102))&lt;&gt;"na",SUMPRODUCT(--(UPPER(SUBSTITUTE(SUBSTITUTE(TRIM($Y$2:$Y$518),":",""),"-",""))=UPPER(SUBSTITUTE(SUBSTITUTE(TRIM($Y102),":",""),"-",""))),--(TRIM($Y$2:$Y$518)&lt;&gt;""),--(LOWER(TRIM($Y$2:$Y$518))&lt;&gt;"n/a"),--(LOWER(TRIM($Y$2:$Y$518))&lt;&gt;"na"))&gt;1),AND($AB102&lt;&gt;"",LOWER(TRIM($AB102))&lt;&gt;"n/a",LOWER(TRIM($AB102))&lt;&gt;"na",SUMPRODUCT(--(UPPER(TRIM($AB$2:$AB$518))=UPPER(TRIM($AB102))),--(TRIM($AB$2:$AB$518)&lt;&gt;""),--(LOWER(TRIM($AB$2:$AB$518))&lt;&gt;"n/a"),--(LOWER(TRIM($AB$2:$AB$518))&lt;&gt;"na"))&gt;1),AND($AH102&lt;&gt;"",LOWER(TRIM($AH102))&lt;&gt;"n/a",LOWER(TRIM($AH102))&lt;&gt;"na",SUMPRODUCT(--(UPPER(SUBSTITUTE(SUBSTITUTE(TRIM($AH$2:$AH$518),":",""),"-",""))=UPPER(SUBSTITUTE(SUBSTITUTE(TRIM($AH102),":",""),"-",""))),--(TRIM($AH$2:$AH$518)&lt;&gt;""),--(LOWER(TRIM($AH$2:$AH$518))&lt;&gt;"n/a"),--(LOWER(TRIM($AH$2:$AH$518))&lt;&gt;"na"))&gt;1),AND($AP102&lt;&gt;"",LOWER(TRIM($AP102))&lt;&gt;"n/a",LOWER(TRIM($AP102))&lt;&gt;"na",SUMPRODUCT(--(UPPER(TRIM($AP$2:$AP$518))=UPPER(TRIM($AP102))),--(TRIM($AP$2:$AP$518)&lt;&gt;""),--(LOWER(TRIM($AP$2:$AP$518))&lt;&gt;"n/a"),--(LOWER(TRIM($AP$2:$AP$518))&lt;&gt;"na"))&gt;1),AND($AQ102&lt;&gt;"",LOWER(TRIM($AQ102))&lt;&gt;"n/a",LOWER(TRIM($AQ102))&lt;&gt;"na",SUMPRODUCT(--(UPPER(TRIM($AQ$2:$AQ$518))=UPPER(TRIM($AQ102))),--(TRIM($AQ$2:$AQ$518)&lt;&gt;""),--(LOWER(TRIM($AQ$2:$AQ$518))&lt;&gt;"n/a"),--(LOWER(TRIM($AQ$2:$AQ$518))&lt;&gt;"na"))&gt;1)),"Yes","No"))</f>
        <v/>
      </c>
      <c r="F102">
        <f>IF(UPPER(TRIM($B102))&lt;&gt;"YES","", IF(OR(AND($V102&lt;&gt;"", LOWER(TRIM($V102))&lt;&gt;"n/a", LOWER(TRIM($V102))&lt;&gt;"na", SUMPRODUCT(--(UPPER(TRIM($V$2:$V$518))=UPPER(TRIM($V102))), --(UPPER(TRIM($B$2:$B$518))="YES"), --(UPPER(TRIM($G$2:$G$518)&amp;TRIM($I$2:$I$518)&amp;TRIM($J$2:$J$518))&lt;&gt;UPPER(TRIM($G102)&amp;TRIM($I102)&amp;TRIM($J102))))&gt;0), AND($W102&lt;&gt;"", LOWER(TRIM($W102))&lt;&gt;"n/a", LOWER(TRIM($W102))&lt;&gt;"na", SUMPRODUCT(--(UPPER(TRIM($W$2:$W$518))=UPPER(TRIM($W102))), --(UPPER(TRIM($B$2:$B$518))="YES"), --(UPPER(TRIM($G$2:$G$518)&amp;TRIM($I$2:$I$518)&amp;TRIM($J$2:$J$518))&lt;&gt;UPPER(TRIM($G102)&amp;TRIM($I102)&amp;TRIM($J102))))&gt;0), AND($X102&lt;&gt;"", LOWER(TRIM($X102))&lt;&gt;"n/a", LOWER(TRIM($X102))&lt;&gt;"na", SUMPRODUCT(--(UPPER(TRIM($X$2:$X$518))=UPPER(TRIM($X102))), --(UPPER(TRIM($B$2:$B$518))="YES"), --(UPPER(TRIM($G$2:$G$518)&amp;TRIM($I$2:$I$518)&amp;TRIM($J$2:$J$518))&lt;&gt;UPPER(TRIM($G102)&amp;TRIM($I102)&amp;TRIM($J102))))&gt;0), AND($Y102&lt;&gt;"", LOWER(TRIM($Y102))&lt;&gt;"n/a", LOWER(TRIM($Y102))&lt;&gt;"na", SUMPRODUCT(--(UPPER(SUBSTITUTE(SUBSTITUTE(TRIM($Y$2:$Y$518),":",""),"-",""))=UPPER(SUBSTITUTE(SUBSTITUTE(TRIM($Y102),":",""),"-",""))), --(UPPER(TRIM($B$2:$B$518))="YES"), --(UPPER(TRIM($G$2:$G$518)&amp;TRIM($I$2:$I$518)&amp;TRIM($J$2:$J$518))&lt;&gt;UPPER(TRIM($G102)&amp;TRIM($I102)&amp;TRIM($J102))))&gt;0), AND($AB102&lt;&gt;"", LOWER(TRIM($AB102))&lt;&gt;"n/a", LOWER(TRIM($AB102))&lt;&gt;"na", SUMPRODUCT(--(UPPER(TRIM($AB$2:$AB$518))=UPPER(TRIM($AB102))), --(UPPER(TRIM($B$2:$B$518))="YES"), --(UPPER(TRIM($G$2:$G$518)&amp;TRIM($I$2:$I$518)&amp;TRIM($J$2:$J$518))&lt;&gt;UPPER(TRIM($G102)&amp;TRIM($I102)&amp;TRIM($J102))))&gt;0), AND($AH102&lt;&gt;"", LOWER(TRIM($AH102))&lt;&gt;"n/a", LOWER(TRIM($AH102))&lt;&gt;"na", SUMPRODUCT(--(UPPER(SUBSTITUTE(SUBSTITUTE(TRIM($AH$2:$AH$518),":",""),"-",""))=UPPER(SUBSTITUTE(SUBSTITUTE(TRIM($AH102),":",""),"-",""))), --(UPPER(TRIM($B$2:$B$518))="YES"), --(UPPER(TRIM($G$2:$G$518)&amp;TRIM($I$2:$I$518)&amp;TRIM($J$2:$J$518))&lt;&gt;UPPER(TRIM($G102)&amp;TRIM($I102)&amp;TRIM($J102))))&gt;0), AND($AP102&lt;&gt;"", LOWER(TRIM($AP102))&lt;&gt;"n/a", LOWER(TRIM($AP102))&lt;&gt;"na", SUMPRODUCT(--(UPPER(TRIM($AP$2:$AP$518))=UPPER(TRIM($AP102))), --(UPPER(TRIM($B$2:$B$518))="YES"), --(UPPER(TRIM($G$2:$G$518)&amp;TRIM($I$2:$I$518)&amp;TRIM($J$2:$J$518))&lt;&gt;UPPER(TRIM($G102)&amp;TRIM($I102)&amp;TRIM($J102))))&gt;0), AND($AQ102&lt;&gt;"", LOWER(TRIM($AQ102))&lt;&gt;"n/a", LOWER(TRIM($AQ102))&lt;&gt;"na", SUMPRODUCT(--(UPPER(TRIM($AQ$2:$AQ$518))=UPPER(TRIM($AQ102))), --(UPPER(TRIM($B$2:$B$518))="YES"), --(UPPER(TRIM($G$2:$G$518)&amp;TRIM($I$2:$I$518)&amp;TRIM($J$2:$J$518))&lt;&gt;UPPER(TRIM($G102)&amp;TRIM($I102)&amp;TRIM($J102))))&gt;0)), "Yes", "No"))</f>
        <v/>
      </c>
      <c r="G102" t="inlineStr">
        <is>
          <t>PV</t>
        </is>
      </c>
      <c r="H102" t="inlineStr">
        <is>
          <t>PV</t>
        </is>
      </c>
      <c r="I102" t="inlineStr">
        <is>
          <t>Spare Room</t>
        </is>
      </c>
      <c r="J102" t="inlineStr">
        <is>
          <t>Spare Room</t>
        </is>
      </c>
      <c r="K102" t="inlineStr">
        <is>
          <t>Spare Room</t>
        </is>
      </c>
      <c r="L102" s="18" t="n">
        <v>46090</v>
      </c>
      <c r="S102" t="inlineStr">
        <is>
          <t>Pass</t>
        </is>
      </c>
      <c r="U102" t="inlineStr">
        <is>
          <t>Anthony, Tim, PVH Staff</t>
        </is>
      </c>
      <c r="V102" t="inlineStr">
        <is>
          <t>WPV109OPR005</t>
        </is>
      </c>
      <c r="W102" t="inlineStr">
        <is>
          <t>MEDNG2425E-3093</t>
        </is>
      </c>
      <c r="X102" t="inlineStr">
        <is>
          <t>PLV-MACH-I</t>
        </is>
      </c>
      <c r="Y102" t="inlineStr">
        <is>
          <t>A0F5097F968C</t>
        </is>
      </c>
      <c r="AB102" t="inlineStr">
        <is>
          <t>WA23C03121</t>
        </is>
      </c>
      <c r="AI102" t="inlineStr">
        <is>
          <t>Anesthesia Machine</t>
        </is>
      </c>
      <c r="AL102" t="inlineStr">
        <is>
          <t>0201607/608</t>
        </is>
      </c>
      <c r="AM102" t="inlineStr">
        <is>
          <t>DRAGER</t>
        </is>
      </c>
      <c r="AN102" t="inlineStr">
        <is>
          <t>FABIUS GS PREMIUM</t>
        </is>
      </c>
      <c r="AP102" t="inlineStr">
        <is>
          <t>010088483808333221DE776743469086647191866471</t>
        </is>
      </c>
      <c r="AQ102" t="inlineStr">
        <is>
          <t>010088483808333221DE776743469086647191866471</t>
        </is>
      </c>
      <c r="AS102" t="inlineStr">
        <is>
          <t>B1-CFB-ANES</t>
        </is>
      </c>
      <c r="AT102" t="inlineStr">
        <is>
          <t>B1-CFW-PHILLIPS</t>
        </is>
      </c>
      <c r="AX102" t="inlineStr">
        <is>
          <t>MX750 - 233509 - 010088483808333221DE776743469086647191866471</t>
        </is>
      </c>
      <c r="BH102" t="n">
        <v>115200</v>
      </c>
      <c r="BI102" t="inlineStr">
        <is>
          <t>9600 - N81</t>
        </is>
      </c>
      <c r="CD102">
        <f>IF($Y102="","",IF((IF(AND($BR102&lt;&gt;"Yes",$BR102&lt;&gt;"N/A"),"Power Cable, ","")&amp;IF(AND($BS102&lt;&gt;"Yes",$BS102&lt;&gt;"N/A"),"Battery, ","")&amp;IF(AND($AD102&lt;&gt;"Yes",$AD102&lt;&gt;"N/A"),"Firmware Download, ","")&amp;IF(AND(OR($AD102="Yes",$AD102="N/A"),$AE102&lt;&gt;"Yes",$AE102&lt;&gt;"N/A"),"Firmware Install, ","")&amp;IF(AND($CB102&lt;&gt;"Yes",$CB102&lt;&gt;"N/A"),"Device ID, ","")&amp;IF(AND($CC102&lt;&gt;"Yes",$CC102&lt;&gt;"N/A"),"Epic Beans Relay, ",""))="","",LEFT(IF(AND($BR102&lt;&gt;"Yes",$BR102&lt;&gt;"N/A"),"Power Cable, ","")&amp;IF(AND($BS102&lt;&gt;"Yes",$BS102&lt;&gt;"N/A"),"Battery, ","")&amp;IF(AND($AD102&lt;&gt;"Yes",$AD102&lt;&gt;"N/A"),"Firmware Download, ","")&amp;IF(AND(OR($AD102="Yes",$AD102="N/A"),$AE102&lt;&gt;"Yes",$AE102&lt;&gt;"N/A"),"Firmware Install, ","")&amp;IF(AND($CB102&lt;&gt;"Yes",$CB102&lt;&gt;"N/A"),"Device ID, ","")&amp;IF(AND($CC102&lt;&gt;"Yes",$CC102&lt;&gt;"N/A"),"Epic Beans Relay, ",""),LEN(IF(AND($BR102&lt;&gt;"Yes",$BR102&lt;&gt;"N/A"),"Power Cable, ","")&amp;IF(AND($BS102&lt;&gt;"Yes",$BS102&lt;&gt;"N/A"),"Battery, ","")&amp;IF(AND($AD102&lt;&gt;"Yes",$AD102&lt;&gt;"N/A"),"Firmware Download, ","")&amp;IF(AND(OR($AD102="Yes",$AD102="N/A"),$AE102&lt;&gt;"Yes",$AE102&lt;&gt;"N/A"),"Firmware Install, ","")&amp;IF(AND($CB102&lt;&gt;"Yes",$CB102&lt;&gt;"N/A"),"Device ID, ","")&amp;IF(AND($CC102&lt;&gt;"Yes",$CC102&lt;&gt;"N/A"),"Epic Beans Relay, ",""))-2)))</f>
        <v/>
      </c>
      <c r="CE102">
        <f>IF($Y102="","",IF($CD102="","Yes","Blocked"))</f>
        <v/>
      </c>
      <c r="CF102" t="inlineStr">
        <is>
          <t>Yes</t>
        </is>
      </c>
      <c r="CG102" t="inlineStr">
        <is>
          <t>Yes</t>
        </is>
      </c>
      <c r="CH102" t="inlineStr">
        <is>
          <t>Yes</t>
        </is>
      </c>
      <c r="CI102" t="inlineStr">
        <is>
          <t>Yes</t>
        </is>
      </c>
      <c r="CJ102" t="inlineStr">
        <is>
          <t>Yes</t>
        </is>
      </c>
      <c r="CK102" t="inlineStr">
        <is>
          <t>Yes</t>
        </is>
      </c>
      <c r="CL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CQ102" t="inlineStr">
        <is>
          <t>Yes</t>
        </is>
      </c>
      <c r="CR102" t="inlineStr">
        <is>
          <t>Yes</t>
        </is>
      </c>
      <c r="CS102" t="inlineStr">
        <is>
          <t>Yes</t>
        </is>
      </c>
      <c r="CW102">
        <f>IF($S102="","",IF(UPPER(TRIM($S102))&lt;&gt;"PASS","",IF(LEN(TRIM($BY102))&gt;0,"NOTES_PRESENT",IF(LEN(TRIM($T102))=0,"SET_NA",IF(OR(LOWER(TRIM($T102))="na",LOWER(TRIM($T102))="n/a"),"OK","MANUAL_OVERRIDE")))))</f>
        <v/>
      </c>
    </row>
    <row r="103">
      <c r="A103" t="inlineStr">
        <is>
          <t>Peripherals</t>
        </is>
      </c>
      <c r="B103" s="51" t="inlineStr">
        <is>
          <t>Yes</t>
        </is>
      </c>
      <c r="C103" t="inlineStr">
        <is>
          <t>Yes</t>
        </is>
      </c>
      <c r="D103">
        <f>IF($B103&lt;&gt;"Yes","",IF($C103="No","Yes",IF($C103="Yes","No","")))</f>
        <v/>
      </c>
      <c r="E103">
        <f>IF($A103="","",IF(OR(AND($V103&lt;&gt;"",LOWER(TRIM($V103))&lt;&gt;"n/a",LOWER(TRIM($V103))&lt;&gt;"na",SUMPRODUCT(--(UPPER(TRIM($V$2:$V$518))=UPPER(TRIM($V103))),--(TRIM($V$2:$V$518)&lt;&gt;""),--(LOWER(TRIM($V$2:$V$518))&lt;&gt;"n/a"),--(LOWER(TRIM($V$2:$V$518))&lt;&gt;"na"))&gt;1),AND($W103&lt;&gt;"",LOWER(TRIM($W103))&lt;&gt;"n/a",LOWER(TRIM($W103))&lt;&gt;"na",SUMPRODUCT(--(UPPER(TRIM($W$2:$W$518))=UPPER(TRIM($W103))),--(TRIM($W$2:$W$518)&lt;&gt;""),--(LOWER(TRIM($W$2:$W$518))&lt;&gt;"n/a"),--(LOWER(TRIM($W$2:$W$518))&lt;&gt;"na"))&gt;1),AND($X103&lt;&gt;"",LOWER(TRIM($X103))&lt;&gt;"n/a",LOWER(TRIM($X103))&lt;&gt;"na",SUMPRODUCT(--(UPPER(TRIM($X$2:$X$518))=UPPER(TRIM($X103))),--(TRIM($X$2:$X$518)&lt;&gt;""),--(LOWER(TRIM($X$2:$X$518))&lt;&gt;"n/a"),--(LOWER(TRIM($X$2:$X$518))&lt;&gt;"na"))&gt;1),AND($Y103&lt;&gt;"",LOWER(TRIM($Y103))&lt;&gt;"n/a",LOWER(TRIM($Y103))&lt;&gt;"na",SUMPRODUCT(--(UPPER(SUBSTITUTE(SUBSTITUTE(TRIM($Y$2:$Y$518),":",""),"-",""))=UPPER(SUBSTITUTE(SUBSTITUTE(TRIM($Y103),":",""),"-",""))),--(TRIM($Y$2:$Y$518)&lt;&gt;""),--(LOWER(TRIM($Y$2:$Y$518))&lt;&gt;"n/a"),--(LOWER(TRIM($Y$2:$Y$518))&lt;&gt;"na"))&gt;1),AND($AB103&lt;&gt;"",LOWER(TRIM($AB103))&lt;&gt;"n/a",LOWER(TRIM($AB103))&lt;&gt;"na",SUMPRODUCT(--(UPPER(TRIM($AB$2:$AB$518))=UPPER(TRIM($AB103))),--(TRIM($AB$2:$AB$518)&lt;&gt;""),--(LOWER(TRIM($AB$2:$AB$518))&lt;&gt;"n/a"),--(LOWER(TRIM($AB$2:$AB$518))&lt;&gt;"na"))&gt;1),AND($AH103&lt;&gt;"",LOWER(TRIM($AH103))&lt;&gt;"n/a",LOWER(TRIM($AH103))&lt;&gt;"na",SUMPRODUCT(--(UPPER(SUBSTITUTE(SUBSTITUTE(TRIM($AH$2:$AH$518),":",""),"-",""))=UPPER(SUBSTITUTE(SUBSTITUTE(TRIM($AH103),":",""),"-",""))),--(TRIM($AH$2:$AH$518)&lt;&gt;""),--(LOWER(TRIM($AH$2:$AH$518))&lt;&gt;"n/a"),--(LOWER(TRIM($AH$2:$AH$518))&lt;&gt;"na"))&gt;1),AND($AP103&lt;&gt;"",LOWER(TRIM($AP103))&lt;&gt;"n/a",LOWER(TRIM($AP103))&lt;&gt;"na",SUMPRODUCT(--(UPPER(TRIM($AP$2:$AP$518))=UPPER(TRIM($AP103))),--(TRIM($AP$2:$AP$518)&lt;&gt;""),--(LOWER(TRIM($AP$2:$AP$518))&lt;&gt;"n/a"),--(LOWER(TRIM($AP$2:$AP$518))&lt;&gt;"na"))&gt;1),AND($AQ103&lt;&gt;"",LOWER(TRIM($AQ103))&lt;&gt;"n/a",LOWER(TRIM($AQ103))&lt;&gt;"na",SUMPRODUCT(--(UPPER(TRIM($AQ$2:$AQ$518))=UPPER(TRIM($AQ103))),--(TRIM($AQ$2:$AQ$518)&lt;&gt;""),--(LOWER(TRIM($AQ$2:$AQ$518))&lt;&gt;"n/a"),--(LOWER(TRIM($AQ$2:$AQ$518))&lt;&gt;"na"))&gt;1)),"Yes","No"))</f>
        <v/>
      </c>
      <c r="F103">
        <f>IF(UPPER(TRIM($B103))&lt;&gt;"YES","", IF(OR(AND($V103&lt;&gt;"", LOWER(TRIM($V103))&lt;&gt;"n/a", LOWER(TRIM($V103))&lt;&gt;"na", SUMPRODUCT(--(UPPER(TRIM($V$2:$V$518))=UPPER(TRIM($V103))), --(UPPER(TRIM($B$2:$B$518))="YES"), --(UPPER(TRIM($G$2:$G$518)&amp;TRIM($I$2:$I$518)&amp;TRIM($J$2:$J$518))&lt;&gt;UPPER(TRIM($G103)&amp;TRIM($I103)&amp;TRIM($J103))))&gt;0), AND($W103&lt;&gt;"", LOWER(TRIM($W103))&lt;&gt;"n/a", LOWER(TRIM($W103))&lt;&gt;"na", SUMPRODUCT(--(UPPER(TRIM($W$2:$W$518))=UPPER(TRIM($W103))), --(UPPER(TRIM($B$2:$B$518))="YES"), --(UPPER(TRIM($G$2:$G$518)&amp;TRIM($I$2:$I$518)&amp;TRIM($J$2:$J$518))&lt;&gt;UPPER(TRIM($G103)&amp;TRIM($I103)&amp;TRIM($J103))))&gt;0), AND($X103&lt;&gt;"", LOWER(TRIM($X103))&lt;&gt;"n/a", LOWER(TRIM($X103))&lt;&gt;"na", SUMPRODUCT(--(UPPER(TRIM($X$2:$X$518))=UPPER(TRIM($X103))), --(UPPER(TRIM($B$2:$B$518))="YES"), --(UPPER(TRIM($G$2:$G$518)&amp;TRIM($I$2:$I$518)&amp;TRIM($J$2:$J$518))&lt;&gt;UPPER(TRIM($G103)&amp;TRIM($I103)&amp;TRIM($J103))))&gt;0), AND($Y103&lt;&gt;"", LOWER(TRIM($Y103))&lt;&gt;"n/a", LOWER(TRIM($Y103))&lt;&gt;"na", SUMPRODUCT(--(UPPER(SUBSTITUTE(SUBSTITUTE(TRIM($Y$2:$Y$518),":",""),"-",""))=UPPER(SUBSTITUTE(SUBSTITUTE(TRIM($Y103),":",""),"-",""))), --(UPPER(TRIM($B$2:$B$518))="YES"), --(UPPER(TRIM($G$2:$G$518)&amp;TRIM($I$2:$I$518)&amp;TRIM($J$2:$J$518))&lt;&gt;UPPER(TRIM($G103)&amp;TRIM($I103)&amp;TRIM($J103))))&gt;0), AND($AB103&lt;&gt;"", LOWER(TRIM($AB103))&lt;&gt;"n/a", LOWER(TRIM($AB103))&lt;&gt;"na", SUMPRODUCT(--(UPPER(TRIM($AB$2:$AB$518))=UPPER(TRIM($AB103))), --(UPPER(TRIM($B$2:$B$518))="YES"), --(UPPER(TRIM($G$2:$G$518)&amp;TRIM($I$2:$I$518)&amp;TRIM($J$2:$J$518))&lt;&gt;UPPER(TRIM($G103)&amp;TRIM($I103)&amp;TRIM($J103))))&gt;0), AND($AH103&lt;&gt;"", LOWER(TRIM($AH103))&lt;&gt;"n/a", LOWER(TRIM($AH103))&lt;&gt;"na", SUMPRODUCT(--(UPPER(SUBSTITUTE(SUBSTITUTE(TRIM($AH$2:$AH$518),":",""),"-",""))=UPPER(SUBSTITUTE(SUBSTITUTE(TRIM($AH103),":",""),"-",""))), --(UPPER(TRIM($B$2:$B$518))="YES"), --(UPPER(TRIM($G$2:$G$518)&amp;TRIM($I$2:$I$518)&amp;TRIM($J$2:$J$518))&lt;&gt;UPPER(TRIM($G103)&amp;TRIM($I103)&amp;TRIM($J103))))&gt;0), AND($AP103&lt;&gt;"", LOWER(TRIM($AP103))&lt;&gt;"n/a", LOWER(TRIM($AP103))&lt;&gt;"na", SUMPRODUCT(--(UPPER(TRIM($AP$2:$AP$518))=UPPER(TRIM($AP103))), --(UPPER(TRIM($B$2:$B$518))="YES"), --(UPPER(TRIM($G$2:$G$518)&amp;TRIM($I$2:$I$518)&amp;TRIM($J$2:$J$518))&lt;&gt;UPPER(TRIM($G103)&amp;TRIM($I103)&amp;TRIM($J103))))&gt;0), AND($AQ103&lt;&gt;"", LOWER(TRIM($AQ103))&lt;&gt;"n/a", LOWER(TRIM($AQ103))&lt;&gt;"na", SUMPRODUCT(--(UPPER(TRIM($AQ$2:$AQ$518))=UPPER(TRIM($AQ103))), --(UPPER(TRIM($B$2:$B$518))="YES"), --(UPPER(TRIM($G$2:$G$518)&amp;TRIM($I$2:$I$518)&amp;TRIM($J$2:$J$518))&lt;&gt;UPPER(TRIM($G103)&amp;TRIM($I103)&amp;TRIM($J103))))&gt;0)), "Yes", "No"))</f>
        <v/>
      </c>
      <c r="G103" t="inlineStr">
        <is>
          <t>PV</t>
        </is>
      </c>
      <c r="H103" t="inlineStr">
        <is>
          <t>PV</t>
        </is>
      </c>
      <c r="I103" t="inlineStr">
        <is>
          <t>Main OR</t>
        </is>
      </c>
      <c r="J103" t="inlineStr">
        <is>
          <t>OR 3</t>
        </is>
      </c>
      <c r="K103" t="inlineStr">
        <is>
          <t>OR 3</t>
        </is>
      </c>
      <c r="L103" s="18" t="n">
        <v>46090</v>
      </c>
      <c r="S103" t="inlineStr">
        <is>
          <t>Pass</t>
        </is>
      </c>
      <c r="U103" t="inlineStr">
        <is>
          <t>Anthony, Tim, PVH Staff</t>
        </is>
      </c>
      <c r="V103" t="inlineStr">
        <is>
          <t>WPV109OPR001</t>
        </is>
      </c>
      <c r="W103" t="inlineStr">
        <is>
          <t>medng2425e-3297</t>
        </is>
      </c>
      <c r="X103" t="inlineStr">
        <is>
          <t>PLV-MACH-K</t>
        </is>
      </c>
      <c r="Y103" t="inlineStr">
        <is>
          <t>A0F5097F9537</t>
        </is>
      </c>
      <c r="AB103" t="inlineStr">
        <is>
          <t>WA23C03119</t>
        </is>
      </c>
      <c r="AI103" t="inlineStr">
        <is>
          <t>Anesthesia Machine</t>
        </is>
      </c>
      <c r="AL103" t="inlineStr">
        <is>
          <t>0201605/606</t>
        </is>
      </c>
      <c r="AM103" t="inlineStr">
        <is>
          <t>DRAGER</t>
        </is>
      </c>
      <c r="AN103" t="inlineStr">
        <is>
          <t>FABIUS GS PREMIUM</t>
        </is>
      </c>
      <c r="AP103" t="inlineStr">
        <is>
          <t>8607000-19ARZE-0024</t>
        </is>
      </c>
      <c r="AQ103" t="inlineStr">
        <is>
          <t>8607000-19ARZE-0024</t>
        </is>
      </c>
      <c r="AS103" t="inlineStr">
        <is>
          <t>B1-CFB-ANES</t>
        </is>
      </c>
      <c r="AT103" t="inlineStr">
        <is>
          <t>B1-CFW-PHILLIPS</t>
        </is>
      </c>
      <c r="AX103" t="inlineStr">
        <is>
          <t>MX750 - 233504 - 010088483808333221DE776743069086647191866471</t>
        </is>
      </c>
      <c r="BH103" t="n">
        <v>115200</v>
      </c>
      <c r="BI103" t="inlineStr">
        <is>
          <t>9600 - N81</t>
        </is>
      </c>
      <c r="CD103">
        <f>IF($Y103="","",IF((IF(AND($BR103&lt;&gt;"Yes",$BR103&lt;&gt;"N/A"),"Power Cable, ","")&amp;IF(AND($BS103&lt;&gt;"Yes",$BS103&lt;&gt;"N/A"),"Battery, ","")&amp;IF(AND($AD103&lt;&gt;"Yes",$AD103&lt;&gt;"N/A"),"Firmware Download, ","")&amp;IF(AND(OR($AD103="Yes",$AD103="N/A"),$AE103&lt;&gt;"Yes",$AE103&lt;&gt;"N/A"),"Firmware Install, ","")&amp;IF(AND($CB103&lt;&gt;"Yes",$CB103&lt;&gt;"N/A"),"Device ID, ","")&amp;IF(AND($CC103&lt;&gt;"Yes",$CC103&lt;&gt;"N/A"),"Epic Beans Relay, ",""))="","",LEFT(IF(AND($BR103&lt;&gt;"Yes",$BR103&lt;&gt;"N/A"),"Power Cable, ","")&amp;IF(AND($BS103&lt;&gt;"Yes",$BS103&lt;&gt;"N/A"),"Battery, ","")&amp;IF(AND($AD103&lt;&gt;"Yes",$AD103&lt;&gt;"N/A"),"Firmware Download, ","")&amp;IF(AND(OR($AD103="Yes",$AD103="N/A"),$AE103&lt;&gt;"Yes",$AE103&lt;&gt;"N/A"),"Firmware Install, ","")&amp;IF(AND($CB103&lt;&gt;"Yes",$CB103&lt;&gt;"N/A"),"Device ID, ","")&amp;IF(AND($CC103&lt;&gt;"Yes",$CC103&lt;&gt;"N/A"),"Epic Beans Relay, ",""),LEN(IF(AND($BR103&lt;&gt;"Yes",$BR103&lt;&gt;"N/A"),"Power Cable, ","")&amp;IF(AND($BS103&lt;&gt;"Yes",$BS103&lt;&gt;"N/A"),"Battery, ","")&amp;IF(AND($AD103&lt;&gt;"Yes",$AD103&lt;&gt;"N/A"),"Firmware Download, ","")&amp;IF(AND(OR($AD103="Yes",$AD103="N/A"),$AE103&lt;&gt;"Yes",$AE103&lt;&gt;"N/A"),"Firmware Install, ","")&amp;IF(AND($CB103&lt;&gt;"Yes",$CB103&lt;&gt;"N/A"),"Device ID, ","")&amp;IF(AND($CC103&lt;&gt;"Yes",$CC103&lt;&gt;"N/A"),"Epic Beans Relay, ",""))-2)))</f>
        <v/>
      </c>
      <c r="CE103">
        <f>IF($Y103="","",IF($CD103="","Yes","Blocked"))</f>
        <v/>
      </c>
      <c r="CF103" t="inlineStr">
        <is>
          <t>Yes</t>
        </is>
      </c>
      <c r="CG103" t="inlineStr">
        <is>
          <t>Yes</t>
        </is>
      </c>
      <c r="CH103" t="inlineStr">
        <is>
          <t>Yes</t>
        </is>
      </c>
      <c r="CI103" t="inlineStr">
        <is>
          <t>Yes</t>
        </is>
      </c>
      <c r="CJ103" t="inlineStr">
        <is>
          <t>Yes</t>
        </is>
      </c>
      <c r="CK103" t="inlineStr">
        <is>
          <t>Yes</t>
        </is>
      </c>
      <c r="CL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Q103" t="inlineStr">
        <is>
          <t>Yes</t>
        </is>
      </c>
      <c r="CR103" t="inlineStr">
        <is>
          <t>Yes</t>
        </is>
      </c>
      <c r="CS103" t="inlineStr">
        <is>
          <t>Yes</t>
        </is>
      </c>
      <c r="CW103">
        <f>IF($S103="","",IF(UPPER(TRIM($S103))&lt;&gt;"PASS","",IF(LEN(TRIM($BY103))&gt;0,"NOTES_PRESENT",IF(LEN(TRIM($T103))=0,"SET_NA",IF(OR(LOWER(TRIM($T103))="na",LOWER(TRIM($T103))="n/a"),"OK","MANUAL_OVERRIDE")))))</f>
        <v/>
      </c>
    </row>
    <row r="104">
      <c r="A104" t="inlineStr">
        <is>
          <t>Peripherals</t>
        </is>
      </c>
      <c r="B104" s="51" t="inlineStr">
        <is>
          <t>Yes</t>
        </is>
      </c>
      <c r="C104" t="inlineStr">
        <is>
          <t>Yes</t>
        </is>
      </c>
      <c r="D104">
        <f>IF($B104&lt;&gt;"Yes","",IF($C104="No","Yes",IF($C104="Yes","No","")))</f>
        <v/>
      </c>
      <c r="E104">
        <f>IF($A104="","",IF(OR(AND($V104&lt;&gt;"",LOWER(TRIM($V104))&lt;&gt;"n/a",LOWER(TRIM($V104))&lt;&gt;"na",SUMPRODUCT(--(UPPER(TRIM($V$2:$V$518))=UPPER(TRIM($V104))),--(TRIM($V$2:$V$518)&lt;&gt;""),--(LOWER(TRIM($V$2:$V$518))&lt;&gt;"n/a"),--(LOWER(TRIM($V$2:$V$518))&lt;&gt;"na"))&gt;1),AND($W104&lt;&gt;"",LOWER(TRIM($W104))&lt;&gt;"n/a",LOWER(TRIM($W104))&lt;&gt;"na",SUMPRODUCT(--(UPPER(TRIM($W$2:$W$518))=UPPER(TRIM($W104))),--(TRIM($W$2:$W$518)&lt;&gt;""),--(LOWER(TRIM($W$2:$W$518))&lt;&gt;"n/a"),--(LOWER(TRIM($W$2:$W$518))&lt;&gt;"na"))&gt;1),AND($X104&lt;&gt;"",LOWER(TRIM($X104))&lt;&gt;"n/a",LOWER(TRIM($X104))&lt;&gt;"na",SUMPRODUCT(--(UPPER(TRIM($X$2:$X$518))=UPPER(TRIM($X104))),--(TRIM($X$2:$X$518)&lt;&gt;""),--(LOWER(TRIM($X$2:$X$518))&lt;&gt;"n/a"),--(LOWER(TRIM($X$2:$X$518))&lt;&gt;"na"))&gt;1),AND($Y104&lt;&gt;"",LOWER(TRIM($Y104))&lt;&gt;"n/a",LOWER(TRIM($Y104))&lt;&gt;"na",SUMPRODUCT(--(UPPER(SUBSTITUTE(SUBSTITUTE(TRIM($Y$2:$Y$518),":",""),"-",""))=UPPER(SUBSTITUTE(SUBSTITUTE(TRIM($Y104),":",""),"-",""))),--(TRIM($Y$2:$Y$518)&lt;&gt;""),--(LOWER(TRIM($Y$2:$Y$518))&lt;&gt;"n/a"),--(LOWER(TRIM($Y$2:$Y$518))&lt;&gt;"na"))&gt;1),AND($AB104&lt;&gt;"",LOWER(TRIM($AB104))&lt;&gt;"n/a",LOWER(TRIM($AB104))&lt;&gt;"na",SUMPRODUCT(--(UPPER(TRIM($AB$2:$AB$518))=UPPER(TRIM($AB104))),--(TRIM($AB$2:$AB$518)&lt;&gt;""),--(LOWER(TRIM($AB$2:$AB$518))&lt;&gt;"n/a"),--(LOWER(TRIM($AB$2:$AB$518))&lt;&gt;"na"))&gt;1),AND($AH104&lt;&gt;"",LOWER(TRIM($AH104))&lt;&gt;"n/a",LOWER(TRIM($AH104))&lt;&gt;"na",SUMPRODUCT(--(UPPER(SUBSTITUTE(SUBSTITUTE(TRIM($AH$2:$AH$518),":",""),"-",""))=UPPER(SUBSTITUTE(SUBSTITUTE(TRIM($AH104),":",""),"-",""))),--(TRIM($AH$2:$AH$518)&lt;&gt;""),--(LOWER(TRIM($AH$2:$AH$518))&lt;&gt;"n/a"),--(LOWER(TRIM($AH$2:$AH$518))&lt;&gt;"na"))&gt;1),AND($AP104&lt;&gt;"",LOWER(TRIM($AP104))&lt;&gt;"n/a",LOWER(TRIM($AP104))&lt;&gt;"na",SUMPRODUCT(--(UPPER(TRIM($AP$2:$AP$518))=UPPER(TRIM($AP104))),--(TRIM($AP$2:$AP$518)&lt;&gt;""),--(LOWER(TRIM($AP$2:$AP$518))&lt;&gt;"n/a"),--(LOWER(TRIM($AP$2:$AP$518))&lt;&gt;"na"))&gt;1),AND($AQ104&lt;&gt;"",LOWER(TRIM($AQ104))&lt;&gt;"n/a",LOWER(TRIM($AQ104))&lt;&gt;"na",SUMPRODUCT(--(UPPER(TRIM($AQ$2:$AQ$518))=UPPER(TRIM($AQ104))),--(TRIM($AQ$2:$AQ$518)&lt;&gt;""),--(LOWER(TRIM($AQ$2:$AQ$518))&lt;&gt;"n/a"),--(LOWER(TRIM($AQ$2:$AQ$518))&lt;&gt;"na"))&gt;1)),"Yes","No"))</f>
        <v/>
      </c>
      <c r="F104">
        <f>IF(UPPER(TRIM($B104))&lt;&gt;"YES","", IF(OR(AND($V104&lt;&gt;"", LOWER(TRIM($V104))&lt;&gt;"n/a", LOWER(TRIM($V104))&lt;&gt;"na", SUMPRODUCT(--(UPPER(TRIM($V$2:$V$518))=UPPER(TRIM($V104))), --(UPPER(TRIM($B$2:$B$518))="YES"), --(UPPER(TRIM($G$2:$G$518)&amp;TRIM($I$2:$I$518)&amp;TRIM($J$2:$J$518))&lt;&gt;UPPER(TRIM($G104)&amp;TRIM($I104)&amp;TRIM($J104))))&gt;0), AND($W104&lt;&gt;"", LOWER(TRIM($W104))&lt;&gt;"n/a", LOWER(TRIM($W104))&lt;&gt;"na", SUMPRODUCT(--(UPPER(TRIM($W$2:$W$518))=UPPER(TRIM($W104))), --(UPPER(TRIM($B$2:$B$518))="YES"), --(UPPER(TRIM($G$2:$G$518)&amp;TRIM($I$2:$I$518)&amp;TRIM($J$2:$J$518))&lt;&gt;UPPER(TRIM($G104)&amp;TRIM($I104)&amp;TRIM($J104))))&gt;0), AND($X104&lt;&gt;"", LOWER(TRIM($X104))&lt;&gt;"n/a", LOWER(TRIM($X104))&lt;&gt;"na", SUMPRODUCT(--(UPPER(TRIM($X$2:$X$518))=UPPER(TRIM($X104))), --(UPPER(TRIM($B$2:$B$518))="YES"), --(UPPER(TRIM($G$2:$G$518)&amp;TRIM($I$2:$I$518)&amp;TRIM($J$2:$J$518))&lt;&gt;UPPER(TRIM($G104)&amp;TRIM($I104)&amp;TRIM($J104))))&gt;0), AND($Y104&lt;&gt;"", LOWER(TRIM($Y104))&lt;&gt;"n/a", LOWER(TRIM($Y104))&lt;&gt;"na", SUMPRODUCT(--(UPPER(SUBSTITUTE(SUBSTITUTE(TRIM($Y$2:$Y$518),":",""),"-",""))=UPPER(SUBSTITUTE(SUBSTITUTE(TRIM($Y104),":",""),"-",""))), --(UPPER(TRIM($B$2:$B$518))="YES"), --(UPPER(TRIM($G$2:$G$518)&amp;TRIM($I$2:$I$518)&amp;TRIM($J$2:$J$518))&lt;&gt;UPPER(TRIM($G104)&amp;TRIM($I104)&amp;TRIM($J104))))&gt;0), AND($AB104&lt;&gt;"", LOWER(TRIM($AB104))&lt;&gt;"n/a", LOWER(TRIM($AB104))&lt;&gt;"na", SUMPRODUCT(--(UPPER(TRIM($AB$2:$AB$518))=UPPER(TRIM($AB104))), --(UPPER(TRIM($B$2:$B$518))="YES"), --(UPPER(TRIM($G$2:$G$518)&amp;TRIM($I$2:$I$518)&amp;TRIM($J$2:$J$518))&lt;&gt;UPPER(TRIM($G104)&amp;TRIM($I104)&amp;TRIM($J104))))&gt;0), AND($AH104&lt;&gt;"", LOWER(TRIM($AH104))&lt;&gt;"n/a", LOWER(TRIM($AH104))&lt;&gt;"na", SUMPRODUCT(--(UPPER(SUBSTITUTE(SUBSTITUTE(TRIM($AH$2:$AH$518),":",""),"-",""))=UPPER(SUBSTITUTE(SUBSTITUTE(TRIM($AH104),":",""),"-",""))), --(UPPER(TRIM($B$2:$B$518))="YES"), --(UPPER(TRIM($G$2:$G$518)&amp;TRIM($I$2:$I$518)&amp;TRIM($J$2:$J$518))&lt;&gt;UPPER(TRIM($G104)&amp;TRIM($I104)&amp;TRIM($J104))))&gt;0), AND($AP104&lt;&gt;"", LOWER(TRIM($AP104))&lt;&gt;"n/a", LOWER(TRIM($AP104))&lt;&gt;"na", SUMPRODUCT(--(UPPER(TRIM($AP$2:$AP$518))=UPPER(TRIM($AP104))), --(UPPER(TRIM($B$2:$B$518))="YES"), --(UPPER(TRIM($G$2:$G$518)&amp;TRIM($I$2:$I$518)&amp;TRIM($J$2:$J$518))&lt;&gt;UPPER(TRIM($G104)&amp;TRIM($I104)&amp;TRIM($J104))))&gt;0), AND($AQ104&lt;&gt;"", LOWER(TRIM($AQ104))&lt;&gt;"n/a", LOWER(TRIM($AQ104))&lt;&gt;"na", SUMPRODUCT(--(UPPER(TRIM($AQ$2:$AQ$518))=UPPER(TRIM($AQ104))), --(UPPER(TRIM($B$2:$B$518))="YES"), --(UPPER(TRIM($G$2:$G$518)&amp;TRIM($I$2:$I$518)&amp;TRIM($J$2:$J$518))&lt;&gt;UPPER(TRIM($G104)&amp;TRIM($I104)&amp;TRIM($J104))))&gt;0)), "Yes", "No"))</f>
        <v/>
      </c>
      <c r="G104" t="inlineStr">
        <is>
          <t>PV</t>
        </is>
      </c>
      <c r="H104" t="inlineStr">
        <is>
          <t>PV</t>
        </is>
      </c>
      <c r="I104" t="inlineStr">
        <is>
          <t>Main OR</t>
        </is>
      </c>
      <c r="J104" t="inlineStr">
        <is>
          <t>OR 1</t>
        </is>
      </c>
      <c r="K104" t="inlineStr">
        <is>
          <t>OR 1</t>
        </is>
      </c>
      <c r="L104" s="18" t="n">
        <v>46090</v>
      </c>
      <c r="S104" t="inlineStr">
        <is>
          <t>Pass</t>
        </is>
      </c>
      <c r="U104" t="inlineStr">
        <is>
          <t>Anthony, Tim, PVH Staff</t>
        </is>
      </c>
      <c r="V104" t="inlineStr">
        <is>
          <t>WPV109OPR007</t>
        </is>
      </c>
      <c r="W104" t="inlineStr">
        <is>
          <t>MEDNG2425E-3697</t>
        </is>
      </c>
      <c r="X104" t="inlineStr">
        <is>
          <t>PLV-MACH-H</t>
        </is>
      </c>
      <c r="Y104" t="inlineStr">
        <is>
          <t>A0F5097FA500</t>
        </is>
      </c>
      <c r="AB104" t="inlineStr">
        <is>
          <t>WA23C03887</t>
        </is>
      </c>
      <c r="AI104" t="inlineStr">
        <is>
          <t>Anesthesia Machine</t>
        </is>
      </c>
      <c r="AM104" t="inlineStr">
        <is>
          <t>DRAGER</t>
        </is>
      </c>
      <c r="AN104" t="inlineStr">
        <is>
          <t>FABIUS GS PREMIUM</t>
        </is>
      </c>
      <c r="AP104" t="inlineStr">
        <is>
          <t>8607000-37ASBJ-0243</t>
        </is>
      </c>
      <c r="AQ104" t="inlineStr">
        <is>
          <t>8607000-37ASBJ-0243</t>
        </is>
      </c>
      <c r="AS104" t="inlineStr">
        <is>
          <t>B1-CFB-ANES</t>
        </is>
      </c>
      <c r="AT104" t="inlineStr">
        <is>
          <t>B1-CFW-PHILLIPS</t>
        </is>
      </c>
      <c r="AX104" t="inlineStr">
        <is>
          <t>MX750 - 233502 - 010088483808333221DE776742329086647191866471</t>
        </is>
      </c>
      <c r="BH104" t="n">
        <v>115200</v>
      </c>
      <c r="BI104" t="inlineStr">
        <is>
          <t>9600 - N81</t>
        </is>
      </c>
      <c r="CD104">
        <f>IF($Y104="","",IF((IF(AND($BR104&lt;&gt;"Yes",$BR104&lt;&gt;"N/A"),"Power Cable, ","")&amp;IF(AND($BS104&lt;&gt;"Yes",$BS104&lt;&gt;"N/A"),"Battery, ","")&amp;IF(AND($AD104&lt;&gt;"Yes",$AD104&lt;&gt;"N/A"),"Firmware Download, ","")&amp;IF(AND(OR($AD104="Yes",$AD104="N/A"),$AE104&lt;&gt;"Yes",$AE104&lt;&gt;"N/A"),"Firmware Install, ","")&amp;IF(AND($CB104&lt;&gt;"Yes",$CB104&lt;&gt;"N/A"),"Device ID, ","")&amp;IF(AND($CC104&lt;&gt;"Yes",$CC104&lt;&gt;"N/A"),"Epic Beans Relay, ",""))="","",LEFT(IF(AND($BR104&lt;&gt;"Yes",$BR104&lt;&gt;"N/A"),"Power Cable, ","")&amp;IF(AND($BS104&lt;&gt;"Yes",$BS104&lt;&gt;"N/A"),"Battery, ","")&amp;IF(AND($AD104&lt;&gt;"Yes",$AD104&lt;&gt;"N/A"),"Firmware Download, ","")&amp;IF(AND(OR($AD104="Yes",$AD104="N/A"),$AE104&lt;&gt;"Yes",$AE104&lt;&gt;"N/A"),"Firmware Install, ","")&amp;IF(AND($CB104&lt;&gt;"Yes",$CB104&lt;&gt;"N/A"),"Device ID, ","")&amp;IF(AND($CC104&lt;&gt;"Yes",$CC104&lt;&gt;"N/A"),"Epic Beans Relay, ",""),LEN(IF(AND($BR104&lt;&gt;"Yes",$BR104&lt;&gt;"N/A"),"Power Cable, ","")&amp;IF(AND($BS104&lt;&gt;"Yes",$BS104&lt;&gt;"N/A"),"Battery, ","")&amp;IF(AND($AD104&lt;&gt;"Yes",$AD104&lt;&gt;"N/A"),"Firmware Download, ","")&amp;IF(AND(OR($AD104="Yes",$AD104="N/A"),$AE104&lt;&gt;"Yes",$AE104&lt;&gt;"N/A"),"Firmware Install, ","")&amp;IF(AND($CB104&lt;&gt;"Yes",$CB104&lt;&gt;"N/A"),"Device ID, ","")&amp;IF(AND($CC104&lt;&gt;"Yes",$CC104&lt;&gt;"N/A"),"Epic Beans Relay, ",""))-2)))</f>
        <v/>
      </c>
      <c r="CE104">
        <f>IF($Y104="","",IF($CD104="","Yes","Blocked"))</f>
        <v/>
      </c>
      <c r="CF104" t="inlineStr">
        <is>
          <t>Yes</t>
        </is>
      </c>
      <c r="CG104" t="inlineStr">
        <is>
          <t>Yes</t>
        </is>
      </c>
      <c r="CH104" t="inlineStr">
        <is>
          <t>Yes</t>
        </is>
      </c>
      <c r="CI104" t="inlineStr">
        <is>
          <t>Yes</t>
        </is>
      </c>
      <c r="CJ104" t="inlineStr">
        <is>
          <t>Yes</t>
        </is>
      </c>
      <c r="CK104" t="inlineStr">
        <is>
          <t>Yes</t>
        </is>
      </c>
      <c r="CL104" t="inlineStr">
        <is>
          <t>Yes</t>
        </is>
      </c>
      <c r="CM104" t="inlineStr">
        <is>
          <t>Yes</t>
        </is>
      </c>
      <c r="CN104" t="inlineStr">
        <is>
          <t>Yes</t>
        </is>
      </c>
      <c r="CO104" t="inlineStr">
        <is>
          <t>Yes</t>
        </is>
      </c>
      <c r="CP104" t="inlineStr">
        <is>
          <t>Yes</t>
        </is>
      </c>
      <c r="CQ104" t="inlineStr">
        <is>
          <t>Yes</t>
        </is>
      </c>
      <c r="CR104" t="inlineStr">
        <is>
          <t>Yes</t>
        </is>
      </c>
      <c r="CS104" t="inlineStr">
        <is>
          <t>Yes</t>
        </is>
      </c>
      <c r="CW104">
        <f>IF($S104="","",IF(UPPER(TRIM($S104))&lt;&gt;"PASS","",IF(LEN(TRIM($BY104))&gt;0,"NOTES_PRESENT",IF(LEN(TRIM($T104))=0,"SET_NA",IF(OR(LOWER(TRIM($T104))="na",LOWER(TRIM($T104))="n/a"),"OK","MANUAL_OVERRIDE")))))</f>
        <v/>
      </c>
    </row>
    <row r="105">
      <c r="A105" t="inlineStr">
        <is>
          <t>Peripherals</t>
        </is>
      </c>
      <c r="B105" s="51" t="inlineStr">
        <is>
          <t>Yes</t>
        </is>
      </c>
      <c r="C105" t="inlineStr">
        <is>
          <t>Yes</t>
        </is>
      </c>
      <c r="D105">
        <f>IF($B105&lt;&gt;"Yes","",IF($C105="No","Yes",IF($C105="Yes","No","")))</f>
        <v/>
      </c>
      <c r="E105">
        <f>IF($A105="","",IF(OR(AND($V105&lt;&gt;"",LOWER(TRIM($V105))&lt;&gt;"n/a",LOWER(TRIM($V105))&lt;&gt;"na",SUMPRODUCT(--(UPPER(TRIM($V$2:$V$518))=UPPER(TRIM($V105))),--(TRIM($V$2:$V$518)&lt;&gt;""),--(LOWER(TRIM($V$2:$V$518))&lt;&gt;"n/a"),--(LOWER(TRIM($V$2:$V$518))&lt;&gt;"na"))&gt;1),AND($W105&lt;&gt;"",LOWER(TRIM($W105))&lt;&gt;"n/a",LOWER(TRIM($W105))&lt;&gt;"na",SUMPRODUCT(--(UPPER(TRIM($W$2:$W$518))=UPPER(TRIM($W105))),--(TRIM($W$2:$W$518)&lt;&gt;""),--(LOWER(TRIM($W$2:$W$518))&lt;&gt;"n/a"),--(LOWER(TRIM($W$2:$W$518))&lt;&gt;"na"))&gt;1),AND($X105&lt;&gt;"",LOWER(TRIM($X105))&lt;&gt;"n/a",LOWER(TRIM($X105))&lt;&gt;"na",SUMPRODUCT(--(UPPER(TRIM($X$2:$X$518))=UPPER(TRIM($X105))),--(TRIM($X$2:$X$518)&lt;&gt;""),--(LOWER(TRIM($X$2:$X$518))&lt;&gt;"n/a"),--(LOWER(TRIM($X$2:$X$518))&lt;&gt;"na"))&gt;1),AND($Y105&lt;&gt;"",LOWER(TRIM($Y105))&lt;&gt;"n/a",LOWER(TRIM($Y105))&lt;&gt;"na",SUMPRODUCT(--(UPPER(SUBSTITUTE(SUBSTITUTE(TRIM($Y$2:$Y$518),":",""),"-",""))=UPPER(SUBSTITUTE(SUBSTITUTE(TRIM($Y105),":",""),"-",""))),--(TRIM($Y$2:$Y$518)&lt;&gt;""),--(LOWER(TRIM($Y$2:$Y$518))&lt;&gt;"n/a"),--(LOWER(TRIM($Y$2:$Y$518))&lt;&gt;"na"))&gt;1),AND($AB105&lt;&gt;"",LOWER(TRIM($AB105))&lt;&gt;"n/a",LOWER(TRIM($AB105))&lt;&gt;"na",SUMPRODUCT(--(UPPER(TRIM($AB$2:$AB$518))=UPPER(TRIM($AB105))),--(TRIM($AB$2:$AB$518)&lt;&gt;""),--(LOWER(TRIM($AB$2:$AB$518))&lt;&gt;"n/a"),--(LOWER(TRIM($AB$2:$AB$518))&lt;&gt;"na"))&gt;1),AND($AH105&lt;&gt;"",LOWER(TRIM($AH105))&lt;&gt;"n/a",LOWER(TRIM($AH105))&lt;&gt;"na",SUMPRODUCT(--(UPPER(SUBSTITUTE(SUBSTITUTE(TRIM($AH$2:$AH$518),":",""),"-",""))=UPPER(SUBSTITUTE(SUBSTITUTE(TRIM($AH105),":",""),"-",""))),--(TRIM($AH$2:$AH$518)&lt;&gt;""),--(LOWER(TRIM($AH$2:$AH$518))&lt;&gt;"n/a"),--(LOWER(TRIM($AH$2:$AH$518))&lt;&gt;"na"))&gt;1),AND($AP105&lt;&gt;"",LOWER(TRIM($AP105))&lt;&gt;"n/a",LOWER(TRIM($AP105))&lt;&gt;"na",SUMPRODUCT(--(UPPER(TRIM($AP$2:$AP$518))=UPPER(TRIM($AP105))),--(TRIM($AP$2:$AP$518)&lt;&gt;""),--(LOWER(TRIM($AP$2:$AP$518))&lt;&gt;"n/a"),--(LOWER(TRIM($AP$2:$AP$518))&lt;&gt;"na"))&gt;1),AND($AQ105&lt;&gt;"",LOWER(TRIM($AQ105))&lt;&gt;"n/a",LOWER(TRIM($AQ105))&lt;&gt;"na",SUMPRODUCT(--(UPPER(TRIM($AQ$2:$AQ$518))=UPPER(TRIM($AQ105))),--(TRIM($AQ$2:$AQ$518)&lt;&gt;""),--(LOWER(TRIM($AQ$2:$AQ$518))&lt;&gt;"n/a"),--(LOWER(TRIM($AQ$2:$AQ$518))&lt;&gt;"na"))&gt;1)),"Yes","No"))</f>
        <v/>
      </c>
      <c r="F105">
        <f>IF(UPPER(TRIM($B105))&lt;&gt;"YES","", IF(OR(AND($V105&lt;&gt;"", LOWER(TRIM($V105))&lt;&gt;"n/a", LOWER(TRIM($V105))&lt;&gt;"na", SUMPRODUCT(--(UPPER(TRIM($V$2:$V$518))=UPPER(TRIM($V105))), --(UPPER(TRIM($B$2:$B$518))="YES"), --(UPPER(TRIM($G$2:$G$518)&amp;TRIM($I$2:$I$518)&amp;TRIM($J$2:$J$518))&lt;&gt;UPPER(TRIM($G105)&amp;TRIM($I105)&amp;TRIM($J105))))&gt;0), AND($W105&lt;&gt;"", LOWER(TRIM($W105))&lt;&gt;"n/a", LOWER(TRIM($W105))&lt;&gt;"na", SUMPRODUCT(--(UPPER(TRIM($W$2:$W$518))=UPPER(TRIM($W105))), --(UPPER(TRIM($B$2:$B$518))="YES"), --(UPPER(TRIM($G$2:$G$518)&amp;TRIM($I$2:$I$518)&amp;TRIM($J$2:$J$518))&lt;&gt;UPPER(TRIM($G105)&amp;TRIM($I105)&amp;TRIM($J105))))&gt;0), AND($X105&lt;&gt;"", LOWER(TRIM($X105))&lt;&gt;"n/a", LOWER(TRIM($X105))&lt;&gt;"na", SUMPRODUCT(--(UPPER(TRIM($X$2:$X$518))=UPPER(TRIM($X105))), --(UPPER(TRIM($B$2:$B$518))="YES"), --(UPPER(TRIM($G$2:$G$518)&amp;TRIM($I$2:$I$518)&amp;TRIM($J$2:$J$518))&lt;&gt;UPPER(TRIM($G105)&amp;TRIM($I105)&amp;TRIM($J105))))&gt;0), AND($Y105&lt;&gt;"", LOWER(TRIM($Y105))&lt;&gt;"n/a", LOWER(TRIM($Y105))&lt;&gt;"na", SUMPRODUCT(--(UPPER(SUBSTITUTE(SUBSTITUTE(TRIM($Y$2:$Y$518),":",""),"-",""))=UPPER(SUBSTITUTE(SUBSTITUTE(TRIM($Y105),":",""),"-",""))), --(UPPER(TRIM($B$2:$B$518))="YES"), --(UPPER(TRIM($G$2:$G$518)&amp;TRIM($I$2:$I$518)&amp;TRIM($J$2:$J$518))&lt;&gt;UPPER(TRIM($G105)&amp;TRIM($I105)&amp;TRIM($J105))))&gt;0), AND($AB105&lt;&gt;"", LOWER(TRIM($AB105))&lt;&gt;"n/a", LOWER(TRIM($AB105))&lt;&gt;"na", SUMPRODUCT(--(UPPER(TRIM($AB$2:$AB$518))=UPPER(TRIM($AB105))), --(UPPER(TRIM($B$2:$B$518))="YES"), --(UPPER(TRIM($G$2:$G$518)&amp;TRIM($I$2:$I$518)&amp;TRIM($J$2:$J$518))&lt;&gt;UPPER(TRIM($G105)&amp;TRIM($I105)&amp;TRIM($J105))))&gt;0), AND($AH105&lt;&gt;"", LOWER(TRIM($AH105))&lt;&gt;"n/a", LOWER(TRIM($AH105))&lt;&gt;"na", SUMPRODUCT(--(UPPER(SUBSTITUTE(SUBSTITUTE(TRIM($AH$2:$AH$518),":",""),"-",""))=UPPER(SUBSTITUTE(SUBSTITUTE(TRIM($AH105),":",""),"-",""))), --(UPPER(TRIM($B$2:$B$518))="YES"), --(UPPER(TRIM($G$2:$G$518)&amp;TRIM($I$2:$I$518)&amp;TRIM($J$2:$J$518))&lt;&gt;UPPER(TRIM($G105)&amp;TRIM($I105)&amp;TRIM($J105))))&gt;0), AND($AP105&lt;&gt;"", LOWER(TRIM($AP105))&lt;&gt;"n/a", LOWER(TRIM($AP105))&lt;&gt;"na", SUMPRODUCT(--(UPPER(TRIM($AP$2:$AP$518))=UPPER(TRIM($AP105))), --(UPPER(TRIM($B$2:$B$518))="YES"), --(UPPER(TRIM($G$2:$G$518)&amp;TRIM($I$2:$I$518)&amp;TRIM($J$2:$J$518))&lt;&gt;UPPER(TRIM($G105)&amp;TRIM($I105)&amp;TRIM($J105))))&gt;0), AND($AQ105&lt;&gt;"", LOWER(TRIM($AQ105))&lt;&gt;"n/a", LOWER(TRIM($AQ105))&lt;&gt;"na", SUMPRODUCT(--(UPPER(TRIM($AQ$2:$AQ$518))=UPPER(TRIM($AQ105))), --(UPPER(TRIM($B$2:$B$518))="YES"), --(UPPER(TRIM($G$2:$G$518)&amp;TRIM($I$2:$I$518)&amp;TRIM($J$2:$J$518))&lt;&gt;UPPER(TRIM($G105)&amp;TRIM($I105)&amp;TRIM($J105))))&gt;0)), "Yes", "No"))</f>
        <v/>
      </c>
      <c r="G105" t="inlineStr">
        <is>
          <t>PV</t>
        </is>
      </c>
      <c r="H105" t="inlineStr">
        <is>
          <t>PV</t>
        </is>
      </c>
      <c r="I105" t="inlineStr">
        <is>
          <t>Main OR</t>
        </is>
      </c>
      <c r="J105" t="inlineStr">
        <is>
          <t>OR 2</t>
        </is>
      </c>
      <c r="K105" t="inlineStr">
        <is>
          <t>OR 2</t>
        </is>
      </c>
      <c r="L105" s="18" t="n">
        <v>46090</v>
      </c>
      <c r="S105" t="inlineStr">
        <is>
          <t>Pass</t>
        </is>
      </c>
      <c r="U105" t="inlineStr">
        <is>
          <t>Anthony, Tim, PVH Staff</t>
        </is>
      </c>
      <c r="V105" t="inlineStr">
        <is>
          <t>WPV109OPR002</t>
        </is>
      </c>
      <c r="W105" t="inlineStr">
        <is>
          <t>MEDNG2425E-3311</t>
        </is>
      </c>
      <c r="X105" t="inlineStr">
        <is>
          <t>PLV-MACH-D</t>
        </is>
      </c>
      <c r="Y105" t="inlineStr">
        <is>
          <t>A0F5097FA61F</t>
        </is>
      </c>
      <c r="AB105" t="inlineStr">
        <is>
          <t>WA23C03763</t>
        </is>
      </c>
      <c r="AI105" t="inlineStr">
        <is>
          <t>Anesthesia Machine</t>
        </is>
      </c>
      <c r="AL105" t="inlineStr">
        <is>
          <t>0201609/610</t>
        </is>
      </c>
      <c r="AM105" t="inlineStr">
        <is>
          <t>DRAGER</t>
        </is>
      </c>
      <c r="AN105" t="inlineStr">
        <is>
          <t>FABIUS GS PREMIUM</t>
        </is>
      </c>
      <c r="AP105" t="inlineStr">
        <is>
          <t>8607000-19ARZE-0023</t>
        </is>
      </c>
      <c r="AQ105" t="inlineStr">
        <is>
          <t>8607000-19ARZE-0023</t>
        </is>
      </c>
      <c r="AS105" t="inlineStr">
        <is>
          <t>B1-CFB-ANES</t>
        </is>
      </c>
      <c r="AT105" t="inlineStr">
        <is>
          <t>B1-CFW-PHILLIPS</t>
        </is>
      </c>
      <c r="AX105" t="inlineStr">
        <is>
          <t>MX750 - 233503 - 010088483808333221DE776743449086647191866471</t>
        </is>
      </c>
      <c r="BH105" t="n">
        <v>115200</v>
      </c>
      <c r="BI105" t="inlineStr">
        <is>
          <t>9600 - N81</t>
        </is>
      </c>
      <c r="CD105">
        <f>IF($Y105="","",IF((IF(AND($BR105&lt;&gt;"Yes",$BR105&lt;&gt;"N/A"),"Power Cable, ","")&amp;IF(AND($BS105&lt;&gt;"Yes",$BS105&lt;&gt;"N/A"),"Battery, ","")&amp;IF(AND($AD105&lt;&gt;"Yes",$AD105&lt;&gt;"N/A"),"Firmware Download, ","")&amp;IF(AND(OR($AD105="Yes",$AD105="N/A"),$AE105&lt;&gt;"Yes",$AE105&lt;&gt;"N/A"),"Firmware Install, ","")&amp;IF(AND($CB105&lt;&gt;"Yes",$CB105&lt;&gt;"N/A"),"Device ID, ","")&amp;IF(AND($CC105&lt;&gt;"Yes",$CC105&lt;&gt;"N/A"),"Epic Beans Relay, ",""))="","",LEFT(IF(AND($BR105&lt;&gt;"Yes",$BR105&lt;&gt;"N/A"),"Power Cable, ","")&amp;IF(AND($BS105&lt;&gt;"Yes",$BS105&lt;&gt;"N/A"),"Battery, ","")&amp;IF(AND($AD105&lt;&gt;"Yes",$AD105&lt;&gt;"N/A"),"Firmware Download, ","")&amp;IF(AND(OR($AD105="Yes",$AD105="N/A"),$AE105&lt;&gt;"Yes",$AE105&lt;&gt;"N/A"),"Firmware Install, ","")&amp;IF(AND($CB105&lt;&gt;"Yes",$CB105&lt;&gt;"N/A"),"Device ID, ","")&amp;IF(AND($CC105&lt;&gt;"Yes",$CC105&lt;&gt;"N/A"),"Epic Beans Relay, ",""),LEN(IF(AND($BR105&lt;&gt;"Yes",$BR105&lt;&gt;"N/A"),"Power Cable, ","")&amp;IF(AND($BS105&lt;&gt;"Yes",$BS105&lt;&gt;"N/A"),"Battery, ","")&amp;IF(AND($AD105&lt;&gt;"Yes",$AD105&lt;&gt;"N/A"),"Firmware Download, ","")&amp;IF(AND(OR($AD105="Yes",$AD105="N/A"),$AE105&lt;&gt;"Yes",$AE105&lt;&gt;"N/A"),"Firmware Install, ","")&amp;IF(AND($CB105&lt;&gt;"Yes",$CB105&lt;&gt;"N/A"),"Device ID, ","")&amp;IF(AND($CC105&lt;&gt;"Yes",$CC105&lt;&gt;"N/A"),"Epic Beans Relay, ",""))-2)))</f>
        <v/>
      </c>
      <c r="CE105">
        <f>IF($Y105="","",IF($CD105="","Yes","Blocked"))</f>
        <v/>
      </c>
      <c r="CF105" t="inlineStr">
        <is>
          <t>Yes</t>
        </is>
      </c>
      <c r="CG105" t="inlineStr">
        <is>
          <t>Yes</t>
        </is>
      </c>
      <c r="CH105" t="inlineStr">
        <is>
          <t>Yes</t>
        </is>
      </c>
      <c r="CI105" t="inlineStr">
        <is>
          <t>Yes</t>
        </is>
      </c>
      <c r="CJ105" t="inlineStr">
        <is>
          <t>Yes</t>
        </is>
      </c>
      <c r="CK105" t="inlineStr">
        <is>
          <t>Yes</t>
        </is>
      </c>
      <c r="CL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Q105" t="inlineStr">
        <is>
          <t>Yes</t>
        </is>
      </c>
      <c r="CR105" t="inlineStr">
        <is>
          <t>Yes</t>
        </is>
      </c>
      <c r="CS105" t="inlineStr">
        <is>
          <t>Yes</t>
        </is>
      </c>
      <c r="CW105">
        <f>IF($S105="","",IF(UPPER(TRIM($S105))&lt;&gt;"PASS","",IF(LEN(TRIM($BY105))&gt;0,"NOTES_PRESENT",IF(LEN(TRIM($T105))=0,"SET_NA",IF(OR(LOWER(TRIM($T105))="na",LOWER(TRIM($T105))="n/a"),"OK","MANUAL_OVERRIDE")))))</f>
        <v/>
      </c>
    </row>
    <row r="106">
      <c r="A106" t="inlineStr">
        <is>
          <t>Neuron Cybernet</t>
        </is>
      </c>
      <c r="B106" s="51" t="inlineStr">
        <is>
          <t>Yes</t>
        </is>
      </c>
      <c r="C106" t="inlineStr">
        <is>
          <t>Yes</t>
        </is>
      </c>
      <c r="D106">
        <f>IF($B106&lt;&gt;"Yes","",IF($C106="No","Yes",IF($C106="Yes","No","")))</f>
        <v/>
      </c>
      <c r="E106">
        <f>IF($A106="","",IF(OR(AND($V106&lt;&gt;"",LOWER(TRIM($V106))&lt;&gt;"n/a",LOWER(TRIM($V106))&lt;&gt;"na",SUMPRODUCT(--(UPPER(TRIM($V$2:$V$518))=UPPER(TRIM($V106))),--(TRIM($V$2:$V$518)&lt;&gt;""),--(LOWER(TRIM($V$2:$V$518))&lt;&gt;"n/a"),--(LOWER(TRIM($V$2:$V$518))&lt;&gt;"na"))&gt;1),AND($W106&lt;&gt;"",LOWER(TRIM($W106))&lt;&gt;"n/a",LOWER(TRIM($W106))&lt;&gt;"na",SUMPRODUCT(--(UPPER(TRIM($W$2:$W$518))=UPPER(TRIM($W106))),--(TRIM($W$2:$W$518)&lt;&gt;""),--(LOWER(TRIM($W$2:$W$518))&lt;&gt;"n/a"),--(LOWER(TRIM($W$2:$W$518))&lt;&gt;"na"))&gt;1),AND($X106&lt;&gt;"",LOWER(TRIM($X106))&lt;&gt;"n/a",LOWER(TRIM($X106))&lt;&gt;"na",SUMPRODUCT(--(UPPER(TRIM($X$2:$X$518))=UPPER(TRIM($X106))),--(TRIM($X$2:$X$518)&lt;&gt;""),--(LOWER(TRIM($X$2:$X$518))&lt;&gt;"n/a"),--(LOWER(TRIM($X$2:$X$518))&lt;&gt;"na"))&gt;1),AND($Y106&lt;&gt;"",LOWER(TRIM($Y106))&lt;&gt;"n/a",LOWER(TRIM($Y106))&lt;&gt;"na",SUMPRODUCT(--(UPPER(SUBSTITUTE(SUBSTITUTE(TRIM($Y$2:$Y$518),":",""),"-",""))=UPPER(SUBSTITUTE(SUBSTITUTE(TRIM($Y106),":",""),"-",""))),--(TRIM($Y$2:$Y$518)&lt;&gt;""),--(LOWER(TRIM($Y$2:$Y$518))&lt;&gt;"n/a"),--(LOWER(TRIM($Y$2:$Y$518))&lt;&gt;"na"))&gt;1),AND($AB106&lt;&gt;"",LOWER(TRIM($AB106))&lt;&gt;"n/a",LOWER(TRIM($AB106))&lt;&gt;"na",SUMPRODUCT(--(UPPER(TRIM($AB$2:$AB$518))=UPPER(TRIM($AB106))),--(TRIM($AB$2:$AB$518)&lt;&gt;""),--(LOWER(TRIM($AB$2:$AB$518))&lt;&gt;"n/a"),--(LOWER(TRIM($AB$2:$AB$518))&lt;&gt;"na"))&gt;1),AND($AH106&lt;&gt;"",LOWER(TRIM($AH106))&lt;&gt;"n/a",LOWER(TRIM($AH106))&lt;&gt;"na",SUMPRODUCT(--(UPPER(SUBSTITUTE(SUBSTITUTE(TRIM($AH$2:$AH$518),":",""),"-",""))=UPPER(SUBSTITUTE(SUBSTITUTE(TRIM($AH106),":",""),"-",""))),--(TRIM($AH$2:$AH$518)&lt;&gt;""),--(LOWER(TRIM($AH$2:$AH$518))&lt;&gt;"n/a"),--(LOWER(TRIM($AH$2:$AH$518))&lt;&gt;"na"))&gt;1),AND($AP106&lt;&gt;"",LOWER(TRIM($AP106))&lt;&gt;"n/a",LOWER(TRIM($AP106))&lt;&gt;"na",SUMPRODUCT(--(UPPER(TRIM($AP$2:$AP$518))=UPPER(TRIM($AP106))),--(TRIM($AP$2:$AP$518)&lt;&gt;""),--(LOWER(TRIM($AP$2:$AP$518))&lt;&gt;"n/a"),--(LOWER(TRIM($AP$2:$AP$518))&lt;&gt;"na"))&gt;1),AND($AQ106&lt;&gt;"",LOWER(TRIM($AQ106))&lt;&gt;"n/a",LOWER(TRIM($AQ106))&lt;&gt;"na",SUMPRODUCT(--(UPPER(TRIM($AQ$2:$AQ$518))=UPPER(TRIM($AQ106))),--(TRIM($AQ$2:$AQ$518)&lt;&gt;""),--(LOWER(TRIM($AQ$2:$AQ$518))&lt;&gt;"n/a"),--(LOWER(TRIM($AQ$2:$AQ$518))&lt;&gt;"na"))&gt;1)),"Yes","No"))</f>
        <v/>
      </c>
      <c r="F106">
        <f>IF(UPPER(TRIM($B106))&lt;&gt;"YES","", IF(OR(AND($V106&lt;&gt;"", LOWER(TRIM($V106))&lt;&gt;"n/a", LOWER(TRIM($V106))&lt;&gt;"na", SUMPRODUCT(--(UPPER(TRIM($V$2:$V$518))=UPPER(TRIM($V106))), --(UPPER(TRIM($B$2:$B$518))="YES"), --(UPPER(TRIM($G$2:$G$518)&amp;TRIM($I$2:$I$518)&amp;TRIM($J$2:$J$518))&lt;&gt;UPPER(TRIM($G106)&amp;TRIM($I106)&amp;TRIM($J106))))&gt;0), AND($W106&lt;&gt;"", LOWER(TRIM($W106))&lt;&gt;"n/a", LOWER(TRIM($W106))&lt;&gt;"na", SUMPRODUCT(--(UPPER(TRIM($W$2:$W$518))=UPPER(TRIM($W106))), --(UPPER(TRIM($B$2:$B$518))="YES"), --(UPPER(TRIM($G$2:$G$518)&amp;TRIM($I$2:$I$518)&amp;TRIM($J$2:$J$518))&lt;&gt;UPPER(TRIM($G106)&amp;TRIM($I106)&amp;TRIM($J106))))&gt;0), AND($X106&lt;&gt;"", LOWER(TRIM($X106))&lt;&gt;"n/a", LOWER(TRIM($X106))&lt;&gt;"na", SUMPRODUCT(--(UPPER(TRIM($X$2:$X$518))=UPPER(TRIM($X106))), --(UPPER(TRIM($B$2:$B$518))="YES"), --(UPPER(TRIM($G$2:$G$518)&amp;TRIM($I$2:$I$518)&amp;TRIM($J$2:$J$518))&lt;&gt;UPPER(TRIM($G106)&amp;TRIM($I106)&amp;TRIM($J106))))&gt;0), AND($Y106&lt;&gt;"", LOWER(TRIM($Y106))&lt;&gt;"n/a", LOWER(TRIM($Y106))&lt;&gt;"na", SUMPRODUCT(--(UPPER(SUBSTITUTE(SUBSTITUTE(TRIM($Y$2:$Y$518),":",""),"-",""))=UPPER(SUBSTITUTE(SUBSTITUTE(TRIM($Y106),":",""),"-",""))), --(UPPER(TRIM($B$2:$B$518))="YES"), --(UPPER(TRIM($G$2:$G$518)&amp;TRIM($I$2:$I$518)&amp;TRIM($J$2:$J$518))&lt;&gt;UPPER(TRIM($G106)&amp;TRIM($I106)&amp;TRIM($J106))))&gt;0), AND($AB106&lt;&gt;"", LOWER(TRIM($AB106))&lt;&gt;"n/a", LOWER(TRIM($AB106))&lt;&gt;"na", SUMPRODUCT(--(UPPER(TRIM($AB$2:$AB$518))=UPPER(TRIM($AB106))), --(UPPER(TRIM($B$2:$B$518))="YES"), --(UPPER(TRIM($G$2:$G$518)&amp;TRIM($I$2:$I$518)&amp;TRIM($J$2:$J$518))&lt;&gt;UPPER(TRIM($G106)&amp;TRIM($I106)&amp;TRIM($J106))))&gt;0), AND($AH106&lt;&gt;"", LOWER(TRIM($AH106))&lt;&gt;"n/a", LOWER(TRIM($AH106))&lt;&gt;"na", SUMPRODUCT(--(UPPER(SUBSTITUTE(SUBSTITUTE(TRIM($AH$2:$AH$518),":",""),"-",""))=UPPER(SUBSTITUTE(SUBSTITUTE(TRIM($AH106),":",""),"-",""))), --(UPPER(TRIM($B$2:$B$518))="YES"), --(UPPER(TRIM($G$2:$G$518)&amp;TRIM($I$2:$I$518)&amp;TRIM($J$2:$J$518))&lt;&gt;UPPER(TRIM($G106)&amp;TRIM($I106)&amp;TRIM($J106))))&gt;0), AND($AP106&lt;&gt;"", LOWER(TRIM($AP106))&lt;&gt;"n/a", LOWER(TRIM($AP106))&lt;&gt;"na", SUMPRODUCT(--(UPPER(TRIM($AP$2:$AP$518))=UPPER(TRIM($AP106))), --(UPPER(TRIM($B$2:$B$518))="YES"), --(UPPER(TRIM($G$2:$G$518)&amp;TRIM($I$2:$I$518)&amp;TRIM($J$2:$J$518))&lt;&gt;UPPER(TRIM($G106)&amp;TRIM($I106)&amp;TRIM($J106))))&gt;0), AND($AQ106&lt;&gt;"", LOWER(TRIM($AQ106))&lt;&gt;"n/a", LOWER(TRIM($AQ106))&lt;&gt;"na", SUMPRODUCT(--(UPPER(TRIM($AQ$2:$AQ$518))=UPPER(TRIM($AQ106))), --(UPPER(TRIM($B$2:$B$518))="YES"), --(UPPER(TRIM($G$2:$G$518)&amp;TRIM($I$2:$I$518)&amp;TRIM($J$2:$J$518))&lt;&gt;UPPER(TRIM($G106)&amp;TRIM($I106)&amp;TRIM($J106))))&gt;0)), "Yes", "No"))</f>
        <v/>
      </c>
      <c r="G106" t="inlineStr">
        <is>
          <t>ZHH</t>
        </is>
      </c>
      <c r="H106" t="inlineStr">
        <is>
          <t>ZHH</t>
        </is>
      </c>
      <c r="I106" t="inlineStr">
        <is>
          <t>ECT</t>
        </is>
      </c>
      <c r="J106" t="inlineStr">
        <is>
          <t>OR B</t>
        </is>
      </c>
      <c r="K106" t="inlineStr">
        <is>
          <t>n/a</t>
        </is>
      </c>
      <c r="L106" s="18" t="n">
        <v>46088</v>
      </c>
      <c r="M106" t="inlineStr">
        <is>
          <t>iPro Anesthesia Workstation</t>
        </is>
      </c>
      <c r="N106" t="inlineStr">
        <is>
          <t>N</t>
        </is>
      </c>
      <c r="O106" t="inlineStr">
        <is>
          <t>Y</t>
        </is>
      </c>
      <c r="P106" t="inlineStr">
        <is>
          <t>Y</t>
        </is>
      </c>
      <c r="Q106" t="inlineStr">
        <is>
          <t>Inpatient</t>
        </is>
      </c>
      <c r="S106" t="inlineStr">
        <is>
          <t>Pass</t>
        </is>
      </c>
      <c r="T106" t="inlineStr">
        <is>
          <t>n/a</t>
        </is>
      </c>
      <c r="U106" t="inlineStr">
        <is>
          <t>1427182 LIJ Installation (Project Name) - Tim W. Seeberger, Akbar, Chris Perkins, Epic Team, Anesthesia Techs, and Admins</t>
        </is>
      </c>
      <c r="V106" t="inlineStr">
        <is>
          <t>WNH265OPR002</t>
        </is>
      </c>
      <c r="W106" t="inlineStr">
        <is>
          <t>MEDSG2425F-0096</t>
        </is>
      </c>
      <c r="X106" t="inlineStr">
        <is>
          <t>ZHH-MACH-B</t>
        </is>
      </c>
      <c r="Y106" t="inlineStr">
        <is>
          <t>A0F5097B8D8E</t>
        </is>
      </c>
      <c r="AB106" t="inlineStr">
        <is>
          <t>WA25203891</t>
        </is>
      </c>
      <c r="AC106" t="inlineStr">
        <is>
          <t>LIJ</t>
        </is>
      </c>
      <c r="AD106" t="inlineStr">
        <is>
          <t>Yes</t>
        </is>
      </c>
      <c r="AE106" t="inlineStr">
        <is>
          <t>Yes</t>
        </is>
      </c>
      <c r="AF106" t="inlineStr">
        <is>
          <t>Battery, Firmware Download, Device ID, Epic Beans Relay</t>
        </is>
      </c>
      <c r="AG106" t="inlineStr">
        <is>
          <t>Blocked</t>
        </is>
      </c>
      <c r="AI106" t="inlineStr">
        <is>
          <t>Anesthesia Machine</t>
        </is>
      </c>
      <c r="AL106" t="inlineStr">
        <is>
          <t>PIC</t>
        </is>
      </c>
      <c r="AM106" t="inlineStr">
        <is>
          <t>Drager</t>
        </is>
      </c>
      <c r="AN106" t="inlineStr">
        <is>
          <t>Fabius Tiro</t>
        </is>
      </c>
      <c r="AO106" t="inlineStr">
        <is>
          <t>n/a</t>
        </is>
      </c>
      <c r="AP106" t="inlineStr">
        <is>
          <t>01040486750414741116030921ASJC-0023938606000-80</t>
        </is>
      </c>
      <c r="AQ106" t="inlineStr">
        <is>
          <t>01040486750414741116030921ASJC-0023938606000-80</t>
        </is>
      </c>
      <c r="AS106" t="inlineStr">
        <is>
          <t>B1-CFB (non-Vista monitor variety)</t>
        </is>
      </c>
      <c r="AX106" t="inlineStr">
        <is>
          <t>MX700 - PN:865241 SN:DE12508921 SRV:865241</t>
        </is>
      </c>
      <c r="AY106" t="inlineStr">
        <is>
          <t>Anesthesia Machine</t>
        </is>
      </c>
      <c r="AZ106" t="inlineStr">
        <is>
          <t>n/a</t>
        </is>
      </c>
      <c r="BA106" t="inlineStr">
        <is>
          <t>n/a</t>
        </is>
      </c>
      <c r="BB106" t="inlineStr">
        <is>
          <t>n/a</t>
        </is>
      </c>
      <c r="BH106" t="inlineStr">
        <is>
          <t>n/a</t>
        </is>
      </c>
      <c r="BR106" t="inlineStr">
        <is>
          <t>Yes</t>
        </is>
      </c>
      <c r="BS106" t="inlineStr">
        <is>
          <t>Yes</t>
        </is>
      </c>
      <c r="BT106" t="inlineStr">
        <is>
          <t>Yes</t>
        </is>
      </c>
      <c r="BU106" t="inlineStr">
        <is>
          <t>Yes</t>
        </is>
      </c>
      <c r="BZ106" t="inlineStr">
        <is>
          <t>the usual apps</t>
        </is>
      </c>
      <c r="CA106" t="inlineStr">
        <is>
          <t>iPro
Epic Satellite
ALLSCRIPTS
EPIC BCA</t>
        </is>
      </c>
      <c r="CC106" t="inlineStr"/>
      <c r="CD106">
        <f>IF($Y106="","",IF((IF(AND($BR106&lt;&gt;"Yes",$BR106&lt;&gt;"N/A"),"Power Cable, ","")&amp;IF(AND($BS106&lt;&gt;"Yes",$BS106&lt;&gt;"N/A"),"Battery, ","")&amp;IF(AND($AD106&lt;&gt;"Yes",$AD106&lt;&gt;"N/A"),"Firmware Download, ","")&amp;IF(AND(OR($AD106="Yes",$AD106="N/A"),$AE106&lt;&gt;"Yes",$AE106&lt;&gt;"N/A"),"Firmware Install, ","")&amp;IF(AND($CB106&lt;&gt;"Yes",$CB106&lt;&gt;"N/A"),"Device ID, ","")&amp;IF(AND($CC106&lt;&gt;"Yes",$CC106&lt;&gt;"N/A"),"Epic Beans Relay, ",""))="","",LEFT(IF(AND($BR106&lt;&gt;"Yes",$BR106&lt;&gt;"N/A"),"Power Cable, ","")&amp;IF(AND($BS106&lt;&gt;"Yes",$BS106&lt;&gt;"N/A"),"Battery, ","")&amp;IF(AND($AD106&lt;&gt;"Yes",$AD106&lt;&gt;"N/A"),"Firmware Download, ","")&amp;IF(AND(OR($AD106="Yes",$AD106="N/A"),$AE106&lt;&gt;"Yes",$AE106&lt;&gt;"N/A"),"Firmware Install, ","")&amp;IF(AND($CB106&lt;&gt;"Yes",$CB106&lt;&gt;"N/A"),"Device ID, ","")&amp;IF(AND($CC106&lt;&gt;"Yes",$CC106&lt;&gt;"N/A"),"Epic Beans Relay, ",""),LEN(IF(AND($BR106&lt;&gt;"Yes",$BR106&lt;&gt;"N/A"),"Power Cable, ","")&amp;IF(AND($BS106&lt;&gt;"Yes",$BS106&lt;&gt;"N/A"),"Battery, ","")&amp;IF(AND($AD106&lt;&gt;"Yes",$AD106&lt;&gt;"N/A"),"Firmware Download, ","")&amp;IF(AND(OR($AD106="Yes",$AD106="N/A"),$AE106&lt;&gt;"Yes",$AE106&lt;&gt;"N/A"),"Firmware Install, ","")&amp;IF(AND($CB106&lt;&gt;"Yes",$CB106&lt;&gt;"N/A"),"Device ID, ","")&amp;IF(AND($CC106&lt;&gt;"Yes",$CC106&lt;&gt;"N/A"),"Epic Beans Relay, ",""))-2)))</f>
        <v/>
      </c>
      <c r="CE106">
        <f>IF($Y106="","",IF($CD106="","Yes","Blocked"))</f>
        <v/>
      </c>
      <c r="CF106" t="inlineStr">
        <is>
          <t>Yes</t>
        </is>
      </c>
      <c r="CG106" t="inlineStr">
        <is>
          <t>Yes</t>
        </is>
      </c>
      <c r="CH106" t="inlineStr">
        <is>
          <t>Yes</t>
        </is>
      </c>
      <c r="CI106" t="inlineStr">
        <is>
          <t>Yes</t>
        </is>
      </c>
      <c r="CJ106" t="inlineStr">
        <is>
          <t>Yes</t>
        </is>
      </c>
      <c r="CQ106">
        <f>IF($CO106="","",IFERROR(VLOOKUP($CO106,'01_Warehouse_Ledger'!$A:$N,5,FALSE),""))</f>
        <v/>
      </c>
      <c r="CR106">
        <f>IF($CO106="","",IFERROR(VLOOKUP($CO106,'01_Warehouse_Ledger'!$A:$N,13,FALSE),""))</f>
        <v/>
      </c>
      <c r="CW106">
        <f>IF($S106="","",IF(UPPER(TRIM($S106))&lt;&gt;"PASS","",IF(LEN(TRIM($BY106))&gt;0,"NOTES_PRESENT",IF(LEN(TRIM($T106))=0,"SET_NA",IF(OR(LOWER(TRIM($T106))="na",LOWER(TRIM($T106))="n/a"),"OK","MANUAL_OVERRIDE")))))</f>
        <v/>
      </c>
    </row>
    <row r="107">
      <c r="A107" t="inlineStr">
        <is>
          <t>Neuron Cybernet</t>
        </is>
      </c>
      <c r="B107" s="51" t="inlineStr">
        <is>
          <t>Yes</t>
        </is>
      </c>
      <c r="C107" t="inlineStr">
        <is>
          <t>Yes</t>
        </is>
      </c>
      <c r="D107">
        <f>IF($B107&lt;&gt;"Yes","",IF($C107="No","Yes",IF($C107="Yes","No","")))</f>
        <v/>
      </c>
      <c r="E107">
        <f>IF($A107="","",IF(OR(AND($V107&lt;&gt;"",LOWER(TRIM($V107))&lt;&gt;"n/a",LOWER(TRIM($V107))&lt;&gt;"na",SUMPRODUCT(--(UPPER(TRIM($V$2:$V$518))=UPPER(TRIM($V107))),--(TRIM($V$2:$V$518)&lt;&gt;""),--(LOWER(TRIM($V$2:$V$518))&lt;&gt;"n/a"),--(LOWER(TRIM($V$2:$V$518))&lt;&gt;"na"))&gt;1),AND($W107&lt;&gt;"",LOWER(TRIM($W107))&lt;&gt;"n/a",LOWER(TRIM($W107))&lt;&gt;"na",SUMPRODUCT(--(UPPER(TRIM($W$2:$W$518))=UPPER(TRIM($W107))),--(TRIM($W$2:$W$518)&lt;&gt;""),--(LOWER(TRIM($W$2:$W$518))&lt;&gt;"n/a"),--(LOWER(TRIM($W$2:$W$518))&lt;&gt;"na"))&gt;1),AND($X107&lt;&gt;"",LOWER(TRIM($X107))&lt;&gt;"n/a",LOWER(TRIM($X107))&lt;&gt;"na",SUMPRODUCT(--(UPPER(TRIM($X$2:$X$518))=UPPER(TRIM($X107))),--(TRIM($X$2:$X$518)&lt;&gt;""),--(LOWER(TRIM($X$2:$X$518))&lt;&gt;"n/a"),--(LOWER(TRIM($X$2:$X$518))&lt;&gt;"na"))&gt;1),AND($Y107&lt;&gt;"",LOWER(TRIM($Y107))&lt;&gt;"n/a",LOWER(TRIM($Y107))&lt;&gt;"na",SUMPRODUCT(--(UPPER(SUBSTITUTE(SUBSTITUTE(TRIM($Y$2:$Y$518),":",""),"-",""))=UPPER(SUBSTITUTE(SUBSTITUTE(TRIM($Y107),":",""),"-",""))),--(TRIM($Y$2:$Y$518)&lt;&gt;""),--(LOWER(TRIM($Y$2:$Y$518))&lt;&gt;"n/a"),--(LOWER(TRIM($Y$2:$Y$518))&lt;&gt;"na"))&gt;1),AND($AB107&lt;&gt;"",LOWER(TRIM($AB107))&lt;&gt;"n/a",LOWER(TRIM($AB107))&lt;&gt;"na",SUMPRODUCT(--(UPPER(TRIM($AB$2:$AB$518))=UPPER(TRIM($AB107))),--(TRIM($AB$2:$AB$518)&lt;&gt;""),--(LOWER(TRIM($AB$2:$AB$518))&lt;&gt;"n/a"),--(LOWER(TRIM($AB$2:$AB$518))&lt;&gt;"na"))&gt;1),AND($AH107&lt;&gt;"",LOWER(TRIM($AH107))&lt;&gt;"n/a",LOWER(TRIM($AH107))&lt;&gt;"na",SUMPRODUCT(--(UPPER(SUBSTITUTE(SUBSTITUTE(TRIM($AH$2:$AH$518),":",""),"-",""))=UPPER(SUBSTITUTE(SUBSTITUTE(TRIM($AH107),":",""),"-",""))),--(TRIM($AH$2:$AH$518)&lt;&gt;""),--(LOWER(TRIM($AH$2:$AH$518))&lt;&gt;"n/a"),--(LOWER(TRIM($AH$2:$AH$518))&lt;&gt;"na"))&gt;1),AND($AP107&lt;&gt;"",LOWER(TRIM($AP107))&lt;&gt;"n/a",LOWER(TRIM($AP107))&lt;&gt;"na",SUMPRODUCT(--(UPPER(TRIM($AP$2:$AP$518))=UPPER(TRIM($AP107))),--(TRIM($AP$2:$AP$518)&lt;&gt;""),--(LOWER(TRIM($AP$2:$AP$518))&lt;&gt;"n/a"),--(LOWER(TRIM($AP$2:$AP$518))&lt;&gt;"na"))&gt;1),AND($AQ107&lt;&gt;"",LOWER(TRIM($AQ107))&lt;&gt;"n/a",LOWER(TRIM($AQ107))&lt;&gt;"na",SUMPRODUCT(--(UPPER(TRIM($AQ$2:$AQ$518))=UPPER(TRIM($AQ107))),--(TRIM($AQ$2:$AQ$518)&lt;&gt;""),--(LOWER(TRIM($AQ$2:$AQ$518))&lt;&gt;"n/a"),--(LOWER(TRIM($AQ$2:$AQ$518))&lt;&gt;"na"))&gt;1)),"Yes","No"))</f>
        <v/>
      </c>
      <c r="F107">
        <f>IF(UPPER(TRIM($B107))&lt;&gt;"YES","", IF(OR(AND($V107&lt;&gt;"", LOWER(TRIM($V107))&lt;&gt;"n/a", LOWER(TRIM($V107))&lt;&gt;"na", SUMPRODUCT(--(UPPER(TRIM($V$2:$V$518))=UPPER(TRIM($V107))), --(UPPER(TRIM($B$2:$B$518))="YES"), --(UPPER(TRIM($G$2:$G$518)&amp;TRIM($I$2:$I$518)&amp;TRIM($J$2:$J$518))&lt;&gt;UPPER(TRIM($G107)&amp;TRIM($I107)&amp;TRIM($J107))))&gt;0), AND($W107&lt;&gt;"", LOWER(TRIM($W107))&lt;&gt;"n/a", LOWER(TRIM($W107))&lt;&gt;"na", SUMPRODUCT(--(UPPER(TRIM($W$2:$W$518))=UPPER(TRIM($W107))), --(UPPER(TRIM($B$2:$B$518))="YES"), --(UPPER(TRIM($G$2:$G$518)&amp;TRIM($I$2:$I$518)&amp;TRIM($J$2:$J$518))&lt;&gt;UPPER(TRIM($G107)&amp;TRIM($I107)&amp;TRIM($J107))))&gt;0), AND($X107&lt;&gt;"", LOWER(TRIM($X107))&lt;&gt;"n/a", LOWER(TRIM($X107))&lt;&gt;"na", SUMPRODUCT(--(UPPER(TRIM($X$2:$X$518))=UPPER(TRIM($X107))), --(UPPER(TRIM($B$2:$B$518))="YES"), --(UPPER(TRIM($G$2:$G$518)&amp;TRIM($I$2:$I$518)&amp;TRIM($J$2:$J$518))&lt;&gt;UPPER(TRIM($G107)&amp;TRIM($I107)&amp;TRIM($J107))))&gt;0), AND($Y107&lt;&gt;"", LOWER(TRIM($Y107))&lt;&gt;"n/a", LOWER(TRIM($Y107))&lt;&gt;"na", SUMPRODUCT(--(UPPER(SUBSTITUTE(SUBSTITUTE(TRIM($Y$2:$Y$518),":",""),"-",""))=UPPER(SUBSTITUTE(SUBSTITUTE(TRIM($Y107),":",""),"-",""))), --(UPPER(TRIM($B$2:$B$518))="YES"), --(UPPER(TRIM($G$2:$G$518)&amp;TRIM($I$2:$I$518)&amp;TRIM($J$2:$J$518))&lt;&gt;UPPER(TRIM($G107)&amp;TRIM($I107)&amp;TRIM($J107))))&gt;0), AND($AB107&lt;&gt;"", LOWER(TRIM($AB107))&lt;&gt;"n/a", LOWER(TRIM($AB107))&lt;&gt;"na", SUMPRODUCT(--(UPPER(TRIM($AB$2:$AB$518))=UPPER(TRIM($AB107))), --(UPPER(TRIM($B$2:$B$518))="YES"), --(UPPER(TRIM($G$2:$G$518)&amp;TRIM($I$2:$I$518)&amp;TRIM($J$2:$J$518))&lt;&gt;UPPER(TRIM($G107)&amp;TRIM($I107)&amp;TRIM($J107))))&gt;0), AND($AH107&lt;&gt;"", LOWER(TRIM($AH107))&lt;&gt;"n/a", LOWER(TRIM($AH107))&lt;&gt;"na", SUMPRODUCT(--(UPPER(SUBSTITUTE(SUBSTITUTE(TRIM($AH$2:$AH$518),":",""),"-",""))=UPPER(SUBSTITUTE(SUBSTITUTE(TRIM($AH107),":",""),"-",""))), --(UPPER(TRIM($B$2:$B$518))="YES"), --(UPPER(TRIM($G$2:$G$518)&amp;TRIM($I$2:$I$518)&amp;TRIM($J$2:$J$518))&lt;&gt;UPPER(TRIM($G107)&amp;TRIM($I107)&amp;TRIM($J107))))&gt;0), AND($AP107&lt;&gt;"", LOWER(TRIM($AP107))&lt;&gt;"n/a", LOWER(TRIM($AP107))&lt;&gt;"na", SUMPRODUCT(--(UPPER(TRIM($AP$2:$AP$518))=UPPER(TRIM($AP107))), --(UPPER(TRIM($B$2:$B$518))="YES"), --(UPPER(TRIM($G$2:$G$518)&amp;TRIM($I$2:$I$518)&amp;TRIM($J$2:$J$518))&lt;&gt;UPPER(TRIM($G107)&amp;TRIM($I107)&amp;TRIM($J107))))&gt;0), AND($AQ107&lt;&gt;"", LOWER(TRIM($AQ107))&lt;&gt;"n/a", LOWER(TRIM($AQ107))&lt;&gt;"na", SUMPRODUCT(--(UPPER(TRIM($AQ$2:$AQ$518))=UPPER(TRIM($AQ107))), --(UPPER(TRIM($B$2:$B$518))="YES"), --(UPPER(TRIM($G$2:$G$518)&amp;TRIM($I$2:$I$518)&amp;TRIM($J$2:$J$518))&lt;&gt;UPPER(TRIM($G107)&amp;TRIM($I107)&amp;TRIM($J107))))&gt;0)), "Yes", "No"))</f>
        <v/>
      </c>
      <c r="G107" t="inlineStr">
        <is>
          <t>ZHH</t>
        </is>
      </c>
      <c r="H107" t="inlineStr">
        <is>
          <t>ZHH</t>
        </is>
      </c>
      <c r="I107" t="inlineStr">
        <is>
          <t>ECT</t>
        </is>
      </c>
      <c r="J107" t="inlineStr">
        <is>
          <t>OR C</t>
        </is>
      </c>
      <c r="K107" t="inlineStr">
        <is>
          <t>n/a</t>
        </is>
      </c>
      <c r="L107" s="18" t="n">
        <v>46088</v>
      </c>
      <c r="M107" t="inlineStr">
        <is>
          <t>iPro Anesthesia Workstation</t>
        </is>
      </c>
      <c r="N107" t="inlineStr">
        <is>
          <t>N</t>
        </is>
      </c>
      <c r="O107" t="inlineStr">
        <is>
          <t>Y</t>
        </is>
      </c>
      <c r="P107" t="inlineStr">
        <is>
          <t>Y</t>
        </is>
      </c>
      <c r="Q107" t="inlineStr">
        <is>
          <t>Inpatient</t>
        </is>
      </c>
      <c r="S107" t="inlineStr">
        <is>
          <t>Pass</t>
        </is>
      </c>
      <c r="T107" t="inlineStr">
        <is>
          <t>n/a</t>
        </is>
      </c>
      <c r="U107" t="inlineStr">
        <is>
          <t>1427182 LIJ Installation (Project Name) - Tim W. Seeberger, Akbar, Chris Perkins, Epic Team, Anesthesia Techs, and Admins</t>
        </is>
      </c>
      <c r="V107" t="inlineStr">
        <is>
          <t>WNH265OPR001</t>
        </is>
      </c>
      <c r="W107" t="inlineStr">
        <is>
          <t>MEDSG2425F-0075</t>
        </is>
      </c>
      <c r="X107" t="inlineStr">
        <is>
          <t>ZHH-MACH-?</t>
        </is>
      </c>
      <c r="Y107" t="inlineStr">
        <is>
          <t>A0F5097B9BB8</t>
        </is>
      </c>
      <c r="AB107" t="inlineStr">
        <is>
          <t>WA25300315</t>
        </is>
      </c>
      <c r="AC107" t="inlineStr">
        <is>
          <t>LIJ</t>
        </is>
      </c>
      <c r="AF107" t="inlineStr">
        <is>
          <t>Battery, Firmware Download, Device ID, Epic Beans Relay</t>
        </is>
      </c>
      <c r="AG107" t="inlineStr">
        <is>
          <t>Blocked</t>
        </is>
      </c>
      <c r="AI107" t="inlineStr">
        <is>
          <t>Anesthesia Machine</t>
        </is>
      </c>
      <c r="AL107" t="inlineStr">
        <is>
          <t>PIC</t>
        </is>
      </c>
      <c r="AM107" t="inlineStr">
        <is>
          <t>Drager</t>
        </is>
      </c>
      <c r="AN107" t="inlineStr">
        <is>
          <t>Fabius Tiro</t>
        </is>
      </c>
      <c r="AO107" t="inlineStr">
        <is>
          <t>n/a</t>
        </is>
      </c>
      <c r="AP107" t="inlineStr">
        <is>
          <t>01040486750414741116030921ASJC-0019938606000-80</t>
        </is>
      </c>
      <c r="AQ107" t="inlineStr">
        <is>
          <t>01040486750414741116030921ASJC-0019938606000-80</t>
        </is>
      </c>
      <c r="AS107" t="inlineStr">
        <is>
          <t>B1-CFB (non-Vista monitor variety)</t>
        </is>
      </c>
      <c r="AX107" t="inlineStr">
        <is>
          <t>MX700 - PN:865241 SN:DE12508918 SRV:865241</t>
        </is>
      </c>
      <c r="AY107" t="inlineStr">
        <is>
          <t>Anesthesia Machine</t>
        </is>
      </c>
      <c r="AZ107" t="inlineStr">
        <is>
          <t>n/a</t>
        </is>
      </c>
      <c r="BA107" t="inlineStr">
        <is>
          <t>n/a</t>
        </is>
      </c>
      <c r="BB107" t="inlineStr">
        <is>
          <t>n/a</t>
        </is>
      </c>
      <c r="BH107" t="inlineStr">
        <is>
          <t>n/a</t>
        </is>
      </c>
      <c r="BR107" t="inlineStr">
        <is>
          <t>Yes</t>
        </is>
      </c>
      <c r="BS107" t="inlineStr">
        <is>
          <t>Yes</t>
        </is>
      </c>
      <c r="BT107" t="inlineStr">
        <is>
          <t>Yes</t>
        </is>
      </c>
      <c r="BU107" t="inlineStr">
        <is>
          <t>Yes</t>
        </is>
      </c>
      <c r="BZ107" t="inlineStr">
        <is>
          <t>the usual apps</t>
        </is>
      </c>
      <c r="CA107" t="inlineStr">
        <is>
          <t>iPro
Epic Satellite
ALLSCRIPTS
EPIC BCA</t>
        </is>
      </c>
      <c r="CC107" t="inlineStr"/>
      <c r="CD107">
        <f>IF($Y107="","",IF((IF(AND($BR107&lt;&gt;"Yes",$BR107&lt;&gt;"N/A"),"Power Cable, ","")&amp;IF(AND($BS107&lt;&gt;"Yes",$BS107&lt;&gt;"N/A"),"Battery, ","")&amp;IF(AND($AD107&lt;&gt;"Yes",$AD107&lt;&gt;"N/A"),"Firmware Download, ","")&amp;IF(AND(OR($AD107="Yes",$AD107="N/A"),$AE107&lt;&gt;"Yes",$AE107&lt;&gt;"N/A"),"Firmware Install, ","")&amp;IF(AND($CB107&lt;&gt;"Yes",$CB107&lt;&gt;"N/A"),"Device ID, ","")&amp;IF(AND($CC107&lt;&gt;"Yes",$CC107&lt;&gt;"N/A"),"Epic Beans Relay, ",""))="","",LEFT(IF(AND($BR107&lt;&gt;"Yes",$BR107&lt;&gt;"N/A"),"Power Cable, ","")&amp;IF(AND($BS107&lt;&gt;"Yes",$BS107&lt;&gt;"N/A"),"Battery, ","")&amp;IF(AND($AD107&lt;&gt;"Yes",$AD107&lt;&gt;"N/A"),"Firmware Download, ","")&amp;IF(AND(OR($AD107="Yes",$AD107="N/A"),$AE107&lt;&gt;"Yes",$AE107&lt;&gt;"N/A"),"Firmware Install, ","")&amp;IF(AND($CB107&lt;&gt;"Yes",$CB107&lt;&gt;"N/A"),"Device ID, ","")&amp;IF(AND($CC107&lt;&gt;"Yes",$CC107&lt;&gt;"N/A"),"Epic Beans Relay, ",""),LEN(IF(AND($BR107&lt;&gt;"Yes",$BR107&lt;&gt;"N/A"),"Power Cable, ","")&amp;IF(AND($BS107&lt;&gt;"Yes",$BS107&lt;&gt;"N/A"),"Battery, ","")&amp;IF(AND($AD107&lt;&gt;"Yes",$AD107&lt;&gt;"N/A"),"Firmware Download, ","")&amp;IF(AND(OR($AD107="Yes",$AD107="N/A"),$AE107&lt;&gt;"Yes",$AE107&lt;&gt;"N/A"),"Firmware Install, ","")&amp;IF(AND($CB107&lt;&gt;"Yes",$CB107&lt;&gt;"N/A"),"Device ID, ","")&amp;IF(AND($CC107&lt;&gt;"Yes",$CC107&lt;&gt;"N/A"),"Epic Beans Relay, ",""))-2)))</f>
        <v/>
      </c>
      <c r="CE107">
        <f>IF($Y107="","",IF($CD107="","Yes","Blocked"))</f>
        <v/>
      </c>
      <c r="CF107" t="inlineStr">
        <is>
          <t>Yes</t>
        </is>
      </c>
      <c r="CG107" t="inlineStr">
        <is>
          <t>Yes</t>
        </is>
      </c>
      <c r="CH107" t="inlineStr">
        <is>
          <t>Yes</t>
        </is>
      </c>
      <c r="CI107" t="inlineStr">
        <is>
          <t>Yes</t>
        </is>
      </c>
      <c r="CJ107" t="inlineStr">
        <is>
          <t>Yes</t>
        </is>
      </c>
      <c r="CQ107">
        <f>IF($CO107="","",IFERROR(VLOOKUP($CO107,'01_Warehouse_Ledger'!$A:$N,5,FALSE),""))</f>
        <v/>
      </c>
      <c r="CR107">
        <f>IF($CO107="","",IFERROR(VLOOKUP($CO107,'01_Warehouse_Ledger'!$A:$N,13,FALSE),""))</f>
        <v/>
      </c>
      <c r="CW107">
        <f>IF($S107="","",IF(UPPER(TRIM($S107))&lt;&gt;"PASS","",IF(LEN(TRIM($BY107))&gt;0,"NOTES_PRESENT",IF(LEN(TRIM($T107))=0,"SET_NA",IF(OR(LOWER(TRIM($T107))="na",LOWER(TRIM($T107))="n/a"),"OK","MANUAL_OVERRIDE")))))</f>
        <v/>
      </c>
    </row>
    <row r="108">
      <c r="A108" t="inlineStr">
        <is>
          <t>Neuron Cybernet</t>
        </is>
      </c>
      <c r="B108" s="51" t="inlineStr">
        <is>
          <t>Yes</t>
        </is>
      </c>
      <c r="C108" t="inlineStr">
        <is>
          <t>Yes</t>
        </is>
      </c>
      <c r="D108">
        <f>IF($B108&lt;&gt;"Yes","",IF($C108="No","Yes",IF($C108="Yes","No","")))</f>
        <v/>
      </c>
      <c r="E108">
        <f>IF($A108="","",IF(OR(AND($V108&lt;&gt;"",LOWER(TRIM($V108))&lt;&gt;"n/a",LOWER(TRIM($V108))&lt;&gt;"na",SUMPRODUCT(--(UPPER(TRIM($V$2:$V$518))=UPPER(TRIM($V108))),--(TRIM($V$2:$V$518)&lt;&gt;""),--(LOWER(TRIM($V$2:$V$518))&lt;&gt;"n/a"),--(LOWER(TRIM($V$2:$V$518))&lt;&gt;"na"))&gt;1),AND($W108&lt;&gt;"",LOWER(TRIM($W108))&lt;&gt;"n/a",LOWER(TRIM($W108))&lt;&gt;"na",SUMPRODUCT(--(UPPER(TRIM($W$2:$W$518))=UPPER(TRIM($W108))),--(TRIM($W$2:$W$518)&lt;&gt;""),--(LOWER(TRIM($W$2:$W$518))&lt;&gt;"n/a"),--(LOWER(TRIM($W$2:$W$518))&lt;&gt;"na"))&gt;1),AND($X108&lt;&gt;"",LOWER(TRIM($X108))&lt;&gt;"n/a",LOWER(TRIM($X108))&lt;&gt;"na",SUMPRODUCT(--(UPPER(TRIM($X$2:$X$518))=UPPER(TRIM($X108))),--(TRIM($X$2:$X$518)&lt;&gt;""),--(LOWER(TRIM($X$2:$X$518))&lt;&gt;"n/a"),--(LOWER(TRIM($X$2:$X$518))&lt;&gt;"na"))&gt;1),AND($Y108&lt;&gt;"",LOWER(TRIM($Y108))&lt;&gt;"n/a",LOWER(TRIM($Y108))&lt;&gt;"na",SUMPRODUCT(--(UPPER(SUBSTITUTE(SUBSTITUTE(TRIM($Y$2:$Y$518),":",""),"-",""))=UPPER(SUBSTITUTE(SUBSTITUTE(TRIM($Y108),":",""),"-",""))),--(TRIM($Y$2:$Y$518)&lt;&gt;""),--(LOWER(TRIM($Y$2:$Y$518))&lt;&gt;"n/a"),--(LOWER(TRIM($Y$2:$Y$518))&lt;&gt;"na"))&gt;1),AND($AB108&lt;&gt;"",LOWER(TRIM($AB108))&lt;&gt;"n/a",LOWER(TRIM($AB108))&lt;&gt;"na",SUMPRODUCT(--(UPPER(TRIM($AB$2:$AB$518))=UPPER(TRIM($AB108))),--(TRIM($AB$2:$AB$518)&lt;&gt;""),--(LOWER(TRIM($AB$2:$AB$518))&lt;&gt;"n/a"),--(LOWER(TRIM($AB$2:$AB$518))&lt;&gt;"na"))&gt;1),AND($AH108&lt;&gt;"",LOWER(TRIM($AH108))&lt;&gt;"n/a",LOWER(TRIM($AH108))&lt;&gt;"na",SUMPRODUCT(--(UPPER(SUBSTITUTE(SUBSTITUTE(TRIM($AH$2:$AH$518),":",""),"-",""))=UPPER(SUBSTITUTE(SUBSTITUTE(TRIM($AH108),":",""),"-",""))),--(TRIM($AH$2:$AH$518)&lt;&gt;""),--(LOWER(TRIM($AH$2:$AH$518))&lt;&gt;"n/a"),--(LOWER(TRIM($AH$2:$AH$518))&lt;&gt;"na"))&gt;1),AND($AP108&lt;&gt;"",LOWER(TRIM($AP108))&lt;&gt;"n/a",LOWER(TRIM($AP108))&lt;&gt;"na",SUMPRODUCT(--(UPPER(TRIM($AP$2:$AP$518))=UPPER(TRIM($AP108))),--(TRIM($AP$2:$AP$518)&lt;&gt;""),--(LOWER(TRIM($AP$2:$AP$518))&lt;&gt;"n/a"),--(LOWER(TRIM($AP$2:$AP$518))&lt;&gt;"na"))&gt;1),AND($AQ108&lt;&gt;"",LOWER(TRIM($AQ108))&lt;&gt;"n/a",LOWER(TRIM($AQ108))&lt;&gt;"na",SUMPRODUCT(--(UPPER(TRIM($AQ$2:$AQ$518))=UPPER(TRIM($AQ108))),--(TRIM($AQ$2:$AQ$518)&lt;&gt;""),--(LOWER(TRIM($AQ$2:$AQ$518))&lt;&gt;"n/a"),--(LOWER(TRIM($AQ$2:$AQ$518))&lt;&gt;"na"))&gt;1)),"Yes","No"))</f>
        <v/>
      </c>
      <c r="F108">
        <f>IF(UPPER(TRIM($B108))&lt;&gt;"YES","", IF(OR(AND($V108&lt;&gt;"", LOWER(TRIM($V108))&lt;&gt;"n/a", LOWER(TRIM($V108))&lt;&gt;"na", SUMPRODUCT(--(UPPER(TRIM($V$2:$V$518))=UPPER(TRIM($V108))), --(UPPER(TRIM($B$2:$B$518))="YES"), --(UPPER(TRIM($G$2:$G$518)&amp;TRIM($I$2:$I$518)&amp;TRIM($J$2:$J$518))&lt;&gt;UPPER(TRIM($G108)&amp;TRIM($I108)&amp;TRIM($J108))))&gt;0), AND($W108&lt;&gt;"", LOWER(TRIM($W108))&lt;&gt;"n/a", LOWER(TRIM($W108))&lt;&gt;"na", SUMPRODUCT(--(UPPER(TRIM($W$2:$W$518))=UPPER(TRIM($W108))), --(UPPER(TRIM($B$2:$B$518))="YES"), --(UPPER(TRIM($G$2:$G$518)&amp;TRIM($I$2:$I$518)&amp;TRIM($J$2:$J$518))&lt;&gt;UPPER(TRIM($G108)&amp;TRIM($I108)&amp;TRIM($J108))))&gt;0), AND($X108&lt;&gt;"", LOWER(TRIM($X108))&lt;&gt;"n/a", LOWER(TRIM($X108))&lt;&gt;"na", SUMPRODUCT(--(UPPER(TRIM($X$2:$X$518))=UPPER(TRIM($X108))), --(UPPER(TRIM($B$2:$B$518))="YES"), --(UPPER(TRIM($G$2:$G$518)&amp;TRIM($I$2:$I$518)&amp;TRIM($J$2:$J$518))&lt;&gt;UPPER(TRIM($G108)&amp;TRIM($I108)&amp;TRIM($J108))))&gt;0), AND($Y108&lt;&gt;"", LOWER(TRIM($Y108))&lt;&gt;"n/a", LOWER(TRIM($Y108))&lt;&gt;"na", SUMPRODUCT(--(UPPER(SUBSTITUTE(SUBSTITUTE(TRIM($Y$2:$Y$518),":",""),"-",""))=UPPER(SUBSTITUTE(SUBSTITUTE(TRIM($Y108),":",""),"-",""))), --(UPPER(TRIM($B$2:$B$518))="YES"), --(UPPER(TRIM($G$2:$G$518)&amp;TRIM($I$2:$I$518)&amp;TRIM($J$2:$J$518))&lt;&gt;UPPER(TRIM($G108)&amp;TRIM($I108)&amp;TRIM($J108))))&gt;0), AND($AB108&lt;&gt;"", LOWER(TRIM($AB108))&lt;&gt;"n/a", LOWER(TRIM($AB108))&lt;&gt;"na", SUMPRODUCT(--(UPPER(TRIM($AB$2:$AB$518))=UPPER(TRIM($AB108))), --(UPPER(TRIM($B$2:$B$518))="YES"), --(UPPER(TRIM($G$2:$G$518)&amp;TRIM($I$2:$I$518)&amp;TRIM($J$2:$J$518))&lt;&gt;UPPER(TRIM($G108)&amp;TRIM($I108)&amp;TRIM($J108))))&gt;0), AND($AH108&lt;&gt;"", LOWER(TRIM($AH108))&lt;&gt;"n/a", LOWER(TRIM($AH108))&lt;&gt;"na", SUMPRODUCT(--(UPPER(SUBSTITUTE(SUBSTITUTE(TRIM($AH$2:$AH$518),":",""),"-",""))=UPPER(SUBSTITUTE(SUBSTITUTE(TRIM($AH108),":",""),"-",""))), --(UPPER(TRIM($B$2:$B$518))="YES"), --(UPPER(TRIM($G$2:$G$518)&amp;TRIM($I$2:$I$518)&amp;TRIM($J$2:$J$518))&lt;&gt;UPPER(TRIM($G108)&amp;TRIM($I108)&amp;TRIM($J108))))&gt;0), AND($AP108&lt;&gt;"", LOWER(TRIM($AP108))&lt;&gt;"n/a", LOWER(TRIM($AP108))&lt;&gt;"na", SUMPRODUCT(--(UPPER(TRIM($AP$2:$AP$518))=UPPER(TRIM($AP108))), --(UPPER(TRIM($B$2:$B$518))="YES"), --(UPPER(TRIM($G$2:$G$518)&amp;TRIM($I$2:$I$518)&amp;TRIM($J$2:$J$518))&lt;&gt;UPPER(TRIM($G108)&amp;TRIM($I108)&amp;TRIM($J108))))&gt;0), AND($AQ108&lt;&gt;"", LOWER(TRIM($AQ108))&lt;&gt;"n/a", LOWER(TRIM($AQ108))&lt;&gt;"na", SUMPRODUCT(--(UPPER(TRIM($AQ$2:$AQ$518))=UPPER(TRIM($AQ108))), --(UPPER(TRIM($B$2:$B$518))="YES"), --(UPPER(TRIM($G$2:$G$518)&amp;TRIM($I$2:$I$518)&amp;TRIM($J$2:$J$518))&lt;&gt;UPPER(TRIM($G108)&amp;TRIM($I108)&amp;TRIM($J108))))&gt;0)), "Yes", "No"))</f>
        <v/>
      </c>
      <c r="G108" t="inlineStr">
        <is>
          <t>ZHH</t>
        </is>
      </c>
      <c r="H108" t="inlineStr">
        <is>
          <t>ZHH</t>
        </is>
      </c>
      <c r="I108" t="inlineStr">
        <is>
          <t>ECT</t>
        </is>
      </c>
      <c r="J108" t="inlineStr">
        <is>
          <t>OR A</t>
        </is>
      </c>
      <c r="K108" t="inlineStr">
        <is>
          <t>n/a</t>
        </is>
      </c>
      <c r="L108" s="18" t="n">
        <v>46088</v>
      </c>
      <c r="M108" t="inlineStr">
        <is>
          <t>iPro Anesthesia Workstation</t>
        </is>
      </c>
      <c r="N108" t="inlineStr">
        <is>
          <t>N</t>
        </is>
      </c>
      <c r="O108" t="inlineStr">
        <is>
          <t>Y</t>
        </is>
      </c>
      <c r="P108" t="inlineStr">
        <is>
          <t>Y</t>
        </is>
      </c>
      <c r="Q108" t="inlineStr">
        <is>
          <t>Inpatient</t>
        </is>
      </c>
      <c r="S108" t="inlineStr">
        <is>
          <t>Pass</t>
        </is>
      </c>
      <c r="T108" t="inlineStr">
        <is>
          <t>n/a</t>
        </is>
      </c>
      <c r="U108" t="inlineStr">
        <is>
          <t>1427182 LIJ Installation (Project Name) - Tim W. Seeberger, Akbar, Chris Perkins, Epic Team, Anesthesia Techs, and Admins</t>
        </is>
      </c>
      <c r="V108" t="inlineStr">
        <is>
          <t>WNH265OPR003</t>
        </is>
      </c>
      <c r="W108" t="inlineStr">
        <is>
          <t>MEDSG2425F-0049</t>
        </is>
      </c>
      <c r="X108" t="inlineStr">
        <is>
          <t>ZHH-MACH-A</t>
        </is>
      </c>
      <c r="Y108" t="inlineStr">
        <is>
          <t>A0F5097B961B</t>
        </is>
      </c>
      <c r="AB108" t="inlineStr">
        <is>
          <t>WA25300273</t>
        </is>
      </c>
      <c r="AC108" t="inlineStr">
        <is>
          <t>LIJ</t>
        </is>
      </c>
      <c r="AF108" t="inlineStr">
        <is>
          <t>Battery, Firmware Download, Device ID, Epic Beans Relay</t>
        </is>
      </c>
      <c r="AG108" t="inlineStr">
        <is>
          <t>Blocked</t>
        </is>
      </c>
      <c r="AI108" t="inlineStr">
        <is>
          <t>Anesthesia Machine</t>
        </is>
      </c>
      <c r="AL108" t="inlineStr">
        <is>
          <t>PIC</t>
        </is>
      </c>
      <c r="AM108" t="inlineStr">
        <is>
          <t>Drager</t>
        </is>
      </c>
      <c r="AN108" t="inlineStr">
        <is>
          <t>Fabius Tiro</t>
        </is>
      </c>
      <c r="AO108" t="inlineStr">
        <is>
          <t>n/a</t>
        </is>
      </c>
      <c r="AP108" t="inlineStr">
        <is>
          <t>8606000-66ASDK-0216</t>
        </is>
      </c>
      <c r="AQ108" t="inlineStr">
        <is>
          <t>8606000-66ASDK-0216</t>
        </is>
      </c>
      <c r="AS108" t="inlineStr">
        <is>
          <t>B1-CFB (non-Vista monitor variety)</t>
        </is>
      </c>
      <c r="AX108" t="inlineStr">
        <is>
          <t>MX700 -PN:865241 SN:DE12508922 SRV:865241</t>
        </is>
      </c>
      <c r="AY108" t="inlineStr">
        <is>
          <t>Anesthesia Machine</t>
        </is>
      </c>
      <c r="AZ108" t="inlineStr">
        <is>
          <t>n/a</t>
        </is>
      </c>
      <c r="BA108" t="inlineStr">
        <is>
          <t>n/a</t>
        </is>
      </c>
      <c r="BB108" t="inlineStr">
        <is>
          <t>n/a</t>
        </is>
      </c>
      <c r="BH108" t="inlineStr">
        <is>
          <t>n/a</t>
        </is>
      </c>
      <c r="BR108" t="inlineStr">
        <is>
          <t>Yes</t>
        </is>
      </c>
      <c r="BS108" t="inlineStr">
        <is>
          <t>Yes</t>
        </is>
      </c>
      <c r="BT108" t="inlineStr">
        <is>
          <t>Yes</t>
        </is>
      </c>
      <c r="BU108" t="inlineStr">
        <is>
          <t>Yes</t>
        </is>
      </c>
      <c r="BZ108" t="inlineStr">
        <is>
          <t>the usual apps</t>
        </is>
      </c>
      <c r="CA108" t="inlineStr">
        <is>
          <t>iPro
Epic Satellite
ALLSCRIPTS
EPIC BCA</t>
        </is>
      </c>
      <c r="CC108" t="inlineStr"/>
      <c r="CD108">
        <f>IF($Y108="","",IF((IF(AND($BR108&lt;&gt;"Yes",$BR108&lt;&gt;"N/A"),"Power Cable, ","")&amp;IF(AND($BS108&lt;&gt;"Yes",$BS108&lt;&gt;"N/A"),"Battery, ","")&amp;IF(AND($AD108&lt;&gt;"Yes",$AD108&lt;&gt;"N/A"),"Firmware Download, ","")&amp;IF(AND(OR($AD108="Yes",$AD108="N/A"),$AE108&lt;&gt;"Yes",$AE108&lt;&gt;"N/A"),"Firmware Install, ","")&amp;IF(AND($CB108&lt;&gt;"Yes",$CB108&lt;&gt;"N/A"),"Device ID, ","")&amp;IF(AND($CC108&lt;&gt;"Yes",$CC108&lt;&gt;"N/A"),"Epic Beans Relay, ",""))="","",LEFT(IF(AND($BR108&lt;&gt;"Yes",$BR108&lt;&gt;"N/A"),"Power Cable, ","")&amp;IF(AND($BS108&lt;&gt;"Yes",$BS108&lt;&gt;"N/A"),"Battery, ","")&amp;IF(AND($AD108&lt;&gt;"Yes",$AD108&lt;&gt;"N/A"),"Firmware Download, ","")&amp;IF(AND(OR($AD108="Yes",$AD108="N/A"),$AE108&lt;&gt;"Yes",$AE108&lt;&gt;"N/A"),"Firmware Install, ","")&amp;IF(AND($CB108&lt;&gt;"Yes",$CB108&lt;&gt;"N/A"),"Device ID, ","")&amp;IF(AND($CC108&lt;&gt;"Yes",$CC108&lt;&gt;"N/A"),"Epic Beans Relay, ",""),LEN(IF(AND($BR108&lt;&gt;"Yes",$BR108&lt;&gt;"N/A"),"Power Cable, ","")&amp;IF(AND($BS108&lt;&gt;"Yes",$BS108&lt;&gt;"N/A"),"Battery, ","")&amp;IF(AND($AD108&lt;&gt;"Yes",$AD108&lt;&gt;"N/A"),"Firmware Download, ","")&amp;IF(AND(OR($AD108="Yes",$AD108="N/A"),$AE108&lt;&gt;"Yes",$AE108&lt;&gt;"N/A"),"Firmware Install, ","")&amp;IF(AND($CB108&lt;&gt;"Yes",$CB108&lt;&gt;"N/A"),"Device ID, ","")&amp;IF(AND($CC108&lt;&gt;"Yes",$CC108&lt;&gt;"N/A"),"Epic Beans Relay, ",""))-2)))</f>
        <v/>
      </c>
      <c r="CE108">
        <f>IF($Y108="","",IF($CD108="","Yes","Blocked"))</f>
        <v/>
      </c>
      <c r="CF108" t="inlineStr">
        <is>
          <t>Yes</t>
        </is>
      </c>
      <c r="CG108" t="inlineStr">
        <is>
          <t>Yes</t>
        </is>
      </c>
      <c r="CH108" t="inlineStr">
        <is>
          <t>Yes</t>
        </is>
      </c>
      <c r="CI108" t="inlineStr">
        <is>
          <t>Yes</t>
        </is>
      </c>
      <c r="CJ108" t="inlineStr">
        <is>
          <t>Yes</t>
        </is>
      </c>
      <c r="CQ108">
        <f>IF($CO108="","",IFERROR(VLOOKUP($CO108,'01_Warehouse_Ledger'!$A:$N,5,FALSE),""))</f>
        <v/>
      </c>
      <c r="CR108">
        <f>IF($CO108="","",IFERROR(VLOOKUP($CO108,'01_Warehouse_Ledger'!$A:$N,13,FALSE),""))</f>
        <v/>
      </c>
      <c r="CW108">
        <f>IF($S108="","",IF(UPPER(TRIM($S108))&lt;&gt;"PASS","",IF(LEN(TRIM($BY108))&gt;0,"NOTES_PRESENT",IF(LEN(TRIM($T108))=0,"SET_NA",IF(OR(LOWER(TRIM($T108))="na",LOWER(TRIM($T108))="n/a"),"OK","MANUAL_OVERRIDE")))))</f>
        <v/>
      </c>
    </row>
    <row r="109">
      <c r="A109" t="inlineStr">
        <is>
          <t>Cybernet</t>
        </is>
      </c>
      <c r="B109" s="51" t="inlineStr">
        <is>
          <t>Yes</t>
        </is>
      </c>
      <c r="C109" t="inlineStr">
        <is>
          <t>yes</t>
        </is>
      </c>
      <c r="D109">
        <f>IF($B109&lt;&gt;"Yes","",IF($C109="No","Yes",IF($C109="Yes","No","")))</f>
        <v/>
      </c>
      <c r="E109">
        <f>IF($A109="","",IF(OR(AND($V109&lt;&gt;"",LOWER(TRIM($V109))&lt;&gt;"n/a",LOWER(TRIM($V109))&lt;&gt;"na",SUMPRODUCT(--(UPPER(TRIM($V$2:$V$518))=UPPER(TRIM($V109))),--(TRIM($V$2:$V$518)&lt;&gt;""),--(LOWER(TRIM($V$2:$V$518))&lt;&gt;"n/a"),--(LOWER(TRIM($V$2:$V$518))&lt;&gt;"na"))&gt;1),AND($W109&lt;&gt;"",LOWER(TRIM($W109))&lt;&gt;"n/a",LOWER(TRIM($W109))&lt;&gt;"na",SUMPRODUCT(--(UPPER(TRIM($W$2:$W$518))=UPPER(TRIM($W109))),--(TRIM($W$2:$W$518)&lt;&gt;""),--(LOWER(TRIM($W$2:$W$518))&lt;&gt;"n/a"),--(LOWER(TRIM($W$2:$W$518))&lt;&gt;"na"))&gt;1),AND($X109&lt;&gt;"",LOWER(TRIM($X109))&lt;&gt;"n/a",LOWER(TRIM($X109))&lt;&gt;"na",SUMPRODUCT(--(UPPER(TRIM($X$2:$X$518))=UPPER(TRIM($X109))),--(TRIM($X$2:$X$518)&lt;&gt;""),--(LOWER(TRIM($X$2:$X$518))&lt;&gt;"n/a"),--(LOWER(TRIM($X$2:$X$518))&lt;&gt;"na"))&gt;1),AND($Y109&lt;&gt;"",LOWER(TRIM($Y109))&lt;&gt;"n/a",LOWER(TRIM($Y109))&lt;&gt;"na",SUMPRODUCT(--(UPPER(SUBSTITUTE(SUBSTITUTE(TRIM($Y$2:$Y$518),":",""),"-",""))=UPPER(SUBSTITUTE(SUBSTITUTE(TRIM($Y109),":",""),"-",""))),--(TRIM($Y$2:$Y$518)&lt;&gt;""),--(LOWER(TRIM($Y$2:$Y$518))&lt;&gt;"n/a"),--(LOWER(TRIM($Y$2:$Y$518))&lt;&gt;"na"))&gt;1),AND($AB109&lt;&gt;"",LOWER(TRIM($AB109))&lt;&gt;"n/a",LOWER(TRIM($AB109))&lt;&gt;"na",SUMPRODUCT(--(UPPER(TRIM($AB$2:$AB$518))=UPPER(TRIM($AB109))),--(TRIM($AB$2:$AB$518)&lt;&gt;""),--(LOWER(TRIM($AB$2:$AB$518))&lt;&gt;"n/a"),--(LOWER(TRIM($AB$2:$AB$518))&lt;&gt;"na"))&gt;1),AND($AH109&lt;&gt;"",LOWER(TRIM($AH109))&lt;&gt;"n/a",LOWER(TRIM($AH109))&lt;&gt;"na",SUMPRODUCT(--(UPPER(SUBSTITUTE(SUBSTITUTE(TRIM($AH$2:$AH$518),":",""),"-",""))=UPPER(SUBSTITUTE(SUBSTITUTE(TRIM($AH109),":",""),"-",""))),--(TRIM($AH$2:$AH$518)&lt;&gt;""),--(LOWER(TRIM($AH$2:$AH$518))&lt;&gt;"n/a"),--(LOWER(TRIM($AH$2:$AH$518))&lt;&gt;"na"))&gt;1),AND($AP109&lt;&gt;"",LOWER(TRIM($AP109))&lt;&gt;"n/a",LOWER(TRIM($AP109))&lt;&gt;"na",SUMPRODUCT(--(UPPER(TRIM($AP$2:$AP$518))=UPPER(TRIM($AP109))),--(TRIM($AP$2:$AP$518)&lt;&gt;""),--(LOWER(TRIM($AP$2:$AP$518))&lt;&gt;"n/a"),--(LOWER(TRIM($AP$2:$AP$518))&lt;&gt;"na"))&gt;1),AND($AQ109&lt;&gt;"",LOWER(TRIM($AQ109))&lt;&gt;"n/a",LOWER(TRIM($AQ109))&lt;&gt;"na",SUMPRODUCT(--(UPPER(TRIM($AQ$2:$AQ$518))=UPPER(TRIM($AQ109))),--(TRIM($AQ$2:$AQ$518)&lt;&gt;""),--(LOWER(TRIM($AQ$2:$AQ$518))&lt;&gt;"n/a"),--(LOWER(TRIM($AQ$2:$AQ$518))&lt;&gt;"na"))&gt;1)),"Yes","No"))</f>
        <v/>
      </c>
      <c r="F109">
        <f>IF(UPPER(TRIM($B109))&lt;&gt;"YES","", IF(OR(AND($V109&lt;&gt;"", LOWER(TRIM($V109))&lt;&gt;"n/a", LOWER(TRIM($V109))&lt;&gt;"na", SUMPRODUCT(--(UPPER(TRIM($V$2:$V$518))=UPPER(TRIM($V109))), --(UPPER(TRIM($B$2:$B$518))="YES"), --(UPPER(TRIM($G$2:$G$518)&amp;TRIM($I$2:$I$518)&amp;TRIM($J$2:$J$518))&lt;&gt;UPPER(TRIM($G109)&amp;TRIM($I109)&amp;TRIM($J109))))&gt;0), AND($W109&lt;&gt;"", LOWER(TRIM($W109))&lt;&gt;"n/a", LOWER(TRIM($W109))&lt;&gt;"na", SUMPRODUCT(--(UPPER(TRIM($W$2:$W$518))=UPPER(TRIM($W109))), --(UPPER(TRIM($B$2:$B$518))="YES"), --(UPPER(TRIM($G$2:$G$518)&amp;TRIM($I$2:$I$518)&amp;TRIM($J$2:$J$518))&lt;&gt;UPPER(TRIM($G109)&amp;TRIM($I109)&amp;TRIM($J109))))&gt;0), AND($X109&lt;&gt;"", LOWER(TRIM($X109))&lt;&gt;"n/a", LOWER(TRIM($X109))&lt;&gt;"na", SUMPRODUCT(--(UPPER(TRIM($X$2:$X$518))=UPPER(TRIM($X109))), --(UPPER(TRIM($B$2:$B$518))="YES"), --(UPPER(TRIM($G$2:$G$518)&amp;TRIM($I$2:$I$518)&amp;TRIM($J$2:$J$518))&lt;&gt;UPPER(TRIM($G109)&amp;TRIM($I109)&amp;TRIM($J109))))&gt;0), AND($Y109&lt;&gt;"", LOWER(TRIM($Y109))&lt;&gt;"n/a", LOWER(TRIM($Y109))&lt;&gt;"na", SUMPRODUCT(--(UPPER(SUBSTITUTE(SUBSTITUTE(TRIM($Y$2:$Y$518),":",""),"-",""))=UPPER(SUBSTITUTE(SUBSTITUTE(TRIM($Y109),":",""),"-",""))), --(UPPER(TRIM($B$2:$B$518))="YES"), --(UPPER(TRIM($G$2:$G$518)&amp;TRIM($I$2:$I$518)&amp;TRIM($J$2:$J$518))&lt;&gt;UPPER(TRIM($G109)&amp;TRIM($I109)&amp;TRIM($J109))))&gt;0), AND($AB109&lt;&gt;"", LOWER(TRIM($AB109))&lt;&gt;"n/a", LOWER(TRIM($AB109))&lt;&gt;"na", SUMPRODUCT(--(UPPER(TRIM($AB$2:$AB$518))=UPPER(TRIM($AB109))), --(UPPER(TRIM($B$2:$B$518))="YES"), --(UPPER(TRIM($G$2:$G$518)&amp;TRIM($I$2:$I$518)&amp;TRIM($J$2:$J$518))&lt;&gt;UPPER(TRIM($G109)&amp;TRIM($I109)&amp;TRIM($J109))))&gt;0), AND($AH109&lt;&gt;"", LOWER(TRIM($AH109))&lt;&gt;"n/a", LOWER(TRIM($AH109))&lt;&gt;"na", SUMPRODUCT(--(UPPER(SUBSTITUTE(SUBSTITUTE(TRIM($AH$2:$AH$518),":",""),"-",""))=UPPER(SUBSTITUTE(SUBSTITUTE(TRIM($AH109),":",""),"-",""))), --(UPPER(TRIM($B$2:$B$518))="YES"), --(UPPER(TRIM($G$2:$G$518)&amp;TRIM($I$2:$I$518)&amp;TRIM($J$2:$J$518))&lt;&gt;UPPER(TRIM($G109)&amp;TRIM($I109)&amp;TRIM($J109))))&gt;0), AND($AP109&lt;&gt;"", LOWER(TRIM($AP109))&lt;&gt;"n/a", LOWER(TRIM($AP109))&lt;&gt;"na", SUMPRODUCT(--(UPPER(TRIM($AP$2:$AP$518))=UPPER(TRIM($AP109))), --(UPPER(TRIM($B$2:$B$518))="YES"), --(UPPER(TRIM($G$2:$G$518)&amp;TRIM($I$2:$I$518)&amp;TRIM($J$2:$J$518))&lt;&gt;UPPER(TRIM($G109)&amp;TRIM($I109)&amp;TRIM($J109))))&gt;0), AND($AQ109&lt;&gt;"", LOWER(TRIM($AQ109))&lt;&gt;"n/a", LOWER(TRIM($AQ109))&lt;&gt;"na", SUMPRODUCT(--(UPPER(TRIM($AQ$2:$AQ$518))=UPPER(TRIM($AQ109))), --(UPPER(TRIM($B$2:$B$518))="YES"), --(UPPER(TRIM($G$2:$G$518)&amp;TRIM($I$2:$I$518)&amp;TRIM($J$2:$J$518))&lt;&gt;UPPER(TRIM($G109)&amp;TRIM($I109)&amp;TRIM($J109))))&gt;0)), "Yes", "No"))</f>
        <v/>
      </c>
      <c r="G109" t="inlineStr">
        <is>
          <t>CFAM</t>
        </is>
      </c>
      <c r="H109" t="inlineStr">
        <is>
          <t>CFAM</t>
        </is>
      </c>
      <c r="I109" t="inlineStr">
        <is>
          <t>Surgery</t>
        </is>
      </c>
      <c r="J109" t="inlineStr">
        <is>
          <t>OR 2</t>
        </is>
      </c>
      <c r="K109" t="inlineStr">
        <is>
          <t>n/a</t>
        </is>
      </c>
      <c r="L109" s="18" t="n">
        <v>46088</v>
      </c>
      <c r="M109" t="inlineStr">
        <is>
          <t>OR iPro Cybernet Workstation</t>
        </is>
      </c>
      <c r="N109" t="inlineStr">
        <is>
          <t>Yes</t>
        </is>
      </c>
      <c r="O109" t="inlineStr">
        <is>
          <t>No</t>
        </is>
      </c>
      <c r="P109" t="inlineStr">
        <is>
          <t>No</t>
        </is>
      </c>
      <c r="Q109" t="inlineStr">
        <is>
          <t>Inpatient</t>
        </is>
      </c>
      <c r="S109" t="inlineStr">
        <is>
          <t>Pass</t>
        </is>
      </c>
      <c r="T109" t="inlineStr">
        <is>
          <t>n/a</t>
        </is>
      </c>
      <c r="U109" t="inlineStr">
        <is>
          <t>1427182 LIJ Installation (Project Name) - Tim W. Seeberger, Akbar, Chris Perkins, Epic Team, Anesthesia Techs, and Admins</t>
        </is>
      </c>
      <c r="V109" t="inlineStr">
        <is>
          <t>WLS450OPR001</t>
        </is>
      </c>
      <c r="W109" t="inlineStr">
        <is>
          <t>MEDNG2425E-3048</t>
        </is>
      </c>
      <c r="X109" t="inlineStr">
        <is>
          <t>CFAM-MACH-E</t>
        </is>
      </c>
      <c r="Y109" t="inlineStr">
        <is>
          <t>00187DE04EA2</t>
        </is>
      </c>
      <c r="AF109" t="inlineStr">
        <is>
          <t>Power Cable, Battery, Firmware Download, Device ID, Epic Beans Relay</t>
        </is>
      </c>
      <c r="AG109" t="inlineStr">
        <is>
          <t>Blocked</t>
        </is>
      </c>
      <c r="AH109" t="inlineStr">
        <is>
          <t>00:0D:05:0A:b3:0f</t>
        </is>
      </c>
      <c r="AI109" t="inlineStr">
        <is>
          <t>Anesthesia Machine</t>
        </is>
      </c>
      <c r="AL109" t="inlineStr">
        <is>
          <t>IPK03364</t>
        </is>
      </c>
      <c r="AM109" t="inlineStr">
        <is>
          <t>Drager</t>
        </is>
      </c>
      <c r="AN109" t="inlineStr">
        <is>
          <t>Apollo</t>
        </is>
      </c>
      <c r="AP109" t="inlineStr">
        <is>
          <t>ASPM-0002</t>
        </is>
      </c>
      <c r="AX109" t="inlineStr">
        <is>
          <t>MX550-DE7770C8WR</t>
        </is>
      </c>
      <c r="AY109" t="inlineStr">
        <is>
          <t>Anesthesia Machine</t>
        </is>
      </c>
      <c r="BR109" t="inlineStr">
        <is>
          <t>Yes</t>
        </is>
      </c>
      <c r="BS109" t="inlineStr">
        <is>
          <t>Yes</t>
        </is>
      </c>
      <c r="BT109" t="inlineStr">
        <is>
          <t>Yes</t>
        </is>
      </c>
      <c r="BU109" t="inlineStr">
        <is>
          <t>Yes</t>
        </is>
      </c>
      <c r="BZ109" t="inlineStr">
        <is>
          <t>iPro
Epic Satellite
ALLSCRIPTS
EPIC BCA</t>
        </is>
      </c>
      <c r="CA109" t="inlineStr">
        <is>
          <t>iPro
Epic Satellite
ALLSCRIPTS
EPIC BCA</t>
        </is>
      </c>
      <c r="CC109" t="inlineStr"/>
      <c r="CD109">
        <f>IF($Y109="","",IF((IF(AND($BR109&lt;&gt;"Yes",$BR109&lt;&gt;"N/A"),"Power Cable, ","")&amp;IF(AND($BS109&lt;&gt;"Yes",$BS109&lt;&gt;"N/A"),"Battery, ","")&amp;IF(AND($AD109&lt;&gt;"Yes",$AD109&lt;&gt;"N/A"),"Firmware Download, ","")&amp;IF(AND(OR($AD109="Yes",$AD109="N/A"),$AE109&lt;&gt;"Yes",$AE109&lt;&gt;"N/A"),"Firmware Install, ","")&amp;IF(AND($CB109&lt;&gt;"Yes",$CB109&lt;&gt;"N/A"),"Device ID, ","")&amp;IF(AND($CC109&lt;&gt;"Yes",$CC109&lt;&gt;"N/A"),"Epic Beans Relay, ",""))="","",LEFT(IF(AND($BR109&lt;&gt;"Yes",$BR109&lt;&gt;"N/A"),"Power Cable, ","")&amp;IF(AND($BS109&lt;&gt;"Yes",$BS109&lt;&gt;"N/A"),"Battery, ","")&amp;IF(AND($AD109&lt;&gt;"Yes",$AD109&lt;&gt;"N/A"),"Firmware Download, ","")&amp;IF(AND(OR($AD109="Yes",$AD109="N/A"),$AE109&lt;&gt;"Yes",$AE109&lt;&gt;"N/A"),"Firmware Install, ","")&amp;IF(AND($CB109&lt;&gt;"Yes",$CB109&lt;&gt;"N/A"),"Device ID, ","")&amp;IF(AND($CC109&lt;&gt;"Yes",$CC109&lt;&gt;"N/A"),"Epic Beans Relay, ",""),LEN(IF(AND($BR109&lt;&gt;"Yes",$BR109&lt;&gt;"N/A"),"Power Cable, ","")&amp;IF(AND($BS109&lt;&gt;"Yes",$BS109&lt;&gt;"N/A"),"Battery, ","")&amp;IF(AND($AD109&lt;&gt;"Yes",$AD109&lt;&gt;"N/A"),"Firmware Download, ","")&amp;IF(AND(OR($AD109="Yes",$AD109="N/A"),$AE109&lt;&gt;"Yes",$AE109&lt;&gt;"N/A"),"Firmware Install, ","")&amp;IF(AND($CB109&lt;&gt;"Yes",$CB109&lt;&gt;"N/A"),"Device ID, ","")&amp;IF(AND($CC109&lt;&gt;"Yes",$CC109&lt;&gt;"N/A"),"Epic Beans Relay, ",""))-2)))</f>
        <v/>
      </c>
      <c r="CE109">
        <f>IF($Y109="","",IF($CD109="","Yes","Blocked"))</f>
        <v/>
      </c>
      <c r="CF109" t="inlineStr">
        <is>
          <t>Yes</t>
        </is>
      </c>
      <c r="CG109" t="inlineStr">
        <is>
          <t>Yes</t>
        </is>
      </c>
      <c r="CH109" t="inlineStr">
        <is>
          <t>Yes</t>
        </is>
      </c>
      <c r="CI109" t="inlineStr">
        <is>
          <t>Yes</t>
        </is>
      </c>
      <c r="CJ109" t="inlineStr">
        <is>
          <t>Yes</t>
        </is>
      </c>
      <c r="CQ109">
        <f>IF($CO109="","",IFERROR(VLOOKUP($CO109,'01_Warehouse_Ledger'!$A:$N,5,FALSE),""))</f>
        <v/>
      </c>
      <c r="CR109">
        <f>IF($CO109="","",IFERROR(VLOOKUP($CO109,'01_Warehouse_Ledger'!$A:$N,13,FALSE),""))</f>
        <v/>
      </c>
      <c r="CW109">
        <f>IF($S109="","",IF(UPPER(TRIM($S109))&lt;&gt;"PASS","",IF(LEN(TRIM($BY109))&gt;0,"NOTES_PRESENT",IF(LEN(TRIM($T109))=0,"SET_NA",IF(OR(LOWER(TRIM($T109))="na",LOWER(TRIM($T109))="n/a"),"OK","MANUAL_OVERRIDE")))))</f>
        <v/>
      </c>
    </row>
    <row r="110">
      <c r="A110" t="inlineStr">
        <is>
          <t>Cybernet</t>
        </is>
      </c>
      <c r="B110" s="51" t="inlineStr">
        <is>
          <t>yes</t>
        </is>
      </c>
      <c r="C110" t="inlineStr">
        <is>
          <t>yes</t>
        </is>
      </c>
      <c r="D110">
        <f>IF($B110&lt;&gt;"Yes","",IF($C110="No","Yes",IF($C110="Yes","No","")))</f>
        <v/>
      </c>
      <c r="E110">
        <f>IF($A110="","",IF(OR(AND($V110&lt;&gt;"",LOWER(TRIM($V110))&lt;&gt;"n/a",LOWER(TRIM($V110))&lt;&gt;"na",SUMPRODUCT(--(UPPER(TRIM($V$2:$V$518))=UPPER(TRIM($V110))),--(TRIM($V$2:$V$518)&lt;&gt;""),--(LOWER(TRIM($V$2:$V$518))&lt;&gt;"n/a"),--(LOWER(TRIM($V$2:$V$518))&lt;&gt;"na"))&gt;1),AND($W110&lt;&gt;"",LOWER(TRIM($W110))&lt;&gt;"n/a",LOWER(TRIM($W110))&lt;&gt;"na",SUMPRODUCT(--(UPPER(TRIM($W$2:$W$518))=UPPER(TRIM($W110))),--(TRIM($W$2:$W$518)&lt;&gt;""),--(LOWER(TRIM($W$2:$W$518))&lt;&gt;"n/a"),--(LOWER(TRIM($W$2:$W$518))&lt;&gt;"na"))&gt;1),AND($X110&lt;&gt;"",LOWER(TRIM($X110))&lt;&gt;"n/a",LOWER(TRIM($X110))&lt;&gt;"na",SUMPRODUCT(--(UPPER(TRIM($X$2:$X$518))=UPPER(TRIM($X110))),--(TRIM($X$2:$X$518)&lt;&gt;""),--(LOWER(TRIM($X$2:$X$518))&lt;&gt;"n/a"),--(LOWER(TRIM($X$2:$X$518))&lt;&gt;"na"))&gt;1),AND($Y110&lt;&gt;"",LOWER(TRIM($Y110))&lt;&gt;"n/a",LOWER(TRIM($Y110))&lt;&gt;"na",SUMPRODUCT(--(UPPER(SUBSTITUTE(SUBSTITUTE(TRIM($Y$2:$Y$518),":",""),"-",""))=UPPER(SUBSTITUTE(SUBSTITUTE(TRIM($Y110),":",""),"-",""))),--(TRIM($Y$2:$Y$518)&lt;&gt;""),--(LOWER(TRIM($Y$2:$Y$518))&lt;&gt;"n/a"),--(LOWER(TRIM($Y$2:$Y$518))&lt;&gt;"na"))&gt;1),AND($AB110&lt;&gt;"",LOWER(TRIM($AB110))&lt;&gt;"n/a",LOWER(TRIM($AB110))&lt;&gt;"na",SUMPRODUCT(--(UPPER(TRIM($AB$2:$AB$518))=UPPER(TRIM($AB110))),--(TRIM($AB$2:$AB$518)&lt;&gt;""),--(LOWER(TRIM($AB$2:$AB$518))&lt;&gt;"n/a"),--(LOWER(TRIM($AB$2:$AB$518))&lt;&gt;"na"))&gt;1),AND($AH110&lt;&gt;"",LOWER(TRIM($AH110))&lt;&gt;"n/a",LOWER(TRIM($AH110))&lt;&gt;"na",SUMPRODUCT(--(UPPER(SUBSTITUTE(SUBSTITUTE(TRIM($AH$2:$AH$518),":",""),"-",""))=UPPER(SUBSTITUTE(SUBSTITUTE(TRIM($AH110),":",""),"-",""))),--(TRIM($AH$2:$AH$518)&lt;&gt;""),--(LOWER(TRIM($AH$2:$AH$518))&lt;&gt;"n/a"),--(LOWER(TRIM($AH$2:$AH$518))&lt;&gt;"na"))&gt;1),AND($AP110&lt;&gt;"",LOWER(TRIM($AP110))&lt;&gt;"n/a",LOWER(TRIM($AP110))&lt;&gt;"na",SUMPRODUCT(--(UPPER(TRIM($AP$2:$AP$518))=UPPER(TRIM($AP110))),--(TRIM($AP$2:$AP$518)&lt;&gt;""),--(LOWER(TRIM($AP$2:$AP$518))&lt;&gt;"n/a"),--(LOWER(TRIM($AP$2:$AP$518))&lt;&gt;"na"))&gt;1),AND($AQ110&lt;&gt;"",LOWER(TRIM($AQ110))&lt;&gt;"n/a",LOWER(TRIM($AQ110))&lt;&gt;"na",SUMPRODUCT(--(UPPER(TRIM($AQ$2:$AQ$518))=UPPER(TRIM($AQ110))),--(TRIM($AQ$2:$AQ$518)&lt;&gt;""),--(LOWER(TRIM($AQ$2:$AQ$518))&lt;&gt;"n/a"),--(LOWER(TRIM($AQ$2:$AQ$518))&lt;&gt;"na"))&gt;1)),"Yes","No"))</f>
        <v/>
      </c>
      <c r="F110">
        <f>IF(UPPER(TRIM($B110))&lt;&gt;"YES","", IF(OR(AND($V110&lt;&gt;"", LOWER(TRIM($V110))&lt;&gt;"n/a", LOWER(TRIM($V110))&lt;&gt;"na", SUMPRODUCT(--(UPPER(TRIM($V$2:$V$518))=UPPER(TRIM($V110))), --(UPPER(TRIM($B$2:$B$518))="YES"), --(UPPER(TRIM($G$2:$G$518)&amp;TRIM($I$2:$I$518)&amp;TRIM($J$2:$J$518))&lt;&gt;UPPER(TRIM($G110)&amp;TRIM($I110)&amp;TRIM($J110))))&gt;0), AND($W110&lt;&gt;"", LOWER(TRIM($W110))&lt;&gt;"n/a", LOWER(TRIM($W110))&lt;&gt;"na", SUMPRODUCT(--(UPPER(TRIM($W$2:$W$518))=UPPER(TRIM($W110))), --(UPPER(TRIM($B$2:$B$518))="YES"), --(UPPER(TRIM($G$2:$G$518)&amp;TRIM($I$2:$I$518)&amp;TRIM($J$2:$J$518))&lt;&gt;UPPER(TRIM($G110)&amp;TRIM($I110)&amp;TRIM($J110))))&gt;0), AND($X110&lt;&gt;"", LOWER(TRIM($X110))&lt;&gt;"n/a", LOWER(TRIM($X110))&lt;&gt;"na", SUMPRODUCT(--(UPPER(TRIM($X$2:$X$518))=UPPER(TRIM($X110))), --(UPPER(TRIM($B$2:$B$518))="YES"), --(UPPER(TRIM($G$2:$G$518)&amp;TRIM($I$2:$I$518)&amp;TRIM($J$2:$J$518))&lt;&gt;UPPER(TRIM($G110)&amp;TRIM($I110)&amp;TRIM($J110))))&gt;0), AND($Y110&lt;&gt;"", LOWER(TRIM($Y110))&lt;&gt;"n/a", LOWER(TRIM($Y110))&lt;&gt;"na", SUMPRODUCT(--(UPPER(SUBSTITUTE(SUBSTITUTE(TRIM($Y$2:$Y$518),":",""),"-",""))=UPPER(SUBSTITUTE(SUBSTITUTE(TRIM($Y110),":",""),"-",""))), --(UPPER(TRIM($B$2:$B$518))="YES"), --(UPPER(TRIM($G$2:$G$518)&amp;TRIM($I$2:$I$518)&amp;TRIM($J$2:$J$518))&lt;&gt;UPPER(TRIM($G110)&amp;TRIM($I110)&amp;TRIM($J110))))&gt;0), AND($AB110&lt;&gt;"", LOWER(TRIM($AB110))&lt;&gt;"n/a", LOWER(TRIM($AB110))&lt;&gt;"na", SUMPRODUCT(--(UPPER(TRIM($AB$2:$AB$518))=UPPER(TRIM($AB110))), --(UPPER(TRIM($B$2:$B$518))="YES"), --(UPPER(TRIM($G$2:$G$518)&amp;TRIM($I$2:$I$518)&amp;TRIM($J$2:$J$518))&lt;&gt;UPPER(TRIM($G110)&amp;TRIM($I110)&amp;TRIM($J110))))&gt;0), AND($AH110&lt;&gt;"", LOWER(TRIM($AH110))&lt;&gt;"n/a", LOWER(TRIM($AH110))&lt;&gt;"na", SUMPRODUCT(--(UPPER(SUBSTITUTE(SUBSTITUTE(TRIM($AH$2:$AH$518),":",""),"-",""))=UPPER(SUBSTITUTE(SUBSTITUTE(TRIM($AH110),":",""),"-",""))), --(UPPER(TRIM($B$2:$B$518))="YES"), --(UPPER(TRIM($G$2:$G$518)&amp;TRIM($I$2:$I$518)&amp;TRIM($J$2:$J$518))&lt;&gt;UPPER(TRIM($G110)&amp;TRIM($I110)&amp;TRIM($J110))))&gt;0), AND($AP110&lt;&gt;"", LOWER(TRIM($AP110))&lt;&gt;"n/a", LOWER(TRIM($AP110))&lt;&gt;"na", SUMPRODUCT(--(UPPER(TRIM($AP$2:$AP$518))=UPPER(TRIM($AP110))), --(UPPER(TRIM($B$2:$B$518))="YES"), --(UPPER(TRIM($G$2:$G$518)&amp;TRIM($I$2:$I$518)&amp;TRIM($J$2:$J$518))&lt;&gt;UPPER(TRIM($G110)&amp;TRIM($I110)&amp;TRIM($J110))))&gt;0), AND($AQ110&lt;&gt;"", LOWER(TRIM($AQ110))&lt;&gt;"n/a", LOWER(TRIM($AQ110))&lt;&gt;"na", SUMPRODUCT(--(UPPER(TRIM($AQ$2:$AQ$518))=UPPER(TRIM($AQ110))), --(UPPER(TRIM($B$2:$B$518))="YES"), --(UPPER(TRIM($G$2:$G$518)&amp;TRIM($I$2:$I$518)&amp;TRIM($J$2:$J$518))&lt;&gt;UPPER(TRIM($G110)&amp;TRIM($I110)&amp;TRIM($J110))))&gt;0)), "Yes", "No"))</f>
        <v/>
      </c>
      <c r="G110" t="inlineStr">
        <is>
          <t>CFAM</t>
        </is>
      </c>
      <c r="H110" t="inlineStr">
        <is>
          <t>CFAM</t>
        </is>
      </c>
      <c r="I110" t="inlineStr">
        <is>
          <t>Surgery</t>
        </is>
      </c>
      <c r="J110" t="inlineStr">
        <is>
          <t>OR 3</t>
        </is>
      </c>
      <c r="K110" t="inlineStr">
        <is>
          <t>n/a</t>
        </is>
      </c>
      <c r="L110" s="18" t="n">
        <v>46088</v>
      </c>
      <c r="M110" t="inlineStr">
        <is>
          <t>OR iPro Cybernet Workstation</t>
        </is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  <c r="Q110" t="inlineStr">
        <is>
          <t>Inpatient</t>
        </is>
      </c>
      <c r="S110" t="inlineStr">
        <is>
          <t>Pass</t>
        </is>
      </c>
      <c r="T110" t="inlineStr">
        <is>
          <t>n/a</t>
        </is>
      </c>
      <c r="U110" t="inlineStr">
        <is>
          <t>1427182 LIJ Installation (Project Name) - Tim W. Seeberger, Akbar, Chris Perkins, Epic Team, Anesthesia Techs, and Admins</t>
        </is>
      </c>
      <c r="V110" t="inlineStr">
        <is>
          <t>WLS450OPR002</t>
        </is>
      </c>
      <c r="W110" t="inlineStr">
        <is>
          <t>MEDNG2425E-3173</t>
        </is>
      </c>
      <c r="X110" t="inlineStr">
        <is>
          <t>CFAM-MACH-C</t>
        </is>
      </c>
      <c r="Y110" t="inlineStr">
        <is>
          <t>00187DE0E21A</t>
        </is>
      </c>
      <c r="AF110" t="inlineStr">
        <is>
          <t>Power Cable, Battery, Firmware Download, Device ID, Epic Beans Relay</t>
        </is>
      </c>
      <c r="AG110" t="inlineStr">
        <is>
          <t>Blocked</t>
        </is>
      </c>
      <c r="AH110" t="inlineStr">
        <is>
          <t>00:0D:05:0A:B0:B1</t>
        </is>
      </c>
      <c r="AI110" t="inlineStr">
        <is>
          <t>Anesthesia Machine</t>
        </is>
      </c>
      <c r="AL110" t="inlineStr">
        <is>
          <t>IPK03-174</t>
        </is>
      </c>
      <c r="AM110" t="inlineStr">
        <is>
          <t xml:space="preserve">Drager </t>
        </is>
      </c>
      <c r="AN110" t="inlineStr">
        <is>
          <t>Apollo</t>
        </is>
      </c>
      <c r="AP110" t="inlineStr">
        <is>
          <t>ASNK-0114</t>
        </is>
      </c>
      <c r="AX110" t="inlineStr">
        <is>
          <t>MX550-DE7770C8Y0</t>
        </is>
      </c>
      <c r="AY110" t="inlineStr">
        <is>
          <t>Anesthesia Machine</t>
        </is>
      </c>
      <c r="BR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Z110" t="inlineStr">
        <is>
          <t>iPro
Epic Satellite
ALLSCRIPTS
EPIC BCA</t>
        </is>
      </c>
      <c r="CA110" t="inlineStr">
        <is>
          <t>iPro
Epic Satellite
ALLSCRIPTS
EPIC BCA</t>
        </is>
      </c>
      <c r="CC110" t="inlineStr"/>
      <c r="CD110">
        <f>IF($Y110="","",IF((IF(AND($BR110&lt;&gt;"Yes",$BR110&lt;&gt;"N/A"),"Power Cable, ","")&amp;IF(AND($BS110&lt;&gt;"Yes",$BS110&lt;&gt;"N/A"),"Battery, ","")&amp;IF(AND($AD110&lt;&gt;"Yes",$AD110&lt;&gt;"N/A"),"Firmware Download, ","")&amp;IF(AND(OR($AD110="Yes",$AD110="N/A"),$AE110&lt;&gt;"Yes",$AE110&lt;&gt;"N/A"),"Firmware Install, ","")&amp;IF(AND($CB110&lt;&gt;"Yes",$CB110&lt;&gt;"N/A"),"Device ID, ","")&amp;IF(AND($CC110&lt;&gt;"Yes",$CC110&lt;&gt;"N/A"),"Epic Beans Relay, ",""))="","",LEFT(IF(AND($BR110&lt;&gt;"Yes",$BR110&lt;&gt;"N/A"),"Power Cable, ","")&amp;IF(AND($BS110&lt;&gt;"Yes",$BS110&lt;&gt;"N/A"),"Battery, ","")&amp;IF(AND($AD110&lt;&gt;"Yes",$AD110&lt;&gt;"N/A"),"Firmware Download, ","")&amp;IF(AND(OR($AD110="Yes",$AD110="N/A"),$AE110&lt;&gt;"Yes",$AE110&lt;&gt;"N/A"),"Firmware Install, ","")&amp;IF(AND($CB110&lt;&gt;"Yes",$CB110&lt;&gt;"N/A"),"Device ID, ","")&amp;IF(AND($CC110&lt;&gt;"Yes",$CC110&lt;&gt;"N/A"),"Epic Beans Relay, ",""),LEN(IF(AND($BR110&lt;&gt;"Yes",$BR110&lt;&gt;"N/A"),"Power Cable, ","")&amp;IF(AND($BS110&lt;&gt;"Yes",$BS110&lt;&gt;"N/A"),"Battery, ","")&amp;IF(AND($AD110&lt;&gt;"Yes",$AD110&lt;&gt;"N/A"),"Firmware Download, ","")&amp;IF(AND(OR($AD110="Yes",$AD110="N/A"),$AE110&lt;&gt;"Yes",$AE110&lt;&gt;"N/A"),"Firmware Install, ","")&amp;IF(AND($CB110&lt;&gt;"Yes",$CB110&lt;&gt;"N/A"),"Device ID, ","")&amp;IF(AND($CC110&lt;&gt;"Yes",$CC110&lt;&gt;"N/A"),"Epic Beans Relay, ",""))-2)))</f>
        <v/>
      </c>
      <c r="CE110">
        <f>IF($Y110="","",IF($CD110="","Yes","Blocked"))</f>
        <v/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Q110">
        <f>IF($CO110="","",IFERROR(VLOOKUP($CO110,'01_Warehouse_Ledger'!$A:$N,5,FALSE),""))</f>
        <v/>
      </c>
      <c r="CR110">
        <f>IF($CO110="","",IFERROR(VLOOKUP($CO110,'01_Warehouse_Ledger'!$A:$N,13,FALSE),""))</f>
        <v/>
      </c>
      <c r="CW110">
        <f>IF($S110="","",IF(UPPER(TRIM($S110))&lt;&gt;"PASS","",IF(LEN(TRIM($BY110))&gt;0,"NOTES_PRESENT",IF(LEN(TRIM($T110))=0,"SET_NA",IF(OR(LOWER(TRIM($T110))="na",LOWER(TRIM($T110))="n/a"),"OK","MANUAL_OVERRIDE")))))</f>
        <v/>
      </c>
    </row>
    <row r="111">
      <c r="A111" t="inlineStr">
        <is>
          <t>Cybernet</t>
        </is>
      </c>
      <c r="B111" s="51" t="inlineStr">
        <is>
          <t>YES</t>
        </is>
      </c>
      <c r="C111" t="inlineStr">
        <is>
          <t>YES</t>
        </is>
      </c>
      <c r="D111">
        <f>IF($B111&lt;&gt;"Yes","",IF($C111="No","Yes",IF($C111="Yes","No","")))</f>
        <v/>
      </c>
      <c r="E111">
        <f>IF($A111="","",IF(OR(AND($V111&lt;&gt;"",LOWER(TRIM($V111))&lt;&gt;"n/a",LOWER(TRIM($V111))&lt;&gt;"na",SUMPRODUCT(--(UPPER(TRIM($V$2:$V$518))=UPPER(TRIM($V111))),--(TRIM($V$2:$V$518)&lt;&gt;""),--(LOWER(TRIM($V$2:$V$518))&lt;&gt;"n/a"),--(LOWER(TRIM($V$2:$V$518))&lt;&gt;"na"))&gt;1),AND($W111&lt;&gt;"",LOWER(TRIM($W111))&lt;&gt;"n/a",LOWER(TRIM($W111))&lt;&gt;"na",SUMPRODUCT(--(UPPER(TRIM($W$2:$W$518))=UPPER(TRIM($W111))),--(TRIM($W$2:$W$518)&lt;&gt;""),--(LOWER(TRIM($W$2:$W$518))&lt;&gt;"n/a"),--(LOWER(TRIM($W$2:$W$518))&lt;&gt;"na"))&gt;1),AND($X111&lt;&gt;"",LOWER(TRIM($X111))&lt;&gt;"n/a",LOWER(TRIM($X111))&lt;&gt;"na",SUMPRODUCT(--(UPPER(TRIM($X$2:$X$518))=UPPER(TRIM($X111))),--(TRIM($X$2:$X$518)&lt;&gt;""),--(LOWER(TRIM($X$2:$X$518))&lt;&gt;"n/a"),--(LOWER(TRIM($X$2:$X$518))&lt;&gt;"na"))&gt;1),AND($Y111&lt;&gt;"",LOWER(TRIM($Y111))&lt;&gt;"n/a",LOWER(TRIM($Y111))&lt;&gt;"na",SUMPRODUCT(--(UPPER(SUBSTITUTE(SUBSTITUTE(TRIM($Y$2:$Y$518),":",""),"-",""))=UPPER(SUBSTITUTE(SUBSTITUTE(TRIM($Y111),":",""),"-",""))),--(TRIM($Y$2:$Y$518)&lt;&gt;""),--(LOWER(TRIM($Y$2:$Y$518))&lt;&gt;"n/a"),--(LOWER(TRIM($Y$2:$Y$518))&lt;&gt;"na"))&gt;1),AND($AB111&lt;&gt;"",LOWER(TRIM($AB111))&lt;&gt;"n/a",LOWER(TRIM($AB111))&lt;&gt;"na",SUMPRODUCT(--(UPPER(TRIM($AB$2:$AB$518))=UPPER(TRIM($AB111))),--(TRIM($AB$2:$AB$518)&lt;&gt;""),--(LOWER(TRIM($AB$2:$AB$518))&lt;&gt;"n/a"),--(LOWER(TRIM($AB$2:$AB$518))&lt;&gt;"na"))&gt;1),AND($AH111&lt;&gt;"",LOWER(TRIM($AH111))&lt;&gt;"n/a",LOWER(TRIM($AH111))&lt;&gt;"na",SUMPRODUCT(--(UPPER(SUBSTITUTE(SUBSTITUTE(TRIM($AH$2:$AH$518),":",""),"-",""))=UPPER(SUBSTITUTE(SUBSTITUTE(TRIM($AH111),":",""),"-",""))),--(TRIM($AH$2:$AH$518)&lt;&gt;""),--(LOWER(TRIM($AH$2:$AH$518))&lt;&gt;"n/a"),--(LOWER(TRIM($AH$2:$AH$518))&lt;&gt;"na"))&gt;1),AND($AP111&lt;&gt;"",LOWER(TRIM($AP111))&lt;&gt;"n/a",LOWER(TRIM($AP111))&lt;&gt;"na",SUMPRODUCT(--(UPPER(TRIM($AP$2:$AP$518))=UPPER(TRIM($AP111))),--(TRIM($AP$2:$AP$518)&lt;&gt;""),--(LOWER(TRIM($AP$2:$AP$518))&lt;&gt;"n/a"),--(LOWER(TRIM($AP$2:$AP$518))&lt;&gt;"na"))&gt;1),AND($AQ111&lt;&gt;"",LOWER(TRIM($AQ111))&lt;&gt;"n/a",LOWER(TRIM($AQ111))&lt;&gt;"na",SUMPRODUCT(--(UPPER(TRIM($AQ$2:$AQ$518))=UPPER(TRIM($AQ111))),--(TRIM($AQ$2:$AQ$518)&lt;&gt;""),--(LOWER(TRIM($AQ$2:$AQ$518))&lt;&gt;"n/a"),--(LOWER(TRIM($AQ$2:$AQ$518))&lt;&gt;"na"))&gt;1)),"Yes","No"))</f>
        <v/>
      </c>
      <c r="F111">
        <f>IF(UPPER(TRIM($B111))&lt;&gt;"YES","", IF(OR(AND($V111&lt;&gt;"", LOWER(TRIM($V111))&lt;&gt;"n/a", LOWER(TRIM($V111))&lt;&gt;"na", SUMPRODUCT(--(UPPER(TRIM($V$2:$V$518))=UPPER(TRIM($V111))), --(UPPER(TRIM($B$2:$B$518))="YES"), --(UPPER(TRIM($G$2:$G$518)&amp;TRIM($I$2:$I$518)&amp;TRIM($J$2:$J$518))&lt;&gt;UPPER(TRIM($G111)&amp;TRIM($I111)&amp;TRIM($J111))))&gt;0), AND($W111&lt;&gt;"", LOWER(TRIM($W111))&lt;&gt;"n/a", LOWER(TRIM($W111))&lt;&gt;"na", SUMPRODUCT(--(UPPER(TRIM($W$2:$W$518))=UPPER(TRIM($W111))), --(UPPER(TRIM($B$2:$B$518))="YES"), --(UPPER(TRIM($G$2:$G$518)&amp;TRIM($I$2:$I$518)&amp;TRIM($J$2:$J$518))&lt;&gt;UPPER(TRIM($G111)&amp;TRIM($I111)&amp;TRIM($J111))))&gt;0), AND($X111&lt;&gt;"", LOWER(TRIM($X111))&lt;&gt;"n/a", LOWER(TRIM($X111))&lt;&gt;"na", SUMPRODUCT(--(UPPER(TRIM($X$2:$X$518))=UPPER(TRIM($X111))), --(UPPER(TRIM($B$2:$B$518))="YES"), --(UPPER(TRIM($G$2:$G$518)&amp;TRIM($I$2:$I$518)&amp;TRIM($J$2:$J$518))&lt;&gt;UPPER(TRIM($G111)&amp;TRIM($I111)&amp;TRIM($J111))))&gt;0), AND($Y111&lt;&gt;"", LOWER(TRIM($Y111))&lt;&gt;"n/a", LOWER(TRIM($Y111))&lt;&gt;"na", SUMPRODUCT(--(UPPER(SUBSTITUTE(SUBSTITUTE(TRIM($Y$2:$Y$518),":",""),"-",""))=UPPER(SUBSTITUTE(SUBSTITUTE(TRIM($Y111),":",""),"-",""))), --(UPPER(TRIM($B$2:$B$518))="YES"), --(UPPER(TRIM($G$2:$G$518)&amp;TRIM($I$2:$I$518)&amp;TRIM($J$2:$J$518))&lt;&gt;UPPER(TRIM($G111)&amp;TRIM($I111)&amp;TRIM($J111))))&gt;0), AND($AB111&lt;&gt;"", LOWER(TRIM($AB111))&lt;&gt;"n/a", LOWER(TRIM($AB111))&lt;&gt;"na", SUMPRODUCT(--(UPPER(TRIM($AB$2:$AB$518))=UPPER(TRIM($AB111))), --(UPPER(TRIM($B$2:$B$518))="YES"), --(UPPER(TRIM($G$2:$G$518)&amp;TRIM($I$2:$I$518)&amp;TRIM($J$2:$J$518))&lt;&gt;UPPER(TRIM($G111)&amp;TRIM($I111)&amp;TRIM($J111))))&gt;0), AND($AH111&lt;&gt;"", LOWER(TRIM($AH111))&lt;&gt;"n/a", LOWER(TRIM($AH111))&lt;&gt;"na", SUMPRODUCT(--(UPPER(SUBSTITUTE(SUBSTITUTE(TRIM($AH$2:$AH$518),":",""),"-",""))=UPPER(SUBSTITUTE(SUBSTITUTE(TRIM($AH111),":",""),"-",""))), --(UPPER(TRIM($B$2:$B$518))="YES"), --(UPPER(TRIM($G$2:$G$518)&amp;TRIM($I$2:$I$518)&amp;TRIM($J$2:$J$518))&lt;&gt;UPPER(TRIM($G111)&amp;TRIM($I111)&amp;TRIM($J111))))&gt;0), AND($AP111&lt;&gt;"", LOWER(TRIM($AP111))&lt;&gt;"n/a", LOWER(TRIM($AP111))&lt;&gt;"na", SUMPRODUCT(--(UPPER(TRIM($AP$2:$AP$518))=UPPER(TRIM($AP111))), --(UPPER(TRIM($B$2:$B$518))="YES"), --(UPPER(TRIM($G$2:$G$518)&amp;TRIM($I$2:$I$518)&amp;TRIM($J$2:$J$518))&lt;&gt;UPPER(TRIM($G111)&amp;TRIM($I111)&amp;TRIM($J111))))&gt;0), AND($AQ111&lt;&gt;"", LOWER(TRIM($AQ111))&lt;&gt;"n/a", LOWER(TRIM($AQ111))&lt;&gt;"na", SUMPRODUCT(--(UPPER(TRIM($AQ$2:$AQ$518))=UPPER(TRIM($AQ111))), --(UPPER(TRIM($B$2:$B$518))="YES"), --(UPPER(TRIM($G$2:$G$518)&amp;TRIM($I$2:$I$518)&amp;TRIM($J$2:$J$518))&lt;&gt;UPPER(TRIM($G111)&amp;TRIM($I111)&amp;TRIM($J111))))&gt;0)), "Yes", "No"))</f>
        <v/>
      </c>
      <c r="G111" t="inlineStr">
        <is>
          <t>CFAM</t>
        </is>
      </c>
      <c r="H111" t="inlineStr">
        <is>
          <t>CFAM</t>
        </is>
      </c>
      <c r="I111" t="inlineStr">
        <is>
          <t>Surgery</t>
        </is>
      </c>
      <c r="J111" t="inlineStr">
        <is>
          <t>OR 6</t>
        </is>
      </c>
      <c r="K111" t="inlineStr">
        <is>
          <t>n/a</t>
        </is>
      </c>
      <c r="L111" s="18" t="n">
        <v>46088</v>
      </c>
      <c r="M111" t="inlineStr">
        <is>
          <t>OR iPro Cybernet Workstation</t>
        </is>
      </c>
      <c r="N111" t="inlineStr">
        <is>
          <t>Yes</t>
        </is>
      </c>
      <c r="O111" t="inlineStr">
        <is>
          <t>No</t>
        </is>
      </c>
      <c r="P111" t="inlineStr">
        <is>
          <t>No</t>
        </is>
      </c>
      <c r="Q111" t="inlineStr">
        <is>
          <t>Inpatient</t>
        </is>
      </c>
      <c r="S111" t="inlineStr">
        <is>
          <t>Pass</t>
        </is>
      </c>
      <c r="T111" t="inlineStr">
        <is>
          <t>n/a</t>
        </is>
      </c>
      <c r="U111" t="inlineStr">
        <is>
          <t>1427182 LIJ Installation (Project Name) - Tim W. Seeberger, Akbar, Chris Perkins, Epic Team, Anesthesia Techs, and Admins</t>
        </is>
      </c>
      <c r="V111" t="inlineStr">
        <is>
          <t>WLS450OPR003</t>
        </is>
      </c>
      <c r="W111" t="inlineStr">
        <is>
          <t>MEDNG2425E-3318</t>
        </is>
      </c>
      <c r="X111" t="inlineStr">
        <is>
          <t>CFAM-MACH-F</t>
        </is>
      </c>
      <c r="Y111" t="inlineStr">
        <is>
          <t>00187DE04F4F</t>
        </is>
      </c>
      <c r="AF111" t="inlineStr">
        <is>
          <t>Power Cable, Battery, Firmware Download, Device ID, Epic Beans Relay</t>
        </is>
      </c>
      <c r="AG111" t="inlineStr">
        <is>
          <t>Blocked</t>
        </is>
      </c>
      <c r="AH111" t="inlineStr">
        <is>
          <t>00:0D:05:0A:B1:A3</t>
        </is>
      </c>
      <c r="AI111" t="inlineStr">
        <is>
          <t>Anesthesia Machine</t>
        </is>
      </c>
      <c r="AL111" t="inlineStr">
        <is>
          <t>IPK03372</t>
        </is>
      </c>
      <c r="AM111" t="inlineStr">
        <is>
          <t>Drager</t>
        </is>
      </c>
      <c r="AN111" t="inlineStr">
        <is>
          <t>Apollo</t>
        </is>
      </c>
      <c r="AP111" t="inlineStr">
        <is>
          <t>ASPM-0003</t>
        </is>
      </c>
      <c r="AX111" t="inlineStr">
        <is>
          <t>MX550-DE7770C8YU</t>
        </is>
      </c>
      <c r="AY111" t="inlineStr">
        <is>
          <t>Anesthesia Machine</t>
        </is>
      </c>
      <c r="BR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Z111" t="inlineStr">
        <is>
          <t>iPro
Epic Satellite
ALLSCRIPTS
EPIC BCA</t>
        </is>
      </c>
      <c r="CA111" t="inlineStr">
        <is>
          <t>iPro
Epic Satellite
ALLSCRIPTS
EPIC BCA</t>
        </is>
      </c>
      <c r="CC111" t="inlineStr"/>
      <c r="CD111">
        <f>IF($Y111="","",IF((IF(AND($BR111&lt;&gt;"Yes",$BR111&lt;&gt;"N/A"),"Power Cable, ","")&amp;IF(AND($BS111&lt;&gt;"Yes",$BS111&lt;&gt;"N/A"),"Battery, ","")&amp;IF(AND($AD111&lt;&gt;"Yes",$AD111&lt;&gt;"N/A"),"Firmware Download, ","")&amp;IF(AND(OR($AD111="Yes",$AD111="N/A"),$AE111&lt;&gt;"Yes",$AE111&lt;&gt;"N/A"),"Firmware Install, ","")&amp;IF(AND($CB111&lt;&gt;"Yes",$CB111&lt;&gt;"N/A"),"Device ID, ","")&amp;IF(AND($CC111&lt;&gt;"Yes",$CC111&lt;&gt;"N/A"),"Epic Beans Relay, ",""))="","",LEFT(IF(AND($BR111&lt;&gt;"Yes",$BR111&lt;&gt;"N/A"),"Power Cable, ","")&amp;IF(AND($BS111&lt;&gt;"Yes",$BS111&lt;&gt;"N/A"),"Battery, ","")&amp;IF(AND($AD111&lt;&gt;"Yes",$AD111&lt;&gt;"N/A"),"Firmware Download, ","")&amp;IF(AND(OR($AD111="Yes",$AD111="N/A"),$AE111&lt;&gt;"Yes",$AE111&lt;&gt;"N/A"),"Firmware Install, ","")&amp;IF(AND($CB111&lt;&gt;"Yes",$CB111&lt;&gt;"N/A"),"Device ID, ","")&amp;IF(AND($CC111&lt;&gt;"Yes",$CC111&lt;&gt;"N/A"),"Epic Beans Relay, ",""),LEN(IF(AND($BR111&lt;&gt;"Yes",$BR111&lt;&gt;"N/A"),"Power Cable, ","")&amp;IF(AND($BS111&lt;&gt;"Yes",$BS111&lt;&gt;"N/A"),"Battery, ","")&amp;IF(AND($AD111&lt;&gt;"Yes",$AD111&lt;&gt;"N/A"),"Firmware Download, ","")&amp;IF(AND(OR($AD111="Yes",$AD111="N/A"),$AE111&lt;&gt;"Yes",$AE111&lt;&gt;"N/A"),"Firmware Install, ","")&amp;IF(AND($CB111&lt;&gt;"Yes",$CB111&lt;&gt;"N/A"),"Device ID, ","")&amp;IF(AND($CC111&lt;&gt;"Yes",$CC111&lt;&gt;"N/A"),"Epic Beans Relay, ",""))-2)))</f>
        <v/>
      </c>
      <c r="CE111">
        <f>IF($Y111="","",IF($CD111="","Yes","Blocked"))</f>
        <v/>
      </c>
      <c r="CF111" t="inlineStr">
        <is>
          <t>Yes</t>
        </is>
      </c>
      <c r="CG111" t="inlineStr">
        <is>
          <t>Yes</t>
        </is>
      </c>
      <c r="CH111" t="inlineStr">
        <is>
          <t>Yes</t>
        </is>
      </c>
      <c r="CI111" t="inlineStr">
        <is>
          <t>Yes</t>
        </is>
      </c>
      <c r="CJ111" t="inlineStr">
        <is>
          <t>Yes</t>
        </is>
      </c>
      <c r="CQ111">
        <f>IF($CO111="","",IFERROR(VLOOKUP($CO111,'01_Warehouse_Ledger'!$A:$N,5,FALSE),""))</f>
        <v/>
      </c>
      <c r="CR111">
        <f>IF($CO111="","",IFERROR(VLOOKUP($CO111,'01_Warehouse_Ledger'!$A:$N,13,FALSE),""))</f>
        <v/>
      </c>
      <c r="CW111">
        <f>IF($S111="","",IF(UPPER(TRIM($S111))&lt;&gt;"PASS","",IF(LEN(TRIM($BY111))&gt;0,"NOTES_PRESENT",IF(LEN(TRIM($T111))=0,"SET_NA",IF(OR(LOWER(TRIM($T111))="na",LOWER(TRIM($T111))="n/a"),"OK","MANUAL_OVERRIDE")))))</f>
        <v/>
      </c>
    </row>
    <row r="112">
      <c r="A112" t="inlineStr">
        <is>
          <t>Cybernet</t>
        </is>
      </c>
      <c r="B112" s="51" t="inlineStr">
        <is>
          <t>YES</t>
        </is>
      </c>
      <c r="C112" t="inlineStr">
        <is>
          <t>YES</t>
        </is>
      </c>
      <c r="D112">
        <f>IF($B112&lt;&gt;"Yes","",IF($C112="No","Yes",IF($C112="Yes","No","")))</f>
        <v/>
      </c>
      <c r="E112">
        <f>IF($A112="","",IF(OR(AND($V112&lt;&gt;"",LOWER(TRIM($V112))&lt;&gt;"n/a",LOWER(TRIM($V112))&lt;&gt;"na",SUMPRODUCT(--(UPPER(TRIM($V$2:$V$518))=UPPER(TRIM($V112))),--(TRIM($V$2:$V$518)&lt;&gt;""),--(LOWER(TRIM($V$2:$V$518))&lt;&gt;"n/a"),--(LOWER(TRIM($V$2:$V$518))&lt;&gt;"na"))&gt;1),AND($W112&lt;&gt;"",LOWER(TRIM($W112))&lt;&gt;"n/a",LOWER(TRIM($W112))&lt;&gt;"na",SUMPRODUCT(--(UPPER(TRIM($W$2:$W$518))=UPPER(TRIM($W112))),--(TRIM($W$2:$W$518)&lt;&gt;""),--(LOWER(TRIM($W$2:$W$518))&lt;&gt;"n/a"),--(LOWER(TRIM($W$2:$W$518))&lt;&gt;"na"))&gt;1),AND($X112&lt;&gt;"",LOWER(TRIM($X112))&lt;&gt;"n/a",LOWER(TRIM($X112))&lt;&gt;"na",SUMPRODUCT(--(UPPER(TRIM($X$2:$X$518))=UPPER(TRIM($X112))),--(TRIM($X$2:$X$518)&lt;&gt;""),--(LOWER(TRIM($X$2:$X$518))&lt;&gt;"n/a"),--(LOWER(TRIM($X$2:$X$518))&lt;&gt;"na"))&gt;1),AND($Y112&lt;&gt;"",LOWER(TRIM($Y112))&lt;&gt;"n/a",LOWER(TRIM($Y112))&lt;&gt;"na",SUMPRODUCT(--(UPPER(SUBSTITUTE(SUBSTITUTE(TRIM($Y$2:$Y$518),":",""),"-",""))=UPPER(SUBSTITUTE(SUBSTITUTE(TRIM($Y112),":",""),"-",""))),--(TRIM($Y$2:$Y$518)&lt;&gt;""),--(LOWER(TRIM($Y$2:$Y$518))&lt;&gt;"n/a"),--(LOWER(TRIM($Y$2:$Y$518))&lt;&gt;"na"))&gt;1),AND($AB112&lt;&gt;"",LOWER(TRIM($AB112))&lt;&gt;"n/a",LOWER(TRIM($AB112))&lt;&gt;"na",SUMPRODUCT(--(UPPER(TRIM($AB$2:$AB$518))=UPPER(TRIM($AB112))),--(TRIM($AB$2:$AB$518)&lt;&gt;""),--(LOWER(TRIM($AB$2:$AB$518))&lt;&gt;"n/a"),--(LOWER(TRIM($AB$2:$AB$518))&lt;&gt;"na"))&gt;1),AND($AH112&lt;&gt;"",LOWER(TRIM($AH112))&lt;&gt;"n/a",LOWER(TRIM($AH112))&lt;&gt;"na",SUMPRODUCT(--(UPPER(SUBSTITUTE(SUBSTITUTE(TRIM($AH$2:$AH$518),":",""),"-",""))=UPPER(SUBSTITUTE(SUBSTITUTE(TRIM($AH112),":",""),"-",""))),--(TRIM($AH$2:$AH$518)&lt;&gt;""),--(LOWER(TRIM($AH$2:$AH$518))&lt;&gt;"n/a"),--(LOWER(TRIM($AH$2:$AH$518))&lt;&gt;"na"))&gt;1),AND($AP112&lt;&gt;"",LOWER(TRIM($AP112))&lt;&gt;"n/a",LOWER(TRIM($AP112))&lt;&gt;"na",SUMPRODUCT(--(UPPER(TRIM($AP$2:$AP$518))=UPPER(TRIM($AP112))),--(TRIM($AP$2:$AP$518)&lt;&gt;""),--(LOWER(TRIM($AP$2:$AP$518))&lt;&gt;"n/a"),--(LOWER(TRIM($AP$2:$AP$518))&lt;&gt;"na"))&gt;1),AND($AQ112&lt;&gt;"",LOWER(TRIM($AQ112))&lt;&gt;"n/a",LOWER(TRIM($AQ112))&lt;&gt;"na",SUMPRODUCT(--(UPPER(TRIM($AQ$2:$AQ$518))=UPPER(TRIM($AQ112))),--(TRIM($AQ$2:$AQ$518)&lt;&gt;""),--(LOWER(TRIM($AQ$2:$AQ$518))&lt;&gt;"n/a"),--(LOWER(TRIM($AQ$2:$AQ$518))&lt;&gt;"na"))&gt;1)),"Yes","No"))</f>
        <v/>
      </c>
      <c r="F112">
        <f>IF(UPPER(TRIM($B112))&lt;&gt;"YES","", IF(OR(AND($V112&lt;&gt;"", LOWER(TRIM($V112))&lt;&gt;"n/a", LOWER(TRIM($V112))&lt;&gt;"na", SUMPRODUCT(--(UPPER(TRIM($V$2:$V$518))=UPPER(TRIM($V112))), --(UPPER(TRIM($B$2:$B$518))="YES"), --(UPPER(TRIM($G$2:$G$518)&amp;TRIM($I$2:$I$518)&amp;TRIM($J$2:$J$518))&lt;&gt;UPPER(TRIM($G112)&amp;TRIM($I112)&amp;TRIM($J112))))&gt;0), AND($W112&lt;&gt;"", LOWER(TRIM($W112))&lt;&gt;"n/a", LOWER(TRIM($W112))&lt;&gt;"na", SUMPRODUCT(--(UPPER(TRIM($W$2:$W$518))=UPPER(TRIM($W112))), --(UPPER(TRIM($B$2:$B$518))="YES"), --(UPPER(TRIM($G$2:$G$518)&amp;TRIM($I$2:$I$518)&amp;TRIM($J$2:$J$518))&lt;&gt;UPPER(TRIM($G112)&amp;TRIM($I112)&amp;TRIM($J112))))&gt;0), AND($X112&lt;&gt;"", LOWER(TRIM($X112))&lt;&gt;"n/a", LOWER(TRIM($X112))&lt;&gt;"na", SUMPRODUCT(--(UPPER(TRIM($X$2:$X$518))=UPPER(TRIM($X112))), --(UPPER(TRIM($B$2:$B$518))="YES"), --(UPPER(TRIM($G$2:$G$518)&amp;TRIM($I$2:$I$518)&amp;TRIM($J$2:$J$518))&lt;&gt;UPPER(TRIM($G112)&amp;TRIM($I112)&amp;TRIM($J112))))&gt;0), AND($Y112&lt;&gt;"", LOWER(TRIM($Y112))&lt;&gt;"n/a", LOWER(TRIM($Y112))&lt;&gt;"na", SUMPRODUCT(--(UPPER(SUBSTITUTE(SUBSTITUTE(TRIM($Y$2:$Y$518),":",""),"-",""))=UPPER(SUBSTITUTE(SUBSTITUTE(TRIM($Y112),":",""),"-",""))), --(UPPER(TRIM($B$2:$B$518))="YES"), --(UPPER(TRIM($G$2:$G$518)&amp;TRIM($I$2:$I$518)&amp;TRIM($J$2:$J$518))&lt;&gt;UPPER(TRIM($G112)&amp;TRIM($I112)&amp;TRIM($J112))))&gt;0), AND($AB112&lt;&gt;"", LOWER(TRIM($AB112))&lt;&gt;"n/a", LOWER(TRIM($AB112))&lt;&gt;"na", SUMPRODUCT(--(UPPER(TRIM($AB$2:$AB$518))=UPPER(TRIM($AB112))), --(UPPER(TRIM($B$2:$B$518))="YES"), --(UPPER(TRIM($G$2:$G$518)&amp;TRIM($I$2:$I$518)&amp;TRIM($J$2:$J$518))&lt;&gt;UPPER(TRIM($G112)&amp;TRIM($I112)&amp;TRIM($J112))))&gt;0), AND($AH112&lt;&gt;"", LOWER(TRIM($AH112))&lt;&gt;"n/a", LOWER(TRIM($AH112))&lt;&gt;"na", SUMPRODUCT(--(UPPER(SUBSTITUTE(SUBSTITUTE(TRIM($AH$2:$AH$518),":",""),"-",""))=UPPER(SUBSTITUTE(SUBSTITUTE(TRIM($AH112),":",""),"-",""))), --(UPPER(TRIM($B$2:$B$518))="YES"), --(UPPER(TRIM($G$2:$G$518)&amp;TRIM($I$2:$I$518)&amp;TRIM($J$2:$J$518))&lt;&gt;UPPER(TRIM($G112)&amp;TRIM($I112)&amp;TRIM($J112))))&gt;0), AND($AP112&lt;&gt;"", LOWER(TRIM($AP112))&lt;&gt;"n/a", LOWER(TRIM($AP112))&lt;&gt;"na", SUMPRODUCT(--(UPPER(TRIM($AP$2:$AP$518))=UPPER(TRIM($AP112))), --(UPPER(TRIM($B$2:$B$518))="YES"), --(UPPER(TRIM($G$2:$G$518)&amp;TRIM($I$2:$I$518)&amp;TRIM($J$2:$J$518))&lt;&gt;UPPER(TRIM($G112)&amp;TRIM($I112)&amp;TRIM($J112))))&gt;0), AND($AQ112&lt;&gt;"", LOWER(TRIM($AQ112))&lt;&gt;"n/a", LOWER(TRIM($AQ112))&lt;&gt;"na", SUMPRODUCT(--(UPPER(TRIM($AQ$2:$AQ$518))=UPPER(TRIM($AQ112))), --(UPPER(TRIM($B$2:$B$518))="YES"), --(UPPER(TRIM($G$2:$G$518)&amp;TRIM($I$2:$I$518)&amp;TRIM($J$2:$J$518))&lt;&gt;UPPER(TRIM($G112)&amp;TRIM($I112)&amp;TRIM($J112))))&gt;0)), "Yes", "No"))</f>
        <v/>
      </c>
      <c r="G112" t="inlineStr">
        <is>
          <t>CFAM</t>
        </is>
      </c>
      <c r="H112" t="inlineStr">
        <is>
          <t>CFAM</t>
        </is>
      </c>
      <c r="I112" t="inlineStr">
        <is>
          <t>Surgery</t>
        </is>
      </c>
      <c r="J112" t="inlineStr">
        <is>
          <t>OR 1</t>
        </is>
      </c>
      <c r="K112" t="inlineStr">
        <is>
          <t>n/a</t>
        </is>
      </c>
      <c r="L112" s="18" t="n">
        <v>46088</v>
      </c>
      <c r="M112" t="inlineStr">
        <is>
          <t>OR iPro Cybernet Workstation</t>
        </is>
      </c>
      <c r="N112" t="inlineStr">
        <is>
          <t>Yes</t>
        </is>
      </c>
      <c r="O112" t="inlineStr">
        <is>
          <t>No</t>
        </is>
      </c>
      <c r="P112" t="inlineStr">
        <is>
          <t>No</t>
        </is>
      </c>
      <c r="Q112" t="inlineStr">
        <is>
          <t>Inpatient</t>
        </is>
      </c>
      <c r="S112" t="inlineStr">
        <is>
          <t>Pass</t>
        </is>
      </c>
      <c r="T112" t="inlineStr">
        <is>
          <t>n/a</t>
        </is>
      </c>
      <c r="U112" t="inlineStr">
        <is>
          <t>1427182 LIJ Installation (Project Name) - Tim W. Seeberger, Akbar, Chris Perkins, Epic Team, Anesthesia Techs, and Admins</t>
        </is>
      </c>
      <c r="V112" t="inlineStr">
        <is>
          <t>WLS450OPR004</t>
        </is>
      </c>
      <c r="W112" t="inlineStr">
        <is>
          <t>MEDNG2425E-3182</t>
        </is>
      </c>
      <c r="X112" t="inlineStr">
        <is>
          <t>CFAM-MCH-G</t>
        </is>
      </c>
      <c r="Y112" t="inlineStr">
        <is>
          <t>00187DE04F87</t>
        </is>
      </c>
      <c r="AF112" t="inlineStr">
        <is>
          <t>Power Cable, Battery, Firmware Download, Device ID, Epic Beans Relay</t>
        </is>
      </c>
      <c r="AG112" t="inlineStr">
        <is>
          <t>Blocked</t>
        </is>
      </c>
      <c r="AH112" t="inlineStr">
        <is>
          <t>00:0D:05:0A:b6:53</t>
        </is>
      </c>
      <c r="AI112" t="inlineStr">
        <is>
          <t>Anesthesia Machine</t>
        </is>
      </c>
      <c r="AL112" t="inlineStr">
        <is>
          <t>IPK03362</t>
        </is>
      </c>
      <c r="AM112" t="inlineStr">
        <is>
          <t xml:space="preserve">Drager </t>
        </is>
      </c>
      <c r="AN112" t="inlineStr">
        <is>
          <t>Apollo</t>
        </is>
      </c>
      <c r="AP112" t="inlineStr">
        <is>
          <t>ASPM-0004</t>
        </is>
      </c>
      <c r="AX112" t="inlineStr">
        <is>
          <t>MX550-DE7770C8WU</t>
        </is>
      </c>
      <c r="AY112" t="inlineStr">
        <is>
          <t>Anesthesia Machine</t>
        </is>
      </c>
      <c r="BR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Z112" t="inlineStr">
        <is>
          <t>iPro
Epic Satellite
ALLSCRIPTS
EPIC BCA</t>
        </is>
      </c>
      <c r="CA112" t="inlineStr">
        <is>
          <t>iPro
Epic Satellite
ALLSCRIPTS
EPIC BCA</t>
        </is>
      </c>
      <c r="CC112" t="inlineStr"/>
      <c r="CD112">
        <f>IF($Y112="","",IF((IF(AND($BR112&lt;&gt;"Yes",$BR112&lt;&gt;"N/A"),"Power Cable, ","")&amp;IF(AND($BS112&lt;&gt;"Yes",$BS112&lt;&gt;"N/A"),"Battery, ","")&amp;IF(AND($AD112&lt;&gt;"Yes",$AD112&lt;&gt;"N/A"),"Firmware Download, ","")&amp;IF(AND(OR($AD112="Yes",$AD112="N/A"),$AE112&lt;&gt;"Yes",$AE112&lt;&gt;"N/A"),"Firmware Install, ","")&amp;IF(AND($CB112&lt;&gt;"Yes",$CB112&lt;&gt;"N/A"),"Device ID, ","")&amp;IF(AND($CC112&lt;&gt;"Yes",$CC112&lt;&gt;"N/A"),"Epic Beans Relay, ",""))="","",LEFT(IF(AND($BR112&lt;&gt;"Yes",$BR112&lt;&gt;"N/A"),"Power Cable, ","")&amp;IF(AND($BS112&lt;&gt;"Yes",$BS112&lt;&gt;"N/A"),"Battery, ","")&amp;IF(AND($AD112&lt;&gt;"Yes",$AD112&lt;&gt;"N/A"),"Firmware Download, ","")&amp;IF(AND(OR($AD112="Yes",$AD112="N/A"),$AE112&lt;&gt;"Yes",$AE112&lt;&gt;"N/A"),"Firmware Install, ","")&amp;IF(AND($CB112&lt;&gt;"Yes",$CB112&lt;&gt;"N/A"),"Device ID, ","")&amp;IF(AND($CC112&lt;&gt;"Yes",$CC112&lt;&gt;"N/A"),"Epic Beans Relay, ",""),LEN(IF(AND($BR112&lt;&gt;"Yes",$BR112&lt;&gt;"N/A"),"Power Cable, ","")&amp;IF(AND($BS112&lt;&gt;"Yes",$BS112&lt;&gt;"N/A"),"Battery, ","")&amp;IF(AND($AD112&lt;&gt;"Yes",$AD112&lt;&gt;"N/A"),"Firmware Download, ","")&amp;IF(AND(OR($AD112="Yes",$AD112="N/A"),$AE112&lt;&gt;"Yes",$AE112&lt;&gt;"N/A"),"Firmware Install, ","")&amp;IF(AND($CB112&lt;&gt;"Yes",$CB112&lt;&gt;"N/A"),"Device ID, ","")&amp;IF(AND($CC112&lt;&gt;"Yes",$CC112&lt;&gt;"N/A"),"Epic Beans Relay, ",""))-2)))</f>
        <v/>
      </c>
      <c r="CE112">
        <f>IF($Y112="","",IF($CD112="","Yes","Blocked"))</f>
        <v/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Q112">
        <f>IF($CO112="","",IFERROR(VLOOKUP($CO112,'01_Warehouse_Ledger'!$A:$N,5,FALSE),""))</f>
        <v/>
      </c>
      <c r="CR112">
        <f>IF($CO112="","",IFERROR(VLOOKUP($CO112,'01_Warehouse_Ledger'!$A:$N,13,FALSE),""))</f>
        <v/>
      </c>
      <c r="CW112">
        <f>IF($S112="","",IF(UPPER(TRIM($S112))&lt;&gt;"PASS","",IF(LEN(TRIM($BY112))&gt;0,"NOTES_PRESENT",IF(LEN(TRIM($T112))=0,"SET_NA",IF(OR(LOWER(TRIM($T112))="na",LOWER(TRIM($T112))="n/a"),"OK","MANUAL_OVERRIDE")))))</f>
        <v/>
      </c>
    </row>
    <row r="113">
      <c r="A113" t="inlineStr">
        <is>
          <t>Cybernet</t>
        </is>
      </c>
      <c r="B113" s="51" t="inlineStr">
        <is>
          <t>YES</t>
        </is>
      </c>
      <c r="C113" t="inlineStr">
        <is>
          <t>YES</t>
        </is>
      </c>
      <c r="D113">
        <f>IF($B113&lt;&gt;"Yes","",IF($C113="No","Yes",IF($C113="Yes","No","")))</f>
        <v/>
      </c>
      <c r="E113">
        <f>IF($A113="","",IF(OR(AND($V113&lt;&gt;"",LOWER(TRIM($V113))&lt;&gt;"n/a",LOWER(TRIM($V113))&lt;&gt;"na",SUMPRODUCT(--(UPPER(TRIM($V$2:$V$518))=UPPER(TRIM($V113))),--(TRIM($V$2:$V$518)&lt;&gt;""),--(LOWER(TRIM($V$2:$V$518))&lt;&gt;"n/a"),--(LOWER(TRIM($V$2:$V$518))&lt;&gt;"na"))&gt;1),AND($W113&lt;&gt;"",LOWER(TRIM($W113))&lt;&gt;"n/a",LOWER(TRIM($W113))&lt;&gt;"na",SUMPRODUCT(--(UPPER(TRIM($W$2:$W$518))=UPPER(TRIM($W113))),--(TRIM($W$2:$W$518)&lt;&gt;""),--(LOWER(TRIM($W$2:$W$518))&lt;&gt;"n/a"),--(LOWER(TRIM($W$2:$W$518))&lt;&gt;"na"))&gt;1),AND($X113&lt;&gt;"",LOWER(TRIM($X113))&lt;&gt;"n/a",LOWER(TRIM($X113))&lt;&gt;"na",SUMPRODUCT(--(UPPER(TRIM($X$2:$X$518))=UPPER(TRIM($X113))),--(TRIM($X$2:$X$518)&lt;&gt;""),--(LOWER(TRIM($X$2:$X$518))&lt;&gt;"n/a"),--(LOWER(TRIM($X$2:$X$518))&lt;&gt;"na"))&gt;1),AND($Y113&lt;&gt;"",LOWER(TRIM($Y113))&lt;&gt;"n/a",LOWER(TRIM($Y113))&lt;&gt;"na",SUMPRODUCT(--(UPPER(SUBSTITUTE(SUBSTITUTE(TRIM($Y$2:$Y$518),":",""),"-",""))=UPPER(SUBSTITUTE(SUBSTITUTE(TRIM($Y113),":",""),"-",""))),--(TRIM($Y$2:$Y$518)&lt;&gt;""),--(LOWER(TRIM($Y$2:$Y$518))&lt;&gt;"n/a"),--(LOWER(TRIM($Y$2:$Y$518))&lt;&gt;"na"))&gt;1),AND($AB113&lt;&gt;"",LOWER(TRIM($AB113))&lt;&gt;"n/a",LOWER(TRIM($AB113))&lt;&gt;"na",SUMPRODUCT(--(UPPER(TRIM($AB$2:$AB$518))=UPPER(TRIM($AB113))),--(TRIM($AB$2:$AB$518)&lt;&gt;""),--(LOWER(TRIM($AB$2:$AB$518))&lt;&gt;"n/a"),--(LOWER(TRIM($AB$2:$AB$518))&lt;&gt;"na"))&gt;1),AND($AH113&lt;&gt;"",LOWER(TRIM($AH113))&lt;&gt;"n/a",LOWER(TRIM($AH113))&lt;&gt;"na",SUMPRODUCT(--(UPPER(SUBSTITUTE(SUBSTITUTE(TRIM($AH$2:$AH$518),":",""),"-",""))=UPPER(SUBSTITUTE(SUBSTITUTE(TRIM($AH113),":",""),"-",""))),--(TRIM($AH$2:$AH$518)&lt;&gt;""),--(LOWER(TRIM($AH$2:$AH$518))&lt;&gt;"n/a"),--(LOWER(TRIM($AH$2:$AH$518))&lt;&gt;"na"))&gt;1),AND($AP113&lt;&gt;"",LOWER(TRIM($AP113))&lt;&gt;"n/a",LOWER(TRIM($AP113))&lt;&gt;"na",SUMPRODUCT(--(UPPER(TRIM($AP$2:$AP$518))=UPPER(TRIM($AP113))),--(TRIM($AP$2:$AP$518)&lt;&gt;""),--(LOWER(TRIM($AP$2:$AP$518))&lt;&gt;"n/a"),--(LOWER(TRIM($AP$2:$AP$518))&lt;&gt;"na"))&gt;1),AND($AQ113&lt;&gt;"",LOWER(TRIM($AQ113))&lt;&gt;"n/a",LOWER(TRIM($AQ113))&lt;&gt;"na",SUMPRODUCT(--(UPPER(TRIM($AQ$2:$AQ$518))=UPPER(TRIM($AQ113))),--(TRIM($AQ$2:$AQ$518)&lt;&gt;""),--(LOWER(TRIM($AQ$2:$AQ$518))&lt;&gt;"n/a"),--(LOWER(TRIM($AQ$2:$AQ$518))&lt;&gt;"na"))&gt;1)),"Yes","No"))</f>
        <v/>
      </c>
      <c r="F113">
        <f>IF(UPPER(TRIM($B113))&lt;&gt;"YES","", IF(OR(AND($V113&lt;&gt;"", LOWER(TRIM($V113))&lt;&gt;"n/a", LOWER(TRIM($V113))&lt;&gt;"na", SUMPRODUCT(--(UPPER(TRIM($V$2:$V$518))=UPPER(TRIM($V113))), --(UPPER(TRIM($B$2:$B$518))="YES"), --(UPPER(TRIM($G$2:$G$518)&amp;TRIM($I$2:$I$518)&amp;TRIM($J$2:$J$518))&lt;&gt;UPPER(TRIM($G113)&amp;TRIM($I113)&amp;TRIM($J113))))&gt;0), AND($W113&lt;&gt;"", LOWER(TRIM($W113))&lt;&gt;"n/a", LOWER(TRIM($W113))&lt;&gt;"na", SUMPRODUCT(--(UPPER(TRIM($W$2:$W$518))=UPPER(TRIM($W113))), --(UPPER(TRIM($B$2:$B$518))="YES"), --(UPPER(TRIM($G$2:$G$518)&amp;TRIM($I$2:$I$518)&amp;TRIM($J$2:$J$518))&lt;&gt;UPPER(TRIM($G113)&amp;TRIM($I113)&amp;TRIM($J113))))&gt;0), AND($X113&lt;&gt;"", LOWER(TRIM($X113))&lt;&gt;"n/a", LOWER(TRIM($X113))&lt;&gt;"na", SUMPRODUCT(--(UPPER(TRIM($X$2:$X$518))=UPPER(TRIM($X113))), --(UPPER(TRIM($B$2:$B$518))="YES"), --(UPPER(TRIM($G$2:$G$518)&amp;TRIM($I$2:$I$518)&amp;TRIM($J$2:$J$518))&lt;&gt;UPPER(TRIM($G113)&amp;TRIM($I113)&amp;TRIM($J113))))&gt;0), AND($Y113&lt;&gt;"", LOWER(TRIM($Y113))&lt;&gt;"n/a", LOWER(TRIM($Y113))&lt;&gt;"na", SUMPRODUCT(--(UPPER(SUBSTITUTE(SUBSTITUTE(TRIM($Y$2:$Y$518),":",""),"-",""))=UPPER(SUBSTITUTE(SUBSTITUTE(TRIM($Y113),":",""),"-",""))), --(UPPER(TRIM($B$2:$B$518))="YES"), --(UPPER(TRIM($G$2:$G$518)&amp;TRIM($I$2:$I$518)&amp;TRIM($J$2:$J$518))&lt;&gt;UPPER(TRIM($G113)&amp;TRIM($I113)&amp;TRIM($J113))))&gt;0), AND($AB113&lt;&gt;"", LOWER(TRIM($AB113))&lt;&gt;"n/a", LOWER(TRIM($AB113))&lt;&gt;"na", SUMPRODUCT(--(UPPER(TRIM($AB$2:$AB$518))=UPPER(TRIM($AB113))), --(UPPER(TRIM($B$2:$B$518))="YES"), --(UPPER(TRIM($G$2:$G$518)&amp;TRIM($I$2:$I$518)&amp;TRIM($J$2:$J$518))&lt;&gt;UPPER(TRIM($G113)&amp;TRIM($I113)&amp;TRIM($J113))))&gt;0), AND($AH113&lt;&gt;"", LOWER(TRIM($AH113))&lt;&gt;"n/a", LOWER(TRIM($AH113))&lt;&gt;"na", SUMPRODUCT(--(UPPER(SUBSTITUTE(SUBSTITUTE(TRIM($AH$2:$AH$518),":",""),"-",""))=UPPER(SUBSTITUTE(SUBSTITUTE(TRIM($AH113),":",""),"-",""))), --(UPPER(TRIM($B$2:$B$518))="YES"), --(UPPER(TRIM($G$2:$G$518)&amp;TRIM($I$2:$I$518)&amp;TRIM($J$2:$J$518))&lt;&gt;UPPER(TRIM($G113)&amp;TRIM($I113)&amp;TRIM($J113))))&gt;0), AND($AP113&lt;&gt;"", LOWER(TRIM($AP113))&lt;&gt;"n/a", LOWER(TRIM($AP113))&lt;&gt;"na", SUMPRODUCT(--(UPPER(TRIM($AP$2:$AP$518))=UPPER(TRIM($AP113))), --(UPPER(TRIM($B$2:$B$518))="YES"), --(UPPER(TRIM($G$2:$G$518)&amp;TRIM($I$2:$I$518)&amp;TRIM($J$2:$J$518))&lt;&gt;UPPER(TRIM($G113)&amp;TRIM($I113)&amp;TRIM($J113))))&gt;0), AND($AQ113&lt;&gt;"", LOWER(TRIM($AQ113))&lt;&gt;"n/a", LOWER(TRIM($AQ113))&lt;&gt;"na", SUMPRODUCT(--(UPPER(TRIM($AQ$2:$AQ$518))=UPPER(TRIM($AQ113))), --(UPPER(TRIM($B$2:$B$518))="YES"), --(UPPER(TRIM($G$2:$G$518)&amp;TRIM($I$2:$I$518)&amp;TRIM($J$2:$J$518))&lt;&gt;UPPER(TRIM($G113)&amp;TRIM($I113)&amp;TRIM($J113))))&gt;0)), "Yes", "No"))</f>
        <v/>
      </c>
      <c r="G113" t="inlineStr">
        <is>
          <t>CFAM</t>
        </is>
      </c>
      <c r="H113" t="inlineStr">
        <is>
          <t>CFAM</t>
        </is>
      </c>
      <c r="I113" t="inlineStr">
        <is>
          <t>Surgery</t>
        </is>
      </c>
      <c r="J113" t="inlineStr">
        <is>
          <t>OR 4</t>
        </is>
      </c>
      <c r="K113" t="inlineStr">
        <is>
          <t>n/a</t>
        </is>
      </c>
      <c r="L113" s="18" t="n">
        <v>46088</v>
      </c>
      <c r="M113" t="inlineStr">
        <is>
          <t>OR iPro Cybernet Workstation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Inpatient</t>
        </is>
      </c>
      <c r="T113" t="inlineStr">
        <is>
          <t>n/a</t>
        </is>
      </c>
      <c r="U113" t="inlineStr">
        <is>
          <t>1427182 LIJ Installation (Project Name) - Tim W. Seeberger, Akbar, Chris Perkins, Epic Team, Anesthesia Techs, and Admins</t>
        </is>
      </c>
      <c r="V113" t="inlineStr">
        <is>
          <t>WLS450OPR005</t>
        </is>
      </c>
      <c r="W113" t="inlineStr">
        <is>
          <t>MEDNG2425E-3224</t>
        </is>
      </c>
      <c r="X113" t="inlineStr">
        <is>
          <t>CFAM-MACH-D</t>
        </is>
      </c>
      <c r="Y113" t="inlineStr">
        <is>
          <t>00187DE0E22A</t>
        </is>
      </c>
      <c r="AF113" t="inlineStr">
        <is>
          <t>Power Cable, Battery, Firmware Download, Device ID, Epic Beans Relay</t>
        </is>
      </c>
      <c r="AG113" t="inlineStr">
        <is>
          <t>Blocked</t>
        </is>
      </c>
      <c r="AH113" t="inlineStr">
        <is>
          <t>00:0D:05:0A:B3:07</t>
        </is>
      </c>
      <c r="AI113" t="inlineStr">
        <is>
          <t>Anesthesia Machine</t>
        </is>
      </c>
      <c r="AL113" t="inlineStr">
        <is>
          <t>IPK03368</t>
        </is>
      </c>
      <c r="AM113" t="inlineStr">
        <is>
          <t>Drager</t>
        </is>
      </c>
      <c r="AN113" t="inlineStr">
        <is>
          <t>Apollo</t>
        </is>
      </c>
      <c r="AP113" t="inlineStr">
        <is>
          <t>ASPM-0005</t>
        </is>
      </c>
      <c r="AX113" t="inlineStr">
        <is>
          <t>MX550-DE7770C8WP</t>
        </is>
      </c>
      <c r="AY113" t="inlineStr">
        <is>
          <t>Anesthesia Machine</t>
        </is>
      </c>
      <c r="BR113" t="inlineStr">
        <is>
          <t>Yes</t>
        </is>
      </c>
      <c r="BS113" t="inlineStr">
        <is>
          <t>Yes</t>
        </is>
      </c>
      <c r="BT113" t="inlineStr">
        <is>
          <t>Yes</t>
        </is>
      </c>
      <c r="BU113" t="inlineStr">
        <is>
          <t>Yes</t>
        </is>
      </c>
      <c r="BZ113" t="inlineStr">
        <is>
          <t>iPro
Epic Satellite
ALLSCRIPTS
EPIC BCA</t>
        </is>
      </c>
      <c r="CA113" t="inlineStr">
        <is>
          <t>iPro
Epic Satellite
ALLSCRIPTS
EPIC BCA</t>
        </is>
      </c>
      <c r="CC113" t="inlineStr"/>
      <c r="CD113">
        <f>IF($Y113="","",IF((IF(AND($BR113&lt;&gt;"Yes",$BR113&lt;&gt;"N/A"),"Power Cable, ","")&amp;IF(AND($BS113&lt;&gt;"Yes",$BS113&lt;&gt;"N/A"),"Battery, ","")&amp;IF(AND($AD113&lt;&gt;"Yes",$AD113&lt;&gt;"N/A"),"Firmware Download, ","")&amp;IF(AND(OR($AD113="Yes",$AD113="N/A"),$AE113&lt;&gt;"Yes",$AE113&lt;&gt;"N/A"),"Firmware Install, ","")&amp;IF(AND($CB113&lt;&gt;"Yes",$CB113&lt;&gt;"N/A"),"Device ID, ","")&amp;IF(AND($CC113&lt;&gt;"Yes",$CC113&lt;&gt;"N/A"),"Epic Beans Relay, ",""))="","",LEFT(IF(AND($BR113&lt;&gt;"Yes",$BR113&lt;&gt;"N/A"),"Power Cable, ","")&amp;IF(AND($BS113&lt;&gt;"Yes",$BS113&lt;&gt;"N/A"),"Battery, ","")&amp;IF(AND($AD113&lt;&gt;"Yes",$AD113&lt;&gt;"N/A"),"Firmware Download, ","")&amp;IF(AND(OR($AD113="Yes",$AD113="N/A"),$AE113&lt;&gt;"Yes",$AE113&lt;&gt;"N/A"),"Firmware Install, ","")&amp;IF(AND($CB113&lt;&gt;"Yes",$CB113&lt;&gt;"N/A"),"Device ID, ","")&amp;IF(AND($CC113&lt;&gt;"Yes",$CC113&lt;&gt;"N/A"),"Epic Beans Relay, ",""),LEN(IF(AND($BR113&lt;&gt;"Yes",$BR113&lt;&gt;"N/A"),"Power Cable, ","")&amp;IF(AND($BS113&lt;&gt;"Yes",$BS113&lt;&gt;"N/A"),"Battery, ","")&amp;IF(AND($AD113&lt;&gt;"Yes",$AD113&lt;&gt;"N/A"),"Firmware Download, ","")&amp;IF(AND(OR($AD113="Yes",$AD113="N/A"),$AE113&lt;&gt;"Yes",$AE113&lt;&gt;"N/A"),"Firmware Install, ","")&amp;IF(AND($CB113&lt;&gt;"Yes",$CB113&lt;&gt;"N/A"),"Device ID, ","")&amp;IF(AND($CC113&lt;&gt;"Yes",$CC113&lt;&gt;"N/A"),"Epic Beans Relay, ",""))-2)))</f>
        <v/>
      </c>
      <c r="CE113">
        <f>IF($Y113="","",IF($CD113="","Yes","Blocked"))</f>
        <v/>
      </c>
      <c r="CF113" t="inlineStr">
        <is>
          <t>Yes</t>
        </is>
      </c>
      <c r="CG113" t="inlineStr">
        <is>
          <t>Yes</t>
        </is>
      </c>
      <c r="CH113" t="inlineStr">
        <is>
          <t>Yes</t>
        </is>
      </c>
      <c r="CI113" t="inlineStr">
        <is>
          <t>Yes</t>
        </is>
      </c>
      <c r="CJ113" t="inlineStr">
        <is>
          <t>Yes</t>
        </is>
      </c>
      <c r="CQ113">
        <f>IF($CO113="","",IFERROR(VLOOKUP($CO113,'01_Warehouse_Ledger'!$A:$N,5,FALSE),""))</f>
        <v/>
      </c>
      <c r="CR113">
        <f>IF($CO113="","",IFERROR(VLOOKUP($CO113,'01_Warehouse_Ledger'!$A:$N,13,FALSE),""))</f>
        <v/>
      </c>
      <c r="CW113">
        <f>IF($S113="","",IF(UPPER(TRIM($S113))&lt;&gt;"PASS","",IF(LEN(TRIM($BY113))&gt;0,"NOTES_PRESENT",IF(LEN(TRIM($T113))=0,"SET_NA",IF(OR(LOWER(TRIM($T113))="na",LOWER(TRIM($T113))="n/a"),"OK","MANUAL_OVERRIDE")))))</f>
        <v/>
      </c>
    </row>
    <row r="114">
      <c r="A114" t="inlineStr">
        <is>
          <t>Cybernet</t>
        </is>
      </c>
      <c r="B114" s="51" t="inlineStr">
        <is>
          <t>Yes</t>
        </is>
      </c>
      <c r="C114" t="inlineStr">
        <is>
          <t>YES</t>
        </is>
      </c>
      <c r="D114">
        <f>IF($B114&lt;&gt;"Yes","",IF($C114="No","Yes",IF($C114="Yes","No","")))</f>
        <v/>
      </c>
      <c r="E114">
        <f>IF($A114="","",IF(OR(AND($V114&lt;&gt;"",LOWER(TRIM($V114))&lt;&gt;"n/a",LOWER(TRIM($V114))&lt;&gt;"na",SUMPRODUCT(--(UPPER(TRIM($V$2:$V$518))=UPPER(TRIM($V114))),--(TRIM($V$2:$V$518)&lt;&gt;""),--(LOWER(TRIM($V$2:$V$518))&lt;&gt;"n/a"),--(LOWER(TRIM($V$2:$V$518))&lt;&gt;"na"))&gt;1),AND($W114&lt;&gt;"",LOWER(TRIM($W114))&lt;&gt;"n/a",LOWER(TRIM($W114))&lt;&gt;"na",SUMPRODUCT(--(UPPER(TRIM($W$2:$W$518))=UPPER(TRIM($W114))),--(TRIM($W$2:$W$518)&lt;&gt;""),--(LOWER(TRIM($W$2:$W$518))&lt;&gt;"n/a"),--(LOWER(TRIM($W$2:$W$518))&lt;&gt;"na"))&gt;1),AND($X114&lt;&gt;"",LOWER(TRIM($X114))&lt;&gt;"n/a",LOWER(TRIM($X114))&lt;&gt;"na",SUMPRODUCT(--(UPPER(TRIM($X$2:$X$518))=UPPER(TRIM($X114))),--(TRIM($X$2:$X$518)&lt;&gt;""),--(LOWER(TRIM($X$2:$X$518))&lt;&gt;"n/a"),--(LOWER(TRIM($X$2:$X$518))&lt;&gt;"na"))&gt;1),AND($Y114&lt;&gt;"",LOWER(TRIM($Y114))&lt;&gt;"n/a",LOWER(TRIM($Y114))&lt;&gt;"na",SUMPRODUCT(--(UPPER(SUBSTITUTE(SUBSTITUTE(TRIM($Y$2:$Y$518),":",""),"-",""))=UPPER(SUBSTITUTE(SUBSTITUTE(TRIM($Y114),":",""),"-",""))),--(TRIM($Y$2:$Y$518)&lt;&gt;""),--(LOWER(TRIM($Y$2:$Y$518))&lt;&gt;"n/a"),--(LOWER(TRIM($Y$2:$Y$518))&lt;&gt;"na"))&gt;1),AND($AB114&lt;&gt;"",LOWER(TRIM($AB114))&lt;&gt;"n/a",LOWER(TRIM($AB114))&lt;&gt;"na",SUMPRODUCT(--(UPPER(TRIM($AB$2:$AB$518))=UPPER(TRIM($AB114))),--(TRIM($AB$2:$AB$518)&lt;&gt;""),--(LOWER(TRIM($AB$2:$AB$518))&lt;&gt;"n/a"),--(LOWER(TRIM($AB$2:$AB$518))&lt;&gt;"na"))&gt;1),AND($AH114&lt;&gt;"",LOWER(TRIM($AH114))&lt;&gt;"n/a",LOWER(TRIM($AH114))&lt;&gt;"na",SUMPRODUCT(--(UPPER(SUBSTITUTE(SUBSTITUTE(TRIM($AH$2:$AH$518),":",""),"-",""))=UPPER(SUBSTITUTE(SUBSTITUTE(TRIM($AH114),":",""),"-",""))),--(TRIM($AH$2:$AH$518)&lt;&gt;""),--(LOWER(TRIM($AH$2:$AH$518))&lt;&gt;"n/a"),--(LOWER(TRIM($AH$2:$AH$518))&lt;&gt;"na"))&gt;1),AND($AP114&lt;&gt;"",LOWER(TRIM($AP114))&lt;&gt;"n/a",LOWER(TRIM($AP114))&lt;&gt;"na",SUMPRODUCT(--(UPPER(TRIM($AP$2:$AP$518))=UPPER(TRIM($AP114))),--(TRIM($AP$2:$AP$518)&lt;&gt;""),--(LOWER(TRIM($AP$2:$AP$518))&lt;&gt;"n/a"),--(LOWER(TRIM($AP$2:$AP$518))&lt;&gt;"na"))&gt;1),AND($AQ114&lt;&gt;"",LOWER(TRIM($AQ114))&lt;&gt;"n/a",LOWER(TRIM($AQ114))&lt;&gt;"na",SUMPRODUCT(--(UPPER(TRIM($AQ$2:$AQ$518))=UPPER(TRIM($AQ114))),--(TRIM($AQ$2:$AQ$518)&lt;&gt;""),--(LOWER(TRIM($AQ$2:$AQ$518))&lt;&gt;"n/a"),--(LOWER(TRIM($AQ$2:$AQ$518))&lt;&gt;"na"))&gt;1)),"Yes","No"))</f>
        <v/>
      </c>
      <c r="F114">
        <f>IF(UPPER(TRIM($B114))&lt;&gt;"YES","", IF(OR(AND($V114&lt;&gt;"", LOWER(TRIM($V114))&lt;&gt;"n/a", LOWER(TRIM($V114))&lt;&gt;"na", SUMPRODUCT(--(UPPER(TRIM($V$2:$V$518))=UPPER(TRIM($V114))), --(UPPER(TRIM($B$2:$B$518))="YES"), --(UPPER(TRIM($G$2:$G$518)&amp;TRIM($I$2:$I$518)&amp;TRIM($J$2:$J$518))&lt;&gt;UPPER(TRIM($G114)&amp;TRIM($I114)&amp;TRIM($J114))))&gt;0), AND($W114&lt;&gt;"", LOWER(TRIM($W114))&lt;&gt;"n/a", LOWER(TRIM($W114))&lt;&gt;"na", SUMPRODUCT(--(UPPER(TRIM($W$2:$W$518))=UPPER(TRIM($W114))), --(UPPER(TRIM($B$2:$B$518))="YES"), --(UPPER(TRIM($G$2:$G$518)&amp;TRIM($I$2:$I$518)&amp;TRIM($J$2:$J$518))&lt;&gt;UPPER(TRIM($G114)&amp;TRIM($I114)&amp;TRIM($J114))))&gt;0), AND($X114&lt;&gt;"", LOWER(TRIM($X114))&lt;&gt;"n/a", LOWER(TRIM($X114))&lt;&gt;"na", SUMPRODUCT(--(UPPER(TRIM($X$2:$X$518))=UPPER(TRIM($X114))), --(UPPER(TRIM($B$2:$B$518))="YES"), --(UPPER(TRIM($G$2:$G$518)&amp;TRIM($I$2:$I$518)&amp;TRIM($J$2:$J$518))&lt;&gt;UPPER(TRIM($G114)&amp;TRIM($I114)&amp;TRIM($J114))))&gt;0), AND($Y114&lt;&gt;"", LOWER(TRIM($Y114))&lt;&gt;"n/a", LOWER(TRIM($Y114))&lt;&gt;"na", SUMPRODUCT(--(UPPER(SUBSTITUTE(SUBSTITUTE(TRIM($Y$2:$Y$518),":",""),"-",""))=UPPER(SUBSTITUTE(SUBSTITUTE(TRIM($Y114),":",""),"-",""))), --(UPPER(TRIM($B$2:$B$518))="YES"), --(UPPER(TRIM($G$2:$G$518)&amp;TRIM($I$2:$I$518)&amp;TRIM($J$2:$J$518))&lt;&gt;UPPER(TRIM($G114)&amp;TRIM($I114)&amp;TRIM($J114))))&gt;0), AND($AB114&lt;&gt;"", LOWER(TRIM($AB114))&lt;&gt;"n/a", LOWER(TRIM($AB114))&lt;&gt;"na", SUMPRODUCT(--(UPPER(TRIM($AB$2:$AB$518))=UPPER(TRIM($AB114))), --(UPPER(TRIM($B$2:$B$518))="YES"), --(UPPER(TRIM($G$2:$G$518)&amp;TRIM($I$2:$I$518)&amp;TRIM($J$2:$J$518))&lt;&gt;UPPER(TRIM($G114)&amp;TRIM($I114)&amp;TRIM($J114))))&gt;0), AND($AH114&lt;&gt;"", LOWER(TRIM($AH114))&lt;&gt;"n/a", LOWER(TRIM($AH114))&lt;&gt;"na", SUMPRODUCT(--(UPPER(SUBSTITUTE(SUBSTITUTE(TRIM($AH$2:$AH$518),":",""),"-",""))=UPPER(SUBSTITUTE(SUBSTITUTE(TRIM($AH114),":",""),"-",""))), --(UPPER(TRIM($B$2:$B$518))="YES"), --(UPPER(TRIM($G$2:$G$518)&amp;TRIM($I$2:$I$518)&amp;TRIM($J$2:$J$518))&lt;&gt;UPPER(TRIM($G114)&amp;TRIM($I114)&amp;TRIM($J114))))&gt;0), AND($AP114&lt;&gt;"", LOWER(TRIM($AP114))&lt;&gt;"n/a", LOWER(TRIM($AP114))&lt;&gt;"na", SUMPRODUCT(--(UPPER(TRIM($AP$2:$AP$518))=UPPER(TRIM($AP114))), --(UPPER(TRIM($B$2:$B$518))="YES"), --(UPPER(TRIM($G$2:$G$518)&amp;TRIM($I$2:$I$518)&amp;TRIM($J$2:$J$518))&lt;&gt;UPPER(TRIM($G114)&amp;TRIM($I114)&amp;TRIM($J114))))&gt;0), AND($AQ114&lt;&gt;"", LOWER(TRIM($AQ114))&lt;&gt;"n/a", LOWER(TRIM($AQ114))&lt;&gt;"na", SUMPRODUCT(--(UPPER(TRIM($AQ$2:$AQ$518))=UPPER(TRIM($AQ114))), --(UPPER(TRIM($B$2:$B$518))="YES"), --(UPPER(TRIM($G$2:$G$518)&amp;TRIM($I$2:$I$518)&amp;TRIM($J$2:$J$518))&lt;&gt;UPPER(TRIM($G114)&amp;TRIM($I114)&amp;TRIM($J114))))&gt;0)), "Yes", "No"))</f>
        <v/>
      </c>
      <c r="G114" t="inlineStr">
        <is>
          <t>CFAM</t>
        </is>
      </c>
      <c r="H114" t="inlineStr">
        <is>
          <t>CFAM</t>
        </is>
      </c>
      <c r="I114" t="inlineStr">
        <is>
          <t>Surgery</t>
        </is>
      </c>
      <c r="J114" t="inlineStr">
        <is>
          <t>OR 5</t>
        </is>
      </c>
      <c r="K114" t="inlineStr">
        <is>
          <t>n/a</t>
        </is>
      </c>
      <c r="L114" s="18" t="n">
        <v>46088</v>
      </c>
      <c r="M114" t="inlineStr">
        <is>
          <t>OR IPRO CYBERNET WORKSTATION</t>
        </is>
      </c>
      <c r="Q114" t="inlineStr">
        <is>
          <t>Inpatient</t>
        </is>
      </c>
      <c r="S114" t="inlineStr">
        <is>
          <t>Pass</t>
        </is>
      </c>
      <c r="T114" t="inlineStr">
        <is>
          <t>n/a</t>
        </is>
      </c>
      <c r="U114" t="inlineStr">
        <is>
          <t>1427182 LIJ Installation (Project Name) - Tim W. Seeberger, Akbar, Chris Perkins, Epic Team, Anesthesia Techs, and Admins</t>
        </is>
      </c>
      <c r="V114" t="inlineStr">
        <is>
          <t>WLS450OPR008</t>
        </is>
      </c>
      <c r="W114" t="inlineStr">
        <is>
          <t>MEDSG2425F-0279</t>
        </is>
      </c>
      <c r="X114" t="inlineStr">
        <is>
          <t>CFAM-MACH-A</t>
        </is>
      </c>
      <c r="Y114" t="inlineStr">
        <is>
          <t>00187DE0E223</t>
        </is>
      </c>
      <c r="AF114" t="inlineStr">
        <is>
          <t>Power Cable, Battery, Firmware Download, Device ID, Epic Beans Relay</t>
        </is>
      </c>
      <c r="AG114" t="inlineStr">
        <is>
          <t>Blocked</t>
        </is>
      </c>
      <c r="AH114" t="inlineStr">
        <is>
          <t>00:0D:05:0A:A9:01</t>
        </is>
      </c>
      <c r="AI114" t="inlineStr">
        <is>
          <t>Anesthesia Machine</t>
        </is>
      </c>
      <c r="AM114" t="inlineStr">
        <is>
          <t xml:space="preserve">Drager </t>
        </is>
      </c>
      <c r="AN114" t="inlineStr">
        <is>
          <t>Apollo</t>
        </is>
      </c>
      <c r="AP114" t="inlineStr">
        <is>
          <t>ASNK-0112</t>
        </is>
      </c>
      <c r="AX114" t="inlineStr">
        <is>
          <t>MX550-DE7770C8Z5</t>
        </is>
      </c>
      <c r="AY114" t="inlineStr">
        <is>
          <t>Anesthesia Machine</t>
        </is>
      </c>
      <c r="BR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CA114" t="inlineStr">
        <is>
          <t>iPro
Epic Satellite
ALLSCRIPTS
EPIC BCA</t>
        </is>
      </c>
      <c r="CC114" t="inlineStr"/>
      <c r="CD114">
        <f>IF($Y114="","",IF((IF(AND($BR114&lt;&gt;"Yes",$BR114&lt;&gt;"N/A"),"Power Cable, ","")&amp;IF(AND($BS114&lt;&gt;"Yes",$BS114&lt;&gt;"N/A"),"Battery, ","")&amp;IF(AND($AD114&lt;&gt;"Yes",$AD114&lt;&gt;"N/A"),"Firmware Download, ","")&amp;IF(AND(OR($AD114="Yes",$AD114="N/A"),$AE114&lt;&gt;"Yes",$AE114&lt;&gt;"N/A"),"Firmware Install, ","")&amp;IF(AND($CB114&lt;&gt;"Yes",$CB114&lt;&gt;"N/A"),"Device ID, ","")&amp;IF(AND($CC114&lt;&gt;"Yes",$CC114&lt;&gt;"N/A"),"Epic Beans Relay, ",""))="","",LEFT(IF(AND($BR114&lt;&gt;"Yes",$BR114&lt;&gt;"N/A"),"Power Cable, ","")&amp;IF(AND($BS114&lt;&gt;"Yes",$BS114&lt;&gt;"N/A"),"Battery, ","")&amp;IF(AND($AD114&lt;&gt;"Yes",$AD114&lt;&gt;"N/A"),"Firmware Download, ","")&amp;IF(AND(OR($AD114="Yes",$AD114="N/A"),$AE114&lt;&gt;"Yes",$AE114&lt;&gt;"N/A"),"Firmware Install, ","")&amp;IF(AND($CB114&lt;&gt;"Yes",$CB114&lt;&gt;"N/A"),"Device ID, ","")&amp;IF(AND($CC114&lt;&gt;"Yes",$CC114&lt;&gt;"N/A"),"Epic Beans Relay, ",""),LEN(IF(AND($BR114&lt;&gt;"Yes",$BR114&lt;&gt;"N/A"),"Power Cable, ","")&amp;IF(AND($BS114&lt;&gt;"Yes",$BS114&lt;&gt;"N/A"),"Battery, ","")&amp;IF(AND($AD114&lt;&gt;"Yes",$AD114&lt;&gt;"N/A"),"Firmware Download, ","")&amp;IF(AND(OR($AD114="Yes",$AD114="N/A"),$AE114&lt;&gt;"Yes",$AE114&lt;&gt;"N/A"),"Firmware Install, ","")&amp;IF(AND($CB114&lt;&gt;"Yes",$CB114&lt;&gt;"N/A"),"Device ID, ","")&amp;IF(AND($CC114&lt;&gt;"Yes",$CC114&lt;&gt;"N/A"),"Epic Beans Relay, ",""))-2)))</f>
        <v/>
      </c>
      <c r="CE114">
        <f>IF($Y114="","",IF($CD114="","Yes","Blocked"))</f>
        <v/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Q114">
        <f>IF($CO114="","",IFERROR(VLOOKUP($CO114,'01_Warehouse_Ledger'!$A:$N,5,FALSE),""))</f>
        <v/>
      </c>
      <c r="CR114">
        <f>IF($CO114="","",IFERROR(VLOOKUP($CO114,'01_Warehouse_Ledger'!$A:$N,13,FALSE),""))</f>
        <v/>
      </c>
      <c r="CW114">
        <f>IF($S114="","",IF(UPPER(TRIM($S114))&lt;&gt;"PASS","",IF(LEN(TRIM($BY114))&gt;0,"NOTES_PRESENT",IF(LEN(TRIM($T114))=0,"SET_NA",IF(OR(LOWER(TRIM($T114))="na",LOWER(TRIM($T114))="n/a"),"OK","MANUAL_OVERRIDE")))))</f>
        <v/>
      </c>
    </row>
    <row r="115">
      <c r="A115" t="inlineStr">
        <is>
          <t>Cybernet</t>
        </is>
      </c>
      <c r="B115" s="51" t="inlineStr">
        <is>
          <t>yes</t>
        </is>
      </c>
      <c r="C115" t="inlineStr">
        <is>
          <t>yes</t>
        </is>
      </c>
      <c r="D115">
        <f>IF($B115&lt;&gt;"Yes","",IF($C115="No","Yes",IF($C115="Yes","No","")))</f>
        <v/>
      </c>
      <c r="E115">
        <f>IF($A115="","",IF(OR(AND($V115&lt;&gt;"",LOWER(TRIM($V115))&lt;&gt;"n/a",LOWER(TRIM($V115))&lt;&gt;"na",SUMPRODUCT(--(UPPER(TRIM($V$2:$V$518))=UPPER(TRIM($V115))),--(TRIM($V$2:$V$518)&lt;&gt;""),--(LOWER(TRIM($V$2:$V$518))&lt;&gt;"n/a"),--(LOWER(TRIM($V$2:$V$518))&lt;&gt;"na"))&gt;1),AND($W115&lt;&gt;"",LOWER(TRIM($W115))&lt;&gt;"n/a",LOWER(TRIM($W115))&lt;&gt;"na",SUMPRODUCT(--(UPPER(TRIM($W$2:$W$518))=UPPER(TRIM($W115))),--(TRIM($W$2:$W$518)&lt;&gt;""),--(LOWER(TRIM($W$2:$W$518))&lt;&gt;"n/a"),--(LOWER(TRIM($W$2:$W$518))&lt;&gt;"na"))&gt;1),AND($X115&lt;&gt;"",LOWER(TRIM($X115))&lt;&gt;"n/a",LOWER(TRIM($X115))&lt;&gt;"na",SUMPRODUCT(--(UPPER(TRIM($X$2:$X$518))=UPPER(TRIM($X115))),--(TRIM($X$2:$X$518)&lt;&gt;""),--(LOWER(TRIM($X$2:$X$518))&lt;&gt;"n/a"),--(LOWER(TRIM($X$2:$X$518))&lt;&gt;"na"))&gt;1),AND($Y115&lt;&gt;"",LOWER(TRIM($Y115))&lt;&gt;"n/a",LOWER(TRIM($Y115))&lt;&gt;"na",SUMPRODUCT(--(UPPER(SUBSTITUTE(SUBSTITUTE(TRIM($Y$2:$Y$518),":",""),"-",""))=UPPER(SUBSTITUTE(SUBSTITUTE(TRIM($Y115),":",""),"-",""))),--(TRIM($Y$2:$Y$518)&lt;&gt;""),--(LOWER(TRIM($Y$2:$Y$518))&lt;&gt;"n/a"),--(LOWER(TRIM($Y$2:$Y$518))&lt;&gt;"na"))&gt;1),AND($AB115&lt;&gt;"",LOWER(TRIM($AB115))&lt;&gt;"n/a",LOWER(TRIM($AB115))&lt;&gt;"na",SUMPRODUCT(--(UPPER(TRIM($AB$2:$AB$518))=UPPER(TRIM($AB115))),--(TRIM($AB$2:$AB$518)&lt;&gt;""),--(LOWER(TRIM($AB$2:$AB$518))&lt;&gt;"n/a"),--(LOWER(TRIM($AB$2:$AB$518))&lt;&gt;"na"))&gt;1),AND($AH115&lt;&gt;"",LOWER(TRIM($AH115))&lt;&gt;"n/a",LOWER(TRIM($AH115))&lt;&gt;"na",SUMPRODUCT(--(UPPER(SUBSTITUTE(SUBSTITUTE(TRIM($AH$2:$AH$518),":",""),"-",""))=UPPER(SUBSTITUTE(SUBSTITUTE(TRIM($AH115),":",""),"-",""))),--(TRIM($AH$2:$AH$518)&lt;&gt;""),--(LOWER(TRIM($AH$2:$AH$518))&lt;&gt;"n/a"),--(LOWER(TRIM($AH$2:$AH$518))&lt;&gt;"na"))&gt;1),AND($AP115&lt;&gt;"",LOWER(TRIM($AP115))&lt;&gt;"n/a",LOWER(TRIM($AP115))&lt;&gt;"na",SUMPRODUCT(--(UPPER(TRIM($AP$2:$AP$518))=UPPER(TRIM($AP115))),--(TRIM($AP$2:$AP$518)&lt;&gt;""),--(LOWER(TRIM($AP$2:$AP$518))&lt;&gt;"n/a"),--(LOWER(TRIM($AP$2:$AP$518))&lt;&gt;"na"))&gt;1),AND($AQ115&lt;&gt;"",LOWER(TRIM($AQ115))&lt;&gt;"n/a",LOWER(TRIM($AQ115))&lt;&gt;"na",SUMPRODUCT(--(UPPER(TRIM($AQ$2:$AQ$518))=UPPER(TRIM($AQ115))),--(TRIM($AQ$2:$AQ$518)&lt;&gt;""),--(LOWER(TRIM($AQ$2:$AQ$518))&lt;&gt;"n/a"),--(LOWER(TRIM($AQ$2:$AQ$518))&lt;&gt;"na"))&gt;1)),"Yes","No"))</f>
        <v/>
      </c>
      <c r="F115">
        <f>IF(UPPER(TRIM($B115))&lt;&gt;"YES","", IF(OR(AND($V115&lt;&gt;"", LOWER(TRIM($V115))&lt;&gt;"n/a", LOWER(TRIM($V115))&lt;&gt;"na", SUMPRODUCT(--(UPPER(TRIM($V$2:$V$518))=UPPER(TRIM($V115))), --(UPPER(TRIM($B$2:$B$518))="YES"), --(UPPER(TRIM($G$2:$G$518)&amp;TRIM($I$2:$I$518)&amp;TRIM($J$2:$J$518))&lt;&gt;UPPER(TRIM($G115)&amp;TRIM($I115)&amp;TRIM($J115))))&gt;0), AND($W115&lt;&gt;"", LOWER(TRIM($W115))&lt;&gt;"n/a", LOWER(TRIM($W115))&lt;&gt;"na", SUMPRODUCT(--(UPPER(TRIM($W$2:$W$518))=UPPER(TRIM($W115))), --(UPPER(TRIM($B$2:$B$518))="YES"), --(UPPER(TRIM($G$2:$G$518)&amp;TRIM($I$2:$I$518)&amp;TRIM($J$2:$J$518))&lt;&gt;UPPER(TRIM($G115)&amp;TRIM($I115)&amp;TRIM($J115))))&gt;0), AND($X115&lt;&gt;"", LOWER(TRIM($X115))&lt;&gt;"n/a", LOWER(TRIM($X115))&lt;&gt;"na", SUMPRODUCT(--(UPPER(TRIM($X$2:$X$518))=UPPER(TRIM($X115))), --(UPPER(TRIM($B$2:$B$518))="YES"), --(UPPER(TRIM($G$2:$G$518)&amp;TRIM($I$2:$I$518)&amp;TRIM($J$2:$J$518))&lt;&gt;UPPER(TRIM($G115)&amp;TRIM($I115)&amp;TRIM($J115))))&gt;0), AND($Y115&lt;&gt;"", LOWER(TRIM($Y115))&lt;&gt;"n/a", LOWER(TRIM($Y115))&lt;&gt;"na", SUMPRODUCT(--(UPPER(SUBSTITUTE(SUBSTITUTE(TRIM($Y$2:$Y$518),":",""),"-",""))=UPPER(SUBSTITUTE(SUBSTITUTE(TRIM($Y115),":",""),"-",""))), --(UPPER(TRIM($B$2:$B$518))="YES"), --(UPPER(TRIM($G$2:$G$518)&amp;TRIM($I$2:$I$518)&amp;TRIM($J$2:$J$518))&lt;&gt;UPPER(TRIM($G115)&amp;TRIM($I115)&amp;TRIM($J115))))&gt;0), AND($AB115&lt;&gt;"", LOWER(TRIM($AB115))&lt;&gt;"n/a", LOWER(TRIM($AB115))&lt;&gt;"na", SUMPRODUCT(--(UPPER(TRIM($AB$2:$AB$518))=UPPER(TRIM($AB115))), --(UPPER(TRIM($B$2:$B$518))="YES"), --(UPPER(TRIM($G$2:$G$518)&amp;TRIM($I$2:$I$518)&amp;TRIM($J$2:$J$518))&lt;&gt;UPPER(TRIM($G115)&amp;TRIM($I115)&amp;TRIM($J115))))&gt;0), AND($AH115&lt;&gt;"", LOWER(TRIM($AH115))&lt;&gt;"n/a", LOWER(TRIM($AH115))&lt;&gt;"na", SUMPRODUCT(--(UPPER(SUBSTITUTE(SUBSTITUTE(TRIM($AH$2:$AH$518),":",""),"-",""))=UPPER(SUBSTITUTE(SUBSTITUTE(TRIM($AH115),":",""),"-",""))), --(UPPER(TRIM($B$2:$B$518))="YES"), --(UPPER(TRIM($G$2:$G$518)&amp;TRIM($I$2:$I$518)&amp;TRIM($J$2:$J$518))&lt;&gt;UPPER(TRIM($G115)&amp;TRIM($I115)&amp;TRIM($J115))))&gt;0), AND($AP115&lt;&gt;"", LOWER(TRIM($AP115))&lt;&gt;"n/a", LOWER(TRIM($AP115))&lt;&gt;"na", SUMPRODUCT(--(UPPER(TRIM($AP$2:$AP$518))=UPPER(TRIM($AP115))), --(UPPER(TRIM($B$2:$B$518))="YES"), --(UPPER(TRIM($G$2:$G$518)&amp;TRIM($I$2:$I$518)&amp;TRIM($J$2:$J$518))&lt;&gt;UPPER(TRIM($G115)&amp;TRIM($I115)&amp;TRIM($J115))))&gt;0), AND($AQ115&lt;&gt;"", LOWER(TRIM($AQ115))&lt;&gt;"n/a", LOWER(TRIM($AQ115))&lt;&gt;"na", SUMPRODUCT(--(UPPER(TRIM($AQ$2:$AQ$518))=UPPER(TRIM($AQ115))), --(UPPER(TRIM($B$2:$B$518))="YES"), --(UPPER(TRIM($G$2:$G$518)&amp;TRIM($I$2:$I$518)&amp;TRIM($J$2:$J$518))&lt;&gt;UPPER(TRIM($G115)&amp;TRIM($I115)&amp;TRIM($J115))))&gt;0)), "Yes", "No"))</f>
        <v/>
      </c>
      <c r="G115" t="inlineStr">
        <is>
          <t>CFAM</t>
        </is>
      </c>
      <c r="H115" t="inlineStr">
        <is>
          <t>CFAM</t>
        </is>
      </c>
      <c r="I115" t="inlineStr">
        <is>
          <t>Surgery</t>
        </is>
      </c>
      <c r="J115" t="inlineStr">
        <is>
          <t>SPARE</t>
        </is>
      </c>
      <c r="K115" t="inlineStr">
        <is>
          <t>n/a</t>
        </is>
      </c>
      <c r="L115" s="18" t="n">
        <v>46088</v>
      </c>
      <c r="M115" t="inlineStr">
        <is>
          <t>OR iPro Cybernet Workstation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>Inpatient</t>
        </is>
      </c>
      <c r="S115" t="inlineStr">
        <is>
          <t>Pass</t>
        </is>
      </c>
      <c r="T115" t="inlineStr">
        <is>
          <t>n/a</t>
        </is>
      </c>
      <c r="U115" t="inlineStr">
        <is>
          <t>1427182 LIJ Installation (Project Name) - Tim W. Seeberger, Akbar, Chris Perkins, Epic Team, Anesthesia Techs, and Admins</t>
        </is>
      </c>
      <c r="V115" t="inlineStr">
        <is>
          <t>WLS450OPR007</t>
        </is>
      </c>
      <c r="W115" t="inlineStr">
        <is>
          <t>MEDSG2425F-0283</t>
        </is>
      </c>
      <c r="X115" t="inlineStr">
        <is>
          <t>CFAM-MACH-B</t>
        </is>
      </c>
      <c r="Y115" t="inlineStr">
        <is>
          <t>00187DE0E22B</t>
        </is>
      </c>
      <c r="AF115" t="inlineStr">
        <is>
          <t>Power Cable, Battery, Firmware Download, Device ID, Epic Beans Relay</t>
        </is>
      </c>
      <c r="AG115" t="inlineStr">
        <is>
          <t>Blocked</t>
        </is>
      </c>
      <c r="AH115" t="inlineStr">
        <is>
          <t>00:0D:05:0A:A8:2B</t>
        </is>
      </c>
      <c r="AI115" t="inlineStr">
        <is>
          <t>Anesthesia Machine</t>
        </is>
      </c>
      <c r="AM115" t="inlineStr">
        <is>
          <t>drager</t>
        </is>
      </c>
      <c r="AN115" t="inlineStr">
        <is>
          <t>Apollo</t>
        </is>
      </c>
      <c r="AP115" t="inlineStr">
        <is>
          <t>ASNK-0113</t>
        </is>
      </c>
      <c r="AX115" t="inlineStr">
        <is>
          <t>MX550-DE7770C8Y1</t>
        </is>
      </c>
      <c r="AY115" t="inlineStr">
        <is>
          <t>Anesthesia Machine</t>
        </is>
      </c>
      <c r="BR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Z115" t="inlineStr">
        <is>
          <t>iPro
Epic Satellite
ALLSCRIPTS
EPIC BCA</t>
        </is>
      </c>
      <c r="CA115" t="inlineStr">
        <is>
          <t>iPro
Epic Satellite
ALLSCRIPTS
EPIC BCA</t>
        </is>
      </c>
      <c r="CC115" t="inlineStr"/>
      <c r="CD115">
        <f>IF($Y115="","",IF((IF(AND($BR115&lt;&gt;"Yes",$BR115&lt;&gt;"N/A"),"Power Cable, ","")&amp;IF(AND($BS115&lt;&gt;"Yes",$BS115&lt;&gt;"N/A"),"Battery, ","")&amp;IF(AND($AD115&lt;&gt;"Yes",$AD115&lt;&gt;"N/A"),"Firmware Download, ","")&amp;IF(AND(OR($AD115="Yes",$AD115="N/A"),$AE115&lt;&gt;"Yes",$AE115&lt;&gt;"N/A"),"Firmware Install, ","")&amp;IF(AND($CB115&lt;&gt;"Yes",$CB115&lt;&gt;"N/A"),"Device ID, ","")&amp;IF(AND($CC115&lt;&gt;"Yes",$CC115&lt;&gt;"N/A"),"Epic Beans Relay, ",""))="","",LEFT(IF(AND($BR115&lt;&gt;"Yes",$BR115&lt;&gt;"N/A"),"Power Cable, ","")&amp;IF(AND($BS115&lt;&gt;"Yes",$BS115&lt;&gt;"N/A"),"Battery, ","")&amp;IF(AND($AD115&lt;&gt;"Yes",$AD115&lt;&gt;"N/A"),"Firmware Download, ","")&amp;IF(AND(OR($AD115="Yes",$AD115="N/A"),$AE115&lt;&gt;"Yes",$AE115&lt;&gt;"N/A"),"Firmware Install, ","")&amp;IF(AND($CB115&lt;&gt;"Yes",$CB115&lt;&gt;"N/A"),"Device ID, ","")&amp;IF(AND($CC115&lt;&gt;"Yes",$CC115&lt;&gt;"N/A"),"Epic Beans Relay, ",""),LEN(IF(AND($BR115&lt;&gt;"Yes",$BR115&lt;&gt;"N/A"),"Power Cable, ","")&amp;IF(AND($BS115&lt;&gt;"Yes",$BS115&lt;&gt;"N/A"),"Battery, ","")&amp;IF(AND($AD115&lt;&gt;"Yes",$AD115&lt;&gt;"N/A"),"Firmware Download, ","")&amp;IF(AND(OR($AD115="Yes",$AD115="N/A"),$AE115&lt;&gt;"Yes",$AE115&lt;&gt;"N/A"),"Firmware Install, ","")&amp;IF(AND($CB115&lt;&gt;"Yes",$CB115&lt;&gt;"N/A"),"Device ID, ","")&amp;IF(AND($CC115&lt;&gt;"Yes",$CC115&lt;&gt;"N/A"),"Epic Beans Relay, ",""))-2)))</f>
        <v/>
      </c>
      <c r="CE115">
        <f>IF($Y115="","",IF($CD115="","Yes","Blocked"))</f>
        <v/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Q115">
        <f>IF($CO115="","",IFERROR(VLOOKUP($CO115,'01_Warehouse_Ledger'!$A:$N,5,FALSE),""))</f>
        <v/>
      </c>
      <c r="CR115">
        <f>IF($CO115="","",IFERROR(VLOOKUP($CO115,'01_Warehouse_Ledger'!$A:$N,13,FALSE),""))</f>
        <v/>
      </c>
      <c r="CW115">
        <f>IF($S115="","",IF(UPPER(TRIM($S115))&lt;&gt;"PASS","",IF(LEN(TRIM($BY115))&gt;0,"NOTES_PRESENT",IF(LEN(TRIM($T115))=0,"SET_NA",IF(OR(LOWER(TRIM($T115))="na",LOWER(TRIM($T115))="n/a"),"OK","MANUAL_OVERRIDE")))))</f>
        <v/>
      </c>
    </row>
    <row r="116">
      <c r="A116" t="inlineStr">
        <is>
          <t>Peripherals</t>
        </is>
      </c>
      <c r="B116" s="51" t="inlineStr">
        <is>
          <t>Yes</t>
        </is>
      </c>
      <c r="C116" t="inlineStr">
        <is>
          <t>Yes</t>
        </is>
      </c>
      <c r="D116">
        <f>IF($B116&lt;&gt;"Yes","",IF($C116="No","Yes",IF($C116="Yes","No","")))</f>
        <v/>
      </c>
      <c r="E116">
        <f>IF($A116="","",IF(OR(AND($V116&lt;&gt;"",LOWER(TRIM($V116))&lt;&gt;"n/a",LOWER(TRIM($V116))&lt;&gt;"na",SUMPRODUCT(--(UPPER(TRIM($V$2:$V$518))=UPPER(TRIM($V116))),--(TRIM($V$2:$V$518)&lt;&gt;""),--(LOWER(TRIM($V$2:$V$518))&lt;&gt;"n/a"),--(LOWER(TRIM($V$2:$V$518))&lt;&gt;"na"))&gt;1),AND($W116&lt;&gt;"",LOWER(TRIM($W116))&lt;&gt;"n/a",LOWER(TRIM($W116))&lt;&gt;"na",SUMPRODUCT(--(UPPER(TRIM($W$2:$W$518))=UPPER(TRIM($W116))),--(TRIM($W$2:$W$518)&lt;&gt;""),--(LOWER(TRIM($W$2:$W$518))&lt;&gt;"n/a"),--(LOWER(TRIM($W$2:$W$518))&lt;&gt;"na"))&gt;1),AND($X116&lt;&gt;"",LOWER(TRIM($X116))&lt;&gt;"n/a",LOWER(TRIM($X116))&lt;&gt;"na",SUMPRODUCT(--(UPPER(TRIM($X$2:$X$518))=UPPER(TRIM($X116))),--(TRIM($X$2:$X$518)&lt;&gt;""),--(LOWER(TRIM($X$2:$X$518))&lt;&gt;"n/a"),--(LOWER(TRIM($X$2:$X$518))&lt;&gt;"na"))&gt;1),AND($Y116&lt;&gt;"",LOWER(TRIM($Y116))&lt;&gt;"n/a",LOWER(TRIM($Y116))&lt;&gt;"na",SUMPRODUCT(--(UPPER(SUBSTITUTE(SUBSTITUTE(TRIM($Y$2:$Y$518),":",""),"-",""))=UPPER(SUBSTITUTE(SUBSTITUTE(TRIM($Y116),":",""),"-",""))),--(TRIM($Y$2:$Y$518)&lt;&gt;""),--(LOWER(TRIM($Y$2:$Y$518))&lt;&gt;"n/a"),--(LOWER(TRIM($Y$2:$Y$518))&lt;&gt;"na"))&gt;1),AND($AB116&lt;&gt;"",LOWER(TRIM($AB116))&lt;&gt;"n/a",LOWER(TRIM($AB116))&lt;&gt;"na",SUMPRODUCT(--(UPPER(TRIM($AB$2:$AB$518))=UPPER(TRIM($AB116))),--(TRIM($AB$2:$AB$518)&lt;&gt;""),--(LOWER(TRIM($AB$2:$AB$518))&lt;&gt;"n/a"),--(LOWER(TRIM($AB$2:$AB$518))&lt;&gt;"na"))&gt;1),AND($AH116&lt;&gt;"",LOWER(TRIM($AH116))&lt;&gt;"n/a",LOWER(TRIM($AH116))&lt;&gt;"na",SUMPRODUCT(--(UPPER(SUBSTITUTE(SUBSTITUTE(TRIM($AH$2:$AH$518),":",""),"-",""))=UPPER(SUBSTITUTE(SUBSTITUTE(TRIM($AH116),":",""),"-",""))),--(TRIM($AH$2:$AH$518)&lt;&gt;""),--(LOWER(TRIM($AH$2:$AH$518))&lt;&gt;"n/a"),--(LOWER(TRIM($AH$2:$AH$518))&lt;&gt;"na"))&gt;1),AND($AP116&lt;&gt;"",LOWER(TRIM($AP116))&lt;&gt;"n/a",LOWER(TRIM($AP116))&lt;&gt;"na",SUMPRODUCT(--(UPPER(TRIM($AP$2:$AP$518))=UPPER(TRIM($AP116))),--(TRIM($AP$2:$AP$518)&lt;&gt;""),--(LOWER(TRIM($AP$2:$AP$518))&lt;&gt;"n/a"),--(LOWER(TRIM($AP$2:$AP$518))&lt;&gt;"na"))&gt;1),AND($AQ116&lt;&gt;"",LOWER(TRIM($AQ116))&lt;&gt;"n/a",LOWER(TRIM($AQ116))&lt;&gt;"na",SUMPRODUCT(--(UPPER(TRIM($AQ$2:$AQ$518))=UPPER(TRIM($AQ116))),--(TRIM($AQ$2:$AQ$518)&lt;&gt;""),--(LOWER(TRIM($AQ$2:$AQ$518))&lt;&gt;"n/a"),--(LOWER(TRIM($AQ$2:$AQ$518))&lt;&gt;"na"))&gt;1)),"Yes","No"))</f>
        <v/>
      </c>
      <c r="F116">
        <f>IF(UPPER(TRIM($B116))&lt;&gt;"YES","", IF(OR(AND($V116&lt;&gt;"", LOWER(TRIM($V116))&lt;&gt;"n/a", LOWER(TRIM($V116))&lt;&gt;"na", SUMPRODUCT(--(UPPER(TRIM($V$2:$V$518))=UPPER(TRIM($V116))), --(UPPER(TRIM($B$2:$B$518))="YES"), --(UPPER(TRIM($G$2:$G$518)&amp;TRIM($I$2:$I$518)&amp;TRIM($J$2:$J$518))&lt;&gt;UPPER(TRIM($G116)&amp;TRIM($I116)&amp;TRIM($J116))))&gt;0), AND($W116&lt;&gt;"", LOWER(TRIM($W116))&lt;&gt;"n/a", LOWER(TRIM($W116))&lt;&gt;"na", SUMPRODUCT(--(UPPER(TRIM($W$2:$W$518))=UPPER(TRIM($W116))), --(UPPER(TRIM($B$2:$B$518))="YES"), --(UPPER(TRIM($G$2:$G$518)&amp;TRIM($I$2:$I$518)&amp;TRIM($J$2:$J$518))&lt;&gt;UPPER(TRIM($G116)&amp;TRIM($I116)&amp;TRIM($J116))))&gt;0), AND($X116&lt;&gt;"", LOWER(TRIM($X116))&lt;&gt;"n/a", LOWER(TRIM($X116))&lt;&gt;"na", SUMPRODUCT(--(UPPER(TRIM($X$2:$X$518))=UPPER(TRIM($X116))), --(UPPER(TRIM($B$2:$B$518))="YES"), --(UPPER(TRIM($G$2:$G$518)&amp;TRIM($I$2:$I$518)&amp;TRIM($J$2:$J$518))&lt;&gt;UPPER(TRIM($G116)&amp;TRIM($I116)&amp;TRIM($J116))))&gt;0), AND($Y116&lt;&gt;"", LOWER(TRIM($Y116))&lt;&gt;"n/a", LOWER(TRIM($Y116))&lt;&gt;"na", SUMPRODUCT(--(UPPER(SUBSTITUTE(SUBSTITUTE(TRIM($Y$2:$Y$518),":",""),"-",""))=UPPER(SUBSTITUTE(SUBSTITUTE(TRIM($Y116),":",""),"-",""))), --(UPPER(TRIM($B$2:$B$518))="YES"), --(UPPER(TRIM($G$2:$G$518)&amp;TRIM($I$2:$I$518)&amp;TRIM($J$2:$J$518))&lt;&gt;UPPER(TRIM($G116)&amp;TRIM($I116)&amp;TRIM($J116))))&gt;0), AND($AB116&lt;&gt;"", LOWER(TRIM($AB116))&lt;&gt;"n/a", LOWER(TRIM($AB116))&lt;&gt;"na", SUMPRODUCT(--(UPPER(TRIM($AB$2:$AB$518))=UPPER(TRIM($AB116))), --(UPPER(TRIM($B$2:$B$518))="YES"), --(UPPER(TRIM($G$2:$G$518)&amp;TRIM($I$2:$I$518)&amp;TRIM($J$2:$J$518))&lt;&gt;UPPER(TRIM($G116)&amp;TRIM($I116)&amp;TRIM($J116))))&gt;0), AND($AH116&lt;&gt;"", LOWER(TRIM($AH116))&lt;&gt;"n/a", LOWER(TRIM($AH116))&lt;&gt;"na", SUMPRODUCT(--(UPPER(SUBSTITUTE(SUBSTITUTE(TRIM($AH$2:$AH$518),":",""),"-",""))=UPPER(SUBSTITUTE(SUBSTITUTE(TRIM($AH116),":",""),"-",""))), --(UPPER(TRIM($B$2:$B$518))="YES"), --(UPPER(TRIM($G$2:$G$518)&amp;TRIM($I$2:$I$518)&amp;TRIM($J$2:$J$518))&lt;&gt;UPPER(TRIM($G116)&amp;TRIM($I116)&amp;TRIM($J116))))&gt;0), AND($AP116&lt;&gt;"", LOWER(TRIM($AP116))&lt;&gt;"n/a", LOWER(TRIM($AP116))&lt;&gt;"na", SUMPRODUCT(--(UPPER(TRIM($AP$2:$AP$518))=UPPER(TRIM($AP116))), --(UPPER(TRIM($B$2:$B$518))="YES"), --(UPPER(TRIM($G$2:$G$518)&amp;TRIM($I$2:$I$518)&amp;TRIM($J$2:$J$518))&lt;&gt;UPPER(TRIM($G116)&amp;TRIM($I116)&amp;TRIM($J116))))&gt;0), AND($AQ116&lt;&gt;"", LOWER(TRIM($AQ116))&lt;&gt;"n/a", LOWER(TRIM($AQ116))&lt;&gt;"na", SUMPRODUCT(--(UPPER(TRIM($AQ$2:$AQ$518))=UPPER(TRIM($AQ116))), --(UPPER(TRIM($B$2:$B$518))="YES"), --(UPPER(TRIM($G$2:$G$518)&amp;TRIM($I$2:$I$518)&amp;TRIM($J$2:$J$518))&lt;&gt;UPPER(TRIM($G116)&amp;TRIM($I116)&amp;TRIM($J116))))&gt;0)), "Yes", "No"))</f>
        <v/>
      </c>
      <c r="G116" t="inlineStr">
        <is>
          <t>Syosset Hospital</t>
        </is>
      </c>
      <c r="H116" t="inlineStr">
        <is>
          <t>Syosset Hospital</t>
        </is>
      </c>
      <c r="I116" t="inlineStr">
        <is>
          <t>Main ORs - 3rd Floor</t>
        </is>
      </c>
      <c r="J116" t="inlineStr">
        <is>
          <t>OR 8</t>
        </is>
      </c>
      <c r="K116" t="inlineStr">
        <is>
          <t>n/a</t>
        </is>
      </c>
      <c r="L116" s="18" t="n">
        <v>46085</v>
      </c>
      <c r="M116" t="inlineStr">
        <is>
          <t>Neurons and Cybernets already deployed but off the domain and require peripherals: Mouse, Keyboard, Barcode Scanner, and Badge Scanner</t>
        </is>
      </c>
      <c r="S116" t="inlineStr">
        <is>
          <t>Pass</t>
        </is>
      </c>
      <c r="T116" t="inlineStr">
        <is>
          <t>breakaway cables</t>
        </is>
      </c>
      <c r="V116" t="inlineStr">
        <is>
          <t>WSY221OPR052</t>
        </is>
      </c>
      <c r="W116" t="inlineStr">
        <is>
          <t>MEDNG2425D-2707</t>
        </is>
      </c>
      <c r="X116" t="inlineStr">
        <is>
          <t>SY-MACH-E</t>
        </is>
      </c>
      <c r="Y116" t="inlineStr">
        <is>
          <t>A0F5097FED44</t>
        </is>
      </c>
      <c r="AB116" t="inlineStr">
        <is>
          <t>WA24406281</t>
        </is>
      </c>
      <c r="AI116" t="inlineStr">
        <is>
          <t>Anesthesia Machine</t>
        </is>
      </c>
      <c r="AM116" t="inlineStr">
        <is>
          <t>Drager</t>
        </is>
      </c>
      <c r="AN116" t="inlineStr">
        <is>
          <t>Fabius GS premium</t>
        </is>
      </c>
      <c r="AP116" t="inlineStr">
        <is>
          <t>8607000-40ASCD-0131</t>
        </is>
      </c>
      <c r="AQ116" t="inlineStr">
        <is>
          <t>8607000-40ASCD-0131</t>
        </is>
      </c>
      <c r="AS116" t="inlineStr">
        <is>
          <t>B1-CFW</t>
        </is>
      </c>
      <c r="AT116" t="inlineStr">
        <is>
          <t>B1-CFB</t>
        </is>
      </c>
      <c r="AU116" t="inlineStr">
        <is>
          <t>n/a</t>
        </is>
      </c>
      <c r="AV116" t="inlineStr">
        <is>
          <t>n/a</t>
        </is>
      </c>
      <c r="AW116" t="inlineStr">
        <is>
          <t>n/a</t>
        </is>
      </c>
      <c r="AX116" t="inlineStr">
        <is>
          <t>MX750 - 010088483808333221DE776730629086647191866471</t>
        </is>
      </c>
      <c r="AY116" t="inlineStr">
        <is>
          <t>Anesthesia Machine</t>
        </is>
      </c>
      <c r="BH116" t="n">
        <v>115200</v>
      </c>
      <c r="BI116" t="n">
        <v>9600</v>
      </c>
      <c r="BM116" t="inlineStr">
        <is>
          <t>N81</t>
        </is>
      </c>
      <c r="BN116" t="inlineStr">
        <is>
          <t>N81</t>
        </is>
      </c>
      <c r="BR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CD116">
        <f>IF($Y116="","",IF((IF(AND($BR116&lt;&gt;"Yes",$BR116&lt;&gt;"N/A"),"Power Cable, ","")&amp;IF(AND($BS116&lt;&gt;"Yes",$BS116&lt;&gt;"N/A"),"Battery, ","")&amp;IF(AND($AD116&lt;&gt;"Yes",$AD116&lt;&gt;"N/A"),"Firmware Download, ","")&amp;IF(AND(OR($AD116="Yes",$AD116="N/A"),$AE116&lt;&gt;"Yes",$AE116&lt;&gt;"N/A"),"Firmware Install, ","")&amp;IF(AND($CB116&lt;&gt;"Yes",$CB116&lt;&gt;"N/A"),"Device ID, ","")&amp;IF(AND($CC116&lt;&gt;"Yes",$CC116&lt;&gt;"N/A"),"Epic Beans Relay, ",""))="","",LEFT(IF(AND($BR116&lt;&gt;"Yes",$BR116&lt;&gt;"N/A"),"Power Cable, ","")&amp;IF(AND($BS116&lt;&gt;"Yes",$BS116&lt;&gt;"N/A"),"Battery, ","")&amp;IF(AND($AD116&lt;&gt;"Yes",$AD116&lt;&gt;"N/A"),"Firmware Download, ","")&amp;IF(AND(OR($AD116="Yes",$AD116="N/A"),$AE116&lt;&gt;"Yes",$AE116&lt;&gt;"N/A"),"Firmware Install, ","")&amp;IF(AND($CB116&lt;&gt;"Yes",$CB116&lt;&gt;"N/A"),"Device ID, ","")&amp;IF(AND($CC116&lt;&gt;"Yes",$CC116&lt;&gt;"N/A"),"Epic Beans Relay, ",""),LEN(IF(AND($BR116&lt;&gt;"Yes",$BR116&lt;&gt;"N/A"),"Power Cable, ","")&amp;IF(AND($BS116&lt;&gt;"Yes",$BS116&lt;&gt;"N/A"),"Battery, ","")&amp;IF(AND($AD116&lt;&gt;"Yes",$AD116&lt;&gt;"N/A"),"Firmware Download, ","")&amp;IF(AND(OR($AD116="Yes",$AD116="N/A"),$AE116&lt;&gt;"Yes",$AE116&lt;&gt;"N/A"),"Firmware Install, ","")&amp;IF(AND($CB116&lt;&gt;"Yes",$CB116&lt;&gt;"N/A"),"Device ID, ","")&amp;IF(AND($CC116&lt;&gt;"Yes",$CC116&lt;&gt;"N/A"),"Epic Beans Relay, ",""))-2)))</f>
        <v/>
      </c>
      <c r="CE116">
        <f>IF($Y116="","",IF($CD116="","Yes","Blocked"))</f>
        <v/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P116">
        <f>IF($CO116="","",IFERROR(VLOOKUP($CO116,'01_Warehouse_Ledger'!$A:$N,4,FALSE),""))</f>
        <v/>
      </c>
      <c r="CQ116">
        <f>IF($CO116="","",IFERROR(VLOOKUP($CO116,'01_Warehouse_Ledger'!$A:$N,5,FALSE),""))</f>
        <v/>
      </c>
      <c r="CR116">
        <f>IF($CO116="","",IFERROR(VLOOKUP($CO116,'01_Warehouse_Ledger'!$A:$N,13,FALSE),""))</f>
        <v/>
      </c>
      <c r="CW116">
        <f>IF($S116="","",IF(UPPER(TRIM($S116))&lt;&gt;"PASS","",IF(LEN(TRIM($BY116))&gt;0,"NOTES_PRESENT",IF(LEN(TRIM($T116))=0,"SET_NA",IF(OR(LOWER(TRIM($T116))="na",LOWER(TRIM($T116))="n/a"),"OK","MANUAL_OVERRIDE")))))</f>
        <v/>
      </c>
    </row>
    <row r="117">
      <c r="A117" t="inlineStr">
        <is>
          <t>Peripherals</t>
        </is>
      </c>
      <c r="B117" s="51" t="inlineStr">
        <is>
          <t>Yes</t>
        </is>
      </c>
      <c r="C117" t="inlineStr">
        <is>
          <t>Yes</t>
        </is>
      </c>
      <c r="D117">
        <f>IF($B117&lt;&gt;"Yes","",IF($C117="No","Yes",IF($C117="Yes","No","")))</f>
        <v/>
      </c>
      <c r="E117">
        <f>IF($A117="","",IF(OR(AND($V117&lt;&gt;"",LOWER(TRIM($V117))&lt;&gt;"n/a",LOWER(TRIM($V117))&lt;&gt;"na",SUMPRODUCT(--(UPPER(TRIM($V$2:$V$518))=UPPER(TRIM($V117))),--(TRIM($V$2:$V$518)&lt;&gt;""),--(LOWER(TRIM($V$2:$V$518))&lt;&gt;"n/a"),--(LOWER(TRIM($V$2:$V$518))&lt;&gt;"na"))&gt;1),AND($W117&lt;&gt;"",LOWER(TRIM($W117))&lt;&gt;"n/a",LOWER(TRIM($W117))&lt;&gt;"na",SUMPRODUCT(--(UPPER(TRIM($W$2:$W$518))=UPPER(TRIM($W117))),--(TRIM($W$2:$W$518)&lt;&gt;""),--(LOWER(TRIM($W$2:$W$518))&lt;&gt;"n/a"),--(LOWER(TRIM($W$2:$W$518))&lt;&gt;"na"))&gt;1),AND($X117&lt;&gt;"",LOWER(TRIM($X117))&lt;&gt;"n/a",LOWER(TRIM($X117))&lt;&gt;"na",SUMPRODUCT(--(UPPER(TRIM($X$2:$X$518))=UPPER(TRIM($X117))),--(TRIM($X$2:$X$518)&lt;&gt;""),--(LOWER(TRIM($X$2:$X$518))&lt;&gt;"n/a"),--(LOWER(TRIM($X$2:$X$518))&lt;&gt;"na"))&gt;1),AND($Y117&lt;&gt;"",LOWER(TRIM($Y117))&lt;&gt;"n/a",LOWER(TRIM($Y117))&lt;&gt;"na",SUMPRODUCT(--(UPPER(SUBSTITUTE(SUBSTITUTE(TRIM($Y$2:$Y$518),":",""),"-",""))=UPPER(SUBSTITUTE(SUBSTITUTE(TRIM($Y117),":",""),"-",""))),--(TRIM($Y$2:$Y$518)&lt;&gt;""),--(LOWER(TRIM($Y$2:$Y$518))&lt;&gt;"n/a"),--(LOWER(TRIM($Y$2:$Y$518))&lt;&gt;"na"))&gt;1),AND($AB117&lt;&gt;"",LOWER(TRIM($AB117))&lt;&gt;"n/a",LOWER(TRIM($AB117))&lt;&gt;"na",SUMPRODUCT(--(UPPER(TRIM($AB$2:$AB$518))=UPPER(TRIM($AB117))),--(TRIM($AB$2:$AB$518)&lt;&gt;""),--(LOWER(TRIM($AB$2:$AB$518))&lt;&gt;"n/a"),--(LOWER(TRIM($AB$2:$AB$518))&lt;&gt;"na"))&gt;1),AND($AH117&lt;&gt;"",LOWER(TRIM($AH117))&lt;&gt;"n/a",LOWER(TRIM($AH117))&lt;&gt;"na",SUMPRODUCT(--(UPPER(SUBSTITUTE(SUBSTITUTE(TRIM($AH$2:$AH$518),":",""),"-",""))=UPPER(SUBSTITUTE(SUBSTITUTE(TRIM($AH117),":",""),"-",""))),--(TRIM($AH$2:$AH$518)&lt;&gt;""),--(LOWER(TRIM($AH$2:$AH$518))&lt;&gt;"n/a"),--(LOWER(TRIM($AH$2:$AH$518))&lt;&gt;"na"))&gt;1),AND($AP117&lt;&gt;"",LOWER(TRIM($AP117))&lt;&gt;"n/a",LOWER(TRIM($AP117))&lt;&gt;"na",SUMPRODUCT(--(UPPER(TRIM($AP$2:$AP$518))=UPPER(TRIM($AP117))),--(TRIM($AP$2:$AP$518)&lt;&gt;""),--(LOWER(TRIM($AP$2:$AP$518))&lt;&gt;"n/a"),--(LOWER(TRIM($AP$2:$AP$518))&lt;&gt;"na"))&gt;1),AND($AQ117&lt;&gt;"",LOWER(TRIM($AQ117))&lt;&gt;"n/a",LOWER(TRIM($AQ117))&lt;&gt;"na",SUMPRODUCT(--(UPPER(TRIM($AQ$2:$AQ$518))=UPPER(TRIM($AQ117))),--(TRIM($AQ$2:$AQ$518)&lt;&gt;""),--(LOWER(TRIM($AQ$2:$AQ$518))&lt;&gt;"n/a"),--(LOWER(TRIM($AQ$2:$AQ$518))&lt;&gt;"na"))&gt;1)),"Yes","No"))</f>
        <v/>
      </c>
      <c r="F117">
        <f>IF(UPPER(TRIM($B117))&lt;&gt;"YES","", IF(OR(AND($V117&lt;&gt;"", LOWER(TRIM($V117))&lt;&gt;"n/a", LOWER(TRIM($V117))&lt;&gt;"na", SUMPRODUCT(--(UPPER(TRIM($V$2:$V$518))=UPPER(TRIM($V117))), --(UPPER(TRIM($B$2:$B$518))="YES"), --(UPPER(TRIM($G$2:$G$518)&amp;TRIM($I$2:$I$518)&amp;TRIM($J$2:$J$518))&lt;&gt;UPPER(TRIM($G117)&amp;TRIM($I117)&amp;TRIM($J117))))&gt;0), AND($W117&lt;&gt;"", LOWER(TRIM($W117))&lt;&gt;"n/a", LOWER(TRIM($W117))&lt;&gt;"na", SUMPRODUCT(--(UPPER(TRIM($W$2:$W$518))=UPPER(TRIM($W117))), --(UPPER(TRIM($B$2:$B$518))="YES"), --(UPPER(TRIM($G$2:$G$518)&amp;TRIM($I$2:$I$518)&amp;TRIM($J$2:$J$518))&lt;&gt;UPPER(TRIM($G117)&amp;TRIM($I117)&amp;TRIM($J117))))&gt;0), AND($X117&lt;&gt;"", LOWER(TRIM($X117))&lt;&gt;"n/a", LOWER(TRIM($X117))&lt;&gt;"na", SUMPRODUCT(--(UPPER(TRIM($X$2:$X$518))=UPPER(TRIM($X117))), --(UPPER(TRIM($B$2:$B$518))="YES"), --(UPPER(TRIM($G$2:$G$518)&amp;TRIM($I$2:$I$518)&amp;TRIM($J$2:$J$518))&lt;&gt;UPPER(TRIM($G117)&amp;TRIM($I117)&amp;TRIM($J117))))&gt;0), AND($Y117&lt;&gt;"", LOWER(TRIM($Y117))&lt;&gt;"n/a", LOWER(TRIM($Y117))&lt;&gt;"na", SUMPRODUCT(--(UPPER(SUBSTITUTE(SUBSTITUTE(TRIM($Y$2:$Y$518),":",""),"-",""))=UPPER(SUBSTITUTE(SUBSTITUTE(TRIM($Y117),":",""),"-",""))), --(UPPER(TRIM($B$2:$B$518))="YES"), --(UPPER(TRIM($G$2:$G$518)&amp;TRIM($I$2:$I$518)&amp;TRIM($J$2:$J$518))&lt;&gt;UPPER(TRIM($G117)&amp;TRIM($I117)&amp;TRIM($J117))))&gt;0), AND($AB117&lt;&gt;"", LOWER(TRIM($AB117))&lt;&gt;"n/a", LOWER(TRIM($AB117))&lt;&gt;"na", SUMPRODUCT(--(UPPER(TRIM($AB$2:$AB$518))=UPPER(TRIM($AB117))), --(UPPER(TRIM($B$2:$B$518))="YES"), --(UPPER(TRIM($G$2:$G$518)&amp;TRIM($I$2:$I$518)&amp;TRIM($J$2:$J$518))&lt;&gt;UPPER(TRIM($G117)&amp;TRIM($I117)&amp;TRIM($J117))))&gt;0), AND($AH117&lt;&gt;"", LOWER(TRIM($AH117))&lt;&gt;"n/a", LOWER(TRIM($AH117))&lt;&gt;"na", SUMPRODUCT(--(UPPER(SUBSTITUTE(SUBSTITUTE(TRIM($AH$2:$AH$518),":",""),"-",""))=UPPER(SUBSTITUTE(SUBSTITUTE(TRIM($AH117),":",""),"-",""))), --(UPPER(TRIM($B$2:$B$518))="YES"), --(UPPER(TRIM($G$2:$G$518)&amp;TRIM($I$2:$I$518)&amp;TRIM($J$2:$J$518))&lt;&gt;UPPER(TRIM($G117)&amp;TRIM($I117)&amp;TRIM($J117))))&gt;0), AND($AP117&lt;&gt;"", LOWER(TRIM($AP117))&lt;&gt;"n/a", LOWER(TRIM($AP117))&lt;&gt;"na", SUMPRODUCT(--(UPPER(TRIM($AP$2:$AP$518))=UPPER(TRIM($AP117))), --(UPPER(TRIM($B$2:$B$518))="YES"), --(UPPER(TRIM($G$2:$G$518)&amp;TRIM($I$2:$I$518)&amp;TRIM($J$2:$J$518))&lt;&gt;UPPER(TRIM($G117)&amp;TRIM($I117)&amp;TRIM($J117))))&gt;0), AND($AQ117&lt;&gt;"", LOWER(TRIM($AQ117))&lt;&gt;"n/a", LOWER(TRIM($AQ117))&lt;&gt;"na", SUMPRODUCT(--(UPPER(TRIM($AQ$2:$AQ$518))=UPPER(TRIM($AQ117))), --(UPPER(TRIM($B$2:$B$518))="YES"), --(UPPER(TRIM($G$2:$G$518)&amp;TRIM($I$2:$I$518)&amp;TRIM($J$2:$J$518))&lt;&gt;UPPER(TRIM($G117)&amp;TRIM($I117)&amp;TRIM($J117))))&gt;0)), "Yes", "No"))</f>
        <v/>
      </c>
      <c r="G117" t="inlineStr">
        <is>
          <t>Syosset Hospital</t>
        </is>
      </c>
      <c r="H117" t="inlineStr">
        <is>
          <t>Syosset Hospital</t>
        </is>
      </c>
      <c r="I117" t="inlineStr">
        <is>
          <t>Main ORs - 3rd Floor</t>
        </is>
      </c>
      <c r="J117" t="inlineStr">
        <is>
          <t>OR 7</t>
        </is>
      </c>
      <c r="K117" t="inlineStr">
        <is>
          <t>n/a</t>
        </is>
      </c>
      <c r="L117" s="18" t="n">
        <v>46085</v>
      </c>
      <c r="M117" t="inlineStr">
        <is>
          <t>Neurons and Cybernets already deployed but off the domain and require peripherals: Mouse, Keyboard, Barcode Scanner, and Badge Scanner</t>
        </is>
      </c>
      <c r="S117" t="inlineStr">
        <is>
          <t>Pass</t>
        </is>
      </c>
      <c r="T117" t="inlineStr">
        <is>
          <t>breakaway cables</t>
        </is>
      </c>
      <c r="V117" t="inlineStr">
        <is>
          <t>WSY221OPR063</t>
        </is>
      </c>
      <c r="W117" t="inlineStr">
        <is>
          <t>MEDNG2425D-2729</t>
        </is>
      </c>
      <c r="X117" t="inlineStr">
        <is>
          <t>SY-MACH-C</t>
        </is>
      </c>
      <c r="Y117" t="inlineStr">
        <is>
          <t>A0F5097FDE02</t>
        </is>
      </c>
      <c r="AB117" t="inlineStr">
        <is>
          <t>WA24406320</t>
        </is>
      </c>
      <c r="AI117" t="inlineStr">
        <is>
          <t>Anesthesia Machine</t>
        </is>
      </c>
      <c r="AM117" t="inlineStr">
        <is>
          <t>Drager</t>
        </is>
      </c>
      <c r="AN117" t="inlineStr">
        <is>
          <t>Fabius GS premium</t>
        </is>
      </c>
      <c r="AP117" t="inlineStr">
        <is>
          <t>8607000-33ASBC-0096</t>
        </is>
      </c>
      <c r="AQ117" t="inlineStr">
        <is>
          <t>8607000-33ASBC-0096</t>
        </is>
      </c>
      <c r="AS117" t="inlineStr">
        <is>
          <t>B1-CFW</t>
        </is>
      </c>
      <c r="AT117" t="inlineStr">
        <is>
          <t>B1-CFB</t>
        </is>
      </c>
      <c r="AU117" t="inlineStr">
        <is>
          <t>n/a</t>
        </is>
      </c>
      <c r="AV117" t="inlineStr">
        <is>
          <t>n/a</t>
        </is>
      </c>
      <c r="AW117" t="inlineStr">
        <is>
          <t>n/a</t>
        </is>
      </c>
      <c r="AX117" t="inlineStr">
        <is>
          <t>MX750 - 010088483808333221DE776742399086647191866471</t>
        </is>
      </c>
      <c r="AY117" t="inlineStr">
        <is>
          <t>Anesthesia Machine</t>
        </is>
      </c>
      <c r="BH117" t="n">
        <v>115200</v>
      </c>
      <c r="BI117" t="n">
        <v>9600</v>
      </c>
      <c r="BM117" t="inlineStr">
        <is>
          <t>N81</t>
        </is>
      </c>
      <c r="BN117" t="inlineStr">
        <is>
          <t>N81</t>
        </is>
      </c>
      <c r="BR117" t="inlineStr">
        <is>
          <t>Yes</t>
        </is>
      </c>
      <c r="BS117" t="inlineStr">
        <is>
          <t>Yes</t>
        </is>
      </c>
      <c r="BT117" t="inlineStr">
        <is>
          <t>Yes</t>
        </is>
      </c>
      <c r="BU117" t="inlineStr">
        <is>
          <t>Yes</t>
        </is>
      </c>
      <c r="CD117">
        <f>IF($Y117="","",IF((IF(AND($BR117&lt;&gt;"Yes",$BR117&lt;&gt;"N/A"),"Power Cable, ","")&amp;IF(AND($BS117&lt;&gt;"Yes",$BS117&lt;&gt;"N/A"),"Battery, ","")&amp;IF(AND($AD117&lt;&gt;"Yes",$AD117&lt;&gt;"N/A"),"Firmware Download, ","")&amp;IF(AND(OR($AD117="Yes",$AD117="N/A"),$AE117&lt;&gt;"Yes",$AE117&lt;&gt;"N/A"),"Firmware Install, ","")&amp;IF(AND($CB117&lt;&gt;"Yes",$CB117&lt;&gt;"N/A"),"Device ID, ","")&amp;IF(AND($CC117&lt;&gt;"Yes",$CC117&lt;&gt;"N/A"),"Epic Beans Relay, ",""))="","",LEFT(IF(AND($BR117&lt;&gt;"Yes",$BR117&lt;&gt;"N/A"),"Power Cable, ","")&amp;IF(AND($BS117&lt;&gt;"Yes",$BS117&lt;&gt;"N/A"),"Battery, ","")&amp;IF(AND($AD117&lt;&gt;"Yes",$AD117&lt;&gt;"N/A"),"Firmware Download, ","")&amp;IF(AND(OR($AD117="Yes",$AD117="N/A"),$AE117&lt;&gt;"Yes",$AE117&lt;&gt;"N/A"),"Firmware Install, ","")&amp;IF(AND($CB117&lt;&gt;"Yes",$CB117&lt;&gt;"N/A"),"Device ID, ","")&amp;IF(AND($CC117&lt;&gt;"Yes",$CC117&lt;&gt;"N/A"),"Epic Beans Relay, ",""),LEN(IF(AND($BR117&lt;&gt;"Yes",$BR117&lt;&gt;"N/A"),"Power Cable, ","")&amp;IF(AND($BS117&lt;&gt;"Yes",$BS117&lt;&gt;"N/A"),"Battery, ","")&amp;IF(AND($AD117&lt;&gt;"Yes",$AD117&lt;&gt;"N/A"),"Firmware Download, ","")&amp;IF(AND(OR($AD117="Yes",$AD117="N/A"),$AE117&lt;&gt;"Yes",$AE117&lt;&gt;"N/A"),"Firmware Install, ","")&amp;IF(AND($CB117&lt;&gt;"Yes",$CB117&lt;&gt;"N/A"),"Device ID, ","")&amp;IF(AND($CC117&lt;&gt;"Yes",$CC117&lt;&gt;"N/A"),"Epic Beans Relay, ",""))-2)))</f>
        <v/>
      </c>
      <c r="CE117">
        <f>IF($Y117="","",IF($CD117="","Yes","Blocked"))</f>
        <v/>
      </c>
      <c r="CF117" t="inlineStr">
        <is>
          <t>Yes</t>
        </is>
      </c>
      <c r="CG117" t="inlineStr">
        <is>
          <t>Yes</t>
        </is>
      </c>
      <c r="CH117" t="inlineStr">
        <is>
          <t>Yes</t>
        </is>
      </c>
      <c r="CI117" t="inlineStr">
        <is>
          <t>Yes</t>
        </is>
      </c>
      <c r="CJ117" t="inlineStr">
        <is>
          <t>Yes</t>
        </is>
      </c>
      <c r="CP117">
        <f>IF($CO117="","",IFERROR(VLOOKUP($CO117,'01_Warehouse_Ledger'!$A:$N,4,FALSE),""))</f>
        <v/>
      </c>
      <c r="CQ117">
        <f>IF($CO117="","",IFERROR(VLOOKUP($CO117,'01_Warehouse_Ledger'!$A:$N,5,FALSE),""))</f>
        <v/>
      </c>
      <c r="CR117">
        <f>IF($CO117="","",IFERROR(VLOOKUP($CO117,'01_Warehouse_Ledger'!$A:$N,13,FALSE),""))</f>
        <v/>
      </c>
      <c r="CW117">
        <f>IF($S117="","",IF(UPPER(TRIM($S117))&lt;&gt;"PASS","",IF(LEN(TRIM($BY117))&gt;0,"NOTES_PRESENT",IF(LEN(TRIM($T117))=0,"SET_NA",IF(OR(LOWER(TRIM($T117))="na",LOWER(TRIM($T117))="n/a"),"OK","MANUAL_OVERRIDE")))))</f>
        <v/>
      </c>
    </row>
    <row r="118">
      <c r="A118" t="inlineStr">
        <is>
          <t>Peripherals</t>
        </is>
      </c>
      <c r="B118" s="51" t="inlineStr">
        <is>
          <t>Yes</t>
        </is>
      </c>
      <c r="C118" t="inlineStr">
        <is>
          <t>Yes</t>
        </is>
      </c>
      <c r="D118">
        <f>IF($B118&lt;&gt;"Yes","",IF($C118="No","Yes",IF($C118="Yes","No","")))</f>
        <v/>
      </c>
      <c r="E118">
        <f>IF($A118="","",IF(OR(AND($V118&lt;&gt;"",LOWER(TRIM($V118))&lt;&gt;"n/a",LOWER(TRIM($V118))&lt;&gt;"na",SUMPRODUCT(--(UPPER(TRIM($V$2:$V$518))=UPPER(TRIM($V118))),--(TRIM($V$2:$V$518)&lt;&gt;""),--(LOWER(TRIM($V$2:$V$518))&lt;&gt;"n/a"),--(LOWER(TRIM($V$2:$V$518))&lt;&gt;"na"))&gt;1),AND($W118&lt;&gt;"",LOWER(TRIM($W118))&lt;&gt;"n/a",LOWER(TRIM($W118))&lt;&gt;"na",SUMPRODUCT(--(UPPER(TRIM($W$2:$W$518))=UPPER(TRIM($W118))),--(TRIM($W$2:$W$518)&lt;&gt;""),--(LOWER(TRIM($W$2:$W$518))&lt;&gt;"n/a"),--(LOWER(TRIM($W$2:$W$518))&lt;&gt;"na"))&gt;1),AND($X118&lt;&gt;"",LOWER(TRIM($X118))&lt;&gt;"n/a",LOWER(TRIM($X118))&lt;&gt;"na",SUMPRODUCT(--(UPPER(TRIM($X$2:$X$518))=UPPER(TRIM($X118))),--(TRIM($X$2:$X$518)&lt;&gt;""),--(LOWER(TRIM($X$2:$X$518))&lt;&gt;"n/a"),--(LOWER(TRIM($X$2:$X$518))&lt;&gt;"na"))&gt;1),AND($Y118&lt;&gt;"",LOWER(TRIM($Y118))&lt;&gt;"n/a",LOWER(TRIM($Y118))&lt;&gt;"na",SUMPRODUCT(--(UPPER(SUBSTITUTE(SUBSTITUTE(TRIM($Y$2:$Y$518),":",""),"-",""))=UPPER(SUBSTITUTE(SUBSTITUTE(TRIM($Y118),":",""),"-",""))),--(TRIM($Y$2:$Y$518)&lt;&gt;""),--(LOWER(TRIM($Y$2:$Y$518))&lt;&gt;"n/a"),--(LOWER(TRIM($Y$2:$Y$518))&lt;&gt;"na"))&gt;1),AND($AB118&lt;&gt;"",LOWER(TRIM($AB118))&lt;&gt;"n/a",LOWER(TRIM($AB118))&lt;&gt;"na",SUMPRODUCT(--(UPPER(TRIM($AB$2:$AB$518))=UPPER(TRIM($AB118))),--(TRIM($AB$2:$AB$518)&lt;&gt;""),--(LOWER(TRIM($AB$2:$AB$518))&lt;&gt;"n/a"),--(LOWER(TRIM($AB$2:$AB$518))&lt;&gt;"na"))&gt;1),AND($AH118&lt;&gt;"",LOWER(TRIM($AH118))&lt;&gt;"n/a",LOWER(TRIM($AH118))&lt;&gt;"na",SUMPRODUCT(--(UPPER(SUBSTITUTE(SUBSTITUTE(TRIM($AH$2:$AH$518),":",""),"-",""))=UPPER(SUBSTITUTE(SUBSTITUTE(TRIM($AH118),":",""),"-",""))),--(TRIM($AH$2:$AH$518)&lt;&gt;""),--(LOWER(TRIM($AH$2:$AH$518))&lt;&gt;"n/a"),--(LOWER(TRIM($AH$2:$AH$518))&lt;&gt;"na"))&gt;1),AND($AP118&lt;&gt;"",LOWER(TRIM($AP118))&lt;&gt;"n/a",LOWER(TRIM($AP118))&lt;&gt;"na",SUMPRODUCT(--(UPPER(TRIM($AP$2:$AP$518))=UPPER(TRIM($AP118))),--(TRIM($AP$2:$AP$518)&lt;&gt;""),--(LOWER(TRIM($AP$2:$AP$518))&lt;&gt;"n/a"),--(LOWER(TRIM($AP$2:$AP$518))&lt;&gt;"na"))&gt;1),AND($AQ118&lt;&gt;"",LOWER(TRIM($AQ118))&lt;&gt;"n/a",LOWER(TRIM($AQ118))&lt;&gt;"na",SUMPRODUCT(--(UPPER(TRIM($AQ$2:$AQ$518))=UPPER(TRIM($AQ118))),--(TRIM($AQ$2:$AQ$518)&lt;&gt;""),--(LOWER(TRIM($AQ$2:$AQ$518))&lt;&gt;"n/a"),--(LOWER(TRIM($AQ$2:$AQ$518))&lt;&gt;"na"))&gt;1)),"Yes","No"))</f>
        <v/>
      </c>
      <c r="F118">
        <f>IF(UPPER(TRIM($B118))&lt;&gt;"YES","", IF(OR(AND($V118&lt;&gt;"", LOWER(TRIM($V118))&lt;&gt;"n/a", LOWER(TRIM($V118))&lt;&gt;"na", SUMPRODUCT(--(UPPER(TRIM($V$2:$V$518))=UPPER(TRIM($V118))), --(UPPER(TRIM($B$2:$B$518))="YES"), --(UPPER(TRIM($G$2:$G$518)&amp;TRIM($I$2:$I$518)&amp;TRIM($J$2:$J$518))&lt;&gt;UPPER(TRIM($G118)&amp;TRIM($I118)&amp;TRIM($J118))))&gt;0), AND($W118&lt;&gt;"", LOWER(TRIM($W118))&lt;&gt;"n/a", LOWER(TRIM($W118))&lt;&gt;"na", SUMPRODUCT(--(UPPER(TRIM($W$2:$W$518))=UPPER(TRIM($W118))), --(UPPER(TRIM($B$2:$B$518))="YES"), --(UPPER(TRIM($G$2:$G$518)&amp;TRIM($I$2:$I$518)&amp;TRIM($J$2:$J$518))&lt;&gt;UPPER(TRIM($G118)&amp;TRIM($I118)&amp;TRIM($J118))))&gt;0), AND($X118&lt;&gt;"", LOWER(TRIM($X118))&lt;&gt;"n/a", LOWER(TRIM($X118))&lt;&gt;"na", SUMPRODUCT(--(UPPER(TRIM($X$2:$X$518))=UPPER(TRIM($X118))), --(UPPER(TRIM($B$2:$B$518))="YES"), --(UPPER(TRIM($G$2:$G$518)&amp;TRIM($I$2:$I$518)&amp;TRIM($J$2:$J$518))&lt;&gt;UPPER(TRIM($G118)&amp;TRIM($I118)&amp;TRIM($J118))))&gt;0), AND($Y118&lt;&gt;"", LOWER(TRIM($Y118))&lt;&gt;"n/a", LOWER(TRIM($Y118))&lt;&gt;"na", SUMPRODUCT(--(UPPER(SUBSTITUTE(SUBSTITUTE(TRIM($Y$2:$Y$518),":",""),"-",""))=UPPER(SUBSTITUTE(SUBSTITUTE(TRIM($Y118),":",""),"-",""))), --(UPPER(TRIM($B$2:$B$518))="YES"), --(UPPER(TRIM($G$2:$G$518)&amp;TRIM($I$2:$I$518)&amp;TRIM($J$2:$J$518))&lt;&gt;UPPER(TRIM($G118)&amp;TRIM($I118)&amp;TRIM($J118))))&gt;0), AND($AB118&lt;&gt;"", LOWER(TRIM($AB118))&lt;&gt;"n/a", LOWER(TRIM($AB118))&lt;&gt;"na", SUMPRODUCT(--(UPPER(TRIM($AB$2:$AB$518))=UPPER(TRIM($AB118))), --(UPPER(TRIM($B$2:$B$518))="YES"), --(UPPER(TRIM($G$2:$G$518)&amp;TRIM($I$2:$I$518)&amp;TRIM($J$2:$J$518))&lt;&gt;UPPER(TRIM($G118)&amp;TRIM($I118)&amp;TRIM($J118))))&gt;0), AND($AH118&lt;&gt;"", LOWER(TRIM($AH118))&lt;&gt;"n/a", LOWER(TRIM($AH118))&lt;&gt;"na", SUMPRODUCT(--(UPPER(SUBSTITUTE(SUBSTITUTE(TRIM($AH$2:$AH$518),":",""),"-",""))=UPPER(SUBSTITUTE(SUBSTITUTE(TRIM($AH118),":",""),"-",""))), --(UPPER(TRIM($B$2:$B$518))="YES"), --(UPPER(TRIM($G$2:$G$518)&amp;TRIM($I$2:$I$518)&amp;TRIM($J$2:$J$518))&lt;&gt;UPPER(TRIM($G118)&amp;TRIM($I118)&amp;TRIM($J118))))&gt;0), AND($AP118&lt;&gt;"", LOWER(TRIM($AP118))&lt;&gt;"n/a", LOWER(TRIM($AP118))&lt;&gt;"na", SUMPRODUCT(--(UPPER(TRIM($AP$2:$AP$518))=UPPER(TRIM($AP118))), --(UPPER(TRIM($B$2:$B$518))="YES"), --(UPPER(TRIM($G$2:$G$518)&amp;TRIM($I$2:$I$518)&amp;TRIM($J$2:$J$518))&lt;&gt;UPPER(TRIM($G118)&amp;TRIM($I118)&amp;TRIM($J118))))&gt;0), AND($AQ118&lt;&gt;"", LOWER(TRIM($AQ118))&lt;&gt;"n/a", LOWER(TRIM($AQ118))&lt;&gt;"na", SUMPRODUCT(--(UPPER(TRIM($AQ$2:$AQ$518))=UPPER(TRIM($AQ118))), --(UPPER(TRIM($B$2:$B$518))="YES"), --(UPPER(TRIM($G$2:$G$518)&amp;TRIM($I$2:$I$518)&amp;TRIM($J$2:$J$518))&lt;&gt;UPPER(TRIM($G118)&amp;TRIM($I118)&amp;TRIM($J118))))&gt;0)), "Yes", "No"))</f>
        <v/>
      </c>
      <c r="G118" t="inlineStr">
        <is>
          <t>Syosset Hospital</t>
        </is>
      </c>
      <c r="H118" t="inlineStr">
        <is>
          <t>Syosset Hospital</t>
        </is>
      </c>
      <c r="I118" t="inlineStr">
        <is>
          <t>Main ORs - 3rd Floor</t>
        </is>
      </c>
      <c r="J118" t="inlineStr">
        <is>
          <t>OR 3</t>
        </is>
      </c>
      <c r="K118" t="inlineStr">
        <is>
          <t>n/a</t>
        </is>
      </c>
      <c r="L118" s="18" t="n">
        <v>46085</v>
      </c>
      <c r="M118" t="inlineStr">
        <is>
          <t>Neurons and Cybernets already deployed but off the domain and require peripherals: Mouse, Keyboard, Barcode Scanner, and Badge Scanner</t>
        </is>
      </c>
      <c r="S118" t="inlineStr">
        <is>
          <t>Pass</t>
        </is>
      </c>
      <c r="T118" t="inlineStr">
        <is>
          <t>breakaway cables</t>
        </is>
      </c>
      <c r="V118" t="inlineStr">
        <is>
          <t>WSY221OPR058</t>
        </is>
      </c>
      <c r="W118" t="inlineStr">
        <is>
          <t>MEDNG2425D-2736</t>
        </is>
      </c>
      <c r="X118" t="inlineStr">
        <is>
          <t>SY-MACH-O</t>
        </is>
      </c>
      <c r="Y118" t="inlineStr">
        <is>
          <t>A0F5097FEA53</t>
        </is>
      </c>
      <c r="AB118" t="inlineStr">
        <is>
          <t>WA24406793</t>
        </is>
      </c>
      <c r="AI118" t="inlineStr">
        <is>
          <t>Anesthesia Machine</t>
        </is>
      </c>
      <c r="AM118" t="inlineStr">
        <is>
          <t>Drager</t>
        </is>
      </c>
      <c r="AN118" t="inlineStr">
        <is>
          <t>Fabius GS premium</t>
        </is>
      </c>
      <c r="AP118" t="inlineStr">
        <is>
          <t>8607000-33ASBC-0101</t>
        </is>
      </c>
      <c r="AQ118" t="inlineStr">
        <is>
          <t>8607000-33ASBC-0101</t>
        </is>
      </c>
      <c r="AS118" t="inlineStr">
        <is>
          <t>B1-CFW</t>
        </is>
      </c>
      <c r="AT118" t="inlineStr">
        <is>
          <t>B1-CFB</t>
        </is>
      </c>
      <c r="AU118" t="inlineStr">
        <is>
          <t>n/a</t>
        </is>
      </c>
      <c r="AV118" t="inlineStr">
        <is>
          <t>n/a</t>
        </is>
      </c>
      <c r="AW118" t="inlineStr">
        <is>
          <t>n/a</t>
        </is>
      </c>
      <c r="AX118" t="inlineStr">
        <is>
          <t>MX750 - 010088483808333221DE776730849086647191866471</t>
        </is>
      </c>
      <c r="AY118" t="inlineStr">
        <is>
          <t>Anesthesia Machine</t>
        </is>
      </c>
      <c r="BH118" t="n">
        <v>115200</v>
      </c>
      <c r="BI118" t="n">
        <v>9600</v>
      </c>
      <c r="BM118" t="inlineStr">
        <is>
          <t>N81</t>
        </is>
      </c>
      <c r="BN118" t="inlineStr">
        <is>
          <t>N81</t>
        </is>
      </c>
      <c r="BR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CD118">
        <f>IF($Y118="","",IF((IF(AND($BR118&lt;&gt;"Yes",$BR118&lt;&gt;"N/A"),"Power Cable, ","")&amp;IF(AND($BS118&lt;&gt;"Yes",$BS118&lt;&gt;"N/A"),"Battery, ","")&amp;IF(AND($AD118&lt;&gt;"Yes",$AD118&lt;&gt;"N/A"),"Firmware Download, ","")&amp;IF(AND(OR($AD118="Yes",$AD118="N/A"),$AE118&lt;&gt;"Yes",$AE118&lt;&gt;"N/A"),"Firmware Install, ","")&amp;IF(AND($CB118&lt;&gt;"Yes",$CB118&lt;&gt;"N/A"),"Device ID, ","")&amp;IF(AND($CC118&lt;&gt;"Yes",$CC118&lt;&gt;"N/A"),"Epic Beans Relay, ",""))="","",LEFT(IF(AND($BR118&lt;&gt;"Yes",$BR118&lt;&gt;"N/A"),"Power Cable, ","")&amp;IF(AND($BS118&lt;&gt;"Yes",$BS118&lt;&gt;"N/A"),"Battery, ","")&amp;IF(AND($AD118&lt;&gt;"Yes",$AD118&lt;&gt;"N/A"),"Firmware Download, ","")&amp;IF(AND(OR($AD118="Yes",$AD118="N/A"),$AE118&lt;&gt;"Yes",$AE118&lt;&gt;"N/A"),"Firmware Install, ","")&amp;IF(AND($CB118&lt;&gt;"Yes",$CB118&lt;&gt;"N/A"),"Device ID, ","")&amp;IF(AND($CC118&lt;&gt;"Yes",$CC118&lt;&gt;"N/A"),"Epic Beans Relay, ",""),LEN(IF(AND($BR118&lt;&gt;"Yes",$BR118&lt;&gt;"N/A"),"Power Cable, ","")&amp;IF(AND($BS118&lt;&gt;"Yes",$BS118&lt;&gt;"N/A"),"Battery, ","")&amp;IF(AND($AD118&lt;&gt;"Yes",$AD118&lt;&gt;"N/A"),"Firmware Download, ","")&amp;IF(AND(OR($AD118="Yes",$AD118="N/A"),$AE118&lt;&gt;"Yes",$AE118&lt;&gt;"N/A"),"Firmware Install, ","")&amp;IF(AND($CB118&lt;&gt;"Yes",$CB118&lt;&gt;"N/A"),"Device ID, ","")&amp;IF(AND($CC118&lt;&gt;"Yes",$CC118&lt;&gt;"N/A"),"Epic Beans Relay, ",""))-2)))</f>
        <v/>
      </c>
      <c r="CE118">
        <f>IF($Y118="","",IF($CD118="","Yes","Blocked"))</f>
        <v/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P118">
        <f>IF($CO118="","",IFERROR(VLOOKUP($CO118,'01_Warehouse_Ledger'!$A:$N,4,FALSE),""))</f>
        <v/>
      </c>
      <c r="CQ118">
        <f>IF($CO118="","",IFERROR(VLOOKUP($CO118,'01_Warehouse_Ledger'!$A:$N,5,FALSE),""))</f>
        <v/>
      </c>
      <c r="CR118">
        <f>IF($CO118="","",IFERROR(VLOOKUP($CO118,'01_Warehouse_Ledger'!$A:$N,13,FALSE),""))</f>
        <v/>
      </c>
      <c r="CW118">
        <f>IF($S118="","",IF(UPPER(TRIM($S118))&lt;&gt;"PASS","",IF(LEN(TRIM($BY118))&gt;0,"NOTES_PRESENT",IF(LEN(TRIM($T118))=0,"SET_NA",IF(OR(LOWER(TRIM($T118))="na",LOWER(TRIM($T118))="n/a"),"OK","MANUAL_OVERRIDE")))))</f>
        <v/>
      </c>
    </row>
    <row r="119">
      <c r="A119" t="inlineStr">
        <is>
          <t>Peripherals</t>
        </is>
      </c>
      <c r="B119" s="51" t="inlineStr">
        <is>
          <t>Yes</t>
        </is>
      </c>
      <c r="C119" t="inlineStr">
        <is>
          <t>Yes</t>
        </is>
      </c>
      <c r="D119">
        <f>IF($B119&lt;&gt;"Yes","",IF($C119="No","Yes",IF($C119="Yes","No","")))</f>
        <v/>
      </c>
      <c r="E119">
        <f>IF($A119="","",IF(OR(AND($V119&lt;&gt;"",LOWER(TRIM($V119))&lt;&gt;"n/a",LOWER(TRIM($V119))&lt;&gt;"na",SUMPRODUCT(--(UPPER(TRIM($V$2:$V$518))=UPPER(TRIM($V119))),--(TRIM($V$2:$V$518)&lt;&gt;""),--(LOWER(TRIM($V$2:$V$518))&lt;&gt;"n/a"),--(LOWER(TRIM($V$2:$V$518))&lt;&gt;"na"))&gt;1),AND($W119&lt;&gt;"",LOWER(TRIM($W119))&lt;&gt;"n/a",LOWER(TRIM($W119))&lt;&gt;"na",SUMPRODUCT(--(UPPER(TRIM($W$2:$W$518))=UPPER(TRIM($W119))),--(TRIM($W$2:$W$518)&lt;&gt;""),--(LOWER(TRIM($W$2:$W$518))&lt;&gt;"n/a"),--(LOWER(TRIM($W$2:$W$518))&lt;&gt;"na"))&gt;1),AND($X119&lt;&gt;"",LOWER(TRIM($X119))&lt;&gt;"n/a",LOWER(TRIM($X119))&lt;&gt;"na",SUMPRODUCT(--(UPPER(TRIM($X$2:$X$518))=UPPER(TRIM($X119))),--(TRIM($X$2:$X$518)&lt;&gt;""),--(LOWER(TRIM($X$2:$X$518))&lt;&gt;"n/a"),--(LOWER(TRIM($X$2:$X$518))&lt;&gt;"na"))&gt;1),AND($Y119&lt;&gt;"",LOWER(TRIM($Y119))&lt;&gt;"n/a",LOWER(TRIM($Y119))&lt;&gt;"na",SUMPRODUCT(--(UPPER(SUBSTITUTE(SUBSTITUTE(TRIM($Y$2:$Y$518),":",""),"-",""))=UPPER(SUBSTITUTE(SUBSTITUTE(TRIM($Y119),":",""),"-",""))),--(TRIM($Y$2:$Y$518)&lt;&gt;""),--(LOWER(TRIM($Y$2:$Y$518))&lt;&gt;"n/a"),--(LOWER(TRIM($Y$2:$Y$518))&lt;&gt;"na"))&gt;1),AND($AB119&lt;&gt;"",LOWER(TRIM($AB119))&lt;&gt;"n/a",LOWER(TRIM($AB119))&lt;&gt;"na",SUMPRODUCT(--(UPPER(TRIM($AB$2:$AB$518))=UPPER(TRIM($AB119))),--(TRIM($AB$2:$AB$518)&lt;&gt;""),--(LOWER(TRIM($AB$2:$AB$518))&lt;&gt;"n/a"),--(LOWER(TRIM($AB$2:$AB$518))&lt;&gt;"na"))&gt;1),AND($AH119&lt;&gt;"",LOWER(TRIM($AH119))&lt;&gt;"n/a",LOWER(TRIM($AH119))&lt;&gt;"na",SUMPRODUCT(--(UPPER(SUBSTITUTE(SUBSTITUTE(TRIM($AH$2:$AH$518),":",""),"-",""))=UPPER(SUBSTITUTE(SUBSTITUTE(TRIM($AH119),":",""),"-",""))),--(TRIM($AH$2:$AH$518)&lt;&gt;""),--(LOWER(TRIM($AH$2:$AH$518))&lt;&gt;"n/a"),--(LOWER(TRIM($AH$2:$AH$518))&lt;&gt;"na"))&gt;1),AND($AP119&lt;&gt;"",LOWER(TRIM($AP119))&lt;&gt;"n/a",LOWER(TRIM($AP119))&lt;&gt;"na",SUMPRODUCT(--(UPPER(TRIM($AP$2:$AP$518))=UPPER(TRIM($AP119))),--(TRIM($AP$2:$AP$518)&lt;&gt;""),--(LOWER(TRIM($AP$2:$AP$518))&lt;&gt;"n/a"),--(LOWER(TRIM($AP$2:$AP$518))&lt;&gt;"na"))&gt;1),AND($AQ119&lt;&gt;"",LOWER(TRIM($AQ119))&lt;&gt;"n/a",LOWER(TRIM($AQ119))&lt;&gt;"na",SUMPRODUCT(--(UPPER(TRIM($AQ$2:$AQ$518))=UPPER(TRIM($AQ119))),--(TRIM($AQ$2:$AQ$518)&lt;&gt;""),--(LOWER(TRIM($AQ$2:$AQ$518))&lt;&gt;"n/a"),--(LOWER(TRIM($AQ$2:$AQ$518))&lt;&gt;"na"))&gt;1)),"Yes","No"))</f>
        <v/>
      </c>
      <c r="F119">
        <f>IF(UPPER(TRIM($B119))&lt;&gt;"YES","", IF(OR(AND($V119&lt;&gt;"", LOWER(TRIM($V119))&lt;&gt;"n/a", LOWER(TRIM($V119))&lt;&gt;"na", SUMPRODUCT(--(UPPER(TRIM($V$2:$V$518))=UPPER(TRIM($V119))), --(UPPER(TRIM($B$2:$B$518))="YES"), --(UPPER(TRIM($G$2:$G$518)&amp;TRIM($I$2:$I$518)&amp;TRIM($J$2:$J$518))&lt;&gt;UPPER(TRIM($G119)&amp;TRIM($I119)&amp;TRIM($J119))))&gt;0), AND($W119&lt;&gt;"", LOWER(TRIM($W119))&lt;&gt;"n/a", LOWER(TRIM($W119))&lt;&gt;"na", SUMPRODUCT(--(UPPER(TRIM($W$2:$W$518))=UPPER(TRIM($W119))), --(UPPER(TRIM($B$2:$B$518))="YES"), --(UPPER(TRIM($G$2:$G$518)&amp;TRIM($I$2:$I$518)&amp;TRIM($J$2:$J$518))&lt;&gt;UPPER(TRIM($G119)&amp;TRIM($I119)&amp;TRIM($J119))))&gt;0), AND($X119&lt;&gt;"", LOWER(TRIM($X119))&lt;&gt;"n/a", LOWER(TRIM($X119))&lt;&gt;"na", SUMPRODUCT(--(UPPER(TRIM($X$2:$X$518))=UPPER(TRIM($X119))), --(UPPER(TRIM($B$2:$B$518))="YES"), --(UPPER(TRIM($G$2:$G$518)&amp;TRIM($I$2:$I$518)&amp;TRIM($J$2:$J$518))&lt;&gt;UPPER(TRIM($G119)&amp;TRIM($I119)&amp;TRIM($J119))))&gt;0), AND($Y119&lt;&gt;"", LOWER(TRIM($Y119))&lt;&gt;"n/a", LOWER(TRIM($Y119))&lt;&gt;"na", SUMPRODUCT(--(UPPER(SUBSTITUTE(SUBSTITUTE(TRIM($Y$2:$Y$518),":",""),"-",""))=UPPER(SUBSTITUTE(SUBSTITUTE(TRIM($Y119),":",""),"-",""))), --(UPPER(TRIM($B$2:$B$518))="YES"), --(UPPER(TRIM($G$2:$G$518)&amp;TRIM($I$2:$I$518)&amp;TRIM($J$2:$J$518))&lt;&gt;UPPER(TRIM($G119)&amp;TRIM($I119)&amp;TRIM($J119))))&gt;0), AND($AB119&lt;&gt;"", LOWER(TRIM($AB119))&lt;&gt;"n/a", LOWER(TRIM($AB119))&lt;&gt;"na", SUMPRODUCT(--(UPPER(TRIM($AB$2:$AB$518))=UPPER(TRIM($AB119))), --(UPPER(TRIM($B$2:$B$518))="YES"), --(UPPER(TRIM($G$2:$G$518)&amp;TRIM($I$2:$I$518)&amp;TRIM($J$2:$J$518))&lt;&gt;UPPER(TRIM($G119)&amp;TRIM($I119)&amp;TRIM($J119))))&gt;0), AND($AH119&lt;&gt;"", LOWER(TRIM($AH119))&lt;&gt;"n/a", LOWER(TRIM($AH119))&lt;&gt;"na", SUMPRODUCT(--(UPPER(SUBSTITUTE(SUBSTITUTE(TRIM($AH$2:$AH$518),":",""),"-",""))=UPPER(SUBSTITUTE(SUBSTITUTE(TRIM($AH119),":",""),"-",""))), --(UPPER(TRIM($B$2:$B$518))="YES"), --(UPPER(TRIM($G$2:$G$518)&amp;TRIM($I$2:$I$518)&amp;TRIM($J$2:$J$518))&lt;&gt;UPPER(TRIM($G119)&amp;TRIM($I119)&amp;TRIM($J119))))&gt;0), AND($AP119&lt;&gt;"", LOWER(TRIM($AP119))&lt;&gt;"n/a", LOWER(TRIM($AP119))&lt;&gt;"na", SUMPRODUCT(--(UPPER(TRIM($AP$2:$AP$518))=UPPER(TRIM($AP119))), --(UPPER(TRIM($B$2:$B$518))="YES"), --(UPPER(TRIM($G$2:$G$518)&amp;TRIM($I$2:$I$518)&amp;TRIM($J$2:$J$518))&lt;&gt;UPPER(TRIM($G119)&amp;TRIM($I119)&amp;TRIM($J119))))&gt;0), AND($AQ119&lt;&gt;"", LOWER(TRIM($AQ119))&lt;&gt;"n/a", LOWER(TRIM($AQ119))&lt;&gt;"na", SUMPRODUCT(--(UPPER(TRIM($AQ$2:$AQ$518))=UPPER(TRIM($AQ119))), --(UPPER(TRIM($B$2:$B$518))="YES"), --(UPPER(TRIM($G$2:$G$518)&amp;TRIM($I$2:$I$518)&amp;TRIM($J$2:$J$518))&lt;&gt;UPPER(TRIM($G119)&amp;TRIM($I119)&amp;TRIM($J119))))&gt;0)), "Yes", "No"))</f>
        <v/>
      </c>
      <c r="G119" t="inlineStr">
        <is>
          <t>Syosset Hospital</t>
        </is>
      </c>
      <c r="H119" t="inlineStr">
        <is>
          <t>Syosset Hospital</t>
        </is>
      </c>
      <c r="I119" t="inlineStr">
        <is>
          <t>Main ORs - 3rd Floor</t>
        </is>
      </c>
      <c r="J119" t="inlineStr">
        <is>
          <t>OR 5</t>
        </is>
      </c>
      <c r="K119" t="inlineStr">
        <is>
          <t>n/a</t>
        </is>
      </c>
      <c r="L119" s="18" t="n">
        <v>46085</v>
      </c>
      <c r="M119" t="inlineStr">
        <is>
          <t>Neurons and Cybernets already deployed but off the domain and require peripherals: Mouse, Keyboard, Barcode Scanner, and Badge Scanner</t>
        </is>
      </c>
      <c r="S119" t="inlineStr">
        <is>
          <t>Pass</t>
        </is>
      </c>
      <c r="T119" t="inlineStr">
        <is>
          <t>breakaway cables</t>
        </is>
      </c>
      <c r="V119" t="inlineStr">
        <is>
          <t>WSY221OPR061</t>
        </is>
      </c>
      <c r="W119" t="inlineStr">
        <is>
          <t>MEDNG2425D-2615</t>
        </is>
      </c>
      <c r="X119" t="inlineStr">
        <is>
          <t>SY-MACH-M</t>
        </is>
      </c>
      <c r="Y119" t="inlineStr">
        <is>
          <t>A0F5097FF146</t>
        </is>
      </c>
      <c r="AB119" t="inlineStr">
        <is>
          <t>WA24406890</t>
        </is>
      </c>
      <c r="AI119" t="inlineStr">
        <is>
          <t>Anesthesia Machine</t>
        </is>
      </c>
      <c r="AM119" t="inlineStr">
        <is>
          <t>Drager</t>
        </is>
      </c>
      <c r="AN119" t="inlineStr">
        <is>
          <t>Fabius GS premium</t>
        </is>
      </c>
      <c r="AP119" t="inlineStr">
        <is>
          <t>8607000-33ASBC-0095</t>
        </is>
      </c>
      <c r="AQ119" t="inlineStr">
        <is>
          <t>8607000-33ASBC-0095</t>
        </is>
      </c>
      <c r="AS119" t="inlineStr">
        <is>
          <t>B1-CFW</t>
        </is>
      </c>
      <c r="AT119" t="inlineStr">
        <is>
          <t>B1-CFB</t>
        </is>
      </c>
      <c r="AU119" t="inlineStr">
        <is>
          <t>n/a</t>
        </is>
      </c>
      <c r="AV119" t="inlineStr">
        <is>
          <t>n/a</t>
        </is>
      </c>
      <c r="AW119" t="inlineStr">
        <is>
          <t>n/a</t>
        </is>
      </c>
      <c r="AX119" t="inlineStr">
        <is>
          <t>MX750 - 010088483808333221DE776730529086647191866471</t>
        </is>
      </c>
      <c r="AY119" t="inlineStr">
        <is>
          <t>Anesthesia Machine</t>
        </is>
      </c>
      <c r="BR119" t="inlineStr">
        <is>
          <t>Yes</t>
        </is>
      </c>
      <c r="BS119" t="inlineStr">
        <is>
          <t>Yes</t>
        </is>
      </c>
      <c r="BT119" t="inlineStr">
        <is>
          <t>Yes</t>
        </is>
      </c>
      <c r="BU119" t="inlineStr">
        <is>
          <t>Yes</t>
        </is>
      </c>
      <c r="CD119">
        <f>IF($Y119="","",IF((IF(AND($BR119&lt;&gt;"Yes",$BR119&lt;&gt;"N/A"),"Power Cable, ","")&amp;IF(AND($BS119&lt;&gt;"Yes",$BS119&lt;&gt;"N/A"),"Battery, ","")&amp;IF(AND($AD119&lt;&gt;"Yes",$AD119&lt;&gt;"N/A"),"Firmware Download, ","")&amp;IF(AND(OR($AD119="Yes",$AD119="N/A"),$AE119&lt;&gt;"Yes",$AE119&lt;&gt;"N/A"),"Firmware Install, ","")&amp;IF(AND($CB119&lt;&gt;"Yes",$CB119&lt;&gt;"N/A"),"Device ID, ","")&amp;IF(AND($CC119&lt;&gt;"Yes",$CC119&lt;&gt;"N/A"),"Epic Beans Relay, ",""))="","",LEFT(IF(AND($BR119&lt;&gt;"Yes",$BR119&lt;&gt;"N/A"),"Power Cable, ","")&amp;IF(AND($BS119&lt;&gt;"Yes",$BS119&lt;&gt;"N/A"),"Battery, ","")&amp;IF(AND($AD119&lt;&gt;"Yes",$AD119&lt;&gt;"N/A"),"Firmware Download, ","")&amp;IF(AND(OR($AD119="Yes",$AD119="N/A"),$AE119&lt;&gt;"Yes",$AE119&lt;&gt;"N/A"),"Firmware Install, ","")&amp;IF(AND($CB119&lt;&gt;"Yes",$CB119&lt;&gt;"N/A"),"Device ID, ","")&amp;IF(AND($CC119&lt;&gt;"Yes",$CC119&lt;&gt;"N/A"),"Epic Beans Relay, ",""),LEN(IF(AND($BR119&lt;&gt;"Yes",$BR119&lt;&gt;"N/A"),"Power Cable, ","")&amp;IF(AND($BS119&lt;&gt;"Yes",$BS119&lt;&gt;"N/A"),"Battery, ","")&amp;IF(AND($AD119&lt;&gt;"Yes",$AD119&lt;&gt;"N/A"),"Firmware Download, ","")&amp;IF(AND(OR($AD119="Yes",$AD119="N/A"),$AE119&lt;&gt;"Yes",$AE119&lt;&gt;"N/A"),"Firmware Install, ","")&amp;IF(AND($CB119&lt;&gt;"Yes",$CB119&lt;&gt;"N/A"),"Device ID, ","")&amp;IF(AND($CC119&lt;&gt;"Yes",$CC119&lt;&gt;"N/A"),"Epic Beans Relay, ",""))-2)))</f>
        <v/>
      </c>
      <c r="CE119">
        <f>IF($Y119="","",IF($CD119="","Yes","Blocked"))</f>
        <v/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P119">
        <f>IF($CO119="","",IFERROR(VLOOKUP($CO119,'01_Warehouse_Ledger'!$A:$N,4,FALSE),""))</f>
        <v/>
      </c>
      <c r="CQ119">
        <f>IF($CO119="","",IFERROR(VLOOKUP($CO119,'01_Warehouse_Ledger'!$A:$N,5,FALSE),""))</f>
        <v/>
      </c>
      <c r="CR119">
        <f>IF($CO119="","",IFERROR(VLOOKUP($CO119,'01_Warehouse_Ledger'!$A:$N,13,FALSE),""))</f>
        <v/>
      </c>
      <c r="CW119">
        <f>IF($S119="","",IF(UPPER(TRIM($S119))&lt;&gt;"PASS","",IF(LEN(TRIM($BY119))&gt;0,"NOTES_PRESENT",IF(LEN(TRIM($T119))=0,"SET_NA",IF(OR(LOWER(TRIM($T119))="na",LOWER(TRIM($T119))="n/a"),"OK","MANUAL_OVERRIDE")))))</f>
        <v/>
      </c>
    </row>
    <row r="120">
      <c r="A120" t="inlineStr">
        <is>
          <t>Peripherals</t>
        </is>
      </c>
      <c r="B120" s="51" t="inlineStr">
        <is>
          <t>Yes</t>
        </is>
      </c>
      <c r="C120" t="inlineStr">
        <is>
          <t>Yes</t>
        </is>
      </c>
      <c r="D120">
        <f>IF($B120&lt;&gt;"Yes","",IF($C120="No","Yes",IF($C120="Yes","No","")))</f>
        <v/>
      </c>
      <c r="E120">
        <f>IF($A120="","",IF(OR(AND($V120&lt;&gt;"",LOWER(TRIM($V120))&lt;&gt;"n/a",LOWER(TRIM($V120))&lt;&gt;"na",SUMPRODUCT(--(UPPER(TRIM($V$2:$V$518))=UPPER(TRIM($V120))),--(TRIM($V$2:$V$518)&lt;&gt;""),--(LOWER(TRIM($V$2:$V$518))&lt;&gt;"n/a"),--(LOWER(TRIM($V$2:$V$518))&lt;&gt;"na"))&gt;1),AND($W120&lt;&gt;"",LOWER(TRIM($W120))&lt;&gt;"n/a",LOWER(TRIM($W120))&lt;&gt;"na",SUMPRODUCT(--(UPPER(TRIM($W$2:$W$518))=UPPER(TRIM($W120))),--(TRIM($W$2:$W$518)&lt;&gt;""),--(LOWER(TRIM($W$2:$W$518))&lt;&gt;"n/a"),--(LOWER(TRIM($W$2:$W$518))&lt;&gt;"na"))&gt;1),AND($X120&lt;&gt;"",LOWER(TRIM($X120))&lt;&gt;"n/a",LOWER(TRIM($X120))&lt;&gt;"na",SUMPRODUCT(--(UPPER(TRIM($X$2:$X$518))=UPPER(TRIM($X120))),--(TRIM($X$2:$X$518)&lt;&gt;""),--(LOWER(TRIM($X$2:$X$518))&lt;&gt;"n/a"),--(LOWER(TRIM($X$2:$X$518))&lt;&gt;"na"))&gt;1),AND($Y120&lt;&gt;"",LOWER(TRIM($Y120))&lt;&gt;"n/a",LOWER(TRIM($Y120))&lt;&gt;"na",SUMPRODUCT(--(UPPER(SUBSTITUTE(SUBSTITUTE(TRIM($Y$2:$Y$518),":",""),"-",""))=UPPER(SUBSTITUTE(SUBSTITUTE(TRIM($Y120),":",""),"-",""))),--(TRIM($Y$2:$Y$518)&lt;&gt;""),--(LOWER(TRIM($Y$2:$Y$518))&lt;&gt;"n/a"),--(LOWER(TRIM($Y$2:$Y$518))&lt;&gt;"na"))&gt;1),AND($AB120&lt;&gt;"",LOWER(TRIM($AB120))&lt;&gt;"n/a",LOWER(TRIM($AB120))&lt;&gt;"na",SUMPRODUCT(--(UPPER(TRIM($AB$2:$AB$518))=UPPER(TRIM($AB120))),--(TRIM($AB$2:$AB$518)&lt;&gt;""),--(LOWER(TRIM($AB$2:$AB$518))&lt;&gt;"n/a"),--(LOWER(TRIM($AB$2:$AB$518))&lt;&gt;"na"))&gt;1),AND($AH120&lt;&gt;"",LOWER(TRIM($AH120))&lt;&gt;"n/a",LOWER(TRIM($AH120))&lt;&gt;"na",SUMPRODUCT(--(UPPER(SUBSTITUTE(SUBSTITUTE(TRIM($AH$2:$AH$518),":",""),"-",""))=UPPER(SUBSTITUTE(SUBSTITUTE(TRIM($AH120),":",""),"-",""))),--(TRIM($AH$2:$AH$518)&lt;&gt;""),--(LOWER(TRIM($AH$2:$AH$518))&lt;&gt;"n/a"),--(LOWER(TRIM($AH$2:$AH$518))&lt;&gt;"na"))&gt;1),AND($AP120&lt;&gt;"",LOWER(TRIM($AP120))&lt;&gt;"n/a",LOWER(TRIM($AP120))&lt;&gt;"na",SUMPRODUCT(--(UPPER(TRIM($AP$2:$AP$518))=UPPER(TRIM($AP120))),--(TRIM($AP$2:$AP$518)&lt;&gt;""),--(LOWER(TRIM($AP$2:$AP$518))&lt;&gt;"n/a"),--(LOWER(TRIM($AP$2:$AP$518))&lt;&gt;"na"))&gt;1),AND($AQ120&lt;&gt;"",LOWER(TRIM($AQ120))&lt;&gt;"n/a",LOWER(TRIM($AQ120))&lt;&gt;"na",SUMPRODUCT(--(UPPER(TRIM($AQ$2:$AQ$518))=UPPER(TRIM($AQ120))),--(TRIM($AQ$2:$AQ$518)&lt;&gt;""),--(LOWER(TRIM($AQ$2:$AQ$518))&lt;&gt;"n/a"),--(LOWER(TRIM($AQ$2:$AQ$518))&lt;&gt;"na"))&gt;1)),"Yes","No"))</f>
        <v/>
      </c>
      <c r="F120">
        <f>IF(UPPER(TRIM($B120))&lt;&gt;"YES","", IF(OR(AND($V120&lt;&gt;"", LOWER(TRIM($V120))&lt;&gt;"n/a", LOWER(TRIM($V120))&lt;&gt;"na", SUMPRODUCT(--(UPPER(TRIM($V$2:$V$518))=UPPER(TRIM($V120))), --(UPPER(TRIM($B$2:$B$518))="YES"), --(UPPER(TRIM($G$2:$G$518)&amp;TRIM($I$2:$I$518)&amp;TRIM($J$2:$J$518))&lt;&gt;UPPER(TRIM($G120)&amp;TRIM($I120)&amp;TRIM($J120))))&gt;0), AND($W120&lt;&gt;"", LOWER(TRIM($W120))&lt;&gt;"n/a", LOWER(TRIM($W120))&lt;&gt;"na", SUMPRODUCT(--(UPPER(TRIM($W$2:$W$518))=UPPER(TRIM($W120))), --(UPPER(TRIM($B$2:$B$518))="YES"), --(UPPER(TRIM($G$2:$G$518)&amp;TRIM($I$2:$I$518)&amp;TRIM($J$2:$J$518))&lt;&gt;UPPER(TRIM($G120)&amp;TRIM($I120)&amp;TRIM($J120))))&gt;0), AND($X120&lt;&gt;"", LOWER(TRIM($X120))&lt;&gt;"n/a", LOWER(TRIM($X120))&lt;&gt;"na", SUMPRODUCT(--(UPPER(TRIM($X$2:$X$518))=UPPER(TRIM($X120))), --(UPPER(TRIM($B$2:$B$518))="YES"), --(UPPER(TRIM($G$2:$G$518)&amp;TRIM($I$2:$I$518)&amp;TRIM($J$2:$J$518))&lt;&gt;UPPER(TRIM($G120)&amp;TRIM($I120)&amp;TRIM($J120))))&gt;0), AND($Y120&lt;&gt;"", LOWER(TRIM($Y120))&lt;&gt;"n/a", LOWER(TRIM($Y120))&lt;&gt;"na", SUMPRODUCT(--(UPPER(SUBSTITUTE(SUBSTITUTE(TRIM($Y$2:$Y$518),":",""),"-",""))=UPPER(SUBSTITUTE(SUBSTITUTE(TRIM($Y120),":",""),"-",""))), --(UPPER(TRIM($B$2:$B$518))="YES"), --(UPPER(TRIM($G$2:$G$518)&amp;TRIM($I$2:$I$518)&amp;TRIM($J$2:$J$518))&lt;&gt;UPPER(TRIM($G120)&amp;TRIM($I120)&amp;TRIM($J120))))&gt;0), AND($AB120&lt;&gt;"", LOWER(TRIM($AB120))&lt;&gt;"n/a", LOWER(TRIM($AB120))&lt;&gt;"na", SUMPRODUCT(--(UPPER(TRIM($AB$2:$AB$518))=UPPER(TRIM($AB120))), --(UPPER(TRIM($B$2:$B$518))="YES"), --(UPPER(TRIM($G$2:$G$518)&amp;TRIM($I$2:$I$518)&amp;TRIM($J$2:$J$518))&lt;&gt;UPPER(TRIM($G120)&amp;TRIM($I120)&amp;TRIM($J120))))&gt;0), AND($AH120&lt;&gt;"", LOWER(TRIM($AH120))&lt;&gt;"n/a", LOWER(TRIM($AH120))&lt;&gt;"na", SUMPRODUCT(--(UPPER(SUBSTITUTE(SUBSTITUTE(TRIM($AH$2:$AH$518),":",""),"-",""))=UPPER(SUBSTITUTE(SUBSTITUTE(TRIM($AH120),":",""),"-",""))), --(UPPER(TRIM($B$2:$B$518))="YES"), --(UPPER(TRIM($G$2:$G$518)&amp;TRIM($I$2:$I$518)&amp;TRIM($J$2:$J$518))&lt;&gt;UPPER(TRIM($G120)&amp;TRIM($I120)&amp;TRIM($J120))))&gt;0), AND($AP120&lt;&gt;"", LOWER(TRIM($AP120))&lt;&gt;"n/a", LOWER(TRIM($AP120))&lt;&gt;"na", SUMPRODUCT(--(UPPER(TRIM($AP$2:$AP$518))=UPPER(TRIM($AP120))), --(UPPER(TRIM($B$2:$B$518))="YES"), --(UPPER(TRIM($G$2:$G$518)&amp;TRIM($I$2:$I$518)&amp;TRIM($J$2:$J$518))&lt;&gt;UPPER(TRIM($G120)&amp;TRIM($I120)&amp;TRIM($J120))))&gt;0), AND($AQ120&lt;&gt;"", LOWER(TRIM($AQ120))&lt;&gt;"n/a", LOWER(TRIM($AQ120))&lt;&gt;"na", SUMPRODUCT(--(UPPER(TRIM($AQ$2:$AQ$518))=UPPER(TRIM($AQ120))), --(UPPER(TRIM($B$2:$B$518))="YES"), --(UPPER(TRIM($G$2:$G$518)&amp;TRIM($I$2:$I$518)&amp;TRIM($J$2:$J$518))&lt;&gt;UPPER(TRIM($G120)&amp;TRIM($I120)&amp;TRIM($J120))))&gt;0)), "Yes", "No"))</f>
        <v/>
      </c>
      <c r="G120" t="inlineStr">
        <is>
          <t>Syosset Hospital</t>
        </is>
      </c>
      <c r="H120" t="inlineStr">
        <is>
          <t>Syosset Hospital</t>
        </is>
      </c>
      <c r="I120" t="inlineStr">
        <is>
          <t>Main ORs - 3rd Floor</t>
        </is>
      </c>
      <c r="J120" t="inlineStr">
        <is>
          <t>OR 6</t>
        </is>
      </c>
      <c r="K120" t="inlineStr">
        <is>
          <t>n/a</t>
        </is>
      </c>
      <c r="L120" s="18" t="n">
        <v>46085</v>
      </c>
      <c r="M120" t="inlineStr">
        <is>
          <t>Neurons and Cybernets already deployed but off the domain and require peripherals: Mouse, Keyboard, Barcode Scanner, and Badge Scanner</t>
        </is>
      </c>
      <c r="S120" t="inlineStr">
        <is>
          <t>Pass</t>
        </is>
      </c>
      <c r="T120" t="inlineStr">
        <is>
          <t>breakaway cables</t>
        </is>
      </c>
      <c r="V120" t="inlineStr">
        <is>
          <t>WSY221OPR060</t>
        </is>
      </c>
      <c r="W120" t="inlineStr">
        <is>
          <t>MEDNG2425D-2753</t>
        </is>
      </c>
      <c r="X120" t="inlineStr">
        <is>
          <t>SY-MACH-G</t>
        </is>
      </c>
      <c r="Y120" t="inlineStr">
        <is>
          <t>A0F5097FEB43</t>
        </is>
      </c>
      <c r="AB120" t="inlineStr">
        <is>
          <t>WA24406280</t>
        </is>
      </c>
      <c r="AI120" t="inlineStr">
        <is>
          <t>Anesthesia Machine</t>
        </is>
      </c>
      <c r="AM120" t="inlineStr">
        <is>
          <t>Drager</t>
        </is>
      </c>
      <c r="AN120" t="inlineStr">
        <is>
          <t>Fabus GS premium</t>
        </is>
      </c>
      <c r="AP120" t="inlineStr">
        <is>
          <t>ASBC-0094</t>
        </is>
      </c>
      <c r="AQ120" t="inlineStr">
        <is>
          <t>ASBC-0094</t>
        </is>
      </c>
      <c r="AS120" t="inlineStr">
        <is>
          <t>B1-CFW</t>
        </is>
      </c>
      <c r="AT120" t="inlineStr">
        <is>
          <t>B1-CFB</t>
        </is>
      </c>
      <c r="AU120" t="inlineStr">
        <is>
          <t>n/a</t>
        </is>
      </c>
      <c r="AV120" t="inlineStr">
        <is>
          <t>n/a</t>
        </is>
      </c>
      <c r="AW120" t="inlineStr">
        <is>
          <t>n/a</t>
        </is>
      </c>
      <c r="AX120" t="inlineStr">
        <is>
          <t>MX750 - 010088483808333221DE776744419086647191866471</t>
        </is>
      </c>
      <c r="AY120" t="inlineStr">
        <is>
          <t>Anesthesia Machine</t>
        </is>
      </c>
      <c r="BH120" t="n">
        <v>115200</v>
      </c>
      <c r="BI120" t="n">
        <v>9600</v>
      </c>
      <c r="BM120" t="inlineStr">
        <is>
          <t>N81</t>
        </is>
      </c>
      <c r="BN120" t="inlineStr">
        <is>
          <t>N81</t>
        </is>
      </c>
      <c r="BR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CD120">
        <f>IF($Y120="","",IF((IF(AND($BR120&lt;&gt;"Yes",$BR120&lt;&gt;"N/A"),"Power Cable, ","")&amp;IF(AND($BS120&lt;&gt;"Yes",$BS120&lt;&gt;"N/A"),"Battery, ","")&amp;IF(AND($AD120&lt;&gt;"Yes",$AD120&lt;&gt;"N/A"),"Firmware Download, ","")&amp;IF(AND(OR($AD120="Yes",$AD120="N/A"),$AE120&lt;&gt;"Yes",$AE120&lt;&gt;"N/A"),"Firmware Install, ","")&amp;IF(AND($CB120&lt;&gt;"Yes",$CB120&lt;&gt;"N/A"),"Device ID, ","")&amp;IF(AND($CC120&lt;&gt;"Yes",$CC120&lt;&gt;"N/A"),"Epic Beans Relay, ",""))="","",LEFT(IF(AND($BR120&lt;&gt;"Yes",$BR120&lt;&gt;"N/A"),"Power Cable, ","")&amp;IF(AND($BS120&lt;&gt;"Yes",$BS120&lt;&gt;"N/A"),"Battery, ","")&amp;IF(AND($AD120&lt;&gt;"Yes",$AD120&lt;&gt;"N/A"),"Firmware Download, ","")&amp;IF(AND(OR($AD120="Yes",$AD120="N/A"),$AE120&lt;&gt;"Yes",$AE120&lt;&gt;"N/A"),"Firmware Install, ","")&amp;IF(AND($CB120&lt;&gt;"Yes",$CB120&lt;&gt;"N/A"),"Device ID, ","")&amp;IF(AND($CC120&lt;&gt;"Yes",$CC120&lt;&gt;"N/A"),"Epic Beans Relay, ",""),LEN(IF(AND($BR120&lt;&gt;"Yes",$BR120&lt;&gt;"N/A"),"Power Cable, ","")&amp;IF(AND($BS120&lt;&gt;"Yes",$BS120&lt;&gt;"N/A"),"Battery, ","")&amp;IF(AND($AD120&lt;&gt;"Yes",$AD120&lt;&gt;"N/A"),"Firmware Download, ","")&amp;IF(AND(OR($AD120="Yes",$AD120="N/A"),$AE120&lt;&gt;"Yes",$AE120&lt;&gt;"N/A"),"Firmware Install, ","")&amp;IF(AND($CB120&lt;&gt;"Yes",$CB120&lt;&gt;"N/A"),"Device ID, ","")&amp;IF(AND($CC120&lt;&gt;"Yes",$CC120&lt;&gt;"N/A"),"Epic Beans Relay, ",""))-2)))</f>
        <v/>
      </c>
      <c r="CE120">
        <f>IF($Y120="","",IF($CD120="","Yes","Blocked"))</f>
        <v/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P120">
        <f>IF($CO120="","",IFERROR(VLOOKUP($CO120,'01_Warehouse_Ledger'!$A:$N,4,FALSE),""))</f>
        <v/>
      </c>
      <c r="CQ120">
        <f>IF($CO120="","",IFERROR(VLOOKUP($CO120,'01_Warehouse_Ledger'!$A:$N,5,FALSE),""))</f>
        <v/>
      </c>
      <c r="CR120">
        <f>IF($CO120="","",IFERROR(VLOOKUP($CO120,'01_Warehouse_Ledger'!$A:$N,13,FALSE),""))</f>
        <v/>
      </c>
      <c r="CW120">
        <f>IF($S120="","",IF(UPPER(TRIM($S120))&lt;&gt;"PASS","",IF(LEN(TRIM($BY120))&gt;0,"NOTES_PRESENT",IF(LEN(TRIM($T120))=0,"SET_NA",IF(OR(LOWER(TRIM($T120))="na",LOWER(TRIM($T120))="n/a"),"OK","MANUAL_OVERRIDE")))))</f>
        <v/>
      </c>
    </row>
    <row r="121">
      <c r="A121" t="inlineStr">
        <is>
          <t>Peripherals</t>
        </is>
      </c>
      <c r="B121" s="51" t="inlineStr">
        <is>
          <t>Yes</t>
        </is>
      </c>
      <c r="C121" t="inlineStr">
        <is>
          <t>Yes</t>
        </is>
      </c>
      <c r="D121">
        <f>IF($B121&lt;&gt;"Yes","",IF($C121="No","Yes",IF($C121="Yes","No","")))</f>
        <v/>
      </c>
      <c r="E121">
        <f>IF($A121="","",IF(OR(AND($V121&lt;&gt;"",LOWER(TRIM($V121))&lt;&gt;"n/a",LOWER(TRIM($V121))&lt;&gt;"na",SUMPRODUCT(--(UPPER(TRIM($V$2:$V$518))=UPPER(TRIM($V121))),--(TRIM($V$2:$V$518)&lt;&gt;""),--(LOWER(TRIM($V$2:$V$518))&lt;&gt;"n/a"),--(LOWER(TRIM($V$2:$V$518))&lt;&gt;"na"))&gt;1),AND($W121&lt;&gt;"",LOWER(TRIM($W121))&lt;&gt;"n/a",LOWER(TRIM($W121))&lt;&gt;"na",SUMPRODUCT(--(UPPER(TRIM($W$2:$W$518))=UPPER(TRIM($W121))),--(TRIM($W$2:$W$518)&lt;&gt;""),--(LOWER(TRIM($W$2:$W$518))&lt;&gt;"n/a"),--(LOWER(TRIM($W$2:$W$518))&lt;&gt;"na"))&gt;1),AND($X121&lt;&gt;"",LOWER(TRIM($X121))&lt;&gt;"n/a",LOWER(TRIM($X121))&lt;&gt;"na",SUMPRODUCT(--(UPPER(TRIM($X$2:$X$518))=UPPER(TRIM($X121))),--(TRIM($X$2:$X$518)&lt;&gt;""),--(LOWER(TRIM($X$2:$X$518))&lt;&gt;"n/a"),--(LOWER(TRIM($X$2:$X$518))&lt;&gt;"na"))&gt;1),AND($Y121&lt;&gt;"",LOWER(TRIM($Y121))&lt;&gt;"n/a",LOWER(TRIM($Y121))&lt;&gt;"na",SUMPRODUCT(--(UPPER(SUBSTITUTE(SUBSTITUTE(TRIM($Y$2:$Y$518),":",""),"-",""))=UPPER(SUBSTITUTE(SUBSTITUTE(TRIM($Y121),":",""),"-",""))),--(TRIM($Y$2:$Y$518)&lt;&gt;""),--(LOWER(TRIM($Y$2:$Y$518))&lt;&gt;"n/a"),--(LOWER(TRIM($Y$2:$Y$518))&lt;&gt;"na"))&gt;1),AND($AB121&lt;&gt;"",LOWER(TRIM($AB121))&lt;&gt;"n/a",LOWER(TRIM($AB121))&lt;&gt;"na",SUMPRODUCT(--(UPPER(TRIM($AB$2:$AB$518))=UPPER(TRIM($AB121))),--(TRIM($AB$2:$AB$518)&lt;&gt;""),--(LOWER(TRIM($AB$2:$AB$518))&lt;&gt;"n/a"),--(LOWER(TRIM($AB$2:$AB$518))&lt;&gt;"na"))&gt;1),AND($AH121&lt;&gt;"",LOWER(TRIM($AH121))&lt;&gt;"n/a",LOWER(TRIM($AH121))&lt;&gt;"na",SUMPRODUCT(--(UPPER(SUBSTITUTE(SUBSTITUTE(TRIM($AH$2:$AH$518),":",""),"-",""))=UPPER(SUBSTITUTE(SUBSTITUTE(TRIM($AH121),":",""),"-",""))),--(TRIM($AH$2:$AH$518)&lt;&gt;""),--(LOWER(TRIM($AH$2:$AH$518))&lt;&gt;"n/a"),--(LOWER(TRIM($AH$2:$AH$518))&lt;&gt;"na"))&gt;1),AND($AP121&lt;&gt;"",LOWER(TRIM($AP121))&lt;&gt;"n/a",LOWER(TRIM($AP121))&lt;&gt;"na",SUMPRODUCT(--(UPPER(TRIM($AP$2:$AP$518))=UPPER(TRIM($AP121))),--(TRIM($AP$2:$AP$518)&lt;&gt;""),--(LOWER(TRIM($AP$2:$AP$518))&lt;&gt;"n/a"),--(LOWER(TRIM($AP$2:$AP$518))&lt;&gt;"na"))&gt;1),AND($AQ121&lt;&gt;"",LOWER(TRIM($AQ121))&lt;&gt;"n/a",LOWER(TRIM($AQ121))&lt;&gt;"na",SUMPRODUCT(--(UPPER(TRIM($AQ$2:$AQ$518))=UPPER(TRIM($AQ121))),--(TRIM($AQ$2:$AQ$518)&lt;&gt;""),--(LOWER(TRIM($AQ$2:$AQ$518))&lt;&gt;"n/a"),--(LOWER(TRIM($AQ$2:$AQ$518))&lt;&gt;"na"))&gt;1)),"Yes","No"))</f>
        <v/>
      </c>
      <c r="F121">
        <f>IF(UPPER(TRIM($B121))&lt;&gt;"YES","", IF(OR(AND($V121&lt;&gt;"", LOWER(TRIM($V121))&lt;&gt;"n/a", LOWER(TRIM($V121))&lt;&gt;"na", SUMPRODUCT(--(UPPER(TRIM($V$2:$V$518))=UPPER(TRIM($V121))), --(UPPER(TRIM($B$2:$B$518))="YES"), --(UPPER(TRIM($G$2:$G$518)&amp;TRIM($I$2:$I$518)&amp;TRIM($J$2:$J$518))&lt;&gt;UPPER(TRIM($G121)&amp;TRIM($I121)&amp;TRIM($J121))))&gt;0), AND($W121&lt;&gt;"", LOWER(TRIM($W121))&lt;&gt;"n/a", LOWER(TRIM($W121))&lt;&gt;"na", SUMPRODUCT(--(UPPER(TRIM($W$2:$W$518))=UPPER(TRIM($W121))), --(UPPER(TRIM($B$2:$B$518))="YES"), --(UPPER(TRIM($G$2:$G$518)&amp;TRIM($I$2:$I$518)&amp;TRIM($J$2:$J$518))&lt;&gt;UPPER(TRIM($G121)&amp;TRIM($I121)&amp;TRIM($J121))))&gt;0), AND($X121&lt;&gt;"", LOWER(TRIM($X121))&lt;&gt;"n/a", LOWER(TRIM($X121))&lt;&gt;"na", SUMPRODUCT(--(UPPER(TRIM($X$2:$X$518))=UPPER(TRIM($X121))), --(UPPER(TRIM($B$2:$B$518))="YES"), --(UPPER(TRIM($G$2:$G$518)&amp;TRIM($I$2:$I$518)&amp;TRIM($J$2:$J$518))&lt;&gt;UPPER(TRIM($G121)&amp;TRIM($I121)&amp;TRIM($J121))))&gt;0), AND($Y121&lt;&gt;"", LOWER(TRIM($Y121))&lt;&gt;"n/a", LOWER(TRIM($Y121))&lt;&gt;"na", SUMPRODUCT(--(UPPER(SUBSTITUTE(SUBSTITUTE(TRIM($Y$2:$Y$518),":",""),"-",""))=UPPER(SUBSTITUTE(SUBSTITUTE(TRIM($Y121),":",""),"-",""))), --(UPPER(TRIM($B$2:$B$518))="YES"), --(UPPER(TRIM($G$2:$G$518)&amp;TRIM($I$2:$I$518)&amp;TRIM($J$2:$J$518))&lt;&gt;UPPER(TRIM($G121)&amp;TRIM($I121)&amp;TRIM($J121))))&gt;0), AND($AB121&lt;&gt;"", LOWER(TRIM($AB121))&lt;&gt;"n/a", LOWER(TRIM($AB121))&lt;&gt;"na", SUMPRODUCT(--(UPPER(TRIM($AB$2:$AB$518))=UPPER(TRIM($AB121))), --(UPPER(TRIM($B$2:$B$518))="YES"), --(UPPER(TRIM($G$2:$G$518)&amp;TRIM($I$2:$I$518)&amp;TRIM($J$2:$J$518))&lt;&gt;UPPER(TRIM($G121)&amp;TRIM($I121)&amp;TRIM($J121))))&gt;0), AND($AH121&lt;&gt;"", LOWER(TRIM($AH121))&lt;&gt;"n/a", LOWER(TRIM($AH121))&lt;&gt;"na", SUMPRODUCT(--(UPPER(SUBSTITUTE(SUBSTITUTE(TRIM($AH$2:$AH$518),":",""),"-",""))=UPPER(SUBSTITUTE(SUBSTITUTE(TRIM($AH121),":",""),"-",""))), --(UPPER(TRIM($B$2:$B$518))="YES"), --(UPPER(TRIM($G$2:$G$518)&amp;TRIM($I$2:$I$518)&amp;TRIM($J$2:$J$518))&lt;&gt;UPPER(TRIM($G121)&amp;TRIM($I121)&amp;TRIM($J121))))&gt;0), AND($AP121&lt;&gt;"", LOWER(TRIM($AP121))&lt;&gt;"n/a", LOWER(TRIM($AP121))&lt;&gt;"na", SUMPRODUCT(--(UPPER(TRIM($AP$2:$AP$518))=UPPER(TRIM($AP121))), --(UPPER(TRIM($B$2:$B$518))="YES"), --(UPPER(TRIM($G$2:$G$518)&amp;TRIM($I$2:$I$518)&amp;TRIM($J$2:$J$518))&lt;&gt;UPPER(TRIM($G121)&amp;TRIM($I121)&amp;TRIM($J121))))&gt;0), AND($AQ121&lt;&gt;"", LOWER(TRIM($AQ121))&lt;&gt;"n/a", LOWER(TRIM($AQ121))&lt;&gt;"na", SUMPRODUCT(--(UPPER(TRIM($AQ$2:$AQ$518))=UPPER(TRIM($AQ121))), --(UPPER(TRIM($B$2:$B$518))="YES"), --(UPPER(TRIM($G$2:$G$518)&amp;TRIM($I$2:$I$518)&amp;TRIM($J$2:$J$518))&lt;&gt;UPPER(TRIM($G121)&amp;TRIM($I121)&amp;TRIM($J121))))&gt;0)), "Yes", "No"))</f>
        <v/>
      </c>
      <c r="G121" t="inlineStr">
        <is>
          <t>Syosset Hospital</t>
        </is>
      </c>
      <c r="H121" t="inlineStr">
        <is>
          <t>Syosset Hospital</t>
        </is>
      </c>
      <c r="I121" t="inlineStr">
        <is>
          <t>Main ORs - 3rd Floor</t>
        </is>
      </c>
      <c r="J121" t="inlineStr">
        <is>
          <t>SYE1</t>
        </is>
      </c>
      <c r="K121" t="inlineStr">
        <is>
          <t>n/a</t>
        </is>
      </c>
      <c r="L121" s="18" t="n">
        <v>46085</v>
      </c>
      <c r="M121" t="inlineStr">
        <is>
          <t>Neurons and Cybernets already deployed but off the domain and require peripherals: Mouse, Keyboard, Barcode Scanner, and Badge Scanner</t>
        </is>
      </c>
      <c r="S121" t="inlineStr">
        <is>
          <t>Pass</t>
        </is>
      </c>
      <c r="T121" t="inlineStr">
        <is>
          <t>breakaway cables</t>
        </is>
      </c>
      <c r="V121" t="inlineStr">
        <is>
          <t>WSY221OPR055</t>
        </is>
      </c>
      <c r="W121" t="inlineStr">
        <is>
          <t>MEDNG2425D-2609</t>
        </is>
      </c>
      <c r="X121" t="inlineStr">
        <is>
          <t>SY-MACH-I</t>
        </is>
      </c>
      <c r="Y121" t="inlineStr">
        <is>
          <t>A0F5097FDD27</t>
        </is>
      </c>
      <c r="AA121" t="inlineStr">
        <is>
          <t>YES</t>
        </is>
      </c>
      <c r="AB121" t="inlineStr">
        <is>
          <t>WA24406374</t>
        </is>
      </c>
      <c r="AC121" t="inlineStr">
        <is>
          <t>SY</t>
        </is>
      </c>
      <c r="AI121" t="inlineStr">
        <is>
          <t>Anesthesia Machine</t>
        </is>
      </c>
      <c r="AM121" t="inlineStr">
        <is>
          <t>Drager</t>
        </is>
      </c>
      <c r="AN121" t="inlineStr">
        <is>
          <t>Fabius Tiro</t>
        </is>
      </c>
      <c r="AP121" t="inlineStr">
        <is>
          <t>8606000-84ASKB-0131</t>
        </is>
      </c>
      <c r="AQ121" t="inlineStr">
        <is>
          <t>8606000-84ASKB-0131</t>
        </is>
      </c>
      <c r="AS121" t="inlineStr">
        <is>
          <t>B1-CFW</t>
        </is>
      </c>
      <c r="AT121" t="inlineStr">
        <is>
          <t>B1-CFB</t>
        </is>
      </c>
      <c r="AU121" t="inlineStr">
        <is>
          <t>n/a</t>
        </is>
      </c>
      <c r="AV121" t="inlineStr">
        <is>
          <t>n/a</t>
        </is>
      </c>
      <c r="AW121" t="inlineStr">
        <is>
          <t>n/a</t>
        </is>
      </c>
      <c r="AX121" t="inlineStr">
        <is>
          <t>MX750 - 010088483808333221DE776730569086647191866471</t>
        </is>
      </c>
      <c r="AY121" t="inlineStr">
        <is>
          <t>Anesthesia Machine</t>
        </is>
      </c>
      <c r="BR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CD121">
        <f>IF($Y121="","",IF((IF(AND($BR121&lt;&gt;"Yes",$BR121&lt;&gt;"N/A"),"Power Cable, ","")&amp;IF(AND($BS121&lt;&gt;"Yes",$BS121&lt;&gt;"N/A"),"Battery, ","")&amp;IF(AND($AD121&lt;&gt;"Yes",$AD121&lt;&gt;"N/A"),"Firmware Download, ","")&amp;IF(AND(OR($AD121="Yes",$AD121="N/A"),$AE121&lt;&gt;"Yes",$AE121&lt;&gt;"N/A"),"Firmware Install, ","")&amp;IF(AND($CB121&lt;&gt;"Yes",$CB121&lt;&gt;"N/A"),"Device ID, ","")&amp;IF(AND($CC121&lt;&gt;"Yes",$CC121&lt;&gt;"N/A"),"Epic Beans Relay, ",""))="","",LEFT(IF(AND($BR121&lt;&gt;"Yes",$BR121&lt;&gt;"N/A"),"Power Cable, ","")&amp;IF(AND($BS121&lt;&gt;"Yes",$BS121&lt;&gt;"N/A"),"Battery, ","")&amp;IF(AND($AD121&lt;&gt;"Yes",$AD121&lt;&gt;"N/A"),"Firmware Download, ","")&amp;IF(AND(OR($AD121="Yes",$AD121="N/A"),$AE121&lt;&gt;"Yes",$AE121&lt;&gt;"N/A"),"Firmware Install, ","")&amp;IF(AND($CB121&lt;&gt;"Yes",$CB121&lt;&gt;"N/A"),"Device ID, ","")&amp;IF(AND($CC121&lt;&gt;"Yes",$CC121&lt;&gt;"N/A"),"Epic Beans Relay, ",""),LEN(IF(AND($BR121&lt;&gt;"Yes",$BR121&lt;&gt;"N/A"),"Power Cable, ","")&amp;IF(AND($BS121&lt;&gt;"Yes",$BS121&lt;&gt;"N/A"),"Battery, ","")&amp;IF(AND($AD121&lt;&gt;"Yes",$AD121&lt;&gt;"N/A"),"Firmware Download, ","")&amp;IF(AND(OR($AD121="Yes",$AD121="N/A"),$AE121&lt;&gt;"Yes",$AE121&lt;&gt;"N/A"),"Firmware Install, ","")&amp;IF(AND($CB121&lt;&gt;"Yes",$CB121&lt;&gt;"N/A"),"Device ID, ","")&amp;IF(AND($CC121&lt;&gt;"Yes",$CC121&lt;&gt;"N/A"),"Epic Beans Relay, ",""))-2)))</f>
        <v/>
      </c>
      <c r="CE121">
        <f>IF($Y121="","",IF($CD121="","Yes","Blocked"))</f>
        <v/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P121">
        <f>IF($CO121="","",IFERROR(VLOOKUP($CO121,'01_Warehouse_Ledger'!$A:$N,4,FALSE),""))</f>
        <v/>
      </c>
      <c r="CQ121">
        <f>IF($CO121="","",IFERROR(VLOOKUP($CO121,'01_Warehouse_Ledger'!$A:$N,5,FALSE),""))</f>
        <v/>
      </c>
      <c r="CR121">
        <f>IF($CO121="","",IFERROR(VLOOKUP($CO121,'01_Warehouse_Ledger'!$A:$N,13,FALSE),""))</f>
        <v/>
      </c>
      <c r="CW121">
        <f>IF($S121="","",IF(UPPER(TRIM($S121))&lt;&gt;"PASS","",IF(LEN(TRIM($BY121))&gt;0,"NOTES_PRESENT",IF(LEN(TRIM($T121))=0,"SET_NA",IF(OR(LOWER(TRIM($T121))="na",LOWER(TRIM($T121))="n/a"),"OK","MANUAL_OVERRIDE")))))</f>
        <v/>
      </c>
    </row>
    <row r="122">
      <c r="A122" t="inlineStr">
        <is>
          <t>Peripherals</t>
        </is>
      </c>
      <c r="B122" s="51" t="inlineStr">
        <is>
          <t>Yes</t>
        </is>
      </c>
      <c r="C122" t="inlineStr">
        <is>
          <t>Yes</t>
        </is>
      </c>
      <c r="D122">
        <f>IF($B122&lt;&gt;"Yes","",IF($C122="No","Yes",IF($C122="Yes","No","")))</f>
        <v/>
      </c>
      <c r="E122">
        <f>IF($A122="","",IF(OR(AND($V122&lt;&gt;"",LOWER(TRIM($V122))&lt;&gt;"n/a",LOWER(TRIM($V122))&lt;&gt;"na",SUMPRODUCT(--(UPPER(TRIM($V$2:$V$518))=UPPER(TRIM($V122))),--(TRIM($V$2:$V$518)&lt;&gt;""),--(LOWER(TRIM($V$2:$V$518))&lt;&gt;"n/a"),--(LOWER(TRIM($V$2:$V$518))&lt;&gt;"na"))&gt;1),AND($W122&lt;&gt;"",LOWER(TRIM($W122))&lt;&gt;"n/a",LOWER(TRIM($W122))&lt;&gt;"na",SUMPRODUCT(--(UPPER(TRIM($W$2:$W$518))=UPPER(TRIM($W122))),--(TRIM($W$2:$W$518)&lt;&gt;""),--(LOWER(TRIM($W$2:$W$518))&lt;&gt;"n/a"),--(LOWER(TRIM($W$2:$W$518))&lt;&gt;"na"))&gt;1),AND($X122&lt;&gt;"",LOWER(TRIM($X122))&lt;&gt;"n/a",LOWER(TRIM($X122))&lt;&gt;"na",SUMPRODUCT(--(UPPER(TRIM($X$2:$X$518))=UPPER(TRIM($X122))),--(TRIM($X$2:$X$518)&lt;&gt;""),--(LOWER(TRIM($X$2:$X$518))&lt;&gt;"n/a"),--(LOWER(TRIM($X$2:$X$518))&lt;&gt;"na"))&gt;1),AND($Y122&lt;&gt;"",LOWER(TRIM($Y122))&lt;&gt;"n/a",LOWER(TRIM($Y122))&lt;&gt;"na",SUMPRODUCT(--(UPPER(SUBSTITUTE(SUBSTITUTE(TRIM($Y$2:$Y$518),":",""),"-",""))=UPPER(SUBSTITUTE(SUBSTITUTE(TRIM($Y122),":",""),"-",""))),--(TRIM($Y$2:$Y$518)&lt;&gt;""),--(LOWER(TRIM($Y$2:$Y$518))&lt;&gt;"n/a"),--(LOWER(TRIM($Y$2:$Y$518))&lt;&gt;"na"))&gt;1),AND($AB122&lt;&gt;"",LOWER(TRIM($AB122))&lt;&gt;"n/a",LOWER(TRIM($AB122))&lt;&gt;"na",SUMPRODUCT(--(UPPER(TRIM($AB$2:$AB$518))=UPPER(TRIM($AB122))),--(TRIM($AB$2:$AB$518)&lt;&gt;""),--(LOWER(TRIM($AB$2:$AB$518))&lt;&gt;"n/a"),--(LOWER(TRIM($AB$2:$AB$518))&lt;&gt;"na"))&gt;1),AND($AH122&lt;&gt;"",LOWER(TRIM($AH122))&lt;&gt;"n/a",LOWER(TRIM($AH122))&lt;&gt;"na",SUMPRODUCT(--(UPPER(SUBSTITUTE(SUBSTITUTE(TRIM($AH$2:$AH$518),":",""),"-",""))=UPPER(SUBSTITUTE(SUBSTITUTE(TRIM($AH122),":",""),"-",""))),--(TRIM($AH$2:$AH$518)&lt;&gt;""),--(LOWER(TRIM($AH$2:$AH$518))&lt;&gt;"n/a"),--(LOWER(TRIM($AH$2:$AH$518))&lt;&gt;"na"))&gt;1),AND($AP122&lt;&gt;"",LOWER(TRIM($AP122))&lt;&gt;"n/a",LOWER(TRIM($AP122))&lt;&gt;"na",SUMPRODUCT(--(UPPER(TRIM($AP$2:$AP$518))=UPPER(TRIM($AP122))),--(TRIM($AP$2:$AP$518)&lt;&gt;""),--(LOWER(TRIM($AP$2:$AP$518))&lt;&gt;"n/a"),--(LOWER(TRIM($AP$2:$AP$518))&lt;&gt;"na"))&gt;1),AND($AQ122&lt;&gt;"",LOWER(TRIM($AQ122))&lt;&gt;"n/a",LOWER(TRIM($AQ122))&lt;&gt;"na",SUMPRODUCT(--(UPPER(TRIM($AQ$2:$AQ$518))=UPPER(TRIM($AQ122))),--(TRIM($AQ$2:$AQ$518)&lt;&gt;""),--(LOWER(TRIM($AQ$2:$AQ$518))&lt;&gt;"n/a"),--(LOWER(TRIM($AQ$2:$AQ$518))&lt;&gt;"na"))&gt;1)),"Yes","No"))</f>
        <v/>
      </c>
      <c r="F122">
        <f>IF(UPPER(TRIM($B122))&lt;&gt;"YES","", IF(OR(AND($V122&lt;&gt;"", LOWER(TRIM($V122))&lt;&gt;"n/a", LOWER(TRIM($V122))&lt;&gt;"na", SUMPRODUCT(--(UPPER(TRIM($V$2:$V$518))=UPPER(TRIM($V122))), --(UPPER(TRIM($B$2:$B$518))="YES"), --(UPPER(TRIM($G$2:$G$518)&amp;TRIM($I$2:$I$518)&amp;TRIM($J$2:$J$518))&lt;&gt;UPPER(TRIM($G122)&amp;TRIM($I122)&amp;TRIM($J122))))&gt;0), AND($W122&lt;&gt;"", LOWER(TRIM($W122))&lt;&gt;"n/a", LOWER(TRIM($W122))&lt;&gt;"na", SUMPRODUCT(--(UPPER(TRIM($W$2:$W$518))=UPPER(TRIM($W122))), --(UPPER(TRIM($B$2:$B$518))="YES"), --(UPPER(TRIM($G$2:$G$518)&amp;TRIM($I$2:$I$518)&amp;TRIM($J$2:$J$518))&lt;&gt;UPPER(TRIM($G122)&amp;TRIM($I122)&amp;TRIM($J122))))&gt;0), AND($X122&lt;&gt;"", LOWER(TRIM($X122))&lt;&gt;"n/a", LOWER(TRIM($X122))&lt;&gt;"na", SUMPRODUCT(--(UPPER(TRIM($X$2:$X$518))=UPPER(TRIM($X122))), --(UPPER(TRIM($B$2:$B$518))="YES"), --(UPPER(TRIM($G$2:$G$518)&amp;TRIM($I$2:$I$518)&amp;TRIM($J$2:$J$518))&lt;&gt;UPPER(TRIM($G122)&amp;TRIM($I122)&amp;TRIM($J122))))&gt;0), AND($Y122&lt;&gt;"", LOWER(TRIM($Y122))&lt;&gt;"n/a", LOWER(TRIM($Y122))&lt;&gt;"na", SUMPRODUCT(--(UPPER(SUBSTITUTE(SUBSTITUTE(TRIM($Y$2:$Y$518),":",""),"-",""))=UPPER(SUBSTITUTE(SUBSTITUTE(TRIM($Y122),":",""),"-",""))), --(UPPER(TRIM($B$2:$B$518))="YES"), --(UPPER(TRIM($G$2:$G$518)&amp;TRIM($I$2:$I$518)&amp;TRIM($J$2:$J$518))&lt;&gt;UPPER(TRIM($G122)&amp;TRIM($I122)&amp;TRIM($J122))))&gt;0), AND($AB122&lt;&gt;"", LOWER(TRIM($AB122))&lt;&gt;"n/a", LOWER(TRIM($AB122))&lt;&gt;"na", SUMPRODUCT(--(UPPER(TRIM($AB$2:$AB$518))=UPPER(TRIM($AB122))), --(UPPER(TRIM($B$2:$B$518))="YES"), --(UPPER(TRIM($G$2:$G$518)&amp;TRIM($I$2:$I$518)&amp;TRIM($J$2:$J$518))&lt;&gt;UPPER(TRIM($G122)&amp;TRIM($I122)&amp;TRIM($J122))))&gt;0), AND($AH122&lt;&gt;"", LOWER(TRIM($AH122))&lt;&gt;"n/a", LOWER(TRIM($AH122))&lt;&gt;"na", SUMPRODUCT(--(UPPER(SUBSTITUTE(SUBSTITUTE(TRIM($AH$2:$AH$518),":",""),"-",""))=UPPER(SUBSTITUTE(SUBSTITUTE(TRIM($AH122),":",""),"-",""))), --(UPPER(TRIM($B$2:$B$518))="YES"), --(UPPER(TRIM($G$2:$G$518)&amp;TRIM($I$2:$I$518)&amp;TRIM($J$2:$J$518))&lt;&gt;UPPER(TRIM($G122)&amp;TRIM($I122)&amp;TRIM($J122))))&gt;0), AND($AP122&lt;&gt;"", LOWER(TRIM($AP122))&lt;&gt;"n/a", LOWER(TRIM($AP122))&lt;&gt;"na", SUMPRODUCT(--(UPPER(TRIM($AP$2:$AP$518))=UPPER(TRIM($AP122))), --(UPPER(TRIM($B$2:$B$518))="YES"), --(UPPER(TRIM($G$2:$G$518)&amp;TRIM($I$2:$I$518)&amp;TRIM($J$2:$J$518))&lt;&gt;UPPER(TRIM($G122)&amp;TRIM($I122)&amp;TRIM($J122))))&gt;0), AND($AQ122&lt;&gt;"", LOWER(TRIM($AQ122))&lt;&gt;"n/a", LOWER(TRIM($AQ122))&lt;&gt;"na", SUMPRODUCT(--(UPPER(TRIM($AQ$2:$AQ$518))=UPPER(TRIM($AQ122))), --(UPPER(TRIM($B$2:$B$518))="YES"), --(UPPER(TRIM($G$2:$G$518)&amp;TRIM($I$2:$I$518)&amp;TRIM($J$2:$J$518))&lt;&gt;UPPER(TRIM($G122)&amp;TRIM($I122)&amp;TRIM($J122))))&gt;0)), "Yes", "No"))</f>
        <v/>
      </c>
      <c r="G122" t="inlineStr">
        <is>
          <t>Syosset Hospital</t>
        </is>
      </c>
      <c r="H122" t="inlineStr">
        <is>
          <t>Syosset Hospital</t>
        </is>
      </c>
      <c r="I122" t="inlineStr">
        <is>
          <t>Main ORs - 3rd Floor</t>
        </is>
      </c>
      <c r="J122" t="inlineStr">
        <is>
          <t>OR 9</t>
        </is>
      </c>
      <c r="K122" t="inlineStr">
        <is>
          <t>n/a</t>
        </is>
      </c>
      <c r="L122" s="18" t="n">
        <v>46085</v>
      </c>
      <c r="M122" t="inlineStr">
        <is>
          <t>Neurons and Cybernets already deployed but off the domain and require peripherals: Mouse, Keyboard, Barcode Scanner, and Badge Scanner</t>
        </is>
      </c>
      <c r="S122" t="inlineStr">
        <is>
          <t>Pass</t>
        </is>
      </c>
      <c r="T122" t="inlineStr">
        <is>
          <t>breakaway cables</t>
        </is>
      </c>
      <c r="V122" t="inlineStr">
        <is>
          <t>WSY221OPR054</t>
        </is>
      </c>
      <c r="W122" t="inlineStr">
        <is>
          <t>MEDNG2425D-2608</t>
        </is>
      </c>
      <c r="X122" t="inlineStr">
        <is>
          <t>SY-MACH-F</t>
        </is>
      </c>
      <c r="Y122" t="inlineStr">
        <is>
          <t>A0F5097FEE42</t>
        </is>
      </c>
      <c r="AB122" t="inlineStr">
        <is>
          <t>WA24406294</t>
        </is>
      </c>
      <c r="AI122" t="inlineStr">
        <is>
          <t>Anesthesia Machine</t>
        </is>
      </c>
      <c r="AM122" t="inlineStr">
        <is>
          <t>Drager</t>
        </is>
      </c>
      <c r="AN122" t="inlineStr">
        <is>
          <t>Fabius Tiro</t>
        </is>
      </c>
      <c r="AP122" t="inlineStr">
        <is>
          <t>8606000-84ASKB-0138</t>
        </is>
      </c>
      <c r="AQ122" t="inlineStr">
        <is>
          <t>8606000-84ASKB-0138</t>
        </is>
      </c>
      <c r="AS122" t="inlineStr">
        <is>
          <t>B1-CFW</t>
        </is>
      </c>
      <c r="AT122" t="inlineStr">
        <is>
          <t>B1-CFB</t>
        </is>
      </c>
      <c r="AU122" t="inlineStr">
        <is>
          <t>n/a</t>
        </is>
      </c>
      <c r="AV122" t="inlineStr">
        <is>
          <t>n/a</t>
        </is>
      </c>
      <c r="AW122" t="inlineStr">
        <is>
          <t>n/a</t>
        </is>
      </c>
      <c r="AX122" t="inlineStr">
        <is>
          <t>MX750 - 010088483808333221DE776735169086647191866471</t>
        </is>
      </c>
      <c r="AY122" t="inlineStr">
        <is>
          <t>Anesthesia Machine</t>
        </is>
      </c>
      <c r="BH122" t="n">
        <v>115200</v>
      </c>
      <c r="BI122" t="n">
        <v>9600</v>
      </c>
      <c r="BM122" t="inlineStr">
        <is>
          <t>N81</t>
        </is>
      </c>
      <c r="BN122" t="inlineStr">
        <is>
          <t>N81</t>
        </is>
      </c>
      <c r="BR122" t="inlineStr">
        <is>
          <t>Yes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CD122">
        <f>IF($Y122="","",IF((IF(AND($BR122&lt;&gt;"Yes",$BR122&lt;&gt;"N/A"),"Power Cable, ","")&amp;IF(AND($BS122&lt;&gt;"Yes",$BS122&lt;&gt;"N/A"),"Battery, ","")&amp;IF(AND($AD122&lt;&gt;"Yes",$AD122&lt;&gt;"N/A"),"Firmware Download, ","")&amp;IF(AND(OR($AD122="Yes",$AD122="N/A"),$AE122&lt;&gt;"Yes",$AE122&lt;&gt;"N/A"),"Firmware Install, ","")&amp;IF(AND($CB122&lt;&gt;"Yes",$CB122&lt;&gt;"N/A"),"Device ID, ","")&amp;IF(AND($CC122&lt;&gt;"Yes",$CC122&lt;&gt;"N/A"),"Epic Beans Relay, ",""))="","",LEFT(IF(AND($BR122&lt;&gt;"Yes",$BR122&lt;&gt;"N/A"),"Power Cable, ","")&amp;IF(AND($BS122&lt;&gt;"Yes",$BS122&lt;&gt;"N/A"),"Battery, ","")&amp;IF(AND($AD122&lt;&gt;"Yes",$AD122&lt;&gt;"N/A"),"Firmware Download, ","")&amp;IF(AND(OR($AD122="Yes",$AD122="N/A"),$AE122&lt;&gt;"Yes",$AE122&lt;&gt;"N/A"),"Firmware Install, ","")&amp;IF(AND($CB122&lt;&gt;"Yes",$CB122&lt;&gt;"N/A"),"Device ID, ","")&amp;IF(AND($CC122&lt;&gt;"Yes",$CC122&lt;&gt;"N/A"),"Epic Beans Relay, ",""),LEN(IF(AND($BR122&lt;&gt;"Yes",$BR122&lt;&gt;"N/A"),"Power Cable, ","")&amp;IF(AND($BS122&lt;&gt;"Yes",$BS122&lt;&gt;"N/A"),"Battery, ","")&amp;IF(AND($AD122&lt;&gt;"Yes",$AD122&lt;&gt;"N/A"),"Firmware Download, ","")&amp;IF(AND(OR($AD122="Yes",$AD122="N/A"),$AE122&lt;&gt;"Yes",$AE122&lt;&gt;"N/A"),"Firmware Install, ","")&amp;IF(AND($CB122&lt;&gt;"Yes",$CB122&lt;&gt;"N/A"),"Device ID, ","")&amp;IF(AND($CC122&lt;&gt;"Yes",$CC122&lt;&gt;"N/A"),"Epic Beans Relay, ",""))-2)))</f>
        <v/>
      </c>
      <c r="CE122">
        <f>IF($Y122="","",IF($CD122="","Yes","Blocked"))</f>
        <v/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P122">
        <f>IF($CO122="","",IFERROR(VLOOKUP($CO122,'01_Warehouse_Ledger'!$A:$N,4,FALSE),""))</f>
        <v/>
      </c>
      <c r="CQ122">
        <f>IF($CO122="","",IFERROR(VLOOKUP($CO122,'01_Warehouse_Ledger'!$A:$N,5,FALSE),""))</f>
        <v/>
      </c>
      <c r="CR122">
        <f>IF($CO122="","",IFERROR(VLOOKUP($CO122,'01_Warehouse_Ledger'!$A:$N,13,FALSE),""))</f>
        <v/>
      </c>
      <c r="CW122">
        <f>IF($S122="","",IF(UPPER(TRIM($S122))&lt;&gt;"PASS","",IF(LEN(TRIM($BY122))&gt;0,"NOTES_PRESENT",IF(LEN(TRIM($T122))=0,"SET_NA",IF(OR(LOWER(TRIM($T122))="na",LOWER(TRIM($T122))="n/a"),"OK","MANUAL_OVERRIDE")))))</f>
        <v/>
      </c>
    </row>
    <row r="123">
      <c r="A123" t="inlineStr">
        <is>
          <t>Peripherals</t>
        </is>
      </c>
      <c r="B123" s="51" t="inlineStr">
        <is>
          <t>Yes</t>
        </is>
      </c>
      <c r="C123" t="inlineStr">
        <is>
          <t>Yes</t>
        </is>
      </c>
      <c r="D123">
        <f>IF($B123&lt;&gt;"Yes","",IF($C123="No","Yes",IF($C123="Yes","No","")))</f>
        <v/>
      </c>
      <c r="E123">
        <f>IF($A123="","",IF(OR(AND($V123&lt;&gt;"",LOWER(TRIM($V123))&lt;&gt;"n/a",LOWER(TRIM($V123))&lt;&gt;"na",SUMPRODUCT(--(UPPER(TRIM($V$2:$V$518))=UPPER(TRIM($V123))),--(TRIM($V$2:$V$518)&lt;&gt;""),--(LOWER(TRIM($V$2:$V$518))&lt;&gt;"n/a"),--(LOWER(TRIM($V$2:$V$518))&lt;&gt;"na"))&gt;1),AND($W123&lt;&gt;"",LOWER(TRIM($W123))&lt;&gt;"n/a",LOWER(TRIM($W123))&lt;&gt;"na",SUMPRODUCT(--(UPPER(TRIM($W$2:$W$518))=UPPER(TRIM($W123))),--(TRIM($W$2:$W$518)&lt;&gt;""),--(LOWER(TRIM($W$2:$W$518))&lt;&gt;"n/a"),--(LOWER(TRIM($W$2:$W$518))&lt;&gt;"na"))&gt;1),AND($X123&lt;&gt;"",LOWER(TRIM($X123))&lt;&gt;"n/a",LOWER(TRIM($X123))&lt;&gt;"na",SUMPRODUCT(--(UPPER(TRIM($X$2:$X$518))=UPPER(TRIM($X123))),--(TRIM($X$2:$X$518)&lt;&gt;""),--(LOWER(TRIM($X$2:$X$518))&lt;&gt;"n/a"),--(LOWER(TRIM($X$2:$X$518))&lt;&gt;"na"))&gt;1),AND($Y123&lt;&gt;"",LOWER(TRIM($Y123))&lt;&gt;"n/a",LOWER(TRIM($Y123))&lt;&gt;"na",SUMPRODUCT(--(UPPER(SUBSTITUTE(SUBSTITUTE(TRIM($Y$2:$Y$518),":",""),"-",""))=UPPER(SUBSTITUTE(SUBSTITUTE(TRIM($Y123),":",""),"-",""))),--(TRIM($Y$2:$Y$518)&lt;&gt;""),--(LOWER(TRIM($Y$2:$Y$518))&lt;&gt;"n/a"),--(LOWER(TRIM($Y$2:$Y$518))&lt;&gt;"na"))&gt;1),AND($AB123&lt;&gt;"",LOWER(TRIM($AB123))&lt;&gt;"n/a",LOWER(TRIM($AB123))&lt;&gt;"na",SUMPRODUCT(--(UPPER(TRIM($AB$2:$AB$518))=UPPER(TRIM($AB123))),--(TRIM($AB$2:$AB$518)&lt;&gt;""),--(LOWER(TRIM($AB$2:$AB$518))&lt;&gt;"n/a"),--(LOWER(TRIM($AB$2:$AB$518))&lt;&gt;"na"))&gt;1),AND($AH123&lt;&gt;"",LOWER(TRIM($AH123))&lt;&gt;"n/a",LOWER(TRIM($AH123))&lt;&gt;"na",SUMPRODUCT(--(UPPER(SUBSTITUTE(SUBSTITUTE(TRIM($AH$2:$AH$518),":",""),"-",""))=UPPER(SUBSTITUTE(SUBSTITUTE(TRIM($AH123),":",""),"-",""))),--(TRIM($AH$2:$AH$518)&lt;&gt;""),--(LOWER(TRIM($AH$2:$AH$518))&lt;&gt;"n/a"),--(LOWER(TRIM($AH$2:$AH$518))&lt;&gt;"na"))&gt;1),AND($AP123&lt;&gt;"",LOWER(TRIM($AP123))&lt;&gt;"n/a",LOWER(TRIM($AP123))&lt;&gt;"na",SUMPRODUCT(--(UPPER(TRIM($AP$2:$AP$518))=UPPER(TRIM($AP123))),--(TRIM($AP$2:$AP$518)&lt;&gt;""),--(LOWER(TRIM($AP$2:$AP$518))&lt;&gt;"n/a"),--(LOWER(TRIM($AP$2:$AP$518))&lt;&gt;"na"))&gt;1),AND($AQ123&lt;&gt;"",LOWER(TRIM($AQ123))&lt;&gt;"n/a",LOWER(TRIM($AQ123))&lt;&gt;"na",SUMPRODUCT(--(UPPER(TRIM($AQ$2:$AQ$518))=UPPER(TRIM($AQ123))),--(TRIM($AQ$2:$AQ$518)&lt;&gt;""),--(LOWER(TRIM($AQ$2:$AQ$518))&lt;&gt;"n/a"),--(LOWER(TRIM($AQ$2:$AQ$518))&lt;&gt;"na"))&gt;1)),"Yes","No"))</f>
        <v/>
      </c>
      <c r="F123">
        <f>IF(UPPER(TRIM($B123))&lt;&gt;"YES","", IF(OR(AND($V123&lt;&gt;"", LOWER(TRIM($V123))&lt;&gt;"n/a", LOWER(TRIM($V123))&lt;&gt;"na", SUMPRODUCT(--(UPPER(TRIM($V$2:$V$518))=UPPER(TRIM($V123))), --(UPPER(TRIM($B$2:$B$518))="YES"), --(UPPER(TRIM($G$2:$G$518)&amp;TRIM($I$2:$I$518)&amp;TRIM($J$2:$J$518))&lt;&gt;UPPER(TRIM($G123)&amp;TRIM($I123)&amp;TRIM($J123))))&gt;0), AND($W123&lt;&gt;"", LOWER(TRIM($W123))&lt;&gt;"n/a", LOWER(TRIM($W123))&lt;&gt;"na", SUMPRODUCT(--(UPPER(TRIM($W$2:$W$518))=UPPER(TRIM($W123))), --(UPPER(TRIM($B$2:$B$518))="YES"), --(UPPER(TRIM($G$2:$G$518)&amp;TRIM($I$2:$I$518)&amp;TRIM($J$2:$J$518))&lt;&gt;UPPER(TRIM($G123)&amp;TRIM($I123)&amp;TRIM($J123))))&gt;0), AND($X123&lt;&gt;"", LOWER(TRIM($X123))&lt;&gt;"n/a", LOWER(TRIM($X123))&lt;&gt;"na", SUMPRODUCT(--(UPPER(TRIM($X$2:$X$518))=UPPER(TRIM($X123))), --(UPPER(TRIM($B$2:$B$518))="YES"), --(UPPER(TRIM($G$2:$G$518)&amp;TRIM($I$2:$I$518)&amp;TRIM($J$2:$J$518))&lt;&gt;UPPER(TRIM($G123)&amp;TRIM($I123)&amp;TRIM($J123))))&gt;0), AND($Y123&lt;&gt;"", LOWER(TRIM($Y123))&lt;&gt;"n/a", LOWER(TRIM($Y123))&lt;&gt;"na", SUMPRODUCT(--(UPPER(SUBSTITUTE(SUBSTITUTE(TRIM($Y$2:$Y$518),":",""),"-",""))=UPPER(SUBSTITUTE(SUBSTITUTE(TRIM($Y123),":",""),"-",""))), --(UPPER(TRIM($B$2:$B$518))="YES"), --(UPPER(TRIM($G$2:$G$518)&amp;TRIM($I$2:$I$518)&amp;TRIM($J$2:$J$518))&lt;&gt;UPPER(TRIM($G123)&amp;TRIM($I123)&amp;TRIM($J123))))&gt;0), AND($AB123&lt;&gt;"", LOWER(TRIM($AB123))&lt;&gt;"n/a", LOWER(TRIM($AB123))&lt;&gt;"na", SUMPRODUCT(--(UPPER(TRIM($AB$2:$AB$518))=UPPER(TRIM($AB123))), --(UPPER(TRIM($B$2:$B$518))="YES"), --(UPPER(TRIM($G$2:$G$518)&amp;TRIM($I$2:$I$518)&amp;TRIM($J$2:$J$518))&lt;&gt;UPPER(TRIM($G123)&amp;TRIM($I123)&amp;TRIM($J123))))&gt;0), AND($AH123&lt;&gt;"", LOWER(TRIM($AH123))&lt;&gt;"n/a", LOWER(TRIM($AH123))&lt;&gt;"na", SUMPRODUCT(--(UPPER(SUBSTITUTE(SUBSTITUTE(TRIM($AH$2:$AH$518),":",""),"-",""))=UPPER(SUBSTITUTE(SUBSTITUTE(TRIM($AH123),":",""),"-",""))), --(UPPER(TRIM($B$2:$B$518))="YES"), --(UPPER(TRIM($G$2:$G$518)&amp;TRIM($I$2:$I$518)&amp;TRIM($J$2:$J$518))&lt;&gt;UPPER(TRIM($G123)&amp;TRIM($I123)&amp;TRIM($J123))))&gt;0), AND($AP123&lt;&gt;"", LOWER(TRIM($AP123))&lt;&gt;"n/a", LOWER(TRIM($AP123))&lt;&gt;"na", SUMPRODUCT(--(UPPER(TRIM($AP$2:$AP$518))=UPPER(TRIM($AP123))), --(UPPER(TRIM($B$2:$B$518))="YES"), --(UPPER(TRIM($G$2:$G$518)&amp;TRIM($I$2:$I$518)&amp;TRIM($J$2:$J$518))&lt;&gt;UPPER(TRIM($G123)&amp;TRIM($I123)&amp;TRIM($J123))))&gt;0), AND($AQ123&lt;&gt;"", LOWER(TRIM($AQ123))&lt;&gt;"n/a", LOWER(TRIM($AQ123))&lt;&gt;"na", SUMPRODUCT(--(UPPER(TRIM($AQ$2:$AQ$518))=UPPER(TRIM($AQ123))), --(UPPER(TRIM($B$2:$B$518))="YES"), --(UPPER(TRIM($G$2:$G$518)&amp;TRIM($I$2:$I$518)&amp;TRIM($J$2:$J$518))&lt;&gt;UPPER(TRIM($G123)&amp;TRIM($I123)&amp;TRIM($J123))))&gt;0)), "Yes", "No"))</f>
        <v/>
      </c>
      <c r="G123" t="inlineStr">
        <is>
          <t>Syosset Hospital</t>
        </is>
      </c>
      <c r="H123" t="inlineStr">
        <is>
          <t>Syosset Hospital</t>
        </is>
      </c>
      <c r="I123" t="inlineStr">
        <is>
          <t xml:space="preserve">Eye ORs - 2nd Floor </t>
        </is>
      </c>
      <c r="J123" t="inlineStr">
        <is>
          <t>SYE2</t>
        </is>
      </c>
      <c r="K123" t="inlineStr">
        <is>
          <t>n/a</t>
        </is>
      </c>
      <c r="L123" s="18" t="n">
        <v>46085</v>
      </c>
      <c r="M123" t="inlineStr">
        <is>
          <t>Neurons and Cybernets already deployed but off the domain and require peripherals: Mouse, Keyboard, Barcode Scanner, and Badge Scanner</t>
        </is>
      </c>
      <c r="S123" t="inlineStr">
        <is>
          <t>Pass</t>
        </is>
      </c>
      <c r="T123" t="inlineStr">
        <is>
          <t>breakaway cables</t>
        </is>
      </c>
      <c r="V123" t="inlineStr">
        <is>
          <t>WSY221OPR064</t>
        </is>
      </c>
      <c r="W123" t="inlineStr">
        <is>
          <t>MEDNG2425D-2683</t>
        </is>
      </c>
      <c r="X123" t="inlineStr">
        <is>
          <t>SY-MACH-B</t>
        </is>
      </c>
      <c r="Y123" t="inlineStr">
        <is>
          <t>A0F5097FE114</t>
        </is>
      </c>
      <c r="AB123" t="inlineStr">
        <is>
          <t>WA24406122</t>
        </is>
      </c>
      <c r="AI123" t="inlineStr">
        <is>
          <t>Anesthesia Machine</t>
        </is>
      </c>
      <c r="AM123" t="inlineStr">
        <is>
          <t>Drager</t>
        </is>
      </c>
      <c r="AN123" t="inlineStr">
        <is>
          <t>Fabius Tiro</t>
        </is>
      </c>
      <c r="AP123" t="inlineStr">
        <is>
          <t>01040486750414741117022821ASKB-0138938606000-84</t>
        </is>
      </c>
      <c r="AQ123" t="inlineStr">
        <is>
          <t>01040486750414741117022821ASKB-0138938606000-84</t>
        </is>
      </c>
      <c r="AS123" t="inlineStr">
        <is>
          <t>B1-CFW</t>
        </is>
      </c>
      <c r="AT123" t="inlineStr">
        <is>
          <t>B1-CFB</t>
        </is>
      </c>
      <c r="AU123" t="inlineStr">
        <is>
          <t>n/a</t>
        </is>
      </c>
      <c r="AV123" t="inlineStr">
        <is>
          <t>n/a</t>
        </is>
      </c>
      <c r="AW123" t="inlineStr">
        <is>
          <t>n/a</t>
        </is>
      </c>
      <c r="AX123" t="inlineStr">
        <is>
          <t>mx750 - 010088483808333221DE776730819086647191866471</t>
        </is>
      </c>
      <c r="AY123" t="inlineStr">
        <is>
          <t>Anesthesia Machine</t>
        </is>
      </c>
      <c r="BR123" t="inlineStr">
        <is>
          <t>Yes</t>
        </is>
      </c>
      <c r="BS123" t="inlineStr">
        <is>
          <t>Yes</t>
        </is>
      </c>
      <c r="BT123" t="inlineStr">
        <is>
          <t>Yes</t>
        </is>
      </c>
      <c r="BU123" t="inlineStr">
        <is>
          <t>Yes</t>
        </is>
      </c>
      <c r="CD123">
        <f>IF($Y123="","",IF((IF(AND($BR123&lt;&gt;"Yes",$BR123&lt;&gt;"N/A"),"Power Cable, ","")&amp;IF(AND($BS123&lt;&gt;"Yes",$BS123&lt;&gt;"N/A"),"Battery, ","")&amp;IF(AND($AD123&lt;&gt;"Yes",$AD123&lt;&gt;"N/A"),"Firmware Download, ","")&amp;IF(AND(OR($AD123="Yes",$AD123="N/A"),$AE123&lt;&gt;"Yes",$AE123&lt;&gt;"N/A"),"Firmware Install, ","")&amp;IF(AND($CB123&lt;&gt;"Yes",$CB123&lt;&gt;"N/A"),"Device ID, ","")&amp;IF(AND($CC123&lt;&gt;"Yes",$CC123&lt;&gt;"N/A"),"Epic Beans Relay, ",""))="","",LEFT(IF(AND($BR123&lt;&gt;"Yes",$BR123&lt;&gt;"N/A"),"Power Cable, ","")&amp;IF(AND($BS123&lt;&gt;"Yes",$BS123&lt;&gt;"N/A"),"Battery, ","")&amp;IF(AND($AD123&lt;&gt;"Yes",$AD123&lt;&gt;"N/A"),"Firmware Download, ","")&amp;IF(AND(OR($AD123="Yes",$AD123="N/A"),$AE123&lt;&gt;"Yes",$AE123&lt;&gt;"N/A"),"Firmware Install, ","")&amp;IF(AND($CB123&lt;&gt;"Yes",$CB123&lt;&gt;"N/A"),"Device ID, ","")&amp;IF(AND($CC123&lt;&gt;"Yes",$CC123&lt;&gt;"N/A"),"Epic Beans Relay, ",""),LEN(IF(AND($BR123&lt;&gt;"Yes",$BR123&lt;&gt;"N/A"),"Power Cable, ","")&amp;IF(AND($BS123&lt;&gt;"Yes",$BS123&lt;&gt;"N/A"),"Battery, ","")&amp;IF(AND($AD123&lt;&gt;"Yes",$AD123&lt;&gt;"N/A"),"Firmware Download, ","")&amp;IF(AND(OR($AD123="Yes",$AD123="N/A"),$AE123&lt;&gt;"Yes",$AE123&lt;&gt;"N/A"),"Firmware Install, ","")&amp;IF(AND($CB123&lt;&gt;"Yes",$CB123&lt;&gt;"N/A"),"Device ID, ","")&amp;IF(AND($CC123&lt;&gt;"Yes",$CC123&lt;&gt;"N/A"),"Epic Beans Relay, ",""))-2)))</f>
        <v/>
      </c>
      <c r="CE123">
        <f>IF($Y123="","",IF($CD123="","Yes","Blocked"))</f>
        <v/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P123">
        <f>IF($CO123="","",IFERROR(VLOOKUP($CO123,'01_Warehouse_Ledger'!$A:$N,4,FALSE),""))</f>
        <v/>
      </c>
      <c r="CQ123">
        <f>IF($CO123="","",IFERROR(VLOOKUP($CO123,'01_Warehouse_Ledger'!$A:$N,5,FALSE),""))</f>
        <v/>
      </c>
      <c r="CR123">
        <f>IF($CO123="","",IFERROR(VLOOKUP($CO123,'01_Warehouse_Ledger'!$A:$N,13,FALSE),""))</f>
        <v/>
      </c>
      <c r="CW123">
        <f>IF($S123="","",IF(UPPER(TRIM($S123))&lt;&gt;"PASS","",IF(LEN(TRIM($BY123))&gt;0,"NOTES_PRESENT",IF(LEN(TRIM($T123))=0,"SET_NA",IF(OR(LOWER(TRIM($T123))="na",LOWER(TRIM($T123))="n/a"),"OK","MANUAL_OVERRIDE")))))</f>
        <v/>
      </c>
    </row>
    <row r="124">
      <c r="A124" t="inlineStr">
        <is>
          <t>Peripherals</t>
        </is>
      </c>
      <c r="B124" s="51" t="inlineStr">
        <is>
          <t>Yes</t>
        </is>
      </c>
      <c r="C124" t="inlineStr">
        <is>
          <t>Yes</t>
        </is>
      </c>
      <c r="D124">
        <f>IF($B124&lt;&gt;"Yes","",IF($C124="No","Yes",IF($C124="Yes","No","")))</f>
        <v/>
      </c>
      <c r="E124">
        <f>IF($A124="","",IF(OR(AND($V124&lt;&gt;"",LOWER(TRIM($V124))&lt;&gt;"n/a",LOWER(TRIM($V124))&lt;&gt;"na",SUMPRODUCT(--(UPPER(TRIM($V$2:$V$518))=UPPER(TRIM($V124))),--(TRIM($V$2:$V$518)&lt;&gt;""),--(LOWER(TRIM($V$2:$V$518))&lt;&gt;"n/a"),--(LOWER(TRIM($V$2:$V$518))&lt;&gt;"na"))&gt;1),AND($W124&lt;&gt;"",LOWER(TRIM($W124))&lt;&gt;"n/a",LOWER(TRIM($W124))&lt;&gt;"na",SUMPRODUCT(--(UPPER(TRIM($W$2:$W$518))=UPPER(TRIM($W124))),--(TRIM($W$2:$W$518)&lt;&gt;""),--(LOWER(TRIM($W$2:$W$518))&lt;&gt;"n/a"),--(LOWER(TRIM($W$2:$W$518))&lt;&gt;"na"))&gt;1),AND($X124&lt;&gt;"",LOWER(TRIM($X124))&lt;&gt;"n/a",LOWER(TRIM($X124))&lt;&gt;"na",SUMPRODUCT(--(UPPER(TRIM($X$2:$X$518))=UPPER(TRIM($X124))),--(TRIM($X$2:$X$518)&lt;&gt;""),--(LOWER(TRIM($X$2:$X$518))&lt;&gt;"n/a"),--(LOWER(TRIM($X$2:$X$518))&lt;&gt;"na"))&gt;1),AND($Y124&lt;&gt;"",LOWER(TRIM($Y124))&lt;&gt;"n/a",LOWER(TRIM($Y124))&lt;&gt;"na",SUMPRODUCT(--(UPPER(SUBSTITUTE(SUBSTITUTE(TRIM($Y$2:$Y$518),":",""),"-",""))=UPPER(SUBSTITUTE(SUBSTITUTE(TRIM($Y124),":",""),"-",""))),--(TRIM($Y$2:$Y$518)&lt;&gt;""),--(LOWER(TRIM($Y$2:$Y$518))&lt;&gt;"n/a"),--(LOWER(TRIM($Y$2:$Y$518))&lt;&gt;"na"))&gt;1),AND($AB124&lt;&gt;"",LOWER(TRIM($AB124))&lt;&gt;"n/a",LOWER(TRIM($AB124))&lt;&gt;"na",SUMPRODUCT(--(UPPER(TRIM($AB$2:$AB$518))=UPPER(TRIM($AB124))),--(TRIM($AB$2:$AB$518)&lt;&gt;""),--(LOWER(TRIM($AB$2:$AB$518))&lt;&gt;"n/a"),--(LOWER(TRIM($AB$2:$AB$518))&lt;&gt;"na"))&gt;1),AND($AH124&lt;&gt;"",LOWER(TRIM($AH124))&lt;&gt;"n/a",LOWER(TRIM($AH124))&lt;&gt;"na",SUMPRODUCT(--(UPPER(SUBSTITUTE(SUBSTITUTE(TRIM($AH$2:$AH$518),":",""),"-",""))=UPPER(SUBSTITUTE(SUBSTITUTE(TRIM($AH124),":",""),"-",""))),--(TRIM($AH$2:$AH$518)&lt;&gt;""),--(LOWER(TRIM($AH$2:$AH$518))&lt;&gt;"n/a"),--(LOWER(TRIM($AH$2:$AH$518))&lt;&gt;"na"))&gt;1),AND($AP124&lt;&gt;"",LOWER(TRIM($AP124))&lt;&gt;"n/a",LOWER(TRIM($AP124))&lt;&gt;"na",SUMPRODUCT(--(UPPER(TRIM($AP$2:$AP$518))=UPPER(TRIM($AP124))),--(TRIM($AP$2:$AP$518)&lt;&gt;""),--(LOWER(TRIM($AP$2:$AP$518))&lt;&gt;"n/a"),--(LOWER(TRIM($AP$2:$AP$518))&lt;&gt;"na"))&gt;1),AND($AQ124&lt;&gt;"",LOWER(TRIM($AQ124))&lt;&gt;"n/a",LOWER(TRIM($AQ124))&lt;&gt;"na",SUMPRODUCT(--(UPPER(TRIM($AQ$2:$AQ$518))=UPPER(TRIM($AQ124))),--(TRIM($AQ$2:$AQ$518)&lt;&gt;""),--(LOWER(TRIM($AQ$2:$AQ$518))&lt;&gt;"n/a"),--(LOWER(TRIM($AQ$2:$AQ$518))&lt;&gt;"na"))&gt;1)),"Yes","No"))</f>
        <v/>
      </c>
      <c r="F124">
        <f>IF(UPPER(TRIM($B124))&lt;&gt;"YES","", IF(OR(AND($V124&lt;&gt;"", LOWER(TRIM($V124))&lt;&gt;"n/a", LOWER(TRIM($V124))&lt;&gt;"na", SUMPRODUCT(--(UPPER(TRIM($V$2:$V$518))=UPPER(TRIM($V124))), --(UPPER(TRIM($B$2:$B$518))="YES"), --(UPPER(TRIM($G$2:$G$518)&amp;TRIM($I$2:$I$518)&amp;TRIM($J$2:$J$518))&lt;&gt;UPPER(TRIM($G124)&amp;TRIM($I124)&amp;TRIM($J124))))&gt;0), AND($W124&lt;&gt;"", LOWER(TRIM($W124))&lt;&gt;"n/a", LOWER(TRIM($W124))&lt;&gt;"na", SUMPRODUCT(--(UPPER(TRIM($W$2:$W$518))=UPPER(TRIM($W124))), --(UPPER(TRIM($B$2:$B$518))="YES"), --(UPPER(TRIM($G$2:$G$518)&amp;TRIM($I$2:$I$518)&amp;TRIM($J$2:$J$518))&lt;&gt;UPPER(TRIM($G124)&amp;TRIM($I124)&amp;TRIM($J124))))&gt;0), AND($X124&lt;&gt;"", LOWER(TRIM($X124))&lt;&gt;"n/a", LOWER(TRIM($X124))&lt;&gt;"na", SUMPRODUCT(--(UPPER(TRIM($X$2:$X$518))=UPPER(TRIM($X124))), --(UPPER(TRIM($B$2:$B$518))="YES"), --(UPPER(TRIM($G$2:$G$518)&amp;TRIM($I$2:$I$518)&amp;TRIM($J$2:$J$518))&lt;&gt;UPPER(TRIM($G124)&amp;TRIM($I124)&amp;TRIM($J124))))&gt;0), AND($Y124&lt;&gt;"", LOWER(TRIM($Y124))&lt;&gt;"n/a", LOWER(TRIM($Y124))&lt;&gt;"na", SUMPRODUCT(--(UPPER(SUBSTITUTE(SUBSTITUTE(TRIM($Y$2:$Y$518),":",""),"-",""))=UPPER(SUBSTITUTE(SUBSTITUTE(TRIM($Y124),":",""),"-",""))), --(UPPER(TRIM($B$2:$B$518))="YES"), --(UPPER(TRIM($G$2:$G$518)&amp;TRIM($I$2:$I$518)&amp;TRIM($J$2:$J$518))&lt;&gt;UPPER(TRIM($G124)&amp;TRIM($I124)&amp;TRIM($J124))))&gt;0), AND($AB124&lt;&gt;"", LOWER(TRIM($AB124))&lt;&gt;"n/a", LOWER(TRIM($AB124))&lt;&gt;"na", SUMPRODUCT(--(UPPER(TRIM($AB$2:$AB$518))=UPPER(TRIM($AB124))), --(UPPER(TRIM($B$2:$B$518))="YES"), --(UPPER(TRIM($G$2:$G$518)&amp;TRIM($I$2:$I$518)&amp;TRIM($J$2:$J$518))&lt;&gt;UPPER(TRIM($G124)&amp;TRIM($I124)&amp;TRIM($J124))))&gt;0), AND($AH124&lt;&gt;"", LOWER(TRIM($AH124))&lt;&gt;"n/a", LOWER(TRIM($AH124))&lt;&gt;"na", SUMPRODUCT(--(UPPER(SUBSTITUTE(SUBSTITUTE(TRIM($AH$2:$AH$518),":",""),"-",""))=UPPER(SUBSTITUTE(SUBSTITUTE(TRIM($AH124),":",""),"-",""))), --(UPPER(TRIM($B$2:$B$518))="YES"), --(UPPER(TRIM($G$2:$G$518)&amp;TRIM($I$2:$I$518)&amp;TRIM($J$2:$J$518))&lt;&gt;UPPER(TRIM($G124)&amp;TRIM($I124)&amp;TRIM($J124))))&gt;0), AND($AP124&lt;&gt;"", LOWER(TRIM($AP124))&lt;&gt;"n/a", LOWER(TRIM($AP124))&lt;&gt;"na", SUMPRODUCT(--(UPPER(TRIM($AP$2:$AP$518))=UPPER(TRIM($AP124))), --(UPPER(TRIM($B$2:$B$518))="YES"), --(UPPER(TRIM($G$2:$G$518)&amp;TRIM($I$2:$I$518)&amp;TRIM($J$2:$J$518))&lt;&gt;UPPER(TRIM($G124)&amp;TRIM($I124)&amp;TRIM($J124))))&gt;0), AND($AQ124&lt;&gt;"", LOWER(TRIM($AQ124))&lt;&gt;"n/a", LOWER(TRIM($AQ124))&lt;&gt;"na", SUMPRODUCT(--(UPPER(TRIM($AQ$2:$AQ$518))=UPPER(TRIM($AQ124))), --(UPPER(TRIM($B$2:$B$518))="YES"), --(UPPER(TRIM($G$2:$G$518)&amp;TRIM($I$2:$I$518)&amp;TRIM($J$2:$J$518))&lt;&gt;UPPER(TRIM($G124)&amp;TRIM($I124)&amp;TRIM($J124))))&gt;0)), "Yes", "No"))</f>
        <v/>
      </c>
      <c r="G124" t="inlineStr">
        <is>
          <t>Syosset Hospital</t>
        </is>
      </c>
      <c r="H124" t="inlineStr">
        <is>
          <t>Syosset Hospital</t>
        </is>
      </c>
      <c r="I124" t="inlineStr">
        <is>
          <t>Main ORs - 3rd Floor</t>
        </is>
      </c>
      <c r="J124" t="inlineStr">
        <is>
          <t>OR 1</t>
        </is>
      </c>
      <c r="K124" t="inlineStr">
        <is>
          <t>n/a</t>
        </is>
      </c>
      <c r="L124" s="18" t="n">
        <v>46085</v>
      </c>
      <c r="M124" t="inlineStr">
        <is>
          <t>Neurons and Cybernets already deployed but off the domain and require peripherals: Mouse, Keyboard, Barcode Scanner, and Badge Scanner</t>
        </is>
      </c>
      <c r="S124" t="inlineStr">
        <is>
          <t>Pass</t>
        </is>
      </c>
      <c r="T124" t="inlineStr">
        <is>
          <t>breakaway cables</t>
        </is>
      </c>
      <c r="V124" t="inlineStr">
        <is>
          <t>WSY221OPR062</t>
        </is>
      </c>
      <c r="W124" t="inlineStr">
        <is>
          <t>MEDNG2425D-2632</t>
        </is>
      </c>
      <c r="X124" t="inlineStr">
        <is>
          <t>SY-MACH-L</t>
        </is>
      </c>
      <c r="Y124" t="inlineStr">
        <is>
          <t>A0F5097FF04A</t>
        </is>
      </c>
      <c r="AB124" t="inlineStr">
        <is>
          <t>WA24406900</t>
        </is>
      </c>
      <c r="AI124" t="inlineStr">
        <is>
          <t>Anesthesia Machine</t>
        </is>
      </c>
      <c r="AM124" t="inlineStr">
        <is>
          <t>Drager</t>
        </is>
      </c>
      <c r="AN124" t="inlineStr">
        <is>
          <t>Fabius GS premium</t>
        </is>
      </c>
      <c r="AP124" t="inlineStr">
        <is>
          <t>8607000-33ASBC-0102</t>
        </is>
      </c>
      <c r="AQ124" t="inlineStr">
        <is>
          <t>8607000-33ASBC-0102</t>
        </is>
      </c>
      <c r="AS124" t="inlineStr">
        <is>
          <t>B1-CFW</t>
        </is>
      </c>
      <c r="AT124" t="inlineStr">
        <is>
          <t>B1-CFB</t>
        </is>
      </c>
      <c r="AU124" t="inlineStr">
        <is>
          <t>n/a</t>
        </is>
      </c>
      <c r="AV124" t="inlineStr">
        <is>
          <t>n/a</t>
        </is>
      </c>
      <c r="AW124" t="inlineStr">
        <is>
          <t>n/a</t>
        </is>
      </c>
      <c r="AX124" t="inlineStr">
        <is>
          <t>MX750 - 010088483808333221DE776730819086647191866471</t>
        </is>
      </c>
      <c r="AY124" t="inlineStr">
        <is>
          <t>Anesthesia Machine</t>
        </is>
      </c>
      <c r="BD124" t="n">
        <v>334240</v>
      </c>
      <c r="BH124" t="n">
        <v>115200</v>
      </c>
      <c r="BI124" t="n">
        <v>9600</v>
      </c>
      <c r="BM124" t="inlineStr">
        <is>
          <t>N81</t>
        </is>
      </c>
      <c r="BN124" t="inlineStr">
        <is>
          <t>N81</t>
        </is>
      </c>
      <c r="BR124" t="inlineStr">
        <is>
          <t>Yes</t>
        </is>
      </c>
      <c r="BS124" t="inlineStr">
        <is>
          <t>Yes</t>
        </is>
      </c>
      <c r="BT124" t="inlineStr">
        <is>
          <t>Yes</t>
        </is>
      </c>
      <c r="BU124" t="inlineStr">
        <is>
          <t>Yes</t>
        </is>
      </c>
      <c r="CD124">
        <f>IF($Y124="","",IF((IF(AND($BR124&lt;&gt;"Yes",$BR124&lt;&gt;"N/A"),"Power Cable, ","")&amp;IF(AND($BS124&lt;&gt;"Yes",$BS124&lt;&gt;"N/A"),"Battery, ","")&amp;IF(AND($AD124&lt;&gt;"Yes",$AD124&lt;&gt;"N/A"),"Firmware Download, ","")&amp;IF(AND(OR($AD124="Yes",$AD124="N/A"),$AE124&lt;&gt;"Yes",$AE124&lt;&gt;"N/A"),"Firmware Install, ","")&amp;IF(AND($CB124&lt;&gt;"Yes",$CB124&lt;&gt;"N/A"),"Device ID, ","")&amp;IF(AND($CC124&lt;&gt;"Yes",$CC124&lt;&gt;"N/A"),"Epic Beans Relay, ",""))="","",LEFT(IF(AND($BR124&lt;&gt;"Yes",$BR124&lt;&gt;"N/A"),"Power Cable, ","")&amp;IF(AND($BS124&lt;&gt;"Yes",$BS124&lt;&gt;"N/A"),"Battery, ","")&amp;IF(AND($AD124&lt;&gt;"Yes",$AD124&lt;&gt;"N/A"),"Firmware Download, ","")&amp;IF(AND(OR($AD124="Yes",$AD124="N/A"),$AE124&lt;&gt;"Yes",$AE124&lt;&gt;"N/A"),"Firmware Install, ","")&amp;IF(AND($CB124&lt;&gt;"Yes",$CB124&lt;&gt;"N/A"),"Device ID, ","")&amp;IF(AND($CC124&lt;&gt;"Yes",$CC124&lt;&gt;"N/A"),"Epic Beans Relay, ",""),LEN(IF(AND($BR124&lt;&gt;"Yes",$BR124&lt;&gt;"N/A"),"Power Cable, ","")&amp;IF(AND($BS124&lt;&gt;"Yes",$BS124&lt;&gt;"N/A"),"Battery, ","")&amp;IF(AND($AD124&lt;&gt;"Yes",$AD124&lt;&gt;"N/A"),"Firmware Download, ","")&amp;IF(AND(OR($AD124="Yes",$AD124="N/A"),$AE124&lt;&gt;"Yes",$AE124&lt;&gt;"N/A"),"Firmware Install, ","")&amp;IF(AND($CB124&lt;&gt;"Yes",$CB124&lt;&gt;"N/A"),"Device ID, ","")&amp;IF(AND($CC124&lt;&gt;"Yes",$CC124&lt;&gt;"N/A"),"Epic Beans Relay, ",""))-2)))</f>
        <v/>
      </c>
      <c r="CE124">
        <f>IF($Y124="","",IF($CD124="","Yes","Blocked"))</f>
        <v/>
      </c>
      <c r="CF124" t="inlineStr">
        <is>
          <t>Yes</t>
        </is>
      </c>
      <c r="CG124" t="inlineStr">
        <is>
          <t>Yes</t>
        </is>
      </c>
      <c r="CH124" t="inlineStr">
        <is>
          <t>Yes</t>
        </is>
      </c>
      <c r="CI124" t="inlineStr">
        <is>
          <t>Yes</t>
        </is>
      </c>
      <c r="CJ124" t="inlineStr">
        <is>
          <t>Yes</t>
        </is>
      </c>
      <c r="CP124">
        <f>IF($CO124="","",IFERROR(VLOOKUP($CO124,'01_Warehouse_Ledger'!$A:$N,4,FALSE),""))</f>
        <v/>
      </c>
      <c r="CQ124">
        <f>IF($CO124="","",IFERROR(VLOOKUP($CO124,'01_Warehouse_Ledger'!$A:$N,5,FALSE),""))</f>
        <v/>
      </c>
      <c r="CR124">
        <f>IF($CO124="","",IFERROR(VLOOKUP($CO124,'01_Warehouse_Ledger'!$A:$N,13,FALSE),""))</f>
        <v/>
      </c>
      <c r="CW124">
        <f>IF($S124="","",IF(UPPER(TRIM($S124))&lt;&gt;"PASS","",IF(LEN(TRIM($BY124))&gt;0,"NOTES_PRESENT",IF(LEN(TRIM($T124))=0,"SET_NA",IF(OR(LOWER(TRIM($T124))="na",LOWER(TRIM($T124))="n/a"),"OK","MANUAL_OVERRIDE")))))</f>
        <v/>
      </c>
    </row>
    <row r="125">
      <c r="A125" t="inlineStr">
        <is>
          <t>Peripherals</t>
        </is>
      </c>
      <c r="B125" s="51" t="inlineStr">
        <is>
          <t>Yes</t>
        </is>
      </c>
      <c r="C125" t="inlineStr">
        <is>
          <t>Yes</t>
        </is>
      </c>
      <c r="D125">
        <f>IF($B125&lt;&gt;"Yes","",IF($C125="No","Yes",IF($C125="Yes","No","")))</f>
        <v/>
      </c>
      <c r="E125">
        <f>IF($A125="","",IF(OR(AND($V125&lt;&gt;"",LOWER(TRIM($V125))&lt;&gt;"n/a",LOWER(TRIM($V125))&lt;&gt;"na",SUMPRODUCT(--(UPPER(TRIM($V$2:$V$518))=UPPER(TRIM($V125))),--(TRIM($V$2:$V$518)&lt;&gt;""),--(LOWER(TRIM($V$2:$V$518))&lt;&gt;"n/a"),--(LOWER(TRIM($V$2:$V$518))&lt;&gt;"na"))&gt;1),AND($W125&lt;&gt;"",LOWER(TRIM($W125))&lt;&gt;"n/a",LOWER(TRIM($W125))&lt;&gt;"na",SUMPRODUCT(--(UPPER(TRIM($W$2:$W$518))=UPPER(TRIM($W125))),--(TRIM($W$2:$W$518)&lt;&gt;""),--(LOWER(TRIM($W$2:$W$518))&lt;&gt;"n/a"),--(LOWER(TRIM($W$2:$W$518))&lt;&gt;"na"))&gt;1),AND($X125&lt;&gt;"",LOWER(TRIM($X125))&lt;&gt;"n/a",LOWER(TRIM($X125))&lt;&gt;"na",SUMPRODUCT(--(UPPER(TRIM($X$2:$X$518))=UPPER(TRIM($X125))),--(TRIM($X$2:$X$518)&lt;&gt;""),--(LOWER(TRIM($X$2:$X$518))&lt;&gt;"n/a"),--(LOWER(TRIM($X$2:$X$518))&lt;&gt;"na"))&gt;1),AND($Y125&lt;&gt;"",LOWER(TRIM($Y125))&lt;&gt;"n/a",LOWER(TRIM($Y125))&lt;&gt;"na",SUMPRODUCT(--(UPPER(SUBSTITUTE(SUBSTITUTE(TRIM($Y$2:$Y$518),":",""),"-",""))=UPPER(SUBSTITUTE(SUBSTITUTE(TRIM($Y125),":",""),"-",""))),--(TRIM($Y$2:$Y$518)&lt;&gt;""),--(LOWER(TRIM($Y$2:$Y$518))&lt;&gt;"n/a"),--(LOWER(TRIM($Y$2:$Y$518))&lt;&gt;"na"))&gt;1),AND($AB125&lt;&gt;"",LOWER(TRIM($AB125))&lt;&gt;"n/a",LOWER(TRIM($AB125))&lt;&gt;"na",SUMPRODUCT(--(UPPER(TRIM($AB$2:$AB$518))=UPPER(TRIM($AB125))),--(TRIM($AB$2:$AB$518)&lt;&gt;""),--(LOWER(TRIM($AB$2:$AB$518))&lt;&gt;"n/a"),--(LOWER(TRIM($AB$2:$AB$518))&lt;&gt;"na"))&gt;1),AND($AH125&lt;&gt;"",LOWER(TRIM($AH125))&lt;&gt;"n/a",LOWER(TRIM($AH125))&lt;&gt;"na",SUMPRODUCT(--(UPPER(SUBSTITUTE(SUBSTITUTE(TRIM($AH$2:$AH$518),":",""),"-",""))=UPPER(SUBSTITUTE(SUBSTITUTE(TRIM($AH125),":",""),"-",""))),--(TRIM($AH$2:$AH$518)&lt;&gt;""),--(LOWER(TRIM($AH$2:$AH$518))&lt;&gt;"n/a"),--(LOWER(TRIM($AH$2:$AH$518))&lt;&gt;"na"))&gt;1),AND($AP125&lt;&gt;"",LOWER(TRIM($AP125))&lt;&gt;"n/a",LOWER(TRIM($AP125))&lt;&gt;"na",SUMPRODUCT(--(UPPER(TRIM($AP$2:$AP$518))=UPPER(TRIM($AP125))),--(TRIM($AP$2:$AP$518)&lt;&gt;""),--(LOWER(TRIM($AP$2:$AP$518))&lt;&gt;"n/a"),--(LOWER(TRIM($AP$2:$AP$518))&lt;&gt;"na"))&gt;1),AND($AQ125&lt;&gt;"",LOWER(TRIM($AQ125))&lt;&gt;"n/a",LOWER(TRIM($AQ125))&lt;&gt;"na",SUMPRODUCT(--(UPPER(TRIM($AQ$2:$AQ$518))=UPPER(TRIM($AQ125))),--(TRIM($AQ$2:$AQ$518)&lt;&gt;""),--(LOWER(TRIM($AQ$2:$AQ$518))&lt;&gt;"n/a"),--(LOWER(TRIM($AQ$2:$AQ$518))&lt;&gt;"na"))&gt;1)),"Yes","No"))</f>
        <v/>
      </c>
      <c r="F125">
        <f>IF(UPPER(TRIM($B125))&lt;&gt;"YES","", IF(OR(AND($V125&lt;&gt;"", LOWER(TRIM($V125))&lt;&gt;"n/a", LOWER(TRIM($V125))&lt;&gt;"na", SUMPRODUCT(--(UPPER(TRIM($V$2:$V$518))=UPPER(TRIM($V125))), --(UPPER(TRIM($B$2:$B$518))="YES"), --(UPPER(TRIM($G$2:$G$518)&amp;TRIM($I$2:$I$518)&amp;TRIM($J$2:$J$518))&lt;&gt;UPPER(TRIM($G125)&amp;TRIM($I125)&amp;TRIM($J125))))&gt;0), AND($W125&lt;&gt;"", LOWER(TRIM($W125))&lt;&gt;"n/a", LOWER(TRIM($W125))&lt;&gt;"na", SUMPRODUCT(--(UPPER(TRIM($W$2:$W$518))=UPPER(TRIM($W125))), --(UPPER(TRIM($B$2:$B$518))="YES"), --(UPPER(TRIM($G$2:$G$518)&amp;TRIM($I$2:$I$518)&amp;TRIM($J$2:$J$518))&lt;&gt;UPPER(TRIM($G125)&amp;TRIM($I125)&amp;TRIM($J125))))&gt;0), AND($X125&lt;&gt;"", LOWER(TRIM($X125))&lt;&gt;"n/a", LOWER(TRIM($X125))&lt;&gt;"na", SUMPRODUCT(--(UPPER(TRIM($X$2:$X$518))=UPPER(TRIM($X125))), --(UPPER(TRIM($B$2:$B$518))="YES"), --(UPPER(TRIM($G$2:$G$518)&amp;TRIM($I$2:$I$518)&amp;TRIM($J$2:$J$518))&lt;&gt;UPPER(TRIM($G125)&amp;TRIM($I125)&amp;TRIM($J125))))&gt;0), AND($Y125&lt;&gt;"", LOWER(TRIM($Y125))&lt;&gt;"n/a", LOWER(TRIM($Y125))&lt;&gt;"na", SUMPRODUCT(--(UPPER(SUBSTITUTE(SUBSTITUTE(TRIM($Y$2:$Y$518),":",""),"-",""))=UPPER(SUBSTITUTE(SUBSTITUTE(TRIM($Y125),":",""),"-",""))), --(UPPER(TRIM($B$2:$B$518))="YES"), --(UPPER(TRIM($G$2:$G$518)&amp;TRIM($I$2:$I$518)&amp;TRIM($J$2:$J$518))&lt;&gt;UPPER(TRIM($G125)&amp;TRIM($I125)&amp;TRIM($J125))))&gt;0), AND($AB125&lt;&gt;"", LOWER(TRIM($AB125))&lt;&gt;"n/a", LOWER(TRIM($AB125))&lt;&gt;"na", SUMPRODUCT(--(UPPER(TRIM($AB$2:$AB$518))=UPPER(TRIM($AB125))), --(UPPER(TRIM($B$2:$B$518))="YES"), --(UPPER(TRIM($G$2:$G$518)&amp;TRIM($I$2:$I$518)&amp;TRIM($J$2:$J$518))&lt;&gt;UPPER(TRIM($G125)&amp;TRIM($I125)&amp;TRIM($J125))))&gt;0), AND($AH125&lt;&gt;"", LOWER(TRIM($AH125))&lt;&gt;"n/a", LOWER(TRIM($AH125))&lt;&gt;"na", SUMPRODUCT(--(UPPER(SUBSTITUTE(SUBSTITUTE(TRIM($AH$2:$AH$518),":",""),"-",""))=UPPER(SUBSTITUTE(SUBSTITUTE(TRIM($AH125),":",""),"-",""))), --(UPPER(TRIM($B$2:$B$518))="YES"), --(UPPER(TRIM($G$2:$G$518)&amp;TRIM($I$2:$I$518)&amp;TRIM($J$2:$J$518))&lt;&gt;UPPER(TRIM($G125)&amp;TRIM($I125)&amp;TRIM($J125))))&gt;0), AND($AP125&lt;&gt;"", LOWER(TRIM($AP125))&lt;&gt;"n/a", LOWER(TRIM($AP125))&lt;&gt;"na", SUMPRODUCT(--(UPPER(TRIM($AP$2:$AP$518))=UPPER(TRIM($AP125))), --(UPPER(TRIM($B$2:$B$518))="YES"), --(UPPER(TRIM($G$2:$G$518)&amp;TRIM($I$2:$I$518)&amp;TRIM($J$2:$J$518))&lt;&gt;UPPER(TRIM($G125)&amp;TRIM($I125)&amp;TRIM($J125))))&gt;0), AND($AQ125&lt;&gt;"", LOWER(TRIM($AQ125))&lt;&gt;"n/a", LOWER(TRIM($AQ125))&lt;&gt;"na", SUMPRODUCT(--(UPPER(TRIM($AQ$2:$AQ$518))=UPPER(TRIM($AQ125))), --(UPPER(TRIM($B$2:$B$518))="YES"), --(UPPER(TRIM($G$2:$G$518)&amp;TRIM($I$2:$I$518)&amp;TRIM($J$2:$J$518))&lt;&gt;UPPER(TRIM($G125)&amp;TRIM($I125)&amp;TRIM($J125))))&gt;0)), "Yes", "No"))</f>
        <v/>
      </c>
      <c r="G125" t="inlineStr">
        <is>
          <t>Syosset Hospital</t>
        </is>
      </c>
      <c r="H125" t="inlineStr">
        <is>
          <t>Syosset Hospital</t>
        </is>
      </c>
      <c r="I125" t="inlineStr">
        <is>
          <t>Main ORs - 3rd Floor</t>
        </is>
      </c>
      <c r="J125" t="inlineStr">
        <is>
          <t>OR 4</t>
        </is>
      </c>
      <c r="K125" t="inlineStr">
        <is>
          <t>n/a</t>
        </is>
      </c>
      <c r="L125" s="18" t="n">
        <v>46085</v>
      </c>
      <c r="M125" t="inlineStr">
        <is>
          <t>Neurons and Cybernets already deployed but off the domain and require peripherals: Mouse, Keyboard, Barcode Scanner, and Badge Scanner</t>
        </is>
      </c>
      <c r="S125" t="inlineStr">
        <is>
          <t>Pass</t>
        </is>
      </c>
      <c r="T125" t="inlineStr">
        <is>
          <t>breakaway cables</t>
        </is>
      </c>
      <c r="V125" t="inlineStr">
        <is>
          <t>WSY221OPR053</t>
        </is>
      </c>
      <c r="W125" t="inlineStr">
        <is>
          <t>MEDNG2425D-2547</t>
        </is>
      </c>
      <c r="X125" t="inlineStr">
        <is>
          <t>SY-MACH-N</t>
        </is>
      </c>
      <c r="Y125" t="inlineStr">
        <is>
          <t>A0F5097FF0E4</t>
        </is>
      </c>
      <c r="AB125" t="inlineStr">
        <is>
          <t>WA24406903</t>
        </is>
      </c>
      <c r="AI125" t="inlineStr">
        <is>
          <t>Anesthesia Machine</t>
        </is>
      </c>
      <c r="AM125" t="inlineStr">
        <is>
          <t>Drager</t>
        </is>
      </c>
      <c r="AN125" t="inlineStr">
        <is>
          <t>Fabius GS premium</t>
        </is>
      </c>
      <c r="AP125" t="inlineStr">
        <is>
          <t>8607000-33ASBC-0100</t>
        </is>
      </c>
      <c r="AQ125" t="inlineStr">
        <is>
          <t>8607000-33ASBC-0100</t>
        </is>
      </c>
      <c r="AS125" t="inlineStr">
        <is>
          <t>B1-CFW</t>
        </is>
      </c>
      <c r="AT125" t="inlineStr">
        <is>
          <t>B1-CFB</t>
        </is>
      </c>
      <c r="AU125" t="inlineStr">
        <is>
          <t>n/a</t>
        </is>
      </c>
      <c r="AV125" t="inlineStr">
        <is>
          <t>n/a</t>
        </is>
      </c>
      <c r="AW125" t="inlineStr">
        <is>
          <t>n/a</t>
        </is>
      </c>
      <c r="AX125" t="inlineStr">
        <is>
          <t>MX750 - 010088483808333221DE776742309086647191866471</t>
        </is>
      </c>
      <c r="AY125" t="inlineStr">
        <is>
          <t>Anesthesia Machine</t>
        </is>
      </c>
      <c r="BH125" t="n">
        <v>115200</v>
      </c>
      <c r="BI125" t="n">
        <v>9600</v>
      </c>
      <c r="BM125" t="inlineStr">
        <is>
          <t>N81</t>
        </is>
      </c>
      <c r="BN125" t="inlineStr">
        <is>
          <t>N81</t>
        </is>
      </c>
      <c r="BR125" t="inlineStr">
        <is>
          <t>Yes</t>
        </is>
      </c>
      <c r="BS125" t="inlineStr">
        <is>
          <t>Yes</t>
        </is>
      </c>
      <c r="BT125" t="inlineStr">
        <is>
          <t>Yes</t>
        </is>
      </c>
      <c r="BU125" t="inlineStr">
        <is>
          <t>Yes</t>
        </is>
      </c>
      <c r="CD125">
        <f>IF($Y125="","",IF((IF(AND($BR125&lt;&gt;"Yes",$BR125&lt;&gt;"N/A"),"Power Cable, ","")&amp;IF(AND($BS125&lt;&gt;"Yes",$BS125&lt;&gt;"N/A"),"Battery, ","")&amp;IF(AND($AD125&lt;&gt;"Yes",$AD125&lt;&gt;"N/A"),"Firmware Download, ","")&amp;IF(AND(OR($AD125="Yes",$AD125="N/A"),$AE125&lt;&gt;"Yes",$AE125&lt;&gt;"N/A"),"Firmware Install, ","")&amp;IF(AND($CB125&lt;&gt;"Yes",$CB125&lt;&gt;"N/A"),"Device ID, ","")&amp;IF(AND($CC125&lt;&gt;"Yes",$CC125&lt;&gt;"N/A"),"Epic Beans Relay, ",""))="","",LEFT(IF(AND($BR125&lt;&gt;"Yes",$BR125&lt;&gt;"N/A"),"Power Cable, ","")&amp;IF(AND($BS125&lt;&gt;"Yes",$BS125&lt;&gt;"N/A"),"Battery, ","")&amp;IF(AND($AD125&lt;&gt;"Yes",$AD125&lt;&gt;"N/A"),"Firmware Download, ","")&amp;IF(AND(OR($AD125="Yes",$AD125="N/A"),$AE125&lt;&gt;"Yes",$AE125&lt;&gt;"N/A"),"Firmware Install, ","")&amp;IF(AND($CB125&lt;&gt;"Yes",$CB125&lt;&gt;"N/A"),"Device ID, ","")&amp;IF(AND($CC125&lt;&gt;"Yes",$CC125&lt;&gt;"N/A"),"Epic Beans Relay, ",""),LEN(IF(AND($BR125&lt;&gt;"Yes",$BR125&lt;&gt;"N/A"),"Power Cable, ","")&amp;IF(AND($BS125&lt;&gt;"Yes",$BS125&lt;&gt;"N/A"),"Battery, ","")&amp;IF(AND($AD125&lt;&gt;"Yes",$AD125&lt;&gt;"N/A"),"Firmware Download, ","")&amp;IF(AND(OR($AD125="Yes",$AD125="N/A"),$AE125&lt;&gt;"Yes",$AE125&lt;&gt;"N/A"),"Firmware Install, ","")&amp;IF(AND($CB125&lt;&gt;"Yes",$CB125&lt;&gt;"N/A"),"Device ID, ","")&amp;IF(AND($CC125&lt;&gt;"Yes",$CC125&lt;&gt;"N/A"),"Epic Beans Relay, ",""))-2)))</f>
        <v/>
      </c>
      <c r="CE125">
        <f>IF($Y125="","",IF($CD125="","Yes","Blocked"))</f>
        <v/>
      </c>
      <c r="CF125" t="inlineStr">
        <is>
          <t>Yes</t>
        </is>
      </c>
      <c r="CG125" t="inlineStr">
        <is>
          <t>Yes</t>
        </is>
      </c>
      <c r="CH125" t="inlineStr">
        <is>
          <t>Yes</t>
        </is>
      </c>
      <c r="CI125" t="inlineStr">
        <is>
          <t>Yes</t>
        </is>
      </c>
      <c r="CJ125" t="inlineStr">
        <is>
          <t>Yes</t>
        </is>
      </c>
      <c r="CP125">
        <f>IF($CO125="","",IFERROR(VLOOKUP($CO125,'01_Warehouse_Ledger'!$A:$N,4,FALSE),""))</f>
        <v/>
      </c>
      <c r="CQ125">
        <f>IF($CO125="","",IFERROR(VLOOKUP($CO125,'01_Warehouse_Ledger'!$A:$N,5,FALSE),""))</f>
        <v/>
      </c>
      <c r="CR125">
        <f>IF($CO125="","",IFERROR(VLOOKUP($CO125,'01_Warehouse_Ledger'!$A:$N,13,FALSE),""))</f>
        <v/>
      </c>
      <c r="CW125">
        <f>IF($S125="","",IF(UPPER(TRIM($S125))&lt;&gt;"PASS","",IF(LEN(TRIM($BY125))&gt;0,"NOTES_PRESENT",IF(LEN(TRIM($T125))=0,"SET_NA",IF(OR(LOWER(TRIM($T125))="na",LOWER(TRIM($T125))="n/a"),"OK","MANUAL_OVERRIDE")))))</f>
        <v/>
      </c>
    </row>
    <row r="126">
      <c r="A126" t="inlineStr">
        <is>
          <t>Peripherals</t>
        </is>
      </c>
      <c r="B126" s="51" t="inlineStr">
        <is>
          <t>Yes</t>
        </is>
      </c>
      <c r="C126" t="inlineStr">
        <is>
          <t>Yes</t>
        </is>
      </c>
      <c r="D126">
        <f>IF($B126&lt;&gt;"Yes","",IF($C126="No","Yes",IF($C126="Yes","No","")))</f>
        <v/>
      </c>
      <c r="E126">
        <f>IF($A126="","",IF(OR(AND($V126&lt;&gt;"",LOWER(TRIM($V126))&lt;&gt;"n/a",LOWER(TRIM($V126))&lt;&gt;"na",SUMPRODUCT(--(UPPER(TRIM($V$2:$V$518))=UPPER(TRIM($V126))),--(TRIM($V$2:$V$518)&lt;&gt;""),--(LOWER(TRIM($V$2:$V$518))&lt;&gt;"n/a"),--(LOWER(TRIM($V$2:$V$518))&lt;&gt;"na"))&gt;1),AND($W126&lt;&gt;"",LOWER(TRIM($W126))&lt;&gt;"n/a",LOWER(TRIM($W126))&lt;&gt;"na",SUMPRODUCT(--(UPPER(TRIM($W$2:$W$518))=UPPER(TRIM($W126))),--(TRIM($W$2:$W$518)&lt;&gt;""),--(LOWER(TRIM($W$2:$W$518))&lt;&gt;"n/a"),--(LOWER(TRIM($W$2:$W$518))&lt;&gt;"na"))&gt;1),AND($X126&lt;&gt;"",LOWER(TRIM($X126))&lt;&gt;"n/a",LOWER(TRIM($X126))&lt;&gt;"na",SUMPRODUCT(--(UPPER(TRIM($X$2:$X$518))=UPPER(TRIM($X126))),--(TRIM($X$2:$X$518)&lt;&gt;""),--(LOWER(TRIM($X$2:$X$518))&lt;&gt;"n/a"),--(LOWER(TRIM($X$2:$X$518))&lt;&gt;"na"))&gt;1),AND($Y126&lt;&gt;"",LOWER(TRIM($Y126))&lt;&gt;"n/a",LOWER(TRIM($Y126))&lt;&gt;"na",SUMPRODUCT(--(UPPER(SUBSTITUTE(SUBSTITUTE(TRIM($Y$2:$Y$518),":",""),"-",""))=UPPER(SUBSTITUTE(SUBSTITUTE(TRIM($Y126),":",""),"-",""))),--(TRIM($Y$2:$Y$518)&lt;&gt;""),--(LOWER(TRIM($Y$2:$Y$518))&lt;&gt;"n/a"),--(LOWER(TRIM($Y$2:$Y$518))&lt;&gt;"na"))&gt;1),AND($AB126&lt;&gt;"",LOWER(TRIM($AB126))&lt;&gt;"n/a",LOWER(TRIM($AB126))&lt;&gt;"na",SUMPRODUCT(--(UPPER(TRIM($AB$2:$AB$518))=UPPER(TRIM($AB126))),--(TRIM($AB$2:$AB$518)&lt;&gt;""),--(LOWER(TRIM($AB$2:$AB$518))&lt;&gt;"n/a"),--(LOWER(TRIM($AB$2:$AB$518))&lt;&gt;"na"))&gt;1),AND($AH126&lt;&gt;"",LOWER(TRIM($AH126))&lt;&gt;"n/a",LOWER(TRIM($AH126))&lt;&gt;"na",SUMPRODUCT(--(UPPER(SUBSTITUTE(SUBSTITUTE(TRIM($AH$2:$AH$518),":",""),"-",""))=UPPER(SUBSTITUTE(SUBSTITUTE(TRIM($AH126),":",""),"-",""))),--(TRIM($AH$2:$AH$518)&lt;&gt;""),--(LOWER(TRIM($AH$2:$AH$518))&lt;&gt;"n/a"),--(LOWER(TRIM($AH$2:$AH$518))&lt;&gt;"na"))&gt;1),AND($AP126&lt;&gt;"",LOWER(TRIM($AP126))&lt;&gt;"n/a",LOWER(TRIM($AP126))&lt;&gt;"na",SUMPRODUCT(--(UPPER(TRIM($AP$2:$AP$518))=UPPER(TRIM($AP126))),--(TRIM($AP$2:$AP$518)&lt;&gt;""),--(LOWER(TRIM($AP$2:$AP$518))&lt;&gt;"n/a"),--(LOWER(TRIM($AP$2:$AP$518))&lt;&gt;"na"))&gt;1),AND($AQ126&lt;&gt;"",LOWER(TRIM($AQ126))&lt;&gt;"n/a",LOWER(TRIM($AQ126))&lt;&gt;"na",SUMPRODUCT(--(UPPER(TRIM($AQ$2:$AQ$518))=UPPER(TRIM($AQ126))),--(TRIM($AQ$2:$AQ$518)&lt;&gt;""),--(LOWER(TRIM($AQ$2:$AQ$518))&lt;&gt;"n/a"),--(LOWER(TRIM($AQ$2:$AQ$518))&lt;&gt;"na"))&gt;1)),"Yes","No"))</f>
        <v/>
      </c>
      <c r="F126">
        <f>IF(UPPER(TRIM($B126))&lt;&gt;"YES","", IF(OR(AND($V126&lt;&gt;"", LOWER(TRIM($V126))&lt;&gt;"n/a", LOWER(TRIM($V126))&lt;&gt;"na", SUMPRODUCT(--(UPPER(TRIM($V$2:$V$518))=UPPER(TRIM($V126))), --(UPPER(TRIM($B$2:$B$518))="YES"), --(UPPER(TRIM($G$2:$G$518)&amp;TRIM($I$2:$I$518)&amp;TRIM($J$2:$J$518))&lt;&gt;UPPER(TRIM($G126)&amp;TRIM($I126)&amp;TRIM($J126))))&gt;0), AND($W126&lt;&gt;"", LOWER(TRIM($W126))&lt;&gt;"n/a", LOWER(TRIM($W126))&lt;&gt;"na", SUMPRODUCT(--(UPPER(TRIM($W$2:$W$518))=UPPER(TRIM($W126))), --(UPPER(TRIM($B$2:$B$518))="YES"), --(UPPER(TRIM($G$2:$G$518)&amp;TRIM($I$2:$I$518)&amp;TRIM($J$2:$J$518))&lt;&gt;UPPER(TRIM($G126)&amp;TRIM($I126)&amp;TRIM($J126))))&gt;0), AND($X126&lt;&gt;"", LOWER(TRIM($X126))&lt;&gt;"n/a", LOWER(TRIM($X126))&lt;&gt;"na", SUMPRODUCT(--(UPPER(TRIM($X$2:$X$518))=UPPER(TRIM($X126))), --(UPPER(TRIM($B$2:$B$518))="YES"), --(UPPER(TRIM($G$2:$G$518)&amp;TRIM($I$2:$I$518)&amp;TRIM($J$2:$J$518))&lt;&gt;UPPER(TRIM($G126)&amp;TRIM($I126)&amp;TRIM($J126))))&gt;0), AND($Y126&lt;&gt;"", LOWER(TRIM($Y126))&lt;&gt;"n/a", LOWER(TRIM($Y126))&lt;&gt;"na", SUMPRODUCT(--(UPPER(SUBSTITUTE(SUBSTITUTE(TRIM($Y$2:$Y$518),":",""),"-",""))=UPPER(SUBSTITUTE(SUBSTITUTE(TRIM($Y126),":",""),"-",""))), --(UPPER(TRIM($B$2:$B$518))="YES"), --(UPPER(TRIM($G$2:$G$518)&amp;TRIM($I$2:$I$518)&amp;TRIM($J$2:$J$518))&lt;&gt;UPPER(TRIM($G126)&amp;TRIM($I126)&amp;TRIM($J126))))&gt;0), AND($AB126&lt;&gt;"", LOWER(TRIM($AB126))&lt;&gt;"n/a", LOWER(TRIM($AB126))&lt;&gt;"na", SUMPRODUCT(--(UPPER(TRIM($AB$2:$AB$518))=UPPER(TRIM($AB126))), --(UPPER(TRIM($B$2:$B$518))="YES"), --(UPPER(TRIM($G$2:$G$518)&amp;TRIM($I$2:$I$518)&amp;TRIM($J$2:$J$518))&lt;&gt;UPPER(TRIM($G126)&amp;TRIM($I126)&amp;TRIM($J126))))&gt;0), AND($AH126&lt;&gt;"", LOWER(TRIM($AH126))&lt;&gt;"n/a", LOWER(TRIM($AH126))&lt;&gt;"na", SUMPRODUCT(--(UPPER(SUBSTITUTE(SUBSTITUTE(TRIM($AH$2:$AH$518),":",""),"-",""))=UPPER(SUBSTITUTE(SUBSTITUTE(TRIM($AH126),":",""),"-",""))), --(UPPER(TRIM($B$2:$B$518))="YES"), --(UPPER(TRIM($G$2:$G$518)&amp;TRIM($I$2:$I$518)&amp;TRIM($J$2:$J$518))&lt;&gt;UPPER(TRIM($G126)&amp;TRIM($I126)&amp;TRIM($J126))))&gt;0), AND($AP126&lt;&gt;"", LOWER(TRIM($AP126))&lt;&gt;"n/a", LOWER(TRIM($AP126))&lt;&gt;"na", SUMPRODUCT(--(UPPER(TRIM($AP$2:$AP$518))=UPPER(TRIM($AP126))), --(UPPER(TRIM($B$2:$B$518))="YES"), --(UPPER(TRIM($G$2:$G$518)&amp;TRIM($I$2:$I$518)&amp;TRIM($J$2:$J$518))&lt;&gt;UPPER(TRIM($G126)&amp;TRIM($I126)&amp;TRIM($J126))))&gt;0), AND($AQ126&lt;&gt;"", LOWER(TRIM($AQ126))&lt;&gt;"n/a", LOWER(TRIM($AQ126))&lt;&gt;"na", SUMPRODUCT(--(UPPER(TRIM($AQ$2:$AQ$518))=UPPER(TRIM($AQ126))), --(UPPER(TRIM($B$2:$B$518))="YES"), --(UPPER(TRIM($G$2:$G$518)&amp;TRIM($I$2:$I$518)&amp;TRIM($J$2:$J$518))&lt;&gt;UPPER(TRIM($G126)&amp;TRIM($I126)&amp;TRIM($J126))))&gt;0)), "Yes", "No"))</f>
        <v/>
      </c>
      <c r="G126" t="inlineStr">
        <is>
          <t>Syosset Hospital</t>
        </is>
      </c>
      <c r="H126" t="inlineStr">
        <is>
          <t>Syosset Hospital</t>
        </is>
      </c>
      <c r="I126" t="inlineStr">
        <is>
          <t>2nd Floor - Pain Management</t>
        </is>
      </c>
      <c r="J126" t="inlineStr">
        <is>
          <t>Procedure Room 2</t>
        </is>
      </c>
      <c r="K126" t="inlineStr">
        <is>
          <t>n/a</t>
        </is>
      </c>
      <c r="L126" s="18" t="n">
        <v>46085</v>
      </c>
      <c r="M126" t="inlineStr">
        <is>
          <t>Neurons and Cybernets already deployed but off the domain and require peripherals: Mouse, Keyboard, Barcode Scanner, and Badge Scanner</t>
        </is>
      </c>
      <c r="S126" t="inlineStr">
        <is>
          <t>Pass</t>
        </is>
      </c>
      <c r="T126" t="inlineStr">
        <is>
          <t>breakaway cables</t>
        </is>
      </c>
      <c r="V126" t="inlineStr">
        <is>
          <t>WSY221OPR065</t>
        </is>
      </c>
      <c r="W126" t="inlineStr">
        <is>
          <t>MEDNG2425D-2545</t>
        </is>
      </c>
      <c r="X126" t="inlineStr">
        <is>
          <t>SY-MACH-D</t>
        </is>
      </c>
      <c r="Y126" t="inlineStr">
        <is>
          <t>A0F5097FEEAF</t>
        </is>
      </c>
      <c r="AB126" t="inlineStr">
        <is>
          <t>WA24406272</t>
        </is>
      </c>
      <c r="AD126" t="inlineStr">
        <is>
          <t>Yes</t>
        </is>
      </c>
      <c r="AE126" t="inlineStr">
        <is>
          <t>Yes</t>
        </is>
      </c>
      <c r="AI126" t="inlineStr">
        <is>
          <t>Anesthesia Machine</t>
        </is>
      </c>
      <c r="AM126" t="inlineStr">
        <is>
          <t>Drager</t>
        </is>
      </c>
      <c r="AN126" t="inlineStr">
        <is>
          <t>Fabius Tiro</t>
        </is>
      </c>
      <c r="AP126" t="inlineStr">
        <is>
          <t>8606000-84ASKB-0114</t>
        </is>
      </c>
      <c r="AQ126" t="inlineStr">
        <is>
          <t>8606000-84ASKB-0114</t>
        </is>
      </c>
      <c r="AS126" t="inlineStr">
        <is>
          <t>B1-CFW</t>
        </is>
      </c>
      <c r="AT126" t="inlineStr">
        <is>
          <t>B1-CFB</t>
        </is>
      </c>
      <c r="AU126" t="inlineStr">
        <is>
          <t>n/a</t>
        </is>
      </c>
      <c r="AV126" t="inlineStr">
        <is>
          <t>n/a</t>
        </is>
      </c>
      <c r="AW126" t="inlineStr">
        <is>
          <t>n/a</t>
        </is>
      </c>
      <c r="AX126" t="inlineStr">
        <is>
          <t>MX750-DE77674264</t>
        </is>
      </c>
      <c r="AY126" t="inlineStr">
        <is>
          <t>Anesthesia Machine</t>
        </is>
      </c>
      <c r="BH126" t="n">
        <v>115200</v>
      </c>
      <c r="BI126" t="n">
        <v>9600</v>
      </c>
      <c r="BM126" t="inlineStr">
        <is>
          <t>N81</t>
        </is>
      </c>
      <c r="BN126" t="inlineStr">
        <is>
          <t>N81</t>
        </is>
      </c>
      <c r="BR126" t="inlineStr">
        <is>
          <t>Yes</t>
        </is>
      </c>
      <c r="BS126" t="inlineStr">
        <is>
          <t>Yes</t>
        </is>
      </c>
      <c r="BT126" t="inlineStr">
        <is>
          <t>Yes</t>
        </is>
      </c>
      <c r="BU126" t="inlineStr">
        <is>
          <t>Yes</t>
        </is>
      </c>
      <c r="CD126">
        <f>IF($Y126="","",IF((IF(AND($BR126&lt;&gt;"Yes",$BR126&lt;&gt;"N/A"),"Power Cable, ","")&amp;IF(AND($BS126&lt;&gt;"Yes",$BS126&lt;&gt;"N/A"),"Battery, ","")&amp;IF(AND($AD126&lt;&gt;"Yes",$AD126&lt;&gt;"N/A"),"Firmware Download, ","")&amp;IF(AND(OR($AD126="Yes",$AD126="N/A"),$AE126&lt;&gt;"Yes",$AE126&lt;&gt;"N/A"),"Firmware Install, ","")&amp;IF(AND($CB126&lt;&gt;"Yes",$CB126&lt;&gt;"N/A"),"Device ID, ","")&amp;IF(AND($CC126&lt;&gt;"Yes",$CC126&lt;&gt;"N/A"),"Epic Beans Relay, ",""))="","",LEFT(IF(AND($BR126&lt;&gt;"Yes",$BR126&lt;&gt;"N/A"),"Power Cable, ","")&amp;IF(AND($BS126&lt;&gt;"Yes",$BS126&lt;&gt;"N/A"),"Battery, ","")&amp;IF(AND($AD126&lt;&gt;"Yes",$AD126&lt;&gt;"N/A"),"Firmware Download, ","")&amp;IF(AND(OR($AD126="Yes",$AD126="N/A"),$AE126&lt;&gt;"Yes",$AE126&lt;&gt;"N/A"),"Firmware Install, ","")&amp;IF(AND($CB126&lt;&gt;"Yes",$CB126&lt;&gt;"N/A"),"Device ID, ","")&amp;IF(AND($CC126&lt;&gt;"Yes",$CC126&lt;&gt;"N/A"),"Epic Beans Relay, ",""),LEN(IF(AND($BR126&lt;&gt;"Yes",$BR126&lt;&gt;"N/A"),"Power Cable, ","")&amp;IF(AND($BS126&lt;&gt;"Yes",$BS126&lt;&gt;"N/A"),"Battery, ","")&amp;IF(AND($AD126&lt;&gt;"Yes",$AD126&lt;&gt;"N/A"),"Firmware Download, ","")&amp;IF(AND(OR($AD126="Yes",$AD126="N/A"),$AE126&lt;&gt;"Yes",$AE126&lt;&gt;"N/A"),"Firmware Install, ","")&amp;IF(AND($CB126&lt;&gt;"Yes",$CB126&lt;&gt;"N/A"),"Device ID, ","")&amp;IF(AND($CC126&lt;&gt;"Yes",$CC126&lt;&gt;"N/A"),"Epic Beans Relay, ",""))-2)))</f>
        <v/>
      </c>
      <c r="CE126">
        <f>IF($Y126="","",IF($CD126="","Yes","Blocked"))</f>
        <v/>
      </c>
      <c r="CF126" t="inlineStr">
        <is>
          <t>Yes</t>
        </is>
      </c>
      <c r="CG126" t="inlineStr">
        <is>
          <t>Yes</t>
        </is>
      </c>
      <c r="CH126" t="inlineStr">
        <is>
          <t>Yes</t>
        </is>
      </c>
      <c r="CI126" t="inlineStr">
        <is>
          <t>Yes</t>
        </is>
      </c>
      <c r="CJ126" t="inlineStr">
        <is>
          <t>Yes</t>
        </is>
      </c>
      <c r="CP126">
        <f>IF($CO126="","",IFERROR(VLOOKUP($CO126,'01_Warehouse_Ledger'!$A:$N,4,FALSE),""))</f>
        <v/>
      </c>
      <c r="CQ126">
        <f>IF($CO126="","",IFERROR(VLOOKUP($CO126,'01_Warehouse_Ledger'!$A:$N,5,FALSE),""))</f>
        <v/>
      </c>
      <c r="CR126">
        <f>IF($CO126="","",IFERROR(VLOOKUP($CO126,'01_Warehouse_Ledger'!$A:$N,13,FALSE),""))</f>
        <v/>
      </c>
      <c r="CW126">
        <f>IF($S126="","",IF(UPPER(TRIM($S126))&lt;&gt;"PASS","",IF(LEN(TRIM($BY126))&gt;0,"NOTES_PRESENT",IF(LEN(TRIM($T126))=0,"SET_NA",IF(OR(LOWER(TRIM($T126))="na",LOWER(TRIM($T126))="n/a"),"OK","MANUAL_OVERRIDE")))))</f>
        <v/>
      </c>
    </row>
    <row r="127">
      <c r="A127" t="inlineStr">
        <is>
          <t>Peripherals</t>
        </is>
      </c>
      <c r="B127" s="51" t="inlineStr">
        <is>
          <t>Yes</t>
        </is>
      </c>
      <c r="C127" t="inlineStr">
        <is>
          <t>Yes</t>
        </is>
      </c>
      <c r="D127">
        <f>IF($B127&lt;&gt;"Yes","",IF($C127="No","Yes",IF($C127="Yes","No","")))</f>
        <v/>
      </c>
      <c r="E127">
        <f>IF($A127="","",IF(OR(AND($V127&lt;&gt;"",LOWER(TRIM($V127))&lt;&gt;"n/a",LOWER(TRIM($V127))&lt;&gt;"na",SUMPRODUCT(--(UPPER(TRIM($V$2:$V$518))=UPPER(TRIM($V127))),--(TRIM($V$2:$V$518)&lt;&gt;""),--(LOWER(TRIM($V$2:$V$518))&lt;&gt;"n/a"),--(LOWER(TRIM($V$2:$V$518))&lt;&gt;"na"))&gt;1),AND($W127&lt;&gt;"",LOWER(TRIM($W127))&lt;&gt;"n/a",LOWER(TRIM($W127))&lt;&gt;"na",SUMPRODUCT(--(UPPER(TRIM($W$2:$W$518))=UPPER(TRIM($W127))),--(TRIM($W$2:$W$518)&lt;&gt;""),--(LOWER(TRIM($W$2:$W$518))&lt;&gt;"n/a"),--(LOWER(TRIM($W$2:$W$518))&lt;&gt;"na"))&gt;1),AND($X127&lt;&gt;"",LOWER(TRIM($X127))&lt;&gt;"n/a",LOWER(TRIM($X127))&lt;&gt;"na",SUMPRODUCT(--(UPPER(TRIM($X$2:$X$518))=UPPER(TRIM($X127))),--(TRIM($X$2:$X$518)&lt;&gt;""),--(LOWER(TRIM($X$2:$X$518))&lt;&gt;"n/a"),--(LOWER(TRIM($X$2:$X$518))&lt;&gt;"na"))&gt;1),AND($Y127&lt;&gt;"",LOWER(TRIM($Y127))&lt;&gt;"n/a",LOWER(TRIM($Y127))&lt;&gt;"na",SUMPRODUCT(--(UPPER(SUBSTITUTE(SUBSTITUTE(TRIM($Y$2:$Y$518),":",""),"-",""))=UPPER(SUBSTITUTE(SUBSTITUTE(TRIM($Y127),":",""),"-",""))),--(TRIM($Y$2:$Y$518)&lt;&gt;""),--(LOWER(TRIM($Y$2:$Y$518))&lt;&gt;"n/a"),--(LOWER(TRIM($Y$2:$Y$518))&lt;&gt;"na"))&gt;1),AND($AB127&lt;&gt;"",LOWER(TRIM($AB127))&lt;&gt;"n/a",LOWER(TRIM($AB127))&lt;&gt;"na",SUMPRODUCT(--(UPPER(TRIM($AB$2:$AB$518))=UPPER(TRIM($AB127))),--(TRIM($AB$2:$AB$518)&lt;&gt;""),--(LOWER(TRIM($AB$2:$AB$518))&lt;&gt;"n/a"),--(LOWER(TRIM($AB$2:$AB$518))&lt;&gt;"na"))&gt;1),AND($AH127&lt;&gt;"",LOWER(TRIM($AH127))&lt;&gt;"n/a",LOWER(TRIM($AH127))&lt;&gt;"na",SUMPRODUCT(--(UPPER(SUBSTITUTE(SUBSTITUTE(TRIM($AH$2:$AH$518),":",""),"-",""))=UPPER(SUBSTITUTE(SUBSTITUTE(TRIM($AH127),":",""),"-",""))),--(TRIM($AH$2:$AH$518)&lt;&gt;""),--(LOWER(TRIM($AH$2:$AH$518))&lt;&gt;"n/a"),--(LOWER(TRIM($AH$2:$AH$518))&lt;&gt;"na"))&gt;1),AND($AP127&lt;&gt;"",LOWER(TRIM($AP127))&lt;&gt;"n/a",LOWER(TRIM($AP127))&lt;&gt;"na",SUMPRODUCT(--(UPPER(TRIM($AP$2:$AP$518))=UPPER(TRIM($AP127))),--(TRIM($AP$2:$AP$518)&lt;&gt;""),--(LOWER(TRIM($AP$2:$AP$518))&lt;&gt;"n/a"),--(LOWER(TRIM($AP$2:$AP$518))&lt;&gt;"na"))&gt;1),AND($AQ127&lt;&gt;"",LOWER(TRIM($AQ127))&lt;&gt;"n/a",LOWER(TRIM($AQ127))&lt;&gt;"na",SUMPRODUCT(--(UPPER(TRIM($AQ$2:$AQ$518))=UPPER(TRIM($AQ127))),--(TRIM($AQ$2:$AQ$518)&lt;&gt;""),--(LOWER(TRIM($AQ$2:$AQ$518))&lt;&gt;"n/a"),--(LOWER(TRIM($AQ$2:$AQ$518))&lt;&gt;"na"))&gt;1)),"Yes","No"))</f>
        <v/>
      </c>
      <c r="F127">
        <f>IF(UPPER(TRIM($B127))&lt;&gt;"YES","", IF(OR(AND($V127&lt;&gt;"", LOWER(TRIM($V127))&lt;&gt;"n/a", LOWER(TRIM($V127))&lt;&gt;"na", SUMPRODUCT(--(UPPER(TRIM($V$2:$V$518))=UPPER(TRIM($V127))), --(UPPER(TRIM($B$2:$B$518))="YES"), --(UPPER(TRIM($G$2:$G$518)&amp;TRIM($I$2:$I$518)&amp;TRIM($J$2:$J$518))&lt;&gt;UPPER(TRIM($G127)&amp;TRIM($I127)&amp;TRIM($J127))))&gt;0), AND($W127&lt;&gt;"", LOWER(TRIM($W127))&lt;&gt;"n/a", LOWER(TRIM($W127))&lt;&gt;"na", SUMPRODUCT(--(UPPER(TRIM($W$2:$W$518))=UPPER(TRIM($W127))), --(UPPER(TRIM($B$2:$B$518))="YES"), --(UPPER(TRIM($G$2:$G$518)&amp;TRIM($I$2:$I$518)&amp;TRIM($J$2:$J$518))&lt;&gt;UPPER(TRIM($G127)&amp;TRIM($I127)&amp;TRIM($J127))))&gt;0), AND($X127&lt;&gt;"", LOWER(TRIM($X127))&lt;&gt;"n/a", LOWER(TRIM($X127))&lt;&gt;"na", SUMPRODUCT(--(UPPER(TRIM($X$2:$X$518))=UPPER(TRIM($X127))), --(UPPER(TRIM($B$2:$B$518))="YES"), --(UPPER(TRIM($G$2:$G$518)&amp;TRIM($I$2:$I$518)&amp;TRIM($J$2:$J$518))&lt;&gt;UPPER(TRIM($G127)&amp;TRIM($I127)&amp;TRIM($J127))))&gt;0), AND($Y127&lt;&gt;"", LOWER(TRIM($Y127))&lt;&gt;"n/a", LOWER(TRIM($Y127))&lt;&gt;"na", SUMPRODUCT(--(UPPER(SUBSTITUTE(SUBSTITUTE(TRIM($Y$2:$Y$518),":",""),"-",""))=UPPER(SUBSTITUTE(SUBSTITUTE(TRIM($Y127),":",""),"-",""))), --(UPPER(TRIM($B$2:$B$518))="YES"), --(UPPER(TRIM($G$2:$G$518)&amp;TRIM($I$2:$I$518)&amp;TRIM($J$2:$J$518))&lt;&gt;UPPER(TRIM($G127)&amp;TRIM($I127)&amp;TRIM($J127))))&gt;0), AND($AB127&lt;&gt;"", LOWER(TRIM($AB127))&lt;&gt;"n/a", LOWER(TRIM($AB127))&lt;&gt;"na", SUMPRODUCT(--(UPPER(TRIM($AB$2:$AB$518))=UPPER(TRIM($AB127))), --(UPPER(TRIM($B$2:$B$518))="YES"), --(UPPER(TRIM($G$2:$G$518)&amp;TRIM($I$2:$I$518)&amp;TRIM($J$2:$J$518))&lt;&gt;UPPER(TRIM($G127)&amp;TRIM($I127)&amp;TRIM($J127))))&gt;0), AND($AH127&lt;&gt;"", LOWER(TRIM($AH127))&lt;&gt;"n/a", LOWER(TRIM($AH127))&lt;&gt;"na", SUMPRODUCT(--(UPPER(SUBSTITUTE(SUBSTITUTE(TRIM($AH$2:$AH$518),":",""),"-",""))=UPPER(SUBSTITUTE(SUBSTITUTE(TRIM($AH127),":",""),"-",""))), --(UPPER(TRIM($B$2:$B$518))="YES"), --(UPPER(TRIM($G$2:$G$518)&amp;TRIM($I$2:$I$518)&amp;TRIM($J$2:$J$518))&lt;&gt;UPPER(TRIM($G127)&amp;TRIM($I127)&amp;TRIM($J127))))&gt;0), AND($AP127&lt;&gt;"", LOWER(TRIM($AP127))&lt;&gt;"n/a", LOWER(TRIM($AP127))&lt;&gt;"na", SUMPRODUCT(--(UPPER(TRIM($AP$2:$AP$518))=UPPER(TRIM($AP127))), --(UPPER(TRIM($B$2:$B$518))="YES"), --(UPPER(TRIM($G$2:$G$518)&amp;TRIM($I$2:$I$518)&amp;TRIM($J$2:$J$518))&lt;&gt;UPPER(TRIM($G127)&amp;TRIM($I127)&amp;TRIM($J127))))&gt;0), AND($AQ127&lt;&gt;"", LOWER(TRIM($AQ127))&lt;&gt;"n/a", LOWER(TRIM($AQ127))&lt;&gt;"na", SUMPRODUCT(--(UPPER(TRIM($AQ$2:$AQ$518))=UPPER(TRIM($AQ127))), --(UPPER(TRIM($B$2:$B$518))="YES"), --(UPPER(TRIM($G$2:$G$518)&amp;TRIM($I$2:$I$518)&amp;TRIM($J$2:$J$518))&lt;&gt;UPPER(TRIM($G127)&amp;TRIM($I127)&amp;TRIM($J127))))&gt;0)), "Yes", "No"))</f>
        <v/>
      </c>
      <c r="G127" t="inlineStr">
        <is>
          <t>Syosset Hospital</t>
        </is>
      </c>
      <c r="H127" t="inlineStr">
        <is>
          <t>Syosset Hospital</t>
        </is>
      </c>
      <c r="I127" t="inlineStr">
        <is>
          <t>2nd Floor - Pain Management</t>
        </is>
      </c>
      <c r="J127" t="inlineStr">
        <is>
          <t xml:space="preserve">Procedure Room 1 </t>
        </is>
      </c>
      <c r="K127" t="inlineStr">
        <is>
          <t>n/a</t>
        </is>
      </c>
      <c r="L127" s="18" t="n">
        <v>46085</v>
      </c>
      <c r="M127" t="inlineStr">
        <is>
          <t>Neurons and Cybernets already deployed but off the domain and require peripherals: Mouse, Keyboard, Barcode Scanner, and Badge Scanner</t>
        </is>
      </c>
      <c r="S127" t="inlineStr">
        <is>
          <t>Pass</t>
        </is>
      </c>
      <c r="T127" t="inlineStr">
        <is>
          <t>breakaway cables</t>
        </is>
      </c>
      <c r="V127" t="inlineStr">
        <is>
          <t>WSY221OPR059</t>
        </is>
      </c>
      <c r="W127" t="inlineStr">
        <is>
          <t>MEDNG2425D-2726</t>
        </is>
      </c>
      <c r="X127" t="inlineStr">
        <is>
          <t>SY-MACH-A</t>
        </is>
      </c>
      <c r="Y127" t="inlineStr">
        <is>
          <t>A0F5097FDE5C</t>
        </is>
      </c>
      <c r="AB127" t="inlineStr">
        <is>
          <t>WA24406350</t>
        </is>
      </c>
      <c r="AI127" t="inlineStr">
        <is>
          <t>Anesthesia Machine</t>
        </is>
      </c>
      <c r="AM127" t="inlineStr">
        <is>
          <t>Drager</t>
        </is>
      </c>
      <c r="AN127" t="inlineStr">
        <is>
          <t xml:space="preserve">Fabius Tiro </t>
        </is>
      </c>
      <c r="AP127" t="inlineStr">
        <is>
          <t>8606000-84ASKB-0111</t>
        </is>
      </c>
      <c r="AQ127" t="inlineStr">
        <is>
          <t>8606000-84ASKB-0111</t>
        </is>
      </c>
      <c r="AS127" t="inlineStr">
        <is>
          <t>B1-CFW</t>
        </is>
      </c>
      <c r="AT127" t="inlineStr">
        <is>
          <t>B1-CFB</t>
        </is>
      </c>
      <c r="AU127" t="inlineStr">
        <is>
          <t>n/a</t>
        </is>
      </c>
      <c r="AV127" t="inlineStr">
        <is>
          <t>n/a</t>
        </is>
      </c>
      <c r="AW127" t="inlineStr">
        <is>
          <t>n/a</t>
        </is>
      </c>
      <c r="AX127" t="inlineStr">
        <is>
          <t>MX750-010088483808333221DE776743419086647191866471</t>
        </is>
      </c>
      <c r="AY127" t="inlineStr">
        <is>
          <t>Anesthesia Machine</t>
        </is>
      </c>
      <c r="BH127" t="n">
        <v>115200</v>
      </c>
      <c r="BI127" t="n">
        <v>9600</v>
      </c>
      <c r="BM127" t="inlineStr">
        <is>
          <t>N81</t>
        </is>
      </c>
      <c r="BN127" t="inlineStr">
        <is>
          <t>N81</t>
        </is>
      </c>
      <c r="BR127" t="inlineStr">
        <is>
          <t>Yes</t>
        </is>
      </c>
      <c r="BS127" t="inlineStr">
        <is>
          <t>Yes</t>
        </is>
      </c>
      <c r="BT127" t="inlineStr">
        <is>
          <t>Yes</t>
        </is>
      </c>
      <c r="BU127" t="inlineStr">
        <is>
          <t>Yes</t>
        </is>
      </c>
      <c r="CD127">
        <f>IF($Y127="","",IF((IF(AND($BR127&lt;&gt;"Yes",$BR127&lt;&gt;"N/A"),"Power Cable, ","")&amp;IF(AND($BS127&lt;&gt;"Yes",$BS127&lt;&gt;"N/A"),"Battery, ","")&amp;IF(AND($AD127&lt;&gt;"Yes",$AD127&lt;&gt;"N/A"),"Firmware Download, ","")&amp;IF(AND(OR($AD127="Yes",$AD127="N/A"),$AE127&lt;&gt;"Yes",$AE127&lt;&gt;"N/A"),"Firmware Install, ","")&amp;IF(AND($CB127&lt;&gt;"Yes",$CB127&lt;&gt;"N/A"),"Device ID, ","")&amp;IF(AND($CC127&lt;&gt;"Yes",$CC127&lt;&gt;"N/A"),"Epic Beans Relay, ",""))="","",LEFT(IF(AND($BR127&lt;&gt;"Yes",$BR127&lt;&gt;"N/A"),"Power Cable, ","")&amp;IF(AND($BS127&lt;&gt;"Yes",$BS127&lt;&gt;"N/A"),"Battery, ","")&amp;IF(AND($AD127&lt;&gt;"Yes",$AD127&lt;&gt;"N/A"),"Firmware Download, ","")&amp;IF(AND(OR($AD127="Yes",$AD127="N/A"),$AE127&lt;&gt;"Yes",$AE127&lt;&gt;"N/A"),"Firmware Install, ","")&amp;IF(AND($CB127&lt;&gt;"Yes",$CB127&lt;&gt;"N/A"),"Device ID, ","")&amp;IF(AND($CC127&lt;&gt;"Yes",$CC127&lt;&gt;"N/A"),"Epic Beans Relay, ",""),LEN(IF(AND($BR127&lt;&gt;"Yes",$BR127&lt;&gt;"N/A"),"Power Cable, ","")&amp;IF(AND($BS127&lt;&gt;"Yes",$BS127&lt;&gt;"N/A"),"Battery, ","")&amp;IF(AND($AD127&lt;&gt;"Yes",$AD127&lt;&gt;"N/A"),"Firmware Download, ","")&amp;IF(AND(OR($AD127="Yes",$AD127="N/A"),$AE127&lt;&gt;"Yes",$AE127&lt;&gt;"N/A"),"Firmware Install, ","")&amp;IF(AND($CB127&lt;&gt;"Yes",$CB127&lt;&gt;"N/A"),"Device ID, ","")&amp;IF(AND($CC127&lt;&gt;"Yes",$CC127&lt;&gt;"N/A"),"Epic Beans Relay, ",""))-2)))</f>
        <v/>
      </c>
      <c r="CE127">
        <f>IF($Y127="","",IF($CD127="","Yes","Blocked"))</f>
        <v/>
      </c>
      <c r="CF127" t="inlineStr">
        <is>
          <t>Yes</t>
        </is>
      </c>
      <c r="CG127" t="inlineStr">
        <is>
          <t>Yes</t>
        </is>
      </c>
      <c r="CH127" t="inlineStr">
        <is>
          <t>Yes</t>
        </is>
      </c>
      <c r="CI127" t="inlineStr">
        <is>
          <t>Yes</t>
        </is>
      </c>
      <c r="CJ127" t="inlineStr">
        <is>
          <t>Yes</t>
        </is>
      </c>
      <c r="CP127">
        <f>IF($CO127="","",IFERROR(VLOOKUP($CO127,'01_Warehouse_Ledger'!$A:$N,4,FALSE),""))</f>
        <v/>
      </c>
      <c r="CQ127">
        <f>IF($CO127="","",IFERROR(VLOOKUP($CO127,'01_Warehouse_Ledger'!$A:$N,5,FALSE),""))</f>
        <v/>
      </c>
      <c r="CR127">
        <f>IF($CO127="","",IFERROR(VLOOKUP($CO127,'01_Warehouse_Ledger'!$A:$N,13,FALSE),""))</f>
        <v/>
      </c>
      <c r="CW127">
        <f>IF($S127="","",IF(UPPER(TRIM($S127))&lt;&gt;"PASS","",IF(LEN(TRIM($BY127))&gt;0,"NOTES_PRESENT",IF(LEN(TRIM($T127))=0,"SET_NA",IF(OR(LOWER(TRIM($T127))="na",LOWER(TRIM($T127))="n/a"),"OK","MANUAL_OVERRIDE")))))</f>
        <v/>
      </c>
    </row>
    <row r="128">
      <c r="A128" t="inlineStr">
        <is>
          <t>Peripherals</t>
        </is>
      </c>
      <c r="B128" s="51" t="inlineStr">
        <is>
          <t>Yes</t>
        </is>
      </c>
      <c r="C128" t="inlineStr">
        <is>
          <t>Yes</t>
        </is>
      </c>
      <c r="D128">
        <f>IF($B128&lt;&gt;"Yes","",IF($C128="No","Yes",IF($C128="Yes","No","")))</f>
        <v/>
      </c>
      <c r="E128">
        <f>IF($A128="","",IF(OR(AND($V128&lt;&gt;"",LOWER(TRIM($V128))&lt;&gt;"n/a",LOWER(TRIM($V128))&lt;&gt;"na",SUMPRODUCT(--(UPPER(TRIM($V$2:$V$518))=UPPER(TRIM($V128))),--(TRIM($V$2:$V$518)&lt;&gt;""),--(LOWER(TRIM($V$2:$V$518))&lt;&gt;"n/a"),--(LOWER(TRIM($V$2:$V$518))&lt;&gt;"na"))&gt;1),AND($W128&lt;&gt;"",LOWER(TRIM($W128))&lt;&gt;"n/a",LOWER(TRIM($W128))&lt;&gt;"na",SUMPRODUCT(--(UPPER(TRIM($W$2:$W$518))=UPPER(TRIM($W128))),--(TRIM($W$2:$W$518)&lt;&gt;""),--(LOWER(TRIM($W$2:$W$518))&lt;&gt;"n/a"),--(LOWER(TRIM($W$2:$W$518))&lt;&gt;"na"))&gt;1),AND($X128&lt;&gt;"",LOWER(TRIM($X128))&lt;&gt;"n/a",LOWER(TRIM($X128))&lt;&gt;"na",SUMPRODUCT(--(UPPER(TRIM($X$2:$X$518))=UPPER(TRIM($X128))),--(TRIM($X$2:$X$518)&lt;&gt;""),--(LOWER(TRIM($X$2:$X$518))&lt;&gt;"n/a"),--(LOWER(TRIM($X$2:$X$518))&lt;&gt;"na"))&gt;1),AND($Y128&lt;&gt;"",LOWER(TRIM($Y128))&lt;&gt;"n/a",LOWER(TRIM($Y128))&lt;&gt;"na",SUMPRODUCT(--(UPPER(SUBSTITUTE(SUBSTITUTE(TRIM($Y$2:$Y$518),":",""),"-",""))=UPPER(SUBSTITUTE(SUBSTITUTE(TRIM($Y128),":",""),"-",""))),--(TRIM($Y$2:$Y$518)&lt;&gt;""),--(LOWER(TRIM($Y$2:$Y$518))&lt;&gt;"n/a"),--(LOWER(TRIM($Y$2:$Y$518))&lt;&gt;"na"))&gt;1),AND($AB128&lt;&gt;"",LOWER(TRIM($AB128))&lt;&gt;"n/a",LOWER(TRIM($AB128))&lt;&gt;"na",SUMPRODUCT(--(UPPER(TRIM($AB$2:$AB$518))=UPPER(TRIM($AB128))),--(TRIM($AB$2:$AB$518)&lt;&gt;""),--(LOWER(TRIM($AB$2:$AB$518))&lt;&gt;"n/a"),--(LOWER(TRIM($AB$2:$AB$518))&lt;&gt;"na"))&gt;1),AND($AH128&lt;&gt;"",LOWER(TRIM($AH128))&lt;&gt;"n/a",LOWER(TRIM($AH128))&lt;&gt;"na",SUMPRODUCT(--(UPPER(SUBSTITUTE(SUBSTITUTE(TRIM($AH$2:$AH$518),":",""),"-",""))=UPPER(SUBSTITUTE(SUBSTITUTE(TRIM($AH128),":",""),"-",""))),--(TRIM($AH$2:$AH$518)&lt;&gt;""),--(LOWER(TRIM($AH$2:$AH$518))&lt;&gt;"n/a"),--(LOWER(TRIM($AH$2:$AH$518))&lt;&gt;"na"))&gt;1),AND($AP128&lt;&gt;"",LOWER(TRIM($AP128))&lt;&gt;"n/a",LOWER(TRIM($AP128))&lt;&gt;"na",SUMPRODUCT(--(UPPER(TRIM($AP$2:$AP$518))=UPPER(TRIM($AP128))),--(TRIM($AP$2:$AP$518)&lt;&gt;""),--(LOWER(TRIM($AP$2:$AP$518))&lt;&gt;"n/a"),--(LOWER(TRIM($AP$2:$AP$518))&lt;&gt;"na"))&gt;1),AND($AQ128&lt;&gt;"",LOWER(TRIM($AQ128))&lt;&gt;"n/a",LOWER(TRIM($AQ128))&lt;&gt;"na",SUMPRODUCT(--(UPPER(TRIM($AQ$2:$AQ$518))=UPPER(TRIM($AQ128))),--(TRIM($AQ$2:$AQ$518)&lt;&gt;""),--(LOWER(TRIM($AQ$2:$AQ$518))&lt;&gt;"n/a"),--(LOWER(TRIM($AQ$2:$AQ$518))&lt;&gt;"na"))&gt;1)),"Yes","No"))</f>
        <v/>
      </c>
      <c r="F128">
        <f>IF(UPPER(TRIM($B128))&lt;&gt;"YES","", IF(OR(AND($V128&lt;&gt;"", LOWER(TRIM($V128))&lt;&gt;"n/a", LOWER(TRIM($V128))&lt;&gt;"na", SUMPRODUCT(--(UPPER(TRIM($V$2:$V$518))=UPPER(TRIM($V128))), --(UPPER(TRIM($B$2:$B$518))="YES"), --(UPPER(TRIM($G$2:$G$518)&amp;TRIM($I$2:$I$518)&amp;TRIM($J$2:$J$518))&lt;&gt;UPPER(TRIM($G128)&amp;TRIM($I128)&amp;TRIM($J128))))&gt;0), AND($W128&lt;&gt;"", LOWER(TRIM($W128))&lt;&gt;"n/a", LOWER(TRIM($W128))&lt;&gt;"na", SUMPRODUCT(--(UPPER(TRIM($W$2:$W$518))=UPPER(TRIM($W128))), --(UPPER(TRIM($B$2:$B$518))="YES"), --(UPPER(TRIM($G$2:$G$518)&amp;TRIM($I$2:$I$518)&amp;TRIM($J$2:$J$518))&lt;&gt;UPPER(TRIM($G128)&amp;TRIM($I128)&amp;TRIM($J128))))&gt;0), AND($X128&lt;&gt;"", LOWER(TRIM($X128))&lt;&gt;"n/a", LOWER(TRIM($X128))&lt;&gt;"na", SUMPRODUCT(--(UPPER(TRIM($X$2:$X$518))=UPPER(TRIM($X128))), --(UPPER(TRIM($B$2:$B$518))="YES"), --(UPPER(TRIM($G$2:$G$518)&amp;TRIM($I$2:$I$518)&amp;TRIM($J$2:$J$518))&lt;&gt;UPPER(TRIM($G128)&amp;TRIM($I128)&amp;TRIM($J128))))&gt;0), AND($Y128&lt;&gt;"", LOWER(TRIM($Y128))&lt;&gt;"n/a", LOWER(TRIM($Y128))&lt;&gt;"na", SUMPRODUCT(--(UPPER(SUBSTITUTE(SUBSTITUTE(TRIM($Y$2:$Y$518),":",""),"-",""))=UPPER(SUBSTITUTE(SUBSTITUTE(TRIM($Y128),":",""),"-",""))), --(UPPER(TRIM($B$2:$B$518))="YES"), --(UPPER(TRIM($G$2:$G$518)&amp;TRIM($I$2:$I$518)&amp;TRIM($J$2:$J$518))&lt;&gt;UPPER(TRIM($G128)&amp;TRIM($I128)&amp;TRIM($J128))))&gt;0), AND($AB128&lt;&gt;"", LOWER(TRIM($AB128))&lt;&gt;"n/a", LOWER(TRIM($AB128))&lt;&gt;"na", SUMPRODUCT(--(UPPER(TRIM($AB$2:$AB$518))=UPPER(TRIM($AB128))), --(UPPER(TRIM($B$2:$B$518))="YES"), --(UPPER(TRIM($G$2:$G$518)&amp;TRIM($I$2:$I$518)&amp;TRIM($J$2:$J$518))&lt;&gt;UPPER(TRIM($G128)&amp;TRIM($I128)&amp;TRIM($J128))))&gt;0), AND($AH128&lt;&gt;"", LOWER(TRIM($AH128))&lt;&gt;"n/a", LOWER(TRIM($AH128))&lt;&gt;"na", SUMPRODUCT(--(UPPER(SUBSTITUTE(SUBSTITUTE(TRIM($AH$2:$AH$518),":",""),"-",""))=UPPER(SUBSTITUTE(SUBSTITUTE(TRIM($AH128),":",""),"-",""))), --(UPPER(TRIM($B$2:$B$518))="YES"), --(UPPER(TRIM($G$2:$G$518)&amp;TRIM($I$2:$I$518)&amp;TRIM($J$2:$J$518))&lt;&gt;UPPER(TRIM($G128)&amp;TRIM($I128)&amp;TRIM($J128))))&gt;0), AND($AP128&lt;&gt;"", LOWER(TRIM($AP128))&lt;&gt;"n/a", LOWER(TRIM($AP128))&lt;&gt;"na", SUMPRODUCT(--(UPPER(TRIM($AP$2:$AP$518))=UPPER(TRIM($AP128))), --(UPPER(TRIM($B$2:$B$518))="YES"), --(UPPER(TRIM($G$2:$G$518)&amp;TRIM($I$2:$I$518)&amp;TRIM($J$2:$J$518))&lt;&gt;UPPER(TRIM($G128)&amp;TRIM($I128)&amp;TRIM($J128))))&gt;0), AND($AQ128&lt;&gt;"", LOWER(TRIM($AQ128))&lt;&gt;"n/a", LOWER(TRIM($AQ128))&lt;&gt;"na", SUMPRODUCT(--(UPPER(TRIM($AQ$2:$AQ$518))=UPPER(TRIM($AQ128))), --(UPPER(TRIM($B$2:$B$518))="YES"), --(UPPER(TRIM($G$2:$G$518)&amp;TRIM($I$2:$I$518)&amp;TRIM($J$2:$J$518))&lt;&gt;UPPER(TRIM($G128)&amp;TRIM($I128)&amp;TRIM($J128))))&gt;0)), "Yes", "No"))</f>
        <v/>
      </c>
      <c r="G128" t="inlineStr">
        <is>
          <t>Syosset Hospital</t>
        </is>
      </c>
      <c r="H128" t="inlineStr">
        <is>
          <t>Syosset Hospital</t>
        </is>
      </c>
      <c r="I128" t="inlineStr">
        <is>
          <t>3rd fl ORs Isolation Room</t>
        </is>
      </c>
      <c r="J128" t="inlineStr">
        <is>
          <t>Isolation Room</t>
        </is>
      </c>
      <c r="K128" t="inlineStr">
        <is>
          <t>n/a</t>
        </is>
      </c>
      <c r="L128" s="18" t="n">
        <v>46085</v>
      </c>
      <c r="M128" t="inlineStr">
        <is>
          <t>Neurons and Cybernets already deployed but off the domain and require peripherals: Mouse, Keyboard, Barcode Scanner, and Badge Scanner</t>
        </is>
      </c>
      <c r="S128" t="inlineStr">
        <is>
          <t>Pass</t>
        </is>
      </c>
      <c r="T128" t="inlineStr">
        <is>
          <t>breakaway cables</t>
        </is>
      </c>
      <c r="V128" t="inlineStr">
        <is>
          <t>WSY221OPR056</t>
        </is>
      </c>
      <c r="W128" t="inlineStr">
        <is>
          <t>MEDNG2425D-2601</t>
        </is>
      </c>
      <c r="X128" t="inlineStr">
        <is>
          <t>SY-MACH-H</t>
        </is>
      </c>
      <c r="Y128" t="inlineStr">
        <is>
          <t>A0F5097FE276</t>
        </is>
      </c>
      <c r="AB128" t="inlineStr">
        <is>
          <t>WA24406384</t>
        </is>
      </c>
      <c r="AI128" t="inlineStr">
        <is>
          <t>Anesthesia Machine</t>
        </is>
      </c>
      <c r="AM128" t="inlineStr">
        <is>
          <t>Drager</t>
        </is>
      </c>
      <c r="AN128" t="inlineStr">
        <is>
          <t xml:space="preserve">Fabius Tiro </t>
        </is>
      </c>
      <c r="AP128" t="inlineStr">
        <is>
          <t>01040486750414741117022821ASKB-0133938606000-84</t>
        </is>
      </c>
      <c r="AQ128" t="inlineStr">
        <is>
          <t>01040486750414741117022821ASKB-0133938606000-84</t>
        </is>
      </c>
      <c r="AS128" t="inlineStr">
        <is>
          <t>B1-CFW</t>
        </is>
      </c>
      <c r="AT128" t="inlineStr">
        <is>
          <t>B1-CFB</t>
        </is>
      </c>
      <c r="AU128" t="inlineStr">
        <is>
          <t>n/a</t>
        </is>
      </c>
      <c r="AV128" t="inlineStr">
        <is>
          <t>n/a</t>
        </is>
      </c>
      <c r="AW128" t="inlineStr">
        <is>
          <t>n/a</t>
        </is>
      </c>
      <c r="AX128" t="inlineStr">
        <is>
          <t>mx750 - 010088483808333221DE776730669086647191866471</t>
        </is>
      </c>
      <c r="AY128" t="inlineStr">
        <is>
          <t>Anesthesia Machine</t>
        </is>
      </c>
      <c r="BH128" t="n">
        <v>115200</v>
      </c>
      <c r="BI128" t="n">
        <v>9600</v>
      </c>
      <c r="BM128" t="inlineStr">
        <is>
          <t>N81</t>
        </is>
      </c>
      <c r="BN128" t="inlineStr">
        <is>
          <t>N81</t>
        </is>
      </c>
      <c r="BR128" t="inlineStr">
        <is>
          <t>Yes</t>
        </is>
      </c>
      <c r="BS128" t="inlineStr">
        <is>
          <t>Yes</t>
        </is>
      </c>
      <c r="BT128" t="inlineStr">
        <is>
          <t>Yes</t>
        </is>
      </c>
      <c r="BU128" t="inlineStr">
        <is>
          <t>Yes</t>
        </is>
      </c>
      <c r="CD128">
        <f>IF($Y128="","",IF((IF(AND($BR128&lt;&gt;"Yes",$BR128&lt;&gt;"N/A"),"Power Cable, ","")&amp;IF(AND($BS128&lt;&gt;"Yes",$BS128&lt;&gt;"N/A"),"Battery, ","")&amp;IF(AND($AD128&lt;&gt;"Yes",$AD128&lt;&gt;"N/A"),"Firmware Download, ","")&amp;IF(AND(OR($AD128="Yes",$AD128="N/A"),$AE128&lt;&gt;"Yes",$AE128&lt;&gt;"N/A"),"Firmware Install, ","")&amp;IF(AND($CB128&lt;&gt;"Yes",$CB128&lt;&gt;"N/A"),"Device ID, ","")&amp;IF(AND($CC128&lt;&gt;"Yes",$CC128&lt;&gt;"N/A"),"Epic Beans Relay, ",""))="","",LEFT(IF(AND($BR128&lt;&gt;"Yes",$BR128&lt;&gt;"N/A"),"Power Cable, ","")&amp;IF(AND($BS128&lt;&gt;"Yes",$BS128&lt;&gt;"N/A"),"Battery, ","")&amp;IF(AND($AD128&lt;&gt;"Yes",$AD128&lt;&gt;"N/A"),"Firmware Download, ","")&amp;IF(AND(OR($AD128="Yes",$AD128="N/A"),$AE128&lt;&gt;"Yes",$AE128&lt;&gt;"N/A"),"Firmware Install, ","")&amp;IF(AND($CB128&lt;&gt;"Yes",$CB128&lt;&gt;"N/A"),"Device ID, ","")&amp;IF(AND($CC128&lt;&gt;"Yes",$CC128&lt;&gt;"N/A"),"Epic Beans Relay, ",""),LEN(IF(AND($BR128&lt;&gt;"Yes",$BR128&lt;&gt;"N/A"),"Power Cable, ","")&amp;IF(AND($BS128&lt;&gt;"Yes",$BS128&lt;&gt;"N/A"),"Battery, ","")&amp;IF(AND($AD128&lt;&gt;"Yes",$AD128&lt;&gt;"N/A"),"Firmware Download, ","")&amp;IF(AND(OR($AD128="Yes",$AD128="N/A"),$AE128&lt;&gt;"Yes",$AE128&lt;&gt;"N/A"),"Firmware Install, ","")&amp;IF(AND($CB128&lt;&gt;"Yes",$CB128&lt;&gt;"N/A"),"Device ID, ","")&amp;IF(AND($CC128&lt;&gt;"Yes",$CC128&lt;&gt;"N/A"),"Epic Beans Relay, ",""))-2)))</f>
        <v/>
      </c>
      <c r="CE128">
        <f>IF($Y128="","",IF($CD128="","Yes","Blocked"))</f>
        <v/>
      </c>
      <c r="CF128" t="inlineStr">
        <is>
          <t>Yes</t>
        </is>
      </c>
      <c r="CG128" t="inlineStr">
        <is>
          <t>Yes</t>
        </is>
      </c>
      <c r="CH128" t="inlineStr">
        <is>
          <t>Yes</t>
        </is>
      </c>
      <c r="CI128" t="inlineStr">
        <is>
          <t>Yes</t>
        </is>
      </c>
      <c r="CJ128" t="inlineStr">
        <is>
          <t>Yes</t>
        </is>
      </c>
      <c r="CP128">
        <f>IF($CO128="","",IFERROR(VLOOKUP($CO128,'01_Warehouse_Ledger'!$A:$N,4,FALSE),""))</f>
        <v/>
      </c>
      <c r="CQ128">
        <f>IF($CO128="","",IFERROR(VLOOKUP($CO128,'01_Warehouse_Ledger'!$A:$N,5,FALSE),""))</f>
        <v/>
      </c>
      <c r="CR128">
        <f>IF($CO128="","",IFERROR(VLOOKUP($CO128,'01_Warehouse_Ledger'!$A:$N,13,FALSE),""))</f>
        <v/>
      </c>
      <c r="CW128">
        <f>IF($S128="","",IF(UPPER(TRIM($S128))&lt;&gt;"PASS","",IF(LEN(TRIM($BY128))&gt;0,"NOTES_PRESENT",IF(LEN(TRIM($T128))=0,"SET_NA",IF(OR(LOWER(TRIM($T128))="na",LOWER(TRIM($T128))="n/a"),"OK","MANUAL_OVERRIDE")))))</f>
        <v/>
      </c>
    </row>
    <row r="129">
      <c r="A129" t="inlineStr">
        <is>
          <t>Peripherals</t>
        </is>
      </c>
      <c r="B129" s="51" t="inlineStr">
        <is>
          <t>Yes</t>
        </is>
      </c>
      <c r="C129" t="inlineStr">
        <is>
          <t>Yes</t>
        </is>
      </c>
      <c r="D129">
        <f>IF($B129&lt;&gt;"Yes","",IF($C129="No","Yes",IF($C129="Yes","No","")))</f>
        <v/>
      </c>
      <c r="E129">
        <f>IF($A129="","",IF(OR(AND($V129&lt;&gt;"",LOWER(TRIM($V129))&lt;&gt;"n/a",LOWER(TRIM($V129))&lt;&gt;"na",SUMPRODUCT(--(UPPER(TRIM($V$2:$V$518))=UPPER(TRIM($V129))),--(TRIM($V$2:$V$518)&lt;&gt;""),--(LOWER(TRIM($V$2:$V$518))&lt;&gt;"n/a"),--(LOWER(TRIM($V$2:$V$518))&lt;&gt;"na"))&gt;1),AND($W129&lt;&gt;"",LOWER(TRIM($W129))&lt;&gt;"n/a",LOWER(TRIM($W129))&lt;&gt;"na",SUMPRODUCT(--(UPPER(TRIM($W$2:$W$518))=UPPER(TRIM($W129))),--(TRIM($W$2:$W$518)&lt;&gt;""),--(LOWER(TRIM($W$2:$W$518))&lt;&gt;"n/a"),--(LOWER(TRIM($W$2:$W$518))&lt;&gt;"na"))&gt;1),AND($X129&lt;&gt;"",LOWER(TRIM($X129))&lt;&gt;"n/a",LOWER(TRIM($X129))&lt;&gt;"na",SUMPRODUCT(--(UPPER(TRIM($X$2:$X$518))=UPPER(TRIM($X129))),--(TRIM($X$2:$X$518)&lt;&gt;""),--(LOWER(TRIM($X$2:$X$518))&lt;&gt;"n/a"),--(LOWER(TRIM($X$2:$X$518))&lt;&gt;"na"))&gt;1),AND($Y129&lt;&gt;"",LOWER(TRIM($Y129))&lt;&gt;"n/a",LOWER(TRIM($Y129))&lt;&gt;"na",SUMPRODUCT(--(UPPER(SUBSTITUTE(SUBSTITUTE(TRIM($Y$2:$Y$518),":",""),"-",""))=UPPER(SUBSTITUTE(SUBSTITUTE(TRIM($Y129),":",""),"-",""))),--(TRIM($Y$2:$Y$518)&lt;&gt;""),--(LOWER(TRIM($Y$2:$Y$518))&lt;&gt;"n/a"),--(LOWER(TRIM($Y$2:$Y$518))&lt;&gt;"na"))&gt;1),AND($AB129&lt;&gt;"",LOWER(TRIM($AB129))&lt;&gt;"n/a",LOWER(TRIM($AB129))&lt;&gt;"na",SUMPRODUCT(--(UPPER(TRIM($AB$2:$AB$518))=UPPER(TRIM($AB129))),--(TRIM($AB$2:$AB$518)&lt;&gt;""),--(LOWER(TRIM($AB$2:$AB$518))&lt;&gt;"n/a"),--(LOWER(TRIM($AB$2:$AB$518))&lt;&gt;"na"))&gt;1),AND($AH129&lt;&gt;"",LOWER(TRIM($AH129))&lt;&gt;"n/a",LOWER(TRIM($AH129))&lt;&gt;"na",SUMPRODUCT(--(UPPER(SUBSTITUTE(SUBSTITUTE(TRIM($AH$2:$AH$518),":",""),"-",""))=UPPER(SUBSTITUTE(SUBSTITUTE(TRIM($AH129),":",""),"-",""))),--(TRIM($AH$2:$AH$518)&lt;&gt;""),--(LOWER(TRIM($AH$2:$AH$518))&lt;&gt;"n/a"),--(LOWER(TRIM($AH$2:$AH$518))&lt;&gt;"na"))&gt;1),AND($AP129&lt;&gt;"",LOWER(TRIM($AP129))&lt;&gt;"n/a",LOWER(TRIM($AP129))&lt;&gt;"na",SUMPRODUCT(--(UPPER(TRIM($AP$2:$AP$518))=UPPER(TRIM($AP129))),--(TRIM($AP$2:$AP$518)&lt;&gt;""),--(LOWER(TRIM($AP$2:$AP$518))&lt;&gt;"n/a"),--(LOWER(TRIM($AP$2:$AP$518))&lt;&gt;"na"))&gt;1),AND($AQ129&lt;&gt;"",LOWER(TRIM($AQ129))&lt;&gt;"n/a",LOWER(TRIM($AQ129))&lt;&gt;"na",SUMPRODUCT(--(UPPER(TRIM($AQ$2:$AQ$518))=UPPER(TRIM($AQ129))),--(TRIM($AQ$2:$AQ$518)&lt;&gt;""),--(LOWER(TRIM($AQ$2:$AQ$518))&lt;&gt;"n/a"),--(LOWER(TRIM($AQ$2:$AQ$518))&lt;&gt;"na"))&gt;1)),"Yes","No"))</f>
        <v/>
      </c>
      <c r="F129">
        <f>IF(UPPER(TRIM($B129))&lt;&gt;"YES","", IF(OR(AND($V129&lt;&gt;"", LOWER(TRIM($V129))&lt;&gt;"n/a", LOWER(TRIM($V129))&lt;&gt;"na", SUMPRODUCT(--(UPPER(TRIM($V$2:$V$518))=UPPER(TRIM($V129))), --(UPPER(TRIM($B$2:$B$518))="YES"), --(UPPER(TRIM($G$2:$G$518)&amp;TRIM($I$2:$I$518)&amp;TRIM($J$2:$J$518))&lt;&gt;UPPER(TRIM($G129)&amp;TRIM($I129)&amp;TRIM($J129))))&gt;0), AND($W129&lt;&gt;"", LOWER(TRIM($W129))&lt;&gt;"n/a", LOWER(TRIM($W129))&lt;&gt;"na", SUMPRODUCT(--(UPPER(TRIM($W$2:$W$518))=UPPER(TRIM($W129))), --(UPPER(TRIM($B$2:$B$518))="YES"), --(UPPER(TRIM($G$2:$G$518)&amp;TRIM($I$2:$I$518)&amp;TRIM($J$2:$J$518))&lt;&gt;UPPER(TRIM($G129)&amp;TRIM($I129)&amp;TRIM($J129))))&gt;0), AND($X129&lt;&gt;"", LOWER(TRIM($X129))&lt;&gt;"n/a", LOWER(TRIM($X129))&lt;&gt;"na", SUMPRODUCT(--(UPPER(TRIM($X$2:$X$518))=UPPER(TRIM($X129))), --(UPPER(TRIM($B$2:$B$518))="YES"), --(UPPER(TRIM($G$2:$G$518)&amp;TRIM($I$2:$I$518)&amp;TRIM($J$2:$J$518))&lt;&gt;UPPER(TRIM($G129)&amp;TRIM($I129)&amp;TRIM($J129))))&gt;0), AND($Y129&lt;&gt;"", LOWER(TRIM($Y129))&lt;&gt;"n/a", LOWER(TRIM($Y129))&lt;&gt;"na", SUMPRODUCT(--(UPPER(SUBSTITUTE(SUBSTITUTE(TRIM($Y$2:$Y$518),":",""),"-",""))=UPPER(SUBSTITUTE(SUBSTITUTE(TRIM($Y129),":",""),"-",""))), --(UPPER(TRIM($B$2:$B$518))="YES"), --(UPPER(TRIM($G$2:$G$518)&amp;TRIM($I$2:$I$518)&amp;TRIM($J$2:$J$518))&lt;&gt;UPPER(TRIM($G129)&amp;TRIM($I129)&amp;TRIM($J129))))&gt;0), AND($AB129&lt;&gt;"", LOWER(TRIM($AB129))&lt;&gt;"n/a", LOWER(TRIM($AB129))&lt;&gt;"na", SUMPRODUCT(--(UPPER(TRIM($AB$2:$AB$518))=UPPER(TRIM($AB129))), --(UPPER(TRIM($B$2:$B$518))="YES"), --(UPPER(TRIM($G$2:$G$518)&amp;TRIM($I$2:$I$518)&amp;TRIM($J$2:$J$518))&lt;&gt;UPPER(TRIM($G129)&amp;TRIM($I129)&amp;TRIM($J129))))&gt;0), AND($AH129&lt;&gt;"", LOWER(TRIM($AH129))&lt;&gt;"n/a", LOWER(TRIM($AH129))&lt;&gt;"na", SUMPRODUCT(--(UPPER(SUBSTITUTE(SUBSTITUTE(TRIM($AH$2:$AH$518),":",""),"-",""))=UPPER(SUBSTITUTE(SUBSTITUTE(TRIM($AH129),":",""),"-",""))), --(UPPER(TRIM($B$2:$B$518))="YES"), --(UPPER(TRIM($G$2:$G$518)&amp;TRIM($I$2:$I$518)&amp;TRIM($J$2:$J$518))&lt;&gt;UPPER(TRIM($G129)&amp;TRIM($I129)&amp;TRIM($J129))))&gt;0), AND($AP129&lt;&gt;"", LOWER(TRIM($AP129))&lt;&gt;"n/a", LOWER(TRIM($AP129))&lt;&gt;"na", SUMPRODUCT(--(UPPER(TRIM($AP$2:$AP$518))=UPPER(TRIM($AP129))), --(UPPER(TRIM($B$2:$B$518))="YES"), --(UPPER(TRIM($G$2:$G$518)&amp;TRIM($I$2:$I$518)&amp;TRIM($J$2:$J$518))&lt;&gt;UPPER(TRIM($G129)&amp;TRIM($I129)&amp;TRIM($J129))))&gt;0), AND($AQ129&lt;&gt;"", LOWER(TRIM($AQ129))&lt;&gt;"n/a", LOWER(TRIM($AQ129))&lt;&gt;"na", SUMPRODUCT(--(UPPER(TRIM($AQ$2:$AQ$518))=UPPER(TRIM($AQ129))), --(UPPER(TRIM($B$2:$B$518))="YES"), --(UPPER(TRIM($G$2:$G$518)&amp;TRIM($I$2:$I$518)&amp;TRIM($J$2:$J$518))&lt;&gt;UPPER(TRIM($G129)&amp;TRIM($I129)&amp;TRIM($J129))))&gt;0)), "Yes", "No"))</f>
        <v/>
      </c>
      <c r="G129" t="inlineStr">
        <is>
          <t>LIJFH</t>
        </is>
      </c>
      <c r="H129" t="inlineStr">
        <is>
          <t>LIJFH</t>
        </is>
      </c>
      <c r="J129" t="inlineStr">
        <is>
          <t>1OR L&amp;D</t>
        </is>
      </c>
      <c r="K129" t="inlineStr">
        <is>
          <t>n/a</t>
        </is>
      </c>
      <c r="L129" s="18" t="n">
        <v>46083</v>
      </c>
      <c r="M129" t="inlineStr">
        <is>
          <t>Neurons and Cybernets already deployed but off the domain and require peripherals: Mouse, Keyboard, Barcode Scanner, and Badge Scanner</t>
        </is>
      </c>
      <c r="V129" t="inlineStr">
        <is>
          <t>WFH102OPR058</t>
        </is>
      </c>
      <c r="AI129" t="inlineStr">
        <is>
          <t>Anesthesia Machine</t>
        </is>
      </c>
      <c r="AP129" t="inlineStr">
        <is>
          <t>8606500-30ASAF-0177</t>
        </is>
      </c>
      <c r="AX129" t="inlineStr">
        <is>
          <t>PHILLIPS MX550 - DE7580BGKE</t>
        </is>
      </c>
      <c r="AY129" t="inlineStr">
        <is>
          <t>Draeger Apollo</t>
        </is>
      </c>
      <c r="CD129">
        <f>IF($Y129="","",IF((IF(AND($BR129&lt;&gt;"Yes",$BR129&lt;&gt;"N/A"),"Power Cable, ","")&amp;IF(AND($BS129&lt;&gt;"Yes",$BS129&lt;&gt;"N/A"),"Battery, ","")&amp;IF(AND($AD129&lt;&gt;"Yes",$AD129&lt;&gt;"N/A"),"Firmware Download, ","")&amp;IF(AND(OR($AD129="Yes",$AD129="N/A"),$AE129&lt;&gt;"Yes",$AE129&lt;&gt;"N/A"),"Firmware Install, ","")&amp;IF(AND($CB129&lt;&gt;"Yes",$CB129&lt;&gt;"N/A"),"Device ID, ","")&amp;IF(AND($CC129&lt;&gt;"Yes",$CC129&lt;&gt;"N/A"),"Epic Beans Relay, ",""))="","",LEFT(IF(AND($BR129&lt;&gt;"Yes",$BR129&lt;&gt;"N/A"),"Power Cable, ","")&amp;IF(AND($BS129&lt;&gt;"Yes",$BS129&lt;&gt;"N/A"),"Battery, ","")&amp;IF(AND($AD129&lt;&gt;"Yes",$AD129&lt;&gt;"N/A"),"Firmware Download, ","")&amp;IF(AND(OR($AD129="Yes",$AD129="N/A"),$AE129&lt;&gt;"Yes",$AE129&lt;&gt;"N/A"),"Firmware Install, ","")&amp;IF(AND($CB129&lt;&gt;"Yes",$CB129&lt;&gt;"N/A"),"Device ID, ","")&amp;IF(AND($CC129&lt;&gt;"Yes",$CC129&lt;&gt;"N/A"),"Epic Beans Relay, ",""),LEN(IF(AND($BR129&lt;&gt;"Yes",$BR129&lt;&gt;"N/A"),"Power Cable, ","")&amp;IF(AND($BS129&lt;&gt;"Yes",$BS129&lt;&gt;"N/A"),"Battery, ","")&amp;IF(AND($AD129&lt;&gt;"Yes",$AD129&lt;&gt;"N/A"),"Firmware Download, ","")&amp;IF(AND(OR($AD129="Yes",$AD129="N/A"),$AE129&lt;&gt;"Yes",$AE129&lt;&gt;"N/A"),"Firmware Install, ","")&amp;IF(AND($CB129&lt;&gt;"Yes",$CB129&lt;&gt;"N/A"),"Device ID, ","")&amp;IF(AND($CC129&lt;&gt;"Yes",$CC129&lt;&gt;"N/A"),"Epic Beans Relay, ",""))-2)))</f>
        <v/>
      </c>
      <c r="CE129">
        <f>IF($Y129="","",IF($CD129="","Yes","Blocked"))</f>
        <v/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P129">
        <f>IF($CO129="","",IFERROR(VLOOKUP($CO129,'01_Warehouse_Ledger'!$A:$N,4,FALSE),""))</f>
        <v/>
      </c>
      <c r="CQ129">
        <f>IF($CO129="","",IFERROR(VLOOKUP($CO129,'01_Warehouse_Ledger'!$A:$N,5,FALSE),""))</f>
        <v/>
      </c>
      <c r="CR129">
        <f>IF($CO129="","",IFERROR(VLOOKUP($CO129,'01_Warehouse_Ledger'!$A:$N,13,FALSE),""))</f>
        <v/>
      </c>
      <c r="CW129">
        <f>IF($S129="","",IF(UPPER(TRIM($S129))&lt;&gt;"PASS","",IF(LEN(TRIM($BY129))&gt;0,"NOTES_PRESENT",IF(LEN(TRIM($T129))=0,"SET_NA",IF(OR(LOWER(TRIM($T129))="na",LOWER(TRIM($T129))="n/a"),"OK","MANUAL_OVERRIDE")))))</f>
        <v/>
      </c>
    </row>
    <row r="130">
      <c r="A130" t="inlineStr">
        <is>
          <t>Peripherals</t>
        </is>
      </c>
      <c r="B130" s="51" t="inlineStr">
        <is>
          <t>Yes</t>
        </is>
      </c>
      <c r="C130" t="inlineStr">
        <is>
          <t>Yes</t>
        </is>
      </c>
      <c r="D130">
        <f>IF($B130&lt;&gt;"Yes","",IF($C130="No","Yes",IF($C130="Yes","No","")))</f>
        <v/>
      </c>
      <c r="E130">
        <f>IF($A130="","",IF(OR(AND($V130&lt;&gt;"",LOWER(TRIM($V130))&lt;&gt;"n/a",LOWER(TRIM($V130))&lt;&gt;"na",SUMPRODUCT(--(UPPER(TRIM($V$2:$V$518))=UPPER(TRIM($V130))),--(TRIM($V$2:$V$518)&lt;&gt;""),--(LOWER(TRIM($V$2:$V$518))&lt;&gt;"n/a"),--(LOWER(TRIM($V$2:$V$518))&lt;&gt;"na"))&gt;1),AND($W130&lt;&gt;"",LOWER(TRIM($W130))&lt;&gt;"n/a",LOWER(TRIM($W130))&lt;&gt;"na",SUMPRODUCT(--(UPPER(TRIM($W$2:$W$518))=UPPER(TRIM($W130))),--(TRIM($W$2:$W$518)&lt;&gt;""),--(LOWER(TRIM($W$2:$W$518))&lt;&gt;"n/a"),--(LOWER(TRIM($W$2:$W$518))&lt;&gt;"na"))&gt;1),AND($X130&lt;&gt;"",LOWER(TRIM($X130))&lt;&gt;"n/a",LOWER(TRIM($X130))&lt;&gt;"na",SUMPRODUCT(--(UPPER(TRIM($X$2:$X$518))=UPPER(TRIM($X130))),--(TRIM($X$2:$X$518)&lt;&gt;""),--(LOWER(TRIM($X$2:$X$518))&lt;&gt;"n/a"),--(LOWER(TRIM($X$2:$X$518))&lt;&gt;"na"))&gt;1),AND($Y130&lt;&gt;"",LOWER(TRIM($Y130))&lt;&gt;"n/a",LOWER(TRIM($Y130))&lt;&gt;"na",SUMPRODUCT(--(UPPER(SUBSTITUTE(SUBSTITUTE(TRIM($Y$2:$Y$518),":",""),"-",""))=UPPER(SUBSTITUTE(SUBSTITUTE(TRIM($Y130),":",""),"-",""))),--(TRIM($Y$2:$Y$518)&lt;&gt;""),--(LOWER(TRIM($Y$2:$Y$518))&lt;&gt;"n/a"),--(LOWER(TRIM($Y$2:$Y$518))&lt;&gt;"na"))&gt;1),AND($AB130&lt;&gt;"",LOWER(TRIM($AB130))&lt;&gt;"n/a",LOWER(TRIM($AB130))&lt;&gt;"na",SUMPRODUCT(--(UPPER(TRIM($AB$2:$AB$518))=UPPER(TRIM($AB130))),--(TRIM($AB$2:$AB$518)&lt;&gt;""),--(LOWER(TRIM($AB$2:$AB$518))&lt;&gt;"n/a"),--(LOWER(TRIM($AB$2:$AB$518))&lt;&gt;"na"))&gt;1),AND($AH130&lt;&gt;"",LOWER(TRIM($AH130))&lt;&gt;"n/a",LOWER(TRIM($AH130))&lt;&gt;"na",SUMPRODUCT(--(UPPER(SUBSTITUTE(SUBSTITUTE(TRIM($AH$2:$AH$518),":",""),"-",""))=UPPER(SUBSTITUTE(SUBSTITUTE(TRIM($AH130),":",""),"-",""))),--(TRIM($AH$2:$AH$518)&lt;&gt;""),--(LOWER(TRIM($AH$2:$AH$518))&lt;&gt;"n/a"),--(LOWER(TRIM($AH$2:$AH$518))&lt;&gt;"na"))&gt;1),AND($AP130&lt;&gt;"",LOWER(TRIM($AP130))&lt;&gt;"n/a",LOWER(TRIM($AP130))&lt;&gt;"na",SUMPRODUCT(--(UPPER(TRIM($AP$2:$AP$518))=UPPER(TRIM($AP130))),--(TRIM($AP$2:$AP$518)&lt;&gt;""),--(LOWER(TRIM($AP$2:$AP$518))&lt;&gt;"n/a"),--(LOWER(TRIM($AP$2:$AP$518))&lt;&gt;"na"))&gt;1),AND($AQ130&lt;&gt;"",LOWER(TRIM($AQ130))&lt;&gt;"n/a",LOWER(TRIM($AQ130))&lt;&gt;"na",SUMPRODUCT(--(UPPER(TRIM($AQ$2:$AQ$518))=UPPER(TRIM($AQ130))),--(TRIM($AQ$2:$AQ$518)&lt;&gt;""),--(LOWER(TRIM($AQ$2:$AQ$518))&lt;&gt;"n/a"),--(LOWER(TRIM($AQ$2:$AQ$518))&lt;&gt;"na"))&gt;1)),"Yes","No"))</f>
        <v/>
      </c>
      <c r="F130">
        <f>IF(UPPER(TRIM($B130))&lt;&gt;"YES","", IF(OR(AND($V130&lt;&gt;"", LOWER(TRIM($V130))&lt;&gt;"n/a", LOWER(TRIM($V130))&lt;&gt;"na", SUMPRODUCT(--(UPPER(TRIM($V$2:$V$518))=UPPER(TRIM($V130))), --(UPPER(TRIM($B$2:$B$518))="YES"), --(UPPER(TRIM($G$2:$G$518)&amp;TRIM($I$2:$I$518)&amp;TRIM($J$2:$J$518))&lt;&gt;UPPER(TRIM($G130)&amp;TRIM($I130)&amp;TRIM($J130))))&gt;0), AND($W130&lt;&gt;"", LOWER(TRIM($W130))&lt;&gt;"n/a", LOWER(TRIM($W130))&lt;&gt;"na", SUMPRODUCT(--(UPPER(TRIM($W$2:$W$518))=UPPER(TRIM($W130))), --(UPPER(TRIM($B$2:$B$518))="YES"), --(UPPER(TRIM($G$2:$G$518)&amp;TRIM($I$2:$I$518)&amp;TRIM($J$2:$J$518))&lt;&gt;UPPER(TRIM($G130)&amp;TRIM($I130)&amp;TRIM($J130))))&gt;0), AND($X130&lt;&gt;"", LOWER(TRIM($X130))&lt;&gt;"n/a", LOWER(TRIM($X130))&lt;&gt;"na", SUMPRODUCT(--(UPPER(TRIM($X$2:$X$518))=UPPER(TRIM($X130))), --(UPPER(TRIM($B$2:$B$518))="YES"), --(UPPER(TRIM($G$2:$G$518)&amp;TRIM($I$2:$I$518)&amp;TRIM($J$2:$J$518))&lt;&gt;UPPER(TRIM($G130)&amp;TRIM($I130)&amp;TRIM($J130))))&gt;0), AND($Y130&lt;&gt;"", LOWER(TRIM($Y130))&lt;&gt;"n/a", LOWER(TRIM($Y130))&lt;&gt;"na", SUMPRODUCT(--(UPPER(SUBSTITUTE(SUBSTITUTE(TRIM($Y$2:$Y$518),":",""),"-",""))=UPPER(SUBSTITUTE(SUBSTITUTE(TRIM($Y130),":",""),"-",""))), --(UPPER(TRIM($B$2:$B$518))="YES"), --(UPPER(TRIM($G$2:$G$518)&amp;TRIM($I$2:$I$518)&amp;TRIM($J$2:$J$518))&lt;&gt;UPPER(TRIM($G130)&amp;TRIM($I130)&amp;TRIM($J130))))&gt;0), AND($AB130&lt;&gt;"", LOWER(TRIM($AB130))&lt;&gt;"n/a", LOWER(TRIM($AB130))&lt;&gt;"na", SUMPRODUCT(--(UPPER(TRIM($AB$2:$AB$518))=UPPER(TRIM($AB130))), --(UPPER(TRIM($B$2:$B$518))="YES"), --(UPPER(TRIM($G$2:$G$518)&amp;TRIM($I$2:$I$518)&amp;TRIM($J$2:$J$518))&lt;&gt;UPPER(TRIM($G130)&amp;TRIM($I130)&amp;TRIM($J130))))&gt;0), AND($AH130&lt;&gt;"", LOWER(TRIM($AH130))&lt;&gt;"n/a", LOWER(TRIM($AH130))&lt;&gt;"na", SUMPRODUCT(--(UPPER(SUBSTITUTE(SUBSTITUTE(TRIM($AH$2:$AH$518),":",""),"-",""))=UPPER(SUBSTITUTE(SUBSTITUTE(TRIM($AH130),":",""),"-",""))), --(UPPER(TRIM($B$2:$B$518))="YES"), --(UPPER(TRIM($G$2:$G$518)&amp;TRIM($I$2:$I$518)&amp;TRIM($J$2:$J$518))&lt;&gt;UPPER(TRIM($G130)&amp;TRIM($I130)&amp;TRIM($J130))))&gt;0), AND($AP130&lt;&gt;"", LOWER(TRIM($AP130))&lt;&gt;"n/a", LOWER(TRIM($AP130))&lt;&gt;"na", SUMPRODUCT(--(UPPER(TRIM($AP$2:$AP$518))=UPPER(TRIM($AP130))), --(UPPER(TRIM($B$2:$B$518))="YES"), --(UPPER(TRIM($G$2:$G$518)&amp;TRIM($I$2:$I$518)&amp;TRIM($J$2:$J$518))&lt;&gt;UPPER(TRIM($G130)&amp;TRIM($I130)&amp;TRIM($J130))))&gt;0), AND($AQ130&lt;&gt;"", LOWER(TRIM($AQ130))&lt;&gt;"n/a", LOWER(TRIM($AQ130))&lt;&gt;"na", SUMPRODUCT(--(UPPER(TRIM($AQ$2:$AQ$518))=UPPER(TRIM($AQ130))), --(UPPER(TRIM($B$2:$B$518))="YES"), --(UPPER(TRIM($G$2:$G$518)&amp;TRIM($I$2:$I$518)&amp;TRIM($J$2:$J$518))&lt;&gt;UPPER(TRIM($G130)&amp;TRIM($I130)&amp;TRIM($J130))))&gt;0)), "Yes", "No"))</f>
        <v/>
      </c>
      <c r="G130" t="inlineStr">
        <is>
          <t>LIJFH</t>
        </is>
      </c>
      <c r="H130" t="inlineStr">
        <is>
          <t>LIJFH</t>
        </is>
      </c>
      <c r="J130" t="inlineStr">
        <is>
          <t>7th Floor - OR 4</t>
        </is>
      </c>
      <c r="K130" t="inlineStr">
        <is>
          <t>n/a</t>
        </is>
      </c>
      <c r="L130" s="18" t="n">
        <v>46083</v>
      </c>
      <c r="M130" t="inlineStr">
        <is>
          <t>Neurons and Cybernets already deployed but off the domain and require peripherals: Mouse, Keyboard, Barcode Scanner, and Badge Scanner</t>
        </is>
      </c>
      <c r="V130" t="inlineStr">
        <is>
          <t>WHH102OPR054</t>
        </is>
      </c>
      <c r="W130" t="inlineStr">
        <is>
          <t>MEDNG2425D-2730</t>
        </is>
      </c>
      <c r="X130" t="inlineStr">
        <is>
          <t>LFH-MACH-C</t>
        </is>
      </c>
      <c r="Y130" t="inlineStr">
        <is>
          <t>A0F5097FA2E8</t>
        </is>
      </c>
      <c r="AB130" t="inlineStr">
        <is>
          <t>WA23C03767</t>
        </is>
      </c>
      <c r="AI130" t="inlineStr">
        <is>
          <t>Anesthesia Machine</t>
        </is>
      </c>
      <c r="AK130" t="n">
        <v>2</v>
      </c>
      <c r="AP130" t="inlineStr">
        <is>
          <t>01040486752536001116110821ASJL-013193MK06000-33</t>
        </is>
      </c>
      <c r="AX130" t="inlineStr">
        <is>
          <t>PHILLIPS MX550 - DE7580BL1C</t>
        </is>
      </c>
      <c r="AY130" t="inlineStr">
        <is>
          <t>APOLLO</t>
        </is>
      </c>
      <c r="CD130">
        <f>IF($Y130="","",IF((IF(AND($BR130&lt;&gt;"Yes",$BR130&lt;&gt;"N/A"),"Power Cable, ","")&amp;IF(AND($BS130&lt;&gt;"Yes",$BS130&lt;&gt;"N/A"),"Battery, ","")&amp;IF(AND($AD130&lt;&gt;"Yes",$AD130&lt;&gt;"N/A"),"Firmware Download, ","")&amp;IF(AND(OR($AD130="Yes",$AD130="N/A"),$AE130&lt;&gt;"Yes",$AE130&lt;&gt;"N/A"),"Firmware Install, ","")&amp;IF(AND($CB130&lt;&gt;"Yes",$CB130&lt;&gt;"N/A"),"Device ID, ","")&amp;IF(AND($CC130&lt;&gt;"Yes",$CC130&lt;&gt;"N/A"),"Epic Beans Relay, ",""))="","",LEFT(IF(AND($BR130&lt;&gt;"Yes",$BR130&lt;&gt;"N/A"),"Power Cable, ","")&amp;IF(AND($BS130&lt;&gt;"Yes",$BS130&lt;&gt;"N/A"),"Battery, ","")&amp;IF(AND($AD130&lt;&gt;"Yes",$AD130&lt;&gt;"N/A"),"Firmware Download, ","")&amp;IF(AND(OR($AD130="Yes",$AD130="N/A"),$AE130&lt;&gt;"Yes",$AE130&lt;&gt;"N/A"),"Firmware Install, ","")&amp;IF(AND($CB130&lt;&gt;"Yes",$CB130&lt;&gt;"N/A"),"Device ID, ","")&amp;IF(AND($CC130&lt;&gt;"Yes",$CC130&lt;&gt;"N/A"),"Epic Beans Relay, ",""),LEN(IF(AND($BR130&lt;&gt;"Yes",$BR130&lt;&gt;"N/A"),"Power Cable, ","")&amp;IF(AND($BS130&lt;&gt;"Yes",$BS130&lt;&gt;"N/A"),"Battery, ","")&amp;IF(AND($AD130&lt;&gt;"Yes",$AD130&lt;&gt;"N/A"),"Firmware Download, ","")&amp;IF(AND(OR($AD130="Yes",$AD130="N/A"),$AE130&lt;&gt;"Yes",$AE130&lt;&gt;"N/A"),"Firmware Install, ","")&amp;IF(AND($CB130&lt;&gt;"Yes",$CB130&lt;&gt;"N/A"),"Device ID, ","")&amp;IF(AND($CC130&lt;&gt;"Yes",$CC130&lt;&gt;"N/A"),"Epic Beans Relay, ",""))-2)))</f>
        <v/>
      </c>
      <c r="CE130">
        <f>IF($Y130="","",IF($CD130="","Yes","Blocked"))</f>
        <v/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P130">
        <f>IF($CO130="","",IFERROR(VLOOKUP($CO130,'01_Warehouse_Ledger'!$A:$N,4,FALSE),""))</f>
        <v/>
      </c>
      <c r="CQ130">
        <f>IF($CO130="","",IFERROR(VLOOKUP($CO130,'01_Warehouse_Ledger'!$A:$N,5,FALSE),""))</f>
        <v/>
      </c>
      <c r="CR130">
        <f>IF($CO130="","",IFERROR(VLOOKUP($CO130,'01_Warehouse_Ledger'!$A:$N,13,FALSE),""))</f>
        <v/>
      </c>
      <c r="CW130">
        <f>IF($S130="","",IF(UPPER(TRIM($S130))&lt;&gt;"PASS","",IF(LEN(TRIM($BY130))&gt;0,"NOTES_PRESENT",IF(LEN(TRIM($T130))=0,"SET_NA",IF(OR(LOWER(TRIM($T130))="na",LOWER(TRIM($T130))="n/a"),"OK","MANUAL_OVERRIDE")))))</f>
        <v/>
      </c>
    </row>
    <row r="131">
      <c r="A131" t="inlineStr">
        <is>
          <t>Peripherals</t>
        </is>
      </c>
      <c r="B131" s="51" t="inlineStr">
        <is>
          <t>Yes</t>
        </is>
      </c>
      <c r="C131" t="inlineStr">
        <is>
          <t>Yes</t>
        </is>
      </c>
      <c r="D131">
        <f>IF($B131&lt;&gt;"Yes","",IF($C131="No","Yes",IF($C131="Yes","No","")))</f>
        <v/>
      </c>
      <c r="E131">
        <f>IF($A131="","",IF(OR(AND($V131&lt;&gt;"",LOWER(TRIM($V131))&lt;&gt;"n/a",LOWER(TRIM($V131))&lt;&gt;"na",SUMPRODUCT(--(UPPER(TRIM($V$2:$V$518))=UPPER(TRIM($V131))),--(TRIM($V$2:$V$518)&lt;&gt;""),--(LOWER(TRIM($V$2:$V$518))&lt;&gt;"n/a"),--(LOWER(TRIM($V$2:$V$518))&lt;&gt;"na"))&gt;1),AND($W131&lt;&gt;"",LOWER(TRIM($W131))&lt;&gt;"n/a",LOWER(TRIM($W131))&lt;&gt;"na",SUMPRODUCT(--(UPPER(TRIM($W$2:$W$518))=UPPER(TRIM($W131))),--(TRIM($W$2:$W$518)&lt;&gt;""),--(LOWER(TRIM($W$2:$W$518))&lt;&gt;"n/a"),--(LOWER(TRIM($W$2:$W$518))&lt;&gt;"na"))&gt;1),AND($X131&lt;&gt;"",LOWER(TRIM($X131))&lt;&gt;"n/a",LOWER(TRIM($X131))&lt;&gt;"na",SUMPRODUCT(--(UPPER(TRIM($X$2:$X$518))=UPPER(TRIM($X131))),--(TRIM($X$2:$X$518)&lt;&gt;""),--(LOWER(TRIM($X$2:$X$518))&lt;&gt;"n/a"),--(LOWER(TRIM($X$2:$X$518))&lt;&gt;"na"))&gt;1),AND($Y131&lt;&gt;"",LOWER(TRIM($Y131))&lt;&gt;"n/a",LOWER(TRIM($Y131))&lt;&gt;"na",SUMPRODUCT(--(UPPER(SUBSTITUTE(SUBSTITUTE(TRIM($Y$2:$Y$518),":",""),"-",""))=UPPER(SUBSTITUTE(SUBSTITUTE(TRIM($Y131),":",""),"-",""))),--(TRIM($Y$2:$Y$518)&lt;&gt;""),--(LOWER(TRIM($Y$2:$Y$518))&lt;&gt;"n/a"),--(LOWER(TRIM($Y$2:$Y$518))&lt;&gt;"na"))&gt;1),AND($AB131&lt;&gt;"",LOWER(TRIM($AB131))&lt;&gt;"n/a",LOWER(TRIM($AB131))&lt;&gt;"na",SUMPRODUCT(--(UPPER(TRIM($AB$2:$AB$518))=UPPER(TRIM($AB131))),--(TRIM($AB$2:$AB$518)&lt;&gt;""),--(LOWER(TRIM($AB$2:$AB$518))&lt;&gt;"n/a"),--(LOWER(TRIM($AB$2:$AB$518))&lt;&gt;"na"))&gt;1),AND($AH131&lt;&gt;"",LOWER(TRIM($AH131))&lt;&gt;"n/a",LOWER(TRIM($AH131))&lt;&gt;"na",SUMPRODUCT(--(UPPER(SUBSTITUTE(SUBSTITUTE(TRIM($AH$2:$AH$518),":",""),"-",""))=UPPER(SUBSTITUTE(SUBSTITUTE(TRIM($AH131),":",""),"-",""))),--(TRIM($AH$2:$AH$518)&lt;&gt;""),--(LOWER(TRIM($AH$2:$AH$518))&lt;&gt;"n/a"),--(LOWER(TRIM($AH$2:$AH$518))&lt;&gt;"na"))&gt;1),AND($AP131&lt;&gt;"",LOWER(TRIM($AP131))&lt;&gt;"n/a",LOWER(TRIM($AP131))&lt;&gt;"na",SUMPRODUCT(--(UPPER(TRIM($AP$2:$AP$518))=UPPER(TRIM($AP131))),--(TRIM($AP$2:$AP$518)&lt;&gt;""),--(LOWER(TRIM($AP$2:$AP$518))&lt;&gt;"n/a"),--(LOWER(TRIM($AP$2:$AP$518))&lt;&gt;"na"))&gt;1),AND($AQ131&lt;&gt;"",LOWER(TRIM($AQ131))&lt;&gt;"n/a",LOWER(TRIM($AQ131))&lt;&gt;"na",SUMPRODUCT(--(UPPER(TRIM($AQ$2:$AQ$518))=UPPER(TRIM($AQ131))),--(TRIM($AQ$2:$AQ$518)&lt;&gt;""),--(LOWER(TRIM($AQ$2:$AQ$518))&lt;&gt;"n/a"),--(LOWER(TRIM($AQ$2:$AQ$518))&lt;&gt;"na"))&gt;1)),"Yes","No"))</f>
        <v/>
      </c>
      <c r="F131">
        <f>IF(UPPER(TRIM($B131))&lt;&gt;"YES","", IF(OR(AND($V131&lt;&gt;"", LOWER(TRIM($V131))&lt;&gt;"n/a", LOWER(TRIM($V131))&lt;&gt;"na", SUMPRODUCT(--(UPPER(TRIM($V$2:$V$518))=UPPER(TRIM($V131))), --(UPPER(TRIM($B$2:$B$518))="YES"), --(UPPER(TRIM($G$2:$G$518)&amp;TRIM($I$2:$I$518)&amp;TRIM($J$2:$J$518))&lt;&gt;UPPER(TRIM($G131)&amp;TRIM($I131)&amp;TRIM($J131))))&gt;0), AND($W131&lt;&gt;"", LOWER(TRIM($W131))&lt;&gt;"n/a", LOWER(TRIM($W131))&lt;&gt;"na", SUMPRODUCT(--(UPPER(TRIM($W$2:$W$518))=UPPER(TRIM($W131))), --(UPPER(TRIM($B$2:$B$518))="YES"), --(UPPER(TRIM($G$2:$G$518)&amp;TRIM($I$2:$I$518)&amp;TRIM($J$2:$J$518))&lt;&gt;UPPER(TRIM($G131)&amp;TRIM($I131)&amp;TRIM($J131))))&gt;0), AND($X131&lt;&gt;"", LOWER(TRIM($X131))&lt;&gt;"n/a", LOWER(TRIM($X131))&lt;&gt;"na", SUMPRODUCT(--(UPPER(TRIM($X$2:$X$518))=UPPER(TRIM($X131))), --(UPPER(TRIM($B$2:$B$518))="YES"), --(UPPER(TRIM($G$2:$G$518)&amp;TRIM($I$2:$I$518)&amp;TRIM($J$2:$J$518))&lt;&gt;UPPER(TRIM($G131)&amp;TRIM($I131)&amp;TRIM($J131))))&gt;0), AND($Y131&lt;&gt;"", LOWER(TRIM($Y131))&lt;&gt;"n/a", LOWER(TRIM($Y131))&lt;&gt;"na", SUMPRODUCT(--(UPPER(SUBSTITUTE(SUBSTITUTE(TRIM($Y$2:$Y$518),":",""),"-",""))=UPPER(SUBSTITUTE(SUBSTITUTE(TRIM($Y131),":",""),"-",""))), --(UPPER(TRIM($B$2:$B$518))="YES"), --(UPPER(TRIM($G$2:$G$518)&amp;TRIM($I$2:$I$518)&amp;TRIM($J$2:$J$518))&lt;&gt;UPPER(TRIM($G131)&amp;TRIM($I131)&amp;TRIM($J131))))&gt;0), AND($AB131&lt;&gt;"", LOWER(TRIM($AB131))&lt;&gt;"n/a", LOWER(TRIM($AB131))&lt;&gt;"na", SUMPRODUCT(--(UPPER(TRIM($AB$2:$AB$518))=UPPER(TRIM($AB131))), --(UPPER(TRIM($B$2:$B$518))="YES"), --(UPPER(TRIM($G$2:$G$518)&amp;TRIM($I$2:$I$518)&amp;TRIM($J$2:$J$518))&lt;&gt;UPPER(TRIM($G131)&amp;TRIM($I131)&amp;TRIM($J131))))&gt;0), AND($AH131&lt;&gt;"", LOWER(TRIM($AH131))&lt;&gt;"n/a", LOWER(TRIM($AH131))&lt;&gt;"na", SUMPRODUCT(--(UPPER(SUBSTITUTE(SUBSTITUTE(TRIM($AH$2:$AH$518),":",""),"-",""))=UPPER(SUBSTITUTE(SUBSTITUTE(TRIM($AH131),":",""),"-",""))), --(UPPER(TRIM($B$2:$B$518))="YES"), --(UPPER(TRIM($G$2:$G$518)&amp;TRIM($I$2:$I$518)&amp;TRIM($J$2:$J$518))&lt;&gt;UPPER(TRIM($G131)&amp;TRIM($I131)&amp;TRIM($J131))))&gt;0), AND($AP131&lt;&gt;"", LOWER(TRIM($AP131))&lt;&gt;"n/a", LOWER(TRIM($AP131))&lt;&gt;"na", SUMPRODUCT(--(UPPER(TRIM($AP$2:$AP$518))=UPPER(TRIM($AP131))), --(UPPER(TRIM($B$2:$B$518))="YES"), --(UPPER(TRIM($G$2:$G$518)&amp;TRIM($I$2:$I$518)&amp;TRIM($J$2:$J$518))&lt;&gt;UPPER(TRIM($G131)&amp;TRIM($I131)&amp;TRIM($J131))))&gt;0), AND($AQ131&lt;&gt;"", LOWER(TRIM($AQ131))&lt;&gt;"n/a", LOWER(TRIM($AQ131))&lt;&gt;"na", SUMPRODUCT(--(UPPER(TRIM($AQ$2:$AQ$518))=UPPER(TRIM($AQ131))), --(UPPER(TRIM($B$2:$B$518))="YES"), --(UPPER(TRIM($G$2:$G$518)&amp;TRIM($I$2:$I$518)&amp;TRIM($J$2:$J$518))&lt;&gt;UPPER(TRIM($G131)&amp;TRIM($I131)&amp;TRIM($J131))))&gt;0)), "Yes", "No"))</f>
        <v/>
      </c>
      <c r="G131" t="inlineStr">
        <is>
          <t>LIJFH</t>
        </is>
      </c>
      <c r="H131" t="inlineStr">
        <is>
          <t>LIJFH</t>
        </is>
      </c>
      <c r="J131" t="inlineStr">
        <is>
          <t>7th Floor - OR 7</t>
        </is>
      </c>
      <c r="K131" t="inlineStr">
        <is>
          <t>n/a</t>
        </is>
      </c>
      <c r="L131" s="18" t="n">
        <v>46083</v>
      </c>
      <c r="M131" t="inlineStr">
        <is>
          <t>Neurons and Cybernets already deployed but off the domain and require peripherals: Mouse, Keyboard, Barcode Scanner, and Badge Scanner</t>
        </is>
      </c>
      <c r="V131" t="inlineStr">
        <is>
          <t>WFH102OPR051</t>
        </is>
      </c>
      <c r="W131" t="inlineStr">
        <is>
          <t>MEDNG2425D-2748</t>
        </is>
      </c>
      <c r="X131" t="inlineStr">
        <is>
          <t>LFH-MACH-D</t>
        </is>
      </c>
      <c r="Y131" t="inlineStr">
        <is>
          <t>A0F5097FA4FF</t>
        </is>
      </c>
      <c r="AB131" t="inlineStr">
        <is>
          <t>WA23C03753</t>
        </is>
      </c>
      <c r="AI131" t="inlineStr">
        <is>
          <t>Anesthesia Machine</t>
        </is>
      </c>
      <c r="AP131" t="inlineStr">
        <is>
          <t>01040486755561761125121021ASUN-0430938621500-22</t>
        </is>
      </c>
      <c r="AX131" t="inlineStr">
        <is>
          <t>PHILIPS - MX550 - 010088483803878321DE7580BL1A9086606691866066</t>
        </is>
      </c>
      <c r="AY131" t="inlineStr">
        <is>
          <t>Anesthesia Machine</t>
        </is>
      </c>
      <c r="CD131">
        <f>IF($Y131="","",IF((IF(AND($BR131&lt;&gt;"Yes",$BR131&lt;&gt;"N/A"),"Power Cable, ","")&amp;IF(AND($BS131&lt;&gt;"Yes",$BS131&lt;&gt;"N/A"),"Battery, ","")&amp;IF(AND($AD131&lt;&gt;"Yes",$AD131&lt;&gt;"N/A"),"Firmware Download, ","")&amp;IF(AND(OR($AD131="Yes",$AD131="N/A"),$AE131&lt;&gt;"Yes",$AE131&lt;&gt;"N/A"),"Firmware Install, ","")&amp;IF(AND($CB131&lt;&gt;"Yes",$CB131&lt;&gt;"N/A"),"Device ID, ","")&amp;IF(AND($CC131&lt;&gt;"Yes",$CC131&lt;&gt;"N/A"),"Epic Beans Relay, ",""))="","",LEFT(IF(AND($BR131&lt;&gt;"Yes",$BR131&lt;&gt;"N/A"),"Power Cable, ","")&amp;IF(AND($BS131&lt;&gt;"Yes",$BS131&lt;&gt;"N/A"),"Battery, ","")&amp;IF(AND($AD131&lt;&gt;"Yes",$AD131&lt;&gt;"N/A"),"Firmware Download, ","")&amp;IF(AND(OR($AD131="Yes",$AD131="N/A"),$AE131&lt;&gt;"Yes",$AE131&lt;&gt;"N/A"),"Firmware Install, ","")&amp;IF(AND($CB131&lt;&gt;"Yes",$CB131&lt;&gt;"N/A"),"Device ID, ","")&amp;IF(AND($CC131&lt;&gt;"Yes",$CC131&lt;&gt;"N/A"),"Epic Beans Relay, ",""),LEN(IF(AND($BR131&lt;&gt;"Yes",$BR131&lt;&gt;"N/A"),"Power Cable, ","")&amp;IF(AND($BS131&lt;&gt;"Yes",$BS131&lt;&gt;"N/A"),"Battery, ","")&amp;IF(AND($AD131&lt;&gt;"Yes",$AD131&lt;&gt;"N/A"),"Firmware Download, ","")&amp;IF(AND(OR($AD131="Yes",$AD131="N/A"),$AE131&lt;&gt;"Yes",$AE131&lt;&gt;"N/A"),"Firmware Install, ","")&amp;IF(AND($CB131&lt;&gt;"Yes",$CB131&lt;&gt;"N/A"),"Device ID, ","")&amp;IF(AND($CC131&lt;&gt;"Yes",$CC131&lt;&gt;"N/A"),"Epic Beans Relay, ",""))-2)))</f>
        <v/>
      </c>
      <c r="CE131">
        <f>IF($Y131="","",IF($CD131="","Yes","Blocked"))</f>
        <v/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P131">
        <f>IF($CO131="","",IFERROR(VLOOKUP($CO131,'01_Warehouse_Ledger'!$A:$N,4,FALSE),""))</f>
        <v/>
      </c>
      <c r="CQ131">
        <f>IF($CO131="","",IFERROR(VLOOKUP($CO131,'01_Warehouse_Ledger'!$A:$N,5,FALSE),""))</f>
        <v/>
      </c>
      <c r="CR131">
        <f>IF($CO131="","",IFERROR(VLOOKUP($CO131,'01_Warehouse_Ledger'!$A:$N,13,FALSE),""))</f>
        <v/>
      </c>
      <c r="CW131">
        <f>IF($S131="","",IF(UPPER(TRIM($S131))&lt;&gt;"PASS","",IF(LEN(TRIM($BY131))&gt;0,"NOTES_PRESENT",IF(LEN(TRIM($T131))=0,"SET_NA",IF(OR(LOWER(TRIM($T131))="na",LOWER(TRIM($T131))="n/a"),"OK","MANUAL_OVERRIDE")))))</f>
        <v/>
      </c>
    </row>
    <row r="132">
      <c r="A132" t="inlineStr">
        <is>
          <t>Peripherals</t>
        </is>
      </c>
      <c r="B132" s="51" t="inlineStr">
        <is>
          <t>Yes</t>
        </is>
      </c>
      <c r="C132" t="inlineStr">
        <is>
          <t>Yes</t>
        </is>
      </c>
      <c r="D132">
        <f>IF($B132&lt;&gt;"Yes","",IF($C132="No","Yes",IF($C132="Yes","No","")))</f>
        <v/>
      </c>
      <c r="E132">
        <f>IF($A132="","",IF(OR(AND($V132&lt;&gt;"",LOWER(TRIM($V132))&lt;&gt;"n/a",LOWER(TRIM($V132))&lt;&gt;"na",SUMPRODUCT(--(UPPER(TRIM($V$2:$V$518))=UPPER(TRIM($V132))),--(TRIM($V$2:$V$518)&lt;&gt;""),--(LOWER(TRIM($V$2:$V$518))&lt;&gt;"n/a"),--(LOWER(TRIM($V$2:$V$518))&lt;&gt;"na"))&gt;1),AND($W132&lt;&gt;"",LOWER(TRIM($W132))&lt;&gt;"n/a",LOWER(TRIM($W132))&lt;&gt;"na",SUMPRODUCT(--(UPPER(TRIM($W$2:$W$518))=UPPER(TRIM($W132))),--(TRIM($W$2:$W$518)&lt;&gt;""),--(LOWER(TRIM($W$2:$W$518))&lt;&gt;"n/a"),--(LOWER(TRIM($W$2:$W$518))&lt;&gt;"na"))&gt;1),AND($X132&lt;&gt;"",LOWER(TRIM($X132))&lt;&gt;"n/a",LOWER(TRIM($X132))&lt;&gt;"na",SUMPRODUCT(--(UPPER(TRIM($X$2:$X$518))=UPPER(TRIM($X132))),--(TRIM($X$2:$X$518)&lt;&gt;""),--(LOWER(TRIM($X$2:$X$518))&lt;&gt;"n/a"),--(LOWER(TRIM($X$2:$X$518))&lt;&gt;"na"))&gt;1),AND($Y132&lt;&gt;"",LOWER(TRIM($Y132))&lt;&gt;"n/a",LOWER(TRIM($Y132))&lt;&gt;"na",SUMPRODUCT(--(UPPER(SUBSTITUTE(SUBSTITUTE(TRIM($Y$2:$Y$518),":",""),"-",""))=UPPER(SUBSTITUTE(SUBSTITUTE(TRIM($Y132),":",""),"-",""))),--(TRIM($Y$2:$Y$518)&lt;&gt;""),--(LOWER(TRIM($Y$2:$Y$518))&lt;&gt;"n/a"),--(LOWER(TRIM($Y$2:$Y$518))&lt;&gt;"na"))&gt;1),AND($AB132&lt;&gt;"",LOWER(TRIM($AB132))&lt;&gt;"n/a",LOWER(TRIM($AB132))&lt;&gt;"na",SUMPRODUCT(--(UPPER(TRIM($AB$2:$AB$518))=UPPER(TRIM($AB132))),--(TRIM($AB$2:$AB$518)&lt;&gt;""),--(LOWER(TRIM($AB$2:$AB$518))&lt;&gt;"n/a"),--(LOWER(TRIM($AB$2:$AB$518))&lt;&gt;"na"))&gt;1),AND($AH132&lt;&gt;"",LOWER(TRIM($AH132))&lt;&gt;"n/a",LOWER(TRIM($AH132))&lt;&gt;"na",SUMPRODUCT(--(UPPER(SUBSTITUTE(SUBSTITUTE(TRIM($AH$2:$AH$518),":",""),"-",""))=UPPER(SUBSTITUTE(SUBSTITUTE(TRIM($AH132),":",""),"-",""))),--(TRIM($AH$2:$AH$518)&lt;&gt;""),--(LOWER(TRIM($AH$2:$AH$518))&lt;&gt;"n/a"),--(LOWER(TRIM($AH$2:$AH$518))&lt;&gt;"na"))&gt;1),AND($AP132&lt;&gt;"",LOWER(TRIM($AP132))&lt;&gt;"n/a",LOWER(TRIM($AP132))&lt;&gt;"na",SUMPRODUCT(--(UPPER(TRIM($AP$2:$AP$518))=UPPER(TRIM($AP132))),--(TRIM($AP$2:$AP$518)&lt;&gt;""),--(LOWER(TRIM($AP$2:$AP$518))&lt;&gt;"n/a"),--(LOWER(TRIM($AP$2:$AP$518))&lt;&gt;"na"))&gt;1),AND($AQ132&lt;&gt;"",LOWER(TRIM($AQ132))&lt;&gt;"n/a",LOWER(TRIM($AQ132))&lt;&gt;"na",SUMPRODUCT(--(UPPER(TRIM($AQ$2:$AQ$518))=UPPER(TRIM($AQ132))),--(TRIM($AQ$2:$AQ$518)&lt;&gt;""),--(LOWER(TRIM($AQ$2:$AQ$518))&lt;&gt;"n/a"),--(LOWER(TRIM($AQ$2:$AQ$518))&lt;&gt;"na"))&gt;1)),"Yes","No"))</f>
        <v/>
      </c>
      <c r="F132">
        <f>IF(UPPER(TRIM($B132))&lt;&gt;"YES","", IF(OR(AND($V132&lt;&gt;"", LOWER(TRIM($V132))&lt;&gt;"n/a", LOWER(TRIM($V132))&lt;&gt;"na", SUMPRODUCT(--(UPPER(TRIM($V$2:$V$518))=UPPER(TRIM($V132))), --(UPPER(TRIM($B$2:$B$518))="YES"), --(UPPER(TRIM($G$2:$G$518)&amp;TRIM($I$2:$I$518)&amp;TRIM($J$2:$J$518))&lt;&gt;UPPER(TRIM($G132)&amp;TRIM($I132)&amp;TRIM($J132))))&gt;0), AND($W132&lt;&gt;"", LOWER(TRIM($W132))&lt;&gt;"n/a", LOWER(TRIM($W132))&lt;&gt;"na", SUMPRODUCT(--(UPPER(TRIM($W$2:$W$518))=UPPER(TRIM($W132))), --(UPPER(TRIM($B$2:$B$518))="YES"), --(UPPER(TRIM($G$2:$G$518)&amp;TRIM($I$2:$I$518)&amp;TRIM($J$2:$J$518))&lt;&gt;UPPER(TRIM($G132)&amp;TRIM($I132)&amp;TRIM($J132))))&gt;0), AND($X132&lt;&gt;"", LOWER(TRIM($X132))&lt;&gt;"n/a", LOWER(TRIM($X132))&lt;&gt;"na", SUMPRODUCT(--(UPPER(TRIM($X$2:$X$518))=UPPER(TRIM($X132))), --(UPPER(TRIM($B$2:$B$518))="YES"), --(UPPER(TRIM($G$2:$G$518)&amp;TRIM($I$2:$I$518)&amp;TRIM($J$2:$J$518))&lt;&gt;UPPER(TRIM($G132)&amp;TRIM($I132)&amp;TRIM($J132))))&gt;0), AND($Y132&lt;&gt;"", LOWER(TRIM($Y132))&lt;&gt;"n/a", LOWER(TRIM($Y132))&lt;&gt;"na", SUMPRODUCT(--(UPPER(SUBSTITUTE(SUBSTITUTE(TRIM($Y$2:$Y$518),":",""),"-",""))=UPPER(SUBSTITUTE(SUBSTITUTE(TRIM($Y132),":",""),"-",""))), --(UPPER(TRIM($B$2:$B$518))="YES"), --(UPPER(TRIM($G$2:$G$518)&amp;TRIM($I$2:$I$518)&amp;TRIM($J$2:$J$518))&lt;&gt;UPPER(TRIM($G132)&amp;TRIM($I132)&amp;TRIM($J132))))&gt;0), AND($AB132&lt;&gt;"", LOWER(TRIM($AB132))&lt;&gt;"n/a", LOWER(TRIM($AB132))&lt;&gt;"na", SUMPRODUCT(--(UPPER(TRIM($AB$2:$AB$518))=UPPER(TRIM($AB132))), --(UPPER(TRIM($B$2:$B$518))="YES"), --(UPPER(TRIM($G$2:$G$518)&amp;TRIM($I$2:$I$518)&amp;TRIM($J$2:$J$518))&lt;&gt;UPPER(TRIM($G132)&amp;TRIM($I132)&amp;TRIM($J132))))&gt;0), AND($AH132&lt;&gt;"", LOWER(TRIM($AH132))&lt;&gt;"n/a", LOWER(TRIM($AH132))&lt;&gt;"na", SUMPRODUCT(--(UPPER(SUBSTITUTE(SUBSTITUTE(TRIM($AH$2:$AH$518),":",""),"-",""))=UPPER(SUBSTITUTE(SUBSTITUTE(TRIM($AH132),":",""),"-",""))), --(UPPER(TRIM($B$2:$B$518))="YES"), --(UPPER(TRIM($G$2:$G$518)&amp;TRIM($I$2:$I$518)&amp;TRIM($J$2:$J$518))&lt;&gt;UPPER(TRIM($G132)&amp;TRIM($I132)&amp;TRIM($J132))))&gt;0), AND($AP132&lt;&gt;"", LOWER(TRIM($AP132))&lt;&gt;"n/a", LOWER(TRIM($AP132))&lt;&gt;"na", SUMPRODUCT(--(UPPER(TRIM($AP$2:$AP$518))=UPPER(TRIM($AP132))), --(UPPER(TRIM($B$2:$B$518))="YES"), --(UPPER(TRIM($G$2:$G$518)&amp;TRIM($I$2:$I$518)&amp;TRIM($J$2:$J$518))&lt;&gt;UPPER(TRIM($G132)&amp;TRIM($I132)&amp;TRIM($J132))))&gt;0), AND($AQ132&lt;&gt;"", LOWER(TRIM($AQ132))&lt;&gt;"n/a", LOWER(TRIM($AQ132))&lt;&gt;"na", SUMPRODUCT(--(UPPER(TRIM($AQ$2:$AQ$518))=UPPER(TRIM($AQ132))), --(UPPER(TRIM($B$2:$B$518))="YES"), --(UPPER(TRIM($G$2:$G$518)&amp;TRIM($I$2:$I$518)&amp;TRIM($J$2:$J$518))&lt;&gt;UPPER(TRIM($G132)&amp;TRIM($I132)&amp;TRIM($J132))))&gt;0)), "Yes", "No"))</f>
        <v/>
      </c>
      <c r="G132" t="inlineStr">
        <is>
          <t>LIJFH</t>
        </is>
      </c>
      <c r="H132" t="inlineStr">
        <is>
          <t>LIJFH</t>
        </is>
      </c>
      <c r="J132" t="inlineStr">
        <is>
          <t>7th Floor - OR 5</t>
        </is>
      </c>
      <c r="K132" t="inlineStr">
        <is>
          <t>n/a</t>
        </is>
      </c>
      <c r="L132" s="18" t="n">
        <v>46083</v>
      </c>
      <c r="M132" t="inlineStr">
        <is>
          <t>Neurons and Cybernets already deployed but off the domain and require peripherals: Mouse, Keyboard, Barcode Scanner, and Badge Scanner</t>
        </is>
      </c>
      <c r="V132" t="inlineStr">
        <is>
          <t>WFH102OPR065</t>
        </is>
      </c>
      <c r="W132" t="inlineStr">
        <is>
          <t>MEDNG2425D-2756</t>
        </is>
      </c>
      <c r="X132" t="inlineStr">
        <is>
          <t>LFH-MACH-M</t>
        </is>
      </c>
      <c r="Y132" t="inlineStr">
        <is>
          <t>A0F5097FA55F</t>
        </is>
      </c>
      <c r="AB132" t="inlineStr">
        <is>
          <t>WA23C03876</t>
        </is>
      </c>
      <c r="AP132" t="inlineStr">
        <is>
          <t>8606500-09ARXD-0132</t>
        </is>
      </c>
      <c r="AX132" t="inlineStr">
        <is>
          <t>PHILIPS - MX550 - MOO</t>
        </is>
      </c>
      <c r="AY132" t="inlineStr">
        <is>
          <t>Anesthesia Machine</t>
        </is>
      </c>
      <c r="CD132">
        <f>IF($Y132="","",IF((IF(AND($BR132&lt;&gt;"Yes",$BR132&lt;&gt;"N/A"),"Power Cable, ","")&amp;IF(AND($BS132&lt;&gt;"Yes",$BS132&lt;&gt;"N/A"),"Battery, ","")&amp;IF(AND($AD132&lt;&gt;"Yes",$AD132&lt;&gt;"N/A"),"Firmware Download, ","")&amp;IF(AND(OR($AD132="Yes",$AD132="N/A"),$AE132&lt;&gt;"Yes",$AE132&lt;&gt;"N/A"),"Firmware Install, ","")&amp;IF(AND($CB132&lt;&gt;"Yes",$CB132&lt;&gt;"N/A"),"Device ID, ","")&amp;IF(AND($CC132&lt;&gt;"Yes",$CC132&lt;&gt;"N/A"),"Epic Beans Relay, ",""))="","",LEFT(IF(AND($BR132&lt;&gt;"Yes",$BR132&lt;&gt;"N/A"),"Power Cable, ","")&amp;IF(AND($BS132&lt;&gt;"Yes",$BS132&lt;&gt;"N/A"),"Battery, ","")&amp;IF(AND($AD132&lt;&gt;"Yes",$AD132&lt;&gt;"N/A"),"Firmware Download, ","")&amp;IF(AND(OR($AD132="Yes",$AD132="N/A"),$AE132&lt;&gt;"Yes",$AE132&lt;&gt;"N/A"),"Firmware Install, ","")&amp;IF(AND($CB132&lt;&gt;"Yes",$CB132&lt;&gt;"N/A"),"Device ID, ","")&amp;IF(AND($CC132&lt;&gt;"Yes",$CC132&lt;&gt;"N/A"),"Epic Beans Relay, ",""),LEN(IF(AND($BR132&lt;&gt;"Yes",$BR132&lt;&gt;"N/A"),"Power Cable, ","")&amp;IF(AND($BS132&lt;&gt;"Yes",$BS132&lt;&gt;"N/A"),"Battery, ","")&amp;IF(AND($AD132&lt;&gt;"Yes",$AD132&lt;&gt;"N/A"),"Firmware Download, ","")&amp;IF(AND(OR($AD132="Yes",$AD132="N/A"),$AE132&lt;&gt;"Yes",$AE132&lt;&gt;"N/A"),"Firmware Install, ","")&amp;IF(AND($CB132&lt;&gt;"Yes",$CB132&lt;&gt;"N/A"),"Device ID, ","")&amp;IF(AND($CC132&lt;&gt;"Yes",$CC132&lt;&gt;"N/A"),"Epic Beans Relay, ",""))-2)))</f>
        <v/>
      </c>
      <c r="CE132">
        <f>IF($Y132="","",IF($CD132="","Yes","Blocked"))</f>
        <v/>
      </c>
      <c r="CF132" t="inlineStr">
        <is>
          <t>Yes</t>
        </is>
      </c>
      <c r="CG132" t="inlineStr">
        <is>
          <t>Yes</t>
        </is>
      </c>
      <c r="CH132" t="inlineStr">
        <is>
          <t>Yes</t>
        </is>
      </c>
      <c r="CI132" t="inlineStr">
        <is>
          <t>Yes</t>
        </is>
      </c>
      <c r="CJ132" t="inlineStr">
        <is>
          <t>Yes</t>
        </is>
      </c>
      <c r="CP132">
        <f>IF($CO132="","",IFERROR(VLOOKUP($CO132,'01_Warehouse_Ledger'!$A:$N,4,FALSE),""))</f>
        <v/>
      </c>
      <c r="CQ132">
        <f>IF($CO132="","",IFERROR(VLOOKUP($CO132,'01_Warehouse_Ledger'!$A:$N,5,FALSE),""))</f>
        <v/>
      </c>
      <c r="CR132">
        <f>IF($CO132="","",IFERROR(VLOOKUP($CO132,'01_Warehouse_Ledger'!$A:$N,13,FALSE),""))</f>
        <v/>
      </c>
      <c r="CW132">
        <f>IF($S132="","",IF(UPPER(TRIM($S132))&lt;&gt;"PASS","",IF(LEN(TRIM($BY132))&gt;0,"NOTES_PRESENT",IF(LEN(TRIM($T132))=0,"SET_NA",IF(OR(LOWER(TRIM($T132))="na",LOWER(TRIM($T132))="n/a"),"OK","MANUAL_OVERRIDE")))))</f>
        <v/>
      </c>
    </row>
    <row r="133">
      <c r="A133" t="inlineStr">
        <is>
          <t>Peripherals</t>
        </is>
      </c>
      <c r="B133" s="51" t="inlineStr">
        <is>
          <t>Yes</t>
        </is>
      </c>
      <c r="C133" t="inlineStr">
        <is>
          <t>Yes</t>
        </is>
      </c>
      <c r="D133">
        <f>IF($B133&lt;&gt;"Yes","",IF($C133="No","Yes",IF($C133="Yes","No","")))</f>
        <v/>
      </c>
      <c r="E133">
        <f>IF($A133="","",IF(OR(AND($V133&lt;&gt;"",LOWER(TRIM($V133))&lt;&gt;"n/a",LOWER(TRIM($V133))&lt;&gt;"na",SUMPRODUCT(--(UPPER(TRIM($V$2:$V$518))=UPPER(TRIM($V133))),--(TRIM($V$2:$V$518)&lt;&gt;""),--(LOWER(TRIM($V$2:$V$518))&lt;&gt;"n/a"),--(LOWER(TRIM($V$2:$V$518))&lt;&gt;"na"))&gt;1),AND($W133&lt;&gt;"",LOWER(TRIM($W133))&lt;&gt;"n/a",LOWER(TRIM($W133))&lt;&gt;"na",SUMPRODUCT(--(UPPER(TRIM($W$2:$W$518))=UPPER(TRIM($W133))),--(TRIM($W$2:$W$518)&lt;&gt;""),--(LOWER(TRIM($W$2:$W$518))&lt;&gt;"n/a"),--(LOWER(TRIM($W$2:$W$518))&lt;&gt;"na"))&gt;1),AND($X133&lt;&gt;"",LOWER(TRIM($X133))&lt;&gt;"n/a",LOWER(TRIM($X133))&lt;&gt;"na",SUMPRODUCT(--(UPPER(TRIM($X$2:$X$518))=UPPER(TRIM($X133))),--(TRIM($X$2:$X$518)&lt;&gt;""),--(LOWER(TRIM($X$2:$X$518))&lt;&gt;"n/a"),--(LOWER(TRIM($X$2:$X$518))&lt;&gt;"na"))&gt;1),AND($Y133&lt;&gt;"",LOWER(TRIM($Y133))&lt;&gt;"n/a",LOWER(TRIM($Y133))&lt;&gt;"na",SUMPRODUCT(--(UPPER(SUBSTITUTE(SUBSTITUTE(TRIM($Y$2:$Y$518),":",""),"-",""))=UPPER(SUBSTITUTE(SUBSTITUTE(TRIM($Y133),":",""),"-",""))),--(TRIM($Y$2:$Y$518)&lt;&gt;""),--(LOWER(TRIM($Y$2:$Y$518))&lt;&gt;"n/a"),--(LOWER(TRIM($Y$2:$Y$518))&lt;&gt;"na"))&gt;1),AND($AB133&lt;&gt;"",LOWER(TRIM($AB133))&lt;&gt;"n/a",LOWER(TRIM($AB133))&lt;&gt;"na",SUMPRODUCT(--(UPPER(TRIM($AB$2:$AB$518))=UPPER(TRIM($AB133))),--(TRIM($AB$2:$AB$518)&lt;&gt;""),--(LOWER(TRIM($AB$2:$AB$518))&lt;&gt;"n/a"),--(LOWER(TRIM($AB$2:$AB$518))&lt;&gt;"na"))&gt;1),AND($AH133&lt;&gt;"",LOWER(TRIM($AH133))&lt;&gt;"n/a",LOWER(TRIM($AH133))&lt;&gt;"na",SUMPRODUCT(--(UPPER(SUBSTITUTE(SUBSTITUTE(TRIM($AH$2:$AH$518),":",""),"-",""))=UPPER(SUBSTITUTE(SUBSTITUTE(TRIM($AH133),":",""),"-",""))),--(TRIM($AH$2:$AH$518)&lt;&gt;""),--(LOWER(TRIM($AH$2:$AH$518))&lt;&gt;"n/a"),--(LOWER(TRIM($AH$2:$AH$518))&lt;&gt;"na"))&gt;1),AND($AP133&lt;&gt;"",LOWER(TRIM($AP133))&lt;&gt;"n/a",LOWER(TRIM($AP133))&lt;&gt;"na",SUMPRODUCT(--(UPPER(TRIM($AP$2:$AP$518))=UPPER(TRIM($AP133))),--(TRIM($AP$2:$AP$518)&lt;&gt;""),--(LOWER(TRIM($AP$2:$AP$518))&lt;&gt;"n/a"),--(LOWER(TRIM($AP$2:$AP$518))&lt;&gt;"na"))&gt;1),AND($AQ133&lt;&gt;"",LOWER(TRIM($AQ133))&lt;&gt;"n/a",LOWER(TRIM($AQ133))&lt;&gt;"na",SUMPRODUCT(--(UPPER(TRIM($AQ$2:$AQ$518))=UPPER(TRIM($AQ133))),--(TRIM($AQ$2:$AQ$518)&lt;&gt;""),--(LOWER(TRIM($AQ$2:$AQ$518))&lt;&gt;"n/a"),--(LOWER(TRIM($AQ$2:$AQ$518))&lt;&gt;"na"))&gt;1)),"Yes","No"))</f>
        <v/>
      </c>
      <c r="F133">
        <f>IF(UPPER(TRIM($B133))&lt;&gt;"YES","", IF(OR(AND($V133&lt;&gt;"", LOWER(TRIM($V133))&lt;&gt;"n/a", LOWER(TRIM($V133))&lt;&gt;"na", SUMPRODUCT(--(UPPER(TRIM($V$2:$V$518))=UPPER(TRIM($V133))), --(UPPER(TRIM($B$2:$B$518))="YES"), --(UPPER(TRIM($G$2:$G$518)&amp;TRIM($I$2:$I$518)&amp;TRIM($J$2:$J$518))&lt;&gt;UPPER(TRIM($G133)&amp;TRIM($I133)&amp;TRIM($J133))))&gt;0), AND($W133&lt;&gt;"", LOWER(TRIM($W133))&lt;&gt;"n/a", LOWER(TRIM($W133))&lt;&gt;"na", SUMPRODUCT(--(UPPER(TRIM($W$2:$W$518))=UPPER(TRIM($W133))), --(UPPER(TRIM($B$2:$B$518))="YES"), --(UPPER(TRIM($G$2:$G$518)&amp;TRIM($I$2:$I$518)&amp;TRIM($J$2:$J$518))&lt;&gt;UPPER(TRIM($G133)&amp;TRIM($I133)&amp;TRIM($J133))))&gt;0), AND($X133&lt;&gt;"", LOWER(TRIM($X133))&lt;&gt;"n/a", LOWER(TRIM($X133))&lt;&gt;"na", SUMPRODUCT(--(UPPER(TRIM($X$2:$X$518))=UPPER(TRIM($X133))), --(UPPER(TRIM($B$2:$B$518))="YES"), --(UPPER(TRIM($G$2:$G$518)&amp;TRIM($I$2:$I$518)&amp;TRIM($J$2:$J$518))&lt;&gt;UPPER(TRIM($G133)&amp;TRIM($I133)&amp;TRIM($J133))))&gt;0), AND($Y133&lt;&gt;"", LOWER(TRIM($Y133))&lt;&gt;"n/a", LOWER(TRIM($Y133))&lt;&gt;"na", SUMPRODUCT(--(UPPER(SUBSTITUTE(SUBSTITUTE(TRIM($Y$2:$Y$518),":",""),"-",""))=UPPER(SUBSTITUTE(SUBSTITUTE(TRIM($Y133),":",""),"-",""))), --(UPPER(TRIM($B$2:$B$518))="YES"), --(UPPER(TRIM($G$2:$G$518)&amp;TRIM($I$2:$I$518)&amp;TRIM($J$2:$J$518))&lt;&gt;UPPER(TRIM($G133)&amp;TRIM($I133)&amp;TRIM($J133))))&gt;0), AND($AB133&lt;&gt;"", LOWER(TRIM($AB133))&lt;&gt;"n/a", LOWER(TRIM($AB133))&lt;&gt;"na", SUMPRODUCT(--(UPPER(TRIM($AB$2:$AB$518))=UPPER(TRIM($AB133))), --(UPPER(TRIM($B$2:$B$518))="YES"), --(UPPER(TRIM($G$2:$G$518)&amp;TRIM($I$2:$I$518)&amp;TRIM($J$2:$J$518))&lt;&gt;UPPER(TRIM($G133)&amp;TRIM($I133)&amp;TRIM($J133))))&gt;0), AND($AH133&lt;&gt;"", LOWER(TRIM($AH133))&lt;&gt;"n/a", LOWER(TRIM($AH133))&lt;&gt;"na", SUMPRODUCT(--(UPPER(SUBSTITUTE(SUBSTITUTE(TRIM($AH$2:$AH$518),":",""),"-",""))=UPPER(SUBSTITUTE(SUBSTITUTE(TRIM($AH133),":",""),"-",""))), --(UPPER(TRIM($B$2:$B$518))="YES"), --(UPPER(TRIM($G$2:$G$518)&amp;TRIM($I$2:$I$518)&amp;TRIM($J$2:$J$518))&lt;&gt;UPPER(TRIM($G133)&amp;TRIM($I133)&amp;TRIM($J133))))&gt;0), AND($AP133&lt;&gt;"", LOWER(TRIM($AP133))&lt;&gt;"n/a", LOWER(TRIM($AP133))&lt;&gt;"na", SUMPRODUCT(--(UPPER(TRIM($AP$2:$AP$518))=UPPER(TRIM($AP133))), --(UPPER(TRIM($B$2:$B$518))="YES"), --(UPPER(TRIM($G$2:$G$518)&amp;TRIM($I$2:$I$518)&amp;TRIM($J$2:$J$518))&lt;&gt;UPPER(TRIM($G133)&amp;TRIM($I133)&amp;TRIM($J133))))&gt;0), AND($AQ133&lt;&gt;"", LOWER(TRIM($AQ133))&lt;&gt;"n/a", LOWER(TRIM($AQ133))&lt;&gt;"na", SUMPRODUCT(--(UPPER(TRIM($AQ$2:$AQ$518))=UPPER(TRIM($AQ133))), --(UPPER(TRIM($B$2:$B$518))="YES"), --(UPPER(TRIM($G$2:$G$518)&amp;TRIM($I$2:$I$518)&amp;TRIM($J$2:$J$518))&lt;&gt;UPPER(TRIM($G133)&amp;TRIM($I133)&amp;TRIM($J133))))&gt;0)), "Yes", "No"))</f>
        <v/>
      </c>
      <c r="G133" t="inlineStr">
        <is>
          <t>LIJFH</t>
        </is>
      </c>
      <c r="H133" t="inlineStr">
        <is>
          <t>LIJFH</t>
        </is>
      </c>
      <c r="J133" t="inlineStr">
        <is>
          <t>7th Floor - OR 6</t>
        </is>
      </c>
      <c r="K133" t="inlineStr">
        <is>
          <t>n/a</t>
        </is>
      </c>
      <c r="L133" s="18" t="n">
        <v>46083</v>
      </c>
      <c r="M133" t="inlineStr">
        <is>
          <t>Neurons and Cybernets already deployed but off the domain and require peripherals: Mouse, Keyboard, Barcode Scanner, and Badge Scanner</t>
        </is>
      </c>
      <c r="V133" t="inlineStr">
        <is>
          <t>WFH102OPR055</t>
        </is>
      </c>
      <c r="W133" t="inlineStr">
        <is>
          <t>MEDNG2425D-2530</t>
        </is>
      </c>
      <c r="X133" t="inlineStr">
        <is>
          <t>LFH-MACH-I</t>
        </is>
      </c>
      <c r="Y133" t="inlineStr">
        <is>
          <t>A0F5097FEB89</t>
        </is>
      </c>
      <c r="AB133" t="inlineStr">
        <is>
          <t>WA24406844</t>
        </is>
      </c>
      <c r="AP133" t="inlineStr">
        <is>
          <t>8606500-30ASAF-0154</t>
        </is>
      </c>
      <c r="AX133" t="inlineStr">
        <is>
          <t>PHILLIPS MX550 - 010088483803878321DE7580BL179086606691866066</t>
        </is>
      </c>
      <c r="AY133" t="inlineStr">
        <is>
          <t>Anesthesia Machine</t>
        </is>
      </c>
      <c r="CD133">
        <f>IF($Y133="","",IF((IF(AND($BR133&lt;&gt;"Yes",$BR133&lt;&gt;"N/A"),"Power Cable, ","")&amp;IF(AND($BS133&lt;&gt;"Yes",$BS133&lt;&gt;"N/A"),"Battery, ","")&amp;IF(AND($AD133&lt;&gt;"Yes",$AD133&lt;&gt;"N/A"),"Firmware Download, ","")&amp;IF(AND(OR($AD133="Yes",$AD133="N/A"),$AE133&lt;&gt;"Yes",$AE133&lt;&gt;"N/A"),"Firmware Install, ","")&amp;IF(AND($CB133&lt;&gt;"Yes",$CB133&lt;&gt;"N/A"),"Device ID, ","")&amp;IF(AND($CC133&lt;&gt;"Yes",$CC133&lt;&gt;"N/A"),"Epic Beans Relay, ",""))="","",LEFT(IF(AND($BR133&lt;&gt;"Yes",$BR133&lt;&gt;"N/A"),"Power Cable, ","")&amp;IF(AND($BS133&lt;&gt;"Yes",$BS133&lt;&gt;"N/A"),"Battery, ","")&amp;IF(AND($AD133&lt;&gt;"Yes",$AD133&lt;&gt;"N/A"),"Firmware Download, ","")&amp;IF(AND(OR($AD133="Yes",$AD133="N/A"),$AE133&lt;&gt;"Yes",$AE133&lt;&gt;"N/A"),"Firmware Install, ","")&amp;IF(AND($CB133&lt;&gt;"Yes",$CB133&lt;&gt;"N/A"),"Device ID, ","")&amp;IF(AND($CC133&lt;&gt;"Yes",$CC133&lt;&gt;"N/A"),"Epic Beans Relay, ",""),LEN(IF(AND($BR133&lt;&gt;"Yes",$BR133&lt;&gt;"N/A"),"Power Cable, ","")&amp;IF(AND($BS133&lt;&gt;"Yes",$BS133&lt;&gt;"N/A"),"Battery, ","")&amp;IF(AND($AD133&lt;&gt;"Yes",$AD133&lt;&gt;"N/A"),"Firmware Download, ","")&amp;IF(AND(OR($AD133="Yes",$AD133="N/A"),$AE133&lt;&gt;"Yes",$AE133&lt;&gt;"N/A"),"Firmware Install, ","")&amp;IF(AND($CB133&lt;&gt;"Yes",$CB133&lt;&gt;"N/A"),"Device ID, ","")&amp;IF(AND($CC133&lt;&gt;"Yes",$CC133&lt;&gt;"N/A"),"Epic Beans Relay, ",""))-2)))</f>
        <v/>
      </c>
      <c r="CE133">
        <f>IF($Y133="","",IF($CD133="","Yes","Blocked"))</f>
        <v/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P133">
        <f>IF($CO133="","",IFERROR(VLOOKUP($CO133,'01_Warehouse_Ledger'!$A:$N,4,FALSE),""))</f>
        <v/>
      </c>
      <c r="CQ133">
        <f>IF($CO133="","",IFERROR(VLOOKUP($CO133,'01_Warehouse_Ledger'!$A:$N,5,FALSE),""))</f>
        <v/>
      </c>
      <c r="CR133">
        <f>IF($CO133="","",IFERROR(VLOOKUP($CO133,'01_Warehouse_Ledger'!$A:$N,13,FALSE),""))</f>
        <v/>
      </c>
      <c r="CW133">
        <f>IF($S133="","",IF(UPPER(TRIM($S133))&lt;&gt;"PASS","",IF(LEN(TRIM($BY133))&gt;0,"NOTES_PRESENT",IF(LEN(TRIM($T133))=0,"SET_NA",IF(OR(LOWER(TRIM($T133))="na",LOWER(TRIM($T133))="n/a"),"OK","MANUAL_OVERRIDE")))))</f>
        <v/>
      </c>
    </row>
    <row r="134">
      <c r="A134" t="inlineStr">
        <is>
          <t>Cybernet</t>
        </is>
      </c>
      <c r="B134" t="inlineStr">
        <is>
          <t>Yes</t>
        </is>
      </c>
      <c r="C134" t="inlineStr">
        <is>
          <t>No</t>
        </is>
      </c>
      <c r="D134">
        <f>IF($B134&lt;&gt;"Yes","",IF($C134="No","Yes",IF($C134="Yes","No","")))</f>
        <v/>
      </c>
      <c r="E134">
        <f>IF($A134="","",IF(OR(AND($V134&lt;&gt;"",LOWER(TRIM($V134))&lt;&gt;"n/a",LOWER(TRIM($V134))&lt;&gt;"na",SUMPRODUCT(--(UPPER(TRIM($V$2:$V$518))=UPPER(TRIM($V134))),--(TRIM($V$2:$V$518)&lt;&gt;""),--(LOWER(TRIM($V$2:$V$518))&lt;&gt;"n/a"),--(LOWER(TRIM($V$2:$V$518))&lt;&gt;"na"))&gt;1),AND($W134&lt;&gt;"",LOWER(TRIM($W134))&lt;&gt;"n/a",LOWER(TRIM($W134))&lt;&gt;"na",SUMPRODUCT(--(UPPER(TRIM($W$2:$W$518))=UPPER(TRIM($W134))),--(TRIM($W$2:$W$518)&lt;&gt;""),--(LOWER(TRIM($W$2:$W$518))&lt;&gt;"n/a"),--(LOWER(TRIM($W$2:$W$518))&lt;&gt;"na"))&gt;1),AND($X134&lt;&gt;"",LOWER(TRIM($X134))&lt;&gt;"n/a",LOWER(TRIM($X134))&lt;&gt;"na",SUMPRODUCT(--(UPPER(TRIM($X$2:$X$518))=UPPER(TRIM($X134))),--(TRIM($X$2:$X$518)&lt;&gt;""),--(LOWER(TRIM($X$2:$X$518))&lt;&gt;"n/a"),--(LOWER(TRIM($X$2:$X$518))&lt;&gt;"na"))&gt;1),AND($Y134&lt;&gt;"",LOWER(TRIM($Y134))&lt;&gt;"n/a",LOWER(TRIM($Y134))&lt;&gt;"na",SUMPRODUCT(--(UPPER(SUBSTITUTE(SUBSTITUTE(TRIM($Y$2:$Y$518),":",""),"-",""))=UPPER(SUBSTITUTE(SUBSTITUTE(TRIM($Y134),":",""),"-",""))),--(TRIM($Y$2:$Y$518)&lt;&gt;""),--(LOWER(TRIM($Y$2:$Y$518))&lt;&gt;"n/a"),--(LOWER(TRIM($Y$2:$Y$518))&lt;&gt;"na"))&gt;1),AND($AB134&lt;&gt;"",LOWER(TRIM($AB134))&lt;&gt;"n/a",LOWER(TRIM($AB134))&lt;&gt;"na",SUMPRODUCT(--(UPPER(TRIM($AB$2:$AB$518))=UPPER(TRIM($AB134))),--(TRIM($AB$2:$AB$518)&lt;&gt;""),--(LOWER(TRIM($AB$2:$AB$518))&lt;&gt;"n/a"),--(LOWER(TRIM($AB$2:$AB$518))&lt;&gt;"na"))&gt;1),AND($AH134&lt;&gt;"",LOWER(TRIM($AH134))&lt;&gt;"n/a",LOWER(TRIM($AH134))&lt;&gt;"na",SUMPRODUCT(--(UPPER(SUBSTITUTE(SUBSTITUTE(TRIM($AH$2:$AH$518),":",""),"-",""))=UPPER(SUBSTITUTE(SUBSTITUTE(TRIM($AH134),":",""),"-",""))),--(TRIM($AH$2:$AH$518)&lt;&gt;""),--(LOWER(TRIM($AH$2:$AH$518))&lt;&gt;"n/a"),--(LOWER(TRIM($AH$2:$AH$518))&lt;&gt;"na"))&gt;1),AND($AP134&lt;&gt;"",LOWER(TRIM($AP134))&lt;&gt;"n/a",LOWER(TRIM($AP134))&lt;&gt;"na",SUMPRODUCT(--(UPPER(TRIM($AP$2:$AP$518))=UPPER(TRIM($AP134))),--(TRIM($AP$2:$AP$518)&lt;&gt;""),--(LOWER(TRIM($AP$2:$AP$518))&lt;&gt;"n/a"),--(LOWER(TRIM($AP$2:$AP$518))&lt;&gt;"na"))&gt;1),AND($AQ134&lt;&gt;"",LOWER(TRIM($AQ134))&lt;&gt;"n/a",LOWER(TRIM($AQ134))&lt;&gt;"na",SUMPRODUCT(--(UPPER(TRIM($AQ$2:$AQ$518))=UPPER(TRIM($AQ134))),--(TRIM($AQ$2:$AQ$518)&lt;&gt;""),--(LOWER(TRIM($AQ$2:$AQ$518))&lt;&gt;"n/a"),--(LOWER(TRIM($AQ$2:$AQ$518))&lt;&gt;"na"))&gt;1)),"Yes","No"))</f>
        <v/>
      </c>
      <c r="F134">
        <f>IF(UPPER(TRIM($B134))&lt;&gt;"YES","", IF(OR(AND($V134&lt;&gt;"", LOWER(TRIM($V134))&lt;&gt;"n/a", LOWER(TRIM($V134))&lt;&gt;"na", SUMPRODUCT(--(UPPER(TRIM($V$2:$V$518))=UPPER(TRIM($V134))), --(UPPER(TRIM($B$2:$B$518))="YES"), --(UPPER(TRIM($G$2:$G$518)&amp;TRIM($I$2:$I$518)&amp;TRIM($J$2:$J$518))&lt;&gt;UPPER(TRIM($G134)&amp;TRIM($I134)&amp;TRIM($J134))))&gt;0), AND($W134&lt;&gt;"", LOWER(TRIM($W134))&lt;&gt;"n/a", LOWER(TRIM($W134))&lt;&gt;"na", SUMPRODUCT(--(UPPER(TRIM($W$2:$W$518))=UPPER(TRIM($W134))), --(UPPER(TRIM($B$2:$B$518))="YES"), --(UPPER(TRIM($G$2:$G$518)&amp;TRIM($I$2:$I$518)&amp;TRIM($J$2:$J$518))&lt;&gt;UPPER(TRIM($G134)&amp;TRIM($I134)&amp;TRIM($J134))))&gt;0), AND($X134&lt;&gt;"", LOWER(TRIM($X134))&lt;&gt;"n/a", LOWER(TRIM($X134))&lt;&gt;"na", SUMPRODUCT(--(UPPER(TRIM($X$2:$X$518))=UPPER(TRIM($X134))), --(UPPER(TRIM($B$2:$B$518))="YES"), --(UPPER(TRIM($G$2:$G$518)&amp;TRIM($I$2:$I$518)&amp;TRIM($J$2:$J$518))&lt;&gt;UPPER(TRIM($G134)&amp;TRIM($I134)&amp;TRIM($J134))))&gt;0), AND($Y134&lt;&gt;"", LOWER(TRIM($Y134))&lt;&gt;"n/a", LOWER(TRIM($Y134))&lt;&gt;"na", SUMPRODUCT(--(UPPER(SUBSTITUTE(SUBSTITUTE(TRIM($Y$2:$Y$518),":",""),"-",""))=UPPER(SUBSTITUTE(SUBSTITUTE(TRIM($Y134),":",""),"-",""))), --(UPPER(TRIM($B$2:$B$518))="YES"), --(UPPER(TRIM($G$2:$G$518)&amp;TRIM($I$2:$I$518)&amp;TRIM($J$2:$J$518))&lt;&gt;UPPER(TRIM($G134)&amp;TRIM($I134)&amp;TRIM($J134))))&gt;0), AND($AB134&lt;&gt;"", LOWER(TRIM($AB134))&lt;&gt;"n/a", LOWER(TRIM($AB134))&lt;&gt;"na", SUMPRODUCT(--(UPPER(TRIM($AB$2:$AB$518))=UPPER(TRIM($AB134))), --(UPPER(TRIM($B$2:$B$518))="YES"), --(UPPER(TRIM($G$2:$G$518)&amp;TRIM($I$2:$I$518)&amp;TRIM($J$2:$J$518))&lt;&gt;UPPER(TRIM($G134)&amp;TRIM($I134)&amp;TRIM($J134))))&gt;0), AND($AH134&lt;&gt;"", LOWER(TRIM($AH134))&lt;&gt;"n/a", LOWER(TRIM($AH134))&lt;&gt;"na", SUMPRODUCT(--(UPPER(SUBSTITUTE(SUBSTITUTE(TRIM($AH$2:$AH$518),":",""),"-",""))=UPPER(SUBSTITUTE(SUBSTITUTE(TRIM($AH134),":",""),"-",""))), --(UPPER(TRIM($B$2:$B$518))="YES"), --(UPPER(TRIM($G$2:$G$518)&amp;TRIM($I$2:$I$518)&amp;TRIM($J$2:$J$518))&lt;&gt;UPPER(TRIM($G134)&amp;TRIM($I134)&amp;TRIM($J134))))&gt;0), AND($AP134&lt;&gt;"", LOWER(TRIM($AP134))&lt;&gt;"n/a", LOWER(TRIM($AP134))&lt;&gt;"na", SUMPRODUCT(--(UPPER(TRIM($AP$2:$AP$518))=UPPER(TRIM($AP134))), --(UPPER(TRIM($B$2:$B$518))="YES"), --(UPPER(TRIM($G$2:$G$518)&amp;TRIM($I$2:$I$518)&amp;TRIM($J$2:$J$518))&lt;&gt;UPPER(TRIM($G134)&amp;TRIM($I134)&amp;TRIM($J134))))&gt;0), AND($AQ134&lt;&gt;"", LOWER(TRIM($AQ134))&lt;&gt;"n/a", LOWER(TRIM($AQ134))&lt;&gt;"na", SUMPRODUCT(--(UPPER(TRIM($AQ$2:$AQ$518))=UPPER(TRIM($AQ134))), --(UPPER(TRIM($B$2:$B$518))="YES"), --(UPPER(TRIM($G$2:$G$518)&amp;TRIM($I$2:$I$518)&amp;TRIM($J$2:$J$518))&lt;&gt;UPPER(TRIM($G134)&amp;TRIM($I134)&amp;TRIM($J134))))&gt;0)), "Yes", "No"))</f>
        <v/>
      </c>
      <c r="G134" t="inlineStr">
        <is>
          <t>LIJ - Proc</t>
        </is>
      </c>
      <c r="H134" t="inlineStr">
        <is>
          <t>LIJ - Proc</t>
        </is>
      </c>
      <c r="I134" t="inlineStr">
        <is>
          <t>LIJ ORs</t>
        </is>
      </c>
      <c r="J134" t="inlineStr">
        <is>
          <t>LIJ - OR21</t>
        </is>
      </c>
      <c r="K134" t="inlineStr">
        <is>
          <t>n/a</t>
        </is>
      </c>
      <c r="L134" s="18" t="n">
        <v>46081</v>
      </c>
      <c r="M134" t="inlineStr">
        <is>
          <t>OR iPro Cybernet Workstation</t>
        </is>
      </c>
      <c r="N134" t="inlineStr">
        <is>
          <t>Yes</t>
        </is>
      </c>
      <c r="O134" t="inlineStr">
        <is>
          <t>No</t>
        </is>
      </c>
      <c r="P134" t="inlineStr">
        <is>
          <t>No</t>
        </is>
      </c>
      <c r="Q134" t="inlineStr">
        <is>
          <t>Inpatient</t>
        </is>
      </c>
      <c r="S134" t="inlineStr">
        <is>
          <t>Pass</t>
        </is>
      </c>
      <c r="T134" t="inlineStr">
        <is>
          <t>n/a</t>
        </is>
      </c>
      <c r="U134" t="inlineStr">
        <is>
          <t>1427182 LIJ Installation (Project Name) - Tim W. Seeberger, Akbar, Chris Perkins, Epic Team, Anesthesia Techs, and Admins</t>
        </is>
      </c>
      <c r="V134" t="inlineStr">
        <is>
          <t>WNH270OPR403</t>
        </is>
      </c>
      <c r="W134" t="inlineStr">
        <is>
          <t>MEDSG2425F-0282</t>
        </is>
      </c>
      <c r="X134" t="inlineStr">
        <is>
          <t>LIJ-MACH-D</t>
        </is>
      </c>
      <c r="Y134" t="inlineStr">
        <is>
          <t>00187DE0ADF1</t>
        </is>
      </c>
      <c r="AH134" t="inlineStr">
        <is>
          <t>00:0D:05:0A:A8:DF</t>
        </is>
      </c>
      <c r="AI134" t="inlineStr">
        <is>
          <t>Anesthesia Machine</t>
        </is>
      </c>
      <c r="AL134" t="inlineStr">
        <is>
          <t>OR21=TUR-</t>
        </is>
      </c>
      <c r="AP134" t="inlineStr">
        <is>
          <t>ASCJ-0094</t>
        </is>
      </c>
      <c r="AY134" t="inlineStr">
        <is>
          <t>Anesthesia Machine</t>
        </is>
      </c>
      <c r="BR134" t="inlineStr">
        <is>
          <t>Yes</t>
        </is>
      </c>
      <c r="BS134" t="inlineStr">
        <is>
          <t>Yes</t>
        </is>
      </c>
      <c r="BT134" t="inlineStr">
        <is>
          <t>Yes</t>
        </is>
      </c>
      <c r="BU134" t="inlineStr">
        <is>
          <t>Yes</t>
        </is>
      </c>
      <c r="CA134" t="inlineStr">
        <is>
          <t>iPro
Epic Satellite
ALLSCRIPTS
EPIC BCA</t>
        </is>
      </c>
      <c r="CD134">
        <f>IF($Y134="","",IF((IF(AND($BR134&lt;&gt;"Yes",$BR134&lt;&gt;"N/A"),"Power Cable, ","")&amp;IF(AND($BS134&lt;&gt;"Yes",$BS134&lt;&gt;"N/A"),"Battery, ","")&amp;IF(AND($AD134&lt;&gt;"Yes",$AD134&lt;&gt;"N/A"),"Firmware Download, ","")&amp;IF(AND(OR($AD134="Yes",$AD134="N/A"),$AE134&lt;&gt;"Yes",$AE134&lt;&gt;"N/A"),"Firmware Install, ","")&amp;IF(AND($CB134&lt;&gt;"Yes",$CB134&lt;&gt;"N/A"),"Device ID, ","")&amp;IF(AND($CC134&lt;&gt;"Yes",$CC134&lt;&gt;"N/A"),"Epic Beans Relay, ",""))="","",LEFT(IF(AND($BR134&lt;&gt;"Yes",$BR134&lt;&gt;"N/A"),"Power Cable, ","")&amp;IF(AND($BS134&lt;&gt;"Yes",$BS134&lt;&gt;"N/A"),"Battery, ","")&amp;IF(AND($AD134&lt;&gt;"Yes",$AD134&lt;&gt;"N/A"),"Firmware Download, ","")&amp;IF(AND(OR($AD134="Yes",$AD134="N/A"),$AE134&lt;&gt;"Yes",$AE134&lt;&gt;"N/A"),"Firmware Install, ","")&amp;IF(AND($CB134&lt;&gt;"Yes",$CB134&lt;&gt;"N/A"),"Device ID, ","")&amp;IF(AND($CC134&lt;&gt;"Yes",$CC134&lt;&gt;"N/A"),"Epic Beans Relay, ",""),LEN(IF(AND($BR134&lt;&gt;"Yes",$BR134&lt;&gt;"N/A"),"Power Cable, ","")&amp;IF(AND($BS134&lt;&gt;"Yes",$BS134&lt;&gt;"N/A"),"Battery, ","")&amp;IF(AND($AD134&lt;&gt;"Yes",$AD134&lt;&gt;"N/A"),"Firmware Download, ","")&amp;IF(AND(OR($AD134="Yes",$AD134="N/A"),$AE134&lt;&gt;"Yes",$AE134&lt;&gt;"N/A"),"Firmware Install, ","")&amp;IF(AND($CB134&lt;&gt;"Yes",$CB134&lt;&gt;"N/A"),"Device ID, ","")&amp;IF(AND($CC134&lt;&gt;"Yes",$CC134&lt;&gt;"N/A"),"Epic Beans Relay, ",""))-2)))</f>
        <v/>
      </c>
      <c r="CE134">
        <f>IF($Y134="","",IF($CD134="","Yes","Blocked"))</f>
        <v/>
      </c>
      <c r="CF134" t="inlineStr">
        <is>
          <t>Yes</t>
        </is>
      </c>
      <c r="CG134" t="inlineStr">
        <is>
          <t>Yes</t>
        </is>
      </c>
      <c r="CH134" t="inlineStr">
        <is>
          <t>Yes</t>
        </is>
      </c>
      <c r="CI134" t="inlineStr">
        <is>
          <t>Yes</t>
        </is>
      </c>
      <c r="CJ134" t="inlineStr">
        <is>
          <t>Yes</t>
        </is>
      </c>
      <c r="CP134">
        <f>IF($CO134="","",IFERROR(VLOOKUP($CO134,'01_Warehouse_Ledger'!$A:$N,4,FALSE),""))</f>
        <v/>
      </c>
      <c r="CQ134">
        <f>IF($CO134="","",IFERROR(VLOOKUP($CO134,'01_Warehouse_Ledger'!$A:$N,5,FALSE),""))</f>
        <v/>
      </c>
      <c r="CR134">
        <f>IF($CO134="","",IFERROR(VLOOKUP($CO134,'01_Warehouse_Ledger'!$A:$N,13,FALSE),""))</f>
        <v/>
      </c>
      <c r="CW134">
        <f>IF($S134="","",IF(UPPER(TRIM($S134))&lt;&gt;"PASS","",IF(LEN(TRIM($BY134))&gt;0,"NOTES_PRESENT",IF(LEN(TRIM($T134))=0,"SET_NA",IF(OR(LOWER(TRIM($T134))="na",LOWER(TRIM($T134))="n/a"),"OK","MANUAL_OVERRIDE")))))</f>
        <v/>
      </c>
    </row>
    <row r="135">
      <c r="A135" t="inlineStr">
        <is>
          <t>Cybernet</t>
        </is>
      </c>
      <c r="B135" t="inlineStr">
        <is>
          <t>Yes</t>
        </is>
      </c>
      <c r="C135" t="inlineStr">
        <is>
          <t>Yes</t>
        </is>
      </c>
      <c r="D135">
        <f>IF($B135&lt;&gt;"Yes","",IF($C135="No","Yes",IF($C135="Yes","No","")))</f>
        <v/>
      </c>
      <c r="E135">
        <f>IF($A135="","",IF(OR(AND($V135&lt;&gt;"",LOWER(TRIM($V135))&lt;&gt;"n/a",LOWER(TRIM($V135))&lt;&gt;"na",SUMPRODUCT(--(UPPER(TRIM($V$2:$V$518))=UPPER(TRIM($V135))),--(TRIM($V$2:$V$518)&lt;&gt;""),--(LOWER(TRIM($V$2:$V$518))&lt;&gt;"n/a"),--(LOWER(TRIM($V$2:$V$518))&lt;&gt;"na"))&gt;1),AND($W135&lt;&gt;"",LOWER(TRIM($W135))&lt;&gt;"n/a",LOWER(TRIM($W135))&lt;&gt;"na",SUMPRODUCT(--(UPPER(TRIM($W$2:$W$518))=UPPER(TRIM($W135))),--(TRIM($W$2:$W$518)&lt;&gt;""),--(LOWER(TRIM($W$2:$W$518))&lt;&gt;"n/a"),--(LOWER(TRIM($W$2:$W$518))&lt;&gt;"na"))&gt;1),AND($X135&lt;&gt;"",LOWER(TRIM($X135))&lt;&gt;"n/a",LOWER(TRIM($X135))&lt;&gt;"na",SUMPRODUCT(--(UPPER(TRIM($X$2:$X$518))=UPPER(TRIM($X135))),--(TRIM($X$2:$X$518)&lt;&gt;""),--(LOWER(TRIM($X$2:$X$518))&lt;&gt;"n/a"),--(LOWER(TRIM($X$2:$X$518))&lt;&gt;"na"))&gt;1),AND($Y135&lt;&gt;"",LOWER(TRIM($Y135))&lt;&gt;"n/a",LOWER(TRIM($Y135))&lt;&gt;"na",SUMPRODUCT(--(UPPER(SUBSTITUTE(SUBSTITUTE(TRIM($Y$2:$Y$518),":",""),"-",""))=UPPER(SUBSTITUTE(SUBSTITUTE(TRIM($Y135),":",""),"-",""))),--(TRIM($Y$2:$Y$518)&lt;&gt;""),--(LOWER(TRIM($Y$2:$Y$518))&lt;&gt;"n/a"),--(LOWER(TRIM($Y$2:$Y$518))&lt;&gt;"na"))&gt;1),AND($AB135&lt;&gt;"",LOWER(TRIM($AB135))&lt;&gt;"n/a",LOWER(TRIM($AB135))&lt;&gt;"na",SUMPRODUCT(--(UPPER(TRIM($AB$2:$AB$518))=UPPER(TRIM($AB135))),--(TRIM($AB$2:$AB$518)&lt;&gt;""),--(LOWER(TRIM($AB$2:$AB$518))&lt;&gt;"n/a"),--(LOWER(TRIM($AB$2:$AB$518))&lt;&gt;"na"))&gt;1),AND($AH135&lt;&gt;"",LOWER(TRIM($AH135))&lt;&gt;"n/a",LOWER(TRIM($AH135))&lt;&gt;"na",SUMPRODUCT(--(UPPER(SUBSTITUTE(SUBSTITUTE(TRIM($AH$2:$AH$518),":",""),"-",""))=UPPER(SUBSTITUTE(SUBSTITUTE(TRIM($AH135),":",""),"-",""))),--(TRIM($AH$2:$AH$518)&lt;&gt;""),--(LOWER(TRIM($AH$2:$AH$518))&lt;&gt;"n/a"),--(LOWER(TRIM($AH$2:$AH$518))&lt;&gt;"na"))&gt;1),AND($AP135&lt;&gt;"",LOWER(TRIM($AP135))&lt;&gt;"n/a",LOWER(TRIM($AP135))&lt;&gt;"na",SUMPRODUCT(--(UPPER(TRIM($AP$2:$AP$518))=UPPER(TRIM($AP135))),--(TRIM($AP$2:$AP$518)&lt;&gt;""),--(LOWER(TRIM($AP$2:$AP$518))&lt;&gt;"n/a"),--(LOWER(TRIM($AP$2:$AP$518))&lt;&gt;"na"))&gt;1),AND($AQ135&lt;&gt;"",LOWER(TRIM($AQ135))&lt;&gt;"n/a",LOWER(TRIM($AQ135))&lt;&gt;"na",SUMPRODUCT(--(UPPER(TRIM($AQ$2:$AQ$518))=UPPER(TRIM($AQ135))),--(TRIM($AQ$2:$AQ$518)&lt;&gt;""),--(LOWER(TRIM($AQ$2:$AQ$518))&lt;&gt;"n/a"),--(LOWER(TRIM($AQ$2:$AQ$518))&lt;&gt;"na"))&gt;1)),"Yes","No"))</f>
        <v/>
      </c>
      <c r="F135">
        <f>IF(UPPER(TRIM($B135))&lt;&gt;"YES","", IF(OR(AND($V135&lt;&gt;"", LOWER(TRIM($V135))&lt;&gt;"n/a", LOWER(TRIM($V135))&lt;&gt;"na", SUMPRODUCT(--(UPPER(TRIM($V$2:$V$518))=UPPER(TRIM($V135))), --(UPPER(TRIM($B$2:$B$518))="YES"), --(UPPER(TRIM($G$2:$G$518)&amp;TRIM($I$2:$I$518)&amp;TRIM($J$2:$J$518))&lt;&gt;UPPER(TRIM($G135)&amp;TRIM($I135)&amp;TRIM($J135))))&gt;0), AND($W135&lt;&gt;"", LOWER(TRIM($W135))&lt;&gt;"n/a", LOWER(TRIM($W135))&lt;&gt;"na", SUMPRODUCT(--(UPPER(TRIM($W$2:$W$518))=UPPER(TRIM($W135))), --(UPPER(TRIM($B$2:$B$518))="YES"), --(UPPER(TRIM($G$2:$G$518)&amp;TRIM($I$2:$I$518)&amp;TRIM($J$2:$J$518))&lt;&gt;UPPER(TRIM($G135)&amp;TRIM($I135)&amp;TRIM($J135))))&gt;0), AND($X135&lt;&gt;"", LOWER(TRIM($X135))&lt;&gt;"n/a", LOWER(TRIM($X135))&lt;&gt;"na", SUMPRODUCT(--(UPPER(TRIM($X$2:$X$518))=UPPER(TRIM($X135))), --(UPPER(TRIM($B$2:$B$518))="YES"), --(UPPER(TRIM($G$2:$G$518)&amp;TRIM($I$2:$I$518)&amp;TRIM($J$2:$J$518))&lt;&gt;UPPER(TRIM($G135)&amp;TRIM($I135)&amp;TRIM($J135))))&gt;0), AND($Y135&lt;&gt;"", LOWER(TRIM($Y135))&lt;&gt;"n/a", LOWER(TRIM($Y135))&lt;&gt;"na", SUMPRODUCT(--(UPPER(SUBSTITUTE(SUBSTITUTE(TRIM($Y$2:$Y$518),":",""),"-",""))=UPPER(SUBSTITUTE(SUBSTITUTE(TRIM($Y135),":",""),"-",""))), --(UPPER(TRIM($B$2:$B$518))="YES"), --(UPPER(TRIM($G$2:$G$518)&amp;TRIM($I$2:$I$518)&amp;TRIM($J$2:$J$518))&lt;&gt;UPPER(TRIM($G135)&amp;TRIM($I135)&amp;TRIM($J135))))&gt;0), AND($AB135&lt;&gt;"", LOWER(TRIM($AB135))&lt;&gt;"n/a", LOWER(TRIM($AB135))&lt;&gt;"na", SUMPRODUCT(--(UPPER(TRIM($AB$2:$AB$518))=UPPER(TRIM($AB135))), --(UPPER(TRIM($B$2:$B$518))="YES"), --(UPPER(TRIM($G$2:$G$518)&amp;TRIM($I$2:$I$518)&amp;TRIM($J$2:$J$518))&lt;&gt;UPPER(TRIM($G135)&amp;TRIM($I135)&amp;TRIM($J135))))&gt;0), AND($AH135&lt;&gt;"", LOWER(TRIM($AH135))&lt;&gt;"n/a", LOWER(TRIM($AH135))&lt;&gt;"na", SUMPRODUCT(--(UPPER(SUBSTITUTE(SUBSTITUTE(TRIM($AH$2:$AH$518),":",""),"-",""))=UPPER(SUBSTITUTE(SUBSTITUTE(TRIM($AH135),":",""),"-",""))), --(UPPER(TRIM($B$2:$B$518))="YES"), --(UPPER(TRIM($G$2:$G$518)&amp;TRIM($I$2:$I$518)&amp;TRIM($J$2:$J$518))&lt;&gt;UPPER(TRIM($G135)&amp;TRIM($I135)&amp;TRIM($J135))))&gt;0), AND($AP135&lt;&gt;"", LOWER(TRIM($AP135))&lt;&gt;"n/a", LOWER(TRIM($AP135))&lt;&gt;"na", SUMPRODUCT(--(UPPER(TRIM($AP$2:$AP$518))=UPPER(TRIM($AP135))), --(UPPER(TRIM($B$2:$B$518))="YES"), --(UPPER(TRIM($G$2:$G$518)&amp;TRIM($I$2:$I$518)&amp;TRIM($J$2:$J$518))&lt;&gt;UPPER(TRIM($G135)&amp;TRIM($I135)&amp;TRIM($J135))))&gt;0), AND($AQ135&lt;&gt;"", LOWER(TRIM($AQ135))&lt;&gt;"n/a", LOWER(TRIM($AQ135))&lt;&gt;"na", SUMPRODUCT(--(UPPER(TRIM($AQ$2:$AQ$518))=UPPER(TRIM($AQ135))), --(UPPER(TRIM($B$2:$B$518))="YES"), --(UPPER(TRIM($G$2:$G$518)&amp;TRIM($I$2:$I$518)&amp;TRIM($J$2:$J$518))&lt;&gt;UPPER(TRIM($G135)&amp;TRIM($I135)&amp;TRIM($J135))))&gt;0)), "Yes", "No"))</f>
        <v/>
      </c>
      <c r="G135" t="inlineStr">
        <is>
          <t>LIJ - Proc</t>
        </is>
      </c>
      <c r="H135" t="inlineStr">
        <is>
          <t>LIJ - Proc</t>
        </is>
      </c>
      <c r="I135" t="inlineStr">
        <is>
          <t>LIJ ORs</t>
        </is>
      </c>
      <c r="J135" t="inlineStr">
        <is>
          <t>LIJ - Proc 2</t>
        </is>
      </c>
      <c r="K135" t="inlineStr">
        <is>
          <t>n/a</t>
        </is>
      </c>
      <c r="L135" s="18" t="n">
        <v>46081</v>
      </c>
      <c r="M135" t="inlineStr">
        <is>
          <t>OR iPro Cybernet Workstation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Inpatient</t>
        </is>
      </c>
      <c r="S135" t="inlineStr">
        <is>
          <t>Pass</t>
        </is>
      </c>
      <c r="T135" t="inlineStr">
        <is>
          <t>n/a</t>
        </is>
      </c>
      <c r="U135" t="inlineStr">
        <is>
          <t>1427182 LIJ Installation (Project Name) - Tim W. Seeberger, Akbar, Chris Perkins, Epic Team, Anesthesia Techs, and Admins</t>
        </is>
      </c>
      <c r="V135" t="inlineStr">
        <is>
          <t>WNH270OPR404</t>
        </is>
      </c>
      <c r="W135" t="inlineStr">
        <is>
          <t>MEDSG2425F-0091</t>
        </is>
      </c>
      <c r="X135" t="inlineStr">
        <is>
          <t>LIJ-MACH-X</t>
        </is>
      </c>
      <c r="Y135" t="inlineStr">
        <is>
          <t>00187DE01940</t>
        </is>
      </c>
      <c r="AH135" t="inlineStr">
        <is>
          <t>00:0D:05:0A:a7:91</t>
        </is>
      </c>
      <c r="AI135" t="inlineStr">
        <is>
          <t>Anesthesia Machine</t>
        </is>
      </c>
      <c r="AL135" t="inlineStr">
        <is>
          <t>837-CH3-838</t>
        </is>
      </c>
      <c r="AM135" t="inlineStr">
        <is>
          <t>Drager</t>
        </is>
      </c>
      <c r="AN135" t="inlineStr">
        <is>
          <t>Apollo</t>
        </is>
      </c>
      <c r="AP135" t="inlineStr">
        <is>
          <t>8606500-09ARXM-0347</t>
        </is>
      </c>
      <c r="AQ135" t="inlineStr">
        <is>
          <t>8606500-09ARXM-0347</t>
        </is>
      </c>
      <c r="AS135" t="inlineStr">
        <is>
          <t>B1-CFW</t>
        </is>
      </c>
      <c r="AX135" t="inlineStr">
        <is>
          <t>Patient Monitor - MX750 - 010088483808333221DE776690359086647191866471</t>
        </is>
      </c>
      <c r="AY135" t="inlineStr">
        <is>
          <t>Anesthesia Machine</t>
        </is>
      </c>
      <c r="BR135" t="inlineStr">
        <is>
          <t>Yes</t>
        </is>
      </c>
      <c r="BS135" t="inlineStr">
        <is>
          <t>Yes</t>
        </is>
      </c>
      <c r="BT135" t="inlineStr">
        <is>
          <t>Yes</t>
        </is>
      </c>
      <c r="BU135" t="inlineStr">
        <is>
          <t>Yes</t>
        </is>
      </c>
      <c r="CA135" t="inlineStr">
        <is>
          <t>iPro
Epic Satellite
ALLSCRIPTS
EPIC BCA</t>
        </is>
      </c>
      <c r="CD135">
        <f>IF($Y135="","",IF((IF(AND($BR135&lt;&gt;"Yes",$BR135&lt;&gt;"N/A"),"Power Cable, ","")&amp;IF(AND($BS135&lt;&gt;"Yes",$BS135&lt;&gt;"N/A"),"Battery, ","")&amp;IF(AND($AD135&lt;&gt;"Yes",$AD135&lt;&gt;"N/A"),"Firmware Download, ","")&amp;IF(AND(OR($AD135="Yes",$AD135="N/A"),$AE135&lt;&gt;"Yes",$AE135&lt;&gt;"N/A"),"Firmware Install, ","")&amp;IF(AND($CB135&lt;&gt;"Yes",$CB135&lt;&gt;"N/A"),"Device ID, ","")&amp;IF(AND($CC135&lt;&gt;"Yes",$CC135&lt;&gt;"N/A"),"Epic Beans Relay, ",""))="","",LEFT(IF(AND($BR135&lt;&gt;"Yes",$BR135&lt;&gt;"N/A"),"Power Cable, ","")&amp;IF(AND($BS135&lt;&gt;"Yes",$BS135&lt;&gt;"N/A"),"Battery, ","")&amp;IF(AND($AD135&lt;&gt;"Yes",$AD135&lt;&gt;"N/A"),"Firmware Download, ","")&amp;IF(AND(OR($AD135="Yes",$AD135="N/A"),$AE135&lt;&gt;"Yes",$AE135&lt;&gt;"N/A"),"Firmware Install, ","")&amp;IF(AND($CB135&lt;&gt;"Yes",$CB135&lt;&gt;"N/A"),"Device ID, ","")&amp;IF(AND($CC135&lt;&gt;"Yes",$CC135&lt;&gt;"N/A"),"Epic Beans Relay, ",""),LEN(IF(AND($BR135&lt;&gt;"Yes",$BR135&lt;&gt;"N/A"),"Power Cable, ","")&amp;IF(AND($BS135&lt;&gt;"Yes",$BS135&lt;&gt;"N/A"),"Battery, ","")&amp;IF(AND($AD135&lt;&gt;"Yes",$AD135&lt;&gt;"N/A"),"Firmware Download, ","")&amp;IF(AND(OR($AD135="Yes",$AD135="N/A"),$AE135&lt;&gt;"Yes",$AE135&lt;&gt;"N/A"),"Firmware Install, ","")&amp;IF(AND($CB135&lt;&gt;"Yes",$CB135&lt;&gt;"N/A"),"Device ID, ","")&amp;IF(AND($CC135&lt;&gt;"Yes",$CC135&lt;&gt;"N/A"),"Epic Beans Relay, ",""))-2)))</f>
        <v/>
      </c>
      <c r="CE135">
        <f>IF($Y135="","",IF($CD135="","Yes","Blocked"))</f>
        <v/>
      </c>
      <c r="CF135" t="inlineStr">
        <is>
          <t>Yes</t>
        </is>
      </c>
      <c r="CG135" t="inlineStr">
        <is>
          <t>Yes</t>
        </is>
      </c>
      <c r="CH135" t="inlineStr">
        <is>
          <t>Yes</t>
        </is>
      </c>
      <c r="CI135" t="inlineStr">
        <is>
          <t>Yes</t>
        </is>
      </c>
      <c r="CJ135" t="inlineStr">
        <is>
          <t>Yes</t>
        </is>
      </c>
      <c r="CP135">
        <f>IF($CO135="","",IFERROR(VLOOKUP($CO135,'01_Warehouse_Ledger'!$A:$N,4,FALSE),""))</f>
        <v/>
      </c>
      <c r="CQ135">
        <f>IF($CO135="","",IFERROR(VLOOKUP($CO135,'01_Warehouse_Ledger'!$A:$N,5,FALSE),""))</f>
        <v/>
      </c>
      <c r="CR135">
        <f>IF($CO135="","",IFERROR(VLOOKUP($CO135,'01_Warehouse_Ledger'!$A:$N,13,FALSE),""))</f>
        <v/>
      </c>
      <c r="CW135">
        <f>IF($S135="","",IF(UPPER(TRIM($S135))&lt;&gt;"PASS","",IF(LEN(TRIM($BY135))&gt;0,"NOTES_PRESENT",IF(LEN(TRIM($T135))=0,"SET_NA",IF(OR(LOWER(TRIM($T135))="na",LOWER(TRIM($T135))="n/a"),"OK","MANUAL_OVERRIDE")))))</f>
        <v/>
      </c>
    </row>
    <row r="136">
      <c r="A136" t="inlineStr">
        <is>
          <t>Cybernet</t>
        </is>
      </c>
      <c r="B136" t="inlineStr">
        <is>
          <t>Yes</t>
        </is>
      </c>
      <c r="C136" t="inlineStr">
        <is>
          <t>Yes</t>
        </is>
      </c>
      <c r="D136">
        <f>IF($B136&lt;&gt;"Yes","",IF($C136="No","Yes",IF($C136="Yes","No","")))</f>
        <v/>
      </c>
      <c r="E136">
        <f>IF($A136="","",IF(OR(AND($V136&lt;&gt;"",LOWER(TRIM($V136))&lt;&gt;"n/a",LOWER(TRIM($V136))&lt;&gt;"na",SUMPRODUCT(--(UPPER(TRIM($V$2:$V$518))=UPPER(TRIM($V136))),--(TRIM($V$2:$V$518)&lt;&gt;""),--(LOWER(TRIM($V$2:$V$518))&lt;&gt;"n/a"),--(LOWER(TRIM($V$2:$V$518))&lt;&gt;"na"))&gt;1),AND($W136&lt;&gt;"",LOWER(TRIM($W136))&lt;&gt;"n/a",LOWER(TRIM($W136))&lt;&gt;"na",SUMPRODUCT(--(UPPER(TRIM($W$2:$W$518))=UPPER(TRIM($W136))),--(TRIM($W$2:$W$518)&lt;&gt;""),--(LOWER(TRIM($W$2:$W$518))&lt;&gt;"n/a"),--(LOWER(TRIM($W$2:$W$518))&lt;&gt;"na"))&gt;1),AND($X136&lt;&gt;"",LOWER(TRIM($X136))&lt;&gt;"n/a",LOWER(TRIM($X136))&lt;&gt;"na",SUMPRODUCT(--(UPPER(TRIM($X$2:$X$518))=UPPER(TRIM($X136))),--(TRIM($X$2:$X$518)&lt;&gt;""),--(LOWER(TRIM($X$2:$X$518))&lt;&gt;"n/a"),--(LOWER(TRIM($X$2:$X$518))&lt;&gt;"na"))&gt;1),AND($Y136&lt;&gt;"",LOWER(TRIM($Y136))&lt;&gt;"n/a",LOWER(TRIM($Y136))&lt;&gt;"na",SUMPRODUCT(--(UPPER(SUBSTITUTE(SUBSTITUTE(TRIM($Y$2:$Y$518),":",""),"-",""))=UPPER(SUBSTITUTE(SUBSTITUTE(TRIM($Y136),":",""),"-",""))),--(TRIM($Y$2:$Y$518)&lt;&gt;""),--(LOWER(TRIM($Y$2:$Y$518))&lt;&gt;"n/a"),--(LOWER(TRIM($Y$2:$Y$518))&lt;&gt;"na"))&gt;1),AND($AB136&lt;&gt;"",LOWER(TRIM($AB136))&lt;&gt;"n/a",LOWER(TRIM($AB136))&lt;&gt;"na",SUMPRODUCT(--(UPPER(TRIM($AB$2:$AB$518))=UPPER(TRIM($AB136))),--(TRIM($AB$2:$AB$518)&lt;&gt;""),--(LOWER(TRIM($AB$2:$AB$518))&lt;&gt;"n/a"),--(LOWER(TRIM($AB$2:$AB$518))&lt;&gt;"na"))&gt;1),AND($AH136&lt;&gt;"",LOWER(TRIM($AH136))&lt;&gt;"n/a",LOWER(TRIM($AH136))&lt;&gt;"na",SUMPRODUCT(--(UPPER(SUBSTITUTE(SUBSTITUTE(TRIM($AH$2:$AH$518),":",""),"-",""))=UPPER(SUBSTITUTE(SUBSTITUTE(TRIM($AH136),":",""),"-",""))),--(TRIM($AH$2:$AH$518)&lt;&gt;""),--(LOWER(TRIM($AH$2:$AH$518))&lt;&gt;"n/a"),--(LOWER(TRIM($AH$2:$AH$518))&lt;&gt;"na"))&gt;1),AND($AP136&lt;&gt;"",LOWER(TRIM($AP136))&lt;&gt;"n/a",LOWER(TRIM($AP136))&lt;&gt;"na",SUMPRODUCT(--(UPPER(TRIM($AP$2:$AP$518))=UPPER(TRIM($AP136))),--(TRIM($AP$2:$AP$518)&lt;&gt;""),--(LOWER(TRIM($AP$2:$AP$518))&lt;&gt;"n/a"),--(LOWER(TRIM($AP$2:$AP$518))&lt;&gt;"na"))&gt;1),AND($AQ136&lt;&gt;"",LOWER(TRIM($AQ136))&lt;&gt;"n/a",LOWER(TRIM($AQ136))&lt;&gt;"na",SUMPRODUCT(--(UPPER(TRIM($AQ$2:$AQ$518))=UPPER(TRIM($AQ136))),--(TRIM($AQ$2:$AQ$518)&lt;&gt;""),--(LOWER(TRIM($AQ$2:$AQ$518))&lt;&gt;"n/a"),--(LOWER(TRIM($AQ$2:$AQ$518))&lt;&gt;"na"))&gt;1)),"Yes","No"))</f>
        <v/>
      </c>
      <c r="F136">
        <f>IF(UPPER(TRIM($B136))&lt;&gt;"YES","", IF(OR(AND($V136&lt;&gt;"", LOWER(TRIM($V136))&lt;&gt;"n/a", LOWER(TRIM($V136))&lt;&gt;"na", SUMPRODUCT(--(UPPER(TRIM($V$2:$V$518))=UPPER(TRIM($V136))), --(UPPER(TRIM($B$2:$B$518))="YES"), --(UPPER(TRIM($G$2:$G$518)&amp;TRIM($I$2:$I$518)&amp;TRIM($J$2:$J$518))&lt;&gt;UPPER(TRIM($G136)&amp;TRIM($I136)&amp;TRIM($J136))))&gt;0), AND($W136&lt;&gt;"", LOWER(TRIM($W136))&lt;&gt;"n/a", LOWER(TRIM($W136))&lt;&gt;"na", SUMPRODUCT(--(UPPER(TRIM($W$2:$W$518))=UPPER(TRIM($W136))), --(UPPER(TRIM($B$2:$B$518))="YES"), --(UPPER(TRIM($G$2:$G$518)&amp;TRIM($I$2:$I$518)&amp;TRIM($J$2:$J$518))&lt;&gt;UPPER(TRIM($G136)&amp;TRIM($I136)&amp;TRIM($J136))))&gt;0), AND($X136&lt;&gt;"", LOWER(TRIM($X136))&lt;&gt;"n/a", LOWER(TRIM($X136))&lt;&gt;"na", SUMPRODUCT(--(UPPER(TRIM($X$2:$X$518))=UPPER(TRIM($X136))), --(UPPER(TRIM($B$2:$B$518))="YES"), --(UPPER(TRIM($G$2:$G$518)&amp;TRIM($I$2:$I$518)&amp;TRIM($J$2:$J$518))&lt;&gt;UPPER(TRIM($G136)&amp;TRIM($I136)&amp;TRIM($J136))))&gt;0), AND($Y136&lt;&gt;"", LOWER(TRIM($Y136))&lt;&gt;"n/a", LOWER(TRIM($Y136))&lt;&gt;"na", SUMPRODUCT(--(UPPER(SUBSTITUTE(SUBSTITUTE(TRIM($Y$2:$Y$518),":",""),"-",""))=UPPER(SUBSTITUTE(SUBSTITUTE(TRIM($Y136),":",""),"-",""))), --(UPPER(TRIM($B$2:$B$518))="YES"), --(UPPER(TRIM($G$2:$G$518)&amp;TRIM($I$2:$I$518)&amp;TRIM($J$2:$J$518))&lt;&gt;UPPER(TRIM($G136)&amp;TRIM($I136)&amp;TRIM($J136))))&gt;0), AND($AB136&lt;&gt;"", LOWER(TRIM($AB136))&lt;&gt;"n/a", LOWER(TRIM($AB136))&lt;&gt;"na", SUMPRODUCT(--(UPPER(TRIM($AB$2:$AB$518))=UPPER(TRIM($AB136))), --(UPPER(TRIM($B$2:$B$518))="YES"), --(UPPER(TRIM($G$2:$G$518)&amp;TRIM($I$2:$I$518)&amp;TRIM($J$2:$J$518))&lt;&gt;UPPER(TRIM($G136)&amp;TRIM($I136)&amp;TRIM($J136))))&gt;0), AND($AH136&lt;&gt;"", LOWER(TRIM($AH136))&lt;&gt;"n/a", LOWER(TRIM($AH136))&lt;&gt;"na", SUMPRODUCT(--(UPPER(SUBSTITUTE(SUBSTITUTE(TRIM($AH$2:$AH$518),":",""),"-",""))=UPPER(SUBSTITUTE(SUBSTITUTE(TRIM($AH136),":",""),"-",""))), --(UPPER(TRIM($B$2:$B$518))="YES"), --(UPPER(TRIM($G$2:$G$518)&amp;TRIM($I$2:$I$518)&amp;TRIM($J$2:$J$518))&lt;&gt;UPPER(TRIM($G136)&amp;TRIM($I136)&amp;TRIM($J136))))&gt;0), AND($AP136&lt;&gt;"", LOWER(TRIM($AP136))&lt;&gt;"n/a", LOWER(TRIM($AP136))&lt;&gt;"na", SUMPRODUCT(--(UPPER(TRIM($AP$2:$AP$518))=UPPER(TRIM($AP136))), --(UPPER(TRIM($B$2:$B$518))="YES"), --(UPPER(TRIM($G$2:$G$518)&amp;TRIM($I$2:$I$518)&amp;TRIM($J$2:$J$518))&lt;&gt;UPPER(TRIM($G136)&amp;TRIM($I136)&amp;TRIM($J136))))&gt;0), AND($AQ136&lt;&gt;"", LOWER(TRIM($AQ136))&lt;&gt;"n/a", LOWER(TRIM($AQ136))&lt;&gt;"na", SUMPRODUCT(--(UPPER(TRIM($AQ$2:$AQ$518))=UPPER(TRIM($AQ136))), --(UPPER(TRIM($B$2:$B$518))="YES"), --(UPPER(TRIM($G$2:$G$518)&amp;TRIM($I$2:$I$518)&amp;TRIM($J$2:$J$518))&lt;&gt;UPPER(TRIM($G136)&amp;TRIM($I136)&amp;TRIM($J136))))&gt;0)), "Yes", "No"))</f>
        <v/>
      </c>
      <c r="G136" t="inlineStr">
        <is>
          <t>LIJ - Proc</t>
        </is>
      </c>
      <c r="H136" t="inlineStr">
        <is>
          <t>LIJ - Proc</t>
        </is>
      </c>
      <c r="I136" t="inlineStr">
        <is>
          <t>ENDO Proc</t>
        </is>
      </c>
      <c r="J136" t="inlineStr">
        <is>
          <t>ROAMING SPARE</t>
        </is>
      </c>
      <c r="K136" t="inlineStr">
        <is>
          <t>n/a</t>
        </is>
      </c>
      <c r="L136" s="18" t="n">
        <v>46081</v>
      </c>
      <c r="M136" t="inlineStr">
        <is>
          <t>OR iPro Cybernet Workstation</t>
        </is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  <c r="Q136" t="inlineStr">
        <is>
          <t>Inpatient</t>
        </is>
      </c>
      <c r="S136" t="inlineStr">
        <is>
          <t>Pass</t>
        </is>
      </c>
      <c r="T136" t="inlineStr">
        <is>
          <t>n/a</t>
        </is>
      </c>
      <c r="U136" t="inlineStr">
        <is>
          <t>1427182 LIJ Installation (Project Name) - Tim W. Seeberger, Akbar, Chris Perkins, Epic Team, Anesthesia Techs, and Admins</t>
        </is>
      </c>
      <c r="V136" t="inlineStr">
        <is>
          <t>WNH270OPR405</t>
        </is>
      </c>
      <c r="W136" t="inlineStr">
        <is>
          <t>MEDSG2425F-0160</t>
        </is>
      </c>
      <c r="X136" t="inlineStr">
        <is>
          <t>????</t>
        </is>
      </c>
      <c r="Y136" t="inlineStr">
        <is>
          <t>??????</t>
        </is>
      </c>
      <c r="AH136" t="inlineStr">
        <is>
          <t>00:0D:05:0A:a6:85</t>
        </is>
      </c>
      <c r="AY136" t="inlineStr">
        <is>
          <t>Anesthesia Machine</t>
        </is>
      </c>
      <c r="BR136" t="inlineStr">
        <is>
          <t>Yes</t>
        </is>
      </c>
      <c r="BS136" t="inlineStr">
        <is>
          <t>Yes</t>
        </is>
      </c>
      <c r="BT136" t="inlineStr">
        <is>
          <t>Yes</t>
        </is>
      </c>
      <c r="BU136" t="inlineStr">
        <is>
          <t>Yes</t>
        </is>
      </c>
      <c r="CA136" t="inlineStr">
        <is>
          <t>iPro
Epic Satellite
ALLSCRIPTS
EPIC BCA</t>
        </is>
      </c>
      <c r="CD136">
        <f>IF($Y136="","",IF((IF(AND($BR136&lt;&gt;"Yes",$BR136&lt;&gt;"N/A"),"Power Cable, ","")&amp;IF(AND($BS136&lt;&gt;"Yes",$BS136&lt;&gt;"N/A"),"Battery, ","")&amp;IF(AND($AD136&lt;&gt;"Yes",$AD136&lt;&gt;"N/A"),"Firmware Download, ","")&amp;IF(AND(OR($AD136="Yes",$AD136="N/A"),$AE136&lt;&gt;"Yes",$AE136&lt;&gt;"N/A"),"Firmware Install, ","")&amp;IF(AND($CB136&lt;&gt;"Yes",$CB136&lt;&gt;"N/A"),"Device ID, ","")&amp;IF(AND($CC136&lt;&gt;"Yes",$CC136&lt;&gt;"N/A"),"Epic Beans Relay, ",""))="","",LEFT(IF(AND($BR136&lt;&gt;"Yes",$BR136&lt;&gt;"N/A"),"Power Cable, ","")&amp;IF(AND($BS136&lt;&gt;"Yes",$BS136&lt;&gt;"N/A"),"Battery, ","")&amp;IF(AND($AD136&lt;&gt;"Yes",$AD136&lt;&gt;"N/A"),"Firmware Download, ","")&amp;IF(AND(OR($AD136="Yes",$AD136="N/A"),$AE136&lt;&gt;"Yes",$AE136&lt;&gt;"N/A"),"Firmware Install, ","")&amp;IF(AND($CB136&lt;&gt;"Yes",$CB136&lt;&gt;"N/A"),"Device ID, ","")&amp;IF(AND($CC136&lt;&gt;"Yes",$CC136&lt;&gt;"N/A"),"Epic Beans Relay, ",""),LEN(IF(AND($BR136&lt;&gt;"Yes",$BR136&lt;&gt;"N/A"),"Power Cable, ","")&amp;IF(AND($BS136&lt;&gt;"Yes",$BS136&lt;&gt;"N/A"),"Battery, ","")&amp;IF(AND($AD136&lt;&gt;"Yes",$AD136&lt;&gt;"N/A"),"Firmware Download, ","")&amp;IF(AND(OR($AD136="Yes",$AD136="N/A"),$AE136&lt;&gt;"Yes",$AE136&lt;&gt;"N/A"),"Firmware Install, ","")&amp;IF(AND($CB136&lt;&gt;"Yes",$CB136&lt;&gt;"N/A"),"Device ID, ","")&amp;IF(AND($CC136&lt;&gt;"Yes",$CC136&lt;&gt;"N/A"),"Epic Beans Relay, ",""))-2)))</f>
        <v/>
      </c>
      <c r="CE136">
        <f>IF($Y136="","",IF($CD136="","Yes","Blocked"))</f>
        <v/>
      </c>
      <c r="CF136" t="inlineStr">
        <is>
          <t>Yes</t>
        </is>
      </c>
      <c r="CG136" t="inlineStr">
        <is>
          <t>Yes</t>
        </is>
      </c>
      <c r="CH136" t="inlineStr">
        <is>
          <t>Yes</t>
        </is>
      </c>
      <c r="CI136" t="inlineStr">
        <is>
          <t>Yes</t>
        </is>
      </c>
      <c r="CJ136" t="inlineStr">
        <is>
          <t>Yes</t>
        </is>
      </c>
      <c r="CP136">
        <f>IF($CO136="","",IFERROR(VLOOKUP($CO136,'01_Warehouse_Ledger'!$A:$N,4,FALSE),""))</f>
        <v/>
      </c>
      <c r="CQ136">
        <f>IF($CO136="","",IFERROR(VLOOKUP($CO136,'01_Warehouse_Ledger'!$A:$N,5,FALSE),""))</f>
        <v/>
      </c>
      <c r="CR136">
        <f>IF($CO136="","",IFERROR(VLOOKUP($CO136,'01_Warehouse_Ledger'!$A:$N,13,FALSE),""))</f>
        <v/>
      </c>
      <c r="CW136">
        <f>IF($S136="","",IF(UPPER(TRIM($S136))&lt;&gt;"PASS","",IF(LEN(TRIM($BY136))&gt;0,"NOTES_PRESENT",IF(LEN(TRIM($T136))=0,"SET_NA",IF(OR(LOWER(TRIM($T136))="na",LOWER(TRIM($T136))="n/a"),"OK","MANUAL_OVERRIDE")))))</f>
        <v/>
      </c>
    </row>
    <row r="137">
      <c r="A137" t="inlineStr">
        <is>
          <t>Cybernet</t>
        </is>
      </c>
      <c r="B137" t="inlineStr">
        <is>
          <t>Yes</t>
        </is>
      </c>
      <c r="C137" t="inlineStr">
        <is>
          <t>Yes</t>
        </is>
      </c>
      <c r="D137">
        <f>IF($B137&lt;&gt;"Yes","",IF($C137="No","Yes",IF($C137="Yes","No","")))</f>
        <v/>
      </c>
      <c r="E137">
        <f>IF($A137="","",IF(OR(AND($V137&lt;&gt;"",LOWER(TRIM($V137))&lt;&gt;"n/a",LOWER(TRIM($V137))&lt;&gt;"na",SUMPRODUCT(--(UPPER(TRIM($V$2:$V$518))=UPPER(TRIM($V137))),--(TRIM($V$2:$V$518)&lt;&gt;""),--(LOWER(TRIM($V$2:$V$518))&lt;&gt;"n/a"),--(LOWER(TRIM($V$2:$V$518))&lt;&gt;"na"))&gt;1),AND($W137&lt;&gt;"",LOWER(TRIM($W137))&lt;&gt;"n/a",LOWER(TRIM($W137))&lt;&gt;"na",SUMPRODUCT(--(UPPER(TRIM($W$2:$W$518))=UPPER(TRIM($W137))),--(TRIM($W$2:$W$518)&lt;&gt;""),--(LOWER(TRIM($W$2:$W$518))&lt;&gt;"n/a"),--(LOWER(TRIM($W$2:$W$518))&lt;&gt;"na"))&gt;1),AND($X137&lt;&gt;"",LOWER(TRIM($X137))&lt;&gt;"n/a",LOWER(TRIM($X137))&lt;&gt;"na",SUMPRODUCT(--(UPPER(TRIM($X$2:$X$518))=UPPER(TRIM($X137))),--(TRIM($X$2:$X$518)&lt;&gt;""),--(LOWER(TRIM($X$2:$X$518))&lt;&gt;"n/a"),--(LOWER(TRIM($X$2:$X$518))&lt;&gt;"na"))&gt;1),AND($Y137&lt;&gt;"",LOWER(TRIM($Y137))&lt;&gt;"n/a",LOWER(TRIM($Y137))&lt;&gt;"na",SUMPRODUCT(--(UPPER(SUBSTITUTE(SUBSTITUTE(TRIM($Y$2:$Y$518),":",""),"-",""))=UPPER(SUBSTITUTE(SUBSTITUTE(TRIM($Y137),":",""),"-",""))),--(TRIM($Y$2:$Y$518)&lt;&gt;""),--(LOWER(TRIM($Y$2:$Y$518))&lt;&gt;"n/a"),--(LOWER(TRIM($Y$2:$Y$518))&lt;&gt;"na"))&gt;1),AND($AB137&lt;&gt;"",LOWER(TRIM($AB137))&lt;&gt;"n/a",LOWER(TRIM($AB137))&lt;&gt;"na",SUMPRODUCT(--(UPPER(TRIM($AB$2:$AB$518))=UPPER(TRIM($AB137))),--(TRIM($AB$2:$AB$518)&lt;&gt;""),--(LOWER(TRIM($AB$2:$AB$518))&lt;&gt;"n/a"),--(LOWER(TRIM($AB$2:$AB$518))&lt;&gt;"na"))&gt;1),AND($AH137&lt;&gt;"",LOWER(TRIM($AH137))&lt;&gt;"n/a",LOWER(TRIM($AH137))&lt;&gt;"na",SUMPRODUCT(--(UPPER(SUBSTITUTE(SUBSTITUTE(TRIM($AH$2:$AH$518),":",""),"-",""))=UPPER(SUBSTITUTE(SUBSTITUTE(TRIM($AH137),":",""),"-",""))),--(TRIM($AH$2:$AH$518)&lt;&gt;""),--(LOWER(TRIM($AH$2:$AH$518))&lt;&gt;"n/a"),--(LOWER(TRIM($AH$2:$AH$518))&lt;&gt;"na"))&gt;1),AND($AP137&lt;&gt;"",LOWER(TRIM($AP137))&lt;&gt;"n/a",LOWER(TRIM($AP137))&lt;&gt;"na",SUMPRODUCT(--(UPPER(TRIM($AP$2:$AP$518))=UPPER(TRIM($AP137))),--(TRIM($AP$2:$AP$518)&lt;&gt;""),--(LOWER(TRIM($AP$2:$AP$518))&lt;&gt;"n/a"),--(LOWER(TRIM($AP$2:$AP$518))&lt;&gt;"na"))&gt;1),AND($AQ137&lt;&gt;"",LOWER(TRIM($AQ137))&lt;&gt;"n/a",LOWER(TRIM($AQ137))&lt;&gt;"na",SUMPRODUCT(--(UPPER(TRIM($AQ$2:$AQ$518))=UPPER(TRIM($AQ137))),--(TRIM($AQ$2:$AQ$518)&lt;&gt;""),--(LOWER(TRIM($AQ$2:$AQ$518))&lt;&gt;"n/a"),--(LOWER(TRIM($AQ$2:$AQ$518))&lt;&gt;"na"))&gt;1)),"Yes","No"))</f>
        <v/>
      </c>
      <c r="F137">
        <f>IF(UPPER(TRIM($B137))&lt;&gt;"YES","", IF(OR(AND($V137&lt;&gt;"", LOWER(TRIM($V137))&lt;&gt;"n/a", LOWER(TRIM($V137))&lt;&gt;"na", SUMPRODUCT(--(UPPER(TRIM($V$2:$V$518))=UPPER(TRIM($V137))), --(UPPER(TRIM($B$2:$B$518))="YES"), --(UPPER(TRIM($G$2:$G$518)&amp;TRIM($I$2:$I$518)&amp;TRIM($J$2:$J$518))&lt;&gt;UPPER(TRIM($G137)&amp;TRIM($I137)&amp;TRIM($J137))))&gt;0), AND($W137&lt;&gt;"", LOWER(TRIM($W137))&lt;&gt;"n/a", LOWER(TRIM($W137))&lt;&gt;"na", SUMPRODUCT(--(UPPER(TRIM($W$2:$W$518))=UPPER(TRIM($W137))), --(UPPER(TRIM($B$2:$B$518))="YES"), --(UPPER(TRIM($G$2:$G$518)&amp;TRIM($I$2:$I$518)&amp;TRIM($J$2:$J$518))&lt;&gt;UPPER(TRIM($G137)&amp;TRIM($I137)&amp;TRIM($J137))))&gt;0), AND($X137&lt;&gt;"", LOWER(TRIM($X137))&lt;&gt;"n/a", LOWER(TRIM($X137))&lt;&gt;"na", SUMPRODUCT(--(UPPER(TRIM($X$2:$X$518))=UPPER(TRIM($X137))), --(UPPER(TRIM($B$2:$B$518))="YES"), --(UPPER(TRIM($G$2:$G$518)&amp;TRIM($I$2:$I$518)&amp;TRIM($J$2:$J$518))&lt;&gt;UPPER(TRIM($G137)&amp;TRIM($I137)&amp;TRIM($J137))))&gt;0), AND($Y137&lt;&gt;"", LOWER(TRIM($Y137))&lt;&gt;"n/a", LOWER(TRIM($Y137))&lt;&gt;"na", SUMPRODUCT(--(UPPER(SUBSTITUTE(SUBSTITUTE(TRIM($Y$2:$Y$518),":",""),"-",""))=UPPER(SUBSTITUTE(SUBSTITUTE(TRIM($Y137),":",""),"-",""))), --(UPPER(TRIM($B$2:$B$518))="YES"), --(UPPER(TRIM($G$2:$G$518)&amp;TRIM($I$2:$I$518)&amp;TRIM($J$2:$J$518))&lt;&gt;UPPER(TRIM($G137)&amp;TRIM($I137)&amp;TRIM($J137))))&gt;0), AND($AB137&lt;&gt;"", LOWER(TRIM($AB137))&lt;&gt;"n/a", LOWER(TRIM($AB137))&lt;&gt;"na", SUMPRODUCT(--(UPPER(TRIM($AB$2:$AB$518))=UPPER(TRIM($AB137))), --(UPPER(TRIM($B$2:$B$518))="YES"), --(UPPER(TRIM($G$2:$G$518)&amp;TRIM($I$2:$I$518)&amp;TRIM($J$2:$J$518))&lt;&gt;UPPER(TRIM($G137)&amp;TRIM($I137)&amp;TRIM($J137))))&gt;0), AND($AH137&lt;&gt;"", LOWER(TRIM($AH137))&lt;&gt;"n/a", LOWER(TRIM($AH137))&lt;&gt;"na", SUMPRODUCT(--(UPPER(SUBSTITUTE(SUBSTITUTE(TRIM($AH$2:$AH$518),":",""),"-",""))=UPPER(SUBSTITUTE(SUBSTITUTE(TRIM($AH137),":",""),"-",""))), --(UPPER(TRIM($B$2:$B$518))="YES"), --(UPPER(TRIM($G$2:$G$518)&amp;TRIM($I$2:$I$518)&amp;TRIM($J$2:$J$518))&lt;&gt;UPPER(TRIM($G137)&amp;TRIM($I137)&amp;TRIM($J137))))&gt;0), AND($AP137&lt;&gt;"", LOWER(TRIM($AP137))&lt;&gt;"n/a", LOWER(TRIM($AP137))&lt;&gt;"na", SUMPRODUCT(--(UPPER(TRIM($AP$2:$AP$518))=UPPER(TRIM($AP137))), --(UPPER(TRIM($B$2:$B$518))="YES"), --(UPPER(TRIM($G$2:$G$518)&amp;TRIM($I$2:$I$518)&amp;TRIM($J$2:$J$518))&lt;&gt;UPPER(TRIM($G137)&amp;TRIM($I137)&amp;TRIM($J137))))&gt;0), AND($AQ137&lt;&gt;"", LOWER(TRIM($AQ137))&lt;&gt;"n/a", LOWER(TRIM($AQ137))&lt;&gt;"na", SUMPRODUCT(--(UPPER(TRIM($AQ$2:$AQ$518))=UPPER(TRIM($AQ137))), --(UPPER(TRIM($B$2:$B$518))="YES"), --(UPPER(TRIM($G$2:$G$518)&amp;TRIM($I$2:$I$518)&amp;TRIM($J$2:$J$518))&lt;&gt;UPPER(TRIM($G137)&amp;TRIM($I137)&amp;TRIM($J137))))&gt;0)), "Yes", "No"))</f>
        <v/>
      </c>
      <c r="G137" t="inlineStr">
        <is>
          <t>LIJ - Proc</t>
        </is>
      </c>
      <c r="H137" t="inlineStr">
        <is>
          <t>LIJ - Proc</t>
        </is>
      </c>
      <c r="I137" t="inlineStr">
        <is>
          <t>LDR ORs</t>
        </is>
      </c>
      <c r="J137" t="inlineStr">
        <is>
          <t>OB OR 3</t>
        </is>
      </c>
      <c r="K137" t="inlineStr">
        <is>
          <t>n/a</t>
        </is>
      </c>
      <c r="L137" s="18" t="n">
        <v>46081</v>
      </c>
      <c r="M137" t="inlineStr">
        <is>
          <t>OR iPro Cybernet Workstation</t>
        </is>
      </c>
      <c r="N137" t="inlineStr">
        <is>
          <t>Yes</t>
        </is>
      </c>
      <c r="O137" t="inlineStr">
        <is>
          <t>No</t>
        </is>
      </c>
      <c r="P137" t="inlineStr">
        <is>
          <t>No</t>
        </is>
      </c>
      <c r="Q137" t="inlineStr">
        <is>
          <t>Inpatient</t>
        </is>
      </c>
      <c r="S137" t="inlineStr">
        <is>
          <t>Pass</t>
        </is>
      </c>
      <c r="T137" t="inlineStr">
        <is>
          <t>n/a</t>
        </is>
      </c>
      <c r="U137" t="inlineStr">
        <is>
          <t>1427182 LIJ Installation (Project Name) - Tim W. Seeberger, Akbar, Chris Perkins, Epic Team, Anesthesia Techs, and Admins</t>
        </is>
      </c>
      <c r="V137" t="inlineStr">
        <is>
          <t>WNH270OPR406</t>
        </is>
      </c>
      <c r="W137" t="inlineStr">
        <is>
          <t>MEDSG2425F-0149</t>
        </is>
      </c>
      <c r="X137" t="inlineStr">
        <is>
          <t>LIJ-MACH-TT</t>
        </is>
      </c>
      <c r="Y137" t="inlineStr">
        <is>
          <t>00187DE0E266</t>
        </is>
      </c>
      <c r="Z137" t="inlineStr">
        <is>
          <t>n/a</t>
        </is>
      </c>
      <c r="AH137" t="inlineStr">
        <is>
          <t>00:0D:05:0A:a5:f7</t>
        </is>
      </c>
      <c r="AI137" t="inlineStr">
        <is>
          <t>Anesthesia Machine</t>
        </is>
      </c>
      <c r="AK137" t="n">
        <v>2</v>
      </c>
      <c r="AL137" t="inlineStr">
        <is>
          <t>2403BM026</t>
        </is>
      </c>
      <c r="AM137" t="inlineStr">
        <is>
          <t>Drager</t>
        </is>
      </c>
      <c r="AN137" t="inlineStr">
        <is>
          <t>Apollo</t>
        </is>
      </c>
      <c r="AP137" t="inlineStr">
        <is>
          <t>ASKF-0208</t>
        </is>
      </c>
      <c r="AQ137" t="inlineStr">
        <is>
          <t>ASKF-0208</t>
        </is>
      </c>
      <c r="AS137" t="inlineStr">
        <is>
          <t>B1-CFW</t>
        </is>
      </c>
      <c r="AX137" t="inlineStr">
        <is>
          <t>MX750 -  DE77669054</t>
        </is>
      </c>
      <c r="AY137" t="inlineStr">
        <is>
          <t>Anesthesia Machine</t>
        </is>
      </c>
      <c r="BR137" t="inlineStr">
        <is>
          <t>Yes</t>
        </is>
      </c>
      <c r="BS137" t="inlineStr">
        <is>
          <t>Yes</t>
        </is>
      </c>
      <c r="BT137" t="inlineStr">
        <is>
          <t>Yes</t>
        </is>
      </c>
      <c r="BU137" t="inlineStr">
        <is>
          <t>Yes</t>
        </is>
      </c>
      <c r="CA137" t="inlineStr">
        <is>
          <t>iPro
Epic Satellite
ALLSCRIPTS
EPIC BCA</t>
        </is>
      </c>
      <c r="CD137">
        <f>IF($Y137="","",IF((IF(AND($BR137&lt;&gt;"Yes",$BR137&lt;&gt;"N/A"),"Power Cable, ","")&amp;IF(AND($BS137&lt;&gt;"Yes",$BS137&lt;&gt;"N/A"),"Battery, ","")&amp;IF(AND($AD137&lt;&gt;"Yes",$AD137&lt;&gt;"N/A"),"Firmware Download, ","")&amp;IF(AND(OR($AD137="Yes",$AD137="N/A"),$AE137&lt;&gt;"Yes",$AE137&lt;&gt;"N/A"),"Firmware Install, ","")&amp;IF(AND($CB137&lt;&gt;"Yes",$CB137&lt;&gt;"N/A"),"Device ID, ","")&amp;IF(AND($CC137&lt;&gt;"Yes",$CC137&lt;&gt;"N/A"),"Epic Beans Relay, ",""))="","",LEFT(IF(AND($BR137&lt;&gt;"Yes",$BR137&lt;&gt;"N/A"),"Power Cable, ","")&amp;IF(AND($BS137&lt;&gt;"Yes",$BS137&lt;&gt;"N/A"),"Battery, ","")&amp;IF(AND($AD137&lt;&gt;"Yes",$AD137&lt;&gt;"N/A"),"Firmware Download, ","")&amp;IF(AND(OR($AD137="Yes",$AD137="N/A"),$AE137&lt;&gt;"Yes",$AE137&lt;&gt;"N/A"),"Firmware Install, ","")&amp;IF(AND($CB137&lt;&gt;"Yes",$CB137&lt;&gt;"N/A"),"Device ID, ","")&amp;IF(AND($CC137&lt;&gt;"Yes",$CC137&lt;&gt;"N/A"),"Epic Beans Relay, ",""),LEN(IF(AND($BR137&lt;&gt;"Yes",$BR137&lt;&gt;"N/A"),"Power Cable, ","")&amp;IF(AND($BS137&lt;&gt;"Yes",$BS137&lt;&gt;"N/A"),"Battery, ","")&amp;IF(AND($AD137&lt;&gt;"Yes",$AD137&lt;&gt;"N/A"),"Firmware Download, ","")&amp;IF(AND(OR($AD137="Yes",$AD137="N/A"),$AE137&lt;&gt;"Yes",$AE137&lt;&gt;"N/A"),"Firmware Install, ","")&amp;IF(AND($CB137&lt;&gt;"Yes",$CB137&lt;&gt;"N/A"),"Device ID, ","")&amp;IF(AND($CC137&lt;&gt;"Yes",$CC137&lt;&gt;"N/A"),"Epic Beans Relay, ",""))-2)))</f>
        <v/>
      </c>
      <c r="CE137">
        <f>IF($Y137="","",IF($CD137="","Yes","Blocked"))</f>
        <v/>
      </c>
      <c r="CF137" t="inlineStr">
        <is>
          <t>Yes</t>
        </is>
      </c>
      <c r="CG137" t="inlineStr">
        <is>
          <t>Yes</t>
        </is>
      </c>
      <c r="CH137" t="inlineStr">
        <is>
          <t>Yes</t>
        </is>
      </c>
      <c r="CI137" t="inlineStr">
        <is>
          <t>Yes</t>
        </is>
      </c>
      <c r="CJ137" t="inlineStr">
        <is>
          <t>Yes</t>
        </is>
      </c>
      <c r="CK137" t="n">
        <v>19200</v>
      </c>
      <c r="CP137">
        <f>IF($CO137="","",IFERROR(VLOOKUP($CO137,'01_Warehouse_Ledger'!$A:$N,4,FALSE),""))</f>
        <v/>
      </c>
      <c r="CQ137">
        <f>IF($CO137="","",IFERROR(VLOOKUP($CO137,'01_Warehouse_Ledger'!$A:$N,5,FALSE),""))</f>
        <v/>
      </c>
      <c r="CR137">
        <f>IF($CO137="","",IFERROR(VLOOKUP($CO137,'01_Warehouse_Ledger'!$A:$N,13,FALSE),""))</f>
        <v/>
      </c>
      <c r="CW137">
        <f>IF($S137="","",IF(UPPER(TRIM($S137))&lt;&gt;"PASS","",IF(LEN(TRIM($BY137))&gt;0,"NOTES_PRESENT",IF(LEN(TRIM($T137))=0,"SET_NA",IF(OR(LOWER(TRIM($T137))="na",LOWER(TRIM($T137))="n/a"),"OK","MANUAL_OVERRIDE")))))</f>
        <v/>
      </c>
    </row>
    <row r="138">
      <c r="A138" t="inlineStr">
        <is>
          <t>Cybernet</t>
        </is>
      </c>
      <c r="B138" t="inlineStr">
        <is>
          <t>Yes</t>
        </is>
      </c>
      <c r="C138" t="inlineStr">
        <is>
          <t>Yes</t>
        </is>
      </c>
      <c r="D138">
        <f>IF($B138&lt;&gt;"Yes","",IF($C138="No","Yes",IF($C138="Yes","No","")))</f>
        <v/>
      </c>
      <c r="E138">
        <f>IF($A138="","",IF(OR(AND($V138&lt;&gt;"",LOWER(TRIM($V138))&lt;&gt;"n/a",LOWER(TRIM($V138))&lt;&gt;"na",SUMPRODUCT(--(UPPER(TRIM($V$2:$V$518))=UPPER(TRIM($V138))),--(TRIM($V$2:$V$518)&lt;&gt;""),--(LOWER(TRIM($V$2:$V$518))&lt;&gt;"n/a"),--(LOWER(TRIM($V$2:$V$518))&lt;&gt;"na"))&gt;1),AND($W138&lt;&gt;"",LOWER(TRIM($W138))&lt;&gt;"n/a",LOWER(TRIM($W138))&lt;&gt;"na",SUMPRODUCT(--(UPPER(TRIM($W$2:$W$518))=UPPER(TRIM($W138))),--(TRIM($W$2:$W$518)&lt;&gt;""),--(LOWER(TRIM($W$2:$W$518))&lt;&gt;"n/a"),--(LOWER(TRIM($W$2:$W$518))&lt;&gt;"na"))&gt;1),AND($X138&lt;&gt;"",LOWER(TRIM($X138))&lt;&gt;"n/a",LOWER(TRIM($X138))&lt;&gt;"na",SUMPRODUCT(--(UPPER(TRIM($X$2:$X$518))=UPPER(TRIM($X138))),--(TRIM($X$2:$X$518)&lt;&gt;""),--(LOWER(TRIM($X$2:$X$518))&lt;&gt;"n/a"),--(LOWER(TRIM($X$2:$X$518))&lt;&gt;"na"))&gt;1),AND($Y138&lt;&gt;"",LOWER(TRIM($Y138))&lt;&gt;"n/a",LOWER(TRIM($Y138))&lt;&gt;"na",SUMPRODUCT(--(UPPER(SUBSTITUTE(SUBSTITUTE(TRIM($Y$2:$Y$518),":",""),"-",""))=UPPER(SUBSTITUTE(SUBSTITUTE(TRIM($Y138),":",""),"-",""))),--(TRIM($Y$2:$Y$518)&lt;&gt;""),--(LOWER(TRIM($Y$2:$Y$518))&lt;&gt;"n/a"),--(LOWER(TRIM($Y$2:$Y$518))&lt;&gt;"na"))&gt;1),AND($AB138&lt;&gt;"",LOWER(TRIM($AB138))&lt;&gt;"n/a",LOWER(TRIM($AB138))&lt;&gt;"na",SUMPRODUCT(--(UPPER(TRIM($AB$2:$AB$518))=UPPER(TRIM($AB138))),--(TRIM($AB$2:$AB$518)&lt;&gt;""),--(LOWER(TRIM($AB$2:$AB$518))&lt;&gt;"n/a"),--(LOWER(TRIM($AB$2:$AB$518))&lt;&gt;"na"))&gt;1),AND($AH138&lt;&gt;"",LOWER(TRIM($AH138))&lt;&gt;"n/a",LOWER(TRIM($AH138))&lt;&gt;"na",SUMPRODUCT(--(UPPER(SUBSTITUTE(SUBSTITUTE(TRIM($AH$2:$AH$518),":",""),"-",""))=UPPER(SUBSTITUTE(SUBSTITUTE(TRIM($AH138),":",""),"-",""))),--(TRIM($AH$2:$AH$518)&lt;&gt;""),--(LOWER(TRIM($AH$2:$AH$518))&lt;&gt;"n/a"),--(LOWER(TRIM($AH$2:$AH$518))&lt;&gt;"na"))&gt;1),AND($AP138&lt;&gt;"",LOWER(TRIM($AP138))&lt;&gt;"n/a",LOWER(TRIM($AP138))&lt;&gt;"na",SUMPRODUCT(--(UPPER(TRIM($AP$2:$AP$518))=UPPER(TRIM($AP138))),--(TRIM($AP$2:$AP$518)&lt;&gt;""),--(LOWER(TRIM($AP$2:$AP$518))&lt;&gt;"n/a"),--(LOWER(TRIM($AP$2:$AP$518))&lt;&gt;"na"))&gt;1),AND($AQ138&lt;&gt;"",LOWER(TRIM($AQ138))&lt;&gt;"n/a",LOWER(TRIM($AQ138))&lt;&gt;"na",SUMPRODUCT(--(UPPER(TRIM($AQ$2:$AQ$518))=UPPER(TRIM($AQ138))),--(TRIM($AQ$2:$AQ$518)&lt;&gt;""),--(LOWER(TRIM($AQ$2:$AQ$518))&lt;&gt;"n/a"),--(LOWER(TRIM($AQ$2:$AQ$518))&lt;&gt;"na"))&gt;1)),"Yes","No"))</f>
        <v/>
      </c>
      <c r="F138">
        <f>IF(UPPER(TRIM($B138))&lt;&gt;"YES","", IF(OR(AND($V138&lt;&gt;"", LOWER(TRIM($V138))&lt;&gt;"n/a", LOWER(TRIM($V138))&lt;&gt;"na", SUMPRODUCT(--(UPPER(TRIM($V$2:$V$518))=UPPER(TRIM($V138))), --(UPPER(TRIM($B$2:$B$518))="YES"), --(UPPER(TRIM($G$2:$G$518)&amp;TRIM($I$2:$I$518)&amp;TRIM($J$2:$J$518))&lt;&gt;UPPER(TRIM($G138)&amp;TRIM($I138)&amp;TRIM($J138))))&gt;0), AND($W138&lt;&gt;"", LOWER(TRIM($W138))&lt;&gt;"n/a", LOWER(TRIM($W138))&lt;&gt;"na", SUMPRODUCT(--(UPPER(TRIM($W$2:$W$518))=UPPER(TRIM($W138))), --(UPPER(TRIM($B$2:$B$518))="YES"), --(UPPER(TRIM($G$2:$G$518)&amp;TRIM($I$2:$I$518)&amp;TRIM($J$2:$J$518))&lt;&gt;UPPER(TRIM($G138)&amp;TRIM($I138)&amp;TRIM($J138))))&gt;0), AND($X138&lt;&gt;"", LOWER(TRIM($X138))&lt;&gt;"n/a", LOWER(TRIM($X138))&lt;&gt;"na", SUMPRODUCT(--(UPPER(TRIM($X$2:$X$518))=UPPER(TRIM($X138))), --(UPPER(TRIM($B$2:$B$518))="YES"), --(UPPER(TRIM($G$2:$G$518)&amp;TRIM($I$2:$I$518)&amp;TRIM($J$2:$J$518))&lt;&gt;UPPER(TRIM($G138)&amp;TRIM($I138)&amp;TRIM($J138))))&gt;0), AND($Y138&lt;&gt;"", LOWER(TRIM($Y138))&lt;&gt;"n/a", LOWER(TRIM($Y138))&lt;&gt;"na", SUMPRODUCT(--(UPPER(SUBSTITUTE(SUBSTITUTE(TRIM($Y$2:$Y$518),":",""),"-",""))=UPPER(SUBSTITUTE(SUBSTITUTE(TRIM($Y138),":",""),"-",""))), --(UPPER(TRIM($B$2:$B$518))="YES"), --(UPPER(TRIM($G$2:$G$518)&amp;TRIM($I$2:$I$518)&amp;TRIM($J$2:$J$518))&lt;&gt;UPPER(TRIM($G138)&amp;TRIM($I138)&amp;TRIM($J138))))&gt;0), AND($AB138&lt;&gt;"", LOWER(TRIM($AB138))&lt;&gt;"n/a", LOWER(TRIM($AB138))&lt;&gt;"na", SUMPRODUCT(--(UPPER(TRIM($AB$2:$AB$518))=UPPER(TRIM($AB138))), --(UPPER(TRIM($B$2:$B$518))="YES"), --(UPPER(TRIM($G$2:$G$518)&amp;TRIM($I$2:$I$518)&amp;TRIM($J$2:$J$518))&lt;&gt;UPPER(TRIM($G138)&amp;TRIM($I138)&amp;TRIM($J138))))&gt;0), AND($AH138&lt;&gt;"", LOWER(TRIM($AH138))&lt;&gt;"n/a", LOWER(TRIM($AH138))&lt;&gt;"na", SUMPRODUCT(--(UPPER(SUBSTITUTE(SUBSTITUTE(TRIM($AH$2:$AH$518),":",""),"-",""))=UPPER(SUBSTITUTE(SUBSTITUTE(TRIM($AH138),":",""),"-",""))), --(UPPER(TRIM($B$2:$B$518))="YES"), --(UPPER(TRIM($G$2:$G$518)&amp;TRIM($I$2:$I$518)&amp;TRIM($J$2:$J$518))&lt;&gt;UPPER(TRIM($G138)&amp;TRIM($I138)&amp;TRIM($J138))))&gt;0), AND($AP138&lt;&gt;"", LOWER(TRIM($AP138))&lt;&gt;"n/a", LOWER(TRIM($AP138))&lt;&gt;"na", SUMPRODUCT(--(UPPER(TRIM($AP$2:$AP$518))=UPPER(TRIM($AP138))), --(UPPER(TRIM($B$2:$B$518))="YES"), --(UPPER(TRIM($G$2:$G$518)&amp;TRIM($I$2:$I$518)&amp;TRIM($J$2:$J$518))&lt;&gt;UPPER(TRIM($G138)&amp;TRIM($I138)&amp;TRIM($J138))))&gt;0), AND($AQ138&lt;&gt;"", LOWER(TRIM($AQ138))&lt;&gt;"n/a", LOWER(TRIM($AQ138))&lt;&gt;"na", SUMPRODUCT(--(UPPER(TRIM($AQ$2:$AQ$518))=UPPER(TRIM($AQ138))), --(UPPER(TRIM($B$2:$B$518))="YES"), --(UPPER(TRIM($G$2:$G$518)&amp;TRIM($I$2:$I$518)&amp;TRIM($J$2:$J$518))&lt;&gt;UPPER(TRIM($G138)&amp;TRIM($I138)&amp;TRIM($J138))))&gt;0)), "Yes", "No"))</f>
        <v/>
      </c>
      <c r="G138" t="inlineStr">
        <is>
          <t>LIJ Main / LIJ OR</t>
        </is>
      </c>
      <c r="H138" t="inlineStr">
        <is>
          <t>LIJ Main / LIJ OR</t>
        </is>
      </c>
      <c r="I138" t="inlineStr">
        <is>
          <t>ENDO Proc</t>
        </is>
      </c>
      <c r="J138" t="inlineStr">
        <is>
          <t>PR 2</t>
        </is>
      </c>
      <c r="K138" t="inlineStr">
        <is>
          <t>n/a</t>
        </is>
      </c>
      <c r="L138" s="18" t="n">
        <v>46081</v>
      </c>
      <c r="M138" t="inlineStr">
        <is>
          <t>OR iPro Cybernet Workstation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>Inpatient</t>
        </is>
      </c>
      <c r="S138" t="inlineStr">
        <is>
          <t>Pass</t>
        </is>
      </c>
      <c r="T138" t="inlineStr">
        <is>
          <t>n/a</t>
        </is>
      </c>
      <c r="U138" t="inlineStr">
        <is>
          <t>1427182 LIJ Installation (Project Name) - Tim W. Seeberger, Akbar, Chris Perkins, Epic Team, Anesthesia Techs, and Admins</t>
        </is>
      </c>
      <c r="V138" t="inlineStr">
        <is>
          <t>WNH270OPR407</t>
        </is>
      </c>
      <c r="W138" t="inlineStr">
        <is>
          <t>MEDSG2425F-3075</t>
        </is>
      </c>
      <c r="X138" t="inlineStr">
        <is>
          <t>LIJ-MACH-LL</t>
        </is>
      </c>
      <c r="Y138" t="inlineStr">
        <is>
          <t>00187DE09B50</t>
        </is>
      </c>
      <c r="Z138" t="inlineStr">
        <is>
          <t>n/a</t>
        </is>
      </c>
      <c r="AH138" t="inlineStr">
        <is>
          <t>00:0D:05:0A:B2:5B</t>
        </is>
      </c>
      <c r="AI138" t="inlineStr">
        <is>
          <t>Anesthesia Machine</t>
        </is>
      </c>
      <c r="AK138" t="n">
        <v>2</v>
      </c>
      <c r="AL138" t="inlineStr">
        <is>
          <t>2102BM015</t>
        </is>
      </c>
      <c r="AM138" t="inlineStr">
        <is>
          <t>Drager</t>
        </is>
      </c>
      <c r="AN138" t="inlineStr">
        <is>
          <t>Apollo</t>
        </is>
      </c>
      <c r="AP138" t="inlineStr">
        <is>
          <t>ASDK-0194</t>
        </is>
      </c>
      <c r="AQ138" t="inlineStr">
        <is>
          <t>ASDK-0194</t>
        </is>
      </c>
      <c r="AS138" t="inlineStr">
        <is>
          <t>B1-CFW</t>
        </is>
      </c>
      <c r="AX138" t="inlineStr">
        <is>
          <t>MX750 -  DE77672781</t>
        </is>
      </c>
      <c r="AY138" t="inlineStr">
        <is>
          <t>Anesthesia Machine</t>
        </is>
      </c>
      <c r="BR138" t="inlineStr">
        <is>
          <t>Yes</t>
        </is>
      </c>
      <c r="BS138" t="inlineStr">
        <is>
          <t>Yes</t>
        </is>
      </c>
      <c r="BT138" t="inlineStr">
        <is>
          <t>Yes</t>
        </is>
      </c>
      <c r="BU138" t="inlineStr">
        <is>
          <t>Yes</t>
        </is>
      </c>
      <c r="CA138" t="inlineStr">
        <is>
          <t>iPro
Epic Satellite
ALLSCRIPTS
EPIC BCA</t>
        </is>
      </c>
      <c r="CD138">
        <f>IF($Y138="","",IF((IF(AND($BR138&lt;&gt;"Yes",$BR138&lt;&gt;"N/A"),"Power Cable, ","")&amp;IF(AND($BS138&lt;&gt;"Yes",$BS138&lt;&gt;"N/A"),"Battery, ","")&amp;IF(AND($AD138&lt;&gt;"Yes",$AD138&lt;&gt;"N/A"),"Firmware Download, ","")&amp;IF(AND(OR($AD138="Yes",$AD138="N/A"),$AE138&lt;&gt;"Yes",$AE138&lt;&gt;"N/A"),"Firmware Install, ","")&amp;IF(AND($CB138&lt;&gt;"Yes",$CB138&lt;&gt;"N/A"),"Device ID, ","")&amp;IF(AND($CC138&lt;&gt;"Yes",$CC138&lt;&gt;"N/A"),"Epic Beans Relay, ",""))="","",LEFT(IF(AND($BR138&lt;&gt;"Yes",$BR138&lt;&gt;"N/A"),"Power Cable, ","")&amp;IF(AND($BS138&lt;&gt;"Yes",$BS138&lt;&gt;"N/A"),"Battery, ","")&amp;IF(AND($AD138&lt;&gt;"Yes",$AD138&lt;&gt;"N/A"),"Firmware Download, ","")&amp;IF(AND(OR($AD138="Yes",$AD138="N/A"),$AE138&lt;&gt;"Yes",$AE138&lt;&gt;"N/A"),"Firmware Install, ","")&amp;IF(AND($CB138&lt;&gt;"Yes",$CB138&lt;&gt;"N/A"),"Device ID, ","")&amp;IF(AND($CC138&lt;&gt;"Yes",$CC138&lt;&gt;"N/A"),"Epic Beans Relay, ",""),LEN(IF(AND($BR138&lt;&gt;"Yes",$BR138&lt;&gt;"N/A"),"Power Cable, ","")&amp;IF(AND($BS138&lt;&gt;"Yes",$BS138&lt;&gt;"N/A"),"Battery, ","")&amp;IF(AND($AD138&lt;&gt;"Yes",$AD138&lt;&gt;"N/A"),"Firmware Download, ","")&amp;IF(AND(OR($AD138="Yes",$AD138="N/A"),$AE138&lt;&gt;"Yes",$AE138&lt;&gt;"N/A"),"Firmware Install, ","")&amp;IF(AND($CB138&lt;&gt;"Yes",$CB138&lt;&gt;"N/A"),"Device ID, ","")&amp;IF(AND($CC138&lt;&gt;"Yes",$CC138&lt;&gt;"N/A"),"Epic Beans Relay, ",""))-2)))</f>
        <v/>
      </c>
      <c r="CE138">
        <f>IF($Y138="","",IF($CD138="","Yes","Blocked"))</f>
        <v/>
      </c>
      <c r="CF138" t="inlineStr">
        <is>
          <t>Yes</t>
        </is>
      </c>
      <c r="CG138" t="inlineStr">
        <is>
          <t>Yes</t>
        </is>
      </c>
      <c r="CH138" t="inlineStr">
        <is>
          <t>Yes</t>
        </is>
      </c>
      <c r="CI138" t="inlineStr">
        <is>
          <t>Yes</t>
        </is>
      </c>
      <c r="CJ138" t="inlineStr">
        <is>
          <t>Yes</t>
        </is>
      </c>
      <c r="CK138" t="n">
        <v>19200</v>
      </c>
      <c r="CP138">
        <f>IF($CO138="","",IFERROR(VLOOKUP($CO138,'01_Warehouse_Ledger'!$A:$N,4,FALSE),""))</f>
        <v/>
      </c>
      <c r="CQ138">
        <f>IF($CO138="","",IFERROR(VLOOKUP($CO138,'01_Warehouse_Ledger'!$A:$N,5,FALSE),""))</f>
        <v/>
      </c>
      <c r="CR138">
        <f>IF($CO138="","",IFERROR(VLOOKUP($CO138,'01_Warehouse_Ledger'!$A:$N,13,FALSE),""))</f>
        <v/>
      </c>
      <c r="CW138">
        <f>IF($S138="","",IF(UPPER(TRIM($S138))&lt;&gt;"PASS","",IF(LEN(TRIM($BY138))&gt;0,"NOTES_PRESENT",IF(LEN(TRIM($T138))=0,"SET_NA",IF(OR(LOWER(TRIM($T138))="na",LOWER(TRIM($T138))="n/a"),"OK","MANUAL_OVERRIDE")))))</f>
        <v/>
      </c>
    </row>
    <row r="139">
      <c r="A139" t="inlineStr">
        <is>
          <t>Cybernet</t>
        </is>
      </c>
      <c r="B139" t="inlineStr">
        <is>
          <t>Yes</t>
        </is>
      </c>
      <c r="C139" t="inlineStr">
        <is>
          <t>Yes</t>
        </is>
      </c>
      <c r="D139">
        <f>IF($B139&lt;&gt;"Yes","",IF($C139="No","Yes",IF($C139="Yes","No","")))</f>
        <v/>
      </c>
      <c r="E139">
        <f>IF($A139="","",IF(OR(AND($V139&lt;&gt;"",LOWER(TRIM($V139))&lt;&gt;"n/a",LOWER(TRIM($V139))&lt;&gt;"na",SUMPRODUCT(--(UPPER(TRIM($V$2:$V$518))=UPPER(TRIM($V139))),--(TRIM($V$2:$V$518)&lt;&gt;""),--(LOWER(TRIM($V$2:$V$518))&lt;&gt;"n/a"),--(LOWER(TRIM($V$2:$V$518))&lt;&gt;"na"))&gt;1),AND($W139&lt;&gt;"",LOWER(TRIM($W139))&lt;&gt;"n/a",LOWER(TRIM($W139))&lt;&gt;"na",SUMPRODUCT(--(UPPER(TRIM($W$2:$W$518))=UPPER(TRIM($W139))),--(TRIM($W$2:$W$518)&lt;&gt;""),--(LOWER(TRIM($W$2:$W$518))&lt;&gt;"n/a"),--(LOWER(TRIM($W$2:$W$518))&lt;&gt;"na"))&gt;1),AND($X139&lt;&gt;"",LOWER(TRIM($X139))&lt;&gt;"n/a",LOWER(TRIM($X139))&lt;&gt;"na",SUMPRODUCT(--(UPPER(TRIM($X$2:$X$518))=UPPER(TRIM($X139))),--(TRIM($X$2:$X$518)&lt;&gt;""),--(LOWER(TRIM($X$2:$X$518))&lt;&gt;"n/a"),--(LOWER(TRIM($X$2:$X$518))&lt;&gt;"na"))&gt;1),AND($Y139&lt;&gt;"",LOWER(TRIM($Y139))&lt;&gt;"n/a",LOWER(TRIM($Y139))&lt;&gt;"na",SUMPRODUCT(--(UPPER(SUBSTITUTE(SUBSTITUTE(TRIM($Y$2:$Y$518),":",""),"-",""))=UPPER(SUBSTITUTE(SUBSTITUTE(TRIM($Y139),":",""),"-",""))),--(TRIM($Y$2:$Y$518)&lt;&gt;""),--(LOWER(TRIM($Y$2:$Y$518))&lt;&gt;"n/a"),--(LOWER(TRIM($Y$2:$Y$518))&lt;&gt;"na"))&gt;1),AND($AB139&lt;&gt;"",LOWER(TRIM($AB139))&lt;&gt;"n/a",LOWER(TRIM($AB139))&lt;&gt;"na",SUMPRODUCT(--(UPPER(TRIM($AB$2:$AB$518))=UPPER(TRIM($AB139))),--(TRIM($AB$2:$AB$518)&lt;&gt;""),--(LOWER(TRIM($AB$2:$AB$518))&lt;&gt;"n/a"),--(LOWER(TRIM($AB$2:$AB$518))&lt;&gt;"na"))&gt;1),AND($AH139&lt;&gt;"",LOWER(TRIM($AH139))&lt;&gt;"n/a",LOWER(TRIM($AH139))&lt;&gt;"na",SUMPRODUCT(--(UPPER(SUBSTITUTE(SUBSTITUTE(TRIM($AH$2:$AH$518),":",""),"-",""))=UPPER(SUBSTITUTE(SUBSTITUTE(TRIM($AH139),":",""),"-",""))),--(TRIM($AH$2:$AH$518)&lt;&gt;""),--(LOWER(TRIM($AH$2:$AH$518))&lt;&gt;"n/a"),--(LOWER(TRIM($AH$2:$AH$518))&lt;&gt;"na"))&gt;1),AND($AP139&lt;&gt;"",LOWER(TRIM($AP139))&lt;&gt;"n/a",LOWER(TRIM($AP139))&lt;&gt;"na",SUMPRODUCT(--(UPPER(TRIM($AP$2:$AP$518))=UPPER(TRIM($AP139))),--(TRIM($AP$2:$AP$518)&lt;&gt;""),--(LOWER(TRIM($AP$2:$AP$518))&lt;&gt;"n/a"),--(LOWER(TRIM($AP$2:$AP$518))&lt;&gt;"na"))&gt;1),AND($AQ139&lt;&gt;"",LOWER(TRIM($AQ139))&lt;&gt;"n/a",LOWER(TRIM($AQ139))&lt;&gt;"na",SUMPRODUCT(--(UPPER(TRIM($AQ$2:$AQ$518))=UPPER(TRIM($AQ139))),--(TRIM($AQ$2:$AQ$518)&lt;&gt;""),--(LOWER(TRIM($AQ$2:$AQ$518))&lt;&gt;"n/a"),--(LOWER(TRIM($AQ$2:$AQ$518))&lt;&gt;"na"))&gt;1)),"Yes","No"))</f>
        <v/>
      </c>
      <c r="F139">
        <f>IF(UPPER(TRIM($B139))&lt;&gt;"YES","", IF(OR(AND($V139&lt;&gt;"", LOWER(TRIM($V139))&lt;&gt;"n/a", LOWER(TRIM($V139))&lt;&gt;"na", SUMPRODUCT(--(UPPER(TRIM($V$2:$V$518))=UPPER(TRIM($V139))), --(UPPER(TRIM($B$2:$B$518))="YES"), --(UPPER(TRIM($G$2:$G$518)&amp;TRIM($I$2:$I$518)&amp;TRIM($J$2:$J$518))&lt;&gt;UPPER(TRIM($G139)&amp;TRIM($I139)&amp;TRIM($J139))))&gt;0), AND($W139&lt;&gt;"", LOWER(TRIM($W139))&lt;&gt;"n/a", LOWER(TRIM($W139))&lt;&gt;"na", SUMPRODUCT(--(UPPER(TRIM($W$2:$W$518))=UPPER(TRIM($W139))), --(UPPER(TRIM($B$2:$B$518))="YES"), --(UPPER(TRIM($G$2:$G$518)&amp;TRIM($I$2:$I$518)&amp;TRIM($J$2:$J$518))&lt;&gt;UPPER(TRIM($G139)&amp;TRIM($I139)&amp;TRIM($J139))))&gt;0), AND($X139&lt;&gt;"", LOWER(TRIM($X139))&lt;&gt;"n/a", LOWER(TRIM($X139))&lt;&gt;"na", SUMPRODUCT(--(UPPER(TRIM($X$2:$X$518))=UPPER(TRIM($X139))), --(UPPER(TRIM($B$2:$B$518))="YES"), --(UPPER(TRIM($G$2:$G$518)&amp;TRIM($I$2:$I$518)&amp;TRIM($J$2:$J$518))&lt;&gt;UPPER(TRIM($G139)&amp;TRIM($I139)&amp;TRIM($J139))))&gt;0), AND($Y139&lt;&gt;"", LOWER(TRIM($Y139))&lt;&gt;"n/a", LOWER(TRIM($Y139))&lt;&gt;"na", SUMPRODUCT(--(UPPER(SUBSTITUTE(SUBSTITUTE(TRIM($Y$2:$Y$518),":",""),"-",""))=UPPER(SUBSTITUTE(SUBSTITUTE(TRIM($Y139),":",""),"-",""))), --(UPPER(TRIM($B$2:$B$518))="YES"), --(UPPER(TRIM($G$2:$G$518)&amp;TRIM($I$2:$I$518)&amp;TRIM($J$2:$J$518))&lt;&gt;UPPER(TRIM($G139)&amp;TRIM($I139)&amp;TRIM($J139))))&gt;0), AND($AB139&lt;&gt;"", LOWER(TRIM($AB139))&lt;&gt;"n/a", LOWER(TRIM($AB139))&lt;&gt;"na", SUMPRODUCT(--(UPPER(TRIM($AB$2:$AB$518))=UPPER(TRIM($AB139))), --(UPPER(TRIM($B$2:$B$518))="YES"), --(UPPER(TRIM($G$2:$G$518)&amp;TRIM($I$2:$I$518)&amp;TRIM($J$2:$J$518))&lt;&gt;UPPER(TRIM($G139)&amp;TRIM($I139)&amp;TRIM($J139))))&gt;0), AND($AH139&lt;&gt;"", LOWER(TRIM($AH139))&lt;&gt;"n/a", LOWER(TRIM($AH139))&lt;&gt;"na", SUMPRODUCT(--(UPPER(SUBSTITUTE(SUBSTITUTE(TRIM($AH$2:$AH$518),":",""),"-",""))=UPPER(SUBSTITUTE(SUBSTITUTE(TRIM($AH139),":",""),"-",""))), --(UPPER(TRIM($B$2:$B$518))="YES"), --(UPPER(TRIM($G$2:$G$518)&amp;TRIM($I$2:$I$518)&amp;TRIM($J$2:$J$518))&lt;&gt;UPPER(TRIM($G139)&amp;TRIM($I139)&amp;TRIM($J139))))&gt;0), AND($AP139&lt;&gt;"", LOWER(TRIM($AP139))&lt;&gt;"n/a", LOWER(TRIM($AP139))&lt;&gt;"na", SUMPRODUCT(--(UPPER(TRIM($AP$2:$AP$518))=UPPER(TRIM($AP139))), --(UPPER(TRIM($B$2:$B$518))="YES"), --(UPPER(TRIM($G$2:$G$518)&amp;TRIM($I$2:$I$518)&amp;TRIM($J$2:$J$518))&lt;&gt;UPPER(TRIM($G139)&amp;TRIM($I139)&amp;TRIM($J139))))&gt;0), AND($AQ139&lt;&gt;"", LOWER(TRIM($AQ139))&lt;&gt;"n/a", LOWER(TRIM($AQ139))&lt;&gt;"na", SUMPRODUCT(--(UPPER(TRIM($AQ$2:$AQ$518))=UPPER(TRIM($AQ139))), --(UPPER(TRIM($B$2:$B$518))="YES"), --(UPPER(TRIM($G$2:$G$518)&amp;TRIM($I$2:$I$518)&amp;TRIM($J$2:$J$518))&lt;&gt;UPPER(TRIM($G139)&amp;TRIM($I139)&amp;TRIM($J139))))&gt;0)), "Yes", "No"))</f>
        <v/>
      </c>
      <c r="G139" t="inlineStr">
        <is>
          <t>LIJ - Proc</t>
        </is>
      </c>
      <c r="H139" t="inlineStr">
        <is>
          <t>LIJ - Proc</t>
        </is>
      </c>
      <c r="I139" t="inlineStr">
        <is>
          <t>LDR ORs</t>
        </is>
      </c>
      <c r="J139" t="inlineStr">
        <is>
          <t>OB OR 4</t>
        </is>
      </c>
      <c r="K139" t="inlineStr">
        <is>
          <t>n/a</t>
        </is>
      </c>
      <c r="L139" s="18" t="n">
        <v>46081</v>
      </c>
      <c r="M139" t="inlineStr">
        <is>
          <t>OR iPro Cybernet Workstation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Inpatient</t>
        </is>
      </c>
      <c r="S139" t="inlineStr">
        <is>
          <t>Pass</t>
        </is>
      </c>
      <c r="T139" t="inlineStr">
        <is>
          <t>n/a</t>
        </is>
      </c>
      <c r="U139" t="inlineStr">
        <is>
          <t>1427182 LIJ Installation (Project Name) - Tim W. Seeberger, Akbar, Chris Perkins, Epic Team, Anesthesia Techs, and Admins</t>
        </is>
      </c>
      <c r="V139" t="inlineStr">
        <is>
          <t>WNH270OPR408</t>
        </is>
      </c>
      <c r="W139" t="inlineStr">
        <is>
          <t>MEDNG2425E-3063</t>
        </is>
      </c>
      <c r="X139" t="inlineStr">
        <is>
          <t>LIJ-MACH-C</t>
        </is>
      </c>
      <c r="Y139" t="inlineStr">
        <is>
          <t>00187DE0ADF3</t>
        </is>
      </c>
      <c r="AB139" t="inlineStr">
        <is>
          <t>SL-NU3-UMPC-IOM7S</t>
        </is>
      </c>
      <c r="AH139" t="inlineStr">
        <is>
          <t>00:0D:05:0A:B2:29</t>
        </is>
      </c>
      <c r="AI139" t="inlineStr">
        <is>
          <t>Anesthesia Machine</t>
        </is>
      </c>
      <c r="AK139" t="n">
        <v>2</v>
      </c>
      <c r="AL139" t="inlineStr">
        <is>
          <t>350-01 A,B,C</t>
        </is>
      </c>
      <c r="AM139" t="inlineStr">
        <is>
          <t>Drager</t>
        </is>
      </c>
      <c r="AN139" t="inlineStr">
        <is>
          <t>Apollo</t>
        </is>
      </c>
      <c r="AP139" t="inlineStr">
        <is>
          <t>8606500-15ARYJ-0051</t>
        </is>
      </c>
      <c r="AQ139" t="inlineStr">
        <is>
          <t>ARYJ-0051</t>
        </is>
      </c>
      <c r="AS139" t="inlineStr">
        <is>
          <t>B1-CFW</t>
        </is>
      </c>
      <c r="AX139" t="inlineStr">
        <is>
          <t>MX750 - 010088483808333221DE776690539086647191866471</t>
        </is>
      </c>
      <c r="AY139" t="inlineStr">
        <is>
          <t>Anesthesia Machine</t>
        </is>
      </c>
      <c r="BR139" t="inlineStr">
        <is>
          <t>Yes</t>
        </is>
      </c>
      <c r="BS139" t="inlineStr">
        <is>
          <t>Yes</t>
        </is>
      </c>
      <c r="BT139" t="inlineStr">
        <is>
          <t>Yes</t>
        </is>
      </c>
      <c r="BU139" t="inlineStr">
        <is>
          <t>Yes</t>
        </is>
      </c>
      <c r="CA139" t="inlineStr">
        <is>
          <t>iPro
Epic Satellite
ALLSCRIPTS
EPIC BCA</t>
        </is>
      </c>
      <c r="CD139">
        <f>IF($Y139="","",IF((IF(AND($BR139&lt;&gt;"Yes",$BR139&lt;&gt;"N/A"),"Power Cable, ","")&amp;IF(AND($BS139&lt;&gt;"Yes",$BS139&lt;&gt;"N/A"),"Battery, ","")&amp;IF(AND($AD139&lt;&gt;"Yes",$AD139&lt;&gt;"N/A"),"Firmware Download, ","")&amp;IF(AND(OR($AD139="Yes",$AD139="N/A"),$AE139&lt;&gt;"Yes",$AE139&lt;&gt;"N/A"),"Firmware Install, ","")&amp;IF(AND($CB139&lt;&gt;"Yes",$CB139&lt;&gt;"N/A"),"Device ID, ","")&amp;IF(AND($CC139&lt;&gt;"Yes",$CC139&lt;&gt;"N/A"),"Epic Beans Relay, ",""))="","",LEFT(IF(AND($BR139&lt;&gt;"Yes",$BR139&lt;&gt;"N/A"),"Power Cable, ","")&amp;IF(AND($BS139&lt;&gt;"Yes",$BS139&lt;&gt;"N/A"),"Battery, ","")&amp;IF(AND($AD139&lt;&gt;"Yes",$AD139&lt;&gt;"N/A"),"Firmware Download, ","")&amp;IF(AND(OR($AD139="Yes",$AD139="N/A"),$AE139&lt;&gt;"Yes",$AE139&lt;&gt;"N/A"),"Firmware Install, ","")&amp;IF(AND($CB139&lt;&gt;"Yes",$CB139&lt;&gt;"N/A"),"Device ID, ","")&amp;IF(AND($CC139&lt;&gt;"Yes",$CC139&lt;&gt;"N/A"),"Epic Beans Relay, ",""),LEN(IF(AND($BR139&lt;&gt;"Yes",$BR139&lt;&gt;"N/A"),"Power Cable, ","")&amp;IF(AND($BS139&lt;&gt;"Yes",$BS139&lt;&gt;"N/A"),"Battery, ","")&amp;IF(AND($AD139&lt;&gt;"Yes",$AD139&lt;&gt;"N/A"),"Firmware Download, ","")&amp;IF(AND(OR($AD139="Yes",$AD139="N/A"),$AE139&lt;&gt;"Yes",$AE139&lt;&gt;"N/A"),"Firmware Install, ","")&amp;IF(AND($CB139&lt;&gt;"Yes",$CB139&lt;&gt;"N/A"),"Device ID, ","")&amp;IF(AND($CC139&lt;&gt;"Yes",$CC139&lt;&gt;"N/A"),"Epic Beans Relay, ",""))-2)))</f>
        <v/>
      </c>
      <c r="CE139">
        <f>IF($Y139="","",IF($CD139="","Yes","Blocked"))</f>
        <v/>
      </c>
      <c r="CF139" t="inlineStr">
        <is>
          <t>Yes</t>
        </is>
      </c>
      <c r="CG139" t="inlineStr">
        <is>
          <t>Yes</t>
        </is>
      </c>
      <c r="CH139" t="inlineStr">
        <is>
          <t>Yes</t>
        </is>
      </c>
      <c r="CI139" t="inlineStr">
        <is>
          <t>Yes</t>
        </is>
      </c>
      <c r="CJ139" t="inlineStr">
        <is>
          <t>Yes</t>
        </is>
      </c>
      <c r="CK139" t="n">
        <v>19200</v>
      </c>
      <c r="CP139">
        <f>IF($CO139="","",IFERROR(VLOOKUP($CO139,'01_Warehouse_Ledger'!$A:$N,4,FALSE),""))</f>
        <v/>
      </c>
      <c r="CQ139">
        <f>IF($CO139="","",IFERROR(VLOOKUP($CO139,'01_Warehouse_Ledger'!$A:$N,5,FALSE),""))</f>
        <v/>
      </c>
      <c r="CR139">
        <f>IF($CO139="","",IFERROR(VLOOKUP($CO139,'01_Warehouse_Ledger'!$A:$N,13,FALSE),""))</f>
        <v/>
      </c>
      <c r="CW139">
        <f>IF($S139="","",IF(UPPER(TRIM($S139))&lt;&gt;"PASS","",IF(LEN(TRIM($BY139))&gt;0,"NOTES_PRESENT",IF(LEN(TRIM($T139))=0,"SET_NA",IF(OR(LOWER(TRIM($T139))="na",LOWER(TRIM($T139))="n/a"),"OK","MANUAL_OVERRIDE")))))</f>
        <v/>
      </c>
    </row>
    <row r="140">
      <c r="A140" t="inlineStr">
        <is>
          <t>Cybernet</t>
        </is>
      </c>
      <c r="B140" t="inlineStr">
        <is>
          <t>Yes</t>
        </is>
      </c>
      <c r="C140" t="inlineStr">
        <is>
          <t>Yes</t>
        </is>
      </c>
      <c r="D140">
        <f>IF($B140&lt;&gt;"Yes","",IF($C140="No","Yes",IF($C140="Yes","No","")))</f>
        <v/>
      </c>
      <c r="E140">
        <f>IF($A140="","",IF(OR(AND($V140&lt;&gt;"",LOWER(TRIM($V140))&lt;&gt;"n/a",LOWER(TRIM($V140))&lt;&gt;"na",SUMPRODUCT(--(UPPER(TRIM($V$2:$V$518))=UPPER(TRIM($V140))),--(TRIM($V$2:$V$518)&lt;&gt;""),--(LOWER(TRIM($V$2:$V$518))&lt;&gt;"n/a"),--(LOWER(TRIM($V$2:$V$518))&lt;&gt;"na"))&gt;1),AND($W140&lt;&gt;"",LOWER(TRIM($W140))&lt;&gt;"n/a",LOWER(TRIM($W140))&lt;&gt;"na",SUMPRODUCT(--(UPPER(TRIM($W$2:$W$518))=UPPER(TRIM($W140))),--(TRIM($W$2:$W$518)&lt;&gt;""),--(LOWER(TRIM($W$2:$W$518))&lt;&gt;"n/a"),--(LOWER(TRIM($W$2:$W$518))&lt;&gt;"na"))&gt;1),AND($X140&lt;&gt;"",LOWER(TRIM($X140))&lt;&gt;"n/a",LOWER(TRIM($X140))&lt;&gt;"na",SUMPRODUCT(--(UPPER(TRIM($X$2:$X$518))=UPPER(TRIM($X140))),--(TRIM($X$2:$X$518)&lt;&gt;""),--(LOWER(TRIM($X$2:$X$518))&lt;&gt;"n/a"),--(LOWER(TRIM($X$2:$X$518))&lt;&gt;"na"))&gt;1),AND($Y140&lt;&gt;"",LOWER(TRIM($Y140))&lt;&gt;"n/a",LOWER(TRIM($Y140))&lt;&gt;"na",SUMPRODUCT(--(UPPER(SUBSTITUTE(SUBSTITUTE(TRIM($Y$2:$Y$518),":",""),"-",""))=UPPER(SUBSTITUTE(SUBSTITUTE(TRIM($Y140),":",""),"-",""))),--(TRIM($Y$2:$Y$518)&lt;&gt;""),--(LOWER(TRIM($Y$2:$Y$518))&lt;&gt;"n/a"),--(LOWER(TRIM($Y$2:$Y$518))&lt;&gt;"na"))&gt;1),AND($AB140&lt;&gt;"",LOWER(TRIM($AB140))&lt;&gt;"n/a",LOWER(TRIM($AB140))&lt;&gt;"na",SUMPRODUCT(--(UPPER(TRIM($AB$2:$AB$518))=UPPER(TRIM($AB140))),--(TRIM($AB$2:$AB$518)&lt;&gt;""),--(LOWER(TRIM($AB$2:$AB$518))&lt;&gt;"n/a"),--(LOWER(TRIM($AB$2:$AB$518))&lt;&gt;"na"))&gt;1),AND($AH140&lt;&gt;"",LOWER(TRIM($AH140))&lt;&gt;"n/a",LOWER(TRIM($AH140))&lt;&gt;"na",SUMPRODUCT(--(UPPER(SUBSTITUTE(SUBSTITUTE(TRIM($AH$2:$AH$518),":",""),"-",""))=UPPER(SUBSTITUTE(SUBSTITUTE(TRIM($AH140),":",""),"-",""))),--(TRIM($AH$2:$AH$518)&lt;&gt;""),--(LOWER(TRIM($AH$2:$AH$518))&lt;&gt;"n/a"),--(LOWER(TRIM($AH$2:$AH$518))&lt;&gt;"na"))&gt;1),AND($AP140&lt;&gt;"",LOWER(TRIM($AP140))&lt;&gt;"n/a",LOWER(TRIM($AP140))&lt;&gt;"na",SUMPRODUCT(--(UPPER(TRIM($AP$2:$AP$518))=UPPER(TRIM($AP140))),--(TRIM($AP$2:$AP$518)&lt;&gt;""),--(LOWER(TRIM($AP$2:$AP$518))&lt;&gt;"n/a"),--(LOWER(TRIM($AP$2:$AP$518))&lt;&gt;"na"))&gt;1),AND($AQ140&lt;&gt;"",LOWER(TRIM($AQ140))&lt;&gt;"n/a",LOWER(TRIM($AQ140))&lt;&gt;"na",SUMPRODUCT(--(UPPER(TRIM($AQ$2:$AQ$518))=UPPER(TRIM($AQ140))),--(TRIM($AQ$2:$AQ$518)&lt;&gt;""),--(LOWER(TRIM($AQ$2:$AQ$518))&lt;&gt;"n/a"),--(LOWER(TRIM($AQ$2:$AQ$518))&lt;&gt;"na"))&gt;1)),"Yes","No"))</f>
        <v/>
      </c>
      <c r="F140">
        <f>IF(UPPER(TRIM($B140))&lt;&gt;"YES","", IF(OR(AND($V140&lt;&gt;"", LOWER(TRIM($V140))&lt;&gt;"n/a", LOWER(TRIM($V140))&lt;&gt;"na", SUMPRODUCT(--(UPPER(TRIM($V$2:$V$518))=UPPER(TRIM($V140))), --(UPPER(TRIM($B$2:$B$518))="YES"), --(UPPER(TRIM($G$2:$G$518)&amp;TRIM($I$2:$I$518)&amp;TRIM($J$2:$J$518))&lt;&gt;UPPER(TRIM($G140)&amp;TRIM($I140)&amp;TRIM($J140))))&gt;0), AND($W140&lt;&gt;"", LOWER(TRIM($W140))&lt;&gt;"n/a", LOWER(TRIM($W140))&lt;&gt;"na", SUMPRODUCT(--(UPPER(TRIM($W$2:$W$518))=UPPER(TRIM($W140))), --(UPPER(TRIM($B$2:$B$518))="YES"), --(UPPER(TRIM($G$2:$G$518)&amp;TRIM($I$2:$I$518)&amp;TRIM($J$2:$J$518))&lt;&gt;UPPER(TRIM($G140)&amp;TRIM($I140)&amp;TRIM($J140))))&gt;0), AND($X140&lt;&gt;"", LOWER(TRIM($X140))&lt;&gt;"n/a", LOWER(TRIM($X140))&lt;&gt;"na", SUMPRODUCT(--(UPPER(TRIM($X$2:$X$518))=UPPER(TRIM($X140))), --(UPPER(TRIM($B$2:$B$518))="YES"), --(UPPER(TRIM($G$2:$G$518)&amp;TRIM($I$2:$I$518)&amp;TRIM($J$2:$J$518))&lt;&gt;UPPER(TRIM($G140)&amp;TRIM($I140)&amp;TRIM($J140))))&gt;0), AND($Y140&lt;&gt;"", LOWER(TRIM($Y140))&lt;&gt;"n/a", LOWER(TRIM($Y140))&lt;&gt;"na", SUMPRODUCT(--(UPPER(SUBSTITUTE(SUBSTITUTE(TRIM($Y$2:$Y$518),":",""),"-",""))=UPPER(SUBSTITUTE(SUBSTITUTE(TRIM($Y140),":",""),"-",""))), --(UPPER(TRIM($B$2:$B$518))="YES"), --(UPPER(TRIM($G$2:$G$518)&amp;TRIM($I$2:$I$518)&amp;TRIM($J$2:$J$518))&lt;&gt;UPPER(TRIM($G140)&amp;TRIM($I140)&amp;TRIM($J140))))&gt;0), AND($AB140&lt;&gt;"", LOWER(TRIM($AB140))&lt;&gt;"n/a", LOWER(TRIM($AB140))&lt;&gt;"na", SUMPRODUCT(--(UPPER(TRIM($AB$2:$AB$518))=UPPER(TRIM($AB140))), --(UPPER(TRIM($B$2:$B$518))="YES"), --(UPPER(TRIM($G$2:$G$518)&amp;TRIM($I$2:$I$518)&amp;TRIM($J$2:$J$518))&lt;&gt;UPPER(TRIM($G140)&amp;TRIM($I140)&amp;TRIM($J140))))&gt;0), AND($AH140&lt;&gt;"", LOWER(TRIM($AH140))&lt;&gt;"n/a", LOWER(TRIM($AH140))&lt;&gt;"na", SUMPRODUCT(--(UPPER(SUBSTITUTE(SUBSTITUTE(TRIM($AH$2:$AH$518),":",""),"-",""))=UPPER(SUBSTITUTE(SUBSTITUTE(TRIM($AH140),":",""),"-",""))), --(UPPER(TRIM($B$2:$B$518))="YES"), --(UPPER(TRIM($G$2:$G$518)&amp;TRIM($I$2:$I$518)&amp;TRIM($J$2:$J$518))&lt;&gt;UPPER(TRIM($G140)&amp;TRIM($I140)&amp;TRIM($J140))))&gt;0), AND($AP140&lt;&gt;"", LOWER(TRIM($AP140))&lt;&gt;"n/a", LOWER(TRIM($AP140))&lt;&gt;"na", SUMPRODUCT(--(UPPER(TRIM($AP$2:$AP$518))=UPPER(TRIM($AP140))), --(UPPER(TRIM($B$2:$B$518))="YES"), --(UPPER(TRIM($G$2:$G$518)&amp;TRIM($I$2:$I$518)&amp;TRIM($J$2:$J$518))&lt;&gt;UPPER(TRIM($G140)&amp;TRIM($I140)&amp;TRIM($J140))))&gt;0), AND($AQ140&lt;&gt;"", LOWER(TRIM($AQ140))&lt;&gt;"n/a", LOWER(TRIM($AQ140))&lt;&gt;"na", SUMPRODUCT(--(UPPER(TRIM($AQ$2:$AQ$518))=UPPER(TRIM($AQ140))), --(UPPER(TRIM($B$2:$B$518))="YES"), --(UPPER(TRIM($G$2:$G$518)&amp;TRIM($I$2:$I$518)&amp;TRIM($J$2:$J$518))&lt;&gt;UPPER(TRIM($G140)&amp;TRIM($I140)&amp;TRIM($J140))))&gt;0)), "Yes", "No"))</f>
        <v/>
      </c>
      <c r="G140" t="inlineStr">
        <is>
          <t>LIJ - Proc</t>
        </is>
      </c>
      <c r="H140" t="inlineStr">
        <is>
          <t>LIJ - Proc</t>
        </is>
      </c>
      <c r="I140" t="inlineStr">
        <is>
          <t>ENDO Proc</t>
        </is>
      </c>
      <c r="J140" t="inlineStr">
        <is>
          <t>Motility Room</t>
        </is>
      </c>
      <c r="K140" t="inlineStr">
        <is>
          <t>n/a</t>
        </is>
      </c>
      <c r="L140" s="18" t="n">
        <v>46081</v>
      </c>
      <c r="M140" t="inlineStr">
        <is>
          <t>OR iPro Cybernet Workstation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inlineStr">
        <is>
          <t>Inpatient</t>
        </is>
      </c>
      <c r="S140" t="inlineStr">
        <is>
          <t>Pass</t>
        </is>
      </c>
      <c r="T140" t="inlineStr">
        <is>
          <t>n/a</t>
        </is>
      </c>
      <c r="U140" t="inlineStr">
        <is>
          <t>1427182 LIJ Installation (Project Name) - Tim W. Seeberger, Akbar, Chris Perkins, Epic Team, Anesthesia Techs, and Admins</t>
        </is>
      </c>
      <c r="V140" t="inlineStr">
        <is>
          <t>WNH270OPR410</t>
        </is>
      </c>
      <c r="W140" t="inlineStr">
        <is>
          <t>MEDSG2425F-3009</t>
        </is>
      </c>
      <c r="X140" t="inlineStr">
        <is>
          <t>LIJ-MACH-OO</t>
        </is>
      </c>
      <c r="Y140" t="inlineStr">
        <is>
          <t>00187DE0E345</t>
        </is>
      </c>
      <c r="Z140" t="inlineStr">
        <is>
          <t>n/a</t>
        </is>
      </c>
      <c r="AH140" t="inlineStr">
        <is>
          <t>00:0D:05:0A:B1:85</t>
        </is>
      </c>
      <c r="AI140" t="inlineStr">
        <is>
          <t>Anesthesia Machine</t>
        </is>
      </c>
      <c r="AK140" t="n">
        <v>2</v>
      </c>
      <c r="AL140" t="inlineStr">
        <is>
          <t>2102BM013</t>
        </is>
      </c>
      <c r="AM140" t="inlineStr">
        <is>
          <t>Drager</t>
        </is>
      </c>
      <c r="AN140" t="inlineStr">
        <is>
          <t>Apollo</t>
        </is>
      </c>
      <c r="AP140" t="inlineStr">
        <is>
          <t>ASRF-0105</t>
        </is>
      </c>
      <c r="AQ140" t="inlineStr">
        <is>
          <t>ASRF-0105</t>
        </is>
      </c>
      <c r="AS140" t="inlineStr">
        <is>
          <t>B1-CFW</t>
        </is>
      </c>
      <c r="AX140" t="inlineStr">
        <is>
          <t>MX750 -  DE77672777</t>
        </is>
      </c>
      <c r="AY140" t="inlineStr">
        <is>
          <t>Anesthesia Machine</t>
        </is>
      </c>
      <c r="BR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CA140" t="inlineStr">
        <is>
          <t>iPro
Epic Satellite
ALLSCRIPTS
EPIC BCA</t>
        </is>
      </c>
      <c r="CD140">
        <f>IF($Y140="","",IF((IF(AND($BR140&lt;&gt;"Yes",$BR140&lt;&gt;"N/A"),"Power Cable, ","")&amp;IF(AND($BS140&lt;&gt;"Yes",$BS140&lt;&gt;"N/A"),"Battery, ","")&amp;IF(AND($AD140&lt;&gt;"Yes",$AD140&lt;&gt;"N/A"),"Firmware Download, ","")&amp;IF(AND(OR($AD140="Yes",$AD140="N/A"),$AE140&lt;&gt;"Yes",$AE140&lt;&gt;"N/A"),"Firmware Install, ","")&amp;IF(AND($CB140&lt;&gt;"Yes",$CB140&lt;&gt;"N/A"),"Device ID, ","")&amp;IF(AND($CC140&lt;&gt;"Yes",$CC140&lt;&gt;"N/A"),"Epic Beans Relay, ",""))="","",LEFT(IF(AND($BR140&lt;&gt;"Yes",$BR140&lt;&gt;"N/A"),"Power Cable, ","")&amp;IF(AND($BS140&lt;&gt;"Yes",$BS140&lt;&gt;"N/A"),"Battery, ","")&amp;IF(AND($AD140&lt;&gt;"Yes",$AD140&lt;&gt;"N/A"),"Firmware Download, ","")&amp;IF(AND(OR($AD140="Yes",$AD140="N/A"),$AE140&lt;&gt;"Yes",$AE140&lt;&gt;"N/A"),"Firmware Install, ","")&amp;IF(AND($CB140&lt;&gt;"Yes",$CB140&lt;&gt;"N/A"),"Device ID, ","")&amp;IF(AND($CC140&lt;&gt;"Yes",$CC140&lt;&gt;"N/A"),"Epic Beans Relay, ",""),LEN(IF(AND($BR140&lt;&gt;"Yes",$BR140&lt;&gt;"N/A"),"Power Cable, ","")&amp;IF(AND($BS140&lt;&gt;"Yes",$BS140&lt;&gt;"N/A"),"Battery, ","")&amp;IF(AND($AD140&lt;&gt;"Yes",$AD140&lt;&gt;"N/A"),"Firmware Download, ","")&amp;IF(AND(OR($AD140="Yes",$AD140="N/A"),$AE140&lt;&gt;"Yes",$AE140&lt;&gt;"N/A"),"Firmware Install, ","")&amp;IF(AND($CB140&lt;&gt;"Yes",$CB140&lt;&gt;"N/A"),"Device ID, ","")&amp;IF(AND($CC140&lt;&gt;"Yes",$CC140&lt;&gt;"N/A"),"Epic Beans Relay, ",""))-2)))</f>
        <v/>
      </c>
      <c r="CE140">
        <f>IF($Y140="","",IF($CD140="","Yes","Blocked"))</f>
        <v/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n">
        <v>19200</v>
      </c>
      <c r="CP140">
        <f>IF($CO140="","",IFERROR(VLOOKUP($CO140,'01_Warehouse_Ledger'!$A:$N,4,FALSE),""))</f>
        <v/>
      </c>
      <c r="CQ140">
        <f>IF($CO140="","",IFERROR(VLOOKUP($CO140,'01_Warehouse_Ledger'!$A:$N,5,FALSE),""))</f>
        <v/>
      </c>
      <c r="CR140">
        <f>IF($CO140="","",IFERROR(VLOOKUP($CO140,'01_Warehouse_Ledger'!$A:$N,13,FALSE),""))</f>
        <v/>
      </c>
      <c r="CW140" s="22">
        <f>IF($S140="","",IF(UPPER(TRIM($S140))&lt;&gt;"PASS","",IF(LEN(TRIM($BY140))&gt;0,"NOTES_PRESENT",IF(LEN(TRIM($T140))=0,"SET_NA",IF(OR(LOWER(TRIM($T140))="na",LOWER(TRIM($T140))="n/a"),"OK","MANUAL_OVERRIDE")))))</f>
        <v/>
      </c>
    </row>
    <row r="141">
      <c r="A141" t="inlineStr">
        <is>
          <t>Cybernet</t>
        </is>
      </c>
      <c r="B141" t="inlineStr">
        <is>
          <t>Yes</t>
        </is>
      </c>
      <c r="C141" t="inlineStr">
        <is>
          <t>Yes</t>
        </is>
      </c>
      <c r="D141">
        <f>IF($B141&lt;&gt;"Yes","",IF($C141="No","Yes",IF($C141="Yes","No","")))</f>
        <v/>
      </c>
      <c r="E141">
        <f>IF($A141="","",IF(OR(AND($V141&lt;&gt;"",LOWER(TRIM($V141))&lt;&gt;"n/a",LOWER(TRIM($V141))&lt;&gt;"na",SUMPRODUCT(--(UPPER(TRIM($V$2:$V$518))=UPPER(TRIM($V141))),--(TRIM($V$2:$V$518)&lt;&gt;""),--(LOWER(TRIM($V$2:$V$518))&lt;&gt;"n/a"),--(LOWER(TRIM($V$2:$V$518))&lt;&gt;"na"))&gt;1),AND($W141&lt;&gt;"",LOWER(TRIM($W141))&lt;&gt;"n/a",LOWER(TRIM($W141))&lt;&gt;"na",SUMPRODUCT(--(UPPER(TRIM($W$2:$W$518))=UPPER(TRIM($W141))),--(TRIM($W$2:$W$518)&lt;&gt;""),--(LOWER(TRIM($W$2:$W$518))&lt;&gt;"n/a"),--(LOWER(TRIM($W$2:$W$518))&lt;&gt;"na"))&gt;1),AND($X141&lt;&gt;"",LOWER(TRIM($X141))&lt;&gt;"n/a",LOWER(TRIM($X141))&lt;&gt;"na",SUMPRODUCT(--(UPPER(TRIM($X$2:$X$518))=UPPER(TRIM($X141))),--(TRIM($X$2:$X$518)&lt;&gt;""),--(LOWER(TRIM($X$2:$X$518))&lt;&gt;"n/a"),--(LOWER(TRIM($X$2:$X$518))&lt;&gt;"na"))&gt;1),AND($Y141&lt;&gt;"",LOWER(TRIM($Y141))&lt;&gt;"n/a",LOWER(TRIM($Y141))&lt;&gt;"na",SUMPRODUCT(--(UPPER(SUBSTITUTE(SUBSTITUTE(TRIM($Y$2:$Y$518),":",""),"-",""))=UPPER(SUBSTITUTE(SUBSTITUTE(TRIM($Y141),":",""),"-",""))),--(TRIM($Y$2:$Y$518)&lt;&gt;""),--(LOWER(TRIM($Y$2:$Y$518))&lt;&gt;"n/a"),--(LOWER(TRIM($Y$2:$Y$518))&lt;&gt;"na"))&gt;1),AND($AB141&lt;&gt;"",LOWER(TRIM($AB141))&lt;&gt;"n/a",LOWER(TRIM($AB141))&lt;&gt;"na",SUMPRODUCT(--(UPPER(TRIM($AB$2:$AB$518))=UPPER(TRIM($AB141))),--(TRIM($AB$2:$AB$518)&lt;&gt;""),--(LOWER(TRIM($AB$2:$AB$518))&lt;&gt;"n/a"),--(LOWER(TRIM($AB$2:$AB$518))&lt;&gt;"na"))&gt;1),AND($AH141&lt;&gt;"",LOWER(TRIM($AH141))&lt;&gt;"n/a",LOWER(TRIM($AH141))&lt;&gt;"na",SUMPRODUCT(--(UPPER(SUBSTITUTE(SUBSTITUTE(TRIM($AH$2:$AH$518),":",""),"-",""))=UPPER(SUBSTITUTE(SUBSTITUTE(TRIM($AH141),":",""),"-",""))),--(TRIM($AH$2:$AH$518)&lt;&gt;""),--(LOWER(TRIM($AH$2:$AH$518))&lt;&gt;"n/a"),--(LOWER(TRIM($AH$2:$AH$518))&lt;&gt;"na"))&gt;1),AND($AP141&lt;&gt;"",LOWER(TRIM($AP141))&lt;&gt;"n/a",LOWER(TRIM($AP141))&lt;&gt;"na",SUMPRODUCT(--(UPPER(TRIM($AP$2:$AP$518))=UPPER(TRIM($AP141))),--(TRIM($AP$2:$AP$518)&lt;&gt;""),--(LOWER(TRIM($AP$2:$AP$518))&lt;&gt;"n/a"),--(LOWER(TRIM($AP$2:$AP$518))&lt;&gt;"na"))&gt;1),AND($AQ141&lt;&gt;"",LOWER(TRIM($AQ141))&lt;&gt;"n/a",LOWER(TRIM($AQ141))&lt;&gt;"na",SUMPRODUCT(--(UPPER(TRIM($AQ$2:$AQ$518))=UPPER(TRIM($AQ141))),--(TRIM($AQ$2:$AQ$518)&lt;&gt;""),--(LOWER(TRIM($AQ$2:$AQ$518))&lt;&gt;"n/a"),--(LOWER(TRIM($AQ$2:$AQ$518))&lt;&gt;"na"))&gt;1)),"Yes","No"))</f>
        <v/>
      </c>
      <c r="F141">
        <f>IF(UPPER(TRIM($B141))&lt;&gt;"YES","", IF(OR(AND($V141&lt;&gt;"", LOWER(TRIM($V141))&lt;&gt;"n/a", LOWER(TRIM($V141))&lt;&gt;"na", SUMPRODUCT(--(UPPER(TRIM($V$2:$V$518))=UPPER(TRIM($V141))), --(UPPER(TRIM($B$2:$B$518))="YES"), --(UPPER(TRIM($G$2:$G$518)&amp;TRIM($I$2:$I$518)&amp;TRIM($J$2:$J$518))&lt;&gt;UPPER(TRIM($G141)&amp;TRIM($I141)&amp;TRIM($J141))))&gt;0), AND($W141&lt;&gt;"", LOWER(TRIM($W141))&lt;&gt;"n/a", LOWER(TRIM($W141))&lt;&gt;"na", SUMPRODUCT(--(UPPER(TRIM($W$2:$W$518))=UPPER(TRIM($W141))), --(UPPER(TRIM($B$2:$B$518))="YES"), --(UPPER(TRIM($G$2:$G$518)&amp;TRIM($I$2:$I$518)&amp;TRIM($J$2:$J$518))&lt;&gt;UPPER(TRIM($G141)&amp;TRIM($I141)&amp;TRIM($J141))))&gt;0), AND($X141&lt;&gt;"", LOWER(TRIM($X141))&lt;&gt;"n/a", LOWER(TRIM($X141))&lt;&gt;"na", SUMPRODUCT(--(UPPER(TRIM($X$2:$X$518))=UPPER(TRIM($X141))), --(UPPER(TRIM($B$2:$B$518))="YES"), --(UPPER(TRIM($G$2:$G$518)&amp;TRIM($I$2:$I$518)&amp;TRIM($J$2:$J$518))&lt;&gt;UPPER(TRIM($G141)&amp;TRIM($I141)&amp;TRIM($J141))))&gt;0), AND($Y141&lt;&gt;"", LOWER(TRIM($Y141))&lt;&gt;"n/a", LOWER(TRIM($Y141))&lt;&gt;"na", SUMPRODUCT(--(UPPER(SUBSTITUTE(SUBSTITUTE(TRIM($Y$2:$Y$518),":",""),"-",""))=UPPER(SUBSTITUTE(SUBSTITUTE(TRIM($Y141),":",""),"-",""))), --(UPPER(TRIM($B$2:$B$518))="YES"), --(UPPER(TRIM($G$2:$G$518)&amp;TRIM($I$2:$I$518)&amp;TRIM($J$2:$J$518))&lt;&gt;UPPER(TRIM($G141)&amp;TRIM($I141)&amp;TRIM($J141))))&gt;0), AND($AB141&lt;&gt;"", LOWER(TRIM($AB141))&lt;&gt;"n/a", LOWER(TRIM($AB141))&lt;&gt;"na", SUMPRODUCT(--(UPPER(TRIM($AB$2:$AB$518))=UPPER(TRIM($AB141))), --(UPPER(TRIM($B$2:$B$518))="YES"), --(UPPER(TRIM($G$2:$G$518)&amp;TRIM($I$2:$I$518)&amp;TRIM($J$2:$J$518))&lt;&gt;UPPER(TRIM($G141)&amp;TRIM($I141)&amp;TRIM($J141))))&gt;0), AND($AH141&lt;&gt;"", LOWER(TRIM($AH141))&lt;&gt;"n/a", LOWER(TRIM($AH141))&lt;&gt;"na", SUMPRODUCT(--(UPPER(SUBSTITUTE(SUBSTITUTE(TRIM($AH$2:$AH$518),":",""),"-",""))=UPPER(SUBSTITUTE(SUBSTITUTE(TRIM($AH141),":",""),"-",""))), --(UPPER(TRIM($B$2:$B$518))="YES"), --(UPPER(TRIM($G$2:$G$518)&amp;TRIM($I$2:$I$518)&amp;TRIM($J$2:$J$518))&lt;&gt;UPPER(TRIM($G141)&amp;TRIM($I141)&amp;TRIM($J141))))&gt;0), AND($AP141&lt;&gt;"", LOWER(TRIM($AP141))&lt;&gt;"n/a", LOWER(TRIM($AP141))&lt;&gt;"na", SUMPRODUCT(--(UPPER(TRIM($AP$2:$AP$518))=UPPER(TRIM($AP141))), --(UPPER(TRIM($B$2:$B$518))="YES"), --(UPPER(TRIM($G$2:$G$518)&amp;TRIM($I$2:$I$518)&amp;TRIM($J$2:$J$518))&lt;&gt;UPPER(TRIM($G141)&amp;TRIM($I141)&amp;TRIM($J141))))&gt;0), AND($AQ141&lt;&gt;"", LOWER(TRIM($AQ141))&lt;&gt;"n/a", LOWER(TRIM($AQ141))&lt;&gt;"na", SUMPRODUCT(--(UPPER(TRIM($AQ$2:$AQ$518))=UPPER(TRIM($AQ141))), --(UPPER(TRIM($B$2:$B$518))="YES"), --(UPPER(TRIM($G$2:$G$518)&amp;TRIM($I$2:$I$518)&amp;TRIM($J$2:$J$518))&lt;&gt;UPPER(TRIM($G141)&amp;TRIM($I141)&amp;TRIM($J141))))&gt;0)), "Yes", "No"))</f>
        <v/>
      </c>
      <c r="G141" t="inlineStr">
        <is>
          <t>LIJ - Proc</t>
        </is>
      </c>
      <c r="H141" t="inlineStr">
        <is>
          <t>LIJ - Proc</t>
        </is>
      </c>
      <c r="I141" t="inlineStr">
        <is>
          <t>ENDO Proc</t>
        </is>
      </c>
      <c r="J141" t="inlineStr">
        <is>
          <t>PR 3</t>
        </is>
      </c>
      <c r="K141" t="inlineStr">
        <is>
          <t>n/a</t>
        </is>
      </c>
      <c r="L141" s="18" t="n">
        <v>46081</v>
      </c>
      <c r="M141" t="inlineStr">
        <is>
          <t>OR iPro Cybernet Workstation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Inpatient</t>
        </is>
      </c>
      <c r="S141" t="inlineStr">
        <is>
          <t>Pass</t>
        </is>
      </c>
      <c r="T141" t="inlineStr">
        <is>
          <t>n/a</t>
        </is>
      </c>
      <c r="U141" t="inlineStr">
        <is>
          <t>1427182 LIJ Installation (Project Name) - Tim W. Seeberger, Akbar, Chris Perkins, Epic Team, Anesthesia Techs, and Admins</t>
        </is>
      </c>
      <c r="V141" t="inlineStr">
        <is>
          <t>WNH270OPR411</t>
        </is>
      </c>
      <c r="W141" t="inlineStr">
        <is>
          <t>MEDSG2425F-3044</t>
        </is>
      </c>
      <c r="X141" t="inlineStr">
        <is>
          <t>LIJ-MACH-GG</t>
        </is>
      </c>
      <c r="Y141" t="inlineStr">
        <is>
          <t>00187DE04EB0</t>
        </is>
      </c>
      <c r="Z141" t="inlineStr">
        <is>
          <t>n/a</t>
        </is>
      </c>
      <c r="AH141" t="inlineStr">
        <is>
          <t>00:0D:05:0A:B2:6b</t>
        </is>
      </c>
      <c r="AI141" t="inlineStr">
        <is>
          <t>Anesthesia Machine</t>
        </is>
      </c>
      <c r="AK141" t="n">
        <v>2</v>
      </c>
      <c r="AL141" t="inlineStr">
        <is>
          <t>2102BM016</t>
        </is>
      </c>
      <c r="AM141" t="inlineStr">
        <is>
          <t>Drager</t>
        </is>
      </c>
      <c r="AN141" t="inlineStr">
        <is>
          <t>Apollo</t>
        </is>
      </c>
      <c r="AP141" t="inlineStr">
        <is>
          <t>ASBM-0233</t>
        </is>
      </c>
      <c r="AQ141" t="inlineStr">
        <is>
          <t>ASBM-0233</t>
        </is>
      </c>
      <c r="AS141" t="inlineStr">
        <is>
          <t>B1-CFW</t>
        </is>
      </c>
      <c r="AX141" t="inlineStr">
        <is>
          <t>MX750 -  DE77672773</t>
        </is>
      </c>
      <c r="AY141" t="inlineStr">
        <is>
          <t>Anesthesia Machine</t>
        </is>
      </c>
      <c r="BR141" t="inlineStr">
        <is>
          <t>Yes</t>
        </is>
      </c>
      <c r="BS141" t="inlineStr">
        <is>
          <t>Yes</t>
        </is>
      </c>
      <c r="BT141" t="inlineStr">
        <is>
          <t>Yes</t>
        </is>
      </c>
      <c r="BU141" t="inlineStr">
        <is>
          <t>Yes</t>
        </is>
      </c>
      <c r="CA141" t="inlineStr">
        <is>
          <t>iPro
Epic Satellite
ALLSCRIPTS
EPIC BCA</t>
        </is>
      </c>
      <c r="CD141">
        <f>IF($Y141="","",IF((IF(AND($BR141&lt;&gt;"Yes",$BR141&lt;&gt;"N/A"),"Power Cable, ","")&amp;IF(AND($BS141&lt;&gt;"Yes",$BS141&lt;&gt;"N/A"),"Battery, ","")&amp;IF(AND($AD141&lt;&gt;"Yes",$AD141&lt;&gt;"N/A"),"Firmware Download, ","")&amp;IF(AND(OR($AD141="Yes",$AD141="N/A"),$AE141&lt;&gt;"Yes",$AE141&lt;&gt;"N/A"),"Firmware Install, ","")&amp;IF(AND($CB141&lt;&gt;"Yes",$CB141&lt;&gt;"N/A"),"Device ID, ","")&amp;IF(AND($CC141&lt;&gt;"Yes",$CC141&lt;&gt;"N/A"),"Epic Beans Relay, ",""))="","",LEFT(IF(AND($BR141&lt;&gt;"Yes",$BR141&lt;&gt;"N/A"),"Power Cable, ","")&amp;IF(AND($BS141&lt;&gt;"Yes",$BS141&lt;&gt;"N/A"),"Battery, ","")&amp;IF(AND($AD141&lt;&gt;"Yes",$AD141&lt;&gt;"N/A"),"Firmware Download, ","")&amp;IF(AND(OR($AD141="Yes",$AD141="N/A"),$AE141&lt;&gt;"Yes",$AE141&lt;&gt;"N/A"),"Firmware Install, ","")&amp;IF(AND($CB141&lt;&gt;"Yes",$CB141&lt;&gt;"N/A"),"Device ID, ","")&amp;IF(AND($CC141&lt;&gt;"Yes",$CC141&lt;&gt;"N/A"),"Epic Beans Relay, ",""),LEN(IF(AND($BR141&lt;&gt;"Yes",$BR141&lt;&gt;"N/A"),"Power Cable, ","")&amp;IF(AND($BS141&lt;&gt;"Yes",$BS141&lt;&gt;"N/A"),"Battery, ","")&amp;IF(AND($AD141&lt;&gt;"Yes",$AD141&lt;&gt;"N/A"),"Firmware Download, ","")&amp;IF(AND(OR($AD141="Yes",$AD141="N/A"),$AE141&lt;&gt;"Yes",$AE141&lt;&gt;"N/A"),"Firmware Install, ","")&amp;IF(AND($CB141&lt;&gt;"Yes",$CB141&lt;&gt;"N/A"),"Device ID, ","")&amp;IF(AND($CC141&lt;&gt;"Yes",$CC141&lt;&gt;"N/A"),"Epic Beans Relay, ",""))-2)))</f>
        <v/>
      </c>
      <c r="CE141">
        <f>IF($Y141="","",IF($CD141="","Yes","Blocked"))</f>
        <v/>
      </c>
      <c r="CF141" t="inlineStr">
        <is>
          <t>Yes</t>
        </is>
      </c>
      <c r="CG141" t="inlineStr">
        <is>
          <t>Yes</t>
        </is>
      </c>
      <c r="CH141" t="inlineStr">
        <is>
          <t>Yes</t>
        </is>
      </c>
      <c r="CI141" t="inlineStr">
        <is>
          <t>Yes</t>
        </is>
      </c>
      <c r="CJ141" t="inlineStr">
        <is>
          <t>Yes</t>
        </is>
      </c>
      <c r="CK141" t="n">
        <v>19200</v>
      </c>
      <c r="CP141">
        <f>IF($CO141="","",IFERROR(VLOOKUP($CO141,'01_Warehouse_Ledger'!$A:$N,4,FALSE),""))</f>
        <v/>
      </c>
      <c r="CQ141">
        <f>IF($CO141="","",IFERROR(VLOOKUP($CO141,'01_Warehouse_Ledger'!$A:$N,5,FALSE),""))</f>
        <v/>
      </c>
      <c r="CR141">
        <f>IF($CO141="","",IFERROR(VLOOKUP($CO141,'01_Warehouse_Ledger'!$A:$N,13,FALSE),""))</f>
        <v/>
      </c>
      <c r="CW141">
        <f>IF($S141="","",IF(UPPER(TRIM($S141))&lt;&gt;"PASS","",IF(LEN(TRIM($BY141))&gt;0,"NOTES_PRESENT",IF(LEN(TRIM($T141))=0,"SET_NA",IF(OR(LOWER(TRIM($T141))="na",LOWER(TRIM($T141))="n/a"),"OK","MANUAL_OVERRIDE")))))</f>
        <v/>
      </c>
    </row>
    <row r="142">
      <c r="A142" t="inlineStr">
        <is>
          <t>Cybernet</t>
        </is>
      </c>
      <c r="B142" t="inlineStr">
        <is>
          <t>Yes</t>
        </is>
      </c>
      <c r="C142" t="inlineStr">
        <is>
          <t>Yes</t>
        </is>
      </c>
      <c r="D142">
        <f>IF($B142&lt;&gt;"Yes","",IF($C142="No","Yes",IF($C142="Yes","No","")))</f>
        <v/>
      </c>
      <c r="E142">
        <f>IF($A142="","",IF(OR(AND($V142&lt;&gt;"",LOWER(TRIM($V142))&lt;&gt;"n/a",LOWER(TRIM($V142))&lt;&gt;"na",SUMPRODUCT(--(UPPER(TRIM($V$2:$V$518))=UPPER(TRIM($V142))),--(TRIM($V$2:$V$518)&lt;&gt;""),--(LOWER(TRIM($V$2:$V$518))&lt;&gt;"n/a"),--(LOWER(TRIM($V$2:$V$518))&lt;&gt;"na"))&gt;1),AND($W142&lt;&gt;"",LOWER(TRIM($W142))&lt;&gt;"n/a",LOWER(TRIM($W142))&lt;&gt;"na",SUMPRODUCT(--(UPPER(TRIM($W$2:$W$518))=UPPER(TRIM($W142))),--(TRIM($W$2:$W$518)&lt;&gt;""),--(LOWER(TRIM($W$2:$W$518))&lt;&gt;"n/a"),--(LOWER(TRIM($W$2:$W$518))&lt;&gt;"na"))&gt;1),AND($X142&lt;&gt;"",LOWER(TRIM($X142))&lt;&gt;"n/a",LOWER(TRIM($X142))&lt;&gt;"na",SUMPRODUCT(--(UPPER(TRIM($X$2:$X$518))=UPPER(TRIM($X142))),--(TRIM($X$2:$X$518)&lt;&gt;""),--(LOWER(TRIM($X$2:$X$518))&lt;&gt;"n/a"),--(LOWER(TRIM($X$2:$X$518))&lt;&gt;"na"))&gt;1),AND($Y142&lt;&gt;"",LOWER(TRIM($Y142))&lt;&gt;"n/a",LOWER(TRIM($Y142))&lt;&gt;"na",SUMPRODUCT(--(UPPER(SUBSTITUTE(SUBSTITUTE(TRIM($Y$2:$Y$518),":",""),"-",""))=UPPER(SUBSTITUTE(SUBSTITUTE(TRIM($Y142),":",""),"-",""))),--(TRIM($Y$2:$Y$518)&lt;&gt;""),--(LOWER(TRIM($Y$2:$Y$518))&lt;&gt;"n/a"),--(LOWER(TRIM($Y$2:$Y$518))&lt;&gt;"na"))&gt;1),AND($AB142&lt;&gt;"",LOWER(TRIM($AB142))&lt;&gt;"n/a",LOWER(TRIM($AB142))&lt;&gt;"na",SUMPRODUCT(--(UPPER(TRIM($AB$2:$AB$518))=UPPER(TRIM($AB142))),--(TRIM($AB$2:$AB$518)&lt;&gt;""),--(LOWER(TRIM($AB$2:$AB$518))&lt;&gt;"n/a"),--(LOWER(TRIM($AB$2:$AB$518))&lt;&gt;"na"))&gt;1),AND($AH142&lt;&gt;"",LOWER(TRIM($AH142))&lt;&gt;"n/a",LOWER(TRIM($AH142))&lt;&gt;"na",SUMPRODUCT(--(UPPER(SUBSTITUTE(SUBSTITUTE(TRIM($AH$2:$AH$518),":",""),"-",""))=UPPER(SUBSTITUTE(SUBSTITUTE(TRIM($AH142),":",""),"-",""))),--(TRIM($AH$2:$AH$518)&lt;&gt;""),--(LOWER(TRIM($AH$2:$AH$518))&lt;&gt;"n/a"),--(LOWER(TRIM($AH$2:$AH$518))&lt;&gt;"na"))&gt;1),AND($AP142&lt;&gt;"",LOWER(TRIM($AP142))&lt;&gt;"n/a",LOWER(TRIM($AP142))&lt;&gt;"na",SUMPRODUCT(--(UPPER(TRIM($AP$2:$AP$518))=UPPER(TRIM($AP142))),--(TRIM($AP$2:$AP$518)&lt;&gt;""),--(LOWER(TRIM($AP$2:$AP$518))&lt;&gt;"n/a"),--(LOWER(TRIM($AP$2:$AP$518))&lt;&gt;"na"))&gt;1),AND($AQ142&lt;&gt;"",LOWER(TRIM($AQ142))&lt;&gt;"n/a",LOWER(TRIM($AQ142))&lt;&gt;"na",SUMPRODUCT(--(UPPER(TRIM($AQ$2:$AQ$518))=UPPER(TRIM($AQ142))),--(TRIM($AQ$2:$AQ$518)&lt;&gt;""),--(LOWER(TRIM($AQ$2:$AQ$518))&lt;&gt;"n/a"),--(LOWER(TRIM($AQ$2:$AQ$518))&lt;&gt;"na"))&gt;1)),"Yes","No"))</f>
        <v/>
      </c>
      <c r="F142">
        <f>IF(UPPER(TRIM($B142))&lt;&gt;"YES","", IF(OR(AND($V142&lt;&gt;"", LOWER(TRIM($V142))&lt;&gt;"n/a", LOWER(TRIM($V142))&lt;&gt;"na", SUMPRODUCT(--(UPPER(TRIM($V$2:$V$518))=UPPER(TRIM($V142))), --(UPPER(TRIM($B$2:$B$518))="YES"), --(UPPER(TRIM($G$2:$G$518)&amp;TRIM($I$2:$I$518)&amp;TRIM($J$2:$J$518))&lt;&gt;UPPER(TRIM($G142)&amp;TRIM($I142)&amp;TRIM($J142))))&gt;0), AND($W142&lt;&gt;"", LOWER(TRIM($W142))&lt;&gt;"n/a", LOWER(TRIM($W142))&lt;&gt;"na", SUMPRODUCT(--(UPPER(TRIM($W$2:$W$518))=UPPER(TRIM($W142))), --(UPPER(TRIM($B$2:$B$518))="YES"), --(UPPER(TRIM($G$2:$G$518)&amp;TRIM($I$2:$I$518)&amp;TRIM($J$2:$J$518))&lt;&gt;UPPER(TRIM($G142)&amp;TRIM($I142)&amp;TRIM($J142))))&gt;0), AND($X142&lt;&gt;"", LOWER(TRIM($X142))&lt;&gt;"n/a", LOWER(TRIM($X142))&lt;&gt;"na", SUMPRODUCT(--(UPPER(TRIM($X$2:$X$518))=UPPER(TRIM($X142))), --(UPPER(TRIM($B$2:$B$518))="YES"), --(UPPER(TRIM($G$2:$G$518)&amp;TRIM($I$2:$I$518)&amp;TRIM($J$2:$J$518))&lt;&gt;UPPER(TRIM($G142)&amp;TRIM($I142)&amp;TRIM($J142))))&gt;0), AND($Y142&lt;&gt;"", LOWER(TRIM($Y142))&lt;&gt;"n/a", LOWER(TRIM($Y142))&lt;&gt;"na", SUMPRODUCT(--(UPPER(SUBSTITUTE(SUBSTITUTE(TRIM($Y$2:$Y$518),":",""),"-",""))=UPPER(SUBSTITUTE(SUBSTITUTE(TRIM($Y142),":",""),"-",""))), --(UPPER(TRIM($B$2:$B$518))="YES"), --(UPPER(TRIM($G$2:$G$518)&amp;TRIM($I$2:$I$518)&amp;TRIM($J$2:$J$518))&lt;&gt;UPPER(TRIM($G142)&amp;TRIM($I142)&amp;TRIM($J142))))&gt;0), AND($AB142&lt;&gt;"", LOWER(TRIM($AB142))&lt;&gt;"n/a", LOWER(TRIM($AB142))&lt;&gt;"na", SUMPRODUCT(--(UPPER(TRIM($AB$2:$AB$518))=UPPER(TRIM($AB142))), --(UPPER(TRIM($B$2:$B$518))="YES"), --(UPPER(TRIM($G$2:$G$518)&amp;TRIM($I$2:$I$518)&amp;TRIM($J$2:$J$518))&lt;&gt;UPPER(TRIM($G142)&amp;TRIM($I142)&amp;TRIM($J142))))&gt;0), AND($AH142&lt;&gt;"", LOWER(TRIM($AH142))&lt;&gt;"n/a", LOWER(TRIM($AH142))&lt;&gt;"na", SUMPRODUCT(--(UPPER(SUBSTITUTE(SUBSTITUTE(TRIM($AH$2:$AH$518),":",""),"-",""))=UPPER(SUBSTITUTE(SUBSTITUTE(TRIM($AH142),":",""),"-",""))), --(UPPER(TRIM($B$2:$B$518))="YES"), --(UPPER(TRIM($G$2:$G$518)&amp;TRIM($I$2:$I$518)&amp;TRIM($J$2:$J$518))&lt;&gt;UPPER(TRIM($G142)&amp;TRIM($I142)&amp;TRIM($J142))))&gt;0), AND($AP142&lt;&gt;"", LOWER(TRIM($AP142))&lt;&gt;"n/a", LOWER(TRIM($AP142))&lt;&gt;"na", SUMPRODUCT(--(UPPER(TRIM($AP$2:$AP$518))=UPPER(TRIM($AP142))), --(UPPER(TRIM($B$2:$B$518))="YES"), --(UPPER(TRIM($G$2:$G$518)&amp;TRIM($I$2:$I$518)&amp;TRIM($J$2:$J$518))&lt;&gt;UPPER(TRIM($G142)&amp;TRIM($I142)&amp;TRIM($J142))))&gt;0), AND($AQ142&lt;&gt;"", LOWER(TRIM($AQ142))&lt;&gt;"n/a", LOWER(TRIM($AQ142))&lt;&gt;"na", SUMPRODUCT(--(UPPER(TRIM($AQ$2:$AQ$518))=UPPER(TRIM($AQ142))), --(UPPER(TRIM($B$2:$B$518))="YES"), --(UPPER(TRIM($G$2:$G$518)&amp;TRIM($I$2:$I$518)&amp;TRIM($J$2:$J$518))&lt;&gt;UPPER(TRIM($G142)&amp;TRIM($I142)&amp;TRIM($J142))))&gt;0)), "Yes", "No"))</f>
        <v/>
      </c>
      <c r="G142" t="inlineStr">
        <is>
          <t>LIJ - Proc</t>
        </is>
      </c>
      <c r="H142" t="inlineStr">
        <is>
          <t>LIJ - Proc</t>
        </is>
      </c>
      <c r="I142" t="inlineStr">
        <is>
          <t>LDR ORs</t>
        </is>
      </c>
      <c r="J142" t="inlineStr">
        <is>
          <t>OB OR 1</t>
        </is>
      </c>
      <c r="K142" t="inlineStr">
        <is>
          <t>n/a</t>
        </is>
      </c>
      <c r="L142" s="18" t="n">
        <v>46081</v>
      </c>
      <c r="M142" t="inlineStr">
        <is>
          <t>OR iPro Cybernet Workstation</t>
        </is>
      </c>
      <c r="N142" t="inlineStr">
        <is>
          <t>Yes</t>
        </is>
      </c>
      <c r="O142" t="inlineStr">
        <is>
          <t>No</t>
        </is>
      </c>
      <c r="P142" t="inlineStr">
        <is>
          <t>No</t>
        </is>
      </c>
      <c r="Q142" t="inlineStr">
        <is>
          <t>Inpatient</t>
        </is>
      </c>
      <c r="S142" t="inlineStr">
        <is>
          <t>Pass</t>
        </is>
      </c>
      <c r="T142" t="inlineStr">
        <is>
          <t>n/a</t>
        </is>
      </c>
      <c r="U142" t="inlineStr">
        <is>
          <t>1427182 LIJ Installation (Project Name) - Tim W. Seeberger, Akbar, Chris Perkins, Epic Team, Anesthesia Techs, and Admins</t>
        </is>
      </c>
      <c r="V142" t="inlineStr">
        <is>
          <t>WNH270OPR412</t>
        </is>
      </c>
      <c r="W142" t="inlineStr">
        <is>
          <t>MEDSG2425F-3302</t>
        </is>
      </c>
      <c r="X142" t="inlineStr">
        <is>
          <t>LIJ-MACH-CC</t>
        </is>
      </c>
      <c r="Y142" t="inlineStr">
        <is>
          <t>00187DE0E33A</t>
        </is>
      </c>
      <c r="Z142" t="inlineStr">
        <is>
          <t>n/a</t>
        </is>
      </c>
      <c r="AH142" t="inlineStr">
        <is>
          <t>00:0D:05:0A:B3:1f</t>
        </is>
      </c>
      <c r="AI142" t="inlineStr">
        <is>
          <t>Anesthesia Machine</t>
        </is>
      </c>
      <c r="AK142" t="n">
        <v>2</v>
      </c>
      <c r="AL142" t="inlineStr">
        <is>
          <t>354-15 A,B,C</t>
        </is>
      </c>
      <c r="AM142" t="inlineStr">
        <is>
          <t>Drager</t>
        </is>
      </c>
      <c r="AN142" t="inlineStr">
        <is>
          <t>Apollo</t>
        </is>
      </c>
      <c r="AP142" t="inlineStr">
        <is>
          <t>ASHF-0079</t>
        </is>
      </c>
      <c r="AQ142" t="inlineStr">
        <is>
          <t>ASHF-0079</t>
        </is>
      </c>
      <c r="AS142" t="inlineStr">
        <is>
          <t>B1-CFW</t>
        </is>
      </c>
      <c r="AX142" t="inlineStr">
        <is>
          <t>MX750 -  DE77669090</t>
        </is>
      </c>
      <c r="AY142" t="inlineStr">
        <is>
          <t>Anesthesia Machine</t>
        </is>
      </c>
      <c r="BR142" t="inlineStr">
        <is>
          <t>Yes</t>
        </is>
      </c>
      <c r="BS142" t="inlineStr">
        <is>
          <t>Yes</t>
        </is>
      </c>
      <c r="BT142" t="inlineStr">
        <is>
          <t>Yes</t>
        </is>
      </c>
      <c r="BU142" t="inlineStr">
        <is>
          <t>Yes</t>
        </is>
      </c>
      <c r="CA142" t="inlineStr">
        <is>
          <t>iPro
Epic Satellite
ALLSCRIPTS
EPIC BCA</t>
        </is>
      </c>
      <c r="CD142">
        <f>IF($Y142="","",IF((IF(AND($BR142&lt;&gt;"Yes",$BR142&lt;&gt;"N/A"),"Power Cable, ","")&amp;IF(AND($BS142&lt;&gt;"Yes",$BS142&lt;&gt;"N/A"),"Battery, ","")&amp;IF(AND($AD142&lt;&gt;"Yes",$AD142&lt;&gt;"N/A"),"Firmware Download, ","")&amp;IF(AND(OR($AD142="Yes",$AD142="N/A"),$AE142&lt;&gt;"Yes",$AE142&lt;&gt;"N/A"),"Firmware Install, ","")&amp;IF(AND($CB142&lt;&gt;"Yes",$CB142&lt;&gt;"N/A"),"Device ID, ","")&amp;IF(AND($CC142&lt;&gt;"Yes",$CC142&lt;&gt;"N/A"),"Epic Beans Relay, ",""))="","",LEFT(IF(AND($BR142&lt;&gt;"Yes",$BR142&lt;&gt;"N/A"),"Power Cable, ","")&amp;IF(AND($BS142&lt;&gt;"Yes",$BS142&lt;&gt;"N/A"),"Battery, ","")&amp;IF(AND($AD142&lt;&gt;"Yes",$AD142&lt;&gt;"N/A"),"Firmware Download, ","")&amp;IF(AND(OR($AD142="Yes",$AD142="N/A"),$AE142&lt;&gt;"Yes",$AE142&lt;&gt;"N/A"),"Firmware Install, ","")&amp;IF(AND($CB142&lt;&gt;"Yes",$CB142&lt;&gt;"N/A"),"Device ID, ","")&amp;IF(AND($CC142&lt;&gt;"Yes",$CC142&lt;&gt;"N/A"),"Epic Beans Relay, ",""),LEN(IF(AND($BR142&lt;&gt;"Yes",$BR142&lt;&gt;"N/A"),"Power Cable, ","")&amp;IF(AND($BS142&lt;&gt;"Yes",$BS142&lt;&gt;"N/A"),"Battery, ","")&amp;IF(AND($AD142&lt;&gt;"Yes",$AD142&lt;&gt;"N/A"),"Firmware Download, ","")&amp;IF(AND(OR($AD142="Yes",$AD142="N/A"),$AE142&lt;&gt;"Yes",$AE142&lt;&gt;"N/A"),"Firmware Install, ","")&amp;IF(AND($CB142&lt;&gt;"Yes",$CB142&lt;&gt;"N/A"),"Device ID, ","")&amp;IF(AND($CC142&lt;&gt;"Yes",$CC142&lt;&gt;"N/A"),"Epic Beans Relay, ",""))-2)))</f>
        <v/>
      </c>
      <c r="CE142">
        <f>IF($Y142="","",IF($CD142="","Yes","Blocked"))</f>
        <v/>
      </c>
      <c r="CF142" t="inlineStr">
        <is>
          <t>Yes</t>
        </is>
      </c>
      <c r="CG142" t="inlineStr">
        <is>
          <t>Yes</t>
        </is>
      </c>
      <c r="CH142" t="inlineStr">
        <is>
          <t>Yes</t>
        </is>
      </c>
      <c r="CI142" t="inlineStr">
        <is>
          <t>Yes</t>
        </is>
      </c>
      <c r="CJ142" t="inlineStr">
        <is>
          <t>Yes</t>
        </is>
      </c>
      <c r="CK142" t="n">
        <v>19200</v>
      </c>
      <c r="CP142">
        <f>IF($CO142="","",IFERROR(VLOOKUP($CO142,'01_Warehouse_Ledger'!$A:$N,4,FALSE),""))</f>
        <v/>
      </c>
      <c r="CQ142">
        <f>IF($CO142="","",IFERROR(VLOOKUP($CO142,'01_Warehouse_Ledger'!$A:$N,5,FALSE),""))</f>
        <v/>
      </c>
      <c r="CR142">
        <f>IF($CO142="","",IFERROR(VLOOKUP($CO142,'01_Warehouse_Ledger'!$A:$N,13,FALSE),""))</f>
        <v/>
      </c>
      <c r="CW142">
        <f>IF($S142="","",IF(UPPER(TRIM($S142))&lt;&gt;"PASS","",IF(LEN(TRIM($BY142))&gt;0,"NOTES_PRESENT",IF(LEN(TRIM($T142))=0,"SET_NA",IF(OR(LOWER(TRIM($T142))="na",LOWER(TRIM($T142))="n/a"),"OK","MANUAL_OVERRIDE")))))</f>
        <v/>
      </c>
    </row>
    <row r="143">
      <c r="A143" t="inlineStr">
        <is>
          <t>Cybernet</t>
        </is>
      </c>
      <c r="B143" t="inlineStr">
        <is>
          <t>Yes</t>
        </is>
      </c>
      <c r="C143" t="inlineStr">
        <is>
          <t>Yes</t>
        </is>
      </c>
      <c r="D143">
        <f>IF($B143&lt;&gt;"Yes","",IF($C143="No","Yes",IF($C143="Yes","No","")))</f>
        <v/>
      </c>
      <c r="E143">
        <f>IF($A143="","",IF(OR(AND($V143&lt;&gt;"",LOWER(TRIM($V143))&lt;&gt;"n/a",LOWER(TRIM($V143))&lt;&gt;"na",SUMPRODUCT(--(UPPER(TRIM($V$2:$V$518))=UPPER(TRIM($V143))),--(TRIM($V$2:$V$518)&lt;&gt;""),--(LOWER(TRIM($V$2:$V$518))&lt;&gt;"n/a"),--(LOWER(TRIM($V$2:$V$518))&lt;&gt;"na"))&gt;1),AND($W143&lt;&gt;"",LOWER(TRIM($W143))&lt;&gt;"n/a",LOWER(TRIM($W143))&lt;&gt;"na",SUMPRODUCT(--(UPPER(TRIM($W$2:$W$518))=UPPER(TRIM($W143))),--(TRIM($W$2:$W$518)&lt;&gt;""),--(LOWER(TRIM($W$2:$W$518))&lt;&gt;"n/a"),--(LOWER(TRIM($W$2:$W$518))&lt;&gt;"na"))&gt;1),AND($X143&lt;&gt;"",LOWER(TRIM($X143))&lt;&gt;"n/a",LOWER(TRIM($X143))&lt;&gt;"na",SUMPRODUCT(--(UPPER(TRIM($X$2:$X$518))=UPPER(TRIM($X143))),--(TRIM($X$2:$X$518)&lt;&gt;""),--(LOWER(TRIM($X$2:$X$518))&lt;&gt;"n/a"),--(LOWER(TRIM($X$2:$X$518))&lt;&gt;"na"))&gt;1),AND($Y143&lt;&gt;"",LOWER(TRIM($Y143))&lt;&gt;"n/a",LOWER(TRIM($Y143))&lt;&gt;"na",SUMPRODUCT(--(UPPER(SUBSTITUTE(SUBSTITUTE(TRIM($Y$2:$Y$518),":",""),"-",""))=UPPER(SUBSTITUTE(SUBSTITUTE(TRIM($Y143),":",""),"-",""))),--(TRIM($Y$2:$Y$518)&lt;&gt;""),--(LOWER(TRIM($Y$2:$Y$518))&lt;&gt;"n/a"),--(LOWER(TRIM($Y$2:$Y$518))&lt;&gt;"na"))&gt;1),AND($AB143&lt;&gt;"",LOWER(TRIM($AB143))&lt;&gt;"n/a",LOWER(TRIM($AB143))&lt;&gt;"na",SUMPRODUCT(--(UPPER(TRIM($AB$2:$AB$518))=UPPER(TRIM($AB143))),--(TRIM($AB$2:$AB$518)&lt;&gt;""),--(LOWER(TRIM($AB$2:$AB$518))&lt;&gt;"n/a"),--(LOWER(TRIM($AB$2:$AB$518))&lt;&gt;"na"))&gt;1),AND($AH143&lt;&gt;"",LOWER(TRIM($AH143))&lt;&gt;"n/a",LOWER(TRIM($AH143))&lt;&gt;"na",SUMPRODUCT(--(UPPER(SUBSTITUTE(SUBSTITUTE(TRIM($AH$2:$AH$518),":",""),"-",""))=UPPER(SUBSTITUTE(SUBSTITUTE(TRIM($AH143),":",""),"-",""))),--(TRIM($AH$2:$AH$518)&lt;&gt;""),--(LOWER(TRIM($AH$2:$AH$518))&lt;&gt;"n/a"),--(LOWER(TRIM($AH$2:$AH$518))&lt;&gt;"na"))&gt;1),AND($AP143&lt;&gt;"",LOWER(TRIM($AP143))&lt;&gt;"n/a",LOWER(TRIM($AP143))&lt;&gt;"na",SUMPRODUCT(--(UPPER(TRIM($AP$2:$AP$518))=UPPER(TRIM($AP143))),--(TRIM($AP$2:$AP$518)&lt;&gt;""),--(LOWER(TRIM($AP$2:$AP$518))&lt;&gt;"n/a"),--(LOWER(TRIM($AP$2:$AP$518))&lt;&gt;"na"))&gt;1),AND($AQ143&lt;&gt;"",LOWER(TRIM($AQ143))&lt;&gt;"n/a",LOWER(TRIM($AQ143))&lt;&gt;"na",SUMPRODUCT(--(UPPER(TRIM($AQ$2:$AQ$518))=UPPER(TRIM($AQ143))),--(TRIM($AQ$2:$AQ$518)&lt;&gt;""),--(LOWER(TRIM($AQ$2:$AQ$518))&lt;&gt;"n/a"),--(LOWER(TRIM($AQ$2:$AQ$518))&lt;&gt;"na"))&gt;1)),"Yes","No"))</f>
        <v/>
      </c>
      <c r="F143">
        <f>IF(UPPER(TRIM($B143))&lt;&gt;"YES","", IF(OR(AND($V143&lt;&gt;"", LOWER(TRIM($V143))&lt;&gt;"n/a", LOWER(TRIM($V143))&lt;&gt;"na", SUMPRODUCT(--(UPPER(TRIM($V$2:$V$518))=UPPER(TRIM($V143))), --(UPPER(TRIM($B$2:$B$518))="YES"), --(UPPER(TRIM($G$2:$G$518)&amp;TRIM($I$2:$I$518)&amp;TRIM($J$2:$J$518))&lt;&gt;UPPER(TRIM($G143)&amp;TRIM($I143)&amp;TRIM($J143))))&gt;0), AND($W143&lt;&gt;"", LOWER(TRIM($W143))&lt;&gt;"n/a", LOWER(TRIM($W143))&lt;&gt;"na", SUMPRODUCT(--(UPPER(TRIM($W$2:$W$518))=UPPER(TRIM($W143))), --(UPPER(TRIM($B$2:$B$518))="YES"), --(UPPER(TRIM($G$2:$G$518)&amp;TRIM($I$2:$I$518)&amp;TRIM($J$2:$J$518))&lt;&gt;UPPER(TRIM($G143)&amp;TRIM($I143)&amp;TRIM($J143))))&gt;0), AND($X143&lt;&gt;"", LOWER(TRIM($X143))&lt;&gt;"n/a", LOWER(TRIM($X143))&lt;&gt;"na", SUMPRODUCT(--(UPPER(TRIM($X$2:$X$518))=UPPER(TRIM($X143))), --(UPPER(TRIM($B$2:$B$518))="YES"), --(UPPER(TRIM($G$2:$G$518)&amp;TRIM($I$2:$I$518)&amp;TRIM($J$2:$J$518))&lt;&gt;UPPER(TRIM($G143)&amp;TRIM($I143)&amp;TRIM($J143))))&gt;0), AND($Y143&lt;&gt;"", LOWER(TRIM($Y143))&lt;&gt;"n/a", LOWER(TRIM($Y143))&lt;&gt;"na", SUMPRODUCT(--(UPPER(SUBSTITUTE(SUBSTITUTE(TRIM($Y$2:$Y$518),":",""),"-",""))=UPPER(SUBSTITUTE(SUBSTITUTE(TRIM($Y143),":",""),"-",""))), --(UPPER(TRIM($B$2:$B$518))="YES"), --(UPPER(TRIM($G$2:$G$518)&amp;TRIM($I$2:$I$518)&amp;TRIM($J$2:$J$518))&lt;&gt;UPPER(TRIM($G143)&amp;TRIM($I143)&amp;TRIM($J143))))&gt;0), AND($AB143&lt;&gt;"", LOWER(TRIM($AB143))&lt;&gt;"n/a", LOWER(TRIM($AB143))&lt;&gt;"na", SUMPRODUCT(--(UPPER(TRIM($AB$2:$AB$518))=UPPER(TRIM($AB143))), --(UPPER(TRIM($B$2:$B$518))="YES"), --(UPPER(TRIM($G$2:$G$518)&amp;TRIM($I$2:$I$518)&amp;TRIM($J$2:$J$518))&lt;&gt;UPPER(TRIM($G143)&amp;TRIM($I143)&amp;TRIM($J143))))&gt;0), AND($AH143&lt;&gt;"", LOWER(TRIM($AH143))&lt;&gt;"n/a", LOWER(TRIM($AH143))&lt;&gt;"na", SUMPRODUCT(--(UPPER(SUBSTITUTE(SUBSTITUTE(TRIM($AH$2:$AH$518),":",""),"-",""))=UPPER(SUBSTITUTE(SUBSTITUTE(TRIM($AH143),":",""),"-",""))), --(UPPER(TRIM($B$2:$B$518))="YES"), --(UPPER(TRIM($G$2:$G$518)&amp;TRIM($I$2:$I$518)&amp;TRIM($J$2:$J$518))&lt;&gt;UPPER(TRIM($G143)&amp;TRIM($I143)&amp;TRIM($J143))))&gt;0), AND($AP143&lt;&gt;"", LOWER(TRIM($AP143))&lt;&gt;"n/a", LOWER(TRIM($AP143))&lt;&gt;"na", SUMPRODUCT(--(UPPER(TRIM($AP$2:$AP$518))=UPPER(TRIM($AP143))), --(UPPER(TRIM($B$2:$B$518))="YES"), --(UPPER(TRIM($G$2:$G$518)&amp;TRIM($I$2:$I$518)&amp;TRIM($J$2:$J$518))&lt;&gt;UPPER(TRIM($G143)&amp;TRIM($I143)&amp;TRIM($J143))))&gt;0), AND($AQ143&lt;&gt;"", LOWER(TRIM($AQ143))&lt;&gt;"n/a", LOWER(TRIM($AQ143))&lt;&gt;"na", SUMPRODUCT(--(UPPER(TRIM($AQ$2:$AQ$518))=UPPER(TRIM($AQ143))), --(UPPER(TRIM($B$2:$B$518))="YES"), --(UPPER(TRIM($G$2:$G$518)&amp;TRIM($I$2:$I$518)&amp;TRIM($J$2:$J$518))&lt;&gt;UPPER(TRIM($G143)&amp;TRIM($I143)&amp;TRIM($J143))))&gt;0)), "Yes", "No"))</f>
        <v/>
      </c>
      <c r="G143" t="inlineStr">
        <is>
          <t>LIJ Main / LIJ OR</t>
        </is>
      </c>
      <c r="H143" t="inlineStr">
        <is>
          <t>LIJ Main / LIJ OR</t>
        </is>
      </c>
      <c r="I143" t="inlineStr">
        <is>
          <t>LIJ ORS</t>
        </is>
      </c>
      <c r="J143" t="inlineStr">
        <is>
          <t>OR 23</t>
        </is>
      </c>
      <c r="K143" t="inlineStr">
        <is>
          <t>n/a</t>
        </is>
      </c>
      <c r="L143" s="18" t="n">
        <v>46081</v>
      </c>
      <c r="M143" t="inlineStr">
        <is>
          <t>OR iPro Cybernet Workstation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>Inpatient</t>
        </is>
      </c>
      <c r="S143" t="inlineStr">
        <is>
          <t>Pass</t>
        </is>
      </c>
      <c r="T143" t="inlineStr">
        <is>
          <t>n/a</t>
        </is>
      </c>
      <c r="U143" t="inlineStr">
        <is>
          <t>1427182 LIJ Installation (Project Name) - Tim W. Seeberger, Akbar, Chris Perkins, Epic Team, Anesthesia Techs, and Admins</t>
        </is>
      </c>
      <c r="V143" t="inlineStr">
        <is>
          <t>WNH270OPR425</t>
        </is>
      </c>
      <c r="W143" t="inlineStr">
        <is>
          <t>MEDSG2425F-0013</t>
        </is>
      </c>
      <c r="X143" t="inlineStr">
        <is>
          <t>LIJ-MACH-T</t>
        </is>
      </c>
      <c r="Y143" t="inlineStr">
        <is>
          <t>00187DE0E373</t>
        </is>
      </c>
      <c r="AH143" t="inlineStr">
        <is>
          <t>00:0D:05:0A:A4:fb</t>
        </is>
      </c>
      <c r="AI143" t="inlineStr">
        <is>
          <t>Anesthesia Machine</t>
        </is>
      </c>
      <c r="AL143" t="inlineStr">
        <is>
          <t>BOOM A 731</t>
        </is>
      </c>
      <c r="AP143" t="inlineStr">
        <is>
          <t>AESA=0179</t>
        </is>
      </c>
      <c r="AY143" t="inlineStr">
        <is>
          <t>Anesthesia Machine</t>
        </is>
      </c>
      <c r="CA143" t="inlineStr">
        <is>
          <t>iPro
Epic Satellite
ALLSCRIPTS
EPIC BCA</t>
        </is>
      </c>
      <c r="CD143">
        <f>IF($Y143="","",IF((IF(AND($BR143&lt;&gt;"Yes",$BR143&lt;&gt;"N/A"),"Power Cable, ","")&amp;IF(AND($BS143&lt;&gt;"Yes",$BS143&lt;&gt;"N/A"),"Battery, ","")&amp;IF(AND($AD143&lt;&gt;"Yes",$AD143&lt;&gt;"N/A"),"Firmware Download, ","")&amp;IF(AND(OR($AD143="Yes",$AD143="N/A"),$AE143&lt;&gt;"Yes",$AE143&lt;&gt;"N/A"),"Firmware Install, ","")&amp;IF(AND($CB143&lt;&gt;"Yes",$CB143&lt;&gt;"N/A"),"Device ID, ","")&amp;IF(AND($CC143&lt;&gt;"Yes",$CC143&lt;&gt;"N/A"),"Epic Beans Relay, ",""))="","",LEFT(IF(AND($BR143&lt;&gt;"Yes",$BR143&lt;&gt;"N/A"),"Power Cable, ","")&amp;IF(AND($BS143&lt;&gt;"Yes",$BS143&lt;&gt;"N/A"),"Battery, ","")&amp;IF(AND($AD143&lt;&gt;"Yes",$AD143&lt;&gt;"N/A"),"Firmware Download, ","")&amp;IF(AND(OR($AD143="Yes",$AD143="N/A"),$AE143&lt;&gt;"Yes",$AE143&lt;&gt;"N/A"),"Firmware Install, ","")&amp;IF(AND($CB143&lt;&gt;"Yes",$CB143&lt;&gt;"N/A"),"Device ID, ","")&amp;IF(AND($CC143&lt;&gt;"Yes",$CC143&lt;&gt;"N/A"),"Epic Beans Relay, ",""),LEN(IF(AND($BR143&lt;&gt;"Yes",$BR143&lt;&gt;"N/A"),"Power Cable, ","")&amp;IF(AND($BS143&lt;&gt;"Yes",$BS143&lt;&gt;"N/A"),"Battery, ","")&amp;IF(AND($AD143&lt;&gt;"Yes",$AD143&lt;&gt;"N/A"),"Firmware Download, ","")&amp;IF(AND(OR($AD143="Yes",$AD143="N/A"),$AE143&lt;&gt;"Yes",$AE143&lt;&gt;"N/A"),"Firmware Install, ","")&amp;IF(AND($CB143&lt;&gt;"Yes",$CB143&lt;&gt;"N/A"),"Device ID, ","")&amp;IF(AND($CC143&lt;&gt;"Yes",$CC143&lt;&gt;"N/A"),"Epic Beans Relay, ",""))-2)))</f>
        <v/>
      </c>
      <c r="CE143">
        <f>IF($Y143="","",IF($CD143="","Yes","Blocked"))</f>
        <v/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n">
        <v>19200</v>
      </c>
      <c r="CP143">
        <f>IF($CO143="","",IFERROR(VLOOKUP($CO143,'01_Warehouse_Ledger'!$A:$N,4,FALSE),""))</f>
        <v/>
      </c>
      <c r="CQ143">
        <f>IF($CO143="","",IFERROR(VLOOKUP($CO143,'01_Warehouse_Ledger'!$A:$N,5,FALSE),""))</f>
        <v/>
      </c>
      <c r="CR143">
        <f>IF($CO143="","",IFERROR(VLOOKUP($CO143,'01_Warehouse_Ledger'!$A:$N,13,FALSE),""))</f>
        <v/>
      </c>
      <c r="CW143">
        <f>IF($S143="","",IF(UPPER(TRIM($S143))&lt;&gt;"PASS","",IF(LEN(TRIM($BY143))&gt;0,"NOTES_PRESENT",IF(LEN(TRIM($T143))=0,"SET_NA",IF(OR(LOWER(TRIM($T143))="na",LOWER(TRIM($T143))="n/a"),"OK","MANUAL_OVERRIDE")))))</f>
        <v/>
      </c>
    </row>
    <row r="144">
      <c r="A144" t="inlineStr">
        <is>
          <t>Cybernet</t>
        </is>
      </c>
      <c r="B144" t="inlineStr">
        <is>
          <t>Yes</t>
        </is>
      </c>
      <c r="C144" t="inlineStr">
        <is>
          <t>Yes</t>
        </is>
      </c>
      <c r="D144">
        <f>IF($B144&lt;&gt;"Yes","",IF($C144="No","Yes",IF($C144="Yes","No","")))</f>
        <v/>
      </c>
      <c r="E144">
        <f>IF($A144="","",IF(OR(AND($V144&lt;&gt;"",LOWER(TRIM($V144))&lt;&gt;"n/a",LOWER(TRIM($V144))&lt;&gt;"na",SUMPRODUCT(--(UPPER(TRIM($V$2:$V$518))=UPPER(TRIM($V144))),--(TRIM($V$2:$V$518)&lt;&gt;""),--(LOWER(TRIM($V$2:$V$518))&lt;&gt;"n/a"),--(LOWER(TRIM($V$2:$V$518))&lt;&gt;"na"))&gt;1),AND($W144&lt;&gt;"",LOWER(TRIM($W144))&lt;&gt;"n/a",LOWER(TRIM($W144))&lt;&gt;"na",SUMPRODUCT(--(UPPER(TRIM($W$2:$W$518))=UPPER(TRIM($W144))),--(TRIM($W$2:$W$518)&lt;&gt;""),--(LOWER(TRIM($W$2:$W$518))&lt;&gt;"n/a"),--(LOWER(TRIM($W$2:$W$518))&lt;&gt;"na"))&gt;1),AND($X144&lt;&gt;"",LOWER(TRIM($X144))&lt;&gt;"n/a",LOWER(TRIM($X144))&lt;&gt;"na",SUMPRODUCT(--(UPPER(TRIM($X$2:$X$518))=UPPER(TRIM($X144))),--(TRIM($X$2:$X$518)&lt;&gt;""),--(LOWER(TRIM($X$2:$X$518))&lt;&gt;"n/a"),--(LOWER(TRIM($X$2:$X$518))&lt;&gt;"na"))&gt;1),AND($Y144&lt;&gt;"",LOWER(TRIM($Y144))&lt;&gt;"n/a",LOWER(TRIM($Y144))&lt;&gt;"na",SUMPRODUCT(--(UPPER(SUBSTITUTE(SUBSTITUTE(TRIM($Y$2:$Y$518),":",""),"-",""))=UPPER(SUBSTITUTE(SUBSTITUTE(TRIM($Y144),":",""),"-",""))),--(TRIM($Y$2:$Y$518)&lt;&gt;""),--(LOWER(TRIM($Y$2:$Y$518))&lt;&gt;"n/a"),--(LOWER(TRIM($Y$2:$Y$518))&lt;&gt;"na"))&gt;1),AND($AB144&lt;&gt;"",LOWER(TRIM($AB144))&lt;&gt;"n/a",LOWER(TRIM($AB144))&lt;&gt;"na",SUMPRODUCT(--(UPPER(TRIM($AB$2:$AB$518))=UPPER(TRIM($AB144))),--(TRIM($AB$2:$AB$518)&lt;&gt;""),--(LOWER(TRIM($AB$2:$AB$518))&lt;&gt;"n/a"),--(LOWER(TRIM($AB$2:$AB$518))&lt;&gt;"na"))&gt;1),AND($AH144&lt;&gt;"",LOWER(TRIM($AH144))&lt;&gt;"n/a",LOWER(TRIM($AH144))&lt;&gt;"na",SUMPRODUCT(--(UPPER(SUBSTITUTE(SUBSTITUTE(TRIM($AH$2:$AH$518),":",""),"-",""))=UPPER(SUBSTITUTE(SUBSTITUTE(TRIM($AH144),":",""),"-",""))),--(TRIM($AH$2:$AH$518)&lt;&gt;""),--(LOWER(TRIM($AH$2:$AH$518))&lt;&gt;"n/a"),--(LOWER(TRIM($AH$2:$AH$518))&lt;&gt;"na"))&gt;1),AND($AP144&lt;&gt;"",LOWER(TRIM($AP144))&lt;&gt;"n/a",LOWER(TRIM($AP144))&lt;&gt;"na",SUMPRODUCT(--(UPPER(TRIM($AP$2:$AP$518))=UPPER(TRIM($AP144))),--(TRIM($AP$2:$AP$518)&lt;&gt;""),--(LOWER(TRIM($AP$2:$AP$518))&lt;&gt;"n/a"),--(LOWER(TRIM($AP$2:$AP$518))&lt;&gt;"na"))&gt;1),AND($AQ144&lt;&gt;"",LOWER(TRIM($AQ144))&lt;&gt;"n/a",LOWER(TRIM($AQ144))&lt;&gt;"na",SUMPRODUCT(--(UPPER(TRIM($AQ$2:$AQ$518))=UPPER(TRIM($AQ144))),--(TRIM($AQ$2:$AQ$518)&lt;&gt;""),--(LOWER(TRIM($AQ$2:$AQ$518))&lt;&gt;"n/a"),--(LOWER(TRIM($AQ$2:$AQ$518))&lt;&gt;"na"))&gt;1)),"Yes","No"))</f>
        <v/>
      </c>
      <c r="F144">
        <f>IF(UPPER(TRIM($B144))&lt;&gt;"YES","", IF(OR(AND($V144&lt;&gt;"", LOWER(TRIM($V144))&lt;&gt;"n/a", LOWER(TRIM($V144))&lt;&gt;"na", SUMPRODUCT(--(UPPER(TRIM($V$2:$V$518))=UPPER(TRIM($V144))), --(UPPER(TRIM($B$2:$B$518))="YES"), --(UPPER(TRIM($G$2:$G$518)&amp;TRIM($I$2:$I$518)&amp;TRIM($J$2:$J$518))&lt;&gt;UPPER(TRIM($G144)&amp;TRIM($I144)&amp;TRIM($J144))))&gt;0), AND($W144&lt;&gt;"", LOWER(TRIM($W144))&lt;&gt;"n/a", LOWER(TRIM($W144))&lt;&gt;"na", SUMPRODUCT(--(UPPER(TRIM($W$2:$W$518))=UPPER(TRIM($W144))), --(UPPER(TRIM($B$2:$B$518))="YES"), --(UPPER(TRIM($G$2:$G$518)&amp;TRIM($I$2:$I$518)&amp;TRIM($J$2:$J$518))&lt;&gt;UPPER(TRIM($G144)&amp;TRIM($I144)&amp;TRIM($J144))))&gt;0), AND($X144&lt;&gt;"", LOWER(TRIM($X144))&lt;&gt;"n/a", LOWER(TRIM($X144))&lt;&gt;"na", SUMPRODUCT(--(UPPER(TRIM($X$2:$X$518))=UPPER(TRIM($X144))), --(UPPER(TRIM($B$2:$B$518))="YES"), --(UPPER(TRIM($G$2:$G$518)&amp;TRIM($I$2:$I$518)&amp;TRIM($J$2:$J$518))&lt;&gt;UPPER(TRIM($G144)&amp;TRIM($I144)&amp;TRIM($J144))))&gt;0), AND($Y144&lt;&gt;"", LOWER(TRIM($Y144))&lt;&gt;"n/a", LOWER(TRIM($Y144))&lt;&gt;"na", SUMPRODUCT(--(UPPER(SUBSTITUTE(SUBSTITUTE(TRIM($Y$2:$Y$518),":",""),"-",""))=UPPER(SUBSTITUTE(SUBSTITUTE(TRIM($Y144),":",""),"-",""))), --(UPPER(TRIM($B$2:$B$518))="YES"), --(UPPER(TRIM($G$2:$G$518)&amp;TRIM($I$2:$I$518)&amp;TRIM($J$2:$J$518))&lt;&gt;UPPER(TRIM($G144)&amp;TRIM($I144)&amp;TRIM($J144))))&gt;0), AND($AB144&lt;&gt;"", LOWER(TRIM($AB144))&lt;&gt;"n/a", LOWER(TRIM($AB144))&lt;&gt;"na", SUMPRODUCT(--(UPPER(TRIM($AB$2:$AB$518))=UPPER(TRIM($AB144))), --(UPPER(TRIM($B$2:$B$518))="YES"), --(UPPER(TRIM($G$2:$G$518)&amp;TRIM($I$2:$I$518)&amp;TRIM($J$2:$J$518))&lt;&gt;UPPER(TRIM($G144)&amp;TRIM($I144)&amp;TRIM($J144))))&gt;0), AND($AH144&lt;&gt;"", LOWER(TRIM($AH144))&lt;&gt;"n/a", LOWER(TRIM($AH144))&lt;&gt;"na", SUMPRODUCT(--(UPPER(SUBSTITUTE(SUBSTITUTE(TRIM($AH$2:$AH$518),":",""),"-",""))=UPPER(SUBSTITUTE(SUBSTITUTE(TRIM($AH144),":",""),"-",""))), --(UPPER(TRIM($B$2:$B$518))="YES"), --(UPPER(TRIM($G$2:$G$518)&amp;TRIM($I$2:$I$518)&amp;TRIM($J$2:$J$518))&lt;&gt;UPPER(TRIM($G144)&amp;TRIM($I144)&amp;TRIM($J144))))&gt;0), AND($AP144&lt;&gt;"", LOWER(TRIM($AP144))&lt;&gt;"n/a", LOWER(TRIM($AP144))&lt;&gt;"na", SUMPRODUCT(--(UPPER(TRIM($AP$2:$AP$518))=UPPER(TRIM($AP144))), --(UPPER(TRIM($B$2:$B$518))="YES"), --(UPPER(TRIM($G$2:$G$518)&amp;TRIM($I$2:$I$518)&amp;TRIM($J$2:$J$518))&lt;&gt;UPPER(TRIM($G144)&amp;TRIM($I144)&amp;TRIM($J144))))&gt;0), AND($AQ144&lt;&gt;"", LOWER(TRIM($AQ144))&lt;&gt;"n/a", LOWER(TRIM($AQ144))&lt;&gt;"na", SUMPRODUCT(--(UPPER(TRIM($AQ$2:$AQ$518))=UPPER(TRIM($AQ144))), --(UPPER(TRIM($B$2:$B$518))="YES"), --(UPPER(TRIM($G$2:$G$518)&amp;TRIM($I$2:$I$518)&amp;TRIM($J$2:$J$518))&lt;&gt;UPPER(TRIM($G144)&amp;TRIM($I144)&amp;TRIM($J144))))&gt;0)), "Yes", "No"))</f>
        <v/>
      </c>
      <c r="G144" t="inlineStr">
        <is>
          <t>LIJ Main / LIJ OR</t>
        </is>
      </c>
      <c r="H144" t="inlineStr">
        <is>
          <t>LIJ Main / LIJ OR</t>
        </is>
      </c>
      <c r="I144" t="inlineStr">
        <is>
          <t>LIJ ORs</t>
        </is>
      </c>
      <c r="J144" t="inlineStr">
        <is>
          <t>OR 8 SPARE???</t>
        </is>
      </c>
      <c r="K144" t="inlineStr">
        <is>
          <t>n/a</t>
        </is>
      </c>
      <c r="L144" s="18" t="n">
        <v>46081</v>
      </c>
      <c r="M144" t="inlineStr">
        <is>
          <t>OR iPro Cybernet Workstation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inlineStr">
        <is>
          <t>Inpatient</t>
        </is>
      </c>
      <c r="S144" t="inlineStr">
        <is>
          <t>Pass</t>
        </is>
      </c>
      <c r="T144" t="inlineStr">
        <is>
          <t>n/a</t>
        </is>
      </c>
      <c r="U144" t="inlineStr">
        <is>
          <t>1427182 LIJ Installation (Project Name) - Tim W. Seeberger, Akbar, Chris Perkins, Epic Team, Anesthesia Techs, and Admins</t>
        </is>
      </c>
      <c r="V144" t="inlineStr">
        <is>
          <t>WNH270OPR427</t>
        </is>
      </c>
      <c r="W144" t="inlineStr">
        <is>
          <t>MEDSG2425F-3696</t>
        </is>
      </c>
      <c r="X144" t="inlineStr">
        <is>
          <t>LIJ-MACH-Y</t>
        </is>
      </c>
      <c r="Y144" t="inlineStr">
        <is>
          <t>00187DE0E260</t>
        </is>
      </c>
      <c r="AH144" t="inlineStr">
        <is>
          <t>00:0D:05:0A:B3:65</t>
        </is>
      </c>
      <c r="AI144" t="inlineStr">
        <is>
          <t>Anesthesia Machine</t>
        </is>
      </c>
      <c r="AK144" t="n">
        <v>2</v>
      </c>
      <c r="AL144" t="inlineStr">
        <is>
          <t>OR#8-TUR</t>
        </is>
      </c>
      <c r="AM144" t="inlineStr">
        <is>
          <t>Drager</t>
        </is>
      </c>
      <c r="AN144" t="inlineStr">
        <is>
          <t>Apollo</t>
        </is>
      </c>
      <c r="AP144" t="inlineStr">
        <is>
          <t>ASEA-0184</t>
        </is>
      </c>
      <c r="AX144" t="inlineStr">
        <is>
          <t>MX750 - DE77673014</t>
        </is>
      </c>
      <c r="AY144" t="inlineStr">
        <is>
          <t>Anesthesia Machine</t>
        </is>
      </c>
      <c r="CA144" t="inlineStr">
        <is>
          <t>iPro
Epic Satellite
ALLSCRIPTS
EPIC BCA</t>
        </is>
      </c>
      <c r="CD144">
        <f>IF($Y144="","",IF((IF(AND($BR144&lt;&gt;"Yes",$BR144&lt;&gt;"N/A"),"Power Cable, ","")&amp;IF(AND($BS144&lt;&gt;"Yes",$BS144&lt;&gt;"N/A"),"Battery, ","")&amp;IF(AND($AD144&lt;&gt;"Yes",$AD144&lt;&gt;"N/A"),"Firmware Download, ","")&amp;IF(AND(OR($AD144="Yes",$AD144="N/A"),$AE144&lt;&gt;"Yes",$AE144&lt;&gt;"N/A"),"Firmware Install, ","")&amp;IF(AND($CB144&lt;&gt;"Yes",$CB144&lt;&gt;"N/A"),"Device ID, ","")&amp;IF(AND($CC144&lt;&gt;"Yes",$CC144&lt;&gt;"N/A"),"Epic Beans Relay, ",""))="","",LEFT(IF(AND($BR144&lt;&gt;"Yes",$BR144&lt;&gt;"N/A"),"Power Cable, ","")&amp;IF(AND($BS144&lt;&gt;"Yes",$BS144&lt;&gt;"N/A"),"Battery, ","")&amp;IF(AND($AD144&lt;&gt;"Yes",$AD144&lt;&gt;"N/A"),"Firmware Download, ","")&amp;IF(AND(OR($AD144="Yes",$AD144="N/A"),$AE144&lt;&gt;"Yes",$AE144&lt;&gt;"N/A"),"Firmware Install, ","")&amp;IF(AND($CB144&lt;&gt;"Yes",$CB144&lt;&gt;"N/A"),"Device ID, ","")&amp;IF(AND($CC144&lt;&gt;"Yes",$CC144&lt;&gt;"N/A"),"Epic Beans Relay, ",""),LEN(IF(AND($BR144&lt;&gt;"Yes",$BR144&lt;&gt;"N/A"),"Power Cable, ","")&amp;IF(AND($BS144&lt;&gt;"Yes",$BS144&lt;&gt;"N/A"),"Battery, ","")&amp;IF(AND($AD144&lt;&gt;"Yes",$AD144&lt;&gt;"N/A"),"Firmware Download, ","")&amp;IF(AND(OR($AD144="Yes",$AD144="N/A"),$AE144&lt;&gt;"Yes",$AE144&lt;&gt;"N/A"),"Firmware Install, ","")&amp;IF(AND($CB144&lt;&gt;"Yes",$CB144&lt;&gt;"N/A"),"Device ID, ","")&amp;IF(AND($CC144&lt;&gt;"Yes",$CC144&lt;&gt;"N/A"),"Epic Beans Relay, ",""))-2)))</f>
        <v/>
      </c>
      <c r="CE144">
        <f>IF($Y144="","",IF($CD144="","Yes","Blocked"))</f>
        <v/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n">
        <v>19200</v>
      </c>
      <c r="CP144">
        <f>IF($CO144="","",IFERROR(VLOOKUP($CO144,'01_Warehouse_Ledger'!$A:$N,4,FALSE),""))</f>
        <v/>
      </c>
      <c r="CQ144">
        <f>IF($CO144="","",IFERROR(VLOOKUP($CO144,'01_Warehouse_Ledger'!$A:$N,5,FALSE),""))</f>
        <v/>
      </c>
      <c r="CR144">
        <f>IF($CO144="","",IFERROR(VLOOKUP($CO144,'01_Warehouse_Ledger'!$A:$N,13,FALSE),""))</f>
        <v/>
      </c>
      <c r="CW144">
        <f>IF($S144="","",IF(UPPER(TRIM($S144))&lt;&gt;"PASS","",IF(LEN(TRIM($BY144))&gt;0,"NOTES_PRESENT",IF(LEN(TRIM($T144))=0,"SET_NA",IF(OR(LOWER(TRIM($T144))="na",LOWER(TRIM($T144))="n/a"),"OK","MANUAL_OVERRIDE")))))</f>
        <v/>
      </c>
    </row>
    <row r="145">
      <c r="A145" t="inlineStr">
        <is>
          <t>Cybernet</t>
        </is>
      </c>
      <c r="B145" t="inlineStr">
        <is>
          <t>Yes</t>
        </is>
      </c>
      <c r="C145" t="inlineStr">
        <is>
          <t>Yes</t>
        </is>
      </c>
      <c r="D145">
        <f>IF($B145&lt;&gt;"Yes","",IF($C145="No","Yes",IF($C145="Yes","No","")))</f>
        <v/>
      </c>
      <c r="E145">
        <f>IF($A145="","",IF(OR(AND($V145&lt;&gt;"",LOWER(TRIM($V145))&lt;&gt;"n/a",LOWER(TRIM($V145))&lt;&gt;"na",SUMPRODUCT(--(UPPER(TRIM($V$2:$V$518))=UPPER(TRIM($V145))),--(TRIM($V$2:$V$518)&lt;&gt;""),--(LOWER(TRIM($V$2:$V$518))&lt;&gt;"n/a"),--(LOWER(TRIM($V$2:$V$518))&lt;&gt;"na"))&gt;1),AND($W145&lt;&gt;"",LOWER(TRIM($W145))&lt;&gt;"n/a",LOWER(TRIM($W145))&lt;&gt;"na",SUMPRODUCT(--(UPPER(TRIM($W$2:$W$518))=UPPER(TRIM($W145))),--(TRIM($W$2:$W$518)&lt;&gt;""),--(LOWER(TRIM($W$2:$W$518))&lt;&gt;"n/a"),--(LOWER(TRIM($W$2:$W$518))&lt;&gt;"na"))&gt;1),AND($X145&lt;&gt;"",LOWER(TRIM($X145))&lt;&gt;"n/a",LOWER(TRIM($X145))&lt;&gt;"na",SUMPRODUCT(--(UPPER(TRIM($X$2:$X$518))=UPPER(TRIM($X145))),--(TRIM($X$2:$X$518)&lt;&gt;""),--(LOWER(TRIM($X$2:$X$518))&lt;&gt;"n/a"),--(LOWER(TRIM($X$2:$X$518))&lt;&gt;"na"))&gt;1),AND($Y145&lt;&gt;"",LOWER(TRIM($Y145))&lt;&gt;"n/a",LOWER(TRIM($Y145))&lt;&gt;"na",SUMPRODUCT(--(UPPER(SUBSTITUTE(SUBSTITUTE(TRIM($Y$2:$Y$518),":",""),"-",""))=UPPER(SUBSTITUTE(SUBSTITUTE(TRIM($Y145),":",""),"-",""))),--(TRIM($Y$2:$Y$518)&lt;&gt;""),--(LOWER(TRIM($Y$2:$Y$518))&lt;&gt;"n/a"),--(LOWER(TRIM($Y$2:$Y$518))&lt;&gt;"na"))&gt;1),AND($AB145&lt;&gt;"",LOWER(TRIM($AB145))&lt;&gt;"n/a",LOWER(TRIM($AB145))&lt;&gt;"na",SUMPRODUCT(--(UPPER(TRIM($AB$2:$AB$518))=UPPER(TRIM($AB145))),--(TRIM($AB$2:$AB$518)&lt;&gt;""),--(LOWER(TRIM($AB$2:$AB$518))&lt;&gt;"n/a"),--(LOWER(TRIM($AB$2:$AB$518))&lt;&gt;"na"))&gt;1),AND($AH145&lt;&gt;"",LOWER(TRIM($AH145))&lt;&gt;"n/a",LOWER(TRIM($AH145))&lt;&gt;"na",SUMPRODUCT(--(UPPER(SUBSTITUTE(SUBSTITUTE(TRIM($AH$2:$AH$518),":",""),"-",""))=UPPER(SUBSTITUTE(SUBSTITUTE(TRIM($AH145),":",""),"-",""))),--(TRIM($AH$2:$AH$518)&lt;&gt;""),--(LOWER(TRIM($AH$2:$AH$518))&lt;&gt;"n/a"),--(LOWER(TRIM($AH$2:$AH$518))&lt;&gt;"na"))&gt;1),AND($AP145&lt;&gt;"",LOWER(TRIM($AP145))&lt;&gt;"n/a",LOWER(TRIM($AP145))&lt;&gt;"na",SUMPRODUCT(--(UPPER(TRIM($AP$2:$AP$518))=UPPER(TRIM($AP145))),--(TRIM($AP$2:$AP$518)&lt;&gt;""),--(LOWER(TRIM($AP$2:$AP$518))&lt;&gt;"n/a"),--(LOWER(TRIM($AP$2:$AP$518))&lt;&gt;"na"))&gt;1),AND($AQ145&lt;&gt;"",LOWER(TRIM($AQ145))&lt;&gt;"n/a",LOWER(TRIM($AQ145))&lt;&gt;"na",SUMPRODUCT(--(UPPER(TRIM($AQ$2:$AQ$518))=UPPER(TRIM($AQ145))),--(TRIM($AQ$2:$AQ$518)&lt;&gt;""),--(LOWER(TRIM($AQ$2:$AQ$518))&lt;&gt;"n/a"),--(LOWER(TRIM($AQ$2:$AQ$518))&lt;&gt;"na"))&gt;1)),"Yes","No"))</f>
        <v/>
      </c>
      <c r="F145">
        <f>IF(UPPER(TRIM($B145))&lt;&gt;"YES","", IF(OR(AND($V145&lt;&gt;"", LOWER(TRIM($V145))&lt;&gt;"n/a", LOWER(TRIM($V145))&lt;&gt;"na", SUMPRODUCT(--(UPPER(TRIM($V$2:$V$518))=UPPER(TRIM($V145))), --(UPPER(TRIM($B$2:$B$518))="YES"), --(UPPER(TRIM($G$2:$G$518)&amp;TRIM($I$2:$I$518)&amp;TRIM($J$2:$J$518))&lt;&gt;UPPER(TRIM($G145)&amp;TRIM($I145)&amp;TRIM($J145))))&gt;0), AND($W145&lt;&gt;"", LOWER(TRIM($W145))&lt;&gt;"n/a", LOWER(TRIM($W145))&lt;&gt;"na", SUMPRODUCT(--(UPPER(TRIM($W$2:$W$518))=UPPER(TRIM($W145))), --(UPPER(TRIM($B$2:$B$518))="YES"), --(UPPER(TRIM($G$2:$G$518)&amp;TRIM($I$2:$I$518)&amp;TRIM($J$2:$J$518))&lt;&gt;UPPER(TRIM($G145)&amp;TRIM($I145)&amp;TRIM($J145))))&gt;0), AND($X145&lt;&gt;"", LOWER(TRIM($X145))&lt;&gt;"n/a", LOWER(TRIM($X145))&lt;&gt;"na", SUMPRODUCT(--(UPPER(TRIM($X$2:$X$518))=UPPER(TRIM($X145))), --(UPPER(TRIM($B$2:$B$518))="YES"), --(UPPER(TRIM($G$2:$G$518)&amp;TRIM($I$2:$I$518)&amp;TRIM($J$2:$J$518))&lt;&gt;UPPER(TRIM($G145)&amp;TRIM($I145)&amp;TRIM($J145))))&gt;0), AND($Y145&lt;&gt;"", LOWER(TRIM($Y145))&lt;&gt;"n/a", LOWER(TRIM($Y145))&lt;&gt;"na", SUMPRODUCT(--(UPPER(SUBSTITUTE(SUBSTITUTE(TRIM($Y$2:$Y$518),":",""),"-",""))=UPPER(SUBSTITUTE(SUBSTITUTE(TRIM($Y145),":",""),"-",""))), --(UPPER(TRIM($B$2:$B$518))="YES"), --(UPPER(TRIM($G$2:$G$518)&amp;TRIM($I$2:$I$518)&amp;TRIM($J$2:$J$518))&lt;&gt;UPPER(TRIM($G145)&amp;TRIM($I145)&amp;TRIM($J145))))&gt;0), AND($AB145&lt;&gt;"", LOWER(TRIM($AB145))&lt;&gt;"n/a", LOWER(TRIM($AB145))&lt;&gt;"na", SUMPRODUCT(--(UPPER(TRIM($AB$2:$AB$518))=UPPER(TRIM($AB145))), --(UPPER(TRIM($B$2:$B$518))="YES"), --(UPPER(TRIM($G$2:$G$518)&amp;TRIM($I$2:$I$518)&amp;TRIM($J$2:$J$518))&lt;&gt;UPPER(TRIM($G145)&amp;TRIM($I145)&amp;TRIM($J145))))&gt;0), AND($AH145&lt;&gt;"", LOWER(TRIM($AH145))&lt;&gt;"n/a", LOWER(TRIM($AH145))&lt;&gt;"na", SUMPRODUCT(--(UPPER(SUBSTITUTE(SUBSTITUTE(TRIM($AH$2:$AH$518),":",""),"-",""))=UPPER(SUBSTITUTE(SUBSTITUTE(TRIM($AH145),":",""),"-",""))), --(UPPER(TRIM($B$2:$B$518))="YES"), --(UPPER(TRIM($G$2:$G$518)&amp;TRIM($I$2:$I$518)&amp;TRIM($J$2:$J$518))&lt;&gt;UPPER(TRIM($G145)&amp;TRIM($I145)&amp;TRIM($J145))))&gt;0), AND($AP145&lt;&gt;"", LOWER(TRIM($AP145))&lt;&gt;"n/a", LOWER(TRIM($AP145))&lt;&gt;"na", SUMPRODUCT(--(UPPER(TRIM($AP$2:$AP$518))=UPPER(TRIM($AP145))), --(UPPER(TRIM($B$2:$B$518))="YES"), --(UPPER(TRIM($G$2:$G$518)&amp;TRIM($I$2:$I$518)&amp;TRIM($J$2:$J$518))&lt;&gt;UPPER(TRIM($G145)&amp;TRIM($I145)&amp;TRIM($J145))))&gt;0), AND($AQ145&lt;&gt;"", LOWER(TRIM($AQ145))&lt;&gt;"n/a", LOWER(TRIM($AQ145))&lt;&gt;"na", SUMPRODUCT(--(UPPER(TRIM($AQ$2:$AQ$518))=UPPER(TRIM($AQ145))), --(UPPER(TRIM($B$2:$B$518))="YES"), --(UPPER(TRIM($G$2:$G$518)&amp;TRIM($I$2:$I$518)&amp;TRIM($J$2:$J$518))&lt;&gt;UPPER(TRIM($G145)&amp;TRIM($I145)&amp;TRIM($J145))))&gt;0)), "Yes", "No"))</f>
        <v/>
      </c>
      <c r="G145" t="inlineStr">
        <is>
          <t>LIJ Main / LIJ OR</t>
        </is>
      </c>
      <c r="H145" t="inlineStr">
        <is>
          <t>LIJ Main / LIJ OR</t>
        </is>
      </c>
      <c r="I145" t="inlineStr">
        <is>
          <t>ANNEX</t>
        </is>
      </c>
      <c r="J145" t="inlineStr">
        <is>
          <t>OR 1</t>
        </is>
      </c>
      <c r="K145" t="inlineStr">
        <is>
          <t>n/a</t>
        </is>
      </c>
      <c r="L145" s="18" t="n">
        <v>46081</v>
      </c>
      <c r="M145" t="inlineStr">
        <is>
          <t>OR iPro Cybernet Workstation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Inpatient</t>
        </is>
      </c>
      <c r="S145" t="inlineStr">
        <is>
          <t>Pass</t>
        </is>
      </c>
      <c r="T145" t="inlineStr">
        <is>
          <t>n/a</t>
        </is>
      </c>
      <c r="U145" t="inlineStr">
        <is>
          <t>1427182 LIJ Installation (Project Name) - Tim W. Seeberger, Akbar, Chris Perkins, Epic Team, Anesthesia Techs, and Admins</t>
        </is>
      </c>
      <c r="V145" t="inlineStr">
        <is>
          <t>WNH270OPR426</t>
        </is>
      </c>
      <c r="W145" t="inlineStr">
        <is>
          <t>MEDSG2425F-3358</t>
        </is>
      </c>
      <c r="X145" t="inlineStr">
        <is>
          <t>LIJ-MACH-BB</t>
        </is>
      </c>
      <c r="Y145" t="inlineStr">
        <is>
          <t>00187DE0E318</t>
        </is>
      </c>
      <c r="Z145" t="inlineStr">
        <is>
          <t>n/a</t>
        </is>
      </c>
      <c r="AH145" t="inlineStr">
        <is>
          <t>00:0D:05:0A:B6:D7</t>
        </is>
      </c>
      <c r="AI145" t="inlineStr">
        <is>
          <t>Anesthesia Machine</t>
        </is>
      </c>
      <c r="AK145" t="n">
        <v>2</v>
      </c>
      <c r="AM145" t="inlineStr">
        <is>
          <t>Drager</t>
        </is>
      </c>
      <c r="AN145" t="inlineStr">
        <is>
          <t>Apollo</t>
        </is>
      </c>
      <c r="AP145" t="inlineStr">
        <is>
          <t>ARZD-0001</t>
        </is>
      </c>
      <c r="AQ145" t="inlineStr">
        <is>
          <t>ARZD-0001</t>
        </is>
      </c>
      <c r="AS145" t="inlineStr">
        <is>
          <t>B1-CFW</t>
        </is>
      </c>
      <c r="AX145" t="inlineStr">
        <is>
          <t>MX750 -  DE77669066</t>
        </is>
      </c>
      <c r="AY145" t="inlineStr">
        <is>
          <t>Anesthesia Machine</t>
        </is>
      </c>
      <c r="BR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CA145" t="inlineStr">
        <is>
          <t>iPro
Epic Satellite
ALLSCRIPTS
EPIC BCA</t>
        </is>
      </c>
      <c r="CD145">
        <f>IF($Y145="","",IF((IF(AND($BR145&lt;&gt;"Yes",$BR145&lt;&gt;"N/A"),"Power Cable, ","")&amp;IF(AND($BS145&lt;&gt;"Yes",$BS145&lt;&gt;"N/A"),"Battery, ","")&amp;IF(AND($AD145&lt;&gt;"Yes",$AD145&lt;&gt;"N/A"),"Firmware Download, ","")&amp;IF(AND(OR($AD145="Yes",$AD145="N/A"),$AE145&lt;&gt;"Yes",$AE145&lt;&gt;"N/A"),"Firmware Install, ","")&amp;IF(AND($CB145&lt;&gt;"Yes",$CB145&lt;&gt;"N/A"),"Device ID, ","")&amp;IF(AND($CC145&lt;&gt;"Yes",$CC145&lt;&gt;"N/A"),"Epic Beans Relay, ",""))="","",LEFT(IF(AND($BR145&lt;&gt;"Yes",$BR145&lt;&gt;"N/A"),"Power Cable, ","")&amp;IF(AND($BS145&lt;&gt;"Yes",$BS145&lt;&gt;"N/A"),"Battery, ","")&amp;IF(AND($AD145&lt;&gt;"Yes",$AD145&lt;&gt;"N/A"),"Firmware Download, ","")&amp;IF(AND(OR($AD145="Yes",$AD145="N/A"),$AE145&lt;&gt;"Yes",$AE145&lt;&gt;"N/A"),"Firmware Install, ","")&amp;IF(AND($CB145&lt;&gt;"Yes",$CB145&lt;&gt;"N/A"),"Device ID, ","")&amp;IF(AND($CC145&lt;&gt;"Yes",$CC145&lt;&gt;"N/A"),"Epic Beans Relay, ",""),LEN(IF(AND($BR145&lt;&gt;"Yes",$BR145&lt;&gt;"N/A"),"Power Cable, ","")&amp;IF(AND($BS145&lt;&gt;"Yes",$BS145&lt;&gt;"N/A"),"Battery, ","")&amp;IF(AND($AD145&lt;&gt;"Yes",$AD145&lt;&gt;"N/A"),"Firmware Download, ","")&amp;IF(AND(OR($AD145="Yes",$AD145="N/A"),$AE145&lt;&gt;"Yes",$AE145&lt;&gt;"N/A"),"Firmware Install, ","")&amp;IF(AND($CB145&lt;&gt;"Yes",$CB145&lt;&gt;"N/A"),"Device ID, ","")&amp;IF(AND($CC145&lt;&gt;"Yes",$CC145&lt;&gt;"N/A"),"Epic Beans Relay, ",""))-2)))</f>
        <v/>
      </c>
      <c r="CE145">
        <f>IF($Y145="","",IF($CD145="","Yes","Blocked"))</f>
        <v/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n">
        <v>19200</v>
      </c>
      <c r="CP145">
        <f>IF($CO145="","",IFERROR(VLOOKUP($CO145,'01_Warehouse_Ledger'!$A:$N,4,FALSE),""))</f>
        <v/>
      </c>
      <c r="CQ145">
        <f>IF($CO145="","",IFERROR(VLOOKUP($CO145,'01_Warehouse_Ledger'!$A:$N,5,FALSE),""))</f>
        <v/>
      </c>
      <c r="CR145">
        <f>IF($CO145="","",IFERROR(VLOOKUP($CO145,'01_Warehouse_Ledger'!$A:$N,13,FALSE),""))</f>
        <v/>
      </c>
      <c r="CW145">
        <f>IF($S145="","",IF(UPPER(TRIM($S145))&lt;&gt;"PASS","",IF(LEN(TRIM($BY145))&gt;0,"NOTES_PRESENT",IF(LEN(TRIM($T145))=0,"SET_NA",IF(OR(LOWER(TRIM($T145))="na",LOWER(TRIM($T145))="n/a"),"OK","MANUAL_OVERRIDE")))))</f>
        <v/>
      </c>
    </row>
    <row r="146">
      <c r="A146" t="inlineStr">
        <is>
          <t>Cybernet</t>
        </is>
      </c>
      <c r="B146" t="inlineStr">
        <is>
          <t>Yes</t>
        </is>
      </c>
      <c r="C146" t="inlineStr">
        <is>
          <t>Yes</t>
        </is>
      </c>
      <c r="D146">
        <f>IF($B146&lt;&gt;"Yes","",IF($C146="No","Yes",IF($C146="Yes","No","")))</f>
        <v/>
      </c>
      <c r="E146">
        <f>IF($A146="","",IF(OR(AND($V146&lt;&gt;"",LOWER(TRIM($V146))&lt;&gt;"n/a",LOWER(TRIM($V146))&lt;&gt;"na",SUMPRODUCT(--(UPPER(TRIM($V$2:$V$518))=UPPER(TRIM($V146))),--(TRIM($V$2:$V$518)&lt;&gt;""),--(LOWER(TRIM($V$2:$V$518))&lt;&gt;"n/a"),--(LOWER(TRIM($V$2:$V$518))&lt;&gt;"na"))&gt;1),AND($W146&lt;&gt;"",LOWER(TRIM($W146))&lt;&gt;"n/a",LOWER(TRIM($W146))&lt;&gt;"na",SUMPRODUCT(--(UPPER(TRIM($W$2:$W$518))=UPPER(TRIM($W146))),--(TRIM($W$2:$W$518)&lt;&gt;""),--(LOWER(TRIM($W$2:$W$518))&lt;&gt;"n/a"),--(LOWER(TRIM($W$2:$W$518))&lt;&gt;"na"))&gt;1),AND($X146&lt;&gt;"",LOWER(TRIM($X146))&lt;&gt;"n/a",LOWER(TRIM($X146))&lt;&gt;"na",SUMPRODUCT(--(UPPER(TRIM($X$2:$X$518))=UPPER(TRIM($X146))),--(TRIM($X$2:$X$518)&lt;&gt;""),--(LOWER(TRIM($X$2:$X$518))&lt;&gt;"n/a"),--(LOWER(TRIM($X$2:$X$518))&lt;&gt;"na"))&gt;1),AND($Y146&lt;&gt;"",LOWER(TRIM($Y146))&lt;&gt;"n/a",LOWER(TRIM($Y146))&lt;&gt;"na",SUMPRODUCT(--(UPPER(SUBSTITUTE(SUBSTITUTE(TRIM($Y$2:$Y$518),":",""),"-",""))=UPPER(SUBSTITUTE(SUBSTITUTE(TRIM($Y146),":",""),"-",""))),--(TRIM($Y$2:$Y$518)&lt;&gt;""),--(LOWER(TRIM($Y$2:$Y$518))&lt;&gt;"n/a"),--(LOWER(TRIM($Y$2:$Y$518))&lt;&gt;"na"))&gt;1),AND($AB146&lt;&gt;"",LOWER(TRIM($AB146))&lt;&gt;"n/a",LOWER(TRIM($AB146))&lt;&gt;"na",SUMPRODUCT(--(UPPER(TRIM($AB$2:$AB$518))=UPPER(TRIM($AB146))),--(TRIM($AB$2:$AB$518)&lt;&gt;""),--(LOWER(TRIM($AB$2:$AB$518))&lt;&gt;"n/a"),--(LOWER(TRIM($AB$2:$AB$518))&lt;&gt;"na"))&gt;1),AND($AH146&lt;&gt;"",LOWER(TRIM($AH146))&lt;&gt;"n/a",LOWER(TRIM($AH146))&lt;&gt;"na",SUMPRODUCT(--(UPPER(SUBSTITUTE(SUBSTITUTE(TRIM($AH$2:$AH$518),":",""),"-",""))=UPPER(SUBSTITUTE(SUBSTITUTE(TRIM($AH146),":",""),"-",""))),--(TRIM($AH$2:$AH$518)&lt;&gt;""),--(LOWER(TRIM($AH$2:$AH$518))&lt;&gt;"n/a"),--(LOWER(TRIM($AH$2:$AH$518))&lt;&gt;"na"))&gt;1),AND($AP146&lt;&gt;"",LOWER(TRIM($AP146))&lt;&gt;"n/a",LOWER(TRIM($AP146))&lt;&gt;"na",SUMPRODUCT(--(UPPER(TRIM($AP$2:$AP$518))=UPPER(TRIM($AP146))),--(TRIM($AP$2:$AP$518)&lt;&gt;""),--(LOWER(TRIM($AP$2:$AP$518))&lt;&gt;"n/a"),--(LOWER(TRIM($AP$2:$AP$518))&lt;&gt;"na"))&gt;1),AND($AQ146&lt;&gt;"",LOWER(TRIM($AQ146))&lt;&gt;"n/a",LOWER(TRIM($AQ146))&lt;&gt;"na",SUMPRODUCT(--(UPPER(TRIM($AQ$2:$AQ$518))=UPPER(TRIM($AQ146))),--(TRIM($AQ$2:$AQ$518)&lt;&gt;""),--(LOWER(TRIM($AQ$2:$AQ$518))&lt;&gt;"n/a"),--(LOWER(TRIM($AQ$2:$AQ$518))&lt;&gt;"na"))&gt;1)),"Yes","No"))</f>
        <v/>
      </c>
      <c r="F146">
        <f>IF(UPPER(TRIM($B146))&lt;&gt;"YES","", IF(OR(AND($V146&lt;&gt;"", LOWER(TRIM($V146))&lt;&gt;"n/a", LOWER(TRIM($V146))&lt;&gt;"na", SUMPRODUCT(--(UPPER(TRIM($V$2:$V$518))=UPPER(TRIM($V146))), --(UPPER(TRIM($B$2:$B$518))="YES"), --(UPPER(TRIM($G$2:$G$518)&amp;TRIM($I$2:$I$518)&amp;TRIM($J$2:$J$518))&lt;&gt;UPPER(TRIM($G146)&amp;TRIM($I146)&amp;TRIM($J146))))&gt;0), AND($W146&lt;&gt;"", LOWER(TRIM($W146))&lt;&gt;"n/a", LOWER(TRIM($W146))&lt;&gt;"na", SUMPRODUCT(--(UPPER(TRIM($W$2:$W$518))=UPPER(TRIM($W146))), --(UPPER(TRIM($B$2:$B$518))="YES"), --(UPPER(TRIM($G$2:$G$518)&amp;TRIM($I$2:$I$518)&amp;TRIM($J$2:$J$518))&lt;&gt;UPPER(TRIM($G146)&amp;TRIM($I146)&amp;TRIM($J146))))&gt;0), AND($X146&lt;&gt;"", LOWER(TRIM($X146))&lt;&gt;"n/a", LOWER(TRIM($X146))&lt;&gt;"na", SUMPRODUCT(--(UPPER(TRIM($X$2:$X$518))=UPPER(TRIM($X146))), --(UPPER(TRIM($B$2:$B$518))="YES"), --(UPPER(TRIM($G$2:$G$518)&amp;TRIM($I$2:$I$518)&amp;TRIM($J$2:$J$518))&lt;&gt;UPPER(TRIM($G146)&amp;TRIM($I146)&amp;TRIM($J146))))&gt;0), AND($Y146&lt;&gt;"", LOWER(TRIM($Y146))&lt;&gt;"n/a", LOWER(TRIM($Y146))&lt;&gt;"na", SUMPRODUCT(--(UPPER(SUBSTITUTE(SUBSTITUTE(TRIM($Y$2:$Y$518),":",""),"-",""))=UPPER(SUBSTITUTE(SUBSTITUTE(TRIM($Y146),":",""),"-",""))), --(UPPER(TRIM($B$2:$B$518))="YES"), --(UPPER(TRIM($G$2:$G$518)&amp;TRIM($I$2:$I$518)&amp;TRIM($J$2:$J$518))&lt;&gt;UPPER(TRIM($G146)&amp;TRIM($I146)&amp;TRIM($J146))))&gt;0), AND($AB146&lt;&gt;"", LOWER(TRIM($AB146))&lt;&gt;"n/a", LOWER(TRIM($AB146))&lt;&gt;"na", SUMPRODUCT(--(UPPER(TRIM($AB$2:$AB$518))=UPPER(TRIM($AB146))), --(UPPER(TRIM($B$2:$B$518))="YES"), --(UPPER(TRIM($G$2:$G$518)&amp;TRIM($I$2:$I$518)&amp;TRIM($J$2:$J$518))&lt;&gt;UPPER(TRIM($G146)&amp;TRIM($I146)&amp;TRIM($J146))))&gt;0), AND($AH146&lt;&gt;"", LOWER(TRIM($AH146))&lt;&gt;"n/a", LOWER(TRIM($AH146))&lt;&gt;"na", SUMPRODUCT(--(UPPER(SUBSTITUTE(SUBSTITUTE(TRIM($AH$2:$AH$518),":",""),"-",""))=UPPER(SUBSTITUTE(SUBSTITUTE(TRIM($AH146),":",""),"-",""))), --(UPPER(TRIM($B$2:$B$518))="YES"), --(UPPER(TRIM($G$2:$G$518)&amp;TRIM($I$2:$I$518)&amp;TRIM($J$2:$J$518))&lt;&gt;UPPER(TRIM($G146)&amp;TRIM($I146)&amp;TRIM($J146))))&gt;0), AND($AP146&lt;&gt;"", LOWER(TRIM($AP146))&lt;&gt;"n/a", LOWER(TRIM($AP146))&lt;&gt;"na", SUMPRODUCT(--(UPPER(TRIM($AP$2:$AP$518))=UPPER(TRIM($AP146))), --(UPPER(TRIM($B$2:$B$518))="YES"), --(UPPER(TRIM($G$2:$G$518)&amp;TRIM($I$2:$I$518)&amp;TRIM($J$2:$J$518))&lt;&gt;UPPER(TRIM($G146)&amp;TRIM($I146)&amp;TRIM($J146))))&gt;0), AND($AQ146&lt;&gt;"", LOWER(TRIM($AQ146))&lt;&gt;"n/a", LOWER(TRIM($AQ146))&lt;&gt;"na", SUMPRODUCT(--(UPPER(TRIM($AQ$2:$AQ$518))=UPPER(TRIM($AQ146))), --(UPPER(TRIM($B$2:$B$518))="YES"), --(UPPER(TRIM($G$2:$G$518)&amp;TRIM($I$2:$I$518)&amp;TRIM($J$2:$J$518))&lt;&gt;UPPER(TRIM($G146)&amp;TRIM($I146)&amp;TRIM($J146))))&gt;0)), "Yes", "No"))</f>
        <v/>
      </c>
      <c r="G146" t="inlineStr">
        <is>
          <t>LIJ Main / LIJ OR</t>
        </is>
      </c>
      <c r="H146" t="inlineStr">
        <is>
          <t>LIJ Main / LIJ OR</t>
        </is>
      </c>
      <c r="I146" t="inlineStr">
        <is>
          <t>ANNEX</t>
        </is>
      </c>
      <c r="J146" t="inlineStr">
        <is>
          <t>OR 2</t>
        </is>
      </c>
      <c r="K146" t="inlineStr">
        <is>
          <t>n/a</t>
        </is>
      </c>
      <c r="L146" s="18" t="n">
        <v>46081</v>
      </c>
      <c r="M146" t="inlineStr">
        <is>
          <t>OR iPro Cybernet Workstation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Inpatient</t>
        </is>
      </c>
      <c r="S146" t="inlineStr">
        <is>
          <t>Pass</t>
        </is>
      </c>
      <c r="T146" t="inlineStr">
        <is>
          <t>n/a</t>
        </is>
      </c>
      <c r="U146" t="inlineStr">
        <is>
          <t>1427182 LIJ Installation (Project Name) - Tim W. Seeberger, Akbar, Chris Perkins, Epic Team, Anesthesia Techs, and Admins</t>
        </is>
      </c>
      <c r="V146" t="inlineStr">
        <is>
          <t>WNH270OPR428</t>
        </is>
      </c>
      <c r="W146" t="inlineStr">
        <is>
          <t>MEDSG2425F-3294</t>
        </is>
      </c>
      <c r="X146" t="inlineStr">
        <is>
          <t>LIJ-MACH-J</t>
        </is>
      </c>
      <c r="Y146" t="inlineStr">
        <is>
          <t>00187DE0E2BF</t>
        </is>
      </c>
      <c r="Z146" t="inlineStr">
        <is>
          <t>n/a</t>
        </is>
      </c>
      <c r="AH146" t="inlineStr">
        <is>
          <t>00:0D:05:0A:B6:AB</t>
        </is>
      </c>
      <c r="AI146" t="inlineStr">
        <is>
          <t>Anesthesia Machine</t>
        </is>
      </c>
      <c r="AK146" t="n">
        <v>2</v>
      </c>
      <c r="AM146" t="inlineStr">
        <is>
          <t>Drager</t>
        </is>
      </c>
      <c r="AN146" t="inlineStr">
        <is>
          <t>Apollo</t>
        </is>
      </c>
      <c r="AP146" t="inlineStr">
        <is>
          <t>ASCJ-0096</t>
        </is>
      </c>
      <c r="AQ146" t="inlineStr">
        <is>
          <t>ASCJ-0096</t>
        </is>
      </c>
      <c r="AS146" t="inlineStr">
        <is>
          <t>B1-CFW</t>
        </is>
      </c>
      <c r="AX146" t="inlineStr">
        <is>
          <t>MX750 -  DE77669084</t>
        </is>
      </c>
      <c r="AY146" t="inlineStr">
        <is>
          <t>Anesthesia Machine</t>
        </is>
      </c>
      <c r="BR146" t="inlineStr">
        <is>
          <t>Yes</t>
        </is>
      </c>
      <c r="BS146" t="inlineStr">
        <is>
          <t>Yes</t>
        </is>
      </c>
      <c r="BT146" t="inlineStr">
        <is>
          <t>Yes</t>
        </is>
      </c>
      <c r="BU146" t="inlineStr">
        <is>
          <t>Yes</t>
        </is>
      </c>
      <c r="CA146" t="inlineStr">
        <is>
          <t>iPro
Epic Satellite
ALLSCRIPTS
EPIC BCA</t>
        </is>
      </c>
      <c r="CD146">
        <f>IF($Y146="","",IF((IF(AND($BR146&lt;&gt;"Yes",$BR146&lt;&gt;"N/A"),"Power Cable, ","")&amp;IF(AND($BS146&lt;&gt;"Yes",$BS146&lt;&gt;"N/A"),"Battery, ","")&amp;IF(AND($AD146&lt;&gt;"Yes",$AD146&lt;&gt;"N/A"),"Firmware Download, ","")&amp;IF(AND(OR($AD146="Yes",$AD146="N/A"),$AE146&lt;&gt;"Yes",$AE146&lt;&gt;"N/A"),"Firmware Install, ","")&amp;IF(AND($CB146&lt;&gt;"Yes",$CB146&lt;&gt;"N/A"),"Device ID, ","")&amp;IF(AND($CC146&lt;&gt;"Yes",$CC146&lt;&gt;"N/A"),"Epic Beans Relay, ",""))="","",LEFT(IF(AND($BR146&lt;&gt;"Yes",$BR146&lt;&gt;"N/A"),"Power Cable, ","")&amp;IF(AND($BS146&lt;&gt;"Yes",$BS146&lt;&gt;"N/A"),"Battery, ","")&amp;IF(AND($AD146&lt;&gt;"Yes",$AD146&lt;&gt;"N/A"),"Firmware Download, ","")&amp;IF(AND(OR($AD146="Yes",$AD146="N/A"),$AE146&lt;&gt;"Yes",$AE146&lt;&gt;"N/A"),"Firmware Install, ","")&amp;IF(AND($CB146&lt;&gt;"Yes",$CB146&lt;&gt;"N/A"),"Device ID, ","")&amp;IF(AND($CC146&lt;&gt;"Yes",$CC146&lt;&gt;"N/A"),"Epic Beans Relay, ",""),LEN(IF(AND($BR146&lt;&gt;"Yes",$BR146&lt;&gt;"N/A"),"Power Cable, ","")&amp;IF(AND($BS146&lt;&gt;"Yes",$BS146&lt;&gt;"N/A"),"Battery, ","")&amp;IF(AND($AD146&lt;&gt;"Yes",$AD146&lt;&gt;"N/A"),"Firmware Download, ","")&amp;IF(AND(OR($AD146="Yes",$AD146="N/A"),$AE146&lt;&gt;"Yes",$AE146&lt;&gt;"N/A"),"Firmware Install, ","")&amp;IF(AND($CB146&lt;&gt;"Yes",$CB146&lt;&gt;"N/A"),"Device ID, ","")&amp;IF(AND($CC146&lt;&gt;"Yes",$CC146&lt;&gt;"N/A"),"Epic Beans Relay, ",""))-2)))</f>
        <v/>
      </c>
      <c r="CE146">
        <f>IF($Y146="","",IF($CD146="","Yes","Blocked"))</f>
        <v/>
      </c>
      <c r="CF146" t="inlineStr">
        <is>
          <t>Yes</t>
        </is>
      </c>
      <c r="CG146" t="inlineStr">
        <is>
          <t>Yes</t>
        </is>
      </c>
      <c r="CH146" t="inlineStr">
        <is>
          <t>Yes</t>
        </is>
      </c>
      <c r="CI146" t="inlineStr">
        <is>
          <t>Yes</t>
        </is>
      </c>
      <c r="CJ146" t="inlineStr">
        <is>
          <t>Yes</t>
        </is>
      </c>
      <c r="CK146" t="n">
        <v>19200</v>
      </c>
      <c r="CP146">
        <f>IF($CO146="","",IFERROR(VLOOKUP($CO146,'01_Warehouse_Ledger'!$A:$N,4,FALSE),""))</f>
        <v/>
      </c>
      <c r="CQ146">
        <f>IF($CO146="","",IFERROR(VLOOKUP($CO146,'01_Warehouse_Ledger'!$A:$N,5,FALSE),""))</f>
        <v/>
      </c>
      <c r="CR146">
        <f>IF($CO146="","",IFERROR(VLOOKUP($CO146,'01_Warehouse_Ledger'!$A:$N,13,FALSE),""))</f>
        <v/>
      </c>
      <c r="CW146">
        <f>IF($S146="","",IF(UPPER(TRIM($S146))&lt;&gt;"PASS","",IF(LEN(TRIM($BY146))&gt;0,"NOTES_PRESENT",IF(LEN(TRIM($T146))=0,"SET_NA",IF(OR(LOWER(TRIM($T146))="na",LOWER(TRIM($T146))="n/a"),"OK","MANUAL_OVERRIDE")))))</f>
        <v/>
      </c>
    </row>
    <row r="147">
      <c r="A147" t="inlineStr">
        <is>
          <t>Cybernet</t>
        </is>
      </c>
      <c r="B147" t="inlineStr">
        <is>
          <t>Yes</t>
        </is>
      </c>
      <c r="C147" t="inlineStr">
        <is>
          <t>Yes</t>
        </is>
      </c>
      <c r="D147">
        <f>IF($B147&lt;&gt;"Yes","",IF($C147="No","Yes",IF($C147="Yes","No","")))</f>
        <v/>
      </c>
      <c r="E147">
        <f>IF($A147="","",IF(OR(AND($V147&lt;&gt;"",LOWER(TRIM($V147))&lt;&gt;"n/a",LOWER(TRIM($V147))&lt;&gt;"na",SUMPRODUCT(--(UPPER(TRIM($V$2:$V$518))=UPPER(TRIM($V147))),--(TRIM($V$2:$V$518)&lt;&gt;""),--(LOWER(TRIM($V$2:$V$518))&lt;&gt;"n/a"),--(LOWER(TRIM($V$2:$V$518))&lt;&gt;"na"))&gt;1),AND($W147&lt;&gt;"",LOWER(TRIM($W147))&lt;&gt;"n/a",LOWER(TRIM($W147))&lt;&gt;"na",SUMPRODUCT(--(UPPER(TRIM($W$2:$W$518))=UPPER(TRIM($W147))),--(TRIM($W$2:$W$518)&lt;&gt;""),--(LOWER(TRIM($W$2:$W$518))&lt;&gt;"n/a"),--(LOWER(TRIM($W$2:$W$518))&lt;&gt;"na"))&gt;1),AND($X147&lt;&gt;"",LOWER(TRIM($X147))&lt;&gt;"n/a",LOWER(TRIM($X147))&lt;&gt;"na",SUMPRODUCT(--(UPPER(TRIM($X$2:$X$518))=UPPER(TRIM($X147))),--(TRIM($X$2:$X$518)&lt;&gt;""),--(LOWER(TRIM($X$2:$X$518))&lt;&gt;"n/a"),--(LOWER(TRIM($X$2:$X$518))&lt;&gt;"na"))&gt;1),AND($Y147&lt;&gt;"",LOWER(TRIM($Y147))&lt;&gt;"n/a",LOWER(TRIM($Y147))&lt;&gt;"na",SUMPRODUCT(--(UPPER(SUBSTITUTE(SUBSTITUTE(TRIM($Y$2:$Y$518),":",""),"-",""))=UPPER(SUBSTITUTE(SUBSTITUTE(TRIM($Y147),":",""),"-",""))),--(TRIM($Y$2:$Y$518)&lt;&gt;""),--(LOWER(TRIM($Y$2:$Y$518))&lt;&gt;"n/a"),--(LOWER(TRIM($Y$2:$Y$518))&lt;&gt;"na"))&gt;1),AND($AB147&lt;&gt;"",LOWER(TRIM($AB147))&lt;&gt;"n/a",LOWER(TRIM($AB147))&lt;&gt;"na",SUMPRODUCT(--(UPPER(TRIM($AB$2:$AB$518))=UPPER(TRIM($AB147))),--(TRIM($AB$2:$AB$518)&lt;&gt;""),--(LOWER(TRIM($AB$2:$AB$518))&lt;&gt;"n/a"),--(LOWER(TRIM($AB$2:$AB$518))&lt;&gt;"na"))&gt;1),AND($AH147&lt;&gt;"",LOWER(TRIM($AH147))&lt;&gt;"n/a",LOWER(TRIM($AH147))&lt;&gt;"na",SUMPRODUCT(--(UPPER(SUBSTITUTE(SUBSTITUTE(TRIM($AH$2:$AH$518),":",""),"-",""))=UPPER(SUBSTITUTE(SUBSTITUTE(TRIM($AH147),":",""),"-",""))),--(TRIM($AH$2:$AH$518)&lt;&gt;""),--(LOWER(TRIM($AH$2:$AH$518))&lt;&gt;"n/a"),--(LOWER(TRIM($AH$2:$AH$518))&lt;&gt;"na"))&gt;1),AND($AP147&lt;&gt;"",LOWER(TRIM($AP147))&lt;&gt;"n/a",LOWER(TRIM($AP147))&lt;&gt;"na",SUMPRODUCT(--(UPPER(TRIM($AP$2:$AP$518))=UPPER(TRIM($AP147))),--(TRIM($AP$2:$AP$518)&lt;&gt;""),--(LOWER(TRIM($AP$2:$AP$518))&lt;&gt;"n/a"),--(LOWER(TRIM($AP$2:$AP$518))&lt;&gt;"na"))&gt;1),AND($AQ147&lt;&gt;"",LOWER(TRIM($AQ147))&lt;&gt;"n/a",LOWER(TRIM($AQ147))&lt;&gt;"na",SUMPRODUCT(--(UPPER(TRIM($AQ$2:$AQ$518))=UPPER(TRIM($AQ147))),--(TRIM($AQ$2:$AQ$518)&lt;&gt;""),--(LOWER(TRIM($AQ$2:$AQ$518))&lt;&gt;"n/a"),--(LOWER(TRIM($AQ$2:$AQ$518))&lt;&gt;"na"))&gt;1)),"Yes","No"))</f>
        <v/>
      </c>
      <c r="F147">
        <f>IF(UPPER(TRIM($B147))&lt;&gt;"YES","", IF(OR(AND($V147&lt;&gt;"", LOWER(TRIM($V147))&lt;&gt;"n/a", LOWER(TRIM($V147))&lt;&gt;"na", SUMPRODUCT(--(UPPER(TRIM($V$2:$V$518))=UPPER(TRIM($V147))), --(UPPER(TRIM($B$2:$B$518))="YES"), --(UPPER(TRIM($G$2:$G$518)&amp;TRIM($I$2:$I$518)&amp;TRIM($J$2:$J$518))&lt;&gt;UPPER(TRIM($G147)&amp;TRIM($I147)&amp;TRIM($J147))))&gt;0), AND($W147&lt;&gt;"", LOWER(TRIM($W147))&lt;&gt;"n/a", LOWER(TRIM($W147))&lt;&gt;"na", SUMPRODUCT(--(UPPER(TRIM($W$2:$W$518))=UPPER(TRIM($W147))), --(UPPER(TRIM($B$2:$B$518))="YES"), --(UPPER(TRIM($G$2:$G$518)&amp;TRIM($I$2:$I$518)&amp;TRIM($J$2:$J$518))&lt;&gt;UPPER(TRIM($G147)&amp;TRIM($I147)&amp;TRIM($J147))))&gt;0), AND($X147&lt;&gt;"", LOWER(TRIM($X147))&lt;&gt;"n/a", LOWER(TRIM($X147))&lt;&gt;"na", SUMPRODUCT(--(UPPER(TRIM($X$2:$X$518))=UPPER(TRIM($X147))), --(UPPER(TRIM($B$2:$B$518))="YES"), --(UPPER(TRIM($G$2:$G$518)&amp;TRIM($I$2:$I$518)&amp;TRIM($J$2:$J$518))&lt;&gt;UPPER(TRIM($G147)&amp;TRIM($I147)&amp;TRIM($J147))))&gt;0), AND($Y147&lt;&gt;"", LOWER(TRIM($Y147))&lt;&gt;"n/a", LOWER(TRIM($Y147))&lt;&gt;"na", SUMPRODUCT(--(UPPER(SUBSTITUTE(SUBSTITUTE(TRIM($Y$2:$Y$518),":",""),"-",""))=UPPER(SUBSTITUTE(SUBSTITUTE(TRIM($Y147),":",""),"-",""))), --(UPPER(TRIM($B$2:$B$518))="YES"), --(UPPER(TRIM($G$2:$G$518)&amp;TRIM($I$2:$I$518)&amp;TRIM($J$2:$J$518))&lt;&gt;UPPER(TRIM($G147)&amp;TRIM($I147)&amp;TRIM($J147))))&gt;0), AND($AB147&lt;&gt;"", LOWER(TRIM($AB147))&lt;&gt;"n/a", LOWER(TRIM($AB147))&lt;&gt;"na", SUMPRODUCT(--(UPPER(TRIM($AB$2:$AB$518))=UPPER(TRIM($AB147))), --(UPPER(TRIM($B$2:$B$518))="YES"), --(UPPER(TRIM($G$2:$G$518)&amp;TRIM($I$2:$I$518)&amp;TRIM($J$2:$J$518))&lt;&gt;UPPER(TRIM($G147)&amp;TRIM($I147)&amp;TRIM($J147))))&gt;0), AND($AH147&lt;&gt;"", LOWER(TRIM($AH147))&lt;&gt;"n/a", LOWER(TRIM($AH147))&lt;&gt;"na", SUMPRODUCT(--(UPPER(SUBSTITUTE(SUBSTITUTE(TRIM($AH$2:$AH$518),":",""),"-",""))=UPPER(SUBSTITUTE(SUBSTITUTE(TRIM($AH147),":",""),"-",""))), --(UPPER(TRIM($B$2:$B$518))="YES"), --(UPPER(TRIM($G$2:$G$518)&amp;TRIM($I$2:$I$518)&amp;TRIM($J$2:$J$518))&lt;&gt;UPPER(TRIM($G147)&amp;TRIM($I147)&amp;TRIM($J147))))&gt;0), AND($AP147&lt;&gt;"", LOWER(TRIM($AP147))&lt;&gt;"n/a", LOWER(TRIM($AP147))&lt;&gt;"na", SUMPRODUCT(--(UPPER(TRIM($AP$2:$AP$518))=UPPER(TRIM($AP147))), --(UPPER(TRIM($B$2:$B$518))="YES"), --(UPPER(TRIM($G$2:$G$518)&amp;TRIM($I$2:$I$518)&amp;TRIM($J$2:$J$518))&lt;&gt;UPPER(TRIM($G147)&amp;TRIM($I147)&amp;TRIM($J147))))&gt;0), AND($AQ147&lt;&gt;"", LOWER(TRIM($AQ147))&lt;&gt;"n/a", LOWER(TRIM($AQ147))&lt;&gt;"na", SUMPRODUCT(--(UPPER(TRIM($AQ$2:$AQ$518))=UPPER(TRIM($AQ147))), --(UPPER(TRIM($B$2:$B$518))="YES"), --(UPPER(TRIM($G$2:$G$518)&amp;TRIM($I$2:$I$518)&amp;TRIM($J$2:$J$518))&lt;&gt;UPPER(TRIM($G147)&amp;TRIM($I147)&amp;TRIM($J147))))&gt;0)), "Yes", "No"))</f>
        <v/>
      </c>
      <c r="G147" t="inlineStr">
        <is>
          <t>LIJ Main / LIJ OR</t>
        </is>
      </c>
      <c r="H147" t="inlineStr">
        <is>
          <t>LIJ Main / LIJ OR</t>
        </is>
      </c>
      <c r="I147" t="inlineStr">
        <is>
          <t>ENDO Proc</t>
        </is>
      </c>
      <c r="J147" t="inlineStr">
        <is>
          <t>PR 4</t>
        </is>
      </c>
      <c r="K147" t="inlineStr">
        <is>
          <t>n/a</t>
        </is>
      </c>
      <c r="L147" s="18" t="n">
        <v>46081</v>
      </c>
      <c r="M147" t="inlineStr">
        <is>
          <t>OR iPro Cybernet Workstation</t>
        </is>
      </c>
      <c r="N147" t="inlineStr">
        <is>
          <t>Yes</t>
        </is>
      </c>
      <c r="O147" t="inlineStr">
        <is>
          <t>No</t>
        </is>
      </c>
      <c r="P147" t="inlineStr">
        <is>
          <t>No</t>
        </is>
      </c>
      <c r="Q147" t="inlineStr">
        <is>
          <t>Inpatient</t>
        </is>
      </c>
      <c r="S147" t="inlineStr">
        <is>
          <t>Pass</t>
        </is>
      </c>
      <c r="T147" t="inlineStr">
        <is>
          <t>n/a</t>
        </is>
      </c>
      <c r="U147" t="inlineStr">
        <is>
          <t>1427182 LIJ Installation (Project Name) - Tim W. Seeberger, Akbar, Chris Perkins, Epic Team, Anesthesia Techs, and Admins</t>
        </is>
      </c>
      <c r="V147" t="inlineStr">
        <is>
          <t>WNH270OPR433</t>
        </is>
      </c>
      <c r="W147" t="inlineStr">
        <is>
          <t>MEDSG2425E-3033</t>
        </is>
      </c>
      <c r="X147" t="inlineStr">
        <is>
          <t>LIJ-MACH-NN</t>
        </is>
      </c>
      <c r="Y147" t="inlineStr">
        <is>
          <t>00187DE0AC69</t>
        </is>
      </c>
      <c r="Z147" t="inlineStr">
        <is>
          <t>n/a</t>
        </is>
      </c>
      <c r="AH147" t="inlineStr">
        <is>
          <t>00:0D:05:0A:B1:1F</t>
        </is>
      </c>
      <c r="AI147" t="inlineStr">
        <is>
          <t>Anesthesia Machine</t>
        </is>
      </c>
      <c r="AK147" t="n">
        <v>2</v>
      </c>
      <c r="AM147" t="inlineStr">
        <is>
          <t>Drager</t>
        </is>
      </c>
      <c r="AN147" t="inlineStr">
        <is>
          <t>Apollo</t>
        </is>
      </c>
      <c r="AP147" t="inlineStr">
        <is>
          <t>ASKF-0146</t>
        </is>
      </c>
      <c r="AQ147" t="inlineStr">
        <is>
          <t>ASKF-0146</t>
        </is>
      </c>
      <c r="AS147" t="inlineStr">
        <is>
          <t>B1-CFW</t>
        </is>
      </c>
      <c r="AX147" t="inlineStr">
        <is>
          <t>MX750 -  DE77672788</t>
        </is>
      </c>
      <c r="AY147" t="inlineStr">
        <is>
          <t>Anesthesia Machine</t>
        </is>
      </c>
      <c r="BR147" t="inlineStr">
        <is>
          <t>Yes</t>
        </is>
      </c>
      <c r="BS147" t="inlineStr">
        <is>
          <t>Yes</t>
        </is>
      </c>
      <c r="BT147" t="inlineStr">
        <is>
          <t>Yes</t>
        </is>
      </c>
      <c r="BU147" t="inlineStr">
        <is>
          <t>Yes</t>
        </is>
      </c>
      <c r="CA147" t="inlineStr">
        <is>
          <t>iPro
Epic Satellite
ALLSCRIPTS
EPIC BCA</t>
        </is>
      </c>
      <c r="CD147">
        <f>IF($Y147="","",IF((IF(AND($BR147&lt;&gt;"Yes",$BR147&lt;&gt;"N/A"),"Power Cable, ","")&amp;IF(AND($BS147&lt;&gt;"Yes",$BS147&lt;&gt;"N/A"),"Battery, ","")&amp;IF(AND($AD147&lt;&gt;"Yes",$AD147&lt;&gt;"N/A"),"Firmware Download, ","")&amp;IF(AND(OR($AD147="Yes",$AD147="N/A"),$AE147&lt;&gt;"Yes",$AE147&lt;&gt;"N/A"),"Firmware Install, ","")&amp;IF(AND($CB147&lt;&gt;"Yes",$CB147&lt;&gt;"N/A"),"Device ID, ","")&amp;IF(AND($CC147&lt;&gt;"Yes",$CC147&lt;&gt;"N/A"),"Epic Beans Relay, ",""))="","",LEFT(IF(AND($BR147&lt;&gt;"Yes",$BR147&lt;&gt;"N/A"),"Power Cable, ","")&amp;IF(AND($BS147&lt;&gt;"Yes",$BS147&lt;&gt;"N/A"),"Battery, ","")&amp;IF(AND($AD147&lt;&gt;"Yes",$AD147&lt;&gt;"N/A"),"Firmware Download, ","")&amp;IF(AND(OR($AD147="Yes",$AD147="N/A"),$AE147&lt;&gt;"Yes",$AE147&lt;&gt;"N/A"),"Firmware Install, ","")&amp;IF(AND($CB147&lt;&gt;"Yes",$CB147&lt;&gt;"N/A"),"Device ID, ","")&amp;IF(AND($CC147&lt;&gt;"Yes",$CC147&lt;&gt;"N/A"),"Epic Beans Relay, ",""),LEN(IF(AND($BR147&lt;&gt;"Yes",$BR147&lt;&gt;"N/A"),"Power Cable, ","")&amp;IF(AND($BS147&lt;&gt;"Yes",$BS147&lt;&gt;"N/A"),"Battery, ","")&amp;IF(AND($AD147&lt;&gt;"Yes",$AD147&lt;&gt;"N/A"),"Firmware Download, ","")&amp;IF(AND(OR($AD147="Yes",$AD147="N/A"),$AE147&lt;&gt;"Yes",$AE147&lt;&gt;"N/A"),"Firmware Install, ","")&amp;IF(AND($CB147&lt;&gt;"Yes",$CB147&lt;&gt;"N/A"),"Device ID, ","")&amp;IF(AND($CC147&lt;&gt;"Yes",$CC147&lt;&gt;"N/A"),"Epic Beans Relay, ",""))-2)))</f>
        <v/>
      </c>
      <c r="CE147">
        <f>IF($Y147="","",IF($CD147="","Yes","Blocked"))</f>
        <v/>
      </c>
      <c r="CF147" t="inlineStr">
        <is>
          <t>Yes</t>
        </is>
      </c>
      <c r="CG147" t="inlineStr">
        <is>
          <t>Yes</t>
        </is>
      </c>
      <c r="CH147" t="inlineStr">
        <is>
          <t>Yes</t>
        </is>
      </c>
      <c r="CI147" t="inlineStr">
        <is>
          <t>Yes</t>
        </is>
      </c>
      <c r="CJ147" t="inlineStr">
        <is>
          <t>Yes</t>
        </is>
      </c>
      <c r="CK147" t="n">
        <v>19200</v>
      </c>
      <c r="CP147">
        <f>IF($CO147="","",IFERROR(VLOOKUP($CO147,'01_Warehouse_Ledger'!$A:$N,4,FALSE),""))</f>
        <v/>
      </c>
      <c r="CQ147">
        <f>IF($CO147="","",IFERROR(VLOOKUP($CO147,'01_Warehouse_Ledger'!$A:$N,5,FALSE),""))</f>
        <v/>
      </c>
      <c r="CR147">
        <f>IF($CO147="","",IFERROR(VLOOKUP($CO147,'01_Warehouse_Ledger'!$A:$N,13,FALSE),""))</f>
        <v/>
      </c>
      <c r="CW147">
        <f>IF($S147="","",IF(UPPER(TRIM($S147))&lt;&gt;"PASS","",IF(LEN(TRIM($BY147))&gt;0,"NOTES_PRESENT",IF(LEN(TRIM($T147))=0,"SET_NA",IF(OR(LOWER(TRIM($T147))="na",LOWER(TRIM($T147))="n/a"),"OK","MANUAL_OVERRIDE")))))</f>
        <v/>
      </c>
    </row>
    <row r="148">
      <c r="A148" t="inlineStr">
        <is>
          <t>Cybernet</t>
        </is>
      </c>
      <c r="B148" t="inlineStr">
        <is>
          <t>Yes</t>
        </is>
      </c>
      <c r="C148" t="inlineStr">
        <is>
          <t>Yes</t>
        </is>
      </c>
      <c r="D148">
        <f>IF($B148&lt;&gt;"Yes","",IF($C148="No","Yes",IF($C148="Yes","No","")))</f>
        <v/>
      </c>
      <c r="E148">
        <f>IF($A148="","",IF(OR(AND($V148&lt;&gt;"",LOWER(TRIM($V148))&lt;&gt;"n/a",LOWER(TRIM($V148))&lt;&gt;"na",SUMPRODUCT(--(UPPER(TRIM($V$2:$V$518))=UPPER(TRIM($V148))),--(TRIM($V$2:$V$518)&lt;&gt;""),--(LOWER(TRIM($V$2:$V$518))&lt;&gt;"n/a"),--(LOWER(TRIM($V$2:$V$518))&lt;&gt;"na"))&gt;1),AND($W148&lt;&gt;"",LOWER(TRIM($W148))&lt;&gt;"n/a",LOWER(TRIM($W148))&lt;&gt;"na",SUMPRODUCT(--(UPPER(TRIM($W$2:$W$518))=UPPER(TRIM($W148))),--(TRIM($W$2:$W$518)&lt;&gt;""),--(LOWER(TRIM($W$2:$W$518))&lt;&gt;"n/a"),--(LOWER(TRIM($W$2:$W$518))&lt;&gt;"na"))&gt;1),AND($X148&lt;&gt;"",LOWER(TRIM($X148))&lt;&gt;"n/a",LOWER(TRIM($X148))&lt;&gt;"na",SUMPRODUCT(--(UPPER(TRIM($X$2:$X$518))=UPPER(TRIM($X148))),--(TRIM($X$2:$X$518)&lt;&gt;""),--(LOWER(TRIM($X$2:$X$518))&lt;&gt;"n/a"),--(LOWER(TRIM($X$2:$X$518))&lt;&gt;"na"))&gt;1),AND($Y148&lt;&gt;"",LOWER(TRIM($Y148))&lt;&gt;"n/a",LOWER(TRIM($Y148))&lt;&gt;"na",SUMPRODUCT(--(UPPER(SUBSTITUTE(SUBSTITUTE(TRIM($Y$2:$Y$518),":",""),"-",""))=UPPER(SUBSTITUTE(SUBSTITUTE(TRIM($Y148),":",""),"-",""))),--(TRIM($Y$2:$Y$518)&lt;&gt;""),--(LOWER(TRIM($Y$2:$Y$518))&lt;&gt;"n/a"),--(LOWER(TRIM($Y$2:$Y$518))&lt;&gt;"na"))&gt;1),AND($AB148&lt;&gt;"",LOWER(TRIM($AB148))&lt;&gt;"n/a",LOWER(TRIM($AB148))&lt;&gt;"na",SUMPRODUCT(--(UPPER(TRIM($AB$2:$AB$518))=UPPER(TRIM($AB148))),--(TRIM($AB$2:$AB$518)&lt;&gt;""),--(LOWER(TRIM($AB$2:$AB$518))&lt;&gt;"n/a"),--(LOWER(TRIM($AB$2:$AB$518))&lt;&gt;"na"))&gt;1),AND($AH148&lt;&gt;"",LOWER(TRIM($AH148))&lt;&gt;"n/a",LOWER(TRIM($AH148))&lt;&gt;"na",SUMPRODUCT(--(UPPER(SUBSTITUTE(SUBSTITUTE(TRIM($AH$2:$AH$518),":",""),"-",""))=UPPER(SUBSTITUTE(SUBSTITUTE(TRIM($AH148),":",""),"-",""))),--(TRIM($AH$2:$AH$518)&lt;&gt;""),--(LOWER(TRIM($AH$2:$AH$518))&lt;&gt;"n/a"),--(LOWER(TRIM($AH$2:$AH$518))&lt;&gt;"na"))&gt;1),AND($AP148&lt;&gt;"",LOWER(TRIM($AP148))&lt;&gt;"n/a",LOWER(TRIM($AP148))&lt;&gt;"na",SUMPRODUCT(--(UPPER(TRIM($AP$2:$AP$518))=UPPER(TRIM($AP148))),--(TRIM($AP$2:$AP$518)&lt;&gt;""),--(LOWER(TRIM($AP$2:$AP$518))&lt;&gt;"n/a"),--(LOWER(TRIM($AP$2:$AP$518))&lt;&gt;"na"))&gt;1),AND($AQ148&lt;&gt;"",LOWER(TRIM($AQ148))&lt;&gt;"n/a",LOWER(TRIM($AQ148))&lt;&gt;"na",SUMPRODUCT(--(UPPER(TRIM($AQ$2:$AQ$518))=UPPER(TRIM($AQ148))),--(TRIM($AQ$2:$AQ$518)&lt;&gt;""),--(LOWER(TRIM($AQ$2:$AQ$518))&lt;&gt;"n/a"),--(LOWER(TRIM($AQ$2:$AQ$518))&lt;&gt;"na"))&gt;1)),"Yes","No"))</f>
        <v/>
      </c>
      <c r="F148">
        <f>IF(UPPER(TRIM($B148))&lt;&gt;"YES","", IF(OR(AND($V148&lt;&gt;"", LOWER(TRIM($V148))&lt;&gt;"n/a", LOWER(TRIM($V148))&lt;&gt;"na", SUMPRODUCT(--(UPPER(TRIM($V$2:$V$518))=UPPER(TRIM($V148))), --(UPPER(TRIM($B$2:$B$518))="YES"), --(UPPER(TRIM($G$2:$G$518)&amp;TRIM($I$2:$I$518)&amp;TRIM($J$2:$J$518))&lt;&gt;UPPER(TRIM($G148)&amp;TRIM($I148)&amp;TRIM($J148))))&gt;0), AND($W148&lt;&gt;"", LOWER(TRIM($W148))&lt;&gt;"n/a", LOWER(TRIM($W148))&lt;&gt;"na", SUMPRODUCT(--(UPPER(TRIM($W$2:$W$518))=UPPER(TRIM($W148))), --(UPPER(TRIM($B$2:$B$518))="YES"), --(UPPER(TRIM($G$2:$G$518)&amp;TRIM($I$2:$I$518)&amp;TRIM($J$2:$J$518))&lt;&gt;UPPER(TRIM($G148)&amp;TRIM($I148)&amp;TRIM($J148))))&gt;0), AND($X148&lt;&gt;"", LOWER(TRIM($X148))&lt;&gt;"n/a", LOWER(TRIM($X148))&lt;&gt;"na", SUMPRODUCT(--(UPPER(TRIM($X$2:$X$518))=UPPER(TRIM($X148))), --(UPPER(TRIM($B$2:$B$518))="YES"), --(UPPER(TRIM($G$2:$G$518)&amp;TRIM($I$2:$I$518)&amp;TRIM($J$2:$J$518))&lt;&gt;UPPER(TRIM($G148)&amp;TRIM($I148)&amp;TRIM($J148))))&gt;0), AND($Y148&lt;&gt;"", LOWER(TRIM($Y148))&lt;&gt;"n/a", LOWER(TRIM($Y148))&lt;&gt;"na", SUMPRODUCT(--(UPPER(SUBSTITUTE(SUBSTITUTE(TRIM($Y$2:$Y$518),":",""),"-",""))=UPPER(SUBSTITUTE(SUBSTITUTE(TRIM($Y148),":",""),"-",""))), --(UPPER(TRIM($B$2:$B$518))="YES"), --(UPPER(TRIM($G$2:$G$518)&amp;TRIM($I$2:$I$518)&amp;TRIM($J$2:$J$518))&lt;&gt;UPPER(TRIM($G148)&amp;TRIM($I148)&amp;TRIM($J148))))&gt;0), AND($AB148&lt;&gt;"", LOWER(TRIM($AB148))&lt;&gt;"n/a", LOWER(TRIM($AB148))&lt;&gt;"na", SUMPRODUCT(--(UPPER(TRIM($AB$2:$AB$518))=UPPER(TRIM($AB148))), --(UPPER(TRIM($B$2:$B$518))="YES"), --(UPPER(TRIM($G$2:$G$518)&amp;TRIM($I$2:$I$518)&amp;TRIM($J$2:$J$518))&lt;&gt;UPPER(TRIM($G148)&amp;TRIM($I148)&amp;TRIM($J148))))&gt;0), AND($AH148&lt;&gt;"", LOWER(TRIM($AH148))&lt;&gt;"n/a", LOWER(TRIM($AH148))&lt;&gt;"na", SUMPRODUCT(--(UPPER(SUBSTITUTE(SUBSTITUTE(TRIM($AH$2:$AH$518),":",""),"-",""))=UPPER(SUBSTITUTE(SUBSTITUTE(TRIM($AH148),":",""),"-",""))), --(UPPER(TRIM($B$2:$B$518))="YES"), --(UPPER(TRIM($G$2:$G$518)&amp;TRIM($I$2:$I$518)&amp;TRIM($J$2:$J$518))&lt;&gt;UPPER(TRIM($G148)&amp;TRIM($I148)&amp;TRIM($J148))))&gt;0), AND($AP148&lt;&gt;"", LOWER(TRIM($AP148))&lt;&gt;"n/a", LOWER(TRIM($AP148))&lt;&gt;"na", SUMPRODUCT(--(UPPER(TRIM($AP$2:$AP$518))=UPPER(TRIM($AP148))), --(UPPER(TRIM($B$2:$B$518))="YES"), --(UPPER(TRIM($G$2:$G$518)&amp;TRIM($I$2:$I$518)&amp;TRIM($J$2:$J$518))&lt;&gt;UPPER(TRIM($G148)&amp;TRIM($I148)&amp;TRIM($J148))))&gt;0), AND($AQ148&lt;&gt;"", LOWER(TRIM($AQ148))&lt;&gt;"n/a", LOWER(TRIM($AQ148))&lt;&gt;"na", SUMPRODUCT(--(UPPER(TRIM($AQ$2:$AQ$518))=UPPER(TRIM($AQ148))), --(UPPER(TRIM($B$2:$B$518))="YES"), --(UPPER(TRIM($G$2:$G$518)&amp;TRIM($I$2:$I$518)&amp;TRIM($J$2:$J$518))&lt;&gt;UPPER(TRIM($G148)&amp;TRIM($I148)&amp;TRIM($J148))))&gt;0)), "Yes", "No"))</f>
        <v/>
      </c>
      <c r="G148" t="inlineStr">
        <is>
          <t>LIJ Main / LIJ OR</t>
        </is>
      </c>
      <c r="H148" t="inlineStr">
        <is>
          <t>LIJ Main / LIJ OR</t>
        </is>
      </c>
      <c r="I148" t="inlineStr">
        <is>
          <t>ANNEX</t>
        </is>
      </c>
      <c r="J148" t="inlineStr">
        <is>
          <t>OR 3</t>
        </is>
      </c>
      <c r="K148" t="inlineStr">
        <is>
          <t>n/a</t>
        </is>
      </c>
      <c r="L148" s="18" t="n">
        <v>46081</v>
      </c>
      <c r="M148" t="inlineStr">
        <is>
          <t>OR iPro Cybernet Workstation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>Inpatient</t>
        </is>
      </c>
      <c r="S148" t="inlineStr">
        <is>
          <t>Pass</t>
        </is>
      </c>
      <c r="T148" t="inlineStr">
        <is>
          <t>n/a</t>
        </is>
      </c>
      <c r="U148" t="inlineStr">
        <is>
          <t>1427182 LIJ Installation (Project Name) - Tim W. Seeberger, Akbar, Chris Perkins, Epic Team, Anesthesia Techs, and Admins</t>
        </is>
      </c>
      <c r="V148" t="inlineStr">
        <is>
          <t>WNH270OPR434</t>
        </is>
      </c>
      <c r="W148" t="inlineStr">
        <is>
          <t>MEDSG2425E-3070</t>
        </is>
      </c>
      <c r="X148" t="inlineStr">
        <is>
          <t>LIJ-MACH-R</t>
        </is>
      </c>
      <c r="Y148" t="inlineStr">
        <is>
          <t>00187DE0E283</t>
        </is>
      </c>
      <c r="Z148" t="inlineStr">
        <is>
          <t>n/a</t>
        </is>
      </c>
      <c r="AH148" t="inlineStr">
        <is>
          <t>00:0D:05:0A:B0:E7</t>
        </is>
      </c>
      <c r="AI148" t="inlineStr">
        <is>
          <t>Anesthesia Machine</t>
        </is>
      </c>
      <c r="AK148" t="n">
        <v>2</v>
      </c>
      <c r="AM148" t="inlineStr">
        <is>
          <t>Drager</t>
        </is>
      </c>
      <c r="AN148" t="inlineStr">
        <is>
          <t>Apollo</t>
        </is>
      </c>
      <c r="AP148" t="inlineStr">
        <is>
          <t>ASEA-0175</t>
        </is>
      </c>
      <c r="AQ148" t="inlineStr">
        <is>
          <t>ASEA-0175</t>
        </is>
      </c>
      <c r="AS148" t="inlineStr">
        <is>
          <t>B1-CFW</t>
        </is>
      </c>
      <c r="AX148" t="inlineStr">
        <is>
          <t>MX750 -  DE77669033</t>
        </is>
      </c>
      <c r="AY148" t="inlineStr">
        <is>
          <t>Anesthesia Machine</t>
        </is>
      </c>
      <c r="BR148" t="inlineStr">
        <is>
          <t>Yes</t>
        </is>
      </c>
      <c r="BS148" t="inlineStr">
        <is>
          <t>Yes</t>
        </is>
      </c>
      <c r="BT148" t="inlineStr">
        <is>
          <t>Yes</t>
        </is>
      </c>
      <c r="BU148" t="inlineStr">
        <is>
          <t>Yes</t>
        </is>
      </c>
      <c r="CA148" t="inlineStr">
        <is>
          <t>iPro
Epic Satellite
ALLSCRIPTS
EPIC BCA</t>
        </is>
      </c>
      <c r="CD148">
        <f>IF($Y148="","",IF((IF(AND($BR148&lt;&gt;"Yes",$BR148&lt;&gt;"N/A"),"Power Cable, ","")&amp;IF(AND($BS148&lt;&gt;"Yes",$BS148&lt;&gt;"N/A"),"Battery, ","")&amp;IF(AND($AD148&lt;&gt;"Yes",$AD148&lt;&gt;"N/A"),"Firmware Download, ","")&amp;IF(AND(OR($AD148="Yes",$AD148="N/A"),$AE148&lt;&gt;"Yes",$AE148&lt;&gt;"N/A"),"Firmware Install, ","")&amp;IF(AND($CB148&lt;&gt;"Yes",$CB148&lt;&gt;"N/A"),"Device ID, ","")&amp;IF(AND($CC148&lt;&gt;"Yes",$CC148&lt;&gt;"N/A"),"Epic Beans Relay, ",""))="","",LEFT(IF(AND($BR148&lt;&gt;"Yes",$BR148&lt;&gt;"N/A"),"Power Cable, ","")&amp;IF(AND($BS148&lt;&gt;"Yes",$BS148&lt;&gt;"N/A"),"Battery, ","")&amp;IF(AND($AD148&lt;&gt;"Yes",$AD148&lt;&gt;"N/A"),"Firmware Download, ","")&amp;IF(AND(OR($AD148="Yes",$AD148="N/A"),$AE148&lt;&gt;"Yes",$AE148&lt;&gt;"N/A"),"Firmware Install, ","")&amp;IF(AND($CB148&lt;&gt;"Yes",$CB148&lt;&gt;"N/A"),"Device ID, ","")&amp;IF(AND($CC148&lt;&gt;"Yes",$CC148&lt;&gt;"N/A"),"Epic Beans Relay, ",""),LEN(IF(AND($BR148&lt;&gt;"Yes",$BR148&lt;&gt;"N/A"),"Power Cable, ","")&amp;IF(AND($BS148&lt;&gt;"Yes",$BS148&lt;&gt;"N/A"),"Battery, ","")&amp;IF(AND($AD148&lt;&gt;"Yes",$AD148&lt;&gt;"N/A"),"Firmware Download, ","")&amp;IF(AND(OR($AD148="Yes",$AD148="N/A"),$AE148&lt;&gt;"Yes",$AE148&lt;&gt;"N/A"),"Firmware Install, ","")&amp;IF(AND($CB148&lt;&gt;"Yes",$CB148&lt;&gt;"N/A"),"Device ID, ","")&amp;IF(AND($CC148&lt;&gt;"Yes",$CC148&lt;&gt;"N/A"),"Epic Beans Relay, ",""))-2)))</f>
        <v/>
      </c>
      <c r="CE148">
        <f>IF($Y148="","",IF($CD148="","Yes","Blocked"))</f>
        <v/>
      </c>
      <c r="CF148" t="inlineStr">
        <is>
          <t>Yes</t>
        </is>
      </c>
      <c r="CG148" t="inlineStr">
        <is>
          <t>Yes</t>
        </is>
      </c>
      <c r="CH148" t="inlineStr">
        <is>
          <t>Yes</t>
        </is>
      </c>
      <c r="CI148" t="inlineStr">
        <is>
          <t>Yes</t>
        </is>
      </c>
      <c r="CJ148" t="inlineStr">
        <is>
          <t>Yes</t>
        </is>
      </c>
      <c r="CP148">
        <f>IF($CO148="","",IFERROR(VLOOKUP($CO148,'01_Warehouse_Ledger'!$A:$N,4,FALSE),""))</f>
        <v/>
      </c>
      <c r="CQ148">
        <f>IF($CO148="","",IFERROR(VLOOKUP($CO148,'01_Warehouse_Ledger'!$A:$N,5,FALSE),""))</f>
        <v/>
      </c>
      <c r="CR148">
        <f>IF($CO148="","",IFERROR(VLOOKUP($CO148,'01_Warehouse_Ledger'!$A:$N,13,FALSE),""))</f>
        <v/>
      </c>
      <c r="CW148">
        <f>IF($S148="","",IF(UPPER(TRIM($S148))&lt;&gt;"PASS","",IF(LEN(TRIM($BY148))&gt;0,"NOTES_PRESENT",IF(LEN(TRIM($T148))=0,"SET_NA",IF(OR(LOWER(TRIM($T148))="na",LOWER(TRIM($T148))="n/a"),"OK","MANUAL_OVERRIDE")))))</f>
        <v/>
      </c>
    </row>
    <row r="149">
      <c r="A149" t="inlineStr">
        <is>
          <t>Cybernet</t>
        </is>
      </c>
      <c r="B149" t="inlineStr">
        <is>
          <t>Yes</t>
        </is>
      </c>
      <c r="C149" t="inlineStr">
        <is>
          <t>Yes</t>
        </is>
      </c>
      <c r="D149">
        <f>IF($B149&lt;&gt;"Yes","",IF($C149="No","Yes",IF($C149="Yes","No","")))</f>
        <v/>
      </c>
      <c r="E149">
        <f>IF($A149="","",IF(OR(AND($V149&lt;&gt;"",LOWER(TRIM($V149))&lt;&gt;"n/a",LOWER(TRIM($V149))&lt;&gt;"na",SUMPRODUCT(--(UPPER(TRIM($V$2:$V$518))=UPPER(TRIM($V149))),--(TRIM($V$2:$V$518)&lt;&gt;""),--(LOWER(TRIM($V$2:$V$518))&lt;&gt;"n/a"),--(LOWER(TRIM($V$2:$V$518))&lt;&gt;"na"))&gt;1),AND($W149&lt;&gt;"",LOWER(TRIM($W149))&lt;&gt;"n/a",LOWER(TRIM($W149))&lt;&gt;"na",SUMPRODUCT(--(UPPER(TRIM($W$2:$W$518))=UPPER(TRIM($W149))),--(TRIM($W$2:$W$518)&lt;&gt;""),--(LOWER(TRIM($W$2:$W$518))&lt;&gt;"n/a"),--(LOWER(TRIM($W$2:$W$518))&lt;&gt;"na"))&gt;1),AND($X149&lt;&gt;"",LOWER(TRIM($X149))&lt;&gt;"n/a",LOWER(TRIM($X149))&lt;&gt;"na",SUMPRODUCT(--(UPPER(TRIM($X$2:$X$518))=UPPER(TRIM($X149))),--(TRIM($X$2:$X$518)&lt;&gt;""),--(LOWER(TRIM($X$2:$X$518))&lt;&gt;"n/a"),--(LOWER(TRIM($X$2:$X$518))&lt;&gt;"na"))&gt;1),AND($Y149&lt;&gt;"",LOWER(TRIM($Y149))&lt;&gt;"n/a",LOWER(TRIM($Y149))&lt;&gt;"na",SUMPRODUCT(--(UPPER(SUBSTITUTE(SUBSTITUTE(TRIM($Y$2:$Y$518),":",""),"-",""))=UPPER(SUBSTITUTE(SUBSTITUTE(TRIM($Y149),":",""),"-",""))),--(TRIM($Y$2:$Y$518)&lt;&gt;""),--(LOWER(TRIM($Y$2:$Y$518))&lt;&gt;"n/a"),--(LOWER(TRIM($Y$2:$Y$518))&lt;&gt;"na"))&gt;1),AND($AB149&lt;&gt;"",LOWER(TRIM($AB149))&lt;&gt;"n/a",LOWER(TRIM($AB149))&lt;&gt;"na",SUMPRODUCT(--(UPPER(TRIM($AB$2:$AB$518))=UPPER(TRIM($AB149))),--(TRIM($AB$2:$AB$518)&lt;&gt;""),--(LOWER(TRIM($AB$2:$AB$518))&lt;&gt;"n/a"),--(LOWER(TRIM($AB$2:$AB$518))&lt;&gt;"na"))&gt;1),AND($AH149&lt;&gt;"",LOWER(TRIM($AH149))&lt;&gt;"n/a",LOWER(TRIM($AH149))&lt;&gt;"na",SUMPRODUCT(--(UPPER(SUBSTITUTE(SUBSTITUTE(TRIM($AH$2:$AH$518),":",""),"-",""))=UPPER(SUBSTITUTE(SUBSTITUTE(TRIM($AH149),":",""),"-",""))),--(TRIM($AH$2:$AH$518)&lt;&gt;""),--(LOWER(TRIM($AH$2:$AH$518))&lt;&gt;"n/a"),--(LOWER(TRIM($AH$2:$AH$518))&lt;&gt;"na"))&gt;1),AND($AP149&lt;&gt;"",LOWER(TRIM($AP149))&lt;&gt;"n/a",LOWER(TRIM($AP149))&lt;&gt;"na",SUMPRODUCT(--(UPPER(TRIM($AP$2:$AP$518))=UPPER(TRIM($AP149))),--(TRIM($AP$2:$AP$518)&lt;&gt;""),--(LOWER(TRIM($AP$2:$AP$518))&lt;&gt;"n/a"),--(LOWER(TRIM($AP$2:$AP$518))&lt;&gt;"na"))&gt;1),AND($AQ149&lt;&gt;"",LOWER(TRIM($AQ149))&lt;&gt;"n/a",LOWER(TRIM($AQ149))&lt;&gt;"na",SUMPRODUCT(--(UPPER(TRIM($AQ$2:$AQ$518))=UPPER(TRIM($AQ149))),--(TRIM($AQ$2:$AQ$518)&lt;&gt;""),--(LOWER(TRIM($AQ$2:$AQ$518))&lt;&gt;"n/a"),--(LOWER(TRIM($AQ$2:$AQ$518))&lt;&gt;"na"))&gt;1)),"Yes","No"))</f>
        <v/>
      </c>
      <c r="F149">
        <f>IF(UPPER(TRIM($B149))&lt;&gt;"YES","", IF(OR(AND($V149&lt;&gt;"", LOWER(TRIM($V149))&lt;&gt;"n/a", LOWER(TRIM($V149))&lt;&gt;"na", SUMPRODUCT(--(UPPER(TRIM($V$2:$V$518))=UPPER(TRIM($V149))), --(UPPER(TRIM($B$2:$B$518))="YES"), --(UPPER(TRIM($G$2:$G$518)&amp;TRIM($I$2:$I$518)&amp;TRIM($J$2:$J$518))&lt;&gt;UPPER(TRIM($G149)&amp;TRIM($I149)&amp;TRIM($J149))))&gt;0), AND($W149&lt;&gt;"", LOWER(TRIM($W149))&lt;&gt;"n/a", LOWER(TRIM($W149))&lt;&gt;"na", SUMPRODUCT(--(UPPER(TRIM($W$2:$W$518))=UPPER(TRIM($W149))), --(UPPER(TRIM($B$2:$B$518))="YES"), --(UPPER(TRIM($G$2:$G$518)&amp;TRIM($I$2:$I$518)&amp;TRIM($J$2:$J$518))&lt;&gt;UPPER(TRIM($G149)&amp;TRIM($I149)&amp;TRIM($J149))))&gt;0), AND($X149&lt;&gt;"", LOWER(TRIM($X149))&lt;&gt;"n/a", LOWER(TRIM($X149))&lt;&gt;"na", SUMPRODUCT(--(UPPER(TRIM($X$2:$X$518))=UPPER(TRIM($X149))), --(UPPER(TRIM($B$2:$B$518))="YES"), --(UPPER(TRIM($G$2:$G$518)&amp;TRIM($I$2:$I$518)&amp;TRIM($J$2:$J$518))&lt;&gt;UPPER(TRIM($G149)&amp;TRIM($I149)&amp;TRIM($J149))))&gt;0), AND($Y149&lt;&gt;"", LOWER(TRIM($Y149))&lt;&gt;"n/a", LOWER(TRIM($Y149))&lt;&gt;"na", SUMPRODUCT(--(UPPER(SUBSTITUTE(SUBSTITUTE(TRIM($Y$2:$Y$518),":",""),"-",""))=UPPER(SUBSTITUTE(SUBSTITUTE(TRIM($Y149),":",""),"-",""))), --(UPPER(TRIM($B$2:$B$518))="YES"), --(UPPER(TRIM($G$2:$G$518)&amp;TRIM($I$2:$I$518)&amp;TRIM($J$2:$J$518))&lt;&gt;UPPER(TRIM($G149)&amp;TRIM($I149)&amp;TRIM($J149))))&gt;0), AND($AB149&lt;&gt;"", LOWER(TRIM($AB149))&lt;&gt;"n/a", LOWER(TRIM($AB149))&lt;&gt;"na", SUMPRODUCT(--(UPPER(TRIM($AB$2:$AB$518))=UPPER(TRIM($AB149))), --(UPPER(TRIM($B$2:$B$518))="YES"), --(UPPER(TRIM($G$2:$G$518)&amp;TRIM($I$2:$I$518)&amp;TRIM($J$2:$J$518))&lt;&gt;UPPER(TRIM($G149)&amp;TRIM($I149)&amp;TRIM($J149))))&gt;0), AND($AH149&lt;&gt;"", LOWER(TRIM($AH149))&lt;&gt;"n/a", LOWER(TRIM($AH149))&lt;&gt;"na", SUMPRODUCT(--(UPPER(SUBSTITUTE(SUBSTITUTE(TRIM($AH$2:$AH$518),":",""),"-",""))=UPPER(SUBSTITUTE(SUBSTITUTE(TRIM($AH149),":",""),"-",""))), --(UPPER(TRIM($B$2:$B$518))="YES"), --(UPPER(TRIM($G$2:$G$518)&amp;TRIM($I$2:$I$518)&amp;TRIM($J$2:$J$518))&lt;&gt;UPPER(TRIM($G149)&amp;TRIM($I149)&amp;TRIM($J149))))&gt;0), AND($AP149&lt;&gt;"", LOWER(TRIM($AP149))&lt;&gt;"n/a", LOWER(TRIM($AP149))&lt;&gt;"na", SUMPRODUCT(--(UPPER(TRIM($AP$2:$AP$518))=UPPER(TRIM($AP149))), --(UPPER(TRIM($B$2:$B$518))="YES"), --(UPPER(TRIM($G$2:$G$518)&amp;TRIM($I$2:$I$518)&amp;TRIM($J$2:$J$518))&lt;&gt;UPPER(TRIM($G149)&amp;TRIM($I149)&amp;TRIM($J149))))&gt;0), AND($AQ149&lt;&gt;"", LOWER(TRIM($AQ149))&lt;&gt;"n/a", LOWER(TRIM($AQ149))&lt;&gt;"na", SUMPRODUCT(--(UPPER(TRIM($AQ$2:$AQ$518))=UPPER(TRIM($AQ149))), --(UPPER(TRIM($B$2:$B$518))="YES"), --(UPPER(TRIM($G$2:$G$518)&amp;TRIM($I$2:$I$518)&amp;TRIM($J$2:$J$518))&lt;&gt;UPPER(TRIM($G149)&amp;TRIM($I149)&amp;TRIM($J149))))&gt;0)), "Yes", "No"))</f>
        <v/>
      </c>
      <c r="G149" t="inlineStr">
        <is>
          <t>LIJ - Annex</t>
        </is>
      </c>
      <c r="H149" t="inlineStr">
        <is>
          <t>LIJ - Annex</t>
        </is>
      </c>
      <c r="I149" t="inlineStr">
        <is>
          <t>ENDO Proc</t>
        </is>
      </c>
      <c r="J149" t="inlineStr">
        <is>
          <t>PR 1</t>
        </is>
      </c>
      <c r="K149" t="inlineStr">
        <is>
          <t>n/a</t>
        </is>
      </c>
      <c r="L149" s="18" t="n">
        <v>46081</v>
      </c>
      <c r="M149" t="inlineStr">
        <is>
          <t>OR iPro Cybernet Workstation</t>
        </is>
      </c>
      <c r="Q149" t="inlineStr">
        <is>
          <t>Inpatient</t>
        </is>
      </c>
      <c r="S149" t="inlineStr">
        <is>
          <t>Pass</t>
        </is>
      </c>
      <c r="T149" t="inlineStr">
        <is>
          <t>n/a</t>
        </is>
      </c>
      <c r="U149" t="inlineStr">
        <is>
          <t>1427182 LIJ Installation (Project Name) - Tim W. Seeberger, Akbar, Chris Perkins, Epic Team, Anesthesia Techs, and Admins</t>
        </is>
      </c>
      <c r="V149" t="inlineStr">
        <is>
          <t>WNH270OPR452</t>
        </is>
      </c>
      <c r="W149" t="inlineStr">
        <is>
          <t>MEDNG2425E-3100</t>
        </is>
      </c>
      <c r="X149" t="inlineStr">
        <is>
          <t>LIJ-MACH-KK</t>
        </is>
      </c>
      <c r="Y149" t="inlineStr">
        <is>
          <t>00187DE0AC66</t>
        </is>
      </c>
      <c r="Z149" t="inlineStr">
        <is>
          <t>n/a</t>
        </is>
      </c>
      <c r="AH149" t="inlineStr">
        <is>
          <t>00:0D:05:0A:B2:A1</t>
        </is>
      </c>
      <c r="AI149" t="inlineStr">
        <is>
          <t>Anesthesia Machine</t>
        </is>
      </c>
      <c r="AK149" t="n">
        <v>2</v>
      </c>
      <c r="AM149" t="inlineStr">
        <is>
          <t>Drager</t>
        </is>
      </c>
      <c r="AN149" t="inlineStr">
        <is>
          <t>Apollo</t>
        </is>
      </c>
      <c r="AP149" t="inlineStr">
        <is>
          <t>ASKF-0200</t>
        </is>
      </c>
      <c r="AQ149" t="inlineStr">
        <is>
          <t>ASKF-0200</t>
        </is>
      </c>
      <c r="AS149" t="inlineStr">
        <is>
          <t>B1-CFW</t>
        </is>
      </c>
      <c r="AX149" t="inlineStr">
        <is>
          <t>MX750 -  DE77672793</t>
        </is>
      </c>
      <c r="AY149" t="inlineStr">
        <is>
          <t>Anesthesia Machine</t>
        </is>
      </c>
      <c r="BR149" t="inlineStr">
        <is>
          <t>Yes</t>
        </is>
      </c>
      <c r="BS149" t="inlineStr">
        <is>
          <t>Yes</t>
        </is>
      </c>
      <c r="BT149" t="inlineStr">
        <is>
          <t>Yes</t>
        </is>
      </c>
      <c r="BU149" t="inlineStr">
        <is>
          <t>Yes</t>
        </is>
      </c>
      <c r="CA149" t="inlineStr">
        <is>
          <t>iPro
Epic Satellite
ALLSCRIPTS
EPIC BCA</t>
        </is>
      </c>
      <c r="CD149">
        <f>IF($Y149="","",IF((IF(AND($BR149&lt;&gt;"Yes",$BR149&lt;&gt;"N/A"),"Power Cable, ","")&amp;IF(AND($BS149&lt;&gt;"Yes",$BS149&lt;&gt;"N/A"),"Battery, ","")&amp;IF(AND($AD149&lt;&gt;"Yes",$AD149&lt;&gt;"N/A"),"Firmware Download, ","")&amp;IF(AND(OR($AD149="Yes",$AD149="N/A"),$AE149&lt;&gt;"Yes",$AE149&lt;&gt;"N/A"),"Firmware Install, ","")&amp;IF(AND($CB149&lt;&gt;"Yes",$CB149&lt;&gt;"N/A"),"Device ID, ","")&amp;IF(AND($CC149&lt;&gt;"Yes",$CC149&lt;&gt;"N/A"),"Epic Beans Relay, ",""))="","",LEFT(IF(AND($BR149&lt;&gt;"Yes",$BR149&lt;&gt;"N/A"),"Power Cable, ","")&amp;IF(AND($BS149&lt;&gt;"Yes",$BS149&lt;&gt;"N/A"),"Battery, ","")&amp;IF(AND($AD149&lt;&gt;"Yes",$AD149&lt;&gt;"N/A"),"Firmware Download, ","")&amp;IF(AND(OR($AD149="Yes",$AD149="N/A"),$AE149&lt;&gt;"Yes",$AE149&lt;&gt;"N/A"),"Firmware Install, ","")&amp;IF(AND($CB149&lt;&gt;"Yes",$CB149&lt;&gt;"N/A"),"Device ID, ","")&amp;IF(AND($CC149&lt;&gt;"Yes",$CC149&lt;&gt;"N/A"),"Epic Beans Relay, ",""),LEN(IF(AND($BR149&lt;&gt;"Yes",$BR149&lt;&gt;"N/A"),"Power Cable, ","")&amp;IF(AND($BS149&lt;&gt;"Yes",$BS149&lt;&gt;"N/A"),"Battery, ","")&amp;IF(AND($AD149&lt;&gt;"Yes",$AD149&lt;&gt;"N/A"),"Firmware Download, ","")&amp;IF(AND(OR($AD149="Yes",$AD149="N/A"),$AE149&lt;&gt;"Yes",$AE149&lt;&gt;"N/A"),"Firmware Install, ","")&amp;IF(AND($CB149&lt;&gt;"Yes",$CB149&lt;&gt;"N/A"),"Device ID, ","")&amp;IF(AND($CC149&lt;&gt;"Yes",$CC149&lt;&gt;"N/A"),"Epic Beans Relay, ",""))-2)))</f>
        <v/>
      </c>
      <c r="CE149">
        <f>IF($Y149="","",IF($CD149="","Yes","Blocked"))</f>
        <v/>
      </c>
      <c r="CF149" t="inlineStr">
        <is>
          <t>Yes</t>
        </is>
      </c>
      <c r="CG149" t="inlineStr">
        <is>
          <t>Yes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n">
        <v>19200</v>
      </c>
      <c r="CP149">
        <f>IF($CO149="","",IFERROR(VLOOKUP($CO149,'01_Warehouse_Ledger'!$A:$N,4,FALSE),""))</f>
        <v/>
      </c>
      <c r="CQ149">
        <f>IF($CO149="","",IFERROR(VLOOKUP($CO149,'01_Warehouse_Ledger'!$A:$N,5,FALSE),""))</f>
        <v/>
      </c>
      <c r="CR149">
        <f>IF($CO149="","",IFERROR(VLOOKUP($CO149,'01_Warehouse_Ledger'!$A:$N,13,FALSE),""))</f>
        <v/>
      </c>
      <c r="CW149">
        <f>IF($S149="","",IF(UPPER(TRIM($S149))&lt;&gt;"PASS","",IF(LEN(TRIM($BY149))&gt;0,"NOTES_PRESENT",IF(LEN(TRIM($T149))=0,"SET_NA",IF(OR(LOWER(TRIM($T149))="na",LOWER(TRIM($T149))="n/a"),"OK","MANUAL_OVERRIDE")))))</f>
        <v/>
      </c>
    </row>
    <row r="150">
      <c r="A150" t="inlineStr">
        <is>
          <t>Cybernet</t>
        </is>
      </c>
      <c r="B150" t="inlineStr">
        <is>
          <t>Yes</t>
        </is>
      </c>
      <c r="C150" t="inlineStr">
        <is>
          <t>Yes</t>
        </is>
      </c>
      <c r="D150">
        <f>IF($B150&lt;&gt;"Yes","",IF($C150="No","Yes",IF($C150="Yes","No","")))</f>
        <v/>
      </c>
      <c r="E150">
        <f>IF($A150="","",IF(OR(AND($V150&lt;&gt;"",LOWER(TRIM($V150))&lt;&gt;"n/a",LOWER(TRIM($V150))&lt;&gt;"na",SUMPRODUCT(--(UPPER(TRIM($V$2:$V$518))=UPPER(TRIM($V150))),--(TRIM($V$2:$V$518)&lt;&gt;""),--(LOWER(TRIM($V$2:$V$518))&lt;&gt;"n/a"),--(LOWER(TRIM($V$2:$V$518))&lt;&gt;"na"))&gt;1),AND($W150&lt;&gt;"",LOWER(TRIM($W150))&lt;&gt;"n/a",LOWER(TRIM($W150))&lt;&gt;"na",SUMPRODUCT(--(UPPER(TRIM($W$2:$W$518))=UPPER(TRIM($W150))),--(TRIM($W$2:$W$518)&lt;&gt;""),--(LOWER(TRIM($W$2:$W$518))&lt;&gt;"n/a"),--(LOWER(TRIM($W$2:$W$518))&lt;&gt;"na"))&gt;1),AND($X150&lt;&gt;"",LOWER(TRIM($X150))&lt;&gt;"n/a",LOWER(TRIM($X150))&lt;&gt;"na",SUMPRODUCT(--(UPPER(TRIM($X$2:$X$518))=UPPER(TRIM($X150))),--(TRIM($X$2:$X$518)&lt;&gt;""),--(LOWER(TRIM($X$2:$X$518))&lt;&gt;"n/a"),--(LOWER(TRIM($X$2:$X$518))&lt;&gt;"na"))&gt;1),AND($Y150&lt;&gt;"",LOWER(TRIM($Y150))&lt;&gt;"n/a",LOWER(TRIM($Y150))&lt;&gt;"na",SUMPRODUCT(--(UPPER(SUBSTITUTE(SUBSTITUTE(TRIM($Y$2:$Y$518),":",""),"-",""))=UPPER(SUBSTITUTE(SUBSTITUTE(TRIM($Y150),":",""),"-",""))),--(TRIM($Y$2:$Y$518)&lt;&gt;""),--(LOWER(TRIM($Y$2:$Y$518))&lt;&gt;"n/a"),--(LOWER(TRIM($Y$2:$Y$518))&lt;&gt;"na"))&gt;1),AND($AB150&lt;&gt;"",LOWER(TRIM($AB150))&lt;&gt;"n/a",LOWER(TRIM($AB150))&lt;&gt;"na",SUMPRODUCT(--(UPPER(TRIM($AB$2:$AB$518))=UPPER(TRIM($AB150))),--(TRIM($AB$2:$AB$518)&lt;&gt;""),--(LOWER(TRIM($AB$2:$AB$518))&lt;&gt;"n/a"),--(LOWER(TRIM($AB$2:$AB$518))&lt;&gt;"na"))&gt;1),AND($AH150&lt;&gt;"",LOWER(TRIM($AH150))&lt;&gt;"n/a",LOWER(TRIM($AH150))&lt;&gt;"na",SUMPRODUCT(--(UPPER(SUBSTITUTE(SUBSTITUTE(TRIM($AH$2:$AH$518),":",""),"-",""))=UPPER(SUBSTITUTE(SUBSTITUTE(TRIM($AH150),":",""),"-",""))),--(TRIM($AH$2:$AH$518)&lt;&gt;""),--(LOWER(TRIM($AH$2:$AH$518))&lt;&gt;"n/a"),--(LOWER(TRIM($AH$2:$AH$518))&lt;&gt;"na"))&gt;1),AND($AP150&lt;&gt;"",LOWER(TRIM($AP150))&lt;&gt;"n/a",LOWER(TRIM($AP150))&lt;&gt;"na",SUMPRODUCT(--(UPPER(TRIM($AP$2:$AP$518))=UPPER(TRIM($AP150))),--(TRIM($AP$2:$AP$518)&lt;&gt;""),--(LOWER(TRIM($AP$2:$AP$518))&lt;&gt;"n/a"),--(LOWER(TRIM($AP$2:$AP$518))&lt;&gt;"na"))&gt;1),AND($AQ150&lt;&gt;"",LOWER(TRIM($AQ150))&lt;&gt;"n/a",LOWER(TRIM($AQ150))&lt;&gt;"na",SUMPRODUCT(--(UPPER(TRIM($AQ$2:$AQ$518))=UPPER(TRIM($AQ150))),--(TRIM($AQ$2:$AQ$518)&lt;&gt;""),--(LOWER(TRIM($AQ$2:$AQ$518))&lt;&gt;"n/a"),--(LOWER(TRIM($AQ$2:$AQ$518))&lt;&gt;"na"))&gt;1)),"Yes","No"))</f>
        <v/>
      </c>
      <c r="F150">
        <f>IF(UPPER(TRIM($B150))&lt;&gt;"YES","", IF(OR(AND($V150&lt;&gt;"", LOWER(TRIM($V150))&lt;&gt;"n/a", LOWER(TRIM($V150))&lt;&gt;"na", SUMPRODUCT(--(UPPER(TRIM($V$2:$V$518))=UPPER(TRIM($V150))), --(UPPER(TRIM($B$2:$B$518))="YES"), --(UPPER(TRIM($G$2:$G$518)&amp;TRIM($I$2:$I$518)&amp;TRIM($J$2:$J$518))&lt;&gt;UPPER(TRIM($G150)&amp;TRIM($I150)&amp;TRIM($J150))))&gt;0), AND($W150&lt;&gt;"", LOWER(TRIM($W150))&lt;&gt;"n/a", LOWER(TRIM($W150))&lt;&gt;"na", SUMPRODUCT(--(UPPER(TRIM($W$2:$W$518))=UPPER(TRIM($W150))), --(UPPER(TRIM($B$2:$B$518))="YES"), --(UPPER(TRIM($G$2:$G$518)&amp;TRIM($I$2:$I$518)&amp;TRIM($J$2:$J$518))&lt;&gt;UPPER(TRIM($G150)&amp;TRIM($I150)&amp;TRIM($J150))))&gt;0), AND($X150&lt;&gt;"", LOWER(TRIM($X150))&lt;&gt;"n/a", LOWER(TRIM($X150))&lt;&gt;"na", SUMPRODUCT(--(UPPER(TRIM($X$2:$X$518))=UPPER(TRIM($X150))), --(UPPER(TRIM($B$2:$B$518))="YES"), --(UPPER(TRIM($G$2:$G$518)&amp;TRIM($I$2:$I$518)&amp;TRIM($J$2:$J$518))&lt;&gt;UPPER(TRIM($G150)&amp;TRIM($I150)&amp;TRIM($J150))))&gt;0), AND($Y150&lt;&gt;"", LOWER(TRIM($Y150))&lt;&gt;"n/a", LOWER(TRIM($Y150))&lt;&gt;"na", SUMPRODUCT(--(UPPER(SUBSTITUTE(SUBSTITUTE(TRIM($Y$2:$Y$518),":",""),"-",""))=UPPER(SUBSTITUTE(SUBSTITUTE(TRIM($Y150),":",""),"-",""))), --(UPPER(TRIM($B$2:$B$518))="YES"), --(UPPER(TRIM($G$2:$G$518)&amp;TRIM($I$2:$I$518)&amp;TRIM($J$2:$J$518))&lt;&gt;UPPER(TRIM($G150)&amp;TRIM($I150)&amp;TRIM($J150))))&gt;0), AND($AB150&lt;&gt;"", LOWER(TRIM($AB150))&lt;&gt;"n/a", LOWER(TRIM($AB150))&lt;&gt;"na", SUMPRODUCT(--(UPPER(TRIM($AB$2:$AB$518))=UPPER(TRIM($AB150))), --(UPPER(TRIM($B$2:$B$518))="YES"), --(UPPER(TRIM($G$2:$G$518)&amp;TRIM($I$2:$I$518)&amp;TRIM($J$2:$J$518))&lt;&gt;UPPER(TRIM($G150)&amp;TRIM($I150)&amp;TRIM($J150))))&gt;0), AND($AH150&lt;&gt;"", LOWER(TRIM($AH150))&lt;&gt;"n/a", LOWER(TRIM($AH150))&lt;&gt;"na", SUMPRODUCT(--(UPPER(SUBSTITUTE(SUBSTITUTE(TRIM($AH$2:$AH$518),":",""),"-",""))=UPPER(SUBSTITUTE(SUBSTITUTE(TRIM($AH150),":",""),"-",""))), --(UPPER(TRIM($B$2:$B$518))="YES"), --(UPPER(TRIM($G$2:$G$518)&amp;TRIM($I$2:$I$518)&amp;TRIM($J$2:$J$518))&lt;&gt;UPPER(TRIM($G150)&amp;TRIM($I150)&amp;TRIM($J150))))&gt;0), AND($AP150&lt;&gt;"", LOWER(TRIM($AP150))&lt;&gt;"n/a", LOWER(TRIM($AP150))&lt;&gt;"na", SUMPRODUCT(--(UPPER(TRIM($AP$2:$AP$518))=UPPER(TRIM($AP150))), --(UPPER(TRIM($B$2:$B$518))="YES"), --(UPPER(TRIM($G$2:$G$518)&amp;TRIM($I$2:$I$518)&amp;TRIM($J$2:$J$518))&lt;&gt;UPPER(TRIM($G150)&amp;TRIM($I150)&amp;TRIM($J150))))&gt;0), AND($AQ150&lt;&gt;"", LOWER(TRIM($AQ150))&lt;&gt;"n/a", LOWER(TRIM($AQ150))&lt;&gt;"na", SUMPRODUCT(--(UPPER(TRIM($AQ$2:$AQ$518))=UPPER(TRIM($AQ150))), --(UPPER(TRIM($B$2:$B$518))="YES"), --(UPPER(TRIM($G$2:$G$518)&amp;TRIM($I$2:$I$518)&amp;TRIM($J$2:$J$518))&lt;&gt;UPPER(TRIM($G150)&amp;TRIM($I150)&amp;TRIM($J150))))&gt;0)), "Yes", "No"))</f>
        <v/>
      </c>
      <c r="G150" t="inlineStr">
        <is>
          <t>LIJ Main / LIJ OR</t>
        </is>
      </c>
      <c r="H150" t="inlineStr">
        <is>
          <t>LIJ Main / LIJ OR</t>
        </is>
      </c>
      <c r="I150" t="inlineStr">
        <is>
          <t>CATH</t>
        </is>
      </c>
      <c r="J150" t="inlineStr">
        <is>
          <t>CAT Lab 1</t>
        </is>
      </c>
      <c r="K150" t="inlineStr">
        <is>
          <t>n/a</t>
        </is>
      </c>
      <c r="L150" s="18" t="n">
        <v>46081</v>
      </c>
      <c r="M150" t="inlineStr">
        <is>
          <t>OR iPro Cybernet Workstation</t>
        </is>
      </c>
      <c r="Q150" t="inlineStr">
        <is>
          <t>Inpatient</t>
        </is>
      </c>
      <c r="S150" t="inlineStr">
        <is>
          <t>Pass</t>
        </is>
      </c>
      <c r="T150" t="inlineStr">
        <is>
          <t>n/a</t>
        </is>
      </c>
      <c r="U150" t="inlineStr">
        <is>
          <t>1427182 LIJ Installation (Project Name) - Tim W. Seeberger, Akbar, Chris Perkins, Epic Team, Anesthesia Techs, and Admins</t>
        </is>
      </c>
      <c r="V150" t="inlineStr">
        <is>
          <t>WNH270OPR453</t>
        </is>
      </c>
      <c r="W150" t="inlineStr">
        <is>
          <t>MEDNG2425E-3136</t>
        </is>
      </c>
      <c r="X150" t="inlineStr">
        <is>
          <t>LIJ-MACH-Q</t>
        </is>
      </c>
      <c r="Y150" t="inlineStr">
        <is>
          <t>00187DE0ADFE</t>
        </is>
      </c>
      <c r="Z150" t="inlineStr">
        <is>
          <t>n/a</t>
        </is>
      </c>
      <c r="AH150" t="inlineStr">
        <is>
          <t>00:0D:05:0A:B3:BB</t>
        </is>
      </c>
      <c r="AI150" t="inlineStr">
        <is>
          <t>Anesthesia Machine</t>
        </is>
      </c>
      <c r="AK150" t="n">
        <v>2</v>
      </c>
      <c r="AM150" t="inlineStr">
        <is>
          <t>Drager</t>
        </is>
      </c>
      <c r="AN150" t="inlineStr">
        <is>
          <t>Apollo</t>
        </is>
      </c>
      <c r="AP150" t="inlineStr">
        <is>
          <t>ASFC-0112</t>
        </is>
      </c>
      <c r="AQ150" t="inlineStr">
        <is>
          <t>ASFC-0112</t>
        </is>
      </c>
      <c r="AS150" t="inlineStr">
        <is>
          <t>B1-CFW</t>
        </is>
      </c>
      <c r="AX150" t="inlineStr">
        <is>
          <t>MX750 -  DE77679421</t>
        </is>
      </c>
      <c r="AY150" t="inlineStr">
        <is>
          <t>Anesthesia Machine</t>
        </is>
      </c>
      <c r="BR150" t="inlineStr">
        <is>
          <t>Yes</t>
        </is>
      </c>
      <c r="BS150" t="inlineStr">
        <is>
          <t>Yes</t>
        </is>
      </c>
      <c r="BT150" t="inlineStr">
        <is>
          <t>Yes</t>
        </is>
      </c>
      <c r="BU150" t="inlineStr">
        <is>
          <t>Yes</t>
        </is>
      </c>
      <c r="CA150" t="inlineStr">
        <is>
          <t>iPro
Epic Satellite
ALLSCRIPTS
EPIC BCA</t>
        </is>
      </c>
      <c r="CD150">
        <f>IF($Y150="","",IF((IF(AND($BR150&lt;&gt;"Yes",$BR150&lt;&gt;"N/A"),"Power Cable, ","")&amp;IF(AND($BS150&lt;&gt;"Yes",$BS150&lt;&gt;"N/A"),"Battery, ","")&amp;IF(AND($AD150&lt;&gt;"Yes",$AD150&lt;&gt;"N/A"),"Firmware Download, ","")&amp;IF(AND(OR($AD150="Yes",$AD150="N/A"),$AE150&lt;&gt;"Yes",$AE150&lt;&gt;"N/A"),"Firmware Install, ","")&amp;IF(AND($CB150&lt;&gt;"Yes",$CB150&lt;&gt;"N/A"),"Device ID, ","")&amp;IF(AND($CC150&lt;&gt;"Yes",$CC150&lt;&gt;"N/A"),"Epic Beans Relay, ",""))="","",LEFT(IF(AND($BR150&lt;&gt;"Yes",$BR150&lt;&gt;"N/A"),"Power Cable, ","")&amp;IF(AND($BS150&lt;&gt;"Yes",$BS150&lt;&gt;"N/A"),"Battery, ","")&amp;IF(AND($AD150&lt;&gt;"Yes",$AD150&lt;&gt;"N/A"),"Firmware Download, ","")&amp;IF(AND(OR($AD150="Yes",$AD150="N/A"),$AE150&lt;&gt;"Yes",$AE150&lt;&gt;"N/A"),"Firmware Install, ","")&amp;IF(AND($CB150&lt;&gt;"Yes",$CB150&lt;&gt;"N/A"),"Device ID, ","")&amp;IF(AND($CC150&lt;&gt;"Yes",$CC150&lt;&gt;"N/A"),"Epic Beans Relay, ",""),LEN(IF(AND($BR150&lt;&gt;"Yes",$BR150&lt;&gt;"N/A"),"Power Cable, ","")&amp;IF(AND($BS150&lt;&gt;"Yes",$BS150&lt;&gt;"N/A"),"Battery, ","")&amp;IF(AND($AD150&lt;&gt;"Yes",$AD150&lt;&gt;"N/A"),"Firmware Download, ","")&amp;IF(AND(OR($AD150="Yes",$AD150="N/A"),$AE150&lt;&gt;"Yes",$AE150&lt;&gt;"N/A"),"Firmware Install, ","")&amp;IF(AND($CB150&lt;&gt;"Yes",$CB150&lt;&gt;"N/A"),"Device ID, ","")&amp;IF(AND($CC150&lt;&gt;"Yes",$CC150&lt;&gt;"N/A"),"Epic Beans Relay, ",""))-2)))</f>
        <v/>
      </c>
      <c r="CE150">
        <f>IF($Y150="","",IF($CD150="","Yes","Blocked"))</f>
        <v/>
      </c>
      <c r="CF150" t="inlineStr">
        <is>
          <t>Yes</t>
        </is>
      </c>
      <c r="CG150" t="inlineStr">
        <is>
          <t>Yes</t>
        </is>
      </c>
      <c r="CH150" t="inlineStr">
        <is>
          <t>Yes</t>
        </is>
      </c>
      <c r="CI150" t="inlineStr">
        <is>
          <t>Yes</t>
        </is>
      </c>
      <c r="CJ150" t="inlineStr">
        <is>
          <t>Yes</t>
        </is>
      </c>
      <c r="CK150" t="n">
        <v>19200</v>
      </c>
      <c r="CP150">
        <f>IF($CO150="","",IFERROR(VLOOKUP($CO150,'01_Warehouse_Ledger'!$A:$N,4,FALSE),""))</f>
        <v/>
      </c>
      <c r="CQ150">
        <f>IF($CO150="","",IFERROR(VLOOKUP($CO150,'01_Warehouse_Ledger'!$A:$N,5,FALSE),""))</f>
        <v/>
      </c>
      <c r="CR150">
        <f>IF($CO150="","",IFERROR(VLOOKUP($CO150,'01_Warehouse_Ledger'!$A:$N,13,FALSE),""))</f>
        <v/>
      </c>
      <c r="CW150">
        <f>IF($S150="","",IF(UPPER(TRIM($S150))&lt;&gt;"PASS","",IF(LEN(TRIM($BY150))&gt;0,"NOTES_PRESENT",IF(LEN(TRIM($T150))=0,"SET_NA",IF(OR(LOWER(TRIM($T150))="na",LOWER(TRIM($T150))="n/a"),"OK","MANUAL_OVERRIDE")))))</f>
        <v/>
      </c>
    </row>
    <row r="151">
      <c r="A151" t="inlineStr">
        <is>
          <t>Cybernet</t>
        </is>
      </c>
      <c r="B151" t="inlineStr">
        <is>
          <t>Yes</t>
        </is>
      </c>
      <c r="C151" t="inlineStr">
        <is>
          <t>Yes</t>
        </is>
      </c>
      <c r="D151">
        <f>IF($B151&lt;&gt;"Yes","",IF($C151="No","Yes",IF($C151="Yes","No","")))</f>
        <v/>
      </c>
      <c r="E151">
        <f>IF($A151="","",IF(OR(AND($V151&lt;&gt;"",LOWER(TRIM($V151))&lt;&gt;"n/a",LOWER(TRIM($V151))&lt;&gt;"na",SUMPRODUCT(--(UPPER(TRIM($V$2:$V$518))=UPPER(TRIM($V151))),--(TRIM($V$2:$V$518)&lt;&gt;""),--(LOWER(TRIM($V$2:$V$518))&lt;&gt;"n/a"),--(LOWER(TRIM($V$2:$V$518))&lt;&gt;"na"))&gt;1),AND($W151&lt;&gt;"",LOWER(TRIM($W151))&lt;&gt;"n/a",LOWER(TRIM($W151))&lt;&gt;"na",SUMPRODUCT(--(UPPER(TRIM($W$2:$W$518))=UPPER(TRIM($W151))),--(TRIM($W$2:$W$518)&lt;&gt;""),--(LOWER(TRIM($W$2:$W$518))&lt;&gt;"n/a"),--(LOWER(TRIM($W$2:$W$518))&lt;&gt;"na"))&gt;1),AND($X151&lt;&gt;"",LOWER(TRIM($X151))&lt;&gt;"n/a",LOWER(TRIM($X151))&lt;&gt;"na",SUMPRODUCT(--(UPPER(TRIM($X$2:$X$518))=UPPER(TRIM($X151))),--(TRIM($X$2:$X$518)&lt;&gt;""),--(LOWER(TRIM($X$2:$X$518))&lt;&gt;"n/a"),--(LOWER(TRIM($X$2:$X$518))&lt;&gt;"na"))&gt;1),AND($Y151&lt;&gt;"",LOWER(TRIM($Y151))&lt;&gt;"n/a",LOWER(TRIM($Y151))&lt;&gt;"na",SUMPRODUCT(--(UPPER(SUBSTITUTE(SUBSTITUTE(TRIM($Y$2:$Y$518),":",""),"-",""))=UPPER(SUBSTITUTE(SUBSTITUTE(TRIM($Y151),":",""),"-",""))),--(TRIM($Y$2:$Y$518)&lt;&gt;""),--(LOWER(TRIM($Y$2:$Y$518))&lt;&gt;"n/a"),--(LOWER(TRIM($Y$2:$Y$518))&lt;&gt;"na"))&gt;1),AND($AB151&lt;&gt;"",LOWER(TRIM($AB151))&lt;&gt;"n/a",LOWER(TRIM($AB151))&lt;&gt;"na",SUMPRODUCT(--(UPPER(TRIM($AB$2:$AB$518))=UPPER(TRIM($AB151))),--(TRIM($AB$2:$AB$518)&lt;&gt;""),--(LOWER(TRIM($AB$2:$AB$518))&lt;&gt;"n/a"),--(LOWER(TRIM($AB$2:$AB$518))&lt;&gt;"na"))&gt;1),AND($AH151&lt;&gt;"",LOWER(TRIM($AH151))&lt;&gt;"n/a",LOWER(TRIM($AH151))&lt;&gt;"na",SUMPRODUCT(--(UPPER(SUBSTITUTE(SUBSTITUTE(TRIM($AH$2:$AH$518),":",""),"-",""))=UPPER(SUBSTITUTE(SUBSTITUTE(TRIM($AH151),":",""),"-",""))),--(TRIM($AH$2:$AH$518)&lt;&gt;""),--(LOWER(TRIM($AH$2:$AH$518))&lt;&gt;"n/a"),--(LOWER(TRIM($AH$2:$AH$518))&lt;&gt;"na"))&gt;1),AND($AP151&lt;&gt;"",LOWER(TRIM($AP151))&lt;&gt;"n/a",LOWER(TRIM($AP151))&lt;&gt;"na",SUMPRODUCT(--(UPPER(TRIM($AP$2:$AP$518))=UPPER(TRIM($AP151))),--(TRIM($AP$2:$AP$518)&lt;&gt;""),--(LOWER(TRIM($AP$2:$AP$518))&lt;&gt;"n/a"),--(LOWER(TRIM($AP$2:$AP$518))&lt;&gt;"na"))&gt;1),AND($AQ151&lt;&gt;"",LOWER(TRIM($AQ151))&lt;&gt;"n/a",LOWER(TRIM($AQ151))&lt;&gt;"na",SUMPRODUCT(--(UPPER(TRIM($AQ$2:$AQ$518))=UPPER(TRIM($AQ151))),--(TRIM($AQ$2:$AQ$518)&lt;&gt;""),--(LOWER(TRIM($AQ$2:$AQ$518))&lt;&gt;"n/a"),--(LOWER(TRIM($AQ$2:$AQ$518))&lt;&gt;"na"))&gt;1)),"Yes","No"))</f>
        <v/>
      </c>
      <c r="F151">
        <f>IF(UPPER(TRIM($B151))&lt;&gt;"YES","", IF(OR(AND($V151&lt;&gt;"", LOWER(TRIM($V151))&lt;&gt;"n/a", LOWER(TRIM($V151))&lt;&gt;"na", SUMPRODUCT(--(UPPER(TRIM($V$2:$V$518))=UPPER(TRIM($V151))), --(UPPER(TRIM($B$2:$B$518))="YES"), --(UPPER(TRIM($G$2:$G$518)&amp;TRIM($I$2:$I$518)&amp;TRIM($J$2:$J$518))&lt;&gt;UPPER(TRIM($G151)&amp;TRIM($I151)&amp;TRIM($J151))))&gt;0), AND($W151&lt;&gt;"", LOWER(TRIM($W151))&lt;&gt;"n/a", LOWER(TRIM($W151))&lt;&gt;"na", SUMPRODUCT(--(UPPER(TRIM($W$2:$W$518))=UPPER(TRIM($W151))), --(UPPER(TRIM($B$2:$B$518))="YES"), --(UPPER(TRIM($G$2:$G$518)&amp;TRIM($I$2:$I$518)&amp;TRIM($J$2:$J$518))&lt;&gt;UPPER(TRIM($G151)&amp;TRIM($I151)&amp;TRIM($J151))))&gt;0), AND($X151&lt;&gt;"", LOWER(TRIM($X151))&lt;&gt;"n/a", LOWER(TRIM($X151))&lt;&gt;"na", SUMPRODUCT(--(UPPER(TRIM($X$2:$X$518))=UPPER(TRIM($X151))), --(UPPER(TRIM($B$2:$B$518))="YES"), --(UPPER(TRIM($G$2:$G$518)&amp;TRIM($I$2:$I$518)&amp;TRIM($J$2:$J$518))&lt;&gt;UPPER(TRIM($G151)&amp;TRIM($I151)&amp;TRIM($J151))))&gt;0), AND($Y151&lt;&gt;"", LOWER(TRIM($Y151))&lt;&gt;"n/a", LOWER(TRIM($Y151))&lt;&gt;"na", SUMPRODUCT(--(UPPER(SUBSTITUTE(SUBSTITUTE(TRIM($Y$2:$Y$518),":",""),"-",""))=UPPER(SUBSTITUTE(SUBSTITUTE(TRIM($Y151),":",""),"-",""))), --(UPPER(TRIM($B$2:$B$518))="YES"), --(UPPER(TRIM($G$2:$G$518)&amp;TRIM($I$2:$I$518)&amp;TRIM($J$2:$J$518))&lt;&gt;UPPER(TRIM($G151)&amp;TRIM($I151)&amp;TRIM($J151))))&gt;0), AND($AB151&lt;&gt;"", LOWER(TRIM($AB151))&lt;&gt;"n/a", LOWER(TRIM($AB151))&lt;&gt;"na", SUMPRODUCT(--(UPPER(TRIM($AB$2:$AB$518))=UPPER(TRIM($AB151))), --(UPPER(TRIM($B$2:$B$518))="YES"), --(UPPER(TRIM($G$2:$G$518)&amp;TRIM($I$2:$I$518)&amp;TRIM($J$2:$J$518))&lt;&gt;UPPER(TRIM($G151)&amp;TRIM($I151)&amp;TRIM($J151))))&gt;0), AND($AH151&lt;&gt;"", LOWER(TRIM($AH151))&lt;&gt;"n/a", LOWER(TRIM($AH151))&lt;&gt;"na", SUMPRODUCT(--(UPPER(SUBSTITUTE(SUBSTITUTE(TRIM($AH$2:$AH$518),":",""),"-",""))=UPPER(SUBSTITUTE(SUBSTITUTE(TRIM($AH151),":",""),"-",""))), --(UPPER(TRIM($B$2:$B$518))="YES"), --(UPPER(TRIM($G$2:$G$518)&amp;TRIM($I$2:$I$518)&amp;TRIM($J$2:$J$518))&lt;&gt;UPPER(TRIM($G151)&amp;TRIM($I151)&amp;TRIM($J151))))&gt;0), AND($AP151&lt;&gt;"", LOWER(TRIM($AP151))&lt;&gt;"n/a", LOWER(TRIM($AP151))&lt;&gt;"na", SUMPRODUCT(--(UPPER(TRIM($AP$2:$AP$518))=UPPER(TRIM($AP151))), --(UPPER(TRIM($B$2:$B$518))="YES"), --(UPPER(TRIM($G$2:$G$518)&amp;TRIM($I$2:$I$518)&amp;TRIM($J$2:$J$518))&lt;&gt;UPPER(TRIM($G151)&amp;TRIM($I151)&amp;TRIM($J151))))&gt;0), AND($AQ151&lt;&gt;"", LOWER(TRIM($AQ151))&lt;&gt;"n/a", LOWER(TRIM($AQ151))&lt;&gt;"na", SUMPRODUCT(--(UPPER(TRIM($AQ$2:$AQ$518))=UPPER(TRIM($AQ151))), --(UPPER(TRIM($B$2:$B$518))="YES"), --(UPPER(TRIM($G$2:$G$518)&amp;TRIM($I$2:$I$518)&amp;TRIM($J$2:$J$518))&lt;&gt;UPPER(TRIM($G151)&amp;TRIM($I151)&amp;TRIM($J151))))&gt;0)), "Yes", "No"))</f>
        <v/>
      </c>
      <c r="G151" t="inlineStr">
        <is>
          <t>LIJ - Annex</t>
        </is>
      </c>
      <c r="H151" t="inlineStr">
        <is>
          <t>LIJ - Annex</t>
        </is>
      </c>
      <c r="I151" t="inlineStr">
        <is>
          <t>LDR ORs</t>
        </is>
      </c>
      <c r="J151" t="inlineStr">
        <is>
          <t>OB OR 2</t>
        </is>
      </c>
      <c r="K151" t="inlineStr">
        <is>
          <t>n/a</t>
        </is>
      </c>
      <c r="L151" s="18" t="n">
        <v>46081</v>
      </c>
      <c r="M151" t="inlineStr">
        <is>
          <t>OR iPro Cybernet Workstation</t>
        </is>
      </c>
      <c r="Q151" t="inlineStr">
        <is>
          <t>Inpatient</t>
        </is>
      </c>
      <c r="S151" t="inlineStr">
        <is>
          <t>Pass</t>
        </is>
      </c>
      <c r="T151" t="inlineStr">
        <is>
          <t>n/a</t>
        </is>
      </c>
      <c r="U151" t="inlineStr">
        <is>
          <t>1427182 LIJ Installation (Project Name) - Tim W. Seeberger, Akbar, Chris Perkins, Epic Team, Anesthesia Techs, and Admins</t>
        </is>
      </c>
      <c r="V151" t="inlineStr">
        <is>
          <t>WNH270OPR454</t>
        </is>
      </c>
      <c r="W151" t="inlineStr">
        <is>
          <t>MEDNG2425E-3101</t>
        </is>
      </c>
      <c r="X151" t="inlineStr">
        <is>
          <t>LIJ-MACH-P</t>
        </is>
      </c>
      <c r="Y151" t="inlineStr">
        <is>
          <t>00187DE0E3F8</t>
        </is>
      </c>
      <c r="Z151" t="inlineStr">
        <is>
          <t>n/a</t>
        </is>
      </c>
      <c r="AH151" t="inlineStr">
        <is>
          <t>00:0D:05:0A:B2:61</t>
        </is>
      </c>
      <c r="AI151" t="inlineStr">
        <is>
          <t>Anesthesia Machine</t>
        </is>
      </c>
      <c r="AK151" t="n">
        <v>2</v>
      </c>
      <c r="AM151" t="inlineStr">
        <is>
          <t>Drager</t>
        </is>
      </c>
      <c r="AN151" t="inlineStr">
        <is>
          <t>Apollo</t>
        </is>
      </c>
      <c r="AP151" t="inlineStr">
        <is>
          <t>ARZJ-0067</t>
        </is>
      </c>
      <c r="AQ151" t="inlineStr">
        <is>
          <t>ARZJ-0067</t>
        </is>
      </c>
      <c r="AS151" t="inlineStr">
        <is>
          <t>B1-CFW</t>
        </is>
      </c>
      <c r="AY151" t="inlineStr">
        <is>
          <t>Anesthesia Machine</t>
        </is>
      </c>
      <c r="CA151" t="inlineStr">
        <is>
          <t>iPro
Epic Satellite
ALLSCRIPTS
EPIC BCA</t>
        </is>
      </c>
      <c r="CD151">
        <f>IF($Y151="","",IF((IF(AND($BR151&lt;&gt;"Yes",$BR151&lt;&gt;"N/A"),"Power Cable, ","")&amp;IF(AND($BS151&lt;&gt;"Yes",$BS151&lt;&gt;"N/A"),"Battery, ","")&amp;IF(AND($AD151&lt;&gt;"Yes",$AD151&lt;&gt;"N/A"),"Firmware Download, ","")&amp;IF(AND(OR($AD151="Yes",$AD151="N/A"),$AE151&lt;&gt;"Yes",$AE151&lt;&gt;"N/A"),"Firmware Install, ","")&amp;IF(AND($CB151&lt;&gt;"Yes",$CB151&lt;&gt;"N/A"),"Device ID, ","")&amp;IF(AND($CC151&lt;&gt;"Yes",$CC151&lt;&gt;"N/A"),"Epic Beans Relay, ",""))="","",LEFT(IF(AND($BR151&lt;&gt;"Yes",$BR151&lt;&gt;"N/A"),"Power Cable, ","")&amp;IF(AND($BS151&lt;&gt;"Yes",$BS151&lt;&gt;"N/A"),"Battery, ","")&amp;IF(AND($AD151&lt;&gt;"Yes",$AD151&lt;&gt;"N/A"),"Firmware Download, ","")&amp;IF(AND(OR($AD151="Yes",$AD151="N/A"),$AE151&lt;&gt;"Yes",$AE151&lt;&gt;"N/A"),"Firmware Install, ","")&amp;IF(AND($CB151&lt;&gt;"Yes",$CB151&lt;&gt;"N/A"),"Device ID, ","")&amp;IF(AND($CC151&lt;&gt;"Yes",$CC151&lt;&gt;"N/A"),"Epic Beans Relay, ",""),LEN(IF(AND($BR151&lt;&gt;"Yes",$BR151&lt;&gt;"N/A"),"Power Cable, ","")&amp;IF(AND($BS151&lt;&gt;"Yes",$BS151&lt;&gt;"N/A"),"Battery, ","")&amp;IF(AND($AD151&lt;&gt;"Yes",$AD151&lt;&gt;"N/A"),"Firmware Download, ","")&amp;IF(AND(OR($AD151="Yes",$AD151="N/A"),$AE151&lt;&gt;"Yes",$AE151&lt;&gt;"N/A"),"Firmware Install, ","")&amp;IF(AND($CB151&lt;&gt;"Yes",$CB151&lt;&gt;"N/A"),"Device ID, ","")&amp;IF(AND($CC151&lt;&gt;"Yes",$CC151&lt;&gt;"N/A"),"Epic Beans Relay, ",""))-2)))</f>
        <v/>
      </c>
      <c r="CE151">
        <f>IF($Y151="","",IF($CD151="","Yes","Blocked"))</f>
        <v/>
      </c>
      <c r="CF151" t="inlineStr">
        <is>
          <t>Yes</t>
        </is>
      </c>
      <c r="CG151" t="inlineStr">
        <is>
          <t>Yes</t>
        </is>
      </c>
      <c r="CH151" t="inlineStr">
        <is>
          <t>Yes</t>
        </is>
      </c>
      <c r="CI151" t="inlineStr">
        <is>
          <t>Yes</t>
        </is>
      </c>
      <c r="CJ151" t="inlineStr">
        <is>
          <t>Yes</t>
        </is>
      </c>
      <c r="CK151" t="n">
        <v>19200</v>
      </c>
      <c r="CP151">
        <f>IF($CO151="","",IFERROR(VLOOKUP($CO151,'01_Warehouse_Ledger'!$A:$N,4,FALSE),""))</f>
        <v/>
      </c>
      <c r="CQ151">
        <f>IF($CO151="","",IFERROR(VLOOKUP($CO151,'01_Warehouse_Ledger'!$A:$N,5,FALSE),""))</f>
        <v/>
      </c>
      <c r="CR151">
        <f>IF($CO151="","",IFERROR(VLOOKUP($CO151,'01_Warehouse_Ledger'!$A:$N,13,FALSE),""))</f>
        <v/>
      </c>
      <c r="CW151">
        <f>IF($S151="","",IF(UPPER(TRIM($S151))&lt;&gt;"PASS","",IF(LEN(TRIM($BY151))&gt;0,"NOTES_PRESENT",IF(LEN(TRIM($T151))=0,"SET_NA",IF(OR(LOWER(TRIM($T151))="na",LOWER(TRIM($T151))="n/a"),"OK","MANUAL_OVERRIDE")))))</f>
        <v/>
      </c>
    </row>
    <row r="152">
      <c r="A152" t="inlineStr">
        <is>
          <t>Cybernet</t>
        </is>
      </c>
      <c r="B152" t="inlineStr">
        <is>
          <t>Yes</t>
        </is>
      </c>
      <c r="C152" t="inlineStr">
        <is>
          <t>Yes</t>
        </is>
      </c>
      <c r="D152">
        <f>IF($B152&lt;&gt;"Yes","",IF($C152="No","Yes",IF($C152="Yes","No","")))</f>
        <v/>
      </c>
      <c r="E152">
        <f>IF($A152="","",IF(OR(AND($V152&lt;&gt;"",LOWER(TRIM($V152))&lt;&gt;"n/a",LOWER(TRIM($V152))&lt;&gt;"na",SUMPRODUCT(--(UPPER(TRIM($V$2:$V$518))=UPPER(TRIM($V152))),--(TRIM($V$2:$V$518)&lt;&gt;""),--(LOWER(TRIM($V$2:$V$518))&lt;&gt;"n/a"),--(LOWER(TRIM($V$2:$V$518))&lt;&gt;"na"))&gt;1),AND($W152&lt;&gt;"",LOWER(TRIM($W152))&lt;&gt;"n/a",LOWER(TRIM($W152))&lt;&gt;"na",SUMPRODUCT(--(UPPER(TRIM($W$2:$W$518))=UPPER(TRIM($W152))),--(TRIM($W$2:$W$518)&lt;&gt;""),--(LOWER(TRIM($W$2:$W$518))&lt;&gt;"n/a"),--(LOWER(TRIM($W$2:$W$518))&lt;&gt;"na"))&gt;1),AND($X152&lt;&gt;"",LOWER(TRIM($X152))&lt;&gt;"n/a",LOWER(TRIM($X152))&lt;&gt;"na",SUMPRODUCT(--(UPPER(TRIM($X$2:$X$518))=UPPER(TRIM($X152))),--(TRIM($X$2:$X$518)&lt;&gt;""),--(LOWER(TRIM($X$2:$X$518))&lt;&gt;"n/a"),--(LOWER(TRIM($X$2:$X$518))&lt;&gt;"na"))&gt;1),AND($Y152&lt;&gt;"",LOWER(TRIM($Y152))&lt;&gt;"n/a",LOWER(TRIM($Y152))&lt;&gt;"na",SUMPRODUCT(--(UPPER(SUBSTITUTE(SUBSTITUTE(TRIM($Y$2:$Y$518),":",""),"-",""))=UPPER(SUBSTITUTE(SUBSTITUTE(TRIM($Y152),":",""),"-",""))),--(TRIM($Y$2:$Y$518)&lt;&gt;""),--(LOWER(TRIM($Y$2:$Y$518))&lt;&gt;"n/a"),--(LOWER(TRIM($Y$2:$Y$518))&lt;&gt;"na"))&gt;1),AND($AB152&lt;&gt;"",LOWER(TRIM($AB152))&lt;&gt;"n/a",LOWER(TRIM($AB152))&lt;&gt;"na",SUMPRODUCT(--(UPPER(TRIM($AB$2:$AB$518))=UPPER(TRIM($AB152))),--(TRIM($AB$2:$AB$518)&lt;&gt;""),--(LOWER(TRIM($AB$2:$AB$518))&lt;&gt;"n/a"),--(LOWER(TRIM($AB$2:$AB$518))&lt;&gt;"na"))&gt;1),AND($AH152&lt;&gt;"",LOWER(TRIM($AH152))&lt;&gt;"n/a",LOWER(TRIM($AH152))&lt;&gt;"na",SUMPRODUCT(--(UPPER(SUBSTITUTE(SUBSTITUTE(TRIM($AH$2:$AH$518),":",""),"-",""))=UPPER(SUBSTITUTE(SUBSTITUTE(TRIM($AH152),":",""),"-",""))),--(TRIM($AH$2:$AH$518)&lt;&gt;""),--(LOWER(TRIM($AH$2:$AH$518))&lt;&gt;"n/a"),--(LOWER(TRIM($AH$2:$AH$518))&lt;&gt;"na"))&gt;1),AND($AP152&lt;&gt;"",LOWER(TRIM($AP152))&lt;&gt;"n/a",LOWER(TRIM($AP152))&lt;&gt;"na",SUMPRODUCT(--(UPPER(TRIM($AP$2:$AP$518))=UPPER(TRIM($AP152))),--(TRIM($AP$2:$AP$518)&lt;&gt;""),--(LOWER(TRIM($AP$2:$AP$518))&lt;&gt;"n/a"),--(LOWER(TRIM($AP$2:$AP$518))&lt;&gt;"na"))&gt;1),AND($AQ152&lt;&gt;"",LOWER(TRIM($AQ152))&lt;&gt;"n/a",LOWER(TRIM($AQ152))&lt;&gt;"na",SUMPRODUCT(--(UPPER(TRIM($AQ$2:$AQ$518))=UPPER(TRIM($AQ152))),--(TRIM($AQ$2:$AQ$518)&lt;&gt;""),--(LOWER(TRIM($AQ$2:$AQ$518))&lt;&gt;"n/a"),--(LOWER(TRIM($AQ$2:$AQ$518))&lt;&gt;"na"))&gt;1)),"Yes","No"))</f>
        <v/>
      </c>
      <c r="F152">
        <f>IF(UPPER(TRIM($B152))&lt;&gt;"YES","", IF(OR(AND($V152&lt;&gt;"", LOWER(TRIM($V152))&lt;&gt;"n/a", LOWER(TRIM($V152))&lt;&gt;"na", SUMPRODUCT(--(UPPER(TRIM($V$2:$V$518))=UPPER(TRIM($V152))), --(UPPER(TRIM($B$2:$B$518))="YES"), --(UPPER(TRIM($G$2:$G$518)&amp;TRIM($I$2:$I$518)&amp;TRIM($J$2:$J$518))&lt;&gt;UPPER(TRIM($G152)&amp;TRIM($I152)&amp;TRIM($J152))))&gt;0), AND($W152&lt;&gt;"", LOWER(TRIM($W152))&lt;&gt;"n/a", LOWER(TRIM($W152))&lt;&gt;"na", SUMPRODUCT(--(UPPER(TRIM($W$2:$W$518))=UPPER(TRIM($W152))), --(UPPER(TRIM($B$2:$B$518))="YES"), --(UPPER(TRIM($G$2:$G$518)&amp;TRIM($I$2:$I$518)&amp;TRIM($J$2:$J$518))&lt;&gt;UPPER(TRIM($G152)&amp;TRIM($I152)&amp;TRIM($J152))))&gt;0), AND($X152&lt;&gt;"", LOWER(TRIM($X152))&lt;&gt;"n/a", LOWER(TRIM($X152))&lt;&gt;"na", SUMPRODUCT(--(UPPER(TRIM($X$2:$X$518))=UPPER(TRIM($X152))), --(UPPER(TRIM($B$2:$B$518))="YES"), --(UPPER(TRIM($G$2:$G$518)&amp;TRIM($I$2:$I$518)&amp;TRIM($J$2:$J$518))&lt;&gt;UPPER(TRIM($G152)&amp;TRIM($I152)&amp;TRIM($J152))))&gt;0), AND($Y152&lt;&gt;"", LOWER(TRIM($Y152))&lt;&gt;"n/a", LOWER(TRIM($Y152))&lt;&gt;"na", SUMPRODUCT(--(UPPER(SUBSTITUTE(SUBSTITUTE(TRIM($Y$2:$Y$518),":",""),"-",""))=UPPER(SUBSTITUTE(SUBSTITUTE(TRIM($Y152),":",""),"-",""))), --(UPPER(TRIM($B$2:$B$518))="YES"), --(UPPER(TRIM($G$2:$G$518)&amp;TRIM($I$2:$I$518)&amp;TRIM($J$2:$J$518))&lt;&gt;UPPER(TRIM($G152)&amp;TRIM($I152)&amp;TRIM($J152))))&gt;0), AND($AB152&lt;&gt;"", LOWER(TRIM($AB152))&lt;&gt;"n/a", LOWER(TRIM($AB152))&lt;&gt;"na", SUMPRODUCT(--(UPPER(TRIM($AB$2:$AB$518))=UPPER(TRIM($AB152))), --(UPPER(TRIM($B$2:$B$518))="YES"), --(UPPER(TRIM($G$2:$G$518)&amp;TRIM($I$2:$I$518)&amp;TRIM($J$2:$J$518))&lt;&gt;UPPER(TRIM($G152)&amp;TRIM($I152)&amp;TRIM($J152))))&gt;0), AND($AH152&lt;&gt;"", LOWER(TRIM($AH152))&lt;&gt;"n/a", LOWER(TRIM($AH152))&lt;&gt;"na", SUMPRODUCT(--(UPPER(SUBSTITUTE(SUBSTITUTE(TRIM($AH$2:$AH$518),":",""),"-",""))=UPPER(SUBSTITUTE(SUBSTITUTE(TRIM($AH152),":",""),"-",""))), --(UPPER(TRIM($B$2:$B$518))="YES"), --(UPPER(TRIM($G$2:$G$518)&amp;TRIM($I$2:$I$518)&amp;TRIM($J$2:$J$518))&lt;&gt;UPPER(TRIM($G152)&amp;TRIM($I152)&amp;TRIM($J152))))&gt;0), AND($AP152&lt;&gt;"", LOWER(TRIM($AP152))&lt;&gt;"n/a", LOWER(TRIM($AP152))&lt;&gt;"na", SUMPRODUCT(--(UPPER(TRIM($AP$2:$AP$518))=UPPER(TRIM($AP152))), --(UPPER(TRIM($B$2:$B$518))="YES"), --(UPPER(TRIM($G$2:$G$518)&amp;TRIM($I$2:$I$518)&amp;TRIM($J$2:$J$518))&lt;&gt;UPPER(TRIM($G152)&amp;TRIM($I152)&amp;TRIM($J152))))&gt;0), AND($AQ152&lt;&gt;"", LOWER(TRIM($AQ152))&lt;&gt;"n/a", LOWER(TRIM($AQ152))&lt;&gt;"na", SUMPRODUCT(--(UPPER(TRIM($AQ$2:$AQ$518))=UPPER(TRIM($AQ152))), --(UPPER(TRIM($B$2:$B$518))="YES"), --(UPPER(TRIM($G$2:$G$518)&amp;TRIM($I$2:$I$518)&amp;TRIM($J$2:$J$518))&lt;&gt;UPPER(TRIM($G152)&amp;TRIM($I152)&amp;TRIM($J152))))&gt;0)), "Yes", "No"))</f>
        <v/>
      </c>
      <c r="G152" t="inlineStr">
        <is>
          <t>LIJ Main / LIJ OR</t>
        </is>
      </c>
      <c r="H152" t="inlineStr">
        <is>
          <t>LIJ Main / LIJ OR</t>
        </is>
      </c>
      <c r="I152" t="inlineStr">
        <is>
          <t>CATH</t>
        </is>
      </c>
      <c r="J152" t="inlineStr">
        <is>
          <t>CAT Lab 2</t>
        </is>
      </c>
      <c r="K152" t="inlineStr">
        <is>
          <t>n/a</t>
        </is>
      </c>
      <c r="L152" s="18" t="n">
        <v>46081</v>
      </c>
      <c r="M152" t="inlineStr">
        <is>
          <t>OR iPro Cybernet Workstation</t>
        </is>
      </c>
      <c r="Q152" t="inlineStr">
        <is>
          <t>Inpatient</t>
        </is>
      </c>
      <c r="S152" t="inlineStr">
        <is>
          <t>Pass</t>
        </is>
      </c>
      <c r="T152" t="inlineStr">
        <is>
          <t>n/a</t>
        </is>
      </c>
      <c r="U152" t="inlineStr">
        <is>
          <t>1427182 LIJ Installation (Project Name) - Tim W. Seeberger, Akbar, Chris Perkins, Epic Team, Anesthesia Techs, and Admins</t>
        </is>
      </c>
      <c r="V152" t="inlineStr">
        <is>
          <t>WNH270OPR457</t>
        </is>
      </c>
      <c r="W152" t="inlineStr">
        <is>
          <t>MEDNG2425E-3152</t>
        </is>
      </c>
      <c r="X152" t="inlineStr">
        <is>
          <t>LIJ-MACH-V</t>
        </is>
      </c>
      <c r="Y152" t="inlineStr">
        <is>
          <t>00187DE0E7842</t>
        </is>
      </c>
      <c r="AH152" t="inlineStr">
        <is>
          <t>00:0D:05:0A:B6:2D</t>
        </is>
      </c>
      <c r="AI152" t="inlineStr">
        <is>
          <t>Anesthesia Machine</t>
        </is>
      </c>
      <c r="AK152" t="n">
        <v>2</v>
      </c>
      <c r="AL152" t="inlineStr">
        <is>
          <t>SS12-253</t>
        </is>
      </c>
      <c r="AM152" t="inlineStr">
        <is>
          <t>Drager</t>
        </is>
      </c>
      <c r="AN152" t="inlineStr">
        <is>
          <t>Apollo</t>
        </is>
      </c>
      <c r="AP152" t="inlineStr">
        <is>
          <t>ASHK-0199</t>
        </is>
      </c>
      <c r="AQ152" t="inlineStr">
        <is>
          <t>ASHK-0199</t>
        </is>
      </c>
      <c r="AS152" t="inlineStr">
        <is>
          <t>B1-CFW</t>
        </is>
      </c>
      <c r="AY152" t="inlineStr">
        <is>
          <t>Anesthesia Machine</t>
        </is>
      </c>
      <c r="BR152" t="inlineStr">
        <is>
          <t>Yes</t>
        </is>
      </c>
      <c r="BS152" t="inlineStr">
        <is>
          <t>Yes</t>
        </is>
      </c>
      <c r="BT152" t="inlineStr">
        <is>
          <t>Yes</t>
        </is>
      </c>
      <c r="BU152" t="inlineStr">
        <is>
          <t>Yes</t>
        </is>
      </c>
      <c r="CA152" t="inlineStr">
        <is>
          <t>iPro
Epic Satellite
ALLSCRIPTS
EPIC BCA</t>
        </is>
      </c>
      <c r="CD152">
        <f>IF($Y152="","",IF((IF(AND($BR152&lt;&gt;"Yes",$BR152&lt;&gt;"N/A"),"Power Cable, ","")&amp;IF(AND($BS152&lt;&gt;"Yes",$BS152&lt;&gt;"N/A"),"Battery, ","")&amp;IF(AND($AD152&lt;&gt;"Yes",$AD152&lt;&gt;"N/A"),"Firmware Download, ","")&amp;IF(AND(OR($AD152="Yes",$AD152="N/A"),$AE152&lt;&gt;"Yes",$AE152&lt;&gt;"N/A"),"Firmware Install, ","")&amp;IF(AND($CB152&lt;&gt;"Yes",$CB152&lt;&gt;"N/A"),"Device ID, ","")&amp;IF(AND($CC152&lt;&gt;"Yes",$CC152&lt;&gt;"N/A"),"Epic Beans Relay, ",""))="","",LEFT(IF(AND($BR152&lt;&gt;"Yes",$BR152&lt;&gt;"N/A"),"Power Cable, ","")&amp;IF(AND($BS152&lt;&gt;"Yes",$BS152&lt;&gt;"N/A"),"Battery, ","")&amp;IF(AND($AD152&lt;&gt;"Yes",$AD152&lt;&gt;"N/A"),"Firmware Download, ","")&amp;IF(AND(OR($AD152="Yes",$AD152="N/A"),$AE152&lt;&gt;"Yes",$AE152&lt;&gt;"N/A"),"Firmware Install, ","")&amp;IF(AND($CB152&lt;&gt;"Yes",$CB152&lt;&gt;"N/A"),"Device ID, ","")&amp;IF(AND($CC152&lt;&gt;"Yes",$CC152&lt;&gt;"N/A"),"Epic Beans Relay, ",""),LEN(IF(AND($BR152&lt;&gt;"Yes",$BR152&lt;&gt;"N/A"),"Power Cable, ","")&amp;IF(AND($BS152&lt;&gt;"Yes",$BS152&lt;&gt;"N/A"),"Battery, ","")&amp;IF(AND($AD152&lt;&gt;"Yes",$AD152&lt;&gt;"N/A"),"Firmware Download, ","")&amp;IF(AND(OR($AD152="Yes",$AD152="N/A"),$AE152&lt;&gt;"Yes",$AE152&lt;&gt;"N/A"),"Firmware Install, ","")&amp;IF(AND($CB152&lt;&gt;"Yes",$CB152&lt;&gt;"N/A"),"Device ID, ","")&amp;IF(AND($CC152&lt;&gt;"Yes",$CC152&lt;&gt;"N/A"),"Epic Beans Relay, ",""))-2)))</f>
        <v/>
      </c>
      <c r="CE152">
        <f>IF($Y152="","",IF($CD152="","Yes","Blocked"))</f>
        <v/>
      </c>
      <c r="CF152" t="inlineStr">
        <is>
          <t>Yes</t>
        </is>
      </c>
      <c r="CG152" t="inlineStr">
        <is>
          <t>Yes</t>
        </is>
      </c>
      <c r="CH152" t="inlineStr">
        <is>
          <t>Yes</t>
        </is>
      </c>
      <c r="CI152" t="inlineStr">
        <is>
          <t>Yes</t>
        </is>
      </c>
      <c r="CJ152" t="inlineStr">
        <is>
          <t>Yes</t>
        </is>
      </c>
      <c r="CK152" t="n">
        <v>19200</v>
      </c>
      <c r="CP152">
        <f>IF($CO152="","",IFERROR(VLOOKUP($CO152,'01_Warehouse_Ledger'!$A:$N,4,FALSE),""))</f>
        <v/>
      </c>
      <c r="CQ152">
        <f>IF($CO152="","",IFERROR(VLOOKUP($CO152,'01_Warehouse_Ledger'!$A:$N,5,FALSE),""))</f>
        <v/>
      </c>
      <c r="CR152">
        <f>IF($CO152="","",IFERROR(VLOOKUP($CO152,'01_Warehouse_Ledger'!$A:$N,13,FALSE),""))</f>
        <v/>
      </c>
      <c r="CW152">
        <f>IF($S152="","",IF(UPPER(TRIM($S152))&lt;&gt;"PASS","",IF(LEN(TRIM($BY152))&gt;0,"NOTES_PRESENT",IF(LEN(TRIM($T152))=0,"SET_NA",IF(OR(LOWER(TRIM($T152))="na",LOWER(TRIM($T152))="n/a"),"OK","MANUAL_OVERRIDE")))))</f>
        <v/>
      </c>
    </row>
    <row r="153">
      <c r="A153" t="inlineStr">
        <is>
          <t>Cybernet</t>
        </is>
      </c>
      <c r="B153" t="inlineStr">
        <is>
          <t>Yes</t>
        </is>
      </c>
      <c r="C153" t="inlineStr">
        <is>
          <t>Yes</t>
        </is>
      </c>
      <c r="D153">
        <f>IF($B153&lt;&gt;"Yes","",IF($C153="No","Yes",IF($C153="Yes","No","")))</f>
        <v/>
      </c>
      <c r="E153">
        <f>IF($A153="","",IF(OR(AND($V153&lt;&gt;"",LOWER(TRIM($V153))&lt;&gt;"n/a",LOWER(TRIM($V153))&lt;&gt;"na",SUMPRODUCT(--(UPPER(TRIM($V$2:$V$518))=UPPER(TRIM($V153))),--(TRIM($V$2:$V$518)&lt;&gt;""),--(LOWER(TRIM($V$2:$V$518))&lt;&gt;"n/a"),--(LOWER(TRIM($V$2:$V$518))&lt;&gt;"na"))&gt;1),AND($W153&lt;&gt;"",LOWER(TRIM($W153))&lt;&gt;"n/a",LOWER(TRIM($W153))&lt;&gt;"na",SUMPRODUCT(--(UPPER(TRIM($W$2:$W$518))=UPPER(TRIM($W153))),--(TRIM($W$2:$W$518)&lt;&gt;""),--(LOWER(TRIM($W$2:$W$518))&lt;&gt;"n/a"),--(LOWER(TRIM($W$2:$W$518))&lt;&gt;"na"))&gt;1),AND($X153&lt;&gt;"",LOWER(TRIM($X153))&lt;&gt;"n/a",LOWER(TRIM($X153))&lt;&gt;"na",SUMPRODUCT(--(UPPER(TRIM($X$2:$X$518))=UPPER(TRIM($X153))),--(TRIM($X$2:$X$518)&lt;&gt;""),--(LOWER(TRIM($X$2:$X$518))&lt;&gt;"n/a"),--(LOWER(TRIM($X$2:$X$518))&lt;&gt;"na"))&gt;1),AND($Y153&lt;&gt;"",LOWER(TRIM($Y153))&lt;&gt;"n/a",LOWER(TRIM($Y153))&lt;&gt;"na",SUMPRODUCT(--(UPPER(SUBSTITUTE(SUBSTITUTE(TRIM($Y$2:$Y$518),":",""),"-",""))=UPPER(SUBSTITUTE(SUBSTITUTE(TRIM($Y153),":",""),"-",""))),--(TRIM($Y$2:$Y$518)&lt;&gt;""),--(LOWER(TRIM($Y$2:$Y$518))&lt;&gt;"n/a"),--(LOWER(TRIM($Y$2:$Y$518))&lt;&gt;"na"))&gt;1),AND($AB153&lt;&gt;"",LOWER(TRIM($AB153))&lt;&gt;"n/a",LOWER(TRIM($AB153))&lt;&gt;"na",SUMPRODUCT(--(UPPER(TRIM($AB$2:$AB$518))=UPPER(TRIM($AB153))),--(TRIM($AB$2:$AB$518)&lt;&gt;""),--(LOWER(TRIM($AB$2:$AB$518))&lt;&gt;"n/a"),--(LOWER(TRIM($AB$2:$AB$518))&lt;&gt;"na"))&gt;1),AND($AH153&lt;&gt;"",LOWER(TRIM($AH153))&lt;&gt;"n/a",LOWER(TRIM($AH153))&lt;&gt;"na",SUMPRODUCT(--(UPPER(SUBSTITUTE(SUBSTITUTE(TRIM($AH$2:$AH$518),":",""),"-",""))=UPPER(SUBSTITUTE(SUBSTITUTE(TRIM($AH153),":",""),"-",""))),--(TRIM($AH$2:$AH$518)&lt;&gt;""),--(LOWER(TRIM($AH$2:$AH$518))&lt;&gt;"n/a"),--(LOWER(TRIM($AH$2:$AH$518))&lt;&gt;"na"))&gt;1),AND($AP153&lt;&gt;"",LOWER(TRIM($AP153))&lt;&gt;"n/a",LOWER(TRIM($AP153))&lt;&gt;"na",SUMPRODUCT(--(UPPER(TRIM($AP$2:$AP$518))=UPPER(TRIM($AP153))),--(TRIM($AP$2:$AP$518)&lt;&gt;""),--(LOWER(TRIM($AP$2:$AP$518))&lt;&gt;"n/a"),--(LOWER(TRIM($AP$2:$AP$518))&lt;&gt;"na"))&gt;1),AND($AQ153&lt;&gt;"",LOWER(TRIM($AQ153))&lt;&gt;"n/a",LOWER(TRIM($AQ153))&lt;&gt;"na",SUMPRODUCT(--(UPPER(TRIM($AQ$2:$AQ$518))=UPPER(TRIM($AQ153))),--(TRIM($AQ$2:$AQ$518)&lt;&gt;""),--(LOWER(TRIM($AQ$2:$AQ$518))&lt;&gt;"n/a"),--(LOWER(TRIM($AQ$2:$AQ$518))&lt;&gt;"na"))&gt;1)),"Yes","No"))</f>
        <v/>
      </c>
      <c r="F153">
        <f>IF(UPPER(TRIM($B153))&lt;&gt;"YES","", IF(OR(AND($V153&lt;&gt;"", LOWER(TRIM($V153))&lt;&gt;"n/a", LOWER(TRIM($V153))&lt;&gt;"na", SUMPRODUCT(--(UPPER(TRIM($V$2:$V$518))=UPPER(TRIM($V153))), --(UPPER(TRIM($B$2:$B$518))="YES"), --(UPPER(TRIM($G$2:$G$518)&amp;TRIM($I$2:$I$518)&amp;TRIM($J$2:$J$518))&lt;&gt;UPPER(TRIM($G153)&amp;TRIM($I153)&amp;TRIM($J153))))&gt;0), AND($W153&lt;&gt;"", LOWER(TRIM($W153))&lt;&gt;"n/a", LOWER(TRIM($W153))&lt;&gt;"na", SUMPRODUCT(--(UPPER(TRIM($W$2:$W$518))=UPPER(TRIM($W153))), --(UPPER(TRIM($B$2:$B$518))="YES"), --(UPPER(TRIM($G$2:$G$518)&amp;TRIM($I$2:$I$518)&amp;TRIM($J$2:$J$518))&lt;&gt;UPPER(TRIM($G153)&amp;TRIM($I153)&amp;TRIM($J153))))&gt;0), AND($X153&lt;&gt;"", LOWER(TRIM($X153))&lt;&gt;"n/a", LOWER(TRIM($X153))&lt;&gt;"na", SUMPRODUCT(--(UPPER(TRIM($X$2:$X$518))=UPPER(TRIM($X153))), --(UPPER(TRIM($B$2:$B$518))="YES"), --(UPPER(TRIM($G$2:$G$518)&amp;TRIM($I$2:$I$518)&amp;TRIM($J$2:$J$518))&lt;&gt;UPPER(TRIM($G153)&amp;TRIM($I153)&amp;TRIM($J153))))&gt;0), AND($Y153&lt;&gt;"", LOWER(TRIM($Y153))&lt;&gt;"n/a", LOWER(TRIM($Y153))&lt;&gt;"na", SUMPRODUCT(--(UPPER(SUBSTITUTE(SUBSTITUTE(TRIM($Y$2:$Y$518),":",""),"-",""))=UPPER(SUBSTITUTE(SUBSTITUTE(TRIM($Y153),":",""),"-",""))), --(UPPER(TRIM($B$2:$B$518))="YES"), --(UPPER(TRIM($G$2:$G$518)&amp;TRIM($I$2:$I$518)&amp;TRIM($J$2:$J$518))&lt;&gt;UPPER(TRIM($G153)&amp;TRIM($I153)&amp;TRIM($J153))))&gt;0), AND($AB153&lt;&gt;"", LOWER(TRIM($AB153))&lt;&gt;"n/a", LOWER(TRIM($AB153))&lt;&gt;"na", SUMPRODUCT(--(UPPER(TRIM($AB$2:$AB$518))=UPPER(TRIM($AB153))), --(UPPER(TRIM($B$2:$B$518))="YES"), --(UPPER(TRIM($G$2:$G$518)&amp;TRIM($I$2:$I$518)&amp;TRIM($J$2:$J$518))&lt;&gt;UPPER(TRIM($G153)&amp;TRIM($I153)&amp;TRIM($J153))))&gt;0), AND($AH153&lt;&gt;"", LOWER(TRIM($AH153))&lt;&gt;"n/a", LOWER(TRIM($AH153))&lt;&gt;"na", SUMPRODUCT(--(UPPER(SUBSTITUTE(SUBSTITUTE(TRIM($AH$2:$AH$518),":",""),"-",""))=UPPER(SUBSTITUTE(SUBSTITUTE(TRIM($AH153),":",""),"-",""))), --(UPPER(TRIM($B$2:$B$518))="YES"), --(UPPER(TRIM($G$2:$G$518)&amp;TRIM($I$2:$I$518)&amp;TRIM($J$2:$J$518))&lt;&gt;UPPER(TRIM($G153)&amp;TRIM($I153)&amp;TRIM($J153))))&gt;0), AND($AP153&lt;&gt;"", LOWER(TRIM($AP153))&lt;&gt;"n/a", LOWER(TRIM($AP153))&lt;&gt;"na", SUMPRODUCT(--(UPPER(TRIM($AP$2:$AP$518))=UPPER(TRIM($AP153))), --(UPPER(TRIM($B$2:$B$518))="YES"), --(UPPER(TRIM($G$2:$G$518)&amp;TRIM($I$2:$I$518)&amp;TRIM($J$2:$J$518))&lt;&gt;UPPER(TRIM($G153)&amp;TRIM($I153)&amp;TRIM($J153))))&gt;0), AND($AQ153&lt;&gt;"", LOWER(TRIM($AQ153))&lt;&gt;"n/a", LOWER(TRIM($AQ153))&lt;&gt;"na", SUMPRODUCT(--(UPPER(TRIM($AQ$2:$AQ$518))=UPPER(TRIM($AQ153))), --(UPPER(TRIM($B$2:$B$518))="YES"), --(UPPER(TRIM($G$2:$G$518)&amp;TRIM($I$2:$I$518)&amp;TRIM($J$2:$J$518))&lt;&gt;UPPER(TRIM($G153)&amp;TRIM($I153)&amp;TRIM($J153))))&gt;0)), "Yes", "No"))</f>
        <v/>
      </c>
      <c r="G153" t="inlineStr">
        <is>
          <t>LIJ Main / LIJ OR</t>
        </is>
      </c>
      <c r="H153" t="inlineStr">
        <is>
          <t>LIJ Main / LIJ OR</t>
        </is>
      </c>
      <c r="I153" t="inlineStr">
        <is>
          <t>CATH</t>
        </is>
      </c>
      <c r="J153" t="inlineStr">
        <is>
          <t>IR 8 / PROCEDURAL ROOM</t>
        </is>
      </c>
      <c r="K153" t="inlineStr">
        <is>
          <t>n/a</t>
        </is>
      </c>
      <c r="L153" s="18" t="n">
        <v>46081</v>
      </c>
      <c r="M153" t="inlineStr">
        <is>
          <t>OR iPro Cybernet Workstation</t>
        </is>
      </c>
      <c r="Q153" t="inlineStr">
        <is>
          <t>Inpatient</t>
        </is>
      </c>
      <c r="S153" t="inlineStr">
        <is>
          <t>Pass</t>
        </is>
      </c>
      <c r="T153" t="inlineStr">
        <is>
          <t>n/a</t>
        </is>
      </c>
      <c r="U153" t="inlineStr">
        <is>
          <t>1427182 LIJ Installation (Project Name) - Tim W. Seeberger, Akbar, Chris Perkins, Epic Team, Anesthesia Techs, and Admins</t>
        </is>
      </c>
      <c r="V153" t="inlineStr">
        <is>
          <t>WNH270OPR459</t>
        </is>
      </c>
      <c r="W153" t="inlineStr">
        <is>
          <t>MEDNG2425E-3342</t>
        </is>
      </c>
      <c r="X153" t="inlineStr">
        <is>
          <t>LIJ-MACH-K</t>
        </is>
      </c>
      <c r="Y153" t="inlineStr">
        <is>
          <t>00187DE0E263</t>
        </is>
      </c>
      <c r="AH153" t="inlineStr">
        <is>
          <t>00:0D:05:0A:B1:27</t>
        </is>
      </c>
      <c r="AI153" t="inlineStr">
        <is>
          <t>Anesthesia Machine</t>
        </is>
      </c>
      <c r="AK153" t="n">
        <v>2</v>
      </c>
      <c r="AP153" t="inlineStr">
        <is>
          <t>01040486752296741115092921ASHK-0199938606500-59</t>
        </is>
      </c>
      <c r="AY153" t="inlineStr">
        <is>
          <t>Anesthesia Machine</t>
        </is>
      </c>
      <c r="CD153">
        <f>IF($Y153="","",IF((IF(AND($BR153&lt;&gt;"Yes",$BR153&lt;&gt;"N/A"),"Power Cable, ","")&amp;IF(AND($BS153&lt;&gt;"Yes",$BS153&lt;&gt;"N/A"),"Battery, ","")&amp;IF(AND($AD153&lt;&gt;"Yes",$AD153&lt;&gt;"N/A"),"Firmware Download, ","")&amp;IF(AND(OR($AD153="Yes",$AD153="N/A"),$AE153&lt;&gt;"Yes",$AE153&lt;&gt;"N/A"),"Firmware Install, ","")&amp;IF(AND($CB153&lt;&gt;"Yes",$CB153&lt;&gt;"N/A"),"Device ID, ","")&amp;IF(AND($CC153&lt;&gt;"Yes",$CC153&lt;&gt;"N/A"),"Epic Beans Relay, ",""))="","",LEFT(IF(AND($BR153&lt;&gt;"Yes",$BR153&lt;&gt;"N/A"),"Power Cable, ","")&amp;IF(AND($BS153&lt;&gt;"Yes",$BS153&lt;&gt;"N/A"),"Battery, ","")&amp;IF(AND($AD153&lt;&gt;"Yes",$AD153&lt;&gt;"N/A"),"Firmware Download, ","")&amp;IF(AND(OR($AD153="Yes",$AD153="N/A"),$AE153&lt;&gt;"Yes",$AE153&lt;&gt;"N/A"),"Firmware Install, ","")&amp;IF(AND($CB153&lt;&gt;"Yes",$CB153&lt;&gt;"N/A"),"Device ID, ","")&amp;IF(AND($CC153&lt;&gt;"Yes",$CC153&lt;&gt;"N/A"),"Epic Beans Relay, ",""),LEN(IF(AND($BR153&lt;&gt;"Yes",$BR153&lt;&gt;"N/A"),"Power Cable, ","")&amp;IF(AND($BS153&lt;&gt;"Yes",$BS153&lt;&gt;"N/A"),"Battery, ","")&amp;IF(AND($AD153&lt;&gt;"Yes",$AD153&lt;&gt;"N/A"),"Firmware Download, ","")&amp;IF(AND(OR($AD153="Yes",$AD153="N/A"),$AE153&lt;&gt;"Yes",$AE153&lt;&gt;"N/A"),"Firmware Install, ","")&amp;IF(AND($CB153&lt;&gt;"Yes",$CB153&lt;&gt;"N/A"),"Device ID, ","")&amp;IF(AND($CC153&lt;&gt;"Yes",$CC153&lt;&gt;"N/A"),"Epic Beans Relay, ",""))-2)))</f>
        <v/>
      </c>
      <c r="CE153">
        <f>IF($Y153="","",IF($CD153="","Yes","Blocked"))</f>
        <v/>
      </c>
      <c r="CF153" t="inlineStr">
        <is>
          <t>Yes</t>
        </is>
      </c>
      <c r="CG153" t="inlineStr">
        <is>
          <t>Yes</t>
        </is>
      </c>
      <c r="CH153" t="inlineStr">
        <is>
          <t>Yes</t>
        </is>
      </c>
      <c r="CI153" t="inlineStr">
        <is>
          <t>Yes</t>
        </is>
      </c>
      <c r="CJ153" t="inlineStr">
        <is>
          <t>Yes</t>
        </is>
      </c>
      <c r="CK153" t="n">
        <v>19200</v>
      </c>
      <c r="CP153">
        <f>IF($CO153="","",IFERROR(VLOOKUP($CO153,'01_Warehouse_Ledger'!$A:$N,4,FALSE),""))</f>
        <v/>
      </c>
      <c r="CQ153">
        <f>IF($CO153="","",IFERROR(VLOOKUP($CO153,'01_Warehouse_Ledger'!$A:$N,5,FALSE),""))</f>
        <v/>
      </c>
      <c r="CR153">
        <f>IF($CO153="","",IFERROR(VLOOKUP($CO153,'01_Warehouse_Ledger'!$A:$N,13,FALSE),""))</f>
        <v/>
      </c>
      <c r="CW153">
        <f>IF($S153="","",IF(UPPER(TRIM($S153))&lt;&gt;"PASS","",IF(LEN(TRIM($BY153))&gt;0,"NOTES_PRESENT",IF(LEN(TRIM($T153))=0,"SET_NA",IF(OR(LOWER(TRIM($T153))="na",LOWER(TRIM($T153))="n/a"),"OK","MANUAL_OVERRIDE")))))</f>
        <v/>
      </c>
    </row>
    <row r="154">
      <c r="A154" t="inlineStr">
        <is>
          <t>Cybernet</t>
        </is>
      </c>
      <c r="B154" t="inlineStr">
        <is>
          <t>Yes</t>
        </is>
      </c>
      <c r="C154" t="inlineStr">
        <is>
          <t>Yes</t>
        </is>
      </c>
      <c r="D154">
        <f>IF($B154&lt;&gt;"Yes","",IF($C154="No","Yes",IF($C154="Yes","No","")))</f>
        <v/>
      </c>
      <c r="E154">
        <f>IF($A154="","",IF(OR(AND($V154&lt;&gt;"",LOWER(TRIM($V154))&lt;&gt;"n/a",LOWER(TRIM($V154))&lt;&gt;"na",SUMPRODUCT(--(UPPER(TRIM($V$2:$V$518))=UPPER(TRIM($V154))),--(TRIM($V$2:$V$518)&lt;&gt;""),--(LOWER(TRIM($V$2:$V$518))&lt;&gt;"n/a"),--(LOWER(TRIM($V$2:$V$518))&lt;&gt;"na"))&gt;1),AND($W154&lt;&gt;"",LOWER(TRIM($W154))&lt;&gt;"n/a",LOWER(TRIM($W154))&lt;&gt;"na",SUMPRODUCT(--(UPPER(TRIM($W$2:$W$518))=UPPER(TRIM($W154))),--(TRIM($W$2:$W$518)&lt;&gt;""),--(LOWER(TRIM($W$2:$W$518))&lt;&gt;"n/a"),--(LOWER(TRIM($W$2:$W$518))&lt;&gt;"na"))&gt;1),AND($X154&lt;&gt;"",LOWER(TRIM($X154))&lt;&gt;"n/a",LOWER(TRIM($X154))&lt;&gt;"na",SUMPRODUCT(--(UPPER(TRIM($X$2:$X$518))=UPPER(TRIM($X154))),--(TRIM($X$2:$X$518)&lt;&gt;""),--(LOWER(TRIM($X$2:$X$518))&lt;&gt;"n/a"),--(LOWER(TRIM($X$2:$X$518))&lt;&gt;"na"))&gt;1),AND($Y154&lt;&gt;"",LOWER(TRIM($Y154))&lt;&gt;"n/a",LOWER(TRIM($Y154))&lt;&gt;"na",SUMPRODUCT(--(UPPER(SUBSTITUTE(SUBSTITUTE(TRIM($Y$2:$Y$518),":",""),"-",""))=UPPER(SUBSTITUTE(SUBSTITUTE(TRIM($Y154),":",""),"-",""))),--(TRIM($Y$2:$Y$518)&lt;&gt;""),--(LOWER(TRIM($Y$2:$Y$518))&lt;&gt;"n/a"),--(LOWER(TRIM($Y$2:$Y$518))&lt;&gt;"na"))&gt;1),AND($AB154&lt;&gt;"",LOWER(TRIM($AB154))&lt;&gt;"n/a",LOWER(TRIM($AB154))&lt;&gt;"na",SUMPRODUCT(--(UPPER(TRIM($AB$2:$AB$518))=UPPER(TRIM($AB154))),--(TRIM($AB$2:$AB$518)&lt;&gt;""),--(LOWER(TRIM($AB$2:$AB$518))&lt;&gt;"n/a"),--(LOWER(TRIM($AB$2:$AB$518))&lt;&gt;"na"))&gt;1),AND($AH154&lt;&gt;"",LOWER(TRIM($AH154))&lt;&gt;"n/a",LOWER(TRIM($AH154))&lt;&gt;"na",SUMPRODUCT(--(UPPER(SUBSTITUTE(SUBSTITUTE(TRIM($AH$2:$AH$518),":",""),"-",""))=UPPER(SUBSTITUTE(SUBSTITUTE(TRIM($AH154),":",""),"-",""))),--(TRIM($AH$2:$AH$518)&lt;&gt;""),--(LOWER(TRIM($AH$2:$AH$518))&lt;&gt;"n/a"),--(LOWER(TRIM($AH$2:$AH$518))&lt;&gt;"na"))&gt;1),AND($AP154&lt;&gt;"",LOWER(TRIM($AP154))&lt;&gt;"n/a",LOWER(TRIM($AP154))&lt;&gt;"na",SUMPRODUCT(--(UPPER(TRIM($AP$2:$AP$518))=UPPER(TRIM($AP154))),--(TRIM($AP$2:$AP$518)&lt;&gt;""),--(LOWER(TRIM($AP$2:$AP$518))&lt;&gt;"n/a"),--(LOWER(TRIM($AP$2:$AP$518))&lt;&gt;"na"))&gt;1),AND($AQ154&lt;&gt;"",LOWER(TRIM($AQ154))&lt;&gt;"n/a",LOWER(TRIM($AQ154))&lt;&gt;"na",SUMPRODUCT(--(UPPER(TRIM($AQ$2:$AQ$518))=UPPER(TRIM($AQ154))),--(TRIM($AQ$2:$AQ$518)&lt;&gt;""),--(LOWER(TRIM($AQ$2:$AQ$518))&lt;&gt;"n/a"),--(LOWER(TRIM($AQ$2:$AQ$518))&lt;&gt;"na"))&gt;1)),"Yes","No"))</f>
        <v/>
      </c>
      <c r="F154">
        <f>IF(UPPER(TRIM($B154))&lt;&gt;"YES","", IF(OR(AND($V154&lt;&gt;"", LOWER(TRIM($V154))&lt;&gt;"n/a", LOWER(TRIM($V154))&lt;&gt;"na", SUMPRODUCT(--(UPPER(TRIM($V$2:$V$518))=UPPER(TRIM($V154))), --(UPPER(TRIM($B$2:$B$518))="YES"), --(UPPER(TRIM($G$2:$G$518)&amp;TRIM($I$2:$I$518)&amp;TRIM($J$2:$J$518))&lt;&gt;UPPER(TRIM($G154)&amp;TRIM($I154)&amp;TRIM($J154))))&gt;0), AND($W154&lt;&gt;"", LOWER(TRIM($W154))&lt;&gt;"n/a", LOWER(TRIM($W154))&lt;&gt;"na", SUMPRODUCT(--(UPPER(TRIM($W$2:$W$518))=UPPER(TRIM($W154))), --(UPPER(TRIM($B$2:$B$518))="YES"), --(UPPER(TRIM($G$2:$G$518)&amp;TRIM($I$2:$I$518)&amp;TRIM($J$2:$J$518))&lt;&gt;UPPER(TRIM($G154)&amp;TRIM($I154)&amp;TRIM($J154))))&gt;0), AND($X154&lt;&gt;"", LOWER(TRIM($X154))&lt;&gt;"n/a", LOWER(TRIM($X154))&lt;&gt;"na", SUMPRODUCT(--(UPPER(TRIM($X$2:$X$518))=UPPER(TRIM($X154))), --(UPPER(TRIM($B$2:$B$518))="YES"), --(UPPER(TRIM($G$2:$G$518)&amp;TRIM($I$2:$I$518)&amp;TRIM($J$2:$J$518))&lt;&gt;UPPER(TRIM($G154)&amp;TRIM($I154)&amp;TRIM($J154))))&gt;0), AND($Y154&lt;&gt;"", LOWER(TRIM($Y154))&lt;&gt;"n/a", LOWER(TRIM($Y154))&lt;&gt;"na", SUMPRODUCT(--(UPPER(SUBSTITUTE(SUBSTITUTE(TRIM($Y$2:$Y$518),":",""),"-",""))=UPPER(SUBSTITUTE(SUBSTITUTE(TRIM($Y154),":",""),"-",""))), --(UPPER(TRIM($B$2:$B$518))="YES"), --(UPPER(TRIM($G$2:$G$518)&amp;TRIM($I$2:$I$518)&amp;TRIM($J$2:$J$518))&lt;&gt;UPPER(TRIM($G154)&amp;TRIM($I154)&amp;TRIM($J154))))&gt;0), AND($AB154&lt;&gt;"", LOWER(TRIM($AB154))&lt;&gt;"n/a", LOWER(TRIM($AB154))&lt;&gt;"na", SUMPRODUCT(--(UPPER(TRIM($AB$2:$AB$518))=UPPER(TRIM($AB154))), --(UPPER(TRIM($B$2:$B$518))="YES"), --(UPPER(TRIM($G$2:$G$518)&amp;TRIM($I$2:$I$518)&amp;TRIM($J$2:$J$518))&lt;&gt;UPPER(TRIM($G154)&amp;TRIM($I154)&amp;TRIM($J154))))&gt;0), AND($AH154&lt;&gt;"", LOWER(TRIM($AH154))&lt;&gt;"n/a", LOWER(TRIM($AH154))&lt;&gt;"na", SUMPRODUCT(--(UPPER(SUBSTITUTE(SUBSTITUTE(TRIM($AH$2:$AH$518),":",""),"-",""))=UPPER(SUBSTITUTE(SUBSTITUTE(TRIM($AH154),":",""),"-",""))), --(UPPER(TRIM($B$2:$B$518))="YES"), --(UPPER(TRIM($G$2:$G$518)&amp;TRIM($I$2:$I$518)&amp;TRIM($J$2:$J$518))&lt;&gt;UPPER(TRIM($G154)&amp;TRIM($I154)&amp;TRIM($J154))))&gt;0), AND($AP154&lt;&gt;"", LOWER(TRIM($AP154))&lt;&gt;"n/a", LOWER(TRIM($AP154))&lt;&gt;"na", SUMPRODUCT(--(UPPER(TRIM($AP$2:$AP$518))=UPPER(TRIM($AP154))), --(UPPER(TRIM($B$2:$B$518))="YES"), --(UPPER(TRIM($G$2:$G$518)&amp;TRIM($I$2:$I$518)&amp;TRIM($J$2:$J$518))&lt;&gt;UPPER(TRIM($G154)&amp;TRIM($I154)&amp;TRIM($J154))))&gt;0), AND($AQ154&lt;&gt;"", LOWER(TRIM($AQ154))&lt;&gt;"n/a", LOWER(TRIM($AQ154))&lt;&gt;"na", SUMPRODUCT(--(UPPER(TRIM($AQ$2:$AQ$518))=UPPER(TRIM($AQ154))), --(UPPER(TRIM($B$2:$B$518))="YES"), --(UPPER(TRIM($G$2:$G$518)&amp;TRIM($I$2:$I$518)&amp;TRIM($J$2:$J$518))&lt;&gt;UPPER(TRIM($G154)&amp;TRIM($I154)&amp;TRIM($J154))))&gt;0)), "Yes", "No"))</f>
        <v/>
      </c>
      <c r="G154" t="inlineStr">
        <is>
          <t>LIJ - OR</t>
        </is>
      </c>
      <c r="H154" t="inlineStr">
        <is>
          <t>LIJ - OR</t>
        </is>
      </c>
      <c r="I154" t="inlineStr">
        <is>
          <t>LIJ ORs</t>
        </is>
      </c>
      <c r="J154" t="inlineStr">
        <is>
          <t>OR 1</t>
        </is>
      </c>
      <c r="K154" t="inlineStr">
        <is>
          <t>n/a</t>
        </is>
      </c>
      <c r="L154" s="18" t="n">
        <v>46074</v>
      </c>
      <c r="M154" t="inlineStr">
        <is>
          <t>OR iPro Cybernet Workstation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Inpatient</t>
        </is>
      </c>
      <c r="S154" t="inlineStr">
        <is>
          <t>Pass</t>
        </is>
      </c>
      <c r="T154" t="inlineStr">
        <is>
          <t>n/a</t>
        </is>
      </c>
      <c r="U154" t="inlineStr">
        <is>
          <t>1427182 LIJ Installation (Project Name) - Tim W. Seeberger, Akbar, Chris Perkins, Epic Team, Anesthesia Techs, and Admins</t>
        </is>
      </c>
      <c r="V154" t="inlineStr">
        <is>
          <t>WNH270OPR413</t>
        </is>
      </c>
      <c r="W154" t="inlineStr">
        <is>
          <t>MEDSG2425F-3319</t>
        </is>
      </c>
      <c r="X154" t="inlineStr">
        <is>
          <t>LIJ-MACH-FF</t>
        </is>
      </c>
      <c r="Y154" t="inlineStr">
        <is>
          <t>00187DE0E35F</t>
        </is>
      </c>
      <c r="Z154" t="inlineStr">
        <is>
          <t>n/a</t>
        </is>
      </c>
      <c r="AH154" t="inlineStr">
        <is>
          <t>00:0D:05:0A:B6:a7</t>
        </is>
      </c>
      <c r="AI154" t="inlineStr">
        <is>
          <t>Anesthesia Machine</t>
        </is>
      </c>
      <c r="AK154" t="n">
        <v>2</v>
      </c>
      <c r="AL154" t="inlineStr">
        <is>
          <t>OR#1-TUR / IPRO</t>
        </is>
      </c>
      <c r="AM154" t="inlineStr">
        <is>
          <t>Drager</t>
        </is>
      </c>
      <c r="AN154" t="inlineStr">
        <is>
          <t>Apollo</t>
        </is>
      </c>
      <c r="AP154" t="inlineStr">
        <is>
          <t>ARZJ-0068</t>
        </is>
      </c>
      <c r="AQ154" t="inlineStr">
        <is>
          <t>ARZJ-0068</t>
        </is>
      </c>
      <c r="AS154" t="inlineStr">
        <is>
          <t>B1-CFW</t>
        </is>
      </c>
      <c r="AX154" t="inlineStr">
        <is>
          <t>MX750 - DE77669038</t>
        </is>
      </c>
      <c r="AY154" t="inlineStr">
        <is>
          <t>Anesthesia Machine</t>
        </is>
      </c>
      <c r="BR154" t="inlineStr">
        <is>
          <t>Yes</t>
        </is>
      </c>
      <c r="BS154" t="inlineStr">
        <is>
          <t>Yes</t>
        </is>
      </c>
      <c r="BT154" t="inlineStr">
        <is>
          <t>Yes</t>
        </is>
      </c>
      <c r="BU154" t="inlineStr">
        <is>
          <t>Yes</t>
        </is>
      </c>
      <c r="CA154" t="inlineStr">
        <is>
          <t>iPro
Epic Satellite
ALLSCRIPTS
EPIC BCA</t>
        </is>
      </c>
      <c r="CD154">
        <f>IF($Y154="","",IF((IF(AND($BR154&lt;&gt;"Yes",$BR154&lt;&gt;"N/A"),"Power Cable, ","")&amp;IF(AND($BS154&lt;&gt;"Yes",$BS154&lt;&gt;"N/A"),"Battery, ","")&amp;IF(AND($AD154&lt;&gt;"Yes",$AD154&lt;&gt;"N/A"),"Firmware Download, ","")&amp;IF(AND(OR($AD154="Yes",$AD154="N/A"),$AE154&lt;&gt;"Yes",$AE154&lt;&gt;"N/A"),"Firmware Install, ","")&amp;IF(AND($CB154&lt;&gt;"Yes",$CB154&lt;&gt;"N/A"),"Device ID, ","")&amp;IF(AND($CC154&lt;&gt;"Yes",$CC154&lt;&gt;"N/A"),"Epic Beans Relay, ",""))="","",LEFT(IF(AND($BR154&lt;&gt;"Yes",$BR154&lt;&gt;"N/A"),"Power Cable, ","")&amp;IF(AND($BS154&lt;&gt;"Yes",$BS154&lt;&gt;"N/A"),"Battery, ","")&amp;IF(AND($AD154&lt;&gt;"Yes",$AD154&lt;&gt;"N/A"),"Firmware Download, ","")&amp;IF(AND(OR($AD154="Yes",$AD154="N/A"),$AE154&lt;&gt;"Yes",$AE154&lt;&gt;"N/A"),"Firmware Install, ","")&amp;IF(AND($CB154&lt;&gt;"Yes",$CB154&lt;&gt;"N/A"),"Device ID, ","")&amp;IF(AND($CC154&lt;&gt;"Yes",$CC154&lt;&gt;"N/A"),"Epic Beans Relay, ",""),LEN(IF(AND($BR154&lt;&gt;"Yes",$BR154&lt;&gt;"N/A"),"Power Cable, ","")&amp;IF(AND($BS154&lt;&gt;"Yes",$BS154&lt;&gt;"N/A"),"Battery, ","")&amp;IF(AND($AD154&lt;&gt;"Yes",$AD154&lt;&gt;"N/A"),"Firmware Download, ","")&amp;IF(AND(OR($AD154="Yes",$AD154="N/A"),$AE154&lt;&gt;"Yes",$AE154&lt;&gt;"N/A"),"Firmware Install, ","")&amp;IF(AND($CB154&lt;&gt;"Yes",$CB154&lt;&gt;"N/A"),"Device ID, ","")&amp;IF(AND($CC154&lt;&gt;"Yes",$CC154&lt;&gt;"N/A"),"Epic Beans Relay, ",""))-2)))</f>
        <v/>
      </c>
      <c r="CE154">
        <f>IF($Y154="","",IF($CD154="","Yes","Blocked"))</f>
        <v/>
      </c>
      <c r="CF154" t="inlineStr">
        <is>
          <t>Yes</t>
        </is>
      </c>
      <c r="CG154" t="inlineStr">
        <is>
          <t>Yes</t>
        </is>
      </c>
      <c r="CH154" t="inlineStr">
        <is>
          <t>Yes</t>
        </is>
      </c>
      <c r="CI154" t="inlineStr">
        <is>
          <t>Yes</t>
        </is>
      </c>
      <c r="CJ154" t="inlineStr">
        <is>
          <t>Yes</t>
        </is>
      </c>
      <c r="CK154" t="n">
        <v>19200</v>
      </c>
      <c r="CP154">
        <f>IF($CO154="","",IFERROR(VLOOKUP($CO154,'01_Warehouse_Ledger'!$A:$N,4,FALSE),""))</f>
        <v/>
      </c>
      <c r="CQ154">
        <f>IF($CO154="","",IFERROR(VLOOKUP($CO154,'01_Warehouse_Ledger'!$A:$N,5,FALSE),""))</f>
        <v/>
      </c>
      <c r="CR154">
        <f>IF($CO154="","",IFERROR(VLOOKUP($CO154,'01_Warehouse_Ledger'!$A:$N,13,FALSE),""))</f>
        <v/>
      </c>
      <c r="CW154">
        <f>IF($S154="","",IF(UPPER(TRIM($S154))&lt;&gt;"PASS","",IF(LEN(TRIM($BY154))&gt;0,"NOTES_PRESENT",IF(LEN(TRIM($T154))=0,"SET_NA",IF(OR(LOWER(TRIM($T154))="na",LOWER(TRIM($T154))="n/a"),"OK","MANUAL_OVERRIDE")))))</f>
        <v/>
      </c>
    </row>
    <row r="155">
      <c r="A155" t="inlineStr">
        <is>
          <t>Cybernet</t>
        </is>
      </c>
      <c r="B155" t="inlineStr">
        <is>
          <t>Yes</t>
        </is>
      </c>
      <c r="C155" t="inlineStr">
        <is>
          <t>Yes</t>
        </is>
      </c>
      <c r="D155">
        <f>IF($B155&lt;&gt;"Yes","",IF($C155="No","Yes",IF($C155="Yes","No","")))</f>
        <v/>
      </c>
      <c r="E155">
        <f>IF($A155="","",IF(OR(AND($V155&lt;&gt;"",LOWER(TRIM($V155))&lt;&gt;"n/a",LOWER(TRIM($V155))&lt;&gt;"na",SUMPRODUCT(--(UPPER(TRIM($V$2:$V$518))=UPPER(TRIM($V155))),--(TRIM($V$2:$V$518)&lt;&gt;""),--(LOWER(TRIM($V$2:$V$518))&lt;&gt;"n/a"),--(LOWER(TRIM($V$2:$V$518))&lt;&gt;"na"))&gt;1),AND($W155&lt;&gt;"",LOWER(TRIM($W155))&lt;&gt;"n/a",LOWER(TRIM($W155))&lt;&gt;"na",SUMPRODUCT(--(UPPER(TRIM($W$2:$W$518))=UPPER(TRIM($W155))),--(TRIM($W$2:$W$518)&lt;&gt;""),--(LOWER(TRIM($W$2:$W$518))&lt;&gt;"n/a"),--(LOWER(TRIM($W$2:$W$518))&lt;&gt;"na"))&gt;1),AND($X155&lt;&gt;"",LOWER(TRIM($X155))&lt;&gt;"n/a",LOWER(TRIM($X155))&lt;&gt;"na",SUMPRODUCT(--(UPPER(TRIM($X$2:$X$518))=UPPER(TRIM($X155))),--(TRIM($X$2:$X$518)&lt;&gt;""),--(LOWER(TRIM($X$2:$X$518))&lt;&gt;"n/a"),--(LOWER(TRIM($X$2:$X$518))&lt;&gt;"na"))&gt;1),AND($Y155&lt;&gt;"",LOWER(TRIM($Y155))&lt;&gt;"n/a",LOWER(TRIM($Y155))&lt;&gt;"na",SUMPRODUCT(--(UPPER(SUBSTITUTE(SUBSTITUTE(TRIM($Y$2:$Y$518),":",""),"-",""))=UPPER(SUBSTITUTE(SUBSTITUTE(TRIM($Y155),":",""),"-",""))),--(TRIM($Y$2:$Y$518)&lt;&gt;""),--(LOWER(TRIM($Y$2:$Y$518))&lt;&gt;"n/a"),--(LOWER(TRIM($Y$2:$Y$518))&lt;&gt;"na"))&gt;1),AND($AB155&lt;&gt;"",LOWER(TRIM($AB155))&lt;&gt;"n/a",LOWER(TRIM($AB155))&lt;&gt;"na",SUMPRODUCT(--(UPPER(TRIM($AB$2:$AB$518))=UPPER(TRIM($AB155))),--(TRIM($AB$2:$AB$518)&lt;&gt;""),--(LOWER(TRIM($AB$2:$AB$518))&lt;&gt;"n/a"),--(LOWER(TRIM($AB$2:$AB$518))&lt;&gt;"na"))&gt;1),AND($AH155&lt;&gt;"",LOWER(TRIM($AH155))&lt;&gt;"n/a",LOWER(TRIM($AH155))&lt;&gt;"na",SUMPRODUCT(--(UPPER(SUBSTITUTE(SUBSTITUTE(TRIM($AH$2:$AH$518),":",""),"-",""))=UPPER(SUBSTITUTE(SUBSTITUTE(TRIM($AH155),":",""),"-",""))),--(TRIM($AH$2:$AH$518)&lt;&gt;""),--(LOWER(TRIM($AH$2:$AH$518))&lt;&gt;"n/a"),--(LOWER(TRIM($AH$2:$AH$518))&lt;&gt;"na"))&gt;1),AND($AP155&lt;&gt;"",LOWER(TRIM($AP155))&lt;&gt;"n/a",LOWER(TRIM($AP155))&lt;&gt;"na",SUMPRODUCT(--(UPPER(TRIM($AP$2:$AP$518))=UPPER(TRIM($AP155))),--(TRIM($AP$2:$AP$518)&lt;&gt;""),--(LOWER(TRIM($AP$2:$AP$518))&lt;&gt;"n/a"),--(LOWER(TRIM($AP$2:$AP$518))&lt;&gt;"na"))&gt;1),AND($AQ155&lt;&gt;"",LOWER(TRIM($AQ155))&lt;&gt;"n/a",LOWER(TRIM($AQ155))&lt;&gt;"na",SUMPRODUCT(--(UPPER(TRIM($AQ$2:$AQ$518))=UPPER(TRIM($AQ155))),--(TRIM($AQ$2:$AQ$518)&lt;&gt;""),--(LOWER(TRIM($AQ$2:$AQ$518))&lt;&gt;"n/a"),--(LOWER(TRIM($AQ$2:$AQ$518))&lt;&gt;"na"))&gt;1)),"Yes","No"))</f>
        <v/>
      </c>
      <c r="F155">
        <f>IF(UPPER(TRIM($B155))&lt;&gt;"YES","", IF(OR(AND($V155&lt;&gt;"", LOWER(TRIM($V155))&lt;&gt;"n/a", LOWER(TRIM($V155))&lt;&gt;"na", SUMPRODUCT(--(UPPER(TRIM($V$2:$V$518))=UPPER(TRIM($V155))), --(UPPER(TRIM($B$2:$B$518))="YES"), --(UPPER(TRIM($G$2:$G$518)&amp;TRIM($I$2:$I$518)&amp;TRIM($J$2:$J$518))&lt;&gt;UPPER(TRIM($G155)&amp;TRIM($I155)&amp;TRIM($J155))))&gt;0), AND($W155&lt;&gt;"", LOWER(TRIM($W155))&lt;&gt;"n/a", LOWER(TRIM($W155))&lt;&gt;"na", SUMPRODUCT(--(UPPER(TRIM($W$2:$W$518))=UPPER(TRIM($W155))), --(UPPER(TRIM($B$2:$B$518))="YES"), --(UPPER(TRIM($G$2:$G$518)&amp;TRIM($I$2:$I$518)&amp;TRIM($J$2:$J$518))&lt;&gt;UPPER(TRIM($G155)&amp;TRIM($I155)&amp;TRIM($J155))))&gt;0), AND($X155&lt;&gt;"", LOWER(TRIM($X155))&lt;&gt;"n/a", LOWER(TRIM($X155))&lt;&gt;"na", SUMPRODUCT(--(UPPER(TRIM($X$2:$X$518))=UPPER(TRIM($X155))), --(UPPER(TRIM($B$2:$B$518))="YES"), --(UPPER(TRIM($G$2:$G$518)&amp;TRIM($I$2:$I$518)&amp;TRIM($J$2:$J$518))&lt;&gt;UPPER(TRIM($G155)&amp;TRIM($I155)&amp;TRIM($J155))))&gt;0), AND($Y155&lt;&gt;"", LOWER(TRIM($Y155))&lt;&gt;"n/a", LOWER(TRIM($Y155))&lt;&gt;"na", SUMPRODUCT(--(UPPER(SUBSTITUTE(SUBSTITUTE(TRIM($Y$2:$Y$518),":",""),"-",""))=UPPER(SUBSTITUTE(SUBSTITUTE(TRIM($Y155),":",""),"-",""))), --(UPPER(TRIM($B$2:$B$518))="YES"), --(UPPER(TRIM($G$2:$G$518)&amp;TRIM($I$2:$I$518)&amp;TRIM($J$2:$J$518))&lt;&gt;UPPER(TRIM($G155)&amp;TRIM($I155)&amp;TRIM($J155))))&gt;0), AND($AB155&lt;&gt;"", LOWER(TRIM($AB155))&lt;&gt;"n/a", LOWER(TRIM($AB155))&lt;&gt;"na", SUMPRODUCT(--(UPPER(TRIM($AB$2:$AB$518))=UPPER(TRIM($AB155))), --(UPPER(TRIM($B$2:$B$518))="YES"), --(UPPER(TRIM($G$2:$G$518)&amp;TRIM($I$2:$I$518)&amp;TRIM($J$2:$J$518))&lt;&gt;UPPER(TRIM($G155)&amp;TRIM($I155)&amp;TRIM($J155))))&gt;0), AND($AH155&lt;&gt;"", LOWER(TRIM($AH155))&lt;&gt;"n/a", LOWER(TRIM($AH155))&lt;&gt;"na", SUMPRODUCT(--(UPPER(SUBSTITUTE(SUBSTITUTE(TRIM($AH$2:$AH$518),":",""),"-",""))=UPPER(SUBSTITUTE(SUBSTITUTE(TRIM($AH155),":",""),"-",""))), --(UPPER(TRIM($B$2:$B$518))="YES"), --(UPPER(TRIM($G$2:$G$518)&amp;TRIM($I$2:$I$518)&amp;TRIM($J$2:$J$518))&lt;&gt;UPPER(TRIM($G155)&amp;TRIM($I155)&amp;TRIM($J155))))&gt;0), AND($AP155&lt;&gt;"", LOWER(TRIM($AP155))&lt;&gt;"n/a", LOWER(TRIM($AP155))&lt;&gt;"na", SUMPRODUCT(--(UPPER(TRIM($AP$2:$AP$518))=UPPER(TRIM($AP155))), --(UPPER(TRIM($B$2:$B$518))="YES"), --(UPPER(TRIM($G$2:$G$518)&amp;TRIM($I$2:$I$518)&amp;TRIM($J$2:$J$518))&lt;&gt;UPPER(TRIM($G155)&amp;TRIM($I155)&amp;TRIM($J155))))&gt;0), AND($AQ155&lt;&gt;"", LOWER(TRIM($AQ155))&lt;&gt;"n/a", LOWER(TRIM($AQ155))&lt;&gt;"na", SUMPRODUCT(--(UPPER(TRIM($AQ$2:$AQ$518))=UPPER(TRIM($AQ155))), --(UPPER(TRIM($B$2:$B$518))="YES"), --(UPPER(TRIM($G$2:$G$518)&amp;TRIM($I$2:$I$518)&amp;TRIM($J$2:$J$518))&lt;&gt;UPPER(TRIM($G155)&amp;TRIM($I155)&amp;TRIM($J155))))&gt;0)), "Yes", "No"))</f>
        <v/>
      </c>
      <c r="G155" t="inlineStr">
        <is>
          <t>LIJ - OR</t>
        </is>
      </c>
      <c r="H155" t="inlineStr">
        <is>
          <t>LIJ - OR</t>
        </is>
      </c>
      <c r="I155" t="inlineStr">
        <is>
          <t>LIJ ORs</t>
        </is>
      </c>
      <c r="J155" t="inlineStr">
        <is>
          <t>OR 2</t>
        </is>
      </c>
      <c r="K155" t="inlineStr">
        <is>
          <t>n/a</t>
        </is>
      </c>
      <c r="L155" s="18" t="n">
        <v>46074</v>
      </c>
      <c r="M155" t="inlineStr">
        <is>
          <t>OR iPro Cybernet Workstation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Inpatient</t>
        </is>
      </c>
      <c r="S155" t="inlineStr">
        <is>
          <t>Pass</t>
        </is>
      </c>
      <c r="T155" t="inlineStr">
        <is>
          <t>n/a</t>
        </is>
      </c>
      <c r="U155" t="inlineStr">
        <is>
          <t>1427182 LIJ Installation (Project Name) - Tim W. Seeberger, Akbar, Chris Perkins, Epic Team, Anesthesia Techs, and Admins</t>
        </is>
      </c>
      <c r="V155" t="inlineStr">
        <is>
          <t>WNH270OPR414</t>
        </is>
      </c>
      <c r="W155" t="inlineStr">
        <is>
          <t>MEDSG2425F-3168</t>
        </is>
      </c>
      <c r="X155" t="inlineStr">
        <is>
          <t>LIJ-MACH-WW</t>
        </is>
      </c>
      <c r="Y155" t="inlineStr">
        <is>
          <t>00187DE09A86</t>
        </is>
      </c>
      <c r="Z155" t="inlineStr">
        <is>
          <t>n/a</t>
        </is>
      </c>
      <c r="AH155" t="inlineStr">
        <is>
          <t>00:0D:05:0A:B0:CD</t>
        </is>
      </c>
      <c r="AI155" t="inlineStr">
        <is>
          <t>Anesthesia Machine</t>
        </is>
      </c>
      <c r="AK155" t="n">
        <v>2</v>
      </c>
      <c r="AM155" t="inlineStr">
        <is>
          <t>Drager</t>
        </is>
      </c>
      <c r="AN155" t="inlineStr">
        <is>
          <t>Apollo</t>
        </is>
      </c>
      <c r="AP155" t="inlineStr">
        <is>
          <t>ARXM-0372</t>
        </is>
      </c>
      <c r="AQ155" t="inlineStr">
        <is>
          <t>ARXM-0372</t>
        </is>
      </c>
      <c r="AS155" t="inlineStr">
        <is>
          <t>B1-CFW</t>
        </is>
      </c>
      <c r="AX155" t="inlineStr">
        <is>
          <t>MX750 - DE77669044</t>
        </is>
      </c>
      <c r="AY155" t="inlineStr">
        <is>
          <t>Anesthesia Machine</t>
        </is>
      </c>
      <c r="BR155" t="inlineStr">
        <is>
          <t>Yes</t>
        </is>
      </c>
      <c r="BS155" t="inlineStr">
        <is>
          <t>Yes</t>
        </is>
      </c>
      <c r="BT155" t="inlineStr">
        <is>
          <t>Yes</t>
        </is>
      </c>
      <c r="BU155" t="inlineStr">
        <is>
          <t>Yes</t>
        </is>
      </c>
      <c r="CA155" t="inlineStr">
        <is>
          <t>iPro
Epic Satellite
ALLSCRIPTS
EPIC BCA</t>
        </is>
      </c>
      <c r="CD155">
        <f>IF($Y155="","",IF((IF(AND($BR155&lt;&gt;"Yes",$BR155&lt;&gt;"N/A"),"Power Cable, ","")&amp;IF(AND($BS155&lt;&gt;"Yes",$BS155&lt;&gt;"N/A"),"Battery, ","")&amp;IF(AND($AD155&lt;&gt;"Yes",$AD155&lt;&gt;"N/A"),"Firmware Download, ","")&amp;IF(AND(OR($AD155="Yes",$AD155="N/A"),$AE155&lt;&gt;"Yes",$AE155&lt;&gt;"N/A"),"Firmware Install, ","")&amp;IF(AND($CB155&lt;&gt;"Yes",$CB155&lt;&gt;"N/A"),"Device ID, ","")&amp;IF(AND($CC155&lt;&gt;"Yes",$CC155&lt;&gt;"N/A"),"Epic Beans Relay, ",""))="","",LEFT(IF(AND($BR155&lt;&gt;"Yes",$BR155&lt;&gt;"N/A"),"Power Cable, ","")&amp;IF(AND($BS155&lt;&gt;"Yes",$BS155&lt;&gt;"N/A"),"Battery, ","")&amp;IF(AND($AD155&lt;&gt;"Yes",$AD155&lt;&gt;"N/A"),"Firmware Download, ","")&amp;IF(AND(OR($AD155="Yes",$AD155="N/A"),$AE155&lt;&gt;"Yes",$AE155&lt;&gt;"N/A"),"Firmware Install, ","")&amp;IF(AND($CB155&lt;&gt;"Yes",$CB155&lt;&gt;"N/A"),"Device ID, ","")&amp;IF(AND($CC155&lt;&gt;"Yes",$CC155&lt;&gt;"N/A"),"Epic Beans Relay, ",""),LEN(IF(AND($BR155&lt;&gt;"Yes",$BR155&lt;&gt;"N/A"),"Power Cable, ","")&amp;IF(AND($BS155&lt;&gt;"Yes",$BS155&lt;&gt;"N/A"),"Battery, ","")&amp;IF(AND($AD155&lt;&gt;"Yes",$AD155&lt;&gt;"N/A"),"Firmware Download, ","")&amp;IF(AND(OR($AD155="Yes",$AD155="N/A"),$AE155&lt;&gt;"Yes",$AE155&lt;&gt;"N/A"),"Firmware Install, ","")&amp;IF(AND($CB155&lt;&gt;"Yes",$CB155&lt;&gt;"N/A"),"Device ID, ","")&amp;IF(AND($CC155&lt;&gt;"Yes",$CC155&lt;&gt;"N/A"),"Epic Beans Relay, ",""))-2)))</f>
        <v/>
      </c>
      <c r="CE155">
        <f>IF($Y155="","",IF($CD155="","Yes","Blocked"))</f>
        <v/>
      </c>
      <c r="CF155" t="inlineStr">
        <is>
          <t>Yes</t>
        </is>
      </c>
      <c r="CG155" t="inlineStr">
        <is>
          <t>Yes</t>
        </is>
      </c>
      <c r="CH155" t="inlineStr">
        <is>
          <t>Yes</t>
        </is>
      </c>
      <c r="CI155" t="inlineStr">
        <is>
          <t>Yes</t>
        </is>
      </c>
      <c r="CJ155" t="inlineStr">
        <is>
          <t>Yes</t>
        </is>
      </c>
      <c r="CK155" t="n">
        <v>19200</v>
      </c>
      <c r="CP155">
        <f>IF($CO155="","",IFERROR(VLOOKUP($CO155,'01_Warehouse_Ledger'!$A:$N,4,FALSE),""))</f>
        <v/>
      </c>
      <c r="CQ155">
        <f>IF($CO155="","",IFERROR(VLOOKUP($CO155,'01_Warehouse_Ledger'!$A:$N,5,FALSE),""))</f>
        <v/>
      </c>
      <c r="CR155">
        <f>IF($CO155="","",IFERROR(VLOOKUP($CO155,'01_Warehouse_Ledger'!$A:$N,13,FALSE),""))</f>
        <v/>
      </c>
      <c r="CW155">
        <f>IF($S155="","",IF(UPPER(TRIM($S155))&lt;&gt;"PASS","",IF(LEN(TRIM($BY155))&gt;0,"NOTES_PRESENT",IF(LEN(TRIM($T155))=0,"SET_NA",IF(OR(LOWER(TRIM($T155))="na",LOWER(TRIM($T155))="n/a"),"OK","MANUAL_OVERRIDE")))))</f>
        <v/>
      </c>
    </row>
    <row r="156">
      <c r="A156" t="inlineStr">
        <is>
          <t>Cybernet</t>
        </is>
      </c>
      <c r="B156" t="inlineStr">
        <is>
          <t>Yes</t>
        </is>
      </c>
      <c r="C156" t="inlineStr">
        <is>
          <t>Yes</t>
        </is>
      </c>
      <c r="D156">
        <f>IF($B156&lt;&gt;"Yes","",IF($C156="No","Yes",IF($C156="Yes","No","")))</f>
        <v/>
      </c>
      <c r="E156">
        <f>IF($A156="","",IF(OR(AND($V156&lt;&gt;"",LOWER(TRIM($V156))&lt;&gt;"n/a",LOWER(TRIM($V156))&lt;&gt;"na",SUMPRODUCT(--(UPPER(TRIM($V$2:$V$518))=UPPER(TRIM($V156))),--(TRIM($V$2:$V$518)&lt;&gt;""),--(LOWER(TRIM($V$2:$V$518))&lt;&gt;"n/a"),--(LOWER(TRIM($V$2:$V$518))&lt;&gt;"na"))&gt;1),AND($W156&lt;&gt;"",LOWER(TRIM($W156))&lt;&gt;"n/a",LOWER(TRIM($W156))&lt;&gt;"na",SUMPRODUCT(--(UPPER(TRIM($W$2:$W$518))=UPPER(TRIM($W156))),--(TRIM($W$2:$W$518)&lt;&gt;""),--(LOWER(TRIM($W$2:$W$518))&lt;&gt;"n/a"),--(LOWER(TRIM($W$2:$W$518))&lt;&gt;"na"))&gt;1),AND($X156&lt;&gt;"",LOWER(TRIM($X156))&lt;&gt;"n/a",LOWER(TRIM($X156))&lt;&gt;"na",SUMPRODUCT(--(UPPER(TRIM($X$2:$X$518))=UPPER(TRIM($X156))),--(TRIM($X$2:$X$518)&lt;&gt;""),--(LOWER(TRIM($X$2:$X$518))&lt;&gt;"n/a"),--(LOWER(TRIM($X$2:$X$518))&lt;&gt;"na"))&gt;1),AND($Y156&lt;&gt;"",LOWER(TRIM($Y156))&lt;&gt;"n/a",LOWER(TRIM($Y156))&lt;&gt;"na",SUMPRODUCT(--(UPPER(SUBSTITUTE(SUBSTITUTE(TRIM($Y$2:$Y$518),":",""),"-",""))=UPPER(SUBSTITUTE(SUBSTITUTE(TRIM($Y156),":",""),"-",""))),--(TRIM($Y$2:$Y$518)&lt;&gt;""),--(LOWER(TRIM($Y$2:$Y$518))&lt;&gt;"n/a"),--(LOWER(TRIM($Y$2:$Y$518))&lt;&gt;"na"))&gt;1),AND($AB156&lt;&gt;"",LOWER(TRIM($AB156))&lt;&gt;"n/a",LOWER(TRIM($AB156))&lt;&gt;"na",SUMPRODUCT(--(UPPER(TRIM($AB$2:$AB$518))=UPPER(TRIM($AB156))),--(TRIM($AB$2:$AB$518)&lt;&gt;""),--(LOWER(TRIM($AB$2:$AB$518))&lt;&gt;"n/a"),--(LOWER(TRIM($AB$2:$AB$518))&lt;&gt;"na"))&gt;1),AND($AH156&lt;&gt;"",LOWER(TRIM($AH156))&lt;&gt;"n/a",LOWER(TRIM($AH156))&lt;&gt;"na",SUMPRODUCT(--(UPPER(SUBSTITUTE(SUBSTITUTE(TRIM($AH$2:$AH$518),":",""),"-",""))=UPPER(SUBSTITUTE(SUBSTITUTE(TRIM($AH156),":",""),"-",""))),--(TRIM($AH$2:$AH$518)&lt;&gt;""),--(LOWER(TRIM($AH$2:$AH$518))&lt;&gt;"n/a"),--(LOWER(TRIM($AH$2:$AH$518))&lt;&gt;"na"))&gt;1),AND($AP156&lt;&gt;"",LOWER(TRIM($AP156))&lt;&gt;"n/a",LOWER(TRIM($AP156))&lt;&gt;"na",SUMPRODUCT(--(UPPER(TRIM($AP$2:$AP$518))=UPPER(TRIM($AP156))),--(TRIM($AP$2:$AP$518)&lt;&gt;""),--(LOWER(TRIM($AP$2:$AP$518))&lt;&gt;"n/a"),--(LOWER(TRIM($AP$2:$AP$518))&lt;&gt;"na"))&gt;1),AND($AQ156&lt;&gt;"",LOWER(TRIM($AQ156))&lt;&gt;"n/a",LOWER(TRIM($AQ156))&lt;&gt;"na",SUMPRODUCT(--(UPPER(TRIM($AQ$2:$AQ$518))=UPPER(TRIM($AQ156))),--(TRIM($AQ$2:$AQ$518)&lt;&gt;""),--(LOWER(TRIM($AQ$2:$AQ$518))&lt;&gt;"n/a"),--(LOWER(TRIM($AQ$2:$AQ$518))&lt;&gt;"na"))&gt;1)),"Yes","No"))</f>
        <v/>
      </c>
      <c r="F156">
        <f>IF(UPPER(TRIM($B156))&lt;&gt;"YES","", IF(OR(AND($V156&lt;&gt;"", LOWER(TRIM($V156))&lt;&gt;"n/a", LOWER(TRIM($V156))&lt;&gt;"na", SUMPRODUCT(--(UPPER(TRIM($V$2:$V$518))=UPPER(TRIM($V156))), --(UPPER(TRIM($B$2:$B$518))="YES"), --(UPPER(TRIM($G$2:$G$518)&amp;TRIM($I$2:$I$518)&amp;TRIM($J$2:$J$518))&lt;&gt;UPPER(TRIM($G156)&amp;TRIM($I156)&amp;TRIM($J156))))&gt;0), AND($W156&lt;&gt;"", LOWER(TRIM($W156))&lt;&gt;"n/a", LOWER(TRIM($W156))&lt;&gt;"na", SUMPRODUCT(--(UPPER(TRIM($W$2:$W$518))=UPPER(TRIM($W156))), --(UPPER(TRIM($B$2:$B$518))="YES"), --(UPPER(TRIM($G$2:$G$518)&amp;TRIM($I$2:$I$518)&amp;TRIM($J$2:$J$518))&lt;&gt;UPPER(TRIM($G156)&amp;TRIM($I156)&amp;TRIM($J156))))&gt;0), AND($X156&lt;&gt;"", LOWER(TRIM($X156))&lt;&gt;"n/a", LOWER(TRIM($X156))&lt;&gt;"na", SUMPRODUCT(--(UPPER(TRIM($X$2:$X$518))=UPPER(TRIM($X156))), --(UPPER(TRIM($B$2:$B$518))="YES"), --(UPPER(TRIM($G$2:$G$518)&amp;TRIM($I$2:$I$518)&amp;TRIM($J$2:$J$518))&lt;&gt;UPPER(TRIM($G156)&amp;TRIM($I156)&amp;TRIM($J156))))&gt;0), AND($Y156&lt;&gt;"", LOWER(TRIM($Y156))&lt;&gt;"n/a", LOWER(TRIM($Y156))&lt;&gt;"na", SUMPRODUCT(--(UPPER(SUBSTITUTE(SUBSTITUTE(TRIM($Y$2:$Y$518),":",""),"-",""))=UPPER(SUBSTITUTE(SUBSTITUTE(TRIM($Y156),":",""),"-",""))), --(UPPER(TRIM($B$2:$B$518))="YES"), --(UPPER(TRIM($G$2:$G$518)&amp;TRIM($I$2:$I$518)&amp;TRIM($J$2:$J$518))&lt;&gt;UPPER(TRIM($G156)&amp;TRIM($I156)&amp;TRIM($J156))))&gt;0), AND($AB156&lt;&gt;"", LOWER(TRIM($AB156))&lt;&gt;"n/a", LOWER(TRIM($AB156))&lt;&gt;"na", SUMPRODUCT(--(UPPER(TRIM($AB$2:$AB$518))=UPPER(TRIM($AB156))), --(UPPER(TRIM($B$2:$B$518))="YES"), --(UPPER(TRIM($G$2:$G$518)&amp;TRIM($I$2:$I$518)&amp;TRIM($J$2:$J$518))&lt;&gt;UPPER(TRIM($G156)&amp;TRIM($I156)&amp;TRIM($J156))))&gt;0), AND($AH156&lt;&gt;"", LOWER(TRIM($AH156))&lt;&gt;"n/a", LOWER(TRIM($AH156))&lt;&gt;"na", SUMPRODUCT(--(UPPER(SUBSTITUTE(SUBSTITUTE(TRIM($AH$2:$AH$518),":",""),"-",""))=UPPER(SUBSTITUTE(SUBSTITUTE(TRIM($AH156),":",""),"-",""))), --(UPPER(TRIM($B$2:$B$518))="YES"), --(UPPER(TRIM($G$2:$G$518)&amp;TRIM($I$2:$I$518)&amp;TRIM($J$2:$J$518))&lt;&gt;UPPER(TRIM($G156)&amp;TRIM($I156)&amp;TRIM($J156))))&gt;0), AND($AP156&lt;&gt;"", LOWER(TRIM($AP156))&lt;&gt;"n/a", LOWER(TRIM($AP156))&lt;&gt;"na", SUMPRODUCT(--(UPPER(TRIM($AP$2:$AP$518))=UPPER(TRIM($AP156))), --(UPPER(TRIM($B$2:$B$518))="YES"), --(UPPER(TRIM($G$2:$G$518)&amp;TRIM($I$2:$I$518)&amp;TRIM($J$2:$J$518))&lt;&gt;UPPER(TRIM($G156)&amp;TRIM($I156)&amp;TRIM($J156))))&gt;0), AND($AQ156&lt;&gt;"", LOWER(TRIM($AQ156))&lt;&gt;"n/a", LOWER(TRIM($AQ156))&lt;&gt;"na", SUMPRODUCT(--(UPPER(TRIM($AQ$2:$AQ$518))=UPPER(TRIM($AQ156))), --(UPPER(TRIM($B$2:$B$518))="YES"), --(UPPER(TRIM($G$2:$G$518)&amp;TRIM($I$2:$I$518)&amp;TRIM($J$2:$J$518))&lt;&gt;UPPER(TRIM($G156)&amp;TRIM($I156)&amp;TRIM($J156))))&gt;0)), "Yes", "No"))</f>
        <v/>
      </c>
      <c r="G156" t="inlineStr">
        <is>
          <t>LIJ - OR</t>
        </is>
      </c>
      <c r="H156" t="inlineStr">
        <is>
          <t>LIJ - OR</t>
        </is>
      </c>
      <c r="I156" t="inlineStr">
        <is>
          <t>LIJ ORs</t>
        </is>
      </c>
      <c r="J156" t="inlineStr">
        <is>
          <t>OR 3</t>
        </is>
      </c>
      <c r="K156" t="inlineStr">
        <is>
          <t>n/a</t>
        </is>
      </c>
      <c r="L156" s="18" t="n">
        <v>46074</v>
      </c>
      <c r="M156" t="inlineStr">
        <is>
          <t>OR iPro Cybernet Workstation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Inpatient</t>
        </is>
      </c>
      <c r="S156" t="inlineStr">
        <is>
          <t>Pass</t>
        </is>
      </c>
      <c r="T156" t="inlineStr">
        <is>
          <t>n/a</t>
        </is>
      </c>
      <c r="U156" t="inlineStr">
        <is>
          <t>1427182 LIJ Installation (Project Name) - Tim W. Seeberger, Akbar, Chris Perkins, Epic Team, Anesthesia Techs, and Admins</t>
        </is>
      </c>
      <c r="V156" t="inlineStr">
        <is>
          <t>WNH270OPR415</t>
        </is>
      </c>
      <c r="W156" t="inlineStr">
        <is>
          <t>MEDSG2425F-3131</t>
        </is>
      </c>
      <c r="X156" t="inlineStr">
        <is>
          <t>LIJ-MACH-N</t>
        </is>
      </c>
      <c r="Y156" t="inlineStr">
        <is>
          <t>00187DE0E28E</t>
        </is>
      </c>
      <c r="Z156" t="inlineStr">
        <is>
          <t>n/a</t>
        </is>
      </c>
      <c r="AH156" t="inlineStr">
        <is>
          <t>00:0D:05:0A:B3:b7</t>
        </is>
      </c>
      <c r="AI156" t="inlineStr">
        <is>
          <t>Anesthesia Machine</t>
        </is>
      </c>
      <c r="AK156" t="n">
        <v>2</v>
      </c>
      <c r="AM156" t="inlineStr">
        <is>
          <t>Drager</t>
        </is>
      </c>
      <c r="AN156" t="inlineStr">
        <is>
          <t>Apollo</t>
        </is>
      </c>
      <c r="AP156" t="inlineStr">
        <is>
          <t>ARYJ-0052</t>
        </is>
      </c>
      <c r="AQ156" t="inlineStr">
        <is>
          <t>ARYJ-0052</t>
        </is>
      </c>
      <c r="AS156" t="inlineStr">
        <is>
          <t>B1-CFW</t>
        </is>
      </c>
      <c r="AX156" t="inlineStr">
        <is>
          <t>MX750 - DE77668935</t>
        </is>
      </c>
      <c r="AY156" t="inlineStr">
        <is>
          <t>Anesthesia Machine</t>
        </is>
      </c>
      <c r="BR156" t="inlineStr">
        <is>
          <t>Yes</t>
        </is>
      </c>
      <c r="BS156" t="inlineStr">
        <is>
          <t>Yes</t>
        </is>
      </c>
      <c r="BT156" t="inlineStr">
        <is>
          <t>Yes</t>
        </is>
      </c>
      <c r="BU156" t="inlineStr">
        <is>
          <t>Yes</t>
        </is>
      </c>
      <c r="CA156" t="inlineStr">
        <is>
          <t>iPro
Epic Satellite
ALLSCRIPTS
EPIC BCA</t>
        </is>
      </c>
      <c r="CD156">
        <f>IF($Y156="","",IF((IF(AND($BR156&lt;&gt;"Yes",$BR156&lt;&gt;"N/A"),"Power Cable, ","")&amp;IF(AND($BS156&lt;&gt;"Yes",$BS156&lt;&gt;"N/A"),"Battery, ","")&amp;IF(AND($AD156&lt;&gt;"Yes",$AD156&lt;&gt;"N/A"),"Firmware Download, ","")&amp;IF(AND(OR($AD156="Yes",$AD156="N/A"),$AE156&lt;&gt;"Yes",$AE156&lt;&gt;"N/A"),"Firmware Install, ","")&amp;IF(AND($CB156&lt;&gt;"Yes",$CB156&lt;&gt;"N/A"),"Device ID, ","")&amp;IF(AND($CC156&lt;&gt;"Yes",$CC156&lt;&gt;"N/A"),"Epic Beans Relay, ",""))="","",LEFT(IF(AND($BR156&lt;&gt;"Yes",$BR156&lt;&gt;"N/A"),"Power Cable, ","")&amp;IF(AND($BS156&lt;&gt;"Yes",$BS156&lt;&gt;"N/A"),"Battery, ","")&amp;IF(AND($AD156&lt;&gt;"Yes",$AD156&lt;&gt;"N/A"),"Firmware Download, ","")&amp;IF(AND(OR($AD156="Yes",$AD156="N/A"),$AE156&lt;&gt;"Yes",$AE156&lt;&gt;"N/A"),"Firmware Install, ","")&amp;IF(AND($CB156&lt;&gt;"Yes",$CB156&lt;&gt;"N/A"),"Device ID, ","")&amp;IF(AND($CC156&lt;&gt;"Yes",$CC156&lt;&gt;"N/A"),"Epic Beans Relay, ",""),LEN(IF(AND($BR156&lt;&gt;"Yes",$BR156&lt;&gt;"N/A"),"Power Cable, ","")&amp;IF(AND($BS156&lt;&gt;"Yes",$BS156&lt;&gt;"N/A"),"Battery, ","")&amp;IF(AND($AD156&lt;&gt;"Yes",$AD156&lt;&gt;"N/A"),"Firmware Download, ","")&amp;IF(AND(OR($AD156="Yes",$AD156="N/A"),$AE156&lt;&gt;"Yes",$AE156&lt;&gt;"N/A"),"Firmware Install, ","")&amp;IF(AND($CB156&lt;&gt;"Yes",$CB156&lt;&gt;"N/A"),"Device ID, ","")&amp;IF(AND($CC156&lt;&gt;"Yes",$CC156&lt;&gt;"N/A"),"Epic Beans Relay, ",""))-2)))</f>
        <v/>
      </c>
      <c r="CE156">
        <f>IF($Y156="","",IF($CD156="","Yes","Blocked"))</f>
        <v/>
      </c>
      <c r="CF156" t="inlineStr">
        <is>
          <t>Yes</t>
        </is>
      </c>
      <c r="CG156" t="inlineStr">
        <is>
          <t>Yes</t>
        </is>
      </c>
      <c r="CH156" t="inlineStr">
        <is>
          <t>Yes</t>
        </is>
      </c>
      <c r="CI156" t="inlineStr">
        <is>
          <t>Yes</t>
        </is>
      </c>
      <c r="CJ156" t="inlineStr">
        <is>
          <t>Yes</t>
        </is>
      </c>
      <c r="CK156" t="n">
        <v>19200</v>
      </c>
      <c r="CP156">
        <f>IF($CO156="","",IFERROR(VLOOKUP($CO156,'01_Warehouse_Ledger'!$A:$N,4,FALSE),""))</f>
        <v/>
      </c>
      <c r="CQ156">
        <f>IF($CO156="","",IFERROR(VLOOKUP($CO156,'01_Warehouse_Ledger'!$A:$N,5,FALSE),""))</f>
        <v/>
      </c>
      <c r="CR156">
        <f>IF($CO156="","",IFERROR(VLOOKUP($CO156,'01_Warehouse_Ledger'!$A:$N,13,FALSE),""))</f>
        <v/>
      </c>
      <c r="CW156">
        <f>IF($S156="","",IF(UPPER(TRIM($S156))&lt;&gt;"PASS","",IF(LEN(TRIM($BY156))&gt;0,"NOTES_PRESENT",IF(LEN(TRIM($T156))=0,"SET_NA",IF(OR(LOWER(TRIM($T156))="na",LOWER(TRIM($T156))="n/a"),"OK","MANUAL_OVERRIDE")))))</f>
        <v/>
      </c>
    </row>
    <row r="157">
      <c r="A157" t="inlineStr">
        <is>
          <t>Cybernet</t>
        </is>
      </c>
      <c r="B157" t="inlineStr">
        <is>
          <t>Yes</t>
        </is>
      </c>
      <c r="C157" t="inlineStr">
        <is>
          <t>Yes</t>
        </is>
      </c>
      <c r="D157">
        <f>IF($B157&lt;&gt;"Yes","",IF($C157="No","Yes",IF($C157="Yes","No","")))</f>
        <v/>
      </c>
      <c r="E157">
        <f>IF($A157="","",IF(OR(AND($V157&lt;&gt;"",LOWER(TRIM($V157))&lt;&gt;"n/a",LOWER(TRIM($V157))&lt;&gt;"na",SUMPRODUCT(--(UPPER(TRIM($V$2:$V$518))=UPPER(TRIM($V157))),--(TRIM($V$2:$V$518)&lt;&gt;""),--(LOWER(TRIM($V$2:$V$518))&lt;&gt;"n/a"),--(LOWER(TRIM($V$2:$V$518))&lt;&gt;"na"))&gt;1),AND($W157&lt;&gt;"",LOWER(TRIM($W157))&lt;&gt;"n/a",LOWER(TRIM($W157))&lt;&gt;"na",SUMPRODUCT(--(UPPER(TRIM($W$2:$W$518))=UPPER(TRIM($W157))),--(TRIM($W$2:$W$518)&lt;&gt;""),--(LOWER(TRIM($W$2:$W$518))&lt;&gt;"n/a"),--(LOWER(TRIM($W$2:$W$518))&lt;&gt;"na"))&gt;1),AND($X157&lt;&gt;"",LOWER(TRIM($X157))&lt;&gt;"n/a",LOWER(TRIM($X157))&lt;&gt;"na",SUMPRODUCT(--(UPPER(TRIM($X$2:$X$518))=UPPER(TRIM($X157))),--(TRIM($X$2:$X$518)&lt;&gt;""),--(LOWER(TRIM($X$2:$X$518))&lt;&gt;"n/a"),--(LOWER(TRIM($X$2:$X$518))&lt;&gt;"na"))&gt;1),AND($Y157&lt;&gt;"",LOWER(TRIM($Y157))&lt;&gt;"n/a",LOWER(TRIM($Y157))&lt;&gt;"na",SUMPRODUCT(--(UPPER(SUBSTITUTE(SUBSTITUTE(TRIM($Y$2:$Y$518),":",""),"-",""))=UPPER(SUBSTITUTE(SUBSTITUTE(TRIM($Y157),":",""),"-",""))),--(TRIM($Y$2:$Y$518)&lt;&gt;""),--(LOWER(TRIM($Y$2:$Y$518))&lt;&gt;"n/a"),--(LOWER(TRIM($Y$2:$Y$518))&lt;&gt;"na"))&gt;1),AND($AB157&lt;&gt;"",LOWER(TRIM($AB157))&lt;&gt;"n/a",LOWER(TRIM($AB157))&lt;&gt;"na",SUMPRODUCT(--(UPPER(TRIM($AB$2:$AB$518))=UPPER(TRIM($AB157))),--(TRIM($AB$2:$AB$518)&lt;&gt;""),--(LOWER(TRIM($AB$2:$AB$518))&lt;&gt;"n/a"),--(LOWER(TRIM($AB$2:$AB$518))&lt;&gt;"na"))&gt;1),AND($AH157&lt;&gt;"",LOWER(TRIM($AH157))&lt;&gt;"n/a",LOWER(TRIM($AH157))&lt;&gt;"na",SUMPRODUCT(--(UPPER(SUBSTITUTE(SUBSTITUTE(TRIM($AH$2:$AH$518),":",""),"-",""))=UPPER(SUBSTITUTE(SUBSTITUTE(TRIM($AH157),":",""),"-",""))),--(TRIM($AH$2:$AH$518)&lt;&gt;""),--(LOWER(TRIM($AH$2:$AH$518))&lt;&gt;"n/a"),--(LOWER(TRIM($AH$2:$AH$518))&lt;&gt;"na"))&gt;1),AND($AP157&lt;&gt;"",LOWER(TRIM($AP157))&lt;&gt;"n/a",LOWER(TRIM($AP157))&lt;&gt;"na",SUMPRODUCT(--(UPPER(TRIM($AP$2:$AP$518))=UPPER(TRIM($AP157))),--(TRIM($AP$2:$AP$518)&lt;&gt;""),--(LOWER(TRIM($AP$2:$AP$518))&lt;&gt;"n/a"),--(LOWER(TRIM($AP$2:$AP$518))&lt;&gt;"na"))&gt;1),AND($AQ157&lt;&gt;"",LOWER(TRIM($AQ157))&lt;&gt;"n/a",LOWER(TRIM($AQ157))&lt;&gt;"na",SUMPRODUCT(--(UPPER(TRIM($AQ$2:$AQ$518))=UPPER(TRIM($AQ157))),--(TRIM($AQ$2:$AQ$518)&lt;&gt;""),--(LOWER(TRIM($AQ$2:$AQ$518))&lt;&gt;"n/a"),--(LOWER(TRIM($AQ$2:$AQ$518))&lt;&gt;"na"))&gt;1)),"Yes","No"))</f>
        <v/>
      </c>
      <c r="F157">
        <f>IF(UPPER(TRIM($B157))&lt;&gt;"YES","", IF(OR(AND($V157&lt;&gt;"", LOWER(TRIM($V157))&lt;&gt;"n/a", LOWER(TRIM($V157))&lt;&gt;"na", SUMPRODUCT(--(UPPER(TRIM($V$2:$V$518))=UPPER(TRIM($V157))), --(UPPER(TRIM($B$2:$B$518))="YES"), --(UPPER(TRIM($G$2:$G$518)&amp;TRIM($I$2:$I$518)&amp;TRIM($J$2:$J$518))&lt;&gt;UPPER(TRIM($G157)&amp;TRIM($I157)&amp;TRIM($J157))))&gt;0), AND($W157&lt;&gt;"", LOWER(TRIM($W157))&lt;&gt;"n/a", LOWER(TRIM($W157))&lt;&gt;"na", SUMPRODUCT(--(UPPER(TRIM($W$2:$W$518))=UPPER(TRIM($W157))), --(UPPER(TRIM($B$2:$B$518))="YES"), --(UPPER(TRIM($G$2:$G$518)&amp;TRIM($I$2:$I$518)&amp;TRIM($J$2:$J$518))&lt;&gt;UPPER(TRIM($G157)&amp;TRIM($I157)&amp;TRIM($J157))))&gt;0), AND($X157&lt;&gt;"", LOWER(TRIM($X157))&lt;&gt;"n/a", LOWER(TRIM($X157))&lt;&gt;"na", SUMPRODUCT(--(UPPER(TRIM($X$2:$X$518))=UPPER(TRIM($X157))), --(UPPER(TRIM($B$2:$B$518))="YES"), --(UPPER(TRIM($G$2:$G$518)&amp;TRIM($I$2:$I$518)&amp;TRIM($J$2:$J$518))&lt;&gt;UPPER(TRIM($G157)&amp;TRIM($I157)&amp;TRIM($J157))))&gt;0), AND($Y157&lt;&gt;"", LOWER(TRIM($Y157))&lt;&gt;"n/a", LOWER(TRIM($Y157))&lt;&gt;"na", SUMPRODUCT(--(UPPER(SUBSTITUTE(SUBSTITUTE(TRIM($Y$2:$Y$518),":",""),"-",""))=UPPER(SUBSTITUTE(SUBSTITUTE(TRIM($Y157),":",""),"-",""))), --(UPPER(TRIM($B$2:$B$518))="YES"), --(UPPER(TRIM($G$2:$G$518)&amp;TRIM($I$2:$I$518)&amp;TRIM($J$2:$J$518))&lt;&gt;UPPER(TRIM($G157)&amp;TRIM($I157)&amp;TRIM($J157))))&gt;0), AND($AB157&lt;&gt;"", LOWER(TRIM($AB157))&lt;&gt;"n/a", LOWER(TRIM($AB157))&lt;&gt;"na", SUMPRODUCT(--(UPPER(TRIM($AB$2:$AB$518))=UPPER(TRIM($AB157))), --(UPPER(TRIM($B$2:$B$518))="YES"), --(UPPER(TRIM($G$2:$G$518)&amp;TRIM($I$2:$I$518)&amp;TRIM($J$2:$J$518))&lt;&gt;UPPER(TRIM($G157)&amp;TRIM($I157)&amp;TRIM($J157))))&gt;0), AND($AH157&lt;&gt;"", LOWER(TRIM($AH157))&lt;&gt;"n/a", LOWER(TRIM($AH157))&lt;&gt;"na", SUMPRODUCT(--(UPPER(SUBSTITUTE(SUBSTITUTE(TRIM($AH$2:$AH$518),":",""),"-",""))=UPPER(SUBSTITUTE(SUBSTITUTE(TRIM($AH157),":",""),"-",""))), --(UPPER(TRIM($B$2:$B$518))="YES"), --(UPPER(TRIM($G$2:$G$518)&amp;TRIM($I$2:$I$518)&amp;TRIM($J$2:$J$518))&lt;&gt;UPPER(TRIM($G157)&amp;TRIM($I157)&amp;TRIM($J157))))&gt;0), AND($AP157&lt;&gt;"", LOWER(TRIM($AP157))&lt;&gt;"n/a", LOWER(TRIM($AP157))&lt;&gt;"na", SUMPRODUCT(--(UPPER(TRIM($AP$2:$AP$518))=UPPER(TRIM($AP157))), --(UPPER(TRIM($B$2:$B$518))="YES"), --(UPPER(TRIM($G$2:$G$518)&amp;TRIM($I$2:$I$518)&amp;TRIM($J$2:$J$518))&lt;&gt;UPPER(TRIM($G157)&amp;TRIM($I157)&amp;TRIM($J157))))&gt;0), AND($AQ157&lt;&gt;"", LOWER(TRIM($AQ157))&lt;&gt;"n/a", LOWER(TRIM($AQ157))&lt;&gt;"na", SUMPRODUCT(--(UPPER(TRIM($AQ$2:$AQ$518))=UPPER(TRIM($AQ157))), --(UPPER(TRIM($B$2:$B$518))="YES"), --(UPPER(TRIM($G$2:$G$518)&amp;TRIM($I$2:$I$518)&amp;TRIM($J$2:$J$518))&lt;&gt;UPPER(TRIM($G157)&amp;TRIM($I157)&amp;TRIM($J157))))&gt;0)), "Yes", "No"))</f>
        <v/>
      </c>
      <c r="G157" t="inlineStr">
        <is>
          <t>LIJ - OR</t>
        </is>
      </c>
      <c r="H157" t="inlineStr">
        <is>
          <t>LIJ - OR</t>
        </is>
      </c>
      <c r="I157" t="inlineStr">
        <is>
          <t>LIJ ORs</t>
        </is>
      </c>
      <c r="J157" t="inlineStr">
        <is>
          <t>OR 4</t>
        </is>
      </c>
      <c r="K157" t="inlineStr">
        <is>
          <t>n/a</t>
        </is>
      </c>
      <c r="L157" s="18" t="n">
        <v>46074</v>
      </c>
      <c r="M157" t="inlineStr">
        <is>
          <t>OR iPro Cybernet Workstation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Inpatient</t>
        </is>
      </c>
      <c r="S157" t="inlineStr">
        <is>
          <t>Pass</t>
        </is>
      </c>
      <c r="T157" t="inlineStr">
        <is>
          <t>n/a</t>
        </is>
      </c>
      <c r="U157" t="inlineStr">
        <is>
          <t>1427182 LIJ Installation (Project Name) - Tim W. Seeberger, Akbar, Chris Perkins, Epic Team, Anesthesia Techs, and Admins</t>
        </is>
      </c>
      <c r="V157" t="inlineStr">
        <is>
          <t>WNH270OPR416</t>
        </is>
      </c>
      <c r="W157" t="inlineStr">
        <is>
          <t>MEDSG2425F-0019</t>
        </is>
      </c>
      <c r="X157" t="inlineStr">
        <is>
          <t>LIJ-MACH-DD</t>
        </is>
      </c>
      <c r="Y157" t="inlineStr">
        <is>
          <t>00187DE0E2BB</t>
        </is>
      </c>
      <c r="Z157" t="inlineStr">
        <is>
          <t>n/a</t>
        </is>
      </c>
      <c r="AH157" t="inlineStr">
        <is>
          <t>00:0D:05:0A:A8:29</t>
        </is>
      </c>
      <c r="AI157" t="inlineStr">
        <is>
          <t>Anesthesia Machine</t>
        </is>
      </c>
      <c r="AK157" t="n">
        <v>2</v>
      </c>
      <c r="AL157" t="inlineStr">
        <is>
          <t>OR#4-TUR / IPRO</t>
        </is>
      </c>
      <c r="AM157" t="inlineStr">
        <is>
          <t>Drager</t>
        </is>
      </c>
      <c r="AN157" t="inlineStr">
        <is>
          <t>Apollo</t>
        </is>
      </c>
      <c r="AP157" t="inlineStr">
        <is>
          <t>ASEA-0173</t>
        </is>
      </c>
      <c r="AQ157" t="inlineStr">
        <is>
          <t>ASEA-0173</t>
        </is>
      </c>
      <c r="AS157" t="inlineStr">
        <is>
          <t>B1-CFW</t>
        </is>
      </c>
      <c r="AX157" t="inlineStr">
        <is>
          <t>MX750 - DE77668944</t>
        </is>
      </c>
      <c r="AY157" t="inlineStr">
        <is>
          <t>Anesthesia Machine</t>
        </is>
      </c>
      <c r="BR157" t="inlineStr">
        <is>
          <t>Yes</t>
        </is>
      </c>
      <c r="BS157" t="inlineStr">
        <is>
          <t>Yes</t>
        </is>
      </c>
      <c r="BT157" t="inlineStr">
        <is>
          <t>Yes</t>
        </is>
      </c>
      <c r="BU157" t="inlineStr">
        <is>
          <t>Yes</t>
        </is>
      </c>
      <c r="CA157" t="inlineStr">
        <is>
          <t>iPro
Epic Satellite
ALLSCRIPTS
EPIC BCA</t>
        </is>
      </c>
      <c r="CD157">
        <f>IF($Y157="","",IF((IF(AND($BR157&lt;&gt;"Yes",$BR157&lt;&gt;"N/A"),"Power Cable, ","")&amp;IF(AND($BS157&lt;&gt;"Yes",$BS157&lt;&gt;"N/A"),"Battery, ","")&amp;IF(AND($AD157&lt;&gt;"Yes",$AD157&lt;&gt;"N/A"),"Firmware Download, ","")&amp;IF(AND(OR($AD157="Yes",$AD157="N/A"),$AE157&lt;&gt;"Yes",$AE157&lt;&gt;"N/A"),"Firmware Install, ","")&amp;IF(AND($CB157&lt;&gt;"Yes",$CB157&lt;&gt;"N/A"),"Device ID, ","")&amp;IF(AND($CC157&lt;&gt;"Yes",$CC157&lt;&gt;"N/A"),"Epic Beans Relay, ",""))="","",LEFT(IF(AND($BR157&lt;&gt;"Yes",$BR157&lt;&gt;"N/A"),"Power Cable, ","")&amp;IF(AND($BS157&lt;&gt;"Yes",$BS157&lt;&gt;"N/A"),"Battery, ","")&amp;IF(AND($AD157&lt;&gt;"Yes",$AD157&lt;&gt;"N/A"),"Firmware Download, ","")&amp;IF(AND(OR($AD157="Yes",$AD157="N/A"),$AE157&lt;&gt;"Yes",$AE157&lt;&gt;"N/A"),"Firmware Install, ","")&amp;IF(AND($CB157&lt;&gt;"Yes",$CB157&lt;&gt;"N/A"),"Device ID, ","")&amp;IF(AND($CC157&lt;&gt;"Yes",$CC157&lt;&gt;"N/A"),"Epic Beans Relay, ",""),LEN(IF(AND($BR157&lt;&gt;"Yes",$BR157&lt;&gt;"N/A"),"Power Cable, ","")&amp;IF(AND($BS157&lt;&gt;"Yes",$BS157&lt;&gt;"N/A"),"Battery, ","")&amp;IF(AND($AD157&lt;&gt;"Yes",$AD157&lt;&gt;"N/A"),"Firmware Download, ","")&amp;IF(AND(OR($AD157="Yes",$AD157="N/A"),$AE157&lt;&gt;"Yes",$AE157&lt;&gt;"N/A"),"Firmware Install, ","")&amp;IF(AND($CB157&lt;&gt;"Yes",$CB157&lt;&gt;"N/A"),"Device ID, ","")&amp;IF(AND($CC157&lt;&gt;"Yes",$CC157&lt;&gt;"N/A"),"Epic Beans Relay, ",""))-2)))</f>
        <v/>
      </c>
      <c r="CE157">
        <f>IF($Y157="","",IF($CD157="","Yes","Blocked"))</f>
        <v/>
      </c>
      <c r="CF157" t="inlineStr">
        <is>
          <t>Yes</t>
        </is>
      </c>
      <c r="CG157" t="inlineStr">
        <is>
          <t>Yes</t>
        </is>
      </c>
      <c r="CH157" t="inlineStr">
        <is>
          <t>Yes</t>
        </is>
      </c>
      <c r="CI157" t="inlineStr">
        <is>
          <t>Yes</t>
        </is>
      </c>
      <c r="CJ157" t="inlineStr">
        <is>
          <t>Yes</t>
        </is>
      </c>
      <c r="CK157" t="n">
        <v>19200</v>
      </c>
      <c r="CP157">
        <f>IF($CO157="","",IFERROR(VLOOKUP($CO157,'01_Warehouse_Ledger'!$A:$N,4,FALSE),""))</f>
        <v/>
      </c>
      <c r="CQ157">
        <f>IF($CO157="","",IFERROR(VLOOKUP($CO157,'01_Warehouse_Ledger'!$A:$N,5,FALSE),""))</f>
        <v/>
      </c>
      <c r="CR157">
        <f>IF($CO157="","",IFERROR(VLOOKUP($CO157,'01_Warehouse_Ledger'!$A:$N,13,FALSE),""))</f>
        <v/>
      </c>
      <c r="CW157">
        <f>IF($S157="","",IF(UPPER(TRIM($S157))&lt;&gt;"PASS","",IF(LEN(TRIM($BY157))&gt;0,"NOTES_PRESENT",IF(LEN(TRIM($T157))=0,"SET_NA",IF(OR(LOWER(TRIM($T157))="na",LOWER(TRIM($T157))="n/a"),"OK","MANUAL_OVERRIDE")))))</f>
        <v/>
      </c>
    </row>
    <row r="158">
      <c r="A158" t="inlineStr">
        <is>
          <t>Cybernet</t>
        </is>
      </c>
      <c r="B158" s="5" t="inlineStr">
        <is>
          <t>Yes</t>
        </is>
      </c>
      <c r="C158" t="inlineStr">
        <is>
          <t>Yes</t>
        </is>
      </c>
      <c r="D158">
        <f>IF($B158&lt;&gt;"Yes","",IF($C158="No","Yes",IF($C158="Yes","No","")))</f>
        <v/>
      </c>
      <c r="E158">
        <f>IF($A158="","",IF(OR(AND($V158&lt;&gt;"",LOWER(TRIM($V158))&lt;&gt;"n/a",LOWER(TRIM($V158))&lt;&gt;"na",SUMPRODUCT(--(UPPER(TRIM($V$2:$V$518))=UPPER(TRIM($V158))),--(TRIM($V$2:$V$518)&lt;&gt;""),--(LOWER(TRIM($V$2:$V$518))&lt;&gt;"n/a"),--(LOWER(TRIM($V$2:$V$518))&lt;&gt;"na"))&gt;1),AND($W158&lt;&gt;"",LOWER(TRIM($W158))&lt;&gt;"n/a",LOWER(TRIM($W158))&lt;&gt;"na",SUMPRODUCT(--(UPPER(TRIM($W$2:$W$518))=UPPER(TRIM($W158))),--(TRIM($W$2:$W$518)&lt;&gt;""),--(LOWER(TRIM($W$2:$W$518))&lt;&gt;"n/a"),--(LOWER(TRIM($W$2:$W$518))&lt;&gt;"na"))&gt;1),AND($X158&lt;&gt;"",LOWER(TRIM($X158))&lt;&gt;"n/a",LOWER(TRIM($X158))&lt;&gt;"na",SUMPRODUCT(--(UPPER(TRIM($X$2:$X$518))=UPPER(TRIM($X158))),--(TRIM($X$2:$X$518)&lt;&gt;""),--(LOWER(TRIM($X$2:$X$518))&lt;&gt;"n/a"),--(LOWER(TRIM($X$2:$X$518))&lt;&gt;"na"))&gt;1),AND($Y158&lt;&gt;"",LOWER(TRIM($Y158))&lt;&gt;"n/a",LOWER(TRIM($Y158))&lt;&gt;"na",SUMPRODUCT(--(UPPER(SUBSTITUTE(SUBSTITUTE(TRIM($Y$2:$Y$518),":",""),"-",""))=UPPER(SUBSTITUTE(SUBSTITUTE(TRIM($Y158),":",""),"-",""))),--(TRIM($Y$2:$Y$518)&lt;&gt;""),--(LOWER(TRIM($Y$2:$Y$518))&lt;&gt;"n/a"),--(LOWER(TRIM($Y$2:$Y$518))&lt;&gt;"na"))&gt;1),AND($AB158&lt;&gt;"",LOWER(TRIM($AB158))&lt;&gt;"n/a",LOWER(TRIM($AB158))&lt;&gt;"na",SUMPRODUCT(--(UPPER(TRIM($AB$2:$AB$518))=UPPER(TRIM($AB158))),--(TRIM($AB$2:$AB$518)&lt;&gt;""),--(LOWER(TRIM($AB$2:$AB$518))&lt;&gt;"n/a"),--(LOWER(TRIM($AB$2:$AB$518))&lt;&gt;"na"))&gt;1),AND($AH158&lt;&gt;"",LOWER(TRIM($AH158))&lt;&gt;"n/a",LOWER(TRIM($AH158))&lt;&gt;"na",SUMPRODUCT(--(UPPER(SUBSTITUTE(SUBSTITUTE(TRIM($AH$2:$AH$518),":",""),"-",""))=UPPER(SUBSTITUTE(SUBSTITUTE(TRIM($AH158),":",""),"-",""))),--(TRIM($AH$2:$AH$518)&lt;&gt;""),--(LOWER(TRIM($AH$2:$AH$518))&lt;&gt;"n/a"),--(LOWER(TRIM($AH$2:$AH$518))&lt;&gt;"na"))&gt;1),AND($AP158&lt;&gt;"",LOWER(TRIM($AP158))&lt;&gt;"n/a",LOWER(TRIM($AP158))&lt;&gt;"na",SUMPRODUCT(--(UPPER(TRIM($AP$2:$AP$518))=UPPER(TRIM($AP158))),--(TRIM($AP$2:$AP$518)&lt;&gt;""),--(LOWER(TRIM($AP$2:$AP$518))&lt;&gt;"n/a"),--(LOWER(TRIM($AP$2:$AP$518))&lt;&gt;"na"))&gt;1),AND($AQ158&lt;&gt;"",LOWER(TRIM($AQ158))&lt;&gt;"n/a",LOWER(TRIM($AQ158))&lt;&gt;"na",SUMPRODUCT(--(UPPER(TRIM($AQ$2:$AQ$518))=UPPER(TRIM($AQ158))),--(TRIM($AQ$2:$AQ$518)&lt;&gt;""),--(LOWER(TRIM($AQ$2:$AQ$518))&lt;&gt;"n/a"),--(LOWER(TRIM($AQ$2:$AQ$518))&lt;&gt;"na"))&gt;1)),"Yes","No"))</f>
        <v/>
      </c>
      <c r="F158">
        <f>IF(UPPER(TRIM($B158))&lt;&gt;"YES","", IF(OR(AND($V158&lt;&gt;"", LOWER(TRIM($V158))&lt;&gt;"n/a", LOWER(TRIM($V158))&lt;&gt;"na", SUMPRODUCT(--(UPPER(TRIM($V$2:$V$518))=UPPER(TRIM($V158))), --(UPPER(TRIM($B$2:$B$518))="YES"), --(UPPER(TRIM($G$2:$G$518)&amp;TRIM($I$2:$I$518)&amp;TRIM($J$2:$J$518))&lt;&gt;UPPER(TRIM($G158)&amp;TRIM($I158)&amp;TRIM($J158))))&gt;0), AND($W158&lt;&gt;"", LOWER(TRIM($W158))&lt;&gt;"n/a", LOWER(TRIM($W158))&lt;&gt;"na", SUMPRODUCT(--(UPPER(TRIM($W$2:$W$518))=UPPER(TRIM($W158))), --(UPPER(TRIM($B$2:$B$518))="YES"), --(UPPER(TRIM($G$2:$G$518)&amp;TRIM($I$2:$I$518)&amp;TRIM($J$2:$J$518))&lt;&gt;UPPER(TRIM($G158)&amp;TRIM($I158)&amp;TRIM($J158))))&gt;0), AND($X158&lt;&gt;"", LOWER(TRIM($X158))&lt;&gt;"n/a", LOWER(TRIM($X158))&lt;&gt;"na", SUMPRODUCT(--(UPPER(TRIM($X$2:$X$518))=UPPER(TRIM($X158))), --(UPPER(TRIM($B$2:$B$518))="YES"), --(UPPER(TRIM($G$2:$G$518)&amp;TRIM($I$2:$I$518)&amp;TRIM($J$2:$J$518))&lt;&gt;UPPER(TRIM($G158)&amp;TRIM($I158)&amp;TRIM($J158))))&gt;0), AND($Y158&lt;&gt;"", LOWER(TRIM($Y158))&lt;&gt;"n/a", LOWER(TRIM($Y158))&lt;&gt;"na", SUMPRODUCT(--(UPPER(SUBSTITUTE(SUBSTITUTE(TRIM($Y$2:$Y$518),":",""),"-",""))=UPPER(SUBSTITUTE(SUBSTITUTE(TRIM($Y158),":",""),"-",""))), --(UPPER(TRIM($B$2:$B$518))="YES"), --(UPPER(TRIM($G$2:$G$518)&amp;TRIM($I$2:$I$518)&amp;TRIM($J$2:$J$518))&lt;&gt;UPPER(TRIM($G158)&amp;TRIM($I158)&amp;TRIM($J158))))&gt;0), AND($AB158&lt;&gt;"", LOWER(TRIM($AB158))&lt;&gt;"n/a", LOWER(TRIM($AB158))&lt;&gt;"na", SUMPRODUCT(--(UPPER(TRIM($AB$2:$AB$518))=UPPER(TRIM($AB158))), --(UPPER(TRIM($B$2:$B$518))="YES"), --(UPPER(TRIM($G$2:$G$518)&amp;TRIM($I$2:$I$518)&amp;TRIM($J$2:$J$518))&lt;&gt;UPPER(TRIM($G158)&amp;TRIM($I158)&amp;TRIM($J158))))&gt;0), AND($AH158&lt;&gt;"", LOWER(TRIM($AH158))&lt;&gt;"n/a", LOWER(TRIM($AH158))&lt;&gt;"na", SUMPRODUCT(--(UPPER(SUBSTITUTE(SUBSTITUTE(TRIM($AH$2:$AH$518),":",""),"-",""))=UPPER(SUBSTITUTE(SUBSTITUTE(TRIM($AH158),":",""),"-",""))), --(UPPER(TRIM($B$2:$B$518))="YES"), --(UPPER(TRIM($G$2:$G$518)&amp;TRIM($I$2:$I$518)&amp;TRIM($J$2:$J$518))&lt;&gt;UPPER(TRIM($G158)&amp;TRIM($I158)&amp;TRIM($J158))))&gt;0), AND($AP158&lt;&gt;"", LOWER(TRIM($AP158))&lt;&gt;"n/a", LOWER(TRIM($AP158))&lt;&gt;"na", SUMPRODUCT(--(UPPER(TRIM($AP$2:$AP$518))=UPPER(TRIM($AP158))), --(UPPER(TRIM($B$2:$B$518))="YES"), --(UPPER(TRIM($G$2:$G$518)&amp;TRIM($I$2:$I$518)&amp;TRIM($J$2:$J$518))&lt;&gt;UPPER(TRIM($G158)&amp;TRIM($I158)&amp;TRIM($J158))))&gt;0), AND($AQ158&lt;&gt;"", LOWER(TRIM($AQ158))&lt;&gt;"n/a", LOWER(TRIM($AQ158))&lt;&gt;"na", SUMPRODUCT(--(UPPER(TRIM($AQ$2:$AQ$518))=UPPER(TRIM($AQ158))), --(UPPER(TRIM($B$2:$B$518))="YES"), --(UPPER(TRIM($G$2:$G$518)&amp;TRIM($I$2:$I$518)&amp;TRIM($J$2:$J$518))&lt;&gt;UPPER(TRIM($G158)&amp;TRIM($I158)&amp;TRIM($J158))))&gt;0)), "Yes", "No"))</f>
        <v/>
      </c>
      <c r="G158" t="inlineStr">
        <is>
          <t>LIJ - OR</t>
        </is>
      </c>
      <c r="H158" t="inlineStr">
        <is>
          <t>LIJ - OR</t>
        </is>
      </c>
      <c r="I158" t="inlineStr">
        <is>
          <t>LIJ ORs</t>
        </is>
      </c>
      <c r="J158" t="inlineStr">
        <is>
          <t>OR 5</t>
        </is>
      </c>
      <c r="K158" t="inlineStr">
        <is>
          <t>n/a</t>
        </is>
      </c>
      <c r="L158" s="18" t="n">
        <v>46074</v>
      </c>
      <c r="M158" t="inlineStr">
        <is>
          <t>OR iPro Cybernet Workstation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Inpatient</t>
        </is>
      </c>
      <c r="S158" t="inlineStr">
        <is>
          <t>Pass</t>
        </is>
      </c>
      <c r="T158" t="inlineStr">
        <is>
          <t>n/a</t>
        </is>
      </c>
      <c r="U158" t="inlineStr">
        <is>
          <t>1427182 LIJ Installation (Project Name) - Tim W. Seeberger, Akbar, Chris Perkins, Epic Team, Anesthesia Techs, and Admins</t>
        </is>
      </c>
      <c r="V158" t="inlineStr">
        <is>
          <t>WNH270OPR417</t>
        </is>
      </c>
      <c r="W158" t="inlineStr">
        <is>
          <t>MEDSG2425F-0083</t>
        </is>
      </c>
      <c r="X158" t="inlineStr">
        <is>
          <t>LIJ-MACH-RR</t>
        </is>
      </c>
      <c r="Y158" t="inlineStr">
        <is>
          <t>00187DE0E350</t>
        </is>
      </c>
      <c r="Z158" t="inlineStr">
        <is>
          <t>n/a</t>
        </is>
      </c>
      <c r="AH158" t="inlineStr">
        <is>
          <t>00:0D:05:0A:A8:57</t>
        </is>
      </c>
      <c r="AI158" t="inlineStr">
        <is>
          <t>Anesthesia Machine</t>
        </is>
      </c>
      <c r="AK158" t="n">
        <v>2</v>
      </c>
      <c r="AL158" t="inlineStr">
        <is>
          <t xml:space="preserve">OR 15-TUR </t>
        </is>
      </c>
      <c r="AM158" t="inlineStr">
        <is>
          <t>Drager</t>
        </is>
      </c>
      <c r="AN158" t="inlineStr">
        <is>
          <t>Apollo</t>
        </is>
      </c>
      <c r="AP158" t="inlineStr">
        <is>
          <t>ASHH-0186</t>
        </is>
      </c>
      <c r="AQ158" t="inlineStr">
        <is>
          <t>ASHH-0186</t>
        </is>
      </c>
      <c r="AS158" t="inlineStr">
        <is>
          <t>B1-CFW</t>
        </is>
      </c>
      <c r="AX158" t="inlineStr">
        <is>
          <t>MX750 - DE77669023</t>
        </is>
      </c>
      <c r="AY158" t="inlineStr">
        <is>
          <t>Anesthesia Machine</t>
        </is>
      </c>
      <c r="BR158" t="inlineStr">
        <is>
          <t>Yes</t>
        </is>
      </c>
      <c r="BS158" t="inlineStr">
        <is>
          <t>Yes</t>
        </is>
      </c>
      <c r="BT158" t="inlineStr">
        <is>
          <t>Yes</t>
        </is>
      </c>
      <c r="BU158" t="inlineStr">
        <is>
          <t>Yes</t>
        </is>
      </c>
      <c r="CA158" t="inlineStr">
        <is>
          <t>iPro
Epic Satellite
ALLSCRIPTS
EPIC BCA</t>
        </is>
      </c>
      <c r="CD158">
        <f>IF($Y158="","",IF((IF(AND($BR158&lt;&gt;"Yes",$BR158&lt;&gt;"N/A"),"Power Cable, ","")&amp;IF(AND($BS158&lt;&gt;"Yes",$BS158&lt;&gt;"N/A"),"Battery, ","")&amp;IF(AND($AD158&lt;&gt;"Yes",$AD158&lt;&gt;"N/A"),"Firmware Download, ","")&amp;IF(AND(OR($AD158="Yes",$AD158="N/A"),$AE158&lt;&gt;"Yes",$AE158&lt;&gt;"N/A"),"Firmware Install, ","")&amp;IF(AND($CB158&lt;&gt;"Yes",$CB158&lt;&gt;"N/A"),"Device ID, ","")&amp;IF(AND($CC158&lt;&gt;"Yes",$CC158&lt;&gt;"N/A"),"Epic Beans Relay, ",""))="","",LEFT(IF(AND($BR158&lt;&gt;"Yes",$BR158&lt;&gt;"N/A"),"Power Cable, ","")&amp;IF(AND($BS158&lt;&gt;"Yes",$BS158&lt;&gt;"N/A"),"Battery, ","")&amp;IF(AND($AD158&lt;&gt;"Yes",$AD158&lt;&gt;"N/A"),"Firmware Download, ","")&amp;IF(AND(OR($AD158="Yes",$AD158="N/A"),$AE158&lt;&gt;"Yes",$AE158&lt;&gt;"N/A"),"Firmware Install, ","")&amp;IF(AND($CB158&lt;&gt;"Yes",$CB158&lt;&gt;"N/A"),"Device ID, ","")&amp;IF(AND($CC158&lt;&gt;"Yes",$CC158&lt;&gt;"N/A"),"Epic Beans Relay, ",""),LEN(IF(AND($BR158&lt;&gt;"Yes",$BR158&lt;&gt;"N/A"),"Power Cable, ","")&amp;IF(AND($BS158&lt;&gt;"Yes",$BS158&lt;&gt;"N/A"),"Battery, ","")&amp;IF(AND($AD158&lt;&gt;"Yes",$AD158&lt;&gt;"N/A"),"Firmware Download, ","")&amp;IF(AND(OR($AD158="Yes",$AD158="N/A"),$AE158&lt;&gt;"Yes",$AE158&lt;&gt;"N/A"),"Firmware Install, ","")&amp;IF(AND($CB158&lt;&gt;"Yes",$CB158&lt;&gt;"N/A"),"Device ID, ","")&amp;IF(AND($CC158&lt;&gt;"Yes",$CC158&lt;&gt;"N/A"),"Epic Beans Relay, ",""))-2)))</f>
        <v/>
      </c>
      <c r="CE158">
        <f>IF($Y158="","",IF($CD158="","Yes","Blocked"))</f>
        <v/>
      </c>
      <c r="CF158" t="inlineStr">
        <is>
          <t>Yes</t>
        </is>
      </c>
      <c r="CG158" t="inlineStr">
        <is>
          <t>Yes</t>
        </is>
      </c>
      <c r="CH158" t="inlineStr">
        <is>
          <t>Yes</t>
        </is>
      </c>
      <c r="CI158" t="inlineStr">
        <is>
          <t>Yes</t>
        </is>
      </c>
      <c r="CJ158" t="inlineStr">
        <is>
          <t>Yes</t>
        </is>
      </c>
      <c r="CK158" t="n">
        <v>19200</v>
      </c>
      <c r="CP158">
        <f>IF($CO158="","",IFERROR(VLOOKUP($CO158,'01_Warehouse_Ledger'!$A:$N,4,FALSE),""))</f>
        <v/>
      </c>
      <c r="CQ158">
        <f>IF($CO158="","",IFERROR(VLOOKUP($CO158,'01_Warehouse_Ledger'!$A:$N,5,FALSE),""))</f>
        <v/>
      </c>
      <c r="CR158">
        <f>IF($CO158="","",IFERROR(VLOOKUP($CO158,'01_Warehouse_Ledger'!$A:$N,13,FALSE),""))</f>
        <v/>
      </c>
      <c r="CW158">
        <f>IF($S158="","",IF(UPPER(TRIM($S158))&lt;&gt;"PASS","",IF(LEN(TRIM($BY158))&gt;0,"NOTES_PRESENT",IF(LEN(TRIM($T158))=0,"SET_NA",IF(OR(LOWER(TRIM($T158))="na",LOWER(TRIM($T158))="n/a"),"OK","MANUAL_OVERRIDE")))))</f>
        <v/>
      </c>
    </row>
    <row r="159">
      <c r="A159" t="inlineStr">
        <is>
          <t>Cybernet</t>
        </is>
      </c>
      <c r="B159" s="5" t="inlineStr">
        <is>
          <t>Yes</t>
        </is>
      </c>
      <c r="C159" t="inlineStr">
        <is>
          <t>Yes</t>
        </is>
      </c>
      <c r="D159">
        <f>IF($B159&lt;&gt;"Yes","",IF($C159="No","Yes",IF($C159="Yes","No","")))</f>
        <v/>
      </c>
      <c r="E159">
        <f>IF($A159="","",IF(OR(AND($V159&lt;&gt;"",LOWER(TRIM($V159))&lt;&gt;"n/a",LOWER(TRIM($V159))&lt;&gt;"na",SUMPRODUCT(--(UPPER(TRIM($V$2:$V$518))=UPPER(TRIM($V159))),--(TRIM($V$2:$V$518)&lt;&gt;""),--(LOWER(TRIM($V$2:$V$518))&lt;&gt;"n/a"),--(LOWER(TRIM($V$2:$V$518))&lt;&gt;"na"))&gt;1),AND($W159&lt;&gt;"",LOWER(TRIM($W159))&lt;&gt;"n/a",LOWER(TRIM($W159))&lt;&gt;"na",SUMPRODUCT(--(UPPER(TRIM($W$2:$W$518))=UPPER(TRIM($W159))),--(TRIM($W$2:$W$518)&lt;&gt;""),--(LOWER(TRIM($W$2:$W$518))&lt;&gt;"n/a"),--(LOWER(TRIM($W$2:$W$518))&lt;&gt;"na"))&gt;1),AND($X159&lt;&gt;"",LOWER(TRIM($X159))&lt;&gt;"n/a",LOWER(TRIM($X159))&lt;&gt;"na",SUMPRODUCT(--(UPPER(TRIM($X$2:$X$518))=UPPER(TRIM($X159))),--(TRIM($X$2:$X$518)&lt;&gt;""),--(LOWER(TRIM($X$2:$X$518))&lt;&gt;"n/a"),--(LOWER(TRIM($X$2:$X$518))&lt;&gt;"na"))&gt;1),AND($Y159&lt;&gt;"",LOWER(TRIM($Y159))&lt;&gt;"n/a",LOWER(TRIM($Y159))&lt;&gt;"na",SUMPRODUCT(--(UPPER(SUBSTITUTE(SUBSTITUTE(TRIM($Y$2:$Y$518),":",""),"-",""))=UPPER(SUBSTITUTE(SUBSTITUTE(TRIM($Y159),":",""),"-",""))),--(TRIM($Y$2:$Y$518)&lt;&gt;""),--(LOWER(TRIM($Y$2:$Y$518))&lt;&gt;"n/a"),--(LOWER(TRIM($Y$2:$Y$518))&lt;&gt;"na"))&gt;1),AND($AB159&lt;&gt;"",LOWER(TRIM($AB159))&lt;&gt;"n/a",LOWER(TRIM($AB159))&lt;&gt;"na",SUMPRODUCT(--(UPPER(TRIM($AB$2:$AB$518))=UPPER(TRIM($AB159))),--(TRIM($AB$2:$AB$518)&lt;&gt;""),--(LOWER(TRIM($AB$2:$AB$518))&lt;&gt;"n/a"),--(LOWER(TRIM($AB$2:$AB$518))&lt;&gt;"na"))&gt;1),AND($AH159&lt;&gt;"",LOWER(TRIM($AH159))&lt;&gt;"n/a",LOWER(TRIM($AH159))&lt;&gt;"na",SUMPRODUCT(--(UPPER(SUBSTITUTE(SUBSTITUTE(TRIM($AH$2:$AH$518),":",""),"-",""))=UPPER(SUBSTITUTE(SUBSTITUTE(TRIM($AH159),":",""),"-",""))),--(TRIM($AH$2:$AH$518)&lt;&gt;""),--(LOWER(TRIM($AH$2:$AH$518))&lt;&gt;"n/a"),--(LOWER(TRIM($AH$2:$AH$518))&lt;&gt;"na"))&gt;1),AND($AP159&lt;&gt;"",LOWER(TRIM($AP159))&lt;&gt;"n/a",LOWER(TRIM($AP159))&lt;&gt;"na",SUMPRODUCT(--(UPPER(TRIM($AP$2:$AP$518))=UPPER(TRIM($AP159))),--(TRIM($AP$2:$AP$518)&lt;&gt;""),--(LOWER(TRIM($AP$2:$AP$518))&lt;&gt;"n/a"),--(LOWER(TRIM($AP$2:$AP$518))&lt;&gt;"na"))&gt;1),AND($AQ159&lt;&gt;"",LOWER(TRIM($AQ159))&lt;&gt;"n/a",LOWER(TRIM($AQ159))&lt;&gt;"na",SUMPRODUCT(--(UPPER(TRIM($AQ$2:$AQ$518))=UPPER(TRIM($AQ159))),--(TRIM($AQ$2:$AQ$518)&lt;&gt;""),--(LOWER(TRIM($AQ$2:$AQ$518))&lt;&gt;"n/a"),--(LOWER(TRIM($AQ$2:$AQ$518))&lt;&gt;"na"))&gt;1)),"Yes","No"))</f>
        <v/>
      </c>
      <c r="F159">
        <f>IF(UPPER(TRIM($B159))&lt;&gt;"YES","", IF(OR(AND($V159&lt;&gt;"", LOWER(TRIM($V159))&lt;&gt;"n/a", LOWER(TRIM($V159))&lt;&gt;"na", SUMPRODUCT(--(UPPER(TRIM($V$2:$V$518))=UPPER(TRIM($V159))), --(UPPER(TRIM($B$2:$B$518))="YES"), --(UPPER(TRIM($G$2:$G$518)&amp;TRIM($I$2:$I$518)&amp;TRIM($J$2:$J$518))&lt;&gt;UPPER(TRIM($G159)&amp;TRIM($I159)&amp;TRIM($J159))))&gt;0), AND($W159&lt;&gt;"", LOWER(TRIM($W159))&lt;&gt;"n/a", LOWER(TRIM($W159))&lt;&gt;"na", SUMPRODUCT(--(UPPER(TRIM($W$2:$W$518))=UPPER(TRIM($W159))), --(UPPER(TRIM($B$2:$B$518))="YES"), --(UPPER(TRIM($G$2:$G$518)&amp;TRIM($I$2:$I$518)&amp;TRIM($J$2:$J$518))&lt;&gt;UPPER(TRIM($G159)&amp;TRIM($I159)&amp;TRIM($J159))))&gt;0), AND($X159&lt;&gt;"", LOWER(TRIM($X159))&lt;&gt;"n/a", LOWER(TRIM($X159))&lt;&gt;"na", SUMPRODUCT(--(UPPER(TRIM($X$2:$X$518))=UPPER(TRIM($X159))), --(UPPER(TRIM($B$2:$B$518))="YES"), --(UPPER(TRIM($G$2:$G$518)&amp;TRIM($I$2:$I$518)&amp;TRIM($J$2:$J$518))&lt;&gt;UPPER(TRIM($G159)&amp;TRIM($I159)&amp;TRIM($J159))))&gt;0), AND($Y159&lt;&gt;"", LOWER(TRIM($Y159))&lt;&gt;"n/a", LOWER(TRIM($Y159))&lt;&gt;"na", SUMPRODUCT(--(UPPER(SUBSTITUTE(SUBSTITUTE(TRIM($Y$2:$Y$518),":",""),"-",""))=UPPER(SUBSTITUTE(SUBSTITUTE(TRIM($Y159),":",""),"-",""))), --(UPPER(TRIM($B$2:$B$518))="YES"), --(UPPER(TRIM($G$2:$G$518)&amp;TRIM($I$2:$I$518)&amp;TRIM($J$2:$J$518))&lt;&gt;UPPER(TRIM($G159)&amp;TRIM($I159)&amp;TRIM($J159))))&gt;0), AND($AB159&lt;&gt;"", LOWER(TRIM($AB159))&lt;&gt;"n/a", LOWER(TRIM($AB159))&lt;&gt;"na", SUMPRODUCT(--(UPPER(TRIM($AB$2:$AB$518))=UPPER(TRIM($AB159))), --(UPPER(TRIM($B$2:$B$518))="YES"), --(UPPER(TRIM($G$2:$G$518)&amp;TRIM($I$2:$I$518)&amp;TRIM($J$2:$J$518))&lt;&gt;UPPER(TRIM($G159)&amp;TRIM($I159)&amp;TRIM($J159))))&gt;0), AND($AH159&lt;&gt;"", LOWER(TRIM($AH159))&lt;&gt;"n/a", LOWER(TRIM($AH159))&lt;&gt;"na", SUMPRODUCT(--(UPPER(SUBSTITUTE(SUBSTITUTE(TRIM($AH$2:$AH$518),":",""),"-",""))=UPPER(SUBSTITUTE(SUBSTITUTE(TRIM($AH159),":",""),"-",""))), --(UPPER(TRIM($B$2:$B$518))="YES"), --(UPPER(TRIM($G$2:$G$518)&amp;TRIM($I$2:$I$518)&amp;TRIM($J$2:$J$518))&lt;&gt;UPPER(TRIM($G159)&amp;TRIM($I159)&amp;TRIM($J159))))&gt;0), AND($AP159&lt;&gt;"", LOWER(TRIM($AP159))&lt;&gt;"n/a", LOWER(TRIM($AP159))&lt;&gt;"na", SUMPRODUCT(--(UPPER(TRIM($AP$2:$AP$518))=UPPER(TRIM($AP159))), --(UPPER(TRIM($B$2:$B$518))="YES"), --(UPPER(TRIM($G$2:$G$518)&amp;TRIM($I$2:$I$518)&amp;TRIM($J$2:$J$518))&lt;&gt;UPPER(TRIM($G159)&amp;TRIM($I159)&amp;TRIM($J159))))&gt;0), AND($AQ159&lt;&gt;"", LOWER(TRIM($AQ159))&lt;&gt;"n/a", LOWER(TRIM($AQ159))&lt;&gt;"na", SUMPRODUCT(--(UPPER(TRIM($AQ$2:$AQ$518))=UPPER(TRIM($AQ159))), --(UPPER(TRIM($B$2:$B$518))="YES"), --(UPPER(TRIM($G$2:$G$518)&amp;TRIM($I$2:$I$518)&amp;TRIM($J$2:$J$518))&lt;&gt;UPPER(TRIM($G159)&amp;TRIM($I159)&amp;TRIM($J159))))&gt;0)), "Yes", "No"))</f>
        <v/>
      </c>
      <c r="G159" t="inlineStr">
        <is>
          <t>LIJ - OR</t>
        </is>
      </c>
      <c r="H159" t="inlineStr">
        <is>
          <t>LIJ - OR</t>
        </is>
      </c>
      <c r="I159" t="inlineStr">
        <is>
          <t>LIJ ORs</t>
        </is>
      </c>
      <c r="J159" t="inlineStr">
        <is>
          <t>OR 16</t>
        </is>
      </c>
      <c r="K159" t="inlineStr">
        <is>
          <t>n/a</t>
        </is>
      </c>
      <c r="L159" s="18" t="n">
        <v>46074</v>
      </c>
      <c r="M159" t="inlineStr">
        <is>
          <t>OR iPro Cybernet Workstation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Inpatient</t>
        </is>
      </c>
      <c r="S159" t="inlineStr">
        <is>
          <t>Pass</t>
        </is>
      </c>
      <c r="T159" t="inlineStr">
        <is>
          <t>n/a</t>
        </is>
      </c>
      <c r="U159" t="inlineStr">
        <is>
          <t>1427182 LIJ Installation (Project Name) - Tim W. Seeberger, Akbar, Chris Perkins, Epic Team, Anesthesia Techs, and Admins</t>
        </is>
      </c>
      <c r="V159" t="inlineStr">
        <is>
          <t>WNH270OPR418</t>
        </is>
      </c>
      <c r="W159" t="inlineStr">
        <is>
          <t>MEDSG2425F-0060</t>
        </is>
      </c>
      <c r="X159" t="inlineStr">
        <is>
          <t>LIJ-MACH-O</t>
        </is>
      </c>
      <c r="Z159" t="inlineStr">
        <is>
          <t>n/a</t>
        </is>
      </c>
      <c r="AH159" t="inlineStr">
        <is>
          <t>00:0D:05:0A:A5:b7</t>
        </is>
      </c>
      <c r="AI159" t="inlineStr">
        <is>
          <t>Anesthesia Machine</t>
        </is>
      </c>
      <c r="AK159" t="n">
        <v>2</v>
      </c>
      <c r="AM159" t="inlineStr">
        <is>
          <t>Drager</t>
        </is>
      </c>
      <c r="AN159" t="inlineStr">
        <is>
          <t>Apollo</t>
        </is>
      </c>
      <c r="AP159" t="inlineStr">
        <is>
          <t>ARYJ-0053</t>
        </is>
      </c>
      <c r="AQ159" t="inlineStr">
        <is>
          <t>ARYJ-0053</t>
        </is>
      </c>
      <c r="AS159" t="inlineStr">
        <is>
          <t>B1-CFW</t>
        </is>
      </c>
      <c r="AX159" t="inlineStr">
        <is>
          <t>MX750 -  DE77669033</t>
        </is>
      </c>
      <c r="AY159" t="inlineStr">
        <is>
          <t>Anesthesia Machine</t>
        </is>
      </c>
      <c r="BR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CA159" t="inlineStr">
        <is>
          <t>iPro
Epic Satellite
ALLSCRIPTS
EPIC BCA</t>
        </is>
      </c>
      <c r="CD159">
        <f>IF($Y159="","",IF((IF(AND($BR159&lt;&gt;"Yes",$BR159&lt;&gt;"N/A"),"Power Cable, ","")&amp;IF(AND($BS159&lt;&gt;"Yes",$BS159&lt;&gt;"N/A"),"Battery, ","")&amp;IF(AND($AD159&lt;&gt;"Yes",$AD159&lt;&gt;"N/A"),"Firmware Download, ","")&amp;IF(AND(OR($AD159="Yes",$AD159="N/A"),$AE159&lt;&gt;"Yes",$AE159&lt;&gt;"N/A"),"Firmware Install, ","")&amp;IF(AND($CB159&lt;&gt;"Yes",$CB159&lt;&gt;"N/A"),"Device ID, ","")&amp;IF(AND($CC159&lt;&gt;"Yes",$CC159&lt;&gt;"N/A"),"Epic Beans Relay, ",""))="","",LEFT(IF(AND($BR159&lt;&gt;"Yes",$BR159&lt;&gt;"N/A"),"Power Cable, ","")&amp;IF(AND($BS159&lt;&gt;"Yes",$BS159&lt;&gt;"N/A"),"Battery, ","")&amp;IF(AND($AD159&lt;&gt;"Yes",$AD159&lt;&gt;"N/A"),"Firmware Download, ","")&amp;IF(AND(OR($AD159="Yes",$AD159="N/A"),$AE159&lt;&gt;"Yes",$AE159&lt;&gt;"N/A"),"Firmware Install, ","")&amp;IF(AND($CB159&lt;&gt;"Yes",$CB159&lt;&gt;"N/A"),"Device ID, ","")&amp;IF(AND($CC159&lt;&gt;"Yes",$CC159&lt;&gt;"N/A"),"Epic Beans Relay, ",""),LEN(IF(AND($BR159&lt;&gt;"Yes",$BR159&lt;&gt;"N/A"),"Power Cable, ","")&amp;IF(AND($BS159&lt;&gt;"Yes",$BS159&lt;&gt;"N/A"),"Battery, ","")&amp;IF(AND($AD159&lt;&gt;"Yes",$AD159&lt;&gt;"N/A"),"Firmware Download, ","")&amp;IF(AND(OR($AD159="Yes",$AD159="N/A"),$AE159&lt;&gt;"Yes",$AE159&lt;&gt;"N/A"),"Firmware Install, ","")&amp;IF(AND($CB159&lt;&gt;"Yes",$CB159&lt;&gt;"N/A"),"Device ID, ","")&amp;IF(AND($CC159&lt;&gt;"Yes",$CC159&lt;&gt;"N/A"),"Epic Beans Relay, ",""))-2)))</f>
        <v/>
      </c>
      <c r="CE159">
        <f>IF($Y159="","",IF($CD159="","Yes","Blocked"))</f>
        <v/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n">
        <v>19200</v>
      </c>
      <c r="CP159">
        <f>IF($CO159="","",IFERROR(VLOOKUP($CO159,'01_Warehouse_Ledger'!$A:$N,4,FALSE),""))</f>
        <v/>
      </c>
      <c r="CQ159">
        <f>IF($CO159="","",IFERROR(VLOOKUP($CO159,'01_Warehouse_Ledger'!$A:$N,5,FALSE),""))</f>
        <v/>
      </c>
      <c r="CR159">
        <f>IF($CO159="","",IFERROR(VLOOKUP($CO159,'01_Warehouse_Ledger'!$A:$N,13,FALSE),""))</f>
        <v/>
      </c>
      <c r="CW159">
        <f>IF($S159="","",IF(UPPER(TRIM($S159))&lt;&gt;"PASS","",IF(LEN(TRIM($BY159))&gt;0,"NOTES_PRESENT",IF(LEN(TRIM($T159))=0,"SET_NA",IF(OR(LOWER(TRIM($T159))="na",LOWER(TRIM($T159))="n/a"),"OK","MANUAL_OVERRIDE")))))</f>
        <v/>
      </c>
    </row>
    <row r="160">
      <c r="A160" t="inlineStr">
        <is>
          <t>Cybernet</t>
        </is>
      </c>
      <c r="B160" s="5" t="inlineStr">
        <is>
          <t>Yes</t>
        </is>
      </c>
      <c r="C160" t="inlineStr">
        <is>
          <t>Yes</t>
        </is>
      </c>
      <c r="D160">
        <f>IF($B160&lt;&gt;"Yes","",IF($C160="No","Yes",IF($C160="Yes","No","")))</f>
        <v/>
      </c>
      <c r="E160">
        <f>IF($A160="","",IF(OR(AND($V160&lt;&gt;"",LOWER(TRIM($V160))&lt;&gt;"n/a",LOWER(TRIM($V160))&lt;&gt;"na",SUMPRODUCT(--(UPPER(TRIM($V$2:$V$518))=UPPER(TRIM($V160))),--(TRIM($V$2:$V$518)&lt;&gt;""),--(LOWER(TRIM($V$2:$V$518))&lt;&gt;"n/a"),--(LOWER(TRIM($V$2:$V$518))&lt;&gt;"na"))&gt;1),AND($W160&lt;&gt;"",LOWER(TRIM($W160))&lt;&gt;"n/a",LOWER(TRIM($W160))&lt;&gt;"na",SUMPRODUCT(--(UPPER(TRIM($W$2:$W$518))=UPPER(TRIM($W160))),--(TRIM($W$2:$W$518)&lt;&gt;""),--(LOWER(TRIM($W$2:$W$518))&lt;&gt;"n/a"),--(LOWER(TRIM($W$2:$W$518))&lt;&gt;"na"))&gt;1),AND($X160&lt;&gt;"",LOWER(TRIM($X160))&lt;&gt;"n/a",LOWER(TRIM($X160))&lt;&gt;"na",SUMPRODUCT(--(UPPER(TRIM($X$2:$X$518))=UPPER(TRIM($X160))),--(TRIM($X$2:$X$518)&lt;&gt;""),--(LOWER(TRIM($X$2:$X$518))&lt;&gt;"n/a"),--(LOWER(TRIM($X$2:$X$518))&lt;&gt;"na"))&gt;1),AND($Y160&lt;&gt;"",LOWER(TRIM($Y160))&lt;&gt;"n/a",LOWER(TRIM($Y160))&lt;&gt;"na",SUMPRODUCT(--(UPPER(SUBSTITUTE(SUBSTITUTE(TRIM($Y$2:$Y$518),":",""),"-",""))=UPPER(SUBSTITUTE(SUBSTITUTE(TRIM($Y160),":",""),"-",""))),--(TRIM($Y$2:$Y$518)&lt;&gt;""),--(LOWER(TRIM($Y$2:$Y$518))&lt;&gt;"n/a"),--(LOWER(TRIM($Y$2:$Y$518))&lt;&gt;"na"))&gt;1),AND($AB160&lt;&gt;"",LOWER(TRIM($AB160))&lt;&gt;"n/a",LOWER(TRIM($AB160))&lt;&gt;"na",SUMPRODUCT(--(UPPER(TRIM($AB$2:$AB$518))=UPPER(TRIM($AB160))),--(TRIM($AB$2:$AB$518)&lt;&gt;""),--(LOWER(TRIM($AB$2:$AB$518))&lt;&gt;"n/a"),--(LOWER(TRIM($AB$2:$AB$518))&lt;&gt;"na"))&gt;1),AND($AH160&lt;&gt;"",LOWER(TRIM($AH160))&lt;&gt;"n/a",LOWER(TRIM($AH160))&lt;&gt;"na",SUMPRODUCT(--(UPPER(SUBSTITUTE(SUBSTITUTE(TRIM($AH$2:$AH$518),":",""),"-",""))=UPPER(SUBSTITUTE(SUBSTITUTE(TRIM($AH160),":",""),"-",""))),--(TRIM($AH$2:$AH$518)&lt;&gt;""),--(LOWER(TRIM($AH$2:$AH$518))&lt;&gt;"n/a"),--(LOWER(TRIM($AH$2:$AH$518))&lt;&gt;"na"))&gt;1),AND($AP160&lt;&gt;"",LOWER(TRIM($AP160))&lt;&gt;"n/a",LOWER(TRIM($AP160))&lt;&gt;"na",SUMPRODUCT(--(UPPER(TRIM($AP$2:$AP$518))=UPPER(TRIM($AP160))),--(TRIM($AP$2:$AP$518)&lt;&gt;""),--(LOWER(TRIM($AP$2:$AP$518))&lt;&gt;"n/a"),--(LOWER(TRIM($AP$2:$AP$518))&lt;&gt;"na"))&gt;1),AND($AQ160&lt;&gt;"",LOWER(TRIM($AQ160))&lt;&gt;"n/a",LOWER(TRIM($AQ160))&lt;&gt;"na",SUMPRODUCT(--(UPPER(TRIM($AQ$2:$AQ$518))=UPPER(TRIM($AQ160))),--(TRIM($AQ$2:$AQ$518)&lt;&gt;""),--(LOWER(TRIM($AQ$2:$AQ$518))&lt;&gt;"n/a"),--(LOWER(TRIM($AQ$2:$AQ$518))&lt;&gt;"na"))&gt;1)),"Yes","No"))</f>
        <v/>
      </c>
      <c r="F160">
        <f>IF(UPPER(TRIM($B160))&lt;&gt;"YES","", IF(OR(AND($V160&lt;&gt;"", LOWER(TRIM($V160))&lt;&gt;"n/a", LOWER(TRIM($V160))&lt;&gt;"na", SUMPRODUCT(--(UPPER(TRIM($V$2:$V$518))=UPPER(TRIM($V160))), --(UPPER(TRIM($B$2:$B$518))="YES"), --(UPPER(TRIM($G$2:$G$518)&amp;TRIM($I$2:$I$518)&amp;TRIM($J$2:$J$518))&lt;&gt;UPPER(TRIM($G160)&amp;TRIM($I160)&amp;TRIM($J160))))&gt;0), AND($W160&lt;&gt;"", LOWER(TRIM($W160))&lt;&gt;"n/a", LOWER(TRIM($W160))&lt;&gt;"na", SUMPRODUCT(--(UPPER(TRIM($W$2:$W$518))=UPPER(TRIM($W160))), --(UPPER(TRIM($B$2:$B$518))="YES"), --(UPPER(TRIM($G$2:$G$518)&amp;TRIM($I$2:$I$518)&amp;TRIM($J$2:$J$518))&lt;&gt;UPPER(TRIM($G160)&amp;TRIM($I160)&amp;TRIM($J160))))&gt;0), AND($X160&lt;&gt;"", LOWER(TRIM($X160))&lt;&gt;"n/a", LOWER(TRIM($X160))&lt;&gt;"na", SUMPRODUCT(--(UPPER(TRIM($X$2:$X$518))=UPPER(TRIM($X160))), --(UPPER(TRIM($B$2:$B$518))="YES"), --(UPPER(TRIM($G$2:$G$518)&amp;TRIM($I$2:$I$518)&amp;TRIM($J$2:$J$518))&lt;&gt;UPPER(TRIM($G160)&amp;TRIM($I160)&amp;TRIM($J160))))&gt;0), AND($Y160&lt;&gt;"", LOWER(TRIM($Y160))&lt;&gt;"n/a", LOWER(TRIM($Y160))&lt;&gt;"na", SUMPRODUCT(--(UPPER(SUBSTITUTE(SUBSTITUTE(TRIM($Y$2:$Y$518),":",""),"-",""))=UPPER(SUBSTITUTE(SUBSTITUTE(TRIM($Y160),":",""),"-",""))), --(UPPER(TRIM($B$2:$B$518))="YES"), --(UPPER(TRIM($G$2:$G$518)&amp;TRIM($I$2:$I$518)&amp;TRIM($J$2:$J$518))&lt;&gt;UPPER(TRIM($G160)&amp;TRIM($I160)&amp;TRIM($J160))))&gt;0), AND($AB160&lt;&gt;"", LOWER(TRIM($AB160))&lt;&gt;"n/a", LOWER(TRIM($AB160))&lt;&gt;"na", SUMPRODUCT(--(UPPER(TRIM($AB$2:$AB$518))=UPPER(TRIM($AB160))), --(UPPER(TRIM($B$2:$B$518))="YES"), --(UPPER(TRIM($G$2:$G$518)&amp;TRIM($I$2:$I$518)&amp;TRIM($J$2:$J$518))&lt;&gt;UPPER(TRIM($G160)&amp;TRIM($I160)&amp;TRIM($J160))))&gt;0), AND($AH160&lt;&gt;"", LOWER(TRIM($AH160))&lt;&gt;"n/a", LOWER(TRIM($AH160))&lt;&gt;"na", SUMPRODUCT(--(UPPER(SUBSTITUTE(SUBSTITUTE(TRIM($AH$2:$AH$518),":",""),"-",""))=UPPER(SUBSTITUTE(SUBSTITUTE(TRIM($AH160),":",""),"-",""))), --(UPPER(TRIM($B$2:$B$518))="YES"), --(UPPER(TRIM($G$2:$G$518)&amp;TRIM($I$2:$I$518)&amp;TRIM($J$2:$J$518))&lt;&gt;UPPER(TRIM($G160)&amp;TRIM($I160)&amp;TRIM($J160))))&gt;0), AND($AP160&lt;&gt;"", LOWER(TRIM($AP160))&lt;&gt;"n/a", LOWER(TRIM($AP160))&lt;&gt;"na", SUMPRODUCT(--(UPPER(TRIM($AP$2:$AP$518))=UPPER(TRIM($AP160))), --(UPPER(TRIM($B$2:$B$518))="YES"), --(UPPER(TRIM($G$2:$G$518)&amp;TRIM($I$2:$I$518)&amp;TRIM($J$2:$J$518))&lt;&gt;UPPER(TRIM($G160)&amp;TRIM($I160)&amp;TRIM($J160))))&gt;0), AND($AQ160&lt;&gt;"", LOWER(TRIM($AQ160))&lt;&gt;"n/a", LOWER(TRIM($AQ160))&lt;&gt;"na", SUMPRODUCT(--(UPPER(TRIM($AQ$2:$AQ$518))=UPPER(TRIM($AQ160))), --(UPPER(TRIM($B$2:$B$518))="YES"), --(UPPER(TRIM($G$2:$G$518)&amp;TRIM($I$2:$I$518)&amp;TRIM($J$2:$J$518))&lt;&gt;UPPER(TRIM($G160)&amp;TRIM($I160)&amp;TRIM($J160))))&gt;0)), "Yes", "No"))</f>
        <v/>
      </c>
      <c r="G160" t="inlineStr">
        <is>
          <t>LIJ - OR</t>
        </is>
      </c>
      <c r="H160" t="inlineStr">
        <is>
          <t>LIJ - OR</t>
        </is>
      </c>
      <c r="I160" t="inlineStr">
        <is>
          <t>LIJ ORs</t>
        </is>
      </c>
      <c r="J160" t="inlineStr">
        <is>
          <t>OR 6</t>
        </is>
      </c>
      <c r="K160" t="inlineStr">
        <is>
          <t>n/a</t>
        </is>
      </c>
      <c r="L160" s="18" t="n">
        <v>46074</v>
      </c>
      <c r="M160" t="inlineStr">
        <is>
          <t>OR iPro Cybernet Workstation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Inpatient</t>
        </is>
      </c>
      <c r="S160" t="inlineStr">
        <is>
          <t>Pass</t>
        </is>
      </c>
      <c r="T160" t="inlineStr">
        <is>
          <t>n/a</t>
        </is>
      </c>
      <c r="U160" t="inlineStr">
        <is>
          <t>1427182 LIJ Installation (Project Name) - Tim W. Seeberger, Akbar, Chris Perkins, Epic Team, Anesthesia Techs, and Admins</t>
        </is>
      </c>
      <c r="V160" t="inlineStr">
        <is>
          <t>WNH270OPR419</t>
        </is>
      </c>
      <c r="W160" t="inlineStr">
        <is>
          <t>MEDSG2425F-0094</t>
        </is>
      </c>
      <c r="X160" t="inlineStr">
        <is>
          <t>LIJ-MACH-Z</t>
        </is>
      </c>
      <c r="Y160" t="inlineStr">
        <is>
          <t>00187DE0E276</t>
        </is>
      </c>
      <c r="Z160" t="inlineStr">
        <is>
          <t>n/a</t>
        </is>
      </c>
      <c r="AH160" t="inlineStr">
        <is>
          <t>00:0D:05:0A:A7:8f</t>
        </is>
      </c>
      <c r="AI160" t="inlineStr">
        <is>
          <t>Anesthesia Machine</t>
        </is>
      </c>
      <c r="AK160" t="n">
        <v>2</v>
      </c>
      <c r="AL160" t="inlineStr">
        <is>
          <t>OR#6-TUR / IPRO</t>
        </is>
      </c>
      <c r="AM160" t="inlineStr">
        <is>
          <t>Drager</t>
        </is>
      </c>
      <c r="AN160" t="inlineStr">
        <is>
          <t>Apollo</t>
        </is>
      </c>
      <c r="AP160" t="inlineStr">
        <is>
          <t>ARZD-0003</t>
        </is>
      </c>
      <c r="AQ160" t="inlineStr">
        <is>
          <t>ARZD-0003</t>
        </is>
      </c>
      <c r="AS160" t="inlineStr">
        <is>
          <t>B1-CFW</t>
        </is>
      </c>
      <c r="AX160" t="inlineStr">
        <is>
          <t>MX750 - DE77669068</t>
        </is>
      </c>
      <c r="AY160" t="inlineStr">
        <is>
          <t>Anesthesia Machine</t>
        </is>
      </c>
      <c r="BR160" t="inlineStr">
        <is>
          <t>Yes</t>
        </is>
      </c>
      <c r="BS160" t="inlineStr">
        <is>
          <t>Yes</t>
        </is>
      </c>
      <c r="BT160" t="inlineStr">
        <is>
          <t>Yes</t>
        </is>
      </c>
      <c r="BU160" t="inlineStr">
        <is>
          <t>Yes</t>
        </is>
      </c>
      <c r="CA160" t="inlineStr">
        <is>
          <t>iPro
Epic Satellite
ALLSCRIPTS
EPIC BCA</t>
        </is>
      </c>
      <c r="CD160">
        <f>IF($Y160="","",IF((IF(AND($BR160&lt;&gt;"Yes",$BR160&lt;&gt;"N/A"),"Power Cable, ","")&amp;IF(AND($BS160&lt;&gt;"Yes",$BS160&lt;&gt;"N/A"),"Battery, ","")&amp;IF(AND($AD160&lt;&gt;"Yes",$AD160&lt;&gt;"N/A"),"Firmware Download, ","")&amp;IF(AND(OR($AD160="Yes",$AD160="N/A"),$AE160&lt;&gt;"Yes",$AE160&lt;&gt;"N/A"),"Firmware Install, ","")&amp;IF(AND($CB160&lt;&gt;"Yes",$CB160&lt;&gt;"N/A"),"Device ID, ","")&amp;IF(AND($CC160&lt;&gt;"Yes",$CC160&lt;&gt;"N/A"),"Epic Beans Relay, ",""))="","",LEFT(IF(AND($BR160&lt;&gt;"Yes",$BR160&lt;&gt;"N/A"),"Power Cable, ","")&amp;IF(AND($BS160&lt;&gt;"Yes",$BS160&lt;&gt;"N/A"),"Battery, ","")&amp;IF(AND($AD160&lt;&gt;"Yes",$AD160&lt;&gt;"N/A"),"Firmware Download, ","")&amp;IF(AND(OR($AD160="Yes",$AD160="N/A"),$AE160&lt;&gt;"Yes",$AE160&lt;&gt;"N/A"),"Firmware Install, ","")&amp;IF(AND($CB160&lt;&gt;"Yes",$CB160&lt;&gt;"N/A"),"Device ID, ","")&amp;IF(AND($CC160&lt;&gt;"Yes",$CC160&lt;&gt;"N/A"),"Epic Beans Relay, ",""),LEN(IF(AND($BR160&lt;&gt;"Yes",$BR160&lt;&gt;"N/A"),"Power Cable, ","")&amp;IF(AND($BS160&lt;&gt;"Yes",$BS160&lt;&gt;"N/A"),"Battery, ","")&amp;IF(AND($AD160&lt;&gt;"Yes",$AD160&lt;&gt;"N/A"),"Firmware Download, ","")&amp;IF(AND(OR($AD160="Yes",$AD160="N/A"),$AE160&lt;&gt;"Yes",$AE160&lt;&gt;"N/A"),"Firmware Install, ","")&amp;IF(AND($CB160&lt;&gt;"Yes",$CB160&lt;&gt;"N/A"),"Device ID, ","")&amp;IF(AND($CC160&lt;&gt;"Yes",$CC160&lt;&gt;"N/A"),"Epic Beans Relay, ",""))-2)))</f>
        <v/>
      </c>
      <c r="CE160">
        <f>IF($Y160="","",IF($CD160="","Yes","Blocked"))</f>
        <v/>
      </c>
      <c r="CF160" t="inlineStr">
        <is>
          <t>Yes</t>
        </is>
      </c>
      <c r="CG160" t="inlineStr">
        <is>
          <t>Yes</t>
        </is>
      </c>
      <c r="CH160" t="inlineStr">
        <is>
          <t>Yes</t>
        </is>
      </c>
      <c r="CI160" t="inlineStr">
        <is>
          <t>Yes</t>
        </is>
      </c>
      <c r="CJ160" t="inlineStr">
        <is>
          <t>Yes</t>
        </is>
      </c>
      <c r="CK160" t="n">
        <v>19200</v>
      </c>
      <c r="CP160">
        <f>IF($CO160="","",IFERROR(VLOOKUP($CO160,'01_Warehouse_Ledger'!$A:$N,4,FALSE),""))</f>
        <v/>
      </c>
      <c r="CQ160">
        <f>IF($CO160="","",IFERROR(VLOOKUP($CO160,'01_Warehouse_Ledger'!$A:$N,5,FALSE),""))</f>
        <v/>
      </c>
      <c r="CR160">
        <f>IF($CO160="","",IFERROR(VLOOKUP($CO160,'01_Warehouse_Ledger'!$A:$N,13,FALSE),""))</f>
        <v/>
      </c>
      <c r="CW160">
        <f>IF($S160="","",IF(UPPER(TRIM($S160))&lt;&gt;"PASS","",IF(LEN(TRIM($BY160))&gt;0,"NOTES_PRESENT",IF(LEN(TRIM($T160))=0,"SET_NA",IF(OR(LOWER(TRIM($T160))="na",LOWER(TRIM($T160))="n/a"),"OK","MANUAL_OVERRIDE")))))</f>
        <v/>
      </c>
    </row>
    <row r="161">
      <c r="A161" t="inlineStr">
        <is>
          <t>Cybernet</t>
        </is>
      </c>
      <c r="B161" s="5" t="inlineStr">
        <is>
          <t>Yes</t>
        </is>
      </c>
      <c r="C161" t="inlineStr">
        <is>
          <t>Yes</t>
        </is>
      </c>
      <c r="D161">
        <f>IF($B161&lt;&gt;"Yes","",IF($C161="No","Yes",IF($C161="Yes","No","")))</f>
        <v/>
      </c>
      <c r="E161">
        <f>IF($A161="","",IF(OR(AND($V161&lt;&gt;"",LOWER(TRIM($V161))&lt;&gt;"n/a",LOWER(TRIM($V161))&lt;&gt;"na",SUMPRODUCT(--(UPPER(TRIM($V$2:$V$518))=UPPER(TRIM($V161))),--(TRIM($V$2:$V$518)&lt;&gt;""),--(LOWER(TRIM($V$2:$V$518))&lt;&gt;"n/a"),--(LOWER(TRIM($V$2:$V$518))&lt;&gt;"na"))&gt;1),AND($W161&lt;&gt;"",LOWER(TRIM($W161))&lt;&gt;"n/a",LOWER(TRIM($W161))&lt;&gt;"na",SUMPRODUCT(--(UPPER(TRIM($W$2:$W$518))=UPPER(TRIM($W161))),--(TRIM($W$2:$W$518)&lt;&gt;""),--(LOWER(TRIM($W$2:$W$518))&lt;&gt;"n/a"),--(LOWER(TRIM($W$2:$W$518))&lt;&gt;"na"))&gt;1),AND($X161&lt;&gt;"",LOWER(TRIM($X161))&lt;&gt;"n/a",LOWER(TRIM($X161))&lt;&gt;"na",SUMPRODUCT(--(UPPER(TRIM($X$2:$X$518))=UPPER(TRIM($X161))),--(TRIM($X$2:$X$518)&lt;&gt;""),--(LOWER(TRIM($X$2:$X$518))&lt;&gt;"n/a"),--(LOWER(TRIM($X$2:$X$518))&lt;&gt;"na"))&gt;1),AND($Y161&lt;&gt;"",LOWER(TRIM($Y161))&lt;&gt;"n/a",LOWER(TRIM($Y161))&lt;&gt;"na",SUMPRODUCT(--(UPPER(SUBSTITUTE(SUBSTITUTE(TRIM($Y$2:$Y$518),":",""),"-",""))=UPPER(SUBSTITUTE(SUBSTITUTE(TRIM($Y161),":",""),"-",""))),--(TRIM($Y$2:$Y$518)&lt;&gt;""),--(LOWER(TRIM($Y$2:$Y$518))&lt;&gt;"n/a"),--(LOWER(TRIM($Y$2:$Y$518))&lt;&gt;"na"))&gt;1),AND($AB161&lt;&gt;"",LOWER(TRIM($AB161))&lt;&gt;"n/a",LOWER(TRIM($AB161))&lt;&gt;"na",SUMPRODUCT(--(UPPER(TRIM($AB$2:$AB$518))=UPPER(TRIM($AB161))),--(TRIM($AB$2:$AB$518)&lt;&gt;""),--(LOWER(TRIM($AB$2:$AB$518))&lt;&gt;"n/a"),--(LOWER(TRIM($AB$2:$AB$518))&lt;&gt;"na"))&gt;1),AND($AH161&lt;&gt;"",LOWER(TRIM($AH161))&lt;&gt;"n/a",LOWER(TRIM($AH161))&lt;&gt;"na",SUMPRODUCT(--(UPPER(SUBSTITUTE(SUBSTITUTE(TRIM($AH$2:$AH$518),":",""),"-",""))=UPPER(SUBSTITUTE(SUBSTITUTE(TRIM($AH161),":",""),"-",""))),--(TRIM($AH$2:$AH$518)&lt;&gt;""),--(LOWER(TRIM($AH$2:$AH$518))&lt;&gt;"n/a"),--(LOWER(TRIM($AH$2:$AH$518))&lt;&gt;"na"))&gt;1),AND($AP161&lt;&gt;"",LOWER(TRIM($AP161))&lt;&gt;"n/a",LOWER(TRIM($AP161))&lt;&gt;"na",SUMPRODUCT(--(UPPER(TRIM($AP$2:$AP$518))=UPPER(TRIM($AP161))),--(TRIM($AP$2:$AP$518)&lt;&gt;""),--(LOWER(TRIM($AP$2:$AP$518))&lt;&gt;"n/a"),--(LOWER(TRIM($AP$2:$AP$518))&lt;&gt;"na"))&gt;1),AND($AQ161&lt;&gt;"",LOWER(TRIM($AQ161))&lt;&gt;"n/a",LOWER(TRIM($AQ161))&lt;&gt;"na",SUMPRODUCT(--(UPPER(TRIM($AQ$2:$AQ$518))=UPPER(TRIM($AQ161))),--(TRIM($AQ$2:$AQ$518)&lt;&gt;""),--(LOWER(TRIM($AQ$2:$AQ$518))&lt;&gt;"n/a"),--(LOWER(TRIM($AQ$2:$AQ$518))&lt;&gt;"na"))&gt;1)),"Yes","No"))</f>
        <v/>
      </c>
      <c r="F161">
        <f>IF(UPPER(TRIM($B161))&lt;&gt;"YES","", IF(OR(AND($V161&lt;&gt;"", LOWER(TRIM($V161))&lt;&gt;"n/a", LOWER(TRIM($V161))&lt;&gt;"na", SUMPRODUCT(--(UPPER(TRIM($V$2:$V$518))=UPPER(TRIM($V161))), --(UPPER(TRIM($B$2:$B$518))="YES"), --(UPPER(TRIM($G$2:$G$518)&amp;TRIM($I$2:$I$518)&amp;TRIM($J$2:$J$518))&lt;&gt;UPPER(TRIM($G161)&amp;TRIM($I161)&amp;TRIM($J161))))&gt;0), AND($W161&lt;&gt;"", LOWER(TRIM($W161))&lt;&gt;"n/a", LOWER(TRIM($W161))&lt;&gt;"na", SUMPRODUCT(--(UPPER(TRIM($W$2:$W$518))=UPPER(TRIM($W161))), --(UPPER(TRIM($B$2:$B$518))="YES"), --(UPPER(TRIM($G$2:$G$518)&amp;TRIM($I$2:$I$518)&amp;TRIM($J$2:$J$518))&lt;&gt;UPPER(TRIM($G161)&amp;TRIM($I161)&amp;TRIM($J161))))&gt;0), AND($X161&lt;&gt;"", LOWER(TRIM($X161))&lt;&gt;"n/a", LOWER(TRIM($X161))&lt;&gt;"na", SUMPRODUCT(--(UPPER(TRIM($X$2:$X$518))=UPPER(TRIM($X161))), --(UPPER(TRIM($B$2:$B$518))="YES"), --(UPPER(TRIM($G$2:$G$518)&amp;TRIM($I$2:$I$518)&amp;TRIM($J$2:$J$518))&lt;&gt;UPPER(TRIM($G161)&amp;TRIM($I161)&amp;TRIM($J161))))&gt;0), AND($Y161&lt;&gt;"", LOWER(TRIM($Y161))&lt;&gt;"n/a", LOWER(TRIM($Y161))&lt;&gt;"na", SUMPRODUCT(--(UPPER(SUBSTITUTE(SUBSTITUTE(TRIM($Y$2:$Y$518),":",""),"-",""))=UPPER(SUBSTITUTE(SUBSTITUTE(TRIM($Y161),":",""),"-",""))), --(UPPER(TRIM($B$2:$B$518))="YES"), --(UPPER(TRIM($G$2:$G$518)&amp;TRIM($I$2:$I$518)&amp;TRIM($J$2:$J$518))&lt;&gt;UPPER(TRIM($G161)&amp;TRIM($I161)&amp;TRIM($J161))))&gt;0), AND($AB161&lt;&gt;"", LOWER(TRIM($AB161))&lt;&gt;"n/a", LOWER(TRIM($AB161))&lt;&gt;"na", SUMPRODUCT(--(UPPER(TRIM($AB$2:$AB$518))=UPPER(TRIM($AB161))), --(UPPER(TRIM($B$2:$B$518))="YES"), --(UPPER(TRIM($G$2:$G$518)&amp;TRIM($I$2:$I$518)&amp;TRIM($J$2:$J$518))&lt;&gt;UPPER(TRIM($G161)&amp;TRIM($I161)&amp;TRIM($J161))))&gt;0), AND($AH161&lt;&gt;"", LOWER(TRIM($AH161))&lt;&gt;"n/a", LOWER(TRIM($AH161))&lt;&gt;"na", SUMPRODUCT(--(UPPER(SUBSTITUTE(SUBSTITUTE(TRIM($AH$2:$AH$518),":",""),"-",""))=UPPER(SUBSTITUTE(SUBSTITUTE(TRIM($AH161),":",""),"-",""))), --(UPPER(TRIM($B$2:$B$518))="YES"), --(UPPER(TRIM($G$2:$G$518)&amp;TRIM($I$2:$I$518)&amp;TRIM($J$2:$J$518))&lt;&gt;UPPER(TRIM($G161)&amp;TRIM($I161)&amp;TRIM($J161))))&gt;0), AND($AP161&lt;&gt;"", LOWER(TRIM($AP161))&lt;&gt;"n/a", LOWER(TRIM($AP161))&lt;&gt;"na", SUMPRODUCT(--(UPPER(TRIM($AP$2:$AP$518))=UPPER(TRIM($AP161))), --(UPPER(TRIM($B$2:$B$518))="YES"), --(UPPER(TRIM($G$2:$G$518)&amp;TRIM($I$2:$I$518)&amp;TRIM($J$2:$J$518))&lt;&gt;UPPER(TRIM($G161)&amp;TRIM($I161)&amp;TRIM($J161))))&gt;0), AND($AQ161&lt;&gt;"", LOWER(TRIM($AQ161))&lt;&gt;"n/a", LOWER(TRIM($AQ161))&lt;&gt;"na", SUMPRODUCT(--(UPPER(TRIM($AQ$2:$AQ$518))=UPPER(TRIM($AQ161))), --(UPPER(TRIM($B$2:$B$518))="YES"), --(UPPER(TRIM($G$2:$G$518)&amp;TRIM($I$2:$I$518)&amp;TRIM($J$2:$J$518))&lt;&gt;UPPER(TRIM($G161)&amp;TRIM($I161)&amp;TRIM($J161))))&gt;0)), "Yes", "No"))</f>
        <v/>
      </c>
      <c r="G161" t="inlineStr">
        <is>
          <t>LIJ - OR</t>
        </is>
      </c>
      <c r="H161" t="inlineStr">
        <is>
          <t>LIJ - OR</t>
        </is>
      </c>
      <c r="I161" t="inlineStr">
        <is>
          <t>LIJ ORs</t>
        </is>
      </c>
      <c r="J161" t="inlineStr">
        <is>
          <t>OR 18</t>
        </is>
      </c>
      <c r="K161" t="inlineStr">
        <is>
          <t>n/a</t>
        </is>
      </c>
      <c r="L161" s="18" t="n">
        <v>46074</v>
      </c>
      <c r="M161" t="inlineStr">
        <is>
          <t>OR iPro Cybernet Workstation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Inpatient</t>
        </is>
      </c>
      <c r="S161" t="inlineStr">
        <is>
          <t>Pass</t>
        </is>
      </c>
      <c r="T161" t="inlineStr">
        <is>
          <t>n/a</t>
        </is>
      </c>
      <c r="U161" t="inlineStr">
        <is>
          <t>1427182 LIJ Installation (Project Name) - Tim W. Seeberger, Akbar, Chris Perkins, Epic Team, Anesthesia Techs, and Admins</t>
        </is>
      </c>
      <c r="V161" t="inlineStr">
        <is>
          <t>WNH270OPR420</t>
        </is>
      </c>
      <c r="W161" t="inlineStr">
        <is>
          <t>MEDSG2425F-0068</t>
        </is>
      </c>
      <c r="X161" t="inlineStr">
        <is>
          <t>LIJ-MACH-H</t>
        </is>
      </c>
      <c r="Y161" t="inlineStr">
        <is>
          <t>00187DE0E258</t>
        </is>
      </c>
      <c r="Z161" t="inlineStr">
        <is>
          <t>n/a</t>
        </is>
      </c>
      <c r="AH161" t="inlineStr">
        <is>
          <t>00:0D:05:0A:A7:f7</t>
        </is>
      </c>
      <c r="AI161" t="inlineStr">
        <is>
          <t>Anesthesia Machine</t>
        </is>
      </c>
      <c r="AK161" t="n">
        <v>2</v>
      </c>
      <c r="AM161" t="inlineStr">
        <is>
          <t>Drager</t>
        </is>
      </c>
      <c r="AN161" t="inlineStr">
        <is>
          <t>Apollo</t>
        </is>
      </c>
      <c r="AP161" t="inlineStr">
        <is>
          <t>ARXM-0373</t>
        </is>
      </c>
      <c r="AQ161" t="inlineStr">
        <is>
          <t>ARXM-0373</t>
        </is>
      </c>
      <c r="AS161" t="inlineStr">
        <is>
          <t>B1-CFW</t>
        </is>
      </c>
      <c r="AX161" t="inlineStr">
        <is>
          <t>MX750 - DE77669027</t>
        </is>
      </c>
      <c r="AY161" t="inlineStr">
        <is>
          <t>Anesthesia Machine</t>
        </is>
      </c>
      <c r="BR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CA161" t="inlineStr">
        <is>
          <t>iPro
Epic Satellite
ALLSCRIPTS
EPIC BCA</t>
        </is>
      </c>
      <c r="CD161">
        <f>IF($Y161="","",IF((IF(AND($BR161&lt;&gt;"Yes",$BR161&lt;&gt;"N/A"),"Power Cable, ","")&amp;IF(AND($BS161&lt;&gt;"Yes",$BS161&lt;&gt;"N/A"),"Battery, ","")&amp;IF(AND($AD161&lt;&gt;"Yes",$AD161&lt;&gt;"N/A"),"Firmware Download, ","")&amp;IF(AND(OR($AD161="Yes",$AD161="N/A"),$AE161&lt;&gt;"Yes",$AE161&lt;&gt;"N/A"),"Firmware Install, ","")&amp;IF(AND($CB161&lt;&gt;"Yes",$CB161&lt;&gt;"N/A"),"Device ID, ","")&amp;IF(AND($CC161&lt;&gt;"Yes",$CC161&lt;&gt;"N/A"),"Epic Beans Relay, ",""))="","",LEFT(IF(AND($BR161&lt;&gt;"Yes",$BR161&lt;&gt;"N/A"),"Power Cable, ","")&amp;IF(AND($BS161&lt;&gt;"Yes",$BS161&lt;&gt;"N/A"),"Battery, ","")&amp;IF(AND($AD161&lt;&gt;"Yes",$AD161&lt;&gt;"N/A"),"Firmware Download, ","")&amp;IF(AND(OR($AD161="Yes",$AD161="N/A"),$AE161&lt;&gt;"Yes",$AE161&lt;&gt;"N/A"),"Firmware Install, ","")&amp;IF(AND($CB161&lt;&gt;"Yes",$CB161&lt;&gt;"N/A"),"Device ID, ","")&amp;IF(AND($CC161&lt;&gt;"Yes",$CC161&lt;&gt;"N/A"),"Epic Beans Relay, ",""),LEN(IF(AND($BR161&lt;&gt;"Yes",$BR161&lt;&gt;"N/A"),"Power Cable, ","")&amp;IF(AND($BS161&lt;&gt;"Yes",$BS161&lt;&gt;"N/A"),"Battery, ","")&amp;IF(AND($AD161&lt;&gt;"Yes",$AD161&lt;&gt;"N/A"),"Firmware Download, ","")&amp;IF(AND(OR($AD161="Yes",$AD161="N/A"),$AE161&lt;&gt;"Yes",$AE161&lt;&gt;"N/A"),"Firmware Install, ","")&amp;IF(AND($CB161&lt;&gt;"Yes",$CB161&lt;&gt;"N/A"),"Device ID, ","")&amp;IF(AND($CC161&lt;&gt;"Yes",$CC161&lt;&gt;"N/A"),"Epic Beans Relay, ",""))-2)))</f>
        <v/>
      </c>
      <c r="CE161">
        <f>IF($Y161="","",IF($CD161="","Yes","Blocked"))</f>
        <v/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n">
        <v>19200</v>
      </c>
      <c r="CP161">
        <f>IF($CO161="","",IFERROR(VLOOKUP($CO161,'01_Warehouse_Ledger'!$A:$N,4,FALSE),""))</f>
        <v/>
      </c>
      <c r="CQ161">
        <f>IF($CO161="","",IFERROR(VLOOKUP($CO161,'01_Warehouse_Ledger'!$A:$N,5,FALSE),""))</f>
        <v/>
      </c>
      <c r="CR161">
        <f>IF($CO161="","",IFERROR(VLOOKUP($CO161,'01_Warehouse_Ledger'!$A:$N,13,FALSE),""))</f>
        <v/>
      </c>
      <c r="CW161">
        <f>IF($S161="","",IF(UPPER(TRIM($S161))&lt;&gt;"PASS","",IF(LEN(TRIM($BY161))&gt;0,"NOTES_PRESENT",IF(LEN(TRIM($T161))=0,"SET_NA",IF(OR(LOWER(TRIM($T161))="na",LOWER(TRIM($T161))="n/a"),"OK","MANUAL_OVERRIDE")))))</f>
        <v/>
      </c>
    </row>
    <row r="162">
      <c r="A162" t="inlineStr">
        <is>
          <t>Cybernet</t>
        </is>
      </c>
      <c r="B162" s="5" t="inlineStr">
        <is>
          <t>Yes</t>
        </is>
      </c>
      <c r="C162" t="inlineStr">
        <is>
          <t>Yes</t>
        </is>
      </c>
      <c r="D162">
        <f>IF($B162&lt;&gt;"Yes","",IF($C162="No","Yes",IF($C162="Yes","No","")))</f>
        <v/>
      </c>
      <c r="E162">
        <f>IF($A162="","",IF(OR(AND($V162&lt;&gt;"",LOWER(TRIM($V162))&lt;&gt;"n/a",LOWER(TRIM($V162))&lt;&gt;"na",SUMPRODUCT(--(UPPER(TRIM($V$2:$V$518))=UPPER(TRIM($V162))),--(TRIM($V$2:$V$518)&lt;&gt;""),--(LOWER(TRIM($V$2:$V$518))&lt;&gt;"n/a"),--(LOWER(TRIM($V$2:$V$518))&lt;&gt;"na"))&gt;1),AND($W162&lt;&gt;"",LOWER(TRIM($W162))&lt;&gt;"n/a",LOWER(TRIM($W162))&lt;&gt;"na",SUMPRODUCT(--(UPPER(TRIM($W$2:$W$518))=UPPER(TRIM($W162))),--(TRIM($W$2:$W$518)&lt;&gt;""),--(LOWER(TRIM($W$2:$W$518))&lt;&gt;"n/a"),--(LOWER(TRIM($W$2:$W$518))&lt;&gt;"na"))&gt;1),AND($X162&lt;&gt;"",LOWER(TRIM($X162))&lt;&gt;"n/a",LOWER(TRIM($X162))&lt;&gt;"na",SUMPRODUCT(--(UPPER(TRIM($X$2:$X$518))=UPPER(TRIM($X162))),--(TRIM($X$2:$X$518)&lt;&gt;""),--(LOWER(TRIM($X$2:$X$518))&lt;&gt;"n/a"),--(LOWER(TRIM($X$2:$X$518))&lt;&gt;"na"))&gt;1),AND($Y162&lt;&gt;"",LOWER(TRIM($Y162))&lt;&gt;"n/a",LOWER(TRIM($Y162))&lt;&gt;"na",SUMPRODUCT(--(UPPER(SUBSTITUTE(SUBSTITUTE(TRIM($Y$2:$Y$518),":",""),"-",""))=UPPER(SUBSTITUTE(SUBSTITUTE(TRIM($Y162),":",""),"-",""))),--(TRIM($Y$2:$Y$518)&lt;&gt;""),--(LOWER(TRIM($Y$2:$Y$518))&lt;&gt;"n/a"),--(LOWER(TRIM($Y$2:$Y$518))&lt;&gt;"na"))&gt;1),AND($AB162&lt;&gt;"",LOWER(TRIM($AB162))&lt;&gt;"n/a",LOWER(TRIM($AB162))&lt;&gt;"na",SUMPRODUCT(--(UPPER(TRIM($AB$2:$AB$518))=UPPER(TRIM($AB162))),--(TRIM($AB$2:$AB$518)&lt;&gt;""),--(LOWER(TRIM($AB$2:$AB$518))&lt;&gt;"n/a"),--(LOWER(TRIM($AB$2:$AB$518))&lt;&gt;"na"))&gt;1),AND($AH162&lt;&gt;"",LOWER(TRIM($AH162))&lt;&gt;"n/a",LOWER(TRIM($AH162))&lt;&gt;"na",SUMPRODUCT(--(UPPER(SUBSTITUTE(SUBSTITUTE(TRIM($AH$2:$AH$518),":",""),"-",""))=UPPER(SUBSTITUTE(SUBSTITUTE(TRIM($AH162),":",""),"-",""))),--(TRIM($AH$2:$AH$518)&lt;&gt;""),--(LOWER(TRIM($AH$2:$AH$518))&lt;&gt;"n/a"),--(LOWER(TRIM($AH$2:$AH$518))&lt;&gt;"na"))&gt;1),AND($AP162&lt;&gt;"",LOWER(TRIM($AP162))&lt;&gt;"n/a",LOWER(TRIM($AP162))&lt;&gt;"na",SUMPRODUCT(--(UPPER(TRIM($AP$2:$AP$518))=UPPER(TRIM($AP162))),--(TRIM($AP$2:$AP$518)&lt;&gt;""),--(LOWER(TRIM($AP$2:$AP$518))&lt;&gt;"n/a"),--(LOWER(TRIM($AP$2:$AP$518))&lt;&gt;"na"))&gt;1),AND($AQ162&lt;&gt;"",LOWER(TRIM($AQ162))&lt;&gt;"n/a",LOWER(TRIM($AQ162))&lt;&gt;"na",SUMPRODUCT(--(UPPER(TRIM($AQ$2:$AQ$518))=UPPER(TRIM($AQ162))),--(TRIM($AQ$2:$AQ$518)&lt;&gt;""),--(LOWER(TRIM($AQ$2:$AQ$518))&lt;&gt;"n/a"),--(LOWER(TRIM($AQ$2:$AQ$518))&lt;&gt;"na"))&gt;1)),"Yes","No"))</f>
        <v/>
      </c>
      <c r="F162">
        <f>IF(UPPER(TRIM($B162))&lt;&gt;"YES","", IF(OR(AND($V162&lt;&gt;"", LOWER(TRIM($V162))&lt;&gt;"n/a", LOWER(TRIM($V162))&lt;&gt;"na", SUMPRODUCT(--(UPPER(TRIM($V$2:$V$518))=UPPER(TRIM($V162))), --(UPPER(TRIM($B$2:$B$518))="YES"), --(UPPER(TRIM($G$2:$G$518)&amp;TRIM($I$2:$I$518)&amp;TRIM($J$2:$J$518))&lt;&gt;UPPER(TRIM($G162)&amp;TRIM($I162)&amp;TRIM($J162))))&gt;0), AND($W162&lt;&gt;"", LOWER(TRIM($W162))&lt;&gt;"n/a", LOWER(TRIM($W162))&lt;&gt;"na", SUMPRODUCT(--(UPPER(TRIM($W$2:$W$518))=UPPER(TRIM($W162))), --(UPPER(TRIM($B$2:$B$518))="YES"), --(UPPER(TRIM($G$2:$G$518)&amp;TRIM($I$2:$I$518)&amp;TRIM($J$2:$J$518))&lt;&gt;UPPER(TRIM($G162)&amp;TRIM($I162)&amp;TRIM($J162))))&gt;0), AND($X162&lt;&gt;"", LOWER(TRIM($X162))&lt;&gt;"n/a", LOWER(TRIM($X162))&lt;&gt;"na", SUMPRODUCT(--(UPPER(TRIM($X$2:$X$518))=UPPER(TRIM($X162))), --(UPPER(TRIM($B$2:$B$518))="YES"), --(UPPER(TRIM($G$2:$G$518)&amp;TRIM($I$2:$I$518)&amp;TRIM($J$2:$J$518))&lt;&gt;UPPER(TRIM($G162)&amp;TRIM($I162)&amp;TRIM($J162))))&gt;0), AND($Y162&lt;&gt;"", LOWER(TRIM($Y162))&lt;&gt;"n/a", LOWER(TRIM($Y162))&lt;&gt;"na", SUMPRODUCT(--(UPPER(SUBSTITUTE(SUBSTITUTE(TRIM($Y$2:$Y$518),":",""),"-",""))=UPPER(SUBSTITUTE(SUBSTITUTE(TRIM($Y162),":",""),"-",""))), --(UPPER(TRIM($B$2:$B$518))="YES"), --(UPPER(TRIM($G$2:$G$518)&amp;TRIM($I$2:$I$518)&amp;TRIM($J$2:$J$518))&lt;&gt;UPPER(TRIM($G162)&amp;TRIM($I162)&amp;TRIM($J162))))&gt;0), AND($AB162&lt;&gt;"", LOWER(TRIM($AB162))&lt;&gt;"n/a", LOWER(TRIM($AB162))&lt;&gt;"na", SUMPRODUCT(--(UPPER(TRIM($AB$2:$AB$518))=UPPER(TRIM($AB162))), --(UPPER(TRIM($B$2:$B$518))="YES"), --(UPPER(TRIM($G$2:$G$518)&amp;TRIM($I$2:$I$518)&amp;TRIM($J$2:$J$518))&lt;&gt;UPPER(TRIM($G162)&amp;TRIM($I162)&amp;TRIM($J162))))&gt;0), AND($AH162&lt;&gt;"", LOWER(TRIM($AH162))&lt;&gt;"n/a", LOWER(TRIM($AH162))&lt;&gt;"na", SUMPRODUCT(--(UPPER(SUBSTITUTE(SUBSTITUTE(TRIM($AH$2:$AH$518),":",""),"-",""))=UPPER(SUBSTITUTE(SUBSTITUTE(TRIM($AH162),":",""),"-",""))), --(UPPER(TRIM($B$2:$B$518))="YES"), --(UPPER(TRIM($G$2:$G$518)&amp;TRIM($I$2:$I$518)&amp;TRIM($J$2:$J$518))&lt;&gt;UPPER(TRIM($G162)&amp;TRIM($I162)&amp;TRIM($J162))))&gt;0), AND($AP162&lt;&gt;"", LOWER(TRIM($AP162))&lt;&gt;"n/a", LOWER(TRIM($AP162))&lt;&gt;"na", SUMPRODUCT(--(UPPER(TRIM($AP$2:$AP$518))=UPPER(TRIM($AP162))), --(UPPER(TRIM($B$2:$B$518))="YES"), --(UPPER(TRIM($G$2:$G$518)&amp;TRIM($I$2:$I$518)&amp;TRIM($J$2:$J$518))&lt;&gt;UPPER(TRIM($G162)&amp;TRIM($I162)&amp;TRIM($J162))))&gt;0), AND($AQ162&lt;&gt;"", LOWER(TRIM($AQ162))&lt;&gt;"n/a", LOWER(TRIM($AQ162))&lt;&gt;"na", SUMPRODUCT(--(UPPER(TRIM($AQ$2:$AQ$518))=UPPER(TRIM($AQ162))), --(UPPER(TRIM($B$2:$B$518))="YES"), --(UPPER(TRIM($G$2:$G$518)&amp;TRIM($I$2:$I$518)&amp;TRIM($J$2:$J$518))&lt;&gt;UPPER(TRIM($G162)&amp;TRIM($I162)&amp;TRIM($J162))))&gt;0)), "Yes", "No"))</f>
        <v/>
      </c>
      <c r="G162" t="inlineStr">
        <is>
          <t>LIJ - OR</t>
        </is>
      </c>
      <c r="H162" t="inlineStr">
        <is>
          <t>LIJ - OR</t>
        </is>
      </c>
      <c r="I162" t="inlineStr">
        <is>
          <t>LIJ ORs</t>
        </is>
      </c>
      <c r="J162" t="inlineStr">
        <is>
          <t>OR 20</t>
        </is>
      </c>
      <c r="K162" t="inlineStr">
        <is>
          <t>n/a</t>
        </is>
      </c>
      <c r="L162" s="18" t="n">
        <v>46074</v>
      </c>
      <c r="M162" t="inlineStr">
        <is>
          <t>OR iPro Cybernet Workstation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Inpatient</t>
        </is>
      </c>
      <c r="S162" t="inlineStr">
        <is>
          <t>Pass</t>
        </is>
      </c>
      <c r="T162" t="inlineStr">
        <is>
          <t>n/a</t>
        </is>
      </c>
      <c r="U162" t="inlineStr">
        <is>
          <t>1427182 LIJ Installation (Project Name) - Tim W. Seeberger, Akbar, Chris Perkins, Epic Team, Anesthesia Techs, and Admins</t>
        </is>
      </c>
      <c r="V162" t="inlineStr">
        <is>
          <t>WNH270OPR421</t>
        </is>
      </c>
      <c r="W162" t="inlineStr">
        <is>
          <t>MEDSG2425F-0146</t>
        </is>
      </c>
      <c r="X162" t="inlineStr">
        <is>
          <t>LIJ-MACH-B</t>
        </is>
      </c>
      <c r="Y162" t="inlineStr">
        <is>
          <t>00187DE0ADF6</t>
        </is>
      </c>
      <c r="Z162" t="inlineStr">
        <is>
          <t>n/a</t>
        </is>
      </c>
      <c r="AH162" t="inlineStr">
        <is>
          <t>00:0D:05:0A:A5:FF</t>
        </is>
      </c>
      <c r="AI162" t="inlineStr">
        <is>
          <t>Anesthesia Machine</t>
        </is>
      </c>
      <c r="AK162" t="n">
        <v>2</v>
      </c>
      <c r="AM162" t="inlineStr">
        <is>
          <t>Drager</t>
        </is>
      </c>
      <c r="AN162" t="inlineStr">
        <is>
          <t>Apollo</t>
        </is>
      </c>
      <c r="AP162" t="inlineStr">
        <is>
          <t>ARZD-0002</t>
        </is>
      </c>
      <c r="AQ162" t="inlineStr">
        <is>
          <t>ARZD-0002</t>
        </is>
      </c>
      <c r="AS162" t="inlineStr">
        <is>
          <t>B1-CFW</t>
        </is>
      </c>
      <c r="AX162" t="inlineStr">
        <is>
          <t>MX750 - DE77669070</t>
        </is>
      </c>
      <c r="AY162" t="inlineStr">
        <is>
          <t>Anesthesia Machine</t>
        </is>
      </c>
      <c r="BR162" t="inlineStr">
        <is>
          <t>Yes</t>
        </is>
      </c>
      <c r="BS162" t="inlineStr">
        <is>
          <t>Yes</t>
        </is>
      </c>
      <c r="BT162" t="inlineStr">
        <is>
          <t>Yes</t>
        </is>
      </c>
      <c r="BU162" t="inlineStr">
        <is>
          <t>Yes</t>
        </is>
      </c>
      <c r="CA162" t="inlineStr">
        <is>
          <t>iPro
Epic Satellite
ALLSCRIPTS
EPIC BCA</t>
        </is>
      </c>
      <c r="CD162">
        <f>IF($Y162="","",IF((IF(AND($BR162&lt;&gt;"Yes",$BR162&lt;&gt;"N/A"),"Power Cable, ","")&amp;IF(AND($BS162&lt;&gt;"Yes",$BS162&lt;&gt;"N/A"),"Battery, ","")&amp;IF(AND($AD162&lt;&gt;"Yes",$AD162&lt;&gt;"N/A"),"Firmware Download, ","")&amp;IF(AND(OR($AD162="Yes",$AD162="N/A"),$AE162&lt;&gt;"Yes",$AE162&lt;&gt;"N/A"),"Firmware Install, ","")&amp;IF(AND($CB162&lt;&gt;"Yes",$CB162&lt;&gt;"N/A"),"Device ID, ","")&amp;IF(AND($CC162&lt;&gt;"Yes",$CC162&lt;&gt;"N/A"),"Epic Beans Relay, ",""))="","",LEFT(IF(AND($BR162&lt;&gt;"Yes",$BR162&lt;&gt;"N/A"),"Power Cable, ","")&amp;IF(AND($BS162&lt;&gt;"Yes",$BS162&lt;&gt;"N/A"),"Battery, ","")&amp;IF(AND($AD162&lt;&gt;"Yes",$AD162&lt;&gt;"N/A"),"Firmware Download, ","")&amp;IF(AND(OR($AD162="Yes",$AD162="N/A"),$AE162&lt;&gt;"Yes",$AE162&lt;&gt;"N/A"),"Firmware Install, ","")&amp;IF(AND($CB162&lt;&gt;"Yes",$CB162&lt;&gt;"N/A"),"Device ID, ","")&amp;IF(AND($CC162&lt;&gt;"Yes",$CC162&lt;&gt;"N/A"),"Epic Beans Relay, ",""),LEN(IF(AND($BR162&lt;&gt;"Yes",$BR162&lt;&gt;"N/A"),"Power Cable, ","")&amp;IF(AND($BS162&lt;&gt;"Yes",$BS162&lt;&gt;"N/A"),"Battery, ","")&amp;IF(AND($AD162&lt;&gt;"Yes",$AD162&lt;&gt;"N/A"),"Firmware Download, ","")&amp;IF(AND(OR($AD162="Yes",$AD162="N/A"),$AE162&lt;&gt;"Yes",$AE162&lt;&gt;"N/A"),"Firmware Install, ","")&amp;IF(AND($CB162&lt;&gt;"Yes",$CB162&lt;&gt;"N/A"),"Device ID, ","")&amp;IF(AND($CC162&lt;&gt;"Yes",$CC162&lt;&gt;"N/A"),"Epic Beans Relay, ",""))-2)))</f>
        <v/>
      </c>
      <c r="CE162">
        <f>IF($Y162="","",IF($CD162="","Yes","Blocked"))</f>
        <v/>
      </c>
      <c r="CF162" t="inlineStr">
        <is>
          <t>Yes</t>
        </is>
      </c>
      <c r="CG162" t="inlineStr">
        <is>
          <t>Yes</t>
        </is>
      </c>
      <c r="CH162" t="inlineStr">
        <is>
          <t>Yes</t>
        </is>
      </c>
      <c r="CI162" t="inlineStr">
        <is>
          <t>Yes</t>
        </is>
      </c>
      <c r="CJ162" t="inlineStr">
        <is>
          <t>Yes</t>
        </is>
      </c>
      <c r="CK162" t="n">
        <v>19200</v>
      </c>
      <c r="CP162">
        <f>IF($CO162="","",IFERROR(VLOOKUP($CO162,'01_Warehouse_Ledger'!$A:$N,4,FALSE),""))</f>
        <v/>
      </c>
      <c r="CQ162">
        <f>IF($CO162="","",IFERROR(VLOOKUP($CO162,'01_Warehouse_Ledger'!$A:$N,5,FALSE),""))</f>
        <v/>
      </c>
      <c r="CR162">
        <f>IF($CO162="","",IFERROR(VLOOKUP($CO162,'01_Warehouse_Ledger'!$A:$N,13,FALSE),""))</f>
        <v/>
      </c>
      <c r="CW162">
        <f>IF($S162="","",IF(UPPER(TRIM($S162))&lt;&gt;"PASS","",IF(LEN(TRIM($BY162))&gt;0,"NOTES_PRESENT",IF(LEN(TRIM($T162))=0,"SET_NA",IF(OR(LOWER(TRIM($T162))="na",LOWER(TRIM($T162))="n/a"),"OK","MANUAL_OVERRIDE")))))</f>
        <v/>
      </c>
    </row>
    <row r="163">
      <c r="A163" t="inlineStr">
        <is>
          <t>Cybernet</t>
        </is>
      </c>
      <c r="B163" s="5" t="inlineStr">
        <is>
          <t>Yes</t>
        </is>
      </c>
      <c r="C163" t="inlineStr">
        <is>
          <t>Yes</t>
        </is>
      </c>
      <c r="D163">
        <f>IF($B163&lt;&gt;"Yes","",IF($C163="No","Yes",IF($C163="Yes","No","")))</f>
        <v/>
      </c>
      <c r="E163">
        <f>IF($A163="","",IF(OR(AND($V163&lt;&gt;"",LOWER(TRIM($V163))&lt;&gt;"n/a",LOWER(TRIM($V163))&lt;&gt;"na",SUMPRODUCT(--(UPPER(TRIM($V$2:$V$518))=UPPER(TRIM($V163))),--(TRIM($V$2:$V$518)&lt;&gt;""),--(LOWER(TRIM($V$2:$V$518))&lt;&gt;"n/a"),--(LOWER(TRIM($V$2:$V$518))&lt;&gt;"na"))&gt;1),AND($W163&lt;&gt;"",LOWER(TRIM($W163))&lt;&gt;"n/a",LOWER(TRIM($W163))&lt;&gt;"na",SUMPRODUCT(--(UPPER(TRIM($W$2:$W$518))=UPPER(TRIM($W163))),--(TRIM($W$2:$W$518)&lt;&gt;""),--(LOWER(TRIM($W$2:$W$518))&lt;&gt;"n/a"),--(LOWER(TRIM($W$2:$W$518))&lt;&gt;"na"))&gt;1),AND($X163&lt;&gt;"",LOWER(TRIM($X163))&lt;&gt;"n/a",LOWER(TRIM($X163))&lt;&gt;"na",SUMPRODUCT(--(UPPER(TRIM($X$2:$X$518))=UPPER(TRIM($X163))),--(TRIM($X$2:$X$518)&lt;&gt;""),--(LOWER(TRIM($X$2:$X$518))&lt;&gt;"n/a"),--(LOWER(TRIM($X$2:$X$518))&lt;&gt;"na"))&gt;1),AND($Y163&lt;&gt;"",LOWER(TRIM($Y163))&lt;&gt;"n/a",LOWER(TRIM($Y163))&lt;&gt;"na",SUMPRODUCT(--(UPPER(SUBSTITUTE(SUBSTITUTE(TRIM($Y$2:$Y$518),":",""),"-",""))=UPPER(SUBSTITUTE(SUBSTITUTE(TRIM($Y163),":",""),"-",""))),--(TRIM($Y$2:$Y$518)&lt;&gt;""),--(LOWER(TRIM($Y$2:$Y$518))&lt;&gt;"n/a"),--(LOWER(TRIM($Y$2:$Y$518))&lt;&gt;"na"))&gt;1),AND($AB163&lt;&gt;"",LOWER(TRIM($AB163))&lt;&gt;"n/a",LOWER(TRIM($AB163))&lt;&gt;"na",SUMPRODUCT(--(UPPER(TRIM($AB$2:$AB$518))=UPPER(TRIM($AB163))),--(TRIM($AB$2:$AB$518)&lt;&gt;""),--(LOWER(TRIM($AB$2:$AB$518))&lt;&gt;"n/a"),--(LOWER(TRIM($AB$2:$AB$518))&lt;&gt;"na"))&gt;1),AND($AH163&lt;&gt;"",LOWER(TRIM($AH163))&lt;&gt;"n/a",LOWER(TRIM($AH163))&lt;&gt;"na",SUMPRODUCT(--(UPPER(SUBSTITUTE(SUBSTITUTE(TRIM($AH$2:$AH$518),":",""),"-",""))=UPPER(SUBSTITUTE(SUBSTITUTE(TRIM($AH163),":",""),"-",""))),--(TRIM($AH$2:$AH$518)&lt;&gt;""),--(LOWER(TRIM($AH$2:$AH$518))&lt;&gt;"n/a"),--(LOWER(TRIM($AH$2:$AH$518))&lt;&gt;"na"))&gt;1),AND($AP163&lt;&gt;"",LOWER(TRIM($AP163))&lt;&gt;"n/a",LOWER(TRIM($AP163))&lt;&gt;"na",SUMPRODUCT(--(UPPER(TRIM($AP$2:$AP$518))=UPPER(TRIM($AP163))),--(TRIM($AP$2:$AP$518)&lt;&gt;""),--(LOWER(TRIM($AP$2:$AP$518))&lt;&gt;"n/a"),--(LOWER(TRIM($AP$2:$AP$518))&lt;&gt;"na"))&gt;1),AND($AQ163&lt;&gt;"",LOWER(TRIM($AQ163))&lt;&gt;"n/a",LOWER(TRIM($AQ163))&lt;&gt;"na",SUMPRODUCT(--(UPPER(TRIM($AQ$2:$AQ$518))=UPPER(TRIM($AQ163))),--(TRIM($AQ$2:$AQ$518)&lt;&gt;""),--(LOWER(TRIM($AQ$2:$AQ$518))&lt;&gt;"n/a"),--(LOWER(TRIM($AQ$2:$AQ$518))&lt;&gt;"na"))&gt;1)),"Yes","No"))</f>
        <v/>
      </c>
      <c r="F163">
        <f>IF(UPPER(TRIM($B163))&lt;&gt;"YES","", IF(OR(AND($V163&lt;&gt;"", LOWER(TRIM($V163))&lt;&gt;"n/a", LOWER(TRIM($V163))&lt;&gt;"na", SUMPRODUCT(--(UPPER(TRIM($V$2:$V$518))=UPPER(TRIM($V163))), --(UPPER(TRIM($B$2:$B$518))="YES"), --(UPPER(TRIM($G$2:$G$518)&amp;TRIM($I$2:$I$518)&amp;TRIM($J$2:$J$518))&lt;&gt;UPPER(TRIM($G163)&amp;TRIM($I163)&amp;TRIM($J163))))&gt;0), AND($W163&lt;&gt;"", LOWER(TRIM($W163))&lt;&gt;"n/a", LOWER(TRIM($W163))&lt;&gt;"na", SUMPRODUCT(--(UPPER(TRIM($W$2:$W$518))=UPPER(TRIM($W163))), --(UPPER(TRIM($B$2:$B$518))="YES"), --(UPPER(TRIM($G$2:$G$518)&amp;TRIM($I$2:$I$518)&amp;TRIM($J$2:$J$518))&lt;&gt;UPPER(TRIM($G163)&amp;TRIM($I163)&amp;TRIM($J163))))&gt;0), AND($X163&lt;&gt;"", LOWER(TRIM($X163))&lt;&gt;"n/a", LOWER(TRIM($X163))&lt;&gt;"na", SUMPRODUCT(--(UPPER(TRIM($X$2:$X$518))=UPPER(TRIM($X163))), --(UPPER(TRIM($B$2:$B$518))="YES"), --(UPPER(TRIM($G$2:$G$518)&amp;TRIM($I$2:$I$518)&amp;TRIM($J$2:$J$518))&lt;&gt;UPPER(TRIM($G163)&amp;TRIM($I163)&amp;TRIM($J163))))&gt;0), AND($Y163&lt;&gt;"", LOWER(TRIM($Y163))&lt;&gt;"n/a", LOWER(TRIM($Y163))&lt;&gt;"na", SUMPRODUCT(--(UPPER(SUBSTITUTE(SUBSTITUTE(TRIM($Y$2:$Y$518),":",""),"-",""))=UPPER(SUBSTITUTE(SUBSTITUTE(TRIM($Y163),":",""),"-",""))), --(UPPER(TRIM($B$2:$B$518))="YES"), --(UPPER(TRIM($G$2:$G$518)&amp;TRIM($I$2:$I$518)&amp;TRIM($J$2:$J$518))&lt;&gt;UPPER(TRIM($G163)&amp;TRIM($I163)&amp;TRIM($J163))))&gt;0), AND($AB163&lt;&gt;"", LOWER(TRIM($AB163))&lt;&gt;"n/a", LOWER(TRIM($AB163))&lt;&gt;"na", SUMPRODUCT(--(UPPER(TRIM($AB$2:$AB$518))=UPPER(TRIM($AB163))), --(UPPER(TRIM($B$2:$B$518))="YES"), --(UPPER(TRIM($G$2:$G$518)&amp;TRIM($I$2:$I$518)&amp;TRIM($J$2:$J$518))&lt;&gt;UPPER(TRIM($G163)&amp;TRIM($I163)&amp;TRIM($J163))))&gt;0), AND($AH163&lt;&gt;"", LOWER(TRIM($AH163))&lt;&gt;"n/a", LOWER(TRIM($AH163))&lt;&gt;"na", SUMPRODUCT(--(UPPER(SUBSTITUTE(SUBSTITUTE(TRIM($AH$2:$AH$518),":",""),"-",""))=UPPER(SUBSTITUTE(SUBSTITUTE(TRIM($AH163),":",""),"-",""))), --(UPPER(TRIM($B$2:$B$518))="YES"), --(UPPER(TRIM($G$2:$G$518)&amp;TRIM($I$2:$I$518)&amp;TRIM($J$2:$J$518))&lt;&gt;UPPER(TRIM($G163)&amp;TRIM($I163)&amp;TRIM($J163))))&gt;0), AND($AP163&lt;&gt;"", LOWER(TRIM($AP163))&lt;&gt;"n/a", LOWER(TRIM($AP163))&lt;&gt;"na", SUMPRODUCT(--(UPPER(TRIM($AP$2:$AP$518))=UPPER(TRIM($AP163))), --(UPPER(TRIM($B$2:$B$518))="YES"), --(UPPER(TRIM($G$2:$G$518)&amp;TRIM($I$2:$I$518)&amp;TRIM($J$2:$J$518))&lt;&gt;UPPER(TRIM($G163)&amp;TRIM($I163)&amp;TRIM($J163))))&gt;0), AND($AQ163&lt;&gt;"", LOWER(TRIM($AQ163))&lt;&gt;"n/a", LOWER(TRIM($AQ163))&lt;&gt;"na", SUMPRODUCT(--(UPPER(TRIM($AQ$2:$AQ$518))=UPPER(TRIM($AQ163))), --(UPPER(TRIM($B$2:$B$518))="YES"), --(UPPER(TRIM($G$2:$G$518)&amp;TRIM($I$2:$I$518)&amp;TRIM($J$2:$J$518))&lt;&gt;UPPER(TRIM($G163)&amp;TRIM($I163)&amp;TRIM($J163))))&gt;0)), "Yes", "No"))</f>
        <v/>
      </c>
      <c r="G163" t="inlineStr">
        <is>
          <t>LIJ - OR</t>
        </is>
      </c>
      <c r="H163" t="inlineStr">
        <is>
          <t>LIJ - OR</t>
        </is>
      </c>
      <c r="I163" t="inlineStr">
        <is>
          <t>LIJ ORs</t>
        </is>
      </c>
      <c r="J163" t="inlineStr">
        <is>
          <t>OR 7</t>
        </is>
      </c>
      <c r="K163" t="inlineStr">
        <is>
          <t>n/a</t>
        </is>
      </c>
      <c r="L163" s="18" t="n">
        <v>46074</v>
      </c>
      <c r="M163" t="inlineStr">
        <is>
          <t>OR iPro Cybernet Workstation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Inpatient</t>
        </is>
      </c>
      <c r="S163" t="inlineStr">
        <is>
          <t>Pass</t>
        </is>
      </c>
      <c r="T163" t="inlineStr">
        <is>
          <t>n/a</t>
        </is>
      </c>
      <c r="U163" t="inlineStr">
        <is>
          <t>1427182 LIJ Installation (Project Name) - Tim W. Seeberger, Akbar, Chris Perkins, Epic Team, Anesthesia Techs, and Admins</t>
        </is>
      </c>
      <c r="V163" t="inlineStr">
        <is>
          <t>WNH270OPR422</t>
        </is>
      </c>
      <c r="W163" t="inlineStr">
        <is>
          <t>MEDSG2425F-0076</t>
        </is>
      </c>
      <c r="X163" t="inlineStr">
        <is>
          <t>LIJ-MACH-G</t>
        </is>
      </c>
      <c r="Y163" t="inlineStr">
        <is>
          <t>00187DE0E229</t>
        </is>
      </c>
      <c r="Z163" t="inlineStr">
        <is>
          <t>n/a</t>
        </is>
      </c>
      <c r="AH163" t="inlineStr">
        <is>
          <t>00:0D:05:0A:A5:35</t>
        </is>
      </c>
      <c r="AI163" t="inlineStr">
        <is>
          <t>Anesthesia Machine</t>
        </is>
      </c>
      <c r="AK163" t="n">
        <v>2</v>
      </c>
      <c r="AL163" t="inlineStr">
        <is>
          <t>OR7-TUR- / 1802BM007</t>
        </is>
      </c>
      <c r="AM163" t="inlineStr">
        <is>
          <t>Drager</t>
        </is>
      </c>
      <c r="AN163" t="inlineStr">
        <is>
          <t>Apollo</t>
        </is>
      </c>
      <c r="AP163" t="inlineStr">
        <is>
          <t>ASCJ-0102</t>
        </is>
      </c>
      <c r="AQ163" t="inlineStr">
        <is>
          <t>ASCJ-0102</t>
        </is>
      </c>
      <c r="AS163" t="inlineStr">
        <is>
          <t>B1-CFW</t>
        </is>
      </c>
      <c r="AX163" t="inlineStr">
        <is>
          <t>MX750 - DE77668953</t>
        </is>
      </c>
      <c r="AY163" t="inlineStr">
        <is>
          <t>Anesthesia Machine</t>
        </is>
      </c>
      <c r="BR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CA163" t="inlineStr">
        <is>
          <t>iPro
Epic Satellite
ALLSCRIPTS
EPIC BCA</t>
        </is>
      </c>
      <c r="CD163">
        <f>IF($Y163="","",IF((IF(AND($BR163&lt;&gt;"Yes",$BR163&lt;&gt;"N/A"),"Power Cable, ","")&amp;IF(AND($BS163&lt;&gt;"Yes",$BS163&lt;&gt;"N/A"),"Battery, ","")&amp;IF(AND($AD163&lt;&gt;"Yes",$AD163&lt;&gt;"N/A"),"Firmware Download, ","")&amp;IF(AND(OR($AD163="Yes",$AD163="N/A"),$AE163&lt;&gt;"Yes",$AE163&lt;&gt;"N/A"),"Firmware Install, ","")&amp;IF(AND($CB163&lt;&gt;"Yes",$CB163&lt;&gt;"N/A"),"Device ID, ","")&amp;IF(AND($CC163&lt;&gt;"Yes",$CC163&lt;&gt;"N/A"),"Epic Beans Relay, ",""))="","",LEFT(IF(AND($BR163&lt;&gt;"Yes",$BR163&lt;&gt;"N/A"),"Power Cable, ","")&amp;IF(AND($BS163&lt;&gt;"Yes",$BS163&lt;&gt;"N/A"),"Battery, ","")&amp;IF(AND($AD163&lt;&gt;"Yes",$AD163&lt;&gt;"N/A"),"Firmware Download, ","")&amp;IF(AND(OR($AD163="Yes",$AD163="N/A"),$AE163&lt;&gt;"Yes",$AE163&lt;&gt;"N/A"),"Firmware Install, ","")&amp;IF(AND($CB163&lt;&gt;"Yes",$CB163&lt;&gt;"N/A"),"Device ID, ","")&amp;IF(AND($CC163&lt;&gt;"Yes",$CC163&lt;&gt;"N/A"),"Epic Beans Relay, ",""),LEN(IF(AND($BR163&lt;&gt;"Yes",$BR163&lt;&gt;"N/A"),"Power Cable, ","")&amp;IF(AND($BS163&lt;&gt;"Yes",$BS163&lt;&gt;"N/A"),"Battery, ","")&amp;IF(AND($AD163&lt;&gt;"Yes",$AD163&lt;&gt;"N/A"),"Firmware Download, ","")&amp;IF(AND(OR($AD163="Yes",$AD163="N/A"),$AE163&lt;&gt;"Yes",$AE163&lt;&gt;"N/A"),"Firmware Install, ","")&amp;IF(AND($CB163&lt;&gt;"Yes",$CB163&lt;&gt;"N/A"),"Device ID, ","")&amp;IF(AND($CC163&lt;&gt;"Yes",$CC163&lt;&gt;"N/A"),"Epic Beans Relay, ",""))-2)))</f>
        <v/>
      </c>
      <c r="CE163">
        <f>IF($Y163="","",IF($CD163="","Yes","Blocked"))</f>
        <v/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n">
        <v>19200</v>
      </c>
      <c r="CP163">
        <f>IF($CO163="","",IFERROR(VLOOKUP($CO163,'01_Warehouse_Ledger'!$A:$N,4,FALSE),""))</f>
        <v/>
      </c>
      <c r="CQ163">
        <f>IF($CO163="","",IFERROR(VLOOKUP($CO163,'01_Warehouse_Ledger'!$A:$N,5,FALSE),""))</f>
        <v/>
      </c>
      <c r="CR163">
        <f>IF($CO163="","",IFERROR(VLOOKUP($CO163,'01_Warehouse_Ledger'!$A:$N,13,FALSE),""))</f>
        <v/>
      </c>
      <c r="CW163">
        <f>IF($S163="","",IF(UPPER(TRIM($S163))&lt;&gt;"PASS","",IF(LEN(TRIM($BY163))&gt;0,"NOTES_PRESENT",IF(LEN(TRIM($T163))=0,"SET_NA",IF(OR(LOWER(TRIM($T163))="na",LOWER(TRIM($T163))="n/a"),"OK","MANUAL_OVERRIDE")))))</f>
        <v/>
      </c>
    </row>
    <row r="164">
      <c r="A164" t="inlineStr">
        <is>
          <t>Cybernet</t>
        </is>
      </c>
      <c r="B164" s="5" t="inlineStr">
        <is>
          <t>Yes</t>
        </is>
      </c>
      <c r="C164" t="inlineStr">
        <is>
          <t>Yes</t>
        </is>
      </c>
      <c r="D164">
        <f>IF($B164&lt;&gt;"Yes","",IF($C164="No","Yes",IF($C164="Yes","No","")))</f>
        <v/>
      </c>
      <c r="E164">
        <f>IF($A164="","",IF(OR(AND($V164&lt;&gt;"",LOWER(TRIM($V164))&lt;&gt;"n/a",LOWER(TRIM($V164))&lt;&gt;"na",SUMPRODUCT(--(UPPER(TRIM($V$2:$V$518))=UPPER(TRIM($V164))),--(TRIM($V$2:$V$518)&lt;&gt;""),--(LOWER(TRIM($V$2:$V$518))&lt;&gt;"n/a"),--(LOWER(TRIM($V$2:$V$518))&lt;&gt;"na"))&gt;1),AND($W164&lt;&gt;"",LOWER(TRIM($W164))&lt;&gt;"n/a",LOWER(TRIM($W164))&lt;&gt;"na",SUMPRODUCT(--(UPPER(TRIM($W$2:$W$518))=UPPER(TRIM($W164))),--(TRIM($W$2:$W$518)&lt;&gt;""),--(LOWER(TRIM($W$2:$W$518))&lt;&gt;"n/a"),--(LOWER(TRIM($W$2:$W$518))&lt;&gt;"na"))&gt;1),AND($X164&lt;&gt;"",LOWER(TRIM($X164))&lt;&gt;"n/a",LOWER(TRIM($X164))&lt;&gt;"na",SUMPRODUCT(--(UPPER(TRIM($X$2:$X$518))=UPPER(TRIM($X164))),--(TRIM($X$2:$X$518)&lt;&gt;""),--(LOWER(TRIM($X$2:$X$518))&lt;&gt;"n/a"),--(LOWER(TRIM($X$2:$X$518))&lt;&gt;"na"))&gt;1),AND($Y164&lt;&gt;"",LOWER(TRIM($Y164))&lt;&gt;"n/a",LOWER(TRIM($Y164))&lt;&gt;"na",SUMPRODUCT(--(UPPER(SUBSTITUTE(SUBSTITUTE(TRIM($Y$2:$Y$518),":",""),"-",""))=UPPER(SUBSTITUTE(SUBSTITUTE(TRIM($Y164),":",""),"-",""))),--(TRIM($Y$2:$Y$518)&lt;&gt;""),--(LOWER(TRIM($Y$2:$Y$518))&lt;&gt;"n/a"),--(LOWER(TRIM($Y$2:$Y$518))&lt;&gt;"na"))&gt;1),AND($AB164&lt;&gt;"",LOWER(TRIM($AB164))&lt;&gt;"n/a",LOWER(TRIM($AB164))&lt;&gt;"na",SUMPRODUCT(--(UPPER(TRIM($AB$2:$AB$518))=UPPER(TRIM($AB164))),--(TRIM($AB$2:$AB$518)&lt;&gt;""),--(LOWER(TRIM($AB$2:$AB$518))&lt;&gt;"n/a"),--(LOWER(TRIM($AB$2:$AB$518))&lt;&gt;"na"))&gt;1),AND($AH164&lt;&gt;"",LOWER(TRIM($AH164))&lt;&gt;"n/a",LOWER(TRIM($AH164))&lt;&gt;"na",SUMPRODUCT(--(UPPER(SUBSTITUTE(SUBSTITUTE(TRIM($AH$2:$AH$518),":",""),"-",""))=UPPER(SUBSTITUTE(SUBSTITUTE(TRIM($AH164),":",""),"-",""))),--(TRIM($AH$2:$AH$518)&lt;&gt;""),--(LOWER(TRIM($AH$2:$AH$518))&lt;&gt;"n/a"),--(LOWER(TRIM($AH$2:$AH$518))&lt;&gt;"na"))&gt;1),AND($AP164&lt;&gt;"",LOWER(TRIM($AP164))&lt;&gt;"n/a",LOWER(TRIM($AP164))&lt;&gt;"na",SUMPRODUCT(--(UPPER(TRIM($AP$2:$AP$518))=UPPER(TRIM($AP164))),--(TRIM($AP$2:$AP$518)&lt;&gt;""),--(LOWER(TRIM($AP$2:$AP$518))&lt;&gt;"n/a"),--(LOWER(TRIM($AP$2:$AP$518))&lt;&gt;"na"))&gt;1),AND($AQ164&lt;&gt;"",LOWER(TRIM($AQ164))&lt;&gt;"n/a",LOWER(TRIM($AQ164))&lt;&gt;"na",SUMPRODUCT(--(UPPER(TRIM($AQ$2:$AQ$518))=UPPER(TRIM($AQ164))),--(TRIM($AQ$2:$AQ$518)&lt;&gt;""),--(LOWER(TRIM($AQ$2:$AQ$518))&lt;&gt;"n/a"),--(LOWER(TRIM($AQ$2:$AQ$518))&lt;&gt;"na"))&gt;1)),"Yes","No"))</f>
        <v/>
      </c>
      <c r="F164">
        <f>IF(UPPER(TRIM($B164))&lt;&gt;"YES","", IF(OR(AND($V164&lt;&gt;"", LOWER(TRIM($V164))&lt;&gt;"n/a", LOWER(TRIM($V164))&lt;&gt;"na", SUMPRODUCT(--(UPPER(TRIM($V$2:$V$518))=UPPER(TRIM($V164))), --(UPPER(TRIM($B$2:$B$518))="YES"), --(UPPER(TRIM($G$2:$G$518)&amp;TRIM($I$2:$I$518)&amp;TRIM($J$2:$J$518))&lt;&gt;UPPER(TRIM($G164)&amp;TRIM($I164)&amp;TRIM($J164))))&gt;0), AND($W164&lt;&gt;"", LOWER(TRIM($W164))&lt;&gt;"n/a", LOWER(TRIM($W164))&lt;&gt;"na", SUMPRODUCT(--(UPPER(TRIM($W$2:$W$518))=UPPER(TRIM($W164))), --(UPPER(TRIM($B$2:$B$518))="YES"), --(UPPER(TRIM($G$2:$G$518)&amp;TRIM($I$2:$I$518)&amp;TRIM($J$2:$J$518))&lt;&gt;UPPER(TRIM($G164)&amp;TRIM($I164)&amp;TRIM($J164))))&gt;0), AND($X164&lt;&gt;"", LOWER(TRIM($X164))&lt;&gt;"n/a", LOWER(TRIM($X164))&lt;&gt;"na", SUMPRODUCT(--(UPPER(TRIM($X$2:$X$518))=UPPER(TRIM($X164))), --(UPPER(TRIM($B$2:$B$518))="YES"), --(UPPER(TRIM($G$2:$G$518)&amp;TRIM($I$2:$I$518)&amp;TRIM($J$2:$J$518))&lt;&gt;UPPER(TRIM($G164)&amp;TRIM($I164)&amp;TRIM($J164))))&gt;0), AND($Y164&lt;&gt;"", LOWER(TRIM($Y164))&lt;&gt;"n/a", LOWER(TRIM($Y164))&lt;&gt;"na", SUMPRODUCT(--(UPPER(SUBSTITUTE(SUBSTITUTE(TRIM($Y$2:$Y$518),":",""),"-",""))=UPPER(SUBSTITUTE(SUBSTITUTE(TRIM($Y164),":",""),"-",""))), --(UPPER(TRIM($B$2:$B$518))="YES"), --(UPPER(TRIM($G$2:$G$518)&amp;TRIM($I$2:$I$518)&amp;TRIM($J$2:$J$518))&lt;&gt;UPPER(TRIM($G164)&amp;TRIM($I164)&amp;TRIM($J164))))&gt;0), AND($AB164&lt;&gt;"", LOWER(TRIM($AB164))&lt;&gt;"n/a", LOWER(TRIM($AB164))&lt;&gt;"na", SUMPRODUCT(--(UPPER(TRIM($AB$2:$AB$518))=UPPER(TRIM($AB164))), --(UPPER(TRIM($B$2:$B$518))="YES"), --(UPPER(TRIM($G$2:$G$518)&amp;TRIM($I$2:$I$518)&amp;TRIM($J$2:$J$518))&lt;&gt;UPPER(TRIM($G164)&amp;TRIM($I164)&amp;TRIM($J164))))&gt;0), AND($AH164&lt;&gt;"", LOWER(TRIM($AH164))&lt;&gt;"n/a", LOWER(TRIM($AH164))&lt;&gt;"na", SUMPRODUCT(--(UPPER(SUBSTITUTE(SUBSTITUTE(TRIM($AH$2:$AH$518),":",""),"-",""))=UPPER(SUBSTITUTE(SUBSTITUTE(TRIM($AH164),":",""),"-",""))), --(UPPER(TRIM($B$2:$B$518))="YES"), --(UPPER(TRIM($G$2:$G$518)&amp;TRIM($I$2:$I$518)&amp;TRIM($J$2:$J$518))&lt;&gt;UPPER(TRIM($G164)&amp;TRIM($I164)&amp;TRIM($J164))))&gt;0), AND($AP164&lt;&gt;"", LOWER(TRIM($AP164))&lt;&gt;"n/a", LOWER(TRIM($AP164))&lt;&gt;"na", SUMPRODUCT(--(UPPER(TRIM($AP$2:$AP$518))=UPPER(TRIM($AP164))), --(UPPER(TRIM($B$2:$B$518))="YES"), --(UPPER(TRIM($G$2:$G$518)&amp;TRIM($I$2:$I$518)&amp;TRIM($J$2:$J$518))&lt;&gt;UPPER(TRIM($G164)&amp;TRIM($I164)&amp;TRIM($J164))))&gt;0), AND($AQ164&lt;&gt;"", LOWER(TRIM($AQ164))&lt;&gt;"n/a", LOWER(TRIM($AQ164))&lt;&gt;"na", SUMPRODUCT(--(UPPER(TRIM($AQ$2:$AQ$518))=UPPER(TRIM($AQ164))), --(UPPER(TRIM($B$2:$B$518))="YES"), --(UPPER(TRIM($G$2:$G$518)&amp;TRIM($I$2:$I$518)&amp;TRIM($J$2:$J$518))&lt;&gt;UPPER(TRIM($G164)&amp;TRIM($I164)&amp;TRIM($J164))))&gt;0)), "Yes", "No"))</f>
        <v/>
      </c>
      <c r="G164" t="inlineStr">
        <is>
          <t>LIJ - OR</t>
        </is>
      </c>
      <c r="H164" t="inlineStr">
        <is>
          <t>LIJ - OR</t>
        </is>
      </c>
      <c r="I164" t="inlineStr">
        <is>
          <t>LIJ ORs</t>
        </is>
      </c>
      <c r="J164" t="inlineStr">
        <is>
          <t>OR 8</t>
        </is>
      </c>
      <c r="K164" t="inlineStr">
        <is>
          <t>n/a</t>
        </is>
      </c>
      <c r="L164" s="18" t="n">
        <v>46074</v>
      </c>
      <c r="M164" t="inlineStr">
        <is>
          <t>OR iPro Cybernet Workstation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 t="inlineStr">
        <is>
          <t>Inpatient</t>
        </is>
      </c>
      <c r="S164" t="inlineStr">
        <is>
          <t>Pass</t>
        </is>
      </c>
      <c r="T164" t="inlineStr">
        <is>
          <t>n/a</t>
        </is>
      </c>
      <c r="U164" t="inlineStr">
        <is>
          <t>1427182 LIJ Installation (Project Name) - Tim W. Seeberger, Akbar, Chris Perkins, Epic Team, Anesthesia Techs, and Admins</t>
        </is>
      </c>
      <c r="V164" t="inlineStr">
        <is>
          <t>WNH270OPR423</t>
        </is>
      </c>
      <c r="W164" t="inlineStr">
        <is>
          <t>MEDSG2425F-0166</t>
        </is>
      </c>
      <c r="X164" t="inlineStr">
        <is>
          <t>LIJ-MACH-AA</t>
        </is>
      </c>
      <c r="Y164" t="inlineStr">
        <is>
          <t>00187DE0E205</t>
        </is>
      </c>
      <c r="Z164" t="inlineStr">
        <is>
          <t>n/a</t>
        </is>
      </c>
      <c r="AH164" t="inlineStr">
        <is>
          <t>00:0D:05:0A:A6:c3</t>
        </is>
      </c>
      <c r="AI164" t="inlineStr">
        <is>
          <t>Anesthesia Machine</t>
        </is>
      </c>
      <c r="AK164" t="n">
        <v>2</v>
      </c>
      <c r="AM164" t="inlineStr">
        <is>
          <t>Drager</t>
        </is>
      </c>
      <c r="AN164" t="inlineStr">
        <is>
          <t>Apollo</t>
        </is>
      </c>
      <c r="AP164" t="inlineStr">
        <is>
          <t>ASEA-0168</t>
        </is>
      </c>
      <c r="AQ164" t="inlineStr">
        <is>
          <t>ASEA-0168</t>
        </is>
      </c>
      <c r="AS164" t="inlineStr">
        <is>
          <t>B1-CFW</t>
        </is>
      </c>
      <c r="AX164" t="inlineStr">
        <is>
          <t>MX750 - DE77669043</t>
        </is>
      </c>
      <c r="AY164" t="inlineStr">
        <is>
          <t>Anesthesia Machine</t>
        </is>
      </c>
      <c r="BR164" t="inlineStr">
        <is>
          <t>Yes</t>
        </is>
      </c>
      <c r="BS164" t="inlineStr">
        <is>
          <t>Yes</t>
        </is>
      </c>
      <c r="BT164" t="inlineStr">
        <is>
          <t>Yes</t>
        </is>
      </c>
      <c r="BU164" t="inlineStr">
        <is>
          <t>Yes</t>
        </is>
      </c>
      <c r="CA164" t="inlineStr">
        <is>
          <t>iPro
Epic Satellite
ALLSCRIPTS
EPIC BCA</t>
        </is>
      </c>
      <c r="CD164">
        <f>IF($Y164="","",IF((IF(AND($BR164&lt;&gt;"Yes",$BR164&lt;&gt;"N/A"),"Power Cable, ","")&amp;IF(AND($BS164&lt;&gt;"Yes",$BS164&lt;&gt;"N/A"),"Battery, ","")&amp;IF(AND($AD164&lt;&gt;"Yes",$AD164&lt;&gt;"N/A"),"Firmware Download, ","")&amp;IF(AND(OR($AD164="Yes",$AD164="N/A"),$AE164&lt;&gt;"Yes",$AE164&lt;&gt;"N/A"),"Firmware Install, ","")&amp;IF(AND($CB164&lt;&gt;"Yes",$CB164&lt;&gt;"N/A"),"Device ID, ","")&amp;IF(AND($CC164&lt;&gt;"Yes",$CC164&lt;&gt;"N/A"),"Epic Beans Relay, ",""))="","",LEFT(IF(AND($BR164&lt;&gt;"Yes",$BR164&lt;&gt;"N/A"),"Power Cable, ","")&amp;IF(AND($BS164&lt;&gt;"Yes",$BS164&lt;&gt;"N/A"),"Battery, ","")&amp;IF(AND($AD164&lt;&gt;"Yes",$AD164&lt;&gt;"N/A"),"Firmware Download, ","")&amp;IF(AND(OR($AD164="Yes",$AD164="N/A"),$AE164&lt;&gt;"Yes",$AE164&lt;&gt;"N/A"),"Firmware Install, ","")&amp;IF(AND($CB164&lt;&gt;"Yes",$CB164&lt;&gt;"N/A"),"Device ID, ","")&amp;IF(AND($CC164&lt;&gt;"Yes",$CC164&lt;&gt;"N/A"),"Epic Beans Relay, ",""),LEN(IF(AND($BR164&lt;&gt;"Yes",$BR164&lt;&gt;"N/A"),"Power Cable, ","")&amp;IF(AND($BS164&lt;&gt;"Yes",$BS164&lt;&gt;"N/A"),"Battery, ","")&amp;IF(AND($AD164&lt;&gt;"Yes",$AD164&lt;&gt;"N/A"),"Firmware Download, ","")&amp;IF(AND(OR($AD164="Yes",$AD164="N/A"),$AE164&lt;&gt;"Yes",$AE164&lt;&gt;"N/A"),"Firmware Install, ","")&amp;IF(AND($CB164&lt;&gt;"Yes",$CB164&lt;&gt;"N/A"),"Device ID, ","")&amp;IF(AND($CC164&lt;&gt;"Yes",$CC164&lt;&gt;"N/A"),"Epic Beans Relay, ",""))-2)))</f>
        <v/>
      </c>
      <c r="CE164">
        <f>IF($Y164="","",IF($CD164="","Yes","Blocked"))</f>
        <v/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n">
        <v>19200</v>
      </c>
      <c r="CP164">
        <f>IF($CO164="","",IFERROR(VLOOKUP($CO164,'01_Warehouse_Ledger'!$A:$N,4,FALSE),""))</f>
        <v/>
      </c>
      <c r="CQ164">
        <f>IF($CO164="","",IFERROR(VLOOKUP($CO164,'01_Warehouse_Ledger'!$A:$N,5,FALSE),""))</f>
        <v/>
      </c>
      <c r="CR164">
        <f>IF($CO164="","",IFERROR(VLOOKUP($CO164,'01_Warehouse_Ledger'!$A:$N,13,FALSE),""))</f>
        <v/>
      </c>
      <c r="CW164">
        <f>IF($S164="","",IF(UPPER(TRIM($S164))&lt;&gt;"PASS","",IF(LEN(TRIM($BY164))&gt;0,"NOTES_PRESENT",IF(LEN(TRIM($T164))=0,"SET_NA",IF(OR(LOWER(TRIM($T164))="na",LOWER(TRIM($T164))="n/a"),"OK","MANUAL_OVERRIDE")))))</f>
        <v/>
      </c>
    </row>
    <row r="165">
      <c r="A165" t="inlineStr">
        <is>
          <t>Cybernet</t>
        </is>
      </c>
      <c r="B165" s="5" t="inlineStr">
        <is>
          <t>Yes</t>
        </is>
      </c>
      <c r="C165" t="inlineStr">
        <is>
          <t>Yes</t>
        </is>
      </c>
      <c r="D165">
        <f>IF($B165&lt;&gt;"Yes","",IF($C165="No","Yes",IF($C165="Yes","No","")))</f>
        <v/>
      </c>
      <c r="E165">
        <f>IF($A165="","",IF(OR(AND($V165&lt;&gt;"",LOWER(TRIM($V165))&lt;&gt;"n/a",LOWER(TRIM($V165))&lt;&gt;"na",SUMPRODUCT(--(UPPER(TRIM($V$2:$V$518))=UPPER(TRIM($V165))),--(TRIM($V$2:$V$518)&lt;&gt;""),--(LOWER(TRIM($V$2:$V$518))&lt;&gt;"n/a"),--(LOWER(TRIM($V$2:$V$518))&lt;&gt;"na"))&gt;1),AND($W165&lt;&gt;"",LOWER(TRIM($W165))&lt;&gt;"n/a",LOWER(TRIM($W165))&lt;&gt;"na",SUMPRODUCT(--(UPPER(TRIM($W$2:$W$518))=UPPER(TRIM($W165))),--(TRIM($W$2:$W$518)&lt;&gt;""),--(LOWER(TRIM($W$2:$W$518))&lt;&gt;"n/a"),--(LOWER(TRIM($W$2:$W$518))&lt;&gt;"na"))&gt;1),AND($X165&lt;&gt;"",LOWER(TRIM($X165))&lt;&gt;"n/a",LOWER(TRIM($X165))&lt;&gt;"na",SUMPRODUCT(--(UPPER(TRIM($X$2:$X$518))=UPPER(TRIM($X165))),--(TRIM($X$2:$X$518)&lt;&gt;""),--(LOWER(TRIM($X$2:$X$518))&lt;&gt;"n/a"),--(LOWER(TRIM($X$2:$X$518))&lt;&gt;"na"))&gt;1),AND($Y165&lt;&gt;"",LOWER(TRIM($Y165))&lt;&gt;"n/a",LOWER(TRIM($Y165))&lt;&gt;"na",SUMPRODUCT(--(UPPER(SUBSTITUTE(SUBSTITUTE(TRIM($Y$2:$Y$518),":",""),"-",""))=UPPER(SUBSTITUTE(SUBSTITUTE(TRIM($Y165),":",""),"-",""))),--(TRIM($Y$2:$Y$518)&lt;&gt;""),--(LOWER(TRIM($Y$2:$Y$518))&lt;&gt;"n/a"),--(LOWER(TRIM($Y$2:$Y$518))&lt;&gt;"na"))&gt;1),AND($AB165&lt;&gt;"",LOWER(TRIM($AB165))&lt;&gt;"n/a",LOWER(TRIM($AB165))&lt;&gt;"na",SUMPRODUCT(--(UPPER(TRIM($AB$2:$AB$518))=UPPER(TRIM($AB165))),--(TRIM($AB$2:$AB$518)&lt;&gt;""),--(LOWER(TRIM($AB$2:$AB$518))&lt;&gt;"n/a"),--(LOWER(TRIM($AB$2:$AB$518))&lt;&gt;"na"))&gt;1),AND($AH165&lt;&gt;"",LOWER(TRIM($AH165))&lt;&gt;"n/a",LOWER(TRIM($AH165))&lt;&gt;"na",SUMPRODUCT(--(UPPER(SUBSTITUTE(SUBSTITUTE(TRIM($AH$2:$AH$518),":",""),"-",""))=UPPER(SUBSTITUTE(SUBSTITUTE(TRIM($AH165),":",""),"-",""))),--(TRIM($AH$2:$AH$518)&lt;&gt;""),--(LOWER(TRIM($AH$2:$AH$518))&lt;&gt;"n/a"),--(LOWER(TRIM($AH$2:$AH$518))&lt;&gt;"na"))&gt;1),AND($AP165&lt;&gt;"",LOWER(TRIM($AP165))&lt;&gt;"n/a",LOWER(TRIM($AP165))&lt;&gt;"na",SUMPRODUCT(--(UPPER(TRIM($AP$2:$AP$518))=UPPER(TRIM($AP165))),--(TRIM($AP$2:$AP$518)&lt;&gt;""),--(LOWER(TRIM($AP$2:$AP$518))&lt;&gt;"n/a"),--(LOWER(TRIM($AP$2:$AP$518))&lt;&gt;"na"))&gt;1),AND($AQ165&lt;&gt;"",LOWER(TRIM($AQ165))&lt;&gt;"n/a",LOWER(TRIM($AQ165))&lt;&gt;"na",SUMPRODUCT(--(UPPER(TRIM($AQ$2:$AQ$518))=UPPER(TRIM($AQ165))),--(TRIM($AQ$2:$AQ$518)&lt;&gt;""),--(LOWER(TRIM($AQ$2:$AQ$518))&lt;&gt;"n/a"),--(LOWER(TRIM($AQ$2:$AQ$518))&lt;&gt;"na"))&gt;1)),"Yes","No"))</f>
        <v/>
      </c>
      <c r="F165">
        <f>IF(UPPER(TRIM($B165))&lt;&gt;"YES","", IF(OR(AND($V165&lt;&gt;"", LOWER(TRIM($V165))&lt;&gt;"n/a", LOWER(TRIM($V165))&lt;&gt;"na", SUMPRODUCT(--(UPPER(TRIM($V$2:$V$518))=UPPER(TRIM($V165))), --(UPPER(TRIM($B$2:$B$518))="YES"), --(UPPER(TRIM($G$2:$G$518)&amp;TRIM($I$2:$I$518)&amp;TRIM($J$2:$J$518))&lt;&gt;UPPER(TRIM($G165)&amp;TRIM($I165)&amp;TRIM($J165))))&gt;0), AND($W165&lt;&gt;"", LOWER(TRIM($W165))&lt;&gt;"n/a", LOWER(TRIM($W165))&lt;&gt;"na", SUMPRODUCT(--(UPPER(TRIM($W$2:$W$518))=UPPER(TRIM($W165))), --(UPPER(TRIM($B$2:$B$518))="YES"), --(UPPER(TRIM($G$2:$G$518)&amp;TRIM($I$2:$I$518)&amp;TRIM($J$2:$J$518))&lt;&gt;UPPER(TRIM($G165)&amp;TRIM($I165)&amp;TRIM($J165))))&gt;0), AND($X165&lt;&gt;"", LOWER(TRIM($X165))&lt;&gt;"n/a", LOWER(TRIM($X165))&lt;&gt;"na", SUMPRODUCT(--(UPPER(TRIM($X$2:$X$518))=UPPER(TRIM($X165))), --(UPPER(TRIM($B$2:$B$518))="YES"), --(UPPER(TRIM($G$2:$G$518)&amp;TRIM($I$2:$I$518)&amp;TRIM($J$2:$J$518))&lt;&gt;UPPER(TRIM($G165)&amp;TRIM($I165)&amp;TRIM($J165))))&gt;0), AND($Y165&lt;&gt;"", LOWER(TRIM($Y165))&lt;&gt;"n/a", LOWER(TRIM($Y165))&lt;&gt;"na", SUMPRODUCT(--(UPPER(SUBSTITUTE(SUBSTITUTE(TRIM($Y$2:$Y$518),":",""),"-",""))=UPPER(SUBSTITUTE(SUBSTITUTE(TRIM($Y165),":",""),"-",""))), --(UPPER(TRIM($B$2:$B$518))="YES"), --(UPPER(TRIM($G$2:$G$518)&amp;TRIM($I$2:$I$518)&amp;TRIM($J$2:$J$518))&lt;&gt;UPPER(TRIM($G165)&amp;TRIM($I165)&amp;TRIM($J165))))&gt;0), AND($AB165&lt;&gt;"", LOWER(TRIM($AB165))&lt;&gt;"n/a", LOWER(TRIM($AB165))&lt;&gt;"na", SUMPRODUCT(--(UPPER(TRIM($AB$2:$AB$518))=UPPER(TRIM($AB165))), --(UPPER(TRIM($B$2:$B$518))="YES"), --(UPPER(TRIM($G$2:$G$518)&amp;TRIM($I$2:$I$518)&amp;TRIM($J$2:$J$518))&lt;&gt;UPPER(TRIM($G165)&amp;TRIM($I165)&amp;TRIM($J165))))&gt;0), AND($AH165&lt;&gt;"", LOWER(TRIM($AH165))&lt;&gt;"n/a", LOWER(TRIM($AH165))&lt;&gt;"na", SUMPRODUCT(--(UPPER(SUBSTITUTE(SUBSTITUTE(TRIM($AH$2:$AH$518),":",""),"-",""))=UPPER(SUBSTITUTE(SUBSTITUTE(TRIM($AH165),":",""),"-",""))), --(UPPER(TRIM($B$2:$B$518))="YES"), --(UPPER(TRIM($G$2:$G$518)&amp;TRIM($I$2:$I$518)&amp;TRIM($J$2:$J$518))&lt;&gt;UPPER(TRIM($G165)&amp;TRIM($I165)&amp;TRIM($J165))))&gt;0), AND($AP165&lt;&gt;"", LOWER(TRIM($AP165))&lt;&gt;"n/a", LOWER(TRIM($AP165))&lt;&gt;"na", SUMPRODUCT(--(UPPER(TRIM($AP$2:$AP$518))=UPPER(TRIM($AP165))), --(UPPER(TRIM($B$2:$B$518))="YES"), --(UPPER(TRIM($G$2:$G$518)&amp;TRIM($I$2:$I$518)&amp;TRIM($J$2:$J$518))&lt;&gt;UPPER(TRIM($G165)&amp;TRIM($I165)&amp;TRIM($J165))))&gt;0), AND($AQ165&lt;&gt;"", LOWER(TRIM($AQ165))&lt;&gt;"n/a", LOWER(TRIM($AQ165))&lt;&gt;"na", SUMPRODUCT(--(UPPER(TRIM($AQ$2:$AQ$518))=UPPER(TRIM($AQ165))), --(UPPER(TRIM($B$2:$B$518))="YES"), --(UPPER(TRIM($G$2:$G$518)&amp;TRIM($I$2:$I$518)&amp;TRIM($J$2:$J$518))&lt;&gt;UPPER(TRIM($G165)&amp;TRIM($I165)&amp;TRIM($J165))))&gt;0)), "Yes", "No"))</f>
        <v/>
      </c>
      <c r="G165" t="inlineStr">
        <is>
          <t>LIJ - OR</t>
        </is>
      </c>
      <c r="H165" t="inlineStr">
        <is>
          <t>LIJ - OR</t>
        </is>
      </c>
      <c r="I165" t="inlineStr">
        <is>
          <t>LIJ ORs</t>
        </is>
      </c>
      <c r="J165" t="inlineStr">
        <is>
          <t>OR 9</t>
        </is>
      </c>
      <c r="K165" t="inlineStr">
        <is>
          <t>n/a</t>
        </is>
      </c>
      <c r="L165" s="18" t="n">
        <v>46074</v>
      </c>
      <c r="M165" t="inlineStr">
        <is>
          <t>OR iPro Cybernet Workstation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Inpatient</t>
        </is>
      </c>
      <c r="S165" t="inlineStr">
        <is>
          <t>Pass</t>
        </is>
      </c>
      <c r="T165" t="inlineStr">
        <is>
          <t>n/a</t>
        </is>
      </c>
      <c r="U165" t="inlineStr">
        <is>
          <t>1427182 LIJ Installation (Project Name) - Tim W. Seeberger, Akbar, Chris Perkins, Epic Team, Anesthesia Techs, and Admins</t>
        </is>
      </c>
      <c r="V165" t="inlineStr">
        <is>
          <t>WNH270OPR424</t>
        </is>
      </c>
      <c r="W165" t="inlineStr">
        <is>
          <t>MEDSG2425F-0172</t>
        </is>
      </c>
      <c r="X165" t="inlineStr">
        <is>
          <t>LIJ-MACH-W</t>
        </is>
      </c>
      <c r="Y165" t="inlineStr">
        <is>
          <t>00187DE07843</t>
        </is>
      </c>
      <c r="Z165" t="inlineStr">
        <is>
          <t>n/a</t>
        </is>
      </c>
      <c r="AH165" t="inlineStr">
        <is>
          <t>00:0D:05:0A:A6:BD</t>
        </is>
      </c>
      <c r="AI165" t="inlineStr">
        <is>
          <t>Anesthesia Machine</t>
        </is>
      </c>
      <c r="AK165" t="n">
        <v>2</v>
      </c>
      <c r="AM165" t="inlineStr">
        <is>
          <t>Drager</t>
        </is>
      </c>
      <c r="AN165" t="inlineStr">
        <is>
          <t>Apollo</t>
        </is>
      </c>
      <c r="AP165" t="inlineStr">
        <is>
          <t>ASKF-0202</t>
        </is>
      </c>
      <c r="AQ165" t="inlineStr">
        <is>
          <t>ASKF-0202</t>
        </is>
      </c>
      <c r="AS165" t="inlineStr">
        <is>
          <t>B1-CFW</t>
        </is>
      </c>
      <c r="AX165" t="inlineStr">
        <is>
          <t>MX750 - DE77668950</t>
        </is>
      </c>
      <c r="AY165" t="inlineStr">
        <is>
          <t>Anesthesia Machine</t>
        </is>
      </c>
      <c r="BR165" t="inlineStr">
        <is>
          <t>Yes</t>
        </is>
      </c>
      <c r="BS165" t="inlineStr">
        <is>
          <t>Yes</t>
        </is>
      </c>
      <c r="BT165" t="inlineStr">
        <is>
          <t>Yes</t>
        </is>
      </c>
      <c r="BU165" t="inlineStr">
        <is>
          <t>Yes</t>
        </is>
      </c>
      <c r="CA165" t="inlineStr">
        <is>
          <t>iPro
Epic Satellite
ALLSCRIPTS
EPIC BCA</t>
        </is>
      </c>
      <c r="CD165">
        <f>IF($Y165="","",IF((IF(AND($BR165&lt;&gt;"Yes",$BR165&lt;&gt;"N/A"),"Power Cable, ","")&amp;IF(AND($BS165&lt;&gt;"Yes",$BS165&lt;&gt;"N/A"),"Battery, ","")&amp;IF(AND($AD165&lt;&gt;"Yes",$AD165&lt;&gt;"N/A"),"Firmware Download, ","")&amp;IF(AND(OR($AD165="Yes",$AD165="N/A"),$AE165&lt;&gt;"Yes",$AE165&lt;&gt;"N/A"),"Firmware Install, ","")&amp;IF(AND($CB165&lt;&gt;"Yes",$CB165&lt;&gt;"N/A"),"Device ID, ","")&amp;IF(AND($CC165&lt;&gt;"Yes",$CC165&lt;&gt;"N/A"),"Epic Beans Relay, ",""))="","",LEFT(IF(AND($BR165&lt;&gt;"Yes",$BR165&lt;&gt;"N/A"),"Power Cable, ","")&amp;IF(AND($BS165&lt;&gt;"Yes",$BS165&lt;&gt;"N/A"),"Battery, ","")&amp;IF(AND($AD165&lt;&gt;"Yes",$AD165&lt;&gt;"N/A"),"Firmware Download, ","")&amp;IF(AND(OR($AD165="Yes",$AD165="N/A"),$AE165&lt;&gt;"Yes",$AE165&lt;&gt;"N/A"),"Firmware Install, ","")&amp;IF(AND($CB165&lt;&gt;"Yes",$CB165&lt;&gt;"N/A"),"Device ID, ","")&amp;IF(AND($CC165&lt;&gt;"Yes",$CC165&lt;&gt;"N/A"),"Epic Beans Relay, ",""),LEN(IF(AND($BR165&lt;&gt;"Yes",$BR165&lt;&gt;"N/A"),"Power Cable, ","")&amp;IF(AND($BS165&lt;&gt;"Yes",$BS165&lt;&gt;"N/A"),"Battery, ","")&amp;IF(AND($AD165&lt;&gt;"Yes",$AD165&lt;&gt;"N/A"),"Firmware Download, ","")&amp;IF(AND(OR($AD165="Yes",$AD165="N/A"),$AE165&lt;&gt;"Yes",$AE165&lt;&gt;"N/A"),"Firmware Install, ","")&amp;IF(AND($CB165&lt;&gt;"Yes",$CB165&lt;&gt;"N/A"),"Device ID, ","")&amp;IF(AND($CC165&lt;&gt;"Yes",$CC165&lt;&gt;"N/A"),"Epic Beans Relay, ",""))-2)))</f>
        <v/>
      </c>
      <c r="CE165">
        <f>IF($Y165="","",IF($CD165="","Yes","Blocked"))</f>
        <v/>
      </c>
      <c r="CF165" t="inlineStr">
        <is>
          <t>Yes</t>
        </is>
      </c>
      <c r="CG165" t="inlineStr">
        <is>
          <t>Yes</t>
        </is>
      </c>
      <c r="CH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n">
        <v>19200</v>
      </c>
      <c r="CP165">
        <f>IF($CO165="","",IFERROR(VLOOKUP($CO165,'01_Warehouse_Ledger'!$A:$N,4,FALSE),""))</f>
        <v/>
      </c>
      <c r="CQ165">
        <f>IF($CO165="","",IFERROR(VLOOKUP($CO165,'01_Warehouse_Ledger'!$A:$N,5,FALSE),""))</f>
        <v/>
      </c>
      <c r="CR165">
        <f>IF($CO165="","",IFERROR(VLOOKUP($CO165,'01_Warehouse_Ledger'!$A:$N,13,FALSE),""))</f>
        <v/>
      </c>
      <c r="CW165">
        <f>IF($S165="","",IF(UPPER(TRIM($S165))&lt;&gt;"PASS","",IF(LEN(TRIM($BY165))&gt;0,"NOTES_PRESENT",IF(LEN(TRIM($T165))=0,"SET_NA",IF(OR(LOWER(TRIM($T165))="na",LOWER(TRIM($T165))="n/a"),"OK","MANUAL_OVERRIDE")))))</f>
        <v/>
      </c>
    </row>
    <row r="166">
      <c r="A166" t="inlineStr">
        <is>
          <t>Cybernet</t>
        </is>
      </c>
      <c r="B166" s="5" t="inlineStr">
        <is>
          <t>Yes</t>
        </is>
      </c>
      <c r="C166" t="inlineStr">
        <is>
          <t>Yes</t>
        </is>
      </c>
      <c r="D166">
        <f>IF($B166&lt;&gt;"Yes","",IF($C166="No","Yes",IF($C166="Yes","No","")))</f>
        <v/>
      </c>
      <c r="E166">
        <f>IF($A166="","",IF(OR(AND($V166&lt;&gt;"",LOWER(TRIM($V166))&lt;&gt;"n/a",LOWER(TRIM($V166))&lt;&gt;"na",SUMPRODUCT(--(UPPER(TRIM($V$2:$V$518))=UPPER(TRIM($V166))),--(TRIM($V$2:$V$518)&lt;&gt;""),--(LOWER(TRIM($V$2:$V$518))&lt;&gt;"n/a"),--(LOWER(TRIM($V$2:$V$518))&lt;&gt;"na"))&gt;1),AND($W166&lt;&gt;"",LOWER(TRIM($W166))&lt;&gt;"n/a",LOWER(TRIM($W166))&lt;&gt;"na",SUMPRODUCT(--(UPPER(TRIM($W$2:$W$518))=UPPER(TRIM($W166))),--(TRIM($W$2:$W$518)&lt;&gt;""),--(LOWER(TRIM($W$2:$W$518))&lt;&gt;"n/a"),--(LOWER(TRIM($W$2:$W$518))&lt;&gt;"na"))&gt;1),AND($X166&lt;&gt;"",LOWER(TRIM($X166))&lt;&gt;"n/a",LOWER(TRIM($X166))&lt;&gt;"na",SUMPRODUCT(--(UPPER(TRIM($X$2:$X$518))=UPPER(TRIM($X166))),--(TRIM($X$2:$X$518)&lt;&gt;""),--(LOWER(TRIM($X$2:$X$518))&lt;&gt;"n/a"),--(LOWER(TRIM($X$2:$X$518))&lt;&gt;"na"))&gt;1),AND($Y166&lt;&gt;"",LOWER(TRIM($Y166))&lt;&gt;"n/a",LOWER(TRIM($Y166))&lt;&gt;"na",SUMPRODUCT(--(UPPER(SUBSTITUTE(SUBSTITUTE(TRIM($Y$2:$Y$518),":",""),"-",""))=UPPER(SUBSTITUTE(SUBSTITUTE(TRIM($Y166),":",""),"-",""))),--(TRIM($Y$2:$Y$518)&lt;&gt;""),--(LOWER(TRIM($Y$2:$Y$518))&lt;&gt;"n/a"),--(LOWER(TRIM($Y$2:$Y$518))&lt;&gt;"na"))&gt;1),AND($AB166&lt;&gt;"",LOWER(TRIM($AB166))&lt;&gt;"n/a",LOWER(TRIM($AB166))&lt;&gt;"na",SUMPRODUCT(--(UPPER(TRIM($AB$2:$AB$518))=UPPER(TRIM($AB166))),--(TRIM($AB$2:$AB$518)&lt;&gt;""),--(LOWER(TRIM($AB$2:$AB$518))&lt;&gt;"n/a"),--(LOWER(TRIM($AB$2:$AB$518))&lt;&gt;"na"))&gt;1),AND($AH166&lt;&gt;"",LOWER(TRIM($AH166))&lt;&gt;"n/a",LOWER(TRIM($AH166))&lt;&gt;"na",SUMPRODUCT(--(UPPER(SUBSTITUTE(SUBSTITUTE(TRIM($AH$2:$AH$518),":",""),"-",""))=UPPER(SUBSTITUTE(SUBSTITUTE(TRIM($AH166),":",""),"-",""))),--(TRIM($AH$2:$AH$518)&lt;&gt;""),--(LOWER(TRIM($AH$2:$AH$518))&lt;&gt;"n/a"),--(LOWER(TRIM($AH$2:$AH$518))&lt;&gt;"na"))&gt;1),AND($AP166&lt;&gt;"",LOWER(TRIM($AP166))&lt;&gt;"n/a",LOWER(TRIM($AP166))&lt;&gt;"na",SUMPRODUCT(--(UPPER(TRIM($AP$2:$AP$518))=UPPER(TRIM($AP166))),--(TRIM($AP$2:$AP$518)&lt;&gt;""),--(LOWER(TRIM($AP$2:$AP$518))&lt;&gt;"n/a"),--(LOWER(TRIM($AP$2:$AP$518))&lt;&gt;"na"))&gt;1),AND($AQ166&lt;&gt;"",LOWER(TRIM($AQ166))&lt;&gt;"n/a",LOWER(TRIM($AQ166))&lt;&gt;"na",SUMPRODUCT(--(UPPER(TRIM($AQ$2:$AQ$518))=UPPER(TRIM($AQ166))),--(TRIM($AQ$2:$AQ$518)&lt;&gt;""),--(LOWER(TRIM($AQ$2:$AQ$518))&lt;&gt;"n/a"),--(LOWER(TRIM($AQ$2:$AQ$518))&lt;&gt;"na"))&gt;1)),"Yes","No"))</f>
        <v/>
      </c>
      <c r="F166">
        <f>IF(UPPER(TRIM($B166))&lt;&gt;"YES","", IF(OR(AND($V166&lt;&gt;"", LOWER(TRIM($V166))&lt;&gt;"n/a", LOWER(TRIM($V166))&lt;&gt;"na", SUMPRODUCT(--(UPPER(TRIM($V$2:$V$518))=UPPER(TRIM($V166))), --(UPPER(TRIM($B$2:$B$518))="YES"), --(UPPER(TRIM($G$2:$G$518)&amp;TRIM($I$2:$I$518)&amp;TRIM($J$2:$J$518))&lt;&gt;UPPER(TRIM($G166)&amp;TRIM($I166)&amp;TRIM($J166))))&gt;0), AND($W166&lt;&gt;"", LOWER(TRIM($W166))&lt;&gt;"n/a", LOWER(TRIM($W166))&lt;&gt;"na", SUMPRODUCT(--(UPPER(TRIM($W$2:$W$518))=UPPER(TRIM($W166))), --(UPPER(TRIM($B$2:$B$518))="YES"), --(UPPER(TRIM($G$2:$G$518)&amp;TRIM($I$2:$I$518)&amp;TRIM($J$2:$J$518))&lt;&gt;UPPER(TRIM($G166)&amp;TRIM($I166)&amp;TRIM($J166))))&gt;0), AND($X166&lt;&gt;"", LOWER(TRIM($X166))&lt;&gt;"n/a", LOWER(TRIM($X166))&lt;&gt;"na", SUMPRODUCT(--(UPPER(TRIM($X$2:$X$518))=UPPER(TRIM($X166))), --(UPPER(TRIM($B$2:$B$518))="YES"), --(UPPER(TRIM($G$2:$G$518)&amp;TRIM($I$2:$I$518)&amp;TRIM($J$2:$J$518))&lt;&gt;UPPER(TRIM($G166)&amp;TRIM($I166)&amp;TRIM($J166))))&gt;0), AND($Y166&lt;&gt;"", LOWER(TRIM($Y166))&lt;&gt;"n/a", LOWER(TRIM($Y166))&lt;&gt;"na", SUMPRODUCT(--(UPPER(SUBSTITUTE(SUBSTITUTE(TRIM($Y$2:$Y$518),":",""),"-",""))=UPPER(SUBSTITUTE(SUBSTITUTE(TRIM($Y166),":",""),"-",""))), --(UPPER(TRIM($B$2:$B$518))="YES"), --(UPPER(TRIM($G$2:$G$518)&amp;TRIM($I$2:$I$518)&amp;TRIM($J$2:$J$518))&lt;&gt;UPPER(TRIM($G166)&amp;TRIM($I166)&amp;TRIM($J166))))&gt;0), AND($AB166&lt;&gt;"", LOWER(TRIM($AB166))&lt;&gt;"n/a", LOWER(TRIM($AB166))&lt;&gt;"na", SUMPRODUCT(--(UPPER(TRIM($AB$2:$AB$518))=UPPER(TRIM($AB166))), --(UPPER(TRIM($B$2:$B$518))="YES"), --(UPPER(TRIM($G$2:$G$518)&amp;TRIM($I$2:$I$518)&amp;TRIM($J$2:$J$518))&lt;&gt;UPPER(TRIM($G166)&amp;TRIM($I166)&amp;TRIM($J166))))&gt;0), AND($AH166&lt;&gt;"", LOWER(TRIM($AH166))&lt;&gt;"n/a", LOWER(TRIM($AH166))&lt;&gt;"na", SUMPRODUCT(--(UPPER(SUBSTITUTE(SUBSTITUTE(TRIM($AH$2:$AH$518),":",""),"-",""))=UPPER(SUBSTITUTE(SUBSTITUTE(TRIM($AH166),":",""),"-",""))), --(UPPER(TRIM($B$2:$B$518))="YES"), --(UPPER(TRIM($G$2:$G$518)&amp;TRIM($I$2:$I$518)&amp;TRIM($J$2:$J$518))&lt;&gt;UPPER(TRIM($G166)&amp;TRIM($I166)&amp;TRIM($J166))))&gt;0), AND($AP166&lt;&gt;"", LOWER(TRIM($AP166))&lt;&gt;"n/a", LOWER(TRIM($AP166))&lt;&gt;"na", SUMPRODUCT(--(UPPER(TRIM($AP$2:$AP$518))=UPPER(TRIM($AP166))), --(UPPER(TRIM($B$2:$B$518))="YES"), --(UPPER(TRIM($G$2:$G$518)&amp;TRIM($I$2:$I$518)&amp;TRIM($J$2:$J$518))&lt;&gt;UPPER(TRIM($G166)&amp;TRIM($I166)&amp;TRIM($J166))))&gt;0), AND($AQ166&lt;&gt;"", LOWER(TRIM($AQ166))&lt;&gt;"n/a", LOWER(TRIM($AQ166))&lt;&gt;"na", SUMPRODUCT(--(UPPER(TRIM($AQ$2:$AQ$518))=UPPER(TRIM($AQ166))), --(UPPER(TRIM($B$2:$B$518))="YES"), --(UPPER(TRIM($G$2:$G$518)&amp;TRIM($I$2:$I$518)&amp;TRIM($J$2:$J$518))&lt;&gt;UPPER(TRIM($G166)&amp;TRIM($I166)&amp;TRIM($J166))))&gt;0)), "Yes", "No"))</f>
        <v/>
      </c>
      <c r="G166" t="inlineStr">
        <is>
          <t>LIJ - OR</t>
        </is>
      </c>
      <c r="H166" t="inlineStr">
        <is>
          <t>LIJ - OR</t>
        </is>
      </c>
      <c r="I166" t="inlineStr">
        <is>
          <t>LIJ ORs</t>
        </is>
      </c>
      <c r="J166" t="inlineStr">
        <is>
          <t>OR 17</t>
        </is>
      </c>
      <c r="K166" t="inlineStr">
        <is>
          <t>n/a</t>
        </is>
      </c>
      <c r="L166" s="18" t="n">
        <v>46074</v>
      </c>
      <c r="M166" t="inlineStr">
        <is>
          <t>OR iPro Cybernet Workstation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Inpatient</t>
        </is>
      </c>
      <c r="S166" t="inlineStr">
        <is>
          <t>Pass</t>
        </is>
      </c>
      <c r="T166" t="inlineStr">
        <is>
          <t>n/a</t>
        </is>
      </c>
      <c r="U166" t="inlineStr">
        <is>
          <t>1427182 LIJ Installation (Project Name) - Tim W. Seeberger, Akbar, Chris Perkins, Epic Team, Anesthesia Techs, and Admins</t>
        </is>
      </c>
      <c r="V166" t="inlineStr">
        <is>
          <t>WNH270OPR429</t>
        </is>
      </c>
      <c r="W166" t="inlineStr">
        <is>
          <t>MEDSG2425F-3310</t>
        </is>
      </c>
      <c r="X166" t="inlineStr">
        <is>
          <t>LIJ-MACH-QQ</t>
        </is>
      </c>
      <c r="Y166" t="inlineStr">
        <is>
          <t>00187DE0E213</t>
        </is>
      </c>
      <c r="Z166" t="inlineStr">
        <is>
          <t>n/a</t>
        </is>
      </c>
      <c r="AH166" t="inlineStr">
        <is>
          <t>00:0D:05:0A:B1:73</t>
        </is>
      </c>
      <c r="AI166" t="inlineStr">
        <is>
          <t>Anesthesia Machine</t>
        </is>
      </c>
      <c r="AK166" t="n">
        <v>2</v>
      </c>
      <c r="AM166" t="inlineStr">
        <is>
          <t>Drager</t>
        </is>
      </c>
      <c r="AN166" t="inlineStr">
        <is>
          <t>Apollo</t>
        </is>
      </c>
      <c r="AP166" t="inlineStr">
        <is>
          <t>ASPM-0001</t>
        </is>
      </c>
      <c r="AQ166" t="inlineStr">
        <is>
          <t>ASPM-0001</t>
        </is>
      </c>
      <c r="AS166" t="inlineStr">
        <is>
          <t>B1-CFW</t>
        </is>
      </c>
      <c r="AX166" t="inlineStr">
        <is>
          <t>MX750 - DE77673010</t>
        </is>
      </c>
      <c r="AY166" t="inlineStr">
        <is>
          <t>Anesthesia Machine</t>
        </is>
      </c>
      <c r="BR166" t="inlineStr">
        <is>
          <t>Yes</t>
        </is>
      </c>
      <c r="BS166" t="inlineStr">
        <is>
          <t>Yes</t>
        </is>
      </c>
      <c r="BT166" t="inlineStr">
        <is>
          <t>Yes</t>
        </is>
      </c>
      <c r="BU166" t="inlineStr">
        <is>
          <t>Yes</t>
        </is>
      </c>
      <c r="CA166" t="inlineStr">
        <is>
          <t>iPro
Epic Satellite
ALLSCRIPTS
EPIC BCA</t>
        </is>
      </c>
      <c r="CD166">
        <f>IF($Y166="","",IF((IF(AND($BR166&lt;&gt;"Yes",$BR166&lt;&gt;"N/A"),"Power Cable, ","")&amp;IF(AND($BS166&lt;&gt;"Yes",$BS166&lt;&gt;"N/A"),"Battery, ","")&amp;IF(AND($AD166&lt;&gt;"Yes",$AD166&lt;&gt;"N/A"),"Firmware Download, ","")&amp;IF(AND(OR($AD166="Yes",$AD166="N/A"),$AE166&lt;&gt;"Yes",$AE166&lt;&gt;"N/A"),"Firmware Install, ","")&amp;IF(AND($CB166&lt;&gt;"Yes",$CB166&lt;&gt;"N/A"),"Device ID, ","")&amp;IF(AND($CC166&lt;&gt;"Yes",$CC166&lt;&gt;"N/A"),"Epic Beans Relay, ",""))="","",LEFT(IF(AND($BR166&lt;&gt;"Yes",$BR166&lt;&gt;"N/A"),"Power Cable, ","")&amp;IF(AND($BS166&lt;&gt;"Yes",$BS166&lt;&gt;"N/A"),"Battery, ","")&amp;IF(AND($AD166&lt;&gt;"Yes",$AD166&lt;&gt;"N/A"),"Firmware Download, ","")&amp;IF(AND(OR($AD166="Yes",$AD166="N/A"),$AE166&lt;&gt;"Yes",$AE166&lt;&gt;"N/A"),"Firmware Install, ","")&amp;IF(AND($CB166&lt;&gt;"Yes",$CB166&lt;&gt;"N/A"),"Device ID, ","")&amp;IF(AND($CC166&lt;&gt;"Yes",$CC166&lt;&gt;"N/A"),"Epic Beans Relay, ",""),LEN(IF(AND($BR166&lt;&gt;"Yes",$BR166&lt;&gt;"N/A"),"Power Cable, ","")&amp;IF(AND($BS166&lt;&gt;"Yes",$BS166&lt;&gt;"N/A"),"Battery, ","")&amp;IF(AND($AD166&lt;&gt;"Yes",$AD166&lt;&gt;"N/A"),"Firmware Download, ","")&amp;IF(AND(OR($AD166="Yes",$AD166="N/A"),$AE166&lt;&gt;"Yes",$AE166&lt;&gt;"N/A"),"Firmware Install, ","")&amp;IF(AND($CB166&lt;&gt;"Yes",$CB166&lt;&gt;"N/A"),"Device ID, ","")&amp;IF(AND($CC166&lt;&gt;"Yes",$CC166&lt;&gt;"N/A"),"Epic Beans Relay, ",""))-2)))</f>
        <v/>
      </c>
      <c r="CE166">
        <f>IF($Y166="","",IF($CD166="","Yes","Blocked"))</f>
        <v/>
      </c>
      <c r="CF166" t="inlineStr">
        <is>
          <t>Yes</t>
        </is>
      </c>
      <c r="CG166" t="inlineStr">
        <is>
          <t>Yes</t>
        </is>
      </c>
      <c r="CH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n">
        <v>19200</v>
      </c>
      <c r="CP166">
        <f>IF($CO166="","",IFERROR(VLOOKUP($CO166,'01_Warehouse_Ledger'!$A:$N,4,FALSE),""))</f>
        <v/>
      </c>
      <c r="CQ166">
        <f>IF($CO166="","",IFERROR(VLOOKUP($CO166,'01_Warehouse_Ledger'!$A:$N,5,FALSE),""))</f>
        <v/>
      </c>
      <c r="CR166">
        <f>IF($CO166="","",IFERROR(VLOOKUP($CO166,'01_Warehouse_Ledger'!$A:$N,13,FALSE),""))</f>
        <v/>
      </c>
      <c r="CW166">
        <f>IF($S166="","",IF(UPPER(TRIM($S166))&lt;&gt;"PASS","",IF(LEN(TRIM($BY166))&gt;0,"NOTES_PRESENT",IF(LEN(TRIM($T166))=0,"SET_NA",IF(OR(LOWER(TRIM($T166))="na",LOWER(TRIM($T166))="n/a"),"OK","MANUAL_OVERRIDE")))))</f>
        <v/>
      </c>
    </row>
    <row r="167">
      <c r="A167" t="inlineStr">
        <is>
          <t>Cybernet</t>
        </is>
      </c>
      <c r="B167" s="5" t="inlineStr">
        <is>
          <t>Yes</t>
        </is>
      </c>
      <c r="C167" t="inlineStr">
        <is>
          <t>Yes</t>
        </is>
      </c>
      <c r="D167">
        <f>IF($B167&lt;&gt;"Yes","",IF($C167="No","Yes",IF($C167="Yes","No","")))</f>
        <v/>
      </c>
      <c r="E167">
        <f>IF($A167="","",IF(OR(AND($V167&lt;&gt;"",LOWER(TRIM($V167))&lt;&gt;"n/a",LOWER(TRIM($V167))&lt;&gt;"na",SUMPRODUCT(--(UPPER(TRIM($V$2:$V$518))=UPPER(TRIM($V167))),--(TRIM($V$2:$V$518)&lt;&gt;""),--(LOWER(TRIM($V$2:$V$518))&lt;&gt;"n/a"),--(LOWER(TRIM($V$2:$V$518))&lt;&gt;"na"))&gt;1),AND($W167&lt;&gt;"",LOWER(TRIM($W167))&lt;&gt;"n/a",LOWER(TRIM($W167))&lt;&gt;"na",SUMPRODUCT(--(UPPER(TRIM($W$2:$W$518))=UPPER(TRIM($W167))),--(TRIM($W$2:$W$518)&lt;&gt;""),--(LOWER(TRIM($W$2:$W$518))&lt;&gt;"n/a"),--(LOWER(TRIM($W$2:$W$518))&lt;&gt;"na"))&gt;1),AND($X167&lt;&gt;"",LOWER(TRIM($X167))&lt;&gt;"n/a",LOWER(TRIM($X167))&lt;&gt;"na",SUMPRODUCT(--(UPPER(TRIM($X$2:$X$518))=UPPER(TRIM($X167))),--(TRIM($X$2:$X$518)&lt;&gt;""),--(LOWER(TRIM($X$2:$X$518))&lt;&gt;"n/a"),--(LOWER(TRIM($X$2:$X$518))&lt;&gt;"na"))&gt;1),AND($Y167&lt;&gt;"",LOWER(TRIM($Y167))&lt;&gt;"n/a",LOWER(TRIM($Y167))&lt;&gt;"na",SUMPRODUCT(--(UPPER(SUBSTITUTE(SUBSTITUTE(TRIM($Y$2:$Y$518),":",""),"-",""))=UPPER(SUBSTITUTE(SUBSTITUTE(TRIM($Y167),":",""),"-",""))),--(TRIM($Y$2:$Y$518)&lt;&gt;""),--(LOWER(TRIM($Y$2:$Y$518))&lt;&gt;"n/a"),--(LOWER(TRIM($Y$2:$Y$518))&lt;&gt;"na"))&gt;1),AND($AB167&lt;&gt;"",LOWER(TRIM($AB167))&lt;&gt;"n/a",LOWER(TRIM($AB167))&lt;&gt;"na",SUMPRODUCT(--(UPPER(TRIM($AB$2:$AB$518))=UPPER(TRIM($AB167))),--(TRIM($AB$2:$AB$518)&lt;&gt;""),--(LOWER(TRIM($AB$2:$AB$518))&lt;&gt;"n/a"),--(LOWER(TRIM($AB$2:$AB$518))&lt;&gt;"na"))&gt;1),AND($AH167&lt;&gt;"",LOWER(TRIM($AH167))&lt;&gt;"n/a",LOWER(TRIM($AH167))&lt;&gt;"na",SUMPRODUCT(--(UPPER(SUBSTITUTE(SUBSTITUTE(TRIM($AH$2:$AH$518),":",""),"-",""))=UPPER(SUBSTITUTE(SUBSTITUTE(TRIM($AH167),":",""),"-",""))),--(TRIM($AH$2:$AH$518)&lt;&gt;""),--(LOWER(TRIM($AH$2:$AH$518))&lt;&gt;"n/a"),--(LOWER(TRIM($AH$2:$AH$518))&lt;&gt;"na"))&gt;1),AND($AP167&lt;&gt;"",LOWER(TRIM($AP167))&lt;&gt;"n/a",LOWER(TRIM($AP167))&lt;&gt;"na",SUMPRODUCT(--(UPPER(TRIM($AP$2:$AP$518))=UPPER(TRIM($AP167))),--(TRIM($AP$2:$AP$518)&lt;&gt;""),--(LOWER(TRIM($AP$2:$AP$518))&lt;&gt;"n/a"),--(LOWER(TRIM($AP$2:$AP$518))&lt;&gt;"na"))&gt;1),AND($AQ167&lt;&gt;"",LOWER(TRIM($AQ167))&lt;&gt;"n/a",LOWER(TRIM($AQ167))&lt;&gt;"na",SUMPRODUCT(--(UPPER(TRIM($AQ$2:$AQ$518))=UPPER(TRIM($AQ167))),--(TRIM($AQ$2:$AQ$518)&lt;&gt;""),--(LOWER(TRIM($AQ$2:$AQ$518))&lt;&gt;"n/a"),--(LOWER(TRIM($AQ$2:$AQ$518))&lt;&gt;"na"))&gt;1)),"Yes","No"))</f>
        <v/>
      </c>
      <c r="F167">
        <f>IF(UPPER(TRIM($B167))&lt;&gt;"YES","", IF(OR(AND($V167&lt;&gt;"", LOWER(TRIM($V167))&lt;&gt;"n/a", LOWER(TRIM($V167))&lt;&gt;"na", SUMPRODUCT(--(UPPER(TRIM($V$2:$V$518))=UPPER(TRIM($V167))), --(UPPER(TRIM($B$2:$B$518))="YES"), --(UPPER(TRIM($G$2:$G$518)&amp;TRIM($I$2:$I$518)&amp;TRIM($J$2:$J$518))&lt;&gt;UPPER(TRIM($G167)&amp;TRIM($I167)&amp;TRIM($J167))))&gt;0), AND($W167&lt;&gt;"", LOWER(TRIM($W167))&lt;&gt;"n/a", LOWER(TRIM($W167))&lt;&gt;"na", SUMPRODUCT(--(UPPER(TRIM($W$2:$W$518))=UPPER(TRIM($W167))), --(UPPER(TRIM($B$2:$B$518))="YES"), --(UPPER(TRIM($G$2:$G$518)&amp;TRIM($I$2:$I$518)&amp;TRIM($J$2:$J$518))&lt;&gt;UPPER(TRIM($G167)&amp;TRIM($I167)&amp;TRIM($J167))))&gt;0), AND($X167&lt;&gt;"", LOWER(TRIM($X167))&lt;&gt;"n/a", LOWER(TRIM($X167))&lt;&gt;"na", SUMPRODUCT(--(UPPER(TRIM($X$2:$X$518))=UPPER(TRIM($X167))), --(UPPER(TRIM($B$2:$B$518))="YES"), --(UPPER(TRIM($G$2:$G$518)&amp;TRIM($I$2:$I$518)&amp;TRIM($J$2:$J$518))&lt;&gt;UPPER(TRIM($G167)&amp;TRIM($I167)&amp;TRIM($J167))))&gt;0), AND($Y167&lt;&gt;"", LOWER(TRIM($Y167))&lt;&gt;"n/a", LOWER(TRIM($Y167))&lt;&gt;"na", SUMPRODUCT(--(UPPER(SUBSTITUTE(SUBSTITUTE(TRIM($Y$2:$Y$518),":",""),"-",""))=UPPER(SUBSTITUTE(SUBSTITUTE(TRIM($Y167),":",""),"-",""))), --(UPPER(TRIM($B$2:$B$518))="YES"), --(UPPER(TRIM($G$2:$G$518)&amp;TRIM($I$2:$I$518)&amp;TRIM($J$2:$J$518))&lt;&gt;UPPER(TRIM($G167)&amp;TRIM($I167)&amp;TRIM($J167))))&gt;0), AND($AB167&lt;&gt;"", LOWER(TRIM($AB167))&lt;&gt;"n/a", LOWER(TRIM($AB167))&lt;&gt;"na", SUMPRODUCT(--(UPPER(TRIM($AB$2:$AB$518))=UPPER(TRIM($AB167))), --(UPPER(TRIM($B$2:$B$518))="YES"), --(UPPER(TRIM($G$2:$G$518)&amp;TRIM($I$2:$I$518)&amp;TRIM($J$2:$J$518))&lt;&gt;UPPER(TRIM($G167)&amp;TRIM($I167)&amp;TRIM($J167))))&gt;0), AND($AH167&lt;&gt;"", LOWER(TRIM($AH167))&lt;&gt;"n/a", LOWER(TRIM($AH167))&lt;&gt;"na", SUMPRODUCT(--(UPPER(SUBSTITUTE(SUBSTITUTE(TRIM($AH$2:$AH$518),":",""),"-",""))=UPPER(SUBSTITUTE(SUBSTITUTE(TRIM($AH167),":",""),"-",""))), --(UPPER(TRIM($B$2:$B$518))="YES"), --(UPPER(TRIM($G$2:$G$518)&amp;TRIM($I$2:$I$518)&amp;TRIM($J$2:$J$518))&lt;&gt;UPPER(TRIM($G167)&amp;TRIM($I167)&amp;TRIM($J167))))&gt;0), AND($AP167&lt;&gt;"", LOWER(TRIM($AP167))&lt;&gt;"n/a", LOWER(TRIM($AP167))&lt;&gt;"na", SUMPRODUCT(--(UPPER(TRIM($AP$2:$AP$518))=UPPER(TRIM($AP167))), --(UPPER(TRIM($B$2:$B$518))="YES"), --(UPPER(TRIM($G$2:$G$518)&amp;TRIM($I$2:$I$518)&amp;TRIM($J$2:$J$518))&lt;&gt;UPPER(TRIM($G167)&amp;TRIM($I167)&amp;TRIM($J167))))&gt;0), AND($AQ167&lt;&gt;"", LOWER(TRIM($AQ167))&lt;&gt;"n/a", LOWER(TRIM($AQ167))&lt;&gt;"na", SUMPRODUCT(--(UPPER(TRIM($AQ$2:$AQ$518))=UPPER(TRIM($AQ167))), --(UPPER(TRIM($B$2:$B$518))="YES"), --(UPPER(TRIM($G$2:$G$518)&amp;TRIM($I$2:$I$518)&amp;TRIM($J$2:$J$518))&lt;&gt;UPPER(TRIM($G167)&amp;TRIM($I167)&amp;TRIM($J167))))&gt;0)), "Yes", "No"))</f>
        <v/>
      </c>
      <c r="G167" t="inlineStr">
        <is>
          <t>LIJ - OR</t>
        </is>
      </c>
      <c r="H167" t="inlineStr">
        <is>
          <t>LIJ - OR</t>
        </is>
      </c>
      <c r="I167" t="inlineStr">
        <is>
          <t>LIJ ORs</t>
        </is>
      </c>
      <c r="J167" t="inlineStr">
        <is>
          <t>OR 25 / OR 13</t>
        </is>
      </c>
      <c r="K167" t="inlineStr">
        <is>
          <t>n/a</t>
        </is>
      </c>
      <c r="L167" s="18" t="n">
        <v>46074</v>
      </c>
      <c r="M167" t="inlineStr">
        <is>
          <t>OR iPro Cybernet Workstation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Inpatient</t>
        </is>
      </c>
      <c r="S167" t="inlineStr">
        <is>
          <t>Pass</t>
        </is>
      </c>
      <c r="T167" t="inlineStr">
        <is>
          <t>n/a</t>
        </is>
      </c>
      <c r="U167" t="inlineStr">
        <is>
          <t>1427182 LIJ Installation (Project Name) - Tim W. Seeberger, Akbar, Chris Perkins, Epic Team, Anesthesia Techs, and Admins</t>
        </is>
      </c>
      <c r="V167" t="inlineStr">
        <is>
          <t>WNH270OPR430</t>
        </is>
      </c>
      <c r="W167" t="inlineStr">
        <is>
          <t>MEDSG2425E-3206</t>
        </is>
      </c>
      <c r="X167" t="inlineStr">
        <is>
          <t>LIJ-MACH-I</t>
        </is>
      </c>
      <c r="Y167" t="inlineStr">
        <is>
          <t>00187DE0E2B9</t>
        </is>
      </c>
      <c r="Z167" t="inlineStr">
        <is>
          <t>n/a</t>
        </is>
      </c>
      <c r="AH167" t="inlineStr">
        <is>
          <t>00:0D:05:0A:B3:3D</t>
        </is>
      </c>
      <c r="AI167" t="inlineStr">
        <is>
          <t>Anesthesia Machine</t>
        </is>
      </c>
      <c r="AK167" t="n">
        <v>2</v>
      </c>
      <c r="AM167" t="inlineStr">
        <is>
          <t>Drager</t>
        </is>
      </c>
      <c r="AN167" t="inlineStr">
        <is>
          <t>Apollo</t>
        </is>
      </c>
      <c r="AP167" t="inlineStr">
        <is>
          <t>ARXM-0371</t>
        </is>
      </c>
      <c r="AQ167" t="inlineStr">
        <is>
          <t>ARXM-0371</t>
        </is>
      </c>
      <c r="AS167" t="inlineStr">
        <is>
          <t>B1-CFW</t>
        </is>
      </c>
      <c r="AX167" t="inlineStr">
        <is>
          <t>MX750 - DE77669020</t>
        </is>
      </c>
      <c r="AY167" t="inlineStr">
        <is>
          <t>Anesthesia Machine</t>
        </is>
      </c>
      <c r="BR167" t="inlineStr">
        <is>
          <t>Yes</t>
        </is>
      </c>
      <c r="BS167" t="inlineStr">
        <is>
          <t>Yes</t>
        </is>
      </c>
      <c r="BT167" t="inlineStr">
        <is>
          <t>Yes</t>
        </is>
      </c>
      <c r="BU167" t="inlineStr">
        <is>
          <t>Yes</t>
        </is>
      </c>
      <c r="CA167" t="inlineStr">
        <is>
          <t>iPro
Epic Satellite
ALLSCRIPTS
EPIC BCA</t>
        </is>
      </c>
      <c r="CD167">
        <f>IF($Y167="","",IF((IF(AND($BR167&lt;&gt;"Yes",$BR167&lt;&gt;"N/A"),"Power Cable, ","")&amp;IF(AND($BS167&lt;&gt;"Yes",$BS167&lt;&gt;"N/A"),"Battery, ","")&amp;IF(AND($AD167&lt;&gt;"Yes",$AD167&lt;&gt;"N/A"),"Firmware Download, ","")&amp;IF(AND(OR($AD167="Yes",$AD167="N/A"),$AE167&lt;&gt;"Yes",$AE167&lt;&gt;"N/A"),"Firmware Install, ","")&amp;IF(AND($CB167&lt;&gt;"Yes",$CB167&lt;&gt;"N/A"),"Device ID, ","")&amp;IF(AND($CC167&lt;&gt;"Yes",$CC167&lt;&gt;"N/A"),"Epic Beans Relay, ",""))="","",LEFT(IF(AND($BR167&lt;&gt;"Yes",$BR167&lt;&gt;"N/A"),"Power Cable, ","")&amp;IF(AND($BS167&lt;&gt;"Yes",$BS167&lt;&gt;"N/A"),"Battery, ","")&amp;IF(AND($AD167&lt;&gt;"Yes",$AD167&lt;&gt;"N/A"),"Firmware Download, ","")&amp;IF(AND(OR($AD167="Yes",$AD167="N/A"),$AE167&lt;&gt;"Yes",$AE167&lt;&gt;"N/A"),"Firmware Install, ","")&amp;IF(AND($CB167&lt;&gt;"Yes",$CB167&lt;&gt;"N/A"),"Device ID, ","")&amp;IF(AND($CC167&lt;&gt;"Yes",$CC167&lt;&gt;"N/A"),"Epic Beans Relay, ",""),LEN(IF(AND($BR167&lt;&gt;"Yes",$BR167&lt;&gt;"N/A"),"Power Cable, ","")&amp;IF(AND($BS167&lt;&gt;"Yes",$BS167&lt;&gt;"N/A"),"Battery, ","")&amp;IF(AND($AD167&lt;&gt;"Yes",$AD167&lt;&gt;"N/A"),"Firmware Download, ","")&amp;IF(AND(OR($AD167="Yes",$AD167="N/A"),$AE167&lt;&gt;"Yes",$AE167&lt;&gt;"N/A"),"Firmware Install, ","")&amp;IF(AND($CB167&lt;&gt;"Yes",$CB167&lt;&gt;"N/A"),"Device ID, ","")&amp;IF(AND($CC167&lt;&gt;"Yes",$CC167&lt;&gt;"N/A"),"Epic Beans Relay, ",""))-2)))</f>
        <v/>
      </c>
      <c r="CE167">
        <f>IF($Y167="","",IF($CD167="","Yes","Blocked"))</f>
        <v/>
      </c>
      <c r="CF167" t="inlineStr">
        <is>
          <t>Yes</t>
        </is>
      </c>
      <c r="CG167" t="inlineStr">
        <is>
          <t>Yes</t>
        </is>
      </c>
      <c r="CH167" t="inlineStr">
        <is>
          <t>Yes</t>
        </is>
      </c>
      <c r="CI167" t="inlineStr">
        <is>
          <t>Yes</t>
        </is>
      </c>
      <c r="CJ167" t="inlineStr">
        <is>
          <t>Yes</t>
        </is>
      </c>
      <c r="CK167" t="n">
        <v>19200</v>
      </c>
      <c r="CP167">
        <f>IF($CO167="","",IFERROR(VLOOKUP($CO167,'01_Warehouse_Ledger'!$A:$N,4,FALSE),""))</f>
        <v/>
      </c>
      <c r="CQ167">
        <f>IF($CO167="","",IFERROR(VLOOKUP($CO167,'01_Warehouse_Ledger'!$A:$N,5,FALSE),""))</f>
        <v/>
      </c>
      <c r="CR167">
        <f>IF($CO167="","",IFERROR(VLOOKUP($CO167,'01_Warehouse_Ledger'!$A:$N,13,FALSE),""))</f>
        <v/>
      </c>
      <c r="CW167">
        <f>IF($S167="","",IF(UPPER(TRIM($S167))&lt;&gt;"PASS","",IF(LEN(TRIM($BY167))&gt;0,"NOTES_PRESENT",IF(LEN(TRIM($T167))=0,"SET_NA",IF(OR(LOWER(TRIM($T167))="na",LOWER(TRIM($T167))="n/a"),"OK","MANUAL_OVERRIDE")))))</f>
        <v/>
      </c>
    </row>
    <row r="168">
      <c r="A168" t="inlineStr">
        <is>
          <t>Cybernet</t>
        </is>
      </c>
      <c r="B168" s="5" t="inlineStr">
        <is>
          <t>Yes</t>
        </is>
      </c>
      <c r="C168" t="inlineStr">
        <is>
          <t>Yes</t>
        </is>
      </c>
      <c r="D168">
        <f>IF($B168&lt;&gt;"Yes","",IF($C168="No","Yes",IF($C168="Yes","No","")))</f>
        <v/>
      </c>
      <c r="E168">
        <f>IF($A168="","",IF(OR(AND($V168&lt;&gt;"",LOWER(TRIM($V168))&lt;&gt;"n/a",LOWER(TRIM($V168))&lt;&gt;"na",SUMPRODUCT(--(UPPER(TRIM($V$2:$V$518))=UPPER(TRIM($V168))),--(TRIM($V$2:$V$518)&lt;&gt;""),--(LOWER(TRIM($V$2:$V$518))&lt;&gt;"n/a"),--(LOWER(TRIM($V$2:$V$518))&lt;&gt;"na"))&gt;1),AND($W168&lt;&gt;"",LOWER(TRIM($W168))&lt;&gt;"n/a",LOWER(TRIM($W168))&lt;&gt;"na",SUMPRODUCT(--(UPPER(TRIM($W$2:$W$518))=UPPER(TRIM($W168))),--(TRIM($W$2:$W$518)&lt;&gt;""),--(LOWER(TRIM($W$2:$W$518))&lt;&gt;"n/a"),--(LOWER(TRIM($W$2:$W$518))&lt;&gt;"na"))&gt;1),AND($X168&lt;&gt;"",LOWER(TRIM($X168))&lt;&gt;"n/a",LOWER(TRIM($X168))&lt;&gt;"na",SUMPRODUCT(--(UPPER(TRIM($X$2:$X$518))=UPPER(TRIM($X168))),--(TRIM($X$2:$X$518)&lt;&gt;""),--(LOWER(TRIM($X$2:$X$518))&lt;&gt;"n/a"),--(LOWER(TRIM($X$2:$X$518))&lt;&gt;"na"))&gt;1),AND($Y168&lt;&gt;"",LOWER(TRIM($Y168))&lt;&gt;"n/a",LOWER(TRIM($Y168))&lt;&gt;"na",SUMPRODUCT(--(UPPER(SUBSTITUTE(SUBSTITUTE(TRIM($Y$2:$Y$518),":",""),"-",""))=UPPER(SUBSTITUTE(SUBSTITUTE(TRIM($Y168),":",""),"-",""))),--(TRIM($Y$2:$Y$518)&lt;&gt;""),--(LOWER(TRIM($Y$2:$Y$518))&lt;&gt;"n/a"),--(LOWER(TRIM($Y$2:$Y$518))&lt;&gt;"na"))&gt;1),AND($AB168&lt;&gt;"",LOWER(TRIM($AB168))&lt;&gt;"n/a",LOWER(TRIM($AB168))&lt;&gt;"na",SUMPRODUCT(--(UPPER(TRIM($AB$2:$AB$518))=UPPER(TRIM($AB168))),--(TRIM($AB$2:$AB$518)&lt;&gt;""),--(LOWER(TRIM($AB$2:$AB$518))&lt;&gt;"n/a"),--(LOWER(TRIM($AB$2:$AB$518))&lt;&gt;"na"))&gt;1),AND($AH168&lt;&gt;"",LOWER(TRIM($AH168))&lt;&gt;"n/a",LOWER(TRIM($AH168))&lt;&gt;"na",SUMPRODUCT(--(UPPER(SUBSTITUTE(SUBSTITUTE(TRIM($AH$2:$AH$518),":",""),"-",""))=UPPER(SUBSTITUTE(SUBSTITUTE(TRIM($AH168),":",""),"-",""))),--(TRIM($AH$2:$AH$518)&lt;&gt;""),--(LOWER(TRIM($AH$2:$AH$518))&lt;&gt;"n/a"),--(LOWER(TRIM($AH$2:$AH$518))&lt;&gt;"na"))&gt;1),AND($AP168&lt;&gt;"",LOWER(TRIM($AP168))&lt;&gt;"n/a",LOWER(TRIM($AP168))&lt;&gt;"na",SUMPRODUCT(--(UPPER(TRIM($AP$2:$AP$518))=UPPER(TRIM($AP168))),--(TRIM($AP$2:$AP$518)&lt;&gt;""),--(LOWER(TRIM($AP$2:$AP$518))&lt;&gt;"n/a"),--(LOWER(TRIM($AP$2:$AP$518))&lt;&gt;"na"))&gt;1),AND($AQ168&lt;&gt;"",LOWER(TRIM($AQ168))&lt;&gt;"n/a",LOWER(TRIM($AQ168))&lt;&gt;"na",SUMPRODUCT(--(UPPER(TRIM($AQ$2:$AQ$518))=UPPER(TRIM($AQ168))),--(TRIM($AQ$2:$AQ$518)&lt;&gt;""),--(LOWER(TRIM($AQ$2:$AQ$518))&lt;&gt;"n/a"),--(LOWER(TRIM($AQ$2:$AQ$518))&lt;&gt;"na"))&gt;1)),"Yes","No"))</f>
        <v/>
      </c>
      <c r="F168">
        <f>IF(UPPER(TRIM($B168))&lt;&gt;"YES","", IF(OR(AND($V168&lt;&gt;"", LOWER(TRIM($V168))&lt;&gt;"n/a", LOWER(TRIM($V168))&lt;&gt;"na", SUMPRODUCT(--(UPPER(TRIM($V$2:$V$518))=UPPER(TRIM($V168))), --(UPPER(TRIM($B$2:$B$518))="YES"), --(UPPER(TRIM($G$2:$G$518)&amp;TRIM($I$2:$I$518)&amp;TRIM($J$2:$J$518))&lt;&gt;UPPER(TRIM($G168)&amp;TRIM($I168)&amp;TRIM($J168))))&gt;0), AND($W168&lt;&gt;"", LOWER(TRIM($W168))&lt;&gt;"n/a", LOWER(TRIM($W168))&lt;&gt;"na", SUMPRODUCT(--(UPPER(TRIM($W$2:$W$518))=UPPER(TRIM($W168))), --(UPPER(TRIM($B$2:$B$518))="YES"), --(UPPER(TRIM($G$2:$G$518)&amp;TRIM($I$2:$I$518)&amp;TRIM($J$2:$J$518))&lt;&gt;UPPER(TRIM($G168)&amp;TRIM($I168)&amp;TRIM($J168))))&gt;0), AND($X168&lt;&gt;"", LOWER(TRIM($X168))&lt;&gt;"n/a", LOWER(TRIM($X168))&lt;&gt;"na", SUMPRODUCT(--(UPPER(TRIM($X$2:$X$518))=UPPER(TRIM($X168))), --(UPPER(TRIM($B$2:$B$518))="YES"), --(UPPER(TRIM($G$2:$G$518)&amp;TRIM($I$2:$I$518)&amp;TRIM($J$2:$J$518))&lt;&gt;UPPER(TRIM($G168)&amp;TRIM($I168)&amp;TRIM($J168))))&gt;0), AND($Y168&lt;&gt;"", LOWER(TRIM($Y168))&lt;&gt;"n/a", LOWER(TRIM($Y168))&lt;&gt;"na", SUMPRODUCT(--(UPPER(SUBSTITUTE(SUBSTITUTE(TRIM($Y$2:$Y$518),":",""),"-",""))=UPPER(SUBSTITUTE(SUBSTITUTE(TRIM($Y168),":",""),"-",""))), --(UPPER(TRIM($B$2:$B$518))="YES"), --(UPPER(TRIM($G$2:$G$518)&amp;TRIM($I$2:$I$518)&amp;TRIM($J$2:$J$518))&lt;&gt;UPPER(TRIM($G168)&amp;TRIM($I168)&amp;TRIM($J168))))&gt;0), AND($AB168&lt;&gt;"", LOWER(TRIM($AB168))&lt;&gt;"n/a", LOWER(TRIM($AB168))&lt;&gt;"na", SUMPRODUCT(--(UPPER(TRIM($AB$2:$AB$518))=UPPER(TRIM($AB168))), --(UPPER(TRIM($B$2:$B$518))="YES"), --(UPPER(TRIM($G$2:$G$518)&amp;TRIM($I$2:$I$518)&amp;TRIM($J$2:$J$518))&lt;&gt;UPPER(TRIM($G168)&amp;TRIM($I168)&amp;TRIM($J168))))&gt;0), AND($AH168&lt;&gt;"", LOWER(TRIM($AH168))&lt;&gt;"n/a", LOWER(TRIM($AH168))&lt;&gt;"na", SUMPRODUCT(--(UPPER(SUBSTITUTE(SUBSTITUTE(TRIM($AH$2:$AH$518),":",""),"-",""))=UPPER(SUBSTITUTE(SUBSTITUTE(TRIM($AH168),":",""),"-",""))), --(UPPER(TRIM($B$2:$B$518))="YES"), --(UPPER(TRIM($G$2:$G$518)&amp;TRIM($I$2:$I$518)&amp;TRIM($J$2:$J$518))&lt;&gt;UPPER(TRIM($G168)&amp;TRIM($I168)&amp;TRIM($J168))))&gt;0), AND($AP168&lt;&gt;"", LOWER(TRIM($AP168))&lt;&gt;"n/a", LOWER(TRIM($AP168))&lt;&gt;"na", SUMPRODUCT(--(UPPER(TRIM($AP$2:$AP$518))=UPPER(TRIM($AP168))), --(UPPER(TRIM($B$2:$B$518))="YES"), --(UPPER(TRIM($G$2:$G$518)&amp;TRIM($I$2:$I$518)&amp;TRIM($J$2:$J$518))&lt;&gt;UPPER(TRIM($G168)&amp;TRIM($I168)&amp;TRIM($J168))))&gt;0), AND($AQ168&lt;&gt;"", LOWER(TRIM($AQ168))&lt;&gt;"n/a", LOWER(TRIM($AQ168))&lt;&gt;"na", SUMPRODUCT(--(UPPER(TRIM($AQ$2:$AQ$518))=UPPER(TRIM($AQ168))), --(UPPER(TRIM($B$2:$B$518))="YES"), --(UPPER(TRIM($G$2:$G$518)&amp;TRIM($I$2:$I$518)&amp;TRIM($J$2:$J$518))&lt;&gt;UPPER(TRIM($G168)&amp;TRIM($I168)&amp;TRIM($J168))))&gt;0)), "Yes", "No"))</f>
        <v/>
      </c>
      <c r="G168" t="inlineStr">
        <is>
          <t>LIJ - OR</t>
        </is>
      </c>
      <c r="H168" t="inlineStr">
        <is>
          <t>LIJ - OR</t>
        </is>
      </c>
      <c r="I168" t="inlineStr">
        <is>
          <t>LIJ ORs</t>
        </is>
      </c>
      <c r="J168" t="inlineStr">
        <is>
          <t>OR 21</t>
        </is>
      </c>
      <c r="K168" t="inlineStr">
        <is>
          <t>n/a</t>
        </is>
      </c>
      <c r="L168" s="18" t="n">
        <v>46074</v>
      </c>
      <c r="M168" t="inlineStr">
        <is>
          <t>OR iPro Cybernet Workstation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Inpatient</t>
        </is>
      </c>
      <c r="S168" t="inlineStr">
        <is>
          <t>Pass</t>
        </is>
      </c>
      <c r="T168" t="inlineStr">
        <is>
          <t>n/a</t>
        </is>
      </c>
      <c r="U168" t="inlineStr">
        <is>
          <t>1427182 LIJ Installation (Project Name) - Tim W. Seeberger, Akbar, Chris Perkins, Epic Team, Anesthesia Techs, and Admins</t>
        </is>
      </c>
      <c r="V168" t="inlineStr">
        <is>
          <t>WNH270OPR432</t>
        </is>
      </c>
      <c r="W168" t="inlineStr">
        <is>
          <t>MEDSG2425E-3291</t>
        </is>
      </c>
      <c r="X168" t="inlineStr">
        <is>
          <t>LIJ-MACH-D / SPARE</t>
        </is>
      </c>
      <c r="Y168" t="inlineStr">
        <is>
          <t>00187DE0ADF1</t>
        </is>
      </c>
      <c r="Z168" t="inlineStr">
        <is>
          <t>n/a</t>
        </is>
      </c>
      <c r="AH168" t="inlineStr">
        <is>
          <t>00:0D:05:0A:B0:BB</t>
        </is>
      </c>
      <c r="AI168" t="inlineStr">
        <is>
          <t>Anesthesia Machine</t>
        </is>
      </c>
      <c r="AK168" t="n">
        <v>2</v>
      </c>
      <c r="AM168" t="inlineStr">
        <is>
          <t>Drager</t>
        </is>
      </c>
      <c r="AN168" t="inlineStr">
        <is>
          <t>Apollo</t>
        </is>
      </c>
      <c r="AP168" t="inlineStr">
        <is>
          <t>ARXM-0403</t>
        </is>
      </c>
      <c r="AQ168" t="inlineStr">
        <is>
          <t>ARXM-0403</t>
        </is>
      </c>
      <c r="AS168" t="inlineStr">
        <is>
          <t>B1-CFW</t>
        </is>
      </c>
      <c r="AX168" t="inlineStr">
        <is>
          <t>MX750 - DE77668935</t>
        </is>
      </c>
      <c r="AY168" t="inlineStr">
        <is>
          <t>Anesthesia Machine</t>
        </is>
      </c>
      <c r="BR168" t="inlineStr">
        <is>
          <t>Yes</t>
        </is>
      </c>
      <c r="BS168" t="inlineStr">
        <is>
          <t>Yes</t>
        </is>
      </c>
      <c r="BT168" t="inlineStr">
        <is>
          <t>Yes</t>
        </is>
      </c>
      <c r="BU168" t="inlineStr">
        <is>
          <t>Yes</t>
        </is>
      </c>
      <c r="CA168" t="inlineStr">
        <is>
          <t>iPro
Epic Satellite
ALLSCRIPTS
EPIC BCA</t>
        </is>
      </c>
      <c r="CD168">
        <f>IF($Y168="","",IF((IF(AND($BR168&lt;&gt;"Yes",$BR168&lt;&gt;"N/A"),"Power Cable, ","")&amp;IF(AND($BS168&lt;&gt;"Yes",$BS168&lt;&gt;"N/A"),"Battery, ","")&amp;IF(AND($AD168&lt;&gt;"Yes",$AD168&lt;&gt;"N/A"),"Firmware Download, ","")&amp;IF(AND(OR($AD168="Yes",$AD168="N/A"),$AE168&lt;&gt;"Yes",$AE168&lt;&gt;"N/A"),"Firmware Install, ","")&amp;IF(AND($CB168&lt;&gt;"Yes",$CB168&lt;&gt;"N/A"),"Device ID, ","")&amp;IF(AND($CC168&lt;&gt;"Yes",$CC168&lt;&gt;"N/A"),"Epic Beans Relay, ",""))="","",LEFT(IF(AND($BR168&lt;&gt;"Yes",$BR168&lt;&gt;"N/A"),"Power Cable, ","")&amp;IF(AND($BS168&lt;&gt;"Yes",$BS168&lt;&gt;"N/A"),"Battery, ","")&amp;IF(AND($AD168&lt;&gt;"Yes",$AD168&lt;&gt;"N/A"),"Firmware Download, ","")&amp;IF(AND(OR($AD168="Yes",$AD168="N/A"),$AE168&lt;&gt;"Yes",$AE168&lt;&gt;"N/A"),"Firmware Install, ","")&amp;IF(AND($CB168&lt;&gt;"Yes",$CB168&lt;&gt;"N/A"),"Device ID, ","")&amp;IF(AND($CC168&lt;&gt;"Yes",$CC168&lt;&gt;"N/A"),"Epic Beans Relay, ",""),LEN(IF(AND($BR168&lt;&gt;"Yes",$BR168&lt;&gt;"N/A"),"Power Cable, ","")&amp;IF(AND($BS168&lt;&gt;"Yes",$BS168&lt;&gt;"N/A"),"Battery, ","")&amp;IF(AND($AD168&lt;&gt;"Yes",$AD168&lt;&gt;"N/A"),"Firmware Download, ","")&amp;IF(AND(OR($AD168="Yes",$AD168="N/A"),$AE168&lt;&gt;"Yes",$AE168&lt;&gt;"N/A"),"Firmware Install, ","")&amp;IF(AND($CB168&lt;&gt;"Yes",$CB168&lt;&gt;"N/A"),"Device ID, ","")&amp;IF(AND($CC168&lt;&gt;"Yes",$CC168&lt;&gt;"N/A"),"Epic Beans Relay, ",""))-2)))</f>
        <v/>
      </c>
      <c r="CE168">
        <f>IF($Y168="","",IF($CD168="","Yes","Blocked"))</f>
        <v/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n">
        <v>19200</v>
      </c>
      <c r="CP168">
        <f>IF($CO168="","",IFERROR(VLOOKUP($CO168,'01_Warehouse_Ledger'!$A:$N,4,FALSE),""))</f>
        <v/>
      </c>
      <c r="CQ168">
        <f>IF($CO168="","",IFERROR(VLOOKUP($CO168,'01_Warehouse_Ledger'!$A:$N,5,FALSE),""))</f>
        <v/>
      </c>
      <c r="CR168">
        <f>IF($CO168="","",IFERROR(VLOOKUP($CO168,'01_Warehouse_Ledger'!$A:$N,13,FALSE),""))</f>
        <v/>
      </c>
      <c r="CW168">
        <f>IF($S168="","",IF(UPPER(TRIM($S168))&lt;&gt;"PASS","",IF(LEN(TRIM($BY168))&gt;0,"NOTES_PRESENT",IF(LEN(TRIM($T168))=0,"SET_NA",IF(OR(LOWER(TRIM($T168))="na",LOWER(TRIM($T168))="n/a"),"OK","MANUAL_OVERRIDE")))))</f>
        <v/>
      </c>
    </row>
    <row r="169">
      <c r="A169" t="inlineStr">
        <is>
          <t>Cybernet</t>
        </is>
      </c>
      <c r="B169" s="5" t="inlineStr">
        <is>
          <t>Yes</t>
        </is>
      </c>
      <c r="C169" t="inlineStr">
        <is>
          <t>Yes</t>
        </is>
      </c>
      <c r="D169">
        <f>IF($B169&lt;&gt;"Yes","",IF($C169="No","Yes",IF($C169="Yes","No","")))</f>
        <v/>
      </c>
      <c r="E169">
        <f>IF($A169="","",IF(OR(AND($V169&lt;&gt;"",LOWER(TRIM($V169))&lt;&gt;"n/a",LOWER(TRIM($V169))&lt;&gt;"na",SUMPRODUCT(--(UPPER(TRIM($V$2:$V$518))=UPPER(TRIM($V169))),--(TRIM($V$2:$V$518)&lt;&gt;""),--(LOWER(TRIM($V$2:$V$518))&lt;&gt;"n/a"),--(LOWER(TRIM($V$2:$V$518))&lt;&gt;"na"))&gt;1),AND($W169&lt;&gt;"",LOWER(TRIM($W169))&lt;&gt;"n/a",LOWER(TRIM($W169))&lt;&gt;"na",SUMPRODUCT(--(UPPER(TRIM($W$2:$W$518))=UPPER(TRIM($W169))),--(TRIM($W$2:$W$518)&lt;&gt;""),--(LOWER(TRIM($W$2:$W$518))&lt;&gt;"n/a"),--(LOWER(TRIM($W$2:$W$518))&lt;&gt;"na"))&gt;1),AND($X169&lt;&gt;"",LOWER(TRIM($X169))&lt;&gt;"n/a",LOWER(TRIM($X169))&lt;&gt;"na",SUMPRODUCT(--(UPPER(TRIM($X$2:$X$518))=UPPER(TRIM($X169))),--(TRIM($X$2:$X$518)&lt;&gt;""),--(LOWER(TRIM($X$2:$X$518))&lt;&gt;"n/a"),--(LOWER(TRIM($X$2:$X$518))&lt;&gt;"na"))&gt;1),AND($Y169&lt;&gt;"",LOWER(TRIM($Y169))&lt;&gt;"n/a",LOWER(TRIM($Y169))&lt;&gt;"na",SUMPRODUCT(--(UPPER(SUBSTITUTE(SUBSTITUTE(TRIM($Y$2:$Y$518),":",""),"-",""))=UPPER(SUBSTITUTE(SUBSTITUTE(TRIM($Y169),":",""),"-",""))),--(TRIM($Y$2:$Y$518)&lt;&gt;""),--(LOWER(TRIM($Y$2:$Y$518))&lt;&gt;"n/a"),--(LOWER(TRIM($Y$2:$Y$518))&lt;&gt;"na"))&gt;1),AND($AB169&lt;&gt;"",LOWER(TRIM($AB169))&lt;&gt;"n/a",LOWER(TRIM($AB169))&lt;&gt;"na",SUMPRODUCT(--(UPPER(TRIM($AB$2:$AB$518))=UPPER(TRIM($AB169))),--(TRIM($AB$2:$AB$518)&lt;&gt;""),--(LOWER(TRIM($AB$2:$AB$518))&lt;&gt;"n/a"),--(LOWER(TRIM($AB$2:$AB$518))&lt;&gt;"na"))&gt;1),AND($AH169&lt;&gt;"",LOWER(TRIM($AH169))&lt;&gt;"n/a",LOWER(TRIM($AH169))&lt;&gt;"na",SUMPRODUCT(--(UPPER(SUBSTITUTE(SUBSTITUTE(TRIM($AH$2:$AH$518),":",""),"-",""))=UPPER(SUBSTITUTE(SUBSTITUTE(TRIM($AH169),":",""),"-",""))),--(TRIM($AH$2:$AH$518)&lt;&gt;""),--(LOWER(TRIM($AH$2:$AH$518))&lt;&gt;"n/a"),--(LOWER(TRIM($AH$2:$AH$518))&lt;&gt;"na"))&gt;1),AND($AP169&lt;&gt;"",LOWER(TRIM($AP169))&lt;&gt;"n/a",LOWER(TRIM($AP169))&lt;&gt;"na",SUMPRODUCT(--(UPPER(TRIM($AP$2:$AP$518))=UPPER(TRIM($AP169))),--(TRIM($AP$2:$AP$518)&lt;&gt;""),--(LOWER(TRIM($AP$2:$AP$518))&lt;&gt;"n/a"),--(LOWER(TRIM($AP$2:$AP$518))&lt;&gt;"na"))&gt;1),AND($AQ169&lt;&gt;"",LOWER(TRIM($AQ169))&lt;&gt;"n/a",LOWER(TRIM($AQ169))&lt;&gt;"na",SUMPRODUCT(--(UPPER(TRIM($AQ$2:$AQ$518))=UPPER(TRIM($AQ169))),--(TRIM($AQ$2:$AQ$518)&lt;&gt;""),--(LOWER(TRIM($AQ$2:$AQ$518))&lt;&gt;"n/a"),--(LOWER(TRIM($AQ$2:$AQ$518))&lt;&gt;"na"))&gt;1)),"Yes","No"))</f>
        <v/>
      </c>
      <c r="F169">
        <f>IF(UPPER(TRIM($B169))&lt;&gt;"YES","", IF(OR(AND($V169&lt;&gt;"", LOWER(TRIM($V169))&lt;&gt;"n/a", LOWER(TRIM($V169))&lt;&gt;"na", SUMPRODUCT(--(UPPER(TRIM($V$2:$V$518))=UPPER(TRIM($V169))), --(UPPER(TRIM($B$2:$B$518))="YES"), --(UPPER(TRIM($G$2:$G$518)&amp;TRIM($I$2:$I$518)&amp;TRIM($J$2:$J$518))&lt;&gt;UPPER(TRIM($G169)&amp;TRIM($I169)&amp;TRIM($J169))))&gt;0), AND($W169&lt;&gt;"", LOWER(TRIM($W169))&lt;&gt;"n/a", LOWER(TRIM($W169))&lt;&gt;"na", SUMPRODUCT(--(UPPER(TRIM($W$2:$W$518))=UPPER(TRIM($W169))), --(UPPER(TRIM($B$2:$B$518))="YES"), --(UPPER(TRIM($G$2:$G$518)&amp;TRIM($I$2:$I$518)&amp;TRIM($J$2:$J$518))&lt;&gt;UPPER(TRIM($G169)&amp;TRIM($I169)&amp;TRIM($J169))))&gt;0), AND($X169&lt;&gt;"", LOWER(TRIM($X169))&lt;&gt;"n/a", LOWER(TRIM($X169))&lt;&gt;"na", SUMPRODUCT(--(UPPER(TRIM($X$2:$X$518))=UPPER(TRIM($X169))), --(UPPER(TRIM($B$2:$B$518))="YES"), --(UPPER(TRIM($G$2:$G$518)&amp;TRIM($I$2:$I$518)&amp;TRIM($J$2:$J$518))&lt;&gt;UPPER(TRIM($G169)&amp;TRIM($I169)&amp;TRIM($J169))))&gt;0), AND($Y169&lt;&gt;"", LOWER(TRIM($Y169))&lt;&gt;"n/a", LOWER(TRIM($Y169))&lt;&gt;"na", SUMPRODUCT(--(UPPER(SUBSTITUTE(SUBSTITUTE(TRIM($Y$2:$Y$518),":",""),"-",""))=UPPER(SUBSTITUTE(SUBSTITUTE(TRIM($Y169),":",""),"-",""))), --(UPPER(TRIM($B$2:$B$518))="YES"), --(UPPER(TRIM($G$2:$G$518)&amp;TRIM($I$2:$I$518)&amp;TRIM($J$2:$J$518))&lt;&gt;UPPER(TRIM($G169)&amp;TRIM($I169)&amp;TRIM($J169))))&gt;0), AND($AB169&lt;&gt;"", LOWER(TRIM($AB169))&lt;&gt;"n/a", LOWER(TRIM($AB169))&lt;&gt;"na", SUMPRODUCT(--(UPPER(TRIM($AB$2:$AB$518))=UPPER(TRIM($AB169))), --(UPPER(TRIM($B$2:$B$518))="YES"), --(UPPER(TRIM($G$2:$G$518)&amp;TRIM($I$2:$I$518)&amp;TRIM($J$2:$J$518))&lt;&gt;UPPER(TRIM($G169)&amp;TRIM($I169)&amp;TRIM($J169))))&gt;0), AND($AH169&lt;&gt;"", LOWER(TRIM($AH169))&lt;&gt;"n/a", LOWER(TRIM($AH169))&lt;&gt;"na", SUMPRODUCT(--(UPPER(SUBSTITUTE(SUBSTITUTE(TRIM($AH$2:$AH$518),":",""),"-",""))=UPPER(SUBSTITUTE(SUBSTITUTE(TRIM($AH169),":",""),"-",""))), --(UPPER(TRIM($B$2:$B$518))="YES"), --(UPPER(TRIM($G$2:$G$518)&amp;TRIM($I$2:$I$518)&amp;TRIM($J$2:$J$518))&lt;&gt;UPPER(TRIM($G169)&amp;TRIM($I169)&amp;TRIM($J169))))&gt;0), AND($AP169&lt;&gt;"", LOWER(TRIM($AP169))&lt;&gt;"n/a", LOWER(TRIM($AP169))&lt;&gt;"na", SUMPRODUCT(--(UPPER(TRIM($AP$2:$AP$518))=UPPER(TRIM($AP169))), --(UPPER(TRIM($B$2:$B$518))="YES"), --(UPPER(TRIM($G$2:$G$518)&amp;TRIM($I$2:$I$518)&amp;TRIM($J$2:$J$518))&lt;&gt;UPPER(TRIM($G169)&amp;TRIM($I169)&amp;TRIM($J169))))&gt;0), AND($AQ169&lt;&gt;"", LOWER(TRIM($AQ169))&lt;&gt;"n/a", LOWER(TRIM($AQ169))&lt;&gt;"na", SUMPRODUCT(--(UPPER(TRIM($AQ$2:$AQ$518))=UPPER(TRIM($AQ169))), --(UPPER(TRIM($B$2:$B$518))="YES"), --(UPPER(TRIM($G$2:$G$518)&amp;TRIM($I$2:$I$518)&amp;TRIM($J$2:$J$518))&lt;&gt;UPPER(TRIM($G169)&amp;TRIM($I169)&amp;TRIM($J169))))&gt;0)), "Yes", "No"))</f>
        <v/>
      </c>
      <c r="G169" t="inlineStr">
        <is>
          <t>LIJ - OR</t>
        </is>
      </c>
      <c r="H169" t="inlineStr">
        <is>
          <t>LIJ - OR</t>
        </is>
      </c>
      <c r="I169" t="inlineStr">
        <is>
          <t>LIJ ORs</t>
        </is>
      </c>
      <c r="J169" t="inlineStr">
        <is>
          <t>OR 22</t>
        </is>
      </c>
      <c r="K169" t="inlineStr">
        <is>
          <t>n/a</t>
        </is>
      </c>
      <c r="L169" s="18" t="n">
        <v>46074</v>
      </c>
      <c r="M169" t="inlineStr">
        <is>
          <t>OR iPro Cybernet Workstation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Inpatient</t>
        </is>
      </c>
      <c r="S169" t="inlineStr">
        <is>
          <t>Pass</t>
        </is>
      </c>
      <c r="T169" t="inlineStr">
        <is>
          <t>n/a</t>
        </is>
      </c>
      <c r="U169" t="inlineStr">
        <is>
          <t>1427182 LIJ Installation (Project Name) - Tim W. Seeberger, Akbar, Chris Perkins, Epic Team, Anesthesia Techs, and Admins</t>
        </is>
      </c>
      <c r="V169" t="inlineStr">
        <is>
          <t>WNH270OPR435</t>
        </is>
      </c>
      <c r="W169" t="inlineStr">
        <is>
          <t>MEDSG2425E-3749</t>
        </is>
      </c>
      <c r="X169" t="inlineStr">
        <is>
          <t>LIJ-MACH-F</t>
        </is>
      </c>
      <c r="Y169" t="inlineStr">
        <is>
          <t>00187DE0E222</t>
        </is>
      </c>
      <c r="Z169" t="inlineStr">
        <is>
          <t>n/a</t>
        </is>
      </c>
      <c r="AH169" t="inlineStr">
        <is>
          <t>00:0D:05:0A:B0:F3</t>
        </is>
      </c>
      <c r="AI169" t="inlineStr">
        <is>
          <t>Anesthesia Machine</t>
        </is>
      </c>
      <c r="AK169" t="n">
        <v>2</v>
      </c>
      <c r="AM169" t="inlineStr">
        <is>
          <t>Drager</t>
        </is>
      </c>
      <c r="AN169" t="inlineStr">
        <is>
          <t>Apollo</t>
        </is>
      </c>
      <c r="AP169" t="inlineStr">
        <is>
          <t>ASCJ-0113</t>
        </is>
      </c>
      <c r="AQ169" t="inlineStr">
        <is>
          <t>ASCJ-0113</t>
        </is>
      </c>
      <c r="AS169" t="inlineStr">
        <is>
          <t>B1-CFW</t>
        </is>
      </c>
      <c r="AX169" t="inlineStr">
        <is>
          <t>MX750 - DE77669057</t>
        </is>
      </c>
      <c r="AY169" t="inlineStr">
        <is>
          <t>Anesthesia Machine</t>
        </is>
      </c>
      <c r="BR169" t="inlineStr">
        <is>
          <t>Yes</t>
        </is>
      </c>
      <c r="BS169" t="inlineStr">
        <is>
          <t>Yes</t>
        </is>
      </c>
      <c r="BT169" t="inlineStr">
        <is>
          <t>Yes</t>
        </is>
      </c>
      <c r="BU169" t="inlineStr">
        <is>
          <t>Yes</t>
        </is>
      </c>
      <c r="CA169" t="inlineStr">
        <is>
          <t>iPro
Epic Satellite
ALLSCRIPTS
EPIC BCA</t>
        </is>
      </c>
      <c r="CD169">
        <f>IF($Y169="","",IF((IF(AND($BR169&lt;&gt;"Yes",$BR169&lt;&gt;"N/A"),"Power Cable, ","")&amp;IF(AND($BS169&lt;&gt;"Yes",$BS169&lt;&gt;"N/A"),"Battery, ","")&amp;IF(AND($AD169&lt;&gt;"Yes",$AD169&lt;&gt;"N/A"),"Firmware Download, ","")&amp;IF(AND(OR($AD169="Yes",$AD169="N/A"),$AE169&lt;&gt;"Yes",$AE169&lt;&gt;"N/A"),"Firmware Install, ","")&amp;IF(AND($CB169&lt;&gt;"Yes",$CB169&lt;&gt;"N/A"),"Device ID, ","")&amp;IF(AND($CC169&lt;&gt;"Yes",$CC169&lt;&gt;"N/A"),"Epic Beans Relay, ",""))="","",LEFT(IF(AND($BR169&lt;&gt;"Yes",$BR169&lt;&gt;"N/A"),"Power Cable, ","")&amp;IF(AND($BS169&lt;&gt;"Yes",$BS169&lt;&gt;"N/A"),"Battery, ","")&amp;IF(AND($AD169&lt;&gt;"Yes",$AD169&lt;&gt;"N/A"),"Firmware Download, ","")&amp;IF(AND(OR($AD169="Yes",$AD169="N/A"),$AE169&lt;&gt;"Yes",$AE169&lt;&gt;"N/A"),"Firmware Install, ","")&amp;IF(AND($CB169&lt;&gt;"Yes",$CB169&lt;&gt;"N/A"),"Device ID, ","")&amp;IF(AND($CC169&lt;&gt;"Yes",$CC169&lt;&gt;"N/A"),"Epic Beans Relay, ",""),LEN(IF(AND($BR169&lt;&gt;"Yes",$BR169&lt;&gt;"N/A"),"Power Cable, ","")&amp;IF(AND($BS169&lt;&gt;"Yes",$BS169&lt;&gt;"N/A"),"Battery, ","")&amp;IF(AND($AD169&lt;&gt;"Yes",$AD169&lt;&gt;"N/A"),"Firmware Download, ","")&amp;IF(AND(OR($AD169="Yes",$AD169="N/A"),$AE169&lt;&gt;"Yes",$AE169&lt;&gt;"N/A"),"Firmware Install, ","")&amp;IF(AND($CB169&lt;&gt;"Yes",$CB169&lt;&gt;"N/A"),"Device ID, ","")&amp;IF(AND($CC169&lt;&gt;"Yes",$CC169&lt;&gt;"N/A"),"Epic Beans Relay, ",""))-2)))</f>
        <v/>
      </c>
      <c r="CE169">
        <f>IF($Y169="","",IF($CD169="","Yes","Blocked"))</f>
        <v/>
      </c>
      <c r="CF169" t="inlineStr">
        <is>
          <t>Yes</t>
        </is>
      </c>
      <c r="CG169" t="inlineStr">
        <is>
          <t>Yes</t>
        </is>
      </c>
      <c r="CH169" t="inlineStr">
        <is>
          <t>Yes</t>
        </is>
      </c>
      <c r="CI169" t="inlineStr">
        <is>
          <t>Yes</t>
        </is>
      </c>
      <c r="CJ169" t="inlineStr">
        <is>
          <t>Yes</t>
        </is>
      </c>
      <c r="CK169" t="n">
        <v>19200</v>
      </c>
      <c r="CP169">
        <f>IF($CO169="","",IFERROR(VLOOKUP($CO169,'01_Warehouse_Ledger'!$A:$N,4,FALSE),""))</f>
        <v/>
      </c>
      <c r="CQ169">
        <f>IF($CO169="","",IFERROR(VLOOKUP($CO169,'01_Warehouse_Ledger'!$A:$N,5,FALSE),""))</f>
        <v/>
      </c>
      <c r="CR169">
        <f>IF($CO169="","",IFERROR(VLOOKUP($CO169,'01_Warehouse_Ledger'!$A:$N,13,FALSE),""))</f>
        <v/>
      </c>
      <c r="CW169">
        <f>IF($S169="","",IF(UPPER(TRIM($S169))&lt;&gt;"PASS","",IF(LEN(TRIM($BY169))&gt;0,"NOTES_PRESENT",IF(LEN(TRIM($T169))=0,"SET_NA",IF(OR(LOWER(TRIM($T169))="na",LOWER(TRIM($T169))="n/a"),"OK","MANUAL_OVERRIDE")))))</f>
        <v/>
      </c>
    </row>
    <row r="170">
      <c r="A170" t="inlineStr">
        <is>
          <t>Cybernet</t>
        </is>
      </c>
      <c r="B170" s="5" t="inlineStr">
        <is>
          <t>Yes</t>
        </is>
      </c>
      <c r="C170" t="inlineStr">
        <is>
          <t>Yes</t>
        </is>
      </c>
      <c r="D170">
        <f>IF($B170&lt;&gt;"Yes","",IF($C170="No","Yes",IF($C170="Yes","No","")))</f>
        <v/>
      </c>
      <c r="E170">
        <f>IF($A170="","",IF(OR(AND($V170&lt;&gt;"",LOWER(TRIM($V170))&lt;&gt;"n/a",LOWER(TRIM($V170))&lt;&gt;"na",SUMPRODUCT(--(UPPER(TRIM($V$2:$V$518))=UPPER(TRIM($V170))),--(TRIM($V$2:$V$518)&lt;&gt;""),--(LOWER(TRIM($V$2:$V$518))&lt;&gt;"n/a"),--(LOWER(TRIM($V$2:$V$518))&lt;&gt;"na"))&gt;1),AND($W170&lt;&gt;"",LOWER(TRIM($W170))&lt;&gt;"n/a",LOWER(TRIM($W170))&lt;&gt;"na",SUMPRODUCT(--(UPPER(TRIM($W$2:$W$518))=UPPER(TRIM($W170))),--(TRIM($W$2:$W$518)&lt;&gt;""),--(LOWER(TRIM($W$2:$W$518))&lt;&gt;"n/a"),--(LOWER(TRIM($W$2:$W$518))&lt;&gt;"na"))&gt;1),AND($X170&lt;&gt;"",LOWER(TRIM($X170))&lt;&gt;"n/a",LOWER(TRIM($X170))&lt;&gt;"na",SUMPRODUCT(--(UPPER(TRIM($X$2:$X$518))=UPPER(TRIM($X170))),--(TRIM($X$2:$X$518)&lt;&gt;""),--(LOWER(TRIM($X$2:$X$518))&lt;&gt;"n/a"),--(LOWER(TRIM($X$2:$X$518))&lt;&gt;"na"))&gt;1),AND($Y170&lt;&gt;"",LOWER(TRIM($Y170))&lt;&gt;"n/a",LOWER(TRIM($Y170))&lt;&gt;"na",SUMPRODUCT(--(UPPER(SUBSTITUTE(SUBSTITUTE(TRIM($Y$2:$Y$518),":",""),"-",""))=UPPER(SUBSTITUTE(SUBSTITUTE(TRIM($Y170),":",""),"-",""))),--(TRIM($Y$2:$Y$518)&lt;&gt;""),--(LOWER(TRIM($Y$2:$Y$518))&lt;&gt;"n/a"),--(LOWER(TRIM($Y$2:$Y$518))&lt;&gt;"na"))&gt;1),AND($AB170&lt;&gt;"",LOWER(TRIM($AB170))&lt;&gt;"n/a",LOWER(TRIM($AB170))&lt;&gt;"na",SUMPRODUCT(--(UPPER(TRIM($AB$2:$AB$518))=UPPER(TRIM($AB170))),--(TRIM($AB$2:$AB$518)&lt;&gt;""),--(LOWER(TRIM($AB$2:$AB$518))&lt;&gt;"n/a"),--(LOWER(TRIM($AB$2:$AB$518))&lt;&gt;"na"))&gt;1),AND($AH170&lt;&gt;"",LOWER(TRIM($AH170))&lt;&gt;"n/a",LOWER(TRIM($AH170))&lt;&gt;"na",SUMPRODUCT(--(UPPER(SUBSTITUTE(SUBSTITUTE(TRIM($AH$2:$AH$518),":",""),"-",""))=UPPER(SUBSTITUTE(SUBSTITUTE(TRIM($AH170),":",""),"-",""))),--(TRIM($AH$2:$AH$518)&lt;&gt;""),--(LOWER(TRIM($AH$2:$AH$518))&lt;&gt;"n/a"),--(LOWER(TRIM($AH$2:$AH$518))&lt;&gt;"na"))&gt;1),AND($AP170&lt;&gt;"",LOWER(TRIM($AP170))&lt;&gt;"n/a",LOWER(TRIM($AP170))&lt;&gt;"na",SUMPRODUCT(--(UPPER(TRIM($AP$2:$AP$518))=UPPER(TRIM($AP170))),--(TRIM($AP$2:$AP$518)&lt;&gt;""),--(LOWER(TRIM($AP$2:$AP$518))&lt;&gt;"n/a"),--(LOWER(TRIM($AP$2:$AP$518))&lt;&gt;"na"))&gt;1),AND($AQ170&lt;&gt;"",LOWER(TRIM($AQ170))&lt;&gt;"n/a",LOWER(TRIM($AQ170))&lt;&gt;"na",SUMPRODUCT(--(UPPER(TRIM($AQ$2:$AQ$518))=UPPER(TRIM($AQ170))),--(TRIM($AQ$2:$AQ$518)&lt;&gt;""),--(LOWER(TRIM($AQ$2:$AQ$518))&lt;&gt;"n/a"),--(LOWER(TRIM($AQ$2:$AQ$518))&lt;&gt;"na"))&gt;1)),"Yes","No"))</f>
        <v/>
      </c>
      <c r="F170">
        <f>IF(UPPER(TRIM($B170))&lt;&gt;"YES","", IF(OR(AND($V170&lt;&gt;"", LOWER(TRIM($V170))&lt;&gt;"n/a", LOWER(TRIM($V170))&lt;&gt;"na", SUMPRODUCT(--(UPPER(TRIM($V$2:$V$518))=UPPER(TRIM($V170))), --(UPPER(TRIM($B$2:$B$518))="YES"), --(UPPER(TRIM($G$2:$G$518)&amp;TRIM($I$2:$I$518)&amp;TRIM($J$2:$J$518))&lt;&gt;UPPER(TRIM($G170)&amp;TRIM($I170)&amp;TRIM($J170))))&gt;0), AND($W170&lt;&gt;"", LOWER(TRIM($W170))&lt;&gt;"n/a", LOWER(TRIM($W170))&lt;&gt;"na", SUMPRODUCT(--(UPPER(TRIM($W$2:$W$518))=UPPER(TRIM($W170))), --(UPPER(TRIM($B$2:$B$518))="YES"), --(UPPER(TRIM($G$2:$G$518)&amp;TRIM($I$2:$I$518)&amp;TRIM($J$2:$J$518))&lt;&gt;UPPER(TRIM($G170)&amp;TRIM($I170)&amp;TRIM($J170))))&gt;0), AND($X170&lt;&gt;"", LOWER(TRIM($X170))&lt;&gt;"n/a", LOWER(TRIM($X170))&lt;&gt;"na", SUMPRODUCT(--(UPPER(TRIM($X$2:$X$518))=UPPER(TRIM($X170))), --(UPPER(TRIM($B$2:$B$518))="YES"), --(UPPER(TRIM($G$2:$G$518)&amp;TRIM($I$2:$I$518)&amp;TRIM($J$2:$J$518))&lt;&gt;UPPER(TRIM($G170)&amp;TRIM($I170)&amp;TRIM($J170))))&gt;0), AND($Y170&lt;&gt;"", LOWER(TRIM($Y170))&lt;&gt;"n/a", LOWER(TRIM($Y170))&lt;&gt;"na", SUMPRODUCT(--(UPPER(SUBSTITUTE(SUBSTITUTE(TRIM($Y$2:$Y$518),":",""),"-",""))=UPPER(SUBSTITUTE(SUBSTITUTE(TRIM($Y170),":",""),"-",""))), --(UPPER(TRIM($B$2:$B$518))="YES"), --(UPPER(TRIM($G$2:$G$518)&amp;TRIM($I$2:$I$518)&amp;TRIM($J$2:$J$518))&lt;&gt;UPPER(TRIM($G170)&amp;TRIM($I170)&amp;TRIM($J170))))&gt;0), AND($AB170&lt;&gt;"", LOWER(TRIM($AB170))&lt;&gt;"n/a", LOWER(TRIM($AB170))&lt;&gt;"na", SUMPRODUCT(--(UPPER(TRIM($AB$2:$AB$518))=UPPER(TRIM($AB170))), --(UPPER(TRIM($B$2:$B$518))="YES"), --(UPPER(TRIM($G$2:$G$518)&amp;TRIM($I$2:$I$518)&amp;TRIM($J$2:$J$518))&lt;&gt;UPPER(TRIM($G170)&amp;TRIM($I170)&amp;TRIM($J170))))&gt;0), AND($AH170&lt;&gt;"", LOWER(TRIM($AH170))&lt;&gt;"n/a", LOWER(TRIM($AH170))&lt;&gt;"na", SUMPRODUCT(--(UPPER(SUBSTITUTE(SUBSTITUTE(TRIM($AH$2:$AH$518),":",""),"-",""))=UPPER(SUBSTITUTE(SUBSTITUTE(TRIM($AH170),":",""),"-",""))), --(UPPER(TRIM($B$2:$B$518))="YES"), --(UPPER(TRIM($G$2:$G$518)&amp;TRIM($I$2:$I$518)&amp;TRIM($J$2:$J$518))&lt;&gt;UPPER(TRIM($G170)&amp;TRIM($I170)&amp;TRIM($J170))))&gt;0), AND($AP170&lt;&gt;"", LOWER(TRIM($AP170))&lt;&gt;"n/a", LOWER(TRIM($AP170))&lt;&gt;"na", SUMPRODUCT(--(UPPER(TRIM($AP$2:$AP$518))=UPPER(TRIM($AP170))), --(UPPER(TRIM($B$2:$B$518))="YES"), --(UPPER(TRIM($G$2:$G$518)&amp;TRIM($I$2:$I$518)&amp;TRIM($J$2:$J$518))&lt;&gt;UPPER(TRIM($G170)&amp;TRIM($I170)&amp;TRIM($J170))))&gt;0), AND($AQ170&lt;&gt;"", LOWER(TRIM($AQ170))&lt;&gt;"n/a", LOWER(TRIM($AQ170))&lt;&gt;"na", SUMPRODUCT(--(UPPER(TRIM($AQ$2:$AQ$518))=UPPER(TRIM($AQ170))), --(UPPER(TRIM($B$2:$B$518))="YES"), --(UPPER(TRIM($G$2:$G$518)&amp;TRIM($I$2:$I$518)&amp;TRIM($J$2:$J$518))&lt;&gt;UPPER(TRIM($G170)&amp;TRIM($I170)&amp;TRIM($J170))))&gt;0)), "Yes", "No"))</f>
        <v/>
      </c>
      <c r="G170" t="inlineStr">
        <is>
          <t>LIJ - OR</t>
        </is>
      </c>
      <c r="H170" t="inlineStr">
        <is>
          <t>LIJ - OR</t>
        </is>
      </c>
      <c r="I170" t="inlineStr">
        <is>
          <t>LIJ ORs</t>
        </is>
      </c>
      <c r="J170" t="inlineStr">
        <is>
          <t>OR 19</t>
        </is>
      </c>
      <c r="K170" t="inlineStr">
        <is>
          <t>n/a</t>
        </is>
      </c>
      <c r="L170" s="18" t="n">
        <v>46074</v>
      </c>
      <c r="M170" t="inlineStr">
        <is>
          <t>OR iPro Cybernet Workstation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Inpatient</t>
        </is>
      </c>
      <c r="S170" t="inlineStr">
        <is>
          <t>Pass</t>
        </is>
      </c>
      <c r="T170" t="inlineStr">
        <is>
          <t>n/a</t>
        </is>
      </c>
      <c r="U170" t="inlineStr">
        <is>
          <t>1427182 LIJ Installation (Project Name) - Tim W. Seeberger, Akbar, Chris Perkins, Epic Team, Anesthesia Techs, and Admins</t>
        </is>
      </c>
      <c r="V170" t="inlineStr">
        <is>
          <t>WNH270OPR436</t>
        </is>
      </c>
      <c r="W170" t="inlineStr">
        <is>
          <t>MEDSG2425E-3219</t>
        </is>
      </c>
      <c r="X170" t="inlineStr">
        <is>
          <t>LIJ-MACH-L</t>
        </is>
      </c>
      <c r="Y170" t="inlineStr">
        <is>
          <t>00187DE0E265</t>
        </is>
      </c>
      <c r="Z170" t="inlineStr">
        <is>
          <t>n/a</t>
        </is>
      </c>
      <c r="AH170" t="inlineStr">
        <is>
          <t>00:0D:05:0A:B6:59</t>
        </is>
      </c>
      <c r="AI170" t="inlineStr">
        <is>
          <t>Anesthesia Machine</t>
        </is>
      </c>
      <c r="AK170" t="n">
        <v>2</v>
      </c>
      <c r="AM170" t="inlineStr">
        <is>
          <t>Drager</t>
        </is>
      </c>
      <c r="AN170" t="inlineStr">
        <is>
          <t>Apollo</t>
        </is>
      </c>
      <c r="AP170" t="inlineStr">
        <is>
          <t>ASBJ-0311</t>
        </is>
      </c>
      <c r="AQ170" t="inlineStr">
        <is>
          <t>ASBJ-0311</t>
        </is>
      </c>
      <c r="AS170" t="inlineStr">
        <is>
          <t>B1-CFW</t>
        </is>
      </c>
      <c r="AX170" t="inlineStr">
        <is>
          <t>MX750 - DE77668939</t>
        </is>
      </c>
      <c r="AY170" t="inlineStr">
        <is>
          <t>Anesthesia Machine</t>
        </is>
      </c>
      <c r="BR170" t="inlineStr">
        <is>
          <t>Yes</t>
        </is>
      </c>
      <c r="BS170" t="inlineStr">
        <is>
          <t>Yes</t>
        </is>
      </c>
      <c r="BT170" t="inlineStr">
        <is>
          <t>Yes</t>
        </is>
      </c>
      <c r="BU170" t="inlineStr">
        <is>
          <t>Yes</t>
        </is>
      </c>
      <c r="CA170" t="inlineStr">
        <is>
          <t>iPro
Epic Satellite
ALLSCRIPTS
EPIC BCA</t>
        </is>
      </c>
      <c r="CD170">
        <f>IF($Y170="","",IF((IF(AND($BR170&lt;&gt;"Yes",$BR170&lt;&gt;"N/A"),"Power Cable, ","")&amp;IF(AND($BS170&lt;&gt;"Yes",$BS170&lt;&gt;"N/A"),"Battery, ","")&amp;IF(AND($AD170&lt;&gt;"Yes",$AD170&lt;&gt;"N/A"),"Firmware Download, ","")&amp;IF(AND(OR($AD170="Yes",$AD170="N/A"),$AE170&lt;&gt;"Yes",$AE170&lt;&gt;"N/A"),"Firmware Install, ","")&amp;IF(AND($CB170&lt;&gt;"Yes",$CB170&lt;&gt;"N/A"),"Device ID, ","")&amp;IF(AND($CC170&lt;&gt;"Yes",$CC170&lt;&gt;"N/A"),"Epic Beans Relay, ",""))="","",LEFT(IF(AND($BR170&lt;&gt;"Yes",$BR170&lt;&gt;"N/A"),"Power Cable, ","")&amp;IF(AND($BS170&lt;&gt;"Yes",$BS170&lt;&gt;"N/A"),"Battery, ","")&amp;IF(AND($AD170&lt;&gt;"Yes",$AD170&lt;&gt;"N/A"),"Firmware Download, ","")&amp;IF(AND(OR($AD170="Yes",$AD170="N/A"),$AE170&lt;&gt;"Yes",$AE170&lt;&gt;"N/A"),"Firmware Install, ","")&amp;IF(AND($CB170&lt;&gt;"Yes",$CB170&lt;&gt;"N/A"),"Device ID, ","")&amp;IF(AND($CC170&lt;&gt;"Yes",$CC170&lt;&gt;"N/A"),"Epic Beans Relay, ",""),LEN(IF(AND($BR170&lt;&gt;"Yes",$BR170&lt;&gt;"N/A"),"Power Cable, ","")&amp;IF(AND($BS170&lt;&gt;"Yes",$BS170&lt;&gt;"N/A"),"Battery, ","")&amp;IF(AND($AD170&lt;&gt;"Yes",$AD170&lt;&gt;"N/A"),"Firmware Download, ","")&amp;IF(AND(OR($AD170="Yes",$AD170="N/A"),$AE170&lt;&gt;"Yes",$AE170&lt;&gt;"N/A"),"Firmware Install, ","")&amp;IF(AND($CB170&lt;&gt;"Yes",$CB170&lt;&gt;"N/A"),"Device ID, ","")&amp;IF(AND($CC170&lt;&gt;"Yes",$CC170&lt;&gt;"N/A"),"Epic Beans Relay, ",""))-2)))</f>
        <v/>
      </c>
      <c r="CE170">
        <f>IF($Y170="","",IF($CD170="","Yes","Blocked"))</f>
        <v/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n">
        <v>19200</v>
      </c>
      <c r="CP170">
        <f>IF($CO170="","",IFERROR(VLOOKUP($CO170,'01_Warehouse_Ledger'!$A:$N,4,FALSE),""))</f>
        <v/>
      </c>
      <c r="CQ170">
        <f>IF($CO170="","",IFERROR(VLOOKUP($CO170,'01_Warehouse_Ledger'!$A:$N,5,FALSE),""))</f>
        <v/>
      </c>
      <c r="CR170">
        <f>IF($CO170="","",IFERROR(VLOOKUP($CO170,'01_Warehouse_Ledger'!$A:$N,13,FALSE),""))</f>
        <v/>
      </c>
      <c r="CW170">
        <f>IF($S170="","",IF(UPPER(TRIM($S170))&lt;&gt;"PASS","",IF(LEN(TRIM($BY170))&gt;0,"NOTES_PRESENT",IF(LEN(TRIM($T170))=0,"SET_NA",IF(OR(LOWER(TRIM($T170))="na",LOWER(TRIM($T170))="n/a"),"OK","MANUAL_OVERRIDE")))))</f>
        <v/>
      </c>
    </row>
    <row r="171">
      <c r="A171" t="inlineStr">
        <is>
          <t>Cybernet</t>
        </is>
      </c>
      <c r="B171" s="5" t="inlineStr">
        <is>
          <t>Yes</t>
        </is>
      </c>
      <c r="C171" t="inlineStr">
        <is>
          <t>Yes</t>
        </is>
      </c>
      <c r="D171">
        <f>IF($B171&lt;&gt;"Yes","",IF($C171="No","Yes",IF($C171="Yes","No","")))</f>
        <v/>
      </c>
      <c r="E171">
        <f>IF($A171="","",IF(OR(AND($V171&lt;&gt;"",LOWER(TRIM($V171))&lt;&gt;"n/a",LOWER(TRIM($V171))&lt;&gt;"na",SUMPRODUCT(--(UPPER(TRIM($V$2:$V$518))=UPPER(TRIM($V171))),--(TRIM($V$2:$V$518)&lt;&gt;""),--(LOWER(TRIM($V$2:$V$518))&lt;&gt;"n/a"),--(LOWER(TRIM($V$2:$V$518))&lt;&gt;"na"))&gt;1),AND($W171&lt;&gt;"",LOWER(TRIM($W171))&lt;&gt;"n/a",LOWER(TRIM($W171))&lt;&gt;"na",SUMPRODUCT(--(UPPER(TRIM($W$2:$W$518))=UPPER(TRIM($W171))),--(TRIM($W$2:$W$518)&lt;&gt;""),--(LOWER(TRIM($W$2:$W$518))&lt;&gt;"n/a"),--(LOWER(TRIM($W$2:$W$518))&lt;&gt;"na"))&gt;1),AND($X171&lt;&gt;"",LOWER(TRIM($X171))&lt;&gt;"n/a",LOWER(TRIM($X171))&lt;&gt;"na",SUMPRODUCT(--(UPPER(TRIM($X$2:$X$518))=UPPER(TRIM($X171))),--(TRIM($X$2:$X$518)&lt;&gt;""),--(LOWER(TRIM($X$2:$X$518))&lt;&gt;"n/a"),--(LOWER(TRIM($X$2:$X$518))&lt;&gt;"na"))&gt;1),AND($Y171&lt;&gt;"",LOWER(TRIM($Y171))&lt;&gt;"n/a",LOWER(TRIM($Y171))&lt;&gt;"na",SUMPRODUCT(--(UPPER(SUBSTITUTE(SUBSTITUTE(TRIM($Y$2:$Y$518),":",""),"-",""))=UPPER(SUBSTITUTE(SUBSTITUTE(TRIM($Y171),":",""),"-",""))),--(TRIM($Y$2:$Y$518)&lt;&gt;""),--(LOWER(TRIM($Y$2:$Y$518))&lt;&gt;"n/a"),--(LOWER(TRIM($Y$2:$Y$518))&lt;&gt;"na"))&gt;1),AND($AB171&lt;&gt;"",LOWER(TRIM($AB171))&lt;&gt;"n/a",LOWER(TRIM($AB171))&lt;&gt;"na",SUMPRODUCT(--(UPPER(TRIM($AB$2:$AB$518))=UPPER(TRIM($AB171))),--(TRIM($AB$2:$AB$518)&lt;&gt;""),--(LOWER(TRIM($AB$2:$AB$518))&lt;&gt;"n/a"),--(LOWER(TRIM($AB$2:$AB$518))&lt;&gt;"na"))&gt;1),AND($AH171&lt;&gt;"",LOWER(TRIM($AH171))&lt;&gt;"n/a",LOWER(TRIM($AH171))&lt;&gt;"na",SUMPRODUCT(--(UPPER(SUBSTITUTE(SUBSTITUTE(TRIM($AH$2:$AH$518),":",""),"-",""))=UPPER(SUBSTITUTE(SUBSTITUTE(TRIM($AH171),":",""),"-",""))),--(TRIM($AH$2:$AH$518)&lt;&gt;""),--(LOWER(TRIM($AH$2:$AH$518))&lt;&gt;"n/a"),--(LOWER(TRIM($AH$2:$AH$518))&lt;&gt;"na"))&gt;1),AND($AP171&lt;&gt;"",LOWER(TRIM($AP171))&lt;&gt;"n/a",LOWER(TRIM($AP171))&lt;&gt;"na",SUMPRODUCT(--(UPPER(TRIM($AP$2:$AP$518))=UPPER(TRIM($AP171))),--(TRIM($AP$2:$AP$518)&lt;&gt;""),--(LOWER(TRIM($AP$2:$AP$518))&lt;&gt;"n/a"),--(LOWER(TRIM($AP$2:$AP$518))&lt;&gt;"na"))&gt;1),AND($AQ171&lt;&gt;"",LOWER(TRIM($AQ171))&lt;&gt;"n/a",LOWER(TRIM($AQ171))&lt;&gt;"na",SUMPRODUCT(--(UPPER(TRIM($AQ$2:$AQ$518))=UPPER(TRIM($AQ171))),--(TRIM($AQ$2:$AQ$518)&lt;&gt;""),--(LOWER(TRIM($AQ$2:$AQ$518))&lt;&gt;"n/a"),--(LOWER(TRIM($AQ$2:$AQ$518))&lt;&gt;"na"))&gt;1)),"Yes","No"))</f>
        <v/>
      </c>
      <c r="F171">
        <f>IF(UPPER(TRIM($B171))&lt;&gt;"YES","", IF(OR(AND($V171&lt;&gt;"", LOWER(TRIM($V171))&lt;&gt;"n/a", LOWER(TRIM($V171))&lt;&gt;"na", SUMPRODUCT(--(UPPER(TRIM($V$2:$V$518))=UPPER(TRIM($V171))), --(UPPER(TRIM($B$2:$B$518))="YES"), --(UPPER(TRIM($G$2:$G$518)&amp;TRIM($I$2:$I$518)&amp;TRIM($J$2:$J$518))&lt;&gt;UPPER(TRIM($G171)&amp;TRIM($I171)&amp;TRIM($J171))))&gt;0), AND($W171&lt;&gt;"", LOWER(TRIM($W171))&lt;&gt;"n/a", LOWER(TRIM($W171))&lt;&gt;"na", SUMPRODUCT(--(UPPER(TRIM($W$2:$W$518))=UPPER(TRIM($W171))), --(UPPER(TRIM($B$2:$B$518))="YES"), --(UPPER(TRIM($G$2:$G$518)&amp;TRIM($I$2:$I$518)&amp;TRIM($J$2:$J$518))&lt;&gt;UPPER(TRIM($G171)&amp;TRIM($I171)&amp;TRIM($J171))))&gt;0), AND($X171&lt;&gt;"", LOWER(TRIM($X171))&lt;&gt;"n/a", LOWER(TRIM($X171))&lt;&gt;"na", SUMPRODUCT(--(UPPER(TRIM($X$2:$X$518))=UPPER(TRIM($X171))), --(UPPER(TRIM($B$2:$B$518))="YES"), --(UPPER(TRIM($G$2:$G$518)&amp;TRIM($I$2:$I$518)&amp;TRIM($J$2:$J$518))&lt;&gt;UPPER(TRIM($G171)&amp;TRIM($I171)&amp;TRIM($J171))))&gt;0), AND($Y171&lt;&gt;"", LOWER(TRIM($Y171))&lt;&gt;"n/a", LOWER(TRIM($Y171))&lt;&gt;"na", SUMPRODUCT(--(UPPER(SUBSTITUTE(SUBSTITUTE(TRIM($Y$2:$Y$518),":",""),"-",""))=UPPER(SUBSTITUTE(SUBSTITUTE(TRIM($Y171),":",""),"-",""))), --(UPPER(TRIM($B$2:$B$518))="YES"), --(UPPER(TRIM($G$2:$G$518)&amp;TRIM($I$2:$I$518)&amp;TRIM($J$2:$J$518))&lt;&gt;UPPER(TRIM($G171)&amp;TRIM($I171)&amp;TRIM($J171))))&gt;0), AND($AB171&lt;&gt;"", LOWER(TRIM($AB171))&lt;&gt;"n/a", LOWER(TRIM($AB171))&lt;&gt;"na", SUMPRODUCT(--(UPPER(TRIM($AB$2:$AB$518))=UPPER(TRIM($AB171))), --(UPPER(TRIM($B$2:$B$518))="YES"), --(UPPER(TRIM($G$2:$G$518)&amp;TRIM($I$2:$I$518)&amp;TRIM($J$2:$J$518))&lt;&gt;UPPER(TRIM($G171)&amp;TRIM($I171)&amp;TRIM($J171))))&gt;0), AND($AH171&lt;&gt;"", LOWER(TRIM($AH171))&lt;&gt;"n/a", LOWER(TRIM($AH171))&lt;&gt;"na", SUMPRODUCT(--(UPPER(SUBSTITUTE(SUBSTITUTE(TRIM($AH$2:$AH$518),":",""),"-",""))=UPPER(SUBSTITUTE(SUBSTITUTE(TRIM($AH171),":",""),"-",""))), --(UPPER(TRIM($B$2:$B$518))="YES"), --(UPPER(TRIM($G$2:$G$518)&amp;TRIM($I$2:$I$518)&amp;TRIM($J$2:$J$518))&lt;&gt;UPPER(TRIM($G171)&amp;TRIM($I171)&amp;TRIM($J171))))&gt;0), AND($AP171&lt;&gt;"", LOWER(TRIM($AP171))&lt;&gt;"n/a", LOWER(TRIM($AP171))&lt;&gt;"na", SUMPRODUCT(--(UPPER(TRIM($AP$2:$AP$518))=UPPER(TRIM($AP171))), --(UPPER(TRIM($B$2:$B$518))="YES"), --(UPPER(TRIM($G$2:$G$518)&amp;TRIM($I$2:$I$518)&amp;TRIM($J$2:$J$518))&lt;&gt;UPPER(TRIM($G171)&amp;TRIM($I171)&amp;TRIM($J171))))&gt;0), AND($AQ171&lt;&gt;"", LOWER(TRIM($AQ171))&lt;&gt;"n/a", LOWER(TRIM($AQ171))&lt;&gt;"na", SUMPRODUCT(--(UPPER(TRIM($AQ$2:$AQ$518))=UPPER(TRIM($AQ171))), --(UPPER(TRIM($B$2:$B$518))="YES"), --(UPPER(TRIM($G$2:$G$518)&amp;TRIM($I$2:$I$518)&amp;TRIM($J$2:$J$518))&lt;&gt;UPPER(TRIM($G171)&amp;TRIM($I171)&amp;TRIM($J171))))&gt;0)), "Yes", "No"))</f>
        <v/>
      </c>
      <c r="G171" t="inlineStr">
        <is>
          <t>LIJ - OR</t>
        </is>
      </c>
      <c r="H171" t="inlineStr">
        <is>
          <t>LIJ - OR</t>
        </is>
      </c>
      <c r="I171" t="inlineStr">
        <is>
          <t>LIJ ORs</t>
        </is>
      </c>
      <c r="J171" t="inlineStr">
        <is>
          <t>OR 15</t>
        </is>
      </c>
      <c r="K171" t="inlineStr">
        <is>
          <t>n/a</t>
        </is>
      </c>
      <c r="L171" s="18" t="n">
        <v>46074</v>
      </c>
      <c r="M171" t="inlineStr">
        <is>
          <t>OR iPro Cybernet Workstation</t>
        </is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Q171" t="inlineStr">
        <is>
          <t>Inpatient</t>
        </is>
      </c>
      <c r="S171" t="inlineStr">
        <is>
          <t>Pass</t>
        </is>
      </c>
      <c r="T171" t="inlineStr">
        <is>
          <t>n/a</t>
        </is>
      </c>
      <c r="U171" t="inlineStr">
        <is>
          <t>1427182 LIJ Installation (Project Name) - Tim W. Seeberger, Akbar, Chris Perkins, Epic Team, Anesthesia Techs, and Admins</t>
        </is>
      </c>
      <c r="V171" t="inlineStr">
        <is>
          <t>WNH270OPR437</t>
        </is>
      </c>
      <c r="W171" t="inlineStr">
        <is>
          <t>MEDSG2425E-3209</t>
        </is>
      </c>
      <c r="X171" t="inlineStr">
        <is>
          <t>LIJ-MACH-A</t>
        </is>
      </c>
      <c r="Y171" t="inlineStr">
        <is>
          <t>0018DE0ADF7</t>
        </is>
      </c>
      <c r="Z171" t="inlineStr">
        <is>
          <t>n/a</t>
        </is>
      </c>
      <c r="AH171" t="inlineStr">
        <is>
          <t>00:0D:05:0A:B4:81</t>
        </is>
      </c>
      <c r="AI171" t="inlineStr">
        <is>
          <t>Anesthesia Machine</t>
        </is>
      </c>
      <c r="AK171" t="n">
        <v>2</v>
      </c>
      <c r="AM171" t="inlineStr">
        <is>
          <t>Drager</t>
        </is>
      </c>
      <c r="AN171" t="inlineStr">
        <is>
          <t>Apollo</t>
        </is>
      </c>
      <c r="AP171" t="inlineStr">
        <is>
          <t>ARXM-0293</t>
        </is>
      </c>
      <c r="AQ171" t="inlineStr">
        <is>
          <t>ARXM-0293</t>
        </is>
      </c>
      <c r="AS171" t="inlineStr">
        <is>
          <t>B1-CFW</t>
        </is>
      </c>
      <c r="AX171" t="inlineStr">
        <is>
          <t>MX750 - DE77669069</t>
        </is>
      </c>
      <c r="AY171" t="inlineStr">
        <is>
          <t>Anesthesia Machine</t>
        </is>
      </c>
      <c r="BR171" t="inlineStr">
        <is>
          <t>Yes</t>
        </is>
      </c>
      <c r="BS171" t="inlineStr">
        <is>
          <t>Yes</t>
        </is>
      </c>
      <c r="BT171" t="inlineStr">
        <is>
          <t>Yes</t>
        </is>
      </c>
      <c r="BU171" t="inlineStr">
        <is>
          <t>Yes</t>
        </is>
      </c>
      <c r="CA171" t="inlineStr">
        <is>
          <t>iPro
Epic Satellite
ALLSCRIPTS
EPIC BCA</t>
        </is>
      </c>
      <c r="CD171">
        <f>IF($Y171="","",IF((IF(AND($BR171&lt;&gt;"Yes",$BR171&lt;&gt;"N/A"),"Power Cable, ","")&amp;IF(AND($BS171&lt;&gt;"Yes",$BS171&lt;&gt;"N/A"),"Battery, ","")&amp;IF(AND($AD171&lt;&gt;"Yes",$AD171&lt;&gt;"N/A"),"Firmware Download, ","")&amp;IF(AND(OR($AD171="Yes",$AD171="N/A"),$AE171&lt;&gt;"Yes",$AE171&lt;&gt;"N/A"),"Firmware Install, ","")&amp;IF(AND($CB171&lt;&gt;"Yes",$CB171&lt;&gt;"N/A"),"Device ID, ","")&amp;IF(AND($CC171&lt;&gt;"Yes",$CC171&lt;&gt;"N/A"),"Epic Beans Relay, ",""))="","",LEFT(IF(AND($BR171&lt;&gt;"Yes",$BR171&lt;&gt;"N/A"),"Power Cable, ","")&amp;IF(AND($BS171&lt;&gt;"Yes",$BS171&lt;&gt;"N/A"),"Battery, ","")&amp;IF(AND($AD171&lt;&gt;"Yes",$AD171&lt;&gt;"N/A"),"Firmware Download, ","")&amp;IF(AND(OR($AD171="Yes",$AD171="N/A"),$AE171&lt;&gt;"Yes",$AE171&lt;&gt;"N/A"),"Firmware Install, ","")&amp;IF(AND($CB171&lt;&gt;"Yes",$CB171&lt;&gt;"N/A"),"Device ID, ","")&amp;IF(AND($CC171&lt;&gt;"Yes",$CC171&lt;&gt;"N/A"),"Epic Beans Relay, ",""),LEN(IF(AND($BR171&lt;&gt;"Yes",$BR171&lt;&gt;"N/A"),"Power Cable, ","")&amp;IF(AND($BS171&lt;&gt;"Yes",$BS171&lt;&gt;"N/A"),"Battery, ","")&amp;IF(AND($AD171&lt;&gt;"Yes",$AD171&lt;&gt;"N/A"),"Firmware Download, ","")&amp;IF(AND(OR($AD171="Yes",$AD171="N/A"),$AE171&lt;&gt;"Yes",$AE171&lt;&gt;"N/A"),"Firmware Install, ","")&amp;IF(AND($CB171&lt;&gt;"Yes",$CB171&lt;&gt;"N/A"),"Device ID, ","")&amp;IF(AND($CC171&lt;&gt;"Yes",$CC171&lt;&gt;"N/A"),"Epic Beans Relay, ",""))-2)))</f>
        <v/>
      </c>
      <c r="CE171">
        <f>IF($Y171="","",IF($CD171="","Yes","Blocked"))</f>
        <v/>
      </c>
      <c r="CF171" t="inlineStr">
        <is>
          <t>Yes</t>
        </is>
      </c>
      <c r="CG171" t="inlineStr">
        <is>
          <t>Yes</t>
        </is>
      </c>
      <c r="CH171" t="inlineStr">
        <is>
          <t>Yes</t>
        </is>
      </c>
      <c r="CI171" t="inlineStr">
        <is>
          <t>Yes</t>
        </is>
      </c>
      <c r="CJ171" t="inlineStr">
        <is>
          <t>Yes</t>
        </is>
      </c>
      <c r="CK171" t="n">
        <v>19200</v>
      </c>
      <c r="CP171">
        <f>IF($CO171="","",IFERROR(VLOOKUP($CO171,'01_Warehouse_Ledger'!$A:$N,4,FALSE),""))</f>
        <v/>
      </c>
      <c r="CQ171">
        <f>IF($CO171="","",IFERROR(VLOOKUP($CO171,'01_Warehouse_Ledger'!$A:$N,5,FALSE),""))</f>
        <v/>
      </c>
      <c r="CR171">
        <f>IF($CO171="","",IFERROR(VLOOKUP($CO171,'01_Warehouse_Ledger'!$A:$N,13,FALSE),""))</f>
        <v/>
      </c>
      <c r="CW171">
        <f>IF($S171="","",IF(UPPER(TRIM($S171))&lt;&gt;"PASS","",IF(LEN(TRIM($BY171))&gt;0,"NOTES_PRESENT",IF(LEN(TRIM($T171))=0,"SET_NA",IF(OR(LOWER(TRIM($T171))="na",LOWER(TRIM($T171))="n/a"),"OK","MANUAL_OVERRIDE")))))</f>
        <v/>
      </c>
    </row>
    <row r="172">
      <c r="A172" t="inlineStr">
        <is>
          <t>Cybernet</t>
        </is>
      </c>
      <c r="B172" s="5" t="inlineStr">
        <is>
          <t>Yes</t>
        </is>
      </c>
      <c r="C172" t="inlineStr">
        <is>
          <t>Yes</t>
        </is>
      </c>
      <c r="D172">
        <f>IF($B172&lt;&gt;"Yes","",IF($C172="No","Yes",IF($C172="Yes","No","")))</f>
        <v/>
      </c>
      <c r="E172">
        <f>IF($A172="","",IF(OR(AND($V172&lt;&gt;"",LOWER(TRIM($V172))&lt;&gt;"n/a",LOWER(TRIM($V172))&lt;&gt;"na",SUMPRODUCT(--(UPPER(TRIM($V$2:$V$518))=UPPER(TRIM($V172))),--(TRIM($V$2:$V$518)&lt;&gt;""),--(LOWER(TRIM($V$2:$V$518))&lt;&gt;"n/a"),--(LOWER(TRIM($V$2:$V$518))&lt;&gt;"na"))&gt;1),AND($W172&lt;&gt;"",LOWER(TRIM($W172))&lt;&gt;"n/a",LOWER(TRIM($W172))&lt;&gt;"na",SUMPRODUCT(--(UPPER(TRIM($W$2:$W$518))=UPPER(TRIM($W172))),--(TRIM($W$2:$W$518)&lt;&gt;""),--(LOWER(TRIM($W$2:$W$518))&lt;&gt;"n/a"),--(LOWER(TRIM($W$2:$W$518))&lt;&gt;"na"))&gt;1),AND($X172&lt;&gt;"",LOWER(TRIM($X172))&lt;&gt;"n/a",LOWER(TRIM($X172))&lt;&gt;"na",SUMPRODUCT(--(UPPER(TRIM($X$2:$X$518))=UPPER(TRIM($X172))),--(TRIM($X$2:$X$518)&lt;&gt;""),--(LOWER(TRIM($X$2:$X$518))&lt;&gt;"n/a"),--(LOWER(TRIM($X$2:$X$518))&lt;&gt;"na"))&gt;1),AND($Y172&lt;&gt;"",LOWER(TRIM($Y172))&lt;&gt;"n/a",LOWER(TRIM($Y172))&lt;&gt;"na",SUMPRODUCT(--(UPPER(SUBSTITUTE(SUBSTITUTE(TRIM($Y$2:$Y$518),":",""),"-",""))=UPPER(SUBSTITUTE(SUBSTITUTE(TRIM($Y172),":",""),"-",""))),--(TRIM($Y$2:$Y$518)&lt;&gt;""),--(LOWER(TRIM($Y$2:$Y$518))&lt;&gt;"n/a"),--(LOWER(TRIM($Y$2:$Y$518))&lt;&gt;"na"))&gt;1),AND($AB172&lt;&gt;"",LOWER(TRIM($AB172))&lt;&gt;"n/a",LOWER(TRIM($AB172))&lt;&gt;"na",SUMPRODUCT(--(UPPER(TRIM($AB$2:$AB$518))=UPPER(TRIM($AB172))),--(TRIM($AB$2:$AB$518)&lt;&gt;""),--(LOWER(TRIM($AB$2:$AB$518))&lt;&gt;"n/a"),--(LOWER(TRIM($AB$2:$AB$518))&lt;&gt;"na"))&gt;1),AND($AH172&lt;&gt;"",LOWER(TRIM($AH172))&lt;&gt;"n/a",LOWER(TRIM($AH172))&lt;&gt;"na",SUMPRODUCT(--(UPPER(SUBSTITUTE(SUBSTITUTE(TRIM($AH$2:$AH$518),":",""),"-",""))=UPPER(SUBSTITUTE(SUBSTITUTE(TRIM($AH172),":",""),"-",""))),--(TRIM($AH$2:$AH$518)&lt;&gt;""),--(LOWER(TRIM($AH$2:$AH$518))&lt;&gt;"n/a"),--(LOWER(TRIM($AH$2:$AH$518))&lt;&gt;"na"))&gt;1),AND($AP172&lt;&gt;"",LOWER(TRIM($AP172))&lt;&gt;"n/a",LOWER(TRIM($AP172))&lt;&gt;"na",SUMPRODUCT(--(UPPER(TRIM($AP$2:$AP$518))=UPPER(TRIM($AP172))),--(TRIM($AP$2:$AP$518)&lt;&gt;""),--(LOWER(TRIM($AP$2:$AP$518))&lt;&gt;"n/a"),--(LOWER(TRIM($AP$2:$AP$518))&lt;&gt;"na"))&gt;1),AND($AQ172&lt;&gt;"",LOWER(TRIM($AQ172))&lt;&gt;"n/a",LOWER(TRIM($AQ172))&lt;&gt;"na",SUMPRODUCT(--(UPPER(TRIM($AQ$2:$AQ$518))=UPPER(TRIM($AQ172))),--(TRIM($AQ$2:$AQ$518)&lt;&gt;""),--(LOWER(TRIM($AQ$2:$AQ$518))&lt;&gt;"n/a"),--(LOWER(TRIM($AQ$2:$AQ$518))&lt;&gt;"na"))&gt;1)),"Yes","No"))</f>
        <v/>
      </c>
      <c r="F172">
        <f>IF(UPPER(TRIM($B172))&lt;&gt;"YES","", IF(OR(AND($V172&lt;&gt;"", LOWER(TRIM($V172))&lt;&gt;"n/a", LOWER(TRIM($V172))&lt;&gt;"na", SUMPRODUCT(--(UPPER(TRIM($V$2:$V$518))=UPPER(TRIM($V172))), --(UPPER(TRIM($B$2:$B$518))="YES"), --(UPPER(TRIM($G$2:$G$518)&amp;TRIM($I$2:$I$518)&amp;TRIM($J$2:$J$518))&lt;&gt;UPPER(TRIM($G172)&amp;TRIM($I172)&amp;TRIM($J172))))&gt;0), AND($W172&lt;&gt;"", LOWER(TRIM($W172))&lt;&gt;"n/a", LOWER(TRIM($W172))&lt;&gt;"na", SUMPRODUCT(--(UPPER(TRIM($W$2:$W$518))=UPPER(TRIM($W172))), --(UPPER(TRIM($B$2:$B$518))="YES"), --(UPPER(TRIM($G$2:$G$518)&amp;TRIM($I$2:$I$518)&amp;TRIM($J$2:$J$518))&lt;&gt;UPPER(TRIM($G172)&amp;TRIM($I172)&amp;TRIM($J172))))&gt;0), AND($X172&lt;&gt;"", LOWER(TRIM($X172))&lt;&gt;"n/a", LOWER(TRIM($X172))&lt;&gt;"na", SUMPRODUCT(--(UPPER(TRIM($X$2:$X$518))=UPPER(TRIM($X172))), --(UPPER(TRIM($B$2:$B$518))="YES"), --(UPPER(TRIM($G$2:$G$518)&amp;TRIM($I$2:$I$518)&amp;TRIM($J$2:$J$518))&lt;&gt;UPPER(TRIM($G172)&amp;TRIM($I172)&amp;TRIM($J172))))&gt;0), AND($Y172&lt;&gt;"", LOWER(TRIM($Y172))&lt;&gt;"n/a", LOWER(TRIM($Y172))&lt;&gt;"na", SUMPRODUCT(--(UPPER(SUBSTITUTE(SUBSTITUTE(TRIM($Y$2:$Y$518),":",""),"-",""))=UPPER(SUBSTITUTE(SUBSTITUTE(TRIM($Y172),":",""),"-",""))), --(UPPER(TRIM($B$2:$B$518))="YES"), --(UPPER(TRIM($G$2:$G$518)&amp;TRIM($I$2:$I$518)&amp;TRIM($J$2:$J$518))&lt;&gt;UPPER(TRIM($G172)&amp;TRIM($I172)&amp;TRIM($J172))))&gt;0), AND($AB172&lt;&gt;"", LOWER(TRIM($AB172))&lt;&gt;"n/a", LOWER(TRIM($AB172))&lt;&gt;"na", SUMPRODUCT(--(UPPER(TRIM($AB$2:$AB$518))=UPPER(TRIM($AB172))), --(UPPER(TRIM($B$2:$B$518))="YES"), --(UPPER(TRIM($G$2:$G$518)&amp;TRIM($I$2:$I$518)&amp;TRIM($J$2:$J$518))&lt;&gt;UPPER(TRIM($G172)&amp;TRIM($I172)&amp;TRIM($J172))))&gt;0), AND($AH172&lt;&gt;"", LOWER(TRIM($AH172))&lt;&gt;"n/a", LOWER(TRIM($AH172))&lt;&gt;"na", SUMPRODUCT(--(UPPER(SUBSTITUTE(SUBSTITUTE(TRIM($AH$2:$AH$518),":",""),"-",""))=UPPER(SUBSTITUTE(SUBSTITUTE(TRIM($AH172),":",""),"-",""))), --(UPPER(TRIM($B$2:$B$518))="YES"), --(UPPER(TRIM($G$2:$G$518)&amp;TRIM($I$2:$I$518)&amp;TRIM($J$2:$J$518))&lt;&gt;UPPER(TRIM($G172)&amp;TRIM($I172)&amp;TRIM($J172))))&gt;0), AND($AP172&lt;&gt;"", LOWER(TRIM($AP172))&lt;&gt;"n/a", LOWER(TRIM($AP172))&lt;&gt;"na", SUMPRODUCT(--(UPPER(TRIM($AP$2:$AP$518))=UPPER(TRIM($AP172))), --(UPPER(TRIM($B$2:$B$518))="YES"), --(UPPER(TRIM($G$2:$G$518)&amp;TRIM($I$2:$I$518)&amp;TRIM($J$2:$J$518))&lt;&gt;UPPER(TRIM($G172)&amp;TRIM($I172)&amp;TRIM($J172))))&gt;0), AND($AQ172&lt;&gt;"", LOWER(TRIM($AQ172))&lt;&gt;"n/a", LOWER(TRIM($AQ172))&lt;&gt;"na", SUMPRODUCT(--(UPPER(TRIM($AQ$2:$AQ$518))=UPPER(TRIM($AQ172))), --(UPPER(TRIM($B$2:$B$518))="YES"), --(UPPER(TRIM($G$2:$G$518)&amp;TRIM($I$2:$I$518)&amp;TRIM($J$2:$J$518))&lt;&gt;UPPER(TRIM($G172)&amp;TRIM($I172)&amp;TRIM($J172))))&gt;0)), "Yes", "No"))</f>
        <v/>
      </c>
      <c r="G172" t="inlineStr">
        <is>
          <t>LIJ - OR</t>
        </is>
      </c>
      <c r="H172" t="inlineStr">
        <is>
          <t>LIJ - OR</t>
        </is>
      </c>
      <c r="I172" t="inlineStr">
        <is>
          <t>LIJ ORs</t>
        </is>
      </c>
      <c r="J172" t="inlineStr">
        <is>
          <t>OR 12</t>
        </is>
      </c>
      <c r="K172" t="inlineStr">
        <is>
          <t>n/a</t>
        </is>
      </c>
      <c r="L172" s="18" t="n">
        <v>46074</v>
      </c>
      <c r="M172" t="inlineStr">
        <is>
          <t>OR iPro Cybernet Workstation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Inpatient</t>
        </is>
      </c>
      <c r="S172" t="inlineStr">
        <is>
          <t>Pass</t>
        </is>
      </c>
      <c r="T172" t="inlineStr">
        <is>
          <t>n/a</t>
        </is>
      </c>
      <c r="U172" t="inlineStr">
        <is>
          <t>1427182 LIJ Installation (Project Name) - Tim W. Seeberger, Akbar, Chris Perkins, Epic Team, Anesthesia Techs, and Admins</t>
        </is>
      </c>
      <c r="V172" t="inlineStr">
        <is>
          <t>WNH270OPR438</t>
        </is>
      </c>
      <c r="W172" t="inlineStr">
        <is>
          <t>MEDSG2425E-3050</t>
        </is>
      </c>
      <c r="X172" t="inlineStr">
        <is>
          <t>LIJ-MACH-E</t>
        </is>
      </c>
      <c r="Y172" t="inlineStr">
        <is>
          <t>00187DE0E27F</t>
        </is>
      </c>
      <c r="Z172" t="inlineStr">
        <is>
          <t>n/a</t>
        </is>
      </c>
      <c r="AH172" t="inlineStr">
        <is>
          <t>00:0D:05:0A:B2:4D</t>
        </is>
      </c>
      <c r="AI172" t="inlineStr">
        <is>
          <t>Anesthesia Machine</t>
        </is>
      </c>
      <c r="AK172" t="n">
        <v>2</v>
      </c>
      <c r="AM172" t="inlineStr">
        <is>
          <t>Drager</t>
        </is>
      </c>
      <c r="AN172" t="inlineStr">
        <is>
          <t>Apollo</t>
        </is>
      </c>
      <c r="AP172" t="inlineStr">
        <is>
          <t>ARXM-0366</t>
        </is>
      </c>
      <c r="AQ172" t="inlineStr">
        <is>
          <t>ARXM-0366</t>
        </is>
      </c>
      <c r="AS172" t="inlineStr">
        <is>
          <t>B1-CFW</t>
        </is>
      </c>
      <c r="AX172" t="inlineStr">
        <is>
          <t>NX750 - DE77668952</t>
        </is>
      </c>
      <c r="AY172" t="inlineStr">
        <is>
          <t>Anesthesia Machine</t>
        </is>
      </c>
      <c r="BR172" t="inlineStr">
        <is>
          <t>Yes</t>
        </is>
      </c>
      <c r="BS172" t="inlineStr">
        <is>
          <t>Yes</t>
        </is>
      </c>
      <c r="BT172" t="inlineStr">
        <is>
          <t>Yes</t>
        </is>
      </c>
      <c r="BU172" t="inlineStr">
        <is>
          <t>Yes</t>
        </is>
      </c>
      <c r="CA172" t="inlineStr">
        <is>
          <t>iPro
Epic Satellite
ALLSCRIPTS
EPIC BCA</t>
        </is>
      </c>
      <c r="CD172">
        <f>IF($Y172="","",IF((IF(AND($BR172&lt;&gt;"Yes",$BR172&lt;&gt;"N/A"),"Power Cable, ","")&amp;IF(AND($BS172&lt;&gt;"Yes",$BS172&lt;&gt;"N/A"),"Battery, ","")&amp;IF(AND($AD172&lt;&gt;"Yes",$AD172&lt;&gt;"N/A"),"Firmware Download, ","")&amp;IF(AND(OR($AD172="Yes",$AD172="N/A"),$AE172&lt;&gt;"Yes",$AE172&lt;&gt;"N/A"),"Firmware Install, ","")&amp;IF(AND($CB172&lt;&gt;"Yes",$CB172&lt;&gt;"N/A"),"Device ID, ","")&amp;IF(AND($CC172&lt;&gt;"Yes",$CC172&lt;&gt;"N/A"),"Epic Beans Relay, ",""))="","",LEFT(IF(AND($BR172&lt;&gt;"Yes",$BR172&lt;&gt;"N/A"),"Power Cable, ","")&amp;IF(AND($BS172&lt;&gt;"Yes",$BS172&lt;&gt;"N/A"),"Battery, ","")&amp;IF(AND($AD172&lt;&gt;"Yes",$AD172&lt;&gt;"N/A"),"Firmware Download, ","")&amp;IF(AND(OR($AD172="Yes",$AD172="N/A"),$AE172&lt;&gt;"Yes",$AE172&lt;&gt;"N/A"),"Firmware Install, ","")&amp;IF(AND($CB172&lt;&gt;"Yes",$CB172&lt;&gt;"N/A"),"Device ID, ","")&amp;IF(AND($CC172&lt;&gt;"Yes",$CC172&lt;&gt;"N/A"),"Epic Beans Relay, ",""),LEN(IF(AND($BR172&lt;&gt;"Yes",$BR172&lt;&gt;"N/A"),"Power Cable, ","")&amp;IF(AND($BS172&lt;&gt;"Yes",$BS172&lt;&gt;"N/A"),"Battery, ","")&amp;IF(AND($AD172&lt;&gt;"Yes",$AD172&lt;&gt;"N/A"),"Firmware Download, ","")&amp;IF(AND(OR($AD172="Yes",$AD172="N/A"),$AE172&lt;&gt;"Yes",$AE172&lt;&gt;"N/A"),"Firmware Install, ","")&amp;IF(AND($CB172&lt;&gt;"Yes",$CB172&lt;&gt;"N/A"),"Device ID, ","")&amp;IF(AND($CC172&lt;&gt;"Yes",$CC172&lt;&gt;"N/A"),"Epic Beans Relay, ",""))-2)))</f>
        <v/>
      </c>
      <c r="CE172">
        <f>IF($Y172="","",IF($CD172="","Yes","Blocked"))</f>
        <v/>
      </c>
      <c r="CF172" t="inlineStr">
        <is>
          <t>Yes</t>
        </is>
      </c>
      <c r="CG172" t="inlineStr">
        <is>
          <t>Yes</t>
        </is>
      </c>
      <c r="CH172" t="inlineStr">
        <is>
          <t>Yes</t>
        </is>
      </c>
      <c r="CI172" t="inlineStr">
        <is>
          <t>Yes</t>
        </is>
      </c>
      <c r="CJ172" t="inlineStr">
        <is>
          <t>Yes</t>
        </is>
      </c>
      <c r="CK172" t="n">
        <v>19200</v>
      </c>
      <c r="CP172">
        <f>IF($CO172="","",IFERROR(VLOOKUP($CO172,'01_Warehouse_Ledger'!$A:$N,4,FALSE),""))</f>
        <v/>
      </c>
      <c r="CQ172">
        <f>IF($CO172="","",IFERROR(VLOOKUP($CO172,'01_Warehouse_Ledger'!$A:$N,5,FALSE),""))</f>
        <v/>
      </c>
      <c r="CR172">
        <f>IF($CO172="","",IFERROR(VLOOKUP($CO172,'01_Warehouse_Ledger'!$A:$N,13,FALSE),""))</f>
        <v/>
      </c>
      <c r="CW172">
        <f>IF($S172="","",IF(UPPER(TRIM($S172))&lt;&gt;"PASS","",IF(LEN(TRIM($BY172))&gt;0,"NOTES_PRESENT",IF(LEN(TRIM($T172))=0,"SET_NA",IF(OR(LOWER(TRIM($T172))="na",LOWER(TRIM($T172))="n/a"),"OK","MANUAL_OVERRIDE")))))</f>
        <v/>
      </c>
    </row>
    <row r="173">
      <c r="A173" t="inlineStr">
        <is>
          <t>Cybernet</t>
        </is>
      </c>
      <c r="B173" s="5" t="inlineStr">
        <is>
          <t>Yes</t>
        </is>
      </c>
      <c r="C173" t="inlineStr">
        <is>
          <t>Yes</t>
        </is>
      </c>
      <c r="D173">
        <f>IF($B173&lt;&gt;"Yes","",IF($C173="No","Yes",IF($C173="Yes","No","")))</f>
        <v/>
      </c>
      <c r="E173">
        <f>IF($A173="","",IF(OR(AND($V173&lt;&gt;"",LOWER(TRIM($V173))&lt;&gt;"n/a",LOWER(TRIM($V173))&lt;&gt;"na",SUMPRODUCT(--(UPPER(TRIM($V$2:$V$518))=UPPER(TRIM($V173))),--(TRIM($V$2:$V$518)&lt;&gt;""),--(LOWER(TRIM($V$2:$V$518))&lt;&gt;"n/a"),--(LOWER(TRIM($V$2:$V$518))&lt;&gt;"na"))&gt;1),AND($W173&lt;&gt;"",LOWER(TRIM($W173))&lt;&gt;"n/a",LOWER(TRIM($W173))&lt;&gt;"na",SUMPRODUCT(--(UPPER(TRIM($W$2:$W$518))=UPPER(TRIM($W173))),--(TRIM($W$2:$W$518)&lt;&gt;""),--(LOWER(TRIM($W$2:$W$518))&lt;&gt;"n/a"),--(LOWER(TRIM($W$2:$W$518))&lt;&gt;"na"))&gt;1),AND($X173&lt;&gt;"",LOWER(TRIM($X173))&lt;&gt;"n/a",LOWER(TRIM($X173))&lt;&gt;"na",SUMPRODUCT(--(UPPER(TRIM($X$2:$X$518))=UPPER(TRIM($X173))),--(TRIM($X$2:$X$518)&lt;&gt;""),--(LOWER(TRIM($X$2:$X$518))&lt;&gt;"n/a"),--(LOWER(TRIM($X$2:$X$518))&lt;&gt;"na"))&gt;1),AND($Y173&lt;&gt;"",LOWER(TRIM($Y173))&lt;&gt;"n/a",LOWER(TRIM($Y173))&lt;&gt;"na",SUMPRODUCT(--(UPPER(SUBSTITUTE(SUBSTITUTE(TRIM($Y$2:$Y$518),":",""),"-",""))=UPPER(SUBSTITUTE(SUBSTITUTE(TRIM($Y173),":",""),"-",""))),--(TRIM($Y$2:$Y$518)&lt;&gt;""),--(LOWER(TRIM($Y$2:$Y$518))&lt;&gt;"n/a"),--(LOWER(TRIM($Y$2:$Y$518))&lt;&gt;"na"))&gt;1),AND($AB173&lt;&gt;"",LOWER(TRIM($AB173))&lt;&gt;"n/a",LOWER(TRIM($AB173))&lt;&gt;"na",SUMPRODUCT(--(UPPER(TRIM($AB$2:$AB$518))=UPPER(TRIM($AB173))),--(TRIM($AB$2:$AB$518)&lt;&gt;""),--(LOWER(TRIM($AB$2:$AB$518))&lt;&gt;"n/a"),--(LOWER(TRIM($AB$2:$AB$518))&lt;&gt;"na"))&gt;1),AND($AH173&lt;&gt;"",LOWER(TRIM($AH173))&lt;&gt;"n/a",LOWER(TRIM($AH173))&lt;&gt;"na",SUMPRODUCT(--(UPPER(SUBSTITUTE(SUBSTITUTE(TRIM($AH$2:$AH$518),":",""),"-",""))=UPPER(SUBSTITUTE(SUBSTITUTE(TRIM($AH173),":",""),"-",""))),--(TRIM($AH$2:$AH$518)&lt;&gt;""),--(LOWER(TRIM($AH$2:$AH$518))&lt;&gt;"n/a"),--(LOWER(TRIM($AH$2:$AH$518))&lt;&gt;"na"))&gt;1),AND($AP173&lt;&gt;"",LOWER(TRIM($AP173))&lt;&gt;"n/a",LOWER(TRIM($AP173))&lt;&gt;"na",SUMPRODUCT(--(UPPER(TRIM($AP$2:$AP$518))=UPPER(TRIM($AP173))),--(TRIM($AP$2:$AP$518)&lt;&gt;""),--(LOWER(TRIM($AP$2:$AP$518))&lt;&gt;"n/a"),--(LOWER(TRIM($AP$2:$AP$518))&lt;&gt;"na"))&gt;1),AND($AQ173&lt;&gt;"",LOWER(TRIM($AQ173))&lt;&gt;"n/a",LOWER(TRIM($AQ173))&lt;&gt;"na",SUMPRODUCT(--(UPPER(TRIM($AQ$2:$AQ$518))=UPPER(TRIM($AQ173))),--(TRIM($AQ$2:$AQ$518)&lt;&gt;""),--(LOWER(TRIM($AQ$2:$AQ$518))&lt;&gt;"n/a"),--(LOWER(TRIM($AQ$2:$AQ$518))&lt;&gt;"na"))&gt;1)),"Yes","No"))</f>
        <v/>
      </c>
      <c r="F173">
        <f>IF(UPPER(TRIM($B173))&lt;&gt;"YES","", IF(OR(AND($V173&lt;&gt;"", LOWER(TRIM($V173))&lt;&gt;"n/a", LOWER(TRIM($V173))&lt;&gt;"na", SUMPRODUCT(--(UPPER(TRIM($V$2:$V$518))=UPPER(TRIM($V173))), --(UPPER(TRIM($B$2:$B$518))="YES"), --(UPPER(TRIM($G$2:$G$518)&amp;TRIM($I$2:$I$518)&amp;TRIM($J$2:$J$518))&lt;&gt;UPPER(TRIM($G173)&amp;TRIM($I173)&amp;TRIM($J173))))&gt;0), AND($W173&lt;&gt;"", LOWER(TRIM($W173))&lt;&gt;"n/a", LOWER(TRIM($W173))&lt;&gt;"na", SUMPRODUCT(--(UPPER(TRIM($W$2:$W$518))=UPPER(TRIM($W173))), --(UPPER(TRIM($B$2:$B$518))="YES"), --(UPPER(TRIM($G$2:$G$518)&amp;TRIM($I$2:$I$518)&amp;TRIM($J$2:$J$518))&lt;&gt;UPPER(TRIM($G173)&amp;TRIM($I173)&amp;TRIM($J173))))&gt;0), AND($X173&lt;&gt;"", LOWER(TRIM($X173))&lt;&gt;"n/a", LOWER(TRIM($X173))&lt;&gt;"na", SUMPRODUCT(--(UPPER(TRIM($X$2:$X$518))=UPPER(TRIM($X173))), --(UPPER(TRIM($B$2:$B$518))="YES"), --(UPPER(TRIM($G$2:$G$518)&amp;TRIM($I$2:$I$518)&amp;TRIM($J$2:$J$518))&lt;&gt;UPPER(TRIM($G173)&amp;TRIM($I173)&amp;TRIM($J173))))&gt;0), AND($Y173&lt;&gt;"", LOWER(TRIM($Y173))&lt;&gt;"n/a", LOWER(TRIM($Y173))&lt;&gt;"na", SUMPRODUCT(--(UPPER(SUBSTITUTE(SUBSTITUTE(TRIM($Y$2:$Y$518),":",""),"-",""))=UPPER(SUBSTITUTE(SUBSTITUTE(TRIM($Y173),":",""),"-",""))), --(UPPER(TRIM($B$2:$B$518))="YES"), --(UPPER(TRIM($G$2:$G$518)&amp;TRIM($I$2:$I$518)&amp;TRIM($J$2:$J$518))&lt;&gt;UPPER(TRIM($G173)&amp;TRIM($I173)&amp;TRIM($J173))))&gt;0), AND($AB173&lt;&gt;"", LOWER(TRIM($AB173))&lt;&gt;"n/a", LOWER(TRIM($AB173))&lt;&gt;"na", SUMPRODUCT(--(UPPER(TRIM($AB$2:$AB$518))=UPPER(TRIM($AB173))), --(UPPER(TRIM($B$2:$B$518))="YES"), --(UPPER(TRIM($G$2:$G$518)&amp;TRIM($I$2:$I$518)&amp;TRIM($J$2:$J$518))&lt;&gt;UPPER(TRIM($G173)&amp;TRIM($I173)&amp;TRIM($J173))))&gt;0), AND($AH173&lt;&gt;"", LOWER(TRIM($AH173))&lt;&gt;"n/a", LOWER(TRIM($AH173))&lt;&gt;"na", SUMPRODUCT(--(UPPER(SUBSTITUTE(SUBSTITUTE(TRIM($AH$2:$AH$518),":",""),"-",""))=UPPER(SUBSTITUTE(SUBSTITUTE(TRIM($AH173),":",""),"-",""))), --(UPPER(TRIM($B$2:$B$518))="YES"), --(UPPER(TRIM($G$2:$G$518)&amp;TRIM($I$2:$I$518)&amp;TRIM($J$2:$J$518))&lt;&gt;UPPER(TRIM($G173)&amp;TRIM($I173)&amp;TRIM($J173))))&gt;0), AND($AP173&lt;&gt;"", LOWER(TRIM($AP173))&lt;&gt;"n/a", LOWER(TRIM($AP173))&lt;&gt;"na", SUMPRODUCT(--(UPPER(TRIM($AP$2:$AP$518))=UPPER(TRIM($AP173))), --(UPPER(TRIM($B$2:$B$518))="YES"), --(UPPER(TRIM($G$2:$G$518)&amp;TRIM($I$2:$I$518)&amp;TRIM($J$2:$J$518))&lt;&gt;UPPER(TRIM($G173)&amp;TRIM($I173)&amp;TRIM($J173))))&gt;0), AND($AQ173&lt;&gt;"", LOWER(TRIM($AQ173))&lt;&gt;"n/a", LOWER(TRIM($AQ173))&lt;&gt;"na", SUMPRODUCT(--(UPPER(TRIM($AQ$2:$AQ$518))=UPPER(TRIM($AQ173))), --(UPPER(TRIM($B$2:$B$518))="YES"), --(UPPER(TRIM($G$2:$G$518)&amp;TRIM($I$2:$I$518)&amp;TRIM($J$2:$J$518))&lt;&gt;UPPER(TRIM($G173)&amp;TRIM($I173)&amp;TRIM($J173))))&gt;0)), "Yes", "No"))</f>
        <v/>
      </c>
      <c r="G173" t="inlineStr">
        <is>
          <t>LIJ - OR</t>
        </is>
      </c>
      <c r="H173" t="inlineStr">
        <is>
          <t>LIJ - OR</t>
        </is>
      </c>
      <c r="I173" t="inlineStr">
        <is>
          <t>LIJ ORs</t>
        </is>
      </c>
      <c r="J173" t="inlineStr">
        <is>
          <t>Procedural Room 1</t>
        </is>
      </c>
      <c r="K173" t="inlineStr">
        <is>
          <t>n/a</t>
        </is>
      </c>
      <c r="L173" s="18" t="n">
        <v>46074</v>
      </c>
      <c r="M173" t="inlineStr">
        <is>
          <t>OR iPro Cybernet Workstation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Inpatient</t>
        </is>
      </c>
      <c r="S173" t="inlineStr">
        <is>
          <t>Pass</t>
        </is>
      </c>
      <c r="T173" t="inlineStr">
        <is>
          <t>n/a</t>
        </is>
      </c>
      <c r="U173" t="inlineStr">
        <is>
          <t>1427182 LIJ Installation (Project Name) - Tim W. Seeberger, Akbar, Chris Perkins, Epic Team, Anesthesia Techs, and Admins</t>
        </is>
      </c>
      <c r="V173" t="inlineStr">
        <is>
          <t>WNH270OPR439</t>
        </is>
      </c>
      <c r="X173" t="inlineStr">
        <is>
          <t>LIJ-MACH-S</t>
        </is>
      </c>
      <c r="Y173" t="inlineStr">
        <is>
          <t>00187DE0E379</t>
        </is>
      </c>
      <c r="Z173" t="inlineStr">
        <is>
          <t>n/a</t>
        </is>
      </c>
      <c r="AI173" t="inlineStr">
        <is>
          <t>Anesthesia Machine</t>
        </is>
      </c>
      <c r="AK173" t="n">
        <v>2</v>
      </c>
      <c r="AM173" t="inlineStr">
        <is>
          <t>Drager</t>
        </is>
      </c>
      <c r="AN173" t="inlineStr">
        <is>
          <t>Apollo</t>
        </is>
      </c>
      <c r="AP173" t="inlineStr">
        <is>
          <t>ASEA-0253</t>
        </is>
      </c>
      <c r="AQ173" t="inlineStr">
        <is>
          <t>ASEA-0253</t>
        </is>
      </c>
      <c r="AS173" t="inlineStr">
        <is>
          <t>B1-CFW</t>
        </is>
      </c>
      <c r="AX173" t="inlineStr">
        <is>
          <t>MX750 - DE77669021</t>
        </is>
      </c>
      <c r="AY173" t="inlineStr">
        <is>
          <t>Anesthesia Machine</t>
        </is>
      </c>
      <c r="BR173" t="inlineStr">
        <is>
          <t>Yes</t>
        </is>
      </c>
      <c r="BS173" t="inlineStr">
        <is>
          <t>Yes</t>
        </is>
      </c>
      <c r="BT173" t="inlineStr">
        <is>
          <t>Yes</t>
        </is>
      </c>
      <c r="BU173" t="inlineStr">
        <is>
          <t>Yes</t>
        </is>
      </c>
      <c r="CD173">
        <f>IF($Y173="","",IF((IF(AND($BR173&lt;&gt;"Yes",$BR173&lt;&gt;"N/A"),"Power Cable, ","")&amp;IF(AND($BS173&lt;&gt;"Yes",$BS173&lt;&gt;"N/A"),"Battery, ","")&amp;IF(AND($AD173&lt;&gt;"Yes",$AD173&lt;&gt;"N/A"),"Firmware Download, ","")&amp;IF(AND(OR($AD173="Yes",$AD173="N/A"),$AE173&lt;&gt;"Yes",$AE173&lt;&gt;"N/A"),"Firmware Install, ","")&amp;IF(AND($CB173&lt;&gt;"Yes",$CB173&lt;&gt;"N/A"),"Device ID, ","")&amp;IF(AND($CC173&lt;&gt;"Yes",$CC173&lt;&gt;"N/A"),"Epic Beans Relay, ",""))="","",LEFT(IF(AND($BR173&lt;&gt;"Yes",$BR173&lt;&gt;"N/A"),"Power Cable, ","")&amp;IF(AND($BS173&lt;&gt;"Yes",$BS173&lt;&gt;"N/A"),"Battery, ","")&amp;IF(AND($AD173&lt;&gt;"Yes",$AD173&lt;&gt;"N/A"),"Firmware Download, ","")&amp;IF(AND(OR($AD173="Yes",$AD173="N/A"),$AE173&lt;&gt;"Yes",$AE173&lt;&gt;"N/A"),"Firmware Install, ","")&amp;IF(AND($CB173&lt;&gt;"Yes",$CB173&lt;&gt;"N/A"),"Device ID, ","")&amp;IF(AND($CC173&lt;&gt;"Yes",$CC173&lt;&gt;"N/A"),"Epic Beans Relay, ",""),LEN(IF(AND($BR173&lt;&gt;"Yes",$BR173&lt;&gt;"N/A"),"Power Cable, ","")&amp;IF(AND($BS173&lt;&gt;"Yes",$BS173&lt;&gt;"N/A"),"Battery, ","")&amp;IF(AND($AD173&lt;&gt;"Yes",$AD173&lt;&gt;"N/A"),"Firmware Download, ","")&amp;IF(AND(OR($AD173="Yes",$AD173="N/A"),$AE173&lt;&gt;"Yes",$AE173&lt;&gt;"N/A"),"Firmware Install, ","")&amp;IF(AND($CB173&lt;&gt;"Yes",$CB173&lt;&gt;"N/A"),"Device ID, ","")&amp;IF(AND($CC173&lt;&gt;"Yes",$CC173&lt;&gt;"N/A"),"Epic Beans Relay, ",""))-2)))</f>
        <v/>
      </c>
      <c r="CE173">
        <f>IF($Y173="","",IF($CD173="","Yes","Blocked"))</f>
        <v/>
      </c>
      <c r="CF173" t="inlineStr">
        <is>
          <t>Yes</t>
        </is>
      </c>
      <c r="CG173" t="inlineStr">
        <is>
          <t>Yes</t>
        </is>
      </c>
      <c r="CH173" t="inlineStr">
        <is>
          <t>Yes</t>
        </is>
      </c>
      <c r="CI173" t="inlineStr">
        <is>
          <t>Yes</t>
        </is>
      </c>
      <c r="CJ173" t="inlineStr">
        <is>
          <t>Yes</t>
        </is>
      </c>
      <c r="CK173" t="n">
        <v>19200</v>
      </c>
      <c r="CP173">
        <f>IF($CO173="","",IFERROR(VLOOKUP($CO173,'01_Warehouse_Ledger'!$A:$N,4,FALSE),""))</f>
        <v/>
      </c>
      <c r="CQ173">
        <f>IF($CO173="","",IFERROR(VLOOKUP($CO173,'01_Warehouse_Ledger'!$A:$N,5,FALSE),""))</f>
        <v/>
      </c>
      <c r="CR173">
        <f>IF($CO173="","",IFERROR(VLOOKUP($CO173,'01_Warehouse_Ledger'!$A:$N,13,FALSE),""))</f>
        <v/>
      </c>
      <c r="CW173">
        <f>IF($S173="","",IF(UPPER(TRIM($S173))&lt;&gt;"PASS","",IF(LEN(TRIM($BY173))&gt;0,"NOTES_PRESENT",IF(LEN(TRIM($T173))=0,"SET_NA",IF(OR(LOWER(TRIM($T173))="na",LOWER(TRIM($T173))="n/a"),"OK","MANUAL_OVERRIDE")))))</f>
        <v/>
      </c>
    </row>
    <row r="174">
      <c r="A174" t="inlineStr">
        <is>
          <t>Cybernet</t>
        </is>
      </c>
      <c r="B174" s="5" t="inlineStr">
        <is>
          <t>Yes</t>
        </is>
      </c>
      <c r="C174" t="inlineStr">
        <is>
          <t>Yes</t>
        </is>
      </c>
      <c r="D174">
        <f>IF($B174&lt;&gt;"Yes","",IF($C174="No","Yes",IF($C174="Yes","No","")))</f>
        <v/>
      </c>
      <c r="E174">
        <f>IF($A174="","",IF(OR(AND($V174&lt;&gt;"",LOWER(TRIM($V174))&lt;&gt;"n/a",LOWER(TRIM($V174))&lt;&gt;"na",SUMPRODUCT(--(UPPER(TRIM($V$2:$V$518))=UPPER(TRIM($V174))),--(TRIM($V$2:$V$518)&lt;&gt;""),--(LOWER(TRIM($V$2:$V$518))&lt;&gt;"n/a"),--(LOWER(TRIM($V$2:$V$518))&lt;&gt;"na"))&gt;1),AND($W174&lt;&gt;"",LOWER(TRIM($W174))&lt;&gt;"n/a",LOWER(TRIM($W174))&lt;&gt;"na",SUMPRODUCT(--(UPPER(TRIM($W$2:$W$518))=UPPER(TRIM($W174))),--(TRIM($W$2:$W$518)&lt;&gt;""),--(LOWER(TRIM($W$2:$W$518))&lt;&gt;"n/a"),--(LOWER(TRIM($W$2:$W$518))&lt;&gt;"na"))&gt;1),AND($X174&lt;&gt;"",LOWER(TRIM($X174))&lt;&gt;"n/a",LOWER(TRIM($X174))&lt;&gt;"na",SUMPRODUCT(--(UPPER(TRIM($X$2:$X$518))=UPPER(TRIM($X174))),--(TRIM($X$2:$X$518)&lt;&gt;""),--(LOWER(TRIM($X$2:$X$518))&lt;&gt;"n/a"),--(LOWER(TRIM($X$2:$X$518))&lt;&gt;"na"))&gt;1),AND($Y174&lt;&gt;"",LOWER(TRIM($Y174))&lt;&gt;"n/a",LOWER(TRIM($Y174))&lt;&gt;"na",SUMPRODUCT(--(UPPER(SUBSTITUTE(SUBSTITUTE(TRIM($Y$2:$Y$518),":",""),"-",""))=UPPER(SUBSTITUTE(SUBSTITUTE(TRIM($Y174),":",""),"-",""))),--(TRIM($Y$2:$Y$518)&lt;&gt;""),--(LOWER(TRIM($Y$2:$Y$518))&lt;&gt;"n/a"),--(LOWER(TRIM($Y$2:$Y$518))&lt;&gt;"na"))&gt;1),AND($AB174&lt;&gt;"",LOWER(TRIM($AB174))&lt;&gt;"n/a",LOWER(TRIM($AB174))&lt;&gt;"na",SUMPRODUCT(--(UPPER(TRIM($AB$2:$AB$518))=UPPER(TRIM($AB174))),--(TRIM($AB$2:$AB$518)&lt;&gt;""),--(LOWER(TRIM($AB$2:$AB$518))&lt;&gt;"n/a"),--(LOWER(TRIM($AB$2:$AB$518))&lt;&gt;"na"))&gt;1),AND($AH174&lt;&gt;"",LOWER(TRIM($AH174))&lt;&gt;"n/a",LOWER(TRIM($AH174))&lt;&gt;"na",SUMPRODUCT(--(UPPER(SUBSTITUTE(SUBSTITUTE(TRIM($AH$2:$AH$518),":",""),"-",""))=UPPER(SUBSTITUTE(SUBSTITUTE(TRIM($AH174),":",""),"-",""))),--(TRIM($AH$2:$AH$518)&lt;&gt;""),--(LOWER(TRIM($AH$2:$AH$518))&lt;&gt;"n/a"),--(LOWER(TRIM($AH$2:$AH$518))&lt;&gt;"na"))&gt;1),AND($AP174&lt;&gt;"",LOWER(TRIM($AP174))&lt;&gt;"n/a",LOWER(TRIM($AP174))&lt;&gt;"na",SUMPRODUCT(--(UPPER(TRIM($AP$2:$AP$518))=UPPER(TRIM($AP174))),--(TRIM($AP$2:$AP$518)&lt;&gt;""),--(LOWER(TRIM($AP$2:$AP$518))&lt;&gt;"n/a"),--(LOWER(TRIM($AP$2:$AP$518))&lt;&gt;"na"))&gt;1),AND($AQ174&lt;&gt;"",LOWER(TRIM($AQ174))&lt;&gt;"n/a",LOWER(TRIM($AQ174))&lt;&gt;"na",SUMPRODUCT(--(UPPER(TRIM($AQ$2:$AQ$518))=UPPER(TRIM($AQ174))),--(TRIM($AQ$2:$AQ$518)&lt;&gt;""),--(LOWER(TRIM($AQ$2:$AQ$518))&lt;&gt;"n/a"),--(LOWER(TRIM($AQ$2:$AQ$518))&lt;&gt;"na"))&gt;1)),"Yes","No"))</f>
        <v/>
      </c>
      <c r="F174">
        <f>IF(UPPER(TRIM($B174))&lt;&gt;"YES","", IF(OR(AND($V174&lt;&gt;"", LOWER(TRIM($V174))&lt;&gt;"n/a", LOWER(TRIM($V174))&lt;&gt;"na", SUMPRODUCT(--(UPPER(TRIM($V$2:$V$518))=UPPER(TRIM($V174))), --(UPPER(TRIM($B$2:$B$518))="YES"), --(UPPER(TRIM($G$2:$G$518)&amp;TRIM($I$2:$I$518)&amp;TRIM($J$2:$J$518))&lt;&gt;UPPER(TRIM($G174)&amp;TRIM($I174)&amp;TRIM($J174))))&gt;0), AND($W174&lt;&gt;"", LOWER(TRIM($W174))&lt;&gt;"n/a", LOWER(TRIM($W174))&lt;&gt;"na", SUMPRODUCT(--(UPPER(TRIM($W$2:$W$518))=UPPER(TRIM($W174))), --(UPPER(TRIM($B$2:$B$518))="YES"), --(UPPER(TRIM($G$2:$G$518)&amp;TRIM($I$2:$I$518)&amp;TRIM($J$2:$J$518))&lt;&gt;UPPER(TRIM($G174)&amp;TRIM($I174)&amp;TRIM($J174))))&gt;0), AND($X174&lt;&gt;"", LOWER(TRIM($X174))&lt;&gt;"n/a", LOWER(TRIM($X174))&lt;&gt;"na", SUMPRODUCT(--(UPPER(TRIM($X$2:$X$518))=UPPER(TRIM($X174))), --(UPPER(TRIM($B$2:$B$518))="YES"), --(UPPER(TRIM($G$2:$G$518)&amp;TRIM($I$2:$I$518)&amp;TRIM($J$2:$J$518))&lt;&gt;UPPER(TRIM($G174)&amp;TRIM($I174)&amp;TRIM($J174))))&gt;0), AND($Y174&lt;&gt;"", LOWER(TRIM($Y174))&lt;&gt;"n/a", LOWER(TRIM($Y174))&lt;&gt;"na", SUMPRODUCT(--(UPPER(SUBSTITUTE(SUBSTITUTE(TRIM($Y$2:$Y$518),":",""),"-",""))=UPPER(SUBSTITUTE(SUBSTITUTE(TRIM($Y174),":",""),"-",""))), --(UPPER(TRIM($B$2:$B$518))="YES"), --(UPPER(TRIM($G$2:$G$518)&amp;TRIM($I$2:$I$518)&amp;TRIM($J$2:$J$518))&lt;&gt;UPPER(TRIM($G174)&amp;TRIM($I174)&amp;TRIM($J174))))&gt;0), AND($AB174&lt;&gt;"", LOWER(TRIM($AB174))&lt;&gt;"n/a", LOWER(TRIM($AB174))&lt;&gt;"na", SUMPRODUCT(--(UPPER(TRIM($AB$2:$AB$518))=UPPER(TRIM($AB174))), --(UPPER(TRIM($B$2:$B$518))="YES"), --(UPPER(TRIM($G$2:$G$518)&amp;TRIM($I$2:$I$518)&amp;TRIM($J$2:$J$518))&lt;&gt;UPPER(TRIM($G174)&amp;TRIM($I174)&amp;TRIM($J174))))&gt;0), AND($AH174&lt;&gt;"", LOWER(TRIM($AH174))&lt;&gt;"n/a", LOWER(TRIM($AH174))&lt;&gt;"na", SUMPRODUCT(--(UPPER(SUBSTITUTE(SUBSTITUTE(TRIM($AH$2:$AH$518),":",""),"-",""))=UPPER(SUBSTITUTE(SUBSTITUTE(TRIM($AH174),":",""),"-",""))), --(UPPER(TRIM($B$2:$B$518))="YES"), --(UPPER(TRIM($G$2:$G$518)&amp;TRIM($I$2:$I$518)&amp;TRIM($J$2:$J$518))&lt;&gt;UPPER(TRIM($G174)&amp;TRIM($I174)&amp;TRIM($J174))))&gt;0), AND($AP174&lt;&gt;"", LOWER(TRIM($AP174))&lt;&gt;"n/a", LOWER(TRIM($AP174))&lt;&gt;"na", SUMPRODUCT(--(UPPER(TRIM($AP$2:$AP$518))=UPPER(TRIM($AP174))), --(UPPER(TRIM($B$2:$B$518))="YES"), --(UPPER(TRIM($G$2:$G$518)&amp;TRIM($I$2:$I$518)&amp;TRIM($J$2:$J$518))&lt;&gt;UPPER(TRIM($G174)&amp;TRIM($I174)&amp;TRIM($J174))))&gt;0), AND($AQ174&lt;&gt;"", LOWER(TRIM($AQ174))&lt;&gt;"n/a", LOWER(TRIM($AQ174))&lt;&gt;"na", SUMPRODUCT(--(UPPER(TRIM($AQ$2:$AQ$518))=UPPER(TRIM($AQ174))), --(UPPER(TRIM($B$2:$B$518))="YES"), --(UPPER(TRIM($G$2:$G$518)&amp;TRIM($I$2:$I$518)&amp;TRIM($J$2:$J$518))&lt;&gt;UPPER(TRIM($G174)&amp;TRIM($I174)&amp;TRIM($J174))))&gt;0)), "Yes", "No"))</f>
        <v/>
      </c>
      <c r="G174" t="inlineStr">
        <is>
          <t>LIJ - OR</t>
        </is>
      </c>
      <c r="H174" t="inlineStr">
        <is>
          <t>LIJ - OR</t>
        </is>
      </c>
      <c r="I174" t="inlineStr">
        <is>
          <t>LIJ ORs</t>
        </is>
      </c>
      <c r="J174" t="inlineStr">
        <is>
          <t>OR 14</t>
        </is>
      </c>
      <c r="K174" t="inlineStr">
        <is>
          <t>n/a</t>
        </is>
      </c>
      <c r="L174" s="18" t="n">
        <v>46074</v>
      </c>
      <c r="M174" t="inlineStr">
        <is>
          <t>OR iPro Cybernet Workstation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Inpatient</t>
        </is>
      </c>
      <c r="S174" t="inlineStr">
        <is>
          <t>Pass</t>
        </is>
      </c>
      <c r="T174" t="inlineStr">
        <is>
          <t>n/a</t>
        </is>
      </c>
      <c r="U174" t="inlineStr">
        <is>
          <t>1427182 LIJ Installation (Project Name) - Tim W. Seeberger, Akbar, Chris Perkins, Epic Team, Anesthesia Techs, and Admins</t>
        </is>
      </c>
      <c r="V174" t="inlineStr">
        <is>
          <t>WNH270OPR440</t>
        </is>
      </c>
      <c r="W174" t="inlineStr">
        <is>
          <t>MEDSG2425E-3210</t>
        </is>
      </c>
      <c r="X174" t="inlineStr">
        <is>
          <t>LIJ-MACH-M</t>
        </is>
      </c>
      <c r="Y174" t="inlineStr">
        <is>
          <t>00187DE0E2BA</t>
        </is>
      </c>
      <c r="Z174" t="inlineStr">
        <is>
          <t>n/a</t>
        </is>
      </c>
      <c r="AH174" t="inlineStr">
        <is>
          <t>00:0D:05:0A:B6:e7</t>
        </is>
      </c>
      <c r="AI174" t="inlineStr">
        <is>
          <t>Anesthesia Machine</t>
        </is>
      </c>
      <c r="AK174" t="n">
        <v>2</v>
      </c>
      <c r="AM174" t="inlineStr">
        <is>
          <t>Drager</t>
        </is>
      </c>
      <c r="AN174" t="inlineStr">
        <is>
          <t>Apollo</t>
        </is>
      </c>
      <c r="AP174" t="inlineStr">
        <is>
          <t>ASCJ-0097</t>
        </is>
      </c>
      <c r="AQ174" t="inlineStr">
        <is>
          <t>ASCJ-0097</t>
        </is>
      </c>
      <c r="AS174" t="inlineStr">
        <is>
          <t>B1-CFW</t>
        </is>
      </c>
      <c r="AX174" t="inlineStr">
        <is>
          <t>MX750 - DE77669060</t>
        </is>
      </c>
      <c r="AY174" t="inlineStr">
        <is>
          <t>Anesthesia Machine</t>
        </is>
      </c>
      <c r="BR174" t="inlineStr">
        <is>
          <t>Yes</t>
        </is>
      </c>
      <c r="BS174" t="inlineStr">
        <is>
          <t>Yes</t>
        </is>
      </c>
      <c r="BT174" t="inlineStr">
        <is>
          <t>Yes</t>
        </is>
      </c>
      <c r="BU174" t="inlineStr">
        <is>
          <t>Yes</t>
        </is>
      </c>
      <c r="CA174" t="inlineStr">
        <is>
          <t>iPro
Epic Satellite
ALLSCRIPTS
EPIC BCA</t>
        </is>
      </c>
      <c r="CD174">
        <f>IF($Y174="","",IF((IF(AND($BR174&lt;&gt;"Yes",$BR174&lt;&gt;"N/A"),"Power Cable, ","")&amp;IF(AND($BS174&lt;&gt;"Yes",$BS174&lt;&gt;"N/A"),"Battery, ","")&amp;IF(AND($AD174&lt;&gt;"Yes",$AD174&lt;&gt;"N/A"),"Firmware Download, ","")&amp;IF(AND(OR($AD174="Yes",$AD174="N/A"),$AE174&lt;&gt;"Yes",$AE174&lt;&gt;"N/A"),"Firmware Install, ","")&amp;IF(AND($CB174&lt;&gt;"Yes",$CB174&lt;&gt;"N/A"),"Device ID, ","")&amp;IF(AND($CC174&lt;&gt;"Yes",$CC174&lt;&gt;"N/A"),"Epic Beans Relay, ",""))="","",LEFT(IF(AND($BR174&lt;&gt;"Yes",$BR174&lt;&gt;"N/A"),"Power Cable, ","")&amp;IF(AND($BS174&lt;&gt;"Yes",$BS174&lt;&gt;"N/A"),"Battery, ","")&amp;IF(AND($AD174&lt;&gt;"Yes",$AD174&lt;&gt;"N/A"),"Firmware Download, ","")&amp;IF(AND(OR($AD174="Yes",$AD174="N/A"),$AE174&lt;&gt;"Yes",$AE174&lt;&gt;"N/A"),"Firmware Install, ","")&amp;IF(AND($CB174&lt;&gt;"Yes",$CB174&lt;&gt;"N/A"),"Device ID, ","")&amp;IF(AND($CC174&lt;&gt;"Yes",$CC174&lt;&gt;"N/A"),"Epic Beans Relay, ",""),LEN(IF(AND($BR174&lt;&gt;"Yes",$BR174&lt;&gt;"N/A"),"Power Cable, ","")&amp;IF(AND($BS174&lt;&gt;"Yes",$BS174&lt;&gt;"N/A"),"Battery, ","")&amp;IF(AND($AD174&lt;&gt;"Yes",$AD174&lt;&gt;"N/A"),"Firmware Download, ","")&amp;IF(AND(OR($AD174="Yes",$AD174="N/A"),$AE174&lt;&gt;"Yes",$AE174&lt;&gt;"N/A"),"Firmware Install, ","")&amp;IF(AND($CB174&lt;&gt;"Yes",$CB174&lt;&gt;"N/A"),"Device ID, ","")&amp;IF(AND($CC174&lt;&gt;"Yes",$CC174&lt;&gt;"N/A"),"Epic Beans Relay, ",""))-2)))</f>
        <v/>
      </c>
      <c r="CE174">
        <f>IF($Y174="","",IF($CD174="","Yes","Blocked"))</f>
        <v/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n">
        <v>19200</v>
      </c>
      <c r="CP174">
        <f>IF($CO174="","",IFERROR(VLOOKUP($CO174,'01_Warehouse_Ledger'!$A:$N,4,FALSE),""))</f>
        <v/>
      </c>
      <c r="CQ174">
        <f>IF($CO174="","",IFERROR(VLOOKUP($CO174,'01_Warehouse_Ledger'!$A:$N,5,FALSE),""))</f>
        <v/>
      </c>
      <c r="CR174">
        <f>IF($CO174="","",IFERROR(VLOOKUP($CO174,'01_Warehouse_Ledger'!$A:$N,13,FALSE),""))</f>
        <v/>
      </c>
      <c r="CW174">
        <f>IF($S174="","",IF(UPPER(TRIM($S174))&lt;&gt;"PASS","",IF(LEN(TRIM($BY174))&gt;0,"NOTES_PRESENT",IF(LEN(TRIM($T174))=0,"SET_NA",IF(OR(LOWER(TRIM($T174))="na",LOWER(TRIM($T174))="n/a"),"OK","MANUAL_OVERRIDE")))))</f>
        <v/>
      </c>
    </row>
    <row r="175">
      <c r="A175" t="inlineStr">
        <is>
          <t>Cybernet</t>
        </is>
      </c>
      <c r="B175" s="5" t="inlineStr">
        <is>
          <t>Yes</t>
        </is>
      </c>
      <c r="C175" t="inlineStr">
        <is>
          <t>Yes</t>
        </is>
      </c>
      <c r="D175">
        <f>IF($B175&lt;&gt;"Yes","",IF($C175="No","Yes",IF($C175="Yes","No","")))</f>
        <v/>
      </c>
      <c r="E175">
        <f>IF($A175="","",IF(OR(AND($V175&lt;&gt;"",LOWER(TRIM($V175))&lt;&gt;"n/a",LOWER(TRIM($V175))&lt;&gt;"na",SUMPRODUCT(--(UPPER(TRIM($V$2:$V$518))=UPPER(TRIM($V175))),--(TRIM($V$2:$V$518)&lt;&gt;""),--(LOWER(TRIM($V$2:$V$518))&lt;&gt;"n/a"),--(LOWER(TRIM($V$2:$V$518))&lt;&gt;"na"))&gt;1),AND($W175&lt;&gt;"",LOWER(TRIM($W175))&lt;&gt;"n/a",LOWER(TRIM($W175))&lt;&gt;"na",SUMPRODUCT(--(UPPER(TRIM($W$2:$W$518))=UPPER(TRIM($W175))),--(TRIM($W$2:$W$518)&lt;&gt;""),--(LOWER(TRIM($W$2:$W$518))&lt;&gt;"n/a"),--(LOWER(TRIM($W$2:$W$518))&lt;&gt;"na"))&gt;1),AND($X175&lt;&gt;"",LOWER(TRIM($X175))&lt;&gt;"n/a",LOWER(TRIM($X175))&lt;&gt;"na",SUMPRODUCT(--(UPPER(TRIM($X$2:$X$518))=UPPER(TRIM($X175))),--(TRIM($X$2:$X$518)&lt;&gt;""),--(LOWER(TRIM($X$2:$X$518))&lt;&gt;"n/a"),--(LOWER(TRIM($X$2:$X$518))&lt;&gt;"na"))&gt;1),AND($Y175&lt;&gt;"",LOWER(TRIM($Y175))&lt;&gt;"n/a",LOWER(TRIM($Y175))&lt;&gt;"na",SUMPRODUCT(--(UPPER(SUBSTITUTE(SUBSTITUTE(TRIM($Y$2:$Y$518),":",""),"-",""))=UPPER(SUBSTITUTE(SUBSTITUTE(TRIM($Y175),":",""),"-",""))),--(TRIM($Y$2:$Y$518)&lt;&gt;""),--(LOWER(TRIM($Y$2:$Y$518))&lt;&gt;"n/a"),--(LOWER(TRIM($Y$2:$Y$518))&lt;&gt;"na"))&gt;1),AND($AB175&lt;&gt;"",LOWER(TRIM($AB175))&lt;&gt;"n/a",LOWER(TRIM($AB175))&lt;&gt;"na",SUMPRODUCT(--(UPPER(TRIM($AB$2:$AB$518))=UPPER(TRIM($AB175))),--(TRIM($AB$2:$AB$518)&lt;&gt;""),--(LOWER(TRIM($AB$2:$AB$518))&lt;&gt;"n/a"),--(LOWER(TRIM($AB$2:$AB$518))&lt;&gt;"na"))&gt;1),AND($AH175&lt;&gt;"",LOWER(TRIM($AH175))&lt;&gt;"n/a",LOWER(TRIM($AH175))&lt;&gt;"na",SUMPRODUCT(--(UPPER(SUBSTITUTE(SUBSTITUTE(TRIM($AH$2:$AH$518),":",""),"-",""))=UPPER(SUBSTITUTE(SUBSTITUTE(TRIM($AH175),":",""),"-",""))),--(TRIM($AH$2:$AH$518)&lt;&gt;""),--(LOWER(TRIM($AH$2:$AH$518))&lt;&gt;"n/a"),--(LOWER(TRIM($AH$2:$AH$518))&lt;&gt;"na"))&gt;1),AND($AP175&lt;&gt;"",LOWER(TRIM($AP175))&lt;&gt;"n/a",LOWER(TRIM($AP175))&lt;&gt;"na",SUMPRODUCT(--(UPPER(TRIM($AP$2:$AP$518))=UPPER(TRIM($AP175))),--(TRIM($AP$2:$AP$518)&lt;&gt;""),--(LOWER(TRIM($AP$2:$AP$518))&lt;&gt;"n/a"),--(LOWER(TRIM($AP$2:$AP$518))&lt;&gt;"na"))&gt;1),AND($AQ175&lt;&gt;"",LOWER(TRIM($AQ175))&lt;&gt;"n/a",LOWER(TRIM($AQ175))&lt;&gt;"na",SUMPRODUCT(--(UPPER(TRIM($AQ$2:$AQ$518))=UPPER(TRIM($AQ175))),--(TRIM($AQ$2:$AQ$518)&lt;&gt;""),--(LOWER(TRIM($AQ$2:$AQ$518))&lt;&gt;"n/a"),--(LOWER(TRIM($AQ$2:$AQ$518))&lt;&gt;"na"))&gt;1)),"Yes","No"))</f>
        <v/>
      </c>
      <c r="F175">
        <f>IF(UPPER(TRIM($B175))&lt;&gt;"YES","", IF(OR(AND($V175&lt;&gt;"", LOWER(TRIM($V175))&lt;&gt;"n/a", LOWER(TRIM($V175))&lt;&gt;"na", SUMPRODUCT(--(UPPER(TRIM($V$2:$V$518))=UPPER(TRIM($V175))), --(UPPER(TRIM($B$2:$B$518))="YES"), --(UPPER(TRIM($G$2:$G$518)&amp;TRIM($I$2:$I$518)&amp;TRIM($J$2:$J$518))&lt;&gt;UPPER(TRIM($G175)&amp;TRIM($I175)&amp;TRIM($J175))))&gt;0), AND($W175&lt;&gt;"", LOWER(TRIM($W175))&lt;&gt;"n/a", LOWER(TRIM($W175))&lt;&gt;"na", SUMPRODUCT(--(UPPER(TRIM($W$2:$W$518))=UPPER(TRIM($W175))), --(UPPER(TRIM($B$2:$B$518))="YES"), --(UPPER(TRIM($G$2:$G$518)&amp;TRIM($I$2:$I$518)&amp;TRIM($J$2:$J$518))&lt;&gt;UPPER(TRIM($G175)&amp;TRIM($I175)&amp;TRIM($J175))))&gt;0), AND($X175&lt;&gt;"", LOWER(TRIM($X175))&lt;&gt;"n/a", LOWER(TRIM($X175))&lt;&gt;"na", SUMPRODUCT(--(UPPER(TRIM($X$2:$X$518))=UPPER(TRIM($X175))), --(UPPER(TRIM($B$2:$B$518))="YES"), --(UPPER(TRIM($G$2:$G$518)&amp;TRIM($I$2:$I$518)&amp;TRIM($J$2:$J$518))&lt;&gt;UPPER(TRIM($G175)&amp;TRIM($I175)&amp;TRIM($J175))))&gt;0), AND($Y175&lt;&gt;"", LOWER(TRIM($Y175))&lt;&gt;"n/a", LOWER(TRIM($Y175))&lt;&gt;"na", SUMPRODUCT(--(UPPER(SUBSTITUTE(SUBSTITUTE(TRIM($Y$2:$Y$518),":",""),"-",""))=UPPER(SUBSTITUTE(SUBSTITUTE(TRIM($Y175),":",""),"-",""))), --(UPPER(TRIM($B$2:$B$518))="YES"), --(UPPER(TRIM($G$2:$G$518)&amp;TRIM($I$2:$I$518)&amp;TRIM($J$2:$J$518))&lt;&gt;UPPER(TRIM($G175)&amp;TRIM($I175)&amp;TRIM($J175))))&gt;0), AND($AB175&lt;&gt;"", LOWER(TRIM($AB175))&lt;&gt;"n/a", LOWER(TRIM($AB175))&lt;&gt;"na", SUMPRODUCT(--(UPPER(TRIM($AB$2:$AB$518))=UPPER(TRIM($AB175))), --(UPPER(TRIM($B$2:$B$518))="YES"), --(UPPER(TRIM($G$2:$G$518)&amp;TRIM($I$2:$I$518)&amp;TRIM($J$2:$J$518))&lt;&gt;UPPER(TRIM($G175)&amp;TRIM($I175)&amp;TRIM($J175))))&gt;0), AND($AH175&lt;&gt;"", LOWER(TRIM($AH175))&lt;&gt;"n/a", LOWER(TRIM($AH175))&lt;&gt;"na", SUMPRODUCT(--(UPPER(SUBSTITUTE(SUBSTITUTE(TRIM($AH$2:$AH$518),":",""),"-",""))=UPPER(SUBSTITUTE(SUBSTITUTE(TRIM($AH175),":",""),"-",""))), --(UPPER(TRIM($B$2:$B$518))="YES"), --(UPPER(TRIM($G$2:$G$518)&amp;TRIM($I$2:$I$518)&amp;TRIM($J$2:$J$518))&lt;&gt;UPPER(TRIM($G175)&amp;TRIM($I175)&amp;TRIM($J175))))&gt;0), AND($AP175&lt;&gt;"", LOWER(TRIM($AP175))&lt;&gt;"n/a", LOWER(TRIM($AP175))&lt;&gt;"na", SUMPRODUCT(--(UPPER(TRIM($AP$2:$AP$518))=UPPER(TRIM($AP175))), --(UPPER(TRIM($B$2:$B$518))="YES"), --(UPPER(TRIM($G$2:$G$518)&amp;TRIM($I$2:$I$518)&amp;TRIM($J$2:$J$518))&lt;&gt;UPPER(TRIM($G175)&amp;TRIM($I175)&amp;TRIM($J175))))&gt;0), AND($AQ175&lt;&gt;"", LOWER(TRIM($AQ175))&lt;&gt;"n/a", LOWER(TRIM($AQ175))&lt;&gt;"na", SUMPRODUCT(--(UPPER(TRIM($AQ$2:$AQ$518))=UPPER(TRIM($AQ175))), --(UPPER(TRIM($B$2:$B$518))="YES"), --(UPPER(TRIM($G$2:$G$518)&amp;TRIM($I$2:$I$518)&amp;TRIM($J$2:$J$518))&lt;&gt;UPPER(TRIM($G175)&amp;TRIM($I175)&amp;TRIM($J175))))&gt;0)), "Yes", "No"))</f>
        <v/>
      </c>
      <c r="G175" t="inlineStr">
        <is>
          <t>LIJ - OR</t>
        </is>
      </c>
      <c r="H175" t="inlineStr">
        <is>
          <t>LIJ - OR</t>
        </is>
      </c>
      <c r="I175" t="inlineStr">
        <is>
          <t>LIJ ORs</t>
        </is>
      </c>
      <c r="J175" t="inlineStr">
        <is>
          <t>OR 11</t>
        </is>
      </c>
      <c r="K175" t="inlineStr">
        <is>
          <t>n/a</t>
        </is>
      </c>
      <c r="L175" s="18" t="n">
        <v>46074</v>
      </c>
      <c r="M175" t="inlineStr">
        <is>
          <t>OR iPro Cybernet Workstation</t>
        </is>
      </c>
      <c r="N175" t="inlineStr">
        <is>
          <t>Yes</t>
        </is>
      </c>
      <c r="O175" t="inlineStr">
        <is>
          <t>Yes</t>
        </is>
      </c>
      <c r="P175" t="inlineStr">
        <is>
          <t>Yes</t>
        </is>
      </c>
      <c r="Q175" t="inlineStr">
        <is>
          <t>Inpatient</t>
        </is>
      </c>
      <c r="S175" t="inlineStr">
        <is>
          <t>Pass</t>
        </is>
      </c>
      <c r="T175" t="inlineStr">
        <is>
          <t>n/a</t>
        </is>
      </c>
      <c r="U175" t="inlineStr">
        <is>
          <t>1427182 LIJ Installation (Project Name) - Tim W. Seeberger, Akbar, Chris Perkins, Epic Team, Anesthesia Techs, and Admins</t>
        </is>
      </c>
      <c r="V175" t="inlineStr">
        <is>
          <t>WNH270OPR441</t>
        </is>
      </c>
      <c r="W175" t="inlineStr">
        <is>
          <t>MEDSG2425E-0173</t>
        </is>
      </c>
      <c r="X175" t="inlineStr">
        <is>
          <t>LIJ-MACH-U</t>
        </is>
      </c>
      <c r="Y175" t="inlineStr">
        <is>
          <t>00187DE07866</t>
        </is>
      </c>
      <c r="Z175" t="inlineStr">
        <is>
          <t>n/a</t>
        </is>
      </c>
      <c r="AH175" t="inlineStr">
        <is>
          <t>00:0D:05:0A:A6:C7</t>
        </is>
      </c>
      <c r="AI175" t="inlineStr">
        <is>
          <t>Anesthesia Machine</t>
        </is>
      </c>
      <c r="AK175" t="n">
        <v>2</v>
      </c>
      <c r="AM175" t="inlineStr">
        <is>
          <t>Drager</t>
        </is>
      </c>
      <c r="AN175" t="inlineStr">
        <is>
          <t>Apollo</t>
        </is>
      </c>
      <c r="AP175" t="inlineStr">
        <is>
          <t>ASCJ-0095</t>
        </is>
      </c>
      <c r="AQ175" t="inlineStr">
        <is>
          <t>ASCJ-0095</t>
        </is>
      </c>
      <c r="AS175" t="inlineStr">
        <is>
          <t>B1-CFW</t>
        </is>
      </c>
      <c r="AX175" t="inlineStr">
        <is>
          <t>MX750 - DE77668941</t>
        </is>
      </c>
      <c r="AY175" t="inlineStr">
        <is>
          <t>Anesthesia Machine</t>
        </is>
      </c>
      <c r="BR175" t="inlineStr">
        <is>
          <t>Yes</t>
        </is>
      </c>
      <c r="BS175" t="inlineStr">
        <is>
          <t>Yes</t>
        </is>
      </c>
      <c r="BT175" t="inlineStr">
        <is>
          <t>Yes</t>
        </is>
      </c>
      <c r="BU175" t="inlineStr">
        <is>
          <t>Yes</t>
        </is>
      </c>
      <c r="CA175" t="inlineStr">
        <is>
          <t>iPro
Epic Satellite
ALLSCRIPTS
EPIC BCA</t>
        </is>
      </c>
      <c r="CD175">
        <f>IF($Y175="","",IF((IF(AND($BR175&lt;&gt;"Yes",$BR175&lt;&gt;"N/A"),"Power Cable, ","")&amp;IF(AND($BS175&lt;&gt;"Yes",$BS175&lt;&gt;"N/A"),"Battery, ","")&amp;IF(AND($AD175&lt;&gt;"Yes",$AD175&lt;&gt;"N/A"),"Firmware Download, ","")&amp;IF(AND(OR($AD175="Yes",$AD175="N/A"),$AE175&lt;&gt;"Yes",$AE175&lt;&gt;"N/A"),"Firmware Install, ","")&amp;IF(AND($CB175&lt;&gt;"Yes",$CB175&lt;&gt;"N/A"),"Device ID, ","")&amp;IF(AND($CC175&lt;&gt;"Yes",$CC175&lt;&gt;"N/A"),"Epic Beans Relay, ",""))="","",LEFT(IF(AND($BR175&lt;&gt;"Yes",$BR175&lt;&gt;"N/A"),"Power Cable, ","")&amp;IF(AND($BS175&lt;&gt;"Yes",$BS175&lt;&gt;"N/A"),"Battery, ","")&amp;IF(AND($AD175&lt;&gt;"Yes",$AD175&lt;&gt;"N/A"),"Firmware Download, ","")&amp;IF(AND(OR($AD175="Yes",$AD175="N/A"),$AE175&lt;&gt;"Yes",$AE175&lt;&gt;"N/A"),"Firmware Install, ","")&amp;IF(AND($CB175&lt;&gt;"Yes",$CB175&lt;&gt;"N/A"),"Device ID, ","")&amp;IF(AND($CC175&lt;&gt;"Yes",$CC175&lt;&gt;"N/A"),"Epic Beans Relay, ",""),LEN(IF(AND($BR175&lt;&gt;"Yes",$BR175&lt;&gt;"N/A"),"Power Cable, ","")&amp;IF(AND($BS175&lt;&gt;"Yes",$BS175&lt;&gt;"N/A"),"Battery, ","")&amp;IF(AND($AD175&lt;&gt;"Yes",$AD175&lt;&gt;"N/A"),"Firmware Download, ","")&amp;IF(AND(OR($AD175="Yes",$AD175="N/A"),$AE175&lt;&gt;"Yes",$AE175&lt;&gt;"N/A"),"Firmware Install, ","")&amp;IF(AND($CB175&lt;&gt;"Yes",$CB175&lt;&gt;"N/A"),"Device ID, ","")&amp;IF(AND($CC175&lt;&gt;"Yes",$CC175&lt;&gt;"N/A"),"Epic Beans Relay, ",""))-2)))</f>
        <v/>
      </c>
      <c r="CE175">
        <f>IF($Y175="","",IF($CD175="","Yes","Blocked"))</f>
        <v/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n">
        <v>19200</v>
      </c>
      <c r="CP175">
        <f>IF($CO175="","",IFERROR(VLOOKUP($CO175,'01_Warehouse_Ledger'!$A:$N,4,FALSE),""))</f>
        <v/>
      </c>
      <c r="CQ175">
        <f>IF($CO175="","",IFERROR(VLOOKUP($CO175,'01_Warehouse_Ledger'!$A:$N,5,FALSE),""))</f>
        <v/>
      </c>
      <c r="CR175">
        <f>IF($CO175="","",IFERROR(VLOOKUP($CO175,'01_Warehouse_Ledger'!$A:$N,13,FALSE),""))</f>
        <v/>
      </c>
      <c r="CW175">
        <f>IF($S175="","",IF(UPPER(TRIM($S175))&lt;&gt;"PASS","",IF(LEN(TRIM($BY175))&gt;0,"NOTES_PRESENT",IF(LEN(TRIM($T175))=0,"SET_NA",IF(OR(LOWER(TRIM($T175))="na",LOWER(TRIM($T175))="n/a"),"OK","MANUAL_OVERRIDE")))))</f>
        <v/>
      </c>
    </row>
    <row r="176">
      <c r="A176" t="inlineStr">
        <is>
          <t>Cybernet</t>
        </is>
      </c>
      <c r="B176" s="5" t="inlineStr">
        <is>
          <t>Yes</t>
        </is>
      </c>
      <c r="C176" t="inlineStr">
        <is>
          <t>Yes</t>
        </is>
      </c>
      <c r="D176">
        <f>IF($B176&lt;&gt;"Yes","",IF($C176="No","Yes",IF($C176="Yes","No","")))</f>
        <v/>
      </c>
      <c r="E176">
        <f>IF($A176="","",IF(OR(AND($V176&lt;&gt;"",LOWER(TRIM($V176))&lt;&gt;"n/a",LOWER(TRIM($V176))&lt;&gt;"na",SUMPRODUCT(--(UPPER(TRIM($V$2:$V$518))=UPPER(TRIM($V176))),--(TRIM($V$2:$V$518)&lt;&gt;""),--(LOWER(TRIM($V$2:$V$518))&lt;&gt;"n/a"),--(LOWER(TRIM($V$2:$V$518))&lt;&gt;"na"))&gt;1),AND($W176&lt;&gt;"",LOWER(TRIM($W176))&lt;&gt;"n/a",LOWER(TRIM($W176))&lt;&gt;"na",SUMPRODUCT(--(UPPER(TRIM($W$2:$W$518))=UPPER(TRIM($W176))),--(TRIM($W$2:$W$518)&lt;&gt;""),--(LOWER(TRIM($W$2:$W$518))&lt;&gt;"n/a"),--(LOWER(TRIM($W$2:$W$518))&lt;&gt;"na"))&gt;1),AND($X176&lt;&gt;"",LOWER(TRIM($X176))&lt;&gt;"n/a",LOWER(TRIM($X176))&lt;&gt;"na",SUMPRODUCT(--(UPPER(TRIM($X$2:$X$518))=UPPER(TRIM($X176))),--(TRIM($X$2:$X$518)&lt;&gt;""),--(LOWER(TRIM($X$2:$X$518))&lt;&gt;"n/a"),--(LOWER(TRIM($X$2:$X$518))&lt;&gt;"na"))&gt;1),AND($Y176&lt;&gt;"",LOWER(TRIM($Y176))&lt;&gt;"n/a",LOWER(TRIM($Y176))&lt;&gt;"na",SUMPRODUCT(--(UPPER(SUBSTITUTE(SUBSTITUTE(TRIM($Y$2:$Y$518),":",""),"-",""))=UPPER(SUBSTITUTE(SUBSTITUTE(TRIM($Y176),":",""),"-",""))),--(TRIM($Y$2:$Y$518)&lt;&gt;""),--(LOWER(TRIM($Y$2:$Y$518))&lt;&gt;"n/a"),--(LOWER(TRIM($Y$2:$Y$518))&lt;&gt;"na"))&gt;1),AND($AB176&lt;&gt;"",LOWER(TRIM($AB176))&lt;&gt;"n/a",LOWER(TRIM($AB176))&lt;&gt;"na",SUMPRODUCT(--(UPPER(TRIM($AB$2:$AB$518))=UPPER(TRIM($AB176))),--(TRIM($AB$2:$AB$518)&lt;&gt;""),--(LOWER(TRIM($AB$2:$AB$518))&lt;&gt;"n/a"),--(LOWER(TRIM($AB$2:$AB$518))&lt;&gt;"na"))&gt;1),AND($AH176&lt;&gt;"",LOWER(TRIM($AH176))&lt;&gt;"n/a",LOWER(TRIM($AH176))&lt;&gt;"na",SUMPRODUCT(--(UPPER(SUBSTITUTE(SUBSTITUTE(TRIM($AH$2:$AH$518),":",""),"-",""))=UPPER(SUBSTITUTE(SUBSTITUTE(TRIM($AH176),":",""),"-",""))),--(TRIM($AH$2:$AH$518)&lt;&gt;""),--(LOWER(TRIM($AH$2:$AH$518))&lt;&gt;"n/a"),--(LOWER(TRIM($AH$2:$AH$518))&lt;&gt;"na"))&gt;1),AND($AP176&lt;&gt;"",LOWER(TRIM($AP176))&lt;&gt;"n/a",LOWER(TRIM($AP176))&lt;&gt;"na",SUMPRODUCT(--(UPPER(TRIM($AP$2:$AP$518))=UPPER(TRIM($AP176))),--(TRIM($AP$2:$AP$518)&lt;&gt;""),--(LOWER(TRIM($AP$2:$AP$518))&lt;&gt;"n/a"),--(LOWER(TRIM($AP$2:$AP$518))&lt;&gt;"na"))&gt;1),AND($AQ176&lt;&gt;"",LOWER(TRIM($AQ176))&lt;&gt;"n/a",LOWER(TRIM($AQ176))&lt;&gt;"na",SUMPRODUCT(--(UPPER(TRIM($AQ$2:$AQ$518))=UPPER(TRIM($AQ176))),--(TRIM($AQ$2:$AQ$518)&lt;&gt;""),--(LOWER(TRIM($AQ$2:$AQ$518))&lt;&gt;"n/a"),--(LOWER(TRIM($AQ$2:$AQ$518))&lt;&gt;"na"))&gt;1)),"Yes","No"))</f>
        <v/>
      </c>
      <c r="F176">
        <f>IF(UPPER(TRIM($B176))&lt;&gt;"YES","", IF(OR(AND($V176&lt;&gt;"", LOWER(TRIM($V176))&lt;&gt;"n/a", LOWER(TRIM($V176))&lt;&gt;"na", SUMPRODUCT(--(UPPER(TRIM($V$2:$V$518))=UPPER(TRIM($V176))), --(UPPER(TRIM($B$2:$B$518))="YES"), --(UPPER(TRIM($G$2:$G$518)&amp;TRIM($I$2:$I$518)&amp;TRIM($J$2:$J$518))&lt;&gt;UPPER(TRIM($G176)&amp;TRIM($I176)&amp;TRIM($J176))))&gt;0), AND($W176&lt;&gt;"", LOWER(TRIM($W176))&lt;&gt;"n/a", LOWER(TRIM($W176))&lt;&gt;"na", SUMPRODUCT(--(UPPER(TRIM($W$2:$W$518))=UPPER(TRIM($W176))), --(UPPER(TRIM($B$2:$B$518))="YES"), --(UPPER(TRIM($G$2:$G$518)&amp;TRIM($I$2:$I$518)&amp;TRIM($J$2:$J$518))&lt;&gt;UPPER(TRIM($G176)&amp;TRIM($I176)&amp;TRIM($J176))))&gt;0), AND($X176&lt;&gt;"", LOWER(TRIM($X176))&lt;&gt;"n/a", LOWER(TRIM($X176))&lt;&gt;"na", SUMPRODUCT(--(UPPER(TRIM($X$2:$X$518))=UPPER(TRIM($X176))), --(UPPER(TRIM($B$2:$B$518))="YES"), --(UPPER(TRIM($G$2:$G$518)&amp;TRIM($I$2:$I$518)&amp;TRIM($J$2:$J$518))&lt;&gt;UPPER(TRIM($G176)&amp;TRIM($I176)&amp;TRIM($J176))))&gt;0), AND($Y176&lt;&gt;"", LOWER(TRIM($Y176))&lt;&gt;"n/a", LOWER(TRIM($Y176))&lt;&gt;"na", SUMPRODUCT(--(UPPER(SUBSTITUTE(SUBSTITUTE(TRIM($Y$2:$Y$518),":",""),"-",""))=UPPER(SUBSTITUTE(SUBSTITUTE(TRIM($Y176),":",""),"-",""))), --(UPPER(TRIM($B$2:$B$518))="YES"), --(UPPER(TRIM($G$2:$G$518)&amp;TRIM($I$2:$I$518)&amp;TRIM($J$2:$J$518))&lt;&gt;UPPER(TRIM($G176)&amp;TRIM($I176)&amp;TRIM($J176))))&gt;0), AND($AB176&lt;&gt;"", LOWER(TRIM($AB176))&lt;&gt;"n/a", LOWER(TRIM($AB176))&lt;&gt;"na", SUMPRODUCT(--(UPPER(TRIM($AB$2:$AB$518))=UPPER(TRIM($AB176))), --(UPPER(TRIM($B$2:$B$518))="YES"), --(UPPER(TRIM($G$2:$G$518)&amp;TRIM($I$2:$I$518)&amp;TRIM($J$2:$J$518))&lt;&gt;UPPER(TRIM($G176)&amp;TRIM($I176)&amp;TRIM($J176))))&gt;0), AND($AH176&lt;&gt;"", LOWER(TRIM($AH176))&lt;&gt;"n/a", LOWER(TRIM($AH176))&lt;&gt;"na", SUMPRODUCT(--(UPPER(SUBSTITUTE(SUBSTITUTE(TRIM($AH$2:$AH$518),":",""),"-",""))=UPPER(SUBSTITUTE(SUBSTITUTE(TRIM($AH176),":",""),"-",""))), --(UPPER(TRIM($B$2:$B$518))="YES"), --(UPPER(TRIM($G$2:$G$518)&amp;TRIM($I$2:$I$518)&amp;TRIM($J$2:$J$518))&lt;&gt;UPPER(TRIM($G176)&amp;TRIM($I176)&amp;TRIM($J176))))&gt;0), AND($AP176&lt;&gt;"", LOWER(TRIM($AP176))&lt;&gt;"n/a", LOWER(TRIM($AP176))&lt;&gt;"na", SUMPRODUCT(--(UPPER(TRIM($AP$2:$AP$518))=UPPER(TRIM($AP176))), --(UPPER(TRIM($B$2:$B$518))="YES"), --(UPPER(TRIM($G$2:$G$518)&amp;TRIM($I$2:$I$518)&amp;TRIM($J$2:$J$518))&lt;&gt;UPPER(TRIM($G176)&amp;TRIM($I176)&amp;TRIM($J176))))&gt;0), AND($AQ176&lt;&gt;"", LOWER(TRIM($AQ176))&lt;&gt;"n/a", LOWER(TRIM($AQ176))&lt;&gt;"na", SUMPRODUCT(--(UPPER(TRIM($AQ$2:$AQ$518))=UPPER(TRIM($AQ176))), --(UPPER(TRIM($B$2:$B$518))="YES"), --(UPPER(TRIM($G$2:$G$518)&amp;TRIM($I$2:$I$518)&amp;TRIM($J$2:$J$518))&lt;&gt;UPPER(TRIM($G176)&amp;TRIM($I176)&amp;TRIM($J176))))&gt;0)), "Yes", "No"))</f>
        <v/>
      </c>
      <c r="G176" t="inlineStr">
        <is>
          <t>LIJ - OR</t>
        </is>
      </c>
      <c r="H176" t="inlineStr">
        <is>
          <t>LIJ - OR</t>
        </is>
      </c>
      <c r="I176" t="inlineStr">
        <is>
          <t>LIJ ORs</t>
        </is>
      </c>
      <c r="J176" t="inlineStr">
        <is>
          <t>OR 10</t>
        </is>
      </c>
      <c r="K176" t="inlineStr">
        <is>
          <t>n/a</t>
        </is>
      </c>
      <c r="L176" s="18" t="n">
        <v>46074</v>
      </c>
      <c r="M176" t="inlineStr">
        <is>
          <t>OR iPro Cybernet Workstation</t>
        </is>
      </c>
      <c r="N176" t="inlineStr">
        <is>
          <t>Yes</t>
        </is>
      </c>
      <c r="O176" t="inlineStr">
        <is>
          <t>Yes</t>
        </is>
      </c>
      <c r="P176" t="inlineStr">
        <is>
          <t>Yes</t>
        </is>
      </c>
      <c r="Q176" t="inlineStr">
        <is>
          <t>Inpatient</t>
        </is>
      </c>
      <c r="S176" t="inlineStr">
        <is>
          <t>Pass</t>
        </is>
      </c>
      <c r="T176" t="inlineStr">
        <is>
          <t>n/a</t>
        </is>
      </c>
      <c r="U176" t="inlineStr">
        <is>
          <t>1427182 LIJ Installation (Project Name) - Tim W. Seeberger, Akbar, Chris Perkins, Epic Team, Anesthesia Techs, and Admins</t>
        </is>
      </c>
      <c r="V176" t="inlineStr">
        <is>
          <t>WNH270OPR442</t>
        </is>
      </c>
      <c r="W176" t="inlineStr">
        <is>
          <t>MEDSG2425E-0026</t>
        </is>
      </c>
      <c r="X176" t="inlineStr">
        <is>
          <t>LIJ-MACH-EE</t>
        </is>
      </c>
      <c r="Y176" t="inlineStr">
        <is>
          <t>A0F5097FF5A7</t>
        </is>
      </c>
      <c r="Z176" t="inlineStr">
        <is>
          <t>n/a</t>
        </is>
      </c>
      <c r="AH176" t="inlineStr">
        <is>
          <t>00:0D:05:0A:A8:3F</t>
        </is>
      </c>
      <c r="AI176" t="inlineStr">
        <is>
          <t>Anesthesia Machine</t>
        </is>
      </c>
      <c r="AK176" t="n">
        <v>2</v>
      </c>
      <c r="AM176" t="inlineStr">
        <is>
          <t>Drager</t>
        </is>
      </c>
      <c r="AN176" t="inlineStr">
        <is>
          <t>Apollo</t>
        </is>
      </c>
      <c r="AP176" t="inlineStr">
        <is>
          <t>ASCJ-0098</t>
        </is>
      </c>
      <c r="AQ176" t="inlineStr">
        <is>
          <t>ASCJ-0098</t>
        </is>
      </c>
      <c r="AS176" t="inlineStr">
        <is>
          <t>B1-CFW</t>
        </is>
      </c>
      <c r="AX176" t="inlineStr">
        <is>
          <t>MX750 - DE77669022</t>
        </is>
      </c>
      <c r="AY176" t="inlineStr">
        <is>
          <t>Anesthesia Machine</t>
        </is>
      </c>
      <c r="BR176" t="inlineStr">
        <is>
          <t>Yes</t>
        </is>
      </c>
      <c r="BS176" t="inlineStr">
        <is>
          <t>Yes</t>
        </is>
      </c>
      <c r="BT176" t="inlineStr">
        <is>
          <t>Yes</t>
        </is>
      </c>
      <c r="BU176" t="inlineStr">
        <is>
          <t>Yes</t>
        </is>
      </c>
      <c r="CA176" t="inlineStr">
        <is>
          <t>iPro
Epic Satellite
ALLSCRIPTS
EPIC BCA</t>
        </is>
      </c>
      <c r="CD176">
        <f>IF($Y176="","",IF((IF(AND($BR176&lt;&gt;"Yes",$BR176&lt;&gt;"N/A"),"Power Cable, ","")&amp;IF(AND($BS176&lt;&gt;"Yes",$BS176&lt;&gt;"N/A"),"Battery, ","")&amp;IF(AND($AD176&lt;&gt;"Yes",$AD176&lt;&gt;"N/A"),"Firmware Download, ","")&amp;IF(AND(OR($AD176="Yes",$AD176="N/A"),$AE176&lt;&gt;"Yes",$AE176&lt;&gt;"N/A"),"Firmware Install, ","")&amp;IF(AND($CB176&lt;&gt;"Yes",$CB176&lt;&gt;"N/A"),"Device ID, ","")&amp;IF(AND($CC176&lt;&gt;"Yes",$CC176&lt;&gt;"N/A"),"Epic Beans Relay, ",""))="","",LEFT(IF(AND($BR176&lt;&gt;"Yes",$BR176&lt;&gt;"N/A"),"Power Cable, ","")&amp;IF(AND($BS176&lt;&gt;"Yes",$BS176&lt;&gt;"N/A"),"Battery, ","")&amp;IF(AND($AD176&lt;&gt;"Yes",$AD176&lt;&gt;"N/A"),"Firmware Download, ","")&amp;IF(AND(OR($AD176="Yes",$AD176="N/A"),$AE176&lt;&gt;"Yes",$AE176&lt;&gt;"N/A"),"Firmware Install, ","")&amp;IF(AND($CB176&lt;&gt;"Yes",$CB176&lt;&gt;"N/A"),"Device ID, ","")&amp;IF(AND($CC176&lt;&gt;"Yes",$CC176&lt;&gt;"N/A"),"Epic Beans Relay, ",""),LEN(IF(AND($BR176&lt;&gt;"Yes",$BR176&lt;&gt;"N/A"),"Power Cable, ","")&amp;IF(AND($BS176&lt;&gt;"Yes",$BS176&lt;&gt;"N/A"),"Battery, ","")&amp;IF(AND($AD176&lt;&gt;"Yes",$AD176&lt;&gt;"N/A"),"Firmware Download, ","")&amp;IF(AND(OR($AD176="Yes",$AD176="N/A"),$AE176&lt;&gt;"Yes",$AE176&lt;&gt;"N/A"),"Firmware Install, ","")&amp;IF(AND($CB176&lt;&gt;"Yes",$CB176&lt;&gt;"N/A"),"Device ID, ","")&amp;IF(AND($CC176&lt;&gt;"Yes",$CC176&lt;&gt;"N/A"),"Epic Beans Relay, ",""))-2)))</f>
        <v/>
      </c>
      <c r="CE176">
        <f>IF($Y176="","",IF($CD176="","Yes","Blocked"))</f>
        <v/>
      </c>
      <c r="CF176" t="inlineStr">
        <is>
          <t>Yes</t>
        </is>
      </c>
      <c r="CG176" t="inlineStr">
        <is>
          <t>Yes</t>
        </is>
      </c>
      <c r="CH176" t="inlineStr">
        <is>
          <t>Yes</t>
        </is>
      </c>
      <c r="CI176" t="inlineStr">
        <is>
          <t>Yes</t>
        </is>
      </c>
      <c r="CJ176" t="inlineStr">
        <is>
          <t>Yes</t>
        </is>
      </c>
      <c r="CK176" t="n">
        <v>19200</v>
      </c>
      <c r="CP176">
        <f>IF($CO176="","",IFERROR(VLOOKUP($CO176,'01_Warehouse_Ledger'!$A:$N,4,FALSE),""))</f>
        <v/>
      </c>
      <c r="CQ176">
        <f>IF($CO176="","",IFERROR(VLOOKUP($CO176,'01_Warehouse_Ledger'!$A:$N,5,FALSE),""))</f>
        <v/>
      </c>
      <c r="CR176">
        <f>IF($CO176="","",IFERROR(VLOOKUP($CO176,'01_Warehouse_Ledger'!$A:$N,13,FALSE),""))</f>
        <v/>
      </c>
      <c r="CW176">
        <f>IF($S176="","",IF(UPPER(TRIM($S176))&lt;&gt;"PASS","",IF(LEN(TRIM($BY176))&gt;0,"NOTES_PRESENT",IF(LEN(TRIM($T176))=0,"SET_NA",IF(OR(LOWER(TRIM($T176))="na",LOWER(TRIM($T176))="n/a"),"OK","MANUAL_OVERRIDE")))))</f>
        <v/>
      </c>
    </row>
    <row r="177">
      <c r="A177" t="inlineStr">
        <is>
          <t>Cybernet</t>
        </is>
      </c>
      <c r="B177" s="5" t="inlineStr">
        <is>
          <t>Yes</t>
        </is>
      </c>
      <c r="C177" t="inlineStr">
        <is>
          <t>Yes</t>
        </is>
      </c>
      <c r="D177">
        <f>IF($B177&lt;&gt;"Yes","",IF($C177="No","Yes",IF($C177="Yes","No","")))</f>
        <v/>
      </c>
      <c r="E177">
        <f>IF($A177="","",IF(OR(AND($V177&lt;&gt;"",LOWER(TRIM($V177))&lt;&gt;"n/a",LOWER(TRIM($V177))&lt;&gt;"na",SUMPRODUCT(--(UPPER(TRIM($V$2:$V$518))=UPPER(TRIM($V177))),--(TRIM($V$2:$V$518)&lt;&gt;""),--(LOWER(TRIM($V$2:$V$518))&lt;&gt;"n/a"),--(LOWER(TRIM($V$2:$V$518))&lt;&gt;"na"))&gt;1),AND($W177&lt;&gt;"",LOWER(TRIM($W177))&lt;&gt;"n/a",LOWER(TRIM($W177))&lt;&gt;"na",SUMPRODUCT(--(UPPER(TRIM($W$2:$W$518))=UPPER(TRIM($W177))),--(TRIM($W$2:$W$518)&lt;&gt;""),--(LOWER(TRIM($W$2:$W$518))&lt;&gt;"n/a"),--(LOWER(TRIM($W$2:$W$518))&lt;&gt;"na"))&gt;1),AND($X177&lt;&gt;"",LOWER(TRIM($X177))&lt;&gt;"n/a",LOWER(TRIM($X177))&lt;&gt;"na",SUMPRODUCT(--(UPPER(TRIM($X$2:$X$518))=UPPER(TRIM($X177))),--(TRIM($X$2:$X$518)&lt;&gt;""),--(LOWER(TRIM($X$2:$X$518))&lt;&gt;"n/a"),--(LOWER(TRIM($X$2:$X$518))&lt;&gt;"na"))&gt;1),AND($Y177&lt;&gt;"",LOWER(TRIM($Y177))&lt;&gt;"n/a",LOWER(TRIM($Y177))&lt;&gt;"na",SUMPRODUCT(--(UPPER(SUBSTITUTE(SUBSTITUTE(TRIM($Y$2:$Y$518),":",""),"-",""))=UPPER(SUBSTITUTE(SUBSTITUTE(TRIM($Y177),":",""),"-",""))),--(TRIM($Y$2:$Y$518)&lt;&gt;""),--(LOWER(TRIM($Y$2:$Y$518))&lt;&gt;"n/a"),--(LOWER(TRIM($Y$2:$Y$518))&lt;&gt;"na"))&gt;1),AND($AB177&lt;&gt;"",LOWER(TRIM($AB177))&lt;&gt;"n/a",LOWER(TRIM($AB177))&lt;&gt;"na",SUMPRODUCT(--(UPPER(TRIM($AB$2:$AB$518))=UPPER(TRIM($AB177))),--(TRIM($AB$2:$AB$518)&lt;&gt;""),--(LOWER(TRIM($AB$2:$AB$518))&lt;&gt;"n/a"),--(LOWER(TRIM($AB$2:$AB$518))&lt;&gt;"na"))&gt;1),AND($AH177&lt;&gt;"",LOWER(TRIM($AH177))&lt;&gt;"n/a",LOWER(TRIM($AH177))&lt;&gt;"na",SUMPRODUCT(--(UPPER(SUBSTITUTE(SUBSTITUTE(TRIM($AH$2:$AH$518),":",""),"-",""))=UPPER(SUBSTITUTE(SUBSTITUTE(TRIM($AH177),":",""),"-",""))),--(TRIM($AH$2:$AH$518)&lt;&gt;""),--(LOWER(TRIM($AH$2:$AH$518))&lt;&gt;"n/a"),--(LOWER(TRIM($AH$2:$AH$518))&lt;&gt;"na"))&gt;1),AND($AP177&lt;&gt;"",LOWER(TRIM($AP177))&lt;&gt;"n/a",LOWER(TRIM($AP177))&lt;&gt;"na",SUMPRODUCT(--(UPPER(TRIM($AP$2:$AP$518))=UPPER(TRIM($AP177))),--(TRIM($AP$2:$AP$518)&lt;&gt;""),--(LOWER(TRIM($AP$2:$AP$518))&lt;&gt;"n/a"),--(LOWER(TRIM($AP$2:$AP$518))&lt;&gt;"na"))&gt;1),AND($AQ177&lt;&gt;"",LOWER(TRIM($AQ177))&lt;&gt;"n/a",LOWER(TRIM($AQ177))&lt;&gt;"na",SUMPRODUCT(--(UPPER(TRIM($AQ$2:$AQ$518))=UPPER(TRIM($AQ177))),--(TRIM($AQ$2:$AQ$518)&lt;&gt;""),--(LOWER(TRIM($AQ$2:$AQ$518))&lt;&gt;"n/a"),--(LOWER(TRIM($AQ$2:$AQ$518))&lt;&gt;"na"))&gt;1)),"Yes","No"))</f>
        <v/>
      </c>
      <c r="F177">
        <f>IF(UPPER(TRIM($B177))&lt;&gt;"YES","", IF(OR(AND($V177&lt;&gt;"", LOWER(TRIM($V177))&lt;&gt;"n/a", LOWER(TRIM($V177))&lt;&gt;"na", SUMPRODUCT(--(UPPER(TRIM($V$2:$V$518))=UPPER(TRIM($V177))), --(UPPER(TRIM($B$2:$B$518))="YES"), --(UPPER(TRIM($G$2:$G$518)&amp;TRIM($I$2:$I$518)&amp;TRIM($J$2:$J$518))&lt;&gt;UPPER(TRIM($G177)&amp;TRIM($I177)&amp;TRIM($J177))))&gt;0), AND($W177&lt;&gt;"", LOWER(TRIM($W177))&lt;&gt;"n/a", LOWER(TRIM($W177))&lt;&gt;"na", SUMPRODUCT(--(UPPER(TRIM($W$2:$W$518))=UPPER(TRIM($W177))), --(UPPER(TRIM($B$2:$B$518))="YES"), --(UPPER(TRIM($G$2:$G$518)&amp;TRIM($I$2:$I$518)&amp;TRIM($J$2:$J$518))&lt;&gt;UPPER(TRIM($G177)&amp;TRIM($I177)&amp;TRIM($J177))))&gt;0), AND($X177&lt;&gt;"", LOWER(TRIM($X177))&lt;&gt;"n/a", LOWER(TRIM($X177))&lt;&gt;"na", SUMPRODUCT(--(UPPER(TRIM($X$2:$X$518))=UPPER(TRIM($X177))), --(UPPER(TRIM($B$2:$B$518))="YES"), --(UPPER(TRIM($G$2:$G$518)&amp;TRIM($I$2:$I$518)&amp;TRIM($J$2:$J$518))&lt;&gt;UPPER(TRIM($G177)&amp;TRIM($I177)&amp;TRIM($J177))))&gt;0), AND($Y177&lt;&gt;"", LOWER(TRIM($Y177))&lt;&gt;"n/a", LOWER(TRIM($Y177))&lt;&gt;"na", SUMPRODUCT(--(UPPER(SUBSTITUTE(SUBSTITUTE(TRIM($Y$2:$Y$518),":",""),"-",""))=UPPER(SUBSTITUTE(SUBSTITUTE(TRIM($Y177),":",""),"-",""))), --(UPPER(TRIM($B$2:$B$518))="YES"), --(UPPER(TRIM($G$2:$G$518)&amp;TRIM($I$2:$I$518)&amp;TRIM($J$2:$J$518))&lt;&gt;UPPER(TRIM($G177)&amp;TRIM($I177)&amp;TRIM($J177))))&gt;0), AND($AB177&lt;&gt;"", LOWER(TRIM($AB177))&lt;&gt;"n/a", LOWER(TRIM($AB177))&lt;&gt;"na", SUMPRODUCT(--(UPPER(TRIM($AB$2:$AB$518))=UPPER(TRIM($AB177))), --(UPPER(TRIM($B$2:$B$518))="YES"), --(UPPER(TRIM($G$2:$G$518)&amp;TRIM($I$2:$I$518)&amp;TRIM($J$2:$J$518))&lt;&gt;UPPER(TRIM($G177)&amp;TRIM($I177)&amp;TRIM($J177))))&gt;0), AND($AH177&lt;&gt;"", LOWER(TRIM($AH177))&lt;&gt;"n/a", LOWER(TRIM($AH177))&lt;&gt;"na", SUMPRODUCT(--(UPPER(SUBSTITUTE(SUBSTITUTE(TRIM($AH$2:$AH$518),":",""),"-",""))=UPPER(SUBSTITUTE(SUBSTITUTE(TRIM($AH177),":",""),"-",""))), --(UPPER(TRIM($B$2:$B$518))="YES"), --(UPPER(TRIM($G$2:$G$518)&amp;TRIM($I$2:$I$518)&amp;TRIM($J$2:$J$518))&lt;&gt;UPPER(TRIM($G177)&amp;TRIM($I177)&amp;TRIM($J177))))&gt;0), AND($AP177&lt;&gt;"", LOWER(TRIM($AP177))&lt;&gt;"n/a", LOWER(TRIM($AP177))&lt;&gt;"na", SUMPRODUCT(--(UPPER(TRIM($AP$2:$AP$518))=UPPER(TRIM($AP177))), --(UPPER(TRIM($B$2:$B$518))="YES"), --(UPPER(TRIM($G$2:$G$518)&amp;TRIM($I$2:$I$518)&amp;TRIM($J$2:$J$518))&lt;&gt;UPPER(TRIM($G177)&amp;TRIM($I177)&amp;TRIM($J177))))&gt;0), AND($AQ177&lt;&gt;"", LOWER(TRIM($AQ177))&lt;&gt;"n/a", LOWER(TRIM($AQ177))&lt;&gt;"na", SUMPRODUCT(--(UPPER(TRIM($AQ$2:$AQ$518))=UPPER(TRIM($AQ177))), --(UPPER(TRIM($B$2:$B$518))="YES"), --(UPPER(TRIM($G$2:$G$518)&amp;TRIM($I$2:$I$518)&amp;TRIM($J$2:$J$518))&lt;&gt;UPPER(TRIM($G177)&amp;TRIM($I177)&amp;TRIM($J177))))&gt;0)), "Yes", "No"))</f>
        <v/>
      </c>
      <c r="G177" t="inlineStr">
        <is>
          <t>LIJ - CCMC</t>
        </is>
      </c>
      <c r="H177" t="inlineStr">
        <is>
          <t>LIJ - CCMC</t>
        </is>
      </c>
      <c r="I177" t="inlineStr">
        <is>
          <t>2nd Floor</t>
        </is>
      </c>
      <c r="J177" t="inlineStr">
        <is>
          <t>OR 4</t>
        </is>
      </c>
      <c r="K177" t="inlineStr">
        <is>
          <t>n/a</t>
        </is>
      </c>
      <c r="L177" s="18" t="n">
        <v>46067</v>
      </c>
      <c r="M177" t="inlineStr">
        <is>
          <t>iPro OR Workstation</t>
        </is>
      </c>
      <c r="N177" t="inlineStr">
        <is>
          <t>no</t>
        </is>
      </c>
      <c r="O177" t="inlineStr">
        <is>
          <t>yes</t>
        </is>
      </c>
      <c r="P177" t="inlineStr">
        <is>
          <t>yes</t>
        </is>
      </c>
      <c r="Q177" t="inlineStr">
        <is>
          <t>inpatient</t>
        </is>
      </c>
      <c r="S177" t="inlineStr">
        <is>
          <t>Pass</t>
        </is>
      </c>
      <c r="T177" t="inlineStr">
        <is>
          <t>n/a</t>
        </is>
      </c>
      <c r="U177" t="inlineStr">
        <is>
          <t>Tim</t>
        </is>
      </c>
      <c r="V177" s="65" t="inlineStr">
        <is>
          <t>WNH269OPR020</t>
        </is>
      </c>
      <c r="W177" t="inlineStr">
        <is>
          <t>MEDSG2425F-3046</t>
        </is>
      </c>
      <c r="X177" t="inlineStr">
        <is>
          <t>CCMC-MACH-D</t>
        </is>
      </c>
      <c r="Y177" t="inlineStr">
        <is>
          <t>00187DE07829</t>
        </is>
      </c>
      <c r="AI177" t="inlineStr">
        <is>
          <t>Anesthesia Machine</t>
        </is>
      </c>
      <c r="AK177" t="n">
        <v>2</v>
      </c>
      <c r="AL177" t="inlineStr">
        <is>
          <t>482 - 5601 - 483</t>
        </is>
      </c>
      <c r="AM177" t="inlineStr">
        <is>
          <t>Drager</t>
        </is>
      </c>
      <c r="AN177" t="inlineStr">
        <is>
          <t>Apollo</t>
        </is>
      </c>
      <c r="AP177" s="66" t="inlineStr">
        <is>
          <t>ASPB-0091</t>
        </is>
      </c>
      <c r="AQ177" s="66" t="inlineStr">
        <is>
          <t>ASPB-0091</t>
        </is>
      </c>
      <c r="AX177" t="inlineStr">
        <is>
          <t>Neuron</t>
        </is>
      </c>
      <c r="AY177" t="inlineStr">
        <is>
          <t>Philips Intellivue MX800\DE703A4479</t>
        </is>
      </c>
      <c r="BT177" t="inlineStr">
        <is>
          <t>No</t>
        </is>
      </c>
      <c r="BU177" t="inlineStr">
        <is>
          <t>Yes</t>
        </is>
      </c>
      <c r="BW177" t="inlineStr">
        <is>
          <t>Yes</t>
        </is>
      </c>
      <c r="CA177" t="inlineStr">
        <is>
          <t>iPro
Epic Satellite
ALLSCRIPTS
EPIC BCA</t>
        </is>
      </c>
      <c r="CD177">
        <f>IF($Y177="","",IF((IF(AND($BR177&lt;&gt;"Yes",$BR177&lt;&gt;"N/A"),"Power Cable, ","")&amp;IF(AND($BS177&lt;&gt;"Yes",$BS177&lt;&gt;"N/A"),"Battery, ","")&amp;IF(AND($AD177&lt;&gt;"Yes",$AD177&lt;&gt;"N/A"),"Firmware Download, ","")&amp;IF(AND(OR($AD177="Yes",$AD177="N/A"),$AE177&lt;&gt;"Yes",$AE177&lt;&gt;"N/A"),"Firmware Install, ","")&amp;IF(AND($CB177&lt;&gt;"Yes",$CB177&lt;&gt;"N/A"),"Device ID, ","")&amp;IF(AND($CC177&lt;&gt;"Yes",$CC177&lt;&gt;"N/A"),"Epic Beans Relay, ",""))="","",LEFT(IF(AND($BR177&lt;&gt;"Yes",$BR177&lt;&gt;"N/A"),"Power Cable, ","")&amp;IF(AND($BS177&lt;&gt;"Yes",$BS177&lt;&gt;"N/A"),"Battery, ","")&amp;IF(AND($AD177&lt;&gt;"Yes",$AD177&lt;&gt;"N/A"),"Firmware Download, ","")&amp;IF(AND(OR($AD177="Yes",$AD177="N/A"),$AE177&lt;&gt;"Yes",$AE177&lt;&gt;"N/A"),"Firmware Install, ","")&amp;IF(AND($CB177&lt;&gt;"Yes",$CB177&lt;&gt;"N/A"),"Device ID, ","")&amp;IF(AND($CC177&lt;&gt;"Yes",$CC177&lt;&gt;"N/A"),"Epic Beans Relay, ",""),LEN(IF(AND($BR177&lt;&gt;"Yes",$BR177&lt;&gt;"N/A"),"Power Cable, ","")&amp;IF(AND($BS177&lt;&gt;"Yes",$BS177&lt;&gt;"N/A"),"Battery, ","")&amp;IF(AND($AD177&lt;&gt;"Yes",$AD177&lt;&gt;"N/A"),"Firmware Download, ","")&amp;IF(AND(OR($AD177="Yes",$AD177="N/A"),$AE177&lt;&gt;"Yes",$AE177&lt;&gt;"N/A"),"Firmware Install, ","")&amp;IF(AND($CB177&lt;&gt;"Yes",$CB177&lt;&gt;"N/A"),"Device ID, ","")&amp;IF(AND($CC177&lt;&gt;"Yes",$CC177&lt;&gt;"N/A"),"Epic Beans Relay, ",""))-2)))</f>
        <v/>
      </c>
      <c r="CE177">
        <f>IF($Y177="","",IF($CD177="","Yes","Blocked"))</f>
        <v/>
      </c>
      <c r="CF177" t="inlineStr">
        <is>
          <t>No</t>
        </is>
      </c>
      <c r="CG177" t="inlineStr">
        <is>
          <t>Yes</t>
        </is>
      </c>
      <c r="CH177" t="inlineStr">
        <is>
          <t>Yes</t>
        </is>
      </c>
      <c r="CI177" t="inlineStr">
        <is>
          <t>No</t>
        </is>
      </c>
      <c r="CJ177" t="inlineStr">
        <is>
          <t>Yes</t>
        </is>
      </c>
      <c r="CP177">
        <f>IF($CO177="","",IFERROR(VLOOKUP($CO177,'01_Warehouse_Ledger'!$A:$N,4,FALSE),""))</f>
        <v/>
      </c>
      <c r="CQ177">
        <f>IF($CO177="","",IFERROR(VLOOKUP($CO177,'01_Warehouse_Ledger'!$A:$N,5,FALSE),""))</f>
        <v/>
      </c>
      <c r="CR177">
        <f>IF($CO177="","",IFERROR(VLOOKUP($CO177,'01_Warehouse_Ledger'!$A:$N,13,FALSE),""))</f>
        <v/>
      </c>
      <c r="CW177">
        <f>IF($S177="","",IF(UPPER(TRIM($S177))&lt;&gt;"PASS","",IF(LEN(TRIM($BY177))&gt;0,"NOTES_PRESENT",IF(LEN(TRIM($T177))=0,"SET_NA",IF(OR(LOWER(TRIM($T177))="na",LOWER(TRIM($T177))="n/a"),"OK","MANUAL_OVERRIDE")))))</f>
        <v/>
      </c>
    </row>
    <row r="178">
      <c r="A178" t="inlineStr">
        <is>
          <t>Cybernet</t>
        </is>
      </c>
      <c r="B178" s="5" t="inlineStr">
        <is>
          <t>Yes</t>
        </is>
      </c>
      <c r="C178" t="inlineStr">
        <is>
          <t>Yes</t>
        </is>
      </c>
      <c r="D178">
        <f>IF($B178&lt;&gt;"Yes","",IF($C178="No","Yes",IF($C178="Yes","No","")))</f>
        <v/>
      </c>
      <c r="E178">
        <f>IF($A178="","",IF(OR(AND($V178&lt;&gt;"",LOWER(TRIM($V178))&lt;&gt;"n/a",LOWER(TRIM($V178))&lt;&gt;"na",SUMPRODUCT(--(UPPER(TRIM($V$2:$V$518))=UPPER(TRIM($V178))),--(TRIM($V$2:$V$518)&lt;&gt;""),--(LOWER(TRIM($V$2:$V$518))&lt;&gt;"n/a"),--(LOWER(TRIM($V$2:$V$518))&lt;&gt;"na"))&gt;1),AND($W178&lt;&gt;"",LOWER(TRIM($W178))&lt;&gt;"n/a",LOWER(TRIM($W178))&lt;&gt;"na",SUMPRODUCT(--(UPPER(TRIM($W$2:$W$518))=UPPER(TRIM($W178))),--(TRIM($W$2:$W$518)&lt;&gt;""),--(LOWER(TRIM($W$2:$W$518))&lt;&gt;"n/a"),--(LOWER(TRIM($W$2:$W$518))&lt;&gt;"na"))&gt;1),AND($X178&lt;&gt;"",LOWER(TRIM($X178))&lt;&gt;"n/a",LOWER(TRIM($X178))&lt;&gt;"na",SUMPRODUCT(--(UPPER(TRIM($X$2:$X$518))=UPPER(TRIM($X178))),--(TRIM($X$2:$X$518)&lt;&gt;""),--(LOWER(TRIM($X$2:$X$518))&lt;&gt;"n/a"),--(LOWER(TRIM($X$2:$X$518))&lt;&gt;"na"))&gt;1),AND($Y178&lt;&gt;"",LOWER(TRIM($Y178))&lt;&gt;"n/a",LOWER(TRIM($Y178))&lt;&gt;"na",SUMPRODUCT(--(UPPER(SUBSTITUTE(SUBSTITUTE(TRIM($Y$2:$Y$518),":",""),"-",""))=UPPER(SUBSTITUTE(SUBSTITUTE(TRIM($Y178),":",""),"-",""))),--(TRIM($Y$2:$Y$518)&lt;&gt;""),--(LOWER(TRIM($Y$2:$Y$518))&lt;&gt;"n/a"),--(LOWER(TRIM($Y$2:$Y$518))&lt;&gt;"na"))&gt;1),AND($AB178&lt;&gt;"",LOWER(TRIM($AB178))&lt;&gt;"n/a",LOWER(TRIM($AB178))&lt;&gt;"na",SUMPRODUCT(--(UPPER(TRIM($AB$2:$AB$518))=UPPER(TRIM($AB178))),--(TRIM($AB$2:$AB$518)&lt;&gt;""),--(LOWER(TRIM($AB$2:$AB$518))&lt;&gt;"n/a"),--(LOWER(TRIM($AB$2:$AB$518))&lt;&gt;"na"))&gt;1),AND($AH178&lt;&gt;"",LOWER(TRIM($AH178))&lt;&gt;"n/a",LOWER(TRIM($AH178))&lt;&gt;"na",SUMPRODUCT(--(UPPER(SUBSTITUTE(SUBSTITUTE(TRIM($AH$2:$AH$518),":",""),"-",""))=UPPER(SUBSTITUTE(SUBSTITUTE(TRIM($AH178),":",""),"-",""))),--(TRIM($AH$2:$AH$518)&lt;&gt;""),--(LOWER(TRIM($AH$2:$AH$518))&lt;&gt;"n/a"),--(LOWER(TRIM($AH$2:$AH$518))&lt;&gt;"na"))&gt;1),AND($AP178&lt;&gt;"",LOWER(TRIM($AP178))&lt;&gt;"n/a",LOWER(TRIM($AP178))&lt;&gt;"na",SUMPRODUCT(--(UPPER(TRIM($AP$2:$AP$518))=UPPER(TRIM($AP178))),--(TRIM($AP$2:$AP$518)&lt;&gt;""),--(LOWER(TRIM($AP$2:$AP$518))&lt;&gt;"n/a"),--(LOWER(TRIM($AP$2:$AP$518))&lt;&gt;"na"))&gt;1),AND($AQ178&lt;&gt;"",LOWER(TRIM($AQ178))&lt;&gt;"n/a",LOWER(TRIM($AQ178))&lt;&gt;"na",SUMPRODUCT(--(UPPER(TRIM($AQ$2:$AQ$518))=UPPER(TRIM($AQ178))),--(TRIM($AQ$2:$AQ$518)&lt;&gt;""),--(LOWER(TRIM($AQ$2:$AQ$518))&lt;&gt;"n/a"),--(LOWER(TRIM($AQ$2:$AQ$518))&lt;&gt;"na"))&gt;1)),"Yes","No"))</f>
        <v/>
      </c>
      <c r="F178">
        <f>IF(UPPER(TRIM($B178))&lt;&gt;"YES","", IF(OR(AND($V178&lt;&gt;"", LOWER(TRIM($V178))&lt;&gt;"n/a", LOWER(TRIM($V178))&lt;&gt;"na", SUMPRODUCT(--(UPPER(TRIM($V$2:$V$518))=UPPER(TRIM($V178))), --(UPPER(TRIM($B$2:$B$518))="YES"), --(UPPER(TRIM($G$2:$G$518)&amp;TRIM($I$2:$I$518)&amp;TRIM($J$2:$J$518))&lt;&gt;UPPER(TRIM($G178)&amp;TRIM($I178)&amp;TRIM($J178))))&gt;0), AND($W178&lt;&gt;"", LOWER(TRIM($W178))&lt;&gt;"n/a", LOWER(TRIM($W178))&lt;&gt;"na", SUMPRODUCT(--(UPPER(TRIM($W$2:$W$518))=UPPER(TRIM($W178))), --(UPPER(TRIM($B$2:$B$518))="YES"), --(UPPER(TRIM($G$2:$G$518)&amp;TRIM($I$2:$I$518)&amp;TRIM($J$2:$J$518))&lt;&gt;UPPER(TRIM($G178)&amp;TRIM($I178)&amp;TRIM($J178))))&gt;0), AND($X178&lt;&gt;"", LOWER(TRIM($X178))&lt;&gt;"n/a", LOWER(TRIM($X178))&lt;&gt;"na", SUMPRODUCT(--(UPPER(TRIM($X$2:$X$518))=UPPER(TRIM($X178))), --(UPPER(TRIM($B$2:$B$518))="YES"), --(UPPER(TRIM($G$2:$G$518)&amp;TRIM($I$2:$I$518)&amp;TRIM($J$2:$J$518))&lt;&gt;UPPER(TRIM($G178)&amp;TRIM($I178)&amp;TRIM($J178))))&gt;0), AND($Y178&lt;&gt;"", LOWER(TRIM($Y178))&lt;&gt;"n/a", LOWER(TRIM($Y178))&lt;&gt;"na", SUMPRODUCT(--(UPPER(SUBSTITUTE(SUBSTITUTE(TRIM($Y$2:$Y$518),":",""),"-",""))=UPPER(SUBSTITUTE(SUBSTITUTE(TRIM($Y178),":",""),"-",""))), --(UPPER(TRIM($B$2:$B$518))="YES"), --(UPPER(TRIM($G$2:$G$518)&amp;TRIM($I$2:$I$518)&amp;TRIM($J$2:$J$518))&lt;&gt;UPPER(TRIM($G178)&amp;TRIM($I178)&amp;TRIM($J178))))&gt;0), AND($AB178&lt;&gt;"", LOWER(TRIM($AB178))&lt;&gt;"n/a", LOWER(TRIM($AB178))&lt;&gt;"na", SUMPRODUCT(--(UPPER(TRIM($AB$2:$AB$518))=UPPER(TRIM($AB178))), --(UPPER(TRIM($B$2:$B$518))="YES"), --(UPPER(TRIM($G$2:$G$518)&amp;TRIM($I$2:$I$518)&amp;TRIM($J$2:$J$518))&lt;&gt;UPPER(TRIM($G178)&amp;TRIM($I178)&amp;TRIM($J178))))&gt;0), AND($AH178&lt;&gt;"", LOWER(TRIM($AH178))&lt;&gt;"n/a", LOWER(TRIM($AH178))&lt;&gt;"na", SUMPRODUCT(--(UPPER(SUBSTITUTE(SUBSTITUTE(TRIM($AH$2:$AH$518),":",""),"-",""))=UPPER(SUBSTITUTE(SUBSTITUTE(TRIM($AH178),":",""),"-",""))), --(UPPER(TRIM($B$2:$B$518))="YES"), --(UPPER(TRIM($G$2:$G$518)&amp;TRIM($I$2:$I$518)&amp;TRIM($J$2:$J$518))&lt;&gt;UPPER(TRIM($G178)&amp;TRIM($I178)&amp;TRIM($J178))))&gt;0), AND($AP178&lt;&gt;"", LOWER(TRIM($AP178))&lt;&gt;"n/a", LOWER(TRIM($AP178))&lt;&gt;"na", SUMPRODUCT(--(UPPER(TRIM($AP$2:$AP$518))=UPPER(TRIM($AP178))), --(UPPER(TRIM($B$2:$B$518))="YES"), --(UPPER(TRIM($G$2:$G$518)&amp;TRIM($I$2:$I$518)&amp;TRIM($J$2:$J$518))&lt;&gt;UPPER(TRIM($G178)&amp;TRIM($I178)&amp;TRIM($J178))))&gt;0), AND($AQ178&lt;&gt;"", LOWER(TRIM($AQ178))&lt;&gt;"n/a", LOWER(TRIM($AQ178))&lt;&gt;"na", SUMPRODUCT(--(UPPER(TRIM($AQ$2:$AQ$518))=UPPER(TRIM($AQ178))), --(UPPER(TRIM($B$2:$B$518))="YES"), --(UPPER(TRIM($G$2:$G$518)&amp;TRIM($I$2:$I$518)&amp;TRIM($J$2:$J$518))&lt;&gt;UPPER(TRIM($G178)&amp;TRIM($I178)&amp;TRIM($J178))))&gt;0)), "Yes", "No"))</f>
        <v/>
      </c>
      <c r="G178" t="inlineStr">
        <is>
          <t>LIJ - CCMC</t>
        </is>
      </c>
      <c r="H178" t="inlineStr">
        <is>
          <t>LIJ - CCMC</t>
        </is>
      </c>
      <c r="I178" t="inlineStr">
        <is>
          <t>2nd Floor</t>
        </is>
      </c>
      <c r="J178" t="inlineStr">
        <is>
          <t>OR 2</t>
        </is>
      </c>
      <c r="K178" t="inlineStr">
        <is>
          <t>n/a</t>
        </is>
      </c>
      <c r="L178" s="18" t="n">
        <v>46067</v>
      </c>
      <c r="M178" t="inlineStr">
        <is>
          <t>iPro OR Workstation</t>
        </is>
      </c>
      <c r="N178" t="inlineStr">
        <is>
          <t>no</t>
        </is>
      </c>
      <c r="O178" t="inlineStr">
        <is>
          <t>yes</t>
        </is>
      </c>
      <c r="P178" t="inlineStr">
        <is>
          <t>yes</t>
        </is>
      </c>
      <c r="Q178" t="inlineStr">
        <is>
          <t>inpatient</t>
        </is>
      </c>
      <c r="S178" t="inlineStr">
        <is>
          <t>Pass</t>
        </is>
      </c>
      <c r="T178" t="inlineStr">
        <is>
          <t>n/a</t>
        </is>
      </c>
      <c r="U178" t="inlineStr">
        <is>
          <t>Tim</t>
        </is>
      </c>
      <c r="V178" t="inlineStr">
        <is>
          <t>WNH269OPR021</t>
        </is>
      </c>
      <c r="W178" t="inlineStr">
        <is>
          <t>MEDSG2425F-3235</t>
        </is>
      </c>
      <c r="X178" t="inlineStr">
        <is>
          <t>CCMC-MACH-I</t>
        </is>
      </c>
      <c r="Y178" t="inlineStr">
        <is>
          <t>00187DE05E5A6</t>
        </is>
      </c>
      <c r="AI178" t="inlineStr">
        <is>
          <t>Anesthesia Machine</t>
        </is>
      </c>
      <c r="AK178" t="n">
        <v>2</v>
      </c>
      <c r="AL178" t="inlineStr">
        <is>
          <t>462 - 5601 - 463</t>
        </is>
      </c>
      <c r="AM178" t="inlineStr">
        <is>
          <t>Drager</t>
        </is>
      </c>
      <c r="AN178" t="inlineStr">
        <is>
          <t>Apollo</t>
        </is>
      </c>
      <c r="AP178" s="66" t="inlineStr">
        <is>
          <t>ASPB-0087</t>
        </is>
      </c>
      <c r="AQ178" s="66" t="inlineStr">
        <is>
          <t>ASPB-0087</t>
        </is>
      </c>
      <c r="AX178" t="inlineStr">
        <is>
          <t>Neuron</t>
        </is>
      </c>
      <c r="AY178" t="inlineStr">
        <is>
          <t>Philips Intellivue MX800\DE703A4475</t>
        </is>
      </c>
      <c r="BT178" t="inlineStr">
        <is>
          <t>No</t>
        </is>
      </c>
      <c r="BU178" t="inlineStr">
        <is>
          <t>Yes</t>
        </is>
      </c>
      <c r="BW178" t="inlineStr">
        <is>
          <t>Yes</t>
        </is>
      </c>
      <c r="CA178" t="inlineStr">
        <is>
          <t>iPro
Epic Satellite
ALLSCRIPTS
EPIC BCA</t>
        </is>
      </c>
      <c r="CD178">
        <f>IF($Y178="","",IF((IF(AND($BR178&lt;&gt;"Yes",$BR178&lt;&gt;"N/A"),"Power Cable, ","")&amp;IF(AND($BS178&lt;&gt;"Yes",$BS178&lt;&gt;"N/A"),"Battery, ","")&amp;IF(AND($AD178&lt;&gt;"Yes",$AD178&lt;&gt;"N/A"),"Firmware Download, ","")&amp;IF(AND(OR($AD178="Yes",$AD178="N/A"),$AE178&lt;&gt;"Yes",$AE178&lt;&gt;"N/A"),"Firmware Install, ","")&amp;IF(AND($CB178&lt;&gt;"Yes",$CB178&lt;&gt;"N/A"),"Device ID, ","")&amp;IF(AND($CC178&lt;&gt;"Yes",$CC178&lt;&gt;"N/A"),"Epic Beans Relay, ",""))="","",LEFT(IF(AND($BR178&lt;&gt;"Yes",$BR178&lt;&gt;"N/A"),"Power Cable, ","")&amp;IF(AND($BS178&lt;&gt;"Yes",$BS178&lt;&gt;"N/A"),"Battery, ","")&amp;IF(AND($AD178&lt;&gt;"Yes",$AD178&lt;&gt;"N/A"),"Firmware Download, ","")&amp;IF(AND(OR($AD178="Yes",$AD178="N/A"),$AE178&lt;&gt;"Yes",$AE178&lt;&gt;"N/A"),"Firmware Install, ","")&amp;IF(AND($CB178&lt;&gt;"Yes",$CB178&lt;&gt;"N/A"),"Device ID, ","")&amp;IF(AND($CC178&lt;&gt;"Yes",$CC178&lt;&gt;"N/A"),"Epic Beans Relay, ",""),LEN(IF(AND($BR178&lt;&gt;"Yes",$BR178&lt;&gt;"N/A"),"Power Cable, ","")&amp;IF(AND($BS178&lt;&gt;"Yes",$BS178&lt;&gt;"N/A"),"Battery, ","")&amp;IF(AND($AD178&lt;&gt;"Yes",$AD178&lt;&gt;"N/A"),"Firmware Download, ","")&amp;IF(AND(OR($AD178="Yes",$AD178="N/A"),$AE178&lt;&gt;"Yes",$AE178&lt;&gt;"N/A"),"Firmware Install, ","")&amp;IF(AND($CB178&lt;&gt;"Yes",$CB178&lt;&gt;"N/A"),"Device ID, ","")&amp;IF(AND($CC178&lt;&gt;"Yes",$CC178&lt;&gt;"N/A"),"Epic Beans Relay, ",""))-2)))</f>
        <v/>
      </c>
      <c r="CE178">
        <f>IF($Y178="","",IF($CD178="","Yes","Blocked"))</f>
        <v/>
      </c>
      <c r="CF178" t="inlineStr">
        <is>
          <t>No</t>
        </is>
      </c>
      <c r="CG178" t="inlineStr">
        <is>
          <t>Yes</t>
        </is>
      </c>
      <c r="CH178" t="inlineStr">
        <is>
          <t>Yes</t>
        </is>
      </c>
      <c r="CI178" t="inlineStr">
        <is>
          <t>No</t>
        </is>
      </c>
      <c r="CJ178" t="inlineStr">
        <is>
          <t>Yes</t>
        </is>
      </c>
      <c r="CP178">
        <f>IF($CO178="","",IFERROR(VLOOKUP($CO178,'01_Warehouse_Ledger'!$A:$N,4,FALSE),""))</f>
        <v/>
      </c>
      <c r="CQ178">
        <f>IF($CO178="","",IFERROR(VLOOKUP($CO178,'01_Warehouse_Ledger'!$A:$N,5,FALSE),""))</f>
        <v/>
      </c>
      <c r="CR178">
        <f>IF($CO178="","",IFERROR(VLOOKUP($CO178,'01_Warehouse_Ledger'!$A:$N,13,FALSE),""))</f>
        <v/>
      </c>
      <c r="CW178">
        <f>IF($S178="","",IF(UPPER(TRIM($S178))&lt;&gt;"PASS","",IF(LEN(TRIM($BY178))&gt;0,"NOTES_PRESENT",IF(LEN(TRIM($T178))=0,"SET_NA",IF(OR(LOWER(TRIM($T178))="na",LOWER(TRIM($T178))="n/a"),"OK","MANUAL_OVERRIDE")))))</f>
        <v/>
      </c>
    </row>
    <row r="179">
      <c r="A179" t="inlineStr">
        <is>
          <t>Cybernet</t>
        </is>
      </c>
      <c r="B179" s="5" t="inlineStr">
        <is>
          <t>Yes</t>
        </is>
      </c>
      <c r="C179" t="inlineStr">
        <is>
          <t>Yes</t>
        </is>
      </c>
      <c r="D179">
        <f>IF($B179&lt;&gt;"Yes","",IF($C179="No","Yes",IF($C179="Yes","No","")))</f>
        <v/>
      </c>
      <c r="E179">
        <f>IF($A179="","",IF(OR(AND($V179&lt;&gt;"",LOWER(TRIM($V179))&lt;&gt;"n/a",LOWER(TRIM($V179))&lt;&gt;"na",SUMPRODUCT(--(UPPER(TRIM($V$2:$V$518))=UPPER(TRIM($V179))),--(TRIM($V$2:$V$518)&lt;&gt;""),--(LOWER(TRIM($V$2:$V$518))&lt;&gt;"n/a"),--(LOWER(TRIM($V$2:$V$518))&lt;&gt;"na"))&gt;1),AND($W179&lt;&gt;"",LOWER(TRIM($W179))&lt;&gt;"n/a",LOWER(TRIM($W179))&lt;&gt;"na",SUMPRODUCT(--(UPPER(TRIM($W$2:$W$518))=UPPER(TRIM($W179))),--(TRIM($W$2:$W$518)&lt;&gt;""),--(LOWER(TRIM($W$2:$W$518))&lt;&gt;"n/a"),--(LOWER(TRIM($W$2:$W$518))&lt;&gt;"na"))&gt;1),AND($X179&lt;&gt;"",LOWER(TRIM($X179))&lt;&gt;"n/a",LOWER(TRIM($X179))&lt;&gt;"na",SUMPRODUCT(--(UPPER(TRIM($X$2:$X$518))=UPPER(TRIM($X179))),--(TRIM($X$2:$X$518)&lt;&gt;""),--(LOWER(TRIM($X$2:$X$518))&lt;&gt;"n/a"),--(LOWER(TRIM($X$2:$X$518))&lt;&gt;"na"))&gt;1),AND($Y179&lt;&gt;"",LOWER(TRIM($Y179))&lt;&gt;"n/a",LOWER(TRIM($Y179))&lt;&gt;"na",SUMPRODUCT(--(UPPER(SUBSTITUTE(SUBSTITUTE(TRIM($Y$2:$Y$518),":",""),"-",""))=UPPER(SUBSTITUTE(SUBSTITUTE(TRIM($Y179),":",""),"-",""))),--(TRIM($Y$2:$Y$518)&lt;&gt;""),--(LOWER(TRIM($Y$2:$Y$518))&lt;&gt;"n/a"),--(LOWER(TRIM($Y$2:$Y$518))&lt;&gt;"na"))&gt;1),AND($AB179&lt;&gt;"",LOWER(TRIM($AB179))&lt;&gt;"n/a",LOWER(TRIM($AB179))&lt;&gt;"na",SUMPRODUCT(--(UPPER(TRIM($AB$2:$AB$518))=UPPER(TRIM($AB179))),--(TRIM($AB$2:$AB$518)&lt;&gt;""),--(LOWER(TRIM($AB$2:$AB$518))&lt;&gt;"n/a"),--(LOWER(TRIM($AB$2:$AB$518))&lt;&gt;"na"))&gt;1),AND($AH179&lt;&gt;"",LOWER(TRIM($AH179))&lt;&gt;"n/a",LOWER(TRIM($AH179))&lt;&gt;"na",SUMPRODUCT(--(UPPER(SUBSTITUTE(SUBSTITUTE(TRIM($AH$2:$AH$518),":",""),"-",""))=UPPER(SUBSTITUTE(SUBSTITUTE(TRIM($AH179),":",""),"-",""))),--(TRIM($AH$2:$AH$518)&lt;&gt;""),--(LOWER(TRIM($AH$2:$AH$518))&lt;&gt;"n/a"),--(LOWER(TRIM($AH$2:$AH$518))&lt;&gt;"na"))&gt;1),AND($AP179&lt;&gt;"",LOWER(TRIM($AP179))&lt;&gt;"n/a",LOWER(TRIM($AP179))&lt;&gt;"na",SUMPRODUCT(--(UPPER(TRIM($AP$2:$AP$518))=UPPER(TRIM($AP179))),--(TRIM($AP$2:$AP$518)&lt;&gt;""),--(LOWER(TRIM($AP$2:$AP$518))&lt;&gt;"n/a"),--(LOWER(TRIM($AP$2:$AP$518))&lt;&gt;"na"))&gt;1),AND($AQ179&lt;&gt;"",LOWER(TRIM($AQ179))&lt;&gt;"n/a",LOWER(TRIM($AQ179))&lt;&gt;"na",SUMPRODUCT(--(UPPER(TRIM($AQ$2:$AQ$518))=UPPER(TRIM($AQ179))),--(TRIM($AQ$2:$AQ$518)&lt;&gt;""),--(LOWER(TRIM($AQ$2:$AQ$518))&lt;&gt;"n/a"),--(LOWER(TRIM($AQ$2:$AQ$518))&lt;&gt;"na"))&gt;1)),"Yes","No"))</f>
        <v/>
      </c>
      <c r="F179">
        <f>IF(UPPER(TRIM($B179))&lt;&gt;"YES","", IF(OR(AND($V179&lt;&gt;"", LOWER(TRIM($V179))&lt;&gt;"n/a", LOWER(TRIM($V179))&lt;&gt;"na", SUMPRODUCT(--(UPPER(TRIM($V$2:$V$518))=UPPER(TRIM($V179))), --(UPPER(TRIM($B$2:$B$518))="YES"), --(UPPER(TRIM($G$2:$G$518)&amp;TRIM($I$2:$I$518)&amp;TRIM($J$2:$J$518))&lt;&gt;UPPER(TRIM($G179)&amp;TRIM($I179)&amp;TRIM($J179))))&gt;0), AND($W179&lt;&gt;"", LOWER(TRIM($W179))&lt;&gt;"n/a", LOWER(TRIM($W179))&lt;&gt;"na", SUMPRODUCT(--(UPPER(TRIM($W$2:$W$518))=UPPER(TRIM($W179))), --(UPPER(TRIM($B$2:$B$518))="YES"), --(UPPER(TRIM($G$2:$G$518)&amp;TRIM($I$2:$I$518)&amp;TRIM($J$2:$J$518))&lt;&gt;UPPER(TRIM($G179)&amp;TRIM($I179)&amp;TRIM($J179))))&gt;0), AND($X179&lt;&gt;"", LOWER(TRIM($X179))&lt;&gt;"n/a", LOWER(TRIM($X179))&lt;&gt;"na", SUMPRODUCT(--(UPPER(TRIM($X$2:$X$518))=UPPER(TRIM($X179))), --(UPPER(TRIM($B$2:$B$518))="YES"), --(UPPER(TRIM($G$2:$G$518)&amp;TRIM($I$2:$I$518)&amp;TRIM($J$2:$J$518))&lt;&gt;UPPER(TRIM($G179)&amp;TRIM($I179)&amp;TRIM($J179))))&gt;0), AND($Y179&lt;&gt;"", LOWER(TRIM($Y179))&lt;&gt;"n/a", LOWER(TRIM($Y179))&lt;&gt;"na", SUMPRODUCT(--(UPPER(SUBSTITUTE(SUBSTITUTE(TRIM($Y$2:$Y$518),":",""),"-",""))=UPPER(SUBSTITUTE(SUBSTITUTE(TRIM($Y179),":",""),"-",""))), --(UPPER(TRIM($B$2:$B$518))="YES"), --(UPPER(TRIM($G$2:$G$518)&amp;TRIM($I$2:$I$518)&amp;TRIM($J$2:$J$518))&lt;&gt;UPPER(TRIM($G179)&amp;TRIM($I179)&amp;TRIM($J179))))&gt;0), AND($AB179&lt;&gt;"", LOWER(TRIM($AB179))&lt;&gt;"n/a", LOWER(TRIM($AB179))&lt;&gt;"na", SUMPRODUCT(--(UPPER(TRIM($AB$2:$AB$518))=UPPER(TRIM($AB179))), --(UPPER(TRIM($B$2:$B$518))="YES"), --(UPPER(TRIM($G$2:$G$518)&amp;TRIM($I$2:$I$518)&amp;TRIM($J$2:$J$518))&lt;&gt;UPPER(TRIM($G179)&amp;TRIM($I179)&amp;TRIM($J179))))&gt;0), AND($AH179&lt;&gt;"", LOWER(TRIM($AH179))&lt;&gt;"n/a", LOWER(TRIM($AH179))&lt;&gt;"na", SUMPRODUCT(--(UPPER(SUBSTITUTE(SUBSTITUTE(TRIM($AH$2:$AH$518),":",""),"-",""))=UPPER(SUBSTITUTE(SUBSTITUTE(TRIM($AH179),":",""),"-",""))), --(UPPER(TRIM($B$2:$B$518))="YES"), --(UPPER(TRIM($G$2:$G$518)&amp;TRIM($I$2:$I$518)&amp;TRIM($J$2:$J$518))&lt;&gt;UPPER(TRIM($G179)&amp;TRIM($I179)&amp;TRIM($J179))))&gt;0), AND($AP179&lt;&gt;"", LOWER(TRIM($AP179))&lt;&gt;"n/a", LOWER(TRIM($AP179))&lt;&gt;"na", SUMPRODUCT(--(UPPER(TRIM($AP$2:$AP$518))=UPPER(TRIM($AP179))), --(UPPER(TRIM($B$2:$B$518))="YES"), --(UPPER(TRIM($G$2:$G$518)&amp;TRIM($I$2:$I$518)&amp;TRIM($J$2:$J$518))&lt;&gt;UPPER(TRIM($G179)&amp;TRIM($I179)&amp;TRIM($J179))))&gt;0), AND($AQ179&lt;&gt;"", LOWER(TRIM($AQ179))&lt;&gt;"n/a", LOWER(TRIM($AQ179))&lt;&gt;"na", SUMPRODUCT(--(UPPER(TRIM($AQ$2:$AQ$518))=UPPER(TRIM($AQ179))), --(UPPER(TRIM($B$2:$B$518))="YES"), --(UPPER(TRIM($G$2:$G$518)&amp;TRIM($I$2:$I$518)&amp;TRIM($J$2:$J$518))&lt;&gt;UPPER(TRIM($G179)&amp;TRIM($I179)&amp;TRIM($J179))))&gt;0)), "Yes", "No"))</f>
        <v/>
      </c>
      <c r="G179" t="inlineStr">
        <is>
          <t>LIJ - CCMC</t>
        </is>
      </c>
      <c r="H179" t="inlineStr">
        <is>
          <t>LIJ - CCMC</t>
        </is>
      </c>
      <c r="I179" t="inlineStr">
        <is>
          <t>2nd Floor</t>
        </is>
      </c>
      <c r="J179" t="inlineStr">
        <is>
          <t xml:space="preserve">OR 7 </t>
        </is>
      </c>
      <c r="K179" t="inlineStr">
        <is>
          <t>n/a</t>
        </is>
      </c>
      <c r="L179" s="18" t="n">
        <v>46067</v>
      </c>
      <c r="M179" t="inlineStr">
        <is>
          <t>iPro OR Workstation</t>
        </is>
      </c>
      <c r="N179" t="inlineStr">
        <is>
          <t>no</t>
        </is>
      </c>
      <c r="O179" t="inlineStr">
        <is>
          <t>yes</t>
        </is>
      </c>
      <c r="P179" t="inlineStr">
        <is>
          <t>yes</t>
        </is>
      </c>
      <c r="Q179" t="inlineStr">
        <is>
          <t>inpatient</t>
        </is>
      </c>
      <c r="S179" t="inlineStr">
        <is>
          <t>Pass</t>
        </is>
      </c>
      <c r="T179" t="inlineStr">
        <is>
          <t>n/a</t>
        </is>
      </c>
      <c r="U179" t="inlineStr">
        <is>
          <t>Tim</t>
        </is>
      </c>
      <c r="V179" t="inlineStr">
        <is>
          <t>WNH269OPR019</t>
        </is>
      </c>
      <c r="X179" t="inlineStr">
        <is>
          <t>CCMC-MACH-G</t>
        </is>
      </c>
      <c r="Y179" t="inlineStr">
        <is>
          <t>00187DE04F67</t>
        </is>
      </c>
      <c r="AB179" t="inlineStr">
        <is>
          <t>SA22703269</t>
        </is>
      </c>
      <c r="AI179" t="inlineStr">
        <is>
          <t>Anesthesia Machine</t>
        </is>
      </c>
      <c r="AK179" t="n">
        <v>2</v>
      </c>
      <c r="AM179" t="inlineStr">
        <is>
          <t>Drager</t>
        </is>
      </c>
      <c r="AN179" t="inlineStr">
        <is>
          <t>Apollo</t>
        </is>
      </c>
      <c r="AP179" s="66" t="inlineStr">
        <is>
          <t>ASPB-0092</t>
        </is>
      </c>
      <c r="AQ179" s="66" t="inlineStr">
        <is>
          <t>ASPB-0092</t>
        </is>
      </c>
      <c r="AX179" t="inlineStr">
        <is>
          <t>Neuron</t>
        </is>
      </c>
      <c r="AY179" t="inlineStr">
        <is>
          <t>Philips Intellivue MX800\DE703A5754</t>
        </is>
      </c>
      <c r="BT179" t="inlineStr">
        <is>
          <t>No</t>
        </is>
      </c>
      <c r="BU179" t="inlineStr">
        <is>
          <t>Yes</t>
        </is>
      </c>
      <c r="BW179" t="inlineStr">
        <is>
          <t>Yes</t>
        </is>
      </c>
      <c r="CA179" t="inlineStr">
        <is>
          <t>iPro
Epic Satellite
ALLSCRIPTS
EPIC BCA</t>
        </is>
      </c>
      <c r="CD179">
        <f>IF($Y179="","",IF((IF(AND($BR179&lt;&gt;"Yes",$BR179&lt;&gt;"N/A"),"Power Cable, ","")&amp;IF(AND($BS179&lt;&gt;"Yes",$BS179&lt;&gt;"N/A"),"Battery, ","")&amp;IF(AND($AD179&lt;&gt;"Yes",$AD179&lt;&gt;"N/A"),"Firmware Download, ","")&amp;IF(AND(OR($AD179="Yes",$AD179="N/A"),$AE179&lt;&gt;"Yes",$AE179&lt;&gt;"N/A"),"Firmware Install, ","")&amp;IF(AND($CB179&lt;&gt;"Yes",$CB179&lt;&gt;"N/A"),"Device ID, ","")&amp;IF(AND($CC179&lt;&gt;"Yes",$CC179&lt;&gt;"N/A"),"Epic Beans Relay, ",""))="","",LEFT(IF(AND($BR179&lt;&gt;"Yes",$BR179&lt;&gt;"N/A"),"Power Cable, ","")&amp;IF(AND($BS179&lt;&gt;"Yes",$BS179&lt;&gt;"N/A"),"Battery, ","")&amp;IF(AND($AD179&lt;&gt;"Yes",$AD179&lt;&gt;"N/A"),"Firmware Download, ","")&amp;IF(AND(OR($AD179="Yes",$AD179="N/A"),$AE179&lt;&gt;"Yes",$AE179&lt;&gt;"N/A"),"Firmware Install, ","")&amp;IF(AND($CB179&lt;&gt;"Yes",$CB179&lt;&gt;"N/A"),"Device ID, ","")&amp;IF(AND($CC179&lt;&gt;"Yes",$CC179&lt;&gt;"N/A"),"Epic Beans Relay, ",""),LEN(IF(AND($BR179&lt;&gt;"Yes",$BR179&lt;&gt;"N/A"),"Power Cable, ","")&amp;IF(AND($BS179&lt;&gt;"Yes",$BS179&lt;&gt;"N/A"),"Battery, ","")&amp;IF(AND($AD179&lt;&gt;"Yes",$AD179&lt;&gt;"N/A"),"Firmware Download, ","")&amp;IF(AND(OR($AD179="Yes",$AD179="N/A"),$AE179&lt;&gt;"Yes",$AE179&lt;&gt;"N/A"),"Firmware Install, ","")&amp;IF(AND($CB179&lt;&gt;"Yes",$CB179&lt;&gt;"N/A"),"Device ID, ","")&amp;IF(AND($CC179&lt;&gt;"Yes",$CC179&lt;&gt;"N/A"),"Epic Beans Relay, ",""))-2)))</f>
        <v/>
      </c>
      <c r="CE179">
        <f>IF($Y179="","",IF($CD179="","Yes","Blocked"))</f>
        <v/>
      </c>
      <c r="CF179" t="inlineStr">
        <is>
          <t>No</t>
        </is>
      </c>
      <c r="CG179" t="inlineStr">
        <is>
          <t>Yes</t>
        </is>
      </c>
      <c r="CH179" t="inlineStr">
        <is>
          <t>Yes</t>
        </is>
      </c>
      <c r="CI179" t="inlineStr">
        <is>
          <t>No</t>
        </is>
      </c>
      <c r="CJ179" t="inlineStr">
        <is>
          <t>Yes</t>
        </is>
      </c>
      <c r="CP179">
        <f>IF($CO179="","",IFERROR(VLOOKUP($CO179,'01_Warehouse_Ledger'!$A:$N,4,FALSE),""))</f>
        <v/>
      </c>
      <c r="CQ179">
        <f>IF($CO179="","",IFERROR(VLOOKUP($CO179,'01_Warehouse_Ledger'!$A:$N,5,FALSE),""))</f>
        <v/>
      </c>
      <c r="CR179">
        <f>IF($CO179="","",IFERROR(VLOOKUP($CO179,'01_Warehouse_Ledger'!$A:$N,13,FALSE),""))</f>
        <v/>
      </c>
      <c r="CW179">
        <f>IF($S179="","",IF(UPPER(TRIM($S179))&lt;&gt;"PASS","",IF(LEN(TRIM($BY179))&gt;0,"NOTES_PRESENT",IF(LEN(TRIM($T179))=0,"SET_NA",IF(OR(LOWER(TRIM($T179))="na",LOWER(TRIM($T179))="n/a"),"OK","MANUAL_OVERRIDE")))))</f>
        <v/>
      </c>
    </row>
    <row r="180">
      <c r="A180" t="inlineStr">
        <is>
          <t>Cybernet</t>
        </is>
      </c>
      <c r="B180" s="5" t="inlineStr">
        <is>
          <t>Yes</t>
        </is>
      </c>
      <c r="C180" t="inlineStr">
        <is>
          <t>Yes</t>
        </is>
      </c>
      <c r="D180">
        <f>IF($B180&lt;&gt;"Yes","",IF($C180="No","Yes",IF($C180="Yes","No","")))</f>
        <v/>
      </c>
      <c r="E180">
        <f>IF($A180="","",IF(OR(AND($V180&lt;&gt;"",LOWER(TRIM($V180))&lt;&gt;"n/a",LOWER(TRIM($V180))&lt;&gt;"na",SUMPRODUCT(--(UPPER(TRIM($V$2:$V$518))=UPPER(TRIM($V180))),--(TRIM($V$2:$V$518)&lt;&gt;""),--(LOWER(TRIM($V$2:$V$518))&lt;&gt;"n/a"),--(LOWER(TRIM($V$2:$V$518))&lt;&gt;"na"))&gt;1),AND($W180&lt;&gt;"",LOWER(TRIM($W180))&lt;&gt;"n/a",LOWER(TRIM($W180))&lt;&gt;"na",SUMPRODUCT(--(UPPER(TRIM($W$2:$W$518))=UPPER(TRIM($W180))),--(TRIM($W$2:$W$518)&lt;&gt;""),--(LOWER(TRIM($W$2:$W$518))&lt;&gt;"n/a"),--(LOWER(TRIM($W$2:$W$518))&lt;&gt;"na"))&gt;1),AND($X180&lt;&gt;"",LOWER(TRIM($X180))&lt;&gt;"n/a",LOWER(TRIM($X180))&lt;&gt;"na",SUMPRODUCT(--(UPPER(TRIM($X$2:$X$518))=UPPER(TRIM($X180))),--(TRIM($X$2:$X$518)&lt;&gt;""),--(LOWER(TRIM($X$2:$X$518))&lt;&gt;"n/a"),--(LOWER(TRIM($X$2:$X$518))&lt;&gt;"na"))&gt;1),AND($Y180&lt;&gt;"",LOWER(TRIM($Y180))&lt;&gt;"n/a",LOWER(TRIM($Y180))&lt;&gt;"na",SUMPRODUCT(--(UPPER(SUBSTITUTE(SUBSTITUTE(TRIM($Y$2:$Y$518),":",""),"-",""))=UPPER(SUBSTITUTE(SUBSTITUTE(TRIM($Y180),":",""),"-",""))),--(TRIM($Y$2:$Y$518)&lt;&gt;""),--(LOWER(TRIM($Y$2:$Y$518))&lt;&gt;"n/a"),--(LOWER(TRIM($Y$2:$Y$518))&lt;&gt;"na"))&gt;1),AND($AB180&lt;&gt;"",LOWER(TRIM($AB180))&lt;&gt;"n/a",LOWER(TRIM($AB180))&lt;&gt;"na",SUMPRODUCT(--(UPPER(TRIM($AB$2:$AB$518))=UPPER(TRIM($AB180))),--(TRIM($AB$2:$AB$518)&lt;&gt;""),--(LOWER(TRIM($AB$2:$AB$518))&lt;&gt;"n/a"),--(LOWER(TRIM($AB$2:$AB$518))&lt;&gt;"na"))&gt;1),AND($AH180&lt;&gt;"",LOWER(TRIM($AH180))&lt;&gt;"n/a",LOWER(TRIM($AH180))&lt;&gt;"na",SUMPRODUCT(--(UPPER(SUBSTITUTE(SUBSTITUTE(TRIM($AH$2:$AH$518),":",""),"-",""))=UPPER(SUBSTITUTE(SUBSTITUTE(TRIM($AH180),":",""),"-",""))),--(TRIM($AH$2:$AH$518)&lt;&gt;""),--(LOWER(TRIM($AH$2:$AH$518))&lt;&gt;"n/a"),--(LOWER(TRIM($AH$2:$AH$518))&lt;&gt;"na"))&gt;1),AND($AP180&lt;&gt;"",LOWER(TRIM($AP180))&lt;&gt;"n/a",LOWER(TRIM($AP180))&lt;&gt;"na",SUMPRODUCT(--(UPPER(TRIM($AP$2:$AP$518))=UPPER(TRIM($AP180))),--(TRIM($AP$2:$AP$518)&lt;&gt;""),--(LOWER(TRIM($AP$2:$AP$518))&lt;&gt;"n/a"),--(LOWER(TRIM($AP$2:$AP$518))&lt;&gt;"na"))&gt;1),AND($AQ180&lt;&gt;"",LOWER(TRIM($AQ180))&lt;&gt;"n/a",LOWER(TRIM($AQ180))&lt;&gt;"na",SUMPRODUCT(--(UPPER(TRIM($AQ$2:$AQ$518))=UPPER(TRIM($AQ180))),--(TRIM($AQ$2:$AQ$518)&lt;&gt;""),--(LOWER(TRIM($AQ$2:$AQ$518))&lt;&gt;"n/a"),--(LOWER(TRIM($AQ$2:$AQ$518))&lt;&gt;"na"))&gt;1)),"Yes","No"))</f>
        <v/>
      </c>
      <c r="F180">
        <f>IF(UPPER(TRIM($B180))&lt;&gt;"YES","", IF(OR(AND($V180&lt;&gt;"", LOWER(TRIM($V180))&lt;&gt;"n/a", LOWER(TRIM($V180))&lt;&gt;"na", SUMPRODUCT(--(UPPER(TRIM($V$2:$V$518))=UPPER(TRIM($V180))), --(UPPER(TRIM($B$2:$B$518))="YES"), --(UPPER(TRIM($G$2:$G$518)&amp;TRIM($I$2:$I$518)&amp;TRIM($J$2:$J$518))&lt;&gt;UPPER(TRIM($G180)&amp;TRIM($I180)&amp;TRIM($J180))))&gt;0), AND($W180&lt;&gt;"", LOWER(TRIM($W180))&lt;&gt;"n/a", LOWER(TRIM($W180))&lt;&gt;"na", SUMPRODUCT(--(UPPER(TRIM($W$2:$W$518))=UPPER(TRIM($W180))), --(UPPER(TRIM($B$2:$B$518))="YES"), --(UPPER(TRIM($G$2:$G$518)&amp;TRIM($I$2:$I$518)&amp;TRIM($J$2:$J$518))&lt;&gt;UPPER(TRIM($G180)&amp;TRIM($I180)&amp;TRIM($J180))))&gt;0), AND($X180&lt;&gt;"", LOWER(TRIM($X180))&lt;&gt;"n/a", LOWER(TRIM($X180))&lt;&gt;"na", SUMPRODUCT(--(UPPER(TRIM($X$2:$X$518))=UPPER(TRIM($X180))), --(UPPER(TRIM($B$2:$B$518))="YES"), --(UPPER(TRIM($G$2:$G$518)&amp;TRIM($I$2:$I$518)&amp;TRIM($J$2:$J$518))&lt;&gt;UPPER(TRIM($G180)&amp;TRIM($I180)&amp;TRIM($J180))))&gt;0), AND($Y180&lt;&gt;"", LOWER(TRIM($Y180))&lt;&gt;"n/a", LOWER(TRIM($Y180))&lt;&gt;"na", SUMPRODUCT(--(UPPER(SUBSTITUTE(SUBSTITUTE(TRIM($Y$2:$Y$518),":",""),"-",""))=UPPER(SUBSTITUTE(SUBSTITUTE(TRIM($Y180),":",""),"-",""))), --(UPPER(TRIM($B$2:$B$518))="YES"), --(UPPER(TRIM($G$2:$G$518)&amp;TRIM($I$2:$I$518)&amp;TRIM($J$2:$J$518))&lt;&gt;UPPER(TRIM($G180)&amp;TRIM($I180)&amp;TRIM($J180))))&gt;0), AND($AB180&lt;&gt;"", LOWER(TRIM($AB180))&lt;&gt;"n/a", LOWER(TRIM($AB180))&lt;&gt;"na", SUMPRODUCT(--(UPPER(TRIM($AB$2:$AB$518))=UPPER(TRIM($AB180))), --(UPPER(TRIM($B$2:$B$518))="YES"), --(UPPER(TRIM($G$2:$G$518)&amp;TRIM($I$2:$I$518)&amp;TRIM($J$2:$J$518))&lt;&gt;UPPER(TRIM($G180)&amp;TRIM($I180)&amp;TRIM($J180))))&gt;0), AND($AH180&lt;&gt;"", LOWER(TRIM($AH180))&lt;&gt;"n/a", LOWER(TRIM($AH180))&lt;&gt;"na", SUMPRODUCT(--(UPPER(SUBSTITUTE(SUBSTITUTE(TRIM($AH$2:$AH$518),":",""),"-",""))=UPPER(SUBSTITUTE(SUBSTITUTE(TRIM($AH180),":",""),"-",""))), --(UPPER(TRIM($B$2:$B$518))="YES"), --(UPPER(TRIM($G$2:$G$518)&amp;TRIM($I$2:$I$518)&amp;TRIM($J$2:$J$518))&lt;&gt;UPPER(TRIM($G180)&amp;TRIM($I180)&amp;TRIM($J180))))&gt;0), AND($AP180&lt;&gt;"", LOWER(TRIM($AP180))&lt;&gt;"n/a", LOWER(TRIM($AP180))&lt;&gt;"na", SUMPRODUCT(--(UPPER(TRIM($AP$2:$AP$518))=UPPER(TRIM($AP180))), --(UPPER(TRIM($B$2:$B$518))="YES"), --(UPPER(TRIM($G$2:$G$518)&amp;TRIM($I$2:$I$518)&amp;TRIM($J$2:$J$518))&lt;&gt;UPPER(TRIM($G180)&amp;TRIM($I180)&amp;TRIM($J180))))&gt;0), AND($AQ180&lt;&gt;"", LOWER(TRIM($AQ180))&lt;&gt;"n/a", LOWER(TRIM($AQ180))&lt;&gt;"na", SUMPRODUCT(--(UPPER(TRIM($AQ$2:$AQ$518))=UPPER(TRIM($AQ180))), --(UPPER(TRIM($B$2:$B$518))="YES"), --(UPPER(TRIM($G$2:$G$518)&amp;TRIM($I$2:$I$518)&amp;TRIM($J$2:$J$518))&lt;&gt;UPPER(TRIM($G180)&amp;TRIM($I180)&amp;TRIM($J180))))&gt;0)), "Yes", "No"))</f>
        <v/>
      </c>
      <c r="G180" t="inlineStr">
        <is>
          <t>LIJ - CCMC</t>
        </is>
      </c>
      <c r="H180" t="inlineStr">
        <is>
          <t>LIJ - CCMC</t>
        </is>
      </c>
      <c r="I180" t="inlineStr">
        <is>
          <t>2nd Floor</t>
        </is>
      </c>
      <c r="J180" t="inlineStr">
        <is>
          <t>OR 6</t>
        </is>
      </c>
      <c r="K180" t="inlineStr">
        <is>
          <t>n/a</t>
        </is>
      </c>
      <c r="L180" s="18" t="n">
        <v>46067</v>
      </c>
      <c r="M180" t="inlineStr">
        <is>
          <t>iPro OR Workstation</t>
        </is>
      </c>
      <c r="N180" t="inlineStr">
        <is>
          <t>no</t>
        </is>
      </c>
      <c r="O180" t="inlineStr">
        <is>
          <t>yes</t>
        </is>
      </c>
      <c r="P180" t="inlineStr">
        <is>
          <t>yes</t>
        </is>
      </c>
      <c r="Q180" t="inlineStr">
        <is>
          <t>inpatient</t>
        </is>
      </c>
      <c r="S180" t="inlineStr">
        <is>
          <t>Pass</t>
        </is>
      </c>
      <c r="T180" t="inlineStr">
        <is>
          <t>n/a</t>
        </is>
      </c>
      <c r="U180" t="inlineStr">
        <is>
          <t>Tim</t>
        </is>
      </c>
      <c r="V180" t="inlineStr">
        <is>
          <t>WNH269OPR018</t>
        </is>
      </c>
      <c r="W180" t="inlineStr">
        <is>
          <t>MEDSG2425F-3214</t>
        </is>
      </c>
      <c r="X180" t="inlineStr">
        <is>
          <t>CCMC-MACH-F</t>
        </is>
      </c>
      <c r="Y180" t="inlineStr">
        <is>
          <t>00187DE0790D</t>
        </is>
      </c>
      <c r="AB180" t="inlineStr">
        <is>
          <t>SA22706403</t>
        </is>
      </c>
      <c r="AI180" t="inlineStr">
        <is>
          <t>Anesthesia Machine</t>
        </is>
      </c>
      <c r="AK180" t="n">
        <v>2</v>
      </c>
      <c r="AL180" t="inlineStr">
        <is>
          <t>494 - 5601 - 495</t>
        </is>
      </c>
      <c r="AM180" t="inlineStr">
        <is>
          <t>Drager</t>
        </is>
      </c>
      <c r="AN180" t="inlineStr">
        <is>
          <t>Apollo</t>
        </is>
      </c>
      <c r="AP180" s="66" t="inlineStr">
        <is>
          <t>ASPB-0100</t>
        </is>
      </c>
      <c r="AQ180" s="66" t="inlineStr">
        <is>
          <t>ASPB-0100</t>
        </is>
      </c>
      <c r="AX180" t="inlineStr">
        <is>
          <t>Neuron</t>
        </is>
      </c>
      <c r="AY180" t="inlineStr">
        <is>
          <t>Philips Intellivue MX800\DE703A4458</t>
        </is>
      </c>
      <c r="BT180" t="inlineStr">
        <is>
          <t>No</t>
        </is>
      </c>
      <c r="BU180" t="inlineStr">
        <is>
          <t>Yes</t>
        </is>
      </c>
      <c r="BW180" t="inlineStr">
        <is>
          <t>Yes</t>
        </is>
      </c>
      <c r="CA180" t="inlineStr">
        <is>
          <t>iPro
Epic Satellite
ALLSCRIPTS
EPIC BCA</t>
        </is>
      </c>
      <c r="CD180">
        <f>IF($Y180="","",IF((IF(AND($BR180&lt;&gt;"Yes",$BR180&lt;&gt;"N/A"),"Power Cable, ","")&amp;IF(AND($BS180&lt;&gt;"Yes",$BS180&lt;&gt;"N/A"),"Battery, ","")&amp;IF(AND($AD180&lt;&gt;"Yes",$AD180&lt;&gt;"N/A"),"Firmware Download, ","")&amp;IF(AND(OR($AD180="Yes",$AD180="N/A"),$AE180&lt;&gt;"Yes",$AE180&lt;&gt;"N/A"),"Firmware Install, ","")&amp;IF(AND($CB180&lt;&gt;"Yes",$CB180&lt;&gt;"N/A"),"Device ID, ","")&amp;IF(AND($CC180&lt;&gt;"Yes",$CC180&lt;&gt;"N/A"),"Epic Beans Relay, ",""))="","",LEFT(IF(AND($BR180&lt;&gt;"Yes",$BR180&lt;&gt;"N/A"),"Power Cable, ","")&amp;IF(AND($BS180&lt;&gt;"Yes",$BS180&lt;&gt;"N/A"),"Battery, ","")&amp;IF(AND($AD180&lt;&gt;"Yes",$AD180&lt;&gt;"N/A"),"Firmware Download, ","")&amp;IF(AND(OR($AD180="Yes",$AD180="N/A"),$AE180&lt;&gt;"Yes",$AE180&lt;&gt;"N/A"),"Firmware Install, ","")&amp;IF(AND($CB180&lt;&gt;"Yes",$CB180&lt;&gt;"N/A"),"Device ID, ","")&amp;IF(AND($CC180&lt;&gt;"Yes",$CC180&lt;&gt;"N/A"),"Epic Beans Relay, ",""),LEN(IF(AND($BR180&lt;&gt;"Yes",$BR180&lt;&gt;"N/A"),"Power Cable, ","")&amp;IF(AND($BS180&lt;&gt;"Yes",$BS180&lt;&gt;"N/A"),"Battery, ","")&amp;IF(AND($AD180&lt;&gt;"Yes",$AD180&lt;&gt;"N/A"),"Firmware Download, ","")&amp;IF(AND(OR($AD180="Yes",$AD180="N/A"),$AE180&lt;&gt;"Yes",$AE180&lt;&gt;"N/A"),"Firmware Install, ","")&amp;IF(AND($CB180&lt;&gt;"Yes",$CB180&lt;&gt;"N/A"),"Device ID, ","")&amp;IF(AND($CC180&lt;&gt;"Yes",$CC180&lt;&gt;"N/A"),"Epic Beans Relay, ",""))-2)))</f>
        <v/>
      </c>
      <c r="CE180">
        <f>IF($Y180="","",IF($CD180="","Yes","Blocked"))</f>
        <v/>
      </c>
      <c r="CF180" t="inlineStr">
        <is>
          <t>No</t>
        </is>
      </c>
      <c r="CG180" t="inlineStr">
        <is>
          <t>Yes</t>
        </is>
      </c>
      <c r="CH180" t="inlineStr">
        <is>
          <t>Yes</t>
        </is>
      </c>
      <c r="CI180" t="inlineStr">
        <is>
          <t>No</t>
        </is>
      </c>
      <c r="CJ180" t="inlineStr">
        <is>
          <t>Yes</t>
        </is>
      </c>
      <c r="CP180">
        <f>IF($CO180="","",IFERROR(VLOOKUP($CO180,'01_Warehouse_Ledger'!$A:$N,4,FALSE),""))</f>
        <v/>
      </c>
      <c r="CQ180">
        <f>IF($CO180="","",IFERROR(VLOOKUP($CO180,'01_Warehouse_Ledger'!$A:$N,5,FALSE),""))</f>
        <v/>
      </c>
      <c r="CR180">
        <f>IF($CO180="","",IFERROR(VLOOKUP($CO180,'01_Warehouse_Ledger'!$A:$N,13,FALSE),""))</f>
        <v/>
      </c>
      <c r="CW180">
        <f>IF($S180="","",IF(UPPER(TRIM($S180))&lt;&gt;"PASS","",IF(LEN(TRIM($BY180))&gt;0,"NOTES_PRESENT",IF(LEN(TRIM($T180))=0,"SET_NA",IF(OR(LOWER(TRIM($T180))="na",LOWER(TRIM($T180))="n/a"),"OK","MANUAL_OVERRIDE")))))</f>
        <v/>
      </c>
    </row>
    <row r="181">
      <c r="A181" t="inlineStr">
        <is>
          <t>Cybernet</t>
        </is>
      </c>
      <c r="B181" s="5" t="inlineStr">
        <is>
          <t>Yes</t>
        </is>
      </c>
      <c r="C181" t="inlineStr">
        <is>
          <t>Yes</t>
        </is>
      </c>
      <c r="D181">
        <f>IF($B181&lt;&gt;"Yes","",IF($C181="No","Yes",IF($C181="Yes","No","")))</f>
        <v/>
      </c>
      <c r="E181">
        <f>IF($A181="","",IF(OR(AND($V181&lt;&gt;"",LOWER(TRIM($V181))&lt;&gt;"n/a",LOWER(TRIM($V181))&lt;&gt;"na",SUMPRODUCT(--(UPPER(TRIM($V$2:$V$518))=UPPER(TRIM($V181))),--(TRIM($V$2:$V$518)&lt;&gt;""),--(LOWER(TRIM($V$2:$V$518))&lt;&gt;"n/a"),--(LOWER(TRIM($V$2:$V$518))&lt;&gt;"na"))&gt;1),AND($W181&lt;&gt;"",LOWER(TRIM($W181))&lt;&gt;"n/a",LOWER(TRIM($W181))&lt;&gt;"na",SUMPRODUCT(--(UPPER(TRIM($W$2:$W$518))=UPPER(TRIM($W181))),--(TRIM($W$2:$W$518)&lt;&gt;""),--(LOWER(TRIM($W$2:$W$518))&lt;&gt;"n/a"),--(LOWER(TRIM($W$2:$W$518))&lt;&gt;"na"))&gt;1),AND($X181&lt;&gt;"",LOWER(TRIM($X181))&lt;&gt;"n/a",LOWER(TRIM($X181))&lt;&gt;"na",SUMPRODUCT(--(UPPER(TRIM($X$2:$X$518))=UPPER(TRIM($X181))),--(TRIM($X$2:$X$518)&lt;&gt;""),--(LOWER(TRIM($X$2:$X$518))&lt;&gt;"n/a"),--(LOWER(TRIM($X$2:$X$518))&lt;&gt;"na"))&gt;1),AND($Y181&lt;&gt;"",LOWER(TRIM($Y181))&lt;&gt;"n/a",LOWER(TRIM($Y181))&lt;&gt;"na",SUMPRODUCT(--(UPPER(SUBSTITUTE(SUBSTITUTE(TRIM($Y$2:$Y$518),":",""),"-",""))=UPPER(SUBSTITUTE(SUBSTITUTE(TRIM($Y181),":",""),"-",""))),--(TRIM($Y$2:$Y$518)&lt;&gt;""),--(LOWER(TRIM($Y$2:$Y$518))&lt;&gt;"n/a"),--(LOWER(TRIM($Y$2:$Y$518))&lt;&gt;"na"))&gt;1),AND($AB181&lt;&gt;"",LOWER(TRIM($AB181))&lt;&gt;"n/a",LOWER(TRIM($AB181))&lt;&gt;"na",SUMPRODUCT(--(UPPER(TRIM($AB$2:$AB$518))=UPPER(TRIM($AB181))),--(TRIM($AB$2:$AB$518)&lt;&gt;""),--(LOWER(TRIM($AB$2:$AB$518))&lt;&gt;"n/a"),--(LOWER(TRIM($AB$2:$AB$518))&lt;&gt;"na"))&gt;1),AND($AH181&lt;&gt;"",LOWER(TRIM($AH181))&lt;&gt;"n/a",LOWER(TRIM($AH181))&lt;&gt;"na",SUMPRODUCT(--(UPPER(SUBSTITUTE(SUBSTITUTE(TRIM($AH$2:$AH$518),":",""),"-",""))=UPPER(SUBSTITUTE(SUBSTITUTE(TRIM($AH181),":",""),"-",""))),--(TRIM($AH$2:$AH$518)&lt;&gt;""),--(LOWER(TRIM($AH$2:$AH$518))&lt;&gt;"n/a"),--(LOWER(TRIM($AH$2:$AH$518))&lt;&gt;"na"))&gt;1),AND($AP181&lt;&gt;"",LOWER(TRIM($AP181))&lt;&gt;"n/a",LOWER(TRIM($AP181))&lt;&gt;"na",SUMPRODUCT(--(UPPER(TRIM($AP$2:$AP$518))=UPPER(TRIM($AP181))),--(TRIM($AP$2:$AP$518)&lt;&gt;""),--(LOWER(TRIM($AP$2:$AP$518))&lt;&gt;"n/a"),--(LOWER(TRIM($AP$2:$AP$518))&lt;&gt;"na"))&gt;1),AND($AQ181&lt;&gt;"",LOWER(TRIM($AQ181))&lt;&gt;"n/a",LOWER(TRIM($AQ181))&lt;&gt;"na",SUMPRODUCT(--(UPPER(TRIM($AQ$2:$AQ$518))=UPPER(TRIM($AQ181))),--(TRIM($AQ$2:$AQ$518)&lt;&gt;""),--(LOWER(TRIM($AQ$2:$AQ$518))&lt;&gt;"n/a"),--(LOWER(TRIM($AQ$2:$AQ$518))&lt;&gt;"na"))&gt;1)),"Yes","No"))</f>
        <v/>
      </c>
      <c r="F181">
        <f>IF(UPPER(TRIM($B181))&lt;&gt;"YES","", IF(OR(AND($V181&lt;&gt;"", LOWER(TRIM($V181))&lt;&gt;"n/a", LOWER(TRIM($V181))&lt;&gt;"na", SUMPRODUCT(--(UPPER(TRIM($V$2:$V$518))=UPPER(TRIM($V181))), --(UPPER(TRIM($B$2:$B$518))="YES"), --(UPPER(TRIM($G$2:$G$518)&amp;TRIM($I$2:$I$518)&amp;TRIM($J$2:$J$518))&lt;&gt;UPPER(TRIM($G181)&amp;TRIM($I181)&amp;TRIM($J181))))&gt;0), AND($W181&lt;&gt;"", LOWER(TRIM($W181))&lt;&gt;"n/a", LOWER(TRIM($W181))&lt;&gt;"na", SUMPRODUCT(--(UPPER(TRIM($W$2:$W$518))=UPPER(TRIM($W181))), --(UPPER(TRIM($B$2:$B$518))="YES"), --(UPPER(TRIM($G$2:$G$518)&amp;TRIM($I$2:$I$518)&amp;TRIM($J$2:$J$518))&lt;&gt;UPPER(TRIM($G181)&amp;TRIM($I181)&amp;TRIM($J181))))&gt;0), AND($X181&lt;&gt;"", LOWER(TRIM($X181))&lt;&gt;"n/a", LOWER(TRIM($X181))&lt;&gt;"na", SUMPRODUCT(--(UPPER(TRIM($X$2:$X$518))=UPPER(TRIM($X181))), --(UPPER(TRIM($B$2:$B$518))="YES"), --(UPPER(TRIM($G$2:$G$518)&amp;TRIM($I$2:$I$518)&amp;TRIM($J$2:$J$518))&lt;&gt;UPPER(TRIM($G181)&amp;TRIM($I181)&amp;TRIM($J181))))&gt;0), AND($Y181&lt;&gt;"", LOWER(TRIM($Y181))&lt;&gt;"n/a", LOWER(TRIM($Y181))&lt;&gt;"na", SUMPRODUCT(--(UPPER(SUBSTITUTE(SUBSTITUTE(TRIM($Y$2:$Y$518),":",""),"-",""))=UPPER(SUBSTITUTE(SUBSTITUTE(TRIM($Y181),":",""),"-",""))), --(UPPER(TRIM($B$2:$B$518))="YES"), --(UPPER(TRIM($G$2:$G$518)&amp;TRIM($I$2:$I$518)&amp;TRIM($J$2:$J$518))&lt;&gt;UPPER(TRIM($G181)&amp;TRIM($I181)&amp;TRIM($J181))))&gt;0), AND($AB181&lt;&gt;"", LOWER(TRIM($AB181))&lt;&gt;"n/a", LOWER(TRIM($AB181))&lt;&gt;"na", SUMPRODUCT(--(UPPER(TRIM($AB$2:$AB$518))=UPPER(TRIM($AB181))), --(UPPER(TRIM($B$2:$B$518))="YES"), --(UPPER(TRIM($G$2:$G$518)&amp;TRIM($I$2:$I$518)&amp;TRIM($J$2:$J$518))&lt;&gt;UPPER(TRIM($G181)&amp;TRIM($I181)&amp;TRIM($J181))))&gt;0), AND($AH181&lt;&gt;"", LOWER(TRIM($AH181))&lt;&gt;"n/a", LOWER(TRIM($AH181))&lt;&gt;"na", SUMPRODUCT(--(UPPER(SUBSTITUTE(SUBSTITUTE(TRIM($AH$2:$AH$518),":",""),"-",""))=UPPER(SUBSTITUTE(SUBSTITUTE(TRIM($AH181),":",""),"-",""))), --(UPPER(TRIM($B$2:$B$518))="YES"), --(UPPER(TRIM($G$2:$G$518)&amp;TRIM($I$2:$I$518)&amp;TRIM($J$2:$J$518))&lt;&gt;UPPER(TRIM($G181)&amp;TRIM($I181)&amp;TRIM($J181))))&gt;0), AND($AP181&lt;&gt;"", LOWER(TRIM($AP181))&lt;&gt;"n/a", LOWER(TRIM($AP181))&lt;&gt;"na", SUMPRODUCT(--(UPPER(TRIM($AP$2:$AP$518))=UPPER(TRIM($AP181))), --(UPPER(TRIM($B$2:$B$518))="YES"), --(UPPER(TRIM($G$2:$G$518)&amp;TRIM($I$2:$I$518)&amp;TRIM($J$2:$J$518))&lt;&gt;UPPER(TRIM($G181)&amp;TRIM($I181)&amp;TRIM($J181))))&gt;0), AND($AQ181&lt;&gt;"", LOWER(TRIM($AQ181))&lt;&gt;"n/a", LOWER(TRIM($AQ181))&lt;&gt;"na", SUMPRODUCT(--(UPPER(TRIM($AQ$2:$AQ$518))=UPPER(TRIM($AQ181))), --(UPPER(TRIM($B$2:$B$518))="YES"), --(UPPER(TRIM($G$2:$G$518)&amp;TRIM($I$2:$I$518)&amp;TRIM($J$2:$J$518))&lt;&gt;UPPER(TRIM($G181)&amp;TRIM($I181)&amp;TRIM($J181))))&gt;0)), "Yes", "No"))</f>
        <v/>
      </c>
      <c r="G181" t="inlineStr">
        <is>
          <t>LIJ - CCMC</t>
        </is>
      </c>
      <c r="H181" t="inlineStr">
        <is>
          <t>LIJ - CCMC</t>
        </is>
      </c>
      <c r="I181" t="inlineStr">
        <is>
          <t>2nd Floor</t>
        </is>
      </c>
      <c r="J181" t="inlineStr">
        <is>
          <t>OR 5</t>
        </is>
      </c>
      <c r="K181" t="inlineStr">
        <is>
          <t>n/a</t>
        </is>
      </c>
      <c r="L181" s="18" t="n">
        <v>46067</v>
      </c>
      <c r="M181" t="inlineStr">
        <is>
          <t>iPro OR Workstation</t>
        </is>
      </c>
      <c r="N181" t="inlineStr">
        <is>
          <t>no</t>
        </is>
      </c>
      <c r="O181" t="inlineStr">
        <is>
          <t>yes</t>
        </is>
      </c>
      <c r="P181" t="inlineStr">
        <is>
          <t>yes</t>
        </is>
      </c>
      <c r="Q181" t="inlineStr">
        <is>
          <t>inpatient</t>
        </is>
      </c>
      <c r="S181" t="inlineStr">
        <is>
          <t>Pass</t>
        </is>
      </c>
      <c r="T181" t="inlineStr">
        <is>
          <t>n/a</t>
        </is>
      </c>
      <c r="U181" t="inlineStr">
        <is>
          <t>Tim</t>
        </is>
      </c>
      <c r="V181" t="inlineStr">
        <is>
          <t>WNH269OPR017</t>
        </is>
      </c>
      <c r="W181" t="inlineStr">
        <is>
          <t>MEDSG2425F-3097</t>
        </is>
      </c>
      <c r="X181" t="inlineStr">
        <is>
          <t>CCMC-MACH-E</t>
        </is>
      </c>
      <c r="Y181" t="inlineStr">
        <is>
          <t>00187DE07841</t>
        </is>
      </c>
      <c r="AB181" t="inlineStr">
        <is>
          <t>SA22706494</t>
        </is>
      </c>
      <c r="AI181" t="inlineStr">
        <is>
          <t>Anesthesia Machine</t>
        </is>
      </c>
      <c r="AK181" t="n">
        <v>2</v>
      </c>
      <c r="AL181" t="inlineStr">
        <is>
          <t>485 - 5601 - 486</t>
        </is>
      </c>
      <c r="AM181" t="inlineStr">
        <is>
          <t>Drager</t>
        </is>
      </c>
      <c r="AN181" t="inlineStr">
        <is>
          <t>Apollo</t>
        </is>
      </c>
      <c r="AP181" s="66" t="inlineStr">
        <is>
          <t>ASPB-0090</t>
        </is>
      </c>
      <c r="AQ181" s="66" t="inlineStr">
        <is>
          <t>ASPB-0090</t>
        </is>
      </c>
      <c r="AX181" t="inlineStr">
        <is>
          <t>Neuron</t>
        </is>
      </c>
      <c r="AY181" t="inlineStr">
        <is>
          <t>Philips Intellivue MX800\DE03305270</t>
        </is>
      </c>
      <c r="BT181" t="inlineStr">
        <is>
          <t>No</t>
        </is>
      </c>
      <c r="BU181" t="inlineStr">
        <is>
          <t>Yes</t>
        </is>
      </c>
      <c r="BW181" t="inlineStr">
        <is>
          <t>Yes</t>
        </is>
      </c>
      <c r="CA181" t="inlineStr">
        <is>
          <t>iPro
Epic Satellite
ALLSCRIPTS
EPIC BCA</t>
        </is>
      </c>
      <c r="CD181">
        <f>IF($Y181="","",IF((IF(AND($BR181&lt;&gt;"Yes",$BR181&lt;&gt;"N/A"),"Power Cable, ","")&amp;IF(AND($BS181&lt;&gt;"Yes",$BS181&lt;&gt;"N/A"),"Battery, ","")&amp;IF(AND($AD181&lt;&gt;"Yes",$AD181&lt;&gt;"N/A"),"Firmware Download, ","")&amp;IF(AND(OR($AD181="Yes",$AD181="N/A"),$AE181&lt;&gt;"Yes",$AE181&lt;&gt;"N/A"),"Firmware Install, ","")&amp;IF(AND($CB181&lt;&gt;"Yes",$CB181&lt;&gt;"N/A"),"Device ID, ","")&amp;IF(AND($CC181&lt;&gt;"Yes",$CC181&lt;&gt;"N/A"),"Epic Beans Relay, ",""))="","",LEFT(IF(AND($BR181&lt;&gt;"Yes",$BR181&lt;&gt;"N/A"),"Power Cable, ","")&amp;IF(AND($BS181&lt;&gt;"Yes",$BS181&lt;&gt;"N/A"),"Battery, ","")&amp;IF(AND($AD181&lt;&gt;"Yes",$AD181&lt;&gt;"N/A"),"Firmware Download, ","")&amp;IF(AND(OR($AD181="Yes",$AD181="N/A"),$AE181&lt;&gt;"Yes",$AE181&lt;&gt;"N/A"),"Firmware Install, ","")&amp;IF(AND($CB181&lt;&gt;"Yes",$CB181&lt;&gt;"N/A"),"Device ID, ","")&amp;IF(AND($CC181&lt;&gt;"Yes",$CC181&lt;&gt;"N/A"),"Epic Beans Relay, ",""),LEN(IF(AND($BR181&lt;&gt;"Yes",$BR181&lt;&gt;"N/A"),"Power Cable, ","")&amp;IF(AND($BS181&lt;&gt;"Yes",$BS181&lt;&gt;"N/A"),"Battery, ","")&amp;IF(AND($AD181&lt;&gt;"Yes",$AD181&lt;&gt;"N/A"),"Firmware Download, ","")&amp;IF(AND(OR($AD181="Yes",$AD181="N/A"),$AE181&lt;&gt;"Yes",$AE181&lt;&gt;"N/A"),"Firmware Install, ","")&amp;IF(AND($CB181&lt;&gt;"Yes",$CB181&lt;&gt;"N/A"),"Device ID, ","")&amp;IF(AND($CC181&lt;&gt;"Yes",$CC181&lt;&gt;"N/A"),"Epic Beans Relay, ",""))-2)))</f>
        <v/>
      </c>
      <c r="CE181">
        <f>IF($Y181="","",IF($CD181="","Yes","Blocked"))</f>
        <v/>
      </c>
      <c r="CF181" t="inlineStr">
        <is>
          <t>No</t>
        </is>
      </c>
      <c r="CG181" t="inlineStr">
        <is>
          <t>Yes</t>
        </is>
      </c>
      <c r="CH181" t="inlineStr">
        <is>
          <t>Yes</t>
        </is>
      </c>
      <c r="CI181" t="inlineStr">
        <is>
          <t>No</t>
        </is>
      </c>
      <c r="CJ181" t="inlineStr">
        <is>
          <t>Yes</t>
        </is>
      </c>
      <c r="CP181">
        <f>IF($CO181="","",IFERROR(VLOOKUP($CO181,'01_Warehouse_Ledger'!$A:$N,4,FALSE),""))</f>
        <v/>
      </c>
      <c r="CQ181">
        <f>IF($CO181="","",IFERROR(VLOOKUP($CO181,'01_Warehouse_Ledger'!$A:$N,5,FALSE),""))</f>
        <v/>
      </c>
      <c r="CR181">
        <f>IF($CO181="","",IFERROR(VLOOKUP($CO181,'01_Warehouse_Ledger'!$A:$N,13,FALSE),""))</f>
        <v/>
      </c>
      <c r="CW181">
        <f>IF($S181="","",IF(UPPER(TRIM($S181))&lt;&gt;"PASS","",IF(LEN(TRIM($BY181))&gt;0,"NOTES_PRESENT",IF(LEN(TRIM($T181))=0,"SET_NA",IF(OR(LOWER(TRIM($T181))="na",LOWER(TRIM($T181))="n/a"),"OK","MANUAL_OVERRIDE")))))</f>
        <v/>
      </c>
    </row>
    <row r="182">
      <c r="A182" t="inlineStr">
        <is>
          <t>Cybernet</t>
        </is>
      </c>
      <c r="B182" s="5" t="inlineStr">
        <is>
          <t>Yes</t>
        </is>
      </c>
      <c r="C182" t="inlineStr">
        <is>
          <t>Yes</t>
        </is>
      </c>
      <c r="D182">
        <f>IF($B182&lt;&gt;"Yes","",IF($C182="No","Yes",IF($C182="Yes","No","")))</f>
        <v/>
      </c>
      <c r="E182">
        <f>IF($A182="","",IF(OR(AND($V182&lt;&gt;"",LOWER(TRIM($V182))&lt;&gt;"n/a",LOWER(TRIM($V182))&lt;&gt;"na",SUMPRODUCT(--(UPPER(TRIM($V$2:$V$518))=UPPER(TRIM($V182))),--(TRIM($V$2:$V$518)&lt;&gt;""),--(LOWER(TRIM($V$2:$V$518))&lt;&gt;"n/a"),--(LOWER(TRIM($V$2:$V$518))&lt;&gt;"na"))&gt;1),AND($W182&lt;&gt;"",LOWER(TRIM($W182))&lt;&gt;"n/a",LOWER(TRIM($W182))&lt;&gt;"na",SUMPRODUCT(--(UPPER(TRIM($W$2:$W$518))=UPPER(TRIM($W182))),--(TRIM($W$2:$W$518)&lt;&gt;""),--(LOWER(TRIM($W$2:$W$518))&lt;&gt;"n/a"),--(LOWER(TRIM($W$2:$W$518))&lt;&gt;"na"))&gt;1),AND($X182&lt;&gt;"",LOWER(TRIM($X182))&lt;&gt;"n/a",LOWER(TRIM($X182))&lt;&gt;"na",SUMPRODUCT(--(UPPER(TRIM($X$2:$X$518))=UPPER(TRIM($X182))),--(TRIM($X$2:$X$518)&lt;&gt;""),--(LOWER(TRIM($X$2:$X$518))&lt;&gt;"n/a"),--(LOWER(TRIM($X$2:$X$518))&lt;&gt;"na"))&gt;1),AND($Y182&lt;&gt;"",LOWER(TRIM($Y182))&lt;&gt;"n/a",LOWER(TRIM($Y182))&lt;&gt;"na",SUMPRODUCT(--(UPPER(SUBSTITUTE(SUBSTITUTE(TRIM($Y$2:$Y$518),":",""),"-",""))=UPPER(SUBSTITUTE(SUBSTITUTE(TRIM($Y182),":",""),"-",""))),--(TRIM($Y$2:$Y$518)&lt;&gt;""),--(LOWER(TRIM($Y$2:$Y$518))&lt;&gt;"n/a"),--(LOWER(TRIM($Y$2:$Y$518))&lt;&gt;"na"))&gt;1),AND($AB182&lt;&gt;"",LOWER(TRIM($AB182))&lt;&gt;"n/a",LOWER(TRIM($AB182))&lt;&gt;"na",SUMPRODUCT(--(UPPER(TRIM($AB$2:$AB$518))=UPPER(TRIM($AB182))),--(TRIM($AB$2:$AB$518)&lt;&gt;""),--(LOWER(TRIM($AB$2:$AB$518))&lt;&gt;"n/a"),--(LOWER(TRIM($AB$2:$AB$518))&lt;&gt;"na"))&gt;1),AND($AH182&lt;&gt;"",LOWER(TRIM($AH182))&lt;&gt;"n/a",LOWER(TRIM($AH182))&lt;&gt;"na",SUMPRODUCT(--(UPPER(SUBSTITUTE(SUBSTITUTE(TRIM($AH$2:$AH$518),":",""),"-",""))=UPPER(SUBSTITUTE(SUBSTITUTE(TRIM($AH182),":",""),"-",""))),--(TRIM($AH$2:$AH$518)&lt;&gt;""),--(LOWER(TRIM($AH$2:$AH$518))&lt;&gt;"n/a"),--(LOWER(TRIM($AH$2:$AH$518))&lt;&gt;"na"))&gt;1),AND($AP182&lt;&gt;"",LOWER(TRIM($AP182))&lt;&gt;"n/a",LOWER(TRIM($AP182))&lt;&gt;"na",SUMPRODUCT(--(UPPER(TRIM($AP$2:$AP$518))=UPPER(TRIM($AP182))),--(TRIM($AP$2:$AP$518)&lt;&gt;""),--(LOWER(TRIM($AP$2:$AP$518))&lt;&gt;"n/a"),--(LOWER(TRIM($AP$2:$AP$518))&lt;&gt;"na"))&gt;1),AND($AQ182&lt;&gt;"",LOWER(TRIM($AQ182))&lt;&gt;"n/a",LOWER(TRIM($AQ182))&lt;&gt;"na",SUMPRODUCT(--(UPPER(TRIM($AQ$2:$AQ$518))=UPPER(TRIM($AQ182))),--(TRIM($AQ$2:$AQ$518)&lt;&gt;""),--(LOWER(TRIM($AQ$2:$AQ$518))&lt;&gt;"n/a"),--(LOWER(TRIM($AQ$2:$AQ$518))&lt;&gt;"na"))&gt;1)),"Yes","No"))</f>
        <v/>
      </c>
      <c r="F182">
        <f>IF(UPPER(TRIM($B182))&lt;&gt;"YES","", IF(OR(AND($V182&lt;&gt;"", LOWER(TRIM($V182))&lt;&gt;"n/a", LOWER(TRIM($V182))&lt;&gt;"na", SUMPRODUCT(--(UPPER(TRIM($V$2:$V$518))=UPPER(TRIM($V182))), --(UPPER(TRIM($B$2:$B$518))="YES"), --(UPPER(TRIM($G$2:$G$518)&amp;TRIM($I$2:$I$518)&amp;TRIM($J$2:$J$518))&lt;&gt;UPPER(TRIM($G182)&amp;TRIM($I182)&amp;TRIM($J182))))&gt;0), AND($W182&lt;&gt;"", LOWER(TRIM($W182))&lt;&gt;"n/a", LOWER(TRIM($W182))&lt;&gt;"na", SUMPRODUCT(--(UPPER(TRIM($W$2:$W$518))=UPPER(TRIM($W182))), --(UPPER(TRIM($B$2:$B$518))="YES"), --(UPPER(TRIM($G$2:$G$518)&amp;TRIM($I$2:$I$518)&amp;TRIM($J$2:$J$518))&lt;&gt;UPPER(TRIM($G182)&amp;TRIM($I182)&amp;TRIM($J182))))&gt;0), AND($X182&lt;&gt;"", LOWER(TRIM($X182))&lt;&gt;"n/a", LOWER(TRIM($X182))&lt;&gt;"na", SUMPRODUCT(--(UPPER(TRIM($X$2:$X$518))=UPPER(TRIM($X182))), --(UPPER(TRIM($B$2:$B$518))="YES"), --(UPPER(TRIM($G$2:$G$518)&amp;TRIM($I$2:$I$518)&amp;TRIM($J$2:$J$518))&lt;&gt;UPPER(TRIM($G182)&amp;TRIM($I182)&amp;TRIM($J182))))&gt;0), AND($Y182&lt;&gt;"", LOWER(TRIM($Y182))&lt;&gt;"n/a", LOWER(TRIM($Y182))&lt;&gt;"na", SUMPRODUCT(--(UPPER(SUBSTITUTE(SUBSTITUTE(TRIM($Y$2:$Y$518),":",""),"-",""))=UPPER(SUBSTITUTE(SUBSTITUTE(TRIM($Y182),":",""),"-",""))), --(UPPER(TRIM($B$2:$B$518))="YES"), --(UPPER(TRIM($G$2:$G$518)&amp;TRIM($I$2:$I$518)&amp;TRIM($J$2:$J$518))&lt;&gt;UPPER(TRIM($G182)&amp;TRIM($I182)&amp;TRIM($J182))))&gt;0), AND($AB182&lt;&gt;"", LOWER(TRIM($AB182))&lt;&gt;"n/a", LOWER(TRIM($AB182))&lt;&gt;"na", SUMPRODUCT(--(UPPER(TRIM($AB$2:$AB$518))=UPPER(TRIM($AB182))), --(UPPER(TRIM($B$2:$B$518))="YES"), --(UPPER(TRIM($G$2:$G$518)&amp;TRIM($I$2:$I$518)&amp;TRIM($J$2:$J$518))&lt;&gt;UPPER(TRIM($G182)&amp;TRIM($I182)&amp;TRIM($J182))))&gt;0), AND($AH182&lt;&gt;"", LOWER(TRIM($AH182))&lt;&gt;"n/a", LOWER(TRIM($AH182))&lt;&gt;"na", SUMPRODUCT(--(UPPER(SUBSTITUTE(SUBSTITUTE(TRIM($AH$2:$AH$518),":",""),"-",""))=UPPER(SUBSTITUTE(SUBSTITUTE(TRIM($AH182),":",""),"-",""))), --(UPPER(TRIM($B$2:$B$518))="YES"), --(UPPER(TRIM($G$2:$G$518)&amp;TRIM($I$2:$I$518)&amp;TRIM($J$2:$J$518))&lt;&gt;UPPER(TRIM($G182)&amp;TRIM($I182)&amp;TRIM($J182))))&gt;0), AND($AP182&lt;&gt;"", LOWER(TRIM($AP182))&lt;&gt;"n/a", LOWER(TRIM($AP182))&lt;&gt;"na", SUMPRODUCT(--(UPPER(TRIM($AP$2:$AP$518))=UPPER(TRIM($AP182))), --(UPPER(TRIM($B$2:$B$518))="YES"), --(UPPER(TRIM($G$2:$G$518)&amp;TRIM($I$2:$I$518)&amp;TRIM($J$2:$J$518))&lt;&gt;UPPER(TRIM($G182)&amp;TRIM($I182)&amp;TRIM($J182))))&gt;0), AND($AQ182&lt;&gt;"", LOWER(TRIM($AQ182))&lt;&gt;"n/a", LOWER(TRIM($AQ182))&lt;&gt;"na", SUMPRODUCT(--(UPPER(TRIM($AQ$2:$AQ$518))=UPPER(TRIM($AQ182))), --(UPPER(TRIM($B$2:$B$518))="YES"), --(UPPER(TRIM($G$2:$G$518)&amp;TRIM($I$2:$I$518)&amp;TRIM($J$2:$J$518))&lt;&gt;UPPER(TRIM($G182)&amp;TRIM($I182)&amp;TRIM($J182))))&gt;0)), "Yes", "No"))</f>
        <v/>
      </c>
      <c r="G182" t="inlineStr">
        <is>
          <t>LIJ - CCMC</t>
        </is>
      </c>
      <c r="H182" t="inlineStr">
        <is>
          <t>LIJ - CCMC</t>
        </is>
      </c>
      <c r="I182" t="inlineStr">
        <is>
          <t>2nd Floor</t>
        </is>
      </c>
      <c r="J182" t="inlineStr">
        <is>
          <t>OR 1</t>
        </is>
      </c>
      <c r="K182" t="inlineStr">
        <is>
          <t>n/a</t>
        </is>
      </c>
      <c r="L182" s="18" t="n">
        <v>46067</v>
      </c>
      <c r="M182" t="inlineStr">
        <is>
          <t>iPro OR Workstation</t>
        </is>
      </c>
      <c r="N182" t="inlineStr">
        <is>
          <t>no</t>
        </is>
      </c>
      <c r="O182" t="inlineStr">
        <is>
          <t>yes</t>
        </is>
      </c>
      <c r="P182" t="inlineStr">
        <is>
          <t>yes</t>
        </is>
      </c>
      <c r="Q182" t="inlineStr">
        <is>
          <t>inpatient</t>
        </is>
      </c>
      <c r="S182" t="inlineStr">
        <is>
          <t>Pass</t>
        </is>
      </c>
      <c r="T182" t="inlineStr">
        <is>
          <t>n/a</t>
        </is>
      </c>
      <c r="U182" t="inlineStr">
        <is>
          <t>Tim</t>
        </is>
      </c>
      <c r="V182" t="inlineStr">
        <is>
          <t>WNH269OPR015</t>
        </is>
      </c>
      <c r="W182" t="inlineStr">
        <is>
          <t>MEDSG2425F-3315</t>
        </is>
      </c>
      <c r="X182" t="inlineStr">
        <is>
          <t>CCMC-MACH-C</t>
        </is>
      </c>
      <c r="Y182" t="inlineStr">
        <is>
          <t>00187DE07912</t>
        </is>
      </c>
      <c r="AB182" t="inlineStr">
        <is>
          <t>SA22706404</t>
        </is>
      </c>
      <c r="AI182" t="inlineStr">
        <is>
          <t>Anesthesia Machine</t>
        </is>
      </c>
      <c r="AK182" t="n">
        <v>2</v>
      </c>
      <c r="AL182" t="inlineStr">
        <is>
          <t>454 - 5601 - 455</t>
        </is>
      </c>
      <c r="AM182" t="inlineStr">
        <is>
          <t>Drager</t>
        </is>
      </c>
      <c r="AN182" t="inlineStr">
        <is>
          <t>Apollo</t>
        </is>
      </c>
      <c r="AP182" s="66" t="inlineStr">
        <is>
          <t>ASPB-0088</t>
        </is>
      </c>
      <c r="AQ182" s="66" t="inlineStr">
        <is>
          <t>ASPB-0088</t>
        </is>
      </c>
      <c r="AX182" t="inlineStr">
        <is>
          <t>Neuron</t>
        </is>
      </c>
      <c r="AY182" t="inlineStr">
        <is>
          <t>Philips Intellivue MX800\DE703A4509</t>
        </is>
      </c>
      <c r="BT182" t="inlineStr">
        <is>
          <t>No</t>
        </is>
      </c>
      <c r="BU182" t="inlineStr">
        <is>
          <t>Yes</t>
        </is>
      </c>
      <c r="BW182" t="inlineStr">
        <is>
          <t>Yes</t>
        </is>
      </c>
      <c r="CA182" t="inlineStr">
        <is>
          <t>iPro
Epic Satellite
ALLSCRIPTS
EPIC BCA</t>
        </is>
      </c>
      <c r="CD182">
        <f>IF($Y182="","",IF((IF(AND($BR182&lt;&gt;"Yes",$BR182&lt;&gt;"N/A"),"Power Cable, ","")&amp;IF(AND($BS182&lt;&gt;"Yes",$BS182&lt;&gt;"N/A"),"Battery, ","")&amp;IF(AND($AD182&lt;&gt;"Yes",$AD182&lt;&gt;"N/A"),"Firmware Download, ","")&amp;IF(AND(OR($AD182="Yes",$AD182="N/A"),$AE182&lt;&gt;"Yes",$AE182&lt;&gt;"N/A"),"Firmware Install, ","")&amp;IF(AND($CB182&lt;&gt;"Yes",$CB182&lt;&gt;"N/A"),"Device ID, ","")&amp;IF(AND($CC182&lt;&gt;"Yes",$CC182&lt;&gt;"N/A"),"Epic Beans Relay, ",""))="","",LEFT(IF(AND($BR182&lt;&gt;"Yes",$BR182&lt;&gt;"N/A"),"Power Cable, ","")&amp;IF(AND($BS182&lt;&gt;"Yes",$BS182&lt;&gt;"N/A"),"Battery, ","")&amp;IF(AND($AD182&lt;&gt;"Yes",$AD182&lt;&gt;"N/A"),"Firmware Download, ","")&amp;IF(AND(OR($AD182="Yes",$AD182="N/A"),$AE182&lt;&gt;"Yes",$AE182&lt;&gt;"N/A"),"Firmware Install, ","")&amp;IF(AND($CB182&lt;&gt;"Yes",$CB182&lt;&gt;"N/A"),"Device ID, ","")&amp;IF(AND($CC182&lt;&gt;"Yes",$CC182&lt;&gt;"N/A"),"Epic Beans Relay, ",""),LEN(IF(AND($BR182&lt;&gt;"Yes",$BR182&lt;&gt;"N/A"),"Power Cable, ","")&amp;IF(AND($BS182&lt;&gt;"Yes",$BS182&lt;&gt;"N/A"),"Battery, ","")&amp;IF(AND($AD182&lt;&gt;"Yes",$AD182&lt;&gt;"N/A"),"Firmware Download, ","")&amp;IF(AND(OR($AD182="Yes",$AD182="N/A"),$AE182&lt;&gt;"Yes",$AE182&lt;&gt;"N/A"),"Firmware Install, ","")&amp;IF(AND($CB182&lt;&gt;"Yes",$CB182&lt;&gt;"N/A"),"Device ID, ","")&amp;IF(AND($CC182&lt;&gt;"Yes",$CC182&lt;&gt;"N/A"),"Epic Beans Relay, ",""))-2)))</f>
        <v/>
      </c>
      <c r="CE182">
        <f>IF($Y182="","",IF($CD182="","Yes","Blocked"))</f>
        <v/>
      </c>
      <c r="CF182" t="inlineStr">
        <is>
          <t>No</t>
        </is>
      </c>
      <c r="CG182" t="inlineStr">
        <is>
          <t>Yes</t>
        </is>
      </c>
      <c r="CH182" t="inlineStr">
        <is>
          <t>Yes</t>
        </is>
      </c>
      <c r="CI182" t="inlineStr">
        <is>
          <t>No</t>
        </is>
      </c>
      <c r="CJ182" t="inlineStr">
        <is>
          <t>Yes</t>
        </is>
      </c>
      <c r="CP182">
        <f>IF($CO182="","",IFERROR(VLOOKUP($CO182,'01_Warehouse_Ledger'!$A:$N,4,FALSE),""))</f>
        <v/>
      </c>
      <c r="CQ182">
        <f>IF($CO182="","",IFERROR(VLOOKUP($CO182,'01_Warehouse_Ledger'!$A:$N,5,FALSE),""))</f>
        <v/>
      </c>
      <c r="CR182">
        <f>IF($CO182="","",IFERROR(VLOOKUP($CO182,'01_Warehouse_Ledger'!$A:$N,13,FALSE),""))</f>
        <v/>
      </c>
      <c r="CW182">
        <f>IF($S182="","",IF(UPPER(TRIM($S182))&lt;&gt;"PASS","",IF(LEN(TRIM($BY182))&gt;0,"NOTES_PRESENT",IF(LEN(TRIM($T182))=0,"SET_NA",IF(OR(LOWER(TRIM($T182))="na",LOWER(TRIM($T182))="n/a"),"OK","MANUAL_OVERRIDE")))))</f>
        <v/>
      </c>
    </row>
    <row r="183">
      <c r="A183" t="inlineStr">
        <is>
          <t>Cybernet</t>
        </is>
      </c>
      <c r="B183" s="5" t="inlineStr">
        <is>
          <t>Yes</t>
        </is>
      </c>
      <c r="C183" t="inlineStr">
        <is>
          <t>Yes</t>
        </is>
      </c>
      <c r="D183">
        <f>IF($B183&lt;&gt;"Yes","",IF($C183="No","Yes",IF($C183="Yes","No","")))</f>
        <v/>
      </c>
      <c r="E183">
        <f>IF($A183="","",IF(OR(AND($V183&lt;&gt;"",LOWER(TRIM($V183))&lt;&gt;"n/a",LOWER(TRIM($V183))&lt;&gt;"na",SUMPRODUCT(--(UPPER(TRIM($V$2:$V$518))=UPPER(TRIM($V183))),--(TRIM($V$2:$V$518)&lt;&gt;""),--(LOWER(TRIM($V$2:$V$518))&lt;&gt;"n/a"),--(LOWER(TRIM($V$2:$V$518))&lt;&gt;"na"))&gt;1),AND($W183&lt;&gt;"",LOWER(TRIM($W183))&lt;&gt;"n/a",LOWER(TRIM($W183))&lt;&gt;"na",SUMPRODUCT(--(UPPER(TRIM($W$2:$W$518))=UPPER(TRIM($W183))),--(TRIM($W$2:$W$518)&lt;&gt;""),--(LOWER(TRIM($W$2:$W$518))&lt;&gt;"n/a"),--(LOWER(TRIM($W$2:$W$518))&lt;&gt;"na"))&gt;1),AND($X183&lt;&gt;"",LOWER(TRIM($X183))&lt;&gt;"n/a",LOWER(TRIM($X183))&lt;&gt;"na",SUMPRODUCT(--(UPPER(TRIM($X$2:$X$518))=UPPER(TRIM($X183))),--(TRIM($X$2:$X$518)&lt;&gt;""),--(LOWER(TRIM($X$2:$X$518))&lt;&gt;"n/a"),--(LOWER(TRIM($X$2:$X$518))&lt;&gt;"na"))&gt;1),AND($Y183&lt;&gt;"",LOWER(TRIM($Y183))&lt;&gt;"n/a",LOWER(TRIM($Y183))&lt;&gt;"na",SUMPRODUCT(--(UPPER(SUBSTITUTE(SUBSTITUTE(TRIM($Y$2:$Y$518),":",""),"-",""))=UPPER(SUBSTITUTE(SUBSTITUTE(TRIM($Y183),":",""),"-",""))),--(TRIM($Y$2:$Y$518)&lt;&gt;""),--(LOWER(TRIM($Y$2:$Y$518))&lt;&gt;"n/a"),--(LOWER(TRIM($Y$2:$Y$518))&lt;&gt;"na"))&gt;1),AND($AB183&lt;&gt;"",LOWER(TRIM($AB183))&lt;&gt;"n/a",LOWER(TRIM($AB183))&lt;&gt;"na",SUMPRODUCT(--(UPPER(TRIM($AB$2:$AB$518))=UPPER(TRIM($AB183))),--(TRIM($AB$2:$AB$518)&lt;&gt;""),--(LOWER(TRIM($AB$2:$AB$518))&lt;&gt;"n/a"),--(LOWER(TRIM($AB$2:$AB$518))&lt;&gt;"na"))&gt;1),AND($AH183&lt;&gt;"",LOWER(TRIM($AH183))&lt;&gt;"n/a",LOWER(TRIM($AH183))&lt;&gt;"na",SUMPRODUCT(--(UPPER(SUBSTITUTE(SUBSTITUTE(TRIM($AH$2:$AH$518),":",""),"-",""))=UPPER(SUBSTITUTE(SUBSTITUTE(TRIM($AH183),":",""),"-",""))),--(TRIM($AH$2:$AH$518)&lt;&gt;""),--(LOWER(TRIM($AH$2:$AH$518))&lt;&gt;"n/a"),--(LOWER(TRIM($AH$2:$AH$518))&lt;&gt;"na"))&gt;1),AND($AP183&lt;&gt;"",LOWER(TRIM($AP183))&lt;&gt;"n/a",LOWER(TRIM($AP183))&lt;&gt;"na",SUMPRODUCT(--(UPPER(TRIM($AP$2:$AP$518))=UPPER(TRIM($AP183))),--(TRIM($AP$2:$AP$518)&lt;&gt;""),--(LOWER(TRIM($AP$2:$AP$518))&lt;&gt;"n/a"),--(LOWER(TRIM($AP$2:$AP$518))&lt;&gt;"na"))&gt;1),AND($AQ183&lt;&gt;"",LOWER(TRIM($AQ183))&lt;&gt;"n/a",LOWER(TRIM($AQ183))&lt;&gt;"na",SUMPRODUCT(--(UPPER(TRIM($AQ$2:$AQ$518))=UPPER(TRIM($AQ183))),--(TRIM($AQ$2:$AQ$518)&lt;&gt;""),--(LOWER(TRIM($AQ$2:$AQ$518))&lt;&gt;"n/a"),--(LOWER(TRIM($AQ$2:$AQ$518))&lt;&gt;"na"))&gt;1)),"Yes","No"))</f>
        <v/>
      </c>
      <c r="F183">
        <f>IF(UPPER(TRIM($B183))&lt;&gt;"YES","", IF(OR(AND($V183&lt;&gt;"", LOWER(TRIM($V183))&lt;&gt;"n/a", LOWER(TRIM($V183))&lt;&gt;"na", SUMPRODUCT(--(UPPER(TRIM($V$2:$V$518))=UPPER(TRIM($V183))), --(UPPER(TRIM($B$2:$B$518))="YES"), --(UPPER(TRIM($G$2:$G$518)&amp;TRIM($I$2:$I$518)&amp;TRIM($J$2:$J$518))&lt;&gt;UPPER(TRIM($G183)&amp;TRIM($I183)&amp;TRIM($J183))))&gt;0), AND($W183&lt;&gt;"", LOWER(TRIM($W183))&lt;&gt;"n/a", LOWER(TRIM($W183))&lt;&gt;"na", SUMPRODUCT(--(UPPER(TRIM($W$2:$W$518))=UPPER(TRIM($W183))), --(UPPER(TRIM($B$2:$B$518))="YES"), --(UPPER(TRIM($G$2:$G$518)&amp;TRIM($I$2:$I$518)&amp;TRIM($J$2:$J$518))&lt;&gt;UPPER(TRIM($G183)&amp;TRIM($I183)&amp;TRIM($J183))))&gt;0), AND($X183&lt;&gt;"", LOWER(TRIM($X183))&lt;&gt;"n/a", LOWER(TRIM($X183))&lt;&gt;"na", SUMPRODUCT(--(UPPER(TRIM($X$2:$X$518))=UPPER(TRIM($X183))), --(UPPER(TRIM($B$2:$B$518))="YES"), --(UPPER(TRIM($G$2:$G$518)&amp;TRIM($I$2:$I$518)&amp;TRIM($J$2:$J$518))&lt;&gt;UPPER(TRIM($G183)&amp;TRIM($I183)&amp;TRIM($J183))))&gt;0), AND($Y183&lt;&gt;"", LOWER(TRIM($Y183))&lt;&gt;"n/a", LOWER(TRIM($Y183))&lt;&gt;"na", SUMPRODUCT(--(UPPER(SUBSTITUTE(SUBSTITUTE(TRIM($Y$2:$Y$518),":",""),"-",""))=UPPER(SUBSTITUTE(SUBSTITUTE(TRIM($Y183),":",""),"-",""))), --(UPPER(TRIM($B$2:$B$518))="YES"), --(UPPER(TRIM($G$2:$G$518)&amp;TRIM($I$2:$I$518)&amp;TRIM($J$2:$J$518))&lt;&gt;UPPER(TRIM($G183)&amp;TRIM($I183)&amp;TRIM($J183))))&gt;0), AND($AB183&lt;&gt;"", LOWER(TRIM($AB183))&lt;&gt;"n/a", LOWER(TRIM($AB183))&lt;&gt;"na", SUMPRODUCT(--(UPPER(TRIM($AB$2:$AB$518))=UPPER(TRIM($AB183))), --(UPPER(TRIM($B$2:$B$518))="YES"), --(UPPER(TRIM($G$2:$G$518)&amp;TRIM($I$2:$I$518)&amp;TRIM($J$2:$J$518))&lt;&gt;UPPER(TRIM($G183)&amp;TRIM($I183)&amp;TRIM($J183))))&gt;0), AND($AH183&lt;&gt;"", LOWER(TRIM($AH183))&lt;&gt;"n/a", LOWER(TRIM($AH183))&lt;&gt;"na", SUMPRODUCT(--(UPPER(SUBSTITUTE(SUBSTITUTE(TRIM($AH$2:$AH$518),":",""),"-",""))=UPPER(SUBSTITUTE(SUBSTITUTE(TRIM($AH183),":",""),"-",""))), --(UPPER(TRIM($B$2:$B$518))="YES"), --(UPPER(TRIM($G$2:$G$518)&amp;TRIM($I$2:$I$518)&amp;TRIM($J$2:$J$518))&lt;&gt;UPPER(TRIM($G183)&amp;TRIM($I183)&amp;TRIM($J183))))&gt;0), AND($AP183&lt;&gt;"", LOWER(TRIM($AP183))&lt;&gt;"n/a", LOWER(TRIM($AP183))&lt;&gt;"na", SUMPRODUCT(--(UPPER(TRIM($AP$2:$AP$518))=UPPER(TRIM($AP183))), --(UPPER(TRIM($B$2:$B$518))="YES"), --(UPPER(TRIM($G$2:$G$518)&amp;TRIM($I$2:$I$518)&amp;TRIM($J$2:$J$518))&lt;&gt;UPPER(TRIM($G183)&amp;TRIM($I183)&amp;TRIM($J183))))&gt;0), AND($AQ183&lt;&gt;"", LOWER(TRIM($AQ183))&lt;&gt;"n/a", LOWER(TRIM($AQ183))&lt;&gt;"na", SUMPRODUCT(--(UPPER(TRIM($AQ$2:$AQ$518))=UPPER(TRIM($AQ183))), --(UPPER(TRIM($B$2:$B$518))="YES"), --(UPPER(TRIM($G$2:$G$518)&amp;TRIM($I$2:$I$518)&amp;TRIM($J$2:$J$518))&lt;&gt;UPPER(TRIM($G183)&amp;TRIM($I183)&amp;TRIM($J183))))&gt;0)), "Yes", "No"))</f>
        <v/>
      </c>
      <c r="G183" t="inlineStr">
        <is>
          <t>LIJ - CCMC</t>
        </is>
      </c>
      <c r="H183" t="inlineStr">
        <is>
          <t>LIJ - CCMC</t>
        </is>
      </c>
      <c r="I183" t="inlineStr">
        <is>
          <t>2nd Floor</t>
        </is>
      </c>
      <c r="J183" t="inlineStr">
        <is>
          <t>OR 8</t>
        </is>
      </c>
      <c r="K183" t="inlineStr">
        <is>
          <t>n/a</t>
        </is>
      </c>
      <c r="L183" s="18" t="n">
        <v>46067</v>
      </c>
      <c r="M183" t="inlineStr">
        <is>
          <t>iPro OR Workstation</t>
        </is>
      </c>
      <c r="N183" t="inlineStr">
        <is>
          <t>no</t>
        </is>
      </c>
      <c r="O183" t="inlineStr">
        <is>
          <t>yes</t>
        </is>
      </c>
      <c r="P183" t="inlineStr">
        <is>
          <t>yes</t>
        </is>
      </c>
      <c r="Q183" t="inlineStr">
        <is>
          <t>inpatient</t>
        </is>
      </c>
      <c r="S183" t="inlineStr">
        <is>
          <t>Pass</t>
        </is>
      </c>
      <c r="T183" t="inlineStr">
        <is>
          <t>n/a</t>
        </is>
      </c>
      <c r="U183" t="inlineStr">
        <is>
          <t>Tim</t>
        </is>
      </c>
      <c r="V183" t="inlineStr">
        <is>
          <t>WNH269OPR016</t>
        </is>
      </c>
      <c r="W183" t="inlineStr">
        <is>
          <t>MEDSG2425F-3222</t>
        </is>
      </c>
      <c r="X183" t="inlineStr">
        <is>
          <t>CCMC-MACH-H</t>
        </is>
      </c>
      <c r="Y183" t="inlineStr">
        <is>
          <t>00187DE04F4A</t>
        </is>
      </c>
      <c r="AB183" t="inlineStr">
        <is>
          <t>SA22703272</t>
        </is>
      </c>
      <c r="AI183" t="inlineStr">
        <is>
          <t>Anesthesia Machine</t>
        </is>
      </c>
      <c r="AK183" t="n">
        <v>2</v>
      </c>
      <c r="AL183" t="inlineStr">
        <is>
          <t>581 - 5601 - 519</t>
        </is>
      </c>
      <c r="AM183" t="inlineStr">
        <is>
          <t>Drager</t>
        </is>
      </c>
      <c r="AN183" t="inlineStr">
        <is>
          <t>Apollo</t>
        </is>
      </c>
      <c r="AP183" s="66" t="inlineStr">
        <is>
          <t>ASPB-0097</t>
        </is>
      </c>
      <c r="AQ183" s="66" t="inlineStr">
        <is>
          <t>ASPB-0097</t>
        </is>
      </c>
      <c r="AX183" t="inlineStr">
        <is>
          <t>Neuron</t>
        </is>
      </c>
      <c r="AY183" t="inlineStr">
        <is>
          <t>Philips Intellivue MX800\DE703A4477</t>
        </is>
      </c>
      <c r="BT183" t="inlineStr">
        <is>
          <t>No</t>
        </is>
      </c>
      <c r="BU183" t="inlineStr">
        <is>
          <t>Yes</t>
        </is>
      </c>
      <c r="BW183" t="inlineStr">
        <is>
          <t>Yes</t>
        </is>
      </c>
      <c r="CA183" t="inlineStr">
        <is>
          <t>iPro
Epic Satellite
ALLSCRIPTS
EPIC BCA</t>
        </is>
      </c>
      <c r="CD183">
        <f>IF($Y183="","",IF((IF(AND($BR183&lt;&gt;"Yes",$BR183&lt;&gt;"N/A"),"Power Cable, ","")&amp;IF(AND($BS183&lt;&gt;"Yes",$BS183&lt;&gt;"N/A"),"Battery, ","")&amp;IF(AND($AD183&lt;&gt;"Yes",$AD183&lt;&gt;"N/A"),"Firmware Download, ","")&amp;IF(AND(OR($AD183="Yes",$AD183="N/A"),$AE183&lt;&gt;"Yes",$AE183&lt;&gt;"N/A"),"Firmware Install, ","")&amp;IF(AND($CB183&lt;&gt;"Yes",$CB183&lt;&gt;"N/A"),"Device ID, ","")&amp;IF(AND($CC183&lt;&gt;"Yes",$CC183&lt;&gt;"N/A"),"Epic Beans Relay, ",""))="","",LEFT(IF(AND($BR183&lt;&gt;"Yes",$BR183&lt;&gt;"N/A"),"Power Cable, ","")&amp;IF(AND($BS183&lt;&gt;"Yes",$BS183&lt;&gt;"N/A"),"Battery, ","")&amp;IF(AND($AD183&lt;&gt;"Yes",$AD183&lt;&gt;"N/A"),"Firmware Download, ","")&amp;IF(AND(OR($AD183="Yes",$AD183="N/A"),$AE183&lt;&gt;"Yes",$AE183&lt;&gt;"N/A"),"Firmware Install, ","")&amp;IF(AND($CB183&lt;&gt;"Yes",$CB183&lt;&gt;"N/A"),"Device ID, ","")&amp;IF(AND($CC183&lt;&gt;"Yes",$CC183&lt;&gt;"N/A"),"Epic Beans Relay, ",""),LEN(IF(AND($BR183&lt;&gt;"Yes",$BR183&lt;&gt;"N/A"),"Power Cable, ","")&amp;IF(AND($BS183&lt;&gt;"Yes",$BS183&lt;&gt;"N/A"),"Battery, ","")&amp;IF(AND($AD183&lt;&gt;"Yes",$AD183&lt;&gt;"N/A"),"Firmware Download, ","")&amp;IF(AND(OR($AD183="Yes",$AD183="N/A"),$AE183&lt;&gt;"Yes",$AE183&lt;&gt;"N/A"),"Firmware Install, ","")&amp;IF(AND($CB183&lt;&gt;"Yes",$CB183&lt;&gt;"N/A"),"Device ID, ","")&amp;IF(AND($CC183&lt;&gt;"Yes",$CC183&lt;&gt;"N/A"),"Epic Beans Relay, ",""))-2)))</f>
        <v/>
      </c>
      <c r="CE183">
        <f>IF($Y183="","",IF($CD183="","Yes","Blocked"))</f>
        <v/>
      </c>
      <c r="CF183" t="inlineStr">
        <is>
          <t>No</t>
        </is>
      </c>
      <c r="CG183" t="inlineStr">
        <is>
          <t>Yes</t>
        </is>
      </c>
      <c r="CH183" t="inlineStr">
        <is>
          <t>Yes</t>
        </is>
      </c>
      <c r="CI183" t="inlineStr">
        <is>
          <t>No</t>
        </is>
      </c>
      <c r="CJ183" t="inlineStr">
        <is>
          <t>Yes</t>
        </is>
      </c>
      <c r="CP183">
        <f>IF($CO183="","",IFERROR(VLOOKUP($CO183,'01_Warehouse_Ledger'!$A:$N,4,FALSE),""))</f>
        <v/>
      </c>
      <c r="CQ183">
        <f>IF($CO183="","",IFERROR(VLOOKUP($CO183,'01_Warehouse_Ledger'!$A:$N,5,FALSE),""))</f>
        <v/>
      </c>
      <c r="CR183">
        <f>IF($CO183="","",IFERROR(VLOOKUP($CO183,'01_Warehouse_Ledger'!$A:$N,13,FALSE),""))</f>
        <v/>
      </c>
      <c r="CW183">
        <f>IF($S183="","",IF(UPPER(TRIM($S183))&lt;&gt;"PASS","",IF(LEN(TRIM($BY183))&gt;0,"NOTES_PRESENT",IF(LEN(TRIM($T183))=0,"SET_NA",IF(OR(LOWER(TRIM($T183))="na",LOWER(TRIM($T183))="n/a"),"OK","MANUAL_OVERRIDE")))))</f>
        <v/>
      </c>
    </row>
    <row r="184">
      <c r="A184" t="inlineStr">
        <is>
          <t>Cybernet</t>
        </is>
      </c>
      <c r="B184" s="5" t="inlineStr">
        <is>
          <t>Yes</t>
        </is>
      </c>
      <c r="C184" t="inlineStr">
        <is>
          <t>Yes</t>
        </is>
      </c>
      <c r="D184">
        <f>IF($B184&lt;&gt;"Yes","",IF($C184="No","Yes",IF($C184="Yes","No","")))</f>
        <v/>
      </c>
      <c r="E184">
        <f>IF($A184="","",IF(OR(AND($V184&lt;&gt;"",LOWER(TRIM($V184))&lt;&gt;"n/a",LOWER(TRIM($V184))&lt;&gt;"na",SUMPRODUCT(--(UPPER(TRIM($V$2:$V$518))=UPPER(TRIM($V184))),--(TRIM($V$2:$V$518)&lt;&gt;""),--(LOWER(TRIM($V$2:$V$518))&lt;&gt;"n/a"),--(LOWER(TRIM($V$2:$V$518))&lt;&gt;"na"))&gt;1),AND($W184&lt;&gt;"",LOWER(TRIM($W184))&lt;&gt;"n/a",LOWER(TRIM($W184))&lt;&gt;"na",SUMPRODUCT(--(UPPER(TRIM($W$2:$W$518))=UPPER(TRIM($W184))),--(TRIM($W$2:$W$518)&lt;&gt;""),--(LOWER(TRIM($W$2:$W$518))&lt;&gt;"n/a"),--(LOWER(TRIM($W$2:$W$518))&lt;&gt;"na"))&gt;1),AND($X184&lt;&gt;"",LOWER(TRIM($X184))&lt;&gt;"n/a",LOWER(TRIM($X184))&lt;&gt;"na",SUMPRODUCT(--(UPPER(TRIM($X$2:$X$518))=UPPER(TRIM($X184))),--(TRIM($X$2:$X$518)&lt;&gt;""),--(LOWER(TRIM($X$2:$X$518))&lt;&gt;"n/a"),--(LOWER(TRIM($X$2:$X$518))&lt;&gt;"na"))&gt;1),AND($Y184&lt;&gt;"",LOWER(TRIM($Y184))&lt;&gt;"n/a",LOWER(TRIM($Y184))&lt;&gt;"na",SUMPRODUCT(--(UPPER(SUBSTITUTE(SUBSTITUTE(TRIM($Y$2:$Y$518),":",""),"-",""))=UPPER(SUBSTITUTE(SUBSTITUTE(TRIM($Y184),":",""),"-",""))),--(TRIM($Y$2:$Y$518)&lt;&gt;""),--(LOWER(TRIM($Y$2:$Y$518))&lt;&gt;"n/a"),--(LOWER(TRIM($Y$2:$Y$518))&lt;&gt;"na"))&gt;1),AND($AB184&lt;&gt;"",LOWER(TRIM($AB184))&lt;&gt;"n/a",LOWER(TRIM($AB184))&lt;&gt;"na",SUMPRODUCT(--(UPPER(TRIM($AB$2:$AB$518))=UPPER(TRIM($AB184))),--(TRIM($AB$2:$AB$518)&lt;&gt;""),--(LOWER(TRIM($AB$2:$AB$518))&lt;&gt;"n/a"),--(LOWER(TRIM($AB$2:$AB$518))&lt;&gt;"na"))&gt;1),AND($AH184&lt;&gt;"",LOWER(TRIM($AH184))&lt;&gt;"n/a",LOWER(TRIM($AH184))&lt;&gt;"na",SUMPRODUCT(--(UPPER(SUBSTITUTE(SUBSTITUTE(TRIM($AH$2:$AH$518),":",""),"-",""))=UPPER(SUBSTITUTE(SUBSTITUTE(TRIM($AH184),":",""),"-",""))),--(TRIM($AH$2:$AH$518)&lt;&gt;""),--(LOWER(TRIM($AH$2:$AH$518))&lt;&gt;"n/a"),--(LOWER(TRIM($AH$2:$AH$518))&lt;&gt;"na"))&gt;1),AND($AP184&lt;&gt;"",LOWER(TRIM($AP184))&lt;&gt;"n/a",LOWER(TRIM($AP184))&lt;&gt;"na",SUMPRODUCT(--(UPPER(TRIM($AP$2:$AP$518))=UPPER(TRIM($AP184))),--(TRIM($AP$2:$AP$518)&lt;&gt;""),--(LOWER(TRIM($AP$2:$AP$518))&lt;&gt;"n/a"),--(LOWER(TRIM($AP$2:$AP$518))&lt;&gt;"na"))&gt;1),AND($AQ184&lt;&gt;"",LOWER(TRIM($AQ184))&lt;&gt;"n/a",LOWER(TRIM($AQ184))&lt;&gt;"na",SUMPRODUCT(--(UPPER(TRIM($AQ$2:$AQ$518))=UPPER(TRIM($AQ184))),--(TRIM($AQ$2:$AQ$518)&lt;&gt;""),--(LOWER(TRIM($AQ$2:$AQ$518))&lt;&gt;"n/a"),--(LOWER(TRIM($AQ$2:$AQ$518))&lt;&gt;"na"))&gt;1)),"Yes","No"))</f>
        <v/>
      </c>
      <c r="F184">
        <f>IF(UPPER(TRIM($B184))&lt;&gt;"YES","", IF(OR(AND($V184&lt;&gt;"", LOWER(TRIM($V184))&lt;&gt;"n/a", LOWER(TRIM($V184))&lt;&gt;"na", SUMPRODUCT(--(UPPER(TRIM($V$2:$V$518))=UPPER(TRIM($V184))), --(UPPER(TRIM($B$2:$B$518))="YES"), --(UPPER(TRIM($G$2:$G$518)&amp;TRIM($I$2:$I$518)&amp;TRIM($J$2:$J$518))&lt;&gt;UPPER(TRIM($G184)&amp;TRIM($I184)&amp;TRIM($J184))))&gt;0), AND($W184&lt;&gt;"", LOWER(TRIM($W184))&lt;&gt;"n/a", LOWER(TRIM($W184))&lt;&gt;"na", SUMPRODUCT(--(UPPER(TRIM($W$2:$W$518))=UPPER(TRIM($W184))), --(UPPER(TRIM($B$2:$B$518))="YES"), --(UPPER(TRIM($G$2:$G$518)&amp;TRIM($I$2:$I$518)&amp;TRIM($J$2:$J$518))&lt;&gt;UPPER(TRIM($G184)&amp;TRIM($I184)&amp;TRIM($J184))))&gt;0), AND($X184&lt;&gt;"", LOWER(TRIM($X184))&lt;&gt;"n/a", LOWER(TRIM($X184))&lt;&gt;"na", SUMPRODUCT(--(UPPER(TRIM($X$2:$X$518))=UPPER(TRIM($X184))), --(UPPER(TRIM($B$2:$B$518))="YES"), --(UPPER(TRIM($G$2:$G$518)&amp;TRIM($I$2:$I$518)&amp;TRIM($J$2:$J$518))&lt;&gt;UPPER(TRIM($G184)&amp;TRIM($I184)&amp;TRIM($J184))))&gt;0), AND($Y184&lt;&gt;"", LOWER(TRIM($Y184))&lt;&gt;"n/a", LOWER(TRIM($Y184))&lt;&gt;"na", SUMPRODUCT(--(UPPER(SUBSTITUTE(SUBSTITUTE(TRIM($Y$2:$Y$518),":",""),"-",""))=UPPER(SUBSTITUTE(SUBSTITUTE(TRIM($Y184),":",""),"-",""))), --(UPPER(TRIM($B$2:$B$518))="YES"), --(UPPER(TRIM($G$2:$G$518)&amp;TRIM($I$2:$I$518)&amp;TRIM($J$2:$J$518))&lt;&gt;UPPER(TRIM($G184)&amp;TRIM($I184)&amp;TRIM($J184))))&gt;0), AND($AB184&lt;&gt;"", LOWER(TRIM($AB184))&lt;&gt;"n/a", LOWER(TRIM($AB184))&lt;&gt;"na", SUMPRODUCT(--(UPPER(TRIM($AB$2:$AB$518))=UPPER(TRIM($AB184))), --(UPPER(TRIM($B$2:$B$518))="YES"), --(UPPER(TRIM($G$2:$G$518)&amp;TRIM($I$2:$I$518)&amp;TRIM($J$2:$J$518))&lt;&gt;UPPER(TRIM($G184)&amp;TRIM($I184)&amp;TRIM($J184))))&gt;0), AND($AH184&lt;&gt;"", LOWER(TRIM($AH184))&lt;&gt;"n/a", LOWER(TRIM($AH184))&lt;&gt;"na", SUMPRODUCT(--(UPPER(SUBSTITUTE(SUBSTITUTE(TRIM($AH$2:$AH$518),":",""),"-",""))=UPPER(SUBSTITUTE(SUBSTITUTE(TRIM($AH184),":",""),"-",""))), --(UPPER(TRIM($B$2:$B$518))="YES"), --(UPPER(TRIM($G$2:$G$518)&amp;TRIM($I$2:$I$518)&amp;TRIM($J$2:$J$518))&lt;&gt;UPPER(TRIM($G184)&amp;TRIM($I184)&amp;TRIM($J184))))&gt;0), AND($AP184&lt;&gt;"", LOWER(TRIM($AP184))&lt;&gt;"n/a", LOWER(TRIM($AP184))&lt;&gt;"na", SUMPRODUCT(--(UPPER(TRIM($AP$2:$AP$518))=UPPER(TRIM($AP184))), --(UPPER(TRIM($B$2:$B$518))="YES"), --(UPPER(TRIM($G$2:$G$518)&amp;TRIM($I$2:$I$518)&amp;TRIM($J$2:$J$518))&lt;&gt;UPPER(TRIM($G184)&amp;TRIM($I184)&amp;TRIM($J184))))&gt;0), AND($AQ184&lt;&gt;"", LOWER(TRIM($AQ184))&lt;&gt;"n/a", LOWER(TRIM($AQ184))&lt;&gt;"na", SUMPRODUCT(--(UPPER(TRIM($AQ$2:$AQ$518))=UPPER(TRIM($AQ184))), --(UPPER(TRIM($B$2:$B$518))="YES"), --(UPPER(TRIM($G$2:$G$518)&amp;TRIM($I$2:$I$518)&amp;TRIM($J$2:$J$518))&lt;&gt;UPPER(TRIM($G184)&amp;TRIM($I184)&amp;TRIM($J184))))&gt;0)), "Yes", "No"))</f>
        <v/>
      </c>
      <c r="G184" t="inlineStr">
        <is>
          <t>LIJ - CCMC</t>
        </is>
      </c>
      <c r="H184" t="inlineStr">
        <is>
          <t>LIJ - CCMC</t>
        </is>
      </c>
      <c r="I184" t="inlineStr">
        <is>
          <t>2nd Floor</t>
        </is>
      </c>
      <c r="J184" t="inlineStr">
        <is>
          <t>OR 3</t>
        </is>
      </c>
      <c r="K184" t="inlineStr">
        <is>
          <t>n/a</t>
        </is>
      </c>
      <c r="L184" s="18" t="n">
        <v>46067</v>
      </c>
      <c r="M184" t="inlineStr">
        <is>
          <t>iPro OR Workstation</t>
        </is>
      </c>
      <c r="N184" t="inlineStr">
        <is>
          <t>no</t>
        </is>
      </c>
      <c r="O184" t="inlineStr">
        <is>
          <t>yes</t>
        </is>
      </c>
      <c r="P184" t="inlineStr">
        <is>
          <t>yes</t>
        </is>
      </c>
      <c r="Q184" t="inlineStr">
        <is>
          <t>inpatient</t>
        </is>
      </c>
      <c r="S184" t="inlineStr">
        <is>
          <t>Pass</t>
        </is>
      </c>
      <c r="T184" t="inlineStr">
        <is>
          <t>n/a</t>
        </is>
      </c>
      <c r="U184" t="inlineStr">
        <is>
          <t>Tim</t>
        </is>
      </c>
      <c r="V184" t="inlineStr">
        <is>
          <t>WNH269OPR014</t>
        </is>
      </c>
      <c r="W184" t="inlineStr">
        <is>
          <t>MEDSG2425F-3312</t>
        </is>
      </c>
      <c r="X184" t="inlineStr">
        <is>
          <t>CCMC-MACH-B</t>
        </is>
      </c>
      <c r="Y184" t="inlineStr">
        <is>
          <t>00187DE04F35</t>
        </is>
      </c>
      <c r="AI184" t="inlineStr">
        <is>
          <t>Anesthesia Machine</t>
        </is>
      </c>
      <c r="AK184" t="n">
        <v>2</v>
      </c>
      <c r="AL184" t="inlineStr">
        <is>
          <t>474 - 5601 - 475</t>
        </is>
      </c>
      <c r="AM184" t="inlineStr">
        <is>
          <t>Drager</t>
        </is>
      </c>
      <c r="AN184" t="inlineStr">
        <is>
          <t>Apollo</t>
        </is>
      </c>
      <c r="AP184" s="66" t="inlineStr">
        <is>
          <t>ASPB-0089</t>
        </is>
      </c>
      <c r="AQ184" s="66" t="inlineStr">
        <is>
          <t>ASPB-0089</t>
        </is>
      </c>
      <c r="AX184" t="inlineStr">
        <is>
          <t>Neuron</t>
        </is>
      </c>
      <c r="AY184" t="inlineStr">
        <is>
          <t>Philips Intellivue MX800\DE703A4444</t>
        </is>
      </c>
      <c r="BT184" t="inlineStr">
        <is>
          <t>No</t>
        </is>
      </c>
      <c r="BU184" t="inlineStr">
        <is>
          <t>Yes</t>
        </is>
      </c>
      <c r="BW184" t="inlineStr">
        <is>
          <t>Yes</t>
        </is>
      </c>
      <c r="CA184" t="inlineStr">
        <is>
          <t>iPro
Epic Satellite
ALLSCRIPTS
EPIC BCA</t>
        </is>
      </c>
      <c r="CD184">
        <f>IF($Y184="","",IF((IF(AND($BR184&lt;&gt;"Yes",$BR184&lt;&gt;"N/A"),"Power Cable, ","")&amp;IF(AND($BS184&lt;&gt;"Yes",$BS184&lt;&gt;"N/A"),"Battery, ","")&amp;IF(AND($AD184&lt;&gt;"Yes",$AD184&lt;&gt;"N/A"),"Firmware Download, ","")&amp;IF(AND(OR($AD184="Yes",$AD184="N/A"),$AE184&lt;&gt;"Yes",$AE184&lt;&gt;"N/A"),"Firmware Install, ","")&amp;IF(AND($CB184&lt;&gt;"Yes",$CB184&lt;&gt;"N/A"),"Device ID, ","")&amp;IF(AND($CC184&lt;&gt;"Yes",$CC184&lt;&gt;"N/A"),"Epic Beans Relay, ",""))="","",LEFT(IF(AND($BR184&lt;&gt;"Yes",$BR184&lt;&gt;"N/A"),"Power Cable, ","")&amp;IF(AND($BS184&lt;&gt;"Yes",$BS184&lt;&gt;"N/A"),"Battery, ","")&amp;IF(AND($AD184&lt;&gt;"Yes",$AD184&lt;&gt;"N/A"),"Firmware Download, ","")&amp;IF(AND(OR($AD184="Yes",$AD184="N/A"),$AE184&lt;&gt;"Yes",$AE184&lt;&gt;"N/A"),"Firmware Install, ","")&amp;IF(AND($CB184&lt;&gt;"Yes",$CB184&lt;&gt;"N/A"),"Device ID, ","")&amp;IF(AND($CC184&lt;&gt;"Yes",$CC184&lt;&gt;"N/A"),"Epic Beans Relay, ",""),LEN(IF(AND($BR184&lt;&gt;"Yes",$BR184&lt;&gt;"N/A"),"Power Cable, ","")&amp;IF(AND($BS184&lt;&gt;"Yes",$BS184&lt;&gt;"N/A"),"Battery, ","")&amp;IF(AND($AD184&lt;&gt;"Yes",$AD184&lt;&gt;"N/A"),"Firmware Download, ","")&amp;IF(AND(OR($AD184="Yes",$AD184="N/A"),$AE184&lt;&gt;"Yes",$AE184&lt;&gt;"N/A"),"Firmware Install, ","")&amp;IF(AND($CB184&lt;&gt;"Yes",$CB184&lt;&gt;"N/A"),"Device ID, ","")&amp;IF(AND($CC184&lt;&gt;"Yes",$CC184&lt;&gt;"N/A"),"Epic Beans Relay, ",""))-2)))</f>
        <v/>
      </c>
      <c r="CE184">
        <f>IF($Y184="","",IF($CD184="","Yes","Blocked"))</f>
        <v/>
      </c>
      <c r="CF184" t="inlineStr">
        <is>
          <t>No</t>
        </is>
      </c>
      <c r="CG184" t="inlineStr">
        <is>
          <t>Yes</t>
        </is>
      </c>
      <c r="CH184" t="inlineStr">
        <is>
          <t>Yes</t>
        </is>
      </c>
      <c r="CI184" t="inlineStr">
        <is>
          <t>No</t>
        </is>
      </c>
      <c r="CJ184" t="inlineStr">
        <is>
          <t>Yes</t>
        </is>
      </c>
      <c r="CP184">
        <f>IF($CO184="","",IFERROR(VLOOKUP($CO184,'01_Warehouse_Ledger'!$A:$N,4,FALSE),""))</f>
        <v/>
      </c>
      <c r="CQ184">
        <f>IF($CO184="","",IFERROR(VLOOKUP($CO184,'01_Warehouse_Ledger'!$A:$N,5,FALSE),""))</f>
        <v/>
      </c>
      <c r="CR184">
        <f>IF($CO184="","",IFERROR(VLOOKUP($CO184,'01_Warehouse_Ledger'!$A:$N,13,FALSE),""))</f>
        <v/>
      </c>
      <c r="CW184">
        <f>IF($S184="","",IF(UPPER(TRIM($S184))&lt;&gt;"PASS","",IF(LEN(TRIM($BY184))&gt;0,"NOTES_PRESENT",IF(LEN(TRIM($T184))=0,"SET_NA",IF(OR(LOWER(TRIM($T184))="na",LOWER(TRIM($T184))="n/a"),"OK","MANUAL_OVERRIDE")))))</f>
        <v/>
      </c>
    </row>
    <row r="185">
      <c r="A185" t="inlineStr">
        <is>
          <t>Cybernet</t>
        </is>
      </c>
      <c r="B185" s="5" t="inlineStr">
        <is>
          <t>Yes</t>
        </is>
      </c>
      <c r="C185" t="inlineStr">
        <is>
          <t>Yes</t>
        </is>
      </c>
      <c r="D185">
        <f>IF($B185&lt;&gt;"Yes","",IF($C185="No","Yes",IF($C185="Yes","No","")))</f>
        <v/>
      </c>
      <c r="E185">
        <f>IF($A185="","",IF(OR(AND($V185&lt;&gt;"",LOWER(TRIM($V185))&lt;&gt;"n/a",LOWER(TRIM($V185))&lt;&gt;"na",SUMPRODUCT(--(UPPER(TRIM($V$2:$V$518))=UPPER(TRIM($V185))),--(TRIM($V$2:$V$518)&lt;&gt;""),--(LOWER(TRIM($V$2:$V$518))&lt;&gt;"n/a"),--(LOWER(TRIM($V$2:$V$518))&lt;&gt;"na"))&gt;1),AND($W185&lt;&gt;"",LOWER(TRIM($W185))&lt;&gt;"n/a",LOWER(TRIM($W185))&lt;&gt;"na",SUMPRODUCT(--(UPPER(TRIM($W$2:$W$518))=UPPER(TRIM($W185))),--(TRIM($W$2:$W$518)&lt;&gt;""),--(LOWER(TRIM($W$2:$W$518))&lt;&gt;"n/a"),--(LOWER(TRIM($W$2:$W$518))&lt;&gt;"na"))&gt;1),AND($X185&lt;&gt;"",LOWER(TRIM($X185))&lt;&gt;"n/a",LOWER(TRIM($X185))&lt;&gt;"na",SUMPRODUCT(--(UPPER(TRIM($X$2:$X$518))=UPPER(TRIM($X185))),--(TRIM($X$2:$X$518)&lt;&gt;""),--(LOWER(TRIM($X$2:$X$518))&lt;&gt;"n/a"),--(LOWER(TRIM($X$2:$X$518))&lt;&gt;"na"))&gt;1),AND($Y185&lt;&gt;"",LOWER(TRIM($Y185))&lt;&gt;"n/a",LOWER(TRIM($Y185))&lt;&gt;"na",SUMPRODUCT(--(UPPER(SUBSTITUTE(SUBSTITUTE(TRIM($Y$2:$Y$518),":",""),"-",""))=UPPER(SUBSTITUTE(SUBSTITUTE(TRIM($Y185),":",""),"-",""))),--(TRIM($Y$2:$Y$518)&lt;&gt;""),--(LOWER(TRIM($Y$2:$Y$518))&lt;&gt;"n/a"),--(LOWER(TRIM($Y$2:$Y$518))&lt;&gt;"na"))&gt;1),AND($AB185&lt;&gt;"",LOWER(TRIM($AB185))&lt;&gt;"n/a",LOWER(TRIM($AB185))&lt;&gt;"na",SUMPRODUCT(--(UPPER(TRIM($AB$2:$AB$518))=UPPER(TRIM($AB185))),--(TRIM($AB$2:$AB$518)&lt;&gt;""),--(LOWER(TRIM($AB$2:$AB$518))&lt;&gt;"n/a"),--(LOWER(TRIM($AB$2:$AB$518))&lt;&gt;"na"))&gt;1),AND($AH185&lt;&gt;"",LOWER(TRIM($AH185))&lt;&gt;"n/a",LOWER(TRIM($AH185))&lt;&gt;"na",SUMPRODUCT(--(UPPER(SUBSTITUTE(SUBSTITUTE(TRIM($AH$2:$AH$518),":",""),"-",""))=UPPER(SUBSTITUTE(SUBSTITUTE(TRIM($AH185),":",""),"-",""))),--(TRIM($AH$2:$AH$518)&lt;&gt;""),--(LOWER(TRIM($AH$2:$AH$518))&lt;&gt;"n/a"),--(LOWER(TRIM($AH$2:$AH$518))&lt;&gt;"na"))&gt;1),AND($AP185&lt;&gt;"",LOWER(TRIM($AP185))&lt;&gt;"n/a",LOWER(TRIM($AP185))&lt;&gt;"na",SUMPRODUCT(--(UPPER(TRIM($AP$2:$AP$518))=UPPER(TRIM($AP185))),--(TRIM($AP$2:$AP$518)&lt;&gt;""),--(LOWER(TRIM($AP$2:$AP$518))&lt;&gt;"n/a"),--(LOWER(TRIM($AP$2:$AP$518))&lt;&gt;"na"))&gt;1),AND($AQ185&lt;&gt;"",LOWER(TRIM($AQ185))&lt;&gt;"n/a",LOWER(TRIM($AQ185))&lt;&gt;"na",SUMPRODUCT(--(UPPER(TRIM($AQ$2:$AQ$518))=UPPER(TRIM($AQ185))),--(TRIM($AQ$2:$AQ$518)&lt;&gt;""),--(LOWER(TRIM($AQ$2:$AQ$518))&lt;&gt;"n/a"),--(LOWER(TRIM($AQ$2:$AQ$518))&lt;&gt;"na"))&gt;1)),"Yes","No"))</f>
        <v/>
      </c>
      <c r="F185">
        <f>IF(UPPER(TRIM($B185))&lt;&gt;"YES","", IF(OR(AND($V185&lt;&gt;"", LOWER(TRIM($V185))&lt;&gt;"n/a", LOWER(TRIM($V185))&lt;&gt;"na", SUMPRODUCT(--(UPPER(TRIM($V$2:$V$518))=UPPER(TRIM($V185))), --(UPPER(TRIM($B$2:$B$518))="YES"), --(UPPER(TRIM($G$2:$G$518)&amp;TRIM($I$2:$I$518)&amp;TRIM($J$2:$J$518))&lt;&gt;UPPER(TRIM($G185)&amp;TRIM($I185)&amp;TRIM($J185))))&gt;0), AND($W185&lt;&gt;"", LOWER(TRIM($W185))&lt;&gt;"n/a", LOWER(TRIM($W185))&lt;&gt;"na", SUMPRODUCT(--(UPPER(TRIM($W$2:$W$518))=UPPER(TRIM($W185))), --(UPPER(TRIM($B$2:$B$518))="YES"), --(UPPER(TRIM($G$2:$G$518)&amp;TRIM($I$2:$I$518)&amp;TRIM($J$2:$J$518))&lt;&gt;UPPER(TRIM($G185)&amp;TRIM($I185)&amp;TRIM($J185))))&gt;0), AND($X185&lt;&gt;"", LOWER(TRIM($X185))&lt;&gt;"n/a", LOWER(TRIM($X185))&lt;&gt;"na", SUMPRODUCT(--(UPPER(TRIM($X$2:$X$518))=UPPER(TRIM($X185))), --(UPPER(TRIM($B$2:$B$518))="YES"), --(UPPER(TRIM($G$2:$G$518)&amp;TRIM($I$2:$I$518)&amp;TRIM($J$2:$J$518))&lt;&gt;UPPER(TRIM($G185)&amp;TRIM($I185)&amp;TRIM($J185))))&gt;0), AND($Y185&lt;&gt;"", LOWER(TRIM($Y185))&lt;&gt;"n/a", LOWER(TRIM($Y185))&lt;&gt;"na", SUMPRODUCT(--(UPPER(SUBSTITUTE(SUBSTITUTE(TRIM($Y$2:$Y$518),":",""),"-",""))=UPPER(SUBSTITUTE(SUBSTITUTE(TRIM($Y185),":",""),"-",""))), --(UPPER(TRIM($B$2:$B$518))="YES"), --(UPPER(TRIM($G$2:$G$518)&amp;TRIM($I$2:$I$518)&amp;TRIM($J$2:$J$518))&lt;&gt;UPPER(TRIM($G185)&amp;TRIM($I185)&amp;TRIM($J185))))&gt;0), AND($AB185&lt;&gt;"", LOWER(TRIM($AB185))&lt;&gt;"n/a", LOWER(TRIM($AB185))&lt;&gt;"na", SUMPRODUCT(--(UPPER(TRIM($AB$2:$AB$518))=UPPER(TRIM($AB185))), --(UPPER(TRIM($B$2:$B$518))="YES"), --(UPPER(TRIM($G$2:$G$518)&amp;TRIM($I$2:$I$518)&amp;TRIM($J$2:$J$518))&lt;&gt;UPPER(TRIM($G185)&amp;TRIM($I185)&amp;TRIM($J185))))&gt;0), AND($AH185&lt;&gt;"", LOWER(TRIM($AH185))&lt;&gt;"n/a", LOWER(TRIM($AH185))&lt;&gt;"na", SUMPRODUCT(--(UPPER(SUBSTITUTE(SUBSTITUTE(TRIM($AH$2:$AH$518),":",""),"-",""))=UPPER(SUBSTITUTE(SUBSTITUTE(TRIM($AH185),":",""),"-",""))), --(UPPER(TRIM($B$2:$B$518))="YES"), --(UPPER(TRIM($G$2:$G$518)&amp;TRIM($I$2:$I$518)&amp;TRIM($J$2:$J$518))&lt;&gt;UPPER(TRIM($G185)&amp;TRIM($I185)&amp;TRIM($J185))))&gt;0), AND($AP185&lt;&gt;"", LOWER(TRIM($AP185))&lt;&gt;"n/a", LOWER(TRIM($AP185))&lt;&gt;"na", SUMPRODUCT(--(UPPER(TRIM($AP$2:$AP$518))=UPPER(TRIM($AP185))), --(UPPER(TRIM($B$2:$B$518))="YES"), --(UPPER(TRIM($G$2:$G$518)&amp;TRIM($I$2:$I$518)&amp;TRIM($J$2:$J$518))&lt;&gt;UPPER(TRIM($G185)&amp;TRIM($I185)&amp;TRIM($J185))))&gt;0), AND($AQ185&lt;&gt;"", LOWER(TRIM($AQ185))&lt;&gt;"n/a", LOWER(TRIM($AQ185))&lt;&gt;"na", SUMPRODUCT(--(UPPER(TRIM($AQ$2:$AQ$518))=UPPER(TRIM($AQ185))), --(UPPER(TRIM($B$2:$B$518))="YES"), --(UPPER(TRIM($G$2:$G$518)&amp;TRIM($I$2:$I$518)&amp;TRIM($J$2:$J$518))&lt;&gt;UPPER(TRIM($G185)&amp;TRIM($I185)&amp;TRIM($J185))))&gt;0)), "Yes", "No"))</f>
        <v/>
      </c>
      <c r="G185" t="inlineStr">
        <is>
          <t>LIJ - CCMC</t>
        </is>
      </c>
      <c r="H185" t="inlineStr">
        <is>
          <t>LIJ - CCMC</t>
        </is>
      </c>
      <c r="I185" t="inlineStr">
        <is>
          <t>2nd Floor</t>
        </is>
      </c>
      <c r="J185" t="inlineStr">
        <is>
          <t>IR 11</t>
        </is>
      </c>
      <c r="K185" t="inlineStr">
        <is>
          <t>n/a</t>
        </is>
      </c>
      <c r="L185" s="18" t="n">
        <v>46067</v>
      </c>
      <c r="M185" t="inlineStr">
        <is>
          <t>iPro OR Workstation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inpatient</t>
        </is>
      </c>
      <c r="S185" t="inlineStr">
        <is>
          <t>Pass</t>
        </is>
      </c>
      <c r="T185" t="inlineStr">
        <is>
          <t>n/a</t>
        </is>
      </c>
      <c r="U185" t="inlineStr">
        <is>
          <t>Tim</t>
        </is>
      </c>
      <c r="V185" t="inlineStr">
        <is>
          <t>WNH269OPR022</t>
        </is>
      </c>
      <c r="X185" t="inlineStr">
        <is>
          <t>CCMC-MACH-HH</t>
        </is>
      </c>
      <c r="Y185" t="inlineStr">
        <is>
          <t>00187DE04EBE</t>
        </is>
      </c>
      <c r="AI185" t="inlineStr">
        <is>
          <t>Anesthesia Machine</t>
        </is>
      </c>
      <c r="AK185" t="n">
        <v>2</v>
      </c>
      <c r="AL185" t="inlineStr">
        <is>
          <t>405-D / 552 - CH4</t>
        </is>
      </c>
      <c r="AM185" t="inlineStr">
        <is>
          <t>Drager</t>
        </is>
      </c>
      <c r="AN185" t="inlineStr">
        <is>
          <t>Apollo</t>
        </is>
      </c>
      <c r="AP185" s="66" t="inlineStr">
        <is>
          <t>ARZJ0066</t>
        </is>
      </c>
      <c r="AQ185" s="66" t="inlineStr">
        <is>
          <t>ARZJ0066</t>
        </is>
      </c>
      <c r="AX185" t="inlineStr">
        <is>
          <t>Neuron</t>
        </is>
      </c>
      <c r="AY185" t="inlineStr">
        <is>
          <t>Philips Intellivue MX800</t>
        </is>
      </c>
      <c r="BT185" t="inlineStr">
        <is>
          <t>No</t>
        </is>
      </c>
      <c r="BU185" t="inlineStr">
        <is>
          <t>Yes</t>
        </is>
      </c>
      <c r="BW185" t="inlineStr">
        <is>
          <t>Yes</t>
        </is>
      </c>
      <c r="CA185" t="inlineStr">
        <is>
          <t>iPro
Epic Satellite
ALLSCRIPTS
EPIC BCA</t>
        </is>
      </c>
      <c r="CD185">
        <f>IF($Y185="","",IF((IF(AND($BR185&lt;&gt;"Yes",$BR185&lt;&gt;"N/A"),"Power Cable, ","")&amp;IF(AND($BS185&lt;&gt;"Yes",$BS185&lt;&gt;"N/A"),"Battery, ","")&amp;IF(AND($AD185&lt;&gt;"Yes",$AD185&lt;&gt;"N/A"),"Firmware Download, ","")&amp;IF(AND(OR($AD185="Yes",$AD185="N/A"),$AE185&lt;&gt;"Yes",$AE185&lt;&gt;"N/A"),"Firmware Install, ","")&amp;IF(AND($CB185&lt;&gt;"Yes",$CB185&lt;&gt;"N/A"),"Device ID, ","")&amp;IF(AND($CC185&lt;&gt;"Yes",$CC185&lt;&gt;"N/A"),"Epic Beans Relay, ",""))="","",LEFT(IF(AND($BR185&lt;&gt;"Yes",$BR185&lt;&gt;"N/A"),"Power Cable, ","")&amp;IF(AND($BS185&lt;&gt;"Yes",$BS185&lt;&gt;"N/A"),"Battery, ","")&amp;IF(AND($AD185&lt;&gt;"Yes",$AD185&lt;&gt;"N/A"),"Firmware Download, ","")&amp;IF(AND(OR($AD185="Yes",$AD185="N/A"),$AE185&lt;&gt;"Yes",$AE185&lt;&gt;"N/A"),"Firmware Install, ","")&amp;IF(AND($CB185&lt;&gt;"Yes",$CB185&lt;&gt;"N/A"),"Device ID, ","")&amp;IF(AND($CC185&lt;&gt;"Yes",$CC185&lt;&gt;"N/A"),"Epic Beans Relay, ",""),LEN(IF(AND($BR185&lt;&gt;"Yes",$BR185&lt;&gt;"N/A"),"Power Cable, ","")&amp;IF(AND($BS185&lt;&gt;"Yes",$BS185&lt;&gt;"N/A"),"Battery, ","")&amp;IF(AND($AD185&lt;&gt;"Yes",$AD185&lt;&gt;"N/A"),"Firmware Download, ","")&amp;IF(AND(OR($AD185="Yes",$AD185="N/A"),$AE185&lt;&gt;"Yes",$AE185&lt;&gt;"N/A"),"Firmware Install, ","")&amp;IF(AND($CB185&lt;&gt;"Yes",$CB185&lt;&gt;"N/A"),"Device ID, ","")&amp;IF(AND($CC185&lt;&gt;"Yes",$CC185&lt;&gt;"N/A"),"Epic Beans Relay, ",""))-2)))</f>
        <v/>
      </c>
      <c r="CE185">
        <f>IF($Y185="","",IF($CD185="","Yes","Blocked"))</f>
        <v/>
      </c>
      <c r="CF185" t="inlineStr">
        <is>
          <t>No</t>
        </is>
      </c>
      <c r="CG185" t="inlineStr">
        <is>
          <t>Yes</t>
        </is>
      </c>
      <c r="CH185" t="inlineStr">
        <is>
          <t>Yes</t>
        </is>
      </c>
      <c r="CI185" t="inlineStr">
        <is>
          <t>No</t>
        </is>
      </c>
      <c r="CJ185" t="inlineStr">
        <is>
          <t>Yes</t>
        </is>
      </c>
      <c r="CP185">
        <f>IF($CO185="","",IFERROR(VLOOKUP($CO185,'01_Warehouse_Ledger'!$A:$N,4,FALSE),""))</f>
        <v/>
      </c>
      <c r="CQ185">
        <f>IF($CO185="","",IFERROR(VLOOKUP($CO185,'01_Warehouse_Ledger'!$A:$N,5,FALSE),""))</f>
        <v/>
      </c>
      <c r="CR185">
        <f>IF($CO185="","",IFERROR(VLOOKUP($CO185,'01_Warehouse_Ledger'!$A:$N,13,FALSE),""))</f>
        <v/>
      </c>
      <c r="CW185">
        <f>IF($S185="","",IF(UPPER(TRIM($S185))&lt;&gt;"PASS","",IF(LEN(TRIM($BY185))&gt;0,"NOTES_PRESENT",IF(LEN(TRIM($T185))=0,"SET_NA",IF(OR(LOWER(TRIM($T185))="na",LOWER(TRIM($T185))="n/a"),"OK","MANUAL_OVERRIDE")))))</f>
        <v/>
      </c>
    </row>
    <row r="186">
      <c r="A186" t="inlineStr">
        <is>
          <t>Neuron</t>
        </is>
      </c>
      <c r="B186" s="5" t="inlineStr">
        <is>
          <t>Yes</t>
        </is>
      </c>
      <c r="C186" t="inlineStr">
        <is>
          <t>Yes</t>
        </is>
      </c>
      <c r="D186">
        <f>IF($B186&lt;&gt;"Yes","",IF($C186="No","Yes",IF($C186="Yes","No","")))</f>
        <v/>
      </c>
      <c r="E186">
        <f>IF($A186="","",IF(OR(AND($V186&lt;&gt;"",LOWER(TRIM($V186))&lt;&gt;"n/a",LOWER(TRIM($V186))&lt;&gt;"na",SUMPRODUCT(--(UPPER(TRIM($V$2:$V$518))=UPPER(TRIM($V186))),--(TRIM($V$2:$V$518)&lt;&gt;""),--(LOWER(TRIM($V$2:$V$518))&lt;&gt;"n/a"),--(LOWER(TRIM($V$2:$V$518))&lt;&gt;"na"))&gt;1),AND($W186&lt;&gt;"",LOWER(TRIM($W186))&lt;&gt;"n/a",LOWER(TRIM($W186))&lt;&gt;"na",SUMPRODUCT(--(UPPER(TRIM($W$2:$W$518))=UPPER(TRIM($W186))),--(TRIM($W$2:$W$518)&lt;&gt;""),--(LOWER(TRIM($W$2:$W$518))&lt;&gt;"n/a"),--(LOWER(TRIM($W$2:$W$518))&lt;&gt;"na"))&gt;1),AND($X186&lt;&gt;"",LOWER(TRIM($X186))&lt;&gt;"n/a",LOWER(TRIM($X186))&lt;&gt;"na",SUMPRODUCT(--(UPPER(TRIM($X$2:$X$518))=UPPER(TRIM($X186))),--(TRIM($X$2:$X$518)&lt;&gt;""),--(LOWER(TRIM($X$2:$X$518))&lt;&gt;"n/a"),--(LOWER(TRIM($X$2:$X$518))&lt;&gt;"na"))&gt;1),AND($Y186&lt;&gt;"",LOWER(TRIM($Y186))&lt;&gt;"n/a",LOWER(TRIM($Y186))&lt;&gt;"na",SUMPRODUCT(--(UPPER(SUBSTITUTE(SUBSTITUTE(TRIM($Y$2:$Y$518),":",""),"-",""))=UPPER(SUBSTITUTE(SUBSTITUTE(TRIM($Y186),":",""),"-",""))),--(TRIM($Y$2:$Y$518)&lt;&gt;""),--(LOWER(TRIM($Y$2:$Y$518))&lt;&gt;"n/a"),--(LOWER(TRIM($Y$2:$Y$518))&lt;&gt;"na"))&gt;1),AND($AB186&lt;&gt;"",LOWER(TRIM($AB186))&lt;&gt;"n/a",LOWER(TRIM($AB186))&lt;&gt;"na",SUMPRODUCT(--(UPPER(TRIM($AB$2:$AB$518))=UPPER(TRIM($AB186))),--(TRIM($AB$2:$AB$518)&lt;&gt;""),--(LOWER(TRIM($AB$2:$AB$518))&lt;&gt;"n/a"),--(LOWER(TRIM($AB$2:$AB$518))&lt;&gt;"na"))&gt;1),AND($AH186&lt;&gt;"",LOWER(TRIM($AH186))&lt;&gt;"n/a",LOWER(TRIM($AH186))&lt;&gt;"na",SUMPRODUCT(--(UPPER(SUBSTITUTE(SUBSTITUTE(TRIM($AH$2:$AH$518),":",""),"-",""))=UPPER(SUBSTITUTE(SUBSTITUTE(TRIM($AH186),":",""),"-",""))),--(TRIM($AH$2:$AH$518)&lt;&gt;""),--(LOWER(TRIM($AH$2:$AH$518))&lt;&gt;"n/a"),--(LOWER(TRIM($AH$2:$AH$518))&lt;&gt;"na"))&gt;1),AND($AP186&lt;&gt;"",LOWER(TRIM($AP186))&lt;&gt;"n/a",LOWER(TRIM($AP186))&lt;&gt;"na",SUMPRODUCT(--(UPPER(TRIM($AP$2:$AP$518))=UPPER(TRIM($AP186))),--(TRIM($AP$2:$AP$518)&lt;&gt;""),--(LOWER(TRIM($AP$2:$AP$518))&lt;&gt;"n/a"),--(LOWER(TRIM($AP$2:$AP$518))&lt;&gt;"na"))&gt;1),AND($AQ186&lt;&gt;"",LOWER(TRIM($AQ186))&lt;&gt;"n/a",LOWER(TRIM($AQ186))&lt;&gt;"na",SUMPRODUCT(--(UPPER(TRIM($AQ$2:$AQ$518))=UPPER(TRIM($AQ186))),--(TRIM($AQ$2:$AQ$518)&lt;&gt;""),--(LOWER(TRIM($AQ$2:$AQ$518))&lt;&gt;"n/a"),--(LOWER(TRIM($AQ$2:$AQ$518))&lt;&gt;"na"))&gt;1)),"Yes","No"))</f>
        <v/>
      </c>
      <c r="F186">
        <f>IF(UPPER(TRIM($B186))&lt;&gt;"YES","", IF(OR(AND($V186&lt;&gt;"", LOWER(TRIM($V186))&lt;&gt;"n/a", LOWER(TRIM($V186))&lt;&gt;"na", SUMPRODUCT(--(UPPER(TRIM($V$2:$V$518))=UPPER(TRIM($V186))), --(UPPER(TRIM($B$2:$B$518))="YES"), --(UPPER(TRIM($G$2:$G$518)&amp;TRIM($I$2:$I$518)&amp;TRIM($J$2:$J$518))&lt;&gt;UPPER(TRIM($G186)&amp;TRIM($I186)&amp;TRIM($J186))))&gt;0), AND($W186&lt;&gt;"", LOWER(TRIM($W186))&lt;&gt;"n/a", LOWER(TRIM($W186))&lt;&gt;"na", SUMPRODUCT(--(UPPER(TRIM($W$2:$W$518))=UPPER(TRIM($W186))), --(UPPER(TRIM($B$2:$B$518))="YES"), --(UPPER(TRIM($G$2:$G$518)&amp;TRIM($I$2:$I$518)&amp;TRIM($J$2:$J$518))&lt;&gt;UPPER(TRIM($G186)&amp;TRIM($I186)&amp;TRIM($J186))))&gt;0), AND($X186&lt;&gt;"", LOWER(TRIM($X186))&lt;&gt;"n/a", LOWER(TRIM($X186))&lt;&gt;"na", SUMPRODUCT(--(UPPER(TRIM($X$2:$X$518))=UPPER(TRIM($X186))), --(UPPER(TRIM($B$2:$B$518))="YES"), --(UPPER(TRIM($G$2:$G$518)&amp;TRIM($I$2:$I$518)&amp;TRIM($J$2:$J$518))&lt;&gt;UPPER(TRIM($G186)&amp;TRIM($I186)&amp;TRIM($J186))))&gt;0), AND($Y186&lt;&gt;"", LOWER(TRIM($Y186))&lt;&gt;"n/a", LOWER(TRIM($Y186))&lt;&gt;"na", SUMPRODUCT(--(UPPER(SUBSTITUTE(SUBSTITUTE(TRIM($Y$2:$Y$518),":",""),"-",""))=UPPER(SUBSTITUTE(SUBSTITUTE(TRIM($Y186),":",""),"-",""))), --(UPPER(TRIM($B$2:$B$518))="YES"), --(UPPER(TRIM($G$2:$G$518)&amp;TRIM($I$2:$I$518)&amp;TRIM($J$2:$J$518))&lt;&gt;UPPER(TRIM($G186)&amp;TRIM($I186)&amp;TRIM($J186))))&gt;0), AND($AB186&lt;&gt;"", LOWER(TRIM($AB186))&lt;&gt;"n/a", LOWER(TRIM($AB186))&lt;&gt;"na", SUMPRODUCT(--(UPPER(TRIM($AB$2:$AB$518))=UPPER(TRIM($AB186))), --(UPPER(TRIM($B$2:$B$518))="YES"), --(UPPER(TRIM($G$2:$G$518)&amp;TRIM($I$2:$I$518)&amp;TRIM($J$2:$J$518))&lt;&gt;UPPER(TRIM($G186)&amp;TRIM($I186)&amp;TRIM($J186))))&gt;0), AND($AH186&lt;&gt;"", LOWER(TRIM($AH186))&lt;&gt;"n/a", LOWER(TRIM($AH186))&lt;&gt;"na", SUMPRODUCT(--(UPPER(SUBSTITUTE(SUBSTITUTE(TRIM($AH$2:$AH$518),":",""),"-",""))=UPPER(SUBSTITUTE(SUBSTITUTE(TRIM($AH186),":",""),"-",""))), --(UPPER(TRIM($B$2:$B$518))="YES"), --(UPPER(TRIM($G$2:$G$518)&amp;TRIM($I$2:$I$518)&amp;TRIM($J$2:$J$518))&lt;&gt;UPPER(TRIM($G186)&amp;TRIM($I186)&amp;TRIM($J186))))&gt;0), AND($AP186&lt;&gt;"", LOWER(TRIM($AP186))&lt;&gt;"n/a", LOWER(TRIM($AP186))&lt;&gt;"na", SUMPRODUCT(--(UPPER(TRIM($AP$2:$AP$518))=UPPER(TRIM($AP186))), --(UPPER(TRIM($B$2:$B$518))="YES"), --(UPPER(TRIM($G$2:$G$518)&amp;TRIM($I$2:$I$518)&amp;TRIM($J$2:$J$518))&lt;&gt;UPPER(TRIM($G186)&amp;TRIM($I186)&amp;TRIM($J186))))&gt;0), AND($AQ186&lt;&gt;"", LOWER(TRIM($AQ186))&lt;&gt;"n/a", LOWER(TRIM($AQ186))&lt;&gt;"na", SUMPRODUCT(--(UPPER(TRIM($AQ$2:$AQ$518))=UPPER(TRIM($AQ186))), --(UPPER(TRIM($B$2:$B$518))="YES"), --(UPPER(TRIM($G$2:$G$518)&amp;TRIM($I$2:$I$518)&amp;TRIM($J$2:$J$518))&lt;&gt;UPPER(TRIM($G186)&amp;TRIM($I186)&amp;TRIM($J186))))&gt;0)), "Yes", "No"))</f>
        <v/>
      </c>
      <c r="G186" t="inlineStr">
        <is>
          <t>LIJ SDF</t>
        </is>
      </c>
      <c r="H186" t="inlineStr">
        <is>
          <t>LIJ SDF</t>
        </is>
      </c>
      <c r="I186" t="inlineStr">
        <is>
          <t>Ground Level/Dialysis</t>
        </is>
      </c>
      <c r="J186" t="inlineStr">
        <is>
          <t>Open Patient Area</t>
        </is>
      </c>
      <c r="K186" t="n">
        <v>1</v>
      </c>
      <c r="L186" s="18" t="n">
        <v>46033</v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W186" t="inlineStr">
        <is>
          <t>n/a</t>
        </is>
      </c>
      <c r="X186" t="inlineStr">
        <is>
          <t>LIJ-SDF-MACH-A</t>
        </is>
      </c>
      <c r="Y186" t="inlineStr">
        <is>
          <t>A0F5097FEC20</t>
        </is>
      </c>
      <c r="Z186" t="inlineStr">
        <is>
          <t>10.134.18.57</t>
        </is>
      </c>
      <c r="AA186" t="inlineStr">
        <is>
          <t>Yes</t>
        </is>
      </c>
      <c r="AB186" t="inlineStr">
        <is>
          <t>WA24406274</t>
        </is>
      </c>
      <c r="AC186" t="inlineStr">
        <is>
          <t>LIJ</t>
        </is>
      </c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I186" t="inlineStr">
        <is>
          <t>Dialysis Machine</t>
        </is>
      </c>
      <c r="AL186" t="inlineStr">
        <is>
          <t>BSM 051 A</t>
        </is>
      </c>
      <c r="AM186" t="inlineStr">
        <is>
          <t>Fresenius BlueStar</t>
        </is>
      </c>
      <c r="AN186" t="inlineStr">
        <is>
          <t>2008T</t>
        </is>
      </c>
      <c r="AO186" t="inlineStr">
        <is>
          <t>9T0S237854</t>
        </is>
      </c>
      <c r="AP186" t="inlineStr">
        <is>
          <t>n/a</t>
        </is>
      </c>
      <c r="AQ186" t="inlineStr">
        <is>
          <t>9T0S237854</t>
        </is>
      </c>
      <c r="AS186" t="inlineStr">
        <is>
          <t>B1-CFH</t>
        </is>
      </c>
      <c r="AX186" t="inlineStr">
        <is>
          <t>n/a</t>
        </is>
      </c>
      <c r="AY186" t="inlineStr">
        <is>
          <t>Fresenius BlueStar - 2008T</t>
        </is>
      </c>
      <c r="AZ186" t="inlineStr">
        <is>
          <t>n/a</t>
        </is>
      </c>
      <c r="BA186" t="inlineStr">
        <is>
          <t>n/a</t>
        </is>
      </c>
      <c r="BB186" t="inlineStr">
        <is>
          <t>n/a</t>
        </is>
      </c>
      <c r="BR186" t="inlineStr">
        <is>
          <t>Yes</t>
        </is>
      </c>
      <c r="BS186" t="inlineStr">
        <is>
          <t>Yes</t>
        </is>
      </c>
      <c r="BW186" t="inlineStr">
        <is>
          <t>Yes</t>
        </is>
      </c>
      <c r="BX186" t="n">
        <v>46027</v>
      </c>
      <c r="BZ186" t="inlineStr">
        <is>
          <t>Firmware Installed</t>
        </is>
      </c>
      <c r="CA186" t="inlineStr">
        <is>
          <t>iPro
Epic Satellite
ALLSCRIPTS
EPIC BCA</t>
        </is>
      </c>
      <c r="CB186" t="inlineStr">
        <is>
          <t>Yes</t>
        </is>
      </c>
      <c r="CC186" t="inlineStr">
        <is>
          <t>No</t>
        </is>
      </c>
      <c r="CD186">
        <f>IF($Y186="","",IF((IF(AND($BR186&lt;&gt;"Yes",$BR186&lt;&gt;"N/A"),"Power Cable, ","")&amp;IF(AND($BS186&lt;&gt;"Yes",$BS186&lt;&gt;"N/A"),"Battery, ","")&amp;IF(AND($AD186&lt;&gt;"Yes",$AD186&lt;&gt;"N/A"),"Firmware Download, ","")&amp;IF(AND(OR($AD186="Yes",$AD186="N/A"),$AE186&lt;&gt;"Yes",$AE186&lt;&gt;"N/A"),"Firmware Install, ","")&amp;IF(AND($CB186&lt;&gt;"Yes",$CB186&lt;&gt;"N/A"),"Device ID, ","")&amp;IF(AND($CC186&lt;&gt;"Yes",$CC186&lt;&gt;"N/A"),"Epic Beans Relay, ",""))="","",LEFT(IF(AND($BR186&lt;&gt;"Yes",$BR186&lt;&gt;"N/A"),"Power Cable, ","")&amp;IF(AND($BS186&lt;&gt;"Yes",$BS186&lt;&gt;"N/A"),"Battery, ","")&amp;IF(AND($AD186&lt;&gt;"Yes",$AD186&lt;&gt;"N/A"),"Firmware Download, ","")&amp;IF(AND(OR($AD186="Yes",$AD186="N/A"),$AE186&lt;&gt;"Yes",$AE186&lt;&gt;"N/A"),"Firmware Install, ","")&amp;IF(AND($CB186&lt;&gt;"Yes",$CB186&lt;&gt;"N/A"),"Device ID, ","")&amp;IF(AND($CC186&lt;&gt;"Yes",$CC186&lt;&gt;"N/A"),"Epic Beans Relay, ",""),LEN(IF(AND($BR186&lt;&gt;"Yes",$BR186&lt;&gt;"N/A"),"Power Cable, ","")&amp;IF(AND($BS186&lt;&gt;"Yes",$BS186&lt;&gt;"N/A"),"Battery, ","")&amp;IF(AND($AD186&lt;&gt;"Yes",$AD186&lt;&gt;"N/A"),"Firmware Download, ","")&amp;IF(AND(OR($AD186="Yes",$AD186="N/A"),$AE186&lt;&gt;"Yes",$AE186&lt;&gt;"N/A"),"Firmware Install, ","")&amp;IF(AND($CB186&lt;&gt;"Yes",$CB186&lt;&gt;"N/A"),"Device ID, ","")&amp;IF(AND($CC186&lt;&gt;"Yes",$CC186&lt;&gt;"N/A"),"Epic Beans Relay, ",""))-2)))</f>
        <v/>
      </c>
      <c r="CE186">
        <f>IF($Y186="","",IF($CD186="","Yes","Blocked"))</f>
        <v/>
      </c>
      <c r="CP186">
        <f>IF($CO186="","",IFERROR(VLOOKUP($CO186,'01_Warehouse_Ledger'!$A:$N,4,FALSE),""))</f>
        <v/>
      </c>
      <c r="CQ186">
        <f>IF($CO186="","",IFERROR(VLOOKUP($CO186,'01_Warehouse_Ledger'!$A:$N,5,FALSE),""))</f>
        <v/>
      </c>
      <c r="CR186">
        <f>IF($CO186="","",IFERROR(VLOOKUP($CO186,'01_Warehouse_Ledger'!$A:$N,13,FALSE),""))</f>
        <v/>
      </c>
      <c r="CW186">
        <f>IF($S186="","",IF(UPPER(TRIM($S186))&lt;&gt;"PASS","",IF(LEN(TRIM($BY186))&gt;0,"NOTES_PRESENT",IF(LEN(TRIM($T186))=0,"SET_NA",IF(OR(LOWER(TRIM($T186))="na",LOWER(TRIM($T186))="n/a"),"OK","MANUAL_OVERRIDE")))))</f>
        <v/>
      </c>
    </row>
    <row r="187">
      <c r="A187" t="inlineStr">
        <is>
          <t>Neuron</t>
        </is>
      </c>
      <c r="B187" s="5" t="inlineStr">
        <is>
          <t>Yes</t>
        </is>
      </c>
      <c r="C187" t="inlineStr">
        <is>
          <t>Yes</t>
        </is>
      </c>
      <c r="D187">
        <f>IF($B187&lt;&gt;"Yes","",IF($C187="No","Yes",IF($C187="Yes","No","")))</f>
        <v/>
      </c>
      <c r="E187">
        <f>IF($A187="","",IF(OR(AND($V187&lt;&gt;"",LOWER(TRIM($V187))&lt;&gt;"n/a",LOWER(TRIM($V187))&lt;&gt;"na",SUMPRODUCT(--(UPPER(TRIM($V$2:$V$518))=UPPER(TRIM($V187))),--(TRIM($V$2:$V$518)&lt;&gt;""),--(LOWER(TRIM($V$2:$V$518))&lt;&gt;"n/a"),--(LOWER(TRIM($V$2:$V$518))&lt;&gt;"na"))&gt;1),AND($W187&lt;&gt;"",LOWER(TRIM($W187))&lt;&gt;"n/a",LOWER(TRIM($W187))&lt;&gt;"na",SUMPRODUCT(--(UPPER(TRIM($W$2:$W$518))=UPPER(TRIM($W187))),--(TRIM($W$2:$W$518)&lt;&gt;""),--(LOWER(TRIM($W$2:$W$518))&lt;&gt;"n/a"),--(LOWER(TRIM($W$2:$W$518))&lt;&gt;"na"))&gt;1),AND($X187&lt;&gt;"",LOWER(TRIM($X187))&lt;&gt;"n/a",LOWER(TRIM($X187))&lt;&gt;"na",SUMPRODUCT(--(UPPER(TRIM($X$2:$X$518))=UPPER(TRIM($X187))),--(TRIM($X$2:$X$518)&lt;&gt;""),--(LOWER(TRIM($X$2:$X$518))&lt;&gt;"n/a"),--(LOWER(TRIM($X$2:$X$518))&lt;&gt;"na"))&gt;1),AND($Y187&lt;&gt;"",LOWER(TRIM($Y187))&lt;&gt;"n/a",LOWER(TRIM($Y187))&lt;&gt;"na",SUMPRODUCT(--(UPPER(SUBSTITUTE(SUBSTITUTE(TRIM($Y$2:$Y$518),":",""),"-",""))=UPPER(SUBSTITUTE(SUBSTITUTE(TRIM($Y187),":",""),"-",""))),--(TRIM($Y$2:$Y$518)&lt;&gt;""),--(LOWER(TRIM($Y$2:$Y$518))&lt;&gt;"n/a"),--(LOWER(TRIM($Y$2:$Y$518))&lt;&gt;"na"))&gt;1),AND($AB187&lt;&gt;"",LOWER(TRIM($AB187))&lt;&gt;"n/a",LOWER(TRIM($AB187))&lt;&gt;"na",SUMPRODUCT(--(UPPER(TRIM($AB$2:$AB$518))=UPPER(TRIM($AB187))),--(TRIM($AB$2:$AB$518)&lt;&gt;""),--(LOWER(TRIM($AB$2:$AB$518))&lt;&gt;"n/a"),--(LOWER(TRIM($AB$2:$AB$518))&lt;&gt;"na"))&gt;1),AND($AH187&lt;&gt;"",LOWER(TRIM($AH187))&lt;&gt;"n/a",LOWER(TRIM($AH187))&lt;&gt;"na",SUMPRODUCT(--(UPPER(SUBSTITUTE(SUBSTITUTE(TRIM($AH$2:$AH$518),":",""),"-",""))=UPPER(SUBSTITUTE(SUBSTITUTE(TRIM($AH187),":",""),"-",""))),--(TRIM($AH$2:$AH$518)&lt;&gt;""),--(LOWER(TRIM($AH$2:$AH$518))&lt;&gt;"n/a"),--(LOWER(TRIM($AH$2:$AH$518))&lt;&gt;"na"))&gt;1),AND($AP187&lt;&gt;"",LOWER(TRIM($AP187))&lt;&gt;"n/a",LOWER(TRIM($AP187))&lt;&gt;"na",SUMPRODUCT(--(UPPER(TRIM($AP$2:$AP$518))=UPPER(TRIM($AP187))),--(TRIM($AP$2:$AP$518)&lt;&gt;""),--(LOWER(TRIM($AP$2:$AP$518))&lt;&gt;"n/a"),--(LOWER(TRIM($AP$2:$AP$518))&lt;&gt;"na"))&gt;1),AND($AQ187&lt;&gt;"",LOWER(TRIM($AQ187))&lt;&gt;"n/a",LOWER(TRIM($AQ187))&lt;&gt;"na",SUMPRODUCT(--(UPPER(TRIM($AQ$2:$AQ$518))=UPPER(TRIM($AQ187))),--(TRIM($AQ$2:$AQ$518)&lt;&gt;""),--(LOWER(TRIM($AQ$2:$AQ$518))&lt;&gt;"n/a"),--(LOWER(TRIM($AQ$2:$AQ$518))&lt;&gt;"na"))&gt;1)),"Yes","No"))</f>
        <v/>
      </c>
      <c r="F187">
        <f>IF(UPPER(TRIM($B187))&lt;&gt;"YES","", IF(OR(AND($V187&lt;&gt;"", LOWER(TRIM($V187))&lt;&gt;"n/a", LOWER(TRIM($V187))&lt;&gt;"na", SUMPRODUCT(--(UPPER(TRIM($V$2:$V$518))=UPPER(TRIM($V187))), --(UPPER(TRIM($B$2:$B$518))="YES"), --(UPPER(TRIM($G$2:$G$518)&amp;TRIM($I$2:$I$518)&amp;TRIM($J$2:$J$518))&lt;&gt;UPPER(TRIM($G187)&amp;TRIM($I187)&amp;TRIM($J187))))&gt;0), AND($W187&lt;&gt;"", LOWER(TRIM($W187))&lt;&gt;"n/a", LOWER(TRIM($W187))&lt;&gt;"na", SUMPRODUCT(--(UPPER(TRIM($W$2:$W$518))=UPPER(TRIM($W187))), --(UPPER(TRIM($B$2:$B$518))="YES"), --(UPPER(TRIM($G$2:$G$518)&amp;TRIM($I$2:$I$518)&amp;TRIM($J$2:$J$518))&lt;&gt;UPPER(TRIM($G187)&amp;TRIM($I187)&amp;TRIM($J187))))&gt;0), AND($X187&lt;&gt;"", LOWER(TRIM($X187))&lt;&gt;"n/a", LOWER(TRIM($X187))&lt;&gt;"na", SUMPRODUCT(--(UPPER(TRIM($X$2:$X$518))=UPPER(TRIM($X187))), --(UPPER(TRIM($B$2:$B$518))="YES"), --(UPPER(TRIM($G$2:$G$518)&amp;TRIM($I$2:$I$518)&amp;TRIM($J$2:$J$518))&lt;&gt;UPPER(TRIM($G187)&amp;TRIM($I187)&amp;TRIM($J187))))&gt;0), AND($Y187&lt;&gt;"", LOWER(TRIM($Y187))&lt;&gt;"n/a", LOWER(TRIM($Y187))&lt;&gt;"na", SUMPRODUCT(--(UPPER(SUBSTITUTE(SUBSTITUTE(TRIM($Y$2:$Y$518),":",""),"-",""))=UPPER(SUBSTITUTE(SUBSTITUTE(TRIM($Y187),":",""),"-",""))), --(UPPER(TRIM($B$2:$B$518))="YES"), --(UPPER(TRIM($G$2:$G$518)&amp;TRIM($I$2:$I$518)&amp;TRIM($J$2:$J$518))&lt;&gt;UPPER(TRIM($G187)&amp;TRIM($I187)&amp;TRIM($J187))))&gt;0), AND($AB187&lt;&gt;"", LOWER(TRIM($AB187))&lt;&gt;"n/a", LOWER(TRIM($AB187))&lt;&gt;"na", SUMPRODUCT(--(UPPER(TRIM($AB$2:$AB$518))=UPPER(TRIM($AB187))), --(UPPER(TRIM($B$2:$B$518))="YES"), --(UPPER(TRIM($G$2:$G$518)&amp;TRIM($I$2:$I$518)&amp;TRIM($J$2:$J$518))&lt;&gt;UPPER(TRIM($G187)&amp;TRIM($I187)&amp;TRIM($J187))))&gt;0), AND($AH187&lt;&gt;"", LOWER(TRIM($AH187))&lt;&gt;"n/a", LOWER(TRIM($AH187))&lt;&gt;"na", SUMPRODUCT(--(UPPER(SUBSTITUTE(SUBSTITUTE(TRIM($AH$2:$AH$518),":",""),"-",""))=UPPER(SUBSTITUTE(SUBSTITUTE(TRIM($AH187),":",""),"-",""))), --(UPPER(TRIM($B$2:$B$518))="YES"), --(UPPER(TRIM($G$2:$G$518)&amp;TRIM($I$2:$I$518)&amp;TRIM($J$2:$J$518))&lt;&gt;UPPER(TRIM($G187)&amp;TRIM($I187)&amp;TRIM($J187))))&gt;0), AND($AP187&lt;&gt;"", LOWER(TRIM($AP187))&lt;&gt;"n/a", LOWER(TRIM($AP187))&lt;&gt;"na", SUMPRODUCT(--(UPPER(TRIM($AP$2:$AP$518))=UPPER(TRIM($AP187))), --(UPPER(TRIM($B$2:$B$518))="YES"), --(UPPER(TRIM($G$2:$G$518)&amp;TRIM($I$2:$I$518)&amp;TRIM($J$2:$J$518))&lt;&gt;UPPER(TRIM($G187)&amp;TRIM($I187)&amp;TRIM($J187))))&gt;0), AND($AQ187&lt;&gt;"", LOWER(TRIM($AQ187))&lt;&gt;"n/a", LOWER(TRIM($AQ187))&lt;&gt;"na", SUMPRODUCT(--(UPPER(TRIM($AQ$2:$AQ$518))=UPPER(TRIM($AQ187))), --(UPPER(TRIM($B$2:$B$518))="YES"), --(UPPER(TRIM($G$2:$G$518)&amp;TRIM($I$2:$I$518)&amp;TRIM($J$2:$J$518))&lt;&gt;UPPER(TRIM($G187)&amp;TRIM($I187)&amp;TRIM($J187))))&gt;0)), "Yes", "No"))</f>
        <v/>
      </c>
      <c r="G187" t="inlineStr">
        <is>
          <t>LIJ SDF</t>
        </is>
      </c>
      <c r="H187" t="inlineStr">
        <is>
          <t>LIJ SDF</t>
        </is>
      </c>
      <c r="I187" t="inlineStr">
        <is>
          <t>Ground Level/Dialysis</t>
        </is>
      </c>
      <c r="J187" t="inlineStr">
        <is>
          <t>Open Patient Area</t>
        </is>
      </c>
      <c r="K187" t="n">
        <v>2</v>
      </c>
      <c r="L187" s="18" t="n">
        <v>46033</v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W187" t="inlineStr">
        <is>
          <t>n/a</t>
        </is>
      </c>
      <c r="X187" t="inlineStr">
        <is>
          <t>LIJ-SDF-MACH-B</t>
        </is>
      </c>
      <c r="Y187" t="inlineStr">
        <is>
          <t>A0F5097FEEFA</t>
        </is>
      </c>
      <c r="Z187" t="inlineStr">
        <is>
          <t>10.134.19.28</t>
        </is>
      </c>
      <c r="AA187" t="inlineStr">
        <is>
          <t>Yes</t>
        </is>
      </c>
      <c r="AB187" t="inlineStr">
        <is>
          <t>WA24406289</t>
        </is>
      </c>
      <c r="AC187" t="inlineStr">
        <is>
          <t>LIJ</t>
        </is>
      </c>
      <c r="AD187" t="inlineStr">
        <is>
          <t>Yes</t>
        </is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  <c r="AI187" t="inlineStr">
        <is>
          <t>Dialysis Machine</t>
        </is>
      </c>
      <c r="AL187" t="inlineStr">
        <is>
          <t xml:space="preserve">BSM 051 B </t>
        </is>
      </c>
      <c r="AM187" t="inlineStr">
        <is>
          <t>Fresenius BlueStar</t>
        </is>
      </c>
      <c r="AN187" t="inlineStr">
        <is>
          <t>2008T</t>
        </is>
      </c>
      <c r="AO187" t="inlineStr">
        <is>
          <t>1T0S255909</t>
        </is>
      </c>
      <c r="AP187" t="inlineStr">
        <is>
          <t>n/a</t>
        </is>
      </c>
      <c r="AQ187" t="inlineStr">
        <is>
          <t>1T0S255909</t>
        </is>
      </c>
      <c r="AS187" t="inlineStr">
        <is>
          <t>B1-CFH</t>
        </is>
      </c>
      <c r="AX187" t="inlineStr">
        <is>
          <t>n/a</t>
        </is>
      </c>
      <c r="AY187" t="inlineStr">
        <is>
          <t>Fresenius BlueStar - 2008T</t>
        </is>
      </c>
      <c r="AZ187" t="inlineStr">
        <is>
          <t>n/a</t>
        </is>
      </c>
      <c r="BA187" t="inlineStr">
        <is>
          <t>n/a</t>
        </is>
      </c>
      <c r="BB187" t="inlineStr">
        <is>
          <t>n/a</t>
        </is>
      </c>
      <c r="BR187" t="inlineStr">
        <is>
          <t>Yes</t>
        </is>
      </c>
      <c r="BS187" t="inlineStr">
        <is>
          <t>Yes</t>
        </is>
      </c>
      <c r="BW187" t="inlineStr">
        <is>
          <t>Yes</t>
        </is>
      </c>
      <c r="BX187" t="n">
        <v>46027</v>
      </c>
      <c r="BZ187" t="inlineStr">
        <is>
          <t>Firmware Installed</t>
        </is>
      </c>
      <c r="CB187" t="inlineStr">
        <is>
          <t>Yes</t>
        </is>
      </c>
      <c r="CC187" t="inlineStr">
        <is>
          <t>No</t>
        </is>
      </c>
      <c r="CD187">
        <f>IF($Y187="","",IF((IF(AND($BR187&lt;&gt;"Yes",$BR187&lt;&gt;"N/A"),"Power Cable, ","")&amp;IF(AND($BS187&lt;&gt;"Yes",$BS187&lt;&gt;"N/A"),"Battery, ","")&amp;IF(AND($AD187&lt;&gt;"Yes",$AD187&lt;&gt;"N/A"),"Firmware Download, ","")&amp;IF(AND(OR($AD187="Yes",$AD187="N/A"),$AE187&lt;&gt;"Yes",$AE187&lt;&gt;"N/A"),"Firmware Install, ","")&amp;IF(AND($CB187&lt;&gt;"Yes",$CB187&lt;&gt;"N/A"),"Device ID, ","")&amp;IF(AND($CC187&lt;&gt;"Yes",$CC187&lt;&gt;"N/A"),"Epic Beans Relay, ",""))="","",LEFT(IF(AND($BR187&lt;&gt;"Yes",$BR187&lt;&gt;"N/A"),"Power Cable, ","")&amp;IF(AND($BS187&lt;&gt;"Yes",$BS187&lt;&gt;"N/A"),"Battery, ","")&amp;IF(AND($AD187&lt;&gt;"Yes",$AD187&lt;&gt;"N/A"),"Firmware Download, ","")&amp;IF(AND(OR($AD187="Yes",$AD187="N/A"),$AE187&lt;&gt;"Yes",$AE187&lt;&gt;"N/A"),"Firmware Install, ","")&amp;IF(AND($CB187&lt;&gt;"Yes",$CB187&lt;&gt;"N/A"),"Device ID, ","")&amp;IF(AND($CC187&lt;&gt;"Yes",$CC187&lt;&gt;"N/A"),"Epic Beans Relay, ",""),LEN(IF(AND($BR187&lt;&gt;"Yes",$BR187&lt;&gt;"N/A"),"Power Cable, ","")&amp;IF(AND($BS187&lt;&gt;"Yes",$BS187&lt;&gt;"N/A"),"Battery, ","")&amp;IF(AND($AD187&lt;&gt;"Yes",$AD187&lt;&gt;"N/A"),"Firmware Download, ","")&amp;IF(AND(OR($AD187="Yes",$AD187="N/A"),$AE187&lt;&gt;"Yes",$AE187&lt;&gt;"N/A"),"Firmware Install, ","")&amp;IF(AND($CB187&lt;&gt;"Yes",$CB187&lt;&gt;"N/A"),"Device ID, ","")&amp;IF(AND($CC187&lt;&gt;"Yes",$CC187&lt;&gt;"N/A"),"Epic Beans Relay, ",""))-2)))</f>
        <v/>
      </c>
      <c r="CE187">
        <f>IF($Y187="","",IF($CD187="","Yes","Blocked"))</f>
        <v/>
      </c>
      <c r="CP187">
        <f>IF($CO187="","",IFERROR(VLOOKUP($CO187,'01_Warehouse_Ledger'!$A:$N,4,FALSE),""))</f>
        <v/>
      </c>
      <c r="CQ187">
        <f>IF($CO187="","",IFERROR(VLOOKUP($CO187,'01_Warehouse_Ledger'!$A:$N,5,FALSE),""))</f>
        <v/>
      </c>
      <c r="CR187">
        <f>IF($CO187="","",IFERROR(VLOOKUP($CO187,'01_Warehouse_Ledger'!$A:$N,13,FALSE),""))</f>
        <v/>
      </c>
      <c r="CW187">
        <f>IF($S187="","",IF(UPPER(TRIM($S187))&lt;&gt;"PASS","",IF(LEN(TRIM($BY187))&gt;0,"NOTES_PRESENT",IF(LEN(TRIM($T187))=0,"SET_NA",IF(OR(LOWER(TRIM($T187))="na",LOWER(TRIM($T187))="n/a"),"OK","MANUAL_OVERRIDE")))))</f>
        <v/>
      </c>
    </row>
    <row r="188">
      <c r="A188" t="inlineStr">
        <is>
          <t>Neuron</t>
        </is>
      </c>
      <c r="B188" s="5" t="inlineStr">
        <is>
          <t>Yes</t>
        </is>
      </c>
      <c r="C188" t="inlineStr">
        <is>
          <t>Yes</t>
        </is>
      </c>
      <c r="D188">
        <f>IF($B188&lt;&gt;"Yes","",IF($C188="No","Yes",IF($C188="Yes","No","")))</f>
        <v/>
      </c>
      <c r="E188">
        <f>IF($A188="","",IF(OR(AND($V188&lt;&gt;"",LOWER(TRIM($V188))&lt;&gt;"n/a",LOWER(TRIM($V188))&lt;&gt;"na",SUMPRODUCT(--(UPPER(TRIM($V$2:$V$518))=UPPER(TRIM($V188))),--(TRIM($V$2:$V$518)&lt;&gt;""),--(LOWER(TRIM($V$2:$V$518))&lt;&gt;"n/a"),--(LOWER(TRIM($V$2:$V$518))&lt;&gt;"na"))&gt;1),AND($W188&lt;&gt;"",LOWER(TRIM($W188))&lt;&gt;"n/a",LOWER(TRIM($W188))&lt;&gt;"na",SUMPRODUCT(--(UPPER(TRIM($W$2:$W$518))=UPPER(TRIM($W188))),--(TRIM($W$2:$W$518)&lt;&gt;""),--(LOWER(TRIM($W$2:$W$518))&lt;&gt;"n/a"),--(LOWER(TRIM($W$2:$W$518))&lt;&gt;"na"))&gt;1),AND($X188&lt;&gt;"",LOWER(TRIM($X188))&lt;&gt;"n/a",LOWER(TRIM($X188))&lt;&gt;"na",SUMPRODUCT(--(UPPER(TRIM($X$2:$X$518))=UPPER(TRIM($X188))),--(TRIM($X$2:$X$518)&lt;&gt;""),--(LOWER(TRIM($X$2:$X$518))&lt;&gt;"n/a"),--(LOWER(TRIM($X$2:$X$518))&lt;&gt;"na"))&gt;1),AND($Y188&lt;&gt;"",LOWER(TRIM($Y188))&lt;&gt;"n/a",LOWER(TRIM($Y188))&lt;&gt;"na",SUMPRODUCT(--(UPPER(SUBSTITUTE(SUBSTITUTE(TRIM($Y$2:$Y$518),":",""),"-",""))=UPPER(SUBSTITUTE(SUBSTITUTE(TRIM($Y188),":",""),"-",""))),--(TRIM($Y$2:$Y$518)&lt;&gt;""),--(LOWER(TRIM($Y$2:$Y$518))&lt;&gt;"n/a"),--(LOWER(TRIM($Y$2:$Y$518))&lt;&gt;"na"))&gt;1),AND($AB188&lt;&gt;"",LOWER(TRIM($AB188))&lt;&gt;"n/a",LOWER(TRIM($AB188))&lt;&gt;"na",SUMPRODUCT(--(UPPER(TRIM($AB$2:$AB$518))=UPPER(TRIM($AB188))),--(TRIM($AB$2:$AB$518)&lt;&gt;""),--(LOWER(TRIM($AB$2:$AB$518))&lt;&gt;"n/a"),--(LOWER(TRIM($AB$2:$AB$518))&lt;&gt;"na"))&gt;1),AND($AH188&lt;&gt;"",LOWER(TRIM($AH188))&lt;&gt;"n/a",LOWER(TRIM($AH188))&lt;&gt;"na",SUMPRODUCT(--(UPPER(SUBSTITUTE(SUBSTITUTE(TRIM($AH$2:$AH$518),":",""),"-",""))=UPPER(SUBSTITUTE(SUBSTITUTE(TRIM($AH188),":",""),"-",""))),--(TRIM($AH$2:$AH$518)&lt;&gt;""),--(LOWER(TRIM($AH$2:$AH$518))&lt;&gt;"n/a"),--(LOWER(TRIM($AH$2:$AH$518))&lt;&gt;"na"))&gt;1),AND($AP188&lt;&gt;"",LOWER(TRIM($AP188))&lt;&gt;"n/a",LOWER(TRIM($AP188))&lt;&gt;"na",SUMPRODUCT(--(UPPER(TRIM($AP$2:$AP$518))=UPPER(TRIM($AP188))),--(TRIM($AP$2:$AP$518)&lt;&gt;""),--(LOWER(TRIM($AP$2:$AP$518))&lt;&gt;"n/a"),--(LOWER(TRIM($AP$2:$AP$518))&lt;&gt;"na"))&gt;1),AND($AQ188&lt;&gt;"",LOWER(TRIM($AQ188))&lt;&gt;"n/a",LOWER(TRIM($AQ188))&lt;&gt;"na",SUMPRODUCT(--(UPPER(TRIM($AQ$2:$AQ$518))=UPPER(TRIM($AQ188))),--(TRIM($AQ$2:$AQ$518)&lt;&gt;""),--(LOWER(TRIM($AQ$2:$AQ$518))&lt;&gt;"n/a"),--(LOWER(TRIM($AQ$2:$AQ$518))&lt;&gt;"na"))&gt;1)),"Yes","No"))</f>
        <v/>
      </c>
      <c r="F188">
        <f>IF(UPPER(TRIM($B188))&lt;&gt;"YES","", IF(OR(AND($V188&lt;&gt;"", LOWER(TRIM($V188))&lt;&gt;"n/a", LOWER(TRIM($V188))&lt;&gt;"na", SUMPRODUCT(--(UPPER(TRIM($V$2:$V$518))=UPPER(TRIM($V188))), --(UPPER(TRIM($B$2:$B$518))="YES"), --(UPPER(TRIM($G$2:$G$518)&amp;TRIM($I$2:$I$518)&amp;TRIM($J$2:$J$518))&lt;&gt;UPPER(TRIM($G188)&amp;TRIM($I188)&amp;TRIM($J188))))&gt;0), AND($W188&lt;&gt;"", LOWER(TRIM($W188))&lt;&gt;"n/a", LOWER(TRIM($W188))&lt;&gt;"na", SUMPRODUCT(--(UPPER(TRIM($W$2:$W$518))=UPPER(TRIM($W188))), --(UPPER(TRIM($B$2:$B$518))="YES"), --(UPPER(TRIM($G$2:$G$518)&amp;TRIM($I$2:$I$518)&amp;TRIM($J$2:$J$518))&lt;&gt;UPPER(TRIM($G188)&amp;TRIM($I188)&amp;TRIM($J188))))&gt;0), AND($X188&lt;&gt;"", LOWER(TRIM($X188))&lt;&gt;"n/a", LOWER(TRIM($X188))&lt;&gt;"na", SUMPRODUCT(--(UPPER(TRIM($X$2:$X$518))=UPPER(TRIM($X188))), --(UPPER(TRIM($B$2:$B$518))="YES"), --(UPPER(TRIM($G$2:$G$518)&amp;TRIM($I$2:$I$518)&amp;TRIM($J$2:$J$518))&lt;&gt;UPPER(TRIM($G188)&amp;TRIM($I188)&amp;TRIM($J188))))&gt;0), AND($Y188&lt;&gt;"", LOWER(TRIM($Y188))&lt;&gt;"n/a", LOWER(TRIM($Y188))&lt;&gt;"na", SUMPRODUCT(--(UPPER(SUBSTITUTE(SUBSTITUTE(TRIM($Y$2:$Y$518),":",""),"-",""))=UPPER(SUBSTITUTE(SUBSTITUTE(TRIM($Y188),":",""),"-",""))), --(UPPER(TRIM($B$2:$B$518))="YES"), --(UPPER(TRIM($G$2:$G$518)&amp;TRIM($I$2:$I$518)&amp;TRIM($J$2:$J$518))&lt;&gt;UPPER(TRIM($G188)&amp;TRIM($I188)&amp;TRIM($J188))))&gt;0), AND($AB188&lt;&gt;"", LOWER(TRIM($AB188))&lt;&gt;"n/a", LOWER(TRIM($AB188))&lt;&gt;"na", SUMPRODUCT(--(UPPER(TRIM($AB$2:$AB$518))=UPPER(TRIM($AB188))), --(UPPER(TRIM($B$2:$B$518))="YES"), --(UPPER(TRIM($G$2:$G$518)&amp;TRIM($I$2:$I$518)&amp;TRIM($J$2:$J$518))&lt;&gt;UPPER(TRIM($G188)&amp;TRIM($I188)&amp;TRIM($J188))))&gt;0), AND($AH188&lt;&gt;"", LOWER(TRIM($AH188))&lt;&gt;"n/a", LOWER(TRIM($AH188))&lt;&gt;"na", SUMPRODUCT(--(UPPER(SUBSTITUTE(SUBSTITUTE(TRIM($AH$2:$AH$518),":",""),"-",""))=UPPER(SUBSTITUTE(SUBSTITUTE(TRIM($AH188),":",""),"-",""))), --(UPPER(TRIM($B$2:$B$518))="YES"), --(UPPER(TRIM($G$2:$G$518)&amp;TRIM($I$2:$I$518)&amp;TRIM($J$2:$J$518))&lt;&gt;UPPER(TRIM($G188)&amp;TRIM($I188)&amp;TRIM($J188))))&gt;0), AND($AP188&lt;&gt;"", LOWER(TRIM($AP188))&lt;&gt;"n/a", LOWER(TRIM($AP188))&lt;&gt;"na", SUMPRODUCT(--(UPPER(TRIM($AP$2:$AP$518))=UPPER(TRIM($AP188))), --(UPPER(TRIM($B$2:$B$518))="YES"), --(UPPER(TRIM($G$2:$G$518)&amp;TRIM($I$2:$I$518)&amp;TRIM($J$2:$J$518))&lt;&gt;UPPER(TRIM($G188)&amp;TRIM($I188)&amp;TRIM($J188))))&gt;0), AND($AQ188&lt;&gt;"", LOWER(TRIM($AQ188))&lt;&gt;"n/a", LOWER(TRIM($AQ188))&lt;&gt;"na", SUMPRODUCT(--(UPPER(TRIM($AQ$2:$AQ$518))=UPPER(TRIM($AQ188))), --(UPPER(TRIM($B$2:$B$518))="YES"), --(UPPER(TRIM($G$2:$G$518)&amp;TRIM($I$2:$I$518)&amp;TRIM($J$2:$J$518))&lt;&gt;UPPER(TRIM($G188)&amp;TRIM($I188)&amp;TRIM($J188))))&gt;0)), "Yes", "No"))</f>
        <v/>
      </c>
      <c r="G188" t="inlineStr">
        <is>
          <t>LIJ SDF</t>
        </is>
      </c>
      <c r="H188" t="inlineStr">
        <is>
          <t>LIJ SDF</t>
        </is>
      </c>
      <c r="I188" t="inlineStr">
        <is>
          <t>Ground Level/Dialysis</t>
        </is>
      </c>
      <c r="J188" t="inlineStr">
        <is>
          <t>Open Patient Area</t>
        </is>
      </c>
      <c r="K188" t="n">
        <v>3</v>
      </c>
      <c r="L188" s="18" t="n">
        <v>46033</v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W188" t="inlineStr">
        <is>
          <t>n/a</t>
        </is>
      </c>
      <c r="X188" t="inlineStr">
        <is>
          <t>LIJ-SDF-MACH-C</t>
        </is>
      </c>
      <c r="Y188" t="inlineStr">
        <is>
          <t>A0F5097B89E1</t>
        </is>
      </c>
      <c r="Z188" t="inlineStr">
        <is>
          <t>10.134.19.27</t>
        </is>
      </c>
      <c r="AA188" t="inlineStr">
        <is>
          <t>Yes</t>
        </is>
      </c>
      <c r="AB188" t="inlineStr">
        <is>
          <t>WA25106707</t>
        </is>
      </c>
      <c r="AC188" t="inlineStr">
        <is>
          <t>LIJ</t>
        </is>
      </c>
      <c r="AD188" t="inlineStr">
        <is>
          <t>Yes</t>
        </is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  <c r="AI188" t="inlineStr">
        <is>
          <t>Dialysis Machine</t>
        </is>
      </c>
      <c r="AL188" t="inlineStr">
        <is>
          <t>BSM 033 A</t>
        </is>
      </c>
      <c r="AM188" t="inlineStr">
        <is>
          <t>Fresenius BlueStar</t>
        </is>
      </c>
      <c r="AN188" t="inlineStr">
        <is>
          <t>2008T</t>
        </is>
      </c>
      <c r="AO188" t="inlineStr">
        <is>
          <t>0T0S250268</t>
        </is>
      </c>
      <c r="AP188" t="inlineStr">
        <is>
          <t>n/a</t>
        </is>
      </c>
      <c r="AQ188" t="inlineStr">
        <is>
          <t>0T0S250268</t>
        </is>
      </c>
      <c r="AS188" t="inlineStr">
        <is>
          <t>B1-CFH</t>
        </is>
      </c>
      <c r="AX188" t="inlineStr">
        <is>
          <t>n/a</t>
        </is>
      </c>
      <c r="AY188" t="inlineStr">
        <is>
          <t>Fresenius BlueStar - 2008T</t>
        </is>
      </c>
      <c r="AZ188" t="inlineStr">
        <is>
          <t>n/a</t>
        </is>
      </c>
      <c r="BA188" t="inlineStr">
        <is>
          <t>n/a</t>
        </is>
      </c>
      <c r="BB188" t="inlineStr">
        <is>
          <t>n/a</t>
        </is>
      </c>
      <c r="BR188" t="inlineStr">
        <is>
          <t>Yes</t>
        </is>
      </c>
      <c r="BS188" t="inlineStr">
        <is>
          <t>Yes</t>
        </is>
      </c>
      <c r="BW188" t="inlineStr">
        <is>
          <t>Yes</t>
        </is>
      </c>
      <c r="BX188" t="n">
        <v>46027</v>
      </c>
      <c r="BZ188" t="inlineStr">
        <is>
          <t>Firmware Installed</t>
        </is>
      </c>
      <c r="CB188" t="inlineStr">
        <is>
          <t>Yes</t>
        </is>
      </c>
      <c r="CC188" t="inlineStr">
        <is>
          <t>No</t>
        </is>
      </c>
      <c r="CD188">
        <f>IF($Y188="","",IF((IF(AND($BR188&lt;&gt;"Yes",$BR188&lt;&gt;"N/A"),"Power Cable, ","")&amp;IF(AND($BS188&lt;&gt;"Yes",$BS188&lt;&gt;"N/A"),"Battery, ","")&amp;IF(AND($AD188&lt;&gt;"Yes",$AD188&lt;&gt;"N/A"),"Firmware Download, ","")&amp;IF(AND(OR($AD188="Yes",$AD188="N/A"),$AE188&lt;&gt;"Yes",$AE188&lt;&gt;"N/A"),"Firmware Install, ","")&amp;IF(AND($CB188&lt;&gt;"Yes",$CB188&lt;&gt;"N/A"),"Device ID, ","")&amp;IF(AND($CC188&lt;&gt;"Yes",$CC188&lt;&gt;"N/A"),"Epic Beans Relay, ",""))="","",LEFT(IF(AND($BR188&lt;&gt;"Yes",$BR188&lt;&gt;"N/A"),"Power Cable, ","")&amp;IF(AND($BS188&lt;&gt;"Yes",$BS188&lt;&gt;"N/A"),"Battery, ","")&amp;IF(AND($AD188&lt;&gt;"Yes",$AD188&lt;&gt;"N/A"),"Firmware Download, ","")&amp;IF(AND(OR($AD188="Yes",$AD188="N/A"),$AE188&lt;&gt;"Yes",$AE188&lt;&gt;"N/A"),"Firmware Install, ","")&amp;IF(AND($CB188&lt;&gt;"Yes",$CB188&lt;&gt;"N/A"),"Device ID, ","")&amp;IF(AND($CC188&lt;&gt;"Yes",$CC188&lt;&gt;"N/A"),"Epic Beans Relay, ",""),LEN(IF(AND($BR188&lt;&gt;"Yes",$BR188&lt;&gt;"N/A"),"Power Cable, ","")&amp;IF(AND($BS188&lt;&gt;"Yes",$BS188&lt;&gt;"N/A"),"Battery, ","")&amp;IF(AND($AD188&lt;&gt;"Yes",$AD188&lt;&gt;"N/A"),"Firmware Download, ","")&amp;IF(AND(OR($AD188="Yes",$AD188="N/A"),$AE188&lt;&gt;"Yes",$AE188&lt;&gt;"N/A"),"Firmware Install, ","")&amp;IF(AND($CB188&lt;&gt;"Yes",$CB188&lt;&gt;"N/A"),"Device ID, ","")&amp;IF(AND($CC188&lt;&gt;"Yes",$CC188&lt;&gt;"N/A"),"Epic Beans Relay, ",""))-2)))</f>
        <v/>
      </c>
      <c r="CE188">
        <f>IF($Y188="","",IF($CD188="","Yes","Blocked"))</f>
        <v/>
      </c>
      <c r="CP188">
        <f>IF($CO188="","",IFERROR(VLOOKUP($CO188,'01_Warehouse_Ledger'!$A:$N,4,FALSE),""))</f>
        <v/>
      </c>
      <c r="CQ188">
        <f>IF($CO188="","",IFERROR(VLOOKUP($CO188,'01_Warehouse_Ledger'!$A:$N,5,FALSE),""))</f>
        <v/>
      </c>
      <c r="CR188">
        <f>IF($CO188="","",IFERROR(VLOOKUP($CO188,'01_Warehouse_Ledger'!$A:$N,13,FALSE),""))</f>
        <v/>
      </c>
      <c r="CW188">
        <f>IF($S188="","",IF(UPPER(TRIM($S188))&lt;&gt;"PASS","",IF(LEN(TRIM($BY188))&gt;0,"NOTES_PRESENT",IF(LEN(TRIM($T188))=0,"SET_NA",IF(OR(LOWER(TRIM($T188))="na",LOWER(TRIM($T188))="n/a"),"OK","MANUAL_OVERRIDE")))))</f>
        <v/>
      </c>
    </row>
    <row r="189">
      <c r="A189" t="inlineStr">
        <is>
          <t>Neuron</t>
        </is>
      </c>
      <c r="B189" s="5" t="inlineStr">
        <is>
          <t>Yes</t>
        </is>
      </c>
      <c r="C189" t="inlineStr">
        <is>
          <t>Yes</t>
        </is>
      </c>
      <c r="D189">
        <f>IF($B189&lt;&gt;"Yes","",IF($C189="No","Yes",IF($C189="Yes","No","")))</f>
        <v/>
      </c>
      <c r="E189">
        <f>IF($A189="","",IF(OR(AND($V189&lt;&gt;"",LOWER(TRIM($V189))&lt;&gt;"n/a",LOWER(TRIM($V189))&lt;&gt;"na",SUMPRODUCT(--(UPPER(TRIM($V$2:$V$518))=UPPER(TRIM($V189))),--(TRIM($V$2:$V$518)&lt;&gt;""),--(LOWER(TRIM($V$2:$V$518))&lt;&gt;"n/a"),--(LOWER(TRIM($V$2:$V$518))&lt;&gt;"na"))&gt;1),AND($W189&lt;&gt;"",LOWER(TRIM($W189))&lt;&gt;"n/a",LOWER(TRIM($W189))&lt;&gt;"na",SUMPRODUCT(--(UPPER(TRIM($W$2:$W$518))=UPPER(TRIM($W189))),--(TRIM($W$2:$W$518)&lt;&gt;""),--(LOWER(TRIM($W$2:$W$518))&lt;&gt;"n/a"),--(LOWER(TRIM($W$2:$W$518))&lt;&gt;"na"))&gt;1),AND($X189&lt;&gt;"",LOWER(TRIM($X189))&lt;&gt;"n/a",LOWER(TRIM($X189))&lt;&gt;"na",SUMPRODUCT(--(UPPER(TRIM($X$2:$X$518))=UPPER(TRIM($X189))),--(TRIM($X$2:$X$518)&lt;&gt;""),--(LOWER(TRIM($X$2:$X$518))&lt;&gt;"n/a"),--(LOWER(TRIM($X$2:$X$518))&lt;&gt;"na"))&gt;1),AND($Y189&lt;&gt;"",LOWER(TRIM($Y189))&lt;&gt;"n/a",LOWER(TRIM($Y189))&lt;&gt;"na",SUMPRODUCT(--(UPPER(SUBSTITUTE(SUBSTITUTE(TRIM($Y$2:$Y$518),":",""),"-",""))=UPPER(SUBSTITUTE(SUBSTITUTE(TRIM($Y189),":",""),"-",""))),--(TRIM($Y$2:$Y$518)&lt;&gt;""),--(LOWER(TRIM($Y$2:$Y$518))&lt;&gt;"n/a"),--(LOWER(TRIM($Y$2:$Y$518))&lt;&gt;"na"))&gt;1),AND($AB189&lt;&gt;"",LOWER(TRIM($AB189))&lt;&gt;"n/a",LOWER(TRIM($AB189))&lt;&gt;"na",SUMPRODUCT(--(UPPER(TRIM($AB$2:$AB$518))=UPPER(TRIM($AB189))),--(TRIM($AB$2:$AB$518)&lt;&gt;""),--(LOWER(TRIM($AB$2:$AB$518))&lt;&gt;"n/a"),--(LOWER(TRIM($AB$2:$AB$518))&lt;&gt;"na"))&gt;1),AND($AH189&lt;&gt;"",LOWER(TRIM($AH189))&lt;&gt;"n/a",LOWER(TRIM($AH189))&lt;&gt;"na",SUMPRODUCT(--(UPPER(SUBSTITUTE(SUBSTITUTE(TRIM($AH$2:$AH$518),":",""),"-",""))=UPPER(SUBSTITUTE(SUBSTITUTE(TRIM($AH189),":",""),"-",""))),--(TRIM($AH$2:$AH$518)&lt;&gt;""),--(LOWER(TRIM($AH$2:$AH$518))&lt;&gt;"n/a"),--(LOWER(TRIM($AH$2:$AH$518))&lt;&gt;"na"))&gt;1),AND($AP189&lt;&gt;"",LOWER(TRIM($AP189))&lt;&gt;"n/a",LOWER(TRIM($AP189))&lt;&gt;"na",SUMPRODUCT(--(UPPER(TRIM($AP$2:$AP$518))=UPPER(TRIM($AP189))),--(TRIM($AP$2:$AP$518)&lt;&gt;""),--(LOWER(TRIM($AP$2:$AP$518))&lt;&gt;"n/a"),--(LOWER(TRIM($AP$2:$AP$518))&lt;&gt;"na"))&gt;1),AND($AQ189&lt;&gt;"",LOWER(TRIM($AQ189))&lt;&gt;"n/a",LOWER(TRIM($AQ189))&lt;&gt;"na",SUMPRODUCT(--(UPPER(TRIM($AQ$2:$AQ$518))=UPPER(TRIM($AQ189))),--(TRIM($AQ$2:$AQ$518)&lt;&gt;""),--(LOWER(TRIM($AQ$2:$AQ$518))&lt;&gt;"n/a"),--(LOWER(TRIM($AQ$2:$AQ$518))&lt;&gt;"na"))&gt;1)),"Yes","No"))</f>
        <v/>
      </c>
      <c r="F189">
        <f>IF(UPPER(TRIM($B189))&lt;&gt;"YES","", IF(OR(AND($V189&lt;&gt;"", LOWER(TRIM($V189))&lt;&gt;"n/a", LOWER(TRIM($V189))&lt;&gt;"na", SUMPRODUCT(--(UPPER(TRIM($V$2:$V$518))=UPPER(TRIM($V189))), --(UPPER(TRIM($B$2:$B$518))="YES"), --(UPPER(TRIM($G$2:$G$518)&amp;TRIM($I$2:$I$518)&amp;TRIM($J$2:$J$518))&lt;&gt;UPPER(TRIM($G189)&amp;TRIM($I189)&amp;TRIM($J189))))&gt;0), AND($W189&lt;&gt;"", LOWER(TRIM($W189))&lt;&gt;"n/a", LOWER(TRIM($W189))&lt;&gt;"na", SUMPRODUCT(--(UPPER(TRIM($W$2:$W$518))=UPPER(TRIM($W189))), --(UPPER(TRIM($B$2:$B$518))="YES"), --(UPPER(TRIM($G$2:$G$518)&amp;TRIM($I$2:$I$518)&amp;TRIM($J$2:$J$518))&lt;&gt;UPPER(TRIM($G189)&amp;TRIM($I189)&amp;TRIM($J189))))&gt;0), AND($X189&lt;&gt;"", LOWER(TRIM($X189))&lt;&gt;"n/a", LOWER(TRIM($X189))&lt;&gt;"na", SUMPRODUCT(--(UPPER(TRIM($X$2:$X$518))=UPPER(TRIM($X189))), --(UPPER(TRIM($B$2:$B$518))="YES"), --(UPPER(TRIM($G$2:$G$518)&amp;TRIM($I$2:$I$518)&amp;TRIM($J$2:$J$518))&lt;&gt;UPPER(TRIM($G189)&amp;TRIM($I189)&amp;TRIM($J189))))&gt;0), AND($Y189&lt;&gt;"", LOWER(TRIM($Y189))&lt;&gt;"n/a", LOWER(TRIM($Y189))&lt;&gt;"na", SUMPRODUCT(--(UPPER(SUBSTITUTE(SUBSTITUTE(TRIM($Y$2:$Y$518),":",""),"-",""))=UPPER(SUBSTITUTE(SUBSTITUTE(TRIM($Y189),":",""),"-",""))), --(UPPER(TRIM($B$2:$B$518))="YES"), --(UPPER(TRIM($G$2:$G$518)&amp;TRIM($I$2:$I$518)&amp;TRIM($J$2:$J$518))&lt;&gt;UPPER(TRIM($G189)&amp;TRIM($I189)&amp;TRIM($J189))))&gt;0), AND($AB189&lt;&gt;"", LOWER(TRIM($AB189))&lt;&gt;"n/a", LOWER(TRIM($AB189))&lt;&gt;"na", SUMPRODUCT(--(UPPER(TRIM($AB$2:$AB$518))=UPPER(TRIM($AB189))), --(UPPER(TRIM($B$2:$B$518))="YES"), --(UPPER(TRIM($G$2:$G$518)&amp;TRIM($I$2:$I$518)&amp;TRIM($J$2:$J$518))&lt;&gt;UPPER(TRIM($G189)&amp;TRIM($I189)&amp;TRIM($J189))))&gt;0), AND($AH189&lt;&gt;"", LOWER(TRIM($AH189))&lt;&gt;"n/a", LOWER(TRIM($AH189))&lt;&gt;"na", SUMPRODUCT(--(UPPER(SUBSTITUTE(SUBSTITUTE(TRIM($AH$2:$AH$518),":",""),"-",""))=UPPER(SUBSTITUTE(SUBSTITUTE(TRIM($AH189),":",""),"-",""))), --(UPPER(TRIM($B$2:$B$518))="YES"), --(UPPER(TRIM($G$2:$G$518)&amp;TRIM($I$2:$I$518)&amp;TRIM($J$2:$J$518))&lt;&gt;UPPER(TRIM($G189)&amp;TRIM($I189)&amp;TRIM($J189))))&gt;0), AND($AP189&lt;&gt;"", LOWER(TRIM($AP189))&lt;&gt;"n/a", LOWER(TRIM($AP189))&lt;&gt;"na", SUMPRODUCT(--(UPPER(TRIM($AP$2:$AP$518))=UPPER(TRIM($AP189))), --(UPPER(TRIM($B$2:$B$518))="YES"), --(UPPER(TRIM($G$2:$G$518)&amp;TRIM($I$2:$I$518)&amp;TRIM($J$2:$J$518))&lt;&gt;UPPER(TRIM($G189)&amp;TRIM($I189)&amp;TRIM($J189))))&gt;0), AND($AQ189&lt;&gt;"", LOWER(TRIM($AQ189))&lt;&gt;"n/a", LOWER(TRIM($AQ189))&lt;&gt;"na", SUMPRODUCT(--(UPPER(TRIM($AQ$2:$AQ$518))=UPPER(TRIM($AQ189))), --(UPPER(TRIM($B$2:$B$518))="YES"), --(UPPER(TRIM($G$2:$G$518)&amp;TRIM($I$2:$I$518)&amp;TRIM($J$2:$J$518))&lt;&gt;UPPER(TRIM($G189)&amp;TRIM($I189)&amp;TRIM($J189))))&gt;0)), "Yes", "No"))</f>
        <v/>
      </c>
      <c r="G189" t="inlineStr">
        <is>
          <t>LIJ SDF</t>
        </is>
      </c>
      <c r="H189" t="inlineStr">
        <is>
          <t>LIJ SDF</t>
        </is>
      </c>
      <c r="I189" t="inlineStr">
        <is>
          <t>Ground Level/Dialysis</t>
        </is>
      </c>
      <c r="J189" t="inlineStr">
        <is>
          <t>Open Patient Area</t>
        </is>
      </c>
      <c r="K189" t="n">
        <v>4</v>
      </c>
      <c r="L189" s="18" t="n">
        <v>46033</v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W189" t="inlineStr">
        <is>
          <t>n/a</t>
        </is>
      </c>
      <c r="X189" t="inlineStr">
        <is>
          <t>LIJ-SDF-MACH-D</t>
        </is>
      </c>
      <c r="Y189" t="inlineStr">
        <is>
          <t>A0F5097FE484</t>
        </is>
      </c>
      <c r="Z189" t="inlineStr">
        <is>
          <t>10.134.18.59</t>
        </is>
      </c>
      <c r="AA189" t="inlineStr">
        <is>
          <t>Yes</t>
        </is>
      </c>
      <c r="AB189" t="inlineStr">
        <is>
          <t>WA24406265</t>
        </is>
      </c>
      <c r="AC189" t="inlineStr">
        <is>
          <t>LIJ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  <c r="AI189" t="inlineStr">
        <is>
          <t>Dialysis Machine</t>
        </is>
      </c>
      <c r="AL189" t="inlineStr">
        <is>
          <t>BSM 033 B</t>
        </is>
      </c>
      <c r="AM189" t="inlineStr">
        <is>
          <t>Fresenius BlueStar</t>
        </is>
      </c>
      <c r="AN189" t="inlineStr">
        <is>
          <t>2008T</t>
        </is>
      </c>
      <c r="AO189" t="inlineStr">
        <is>
          <t>9T0S237816</t>
        </is>
      </c>
      <c r="AP189" t="inlineStr">
        <is>
          <t>n/a</t>
        </is>
      </c>
      <c r="AQ189" t="inlineStr">
        <is>
          <t>9T0S237816</t>
        </is>
      </c>
      <c r="AS189" t="inlineStr">
        <is>
          <t>B1-CFH</t>
        </is>
      </c>
      <c r="AX189" t="inlineStr">
        <is>
          <t>n/a</t>
        </is>
      </c>
      <c r="AY189" t="inlineStr">
        <is>
          <t>Fresenius BlueStar - 2008T</t>
        </is>
      </c>
      <c r="AZ189" t="inlineStr">
        <is>
          <t>n/a</t>
        </is>
      </c>
      <c r="BA189" t="inlineStr">
        <is>
          <t>n/a</t>
        </is>
      </c>
      <c r="BB189" t="inlineStr">
        <is>
          <t>n/a</t>
        </is>
      </c>
      <c r="BR189" t="inlineStr">
        <is>
          <t>Yes</t>
        </is>
      </c>
      <c r="BS189" t="inlineStr">
        <is>
          <t>Yes</t>
        </is>
      </c>
      <c r="BW189" t="inlineStr">
        <is>
          <t>Yes</t>
        </is>
      </c>
      <c r="BX189" t="n">
        <v>46027</v>
      </c>
      <c r="BZ189" t="inlineStr">
        <is>
          <t>Firmware Installed</t>
        </is>
      </c>
      <c r="CB189" t="inlineStr">
        <is>
          <t>Yes</t>
        </is>
      </c>
      <c r="CC189" t="inlineStr">
        <is>
          <t>No</t>
        </is>
      </c>
      <c r="CD189">
        <f>IF($Y189="","",IF((IF(AND($BR189&lt;&gt;"Yes",$BR189&lt;&gt;"N/A"),"Power Cable, ","")&amp;IF(AND($BS189&lt;&gt;"Yes",$BS189&lt;&gt;"N/A"),"Battery, ","")&amp;IF(AND($AD189&lt;&gt;"Yes",$AD189&lt;&gt;"N/A"),"Firmware Download, ","")&amp;IF(AND(OR($AD189="Yes",$AD189="N/A"),$AE189&lt;&gt;"Yes",$AE189&lt;&gt;"N/A"),"Firmware Install, ","")&amp;IF(AND($CB189&lt;&gt;"Yes",$CB189&lt;&gt;"N/A"),"Device ID, ","")&amp;IF(AND($CC189&lt;&gt;"Yes",$CC189&lt;&gt;"N/A"),"Epic Beans Relay, ",""))="","",LEFT(IF(AND($BR189&lt;&gt;"Yes",$BR189&lt;&gt;"N/A"),"Power Cable, ","")&amp;IF(AND($BS189&lt;&gt;"Yes",$BS189&lt;&gt;"N/A"),"Battery, ","")&amp;IF(AND($AD189&lt;&gt;"Yes",$AD189&lt;&gt;"N/A"),"Firmware Download, ","")&amp;IF(AND(OR($AD189="Yes",$AD189="N/A"),$AE189&lt;&gt;"Yes",$AE189&lt;&gt;"N/A"),"Firmware Install, ","")&amp;IF(AND($CB189&lt;&gt;"Yes",$CB189&lt;&gt;"N/A"),"Device ID, ","")&amp;IF(AND($CC189&lt;&gt;"Yes",$CC189&lt;&gt;"N/A"),"Epic Beans Relay, ",""),LEN(IF(AND($BR189&lt;&gt;"Yes",$BR189&lt;&gt;"N/A"),"Power Cable, ","")&amp;IF(AND($BS189&lt;&gt;"Yes",$BS189&lt;&gt;"N/A"),"Battery, ","")&amp;IF(AND($AD189&lt;&gt;"Yes",$AD189&lt;&gt;"N/A"),"Firmware Download, ","")&amp;IF(AND(OR($AD189="Yes",$AD189="N/A"),$AE189&lt;&gt;"Yes",$AE189&lt;&gt;"N/A"),"Firmware Install, ","")&amp;IF(AND($CB189&lt;&gt;"Yes",$CB189&lt;&gt;"N/A"),"Device ID, ","")&amp;IF(AND($CC189&lt;&gt;"Yes",$CC189&lt;&gt;"N/A"),"Epic Beans Relay, ",""))-2)))</f>
        <v/>
      </c>
      <c r="CE189">
        <f>IF($Y189="","",IF($CD189="","Yes","Blocked"))</f>
        <v/>
      </c>
      <c r="CP189">
        <f>IF($CO189="","",IFERROR(VLOOKUP($CO189,'01_Warehouse_Ledger'!$A:$N,4,FALSE),""))</f>
        <v/>
      </c>
      <c r="CQ189">
        <f>IF($CO189="","",IFERROR(VLOOKUP($CO189,'01_Warehouse_Ledger'!$A:$N,5,FALSE),""))</f>
        <v/>
      </c>
      <c r="CR189">
        <f>IF($CO189="","",IFERROR(VLOOKUP($CO189,'01_Warehouse_Ledger'!$A:$N,13,FALSE),""))</f>
        <v/>
      </c>
      <c r="CW189">
        <f>IF($S189="","",IF(UPPER(TRIM($S189))&lt;&gt;"PASS","",IF(LEN(TRIM($BY189))&gt;0,"NOTES_PRESENT",IF(LEN(TRIM($T189))=0,"SET_NA",IF(OR(LOWER(TRIM($T189))="na",LOWER(TRIM($T189))="n/a"),"OK","MANUAL_OVERRIDE")))))</f>
        <v/>
      </c>
    </row>
    <row r="190">
      <c r="A190" t="inlineStr">
        <is>
          <t>Neuron</t>
        </is>
      </c>
      <c r="B190" s="5" t="inlineStr">
        <is>
          <t>Yes</t>
        </is>
      </c>
      <c r="C190" t="inlineStr">
        <is>
          <t>Yes</t>
        </is>
      </c>
      <c r="D190">
        <f>IF($B190&lt;&gt;"Yes","",IF($C190="No","Yes",IF($C190="Yes","No","")))</f>
        <v/>
      </c>
      <c r="E190">
        <f>IF($A190="","",IF(OR(AND($V190&lt;&gt;"",LOWER(TRIM($V190))&lt;&gt;"n/a",LOWER(TRIM($V190))&lt;&gt;"na",SUMPRODUCT(--(UPPER(TRIM($V$2:$V$518))=UPPER(TRIM($V190))),--(TRIM($V$2:$V$518)&lt;&gt;""),--(LOWER(TRIM($V$2:$V$518))&lt;&gt;"n/a"),--(LOWER(TRIM($V$2:$V$518))&lt;&gt;"na"))&gt;1),AND($W190&lt;&gt;"",LOWER(TRIM($W190))&lt;&gt;"n/a",LOWER(TRIM($W190))&lt;&gt;"na",SUMPRODUCT(--(UPPER(TRIM($W$2:$W$518))=UPPER(TRIM($W190))),--(TRIM($W$2:$W$518)&lt;&gt;""),--(LOWER(TRIM($W$2:$W$518))&lt;&gt;"n/a"),--(LOWER(TRIM($W$2:$W$518))&lt;&gt;"na"))&gt;1),AND($X190&lt;&gt;"",LOWER(TRIM($X190))&lt;&gt;"n/a",LOWER(TRIM($X190))&lt;&gt;"na",SUMPRODUCT(--(UPPER(TRIM($X$2:$X$518))=UPPER(TRIM($X190))),--(TRIM($X$2:$X$518)&lt;&gt;""),--(LOWER(TRIM($X$2:$X$518))&lt;&gt;"n/a"),--(LOWER(TRIM($X$2:$X$518))&lt;&gt;"na"))&gt;1),AND($Y190&lt;&gt;"",LOWER(TRIM($Y190))&lt;&gt;"n/a",LOWER(TRIM($Y190))&lt;&gt;"na",SUMPRODUCT(--(UPPER(SUBSTITUTE(SUBSTITUTE(TRIM($Y$2:$Y$518),":",""),"-",""))=UPPER(SUBSTITUTE(SUBSTITUTE(TRIM($Y190),":",""),"-",""))),--(TRIM($Y$2:$Y$518)&lt;&gt;""),--(LOWER(TRIM($Y$2:$Y$518))&lt;&gt;"n/a"),--(LOWER(TRIM($Y$2:$Y$518))&lt;&gt;"na"))&gt;1),AND($AB190&lt;&gt;"",LOWER(TRIM($AB190))&lt;&gt;"n/a",LOWER(TRIM($AB190))&lt;&gt;"na",SUMPRODUCT(--(UPPER(TRIM($AB$2:$AB$518))=UPPER(TRIM($AB190))),--(TRIM($AB$2:$AB$518)&lt;&gt;""),--(LOWER(TRIM($AB$2:$AB$518))&lt;&gt;"n/a"),--(LOWER(TRIM($AB$2:$AB$518))&lt;&gt;"na"))&gt;1),AND($AH190&lt;&gt;"",LOWER(TRIM($AH190))&lt;&gt;"n/a",LOWER(TRIM($AH190))&lt;&gt;"na",SUMPRODUCT(--(UPPER(SUBSTITUTE(SUBSTITUTE(TRIM($AH$2:$AH$518),":",""),"-",""))=UPPER(SUBSTITUTE(SUBSTITUTE(TRIM($AH190),":",""),"-",""))),--(TRIM($AH$2:$AH$518)&lt;&gt;""),--(LOWER(TRIM($AH$2:$AH$518))&lt;&gt;"n/a"),--(LOWER(TRIM($AH$2:$AH$518))&lt;&gt;"na"))&gt;1),AND($AP190&lt;&gt;"",LOWER(TRIM($AP190))&lt;&gt;"n/a",LOWER(TRIM($AP190))&lt;&gt;"na",SUMPRODUCT(--(UPPER(TRIM($AP$2:$AP$518))=UPPER(TRIM($AP190))),--(TRIM($AP$2:$AP$518)&lt;&gt;""),--(LOWER(TRIM($AP$2:$AP$518))&lt;&gt;"n/a"),--(LOWER(TRIM($AP$2:$AP$518))&lt;&gt;"na"))&gt;1),AND($AQ190&lt;&gt;"",LOWER(TRIM($AQ190))&lt;&gt;"n/a",LOWER(TRIM($AQ190))&lt;&gt;"na",SUMPRODUCT(--(UPPER(TRIM($AQ$2:$AQ$518))=UPPER(TRIM($AQ190))),--(TRIM($AQ$2:$AQ$518)&lt;&gt;""),--(LOWER(TRIM($AQ$2:$AQ$518))&lt;&gt;"n/a"),--(LOWER(TRIM($AQ$2:$AQ$518))&lt;&gt;"na"))&gt;1)),"Yes","No"))</f>
        <v/>
      </c>
      <c r="F190">
        <f>IF(UPPER(TRIM($B190))&lt;&gt;"YES","", IF(OR(AND($V190&lt;&gt;"", LOWER(TRIM($V190))&lt;&gt;"n/a", LOWER(TRIM($V190))&lt;&gt;"na", SUMPRODUCT(--(UPPER(TRIM($V$2:$V$518))=UPPER(TRIM($V190))), --(UPPER(TRIM($B$2:$B$518))="YES"), --(UPPER(TRIM($G$2:$G$518)&amp;TRIM($I$2:$I$518)&amp;TRIM($J$2:$J$518))&lt;&gt;UPPER(TRIM($G190)&amp;TRIM($I190)&amp;TRIM($J190))))&gt;0), AND($W190&lt;&gt;"", LOWER(TRIM($W190))&lt;&gt;"n/a", LOWER(TRIM($W190))&lt;&gt;"na", SUMPRODUCT(--(UPPER(TRIM($W$2:$W$518))=UPPER(TRIM($W190))), --(UPPER(TRIM($B$2:$B$518))="YES"), --(UPPER(TRIM($G$2:$G$518)&amp;TRIM($I$2:$I$518)&amp;TRIM($J$2:$J$518))&lt;&gt;UPPER(TRIM($G190)&amp;TRIM($I190)&amp;TRIM($J190))))&gt;0), AND($X190&lt;&gt;"", LOWER(TRIM($X190))&lt;&gt;"n/a", LOWER(TRIM($X190))&lt;&gt;"na", SUMPRODUCT(--(UPPER(TRIM($X$2:$X$518))=UPPER(TRIM($X190))), --(UPPER(TRIM($B$2:$B$518))="YES"), --(UPPER(TRIM($G$2:$G$518)&amp;TRIM($I$2:$I$518)&amp;TRIM($J$2:$J$518))&lt;&gt;UPPER(TRIM($G190)&amp;TRIM($I190)&amp;TRIM($J190))))&gt;0), AND($Y190&lt;&gt;"", LOWER(TRIM($Y190))&lt;&gt;"n/a", LOWER(TRIM($Y190))&lt;&gt;"na", SUMPRODUCT(--(UPPER(SUBSTITUTE(SUBSTITUTE(TRIM($Y$2:$Y$518),":",""),"-",""))=UPPER(SUBSTITUTE(SUBSTITUTE(TRIM($Y190),":",""),"-",""))), --(UPPER(TRIM($B$2:$B$518))="YES"), --(UPPER(TRIM($G$2:$G$518)&amp;TRIM($I$2:$I$518)&amp;TRIM($J$2:$J$518))&lt;&gt;UPPER(TRIM($G190)&amp;TRIM($I190)&amp;TRIM($J190))))&gt;0), AND($AB190&lt;&gt;"", LOWER(TRIM($AB190))&lt;&gt;"n/a", LOWER(TRIM($AB190))&lt;&gt;"na", SUMPRODUCT(--(UPPER(TRIM($AB$2:$AB$518))=UPPER(TRIM($AB190))), --(UPPER(TRIM($B$2:$B$518))="YES"), --(UPPER(TRIM($G$2:$G$518)&amp;TRIM($I$2:$I$518)&amp;TRIM($J$2:$J$518))&lt;&gt;UPPER(TRIM($G190)&amp;TRIM($I190)&amp;TRIM($J190))))&gt;0), AND($AH190&lt;&gt;"", LOWER(TRIM($AH190))&lt;&gt;"n/a", LOWER(TRIM($AH190))&lt;&gt;"na", SUMPRODUCT(--(UPPER(SUBSTITUTE(SUBSTITUTE(TRIM($AH$2:$AH$518),":",""),"-",""))=UPPER(SUBSTITUTE(SUBSTITUTE(TRIM($AH190),":",""),"-",""))), --(UPPER(TRIM($B$2:$B$518))="YES"), --(UPPER(TRIM($G$2:$G$518)&amp;TRIM($I$2:$I$518)&amp;TRIM($J$2:$J$518))&lt;&gt;UPPER(TRIM($G190)&amp;TRIM($I190)&amp;TRIM($J190))))&gt;0), AND($AP190&lt;&gt;"", LOWER(TRIM($AP190))&lt;&gt;"n/a", LOWER(TRIM($AP190))&lt;&gt;"na", SUMPRODUCT(--(UPPER(TRIM($AP$2:$AP$518))=UPPER(TRIM($AP190))), --(UPPER(TRIM($B$2:$B$518))="YES"), --(UPPER(TRIM($G$2:$G$518)&amp;TRIM($I$2:$I$518)&amp;TRIM($J$2:$J$518))&lt;&gt;UPPER(TRIM($G190)&amp;TRIM($I190)&amp;TRIM($J190))))&gt;0), AND($AQ190&lt;&gt;"", LOWER(TRIM($AQ190))&lt;&gt;"n/a", LOWER(TRIM($AQ190))&lt;&gt;"na", SUMPRODUCT(--(UPPER(TRIM($AQ$2:$AQ$518))=UPPER(TRIM($AQ190))), --(UPPER(TRIM($B$2:$B$518))="YES"), --(UPPER(TRIM($G$2:$G$518)&amp;TRIM($I$2:$I$518)&amp;TRIM($J$2:$J$518))&lt;&gt;UPPER(TRIM($G190)&amp;TRIM($I190)&amp;TRIM($J190))))&gt;0)), "Yes", "No"))</f>
        <v/>
      </c>
      <c r="G190" t="inlineStr">
        <is>
          <t>LIJ SDF</t>
        </is>
      </c>
      <c r="H190" t="inlineStr">
        <is>
          <t>LIJ SDF</t>
        </is>
      </c>
      <c r="I190" t="inlineStr">
        <is>
          <t>Ground Level/Dialysis</t>
        </is>
      </c>
      <c r="J190" t="inlineStr">
        <is>
          <t>Open Patient Area</t>
        </is>
      </c>
      <c r="K190" t="n">
        <v>5</v>
      </c>
      <c r="L190" s="18" t="n">
        <v>46033</v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W190" t="inlineStr">
        <is>
          <t>n/a</t>
        </is>
      </c>
      <c r="X190" t="inlineStr">
        <is>
          <t>LIJ-SDF-MACH-E</t>
        </is>
      </c>
      <c r="Y190" t="inlineStr">
        <is>
          <t>A0F5097FF05E</t>
        </is>
      </c>
      <c r="Z190" t="inlineStr">
        <is>
          <t>10.134.18.60</t>
        </is>
      </c>
      <c r="AA190" t="inlineStr">
        <is>
          <t>Yes</t>
        </is>
      </c>
      <c r="AB190" t="inlineStr">
        <is>
          <t>WA24406279</t>
        </is>
      </c>
      <c r="AC190" t="inlineStr">
        <is>
          <t>LIJ</t>
        </is>
      </c>
      <c r="AD190" t="inlineStr">
        <is>
          <t>Yes</t>
        </is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I190" t="inlineStr">
        <is>
          <t>Dialysis Machine</t>
        </is>
      </c>
      <c r="AL190" t="inlineStr">
        <is>
          <t>BSM 034 A</t>
        </is>
      </c>
      <c r="AM190" t="inlineStr">
        <is>
          <t>Fresenius BlueStar</t>
        </is>
      </c>
      <c r="AN190" t="inlineStr">
        <is>
          <t>2008T</t>
        </is>
      </c>
      <c r="AO190" t="inlineStr">
        <is>
          <t>0T0S248167</t>
        </is>
      </c>
      <c r="AP190" t="inlineStr">
        <is>
          <t>n/a</t>
        </is>
      </c>
      <c r="AQ190" t="inlineStr">
        <is>
          <t>0T0S248167</t>
        </is>
      </c>
      <c r="AS190" t="inlineStr">
        <is>
          <t>B1-CFH</t>
        </is>
      </c>
      <c r="AX190" t="inlineStr">
        <is>
          <t>n/a</t>
        </is>
      </c>
      <c r="AY190" t="inlineStr">
        <is>
          <t>Fresenius BlueStar - 2008T</t>
        </is>
      </c>
      <c r="AZ190" t="inlineStr">
        <is>
          <t>n/a</t>
        </is>
      </c>
      <c r="BA190" t="inlineStr">
        <is>
          <t>n/a</t>
        </is>
      </c>
      <c r="BB190" t="inlineStr">
        <is>
          <t>n/a</t>
        </is>
      </c>
      <c r="BR190" t="inlineStr">
        <is>
          <t>Yes</t>
        </is>
      </c>
      <c r="BS190" t="inlineStr">
        <is>
          <t>Yes</t>
        </is>
      </c>
      <c r="BW190" t="inlineStr">
        <is>
          <t>Yes</t>
        </is>
      </c>
      <c r="BX190" t="n">
        <v>46027</v>
      </c>
      <c r="BZ190" t="inlineStr">
        <is>
          <t>Firmware Installed</t>
        </is>
      </c>
      <c r="CB190" t="inlineStr">
        <is>
          <t>Yes</t>
        </is>
      </c>
      <c r="CC190" t="inlineStr">
        <is>
          <t>No</t>
        </is>
      </c>
      <c r="CD190">
        <f>IF($Y190="","",IF((IF(AND($BR190&lt;&gt;"Yes",$BR190&lt;&gt;"N/A"),"Power Cable, ","")&amp;IF(AND($BS190&lt;&gt;"Yes",$BS190&lt;&gt;"N/A"),"Battery, ","")&amp;IF(AND($AD190&lt;&gt;"Yes",$AD190&lt;&gt;"N/A"),"Firmware Download, ","")&amp;IF(AND(OR($AD190="Yes",$AD190="N/A"),$AE190&lt;&gt;"Yes",$AE190&lt;&gt;"N/A"),"Firmware Install, ","")&amp;IF(AND($CB190&lt;&gt;"Yes",$CB190&lt;&gt;"N/A"),"Device ID, ","")&amp;IF(AND($CC190&lt;&gt;"Yes",$CC190&lt;&gt;"N/A"),"Epic Beans Relay, ",""))="","",LEFT(IF(AND($BR190&lt;&gt;"Yes",$BR190&lt;&gt;"N/A"),"Power Cable, ","")&amp;IF(AND($BS190&lt;&gt;"Yes",$BS190&lt;&gt;"N/A"),"Battery, ","")&amp;IF(AND($AD190&lt;&gt;"Yes",$AD190&lt;&gt;"N/A"),"Firmware Download, ","")&amp;IF(AND(OR($AD190="Yes",$AD190="N/A"),$AE190&lt;&gt;"Yes",$AE190&lt;&gt;"N/A"),"Firmware Install, ","")&amp;IF(AND($CB190&lt;&gt;"Yes",$CB190&lt;&gt;"N/A"),"Device ID, ","")&amp;IF(AND($CC190&lt;&gt;"Yes",$CC190&lt;&gt;"N/A"),"Epic Beans Relay, ",""),LEN(IF(AND($BR190&lt;&gt;"Yes",$BR190&lt;&gt;"N/A"),"Power Cable, ","")&amp;IF(AND($BS190&lt;&gt;"Yes",$BS190&lt;&gt;"N/A"),"Battery, ","")&amp;IF(AND($AD190&lt;&gt;"Yes",$AD190&lt;&gt;"N/A"),"Firmware Download, ","")&amp;IF(AND(OR($AD190="Yes",$AD190="N/A"),$AE190&lt;&gt;"Yes",$AE190&lt;&gt;"N/A"),"Firmware Install, ","")&amp;IF(AND($CB190&lt;&gt;"Yes",$CB190&lt;&gt;"N/A"),"Device ID, ","")&amp;IF(AND($CC190&lt;&gt;"Yes",$CC190&lt;&gt;"N/A"),"Epic Beans Relay, ",""))-2)))</f>
        <v/>
      </c>
      <c r="CE190">
        <f>IF($Y190="","",IF($CD190="","Yes","Blocked"))</f>
        <v/>
      </c>
      <c r="CP190">
        <f>IF($CO190="","",IFERROR(VLOOKUP($CO190,'01_Warehouse_Ledger'!$A:$N,4,FALSE),""))</f>
        <v/>
      </c>
      <c r="CQ190">
        <f>IF($CO190="","",IFERROR(VLOOKUP($CO190,'01_Warehouse_Ledger'!$A:$N,5,FALSE),""))</f>
        <v/>
      </c>
      <c r="CR190">
        <f>IF($CO190="","",IFERROR(VLOOKUP($CO190,'01_Warehouse_Ledger'!$A:$N,13,FALSE),""))</f>
        <v/>
      </c>
      <c r="CW190">
        <f>IF($S190="","",IF(UPPER(TRIM($S190))&lt;&gt;"PASS","",IF(LEN(TRIM($BY190))&gt;0,"NOTES_PRESENT",IF(LEN(TRIM($T190))=0,"SET_NA",IF(OR(LOWER(TRIM($T190))="na",LOWER(TRIM($T190))="n/a"),"OK","MANUAL_OVERRIDE")))))</f>
        <v/>
      </c>
    </row>
    <row r="191">
      <c r="A191" t="inlineStr">
        <is>
          <t>Neuron</t>
        </is>
      </c>
      <c r="B191" s="5" t="inlineStr">
        <is>
          <t>Yes</t>
        </is>
      </c>
      <c r="C191" t="inlineStr">
        <is>
          <t>Yes</t>
        </is>
      </c>
      <c r="D191">
        <f>IF($B191&lt;&gt;"Yes","",IF($C191="No","Yes",IF($C191="Yes","No","")))</f>
        <v/>
      </c>
      <c r="E191">
        <f>IF($A191="","",IF(OR(AND($V191&lt;&gt;"",LOWER(TRIM($V191))&lt;&gt;"n/a",LOWER(TRIM($V191))&lt;&gt;"na",SUMPRODUCT(--(UPPER(TRIM($V$2:$V$518))=UPPER(TRIM($V191))),--(TRIM($V$2:$V$518)&lt;&gt;""),--(LOWER(TRIM($V$2:$V$518))&lt;&gt;"n/a"),--(LOWER(TRIM($V$2:$V$518))&lt;&gt;"na"))&gt;1),AND($W191&lt;&gt;"",LOWER(TRIM($W191))&lt;&gt;"n/a",LOWER(TRIM($W191))&lt;&gt;"na",SUMPRODUCT(--(UPPER(TRIM($W$2:$W$518))=UPPER(TRIM($W191))),--(TRIM($W$2:$W$518)&lt;&gt;""),--(LOWER(TRIM($W$2:$W$518))&lt;&gt;"n/a"),--(LOWER(TRIM($W$2:$W$518))&lt;&gt;"na"))&gt;1),AND($X191&lt;&gt;"",LOWER(TRIM($X191))&lt;&gt;"n/a",LOWER(TRIM($X191))&lt;&gt;"na",SUMPRODUCT(--(UPPER(TRIM($X$2:$X$518))=UPPER(TRIM($X191))),--(TRIM($X$2:$X$518)&lt;&gt;""),--(LOWER(TRIM($X$2:$X$518))&lt;&gt;"n/a"),--(LOWER(TRIM($X$2:$X$518))&lt;&gt;"na"))&gt;1),AND($Y191&lt;&gt;"",LOWER(TRIM($Y191))&lt;&gt;"n/a",LOWER(TRIM($Y191))&lt;&gt;"na",SUMPRODUCT(--(UPPER(SUBSTITUTE(SUBSTITUTE(TRIM($Y$2:$Y$518),":",""),"-",""))=UPPER(SUBSTITUTE(SUBSTITUTE(TRIM($Y191),":",""),"-",""))),--(TRIM($Y$2:$Y$518)&lt;&gt;""),--(LOWER(TRIM($Y$2:$Y$518))&lt;&gt;"n/a"),--(LOWER(TRIM($Y$2:$Y$518))&lt;&gt;"na"))&gt;1),AND($AB191&lt;&gt;"",LOWER(TRIM($AB191))&lt;&gt;"n/a",LOWER(TRIM($AB191))&lt;&gt;"na",SUMPRODUCT(--(UPPER(TRIM($AB$2:$AB$518))=UPPER(TRIM($AB191))),--(TRIM($AB$2:$AB$518)&lt;&gt;""),--(LOWER(TRIM($AB$2:$AB$518))&lt;&gt;"n/a"),--(LOWER(TRIM($AB$2:$AB$518))&lt;&gt;"na"))&gt;1),AND($AH191&lt;&gt;"",LOWER(TRIM($AH191))&lt;&gt;"n/a",LOWER(TRIM($AH191))&lt;&gt;"na",SUMPRODUCT(--(UPPER(SUBSTITUTE(SUBSTITUTE(TRIM($AH$2:$AH$518),":",""),"-",""))=UPPER(SUBSTITUTE(SUBSTITUTE(TRIM($AH191),":",""),"-",""))),--(TRIM($AH$2:$AH$518)&lt;&gt;""),--(LOWER(TRIM($AH$2:$AH$518))&lt;&gt;"n/a"),--(LOWER(TRIM($AH$2:$AH$518))&lt;&gt;"na"))&gt;1),AND($AP191&lt;&gt;"",LOWER(TRIM($AP191))&lt;&gt;"n/a",LOWER(TRIM($AP191))&lt;&gt;"na",SUMPRODUCT(--(UPPER(TRIM($AP$2:$AP$518))=UPPER(TRIM($AP191))),--(TRIM($AP$2:$AP$518)&lt;&gt;""),--(LOWER(TRIM($AP$2:$AP$518))&lt;&gt;"n/a"),--(LOWER(TRIM($AP$2:$AP$518))&lt;&gt;"na"))&gt;1),AND($AQ191&lt;&gt;"",LOWER(TRIM($AQ191))&lt;&gt;"n/a",LOWER(TRIM($AQ191))&lt;&gt;"na",SUMPRODUCT(--(UPPER(TRIM($AQ$2:$AQ$518))=UPPER(TRIM($AQ191))),--(TRIM($AQ$2:$AQ$518)&lt;&gt;""),--(LOWER(TRIM($AQ$2:$AQ$518))&lt;&gt;"n/a"),--(LOWER(TRIM($AQ$2:$AQ$518))&lt;&gt;"na"))&gt;1)),"Yes","No"))</f>
        <v/>
      </c>
      <c r="F191">
        <f>IF(UPPER(TRIM($B191))&lt;&gt;"YES","", IF(OR(AND($V191&lt;&gt;"", LOWER(TRIM($V191))&lt;&gt;"n/a", LOWER(TRIM($V191))&lt;&gt;"na", SUMPRODUCT(--(UPPER(TRIM($V$2:$V$518))=UPPER(TRIM($V191))), --(UPPER(TRIM($B$2:$B$518))="YES"), --(UPPER(TRIM($G$2:$G$518)&amp;TRIM($I$2:$I$518)&amp;TRIM($J$2:$J$518))&lt;&gt;UPPER(TRIM($G191)&amp;TRIM($I191)&amp;TRIM($J191))))&gt;0), AND($W191&lt;&gt;"", LOWER(TRIM($W191))&lt;&gt;"n/a", LOWER(TRIM($W191))&lt;&gt;"na", SUMPRODUCT(--(UPPER(TRIM($W$2:$W$518))=UPPER(TRIM($W191))), --(UPPER(TRIM($B$2:$B$518))="YES"), --(UPPER(TRIM($G$2:$G$518)&amp;TRIM($I$2:$I$518)&amp;TRIM($J$2:$J$518))&lt;&gt;UPPER(TRIM($G191)&amp;TRIM($I191)&amp;TRIM($J191))))&gt;0), AND($X191&lt;&gt;"", LOWER(TRIM($X191))&lt;&gt;"n/a", LOWER(TRIM($X191))&lt;&gt;"na", SUMPRODUCT(--(UPPER(TRIM($X$2:$X$518))=UPPER(TRIM($X191))), --(UPPER(TRIM($B$2:$B$518))="YES"), --(UPPER(TRIM($G$2:$G$518)&amp;TRIM($I$2:$I$518)&amp;TRIM($J$2:$J$518))&lt;&gt;UPPER(TRIM($G191)&amp;TRIM($I191)&amp;TRIM($J191))))&gt;0), AND($Y191&lt;&gt;"", LOWER(TRIM($Y191))&lt;&gt;"n/a", LOWER(TRIM($Y191))&lt;&gt;"na", SUMPRODUCT(--(UPPER(SUBSTITUTE(SUBSTITUTE(TRIM($Y$2:$Y$518),":",""),"-",""))=UPPER(SUBSTITUTE(SUBSTITUTE(TRIM($Y191),":",""),"-",""))), --(UPPER(TRIM($B$2:$B$518))="YES"), --(UPPER(TRIM($G$2:$G$518)&amp;TRIM($I$2:$I$518)&amp;TRIM($J$2:$J$518))&lt;&gt;UPPER(TRIM($G191)&amp;TRIM($I191)&amp;TRIM($J191))))&gt;0), AND($AB191&lt;&gt;"", LOWER(TRIM($AB191))&lt;&gt;"n/a", LOWER(TRIM($AB191))&lt;&gt;"na", SUMPRODUCT(--(UPPER(TRIM($AB$2:$AB$518))=UPPER(TRIM($AB191))), --(UPPER(TRIM($B$2:$B$518))="YES"), --(UPPER(TRIM($G$2:$G$518)&amp;TRIM($I$2:$I$518)&amp;TRIM($J$2:$J$518))&lt;&gt;UPPER(TRIM($G191)&amp;TRIM($I191)&amp;TRIM($J191))))&gt;0), AND($AH191&lt;&gt;"", LOWER(TRIM($AH191))&lt;&gt;"n/a", LOWER(TRIM($AH191))&lt;&gt;"na", SUMPRODUCT(--(UPPER(SUBSTITUTE(SUBSTITUTE(TRIM($AH$2:$AH$518),":",""),"-",""))=UPPER(SUBSTITUTE(SUBSTITUTE(TRIM($AH191),":",""),"-",""))), --(UPPER(TRIM($B$2:$B$518))="YES"), --(UPPER(TRIM($G$2:$G$518)&amp;TRIM($I$2:$I$518)&amp;TRIM($J$2:$J$518))&lt;&gt;UPPER(TRIM($G191)&amp;TRIM($I191)&amp;TRIM($J191))))&gt;0), AND($AP191&lt;&gt;"", LOWER(TRIM($AP191))&lt;&gt;"n/a", LOWER(TRIM($AP191))&lt;&gt;"na", SUMPRODUCT(--(UPPER(TRIM($AP$2:$AP$518))=UPPER(TRIM($AP191))), --(UPPER(TRIM($B$2:$B$518))="YES"), --(UPPER(TRIM($G$2:$G$518)&amp;TRIM($I$2:$I$518)&amp;TRIM($J$2:$J$518))&lt;&gt;UPPER(TRIM($G191)&amp;TRIM($I191)&amp;TRIM($J191))))&gt;0), AND($AQ191&lt;&gt;"", LOWER(TRIM($AQ191))&lt;&gt;"n/a", LOWER(TRIM($AQ191))&lt;&gt;"na", SUMPRODUCT(--(UPPER(TRIM($AQ$2:$AQ$518))=UPPER(TRIM($AQ191))), --(UPPER(TRIM($B$2:$B$518))="YES"), --(UPPER(TRIM($G$2:$G$518)&amp;TRIM($I$2:$I$518)&amp;TRIM($J$2:$J$518))&lt;&gt;UPPER(TRIM($G191)&amp;TRIM($I191)&amp;TRIM($J191))))&gt;0)), "Yes", "No"))</f>
        <v/>
      </c>
      <c r="G191" t="inlineStr">
        <is>
          <t>LIJ SDF</t>
        </is>
      </c>
      <c r="H191" t="inlineStr">
        <is>
          <t>LIJ SDF</t>
        </is>
      </c>
      <c r="I191" t="inlineStr">
        <is>
          <t>Ground Level/Dialysis</t>
        </is>
      </c>
      <c r="J191" t="inlineStr">
        <is>
          <t>Open Patient Area</t>
        </is>
      </c>
      <c r="K191" t="n">
        <v>6</v>
      </c>
      <c r="L191" s="18" t="n">
        <v>46033</v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W191" t="inlineStr">
        <is>
          <t>n/a</t>
        </is>
      </c>
      <c r="X191" t="inlineStr">
        <is>
          <t>LIJ-SDF-MACH-F</t>
        </is>
      </c>
      <c r="Y191" t="inlineStr">
        <is>
          <t>A0F5097FE3A5</t>
        </is>
      </c>
      <c r="Z191" t="inlineStr">
        <is>
          <t>10.134.19.29</t>
        </is>
      </c>
      <c r="AA191" t="inlineStr">
        <is>
          <t>Yes</t>
        </is>
      </c>
      <c r="AB191" t="inlineStr">
        <is>
          <t>WA24406125</t>
        </is>
      </c>
      <c r="AC191" t="inlineStr">
        <is>
          <t>LIJ</t>
        </is>
      </c>
      <c r="AD191" t="inlineStr">
        <is>
          <t>Yes</t>
        </is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  <c r="AI191" t="inlineStr">
        <is>
          <t>Dialysis Machine</t>
        </is>
      </c>
      <c r="AL191" t="inlineStr">
        <is>
          <t>BSM 034 B</t>
        </is>
      </c>
      <c r="AM191" t="inlineStr">
        <is>
          <t>Fresenius BlueStar</t>
        </is>
      </c>
      <c r="AN191" t="inlineStr">
        <is>
          <t>2008T</t>
        </is>
      </c>
      <c r="AO191" t="inlineStr">
        <is>
          <t>9T0S247133</t>
        </is>
      </c>
      <c r="AP191" t="inlineStr">
        <is>
          <t>n/a</t>
        </is>
      </c>
      <c r="AQ191" t="inlineStr">
        <is>
          <t>9T0S247133</t>
        </is>
      </c>
      <c r="AS191" t="inlineStr">
        <is>
          <t>B1-CFH</t>
        </is>
      </c>
      <c r="AX191" t="inlineStr">
        <is>
          <t>n/a</t>
        </is>
      </c>
      <c r="AY191" t="inlineStr">
        <is>
          <t>Fresenius BlueStar - 2008T</t>
        </is>
      </c>
      <c r="AZ191" t="inlineStr">
        <is>
          <t>n/a</t>
        </is>
      </c>
      <c r="BA191" t="inlineStr">
        <is>
          <t>n/a</t>
        </is>
      </c>
      <c r="BB191" t="inlineStr">
        <is>
          <t>n/a</t>
        </is>
      </c>
      <c r="BR191" t="inlineStr">
        <is>
          <t>Yes</t>
        </is>
      </c>
      <c r="BS191" t="inlineStr">
        <is>
          <t>Yes</t>
        </is>
      </c>
      <c r="BW191" t="inlineStr">
        <is>
          <t>Yes</t>
        </is>
      </c>
      <c r="BX191" t="n">
        <v>46027</v>
      </c>
      <c r="BZ191" t="inlineStr">
        <is>
          <t>Firmware Installed</t>
        </is>
      </c>
      <c r="CB191" t="inlineStr">
        <is>
          <t>Yes</t>
        </is>
      </c>
      <c r="CC191" t="inlineStr">
        <is>
          <t>No</t>
        </is>
      </c>
      <c r="CD191">
        <f>IF($Y191="","",IF((IF(AND($BR191&lt;&gt;"Yes",$BR191&lt;&gt;"N/A"),"Power Cable, ","")&amp;IF(AND($BS191&lt;&gt;"Yes",$BS191&lt;&gt;"N/A"),"Battery, ","")&amp;IF(AND($AD191&lt;&gt;"Yes",$AD191&lt;&gt;"N/A"),"Firmware Download, ","")&amp;IF(AND(OR($AD191="Yes",$AD191="N/A"),$AE191&lt;&gt;"Yes",$AE191&lt;&gt;"N/A"),"Firmware Install, ","")&amp;IF(AND($CB191&lt;&gt;"Yes",$CB191&lt;&gt;"N/A"),"Device ID, ","")&amp;IF(AND($CC191&lt;&gt;"Yes",$CC191&lt;&gt;"N/A"),"Epic Beans Relay, ",""))="","",LEFT(IF(AND($BR191&lt;&gt;"Yes",$BR191&lt;&gt;"N/A"),"Power Cable, ","")&amp;IF(AND($BS191&lt;&gt;"Yes",$BS191&lt;&gt;"N/A"),"Battery, ","")&amp;IF(AND($AD191&lt;&gt;"Yes",$AD191&lt;&gt;"N/A"),"Firmware Download, ","")&amp;IF(AND(OR($AD191="Yes",$AD191="N/A"),$AE191&lt;&gt;"Yes",$AE191&lt;&gt;"N/A"),"Firmware Install, ","")&amp;IF(AND($CB191&lt;&gt;"Yes",$CB191&lt;&gt;"N/A"),"Device ID, ","")&amp;IF(AND($CC191&lt;&gt;"Yes",$CC191&lt;&gt;"N/A"),"Epic Beans Relay, ",""),LEN(IF(AND($BR191&lt;&gt;"Yes",$BR191&lt;&gt;"N/A"),"Power Cable, ","")&amp;IF(AND($BS191&lt;&gt;"Yes",$BS191&lt;&gt;"N/A"),"Battery, ","")&amp;IF(AND($AD191&lt;&gt;"Yes",$AD191&lt;&gt;"N/A"),"Firmware Download, ","")&amp;IF(AND(OR($AD191="Yes",$AD191="N/A"),$AE191&lt;&gt;"Yes",$AE191&lt;&gt;"N/A"),"Firmware Install, ","")&amp;IF(AND($CB191&lt;&gt;"Yes",$CB191&lt;&gt;"N/A"),"Device ID, ","")&amp;IF(AND($CC191&lt;&gt;"Yes",$CC191&lt;&gt;"N/A"),"Epic Beans Relay, ",""))-2)))</f>
        <v/>
      </c>
      <c r="CE191">
        <f>IF($Y191="","",IF($CD191="","Yes","Blocked"))</f>
        <v/>
      </c>
      <c r="CP191">
        <f>IF($CO191="","",IFERROR(VLOOKUP($CO191,'01_Warehouse_Ledger'!$A:$N,4,FALSE),""))</f>
        <v/>
      </c>
      <c r="CQ191">
        <f>IF($CO191="","",IFERROR(VLOOKUP($CO191,'01_Warehouse_Ledger'!$A:$N,5,FALSE),""))</f>
        <v/>
      </c>
      <c r="CR191">
        <f>IF($CO191="","",IFERROR(VLOOKUP($CO191,'01_Warehouse_Ledger'!$A:$N,13,FALSE),""))</f>
        <v/>
      </c>
      <c r="CW191">
        <f>IF($S191="","",IF(UPPER(TRIM($S191))&lt;&gt;"PASS","",IF(LEN(TRIM($BY191))&gt;0,"NOTES_PRESENT",IF(LEN(TRIM($T191))=0,"SET_NA",IF(OR(LOWER(TRIM($T191))="na",LOWER(TRIM($T191))="n/a"),"OK","MANUAL_OVERRIDE")))))</f>
        <v/>
      </c>
    </row>
    <row r="192">
      <c r="A192" t="inlineStr">
        <is>
          <t>Neuron</t>
        </is>
      </c>
      <c r="B192" s="5" t="inlineStr">
        <is>
          <t>Yes</t>
        </is>
      </c>
      <c r="C192" t="inlineStr">
        <is>
          <t>Yes</t>
        </is>
      </c>
      <c r="D192">
        <f>IF($B192&lt;&gt;"Yes","",IF($C192="No","Yes",IF($C192="Yes","No","")))</f>
        <v/>
      </c>
      <c r="E192">
        <f>IF($A192="","",IF(OR(AND($V192&lt;&gt;"",LOWER(TRIM($V192))&lt;&gt;"n/a",LOWER(TRIM($V192))&lt;&gt;"na",SUMPRODUCT(--(UPPER(TRIM($V$2:$V$518))=UPPER(TRIM($V192))),--(TRIM($V$2:$V$518)&lt;&gt;""),--(LOWER(TRIM($V$2:$V$518))&lt;&gt;"n/a"),--(LOWER(TRIM($V$2:$V$518))&lt;&gt;"na"))&gt;1),AND($W192&lt;&gt;"",LOWER(TRIM($W192))&lt;&gt;"n/a",LOWER(TRIM($W192))&lt;&gt;"na",SUMPRODUCT(--(UPPER(TRIM($W$2:$W$518))=UPPER(TRIM($W192))),--(TRIM($W$2:$W$518)&lt;&gt;""),--(LOWER(TRIM($W$2:$W$518))&lt;&gt;"n/a"),--(LOWER(TRIM($W$2:$W$518))&lt;&gt;"na"))&gt;1),AND($X192&lt;&gt;"",LOWER(TRIM($X192))&lt;&gt;"n/a",LOWER(TRIM($X192))&lt;&gt;"na",SUMPRODUCT(--(UPPER(TRIM($X$2:$X$518))=UPPER(TRIM($X192))),--(TRIM($X$2:$X$518)&lt;&gt;""),--(LOWER(TRIM($X$2:$X$518))&lt;&gt;"n/a"),--(LOWER(TRIM($X$2:$X$518))&lt;&gt;"na"))&gt;1),AND($Y192&lt;&gt;"",LOWER(TRIM($Y192))&lt;&gt;"n/a",LOWER(TRIM($Y192))&lt;&gt;"na",SUMPRODUCT(--(UPPER(SUBSTITUTE(SUBSTITUTE(TRIM($Y$2:$Y$518),":",""),"-",""))=UPPER(SUBSTITUTE(SUBSTITUTE(TRIM($Y192),":",""),"-",""))),--(TRIM($Y$2:$Y$518)&lt;&gt;""),--(LOWER(TRIM($Y$2:$Y$518))&lt;&gt;"n/a"),--(LOWER(TRIM($Y$2:$Y$518))&lt;&gt;"na"))&gt;1),AND($AB192&lt;&gt;"",LOWER(TRIM($AB192))&lt;&gt;"n/a",LOWER(TRIM($AB192))&lt;&gt;"na",SUMPRODUCT(--(UPPER(TRIM($AB$2:$AB$518))=UPPER(TRIM($AB192))),--(TRIM($AB$2:$AB$518)&lt;&gt;""),--(LOWER(TRIM($AB$2:$AB$518))&lt;&gt;"n/a"),--(LOWER(TRIM($AB$2:$AB$518))&lt;&gt;"na"))&gt;1),AND($AH192&lt;&gt;"",LOWER(TRIM($AH192))&lt;&gt;"n/a",LOWER(TRIM($AH192))&lt;&gt;"na",SUMPRODUCT(--(UPPER(SUBSTITUTE(SUBSTITUTE(TRIM($AH$2:$AH$518),":",""),"-",""))=UPPER(SUBSTITUTE(SUBSTITUTE(TRIM($AH192),":",""),"-",""))),--(TRIM($AH$2:$AH$518)&lt;&gt;""),--(LOWER(TRIM($AH$2:$AH$518))&lt;&gt;"n/a"),--(LOWER(TRIM($AH$2:$AH$518))&lt;&gt;"na"))&gt;1),AND($AP192&lt;&gt;"",LOWER(TRIM($AP192))&lt;&gt;"n/a",LOWER(TRIM($AP192))&lt;&gt;"na",SUMPRODUCT(--(UPPER(TRIM($AP$2:$AP$518))=UPPER(TRIM($AP192))),--(TRIM($AP$2:$AP$518)&lt;&gt;""),--(LOWER(TRIM($AP$2:$AP$518))&lt;&gt;"n/a"),--(LOWER(TRIM($AP$2:$AP$518))&lt;&gt;"na"))&gt;1),AND($AQ192&lt;&gt;"",LOWER(TRIM($AQ192))&lt;&gt;"n/a",LOWER(TRIM($AQ192))&lt;&gt;"na",SUMPRODUCT(--(UPPER(TRIM($AQ$2:$AQ$518))=UPPER(TRIM($AQ192))),--(TRIM($AQ$2:$AQ$518)&lt;&gt;""),--(LOWER(TRIM($AQ$2:$AQ$518))&lt;&gt;"n/a"),--(LOWER(TRIM($AQ$2:$AQ$518))&lt;&gt;"na"))&gt;1)),"Yes","No"))</f>
        <v/>
      </c>
      <c r="F192">
        <f>IF(UPPER(TRIM($B192))&lt;&gt;"YES","", IF(OR(AND($V192&lt;&gt;"", LOWER(TRIM($V192))&lt;&gt;"n/a", LOWER(TRIM($V192))&lt;&gt;"na", SUMPRODUCT(--(UPPER(TRIM($V$2:$V$518))=UPPER(TRIM($V192))), --(UPPER(TRIM($B$2:$B$518))="YES"), --(UPPER(TRIM($G$2:$G$518)&amp;TRIM($I$2:$I$518)&amp;TRIM($J$2:$J$518))&lt;&gt;UPPER(TRIM($G192)&amp;TRIM($I192)&amp;TRIM($J192))))&gt;0), AND($W192&lt;&gt;"", LOWER(TRIM($W192))&lt;&gt;"n/a", LOWER(TRIM($W192))&lt;&gt;"na", SUMPRODUCT(--(UPPER(TRIM($W$2:$W$518))=UPPER(TRIM($W192))), --(UPPER(TRIM($B$2:$B$518))="YES"), --(UPPER(TRIM($G$2:$G$518)&amp;TRIM($I$2:$I$518)&amp;TRIM($J$2:$J$518))&lt;&gt;UPPER(TRIM($G192)&amp;TRIM($I192)&amp;TRIM($J192))))&gt;0), AND($X192&lt;&gt;"", LOWER(TRIM($X192))&lt;&gt;"n/a", LOWER(TRIM($X192))&lt;&gt;"na", SUMPRODUCT(--(UPPER(TRIM($X$2:$X$518))=UPPER(TRIM($X192))), --(UPPER(TRIM($B$2:$B$518))="YES"), --(UPPER(TRIM($G$2:$G$518)&amp;TRIM($I$2:$I$518)&amp;TRIM($J$2:$J$518))&lt;&gt;UPPER(TRIM($G192)&amp;TRIM($I192)&amp;TRIM($J192))))&gt;0), AND($Y192&lt;&gt;"", LOWER(TRIM($Y192))&lt;&gt;"n/a", LOWER(TRIM($Y192))&lt;&gt;"na", SUMPRODUCT(--(UPPER(SUBSTITUTE(SUBSTITUTE(TRIM($Y$2:$Y$518),":",""),"-",""))=UPPER(SUBSTITUTE(SUBSTITUTE(TRIM($Y192),":",""),"-",""))), --(UPPER(TRIM($B$2:$B$518))="YES"), --(UPPER(TRIM($G$2:$G$518)&amp;TRIM($I$2:$I$518)&amp;TRIM($J$2:$J$518))&lt;&gt;UPPER(TRIM($G192)&amp;TRIM($I192)&amp;TRIM($J192))))&gt;0), AND($AB192&lt;&gt;"", LOWER(TRIM($AB192))&lt;&gt;"n/a", LOWER(TRIM($AB192))&lt;&gt;"na", SUMPRODUCT(--(UPPER(TRIM($AB$2:$AB$518))=UPPER(TRIM($AB192))), --(UPPER(TRIM($B$2:$B$518))="YES"), --(UPPER(TRIM($G$2:$G$518)&amp;TRIM($I$2:$I$518)&amp;TRIM($J$2:$J$518))&lt;&gt;UPPER(TRIM($G192)&amp;TRIM($I192)&amp;TRIM($J192))))&gt;0), AND($AH192&lt;&gt;"", LOWER(TRIM($AH192))&lt;&gt;"n/a", LOWER(TRIM($AH192))&lt;&gt;"na", SUMPRODUCT(--(UPPER(SUBSTITUTE(SUBSTITUTE(TRIM($AH$2:$AH$518),":",""),"-",""))=UPPER(SUBSTITUTE(SUBSTITUTE(TRIM($AH192),":",""),"-",""))), --(UPPER(TRIM($B$2:$B$518))="YES"), --(UPPER(TRIM($G$2:$G$518)&amp;TRIM($I$2:$I$518)&amp;TRIM($J$2:$J$518))&lt;&gt;UPPER(TRIM($G192)&amp;TRIM($I192)&amp;TRIM($J192))))&gt;0), AND($AP192&lt;&gt;"", LOWER(TRIM($AP192))&lt;&gt;"n/a", LOWER(TRIM($AP192))&lt;&gt;"na", SUMPRODUCT(--(UPPER(TRIM($AP$2:$AP$518))=UPPER(TRIM($AP192))), --(UPPER(TRIM($B$2:$B$518))="YES"), --(UPPER(TRIM($G$2:$G$518)&amp;TRIM($I$2:$I$518)&amp;TRIM($J$2:$J$518))&lt;&gt;UPPER(TRIM($G192)&amp;TRIM($I192)&amp;TRIM($J192))))&gt;0), AND($AQ192&lt;&gt;"", LOWER(TRIM($AQ192))&lt;&gt;"n/a", LOWER(TRIM($AQ192))&lt;&gt;"na", SUMPRODUCT(--(UPPER(TRIM($AQ$2:$AQ$518))=UPPER(TRIM($AQ192))), --(UPPER(TRIM($B$2:$B$518))="YES"), --(UPPER(TRIM($G$2:$G$518)&amp;TRIM($I$2:$I$518)&amp;TRIM($J$2:$J$518))&lt;&gt;UPPER(TRIM($G192)&amp;TRIM($I192)&amp;TRIM($J192))))&gt;0)), "Yes", "No"))</f>
        <v/>
      </c>
      <c r="G192" t="inlineStr">
        <is>
          <t>LIJ SDF</t>
        </is>
      </c>
      <c r="H192" t="inlineStr">
        <is>
          <t>LIJ SDF</t>
        </is>
      </c>
      <c r="I192" t="inlineStr">
        <is>
          <t>Ground Level/Dialysis</t>
        </is>
      </c>
      <c r="J192" t="inlineStr">
        <is>
          <t>Open Patient Area</t>
        </is>
      </c>
      <c r="K192" t="n">
        <v>7</v>
      </c>
      <c r="L192" s="18" t="n">
        <v>46033</v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W192" t="inlineStr">
        <is>
          <t>n/a</t>
        </is>
      </c>
      <c r="X192" t="inlineStr">
        <is>
          <t>LIJ-SDF-MACH-G</t>
        </is>
      </c>
      <c r="Y192" t="inlineStr">
        <is>
          <t>A0F5097FE012</t>
        </is>
      </c>
      <c r="Z192" t="inlineStr">
        <is>
          <t>10.134.19.34</t>
        </is>
      </c>
      <c r="AA192" t="inlineStr">
        <is>
          <t>Yes</t>
        </is>
      </c>
      <c r="AB192" t="inlineStr">
        <is>
          <t>WA24406114</t>
        </is>
      </c>
      <c r="AC192" t="inlineStr">
        <is>
          <t>LIJ</t>
        </is>
      </c>
      <c r="AD192" t="inlineStr">
        <is>
          <t>Yes</t>
        </is>
      </c>
      <c r="AE192" t="inlineStr">
        <is>
          <t>Yes</t>
        </is>
      </c>
      <c r="AF192" t="inlineStr">
        <is>
          <t>Yes</t>
        </is>
      </c>
      <c r="AG192" t="inlineStr">
        <is>
          <t>Yes</t>
        </is>
      </c>
      <c r="AI192" t="inlineStr">
        <is>
          <t>Dialysis Machine</t>
        </is>
      </c>
      <c r="AL192" t="inlineStr">
        <is>
          <t>BSM 035 A</t>
        </is>
      </c>
      <c r="AM192" t="inlineStr">
        <is>
          <t>Fresenius BlueStar</t>
        </is>
      </c>
      <c r="AN192" t="inlineStr">
        <is>
          <t>2008T</t>
        </is>
      </c>
      <c r="AO192" t="inlineStr">
        <is>
          <t>0T0S250280</t>
        </is>
      </c>
      <c r="AP192" t="inlineStr">
        <is>
          <t>n/a</t>
        </is>
      </c>
      <c r="AQ192" t="inlineStr">
        <is>
          <t>0T0S250280</t>
        </is>
      </c>
      <c r="AS192" t="inlineStr">
        <is>
          <t>B1-CFH</t>
        </is>
      </c>
      <c r="AX192" t="inlineStr">
        <is>
          <t>n/a</t>
        </is>
      </c>
      <c r="AY192" t="inlineStr">
        <is>
          <t>Fresenius BlueStar - 2008T</t>
        </is>
      </c>
      <c r="AZ192" t="inlineStr">
        <is>
          <t>n/a</t>
        </is>
      </c>
      <c r="BA192" t="inlineStr">
        <is>
          <t>n/a</t>
        </is>
      </c>
      <c r="BB192" t="inlineStr">
        <is>
          <t>n/a</t>
        </is>
      </c>
      <c r="BR192" t="inlineStr">
        <is>
          <t>Yes</t>
        </is>
      </c>
      <c r="BS192" t="inlineStr">
        <is>
          <t>Yes</t>
        </is>
      </c>
      <c r="BW192" t="inlineStr">
        <is>
          <t>Yes</t>
        </is>
      </c>
      <c r="BX192" t="n">
        <v>46027</v>
      </c>
      <c r="BZ192" t="inlineStr">
        <is>
          <t>Firmware Installed</t>
        </is>
      </c>
      <c r="CB192" t="inlineStr">
        <is>
          <t>Yes</t>
        </is>
      </c>
      <c r="CC192" t="inlineStr">
        <is>
          <t>No</t>
        </is>
      </c>
      <c r="CD192">
        <f>IF($Y192="","",IF((IF(AND($BR192&lt;&gt;"Yes",$BR192&lt;&gt;"N/A"),"Power Cable, ","")&amp;IF(AND($BS192&lt;&gt;"Yes",$BS192&lt;&gt;"N/A"),"Battery, ","")&amp;IF(AND($AD192&lt;&gt;"Yes",$AD192&lt;&gt;"N/A"),"Firmware Download, ","")&amp;IF(AND(OR($AD192="Yes",$AD192="N/A"),$AE192&lt;&gt;"Yes",$AE192&lt;&gt;"N/A"),"Firmware Install, ","")&amp;IF(AND($CB192&lt;&gt;"Yes",$CB192&lt;&gt;"N/A"),"Device ID, ","")&amp;IF(AND($CC192&lt;&gt;"Yes",$CC192&lt;&gt;"N/A"),"Epic Beans Relay, ",""))="","",LEFT(IF(AND($BR192&lt;&gt;"Yes",$BR192&lt;&gt;"N/A"),"Power Cable, ","")&amp;IF(AND($BS192&lt;&gt;"Yes",$BS192&lt;&gt;"N/A"),"Battery, ","")&amp;IF(AND($AD192&lt;&gt;"Yes",$AD192&lt;&gt;"N/A"),"Firmware Download, ","")&amp;IF(AND(OR($AD192="Yes",$AD192="N/A"),$AE192&lt;&gt;"Yes",$AE192&lt;&gt;"N/A"),"Firmware Install, ","")&amp;IF(AND($CB192&lt;&gt;"Yes",$CB192&lt;&gt;"N/A"),"Device ID, ","")&amp;IF(AND($CC192&lt;&gt;"Yes",$CC192&lt;&gt;"N/A"),"Epic Beans Relay, ",""),LEN(IF(AND($BR192&lt;&gt;"Yes",$BR192&lt;&gt;"N/A"),"Power Cable, ","")&amp;IF(AND($BS192&lt;&gt;"Yes",$BS192&lt;&gt;"N/A"),"Battery, ","")&amp;IF(AND($AD192&lt;&gt;"Yes",$AD192&lt;&gt;"N/A"),"Firmware Download, ","")&amp;IF(AND(OR($AD192="Yes",$AD192="N/A"),$AE192&lt;&gt;"Yes",$AE192&lt;&gt;"N/A"),"Firmware Install, ","")&amp;IF(AND($CB192&lt;&gt;"Yes",$CB192&lt;&gt;"N/A"),"Device ID, ","")&amp;IF(AND($CC192&lt;&gt;"Yes",$CC192&lt;&gt;"N/A"),"Epic Beans Relay, ",""))-2)))</f>
        <v/>
      </c>
      <c r="CE192">
        <f>IF($Y192="","",IF($CD192="","Yes","Blocked"))</f>
        <v/>
      </c>
      <c r="CP192">
        <f>IF($CO192="","",IFERROR(VLOOKUP($CO192,'01_Warehouse_Ledger'!$A:$N,4,FALSE),""))</f>
        <v/>
      </c>
      <c r="CQ192">
        <f>IF($CO192="","",IFERROR(VLOOKUP($CO192,'01_Warehouse_Ledger'!$A:$N,5,FALSE),""))</f>
        <v/>
      </c>
      <c r="CR192">
        <f>IF($CO192="","",IFERROR(VLOOKUP($CO192,'01_Warehouse_Ledger'!$A:$N,13,FALSE),""))</f>
        <v/>
      </c>
      <c r="CW192">
        <f>IF($S192="","",IF(UPPER(TRIM($S192))&lt;&gt;"PASS","",IF(LEN(TRIM($BY192))&gt;0,"NOTES_PRESENT",IF(LEN(TRIM($T192))=0,"SET_NA",IF(OR(LOWER(TRIM($T192))="na",LOWER(TRIM($T192))="n/a"),"OK","MANUAL_OVERRIDE")))))</f>
        <v/>
      </c>
    </row>
    <row r="193">
      <c r="A193" t="inlineStr">
        <is>
          <t>Neuron</t>
        </is>
      </c>
      <c r="B193" s="5" t="inlineStr">
        <is>
          <t>Yes</t>
        </is>
      </c>
      <c r="C193" t="inlineStr">
        <is>
          <t>Yes</t>
        </is>
      </c>
      <c r="D193">
        <f>IF($B193&lt;&gt;"Yes","",IF($C193="No","Yes",IF($C193="Yes","No","")))</f>
        <v/>
      </c>
      <c r="E193">
        <f>IF($A193="","",IF(OR(AND($V193&lt;&gt;"",LOWER(TRIM($V193))&lt;&gt;"n/a",LOWER(TRIM($V193))&lt;&gt;"na",SUMPRODUCT(--(UPPER(TRIM($V$2:$V$518))=UPPER(TRIM($V193))),--(TRIM($V$2:$V$518)&lt;&gt;""),--(LOWER(TRIM($V$2:$V$518))&lt;&gt;"n/a"),--(LOWER(TRIM($V$2:$V$518))&lt;&gt;"na"))&gt;1),AND($W193&lt;&gt;"",LOWER(TRIM($W193))&lt;&gt;"n/a",LOWER(TRIM($W193))&lt;&gt;"na",SUMPRODUCT(--(UPPER(TRIM($W$2:$W$518))=UPPER(TRIM($W193))),--(TRIM($W$2:$W$518)&lt;&gt;""),--(LOWER(TRIM($W$2:$W$518))&lt;&gt;"n/a"),--(LOWER(TRIM($W$2:$W$518))&lt;&gt;"na"))&gt;1),AND($X193&lt;&gt;"",LOWER(TRIM($X193))&lt;&gt;"n/a",LOWER(TRIM($X193))&lt;&gt;"na",SUMPRODUCT(--(UPPER(TRIM($X$2:$X$518))=UPPER(TRIM($X193))),--(TRIM($X$2:$X$518)&lt;&gt;""),--(LOWER(TRIM($X$2:$X$518))&lt;&gt;"n/a"),--(LOWER(TRIM($X$2:$X$518))&lt;&gt;"na"))&gt;1),AND($Y193&lt;&gt;"",LOWER(TRIM($Y193))&lt;&gt;"n/a",LOWER(TRIM($Y193))&lt;&gt;"na",SUMPRODUCT(--(UPPER(SUBSTITUTE(SUBSTITUTE(TRIM($Y$2:$Y$518),":",""),"-",""))=UPPER(SUBSTITUTE(SUBSTITUTE(TRIM($Y193),":",""),"-",""))),--(TRIM($Y$2:$Y$518)&lt;&gt;""),--(LOWER(TRIM($Y$2:$Y$518))&lt;&gt;"n/a"),--(LOWER(TRIM($Y$2:$Y$518))&lt;&gt;"na"))&gt;1),AND($AB193&lt;&gt;"",LOWER(TRIM($AB193))&lt;&gt;"n/a",LOWER(TRIM($AB193))&lt;&gt;"na",SUMPRODUCT(--(UPPER(TRIM($AB$2:$AB$518))=UPPER(TRIM($AB193))),--(TRIM($AB$2:$AB$518)&lt;&gt;""),--(LOWER(TRIM($AB$2:$AB$518))&lt;&gt;"n/a"),--(LOWER(TRIM($AB$2:$AB$518))&lt;&gt;"na"))&gt;1),AND($AH193&lt;&gt;"",LOWER(TRIM($AH193))&lt;&gt;"n/a",LOWER(TRIM($AH193))&lt;&gt;"na",SUMPRODUCT(--(UPPER(SUBSTITUTE(SUBSTITUTE(TRIM($AH$2:$AH$518),":",""),"-",""))=UPPER(SUBSTITUTE(SUBSTITUTE(TRIM($AH193),":",""),"-",""))),--(TRIM($AH$2:$AH$518)&lt;&gt;""),--(LOWER(TRIM($AH$2:$AH$518))&lt;&gt;"n/a"),--(LOWER(TRIM($AH$2:$AH$518))&lt;&gt;"na"))&gt;1),AND($AP193&lt;&gt;"",LOWER(TRIM($AP193))&lt;&gt;"n/a",LOWER(TRIM($AP193))&lt;&gt;"na",SUMPRODUCT(--(UPPER(TRIM($AP$2:$AP$518))=UPPER(TRIM($AP193))),--(TRIM($AP$2:$AP$518)&lt;&gt;""),--(LOWER(TRIM($AP$2:$AP$518))&lt;&gt;"n/a"),--(LOWER(TRIM($AP$2:$AP$518))&lt;&gt;"na"))&gt;1),AND($AQ193&lt;&gt;"",LOWER(TRIM($AQ193))&lt;&gt;"n/a",LOWER(TRIM($AQ193))&lt;&gt;"na",SUMPRODUCT(--(UPPER(TRIM($AQ$2:$AQ$518))=UPPER(TRIM($AQ193))),--(TRIM($AQ$2:$AQ$518)&lt;&gt;""),--(LOWER(TRIM($AQ$2:$AQ$518))&lt;&gt;"n/a"),--(LOWER(TRIM($AQ$2:$AQ$518))&lt;&gt;"na"))&gt;1)),"Yes","No"))</f>
        <v/>
      </c>
      <c r="F193">
        <f>IF(UPPER(TRIM($B193))&lt;&gt;"YES","", IF(OR(AND($V193&lt;&gt;"", LOWER(TRIM($V193))&lt;&gt;"n/a", LOWER(TRIM($V193))&lt;&gt;"na", SUMPRODUCT(--(UPPER(TRIM($V$2:$V$518))=UPPER(TRIM($V193))), --(UPPER(TRIM($B$2:$B$518))="YES"), --(UPPER(TRIM($G$2:$G$518)&amp;TRIM($I$2:$I$518)&amp;TRIM($J$2:$J$518))&lt;&gt;UPPER(TRIM($G193)&amp;TRIM($I193)&amp;TRIM($J193))))&gt;0), AND($W193&lt;&gt;"", LOWER(TRIM($W193))&lt;&gt;"n/a", LOWER(TRIM($W193))&lt;&gt;"na", SUMPRODUCT(--(UPPER(TRIM($W$2:$W$518))=UPPER(TRIM($W193))), --(UPPER(TRIM($B$2:$B$518))="YES"), --(UPPER(TRIM($G$2:$G$518)&amp;TRIM($I$2:$I$518)&amp;TRIM($J$2:$J$518))&lt;&gt;UPPER(TRIM($G193)&amp;TRIM($I193)&amp;TRIM($J193))))&gt;0), AND($X193&lt;&gt;"", LOWER(TRIM($X193))&lt;&gt;"n/a", LOWER(TRIM($X193))&lt;&gt;"na", SUMPRODUCT(--(UPPER(TRIM($X$2:$X$518))=UPPER(TRIM($X193))), --(UPPER(TRIM($B$2:$B$518))="YES"), --(UPPER(TRIM($G$2:$G$518)&amp;TRIM($I$2:$I$518)&amp;TRIM($J$2:$J$518))&lt;&gt;UPPER(TRIM($G193)&amp;TRIM($I193)&amp;TRIM($J193))))&gt;0), AND($Y193&lt;&gt;"", LOWER(TRIM($Y193))&lt;&gt;"n/a", LOWER(TRIM($Y193))&lt;&gt;"na", SUMPRODUCT(--(UPPER(SUBSTITUTE(SUBSTITUTE(TRIM($Y$2:$Y$518),":",""),"-",""))=UPPER(SUBSTITUTE(SUBSTITUTE(TRIM($Y193),":",""),"-",""))), --(UPPER(TRIM($B$2:$B$518))="YES"), --(UPPER(TRIM($G$2:$G$518)&amp;TRIM($I$2:$I$518)&amp;TRIM($J$2:$J$518))&lt;&gt;UPPER(TRIM($G193)&amp;TRIM($I193)&amp;TRIM($J193))))&gt;0), AND($AB193&lt;&gt;"", LOWER(TRIM($AB193))&lt;&gt;"n/a", LOWER(TRIM($AB193))&lt;&gt;"na", SUMPRODUCT(--(UPPER(TRIM($AB$2:$AB$518))=UPPER(TRIM($AB193))), --(UPPER(TRIM($B$2:$B$518))="YES"), --(UPPER(TRIM($G$2:$G$518)&amp;TRIM($I$2:$I$518)&amp;TRIM($J$2:$J$518))&lt;&gt;UPPER(TRIM($G193)&amp;TRIM($I193)&amp;TRIM($J193))))&gt;0), AND($AH193&lt;&gt;"", LOWER(TRIM($AH193))&lt;&gt;"n/a", LOWER(TRIM($AH193))&lt;&gt;"na", SUMPRODUCT(--(UPPER(SUBSTITUTE(SUBSTITUTE(TRIM($AH$2:$AH$518),":",""),"-",""))=UPPER(SUBSTITUTE(SUBSTITUTE(TRIM($AH193),":",""),"-",""))), --(UPPER(TRIM($B$2:$B$518))="YES"), --(UPPER(TRIM($G$2:$G$518)&amp;TRIM($I$2:$I$518)&amp;TRIM($J$2:$J$518))&lt;&gt;UPPER(TRIM($G193)&amp;TRIM($I193)&amp;TRIM($J193))))&gt;0), AND($AP193&lt;&gt;"", LOWER(TRIM($AP193))&lt;&gt;"n/a", LOWER(TRIM($AP193))&lt;&gt;"na", SUMPRODUCT(--(UPPER(TRIM($AP$2:$AP$518))=UPPER(TRIM($AP193))), --(UPPER(TRIM($B$2:$B$518))="YES"), --(UPPER(TRIM($G$2:$G$518)&amp;TRIM($I$2:$I$518)&amp;TRIM($J$2:$J$518))&lt;&gt;UPPER(TRIM($G193)&amp;TRIM($I193)&amp;TRIM($J193))))&gt;0), AND($AQ193&lt;&gt;"", LOWER(TRIM($AQ193))&lt;&gt;"n/a", LOWER(TRIM($AQ193))&lt;&gt;"na", SUMPRODUCT(--(UPPER(TRIM($AQ$2:$AQ$518))=UPPER(TRIM($AQ193))), --(UPPER(TRIM($B$2:$B$518))="YES"), --(UPPER(TRIM($G$2:$G$518)&amp;TRIM($I$2:$I$518)&amp;TRIM($J$2:$J$518))&lt;&gt;UPPER(TRIM($G193)&amp;TRIM($I193)&amp;TRIM($J193))))&gt;0)), "Yes", "No"))</f>
        <v/>
      </c>
      <c r="G193" t="inlineStr">
        <is>
          <t>LIJ SDF</t>
        </is>
      </c>
      <c r="H193" t="inlineStr">
        <is>
          <t>LIJ SDF</t>
        </is>
      </c>
      <c r="I193" t="inlineStr">
        <is>
          <t>Ground Level/Dialysis</t>
        </is>
      </c>
      <c r="J193" t="inlineStr">
        <is>
          <t>Open Patient Area</t>
        </is>
      </c>
      <c r="K193" t="n">
        <v>8</v>
      </c>
      <c r="L193" s="18" t="n">
        <v>46033</v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W193" t="inlineStr">
        <is>
          <t>n/a</t>
        </is>
      </c>
      <c r="X193" t="inlineStr">
        <is>
          <t>LIJ-SDF-MACH-H</t>
        </is>
      </c>
      <c r="Y193" t="inlineStr">
        <is>
          <t>A0F5097FEB57</t>
        </is>
      </c>
      <c r="Z193" t="inlineStr">
        <is>
          <t>10.134.19.31</t>
        </is>
      </c>
      <c r="AA193" t="inlineStr">
        <is>
          <t>Yes</t>
        </is>
      </c>
      <c r="AB193" t="inlineStr">
        <is>
          <t>WA24406201</t>
        </is>
      </c>
      <c r="AC193" t="inlineStr">
        <is>
          <t>LIJ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I193" t="inlineStr">
        <is>
          <t>Dialysis Machine</t>
        </is>
      </c>
      <c r="AL193" t="inlineStr">
        <is>
          <t>BSM 035 B</t>
        </is>
      </c>
      <c r="AM193" t="inlineStr">
        <is>
          <t>Fresenius BlueStar</t>
        </is>
      </c>
      <c r="AN193" t="inlineStr">
        <is>
          <t>2008T</t>
        </is>
      </c>
      <c r="AO193" t="inlineStr">
        <is>
          <t>1T0S260521</t>
        </is>
      </c>
      <c r="AP193" t="inlineStr">
        <is>
          <t>n/a</t>
        </is>
      </c>
      <c r="AQ193" t="inlineStr">
        <is>
          <t>1T0S260521</t>
        </is>
      </c>
      <c r="AS193" t="inlineStr">
        <is>
          <t>B1-CFH</t>
        </is>
      </c>
      <c r="AX193" t="inlineStr">
        <is>
          <t>n/a</t>
        </is>
      </c>
      <c r="AY193" t="inlineStr">
        <is>
          <t>Fresenius BlueStar - 2008T</t>
        </is>
      </c>
      <c r="AZ193" t="inlineStr">
        <is>
          <t>n/a</t>
        </is>
      </c>
      <c r="BA193" t="inlineStr">
        <is>
          <t>n/a</t>
        </is>
      </c>
      <c r="BB193" t="inlineStr">
        <is>
          <t>n/a</t>
        </is>
      </c>
      <c r="BR193" t="inlineStr">
        <is>
          <t>Yes</t>
        </is>
      </c>
      <c r="BS193" t="inlineStr">
        <is>
          <t>Yes</t>
        </is>
      </c>
      <c r="BW193" t="inlineStr">
        <is>
          <t>Yes</t>
        </is>
      </c>
      <c r="BX193" t="n">
        <v>46027</v>
      </c>
      <c r="BZ193" t="inlineStr">
        <is>
          <t>Firmware Installed</t>
        </is>
      </c>
      <c r="CB193" t="inlineStr">
        <is>
          <t>Yes</t>
        </is>
      </c>
      <c r="CC193" t="inlineStr">
        <is>
          <t>No</t>
        </is>
      </c>
      <c r="CD193">
        <f>IF($Y193="","",IF((IF(AND($BR193&lt;&gt;"Yes",$BR193&lt;&gt;"N/A"),"Power Cable, ","")&amp;IF(AND($BS193&lt;&gt;"Yes",$BS193&lt;&gt;"N/A"),"Battery, ","")&amp;IF(AND($AD193&lt;&gt;"Yes",$AD193&lt;&gt;"N/A"),"Firmware Download, ","")&amp;IF(AND(OR($AD193="Yes",$AD193="N/A"),$AE193&lt;&gt;"Yes",$AE193&lt;&gt;"N/A"),"Firmware Install, ","")&amp;IF(AND($CB193&lt;&gt;"Yes",$CB193&lt;&gt;"N/A"),"Device ID, ","")&amp;IF(AND($CC193&lt;&gt;"Yes",$CC193&lt;&gt;"N/A"),"Epic Beans Relay, ",""))="","",LEFT(IF(AND($BR193&lt;&gt;"Yes",$BR193&lt;&gt;"N/A"),"Power Cable, ","")&amp;IF(AND($BS193&lt;&gt;"Yes",$BS193&lt;&gt;"N/A"),"Battery, ","")&amp;IF(AND($AD193&lt;&gt;"Yes",$AD193&lt;&gt;"N/A"),"Firmware Download, ","")&amp;IF(AND(OR($AD193="Yes",$AD193="N/A"),$AE193&lt;&gt;"Yes",$AE193&lt;&gt;"N/A"),"Firmware Install, ","")&amp;IF(AND($CB193&lt;&gt;"Yes",$CB193&lt;&gt;"N/A"),"Device ID, ","")&amp;IF(AND($CC193&lt;&gt;"Yes",$CC193&lt;&gt;"N/A"),"Epic Beans Relay, ",""),LEN(IF(AND($BR193&lt;&gt;"Yes",$BR193&lt;&gt;"N/A"),"Power Cable, ","")&amp;IF(AND($BS193&lt;&gt;"Yes",$BS193&lt;&gt;"N/A"),"Battery, ","")&amp;IF(AND($AD193&lt;&gt;"Yes",$AD193&lt;&gt;"N/A"),"Firmware Download, ","")&amp;IF(AND(OR($AD193="Yes",$AD193="N/A"),$AE193&lt;&gt;"Yes",$AE193&lt;&gt;"N/A"),"Firmware Install, ","")&amp;IF(AND($CB193&lt;&gt;"Yes",$CB193&lt;&gt;"N/A"),"Device ID, ","")&amp;IF(AND($CC193&lt;&gt;"Yes",$CC193&lt;&gt;"N/A"),"Epic Beans Relay, ",""))-2)))</f>
        <v/>
      </c>
      <c r="CE193">
        <f>IF($Y193="","",IF($CD193="","Yes","Blocked"))</f>
        <v/>
      </c>
      <c r="CP193">
        <f>IF($CO193="","",IFERROR(VLOOKUP($CO193,'01_Warehouse_Ledger'!$A:$N,4,FALSE),""))</f>
        <v/>
      </c>
      <c r="CQ193">
        <f>IF($CO193="","",IFERROR(VLOOKUP($CO193,'01_Warehouse_Ledger'!$A:$N,5,FALSE),""))</f>
        <v/>
      </c>
      <c r="CR193">
        <f>IF($CO193="","",IFERROR(VLOOKUP($CO193,'01_Warehouse_Ledger'!$A:$N,13,FALSE),""))</f>
        <v/>
      </c>
      <c r="CW193">
        <f>IF($S193="","",IF(UPPER(TRIM($S193))&lt;&gt;"PASS","",IF(LEN(TRIM($BY193))&gt;0,"NOTES_PRESENT",IF(LEN(TRIM($T193))=0,"SET_NA",IF(OR(LOWER(TRIM($T193))="na",LOWER(TRIM($T193))="n/a"),"OK","MANUAL_OVERRIDE")))))</f>
        <v/>
      </c>
    </row>
    <row r="194">
      <c r="A194" t="inlineStr">
        <is>
          <t>Neuron</t>
        </is>
      </c>
      <c r="B194" s="5" t="inlineStr">
        <is>
          <t>Yes</t>
        </is>
      </c>
      <c r="C194" t="inlineStr">
        <is>
          <t>Yes</t>
        </is>
      </c>
      <c r="D194">
        <f>IF($B194&lt;&gt;"Yes","",IF($C194="No","Yes",IF($C194="Yes","No","")))</f>
        <v/>
      </c>
      <c r="E194">
        <f>IF($A194="","",IF(OR(AND($V194&lt;&gt;"",LOWER(TRIM($V194))&lt;&gt;"n/a",LOWER(TRIM($V194))&lt;&gt;"na",SUMPRODUCT(--(UPPER(TRIM($V$2:$V$518))=UPPER(TRIM($V194))),--(TRIM($V$2:$V$518)&lt;&gt;""),--(LOWER(TRIM($V$2:$V$518))&lt;&gt;"n/a"),--(LOWER(TRIM($V$2:$V$518))&lt;&gt;"na"))&gt;1),AND($W194&lt;&gt;"",LOWER(TRIM($W194))&lt;&gt;"n/a",LOWER(TRIM($W194))&lt;&gt;"na",SUMPRODUCT(--(UPPER(TRIM($W$2:$W$518))=UPPER(TRIM($W194))),--(TRIM($W$2:$W$518)&lt;&gt;""),--(LOWER(TRIM($W$2:$W$518))&lt;&gt;"n/a"),--(LOWER(TRIM($W$2:$W$518))&lt;&gt;"na"))&gt;1),AND($X194&lt;&gt;"",LOWER(TRIM($X194))&lt;&gt;"n/a",LOWER(TRIM($X194))&lt;&gt;"na",SUMPRODUCT(--(UPPER(TRIM($X$2:$X$518))=UPPER(TRIM($X194))),--(TRIM($X$2:$X$518)&lt;&gt;""),--(LOWER(TRIM($X$2:$X$518))&lt;&gt;"n/a"),--(LOWER(TRIM($X$2:$X$518))&lt;&gt;"na"))&gt;1),AND($Y194&lt;&gt;"",LOWER(TRIM($Y194))&lt;&gt;"n/a",LOWER(TRIM($Y194))&lt;&gt;"na",SUMPRODUCT(--(UPPER(SUBSTITUTE(SUBSTITUTE(TRIM($Y$2:$Y$518),":",""),"-",""))=UPPER(SUBSTITUTE(SUBSTITUTE(TRIM($Y194),":",""),"-",""))),--(TRIM($Y$2:$Y$518)&lt;&gt;""),--(LOWER(TRIM($Y$2:$Y$518))&lt;&gt;"n/a"),--(LOWER(TRIM($Y$2:$Y$518))&lt;&gt;"na"))&gt;1),AND($AB194&lt;&gt;"",LOWER(TRIM($AB194))&lt;&gt;"n/a",LOWER(TRIM($AB194))&lt;&gt;"na",SUMPRODUCT(--(UPPER(TRIM($AB$2:$AB$518))=UPPER(TRIM($AB194))),--(TRIM($AB$2:$AB$518)&lt;&gt;""),--(LOWER(TRIM($AB$2:$AB$518))&lt;&gt;"n/a"),--(LOWER(TRIM($AB$2:$AB$518))&lt;&gt;"na"))&gt;1),AND($AH194&lt;&gt;"",LOWER(TRIM($AH194))&lt;&gt;"n/a",LOWER(TRIM($AH194))&lt;&gt;"na",SUMPRODUCT(--(UPPER(SUBSTITUTE(SUBSTITUTE(TRIM($AH$2:$AH$518),":",""),"-",""))=UPPER(SUBSTITUTE(SUBSTITUTE(TRIM($AH194),":",""),"-",""))),--(TRIM($AH$2:$AH$518)&lt;&gt;""),--(LOWER(TRIM($AH$2:$AH$518))&lt;&gt;"n/a"),--(LOWER(TRIM($AH$2:$AH$518))&lt;&gt;"na"))&gt;1),AND($AP194&lt;&gt;"",LOWER(TRIM($AP194))&lt;&gt;"n/a",LOWER(TRIM($AP194))&lt;&gt;"na",SUMPRODUCT(--(UPPER(TRIM($AP$2:$AP$518))=UPPER(TRIM($AP194))),--(TRIM($AP$2:$AP$518)&lt;&gt;""),--(LOWER(TRIM($AP$2:$AP$518))&lt;&gt;"n/a"),--(LOWER(TRIM($AP$2:$AP$518))&lt;&gt;"na"))&gt;1),AND($AQ194&lt;&gt;"",LOWER(TRIM($AQ194))&lt;&gt;"n/a",LOWER(TRIM($AQ194))&lt;&gt;"na",SUMPRODUCT(--(UPPER(TRIM($AQ$2:$AQ$518))=UPPER(TRIM($AQ194))),--(TRIM($AQ$2:$AQ$518)&lt;&gt;""),--(LOWER(TRIM($AQ$2:$AQ$518))&lt;&gt;"n/a"),--(LOWER(TRIM($AQ$2:$AQ$518))&lt;&gt;"na"))&gt;1)),"Yes","No"))</f>
        <v/>
      </c>
      <c r="F194">
        <f>IF(UPPER(TRIM($B194))&lt;&gt;"YES","", IF(OR(AND($V194&lt;&gt;"", LOWER(TRIM($V194))&lt;&gt;"n/a", LOWER(TRIM($V194))&lt;&gt;"na", SUMPRODUCT(--(UPPER(TRIM($V$2:$V$518))=UPPER(TRIM($V194))), --(UPPER(TRIM($B$2:$B$518))="YES"), --(UPPER(TRIM($G$2:$G$518)&amp;TRIM($I$2:$I$518)&amp;TRIM($J$2:$J$518))&lt;&gt;UPPER(TRIM($G194)&amp;TRIM($I194)&amp;TRIM($J194))))&gt;0), AND($W194&lt;&gt;"", LOWER(TRIM($W194))&lt;&gt;"n/a", LOWER(TRIM($W194))&lt;&gt;"na", SUMPRODUCT(--(UPPER(TRIM($W$2:$W$518))=UPPER(TRIM($W194))), --(UPPER(TRIM($B$2:$B$518))="YES"), --(UPPER(TRIM($G$2:$G$518)&amp;TRIM($I$2:$I$518)&amp;TRIM($J$2:$J$518))&lt;&gt;UPPER(TRIM($G194)&amp;TRIM($I194)&amp;TRIM($J194))))&gt;0), AND($X194&lt;&gt;"", LOWER(TRIM($X194))&lt;&gt;"n/a", LOWER(TRIM($X194))&lt;&gt;"na", SUMPRODUCT(--(UPPER(TRIM($X$2:$X$518))=UPPER(TRIM($X194))), --(UPPER(TRIM($B$2:$B$518))="YES"), --(UPPER(TRIM($G$2:$G$518)&amp;TRIM($I$2:$I$518)&amp;TRIM($J$2:$J$518))&lt;&gt;UPPER(TRIM($G194)&amp;TRIM($I194)&amp;TRIM($J194))))&gt;0), AND($Y194&lt;&gt;"", LOWER(TRIM($Y194))&lt;&gt;"n/a", LOWER(TRIM($Y194))&lt;&gt;"na", SUMPRODUCT(--(UPPER(SUBSTITUTE(SUBSTITUTE(TRIM($Y$2:$Y$518),":",""),"-",""))=UPPER(SUBSTITUTE(SUBSTITUTE(TRIM($Y194),":",""),"-",""))), --(UPPER(TRIM($B$2:$B$518))="YES"), --(UPPER(TRIM($G$2:$G$518)&amp;TRIM($I$2:$I$518)&amp;TRIM($J$2:$J$518))&lt;&gt;UPPER(TRIM($G194)&amp;TRIM($I194)&amp;TRIM($J194))))&gt;0), AND($AB194&lt;&gt;"", LOWER(TRIM($AB194))&lt;&gt;"n/a", LOWER(TRIM($AB194))&lt;&gt;"na", SUMPRODUCT(--(UPPER(TRIM($AB$2:$AB$518))=UPPER(TRIM($AB194))), --(UPPER(TRIM($B$2:$B$518))="YES"), --(UPPER(TRIM($G$2:$G$518)&amp;TRIM($I$2:$I$518)&amp;TRIM($J$2:$J$518))&lt;&gt;UPPER(TRIM($G194)&amp;TRIM($I194)&amp;TRIM($J194))))&gt;0), AND($AH194&lt;&gt;"", LOWER(TRIM($AH194))&lt;&gt;"n/a", LOWER(TRIM($AH194))&lt;&gt;"na", SUMPRODUCT(--(UPPER(SUBSTITUTE(SUBSTITUTE(TRIM($AH$2:$AH$518),":",""),"-",""))=UPPER(SUBSTITUTE(SUBSTITUTE(TRIM($AH194),":",""),"-",""))), --(UPPER(TRIM($B$2:$B$518))="YES"), --(UPPER(TRIM($G$2:$G$518)&amp;TRIM($I$2:$I$518)&amp;TRIM($J$2:$J$518))&lt;&gt;UPPER(TRIM($G194)&amp;TRIM($I194)&amp;TRIM($J194))))&gt;0), AND($AP194&lt;&gt;"", LOWER(TRIM($AP194))&lt;&gt;"n/a", LOWER(TRIM($AP194))&lt;&gt;"na", SUMPRODUCT(--(UPPER(TRIM($AP$2:$AP$518))=UPPER(TRIM($AP194))), --(UPPER(TRIM($B$2:$B$518))="YES"), --(UPPER(TRIM($G$2:$G$518)&amp;TRIM($I$2:$I$518)&amp;TRIM($J$2:$J$518))&lt;&gt;UPPER(TRIM($G194)&amp;TRIM($I194)&amp;TRIM($J194))))&gt;0), AND($AQ194&lt;&gt;"", LOWER(TRIM($AQ194))&lt;&gt;"n/a", LOWER(TRIM($AQ194))&lt;&gt;"na", SUMPRODUCT(--(UPPER(TRIM($AQ$2:$AQ$518))=UPPER(TRIM($AQ194))), --(UPPER(TRIM($B$2:$B$518))="YES"), --(UPPER(TRIM($G$2:$G$518)&amp;TRIM($I$2:$I$518)&amp;TRIM($J$2:$J$518))&lt;&gt;UPPER(TRIM($G194)&amp;TRIM($I194)&amp;TRIM($J194))))&gt;0)), "Yes", "No"))</f>
        <v/>
      </c>
      <c r="G194" t="inlineStr">
        <is>
          <t>LIJ SDF</t>
        </is>
      </c>
      <c r="H194" t="inlineStr">
        <is>
          <t>LIJ SDF</t>
        </is>
      </c>
      <c r="I194" t="inlineStr">
        <is>
          <t>Ground Level/Dialysis</t>
        </is>
      </c>
      <c r="J194" t="inlineStr">
        <is>
          <t>Open Patient Area</t>
        </is>
      </c>
      <c r="K194" t="n">
        <v>9</v>
      </c>
      <c r="L194" s="18" t="n">
        <v>46033</v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W194" t="inlineStr">
        <is>
          <t>n/a</t>
        </is>
      </c>
      <c r="X194" t="inlineStr">
        <is>
          <t>LIJ-SDF-MACH-I</t>
        </is>
      </c>
      <c r="Y194" t="inlineStr">
        <is>
          <t>A0F5097FDF60</t>
        </is>
      </c>
      <c r="Z194" t="inlineStr">
        <is>
          <t>10.134.18.62</t>
        </is>
      </c>
      <c r="AA194" t="inlineStr">
        <is>
          <t>Yes</t>
        </is>
      </c>
      <c r="AB194" t="inlineStr">
        <is>
          <t>WA24406115</t>
        </is>
      </c>
      <c r="AC194" t="inlineStr">
        <is>
          <t>LIJ</t>
        </is>
      </c>
      <c r="AD194" t="inlineStr">
        <is>
          <t>Yes</t>
        </is>
      </c>
      <c r="AE194" t="inlineStr">
        <is>
          <t>Yes</t>
        </is>
      </c>
      <c r="AF194" t="inlineStr">
        <is>
          <t>Yes</t>
        </is>
      </c>
      <c r="AG194" t="inlineStr">
        <is>
          <t>Yes</t>
        </is>
      </c>
      <c r="AI194" t="inlineStr">
        <is>
          <t>Dialysis Machine</t>
        </is>
      </c>
      <c r="AL194" t="inlineStr">
        <is>
          <t>BSM 036 A</t>
        </is>
      </c>
      <c r="AM194" t="inlineStr">
        <is>
          <t>Fresenius BlueStar</t>
        </is>
      </c>
      <c r="AN194" t="inlineStr">
        <is>
          <t>2008T</t>
        </is>
      </c>
      <c r="AO194" t="inlineStr">
        <is>
          <t>1T0S260271</t>
        </is>
      </c>
      <c r="AP194" t="inlineStr">
        <is>
          <t>n/a</t>
        </is>
      </c>
      <c r="AQ194" t="inlineStr">
        <is>
          <t>1T0S260271</t>
        </is>
      </c>
      <c r="AS194" t="inlineStr">
        <is>
          <t>B1-CFH</t>
        </is>
      </c>
      <c r="AX194" t="inlineStr">
        <is>
          <t>n/a</t>
        </is>
      </c>
      <c r="AY194" t="inlineStr">
        <is>
          <t>Fresenius BlueStar - 2008T</t>
        </is>
      </c>
      <c r="AZ194" t="inlineStr">
        <is>
          <t>n/a</t>
        </is>
      </c>
      <c r="BA194" t="inlineStr">
        <is>
          <t>n/a</t>
        </is>
      </c>
      <c r="BB194" t="inlineStr">
        <is>
          <t>n/a</t>
        </is>
      </c>
      <c r="BR194" t="inlineStr">
        <is>
          <t>Yes</t>
        </is>
      </c>
      <c r="BS194" t="inlineStr">
        <is>
          <t>Yes</t>
        </is>
      </c>
      <c r="BW194" t="inlineStr">
        <is>
          <t>Yes</t>
        </is>
      </c>
      <c r="BX194" t="n">
        <v>46027</v>
      </c>
      <c r="BZ194" t="inlineStr">
        <is>
          <t>Firmware Installed</t>
        </is>
      </c>
      <c r="CB194" t="inlineStr">
        <is>
          <t>Yes</t>
        </is>
      </c>
      <c r="CC194" t="inlineStr">
        <is>
          <t>No</t>
        </is>
      </c>
      <c r="CD194">
        <f>IF($Y194="","",IF((IF(AND($BR194&lt;&gt;"Yes",$BR194&lt;&gt;"N/A"),"Power Cable, ","")&amp;IF(AND($BS194&lt;&gt;"Yes",$BS194&lt;&gt;"N/A"),"Battery, ","")&amp;IF(AND($AD194&lt;&gt;"Yes",$AD194&lt;&gt;"N/A"),"Firmware Download, ","")&amp;IF(AND(OR($AD194="Yes",$AD194="N/A"),$AE194&lt;&gt;"Yes",$AE194&lt;&gt;"N/A"),"Firmware Install, ","")&amp;IF(AND($CB194&lt;&gt;"Yes",$CB194&lt;&gt;"N/A"),"Device ID, ","")&amp;IF(AND($CC194&lt;&gt;"Yes",$CC194&lt;&gt;"N/A"),"Epic Beans Relay, ",""))="","",LEFT(IF(AND($BR194&lt;&gt;"Yes",$BR194&lt;&gt;"N/A"),"Power Cable, ","")&amp;IF(AND($BS194&lt;&gt;"Yes",$BS194&lt;&gt;"N/A"),"Battery, ","")&amp;IF(AND($AD194&lt;&gt;"Yes",$AD194&lt;&gt;"N/A"),"Firmware Download, ","")&amp;IF(AND(OR($AD194="Yes",$AD194="N/A"),$AE194&lt;&gt;"Yes",$AE194&lt;&gt;"N/A"),"Firmware Install, ","")&amp;IF(AND($CB194&lt;&gt;"Yes",$CB194&lt;&gt;"N/A"),"Device ID, ","")&amp;IF(AND($CC194&lt;&gt;"Yes",$CC194&lt;&gt;"N/A"),"Epic Beans Relay, ",""),LEN(IF(AND($BR194&lt;&gt;"Yes",$BR194&lt;&gt;"N/A"),"Power Cable, ","")&amp;IF(AND($BS194&lt;&gt;"Yes",$BS194&lt;&gt;"N/A"),"Battery, ","")&amp;IF(AND($AD194&lt;&gt;"Yes",$AD194&lt;&gt;"N/A"),"Firmware Download, ","")&amp;IF(AND(OR($AD194="Yes",$AD194="N/A"),$AE194&lt;&gt;"Yes",$AE194&lt;&gt;"N/A"),"Firmware Install, ","")&amp;IF(AND($CB194&lt;&gt;"Yes",$CB194&lt;&gt;"N/A"),"Device ID, ","")&amp;IF(AND($CC194&lt;&gt;"Yes",$CC194&lt;&gt;"N/A"),"Epic Beans Relay, ",""))-2)))</f>
        <v/>
      </c>
      <c r="CE194">
        <f>IF($Y194="","",IF($CD194="","Yes","Blocked"))</f>
        <v/>
      </c>
      <c r="CP194">
        <f>IF($CO194="","",IFERROR(VLOOKUP($CO194,'01_Warehouse_Ledger'!$A:$N,4,FALSE),""))</f>
        <v/>
      </c>
      <c r="CQ194">
        <f>IF($CO194="","",IFERROR(VLOOKUP($CO194,'01_Warehouse_Ledger'!$A:$N,5,FALSE),""))</f>
        <v/>
      </c>
      <c r="CR194">
        <f>IF($CO194="","",IFERROR(VLOOKUP($CO194,'01_Warehouse_Ledger'!$A:$N,13,FALSE),""))</f>
        <v/>
      </c>
      <c r="CW194">
        <f>IF($S194="","",IF(UPPER(TRIM($S194))&lt;&gt;"PASS","",IF(LEN(TRIM($BY194))&gt;0,"NOTES_PRESENT",IF(LEN(TRIM($T194))=0,"SET_NA",IF(OR(LOWER(TRIM($T194))="na",LOWER(TRIM($T194))="n/a"),"OK","MANUAL_OVERRIDE")))))</f>
        <v/>
      </c>
    </row>
    <row r="195">
      <c r="A195" t="inlineStr">
        <is>
          <t>Neuron</t>
        </is>
      </c>
      <c r="B195" s="5" t="inlineStr">
        <is>
          <t>Yes</t>
        </is>
      </c>
      <c r="C195" t="inlineStr">
        <is>
          <t>Yes</t>
        </is>
      </c>
      <c r="D195">
        <f>IF($B195&lt;&gt;"Yes","",IF($C195="No","Yes",IF($C195="Yes","No","")))</f>
        <v/>
      </c>
      <c r="E195">
        <f>IF($A195="","",IF(OR(AND($V195&lt;&gt;"",LOWER(TRIM($V195))&lt;&gt;"n/a",LOWER(TRIM($V195))&lt;&gt;"na",SUMPRODUCT(--(UPPER(TRIM($V$2:$V$518))=UPPER(TRIM($V195))),--(TRIM($V$2:$V$518)&lt;&gt;""),--(LOWER(TRIM($V$2:$V$518))&lt;&gt;"n/a"),--(LOWER(TRIM($V$2:$V$518))&lt;&gt;"na"))&gt;1),AND($W195&lt;&gt;"",LOWER(TRIM($W195))&lt;&gt;"n/a",LOWER(TRIM($W195))&lt;&gt;"na",SUMPRODUCT(--(UPPER(TRIM($W$2:$W$518))=UPPER(TRIM($W195))),--(TRIM($W$2:$W$518)&lt;&gt;""),--(LOWER(TRIM($W$2:$W$518))&lt;&gt;"n/a"),--(LOWER(TRIM($W$2:$W$518))&lt;&gt;"na"))&gt;1),AND($X195&lt;&gt;"",LOWER(TRIM($X195))&lt;&gt;"n/a",LOWER(TRIM($X195))&lt;&gt;"na",SUMPRODUCT(--(UPPER(TRIM($X$2:$X$518))=UPPER(TRIM($X195))),--(TRIM($X$2:$X$518)&lt;&gt;""),--(LOWER(TRIM($X$2:$X$518))&lt;&gt;"n/a"),--(LOWER(TRIM($X$2:$X$518))&lt;&gt;"na"))&gt;1),AND($Y195&lt;&gt;"",LOWER(TRIM($Y195))&lt;&gt;"n/a",LOWER(TRIM($Y195))&lt;&gt;"na",SUMPRODUCT(--(UPPER(SUBSTITUTE(SUBSTITUTE(TRIM($Y$2:$Y$518),":",""),"-",""))=UPPER(SUBSTITUTE(SUBSTITUTE(TRIM($Y195),":",""),"-",""))),--(TRIM($Y$2:$Y$518)&lt;&gt;""),--(LOWER(TRIM($Y$2:$Y$518))&lt;&gt;"n/a"),--(LOWER(TRIM($Y$2:$Y$518))&lt;&gt;"na"))&gt;1),AND($AB195&lt;&gt;"",LOWER(TRIM($AB195))&lt;&gt;"n/a",LOWER(TRIM($AB195))&lt;&gt;"na",SUMPRODUCT(--(UPPER(TRIM($AB$2:$AB$518))=UPPER(TRIM($AB195))),--(TRIM($AB$2:$AB$518)&lt;&gt;""),--(LOWER(TRIM($AB$2:$AB$518))&lt;&gt;"n/a"),--(LOWER(TRIM($AB$2:$AB$518))&lt;&gt;"na"))&gt;1),AND($AH195&lt;&gt;"",LOWER(TRIM($AH195))&lt;&gt;"n/a",LOWER(TRIM($AH195))&lt;&gt;"na",SUMPRODUCT(--(UPPER(SUBSTITUTE(SUBSTITUTE(TRIM($AH$2:$AH$518),":",""),"-",""))=UPPER(SUBSTITUTE(SUBSTITUTE(TRIM($AH195),":",""),"-",""))),--(TRIM($AH$2:$AH$518)&lt;&gt;""),--(LOWER(TRIM($AH$2:$AH$518))&lt;&gt;"n/a"),--(LOWER(TRIM($AH$2:$AH$518))&lt;&gt;"na"))&gt;1),AND($AP195&lt;&gt;"",LOWER(TRIM($AP195))&lt;&gt;"n/a",LOWER(TRIM($AP195))&lt;&gt;"na",SUMPRODUCT(--(UPPER(TRIM($AP$2:$AP$518))=UPPER(TRIM($AP195))),--(TRIM($AP$2:$AP$518)&lt;&gt;""),--(LOWER(TRIM($AP$2:$AP$518))&lt;&gt;"n/a"),--(LOWER(TRIM($AP$2:$AP$518))&lt;&gt;"na"))&gt;1),AND($AQ195&lt;&gt;"",LOWER(TRIM($AQ195))&lt;&gt;"n/a",LOWER(TRIM($AQ195))&lt;&gt;"na",SUMPRODUCT(--(UPPER(TRIM($AQ$2:$AQ$518))=UPPER(TRIM($AQ195))),--(TRIM($AQ$2:$AQ$518)&lt;&gt;""),--(LOWER(TRIM($AQ$2:$AQ$518))&lt;&gt;"n/a"),--(LOWER(TRIM($AQ$2:$AQ$518))&lt;&gt;"na"))&gt;1)),"Yes","No"))</f>
        <v/>
      </c>
      <c r="F195">
        <f>IF(UPPER(TRIM($B195))&lt;&gt;"YES","", IF(OR(AND($V195&lt;&gt;"", LOWER(TRIM($V195))&lt;&gt;"n/a", LOWER(TRIM($V195))&lt;&gt;"na", SUMPRODUCT(--(UPPER(TRIM($V$2:$V$518))=UPPER(TRIM($V195))), --(UPPER(TRIM($B$2:$B$518))="YES"), --(UPPER(TRIM($G$2:$G$518)&amp;TRIM($I$2:$I$518)&amp;TRIM($J$2:$J$518))&lt;&gt;UPPER(TRIM($G195)&amp;TRIM($I195)&amp;TRIM($J195))))&gt;0), AND($W195&lt;&gt;"", LOWER(TRIM($W195))&lt;&gt;"n/a", LOWER(TRIM($W195))&lt;&gt;"na", SUMPRODUCT(--(UPPER(TRIM($W$2:$W$518))=UPPER(TRIM($W195))), --(UPPER(TRIM($B$2:$B$518))="YES"), --(UPPER(TRIM($G$2:$G$518)&amp;TRIM($I$2:$I$518)&amp;TRIM($J$2:$J$518))&lt;&gt;UPPER(TRIM($G195)&amp;TRIM($I195)&amp;TRIM($J195))))&gt;0), AND($X195&lt;&gt;"", LOWER(TRIM($X195))&lt;&gt;"n/a", LOWER(TRIM($X195))&lt;&gt;"na", SUMPRODUCT(--(UPPER(TRIM($X$2:$X$518))=UPPER(TRIM($X195))), --(UPPER(TRIM($B$2:$B$518))="YES"), --(UPPER(TRIM($G$2:$G$518)&amp;TRIM($I$2:$I$518)&amp;TRIM($J$2:$J$518))&lt;&gt;UPPER(TRIM($G195)&amp;TRIM($I195)&amp;TRIM($J195))))&gt;0), AND($Y195&lt;&gt;"", LOWER(TRIM($Y195))&lt;&gt;"n/a", LOWER(TRIM($Y195))&lt;&gt;"na", SUMPRODUCT(--(UPPER(SUBSTITUTE(SUBSTITUTE(TRIM($Y$2:$Y$518),":",""),"-",""))=UPPER(SUBSTITUTE(SUBSTITUTE(TRIM($Y195),":",""),"-",""))), --(UPPER(TRIM($B$2:$B$518))="YES"), --(UPPER(TRIM($G$2:$G$518)&amp;TRIM($I$2:$I$518)&amp;TRIM($J$2:$J$518))&lt;&gt;UPPER(TRIM($G195)&amp;TRIM($I195)&amp;TRIM($J195))))&gt;0), AND($AB195&lt;&gt;"", LOWER(TRIM($AB195))&lt;&gt;"n/a", LOWER(TRIM($AB195))&lt;&gt;"na", SUMPRODUCT(--(UPPER(TRIM($AB$2:$AB$518))=UPPER(TRIM($AB195))), --(UPPER(TRIM($B$2:$B$518))="YES"), --(UPPER(TRIM($G$2:$G$518)&amp;TRIM($I$2:$I$518)&amp;TRIM($J$2:$J$518))&lt;&gt;UPPER(TRIM($G195)&amp;TRIM($I195)&amp;TRIM($J195))))&gt;0), AND($AH195&lt;&gt;"", LOWER(TRIM($AH195))&lt;&gt;"n/a", LOWER(TRIM($AH195))&lt;&gt;"na", SUMPRODUCT(--(UPPER(SUBSTITUTE(SUBSTITUTE(TRIM($AH$2:$AH$518),":",""),"-",""))=UPPER(SUBSTITUTE(SUBSTITUTE(TRIM($AH195),":",""),"-",""))), --(UPPER(TRIM($B$2:$B$518))="YES"), --(UPPER(TRIM($G$2:$G$518)&amp;TRIM($I$2:$I$518)&amp;TRIM($J$2:$J$518))&lt;&gt;UPPER(TRIM($G195)&amp;TRIM($I195)&amp;TRIM($J195))))&gt;0), AND($AP195&lt;&gt;"", LOWER(TRIM($AP195))&lt;&gt;"n/a", LOWER(TRIM($AP195))&lt;&gt;"na", SUMPRODUCT(--(UPPER(TRIM($AP$2:$AP$518))=UPPER(TRIM($AP195))), --(UPPER(TRIM($B$2:$B$518))="YES"), --(UPPER(TRIM($G$2:$G$518)&amp;TRIM($I$2:$I$518)&amp;TRIM($J$2:$J$518))&lt;&gt;UPPER(TRIM($G195)&amp;TRIM($I195)&amp;TRIM($J195))))&gt;0), AND($AQ195&lt;&gt;"", LOWER(TRIM($AQ195))&lt;&gt;"n/a", LOWER(TRIM($AQ195))&lt;&gt;"na", SUMPRODUCT(--(UPPER(TRIM($AQ$2:$AQ$518))=UPPER(TRIM($AQ195))), --(UPPER(TRIM($B$2:$B$518))="YES"), --(UPPER(TRIM($G$2:$G$518)&amp;TRIM($I$2:$I$518)&amp;TRIM($J$2:$J$518))&lt;&gt;UPPER(TRIM($G195)&amp;TRIM($I195)&amp;TRIM($J195))))&gt;0)), "Yes", "No"))</f>
        <v/>
      </c>
      <c r="G195" t="inlineStr">
        <is>
          <t>LIJ SDF</t>
        </is>
      </c>
      <c r="H195" t="inlineStr">
        <is>
          <t>LIJ SDF</t>
        </is>
      </c>
      <c r="I195" t="inlineStr">
        <is>
          <t>Ground Level/Dialysis</t>
        </is>
      </c>
      <c r="J195" t="inlineStr">
        <is>
          <t>Open Patient Area</t>
        </is>
      </c>
      <c r="K195" t="n">
        <v>10</v>
      </c>
      <c r="L195" s="18" t="n">
        <v>46033</v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W195" t="inlineStr">
        <is>
          <t>n/a</t>
        </is>
      </c>
      <c r="X195" t="inlineStr">
        <is>
          <t>LIJ-SDF-MACH-J</t>
        </is>
      </c>
      <c r="Y195" t="inlineStr">
        <is>
          <t>A0F5097FF17E</t>
        </is>
      </c>
      <c r="Z195" t="inlineStr">
        <is>
          <t>10.134.19.36</t>
        </is>
      </c>
      <c r="AA195" t="inlineStr">
        <is>
          <t>Yes</t>
        </is>
      </c>
      <c r="AB195" t="inlineStr">
        <is>
          <t>WA24406364</t>
        </is>
      </c>
      <c r="AC195" t="inlineStr">
        <is>
          <t>LIJ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I195" t="inlineStr">
        <is>
          <t>Dialysis Machine</t>
        </is>
      </c>
      <c r="AL195" t="inlineStr">
        <is>
          <t>BSM 036 B</t>
        </is>
      </c>
      <c r="AM195" t="inlineStr">
        <is>
          <t>Fresenius BlueStar</t>
        </is>
      </c>
      <c r="AN195" t="inlineStr">
        <is>
          <t>2008T</t>
        </is>
      </c>
      <c r="AO195" t="inlineStr">
        <is>
          <t>9T0S247174</t>
        </is>
      </c>
      <c r="AP195" t="inlineStr">
        <is>
          <t>n/a</t>
        </is>
      </c>
      <c r="AQ195" t="inlineStr">
        <is>
          <t>9T0S247174</t>
        </is>
      </c>
      <c r="AS195" t="inlineStr">
        <is>
          <t>B1-CFH</t>
        </is>
      </c>
      <c r="AX195" t="inlineStr">
        <is>
          <t>n/a</t>
        </is>
      </c>
      <c r="AY195" t="inlineStr">
        <is>
          <t>Fresenius BlueStar - 2008T</t>
        </is>
      </c>
      <c r="AZ195" t="inlineStr">
        <is>
          <t>n/a</t>
        </is>
      </c>
      <c r="BA195" t="inlineStr">
        <is>
          <t>n/a</t>
        </is>
      </c>
      <c r="BB195" t="inlineStr">
        <is>
          <t>n/a</t>
        </is>
      </c>
      <c r="BR195" t="inlineStr">
        <is>
          <t>Yes</t>
        </is>
      </c>
      <c r="BS195" t="inlineStr">
        <is>
          <t>Yes</t>
        </is>
      </c>
      <c r="BW195" t="inlineStr">
        <is>
          <t>Yes</t>
        </is>
      </c>
      <c r="BX195" t="n">
        <v>46027</v>
      </c>
      <c r="BZ195" t="inlineStr">
        <is>
          <t>Firmware Installed</t>
        </is>
      </c>
      <c r="CB195" t="inlineStr">
        <is>
          <t>Yes</t>
        </is>
      </c>
      <c r="CC195" t="inlineStr">
        <is>
          <t>No</t>
        </is>
      </c>
      <c r="CD195">
        <f>IF($Y195="","",IF((IF(AND($BR195&lt;&gt;"Yes",$BR195&lt;&gt;"N/A"),"Power Cable, ","")&amp;IF(AND($BS195&lt;&gt;"Yes",$BS195&lt;&gt;"N/A"),"Battery, ","")&amp;IF(AND($AD195&lt;&gt;"Yes",$AD195&lt;&gt;"N/A"),"Firmware Download, ","")&amp;IF(AND(OR($AD195="Yes",$AD195="N/A"),$AE195&lt;&gt;"Yes",$AE195&lt;&gt;"N/A"),"Firmware Install, ","")&amp;IF(AND($CB195&lt;&gt;"Yes",$CB195&lt;&gt;"N/A"),"Device ID, ","")&amp;IF(AND($CC195&lt;&gt;"Yes",$CC195&lt;&gt;"N/A"),"Epic Beans Relay, ",""))="","",LEFT(IF(AND($BR195&lt;&gt;"Yes",$BR195&lt;&gt;"N/A"),"Power Cable, ","")&amp;IF(AND($BS195&lt;&gt;"Yes",$BS195&lt;&gt;"N/A"),"Battery, ","")&amp;IF(AND($AD195&lt;&gt;"Yes",$AD195&lt;&gt;"N/A"),"Firmware Download, ","")&amp;IF(AND(OR($AD195="Yes",$AD195="N/A"),$AE195&lt;&gt;"Yes",$AE195&lt;&gt;"N/A"),"Firmware Install, ","")&amp;IF(AND($CB195&lt;&gt;"Yes",$CB195&lt;&gt;"N/A"),"Device ID, ","")&amp;IF(AND($CC195&lt;&gt;"Yes",$CC195&lt;&gt;"N/A"),"Epic Beans Relay, ",""),LEN(IF(AND($BR195&lt;&gt;"Yes",$BR195&lt;&gt;"N/A"),"Power Cable, ","")&amp;IF(AND($BS195&lt;&gt;"Yes",$BS195&lt;&gt;"N/A"),"Battery, ","")&amp;IF(AND($AD195&lt;&gt;"Yes",$AD195&lt;&gt;"N/A"),"Firmware Download, ","")&amp;IF(AND(OR($AD195="Yes",$AD195="N/A"),$AE195&lt;&gt;"Yes",$AE195&lt;&gt;"N/A"),"Firmware Install, ","")&amp;IF(AND($CB195&lt;&gt;"Yes",$CB195&lt;&gt;"N/A"),"Device ID, ","")&amp;IF(AND($CC195&lt;&gt;"Yes",$CC195&lt;&gt;"N/A"),"Epic Beans Relay, ",""))-2)))</f>
        <v/>
      </c>
      <c r="CE195">
        <f>IF($Y195="","",IF($CD195="","Yes","Blocked"))</f>
        <v/>
      </c>
      <c r="CP195">
        <f>IF($CO195="","",IFERROR(VLOOKUP($CO195,'01_Warehouse_Ledger'!$A:$N,4,FALSE),""))</f>
        <v/>
      </c>
      <c r="CQ195">
        <f>IF($CO195="","",IFERROR(VLOOKUP($CO195,'01_Warehouse_Ledger'!$A:$N,5,FALSE),""))</f>
        <v/>
      </c>
      <c r="CR195">
        <f>IF($CO195="","",IFERROR(VLOOKUP($CO195,'01_Warehouse_Ledger'!$A:$N,13,FALSE),""))</f>
        <v/>
      </c>
      <c r="CW195">
        <f>IF($S195="","",IF(UPPER(TRIM($S195))&lt;&gt;"PASS","",IF(LEN(TRIM($BY195))&gt;0,"NOTES_PRESENT",IF(LEN(TRIM($T195))=0,"SET_NA",IF(OR(LOWER(TRIM($T195))="na",LOWER(TRIM($T195))="n/a"),"OK","MANUAL_OVERRIDE")))))</f>
        <v/>
      </c>
    </row>
    <row r="196">
      <c r="A196" t="inlineStr">
        <is>
          <t>Neuron</t>
        </is>
      </c>
      <c r="B196" s="5" t="inlineStr">
        <is>
          <t>Yes</t>
        </is>
      </c>
      <c r="C196" t="inlineStr">
        <is>
          <t>Yes</t>
        </is>
      </c>
      <c r="D196">
        <f>IF($B196&lt;&gt;"Yes","",IF($C196="No","Yes",IF($C196="Yes","No","")))</f>
        <v/>
      </c>
      <c r="E196">
        <f>IF($A196="","",IF(OR(AND($V196&lt;&gt;"",LOWER(TRIM($V196))&lt;&gt;"n/a",LOWER(TRIM($V196))&lt;&gt;"na",SUMPRODUCT(--(UPPER(TRIM($V$2:$V$518))=UPPER(TRIM($V196))),--(TRIM($V$2:$V$518)&lt;&gt;""),--(LOWER(TRIM($V$2:$V$518))&lt;&gt;"n/a"),--(LOWER(TRIM($V$2:$V$518))&lt;&gt;"na"))&gt;1),AND($W196&lt;&gt;"",LOWER(TRIM($W196))&lt;&gt;"n/a",LOWER(TRIM($W196))&lt;&gt;"na",SUMPRODUCT(--(UPPER(TRIM($W$2:$W$518))=UPPER(TRIM($W196))),--(TRIM($W$2:$W$518)&lt;&gt;""),--(LOWER(TRIM($W$2:$W$518))&lt;&gt;"n/a"),--(LOWER(TRIM($W$2:$W$518))&lt;&gt;"na"))&gt;1),AND($X196&lt;&gt;"",LOWER(TRIM($X196))&lt;&gt;"n/a",LOWER(TRIM($X196))&lt;&gt;"na",SUMPRODUCT(--(UPPER(TRIM($X$2:$X$518))=UPPER(TRIM($X196))),--(TRIM($X$2:$X$518)&lt;&gt;""),--(LOWER(TRIM($X$2:$X$518))&lt;&gt;"n/a"),--(LOWER(TRIM($X$2:$X$518))&lt;&gt;"na"))&gt;1),AND($Y196&lt;&gt;"",LOWER(TRIM($Y196))&lt;&gt;"n/a",LOWER(TRIM($Y196))&lt;&gt;"na",SUMPRODUCT(--(UPPER(SUBSTITUTE(SUBSTITUTE(TRIM($Y$2:$Y$518),":",""),"-",""))=UPPER(SUBSTITUTE(SUBSTITUTE(TRIM($Y196),":",""),"-",""))),--(TRIM($Y$2:$Y$518)&lt;&gt;""),--(LOWER(TRIM($Y$2:$Y$518))&lt;&gt;"n/a"),--(LOWER(TRIM($Y$2:$Y$518))&lt;&gt;"na"))&gt;1),AND($AB196&lt;&gt;"",LOWER(TRIM($AB196))&lt;&gt;"n/a",LOWER(TRIM($AB196))&lt;&gt;"na",SUMPRODUCT(--(UPPER(TRIM($AB$2:$AB$518))=UPPER(TRIM($AB196))),--(TRIM($AB$2:$AB$518)&lt;&gt;""),--(LOWER(TRIM($AB$2:$AB$518))&lt;&gt;"n/a"),--(LOWER(TRIM($AB$2:$AB$518))&lt;&gt;"na"))&gt;1),AND($AH196&lt;&gt;"",LOWER(TRIM($AH196))&lt;&gt;"n/a",LOWER(TRIM($AH196))&lt;&gt;"na",SUMPRODUCT(--(UPPER(SUBSTITUTE(SUBSTITUTE(TRIM($AH$2:$AH$518),":",""),"-",""))=UPPER(SUBSTITUTE(SUBSTITUTE(TRIM($AH196),":",""),"-",""))),--(TRIM($AH$2:$AH$518)&lt;&gt;""),--(LOWER(TRIM($AH$2:$AH$518))&lt;&gt;"n/a"),--(LOWER(TRIM($AH$2:$AH$518))&lt;&gt;"na"))&gt;1),AND($AP196&lt;&gt;"",LOWER(TRIM($AP196))&lt;&gt;"n/a",LOWER(TRIM($AP196))&lt;&gt;"na",SUMPRODUCT(--(UPPER(TRIM($AP$2:$AP$518))=UPPER(TRIM($AP196))),--(TRIM($AP$2:$AP$518)&lt;&gt;""),--(LOWER(TRIM($AP$2:$AP$518))&lt;&gt;"n/a"),--(LOWER(TRIM($AP$2:$AP$518))&lt;&gt;"na"))&gt;1),AND($AQ196&lt;&gt;"",LOWER(TRIM($AQ196))&lt;&gt;"n/a",LOWER(TRIM($AQ196))&lt;&gt;"na",SUMPRODUCT(--(UPPER(TRIM($AQ$2:$AQ$518))=UPPER(TRIM($AQ196))),--(TRIM($AQ$2:$AQ$518)&lt;&gt;""),--(LOWER(TRIM($AQ$2:$AQ$518))&lt;&gt;"n/a"),--(LOWER(TRIM($AQ$2:$AQ$518))&lt;&gt;"na"))&gt;1)),"Yes","No"))</f>
        <v/>
      </c>
      <c r="F196">
        <f>IF(UPPER(TRIM($B196))&lt;&gt;"YES","", IF(OR(AND($V196&lt;&gt;"", LOWER(TRIM($V196))&lt;&gt;"n/a", LOWER(TRIM($V196))&lt;&gt;"na", SUMPRODUCT(--(UPPER(TRIM($V$2:$V$518))=UPPER(TRIM($V196))), --(UPPER(TRIM($B$2:$B$518))="YES"), --(UPPER(TRIM($G$2:$G$518)&amp;TRIM($I$2:$I$518)&amp;TRIM($J$2:$J$518))&lt;&gt;UPPER(TRIM($G196)&amp;TRIM($I196)&amp;TRIM($J196))))&gt;0), AND($W196&lt;&gt;"", LOWER(TRIM($W196))&lt;&gt;"n/a", LOWER(TRIM($W196))&lt;&gt;"na", SUMPRODUCT(--(UPPER(TRIM($W$2:$W$518))=UPPER(TRIM($W196))), --(UPPER(TRIM($B$2:$B$518))="YES"), --(UPPER(TRIM($G$2:$G$518)&amp;TRIM($I$2:$I$518)&amp;TRIM($J$2:$J$518))&lt;&gt;UPPER(TRIM($G196)&amp;TRIM($I196)&amp;TRIM($J196))))&gt;0), AND($X196&lt;&gt;"", LOWER(TRIM($X196))&lt;&gt;"n/a", LOWER(TRIM($X196))&lt;&gt;"na", SUMPRODUCT(--(UPPER(TRIM($X$2:$X$518))=UPPER(TRIM($X196))), --(UPPER(TRIM($B$2:$B$518))="YES"), --(UPPER(TRIM($G$2:$G$518)&amp;TRIM($I$2:$I$518)&amp;TRIM($J$2:$J$518))&lt;&gt;UPPER(TRIM($G196)&amp;TRIM($I196)&amp;TRIM($J196))))&gt;0), AND($Y196&lt;&gt;"", LOWER(TRIM($Y196))&lt;&gt;"n/a", LOWER(TRIM($Y196))&lt;&gt;"na", SUMPRODUCT(--(UPPER(SUBSTITUTE(SUBSTITUTE(TRIM($Y$2:$Y$518),":",""),"-",""))=UPPER(SUBSTITUTE(SUBSTITUTE(TRIM($Y196),":",""),"-",""))), --(UPPER(TRIM($B$2:$B$518))="YES"), --(UPPER(TRIM($G$2:$G$518)&amp;TRIM($I$2:$I$518)&amp;TRIM($J$2:$J$518))&lt;&gt;UPPER(TRIM($G196)&amp;TRIM($I196)&amp;TRIM($J196))))&gt;0), AND($AB196&lt;&gt;"", LOWER(TRIM($AB196))&lt;&gt;"n/a", LOWER(TRIM($AB196))&lt;&gt;"na", SUMPRODUCT(--(UPPER(TRIM($AB$2:$AB$518))=UPPER(TRIM($AB196))), --(UPPER(TRIM($B$2:$B$518))="YES"), --(UPPER(TRIM($G$2:$G$518)&amp;TRIM($I$2:$I$518)&amp;TRIM($J$2:$J$518))&lt;&gt;UPPER(TRIM($G196)&amp;TRIM($I196)&amp;TRIM($J196))))&gt;0), AND($AH196&lt;&gt;"", LOWER(TRIM($AH196))&lt;&gt;"n/a", LOWER(TRIM($AH196))&lt;&gt;"na", SUMPRODUCT(--(UPPER(SUBSTITUTE(SUBSTITUTE(TRIM($AH$2:$AH$518),":",""),"-",""))=UPPER(SUBSTITUTE(SUBSTITUTE(TRIM($AH196),":",""),"-",""))), --(UPPER(TRIM($B$2:$B$518))="YES"), --(UPPER(TRIM($G$2:$G$518)&amp;TRIM($I$2:$I$518)&amp;TRIM($J$2:$J$518))&lt;&gt;UPPER(TRIM($G196)&amp;TRIM($I196)&amp;TRIM($J196))))&gt;0), AND($AP196&lt;&gt;"", LOWER(TRIM($AP196))&lt;&gt;"n/a", LOWER(TRIM($AP196))&lt;&gt;"na", SUMPRODUCT(--(UPPER(TRIM($AP$2:$AP$518))=UPPER(TRIM($AP196))), --(UPPER(TRIM($B$2:$B$518))="YES"), --(UPPER(TRIM($G$2:$G$518)&amp;TRIM($I$2:$I$518)&amp;TRIM($J$2:$J$518))&lt;&gt;UPPER(TRIM($G196)&amp;TRIM($I196)&amp;TRIM($J196))))&gt;0), AND($AQ196&lt;&gt;"", LOWER(TRIM($AQ196))&lt;&gt;"n/a", LOWER(TRIM($AQ196))&lt;&gt;"na", SUMPRODUCT(--(UPPER(TRIM($AQ$2:$AQ$518))=UPPER(TRIM($AQ196))), --(UPPER(TRIM($B$2:$B$518))="YES"), --(UPPER(TRIM($G$2:$G$518)&amp;TRIM($I$2:$I$518)&amp;TRIM($J$2:$J$518))&lt;&gt;UPPER(TRIM($G196)&amp;TRIM($I196)&amp;TRIM($J196))))&gt;0)), "Yes", "No"))</f>
        <v/>
      </c>
      <c r="G196" t="inlineStr">
        <is>
          <t>LIJ SDF</t>
        </is>
      </c>
      <c r="H196" t="inlineStr">
        <is>
          <t>LIJ SDF</t>
        </is>
      </c>
      <c r="I196" t="inlineStr">
        <is>
          <t>Ground Level/Dialysis</t>
        </is>
      </c>
      <c r="J196" t="inlineStr">
        <is>
          <t>Open Patient Area</t>
        </is>
      </c>
      <c r="K196" t="n">
        <v>11</v>
      </c>
      <c r="L196" s="18" t="n">
        <v>46033</v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W196" t="inlineStr">
        <is>
          <t>n/a</t>
        </is>
      </c>
      <c r="X196" t="inlineStr">
        <is>
          <t>LIJ-SDF-MACH-K</t>
        </is>
      </c>
      <c r="Y196" t="inlineStr">
        <is>
          <t>A0F5097FDE6F</t>
        </is>
      </c>
      <c r="Z196" t="inlineStr">
        <is>
          <t>10.134.18.61</t>
        </is>
      </c>
      <c r="AA196" t="inlineStr">
        <is>
          <t>Yes</t>
        </is>
      </c>
      <c r="AB196" t="inlineStr">
        <is>
          <t>WA24406339</t>
        </is>
      </c>
      <c r="AC196" t="inlineStr">
        <is>
          <t>LIJ</t>
        </is>
      </c>
      <c r="AD196" t="inlineStr">
        <is>
          <t>Yes</t>
        </is>
      </c>
      <c r="AE196" t="inlineStr">
        <is>
          <t>Yes</t>
        </is>
      </c>
      <c r="AF196" t="inlineStr">
        <is>
          <t>Yes</t>
        </is>
      </c>
      <c r="AG196" t="inlineStr">
        <is>
          <t>Yes</t>
        </is>
      </c>
      <c r="AI196" t="inlineStr">
        <is>
          <t>Dialysis Machine</t>
        </is>
      </c>
      <c r="AL196" t="inlineStr">
        <is>
          <t>BSM 047 D</t>
        </is>
      </c>
      <c r="AM196" t="inlineStr">
        <is>
          <t>Fresenius BlueStar</t>
        </is>
      </c>
      <c r="AN196" t="inlineStr">
        <is>
          <t>2008T</t>
        </is>
      </c>
      <c r="AO196" t="inlineStr">
        <is>
          <t>6T0S163941</t>
        </is>
      </c>
      <c r="AP196" t="inlineStr">
        <is>
          <t>n/a</t>
        </is>
      </c>
      <c r="AQ196" t="inlineStr">
        <is>
          <t>6T0S163941</t>
        </is>
      </c>
      <c r="AS196" t="inlineStr">
        <is>
          <t>B1-CFH</t>
        </is>
      </c>
      <c r="AX196" t="inlineStr">
        <is>
          <t>n/a</t>
        </is>
      </c>
      <c r="AY196" t="inlineStr">
        <is>
          <t>Fresenius BlueStar - 2008T</t>
        </is>
      </c>
      <c r="AZ196" t="inlineStr">
        <is>
          <t>n/a</t>
        </is>
      </c>
      <c r="BA196" t="inlineStr">
        <is>
          <t>n/a</t>
        </is>
      </c>
      <c r="BB196" t="inlineStr">
        <is>
          <t>n/a</t>
        </is>
      </c>
      <c r="BR196" t="inlineStr">
        <is>
          <t>Yes</t>
        </is>
      </c>
      <c r="BS196" t="inlineStr">
        <is>
          <t>Yes</t>
        </is>
      </c>
      <c r="BW196" t="inlineStr">
        <is>
          <t>Yes</t>
        </is>
      </c>
      <c r="BX196" t="n">
        <v>46027</v>
      </c>
      <c r="BY196" t="inlineStr">
        <is>
          <t>SN scratched off slightly;</t>
        </is>
      </c>
      <c r="BZ196" t="inlineStr">
        <is>
          <t>Firmware Installed</t>
        </is>
      </c>
      <c r="CB196" t="inlineStr">
        <is>
          <t>Yes</t>
        </is>
      </c>
      <c r="CC196" t="inlineStr">
        <is>
          <t>No</t>
        </is>
      </c>
      <c r="CD196">
        <f>IF($Y196="","",IF((IF(AND($BR196&lt;&gt;"Yes",$BR196&lt;&gt;"N/A"),"Power Cable, ","")&amp;IF(AND($BS196&lt;&gt;"Yes",$BS196&lt;&gt;"N/A"),"Battery, ","")&amp;IF(AND($AD196&lt;&gt;"Yes",$AD196&lt;&gt;"N/A"),"Firmware Download, ","")&amp;IF(AND(OR($AD196="Yes",$AD196="N/A"),$AE196&lt;&gt;"Yes",$AE196&lt;&gt;"N/A"),"Firmware Install, ","")&amp;IF(AND($CB196&lt;&gt;"Yes",$CB196&lt;&gt;"N/A"),"Device ID, ","")&amp;IF(AND($CC196&lt;&gt;"Yes",$CC196&lt;&gt;"N/A"),"Epic Beans Relay, ",""))="","",LEFT(IF(AND($BR196&lt;&gt;"Yes",$BR196&lt;&gt;"N/A"),"Power Cable, ","")&amp;IF(AND($BS196&lt;&gt;"Yes",$BS196&lt;&gt;"N/A"),"Battery, ","")&amp;IF(AND($AD196&lt;&gt;"Yes",$AD196&lt;&gt;"N/A"),"Firmware Download, ","")&amp;IF(AND(OR($AD196="Yes",$AD196="N/A"),$AE196&lt;&gt;"Yes",$AE196&lt;&gt;"N/A"),"Firmware Install, ","")&amp;IF(AND($CB196&lt;&gt;"Yes",$CB196&lt;&gt;"N/A"),"Device ID, ","")&amp;IF(AND($CC196&lt;&gt;"Yes",$CC196&lt;&gt;"N/A"),"Epic Beans Relay, ",""),LEN(IF(AND($BR196&lt;&gt;"Yes",$BR196&lt;&gt;"N/A"),"Power Cable, ","")&amp;IF(AND($BS196&lt;&gt;"Yes",$BS196&lt;&gt;"N/A"),"Battery, ","")&amp;IF(AND($AD196&lt;&gt;"Yes",$AD196&lt;&gt;"N/A"),"Firmware Download, ","")&amp;IF(AND(OR($AD196="Yes",$AD196="N/A"),$AE196&lt;&gt;"Yes",$AE196&lt;&gt;"N/A"),"Firmware Install, ","")&amp;IF(AND($CB196&lt;&gt;"Yes",$CB196&lt;&gt;"N/A"),"Device ID, ","")&amp;IF(AND($CC196&lt;&gt;"Yes",$CC196&lt;&gt;"N/A"),"Epic Beans Relay, ",""))-2)))</f>
        <v/>
      </c>
      <c r="CE196">
        <f>IF($Y196="","",IF($CD196="","Yes","Blocked"))</f>
        <v/>
      </c>
      <c r="CP196">
        <f>IF($CO196="","",IFERROR(VLOOKUP($CO196,'01_Warehouse_Ledger'!$A:$N,4,FALSE),""))</f>
        <v/>
      </c>
      <c r="CQ196">
        <f>IF($CO196="","",IFERROR(VLOOKUP($CO196,'01_Warehouse_Ledger'!$A:$N,5,FALSE),""))</f>
        <v/>
      </c>
      <c r="CR196">
        <f>IF($CO196="","",IFERROR(VLOOKUP($CO196,'01_Warehouse_Ledger'!$A:$N,13,FALSE),""))</f>
        <v/>
      </c>
      <c r="CW196">
        <f>IF($S196="","",IF(UPPER(TRIM($S196))&lt;&gt;"PASS","",IF(LEN(TRIM($BY196))&gt;0,"NOTES_PRESENT",IF(LEN(TRIM($T196))=0,"SET_NA",IF(OR(LOWER(TRIM($T196))="na",LOWER(TRIM($T196))="n/a"),"OK","MANUAL_OVERRIDE")))))</f>
        <v/>
      </c>
    </row>
    <row r="197">
      <c r="A197" t="inlineStr">
        <is>
          <t>Neuron</t>
        </is>
      </c>
      <c r="B197" s="5" t="inlineStr">
        <is>
          <t>Yes</t>
        </is>
      </c>
      <c r="C197" t="inlineStr">
        <is>
          <t>Yes</t>
        </is>
      </c>
      <c r="D197">
        <f>IF($B197&lt;&gt;"Yes","",IF($C197="No","Yes",IF($C197="Yes","No","")))</f>
        <v/>
      </c>
      <c r="E197">
        <f>IF($A197="","",IF(OR(AND($V197&lt;&gt;"",LOWER(TRIM($V197))&lt;&gt;"n/a",LOWER(TRIM($V197))&lt;&gt;"na",SUMPRODUCT(--(UPPER(TRIM($V$2:$V$518))=UPPER(TRIM($V197))),--(TRIM($V$2:$V$518)&lt;&gt;""),--(LOWER(TRIM($V$2:$V$518))&lt;&gt;"n/a"),--(LOWER(TRIM($V$2:$V$518))&lt;&gt;"na"))&gt;1),AND($W197&lt;&gt;"",LOWER(TRIM($W197))&lt;&gt;"n/a",LOWER(TRIM($W197))&lt;&gt;"na",SUMPRODUCT(--(UPPER(TRIM($W$2:$W$518))=UPPER(TRIM($W197))),--(TRIM($W$2:$W$518)&lt;&gt;""),--(LOWER(TRIM($W$2:$W$518))&lt;&gt;"n/a"),--(LOWER(TRIM($W$2:$W$518))&lt;&gt;"na"))&gt;1),AND($X197&lt;&gt;"",LOWER(TRIM($X197))&lt;&gt;"n/a",LOWER(TRIM($X197))&lt;&gt;"na",SUMPRODUCT(--(UPPER(TRIM($X$2:$X$518))=UPPER(TRIM($X197))),--(TRIM($X$2:$X$518)&lt;&gt;""),--(LOWER(TRIM($X$2:$X$518))&lt;&gt;"n/a"),--(LOWER(TRIM($X$2:$X$518))&lt;&gt;"na"))&gt;1),AND($Y197&lt;&gt;"",LOWER(TRIM($Y197))&lt;&gt;"n/a",LOWER(TRIM($Y197))&lt;&gt;"na",SUMPRODUCT(--(UPPER(SUBSTITUTE(SUBSTITUTE(TRIM($Y$2:$Y$518),":",""),"-",""))=UPPER(SUBSTITUTE(SUBSTITUTE(TRIM($Y197),":",""),"-",""))),--(TRIM($Y$2:$Y$518)&lt;&gt;""),--(LOWER(TRIM($Y$2:$Y$518))&lt;&gt;"n/a"),--(LOWER(TRIM($Y$2:$Y$518))&lt;&gt;"na"))&gt;1),AND($AB197&lt;&gt;"",LOWER(TRIM($AB197))&lt;&gt;"n/a",LOWER(TRIM($AB197))&lt;&gt;"na",SUMPRODUCT(--(UPPER(TRIM($AB$2:$AB$518))=UPPER(TRIM($AB197))),--(TRIM($AB$2:$AB$518)&lt;&gt;""),--(LOWER(TRIM($AB$2:$AB$518))&lt;&gt;"n/a"),--(LOWER(TRIM($AB$2:$AB$518))&lt;&gt;"na"))&gt;1),AND($AH197&lt;&gt;"",LOWER(TRIM($AH197))&lt;&gt;"n/a",LOWER(TRIM($AH197))&lt;&gt;"na",SUMPRODUCT(--(UPPER(SUBSTITUTE(SUBSTITUTE(TRIM($AH$2:$AH$518),":",""),"-",""))=UPPER(SUBSTITUTE(SUBSTITUTE(TRIM($AH197),":",""),"-",""))),--(TRIM($AH$2:$AH$518)&lt;&gt;""),--(LOWER(TRIM($AH$2:$AH$518))&lt;&gt;"n/a"),--(LOWER(TRIM($AH$2:$AH$518))&lt;&gt;"na"))&gt;1),AND($AP197&lt;&gt;"",LOWER(TRIM($AP197))&lt;&gt;"n/a",LOWER(TRIM($AP197))&lt;&gt;"na",SUMPRODUCT(--(UPPER(TRIM($AP$2:$AP$518))=UPPER(TRIM($AP197))),--(TRIM($AP$2:$AP$518)&lt;&gt;""),--(LOWER(TRIM($AP$2:$AP$518))&lt;&gt;"n/a"),--(LOWER(TRIM($AP$2:$AP$518))&lt;&gt;"na"))&gt;1),AND($AQ197&lt;&gt;"",LOWER(TRIM($AQ197))&lt;&gt;"n/a",LOWER(TRIM($AQ197))&lt;&gt;"na",SUMPRODUCT(--(UPPER(TRIM($AQ$2:$AQ$518))=UPPER(TRIM($AQ197))),--(TRIM($AQ$2:$AQ$518)&lt;&gt;""),--(LOWER(TRIM($AQ$2:$AQ$518))&lt;&gt;"n/a"),--(LOWER(TRIM($AQ$2:$AQ$518))&lt;&gt;"na"))&gt;1)),"Yes","No"))</f>
        <v/>
      </c>
      <c r="F197">
        <f>IF(UPPER(TRIM($B197))&lt;&gt;"YES","", IF(OR(AND($V197&lt;&gt;"", LOWER(TRIM($V197))&lt;&gt;"n/a", LOWER(TRIM($V197))&lt;&gt;"na", SUMPRODUCT(--(UPPER(TRIM($V$2:$V$518))=UPPER(TRIM($V197))), --(UPPER(TRIM($B$2:$B$518))="YES"), --(UPPER(TRIM($G$2:$G$518)&amp;TRIM($I$2:$I$518)&amp;TRIM($J$2:$J$518))&lt;&gt;UPPER(TRIM($G197)&amp;TRIM($I197)&amp;TRIM($J197))))&gt;0), AND($W197&lt;&gt;"", LOWER(TRIM($W197))&lt;&gt;"n/a", LOWER(TRIM($W197))&lt;&gt;"na", SUMPRODUCT(--(UPPER(TRIM($W$2:$W$518))=UPPER(TRIM($W197))), --(UPPER(TRIM($B$2:$B$518))="YES"), --(UPPER(TRIM($G$2:$G$518)&amp;TRIM($I$2:$I$518)&amp;TRIM($J$2:$J$518))&lt;&gt;UPPER(TRIM($G197)&amp;TRIM($I197)&amp;TRIM($J197))))&gt;0), AND($X197&lt;&gt;"", LOWER(TRIM($X197))&lt;&gt;"n/a", LOWER(TRIM($X197))&lt;&gt;"na", SUMPRODUCT(--(UPPER(TRIM($X$2:$X$518))=UPPER(TRIM($X197))), --(UPPER(TRIM($B$2:$B$518))="YES"), --(UPPER(TRIM($G$2:$G$518)&amp;TRIM($I$2:$I$518)&amp;TRIM($J$2:$J$518))&lt;&gt;UPPER(TRIM($G197)&amp;TRIM($I197)&amp;TRIM($J197))))&gt;0), AND($Y197&lt;&gt;"", LOWER(TRIM($Y197))&lt;&gt;"n/a", LOWER(TRIM($Y197))&lt;&gt;"na", SUMPRODUCT(--(UPPER(SUBSTITUTE(SUBSTITUTE(TRIM($Y$2:$Y$518),":",""),"-",""))=UPPER(SUBSTITUTE(SUBSTITUTE(TRIM($Y197),":",""),"-",""))), --(UPPER(TRIM($B$2:$B$518))="YES"), --(UPPER(TRIM($G$2:$G$518)&amp;TRIM($I$2:$I$518)&amp;TRIM($J$2:$J$518))&lt;&gt;UPPER(TRIM($G197)&amp;TRIM($I197)&amp;TRIM($J197))))&gt;0), AND($AB197&lt;&gt;"", LOWER(TRIM($AB197))&lt;&gt;"n/a", LOWER(TRIM($AB197))&lt;&gt;"na", SUMPRODUCT(--(UPPER(TRIM($AB$2:$AB$518))=UPPER(TRIM($AB197))), --(UPPER(TRIM($B$2:$B$518))="YES"), --(UPPER(TRIM($G$2:$G$518)&amp;TRIM($I$2:$I$518)&amp;TRIM($J$2:$J$518))&lt;&gt;UPPER(TRIM($G197)&amp;TRIM($I197)&amp;TRIM($J197))))&gt;0), AND($AH197&lt;&gt;"", LOWER(TRIM($AH197))&lt;&gt;"n/a", LOWER(TRIM($AH197))&lt;&gt;"na", SUMPRODUCT(--(UPPER(SUBSTITUTE(SUBSTITUTE(TRIM($AH$2:$AH$518),":",""),"-",""))=UPPER(SUBSTITUTE(SUBSTITUTE(TRIM($AH197),":",""),"-",""))), --(UPPER(TRIM($B$2:$B$518))="YES"), --(UPPER(TRIM($G$2:$G$518)&amp;TRIM($I$2:$I$518)&amp;TRIM($J$2:$J$518))&lt;&gt;UPPER(TRIM($G197)&amp;TRIM($I197)&amp;TRIM($J197))))&gt;0), AND($AP197&lt;&gt;"", LOWER(TRIM($AP197))&lt;&gt;"n/a", LOWER(TRIM($AP197))&lt;&gt;"na", SUMPRODUCT(--(UPPER(TRIM($AP$2:$AP$518))=UPPER(TRIM($AP197))), --(UPPER(TRIM($B$2:$B$518))="YES"), --(UPPER(TRIM($G$2:$G$518)&amp;TRIM($I$2:$I$518)&amp;TRIM($J$2:$J$518))&lt;&gt;UPPER(TRIM($G197)&amp;TRIM($I197)&amp;TRIM($J197))))&gt;0), AND($AQ197&lt;&gt;"", LOWER(TRIM($AQ197))&lt;&gt;"n/a", LOWER(TRIM($AQ197))&lt;&gt;"na", SUMPRODUCT(--(UPPER(TRIM($AQ$2:$AQ$518))=UPPER(TRIM($AQ197))), --(UPPER(TRIM($B$2:$B$518))="YES"), --(UPPER(TRIM($G$2:$G$518)&amp;TRIM($I$2:$I$518)&amp;TRIM($J$2:$J$518))&lt;&gt;UPPER(TRIM($G197)&amp;TRIM($I197)&amp;TRIM($J197))))&gt;0)), "Yes", "No"))</f>
        <v/>
      </c>
      <c r="G197" t="inlineStr">
        <is>
          <t>LIJ SDF</t>
        </is>
      </c>
      <c r="H197" t="inlineStr">
        <is>
          <t>LIJ SDF</t>
        </is>
      </c>
      <c r="I197" t="inlineStr">
        <is>
          <t>Ground Level/Dialysis</t>
        </is>
      </c>
      <c r="J197" t="inlineStr">
        <is>
          <t>Open Patient Area</t>
        </is>
      </c>
      <c r="K197" t="n">
        <v>12</v>
      </c>
      <c r="L197" s="18" t="n">
        <v>46033</v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W197" t="inlineStr">
        <is>
          <t>n/a</t>
        </is>
      </c>
      <c r="X197" t="inlineStr">
        <is>
          <t>LIJ-SDF-MACH-L</t>
        </is>
      </c>
      <c r="Y197" t="inlineStr">
        <is>
          <t>A0F5097FEFFB</t>
        </is>
      </c>
      <c r="Z197" t="inlineStr">
        <is>
          <t>10.134.18.63</t>
        </is>
      </c>
      <c r="AA197" t="inlineStr">
        <is>
          <t>Yes</t>
        </is>
      </c>
      <c r="AB197" t="inlineStr">
        <is>
          <t>WA24406353</t>
        </is>
      </c>
      <c r="AC197" t="inlineStr">
        <is>
          <t>LIJ</t>
        </is>
      </c>
      <c r="AD197" t="inlineStr">
        <is>
          <t>Yes</t>
        </is>
      </c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  <c r="AI197" t="inlineStr">
        <is>
          <t>Dialysis Machine</t>
        </is>
      </c>
      <c r="AL197" t="inlineStr">
        <is>
          <t>BSM 050 D</t>
        </is>
      </c>
      <c r="AM197" t="inlineStr">
        <is>
          <t>Fresenius BlueStar</t>
        </is>
      </c>
      <c r="AN197" t="inlineStr">
        <is>
          <t>2008T</t>
        </is>
      </c>
      <c r="AO197" t="inlineStr">
        <is>
          <t>1T0S255982</t>
        </is>
      </c>
      <c r="AP197" t="inlineStr">
        <is>
          <t>n/a</t>
        </is>
      </c>
      <c r="AQ197" t="inlineStr">
        <is>
          <t>1T0S255982</t>
        </is>
      </c>
      <c r="AS197" t="inlineStr">
        <is>
          <t>B1-CFH</t>
        </is>
      </c>
      <c r="AX197" t="inlineStr">
        <is>
          <t>n/a</t>
        </is>
      </c>
      <c r="AY197" t="inlineStr">
        <is>
          <t>Fresenius BlueStar - 2008T</t>
        </is>
      </c>
      <c r="AZ197" t="inlineStr">
        <is>
          <t>n/a</t>
        </is>
      </c>
      <c r="BA197" t="inlineStr">
        <is>
          <t>n/a</t>
        </is>
      </c>
      <c r="BB197" t="inlineStr">
        <is>
          <t>n/a</t>
        </is>
      </c>
      <c r="BR197" t="inlineStr">
        <is>
          <t>Yes</t>
        </is>
      </c>
      <c r="BS197" t="inlineStr">
        <is>
          <t>Yes</t>
        </is>
      </c>
      <c r="BW197" t="inlineStr">
        <is>
          <t>Yes</t>
        </is>
      </c>
      <c r="BX197" t="n">
        <v>46027</v>
      </c>
      <c r="BZ197" t="inlineStr">
        <is>
          <t>Firmware Installed</t>
        </is>
      </c>
      <c r="CB197" t="inlineStr">
        <is>
          <t>Yes</t>
        </is>
      </c>
      <c r="CC197" t="inlineStr">
        <is>
          <t>No</t>
        </is>
      </c>
      <c r="CD197">
        <f>IF($Y197="","",IF((IF(AND($BR197&lt;&gt;"Yes",$BR197&lt;&gt;"N/A"),"Power Cable, ","")&amp;IF(AND($BS197&lt;&gt;"Yes",$BS197&lt;&gt;"N/A"),"Battery, ","")&amp;IF(AND($AD197&lt;&gt;"Yes",$AD197&lt;&gt;"N/A"),"Firmware Download, ","")&amp;IF(AND(OR($AD197="Yes",$AD197="N/A"),$AE197&lt;&gt;"Yes",$AE197&lt;&gt;"N/A"),"Firmware Install, ","")&amp;IF(AND($CB197&lt;&gt;"Yes",$CB197&lt;&gt;"N/A"),"Device ID, ","")&amp;IF(AND($CC197&lt;&gt;"Yes",$CC197&lt;&gt;"N/A"),"Epic Beans Relay, ",""))="","",LEFT(IF(AND($BR197&lt;&gt;"Yes",$BR197&lt;&gt;"N/A"),"Power Cable, ","")&amp;IF(AND($BS197&lt;&gt;"Yes",$BS197&lt;&gt;"N/A"),"Battery, ","")&amp;IF(AND($AD197&lt;&gt;"Yes",$AD197&lt;&gt;"N/A"),"Firmware Download, ","")&amp;IF(AND(OR($AD197="Yes",$AD197="N/A"),$AE197&lt;&gt;"Yes",$AE197&lt;&gt;"N/A"),"Firmware Install, ","")&amp;IF(AND($CB197&lt;&gt;"Yes",$CB197&lt;&gt;"N/A"),"Device ID, ","")&amp;IF(AND($CC197&lt;&gt;"Yes",$CC197&lt;&gt;"N/A"),"Epic Beans Relay, ",""),LEN(IF(AND($BR197&lt;&gt;"Yes",$BR197&lt;&gt;"N/A"),"Power Cable, ","")&amp;IF(AND($BS197&lt;&gt;"Yes",$BS197&lt;&gt;"N/A"),"Battery, ","")&amp;IF(AND($AD197&lt;&gt;"Yes",$AD197&lt;&gt;"N/A"),"Firmware Download, ","")&amp;IF(AND(OR($AD197="Yes",$AD197="N/A"),$AE197&lt;&gt;"Yes",$AE197&lt;&gt;"N/A"),"Firmware Install, ","")&amp;IF(AND($CB197&lt;&gt;"Yes",$CB197&lt;&gt;"N/A"),"Device ID, ","")&amp;IF(AND($CC197&lt;&gt;"Yes",$CC197&lt;&gt;"N/A"),"Epic Beans Relay, ",""))-2)))</f>
        <v/>
      </c>
      <c r="CE197">
        <f>IF($Y197="","",IF($CD197="","Yes","Blocked"))</f>
        <v/>
      </c>
      <c r="CP197">
        <f>IF($CO197="","",IFERROR(VLOOKUP($CO197,'01_Warehouse_Ledger'!$A:$N,4,FALSE),""))</f>
        <v/>
      </c>
      <c r="CQ197">
        <f>IF($CO197="","",IFERROR(VLOOKUP($CO197,'01_Warehouse_Ledger'!$A:$N,5,FALSE),""))</f>
        <v/>
      </c>
      <c r="CR197">
        <f>IF($CO197="","",IFERROR(VLOOKUP($CO197,'01_Warehouse_Ledger'!$A:$N,13,FALSE),""))</f>
        <v/>
      </c>
      <c r="CW197">
        <f>IF($S197="","",IF(UPPER(TRIM($S197))&lt;&gt;"PASS","",IF(LEN(TRIM($BY197))&gt;0,"NOTES_PRESENT",IF(LEN(TRIM($T197))=0,"SET_NA",IF(OR(LOWER(TRIM($T197))="na",LOWER(TRIM($T197))="n/a"),"OK","MANUAL_OVERRIDE")))))</f>
        <v/>
      </c>
    </row>
    <row r="198">
      <c r="A198" t="inlineStr">
        <is>
          <t>Neuron</t>
        </is>
      </c>
      <c r="B198" s="5" t="inlineStr">
        <is>
          <t>Yes</t>
        </is>
      </c>
      <c r="C198" t="inlineStr">
        <is>
          <t>Yes</t>
        </is>
      </c>
      <c r="D198">
        <f>IF($B198&lt;&gt;"Yes","",IF($C198="No","Yes",IF($C198="Yes","No","")))</f>
        <v/>
      </c>
      <c r="E198">
        <f>IF($A198="","",IF(OR(AND($V198&lt;&gt;"",LOWER(TRIM($V198))&lt;&gt;"n/a",LOWER(TRIM($V198))&lt;&gt;"na",SUMPRODUCT(--(UPPER(TRIM($V$2:$V$518))=UPPER(TRIM($V198))),--(TRIM($V$2:$V$518)&lt;&gt;""),--(LOWER(TRIM($V$2:$V$518))&lt;&gt;"n/a"),--(LOWER(TRIM($V$2:$V$518))&lt;&gt;"na"))&gt;1),AND($W198&lt;&gt;"",LOWER(TRIM($W198))&lt;&gt;"n/a",LOWER(TRIM($W198))&lt;&gt;"na",SUMPRODUCT(--(UPPER(TRIM($W$2:$W$518))=UPPER(TRIM($W198))),--(TRIM($W$2:$W$518)&lt;&gt;""),--(LOWER(TRIM($W$2:$W$518))&lt;&gt;"n/a"),--(LOWER(TRIM($W$2:$W$518))&lt;&gt;"na"))&gt;1),AND($X198&lt;&gt;"",LOWER(TRIM($X198))&lt;&gt;"n/a",LOWER(TRIM($X198))&lt;&gt;"na",SUMPRODUCT(--(UPPER(TRIM($X$2:$X$518))=UPPER(TRIM($X198))),--(TRIM($X$2:$X$518)&lt;&gt;""),--(LOWER(TRIM($X$2:$X$518))&lt;&gt;"n/a"),--(LOWER(TRIM($X$2:$X$518))&lt;&gt;"na"))&gt;1),AND($Y198&lt;&gt;"",LOWER(TRIM($Y198))&lt;&gt;"n/a",LOWER(TRIM($Y198))&lt;&gt;"na",SUMPRODUCT(--(UPPER(SUBSTITUTE(SUBSTITUTE(TRIM($Y$2:$Y$518),":",""),"-",""))=UPPER(SUBSTITUTE(SUBSTITUTE(TRIM($Y198),":",""),"-",""))),--(TRIM($Y$2:$Y$518)&lt;&gt;""),--(LOWER(TRIM($Y$2:$Y$518))&lt;&gt;"n/a"),--(LOWER(TRIM($Y$2:$Y$518))&lt;&gt;"na"))&gt;1),AND($AB198&lt;&gt;"",LOWER(TRIM($AB198))&lt;&gt;"n/a",LOWER(TRIM($AB198))&lt;&gt;"na",SUMPRODUCT(--(UPPER(TRIM($AB$2:$AB$518))=UPPER(TRIM($AB198))),--(TRIM($AB$2:$AB$518)&lt;&gt;""),--(LOWER(TRIM($AB$2:$AB$518))&lt;&gt;"n/a"),--(LOWER(TRIM($AB$2:$AB$518))&lt;&gt;"na"))&gt;1),AND($AH198&lt;&gt;"",LOWER(TRIM($AH198))&lt;&gt;"n/a",LOWER(TRIM($AH198))&lt;&gt;"na",SUMPRODUCT(--(UPPER(SUBSTITUTE(SUBSTITUTE(TRIM($AH$2:$AH$518),":",""),"-",""))=UPPER(SUBSTITUTE(SUBSTITUTE(TRIM($AH198),":",""),"-",""))),--(TRIM($AH$2:$AH$518)&lt;&gt;""),--(LOWER(TRIM($AH$2:$AH$518))&lt;&gt;"n/a"),--(LOWER(TRIM($AH$2:$AH$518))&lt;&gt;"na"))&gt;1),AND($AP198&lt;&gt;"",LOWER(TRIM($AP198))&lt;&gt;"n/a",LOWER(TRIM($AP198))&lt;&gt;"na",SUMPRODUCT(--(UPPER(TRIM($AP$2:$AP$518))=UPPER(TRIM($AP198))),--(TRIM($AP$2:$AP$518)&lt;&gt;""),--(LOWER(TRIM($AP$2:$AP$518))&lt;&gt;"n/a"),--(LOWER(TRIM($AP$2:$AP$518))&lt;&gt;"na"))&gt;1),AND($AQ198&lt;&gt;"",LOWER(TRIM($AQ198))&lt;&gt;"n/a",LOWER(TRIM($AQ198))&lt;&gt;"na",SUMPRODUCT(--(UPPER(TRIM($AQ$2:$AQ$518))=UPPER(TRIM($AQ198))),--(TRIM($AQ$2:$AQ$518)&lt;&gt;""),--(LOWER(TRIM($AQ$2:$AQ$518))&lt;&gt;"n/a"),--(LOWER(TRIM($AQ$2:$AQ$518))&lt;&gt;"na"))&gt;1)),"Yes","No"))</f>
        <v/>
      </c>
      <c r="F198">
        <f>IF(UPPER(TRIM($B198))&lt;&gt;"YES","", IF(OR(AND($V198&lt;&gt;"", LOWER(TRIM($V198))&lt;&gt;"n/a", LOWER(TRIM($V198))&lt;&gt;"na", SUMPRODUCT(--(UPPER(TRIM($V$2:$V$518))=UPPER(TRIM($V198))), --(UPPER(TRIM($B$2:$B$518))="YES"), --(UPPER(TRIM($G$2:$G$518)&amp;TRIM($I$2:$I$518)&amp;TRIM($J$2:$J$518))&lt;&gt;UPPER(TRIM($G198)&amp;TRIM($I198)&amp;TRIM($J198))))&gt;0), AND($W198&lt;&gt;"", LOWER(TRIM($W198))&lt;&gt;"n/a", LOWER(TRIM($W198))&lt;&gt;"na", SUMPRODUCT(--(UPPER(TRIM($W$2:$W$518))=UPPER(TRIM($W198))), --(UPPER(TRIM($B$2:$B$518))="YES"), --(UPPER(TRIM($G$2:$G$518)&amp;TRIM($I$2:$I$518)&amp;TRIM($J$2:$J$518))&lt;&gt;UPPER(TRIM($G198)&amp;TRIM($I198)&amp;TRIM($J198))))&gt;0), AND($X198&lt;&gt;"", LOWER(TRIM($X198))&lt;&gt;"n/a", LOWER(TRIM($X198))&lt;&gt;"na", SUMPRODUCT(--(UPPER(TRIM($X$2:$X$518))=UPPER(TRIM($X198))), --(UPPER(TRIM($B$2:$B$518))="YES"), --(UPPER(TRIM($G$2:$G$518)&amp;TRIM($I$2:$I$518)&amp;TRIM($J$2:$J$518))&lt;&gt;UPPER(TRIM($G198)&amp;TRIM($I198)&amp;TRIM($J198))))&gt;0), AND($Y198&lt;&gt;"", LOWER(TRIM($Y198))&lt;&gt;"n/a", LOWER(TRIM($Y198))&lt;&gt;"na", SUMPRODUCT(--(UPPER(SUBSTITUTE(SUBSTITUTE(TRIM($Y$2:$Y$518),":",""),"-",""))=UPPER(SUBSTITUTE(SUBSTITUTE(TRIM($Y198),":",""),"-",""))), --(UPPER(TRIM($B$2:$B$518))="YES"), --(UPPER(TRIM($G$2:$G$518)&amp;TRIM($I$2:$I$518)&amp;TRIM($J$2:$J$518))&lt;&gt;UPPER(TRIM($G198)&amp;TRIM($I198)&amp;TRIM($J198))))&gt;0), AND($AB198&lt;&gt;"", LOWER(TRIM($AB198))&lt;&gt;"n/a", LOWER(TRIM($AB198))&lt;&gt;"na", SUMPRODUCT(--(UPPER(TRIM($AB$2:$AB$518))=UPPER(TRIM($AB198))), --(UPPER(TRIM($B$2:$B$518))="YES"), --(UPPER(TRIM($G$2:$G$518)&amp;TRIM($I$2:$I$518)&amp;TRIM($J$2:$J$518))&lt;&gt;UPPER(TRIM($G198)&amp;TRIM($I198)&amp;TRIM($J198))))&gt;0), AND($AH198&lt;&gt;"", LOWER(TRIM($AH198))&lt;&gt;"n/a", LOWER(TRIM($AH198))&lt;&gt;"na", SUMPRODUCT(--(UPPER(SUBSTITUTE(SUBSTITUTE(TRIM($AH$2:$AH$518),":",""),"-",""))=UPPER(SUBSTITUTE(SUBSTITUTE(TRIM($AH198),":",""),"-",""))), --(UPPER(TRIM($B$2:$B$518))="YES"), --(UPPER(TRIM($G$2:$G$518)&amp;TRIM($I$2:$I$518)&amp;TRIM($J$2:$J$518))&lt;&gt;UPPER(TRIM($G198)&amp;TRIM($I198)&amp;TRIM($J198))))&gt;0), AND($AP198&lt;&gt;"", LOWER(TRIM($AP198))&lt;&gt;"n/a", LOWER(TRIM($AP198))&lt;&gt;"na", SUMPRODUCT(--(UPPER(TRIM($AP$2:$AP$518))=UPPER(TRIM($AP198))), --(UPPER(TRIM($B$2:$B$518))="YES"), --(UPPER(TRIM($G$2:$G$518)&amp;TRIM($I$2:$I$518)&amp;TRIM($J$2:$J$518))&lt;&gt;UPPER(TRIM($G198)&amp;TRIM($I198)&amp;TRIM($J198))))&gt;0), AND($AQ198&lt;&gt;"", LOWER(TRIM($AQ198))&lt;&gt;"n/a", LOWER(TRIM($AQ198))&lt;&gt;"na", SUMPRODUCT(--(UPPER(TRIM($AQ$2:$AQ$518))=UPPER(TRIM($AQ198))), --(UPPER(TRIM($B$2:$B$518))="YES"), --(UPPER(TRIM($G$2:$G$518)&amp;TRIM($I$2:$I$518)&amp;TRIM($J$2:$J$518))&lt;&gt;UPPER(TRIM($G198)&amp;TRIM($I198)&amp;TRIM($J198))))&gt;0)), "Yes", "No"))</f>
        <v/>
      </c>
      <c r="G198" t="inlineStr">
        <is>
          <t>LIJ SDF</t>
        </is>
      </c>
      <c r="H198" t="inlineStr">
        <is>
          <t>LIJ SDF</t>
        </is>
      </c>
      <c r="I198" t="inlineStr">
        <is>
          <t>Ground Level/Dialysis</t>
        </is>
      </c>
      <c r="J198" t="inlineStr">
        <is>
          <t>Open Patient Area</t>
        </is>
      </c>
      <c r="K198" t="n">
        <v>13</v>
      </c>
      <c r="L198" s="18" t="n">
        <v>46033</v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W198" t="inlineStr">
        <is>
          <t>n/a</t>
        </is>
      </c>
      <c r="X198" t="inlineStr">
        <is>
          <t>LIJ-SDF-MACH-M</t>
        </is>
      </c>
      <c r="Y198" t="inlineStr">
        <is>
          <t>A0F5097FEF3A</t>
        </is>
      </c>
      <c r="Z198" t="inlineStr">
        <is>
          <t>10.134.18.64</t>
        </is>
      </c>
      <c r="AA198" t="inlineStr">
        <is>
          <t>Yes</t>
        </is>
      </c>
      <c r="AB198" t="inlineStr">
        <is>
          <t>WA24406365</t>
        </is>
      </c>
      <c r="AC198" t="inlineStr">
        <is>
          <t>LIJ</t>
        </is>
      </c>
      <c r="AD198" t="inlineStr">
        <is>
          <t>Yes</t>
        </is>
      </c>
      <c r="AE198" t="inlineStr">
        <is>
          <t>Yes</t>
        </is>
      </c>
      <c r="AF198" t="inlineStr">
        <is>
          <t>Yes</t>
        </is>
      </c>
      <c r="AG198" t="inlineStr">
        <is>
          <t>Yes</t>
        </is>
      </c>
      <c r="AI198" t="inlineStr">
        <is>
          <t>Dialysis Machine</t>
        </is>
      </c>
      <c r="AL198" t="inlineStr">
        <is>
          <t>BSM 038 A</t>
        </is>
      </c>
      <c r="AM198" t="inlineStr">
        <is>
          <t>Fresenius BlueStar</t>
        </is>
      </c>
      <c r="AN198" t="inlineStr">
        <is>
          <t>2008T</t>
        </is>
      </c>
      <c r="AO198" t="inlineStr">
        <is>
          <t>0T0S248191</t>
        </is>
      </c>
      <c r="AP198" t="inlineStr">
        <is>
          <t>n/a</t>
        </is>
      </c>
      <c r="AQ198" t="inlineStr">
        <is>
          <t>0T0S248191</t>
        </is>
      </c>
      <c r="AS198" t="inlineStr">
        <is>
          <t>B1-CFH</t>
        </is>
      </c>
      <c r="AX198" t="inlineStr">
        <is>
          <t>n/a</t>
        </is>
      </c>
      <c r="AY198" t="inlineStr">
        <is>
          <t>Fresenius BlueStar - 2008T</t>
        </is>
      </c>
      <c r="AZ198" t="inlineStr">
        <is>
          <t>n/a</t>
        </is>
      </c>
      <c r="BA198" t="inlineStr">
        <is>
          <t>n/a</t>
        </is>
      </c>
      <c r="BB198" t="inlineStr">
        <is>
          <t>n/a</t>
        </is>
      </c>
      <c r="BR198" t="inlineStr">
        <is>
          <t>Yes</t>
        </is>
      </c>
      <c r="BS198" t="inlineStr">
        <is>
          <t>Yes</t>
        </is>
      </c>
      <c r="BW198" t="inlineStr">
        <is>
          <t>Yes</t>
        </is>
      </c>
      <c r="BX198" t="n">
        <v>46027</v>
      </c>
      <c r="BZ198" t="inlineStr">
        <is>
          <t>Firmware Installed</t>
        </is>
      </c>
      <c r="CB198" t="inlineStr">
        <is>
          <t>Yes</t>
        </is>
      </c>
      <c r="CC198" t="inlineStr">
        <is>
          <t>No</t>
        </is>
      </c>
      <c r="CD198">
        <f>IF($Y198="","",IF((IF(AND($BR198&lt;&gt;"Yes",$BR198&lt;&gt;"N/A"),"Power Cable, ","")&amp;IF(AND($BS198&lt;&gt;"Yes",$BS198&lt;&gt;"N/A"),"Battery, ","")&amp;IF(AND($AD198&lt;&gt;"Yes",$AD198&lt;&gt;"N/A"),"Firmware Download, ","")&amp;IF(AND(OR($AD198="Yes",$AD198="N/A"),$AE198&lt;&gt;"Yes",$AE198&lt;&gt;"N/A"),"Firmware Install, ","")&amp;IF(AND($CB198&lt;&gt;"Yes",$CB198&lt;&gt;"N/A"),"Device ID, ","")&amp;IF(AND($CC198&lt;&gt;"Yes",$CC198&lt;&gt;"N/A"),"Epic Beans Relay, ",""))="","",LEFT(IF(AND($BR198&lt;&gt;"Yes",$BR198&lt;&gt;"N/A"),"Power Cable, ","")&amp;IF(AND($BS198&lt;&gt;"Yes",$BS198&lt;&gt;"N/A"),"Battery, ","")&amp;IF(AND($AD198&lt;&gt;"Yes",$AD198&lt;&gt;"N/A"),"Firmware Download, ","")&amp;IF(AND(OR($AD198="Yes",$AD198="N/A"),$AE198&lt;&gt;"Yes",$AE198&lt;&gt;"N/A"),"Firmware Install, ","")&amp;IF(AND($CB198&lt;&gt;"Yes",$CB198&lt;&gt;"N/A"),"Device ID, ","")&amp;IF(AND($CC198&lt;&gt;"Yes",$CC198&lt;&gt;"N/A"),"Epic Beans Relay, ",""),LEN(IF(AND($BR198&lt;&gt;"Yes",$BR198&lt;&gt;"N/A"),"Power Cable, ","")&amp;IF(AND($BS198&lt;&gt;"Yes",$BS198&lt;&gt;"N/A"),"Battery, ","")&amp;IF(AND($AD198&lt;&gt;"Yes",$AD198&lt;&gt;"N/A"),"Firmware Download, ","")&amp;IF(AND(OR($AD198="Yes",$AD198="N/A"),$AE198&lt;&gt;"Yes",$AE198&lt;&gt;"N/A"),"Firmware Install, ","")&amp;IF(AND($CB198&lt;&gt;"Yes",$CB198&lt;&gt;"N/A"),"Device ID, ","")&amp;IF(AND($CC198&lt;&gt;"Yes",$CC198&lt;&gt;"N/A"),"Epic Beans Relay, ",""))-2)))</f>
        <v/>
      </c>
      <c r="CE198">
        <f>IF($Y198="","",IF($CD198="","Yes","Blocked"))</f>
        <v/>
      </c>
      <c r="CP198">
        <f>IF($CO198="","",IFERROR(VLOOKUP($CO198,'01_Warehouse_Ledger'!$A:$N,4,FALSE),""))</f>
        <v/>
      </c>
      <c r="CQ198">
        <f>IF($CO198="","",IFERROR(VLOOKUP($CO198,'01_Warehouse_Ledger'!$A:$N,5,FALSE),""))</f>
        <v/>
      </c>
      <c r="CR198">
        <f>IF($CO198="","",IFERROR(VLOOKUP($CO198,'01_Warehouse_Ledger'!$A:$N,13,FALSE),""))</f>
        <v/>
      </c>
      <c r="CW198">
        <f>IF($S198="","",IF(UPPER(TRIM($S198))&lt;&gt;"PASS","",IF(LEN(TRIM($BY198))&gt;0,"NOTES_PRESENT",IF(LEN(TRIM($T198))=0,"SET_NA",IF(OR(LOWER(TRIM($T198))="na",LOWER(TRIM($T198))="n/a"),"OK","MANUAL_OVERRIDE")))))</f>
        <v/>
      </c>
    </row>
    <row r="199">
      <c r="A199" t="inlineStr">
        <is>
          <t>Neuron</t>
        </is>
      </c>
      <c r="B199" s="5" t="inlineStr">
        <is>
          <t>Yes</t>
        </is>
      </c>
      <c r="C199" t="inlineStr">
        <is>
          <t>Yes</t>
        </is>
      </c>
      <c r="D199">
        <f>IF($B199&lt;&gt;"Yes","",IF($C199="No","Yes",IF($C199="Yes","No","")))</f>
        <v/>
      </c>
      <c r="E199">
        <f>IF($A199="","",IF(OR(AND($V199&lt;&gt;"",LOWER(TRIM($V199))&lt;&gt;"n/a",LOWER(TRIM($V199))&lt;&gt;"na",SUMPRODUCT(--(UPPER(TRIM($V$2:$V$518))=UPPER(TRIM($V199))),--(TRIM($V$2:$V$518)&lt;&gt;""),--(LOWER(TRIM($V$2:$V$518))&lt;&gt;"n/a"),--(LOWER(TRIM($V$2:$V$518))&lt;&gt;"na"))&gt;1),AND($W199&lt;&gt;"",LOWER(TRIM($W199))&lt;&gt;"n/a",LOWER(TRIM($W199))&lt;&gt;"na",SUMPRODUCT(--(UPPER(TRIM($W$2:$W$518))=UPPER(TRIM($W199))),--(TRIM($W$2:$W$518)&lt;&gt;""),--(LOWER(TRIM($W$2:$W$518))&lt;&gt;"n/a"),--(LOWER(TRIM($W$2:$W$518))&lt;&gt;"na"))&gt;1),AND($X199&lt;&gt;"",LOWER(TRIM($X199))&lt;&gt;"n/a",LOWER(TRIM($X199))&lt;&gt;"na",SUMPRODUCT(--(UPPER(TRIM($X$2:$X$518))=UPPER(TRIM($X199))),--(TRIM($X$2:$X$518)&lt;&gt;""),--(LOWER(TRIM($X$2:$X$518))&lt;&gt;"n/a"),--(LOWER(TRIM($X$2:$X$518))&lt;&gt;"na"))&gt;1),AND($Y199&lt;&gt;"",LOWER(TRIM($Y199))&lt;&gt;"n/a",LOWER(TRIM($Y199))&lt;&gt;"na",SUMPRODUCT(--(UPPER(SUBSTITUTE(SUBSTITUTE(TRIM($Y$2:$Y$518),":",""),"-",""))=UPPER(SUBSTITUTE(SUBSTITUTE(TRIM($Y199),":",""),"-",""))),--(TRIM($Y$2:$Y$518)&lt;&gt;""),--(LOWER(TRIM($Y$2:$Y$518))&lt;&gt;"n/a"),--(LOWER(TRIM($Y$2:$Y$518))&lt;&gt;"na"))&gt;1),AND($AB199&lt;&gt;"",LOWER(TRIM($AB199))&lt;&gt;"n/a",LOWER(TRIM($AB199))&lt;&gt;"na",SUMPRODUCT(--(UPPER(TRIM($AB$2:$AB$518))=UPPER(TRIM($AB199))),--(TRIM($AB$2:$AB$518)&lt;&gt;""),--(LOWER(TRIM($AB$2:$AB$518))&lt;&gt;"n/a"),--(LOWER(TRIM($AB$2:$AB$518))&lt;&gt;"na"))&gt;1),AND($AH199&lt;&gt;"",LOWER(TRIM($AH199))&lt;&gt;"n/a",LOWER(TRIM($AH199))&lt;&gt;"na",SUMPRODUCT(--(UPPER(SUBSTITUTE(SUBSTITUTE(TRIM($AH$2:$AH$518),":",""),"-",""))=UPPER(SUBSTITUTE(SUBSTITUTE(TRIM($AH199),":",""),"-",""))),--(TRIM($AH$2:$AH$518)&lt;&gt;""),--(LOWER(TRIM($AH$2:$AH$518))&lt;&gt;"n/a"),--(LOWER(TRIM($AH$2:$AH$518))&lt;&gt;"na"))&gt;1),AND($AP199&lt;&gt;"",LOWER(TRIM($AP199))&lt;&gt;"n/a",LOWER(TRIM($AP199))&lt;&gt;"na",SUMPRODUCT(--(UPPER(TRIM($AP$2:$AP$518))=UPPER(TRIM($AP199))),--(TRIM($AP$2:$AP$518)&lt;&gt;""),--(LOWER(TRIM($AP$2:$AP$518))&lt;&gt;"n/a"),--(LOWER(TRIM($AP$2:$AP$518))&lt;&gt;"na"))&gt;1),AND($AQ199&lt;&gt;"",LOWER(TRIM($AQ199))&lt;&gt;"n/a",LOWER(TRIM($AQ199))&lt;&gt;"na",SUMPRODUCT(--(UPPER(TRIM($AQ$2:$AQ$518))=UPPER(TRIM($AQ199))),--(TRIM($AQ$2:$AQ$518)&lt;&gt;""),--(LOWER(TRIM($AQ$2:$AQ$518))&lt;&gt;"n/a"),--(LOWER(TRIM($AQ$2:$AQ$518))&lt;&gt;"na"))&gt;1)),"Yes","No"))</f>
        <v/>
      </c>
      <c r="F199">
        <f>IF(UPPER(TRIM($B199))&lt;&gt;"YES","", IF(OR(AND($V199&lt;&gt;"", LOWER(TRIM($V199))&lt;&gt;"n/a", LOWER(TRIM($V199))&lt;&gt;"na", SUMPRODUCT(--(UPPER(TRIM($V$2:$V$518))=UPPER(TRIM($V199))), --(UPPER(TRIM($B$2:$B$518))="YES"), --(UPPER(TRIM($G$2:$G$518)&amp;TRIM($I$2:$I$518)&amp;TRIM($J$2:$J$518))&lt;&gt;UPPER(TRIM($G199)&amp;TRIM($I199)&amp;TRIM($J199))))&gt;0), AND($W199&lt;&gt;"", LOWER(TRIM($W199))&lt;&gt;"n/a", LOWER(TRIM($W199))&lt;&gt;"na", SUMPRODUCT(--(UPPER(TRIM($W$2:$W$518))=UPPER(TRIM($W199))), --(UPPER(TRIM($B$2:$B$518))="YES"), --(UPPER(TRIM($G$2:$G$518)&amp;TRIM($I$2:$I$518)&amp;TRIM($J$2:$J$518))&lt;&gt;UPPER(TRIM($G199)&amp;TRIM($I199)&amp;TRIM($J199))))&gt;0), AND($X199&lt;&gt;"", LOWER(TRIM($X199))&lt;&gt;"n/a", LOWER(TRIM($X199))&lt;&gt;"na", SUMPRODUCT(--(UPPER(TRIM($X$2:$X$518))=UPPER(TRIM($X199))), --(UPPER(TRIM($B$2:$B$518))="YES"), --(UPPER(TRIM($G$2:$G$518)&amp;TRIM($I$2:$I$518)&amp;TRIM($J$2:$J$518))&lt;&gt;UPPER(TRIM($G199)&amp;TRIM($I199)&amp;TRIM($J199))))&gt;0), AND($Y199&lt;&gt;"", LOWER(TRIM($Y199))&lt;&gt;"n/a", LOWER(TRIM($Y199))&lt;&gt;"na", SUMPRODUCT(--(UPPER(SUBSTITUTE(SUBSTITUTE(TRIM($Y$2:$Y$518),":",""),"-",""))=UPPER(SUBSTITUTE(SUBSTITUTE(TRIM($Y199),":",""),"-",""))), --(UPPER(TRIM($B$2:$B$518))="YES"), --(UPPER(TRIM($G$2:$G$518)&amp;TRIM($I$2:$I$518)&amp;TRIM($J$2:$J$518))&lt;&gt;UPPER(TRIM($G199)&amp;TRIM($I199)&amp;TRIM($J199))))&gt;0), AND($AB199&lt;&gt;"", LOWER(TRIM($AB199))&lt;&gt;"n/a", LOWER(TRIM($AB199))&lt;&gt;"na", SUMPRODUCT(--(UPPER(TRIM($AB$2:$AB$518))=UPPER(TRIM($AB199))), --(UPPER(TRIM($B$2:$B$518))="YES"), --(UPPER(TRIM($G$2:$G$518)&amp;TRIM($I$2:$I$518)&amp;TRIM($J$2:$J$518))&lt;&gt;UPPER(TRIM($G199)&amp;TRIM($I199)&amp;TRIM($J199))))&gt;0), AND($AH199&lt;&gt;"", LOWER(TRIM($AH199))&lt;&gt;"n/a", LOWER(TRIM($AH199))&lt;&gt;"na", SUMPRODUCT(--(UPPER(SUBSTITUTE(SUBSTITUTE(TRIM($AH$2:$AH$518),":",""),"-",""))=UPPER(SUBSTITUTE(SUBSTITUTE(TRIM($AH199),":",""),"-",""))), --(UPPER(TRIM($B$2:$B$518))="YES"), --(UPPER(TRIM($G$2:$G$518)&amp;TRIM($I$2:$I$518)&amp;TRIM($J$2:$J$518))&lt;&gt;UPPER(TRIM($G199)&amp;TRIM($I199)&amp;TRIM($J199))))&gt;0), AND($AP199&lt;&gt;"", LOWER(TRIM($AP199))&lt;&gt;"n/a", LOWER(TRIM($AP199))&lt;&gt;"na", SUMPRODUCT(--(UPPER(TRIM($AP$2:$AP$518))=UPPER(TRIM($AP199))), --(UPPER(TRIM($B$2:$B$518))="YES"), --(UPPER(TRIM($G$2:$G$518)&amp;TRIM($I$2:$I$518)&amp;TRIM($J$2:$J$518))&lt;&gt;UPPER(TRIM($G199)&amp;TRIM($I199)&amp;TRIM($J199))))&gt;0), AND($AQ199&lt;&gt;"", LOWER(TRIM($AQ199))&lt;&gt;"n/a", LOWER(TRIM($AQ199))&lt;&gt;"na", SUMPRODUCT(--(UPPER(TRIM($AQ$2:$AQ$518))=UPPER(TRIM($AQ199))), --(UPPER(TRIM($B$2:$B$518))="YES"), --(UPPER(TRIM($G$2:$G$518)&amp;TRIM($I$2:$I$518)&amp;TRIM($J$2:$J$518))&lt;&gt;UPPER(TRIM($G199)&amp;TRIM($I199)&amp;TRIM($J199))))&gt;0)), "Yes", "No"))</f>
        <v/>
      </c>
      <c r="G199" t="inlineStr">
        <is>
          <t>LIJ SDF</t>
        </is>
      </c>
      <c r="H199" t="inlineStr">
        <is>
          <t>LIJ SDF</t>
        </is>
      </c>
      <c r="I199" t="inlineStr">
        <is>
          <t>Ground Level/Dialysis</t>
        </is>
      </c>
      <c r="J199" t="inlineStr">
        <is>
          <t>Open Patient Area</t>
        </is>
      </c>
      <c r="K199" t="n">
        <v>14</v>
      </c>
      <c r="L199" s="18" t="n">
        <v>46033</v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W199" t="inlineStr">
        <is>
          <t>n/a</t>
        </is>
      </c>
      <c r="X199" t="inlineStr">
        <is>
          <t>LIJ-SDF-MACH-N</t>
        </is>
      </c>
      <c r="Y199" t="inlineStr">
        <is>
          <t>A0F5097B98D9</t>
        </is>
      </c>
      <c r="Z199" t="inlineStr">
        <is>
          <t>10.134.18.65</t>
        </is>
      </c>
      <c r="AA199" t="inlineStr">
        <is>
          <t>Yes</t>
        </is>
      </c>
      <c r="AB199" t="inlineStr">
        <is>
          <t>WA25300237</t>
        </is>
      </c>
      <c r="AC199" t="inlineStr">
        <is>
          <t>LIJ</t>
        </is>
      </c>
      <c r="AD199" t="inlineStr">
        <is>
          <t>Yes</t>
        </is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  <c r="AI199" t="inlineStr">
        <is>
          <t>Dialysis Machine</t>
        </is>
      </c>
      <c r="AL199" t="inlineStr">
        <is>
          <t>BSM 038 B</t>
        </is>
      </c>
      <c r="AM199" t="inlineStr">
        <is>
          <t>Fresenius BlueStar</t>
        </is>
      </c>
      <c r="AN199" t="inlineStr">
        <is>
          <t>2008T</t>
        </is>
      </c>
      <c r="AO199" t="inlineStr">
        <is>
          <t>6T0S163895</t>
        </is>
      </c>
      <c r="AP199" t="inlineStr">
        <is>
          <t>n/a</t>
        </is>
      </c>
      <c r="AQ199" t="inlineStr">
        <is>
          <t>6T0S163895</t>
        </is>
      </c>
      <c r="AS199" t="inlineStr">
        <is>
          <t>B1-CFH</t>
        </is>
      </c>
      <c r="AX199" t="inlineStr">
        <is>
          <t>n/a</t>
        </is>
      </c>
      <c r="AY199" t="inlineStr">
        <is>
          <t>Fresenius BlueStar - 2008T</t>
        </is>
      </c>
      <c r="AZ199" t="inlineStr">
        <is>
          <t>n/a</t>
        </is>
      </c>
      <c r="BA199" t="inlineStr">
        <is>
          <t>n/a</t>
        </is>
      </c>
      <c r="BB199" t="inlineStr">
        <is>
          <t>n/a</t>
        </is>
      </c>
      <c r="BR199" t="inlineStr">
        <is>
          <t>Yes</t>
        </is>
      </c>
      <c r="BS199" t="inlineStr">
        <is>
          <t>Yes</t>
        </is>
      </c>
      <c r="BW199" t="inlineStr">
        <is>
          <t>Yes</t>
        </is>
      </c>
      <c r="BX199" t="n">
        <v>46027</v>
      </c>
      <c r="BZ199" t="inlineStr">
        <is>
          <t>Firmware Installed</t>
        </is>
      </c>
      <c r="CB199" t="inlineStr">
        <is>
          <t>Yes</t>
        </is>
      </c>
      <c r="CC199" t="inlineStr">
        <is>
          <t>No</t>
        </is>
      </c>
      <c r="CD199">
        <f>IF($Y199="","",IF((IF(AND($BR199&lt;&gt;"Yes",$BR199&lt;&gt;"N/A"),"Power Cable, ","")&amp;IF(AND($BS199&lt;&gt;"Yes",$BS199&lt;&gt;"N/A"),"Battery, ","")&amp;IF(AND($AD199&lt;&gt;"Yes",$AD199&lt;&gt;"N/A"),"Firmware Download, ","")&amp;IF(AND(OR($AD199="Yes",$AD199="N/A"),$AE199&lt;&gt;"Yes",$AE199&lt;&gt;"N/A"),"Firmware Install, ","")&amp;IF(AND($CB199&lt;&gt;"Yes",$CB199&lt;&gt;"N/A"),"Device ID, ","")&amp;IF(AND($CC199&lt;&gt;"Yes",$CC199&lt;&gt;"N/A"),"Epic Beans Relay, ",""))="","",LEFT(IF(AND($BR199&lt;&gt;"Yes",$BR199&lt;&gt;"N/A"),"Power Cable, ","")&amp;IF(AND($BS199&lt;&gt;"Yes",$BS199&lt;&gt;"N/A"),"Battery, ","")&amp;IF(AND($AD199&lt;&gt;"Yes",$AD199&lt;&gt;"N/A"),"Firmware Download, ","")&amp;IF(AND(OR($AD199="Yes",$AD199="N/A"),$AE199&lt;&gt;"Yes",$AE199&lt;&gt;"N/A"),"Firmware Install, ","")&amp;IF(AND($CB199&lt;&gt;"Yes",$CB199&lt;&gt;"N/A"),"Device ID, ","")&amp;IF(AND($CC199&lt;&gt;"Yes",$CC199&lt;&gt;"N/A"),"Epic Beans Relay, ",""),LEN(IF(AND($BR199&lt;&gt;"Yes",$BR199&lt;&gt;"N/A"),"Power Cable, ","")&amp;IF(AND($BS199&lt;&gt;"Yes",$BS199&lt;&gt;"N/A"),"Battery, ","")&amp;IF(AND($AD199&lt;&gt;"Yes",$AD199&lt;&gt;"N/A"),"Firmware Download, ","")&amp;IF(AND(OR($AD199="Yes",$AD199="N/A"),$AE199&lt;&gt;"Yes",$AE199&lt;&gt;"N/A"),"Firmware Install, ","")&amp;IF(AND($CB199&lt;&gt;"Yes",$CB199&lt;&gt;"N/A"),"Device ID, ","")&amp;IF(AND($CC199&lt;&gt;"Yes",$CC199&lt;&gt;"N/A"),"Epic Beans Relay, ",""))-2)))</f>
        <v/>
      </c>
      <c r="CE199">
        <f>IF($Y199="","",IF($CD199="","Yes","Blocked"))</f>
        <v/>
      </c>
      <c r="CP199">
        <f>IF($CO199="","",IFERROR(VLOOKUP($CO199,'01_Warehouse_Ledger'!$A:$N,4,FALSE),""))</f>
        <v/>
      </c>
      <c r="CQ199">
        <f>IF($CO199="","",IFERROR(VLOOKUP($CO199,'01_Warehouse_Ledger'!$A:$N,5,FALSE),""))</f>
        <v/>
      </c>
      <c r="CR199">
        <f>IF($CO199="","",IFERROR(VLOOKUP($CO199,'01_Warehouse_Ledger'!$A:$N,13,FALSE),""))</f>
        <v/>
      </c>
      <c r="CW199">
        <f>IF($S199="","",IF(UPPER(TRIM($S199))&lt;&gt;"PASS","",IF(LEN(TRIM($BY199))&gt;0,"NOTES_PRESENT",IF(LEN(TRIM($T199))=0,"SET_NA",IF(OR(LOWER(TRIM($T199))="na",LOWER(TRIM($T199))="n/a"),"OK","MANUAL_OVERRIDE")))))</f>
        <v/>
      </c>
    </row>
    <row r="200">
      <c r="A200" t="inlineStr">
        <is>
          <t>Neuron</t>
        </is>
      </c>
      <c r="B200" s="5" t="inlineStr">
        <is>
          <t>Yes</t>
        </is>
      </c>
      <c r="C200" t="inlineStr">
        <is>
          <t>Yes</t>
        </is>
      </c>
      <c r="D200">
        <f>IF($B200&lt;&gt;"Yes","",IF($C200="No","Yes",IF($C200="Yes","No","")))</f>
        <v/>
      </c>
      <c r="E200">
        <f>IF($A200="","",IF(OR(AND($V200&lt;&gt;"",LOWER(TRIM($V200))&lt;&gt;"n/a",LOWER(TRIM($V200))&lt;&gt;"na",SUMPRODUCT(--(UPPER(TRIM($V$2:$V$518))=UPPER(TRIM($V200))),--(TRIM($V$2:$V$518)&lt;&gt;""),--(LOWER(TRIM($V$2:$V$518))&lt;&gt;"n/a"),--(LOWER(TRIM($V$2:$V$518))&lt;&gt;"na"))&gt;1),AND($W200&lt;&gt;"",LOWER(TRIM($W200))&lt;&gt;"n/a",LOWER(TRIM($W200))&lt;&gt;"na",SUMPRODUCT(--(UPPER(TRIM($W$2:$W$518))=UPPER(TRIM($W200))),--(TRIM($W$2:$W$518)&lt;&gt;""),--(LOWER(TRIM($W$2:$W$518))&lt;&gt;"n/a"),--(LOWER(TRIM($W$2:$W$518))&lt;&gt;"na"))&gt;1),AND($X200&lt;&gt;"",LOWER(TRIM($X200))&lt;&gt;"n/a",LOWER(TRIM($X200))&lt;&gt;"na",SUMPRODUCT(--(UPPER(TRIM($X$2:$X$518))=UPPER(TRIM($X200))),--(TRIM($X$2:$X$518)&lt;&gt;""),--(LOWER(TRIM($X$2:$X$518))&lt;&gt;"n/a"),--(LOWER(TRIM($X$2:$X$518))&lt;&gt;"na"))&gt;1),AND($Y200&lt;&gt;"",LOWER(TRIM($Y200))&lt;&gt;"n/a",LOWER(TRIM($Y200))&lt;&gt;"na",SUMPRODUCT(--(UPPER(SUBSTITUTE(SUBSTITUTE(TRIM($Y$2:$Y$518),":",""),"-",""))=UPPER(SUBSTITUTE(SUBSTITUTE(TRIM($Y200),":",""),"-",""))),--(TRIM($Y$2:$Y$518)&lt;&gt;""),--(LOWER(TRIM($Y$2:$Y$518))&lt;&gt;"n/a"),--(LOWER(TRIM($Y$2:$Y$518))&lt;&gt;"na"))&gt;1),AND($AB200&lt;&gt;"",LOWER(TRIM($AB200))&lt;&gt;"n/a",LOWER(TRIM($AB200))&lt;&gt;"na",SUMPRODUCT(--(UPPER(TRIM($AB$2:$AB$518))=UPPER(TRIM($AB200))),--(TRIM($AB$2:$AB$518)&lt;&gt;""),--(LOWER(TRIM($AB$2:$AB$518))&lt;&gt;"n/a"),--(LOWER(TRIM($AB$2:$AB$518))&lt;&gt;"na"))&gt;1),AND($AH200&lt;&gt;"",LOWER(TRIM($AH200))&lt;&gt;"n/a",LOWER(TRIM($AH200))&lt;&gt;"na",SUMPRODUCT(--(UPPER(SUBSTITUTE(SUBSTITUTE(TRIM($AH$2:$AH$518),":",""),"-",""))=UPPER(SUBSTITUTE(SUBSTITUTE(TRIM($AH200),":",""),"-",""))),--(TRIM($AH$2:$AH$518)&lt;&gt;""),--(LOWER(TRIM($AH$2:$AH$518))&lt;&gt;"n/a"),--(LOWER(TRIM($AH$2:$AH$518))&lt;&gt;"na"))&gt;1),AND($AP200&lt;&gt;"",LOWER(TRIM($AP200))&lt;&gt;"n/a",LOWER(TRIM($AP200))&lt;&gt;"na",SUMPRODUCT(--(UPPER(TRIM($AP$2:$AP$518))=UPPER(TRIM($AP200))),--(TRIM($AP$2:$AP$518)&lt;&gt;""),--(LOWER(TRIM($AP$2:$AP$518))&lt;&gt;"n/a"),--(LOWER(TRIM($AP$2:$AP$518))&lt;&gt;"na"))&gt;1),AND($AQ200&lt;&gt;"",LOWER(TRIM($AQ200))&lt;&gt;"n/a",LOWER(TRIM($AQ200))&lt;&gt;"na",SUMPRODUCT(--(UPPER(TRIM($AQ$2:$AQ$518))=UPPER(TRIM($AQ200))),--(TRIM($AQ$2:$AQ$518)&lt;&gt;""),--(LOWER(TRIM($AQ$2:$AQ$518))&lt;&gt;"n/a"),--(LOWER(TRIM($AQ$2:$AQ$518))&lt;&gt;"na"))&gt;1)),"Yes","No"))</f>
        <v/>
      </c>
      <c r="F200">
        <f>IF(UPPER(TRIM($B200))&lt;&gt;"YES","", IF(OR(AND($V200&lt;&gt;"", LOWER(TRIM($V200))&lt;&gt;"n/a", LOWER(TRIM($V200))&lt;&gt;"na", SUMPRODUCT(--(UPPER(TRIM($V$2:$V$518))=UPPER(TRIM($V200))), --(UPPER(TRIM($B$2:$B$518))="YES"), --(UPPER(TRIM($G$2:$G$518)&amp;TRIM($I$2:$I$518)&amp;TRIM($J$2:$J$518))&lt;&gt;UPPER(TRIM($G200)&amp;TRIM($I200)&amp;TRIM($J200))))&gt;0), AND($W200&lt;&gt;"", LOWER(TRIM($W200))&lt;&gt;"n/a", LOWER(TRIM($W200))&lt;&gt;"na", SUMPRODUCT(--(UPPER(TRIM($W$2:$W$518))=UPPER(TRIM($W200))), --(UPPER(TRIM($B$2:$B$518))="YES"), --(UPPER(TRIM($G$2:$G$518)&amp;TRIM($I$2:$I$518)&amp;TRIM($J$2:$J$518))&lt;&gt;UPPER(TRIM($G200)&amp;TRIM($I200)&amp;TRIM($J200))))&gt;0), AND($X200&lt;&gt;"", LOWER(TRIM($X200))&lt;&gt;"n/a", LOWER(TRIM($X200))&lt;&gt;"na", SUMPRODUCT(--(UPPER(TRIM($X$2:$X$518))=UPPER(TRIM($X200))), --(UPPER(TRIM($B$2:$B$518))="YES"), --(UPPER(TRIM($G$2:$G$518)&amp;TRIM($I$2:$I$518)&amp;TRIM($J$2:$J$518))&lt;&gt;UPPER(TRIM($G200)&amp;TRIM($I200)&amp;TRIM($J200))))&gt;0), AND($Y200&lt;&gt;"", LOWER(TRIM($Y200))&lt;&gt;"n/a", LOWER(TRIM($Y200))&lt;&gt;"na", SUMPRODUCT(--(UPPER(SUBSTITUTE(SUBSTITUTE(TRIM($Y$2:$Y$518),":",""),"-",""))=UPPER(SUBSTITUTE(SUBSTITUTE(TRIM($Y200),":",""),"-",""))), --(UPPER(TRIM($B$2:$B$518))="YES"), --(UPPER(TRIM($G$2:$G$518)&amp;TRIM($I$2:$I$518)&amp;TRIM($J$2:$J$518))&lt;&gt;UPPER(TRIM($G200)&amp;TRIM($I200)&amp;TRIM($J200))))&gt;0), AND($AB200&lt;&gt;"", LOWER(TRIM($AB200))&lt;&gt;"n/a", LOWER(TRIM($AB200))&lt;&gt;"na", SUMPRODUCT(--(UPPER(TRIM($AB$2:$AB$518))=UPPER(TRIM($AB200))), --(UPPER(TRIM($B$2:$B$518))="YES"), --(UPPER(TRIM($G$2:$G$518)&amp;TRIM($I$2:$I$518)&amp;TRIM($J$2:$J$518))&lt;&gt;UPPER(TRIM($G200)&amp;TRIM($I200)&amp;TRIM($J200))))&gt;0), AND($AH200&lt;&gt;"", LOWER(TRIM($AH200))&lt;&gt;"n/a", LOWER(TRIM($AH200))&lt;&gt;"na", SUMPRODUCT(--(UPPER(SUBSTITUTE(SUBSTITUTE(TRIM($AH$2:$AH$518),":",""),"-",""))=UPPER(SUBSTITUTE(SUBSTITUTE(TRIM($AH200),":",""),"-",""))), --(UPPER(TRIM($B$2:$B$518))="YES"), --(UPPER(TRIM($G$2:$G$518)&amp;TRIM($I$2:$I$518)&amp;TRIM($J$2:$J$518))&lt;&gt;UPPER(TRIM($G200)&amp;TRIM($I200)&amp;TRIM($J200))))&gt;0), AND($AP200&lt;&gt;"", LOWER(TRIM($AP200))&lt;&gt;"n/a", LOWER(TRIM($AP200))&lt;&gt;"na", SUMPRODUCT(--(UPPER(TRIM($AP$2:$AP$518))=UPPER(TRIM($AP200))), --(UPPER(TRIM($B$2:$B$518))="YES"), --(UPPER(TRIM($G$2:$G$518)&amp;TRIM($I$2:$I$518)&amp;TRIM($J$2:$J$518))&lt;&gt;UPPER(TRIM($G200)&amp;TRIM($I200)&amp;TRIM($J200))))&gt;0), AND($AQ200&lt;&gt;"", LOWER(TRIM($AQ200))&lt;&gt;"n/a", LOWER(TRIM($AQ200))&lt;&gt;"na", SUMPRODUCT(--(UPPER(TRIM($AQ$2:$AQ$518))=UPPER(TRIM($AQ200))), --(UPPER(TRIM($B$2:$B$518))="YES"), --(UPPER(TRIM($G$2:$G$518)&amp;TRIM($I$2:$I$518)&amp;TRIM($J$2:$J$518))&lt;&gt;UPPER(TRIM($G200)&amp;TRIM($I200)&amp;TRIM($J200))))&gt;0)), "Yes", "No"))</f>
        <v/>
      </c>
      <c r="G200" t="inlineStr">
        <is>
          <t>LIJ SDF</t>
        </is>
      </c>
      <c r="H200" t="inlineStr">
        <is>
          <t>LIJ SDF</t>
        </is>
      </c>
      <c r="I200" t="inlineStr">
        <is>
          <t>Ground Level/Dialysis</t>
        </is>
      </c>
      <c r="J200" t="inlineStr">
        <is>
          <t>Open Patient Area</t>
        </is>
      </c>
      <c r="K200" t="n">
        <v>15</v>
      </c>
      <c r="L200" s="18" t="n">
        <v>46033</v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W200" t="inlineStr">
        <is>
          <t>n/a</t>
        </is>
      </c>
      <c r="X200" t="inlineStr">
        <is>
          <t>LIJ-SDF-MACH-O</t>
        </is>
      </c>
      <c r="Y200" t="inlineStr">
        <is>
          <t>A0F5097BA0A3</t>
        </is>
      </c>
      <c r="Z200" t="inlineStr">
        <is>
          <t>10.134.19.37</t>
        </is>
      </c>
      <c r="AA200" t="inlineStr">
        <is>
          <t>Yes</t>
        </is>
      </c>
      <c r="AB200" t="inlineStr">
        <is>
          <t>WA25300259</t>
        </is>
      </c>
      <c r="AC200" t="inlineStr">
        <is>
          <t>LIJ</t>
        </is>
      </c>
      <c r="AD200" t="inlineStr">
        <is>
          <t>Yes</t>
        </is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  <c r="AI200" t="inlineStr">
        <is>
          <t>Dialysis Machine</t>
        </is>
      </c>
      <c r="AL200" t="inlineStr">
        <is>
          <t>BSM 039 A</t>
        </is>
      </c>
      <c r="AM200" t="inlineStr">
        <is>
          <t>Fresenius BlueStar</t>
        </is>
      </c>
      <c r="AN200" t="inlineStr">
        <is>
          <t>2008T</t>
        </is>
      </c>
      <c r="AO200" t="inlineStr">
        <is>
          <t>0T0S250288</t>
        </is>
      </c>
      <c r="AP200" t="inlineStr">
        <is>
          <t>n/a</t>
        </is>
      </c>
      <c r="AQ200" t="inlineStr">
        <is>
          <t>0T0S250288</t>
        </is>
      </c>
      <c r="AS200" t="inlineStr">
        <is>
          <t>B1-CFH</t>
        </is>
      </c>
      <c r="AX200" t="inlineStr">
        <is>
          <t>n/a</t>
        </is>
      </c>
      <c r="AY200" t="inlineStr">
        <is>
          <t>Fresenius BlueStar - 2008T</t>
        </is>
      </c>
      <c r="AZ200" t="inlineStr">
        <is>
          <t>n/a</t>
        </is>
      </c>
      <c r="BA200" t="inlineStr">
        <is>
          <t>n/a</t>
        </is>
      </c>
      <c r="BB200" t="inlineStr">
        <is>
          <t>n/a</t>
        </is>
      </c>
      <c r="BR200" t="inlineStr">
        <is>
          <t>Yes</t>
        </is>
      </c>
      <c r="BS200" t="inlineStr">
        <is>
          <t>Yes</t>
        </is>
      </c>
      <c r="BW200" t="inlineStr">
        <is>
          <t>Yes</t>
        </is>
      </c>
      <c r="BX200" t="n">
        <v>46027</v>
      </c>
      <c r="BZ200" t="inlineStr">
        <is>
          <t>Firmware Installed</t>
        </is>
      </c>
      <c r="CB200" t="inlineStr">
        <is>
          <t>Yes</t>
        </is>
      </c>
      <c r="CC200" t="inlineStr">
        <is>
          <t>No</t>
        </is>
      </c>
      <c r="CD200">
        <f>IF($Y200="","",IF((IF(AND($BR200&lt;&gt;"Yes",$BR200&lt;&gt;"N/A"),"Power Cable, ","")&amp;IF(AND($BS200&lt;&gt;"Yes",$BS200&lt;&gt;"N/A"),"Battery, ","")&amp;IF(AND($AD200&lt;&gt;"Yes",$AD200&lt;&gt;"N/A"),"Firmware Download, ","")&amp;IF(AND(OR($AD200="Yes",$AD200="N/A"),$AE200&lt;&gt;"Yes",$AE200&lt;&gt;"N/A"),"Firmware Install, ","")&amp;IF(AND($CB200&lt;&gt;"Yes",$CB200&lt;&gt;"N/A"),"Device ID, ","")&amp;IF(AND($CC200&lt;&gt;"Yes",$CC200&lt;&gt;"N/A"),"Epic Beans Relay, ",""))="","",LEFT(IF(AND($BR200&lt;&gt;"Yes",$BR200&lt;&gt;"N/A"),"Power Cable, ","")&amp;IF(AND($BS200&lt;&gt;"Yes",$BS200&lt;&gt;"N/A"),"Battery, ","")&amp;IF(AND($AD200&lt;&gt;"Yes",$AD200&lt;&gt;"N/A"),"Firmware Download, ","")&amp;IF(AND(OR($AD200="Yes",$AD200="N/A"),$AE200&lt;&gt;"Yes",$AE200&lt;&gt;"N/A"),"Firmware Install, ","")&amp;IF(AND($CB200&lt;&gt;"Yes",$CB200&lt;&gt;"N/A"),"Device ID, ","")&amp;IF(AND($CC200&lt;&gt;"Yes",$CC200&lt;&gt;"N/A"),"Epic Beans Relay, ",""),LEN(IF(AND($BR200&lt;&gt;"Yes",$BR200&lt;&gt;"N/A"),"Power Cable, ","")&amp;IF(AND($BS200&lt;&gt;"Yes",$BS200&lt;&gt;"N/A"),"Battery, ","")&amp;IF(AND($AD200&lt;&gt;"Yes",$AD200&lt;&gt;"N/A"),"Firmware Download, ","")&amp;IF(AND(OR($AD200="Yes",$AD200="N/A"),$AE200&lt;&gt;"Yes",$AE200&lt;&gt;"N/A"),"Firmware Install, ","")&amp;IF(AND($CB200&lt;&gt;"Yes",$CB200&lt;&gt;"N/A"),"Device ID, ","")&amp;IF(AND($CC200&lt;&gt;"Yes",$CC200&lt;&gt;"N/A"),"Epic Beans Relay, ",""))-2)))</f>
        <v/>
      </c>
      <c r="CE200">
        <f>IF($Y200="","",IF($CD200="","Yes","Blocked"))</f>
        <v/>
      </c>
      <c r="CP200">
        <f>IF($CO200="","",IFERROR(VLOOKUP($CO200,'01_Warehouse_Ledger'!$A:$N,4,FALSE),""))</f>
        <v/>
      </c>
      <c r="CQ200">
        <f>IF($CO200="","",IFERROR(VLOOKUP($CO200,'01_Warehouse_Ledger'!$A:$N,5,FALSE),""))</f>
        <v/>
      </c>
      <c r="CR200">
        <f>IF($CO200="","",IFERROR(VLOOKUP($CO200,'01_Warehouse_Ledger'!$A:$N,13,FALSE),""))</f>
        <v/>
      </c>
      <c r="CW200">
        <f>IF($S200="","",IF(UPPER(TRIM($S200))&lt;&gt;"PASS","",IF(LEN(TRIM($BY200))&gt;0,"NOTES_PRESENT",IF(LEN(TRIM($T200))=0,"SET_NA",IF(OR(LOWER(TRIM($T200))="na",LOWER(TRIM($T200))="n/a"),"OK","MANUAL_OVERRIDE")))))</f>
        <v/>
      </c>
    </row>
    <row r="201">
      <c r="A201" t="inlineStr">
        <is>
          <t>Neuron</t>
        </is>
      </c>
      <c r="B201" s="5" t="inlineStr">
        <is>
          <t>Yes</t>
        </is>
      </c>
      <c r="C201" t="inlineStr">
        <is>
          <t>Yes</t>
        </is>
      </c>
      <c r="D201">
        <f>IF($B201&lt;&gt;"Yes","",IF($C201="No","Yes",IF($C201="Yes","No","")))</f>
        <v/>
      </c>
      <c r="E201">
        <f>IF($A201="","",IF(OR(AND($V201&lt;&gt;"",LOWER(TRIM($V201))&lt;&gt;"n/a",LOWER(TRIM($V201))&lt;&gt;"na",SUMPRODUCT(--(UPPER(TRIM($V$2:$V$518))=UPPER(TRIM($V201))),--(TRIM($V$2:$V$518)&lt;&gt;""),--(LOWER(TRIM($V$2:$V$518))&lt;&gt;"n/a"),--(LOWER(TRIM($V$2:$V$518))&lt;&gt;"na"))&gt;1),AND($W201&lt;&gt;"",LOWER(TRIM($W201))&lt;&gt;"n/a",LOWER(TRIM($W201))&lt;&gt;"na",SUMPRODUCT(--(UPPER(TRIM($W$2:$W$518))=UPPER(TRIM($W201))),--(TRIM($W$2:$W$518)&lt;&gt;""),--(LOWER(TRIM($W$2:$W$518))&lt;&gt;"n/a"),--(LOWER(TRIM($W$2:$W$518))&lt;&gt;"na"))&gt;1),AND($X201&lt;&gt;"",LOWER(TRIM($X201))&lt;&gt;"n/a",LOWER(TRIM($X201))&lt;&gt;"na",SUMPRODUCT(--(UPPER(TRIM($X$2:$X$518))=UPPER(TRIM($X201))),--(TRIM($X$2:$X$518)&lt;&gt;""),--(LOWER(TRIM($X$2:$X$518))&lt;&gt;"n/a"),--(LOWER(TRIM($X$2:$X$518))&lt;&gt;"na"))&gt;1),AND($Y201&lt;&gt;"",LOWER(TRIM($Y201))&lt;&gt;"n/a",LOWER(TRIM($Y201))&lt;&gt;"na",SUMPRODUCT(--(UPPER(SUBSTITUTE(SUBSTITUTE(TRIM($Y$2:$Y$518),":",""),"-",""))=UPPER(SUBSTITUTE(SUBSTITUTE(TRIM($Y201),":",""),"-",""))),--(TRIM($Y$2:$Y$518)&lt;&gt;""),--(LOWER(TRIM($Y$2:$Y$518))&lt;&gt;"n/a"),--(LOWER(TRIM($Y$2:$Y$518))&lt;&gt;"na"))&gt;1),AND($AB201&lt;&gt;"",LOWER(TRIM($AB201))&lt;&gt;"n/a",LOWER(TRIM($AB201))&lt;&gt;"na",SUMPRODUCT(--(UPPER(TRIM($AB$2:$AB$518))=UPPER(TRIM($AB201))),--(TRIM($AB$2:$AB$518)&lt;&gt;""),--(LOWER(TRIM($AB$2:$AB$518))&lt;&gt;"n/a"),--(LOWER(TRIM($AB$2:$AB$518))&lt;&gt;"na"))&gt;1),AND($AH201&lt;&gt;"",LOWER(TRIM($AH201))&lt;&gt;"n/a",LOWER(TRIM($AH201))&lt;&gt;"na",SUMPRODUCT(--(UPPER(SUBSTITUTE(SUBSTITUTE(TRIM($AH$2:$AH$518),":",""),"-",""))=UPPER(SUBSTITUTE(SUBSTITUTE(TRIM($AH201),":",""),"-",""))),--(TRIM($AH$2:$AH$518)&lt;&gt;""),--(LOWER(TRIM($AH$2:$AH$518))&lt;&gt;"n/a"),--(LOWER(TRIM($AH$2:$AH$518))&lt;&gt;"na"))&gt;1),AND($AP201&lt;&gt;"",LOWER(TRIM($AP201))&lt;&gt;"n/a",LOWER(TRIM($AP201))&lt;&gt;"na",SUMPRODUCT(--(UPPER(TRIM($AP$2:$AP$518))=UPPER(TRIM($AP201))),--(TRIM($AP$2:$AP$518)&lt;&gt;""),--(LOWER(TRIM($AP$2:$AP$518))&lt;&gt;"n/a"),--(LOWER(TRIM($AP$2:$AP$518))&lt;&gt;"na"))&gt;1),AND($AQ201&lt;&gt;"",LOWER(TRIM($AQ201))&lt;&gt;"n/a",LOWER(TRIM($AQ201))&lt;&gt;"na",SUMPRODUCT(--(UPPER(TRIM($AQ$2:$AQ$518))=UPPER(TRIM($AQ201))),--(TRIM($AQ$2:$AQ$518)&lt;&gt;""),--(LOWER(TRIM($AQ$2:$AQ$518))&lt;&gt;"n/a"),--(LOWER(TRIM($AQ$2:$AQ$518))&lt;&gt;"na"))&gt;1)),"Yes","No"))</f>
        <v/>
      </c>
      <c r="F201">
        <f>IF(UPPER(TRIM($B201))&lt;&gt;"YES","", IF(OR(AND($V201&lt;&gt;"", LOWER(TRIM($V201))&lt;&gt;"n/a", LOWER(TRIM($V201))&lt;&gt;"na", SUMPRODUCT(--(UPPER(TRIM($V$2:$V$518))=UPPER(TRIM($V201))), --(UPPER(TRIM($B$2:$B$518))="YES"), --(UPPER(TRIM($G$2:$G$518)&amp;TRIM($I$2:$I$518)&amp;TRIM($J$2:$J$518))&lt;&gt;UPPER(TRIM($G201)&amp;TRIM($I201)&amp;TRIM($J201))))&gt;0), AND($W201&lt;&gt;"", LOWER(TRIM($W201))&lt;&gt;"n/a", LOWER(TRIM($W201))&lt;&gt;"na", SUMPRODUCT(--(UPPER(TRIM($W$2:$W$518))=UPPER(TRIM($W201))), --(UPPER(TRIM($B$2:$B$518))="YES"), --(UPPER(TRIM($G$2:$G$518)&amp;TRIM($I$2:$I$518)&amp;TRIM($J$2:$J$518))&lt;&gt;UPPER(TRIM($G201)&amp;TRIM($I201)&amp;TRIM($J201))))&gt;0), AND($X201&lt;&gt;"", LOWER(TRIM($X201))&lt;&gt;"n/a", LOWER(TRIM($X201))&lt;&gt;"na", SUMPRODUCT(--(UPPER(TRIM($X$2:$X$518))=UPPER(TRIM($X201))), --(UPPER(TRIM($B$2:$B$518))="YES"), --(UPPER(TRIM($G$2:$G$518)&amp;TRIM($I$2:$I$518)&amp;TRIM($J$2:$J$518))&lt;&gt;UPPER(TRIM($G201)&amp;TRIM($I201)&amp;TRIM($J201))))&gt;0), AND($Y201&lt;&gt;"", LOWER(TRIM($Y201))&lt;&gt;"n/a", LOWER(TRIM($Y201))&lt;&gt;"na", SUMPRODUCT(--(UPPER(SUBSTITUTE(SUBSTITUTE(TRIM($Y$2:$Y$518),":",""),"-",""))=UPPER(SUBSTITUTE(SUBSTITUTE(TRIM($Y201),":",""),"-",""))), --(UPPER(TRIM($B$2:$B$518))="YES"), --(UPPER(TRIM($G$2:$G$518)&amp;TRIM($I$2:$I$518)&amp;TRIM($J$2:$J$518))&lt;&gt;UPPER(TRIM($G201)&amp;TRIM($I201)&amp;TRIM($J201))))&gt;0), AND($AB201&lt;&gt;"", LOWER(TRIM($AB201))&lt;&gt;"n/a", LOWER(TRIM($AB201))&lt;&gt;"na", SUMPRODUCT(--(UPPER(TRIM($AB$2:$AB$518))=UPPER(TRIM($AB201))), --(UPPER(TRIM($B$2:$B$518))="YES"), --(UPPER(TRIM($G$2:$G$518)&amp;TRIM($I$2:$I$518)&amp;TRIM($J$2:$J$518))&lt;&gt;UPPER(TRIM($G201)&amp;TRIM($I201)&amp;TRIM($J201))))&gt;0), AND($AH201&lt;&gt;"", LOWER(TRIM($AH201))&lt;&gt;"n/a", LOWER(TRIM($AH201))&lt;&gt;"na", SUMPRODUCT(--(UPPER(SUBSTITUTE(SUBSTITUTE(TRIM($AH$2:$AH$518),":",""),"-",""))=UPPER(SUBSTITUTE(SUBSTITUTE(TRIM($AH201),":",""),"-",""))), --(UPPER(TRIM($B$2:$B$518))="YES"), --(UPPER(TRIM($G$2:$G$518)&amp;TRIM($I$2:$I$518)&amp;TRIM($J$2:$J$518))&lt;&gt;UPPER(TRIM($G201)&amp;TRIM($I201)&amp;TRIM($J201))))&gt;0), AND($AP201&lt;&gt;"", LOWER(TRIM($AP201))&lt;&gt;"n/a", LOWER(TRIM($AP201))&lt;&gt;"na", SUMPRODUCT(--(UPPER(TRIM($AP$2:$AP$518))=UPPER(TRIM($AP201))), --(UPPER(TRIM($B$2:$B$518))="YES"), --(UPPER(TRIM($G$2:$G$518)&amp;TRIM($I$2:$I$518)&amp;TRIM($J$2:$J$518))&lt;&gt;UPPER(TRIM($G201)&amp;TRIM($I201)&amp;TRIM($J201))))&gt;0), AND($AQ201&lt;&gt;"", LOWER(TRIM($AQ201))&lt;&gt;"n/a", LOWER(TRIM($AQ201))&lt;&gt;"na", SUMPRODUCT(--(UPPER(TRIM($AQ$2:$AQ$518))=UPPER(TRIM($AQ201))), --(UPPER(TRIM($B$2:$B$518))="YES"), --(UPPER(TRIM($G$2:$G$518)&amp;TRIM($I$2:$I$518)&amp;TRIM($J$2:$J$518))&lt;&gt;UPPER(TRIM($G201)&amp;TRIM($I201)&amp;TRIM($J201))))&gt;0)), "Yes", "No"))</f>
        <v/>
      </c>
      <c r="G201" t="inlineStr">
        <is>
          <t>LIJ SDF</t>
        </is>
      </c>
      <c r="H201" t="inlineStr">
        <is>
          <t>LIJ SDF</t>
        </is>
      </c>
      <c r="I201" t="inlineStr">
        <is>
          <t>Ground Level/Dialysis</t>
        </is>
      </c>
      <c r="J201" t="inlineStr">
        <is>
          <t>Open Patient Area</t>
        </is>
      </c>
      <c r="K201" t="n">
        <v>16</v>
      </c>
      <c r="L201" s="18" t="n">
        <v>46033</v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W201" t="inlineStr">
        <is>
          <t>n/a</t>
        </is>
      </c>
      <c r="X201" t="inlineStr">
        <is>
          <t>LIJ-SDF-MACH-P</t>
        </is>
      </c>
      <c r="Y201" t="inlineStr">
        <is>
          <t>A0F5097FE29D</t>
        </is>
      </c>
      <c r="Z201" t="inlineStr">
        <is>
          <t>10.134.18.69</t>
        </is>
      </c>
      <c r="AA201" t="inlineStr">
        <is>
          <t>Yes</t>
        </is>
      </c>
      <c r="AB201" t="inlineStr">
        <is>
          <t>WA24406391</t>
        </is>
      </c>
      <c r="AC201" t="inlineStr">
        <is>
          <t>LIJ</t>
        </is>
      </c>
      <c r="AD201" t="inlineStr">
        <is>
          <t>Yes</t>
        </is>
      </c>
      <c r="AE201" t="inlineStr">
        <is>
          <t>Yes</t>
        </is>
      </c>
      <c r="AF201" t="inlineStr">
        <is>
          <t>Yes</t>
        </is>
      </c>
      <c r="AG201" t="inlineStr">
        <is>
          <t>Yes</t>
        </is>
      </c>
      <c r="AI201" t="inlineStr">
        <is>
          <t>Dialysis Machine</t>
        </is>
      </c>
      <c r="AL201" t="inlineStr">
        <is>
          <t>BSM 039 B</t>
        </is>
      </c>
      <c r="AM201" t="inlineStr">
        <is>
          <t>Fresenius BlueStar</t>
        </is>
      </c>
      <c r="AN201" t="inlineStr">
        <is>
          <t>2008T</t>
        </is>
      </c>
      <c r="AO201" t="inlineStr">
        <is>
          <t>9T0S237956</t>
        </is>
      </c>
      <c r="AP201" t="inlineStr">
        <is>
          <t>n/a</t>
        </is>
      </c>
      <c r="AQ201" t="inlineStr">
        <is>
          <t>9T0S237956</t>
        </is>
      </c>
      <c r="AS201" t="inlineStr">
        <is>
          <t>B1-CFH</t>
        </is>
      </c>
      <c r="AX201" t="inlineStr">
        <is>
          <t>n/a</t>
        </is>
      </c>
      <c r="AY201" t="inlineStr">
        <is>
          <t>Fresenius BlueStar - 2008T</t>
        </is>
      </c>
      <c r="AZ201" t="inlineStr">
        <is>
          <t>n/a</t>
        </is>
      </c>
      <c r="BA201" t="inlineStr">
        <is>
          <t>n/a</t>
        </is>
      </c>
      <c r="BB201" t="inlineStr">
        <is>
          <t>n/a</t>
        </is>
      </c>
      <c r="BR201" t="inlineStr">
        <is>
          <t>Yes</t>
        </is>
      </c>
      <c r="BS201" t="inlineStr">
        <is>
          <t>Yes</t>
        </is>
      </c>
      <c r="BW201" t="inlineStr">
        <is>
          <t>Yes</t>
        </is>
      </c>
      <c r="BX201" t="n">
        <v>46027</v>
      </c>
      <c r="BZ201" t="inlineStr">
        <is>
          <t>Firmware Installed</t>
        </is>
      </c>
      <c r="CB201" t="inlineStr">
        <is>
          <t>Yes</t>
        </is>
      </c>
      <c r="CC201" t="inlineStr">
        <is>
          <t>No</t>
        </is>
      </c>
      <c r="CD201">
        <f>IF($Y201="","",IF((IF(AND($BR201&lt;&gt;"Yes",$BR201&lt;&gt;"N/A"),"Power Cable, ","")&amp;IF(AND($BS201&lt;&gt;"Yes",$BS201&lt;&gt;"N/A"),"Battery, ","")&amp;IF(AND($AD201&lt;&gt;"Yes",$AD201&lt;&gt;"N/A"),"Firmware Download, ","")&amp;IF(AND(OR($AD201="Yes",$AD201="N/A"),$AE201&lt;&gt;"Yes",$AE201&lt;&gt;"N/A"),"Firmware Install, ","")&amp;IF(AND($CB201&lt;&gt;"Yes",$CB201&lt;&gt;"N/A"),"Device ID, ","")&amp;IF(AND($CC201&lt;&gt;"Yes",$CC201&lt;&gt;"N/A"),"Epic Beans Relay, ",""))="","",LEFT(IF(AND($BR201&lt;&gt;"Yes",$BR201&lt;&gt;"N/A"),"Power Cable, ","")&amp;IF(AND($BS201&lt;&gt;"Yes",$BS201&lt;&gt;"N/A"),"Battery, ","")&amp;IF(AND($AD201&lt;&gt;"Yes",$AD201&lt;&gt;"N/A"),"Firmware Download, ","")&amp;IF(AND(OR($AD201="Yes",$AD201="N/A"),$AE201&lt;&gt;"Yes",$AE201&lt;&gt;"N/A"),"Firmware Install, ","")&amp;IF(AND($CB201&lt;&gt;"Yes",$CB201&lt;&gt;"N/A"),"Device ID, ","")&amp;IF(AND($CC201&lt;&gt;"Yes",$CC201&lt;&gt;"N/A"),"Epic Beans Relay, ",""),LEN(IF(AND($BR201&lt;&gt;"Yes",$BR201&lt;&gt;"N/A"),"Power Cable, ","")&amp;IF(AND($BS201&lt;&gt;"Yes",$BS201&lt;&gt;"N/A"),"Battery, ","")&amp;IF(AND($AD201&lt;&gt;"Yes",$AD201&lt;&gt;"N/A"),"Firmware Download, ","")&amp;IF(AND(OR($AD201="Yes",$AD201="N/A"),$AE201&lt;&gt;"Yes",$AE201&lt;&gt;"N/A"),"Firmware Install, ","")&amp;IF(AND($CB201&lt;&gt;"Yes",$CB201&lt;&gt;"N/A"),"Device ID, ","")&amp;IF(AND($CC201&lt;&gt;"Yes",$CC201&lt;&gt;"N/A"),"Epic Beans Relay, ",""))-2)))</f>
        <v/>
      </c>
      <c r="CE201">
        <f>IF($Y201="","",IF($CD201="","Yes","Blocked"))</f>
        <v/>
      </c>
      <c r="CP201">
        <f>IF($CO201="","",IFERROR(VLOOKUP($CO201,'01_Warehouse_Ledger'!$A:$N,4,FALSE),""))</f>
        <v/>
      </c>
      <c r="CQ201">
        <f>IF($CO201="","",IFERROR(VLOOKUP($CO201,'01_Warehouse_Ledger'!$A:$N,5,FALSE),""))</f>
        <v/>
      </c>
      <c r="CR201">
        <f>IF($CO201="","",IFERROR(VLOOKUP($CO201,'01_Warehouse_Ledger'!$A:$N,13,FALSE),""))</f>
        <v/>
      </c>
      <c r="CW201">
        <f>IF($S201="","",IF(UPPER(TRIM($S201))&lt;&gt;"PASS","",IF(LEN(TRIM($BY201))&gt;0,"NOTES_PRESENT",IF(LEN(TRIM($T201))=0,"SET_NA",IF(OR(LOWER(TRIM($T201))="na",LOWER(TRIM($T201))="n/a"),"OK","MANUAL_OVERRIDE")))))</f>
        <v/>
      </c>
    </row>
    <row r="202">
      <c r="A202" t="inlineStr">
        <is>
          <t>Neuron</t>
        </is>
      </c>
      <c r="B202" s="5" t="inlineStr">
        <is>
          <t>Yes</t>
        </is>
      </c>
      <c r="C202" t="inlineStr">
        <is>
          <t>Yes</t>
        </is>
      </c>
      <c r="D202">
        <f>IF($B202&lt;&gt;"Yes","",IF($C202="No","Yes",IF($C202="Yes","No","")))</f>
        <v/>
      </c>
      <c r="E202">
        <f>IF($A202="","",IF(OR(AND($V202&lt;&gt;"",LOWER(TRIM($V202))&lt;&gt;"n/a",LOWER(TRIM($V202))&lt;&gt;"na",SUMPRODUCT(--(UPPER(TRIM($V$2:$V$518))=UPPER(TRIM($V202))),--(TRIM($V$2:$V$518)&lt;&gt;""),--(LOWER(TRIM($V$2:$V$518))&lt;&gt;"n/a"),--(LOWER(TRIM($V$2:$V$518))&lt;&gt;"na"))&gt;1),AND($W202&lt;&gt;"",LOWER(TRIM($W202))&lt;&gt;"n/a",LOWER(TRIM($W202))&lt;&gt;"na",SUMPRODUCT(--(UPPER(TRIM($W$2:$W$518))=UPPER(TRIM($W202))),--(TRIM($W$2:$W$518)&lt;&gt;""),--(LOWER(TRIM($W$2:$W$518))&lt;&gt;"n/a"),--(LOWER(TRIM($W$2:$W$518))&lt;&gt;"na"))&gt;1),AND($X202&lt;&gt;"",LOWER(TRIM($X202))&lt;&gt;"n/a",LOWER(TRIM($X202))&lt;&gt;"na",SUMPRODUCT(--(UPPER(TRIM($X$2:$X$518))=UPPER(TRIM($X202))),--(TRIM($X$2:$X$518)&lt;&gt;""),--(LOWER(TRIM($X$2:$X$518))&lt;&gt;"n/a"),--(LOWER(TRIM($X$2:$X$518))&lt;&gt;"na"))&gt;1),AND($Y202&lt;&gt;"",LOWER(TRIM($Y202))&lt;&gt;"n/a",LOWER(TRIM($Y202))&lt;&gt;"na",SUMPRODUCT(--(UPPER(SUBSTITUTE(SUBSTITUTE(TRIM($Y$2:$Y$518),":",""),"-",""))=UPPER(SUBSTITUTE(SUBSTITUTE(TRIM($Y202),":",""),"-",""))),--(TRIM($Y$2:$Y$518)&lt;&gt;""),--(LOWER(TRIM($Y$2:$Y$518))&lt;&gt;"n/a"),--(LOWER(TRIM($Y$2:$Y$518))&lt;&gt;"na"))&gt;1),AND($AB202&lt;&gt;"",LOWER(TRIM($AB202))&lt;&gt;"n/a",LOWER(TRIM($AB202))&lt;&gt;"na",SUMPRODUCT(--(UPPER(TRIM($AB$2:$AB$518))=UPPER(TRIM($AB202))),--(TRIM($AB$2:$AB$518)&lt;&gt;""),--(LOWER(TRIM($AB$2:$AB$518))&lt;&gt;"n/a"),--(LOWER(TRIM($AB$2:$AB$518))&lt;&gt;"na"))&gt;1),AND($AH202&lt;&gt;"",LOWER(TRIM($AH202))&lt;&gt;"n/a",LOWER(TRIM($AH202))&lt;&gt;"na",SUMPRODUCT(--(UPPER(SUBSTITUTE(SUBSTITUTE(TRIM($AH$2:$AH$518),":",""),"-",""))=UPPER(SUBSTITUTE(SUBSTITUTE(TRIM($AH202),":",""),"-",""))),--(TRIM($AH$2:$AH$518)&lt;&gt;""),--(LOWER(TRIM($AH$2:$AH$518))&lt;&gt;"n/a"),--(LOWER(TRIM($AH$2:$AH$518))&lt;&gt;"na"))&gt;1),AND($AP202&lt;&gt;"",LOWER(TRIM($AP202))&lt;&gt;"n/a",LOWER(TRIM($AP202))&lt;&gt;"na",SUMPRODUCT(--(UPPER(TRIM($AP$2:$AP$518))=UPPER(TRIM($AP202))),--(TRIM($AP$2:$AP$518)&lt;&gt;""),--(LOWER(TRIM($AP$2:$AP$518))&lt;&gt;"n/a"),--(LOWER(TRIM($AP$2:$AP$518))&lt;&gt;"na"))&gt;1),AND($AQ202&lt;&gt;"",LOWER(TRIM($AQ202))&lt;&gt;"n/a",LOWER(TRIM($AQ202))&lt;&gt;"na",SUMPRODUCT(--(UPPER(TRIM($AQ$2:$AQ$518))=UPPER(TRIM($AQ202))),--(TRIM($AQ$2:$AQ$518)&lt;&gt;""),--(LOWER(TRIM($AQ$2:$AQ$518))&lt;&gt;"n/a"),--(LOWER(TRIM($AQ$2:$AQ$518))&lt;&gt;"na"))&gt;1)),"Yes","No"))</f>
        <v/>
      </c>
      <c r="F202">
        <f>IF(UPPER(TRIM($B202))&lt;&gt;"YES","", IF(OR(AND($V202&lt;&gt;"", LOWER(TRIM($V202))&lt;&gt;"n/a", LOWER(TRIM($V202))&lt;&gt;"na", SUMPRODUCT(--(UPPER(TRIM($V$2:$V$518))=UPPER(TRIM($V202))), --(UPPER(TRIM($B$2:$B$518))="YES"), --(UPPER(TRIM($G$2:$G$518)&amp;TRIM($I$2:$I$518)&amp;TRIM($J$2:$J$518))&lt;&gt;UPPER(TRIM($G202)&amp;TRIM($I202)&amp;TRIM($J202))))&gt;0), AND($W202&lt;&gt;"", LOWER(TRIM($W202))&lt;&gt;"n/a", LOWER(TRIM($W202))&lt;&gt;"na", SUMPRODUCT(--(UPPER(TRIM($W$2:$W$518))=UPPER(TRIM($W202))), --(UPPER(TRIM($B$2:$B$518))="YES"), --(UPPER(TRIM($G$2:$G$518)&amp;TRIM($I$2:$I$518)&amp;TRIM($J$2:$J$518))&lt;&gt;UPPER(TRIM($G202)&amp;TRIM($I202)&amp;TRIM($J202))))&gt;0), AND($X202&lt;&gt;"", LOWER(TRIM($X202))&lt;&gt;"n/a", LOWER(TRIM($X202))&lt;&gt;"na", SUMPRODUCT(--(UPPER(TRIM($X$2:$X$518))=UPPER(TRIM($X202))), --(UPPER(TRIM($B$2:$B$518))="YES"), --(UPPER(TRIM($G$2:$G$518)&amp;TRIM($I$2:$I$518)&amp;TRIM($J$2:$J$518))&lt;&gt;UPPER(TRIM($G202)&amp;TRIM($I202)&amp;TRIM($J202))))&gt;0), AND($Y202&lt;&gt;"", LOWER(TRIM($Y202))&lt;&gt;"n/a", LOWER(TRIM($Y202))&lt;&gt;"na", SUMPRODUCT(--(UPPER(SUBSTITUTE(SUBSTITUTE(TRIM($Y$2:$Y$518),":",""),"-",""))=UPPER(SUBSTITUTE(SUBSTITUTE(TRIM($Y202),":",""),"-",""))), --(UPPER(TRIM($B$2:$B$518))="YES"), --(UPPER(TRIM($G$2:$G$518)&amp;TRIM($I$2:$I$518)&amp;TRIM($J$2:$J$518))&lt;&gt;UPPER(TRIM($G202)&amp;TRIM($I202)&amp;TRIM($J202))))&gt;0), AND($AB202&lt;&gt;"", LOWER(TRIM($AB202))&lt;&gt;"n/a", LOWER(TRIM($AB202))&lt;&gt;"na", SUMPRODUCT(--(UPPER(TRIM($AB$2:$AB$518))=UPPER(TRIM($AB202))), --(UPPER(TRIM($B$2:$B$518))="YES"), --(UPPER(TRIM($G$2:$G$518)&amp;TRIM($I$2:$I$518)&amp;TRIM($J$2:$J$518))&lt;&gt;UPPER(TRIM($G202)&amp;TRIM($I202)&amp;TRIM($J202))))&gt;0), AND($AH202&lt;&gt;"", LOWER(TRIM($AH202))&lt;&gt;"n/a", LOWER(TRIM($AH202))&lt;&gt;"na", SUMPRODUCT(--(UPPER(SUBSTITUTE(SUBSTITUTE(TRIM($AH$2:$AH$518),":",""),"-",""))=UPPER(SUBSTITUTE(SUBSTITUTE(TRIM($AH202),":",""),"-",""))), --(UPPER(TRIM($B$2:$B$518))="YES"), --(UPPER(TRIM($G$2:$G$518)&amp;TRIM($I$2:$I$518)&amp;TRIM($J$2:$J$518))&lt;&gt;UPPER(TRIM($G202)&amp;TRIM($I202)&amp;TRIM($J202))))&gt;0), AND($AP202&lt;&gt;"", LOWER(TRIM($AP202))&lt;&gt;"n/a", LOWER(TRIM($AP202))&lt;&gt;"na", SUMPRODUCT(--(UPPER(TRIM($AP$2:$AP$518))=UPPER(TRIM($AP202))), --(UPPER(TRIM($B$2:$B$518))="YES"), --(UPPER(TRIM($G$2:$G$518)&amp;TRIM($I$2:$I$518)&amp;TRIM($J$2:$J$518))&lt;&gt;UPPER(TRIM($G202)&amp;TRIM($I202)&amp;TRIM($J202))))&gt;0), AND($AQ202&lt;&gt;"", LOWER(TRIM($AQ202))&lt;&gt;"n/a", LOWER(TRIM($AQ202))&lt;&gt;"na", SUMPRODUCT(--(UPPER(TRIM($AQ$2:$AQ$518))=UPPER(TRIM($AQ202))), --(UPPER(TRIM($B$2:$B$518))="YES"), --(UPPER(TRIM($G$2:$G$518)&amp;TRIM($I$2:$I$518)&amp;TRIM($J$2:$J$518))&lt;&gt;UPPER(TRIM($G202)&amp;TRIM($I202)&amp;TRIM($J202))))&gt;0)), "Yes", "No"))</f>
        <v/>
      </c>
      <c r="G202" t="inlineStr">
        <is>
          <t>LIJ SDF</t>
        </is>
      </c>
      <c r="H202" t="inlineStr">
        <is>
          <t>LIJ SDF</t>
        </is>
      </c>
      <c r="I202" t="inlineStr">
        <is>
          <t>Ground Level/Dialysis</t>
        </is>
      </c>
      <c r="J202" t="inlineStr">
        <is>
          <t>Open Patient Area</t>
        </is>
      </c>
      <c r="K202" t="n">
        <v>17</v>
      </c>
      <c r="L202" s="18" t="n">
        <v>46033</v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W202" t="inlineStr">
        <is>
          <t>n/a</t>
        </is>
      </c>
      <c r="X202" t="inlineStr">
        <is>
          <t>LIJ-SDF-MACH-Q</t>
        </is>
      </c>
      <c r="Y202" t="inlineStr">
        <is>
          <t>A0F5097FDF52</t>
        </is>
      </c>
      <c r="Z202" t="inlineStr">
        <is>
          <t>10.134.19.38</t>
        </is>
      </c>
      <c r="AA202" t="inlineStr">
        <is>
          <t>Yes</t>
        </is>
      </c>
      <c r="AB202" t="inlineStr">
        <is>
          <t>WA24406321</t>
        </is>
      </c>
      <c r="AC202" t="inlineStr">
        <is>
          <t>LIJ</t>
        </is>
      </c>
      <c r="AD202" t="inlineStr">
        <is>
          <t>Yes</t>
        </is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  <c r="AI202" t="inlineStr">
        <is>
          <t>Dialysis Machine</t>
        </is>
      </c>
      <c r="AL202" t="inlineStr">
        <is>
          <t>BSM 040 A</t>
        </is>
      </c>
      <c r="AM202" t="inlineStr">
        <is>
          <t>Fresenius BlueStar</t>
        </is>
      </c>
      <c r="AN202" t="inlineStr">
        <is>
          <t>2008T</t>
        </is>
      </c>
      <c r="AO202" t="inlineStr">
        <is>
          <t>1T0S260498</t>
        </is>
      </c>
      <c r="AP202" t="inlineStr">
        <is>
          <t>n/a</t>
        </is>
      </c>
      <c r="AQ202" t="inlineStr">
        <is>
          <t>1T0S260498</t>
        </is>
      </c>
      <c r="AS202" t="inlineStr">
        <is>
          <t>B1-CFH</t>
        </is>
      </c>
      <c r="AX202" t="inlineStr">
        <is>
          <t>n/a</t>
        </is>
      </c>
      <c r="AY202" t="inlineStr">
        <is>
          <t>Fresenius BlueStar - 2008T</t>
        </is>
      </c>
      <c r="AZ202" t="inlineStr">
        <is>
          <t>n/a</t>
        </is>
      </c>
      <c r="BA202" t="inlineStr">
        <is>
          <t>n/a</t>
        </is>
      </c>
      <c r="BB202" t="inlineStr">
        <is>
          <t>n/a</t>
        </is>
      </c>
      <c r="BR202" t="inlineStr">
        <is>
          <t>Yes</t>
        </is>
      </c>
      <c r="BS202" t="inlineStr">
        <is>
          <t>Yes</t>
        </is>
      </c>
      <c r="BW202" t="inlineStr">
        <is>
          <t>Yes</t>
        </is>
      </c>
      <c r="BX202" t="n">
        <v>46027</v>
      </c>
      <c r="BZ202" t="inlineStr">
        <is>
          <t>Firmware Installed</t>
        </is>
      </c>
      <c r="CB202" t="inlineStr">
        <is>
          <t>Yes</t>
        </is>
      </c>
      <c r="CC202" t="inlineStr">
        <is>
          <t>No</t>
        </is>
      </c>
      <c r="CD202">
        <f>IF($Y202="","",IF((IF(AND($BR202&lt;&gt;"Yes",$BR202&lt;&gt;"N/A"),"Power Cable, ","")&amp;IF(AND($BS202&lt;&gt;"Yes",$BS202&lt;&gt;"N/A"),"Battery, ","")&amp;IF(AND($AD202&lt;&gt;"Yes",$AD202&lt;&gt;"N/A"),"Firmware Download, ","")&amp;IF(AND(OR($AD202="Yes",$AD202="N/A"),$AE202&lt;&gt;"Yes",$AE202&lt;&gt;"N/A"),"Firmware Install, ","")&amp;IF(AND($CB202&lt;&gt;"Yes",$CB202&lt;&gt;"N/A"),"Device ID, ","")&amp;IF(AND($CC202&lt;&gt;"Yes",$CC202&lt;&gt;"N/A"),"Epic Beans Relay, ",""))="","",LEFT(IF(AND($BR202&lt;&gt;"Yes",$BR202&lt;&gt;"N/A"),"Power Cable, ","")&amp;IF(AND($BS202&lt;&gt;"Yes",$BS202&lt;&gt;"N/A"),"Battery, ","")&amp;IF(AND($AD202&lt;&gt;"Yes",$AD202&lt;&gt;"N/A"),"Firmware Download, ","")&amp;IF(AND(OR($AD202="Yes",$AD202="N/A"),$AE202&lt;&gt;"Yes",$AE202&lt;&gt;"N/A"),"Firmware Install, ","")&amp;IF(AND($CB202&lt;&gt;"Yes",$CB202&lt;&gt;"N/A"),"Device ID, ","")&amp;IF(AND($CC202&lt;&gt;"Yes",$CC202&lt;&gt;"N/A"),"Epic Beans Relay, ",""),LEN(IF(AND($BR202&lt;&gt;"Yes",$BR202&lt;&gt;"N/A"),"Power Cable, ","")&amp;IF(AND($BS202&lt;&gt;"Yes",$BS202&lt;&gt;"N/A"),"Battery, ","")&amp;IF(AND($AD202&lt;&gt;"Yes",$AD202&lt;&gt;"N/A"),"Firmware Download, ","")&amp;IF(AND(OR($AD202="Yes",$AD202="N/A"),$AE202&lt;&gt;"Yes",$AE202&lt;&gt;"N/A"),"Firmware Install, ","")&amp;IF(AND($CB202&lt;&gt;"Yes",$CB202&lt;&gt;"N/A"),"Device ID, ","")&amp;IF(AND($CC202&lt;&gt;"Yes",$CC202&lt;&gt;"N/A"),"Epic Beans Relay, ",""))-2)))</f>
        <v/>
      </c>
      <c r="CE202">
        <f>IF($Y202="","",IF($CD202="","Yes","Blocked"))</f>
        <v/>
      </c>
      <c r="CP202">
        <f>IF($CO202="","",IFERROR(VLOOKUP($CO202,'01_Warehouse_Ledger'!$A:$N,4,FALSE),""))</f>
        <v/>
      </c>
      <c r="CQ202">
        <f>IF($CO202="","",IFERROR(VLOOKUP($CO202,'01_Warehouse_Ledger'!$A:$N,5,FALSE),""))</f>
        <v/>
      </c>
      <c r="CR202">
        <f>IF($CO202="","",IFERROR(VLOOKUP($CO202,'01_Warehouse_Ledger'!$A:$N,13,FALSE),""))</f>
        <v/>
      </c>
      <c r="CW202">
        <f>IF($S202="","",IF(UPPER(TRIM($S202))&lt;&gt;"PASS","",IF(LEN(TRIM($BY202))&gt;0,"NOTES_PRESENT",IF(LEN(TRIM($T202))=0,"SET_NA",IF(OR(LOWER(TRIM($T202))="na",LOWER(TRIM($T202))="n/a"),"OK","MANUAL_OVERRIDE")))))</f>
        <v/>
      </c>
    </row>
    <row r="203">
      <c r="A203" t="inlineStr">
        <is>
          <t>Neuron</t>
        </is>
      </c>
      <c r="B203" s="5" t="inlineStr">
        <is>
          <t>Yes</t>
        </is>
      </c>
      <c r="C203" t="inlineStr">
        <is>
          <t>Yes</t>
        </is>
      </c>
      <c r="D203">
        <f>IF($B203&lt;&gt;"Yes","",IF($C203="No","Yes",IF($C203="Yes","No","")))</f>
        <v/>
      </c>
      <c r="E203">
        <f>IF($A203="","",IF(OR(AND($V203&lt;&gt;"",LOWER(TRIM($V203))&lt;&gt;"n/a",LOWER(TRIM($V203))&lt;&gt;"na",SUMPRODUCT(--(UPPER(TRIM($V$2:$V$518))=UPPER(TRIM($V203))),--(TRIM($V$2:$V$518)&lt;&gt;""),--(LOWER(TRIM($V$2:$V$518))&lt;&gt;"n/a"),--(LOWER(TRIM($V$2:$V$518))&lt;&gt;"na"))&gt;1),AND($W203&lt;&gt;"",LOWER(TRIM($W203))&lt;&gt;"n/a",LOWER(TRIM($W203))&lt;&gt;"na",SUMPRODUCT(--(UPPER(TRIM($W$2:$W$518))=UPPER(TRIM($W203))),--(TRIM($W$2:$W$518)&lt;&gt;""),--(LOWER(TRIM($W$2:$W$518))&lt;&gt;"n/a"),--(LOWER(TRIM($W$2:$W$518))&lt;&gt;"na"))&gt;1),AND($X203&lt;&gt;"",LOWER(TRIM($X203))&lt;&gt;"n/a",LOWER(TRIM($X203))&lt;&gt;"na",SUMPRODUCT(--(UPPER(TRIM($X$2:$X$518))=UPPER(TRIM($X203))),--(TRIM($X$2:$X$518)&lt;&gt;""),--(LOWER(TRIM($X$2:$X$518))&lt;&gt;"n/a"),--(LOWER(TRIM($X$2:$X$518))&lt;&gt;"na"))&gt;1),AND($Y203&lt;&gt;"",LOWER(TRIM($Y203))&lt;&gt;"n/a",LOWER(TRIM($Y203))&lt;&gt;"na",SUMPRODUCT(--(UPPER(SUBSTITUTE(SUBSTITUTE(TRIM($Y$2:$Y$518),":",""),"-",""))=UPPER(SUBSTITUTE(SUBSTITUTE(TRIM($Y203),":",""),"-",""))),--(TRIM($Y$2:$Y$518)&lt;&gt;""),--(LOWER(TRIM($Y$2:$Y$518))&lt;&gt;"n/a"),--(LOWER(TRIM($Y$2:$Y$518))&lt;&gt;"na"))&gt;1),AND($AB203&lt;&gt;"",LOWER(TRIM($AB203))&lt;&gt;"n/a",LOWER(TRIM($AB203))&lt;&gt;"na",SUMPRODUCT(--(UPPER(TRIM($AB$2:$AB$518))=UPPER(TRIM($AB203))),--(TRIM($AB$2:$AB$518)&lt;&gt;""),--(LOWER(TRIM($AB$2:$AB$518))&lt;&gt;"n/a"),--(LOWER(TRIM($AB$2:$AB$518))&lt;&gt;"na"))&gt;1),AND($AH203&lt;&gt;"",LOWER(TRIM($AH203))&lt;&gt;"n/a",LOWER(TRIM($AH203))&lt;&gt;"na",SUMPRODUCT(--(UPPER(SUBSTITUTE(SUBSTITUTE(TRIM($AH$2:$AH$518),":",""),"-",""))=UPPER(SUBSTITUTE(SUBSTITUTE(TRIM($AH203),":",""),"-",""))),--(TRIM($AH$2:$AH$518)&lt;&gt;""),--(LOWER(TRIM($AH$2:$AH$518))&lt;&gt;"n/a"),--(LOWER(TRIM($AH$2:$AH$518))&lt;&gt;"na"))&gt;1),AND($AP203&lt;&gt;"",LOWER(TRIM($AP203))&lt;&gt;"n/a",LOWER(TRIM($AP203))&lt;&gt;"na",SUMPRODUCT(--(UPPER(TRIM($AP$2:$AP$518))=UPPER(TRIM($AP203))),--(TRIM($AP$2:$AP$518)&lt;&gt;""),--(LOWER(TRIM($AP$2:$AP$518))&lt;&gt;"n/a"),--(LOWER(TRIM($AP$2:$AP$518))&lt;&gt;"na"))&gt;1),AND($AQ203&lt;&gt;"",LOWER(TRIM($AQ203))&lt;&gt;"n/a",LOWER(TRIM($AQ203))&lt;&gt;"na",SUMPRODUCT(--(UPPER(TRIM($AQ$2:$AQ$518))=UPPER(TRIM($AQ203))),--(TRIM($AQ$2:$AQ$518)&lt;&gt;""),--(LOWER(TRIM($AQ$2:$AQ$518))&lt;&gt;"n/a"),--(LOWER(TRIM($AQ$2:$AQ$518))&lt;&gt;"na"))&gt;1)),"Yes","No"))</f>
        <v/>
      </c>
      <c r="F203">
        <f>IF(UPPER(TRIM($B203))&lt;&gt;"YES","", IF(OR(AND($V203&lt;&gt;"", LOWER(TRIM($V203))&lt;&gt;"n/a", LOWER(TRIM($V203))&lt;&gt;"na", SUMPRODUCT(--(UPPER(TRIM($V$2:$V$518))=UPPER(TRIM($V203))), --(UPPER(TRIM($B$2:$B$518))="YES"), --(UPPER(TRIM($G$2:$G$518)&amp;TRIM($I$2:$I$518)&amp;TRIM($J$2:$J$518))&lt;&gt;UPPER(TRIM($G203)&amp;TRIM($I203)&amp;TRIM($J203))))&gt;0), AND($W203&lt;&gt;"", LOWER(TRIM($W203))&lt;&gt;"n/a", LOWER(TRIM($W203))&lt;&gt;"na", SUMPRODUCT(--(UPPER(TRIM($W$2:$W$518))=UPPER(TRIM($W203))), --(UPPER(TRIM($B$2:$B$518))="YES"), --(UPPER(TRIM($G$2:$G$518)&amp;TRIM($I$2:$I$518)&amp;TRIM($J$2:$J$518))&lt;&gt;UPPER(TRIM($G203)&amp;TRIM($I203)&amp;TRIM($J203))))&gt;0), AND($X203&lt;&gt;"", LOWER(TRIM($X203))&lt;&gt;"n/a", LOWER(TRIM($X203))&lt;&gt;"na", SUMPRODUCT(--(UPPER(TRIM($X$2:$X$518))=UPPER(TRIM($X203))), --(UPPER(TRIM($B$2:$B$518))="YES"), --(UPPER(TRIM($G$2:$G$518)&amp;TRIM($I$2:$I$518)&amp;TRIM($J$2:$J$518))&lt;&gt;UPPER(TRIM($G203)&amp;TRIM($I203)&amp;TRIM($J203))))&gt;0), AND($Y203&lt;&gt;"", LOWER(TRIM($Y203))&lt;&gt;"n/a", LOWER(TRIM($Y203))&lt;&gt;"na", SUMPRODUCT(--(UPPER(SUBSTITUTE(SUBSTITUTE(TRIM($Y$2:$Y$518),":",""),"-",""))=UPPER(SUBSTITUTE(SUBSTITUTE(TRIM($Y203),":",""),"-",""))), --(UPPER(TRIM($B$2:$B$518))="YES"), --(UPPER(TRIM($G$2:$G$518)&amp;TRIM($I$2:$I$518)&amp;TRIM($J$2:$J$518))&lt;&gt;UPPER(TRIM($G203)&amp;TRIM($I203)&amp;TRIM($J203))))&gt;0), AND($AB203&lt;&gt;"", LOWER(TRIM($AB203))&lt;&gt;"n/a", LOWER(TRIM($AB203))&lt;&gt;"na", SUMPRODUCT(--(UPPER(TRIM($AB$2:$AB$518))=UPPER(TRIM($AB203))), --(UPPER(TRIM($B$2:$B$518))="YES"), --(UPPER(TRIM($G$2:$G$518)&amp;TRIM($I$2:$I$518)&amp;TRIM($J$2:$J$518))&lt;&gt;UPPER(TRIM($G203)&amp;TRIM($I203)&amp;TRIM($J203))))&gt;0), AND($AH203&lt;&gt;"", LOWER(TRIM($AH203))&lt;&gt;"n/a", LOWER(TRIM($AH203))&lt;&gt;"na", SUMPRODUCT(--(UPPER(SUBSTITUTE(SUBSTITUTE(TRIM($AH$2:$AH$518),":",""),"-",""))=UPPER(SUBSTITUTE(SUBSTITUTE(TRIM($AH203),":",""),"-",""))), --(UPPER(TRIM($B$2:$B$518))="YES"), --(UPPER(TRIM($G$2:$G$518)&amp;TRIM($I$2:$I$518)&amp;TRIM($J$2:$J$518))&lt;&gt;UPPER(TRIM($G203)&amp;TRIM($I203)&amp;TRIM($J203))))&gt;0), AND($AP203&lt;&gt;"", LOWER(TRIM($AP203))&lt;&gt;"n/a", LOWER(TRIM($AP203))&lt;&gt;"na", SUMPRODUCT(--(UPPER(TRIM($AP$2:$AP$518))=UPPER(TRIM($AP203))), --(UPPER(TRIM($B$2:$B$518))="YES"), --(UPPER(TRIM($G$2:$G$518)&amp;TRIM($I$2:$I$518)&amp;TRIM($J$2:$J$518))&lt;&gt;UPPER(TRIM($G203)&amp;TRIM($I203)&amp;TRIM($J203))))&gt;0), AND($AQ203&lt;&gt;"", LOWER(TRIM($AQ203))&lt;&gt;"n/a", LOWER(TRIM($AQ203))&lt;&gt;"na", SUMPRODUCT(--(UPPER(TRIM($AQ$2:$AQ$518))=UPPER(TRIM($AQ203))), --(UPPER(TRIM($B$2:$B$518))="YES"), --(UPPER(TRIM($G$2:$G$518)&amp;TRIM($I$2:$I$518)&amp;TRIM($J$2:$J$518))&lt;&gt;UPPER(TRIM($G203)&amp;TRIM($I203)&amp;TRIM($J203))))&gt;0)), "Yes", "No"))</f>
        <v/>
      </c>
      <c r="G203" t="inlineStr">
        <is>
          <t>LIJ SDF</t>
        </is>
      </c>
      <c r="H203" t="inlineStr">
        <is>
          <t>LIJ SDF</t>
        </is>
      </c>
      <c r="I203" t="inlineStr">
        <is>
          <t>Ground Level/Dialysis</t>
        </is>
      </c>
      <c r="J203" t="inlineStr">
        <is>
          <t>Open Patient Area</t>
        </is>
      </c>
      <c r="K203" t="n">
        <v>18</v>
      </c>
      <c r="L203" s="18" t="n">
        <v>46033</v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W203" t="inlineStr">
        <is>
          <t>n/a</t>
        </is>
      </c>
      <c r="X203" t="inlineStr">
        <is>
          <t>LIJ-SDF-MACH-R</t>
        </is>
      </c>
      <c r="Y203" t="inlineStr">
        <is>
          <t>A0F5097B99F8</t>
        </is>
      </c>
      <c r="Z203" t="inlineStr">
        <is>
          <t>10.134.18.73</t>
        </is>
      </c>
      <c r="AA203" t="inlineStr">
        <is>
          <t>Yes</t>
        </is>
      </c>
      <c r="AB203" t="inlineStr">
        <is>
          <t>WA25300278</t>
        </is>
      </c>
      <c r="AC203" t="inlineStr">
        <is>
          <t>LIJ</t>
        </is>
      </c>
      <c r="AD203" t="inlineStr">
        <is>
          <t>Yes</t>
        </is>
      </c>
      <c r="AE203" t="inlineStr">
        <is>
          <t>Yes</t>
        </is>
      </c>
      <c r="AF203" t="inlineStr">
        <is>
          <t>Yes</t>
        </is>
      </c>
      <c r="AG203" t="inlineStr">
        <is>
          <t>Yes</t>
        </is>
      </c>
      <c r="AI203" t="inlineStr">
        <is>
          <t>Dialysis Machine</t>
        </is>
      </c>
      <c r="AL203" t="inlineStr">
        <is>
          <t>BSM 040 B</t>
        </is>
      </c>
      <c r="AM203" t="inlineStr">
        <is>
          <t>Fresenius BlueStar</t>
        </is>
      </c>
      <c r="AN203" t="inlineStr">
        <is>
          <t>2008T</t>
        </is>
      </c>
      <c r="AO203" t="inlineStr">
        <is>
          <t>2T0S264810</t>
        </is>
      </c>
      <c r="AP203" t="inlineStr">
        <is>
          <t>n/a</t>
        </is>
      </c>
      <c r="AQ203" t="inlineStr">
        <is>
          <t>2T0S264810</t>
        </is>
      </c>
      <c r="AS203" t="inlineStr">
        <is>
          <t>B1-CFH</t>
        </is>
      </c>
      <c r="AX203" t="inlineStr">
        <is>
          <t>n/a</t>
        </is>
      </c>
      <c r="AY203" t="inlineStr">
        <is>
          <t>Fresenius BlueStar - 2008T</t>
        </is>
      </c>
      <c r="AZ203" t="inlineStr">
        <is>
          <t>n/a</t>
        </is>
      </c>
      <c r="BA203" t="inlineStr">
        <is>
          <t>n/a</t>
        </is>
      </c>
      <c r="BB203" t="inlineStr">
        <is>
          <t>n/a</t>
        </is>
      </c>
      <c r="BR203" t="inlineStr">
        <is>
          <t>Yes</t>
        </is>
      </c>
      <c r="BS203" t="inlineStr">
        <is>
          <t>Yes</t>
        </is>
      </c>
      <c r="BW203" t="inlineStr">
        <is>
          <t>Yes</t>
        </is>
      </c>
      <c r="BX203" t="n">
        <v>46027</v>
      </c>
      <c r="BZ203" t="inlineStr">
        <is>
          <t>Firmware Installed</t>
        </is>
      </c>
      <c r="CB203" t="inlineStr">
        <is>
          <t>Yes</t>
        </is>
      </c>
      <c r="CC203" t="inlineStr">
        <is>
          <t>No</t>
        </is>
      </c>
      <c r="CD203">
        <f>IF($Y203="","",IF((IF(AND($BR203&lt;&gt;"Yes",$BR203&lt;&gt;"N/A"),"Power Cable, ","")&amp;IF(AND($BS203&lt;&gt;"Yes",$BS203&lt;&gt;"N/A"),"Battery, ","")&amp;IF(AND($AD203&lt;&gt;"Yes",$AD203&lt;&gt;"N/A"),"Firmware Download, ","")&amp;IF(AND(OR($AD203="Yes",$AD203="N/A"),$AE203&lt;&gt;"Yes",$AE203&lt;&gt;"N/A"),"Firmware Install, ","")&amp;IF(AND($CB203&lt;&gt;"Yes",$CB203&lt;&gt;"N/A"),"Device ID, ","")&amp;IF(AND($CC203&lt;&gt;"Yes",$CC203&lt;&gt;"N/A"),"Epic Beans Relay, ",""))="","",LEFT(IF(AND($BR203&lt;&gt;"Yes",$BR203&lt;&gt;"N/A"),"Power Cable, ","")&amp;IF(AND($BS203&lt;&gt;"Yes",$BS203&lt;&gt;"N/A"),"Battery, ","")&amp;IF(AND($AD203&lt;&gt;"Yes",$AD203&lt;&gt;"N/A"),"Firmware Download, ","")&amp;IF(AND(OR($AD203="Yes",$AD203="N/A"),$AE203&lt;&gt;"Yes",$AE203&lt;&gt;"N/A"),"Firmware Install, ","")&amp;IF(AND($CB203&lt;&gt;"Yes",$CB203&lt;&gt;"N/A"),"Device ID, ","")&amp;IF(AND($CC203&lt;&gt;"Yes",$CC203&lt;&gt;"N/A"),"Epic Beans Relay, ",""),LEN(IF(AND($BR203&lt;&gt;"Yes",$BR203&lt;&gt;"N/A"),"Power Cable, ","")&amp;IF(AND($BS203&lt;&gt;"Yes",$BS203&lt;&gt;"N/A"),"Battery, ","")&amp;IF(AND($AD203&lt;&gt;"Yes",$AD203&lt;&gt;"N/A"),"Firmware Download, ","")&amp;IF(AND(OR($AD203="Yes",$AD203="N/A"),$AE203&lt;&gt;"Yes",$AE203&lt;&gt;"N/A"),"Firmware Install, ","")&amp;IF(AND($CB203&lt;&gt;"Yes",$CB203&lt;&gt;"N/A"),"Device ID, ","")&amp;IF(AND($CC203&lt;&gt;"Yes",$CC203&lt;&gt;"N/A"),"Epic Beans Relay, ",""))-2)))</f>
        <v/>
      </c>
      <c r="CE203">
        <f>IF($Y203="","",IF($CD203="","Yes","Blocked"))</f>
        <v/>
      </c>
      <c r="CP203">
        <f>IF($CO203="","",IFERROR(VLOOKUP($CO203,'01_Warehouse_Ledger'!$A:$N,4,FALSE),""))</f>
        <v/>
      </c>
      <c r="CQ203">
        <f>IF($CO203="","",IFERROR(VLOOKUP($CO203,'01_Warehouse_Ledger'!$A:$N,5,FALSE),""))</f>
        <v/>
      </c>
      <c r="CR203">
        <f>IF($CO203="","",IFERROR(VLOOKUP($CO203,'01_Warehouse_Ledger'!$A:$N,13,FALSE),""))</f>
        <v/>
      </c>
      <c r="CW203">
        <f>IF($S203="","",IF(UPPER(TRIM($S203))&lt;&gt;"PASS","",IF(LEN(TRIM($BY203))&gt;0,"NOTES_PRESENT",IF(LEN(TRIM($T203))=0,"SET_NA",IF(OR(LOWER(TRIM($T203))="na",LOWER(TRIM($T203))="n/a"),"OK","MANUAL_OVERRIDE")))))</f>
        <v/>
      </c>
    </row>
    <row r="204">
      <c r="A204" t="inlineStr">
        <is>
          <t>Neuron</t>
        </is>
      </c>
      <c r="B204" s="5" t="inlineStr">
        <is>
          <t>Yes</t>
        </is>
      </c>
      <c r="C204" t="inlineStr">
        <is>
          <t>Yes</t>
        </is>
      </c>
      <c r="D204">
        <f>IF($B204&lt;&gt;"Yes","",IF($C204="No","Yes",IF($C204="Yes","No","")))</f>
        <v/>
      </c>
      <c r="E204">
        <f>IF($A204="","",IF(OR(AND($V204&lt;&gt;"",LOWER(TRIM($V204))&lt;&gt;"n/a",LOWER(TRIM($V204))&lt;&gt;"na",SUMPRODUCT(--(UPPER(TRIM($V$2:$V$518))=UPPER(TRIM($V204))),--(TRIM($V$2:$V$518)&lt;&gt;""),--(LOWER(TRIM($V$2:$V$518))&lt;&gt;"n/a"),--(LOWER(TRIM($V$2:$V$518))&lt;&gt;"na"))&gt;1),AND($W204&lt;&gt;"",LOWER(TRIM($W204))&lt;&gt;"n/a",LOWER(TRIM($W204))&lt;&gt;"na",SUMPRODUCT(--(UPPER(TRIM($W$2:$W$518))=UPPER(TRIM($W204))),--(TRIM($W$2:$W$518)&lt;&gt;""),--(LOWER(TRIM($W$2:$W$518))&lt;&gt;"n/a"),--(LOWER(TRIM($W$2:$W$518))&lt;&gt;"na"))&gt;1),AND($X204&lt;&gt;"",LOWER(TRIM($X204))&lt;&gt;"n/a",LOWER(TRIM($X204))&lt;&gt;"na",SUMPRODUCT(--(UPPER(TRIM($X$2:$X$518))=UPPER(TRIM($X204))),--(TRIM($X$2:$X$518)&lt;&gt;""),--(LOWER(TRIM($X$2:$X$518))&lt;&gt;"n/a"),--(LOWER(TRIM($X$2:$X$518))&lt;&gt;"na"))&gt;1),AND($Y204&lt;&gt;"",LOWER(TRIM($Y204))&lt;&gt;"n/a",LOWER(TRIM($Y204))&lt;&gt;"na",SUMPRODUCT(--(UPPER(SUBSTITUTE(SUBSTITUTE(TRIM($Y$2:$Y$518),":",""),"-",""))=UPPER(SUBSTITUTE(SUBSTITUTE(TRIM($Y204),":",""),"-",""))),--(TRIM($Y$2:$Y$518)&lt;&gt;""),--(LOWER(TRIM($Y$2:$Y$518))&lt;&gt;"n/a"),--(LOWER(TRIM($Y$2:$Y$518))&lt;&gt;"na"))&gt;1),AND($AB204&lt;&gt;"",LOWER(TRIM($AB204))&lt;&gt;"n/a",LOWER(TRIM($AB204))&lt;&gt;"na",SUMPRODUCT(--(UPPER(TRIM($AB$2:$AB$518))=UPPER(TRIM($AB204))),--(TRIM($AB$2:$AB$518)&lt;&gt;""),--(LOWER(TRIM($AB$2:$AB$518))&lt;&gt;"n/a"),--(LOWER(TRIM($AB$2:$AB$518))&lt;&gt;"na"))&gt;1),AND($AH204&lt;&gt;"",LOWER(TRIM($AH204))&lt;&gt;"n/a",LOWER(TRIM($AH204))&lt;&gt;"na",SUMPRODUCT(--(UPPER(SUBSTITUTE(SUBSTITUTE(TRIM($AH$2:$AH$518),":",""),"-",""))=UPPER(SUBSTITUTE(SUBSTITUTE(TRIM($AH204),":",""),"-",""))),--(TRIM($AH$2:$AH$518)&lt;&gt;""),--(LOWER(TRIM($AH$2:$AH$518))&lt;&gt;"n/a"),--(LOWER(TRIM($AH$2:$AH$518))&lt;&gt;"na"))&gt;1),AND($AP204&lt;&gt;"",LOWER(TRIM($AP204))&lt;&gt;"n/a",LOWER(TRIM($AP204))&lt;&gt;"na",SUMPRODUCT(--(UPPER(TRIM($AP$2:$AP$518))=UPPER(TRIM($AP204))),--(TRIM($AP$2:$AP$518)&lt;&gt;""),--(LOWER(TRIM($AP$2:$AP$518))&lt;&gt;"n/a"),--(LOWER(TRIM($AP$2:$AP$518))&lt;&gt;"na"))&gt;1),AND($AQ204&lt;&gt;"",LOWER(TRIM($AQ204))&lt;&gt;"n/a",LOWER(TRIM($AQ204))&lt;&gt;"na",SUMPRODUCT(--(UPPER(TRIM($AQ$2:$AQ$518))=UPPER(TRIM($AQ204))),--(TRIM($AQ$2:$AQ$518)&lt;&gt;""),--(LOWER(TRIM($AQ$2:$AQ$518))&lt;&gt;"n/a"),--(LOWER(TRIM($AQ$2:$AQ$518))&lt;&gt;"na"))&gt;1)),"Yes","No"))</f>
        <v/>
      </c>
      <c r="F204">
        <f>IF(UPPER(TRIM($B204))&lt;&gt;"YES","", IF(OR(AND($V204&lt;&gt;"", LOWER(TRIM($V204))&lt;&gt;"n/a", LOWER(TRIM($V204))&lt;&gt;"na", SUMPRODUCT(--(UPPER(TRIM($V$2:$V$518))=UPPER(TRIM($V204))), --(UPPER(TRIM($B$2:$B$518))="YES"), --(UPPER(TRIM($G$2:$G$518)&amp;TRIM($I$2:$I$518)&amp;TRIM($J$2:$J$518))&lt;&gt;UPPER(TRIM($G204)&amp;TRIM($I204)&amp;TRIM($J204))))&gt;0), AND($W204&lt;&gt;"", LOWER(TRIM($W204))&lt;&gt;"n/a", LOWER(TRIM($W204))&lt;&gt;"na", SUMPRODUCT(--(UPPER(TRIM($W$2:$W$518))=UPPER(TRIM($W204))), --(UPPER(TRIM($B$2:$B$518))="YES"), --(UPPER(TRIM($G$2:$G$518)&amp;TRIM($I$2:$I$518)&amp;TRIM($J$2:$J$518))&lt;&gt;UPPER(TRIM($G204)&amp;TRIM($I204)&amp;TRIM($J204))))&gt;0), AND($X204&lt;&gt;"", LOWER(TRIM($X204))&lt;&gt;"n/a", LOWER(TRIM($X204))&lt;&gt;"na", SUMPRODUCT(--(UPPER(TRIM($X$2:$X$518))=UPPER(TRIM($X204))), --(UPPER(TRIM($B$2:$B$518))="YES"), --(UPPER(TRIM($G$2:$G$518)&amp;TRIM($I$2:$I$518)&amp;TRIM($J$2:$J$518))&lt;&gt;UPPER(TRIM($G204)&amp;TRIM($I204)&amp;TRIM($J204))))&gt;0), AND($Y204&lt;&gt;"", LOWER(TRIM($Y204))&lt;&gt;"n/a", LOWER(TRIM($Y204))&lt;&gt;"na", SUMPRODUCT(--(UPPER(SUBSTITUTE(SUBSTITUTE(TRIM($Y$2:$Y$518),":",""),"-",""))=UPPER(SUBSTITUTE(SUBSTITUTE(TRIM($Y204),":",""),"-",""))), --(UPPER(TRIM($B$2:$B$518))="YES"), --(UPPER(TRIM($G$2:$G$518)&amp;TRIM($I$2:$I$518)&amp;TRIM($J$2:$J$518))&lt;&gt;UPPER(TRIM($G204)&amp;TRIM($I204)&amp;TRIM($J204))))&gt;0), AND($AB204&lt;&gt;"", LOWER(TRIM($AB204))&lt;&gt;"n/a", LOWER(TRIM($AB204))&lt;&gt;"na", SUMPRODUCT(--(UPPER(TRIM($AB$2:$AB$518))=UPPER(TRIM($AB204))), --(UPPER(TRIM($B$2:$B$518))="YES"), --(UPPER(TRIM($G$2:$G$518)&amp;TRIM($I$2:$I$518)&amp;TRIM($J$2:$J$518))&lt;&gt;UPPER(TRIM($G204)&amp;TRIM($I204)&amp;TRIM($J204))))&gt;0), AND($AH204&lt;&gt;"", LOWER(TRIM($AH204))&lt;&gt;"n/a", LOWER(TRIM($AH204))&lt;&gt;"na", SUMPRODUCT(--(UPPER(SUBSTITUTE(SUBSTITUTE(TRIM($AH$2:$AH$518),":",""),"-",""))=UPPER(SUBSTITUTE(SUBSTITUTE(TRIM($AH204),":",""),"-",""))), --(UPPER(TRIM($B$2:$B$518))="YES"), --(UPPER(TRIM($G$2:$G$518)&amp;TRIM($I$2:$I$518)&amp;TRIM($J$2:$J$518))&lt;&gt;UPPER(TRIM($G204)&amp;TRIM($I204)&amp;TRIM($J204))))&gt;0), AND($AP204&lt;&gt;"", LOWER(TRIM($AP204))&lt;&gt;"n/a", LOWER(TRIM($AP204))&lt;&gt;"na", SUMPRODUCT(--(UPPER(TRIM($AP$2:$AP$518))=UPPER(TRIM($AP204))), --(UPPER(TRIM($B$2:$B$518))="YES"), --(UPPER(TRIM($G$2:$G$518)&amp;TRIM($I$2:$I$518)&amp;TRIM($J$2:$J$518))&lt;&gt;UPPER(TRIM($G204)&amp;TRIM($I204)&amp;TRIM($J204))))&gt;0), AND($AQ204&lt;&gt;"", LOWER(TRIM($AQ204))&lt;&gt;"n/a", LOWER(TRIM($AQ204))&lt;&gt;"na", SUMPRODUCT(--(UPPER(TRIM($AQ$2:$AQ$518))=UPPER(TRIM($AQ204))), --(UPPER(TRIM($B$2:$B$518))="YES"), --(UPPER(TRIM($G$2:$G$518)&amp;TRIM($I$2:$I$518)&amp;TRIM($J$2:$J$518))&lt;&gt;UPPER(TRIM($G204)&amp;TRIM($I204)&amp;TRIM($J204))))&gt;0)), "Yes", "No"))</f>
        <v/>
      </c>
      <c r="G204" t="inlineStr">
        <is>
          <t>LIJ SDF</t>
        </is>
      </c>
      <c r="H204" t="inlineStr">
        <is>
          <t>LIJ SDF</t>
        </is>
      </c>
      <c r="I204" t="inlineStr">
        <is>
          <t>Ground Level/Dialysis</t>
        </is>
      </c>
      <c r="J204" t="inlineStr">
        <is>
          <t>Open Patient Area</t>
        </is>
      </c>
      <c r="K204" t="n">
        <v>19</v>
      </c>
      <c r="L204" s="18" t="n">
        <v>46033</v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W204" t="inlineStr">
        <is>
          <t>n/a</t>
        </is>
      </c>
      <c r="X204" t="inlineStr">
        <is>
          <t>LIJ-SDF-MACH-S</t>
        </is>
      </c>
      <c r="Y204" t="inlineStr">
        <is>
          <t>A0F5097B975D</t>
        </is>
      </c>
      <c r="Z204" t="inlineStr">
        <is>
          <t>10.134.18.72</t>
        </is>
      </c>
      <c r="AA204" t="inlineStr">
        <is>
          <t>Yes</t>
        </is>
      </c>
      <c r="AB204" t="inlineStr">
        <is>
          <t>WA25300337</t>
        </is>
      </c>
      <c r="AC204" t="inlineStr">
        <is>
          <t>LIJ</t>
        </is>
      </c>
      <c r="AD204" t="inlineStr">
        <is>
          <t>Yes</t>
        </is>
      </c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  <c r="AI204" t="inlineStr">
        <is>
          <t>Dialysis Machine</t>
        </is>
      </c>
      <c r="AL204" t="inlineStr">
        <is>
          <t>BSM 041 A</t>
        </is>
      </c>
      <c r="AM204" t="inlineStr">
        <is>
          <t>Fresenius BlueStar</t>
        </is>
      </c>
      <c r="AN204" t="inlineStr">
        <is>
          <t>2008T</t>
        </is>
      </c>
      <c r="AO204" t="inlineStr">
        <is>
          <t>9T0S247179</t>
        </is>
      </c>
      <c r="AP204" t="inlineStr">
        <is>
          <t>n/a</t>
        </is>
      </c>
      <c r="AQ204" t="inlineStr">
        <is>
          <t>9T0S247179</t>
        </is>
      </c>
      <c r="AS204" t="inlineStr">
        <is>
          <t>B1-CFH</t>
        </is>
      </c>
      <c r="AX204" t="inlineStr">
        <is>
          <t>n/a</t>
        </is>
      </c>
      <c r="AY204" t="inlineStr">
        <is>
          <t>Fresenius BlueStar - 2008T</t>
        </is>
      </c>
      <c r="AZ204" t="inlineStr">
        <is>
          <t>n/a</t>
        </is>
      </c>
      <c r="BA204" t="inlineStr">
        <is>
          <t>n/a</t>
        </is>
      </c>
      <c r="BB204" t="inlineStr">
        <is>
          <t>n/a</t>
        </is>
      </c>
      <c r="BR204" t="inlineStr">
        <is>
          <t>Yes</t>
        </is>
      </c>
      <c r="BS204" t="inlineStr">
        <is>
          <t>Yes</t>
        </is>
      </c>
      <c r="BW204" t="inlineStr">
        <is>
          <t>Yes</t>
        </is>
      </c>
      <c r="BX204" t="n">
        <v>46027</v>
      </c>
      <c r="BZ204" t="inlineStr">
        <is>
          <t>Firmware Installed</t>
        </is>
      </c>
      <c r="CB204" t="inlineStr">
        <is>
          <t>Yes</t>
        </is>
      </c>
      <c r="CC204" t="inlineStr">
        <is>
          <t>No</t>
        </is>
      </c>
      <c r="CD204">
        <f>IF($Y204="","",IF((IF(AND($BR204&lt;&gt;"Yes",$BR204&lt;&gt;"N/A"),"Power Cable, ","")&amp;IF(AND($BS204&lt;&gt;"Yes",$BS204&lt;&gt;"N/A"),"Battery, ","")&amp;IF(AND($AD204&lt;&gt;"Yes",$AD204&lt;&gt;"N/A"),"Firmware Download, ","")&amp;IF(AND(OR($AD204="Yes",$AD204="N/A"),$AE204&lt;&gt;"Yes",$AE204&lt;&gt;"N/A"),"Firmware Install, ","")&amp;IF(AND($CB204&lt;&gt;"Yes",$CB204&lt;&gt;"N/A"),"Device ID, ","")&amp;IF(AND($CC204&lt;&gt;"Yes",$CC204&lt;&gt;"N/A"),"Epic Beans Relay, ",""))="","",LEFT(IF(AND($BR204&lt;&gt;"Yes",$BR204&lt;&gt;"N/A"),"Power Cable, ","")&amp;IF(AND($BS204&lt;&gt;"Yes",$BS204&lt;&gt;"N/A"),"Battery, ","")&amp;IF(AND($AD204&lt;&gt;"Yes",$AD204&lt;&gt;"N/A"),"Firmware Download, ","")&amp;IF(AND(OR($AD204="Yes",$AD204="N/A"),$AE204&lt;&gt;"Yes",$AE204&lt;&gt;"N/A"),"Firmware Install, ","")&amp;IF(AND($CB204&lt;&gt;"Yes",$CB204&lt;&gt;"N/A"),"Device ID, ","")&amp;IF(AND($CC204&lt;&gt;"Yes",$CC204&lt;&gt;"N/A"),"Epic Beans Relay, ",""),LEN(IF(AND($BR204&lt;&gt;"Yes",$BR204&lt;&gt;"N/A"),"Power Cable, ","")&amp;IF(AND($BS204&lt;&gt;"Yes",$BS204&lt;&gt;"N/A"),"Battery, ","")&amp;IF(AND($AD204&lt;&gt;"Yes",$AD204&lt;&gt;"N/A"),"Firmware Download, ","")&amp;IF(AND(OR($AD204="Yes",$AD204="N/A"),$AE204&lt;&gt;"Yes",$AE204&lt;&gt;"N/A"),"Firmware Install, ","")&amp;IF(AND($CB204&lt;&gt;"Yes",$CB204&lt;&gt;"N/A"),"Device ID, ","")&amp;IF(AND($CC204&lt;&gt;"Yes",$CC204&lt;&gt;"N/A"),"Epic Beans Relay, ",""))-2)))</f>
        <v/>
      </c>
      <c r="CE204">
        <f>IF($Y204="","",IF($CD204="","Yes","Blocked"))</f>
        <v/>
      </c>
      <c r="CP204">
        <f>IF($CO204="","",IFERROR(VLOOKUP($CO204,'01_Warehouse_Ledger'!$A:$N,4,FALSE),""))</f>
        <v/>
      </c>
      <c r="CQ204">
        <f>IF($CO204="","",IFERROR(VLOOKUP($CO204,'01_Warehouse_Ledger'!$A:$N,5,FALSE),""))</f>
        <v/>
      </c>
      <c r="CR204">
        <f>IF($CO204="","",IFERROR(VLOOKUP($CO204,'01_Warehouse_Ledger'!$A:$N,13,FALSE),""))</f>
        <v/>
      </c>
      <c r="CW204">
        <f>IF($S204="","",IF(UPPER(TRIM($S204))&lt;&gt;"PASS","",IF(LEN(TRIM($BY204))&gt;0,"NOTES_PRESENT",IF(LEN(TRIM($T204))=0,"SET_NA",IF(OR(LOWER(TRIM($T204))="na",LOWER(TRIM($T204))="n/a"),"OK","MANUAL_OVERRIDE")))))</f>
        <v/>
      </c>
    </row>
    <row r="205">
      <c r="A205" t="inlineStr">
        <is>
          <t>Neuron</t>
        </is>
      </c>
      <c r="B205" s="5" t="inlineStr">
        <is>
          <t>Yes</t>
        </is>
      </c>
      <c r="C205" t="inlineStr">
        <is>
          <t>Yes</t>
        </is>
      </c>
      <c r="D205">
        <f>IF($B205&lt;&gt;"Yes","",IF($C205="No","Yes",IF($C205="Yes","No","")))</f>
        <v/>
      </c>
      <c r="E205">
        <f>IF($A205="","",IF(OR(AND($V205&lt;&gt;"",LOWER(TRIM($V205))&lt;&gt;"n/a",LOWER(TRIM($V205))&lt;&gt;"na",SUMPRODUCT(--(UPPER(TRIM($V$2:$V$518))=UPPER(TRIM($V205))),--(TRIM($V$2:$V$518)&lt;&gt;""),--(LOWER(TRIM($V$2:$V$518))&lt;&gt;"n/a"),--(LOWER(TRIM($V$2:$V$518))&lt;&gt;"na"))&gt;1),AND($W205&lt;&gt;"",LOWER(TRIM($W205))&lt;&gt;"n/a",LOWER(TRIM($W205))&lt;&gt;"na",SUMPRODUCT(--(UPPER(TRIM($W$2:$W$518))=UPPER(TRIM($W205))),--(TRIM($W$2:$W$518)&lt;&gt;""),--(LOWER(TRIM($W$2:$W$518))&lt;&gt;"n/a"),--(LOWER(TRIM($W$2:$W$518))&lt;&gt;"na"))&gt;1),AND($X205&lt;&gt;"",LOWER(TRIM($X205))&lt;&gt;"n/a",LOWER(TRIM($X205))&lt;&gt;"na",SUMPRODUCT(--(UPPER(TRIM($X$2:$X$518))=UPPER(TRIM($X205))),--(TRIM($X$2:$X$518)&lt;&gt;""),--(LOWER(TRIM($X$2:$X$518))&lt;&gt;"n/a"),--(LOWER(TRIM($X$2:$X$518))&lt;&gt;"na"))&gt;1),AND($Y205&lt;&gt;"",LOWER(TRIM($Y205))&lt;&gt;"n/a",LOWER(TRIM($Y205))&lt;&gt;"na",SUMPRODUCT(--(UPPER(SUBSTITUTE(SUBSTITUTE(TRIM($Y$2:$Y$518),":",""),"-",""))=UPPER(SUBSTITUTE(SUBSTITUTE(TRIM($Y205),":",""),"-",""))),--(TRIM($Y$2:$Y$518)&lt;&gt;""),--(LOWER(TRIM($Y$2:$Y$518))&lt;&gt;"n/a"),--(LOWER(TRIM($Y$2:$Y$518))&lt;&gt;"na"))&gt;1),AND($AB205&lt;&gt;"",LOWER(TRIM($AB205))&lt;&gt;"n/a",LOWER(TRIM($AB205))&lt;&gt;"na",SUMPRODUCT(--(UPPER(TRIM($AB$2:$AB$518))=UPPER(TRIM($AB205))),--(TRIM($AB$2:$AB$518)&lt;&gt;""),--(LOWER(TRIM($AB$2:$AB$518))&lt;&gt;"n/a"),--(LOWER(TRIM($AB$2:$AB$518))&lt;&gt;"na"))&gt;1),AND($AH205&lt;&gt;"",LOWER(TRIM($AH205))&lt;&gt;"n/a",LOWER(TRIM($AH205))&lt;&gt;"na",SUMPRODUCT(--(UPPER(SUBSTITUTE(SUBSTITUTE(TRIM($AH$2:$AH$518),":",""),"-",""))=UPPER(SUBSTITUTE(SUBSTITUTE(TRIM($AH205),":",""),"-",""))),--(TRIM($AH$2:$AH$518)&lt;&gt;""),--(LOWER(TRIM($AH$2:$AH$518))&lt;&gt;"n/a"),--(LOWER(TRIM($AH$2:$AH$518))&lt;&gt;"na"))&gt;1),AND($AP205&lt;&gt;"",LOWER(TRIM($AP205))&lt;&gt;"n/a",LOWER(TRIM($AP205))&lt;&gt;"na",SUMPRODUCT(--(UPPER(TRIM($AP$2:$AP$518))=UPPER(TRIM($AP205))),--(TRIM($AP$2:$AP$518)&lt;&gt;""),--(LOWER(TRIM($AP$2:$AP$518))&lt;&gt;"n/a"),--(LOWER(TRIM($AP$2:$AP$518))&lt;&gt;"na"))&gt;1),AND($AQ205&lt;&gt;"",LOWER(TRIM($AQ205))&lt;&gt;"n/a",LOWER(TRIM($AQ205))&lt;&gt;"na",SUMPRODUCT(--(UPPER(TRIM($AQ$2:$AQ$518))=UPPER(TRIM($AQ205))),--(TRIM($AQ$2:$AQ$518)&lt;&gt;""),--(LOWER(TRIM($AQ$2:$AQ$518))&lt;&gt;"n/a"),--(LOWER(TRIM($AQ$2:$AQ$518))&lt;&gt;"na"))&gt;1)),"Yes","No"))</f>
        <v/>
      </c>
      <c r="F205">
        <f>IF(UPPER(TRIM($B205))&lt;&gt;"YES","", IF(OR(AND($V205&lt;&gt;"", LOWER(TRIM($V205))&lt;&gt;"n/a", LOWER(TRIM($V205))&lt;&gt;"na", SUMPRODUCT(--(UPPER(TRIM($V$2:$V$518))=UPPER(TRIM($V205))), --(UPPER(TRIM($B$2:$B$518))="YES"), --(UPPER(TRIM($G$2:$G$518)&amp;TRIM($I$2:$I$518)&amp;TRIM($J$2:$J$518))&lt;&gt;UPPER(TRIM($G205)&amp;TRIM($I205)&amp;TRIM($J205))))&gt;0), AND($W205&lt;&gt;"", LOWER(TRIM($W205))&lt;&gt;"n/a", LOWER(TRIM($W205))&lt;&gt;"na", SUMPRODUCT(--(UPPER(TRIM($W$2:$W$518))=UPPER(TRIM($W205))), --(UPPER(TRIM($B$2:$B$518))="YES"), --(UPPER(TRIM($G$2:$G$518)&amp;TRIM($I$2:$I$518)&amp;TRIM($J$2:$J$518))&lt;&gt;UPPER(TRIM($G205)&amp;TRIM($I205)&amp;TRIM($J205))))&gt;0), AND($X205&lt;&gt;"", LOWER(TRIM($X205))&lt;&gt;"n/a", LOWER(TRIM($X205))&lt;&gt;"na", SUMPRODUCT(--(UPPER(TRIM($X$2:$X$518))=UPPER(TRIM($X205))), --(UPPER(TRIM($B$2:$B$518))="YES"), --(UPPER(TRIM($G$2:$G$518)&amp;TRIM($I$2:$I$518)&amp;TRIM($J$2:$J$518))&lt;&gt;UPPER(TRIM($G205)&amp;TRIM($I205)&amp;TRIM($J205))))&gt;0), AND($Y205&lt;&gt;"", LOWER(TRIM($Y205))&lt;&gt;"n/a", LOWER(TRIM($Y205))&lt;&gt;"na", SUMPRODUCT(--(UPPER(SUBSTITUTE(SUBSTITUTE(TRIM($Y$2:$Y$518),":",""),"-",""))=UPPER(SUBSTITUTE(SUBSTITUTE(TRIM($Y205),":",""),"-",""))), --(UPPER(TRIM($B$2:$B$518))="YES"), --(UPPER(TRIM($G$2:$G$518)&amp;TRIM($I$2:$I$518)&amp;TRIM($J$2:$J$518))&lt;&gt;UPPER(TRIM($G205)&amp;TRIM($I205)&amp;TRIM($J205))))&gt;0), AND($AB205&lt;&gt;"", LOWER(TRIM($AB205))&lt;&gt;"n/a", LOWER(TRIM($AB205))&lt;&gt;"na", SUMPRODUCT(--(UPPER(TRIM($AB$2:$AB$518))=UPPER(TRIM($AB205))), --(UPPER(TRIM($B$2:$B$518))="YES"), --(UPPER(TRIM($G$2:$G$518)&amp;TRIM($I$2:$I$518)&amp;TRIM($J$2:$J$518))&lt;&gt;UPPER(TRIM($G205)&amp;TRIM($I205)&amp;TRIM($J205))))&gt;0), AND($AH205&lt;&gt;"", LOWER(TRIM($AH205))&lt;&gt;"n/a", LOWER(TRIM($AH205))&lt;&gt;"na", SUMPRODUCT(--(UPPER(SUBSTITUTE(SUBSTITUTE(TRIM($AH$2:$AH$518),":",""),"-",""))=UPPER(SUBSTITUTE(SUBSTITUTE(TRIM($AH205),":",""),"-",""))), --(UPPER(TRIM($B$2:$B$518))="YES"), --(UPPER(TRIM($G$2:$G$518)&amp;TRIM($I$2:$I$518)&amp;TRIM($J$2:$J$518))&lt;&gt;UPPER(TRIM($G205)&amp;TRIM($I205)&amp;TRIM($J205))))&gt;0), AND($AP205&lt;&gt;"", LOWER(TRIM($AP205))&lt;&gt;"n/a", LOWER(TRIM($AP205))&lt;&gt;"na", SUMPRODUCT(--(UPPER(TRIM($AP$2:$AP$518))=UPPER(TRIM($AP205))), --(UPPER(TRIM($B$2:$B$518))="YES"), --(UPPER(TRIM($G$2:$G$518)&amp;TRIM($I$2:$I$518)&amp;TRIM($J$2:$J$518))&lt;&gt;UPPER(TRIM($G205)&amp;TRIM($I205)&amp;TRIM($J205))))&gt;0), AND($AQ205&lt;&gt;"", LOWER(TRIM($AQ205))&lt;&gt;"n/a", LOWER(TRIM($AQ205))&lt;&gt;"na", SUMPRODUCT(--(UPPER(TRIM($AQ$2:$AQ$518))=UPPER(TRIM($AQ205))), --(UPPER(TRIM($B$2:$B$518))="YES"), --(UPPER(TRIM($G$2:$G$518)&amp;TRIM($I$2:$I$518)&amp;TRIM($J$2:$J$518))&lt;&gt;UPPER(TRIM($G205)&amp;TRIM($I205)&amp;TRIM($J205))))&gt;0)), "Yes", "No"))</f>
        <v/>
      </c>
      <c r="G205" t="inlineStr">
        <is>
          <t>LIJ SDF</t>
        </is>
      </c>
      <c r="H205" t="inlineStr">
        <is>
          <t>LIJ SDF</t>
        </is>
      </c>
      <c r="I205" t="inlineStr">
        <is>
          <t>Ground Level/Dialysis</t>
        </is>
      </c>
      <c r="J205" t="inlineStr">
        <is>
          <t>Open Patient Area</t>
        </is>
      </c>
      <c r="K205" t="n">
        <v>20</v>
      </c>
      <c r="L205" s="18" t="n">
        <v>46033</v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W205" t="inlineStr">
        <is>
          <t>n/a</t>
        </is>
      </c>
      <c r="X205" t="inlineStr">
        <is>
          <t>LIJ-SDF-MACH-T</t>
        </is>
      </c>
      <c r="Y205" t="inlineStr">
        <is>
          <t>A0F5097BA007</t>
        </is>
      </c>
      <c r="Z205" t="inlineStr">
        <is>
          <t>10.134.19.41</t>
        </is>
      </c>
      <c r="AA205" t="inlineStr">
        <is>
          <t>Yes</t>
        </is>
      </c>
      <c r="AB205" t="inlineStr">
        <is>
          <t>WA25300319</t>
        </is>
      </c>
      <c r="AC205" t="inlineStr">
        <is>
          <t>LIJ</t>
        </is>
      </c>
      <c r="AD205" t="inlineStr">
        <is>
          <t>Yes</t>
        </is>
      </c>
      <c r="AE205" t="inlineStr">
        <is>
          <t>Yes</t>
        </is>
      </c>
      <c r="AF205" t="inlineStr">
        <is>
          <t>Yes</t>
        </is>
      </c>
      <c r="AG205" t="inlineStr">
        <is>
          <t>Yes</t>
        </is>
      </c>
      <c r="AI205" t="inlineStr">
        <is>
          <t>Dialysis Machine</t>
        </is>
      </c>
      <c r="AL205" t="inlineStr">
        <is>
          <t>BSM 041 B</t>
        </is>
      </c>
      <c r="AM205" t="inlineStr">
        <is>
          <t>Fresenius BlueStar</t>
        </is>
      </c>
      <c r="AN205" t="inlineStr">
        <is>
          <t>2008T</t>
        </is>
      </c>
      <c r="AO205" t="inlineStr">
        <is>
          <t>6T0S164337</t>
        </is>
      </c>
      <c r="AP205" t="inlineStr">
        <is>
          <t>n/a</t>
        </is>
      </c>
      <c r="AQ205" t="inlineStr">
        <is>
          <t>6T0S164337</t>
        </is>
      </c>
      <c r="AS205" t="inlineStr">
        <is>
          <t>B1-CFH</t>
        </is>
      </c>
      <c r="AX205" t="inlineStr">
        <is>
          <t>n/a</t>
        </is>
      </c>
      <c r="AY205" t="inlineStr">
        <is>
          <t>Fresenius BlueStar - 2008T</t>
        </is>
      </c>
      <c r="AZ205" t="inlineStr">
        <is>
          <t>n/a</t>
        </is>
      </c>
      <c r="BA205" t="inlineStr">
        <is>
          <t>n/a</t>
        </is>
      </c>
      <c r="BB205" t="inlineStr">
        <is>
          <t>n/a</t>
        </is>
      </c>
      <c r="BR205" t="inlineStr">
        <is>
          <t>Yes</t>
        </is>
      </c>
      <c r="BS205" t="inlineStr">
        <is>
          <t>Yes</t>
        </is>
      </c>
      <c r="BW205" t="inlineStr">
        <is>
          <t>Yes</t>
        </is>
      </c>
      <c r="BX205" t="n">
        <v>46027</v>
      </c>
      <c r="BZ205" t="inlineStr">
        <is>
          <t>Firmware Installed</t>
        </is>
      </c>
      <c r="CB205" t="inlineStr">
        <is>
          <t>Yes</t>
        </is>
      </c>
      <c r="CC205" t="inlineStr">
        <is>
          <t>No</t>
        </is>
      </c>
      <c r="CD205">
        <f>IF($Y205="","",IF((IF(AND($BR205&lt;&gt;"Yes",$BR205&lt;&gt;"N/A"),"Power Cable, ","")&amp;IF(AND($BS205&lt;&gt;"Yes",$BS205&lt;&gt;"N/A"),"Battery, ","")&amp;IF(AND($AD205&lt;&gt;"Yes",$AD205&lt;&gt;"N/A"),"Firmware Download, ","")&amp;IF(AND(OR($AD205="Yes",$AD205="N/A"),$AE205&lt;&gt;"Yes",$AE205&lt;&gt;"N/A"),"Firmware Install, ","")&amp;IF(AND($CB205&lt;&gt;"Yes",$CB205&lt;&gt;"N/A"),"Device ID, ","")&amp;IF(AND($CC205&lt;&gt;"Yes",$CC205&lt;&gt;"N/A"),"Epic Beans Relay, ",""))="","",LEFT(IF(AND($BR205&lt;&gt;"Yes",$BR205&lt;&gt;"N/A"),"Power Cable, ","")&amp;IF(AND($BS205&lt;&gt;"Yes",$BS205&lt;&gt;"N/A"),"Battery, ","")&amp;IF(AND($AD205&lt;&gt;"Yes",$AD205&lt;&gt;"N/A"),"Firmware Download, ","")&amp;IF(AND(OR($AD205="Yes",$AD205="N/A"),$AE205&lt;&gt;"Yes",$AE205&lt;&gt;"N/A"),"Firmware Install, ","")&amp;IF(AND($CB205&lt;&gt;"Yes",$CB205&lt;&gt;"N/A"),"Device ID, ","")&amp;IF(AND($CC205&lt;&gt;"Yes",$CC205&lt;&gt;"N/A"),"Epic Beans Relay, ",""),LEN(IF(AND($BR205&lt;&gt;"Yes",$BR205&lt;&gt;"N/A"),"Power Cable, ","")&amp;IF(AND($BS205&lt;&gt;"Yes",$BS205&lt;&gt;"N/A"),"Battery, ","")&amp;IF(AND($AD205&lt;&gt;"Yes",$AD205&lt;&gt;"N/A"),"Firmware Download, ","")&amp;IF(AND(OR($AD205="Yes",$AD205="N/A"),$AE205&lt;&gt;"Yes",$AE205&lt;&gt;"N/A"),"Firmware Install, ","")&amp;IF(AND($CB205&lt;&gt;"Yes",$CB205&lt;&gt;"N/A"),"Device ID, ","")&amp;IF(AND($CC205&lt;&gt;"Yes",$CC205&lt;&gt;"N/A"),"Epic Beans Relay, ",""))-2)))</f>
        <v/>
      </c>
      <c r="CE205">
        <f>IF($Y205="","",IF($CD205="","Yes","Blocked"))</f>
        <v/>
      </c>
      <c r="CP205">
        <f>IF($CO205="","",IFERROR(VLOOKUP($CO205,'01_Warehouse_Ledger'!$A:$N,4,FALSE),""))</f>
        <v/>
      </c>
      <c r="CQ205">
        <f>IF($CO205="","",IFERROR(VLOOKUP($CO205,'01_Warehouse_Ledger'!$A:$N,5,FALSE),""))</f>
        <v/>
      </c>
      <c r="CR205">
        <f>IF($CO205="","",IFERROR(VLOOKUP($CO205,'01_Warehouse_Ledger'!$A:$N,13,FALSE),""))</f>
        <v/>
      </c>
      <c r="CW205">
        <f>IF($S205="","",IF(UPPER(TRIM($S205))&lt;&gt;"PASS","",IF(LEN(TRIM($BY205))&gt;0,"NOTES_PRESENT",IF(LEN(TRIM($T205))=0,"SET_NA",IF(OR(LOWER(TRIM($T205))="na",LOWER(TRIM($T205))="n/a"),"OK","MANUAL_OVERRIDE")))))</f>
        <v/>
      </c>
    </row>
    <row r="206">
      <c r="A206" t="inlineStr">
        <is>
          <t>Neuron</t>
        </is>
      </c>
      <c r="B206" s="5" t="inlineStr">
        <is>
          <t>Yes</t>
        </is>
      </c>
      <c r="C206" t="inlineStr">
        <is>
          <t>Yes</t>
        </is>
      </c>
      <c r="D206">
        <f>IF($B206&lt;&gt;"Yes","",IF($C206="No","Yes",IF($C206="Yes","No","")))</f>
        <v/>
      </c>
      <c r="E206">
        <f>IF($A206="","",IF(OR(AND($V206&lt;&gt;"",LOWER(TRIM($V206))&lt;&gt;"n/a",LOWER(TRIM($V206))&lt;&gt;"na",SUMPRODUCT(--(UPPER(TRIM($V$2:$V$518))=UPPER(TRIM($V206))),--(TRIM($V$2:$V$518)&lt;&gt;""),--(LOWER(TRIM($V$2:$V$518))&lt;&gt;"n/a"),--(LOWER(TRIM($V$2:$V$518))&lt;&gt;"na"))&gt;1),AND($W206&lt;&gt;"",LOWER(TRIM($W206))&lt;&gt;"n/a",LOWER(TRIM($W206))&lt;&gt;"na",SUMPRODUCT(--(UPPER(TRIM($W$2:$W$518))=UPPER(TRIM($W206))),--(TRIM($W$2:$W$518)&lt;&gt;""),--(LOWER(TRIM($W$2:$W$518))&lt;&gt;"n/a"),--(LOWER(TRIM($W$2:$W$518))&lt;&gt;"na"))&gt;1),AND($X206&lt;&gt;"",LOWER(TRIM($X206))&lt;&gt;"n/a",LOWER(TRIM($X206))&lt;&gt;"na",SUMPRODUCT(--(UPPER(TRIM($X$2:$X$518))=UPPER(TRIM($X206))),--(TRIM($X$2:$X$518)&lt;&gt;""),--(LOWER(TRIM($X$2:$X$518))&lt;&gt;"n/a"),--(LOWER(TRIM($X$2:$X$518))&lt;&gt;"na"))&gt;1),AND($Y206&lt;&gt;"",LOWER(TRIM($Y206))&lt;&gt;"n/a",LOWER(TRIM($Y206))&lt;&gt;"na",SUMPRODUCT(--(UPPER(SUBSTITUTE(SUBSTITUTE(TRIM($Y$2:$Y$518),":",""),"-",""))=UPPER(SUBSTITUTE(SUBSTITUTE(TRIM($Y206),":",""),"-",""))),--(TRIM($Y$2:$Y$518)&lt;&gt;""),--(LOWER(TRIM($Y$2:$Y$518))&lt;&gt;"n/a"),--(LOWER(TRIM($Y$2:$Y$518))&lt;&gt;"na"))&gt;1),AND($AB206&lt;&gt;"",LOWER(TRIM($AB206))&lt;&gt;"n/a",LOWER(TRIM($AB206))&lt;&gt;"na",SUMPRODUCT(--(UPPER(TRIM($AB$2:$AB$518))=UPPER(TRIM($AB206))),--(TRIM($AB$2:$AB$518)&lt;&gt;""),--(LOWER(TRIM($AB$2:$AB$518))&lt;&gt;"n/a"),--(LOWER(TRIM($AB$2:$AB$518))&lt;&gt;"na"))&gt;1),AND($AH206&lt;&gt;"",LOWER(TRIM($AH206))&lt;&gt;"n/a",LOWER(TRIM($AH206))&lt;&gt;"na",SUMPRODUCT(--(UPPER(SUBSTITUTE(SUBSTITUTE(TRIM($AH$2:$AH$518),":",""),"-",""))=UPPER(SUBSTITUTE(SUBSTITUTE(TRIM($AH206),":",""),"-",""))),--(TRIM($AH$2:$AH$518)&lt;&gt;""),--(LOWER(TRIM($AH$2:$AH$518))&lt;&gt;"n/a"),--(LOWER(TRIM($AH$2:$AH$518))&lt;&gt;"na"))&gt;1),AND($AP206&lt;&gt;"",LOWER(TRIM($AP206))&lt;&gt;"n/a",LOWER(TRIM($AP206))&lt;&gt;"na",SUMPRODUCT(--(UPPER(TRIM($AP$2:$AP$518))=UPPER(TRIM($AP206))),--(TRIM($AP$2:$AP$518)&lt;&gt;""),--(LOWER(TRIM($AP$2:$AP$518))&lt;&gt;"n/a"),--(LOWER(TRIM($AP$2:$AP$518))&lt;&gt;"na"))&gt;1),AND($AQ206&lt;&gt;"",LOWER(TRIM($AQ206))&lt;&gt;"n/a",LOWER(TRIM($AQ206))&lt;&gt;"na",SUMPRODUCT(--(UPPER(TRIM($AQ$2:$AQ$518))=UPPER(TRIM($AQ206))),--(TRIM($AQ$2:$AQ$518)&lt;&gt;""),--(LOWER(TRIM($AQ$2:$AQ$518))&lt;&gt;"n/a"),--(LOWER(TRIM($AQ$2:$AQ$518))&lt;&gt;"na"))&gt;1)),"Yes","No"))</f>
        <v/>
      </c>
      <c r="F206">
        <f>IF(UPPER(TRIM($B206))&lt;&gt;"YES","", IF(OR(AND($V206&lt;&gt;"", LOWER(TRIM($V206))&lt;&gt;"n/a", LOWER(TRIM($V206))&lt;&gt;"na", SUMPRODUCT(--(UPPER(TRIM($V$2:$V$518))=UPPER(TRIM($V206))), --(UPPER(TRIM($B$2:$B$518))="YES"), --(UPPER(TRIM($G$2:$G$518)&amp;TRIM($I$2:$I$518)&amp;TRIM($J$2:$J$518))&lt;&gt;UPPER(TRIM($G206)&amp;TRIM($I206)&amp;TRIM($J206))))&gt;0), AND($W206&lt;&gt;"", LOWER(TRIM($W206))&lt;&gt;"n/a", LOWER(TRIM($W206))&lt;&gt;"na", SUMPRODUCT(--(UPPER(TRIM($W$2:$W$518))=UPPER(TRIM($W206))), --(UPPER(TRIM($B$2:$B$518))="YES"), --(UPPER(TRIM($G$2:$G$518)&amp;TRIM($I$2:$I$518)&amp;TRIM($J$2:$J$518))&lt;&gt;UPPER(TRIM($G206)&amp;TRIM($I206)&amp;TRIM($J206))))&gt;0), AND($X206&lt;&gt;"", LOWER(TRIM($X206))&lt;&gt;"n/a", LOWER(TRIM($X206))&lt;&gt;"na", SUMPRODUCT(--(UPPER(TRIM($X$2:$X$518))=UPPER(TRIM($X206))), --(UPPER(TRIM($B$2:$B$518))="YES"), --(UPPER(TRIM($G$2:$G$518)&amp;TRIM($I$2:$I$518)&amp;TRIM($J$2:$J$518))&lt;&gt;UPPER(TRIM($G206)&amp;TRIM($I206)&amp;TRIM($J206))))&gt;0), AND($Y206&lt;&gt;"", LOWER(TRIM($Y206))&lt;&gt;"n/a", LOWER(TRIM($Y206))&lt;&gt;"na", SUMPRODUCT(--(UPPER(SUBSTITUTE(SUBSTITUTE(TRIM($Y$2:$Y$518),":",""),"-",""))=UPPER(SUBSTITUTE(SUBSTITUTE(TRIM($Y206),":",""),"-",""))), --(UPPER(TRIM($B$2:$B$518))="YES"), --(UPPER(TRIM($G$2:$G$518)&amp;TRIM($I$2:$I$518)&amp;TRIM($J$2:$J$518))&lt;&gt;UPPER(TRIM($G206)&amp;TRIM($I206)&amp;TRIM($J206))))&gt;0), AND($AB206&lt;&gt;"", LOWER(TRIM($AB206))&lt;&gt;"n/a", LOWER(TRIM($AB206))&lt;&gt;"na", SUMPRODUCT(--(UPPER(TRIM($AB$2:$AB$518))=UPPER(TRIM($AB206))), --(UPPER(TRIM($B$2:$B$518))="YES"), --(UPPER(TRIM($G$2:$G$518)&amp;TRIM($I$2:$I$518)&amp;TRIM($J$2:$J$518))&lt;&gt;UPPER(TRIM($G206)&amp;TRIM($I206)&amp;TRIM($J206))))&gt;0), AND($AH206&lt;&gt;"", LOWER(TRIM($AH206))&lt;&gt;"n/a", LOWER(TRIM($AH206))&lt;&gt;"na", SUMPRODUCT(--(UPPER(SUBSTITUTE(SUBSTITUTE(TRIM($AH$2:$AH$518),":",""),"-",""))=UPPER(SUBSTITUTE(SUBSTITUTE(TRIM($AH206),":",""),"-",""))), --(UPPER(TRIM($B$2:$B$518))="YES"), --(UPPER(TRIM($G$2:$G$518)&amp;TRIM($I$2:$I$518)&amp;TRIM($J$2:$J$518))&lt;&gt;UPPER(TRIM($G206)&amp;TRIM($I206)&amp;TRIM($J206))))&gt;0), AND($AP206&lt;&gt;"", LOWER(TRIM($AP206))&lt;&gt;"n/a", LOWER(TRIM($AP206))&lt;&gt;"na", SUMPRODUCT(--(UPPER(TRIM($AP$2:$AP$518))=UPPER(TRIM($AP206))), --(UPPER(TRIM($B$2:$B$518))="YES"), --(UPPER(TRIM($G$2:$G$518)&amp;TRIM($I$2:$I$518)&amp;TRIM($J$2:$J$518))&lt;&gt;UPPER(TRIM($G206)&amp;TRIM($I206)&amp;TRIM($J206))))&gt;0), AND($AQ206&lt;&gt;"", LOWER(TRIM($AQ206))&lt;&gt;"n/a", LOWER(TRIM($AQ206))&lt;&gt;"na", SUMPRODUCT(--(UPPER(TRIM($AQ$2:$AQ$518))=UPPER(TRIM($AQ206))), --(UPPER(TRIM($B$2:$B$518))="YES"), --(UPPER(TRIM($G$2:$G$518)&amp;TRIM($I$2:$I$518)&amp;TRIM($J$2:$J$518))&lt;&gt;UPPER(TRIM($G206)&amp;TRIM($I206)&amp;TRIM($J206))))&gt;0)), "Yes", "No"))</f>
        <v/>
      </c>
      <c r="G206" t="inlineStr">
        <is>
          <t>LIJ SDF</t>
        </is>
      </c>
      <c r="H206" t="inlineStr">
        <is>
          <t>LIJ SDF</t>
        </is>
      </c>
      <c r="I206" t="inlineStr">
        <is>
          <t>Ground Level/Dialysis</t>
        </is>
      </c>
      <c r="J206" t="inlineStr">
        <is>
          <t>Open Patient Area</t>
        </is>
      </c>
      <c r="K206" t="n">
        <v>21</v>
      </c>
      <c r="L206" s="18" t="n">
        <v>46033</v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W206" t="inlineStr">
        <is>
          <t>n/a</t>
        </is>
      </c>
      <c r="X206" t="inlineStr">
        <is>
          <t>LIJ-SDF-MACH-U</t>
        </is>
      </c>
      <c r="Y206" t="inlineStr">
        <is>
          <t>A0F5097B9629</t>
        </is>
      </c>
      <c r="Z206" t="inlineStr">
        <is>
          <t>10.134.19.43</t>
        </is>
      </c>
      <c r="AA206" t="inlineStr">
        <is>
          <t>Yes</t>
        </is>
      </c>
      <c r="AB206" t="inlineStr">
        <is>
          <t>WA25300280</t>
        </is>
      </c>
      <c r="AC206" t="inlineStr">
        <is>
          <t>LIJ</t>
        </is>
      </c>
      <c r="AD206" t="inlineStr">
        <is>
          <t>Yes</t>
        </is>
      </c>
      <c r="AE206" t="inlineStr">
        <is>
          <t>Yes</t>
        </is>
      </c>
      <c r="AF206" t="inlineStr">
        <is>
          <t>Yes</t>
        </is>
      </c>
      <c r="AG206" t="inlineStr">
        <is>
          <t>Yes</t>
        </is>
      </c>
      <c r="AI206" t="inlineStr">
        <is>
          <t>Dialysis Machine</t>
        </is>
      </c>
      <c r="AL206" t="inlineStr">
        <is>
          <t>042V1</t>
        </is>
      </c>
      <c r="AM206" t="inlineStr">
        <is>
          <t>Fresenius BlueStar</t>
        </is>
      </c>
      <c r="AN206" t="inlineStr">
        <is>
          <t>2008T</t>
        </is>
      </c>
      <c r="AO206" t="inlineStr">
        <is>
          <t>6T0S164346</t>
        </is>
      </c>
      <c r="AP206" t="inlineStr">
        <is>
          <t>n/a</t>
        </is>
      </c>
      <c r="AQ206" t="inlineStr">
        <is>
          <t>6T0S164346</t>
        </is>
      </c>
      <c r="AS206" t="inlineStr">
        <is>
          <t>B1-CFH</t>
        </is>
      </c>
      <c r="AX206" t="inlineStr">
        <is>
          <t>n/a</t>
        </is>
      </c>
      <c r="AY206" t="inlineStr">
        <is>
          <t>Fresenius BlueStar - 2008T</t>
        </is>
      </c>
      <c r="AZ206" t="inlineStr">
        <is>
          <t>n/a</t>
        </is>
      </c>
      <c r="BA206" t="inlineStr">
        <is>
          <t>n/a</t>
        </is>
      </c>
      <c r="BB206" t="inlineStr">
        <is>
          <t>n/a</t>
        </is>
      </c>
      <c r="BR206" t="inlineStr">
        <is>
          <t>Yes</t>
        </is>
      </c>
      <c r="BS206" t="inlineStr">
        <is>
          <t>Yes</t>
        </is>
      </c>
      <c r="BW206" t="inlineStr">
        <is>
          <t>Yes</t>
        </is>
      </c>
      <c r="BX206" t="n">
        <v>46027</v>
      </c>
      <c r="BZ206" t="inlineStr">
        <is>
          <t>Firmware Installed</t>
        </is>
      </c>
      <c r="CB206" t="inlineStr">
        <is>
          <t>Yes</t>
        </is>
      </c>
      <c r="CC206" t="inlineStr">
        <is>
          <t>No</t>
        </is>
      </c>
      <c r="CD206">
        <f>IF($Y206="","",IF((IF(AND($BR206&lt;&gt;"Yes",$BR206&lt;&gt;"N/A"),"Power Cable, ","")&amp;IF(AND($BS206&lt;&gt;"Yes",$BS206&lt;&gt;"N/A"),"Battery, ","")&amp;IF(AND($AD206&lt;&gt;"Yes",$AD206&lt;&gt;"N/A"),"Firmware Download, ","")&amp;IF(AND(OR($AD206="Yes",$AD206="N/A"),$AE206&lt;&gt;"Yes",$AE206&lt;&gt;"N/A"),"Firmware Install, ","")&amp;IF(AND($CB206&lt;&gt;"Yes",$CB206&lt;&gt;"N/A"),"Device ID, ","")&amp;IF(AND($CC206&lt;&gt;"Yes",$CC206&lt;&gt;"N/A"),"Epic Beans Relay, ",""))="","",LEFT(IF(AND($BR206&lt;&gt;"Yes",$BR206&lt;&gt;"N/A"),"Power Cable, ","")&amp;IF(AND($BS206&lt;&gt;"Yes",$BS206&lt;&gt;"N/A"),"Battery, ","")&amp;IF(AND($AD206&lt;&gt;"Yes",$AD206&lt;&gt;"N/A"),"Firmware Download, ","")&amp;IF(AND(OR($AD206="Yes",$AD206="N/A"),$AE206&lt;&gt;"Yes",$AE206&lt;&gt;"N/A"),"Firmware Install, ","")&amp;IF(AND($CB206&lt;&gt;"Yes",$CB206&lt;&gt;"N/A"),"Device ID, ","")&amp;IF(AND($CC206&lt;&gt;"Yes",$CC206&lt;&gt;"N/A"),"Epic Beans Relay, ",""),LEN(IF(AND($BR206&lt;&gt;"Yes",$BR206&lt;&gt;"N/A"),"Power Cable, ","")&amp;IF(AND($BS206&lt;&gt;"Yes",$BS206&lt;&gt;"N/A"),"Battery, ","")&amp;IF(AND($AD206&lt;&gt;"Yes",$AD206&lt;&gt;"N/A"),"Firmware Download, ","")&amp;IF(AND(OR($AD206="Yes",$AD206="N/A"),$AE206&lt;&gt;"Yes",$AE206&lt;&gt;"N/A"),"Firmware Install, ","")&amp;IF(AND($CB206&lt;&gt;"Yes",$CB206&lt;&gt;"N/A"),"Device ID, ","")&amp;IF(AND($CC206&lt;&gt;"Yes",$CC206&lt;&gt;"N/A"),"Epic Beans Relay, ",""))-2)))</f>
        <v/>
      </c>
      <c r="CE206">
        <f>IF($Y206="","",IF($CD206="","Yes","Blocked"))</f>
        <v/>
      </c>
      <c r="CP206">
        <f>IF($CO206="","",IFERROR(VLOOKUP($CO206,'01_Warehouse_Ledger'!$A:$N,4,FALSE),""))</f>
        <v/>
      </c>
      <c r="CQ206">
        <f>IF($CO206="","",IFERROR(VLOOKUP($CO206,'01_Warehouse_Ledger'!$A:$N,5,FALSE),""))</f>
        <v/>
      </c>
      <c r="CR206">
        <f>IF($CO206="","",IFERROR(VLOOKUP($CO206,'01_Warehouse_Ledger'!$A:$N,13,FALSE),""))</f>
        <v/>
      </c>
      <c r="CW206">
        <f>IF($S206="","",IF(UPPER(TRIM($S206))&lt;&gt;"PASS","",IF(LEN(TRIM($BY206))&gt;0,"NOTES_PRESENT",IF(LEN(TRIM($T206))=0,"SET_NA",IF(OR(LOWER(TRIM($T206))="na",LOWER(TRIM($T206))="n/a"),"OK","MANUAL_OVERRIDE")))))</f>
        <v/>
      </c>
    </row>
    <row r="207">
      <c r="A207" t="inlineStr">
        <is>
          <t>Neuron</t>
        </is>
      </c>
      <c r="B207" s="5" t="inlineStr">
        <is>
          <t>Yes</t>
        </is>
      </c>
      <c r="C207" t="inlineStr">
        <is>
          <t>Yes</t>
        </is>
      </c>
      <c r="D207">
        <f>IF($B207&lt;&gt;"Yes","",IF($C207="No","Yes",IF($C207="Yes","No","")))</f>
        <v/>
      </c>
      <c r="E207">
        <f>IF($A207="","",IF(OR(AND($V207&lt;&gt;"",LOWER(TRIM($V207))&lt;&gt;"n/a",LOWER(TRIM($V207))&lt;&gt;"na",SUMPRODUCT(--(UPPER(TRIM($V$2:$V$518))=UPPER(TRIM($V207))),--(TRIM($V$2:$V$518)&lt;&gt;""),--(LOWER(TRIM($V$2:$V$518))&lt;&gt;"n/a"),--(LOWER(TRIM($V$2:$V$518))&lt;&gt;"na"))&gt;1),AND($W207&lt;&gt;"",LOWER(TRIM($W207))&lt;&gt;"n/a",LOWER(TRIM($W207))&lt;&gt;"na",SUMPRODUCT(--(UPPER(TRIM($W$2:$W$518))=UPPER(TRIM($W207))),--(TRIM($W$2:$W$518)&lt;&gt;""),--(LOWER(TRIM($W$2:$W$518))&lt;&gt;"n/a"),--(LOWER(TRIM($W$2:$W$518))&lt;&gt;"na"))&gt;1),AND($X207&lt;&gt;"",LOWER(TRIM($X207))&lt;&gt;"n/a",LOWER(TRIM($X207))&lt;&gt;"na",SUMPRODUCT(--(UPPER(TRIM($X$2:$X$518))=UPPER(TRIM($X207))),--(TRIM($X$2:$X$518)&lt;&gt;""),--(LOWER(TRIM($X$2:$X$518))&lt;&gt;"n/a"),--(LOWER(TRIM($X$2:$X$518))&lt;&gt;"na"))&gt;1),AND($Y207&lt;&gt;"",LOWER(TRIM($Y207))&lt;&gt;"n/a",LOWER(TRIM($Y207))&lt;&gt;"na",SUMPRODUCT(--(UPPER(SUBSTITUTE(SUBSTITUTE(TRIM($Y$2:$Y$518),":",""),"-",""))=UPPER(SUBSTITUTE(SUBSTITUTE(TRIM($Y207),":",""),"-",""))),--(TRIM($Y$2:$Y$518)&lt;&gt;""),--(LOWER(TRIM($Y$2:$Y$518))&lt;&gt;"n/a"),--(LOWER(TRIM($Y$2:$Y$518))&lt;&gt;"na"))&gt;1),AND($AB207&lt;&gt;"",LOWER(TRIM($AB207))&lt;&gt;"n/a",LOWER(TRIM($AB207))&lt;&gt;"na",SUMPRODUCT(--(UPPER(TRIM($AB$2:$AB$518))=UPPER(TRIM($AB207))),--(TRIM($AB$2:$AB$518)&lt;&gt;""),--(LOWER(TRIM($AB$2:$AB$518))&lt;&gt;"n/a"),--(LOWER(TRIM($AB$2:$AB$518))&lt;&gt;"na"))&gt;1),AND($AH207&lt;&gt;"",LOWER(TRIM($AH207))&lt;&gt;"n/a",LOWER(TRIM($AH207))&lt;&gt;"na",SUMPRODUCT(--(UPPER(SUBSTITUTE(SUBSTITUTE(TRIM($AH$2:$AH$518),":",""),"-",""))=UPPER(SUBSTITUTE(SUBSTITUTE(TRIM($AH207),":",""),"-",""))),--(TRIM($AH$2:$AH$518)&lt;&gt;""),--(LOWER(TRIM($AH$2:$AH$518))&lt;&gt;"n/a"),--(LOWER(TRIM($AH$2:$AH$518))&lt;&gt;"na"))&gt;1),AND($AP207&lt;&gt;"",LOWER(TRIM($AP207))&lt;&gt;"n/a",LOWER(TRIM($AP207))&lt;&gt;"na",SUMPRODUCT(--(UPPER(TRIM($AP$2:$AP$518))=UPPER(TRIM($AP207))),--(TRIM($AP$2:$AP$518)&lt;&gt;""),--(LOWER(TRIM($AP$2:$AP$518))&lt;&gt;"n/a"),--(LOWER(TRIM($AP$2:$AP$518))&lt;&gt;"na"))&gt;1),AND($AQ207&lt;&gt;"",LOWER(TRIM($AQ207))&lt;&gt;"n/a",LOWER(TRIM($AQ207))&lt;&gt;"na",SUMPRODUCT(--(UPPER(TRIM($AQ$2:$AQ$518))=UPPER(TRIM($AQ207))),--(TRIM($AQ$2:$AQ$518)&lt;&gt;""),--(LOWER(TRIM($AQ$2:$AQ$518))&lt;&gt;"n/a"),--(LOWER(TRIM($AQ$2:$AQ$518))&lt;&gt;"na"))&gt;1)),"Yes","No"))</f>
        <v/>
      </c>
      <c r="F207">
        <f>IF(UPPER(TRIM($B207))&lt;&gt;"YES","", IF(OR(AND($V207&lt;&gt;"", LOWER(TRIM($V207))&lt;&gt;"n/a", LOWER(TRIM($V207))&lt;&gt;"na", SUMPRODUCT(--(UPPER(TRIM($V$2:$V$518))=UPPER(TRIM($V207))), --(UPPER(TRIM($B$2:$B$518))="YES"), --(UPPER(TRIM($G$2:$G$518)&amp;TRIM($I$2:$I$518)&amp;TRIM($J$2:$J$518))&lt;&gt;UPPER(TRIM($G207)&amp;TRIM($I207)&amp;TRIM($J207))))&gt;0), AND($W207&lt;&gt;"", LOWER(TRIM($W207))&lt;&gt;"n/a", LOWER(TRIM($W207))&lt;&gt;"na", SUMPRODUCT(--(UPPER(TRIM($W$2:$W$518))=UPPER(TRIM($W207))), --(UPPER(TRIM($B$2:$B$518))="YES"), --(UPPER(TRIM($G$2:$G$518)&amp;TRIM($I$2:$I$518)&amp;TRIM($J$2:$J$518))&lt;&gt;UPPER(TRIM($G207)&amp;TRIM($I207)&amp;TRIM($J207))))&gt;0), AND($X207&lt;&gt;"", LOWER(TRIM($X207))&lt;&gt;"n/a", LOWER(TRIM($X207))&lt;&gt;"na", SUMPRODUCT(--(UPPER(TRIM($X$2:$X$518))=UPPER(TRIM($X207))), --(UPPER(TRIM($B$2:$B$518))="YES"), --(UPPER(TRIM($G$2:$G$518)&amp;TRIM($I$2:$I$518)&amp;TRIM($J$2:$J$518))&lt;&gt;UPPER(TRIM($G207)&amp;TRIM($I207)&amp;TRIM($J207))))&gt;0), AND($Y207&lt;&gt;"", LOWER(TRIM($Y207))&lt;&gt;"n/a", LOWER(TRIM($Y207))&lt;&gt;"na", SUMPRODUCT(--(UPPER(SUBSTITUTE(SUBSTITUTE(TRIM($Y$2:$Y$518),":",""),"-",""))=UPPER(SUBSTITUTE(SUBSTITUTE(TRIM($Y207),":",""),"-",""))), --(UPPER(TRIM($B$2:$B$518))="YES"), --(UPPER(TRIM($G$2:$G$518)&amp;TRIM($I$2:$I$518)&amp;TRIM($J$2:$J$518))&lt;&gt;UPPER(TRIM($G207)&amp;TRIM($I207)&amp;TRIM($J207))))&gt;0), AND($AB207&lt;&gt;"", LOWER(TRIM($AB207))&lt;&gt;"n/a", LOWER(TRIM($AB207))&lt;&gt;"na", SUMPRODUCT(--(UPPER(TRIM($AB$2:$AB$518))=UPPER(TRIM($AB207))), --(UPPER(TRIM($B$2:$B$518))="YES"), --(UPPER(TRIM($G$2:$G$518)&amp;TRIM($I$2:$I$518)&amp;TRIM($J$2:$J$518))&lt;&gt;UPPER(TRIM($G207)&amp;TRIM($I207)&amp;TRIM($J207))))&gt;0), AND($AH207&lt;&gt;"", LOWER(TRIM($AH207))&lt;&gt;"n/a", LOWER(TRIM($AH207))&lt;&gt;"na", SUMPRODUCT(--(UPPER(SUBSTITUTE(SUBSTITUTE(TRIM($AH$2:$AH$518),":",""),"-",""))=UPPER(SUBSTITUTE(SUBSTITUTE(TRIM($AH207),":",""),"-",""))), --(UPPER(TRIM($B$2:$B$518))="YES"), --(UPPER(TRIM($G$2:$G$518)&amp;TRIM($I$2:$I$518)&amp;TRIM($J$2:$J$518))&lt;&gt;UPPER(TRIM($G207)&amp;TRIM($I207)&amp;TRIM($J207))))&gt;0), AND($AP207&lt;&gt;"", LOWER(TRIM($AP207))&lt;&gt;"n/a", LOWER(TRIM($AP207))&lt;&gt;"na", SUMPRODUCT(--(UPPER(TRIM($AP$2:$AP$518))=UPPER(TRIM($AP207))), --(UPPER(TRIM($B$2:$B$518))="YES"), --(UPPER(TRIM($G$2:$G$518)&amp;TRIM($I$2:$I$518)&amp;TRIM($J$2:$J$518))&lt;&gt;UPPER(TRIM($G207)&amp;TRIM($I207)&amp;TRIM($J207))))&gt;0), AND($AQ207&lt;&gt;"", LOWER(TRIM($AQ207))&lt;&gt;"n/a", LOWER(TRIM($AQ207))&lt;&gt;"na", SUMPRODUCT(--(UPPER(TRIM($AQ$2:$AQ$518))=UPPER(TRIM($AQ207))), --(UPPER(TRIM($B$2:$B$518))="YES"), --(UPPER(TRIM($G$2:$G$518)&amp;TRIM($I$2:$I$518)&amp;TRIM($J$2:$J$518))&lt;&gt;UPPER(TRIM($G207)&amp;TRIM($I207)&amp;TRIM($J207))))&gt;0)), "Yes", "No"))</f>
        <v/>
      </c>
      <c r="G207" t="inlineStr">
        <is>
          <t>LIJ SDF</t>
        </is>
      </c>
      <c r="H207" t="inlineStr">
        <is>
          <t>LIJ SDF</t>
        </is>
      </c>
      <c r="I207" t="inlineStr">
        <is>
          <t>Ground Level/Dialysis</t>
        </is>
      </c>
      <c r="J207" t="inlineStr">
        <is>
          <t>Open Patient Area</t>
        </is>
      </c>
      <c r="K207" t="n">
        <v>22</v>
      </c>
      <c r="L207" s="18" t="n">
        <v>46033</v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W207" t="inlineStr">
        <is>
          <t>n/a</t>
        </is>
      </c>
      <c r="X207" t="inlineStr">
        <is>
          <t>LIJ-SDF-MACH-V</t>
        </is>
      </c>
      <c r="Y207" t="inlineStr">
        <is>
          <t>A0F5097B9C84</t>
        </is>
      </c>
      <c r="Z207" t="inlineStr">
        <is>
          <t>10.134.18.71</t>
        </is>
      </c>
      <c r="AA207" t="inlineStr">
        <is>
          <t>Yes</t>
        </is>
      </c>
      <c r="AB207" t="inlineStr">
        <is>
          <t>WA25300317</t>
        </is>
      </c>
      <c r="AC207" t="inlineStr">
        <is>
          <t>LIJ</t>
        </is>
      </c>
      <c r="AD207" t="inlineStr">
        <is>
          <t>Yes</t>
        </is>
      </c>
      <c r="AE207" t="inlineStr">
        <is>
          <t>Yes</t>
        </is>
      </c>
      <c r="AF207" t="inlineStr">
        <is>
          <t>Yes</t>
        </is>
      </c>
      <c r="AG207" t="inlineStr">
        <is>
          <t>Yes</t>
        </is>
      </c>
      <c r="AI207" t="inlineStr">
        <is>
          <t>Dialysis Machine</t>
        </is>
      </c>
      <c r="AL207" t="inlineStr">
        <is>
          <t>042V2</t>
        </is>
      </c>
      <c r="AM207" t="inlineStr">
        <is>
          <t>Fresenius BlueStar</t>
        </is>
      </c>
      <c r="AN207" t="inlineStr">
        <is>
          <t>2008T</t>
        </is>
      </c>
      <c r="AO207" t="inlineStr">
        <is>
          <t>9T0S247186</t>
        </is>
      </c>
      <c r="AP207" t="inlineStr">
        <is>
          <t>n/a</t>
        </is>
      </c>
      <c r="AQ207" t="inlineStr">
        <is>
          <t>9T0S247186</t>
        </is>
      </c>
      <c r="AS207" t="inlineStr">
        <is>
          <t>B1-CFH</t>
        </is>
      </c>
      <c r="AX207" t="inlineStr">
        <is>
          <t>n/a</t>
        </is>
      </c>
      <c r="AY207" t="inlineStr">
        <is>
          <t>Fresenius BlueStar - 2008T</t>
        </is>
      </c>
      <c r="AZ207" t="inlineStr">
        <is>
          <t>n/a</t>
        </is>
      </c>
      <c r="BA207" t="inlineStr">
        <is>
          <t>n/a</t>
        </is>
      </c>
      <c r="BB207" t="inlineStr">
        <is>
          <t>n/a</t>
        </is>
      </c>
      <c r="BR207" t="inlineStr">
        <is>
          <t>Yes</t>
        </is>
      </c>
      <c r="BS207" t="inlineStr">
        <is>
          <t>Yes</t>
        </is>
      </c>
      <c r="BW207" t="inlineStr">
        <is>
          <t>Yes</t>
        </is>
      </c>
      <c r="BX207" t="n">
        <v>46027</v>
      </c>
      <c r="BZ207" t="inlineStr">
        <is>
          <t>Firmware Installed</t>
        </is>
      </c>
      <c r="CB207" t="inlineStr">
        <is>
          <t>Yes</t>
        </is>
      </c>
      <c r="CC207" t="inlineStr">
        <is>
          <t>No</t>
        </is>
      </c>
      <c r="CD207">
        <f>IF($Y207="","",IF((IF(AND($BR207&lt;&gt;"Yes",$BR207&lt;&gt;"N/A"),"Power Cable, ","")&amp;IF(AND($BS207&lt;&gt;"Yes",$BS207&lt;&gt;"N/A"),"Battery, ","")&amp;IF(AND($AD207&lt;&gt;"Yes",$AD207&lt;&gt;"N/A"),"Firmware Download, ","")&amp;IF(AND(OR($AD207="Yes",$AD207="N/A"),$AE207&lt;&gt;"Yes",$AE207&lt;&gt;"N/A"),"Firmware Install, ","")&amp;IF(AND($CB207&lt;&gt;"Yes",$CB207&lt;&gt;"N/A"),"Device ID, ","")&amp;IF(AND($CC207&lt;&gt;"Yes",$CC207&lt;&gt;"N/A"),"Epic Beans Relay, ",""))="","",LEFT(IF(AND($BR207&lt;&gt;"Yes",$BR207&lt;&gt;"N/A"),"Power Cable, ","")&amp;IF(AND($BS207&lt;&gt;"Yes",$BS207&lt;&gt;"N/A"),"Battery, ","")&amp;IF(AND($AD207&lt;&gt;"Yes",$AD207&lt;&gt;"N/A"),"Firmware Download, ","")&amp;IF(AND(OR($AD207="Yes",$AD207="N/A"),$AE207&lt;&gt;"Yes",$AE207&lt;&gt;"N/A"),"Firmware Install, ","")&amp;IF(AND($CB207&lt;&gt;"Yes",$CB207&lt;&gt;"N/A"),"Device ID, ","")&amp;IF(AND($CC207&lt;&gt;"Yes",$CC207&lt;&gt;"N/A"),"Epic Beans Relay, ",""),LEN(IF(AND($BR207&lt;&gt;"Yes",$BR207&lt;&gt;"N/A"),"Power Cable, ","")&amp;IF(AND($BS207&lt;&gt;"Yes",$BS207&lt;&gt;"N/A"),"Battery, ","")&amp;IF(AND($AD207&lt;&gt;"Yes",$AD207&lt;&gt;"N/A"),"Firmware Download, ","")&amp;IF(AND(OR($AD207="Yes",$AD207="N/A"),$AE207&lt;&gt;"Yes",$AE207&lt;&gt;"N/A"),"Firmware Install, ","")&amp;IF(AND($CB207&lt;&gt;"Yes",$CB207&lt;&gt;"N/A"),"Device ID, ","")&amp;IF(AND($CC207&lt;&gt;"Yes",$CC207&lt;&gt;"N/A"),"Epic Beans Relay, ",""))-2)))</f>
        <v/>
      </c>
      <c r="CE207">
        <f>IF($Y207="","",IF($CD207="","Yes","Blocked"))</f>
        <v/>
      </c>
      <c r="CP207">
        <f>IF($CO207="","",IFERROR(VLOOKUP($CO207,'01_Warehouse_Ledger'!$A:$N,4,FALSE),""))</f>
        <v/>
      </c>
      <c r="CQ207">
        <f>IF($CO207="","",IFERROR(VLOOKUP($CO207,'01_Warehouse_Ledger'!$A:$N,5,FALSE),""))</f>
        <v/>
      </c>
      <c r="CR207">
        <f>IF($CO207="","",IFERROR(VLOOKUP($CO207,'01_Warehouse_Ledger'!$A:$N,13,FALSE),""))</f>
        <v/>
      </c>
      <c r="CW207">
        <f>IF($S207="","",IF(UPPER(TRIM($S207))&lt;&gt;"PASS","",IF(LEN(TRIM($BY207))&gt;0,"NOTES_PRESENT",IF(LEN(TRIM($T207))=0,"SET_NA",IF(OR(LOWER(TRIM($T207))="na",LOWER(TRIM($T207))="n/a"),"OK","MANUAL_OVERRIDE")))))</f>
        <v/>
      </c>
    </row>
    <row r="208">
      <c r="A208" t="inlineStr">
        <is>
          <t>Neuron</t>
        </is>
      </c>
      <c r="B208" s="5" t="inlineStr">
        <is>
          <t>Yes</t>
        </is>
      </c>
      <c r="C208" t="inlineStr">
        <is>
          <t>Yes</t>
        </is>
      </c>
      <c r="D208">
        <f>IF($B208&lt;&gt;"Yes","",IF($C208="No","Yes",IF($C208="Yes","No","")))</f>
        <v/>
      </c>
      <c r="E208">
        <f>IF($A208="","",IF(OR(AND($V208&lt;&gt;"",LOWER(TRIM($V208))&lt;&gt;"n/a",LOWER(TRIM($V208))&lt;&gt;"na",SUMPRODUCT(--(UPPER(TRIM($V$2:$V$518))=UPPER(TRIM($V208))),--(TRIM($V$2:$V$518)&lt;&gt;""),--(LOWER(TRIM($V$2:$V$518))&lt;&gt;"n/a"),--(LOWER(TRIM($V$2:$V$518))&lt;&gt;"na"))&gt;1),AND($W208&lt;&gt;"",LOWER(TRIM($W208))&lt;&gt;"n/a",LOWER(TRIM($W208))&lt;&gt;"na",SUMPRODUCT(--(UPPER(TRIM($W$2:$W$518))=UPPER(TRIM($W208))),--(TRIM($W$2:$W$518)&lt;&gt;""),--(LOWER(TRIM($W$2:$W$518))&lt;&gt;"n/a"),--(LOWER(TRIM($W$2:$W$518))&lt;&gt;"na"))&gt;1),AND($X208&lt;&gt;"",LOWER(TRIM($X208))&lt;&gt;"n/a",LOWER(TRIM($X208))&lt;&gt;"na",SUMPRODUCT(--(UPPER(TRIM($X$2:$X$518))=UPPER(TRIM($X208))),--(TRIM($X$2:$X$518)&lt;&gt;""),--(LOWER(TRIM($X$2:$X$518))&lt;&gt;"n/a"),--(LOWER(TRIM($X$2:$X$518))&lt;&gt;"na"))&gt;1),AND($Y208&lt;&gt;"",LOWER(TRIM($Y208))&lt;&gt;"n/a",LOWER(TRIM($Y208))&lt;&gt;"na",SUMPRODUCT(--(UPPER(SUBSTITUTE(SUBSTITUTE(TRIM($Y$2:$Y$518),":",""),"-",""))=UPPER(SUBSTITUTE(SUBSTITUTE(TRIM($Y208),":",""),"-",""))),--(TRIM($Y$2:$Y$518)&lt;&gt;""),--(LOWER(TRIM($Y$2:$Y$518))&lt;&gt;"n/a"),--(LOWER(TRIM($Y$2:$Y$518))&lt;&gt;"na"))&gt;1),AND($AB208&lt;&gt;"",LOWER(TRIM($AB208))&lt;&gt;"n/a",LOWER(TRIM($AB208))&lt;&gt;"na",SUMPRODUCT(--(UPPER(TRIM($AB$2:$AB$518))=UPPER(TRIM($AB208))),--(TRIM($AB$2:$AB$518)&lt;&gt;""),--(LOWER(TRIM($AB$2:$AB$518))&lt;&gt;"n/a"),--(LOWER(TRIM($AB$2:$AB$518))&lt;&gt;"na"))&gt;1),AND($AH208&lt;&gt;"",LOWER(TRIM($AH208))&lt;&gt;"n/a",LOWER(TRIM($AH208))&lt;&gt;"na",SUMPRODUCT(--(UPPER(SUBSTITUTE(SUBSTITUTE(TRIM($AH$2:$AH$518),":",""),"-",""))=UPPER(SUBSTITUTE(SUBSTITUTE(TRIM($AH208),":",""),"-",""))),--(TRIM($AH$2:$AH$518)&lt;&gt;""),--(LOWER(TRIM($AH$2:$AH$518))&lt;&gt;"n/a"),--(LOWER(TRIM($AH$2:$AH$518))&lt;&gt;"na"))&gt;1),AND($AP208&lt;&gt;"",LOWER(TRIM($AP208))&lt;&gt;"n/a",LOWER(TRIM($AP208))&lt;&gt;"na",SUMPRODUCT(--(UPPER(TRIM($AP$2:$AP$518))=UPPER(TRIM($AP208))),--(TRIM($AP$2:$AP$518)&lt;&gt;""),--(LOWER(TRIM($AP$2:$AP$518))&lt;&gt;"n/a"),--(LOWER(TRIM($AP$2:$AP$518))&lt;&gt;"na"))&gt;1),AND($AQ208&lt;&gt;"",LOWER(TRIM($AQ208))&lt;&gt;"n/a",LOWER(TRIM($AQ208))&lt;&gt;"na",SUMPRODUCT(--(UPPER(TRIM($AQ$2:$AQ$518))=UPPER(TRIM($AQ208))),--(TRIM($AQ$2:$AQ$518)&lt;&gt;""),--(LOWER(TRIM($AQ$2:$AQ$518))&lt;&gt;"n/a"),--(LOWER(TRIM($AQ$2:$AQ$518))&lt;&gt;"na"))&gt;1)),"Yes","No"))</f>
        <v/>
      </c>
      <c r="F208">
        <f>IF(UPPER(TRIM($B208))&lt;&gt;"YES","", IF(OR(AND($V208&lt;&gt;"", LOWER(TRIM($V208))&lt;&gt;"n/a", LOWER(TRIM($V208))&lt;&gt;"na", SUMPRODUCT(--(UPPER(TRIM($V$2:$V$518))=UPPER(TRIM($V208))), --(UPPER(TRIM($B$2:$B$518))="YES"), --(UPPER(TRIM($G$2:$G$518)&amp;TRIM($I$2:$I$518)&amp;TRIM($J$2:$J$518))&lt;&gt;UPPER(TRIM($G208)&amp;TRIM($I208)&amp;TRIM($J208))))&gt;0), AND($W208&lt;&gt;"", LOWER(TRIM($W208))&lt;&gt;"n/a", LOWER(TRIM($W208))&lt;&gt;"na", SUMPRODUCT(--(UPPER(TRIM($W$2:$W$518))=UPPER(TRIM($W208))), --(UPPER(TRIM($B$2:$B$518))="YES"), --(UPPER(TRIM($G$2:$G$518)&amp;TRIM($I$2:$I$518)&amp;TRIM($J$2:$J$518))&lt;&gt;UPPER(TRIM($G208)&amp;TRIM($I208)&amp;TRIM($J208))))&gt;0), AND($X208&lt;&gt;"", LOWER(TRIM($X208))&lt;&gt;"n/a", LOWER(TRIM($X208))&lt;&gt;"na", SUMPRODUCT(--(UPPER(TRIM($X$2:$X$518))=UPPER(TRIM($X208))), --(UPPER(TRIM($B$2:$B$518))="YES"), --(UPPER(TRIM($G$2:$G$518)&amp;TRIM($I$2:$I$518)&amp;TRIM($J$2:$J$518))&lt;&gt;UPPER(TRIM($G208)&amp;TRIM($I208)&amp;TRIM($J208))))&gt;0), AND($Y208&lt;&gt;"", LOWER(TRIM($Y208))&lt;&gt;"n/a", LOWER(TRIM($Y208))&lt;&gt;"na", SUMPRODUCT(--(UPPER(SUBSTITUTE(SUBSTITUTE(TRIM($Y$2:$Y$518),":",""),"-",""))=UPPER(SUBSTITUTE(SUBSTITUTE(TRIM($Y208),":",""),"-",""))), --(UPPER(TRIM($B$2:$B$518))="YES"), --(UPPER(TRIM($G$2:$G$518)&amp;TRIM($I$2:$I$518)&amp;TRIM($J$2:$J$518))&lt;&gt;UPPER(TRIM($G208)&amp;TRIM($I208)&amp;TRIM($J208))))&gt;0), AND($AB208&lt;&gt;"", LOWER(TRIM($AB208))&lt;&gt;"n/a", LOWER(TRIM($AB208))&lt;&gt;"na", SUMPRODUCT(--(UPPER(TRIM($AB$2:$AB$518))=UPPER(TRIM($AB208))), --(UPPER(TRIM($B$2:$B$518))="YES"), --(UPPER(TRIM($G$2:$G$518)&amp;TRIM($I$2:$I$518)&amp;TRIM($J$2:$J$518))&lt;&gt;UPPER(TRIM($G208)&amp;TRIM($I208)&amp;TRIM($J208))))&gt;0), AND($AH208&lt;&gt;"", LOWER(TRIM($AH208))&lt;&gt;"n/a", LOWER(TRIM($AH208))&lt;&gt;"na", SUMPRODUCT(--(UPPER(SUBSTITUTE(SUBSTITUTE(TRIM($AH$2:$AH$518),":",""),"-",""))=UPPER(SUBSTITUTE(SUBSTITUTE(TRIM($AH208),":",""),"-",""))), --(UPPER(TRIM($B$2:$B$518))="YES"), --(UPPER(TRIM($G$2:$G$518)&amp;TRIM($I$2:$I$518)&amp;TRIM($J$2:$J$518))&lt;&gt;UPPER(TRIM($G208)&amp;TRIM($I208)&amp;TRIM($J208))))&gt;0), AND($AP208&lt;&gt;"", LOWER(TRIM($AP208))&lt;&gt;"n/a", LOWER(TRIM($AP208))&lt;&gt;"na", SUMPRODUCT(--(UPPER(TRIM($AP$2:$AP$518))=UPPER(TRIM($AP208))), --(UPPER(TRIM($B$2:$B$518))="YES"), --(UPPER(TRIM($G$2:$G$518)&amp;TRIM($I$2:$I$518)&amp;TRIM($J$2:$J$518))&lt;&gt;UPPER(TRIM($G208)&amp;TRIM($I208)&amp;TRIM($J208))))&gt;0), AND($AQ208&lt;&gt;"", LOWER(TRIM($AQ208))&lt;&gt;"n/a", LOWER(TRIM($AQ208))&lt;&gt;"na", SUMPRODUCT(--(UPPER(TRIM($AQ$2:$AQ$518))=UPPER(TRIM($AQ208))), --(UPPER(TRIM($B$2:$B$518))="YES"), --(UPPER(TRIM($G$2:$G$518)&amp;TRIM($I$2:$I$518)&amp;TRIM($J$2:$J$518))&lt;&gt;UPPER(TRIM($G208)&amp;TRIM($I208)&amp;TRIM($J208))))&gt;0)), "Yes", "No"))</f>
        <v/>
      </c>
      <c r="G208" t="inlineStr">
        <is>
          <t>LIJ SDF</t>
        </is>
      </c>
      <c r="H208" t="inlineStr">
        <is>
          <t>LIJ SDF</t>
        </is>
      </c>
      <c r="I208" t="inlineStr">
        <is>
          <t>Ground Level/Dialysis</t>
        </is>
      </c>
      <c r="J208" t="inlineStr">
        <is>
          <t>Open Patient Area</t>
        </is>
      </c>
      <c r="K208" t="n">
        <v>23</v>
      </c>
      <c r="L208" s="18" t="n">
        <v>46033</v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W208" t="inlineStr">
        <is>
          <t>n/a</t>
        </is>
      </c>
      <c r="X208" t="inlineStr">
        <is>
          <t>LIJ-SDF-MACH-W</t>
        </is>
      </c>
      <c r="Y208" t="inlineStr">
        <is>
          <t>A0F5097FDD3F</t>
        </is>
      </c>
      <c r="Z208" t="inlineStr">
        <is>
          <t>10.134.19.44</t>
        </is>
      </c>
      <c r="AA208" t="inlineStr">
        <is>
          <t>Yes</t>
        </is>
      </c>
      <c r="AB208" t="inlineStr">
        <is>
          <t>WA24406375</t>
        </is>
      </c>
      <c r="AC208" t="inlineStr">
        <is>
          <t>LIJ</t>
        </is>
      </c>
      <c r="AD208" t="inlineStr">
        <is>
          <t>Yes</t>
        </is>
      </c>
      <c r="AE208" t="inlineStr">
        <is>
          <t>Yes</t>
        </is>
      </c>
      <c r="AF208" t="inlineStr">
        <is>
          <t>Yes</t>
        </is>
      </c>
      <c r="AG208" t="inlineStr">
        <is>
          <t>Yes</t>
        </is>
      </c>
      <c r="AI208" t="inlineStr">
        <is>
          <t>Dialysis Machine</t>
        </is>
      </c>
      <c r="AL208" t="inlineStr">
        <is>
          <t>BSM 045D</t>
        </is>
      </c>
      <c r="AM208" t="inlineStr">
        <is>
          <t>Fresenius BlueStar</t>
        </is>
      </c>
      <c r="AN208" t="inlineStr">
        <is>
          <t>2008T</t>
        </is>
      </c>
      <c r="AO208" t="inlineStr">
        <is>
          <t>9T0S237738</t>
        </is>
      </c>
      <c r="AP208" t="inlineStr">
        <is>
          <t>n/a</t>
        </is>
      </c>
      <c r="AQ208" t="inlineStr">
        <is>
          <t>9T0S237738</t>
        </is>
      </c>
      <c r="AS208" t="inlineStr">
        <is>
          <t>B1-CFH</t>
        </is>
      </c>
      <c r="AX208" t="inlineStr">
        <is>
          <t>n/a</t>
        </is>
      </c>
      <c r="AY208" t="inlineStr">
        <is>
          <t>Fresenius BlueStar - 2008T</t>
        </is>
      </c>
      <c r="AZ208" t="inlineStr">
        <is>
          <t>n/a</t>
        </is>
      </c>
      <c r="BA208" t="inlineStr">
        <is>
          <t>n/a</t>
        </is>
      </c>
      <c r="BB208" t="inlineStr">
        <is>
          <t>n/a</t>
        </is>
      </c>
      <c r="BR208" t="inlineStr">
        <is>
          <t>Yes</t>
        </is>
      </c>
      <c r="BS208" t="inlineStr">
        <is>
          <t>Yes</t>
        </is>
      </c>
      <c r="BW208" t="inlineStr">
        <is>
          <t>Yes</t>
        </is>
      </c>
      <c r="BX208" t="n">
        <v>46027</v>
      </c>
      <c r="BZ208" t="inlineStr">
        <is>
          <t>Firmware Installed</t>
        </is>
      </c>
      <c r="CB208" t="inlineStr">
        <is>
          <t>Yes</t>
        </is>
      </c>
      <c r="CC208" t="inlineStr">
        <is>
          <t>No</t>
        </is>
      </c>
      <c r="CD208">
        <f>IF($Y208="","",IF((IF(AND($BR208&lt;&gt;"Yes",$BR208&lt;&gt;"N/A"),"Power Cable, ","")&amp;IF(AND($BS208&lt;&gt;"Yes",$BS208&lt;&gt;"N/A"),"Battery, ","")&amp;IF(AND($AD208&lt;&gt;"Yes",$AD208&lt;&gt;"N/A"),"Firmware Download, ","")&amp;IF(AND(OR($AD208="Yes",$AD208="N/A"),$AE208&lt;&gt;"Yes",$AE208&lt;&gt;"N/A"),"Firmware Install, ","")&amp;IF(AND($CB208&lt;&gt;"Yes",$CB208&lt;&gt;"N/A"),"Device ID, ","")&amp;IF(AND($CC208&lt;&gt;"Yes",$CC208&lt;&gt;"N/A"),"Epic Beans Relay, ",""))="","",LEFT(IF(AND($BR208&lt;&gt;"Yes",$BR208&lt;&gt;"N/A"),"Power Cable, ","")&amp;IF(AND($BS208&lt;&gt;"Yes",$BS208&lt;&gt;"N/A"),"Battery, ","")&amp;IF(AND($AD208&lt;&gt;"Yes",$AD208&lt;&gt;"N/A"),"Firmware Download, ","")&amp;IF(AND(OR($AD208="Yes",$AD208="N/A"),$AE208&lt;&gt;"Yes",$AE208&lt;&gt;"N/A"),"Firmware Install, ","")&amp;IF(AND($CB208&lt;&gt;"Yes",$CB208&lt;&gt;"N/A"),"Device ID, ","")&amp;IF(AND($CC208&lt;&gt;"Yes",$CC208&lt;&gt;"N/A"),"Epic Beans Relay, ",""),LEN(IF(AND($BR208&lt;&gt;"Yes",$BR208&lt;&gt;"N/A"),"Power Cable, ","")&amp;IF(AND($BS208&lt;&gt;"Yes",$BS208&lt;&gt;"N/A"),"Battery, ","")&amp;IF(AND($AD208&lt;&gt;"Yes",$AD208&lt;&gt;"N/A"),"Firmware Download, ","")&amp;IF(AND(OR($AD208="Yes",$AD208="N/A"),$AE208&lt;&gt;"Yes",$AE208&lt;&gt;"N/A"),"Firmware Install, ","")&amp;IF(AND($CB208&lt;&gt;"Yes",$CB208&lt;&gt;"N/A"),"Device ID, ","")&amp;IF(AND($CC208&lt;&gt;"Yes",$CC208&lt;&gt;"N/A"),"Epic Beans Relay, ",""))-2)))</f>
        <v/>
      </c>
      <c r="CE208">
        <f>IF($Y208="","",IF($CD208="","Yes","Blocked"))</f>
        <v/>
      </c>
      <c r="CP208">
        <f>IF($CO208="","",IFERROR(VLOOKUP($CO208,'01_Warehouse_Ledger'!$A:$N,4,FALSE),""))</f>
        <v/>
      </c>
      <c r="CQ208">
        <f>IF($CO208="","",IFERROR(VLOOKUP($CO208,'01_Warehouse_Ledger'!$A:$N,5,FALSE),""))</f>
        <v/>
      </c>
      <c r="CR208">
        <f>IF($CO208="","",IFERROR(VLOOKUP($CO208,'01_Warehouse_Ledger'!$A:$N,13,FALSE),""))</f>
        <v/>
      </c>
      <c r="CW208">
        <f>IF($S208="","",IF(UPPER(TRIM($S208))&lt;&gt;"PASS","",IF(LEN(TRIM($BY208))&gt;0,"NOTES_PRESENT",IF(LEN(TRIM($T208))=0,"SET_NA",IF(OR(LOWER(TRIM($T208))="na",LOWER(TRIM($T208))="n/a"),"OK","MANUAL_OVERRIDE")))))</f>
        <v/>
      </c>
    </row>
    <row r="209">
      <c r="A209" t="inlineStr">
        <is>
          <t>Neuron</t>
        </is>
      </c>
      <c r="B209" s="5" t="inlineStr">
        <is>
          <t>Yes</t>
        </is>
      </c>
      <c r="C209" t="inlineStr">
        <is>
          <t>Yes</t>
        </is>
      </c>
      <c r="D209">
        <f>IF($B209&lt;&gt;"Yes","",IF($C209="No","Yes",IF($C209="Yes","No","")))</f>
        <v/>
      </c>
      <c r="E209">
        <f>IF($A209="","",IF(OR(AND($V209&lt;&gt;"",LOWER(TRIM($V209))&lt;&gt;"n/a",LOWER(TRIM($V209))&lt;&gt;"na",SUMPRODUCT(--(UPPER(TRIM($V$2:$V$518))=UPPER(TRIM($V209))),--(TRIM($V$2:$V$518)&lt;&gt;""),--(LOWER(TRIM($V$2:$V$518))&lt;&gt;"n/a"),--(LOWER(TRIM($V$2:$V$518))&lt;&gt;"na"))&gt;1),AND($W209&lt;&gt;"",LOWER(TRIM($W209))&lt;&gt;"n/a",LOWER(TRIM($W209))&lt;&gt;"na",SUMPRODUCT(--(UPPER(TRIM($W$2:$W$518))=UPPER(TRIM($W209))),--(TRIM($W$2:$W$518)&lt;&gt;""),--(LOWER(TRIM($W$2:$W$518))&lt;&gt;"n/a"),--(LOWER(TRIM($W$2:$W$518))&lt;&gt;"na"))&gt;1),AND($X209&lt;&gt;"",LOWER(TRIM($X209))&lt;&gt;"n/a",LOWER(TRIM($X209))&lt;&gt;"na",SUMPRODUCT(--(UPPER(TRIM($X$2:$X$518))=UPPER(TRIM($X209))),--(TRIM($X$2:$X$518)&lt;&gt;""),--(LOWER(TRIM($X$2:$X$518))&lt;&gt;"n/a"),--(LOWER(TRIM($X$2:$X$518))&lt;&gt;"na"))&gt;1),AND($Y209&lt;&gt;"",LOWER(TRIM($Y209))&lt;&gt;"n/a",LOWER(TRIM($Y209))&lt;&gt;"na",SUMPRODUCT(--(UPPER(SUBSTITUTE(SUBSTITUTE(TRIM($Y$2:$Y$518),":",""),"-",""))=UPPER(SUBSTITUTE(SUBSTITUTE(TRIM($Y209),":",""),"-",""))),--(TRIM($Y$2:$Y$518)&lt;&gt;""),--(LOWER(TRIM($Y$2:$Y$518))&lt;&gt;"n/a"),--(LOWER(TRIM($Y$2:$Y$518))&lt;&gt;"na"))&gt;1),AND($AB209&lt;&gt;"",LOWER(TRIM($AB209))&lt;&gt;"n/a",LOWER(TRIM($AB209))&lt;&gt;"na",SUMPRODUCT(--(UPPER(TRIM($AB$2:$AB$518))=UPPER(TRIM($AB209))),--(TRIM($AB$2:$AB$518)&lt;&gt;""),--(LOWER(TRIM($AB$2:$AB$518))&lt;&gt;"n/a"),--(LOWER(TRIM($AB$2:$AB$518))&lt;&gt;"na"))&gt;1),AND($AH209&lt;&gt;"",LOWER(TRIM($AH209))&lt;&gt;"n/a",LOWER(TRIM($AH209))&lt;&gt;"na",SUMPRODUCT(--(UPPER(SUBSTITUTE(SUBSTITUTE(TRIM($AH$2:$AH$518),":",""),"-",""))=UPPER(SUBSTITUTE(SUBSTITUTE(TRIM($AH209),":",""),"-",""))),--(TRIM($AH$2:$AH$518)&lt;&gt;""),--(LOWER(TRIM($AH$2:$AH$518))&lt;&gt;"n/a"),--(LOWER(TRIM($AH$2:$AH$518))&lt;&gt;"na"))&gt;1),AND($AP209&lt;&gt;"",LOWER(TRIM($AP209))&lt;&gt;"n/a",LOWER(TRIM($AP209))&lt;&gt;"na",SUMPRODUCT(--(UPPER(TRIM($AP$2:$AP$518))=UPPER(TRIM($AP209))),--(TRIM($AP$2:$AP$518)&lt;&gt;""),--(LOWER(TRIM($AP$2:$AP$518))&lt;&gt;"n/a"),--(LOWER(TRIM($AP$2:$AP$518))&lt;&gt;"na"))&gt;1),AND($AQ209&lt;&gt;"",LOWER(TRIM($AQ209))&lt;&gt;"n/a",LOWER(TRIM($AQ209))&lt;&gt;"na",SUMPRODUCT(--(UPPER(TRIM($AQ$2:$AQ$518))=UPPER(TRIM($AQ209))),--(TRIM($AQ$2:$AQ$518)&lt;&gt;""),--(LOWER(TRIM($AQ$2:$AQ$518))&lt;&gt;"n/a"),--(LOWER(TRIM($AQ$2:$AQ$518))&lt;&gt;"na"))&gt;1)),"Yes","No"))</f>
        <v/>
      </c>
      <c r="F209">
        <f>IF(UPPER(TRIM($B209))&lt;&gt;"YES","", IF(OR(AND($V209&lt;&gt;"", LOWER(TRIM($V209))&lt;&gt;"n/a", LOWER(TRIM($V209))&lt;&gt;"na", SUMPRODUCT(--(UPPER(TRIM($V$2:$V$518))=UPPER(TRIM($V209))), --(UPPER(TRIM($B$2:$B$518))="YES"), --(UPPER(TRIM($G$2:$G$518)&amp;TRIM($I$2:$I$518)&amp;TRIM($J$2:$J$518))&lt;&gt;UPPER(TRIM($G209)&amp;TRIM($I209)&amp;TRIM($J209))))&gt;0), AND($W209&lt;&gt;"", LOWER(TRIM($W209))&lt;&gt;"n/a", LOWER(TRIM($W209))&lt;&gt;"na", SUMPRODUCT(--(UPPER(TRIM($W$2:$W$518))=UPPER(TRIM($W209))), --(UPPER(TRIM($B$2:$B$518))="YES"), --(UPPER(TRIM($G$2:$G$518)&amp;TRIM($I$2:$I$518)&amp;TRIM($J$2:$J$518))&lt;&gt;UPPER(TRIM($G209)&amp;TRIM($I209)&amp;TRIM($J209))))&gt;0), AND($X209&lt;&gt;"", LOWER(TRIM($X209))&lt;&gt;"n/a", LOWER(TRIM($X209))&lt;&gt;"na", SUMPRODUCT(--(UPPER(TRIM($X$2:$X$518))=UPPER(TRIM($X209))), --(UPPER(TRIM($B$2:$B$518))="YES"), --(UPPER(TRIM($G$2:$G$518)&amp;TRIM($I$2:$I$518)&amp;TRIM($J$2:$J$518))&lt;&gt;UPPER(TRIM($G209)&amp;TRIM($I209)&amp;TRIM($J209))))&gt;0), AND($Y209&lt;&gt;"", LOWER(TRIM($Y209))&lt;&gt;"n/a", LOWER(TRIM($Y209))&lt;&gt;"na", SUMPRODUCT(--(UPPER(SUBSTITUTE(SUBSTITUTE(TRIM($Y$2:$Y$518),":",""),"-",""))=UPPER(SUBSTITUTE(SUBSTITUTE(TRIM($Y209),":",""),"-",""))), --(UPPER(TRIM($B$2:$B$518))="YES"), --(UPPER(TRIM($G$2:$G$518)&amp;TRIM($I$2:$I$518)&amp;TRIM($J$2:$J$518))&lt;&gt;UPPER(TRIM($G209)&amp;TRIM($I209)&amp;TRIM($J209))))&gt;0), AND($AB209&lt;&gt;"", LOWER(TRIM($AB209))&lt;&gt;"n/a", LOWER(TRIM($AB209))&lt;&gt;"na", SUMPRODUCT(--(UPPER(TRIM($AB$2:$AB$518))=UPPER(TRIM($AB209))), --(UPPER(TRIM($B$2:$B$518))="YES"), --(UPPER(TRIM($G$2:$G$518)&amp;TRIM($I$2:$I$518)&amp;TRIM($J$2:$J$518))&lt;&gt;UPPER(TRIM($G209)&amp;TRIM($I209)&amp;TRIM($J209))))&gt;0), AND($AH209&lt;&gt;"", LOWER(TRIM($AH209))&lt;&gt;"n/a", LOWER(TRIM($AH209))&lt;&gt;"na", SUMPRODUCT(--(UPPER(SUBSTITUTE(SUBSTITUTE(TRIM($AH$2:$AH$518),":",""),"-",""))=UPPER(SUBSTITUTE(SUBSTITUTE(TRIM($AH209),":",""),"-",""))), --(UPPER(TRIM($B$2:$B$518))="YES"), --(UPPER(TRIM($G$2:$G$518)&amp;TRIM($I$2:$I$518)&amp;TRIM($J$2:$J$518))&lt;&gt;UPPER(TRIM($G209)&amp;TRIM($I209)&amp;TRIM($J209))))&gt;0), AND($AP209&lt;&gt;"", LOWER(TRIM($AP209))&lt;&gt;"n/a", LOWER(TRIM($AP209))&lt;&gt;"na", SUMPRODUCT(--(UPPER(TRIM($AP$2:$AP$518))=UPPER(TRIM($AP209))), --(UPPER(TRIM($B$2:$B$518))="YES"), --(UPPER(TRIM($G$2:$G$518)&amp;TRIM($I$2:$I$518)&amp;TRIM($J$2:$J$518))&lt;&gt;UPPER(TRIM($G209)&amp;TRIM($I209)&amp;TRIM($J209))))&gt;0), AND($AQ209&lt;&gt;"", LOWER(TRIM($AQ209))&lt;&gt;"n/a", LOWER(TRIM($AQ209))&lt;&gt;"na", SUMPRODUCT(--(UPPER(TRIM($AQ$2:$AQ$518))=UPPER(TRIM($AQ209))), --(UPPER(TRIM($B$2:$B$518))="YES"), --(UPPER(TRIM($G$2:$G$518)&amp;TRIM($I$2:$I$518)&amp;TRIM($J$2:$J$518))&lt;&gt;UPPER(TRIM($G209)&amp;TRIM($I209)&amp;TRIM($J209))))&gt;0)), "Yes", "No"))</f>
        <v/>
      </c>
      <c r="G209" t="inlineStr">
        <is>
          <t>LIJ SDF</t>
        </is>
      </c>
      <c r="H209" t="inlineStr">
        <is>
          <t>LIJ SDF</t>
        </is>
      </c>
      <c r="I209" t="inlineStr">
        <is>
          <t>Ground Level/Dialysis</t>
        </is>
      </c>
      <c r="J209" t="inlineStr">
        <is>
          <t>Open Patient Area</t>
        </is>
      </c>
      <c r="K209" t="n">
        <v>24</v>
      </c>
      <c r="L209" s="18" t="n">
        <v>46033</v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W209" t="inlineStr">
        <is>
          <t>n/a</t>
        </is>
      </c>
      <c r="X209" t="inlineStr">
        <is>
          <t>LIJ-SDF-MACH-X</t>
        </is>
      </c>
      <c r="Y209" t="inlineStr">
        <is>
          <t>A0F5097FEBFE</t>
        </is>
      </c>
      <c r="Z209" t="inlineStr">
        <is>
          <t>10.134.19.45</t>
        </is>
      </c>
      <c r="AA209" t="inlineStr">
        <is>
          <t>Yes</t>
        </is>
      </c>
      <c r="AB209" t="inlineStr">
        <is>
          <t>WA24406299</t>
        </is>
      </c>
      <c r="AC209" t="inlineStr">
        <is>
          <t>LIJ</t>
        </is>
      </c>
      <c r="AD209" t="inlineStr">
        <is>
          <t>Yes</t>
        </is>
      </c>
      <c r="AE209" t="inlineStr">
        <is>
          <t>Yes</t>
        </is>
      </c>
      <c r="AF209" t="inlineStr">
        <is>
          <t>Yes</t>
        </is>
      </c>
      <c r="AG209" t="inlineStr">
        <is>
          <t>Yes</t>
        </is>
      </c>
      <c r="AI209" t="inlineStr">
        <is>
          <t>Dialysis Machine</t>
        </is>
      </c>
      <c r="AL209" t="inlineStr">
        <is>
          <t>BSM 046 C</t>
        </is>
      </c>
      <c r="AM209" t="inlineStr">
        <is>
          <t>Fresenius BlueStar</t>
        </is>
      </c>
      <c r="AN209" t="inlineStr">
        <is>
          <t>2008T</t>
        </is>
      </c>
      <c r="AO209" t="inlineStr">
        <is>
          <t>1T0S255978</t>
        </is>
      </c>
      <c r="AP209" t="inlineStr">
        <is>
          <t>n/a</t>
        </is>
      </c>
      <c r="AQ209" t="inlineStr">
        <is>
          <t>1T0S255978</t>
        </is>
      </c>
      <c r="AS209" t="inlineStr">
        <is>
          <t>B1-CFH</t>
        </is>
      </c>
      <c r="AX209" t="inlineStr">
        <is>
          <t>n/a</t>
        </is>
      </c>
      <c r="AY209" t="inlineStr">
        <is>
          <t>Fresenius BlueStar - 2008T</t>
        </is>
      </c>
      <c r="AZ209" t="inlineStr">
        <is>
          <t>n/a</t>
        </is>
      </c>
      <c r="BA209" t="inlineStr">
        <is>
          <t>n/a</t>
        </is>
      </c>
      <c r="BB209" t="inlineStr">
        <is>
          <t>n/a</t>
        </is>
      </c>
      <c r="BR209" t="inlineStr">
        <is>
          <t>Yes</t>
        </is>
      </c>
      <c r="BS209" t="inlineStr">
        <is>
          <t>Yes</t>
        </is>
      </c>
      <c r="BW209" t="inlineStr">
        <is>
          <t>Yes</t>
        </is>
      </c>
      <c r="BX209" t="n">
        <v>46027</v>
      </c>
      <c r="BZ209" t="inlineStr">
        <is>
          <t>Firmware Installed</t>
        </is>
      </c>
      <c r="CB209" t="inlineStr">
        <is>
          <t>Yes</t>
        </is>
      </c>
      <c r="CC209" t="inlineStr">
        <is>
          <t>No</t>
        </is>
      </c>
      <c r="CD209">
        <f>IF($Y209="","",IF((IF(AND($BR209&lt;&gt;"Yes",$BR209&lt;&gt;"N/A"),"Power Cable, ","")&amp;IF(AND($BS209&lt;&gt;"Yes",$BS209&lt;&gt;"N/A"),"Battery, ","")&amp;IF(AND($AD209&lt;&gt;"Yes",$AD209&lt;&gt;"N/A"),"Firmware Download, ","")&amp;IF(AND(OR($AD209="Yes",$AD209="N/A"),$AE209&lt;&gt;"Yes",$AE209&lt;&gt;"N/A"),"Firmware Install, ","")&amp;IF(AND($CB209&lt;&gt;"Yes",$CB209&lt;&gt;"N/A"),"Device ID, ","")&amp;IF(AND($CC209&lt;&gt;"Yes",$CC209&lt;&gt;"N/A"),"Epic Beans Relay, ",""))="","",LEFT(IF(AND($BR209&lt;&gt;"Yes",$BR209&lt;&gt;"N/A"),"Power Cable, ","")&amp;IF(AND($BS209&lt;&gt;"Yes",$BS209&lt;&gt;"N/A"),"Battery, ","")&amp;IF(AND($AD209&lt;&gt;"Yes",$AD209&lt;&gt;"N/A"),"Firmware Download, ","")&amp;IF(AND(OR($AD209="Yes",$AD209="N/A"),$AE209&lt;&gt;"Yes",$AE209&lt;&gt;"N/A"),"Firmware Install, ","")&amp;IF(AND($CB209&lt;&gt;"Yes",$CB209&lt;&gt;"N/A"),"Device ID, ","")&amp;IF(AND($CC209&lt;&gt;"Yes",$CC209&lt;&gt;"N/A"),"Epic Beans Relay, ",""),LEN(IF(AND($BR209&lt;&gt;"Yes",$BR209&lt;&gt;"N/A"),"Power Cable, ","")&amp;IF(AND($BS209&lt;&gt;"Yes",$BS209&lt;&gt;"N/A"),"Battery, ","")&amp;IF(AND($AD209&lt;&gt;"Yes",$AD209&lt;&gt;"N/A"),"Firmware Download, ","")&amp;IF(AND(OR($AD209="Yes",$AD209="N/A"),$AE209&lt;&gt;"Yes",$AE209&lt;&gt;"N/A"),"Firmware Install, ","")&amp;IF(AND($CB209&lt;&gt;"Yes",$CB209&lt;&gt;"N/A"),"Device ID, ","")&amp;IF(AND($CC209&lt;&gt;"Yes",$CC209&lt;&gt;"N/A"),"Epic Beans Relay, ",""))-2)))</f>
        <v/>
      </c>
      <c r="CE209">
        <f>IF($Y209="","",IF($CD209="","Yes","Blocked"))</f>
        <v/>
      </c>
      <c r="CP209">
        <f>IF($CO209="","",IFERROR(VLOOKUP($CO209,'01_Warehouse_Ledger'!$A:$N,4,FALSE),""))</f>
        <v/>
      </c>
      <c r="CQ209">
        <f>IF($CO209="","",IFERROR(VLOOKUP($CO209,'01_Warehouse_Ledger'!$A:$N,5,FALSE),""))</f>
        <v/>
      </c>
      <c r="CR209">
        <f>IF($CO209="","",IFERROR(VLOOKUP($CO209,'01_Warehouse_Ledger'!$A:$N,13,FALSE),""))</f>
        <v/>
      </c>
      <c r="CW209">
        <f>IF($S209="","",IF(UPPER(TRIM($S209))&lt;&gt;"PASS","",IF(LEN(TRIM($BY209))&gt;0,"NOTES_PRESENT",IF(LEN(TRIM($T209))=0,"SET_NA",IF(OR(LOWER(TRIM($T209))="na",LOWER(TRIM($T209))="n/a"),"OK","MANUAL_OVERRIDE")))))</f>
        <v/>
      </c>
    </row>
    <row r="210">
      <c r="A210" t="inlineStr">
        <is>
          <t>Neuron</t>
        </is>
      </c>
      <c r="B210" s="5" t="inlineStr">
        <is>
          <t>Yes</t>
        </is>
      </c>
      <c r="C210" t="inlineStr">
        <is>
          <t>Yes</t>
        </is>
      </c>
      <c r="D210">
        <f>IF($B210&lt;&gt;"Yes","",IF($C210="No","Yes",IF($C210="Yes","No","")))</f>
        <v/>
      </c>
      <c r="E210">
        <f>IF($A210="","",IF(OR(AND($V210&lt;&gt;"",LOWER(TRIM($V210))&lt;&gt;"n/a",LOWER(TRIM($V210))&lt;&gt;"na",SUMPRODUCT(--(UPPER(TRIM($V$2:$V$518))=UPPER(TRIM($V210))),--(TRIM($V$2:$V$518)&lt;&gt;""),--(LOWER(TRIM($V$2:$V$518))&lt;&gt;"n/a"),--(LOWER(TRIM($V$2:$V$518))&lt;&gt;"na"))&gt;1),AND($W210&lt;&gt;"",LOWER(TRIM($W210))&lt;&gt;"n/a",LOWER(TRIM($W210))&lt;&gt;"na",SUMPRODUCT(--(UPPER(TRIM($W$2:$W$518))=UPPER(TRIM($W210))),--(TRIM($W$2:$W$518)&lt;&gt;""),--(LOWER(TRIM($W$2:$W$518))&lt;&gt;"n/a"),--(LOWER(TRIM($W$2:$W$518))&lt;&gt;"na"))&gt;1),AND($X210&lt;&gt;"",LOWER(TRIM($X210))&lt;&gt;"n/a",LOWER(TRIM($X210))&lt;&gt;"na",SUMPRODUCT(--(UPPER(TRIM($X$2:$X$518))=UPPER(TRIM($X210))),--(TRIM($X$2:$X$518)&lt;&gt;""),--(LOWER(TRIM($X$2:$X$518))&lt;&gt;"n/a"),--(LOWER(TRIM($X$2:$X$518))&lt;&gt;"na"))&gt;1),AND($Y210&lt;&gt;"",LOWER(TRIM($Y210))&lt;&gt;"n/a",LOWER(TRIM($Y210))&lt;&gt;"na",SUMPRODUCT(--(UPPER(SUBSTITUTE(SUBSTITUTE(TRIM($Y$2:$Y$518),":",""),"-",""))=UPPER(SUBSTITUTE(SUBSTITUTE(TRIM($Y210),":",""),"-",""))),--(TRIM($Y$2:$Y$518)&lt;&gt;""),--(LOWER(TRIM($Y$2:$Y$518))&lt;&gt;"n/a"),--(LOWER(TRIM($Y$2:$Y$518))&lt;&gt;"na"))&gt;1),AND($AB210&lt;&gt;"",LOWER(TRIM($AB210))&lt;&gt;"n/a",LOWER(TRIM($AB210))&lt;&gt;"na",SUMPRODUCT(--(UPPER(TRIM($AB$2:$AB$518))=UPPER(TRIM($AB210))),--(TRIM($AB$2:$AB$518)&lt;&gt;""),--(LOWER(TRIM($AB$2:$AB$518))&lt;&gt;"n/a"),--(LOWER(TRIM($AB$2:$AB$518))&lt;&gt;"na"))&gt;1),AND($AH210&lt;&gt;"",LOWER(TRIM($AH210))&lt;&gt;"n/a",LOWER(TRIM($AH210))&lt;&gt;"na",SUMPRODUCT(--(UPPER(SUBSTITUTE(SUBSTITUTE(TRIM($AH$2:$AH$518),":",""),"-",""))=UPPER(SUBSTITUTE(SUBSTITUTE(TRIM($AH210),":",""),"-",""))),--(TRIM($AH$2:$AH$518)&lt;&gt;""),--(LOWER(TRIM($AH$2:$AH$518))&lt;&gt;"n/a"),--(LOWER(TRIM($AH$2:$AH$518))&lt;&gt;"na"))&gt;1),AND($AP210&lt;&gt;"",LOWER(TRIM($AP210))&lt;&gt;"n/a",LOWER(TRIM($AP210))&lt;&gt;"na",SUMPRODUCT(--(UPPER(TRIM($AP$2:$AP$518))=UPPER(TRIM($AP210))),--(TRIM($AP$2:$AP$518)&lt;&gt;""),--(LOWER(TRIM($AP$2:$AP$518))&lt;&gt;"n/a"),--(LOWER(TRIM($AP$2:$AP$518))&lt;&gt;"na"))&gt;1),AND($AQ210&lt;&gt;"",LOWER(TRIM($AQ210))&lt;&gt;"n/a",LOWER(TRIM($AQ210))&lt;&gt;"na",SUMPRODUCT(--(UPPER(TRIM($AQ$2:$AQ$518))=UPPER(TRIM($AQ210))),--(TRIM($AQ$2:$AQ$518)&lt;&gt;""),--(LOWER(TRIM($AQ$2:$AQ$518))&lt;&gt;"n/a"),--(LOWER(TRIM($AQ$2:$AQ$518))&lt;&gt;"na"))&gt;1)),"Yes","No"))</f>
        <v/>
      </c>
      <c r="F210">
        <f>IF(UPPER(TRIM($B210))&lt;&gt;"YES","", IF(OR(AND($V210&lt;&gt;"", LOWER(TRIM($V210))&lt;&gt;"n/a", LOWER(TRIM($V210))&lt;&gt;"na", SUMPRODUCT(--(UPPER(TRIM($V$2:$V$518))=UPPER(TRIM($V210))), --(UPPER(TRIM($B$2:$B$518))="YES"), --(UPPER(TRIM($G$2:$G$518)&amp;TRIM($I$2:$I$518)&amp;TRIM($J$2:$J$518))&lt;&gt;UPPER(TRIM($G210)&amp;TRIM($I210)&amp;TRIM($J210))))&gt;0), AND($W210&lt;&gt;"", LOWER(TRIM($W210))&lt;&gt;"n/a", LOWER(TRIM($W210))&lt;&gt;"na", SUMPRODUCT(--(UPPER(TRIM($W$2:$W$518))=UPPER(TRIM($W210))), --(UPPER(TRIM($B$2:$B$518))="YES"), --(UPPER(TRIM($G$2:$G$518)&amp;TRIM($I$2:$I$518)&amp;TRIM($J$2:$J$518))&lt;&gt;UPPER(TRIM($G210)&amp;TRIM($I210)&amp;TRIM($J210))))&gt;0), AND($X210&lt;&gt;"", LOWER(TRIM($X210))&lt;&gt;"n/a", LOWER(TRIM($X210))&lt;&gt;"na", SUMPRODUCT(--(UPPER(TRIM($X$2:$X$518))=UPPER(TRIM($X210))), --(UPPER(TRIM($B$2:$B$518))="YES"), --(UPPER(TRIM($G$2:$G$518)&amp;TRIM($I$2:$I$518)&amp;TRIM($J$2:$J$518))&lt;&gt;UPPER(TRIM($G210)&amp;TRIM($I210)&amp;TRIM($J210))))&gt;0), AND($Y210&lt;&gt;"", LOWER(TRIM($Y210))&lt;&gt;"n/a", LOWER(TRIM($Y210))&lt;&gt;"na", SUMPRODUCT(--(UPPER(SUBSTITUTE(SUBSTITUTE(TRIM($Y$2:$Y$518),":",""),"-",""))=UPPER(SUBSTITUTE(SUBSTITUTE(TRIM($Y210),":",""),"-",""))), --(UPPER(TRIM($B$2:$B$518))="YES"), --(UPPER(TRIM($G$2:$G$518)&amp;TRIM($I$2:$I$518)&amp;TRIM($J$2:$J$518))&lt;&gt;UPPER(TRIM($G210)&amp;TRIM($I210)&amp;TRIM($J210))))&gt;0), AND($AB210&lt;&gt;"", LOWER(TRIM($AB210))&lt;&gt;"n/a", LOWER(TRIM($AB210))&lt;&gt;"na", SUMPRODUCT(--(UPPER(TRIM($AB$2:$AB$518))=UPPER(TRIM($AB210))), --(UPPER(TRIM($B$2:$B$518))="YES"), --(UPPER(TRIM($G$2:$G$518)&amp;TRIM($I$2:$I$518)&amp;TRIM($J$2:$J$518))&lt;&gt;UPPER(TRIM($G210)&amp;TRIM($I210)&amp;TRIM($J210))))&gt;0), AND($AH210&lt;&gt;"", LOWER(TRIM($AH210))&lt;&gt;"n/a", LOWER(TRIM($AH210))&lt;&gt;"na", SUMPRODUCT(--(UPPER(SUBSTITUTE(SUBSTITUTE(TRIM($AH$2:$AH$518),":",""),"-",""))=UPPER(SUBSTITUTE(SUBSTITUTE(TRIM($AH210),":",""),"-",""))), --(UPPER(TRIM($B$2:$B$518))="YES"), --(UPPER(TRIM($G$2:$G$518)&amp;TRIM($I$2:$I$518)&amp;TRIM($J$2:$J$518))&lt;&gt;UPPER(TRIM($G210)&amp;TRIM($I210)&amp;TRIM($J210))))&gt;0), AND($AP210&lt;&gt;"", LOWER(TRIM($AP210))&lt;&gt;"n/a", LOWER(TRIM($AP210))&lt;&gt;"na", SUMPRODUCT(--(UPPER(TRIM($AP$2:$AP$518))=UPPER(TRIM($AP210))), --(UPPER(TRIM($B$2:$B$518))="YES"), --(UPPER(TRIM($G$2:$G$518)&amp;TRIM($I$2:$I$518)&amp;TRIM($J$2:$J$518))&lt;&gt;UPPER(TRIM($G210)&amp;TRIM($I210)&amp;TRIM($J210))))&gt;0), AND($AQ210&lt;&gt;"", LOWER(TRIM($AQ210))&lt;&gt;"n/a", LOWER(TRIM($AQ210))&lt;&gt;"na", SUMPRODUCT(--(UPPER(TRIM($AQ$2:$AQ$518))=UPPER(TRIM($AQ210))), --(UPPER(TRIM($B$2:$B$518))="YES"), --(UPPER(TRIM($G$2:$G$518)&amp;TRIM($I$2:$I$518)&amp;TRIM($J$2:$J$518))&lt;&gt;UPPER(TRIM($G210)&amp;TRIM($I210)&amp;TRIM($J210))))&gt;0)), "Yes", "No"))</f>
        <v/>
      </c>
      <c r="G210" t="inlineStr">
        <is>
          <t>LIJ SDF</t>
        </is>
      </c>
      <c r="H210" t="inlineStr">
        <is>
          <t>LIJ SDF</t>
        </is>
      </c>
      <c r="I210" t="inlineStr">
        <is>
          <t>Ground Level/Dialysis</t>
        </is>
      </c>
      <c r="J210" t="inlineStr">
        <is>
          <t>Open Patient Area</t>
        </is>
      </c>
      <c r="K210" t="n">
        <v>25</v>
      </c>
      <c r="L210" s="18" t="n">
        <v>46033</v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W210" t="inlineStr">
        <is>
          <t>n/a</t>
        </is>
      </c>
      <c r="X210" t="inlineStr">
        <is>
          <t>LIJ-SDF-MACH-Y</t>
        </is>
      </c>
      <c r="Y210" t="inlineStr">
        <is>
          <t>A0F5097B9FA6</t>
        </is>
      </c>
      <c r="Z210" t="inlineStr">
        <is>
          <t>10.134.18.76</t>
        </is>
      </c>
      <c r="AA210" t="inlineStr">
        <is>
          <t>Yes</t>
        </is>
      </c>
      <c r="AB210" t="inlineStr">
        <is>
          <t>WA25300322</t>
        </is>
      </c>
      <c r="AC210" t="inlineStr">
        <is>
          <t>LIJ</t>
        </is>
      </c>
      <c r="AD210" t="inlineStr">
        <is>
          <t>Yes</t>
        </is>
      </c>
      <c r="AE210" t="inlineStr">
        <is>
          <t>Yes</t>
        </is>
      </c>
      <c r="AF210" t="inlineStr">
        <is>
          <t>Yes</t>
        </is>
      </c>
      <c r="AG210" t="inlineStr">
        <is>
          <t>Yes</t>
        </is>
      </c>
      <c r="AI210" t="inlineStr">
        <is>
          <t>Dialysis Machine</t>
        </is>
      </c>
      <c r="AL210" t="inlineStr">
        <is>
          <t>BSM 046D</t>
        </is>
      </c>
      <c r="AM210" t="inlineStr">
        <is>
          <t>Fresenius BlueStar</t>
        </is>
      </c>
      <c r="AN210" t="inlineStr">
        <is>
          <t>2008T</t>
        </is>
      </c>
      <c r="AO210" t="inlineStr">
        <is>
          <t>1T0S255935</t>
        </is>
      </c>
      <c r="AP210" t="inlineStr">
        <is>
          <t>n/a</t>
        </is>
      </c>
      <c r="AQ210" t="inlineStr">
        <is>
          <t>1T0S255935</t>
        </is>
      </c>
      <c r="AS210" t="inlineStr">
        <is>
          <t>B1-CFH</t>
        </is>
      </c>
      <c r="AX210" t="inlineStr">
        <is>
          <t>n/a</t>
        </is>
      </c>
      <c r="AY210" t="inlineStr">
        <is>
          <t>Fresenius BlueStar - 2008T</t>
        </is>
      </c>
      <c r="AZ210" t="inlineStr">
        <is>
          <t>n/a</t>
        </is>
      </c>
      <c r="BA210" t="inlineStr">
        <is>
          <t>n/a</t>
        </is>
      </c>
      <c r="BB210" t="inlineStr">
        <is>
          <t>n/a</t>
        </is>
      </c>
      <c r="BR210" t="inlineStr">
        <is>
          <t>Yes</t>
        </is>
      </c>
      <c r="BS210" t="inlineStr">
        <is>
          <t>Yes</t>
        </is>
      </c>
      <c r="BW210" t="inlineStr">
        <is>
          <t>Yes</t>
        </is>
      </c>
      <c r="BX210" t="n">
        <v>46027</v>
      </c>
      <c r="BZ210" t="inlineStr">
        <is>
          <t>Firmware Installed</t>
        </is>
      </c>
      <c r="CB210" t="inlineStr">
        <is>
          <t>Yes</t>
        </is>
      </c>
      <c r="CC210" t="inlineStr">
        <is>
          <t>No</t>
        </is>
      </c>
      <c r="CD210">
        <f>IF($Y210="","",IF((IF(AND($BR210&lt;&gt;"Yes",$BR210&lt;&gt;"N/A"),"Power Cable, ","")&amp;IF(AND($BS210&lt;&gt;"Yes",$BS210&lt;&gt;"N/A"),"Battery, ","")&amp;IF(AND($AD210&lt;&gt;"Yes",$AD210&lt;&gt;"N/A"),"Firmware Download, ","")&amp;IF(AND(OR($AD210="Yes",$AD210="N/A"),$AE210&lt;&gt;"Yes",$AE210&lt;&gt;"N/A"),"Firmware Install, ","")&amp;IF(AND($CB210&lt;&gt;"Yes",$CB210&lt;&gt;"N/A"),"Device ID, ","")&amp;IF(AND($CC210&lt;&gt;"Yes",$CC210&lt;&gt;"N/A"),"Epic Beans Relay, ",""))="","",LEFT(IF(AND($BR210&lt;&gt;"Yes",$BR210&lt;&gt;"N/A"),"Power Cable, ","")&amp;IF(AND($BS210&lt;&gt;"Yes",$BS210&lt;&gt;"N/A"),"Battery, ","")&amp;IF(AND($AD210&lt;&gt;"Yes",$AD210&lt;&gt;"N/A"),"Firmware Download, ","")&amp;IF(AND(OR($AD210="Yes",$AD210="N/A"),$AE210&lt;&gt;"Yes",$AE210&lt;&gt;"N/A"),"Firmware Install, ","")&amp;IF(AND($CB210&lt;&gt;"Yes",$CB210&lt;&gt;"N/A"),"Device ID, ","")&amp;IF(AND($CC210&lt;&gt;"Yes",$CC210&lt;&gt;"N/A"),"Epic Beans Relay, ",""),LEN(IF(AND($BR210&lt;&gt;"Yes",$BR210&lt;&gt;"N/A"),"Power Cable, ","")&amp;IF(AND($BS210&lt;&gt;"Yes",$BS210&lt;&gt;"N/A"),"Battery, ","")&amp;IF(AND($AD210&lt;&gt;"Yes",$AD210&lt;&gt;"N/A"),"Firmware Download, ","")&amp;IF(AND(OR($AD210="Yes",$AD210="N/A"),$AE210&lt;&gt;"Yes",$AE210&lt;&gt;"N/A"),"Firmware Install, ","")&amp;IF(AND($CB210&lt;&gt;"Yes",$CB210&lt;&gt;"N/A"),"Device ID, ","")&amp;IF(AND($CC210&lt;&gt;"Yes",$CC210&lt;&gt;"N/A"),"Epic Beans Relay, ",""))-2)))</f>
        <v/>
      </c>
      <c r="CE210">
        <f>IF($Y210="","",IF($CD210="","Yes","Blocked"))</f>
        <v/>
      </c>
      <c r="CP210">
        <f>IF($CO210="","",IFERROR(VLOOKUP($CO210,'01_Warehouse_Ledger'!$A:$N,4,FALSE),""))</f>
        <v/>
      </c>
      <c r="CQ210">
        <f>IF($CO210="","",IFERROR(VLOOKUP($CO210,'01_Warehouse_Ledger'!$A:$N,5,FALSE),""))</f>
        <v/>
      </c>
      <c r="CR210">
        <f>IF($CO210="","",IFERROR(VLOOKUP($CO210,'01_Warehouse_Ledger'!$A:$N,13,FALSE),""))</f>
        <v/>
      </c>
      <c r="CW210">
        <f>IF($S210="","",IF(UPPER(TRIM($S210))&lt;&gt;"PASS","",IF(LEN(TRIM($BY210))&gt;0,"NOTES_PRESENT",IF(LEN(TRIM($T210))=0,"SET_NA",IF(OR(LOWER(TRIM($T210))="na",LOWER(TRIM($T210))="n/a"),"OK","MANUAL_OVERRIDE")))))</f>
        <v/>
      </c>
    </row>
    <row r="211">
      <c r="A211" t="inlineStr">
        <is>
          <t>Neuron</t>
        </is>
      </c>
      <c r="B211" s="5" t="inlineStr">
        <is>
          <t>Yes</t>
        </is>
      </c>
      <c r="C211" t="inlineStr">
        <is>
          <t>No</t>
        </is>
      </c>
      <c r="D211">
        <f>IF($B211&lt;&gt;"Yes","",IF($C211="No","Yes",IF($C211="Yes","No","")))</f>
        <v/>
      </c>
      <c r="E211">
        <f>IF($A211="","",IF(OR(AND($V211&lt;&gt;"",LOWER(TRIM($V211))&lt;&gt;"n/a",LOWER(TRIM($V211))&lt;&gt;"na",SUMPRODUCT(--(UPPER(TRIM($V$2:$V$518))=UPPER(TRIM($V211))),--(TRIM($V$2:$V$518)&lt;&gt;""),--(LOWER(TRIM($V$2:$V$518))&lt;&gt;"n/a"),--(LOWER(TRIM($V$2:$V$518))&lt;&gt;"na"))&gt;1),AND($W211&lt;&gt;"",LOWER(TRIM($W211))&lt;&gt;"n/a",LOWER(TRIM($W211))&lt;&gt;"na",SUMPRODUCT(--(UPPER(TRIM($W$2:$W$518))=UPPER(TRIM($W211))),--(TRIM($W$2:$W$518)&lt;&gt;""),--(LOWER(TRIM($W$2:$W$518))&lt;&gt;"n/a"),--(LOWER(TRIM($W$2:$W$518))&lt;&gt;"na"))&gt;1),AND($X211&lt;&gt;"",LOWER(TRIM($X211))&lt;&gt;"n/a",LOWER(TRIM($X211))&lt;&gt;"na",SUMPRODUCT(--(UPPER(TRIM($X$2:$X$518))=UPPER(TRIM($X211))),--(TRIM($X$2:$X$518)&lt;&gt;""),--(LOWER(TRIM($X$2:$X$518))&lt;&gt;"n/a"),--(LOWER(TRIM($X$2:$X$518))&lt;&gt;"na"))&gt;1),AND($Y211&lt;&gt;"",LOWER(TRIM($Y211))&lt;&gt;"n/a",LOWER(TRIM($Y211))&lt;&gt;"na",SUMPRODUCT(--(UPPER(SUBSTITUTE(SUBSTITUTE(TRIM($Y$2:$Y$518),":",""),"-",""))=UPPER(SUBSTITUTE(SUBSTITUTE(TRIM($Y211),":",""),"-",""))),--(TRIM($Y$2:$Y$518)&lt;&gt;""),--(LOWER(TRIM($Y$2:$Y$518))&lt;&gt;"n/a"),--(LOWER(TRIM($Y$2:$Y$518))&lt;&gt;"na"))&gt;1),AND($AB211&lt;&gt;"",LOWER(TRIM($AB211))&lt;&gt;"n/a",LOWER(TRIM($AB211))&lt;&gt;"na",SUMPRODUCT(--(UPPER(TRIM($AB$2:$AB$518))=UPPER(TRIM($AB211))),--(TRIM($AB$2:$AB$518)&lt;&gt;""),--(LOWER(TRIM($AB$2:$AB$518))&lt;&gt;"n/a"),--(LOWER(TRIM($AB$2:$AB$518))&lt;&gt;"na"))&gt;1),AND($AH211&lt;&gt;"",LOWER(TRIM($AH211))&lt;&gt;"n/a",LOWER(TRIM($AH211))&lt;&gt;"na",SUMPRODUCT(--(UPPER(SUBSTITUTE(SUBSTITUTE(TRIM($AH$2:$AH$518),":",""),"-",""))=UPPER(SUBSTITUTE(SUBSTITUTE(TRIM($AH211),":",""),"-",""))),--(TRIM($AH$2:$AH$518)&lt;&gt;""),--(LOWER(TRIM($AH$2:$AH$518))&lt;&gt;"n/a"),--(LOWER(TRIM($AH$2:$AH$518))&lt;&gt;"na"))&gt;1),AND($AP211&lt;&gt;"",LOWER(TRIM($AP211))&lt;&gt;"n/a",LOWER(TRIM($AP211))&lt;&gt;"na",SUMPRODUCT(--(UPPER(TRIM($AP$2:$AP$518))=UPPER(TRIM($AP211))),--(TRIM($AP$2:$AP$518)&lt;&gt;""),--(LOWER(TRIM($AP$2:$AP$518))&lt;&gt;"n/a"),--(LOWER(TRIM($AP$2:$AP$518))&lt;&gt;"na"))&gt;1),AND($AQ211&lt;&gt;"",LOWER(TRIM($AQ211))&lt;&gt;"n/a",LOWER(TRIM($AQ211))&lt;&gt;"na",SUMPRODUCT(--(UPPER(TRIM($AQ$2:$AQ$518))=UPPER(TRIM($AQ211))),--(TRIM($AQ$2:$AQ$518)&lt;&gt;""),--(LOWER(TRIM($AQ$2:$AQ$518))&lt;&gt;"n/a"),--(LOWER(TRIM($AQ$2:$AQ$518))&lt;&gt;"na"))&gt;1)),"Yes","No"))</f>
        <v/>
      </c>
      <c r="F211">
        <f>IF(UPPER(TRIM($B211))&lt;&gt;"YES","", IF(OR(AND($V211&lt;&gt;"", LOWER(TRIM($V211))&lt;&gt;"n/a", LOWER(TRIM($V211))&lt;&gt;"na", SUMPRODUCT(--(UPPER(TRIM($V$2:$V$518))=UPPER(TRIM($V211))), --(UPPER(TRIM($B$2:$B$518))="YES"), --(UPPER(TRIM($G$2:$G$518)&amp;TRIM($I$2:$I$518)&amp;TRIM($J$2:$J$518))&lt;&gt;UPPER(TRIM($G211)&amp;TRIM($I211)&amp;TRIM($J211))))&gt;0), AND($W211&lt;&gt;"", LOWER(TRIM($W211))&lt;&gt;"n/a", LOWER(TRIM($W211))&lt;&gt;"na", SUMPRODUCT(--(UPPER(TRIM($W$2:$W$518))=UPPER(TRIM($W211))), --(UPPER(TRIM($B$2:$B$518))="YES"), --(UPPER(TRIM($G$2:$G$518)&amp;TRIM($I$2:$I$518)&amp;TRIM($J$2:$J$518))&lt;&gt;UPPER(TRIM($G211)&amp;TRIM($I211)&amp;TRIM($J211))))&gt;0), AND($X211&lt;&gt;"", LOWER(TRIM($X211))&lt;&gt;"n/a", LOWER(TRIM($X211))&lt;&gt;"na", SUMPRODUCT(--(UPPER(TRIM($X$2:$X$518))=UPPER(TRIM($X211))), --(UPPER(TRIM($B$2:$B$518))="YES"), --(UPPER(TRIM($G$2:$G$518)&amp;TRIM($I$2:$I$518)&amp;TRIM($J$2:$J$518))&lt;&gt;UPPER(TRIM($G211)&amp;TRIM($I211)&amp;TRIM($J211))))&gt;0), AND($Y211&lt;&gt;"", LOWER(TRIM($Y211))&lt;&gt;"n/a", LOWER(TRIM($Y211))&lt;&gt;"na", SUMPRODUCT(--(UPPER(SUBSTITUTE(SUBSTITUTE(TRIM($Y$2:$Y$518),":",""),"-",""))=UPPER(SUBSTITUTE(SUBSTITUTE(TRIM($Y211),":",""),"-",""))), --(UPPER(TRIM($B$2:$B$518))="YES"), --(UPPER(TRIM($G$2:$G$518)&amp;TRIM($I$2:$I$518)&amp;TRIM($J$2:$J$518))&lt;&gt;UPPER(TRIM($G211)&amp;TRIM($I211)&amp;TRIM($J211))))&gt;0), AND($AB211&lt;&gt;"", LOWER(TRIM($AB211))&lt;&gt;"n/a", LOWER(TRIM($AB211))&lt;&gt;"na", SUMPRODUCT(--(UPPER(TRIM($AB$2:$AB$518))=UPPER(TRIM($AB211))), --(UPPER(TRIM($B$2:$B$518))="YES"), --(UPPER(TRIM($G$2:$G$518)&amp;TRIM($I$2:$I$518)&amp;TRIM($J$2:$J$518))&lt;&gt;UPPER(TRIM($G211)&amp;TRIM($I211)&amp;TRIM($J211))))&gt;0), AND($AH211&lt;&gt;"", LOWER(TRIM($AH211))&lt;&gt;"n/a", LOWER(TRIM($AH211))&lt;&gt;"na", SUMPRODUCT(--(UPPER(SUBSTITUTE(SUBSTITUTE(TRIM($AH$2:$AH$518),":",""),"-",""))=UPPER(SUBSTITUTE(SUBSTITUTE(TRIM($AH211),":",""),"-",""))), --(UPPER(TRIM($B$2:$B$518))="YES"), --(UPPER(TRIM($G$2:$G$518)&amp;TRIM($I$2:$I$518)&amp;TRIM($J$2:$J$518))&lt;&gt;UPPER(TRIM($G211)&amp;TRIM($I211)&amp;TRIM($J211))))&gt;0), AND($AP211&lt;&gt;"", LOWER(TRIM($AP211))&lt;&gt;"n/a", LOWER(TRIM($AP211))&lt;&gt;"na", SUMPRODUCT(--(UPPER(TRIM($AP$2:$AP$518))=UPPER(TRIM($AP211))), --(UPPER(TRIM($B$2:$B$518))="YES"), --(UPPER(TRIM($G$2:$G$518)&amp;TRIM($I$2:$I$518)&amp;TRIM($J$2:$J$518))&lt;&gt;UPPER(TRIM($G211)&amp;TRIM($I211)&amp;TRIM($J211))))&gt;0), AND($AQ211&lt;&gt;"", LOWER(TRIM($AQ211))&lt;&gt;"n/a", LOWER(TRIM($AQ211))&lt;&gt;"na", SUMPRODUCT(--(UPPER(TRIM($AQ$2:$AQ$518))=UPPER(TRIM($AQ211))), --(UPPER(TRIM($B$2:$B$518))="YES"), --(UPPER(TRIM($G$2:$G$518)&amp;TRIM($I$2:$I$518)&amp;TRIM($J$2:$J$518))&lt;&gt;UPPER(TRIM($G211)&amp;TRIM($I211)&amp;TRIM($J211))))&gt;0)), "Yes", "No"))</f>
        <v/>
      </c>
      <c r="G211" t="inlineStr">
        <is>
          <t>LIJ SDF</t>
        </is>
      </c>
      <c r="H211" t="inlineStr">
        <is>
          <t>LIJ SDF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W211" t="inlineStr">
        <is>
          <t>n/a</t>
        </is>
      </c>
      <c r="X211" t="inlineStr">
        <is>
          <t>LIJ-SDF-MACH-Z</t>
        </is>
      </c>
      <c r="Y211" t="inlineStr">
        <is>
          <t>A0F5097B9FB3</t>
        </is>
      </c>
      <c r="Z211" t="inlineStr">
        <is>
          <t>10.134.19.49</t>
        </is>
      </c>
      <c r="AA211" t="inlineStr">
        <is>
          <t>Yes</t>
        </is>
      </c>
      <c r="AB211" t="inlineStr">
        <is>
          <t>WA25300324</t>
        </is>
      </c>
      <c r="AC211" t="inlineStr">
        <is>
          <t>LIJ</t>
        </is>
      </c>
      <c r="AD211" t="inlineStr">
        <is>
          <t>Yes</t>
        </is>
      </c>
      <c r="AE211" t="inlineStr">
        <is>
          <t>Yes</t>
        </is>
      </c>
      <c r="AF211" t="inlineStr">
        <is>
          <t>Yes</t>
        </is>
      </c>
      <c r="AG211" t="inlineStr">
        <is>
          <t>Yes</t>
        </is>
      </c>
      <c r="AI211" t="inlineStr">
        <is>
          <t>Dialysis Machine</t>
        </is>
      </c>
      <c r="AP211" t="inlineStr">
        <is>
          <t>n/a</t>
        </is>
      </c>
      <c r="AY211" t="inlineStr">
        <is>
          <t>Fresenius BlueStar - 2008T</t>
        </is>
      </c>
      <c r="BR211" t="inlineStr">
        <is>
          <t>Yes</t>
        </is>
      </c>
      <c r="BS211" t="inlineStr">
        <is>
          <t>Yes</t>
        </is>
      </c>
      <c r="BW211" t="inlineStr">
        <is>
          <t>Yes</t>
        </is>
      </c>
      <c r="BX211" t="n">
        <v>46027</v>
      </c>
      <c r="BZ211" t="inlineStr">
        <is>
          <t>Firmware Installed</t>
        </is>
      </c>
      <c r="CB211" t="inlineStr">
        <is>
          <t>Yes</t>
        </is>
      </c>
      <c r="CC211" t="inlineStr">
        <is>
          <t>No</t>
        </is>
      </c>
      <c r="CD211">
        <f>IF($Y211="","",IF((IF(AND($BR211&lt;&gt;"Yes",$BR211&lt;&gt;"N/A"),"Power Cable, ","")&amp;IF(AND($BS211&lt;&gt;"Yes",$BS211&lt;&gt;"N/A"),"Battery, ","")&amp;IF(AND($AD211&lt;&gt;"Yes",$AD211&lt;&gt;"N/A"),"Firmware Download, ","")&amp;IF(AND(OR($AD211="Yes",$AD211="N/A"),$AE211&lt;&gt;"Yes",$AE211&lt;&gt;"N/A"),"Firmware Install, ","")&amp;IF(AND($CB211&lt;&gt;"Yes",$CB211&lt;&gt;"N/A"),"Device ID, ","")&amp;IF(AND($CC211&lt;&gt;"Yes",$CC211&lt;&gt;"N/A"),"Epic Beans Relay, ",""))="","",LEFT(IF(AND($BR211&lt;&gt;"Yes",$BR211&lt;&gt;"N/A"),"Power Cable, ","")&amp;IF(AND($BS211&lt;&gt;"Yes",$BS211&lt;&gt;"N/A"),"Battery, ","")&amp;IF(AND($AD211&lt;&gt;"Yes",$AD211&lt;&gt;"N/A"),"Firmware Download, ","")&amp;IF(AND(OR($AD211="Yes",$AD211="N/A"),$AE211&lt;&gt;"Yes",$AE211&lt;&gt;"N/A"),"Firmware Install, ","")&amp;IF(AND($CB211&lt;&gt;"Yes",$CB211&lt;&gt;"N/A"),"Device ID, ","")&amp;IF(AND($CC211&lt;&gt;"Yes",$CC211&lt;&gt;"N/A"),"Epic Beans Relay, ",""),LEN(IF(AND($BR211&lt;&gt;"Yes",$BR211&lt;&gt;"N/A"),"Power Cable, ","")&amp;IF(AND($BS211&lt;&gt;"Yes",$BS211&lt;&gt;"N/A"),"Battery, ","")&amp;IF(AND($AD211&lt;&gt;"Yes",$AD211&lt;&gt;"N/A"),"Firmware Download, ","")&amp;IF(AND(OR($AD211="Yes",$AD211="N/A"),$AE211&lt;&gt;"Yes",$AE211&lt;&gt;"N/A"),"Firmware Install, ","")&amp;IF(AND($CB211&lt;&gt;"Yes",$CB211&lt;&gt;"N/A"),"Device ID, ","")&amp;IF(AND($CC211&lt;&gt;"Yes",$CC211&lt;&gt;"N/A"),"Epic Beans Relay, ",""))-2)))</f>
        <v/>
      </c>
      <c r="CE211">
        <f>IF($Y211="","",IF($CD211="","Yes","Blocked"))</f>
        <v/>
      </c>
      <c r="CP211">
        <f>IF($CO211="","",IFERROR(VLOOKUP($CO211,'01_Warehouse_Ledger'!$A:$N,4,FALSE),""))</f>
        <v/>
      </c>
      <c r="CQ211">
        <f>IF($CO211="","",IFERROR(VLOOKUP($CO211,'01_Warehouse_Ledger'!$A:$N,5,FALSE),""))</f>
        <v/>
      </c>
      <c r="CR211">
        <f>IF($CO211="","",IFERROR(VLOOKUP($CO211,'01_Warehouse_Ledger'!$A:$N,13,FALSE),""))</f>
        <v/>
      </c>
      <c r="CW211">
        <f>IF($S211="","",IF(UPPER(TRIM($S211))&lt;&gt;"PASS","",IF(LEN(TRIM($BY211))&gt;0,"NOTES_PRESENT",IF(LEN(TRIM($T211))=0,"SET_NA",IF(OR(LOWER(TRIM($T211))="na",LOWER(TRIM($T211))="n/a"),"OK","MANUAL_OVERRIDE")))))</f>
        <v/>
      </c>
    </row>
    <row r="212">
      <c r="A212" t="inlineStr">
        <is>
          <t>Neuron</t>
        </is>
      </c>
      <c r="B212" s="5" t="inlineStr">
        <is>
          <t>Yes</t>
        </is>
      </c>
      <c r="C212" t="inlineStr">
        <is>
          <t>No</t>
        </is>
      </c>
      <c r="D212">
        <f>IF($B212&lt;&gt;"Yes","",IF($C212="No","Yes",IF($C212="Yes","No","")))</f>
        <v/>
      </c>
      <c r="E212">
        <f>IF($A212="","",IF(OR(AND($V212&lt;&gt;"",LOWER(TRIM($V212))&lt;&gt;"n/a",LOWER(TRIM($V212))&lt;&gt;"na",SUMPRODUCT(--(UPPER(TRIM($V$2:$V$518))=UPPER(TRIM($V212))),--(TRIM($V$2:$V$518)&lt;&gt;""),--(LOWER(TRIM($V$2:$V$518))&lt;&gt;"n/a"),--(LOWER(TRIM($V$2:$V$518))&lt;&gt;"na"))&gt;1),AND($W212&lt;&gt;"",LOWER(TRIM($W212))&lt;&gt;"n/a",LOWER(TRIM($W212))&lt;&gt;"na",SUMPRODUCT(--(UPPER(TRIM($W$2:$W$518))=UPPER(TRIM($W212))),--(TRIM($W$2:$W$518)&lt;&gt;""),--(LOWER(TRIM($W$2:$W$518))&lt;&gt;"n/a"),--(LOWER(TRIM($W$2:$W$518))&lt;&gt;"na"))&gt;1),AND($X212&lt;&gt;"",LOWER(TRIM($X212))&lt;&gt;"n/a",LOWER(TRIM($X212))&lt;&gt;"na",SUMPRODUCT(--(UPPER(TRIM($X$2:$X$518))=UPPER(TRIM($X212))),--(TRIM($X$2:$X$518)&lt;&gt;""),--(LOWER(TRIM($X$2:$X$518))&lt;&gt;"n/a"),--(LOWER(TRIM($X$2:$X$518))&lt;&gt;"na"))&gt;1),AND($Y212&lt;&gt;"",LOWER(TRIM($Y212))&lt;&gt;"n/a",LOWER(TRIM($Y212))&lt;&gt;"na",SUMPRODUCT(--(UPPER(SUBSTITUTE(SUBSTITUTE(TRIM($Y$2:$Y$518),":",""),"-",""))=UPPER(SUBSTITUTE(SUBSTITUTE(TRIM($Y212),":",""),"-",""))),--(TRIM($Y$2:$Y$518)&lt;&gt;""),--(LOWER(TRIM($Y$2:$Y$518))&lt;&gt;"n/a"),--(LOWER(TRIM($Y$2:$Y$518))&lt;&gt;"na"))&gt;1),AND($AB212&lt;&gt;"",LOWER(TRIM($AB212))&lt;&gt;"n/a",LOWER(TRIM($AB212))&lt;&gt;"na",SUMPRODUCT(--(UPPER(TRIM($AB$2:$AB$518))=UPPER(TRIM($AB212))),--(TRIM($AB$2:$AB$518)&lt;&gt;""),--(LOWER(TRIM($AB$2:$AB$518))&lt;&gt;"n/a"),--(LOWER(TRIM($AB$2:$AB$518))&lt;&gt;"na"))&gt;1),AND($AH212&lt;&gt;"",LOWER(TRIM($AH212))&lt;&gt;"n/a",LOWER(TRIM($AH212))&lt;&gt;"na",SUMPRODUCT(--(UPPER(SUBSTITUTE(SUBSTITUTE(TRIM($AH$2:$AH$518),":",""),"-",""))=UPPER(SUBSTITUTE(SUBSTITUTE(TRIM($AH212),":",""),"-",""))),--(TRIM($AH$2:$AH$518)&lt;&gt;""),--(LOWER(TRIM($AH$2:$AH$518))&lt;&gt;"n/a"),--(LOWER(TRIM($AH$2:$AH$518))&lt;&gt;"na"))&gt;1),AND($AP212&lt;&gt;"",LOWER(TRIM($AP212))&lt;&gt;"n/a",LOWER(TRIM($AP212))&lt;&gt;"na",SUMPRODUCT(--(UPPER(TRIM($AP$2:$AP$518))=UPPER(TRIM($AP212))),--(TRIM($AP$2:$AP$518)&lt;&gt;""),--(LOWER(TRIM($AP$2:$AP$518))&lt;&gt;"n/a"),--(LOWER(TRIM($AP$2:$AP$518))&lt;&gt;"na"))&gt;1),AND($AQ212&lt;&gt;"",LOWER(TRIM($AQ212))&lt;&gt;"n/a",LOWER(TRIM($AQ212))&lt;&gt;"na",SUMPRODUCT(--(UPPER(TRIM($AQ$2:$AQ$518))=UPPER(TRIM($AQ212))),--(TRIM($AQ$2:$AQ$518)&lt;&gt;""),--(LOWER(TRIM($AQ$2:$AQ$518))&lt;&gt;"n/a"),--(LOWER(TRIM($AQ$2:$AQ$518))&lt;&gt;"na"))&gt;1)),"Yes","No"))</f>
        <v/>
      </c>
      <c r="F212">
        <f>IF(UPPER(TRIM($B212))&lt;&gt;"YES","", IF(OR(AND($V212&lt;&gt;"", LOWER(TRIM($V212))&lt;&gt;"n/a", LOWER(TRIM($V212))&lt;&gt;"na", SUMPRODUCT(--(UPPER(TRIM($V$2:$V$518))=UPPER(TRIM($V212))), --(UPPER(TRIM($B$2:$B$518))="YES"), --(UPPER(TRIM($G$2:$G$518)&amp;TRIM($I$2:$I$518)&amp;TRIM($J$2:$J$518))&lt;&gt;UPPER(TRIM($G212)&amp;TRIM($I212)&amp;TRIM($J212))))&gt;0), AND($W212&lt;&gt;"", LOWER(TRIM($W212))&lt;&gt;"n/a", LOWER(TRIM($W212))&lt;&gt;"na", SUMPRODUCT(--(UPPER(TRIM($W$2:$W$518))=UPPER(TRIM($W212))), --(UPPER(TRIM($B$2:$B$518))="YES"), --(UPPER(TRIM($G$2:$G$518)&amp;TRIM($I$2:$I$518)&amp;TRIM($J$2:$J$518))&lt;&gt;UPPER(TRIM($G212)&amp;TRIM($I212)&amp;TRIM($J212))))&gt;0), AND($X212&lt;&gt;"", LOWER(TRIM($X212))&lt;&gt;"n/a", LOWER(TRIM($X212))&lt;&gt;"na", SUMPRODUCT(--(UPPER(TRIM($X$2:$X$518))=UPPER(TRIM($X212))), --(UPPER(TRIM($B$2:$B$518))="YES"), --(UPPER(TRIM($G$2:$G$518)&amp;TRIM($I$2:$I$518)&amp;TRIM($J$2:$J$518))&lt;&gt;UPPER(TRIM($G212)&amp;TRIM($I212)&amp;TRIM($J212))))&gt;0), AND($Y212&lt;&gt;"", LOWER(TRIM($Y212))&lt;&gt;"n/a", LOWER(TRIM($Y212))&lt;&gt;"na", SUMPRODUCT(--(UPPER(SUBSTITUTE(SUBSTITUTE(TRIM($Y$2:$Y$518),":",""),"-",""))=UPPER(SUBSTITUTE(SUBSTITUTE(TRIM($Y212),":",""),"-",""))), --(UPPER(TRIM($B$2:$B$518))="YES"), --(UPPER(TRIM($G$2:$G$518)&amp;TRIM($I$2:$I$518)&amp;TRIM($J$2:$J$518))&lt;&gt;UPPER(TRIM($G212)&amp;TRIM($I212)&amp;TRIM($J212))))&gt;0), AND($AB212&lt;&gt;"", LOWER(TRIM($AB212))&lt;&gt;"n/a", LOWER(TRIM($AB212))&lt;&gt;"na", SUMPRODUCT(--(UPPER(TRIM($AB$2:$AB$518))=UPPER(TRIM($AB212))), --(UPPER(TRIM($B$2:$B$518))="YES"), --(UPPER(TRIM($G$2:$G$518)&amp;TRIM($I$2:$I$518)&amp;TRIM($J$2:$J$518))&lt;&gt;UPPER(TRIM($G212)&amp;TRIM($I212)&amp;TRIM($J212))))&gt;0), AND($AH212&lt;&gt;"", LOWER(TRIM($AH212))&lt;&gt;"n/a", LOWER(TRIM($AH212))&lt;&gt;"na", SUMPRODUCT(--(UPPER(SUBSTITUTE(SUBSTITUTE(TRIM($AH$2:$AH$518),":",""),"-",""))=UPPER(SUBSTITUTE(SUBSTITUTE(TRIM($AH212),":",""),"-",""))), --(UPPER(TRIM($B$2:$B$518))="YES"), --(UPPER(TRIM($G$2:$G$518)&amp;TRIM($I$2:$I$518)&amp;TRIM($J$2:$J$518))&lt;&gt;UPPER(TRIM($G212)&amp;TRIM($I212)&amp;TRIM($J212))))&gt;0), AND($AP212&lt;&gt;"", LOWER(TRIM($AP212))&lt;&gt;"n/a", LOWER(TRIM($AP212))&lt;&gt;"na", SUMPRODUCT(--(UPPER(TRIM($AP$2:$AP$518))=UPPER(TRIM($AP212))), --(UPPER(TRIM($B$2:$B$518))="YES"), --(UPPER(TRIM($G$2:$G$518)&amp;TRIM($I$2:$I$518)&amp;TRIM($J$2:$J$518))&lt;&gt;UPPER(TRIM($G212)&amp;TRIM($I212)&amp;TRIM($J212))))&gt;0), AND($AQ212&lt;&gt;"", LOWER(TRIM($AQ212))&lt;&gt;"n/a", LOWER(TRIM($AQ212))&lt;&gt;"na", SUMPRODUCT(--(UPPER(TRIM($AQ$2:$AQ$518))=UPPER(TRIM($AQ212))), --(UPPER(TRIM($B$2:$B$518))="YES"), --(UPPER(TRIM($G$2:$G$518)&amp;TRIM($I$2:$I$518)&amp;TRIM($J$2:$J$518))&lt;&gt;UPPER(TRIM($G212)&amp;TRIM($I212)&amp;TRIM($J212))))&gt;0)), "Yes", "No"))</f>
        <v/>
      </c>
      <c r="G212" t="inlineStr">
        <is>
          <t>LIJ SDF</t>
        </is>
      </c>
      <c r="H212" t="inlineStr">
        <is>
          <t>LIJ SDF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W212" t="inlineStr">
        <is>
          <t>n/a</t>
        </is>
      </c>
      <c r="X212" t="inlineStr">
        <is>
          <t>LIJ-SDF-MACH-AA</t>
        </is>
      </c>
      <c r="Y212" t="inlineStr">
        <is>
          <t>A0F5097BA00D</t>
        </is>
      </c>
      <c r="Z212" t="inlineStr">
        <is>
          <t>10.134.19.50</t>
        </is>
      </c>
      <c r="AA212" t="inlineStr">
        <is>
          <t>Yes</t>
        </is>
      </c>
      <c r="AB212" t="inlineStr">
        <is>
          <t>WA25300323</t>
        </is>
      </c>
      <c r="AC212" t="inlineStr">
        <is>
          <t>LIJ</t>
        </is>
      </c>
      <c r="AD212" t="inlineStr">
        <is>
          <t>Yes</t>
        </is>
      </c>
      <c r="AE212" t="inlineStr">
        <is>
          <t>Yes</t>
        </is>
      </c>
      <c r="AF212" t="inlineStr">
        <is>
          <t>Yes</t>
        </is>
      </c>
      <c r="AG212" t="inlineStr">
        <is>
          <t>Yes</t>
        </is>
      </c>
      <c r="AI212" t="inlineStr">
        <is>
          <t>Dialysis Machine</t>
        </is>
      </c>
      <c r="AP212" t="inlineStr">
        <is>
          <t>n/a</t>
        </is>
      </c>
      <c r="AY212" t="inlineStr">
        <is>
          <t>Fresenius BlueStar - 2008T</t>
        </is>
      </c>
      <c r="BR212" t="inlineStr">
        <is>
          <t>Yes</t>
        </is>
      </c>
      <c r="BS212" t="inlineStr">
        <is>
          <t>Yes</t>
        </is>
      </c>
      <c r="BW212" t="inlineStr">
        <is>
          <t>Yes</t>
        </is>
      </c>
      <c r="BX212" t="n">
        <v>46027</v>
      </c>
      <c r="BZ212" t="inlineStr">
        <is>
          <t>Firmware Installed</t>
        </is>
      </c>
      <c r="CB212" t="inlineStr">
        <is>
          <t>Yes</t>
        </is>
      </c>
      <c r="CC212" t="inlineStr">
        <is>
          <t>No</t>
        </is>
      </c>
      <c r="CD212">
        <f>IF($Y212="","",IF((IF(AND($BR212&lt;&gt;"Yes",$BR212&lt;&gt;"N/A"),"Power Cable, ","")&amp;IF(AND($BS212&lt;&gt;"Yes",$BS212&lt;&gt;"N/A"),"Battery, ","")&amp;IF(AND($AD212&lt;&gt;"Yes",$AD212&lt;&gt;"N/A"),"Firmware Download, ","")&amp;IF(AND(OR($AD212="Yes",$AD212="N/A"),$AE212&lt;&gt;"Yes",$AE212&lt;&gt;"N/A"),"Firmware Install, ","")&amp;IF(AND($CB212&lt;&gt;"Yes",$CB212&lt;&gt;"N/A"),"Device ID, ","")&amp;IF(AND($CC212&lt;&gt;"Yes",$CC212&lt;&gt;"N/A"),"Epic Beans Relay, ",""))="","",LEFT(IF(AND($BR212&lt;&gt;"Yes",$BR212&lt;&gt;"N/A"),"Power Cable, ","")&amp;IF(AND($BS212&lt;&gt;"Yes",$BS212&lt;&gt;"N/A"),"Battery, ","")&amp;IF(AND($AD212&lt;&gt;"Yes",$AD212&lt;&gt;"N/A"),"Firmware Download, ","")&amp;IF(AND(OR($AD212="Yes",$AD212="N/A"),$AE212&lt;&gt;"Yes",$AE212&lt;&gt;"N/A"),"Firmware Install, ","")&amp;IF(AND($CB212&lt;&gt;"Yes",$CB212&lt;&gt;"N/A"),"Device ID, ","")&amp;IF(AND($CC212&lt;&gt;"Yes",$CC212&lt;&gt;"N/A"),"Epic Beans Relay, ",""),LEN(IF(AND($BR212&lt;&gt;"Yes",$BR212&lt;&gt;"N/A"),"Power Cable, ","")&amp;IF(AND($BS212&lt;&gt;"Yes",$BS212&lt;&gt;"N/A"),"Battery, ","")&amp;IF(AND($AD212&lt;&gt;"Yes",$AD212&lt;&gt;"N/A"),"Firmware Download, ","")&amp;IF(AND(OR($AD212="Yes",$AD212="N/A"),$AE212&lt;&gt;"Yes",$AE212&lt;&gt;"N/A"),"Firmware Install, ","")&amp;IF(AND($CB212&lt;&gt;"Yes",$CB212&lt;&gt;"N/A"),"Device ID, ","")&amp;IF(AND($CC212&lt;&gt;"Yes",$CC212&lt;&gt;"N/A"),"Epic Beans Relay, ",""))-2)))</f>
        <v/>
      </c>
      <c r="CE212">
        <f>IF($Y212="","",IF($CD212="","Yes","Blocked"))</f>
        <v/>
      </c>
      <c r="CP212">
        <f>IF($CO212="","",IFERROR(VLOOKUP($CO212,'01_Warehouse_Ledger'!$A:$N,4,FALSE),""))</f>
        <v/>
      </c>
      <c r="CQ212">
        <f>IF($CO212="","",IFERROR(VLOOKUP($CO212,'01_Warehouse_Ledger'!$A:$N,5,FALSE),""))</f>
        <v/>
      </c>
      <c r="CR212">
        <f>IF($CO212="","",IFERROR(VLOOKUP($CO212,'01_Warehouse_Ledger'!$A:$N,13,FALSE),""))</f>
        <v/>
      </c>
      <c r="CW212">
        <f>IF($S212="","",IF(UPPER(TRIM($S212))&lt;&gt;"PASS","",IF(LEN(TRIM($BY212))&gt;0,"NOTES_PRESENT",IF(LEN(TRIM($T212))=0,"SET_NA",IF(OR(LOWER(TRIM($T212))="na",LOWER(TRIM($T212))="n/a"),"OK","MANUAL_OVERRIDE")))))</f>
        <v/>
      </c>
    </row>
    <row r="213">
      <c r="A213" t="inlineStr">
        <is>
          <t>Neuron</t>
        </is>
      </c>
      <c r="B213" s="5" t="inlineStr">
        <is>
          <t>Yes</t>
        </is>
      </c>
      <c r="C213" t="inlineStr">
        <is>
          <t>No</t>
        </is>
      </c>
      <c r="D213">
        <f>IF($B213&lt;&gt;"Yes","",IF($C213="No","Yes",IF($C213="Yes","No","")))</f>
        <v/>
      </c>
      <c r="E213">
        <f>IF($A213="","",IF(OR(AND($V213&lt;&gt;"",LOWER(TRIM($V213))&lt;&gt;"n/a",LOWER(TRIM($V213))&lt;&gt;"na",SUMPRODUCT(--(UPPER(TRIM($V$2:$V$518))=UPPER(TRIM($V213))),--(TRIM($V$2:$V$518)&lt;&gt;""),--(LOWER(TRIM($V$2:$V$518))&lt;&gt;"n/a"),--(LOWER(TRIM($V$2:$V$518))&lt;&gt;"na"))&gt;1),AND($W213&lt;&gt;"",LOWER(TRIM($W213))&lt;&gt;"n/a",LOWER(TRIM($W213))&lt;&gt;"na",SUMPRODUCT(--(UPPER(TRIM($W$2:$W$518))=UPPER(TRIM($W213))),--(TRIM($W$2:$W$518)&lt;&gt;""),--(LOWER(TRIM($W$2:$W$518))&lt;&gt;"n/a"),--(LOWER(TRIM($W$2:$W$518))&lt;&gt;"na"))&gt;1),AND($X213&lt;&gt;"",LOWER(TRIM($X213))&lt;&gt;"n/a",LOWER(TRIM($X213))&lt;&gt;"na",SUMPRODUCT(--(UPPER(TRIM($X$2:$X$518))=UPPER(TRIM($X213))),--(TRIM($X$2:$X$518)&lt;&gt;""),--(LOWER(TRIM($X$2:$X$518))&lt;&gt;"n/a"),--(LOWER(TRIM($X$2:$X$518))&lt;&gt;"na"))&gt;1),AND($Y213&lt;&gt;"",LOWER(TRIM($Y213))&lt;&gt;"n/a",LOWER(TRIM($Y213))&lt;&gt;"na",SUMPRODUCT(--(UPPER(SUBSTITUTE(SUBSTITUTE(TRIM($Y$2:$Y$518),":",""),"-",""))=UPPER(SUBSTITUTE(SUBSTITUTE(TRIM($Y213),":",""),"-",""))),--(TRIM($Y$2:$Y$518)&lt;&gt;""),--(LOWER(TRIM($Y$2:$Y$518))&lt;&gt;"n/a"),--(LOWER(TRIM($Y$2:$Y$518))&lt;&gt;"na"))&gt;1),AND($AB213&lt;&gt;"",LOWER(TRIM($AB213))&lt;&gt;"n/a",LOWER(TRIM($AB213))&lt;&gt;"na",SUMPRODUCT(--(UPPER(TRIM($AB$2:$AB$518))=UPPER(TRIM($AB213))),--(TRIM($AB$2:$AB$518)&lt;&gt;""),--(LOWER(TRIM($AB$2:$AB$518))&lt;&gt;"n/a"),--(LOWER(TRIM($AB$2:$AB$518))&lt;&gt;"na"))&gt;1),AND($AH213&lt;&gt;"",LOWER(TRIM($AH213))&lt;&gt;"n/a",LOWER(TRIM($AH213))&lt;&gt;"na",SUMPRODUCT(--(UPPER(SUBSTITUTE(SUBSTITUTE(TRIM($AH$2:$AH$518),":",""),"-",""))=UPPER(SUBSTITUTE(SUBSTITUTE(TRIM($AH213),":",""),"-",""))),--(TRIM($AH$2:$AH$518)&lt;&gt;""),--(LOWER(TRIM($AH$2:$AH$518))&lt;&gt;"n/a"),--(LOWER(TRIM($AH$2:$AH$518))&lt;&gt;"na"))&gt;1),AND($AP213&lt;&gt;"",LOWER(TRIM($AP213))&lt;&gt;"n/a",LOWER(TRIM($AP213))&lt;&gt;"na",SUMPRODUCT(--(UPPER(TRIM($AP$2:$AP$518))=UPPER(TRIM($AP213))),--(TRIM($AP$2:$AP$518)&lt;&gt;""),--(LOWER(TRIM($AP$2:$AP$518))&lt;&gt;"n/a"),--(LOWER(TRIM($AP$2:$AP$518))&lt;&gt;"na"))&gt;1),AND($AQ213&lt;&gt;"",LOWER(TRIM($AQ213))&lt;&gt;"n/a",LOWER(TRIM($AQ213))&lt;&gt;"na",SUMPRODUCT(--(UPPER(TRIM($AQ$2:$AQ$518))=UPPER(TRIM($AQ213))),--(TRIM($AQ$2:$AQ$518)&lt;&gt;""),--(LOWER(TRIM($AQ$2:$AQ$518))&lt;&gt;"n/a"),--(LOWER(TRIM($AQ$2:$AQ$518))&lt;&gt;"na"))&gt;1)),"Yes","No"))</f>
        <v/>
      </c>
      <c r="F213">
        <f>IF(UPPER(TRIM($B213))&lt;&gt;"YES","", IF(OR(AND($V213&lt;&gt;"", LOWER(TRIM($V213))&lt;&gt;"n/a", LOWER(TRIM($V213))&lt;&gt;"na", SUMPRODUCT(--(UPPER(TRIM($V$2:$V$518))=UPPER(TRIM($V213))), --(UPPER(TRIM($B$2:$B$518))="YES"), --(UPPER(TRIM($G$2:$G$518)&amp;TRIM($I$2:$I$518)&amp;TRIM($J$2:$J$518))&lt;&gt;UPPER(TRIM($G213)&amp;TRIM($I213)&amp;TRIM($J213))))&gt;0), AND($W213&lt;&gt;"", LOWER(TRIM($W213))&lt;&gt;"n/a", LOWER(TRIM($W213))&lt;&gt;"na", SUMPRODUCT(--(UPPER(TRIM($W$2:$W$518))=UPPER(TRIM($W213))), --(UPPER(TRIM($B$2:$B$518))="YES"), --(UPPER(TRIM($G$2:$G$518)&amp;TRIM($I$2:$I$518)&amp;TRIM($J$2:$J$518))&lt;&gt;UPPER(TRIM($G213)&amp;TRIM($I213)&amp;TRIM($J213))))&gt;0), AND($X213&lt;&gt;"", LOWER(TRIM($X213))&lt;&gt;"n/a", LOWER(TRIM($X213))&lt;&gt;"na", SUMPRODUCT(--(UPPER(TRIM($X$2:$X$518))=UPPER(TRIM($X213))), --(UPPER(TRIM($B$2:$B$518))="YES"), --(UPPER(TRIM($G$2:$G$518)&amp;TRIM($I$2:$I$518)&amp;TRIM($J$2:$J$518))&lt;&gt;UPPER(TRIM($G213)&amp;TRIM($I213)&amp;TRIM($J213))))&gt;0), AND($Y213&lt;&gt;"", LOWER(TRIM($Y213))&lt;&gt;"n/a", LOWER(TRIM($Y213))&lt;&gt;"na", SUMPRODUCT(--(UPPER(SUBSTITUTE(SUBSTITUTE(TRIM($Y$2:$Y$518),":",""),"-",""))=UPPER(SUBSTITUTE(SUBSTITUTE(TRIM($Y213),":",""),"-",""))), --(UPPER(TRIM($B$2:$B$518))="YES"), --(UPPER(TRIM($G$2:$G$518)&amp;TRIM($I$2:$I$518)&amp;TRIM($J$2:$J$518))&lt;&gt;UPPER(TRIM($G213)&amp;TRIM($I213)&amp;TRIM($J213))))&gt;0), AND($AB213&lt;&gt;"", LOWER(TRIM($AB213))&lt;&gt;"n/a", LOWER(TRIM($AB213))&lt;&gt;"na", SUMPRODUCT(--(UPPER(TRIM($AB$2:$AB$518))=UPPER(TRIM($AB213))), --(UPPER(TRIM($B$2:$B$518))="YES"), --(UPPER(TRIM($G$2:$G$518)&amp;TRIM($I$2:$I$518)&amp;TRIM($J$2:$J$518))&lt;&gt;UPPER(TRIM($G213)&amp;TRIM($I213)&amp;TRIM($J213))))&gt;0), AND($AH213&lt;&gt;"", LOWER(TRIM($AH213))&lt;&gt;"n/a", LOWER(TRIM($AH213))&lt;&gt;"na", SUMPRODUCT(--(UPPER(SUBSTITUTE(SUBSTITUTE(TRIM($AH$2:$AH$518),":",""),"-",""))=UPPER(SUBSTITUTE(SUBSTITUTE(TRIM($AH213),":",""),"-",""))), --(UPPER(TRIM($B$2:$B$518))="YES"), --(UPPER(TRIM($G$2:$G$518)&amp;TRIM($I$2:$I$518)&amp;TRIM($J$2:$J$518))&lt;&gt;UPPER(TRIM($G213)&amp;TRIM($I213)&amp;TRIM($J213))))&gt;0), AND($AP213&lt;&gt;"", LOWER(TRIM($AP213))&lt;&gt;"n/a", LOWER(TRIM($AP213))&lt;&gt;"na", SUMPRODUCT(--(UPPER(TRIM($AP$2:$AP$518))=UPPER(TRIM($AP213))), --(UPPER(TRIM($B$2:$B$518))="YES"), --(UPPER(TRIM($G$2:$G$518)&amp;TRIM($I$2:$I$518)&amp;TRIM($J$2:$J$518))&lt;&gt;UPPER(TRIM($G213)&amp;TRIM($I213)&amp;TRIM($J213))))&gt;0), AND($AQ213&lt;&gt;"", LOWER(TRIM($AQ213))&lt;&gt;"n/a", LOWER(TRIM($AQ213))&lt;&gt;"na", SUMPRODUCT(--(UPPER(TRIM($AQ$2:$AQ$518))=UPPER(TRIM($AQ213))), --(UPPER(TRIM($B$2:$B$518))="YES"), --(UPPER(TRIM($G$2:$G$518)&amp;TRIM($I$2:$I$518)&amp;TRIM($J$2:$J$518))&lt;&gt;UPPER(TRIM($G213)&amp;TRIM($I213)&amp;TRIM($J213))))&gt;0)), "Yes", "No"))</f>
        <v/>
      </c>
      <c r="G213" t="inlineStr">
        <is>
          <t>LIJ SDF</t>
        </is>
      </c>
      <c r="H213" t="inlineStr">
        <is>
          <t>LIJ SDF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W213" t="inlineStr">
        <is>
          <t>n/a</t>
        </is>
      </c>
      <c r="X213" t="inlineStr">
        <is>
          <t>LIJ-SDF-MACH-AB</t>
        </is>
      </c>
      <c r="Y213" t="inlineStr">
        <is>
          <t>A0F5097B8E58</t>
        </is>
      </c>
      <c r="Z213" t="inlineStr">
        <is>
          <t>10.134.19.48</t>
        </is>
      </c>
      <c r="AA213" t="inlineStr">
        <is>
          <t>Yes</t>
        </is>
      </c>
      <c r="AB213" t="inlineStr">
        <is>
          <t>WA25203733</t>
        </is>
      </c>
      <c r="AC213" t="inlineStr">
        <is>
          <t>LIJ</t>
        </is>
      </c>
      <c r="AD213" t="inlineStr">
        <is>
          <t>Yes</t>
        </is>
      </c>
      <c r="AE213" t="inlineStr">
        <is>
          <t>Yes</t>
        </is>
      </c>
      <c r="AF213" t="inlineStr">
        <is>
          <t>Yes</t>
        </is>
      </c>
      <c r="AG213" t="inlineStr">
        <is>
          <t>Yes</t>
        </is>
      </c>
      <c r="AI213" t="inlineStr">
        <is>
          <t>Dialysis Machine</t>
        </is>
      </c>
      <c r="AP213" t="inlineStr">
        <is>
          <t>n/a</t>
        </is>
      </c>
      <c r="AY213" t="inlineStr">
        <is>
          <t>Fresenius BlueStar - 2008T</t>
        </is>
      </c>
      <c r="BR213" t="inlineStr">
        <is>
          <t>Yes</t>
        </is>
      </c>
      <c r="BS213" t="inlineStr">
        <is>
          <t>Yes</t>
        </is>
      </c>
      <c r="BW213" t="inlineStr">
        <is>
          <t>Yes</t>
        </is>
      </c>
      <c r="BX213" t="n">
        <v>46027</v>
      </c>
      <c r="BZ213" t="inlineStr">
        <is>
          <t>Firmware Installed</t>
        </is>
      </c>
      <c r="CB213" t="inlineStr">
        <is>
          <t>Yes</t>
        </is>
      </c>
      <c r="CC213" t="inlineStr">
        <is>
          <t>No</t>
        </is>
      </c>
      <c r="CD213">
        <f>IF($Y213="","",IF((IF(AND($BR213&lt;&gt;"Yes",$BR213&lt;&gt;"N/A"),"Power Cable, ","")&amp;IF(AND($BS213&lt;&gt;"Yes",$BS213&lt;&gt;"N/A"),"Battery, ","")&amp;IF(AND($AD213&lt;&gt;"Yes",$AD213&lt;&gt;"N/A"),"Firmware Download, ","")&amp;IF(AND(OR($AD213="Yes",$AD213="N/A"),$AE213&lt;&gt;"Yes",$AE213&lt;&gt;"N/A"),"Firmware Install, ","")&amp;IF(AND($CB213&lt;&gt;"Yes",$CB213&lt;&gt;"N/A"),"Device ID, ","")&amp;IF(AND($CC213&lt;&gt;"Yes",$CC213&lt;&gt;"N/A"),"Epic Beans Relay, ",""))="","",LEFT(IF(AND($BR213&lt;&gt;"Yes",$BR213&lt;&gt;"N/A"),"Power Cable, ","")&amp;IF(AND($BS213&lt;&gt;"Yes",$BS213&lt;&gt;"N/A"),"Battery, ","")&amp;IF(AND($AD213&lt;&gt;"Yes",$AD213&lt;&gt;"N/A"),"Firmware Download, ","")&amp;IF(AND(OR($AD213="Yes",$AD213="N/A"),$AE213&lt;&gt;"Yes",$AE213&lt;&gt;"N/A"),"Firmware Install, ","")&amp;IF(AND($CB213&lt;&gt;"Yes",$CB213&lt;&gt;"N/A"),"Device ID, ","")&amp;IF(AND($CC213&lt;&gt;"Yes",$CC213&lt;&gt;"N/A"),"Epic Beans Relay, ",""),LEN(IF(AND($BR213&lt;&gt;"Yes",$BR213&lt;&gt;"N/A"),"Power Cable, ","")&amp;IF(AND($BS213&lt;&gt;"Yes",$BS213&lt;&gt;"N/A"),"Battery, ","")&amp;IF(AND($AD213&lt;&gt;"Yes",$AD213&lt;&gt;"N/A"),"Firmware Download, ","")&amp;IF(AND(OR($AD213="Yes",$AD213="N/A"),$AE213&lt;&gt;"Yes",$AE213&lt;&gt;"N/A"),"Firmware Install, ","")&amp;IF(AND($CB213&lt;&gt;"Yes",$CB213&lt;&gt;"N/A"),"Device ID, ","")&amp;IF(AND($CC213&lt;&gt;"Yes",$CC213&lt;&gt;"N/A"),"Epic Beans Relay, ",""))-2)))</f>
        <v/>
      </c>
      <c r="CE213">
        <f>IF($Y213="","",IF($CD213="","Yes","Blocked"))</f>
        <v/>
      </c>
      <c r="CP213">
        <f>IF($CO213="","",IFERROR(VLOOKUP($CO213,'01_Warehouse_Ledger'!$A:$N,4,FALSE),""))</f>
        <v/>
      </c>
      <c r="CQ213">
        <f>IF($CO213="","",IFERROR(VLOOKUP($CO213,'01_Warehouse_Ledger'!$A:$N,5,FALSE),""))</f>
        <v/>
      </c>
      <c r="CR213">
        <f>IF($CO213="","",IFERROR(VLOOKUP($CO213,'01_Warehouse_Ledger'!$A:$N,13,FALSE),""))</f>
        <v/>
      </c>
      <c r="CW213">
        <f>IF($S213="","",IF(UPPER(TRIM($S213))&lt;&gt;"PASS","",IF(LEN(TRIM($BY213))&gt;0,"NOTES_PRESENT",IF(LEN(TRIM($T213))=0,"SET_NA",IF(OR(LOWER(TRIM($T213))="na",LOWER(TRIM($T213))="n/a"),"OK","MANUAL_OVERRIDE")))))</f>
        <v/>
      </c>
    </row>
    <row r="214">
      <c r="A214" t="inlineStr">
        <is>
          <t>Neuron</t>
        </is>
      </c>
      <c r="B214" s="5" t="inlineStr">
        <is>
          <t>No</t>
        </is>
      </c>
      <c r="C214" t="inlineStr">
        <is>
          <t>No</t>
        </is>
      </c>
      <c r="D214">
        <f>IF($B214&lt;&gt;"Yes","",IF($C214="No","Yes",IF($C214="Yes","No","")))</f>
        <v/>
      </c>
      <c r="E214">
        <f>IF($A214="","",IF(OR(AND($V214&lt;&gt;"",LOWER(TRIM($V214))&lt;&gt;"n/a",LOWER(TRIM($V214))&lt;&gt;"na",SUMPRODUCT(--(UPPER(TRIM($V$2:$V$518))=UPPER(TRIM($V214))),--(TRIM($V$2:$V$518)&lt;&gt;""),--(LOWER(TRIM($V$2:$V$518))&lt;&gt;"n/a"),--(LOWER(TRIM($V$2:$V$518))&lt;&gt;"na"))&gt;1),AND($W214&lt;&gt;"",LOWER(TRIM($W214))&lt;&gt;"n/a",LOWER(TRIM($W214))&lt;&gt;"na",SUMPRODUCT(--(UPPER(TRIM($W$2:$W$518))=UPPER(TRIM($W214))),--(TRIM($W$2:$W$518)&lt;&gt;""),--(LOWER(TRIM($W$2:$W$518))&lt;&gt;"n/a"),--(LOWER(TRIM($W$2:$W$518))&lt;&gt;"na"))&gt;1),AND($X214&lt;&gt;"",LOWER(TRIM($X214))&lt;&gt;"n/a",LOWER(TRIM($X214))&lt;&gt;"na",SUMPRODUCT(--(UPPER(TRIM($X$2:$X$518))=UPPER(TRIM($X214))),--(TRIM($X$2:$X$518)&lt;&gt;""),--(LOWER(TRIM($X$2:$X$518))&lt;&gt;"n/a"),--(LOWER(TRIM($X$2:$X$518))&lt;&gt;"na"))&gt;1),AND($Y214&lt;&gt;"",LOWER(TRIM($Y214))&lt;&gt;"n/a",LOWER(TRIM($Y214))&lt;&gt;"na",SUMPRODUCT(--(UPPER(SUBSTITUTE(SUBSTITUTE(TRIM($Y$2:$Y$518),":",""),"-",""))=UPPER(SUBSTITUTE(SUBSTITUTE(TRIM($Y214),":",""),"-",""))),--(TRIM($Y$2:$Y$518)&lt;&gt;""),--(LOWER(TRIM($Y$2:$Y$518))&lt;&gt;"n/a"),--(LOWER(TRIM($Y$2:$Y$518))&lt;&gt;"na"))&gt;1),AND($AB214&lt;&gt;"",LOWER(TRIM($AB214))&lt;&gt;"n/a",LOWER(TRIM($AB214))&lt;&gt;"na",SUMPRODUCT(--(UPPER(TRIM($AB$2:$AB$518))=UPPER(TRIM($AB214))),--(TRIM($AB$2:$AB$518)&lt;&gt;""),--(LOWER(TRIM($AB$2:$AB$518))&lt;&gt;"n/a"),--(LOWER(TRIM($AB$2:$AB$518))&lt;&gt;"na"))&gt;1),AND($AH214&lt;&gt;"",LOWER(TRIM($AH214))&lt;&gt;"n/a",LOWER(TRIM($AH214))&lt;&gt;"na",SUMPRODUCT(--(UPPER(SUBSTITUTE(SUBSTITUTE(TRIM($AH$2:$AH$518),":",""),"-",""))=UPPER(SUBSTITUTE(SUBSTITUTE(TRIM($AH214),":",""),"-",""))),--(TRIM($AH$2:$AH$518)&lt;&gt;""),--(LOWER(TRIM($AH$2:$AH$518))&lt;&gt;"n/a"),--(LOWER(TRIM($AH$2:$AH$518))&lt;&gt;"na"))&gt;1),AND($AP214&lt;&gt;"",LOWER(TRIM($AP214))&lt;&gt;"n/a",LOWER(TRIM($AP214))&lt;&gt;"na",SUMPRODUCT(--(UPPER(TRIM($AP$2:$AP$518))=UPPER(TRIM($AP214))),--(TRIM($AP$2:$AP$518)&lt;&gt;""),--(LOWER(TRIM($AP$2:$AP$518))&lt;&gt;"n/a"),--(LOWER(TRIM($AP$2:$AP$518))&lt;&gt;"na"))&gt;1),AND($AQ214&lt;&gt;"",LOWER(TRIM($AQ214))&lt;&gt;"n/a",LOWER(TRIM($AQ214))&lt;&gt;"na",SUMPRODUCT(--(UPPER(TRIM($AQ$2:$AQ$518))=UPPER(TRIM($AQ214))),--(TRIM($AQ$2:$AQ$518)&lt;&gt;""),--(LOWER(TRIM($AQ$2:$AQ$518))&lt;&gt;"n/a"),--(LOWER(TRIM($AQ$2:$AQ$518))&lt;&gt;"na"))&gt;1)),"Yes","No"))</f>
        <v/>
      </c>
      <c r="F214">
        <f>IF(UPPER(TRIM($B214))&lt;&gt;"YES","", IF(OR(AND($V214&lt;&gt;"", LOWER(TRIM($V214))&lt;&gt;"n/a", LOWER(TRIM($V214))&lt;&gt;"na", SUMPRODUCT(--(UPPER(TRIM($V$2:$V$518))=UPPER(TRIM($V214))), --(UPPER(TRIM($B$2:$B$518))="YES"), --(UPPER(TRIM($G$2:$G$518)&amp;TRIM($I$2:$I$518)&amp;TRIM($J$2:$J$518))&lt;&gt;UPPER(TRIM($G214)&amp;TRIM($I214)&amp;TRIM($J214))))&gt;0), AND($W214&lt;&gt;"", LOWER(TRIM($W214))&lt;&gt;"n/a", LOWER(TRIM($W214))&lt;&gt;"na", SUMPRODUCT(--(UPPER(TRIM($W$2:$W$518))=UPPER(TRIM($W214))), --(UPPER(TRIM($B$2:$B$518))="YES"), --(UPPER(TRIM($G$2:$G$518)&amp;TRIM($I$2:$I$518)&amp;TRIM($J$2:$J$518))&lt;&gt;UPPER(TRIM($G214)&amp;TRIM($I214)&amp;TRIM($J214))))&gt;0), AND($X214&lt;&gt;"", LOWER(TRIM($X214))&lt;&gt;"n/a", LOWER(TRIM($X214))&lt;&gt;"na", SUMPRODUCT(--(UPPER(TRIM($X$2:$X$518))=UPPER(TRIM($X214))), --(UPPER(TRIM($B$2:$B$518))="YES"), --(UPPER(TRIM($G$2:$G$518)&amp;TRIM($I$2:$I$518)&amp;TRIM($J$2:$J$518))&lt;&gt;UPPER(TRIM($G214)&amp;TRIM($I214)&amp;TRIM($J214))))&gt;0), AND($Y214&lt;&gt;"", LOWER(TRIM($Y214))&lt;&gt;"n/a", LOWER(TRIM($Y214))&lt;&gt;"na", SUMPRODUCT(--(UPPER(SUBSTITUTE(SUBSTITUTE(TRIM($Y$2:$Y$518),":",""),"-",""))=UPPER(SUBSTITUTE(SUBSTITUTE(TRIM($Y214),":",""),"-",""))), --(UPPER(TRIM($B$2:$B$518))="YES"), --(UPPER(TRIM($G$2:$G$518)&amp;TRIM($I$2:$I$518)&amp;TRIM($J$2:$J$518))&lt;&gt;UPPER(TRIM($G214)&amp;TRIM($I214)&amp;TRIM($J214))))&gt;0), AND($AB214&lt;&gt;"", LOWER(TRIM($AB214))&lt;&gt;"n/a", LOWER(TRIM($AB214))&lt;&gt;"na", SUMPRODUCT(--(UPPER(TRIM($AB$2:$AB$518))=UPPER(TRIM($AB214))), --(UPPER(TRIM($B$2:$B$518))="YES"), --(UPPER(TRIM($G$2:$G$518)&amp;TRIM($I$2:$I$518)&amp;TRIM($J$2:$J$518))&lt;&gt;UPPER(TRIM($G214)&amp;TRIM($I214)&amp;TRIM($J214))))&gt;0), AND($AH214&lt;&gt;"", LOWER(TRIM($AH214))&lt;&gt;"n/a", LOWER(TRIM($AH214))&lt;&gt;"na", SUMPRODUCT(--(UPPER(SUBSTITUTE(SUBSTITUTE(TRIM($AH$2:$AH$518),":",""),"-",""))=UPPER(SUBSTITUTE(SUBSTITUTE(TRIM($AH214),":",""),"-",""))), --(UPPER(TRIM($B$2:$B$518))="YES"), --(UPPER(TRIM($G$2:$G$518)&amp;TRIM($I$2:$I$518)&amp;TRIM($J$2:$J$518))&lt;&gt;UPPER(TRIM($G214)&amp;TRIM($I214)&amp;TRIM($J214))))&gt;0), AND($AP214&lt;&gt;"", LOWER(TRIM($AP214))&lt;&gt;"n/a", LOWER(TRIM($AP214))&lt;&gt;"na", SUMPRODUCT(--(UPPER(TRIM($AP$2:$AP$518))=UPPER(TRIM($AP214))), --(UPPER(TRIM($B$2:$B$518))="YES"), --(UPPER(TRIM($G$2:$G$518)&amp;TRIM($I$2:$I$518)&amp;TRIM($J$2:$J$518))&lt;&gt;UPPER(TRIM($G214)&amp;TRIM($I214)&amp;TRIM($J214))))&gt;0), AND($AQ214&lt;&gt;"", LOWER(TRIM($AQ214))&lt;&gt;"n/a", LOWER(TRIM($AQ214))&lt;&gt;"na", SUMPRODUCT(--(UPPER(TRIM($AQ$2:$AQ$518))=UPPER(TRIM($AQ214))), --(UPPER(TRIM($B$2:$B$518))="YES"), --(UPPER(TRIM($G$2:$G$518)&amp;TRIM($I$2:$I$518)&amp;TRIM($J$2:$J$518))&lt;&gt;UPPER(TRIM($G214)&amp;TRIM($I214)&amp;TRIM($J214))))&gt;0)), "Yes", "No"))</f>
        <v/>
      </c>
      <c r="G214" t="inlineStr">
        <is>
          <t>1 Marcus</t>
        </is>
      </c>
      <c r="H214" t="inlineStr">
        <is>
          <t>LIJ SDF</t>
        </is>
      </c>
      <c r="P214" t="inlineStr">
        <is>
          <t>na</t>
        </is>
      </c>
      <c r="U214" t="inlineStr">
        <is>
          <t>tim</t>
        </is>
      </c>
      <c r="W214" t="inlineStr">
        <is>
          <t>n/a</t>
        </is>
      </c>
      <c r="X214" t="inlineStr">
        <is>
          <t>LIJ-SDF-MACH-AC</t>
        </is>
      </c>
      <c r="Y214" t="inlineStr">
        <is>
          <t>A0F5097B8B74</t>
        </is>
      </c>
      <c r="Z214" t="inlineStr">
        <is>
          <t>10.134.18.75</t>
        </is>
      </c>
      <c r="AA214" t="inlineStr">
        <is>
          <t>Yes</t>
        </is>
      </c>
      <c r="AB214" t="inlineStr">
        <is>
          <t>WA25203896</t>
        </is>
      </c>
      <c r="AC214" t="inlineStr">
        <is>
          <t>LIJ</t>
        </is>
      </c>
      <c r="AD214" t="inlineStr">
        <is>
          <t>Yes</t>
        </is>
      </c>
      <c r="AE214" t="inlineStr">
        <is>
          <t>Yes</t>
        </is>
      </c>
      <c r="AF214" t="inlineStr">
        <is>
          <t>Yes</t>
        </is>
      </c>
      <c r="AG214" t="inlineStr">
        <is>
          <t>Yes</t>
        </is>
      </c>
      <c r="AP214" t="inlineStr">
        <is>
          <t>n/a</t>
        </is>
      </c>
      <c r="AY214" t="inlineStr">
        <is>
          <t>Fresenius BlueStar - 2008T</t>
        </is>
      </c>
      <c r="BR214" t="inlineStr">
        <is>
          <t>Yes</t>
        </is>
      </c>
      <c r="BS214" t="inlineStr">
        <is>
          <t>Yes</t>
        </is>
      </c>
      <c r="BW214" t="inlineStr">
        <is>
          <t>Yes</t>
        </is>
      </c>
      <c r="BX214" t="n">
        <v>46027</v>
      </c>
      <c r="BY214" t="inlineStr">
        <is>
          <t>Spare Unit</t>
        </is>
      </c>
      <c r="BZ214" t="inlineStr">
        <is>
          <t>Firmware Installed</t>
        </is>
      </c>
      <c r="CB214" t="inlineStr">
        <is>
          <t>Yes</t>
        </is>
      </c>
      <c r="CC214" t="inlineStr">
        <is>
          <t>No</t>
        </is>
      </c>
      <c r="CD214">
        <f>IF($Y214="","",IF((IF(AND($BR214&lt;&gt;"Yes",$BR214&lt;&gt;"N/A"),"Power Cable, ","")&amp;IF(AND($BS214&lt;&gt;"Yes",$BS214&lt;&gt;"N/A"),"Battery, ","")&amp;IF(AND($AD214&lt;&gt;"Yes",$AD214&lt;&gt;"N/A"),"Firmware Download, ","")&amp;IF(AND(OR($AD214="Yes",$AD214="N/A"),$AE214&lt;&gt;"Yes",$AE214&lt;&gt;"N/A"),"Firmware Install, ","")&amp;IF(AND($CB214&lt;&gt;"Yes",$CB214&lt;&gt;"N/A"),"Device ID, ","")&amp;IF(AND($CC214&lt;&gt;"Yes",$CC214&lt;&gt;"N/A"),"Epic Beans Relay, ",""))="","",LEFT(IF(AND($BR214&lt;&gt;"Yes",$BR214&lt;&gt;"N/A"),"Power Cable, ","")&amp;IF(AND($BS214&lt;&gt;"Yes",$BS214&lt;&gt;"N/A"),"Battery, ","")&amp;IF(AND($AD214&lt;&gt;"Yes",$AD214&lt;&gt;"N/A"),"Firmware Download, ","")&amp;IF(AND(OR($AD214="Yes",$AD214="N/A"),$AE214&lt;&gt;"Yes",$AE214&lt;&gt;"N/A"),"Firmware Install, ","")&amp;IF(AND($CB214&lt;&gt;"Yes",$CB214&lt;&gt;"N/A"),"Device ID, ","")&amp;IF(AND($CC214&lt;&gt;"Yes",$CC214&lt;&gt;"N/A"),"Epic Beans Relay, ",""),LEN(IF(AND($BR214&lt;&gt;"Yes",$BR214&lt;&gt;"N/A"),"Power Cable, ","")&amp;IF(AND($BS214&lt;&gt;"Yes",$BS214&lt;&gt;"N/A"),"Battery, ","")&amp;IF(AND($AD214&lt;&gt;"Yes",$AD214&lt;&gt;"N/A"),"Firmware Download, ","")&amp;IF(AND(OR($AD214="Yes",$AD214="N/A"),$AE214&lt;&gt;"Yes",$AE214&lt;&gt;"N/A"),"Firmware Install, ","")&amp;IF(AND($CB214&lt;&gt;"Yes",$CB214&lt;&gt;"N/A"),"Device ID, ","")&amp;IF(AND($CC214&lt;&gt;"Yes",$CC214&lt;&gt;"N/A"),"Epic Beans Relay, ",""))-2)))</f>
        <v/>
      </c>
      <c r="CE214">
        <f>IF($Y214="","",IF($CD214="","Yes","Blocked"))</f>
        <v/>
      </c>
      <c r="CP214">
        <f>IF($CO214="","",IFERROR(VLOOKUP($CO214,'01_Warehouse_Ledger'!$A:$N,4,FALSE),""))</f>
        <v/>
      </c>
      <c r="CQ214">
        <f>IF($CO214="","",IFERROR(VLOOKUP($CO214,'01_Warehouse_Ledger'!$A:$N,5,FALSE),""))</f>
        <v/>
      </c>
      <c r="CR214">
        <f>IF($CO214="","",IFERROR(VLOOKUP($CO214,'01_Warehouse_Ledger'!$A:$N,13,FALSE),""))</f>
        <v/>
      </c>
      <c r="CW214">
        <f>IF($S214="","",IF(UPPER(TRIM($S214))&lt;&gt;"PASS","",IF(LEN(TRIM($BY214))&gt;0,"NOTES_PRESENT",IF(LEN(TRIM($T214))=0,"SET_NA",IF(OR(LOWER(TRIM($T214))="na",LOWER(TRIM($T214))="n/a"),"OK","MANUAL_OVERRIDE")))))</f>
        <v/>
      </c>
    </row>
    <row r="215">
      <c r="A215" t="inlineStr">
        <is>
          <t>Neuron</t>
        </is>
      </c>
      <c r="B215" s="5" t="inlineStr">
        <is>
          <t>No</t>
        </is>
      </c>
      <c r="C215" t="inlineStr">
        <is>
          <t>No</t>
        </is>
      </c>
      <c r="D215">
        <f>IF($B215&lt;&gt;"Yes","",IF($C215="No","Yes",IF($C215="Yes","No","")))</f>
        <v/>
      </c>
      <c r="E215">
        <f>IF($A215="","",IF(OR(AND($V215&lt;&gt;"",LOWER(TRIM($V215))&lt;&gt;"n/a",LOWER(TRIM($V215))&lt;&gt;"na",SUMPRODUCT(--(UPPER(TRIM($V$2:$V$518))=UPPER(TRIM($V215))),--(TRIM($V$2:$V$518)&lt;&gt;""),--(LOWER(TRIM($V$2:$V$518))&lt;&gt;"n/a"),--(LOWER(TRIM($V$2:$V$518))&lt;&gt;"na"))&gt;1),AND($W215&lt;&gt;"",LOWER(TRIM($W215))&lt;&gt;"n/a",LOWER(TRIM($W215))&lt;&gt;"na",SUMPRODUCT(--(UPPER(TRIM($W$2:$W$518))=UPPER(TRIM($W215))),--(TRIM($W$2:$W$518)&lt;&gt;""),--(LOWER(TRIM($W$2:$W$518))&lt;&gt;"n/a"),--(LOWER(TRIM($W$2:$W$518))&lt;&gt;"na"))&gt;1),AND($X215&lt;&gt;"",LOWER(TRIM($X215))&lt;&gt;"n/a",LOWER(TRIM($X215))&lt;&gt;"na",SUMPRODUCT(--(UPPER(TRIM($X$2:$X$518))=UPPER(TRIM($X215))),--(TRIM($X$2:$X$518)&lt;&gt;""),--(LOWER(TRIM($X$2:$X$518))&lt;&gt;"n/a"),--(LOWER(TRIM($X$2:$X$518))&lt;&gt;"na"))&gt;1),AND($Y215&lt;&gt;"",LOWER(TRIM($Y215))&lt;&gt;"n/a",LOWER(TRIM($Y215))&lt;&gt;"na",SUMPRODUCT(--(UPPER(SUBSTITUTE(SUBSTITUTE(TRIM($Y$2:$Y$518),":",""),"-",""))=UPPER(SUBSTITUTE(SUBSTITUTE(TRIM($Y215),":",""),"-",""))),--(TRIM($Y$2:$Y$518)&lt;&gt;""),--(LOWER(TRIM($Y$2:$Y$518))&lt;&gt;"n/a"),--(LOWER(TRIM($Y$2:$Y$518))&lt;&gt;"na"))&gt;1),AND($AB215&lt;&gt;"",LOWER(TRIM($AB215))&lt;&gt;"n/a",LOWER(TRIM($AB215))&lt;&gt;"na",SUMPRODUCT(--(UPPER(TRIM($AB$2:$AB$518))=UPPER(TRIM($AB215))),--(TRIM($AB$2:$AB$518)&lt;&gt;""),--(LOWER(TRIM($AB$2:$AB$518))&lt;&gt;"n/a"),--(LOWER(TRIM($AB$2:$AB$518))&lt;&gt;"na"))&gt;1),AND($AH215&lt;&gt;"",LOWER(TRIM($AH215))&lt;&gt;"n/a",LOWER(TRIM($AH215))&lt;&gt;"na",SUMPRODUCT(--(UPPER(SUBSTITUTE(SUBSTITUTE(TRIM($AH$2:$AH$518),":",""),"-",""))=UPPER(SUBSTITUTE(SUBSTITUTE(TRIM($AH215),":",""),"-",""))),--(TRIM($AH$2:$AH$518)&lt;&gt;""),--(LOWER(TRIM($AH$2:$AH$518))&lt;&gt;"n/a"),--(LOWER(TRIM($AH$2:$AH$518))&lt;&gt;"na"))&gt;1),AND($AP215&lt;&gt;"",LOWER(TRIM($AP215))&lt;&gt;"n/a",LOWER(TRIM($AP215))&lt;&gt;"na",SUMPRODUCT(--(UPPER(TRIM($AP$2:$AP$518))=UPPER(TRIM($AP215))),--(TRIM($AP$2:$AP$518)&lt;&gt;""),--(LOWER(TRIM($AP$2:$AP$518))&lt;&gt;"n/a"),--(LOWER(TRIM($AP$2:$AP$518))&lt;&gt;"na"))&gt;1),AND($AQ215&lt;&gt;"",LOWER(TRIM($AQ215))&lt;&gt;"n/a",LOWER(TRIM($AQ215))&lt;&gt;"na",SUMPRODUCT(--(UPPER(TRIM($AQ$2:$AQ$518))=UPPER(TRIM($AQ215))),--(TRIM($AQ$2:$AQ$518)&lt;&gt;""),--(LOWER(TRIM($AQ$2:$AQ$518))&lt;&gt;"n/a"),--(LOWER(TRIM($AQ$2:$AQ$518))&lt;&gt;"na"))&gt;1)),"Yes","No"))</f>
        <v/>
      </c>
      <c r="F215">
        <f>IF(UPPER(TRIM($B215))&lt;&gt;"YES","", IF(OR(AND($V215&lt;&gt;"", LOWER(TRIM($V215))&lt;&gt;"n/a", LOWER(TRIM($V215))&lt;&gt;"na", SUMPRODUCT(--(UPPER(TRIM($V$2:$V$518))=UPPER(TRIM($V215))), --(UPPER(TRIM($B$2:$B$518))="YES"), --(UPPER(TRIM($G$2:$G$518)&amp;TRIM($I$2:$I$518)&amp;TRIM($J$2:$J$518))&lt;&gt;UPPER(TRIM($G215)&amp;TRIM($I215)&amp;TRIM($J215))))&gt;0), AND($W215&lt;&gt;"", LOWER(TRIM($W215))&lt;&gt;"n/a", LOWER(TRIM($W215))&lt;&gt;"na", SUMPRODUCT(--(UPPER(TRIM($W$2:$W$518))=UPPER(TRIM($W215))), --(UPPER(TRIM($B$2:$B$518))="YES"), --(UPPER(TRIM($G$2:$G$518)&amp;TRIM($I$2:$I$518)&amp;TRIM($J$2:$J$518))&lt;&gt;UPPER(TRIM($G215)&amp;TRIM($I215)&amp;TRIM($J215))))&gt;0), AND($X215&lt;&gt;"", LOWER(TRIM($X215))&lt;&gt;"n/a", LOWER(TRIM($X215))&lt;&gt;"na", SUMPRODUCT(--(UPPER(TRIM($X$2:$X$518))=UPPER(TRIM($X215))), --(UPPER(TRIM($B$2:$B$518))="YES"), --(UPPER(TRIM($G$2:$G$518)&amp;TRIM($I$2:$I$518)&amp;TRIM($J$2:$J$518))&lt;&gt;UPPER(TRIM($G215)&amp;TRIM($I215)&amp;TRIM($J215))))&gt;0), AND($Y215&lt;&gt;"", LOWER(TRIM($Y215))&lt;&gt;"n/a", LOWER(TRIM($Y215))&lt;&gt;"na", SUMPRODUCT(--(UPPER(SUBSTITUTE(SUBSTITUTE(TRIM($Y$2:$Y$518),":",""),"-",""))=UPPER(SUBSTITUTE(SUBSTITUTE(TRIM($Y215),":",""),"-",""))), --(UPPER(TRIM($B$2:$B$518))="YES"), --(UPPER(TRIM($G$2:$G$518)&amp;TRIM($I$2:$I$518)&amp;TRIM($J$2:$J$518))&lt;&gt;UPPER(TRIM($G215)&amp;TRIM($I215)&amp;TRIM($J215))))&gt;0), AND($AB215&lt;&gt;"", LOWER(TRIM($AB215))&lt;&gt;"n/a", LOWER(TRIM($AB215))&lt;&gt;"na", SUMPRODUCT(--(UPPER(TRIM($AB$2:$AB$518))=UPPER(TRIM($AB215))), --(UPPER(TRIM($B$2:$B$518))="YES"), --(UPPER(TRIM($G$2:$G$518)&amp;TRIM($I$2:$I$518)&amp;TRIM($J$2:$J$518))&lt;&gt;UPPER(TRIM($G215)&amp;TRIM($I215)&amp;TRIM($J215))))&gt;0), AND($AH215&lt;&gt;"", LOWER(TRIM($AH215))&lt;&gt;"n/a", LOWER(TRIM($AH215))&lt;&gt;"na", SUMPRODUCT(--(UPPER(SUBSTITUTE(SUBSTITUTE(TRIM($AH$2:$AH$518),":",""),"-",""))=UPPER(SUBSTITUTE(SUBSTITUTE(TRIM($AH215),":",""),"-",""))), --(UPPER(TRIM($B$2:$B$518))="YES"), --(UPPER(TRIM($G$2:$G$518)&amp;TRIM($I$2:$I$518)&amp;TRIM($J$2:$J$518))&lt;&gt;UPPER(TRIM($G215)&amp;TRIM($I215)&amp;TRIM($J215))))&gt;0), AND($AP215&lt;&gt;"", LOWER(TRIM($AP215))&lt;&gt;"n/a", LOWER(TRIM($AP215))&lt;&gt;"na", SUMPRODUCT(--(UPPER(TRIM($AP$2:$AP$518))=UPPER(TRIM($AP215))), --(UPPER(TRIM($B$2:$B$518))="YES"), --(UPPER(TRIM($G$2:$G$518)&amp;TRIM($I$2:$I$518)&amp;TRIM($J$2:$J$518))&lt;&gt;UPPER(TRIM($G215)&amp;TRIM($I215)&amp;TRIM($J215))))&gt;0), AND($AQ215&lt;&gt;"", LOWER(TRIM($AQ215))&lt;&gt;"n/a", LOWER(TRIM($AQ215))&lt;&gt;"na", SUMPRODUCT(--(UPPER(TRIM($AQ$2:$AQ$518))=UPPER(TRIM($AQ215))), --(UPPER(TRIM($B$2:$B$518))="YES"), --(UPPER(TRIM($G$2:$G$518)&amp;TRIM($I$2:$I$518)&amp;TRIM($J$2:$J$518))&lt;&gt;UPPER(TRIM($G215)&amp;TRIM($I215)&amp;TRIM($J215))))&gt;0)), "Yes", "No"))</f>
        <v/>
      </c>
      <c r="G215" t="inlineStr">
        <is>
          <t>1 Marcus</t>
        </is>
      </c>
      <c r="H215" t="inlineStr">
        <is>
          <t>LIJ SDF</t>
        </is>
      </c>
      <c r="P215" t="inlineStr">
        <is>
          <t>na</t>
        </is>
      </c>
      <c r="W215" t="inlineStr">
        <is>
          <t>n/a</t>
        </is>
      </c>
      <c r="X215" t="inlineStr">
        <is>
          <t>LIJ-SDF-MACH-AD</t>
        </is>
      </c>
      <c r="Y215" t="inlineStr">
        <is>
          <t>A0F5097BA067</t>
        </is>
      </c>
      <c r="Z215" t="inlineStr">
        <is>
          <t>10.134.19.46</t>
        </is>
      </c>
      <c r="AA215" t="inlineStr">
        <is>
          <t>Yes</t>
        </is>
      </c>
      <c r="AB215" t="inlineStr">
        <is>
          <t>WA25300338</t>
        </is>
      </c>
      <c r="AC215" t="inlineStr">
        <is>
          <t>LIJ</t>
        </is>
      </c>
      <c r="AD215" t="inlineStr">
        <is>
          <t>Yes</t>
        </is>
      </c>
      <c r="AE215" t="inlineStr">
        <is>
          <t>Yes</t>
        </is>
      </c>
      <c r="AF215" t="inlineStr">
        <is>
          <t>Yes</t>
        </is>
      </c>
      <c r="AG215" t="inlineStr">
        <is>
          <t>Yes</t>
        </is>
      </c>
      <c r="AP215" t="inlineStr">
        <is>
          <t>n/a</t>
        </is>
      </c>
      <c r="AY215" t="inlineStr">
        <is>
          <t>Fresenius BlueStar - 2008T</t>
        </is>
      </c>
      <c r="BR215" t="inlineStr">
        <is>
          <t>Yes</t>
        </is>
      </c>
      <c r="BS215" t="inlineStr">
        <is>
          <t>Yes</t>
        </is>
      </c>
      <c r="BW215" t="inlineStr">
        <is>
          <t>Yes</t>
        </is>
      </c>
      <c r="BX215" t="n">
        <v>46027</v>
      </c>
      <c r="BY215" t="inlineStr">
        <is>
          <t>Spare Unit</t>
        </is>
      </c>
      <c r="BZ215" t="inlineStr">
        <is>
          <t>Firmware Installed</t>
        </is>
      </c>
      <c r="CB215" t="inlineStr">
        <is>
          <t>Yes</t>
        </is>
      </c>
      <c r="CC215" t="inlineStr">
        <is>
          <t>No</t>
        </is>
      </c>
      <c r="CD215">
        <f>IF($Y215="","",IF((IF(AND($BR215&lt;&gt;"Yes",$BR215&lt;&gt;"N/A"),"Power Cable, ","")&amp;IF(AND($BS215&lt;&gt;"Yes",$BS215&lt;&gt;"N/A"),"Battery, ","")&amp;IF(AND($AD215&lt;&gt;"Yes",$AD215&lt;&gt;"N/A"),"Firmware Download, ","")&amp;IF(AND(OR($AD215="Yes",$AD215="N/A"),$AE215&lt;&gt;"Yes",$AE215&lt;&gt;"N/A"),"Firmware Install, ","")&amp;IF(AND($CB215&lt;&gt;"Yes",$CB215&lt;&gt;"N/A"),"Device ID, ","")&amp;IF(AND($CC215&lt;&gt;"Yes",$CC215&lt;&gt;"N/A"),"Epic Beans Relay, ",""))="","",LEFT(IF(AND($BR215&lt;&gt;"Yes",$BR215&lt;&gt;"N/A"),"Power Cable, ","")&amp;IF(AND($BS215&lt;&gt;"Yes",$BS215&lt;&gt;"N/A"),"Battery, ","")&amp;IF(AND($AD215&lt;&gt;"Yes",$AD215&lt;&gt;"N/A"),"Firmware Download, ","")&amp;IF(AND(OR($AD215="Yes",$AD215="N/A"),$AE215&lt;&gt;"Yes",$AE215&lt;&gt;"N/A"),"Firmware Install, ","")&amp;IF(AND($CB215&lt;&gt;"Yes",$CB215&lt;&gt;"N/A"),"Device ID, ","")&amp;IF(AND($CC215&lt;&gt;"Yes",$CC215&lt;&gt;"N/A"),"Epic Beans Relay, ",""),LEN(IF(AND($BR215&lt;&gt;"Yes",$BR215&lt;&gt;"N/A"),"Power Cable, ","")&amp;IF(AND($BS215&lt;&gt;"Yes",$BS215&lt;&gt;"N/A"),"Battery, ","")&amp;IF(AND($AD215&lt;&gt;"Yes",$AD215&lt;&gt;"N/A"),"Firmware Download, ","")&amp;IF(AND(OR($AD215="Yes",$AD215="N/A"),$AE215&lt;&gt;"Yes",$AE215&lt;&gt;"N/A"),"Firmware Install, ","")&amp;IF(AND($CB215&lt;&gt;"Yes",$CB215&lt;&gt;"N/A"),"Device ID, ","")&amp;IF(AND($CC215&lt;&gt;"Yes",$CC215&lt;&gt;"N/A"),"Epic Beans Relay, ",""))-2)))</f>
        <v/>
      </c>
      <c r="CE215">
        <f>IF($Y215="","",IF($CD215="","Yes","Blocked"))</f>
        <v/>
      </c>
      <c r="CP215">
        <f>IF($CO215="","",IFERROR(VLOOKUP($CO215,'01_Warehouse_Ledger'!$A:$N,4,FALSE),""))</f>
        <v/>
      </c>
      <c r="CQ215">
        <f>IF($CO215="","",IFERROR(VLOOKUP($CO215,'01_Warehouse_Ledger'!$A:$N,5,FALSE),""))</f>
        <v/>
      </c>
      <c r="CR215">
        <f>IF($CO215="","",IFERROR(VLOOKUP($CO215,'01_Warehouse_Ledger'!$A:$N,13,FALSE),""))</f>
        <v/>
      </c>
      <c r="CW215">
        <f>IF($S215="","",IF(UPPER(TRIM($S215))&lt;&gt;"PASS","",IF(LEN(TRIM($BY215))&gt;0,"NOTES_PRESENT",IF(LEN(TRIM($T215))=0,"SET_NA",IF(OR(LOWER(TRIM($T215))="na",LOWER(TRIM($T215))="n/a"),"OK","MANUAL_OVERRIDE")))))</f>
        <v/>
      </c>
    </row>
    <row r="216">
      <c r="A216" t="inlineStr">
        <is>
          <t>Neuron</t>
        </is>
      </c>
      <c r="B216" s="5" t="inlineStr">
        <is>
          <t>No</t>
        </is>
      </c>
      <c r="C216" t="inlineStr">
        <is>
          <t>No</t>
        </is>
      </c>
      <c r="D216">
        <f>IF($B216&lt;&gt;"Yes","",IF($C216="No","Yes",IF($C216="Yes","No","")))</f>
        <v/>
      </c>
      <c r="E216">
        <f>IF($A216="","",IF(OR(AND($V216&lt;&gt;"",LOWER(TRIM($V216))&lt;&gt;"n/a",LOWER(TRIM($V216))&lt;&gt;"na",SUMPRODUCT(--(UPPER(TRIM($V$2:$V$518))=UPPER(TRIM($V216))),--(TRIM($V$2:$V$518)&lt;&gt;""),--(LOWER(TRIM($V$2:$V$518))&lt;&gt;"n/a"),--(LOWER(TRIM($V$2:$V$518))&lt;&gt;"na"))&gt;1),AND($W216&lt;&gt;"",LOWER(TRIM($W216))&lt;&gt;"n/a",LOWER(TRIM($W216))&lt;&gt;"na",SUMPRODUCT(--(UPPER(TRIM($W$2:$W$518))=UPPER(TRIM($W216))),--(TRIM($W$2:$W$518)&lt;&gt;""),--(LOWER(TRIM($W$2:$W$518))&lt;&gt;"n/a"),--(LOWER(TRIM($W$2:$W$518))&lt;&gt;"na"))&gt;1),AND($X216&lt;&gt;"",LOWER(TRIM($X216))&lt;&gt;"n/a",LOWER(TRIM($X216))&lt;&gt;"na",SUMPRODUCT(--(UPPER(TRIM($X$2:$X$518))=UPPER(TRIM($X216))),--(TRIM($X$2:$X$518)&lt;&gt;""),--(LOWER(TRIM($X$2:$X$518))&lt;&gt;"n/a"),--(LOWER(TRIM($X$2:$X$518))&lt;&gt;"na"))&gt;1),AND($Y216&lt;&gt;"",LOWER(TRIM($Y216))&lt;&gt;"n/a",LOWER(TRIM($Y216))&lt;&gt;"na",SUMPRODUCT(--(UPPER(SUBSTITUTE(SUBSTITUTE(TRIM($Y$2:$Y$518),":",""),"-",""))=UPPER(SUBSTITUTE(SUBSTITUTE(TRIM($Y216),":",""),"-",""))),--(TRIM($Y$2:$Y$518)&lt;&gt;""),--(LOWER(TRIM($Y$2:$Y$518))&lt;&gt;"n/a"),--(LOWER(TRIM($Y$2:$Y$518))&lt;&gt;"na"))&gt;1),AND($AB216&lt;&gt;"",LOWER(TRIM($AB216))&lt;&gt;"n/a",LOWER(TRIM($AB216))&lt;&gt;"na",SUMPRODUCT(--(UPPER(TRIM($AB$2:$AB$518))=UPPER(TRIM($AB216))),--(TRIM($AB$2:$AB$518)&lt;&gt;""),--(LOWER(TRIM($AB$2:$AB$518))&lt;&gt;"n/a"),--(LOWER(TRIM($AB$2:$AB$518))&lt;&gt;"na"))&gt;1),AND($AH216&lt;&gt;"",LOWER(TRIM($AH216))&lt;&gt;"n/a",LOWER(TRIM($AH216))&lt;&gt;"na",SUMPRODUCT(--(UPPER(SUBSTITUTE(SUBSTITUTE(TRIM($AH$2:$AH$518),":",""),"-",""))=UPPER(SUBSTITUTE(SUBSTITUTE(TRIM($AH216),":",""),"-",""))),--(TRIM($AH$2:$AH$518)&lt;&gt;""),--(LOWER(TRIM($AH$2:$AH$518))&lt;&gt;"n/a"),--(LOWER(TRIM($AH$2:$AH$518))&lt;&gt;"na"))&gt;1),AND($AP216&lt;&gt;"",LOWER(TRIM($AP216))&lt;&gt;"n/a",LOWER(TRIM($AP216))&lt;&gt;"na",SUMPRODUCT(--(UPPER(TRIM($AP$2:$AP$518))=UPPER(TRIM($AP216))),--(TRIM($AP$2:$AP$518)&lt;&gt;""),--(LOWER(TRIM($AP$2:$AP$518))&lt;&gt;"n/a"),--(LOWER(TRIM($AP$2:$AP$518))&lt;&gt;"na"))&gt;1),AND($AQ216&lt;&gt;"",LOWER(TRIM($AQ216))&lt;&gt;"n/a",LOWER(TRIM($AQ216))&lt;&gt;"na",SUMPRODUCT(--(UPPER(TRIM($AQ$2:$AQ$518))=UPPER(TRIM($AQ216))),--(TRIM($AQ$2:$AQ$518)&lt;&gt;""),--(LOWER(TRIM($AQ$2:$AQ$518))&lt;&gt;"n/a"),--(LOWER(TRIM($AQ$2:$AQ$518))&lt;&gt;"na"))&gt;1)),"Yes","No"))</f>
        <v/>
      </c>
      <c r="F216">
        <f>IF(UPPER(TRIM($B216))&lt;&gt;"YES","", IF(OR(AND($V216&lt;&gt;"", LOWER(TRIM($V216))&lt;&gt;"n/a", LOWER(TRIM($V216))&lt;&gt;"na", SUMPRODUCT(--(UPPER(TRIM($V$2:$V$518))=UPPER(TRIM($V216))), --(UPPER(TRIM($B$2:$B$518))="YES"), --(UPPER(TRIM($G$2:$G$518)&amp;TRIM($I$2:$I$518)&amp;TRIM($J$2:$J$518))&lt;&gt;UPPER(TRIM($G216)&amp;TRIM($I216)&amp;TRIM($J216))))&gt;0), AND($W216&lt;&gt;"", LOWER(TRIM($W216))&lt;&gt;"n/a", LOWER(TRIM($W216))&lt;&gt;"na", SUMPRODUCT(--(UPPER(TRIM($W$2:$W$518))=UPPER(TRIM($W216))), --(UPPER(TRIM($B$2:$B$518))="YES"), --(UPPER(TRIM($G$2:$G$518)&amp;TRIM($I$2:$I$518)&amp;TRIM($J$2:$J$518))&lt;&gt;UPPER(TRIM($G216)&amp;TRIM($I216)&amp;TRIM($J216))))&gt;0), AND($X216&lt;&gt;"", LOWER(TRIM($X216))&lt;&gt;"n/a", LOWER(TRIM($X216))&lt;&gt;"na", SUMPRODUCT(--(UPPER(TRIM($X$2:$X$518))=UPPER(TRIM($X216))), --(UPPER(TRIM($B$2:$B$518))="YES"), --(UPPER(TRIM($G$2:$G$518)&amp;TRIM($I$2:$I$518)&amp;TRIM($J$2:$J$518))&lt;&gt;UPPER(TRIM($G216)&amp;TRIM($I216)&amp;TRIM($J216))))&gt;0), AND($Y216&lt;&gt;"", LOWER(TRIM($Y216))&lt;&gt;"n/a", LOWER(TRIM($Y216))&lt;&gt;"na", SUMPRODUCT(--(UPPER(SUBSTITUTE(SUBSTITUTE(TRIM($Y$2:$Y$518),":",""),"-",""))=UPPER(SUBSTITUTE(SUBSTITUTE(TRIM($Y216),":",""),"-",""))), --(UPPER(TRIM($B$2:$B$518))="YES"), --(UPPER(TRIM($G$2:$G$518)&amp;TRIM($I$2:$I$518)&amp;TRIM($J$2:$J$518))&lt;&gt;UPPER(TRIM($G216)&amp;TRIM($I216)&amp;TRIM($J216))))&gt;0), AND($AB216&lt;&gt;"", LOWER(TRIM($AB216))&lt;&gt;"n/a", LOWER(TRIM($AB216))&lt;&gt;"na", SUMPRODUCT(--(UPPER(TRIM($AB$2:$AB$518))=UPPER(TRIM($AB216))), --(UPPER(TRIM($B$2:$B$518))="YES"), --(UPPER(TRIM($G$2:$G$518)&amp;TRIM($I$2:$I$518)&amp;TRIM($J$2:$J$518))&lt;&gt;UPPER(TRIM($G216)&amp;TRIM($I216)&amp;TRIM($J216))))&gt;0), AND($AH216&lt;&gt;"", LOWER(TRIM($AH216))&lt;&gt;"n/a", LOWER(TRIM($AH216))&lt;&gt;"na", SUMPRODUCT(--(UPPER(SUBSTITUTE(SUBSTITUTE(TRIM($AH$2:$AH$518),":",""),"-",""))=UPPER(SUBSTITUTE(SUBSTITUTE(TRIM($AH216),":",""),"-",""))), --(UPPER(TRIM($B$2:$B$518))="YES"), --(UPPER(TRIM($G$2:$G$518)&amp;TRIM($I$2:$I$518)&amp;TRIM($J$2:$J$518))&lt;&gt;UPPER(TRIM($G216)&amp;TRIM($I216)&amp;TRIM($J216))))&gt;0), AND($AP216&lt;&gt;"", LOWER(TRIM($AP216))&lt;&gt;"n/a", LOWER(TRIM($AP216))&lt;&gt;"na", SUMPRODUCT(--(UPPER(TRIM($AP$2:$AP$518))=UPPER(TRIM($AP216))), --(UPPER(TRIM($B$2:$B$518))="YES"), --(UPPER(TRIM($G$2:$G$518)&amp;TRIM($I$2:$I$518)&amp;TRIM($J$2:$J$518))&lt;&gt;UPPER(TRIM($G216)&amp;TRIM($I216)&amp;TRIM($J216))))&gt;0), AND($AQ216&lt;&gt;"", LOWER(TRIM($AQ216))&lt;&gt;"n/a", LOWER(TRIM($AQ216))&lt;&gt;"na", SUMPRODUCT(--(UPPER(TRIM($AQ$2:$AQ$518))=UPPER(TRIM($AQ216))), --(UPPER(TRIM($B$2:$B$518))="YES"), --(UPPER(TRIM($G$2:$G$518)&amp;TRIM($I$2:$I$518)&amp;TRIM($J$2:$J$518))&lt;&gt;UPPER(TRIM($G216)&amp;TRIM($I216)&amp;TRIM($J216))))&gt;0)), "Yes", "No"))</f>
        <v/>
      </c>
      <c r="G216" t="inlineStr">
        <is>
          <t>1 Marcus</t>
        </is>
      </c>
      <c r="H216" t="inlineStr">
        <is>
          <t>LIJ SDF</t>
        </is>
      </c>
      <c r="P216" t="inlineStr">
        <is>
          <t>na</t>
        </is>
      </c>
      <c r="W216" t="inlineStr">
        <is>
          <t>n/a</t>
        </is>
      </c>
      <c r="X216" t="inlineStr">
        <is>
          <t>LIJ-SDF-MACH-AE</t>
        </is>
      </c>
      <c r="Y216" t="inlineStr">
        <is>
          <t>A0F5097B8AFD</t>
        </is>
      </c>
      <c r="Z216" t="inlineStr">
        <is>
          <t>10.134.19.47</t>
        </is>
      </c>
      <c r="AA216" t="inlineStr">
        <is>
          <t>Yes</t>
        </is>
      </c>
      <c r="AB216" t="inlineStr">
        <is>
          <t>WA25203684</t>
        </is>
      </c>
      <c r="AC216" t="inlineStr">
        <is>
          <t>LIJ</t>
        </is>
      </c>
      <c r="AD216" t="inlineStr">
        <is>
          <t>Yes</t>
        </is>
      </c>
      <c r="AE216" t="inlineStr">
        <is>
          <t>Yes</t>
        </is>
      </c>
      <c r="AF216" t="inlineStr">
        <is>
          <t>Yes</t>
        </is>
      </c>
      <c r="AG216" t="inlineStr">
        <is>
          <t>Yes</t>
        </is>
      </c>
      <c r="AP216" t="inlineStr">
        <is>
          <t>n/a</t>
        </is>
      </c>
      <c r="AY216" t="inlineStr">
        <is>
          <t>Fresenius BlueStar - 2008T</t>
        </is>
      </c>
      <c r="BR216" t="inlineStr">
        <is>
          <t>Yes</t>
        </is>
      </c>
      <c r="BS216" t="inlineStr">
        <is>
          <t>Yes</t>
        </is>
      </c>
      <c r="BW216" t="inlineStr">
        <is>
          <t>Yes</t>
        </is>
      </c>
      <c r="BX216" t="n">
        <v>46027</v>
      </c>
      <c r="BY216" t="inlineStr">
        <is>
          <t>Spare Unit</t>
        </is>
      </c>
      <c r="BZ216" t="inlineStr">
        <is>
          <t>Firmware Installed</t>
        </is>
      </c>
      <c r="CB216" t="inlineStr">
        <is>
          <t>Yes</t>
        </is>
      </c>
      <c r="CC216" t="inlineStr">
        <is>
          <t>No</t>
        </is>
      </c>
      <c r="CD216">
        <f>IF($Y216="","",IF((IF(AND($BR216&lt;&gt;"Yes",$BR216&lt;&gt;"N/A"),"Power Cable, ","")&amp;IF(AND($BS216&lt;&gt;"Yes",$BS216&lt;&gt;"N/A"),"Battery, ","")&amp;IF(AND($AD216&lt;&gt;"Yes",$AD216&lt;&gt;"N/A"),"Firmware Download, ","")&amp;IF(AND(OR($AD216="Yes",$AD216="N/A"),$AE216&lt;&gt;"Yes",$AE216&lt;&gt;"N/A"),"Firmware Install, ","")&amp;IF(AND($CB216&lt;&gt;"Yes",$CB216&lt;&gt;"N/A"),"Device ID, ","")&amp;IF(AND($CC216&lt;&gt;"Yes",$CC216&lt;&gt;"N/A"),"Epic Beans Relay, ",""))="","",LEFT(IF(AND($BR216&lt;&gt;"Yes",$BR216&lt;&gt;"N/A"),"Power Cable, ","")&amp;IF(AND($BS216&lt;&gt;"Yes",$BS216&lt;&gt;"N/A"),"Battery, ","")&amp;IF(AND($AD216&lt;&gt;"Yes",$AD216&lt;&gt;"N/A"),"Firmware Download, ","")&amp;IF(AND(OR($AD216="Yes",$AD216="N/A"),$AE216&lt;&gt;"Yes",$AE216&lt;&gt;"N/A"),"Firmware Install, ","")&amp;IF(AND($CB216&lt;&gt;"Yes",$CB216&lt;&gt;"N/A"),"Device ID, ","")&amp;IF(AND($CC216&lt;&gt;"Yes",$CC216&lt;&gt;"N/A"),"Epic Beans Relay, ",""),LEN(IF(AND($BR216&lt;&gt;"Yes",$BR216&lt;&gt;"N/A"),"Power Cable, ","")&amp;IF(AND($BS216&lt;&gt;"Yes",$BS216&lt;&gt;"N/A"),"Battery, ","")&amp;IF(AND($AD216&lt;&gt;"Yes",$AD216&lt;&gt;"N/A"),"Firmware Download, ","")&amp;IF(AND(OR($AD216="Yes",$AD216="N/A"),$AE216&lt;&gt;"Yes",$AE216&lt;&gt;"N/A"),"Firmware Install, ","")&amp;IF(AND($CB216&lt;&gt;"Yes",$CB216&lt;&gt;"N/A"),"Device ID, ","")&amp;IF(AND($CC216&lt;&gt;"Yes",$CC216&lt;&gt;"N/A"),"Epic Beans Relay, ",""))-2)))</f>
        <v/>
      </c>
      <c r="CE216">
        <f>IF($Y216="","",IF($CD216="","Yes","Blocked"))</f>
        <v/>
      </c>
      <c r="CP216">
        <f>IF($CO216="","",IFERROR(VLOOKUP($CO216,'01_Warehouse_Ledger'!$A:$N,4,FALSE),""))</f>
        <v/>
      </c>
      <c r="CQ216">
        <f>IF($CO216="","",IFERROR(VLOOKUP($CO216,'01_Warehouse_Ledger'!$A:$N,5,FALSE),""))</f>
        <v/>
      </c>
      <c r="CR216">
        <f>IF($CO216="","",IFERROR(VLOOKUP($CO216,'01_Warehouse_Ledger'!$A:$N,13,FALSE),""))</f>
        <v/>
      </c>
      <c r="CW216">
        <f>IF($S216="","",IF(UPPER(TRIM($S216))&lt;&gt;"PASS","",IF(LEN(TRIM($BY216))&gt;0,"NOTES_PRESENT",IF(LEN(TRIM($T216))=0,"SET_NA",IF(OR(LOWER(TRIM($T216))="na",LOWER(TRIM($T216))="n/a"),"OK","MANUAL_OVERRIDE")))))</f>
        <v/>
      </c>
    </row>
    <row r="217">
      <c r="A217" t="inlineStr">
        <is>
          <t>Neuron</t>
        </is>
      </c>
      <c r="B217" s="5" t="inlineStr">
        <is>
          <t>No</t>
        </is>
      </c>
      <c r="C217" t="inlineStr">
        <is>
          <t>No</t>
        </is>
      </c>
      <c r="D217">
        <f>IF($B217&lt;&gt;"Yes","",IF($C217="No","Yes",IF($C217="Yes","No","")))</f>
        <v/>
      </c>
      <c r="E217">
        <f>IF($A217="","",IF(OR(AND($V217&lt;&gt;"",LOWER(TRIM($V217))&lt;&gt;"n/a",LOWER(TRIM($V217))&lt;&gt;"na",SUMPRODUCT(--(UPPER(TRIM($V$2:$V$518))=UPPER(TRIM($V217))),--(TRIM($V$2:$V$518)&lt;&gt;""),--(LOWER(TRIM($V$2:$V$518))&lt;&gt;"n/a"),--(LOWER(TRIM($V$2:$V$518))&lt;&gt;"na"))&gt;1),AND($W217&lt;&gt;"",LOWER(TRIM($W217))&lt;&gt;"n/a",LOWER(TRIM($W217))&lt;&gt;"na",SUMPRODUCT(--(UPPER(TRIM($W$2:$W$518))=UPPER(TRIM($W217))),--(TRIM($W$2:$W$518)&lt;&gt;""),--(LOWER(TRIM($W$2:$W$518))&lt;&gt;"n/a"),--(LOWER(TRIM($W$2:$W$518))&lt;&gt;"na"))&gt;1),AND($X217&lt;&gt;"",LOWER(TRIM($X217))&lt;&gt;"n/a",LOWER(TRIM($X217))&lt;&gt;"na",SUMPRODUCT(--(UPPER(TRIM($X$2:$X$518))=UPPER(TRIM($X217))),--(TRIM($X$2:$X$518)&lt;&gt;""),--(LOWER(TRIM($X$2:$X$518))&lt;&gt;"n/a"),--(LOWER(TRIM($X$2:$X$518))&lt;&gt;"na"))&gt;1),AND($Y217&lt;&gt;"",LOWER(TRIM($Y217))&lt;&gt;"n/a",LOWER(TRIM($Y217))&lt;&gt;"na",SUMPRODUCT(--(UPPER(SUBSTITUTE(SUBSTITUTE(TRIM($Y$2:$Y$518),":",""),"-",""))=UPPER(SUBSTITUTE(SUBSTITUTE(TRIM($Y217),":",""),"-",""))),--(TRIM($Y$2:$Y$518)&lt;&gt;""),--(LOWER(TRIM($Y$2:$Y$518))&lt;&gt;"n/a"),--(LOWER(TRIM($Y$2:$Y$518))&lt;&gt;"na"))&gt;1),AND($AB217&lt;&gt;"",LOWER(TRIM($AB217))&lt;&gt;"n/a",LOWER(TRIM($AB217))&lt;&gt;"na",SUMPRODUCT(--(UPPER(TRIM($AB$2:$AB$518))=UPPER(TRIM($AB217))),--(TRIM($AB$2:$AB$518)&lt;&gt;""),--(LOWER(TRIM($AB$2:$AB$518))&lt;&gt;"n/a"),--(LOWER(TRIM($AB$2:$AB$518))&lt;&gt;"na"))&gt;1),AND($AH217&lt;&gt;"",LOWER(TRIM($AH217))&lt;&gt;"n/a",LOWER(TRIM($AH217))&lt;&gt;"na",SUMPRODUCT(--(UPPER(SUBSTITUTE(SUBSTITUTE(TRIM($AH$2:$AH$518),":",""),"-",""))=UPPER(SUBSTITUTE(SUBSTITUTE(TRIM($AH217),":",""),"-",""))),--(TRIM($AH$2:$AH$518)&lt;&gt;""),--(LOWER(TRIM($AH$2:$AH$518))&lt;&gt;"n/a"),--(LOWER(TRIM($AH$2:$AH$518))&lt;&gt;"na"))&gt;1),AND($AP217&lt;&gt;"",LOWER(TRIM($AP217))&lt;&gt;"n/a",LOWER(TRIM($AP217))&lt;&gt;"na",SUMPRODUCT(--(UPPER(TRIM($AP$2:$AP$518))=UPPER(TRIM($AP217))),--(TRIM($AP$2:$AP$518)&lt;&gt;""),--(LOWER(TRIM($AP$2:$AP$518))&lt;&gt;"n/a"),--(LOWER(TRIM($AP$2:$AP$518))&lt;&gt;"na"))&gt;1),AND($AQ217&lt;&gt;"",LOWER(TRIM($AQ217))&lt;&gt;"n/a",LOWER(TRIM($AQ217))&lt;&gt;"na",SUMPRODUCT(--(UPPER(TRIM($AQ$2:$AQ$518))=UPPER(TRIM($AQ217))),--(TRIM($AQ$2:$AQ$518)&lt;&gt;""),--(LOWER(TRIM($AQ$2:$AQ$518))&lt;&gt;"n/a"),--(LOWER(TRIM($AQ$2:$AQ$518))&lt;&gt;"na"))&gt;1)),"Yes","No"))</f>
        <v/>
      </c>
      <c r="F217">
        <f>IF(UPPER(TRIM($B217))&lt;&gt;"YES","", IF(OR(AND($V217&lt;&gt;"", LOWER(TRIM($V217))&lt;&gt;"n/a", LOWER(TRIM($V217))&lt;&gt;"na", SUMPRODUCT(--(UPPER(TRIM($V$2:$V$518))=UPPER(TRIM($V217))), --(UPPER(TRIM($B$2:$B$518))="YES"), --(UPPER(TRIM($G$2:$G$518)&amp;TRIM($I$2:$I$518)&amp;TRIM($J$2:$J$518))&lt;&gt;UPPER(TRIM($G217)&amp;TRIM($I217)&amp;TRIM($J217))))&gt;0), AND($W217&lt;&gt;"", LOWER(TRIM($W217))&lt;&gt;"n/a", LOWER(TRIM($W217))&lt;&gt;"na", SUMPRODUCT(--(UPPER(TRIM($W$2:$W$518))=UPPER(TRIM($W217))), --(UPPER(TRIM($B$2:$B$518))="YES"), --(UPPER(TRIM($G$2:$G$518)&amp;TRIM($I$2:$I$518)&amp;TRIM($J$2:$J$518))&lt;&gt;UPPER(TRIM($G217)&amp;TRIM($I217)&amp;TRIM($J217))))&gt;0), AND($X217&lt;&gt;"", LOWER(TRIM($X217))&lt;&gt;"n/a", LOWER(TRIM($X217))&lt;&gt;"na", SUMPRODUCT(--(UPPER(TRIM($X$2:$X$518))=UPPER(TRIM($X217))), --(UPPER(TRIM($B$2:$B$518))="YES"), --(UPPER(TRIM($G$2:$G$518)&amp;TRIM($I$2:$I$518)&amp;TRIM($J$2:$J$518))&lt;&gt;UPPER(TRIM($G217)&amp;TRIM($I217)&amp;TRIM($J217))))&gt;0), AND($Y217&lt;&gt;"", LOWER(TRIM($Y217))&lt;&gt;"n/a", LOWER(TRIM($Y217))&lt;&gt;"na", SUMPRODUCT(--(UPPER(SUBSTITUTE(SUBSTITUTE(TRIM($Y$2:$Y$518),":",""),"-",""))=UPPER(SUBSTITUTE(SUBSTITUTE(TRIM($Y217),":",""),"-",""))), --(UPPER(TRIM($B$2:$B$518))="YES"), --(UPPER(TRIM($G$2:$G$518)&amp;TRIM($I$2:$I$518)&amp;TRIM($J$2:$J$518))&lt;&gt;UPPER(TRIM($G217)&amp;TRIM($I217)&amp;TRIM($J217))))&gt;0), AND($AB217&lt;&gt;"", LOWER(TRIM($AB217))&lt;&gt;"n/a", LOWER(TRIM($AB217))&lt;&gt;"na", SUMPRODUCT(--(UPPER(TRIM($AB$2:$AB$518))=UPPER(TRIM($AB217))), --(UPPER(TRIM($B$2:$B$518))="YES"), --(UPPER(TRIM($G$2:$G$518)&amp;TRIM($I$2:$I$518)&amp;TRIM($J$2:$J$518))&lt;&gt;UPPER(TRIM($G217)&amp;TRIM($I217)&amp;TRIM($J217))))&gt;0), AND($AH217&lt;&gt;"", LOWER(TRIM($AH217))&lt;&gt;"n/a", LOWER(TRIM($AH217))&lt;&gt;"na", SUMPRODUCT(--(UPPER(SUBSTITUTE(SUBSTITUTE(TRIM($AH$2:$AH$518),":",""),"-",""))=UPPER(SUBSTITUTE(SUBSTITUTE(TRIM($AH217),":",""),"-",""))), --(UPPER(TRIM($B$2:$B$518))="YES"), --(UPPER(TRIM($G$2:$G$518)&amp;TRIM($I$2:$I$518)&amp;TRIM($J$2:$J$518))&lt;&gt;UPPER(TRIM($G217)&amp;TRIM($I217)&amp;TRIM($J217))))&gt;0), AND($AP217&lt;&gt;"", LOWER(TRIM($AP217))&lt;&gt;"n/a", LOWER(TRIM($AP217))&lt;&gt;"na", SUMPRODUCT(--(UPPER(TRIM($AP$2:$AP$518))=UPPER(TRIM($AP217))), --(UPPER(TRIM($B$2:$B$518))="YES"), --(UPPER(TRIM($G$2:$G$518)&amp;TRIM($I$2:$I$518)&amp;TRIM($J$2:$J$518))&lt;&gt;UPPER(TRIM($G217)&amp;TRIM($I217)&amp;TRIM($J217))))&gt;0), AND($AQ217&lt;&gt;"", LOWER(TRIM($AQ217))&lt;&gt;"n/a", LOWER(TRIM($AQ217))&lt;&gt;"na", SUMPRODUCT(--(UPPER(TRIM($AQ$2:$AQ$518))=UPPER(TRIM($AQ217))), --(UPPER(TRIM($B$2:$B$518))="YES"), --(UPPER(TRIM($G$2:$G$518)&amp;TRIM($I$2:$I$518)&amp;TRIM($J$2:$J$518))&lt;&gt;UPPER(TRIM($G217)&amp;TRIM($I217)&amp;TRIM($J217))))&gt;0)), "Yes", "No"))</f>
        <v/>
      </c>
      <c r="G217" t="inlineStr">
        <is>
          <t>1 Marcus</t>
        </is>
      </c>
      <c r="H217" t="inlineStr">
        <is>
          <t>LIJ SDF</t>
        </is>
      </c>
      <c r="P217" t="inlineStr">
        <is>
          <t>na</t>
        </is>
      </c>
      <c r="W217" t="inlineStr">
        <is>
          <t>n/a</t>
        </is>
      </c>
      <c r="X217" t="inlineStr">
        <is>
          <t>LIJ-SDF-MACH-AF</t>
        </is>
      </c>
      <c r="Y217" t="inlineStr">
        <is>
          <t>A0F5097B8ADC</t>
        </is>
      </c>
      <c r="Z217" t="inlineStr">
        <is>
          <t>10.134.18.74</t>
        </is>
      </c>
      <c r="AA217" t="inlineStr">
        <is>
          <t>Yes</t>
        </is>
      </c>
      <c r="AB217" t="inlineStr">
        <is>
          <t>WA25203890</t>
        </is>
      </c>
      <c r="AC217" t="inlineStr">
        <is>
          <t>LIJ</t>
        </is>
      </c>
      <c r="AD217" t="inlineStr">
        <is>
          <t>Yes</t>
        </is>
      </c>
      <c r="AE217" t="inlineStr">
        <is>
          <t>Yes</t>
        </is>
      </c>
      <c r="AF217" t="inlineStr">
        <is>
          <t>Yes</t>
        </is>
      </c>
      <c r="AG217" t="inlineStr">
        <is>
          <t>Yes</t>
        </is>
      </c>
      <c r="AP217" t="inlineStr">
        <is>
          <t>n/a</t>
        </is>
      </c>
      <c r="AY217" t="inlineStr">
        <is>
          <t>Fresenius BlueStar - 2008T</t>
        </is>
      </c>
      <c r="BR217" t="inlineStr">
        <is>
          <t>Yes</t>
        </is>
      </c>
      <c r="BS217" t="inlineStr">
        <is>
          <t>Yes</t>
        </is>
      </c>
      <c r="BW217" t="inlineStr">
        <is>
          <t>Yes</t>
        </is>
      </c>
      <c r="BX217" t="n">
        <v>46027</v>
      </c>
      <c r="BY217" t="inlineStr">
        <is>
          <t>Spare Unit</t>
        </is>
      </c>
      <c r="BZ217" t="inlineStr">
        <is>
          <t>Firmware Installed</t>
        </is>
      </c>
      <c r="CB217" t="inlineStr">
        <is>
          <t>Yes</t>
        </is>
      </c>
      <c r="CC217" t="inlineStr">
        <is>
          <t>No</t>
        </is>
      </c>
      <c r="CD217">
        <f>IF($Y217="","",IF((IF(AND($BR217&lt;&gt;"Yes",$BR217&lt;&gt;"N/A"),"Power Cable, ","")&amp;IF(AND($BS217&lt;&gt;"Yes",$BS217&lt;&gt;"N/A"),"Battery, ","")&amp;IF(AND($AD217&lt;&gt;"Yes",$AD217&lt;&gt;"N/A"),"Firmware Download, ","")&amp;IF(AND(OR($AD217="Yes",$AD217="N/A"),$AE217&lt;&gt;"Yes",$AE217&lt;&gt;"N/A"),"Firmware Install, ","")&amp;IF(AND($CB217&lt;&gt;"Yes",$CB217&lt;&gt;"N/A"),"Device ID, ","")&amp;IF(AND($CC217&lt;&gt;"Yes",$CC217&lt;&gt;"N/A"),"Epic Beans Relay, ",""))="","",LEFT(IF(AND($BR217&lt;&gt;"Yes",$BR217&lt;&gt;"N/A"),"Power Cable, ","")&amp;IF(AND($BS217&lt;&gt;"Yes",$BS217&lt;&gt;"N/A"),"Battery, ","")&amp;IF(AND($AD217&lt;&gt;"Yes",$AD217&lt;&gt;"N/A"),"Firmware Download, ","")&amp;IF(AND(OR($AD217="Yes",$AD217="N/A"),$AE217&lt;&gt;"Yes",$AE217&lt;&gt;"N/A"),"Firmware Install, ","")&amp;IF(AND($CB217&lt;&gt;"Yes",$CB217&lt;&gt;"N/A"),"Device ID, ","")&amp;IF(AND($CC217&lt;&gt;"Yes",$CC217&lt;&gt;"N/A"),"Epic Beans Relay, ",""),LEN(IF(AND($BR217&lt;&gt;"Yes",$BR217&lt;&gt;"N/A"),"Power Cable, ","")&amp;IF(AND($BS217&lt;&gt;"Yes",$BS217&lt;&gt;"N/A"),"Battery, ","")&amp;IF(AND($AD217&lt;&gt;"Yes",$AD217&lt;&gt;"N/A"),"Firmware Download, ","")&amp;IF(AND(OR($AD217="Yes",$AD217="N/A"),$AE217&lt;&gt;"Yes",$AE217&lt;&gt;"N/A"),"Firmware Install, ","")&amp;IF(AND($CB217&lt;&gt;"Yes",$CB217&lt;&gt;"N/A"),"Device ID, ","")&amp;IF(AND($CC217&lt;&gt;"Yes",$CC217&lt;&gt;"N/A"),"Epic Beans Relay, ",""))-2)))</f>
        <v/>
      </c>
      <c r="CE217">
        <f>IF($Y217="","",IF($CD217="","Yes","Blocked"))</f>
        <v/>
      </c>
      <c r="CP217">
        <f>IF($CO217="","",IFERROR(VLOOKUP($CO217,'01_Warehouse_Ledger'!$A:$N,4,FALSE),""))</f>
        <v/>
      </c>
      <c r="CQ217">
        <f>IF($CO217="","",IFERROR(VLOOKUP($CO217,'01_Warehouse_Ledger'!$A:$N,5,FALSE),""))</f>
        <v/>
      </c>
      <c r="CR217">
        <f>IF($CO217="","",IFERROR(VLOOKUP($CO217,'01_Warehouse_Ledger'!$A:$N,13,FALSE),""))</f>
        <v/>
      </c>
      <c r="CW217">
        <f>IF($S217="","",IF(UPPER(TRIM($S217))&lt;&gt;"PASS","",IF(LEN(TRIM($BY217))&gt;0,"NOTES_PRESENT",IF(LEN(TRIM($T217))=0,"SET_NA",IF(OR(LOWER(TRIM($T217))="na",LOWER(TRIM($T217))="n/a"),"OK","MANUAL_OVERRIDE")))))</f>
        <v/>
      </c>
    </row>
    <row r="218">
      <c r="A218" t="inlineStr">
        <is>
          <t>Neuron</t>
        </is>
      </c>
      <c r="B218" s="5" t="inlineStr">
        <is>
          <t>Yes</t>
        </is>
      </c>
      <c r="C218" t="inlineStr">
        <is>
          <t>No</t>
        </is>
      </c>
      <c r="D218">
        <f>IF($B218&lt;&gt;"Yes","",IF($C218="No","Yes",IF($C218="Yes","No","")))</f>
        <v/>
      </c>
      <c r="E218">
        <f>IF($A218="","",IF(OR(AND($V218&lt;&gt;"",LOWER(TRIM($V218))&lt;&gt;"n/a",LOWER(TRIM($V218))&lt;&gt;"na",SUMPRODUCT(--(UPPER(TRIM($V$2:$V$518))=UPPER(TRIM($V218))),--(TRIM($V$2:$V$518)&lt;&gt;""),--(LOWER(TRIM($V$2:$V$518))&lt;&gt;"n/a"),--(LOWER(TRIM($V$2:$V$518))&lt;&gt;"na"))&gt;1),AND($W218&lt;&gt;"",LOWER(TRIM($W218))&lt;&gt;"n/a",LOWER(TRIM($W218))&lt;&gt;"na",SUMPRODUCT(--(UPPER(TRIM($W$2:$W$518))=UPPER(TRIM($W218))),--(TRIM($W$2:$W$518)&lt;&gt;""),--(LOWER(TRIM($W$2:$W$518))&lt;&gt;"n/a"),--(LOWER(TRIM($W$2:$W$518))&lt;&gt;"na"))&gt;1),AND($X218&lt;&gt;"",LOWER(TRIM($X218))&lt;&gt;"n/a",LOWER(TRIM($X218))&lt;&gt;"na",SUMPRODUCT(--(UPPER(TRIM($X$2:$X$518))=UPPER(TRIM($X218))),--(TRIM($X$2:$X$518)&lt;&gt;""),--(LOWER(TRIM($X$2:$X$518))&lt;&gt;"n/a"),--(LOWER(TRIM($X$2:$X$518))&lt;&gt;"na"))&gt;1),AND($Y218&lt;&gt;"",LOWER(TRIM($Y218))&lt;&gt;"n/a",LOWER(TRIM($Y218))&lt;&gt;"na",SUMPRODUCT(--(UPPER(SUBSTITUTE(SUBSTITUTE(TRIM($Y$2:$Y$518),":",""),"-",""))=UPPER(SUBSTITUTE(SUBSTITUTE(TRIM($Y218),":",""),"-",""))),--(TRIM($Y$2:$Y$518)&lt;&gt;""),--(LOWER(TRIM($Y$2:$Y$518))&lt;&gt;"n/a"),--(LOWER(TRIM($Y$2:$Y$518))&lt;&gt;"na"))&gt;1),AND($AB218&lt;&gt;"",LOWER(TRIM($AB218))&lt;&gt;"n/a",LOWER(TRIM($AB218))&lt;&gt;"na",SUMPRODUCT(--(UPPER(TRIM($AB$2:$AB$518))=UPPER(TRIM($AB218))),--(TRIM($AB$2:$AB$518)&lt;&gt;""),--(LOWER(TRIM($AB$2:$AB$518))&lt;&gt;"n/a"),--(LOWER(TRIM($AB$2:$AB$518))&lt;&gt;"na"))&gt;1),AND($AH218&lt;&gt;"",LOWER(TRIM($AH218))&lt;&gt;"n/a",LOWER(TRIM($AH218))&lt;&gt;"na",SUMPRODUCT(--(UPPER(SUBSTITUTE(SUBSTITUTE(TRIM($AH$2:$AH$518),":",""),"-",""))=UPPER(SUBSTITUTE(SUBSTITUTE(TRIM($AH218),":",""),"-",""))),--(TRIM($AH$2:$AH$518)&lt;&gt;""),--(LOWER(TRIM($AH$2:$AH$518))&lt;&gt;"n/a"),--(LOWER(TRIM($AH$2:$AH$518))&lt;&gt;"na"))&gt;1),AND($AP218&lt;&gt;"",LOWER(TRIM($AP218))&lt;&gt;"n/a",LOWER(TRIM($AP218))&lt;&gt;"na",SUMPRODUCT(--(UPPER(TRIM($AP$2:$AP$518))=UPPER(TRIM($AP218))),--(TRIM($AP$2:$AP$518)&lt;&gt;""),--(LOWER(TRIM($AP$2:$AP$518))&lt;&gt;"n/a"),--(LOWER(TRIM($AP$2:$AP$518))&lt;&gt;"na"))&gt;1),AND($AQ218&lt;&gt;"",LOWER(TRIM($AQ218))&lt;&gt;"n/a",LOWER(TRIM($AQ218))&lt;&gt;"na",SUMPRODUCT(--(UPPER(TRIM($AQ$2:$AQ$518))=UPPER(TRIM($AQ218))),--(TRIM($AQ$2:$AQ$518)&lt;&gt;""),--(LOWER(TRIM($AQ$2:$AQ$518))&lt;&gt;"n/a"),--(LOWER(TRIM($AQ$2:$AQ$518))&lt;&gt;"na"))&gt;1)),"Yes","No"))</f>
        <v/>
      </c>
      <c r="F218">
        <f>IF(UPPER(TRIM($B218))&lt;&gt;"YES","", IF(OR(AND($V218&lt;&gt;"", LOWER(TRIM($V218))&lt;&gt;"n/a", LOWER(TRIM($V218))&lt;&gt;"na", SUMPRODUCT(--(UPPER(TRIM($V$2:$V$518))=UPPER(TRIM($V218))), --(UPPER(TRIM($B$2:$B$518))="YES"), --(UPPER(TRIM($G$2:$G$518)&amp;TRIM($I$2:$I$518)&amp;TRIM($J$2:$J$518))&lt;&gt;UPPER(TRIM($G218)&amp;TRIM($I218)&amp;TRIM($J218))))&gt;0), AND($W218&lt;&gt;"", LOWER(TRIM($W218))&lt;&gt;"n/a", LOWER(TRIM($W218))&lt;&gt;"na", SUMPRODUCT(--(UPPER(TRIM($W$2:$W$518))=UPPER(TRIM($W218))), --(UPPER(TRIM($B$2:$B$518))="YES"), --(UPPER(TRIM($G$2:$G$518)&amp;TRIM($I$2:$I$518)&amp;TRIM($J$2:$J$518))&lt;&gt;UPPER(TRIM($G218)&amp;TRIM($I218)&amp;TRIM($J218))))&gt;0), AND($X218&lt;&gt;"", LOWER(TRIM($X218))&lt;&gt;"n/a", LOWER(TRIM($X218))&lt;&gt;"na", SUMPRODUCT(--(UPPER(TRIM($X$2:$X$518))=UPPER(TRIM($X218))), --(UPPER(TRIM($B$2:$B$518))="YES"), --(UPPER(TRIM($G$2:$G$518)&amp;TRIM($I$2:$I$518)&amp;TRIM($J$2:$J$518))&lt;&gt;UPPER(TRIM($G218)&amp;TRIM($I218)&amp;TRIM($J218))))&gt;0), AND($Y218&lt;&gt;"", LOWER(TRIM($Y218))&lt;&gt;"n/a", LOWER(TRIM($Y218))&lt;&gt;"na", SUMPRODUCT(--(UPPER(SUBSTITUTE(SUBSTITUTE(TRIM($Y$2:$Y$518),":",""),"-",""))=UPPER(SUBSTITUTE(SUBSTITUTE(TRIM($Y218),":",""),"-",""))), --(UPPER(TRIM($B$2:$B$518))="YES"), --(UPPER(TRIM($G$2:$G$518)&amp;TRIM($I$2:$I$518)&amp;TRIM($J$2:$J$518))&lt;&gt;UPPER(TRIM($G218)&amp;TRIM($I218)&amp;TRIM($J218))))&gt;0), AND($AB218&lt;&gt;"", LOWER(TRIM($AB218))&lt;&gt;"n/a", LOWER(TRIM($AB218))&lt;&gt;"na", SUMPRODUCT(--(UPPER(TRIM($AB$2:$AB$518))=UPPER(TRIM($AB218))), --(UPPER(TRIM($B$2:$B$518))="YES"), --(UPPER(TRIM($G$2:$G$518)&amp;TRIM($I$2:$I$518)&amp;TRIM($J$2:$J$518))&lt;&gt;UPPER(TRIM($G218)&amp;TRIM($I218)&amp;TRIM($J218))))&gt;0), AND($AH218&lt;&gt;"", LOWER(TRIM($AH218))&lt;&gt;"n/a", LOWER(TRIM($AH218))&lt;&gt;"na", SUMPRODUCT(--(UPPER(SUBSTITUTE(SUBSTITUTE(TRIM($AH$2:$AH$518),":",""),"-",""))=UPPER(SUBSTITUTE(SUBSTITUTE(TRIM($AH218),":",""),"-",""))), --(UPPER(TRIM($B$2:$B$518))="YES"), --(UPPER(TRIM($G$2:$G$518)&amp;TRIM($I$2:$I$518)&amp;TRIM($J$2:$J$518))&lt;&gt;UPPER(TRIM($G218)&amp;TRIM($I218)&amp;TRIM($J218))))&gt;0), AND($AP218&lt;&gt;"", LOWER(TRIM($AP218))&lt;&gt;"n/a", LOWER(TRIM($AP218))&lt;&gt;"na", SUMPRODUCT(--(UPPER(TRIM($AP$2:$AP$518))=UPPER(TRIM($AP218))), --(UPPER(TRIM($B$2:$B$518))="YES"), --(UPPER(TRIM($G$2:$G$518)&amp;TRIM($I$2:$I$518)&amp;TRIM($J$2:$J$518))&lt;&gt;UPPER(TRIM($G218)&amp;TRIM($I218)&amp;TRIM($J218))))&gt;0), AND($AQ218&lt;&gt;"", LOWER(TRIM($AQ218))&lt;&gt;"n/a", LOWER(TRIM($AQ218))&lt;&gt;"na", SUMPRODUCT(--(UPPER(TRIM($AQ$2:$AQ$518))=UPPER(TRIM($AQ218))), --(UPPER(TRIM($B$2:$B$518))="YES"), --(UPPER(TRIM($G$2:$G$518)&amp;TRIM($I$2:$I$518)&amp;TRIM($J$2:$J$518))&lt;&gt;UPPER(TRIM($G218)&amp;TRIM($I218)&amp;TRIM($J218))))&gt;0)), "Yes", "No"))</f>
        <v/>
      </c>
      <c r="G218" t="inlineStr">
        <is>
          <t>PBMC</t>
        </is>
      </c>
      <c r="H218" t="inlineStr">
        <is>
          <t>PBMC</t>
        </is>
      </c>
      <c r="I218" t="inlineStr">
        <is>
          <t>Third Floor/Cath Lab</t>
        </is>
      </c>
      <c r="J218" t="inlineStr">
        <is>
          <t>Lab 3/ Neuro BiPlane</t>
        </is>
      </c>
      <c r="K218" t="inlineStr">
        <is>
          <t>N/A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W218" t="inlineStr">
        <is>
          <t>n/a</t>
        </is>
      </c>
      <c r="X218" t="inlineStr">
        <is>
          <t>PBMC-MACH-N</t>
        </is>
      </c>
      <c r="Y218" t="inlineStr">
        <is>
          <t>A0F5097BA02C</t>
        </is>
      </c>
      <c r="Z218" t="inlineStr">
        <is>
          <t>10.134.18.77</t>
        </is>
      </c>
      <c r="AA218" t="inlineStr">
        <is>
          <t>Yes</t>
        </is>
      </c>
      <c r="AB218" t="inlineStr">
        <is>
          <t>WA25300321</t>
        </is>
      </c>
      <c r="AC218" t="inlineStr">
        <is>
          <t>LIJ</t>
        </is>
      </c>
      <c r="AD218" t="inlineStr">
        <is>
          <t>Yes</t>
        </is>
      </c>
      <c r="AE218" t="inlineStr">
        <is>
          <t>Yes</t>
        </is>
      </c>
      <c r="AF218" t="inlineStr">
        <is>
          <t>Yes</t>
        </is>
      </c>
      <c r="AG218" t="inlineStr">
        <is>
          <t>Yes</t>
        </is>
      </c>
      <c r="AH218" t="inlineStr">
        <is>
          <t>n/a</t>
        </is>
      </c>
      <c r="AI218" t="inlineStr">
        <is>
          <t>Anesthesia Machine</t>
        </is>
      </c>
      <c r="AM218" t="inlineStr">
        <is>
          <t>Drager</t>
        </is>
      </c>
      <c r="AN218" t="inlineStr">
        <is>
          <t>Atlan A350</t>
        </is>
      </c>
      <c r="AO218" t="inlineStr">
        <is>
          <t>n/a</t>
        </is>
      </c>
      <c r="AP218" t="inlineStr">
        <is>
          <t>ASUL-0203</t>
        </is>
      </c>
      <c r="AQ218" t="inlineStr">
        <is>
          <t>ASUL-0203</t>
        </is>
      </c>
      <c r="AS218" t="inlineStr">
        <is>
          <t>B1-CFH</t>
        </is>
      </c>
      <c r="AT218" t="inlineStr">
        <is>
          <t>B1-CFW</t>
        </is>
      </c>
      <c r="AX218" t="inlineStr">
        <is>
          <t>Patient Monitor - Philips MX750</t>
        </is>
      </c>
      <c r="AY218" t="inlineStr">
        <is>
          <t>Anesthesia Machine - Drager Atlan 350</t>
        </is>
      </c>
      <c r="BR218" t="inlineStr">
        <is>
          <t>Yes</t>
        </is>
      </c>
      <c r="BS218" t="inlineStr">
        <is>
          <t>Yes</t>
        </is>
      </c>
      <c r="BW218" t="inlineStr">
        <is>
          <t>Yes</t>
        </is>
      </c>
      <c r="BX218" t="n">
        <v>46030</v>
      </c>
      <c r="BY218" t="inlineStr">
        <is>
          <t>PBMC</t>
        </is>
      </c>
      <c r="BZ218" t="inlineStr">
        <is>
          <t>Firmware Installed</t>
        </is>
      </c>
      <c r="CB218" t="inlineStr">
        <is>
          <t>Yes</t>
        </is>
      </c>
      <c r="CC218" t="inlineStr">
        <is>
          <t>No</t>
        </is>
      </c>
      <c r="CD218">
        <f>IF($Y218="","",IF((IF(AND($BR218&lt;&gt;"Yes",$BR218&lt;&gt;"N/A"),"Power Cable, ","")&amp;IF(AND($BS218&lt;&gt;"Yes",$BS218&lt;&gt;"N/A"),"Battery, ","")&amp;IF(AND($AD218&lt;&gt;"Yes",$AD218&lt;&gt;"N/A"),"Firmware Download, ","")&amp;IF(AND(OR($AD218="Yes",$AD218="N/A"),$AE218&lt;&gt;"Yes",$AE218&lt;&gt;"N/A"),"Firmware Install, ","")&amp;IF(AND($CB218&lt;&gt;"Yes",$CB218&lt;&gt;"N/A"),"Device ID, ","")&amp;IF(AND($CC218&lt;&gt;"Yes",$CC218&lt;&gt;"N/A"),"Epic Beans Relay, ",""))="","",LEFT(IF(AND($BR218&lt;&gt;"Yes",$BR218&lt;&gt;"N/A"),"Power Cable, ","")&amp;IF(AND($BS218&lt;&gt;"Yes",$BS218&lt;&gt;"N/A"),"Battery, ","")&amp;IF(AND($AD218&lt;&gt;"Yes",$AD218&lt;&gt;"N/A"),"Firmware Download, ","")&amp;IF(AND(OR($AD218="Yes",$AD218="N/A"),$AE218&lt;&gt;"Yes",$AE218&lt;&gt;"N/A"),"Firmware Install, ","")&amp;IF(AND($CB218&lt;&gt;"Yes",$CB218&lt;&gt;"N/A"),"Device ID, ","")&amp;IF(AND($CC218&lt;&gt;"Yes",$CC218&lt;&gt;"N/A"),"Epic Beans Relay, ",""),LEN(IF(AND($BR218&lt;&gt;"Yes",$BR218&lt;&gt;"N/A"),"Power Cable, ","")&amp;IF(AND($BS218&lt;&gt;"Yes",$BS218&lt;&gt;"N/A"),"Battery, ","")&amp;IF(AND($AD218&lt;&gt;"Yes",$AD218&lt;&gt;"N/A"),"Firmware Download, ","")&amp;IF(AND(OR($AD218="Yes",$AD218="N/A"),$AE218&lt;&gt;"Yes",$AE218&lt;&gt;"N/A"),"Firmware Install, ","")&amp;IF(AND($CB218&lt;&gt;"Yes",$CB218&lt;&gt;"N/A"),"Device ID, ","")&amp;IF(AND($CC218&lt;&gt;"Yes",$CC218&lt;&gt;"N/A"),"Epic Beans Relay, ",""))-2)))</f>
        <v/>
      </c>
      <c r="CE218">
        <f>IF($Y218="","",IF($CD218="","Yes","Blocked"))</f>
        <v/>
      </c>
      <c r="CK218" t="n">
        <v>125200</v>
      </c>
      <c r="CP218">
        <f>IF($CO218="","",IFERROR(VLOOKUP($CO218,'01_Warehouse_Ledger'!$A:$N,4,FALSE),""))</f>
        <v/>
      </c>
      <c r="CQ218">
        <f>IF($CO218="","",IFERROR(VLOOKUP($CO218,'01_Warehouse_Ledger'!$A:$N,5,FALSE),""))</f>
        <v/>
      </c>
      <c r="CR218">
        <f>IF($CO218="","",IFERROR(VLOOKUP($CO218,'01_Warehouse_Ledger'!$A:$N,13,FALSE),""))</f>
        <v/>
      </c>
      <c r="CW218">
        <f>IF($S218="","",IF(UPPER(TRIM($S218))&lt;&gt;"PASS","",IF(LEN(TRIM($BY218))&gt;0,"NOTES_PRESENT",IF(LEN(TRIM($T218))=0,"SET_NA",IF(OR(LOWER(TRIM($T218))="na",LOWER(TRIM($T218))="n/a"),"OK","MANUAL_OVERRIDE")))))</f>
        <v/>
      </c>
    </row>
    <row r="219">
      <c r="A219" t="inlineStr">
        <is>
          <t>Cybernet</t>
        </is>
      </c>
      <c r="B219" s="5" t="inlineStr">
        <is>
          <t>Yes</t>
        </is>
      </c>
      <c r="C219" t="inlineStr">
        <is>
          <t>No</t>
        </is>
      </c>
      <c r="D219">
        <f>IF($B219&lt;&gt;"Yes","",IF($C219="No","Yes",IF($C219="Yes","No","")))</f>
        <v/>
      </c>
      <c r="E219">
        <f>IF($A219="","",IF(OR(AND($V219&lt;&gt;"",LOWER(TRIM($V219))&lt;&gt;"n/a",LOWER(TRIM($V219))&lt;&gt;"na",SUMPRODUCT(--(UPPER(TRIM($V$2:$V$518))=UPPER(TRIM($V219))),--(TRIM($V$2:$V$518)&lt;&gt;""),--(LOWER(TRIM($V$2:$V$518))&lt;&gt;"n/a"),--(LOWER(TRIM($V$2:$V$518))&lt;&gt;"na"))&gt;1),AND($W219&lt;&gt;"",LOWER(TRIM($W219))&lt;&gt;"n/a",LOWER(TRIM($W219))&lt;&gt;"na",SUMPRODUCT(--(UPPER(TRIM($W$2:$W$518))=UPPER(TRIM($W219))),--(TRIM($W$2:$W$518)&lt;&gt;""),--(LOWER(TRIM($W$2:$W$518))&lt;&gt;"n/a"),--(LOWER(TRIM($W$2:$W$518))&lt;&gt;"na"))&gt;1),AND($X219&lt;&gt;"",LOWER(TRIM($X219))&lt;&gt;"n/a",LOWER(TRIM($X219))&lt;&gt;"na",SUMPRODUCT(--(UPPER(TRIM($X$2:$X$518))=UPPER(TRIM($X219))),--(TRIM($X$2:$X$518)&lt;&gt;""),--(LOWER(TRIM($X$2:$X$518))&lt;&gt;"n/a"),--(LOWER(TRIM($X$2:$X$518))&lt;&gt;"na"))&gt;1),AND($Y219&lt;&gt;"",LOWER(TRIM($Y219))&lt;&gt;"n/a",LOWER(TRIM($Y219))&lt;&gt;"na",SUMPRODUCT(--(UPPER(SUBSTITUTE(SUBSTITUTE(TRIM($Y$2:$Y$518),":",""),"-",""))=UPPER(SUBSTITUTE(SUBSTITUTE(TRIM($Y219),":",""),"-",""))),--(TRIM($Y$2:$Y$518)&lt;&gt;""),--(LOWER(TRIM($Y$2:$Y$518))&lt;&gt;"n/a"),--(LOWER(TRIM($Y$2:$Y$518))&lt;&gt;"na"))&gt;1),AND($AB219&lt;&gt;"",LOWER(TRIM($AB219))&lt;&gt;"n/a",LOWER(TRIM($AB219))&lt;&gt;"na",SUMPRODUCT(--(UPPER(TRIM($AB$2:$AB$518))=UPPER(TRIM($AB219))),--(TRIM($AB$2:$AB$518)&lt;&gt;""),--(LOWER(TRIM($AB$2:$AB$518))&lt;&gt;"n/a"),--(LOWER(TRIM($AB$2:$AB$518))&lt;&gt;"na"))&gt;1),AND($AH219&lt;&gt;"",LOWER(TRIM($AH219))&lt;&gt;"n/a",LOWER(TRIM($AH219))&lt;&gt;"na",SUMPRODUCT(--(UPPER(SUBSTITUTE(SUBSTITUTE(TRIM($AH$2:$AH$518),":",""),"-",""))=UPPER(SUBSTITUTE(SUBSTITUTE(TRIM($AH219),":",""),"-",""))),--(TRIM($AH$2:$AH$518)&lt;&gt;""),--(LOWER(TRIM($AH$2:$AH$518))&lt;&gt;"n/a"),--(LOWER(TRIM($AH$2:$AH$518))&lt;&gt;"na"))&gt;1),AND($AP219&lt;&gt;"",LOWER(TRIM($AP219))&lt;&gt;"n/a",LOWER(TRIM($AP219))&lt;&gt;"na",SUMPRODUCT(--(UPPER(TRIM($AP$2:$AP$518))=UPPER(TRIM($AP219))),--(TRIM($AP$2:$AP$518)&lt;&gt;""),--(LOWER(TRIM($AP$2:$AP$518))&lt;&gt;"n/a"),--(LOWER(TRIM($AP$2:$AP$518))&lt;&gt;"na"))&gt;1),AND($AQ219&lt;&gt;"",LOWER(TRIM($AQ219))&lt;&gt;"n/a",LOWER(TRIM($AQ219))&lt;&gt;"na",SUMPRODUCT(--(UPPER(TRIM($AQ$2:$AQ$518))=UPPER(TRIM($AQ219))),--(TRIM($AQ$2:$AQ$518)&lt;&gt;""),--(LOWER(TRIM($AQ$2:$AQ$518))&lt;&gt;"n/a"),--(LOWER(TRIM($AQ$2:$AQ$518))&lt;&gt;"na"))&gt;1)),"Yes","No"))</f>
        <v/>
      </c>
      <c r="F219">
        <f>IF(UPPER(TRIM($B219))&lt;&gt;"YES","", IF(OR(AND($V219&lt;&gt;"", LOWER(TRIM($V219))&lt;&gt;"n/a", LOWER(TRIM($V219))&lt;&gt;"na", SUMPRODUCT(--(UPPER(TRIM($V$2:$V$518))=UPPER(TRIM($V219))), --(UPPER(TRIM($B$2:$B$518))="YES"), --(UPPER(TRIM($G$2:$G$518)&amp;TRIM($I$2:$I$518)&amp;TRIM($J$2:$J$518))&lt;&gt;UPPER(TRIM($G219)&amp;TRIM($I219)&amp;TRIM($J219))))&gt;0), AND($W219&lt;&gt;"", LOWER(TRIM($W219))&lt;&gt;"n/a", LOWER(TRIM($W219))&lt;&gt;"na", SUMPRODUCT(--(UPPER(TRIM($W$2:$W$518))=UPPER(TRIM($W219))), --(UPPER(TRIM($B$2:$B$518))="YES"), --(UPPER(TRIM($G$2:$G$518)&amp;TRIM($I$2:$I$518)&amp;TRIM($J$2:$J$518))&lt;&gt;UPPER(TRIM($G219)&amp;TRIM($I219)&amp;TRIM($J219))))&gt;0), AND($X219&lt;&gt;"", LOWER(TRIM($X219))&lt;&gt;"n/a", LOWER(TRIM($X219))&lt;&gt;"na", SUMPRODUCT(--(UPPER(TRIM($X$2:$X$518))=UPPER(TRIM($X219))), --(UPPER(TRIM($B$2:$B$518))="YES"), --(UPPER(TRIM($G$2:$G$518)&amp;TRIM($I$2:$I$518)&amp;TRIM($J$2:$J$518))&lt;&gt;UPPER(TRIM($G219)&amp;TRIM($I219)&amp;TRIM($J219))))&gt;0), AND($Y219&lt;&gt;"", LOWER(TRIM($Y219))&lt;&gt;"n/a", LOWER(TRIM($Y219))&lt;&gt;"na", SUMPRODUCT(--(UPPER(SUBSTITUTE(SUBSTITUTE(TRIM($Y$2:$Y$518),":",""),"-",""))=UPPER(SUBSTITUTE(SUBSTITUTE(TRIM($Y219),":",""),"-",""))), --(UPPER(TRIM($B$2:$B$518))="YES"), --(UPPER(TRIM($G$2:$G$518)&amp;TRIM($I$2:$I$518)&amp;TRIM($J$2:$J$518))&lt;&gt;UPPER(TRIM($G219)&amp;TRIM($I219)&amp;TRIM($J219))))&gt;0), AND($AB219&lt;&gt;"", LOWER(TRIM($AB219))&lt;&gt;"n/a", LOWER(TRIM($AB219))&lt;&gt;"na", SUMPRODUCT(--(UPPER(TRIM($AB$2:$AB$518))=UPPER(TRIM($AB219))), --(UPPER(TRIM($B$2:$B$518))="YES"), --(UPPER(TRIM($G$2:$G$518)&amp;TRIM($I$2:$I$518)&amp;TRIM($J$2:$J$518))&lt;&gt;UPPER(TRIM($G219)&amp;TRIM($I219)&amp;TRIM($J219))))&gt;0), AND($AH219&lt;&gt;"", LOWER(TRIM($AH219))&lt;&gt;"n/a", LOWER(TRIM($AH219))&lt;&gt;"na", SUMPRODUCT(--(UPPER(SUBSTITUTE(SUBSTITUTE(TRIM($AH$2:$AH$518),":",""),"-",""))=UPPER(SUBSTITUTE(SUBSTITUTE(TRIM($AH219),":",""),"-",""))), --(UPPER(TRIM($B$2:$B$518))="YES"), --(UPPER(TRIM($G$2:$G$518)&amp;TRIM($I$2:$I$518)&amp;TRIM($J$2:$J$518))&lt;&gt;UPPER(TRIM($G219)&amp;TRIM($I219)&amp;TRIM($J219))))&gt;0), AND($AP219&lt;&gt;"", LOWER(TRIM($AP219))&lt;&gt;"n/a", LOWER(TRIM($AP219))&lt;&gt;"na", SUMPRODUCT(--(UPPER(TRIM($AP$2:$AP$518))=UPPER(TRIM($AP219))), --(UPPER(TRIM($B$2:$B$518))="YES"), --(UPPER(TRIM($G$2:$G$518)&amp;TRIM($I$2:$I$518)&amp;TRIM($J$2:$J$518))&lt;&gt;UPPER(TRIM($G219)&amp;TRIM($I219)&amp;TRIM($J219))))&gt;0), AND($AQ219&lt;&gt;"", LOWER(TRIM($AQ219))&lt;&gt;"n/a", LOWER(TRIM($AQ219))&lt;&gt;"na", SUMPRODUCT(--(UPPER(TRIM($AQ$2:$AQ$518))=UPPER(TRIM($AQ219))), --(UPPER(TRIM($B$2:$B$518))="YES"), --(UPPER(TRIM($G$2:$G$518)&amp;TRIM($I$2:$I$518)&amp;TRIM($J$2:$J$518))&lt;&gt;UPPER(TRIM($G219)&amp;TRIM($I219)&amp;TRIM($J219))))&gt;0)), "Yes", "No"))</f>
        <v/>
      </c>
      <c r="G219" t="inlineStr">
        <is>
          <t>PBMC</t>
        </is>
      </c>
      <c r="H219" t="inlineStr">
        <is>
          <t>PBMC</t>
        </is>
      </c>
      <c r="I219" t="inlineStr">
        <is>
          <t>Third Floor/Cath Lab</t>
        </is>
      </c>
      <c r="J219" t="inlineStr">
        <is>
          <t>Lab 3/ Neuro BiPlane</t>
        </is>
      </c>
      <c r="K219" t="inlineStr">
        <is>
          <t>N/A</t>
        </is>
      </c>
      <c r="M219" t="inlineStr">
        <is>
          <t>OR Cybernet</t>
        </is>
      </c>
      <c r="P219" t="inlineStr">
        <is>
          <t>na</t>
        </is>
      </c>
      <c r="Q219" t="inlineStr">
        <is>
          <t>inpatient</t>
        </is>
      </c>
      <c r="S219" t="inlineStr">
        <is>
          <t>Pass</t>
        </is>
      </c>
      <c r="V219" t="inlineStr">
        <is>
          <t>WRI130OPR045</t>
        </is>
      </c>
      <c r="W219" t="inlineStr">
        <is>
          <t>MEDSG2425F-0192</t>
        </is>
      </c>
      <c r="X219" t="inlineStr">
        <is>
          <t>n/a</t>
        </is>
      </c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n/a</t>
        </is>
      </c>
      <c r="AC219" t="inlineStr">
        <is>
          <t>n/a</t>
        </is>
      </c>
      <c r="AD219" t="inlineStr">
        <is>
          <t>Yes</t>
        </is>
      </c>
      <c r="AE219" t="inlineStr">
        <is>
          <t>Yes</t>
        </is>
      </c>
      <c r="AF219" t="inlineStr">
        <is>
          <t>Yes</t>
        </is>
      </c>
      <c r="AG219" t="inlineStr">
        <is>
          <t>Yes</t>
        </is>
      </c>
      <c r="AH219" t="inlineStr">
        <is>
          <t>000D050AA5A9</t>
        </is>
      </c>
      <c r="AI219" t="inlineStr">
        <is>
          <t>Anesthesia Machine</t>
        </is>
      </c>
      <c r="AM219" t="inlineStr">
        <is>
          <t>Drager</t>
        </is>
      </c>
      <c r="AN219" t="inlineStr">
        <is>
          <t>Atlan A350</t>
        </is>
      </c>
      <c r="AO219" t="inlineStr">
        <is>
          <t>n/a</t>
        </is>
      </c>
      <c r="AP219" t="inlineStr">
        <is>
          <t>ASUL-0204</t>
        </is>
      </c>
      <c r="AQ219" t="inlineStr">
        <is>
          <t>ASUL-0204</t>
        </is>
      </c>
      <c r="BR219" t="inlineStr">
        <is>
          <t>Yes</t>
        </is>
      </c>
      <c r="BS219" t="inlineStr">
        <is>
          <t>Yes</t>
        </is>
      </c>
      <c r="BT219" t="inlineStr">
        <is>
          <t>Yes</t>
        </is>
      </c>
      <c r="BW219" t="inlineStr">
        <is>
          <t>Yes</t>
        </is>
      </c>
      <c r="BX219" t="n">
        <v>46030</v>
      </c>
      <c r="BY219" t="inlineStr">
        <is>
          <t>PBMC</t>
        </is>
      </c>
      <c r="BZ219" t="inlineStr">
        <is>
          <t>Firmware Installed</t>
        </is>
      </c>
      <c r="CB219" t="inlineStr">
        <is>
          <t>Yes</t>
        </is>
      </c>
      <c r="CD219">
        <f>IF($Y219="","",IF((IF(AND($BR219&lt;&gt;"Yes",$BR219&lt;&gt;"N/A"),"Power Cable, ","")&amp;IF(AND($BS219&lt;&gt;"Yes",$BS219&lt;&gt;"N/A"),"Battery, ","")&amp;IF(AND($AD219&lt;&gt;"Yes",$AD219&lt;&gt;"N/A"),"Firmware Download, ","")&amp;IF(AND(OR($AD219="Yes",$AD219="N/A"),$AE219&lt;&gt;"Yes",$AE219&lt;&gt;"N/A"),"Firmware Install, ","")&amp;IF(AND($CB219&lt;&gt;"Yes",$CB219&lt;&gt;"N/A"),"Device ID, ","")&amp;IF(AND($CC219&lt;&gt;"Yes",$CC219&lt;&gt;"N/A"),"Epic Beans Relay, ",""))="","",LEFT(IF(AND($BR219&lt;&gt;"Yes",$BR219&lt;&gt;"N/A"),"Power Cable, ","")&amp;IF(AND($BS219&lt;&gt;"Yes",$BS219&lt;&gt;"N/A"),"Battery, ","")&amp;IF(AND($AD219&lt;&gt;"Yes",$AD219&lt;&gt;"N/A"),"Firmware Download, ","")&amp;IF(AND(OR($AD219="Yes",$AD219="N/A"),$AE219&lt;&gt;"Yes",$AE219&lt;&gt;"N/A"),"Firmware Install, ","")&amp;IF(AND($CB219&lt;&gt;"Yes",$CB219&lt;&gt;"N/A"),"Device ID, ","")&amp;IF(AND($CC219&lt;&gt;"Yes",$CC219&lt;&gt;"N/A"),"Epic Beans Relay, ",""),LEN(IF(AND($BR219&lt;&gt;"Yes",$BR219&lt;&gt;"N/A"),"Power Cable, ","")&amp;IF(AND($BS219&lt;&gt;"Yes",$BS219&lt;&gt;"N/A"),"Battery, ","")&amp;IF(AND($AD219&lt;&gt;"Yes",$AD219&lt;&gt;"N/A"),"Firmware Download, ","")&amp;IF(AND(OR($AD219="Yes",$AD219="N/A"),$AE219&lt;&gt;"Yes",$AE219&lt;&gt;"N/A"),"Firmware Install, ","")&amp;IF(AND($CB219&lt;&gt;"Yes",$CB219&lt;&gt;"N/A"),"Device ID, ","")&amp;IF(AND($CC219&lt;&gt;"Yes",$CC219&lt;&gt;"N/A"),"Epic Beans Relay, ",""))-2)))</f>
        <v/>
      </c>
      <c r="CE219">
        <f>IF($Y219="","",IF($CD219="","Yes","Blocked"))</f>
        <v/>
      </c>
      <c r="CF219" t="inlineStr">
        <is>
          <t>Yes</t>
        </is>
      </c>
      <c r="CG219" t="inlineStr">
        <is>
          <t>Yes</t>
        </is>
      </c>
      <c r="CH219" t="inlineStr">
        <is>
          <t>Yes</t>
        </is>
      </c>
      <c r="CI219" t="inlineStr">
        <is>
          <t>Yes</t>
        </is>
      </c>
      <c r="CJ219" t="inlineStr">
        <is>
          <t>Yes</t>
        </is>
      </c>
      <c r="CK219" t="n">
        <v>19200</v>
      </c>
      <c r="CP219">
        <f>IF($CO219="","",IFERROR(VLOOKUP($CO219,'01_Warehouse_Ledger'!$A:$N,4,FALSE),""))</f>
        <v/>
      </c>
      <c r="CQ219">
        <f>IF($CO219="","",IFERROR(VLOOKUP($CO219,'01_Warehouse_Ledger'!$A:$N,5,FALSE),""))</f>
        <v/>
      </c>
      <c r="CR219">
        <f>IF($CO219="","",IFERROR(VLOOKUP($CO219,'01_Warehouse_Ledger'!$A:$N,13,FALSE),""))</f>
        <v/>
      </c>
      <c r="CW219">
        <f>IF($S219="","",IF(UPPER(TRIM($S219))&lt;&gt;"PASS","",IF(LEN(TRIM($BY219))&gt;0,"NOTES_PRESENT",IF(LEN(TRIM($T219))=0,"SET_NA",IF(OR(LOWER(TRIM($T219))="na",LOWER(TRIM($T219))="n/a"),"OK","MANUAL_OVERRIDE")))))</f>
        <v/>
      </c>
    </row>
    <row r="220">
      <c r="A220" t="inlineStr">
        <is>
          <t>Neuron</t>
        </is>
      </c>
      <c r="B220" s="5" t="inlineStr">
        <is>
          <t>No</t>
        </is>
      </c>
      <c r="C220" t="inlineStr">
        <is>
          <t>No</t>
        </is>
      </c>
      <c r="D220">
        <f>IF($B220&lt;&gt;"Yes","",IF($C220="No","Yes",IF($C220="Yes","No","")))</f>
        <v/>
      </c>
      <c r="E220">
        <f>IF($A220="","",IF(OR(AND($V220&lt;&gt;"",LOWER(TRIM($V220))&lt;&gt;"n/a",LOWER(TRIM($V220))&lt;&gt;"na",SUMPRODUCT(--(UPPER(TRIM($V$2:$V$518))=UPPER(TRIM($V220))),--(TRIM($V$2:$V$518)&lt;&gt;""),--(LOWER(TRIM($V$2:$V$518))&lt;&gt;"n/a"),--(LOWER(TRIM($V$2:$V$518))&lt;&gt;"na"))&gt;1),AND($W220&lt;&gt;"",LOWER(TRIM($W220))&lt;&gt;"n/a",LOWER(TRIM($W220))&lt;&gt;"na",SUMPRODUCT(--(UPPER(TRIM($W$2:$W$518))=UPPER(TRIM($W220))),--(TRIM($W$2:$W$518)&lt;&gt;""),--(LOWER(TRIM($W$2:$W$518))&lt;&gt;"n/a"),--(LOWER(TRIM($W$2:$W$518))&lt;&gt;"na"))&gt;1),AND($X220&lt;&gt;"",LOWER(TRIM($X220))&lt;&gt;"n/a",LOWER(TRIM($X220))&lt;&gt;"na",SUMPRODUCT(--(UPPER(TRIM($X$2:$X$518))=UPPER(TRIM($X220))),--(TRIM($X$2:$X$518)&lt;&gt;""),--(LOWER(TRIM($X$2:$X$518))&lt;&gt;"n/a"),--(LOWER(TRIM($X$2:$X$518))&lt;&gt;"na"))&gt;1),AND($Y220&lt;&gt;"",LOWER(TRIM($Y220))&lt;&gt;"n/a",LOWER(TRIM($Y220))&lt;&gt;"na",SUMPRODUCT(--(UPPER(SUBSTITUTE(SUBSTITUTE(TRIM($Y$2:$Y$518),":",""),"-",""))=UPPER(SUBSTITUTE(SUBSTITUTE(TRIM($Y220),":",""),"-",""))),--(TRIM($Y$2:$Y$518)&lt;&gt;""),--(LOWER(TRIM($Y$2:$Y$518))&lt;&gt;"n/a"),--(LOWER(TRIM($Y$2:$Y$518))&lt;&gt;"na"))&gt;1),AND($AB220&lt;&gt;"",LOWER(TRIM($AB220))&lt;&gt;"n/a",LOWER(TRIM($AB220))&lt;&gt;"na",SUMPRODUCT(--(UPPER(TRIM($AB$2:$AB$518))=UPPER(TRIM($AB220))),--(TRIM($AB$2:$AB$518)&lt;&gt;""),--(LOWER(TRIM($AB$2:$AB$518))&lt;&gt;"n/a"),--(LOWER(TRIM($AB$2:$AB$518))&lt;&gt;"na"))&gt;1),AND($AH220&lt;&gt;"",LOWER(TRIM($AH220))&lt;&gt;"n/a",LOWER(TRIM($AH220))&lt;&gt;"na",SUMPRODUCT(--(UPPER(SUBSTITUTE(SUBSTITUTE(TRIM($AH$2:$AH$518),":",""),"-",""))=UPPER(SUBSTITUTE(SUBSTITUTE(TRIM($AH220),":",""),"-",""))),--(TRIM($AH$2:$AH$518)&lt;&gt;""),--(LOWER(TRIM($AH$2:$AH$518))&lt;&gt;"n/a"),--(LOWER(TRIM($AH$2:$AH$518))&lt;&gt;"na"))&gt;1),AND($AP220&lt;&gt;"",LOWER(TRIM($AP220))&lt;&gt;"n/a",LOWER(TRIM($AP220))&lt;&gt;"na",SUMPRODUCT(--(UPPER(TRIM($AP$2:$AP$518))=UPPER(TRIM($AP220))),--(TRIM($AP$2:$AP$518)&lt;&gt;""),--(LOWER(TRIM($AP$2:$AP$518))&lt;&gt;"n/a"),--(LOWER(TRIM($AP$2:$AP$518))&lt;&gt;"na"))&gt;1),AND($AQ220&lt;&gt;"",LOWER(TRIM($AQ220))&lt;&gt;"n/a",LOWER(TRIM($AQ220))&lt;&gt;"na",SUMPRODUCT(--(UPPER(TRIM($AQ$2:$AQ$518))=UPPER(TRIM($AQ220))),--(TRIM($AQ$2:$AQ$518)&lt;&gt;""),--(LOWER(TRIM($AQ$2:$AQ$518))&lt;&gt;"n/a"),--(LOWER(TRIM($AQ$2:$AQ$518))&lt;&gt;"na"))&gt;1)),"Yes","No"))</f>
        <v/>
      </c>
      <c r="F220">
        <f>IF(UPPER(TRIM($B220))&lt;&gt;"YES","", IF(OR(AND($V220&lt;&gt;"", LOWER(TRIM($V220))&lt;&gt;"n/a", LOWER(TRIM($V220))&lt;&gt;"na", SUMPRODUCT(--(UPPER(TRIM($V$2:$V$518))=UPPER(TRIM($V220))), --(UPPER(TRIM($B$2:$B$518))="YES"), --(UPPER(TRIM($G$2:$G$518)&amp;TRIM($I$2:$I$518)&amp;TRIM($J$2:$J$518))&lt;&gt;UPPER(TRIM($G220)&amp;TRIM($I220)&amp;TRIM($J220))))&gt;0), AND($W220&lt;&gt;"", LOWER(TRIM($W220))&lt;&gt;"n/a", LOWER(TRIM($W220))&lt;&gt;"na", SUMPRODUCT(--(UPPER(TRIM($W$2:$W$518))=UPPER(TRIM($W220))), --(UPPER(TRIM($B$2:$B$518))="YES"), --(UPPER(TRIM($G$2:$G$518)&amp;TRIM($I$2:$I$518)&amp;TRIM($J$2:$J$518))&lt;&gt;UPPER(TRIM($G220)&amp;TRIM($I220)&amp;TRIM($J220))))&gt;0), AND($X220&lt;&gt;"", LOWER(TRIM($X220))&lt;&gt;"n/a", LOWER(TRIM($X220))&lt;&gt;"na", SUMPRODUCT(--(UPPER(TRIM($X$2:$X$518))=UPPER(TRIM($X220))), --(UPPER(TRIM($B$2:$B$518))="YES"), --(UPPER(TRIM($G$2:$G$518)&amp;TRIM($I$2:$I$518)&amp;TRIM($J$2:$J$518))&lt;&gt;UPPER(TRIM($G220)&amp;TRIM($I220)&amp;TRIM($J220))))&gt;0), AND($Y220&lt;&gt;"", LOWER(TRIM($Y220))&lt;&gt;"n/a", LOWER(TRIM($Y220))&lt;&gt;"na", SUMPRODUCT(--(UPPER(SUBSTITUTE(SUBSTITUTE(TRIM($Y$2:$Y$518),":",""),"-",""))=UPPER(SUBSTITUTE(SUBSTITUTE(TRIM($Y220),":",""),"-",""))), --(UPPER(TRIM($B$2:$B$518))="YES"), --(UPPER(TRIM($G$2:$G$518)&amp;TRIM($I$2:$I$518)&amp;TRIM($J$2:$J$518))&lt;&gt;UPPER(TRIM($G220)&amp;TRIM($I220)&amp;TRIM($J220))))&gt;0), AND($AB220&lt;&gt;"", LOWER(TRIM($AB220))&lt;&gt;"n/a", LOWER(TRIM($AB220))&lt;&gt;"na", SUMPRODUCT(--(UPPER(TRIM($AB$2:$AB$518))=UPPER(TRIM($AB220))), --(UPPER(TRIM($B$2:$B$518))="YES"), --(UPPER(TRIM($G$2:$G$518)&amp;TRIM($I$2:$I$518)&amp;TRIM($J$2:$J$518))&lt;&gt;UPPER(TRIM($G220)&amp;TRIM($I220)&amp;TRIM($J220))))&gt;0), AND($AH220&lt;&gt;"", LOWER(TRIM($AH220))&lt;&gt;"n/a", LOWER(TRIM($AH220))&lt;&gt;"na", SUMPRODUCT(--(UPPER(SUBSTITUTE(SUBSTITUTE(TRIM($AH$2:$AH$518),":",""),"-",""))=UPPER(SUBSTITUTE(SUBSTITUTE(TRIM($AH220),":",""),"-",""))), --(UPPER(TRIM($B$2:$B$518))="YES"), --(UPPER(TRIM($G$2:$G$518)&amp;TRIM($I$2:$I$518)&amp;TRIM($J$2:$J$518))&lt;&gt;UPPER(TRIM($G220)&amp;TRIM($I220)&amp;TRIM($J220))))&gt;0), AND($AP220&lt;&gt;"", LOWER(TRIM($AP220))&lt;&gt;"n/a", LOWER(TRIM($AP220))&lt;&gt;"na", SUMPRODUCT(--(UPPER(TRIM($AP$2:$AP$518))=UPPER(TRIM($AP220))), --(UPPER(TRIM($B$2:$B$518))="YES"), --(UPPER(TRIM($G$2:$G$518)&amp;TRIM($I$2:$I$518)&amp;TRIM($J$2:$J$518))&lt;&gt;UPPER(TRIM($G220)&amp;TRIM($I220)&amp;TRIM($J220))))&gt;0), AND($AQ220&lt;&gt;"", LOWER(TRIM($AQ220))&lt;&gt;"n/a", LOWER(TRIM($AQ220))&lt;&gt;"na", SUMPRODUCT(--(UPPER(TRIM($AQ$2:$AQ$518))=UPPER(TRIM($AQ220))), --(UPPER(TRIM($B$2:$B$518))="YES"), --(UPPER(TRIM($G$2:$G$518)&amp;TRIM($I$2:$I$518)&amp;TRIM($J$2:$J$518))&lt;&gt;UPPER(TRIM($G220)&amp;TRIM($I220)&amp;TRIM($J220))))&gt;0)), "Yes", "No"))</f>
        <v/>
      </c>
      <c r="G220" t="inlineStr">
        <is>
          <t>1 Marcus</t>
        </is>
      </c>
      <c r="H220" t="inlineStr">
        <is>
          <t>MEETH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X220" t="inlineStr">
        <is>
          <t>MEETH-MACH-U</t>
        </is>
      </c>
      <c r="Y220" t="inlineStr">
        <is>
          <t>A0F5097BA067</t>
        </is>
      </c>
      <c r="AB220" t="inlineStr">
        <is>
          <t>WA25300338</t>
        </is>
      </c>
      <c r="BZ220" t="inlineStr">
        <is>
          <t>In Storage</t>
        </is>
      </c>
      <c r="CD220">
        <f>IF($Y220="","",IF((IF(AND($BR220&lt;&gt;"Yes",$BR220&lt;&gt;"N/A"),"Power Cable, ","")&amp;IF(AND($BS220&lt;&gt;"Yes",$BS220&lt;&gt;"N/A"),"Battery, ","")&amp;IF(AND($AD220&lt;&gt;"Yes",$AD220&lt;&gt;"N/A"),"Firmware Download, ","")&amp;IF(AND(OR($AD220="Yes",$AD220="N/A"),$AE220&lt;&gt;"Yes",$AE220&lt;&gt;"N/A"),"Firmware Install, ","")&amp;IF(AND($CB220&lt;&gt;"Yes",$CB220&lt;&gt;"N/A"),"Device ID, ","")&amp;IF(AND($CC220&lt;&gt;"Yes",$CC220&lt;&gt;"N/A"),"Epic Beans Relay, ",""))="","",LEFT(IF(AND($BR220&lt;&gt;"Yes",$BR220&lt;&gt;"N/A"),"Power Cable, ","")&amp;IF(AND($BS220&lt;&gt;"Yes",$BS220&lt;&gt;"N/A"),"Battery, ","")&amp;IF(AND($AD220&lt;&gt;"Yes",$AD220&lt;&gt;"N/A"),"Firmware Download, ","")&amp;IF(AND(OR($AD220="Yes",$AD220="N/A"),$AE220&lt;&gt;"Yes",$AE220&lt;&gt;"N/A"),"Firmware Install, ","")&amp;IF(AND($CB220&lt;&gt;"Yes",$CB220&lt;&gt;"N/A"),"Device ID, ","")&amp;IF(AND($CC220&lt;&gt;"Yes",$CC220&lt;&gt;"N/A"),"Epic Beans Relay, ",""),LEN(IF(AND($BR220&lt;&gt;"Yes",$BR220&lt;&gt;"N/A"),"Power Cable, ","")&amp;IF(AND($BS220&lt;&gt;"Yes",$BS220&lt;&gt;"N/A"),"Battery, ","")&amp;IF(AND($AD220&lt;&gt;"Yes",$AD220&lt;&gt;"N/A"),"Firmware Download, ","")&amp;IF(AND(OR($AD220="Yes",$AD220="N/A"),$AE220&lt;&gt;"Yes",$AE220&lt;&gt;"N/A"),"Firmware Install, ","")&amp;IF(AND($CB220&lt;&gt;"Yes",$CB220&lt;&gt;"N/A"),"Device ID, ","")&amp;IF(AND($CC220&lt;&gt;"Yes",$CC220&lt;&gt;"N/A"),"Epic Beans Relay, ",""))-2)))</f>
        <v/>
      </c>
      <c r="CE220">
        <f>IF($Y220="","",IF($CD220="","Yes","Blocked"))</f>
        <v/>
      </c>
      <c r="CP220">
        <f>IF($CO220="","",IFERROR(VLOOKUP($CO220,'01_Warehouse_Ledger'!$A:$N,4,FALSE),""))</f>
        <v/>
      </c>
      <c r="CQ220">
        <f>IF($CO220="","",IFERROR(VLOOKUP($CO220,'01_Warehouse_Ledger'!$A:$N,5,FALSE),""))</f>
        <v/>
      </c>
      <c r="CR220">
        <f>IF($CO220="","",IFERROR(VLOOKUP($CO220,'01_Warehouse_Ledger'!$A:$N,13,FALSE),""))</f>
        <v/>
      </c>
      <c r="CW220">
        <f>IF($S220="","",IF(UPPER(TRIM($S220))&lt;&gt;"PASS","",IF(LEN(TRIM($BY220))&gt;0,"NOTES_PRESENT",IF(LEN(TRIM($T220))=0,"SET_NA",IF(OR(LOWER(TRIM($T220))="na",LOWER(TRIM($T220))="n/a"),"OK","MANUAL_OVERRIDE")))))</f>
        <v/>
      </c>
    </row>
    <row r="221">
      <c r="A221" t="inlineStr">
        <is>
          <t>Neuron</t>
        </is>
      </c>
      <c r="B221" s="5" t="inlineStr">
        <is>
          <t>No</t>
        </is>
      </c>
      <c r="C221" t="inlineStr">
        <is>
          <t>No</t>
        </is>
      </c>
      <c r="D221">
        <f>IF($B221&lt;&gt;"Yes","",IF($C221="No","Yes",IF($C221="Yes","No","")))</f>
        <v/>
      </c>
      <c r="E221">
        <f>IF($A221="","",IF(OR(AND($V221&lt;&gt;"",LOWER(TRIM($V221))&lt;&gt;"n/a",LOWER(TRIM($V221))&lt;&gt;"na",SUMPRODUCT(--(UPPER(TRIM($V$2:$V$518))=UPPER(TRIM($V221))),--(TRIM($V$2:$V$518)&lt;&gt;""),--(LOWER(TRIM($V$2:$V$518))&lt;&gt;"n/a"),--(LOWER(TRIM($V$2:$V$518))&lt;&gt;"na"))&gt;1),AND($W221&lt;&gt;"",LOWER(TRIM($W221))&lt;&gt;"n/a",LOWER(TRIM($W221))&lt;&gt;"na",SUMPRODUCT(--(UPPER(TRIM($W$2:$W$518))=UPPER(TRIM($W221))),--(TRIM($W$2:$W$518)&lt;&gt;""),--(LOWER(TRIM($W$2:$W$518))&lt;&gt;"n/a"),--(LOWER(TRIM($W$2:$W$518))&lt;&gt;"na"))&gt;1),AND($X221&lt;&gt;"",LOWER(TRIM($X221))&lt;&gt;"n/a",LOWER(TRIM($X221))&lt;&gt;"na",SUMPRODUCT(--(UPPER(TRIM($X$2:$X$518))=UPPER(TRIM($X221))),--(TRIM($X$2:$X$518)&lt;&gt;""),--(LOWER(TRIM($X$2:$X$518))&lt;&gt;"n/a"),--(LOWER(TRIM($X$2:$X$518))&lt;&gt;"na"))&gt;1),AND($Y221&lt;&gt;"",LOWER(TRIM($Y221))&lt;&gt;"n/a",LOWER(TRIM($Y221))&lt;&gt;"na",SUMPRODUCT(--(UPPER(SUBSTITUTE(SUBSTITUTE(TRIM($Y$2:$Y$518),":",""),"-",""))=UPPER(SUBSTITUTE(SUBSTITUTE(TRIM($Y221),":",""),"-",""))),--(TRIM($Y$2:$Y$518)&lt;&gt;""),--(LOWER(TRIM($Y$2:$Y$518))&lt;&gt;"n/a"),--(LOWER(TRIM($Y$2:$Y$518))&lt;&gt;"na"))&gt;1),AND($AB221&lt;&gt;"",LOWER(TRIM($AB221))&lt;&gt;"n/a",LOWER(TRIM($AB221))&lt;&gt;"na",SUMPRODUCT(--(UPPER(TRIM($AB$2:$AB$518))=UPPER(TRIM($AB221))),--(TRIM($AB$2:$AB$518)&lt;&gt;""),--(LOWER(TRIM($AB$2:$AB$518))&lt;&gt;"n/a"),--(LOWER(TRIM($AB$2:$AB$518))&lt;&gt;"na"))&gt;1),AND($AH221&lt;&gt;"",LOWER(TRIM($AH221))&lt;&gt;"n/a",LOWER(TRIM($AH221))&lt;&gt;"na",SUMPRODUCT(--(UPPER(SUBSTITUTE(SUBSTITUTE(TRIM($AH$2:$AH$518),":",""),"-",""))=UPPER(SUBSTITUTE(SUBSTITUTE(TRIM($AH221),":",""),"-",""))),--(TRIM($AH$2:$AH$518)&lt;&gt;""),--(LOWER(TRIM($AH$2:$AH$518))&lt;&gt;"n/a"),--(LOWER(TRIM($AH$2:$AH$518))&lt;&gt;"na"))&gt;1),AND($AP221&lt;&gt;"",LOWER(TRIM($AP221))&lt;&gt;"n/a",LOWER(TRIM($AP221))&lt;&gt;"na",SUMPRODUCT(--(UPPER(TRIM($AP$2:$AP$518))=UPPER(TRIM($AP221))),--(TRIM($AP$2:$AP$518)&lt;&gt;""),--(LOWER(TRIM($AP$2:$AP$518))&lt;&gt;"n/a"),--(LOWER(TRIM($AP$2:$AP$518))&lt;&gt;"na"))&gt;1),AND($AQ221&lt;&gt;"",LOWER(TRIM($AQ221))&lt;&gt;"n/a",LOWER(TRIM($AQ221))&lt;&gt;"na",SUMPRODUCT(--(UPPER(TRIM($AQ$2:$AQ$518))=UPPER(TRIM($AQ221))),--(TRIM($AQ$2:$AQ$518)&lt;&gt;""),--(LOWER(TRIM($AQ$2:$AQ$518))&lt;&gt;"n/a"),--(LOWER(TRIM($AQ$2:$AQ$518))&lt;&gt;"na"))&gt;1)),"Yes","No"))</f>
        <v/>
      </c>
      <c r="F221">
        <f>IF(UPPER(TRIM($B221))&lt;&gt;"YES","", IF(OR(AND($V221&lt;&gt;"", LOWER(TRIM($V221))&lt;&gt;"n/a", LOWER(TRIM($V221))&lt;&gt;"na", SUMPRODUCT(--(UPPER(TRIM($V$2:$V$518))=UPPER(TRIM($V221))), --(UPPER(TRIM($B$2:$B$518))="YES"), --(UPPER(TRIM($G$2:$G$518)&amp;TRIM($I$2:$I$518)&amp;TRIM($J$2:$J$518))&lt;&gt;UPPER(TRIM($G221)&amp;TRIM($I221)&amp;TRIM($J221))))&gt;0), AND($W221&lt;&gt;"", LOWER(TRIM($W221))&lt;&gt;"n/a", LOWER(TRIM($W221))&lt;&gt;"na", SUMPRODUCT(--(UPPER(TRIM($W$2:$W$518))=UPPER(TRIM($W221))), --(UPPER(TRIM($B$2:$B$518))="YES"), --(UPPER(TRIM($G$2:$G$518)&amp;TRIM($I$2:$I$518)&amp;TRIM($J$2:$J$518))&lt;&gt;UPPER(TRIM($G221)&amp;TRIM($I221)&amp;TRIM($J221))))&gt;0), AND($X221&lt;&gt;"", LOWER(TRIM($X221))&lt;&gt;"n/a", LOWER(TRIM($X221))&lt;&gt;"na", SUMPRODUCT(--(UPPER(TRIM($X$2:$X$518))=UPPER(TRIM($X221))), --(UPPER(TRIM($B$2:$B$518))="YES"), --(UPPER(TRIM($G$2:$G$518)&amp;TRIM($I$2:$I$518)&amp;TRIM($J$2:$J$518))&lt;&gt;UPPER(TRIM($G221)&amp;TRIM($I221)&amp;TRIM($J221))))&gt;0), AND($Y221&lt;&gt;"", LOWER(TRIM($Y221))&lt;&gt;"n/a", LOWER(TRIM($Y221))&lt;&gt;"na", SUMPRODUCT(--(UPPER(SUBSTITUTE(SUBSTITUTE(TRIM($Y$2:$Y$518),":",""),"-",""))=UPPER(SUBSTITUTE(SUBSTITUTE(TRIM($Y221),":",""),"-",""))), --(UPPER(TRIM($B$2:$B$518))="YES"), --(UPPER(TRIM($G$2:$G$518)&amp;TRIM($I$2:$I$518)&amp;TRIM($J$2:$J$518))&lt;&gt;UPPER(TRIM($G221)&amp;TRIM($I221)&amp;TRIM($J221))))&gt;0), AND($AB221&lt;&gt;"", LOWER(TRIM($AB221))&lt;&gt;"n/a", LOWER(TRIM($AB221))&lt;&gt;"na", SUMPRODUCT(--(UPPER(TRIM($AB$2:$AB$518))=UPPER(TRIM($AB221))), --(UPPER(TRIM($B$2:$B$518))="YES"), --(UPPER(TRIM($G$2:$G$518)&amp;TRIM($I$2:$I$518)&amp;TRIM($J$2:$J$518))&lt;&gt;UPPER(TRIM($G221)&amp;TRIM($I221)&amp;TRIM($J221))))&gt;0), AND($AH221&lt;&gt;"", LOWER(TRIM($AH221))&lt;&gt;"n/a", LOWER(TRIM($AH221))&lt;&gt;"na", SUMPRODUCT(--(UPPER(SUBSTITUTE(SUBSTITUTE(TRIM($AH$2:$AH$518),":",""),"-",""))=UPPER(SUBSTITUTE(SUBSTITUTE(TRIM($AH221),":",""),"-",""))), --(UPPER(TRIM($B$2:$B$518))="YES"), --(UPPER(TRIM($G$2:$G$518)&amp;TRIM($I$2:$I$518)&amp;TRIM($J$2:$J$518))&lt;&gt;UPPER(TRIM($G221)&amp;TRIM($I221)&amp;TRIM($J221))))&gt;0), AND($AP221&lt;&gt;"", LOWER(TRIM($AP221))&lt;&gt;"n/a", LOWER(TRIM($AP221))&lt;&gt;"na", SUMPRODUCT(--(UPPER(TRIM($AP$2:$AP$518))=UPPER(TRIM($AP221))), --(UPPER(TRIM($B$2:$B$518))="YES"), --(UPPER(TRIM($G$2:$G$518)&amp;TRIM($I$2:$I$518)&amp;TRIM($J$2:$J$518))&lt;&gt;UPPER(TRIM($G221)&amp;TRIM($I221)&amp;TRIM($J221))))&gt;0), AND($AQ221&lt;&gt;"", LOWER(TRIM($AQ221))&lt;&gt;"n/a", LOWER(TRIM($AQ221))&lt;&gt;"na", SUMPRODUCT(--(UPPER(TRIM($AQ$2:$AQ$518))=UPPER(TRIM($AQ221))), --(UPPER(TRIM($B$2:$B$518))="YES"), --(UPPER(TRIM($G$2:$G$518)&amp;TRIM($I$2:$I$518)&amp;TRIM($J$2:$J$518))&lt;&gt;UPPER(TRIM($G221)&amp;TRIM($I221)&amp;TRIM($J221))))&gt;0)), "Yes", "No"))</f>
        <v/>
      </c>
      <c r="G221" t="inlineStr">
        <is>
          <t>1 Marcus</t>
        </is>
      </c>
      <c r="H221" t="inlineStr">
        <is>
          <t>MEETH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X221" t="inlineStr">
        <is>
          <t>MEETH-MACH-V</t>
        </is>
      </c>
      <c r="Y221" t="inlineStr">
        <is>
          <t>A0F5097BA08B</t>
        </is>
      </c>
      <c r="AB221" t="inlineStr">
        <is>
          <t>WA25300267</t>
        </is>
      </c>
      <c r="BZ221" t="inlineStr">
        <is>
          <t>In Storage</t>
        </is>
      </c>
      <c r="CD221">
        <f>IF($Y221="","",IF((IF(AND($BR221&lt;&gt;"Yes",$BR221&lt;&gt;"N/A"),"Power Cable, ","")&amp;IF(AND($BS221&lt;&gt;"Yes",$BS221&lt;&gt;"N/A"),"Battery, ","")&amp;IF(AND($AD221&lt;&gt;"Yes",$AD221&lt;&gt;"N/A"),"Firmware Download, ","")&amp;IF(AND(OR($AD221="Yes",$AD221="N/A"),$AE221&lt;&gt;"Yes",$AE221&lt;&gt;"N/A"),"Firmware Install, ","")&amp;IF(AND($CB221&lt;&gt;"Yes",$CB221&lt;&gt;"N/A"),"Device ID, ","")&amp;IF(AND($CC221&lt;&gt;"Yes",$CC221&lt;&gt;"N/A"),"Epic Beans Relay, ",""))="","",LEFT(IF(AND($BR221&lt;&gt;"Yes",$BR221&lt;&gt;"N/A"),"Power Cable, ","")&amp;IF(AND($BS221&lt;&gt;"Yes",$BS221&lt;&gt;"N/A"),"Battery, ","")&amp;IF(AND($AD221&lt;&gt;"Yes",$AD221&lt;&gt;"N/A"),"Firmware Download, ","")&amp;IF(AND(OR($AD221="Yes",$AD221="N/A"),$AE221&lt;&gt;"Yes",$AE221&lt;&gt;"N/A"),"Firmware Install, ","")&amp;IF(AND($CB221&lt;&gt;"Yes",$CB221&lt;&gt;"N/A"),"Device ID, ","")&amp;IF(AND($CC221&lt;&gt;"Yes",$CC221&lt;&gt;"N/A"),"Epic Beans Relay, ",""),LEN(IF(AND($BR221&lt;&gt;"Yes",$BR221&lt;&gt;"N/A"),"Power Cable, ","")&amp;IF(AND($BS221&lt;&gt;"Yes",$BS221&lt;&gt;"N/A"),"Battery, ","")&amp;IF(AND($AD221&lt;&gt;"Yes",$AD221&lt;&gt;"N/A"),"Firmware Download, ","")&amp;IF(AND(OR($AD221="Yes",$AD221="N/A"),$AE221&lt;&gt;"Yes",$AE221&lt;&gt;"N/A"),"Firmware Install, ","")&amp;IF(AND($CB221&lt;&gt;"Yes",$CB221&lt;&gt;"N/A"),"Device ID, ","")&amp;IF(AND($CC221&lt;&gt;"Yes",$CC221&lt;&gt;"N/A"),"Epic Beans Relay, ",""))-2)))</f>
        <v/>
      </c>
      <c r="CE221">
        <f>IF($Y221="","",IF($CD221="","Yes","Blocked"))</f>
        <v/>
      </c>
      <c r="CP221">
        <f>IF($CO221="","",IFERROR(VLOOKUP($CO221,'01_Warehouse_Ledger'!$A:$N,4,FALSE),""))</f>
        <v/>
      </c>
      <c r="CQ221">
        <f>IF($CO221="","",IFERROR(VLOOKUP($CO221,'01_Warehouse_Ledger'!$A:$N,5,FALSE),""))</f>
        <v/>
      </c>
      <c r="CR221">
        <f>IF($CO221="","",IFERROR(VLOOKUP($CO221,'01_Warehouse_Ledger'!$A:$N,13,FALSE),""))</f>
        <v/>
      </c>
      <c r="CW221">
        <f>IF($S221="","",IF(UPPER(TRIM($S221))&lt;&gt;"PASS","",IF(LEN(TRIM($BY221))&gt;0,"NOTES_PRESENT",IF(LEN(TRIM($T221))=0,"SET_NA",IF(OR(LOWER(TRIM($T221))="na",LOWER(TRIM($T221))="n/a"),"OK","MANUAL_OVERRIDE")))))</f>
        <v/>
      </c>
    </row>
    <row r="222">
      <c r="A222" t="inlineStr">
        <is>
          <t>Neuron</t>
        </is>
      </c>
      <c r="B222" s="5" t="inlineStr">
        <is>
          <t>No</t>
        </is>
      </c>
      <c r="C222" t="inlineStr">
        <is>
          <t>No</t>
        </is>
      </c>
      <c r="D222">
        <f>IF($B222&lt;&gt;"Yes","",IF($C222="No","Yes",IF($C222="Yes","No","")))</f>
        <v/>
      </c>
      <c r="E222">
        <f>IF($A222="","",IF(OR(AND($V222&lt;&gt;"",LOWER(TRIM($V222))&lt;&gt;"n/a",LOWER(TRIM($V222))&lt;&gt;"na",SUMPRODUCT(--(UPPER(TRIM($V$2:$V$518))=UPPER(TRIM($V222))),--(TRIM($V$2:$V$518)&lt;&gt;""),--(LOWER(TRIM($V$2:$V$518))&lt;&gt;"n/a"),--(LOWER(TRIM($V$2:$V$518))&lt;&gt;"na"))&gt;1),AND($W222&lt;&gt;"",LOWER(TRIM($W222))&lt;&gt;"n/a",LOWER(TRIM($W222))&lt;&gt;"na",SUMPRODUCT(--(UPPER(TRIM($W$2:$W$518))=UPPER(TRIM($W222))),--(TRIM($W$2:$W$518)&lt;&gt;""),--(LOWER(TRIM($W$2:$W$518))&lt;&gt;"n/a"),--(LOWER(TRIM($W$2:$W$518))&lt;&gt;"na"))&gt;1),AND($X222&lt;&gt;"",LOWER(TRIM($X222))&lt;&gt;"n/a",LOWER(TRIM($X222))&lt;&gt;"na",SUMPRODUCT(--(UPPER(TRIM($X$2:$X$518))=UPPER(TRIM($X222))),--(TRIM($X$2:$X$518)&lt;&gt;""),--(LOWER(TRIM($X$2:$X$518))&lt;&gt;"n/a"),--(LOWER(TRIM($X$2:$X$518))&lt;&gt;"na"))&gt;1),AND($Y222&lt;&gt;"",LOWER(TRIM($Y222))&lt;&gt;"n/a",LOWER(TRIM($Y222))&lt;&gt;"na",SUMPRODUCT(--(UPPER(SUBSTITUTE(SUBSTITUTE(TRIM($Y$2:$Y$518),":",""),"-",""))=UPPER(SUBSTITUTE(SUBSTITUTE(TRIM($Y222),":",""),"-",""))),--(TRIM($Y$2:$Y$518)&lt;&gt;""),--(LOWER(TRIM($Y$2:$Y$518))&lt;&gt;"n/a"),--(LOWER(TRIM($Y$2:$Y$518))&lt;&gt;"na"))&gt;1),AND($AB222&lt;&gt;"",LOWER(TRIM($AB222))&lt;&gt;"n/a",LOWER(TRIM($AB222))&lt;&gt;"na",SUMPRODUCT(--(UPPER(TRIM($AB$2:$AB$518))=UPPER(TRIM($AB222))),--(TRIM($AB$2:$AB$518)&lt;&gt;""),--(LOWER(TRIM($AB$2:$AB$518))&lt;&gt;"n/a"),--(LOWER(TRIM($AB$2:$AB$518))&lt;&gt;"na"))&gt;1),AND($AH222&lt;&gt;"",LOWER(TRIM($AH222))&lt;&gt;"n/a",LOWER(TRIM($AH222))&lt;&gt;"na",SUMPRODUCT(--(UPPER(SUBSTITUTE(SUBSTITUTE(TRIM($AH$2:$AH$518),":",""),"-",""))=UPPER(SUBSTITUTE(SUBSTITUTE(TRIM($AH222),":",""),"-",""))),--(TRIM($AH$2:$AH$518)&lt;&gt;""),--(LOWER(TRIM($AH$2:$AH$518))&lt;&gt;"n/a"),--(LOWER(TRIM($AH$2:$AH$518))&lt;&gt;"na"))&gt;1),AND($AP222&lt;&gt;"",LOWER(TRIM($AP222))&lt;&gt;"n/a",LOWER(TRIM($AP222))&lt;&gt;"na",SUMPRODUCT(--(UPPER(TRIM($AP$2:$AP$518))=UPPER(TRIM($AP222))),--(TRIM($AP$2:$AP$518)&lt;&gt;""),--(LOWER(TRIM($AP$2:$AP$518))&lt;&gt;"n/a"),--(LOWER(TRIM($AP$2:$AP$518))&lt;&gt;"na"))&gt;1),AND($AQ222&lt;&gt;"",LOWER(TRIM($AQ222))&lt;&gt;"n/a",LOWER(TRIM($AQ222))&lt;&gt;"na",SUMPRODUCT(--(UPPER(TRIM($AQ$2:$AQ$518))=UPPER(TRIM($AQ222))),--(TRIM($AQ$2:$AQ$518)&lt;&gt;""),--(LOWER(TRIM($AQ$2:$AQ$518))&lt;&gt;"n/a"),--(LOWER(TRIM($AQ$2:$AQ$518))&lt;&gt;"na"))&gt;1)),"Yes","No"))</f>
        <v/>
      </c>
      <c r="F222">
        <f>IF(UPPER(TRIM($B222))&lt;&gt;"YES","", IF(OR(AND($V222&lt;&gt;"", LOWER(TRIM($V222))&lt;&gt;"n/a", LOWER(TRIM($V222))&lt;&gt;"na", SUMPRODUCT(--(UPPER(TRIM($V$2:$V$518))=UPPER(TRIM($V222))), --(UPPER(TRIM($B$2:$B$518))="YES"), --(UPPER(TRIM($G$2:$G$518)&amp;TRIM($I$2:$I$518)&amp;TRIM($J$2:$J$518))&lt;&gt;UPPER(TRIM($G222)&amp;TRIM($I222)&amp;TRIM($J222))))&gt;0), AND($W222&lt;&gt;"", LOWER(TRIM($W222))&lt;&gt;"n/a", LOWER(TRIM($W222))&lt;&gt;"na", SUMPRODUCT(--(UPPER(TRIM($W$2:$W$518))=UPPER(TRIM($W222))), --(UPPER(TRIM($B$2:$B$518))="YES"), --(UPPER(TRIM($G$2:$G$518)&amp;TRIM($I$2:$I$518)&amp;TRIM($J$2:$J$518))&lt;&gt;UPPER(TRIM($G222)&amp;TRIM($I222)&amp;TRIM($J222))))&gt;0), AND($X222&lt;&gt;"", LOWER(TRIM($X222))&lt;&gt;"n/a", LOWER(TRIM($X222))&lt;&gt;"na", SUMPRODUCT(--(UPPER(TRIM($X$2:$X$518))=UPPER(TRIM($X222))), --(UPPER(TRIM($B$2:$B$518))="YES"), --(UPPER(TRIM($G$2:$G$518)&amp;TRIM($I$2:$I$518)&amp;TRIM($J$2:$J$518))&lt;&gt;UPPER(TRIM($G222)&amp;TRIM($I222)&amp;TRIM($J222))))&gt;0), AND($Y222&lt;&gt;"", LOWER(TRIM($Y222))&lt;&gt;"n/a", LOWER(TRIM($Y222))&lt;&gt;"na", SUMPRODUCT(--(UPPER(SUBSTITUTE(SUBSTITUTE(TRIM($Y$2:$Y$518),":",""),"-",""))=UPPER(SUBSTITUTE(SUBSTITUTE(TRIM($Y222),":",""),"-",""))), --(UPPER(TRIM($B$2:$B$518))="YES"), --(UPPER(TRIM($G$2:$G$518)&amp;TRIM($I$2:$I$518)&amp;TRIM($J$2:$J$518))&lt;&gt;UPPER(TRIM($G222)&amp;TRIM($I222)&amp;TRIM($J222))))&gt;0), AND($AB222&lt;&gt;"", LOWER(TRIM($AB222))&lt;&gt;"n/a", LOWER(TRIM($AB222))&lt;&gt;"na", SUMPRODUCT(--(UPPER(TRIM($AB$2:$AB$518))=UPPER(TRIM($AB222))), --(UPPER(TRIM($B$2:$B$518))="YES"), --(UPPER(TRIM($G$2:$G$518)&amp;TRIM($I$2:$I$518)&amp;TRIM($J$2:$J$518))&lt;&gt;UPPER(TRIM($G222)&amp;TRIM($I222)&amp;TRIM($J222))))&gt;0), AND($AH222&lt;&gt;"", LOWER(TRIM($AH222))&lt;&gt;"n/a", LOWER(TRIM($AH222))&lt;&gt;"na", SUMPRODUCT(--(UPPER(SUBSTITUTE(SUBSTITUTE(TRIM($AH$2:$AH$518),":",""),"-",""))=UPPER(SUBSTITUTE(SUBSTITUTE(TRIM($AH222),":",""),"-",""))), --(UPPER(TRIM($B$2:$B$518))="YES"), --(UPPER(TRIM($G$2:$G$518)&amp;TRIM($I$2:$I$518)&amp;TRIM($J$2:$J$518))&lt;&gt;UPPER(TRIM($G222)&amp;TRIM($I222)&amp;TRIM($J222))))&gt;0), AND($AP222&lt;&gt;"", LOWER(TRIM($AP222))&lt;&gt;"n/a", LOWER(TRIM($AP222))&lt;&gt;"na", SUMPRODUCT(--(UPPER(TRIM($AP$2:$AP$518))=UPPER(TRIM($AP222))), --(UPPER(TRIM($B$2:$B$518))="YES"), --(UPPER(TRIM($G$2:$G$518)&amp;TRIM($I$2:$I$518)&amp;TRIM($J$2:$J$518))&lt;&gt;UPPER(TRIM($G222)&amp;TRIM($I222)&amp;TRIM($J222))))&gt;0), AND($AQ222&lt;&gt;"", LOWER(TRIM($AQ222))&lt;&gt;"n/a", LOWER(TRIM($AQ222))&lt;&gt;"na", SUMPRODUCT(--(UPPER(TRIM($AQ$2:$AQ$518))=UPPER(TRIM($AQ222))), --(UPPER(TRIM($B$2:$B$518))="YES"), --(UPPER(TRIM($G$2:$G$518)&amp;TRIM($I$2:$I$518)&amp;TRIM($J$2:$J$518))&lt;&gt;UPPER(TRIM($G222)&amp;TRIM($I222)&amp;TRIM($J222))))&gt;0)), "Yes", "No"))</f>
        <v/>
      </c>
      <c r="G222" t="inlineStr">
        <is>
          <t>1 Marcus</t>
        </is>
      </c>
      <c r="H222" t="inlineStr">
        <is>
          <t>MEETH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X222" t="inlineStr">
        <is>
          <t>MEETH-MACH-W</t>
        </is>
      </c>
      <c r="Y222" t="inlineStr">
        <is>
          <t>A0F5097B969A</t>
        </is>
      </c>
      <c r="AB222" t="inlineStr">
        <is>
          <t>WA25300268</t>
        </is>
      </c>
      <c r="BZ222" t="inlineStr">
        <is>
          <t>In Storage</t>
        </is>
      </c>
      <c r="CD222">
        <f>IF($Y222="","",IF((IF(AND($BR222&lt;&gt;"Yes",$BR222&lt;&gt;"N/A"),"Power Cable, ","")&amp;IF(AND($BS222&lt;&gt;"Yes",$BS222&lt;&gt;"N/A"),"Battery, ","")&amp;IF(AND($AD222&lt;&gt;"Yes",$AD222&lt;&gt;"N/A"),"Firmware Download, ","")&amp;IF(AND(OR($AD222="Yes",$AD222="N/A"),$AE222&lt;&gt;"Yes",$AE222&lt;&gt;"N/A"),"Firmware Install, ","")&amp;IF(AND($CB222&lt;&gt;"Yes",$CB222&lt;&gt;"N/A"),"Device ID, ","")&amp;IF(AND($CC222&lt;&gt;"Yes",$CC222&lt;&gt;"N/A"),"Epic Beans Relay, ",""))="","",LEFT(IF(AND($BR222&lt;&gt;"Yes",$BR222&lt;&gt;"N/A"),"Power Cable, ","")&amp;IF(AND($BS222&lt;&gt;"Yes",$BS222&lt;&gt;"N/A"),"Battery, ","")&amp;IF(AND($AD222&lt;&gt;"Yes",$AD222&lt;&gt;"N/A"),"Firmware Download, ","")&amp;IF(AND(OR($AD222="Yes",$AD222="N/A"),$AE222&lt;&gt;"Yes",$AE222&lt;&gt;"N/A"),"Firmware Install, ","")&amp;IF(AND($CB222&lt;&gt;"Yes",$CB222&lt;&gt;"N/A"),"Device ID, ","")&amp;IF(AND($CC222&lt;&gt;"Yes",$CC222&lt;&gt;"N/A"),"Epic Beans Relay, ",""),LEN(IF(AND($BR222&lt;&gt;"Yes",$BR222&lt;&gt;"N/A"),"Power Cable, ","")&amp;IF(AND($BS222&lt;&gt;"Yes",$BS222&lt;&gt;"N/A"),"Battery, ","")&amp;IF(AND($AD222&lt;&gt;"Yes",$AD222&lt;&gt;"N/A"),"Firmware Download, ","")&amp;IF(AND(OR($AD222="Yes",$AD222="N/A"),$AE222&lt;&gt;"Yes",$AE222&lt;&gt;"N/A"),"Firmware Install, ","")&amp;IF(AND($CB222&lt;&gt;"Yes",$CB222&lt;&gt;"N/A"),"Device ID, ","")&amp;IF(AND($CC222&lt;&gt;"Yes",$CC222&lt;&gt;"N/A"),"Epic Beans Relay, ",""))-2)))</f>
        <v/>
      </c>
      <c r="CE222">
        <f>IF($Y222="","",IF($CD222="","Yes","Blocked"))</f>
        <v/>
      </c>
      <c r="CP222">
        <f>IF($CO222="","",IFERROR(VLOOKUP($CO222,'01_Warehouse_Ledger'!$A:$N,4,FALSE),""))</f>
        <v/>
      </c>
      <c r="CQ222">
        <f>IF($CO222="","",IFERROR(VLOOKUP($CO222,'01_Warehouse_Ledger'!$A:$N,5,FALSE),""))</f>
        <v/>
      </c>
      <c r="CR222">
        <f>IF($CO222="","",IFERROR(VLOOKUP($CO222,'01_Warehouse_Ledger'!$A:$N,13,FALSE),""))</f>
        <v/>
      </c>
      <c r="CW222">
        <f>IF($S222="","",IF(UPPER(TRIM($S222))&lt;&gt;"PASS","",IF(LEN(TRIM($BY222))&gt;0,"NOTES_PRESENT",IF(LEN(TRIM($T222))=0,"SET_NA",IF(OR(LOWER(TRIM($T222))="na",LOWER(TRIM($T222))="n/a"),"OK","MANUAL_OVERRIDE")))))</f>
        <v/>
      </c>
    </row>
    <row r="223">
      <c r="A223" t="inlineStr">
        <is>
          <t>Neuron</t>
        </is>
      </c>
      <c r="B223" s="5" t="inlineStr">
        <is>
          <t>No</t>
        </is>
      </c>
      <c r="C223" t="inlineStr">
        <is>
          <t>No</t>
        </is>
      </c>
      <c r="D223">
        <f>IF($B223&lt;&gt;"Yes","",IF($C223="No","Yes",IF($C223="Yes","No","")))</f>
        <v/>
      </c>
      <c r="E223">
        <f>IF($A223="","",IF(OR(AND($V223&lt;&gt;"",LOWER(TRIM($V223))&lt;&gt;"n/a",LOWER(TRIM($V223))&lt;&gt;"na",SUMPRODUCT(--(UPPER(TRIM($V$2:$V$518))=UPPER(TRIM($V223))),--(TRIM($V$2:$V$518)&lt;&gt;""),--(LOWER(TRIM($V$2:$V$518))&lt;&gt;"n/a"),--(LOWER(TRIM($V$2:$V$518))&lt;&gt;"na"))&gt;1),AND($W223&lt;&gt;"",LOWER(TRIM($W223))&lt;&gt;"n/a",LOWER(TRIM($W223))&lt;&gt;"na",SUMPRODUCT(--(UPPER(TRIM($W$2:$W$518))=UPPER(TRIM($W223))),--(TRIM($W$2:$W$518)&lt;&gt;""),--(LOWER(TRIM($W$2:$W$518))&lt;&gt;"n/a"),--(LOWER(TRIM($W$2:$W$518))&lt;&gt;"na"))&gt;1),AND($X223&lt;&gt;"",LOWER(TRIM($X223))&lt;&gt;"n/a",LOWER(TRIM($X223))&lt;&gt;"na",SUMPRODUCT(--(UPPER(TRIM($X$2:$X$518))=UPPER(TRIM($X223))),--(TRIM($X$2:$X$518)&lt;&gt;""),--(LOWER(TRIM($X$2:$X$518))&lt;&gt;"n/a"),--(LOWER(TRIM($X$2:$X$518))&lt;&gt;"na"))&gt;1),AND($Y223&lt;&gt;"",LOWER(TRIM($Y223))&lt;&gt;"n/a",LOWER(TRIM($Y223))&lt;&gt;"na",SUMPRODUCT(--(UPPER(SUBSTITUTE(SUBSTITUTE(TRIM($Y$2:$Y$518),":",""),"-",""))=UPPER(SUBSTITUTE(SUBSTITUTE(TRIM($Y223),":",""),"-",""))),--(TRIM($Y$2:$Y$518)&lt;&gt;""),--(LOWER(TRIM($Y$2:$Y$518))&lt;&gt;"n/a"),--(LOWER(TRIM($Y$2:$Y$518))&lt;&gt;"na"))&gt;1),AND($AB223&lt;&gt;"",LOWER(TRIM($AB223))&lt;&gt;"n/a",LOWER(TRIM($AB223))&lt;&gt;"na",SUMPRODUCT(--(UPPER(TRIM($AB$2:$AB$518))=UPPER(TRIM($AB223))),--(TRIM($AB$2:$AB$518)&lt;&gt;""),--(LOWER(TRIM($AB$2:$AB$518))&lt;&gt;"n/a"),--(LOWER(TRIM($AB$2:$AB$518))&lt;&gt;"na"))&gt;1),AND($AH223&lt;&gt;"",LOWER(TRIM($AH223))&lt;&gt;"n/a",LOWER(TRIM($AH223))&lt;&gt;"na",SUMPRODUCT(--(UPPER(SUBSTITUTE(SUBSTITUTE(TRIM($AH$2:$AH$518),":",""),"-",""))=UPPER(SUBSTITUTE(SUBSTITUTE(TRIM($AH223),":",""),"-",""))),--(TRIM($AH$2:$AH$518)&lt;&gt;""),--(LOWER(TRIM($AH$2:$AH$518))&lt;&gt;"n/a"),--(LOWER(TRIM($AH$2:$AH$518))&lt;&gt;"na"))&gt;1),AND($AP223&lt;&gt;"",LOWER(TRIM($AP223))&lt;&gt;"n/a",LOWER(TRIM($AP223))&lt;&gt;"na",SUMPRODUCT(--(UPPER(TRIM($AP$2:$AP$518))=UPPER(TRIM($AP223))),--(TRIM($AP$2:$AP$518)&lt;&gt;""),--(LOWER(TRIM($AP$2:$AP$518))&lt;&gt;"n/a"),--(LOWER(TRIM($AP$2:$AP$518))&lt;&gt;"na"))&gt;1),AND($AQ223&lt;&gt;"",LOWER(TRIM($AQ223))&lt;&gt;"n/a",LOWER(TRIM($AQ223))&lt;&gt;"na",SUMPRODUCT(--(UPPER(TRIM($AQ$2:$AQ$518))=UPPER(TRIM($AQ223))),--(TRIM($AQ$2:$AQ$518)&lt;&gt;""),--(LOWER(TRIM($AQ$2:$AQ$518))&lt;&gt;"n/a"),--(LOWER(TRIM($AQ$2:$AQ$518))&lt;&gt;"na"))&gt;1)),"Yes","No"))</f>
        <v/>
      </c>
      <c r="F223">
        <f>IF(UPPER(TRIM($B223))&lt;&gt;"YES","", IF(OR(AND($V223&lt;&gt;"", LOWER(TRIM($V223))&lt;&gt;"n/a", LOWER(TRIM($V223))&lt;&gt;"na", SUMPRODUCT(--(UPPER(TRIM($V$2:$V$518))=UPPER(TRIM($V223))), --(UPPER(TRIM($B$2:$B$518))="YES"), --(UPPER(TRIM($G$2:$G$518)&amp;TRIM($I$2:$I$518)&amp;TRIM($J$2:$J$518))&lt;&gt;UPPER(TRIM($G223)&amp;TRIM($I223)&amp;TRIM($J223))))&gt;0), AND($W223&lt;&gt;"", LOWER(TRIM($W223))&lt;&gt;"n/a", LOWER(TRIM($W223))&lt;&gt;"na", SUMPRODUCT(--(UPPER(TRIM($W$2:$W$518))=UPPER(TRIM($W223))), --(UPPER(TRIM($B$2:$B$518))="YES"), --(UPPER(TRIM($G$2:$G$518)&amp;TRIM($I$2:$I$518)&amp;TRIM($J$2:$J$518))&lt;&gt;UPPER(TRIM($G223)&amp;TRIM($I223)&amp;TRIM($J223))))&gt;0), AND($X223&lt;&gt;"", LOWER(TRIM($X223))&lt;&gt;"n/a", LOWER(TRIM($X223))&lt;&gt;"na", SUMPRODUCT(--(UPPER(TRIM($X$2:$X$518))=UPPER(TRIM($X223))), --(UPPER(TRIM($B$2:$B$518))="YES"), --(UPPER(TRIM($G$2:$G$518)&amp;TRIM($I$2:$I$518)&amp;TRIM($J$2:$J$518))&lt;&gt;UPPER(TRIM($G223)&amp;TRIM($I223)&amp;TRIM($J223))))&gt;0), AND($Y223&lt;&gt;"", LOWER(TRIM($Y223))&lt;&gt;"n/a", LOWER(TRIM($Y223))&lt;&gt;"na", SUMPRODUCT(--(UPPER(SUBSTITUTE(SUBSTITUTE(TRIM($Y$2:$Y$518),":",""),"-",""))=UPPER(SUBSTITUTE(SUBSTITUTE(TRIM($Y223),":",""),"-",""))), --(UPPER(TRIM($B$2:$B$518))="YES"), --(UPPER(TRIM($G$2:$G$518)&amp;TRIM($I$2:$I$518)&amp;TRIM($J$2:$J$518))&lt;&gt;UPPER(TRIM($G223)&amp;TRIM($I223)&amp;TRIM($J223))))&gt;0), AND($AB223&lt;&gt;"", LOWER(TRIM($AB223))&lt;&gt;"n/a", LOWER(TRIM($AB223))&lt;&gt;"na", SUMPRODUCT(--(UPPER(TRIM($AB$2:$AB$518))=UPPER(TRIM($AB223))), --(UPPER(TRIM($B$2:$B$518))="YES"), --(UPPER(TRIM($G$2:$G$518)&amp;TRIM($I$2:$I$518)&amp;TRIM($J$2:$J$518))&lt;&gt;UPPER(TRIM($G223)&amp;TRIM($I223)&amp;TRIM($J223))))&gt;0), AND($AH223&lt;&gt;"", LOWER(TRIM($AH223))&lt;&gt;"n/a", LOWER(TRIM($AH223))&lt;&gt;"na", SUMPRODUCT(--(UPPER(SUBSTITUTE(SUBSTITUTE(TRIM($AH$2:$AH$518),":",""),"-",""))=UPPER(SUBSTITUTE(SUBSTITUTE(TRIM($AH223),":",""),"-",""))), --(UPPER(TRIM($B$2:$B$518))="YES"), --(UPPER(TRIM($G$2:$G$518)&amp;TRIM($I$2:$I$518)&amp;TRIM($J$2:$J$518))&lt;&gt;UPPER(TRIM($G223)&amp;TRIM($I223)&amp;TRIM($J223))))&gt;0), AND($AP223&lt;&gt;"", LOWER(TRIM($AP223))&lt;&gt;"n/a", LOWER(TRIM($AP223))&lt;&gt;"na", SUMPRODUCT(--(UPPER(TRIM($AP$2:$AP$518))=UPPER(TRIM($AP223))), --(UPPER(TRIM($B$2:$B$518))="YES"), --(UPPER(TRIM($G$2:$G$518)&amp;TRIM($I$2:$I$518)&amp;TRIM($J$2:$J$518))&lt;&gt;UPPER(TRIM($G223)&amp;TRIM($I223)&amp;TRIM($J223))))&gt;0), AND($AQ223&lt;&gt;"", LOWER(TRIM($AQ223))&lt;&gt;"n/a", LOWER(TRIM($AQ223))&lt;&gt;"na", SUMPRODUCT(--(UPPER(TRIM($AQ$2:$AQ$518))=UPPER(TRIM($AQ223))), --(UPPER(TRIM($B$2:$B$518))="YES"), --(UPPER(TRIM($G$2:$G$518)&amp;TRIM($I$2:$I$518)&amp;TRIM($J$2:$J$518))&lt;&gt;UPPER(TRIM($G223)&amp;TRIM($I223)&amp;TRIM($J223))))&gt;0)), "Yes", "No"))</f>
        <v/>
      </c>
      <c r="G223" t="inlineStr">
        <is>
          <t>1 Marcus</t>
        </is>
      </c>
      <c r="H223" t="inlineStr">
        <is>
          <t>CCMC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X223" t="inlineStr">
        <is>
          <t>CCMC-MACH-A</t>
        </is>
      </c>
      <c r="Y223" t="inlineStr">
        <is>
          <t>A0F5097B8C9F</t>
        </is>
      </c>
      <c r="AB223" t="inlineStr">
        <is>
          <t>WA25203887</t>
        </is>
      </c>
      <c r="BZ223" t="inlineStr">
        <is>
          <t>In Storage</t>
        </is>
      </c>
      <c r="CD223">
        <f>IF($Y223="","",IF((IF(AND($BR223&lt;&gt;"Yes",$BR223&lt;&gt;"N/A"),"Power Cable, ","")&amp;IF(AND($BS223&lt;&gt;"Yes",$BS223&lt;&gt;"N/A"),"Battery, ","")&amp;IF(AND($AD223&lt;&gt;"Yes",$AD223&lt;&gt;"N/A"),"Firmware Download, ","")&amp;IF(AND(OR($AD223="Yes",$AD223="N/A"),$AE223&lt;&gt;"Yes",$AE223&lt;&gt;"N/A"),"Firmware Install, ","")&amp;IF(AND($CB223&lt;&gt;"Yes",$CB223&lt;&gt;"N/A"),"Device ID, ","")&amp;IF(AND($CC223&lt;&gt;"Yes",$CC223&lt;&gt;"N/A"),"Epic Beans Relay, ",""))="","",LEFT(IF(AND($BR223&lt;&gt;"Yes",$BR223&lt;&gt;"N/A"),"Power Cable, ","")&amp;IF(AND($BS223&lt;&gt;"Yes",$BS223&lt;&gt;"N/A"),"Battery, ","")&amp;IF(AND($AD223&lt;&gt;"Yes",$AD223&lt;&gt;"N/A"),"Firmware Download, ","")&amp;IF(AND(OR($AD223="Yes",$AD223="N/A"),$AE223&lt;&gt;"Yes",$AE223&lt;&gt;"N/A"),"Firmware Install, ","")&amp;IF(AND($CB223&lt;&gt;"Yes",$CB223&lt;&gt;"N/A"),"Device ID, ","")&amp;IF(AND($CC223&lt;&gt;"Yes",$CC223&lt;&gt;"N/A"),"Epic Beans Relay, ",""),LEN(IF(AND($BR223&lt;&gt;"Yes",$BR223&lt;&gt;"N/A"),"Power Cable, ","")&amp;IF(AND($BS223&lt;&gt;"Yes",$BS223&lt;&gt;"N/A"),"Battery, ","")&amp;IF(AND($AD223&lt;&gt;"Yes",$AD223&lt;&gt;"N/A"),"Firmware Download, ","")&amp;IF(AND(OR($AD223="Yes",$AD223="N/A"),$AE223&lt;&gt;"Yes",$AE223&lt;&gt;"N/A"),"Firmware Install, ","")&amp;IF(AND($CB223&lt;&gt;"Yes",$CB223&lt;&gt;"N/A"),"Device ID, ","")&amp;IF(AND($CC223&lt;&gt;"Yes",$CC223&lt;&gt;"N/A"),"Epic Beans Relay, ",""))-2)))</f>
        <v/>
      </c>
      <c r="CE223">
        <f>IF($Y223="","",IF($CD223="","Yes","Blocked"))</f>
        <v/>
      </c>
      <c r="CP223">
        <f>IF($CO223="","",IFERROR(VLOOKUP($CO223,'01_Warehouse_Ledger'!$A:$N,4,FALSE),""))</f>
        <v/>
      </c>
      <c r="CQ223">
        <f>IF($CO223="","",IFERROR(VLOOKUP($CO223,'01_Warehouse_Ledger'!$A:$N,5,FALSE),""))</f>
        <v/>
      </c>
      <c r="CR223">
        <f>IF($CO223="","",IFERROR(VLOOKUP($CO223,'01_Warehouse_Ledger'!$A:$N,13,FALSE),""))</f>
        <v/>
      </c>
      <c r="CW223">
        <f>IF($S223="","",IF(UPPER(TRIM($S223))&lt;&gt;"PASS","",IF(LEN(TRIM($BY223))&gt;0,"NOTES_PRESENT",IF(LEN(TRIM($T223))=0,"SET_NA",IF(OR(LOWER(TRIM($T223))="na",LOWER(TRIM($T223))="n/a"),"OK","MANUAL_OVERRIDE")))))</f>
        <v/>
      </c>
    </row>
    <row r="224">
      <c r="A224" t="inlineStr">
        <is>
          <t>Neuron</t>
        </is>
      </c>
      <c r="B224" s="5" t="inlineStr">
        <is>
          <t>No</t>
        </is>
      </c>
      <c r="C224" t="inlineStr">
        <is>
          <t>No</t>
        </is>
      </c>
      <c r="D224">
        <f>IF($B224&lt;&gt;"Yes","",IF($C224="No","Yes",IF($C224="Yes","No","")))</f>
        <v/>
      </c>
      <c r="E224">
        <f>IF($A224="","",IF(OR(AND($V224&lt;&gt;"",LOWER(TRIM($V224))&lt;&gt;"n/a",LOWER(TRIM($V224))&lt;&gt;"na",SUMPRODUCT(--(UPPER(TRIM($V$2:$V$518))=UPPER(TRIM($V224))),--(TRIM($V$2:$V$518)&lt;&gt;""),--(LOWER(TRIM($V$2:$V$518))&lt;&gt;"n/a"),--(LOWER(TRIM($V$2:$V$518))&lt;&gt;"na"))&gt;1),AND($W224&lt;&gt;"",LOWER(TRIM($W224))&lt;&gt;"n/a",LOWER(TRIM($W224))&lt;&gt;"na",SUMPRODUCT(--(UPPER(TRIM($W$2:$W$518))=UPPER(TRIM($W224))),--(TRIM($W$2:$W$518)&lt;&gt;""),--(LOWER(TRIM($W$2:$W$518))&lt;&gt;"n/a"),--(LOWER(TRIM($W$2:$W$518))&lt;&gt;"na"))&gt;1),AND($X224&lt;&gt;"",LOWER(TRIM($X224))&lt;&gt;"n/a",LOWER(TRIM($X224))&lt;&gt;"na",SUMPRODUCT(--(UPPER(TRIM($X$2:$X$518))=UPPER(TRIM($X224))),--(TRIM($X$2:$X$518)&lt;&gt;""),--(LOWER(TRIM($X$2:$X$518))&lt;&gt;"n/a"),--(LOWER(TRIM($X$2:$X$518))&lt;&gt;"na"))&gt;1),AND($Y224&lt;&gt;"",LOWER(TRIM($Y224))&lt;&gt;"n/a",LOWER(TRIM($Y224))&lt;&gt;"na",SUMPRODUCT(--(UPPER(SUBSTITUTE(SUBSTITUTE(TRIM($Y$2:$Y$518),":",""),"-",""))=UPPER(SUBSTITUTE(SUBSTITUTE(TRIM($Y224),":",""),"-",""))),--(TRIM($Y$2:$Y$518)&lt;&gt;""),--(LOWER(TRIM($Y$2:$Y$518))&lt;&gt;"n/a"),--(LOWER(TRIM($Y$2:$Y$518))&lt;&gt;"na"))&gt;1),AND($AB224&lt;&gt;"",LOWER(TRIM($AB224))&lt;&gt;"n/a",LOWER(TRIM($AB224))&lt;&gt;"na",SUMPRODUCT(--(UPPER(TRIM($AB$2:$AB$518))=UPPER(TRIM($AB224))),--(TRIM($AB$2:$AB$518)&lt;&gt;""),--(LOWER(TRIM($AB$2:$AB$518))&lt;&gt;"n/a"),--(LOWER(TRIM($AB$2:$AB$518))&lt;&gt;"na"))&gt;1),AND($AH224&lt;&gt;"",LOWER(TRIM($AH224))&lt;&gt;"n/a",LOWER(TRIM($AH224))&lt;&gt;"na",SUMPRODUCT(--(UPPER(SUBSTITUTE(SUBSTITUTE(TRIM($AH$2:$AH$518),":",""),"-",""))=UPPER(SUBSTITUTE(SUBSTITUTE(TRIM($AH224),":",""),"-",""))),--(TRIM($AH$2:$AH$518)&lt;&gt;""),--(LOWER(TRIM($AH$2:$AH$518))&lt;&gt;"n/a"),--(LOWER(TRIM($AH$2:$AH$518))&lt;&gt;"na"))&gt;1),AND($AP224&lt;&gt;"",LOWER(TRIM($AP224))&lt;&gt;"n/a",LOWER(TRIM($AP224))&lt;&gt;"na",SUMPRODUCT(--(UPPER(TRIM($AP$2:$AP$518))=UPPER(TRIM($AP224))),--(TRIM($AP$2:$AP$518)&lt;&gt;""),--(LOWER(TRIM($AP$2:$AP$518))&lt;&gt;"n/a"),--(LOWER(TRIM($AP$2:$AP$518))&lt;&gt;"na"))&gt;1),AND($AQ224&lt;&gt;"",LOWER(TRIM($AQ224))&lt;&gt;"n/a",LOWER(TRIM($AQ224))&lt;&gt;"na",SUMPRODUCT(--(UPPER(TRIM($AQ$2:$AQ$518))=UPPER(TRIM($AQ224))),--(TRIM($AQ$2:$AQ$518)&lt;&gt;""),--(LOWER(TRIM($AQ$2:$AQ$518))&lt;&gt;"n/a"),--(LOWER(TRIM($AQ$2:$AQ$518))&lt;&gt;"na"))&gt;1)),"Yes","No"))</f>
        <v/>
      </c>
      <c r="F224">
        <f>IF(UPPER(TRIM($B224))&lt;&gt;"YES","", IF(OR(AND($V224&lt;&gt;"", LOWER(TRIM($V224))&lt;&gt;"n/a", LOWER(TRIM($V224))&lt;&gt;"na", SUMPRODUCT(--(UPPER(TRIM($V$2:$V$518))=UPPER(TRIM($V224))), --(UPPER(TRIM($B$2:$B$518))="YES"), --(UPPER(TRIM($G$2:$G$518)&amp;TRIM($I$2:$I$518)&amp;TRIM($J$2:$J$518))&lt;&gt;UPPER(TRIM($G224)&amp;TRIM($I224)&amp;TRIM($J224))))&gt;0), AND($W224&lt;&gt;"", LOWER(TRIM($W224))&lt;&gt;"n/a", LOWER(TRIM($W224))&lt;&gt;"na", SUMPRODUCT(--(UPPER(TRIM($W$2:$W$518))=UPPER(TRIM($W224))), --(UPPER(TRIM($B$2:$B$518))="YES"), --(UPPER(TRIM($G$2:$G$518)&amp;TRIM($I$2:$I$518)&amp;TRIM($J$2:$J$518))&lt;&gt;UPPER(TRIM($G224)&amp;TRIM($I224)&amp;TRIM($J224))))&gt;0), AND($X224&lt;&gt;"", LOWER(TRIM($X224))&lt;&gt;"n/a", LOWER(TRIM($X224))&lt;&gt;"na", SUMPRODUCT(--(UPPER(TRIM($X$2:$X$518))=UPPER(TRIM($X224))), --(UPPER(TRIM($B$2:$B$518))="YES"), --(UPPER(TRIM($G$2:$G$518)&amp;TRIM($I$2:$I$518)&amp;TRIM($J$2:$J$518))&lt;&gt;UPPER(TRIM($G224)&amp;TRIM($I224)&amp;TRIM($J224))))&gt;0), AND($Y224&lt;&gt;"", LOWER(TRIM($Y224))&lt;&gt;"n/a", LOWER(TRIM($Y224))&lt;&gt;"na", SUMPRODUCT(--(UPPER(SUBSTITUTE(SUBSTITUTE(TRIM($Y$2:$Y$518),":",""),"-",""))=UPPER(SUBSTITUTE(SUBSTITUTE(TRIM($Y224),":",""),"-",""))), --(UPPER(TRIM($B$2:$B$518))="YES"), --(UPPER(TRIM($G$2:$G$518)&amp;TRIM($I$2:$I$518)&amp;TRIM($J$2:$J$518))&lt;&gt;UPPER(TRIM($G224)&amp;TRIM($I224)&amp;TRIM($J224))))&gt;0), AND($AB224&lt;&gt;"", LOWER(TRIM($AB224))&lt;&gt;"n/a", LOWER(TRIM($AB224))&lt;&gt;"na", SUMPRODUCT(--(UPPER(TRIM($AB$2:$AB$518))=UPPER(TRIM($AB224))), --(UPPER(TRIM($B$2:$B$518))="YES"), --(UPPER(TRIM($G$2:$G$518)&amp;TRIM($I$2:$I$518)&amp;TRIM($J$2:$J$518))&lt;&gt;UPPER(TRIM($G224)&amp;TRIM($I224)&amp;TRIM($J224))))&gt;0), AND($AH224&lt;&gt;"", LOWER(TRIM($AH224))&lt;&gt;"n/a", LOWER(TRIM($AH224))&lt;&gt;"na", SUMPRODUCT(--(UPPER(SUBSTITUTE(SUBSTITUTE(TRIM($AH$2:$AH$518),":",""),"-",""))=UPPER(SUBSTITUTE(SUBSTITUTE(TRIM($AH224),":",""),"-",""))), --(UPPER(TRIM($B$2:$B$518))="YES"), --(UPPER(TRIM($G$2:$G$518)&amp;TRIM($I$2:$I$518)&amp;TRIM($J$2:$J$518))&lt;&gt;UPPER(TRIM($G224)&amp;TRIM($I224)&amp;TRIM($J224))))&gt;0), AND($AP224&lt;&gt;"", LOWER(TRIM($AP224))&lt;&gt;"n/a", LOWER(TRIM($AP224))&lt;&gt;"na", SUMPRODUCT(--(UPPER(TRIM($AP$2:$AP$518))=UPPER(TRIM($AP224))), --(UPPER(TRIM($B$2:$B$518))="YES"), --(UPPER(TRIM($G$2:$G$518)&amp;TRIM($I$2:$I$518)&amp;TRIM($J$2:$J$518))&lt;&gt;UPPER(TRIM($G224)&amp;TRIM($I224)&amp;TRIM($J224))))&gt;0), AND($AQ224&lt;&gt;"", LOWER(TRIM($AQ224))&lt;&gt;"n/a", LOWER(TRIM($AQ224))&lt;&gt;"na", SUMPRODUCT(--(UPPER(TRIM($AQ$2:$AQ$518))=UPPER(TRIM($AQ224))), --(UPPER(TRIM($B$2:$B$518))="YES"), --(UPPER(TRIM($G$2:$G$518)&amp;TRIM($I$2:$I$518)&amp;TRIM($J$2:$J$518))&lt;&gt;UPPER(TRIM($G224)&amp;TRIM($I224)&amp;TRIM($J224))))&gt;0)), "Yes", "No"))</f>
        <v/>
      </c>
      <c r="G224" t="inlineStr">
        <is>
          <t>1 Marcus</t>
        </is>
      </c>
      <c r="H224" t="inlineStr">
        <is>
          <t>Glen Cove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X224" t="inlineStr">
        <is>
          <t>GCH-MACH-E</t>
        </is>
      </c>
      <c r="Y224" t="inlineStr">
        <is>
          <t>A0F5097B8E02</t>
        </is>
      </c>
      <c r="AB224" t="inlineStr">
        <is>
          <t>WA25203864</t>
        </is>
      </c>
      <c r="BZ224" t="inlineStr">
        <is>
          <t>In Storage</t>
        </is>
      </c>
      <c r="CD224">
        <f>IF($Y224="","",IF((IF(AND($BR224&lt;&gt;"Yes",$BR224&lt;&gt;"N/A"),"Power Cable, ","")&amp;IF(AND($BS224&lt;&gt;"Yes",$BS224&lt;&gt;"N/A"),"Battery, ","")&amp;IF(AND($AD224&lt;&gt;"Yes",$AD224&lt;&gt;"N/A"),"Firmware Download, ","")&amp;IF(AND(OR($AD224="Yes",$AD224="N/A"),$AE224&lt;&gt;"Yes",$AE224&lt;&gt;"N/A"),"Firmware Install, ","")&amp;IF(AND($CB224&lt;&gt;"Yes",$CB224&lt;&gt;"N/A"),"Device ID, ","")&amp;IF(AND($CC224&lt;&gt;"Yes",$CC224&lt;&gt;"N/A"),"Epic Beans Relay, ",""))="","",LEFT(IF(AND($BR224&lt;&gt;"Yes",$BR224&lt;&gt;"N/A"),"Power Cable, ","")&amp;IF(AND($BS224&lt;&gt;"Yes",$BS224&lt;&gt;"N/A"),"Battery, ","")&amp;IF(AND($AD224&lt;&gt;"Yes",$AD224&lt;&gt;"N/A"),"Firmware Download, ","")&amp;IF(AND(OR($AD224="Yes",$AD224="N/A"),$AE224&lt;&gt;"Yes",$AE224&lt;&gt;"N/A"),"Firmware Install, ","")&amp;IF(AND($CB224&lt;&gt;"Yes",$CB224&lt;&gt;"N/A"),"Device ID, ","")&amp;IF(AND($CC224&lt;&gt;"Yes",$CC224&lt;&gt;"N/A"),"Epic Beans Relay, ",""),LEN(IF(AND($BR224&lt;&gt;"Yes",$BR224&lt;&gt;"N/A"),"Power Cable, ","")&amp;IF(AND($BS224&lt;&gt;"Yes",$BS224&lt;&gt;"N/A"),"Battery, ","")&amp;IF(AND($AD224&lt;&gt;"Yes",$AD224&lt;&gt;"N/A"),"Firmware Download, ","")&amp;IF(AND(OR($AD224="Yes",$AD224="N/A"),$AE224&lt;&gt;"Yes",$AE224&lt;&gt;"N/A"),"Firmware Install, ","")&amp;IF(AND($CB224&lt;&gt;"Yes",$CB224&lt;&gt;"N/A"),"Device ID, ","")&amp;IF(AND($CC224&lt;&gt;"Yes",$CC224&lt;&gt;"N/A"),"Epic Beans Relay, ",""))-2)))</f>
        <v/>
      </c>
      <c r="CE224">
        <f>IF($Y224="","",IF($CD224="","Yes","Blocked"))</f>
        <v/>
      </c>
      <c r="CP224">
        <f>IF($CO224="","",IFERROR(VLOOKUP($CO224,'01_Warehouse_Ledger'!$A:$N,4,FALSE),""))</f>
        <v/>
      </c>
      <c r="CQ224">
        <f>IF($CO224="","",IFERROR(VLOOKUP($CO224,'01_Warehouse_Ledger'!$A:$N,5,FALSE),""))</f>
        <v/>
      </c>
      <c r="CR224">
        <f>IF($CO224="","",IFERROR(VLOOKUP($CO224,'01_Warehouse_Ledger'!$A:$N,13,FALSE),""))</f>
        <v/>
      </c>
      <c r="CW224">
        <f>IF($S224="","",IF(UPPER(TRIM($S224))&lt;&gt;"PASS","",IF(LEN(TRIM($BY224))&gt;0,"NOTES_PRESENT",IF(LEN(TRIM($T224))=0,"SET_NA",IF(OR(LOWER(TRIM($T224))="na",LOWER(TRIM($T224))="n/a"),"OK","MANUAL_OVERRIDE")))))</f>
        <v/>
      </c>
    </row>
    <row r="225">
      <c r="A225" t="inlineStr">
        <is>
          <t>Neuron</t>
        </is>
      </c>
      <c r="B225" s="5" t="inlineStr">
        <is>
          <t>No</t>
        </is>
      </c>
      <c r="C225" t="inlineStr">
        <is>
          <t>No</t>
        </is>
      </c>
      <c r="D225">
        <f>IF($B225&lt;&gt;"Yes","",IF($C225="No","Yes",IF($C225="Yes","No","")))</f>
        <v/>
      </c>
      <c r="E225">
        <f>IF($A225="","",IF(OR(AND($V225&lt;&gt;"",LOWER(TRIM($V225))&lt;&gt;"n/a",LOWER(TRIM($V225))&lt;&gt;"na",SUMPRODUCT(--(UPPER(TRIM($V$2:$V$518))=UPPER(TRIM($V225))),--(TRIM($V$2:$V$518)&lt;&gt;""),--(LOWER(TRIM($V$2:$V$518))&lt;&gt;"n/a"),--(LOWER(TRIM($V$2:$V$518))&lt;&gt;"na"))&gt;1),AND($W225&lt;&gt;"",LOWER(TRIM($W225))&lt;&gt;"n/a",LOWER(TRIM($W225))&lt;&gt;"na",SUMPRODUCT(--(UPPER(TRIM($W$2:$W$518))=UPPER(TRIM($W225))),--(TRIM($W$2:$W$518)&lt;&gt;""),--(LOWER(TRIM($W$2:$W$518))&lt;&gt;"n/a"),--(LOWER(TRIM($W$2:$W$518))&lt;&gt;"na"))&gt;1),AND($X225&lt;&gt;"",LOWER(TRIM($X225))&lt;&gt;"n/a",LOWER(TRIM($X225))&lt;&gt;"na",SUMPRODUCT(--(UPPER(TRIM($X$2:$X$518))=UPPER(TRIM($X225))),--(TRIM($X$2:$X$518)&lt;&gt;""),--(LOWER(TRIM($X$2:$X$518))&lt;&gt;"n/a"),--(LOWER(TRIM($X$2:$X$518))&lt;&gt;"na"))&gt;1),AND($Y225&lt;&gt;"",LOWER(TRIM($Y225))&lt;&gt;"n/a",LOWER(TRIM($Y225))&lt;&gt;"na",SUMPRODUCT(--(UPPER(SUBSTITUTE(SUBSTITUTE(TRIM($Y$2:$Y$518),":",""),"-",""))=UPPER(SUBSTITUTE(SUBSTITUTE(TRIM($Y225),":",""),"-",""))),--(TRIM($Y$2:$Y$518)&lt;&gt;""),--(LOWER(TRIM($Y$2:$Y$518))&lt;&gt;"n/a"),--(LOWER(TRIM($Y$2:$Y$518))&lt;&gt;"na"))&gt;1),AND($AB225&lt;&gt;"",LOWER(TRIM($AB225))&lt;&gt;"n/a",LOWER(TRIM($AB225))&lt;&gt;"na",SUMPRODUCT(--(UPPER(TRIM($AB$2:$AB$518))=UPPER(TRIM($AB225))),--(TRIM($AB$2:$AB$518)&lt;&gt;""),--(LOWER(TRIM($AB$2:$AB$518))&lt;&gt;"n/a"),--(LOWER(TRIM($AB$2:$AB$518))&lt;&gt;"na"))&gt;1),AND($AH225&lt;&gt;"",LOWER(TRIM($AH225))&lt;&gt;"n/a",LOWER(TRIM($AH225))&lt;&gt;"na",SUMPRODUCT(--(UPPER(SUBSTITUTE(SUBSTITUTE(TRIM($AH$2:$AH$518),":",""),"-",""))=UPPER(SUBSTITUTE(SUBSTITUTE(TRIM($AH225),":",""),"-",""))),--(TRIM($AH$2:$AH$518)&lt;&gt;""),--(LOWER(TRIM($AH$2:$AH$518))&lt;&gt;"n/a"),--(LOWER(TRIM($AH$2:$AH$518))&lt;&gt;"na"))&gt;1),AND($AP225&lt;&gt;"",LOWER(TRIM($AP225))&lt;&gt;"n/a",LOWER(TRIM($AP225))&lt;&gt;"na",SUMPRODUCT(--(UPPER(TRIM($AP$2:$AP$518))=UPPER(TRIM($AP225))),--(TRIM($AP$2:$AP$518)&lt;&gt;""),--(LOWER(TRIM($AP$2:$AP$518))&lt;&gt;"n/a"),--(LOWER(TRIM($AP$2:$AP$518))&lt;&gt;"na"))&gt;1),AND($AQ225&lt;&gt;"",LOWER(TRIM($AQ225))&lt;&gt;"n/a",LOWER(TRIM($AQ225))&lt;&gt;"na",SUMPRODUCT(--(UPPER(TRIM($AQ$2:$AQ$518))=UPPER(TRIM($AQ225))),--(TRIM($AQ$2:$AQ$518)&lt;&gt;""),--(LOWER(TRIM($AQ$2:$AQ$518))&lt;&gt;"n/a"),--(LOWER(TRIM($AQ$2:$AQ$518))&lt;&gt;"na"))&gt;1)),"Yes","No"))</f>
        <v/>
      </c>
      <c r="F225">
        <f>IF(UPPER(TRIM($B225))&lt;&gt;"YES","", IF(OR(AND($V225&lt;&gt;"", LOWER(TRIM($V225))&lt;&gt;"n/a", LOWER(TRIM($V225))&lt;&gt;"na", SUMPRODUCT(--(UPPER(TRIM($V$2:$V$518))=UPPER(TRIM($V225))), --(UPPER(TRIM($B$2:$B$518))="YES"), --(UPPER(TRIM($G$2:$G$518)&amp;TRIM($I$2:$I$518)&amp;TRIM($J$2:$J$518))&lt;&gt;UPPER(TRIM($G225)&amp;TRIM($I225)&amp;TRIM($J225))))&gt;0), AND($W225&lt;&gt;"", LOWER(TRIM($W225))&lt;&gt;"n/a", LOWER(TRIM($W225))&lt;&gt;"na", SUMPRODUCT(--(UPPER(TRIM($W$2:$W$518))=UPPER(TRIM($W225))), --(UPPER(TRIM($B$2:$B$518))="YES"), --(UPPER(TRIM($G$2:$G$518)&amp;TRIM($I$2:$I$518)&amp;TRIM($J$2:$J$518))&lt;&gt;UPPER(TRIM($G225)&amp;TRIM($I225)&amp;TRIM($J225))))&gt;0), AND($X225&lt;&gt;"", LOWER(TRIM($X225))&lt;&gt;"n/a", LOWER(TRIM($X225))&lt;&gt;"na", SUMPRODUCT(--(UPPER(TRIM($X$2:$X$518))=UPPER(TRIM($X225))), --(UPPER(TRIM($B$2:$B$518))="YES"), --(UPPER(TRIM($G$2:$G$518)&amp;TRIM($I$2:$I$518)&amp;TRIM($J$2:$J$518))&lt;&gt;UPPER(TRIM($G225)&amp;TRIM($I225)&amp;TRIM($J225))))&gt;0), AND($Y225&lt;&gt;"", LOWER(TRIM($Y225))&lt;&gt;"n/a", LOWER(TRIM($Y225))&lt;&gt;"na", SUMPRODUCT(--(UPPER(SUBSTITUTE(SUBSTITUTE(TRIM($Y$2:$Y$518),":",""),"-",""))=UPPER(SUBSTITUTE(SUBSTITUTE(TRIM($Y225),":",""),"-",""))), --(UPPER(TRIM($B$2:$B$518))="YES"), --(UPPER(TRIM($G$2:$G$518)&amp;TRIM($I$2:$I$518)&amp;TRIM($J$2:$J$518))&lt;&gt;UPPER(TRIM($G225)&amp;TRIM($I225)&amp;TRIM($J225))))&gt;0), AND($AB225&lt;&gt;"", LOWER(TRIM($AB225))&lt;&gt;"n/a", LOWER(TRIM($AB225))&lt;&gt;"na", SUMPRODUCT(--(UPPER(TRIM($AB$2:$AB$518))=UPPER(TRIM($AB225))), --(UPPER(TRIM($B$2:$B$518))="YES"), --(UPPER(TRIM($G$2:$G$518)&amp;TRIM($I$2:$I$518)&amp;TRIM($J$2:$J$518))&lt;&gt;UPPER(TRIM($G225)&amp;TRIM($I225)&amp;TRIM($J225))))&gt;0), AND($AH225&lt;&gt;"", LOWER(TRIM($AH225))&lt;&gt;"n/a", LOWER(TRIM($AH225))&lt;&gt;"na", SUMPRODUCT(--(UPPER(SUBSTITUTE(SUBSTITUTE(TRIM($AH$2:$AH$518),":",""),"-",""))=UPPER(SUBSTITUTE(SUBSTITUTE(TRIM($AH225),":",""),"-",""))), --(UPPER(TRIM($B$2:$B$518))="YES"), --(UPPER(TRIM($G$2:$G$518)&amp;TRIM($I$2:$I$518)&amp;TRIM($J$2:$J$518))&lt;&gt;UPPER(TRIM($G225)&amp;TRIM($I225)&amp;TRIM($J225))))&gt;0), AND($AP225&lt;&gt;"", LOWER(TRIM($AP225))&lt;&gt;"n/a", LOWER(TRIM($AP225))&lt;&gt;"na", SUMPRODUCT(--(UPPER(TRIM($AP$2:$AP$518))=UPPER(TRIM($AP225))), --(UPPER(TRIM($B$2:$B$518))="YES"), --(UPPER(TRIM($G$2:$G$518)&amp;TRIM($I$2:$I$518)&amp;TRIM($J$2:$J$518))&lt;&gt;UPPER(TRIM($G225)&amp;TRIM($I225)&amp;TRIM($J225))))&gt;0), AND($AQ225&lt;&gt;"", LOWER(TRIM($AQ225))&lt;&gt;"n/a", LOWER(TRIM($AQ225))&lt;&gt;"na", SUMPRODUCT(--(UPPER(TRIM($AQ$2:$AQ$518))=UPPER(TRIM($AQ225))), --(UPPER(TRIM($B$2:$B$518))="YES"), --(UPPER(TRIM($G$2:$G$518)&amp;TRIM($I$2:$I$518)&amp;TRIM($J$2:$J$518))&lt;&gt;UPPER(TRIM($G225)&amp;TRIM($I225)&amp;TRIM($J225))))&gt;0)), "Yes", "No"))</f>
        <v/>
      </c>
      <c r="G225" t="inlineStr">
        <is>
          <t>1 Marcus</t>
        </is>
      </c>
      <c r="H225" t="inlineStr">
        <is>
          <t>Glen Cove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X225" t="inlineStr">
        <is>
          <t>GCH-MACH-F</t>
        </is>
      </c>
      <c r="AB225" t="inlineStr">
        <is>
          <t>WA25203747</t>
        </is>
      </c>
      <c r="BZ225" t="inlineStr">
        <is>
          <t>In Storage</t>
        </is>
      </c>
      <c r="CD225">
        <f>IF($Y225="","",IF((IF(AND($BR225&lt;&gt;"Yes",$BR225&lt;&gt;"N/A"),"Power Cable, ","")&amp;IF(AND($BS225&lt;&gt;"Yes",$BS225&lt;&gt;"N/A"),"Battery, ","")&amp;IF(AND($AD225&lt;&gt;"Yes",$AD225&lt;&gt;"N/A"),"Firmware Download, ","")&amp;IF(AND(OR($AD225="Yes",$AD225="N/A"),$AE225&lt;&gt;"Yes",$AE225&lt;&gt;"N/A"),"Firmware Install, ","")&amp;IF(AND($CB225&lt;&gt;"Yes",$CB225&lt;&gt;"N/A"),"Device ID, ","")&amp;IF(AND($CC225&lt;&gt;"Yes",$CC225&lt;&gt;"N/A"),"Epic Beans Relay, ",""))="","",LEFT(IF(AND($BR225&lt;&gt;"Yes",$BR225&lt;&gt;"N/A"),"Power Cable, ","")&amp;IF(AND($BS225&lt;&gt;"Yes",$BS225&lt;&gt;"N/A"),"Battery, ","")&amp;IF(AND($AD225&lt;&gt;"Yes",$AD225&lt;&gt;"N/A"),"Firmware Download, ","")&amp;IF(AND(OR($AD225="Yes",$AD225="N/A"),$AE225&lt;&gt;"Yes",$AE225&lt;&gt;"N/A"),"Firmware Install, ","")&amp;IF(AND($CB225&lt;&gt;"Yes",$CB225&lt;&gt;"N/A"),"Device ID, ","")&amp;IF(AND($CC225&lt;&gt;"Yes",$CC225&lt;&gt;"N/A"),"Epic Beans Relay, ",""),LEN(IF(AND($BR225&lt;&gt;"Yes",$BR225&lt;&gt;"N/A"),"Power Cable, ","")&amp;IF(AND($BS225&lt;&gt;"Yes",$BS225&lt;&gt;"N/A"),"Battery, ","")&amp;IF(AND($AD225&lt;&gt;"Yes",$AD225&lt;&gt;"N/A"),"Firmware Download, ","")&amp;IF(AND(OR($AD225="Yes",$AD225="N/A"),$AE225&lt;&gt;"Yes",$AE225&lt;&gt;"N/A"),"Firmware Install, ","")&amp;IF(AND($CB225&lt;&gt;"Yes",$CB225&lt;&gt;"N/A"),"Device ID, ","")&amp;IF(AND($CC225&lt;&gt;"Yes",$CC225&lt;&gt;"N/A"),"Epic Beans Relay, ",""))-2)))</f>
        <v/>
      </c>
      <c r="CE225">
        <f>IF($Y225="","",IF($CD225="","Yes","Blocked"))</f>
        <v/>
      </c>
      <c r="CP225">
        <f>IF($CO225="","",IFERROR(VLOOKUP($CO225,'01_Warehouse_Ledger'!$A:$N,4,FALSE),""))</f>
        <v/>
      </c>
      <c r="CQ225">
        <f>IF($CO225="","",IFERROR(VLOOKUP($CO225,'01_Warehouse_Ledger'!$A:$N,5,FALSE),""))</f>
        <v/>
      </c>
      <c r="CR225">
        <f>IF($CO225="","",IFERROR(VLOOKUP($CO225,'01_Warehouse_Ledger'!$A:$N,13,FALSE),""))</f>
        <v/>
      </c>
      <c r="CW225">
        <f>IF($S225="","",IF(UPPER(TRIM($S225))&lt;&gt;"PASS","",IF(LEN(TRIM($BY225))&gt;0,"NOTES_PRESENT",IF(LEN(TRIM($T225))=0,"SET_NA",IF(OR(LOWER(TRIM($T225))="na",LOWER(TRIM($T225))="n/a"),"OK","MANUAL_OVERRIDE")))))</f>
        <v/>
      </c>
    </row>
    <row r="226">
      <c r="A226" t="inlineStr">
        <is>
          <t>Neuron</t>
        </is>
      </c>
      <c r="B226" s="5" t="inlineStr">
        <is>
          <t>No</t>
        </is>
      </c>
      <c r="C226" t="inlineStr">
        <is>
          <t>No</t>
        </is>
      </c>
      <c r="D226">
        <f>IF($B226&lt;&gt;"Yes","",IF($C226="No","Yes",IF($C226="Yes","No","")))</f>
        <v/>
      </c>
      <c r="E226">
        <f>IF($A226="","",IF(OR(AND($V226&lt;&gt;"",LOWER(TRIM($V226))&lt;&gt;"n/a",LOWER(TRIM($V226))&lt;&gt;"na",SUMPRODUCT(--(UPPER(TRIM($V$2:$V$518))=UPPER(TRIM($V226))),--(TRIM($V$2:$V$518)&lt;&gt;""),--(LOWER(TRIM($V$2:$V$518))&lt;&gt;"n/a"),--(LOWER(TRIM($V$2:$V$518))&lt;&gt;"na"))&gt;1),AND($W226&lt;&gt;"",LOWER(TRIM($W226))&lt;&gt;"n/a",LOWER(TRIM($W226))&lt;&gt;"na",SUMPRODUCT(--(UPPER(TRIM($W$2:$W$518))=UPPER(TRIM($W226))),--(TRIM($W$2:$W$518)&lt;&gt;""),--(LOWER(TRIM($W$2:$W$518))&lt;&gt;"n/a"),--(LOWER(TRIM($W$2:$W$518))&lt;&gt;"na"))&gt;1),AND($X226&lt;&gt;"",LOWER(TRIM($X226))&lt;&gt;"n/a",LOWER(TRIM($X226))&lt;&gt;"na",SUMPRODUCT(--(UPPER(TRIM($X$2:$X$518))=UPPER(TRIM($X226))),--(TRIM($X$2:$X$518)&lt;&gt;""),--(LOWER(TRIM($X$2:$X$518))&lt;&gt;"n/a"),--(LOWER(TRIM($X$2:$X$518))&lt;&gt;"na"))&gt;1),AND($Y226&lt;&gt;"",LOWER(TRIM($Y226))&lt;&gt;"n/a",LOWER(TRIM($Y226))&lt;&gt;"na",SUMPRODUCT(--(UPPER(SUBSTITUTE(SUBSTITUTE(TRIM($Y$2:$Y$518),":",""),"-",""))=UPPER(SUBSTITUTE(SUBSTITUTE(TRIM($Y226),":",""),"-",""))),--(TRIM($Y$2:$Y$518)&lt;&gt;""),--(LOWER(TRIM($Y$2:$Y$518))&lt;&gt;"n/a"),--(LOWER(TRIM($Y$2:$Y$518))&lt;&gt;"na"))&gt;1),AND($AB226&lt;&gt;"",LOWER(TRIM($AB226))&lt;&gt;"n/a",LOWER(TRIM($AB226))&lt;&gt;"na",SUMPRODUCT(--(UPPER(TRIM($AB$2:$AB$518))=UPPER(TRIM($AB226))),--(TRIM($AB$2:$AB$518)&lt;&gt;""),--(LOWER(TRIM($AB$2:$AB$518))&lt;&gt;"n/a"),--(LOWER(TRIM($AB$2:$AB$518))&lt;&gt;"na"))&gt;1),AND($AH226&lt;&gt;"",LOWER(TRIM($AH226))&lt;&gt;"n/a",LOWER(TRIM($AH226))&lt;&gt;"na",SUMPRODUCT(--(UPPER(SUBSTITUTE(SUBSTITUTE(TRIM($AH$2:$AH$518),":",""),"-",""))=UPPER(SUBSTITUTE(SUBSTITUTE(TRIM($AH226),":",""),"-",""))),--(TRIM($AH$2:$AH$518)&lt;&gt;""),--(LOWER(TRIM($AH$2:$AH$518))&lt;&gt;"n/a"),--(LOWER(TRIM($AH$2:$AH$518))&lt;&gt;"na"))&gt;1),AND($AP226&lt;&gt;"",LOWER(TRIM($AP226))&lt;&gt;"n/a",LOWER(TRIM($AP226))&lt;&gt;"na",SUMPRODUCT(--(UPPER(TRIM($AP$2:$AP$518))=UPPER(TRIM($AP226))),--(TRIM($AP$2:$AP$518)&lt;&gt;""),--(LOWER(TRIM($AP$2:$AP$518))&lt;&gt;"n/a"),--(LOWER(TRIM($AP$2:$AP$518))&lt;&gt;"na"))&gt;1),AND($AQ226&lt;&gt;"",LOWER(TRIM($AQ226))&lt;&gt;"n/a",LOWER(TRIM($AQ226))&lt;&gt;"na",SUMPRODUCT(--(UPPER(TRIM($AQ$2:$AQ$518))=UPPER(TRIM($AQ226))),--(TRIM($AQ$2:$AQ$518)&lt;&gt;""),--(LOWER(TRIM($AQ$2:$AQ$518))&lt;&gt;"n/a"),--(LOWER(TRIM($AQ$2:$AQ$518))&lt;&gt;"na"))&gt;1)),"Yes","No"))</f>
        <v/>
      </c>
      <c r="F226">
        <f>IF(UPPER(TRIM($B226))&lt;&gt;"YES","", IF(OR(AND($V226&lt;&gt;"", LOWER(TRIM($V226))&lt;&gt;"n/a", LOWER(TRIM($V226))&lt;&gt;"na", SUMPRODUCT(--(UPPER(TRIM($V$2:$V$518))=UPPER(TRIM($V226))), --(UPPER(TRIM($B$2:$B$518))="YES"), --(UPPER(TRIM($G$2:$G$518)&amp;TRIM($I$2:$I$518)&amp;TRIM($J$2:$J$518))&lt;&gt;UPPER(TRIM($G226)&amp;TRIM($I226)&amp;TRIM($J226))))&gt;0), AND($W226&lt;&gt;"", LOWER(TRIM($W226))&lt;&gt;"n/a", LOWER(TRIM($W226))&lt;&gt;"na", SUMPRODUCT(--(UPPER(TRIM($W$2:$W$518))=UPPER(TRIM($W226))), --(UPPER(TRIM($B$2:$B$518))="YES"), --(UPPER(TRIM($G$2:$G$518)&amp;TRIM($I$2:$I$518)&amp;TRIM($J$2:$J$518))&lt;&gt;UPPER(TRIM($G226)&amp;TRIM($I226)&amp;TRIM($J226))))&gt;0), AND($X226&lt;&gt;"", LOWER(TRIM($X226))&lt;&gt;"n/a", LOWER(TRIM($X226))&lt;&gt;"na", SUMPRODUCT(--(UPPER(TRIM($X$2:$X$518))=UPPER(TRIM($X226))), --(UPPER(TRIM($B$2:$B$518))="YES"), --(UPPER(TRIM($G$2:$G$518)&amp;TRIM($I$2:$I$518)&amp;TRIM($J$2:$J$518))&lt;&gt;UPPER(TRIM($G226)&amp;TRIM($I226)&amp;TRIM($J226))))&gt;0), AND($Y226&lt;&gt;"", LOWER(TRIM($Y226))&lt;&gt;"n/a", LOWER(TRIM($Y226))&lt;&gt;"na", SUMPRODUCT(--(UPPER(SUBSTITUTE(SUBSTITUTE(TRIM($Y$2:$Y$518),":",""),"-",""))=UPPER(SUBSTITUTE(SUBSTITUTE(TRIM($Y226),":",""),"-",""))), --(UPPER(TRIM($B$2:$B$518))="YES"), --(UPPER(TRIM($G$2:$G$518)&amp;TRIM($I$2:$I$518)&amp;TRIM($J$2:$J$518))&lt;&gt;UPPER(TRIM($G226)&amp;TRIM($I226)&amp;TRIM($J226))))&gt;0), AND($AB226&lt;&gt;"", LOWER(TRIM($AB226))&lt;&gt;"n/a", LOWER(TRIM($AB226))&lt;&gt;"na", SUMPRODUCT(--(UPPER(TRIM($AB$2:$AB$518))=UPPER(TRIM($AB226))), --(UPPER(TRIM($B$2:$B$518))="YES"), --(UPPER(TRIM($G$2:$G$518)&amp;TRIM($I$2:$I$518)&amp;TRIM($J$2:$J$518))&lt;&gt;UPPER(TRIM($G226)&amp;TRIM($I226)&amp;TRIM($J226))))&gt;0), AND($AH226&lt;&gt;"", LOWER(TRIM($AH226))&lt;&gt;"n/a", LOWER(TRIM($AH226))&lt;&gt;"na", SUMPRODUCT(--(UPPER(SUBSTITUTE(SUBSTITUTE(TRIM($AH$2:$AH$518),":",""),"-",""))=UPPER(SUBSTITUTE(SUBSTITUTE(TRIM($AH226),":",""),"-",""))), --(UPPER(TRIM($B$2:$B$518))="YES"), --(UPPER(TRIM($G$2:$G$518)&amp;TRIM($I$2:$I$518)&amp;TRIM($J$2:$J$518))&lt;&gt;UPPER(TRIM($G226)&amp;TRIM($I226)&amp;TRIM($J226))))&gt;0), AND($AP226&lt;&gt;"", LOWER(TRIM($AP226))&lt;&gt;"n/a", LOWER(TRIM($AP226))&lt;&gt;"na", SUMPRODUCT(--(UPPER(TRIM($AP$2:$AP$518))=UPPER(TRIM($AP226))), --(UPPER(TRIM($B$2:$B$518))="YES"), --(UPPER(TRIM($G$2:$G$518)&amp;TRIM($I$2:$I$518)&amp;TRIM($J$2:$J$518))&lt;&gt;UPPER(TRIM($G226)&amp;TRIM($I226)&amp;TRIM($J226))))&gt;0), AND($AQ226&lt;&gt;"", LOWER(TRIM($AQ226))&lt;&gt;"n/a", LOWER(TRIM($AQ226))&lt;&gt;"na", SUMPRODUCT(--(UPPER(TRIM($AQ$2:$AQ$518))=UPPER(TRIM($AQ226))), --(UPPER(TRIM($B$2:$B$518))="YES"), --(UPPER(TRIM($G$2:$G$518)&amp;TRIM($I$2:$I$518)&amp;TRIM($J$2:$J$518))&lt;&gt;UPPER(TRIM($G226)&amp;TRIM($I226)&amp;TRIM($J226))))&gt;0)), "Yes", "No"))</f>
        <v/>
      </c>
      <c r="G226" t="inlineStr">
        <is>
          <t>1 Marcus</t>
        </is>
      </c>
      <c r="H226" t="inlineStr">
        <is>
          <t>Glen Cove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X226" t="inlineStr">
        <is>
          <t>GCH-MACH-G</t>
        </is>
      </c>
      <c r="Y226" t="inlineStr">
        <is>
          <t>A0F5097B8E6F</t>
        </is>
      </c>
      <c r="AB226" t="inlineStr">
        <is>
          <t>WA25203897</t>
        </is>
      </c>
      <c r="BZ226" t="inlineStr">
        <is>
          <t>In Storage</t>
        </is>
      </c>
      <c r="CD226">
        <f>IF($Y226="","",IF((IF(AND($BR226&lt;&gt;"Yes",$BR226&lt;&gt;"N/A"),"Power Cable, ","")&amp;IF(AND($BS226&lt;&gt;"Yes",$BS226&lt;&gt;"N/A"),"Battery, ","")&amp;IF(AND($AD226&lt;&gt;"Yes",$AD226&lt;&gt;"N/A"),"Firmware Download, ","")&amp;IF(AND(OR($AD226="Yes",$AD226="N/A"),$AE226&lt;&gt;"Yes",$AE226&lt;&gt;"N/A"),"Firmware Install, ","")&amp;IF(AND($CB226&lt;&gt;"Yes",$CB226&lt;&gt;"N/A"),"Device ID, ","")&amp;IF(AND($CC226&lt;&gt;"Yes",$CC226&lt;&gt;"N/A"),"Epic Beans Relay, ",""))="","",LEFT(IF(AND($BR226&lt;&gt;"Yes",$BR226&lt;&gt;"N/A"),"Power Cable, ","")&amp;IF(AND($BS226&lt;&gt;"Yes",$BS226&lt;&gt;"N/A"),"Battery, ","")&amp;IF(AND($AD226&lt;&gt;"Yes",$AD226&lt;&gt;"N/A"),"Firmware Download, ","")&amp;IF(AND(OR($AD226="Yes",$AD226="N/A"),$AE226&lt;&gt;"Yes",$AE226&lt;&gt;"N/A"),"Firmware Install, ","")&amp;IF(AND($CB226&lt;&gt;"Yes",$CB226&lt;&gt;"N/A"),"Device ID, ","")&amp;IF(AND($CC226&lt;&gt;"Yes",$CC226&lt;&gt;"N/A"),"Epic Beans Relay, ",""),LEN(IF(AND($BR226&lt;&gt;"Yes",$BR226&lt;&gt;"N/A"),"Power Cable, ","")&amp;IF(AND($BS226&lt;&gt;"Yes",$BS226&lt;&gt;"N/A"),"Battery, ","")&amp;IF(AND($AD226&lt;&gt;"Yes",$AD226&lt;&gt;"N/A"),"Firmware Download, ","")&amp;IF(AND(OR($AD226="Yes",$AD226="N/A"),$AE226&lt;&gt;"Yes",$AE226&lt;&gt;"N/A"),"Firmware Install, ","")&amp;IF(AND($CB226&lt;&gt;"Yes",$CB226&lt;&gt;"N/A"),"Device ID, ","")&amp;IF(AND($CC226&lt;&gt;"Yes",$CC226&lt;&gt;"N/A"),"Epic Beans Relay, ",""))-2)))</f>
        <v/>
      </c>
      <c r="CE226">
        <f>IF($Y226="","",IF($CD226="","Yes","Blocked"))</f>
        <v/>
      </c>
      <c r="CP226">
        <f>IF($CO226="","",IFERROR(VLOOKUP($CO226,'01_Warehouse_Ledger'!$A:$N,4,FALSE),""))</f>
        <v/>
      </c>
      <c r="CQ226">
        <f>IF($CO226="","",IFERROR(VLOOKUP($CO226,'01_Warehouse_Ledger'!$A:$N,5,FALSE),""))</f>
        <v/>
      </c>
      <c r="CR226">
        <f>IF($CO226="","",IFERROR(VLOOKUP($CO226,'01_Warehouse_Ledger'!$A:$N,13,FALSE),""))</f>
        <v/>
      </c>
      <c r="CW226">
        <f>IF($S226="","",IF(UPPER(TRIM($S226))&lt;&gt;"PASS","",IF(LEN(TRIM($BY226))&gt;0,"NOTES_PRESENT",IF(LEN(TRIM($T226))=0,"SET_NA",IF(OR(LOWER(TRIM($T226))="na",LOWER(TRIM($T226))="n/a"),"OK","MANUAL_OVERRIDE")))))</f>
        <v/>
      </c>
    </row>
    <row r="227">
      <c r="A227" t="inlineStr">
        <is>
          <t>Neuron</t>
        </is>
      </c>
      <c r="B227" s="5" t="inlineStr">
        <is>
          <t>No</t>
        </is>
      </c>
      <c r="C227" t="inlineStr">
        <is>
          <t>No</t>
        </is>
      </c>
      <c r="D227">
        <f>IF($B227&lt;&gt;"Yes","",IF($C227="No","Yes",IF($C227="Yes","No","")))</f>
        <v/>
      </c>
      <c r="E227">
        <f>IF($A227="","",IF(OR(AND($V227&lt;&gt;"",LOWER(TRIM($V227))&lt;&gt;"n/a",LOWER(TRIM($V227))&lt;&gt;"na",SUMPRODUCT(--(UPPER(TRIM($V$2:$V$518))=UPPER(TRIM($V227))),--(TRIM($V$2:$V$518)&lt;&gt;""),--(LOWER(TRIM($V$2:$V$518))&lt;&gt;"n/a"),--(LOWER(TRIM($V$2:$V$518))&lt;&gt;"na"))&gt;1),AND($W227&lt;&gt;"",LOWER(TRIM($W227))&lt;&gt;"n/a",LOWER(TRIM($W227))&lt;&gt;"na",SUMPRODUCT(--(UPPER(TRIM($W$2:$W$518))=UPPER(TRIM($W227))),--(TRIM($W$2:$W$518)&lt;&gt;""),--(LOWER(TRIM($W$2:$W$518))&lt;&gt;"n/a"),--(LOWER(TRIM($W$2:$W$518))&lt;&gt;"na"))&gt;1),AND($X227&lt;&gt;"",LOWER(TRIM($X227))&lt;&gt;"n/a",LOWER(TRIM($X227))&lt;&gt;"na",SUMPRODUCT(--(UPPER(TRIM($X$2:$X$518))=UPPER(TRIM($X227))),--(TRIM($X$2:$X$518)&lt;&gt;""),--(LOWER(TRIM($X$2:$X$518))&lt;&gt;"n/a"),--(LOWER(TRIM($X$2:$X$518))&lt;&gt;"na"))&gt;1),AND($Y227&lt;&gt;"",LOWER(TRIM($Y227))&lt;&gt;"n/a",LOWER(TRIM($Y227))&lt;&gt;"na",SUMPRODUCT(--(UPPER(SUBSTITUTE(SUBSTITUTE(TRIM($Y$2:$Y$518),":",""),"-",""))=UPPER(SUBSTITUTE(SUBSTITUTE(TRIM($Y227),":",""),"-",""))),--(TRIM($Y$2:$Y$518)&lt;&gt;""),--(LOWER(TRIM($Y$2:$Y$518))&lt;&gt;"n/a"),--(LOWER(TRIM($Y$2:$Y$518))&lt;&gt;"na"))&gt;1),AND($AB227&lt;&gt;"",LOWER(TRIM($AB227))&lt;&gt;"n/a",LOWER(TRIM($AB227))&lt;&gt;"na",SUMPRODUCT(--(UPPER(TRIM($AB$2:$AB$518))=UPPER(TRIM($AB227))),--(TRIM($AB$2:$AB$518)&lt;&gt;""),--(LOWER(TRIM($AB$2:$AB$518))&lt;&gt;"n/a"),--(LOWER(TRIM($AB$2:$AB$518))&lt;&gt;"na"))&gt;1),AND($AH227&lt;&gt;"",LOWER(TRIM($AH227))&lt;&gt;"n/a",LOWER(TRIM($AH227))&lt;&gt;"na",SUMPRODUCT(--(UPPER(SUBSTITUTE(SUBSTITUTE(TRIM($AH$2:$AH$518),":",""),"-",""))=UPPER(SUBSTITUTE(SUBSTITUTE(TRIM($AH227),":",""),"-",""))),--(TRIM($AH$2:$AH$518)&lt;&gt;""),--(LOWER(TRIM($AH$2:$AH$518))&lt;&gt;"n/a"),--(LOWER(TRIM($AH$2:$AH$518))&lt;&gt;"na"))&gt;1),AND($AP227&lt;&gt;"",LOWER(TRIM($AP227))&lt;&gt;"n/a",LOWER(TRIM($AP227))&lt;&gt;"na",SUMPRODUCT(--(UPPER(TRIM($AP$2:$AP$518))=UPPER(TRIM($AP227))),--(TRIM($AP$2:$AP$518)&lt;&gt;""),--(LOWER(TRIM($AP$2:$AP$518))&lt;&gt;"n/a"),--(LOWER(TRIM($AP$2:$AP$518))&lt;&gt;"na"))&gt;1),AND($AQ227&lt;&gt;"",LOWER(TRIM($AQ227))&lt;&gt;"n/a",LOWER(TRIM($AQ227))&lt;&gt;"na",SUMPRODUCT(--(UPPER(TRIM($AQ$2:$AQ$518))=UPPER(TRIM($AQ227))),--(TRIM($AQ$2:$AQ$518)&lt;&gt;""),--(LOWER(TRIM($AQ$2:$AQ$518))&lt;&gt;"n/a"),--(LOWER(TRIM($AQ$2:$AQ$518))&lt;&gt;"na"))&gt;1)),"Yes","No"))</f>
        <v/>
      </c>
      <c r="F227">
        <f>IF(UPPER(TRIM($B227))&lt;&gt;"YES","", IF(OR(AND($V227&lt;&gt;"", LOWER(TRIM($V227))&lt;&gt;"n/a", LOWER(TRIM($V227))&lt;&gt;"na", SUMPRODUCT(--(UPPER(TRIM($V$2:$V$518))=UPPER(TRIM($V227))), --(UPPER(TRIM($B$2:$B$518))="YES"), --(UPPER(TRIM($G$2:$G$518)&amp;TRIM($I$2:$I$518)&amp;TRIM($J$2:$J$518))&lt;&gt;UPPER(TRIM($G227)&amp;TRIM($I227)&amp;TRIM($J227))))&gt;0), AND($W227&lt;&gt;"", LOWER(TRIM($W227))&lt;&gt;"n/a", LOWER(TRIM($W227))&lt;&gt;"na", SUMPRODUCT(--(UPPER(TRIM($W$2:$W$518))=UPPER(TRIM($W227))), --(UPPER(TRIM($B$2:$B$518))="YES"), --(UPPER(TRIM($G$2:$G$518)&amp;TRIM($I$2:$I$518)&amp;TRIM($J$2:$J$518))&lt;&gt;UPPER(TRIM($G227)&amp;TRIM($I227)&amp;TRIM($J227))))&gt;0), AND($X227&lt;&gt;"", LOWER(TRIM($X227))&lt;&gt;"n/a", LOWER(TRIM($X227))&lt;&gt;"na", SUMPRODUCT(--(UPPER(TRIM($X$2:$X$518))=UPPER(TRIM($X227))), --(UPPER(TRIM($B$2:$B$518))="YES"), --(UPPER(TRIM($G$2:$G$518)&amp;TRIM($I$2:$I$518)&amp;TRIM($J$2:$J$518))&lt;&gt;UPPER(TRIM($G227)&amp;TRIM($I227)&amp;TRIM($J227))))&gt;0), AND($Y227&lt;&gt;"", LOWER(TRIM($Y227))&lt;&gt;"n/a", LOWER(TRIM($Y227))&lt;&gt;"na", SUMPRODUCT(--(UPPER(SUBSTITUTE(SUBSTITUTE(TRIM($Y$2:$Y$518),":",""),"-",""))=UPPER(SUBSTITUTE(SUBSTITUTE(TRIM($Y227),":",""),"-",""))), --(UPPER(TRIM($B$2:$B$518))="YES"), --(UPPER(TRIM($G$2:$G$518)&amp;TRIM($I$2:$I$518)&amp;TRIM($J$2:$J$518))&lt;&gt;UPPER(TRIM($G227)&amp;TRIM($I227)&amp;TRIM($J227))))&gt;0), AND($AB227&lt;&gt;"", LOWER(TRIM($AB227))&lt;&gt;"n/a", LOWER(TRIM($AB227))&lt;&gt;"na", SUMPRODUCT(--(UPPER(TRIM($AB$2:$AB$518))=UPPER(TRIM($AB227))), --(UPPER(TRIM($B$2:$B$518))="YES"), --(UPPER(TRIM($G$2:$G$518)&amp;TRIM($I$2:$I$518)&amp;TRIM($J$2:$J$518))&lt;&gt;UPPER(TRIM($G227)&amp;TRIM($I227)&amp;TRIM($J227))))&gt;0), AND($AH227&lt;&gt;"", LOWER(TRIM($AH227))&lt;&gt;"n/a", LOWER(TRIM($AH227))&lt;&gt;"na", SUMPRODUCT(--(UPPER(SUBSTITUTE(SUBSTITUTE(TRIM($AH$2:$AH$518),":",""),"-",""))=UPPER(SUBSTITUTE(SUBSTITUTE(TRIM($AH227),":",""),"-",""))), --(UPPER(TRIM($B$2:$B$518))="YES"), --(UPPER(TRIM($G$2:$G$518)&amp;TRIM($I$2:$I$518)&amp;TRIM($J$2:$J$518))&lt;&gt;UPPER(TRIM($G227)&amp;TRIM($I227)&amp;TRIM($J227))))&gt;0), AND($AP227&lt;&gt;"", LOWER(TRIM($AP227))&lt;&gt;"n/a", LOWER(TRIM($AP227))&lt;&gt;"na", SUMPRODUCT(--(UPPER(TRIM($AP$2:$AP$518))=UPPER(TRIM($AP227))), --(UPPER(TRIM($B$2:$B$518))="YES"), --(UPPER(TRIM($G$2:$G$518)&amp;TRIM($I$2:$I$518)&amp;TRIM($J$2:$J$518))&lt;&gt;UPPER(TRIM($G227)&amp;TRIM($I227)&amp;TRIM($J227))))&gt;0), AND($AQ227&lt;&gt;"", LOWER(TRIM($AQ227))&lt;&gt;"n/a", LOWER(TRIM($AQ227))&lt;&gt;"na", SUMPRODUCT(--(UPPER(TRIM($AQ$2:$AQ$518))=UPPER(TRIM($AQ227))), --(UPPER(TRIM($B$2:$B$518))="YES"), --(UPPER(TRIM($G$2:$G$518)&amp;TRIM($I$2:$I$518)&amp;TRIM($J$2:$J$518))&lt;&gt;UPPER(TRIM($G227)&amp;TRIM($I227)&amp;TRIM($J227))))&gt;0)), "Yes", "No"))</f>
        <v/>
      </c>
      <c r="G227" t="inlineStr">
        <is>
          <t>1 Marcus</t>
        </is>
      </c>
      <c r="H227" t="inlineStr">
        <is>
          <t>Glen Cove</t>
        </is>
      </c>
      <c r="X227" t="inlineStr">
        <is>
          <t>GCH-MACH-H</t>
        </is>
      </c>
      <c r="Y227" t="inlineStr">
        <is>
          <t>A0F5097B8CD0</t>
        </is>
      </c>
      <c r="AB227" t="inlineStr">
        <is>
          <t>WA25203816</t>
        </is>
      </c>
      <c r="CD227">
        <f>IF($Y227="","",IF((IF(AND($BR227&lt;&gt;"Yes",$BR227&lt;&gt;"N/A"),"Power Cable, ","")&amp;IF(AND($BS227&lt;&gt;"Yes",$BS227&lt;&gt;"N/A"),"Battery, ","")&amp;IF(AND($AD227&lt;&gt;"Yes",$AD227&lt;&gt;"N/A"),"Firmware Download, ","")&amp;IF(AND(OR($AD227="Yes",$AD227="N/A"),$AE227&lt;&gt;"Yes",$AE227&lt;&gt;"N/A"),"Firmware Install, ","")&amp;IF(AND($CB227&lt;&gt;"Yes",$CB227&lt;&gt;"N/A"),"Device ID, ","")&amp;IF(AND($CC227&lt;&gt;"Yes",$CC227&lt;&gt;"N/A"),"Epic Beans Relay, ",""))="","",LEFT(IF(AND($BR227&lt;&gt;"Yes",$BR227&lt;&gt;"N/A"),"Power Cable, ","")&amp;IF(AND($BS227&lt;&gt;"Yes",$BS227&lt;&gt;"N/A"),"Battery, ","")&amp;IF(AND($AD227&lt;&gt;"Yes",$AD227&lt;&gt;"N/A"),"Firmware Download, ","")&amp;IF(AND(OR($AD227="Yes",$AD227="N/A"),$AE227&lt;&gt;"Yes",$AE227&lt;&gt;"N/A"),"Firmware Install, ","")&amp;IF(AND($CB227&lt;&gt;"Yes",$CB227&lt;&gt;"N/A"),"Device ID, ","")&amp;IF(AND($CC227&lt;&gt;"Yes",$CC227&lt;&gt;"N/A"),"Epic Beans Relay, ",""),LEN(IF(AND($BR227&lt;&gt;"Yes",$BR227&lt;&gt;"N/A"),"Power Cable, ","")&amp;IF(AND($BS227&lt;&gt;"Yes",$BS227&lt;&gt;"N/A"),"Battery, ","")&amp;IF(AND($AD227&lt;&gt;"Yes",$AD227&lt;&gt;"N/A"),"Firmware Download, ","")&amp;IF(AND(OR($AD227="Yes",$AD227="N/A"),$AE227&lt;&gt;"Yes",$AE227&lt;&gt;"N/A"),"Firmware Install, ","")&amp;IF(AND($CB227&lt;&gt;"Yes",$CB227&lt;&gt;"N/A"),"Device ID, ","")&amp;IF(AND($CC227&lt;&gt;"Yes",$CC227&lt;&gt;"N/A"),"Epic Beans Relay, ",""))-2)))</f>
        <v/>
      </c>
      <c r="CE227">
        <f>IF($Y227="","",IF($CD227="","Yes","Blocked"))</f>
        <v/>
      </c>
      <c r="CP227">
        <f>IF($CO227="","",IFERROR(VLOOKUP($CO227,'01_Warehouse_Ledger'!$A:$N,4,FALSE),""))</f>
        <v/>
      </c>
      <c r="CQ227">
        <f>IF($CO227="","",IFERROR(VLOOKUP($CO227,'01_Warehouse_Ledger'!$A:$N,5,FALSE),""))</f>
        <v/>
      </c>
      <c r="CR227">
        <f>IF($CO227="","",IFERROR(VLOOKUP($CO227,'01_Warehouse_Ledger'!$A:$N,13,FALSE),""))</f>
        <v/>
      </c>
      <c r="CW227">
        <f>IF($S227="","",IF(UPPER(TRIM($S227))&lt;&gt;"PASS","",IF(LEN(TRIM($BY227))&gt;0,"NOTES_PRESENT",IF(LEN(TRIM($T227))=0,"SET_NA",IF(OR(LOWER(TRIM($T227))="na",LOWER(TRIM($T227))="n/a"),"OK","MANUAL_OVERRIDE")))))</f>
        <v/>
      </c>
    </row>
    <row r="228">
      <c r="A228" t="inlineStr">
        <is>
          <t>Neuron</t>
        </is>
      </c>
      <c r="B228" s="5" t="inlineStr">
        <is>
          <t>No</t>
        </is>
      </c>
      <c r="C228" t="inlineStr">
        <is>
          <t>No</t>
        </is>
      </c>
      <c r="D228">
        <f>IF($B228&lt;&gt;"Yes","",IF($C228="No","Yes",IF($C228="Yes","No","")))</f>
        <v/>
      </c>
      <c r="E228">
        <f>IF($A228="","",IF(OR(AND($V228&lt;&gt;"",LOWER(TRIM($V228))&lt;&gt;"n/a",LOWER(TRIM($V228))&lt;&gt;"na",SUMPRODUCT(--(UPPER(TRIM($V$2:$V$518))=UPPER(TRIM($V228))),--(TRIM($V$2:$V$518)&lt;&gt;""),--(LOWER(TRIM($V$2:$V$518))&lt;&gt;"n/a"),--(LOWER(TRIM($V$2:$V$518))&lt;&gt;"na"))&gt;1),AND($W228&lt;&gt;"",LOWER(TRIM($W228))&lt;&gt;"n/a",LOWER(TRIM($W228))&lt;&gt;"na",SUMPRODUCT(--(UPPER(TRIM($W$2:$W$518))=UPPER(TRIM($W228))),--(TRIM($W$2:$W$518)&lt;&gt;""),--(LOWER(TRIM($W$2:$W$518))&lt;&gt;"n/a"),--(LOWER(TRIM($W$2:$W$518))&lt;&gt;"na"))&gt;1),AND($X228&lt;&gt;"",LOWER(TRIM($X228))&lt;&gt;"n/a",LOWER(TRIM($X228))&lt;&gt;"na",SUMPRODUCT(--(UPPER(TRIM($X$2:$X$518))=UPPER(TRIM($X228))),--(TRIM($X$2:$X$518)&lt;&gt;""),--(LOWER(TRIM($X$2:$X$518))&lt;&gt;"n/a"),--(LOWER(TRIM($X$2:$X$518))&lt;&gt;"na"))&gt;1),AND($Y228&lt;&gt;"",LOWER(TRIM($Y228))&lt;&gt;"n/a",LOWER(TRIM($Y228))&lt;&gt;"na",SUMPRODUCT(--(UPPER(SUBSTITUTE(SUBSTITUTE(TRIM($Y$2:$Y$518),":",""),"-",""))=UPPER(SUBSTITUTE(SUBSTITUTE(TRIM($Y228),":",""),"-",""))),--(TRIM($Y$2:$Y$518)&lt;&gt;""),--(LOWER(TRIM($Y$2:$Y$518))&lt;&gt;"n/a"),--(LOWER(TRIM($Y$2:$Y$518))&lt;&gt;"na"))&gt;1),AND($AB228&lt;&gt;"",LOWER(TRIM($AB228))&lt;&gt;"n/a",LOWER(TRIM($AB228))&lt;&gt;"na",SUMPRODUCT(--(UPPER(TRIM($AB$2:$AB$518))=UPPER(TRIM($AB228))),--(TRIM($AB$2:$AB$518)&lt;&gt;""),--(LOWER(TRIM($AB$2:$AB$518))&lt;&gt;"n/a"),--(LOWER(TRIM($AB$2:$AB$518))&lt;&gt;"na"))&gt;1),AND($AH228&lt;&gt;"",LOWER(TRIM($AH228))&lt;&gt;"n/a",LOWER(TRIM($AH228))&lt;&gt;"na",SUMPRODUCT(--(UPPER(SUBSTITUTE(SUBSTITUTE(TRIM($AH$2:$AH$518),":",""),"-",""))=UPPER(SUBSTITUTE(SUBSTITUTE(TRIM($AH228),":",""),"-",""))),--(TRIM($AH$2:$AH$518)&lt;&gt;""),--(LOWER(TRIM($AH$2:$AH$518))&lt;&gt;"n/a"),--(LOWER(TRIM($AH$2:$AH$518))&lt;&gt;"na"))&gt;1),AND($AP228&lt;&gt;"",LOWER(TRIM($AP228))&lt;&gt;"n/a",LOWER(TRIM($AP228))&lt;&gt;"na",SUMPRODUCT(--(UPPER(TRIM($AP$2:$AP$518))=UPPER(TRIM($AP228))),--(TRIM($AP$2:$AP$518)&lt;&gt;""),--(LOWER(TRIM($AP$2:$AP$518))&lt;&gt;"n/a"),--(LOWER(TRIM($AP$2:$AP$518))&lt;&gt;"na"))&gt;1),AND($AQ228&lt;&gt;"",LOWER(TRIM($AQ228))&lt;&gt;"n/a",LOWER(TRIM($AQ228))&lt;&gt;"na",SUMPRODUCT(--(UPPER(TRIM($AQ$2:$AQ$518))=UPPER(TRIM($AQ228))),--(TRIM($AQ$2:$AQ$518)&lt;&gt;""),--(LOWER(TRIM($AQ$2:$AQ$518))&lt;&gt;"n/a"),--(LOWER(TRIM($AQ$2:$AQ$518))&lt;&gt;"na"))&gt;1)),"Yes","No"))</f>
        <v/>
      </c>
      <c r="F228">
        <f>IF(UPPER(TRIM($B228))&lt;&gt;"YES","", IF(OR(AND($V228&lt;&gt;"", LOWER(TRIM($V228))&lt;&gt;"n/a", LOWER(TRIM($V228))&lt;&gt;"na", SUMPRODUCT(--(UPPER(TRIM($V$2:$V$518))=UPPER(TRIM($V228))), --(UPPER(TRIM($B$2:$B$518))="YES"), --(UPPER(TRIM($G$2:$G$518)&amp;TRIM($I$2:$I$518)&amp;TRIM($J$2:$J$518))&lt;&gt;UPPER(TRIM($G228)&amp;TRIM($I228)&amp;TRIM($J228))))&gt;0), AND($W228&lt;&gt;"", LOWER(TRIM($W228))&lt;&gt;"n/a", LOWER(TRIM($W228))&lt;&gt;"na", SUMPRODUCT(--(UPPER(TRIM($W$2:$W$518))=UPPER(TRIM($W228))), --(UPPER(TRIM($B$2:$B$518))="YES"), --(UPPER(TRIM($G$2:$G$518)&amp;TRIM($I$2:$I$518)&amp;TRIM($J$2:$J$518))&lt;&gt;UPPER(TRIM($G228)&amp;TRIM($I228)&amp;TRIM($J228))))&gt;0), AND($X228&lt;&gt;"", LOWER(TRIM($X228))&lt;&gt;"n/a", LOWER(TRIM($X228))&lt;&gt;"na", SUMPRODUCT(--(UPPER(TRIM($X$2:$X$518))=UPPER(TRIM($X228))), --(UPPER(TRIM($B$2:$B$518))="YES"), --(UPPER(TRIM($G$2:$G$518)&amp;TRIM($I$2:$I$518)&amp;TRIM($J$2:$J$518))&lt;&gt;UPPER(TRIM($G228)&amp;TRIM($I228)&amp;TRIM($J228))))&gt;0), AND($Y228&lt;&gt;"", LOWER(TRIM($Y228))&lt;&gt;"n/a", LOWER(TRIM($Y228))&lt;&gt;"na", SUMPRODUCT(--(UPPER(SUBSTITUTE(SUBSTITUTE(TRIM($Y$2:$Y$518),":",""),"-",""))=UPPER(SUBSTITUTE(SUBSTITUTE(TRIM($Y228),":",""),"-",""))), --(UPPER(TRIM($B$2:$B$518))="YES"), --(UPPER(TRIM($G$2:$G$518)&amp;TRIM($I$2:$I$518)&amp;TRIM($J$2:$J$518))&lt;&gt;UPPER(TRIM($G228)&amp;TRIM($I228)&amp;TRIM($J228))))&gt;0), AND($AB228&lt;&gt;"", LOWER(TRIM($AB228))&lt;&gt;"n/a", LOWER(TRIM($AB228))&lt;&gt;"na", SUMPRODUCT(--(UPPER(TRIM($AB$2:$AB$518))=UPPER(TRIM($AB228))), --(UPPER(TRIM($B$2:$B$518))="YES"), --(UPPER(TRIM($G$2:$G$518)&amp;TRIM($I$2:$I$518)&amp;TRIM($J$2:$J$518))&lt;&gt;UPPER(TRIM($G228)&amp;TRIM($I228)&amp;TRIM($J228))))&gt;0), AND($AH228&lt;&gt;"", LOWER(TRIM($AH228))&lt;&gt;"n/a", LOWER(TRIM($AH228))&lt;&gt;"na", SUMPRODUCT(--(UPPER(SUBSTITUTE(SUBSTITUTE(TRIM($AH$2:$AH$518),":",""),"-",""))=UPPER(SUBSTITUTE(SUBSTITUTE(TRIM($AH228),":",""),"-",""))), --(UPPER(TRIM($B$2:$B$518))="YES"), --(UPPER(TRIM($G$2:$G$518)&amp;TRIM($I$2:$I$518)&amp;TRIM($J$2:$J$518))&lt;&gt;UPPER(TRIM($G228)&amp;TRIM($I228)&amp;TRIM($J228))))&gt;0), AND($AP228&lt;&gt;"", LOWER(TRIM($AP228))&lt;&gt;"n/a", LOWER(TRIM($AP228))&lt;&gt;"na", SUMPRODUCT(--(UPPER(TRIM($AP$2:$AP$518))=UPPER(TRIM($AP228))), --(UPPER(TRIM($B$2:$B$518))="YES"), --(UPPER(TRIM($G$2:$G$518)&amp;TRIM($I$2:$I$518)&amp;TRIM($J$2:$J$518))&lt;&gt;UPPER(TRIM($G228)&amp;TRIM($I228)&amp;TRIM($J228))))&gt;0), AND($AQ228&lt;&gt;"", LOWER(TRIM($AQ228))&lt;&gt;"n/a", LOWER(TRIM($AQ228))&lt;&gt;"na", SUMPRODUCT(--(UPPER(TRIM($AQ$2:$AQ$518))=UPPER(TRIM($AQ228))), --(UPPER(TRIM($B$2:$B$518))="YES"), --(UPPER(TRIM($G$2:$G$518)&amp;TRIM($I$2:$I$518)&amp;TRIM($J$2:$J$518))&lt;&gt;UPPER(TRIM($G228)&amp;TRIM($I228)&amp;TRIM($J228))))&gt;0)), "Yes", "No"))</f>
        <v/>
      </c>
      <c r="G228" t="inlineStr">
        <is>
          <t>1 Marcus</t>
        </is>
      </c>
      <c r="H228" t="inlineStr">
        <is>
          <t>Glen Cove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X228" t="inlineStr">
        <is>
          <t>GCH-MACH-J</t>
        </is>
      </c>
      <c r="Y228" t="inlineStr">
        <is>
          <t>A0F5097B8CF9</t>
        </is>
      </c>
      <c r="AB228" t="inlineStr">
        <is>
          <t>WA25203818</t>
        </is>
      </c>
      <c r="BZ228" t="inlineStr">
        <is>
          <t>In Storage</t>
        </is>
      </c>
      <c r="CD228">
        <f>IF($Y228="","",IF((IF(AND($BR228&lt;&gt;"Yes",$BR228&lt;&gt;"N/A"),"Power Cable, ","")&amp;IF(AND($BS228&lt;&gt;"Yes",$BS228&lt;&gt;"N/A"),"Battery, ","")&amp;IF(AND($AD228&lt;&gt;"Yes",$AD228&lt;&gt;"N/A"),"Firmware Download, ","")&amp;IF(AND(OR($AD228="Yes",$AD228="N/A"),$AE228&lt;&gt;"Yes",$AE228&lt;&gt;"N/A"),"Firmware Install, ","")&amp;IF(AND($CB228&lt;&gt;"Yes",$CB228&lt;&gt;"N/A"),"Device ID, ","")&amp;IF(AND($CC228&lt;&gt;"Yes",$CC228&lt;&gt;"N/A"),"Epic Beans Relay, ",""))="","",LEFT(IF(AND($BR228&lt;&gt;"Yes",$BR228&lt;&gt;"N/A"),"Power Cable, ","")&amp;IF(AND($BS228&lt;&gt;"Yes",$BS228&lt;&gt;"N/A"),"Battery, ","")&amp;IF(AND($AD228&lt;&gt;"Yes",$AD228&lt;&gt;"N/A"),"Firmware Download, ","")&amp;IF(AND(OR($AD228="Yes",$AD228="N/A"),$AE228&lt;&gt;"Yes",$AE228&lt;&gt;"N/A"),"Firmware Install, ","")&amp;IF(AND($CB228&lt;&gt;"Yes",$CB228&lt;&gt;"N/A"),"Device ID, ","")&amp;IF(AND($CC228&lt;&gt;"Yes",$CC228&lt;&gt;"N/A"),"Epic Beans Relay, ",""),LEN(IF(AND($BR228&lt;&gt;"Yes",$BR228&lt;&gt;"N/A"),"Power Cable, ","")&amp;IF(AND($BS228&lt;&gt;"Yes",$BS228&lt;&gt;"N/A"),"Battery, ","")&amp;IF(AND($AD228&lt;&gt;"Yes",$AD228&lt;&gt;"N/A"),"Firmware Download, ","")&amp;IF(AND(OR($AD228="Yes",$AD228="N/A"),$AE228&lt;&gt;"Yes",$AE228&lt;&gt;"N/A"),"Firmware Install, ","")&amp;IF(AND($CB228&lt;&gt;"Yes",$CB228&lt;&gt;"N/A"),"Device ID, ","")&amp;IF(AND($CC228&lt;&gt;"Yes",$CC228&lt;&gt;"N/A"),"Epic Beans Relay, ",""))-2)))</f>
        <v/>
      </c>
      <c r="CE228">
        <f>IF($Y228="","",IF($CD228="","Yes","Blocked"))</f>
        <v/>
      </c>
      <c r="CP228">
        <f>IF($CO228="","",IFERROR(VLOOKUP($CO228,'01_Warehouse_Ledger'!$A:$N,4,FALSE),""))</f>
        <v/>
      </c>
      <c r="CQ228">
        <f>IF($CO228="","",IFERROR(VLOOKUP($CO228,'01_Warehouse_Ledger'!$A:$N,5,FALSE),""))</f>
        <v/>
      </c>
      <c r="CR228">
        <f>IF($CO228="","",IFERROR(VLOOKUP($CO228,'01_Warehouse_Ledger'!$A:$N,13,FALSE),""))</f>
        <v/>
      </c>
      <c r="CW228">
        <f>IF($S228="","",IF(UPPER(TRIM($S228))&lt;&gt;"PASS","",IF(LEN(TRIM($BY228))&gt;0,"NOTES_PRESENT",IF(LEN(TRIM($T228))=0,"SET_NA",IF(OR(LOWER(TRIM($T228))="na",LOWER(TRIM($T228))="n/a"),"OK","MANUAL_OVERRIDE")))))</f>
        <v/>
      </c>
    </row>
    <row r="229">
      <c r="A229" t="inlineStr">
        <is>
          <t>Neuron</t>
        </is>
      </c>
      <c r="B229" s="5" t="inlineStr">
        <is>
          <t>No</t>
        </is>
      </c>
      <c r="C229" t="inlineStr">
        <is>
          <t>No</t>
        </is>
      </c>
      <c r="D229">
        <f>IF($B229&lt;&gt;"Yes","",IF($C229="No","Yes",IF($C229="Yes","No","")))</f>
        <v/>
      </c>
      <c r="E229">
        <f>IF($A229="","",IF(OR(AND($V229&lt;&gt;"",LOWER(TRIM($V229))&lt;&gt;"n/a",LOWER(TRIM($V229))&lt;&gt;"na",SUMPRODUCT(--(UPPER(TRIM($V$2:$V$518))=UPPER(TRIM($V229))),--(TRIM($V$2:$V$518)&lt;&gt;""),--(LOWER(TRIM($V$2:$V$518))&lt;&gt;"n/a"),--(LOWER(TRIM($V$2:$V$518))&lt;&gt;"na"))&gt;1),AND($W229&lt;&gt;"",LOWER(TRIM($W229))&lt;&gt;"n/a",LOWER(TRIM($W229))&lt;&gt;"na",SUMPRODUCT(--(UPPER(TRIM($W$2:$W$518))=UPPER(TRIM($W229))),--(TRIM($W$2:$W$518)&lt;&gt;""),--(LOWER(TRIM($W$2:$W$518))&lt;&gt;"n/a"),--(LOWER(TRIM($W$2:$W$518))&lt;&gt;"na"))&gt;1),AND($X229&lt;&gt;"",LOWER(TRIM($X229))&lt;&gt;"n/a",LOWER(TRIM($X229))&lt;&gt;"na",SUMPRODUCT(--(UPPER(TRIM($X$2:$X$518))=UPPER(TRIM($X229))),--(TRIM($X$2:$X$518)&lt;&gt;""),--(LOWER(TRIM($X$2:$X$518))&lt;&gt;"n/a"),--(LOWER(TRIM($X$2:$X$518))&lt;&gt;"na"))&gt;1),AND($Y229&lt;&gt;"",LOWER(TRIM($Y229))&lt;&gt;"n/a",LOWER(TRIM($Y229))&lt;&gt;"na",SUMPRODUCT(--(UPPER(SUBSTITUTE(SUBSTITUTE(TRIM($Y$2:$Y$518),":",""),"-",""))=UPPER(SUBSTITUTE(SUBSTITUTE(TRIM($Y229),":",""),"-",""))),--(TRIM($Y$2:$Y$518)&lt;&gt;""),--(LOWER(TRIM($Y$2:$Y$518))&lt;&gt;"n/a"),--(LOWER(TRIM($Y$2:$Y$518))&lt;&gt;"na"))&gt;1),AND($AB229&lt;&gt;"",LOWER(TRIM($AB229))&lt;&gt;"n/a",LOWER(TRIM($AB229))&lt;&gt;"na",SUMPRODUCT(--(UPPER(TRIM($AB$2:$AB$518))=UPPER(TRIM($AB229))),--(TRIM($AB$2:$AB$518)&lt;&gt;""),--(LOWER(TRIM($AB$2:$AB$518))&lt;&gt;"n/a"),--(LOWER(TRIM($AB$2:$AB$518))&lt;&gt;"na"))&gt;1),AND($AH229&lt;&gt;"",LOWER(TRIM($AH229))&lt;&gt;"n/a",LOWER(TRIM($AH229))&lt;&gt;"na",SUMPRODUCT(--(UPPER(SUBSTITUTE(SUBSTITUTE(TRIM($AH$2:$AH$518),":",""),"-",""))=UPPER(SUBSTITUTE(SUBSTITUTE(TRIM($AH229),":",""),"-",""))),--(TRIM($AH$2:$AH$518)&lt;&gt;""),--(LOWER(TRIM($AH$2:$AH$518))&lt;&gt;"n/a"),--(LOWER(TRIM($AH$2:$AH$518))&lt;&gt;"na"))&gt;1),AND($AP229&lt;&gt;"",LOWER(TRIM($AP229))&lt;&gt;"n/a",LOWER(TRIM($AP229))&lt;&gt;"na",SUMPRODUCT(--(UPPER(TRIM($AP$2:$AP$518))=UPPER(TRIM($AP229))),--(TRIM($AP$2:$AP$518)&lt;&gt;""),--(LOWER(TRIM($AP$2:$AP$518))&lt;&gt;"n/a"),--(LOWER(TRIM($AP$2:$AP$518))&lt;&gt;"na"))&gt;1),AND($AQ229&lt;&gt;"",LOWER(TRIM($AQ229))&lt;&gt;"n/a",LOWER(TRIM($AQ229))&lt;&gt;"na",SUMPRODUCT(--(UPPER(TRIM($AQ$2:$AQ$518))=UPPER(TRIM($AQ229))),--(TRIM($AQ$2:$AQ$518)&lt;&gt;""),--(LOWER(TRIM($AQ$2:$AQ$518))&lt;&gt;"n/a"),--(LOWER(TRIM($AQ$2:$AQ$518))&lt;&gt;"na"))&gt;1)),"Yes","No"))</f>
        <v/>
      </c>
      <c r="F229">
        <f>IF(UPPER(TRIM($B229))&lt;&gt;"YES","", IF(OR(AND($V229&lt;&gt;"", LOWER(TRIM($V229))&lt;&gt;"n/a", LOWER(TRIM($V229))&lt;&gt;"na", SUMPRODUCT(--(UPPER(TRIM($V$2:$V$518))=UPPER(TRIM($V229))), --(UPPER(TRIM($B$2:$B$518))="YES"), --(UPPER(TRIM($G$2:$G$518)&amp;TRIM($I$2:$I$518)&amp;TRIM($J$2:$J$518))&lt;&gt;UPPER(TRIM($G229)&amp;TRIM($I229)&amp;TRIM($J229))))&gt;0), AND($W229&lt;&gt;"", LOWER(TRIM($W229))&lt;&gt;"n/a", LOWER(TRIM($W229))&lt;&gt;"na", SUMPRODUCT(--(UPPER(TRIM($W$2:$W$518))=UPPER(TRIM($W229))), --(UPPER(TRIM($B$2:$B$518))="YES"), --(UPPER(TRIM($G$2:$G$518)&amp;TRIM($I$2:$I$518)&amp;TRIM($J$2:$J$518))&lt;&gt;UPPER(TRIM($G229)&amp;TRIM($I229)&amp;TRIM($J229))))&gt;0), AND($X229&lt;&gt;"", LOWER(TRIM($X229))&lt;&gt;"n/a", LOWER(TRIM($X229))&lt;&gt;"na", SUMPRODUCT(--(UPPER(TRIM($X$2:$X$518))=UPPER(TRIM($X229))), --(UPPER(TRIM($B$2:$B$518))="YES"), --(UPPER(TRIM($G$2:$G$518)&amp;TRIM($I$2:$I$518)&amp;TRIM($J$2:$J$518))&lt;&gt;UPPER(TRIM($G229)&amp;TRIM($I229)&amp;TRIM($J229))))&gt;0), AND($Y229&lt;&gt;"", LOWER(TRIM($Y229))&lt;&gt;"n/a", LOWER(TRIM($Y229))&lt;&gt;"na", SUMPRODUCT(--(UPPER(SUBSTITUTE(SUBSTITUTE(TRIM($Y$2:$Y$518),":",""),"-",""))=UPPER(SUBSTITUTE(SUBSTITUTE(TRIM($Y229),":",""),"-",""))), --(UPPER(TRIM($B$2:$B$518))="YES"), --(UPPER(TRIM($G$2:$G$518)&amp;TRIM($I$2:$I$518)&amp;TRIM($J$2:$J$518))&lt;&gt;UPPER(TRIM($G229)&amp;TRIM($I229)&amp;TRIM($J229))))&gt;0), AND($AB229&lt;&gt;"", LOWER(TRIM($AB229))&lt;&gt;"n/a", LOWER(TRIM($AB229))&lt;&gt;"na", SUMPRODUCT(--(UPPER(TRIM($AB$2:$AB$518))=UPPER(TRIM($AB229))), --(UPPER(TRIM($B$2:$B$518))="YES"), --(UPPER(TRIM($G$2:$G$518)&amp;TRIM($I$2:$I$518)&amp;TRIM($J$2:$J$518))&lt;&gt;UPPER(TRIM($G229)&amp;TRIM($I229)&amp;TRIM($J229))))&gt;0), AND($AH229&lt;&gt;"", LOWER(TRIM($AH229))&lt;&gt;"n/a", LOWER(TRIM($AH229))&lt;&gt;"na", SUMPRODUCT(--(UPPER(SUBSTITUTE(SUBSTITUTE(TRIM($AH$2:$AH$518),":",""),"-",""))=UPPER(SUBSTITUTE(SUBSTITUTE(TRIM($AH229),":",""),"-",""))), --(UPPER(TRIM($B$2:$B$518))="YES"), --(UPPER(TRIM($G$2:$G$518)&amp;TRIM($I$2:$I$518)&amp;TRIM($J$2:$J$518))&lt;&gt;UPPER(TRIM($G229)&amp;TRIM($I229)&amp;TRIM($J229))))&gt;0), AND($AP229&lt;&gt;"", LOWER(TRIM($AP229))&lt;&gt;"n/a", LOWER(TRIM($AP229))&lt;&gt;"na", SUMPRODUCT(--(UPPER(TRIM($AP$2:$AP$518))=UPPER(TRIM($AP229))), --(UPPER(TRIM($B$2:$B$518))="YES"), --(UPPER(TRIM($G$2:$G$518)&amp;TRIM($I$2:$I$518)&amp;TRIM($J$2:$J$518))&lt;&gt;UPPER(TRIM($G229)&amp;TRIM($I229)&amp;TRIM($J229))))&gt;0), AND($AQ229&lt;&gt;"", LOWER(TRIM($AQ229))&lt;&gt;"n/a", LOWER(TRIM($AQ229))&lt;&gt;"na", SUMPRODUCT(--(UPPER(TRIM($AQ$2:$AQ$518))=UPPER(TRIM($AQ229))), --(UPPER(TRIM($B$2:$B$518))="YES"), --(UPPER(TRIM($G$2:$G$518)&amp;TRIM($I$2:$I$518)&amp;TRIM($J$2:$J$518))&lt;&gt;UPPER(TRIM($G229)&amp;TRIM($I229)&amp;TRIM($J229))))&gt;0)), "Yes", "No"))</f>
        <v/>
      </c>
      <c r="G229" t="inlineStr">
        <is>
          <t>1 Marcus</t>
        </is>
      </c>
      <c r="H229" t="inlineStr">
        <is>
          <t>Glen Cove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X229" t="inlineStr">
        <is>
          <t>GCH-MACH-K</t>
        </is>
      </c>
      <c r="Y229" t="inlineStr">
        <is>
          <t>A0F5097B8B74</t>
        </is>
      </c>
      <c r="AB229" t="inlineStr">
        <is>
          <t>WA25203896</t>
        </is>
      </c>
      <c r="BZ229" t="inlineStr">
        <is>
          <t>In Storage</t>
        </is>
      </c>
      <c r="CD229">
        <f>IF($Y229="","",IF((IF(AND($BR229&lt;&gt;"Yes",$BR229&lt;&gt;"N/A"),"Power Cable, ","")&amp;IF(AND($BS229&lt;&gt;"Yes",$BS229&lt;&gt;"N/A"),"Battery, ","")&amp;IF(AND($AD229&lt;&gt;"Yes",$AD229&lt;&gt;"N/A"),"Firmware Download, ","")&amp;IF(AND(OR($AD229="Yes",$AD229="N/A"),$AE229&lt;&gt;"Yes",$AE229&lt;&gt;"N/A"),"Firmware Install, ","")&amp;IF(AND($CB229&lt;&gt;"Yes",$CB229&lt;&gt;"N/A"),"Device ID, ","")&amp;IF(AND($CC229&lt;&gt;"Yes",$CC229&lt;&gt;"N/A"),"Epic Beans Relay, ",""))="","",LEFT(IF(AND($BR229&lt;&gt;"Yes",$BR229&lt;&gt;"N/A"),"Power Cable, ","")&amp;IF(AND($BS229&lt;&gt;"Yes",$BS229&lt;&gt;"N/A"),"Battery, ","")&amp;IF(AND($AD229&lt;&gt;"Yes",$AD229&lt;&gt;"N/A"),"Firmware Download, ","")&amp;IF(AND(OR($AD229="Yes",$AD229="N/A"),$AE229&lt;&gt;"Yes",$AE229&lt;&gt;"N/A"),"Firmware Install, ","")&amp;IF(AND($CB229&lt;&gt;"Yes",$CB229&lt;&gt;"N/A"),"Device ID, ","")&amp;IF(AND($CC229&lt;&gt;"Yes",$CC229&lt;&gt;"N/A"),"Epic Beans Relay, ",""),LEN(IF(AND($BR229&lt;&gt;"Yes",$BR229&lt;&gt;"N/A"),"Power Cable, ","")&amp;IF(AND($BS229&lt;&gt;"Yes",$BS229&lt;&gt;"N/A"),"Battery, ","")&amp;IF(AND($AD229&lt;&gt;"Yes",$AD229&lt;&gt;"N/A"),"Firmware Download, ","")&amp;IF(AND(OR($AD229="Yes",$AD229="N/A"),$AE229&lt;&gt;"Yes",$AE229&lt;&gt;"N/A"),"Firmware Install, ","")&amp;IF(AND($CB229&lt;&gt;"Yes",$CB229&lt;&gt;"N/A"),"Device ID, ","")&amp;IF(AND($CC229&lt;&gt;"Yes",$CC229&lt;&gt;"N/A"),"Epic Beans Relay, ",""))-2)))</f>
        <v/>
      </c>
      <c r="CE229">
        <f>IF($Y229="","",IF($CD229="","Yes","Blocked"))</f>
        <v/>
      </c>
      <c r="CP229">
        <f>IF($CO229="","",IFERROR(VLOOKUP($CO229,'01_Warehouse_Ledger'!$A:$N,4,FALSE),""))</f>
        <v/>
      </c>
      <c r="CQ229">
        <f>IF($CO229="","",IFERROR(VLOOKUP($CO229,'01_Warehouse_Ledger'!$A:$N,5,FALSE),""))</f>
        <v/>
      </c>
      <c r="CR229">
        <f>IF($CO229="","",IFERROR(VLOOKUP($CO229,'01_Warehouse_Ledger'!$A:$N,13,FALSE),""))</f>
        <v/>
      </c>
      <c r="CW229">
        <f>IF($S229="","",IF(UPPER(TRIM($S229))&lt;&gt;"PASS","",IF(LEN(TRIM($BY229))&gt;0,"NOTES_PRESENT",IF(LEN(TRIM($T229))=0,"SET_NA",IF(OR(LOWER(TRIM($T229))="na",LOWER(TRIM($T229))="n/a"),"OK","MANUAL_OVERRIDE")))))</f>
        <v/>
      </c>
    </row>
    <row r="230">
      <c r="A230" t="inlineStr">
        <is>
          <t>Cybernet</t>
        </is>
      </c>
      <c r="B230" s="5" t="inlineStr">
        <is>
          <t>No</t>
        </is>
      </c>
      <c r="C230" t="inlineStr">
        <is>
          <t>No</t>
        </is>
      </c>
      <c r="D230">
        <f>IF($B230&lt;&gt;"Yes","",IF($C230="No","Yes",IF($C230="Yes","No","")))</f>
        <v/>
      </c>
      <c r="E230">
        <f>IF($A230="","",IF(OR(AND($V230&lt;&gt;"",LOWER(TRIM($V230))&lt;&gt;"n/a",LOWER(TRIM($V230))&lt;&gt;"na",SUMPRODUCT(--(UPPER(TRIM($V$2:$V$518))=UPPER(TRIM($V230))),--(TRIM($V$2:$V$518)&lt;&gt;""),--(LOWER(TRIM($V$2:$V$518))&lt;&gt;"n/a"),--(LOWER(TRIM($V$2:$V$518))&lt;&gt;"na"))&gt;1),AND($W230&lt;&gt;"",LOWER(TRIM($W230))&lt;&gt;"n/a",LOWER(TRIM($W230))&lt;&gt;"na",SUMPRODUCT(--(UPPER(TRIM($W$2:$W$518))=UPPER(TRIM($W230))),--(TRIM($W$2:$W$518)&lt;&gt;""),--(LOWER(TRIM($W$2:$W$518))&lt;&gt;"n/a"),--(LOWER(TRIM($W$2:$W$518))&lt;&gt;"na"))&gt;1),AND($X230&lt;&gt;"",LOWER(TRIM($X230))&lt;&gt;"n/a",LOWER(TRIM($X230))&lt;&gt;"na",SUMPRODUCT(--(UPPER(TRIM($X$2:$X$518))=UPPER(TRIM($X230))),--(TRIM($X$2:$X$518)&lt;&gt;""),--(LOWER(TRIM($X$2:$X$518))&lt;&gt;"n/a"),--(LOWER(TRIM($X$2:$X$518))&lt;&gt;"na"))&gt;1),AND($Y230&lt;&gt;"",LOWER(TRIM($Y230))&lt;&gt;"n/a",LOWER(TRIM($Y230))&lt;&gt;"na",SUMPRODUCT(--(UPPER(SUBSTITUTE(SUBSTITUTE(TRIM($Y$2:$Y$518),":",""),"-",""))=UPPER(SUBSTITUTE(SUBSTITUTE(TRIM($Y230),":",""),"-",""))),--(TRIM($Y$2:$Y$518)&lt;&gt;""),--(LOWER(TRIM($Y$2:$Y$518))&lt;&gt;"n/a"),--(LOWER(TRIM($Y$2:$Y$518))&lt;&gt;"na"))&gt;1),AND($AB230&lt;&gt;"",LOWER(TRIM($AB230))&lt;&gt;"n/a",LOWER(TRIM($AB230))&lt;&gt;"na",SUMPRODUCT(--(UPPER(TRIM($AB$2:$AB$518))=UPPER(TRIM($AB230))),--(TRIM($AB$2:$AB$518)&lt;&gt;""),--(LOWER(TRIM($AB$2:$AB$518))&lt;&gt;"n/a"),--(LOWER(TRIM($AB$2:$AB$518))&lt;&gt;"na"))&gt;1),AND($AH230&lt;&gt;"",LOWER(TRIM($AH230))&lt;&gt;"n/a",LOWER(TRIM($AH230))&lt;&gt;"na",SUMPRODUCT(--(UPPER(SUBSTITUTE(SUBSTITUTE(TRIM($AH$2:$AH$518),":",""),"-",""))=UPPER(SUBSTITUTE(SUBSTITUTE(TRIM($AH230),":",""),"-",""))),--(TRIM($AH$2:$AH$518)&lt;&gt;""),--(LOWER(TRIM($AH$2:$AH$518))&lt;&gt;"n/a"),--(LOWER(TRIM($AH$2:$AH$518))&lt;&gt;"na"))&gt;1),AND($AP230&lt;&gt;"",LOWER(TRIM($AP230))&lt;&gt;"n/a",LOWER(TRIM($AP230))&lt;&gt;"na",SUMPRODUCT(--(UPPER(TRIM($AP$2:$AP$518))=UPPER(TRIM($AP230))),--(TRIM($AP$2:$AP$518)&lt;&gt;""),--(LOWER(TRIM($AP$2:$AP$518))&lt;&gt;"n/a"),--(LOWER(TRIM($AP$2:$AP$518))&lt;&gt;"na"))&gt;1),AND($AQ230&lt;&gt;"",LOWER(TRIM($AQ230))&lt;&gt;"n/a",LOWER(TRIM($AQ230))&lt;&gt;"na",SUMPRODUCT(--(UPPER(TRIM($AQ$2:$AQ$518))=UPPER(TRIM($AQ230))),--(TRIM($AQ$2:$AQ$518)&lt;&gt;""),--(LOWER(TRIM($AQ$2:$AQ$518))&lt;&gt;"n/a"),--(LOWER(TRIM($AQ$2:$AQ$518))&lt;&gt;"na"))&gt;1)),"Yes","No"))</f>
        <v/>
      </c>
      <c r="F230">
        <f>IF(UPPER(TRIM($B230))&lt;&gt;"YES","", IF(OR(AND($V230&lt;&gt;"", LOWER(TRIM($V230))&lt;&gt;"n/a", LOWER(TRIM($V230))&lt;&gt;"na", SUMPRODUCT(--(UPPER(TRIM($V$2:$V$518))=UPPER(TRIM($V230))), --(UPPER(TRIM($B$2:$B$518))="YES"), --(UPPER(TRIM($G$2:$G$518)&amp;TRIM($I$2:$I$518)&amp;TRIM($J$2:$J$518))&lt;&gt;UPPER(TRIM($G230)&amp;TRIM($I230)&amp;TRIM($J230))))&gt;0), AND($W230&lt;&gt;"", LOWER(TRIM($W230))&lt;&gt;"n/a", LOWER(TRIM($W230))&lt;&gt;"na", SUMPRODUCT(--(UPPER(TRIM($W$2:$W$518))=UPPER(TRIM($W230))), --(UPPER(TRIM($B$2:$B$518))="YES"), --(UPPER(TRIM($G$2:$G$518)&amp;TRIM($I$2:$I$518)&amp;TRIM($J$2:$J$518))&lt;&gt;UPPER(TRIM($G230)&amp;TRIM($I230)&amp;TRIM($J230))))&gt;0), AND($X230&lt;&gt;"", LOWER(TRIM($X230))&lt;&gt;"n/a", LOWER(TRIM($X230))&lt;&gt;"na", SUMPRODUCT(--(UPPER(TRIM($X$2:$X$518))=UPPER(TRIM($X230))), --(UPPER(TRIM($B$2:$B$518))="YES"), --(UPPER(TRIM($G$2:$G$518)&amp;TRIM($I$2:$I$518)&amp;TRIM($J$2:$J$518))&lt;&gt;UPPER(TRIM($G230)&amp;TRIM($I230)&amp;TRIM($J230))))&gt;0), AND($Y230&lt;&gt;"", LOWER(TRIM($Y230))&lt;&gt;"n/a", LOWER(TRIM($Y230))&lt;&gt;"na", SUMPRODUCT(--(UPPER(SUBSTITUTE(SUBSTITUTE(TRIM($Y$2:$Y$518),":",""),"-",""))=UPPER(SUBSTITUTE(SUBSTITUTE(TRIM($Y230),":",""),"-",""))), --(UPPER(TRIM($B$2:$B$518))="YES"), --(UPPER(TRIM($G$2:$G$518)&amp;TRIM($I$2:$I$518)&amp;TRIM($J$2:$J$518))&lt;&gt;UPPER(TRIM($G230)&amp;TRIM($I230)&amp;TRIM($J230))))&gt;0), AND($AB230&lt;&gt;"", LOWER(TRIM($AB230))&lt;&gt;"n/a", LOWER(TRIM($AB230))&lt;&gt;"na", SUMPRODUCT(--(UPPER(TRIM($AB$2:$AB$518))=UPPER(TRIM($AB230))), --(UPPER(TRIM($B$2:$B$518))="YES"), --(UPPER(TRIM($G$2:$G$518)&amp;TRIM($I$2:$I$518)&amp;TRIM($J$2:$J$518))&lt;&gt;UPPER(TRIM($G230)&amp;TRIM($I230)&amp;TRIM($J230))))&gt;0), AND($AH230&lt;&gt;"", LOWER(TRIM($AH230))&lt;&gt;"n/a", LOWER(TRIM($AH230))&lt;&gt;"na", SUMPRODUCT(--(UPPER(SUBSTITUTE(SUBSTITUTE(TRIM($AH$2:$AH$518),":",""),"-",""))=UPPER(SUBSTITUTE(SUBSTITUTE(TRIM($AH230),":",""),"-",""))), --(UPPER(TRIM($B$2:$B$518))="YES"), --(UPPER(TRIM($G$2:$G$518)&amp;TRIM($I$2:$I$518)&amp;TRIM($J$2:$J$518))&lt;&gt;UPPER(TRIM($G230)&amp;TRIM($I230)&amp;TRIM($J230))))&gt;0), AND($AP230&lt;&gt;"", LOWER(TRIM($AP230))&lt;&gt;"n/a", LOWER(TRIM($AP230))&lt;&gt;"na", SUMPRODUCT(--(UPPER(TRIM($AP$2:$AP$518))=UPPER(TRIM($AP230))), --(UPPER(TRIM($B$2:$B$518))="YES"), --(UPPER(TRIM($G$2:$G$518)&amp;TRIM($I$2:$I$518)&amp;TRIM($J$2:$J$518))&lt;&gt;UPPER(TRIM($G230)&amp;TRIM($I230)&amp;TRIM($J230))))&gt;0), AND($AQ230&lt;&gt;"", LOWER(TRIM($AQ230))&lt;&gt;"n/a", LOWER(TRIM($AQ230))&lt;&gt;"na", SUMPRODUCT(--(UPPER(TRIM($AQ$2:$AQ$518))=UPPER(TRIM($AQ230))), --(UPPER(TRIM($B$2:$B$518))="YES"), --(UPPER(TRIM($G$2:$G$518)&amp;TRIM($I$2:$I$518)&amp;TRIM($J$2:$J$518))&lt;&gt;UPPER(TRIM($G230)&amp;TRIM($I230)&amp;TRIM($J230))))&gt;0)), "Yes", "No"))</f>
        <v/>
      </c>
      <c r="G230" t="inlineStr">
        <is>
          <t>100 Commercial St</t>
        </is>
      </c>
      <c r="H230" t="inlineStr">
        <is>
          <t>LIJ-IR</t>
        </is>
      </c>
      <c r="M230" t="inlineStr">
        <is>
          <t>OR iPro Cybernet Workstation</t>
        </is>
      </c>
      <c r="N230" t="inlineStr">
        <is>
          <t>Yes</t>
        </is>
      </c>
      <c r="O230" t="inlineStr">
        <is>
          <t>No</t>
        </is>
      </c>
      <c r="P230" t="inlineStr">
        <is>
          <t>No</t>
        </is>
      </c>
      <c r="V230" t="inlineStr">
        <is>
          <t>WNH270INR001</t>
        </is>
      </c>
      <c r="W230" t="inlineStr">
        <is>
          <t>MEDSG2425F-0053</t>
        </is>
      </c>
      <c r="AH230" t="inlineStr">
        <is>
          <t>00:0D:05:0A:A4:D5</t>
        </is>
      </c>
      <c r="AM230" t="inlineStr">
        <is>
          <t>Cybernet Manufacturing Inc</t>
        </is>
      </c>
      <c r="AN230" t="inlineStr">
        <is>
          <t>CyberMed-S24 TGL</t>
        </is>
      </c>
      <c r="BY230" t="inlineStr">
        <is>
          <t>Ran POSTINSTALL, boxed</t>
        </is>
      </c>
      <c r="BZ230" t="inlineStr">
        <is>
          <t>In Storage</t>
        </is>
      </c>
      <c r="CA230" t="inlineStr">
        <is>
          <t>iPro
Epic Satellite
ALLSCRIPTS
EPIC BCA</t>
        </is>
      </c>
      <c r="CD230">
        <f>IF($Y230="","",IF((IF(AND($BR230&lt;&gt;"Yes",$BR230&lt;&gt;"N/A"),"Power Cable, ","")&amp;IF(AND($BS230&lt;&gt;"Yes",$BS230&lt;&gt;"N/A"),"Battery, ","")&amp;IF(AND($AD230&lt;&gt;"Yes",$AD230&lt;&gt;"N/A"),"Firmware Download, ","")&amp;IF(AND(OR($AD230="Yes",$AD230="N/A"),$AE230&lt;&gt;"Yes",$AE230&lt;&gt;"N/A"),"Firmware Install, ","")&amp;IF(AND($CB230&lt;&gt;"Yes",$CB230&lt;&gt;"N/A"),"Device ID, ","")&amp;IF(AND($CC230&lt;&gt;"Yes",$CC230&lt;&gt;"N/A"),"Epic Beans Relay, ",""))="","",LEFT(IF(AND($BR230&lt;&gt;"Yes",$BR230&lt;&gt;"N/A"),"Power Cable, ","")&amp;IF(AND($BS230&lt;&gt;"Yes",$BS230&lt;&gt;"N/A"),"Battery, ","")&amp;IF(AND($AD230&lt;&gt;"Yes",$AD230&lt;&gt;"N/A"),"Firmware Download, ","")&amp;IF(AND(OR($AD230="Yes",$AD230="N/A"),$AE230&lt;&gt;"Yes",$AE230&lt;&gt;"N/A"),"Firmware Install, ","")&amp;IF(AND($CB230&lt;&gt;"Yes",$CB230&lt;&gt;"N/A"),"Device ID, ","")&amp;IF(AND($CC230&lt;&gt;"Yes",$CC230&lt;&gt;"N/A"),"Epic Beans Relay, ",""),LEN(IF(AND($BR230&lt;&gt;"Yes",$BR230&lt;&gt;"N/A"),"Power Cable, ","")&amp;IF(AND($BS230&lt;&gt;"Yes",$BS230&lt;&gt;"N/A"),"Battery, ","")&amp;IF(AND($AD230&lt;&gt;"Yes",$AD230&lt;&gt;"N/A"),"Firmware Download, ","")&amp;IF(AND(OR($AD230="Yes",$AD230="N/A"),$AE230&lt;&gt;"Yes",$AE230&lt;&gt;"N/A"),"Firmware Install, ","")&amp;IF(AND($CB230&lt;&gt;"Yes",$CB230&lt;&gt;"N/A"),"Device ID, ","")&amp;IF(AND($CC230&lt;&gt;"Yes",$CC230&lt;&gt;"N/A"),"Epic Beans Relay, ",""))-2)))</f>
        <v/>
      </c>
      <c r="CE230">
        <f>IF($Y230="","",IF($CD230="","Yes","Blocked"))</f>
        <v/>
      </c>
      <c r="CF230" t="inlineStr">
        <is>
          <t>Yes</t>
        </is>
      </c>
      <c r="CG230" t="inlineStr">
        <is>
          <t>Yes</t>
        </is>
      </c>
      <c r="CH230" t="inlineStr">
        <is>
          <t>Yes</t>
        </is>
      </c>
      <c r="CI230" t="inlineStr">
        <is>
          <t>Yes</t>
        </is>
      </c>
      <c r="CJ230" t="inlineStr">
        <is>
          <t>Yes</t>
        </is>
      </c>
      <c r="CK230" t="n">
        <v>19200</v>
      </c>
      <c r="CP230">
        <f>IF($CO230="","",IFERROR(VLOOKUP($CO230,'01_Warehouse_Ledger'!$A:$N,4,FALSE),""))</f>
        <v/>
      </c>
      <c r="CQ230">
        <f>IF($CO230="","",IFERROR(VLOOKUP($CO230,'01_Warehouse_Ledger'!$A:$N,5,FALSE),""))</f>
        <v/>
      </c>
      <c r="CR230">
        <f>IF($CO230="","",IFERROR(VLOOKUP($CO230,'01_Warehouse_Ledger'!$A:$N,13,FALSE),""))</f>
        <v/>
      </c>
      <c r="CW230">
        <f>IF($S230="","",IF(UPPER(TRIM($S230))&lt;&gt;"PASS","",IF(LEN(TRIM($BY230))&gt;0,"NOTES_PRESENT",IF(LEN(TRIM($T230))=0,"SET_NA",IF(OR(LOWER(TRIM($T230))="na",LOWER(TRIM($T230))="n/a"),"OK","MANUAL_OVERRIDE")))))</f>
        <v/>
      </c>
    </row>
    <row r="231">
      <c r="A231" t="inlineStr">
        <is>
          <t>Cybernet</t>
        </is>
      </c>
      <c r="B231" s="5" t="inlineStr">
        <is>
          <t>No</t>
        </is>
      </c>
      <c r="C231" t="inlineStr">
        <is>
          <t>No</t>
        </is>
      </c>
      <c r="D231">
        <f>IF($B231&lt;&gt;"Yes","",IF($C231="No","Yes",IF($C231="Yes","No","")))</f>
        <v/>
      </c>
      <c r="E231">
        <f>IF($A231="","",IF(OR(AND($V231&lt;&gt;"",LOWER(TRIM($V231))&lt;&gt;"n/a",LOWER(TRIM($V231))&lt;&gt;"na",SUMPRODUCT(--(UPPER(TRIM($V$2:$V$518))=UPPER(TRIM($V231))),--(TRIM($V$2:$V$518)&lt;&gt;""),--(LOWER(TRIM($V$2:$V$518))&lt;&gt;"n/a"),--(LOWER(TRIM($V$2:$V$518))&lt;&gt;"na"))&gt;1),AND($W231&lt;&gt;"",LOWER(TRIM($W231))&lt;&gt;"n/a",LOWER(TRIM($W231))&lt;&gt;"na",SUMPRODUCT(--(UPPER(TRIM($W$2:$W$518))=UPPER(TRIM($W231))),--(TRIM($W$2:$W$518)&lt;&gt;""),--(LOWER(TRIM($W$2:$W$518))&lt;&gt;"n/a"),--(LOWER(TRIM($W$2:$W$518))&lt;&gt;"na"))&gt;1),AND($X231&lt;&gt;"",LOWER(TRIM($X231))&lt;&gt;"n/a",LOWER(TRIM($X231))&lt;&gt;"na",SUMPRODUCT(--(UPPER(TRIM($X$2:$X$518))=UPPER(TRIM($X231))),--(TRIM($X$2:$X$518)&lt;&gt;""),--(LOWER(TRIM($X$2:$X$518))&lt;&gt;"n/a"),--(LOWER(TRIM($X$2:$X$518))&lt;&gt;"na"))&gt;1),AND($Y231&lt;&gt;"",LOWER(TRIM($Y231))&lt;&gt;"n/a",LOWER(TRIM($Y231))&lt;&gt;"na",SUMPRODUCT(--(UPPER(SUBSTITUTE(SUBSTITUTE(TRIM($Y$2:$Y$518),":",""),"-",""))=UPPER(SUBSTITUTE(SUBSTITUTE(TRIM($Y231),":",""),"-",""))),--(TRIM($Y$2:$Y$518)&lt;&gt;""),--(LOWER(TRIM($Y$2:$Y$518))&lt;&gt;"n/a"),--(LOWER(TRIM($Y$2:$Y$518))&lt;&gt;"na"))&gt;1),AND($AB231&lt;&gt;"",LOWER(TRIM($AB231))&lt;&gt;"n/a",LOWER(TRIM($AB231))&lt;&gt;"na",SUMPRODUCT(--(UPPER(TRIM($AB$2:$AB$518))=UPPER(TRIM($AB231))),--(TRIM($AB$2:$AB$518)&lt;&gt;""),--(LOWER(TRIM($AB$2:$AB$518))&lt;&gt;"n/a"),--(LOWER(TRIM($AB$2:$AB$518))&lt;&gt;"na"))&gt;1),AND($AH231&lt;&gt;"",LOWER(TRIM($AH231))&lt;&gt;"n/a",LOWER(TRIM($AH231))&lt;&gt;"na",SUMPRODUCT(--(UPPER(SUBSTITUTE(SUBSTITUTE(TRIM($AH$2:$AH$518),":",""),"-",""))=UPPER(SUBSTITUTE(SUBSTITUTE(TRIM($AH231),":",""),"-",""))),--(TRIM($AH$2:$AH$518)&lt;&gt;""),--(LOWER(TRIM($AH$2:$AH$518))&lt;&gt;"n/a"),--(LOWER(TRIM($AH$2:$AH$518))&lt;&gt;"na"))&gt;1),AND($AP231&lt;&gt;"",LOWER(TRIM($AP231))&lt;&gt;"n/a",LOWER(TRIM($AP231))&lt;&gt;"na",SUMPRODUCT(--(UPPER(TRIM($AP$2:$AP$518))=UPPER(TRIM($AP231))),--(TRIM($AP$2:$AP$518)&lt;&gt;""),--(LOWER(TRIM($AP$2:$AP$518))&lt;&gt;"n/a"),--(LOWER(TRIM($AP$2:$AP$518))&lt;&gt;"na"))&gt;1),AND($AQ231&lt;&gt;"",LOWER(TRIM($AQ231))&lt;&gt;"n/a",LOWER(TRIM($AQ231))&lt;&gt;"na",SUMPRODUCT(--(UPPER(TRIM($AQ$2:$AQ$518))=UPPER(TRIM($AQ231))),--(TRIM($AQ$2:$AQ$518)&lt;&gt;""),--(LOWER(TRIM($AQ$2:$AQ$518))&lt;&gt;"n/a"),--(LOWER(TRIM($AQ$2:$AQ$518))&lt;&gt;"na"))&gt;1)),"Yes","No"))</f>
        <v/>
      </c>
      <c r="F231">
        <f>IF(UPPER(TRIM($B231))&lt;&gt;"YES","", IF(OR(AND($V231&lt;&gt;"", LOWER(TRIM($V231))&lt;&gt;"n/a", LOWER(TRIM($V231))&lt;&gt;"na", SUMPRODUCT(--(UPPER(TRIM($V$2:$V$518))=UPPER(TRIM($V231))), --(UPPER(TRIM($B$2:$B$518))="YES"), --(UPPER(TRIM($G$2:$G$518)&amp;TRIM($I$2:$I$518)&amp;TRIM($J$2:$J$518))&lt;&gt;UPPER(TRIM($G231)&amp;TRIM($I231)&amp;TRIM($J231))))&gt;0), AND($W231&lt;&gt;"", LOWER(TRIM($W231))&lt;&gt;"n/a", LOWER(TRIM($W231))&lt;&gt;"na", SUMPRODUCT(--(UPPER(TRIM($W$2:$W$518))=UPPER(TRIM($W231))), --(UPPER(TRIM($B$2:$B$518))="YES"), --(UPPER(TRIM($G$2:$G$518)&amp;TRIM($I$2:$I$518)&amp;TRIM($J$2:$J$518))&lt;&gt;UPPER(TRIM($G231)&amp;TRIM($I231)&amp;TRIM($J231))))&gt;0), AND($X231&lt;&gt;"", LOWER(TRIM($X231))&lt;&gt;"n/a", LOWER(TRIM($X231))&lt;&gt;"na", SUMPRODUCT(--(UPPER(TRIM($X$2:$X$518))=UPPER(TRIM($X231))), --(UPPER(TRIM($B$2:$B$518))="YES"), --(UPPER(TRIM($G$2:$G$518)&amp;TRIM($I$2:$I$518)&amp;TRIM($J$2:$J$518))&lt;&gt;UPPER(TRIM($G231)&amp;TRIM($I231)&amp;TRIM($J231))))&gt;0), AND($Y231&lt;&gt;"", LOWER(TRIM($Y231))&lt;&gt;"n/a", LOWER(TRIM($Y231))&lt;&gt;"na", SUMPRODUCT(--(UPPER(SUBSTITUTE(SUBSTITUTE(TRIM($Y$2:$Y$518),":",""),"-",""))=UPPER(SUBSTITUTE(SUBSTITUTE(TRIM($Y231),":",""),"-",""))), --(UPPER(TRIM($B$2:$B$518))="YES"), --(UPPER(TRIM($G$2:$G$518)&amp;TRIM($I$2:$I$518)&amp;TRIM($J$2:$J$518))&lt;&gt;UPPER(TRIM($G231)&amp;TRIM($I231)&amp;TRIM($J231))))&gt;0), AND($AB231&lt;&gt;"", LOWER(TRIM($AB231))&lt;&gt;"n/a", LOWER(TRIM($AB231))&lt;&gt;"na", SUMPRODUCT(--(UPPER(TRIM($AB$2:$AB$518))=UPPER(TRIM($AB231))), --(UPPER(TRIM($B$2:$B$518))="YES"), --(UPPER(TRIM($G$2:$G$518)&amp;TRIM($I$2:$I$518)&amp;TRIM($J$2:$J$518))&lt;&gt;UPPER(TRIM($G231)&amp;TRIM($I231)&amp;TRIM($J231))))&gt;0), AND($AH231&lt;&gt;"", LOWER(TRIM($AH231))&lt;&gt;"n/a", LOWER(TRIM($AH231))&lt;&gt;"na", SUMPRODUCT(--(UPPER(SUBSTITUTE(SUBSTITUTE(TRIM($AH$2:$AH$518),":",""),"-",""))=UPPER(SUBSTITUTE(SUBSTITUTE(TRIM($AH231),":",""),"-",""))), --(UPPER(TRIM($B$2:$B$518))="YES"), --(UPPER(TRIM($G$2:$G$518)&amp;TRIM($I$2:$I$518)&amp;TRIM($J$2:$J$518))&lt;&gt;UPPER(TRIM($G231)&amp;TRIM($I231)&amp;TRIM($J231))))&gt;0), AND($AP231&lt;&gt;"", LOWER(TRIM($AP231))&lt;&gt;"n/a", LOWER(TRIM($AP231))&lt;&gt;"na", SUMPRODUCT(--(UPPER(TRIM($AP$2:$AP$518))=UPPER(TRIM($AP231))), --(UPPER(TRIM($B$2:$B$518))="YES"), --(UPPER(TRIM($G$2:$G$518)&amp;TRIM($I$2:$I$518)&amp;TRIM($J$2:$J$518))&lt;&gt;UPPER(TRIM($G231)&amp;TRIM($I231)&amp;TRIM($J231))))&gt;0), AND($AQ231&lt;&gt;"", LOWER(TRIM($AQ231))&lt;&gt;"n/a", LOWER(TRIM($AQ231))&lt;&gt;"na", SUMPRODUCT(--(UPPER(TRIM($AQ$2:$AQ$518))=UPPER(TRIM($AQ231))), --(UPPER(TRIM($B$2:$B$518))="YES"), --(UPPER(TRIM($G$2:$G$518)&amp;TRIM($I$2:$I$518)&amp;TRIM($J$2:$J$518))&lt;&gt;UPPER(TRIM($G231)&amp;TRIM($I231)&amp;TRIM($J231))))&gt;0)), "Yes", "No"))</f>
        <v/>
      </c>
      <c r="G231" t="inlineStr">
        <is>
          <t>1 MARCUS</t>
        </is>
      </c>
      <c r="H231" t="inlineStr">
        <is>
          <t xml:space="preserve">GC </t>
        </is>
      </c>
      <c r="M231" t="inlineStr">
        <is>
          <t>OR iPro Cybernet Workstation</t>
        </is>
      </c>
      <c r="N231" t="inlineStr">
        <is>
          <t>Yes</t>
        </is>
      </c>
      <c r="O231" t="inlineStr">
        <is>
          <t>No</t>
        </is>
      </c>
      <c r="P231" t="inlineStr">
        <is>
          <t>No</t>
        </is>
      </c>
      <c r="V231" t="inlineStr">
        <is>
          <t>WGC101OPR036</t>
        </is>
      </c>
      <c r="W231" t="inlineStr">
        <is>
          <t>MEDSG2425F-0287</t>
        </is>
      </c>
      <c r="AH231" t="inlineStr">
        <is>
          <t>00:0D:05:0A:A8:66</t>
        </is>
      </c>
      <c r="AM231" t="inlineStr">
        <is>
          <t>Cybernet Manufacturing Inc</t>
        </is>
      </c>
      <c r="AN231" t="inlineStr">
        <is>
          <t>CyberMed-S24 TGL</t>
        </is>
      </c>
      <c r="BY231" t="inlineStr">
        <is>
          <t>Ran POSTINSTALL, boxed</t>
        </is>
      </c>
      <c r="BZ231" t="inlineStr">
        <is>
          <t>In Storage</t>
        </is>
      </c>
      <c r="CA231" t="inlineStr">
        <is>
          <t>iPro
Epic Satellite
ALLSCRIPTS
EPIC BCA</t>
        </is>
      </c>
      <c r="CD231">
        <f>IF($Y231="","",IF((IF(AND($BR231&lt;&gt;"Yes",$BR231&lt;&gt;"N/A"),"Power Cable, ","")&amp;IF(AND($BS231&lt;&gt;"Yes",$BS231&lt;&gt;"N/A"),"Battery, ","")&amp;IF(AND($AD231&lt;&gt;"Yes",$AD231&lt;&gt;"N/A"),"Firmware Download, ","")&amp;IF(AND(OR($AD231="Yes",$AD231="N/A"),$AE231&lt;&gt;"Yes",$AE231&lt;&gt;"N/A"),"Firmware Install, ","")&amp;IF(AND($CB231&lt;&gt;"Yes",$CB231&lt;&gt;"N/A"),"Device ID, ","")&amp;IF(AND($CC231&lt;&gt;"Yes",$CC231&lt;&gt;"N/A"),"Epic Beans Relay, ",""))="","",LEFT(IF(AND($BR231&lt;&gt;"Yes",$BR231&lt;&gt;"N/A"),"Power Cable, ","")&amp;IF(AND($BS231&lt;&gt;"Yes",$BS231&lt;&gt;"N/A"),"Battery, ","")&amp;IF(AND($AD231&lt;&gt;"Yes",$AD231&lt;&gt;"N/A"),"Firmware Download, ","")&amp;IF(AND(OR($AD231="Yes",$AD231="N/A"),$AE231&lt;&gt;"Yes",$AE231&lt;&gt;"N/A"),"Firmware Install, ","")&amp;IF(AND($CB231&lt;&gt;"Yes",$CB231&lt;&gt;"N/A"),"Device ID, ","")&amp;IF(AND($CC231&lt;&gt;"Yes",$CC231&lt;&gt;"N/A"),"Epic Beans Relay, ",""),LEN(IF(AND($BR231&lt;&gt;"Yes",$BR231&lt;&gt;"N/A"),"Power Cable, ","")&amp;IF(AND($BS231&lt;&gt;"Yes",$BS231&lt;&gt;"N/A"),"Battery, ","")&amp;IF(AND($AD231&lt;&gt;"Yes",$AD231&lt;&gt;"N/A"),"Firmware Download, ","")&amp;IF(AND(OR($AD231="Yes",$AD231="N/A"),$AE231&lt;&gt;"Yes",$AE231&lt;&gt;"N/A"),"Firmware Install, ","")&amp;IF(AND($CB231&lt;&gt;"Yes",$CB231&lt;&gt;"N/A"),"Device ID, ","")&amp;IF(AND($CC231&lt;&gt;"Yes",$CC231&lt;&gt;"N/A"),"Epic Beans Relay, ",""))-2)))</f>
        <v/>
      </c>
      <c r="CE231">
        <f>IF($Y231="","",IF($CD231="","Yes","Blocked"))</f>
        <v/>
      </c>
      <c r="CF231" t="inlineStr">
        <is>
          <t>Yes</t>
        </is>
      </c>
      <c r="CG231" t="inlineStr">
        <is>
          <t>Yes</t>
        </is>
      </c>
      <c r="CH231" t="inlineStr">
        <is>
          <t>Yes</t>
        </is>
      </c>
      <c r="CI231" t="inlineStr">
        <is>
          <t>Yes</t>
        </is>
      </c>
      <c r="CJ231" t="inlineStr">
        <is>
          <t>Yes</t>
        </is>
      </c>
      <c r="CK231" t="n">
        <v>19200</v>
      </c>
      <c r="CP231">
        <f>IF($CO231="","",IFERROR(VLOOKUP($CO231,'01_Warehouse_Ledger'!$A:$N,4,FALSE),""))</f>
        <v/>
      </c>
      <c r="CQ231">
        <f>IF($CO231="","",IFERROR(VLOOKUP($CO231,'01_Warehouse_Ledger'!$A:$N,5,FALSE),""))</f>
        <v/>
      </c>
      <c r="CR231">
        <f>IF($CO231="","",IFERROR(VLOOKUP($CO231,'01_Warehouse_Ledger'!$A:$N,13,FALSE),""))</f>
        <v/>
      </c>
      <c r="CW231">
        <f>IF($S231="","",IF(UPPER(TRIM($S231))&lt;&gt;"PASS","",IF(LEN(TRIM($BY231))&gt;0,"NOTES_PRESENT",IF(LEN(TRIM($T231))=0,"SET_NA",IF(OR(LOWER(TRIM($T231))="na",LOWER(TRIM($T231))="n/a"),"OK","MANUAL_OVERRIDE")))))</f>
        <v/>
      </c>
    </row>
    <row r="232">
      <c r="A232" t="inlineStr">
        <is>
          <t>Cybernet</t>
        </is>
      </c>
      <c r="B232" s="5" t="inlineStr">
        <is>
          <t>No</t>
        </is>
      </c>
      <c r="C232" t="inlineStr">
        <is>
          <t>No</t>
        </is>
      </c>
      <c r="D232">
        <f>IF($B232&lt;&gt;"Yes","",IF($C232="No","Yes",IF($C232="Yes","No","")))</f>
        <v/>
      </c>
      <c r="E232">
        <f>IF($A232="","",IF(OR(AND($V232&lt;&gt;"",LOWER(TRIM($V232))&lt;&gt;"n/a",LOWER(TRIM($V232))&lt;&gt;"na",SUMPRODUCT(--(UPPER(TRIM($V$2:$V$518))=UPPER(TRIM($V232))),--(TRIM($V$2:$V$518)&lt;&gt;""),--(LOWER(TRIM($V$2:$V$518))&lt;&gt;"n/a"),--(LOWER(TRIM($V$2:$V$518))&lt;&gt;"na"))&gt;1),AND($W232&lt;&gt;"",LOWER(TRIM($W232))&lt;&gt;"n/a",LOWER(TRIM($W232))&lt;&gt;"na",SUMPRODUCT(--(UPPER(TRIM($W$2:$W$518))=UPPER(TRIM($W232))),--(TRIM($W$2:$W$518)&lt;&gt;""),--(LOWER(TRIM($W$2:$W$518))&lt;&gt;"n/a"),--(LOWER(TRIM($W$2:$W$518))&lt;&gt;"na"))&gt;1),AND($X232&lt;&gt;"",LOWER(TRIM($X232))&lt;&gt;"n/a",LOWER(TRIM($X232))&lt;&gt;"na",SUMPRODUCT(--(UPPER(TRIM($X$2:$X$518))=UPPER(TRIM($X232))),--(TRIM($X$2:$X$518)&lt;&gt;""),--(LOWER(TRIM($X$2:$X$518))&lt;&gt;"n/a"),--(LOWER(TRIM($X$2:$X$518))&lt;&gt;"na"))&gt;1),AND($Y232&lt;&gt;"",LOWER(TRIM($Y232))&lt;&gt;"n/a",LOWER(TRIM($Y232))&lt;&gt;"na",SUMPRODUCT(--(UPPER(SUBSTITUTE(SUBSTITUTE(TRIM($Y$2:$Y$518),":",""),"-",""))=UPPER(SUBSTITUTE(SUBSTITUTE(TRIM($Y232),":",""),"-",""))),--(TRIM($Y$2:$Y$518)&lt;&gt;""),--(LOWER(TRIM($Y$2:$Y$518))&lt;&gt;"n/a"),--(LOWER(TRIM($Y$2:$Y$518))&lt;&gt;"na"))&gt;1),AND($AB232&lt;&gt;"",LOWER(TRIM($AB232))&lt;&gt;"n/a",LOWER(TRIM($AB232))&lt;&gt;"na",SUMPRODUCT(--(UPPER(TRIM($AB$2:$AB$518))=UPPER(TRIM($AB232))),--(TRIM($AB$2:$AB$518)&lt;&gt;""),--(LOWER(TRIM($AB$2:$AB$518))&lt;&gt;"n/a"),--(LOWER(TRIM($AB$2:$AB$518))&lt;&gt;"na"))&gt;1),AND($AH232&lt;&gt;"",LOWER(TRIM($AH232))&lt;&gt;"n/a",LOWER(TRIM($AH232))&lt;&gt;"na",SUMPRODUCT(--(UPPER(SUBSTITUTE(SUBSTITUTE(TRIM($AH$2:$AH$518),":",""),"-",""))=UPPER(SUBSTITUTE(SUBSTITUTE(TRIM($AH232),":",""),"-",""))),--(TRIM($AH$2:$AH$518)&lt;&gt;""),--(LOWER(TRIM($AH$2:$AH$518))&lt;&gt;"n/a"),--(LOWER(TRIM($AH$2:$AH$518))&lt;&gt;"na"))&gt;1),AND($AP232&lt;&gt;"",LOWER(TRIM($AP232))&lt;&gt;"n/a",LOWER(TRIM($AP232))&lt;&gt;"na",SUMPRODUCT(--(UPPER(TRIM($AP$2:$AP$518))=UPPER(TRIM($AP232))),--(TRIM($AP$2:$AP$518)&lt;&gt;""),--(LOWER(TRIM($AP$2:$AP$518))&lt;&gt;"n/a"),--(LOWER(TRIM($AP$2:$AP$518))&lt;&gt;"na"))&gt;1),AND($AQ232&lt;&gt;"",LOWER(TRIM($AQ232))&lt;&gt;"n/a",LOWER(TRIM($AQ232))&lt;&gt;"na",SUMPRODUCT(--(UPPER(TRIM($AQ$2:$AQ$518))=UPPER(TRIM($AQ232))),--(TRIM($AQ$2:$AQ$518)&lt;&gt;""),--(LOWER(TRIM($AQ$2:$AQ$518))&lt;&gt;"n/a"),--(LOWER(TRIM($AQ$2:$AQ$518))&lt;&gt;"na"))&gt;1)),"Yes","No"))</f>
        <v/>
      </c>
      <c r="F232">
        <f>IF(UPPER(TRIM($B232))&lt;&gt;"YES","", IF(OR(AND($V232&lt;&gt;"", LOWER(TRIM($V232))&lt;&gt;"n/a", LOWER(TRIM($V232))&lt;&gt;"na", SUMPRODUCT(--(UPPER(TRIM($V$2:$V$518))=UPPER(TRIM($V232))), --(UPPER(TRIM($B$2:$B$518))="YES"), --(UPPER(TRIM($G$2:$G$518)&amp;TRIM($I$2:$I$518)&amp;TRIM($J$2:$J$518))&lt;&gt;UPPER(TRIM($G232)&amp;TRIM($I232)&amp;TRIM($J232))))&gt;0), AND($W232&lt;&gt;"", LOWER(TRIM($W232))&lt;&gt;"n/a", LOWER(TRIM($W232))&lt;&gt;"na", SUMPRODUCT(--(UPPER(TRIM($W$2:$W$518))=UPPER(TRIM($W232))), --(UPPER(TRIM($B$2:$B$518))="YES"), --(UPPER(TRIM($G$2:$G$518)&amp;TRIM($I$2:$I$518)&amp;TRIM($J$2:$J$518))&lt;&gt;UPPER(TRIM($G232)&amp;TRIM($I232)&amp;TRIM($J232))))&gt;0), AND($X232&lt;&gt;"", LOWER(TRIM($X232))&lt;&gt;"n/a", LOWER(TRIM($X232))&lt;&gt;"na", SUMPRODUCT(--(UPPER(TRIM($X$2:$X$518))=UPPER(TRIM($X232))), --(UPPER(TRIM($B$2:$B$518))="YES"), --(UPPER(TRIM($G$2:$G$518)&amp;TRIM($I$2:$I$518)&amp;TRIM($J$2:$J$518))&lt;&gt;UPPER(TRIM($G232)&amp;TRIM($I232)&amp;TRIM($J232))))&gt;0), AND($Y232&lt;&gt;"", LOWER(TRIM($Y232))&lt;&gt;"n/a", LOWER(TRIM($Y232))&lt;&gt;"na", SUMPRODUCT(--(UPPER(SUBSTITUTE(SUBSTITUTE(TRIM($Y$2:$Y$518),":",""),"-",""))=UPPER(SUBSTITUTE(SUBSTITUTE(TRIM($Y232),":",""),"-",""))), --(UPPER(TRIM($B$2:$B$518))="YES"), --(UPPER(TRIM($G$2:$G$518)&amp;TRIM($I$2:$I$518)&amp;TRIM($J$2:$J$518))&lt;&gt;UPPER(TRIM($G232)&amp;TRIM($I232)&amp;TRIM($J232))))&gt;0), AND($AB232&lt;&gt;"", LOWER(TRIM($AB232))&lt;&gt;"n/a", LOWER(TRIM($AB232))&lt;&gt;"na", SUMPRODUCT(--(UPPER(TRIM($AB$2:$AB$518))=UPPER(TRIM($AB232))), --(UPPER(TRIM($B$2:$B$518))="YES"), --(UPPER(TRIM($G$2:$G$518)&amp;TRIM($I$2:$I$518)&amp;TRIM($J$2:$J$518))&lt;&gt;UPPER(TRIM($G232)&amp;TRIM($I232)&amp;TRIM($J232))))&gt;0), AND($AH232&lt;&gt;"", LOWER(TRIM($AH232))&lt;&gt;"n/a", LOWER(TRIM($AH232))&lt;&gt;"na", SUMPRODUCT(--(UPPER(SUBSTITUTE(SUBSTITUTE(TRIM($AH$2:$AH$518),":",""),"-",""))=UPPER(SUBSTITUTE(SUBSTITUTE(TRIM($AH232),":",""),"-",""))), --(UPPER(TRIM($B$2:$B$518))="YES"), --(UPPER(TRIM($G$2:$G$518)&amp;TRIM($I$2:$I$518)&amp;TRIM($J$2:$J$518))&lt;&gt;UPPER(TRIM($G232)&amp;TRIM($I232)&amp;TRIM($J232))))&gt;0), AND($AP232&lt;&gt;"", LOWER(TRIM($AP232))&lt;&gt;"n/a", LOWER(TRIM($AP232))&lt;&gt;"na", SUMPRODUCT(--(UPPER(TRIM($AP$2:$AP$518))=UPPER(TRIM($AP232))), --(UPPER(TRIM($B$2:$B$518))="YES"), --(UPPER(TRIM($G$2:$G$518)&amp;TRIM($I$2:$I$518)&amp;TRIM($J$2:$J$518))&lt;&gt;UPPER(TRIM($G232)&amp;TRIM($I232)&amp;TRIM($J232))))&gt;0), AND($AQ232&lt;&gt;"", LOWER(TRIM($AQ232))&lt;&gt;"n/a", LOWER(TRIM($AQ232))&lt;&gt;"na", SUMPRODUCT(--(UPPER(TRIM($AQ$2:$AQ$518))=UPPER(TRIM($AQ232))), --(UPPER(TRIM($B$2:$B$518))="YES"), --(UPPER(TRIM($G$2:$G$518)&amp;TRIM($I$2:$I$518)&amp;TRIM($J$2:$J$518))&lt;&gt;UPPER(TRIM($G232)&amp;TRIM($I232)&amp;TRIM($J232))))&gt;0)), "Yes", "No"))</f>
        <v/>
      </c>
      <c r="G232" t="inlineStr">
        <is>
          <t>100 Commercial St</t>
        </is>
      </c>
      <c r="H232" t="inlineStr">
        <is>
          <t>MEETH</t>
        </is>
      </c>
      <c r="M232" t="inlineStr">
        <is>
          <t>OR iPro Cybernet Workstation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V232" t="inlineStr">
        <is>
          <t>WNY210OPR053</t>
        </is>
      </c>
      <c r="W232" t="inlineStr">
        <is>
          <t>WNH300OPR388</t>
        </is>
      </c>
      <c r="AH232" t="inlineStr">
        <is>
          <t>00:0D:05:0A:A6:C1</t>
        </is>
      </c>
      <c r="BY232" t="inlineStr">
        <is>
          <t xml:space="preserve">Ran POSTINSTALL </t>
        </is>
      </c>
      <c r="CA232" t="inlineStr">
        <is>
          <t>iPro
Epic Satellite
ALLSCRIPTS
EPIC BCA</t>
        </is>
      </c>
      <c r="CD232">
        <f>IF($Y232="","",IF((IF(AND($BR232&lt;&gt;"Yes",$BR232&lt;&gt;"N/A"),"Power Cable, ","")&amp;IF(AND($BS232&lt;&gt;"Yes",$BS232&lt;&gt;"N/A"),"Battery, ","")&amp;IF(AND($AD232&lt;&gt;"Yes",$AD232&lt;&gt;"N/A"),"Firmware Download, ","")&amp;IF(AND(OR($AD232="Yes",$AD232="N/A"),$AE232&lt;&gt;"Yes",$AE232&lt;&gt;"N/A"),"Firmware Install, ","")&amp;IF(AND($CB232&lt;&gt;"Yes",$CB232&lt;&gt;"N/A"),"Device ID, ","")&amp;IF(AND($CC232&lt;&gt;"Yes",$CC232&lt;&gt;"N/A"),"Epic Beans Relay, ",""))="","",LEFT(IF(AND($BR232&lt;&gt;"Yes",$BR232&lt;&gt;"N/A"),"Power Cable, ","")&amp;IF(AND($BS232&lt;&gt;"Yes",$BS232&lt;&gt;"N/A"),"Battery, ","")&amp;IF(AND($AD232&lt;&gt;"Yes",$AD232&lt;&gt;"N/A"),"Firmware Download, ","")&amp;IF(AND(OR($AD232="Yes",$AD232="N/A"),$AE232&lt;&gt;"Yes",$AE232&lt;&gt;"N/A"),"Firmware Install, ","")&amp;IF(AND($CB232&lt;&gt;"Yes",$CB232&lt;&gt;"N/A"),"Device ID, ","")&amp;IF(AND($CC232&lt;&gt;"Yes",$CC232&lt;&gt;"N/A"),"Epic Beans Relay, ",""),LEN(IF(AND($BR232&lt;&gt;"Yes",$BR232&lt;&gt;"N/A"),"Power Cable, ","")&amp;IF(AND($BS232&lt;&gt;"Yes",$BS232&lt;&gt;"N/A"),"Battery, ","")&amp;IF(AND($AD232&lt;&gt;"Yes",$AD232&lt;&gt;"N/A"),"Firmware Download, ","")&amp;IF(AND(OR($AD232="Yes",$AD232="N/A"),$AE232&lt;&gt;"Yes",$AE232&lt;&gt;"N/A"),"Firmware Install, ","")&amp;IF(AND($CB232&lt;&gt;"Yes",$CB232&lt;&gt;"N/A"),"Device ID, ","")&amp;IF(AND($CC232&lt;&gt;"Yes",$CC232&lt;&gt;"N/A"),"Epic Beans Relay, ",""))-2)))</f>
        <v/>
      </c>
      <c r="CE232">
        <f>IF($Y232="","",IF($CD232="","Yes","Blocked"))</f>
        <v/>
      </c>
      <c r="CF232" t="inlineStr">
        <is>
          <t>Yes</t>
        </is>
      </c>
      <c r="CG232" t="inlineStr">
        <is>
          <t>Yes</t>
        </is>
      </c>
      <c r="CH232" t="inlineStr">
        <is>
          <t>Yes</t>
        </is>
      </c>
      <c r="CI232" t="inlineStr">
        <is>
          <t>Yes</t>
        </is>
      </c>
      <c r="CJ232" t="inlineStr">
        <is>
          <t>Yes</t>
        </is>
      </c>
      <c r="CK232" t="n">
        <v>19200</v>
      </c>
      <c r="CP232">
        <f>IF($CO232="","",IFERROR(VLOOKUP($CO232,'01_Warehouse_Ledger'!$A:$N,4,FALSE),""))</f>
        <v/>
      </c>
      <c r="CQ232">
        <f>IF($CO232="","",IFERROR(VLOOKUP($CO232,'01_Warehouse_Ledger'!$A:$N,5,FALSE),""))</f>
        <v/>
      </c>
      <c r="CR232">
        <f>IF($CO232="","",IFERROR(VLOOKUP($CO232,'01_Warehouse_Ledger'!$A:$N,13,FALSE),""))</f>
        <v/>
      </c>
      <c r="CW232">
        <f>IF($S232="","",IF(UPPER(TRIM($S232))&lt;&gt;"PASS","",IF(LEN(TRIM($BY232))&gt;0,"NOTES_PRESENT",IF(LEN(TRIM($T232))=0,"SET_NA",IF(OR(LOWER(TRIM($T232))="na",LOWER(TRIM($T232))="n/a"),"OK","MANUAL_OVERRIDE")))))</f>
        <v/>
      </c>
    </row>
    <row r="233">
      <c r="A233" t="inlineStr">
        <is>
          <t>Cybernet</t>
        </is>
      </c>
      <c r="B233" s="5" t="inlineStr">
        <is>
          <t>No</t>
        </is>
      </c>
      <c r="C233" t="inlineStr">
        <is>
          <t>No</t>
        </is>
      </c>
      <c r="D233">
        <f>IF($B233&lt;&gt;"Yes","",IF($C233="No","Yes",IF($C233="Yes","No","")))</f>
        <v/>
      </c>
      <c r="E233">
        <f>IF($A233="","",IF(OR(AND($V233&lt;&gt;"",LOWER(TRIM($V233))&lt;&gt;"n/a",LOWER(TRIM($V233))&lt;&gt;"na",SUMPRODUCT(--(UPPER(TRIM($V$2:$V$518))=UPPER(TRIM($V233))),--(TRIM($V$2:$V$518)&lt;&gt;""),--(LOWER(TRIM($V$2:$V$518))&lt;&gt;"n/a"),--(LOWER(TRIM($V$2:$V$518))&lt;&gt;"na"))&gt;1),AND($W233&lt;&gt;"",LOWER(TRIM($W233))&lt;&gt;"n/a",LOWER(TRIM($W233))&lt;&gt;"na",SUMPRODUCT(--(UPPER(TRIM($W$2:$W$518))=UPPER(TRIM($W233))),--(TRIM($W$2:$W$518)&lt;&gt;""),--(LOWER(TRIM($W$2:$W$518))&lt;&gt;"n/a"),--(LOWER(TRIM($W$2:$W$518))&lt;&gt;"na"))&gt;1),AND($X233&lt;&gt;"",LOWER(TRIM($X233))&lt;&gt;"n/a",LOWER(TRIM($X233))&lt;&gt;"na",SUMPRODUCT(--(UPPER(TRIM($X$2:$X$518))=UPPER(TRIM($X233))),--(TRIM($X$2:$X$518)&lt;&gt;""),--(LOWER(TRIM($X$2:$X$518))&lt;&gt;"n/a"),--(LOWER(TRIM($X$2:$X$518))&lt;&gt;"na"))&gt;1),AND($Y233&lt;&gt;"",LOWER(TRIM($Y233))&lt;&gt;"n/a",LOWER(TRIM($Y233))&lt;&gt;"na",SUMPRODUCT(--(UPPER(SUBSTITUTE(SUBSTITUTE(TRIM($Y$2:$Y$518),":",""),"-",""))=UPPER(SUBSTITUTE(SUBSTITUTE(TRIM($Y233),":",""),"-",""))),--(TRIM($Y$2:$Y$518)&lt;&gt;""),--(LOWER(TRIM($Y$2:$Y$518))&lt;&gt;"n/a"),--(LOWER(TRIM($Y$2:$Y$518))&lt;&gt;"na"))&gt;1),AND($AB233&lt;&gt;"",LOWER(TRIM($AB233))&lt;&gt;"n/a",LOWER(TRIM($AB233))&lt;&gt;"na",SUMPRODUCT(--(UPPER(TRIM($AB$2:$AB$518))=UPPER(TRIM($AB233))),--(TRIM($AB$2:$AB$518)&lt;&gt;""),--(LOWER(TRIM($AB$2:$AB$518))&lt;&gt;"n/a"),--(LOWER(TRIM($AB$2:$AB$518))&lt;&gt;"na"))&gt;1),AND($AH233&lt;&gt;"",LOWER(TRIM($AH233))&lt;&gt;"n/a",LOWER(TRIM($AH233))&lt;&gt;"na",SUMPRODUCT(--(UPPER(SUBSTITUTE(SUBSTITUTE(TRIM($AH$2:$AH$518),":",""),"-",""))=UPPER(SUBSTITUTE(SUBSTITUTE(TRIM($AH233),":",""),"-",""))),--(TRIM($AH$2:$AH$518)&lt;&gt;""),--(LOWER(TRIM($AH$2:$AH$518))&lt;&gt;"n/a"),--(LOWER(TRIM($AH$2:$AH$518))&lt;&gt;"na"))&gt;1),AND($AP233&lt;&gt;"",LOWER(TRIM($AP233))&lt;&gt;"n/a",LOWER(TRIM($AP233))&lt;&gt;"na",SUMPRODUCT(--(UPPER(TRIM($AP$2:$AP$518))=UPPER(TRIM($AP233))),--(TRIM($AP$2:$AP$518)&lt;&gt;""),--(LOWER(TRIM($AP$2:$AP$518))&lt;&gt;"n/a"),--(LOWER(TRIM($AP$2:$AP$518))&lt;&gt;"na"))&gt;1),AND($AQ233&lt;&gt;"",LOWER(TRIM($AQ233))&lt;&gt;"n/a",LOWER(TRIM($AQ233))&lt;&gt;"na",SUMPRODUCT(--(UPPER(TRIM($AQ$2:$AQ$518))=UPPER(TRIM($AQ233))),--(TRIM($AQ$2:$AQ$518)&lt;&gt;""),--(LOWER(TRIM($AQ$2:$AQ$518))&lt;&gt;"n/a"),--(LOWER(TRIM($AQ$2:$AQ$518))&lt;&gt;"na"))&gt;1)),"Yes","No"))</f>
        <v/>
      </c>
      <c r="F233">
        <f>IF(UPPER(TRIM($B233))&lt;&gt;"YES","", IF(OR(AND($V233&lt;&gt;"", LOWER(TRIM($V233))&lt;&gt;"n/a", LOWER(TRIM($V233))&lt;&gt;"na", SUMPRODUCT(--(UPPER(TRIM($V$2:$V$518))=UPPER(TRIM($V233))), --(UPPER(TRIM($B$2:$B$518))="YES"), --(UPPER(TRIM($G$2:$G$518)&amp;TRIM($I$2:$I$518)&amp;TRIM($J$2:$J$518))&lt;&gt;UPPER(TRIM($G233)&amp;TRIM($I233)&amp;TRIM($J233))))&gt;0), AND($W233&lt;&gt;"", LOWER(TRIM($W233))&lt;&gt;"n/a", LOWER(TRIM($W233))&lt;&gt;"na", SUMPRODUCT(--(UPPER(TRIM($W$2:$W$518))=UPPER(TRIM($W233))), --(UPPER(TRIM($B$2:$B$518))="YES"), --(UPPER(TRIM($G$2:$G$518)&amp;TRIM($I$2:$I$518)&amp;TRIM($J$2:$J$518))&lt;&gt;UPPER(TRIM($G233)&amp;TRIM($I233)&amp;TRIM($J233))))&gt;0), AND($X233&lt;&gt;"", LOWER(TRIM($X233))&lt;&gt;"n/a", LOWER(TRIM($X233))&lt;&gt;"na", SUMPRODUCT(--(UPPER(TRIM($X$2:$X$518))=UPPER(TRIM($X233))), --(UPPER(TRIM($B$2:$B$518))="YES"), --(UPPER(TRIM($G$2:$G$518)&amp;TRIM($I$2:$I$518)&amp;TRIM($J$2:$J$518))&lt;&gt;UPPER(TRIM($G233)&amp;TRIM($I233)&amp;TRIM($J233))))&gt;0), AND($Y233&lt;&gt;"", LOWER(TRIM($Y233))&lt;&gt;"n/a", LOWER(TRIM($Y233))&lt;&gt;"na", SUMPRODUCT(--(UPPER(SUBSTITUTE(SUBSTITUTE(TRIM($Y$2:$Y$518),":",""),"-",""))=UPPER(SUBSTITUTE(SUBSTITUTE(TRIM($Y233),":",""),"-",""))), --(UPPER(TRIM($B$2:$B$518))="YES"), --(UPPER(TRIM($G$2:$G$518)&amp;TRIM($I$2:$I$518)&amp;TRIM($J$2:$J$518))&lt;&gt;UPPER(TRIM($G233)&amp;TRIM($I233)&amp;TRIM($J233))))&gt;0), AND($AB233&lt;&gt;"", LOWER(TRIM($AB233))&lt;&gt;"n/a", LOWER(TRIM($AB233))&lt;&gt;"na", SUMPRODUCT(--(UPPER(TRIM($AB$2:$AB$518))=UPPER(TRIM($AB233))), --(UPPER(TRIM($B$2:$B$518))="YES"), --(UPPER(TRIM($G$2:$G$518)&amp;TRIM($I$2:$I$518)&amp;TRIM($J$2:$J$518))&lt;&gt;UPPER(TRIM($G233)&amp;TRIM($I233)&amp;TRIM($J233))))&gt;0), AND($AH233&lt;&gt;"", LOWER(TRIM($AH233))&lt;&gt;"n/a", LOWER(TRIM($AH233))&lt;&gt;"na", SUMPRODUCT(--(UPPER(SUBSTITUTE(SUBSTITUTE(TRIM($AH$2:$AH$518),":",""),"-",""))=UPPER(SUBSTITUTE(SUBSTITUTE(TRIM($AH233),":",""),"-",""))), --(UPPER(TRIM($B$2:$B$518))="YES"), --(UPPER(TRIM($G$2:$G$518)&amp;TRIM($I$2:$I$518)&amp;TRIM($J$2:$J$518))&lt;&gt;UPPER(TRIM($G233)&amp;TRIM($I233)&amp;TRIM($J233))))&gt;0), AND($AP233&lt;&gt;"", LOWER(TRIM($AP233))&lt;&gt;"n/a", LOWER(TRIM($AP233))&lt;&gt;"na", SUMPRODUCT(--(UPPER(TRIM($AP$2:$AP$518))=UPPER(TRIM($AP233))), --(UPPER(TRIM($B$2:$B$518))="YES"), --(UPPER(TRIM($G$2:$G$518)&amp;TRIM($I$2:$I$518)&amp;TRIM($J$2:$J$518))&lt;&gt;UPPER(TRIM($G233)&amp;TRIM($I233)&amp;TRIM($J233))))&gt;0), AND($AQ233&lt;&gt;"", LOWER(TRIM($AQ233))&lt;&gt;"n/a", LOWER(TRIM($AQ233))&lt;&gt;"na", SUMPRODUCT(--(UPPER(TRIM($AQ$2:$AQ$518))=UPPER(TRIM($AQ233))), --(UPPER(TRIM($B$2:$B$518))="YES"), --(UPPER(TRIM($G$2:$G$518)&amp;TRIM($I$2:$I$518)&amp;TRIM($J$2:$J$518))&lt;&gt;UPPER(TRIM($G233)&amp;TRIM($I233)&amp;TRIM($J233))))&gt;0)), "Yes", "No"))</f>
        <v/>
      </c>
      <c r="G233" t="inlineStr">
        <is>
          <t>100 Commercial St</t>
        </is>
      </c>
      <c r="H233" t="inlineStr">
        <is>
          <t>MEETH</t>
        </is>
      </c>
      <c r="M233" t="inlineStr">
        <is>
          <t>OR iPro Cybernet Workstation</t>
        </is>
      </c>
      <c r="N233" t="inlineStr">
        <is>
          <t>Yes</t>
        </is>
      </c>
      <c r="O233" t="inlineStr">
        <is>
          <t>No</t>
        </is>
      </c>
      <c r="P233" t="inlineStr">
        <is>
          <t>No</t>
        </is>
      </c>
      <c r="V233" t="inlineStr">
        <is>
          <t>WNY210OPR054</t>
        </is>
      </c>
      <c r="AH233" t="inlineStr">
        <is>
          <t>00:0D:05:0A:A7:B9</t>
        </is>
      </c>
      <c r="BY233" t="inlineStr">
        <is>
          <t>Ran POSTINSTALL</t>
        </is>
      </c>
      <c r="CA233" t="inlineStr">
        <is>
          <t>iPro
Epic Satellite
ALLSCRIPTS
EPIC BCA</t>
        </is>
      </c>
      <c r="CD233">
        <f>IF($Y233="","",IF((IF(AND($BR233&lt;&gt;"Yes",$BR233&lt;&gt;"N/A"),"Power Cable, ","")&amp;IF(AND($BS233&lt;&gt;"Yes",$BS233&lt;&gt;"N/A"),"Battery, ","")&amp;IF(AND($AD233&lt;&gt;"Yes",$AD233&lt;&gt;"N/A"),"Firmware Download, ","")&amp;IF(AND(OR($AD233="Yes",$AD233="N/A"),$AE233&lt;&gt;"Yes",$AE233&lt;&gt;"N/A"),"Firmware Install, ","")&amp;IF(AND($CB233&lt;&gt;"Yes",$CB233&lt;&gt;"N/A"),"Device ID, ","")&amp;IF(AND($CC233&lt;&gt;"Yes",$CC233&lt;&gt;"N/A"),"Epic Beans Relay, ",""))="","",LEFT(IF(AND($BR233&lt;&gt;"Yes",$BR233&lt;&gt;"N/A"),"Power Cable, ","")&amp;IF(AND($BS233&lt;&gt;"Yes",$BS233&lt;&gt;"N/A"),"Battery, ","")&amp;IF(AND($AD233&lt;&gt;"Yes",$AD233&lt;&gt;"N/A"),"Firmware Download, ","")&amp;IF(AND(OR($AD233="Yes",$AD233="N/A"),$AE233&lt;&gt;"Yes",$AE233&lt;&gt;"N/A"),"Firmware Install, ","")&amp;IF(AND($CB233&lt;&gt;"Yes",$CB233&lt;&gt;"N/A"),"Device ID, ","")&amp;IF(AND($CC233&lt;&gt;"Yes",$CC233&lt;&gt;"N/A"),"Epic Beans Relay, ",""),LEN(IF(AND($BR233&lt;&gt;"Yes",$BR233&lt;&gt;"N/A"),"Power Cable, ","")&amp;IF(AND($BS233&lt;&gt;"Yes",$BS233&lt;&gt;"N/A"),"Battery, ","")&amp;IF(AND($AD233&lt;&gt;"Yes",$AD233&lt;&gt;"N/A"),"Firmware Download, ","")&amp;IF(AND(OR($AD233="Yes",$AD233="N/A"),$AE233&lt;&gt;"Yes",$AE233&lt;&gt;"N/A"),"Firmware Install, ","")&amp;IF(AND($CB233&lt;&gt;"Yes",$CB233&lt;&gt;"N/A"),"Device ID, ","")&amp;IF(AND($CC233&lt;&gt;"Yes",$CC233&lt;&gt;"N/A"),"Epic Beans Relay, ",""))-2)))</f>
        <v/>
      </c>
      <c r="CE233">
        <f>IF($Y233="","",IF($CD233="","Yes","Blocked"))</f>
        <v/>
      </c>
      <c r="CF233" t="inlineStr">
        <is>
          <t>Yes</t>
        </is>
      </c>
      <c r="CG233" t="inlineStr">
        <is>
          <t>Yes</t>
        </is>
      </c>
      <c r="CH233" t="inlineStr">
        <is>
          <t>Yes</t>
        </is>
      </c>
      <c r="CI233" t="inlineStr">
        <is>
          <t>Yes</t>
        </is>
      </c>
      <c r="CJ233" t="inlineStr">
        <is>
          <t>Yes</t>
        </is>
      </c>
      <c r="CK233" t="n">
        <v>19200</v>
      </c>
      <c r="CP233">
        <f>IF($CO233="","",IFERROR(VLOOKUP($CO233,'01_Warehouse_Ledger'!$A:$N,4,FALSE),""))</f>
        <v/>
      </c>
      <c r="CQ233">
        <f>IF($CO233="","",IFERROR(VLOOKUP($CO233,'01_Warehouse_Ledger'!$A:$N,5,FALSE),""))</f>
        <v/>
      </c>
      <c r="CR233">
        <f>IF($CO233="","",IFERROR(VLOOKUP($CO233,'01_Warehouse_Ledger'!$A:$N,13,FALSE),""))</f>
        <v/>
      </c>
      <c r="CW233">
        <f>IF($S233="","",IF(UPPER(TRIM($S233))&lt;&gt;"PASS","",IF(LEN(TRIM($BY233))&gt;0,"NOTES_PRESENT",IF(LEN(TRIM($T233))=0,"SET_NA",IF(OR(LOWER(TRIM($T233))="na",LOWER(TRIM($T233))="n/a"),"OK","MANUAL_OVERRIDE")))))</f>
        <v/>
      </c>
    </row>
    <row r="234">
      <c r="A234" t="inlineStr">
        <is>
          <t>Cybernet</t>
        </is>
      </c>
      <c r="B234" s="5" t="inlineStr">
        <is>
          <t>No</t>
        </is>
      </c>
      <c r="C234" t="inlineStr">
        <is>
          <t>No</t>
        </is>
      </c>
      <c r="D234">
        <f>IF($B234&lt;&gt;"Yes","",IF($C234="No","Yes",IF($C234="Yes","No","")))</f>
        <v/>
      </c>
      <c r="E234">
        <f>IF($A234="","",IF(OR(AND($V234&lt;&gt;"",LOWER(TRIM($V234))&lt;&gt;"n/a",LOWER(TRIM($V234))&lt;&gt;"na",SUMPRODUCT(--(UPPER(TRIM($V$2:$V$518))=UPPER(TRIM($V234))),--(TRIM($V$2:$V$518)&lt;&gt;""),--(LOWER(TRIM($V$2:$V$518))&lt;&gt;"n/a"),--(LOWER(TRIM($V$2:$V$518))&lt;&gt;"na"))&gt;1),AND($W234&lt;&gt;"",LOWER(TRIM($W234))&lt;&gt;"n/a",LOWER(TRIM($W234))&lt;&gt;"na",SUMPRODUCT(--(UPPER(TRIM($W$2:$W$518))=UPPER(TRIM($W234))),--(TRIM($W$2:$W$518)&lt;&gt;""),--(LOWER(TRIM($W$2:$W$518))&lt;&gt;"n/a"),--(LOWER(TRIM($W$2:$W$518))&lt;&gt;"na"))&gt;1),AND($X234&lt;&gt;"",LOWER(TRIM($X234))&lt;&gt;"n/a",LOWER(TRIM($X234))&lt;&gt;"na",SUMPRODUCT(--(UPPER(TRIM($X$2:$X$518))=UPPER(TRIM($X234))),--(TRIM($X$2:$X$518)&lt;&gt;""),--(LOWER(TRIM($X$2:$X$518))&lt;&gt;"n/a"),--(LOWER(TRIM($X$2:$X$518))&lt;&gt;"na"))&gt;1),AND($Y234&lt;&gt;"",LOWER(TRIM($Y234))&lt;&gt;"n/a",LOWER(TRIM($Y234))&lt;&gt;"na",SUMPRODUCT(--(UPPER(SUBSTITUTE(SUBSTITUTE(TRIM($Y$2:$Y$518),":",""),"-",""))=UPPER(SUBSTITUTE(SUBSTITUTE(TRIM($Y234),":",""),"-",""))),--(TRIM($Y$2:$Y$518)&lt;&gt;""),--(LOWER(TRIM($Y$2:$Y$518))&lt;&gt;"n/a"),--(LOWER(TRIM($Y$2:$Y$518))&lt;&gt;"na"))&gt;1),AND($AB234&lt;&gt;"",LOWER(TRIM($AB234))&lt;&gt;"n/a",LOWER(TRIM($AB234))&lt;&gt;"na",SUMPRODUCT(--(UPPER(TRIM($AB$2:$AB$518))=UPPER(TRIM($AB234))),--(TRIM($AB$2:$AB$518)&lt;&gt;""),--(LOWER(TRIM($AB$2:$AB$518))&lt;&gt;"n/a"),--(LOWER(TRIM($AB$2:$AB$518))&lt;&gt;"na"))&gt;1),AND($AH234&lt;&gt;"",LOWER(TRIM($AH234))&lt;&gt;"n/a",LOWER(TRIM($AH234))&lt;&gt;"na",SUMPRODUCT(--(UPPER(SUBSTITUTE(SUBSTITUTE(TRIM($AH$2:$AH$518),":",""),"-",""))=UPPER(SUBSTITUTE(SUBSTITUTE(TRIM($AH234),":",""),"-",""))),--(TRIM($AH$2:$AH$518)&lt;&gt;""),--(LOWER(TRIM($AH$2:$AH$518))&lt;&gt;"n/a"),--(LOWER(TRIM($AH$2:$AH$518))&lt;&gt;"na"))&gt;1),AND($AP234&lt;&gt;"",LOWER(TRIM($AP234))&lt;&gt;"n/a",LOWER(TRIM($AP234))&lt;&gt;"na",SUMPRODUCT(--(UPPER(TRIM($AP$2:$AP$518))=UPPER(TRIM($AP234))),--(TRIM($AP$2:$AP$518)&lt;&gt;""),--(LOWER(TRIM($AP$2:$AP$518))&lt;&gt;"n/a"),--(LOWER(TRIM($AP$2:$AP$518))&lt;&gt;"na"))&gt;1),AND($AQ234&lt;&gt;"",LOWER(TRIM($AQ234))&lt;&gt;"n/a",LOWER(TRIM($AQ234))&lt;&gt;"na",SUMPRODUCT(--(UPPER(TRIM($AQ$2:$AQ$518))=UPPER(TRIM($AQ234))),--(TRIM($AQ$2:$AQ$518)&lt;&gt;""),--(LOWER(TRIM($AQ$2:$AQ$518))&lt;&gt;"n/a"),--(LOWER(TRIM($AQ$2:$AQ$518))&lt;&gt;"na"))&gt;1)),"Yes","No"))</f>
        <v/>
      </c>
      <c r="F234">
        <f>IF(UPPER(TRIM($B234))&lt;&gt;"YES","", IF(OR(AND($V234&lt;&gt;"", LOWER(TRIM($V234))&lt;&gt;"n/a", LOWER(TRIM($V234))&lt;&gt;"na", SUMPRODUCT(--(UPPER(TRIM($V$2:$V$518))=UPPER(TRIM($V234))), --(UPPER(TRIM($B$2:$B$518))="YES"), --(UPPER(TRIM($G$2:$G$518)&amp;TRIM($I$2:$I$518)&amp;TRIM($J$2:$J$518))&lt;&gt;UPPER(TRIM($G234)&amp;TRIM($I234)&amp;TRIM($J234))))&gt;0), AND($W234&lt;&gt;"", LOWER(TRIM($W234))&lt;&gt;"n/a", LOWER(TRIM($W234))&lt;&gt;"na", SUMPRODUCT(--(UPPER(TRIM($W$2:$W$518))=UPPER(TRIM($W234))), --(UPPER(TRIM($B$2:$B$518))="YES"), --(UPPER(TRIM($G$2:$G$518)&amp;TRIM($I$2:$I$518)&amp;TRIM($J$2:$J$518))&lt;&gt;UPPER(TRIM($G234)&amp;TRIM($I234)&amp;TRIM($J234))))&gt;0), AND($X234&lt;&gt;"", LOWER(TRIM($X234))&lt;&gt;"n/a", LOWER(TRIM($X234))&lt;&gt;"na", SUMPRODUCT(--(UPPER(TRIM($X$2:$X$518))=UPPER(TRIM($X234))), --(UPPER(TRIM($B$2:$B$518))="YES"), --(UPPER(TRIM($G$2:$G$518)&amp;TRIM($I$2:$I$518)&amp;TRIM($J$2:$J$518))&lt;&gt;UPPER(TRIM($G234)&amp;TRIM($I234)&amp;TRIM($J234))))&gt;0), AND($Y234&lt;&gt;"", LOWER(TRIM($Y234))&lt;&gt;"n/a", LOWER(TRIM($Y234))&lt;&gt;"na", SUMPRODUCT(--(UPPER(SUBSTITUTE(SUBSTITUTE(TRIM($Y$2:$Y$518),":",""),"-",""))=UPPER(SUBSTITUTE(SUBSTITUTE(TRIM($Y234),":",""),"-",""))), --(UPPER(TRIM($B$2:$B$518))="YES"), --(UPPER(TRIM($G$2:$G$518)&amp;TRIM($I$2:$I$518)&amp;TRIM($J$2:$J$518))&lt;&gt;UPPER(TRIM($G234)&amp;TRIM($I234)&amp;TRIM($J234))))&gt;0), AND($AB234&lt;&gt;"", LOWER(TRIM($AB234))&lt;&gt;"n/a", LOWER(TRIM($AB234))&lt;&gt;"na", SUMPRODUCT(--(UPPER(TRIM($AB$2:$AB$518))=UPPER(TRIM($AB234))), --(UPPER(TRIM($B$2:$B$518))="YES"), --(UPPER(TRIM($G$2:$G$518)&amp;TRIM($I$2:$I$518)&amp;TRIM($J$2:$J$518))&lt;&gt;UPPER(TRIM($G234)&amp;TRIM($I234)&amp;TRIM($J234))))&gt;0), AND($AH234&lt;&gt;"", LOWER(TRIM($AH234))&lt;&gt;"n/a", LOWER(TRIM($AH234))&lt;&gt;"na", SUMPRODUCT(--(UPPER(SUBSTITUTE(SUBSTITUTE(TRIM($AH$2:$AH$518),":",""),"-",""))=UPPER(SUBSTITUTE(SUBSTITUTE(TRIM($AH234),":",""),"-",""))), --(UPPER(TRIM($B$2:$B$518))="YES"), --(UPPER(TRIM($G$2:$G$518)&amp;TRIM($I$2:$I$518)&amp;TRIM($J$2:$J$518))&lt;&gt;UPPER(TRIM($G234)&amp;TRIM($I234)&amp;TRIM($J234))))&gt;0), AND($AP234&lt;&gt;"", LOWER(TRIM($AP234))&lt;&gt;"n/a", LOWER(TRIM($AP234))&lt;&gt;"na", SUMPRODUCT(--(UPPER(TRIM($AP$2:$AP$518))=UPPER(TRIM($AP234))), --(UPPER(TRIM($B$2:$B$518))="YES"), --(UPPER(TRIM($G$2:$G$518)&amp;TRIM($I$2:$I$518)&amp;TRIM($J$2:$J$518))&lt;&gt;UPPER(TRIM($G234)&amp;TRIM($I234)&amp;TRIM($J234))))&gt;0), AND($AQ234&lt;&gt;"", LOWER(TRIM($AQ234))&lt;&gt;"n/a", LOWER(TRIM($AQ234))&lt;&gt;"na", SUMPRODUCT(--(UPPER(TRIM($AQ$2:$AQ$518))=UPPER(TRIM($AQ234))), --(UPPER(TRIM($B$2:$B$518))="YES"), --(UPPER(TRIM($G$2:$G$518)&amp;TRIM($I$2:$I$518)&amp;TRIM($J$2:$J$518))&lt;&gt;UPPER(TRIM($G234)&amp;TRIM($I234)&amp;TRIM($J234))))&gt;0)), "Yes", "No"))</f>
        <v/>
      </c>
      <c r="G234" t="inlineStr">
        <is>
          <t>100 Commercial St</t>
        </is>
      </c>
      <c r="H234" t="inlineStr">
        <is>
          <t>LIJ - CCMC</t>
        </is>
      </c>
      <c r="M234" t="inlineStr">
        <is>
          <t>OR iPro Cybernet Workstation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V234" t="inlineStr">
        <is>
          <t>WNH269OPR013</t>
        </is>
      </c>
      <c r="W234" t="inlineStr">
        <is>
          <t>MEDSG2425F-3155</t>
        </is>
      </c>
      <c r="AH234" t="inlineStr">
        <is>
          <t>00:0D:05:0A:B2:C5</t>
        </is>
      </c>
      <c r="CA234" t="inlineStr">
        <is>
          <t>iPro
Epic Satellite
ALLSCRIPTS
EPIC BCA</t>
        </is>
      </c>
      <c r="CD234">
        <f>IF($Y234="","",IF((IF(AND($BR234&lt;&gt;"Yes",$BR234&lt;&gt;"N/A"),"Power Cable, ","")&amp;IF(AND($BS234&lt;&gt;"Yes",$BS234&lt;&gt;"N/A"),"Battery, ","")&amp;IF(AND($AD234&lt;&gt;"Yes",$AD234&lt;&gt;"N/A"),"Firmware Download, ","")&amp;IF(AND(OR($AD234="Yes",$AD234="N/A"),$AE234&lt;&gt;"Yes",$AE234&lt;&gt;"N/A"),"Firmware Install, ","")&amp;IF(AND($CB234&lt;&gt;"Yes",$CB234&lt;&gt;"N/A"),"Device ID, ","")&amp;IF(AND($CC234&lt;&gt;"Yes",$CC234&lt;&gt;"N/A"),"Epic Beans Relay, ",""))="","",LEFT(IF(AND($BR234&lt;&gt;"Yes",$BR234&lt;&gt;"N/A"),"Power Cable, ","")&amp;IF(AND($BS234&lt;&gt;"Yes",$BS234&lt;&gt;"N/A"),"Battery, ","")&amp;IF(AND($AD234&lt;&gt;"Yes",$AD234&lt;&gt;"N/A"),"Firmware Download, ","")&amp;IF(AND(OR($AD234="Yes",$AD234="N/A"),$AE234&lt;&gt;"Yes",$AE234&lt;&gt;"N/A"),"Firmware Install, ","")&amp;IF(AND($CB234&lt;&gt;"Yes",$CB234&lt;&gt;"N/A"),"Device ID, ","")&amp;IF(AND($CC234&lt;&gt;"Yes",$CC234&lt;&gt;"N/A"),"Epic Beans Relay, ",""),LEN(IF(AND($BR234&lt;&gt;"Yes",$BR234&lt;&gt;"N/A"),"Power Cable, ","")&amp;IF(AND($BS234&lt;&gt;"Yes",$BS234&lt;&gt;"N/A"),"Battery, ","")&amp;IF(AND($AD234&lt;&gt;"Yes",$AD234&lt;&gt;"N/A"),"Firmware Download, ","")&amp;IF(AND(OR($AD234="Yes",$AD234="N/A"),$AE234&lt;&gt;"Yes",$AE234&lt;&gt;"N/A"),"Firmware Install, ","")&amp;IF(AND($CB234&lt;&gt;"Yes",$CB234&lt;&gt;"N/A"),"Device ID, ","")&amp;IF(AND($CC234&lt;&gt;"Yes",$CC234&lt;&gt;"N/A"),"Epic Beans Relay, ",""))-2)))</f>
        <v/>
      </c>
      <c r="CE234">
        <f>IF($Y234="","",IF($CD234="","Yes","Blocked"))</f>
        <v/>
      </c>
      <c r="CF234" t="inlineStr">
        <is>
          <t>Yes</t>
        </is>
      </c>
      <c r="CG234" t="inlineStr">
        <is>
          <t>Yes</t>
        </is>
      </c>
      <c r="CH234" t="inlineStr">
        <is>
          <t>Yes</t>
        </is>
      </c>
      <c r="CI234" t="inlineStr">
        <is>
          <t>Yes</t>
        </is>
      </c>
      <c r="CJ234" t="inlineStr">
        <is>
          <t>Yes</t>
        </is>
      </c>
      <c r="CK234" t="n">
        <v>19200</v>
      </c>
      <c r="CP234">
        <f>IF($CO234="","",IFERROR(VLOOKUP($CO234,'01_Warehouse_Ledger'!$A:$N,4,FALSE),""))</f>
        <v/>
      </c>
      <c r="CQ234">
        <f>IF($CO234="","",IFERROR(VLOOKUP($CO234,'01_Warehouse_Ledger'!$A:$N,5,FALSE),""))</f>
        <v/>
      </c>
      <c r="CR234">
        <f>IF($CO234="","",IFERROR(VLOOKUP($CO234,'01_Warehouse_Ledger'!$A:$N,13,FALSE),""))</f>
        <v/>
      </c>
      <c r="CW234">
        <f>IF($S234="","",IF(UPPER(TRIM($S234))&lt;&gt;"PASS","",IF(LEN(TRIM($BY234))&gt;0,"NOTES_PRESENT",IF(LEN(TRIM($T234))=0,"SET_NA",IF(OR(LOWER(TRIM($T234))="na",LOWER(TRIM($T234))="n/a"),"OK","MANUAL_OVERRIDE")))))</f>
        <v/>
      </c>
    </row>
    <row r="235">
      <c r="A235" t="inlineStr">
        <is>
          <t>Cybernet</t>
        </is>
      </c>
      <c r="B235" s="5" t="inlineStr">
        <is>
          <t>Yes</t>
        </is>
      </c>
      <c r="C235" t="inlineStr">
        <is>
          <t>Yes</t>
        </is>
      </c>
      <c r="D235">
        <f>IF($B235&lt;&gt;"Yes","",IF($C235="No","Yes",IF($C235="Yes","No","")))</f>
        <v/>
      </c>
      <c r="E235">
        <f>IF($A235="","",IF(OR(AND($V235&lt;&gt;"",LOWER(TRIM($V235))&lt;&gt;"n/a",LOWER(TRIM($V235))&lt;&gt;"na",SUMPRODUCT(--(UPPER(TRIM($V$2:$V$518))=UPPER(TRIM($V235))),--(TRIM($V$2:$V$518)&lt;&gt;""),--(LOWER(TRIM($V$2:$V$518))&lt;&gt;"n/a"),--(LOWER(TRIM($V$2:$V$518))&lt;&gt;"na"))&gt;1),AND($W235&lt;&gt;"",LOWER(TRIM($W235))&lt;&gt;"n/a",LOWER(TRIM($W235))&lt;&gt;"na",SUMPRODUCT(--(UPPER(TRIM($W$2:$W$518))=UPPER(TRIM($W235))),--(TRIM($W$2:$W$518)&lt;&gt;""),--(LOWER(TRIM($W$2:$W$518))&lt;&gt;"n/a"),--(LOWER(TRIM($W$2:$W$518))&lt;&gt;"na"))&gt;1),AND($X235&lt;&gt;"",LOWER(TRIM($X235))&lt;&gt;"n/a",LOWER(TRIM($X235))&lt;&gt;"na",SUMPRODUCT(--(UPPER(TRIM($X$2:$X$518))=UPPER(TRIM($X235))),--(TRIM($X$2:$X$518)&lt;&gt;""),--(LOWER(TRIM($X$2:$X$518))&lt;&gt;"n/a"),--(LOWER(TRIM($X$2:$X$518))&lt;&gt;"na"))&gt;1),AND($Y235&lt;&gt;"",LOWER(TRIM($Y235))&lt;&gt;"n/a",LOWER(TRIM($Y235))&lt;&gt;"na",SUMPRODUCT(--(UPPER(SUBSTITUTE(SUBSTITUTE(TRIM($Y$2:$Y$518),":",""),"-",""))=UPPER(SUBSTITUTE(SUBSTITUTE(TRIM($Y235),":",""),"-",""))),--(TRIM($Y$2:$Y$518)&lt;&gt;""),--(LOWER(TRIM($Y$2:$Y$518))&lt;&gt;"n/a"),--(LOWER(TRIM($Y$2:$Y$518))&lt;&gt;"na"))&gt;1),AND($AB235&lt;&gt;"",LOWER(TRIM($AB235))&lt;&gt;"n/a",LOWER(TRIM($AB235))&lt;&gt;"na",SUMPRODUCT(--(UPPER(TRIM($AB$2:$AB$518))=UPPER(TRIM($AB235))),--(TRIM($AB$2:$AB$518)&lt;&gt;""),--(LOWER(TRIM($AB$2:$AB$518))&lt;&gt;"n/a"),--(LOWER(TRIM($AB$2:$AB$518))&lt;&gt;"na"))&gt;1),AND($AH235&lt;&gt;"",LOWER(TRIM($AH235))&lt;&gt;"n/a",LOWER(TRIM($AH235))&lt;&gt;"na",SUMPRODUCT(--(UPPER(SUBSTITUTE(SUBSTITUTE(TRIM($AH$2:$AH$518),":",""),"-",""))=UPPER(SUBSTITUTE(SUBSTITUTE(TRIM($AH235),":",""),"-",""))),--(TRIM($AH$2:$AH$518)&lt;&gt;""),--(LOWER(TRIM($AH$2:$AH$518))&lt;&gt;"n/a"),--(LOWER(TRIM($AH$2:$AH$518))&lt;&gt;"na"))&gt;1),AND($AP235&lt;&gt;"",LOWER(TRIM($AP235))&lt;&gt;"n/a",LOWER(TRIM($AP235))&lt;&gt;"na",SUMPRODUCT(--(UPPER(TRIM($AP$2:$AP$518))=UPPER(TRIM($AP235))),--(TRIM($AP$2:$AP$518)&lt;&gt;""),--(LOWER(TRIM($AP$2:$AP$518))&lt;&gt;"n/a"),--(LOWER(TRIM($AP$2:$AP$518))&lt;&gt;"na"))&gt;1),AND($AQ235&lt;&gt;"",LOWER(TRIM($AQ235))&lt;&gt;"n/a",LOWER(TRIM($AQ235))&lt;&gt;"na",SUMPRODUCT(--(UPPER(TRIM($AQ$2:$AQ$518))=UPPER(TRIM($AQ235))),--(TRIM($AQ$2:$AQ$518)&lt;&gt;""),--(LOWER(TRIM($AQ$2:$AQ$518))&lt;&gt;"n/a"),--(LOWER(TRIM($AQ$2:$AQ$518))&lt;&gt;"na"))&gt;1)),"Yes","No"))</f>
        <v/>
      </c>
      <c r="F235">
        <f>IF(UPPER(TRIM($B235))&lt;&gt;"YES","", IF(OR(AND($V235&lt;&gt;"", LOWER(TRIM($V235))&lt;&gt;"n/a", LOWER(TRIM($V235))&lt;&gt;"na", SUMPRODUCT(--(UPPER(TRIM($V$2:$V$518))=UPPER(TRIM($V235))), --(UPPER(TRIM($B$2:$B$518))="YES"), --(UPPER(TRIM($G$2:$G$518)&amp;TRIM($I$2:$I$518)&amp;TRIM($J$2:$J$518))&lt;&gt;UPPER(TRIM($G235)&amp;TRIM($I235)&amp;TRIM($J235))))&gt;0), AND($W235&lt;&gt;"", LOWER(TRIM($W235))&lt;&gt;"n/a", LOWER(TRIM($W235))&lt;&gt;"na", SUMPRODUCT(--(UPPER(TRIM($W$2:$W$518))=UPPER(TRIM($W235))), --(UPPER(TRIM($B$2:$B$518))="YES"), --(UPPER(TRIM($G$2:$G$518)&amp;TRIM($I$2:$I$518)&amp;TRIM($J$2:$J$518))&lt;&gt;UPPER(TRIM($G235)&amp;TRIM($I235)&amp;TRIM($J235))))&gt;0), AND($X235&lt;&gt;"", LOWER(TRIM($X235))&lt;&gt;"n/a", LOWER(TRIM($X235))&lt;&gt;"na", SUMPRODUCT(--(UPPER(TRIM($X$2:$X$518))=UPPER(TRIM($X235))), --(UPPER(TRIM($B$2:$B$518))="YES"), --(UPPER(TRIM($G$2:$G$518)&amp;TRIM($I$2:$I$518)&amp;TRIM($J$2:$J$518))&lt;&gt;UPPER(TRIM($G235)&amp;TRIM($I235)&amp;TRIM($J235))))&gt;0), AND($Y235&lt;&gt;"", LOWER(TRIM($Y235))&lt;&gt;"n/a", LOWER(TRIM($Y235))&lt;&gt;"na", SUMPRODUCT(--(UPPER(SUBSTITUTE(SUBSTITUTE(TRIM($Y$2:$Y$518),":",""),"-",""))=UPPER(SUBSTITUTE(SUBSTITUTE(TRIM($Y235),":",""),"-",""))), --(UPPER(TRIM($B$2:$B$518))="YES"), --(UPPER(TRIM($G$2:$G$518)&amp;TRIM($I$2:$I$518)&amp;TRIM($J$2:$J$518))&lt;&gt;UPPER(TRIM($G235)&amp;TRIM($I235)&amp;TRIM($J235))))&gt;0), AND($AB235&lt;&gt;"", LOWER(TRIM($AB235))&lt;&gt;"n/a", LOWER(TRIM($AB235))&lt;&gt;"na", SUMPRODUCT(--(UPPER(TRIM($AB$2:$AB$518))=UPPER(TRIM($AB235))), --(UPPER(TRIM($B$2:$B$518))="YES"), --(UPPER(TRIM($G$2:$G$518)&amp;TRIM($I$2:$I$518)&amp;TRIM($J$2:$J$518))&lt;&gt;UPPER(TRIM($G235)&amp;TRIM($I235)&amp;TRIM($J235))))&gt;0), AND($AH235&lt;&gt;"", LOWER(TRIM($AH235))&lt;&gt;"n/a", LOWER(TRIM($AH235))&lt;&gt;"na", SUMPRODUCT(--(UPPER(SUBSTITUTE(SUBSTITUTE(TRIM($AH$2:$AH$518),":",""),"-",""))=UPPER(SUBSTITUTE(SUBSTITUTE(TRIM($AH235),":",""),"-",""))), --(UPPER(TRIM($B$2:$B$518))="YES"), --(UPPER(TRIM($G$2:$G$518)&amp;TRIM($I$2:$I$518)&amp;TRIM($J$2:$J$518))&lt;&gt;UPPER(TRIM($G235)&amp;TRIM($I235)&amp;TRIM($J235))))&gt;0), AND($AP235&lt;&gt;"", LOWER(TRIM($AP235))&lt;&gt;"n/a", LOWER(TRIM($AP235))&lt;&gt;"na", SUMPRODUCT(--(UPPER(TRIM($AP$2:$AP$518))=UPPER(TRIM($AP235))), --(UPPER(TRIM($B$2:$B$518))="YES"), --(UPPER(TRIM($G$2:$G$518)&amp;TRIM($I$2:$I$518)&amp;TRIM($J$2:$J$518))&lt;&gt;UPPER(TRIM($G235)&amp;TRIM($I235)&amp;TRIM($J235))))&gt;0), AND($AQ235&lt;&gt;"", LOWER(TRIM($AQ235))&lt;&gt;"n/a", LOWER(TRIM($AQ235))&lt;&gt;"na", SUMPRODUCT(--(UPPER(TRIM($AQ$2:$AQ$518))=UPPER(TRIM($AQ235))), --(UPPER(TRIM($B$2:$B$518))="YES"), --(UPPER(TRIM($G$2:$G$518)&amp;TRIM($I$2:$I$518)&amp;TRIM($J$2:$J$518))&lt;&gt;UPPER(TRIM($G235)&amp;TRIM($I235)&amp;TRIM($J235))))&gt;0)), "Yes", "No"))</f>
        <v/>
      </c>
      <c r="G235" t="inlineStr">
        <is>
          <t>LIJ - CCMC</t>
        </is>
      </c>
      <c r="H235" t="inlineStr">
        <is>
          <t>LIJ - CCMC</t>
        </is>
      </c>
      <c r="M235" t="inlineStr">
        <is>
          <t>OR iPro Cybernet Workstation</t>
        </is>
      </c>
      <c r="N235" t="inlineStr">
        <is>
          <t>Yes</t>
        </is>
      </c>
      <c r="O235" t="inlineStr">
        <is>
          <t>No</t>
        </is>
      </c>
      <c r="P235" t="inlineStr">
        <is>
          <t>No</t>
        </is>
      </c>
      <c r="Q235" t="inlineStr">
        <is>
          <t>inpatient</t>
        </is>
      </c>
      <c r="S235" t="inlineStr">
        <is>
          <t>Pass</t>
        </is>
      </c>
      <c r="AH235" t="inlineStr">
        <is>
          <t>00:0D:05:0A:B6:A1</t>
        </is>
      </c>
      <c r="CA235" t="inlineStr">
        <is>
          <t>iPro
Epic Satellite
ALLSCRIPTS
EPIC BCA</t>
        </is>
      </c>
      <c r="CD235">
        <f>IF($Y235="","",IF((IF(AND($BR235&lt;&gt;"Yes",$BR235&lt;&gt;"N/A"),"Power Cable, ","")&amp;IF(AND($BS235&lt;&gt;"Yes",$BS235&lt;&gt;"N/A"),"Battery, ","")&amp;IF(AND($AD235&lt;&gt;"Yes",$AD235&lt;&gt;"N/A"),"Firmware Download, ","")&amp;IF(AND(OR($AD235="Yes",$AD235="N/A"),$AE235&lt;&gt;"Yes",$AE235&lt;&gt;"N/A"),"Firmware Install, ","")&amp;IF(AND($CB235&lt;&gt;"Yes",$CB235&lt;&gt;"N/A"),"Device ID, ","")&amp;IF(AND($CC235&lt;&gt;"Yes",$CC235&lt;&gt;"N/A"),"Epic Beans Relay, ",""))="","",LEFT(IF(AND($BR235&lt;&gt;"Yes",$BR235&lt;&gt;"N/A"),"Power Cable, ","")&amp;IF(AND($BS235&lt;&gt;"Yes",$BS235&lt;&gt;"N/A"),"Battery, ","")&amp;IF(AND($AD235&lt;&gt;"Yes",$AD235&lt;&gt;"N/A"),"Firmware Download, ","")&amp;IF(AND(OR($AD235="Yes",$AD235="N/A"),$AE235&lt;&gt;"Yes",$AE235&lt;&gt;"N/A"),"Firmware Install, ","")&amp;IF(AND($CB235&lt;&gt;"Yes",$CB235&lt;&gt;"N/A"),"Device ID, ","")&amp;IF(AND($CC235&lt;&gt;"Yes",$CC235&lt;&gt;"N/A"),"Epic Beans Relay, ",""),LEN(IF(AND($BR235&lt;&gt;"Yes",$BR235&lt;&gt;"N/A"),"Power Cable, ","")&amp;IF(AND($BS235&lt;&gt;"Yes",$BS235&lt;&gt;"N/A"),"Battery, ","")&amp;IF(AND($AD235&lt;&gt;"Yes",$AD235&lt;&gt;"N/A"),"Firmware Download, ","")&amp;IF(AND(OR($AD235="Yes",$AD235="N/A"),$AE235&lt;&gt;"Yes",$AE235&lt;&gt;"N/A"),"Firmware Install, ","")&amp;IF(AND($CB235&lt;&gt;"Yes",$CB235&lt;&gt;"N/A"),"Device ID, ","")&amp;IF(AND($CC235&lt;&gt;"Yes",$CC235&lt;&gt;"N/A"),"Epic Beans Relay, ",""))-2)))</f>
        <v/>
      </c>
      <c r="CE235">
        <f>IF($Y235="","",IF($CD235="","Yes","Blocked"))</f>
        <v/>
      </c>
      <c r="CF235" t="inlineStr">
        <is>
          <t>Yes</t>
        </is>
      </c>
      <c r="CG235" t="inlineStr">
        <is>
          <t>Yes</t>
        </is>
      </c>
      <c r="CH235" t="inlineStr">
        <is>
          <t>Yes</t>
        </is>
      </c>
      <c r="CI235" t="inlineStr">
        <is>
          <t>Yes</t>
        </is>
      </c>
      <c r="CJ235" t="inlineStr">
        <is>
          <t>Yes</t>
        </is>
      </c>
      <c r="CK235" t="n">
        <v>19200</v>
      </c>
      <c r="CP235">
        <f>IF($CO235="","",IFERROR(VLOOKUP($CO235,'01_Warehouse_Ledger'!$A:$N,4,FALSE),""))</f>
        <v/>
      </c>
      <c r="CQ235">
        <f>IF($CO235="","",IFERROR(VLOOKUP($CO235,'01_Warehouse_Ledger'!$A:$N,5,FALSE),""))</f>
        <v/>
      </c>
      <c r="CR235">
        <f>IF($CO235="","",IFERROR(VLOOKUP($CO235,'01_Warehouse_Ledger'!$A:$N,13,FALSE),""))</f>
        <v/>
      </c>
      <c r="CW235">
        <f>IF($S235="","",IF(UPPER(TRIM($S235))&lt;&gt;"PASS","",IF(LEN(TRIM($BY235))&gt;0,"NOTES_PRESENT",IF(LEN(TRIM($T235))=0,"SET_NA",IF(OR(LOWER(TRIM($T235))="na",LOWER(TRIM($T235))="n/a"),"OK","MANUAL_OVERRIDE")))))</f>
        <v/>
      </c>
    </row>
    <row r="236">
      <c r="A236" t="inlineStr">
        <is>
          <t>Cybernet</t>
        </is>
      </c>
      <c r="B236" s="5" t="inlineStr">
        <is>
          <t>Yes</t>
        </is>
      </c>
      <c r="C236" t="inlineStr">
        <is>
          <t>Yes</t>
        </is>
      </c>
      <c r="D236">
        <f>IF($B236&lt;&gt;"Yes","",IF($C236="No","Yes",IF($C236="Yes","No","")))</f>
        <v/>
      </c>
      <c r="E236">
        <f>IF($A236="","",IF(OR(AND($V236&lt;&gt;"",LOWER(TRIM($V236))&lt;&gt;"n/a",LOWER(TRIM($V236))&lt;&gt;"na",SUMPRODUCT(--(UPPER(TRIM($V$2:$V$518))=UPPER(TRIM($V236))),--(TRIM($V$2:$V$518)&lt;&gt;""),--(LOWER(TRIM($V$2:$V$518))&lt;&gt;"n/a"),--(LOWER(TRIM($V$2:$V$518))&lt;&gt;"na"))&gt;1),AND($W236&lt;&gt;"",LOWER(TRIM($W236))&lt;&gt;"n/a",LOWER(TRIM($W236))&lt;&gt;"na",SUMPRODUCT(--(UPPER(TRIM($W$2:$W$518))=UPPER(TRIM($W236))),--(TRIM($W$2:$W$518)&lt;&gt;""),--(LOWER(TRIM($W$2:$W$518))&lt;&gt;"n/a"),--(LOWER(TRIM($W$2:$W$518))&lt;&gt;"na"))&gt;1),AND($X236&lt;&gt;"",LOWER(TRIM($X236))&lt;&gt;"n/a",LOWER(TRIM($X236))&lt;&gt;"na",SUMPRODUCT(--(UPPER(TRIM($X$2:$X$518))=UPPER(TRIM($X236))),--(TRIM($X$2:$X$518)&lt;&gt;""),--(LOWER(TRIM($X$2:$X$518))&lt;&gt;"n/a"),--(LOWER(TRIM($X$2:$X$518))&lt;&gt;"na"))&gt;1),AND($Y236&lt;&gt;"",LOWER(TRIM($Y236))&lt;&gt;"n/a",LOWER(TRIM($Y236))&lt;&gt;"na",SUMPRODUCT(--(UPPER(SUBSTITUTE(SUBSTITUTE(TRIM($Y$2:$Y$518),":",""),"-",""))=UPPER(SUBSTITUTE(SUBSTITUTE(TRIM($Y236),":",""),"-",""))),--(TRIM($Y$2:$Y$518)&lt;&gt;""),--(LOWER(TRIM($Y$2:$Y$518))&lt;&gt;"n/a"),--(LOWER(TRIM($Y$2:$Y$518))&lt;&gt;"na"))&gt;1),AND($AB236&lt;&gt;"",LOWER(TRIM($AB236))&lt;&gt;"n/a",LOWER(TRIM($AB236))&lt;&gt;"na",SUMPRODUCT(--(UPPER(TRIM($AB$2:$AB$518))=UPPER(TRIM($AB236))),--(TRIM($AB$2:$AB$518)&lt;&gt;""),--(LOWER(TRIM($AB$2:$AB$518))&lt;&gt;"n/a"),--(LOWER(TRIM($AB$2:$AB$518))&lt;&gt;"na"))&gt;1),AND($AH236&lt;&gt;"",LOWER(TRIM($AH236))&lt;&gt;"n/a",LOWER(TRIM($AH236))&lt;&gt;"na",SUMPRODUCT(--(UPPER(SUBSTITUTE(SUBSTITUTE(TRIM($AH$2:$AH$518),":",""),"-",""))=UPPER(SUBSTITUTE(SUBSTITUTE(TRIM($AH236),":",""),"-",""))),--(TRIM($AH$2:$AH$518)&lt;&gt;""),--(LOWER(TRIM($AH$2:$AH$518))&lt;&gt;"n/a"),--(LOWER(TRIM($AH$2:$AH$518))&lt;&gt;"na"))&gt;1),AND($AP236&lt;&gt;"",LOWER(TRIM($AP236))&lt;&gt;"n/a",LOWER(TRIM($AP236))&lt;&gt;"na",SUMPRODUCT(--(UPPER(TRIM($AP$2:$AP$518))=UPPER(TRIM($AP236))),--(TRIM($AP$2:$AP$518)&lt;&gt;""),--(LOWER(TRIM($AP$2:$AP$518))&lt;&gt;"n/a"),--(LOWER(TRIM($AP$2:$AP$518))&lt;&gt;"na"))&gt;1),AND($AQ236&lt;&gt;"",LOWER(TRIM($AQ236))&lt;&gt;"n/a",LOWER(TRIM($AQ236))&lt;&gt;"na",SUMPRODUCT(--(UPPER(TRIM($AQ$2:$AQ$518))=UPPER(TRIM($AQ236))),--(TRIM($AQ$2:$AQ$518)&lt;&gt;""),--(LOWER(TRIM($AQ$2:$AQ$518))&lt;&gt;"n/a"),--(LOWER(TRIM($AQ$2:$AQ$518))&lt;&gt;"na"))&gt;1)),"Yes","No"))</f>
        <v/>
      </c>
      <c r="F236">
        <f>IF(UPPER(TRIM($B236))&lt;&gt;"YES","", IF(OR(AND($V236&lt;&gt;"", LOWER(TRIM($V236))&lt;&gt;"n/a", LOWER(TRIM($V236))&lt;&gt;"na", SUMPRODUCT(--(UPPER(TRIM($V$2:$V$518))=UPPER(TRIM($V236))), --(UPPER(TRIM($B$2:$B$518))="YES"), --(UPPER(TRIM($G$2:$G$518)&amp;TRIM($I$2:$I$518)&amp;TRIM($J$2:$J$518))&lt;&gt;UPPER(TRIM($G236)&amp;TRIM($I236)&amp;TRIM($J236))))&gt;0), AND($W236&lt;&gt;"", LOWER(TRIM($W236))&lt;&gt;"n/a", LOWER(TRIM($W236))&lt;&gt;"na", SUMPRODUCT(--(UPPER(TRIM($W$2:$W$518))=UPPER(TRIM($W236))), --(UPPER(TRIM($B$2:$B$518))="YES"), --(UPPER(TRIM($G$2:$G$518)&amp;TRIM($I$2:$I$518)&amp;TRIM($J$2:$J$518))&lt;&gt;UPPER(TRIM($G236)&amp;TRIM($I236)&amp;TRIM($J236))))&gt;0), AND($X236&lt;&gt;"", LOWER(TRIM($X236))&lt;&gt;"n/a", LOWER(TRIM($X236))&lt;&gt;"na", SUMPRODUCT(--(UPPER(TRIM($X$2:$X$518))=UPPER(TRIM($X236))), --(UPPER(TRIM($B$2:$B$518))="YES"), --(UPPER(TRIM($G$2:$G$518)&amp;TRIM($I$2:$I$518)&amp;TRIM($J$2:$J$518))&lt;&gt;UPPER(TRIM($G236)&amp;TRIM($I236)&amp;TRIM($J236))))&gt;0), AND($Y236&lt;&gt;"", LOWER(TRIM($Y236))&lt;&gt;"n/a", LOWER(TRIM($Y236))&lt;&gt;"na", SUMPRODUCT(--(UPPER(SUBSTITUTE(SUBSTITUTE(TRIM($Y$2:$Y$518),":",""),"-",""))=UPPER(SUBSTITUTE(SUBSTITUTE(TRIM($Y236),":",""),"-",""))), --(UPPER(TRIM($B$2:$B$518))="YES"), --(UPPER(TRIM($G$2:$G$518)&amp;TRIM($I$2:$I$518)&amp;TRIM($J$2:$J$518))&lt;&gt;UPPER(TRIM($G236)&amp;TRIM($I236)&amp;TRIM($J236))))&gt;0), AND($AB236&lt;&gt;"", LOWER(TRIM($AB236))&lt;&gt;"n/a", LOWER(TRIM($AB236))&lt;&gt;"na", SUMPRODUCT(--(UPPER(TRIM($AB$2:$AB$518))=UPPER(TRIM($AB236))), --(UPPER(TRIM($B$2:$B$518))="YES"), --(UPPER(TRIM($G$2:$G$518)&amp;TRIM($I$2:$I$518)&amp;TRIM($J$2:$J$518))&lt;&gt;UPPER(TRIM($G236)&amp;TRIM($I236)&amp;TRIM($J236))))&gt;0), AND($AH236&lt;&gt;"", LOWER(TRIM($AH236))&lt;&gt;"n/a", LOWER(TRIM($AH236))&lt;&gt;"na", SUMPRODUCT(--(UPPER(SUBSTITUTE(SUBSTITUTE(TRIM($AH$2:$AH$518),":",""),"-",""))=UPPER(SUBSTITUTE(SUBSTITUTE(TRIM($AH236),":",""),"-",""))), --(UPPER(TRIM($B$2:$B$518))="YES"), --(UPPER(TRIM($G$2:$G$518)&amp;TRIM($I$2:$I$518)&amp;TRIM($J$2:$J$518))&lt;&gt;UPPER(TRIM($G236)&amp;TRIM($I236)&amp;TRIM($J236))))&gt;0), AND($AP236&lt;&gt;"", LOWER(TRIM($AP236))&lt;&gt;"n/a", LOWER(TRIM($AP236))&lt;&gt;"na", SUMPRODUCT(--(UPPER(TRIM($AP$2:$AP$518))=UPPER(TRIM($AP236))), --(UPPER(TRIM($B$2:$B$518))="YES"), --(UPPER(TRIM($G$2:$G$518)&amp;TRIM($I$2:$I$518)&amp;TRIM($J$2:$J$518))&lt;&gt;UPPER(TRIM($G236)&amp;TRIM($I236)&amp;TRIM($J236))))&gt;0), AND($AQ236&lt;&gt;"", LOWER(TRIM($AQ236))&lt;&gt;"n/a", LOWER(TRIM($AQ236))&lt;&gt;"na", SUMPRODUCT(--(UPPER(TRIM($AQ$2:$AQ$518))=UPPER(TRIM($AQ236))), --(UPPER(TRIM($B$2:$B$518))="YES"), --(UPPER(TRIM($G$2:$G$518)&amp;TRIM($I$2:$I$518)&amp;TRIM($J$2:$J$518))&lt;&gt;UPPER(TRIM($G236)&amp;TRIM($I236)&amp;TRIM($J236))))&gt;0)), "Yes", "No"))</f>
        <v/>
      </c>
      <c r="G236" t="inlineStr">
        <is>
          <t>LIJ - CCMC</t>
        </is>
      </c>
      <c r="H236" t="inlineStr">
        <is>
          <t>LIJ - CCMC</t>
        </is>
      </c>
      <c r="M236" t="inlineStr">
        <is>
          <t>OR iPro Cybernet Workstation</t>
        </is>
      </c>
      <c r="N236" t="inlineStr">
        <is>
          <t>Yes</t>
        </is>
      </c>
      <c r="O236" t="inlineStr">
        <is>
          <t>No</t>
        </is>
      </c>
      <c r="P236" t="inlineStr">
        <is>
          <t>No</t>
        </is>
      </c>
      <c r="Q236" t="inlineStr">
        <is>
          <t>inpatient</t>
        </is>
      </c>
      <c r="S236" t="inlineStr">
        <is>
          <t>Pass</t>
        </is>
      </c>
      <c r="AH236" t="inlineStr">
        <is>
          <t>00:0D:05:0A:b6:65</t>
        </is>
      </c>
      <c r="CA236" t="inlineStr">
        <is>
          <t>iPro
Epic Satellite
ALLSCRIPTS
EPIC BCA</t>
        </is>
      </c>
      <c r="CD236">
        <f>IF($Y236="","",IF((IF(AND($BR236&lt;&gt;"Yes",$BR236&lt;&gt;"N/A"),"Power Cable, ","")&amp;IF(AND($BS236&lt;&gt;"Yes",$BS236&lt;&gt;"N/A"),"Battery, ","")&amp;IF(AND($AD236&lt;&gt;"Yes",$AD236&lt;&gt;"N/A"),"Firmware Download, ","")&amp;IF(AND(OR($AD236="Yes",$AD236="N/A"),$AE236&lt;&gt;"Yes",$AE236&lt;&gt;"N/A"),"Firmware Install, ","")&amp;IF(AND($CB236&lt;&gt;"Yes",$CB236&lt;&gt;"N/A"),"Device ID, ","")&amp;IF(AND($CC236&lt;&gt;"Yes",$CC236&lt;&gt;"N/A"),"Epic Beans Relay, ",""))="","",LEFT(IF(AND($BR236&lt;&gt;"Yes",$BR236&lt;&gt;"N/A"),"Power Cable, ","")&amp;IF(AND($BS236&lt;&gt;"Yes",$BS236&lt;&gt;"N/A"),"Battery, ","")&amp;IF(AND($AD236&lt;&gt;"Yes",$AD236&lt;&gt;"N/A"),"Firmware Download, ","")&amp;IF(AND(OR($AD236="Yes",$AD236="N/A"),$AE236&lt;&gt;"Yes",$AE236&lt;&gt;"N/A"),"Firmware Install, ","")&amp;IF(AND($CB236&lt;&gt;"Yes",$CB236&lt;&gt;"N/A"),"Device ID, ","")&amp;IF(AND($CC236&lt;&gt;"Yes",$CC236&lt;&gt;"N/A"),"Epic Beans Relay, ",""),LEN(IF(AND($BR236&lt;&gt;"Yes",$BR236&lt;&gt;"N/A"),"Power Cable, ","")&amp;IF(AND($BS236&lt;&gt;"Yes",$BS236&lt;&gt;"N/A"),"Battery, ","")&amp;IF(AND($AD236&lt;&gt;"Yes",$AD236&lt;&gt;"N/A"),"Firmware Download, ","")&amp;IF(AND(OR($AD236="Yes",$AD236="N/A"),$AE236&lt;&gt;"Yes",$AE236&lt;&gt;"N/A"),"Firmware Install, ","")&amp;IF(AND($CB236&lt;&gt;"Yes",$CB236&lt;&gt;"N/A"),"Device ID, ","")&amp;IF(AND($CC236&lt;&gt;"Yes",$CC236&lt;&gt;"N/A"),"Epic Beans Relay, ",""))-2)))</f>
        <v/>
      </c>
      <c r="CE236">
        <f>IF($Y236="","",IF($CD236="","Yes","Blocked"))</f>
        <v/>
      </c>
      <c r="CF236" t="inlineStr">
        <is>
          <t>Yes</t>
        </is>
      </c>
      <c r="CG236" t="inlineStr">
        <is>
          <t>Yes</t>
        </is>
      </c>
      <c r="CH236" t="inlineStr">
        <is>
          <t>Yes</t>
        </is>
      </c>
      <c r="CI236" t="inlineStr">
        <is>
          <t>Yes</t>
        </is>
      </c>
      <c r="CJ236" t="inlineStr">
        <is>
          <t>Yes</t>
        </is>
      </c>
      <c r="CK236" t="n">
        <v>19200</v>
      </c>
      <c r="CP236">
        <f>IF($CO236="","",IFERROR(VLOOKUP($CO236,'01_Warehouse_Ledger'!$A:$N,4,FALSE),""))</f>
        <v/>
      </c>
      <c r="CQ236">
        <f>IF($CO236="","",IFERROR(VLOOKUP($CO236,'01_Warehouse_Ledger'!$A:$N,5,FALSE),""))</f>
        <v/>
      </c>
      <c r="CR236">
        <f>IF($CO236="","",IFERROR(VLOOKUP($CO236,'01_Warehouse_Ledger'!$A:$N,13,FALSE),""))</f>
        <v/>
      </c>
      <c r="CW236">
        <f>IF($S236="","",IF(UPPER(TRIM($S236))&lt;&gt;"PASS","",IF(LEN(TRIM($BY236))&gt;0,"NOTES_PRESENT",IF(LEN(TRIM($T236))=0,"SET_NA",IF(OR(LOWER(TRIM($T236))="na",LOWER(TRIM($T236))="n/a"),"OK","MANUAL_OVERRIDE")))))</f>
        <v/>
      </c>
    </row>
    <row r="237">
      <c r="A237" t="inlineStr">
        <is>
          <t>Cybernet</t>
        </is>
      </c>
      <c r="B237" s="5" t="inlineStr">
        <is>
          <t>Yes</t>
        </is>
      </c>
      <c r="C237" t="inlineStr">
        <is>
          <t>Yes</t>
        </is>
      </c>
      <c r="D237">
        <f>IF($B237&lt;&gt;"Yes","",IF($C237="No","Yes",IF($C237="Yes","No","")))</f>
        <v/>
      </c>
      <c r="E237">
        <f>IF($A237="","",IF(OR(AND($V237&lt;&gt;"",LOWER(TRIM($V237))&lt;&gt;"n/a",LOWER(TRIM($V237))&lt;&gt;"na",SUMPRODUCT(--(UPPER(TRIM($V$2:$V$518))=UPPER(TRIM($V237))),--(TRIM($V$2:$V$518)&lt;&gt;""),--(LOWER(TRIM($V$2:$V$518))&lt;&gt;"n/a"),--(LOWER(TRIM($V$2:$V$518))&lt;&gt;"na"))&gt;1),AND($W237&lt;&gt;"",LOWER(TRIM($W237))&lt;&gt;"n/a",LOWER(TRIM($W237))&lt;&gt;"na",SUMPRODUCT(--(UPPER(TRIM($W$2:$W$518))=UPPER(TRIM($W237))),--(TRIM($W$2:$W$518)&lt;&gt;""),--(LOWER(TRIM($W$2:$W$518))&lt;&gt;"n/a"),--(LOWER(TRIM($W$2:$W$518))&lt;&gt;"na"))&gt;1),AND($X237&lt;&gt;"",LOWER(TRIM($X237))&lt;&gt;"n/a",LOWER(TRIM($X237))&lt;&gt;"na",SUMPRODUCT(--(UPPER(TRIM($X$2:$X$518))=UPPER(TRIM($X237))),--(TRIM($X$2:$X$518)&lt;&gt;""),--(LOWER(TRIM($X$2:$X$518))&lt;&gt;"n/a"),--(LOWER(TRIM($X$2:$X$518))&lt;&gt;"na"))&gt;1),AND($Y237&lt;&gt;"",LOWER(TRIM($Y237))&lt;&gt;"n/a",LOWER(TRIM($Y237))&lt;&gt;"na",SUMPRODUCT(--(UPPER(SUBSTITUTE(SUBSTITUTE(TRIM($Y$2:$Y$518),":",""),"-",""))=UPPER(SUBSTITUTE(SUBSTITUTE(TRIM($Y237),":",""),"-",""))),--(TRIM($Y$2:$Y$518)&lt;&gt;""),--(LOWER(TRIM($Y$2:$Y$518))&lt;&gt;"n/a"),--(LOWER(TRIM($Y$2:$Y$518))&lt;&gt;"na"))&gt;1),AND($AB237&lt;&gt;"",LOWER(TRIM($AB237))&lt;&gt;"n/a",LOWER(TRIM($AB237))&lt;&gt;"na",SUMPRODUCT(--(UPPER(TRIM($AB$2:$AB$518))=UPPER(TRIM($AB237))),--(TRIM($AB$2:$AB$518)&lt;&gt;""),--(LOWER(TRIM($AB$2:$AB$518))&lt;&gt;"n/a"),--(LOWER(TRIM($AB$2:$AB$518))&lt;&gt;"na"))&gt;1),AND($AH237&lt;&gt;"",LOWER(TRIM($AH237))&lt;&gt;"n/a",LOWER(TRIM($AH237))&lt;&gt;"na",SUMPRODUCT(--(UPPER(SUBSTITUTE(SUBSTITUTE(TRIM($AH$2:$AH$518),":",""),"-",""))=UPPER(SUBSTITUTE(SUBSTITUTE(TRIM($AH237),":",""),"-",""))),--(TRIM($AH$2:$AH$518)&lt;&gt;""),--(LOWER(TRIM($AH$2:$AH$518))&lt;&gt;"n/a"),--(LOWER(TRIM($AH$2:$AH$518))&lt;&gt;"na"))&gt;1),AND($AP237&lt;&gt;"",LOWER(TRIM($AP237))&lt;&gt;"n/a",LOWER(TRIM($AP237))&lt;&gt;"na",SUMPRODUCT(--(UPPER(TRIM($AP$2:$AP$518))=UPPER(TRIM($AP237))),--(TRIM($AP$2:$AP$518)&lt;&gt;""),--(LOWER(TRIM($AP$2:$AP$518))&lt;&gt;"n/a"),--(LOWER(TRIM($AP$2:$AP$518))&lt;&gt;"na"))&gt;1),AND($AQ237&lt;&gt;"",LOWER(TRIM($AQ237))&lt;&gt;"n/a",LOWER(TRIM($AQ237))&lt;&gt;"na",SUMPRODUCT(--(UPPER(TRIM($AQ$2:$AQ$518))=UPPER(TRIM($AQ237))),--(TRIM($AQ$2:$AQ$518)&lt;&gt;""),--(LOWER(TRIM($AQ$2:$AQ$518))&lt;&gt;"n/a"),--(LOWER(TRIM($AQ$2:$AQ$518))&lt;&gt;"na"))&gt;1)),"Yes","No"))</f>
        <v/>
      </c>
      <c r="F237">
        <f>IF(UPPER(TRIM($B237))&lt;&gt;"YES","", IF(OR(AND($V237&lt;&gt;"", LOWER(TRIM($V237))&lt;&gt;"n/a", LOWER(TRIM($V237))&lt;&gt;"na", SUMPRODUCT(--(UPPER(TRIM($V$2:$V$518))=UPPER(TRIM($V237))), --(UPPER(TRIM($B$2:$B$518))="YES"), --(UPPER(TRIM($G$2:$G$518)&amp;TRIM($I$2:$I$518)&amp;TRIM($J$2:$J$518))&lt;&gt;UPPER(TRIM($G237)&amp;TRIM($I237)&amp;TRIM($J237))))&gt;0), AND($W237&lt;&gt;"", LOWER(TRIM($W237))&lt;&gt;"n/a", LOWER(TRIM($W237))&lt;&gt;"na", SUMPRODUCT(--(UPPER(TRIM($W$2:$W$518))=UPPER(TRIM($W237))), --(UPPER(TRIM($B$2:$B$518))="YES"), --(UPPER(TRIM($G$2:$G$518)&amp;TRIM($I$2:$I$518)&amp;TRIM($J$2:$J$518))&lt;&gt;UPPER(TRIM($G237)&amp;TRIM($I237)&amp;TRIM($J237))))&gt;0), AND($X237&lt;&gt;"", LOWER(TRIM($X237))&lt;&gt;"n/a", LOWER(TRIM($X237))&lt;&gt;"na", SUMPRODUCT(--(UPPER(TRIM($X$2:$X$518))=UPPER(TRIM($X237))), --(UPPER(TRIM($B$2:$B$518))="YES"), --(UPPER(TRIM($G$2:$G$518)&amp;TRIM($I$2:$I$518)&amp;TRIM($J$2:$J$518))&lt;&gt;UPPER(TRIM($G237)&amp;TRIM($I237)&amp;TRIM($J237))))&gt;0), AND($Y237&lt;&gt;"", LOWER(TRIM($Y237))&lt;&gt;"n/a", LOWER(TRIM($Y237))&lt;&gt;"na", SUMPRODUCT(--(UPPER(SUBSTITUTE(SUBSTITUTE(TRIM($Y$2:$Y$518),":",""),"-",""))=UPPER(SUBSTITUTE(SUBSTITUTE(TRIM($Y237),":",""),"-",""))), --(UPPER(TRIM($B$2:$B$518))="YES"), --(UPPER(TRIM($G$2:$G$518)&amp;TRIM($I$2:$I$518)&amp;TRIM($J$2:$J$518))&lt;&gt;UPPER(TRIM($G237)&amp;TRIM($I237)&amp;TRIM($J237))))&gt;0), AND($AB237&lt;&gt;"", LOWER(TRIM($AB237))&lt;&gt;"n/a", LOWER(TRIM($AB237))&lt;&gt;"na", SUMPRODUCT(--(UPPER(TRIM($AB$2:$AB$518))=UPPER(TRIM($AB237))), --(UPPER(TRIM($B$2:$B$518))="YES"), --(UPPER(TRIM($G$2:$G$518)&amp;TRIM($I$2:$I$518)&amp;TRIM($J$2:$J$518))&lt;&gt;UPPER(TRIM($G237)&amp;TRIM($I237)&amp;TRIM($J237))))&gt;0), AND($AH237&lt;&gt;"", LOWER(TRIM($AH237))&lt;&gt;"n/a", LOWER(TRIM($AH237))&lt;&gt;"na", SUMPRODUCT(--(UPPER(SUBSTITUTE(SUBSTITUTE(TRIM($AH$2:$AH$518),":",""),"-",""))=UPPER(SUBSTITUTE(SUBSTITUTE(TRIM($AH237),":",""),"-",""))), --(UPPER(TRIM($B$2:$B$518))="YES"), --(UPPER(TRIM($G$2:$G$518)&amp;TRIM($I$2:$I$518)&amp;TRIM($J$2:$J$518))&lt;&gt;UPPER(TRIM($G237)&amp;TRIM($I237)&amp;TRIM($J237))))&gt;0), AND($AP237&lt;&gt;"", LOWER(TRIM($AP237))&lt;&gt;"n/a", LOWER(TRIM($AP237))&lt;&gt;"na", SUMPRODUCT(--(UPPER(TRIM($AP$2:$AP$518))=UPPER(TRIM($AP237))), --(UPPER(TRIM($B$2:$B$518))="YES"), --(UPPER(TRIM($G$2:$G$518)&amp;TRIM($I$2:$I$518)&amp;TRIM($J$2:$J$518))&lt;&gt;UPPER(TRIM($G237)&amp;TRIM($I237)&amp;TRIM($J237))))&gt;0), AND($AQ237&lt;&gt;"", LOWER(TRIM($AQ237))&lt;&gt;"n/a", LOWER(TRIM($AQ237))&lt;&gt;"na", SUMPRODUCT(--(UPPER(TRIM($AQ$2:$AQ$518))=UPPER(TRIM($AQ237))), --(UPPER(TRIM($B$2:$B$518))="YES"), --(UPPER(TRIM($G$2:$G$518)&amp;TRIM($I$2:$I$518)&amp;TRIM($J$2:$J$518))&lt;&gt;UPPER(TRIM($G237)&amp;TRIM($I237)&amp;TRIM($J237))))&gt;0)), "Yes", "No"))</f>
        <v/>
      </c>
      <c r="G237" t="inlineStr">
        <is>
          <t>LIJ - CCMC</t>
        </is>
      </c>
      <c r="H237" t="inlineStr">
        <is>
          <t>LIJ - CCMC</t>
        </is>
      </c>
      <c r="M237" t="inlineStr">
        <is>
          <t>OR iPro Cybernet Workstation</t>
        </is>
      </c>
      <c r="N237" t="inlineStr">
        <is>
          <t>Yes</t>
        </is>
      </c>
      <c r="O237" t="inlineStr">
        <is>
          <t>No</t>
        </is>
      </c>
      <c r="P237" t="inlineStr">
        <is>
          <t>No</t>
        </is>
      </c>
      <c r="Q237" t="inlineStr">
        <is>
          <t>inpatient</t>
        </is>
      </c>
      <c r="S237" t="inlineStr">
        <is>
          <t>Pass</t>
        </is>
      </c>
      <c r="AH237" t="inlineStr">
        <is>
          <t>00:0D:05:0A:b4:71</t>
        </is>
      </c>
      <c r="CA237" t="inlineStr">
        <is>
          <t>iPro
Epic Satellite
ALLSCRIPTS
EPIC BCA</t>
        </is>
      </c>
      <c r="CD237">
        <f>IF($Y237="","",IF((IF(AND($BR237&lt;&gt;"Yes",$BR237&lt;&gt;"N/A"),"Power Cable, ","")&amp;IF(AND($BS237&lt;&gt;"Yes",$BS237&lt;&gt;"N/A"),"Battery, ","")&amp;IF(AND($AD237&lt;&gt;"Yes",$AD237&lt;&gt;"N/A"),"Firmware Download, ","")&amp;IF(AND(OR($AD237="Yes",$AD237="N/A"),$AE237&lt;&gt;"Yes",$AE237&lt;&gt;"N/A"),"Firmware Install, ","")&amp;IF(AND($CB237&lt;&gt;"Yes",$CB237&lt;&gt;"N/A"),"Device ID, ","")&amp;IF(AND($CC237&lt;&gt;"Yes",$CC237&lt;&gt;"N/A"),"Epic Beans Relay, ",""))="","",LEFT(IF(AND($BR237&lt;&gt;"Yes",$BR237&lt;&gt;"N/A"),"Power Cable, ","")&amp;IF(AND($BS237&lt;&gt;"Yes",$BS237&lt;&gt;"N/A"),"Battery, ","")&amp;IF(AND($AD237&lt;&gt;"Yes",$AD237&lt;&gt;"N/A"),"Firmware Download, ","")&amp;IF(AND(OR($AD237="Yes",$AD237="N/A"),$AE237&lt;&gt;"Yes",$AE237&lt;&gt;"N/A"),"Firmware Install, ","")&amp;IF(AND($CB237&lt;&gt;"Yes",$CB237&lt;&gt;"N/A"),"Device ID, ","")&amp;IF(AND($CC237&lt;&gt;"Yes",$CC237&lt;&gt;"N/A"),"Epic Beans Relay, ",""),LEN(IF(AND($BR237&lt;&gt;"Yes",$BR237&lt;&gt;"N/A"),"Power Cable, ","")&amp;IF(AND($BS237&lt;&gt;"Yes",$BS237&lt;&gt;"N/A"),"Battery, ","")&amp;IF(AND($AD237&lt;&gt;"Yes",$AD237&lt;&gt;"N/A"),"Firmware Download, ","")&amp;IF(AND(OR($AD237="Yes",$AD237="N/A"),$AE237&lt;&gt;"Yes",$AE237&lt;&gt;"N/A"),"Firmware Install, ","")&amp;IF(AND($CB237&lt;&gt;"Yes",$CB237&lt;&gt;"N/A"),"Device ID, ","")&amp;IF(AND($CC237&lt;&gt;"Yes",$CC237&lt;&gt;"N/A"),"Epic Beans Relay, ",""))-2)))</f>
        <v/>
      </c>
      <c r="CE237">
        <f>IF($Y237="","",IF($CD237="","Yes","Blocked"))</f>
        <v/>
      </c>
      <c r="CF237" t="inlineStr">
        <is>
          <t>Yes</t>
        </is>
      </c>
      <c r="CG237" t="inlineStr">
        <is>
          <t>Yes</t>
        </is>
      </c>
      <c r="CH237" t="inlineStr">
        <is>
          <t>Yes</t>
        </is>
      </c>
      <c r="CI237" t="inlineStr">
        <is>
          <t>Yes</t>
        </is>
      </c>
      <c r="CJ237" t="inlineStr">
        <is>
          <t>Yes</t>
        </is>
      </c>
      <c r="CK237" t="n">
        <v>19200</v>
      </c>
      <c r="CP237">
        <f>IF($CO237="","",IFERROR(VLOOKUP($CO237,'01_Warehouse_Ledger'!$A:$N,4,FALSE),""))</f>
        <v/>
      </c>
      <c r="CQ237">
        <f>IF($CO237="","",IFERROR(VLOOKUP($CO237,'01_Warehouse_Ledger'!$A:$N,5,FALSE),""))</f>
        <v/>
      </c>
      <c r="CR237">
        <f>IF($CO237="","",IFERROR(VLOOKUP($CO237,'01_Warehouse_Ledger'!$A:$N,13,FALSE),""))</f>
        <v/>
      </c>
      <c r="CW237">
        <f>IF($S237="","",IF(UPPER(TRIM($S237))&lt;&gt;"PASS","",IF(LEN(TRIM($BY237))&gt;0,"NOTES_PRESENT",IF(LEN(TRIM($T237))=0,"SET_NA",IF(OR(LOWER(TRIM($T237))="na",LOWER(TRIM($T237))="n/a"),"OK","MANUAL_OVERRIDE")))))</f>
        <v/>
      </c>
    </row>
    <row r="238">
      <c r="A238" t="inlineStr">
        <is>
          <t>Cybernet</t>
        </is>
      </c>
      <c r="B238" s="5" t="inlineStr">
        <is>
          <t>Yes</t>
        </is>
      </c>
      <c r="C238" t="inlineStr">
        <is>
          <t>Yes</t>
        </is>
      </c>
      <c r="D238">
        <f>IF($B238&lt;&gt;"Yes","",IF($C238="No","Yes",IF($C238="Yes","No","")))</f>
        <v/>
      </c>
      <c r="E238">
        <f>IF($A238="","",IF(OR(AND($V238&lt;&gt;"",LOWER(TRIM($V238))&lt;&gt;"n/a",LOWER(TRIM($V238))&lt;&gt;"na",SUMPRODUCT(--(UPPER(TRIM($V$2:$V$518))=UPPER(TRIM($V238))),--(TRIM($V$2:$V$518)&lt;&gt;""),--(LOWER(TRIM($V$2:$V$518))&lt;&gt;"n/a"),--(LOWER(TRIM($V$2:$V$518))&lt;&gt;"na"))&gt;1),AND($W238&lt;&gt;"",LOWER(TRIM($W238))&lt;&gt;"n/a",LOWER(TRIM($W238))&lt;&gt;"na",SUMPRODUCT(--(UPPER(TRIM($W$2:$W$518))=UPPER(TRIM($W238))),--(TRIM($W$2:$W$518)&lt;&gt;""),--(LOWER(TRIM($W$2:$W$518))&lt;&gt;"n/a"),--(LOWER(TRIM($W$2:$W$518))&lt;&gt;"na"))&gt;1),AND($X238&lt;&gt;"",LOWER(TRIM($X238))&lt;&gt;"n/a",LOWER(TRIM($X238))&lt;&gt;"na",SUMPRODUCT(--(UPPER(TRIM($X$2:$X$518))=UPPER(TRIM($X238))),--(TRIM($X$2:$X$518)&lt;&gt;""),--(LOWER(TRIM($X$2:$X$518))&lt;&gt;"n/a"),--(LOWER(TRIM($X$2:$X$518))&lt;&gt;"na"))&gt;1),AND($Y238&lt;&gt;"",LOWER(TRIM($Y238))&lt;&gt;"n/a",LOWER(TRIM($Y238))&lt;&gt;"na",SUMPRODUCT(--(UPPER(SUBSTITUTE(SUBSTITUTE(TRIM($Y$2:$Y$518),":",""),"-",""))=UPPER(SUBSTITUTE(SUBSTITUTE(TRIM($Y238),":",""),"-",""))),--(TRIM($Y$2:$Y$518)&lt;&gt;""),--(LOWER(TRIM($Y$2:$Y$518))&lt;&gt;"n/a"),--(LOWER(TRIM($Y$2:$Y$518))&lt;&gt;"na"))&gt;1),AND($AB238&lt;&gt;"",LOWER(TRIM($AB238))&lt;&gt;"n/a",LOWER(TRIM($AB238))&lt;&gt;"na",SUMPRODUCT(--(UPPER(TRIM($AB$2:$AB$518))=UPPER(TRIM($AB238))),--(TRIM($AB$2:$AB$518)&lt;&gt;""),--(LOWER(TRIM($AB$2:$AB$518))&lt;&gt;"n/a"),--(LOWER(TRIM($AB$2:$AB$518))&lt;&gt;"na"))&gt;1),AND($AH238&lt;&gt;"",LOWER(TRIM($AH238))&lt;&gt;"n/a",LOWER(TRIM($AH238))&lt;&gt;"na",SUMPRODUCT(--(UPPER(SUBSTITUTE(SUBSTITUTE(TRIM($AH$2:$AH$518),":",""),"-",""))=UPPER(SUBSTITUTE(SUBSTITUTE(TRIM($AH238),":",""),"-",""))),--(TRIM($AH$2:$AH$518)&lt;&gt;""),--(LOWER(TRIM($AH$2:$AH$518))&lt;&gt;"n/a"),--(LOWER(TRIM($AH$2:$AH$518))&lt;&gt;"na"))&gt;1),AND($AP238&lt;&gt;"",LOWER(TRIM($AP238))&lt;&gt;"n/a",LOWER(TRIM($AP238))&lt;&gt;"na",SUMPRODUCT(--(UPPER(TRIM($AP$2:$AP$518))=UPPER(TRIM($AP238))),--(TRIM($AP$2:$AP$518)&lt;&gt;""),--(LOWER(TRIM($AP$2:$AP$518))&lt;&gt;"n/a"),--(LOWER(TRIM($AP$2:$AP$518))&lt;&gt;"na"))&gt;1),AND($AQ238&lt;&gt;"",LOWER(TRIM($AQ238))&lt;&gt;"n/a",LOWER(TRIM($AQ238))&lt;&gt;"na",SUMPRODUCT(--(UPPER(TRIM($AQ$2:$AQ$518))=UPPER(TRIM($AQ238))),--(TRIM($AQ$2:$AQ$518)&lt;&gt;""),--(LOWER(TRIM($AQ$2:$AQ$518))&lt;&gt;"n/a"),--(LOWER(TRIM($AQ$2:$AQ$518))&lt;&gt;"na"))&gt;1)),"Yes","No"))</f>
        <v/>
      </c>
      <c r="F238">
        <f>IF(UPPER(TRIM($B238))&lt;&gt;"YES","", IF(OR(AND($V238&lt;&gt;"", LOWER(TRIM($V238))&lt;&gt;"n/a", LOWER(TRIM($V238))&lt;&gt;"na", SUMPRODUCT(--(UPPER(TRIM($V$2:$V$518))=UPPER(TRIM($V238))), --(UPPER(TRIM($B$2:$B$518))="YES"), --(UPPER(TRIM($G$2:$G$518)&amp;TRIM($I$2:$I$518)&amp;TRIM($J$2:$J$518))&lt;&gt;UPPER(TRIM($G238)&amp;TRIM($I238)&amp;TRIM($J238))))&gt;0), AND($W238&lt;&gt;"", LOWER(TRIM($W238))&lt;&gt;"n/a", LOWER(TRIM($W238))&lt;&gt;"na", SUMPRODUCT(--(UPPER(TRIM($W$2:$W$518))=UPPER(TRIM($W238))), --(UPPER(TRIM($B$2:$B$518))="YES"), --(UPPER(TRIM($G$2:$G$518)&amp;TRIM($I$2:$I$518)&amp;TRIM($J$2:$J$518))&lt;&gt;UPPER(TRIM($G238)&amp;TRIM($I238)&amp;TRIM($J238))))&gt;0), AND($X238&lt;&gt;"", LOWER(TRIM($X238))&lt;&gt;"n/a", LOWER(TRIM($X238))&lt;&gt;"na", SUMPRODUCT(--(UPPER(TRIM($X$2:$X$518))=UPPER(TRIM($X238))), --(UPPER(TRIM($B$2:$B$518))="YES"), --(UPPER(TRIM($G$2:$G$518)&amp;TRIM($I$2:$I$518)&amp;TRIM($J$2:$J$518))&lt;&gt;UPPER(TRIM($G238)&amp;TRIM($I238)&amp;TRIM($J238))))&gt;0), AND($Y238&lt;&gt;"", LOWER(TRIM($Y238))&lt;&gt;"n/a", LOWER(TRIM($Y238))&lt;&gt;"na", SUMPRODUCT(--(UPPER(SUBSTITUTE(SUBSTITUTE(TRIM($Y$2:$Y$518),":",""),"-",""))=UPPER(SUBSTITUTE(SUBSTITUTE(TRIM($Y238),":",""),"-",""))), --(UPPER(TRIM($B$2:$B$518))="YES"), --(UPPER(TRIM($G$2:$G$518)&amp;TRIM($I$2:$I$518)&amp;TRIM($J$2:$J$518))&lt;&gt;UPPER(TRIM($G238)&amp;TRIM($I238)&amp;TRIM($J238))))&gt;0), AND($AB238&lt;&gt;"", LOWER(TRIM($AB238))&lt;&gt;"n/a", LOWER(TRIM($AB238))&lt;&gt;"na", SUMPRODUCT(--(UPPER(TRIM($AB$2:$AB$518))=UPPER(TRIM($AB238))), --(UPPER(TRIM($B$2:$B$518))="YES"), --(UPPER(TRIM($G$2:$G$518)&amp;TRIM($I$2:$I$518)&amp;TRIM($J$2:$J$518))&lt;&gt;UPPER(TRIM($G238)&amp;TRIM($I238)&amp;TRIM($J238))))&gt;0), AND($AH238&lt;&gt;"", LOWER(TRIM($AH238))&lt;&gt;"n/a", LOWER(TRIM($AH238))&lt;&gt;"na", SUMPRODUCT(--(UPPER(SUBSTITUTE(SUBSTITUTE(TRIM($AH$2:$AH$518),":",""),"-",""))=UPPER(SUBSTITUTE(SUBSTITUTE(TRIM($AH238),":",""),"-",""))), --(UPPER(TRIM($B$2:$B$518))="YES"), --(UPPER(TRIM($G$2:$G$518)&amp;TRIM($I$2:$I$518)&amp;TRIM($J$2:$J$518))&lt;&gt;UPPER(TRIM($G238)&amp;TRIM($I238)&amp;TRIM($J238))))&gt;0), AND($AP238&lt;&gt;"", LOWER(TRIM($AP238))&lt;&gt;"n/a", LOWER(TRIM($AP238))&lt;&gt;"na", SUMPRODUCT(--(UPPER(TRIM($AP$2:$AP$518))=UPPER(TRIM($AP238))), --(UPPER(TRIM($B$2:$B$518))="YES"), --(UPPER(TRIM($G$2:$G$518)&amp;TRIM($I$2:$I$518)&amp;TRIM($J$2:$J$518))&lt;&gt;UPPER(TRIM($G238)&amp;TRIM($I238)&amp;TRIM($J238))))&gt;0), AND($AQ238&lt;&gt;"", LOWER(TRIM($AQ238))&lt;&gt;"n/a", LOWER(TRIM($AQ238))&lt;&gt;"na", SUMPRODUCT(--(UPPER(TRIM($AQ$2:$AQ$518))=UPPER(TRIM($AQ238))), --(UPPER(TRIM($B$2:$B$518))="YES"), --(UPPER(TRIM($G$2:$G$518)&amp;TRIM($I$2:$I$518)&amp;TRIM($J$2:$J$518))&lt;&gt;UPPER(TRIM($G238)&amp;TRIM($I238)&amp;TRIM($J238))))&gt;0)), "Yes", "No"))</f>
        <v/>
      </c>
      <c r="G238" t="inlineStr">
        <is>
          <t>LIJ - CCMC</t>
        </is>
      </c>
      <c r="H238" t="inlineStr">
        <is>
          <t>LIJ - CCMC</t>
        </is>
      </c>
      <c r="M238" t="inlineStr">
        <is>
          <t>OR iPro Cybernet Workstation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inpatient</t>
        </is>
      </c>
      <c r="S238" t="inlineStr">
        <is>
          <t>Pass</t>
        </is>
      </c>
      <c r="AH238" t="inlineStr">
        <is>
          <t>00:0D:05:0A:B2:AD</t>
        </is>
      </c>
      <c r="CA238" t="inlineStr">
        <is>
          <t>iPro
Epic Satellite
ALLSCRIPTS
EPIC BCA</t>
        </is>
      </c>
      <c r="CD238">
        <f>IF($Y238="","",IF((IF(AND($BR238&lt;&gt;"Yes",$BR238&lt;&gt;"N/A"),"Power Cable, ","")&amp;IF(AND($BS238&lt;&gt;"Yes",$BS238&lt;&gt;"N/A"),"Battery, ","")&amp;IF(AND($AD238&lt;&gt;"Yes",$AD238&lt;&gt;"N/A"),"Firmware Download, ","")&amp;IF(AND(OR($AD238="Yes",$AD238="N/A"),$AE238&lt;&gt;"Yes",$AE238&lt;&gt;"N/A"),"Firmware Install, ","")&amp;IF(AND($CB238&lt;&gt;"Yes",$CB238&lt;&gt;"N/A"),"Device ID, ","")&amp;IF(AND($CC238&lt;&gt;"Yes",$CC238&lt;&gt;"N/A"),"Epic Beans Relay, ",""))="","",LEFT(IF(AND($BR238&lt;&gt;"Yes",$BR238&lt;&gt;"N/A"),"Power Cable, ","")&amp;IF(AND($BS238&lt;&gt;"Yes",$BS238&lt;&gt;"N/A"),"Battery, ","")&amp;IF(AND($AD238&lt;&gt;"Yes",$AD238&lt;&gt;"N/A"),"Firmware Download, ","")&amp;IF(AND(OR($AD238="Yes",$AD238="N/A"),$AE238&lt;&gt;"Yes",$AE238&lt;&gt;"N/A"),"Firmware Install, ","")&amp;IF(AND($CB238&lt;&gt;"Yes",$CB238&lt;&gt;"N/A"),"Device ID, ","")&amp;IF(AND($CC238&lt;&gt;"Yes",$CC238&lt;&gt;"N/A"),"Epic Beans Relay, ",""),LEN(IF(AND($BR238&lt;&gt;"Yes",$BR238&lt;&gt;"N/A"),"Power Cable, ","")&amp;IF(AND($BS238&lt;&gt;"Yes",$BS238&lt;&gt;"N/A"),"Battery, ","")&amp;IF(AND($AD238&lt;&gt;"Yes",$AD238&lt;&gt;"N/A"),"Firmware Download, ","")&amp;IF(AND(OR($AD238="Yes",$AD238="N/A"),$AE238&lt;&gt;"Yes",$AE238&lt;&gt;"N/A"),"Firmware Install, ","")&amp;IF(AND($CB238&lt;&gt;"Yes",$CB238&lt;&gt;"N/A"),"Device ID, ","")&amp;IF(AND($CC238&lt;&gt;"Yes",$CC238&lt;&gt;"N/A"),"Epic Beans Relay, ",""))-2)))</f>
        <v/>
      </c>
      <c r="CE238">
        <f>IF($Y238="","",IF($CD238="","Yes","Blocked"))</f>
        <v/>
      </c>
      <c r="CF238" t="inlineStr">
        <is>
          <t>Yes</t>
        </is>
      </c>
      <c r="CG238" t="inlineStr">
        <is>
          <t>Yes</t>
        </is>
      </c>
      <c r="CH238" t="inlineStr">
        <is>
          <t>Yes</t>
        </is>
      </c>
      <c r="CI238" t="inlineStr">
        <is>
          <t>Yes</t>
        </is>
      </c>
      <c r="CJ238" t="inlineStr">
        <is>
          <t>Yes</t>
        </is>
      </c>
      <c r="CK238" t="n">
        <v>19200</v>
      </c>
      <c r="CP238">
        <f>IF($CO238="","",IFERROR(VLOOKUP($CO238,'01_Warehouse_Ledger'!$A:$N,4,FALSE),""))</f>
        <v/>
      </c>
      <c r="CQ238">
        <f>IF($CO238="","",IFERROR(VLOOKUP($CO238,'01_Warehouse_Ledger'!$A:$N,5,FALSE),""))</f>
        <v/>
      </c>
      <c r="CR238">
        <f>IF($CO238="","",IFERROR(VLOOKUP($CO238,'01_Warehouse_Ledger'!$A:$N,13,FALSE),""))</f>
        <v/>
      </c>
      <c r="CW238">
        <f>IF($S238="","",IF(UPPER(TRIM($S238))&lt;&gt;"PASS","",IF(LEN(TRIM($BY238))&gt;0,"NOTES_PRESENT",IF(LEN(TRIM($T238))=0,"SET_NA",IF(OR(LOWER(TRIM($T238))="na",LOWER(TRIM($T238))="n/a"),"OK","MANUAL_OVERRIDE")))))</f>
        <v/>
      </c>
    </row>
    <row r="239">
      <c r="A239" t="inlineStr">
        <is>
          <t>Cybernet</t>
        </is>
      </c>
      <c r="B239" s="5" t="inlineStr">
        <is>
          <t>Yes</t>
        </is>
      </c>
      <c r="C239" t="inlineStr">
        <is>
          <t>Yes</t>
        </is>
      </c>
      <c r="D239">
        <f>IF($B239&lt;&gt;"Yes","",IF($C239="No","Yes",IF($C239="Yes","No","")))</f>
        <v/>
      </c>
      <c r="E239">
        <f>IF($A239="","",IF(OR(AND($V239&lt;&gt;"",LOWER(TRIM($V239))&lt;&gt;"n/a",LOWER(TRIM($V239))&lt;&gt;"na",SUMPRODUCT(--(UPPER(TRIM($V$2:$V$518))=UPPER(TRIM($V239))),--(TRIM($V$2:$V$518)&lt;&gt;""),--(LOWER(TRIM($V$2:$V$518))&lt;&gt;"n/a"),--(LOWER(TRIM($V$2:$V$518))&lt;&gt;"na"))&gt;1),AND($W239&lt;&gt;"",LOWER(TRIM($W239))&lt;&gt;"n/a",LOWER(TRIM($W239))&lt;&gt;"na",SUMPRODUCT(--(UPPER(TRIM($W$2:$W$518))=UPPER(TRIM($W239))),--(TRIM($W$2:$W$518)&lt;&gt;""),--(LOWER(TRIM($W$2:$W$518))&lt;&gt;"n/a"),--(LOWER(TRIM($W$2:$W$518))&lt;&gt;"na"))&gt;1),AND($X239&lt;&gt;"",LOWER(TRIM($X239))&lt;&gt;"n/a",LOWER(TRIM($X239))&lt;&gt;"na",SUMPRODUCT(--(UPPER(TRIM($X$2:$X$518))=UPPER(TRIM($X239))),--(TRIM($X$2:$X$518)&lt;&gt;""),--(LOWER(TRIM($X$2:$X$518))&lt;&gt;"n/a"),--(LOWER(TRIM($X$2:$X$518))&lt;&gt;"na"))&gt;1),AND($Y239&lt;&gt;"",LOWER(TRIM($Y239))&lt;&gt;"n/a",LOWER(TRIM($Y239))&lt;&gt;"na",SUMPRODUCT(--(UPPER(SUBSTITUTE(SUBSTITUTE(TRIM($Y$2:$Y$518),":",""),"-",""))=UPPER(SUBSTITUTE(SUBSTITUTE(TRIM($Y239),":",""),"-",""))),--(TRIM($Y$2:$Y$518)&lt;&gt;""),--(LOWER(TRIM($Y$2:$Y$518))&lt;&gt;"n/a"),--(LOWER(TRIM($Y$2:$Y$518))&lt;&gt;"na"))&gt;1),AND($AB239&lt;&gt;"",LOWER(TRIM($AB239))&lt;&gt;"n/a",LOWER(TRIM($AB239))&lt;&gt;"na",SUMPRODUCT(--(UPPER(TRIM($AB$2:$AB$518))=UPPER(TRIM($AB239))),--(TRIM($AB$2:$AB$518)&lt;&gt;""),--(LOWER(TRIM($AB$2:$AB$518))&lt;&gt;"n/a"),--(LOWER(TRIM($AB$2:$AB$518))&lt;&gt;"na"))&gt;1),AND($AH239&lt;&gt;"",LOWER(TRIM($AH239))&lt;&gt;"n/a",LOWER(TRIM($AH239))&lt;&gt;"na",SUMPRODUCT(--(UPPER(SUBSTITUTE(SUBSTITUTE(TRIM($AH$2:$AH$518),":",""),"-",""))=UPPER(SUBSTITUTE(SUBSTITUTE(TRIM($AH239),":",""),"-",""))),--(TRIM($AH$2:$AH$518)&lt;&gt;""),--(LOWER(TRIM($AH$2:$AH$518))&lt;&gt;"n/a"),--(LOWER(TRIM($AH$2:$AH$518))&lt;&gt;"na"))&gt;1),AND($AP239&lt;&gt;"",LOWER(TRIM($AP239))&lt;&gt;"n/a",LOWER(TRIM($AP239))&lt;&gt;"na",SUMPRODUCT(--(UPPER(TRIM($AP$2:$AP$518))=UPPER(TRIM($AP239))),--(TRIM($AP$2:$AP$518)&lt;&gt;""),--(LOWER(TRIM($AP$2:$AP$518))&lt;&gt;"n/a"),--(LOWER(TRIM($AP$2:$AP$518))&lt;&gt;"na"))&gt;1),AND($AQ239&lt;&gt;"",LOWER(TRIM($AQ239))&lt;&gt;"n/a",LOWER(TRIM($AQ239))&lt;&gt;"na",SUMPRODUCT(--(UPPER(TRIM($AQ$2:$AQ$518))=UPPER(TRIM($AQ239))),--(TRIM($AQ$2:$AQ$518)&lt;&gt;""),--(LOWER(TRIM($AQ$2:$AQ$518))&lt;&gt;"n/a"),--(LOWER(TRIM($AQ$2:$AQ$518))&lt;&gt;"na"))&gt;1)),"Yes","No"))</f>
        <v/>
      </c>
      <c r="F239">
        <f>IF(UPPER(TRIM($B239))&lt;&gt;"YES","", IF(OR(AND($V239&lt;&gt;"", LOWER(TRIM($V239))&lt;&gt;"n/a", LOWER(TRIM($V239))&lt;&gt;"na", SUMPRODUCT(--(UPPER(TRIM($V$2:$V$518))=UPPER(TRIM($V239))), --(UPPER(TRIM($B$2:$B$518))="YES"), --(UPPER(TRIM($G$2:$G$518)&amp;TRIM($I$2:$I$518)&amp;TRIM($J$2:$J$518))&lt;&gt;UPPER(TRIM($G239)&amp;TRIM($I239)&amp;TRIM($J239))))&gt;0), AND($W239&lt;&gt;"", LOWER(TRIM($W239))&lt;&gt;"n/a", LOWER(TRIM($W239))&lt;&gt;"na", SUMPRODUCT(--(UPPER(TRIM($W$2:$W$518))=UPPER(TRIM($W239))), --(UPPER(TRIM($B$2:$B$518))="YES"), --(UPPER(TRIM($G$2:$G$518)&amp;TRIM($I$2:$I$518)&amp;TRIM($J$2:$J$518))&lt;&gt;UPPER(TRIM($G239)&amp;TRIM($I239)&amp;TRIM($J239))))&gt;0), AND($X239&lt;&gt;"", LOWER(TRIM($X239))&lt;&gt;"n/a", LOWER(TRIM($X239))&lt;&gt;"na", SUMPRODUCT(--(UPPER(TRIM($X$2:$X$518))=UPPER(TRIM($X239))), --(UPPER(TRIM($B$2:$B$518))="YES"), --(UPPER(TRIM($G$2:$G$518)&amp;TRIM($I$2:$I$518)&amp;TRIM($J$2:$J$518))&lt;&gt;UPPER(TRIM($G239)&amp;TRIM($I239)&amp;TRIM($J239))))&gt;0), AND($Y239&lt;&gt;"", LOWER(TRIM($Y239))&lt;&gt;"n/a", LOWER(TRIM($Y239))&lt;&gt;"na", SUMPRODUCT(--(UPPER(SUBSTITUTE(SUBSTITUTE(TRIM($Y$2:$Y$518),":",""),"-",""))=UPPER(SUBSTITUTE(SUBSTITUTE(TRIM($Y239),":",""),"-",""))), --(UPPER(TRIM($B$2:$B$518))="YES"), --(UPPER(TRIM($G$2:$G$518)&amp;TRIM($I$2:$I$518)&amp;TRIM($J$2:$J$518))&lt;&gt;UPPER(TRIM($G239)&amp;TRIM($I239)&amp;TRIM($J239))))&gt;0), AND($AB239&lt;&gt;"", LOWER(TRIM($AB239))&lt;&gt;"n/a", LOWER(TRIM($AB239))&lt;&gt;"na", SUMPRODUCT(--(UPPER(TRIM($AB$2:$AB$518))=UPPER(TRIM($AB239))), --(UPPER(TRIM($B$2:$B$518))="YES"), --(UPPER(TRIM($G$2:$G$518)&amp;TRIM($I$2:$I$518)&amp;TRIM($J$2:$J$518))&lt;&gt;UPPER(TRIM($G239)&amp;TRIM($I239)&amp;TRIM($J239))))&gt;0), AND($AH239&lt;&gt;"", LOWER(TRIM($AH239))&lt;&gt;"n/a", LOWER(TRIM($AH239))&lt;&gt;"na", SUMPRODUCT(--(UPPER(SUBSTITUTE(SUBSTITUTE(TRIM($AH$2:$AH$518),":",""),"-",""))=UPPER(SUBSTITUTE(SUBSTITUTE(TRIM($AH239),":",""),"-",""))), --(UPPER(TRIM($B$2:$B$518))="YES"), --(UPPER(TRIM($G$2:$G$518)&amp;TRIM($I$2:$I$518)&amp;TRIM($J$2:$J$518))&lt;&gt;UPPER(TRIM($G239)&amp;TRIM($I239)&amp;TRIM($J239))))&gt;0), AND($AP239&lt;&gt;"", LOWER(TRIM($AP239))&lt;&gt;"n/a", LOWER(TRIM($AP239))&lt;&gt;"na", SUMPRODUCT(--(UPPER(TRIM($AP$2:$AP$518))=UPPER(TRIM($AP239))), --(UPPER(TRIM($B$2:$B$518))="YES"), --(UPPER(TRIM($G$2:$G$518)&amp;TRIM($I$2:$I$518)&amp;TRIM($J$2:$J$518))&lt;&gt;UPPER(TRIM($G239)&amp;TRIM($I239)&amp;TRIM($J239))))&gt;0), AND($AQ239&lt;&gt;"", LOWER(TRIM($AQ239))&lt;&gt;"n/a", LOWER(TRIM($AQ239))&lt;&gt;"na", SUMPRODUCT(--(UPPER(TRIM($AQ$2:$AQ$518))=UPPER(TRIM($AQ239))), --(UPPER(TRIM($B$2:$B$518))="YES"), --(UPPER(TRIM($G$2:$G$518)&amp;TRIM($I$2:$I$518)&amp;TRIM($J$2:$J$518))&lt;&gt;UPPER(TRIM($G239)&amp;TRIM($I239)&amp;TRIM($J239))))&gt;0)), "Yes", "No"))</f>
        <v/>
      </c>
      <c r="G239" t="inlineStr">
        <is>
          <t>LIJ - CCMC</t>
        </is>
      </c>
      <c r="H239" t="inlineStr">
        <is>
          <t>LIJ - CCMC</t>
        </is>
      </c>
      <c r="M239" t="inlineStr">
        <is>
          <t>OR iPro Cybernet Workstation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inpatient</t>
        </is>
      </c>
      <c r="S239" t="inlineStr">
        <is>
          <t>Pass</t>
        </is>
      </c>
      <c r="AH239" t="inlineStr">
        <is>
          <t>00:0D:05:0A:B2:99</t>
        </is>
      </c>
      <c r="CA239" t="inlineStr">
        <is>
          <t>iPro
Epic Satellite
ALLSCRIPTS
EPIC BCA</t>
        </is>
      </c>
      <c r="CD239">
        <f>IF($Y239="","",IF((IF(AND($BR239&lt;&gt;"Yes",$BR239&lt;&gt;"N/A"),"Power Cable, ","")&amp;IF(AND($BS239&lt;&gt;"Yes",$BS239&lt;&gt;"N/A"),"Battery, ","")&amp;IF(AND($AD239&lt;&gt;"Yes",$AD239&lt;&gt;"N/A"),"Firmware Download, ","")&amp;IF(AND(OR($AD239="Yes",$AD239="N/A"),$AE239&lt;&gt;"Yes",$AE239&lt;&gt;"N/A"),"Firmware Install, ","")&amp;IF(AND($CB239&lt;&gt;"Yes",$CB239&lt;&gt;"N/A"),"Device ID, ","")&amp;IF(AND($CC239&lt;&gt;"Yes",$CC239&lt;&gt;"N/A"),"Epic Beans Relay, ",""))="","",LEFT(IF(AND($BR239&lt;&gt;"Yes",$BR239&lt;&gt;"N/A"),"Power Cable, ","")&amp;IF(AND($BS239&lt;&gt;"Yes",$BS239&lt;&gt;"N/A"),"Battery, ","")&amp;IF(AND($AD239&lt;&gt;"Yes",$AD239&lt;&gt;"N/A"),"Firmware Download, ","")&amp;IF(AND(OR($AD239="Yes",$AD239="N/A"),$AE239&lt;&gt;"Yes",$AE239&lt;&gt;"N/A"),"Firmware Install, ","")&amp;IF(AND($CB239&lt;&gt;"Yes",$CB239&lt;&gt;"N/A"),"Device ID, ","")&amp;IF(AND($CC239&lt;&gt;"Yes",$CC239&lt;&gt;"N/A"),"Epic Beans Relay, ",""),LEN(IF(AND($BR239&lt;&gt;"Yes",$BR239&lt;&gt;"N/A"),"Power Cable, ","")&amp;IF(AND($BS239&lt;&gt;"Yes",$BS239&lt;&gt;"N/A"),"Battery, ","")&amp;IF(AND($AD239&lt;&gt;"Yes",$AD239&lt;&gt;"N/A"),"Firmware Download, ","")&amp;IF(AND(OR($AD239="Yes",$AD239="N/A"),$AE239&lt;&gt;"Yes",$AE239&lt;&gt;"N/A"),"Firmware Install, ","")&amp;IF(AND($CB239&lt;&gt;"Yes",$CB239&lt;&gt;"N/A"),"Device ID, ","")&amp;IF(AND($CC239&lt;&gt;"Yes",$CC239&lt;&gt;"N/A"),"Epic Beans Relay, ",""))-2)))</f>
        <v/>
      </c>
      <c r="CE239">
        <f>IF($Y239="","",IF($CD239="","Yes","Blocked"))</f>
        <v/>
      </c>
      <c r="CF239" t="inlineStr">
        <is>
          <t>Yes</t>
        </is>
      </c>
      <c r="CG239" t="inlineStr">
        <is>
          <t>Yes</t>
        </is>
      </c>
      <c r="CH239" t="inlineStr">
        <is>
          <t>Yes</t>
        </is>
      </c>
      <c r="CI239" t="inlineStr">
        <is>
          <t>Yes</t>
        </is>
      </c>
      <c r="CJ239" t="inlineStr">
        <is>
          <t>Yes</t>
        </is>
      </c>
      <c r="CK239" t="n">
        <v>19200</v>
      </c>
      <c r="CP239">
        <f>IF($CO239="","",IFERROR(VLOOKUP($CO239,'01_Warehouse_Ledger'!$A:$N,4,FALSE),""))</f>
        <v/>
      </c>
      <c r="CQ239">
        <f>IF($CO239="","",IFERROR(VLOOKUP($CO239,'01_Warehouse_Ledger'!$A:$N,5,FALSE),""))</f>
        <v/>
      </c>
      <c r="CR239">
        <f>IF($CO239="","",IFERROR(VLOOKUP($CO239,'01_Warehouse_Ledger'!$A:$N,13,FALSE),""))</f>
        <v/>
      </c>
      <c r="CW239">
        <f>IF($S239="","",IF(UPPER(TRIM($S239))&lt;&gt;"PASS","",IF(LEN(TRIM($BY239))&gt;0,"NOTES_PRESENT",IF(LEN(TRIM($T239))=0,"SET_NA",IF(OR(LOWER(TRIM($T239))="na",LOWER(TRIM($T239))="n/a"),"OK","MANUAL_OVERRIDE")))))</f>
        <v/>
      </c>
    </row>
    <row r="240" ht="81" customHeight="1" s="91">
      <c r="A240" t="inlineStr">
        <is>
          <t>Cybernet</t>
        </is>
      </c>
      <c r="B240" s="5" t="inlineStr">
        <is>
          <t>Yes</t>
        </is>
      </c>
      <c r="C240" t="inlineStr">
        <is>
          <t>Yes</t>
        </is>
      </c>
      <c r="D240">
        <f>IF($B240&lt;&gt;"Yes","",IF($C240="No","Yes",IF($C240="Yes","No","")))</f>
        <v/>
      </c>
      <c r="E240">
        <f>IF($A240="","",IF(OR(AND($V240&lt;&gt;"",LOWER(TRIM($V240))&lt;&gt;"n/a",LOWER(TRIM($V240))&lt;&gt;"na",SUMPRODUCT(--(UPPER(TRIM($V$2:$V$518))=UPPER(TRIM($V240))),--(TRIM($V$2:$V$518)&lt;&gt;""),--(LOWER(TRIM($V$2:$V$518))&lt;&gt;"n/a"),--(LOWER(TRIM($V$2:$V$518))&lt;&gt;"na"))&gt;1),AND($W240&lt;&gt;"",LOWER(TRIM($W240))&lt;&gt;"n/a",LOWER(TRIM($W240))&lt;&gt;"na",SUMPRODUCT(--(UPPER(TRIM($W$2:$W$518))=UPPER(TRIM($W240))),--(TRIM($W$2:$W$518)&lt;&gt;""),--(LOWER(TRIM($W$2:$W$518))&lt;&gt;"n/a"),--(LOWER(TRIM($W$2:$W$518))&lt;&gt;"na"))&gt;1),AND($X240&lt;&gt;"",LOWER(TRIM($X240))&lt;&gt;"n/a",LOWER(TRIM($X240))&lt;&gt;"na",SUMPRODUCT(--(UPPER(TRIM($X$2:$X$518))=UPPER(TRIM($X240))),--(TRIM($X$2:$X$518)&lt;&gt;""),--(LOWER(TRIM($X$2:$X$518))&lt;&gt;"n/a"),--(LOWER(TRIM($X$2:$X$518))&lt;&gt;"na"))&gt;1),AND($Y240&lt;&gt;"",LOWER(TRIM($Y240))&lt;&gt;"n/a",LOWER(TRIM($Y240))&lt;&gt;"na",SUMPRODUCT(--(UPPER(SUBSTITUTE(SUBSTITUTE(TRIM($Y$2:$Y$518),":",""),"-",""))=UPPER(SUBSTITUTE(SUBSTITUTE(TRIM($Y240),":",""),"-",""))),--(TRIM($Y$2:$Y$518)&lt;&gt;""),--(LOWER(TRIM($Y$2:$Y$518))&lt;&gt;"n/a"),--(LOWER(TRIM($Y$2:$Y$518))&lt;&gt;"na"))&gt;1),AND($AB240&lt;&gt;"",LOWER(TRIM($AB240))&lt;&gt;"n/a",LOWER(TRIM($AB240))&lt;&gt;"na",SUMPRODUCT(--(UPPER(TRIM($AB$2:$AB$518))=UPPER(TRIM($AB240))),--(TRIM($AB$2:$AB$518)&lt;&gt;""),--(LOWER(TRIM($AB$2:$AB$518))&lt;&gt;"n/a"),--(LOWER(TRIM($AB$2:$AB$518))&lt;&gt;"na"))&gt;1),AND($AH240&lt;&gt;"",LOWER(TRIM($AH240))&lt;&gt;"n/a",LOWER(TRIM($AH240))&lt;&gt;"na",SUMPRODUCT(--(UPPER(SUBSTITUTE(SUBSTITUTE(TRIM($AH$2:$AH$518),":",""),"-",""))=UPPER(SUBSTITUTE(SUBSTITUTE(TRIM($AH240),":",""),"-",""))),--(TRIM($AH$2:$AH$518)&lt;&gt;""),--(LOWER(TRIM($AH$2:$AH$518))&lt;&gt;"n/a"),--(LOWER(TRIM($AH$2:$AH$518))&lt;&gt;"na"))&gt;1),AND($AP240&lt;&gt;"",LOWER(TRIM($AP240))&lt;&gt;"n/a",LOWER(TRIM($AP240))&lt;&gt;"na",SUMPRODUCT(--(UPPER(TRIM($AP$2:$AP$518))=UPPER(TRIM($AP240))),--(TRIM($AP$2:$AP$518)&lt;&gt;""),--(LOWER(TRIM($AP$2:$AP$518))&lt;&gt;"n/a"),--(LOWER(TRIM($AP$2:$AP$518))&lt;&gt;"na"))&gt;1),AND($AQ240&lt;&gt;"",LOWER(TRIM($AQ240))&lt;&gt;"n/a",LOWER(TRIM($AQ240))&lt;&gt;"na",SUMPRODUCT(--(UPPER(TRIM($AQ$2:$AQ$518))=UPPER(TRIM($AQ240))),--(TRIM($AQ$2:$AQ$518)&lt;&gt;""),--(LOWER(TRIM($AQ$2:$AQ$518))&lt;&gt;"n/a"),--(LOWER(TRIM($AQ$2:$AQ$518))&lt;&gt;"na"))&gt;1)),"Yes","No"))</f>
        <v/>
      </c>
      <c r="F240">
        <f>IF(UPPER(TRIM($B240))&lt;&gt;"YES","", IF(OR(AND($V240&lt;&gt;"", LOWER(TRIM($V240))&lt;&gt;"n/a", LOWER(TRIM($V240))&lt;&gt;"na", SUMPRODUCT(--(UPPER(TRIM($V$2:$V$518))=UPPER(TRIM($V240))), --(UPPER(TRIM($B$2:$B$518))="YES"), --(UPPER(TRIM($G$2:$G$518)&amp;TRIM($I$2:$I$518)&amp;TRIM($J$2:$J$518))&lt;&gt;UPPER(TRIM($G240)&amp;TRIM($I240)&amp;TRIM($J240))))&gt;0), AND($W240&lt;&gt;"", LOWER(TRIM($W240))&lt;&gt;"n/a", LOWER(TRIM($W240))&lt;&gt;"na", SUMPRODUCT(--(UPPER(TRIM($W$2:$W$518))=UPPER(TRIM($W240))), --(UPPER(TRIM($B$2:$B$518))="YES"), --(UPPER(TRIM($G$2:$G$518)&amp;TRIM($I$2:$I$518)&amp;TRIM($J$2:$J$518))&lt;&gt;UPPER(TRIM($G240)&amp;TRIM($I240)&amp;TRIM($J240))))&gt;0), AND($X240&lt;&gt;"", LOWER(TRIM($X240))&lt;&gt;"n/a", LOWER(TRIM($X240))&lt;&gt;"na", SUMPRODUCT(--(UPPER(TRIM($X$2:$X$518))=UPPER(TRIM($X240))), --(UPPER(TRIM($B$2:$B$518))="YES"), --(UPPER(TRIM($G$2:$G$518)&amp;TRIM($I$2:$I$518)&amp;TRIM($J$2:$J$518))&lt;&gt;UPPER(TRIM($G240)&amp;TRIM($I240)&amp;TRIM($J240))))&gt;0), AND($Y240&lt;&gt;"", LOWER(TRIM($Y240))&lt;&gt;"n/a", LOWER(TRIM($Y240))&lt;&gt;"na", SUMPRODUCT(--(UPPER(SUBSTITUTE(SUBSTITUTE(TRIM($Y$2:$Y$518),":",""),"-",""))=UPPER(SUBSTITUTE(SUBSTITUTE(TRIM($Y240),":",""),"-",""))), --(UPPER(TRIM($B$2:$B$518))="YES"), --(UPPER(TRIM($G$2:$G$518)&amp;TRIM($I$2:$I$518)&amp;TRIM($J$2:$J$518))&lt;&gt;UPPER(TRIM($G240)&amp;TRIM($I240)&amp;TRIM($J240))))&gt;0), AND($AB240&lt;&gt;"", LOWER(TRIM($AB240))&lt;&gt;"n/a", LOWER(TRIM($AB240))&lt;&gt;"na", SUMPRODUCT(--(UPPER(TRIM($AB$2:$AB$518))=UPPER(TRIM($AB240))), --(UPPER(TRIM($B$2:$B$518))="YES"), --(UPPER(TRIM($G$2:$G$518)&amp;TRIM($I$2:$I$518)&amp;TRIM($J$2:$J$518))&lt;&gt;UPPER(TRIM($G240)&amp;TRIM($I240)&amp;TRIM($J240))))&gt;0), AND($AH240&lt;&gt;"", LOWER(TRIM($AH240))&lt;&gt;"n/a", LOWER(TRIM($AH240))&lt;&gt;"na", SUMPRODUCT(--(UPPER(SUBSTITUTE(SUBSTITUTE(TRIM($AH$2:$AH$518),":",""),"-",""))=UPPER(SUBSTITUTE(SUBSTITUTE(TRIM($AH240),":",""),"-",""))), --(UPPER(TRIM($B$2:$B$518))="YES"), --(UPPER(TRIM($G$2:$G$518)&amp;TRIM($I$2:$I$518)&amp;TRIM($J$2:$J$518))&lt;&gt;UPPER(TRIM($G240)&amp;TRIM($I240)&amp;TRIM($J240))))&gt;0), AND($AP240&lt;&gt;"", LOWER(TRIM($AP240))&lt;&gt;"n/a", LOWER(TRIM($AP240))&lt;&gt;"na", SUMPRODUCT(--(UPPER(TRIM($AP$2:$AP$518))=UPPER(TRIM($AP240))), --(UPPER(TRIM($B$2:$B$518))="YES"), --(UPPER(TRIM($G$2:$G$518)&amp;TRIM($I$2:$I$518)&amp;TRIM($J$2:$J$518))&lt;&gt;UPPER(TRIM($G240)&amp;TRIM($I240)&amp;TRIM($J240))))&gt;0), AND($AQ240&lt;&gt;"", LOWER(TRIM($AQ240))&lt;&gt;"n/a", LOWER(TRIM($AQ240))&lt;&gt;"na", SUMPRODUCT(--(UPPER(TRIM($AQ$2:$AQ$518))=UPPER(TRIM($AQ240))), --(UPPER(TRIM($B$2:$B$518))="YES"), --(UPPER(TRIM($G$2:$G$518)&amp;TRIM($I$2:$I$518)&amp;TRIM($J$2:$J$518))&lt;&gt;UPPER(TRIM($G240)&amp;TRIM($I240)&amp;TRIM($J240))))&gt;0)), "Yes", "No"))</f>
        <v/>
      </c>
      <c r="G240" t="inlineStr">
        <is>
          <t>LIJ - CCMC</t>
        </is>
      </c>
      <c r="H240" t="inlineStr">
        <is>
          <t>LIJ - CCMC</t>
        </is>
      </c>
      <c r="M240" t="inlineStr">
        <is>
          <t>OR iPro Cybernet Workstation</t>
        </is>
      </c>
      <c r="N240" t="inlineStr">
        <is>
          <t>Yes</t>
        </is>
      </c>
      <c r="O240" t="inlineStr">
        <is>
          <t>No</t>
        </is>
      </c>
      <c r="P240" t="inlineStr">
        <is>
          <t>No</t>
        </is>
      </c>
      <c r="Q240" t="inlineStr">
        <is>
          <t>inpatient</t>
        </is>
      </c>
      <c r="S240" t="inlineStr">
        <is>
          <t>Pass</t>
        </is>
      </c>
      <c r="V240" t="inlineStr">
        <is>
          <t>WNH269OPR019/??????</t>
        </is>
      </c>
      <c r="W240" t="inlineStr">
        <is>
          <t>MEDSG2425F-3218</t>
        </is>
      </c>
      <c r="AH240" t="inlineStr">
        <is>
          <t>00:0D:05:0A:B4:47</t>
        </is>
      </c>
      <c r="CA240" s="22" t="inlineStr">
        <is>
          <t>iPro
Epic Satellite
ALLSCRIPTS
EPIC BCA</t>
        </is>
      </c>
      <c r="CF240" t="inlineStr">
        <is>
          <t>Yes</t>
        </is>
      </c>
      <c r="CG240" t="inlineStr">
        <is>
          <t>Yes</t>
        </is>
      </c>
      <c r="CH240" t="inlineStr">
        <is>
          <t>Yes</t>
        </is>
      </c>
      <c r="CI240" t="inlineStr">
        <is>
          <t>Yes</t>
        </is>
      </c>
      <c r="CJ240" t="inlineStr">
        <is>
          <t>Yes</t>
        </is>
      </c>
      <c r="CK240" t="n">
        <v>19200</v>
      </c>
      <c r="CW240">
        <f>IF($S240="","",IF(UPPER(TRIM($S240))&lt;&gt;"PASS","",IF(LEN(TRIM($BY240))&gt;0,"NOTES_PRESENT",IF(LEN(TRIM($T240))=0,"SET_NA",IF(OR(LOWER(TRIM($T240))="na",LOWER(TRIM($T240))="n/a"),"OK","MANUAL_OVERRIDE")))))</f>
        <v/>
      </c>
    </row>
    <row r="241">
      <c r="A241" t="inlineStr">
        <is>
          <t>Cybernet</t>
        </is>
      </c>
      <c r="B241" s="5" t="inlineStr">
        <is>
          <t>Yes</t>
        </is>
      </c>
      <c r="C241" t="inlineStr">
        <is>
          <t>Yes</t>
        </is>
      </c>
      <c r="D241">
        <f>IF($B241&lt;&gt;"Yes","",IF($C241="No","Yes",IF($C241="Yes","No","")))</f>
        <v/>
      </c>
      <c r="E241">
        <f>IF($A241="","",IF(OR(AND($V241&lt;&gt;"",LOWER(TRIM($V241))&lt;&gt;"n/a",LOWER(TRIM($V241))&lt;&gt;"na",SUMPRODUCT(--(UPPER(TRIM($V$2:$V$518))=UPPER(TRIM($V241))),--(TRIM($V$2:$V$518)&lt;&gt;""),--(LOWER(TRIM($V$2:$V$518))&lt;&gt;"n/a"),--(LOWER(TRIM($V$2:$V$518))&lt;&gt;"na"))&gt;1),AND($W241&lt;&gt;"",LOWER(TRIM($W241))&lt;&gt;"n/a",LOWER(TRIM($W241))&lt;&gt;"na",SUMPRODUCT(--(UPPER(TRIM($W$2:$W$518))=UPPER(TRIM($W241))),--(TRIM($W$2:$W$518)&lt;&gt;""),--(LOWER(TRIM($W$2:$W$518))&lt;&gt;"n/a"),--(LOWER(TRIM($W$2:$W$518))&lt;&gt;"na"))&gt;1),AND($X241&lt;&gt;"",LOWER(TRIM($X241))&lt;&gt;"n/a",LOWER(TRIM($X241))&lt;&gt;"na",SUMPRODUCT(--(UPPER(TRIM($X$2:$X$518))=UPPER(TRIM($X241))),--(TRIM($X$2:$X$518)&lt;&gt;""),--(LOWER(TRIM($X$2:$X$518))&lt;&gt;"n/a"),--(LOWER(TRIM($X$2:$X$518))&lt;&gt;"na"))&gt;1),AND($Y241&lt;&gt;"",LOWER(TRIM($Y241))&lt;&gt;"n/a",LOWER(TRIM($Y241))&lt;&gt;"na",SUMPRODUCT(--(UPPER(SUBSTITUTE(SUBSTITUTE(TRIM($Y$2:$Y$518),":",""),"-",""))=UPPER(SUBSTITUTE(SUBSTITUTE(TRIM($Y241),":",""),"-",""))),--(TRIM($Y$2:$Y$518)&lt;&gt;""),--(LOWER(TRIM($Y$2:$Y$518))&lt;&gt;"n/a"),--(LOWER(TRIM($Y$2:$Y$518))&lt;&gt;"na"))&gt;1),AND($AB241&lt;&gt;"",LOWER(TRIM($AB241))&lt;&gt;"n/a",LOWER(TRIM($AB241))&lt;&gt;"na",SUMPRODUCT(--(UPPER(TRIM($AB$2:$AB$518))=UPPER(TRIM($AB241))),--(TRIM($AB$2:$AB$518)&lt;&gt;""),--(LOWER(TRIM($AB$2:$AB$518))&lt;&gt;"n/a"),--(LOWER(TRIM($AB$2:$AB$518))&lt;&gt;"na"))&gt;1),AND($AH241&lt;&gt;"",LOWER(TRIM($AH241))&lt;&gt;"n/a",LOWER(TRIM($AH241))&lt;&gt;"na",SUMPRODUCT(--(UPPER(SUBSTITUTE(SUBSTITUTE(TRIM($AH$2:$AH$518),":",""),"-",""))=UPPER(SUBSTITUTE(SUBSTITUTE(TRIM($AH241),":",""),"-",""))),--(TRIM($AH$2:$AH$518)&lt;&gt;""),--(LOWER(TRIM($AH$2:$AH$518))&lt;&gt;"n/a"),--(LOWER(TRIM($AH$2:$AH$518))&lt;&gt;"na"))&gt;1),AND($AP241&lt;&gt;"",LOWER(TRIM($AP241))&lt;&gt;"n/a",LOWER(TRIM($AP241))&lt;&gt;"na",SUMPRODUCT(--(UPPER(TRIM($AP$2:$AP$518))=UPPER(TRIM($AP241))),--(TRIM($AP$2:$AP$518)&lt;&gt;""),--(LOWER(TRIM($AP$2:$AP$518))&lt;&gt;"n/a"),--(LOWER(TRIM($AP$2:$AP$518))&lt;&gt;"na"))&gt;1),AND($AQ241&lt;&gt;"",LOWER(TRIM($AQ241))&lt;&gt;"n/a",LOWER(TRIM($AQ241))&lt;&gt;"na",SUMPRODUCT(--(UPPER(TRIM($AQ$2:$AQ$518))=UPPER(TRIM($AQ241))),--(TRIM($AQ$2:$AQ$518)&lt;&gt;""),--(LOWER(TRIM($AQ$2:$AQ$518))&lt;&gt;"n/a"),--(LOWER(TRIM($AQ$2:$AQ$518))&lt;&gt;"na"))&gt;1)),"Yes","No"))</f>
        <v/>
      </c>
      <c r="F241">
        <f>IF(UPPER(TRIM($B241))&lt;&gt;"YES","", IF(OR(AND($V241&lt;&gt;"", LOWER(TRIM($V241))&lt;&gt;"n/a", LOWER(TRIM($V241))&lt;&gt;"na", SUMPRODUCT(--(UPPER(TRIM($V$2:$V$518))=UPPER(TRIM($V241))), --(UPPER(TRIM($B$2:$B$518))="YES"), --(UPPER(TRIM($G$2:$G$518)&amp;TRIM($I$2:$I$518)&amp;TRIM($J$2:$J$518))&lt;&gt;UPPER(TRIM($G241)&amp;TRIM($I241)&amp;TRIM($J241))))&gt;0), AND($W241&lt;&gt;"", LOWER(TRIM($W241))&lt;&gt;"n/a", LOWER(TRIM($W241))&lt;&gt;"na", SUMPRODUCT(--(UPPER(TRIM($W$2:$W$518))=UPPER(TRIM($W241))), --(UPPER(TRIM($B$2:$B$518))="YES"), --(UPPER(TRIM($G$2:$G$518)&amp;TRIM($I$2:$I$518)&amp;TRIM($J$2:$J$518))&lt;&gt;UPPER(TRIM($G241)&amp;TRIM($I241)&amp;TRIM($J241))))&gt;0), AND($X241&lt;&gt;"", LOWER(TRIM($X241))&lt;&gt;"n/a", LOWER(TRIM($X241))&lt;&gt;"na", SUMPRODUCT(--(UPPER(TRIM($X$2:$X$518))=UPPER(TRIM($X241))), --(UPPER(TRIM($B$2:$B$518))="YES"), --(UPPER(TRIM($G$2:$G$518)&amp;TRIM($I$2:$I$518)&amp;TRIM($J$2:$J$518))&lt;&gt;UPPER(TRIM($G241)&amp;TRIM($I241)&amp;TRIM($J241))))&gt;0), AND($Y241&lt;&gt;"", LOWER(TRIM($Y241))&lt;&gt;"n/a", LOWER(TRIM($Y241))&lt;&gt;"na", SUMPRODUCT(--(UPPER(SUBSTITUTE(SUBSTITUTE(TRIM($Y$2:$Y$518),":",""),"-",""))=UPPER(SUBSTITUTE(SUBSTITUTE(TRIM($Y241),":",""),"-",""))), --(UPPER(TRIM($B$2:$B$518))="YES"), --(UPPER(TRIM($G$2:$G$518)&amp;TRIM($I$2:$I$518)&amp;TRIM($J$2:$J$518))&lt;&gt;UPPER(TRIM($G241)&amp;TRIM($I241)&amp;TRIM($J241))))&gt;0), AND($AB241&lt;&gt;"", LOWER(TRIM($AB241))&lt;&gt;"n/a", LOWER(TRIM($AB241))&lt;&gt;"na", SUMPRODUCT(--(UPPER(TRIM($AB$2:$AB$518))=UPPER(TRIM($AB241))), --(UPPER(TRIM($B$2:$B$518))="YES"), --(UPPER(TRIM($G$2:$G$518)&amp;TRIM($I$2:$I$518)&amp;TRIM($J$2:$J$518))&lt;&gt;UPPER(TRIM($G241)&amp;TRIM($I241)&amp;TRIM($J241))))&gt;0), AND($AH241&lt;&gt;"", LOWER(TRIM($AH241))&lt;&gt;"n/a", LOWER(TRIM($AH241))&lt;&gt;"na", SUMPRODUCT(--(UPPER(SUBSTITUTE(SUBSTITUTE(TRIM($AH$2:$AH$518),":",""),"-",""))=UPPER(SUBSTITUTE(SUBSTITUTE(TRIM($AH241),":",""),"-",""))), --(UPPER(TRIM($B$2:$B$518))="YES"), --(UPPER(TRIM($G$2:$G$518)&amp;TRIM($I$2:$I$518)&amp;TRIM($J$2:$J$518))&lt;&gt;UPPER(TRIM($G241)&amp;TRIM($I241)&amp;TRIM($J241))))&gt;0), AND($AP241&lt;&gt;"", LOWER(TRIM($AP241))&lt;&gt;"n/a", LOWER(TRIM($AP241))&lt;&gt;"na", SUMPRODUCT(--(UPPER(TRIM($AP$2:$AP$518))=UPPER(TRIM($AP241))), --(UPPER(TRIM($B$2:$B$518))="YES"), --(UPPER(TRIM($G$2:$G$518)&amp;TRIM($I$2:$I$518)&amp;TRIM($J$2:$J$518))&lt;&gt;UPPER(TRIM($G241)&amp;TRIM($I241)&amp;TRIM($J241))))&gt;0), AND($AQ241&lt;&gt;"", LOWER(TRIM($AQ241))&lt;&gt;"n/a", LOWER(TRIM($AQ241))&lt;&gt;"na", SUMPRODUCT(--(UPPER(TRIM($AQ$2:$AQ$518))=UPPER(TRIM($AQ241))), --(UPPER(TRIM($B$2:$B$518))="YES"), --(UPPER(TRIM($G$2:$G$518)&amp;TRIM($I$2:$I$518)&amp;TRIM($J$2:$J$518))&lt;&gt;UPPER(TRIM($G241)&amp;TRIM($I241)&amp;TRIM($J241))))&gt;0)), "Yes", "No"))</f>
        <v/>
      </c>
      <c r="G241" t="inlineStr">
        <is>
          <t>LIJ - CCMC</t>
        </is>
      </c>
      <c r="H241" t="inlineStr">
        <is>
          <t>LIJ - CCMC</t>
        </is>
      </c>
      <c r="M241" t="inlineStr">
        <is>
          <t>OR iPro Cybernet Workstation</t>
        </is>
      </c>
      <c r="N241" t="inlineStr">
        <is>
          <t>Yes</t>
        </is>
      </c>
      <c r="O241" t="inlineStr">
        <is>
          <t>No</t>
        </is>
      </c>
      <c r="P241" t="inlineStr">
        <is>
          <t>No</t>
        </is>
      </c>
      <c r="Q241" t="inlineStr">
        <is>
          <t>inpatient</t>
        </is>
      </c>
      <c r="S241" t="inlineStr">
        <is>
          <t>Pass</t>
        </is>
      </c>
      <c r="AH241" t="inlineStr">
        <is>
          <t>00:0D:05:0A:B2:77</t>
        </is>
      </c>
      <c r="CA241" t="inlineStr">
        <is>
          <t>iPro
Epic Satellite
ALLSCRIPTS
EPIC BCA</t>
        </is>
      </c>
      <c r="CD241">
        <f>IF($Y241="","",IF((IF(AND($BR241&lt;&gt;"Yes",$BR241&lt;&gt;"N/A"),"Power Cable, ","")&amp;IF(AND($BS241&lt;&gt;"Yes",$BS241&lt;&gt;"N/A"),"Battery, ","")&amp;IF(AND($AD241&lt;&gt;"Yes",$AD241&lt;&gt;"N/A"),"Firmware Download, ","")&amp;IF(AND(OR($AD241="Yes",$AD241="N/A"),$AE241&lt;&gt;"Yes",$AE241&lt;&gt;"N/A"),"Firmware Install, ","")&amp;IF(AND($CB241&lt;&gt;"Yes",$CB241&lt;&gt;"N/A"),"Device ID, ","")&amp;IF(AND($CC241&lt;&gt;"Yes",$CC241&lt;&gt;"N/A"),"Epic Beans Relay, ",""))="","",LEFT(IF(AND($BR241&lt;&gt;"Yes",$BR241&lt;&gt;"N/A"),"Power Cable, ","")&amp;IF(AND($BS241&lt;&gt;"Yes",$BS241&lt;&gt;"N/A"),"Battery, ","")&amp;IF(AND($AD241&lt;&gt;"Yes",$AD241&lt;&gt;"N/A"),"Firmware Download, ","")&amp;IF(AND(OR($AD241="Yes",$AD241="N/A"),$AE241&lt;&gt;"Yes",$AE241&lt;&gt;"N/A"),"Firmware Install, ","")&amp;IF(AND($CB241&lt;&gt;"Yes",$CB241&lt;&gt;"N/A"),"Device ID, ","")&amp;IF(AND($CC241&lt;&gt;"Yes",$CC241&lt;&gt;"N/A"),"Epic Beans Relay, ",""),LEN(IF(AND($BR241&lt;&gt;"Yes",$BR241&lt;&gt;"N/A"),"Power Cable, ","")&amp;IF(AND($BS241&lt;&gt;"Yes",$BS241&lt;&gt;"N/A"),"Battery, ","")&amp;IF(AND($AD241&lt;&gt;"Yes",$AD241&lt;&gt;"N/A"),"Firmware Download, ","")&amp;IF(AND(OR($AD241="Yes",$AD241="N/A"),$AE241&lt;&gt;"Yes",$AE241&lt;&gt;"N/A"),"Firmware Install, ","")&amp;IF(AND($CB241&lt;&gt;"Yes",$CB241&lt;&gt;"N/A"),"Device ID, ","")&amp;IF(AND($CC241&lt;&gt;"Yes",$CC241&lt;&gt;"N/A"),"Epic Beans Relay, ",""))-2)))</f>
        <v/>
      </c>
      <c r="CE241">
        <f>IF($Y241="","",IF($CD241="","Yes","Blocked"))</f>
        <v/>
      </c>
      <c r="CF241" t="inlineStr">
        <is>
          <t>Yes</t>
        </is>
      </c>
      <c r="CG241" t="inlineStr">
        <is>
          <t>Yes</t>
        </is>
      </c>
      <c r="CH241" t="inlineStr">
        <is>
          <t>Yes</t>
        </is>
      </c>
      <c r="CI241" t="inlineStr">
        <is>
          <t>Yes</t>
        </is>
      </c>
      <c r="CJ241" t="inlineStr">
        <is>
          <t>Yes</t>
        </is>
      </c>
      <c r="CK241" t="n">
        <v>19200</v>
      </c>
      <c r="CP241">
        <f>IF($CO241="","",IFERROR(VLOOKUP($CO241,'01_Warehouse_Ledger'!$A:$N,4,FALSE),""))</f>
        <v/>
      </c>
      <c r="CQ241">
        <f>IF($CO241="","",IFERROR(VLOOKUP($CO241,'01_Warehouse_Ledger'!$A:$N,5,FALSE),""))</f>
        <v/>
      </c>
      <c r="CR241">
        <f>IF($CO241="","",IFERROR(VLOOKUP($CO241,'01_Warehouse_Ledger'!$A:$N,13,FALSE),""))</f>
        <v/>
      </c>
      <c r="CW241">
        <f>IF($S241="","",IF(UPPER(TRIM($S241))&lt;&gt;"PASS","",IF(LEN(TRIM($BY241))&gt;0,"NOTES_PRESENT",IF(LEN(TRIM($T241))=0,"SET_NA",IF(OR(LOWER(TRIM($T241))="na",LOWER(TRIM($T241))="n/a"),"OK","MANUAL_OVERRIDE")))))</f>
        <v/>
      </c>
    </row>
    <row r="242">
      <c r="A242" t="inlineStr">
        <is>
          <t>Cybernet</t>
        </is>
      </c>
      <c r="B242" s="5" t="inlineStr">
        <is>
          <t>Yes</t>
        </is>
      </c>
      <c r="C242" t="inlineStr">
        <is>
          <t>Yes</t>
        </is>
      </c>
      <c r="D242">
        <f>IF($B242&lt;&gt;"Yes","",IF($C242="No","Yes",IF($C242="Yes","No","")))</f>
        <v/>
      </c>
      <c r="E242">
        <f>IF($A242="","",IF(OR(AND($V242&lt;&gt;"",LOWER(TRIM($V242))&lt;&gt;"n/a",LOWER(TRIM($V242))&lt;&gt;"na",SUMPRODUCT(--(UPPER(TRIM($V$2:$V$518))=UPPER(TRIM($V242))),--(TRIM($V$2:$V$518)&lt;&gt;""),--(LOWER(TRIM($V$2:$V$518))&lt;&gt;"n/a"),--(LOWER(TRIM($V$2:$V$518))&lt;&gt;"na"))&gt;1),AND($W242&lt;&gt;"",LOWER(TRIM($W242))&lt;&gt;"n/a",LOWER(TRIM($W242))&lt;&gt;"na",SUMPRODUCT(--(UPPER(TRIM($W$2:$W$518))=UPPER(TRIM($W242))),--(TRIM($W$2:$W$518)&lt;&gt;""),--(LOWER(TRIM($W$2:$W$518))&lt;&gt;"n/a"),--(LOWER(TRIM($W$2:$W$518))&lt;&gt;"na"))&gt;1),AND($X242&lt;&gt;"",LOWER(TRIM($X242))&lt;&gt;"n/a",LOWER(TRIM($X242))&lt;&gt;"na",SUMPRODUCT(--(UPPER(TRIM($X$2:$X$518))=UPPER(TRIM($X242))),--(TRIM($X$2:$X$518)&lt;&gt;""),--(LOWER(TRIM($X$2:$X$518))&lt;&gt;"n/a"),--(LOWER(TRIM($X$2:$X$518))&lt;&gt;"na"))&gt;1),AND($Y242&lt;&gt;"",LOWER(TRIM($Y242))&lt;&gt;"n/a",LOWER(TRIM($Y242))&lt;&gt;"na",SUMPRODUCT(--(UPPER(SUBSTITUTE(SUBSTITUTE(TRIM($Y$2:$Y$518),":",""),"-",""))=UPPER(SUBSTITUTE(SUBSTITUTE(TRIM($Y242),":",""),"-",""))),--(TRIM($Y$2:$Y$518)&lt;&gt;""),--(LOWER(TRIM($Y$2:$Y$518))&lt;&gt;"n/a"),--(LOWER(TRIM($Y$2:$Y$518))&lt;&gt;"na"))&gt;1),AND($AB242&lt;&gt;"",LOWER(TRIM($AB242))&lt;&gt;"n/a",LOWER(TRIM($AB242))&lt;&gt;"na",SUMPRODUCT(--(UPPER(TRIM($AB$2:$AB$518))=UPPER(TRIM($AB242))),--(TRIM($AB$2:$AB$518)&lt;&gt;""),--(LOWER(TRIM($AB$2:$AB$518))&lt;&gt;"n/a"),--(LOWER(TRIM($AB$2:$AB$518))&lt;&gt;"na"))&gt;1),AND($AH242&lt;&gt;"",LOWER(TRIM($AH242))&lt;&gt;"n/a",LOWER(TRIM($AH242))&lt;&gt;"na",SUMPRODUCT(--(UPPER(SUBSTITUTE(SUBSTITUTE(TRIM($AH$2:$AH$518),":",""),"-",""))=UPPER(SUBSTITUTE(SUBSTITUTE(TRIM($AH242),":",""),"-",""))),--(TRIM($AH$2:$AH$518)&lt;&gt;""),--(LOWER(TRIM($AH$2:$AH$518))&lt;&gt;"n/a"),--(LOWER(TRIM($AH$2:$AH$518))&lt;&gt;"na"))&gt;1),AND($AP242&lt;&gt;"",LOWER(TRIM($AP242))&lt;&gt;"n/a",LOWER(TRIM($AP242))&lt;&gt;"na",SUMPRODUCT(--(UPPER(TRIM($AP$2:$AP$518))=UPPER(TRIM($AP242))),--(TRIM($AP$2:$AP$518)&lt;&gt;""),--(LOWER(TRIM($AP$2:$AP$518))&lt;&gt;"n/a"),--(LOWER(TRIM($AP$2:$AP$518))&lt;&gt;"na"))&gt;1),AND($AQ242&lt;&gt;"",LOWER(TRIM($AQ242))&lt;&gt;"n/a",LOWER(TRIM($AQ242))&lt;&gt;"na",SUMPRODUCT(--(UPPER(TRIM($AQ$2:$AQ$518))=UPPER(TRIM($AQ242))),--(TRIM($AQ$2:$AQ$518)&lt;&gt;""),--(LOWER(TRIM($AQ$2:$AQ$518))&lt;&gt;"n/a"),--(LOWER(TRIM($AQ$2:$AQ$518))&lt;&gt;"na"))&gt;1)),"Yes","No"))</f>
        <v/>
      </c>
      <c r="F242">
        <f>IF(UPPER(TRIM($B242))&lt;&gt;"YES","", IF(OR(AND($V242&lt;&gt;"", LOWER(TRIM($V242))&lt;&gt;"n/a", LOWER(TRIM($V242))&lt;&gt;"na", SUMPRODUCT(--(UPPER(TRIM($V$2:$V$518))=UPPER(TRIM($V242))), --(UPPER(TRIM($B$2:$B$518))="YES"), --(UPPER(TRIM($G$2:$G$518)&amp;TRIM($I$2:$I$518)&amp;TRIM($J$2:$J$518))&lt;&gt;UPPER(TRIM($G242)&amp;TRIM($I242)&amp;TRIM($J242))))&gt;0), AND($W242&lt;&gt;"", LOWER(TRIM($W242))&lt;&gt;"n/a", LOWER(TRIM($W242))&lt;&gt;"na", SUMPRODUCT(--(UPPER(TRIM($W$2:$W$518))=UPPER(TRIM($W242))), --(UPPER(TRIM($B$2:$B$518))="YES"), --(UPPER(TRIM($G$2:$G$518)&amp;TRIM($I$2:$I$518)&amp;TRIM($J$2:$J$518))&lt;&gt;UPPER(TRIM($G242)&amp;TRIM($I242)&amp;TRIM($J242))))&gt;0), AND($X242&lt;&gt;"", LOWER(TRIM($X242))&lt;&gt;"n/a", LOWER(TRIM($X242))&lt;&gt;"na", SUMPRODUCT(--(UPPER(TRIM($X$2:$X$518))=UPPER(TRIM($X242))), --(UPPER(TRIM($B$2:$B$518))="YES"), --(UPPER(TRIM($G$2:$G$518)&amp;TRIM($I$2:$I$518)&amp;TRIM($J$2:$J$518))&lt;&gt;UPPER(TRIM($G242)&amp;TRIM($I242)&amp;TRIM($J242))))&gt;0), AND($Y242&lt;&gt;"", LOWER(TRIM($Y242))&lt;&gt;"n/a", LOWER(TRIM($Y242))&lt;&gt;"na", SUMPRODUCT(--(UPPER(SUBSTITUTE(SUBSTITUTE(TRIM($Y$2:$Y$518),":",""),"-",""))=UPPER(SUBSTITUTE(SUBSTITUTE(TRIM($Y242),":",""),"-",""))), --(UPPER(TRIM($B$2:$B$518))="YES"), --(UPPER(TRIM($G$2:$G$518)&amp;TRIM($I$2:$I$518)&amp;TRIM($J$2:$J$518))&lt;&gt;UPPER(TRIM($G242)&amp;TRIM($I242)&amp;TRIM($J242))))&gt;0), AND($AB242&lt;&gt;"", LOWER(TRIM($AB242))&lt;&gt;"n/a", LOWER(TRIM($AB242))&lt;&gt;"na", SUMPRODUCT(--(UPPER(TRIM($AB$2:$AB$518))=UPPER(TRIM($AB242))), --(UPPER(TRIM($B$2:$B$518))="YES"), --(UPPER(TRIM($G$2:$G$518)&amp;TRIM($I$2:$I$518)&amp;TRIM($J$2:$J$518))&lt;&gt;UPPER(TRIM($G242)&amp;TRIM($I242)&amp;TRIM($J242))))&gt;0), AND($AH242&lt;&gt;"", LOWER(TRIM($AH242))&lt;&gt;"n/a", LOWER(TRIM($AH242))&lt;&gt;"na", SUMPRODUCT(--(UPPER(SUBSTITUTE(SUBSTITUTE(TRIM($AH$2:$AH$518),":",""),"-",""))=UPPER(SUBSTITUTE(SUBSTITUTE(TRIM($AH242),":",""),"-",""))), --(UPPER(TRIM($B$2:$B$518))="YES"), --(UPPER(TRIM($G$2:$G$518)&amp;TRIM($I$2:$I$518)&amp;TRIM($J$2:$J$518))&lt;&gt;UPPER(TRIM($G242)&amp;TRIM($I242)&amp;TRIM($J242))))&gt;0), AND($AP242&lt;&gt;"", LOWER(TRIM($AP242))&lt;&gt;"n/a", LOWER(TRIM($AP242))&lt;&gt;"na", SUMPRODUCT(--(UPPER(TRIM($AP$2:$AP$518))=UPPER(TRIM($AP242))), --(UPPER(TRIM($B$2:$B$518))="YES"), --(UPPER(TRIM($G$2:$G$518)&amp;TRIM($I$2:$I$518)&amp;TRIM($J$2:$J$518))&lt;&gt;UPPER(TRIM($G242)&amp;TRIM($I242)&amp;TRIM($J242))))&gt;0), AND($AQ242&lt;&gt;"", LOWER(TRIM($AQ242))&lt;&gt;"n/a", LOWER(TRIM($AQ242))&lt;&gt;"na", SUMPRODUCT(--(UPPER(TRIM($AQ$2:$AQ$518))=UPPER(TRIM($AQ242))), --(UPPER(TRIM($B$2:$B$518))="YES"), --(UPPER(TRIM($G$2:$G$518)&amp;TRIM($I$2:$I$518)&amp;TRIM($J$2:$J$518))&lt;&gt;UPPER(TRIM($G242)&amp;TRIM($I242)&amp;TRIM($J242))))&gt;0)), "Yes", "No"))</f>
        <v/>
      </c>
      <c r="G242" t="inlineStr">
        <is>
          <t>LIJ - CCMC</t>
        </is>
      </c>
      <c r="H242" t="inlineStr">
        <is>
          <t>LIJ - CCMC</t>
        </is>
      </c>
      <c r="M242" t="inlineStr">
        <is>
          <t>OR iPro Cybernet Workstation</t>
        </is>
      </c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  <c r="Q242" t="inlineStr">
        <is>
          <t>inpatient</t>
        </is>
      </c>
      <c r="S242" t="inlineStr">
        <is>
          <t>Pass</t>
        </is>
      </c>
      <c r="AH242" t="inlineStr">
        <is>
          <t>00:0D:05:0A:B2:31</t>
        </is>
      </c>
      <c r="CA242" t="inlineStr">
        <is>
          <t>iPro
Epic Satellite
ALLSCRIPTS
EPIC BCA</t>
        </is>
      </c>
      <c r="CD242">
        <f>IF($Y242="","",IF((IF(AND($BR242&lt;&gt;"Yes",$BR242&lt;&gt;"N/A"),"Power Cable, ","")&amp;IF(AND($BS242&lt;&gt;"Yes",$BS242&lt;&gt;"N/A"),"Battery, ","")&amp;IF(AND($AD242&lt;&gt;"Yes",$AD242&lt;&gt;"N/A"),"Firmware Download, ","")&amp;IF(AND(OR($AD242="Yes",$AD242="N/A"),$AE242&lt;&gt;"Yes",$AE242&lt;&gt;"N/A"),"Firmware Install, ","")&amp;IF(AND($CB242&lt;&gt;"Yes",$CB242&lt;&gt;"N/A"),"Device ID, ","")&amp;IF(AND($CC242&lt;&gt;"Yes",$CC242&lt;&gt;"N/A"),"Epic Beans Relay, ",""))="","",LEFT(IF(AND($BR242&lt;&gt;"Yes",$BR242&lt;&gt;"N/A"),"Power Cable, ","")&amp;IF(AND($BS242&lt;&gt;"Yes",$BS242&lt;&gt;"N/A"),"Battery, ","")&amp;IF(AND($AD242&lt;&gt;"Yes",$AD242&lt;&gt;"N/A"),"Firmware Download, ","")&amp;IF(AND(OR($AD242="Yes",$AD242="N/A"),$AE242&lt;&gt;"Yes",$AE242&lt;&gt;"N/A"),"Firmware Install, ","")&amp;IF(AND($CB242&lt;&gt;"Yes",$CB242&lt;&gt;"N/A"),"Device ID, ","")&amp;IF(AND($CC242&lt;&gt;"Yes",$CC242&lt;&gt;"N/A"),"Epic Beans Relay, ",""),LEN(IF(AND($BR242&lt;&gt;"Yes",$BR242&lt;&gt;"N/A"),"Power Cable, ","")&amp;IF(AND($BS242&lt;&gt;"Yes",$BS242&lt;&gt;"N/A"),"Battery, ","")&amp;IF(AND($AD242&lt;&gt;"Yes",$AD242&lt;&gt;"N/A"),"Firmware Download, ","")&amp;IF(AND(OR($AD242="Yes",$AD242="N/A"),$AE242&lt;&gt;"Yes",$AE242&lt;&gt;"N/A"),"Firmware Install, ","")&amp;IF(AND($CB242&lt;&gt;"Yes",$CB242&lt;&gt;"N/A"),"Device ID, ","")&amp;IF(AND($CC242&lt;&gt;"Yes",$CC242&lt;&gt;"N/A"),"Epic Beans Relay, ",""))-2)))</f>
        <v/>
      </c>
      <c r="CE242">
        <f>IF($Y242="","",IF($CD242="","Yes","Blocked"))</f>
        <v/>
      </c>
      <c r="CF242" t="inlineStr">
        <is>
          <t>Yes</t>
        </is>
      </c>
      <c r="CG242" t="inlineStr">
        <is>
          <t>Yes</t>
        </is>
      </c>
      <c r="CH242" t="inlineStr">
        <is>
          <t>Yes</t>
        </is>
      </c>
      <c r="CI242" t="inlineStr">
        <is>
          <t>Yes</t>
        </is>
      </c>
      <c r="CJ242" t="inlineStr">
        <is>
          <t>Yes</t>
        </is>
      </c>
      <c r="CK242" t="n">
        <v>19200</v>
      </c>
      <c r="CP242">
        <f>IF($CO242="","",IFERROR(VLOOKUP($CO242,'01_Warehouse_Ledger'!$A:$N,4,FALSE),""))</f>
        <v/>
      </c>
      <c r="CQ242">
        <f>IF($CO242="","",IFERROR(VLOOKUP($CO242,'01_Warehouse_Ledger'!$A:$N,5,FALSE),""))</f>
        <v/>
      </c>
      <c r="CR242">
        <f>IF($CO242="","",IFERROR(VLOOKUP($CO242,'01_Warehouse_Ledger'!$A:$N,13,FALSE),""))</f>
        <v/>
      </c>
      <c r="CW242">
        <f>IF($S242="","",IF(UPPER(TRIM($S242))&lt;&gt;"PASS","",IF(LEN(TRIM($BY242))&gt;0,"NOTES_PRESENT",IF(LEN(TRIM($T242))=0,"SET_NA",IF(OR(LOWER(TRIM($T242))="na",LOWER(TRIM($T242))="n/a"),"OK","MANUAL_OVERRIDE")))))</f>
        <v/>
      </c>
    </row>
    <row r="243">
      <c r="A243" t="inlineStr">
        <is>
          <t>Cybernet</t>
        </is>
      </c>
      <c r="B243" s="5" t="inlineStr">
        <is>
          <t>No</t>
        </is>
      </c>
      <c r="C243" t="inlineStr">
        <is>
          <t>No</t>
        </is>
      </c>
      <c r="D243">
        <f>IF($B243&lt;&gt;"Yes","",IF($C243="No","Yes",IF($C243="Yes","No","")))</f>
        <v/>
      </c>
      <c r="E243">
        <f>IF($A243="","",IF(OR(AND($V243&lt;&gt;"",LOWER(TRIM($V243))&lt;&gt;"n/a",LOWER(TRIM($V243))&lt;&gt;"na",SUMPRODUCT(--(UPPER(TRIM($V$2:$V$518))=UPPER(TRIM($V243))),--(TRIM($V$2:$V$518)&lt;&gt;""),--(LOWER(TRIM($V$2:$V$518))&lt;&gt;"n/a"),--(LOWER(TRIM($V$2:$V$518))&lt;&gt;"na"))&gt;1),AND($W243&lt;&gt;"",LOWER(TRIM($W243))&lt;&gt;"n/a",LOWER(TRIM($W243))&lt;&gt;"na",SUMPRODUCT(--(UPPER(TRIM($W$2:$W$518))=UPPER(TRIM($W243))),--(TRIM($W$2:$W$518)&lt;&gt;""),--(LOWER(TRIM($W$2:$W$518))&lt;&gt;"n/a"),--(LOWER(TRIM($W$2:$W$518))&lt;&gt;"na"))&gt;1),AND($X243&lt;&gt;"",LOWER(TRIM($X243))&lt;&gt;"n/a",LOWER(TRIM($X243))&lt;&gt;"na",SUMPRODUCT(--(UPPER(TRIM($X$2:$X$518))=UPPER(TRIM($X243))),--(TRIM($X$2:$X$518)&lt;&gt;""),--(LOWER(TRIM($X$2:$X$518))&lt;&gt;"n/a"),--(LOWER(TRIM($X$2:$X$518))&lt;&gt;"na"))&gt;1),AND($Y243&lt;&gt;"",LOWER(TRIM($Y243))&lt;&gt;"n/a",LOWER(TRIM($Y243))&lt;&gt;"na",SUMPRODUCT(--(UPPER(SUBSTITUTE(SUBSTITUTE(TRIM($Y$2:$Y$518),":",""),"-",""))=UPPER(SUBSTITUTE(SUBSTITUTE(TRIM($Y243),":",""),"-",""))),--(TRIM($Y$2:$Y$518)&lt;&gt;""),--(LOWER(TRIM($Y$2:$Y$518))&lt;&gt;"n/a"),--(LOWER(TRIM($Y$2:$Y$518))&lt;&gt;"na"))&gt;1),AND($AB243&lt;&gt;"",LOWER(TRIM($AB243))&lt;&gt;"n/a",LOWER(TRIM($AB243))&lt;&gt;"na",SUMPRODUCT(--(UPPER(TRIM($AB$2:$AB$518))=UPPER(TRIM($AB243))),--(TRIM($AB$2:$AB$518)&lt;&gt;""),--(LOWER(TRIM($AB$2:$AB$518))&lt;&gt;"n/a"),--(LOWER(TRIM($AB$2:$AB$518))&lt;&gt;"na"))&gt;1),AND($AH243&lt;&gt;"",LOWER(TRIM($AH243))&lt;&gt;"n/a",LOWER(TRIM($AH243))&lt;&gt;"na",SUMPRODUCT(--(UPPER(SUBSTITUTE(SUBSTITUTE(TRIM($AH$2:$AH$518),":",""),"-",""))=UPPER(SUBSTITUTE(SUBSTITUTE(TRIM($AH243),":",""),"-",""))),--(TRIM($AH$2:$AH$518)&lt;&gt;""),--(LOWER(TRIM($AH$2:$AH$518))&lt;&gt;"n/a"),--(LOWER(TRIM($AH$2:$AH$518))&lt;&gt;"na"))&gt;1),AND($AP243&lt;&gt;"",LOWER(TRIM($AP243))&lt;&gt;"n/a",LOWER(TRIM($AP243))&lt;&gt;"na",SUMPRODUCT(--(UPPER(TRIM($AP$2:$AP$518))=UPPER(TRIM($AP243))),--(TRIM($AP$2:$AP$518)&lt;&gt;""),--(LOWER(TRIM($AP$2:$AP$518))&lt;&gt;"n/a"),--(LOWER(TRIM($AP$2:$AP$518))&lt;&gt;"na"))&gt;1),AND($AQ243&lt;&gt;"",LOWER(TRIM($AQ243))&lt;&gt;"n/a",LOWER(TRIM($AQ243))&lt;&gt;"na",SUMPRODUCT(--(UPPER(TRIM($AQ$2:$AQ$518))=UPPER(TRIM($AQ243))),--(TRIM($AQ$2:$AQ$518)&lt;&gt;""),--(LOWER(TRIM($AQ$2:$AQ$518))&lt;&gt;"n/a"),--(LOWER(TRIM($AQ$2:$AQ$518))&lt;&gt;"na"))&gt;1)),"Yes","No"))</f>
        <v/>
      </c>
      <c r="F243">
        <f>IF(UPPER(TRIM($B243))&lt;&gt;"YES","", IF(OR(AND($V243&lt;&gt;"", LOWER(TRIM($V243))&lt;&gt;"n/a", LOWER(TRIM($V243))&lt;&gt;"na", SUMPRODUCT(--(UPPER(TRIM($V$2:$V$518))=UPPER(TRIM($V243))), --(UPPER(TRIM($B$2:$B$518))="YES"), --(UPPER(TRIM($G$2:$G$518)&amp;TRIM($I$2:$I$518)&amp;TRIM($J$2:$J$518))&lt;&gt;UPPER(TRIM($G243)&amp;TRIM($I243)&amp;TRIM($J243))))&gt;0), AND($W243&lt;&gt;"", LOWER(TRIM($W243))&lt;&gt;"n/a", LOWER(TRIM($W243))&lt;&gt;"na", SUMPRODUCT(--(UPPER(TRIM($W$2:$W$518))=UPPER(TRIM($W243))), --(UPPER(TRIM($B$2:$B$518))="YES"), --(UPPER(TRIM($G$2:$G$518)&amp;TRIM($I$2:$I$518)&amp;TRIM($J$2:$J$518))&lt;&gt;UPPER(TRIM($G243)&amp;TRIM($I243)&amp;TRIM($J243))))&gt;0), AND($X243&lt;&gt;"", LOWER(TRIM($X243))&lt;&gt;"n/a", LOWER(TRIM($X243))&lt;&gt;"na", SUMPRODUCT(--(UPPER(TRIM($X$2:$X$518))=UPPER(TRIM($X243))), --(UPPER(TRIM($B$2:$B$518))="YES"), --(UPPER(TRIM($G$2:$G$518)&amp;TRIM($I$2:$I$518)&amp;TRIM($J$2:$J$518))&lt;&gt;UPPER(TRIM($G243)&amp;TRIM($I243)&amp;TRIM($J243))))&gt;0), AND($Y243&lt;&gt;"", LOWER(TRIM($Y243))&lt;&gt;"n/a", LOWER(TRIM($Y243))&lt;&gt;"na", SUMPRODUCT(--(UPPER(SUBSTITUTE(SUBSTITUTE(TRIM($Y$2:$Y$518),":",""),"-",""))=UPPER(SUBSTITUTE(SUBSTITUTE(TRIM($Y243),":",""),"-",""))), --(UPPER(TRIM($B$2:$B$518))="YES"), --(UPPER(TRIM($G$2:$G$518)&amp;TRIM($I$2:$I$518)&amp;TRIM($J$2:$J$518))&lt;&gt;UPPER(TRIM($G243)&amp;TRIM($I243)&amp;TRIM($J243))))&gt;0), AND($AB243&lt;&gt;"", LOWER(TRIM($AB243))&lt;&gt;"n/a", LOWER(TRIM($AB243))&lt;&gt;"na", SUMPRODUCT(--(UPPER(TRIM($AB$2:$AB$518))=UPPER(TRIM($AB243))), --(UPPER(TRIM($B$2:$B$518))="YES"), --(UPPER(TRIM($G$2:$G$518)&amp;TRIM($I$2:$I$518)&amp;TRIM($J$2:$J$518))&lt;&gt;UPPER(TRIM($G243)&amp;TRIM($I243)&amp;TRIM($J243))))&gt;0), AND($AH243&lt;&gt;"", LOWER(TRIM($AH243))&lt;&gt;"n/a", LOWER(TRIM($AH243))&lt;&gt;"na", SUMPRODUCT(--(UPPER(SUBSTITUTE(SUBSTITUTE(TRIM($AH$2:$AH$518),":",""),"-",""))=UPPER(SUBSTITUTE(SUBSTITUTE(TRIM($AH243),":",""),"-",""))), --(UPPER(TRIM($B$2:$B$518))="YES"), --(UPPER(TRIM($G$2:$G$518)&amp;TRIM($I$2:$I$518)&amp;TRIM($J$2:$J$518))&lt;&gt;UPPER(TRIM($G243)&amp;TRIM($I243)&amp;TRIM($J243))))&gt;0), AND($AP243&lt;&gt;"", LOWER(TRIM($AP243))&lt;&gt;"n/a", LOWER(TRIM($AP243))&lt;&gt;"na", SUMPRODUCT(--(UPPER(TRIM($AP$2:$AP$518))=UPPER(TRIM($AP243))), --(UPPER(TRIM($B$2:$B$518))="YES"), --(UPPER(TRIM($G$2:$G$518)&amp;TRIM($I$2:$I$518)&amp;TRIM($J$2:$J$518))&lt;&gt;UPPER(TRIM($G243)&amp;TRIM($I243)&amp;TRIM($J243))))&gt;0), AND($AQ243&lt;&gt;"", LOWER(TRIM($AQ243))&lt;&gt;"n/a", LOWER(TRIM($AQ243))&lt;&gt;"na", SUMPRODUCT(--(UPPER(TRIM($AQ$2:$AQ$518))=UPPER(TRIM($AQ243))), --(UPPER(TRIM($B$2:$B$518))="YES"), --(UPPER(TRIM($G$2:$G$518)&amp;TRIM($I$2:$I$518)&amp;TRIM($J$2:$J$518))&lt;&gt;UPPER(TRIM($G243)&amp;TRIM($I243)&amp;TRIM($J243))))&gt;0)), "Yes", "No"))</f>
        <v/>
      </c>
      <c r="G243" t="inlineStr">
        <is>
          <t>100 Commercial St</t>
        </is>
      </c>
      <c r="H243" t="inlineStr">
        <is>
          <t>LIJ - CCMC</t>
        </is>
      </c>
      <c r="M243" t="inlineStr">
        <is>
          <t>OR iPro Cybernet Workstation</t>
        </is>
      </c>
      <c r="N243" t="inlineStr">
        <is>
          <t>Yes</t>
        </is>
      </c>
      <c r="O243" t="inlineStr">
        <is>
          <t>No</t>
        </is>
      </c>
      <c r="P243" t="inlineStr">
        <is>
          <t>No</t>
        </is>
      </c>
      <c r="V243" t="inlineStr">
        <is>
          <t>WNH269OPR022</t>
        </is>
      </c>
      <c r="W243" t="inlineStr">
        <is>
          <t>MEDSG2425F-0213</t>
        </is>
      </c>
      <c r="AH243" t="inlineStr">
        <is>
          <t>00:0D:05:0A:A5:6F</t>
        </is>
      </c>
      <c r="CA243" t="inlineStr">
        <is>
          <t>iPro
Epic Satellite
ALLSCRIPTS
EPIC BCA</t>
        </is>
      </c>
      <c r="CD243">
        <f>IF($Y243="","",IF((IF(AND($BR243&lt;&gt;"Yes",$BR243&lt;&gt;"N/A"),"Power Cable, ","")&amp;IF(AND($BS243&lt;&gt;"Yes",$BS243&lt;&gt;"N/A"),"Battery, ","")&amp;IF(AND($AD243&lt;&gt;"Yes",$AD243&lt;&gt;"N/A"),"Firmware Download, ","")&amp;IF(AND(OR($AD243="Yes",$AD243="N/A"),$AE243&lt;&gt;"Yes",$AE243&lt;&gt;"N/A"),"Firmware Install, ","")&amp;IF(AND($CB243&lt;&gt;"Yes",$CB243&lt;&gt;"N/A"),"Device ID, ","")&amp;IF(AND($CC243&lt;&gt;"Yes",$CC243&lt;&gt;"N/A"),"Epic Beans Relay, ",""))="","",LEFT(IF(AND($BR243&lt;&gt;"Yes",$BR243&lt;&gt;"N/A"),"Power Cable, ","")&amp;IF(AND($BS243&lt;&gt;"Yes",$BS243&lt;&gt;"N/A"),"Battery, ","")&amp;IF(AND($AD243&lt;&gt;"Yes",$AD243&lt;&gt;"N/A"),"Firmware Download, ","")&amp;IF(AND(OR($AD243="Yes",$AD243="N/A"),$AE243&lt;&gt;"Yes",$AE243&lt;&gt;"N/A"),"Firmware Install, ","")&amp;IF(AND($CB243&lt;&gt;"Yes",$CB243&lt;&gt;"N/A"),"Device ID, ","")&amp;IF(AND($CC243&lt;&gt;"Yes",$CC243&lt;&gt;"N/A"),"Epic Beans Relay, ",""),LEN(IF(AND($BR243&lt;&gt;"Yes",$BR243&lt;&gt;"N/A"),"Power Cable, ","")&amp;IF(AND($BS243&lt;&gt;"Yes",$BS243&lt;&gt;"N/A"),"Battery, ","")&amp;IF(AND($AD243&lt;&gt;"Yes",$AD243&lt;&gt;"N/A"),"Firmware Download, ","")&amp;IF(AND(OR($AD243="Yes",$AD243="N/A"),$AE243&lt;&gt;"Yes",$AE243&lt;&gt;"N/A"),"Firmware Install, ","")&amp;IF(AND($CB243&lt;&gt;"Yes",$CB243&lt;&gt;"N/A"),"Device ID, ","")&amp;IF(AND($CC243&lt;&gt;"Yes",$CC243&lt;&gt;"N/A"),"Epic Beans Relay, ",""))-2)))</f>
        <v/>
      </c>
      <c r="CE243">
        <f>IF($Y243="","",IF($CD243="","Yes","Blocked"))</f>
        <v/>
      </c>
      <c r="CF243" t="inlineStr">
        <is>
          <t>Yes</t>
        </is>
      </c>
      <c r="CG243" t="inlineStr">
        <is>
          <t>Yes</t>
        </is>
      </c>
      <c r="CH243" t="inlineStr">
        <is>
          <t>Yes</t>
        </is>
      </c>
      <c r="CI243" t="inlineStr">
        <is>
          <t>Yes</t>
        </is>
      </c>
      <c r="CJ243" t="inlineStr">
        <is>
          <t>Yes</t>
        </is>
      </c>
      <c r="CK243" t="n">
        <v>19200</v>
      </c>
      <c r="CP243">
        <f>IF($CO243="","",IFERROR(VLOOKUP($CO243,'01_Warehouse_Ledger'!$A:$N,4,FALSE),""))</f>
        <v/>
      </c>
      <c r="CQ243">
        <f>IF($CO243="","",IFERROR(VLOOKUP($CO243,'01_Warehouse_Ledger'!$A:$N,5,FALSE),""))</f>
        <v/>
      </c>
      <c r="CR243">
        <f>IF($CO243="","",IFERROR(VLOOKUP($CO243,'01_Warehouse_Ledger'!$A:$N,13,FALSE),""))</f>
        <v/>
      </c>
      <c r="CW243">
        <f>IF($S243="","",IF(UPPER(TRIM($S243))&lt;&gt;"PASS","",IF(LEN(TRIM($BY243))&gt;0,"NOTES_PRESENT",IF(LEN(TRIM($T243))=0,"SET_NA",IF(OR(LOWER(TRIM($T243))="na",LOWER(TRIM($T243))="n/a"),"OK","MANUAL_OVERRIDE")))))</f>
        <v/>
      </c>
    </row>
    <row r="244">
      <c r="A244" t="inlineStr">
        <is>
          <t>Cybernet</t>
        </is>
      </c>
      <c r="B244" s="5" t="inlineStr">
        <is>
          <t>No</t>
        </is>
      </c>
      <c r="C244" t="inlineStr">
        <is>
          <t>No</t>
        </is>
      </c>
      <c r="D244">
        <f>IF($B244&lt;&gt;"Yes","",IF($C244="No","Yes",IF($C244="Yes","No","")))</f>
        <v/>
      </c>
      <c r="E244">
        <f>IF($A244="","",IF(OR(AND($V244&lt;&gt;"",LOWER(TRIM($V244))&lt;&gt;"n/a",LOWER(TRIM($V244))&lt;&gt;"na",SUMPRODUCT(--(UPPER(TRIM($V$2:$V$518))=UPPER(TRIM($V244))),--(TRIM($V$2:$V$518)&lt;&gt;""),--(LOWER(TRIM($V$2:$V$518))&lt;&gt;"n/a"),--(LOWER(TRIM($V$2:$V$518))&lt;&gt;"na"))&gt;1),AND($W244&lt;&gt;"",LOWER(TRIM($W244))&lt;&gt;"n/a",LOWER(TRIM($W244))&lt;&gt;"na",SUMPRODUCT(--(UPPER(TRIM($W$2:$W$518))=UPPER(TRIM($W244))),--(TRIM($W$2:$W$518)&lt;&gt;""),--(LOWER(TRIM($W$2:$W$518))&lt;&gt;"n/a"),--(LOWER(TRIM($W$2:$W$518))&lt;&gt;"na"))&gt;1),AND($X244&lt;&gt;"",LOWER(TRIM($X244))&lt;&gt;"n/a",LOWER(TRIM($X244))&lt;&gt;"na",SUMPRODUCT(--(UPPER(TRIM($X$2:$X$518))=UPPER(TRIM($X244))),--(TRIM($X$2:$X$518)&lt;&gt;""),--(LOWER(TRIM($X$2:$X$518))&lt;&gt;"n/a"),--(LOWER(TRIM($X$2:$X$518))&lt;&gt;"na"))&gt;1),AND($Y244&lt;&gt;"",LOWER(TRIM($Y244))&lt;&gt;"n/a",LOWER(TRIM($Y244))&lt;&gt;"na",SUMPRODUCT(--(UPPER(SUBSTITUTE(SUBSTITUTE(TRIM($Y$2:$Y$518),":",""),"-",""))=UPPER(SUBSTITUTE(SUBSTITUTE(TRIM($Y244),":",""),"-",""))),--(TRIM($Y$2:$Y$518)&lt;&gt;""),--(LOWER(TRIM($Y$2:$Y$518))&lt;&gt;"n/a"),--(LOWER(TRIM($Y$2:$Y$518))&lt;&gt;"na"))&gt;1),AND($AB244&lt;&gt;"",LOWER(TRIM($AB244))&lt;&gt;"n/a",LOWER(TRIM($AB244))&lt;&gt;"na",SUMPRODUCT(--(UPPER(TRIM($AB$2:$AB$518))=UPPER(TRIM($AB244))),--(TRIM($AB$2:$AB$518)&lt;&gt;""),--(LOWER(TRIM($AB$2:$AB$518))&lt;&gt;"n/a"),--(LOWER(TRIM($AB$2:$AB$518))&lt;&gt;"na"))&gt;1),AND($AH244&lt;&gt;"",LOWER(TRIM($AH244))&lt;&gt;"n/a",LOWER(TRIM($AH244))&lt;&gt;"na",SUMPRODUCT(--(UPPER(SUBSTITUTE(SUBSTITUTE(TRIM($AH$2:$AH$518),":",""),"-",""))=UPPER(SUBSTITUTE(SUBSTITUTE(TRIM($AH244),":",""),"-",""))),--(TRIM($AH$2:$AH$518)&lt;&gt;""),--(LOWER(TRIM($AH$2:$AH$518))&lt;&gt;"n/a"),--(LOWER(TRIM($AH$2:$AH$518))&lt;&gt;"na"))&gt;1),AND($AP244&lt;&gt;"",LOWER(TRIM($AP244))&lt;&gt;"n/a",LOWER(TRIM($AP244))&lt;&gt;"na",SUMPRODUCT(--(UPPER(TRIM($AP$2:$AP$518))=UPPER(TRIM($AP244))),--(TRIM($AP$2:$AP$518)&lt;&gt;""),--(LOWER(TRIM($AP$2:$AP$518))&lt;&gt;"n/a"),--(LOWER(TRIM($AP$2:$AP$518))&lt;&gt;"na"))&gt;1),AND($AQ244&lt;&gt;"",LOWER(TRIM($AQ244))&lt;&gt;"n/a",LOWER(TRIM($AQ244))&lt;&gt;"na",SUMPRODUCT(--(UPPER(TRIM($AQ$2:$AQ$518))=UPPER(TRIM($AQ244))),--(TRIM($AQ$2:$AQ$518)&lt;&gt;""),--(LOWER(TRIM($AQ$2:$AQ$518))&lt;&gt;"n/a"),--(LOWER(TRIM($AQ$2:$AQ$518))&lt;&gt;"na"))&gt;1)),"Yes","No"))</f>
        <v/>
      </c>
      <c r="F244">
        <f>IF(UPPER(TRIM($B244))&lt;&gt;"YES","", IF(OR(AND($V244&lt;&gt;"", LOWER(TRIM($V244))&lt;&gt;"n/a", LOWER(TRIM($V244))&lt;&gt;"na", SUMPRODUCT(--(UPPER(TRIM($V$2:$V$518))=UPPER(TRIM($V244))), --(UPPER(TRIM($B$2:$B$518))="YES"), --(UPPER(TRIM($G$2:$G$518)&amp;TRIM($I$2:$I$518)&amp;TRIM($J$2:$J$518))&lt;&gt;UPPER(TRIM($G244)&amp;TRIM($I244)&amp;TRIM($J244))))&gt;0), AND($W244&lt;&gt;"", LOWER(TRIM($W244))&lt;&gt;"n/a", LOWER(TRIM($W244))&lt;&gt;"na", SUMPRODUCT(--(UPPER(TRIM($W$2:$W$518))=UPPER(TRIM($W244))), --(UPPER(TRIM($B$2:$B$518))="YES"), --(UPPER(TRIM($G$2:$G$518)&amp;TRIM($I$2:$I$518)&amp;TRIM($J$2:$J$518))&lt;&gt;UPPER(TRIM($G244)&amp;TRIM($I244)&amp;TRIM($J244))))&gt;0), AND($X244&lt;&gt;"", LOWER(TRIM($X244))&lt;&gt;"n/a", LOWER(TRIM($X244))&lt;&gt;"na", SUMPRODUCT(--(UPPER(TRIM($X$2:$X$518))=UPPER(TRIM($X244))), --(UPPER(TRIM($B$2:$B$518))="YES"), --(UPPER(TRIM($G$2:$G$518)&amp;TRIM($I$2:$I$518)&amp;TRIM($J$2:$J$518))&lt;&gt;UPPER(TRIM($G244)&amp;TRIM($I244)&amp;TRIM($J244))))&gt;0), AND($Y244&lt;&gt;"", LOWER(TRIM($Y244))&lt;&gt;"n/a", LOWER(TRIM($Y244))&lt;&gt;"na", SUMPRODUCT(--(UPPER(SUBSTITUTE(SUBSTITUTE(TRIM($Y$2:$Y$518),":",""),"-",""))=UPPER(SUBSTITUTE(SUBSTITUTE(TRIM($Y244),":",""),"-",""))), --(UPPER(TRIM($B$2:$B$518))="YES"), --(UPPER(TRIM($G$2:$G$518)&amp;TRIM($I$2:$I$518)&amp;TRIM($J$2:$J$518))&lt;&gt;UPPER(TRIM($G244)&amp;TRIM($I244)&amp;TRIM($J244))))&gt;0), AND($AB244&lt;&gt;"", LOWER(TRIM($AB244))&lt;&gt;"n/a", LOWER(TRIM($AB244))&lt;&gt;"na", SUMPRODUCT(--(UPPER(TRIM($AB$2:$AB$518))=UPPER(TRIM($AB244))), --(UPPER(TRIM($B$2:$B$518))="YES"), --(UPPER(TRIM($G$2:$G$518)&amp;TRIM($I$2:$I$518)&amp;TRIM($J$2:$J$518))&lt;&gt;UPPER(TRIM($G244)&amp;TRIM($I244)&amp;TRIM($J244))))&gt;0), AND($AH244&lt;&gt;"", LOWER(TRIM($AH244))&lt;&gt;"n/a", LOWER(TRIM($AH244))&lt;&gt;"na", SUMPRODUCT(--(UPPER(SUBSTITUTE(SUBSTITUTE(TRIM($AH$2:$AH$518),":",""),"-",""))=UPPER(SUBSTITUTE(SUBSTITUTE(TRIM($AH244),":",""),"-",""))), --(UPPER(TRIM($B$2:$B$518))="YES"), --(UPPER(TRIM($G$2:$G$518)&amp;TRIM($I$2:$I$518)&amp;TRIM($J$2:$J$518))&lt;&gt;UPPER(TRIM($G244)&amp;TRIM($I244)&amp;TRIM($J244))))&gt;0), AND($AP244&lt;&gt;"", LOWER(TRIM($AP244))&lt;&gt;"n/a", LOWER(TRIM($AP244))&lt;&gt;"na", SUMPRODUCT(--(UPPER(TRIM($AP$2:$AP$518))=UPPER(TRIM($AP244))), --(UPPER(TRIM($B$2:$B$518))="YES"), --(UPPER(TRIM($G$2:$G$518)&amp;TRIM($I$2:$I$518)&amp;TRIM($J$2:$J$518))&lt;&gt;UPPER(TRIM($G244)&amp;TRIM($I244)&amp;TRIM($J244))))&gt;0), AND($AQ244&lt;&gt;"", LOWER(TRIM($AQ244))&lt;&gt;"n/a", LOWER(TRIM($AQ244))&lt;&gt;"na", SUMPRODUCT(--(UPPER(TRIM($AQ$2:$AQ$518))=UPPER(TRIM($AQ244))), --(UPPER(TRIM($B$2:$B$518))="YES"), --(UPPER(TRIM($G$2:$G$518)&amp;TRIM($I$2:$I$518)&amp;TRIM($J$2:$J$518))&lt;&gt;UPPER(TRIM($G244)&amp;TRIM($I244)&amp;TRIM($J244))))&gt;0)), "Yes", "No"))</f>
        <v/>
      </c>
      <c r="G244" t="inlineStr">
        <is>
          <t>100 Commercial St</t>
        </is>
      </c>
      <c r="H244" t="inlineStr">
        <is>
          <t>LIJ - CCMC</t>
        </is>
      </c>
      <c r="M244" t="inlineStr">
        <is>
          <t>OR iPro Cybernet Workstation</t>
        </is>
      </c>
      <c r="N244" t="inlineStr">
        <is>
          <t>Yes</t>
        </is>
      </c>
      <c r="O244" t="inlineStr">
        <is>
          <t>No</t>
        </is>
      </c>
      <c r="P244" t="inlineStr">
        <is>
          <t>No</t>
        </is>
      </c>
      <c r="V244" t="inlineStr">
        <is>
          <t>WNH269OPR023</t>
        </is>
      </c>
      <c r="W244" t="inlineStr">
        <is>
          <t>MEDSG2425F-0264</t>
        </is>
      </c>
      <c r="AH244" t="inlineStr">
        <is>
          <t>00:0D:05:0A:A8:A3</t>
        </is>
      </c>
      <c r="CA244" t="inlineStr">
        <is>
          <t>iPro
Epic Satellite
ALLSCRIPTS
EPIC BCA</t>
        </is>
      </c>
      <c r="CD244">
        <f>IF($Y244="","",IF((IF(AND($BR244&lt;&gt;"Yes",$BR244&lt;&gt;"N/A"),"Power Cable, ","")&amp;IF(AND($BS244&lt;&gt;"Yes",$BS244&lt;&gt;"N/A"),"Battery, ","")&amp;IF(AND($AD244&lt;&gt;"Yes",$AD244&lt;&gt;"N/A"),"Firmware Download, ","")&amp;IF(AND(OR($AD244="Yes",$AD244="N/A"),$AE244&lt;&gt;"Yes",$AE244&lt;&gt;"N/A"),"Firmware Install, ","")&amp;IF(AND($CB244&lt;&gt;"Yes",$CB244&lt;&gt;"N/A"),"Device ID, ","")&amp;IF(AND($CC244&lt;&gt;"Yes",$CC244&lt;&gt;"N/A"),"Epic Beans Relay, ",""))="","",LEFT(IF(AND($BR244&lt;&gt;"Yes",$BR244&lt;&gt;"N/A"),"Power Cable, ","")&amp;IF(AND($BS244&lt;&gt;"Yes",$BS244&lt;&gt;"N/A"),"Battery, ","")&amp;IF(AND($AD244&lt;&gt;"Yes",$AD244&lt;&gt;"N/A"),"Firmware Download, ","")&amp;IF(AND(OR($AD244="Yes",$AD244="N/A"),$AE244&lt;&gt;"Yes",$AE244&lt;&gt;"N/A"),"Firmware Install, ","")&amp;IF(AND($CB244&lt;&gt;"Yes",$CB244&lt;&gt;"N/A"),"Device ID, ","")&amp;IF(AND($CC244&lt;&gt;"Yes",$CC244&lt;&gt;"N/A"),"Epic Beans Relay, ",""),LEN(IF(AND($BR244&lt;&gt;"Yes",$BR244&lt;&gt;"N/A"),"Power Cable, ","")&amp;IF(AND($BS244&lt;&gt;"Yes",$BS244&lt;&gt;"N/A"),"Battery, ","")&amp;IF(AND($AD244&lt;&gt;"Yes",$AD244&lt;&gt;"N/A"),"Firmware Download, ","")&amp;IF(AND(OR($AD244="Yes",$AD244="N/A"),$AE244&lt;&gt;"Yes",$AE244&lt;&gt;"N/A"),"Firmware Install, ","")&amp;IF(AND($CB244&lt;&gt;"Yes",$CB244&lt;&gt;"N/A"),"Device ID, ","")&amp;IF(AND($CC244&lt;&gt;"Yes",$CC244&lt;&gt;"N/A"),"Epic Beans Relay, ",""))-2)))</f>
        <v/>
      </c>
      <c r="CE244">
        <f>IF($Y244="","",IF($CD244="","Yes","Blocked"))</f>
        <v/>
      </c>
      <c r="CF244" t="inlineStr">
        <is>
          <t>Yes</t>
        </is>
      </c>
      <c r="CG244" t="inlineStr">
        <is>
          <t>Yes</t>
        </is>
      </c>
      <c r="CH244" t="inlineStr">
        <is>
          <t>Yes</t>
        </is>
      </c>
      <c r="CI244" t="inlineStr">
        <is>
          <t>Yes</t>
        </is>
      </c>
      <c r="CJ244" t="inlineStr">
        <is>
          <t>Yes</t>
        </is>
      </c>
      <c r="CK244" t="n">
        <v>19200</v>
      </c>
      <c r="CW244">
        <f>IF($S244="","",IF(UPPER(TRIM($S244))&lt;&gt;"PASS","",IF(LEN(TRIM($BY244))&gt;0,"NOTES_PRESENT",IF(LEN(TRIM($T244))=0,"SET_NA",IF(OR(LOWER(TRIM($T244))="na",LOWER(TRIM($T244))="n/a"),"OK","MANUAL_OVERRIDE")))))</f>
        <v/>
      </c>
    </row>
    <row r="245">
      <c r="A245" t="inlineStr">
        <is>
          <t>Cybernet</t>
        </is>
      </c>
      <c r="B245" s="5" t="inlineStr">
        <is>
          <t>No</t>
        </is>
      </c>
      <c r="C245" t="inlineStr">
        <is>
          <t>No</t>
        </is>
      </c>
      <c r="D245">
        <f>IF($B245&lt;&gt;"Yes","",IF($C245="No","Yes",IF($C245="Yes","No","")))</f>
        <v/>
      </c>
      <c r="E245">
        <f>IF($A245="","",IF(OR(AND($V245&lt;&gt;"",LOWER(TRIM($V245))&lt;&gt;"n/a",LOWER(TRIM($V245))&lt;&gt;"na",SUMPRODUCT(--(UPPER(TRIM($V$2:$V$518))=UPPER(TRIM($V245))),--(TRIM($V$2:$V$518)&lt;&gt;""),--(LOWER(TRIM($V$2:$V$518))&lt;&gt;"n/a"),--(LOWER(TRIM($V$2:$V$518))&lt;&gt;"na"))&gt;1),AND($W245&lt;&gt;"",LOWER(TRIM($W245))&lt;&gt;"n/a",LOWER(TRIM($W245))&lt;&gt;"na",SUMPRODUCT(--(UPPER(TRIM($W$2:$W$518))=UPPER(TRIM($W245))),--(TRIM($W$2:$W$518)&lt;&gt;""),--(LOWER(TRIM($W$2:$W$518))&lt;&gt;"n/a"),--(LOWER(TRIM($W$2:$W$518))&lt;&gt;"na"))&gt;1),AND($X245&lt;&gt;"",LOWER(TRIM($X245))&lt;&gt;"n/a",LOWER(TRIM($X245))&lt;&gt;"na",SUMPRODUCT(--(UPPER(TRIM($X$2:$X$518))=UPPER(TRIM($X245))),--(TRIM($X$2:$X$518)&lt;&gt;""),--(LOWER(TRIM($X$2:$X$518))&lt;&gt;"n/a"),--(LOWER(TRIM($X$2:$X$518))&lt;&gt;"na"))&gt;1),AND($Y245&lt;&gt;"",LOWER(TRIM($Y245))&lt;&gt;"n/a",LOWER(TRIM($Y245))&lt;&gt;"na",SUMPRODUCT(--(UPPER(SUBSTITUTE(SUBSTITUTE(TRIM($Y$2:$Y$518),":",""),"-",""))=UPPER(SUBSTITUTE(SUBSTITUTE(TRIM($Y245),":",""),"-",""))),--(TRIM($Y$2:$Y$518)&lt;&gt;""),--(LOWER(TRIM($Y$2:$Y$518))&lt;&gt;"n/a"),--(LOWER(TRIM($Y$2:$Y$518))&lt;&gt;"na"))&gt;1),AND($AB245&lt;&gt;"",LOWER(TRIM($AB245))&lt;&gt;"n/a",LOWER(TRIM($AB245))&lt;&gt;"na",SUMPRODUCT(--(UPPER(TRIM($AB$2:$AB$518))=UPPER(TRIM($AB245))),--(TRIM($AB$2:$AB$518)&lt;&gt;""),--(LOWER(TRIM($AB$2:$AB$518))&lt;&gt;"n/a"),--(LOWER(TRIM($AB$2:$AB$518))&lt;&gt;"na"))&gt;1),AND($AH245&lt;&gt;"",LOWER(TRIM($AH245))&lt;&gt;"n/a",LOWER(TRIM($AH245))&lt;&gt;"na",SUMPRODUCT(--(UPPER(SUBSTITUTE(SUBSTITUTE(TRIM($AH$2:$AH$518),":",""),"-",""))=UPPER(SUBSTITUTE(SUBSTITUTE(TRIM($AH245),":",""),"-",""))),--(TRIM($AH$2:$AH$518)&lt;&gt;""),--(LOWER(TRIM($AH$2:$AH$518))&lt;&gt;"n/a"),--(LOWER(TRIM($AH$2:$AH$518))&lt;&gt;"na"))&gt;1),AND($AP245&lt;&gt;"",LOWER(TRIM($AP245))&lt;&gt;"n/a",LOWER(TRIM($AP245))&lt;&gt;"na",SUMPRODUCT(--(UPPER(TRIM($AP$2:$AP$518))=UPPER(TRIM($AP245))),--(TRIM($AP$2:$AP$518)&lt;&gt;""),--(LOWER(TRIM($AP$2:$AP$518))&lt;&gt;"n/a"),--(LOWER(TRIM($AP$2:$AP$518))&lt;&gt;"na"))&gt;1),AND($AQ245&lt;&gt;"",LOWER(TRIM($AQ245))&lt;&gt;"n/a",LOWER(TRIM($AQ245))&lt;&gt;"na",SUMPRODUCT(--(UPPER(TRIM($AQ$2:$AQ$518))=UPPER(TRIM($AQ245))),--(TRIM($AQ$2:$AQ$518)&lt;&gt;""),--(LOWER(TRIM($AQ$2:$AQ$518))&lt;&gt;"n/a"),--(LOWER(TRIM($AQ$2:$AQ$518))&lt;&gt;"na"))&gt;1)),"Yes","No"))</f>
        <v/>
      </c>
      <c r="F245">
        <f>IF(UPPER(TRIM($B245))&lt;&gt;"YES","", IF(OR(AND($V245&lt;&gt;"", LOWER(TRIM($V245))&lt;&gt;"n/a", LOWER(TRIM($V245))&lt;&gt;"na", SUMPRODUCT(--(UPPER(TRIM($V$2:$V$518))=UPPER(TRIM($V245))), --(UPPER(TRIM($B$2:$B$518))="YES"), --(UPPER(TRIM($G$2:$G$518)&amp;TRIM($I$2:$I$518)&amp;TRIM($J$2:$J$518))&lt;&gt;UPPER(TRIM($G245)&amp;TRIM($I245)&amp;TRIM($J245))))&gt;0), AND($W245&lt;&gt;"", LOWER(TRIM($W245))&lt;&gt;"n/a", LOWER(TRIM($W245))&lt;&gt;"na", SUMPRODUCT(--(UPPER(TRIM($W$2:$W$518))=UPPER(TRIM($W245))), --(UPPER(TRIM($B$2:$B$518))="YES"), --(UPPER(TRIM($G$2:$G$518)&amp;TRIM($I$2:$I$518)&amp;TRIM($J$2:$J$518))&lt;&gt;UPPER(TRIM($G245)&amp;TRIM($I245)&amp;TRIM($J245))))&gt;0), AND($X245&lt;&gt;"", LOWER(TRIM($X245))&lt;&gt;"n/a", LOWER(TRIM($X245))&lt;&gt;"na", SUMPRODUCT(--(UPPER(TRIM($X$2:$X$518))=UPPER(TRIM($X245))), --(UPPER(TRIM($B$2:$B$518))="YES"), --(UPPER(TRIM($G$2:$G$518)&amp;TRIM($I$2:$I$518)&amp;TRIM($J$2:$J$518))&lt;&gt;UPPER(TRIM($G245)&amp;TRIM($I245)&amp;TRIM($J245))))&gt;0), AND($Y245&lt;&gt;"", LOWER(TRIM($Y245))&lt;&gt;"n/a", LOWER(TRIM($Y245))&lt;&gt;"na", SUMPRODUCT(--(UPPER(SUBSTITUTE(SUBSTITUTE(TRIM($Y$2:$Y$518),":",""),"-",""))=UPPER(SUBSTITUTE(SUBSTITUTE(TRIM($Y245),":",""),"-",""))), --(UPPER(TRIM($B$2:$B$518))="YES"), --(UPPER(TRIM($G$2:$G$518)&amp;TRIM($I$2:$I$518)&amp;TRIM($J$2:$J$518))&lt;&gt;UPPER(TRIM($G245)&amp;TRIM($I245)&amp;TRIM($J245))))&gt;0), AND($AB245&lt;&gt;"", LOWER(TRIM($AB245))&lt;&gt;"n/a", LOWER(TRIM($AB245))&lt;&gt;"na", SUMPRODUCT(--(UPPER(TRIM($AB$2:$AB$518))=UPPER(TRIM($AB245))), --(UPPER(TRIM($B$2:$B$518))="YES"), --(UPPER(TRIM($G$2:$G$518)&amp;TRIM($I$2:$I$518)&amp;TRIM($J$2:$J$518))&lt;&gt;UPPER(TRIM($G245)&amp;TRIM($I245)&amp;TRIM($J245))))&gt;0), AND($AH245&lt;&gt;"", LOWER(TRIM($AH245))&lt;&gt;"n/a", LOWER(TRIM($AH245))&lt;&gt;"na", SUMPRODUCT(--(UPPER(SUBSTITUTE(SUBSTITUTE(TRIM($AH$2:$AH$518),":",""),"-",""))=UPPER(SUBSTITUTE(SUBSTITUTE(TRIM($AH245),":",""),"-",""))), --(UPPER(TRIM($B$2:$B$518))="YES"), --(UPPER(TRIM($G$2:$G$518)&amp;TRIM($I$2:$I$518)&amp;TRIM($J$2:$J$518))&lt;&gt;UPPER(TRIM($G245)&amp;TRIM($I245)&amp;TRIM($J245))))&gt;0), AND($AP245&lt;&gt;"", LOWER(TRIM($AP245))&lt;&gt;"n/a", LOWER(TRIM($AP245))&lt;&gt;"na", SUMPRODUCT(--(UPPER(TRIM($AP$2:$AP$518))=UPPER(TRIM($AP245))), --(UPPER(TRIM($B$2:$B$518))="YES"), --(UPPER(TRIM($G$2:$G$518)&amp;TRIM($I$2:$I$518)&amp;TRIM($J$2:$J$518))&lt;&gt;UPPER(TRIM($G245)&amp;TRIM($I245)&amp;TRIM($J245))))&gt;0), AND($AQ245&lt;&gt;"", LOWER(TRIM($AQ245))&lt;&gt;"n/a", LOWER(TRIM($AQ245))&lt;&gt;"na", SUMPRODUCT(--(UPPER(TRIM($AQ$2:$AQ$518))=UPPER(TRIM($AQ245))), --(UPPER(TRIM($B$2:$B$518))="YES"), --(UPPER(TRIM($G$2:$G$518)&amp;TRIM($I$2:$I$518)&amp;TRIM($J$2:$J$518))&lt;&gt;UPPER(TRIM($G245)&amp;TRIM($I245)&amp;TRIM($J245))))&gt;0)), "Yes", "No"))</f>
        <v/>
      </c>
      <c r="G245" t="inlineStr">
        <is>
          <t>100 Commercial St</t>
        </is>
      </c>
      <c r="H245" t="inlineStr">
        <is>
          <t>LIJ - CCMC</t>
        </is>
      </c>
      <c r="M245" t="inlineStr">
        <is>
          <t>OR iPro Cybernet Workstation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V245" t="inlineStr">
        <is>
          <t>WNH269OPR024</t>
        </is>
      </c>
      <c r="W245" t="inlineStr">
        <is>
          <t>MEDSG2425F-0162</t>
        </is>
      </c>
      <c r="AH245" t="inlineStr">
        <is>
          <t>00:0D:05:0A:A8:C3</t>
        </is>
      </c>
      <c r="CA245" t="inlineStr">
        <is>
          <t>iPro
Epic Satellite
ALLSCRIPTS
EPIC BCA</t>
        </is>
      </c>
      <c r="CD245">
        <f>IF($Y245="","",IF((IF(AND($BR245&lt;&gt;"Yes",$BR245&lt;&gt;"N/A"),"Power Cable, ","")&amp;IF(AND($BS245&lt;&gt;"Yes",$BS245&lt;&gt;"N/A"),"Battery, ","")&amp;IF(AND($AD245&lt;&gt;"Yes",$AD245&lt;&gt;"N/A"),"Firmware Download, ","")&amp;IF(AND(OR($AD245="Yes",$AD245="N/A"),$AE245&lt;&gt;"Yes",$AE245&lt;&gt;"N/A"),"Firmware Install, ","")&amp;IF(AND($CB245&lt;&gt;"Yes",$CB245&lt;&gt;"N/A"),"Device ID, ","")&amp;IF(AND($CC245&lt;&gt;"Yes",$CC245&lt;&gt;"N/A"),"Epic Beans Relay, ",""))="","",LEFT(IF(AND($BR245&lt;&gt;"Yes",$BR245&lt;&gt;"N/A"),"Power Cable, ","")&amp;IF(AND($BS245&lt;&gt;"Yes",$BS245&lt;&gt;"N/A"),"Battery, ","")&amp;IF(AND($AD245&lt;&gt;"Yes",$AD245&lt;&gt;"N/A"),"Firmware Download, ","")&amp;IF(AND(OR($AD245="Yes",$AD245="N/A"),$AE245&lt;&gt;"Yes",$AE245&lt;&gt;"N/A"),"Firmware Install, ","")&amp;IF(AND($CB245&lt;&gt;"Yes",$CB245&lt;&gt;"N/A"),"Device ID, ","")&amp;IF(AND($CC245&lt;&gt;"Yes",$CC245&lt;&gt;"N/A"),"Epic Beans Relay, ",""),LEN(IF(AND($BR245&lt;&gt;"Yes",$BR245&lt;&gt;"N/A"),"Power Cable, ","")&amp;IF(AND($BS245&lt;&gt;"Yes",$BS245&lt;&gt;"N/A"),"Battery, ","")&amp;IF(AND($AD245&lt;&gt;"Yes",$AD245&lt;&gt;"N/A"),"Firmware Download, ","")&amp;IF(AND(OR($AD245="Yes",$AD245="N/A"),$AE245&lt;&gt;"Yes",$AE245&lt;&gt;"N/A"),"Firmware Install, ","")&amp;IF(AND($CB245&lt;&gt;"Yes",$CB245&lt;&gt;"N/A"),"Device ID, ","")&amp;IF(AND($CC245&lt;&gt;"Yes",$CC245&lt;&gt;"N/A"),"Epic Beans Relay, ",""))-2)))</f>
        <v/>
      </c>
      <c r="CE245">
        <f>IF($Y245="","",IF($CD245="","Yes","Blocked"))</f>
        <v/>
      </c>
      <c r="CF245" t="inlineStr">
        <is>
          <t>Yes</t>
        </is>
      </c>
      <c r="CG245" t="inlineStr">
        <is>
          <t>Yes</t>
        </is>
      </c>
      <c r="CH245" t="inlineStr">
        <is>
          <t>Yes</t>
        </is>
      </c>
      <c r="CI245" t="inlineStr">
        <is>
          <t>Yes</t>
        </is>
      </c>
      <c r="CJ245" t="inlineStr">
        <is>
          <t>Yes</t>
        </is>
      </c>
      <c r="CK245" t="n">
        <v>19200</v>
      </c>
      <c r="CW245">
        <f>IF($S245="","",IF(UPPER(TRIM($S245))&lt;&gt;"PASS","",IF(LEN(TRIM($BY245))&gt;0,"NOTES_PRESENT",IF(LEN(TRIM($T245))=0,"SET_NA",IF(OR(LOWER(TRIM($T245))="na",LOWER(TRIM($T245))="n/a"),"OK","MANUAL_OVERRIDE")))))</f>
        <v/>
      </c>
    </row>
    <row r="246">
      <c r="A246" t="inlineStr">
        <is>
          <t>Cybernet</t>
        </is>
      </c>
      <c r="B246" s="5" t="inlineStr">
        <is>
          <t>No</t>
        </is>
      </c>
      <c r="C246" t="inlineStr">
        <is>
          <t>No</t>
        </is>
      </c>
      <c r="D246">
        <f>IF($B246&lt;&gt;"Yes","",IF($C246="No","Yes",IF($C246="Yes","No","")))</f>
        <v/>
      </c>
      <c r="E246">
        <f>IF($A246="","",IF(OR(AND($V246&lt;&gt;"",LOWER(TRIM($V246))&lt;&gt;"n/a",LOWER(TRIM($V246))&lt;&gt;"na",SUMPRODUCT(--(UPPER(TRIM($V$2:$V$518))=UPPER(TRIM($V246))),--(TRIM($V$2:$V$518)&lt;&gt;""),--(LOWER(TRIM($V$2:$V$518))&lt;&gt;"n/a"),--(LOWER(TRIM($V$2:$V$518))&lt;&gt;"na"))&gt;1),AND($W246&lt;&gt;"",LOWER(TRIM($W246))&lt;&gt;"n/a",LOWER(TRIM($W246))&lt;&gt;"na",SUMPRODUCT(--(UPPER(TRIM($W$2:$W$518))=UPPER(TRIM($W246))),--(TRIM($W$2:$W$518)&lt;&gt;""),--(LOWER(TRIM($W$2:$W$518))&lt;&gt;"n/a"),--(LOWER(TRIM($W$2:$W$518))&lt;&gt;"na"))&gt;1),AND($X246&lt;&gt;"",LOWER(TRIM($X246))&lt;&gt;"n/a",LOWER(TRIM($X246))&lt;&gt;"na",SUMPRODUCT(--(UPPER(TRIM($X$2:$X$518))=UPPER(TRIM($X246))),--(TRIM($X$2:$X$518)&lt;&gt;""),--(LOWER(TRIM($X$2:$X$518))&lt;&gt;"n/a"),--(LOWER(TRIM($X$2:$X$518))&lt;&gt;"na"))&gt;1),AND($Y246&lt;&gt;"",LOWER(TRIM($Y246))&lt;&gt;"n/a",LOWER(TRIM($Y246))&lt;&gt;"na",SUMPRODUCT(--(UPPER(SUBSTITUTE(SUBSTITUTE(TRIM($Y$2:$Y$518),":",""),"-",""))=UPPER(SUBSTITUTE(SUBSTITUTE(TRIM($Y246),":",""),"-",""))),--(TRIM($Y$2:$Y$518)&lt;&gt;""),--(LOWER(TRIM($Y$2:$Y$518))&lt;&gt;"n/a"),--(LOWER(TRIM($Y$2:$Y$518))&lt;&gt;"na"))&gt;1),AND($AB246&lt;&gt;"",LOWER(TRIM($AB246))&lt;&gt;"n/a",LOWER(TRIM($AB246))&lt;&gt;"na",SUMPRODUCT(--(UPPER(TRIM($AB$2:$AB$518))=UPPER(TRIM($AB246))),--(TRIM($AB$2:$AB$518)&lt;&gt;""),--(LOWER(TRIM($AB$2:$AB$518))&lt;&gt;"n/a"),--(LOWER(TRIM($AB$2:$AB$518))&lt;&gt;"na"))&gt;1),AND($AH246&lt;&gt;"",LOWER(TRIM($AH246))&lt;&gt;"n/a",LOWER(TRIM($AH246))&lt;&gt;"na",SUMPRODUCT(--(UPPER(SUBSTITUTE(SUBSTITUTE(TRIM($AH$2:$AH$518),":",""),"-",""))=UPPER(SUBSTITUTE(SUBSTITUTE(TRIM($AH246),":",""),"-",""))),--(TRIM($AH$2:$AH$518)&lt;&gt;""),--(LOWER(TRIM($AH$2:$AH$518))&lt;&gt;"n/a"),--(LOWER(TRIM($AH$2:$AH$518))&lt;&gt;"na"))&gt;1),AND($AP246&lt;&gt;"",LOWER(TRIM($AP246))&lt;&gt;"n/a",LOWER(TRIM($AP246))&lt;&gt;"na",SUMPRODUCT(--(UPPER(TRIM($AP$2:$AP$518))=UPPER(TRIM($AP246))),--(TRIM($AP$2:$AP$518)&lt;&gt;""),--(LOWER(TRIM($AP$2:$AP$518))&lt;&gt;"n/a"),--(LOWER(TRIM($AP$2:$AP$518))&lt;&gt;"na"))&gt;1),AND($AQ246&lt;&gt;"",LOWER(TRIM($AQ246))&lt;&gt;"n/a",LOWER(TRIM($AQ246))&lt;&gt;"na",SUMPRODUCT(--(UPPER(TRIM($AQ$2:$AQ$518))=UPPER(TRIM($AQ246))),--(TRIM($AQ$2:$AQ$518)&lt;&gt;""),--(LOWER(TRIM($AQ$2:$AQ$518))&lt;&gt;"n/a"),--(LOWER(TRIM($AQ$2:$AQ$518))&lt;&gt;"na"))&gt;1)),"Yes","No"))</f>
        <v/>
      </c>
      <c r="F246">
        <f>IF(UPPER(TRIM($B246))&lt;&gt;"YES","", IF(OR(AND($V246&lt;&gt;"", LOWER(TRIM($V246))&lt;&gt;"n/a", LOWER(TRIM($V246))&lt;&gt;"na", SUMPRODUCT(--(UPPER(TRIM($V$2:$V$518))=UPPER(TRIM($V246))), --(UPPER(TRIM($B$2:$B$518))="YES"), --(UPPER(TRIM($G$2:$G$518)&amp;TRIM($I$2:$I$518)&amp;TRIM($J$2:$J$518))&lt;&gt;UPPER(TRIM($G246)&amp;TRIM($I246)&amp;TRIM($J246))))&gt;0), AND($W246&lt;&gt;"", LOWER(TRIM($W246))&lt;&gt;"n/a", LOWER(TRIM($W246))&lt;&gt;"na", SUMPRODUCT(--(UPPER(TRIM($W$2:$W$518))=UPPER(TRIM($W246))), --(UPPER(TRIM($B$2:$B$518))="YES"), --(UPPER(TRIM($G$2:$G$518)&amp;TRIM($I$2:$I$518)&amp;TRIM($J$2:$J$518))&lt;&gt;UPPER(TRIM($G246)&amp;TRIM($I246)&amp;TRIM($J246))))&gt;0), AND($X246&lt;&gt;"", LOWER(TRIM($X246))&lt;&gt;"n/a", LOWER(TRIM($X246))&lt;&gt;"na", SUMPRODUCT(--(UPPER(TRIM($X$2:$X$518))=UPPER(TRIM($X246))), --(UPPER(TRIM($B$2:$B$518))="YES"), --(UPPER(TRIM($G$2:$G$518)&amp;TRIM($I$2:$I$518)&amp;TRIM($J$2:$J$518))&lt;&gt;UPPER(TRIM($G246)&amp;TRIM($I246)&amp;TRIM($J246))))&gt;0), AND($Y246&lt;&gt;"", LOWER(TRIM($Y246))&lt;&gt;"n/a", LOWER(TRIM($Y246))&lt;&gt;"na", SUMPRODUCT(--(UPPER(SUBSTITUTE(SUBSTITUTE(TRIM($Y$2:$Y$518),":",""),"-",""))=UPPER(SUBSTITUTE(SUBSTITUTE(TRIM($Y246),":",""),"-",""))), --(UPPER(TRIM($B$2:$B$518))="YES"), --(UPPER(TRIM($G$2:$G$518)&amp;TRIM($I$2:$I$518)&amp;TRIM($J$2:$J$518))&lt;&gt;UPPER(TRIM($G246)&amp;TRIM($I246)&amp;TRIM($J246))))&gt;0), AND($AB246&lt;&gt;"", LOWER(TRIM($AB246))&lt;&gt;"n/a", LOWER(TRIM($AB246))&lt;&gt;"na", SUMPRODUCT(--(UPPER(TRIM($AB$2:$AB$518))=UPPER(TRIM($AB246))), --(UPPER(TRIM($B$2:$B$518))="YES"), --(UPPER(TRIM($G$2:$G$518)&amp;TRIM($I$2:$I$518)&amp;TRIM($J$2:$J$518))&lt;&gt;UPPER(TRIM($G246)&amp;TRIM($I246)&amp;TRIM($J246))))&gt;0), AND($AH246&lt;&gt;"", LOWER(TRIM($AH246))&lt;&gt;"n/a", LOWER(TRIM($AH246))&lt;&gt;"na", SUMPRODUCT(--(UPPER(SUBSTITUTE(SUBSTITUTE(TRIM($AH$2:$AH$518),":",""),"-",""))=UPPER(SUBSTITUTE(SUBSTITUTE(TRIM($AH246),":",""),"-",""))), --(UPPER(TRIM($B$2:$B$518))="YES"), --(UPPER(TRIM($G$2:$G$518)&amp;TRIM($I$2:$I$518)&amp;TRIM($J$2:$J$518))&lt;&gt;UPPER(TRIM($G246)&amp;TRIM($I246)&amp;TRIM($J246))))&gt;0), AND($AP246&lt;&gt;"", LOWER(TRIM($AP246))&lt;&gt;"n/a", LOWER(TRIM($AP246))&lt;&gt;"na", SUMPRODUCT(--(UPPER(TRIM($AP$2:$AP$518))=UPPER(TRIM($AP246))), --(UPPER(TRIM($B$2:$B$518))="YES"), --(UPPER(TRIM($G$2:$G$518)&amp;TRIM($I$2:$I$518)&amp;TRIM($J$2:$J$518))&lt;&gt;UPPER(TRIM($G246)&amp;TRIM($I246)&amp;TRIM($J246))))&gt;0), AND($AQ246&lt;&gt;"", LOWER(TRIM($AQ246))&lt;&gt;"n/a", LOWER(TRIM($AQ246))&lt;&gt;"na", SUMPRODUCT(--(UPPER(TRIM($AQ$2:$AQ$518))=UPPER(TRIM($AQ246))), --(UPPER(TRIM($B$2:$B$518))="YES"), --(UPPER(TRIM($G$2:$G$518)&amp;TRIM($I$2:$I$518)&amp;TRIM($J$2:$J$518))&lt;&gt;UPPER(TRIM($G246)&amp;TRIM($I246)&amp;TRIM($J246))))&gt;0)), "Yes", "No"))</f>
        <v/>
      </c>
      <c r="G246" t="inlineStr">
        <is>
          <t>100 Commercial St</t>
        </is>
      </c>
      <c r="H246" t="inlineStr">
        <is>
          <t>LIJ - CCMC</t>
        </is>
      </c>
      <c r="M246" t="inlineStr">
        <is>
          <t>OR iPro Cybernet Workstation</t>
        </is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V246" t="inlineStr">
        <is>
          <t>WNH269OPR025</t>
        </is>
      </c>
      <c r="W246" t="inlineStr">
        <is>
          <t>MEDSG2425F-0170</t>
        </is>
      </c>
      <c r="AH246" t="inlineStr">
        <is>
          <t>00:0D:05:0A:A6:E5</t>
        </is>
      </c>
      <c r="CA246" t="inlineStr">
        <is>
          <t>iPro
Epic Satellite
ALLSCRIPTS
EPIC BCA</t>
        </is>
      </c>
      <c r="CD246">
        <f>IF($Y246="","",IF((IF(AND($BR246&lt;&gt;"Yes",$BR246&lt;&gt;"N/A"),"Power Cable, ","")&amp;IF(AND($BS246&lt;&gt;"Yes",$BS246&lt;&gt;"N/A"),"Battery, ","")&amp;IF(AND($AD246&lt;&gt;"Yes",$AD246&lt;&gt;"N/A"),"Firmware Download, ","")&amp;IF(AND(OR($AD246="Yes",$AD246="N/A"),$AE246&lt;&gt;"Yes",$AE246&lt;&gt;"N/A"),"Firmware Install, ","")&amp;IF(AND($CB246&lt;&gt;"Yes",$CB246&lt;&gt;"N/A"),"Device ID, ","")&amp;IF(AND($CC246&lt;&gt;"Yes",$CC246&lt;&gt;"N/A"),"Epic Beans Relay, ",""))="","",LEFT(IF(AND($BR246&lt;&gt;"Yes",$BR246&lt;&gt;"N/A"),"Power Cable, ","")&amp;IF(AND($BS246&lt;&gt;"Yes",$BS246&lt;&gt;"N/A"),"Battery, ","")&amp;IF(AND($AD246&lt;&gt;"Yes",$AD246&lt;&gt;"N/A"),"Firmware Download, ","")&amp;IF(AND(OR($AD246="Yes",$AD246="N/A"),$AE246&lt;&gt;"Yes",$AE246&lt;&gt;"N/A"),"Firmware Install, ","")&amp;IF(AND($CB246&lt;&gt;"Yes",$CB246&lt;&gt;"N/A"),"Device ID, ","")&amp;IF(AND($CC246&lt;&gt;"Yes",$CC246&lt;&gt;"N/A"),"Epic Beans Relay, ",""),LEN(IF(AND($BR246&lt;&gt;"Yes",$BR246&lt;&gt;"N/A"),"Power Cable, ","")&amp;IF(AND($BS246&lt;&gt;"Yes",$BS246&lt;&gt;"N/A"),"Battery, ","")&amp;IF(AND($AD246&lt;&gt;"Yes",$AD246&lt;&gt;"N/A"),"Firmware Download, ","")&amp;IF(AND(OR($AD246="Yes",$AD246="N/A"),$AE246&lt;&gt;"Yes",$AE246&lt;&gt;"N/A"),"Firmware Install, ","")&amp;IF(AND($CB246&lt;&gt;"Yes",$CB246&lt;&gt;"N/A"),"Device ID, ","")&amp;IF(AND($CC246&lt;&gt;"Yes",$CC246&lt;&gt;"N/A"),"Epic Beans Relay, ",""))-2)))</f>
        <v/>
      </c>
      <c r="CE246">
        <f>IF($Y246="","",IF($CD246="","Yes","Blocked"))</f>
        <v/>
      </c>
      <c r="CF246" t="inlineStr">
        <is>
          <t>Yes</t>
        </is>
      </c>
      <c r="CG246" t="inlineStr">
        <is>
          <t>Yes</t>
        </is>
      </c>
      <c r="CH246" t="inlineStr">
        <is>
          <t>Yes</t>
        </is>
      </c>
      <c r="CI246" t="inlineStr">
        <is>
          <t>Yes</t>
        </is>
      </c>
      <c r="CJ246" t="inlineStr">
        <is>
          <t>Yes</t>
        </is>
      </c>
      <c r="CK246" t="n">
        <v>19200</v>
      </c>
      <c r="CW246">
        <f>IF($S246="","",IF(UPPER(TRIM($S246))&lt;&gt;"PASS","",IF(LEN(TRIM($BY246))&gt;0,"NOTES_PRESENT",IF(LEN(TRIM($T246))=0,"SET_NA",IF(OR(LOWER(TRIM($T246))="na",LOWER(TRIM($T246))="n/a"),"OK","MANUAL_OVERRIDE")))))</f>
        <v/>
      </c>
    </row>
    <row r="247">
      <c r="A247" t="inlineStr">
        <is>
          <t>Cybernet</t>
        </is>
      </c>
      <c r="B247" s="5" t="inlineStr">
        <is>
          <t>No</t>
        </is>
      </c>
      <c r="C247" t="inlineStr">
        <is>
          <t>No</t>
        </is>
      </c>
      <c r="D247">
        <f>IF($B247&lt;&gt;"Yes","",IF($C247="No","Yes",IF($C247="Yes","No","")))</f>
        <v/>
      </c>
      <c r="E247">
        <f>IF($A247="","",IF(OR(AND($V247&lt;&gt;"",LOWER(TRIM($V247))&lt;&gt;"n/a",LOWER(TRIM($V247))&lt;&gt;"na",SUMPRODUCT(--(UPPER(TRIM($V$2:$V$518))=UPPER(TRIM($V247))),--(TRIM($V$2:$V$518)&lt;&gt;""),--(LOWER(TRIM($V$2:$V$518))&lt;&gt;"n/a"),--(LOWER(TRIM($V$2:$V$518))&lt;&gt;"na"))&gt;1),AND($W247&lt;&gt;"",LOWER(TRIM($W247))&lt;&gt;"n/a",LOWER(TRIM($W247))&lt;&gt;"na",SUMPRODUCT(--(UPPER(TRIM($W$2:$W$518))=UPPER(TRIM($W247))),--(TRIM($W$2:$W$518)&lt;&gt;""),--(LOWER(TRIM($W$2:$W$518))&lt;&gt;"n/a"),--(LOWER(TRIM($W$2:$W$518))&lt;&gt;"na"))&gt;1),AND($X247&lt;&gt;"",LOWER(TRIM($X247))&lt;&gt;"n/a",LOWER(TRIM($X247))&lt;&gt;"na",SUMPRODUCT(--(UPPER(TRIM($X$2:$X$518))=UPPER(TRIM($X247))),--(TRIM($X$2:$X$518)&lt;&gt;""),--(LOWER(TRIM($X$2:$X$518))&lt;&gt;"n/a"),--(LOWER(TRIM($X$2:$X$518))&lt;&gt;"na"))&gt;1),AND($Y247&lt;&gt;"",LOWER(TRIM($Y247))&lt;&gt;"n/a",LOWER(TRIM($Y247))&lt;&gt;"na",SUMPRODUCT(--(UPPER(SUBSTITUTE(SUBSTITUTE(TRIM($Y$2:$Y$518),":",""),"-",""))=UPPER(SUBSTITUTE(SUBSTITUTE(TRIM($Y247),":",""),"-",""))),--(TRIM($Y$2:$Y$518)&lt;&gt;""),--(LOWER(TRIM($Y$2:$Y$518))&lt;&gt;"n/a"),--(LOWER(TRIM($Y$2:$Y$518))&lt;&gt;"na"))&gt;1),AND($AB247&lt;&gt;"",LOWER(TRIM($AB247))&lt;&gt;"n/a",LOWER(TRIM($AB247))&lt;&gt;"na",SUMPRODUCT(--(UPPER(TRIM($AB$2:$AB$518))=UPPER(TRIM($AB247))),--(TRIM($AB$2:$AB$518)&lt;&gt;""),--(LOWER(TRIM($AB$2:$AB$518))&lt;&gt;"n/a"),--(LOWER(TRIM($AB$2:$AB$518))&lt;&gt;"na"))&gt;1),AND($AH247&lt;&gt;"",LOWER(TRIM($AH247))&lt;&gt;"n/a",LOWER(TRIM($AH247))&lt;&gt;"na",SUMPRODUCT(--(UPPER(SUBSTITUTE(SUBSTITUTE(TRIM($AH$2:$AH$518),":",""),"-",""))=UPPER(SUBSTITUTE(SUBSTITUTE(TRIM($AH247),":",""),"-",""))),--(TRIM($AH$2:$AH$518)&lt;&gt;""),--(LOWER(TRIM($AH$2:$AH$518))&lt;&gt;"n/a"),--(LOWER(TRIM($AH$2:$AH$518))&lt;&gt;"na"))&gt;1),AND($AP247&lt;&gt;"",LOWER(TRIM($AP247))&lt;&gt;"n/a",LOWER(TRIM($AP247))&lt;&gt;"na",SUMPRODUCT(--(UPPER(TRIM($AP$2:$AP$518))=UPPER(TRIM($AP247))),--(TRIM($AP$2:$AP$518)&lt;&gt;""),--(LOWER(TRIM($AP$2:$AP$518))&lt;&gt;"n/a"),--(LOWER(TRIM($AP$2:$AP$518))&lt;&gt;"na"))&gt;1),AND($AQ247&lt;&gt;"",LOWER(TRIM($AQ247))&lt;&gt;"n/a",LOWER(TRIM($AQ247))&lt;&gt;"na",SUMPRODUCT(--(UPPER(TRIM($AQ$2:$AQ$518))=UPPER(TRIM($AQ247))),--(TRIM($AQ$2:$AQ$518)&lt;&gt;""),--(LOWER(TRIM($AQ$2:$AQ$518))&lt;&gt;"n/a"),--(LOWER(TRIM($AQ$2:$AQ$518))&lt;&gt;"na"))&gt;1)),"Yes","No"))</f>
        <v/>
      </c>
      <c r="F247">
        <f>IF(UPPER(TRIM($B247))&lt;&gt;"YES","", IF(OR(AND($V247&lt;&gt;"", LOWER(TRIM($V247))&lt;&gt;"n/a", LOWER(TRIM($V247))&lt;&gt;"na", SUMPRODUCT(--(UPPER(TRIM($V$2:$V$518))=UPPER(TRIM($V247))), --(UPPER(TRIM($B$2:$B$518))="YES"), --(UPPER(TRIM($G$2:$G$518)&amp;TRIM($I$2:$I$518)&amp;TRIM($J$2:$J$518))&lt;&gt;UPPER(TRIM($G247)&amp;TRIM($I247)&amp;TRIM($J247))))&gt;0), AND($W247&lt;&gt;"", LOWER(TRIM($W247))&lt;&gt;"n/a", LOWER(TRIM($W247))&lt;&gt;"na", SUMPRODUCT(--(UPPER(TRIM($W$2:$W$518))=UPPER(TRIM($W247))), --(UPPER(TRIM($B$2:$B$518))="YES"), --(UPPER(TRIM($G$2:$G$518)&amp;TRIM($I$2:$I$518)&amp;TRIM($J$2:$J$518))&lt;&gt;UPPER(TRIM($G247)&amp;TRIM($I247)&amp;TRIM($J247))))&gt;0), AND($X247&lt;&gt;"", LOWER(TRIM($X247))&lt;&gt;"n/a", LOWER(TRIM($X247))&lt;&gt;"na", SUMPRODUCT(--(UPPER(TRIM($X$2:$X$518))=UPPER(TRIM($X247))), --(UPPER(TRIM($B$2:$B$518))="YES"), --(UPPER(TRIM($G$2:$G$518)&amp;TRIM($I$2:$I$518)&amp;TRIM($J$2:$J$518))&lt;&gt;UPPER(TRIM($G247)&amp;TRIM($I247)&amp;TRIM($J247))))&gt;0), AND($Y247&lt;&gt;"", LOWER(TRIM($Y247))&lt;&gt;"n/a", LOWER(TRIM($Y247))&lt;&gt;"na", SUMPRODUCT(--(UPPER(SUBSTITUTE(SUBSTITUTE(TRIM($Y$2:$Y$518),":",""),"-",""))=UPPER(SUBSTITUTE(SUBSTITUTE(TRIM($Y247),":",""),"-",""))), --(UPPER(TRIM($B$2:$B$518))="YES"), --(UPPER(TRIM($G$2:$G$518)&amp;TRIM($I$2:$I$518)&amp;TRIM($J$2:$J$518))&lt;&gt;UPPER(TRIM($G247)&amp;TRIM($I247)&amp;TRIM($J247))))&gt;0), AND($AB247&lt;&gt;"", LOWER(TRIM($AB247))&lt;&gt;"n/a", LOWER(TRIM($AB247))&lt;&gt;"na", SUMPRODUCT(--(UPPER(TRIM($AB$2:$AB$518))=UPPER(TRIM($AB247))), --(UPPER(TRIM($B$2:$B$518))="YES"), --(UPPER(TRIM($G$2:$G$518)&amp;TRIM($I$2:$I$518)&amp;TRIM($J$2:$J$518))&lt;&gt;UPPER(TRIM($G247)&amp;TRIM($I247)&amp;TRIM($J247))))&gt;0), AND($AH247&lt;&gt;"", LOWER(TRIM($AH247))&lt;&gt;"n/a", LOWER(TRIM($AH247))&lt;&gt;"na", SUMPRODUCT(--(UPPER(SUBSTITUTE(SUBSTITUTE(TRIM($AH$2:$AH$518),":",""),"-",""))=UPPER(SUBSTITUTE(SUBSTITUTE(TRIM($AH247),":",""),"-",""))), --(UPPER(TRIM($B$2:$B$518))="YES"), --(UPPER(TRIM($G$2:$G$518)&amp;TRIM($I$2:$I$518)&amp;TRIM($J$2:$J$518))&lt;&gt;UPPER(TRIM($G247)&amp;TRIM($I247)&amp;TRIM($J247))))&gt;0), AND($AP247&lt;&gt;"", LOWER(TRIM($AP247))&lt;&gt;"n/a", LOWER(TRIM($AP247))&lt;&gt;"na", SUMPRODUCT(--(UPPER(TRIM($AP$2:$AP$518))=UPPER(TRIM($AP247))), --(UPPER(TRIM($B$2:$B$518))="YES"), --(UPPER(TRIM($G$2:$G$518)&amp;TRIM($I$2:$I$518)&amp;TRIM($J$2:$J$518))&lt;&gt;UPPER(TRIM($G247)&amp;TRIM($I247)&amp;TRIM($J247))))&gt;0), AND($AQ247&lt;&gt;"", LOWER(TRIM($AQ247))&lt;&gt;"n/a", LOWER(TRIM($AQ247))&lt;&gt;"na", SUMPRODUCT(--(UPPER(TRIM($AQ$2:$AQ$518))=UPPER(TRIM($AQ247))), --(UPPER(TRIM($B$2:$B$518))="YES"), --(UPPER(TRIM($G$2:$G$518)&amp;TRIM($I$2:$I$518)&amp;TRIM($J$2:$J$518))&lt;&gt;UPPER(TRIM($G247)&amp;TRIM($I247)&amp;TRIM($J247))))&gt;0)), "Yes", "No"))</f>
        <v/>
      </c>
      <c r="G247" t="inlineStr">
        <is>
          <t>100 Commercial St</t>
        </is>
      </c>
      <c r="H247" t="inlineStr">
        <is>
          <t>LIJ - CCMC</t>
        </is>
      </c>
      <c r="M247" t="inlineStr">
        <is>
          <t>OR iPro Cybernet Workstation</t>
        </is>
      </c>
      <c r="N247" t="inlineStr">
        <is>
          <t>Yes</t>
        </is>
      </c>
      <c r="O247" t="inlineStr">
        <is>
          <t>No</t>
        </is>
      </c>
      <c r="P247" t="inlineStr">
        <is>
          <t>No</t>
        </is>
      </c>
      <c r="V247" t="inlineStr">
        <is>
          <t>WNH269OPR026</t>
        </is>
      </c>
      <c r="W247" t="inlineStr">
        <is>
          <t>MEDSG2425F-0269</t>
        </is>
      </c>
      <c r="AH247" t="inlineStr">
        <is>
          <t>00:0D:05:0A:A8:3D</t>
        </is>
      </c>
      <c r="CA247" t="inlineStr">
        <is>
          <t>iPro
Epic Satellite
ALLSCRIPTS
EPIC BCA</t>
        </is>
      </c>
      <c r="CD247">
        <f>IF($Y247="","",IF((IF(AND($BR247&lt;&gt;"Yes",$BR247&lt;&gt;"N/A"),"Power Cable, ","")&amp;IF(AND($BS247&lt;&gt;"Yes",$BS247&lt;&gt;"N/A"),"Battery, ","")&amp;IF(AND($AD247&lt;&gt;"Yes",$AD247&lt;&gt;"N/A"),"Firmware Download, ","")&amp;IF(AND(OR($AD247="Yes",$AD247="N/A"),$AE247&lt;&gt;"Yes",$AE247&lt;&gt;"N/A"),"Firmware Install, ","")&amp;IF(AND($CB247&lt;&gt;"Yes",$CB247&lt;&gt;"N/A"),"Device ID, ","")&amp;IF(AND($CC247&lt;&gt;"Yes",$CC247&lt;&gt;"N/A"),"Epic Beans Relay, ",""))="","",LEFT(IF(AND($BR247&lt;&gt;"Yes",$BR247&lt;&gt;"N/A"),"Power Cable, ","")&amp;IF(AND($BS247&lt;&gt;"Yes",$BS247&lt;&gt;"N/A"),"Battery, ","")&amp;IF(AND($AD247&lt;&gt;"Yes",$AD247&lt;&gt;"N/A"),"Firmware Download, ","")&amp;IF(AND(OR($AD247="Yes",$AD247="N/A"),$AE247&lt;&gt;"Yes",$AE247&lt;&gt;"N/A"),"Firmware Install, ","")&amp;IF(AND($CB247&lt;&gt;"Yes",$CB247&lt;&gt;"N/A"),"Device ID, ","")&amp;IF(AND($CC247&lt;&gt;"Yes",$CC247&lt;&gt;"N/A"),"Epic Beans Relay, ",""),LEN(IF(AND($BR247&lt;&gt;"Yes",$BR247&lt;&gt;"N/A"),"Power Cable, ","")&amp;IF(AND($BS247&lt;&gt;"Yes",$BS247&lt;&gt;"N/A"),"Battery, ","")&amp;IF(AND($AD247&lt;&gt;"Yes",$AD247&lt;&gt;"N/A"),"Firmware Download, ","")&amp;IF(AND(OR($AD247="Yes",$AD247="N/A"),$AE247&lt;&gt;"Yes",$AE247&lt;&gt;"N/A"),"Firmware Install, ","")&amp;IF(AND($CB247&lt;&gt;"Yes",$CB247&lt;&gt;"N/A"),"Device ID, ","")&amp;IF(AND($CC247&lt;&gt;"Yes",$CC247&lt;&gt;"N/A"),"Epic Beans Relay, ",""))-2)))</f>
        <v/>
      </c>
      <c r="CE247">
        <f>IF($Y247="","",IF($CD247="","Yes","Blocked"))</f>
        <v/>
      </c>
      <c r="CF247" t="inlineStr">
        <is>
          <t>Yes</t>
        </is>
      </c>
      <c r="CG247" t="inlineStr">
        <is>
          <t>Yes</t>
        </is>
      </c>
      <c r="CH247" t="inlineStr">
        <is>
          <t>Yes</t>
        </is>
      </c>
      <c r="CI247" t="inlineStr">
        <is>
          <t>Yes</t>
        </is>
      </c>
      <c r="CJ247" t="inlineStr">
        <is>
          <t>Yes</t>
        </is>
      </c>
      <c r="CK247" t="n">
        <v>19200</v>
      </c>
      <c r="CW247">
        <f>IF($S247="","",IF(UPPER(TRIM($S247))&lt;&gt;"PASS","",IF(LEN(TRIM($BY247))&gt;0,"NOTES_PRESENT",IF(LEN(TRIM($T247))=0,"SET_NA",IF(OR(LOWER(TRIM($T247))="na",LOWER(TRIM($T247))="n/a"),"OK","MANUAL_OVERRIDE")))))</f>
        <v/>
      </c>
    </row>
    <row r="248">
      <c r="A248" t="inlineStr">
        <is>
          <t>Cybernet</t>
        </is>
      </c>
      <c r="B248" s="5" t="inlineStr">
        <is>
          <t>No</t>
        </is>
      </c>
      <c r="C248" t="inlineStr">
        <is>
          <t>No</t>
        </is>
      </c>
      <c r="D248">
        <f>IF($B248&lt;&gt;"Yes","",IF($C248="No","Yes",IF($C248="Yes","No","")))</f>
        <v/>
      </c>
      <c r="E248">
        <f>IF($A248="","",IF(OR(AND($V248&lt;&gt;"",LOWER(TRIM($V248))&lt;&gt;"n/a",LOWER(TRIM($V248))&lt;&gt;"na",SUMPRODUCT(--(UPPER(TRIM($V$2:$V$518))=UPPER(TRIM($V248))),--(TRIM($V$2:$V$518)&lt;&gt;""),--(LOWER(TRIM($V$2:$V$518))&lt;&gt;"n/a"),--(LOWER(TRIM($V$2:$V$518))&lt;&gt;"na"))&gt;1),AND($W248&lt;&gt;"",LOWER(TRIM($W248))&lt;&gt;"n/a",LOWER(TRIM($W248))&lt;&gt;"na",SUMPRODUCT(--(UPPER(TRIM($W$2:$W$518))=UPPER(TRIM($W248))),--(TRIM($W$2:$W$518)&lt;&gt;""),--(LOWER(TRIM($W$2:$W$518))&lt;&gt;"n/a"),--(LOWER(TRIM($W$2:$W$518))&lt;&gt;"na"))&gt;1),AND($X248&lt;&gt;"",LOWER(TRIM($X248))&lt;&gt;"n/a",LOWER(TRIM($X248))&lt;&gt;"na",SUMPRODUCT(--(UPPER(TRIM($X$2:$X$518))=UPPER(TRIM($X248))),--(TRIM($X$2:$X$518)&lt;&gt;""),--(LOWER(TRIM($X$2:$X$518))&lt;&gt;"n/a"),--(LOWER(TRIM($X$2:$X$518))&lt;&gt;"na"))&gt;1),AND($Y248&lt;&gt;"",LOWER(TRIM($Y248))&lt;&gt;"n/a",LOWER(TRIM($Y248))&lt;&gt;"na",SUMPRODUCT(--(UPPER(SUBSTITUTE(SUBSTITUTE(TRIM($Y$2:$Y$518),":",""),"-",""))=UPPER(SUBSTITUTE(SUBSTITUTE(TRIM($Y248),":",""),"-",""))),--(TRIM($Y$2:$Y$518)&lt;&gt;""),--(LOWER(TRIM($Y$2:$Y$518))&lt;&gt;"n/a"),--(LOWER(TRIM($Y$2:$Y$518))&lt;&gt;"na"))&gt;1),AND($AB248&lt;&gt;"",LOWER(TRIM($AB248))&lt;&gt;"n/a",LOWER(TRIM($AB248))&lt;&gt;"na",SUMPRODUCT(--(UPPER(TRIM($AB$2:$AB$518))=UPPER(TRIM($AB248))),--(TRIM($AB$2:$AB$518)&lt;&gt;""),--(LOWER(TRIM($AB$2:$AB$518))&lt;&gt;"n/a"),--(LOWER(TRIM($AB$2:$AB$518))&lt;&gt;"na"))&gt;1),AND($AH248&lt;&gt;"",LOWER(TRIM($AH248))&lt;&gt;"n/a",LOWER(TRIM($AH248))&lt;&gt;"na",SUMPRODUCT(--(UPPER(SUBSTITUTE(SUBSTITUTE(TRIM($AH$2:$AH$518),":",""),"-",""))=UPPER(SUBSTITUTE(SUBSTITUTE(TRIM($AH248),":",""),"-",""))),--(TRIM($AH$2:$AH$518)&lt;&gt;""),--(LOWER(TRIM($AH$2:$AH$518))&lt;&gt;"n/a"),--(LOWER(TRIM($AH$2:$AH$518))&lt;&gt;"na"))&gt;1),AND($AP248&lt;&gt;"",LOWER(TRIM($AP248))&lt;&gt;"n/a",LOWER(TRIM($AP248))&lt;&gt;"na",SUMPRODUCT(--(UPPER(TRIM($AP$2:$AP$518))=UPPER(TRIM($AP248))),--(TRIM($AP$2:$AP$518)&lt;&gt;""),--(LOWER(TRIM($AP$2:$AP$518))&lt;&gt;"n/a"),--(LOWER(TRIM($AP$2:$AP$518))&lt;&gt;"na"))&gt;1),AND($AQ248&lt;&gt;"",LOWER(TRIM($AQ248))&lt;&gt;"n/a",LOWER(TRIM($AQ248))&lt;&gt;"na",SUMPRODUCT(--(UPPER(TRIM($AQ$2:$AQ$518))=UPPER(TRIM($AQ248))),--(TRIM($AQ$2:$AQ$518)&lt;&gt;""),--(LOWER(TRIM($AQ$2:$AQ$518))&lt;&gt;"n/a"),--(LOWER(TRIM($AQ$2:$AQ$518))&lt;&gt;"na"))&gt;1)),"Yes","No"))</f>
        <v/>
      </c>
      <c r="F248">
        <f>IF(UPPER(TRIM($B248))&lt;&gt;"YES","", IF(OR(AND($V248&lt;&gt;"", LOWER(TRIM($V248))&lt;&gt;"n/a", LOWER(TRIM($V248))&lt;&gt;"na", SUMPRODUCT(--(UPPER(TRIM($V$2:$V$518))=UPPER(TRIM($V248))), --(UPPER(TRIM($B$2:$B$518))="YES"), --(UPPER(TRIM($G$2:$G$518)&amp;TRIM($I$2:$I$518)&amp;TRIM($J$2:$J$518))&lt;&gt;UPPER(TRIM($G248)&amp;TRIM($I248)&amp;TRIM($J248))))&gt;0), AND($W248&lt;&gt;"", LOWER(TRIM($W248))&lt;&gt;"n/a", LOWER(TRIM($W248))&lt;&gt;"na", SUMPRODUCT(--(UPPER(TRIM($W$2:$W$518))=UPPER(TRIM($W248))), --(UPPER(TRIM($B$2:$B$518))="YES"), --(UPPER(TRIM($G$2:$G$518)&amp;TRIM($I$2:$I$518)&amp;TRIM($J$2:$J$518))&lt;&gt;UPPER(TRIM($G248)&amp;TRIM($I248)&amp;TRIM($J248))))&gt;0), AND($X248&lt;&gt;"", LOWER(TRIM($X248))&lt;&gt;"n/a", LOWER(TRIM($X248))&lt;&gt;"na", SUMPRODUCT(--(UPPER(TRIM($X$2:$X$518))=UPPER(TRIM($X248))), --(UPPER(TRIM($B$2:$B$518))="YES"), --(UPPER(TRIM($G$2:$G$518)&amp;TRIM($I$2:$I$518)&amp;TRIM($J$2:$J$518))&lt;&gt;UPPER(TRIM($G248)&amp;TRIM($I248)&amp;TRIM($J248))))&gt;0), AND($Y248&lt;&gt;"", LOWER(TRIM($Y248))&lt;&gt;"n/a", LOWER(TRIM($Y248))&lt;&gt;"na", SUMPRODUCT(--(UPPER(SUBSTITUTE(SUBSTITUTE(TRIM($Y$2:$Y$518),":",""),"-",""))=UPPER(SUBSTITUTE(SUBSTITUTE(TRIM($Y248),":",""),"-",""))), --(UPPER(TRIM($B$2:$B$518))="YES"), --(UPPER(TRIM($G$2:$G$518)&amp;TRIM($I$2:$I$518)&amp;TRIM($J$2:$J$518))&lt;&gt;UPPER(TRIM($G248)&amp;TRIM($I248)&amp;TRIM($J248))))&gt;0), AND($AB248&lt;&gt;"", LOWER(TRIM($AB248))&lt;&gt;"n/a", LOWER(TRIM($AB248))&lt;&gt;"na", SUMPRODUCT(--(UPPER(TRIM($AB$2:$AB$518))=UPPER(TRIM($AB248))), --(UPPER(TRIM($B$2:$B$518))="YES"), --(UPPER(TRIM($G$2:$G$518)&amp;TRIM($I$2:$I$518)&amp;TRIM($J$2:$J$518))&lt;&gt;UPPER(TRIM($G248)&amp;TRIM($I248)&amp;TRIM($J248))))&gt;0), AND($AH248&lt;&gt;"", LOWER(TRIM($AH248))&lt;&gt;"n/a", LOWER(TRIM($AH248))&lt;&gt;"na", SUMPRODUCT(--(UPPER(SUBSTITUTE(SUBSTITUTE(TRIM($AH$2:$AH$518),":",""),"-",""))=UPPER(SUBSTITUTE(SUBSTITUTE(TRIM($AH248),":",""),"-",""))), --(UPPER(TRIM($B$2:$B$518))="YES"), --(UPPER(TRIM($G$2:$G$518)&amp;TRIM($I$2:$I$518)&amp;TRIM($J$2:$J$518))&lt;&gt;UPPER(TRIM($G248)&amp;TRIM($I248)&amp;TRIM($J248))))&gt;0), AND($AP248&lt;&gt;"", LOWER(TRIM($AP248))&lt;&gt;"n/a", LOWER(TRIM($AP248))&lt;&gt;"na", SUMPRODUCT(--(UPPER(TRIM($AP$2:$AP$518))=UPPER(TRIM($AP248))), --(UPPER(TRIM($B$2:$B$518))="YES"), --(UPPER(TRIM($G$2:$G$518)&amp;TRIM($I$2:$I$518)&amp;TRIM($J$2:$J$518))&lt;&gt;UPPER(TRIM($G248)&amp;TRIM($I248)&amp;TRIM($J248))))&gt;0), AND($AQ248&lt;&gt;"", LOWER(TRIM($AQ248))&lt;&gt;"n/a", LOWER(TRIM($AQ248))&lt;&gt;"na", SUMPRODUCT(--(UPPER(TRIM($AQ$2:$AQ$518))=UPPER(TRIM($AQ248))), --(UPPER(TRIM($B$2:$B$518))="YES"), --(UPPER(TRIM($G$2:$G$518)&amp;TRIM($I$2:$I$518)&amp;TRIM($J$2:$J$518))&lt;&gt;UPPER(TRIM($G248)&amp;TRIM($I248)&amp;TRIM($J248))))&gt;0)), "Yes", "No"))</f>
        <v/>
      </c>
      <c r="G248" t="inlineStr">
        <is>
          <t>LIJ Main / LIJ OR</t>
        </is>
      </c>
      <c r="H248" t="inlineStr">
        <is>
          <t>LIJ - Proc</t>
        </is>
      </c>
      <c r="M248" t="inlineStr">
        <is>
          <t>OR iPro Cybernet Workstation</t>
        </is>
      </c>
      <c r="N248" t="inlineStr">
        <is>
          <t>Yes</t>
        </is>
      </c>
      <c r="O248" t="inlineStr">
        <is>
          <t>No</t>
        </is>
      </c>
      <c r="P248" t="inlineStr">
        <is>
          <t>No</t>
        </is>
      </c>
      <c r="V248" t="inlineStr">
        <is>
          <t>WNH270OPR409</t>
        </is>
      </c>
      <c r="W248" t="inlineStr">
        <is>
          <t>MEDSG2425F-3058</t>
        </is>
      </c>
      <c r="AH248" t="inlineStr">
        <is>
          <t>00:0D:05:0A:B2:47</t>
        </is>
      </c>
      <c r="CA248" t="inlineStr">
        <is>
          <t>iPro
Epic Satellite
ALLSCRIPTS
EPIC BCA</t>
        </is>
      </c>
      <c r="CD248">
        <f>IF($Y248="","",IF((IF(AND($BR248&lt;&gt;"Yes",$BR248&lt;&gt;"N/A"),"Power Cable, ","")&amp;IF(AND($BS248&lt;&gt;"Yes",$BS248&lt;&gt;"N/A"),"Battery, ","")&amp;IF(AND($AD248&lt;&gt;"Yes",$AD248&lt;&gt;"N/A"),"Firmware Download, ","")&amp;IF(AND(OR($AD248="Yes",$AD248="N/A"),$AE248&lt;&gt;"Yes",$AE248&lt;&gt;"N/A"),"Firmware Install, ","")&amp;IF(AND($CB248&lt;&gt;"Yes",$CB248&lt;&gt;"N/A"),"Device ID, ","")&amp;IF(AND($CC248&lt;&gt;"Yes",$CC248&lt;&gt;"N/A"),"Epic Beans Relay, ",""))="","",LEFT(IF(AND($BR248&lt;&gt;"Yes",$BR248&lt;&gt;"N/A"),"Power Cable, ","")&amp;IF(AND($BS248&lt;&gt;"Yes",$BS248&lt;&gt;"N/A"),"Battery, ","")&amp;IF(AND($AD248&lt;&gt;"Yes",$AD248&lt;&gt;"N/A"),"Firmware Download, ","")&amp;IF(AND(OR($AD248="Yes",$AD248="N/A"),$AE248&lt;&gt;"Yes",$AE248&lt;&gt;"N/A"),"Firmware Install, ","")&amp;IF(AND($CB248&lt;&gt;"Yes",$CB248&lt;&gt;"N/A"),"Device ID, ","")&amp;IF(AND($CC248&lt;&gt;"Yes",$CC248&lt;&gt;"N/A"),"Epic Beans Relay, ",""),LEN(IF(AND($BR248&lt;&gt;"Yes",$BR248&lt;&gt;"N/A"),"Power Cable, ","")&amp;IF(AND($BS248&lt;&gt;"Yes",$BS248&lt;&gt;"N/A"),"Battery, ","")&amp;IF(AND($AD248&lt;&gt;"Yes",$AD248&lt;&gt;"N/A"),"Firmware Download, ","")&amp;IF(AND(OR($AD248="Yes",$AD248="N/A"),$AE248&lt;&gt;"Yes",$AE248&lt;&gt;"N/A"),"Firmware Install, ","")&amp;IF(AND($CB248&lt;&gt;"Yes",$CB248&lt;&gt;"N/A"),"Device ID, ","")&amp;IF(AND($CC248&lt;&gt;"Yes",$CC248&lt;&gt;"N/A"),"Epic Beans Relay, ",""))-2)))</f>
        <v/>
      </c>
      <c r="CE248">
        <f>IF($Y248="","",IF($CD248="","Yes","Blocked"))</f>
        <v/>
      </c>
      <c r="CF248" t="inlineStr">
        <is>
          <t>Yes</t>
        </is>
      </c>
      <c r="CG248" t="inlineStr">
        <is>
          <t>Yes</t>
        </is>
      </c>
      <c r="CH248" t="inlineStr">
        <is>
          <t>Yes</t>
        </is>
      </c>
      <c r="CI248" t="inlineStr">
        <is>
          <t>Yes</t>
        </is>
      </c>
      <c r="CJ248" t="inlineStr">
        <is>
          <t>Yes</t>
        </is>
      </c>
      <c r="CK248" t="n">
        <v>19200</v>
      </c>
      <c r="CW248">
        <f>IF($S248="","",IF(UPPER(TRIM($S248))&lt;&gt;"PASS","",IF(LEN(TRIM($BY248))&gt;0,"NOTES_PRESENT",IF(LEN(TRIM($T248))=0,"SET_NA",IF(OR(LOWER(TRIM($T248))="na",LOWER(TRIM($T248))="n/a"),"OK","MANUAL_OVERRIDE")))))</f>
        <v/>
      </c>
    </row>
    <row r="249">
      <c r="A249" t="inlineStr">
        <is>
          <t>Cybernet</t>
        </is>
      </c>
      <c r="B249" s="5" t="inlineStr">
        <is>
          <t>No</t>
        </is>
      </c>
      <c r="C249" t="inlineStr">
        <is>
          <t>No</t>
        </is>
      </c>
      <c r="D249">
        <f>IF($B249&lt;&gt;"Yes","",IF($C249="No","Yes",IF($C249="Yes","No","")))</f>
        <v/>
      </c>
      <c r="E249">
        <f>IF($A249="","",IF(OR(AND($V249&lt;&gt;"",LOWER(TRIM($V249))&lt;&gt;"n/a",LOWER(TRIM($V249))&lt;&gt;"na",SUMPRODUCT(--(UPPER(TRIM($V$2:$V$518))=UPPER(TRIM($V249))),--(TRIM($V$2:$V$518)&lt;&gt;""),--(LOWER(TRIM($V$2:$V$518))&lt;&gt;"n/a"),--(LOWER(TRIM($V$2:$V$518))&lt;&gt;"na"))&gt;1),AND($W249&lt;&gt;"",LOWER(TRIM($W249))&lt;&gt;"n/a",LOWER(TRIM($W249))&lt;&gt;"na",SUMPRODUCT(--(UPPER(TRIM($W$2:$W$518))=UPPER(TRIM($W249))),--(TRIM($W$2:$W$518)&lt;&gt;""),--(LOWER(TRIM($W$2:$W$518))&lt;&gt;"n/a"),--(LOWER(TRIM($W$2:$W$518))&lt;&gt;"na"))&gt;1),AND($X249&lt;&gt;"",LOWER(TRIM($X249))&lt;&gt;"n/a",LOWER(TRIM($X249))&lt;&gt;"na",SUMPRODUCT(--(UPPER(TRIM($X$2:$X$518))=UPPER(TRIM($X249))),--(TRIM($X$2:$X$518)&lt;&gt;""),--(LOWER(TRIM($X$2:$X$518))&lt;&gt;"n/a"),--(LOWER(TRIM($X$2:$X$518))&lt;&gt;"na"))&gt;1),AND($Y249&lt;&gt;"",LOWER(TRIM($Y249))&lt;&gt;"n/a",LOWER(TRIM($Y249))&lt;&gt;"na",SUMPRODUCT(--(UPPER(SUBSTITUTE(SUBSTITUTE(TRIM($Y$2:$Y$518),":",""),"-",""))=UPPER(SUBSTITUTE(SUBSTITUTE(TRIM($Y249),":",""),"-",""))),--(TRIM($Y$2:$Y$518)&lt;&gt;""),--(LOWER(TRIM($Y$2:$Y$518))&lt;&gt;"n/a"),--(LOWER(TRIM($Y$2:$Y$518))&lt;&gt;"na"))&gt;1),AND($AB249&lt;&gt;"",LOWER(TRIM($AB249))&lt;&gt;"n/a",LOWER(TRIM($AB249))&lt;&gt;"na",SUMPRODUCT(--(UPPER(TRIM($AB$2:$AB$518))=UPPER(TRIM($AB249))),--(TRIM($AB$2:$AB$518)&lt;&gt;""),--(LOWER(TRIM($AB$2:$AB$518))&lt;&gt;"n/a"),--(LOWER(TRIM($AB$2:$AB$518))&lt;&gt;"na"))&gt;1),AND($AH249&lt;&gt;"",LOWER(TRIM($AH249))&lt;&gt;"n/a",LOWER(TRIM($AH249))&lt;&gt;"na",SUMPRODUCT(--(UPPER(SUBSTITUTE(SUBSTITUTE(TRIM($AH$2:$AH$518),":",""),"-",""))=UPPER(SUBSTITUTE(SUBSTITUTE(TRIM($AH249),":",""),"-",""))),--(TRIM($AH$2:$AH$518)&lt;&gt;""),--(LOWER(TRIM($AH$2:$AH$518))&lt;&gt;"n/a"),--(LOWER(TRIM($AH$2:$AH$518))&lt;&gt;"na"))&gt;1),AND($AP249&lt;&gt;"",LOWER(TRIM($AP249))&lt;&gt;"n/a",LOWER(TRIM($AP249))&lt;&gt;"na",SUMPRODUCT(--(UPPER(TRIM($AP$2:$AP$518))=UPPER(TRIM($AP249))),--(TRIM($AP$2:$AP$518)&lt;&gt;""),--(LOWER(TRIM($AP$2:$AP$518))&lt;&gt;"n/a"),--(LOWER(TRIM($AP$2:$AP$518))&lt;&gt;"na"))&gt;1),AND($AQ249&lt;&gt;"",LOWER(TRIM($AQ249))&lt;&gt;"n/a",LOWER(TRIM($AQ249))&lt;&gt;"na",SUMPRODUCT(--(UPPER(TRIM($AQ$2:$AQ$518))=UPPER(TRIM($AQ249))),--(TRIM($AQ$2:$AQ$518)&lt;&gt;""),--(LOWER(TRIM($AQ$2:$AQ$518))&lt;&gt;"n/a"),--(LOWER(TRIM($AQ$2:$AQ$518))&lt;&gt;"na"))&gt;1)),"Yes","No"))</f>
        <v/>
      </c>
      <c r="F249">
        <f>IF(UPPER(TRIM($B249))&lt;&gt;"YES","", IF(OR(AND($V249&lt;&gt;"", LOWER(TRIM($V249))&lt;&gt;"n/a", LOWER(TRIM($V249))&lt;&gt;"na", SUMPRODUCT(--(UPPER(TRIM($V$2:$V$518))=UPPER(TRIM($V249))), --(UPPER(TRIM($B$2:$B$518))="YES"), --(UPPER(TRIM($G$2:$G$518)&amp;TRIM($I$2:$I$518)&amp;TRIM($J$2:$J$518))&lt;&gt;UPPER(TRIM($G249)&amp;TRIM($I249)&amp;TRIM($J249))))&gt;0), AND($W249&lt;&gt;"", LOWER(TRIM($W249))&lt;&gt;"n/a", LOWER(TRIM($W249))&lt;&gt;"na", SUMPRODUCT(--(UPPER(TRIM($W$2:$W$518))=UPPER(TRIM($W249))), --(UPPER(TRIM($B$2:$B$518))="YES"), --(UPPER(TRIM($G$2:$G$518)&amp;TRIM($I$2:$I$518)&amp;TRIM($J$2:$J$518))&lt;&gt;UPPER(TRIM($G249)&amp;TRIM($I249)&amp;TRIM($J249))))&gt;0), AND($X249&lt;&gt;"", LOWER(TRIM($X249))&lt;&gt;"n/a", LOWER(TRIM($X249))&lt;&gt;"na", SUMPRODUCT(--(UPPER(TRIM($X$2:$X$518))=UPPER(TRIM($X249))), --(UPPER(TRIM($B$2:$B$518))="YES"), --(UPPER(TRIM($G$2:$G$518)&amp;TRIM($I$2:$I$518)&amp;TRIM($J$2:$J$518))&lt;&gt;UPPER(TRIM($G249)&amp;TRIM($I249)&amp;TRIM($J249))))&gt;0), AND($Y249&lt;&gt;"", LOWER(TRIM($Y249))&lt;&gt;"n/a", LOWER(TRIM($Y249))&lt;&gt;"na", SUMPRODUCT(--(UPPER(SUBSTITUTE(SUBSTITUTE(TRIM($Y$2:$Y$518),":",""),"-",""))=UPPER(SUBSTITUTE(SUBSTITUTE(TRIM($Y249),":",""),"-",""))), --(UPPER(TRIM($B$2:$B$518))="YES"), --(UPPER(TRIM($G$2:$G$518)&amp;TRIM($I$2:$I$518)&amp;TRIM($J$2:$J$518))&lt;&gt;UPPER(TRIM($G249)&amp;TRIM($I249)&amp;TRIM($J249))))&gt;0), AND($AB249&lt;&gt;"", LOWER(TRIM($AB249))&lt;&gt;"n/a", LOWER(TRIM($AB249))&lt;&gt;"na", SUMPRODUCT(--(UPPER(TRIM($AB$2:$AB$518))=UPPER(TRIM($AB249))), --(UPPER(TRIM($B$2:$B$518))="YES"), --(UPPER(TRIM($G$2:$G$518)&amp;TRIM($I$2:$I$518)&amp;TRIM($J$2:$J$518))&lt;&gt;UPPER(TRIM($G249)&amp;TRIM($I249)&amp;TRIM($J249))))&gt;0), AND($AH249&lt;&gt;"", LOWER(TRIM($AH249))&lt;&gt;"n/a", LOWER(TRIM($AH249))&lt;&gt;"na", SUMPRODUCT(--(UPPER(SUBSTITUTE(SUBSTITUTE(TRIM($AH$2:$AH$518),":",""),"-",""))=UPPER(SUBSTITUTE(SUBSTITUTE(TRIM($AH249),":",""),"-",""))), --(UPPER(TRIM($B$2:$B$518))="YES"), --(UPPER(TRIM($G$2:$G$518)&amp;TRIM($I$2:$I$518)&amp;TRIM($J$2:$J$518))&lt;&gt;UPPER(TRIM($G249)&amp;TRIM($I249)&amp;TRIM($J249))))&gt;0), AND($AP249&lt;&gt;"", LOWER(TRIM($AP249))&lt;&gt;"n/a", LOWER(TRIM($AP249))&lt;&gt;"na", SUMPRODUCT(--(UPPER(TRIM($AP$2:$AP$518))=UPPER(TRIM($AP249))), --(UPPER(TRIM($B$2:$B$518))="YES"), --(UPPER(TRIM($G$2:$G$518)&amp;TRIM($I$2:$I$518)&amp;TRIM($J$2:$J$518))&lt;&gt;UPPER(TRIM($G249)&amp;TRIM($I249)&amp;TRIM($J249))))&gt;0), AND($AQ249&lt;&gt;"", LOWER(TRIM($AQ249))&lt;&gt;"n/a", LOWER(TRIM($AQ249))&lt;&gt;"na", SUMPRODUCT(--(UPPER(TRIM($AQ$2:$AQ$518))=UPPER(TRIM($AQ249))), --(UPPER(TRIM($B$2:$B$518))="YES"), --(UPPER(TRIM($G$2:$G$518)&amp;TRIM($I$2:$I$518)&amp;TRIM($J$2:$J$518))&lt;&gt;UPPER(TRIM($G249)&amp;TRIM($I249)&amp;TRIM($J249))))&gt;0)), "Yes", "No"))</f>
        <v/>
      </c>
      <c r="G249" t="inlineStr">
        <is>
          <t>100 Commerial St</t>
        </is>
      </c>
      <c r="M249" t="inlineStr">
        <is>
          <t>OR iPro Cybernet Workstation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V249" t="inlineStr">
        <is>
          <t>BROKEN - Bluescreen@boot</t>
        </is>
      </c>
      <c r="W249" t="inlineStr">
        <is>
          <t>MEDSG2425F-3062</t>
        </is>
      </c>
      <c r="AH249" t="inlineStr">
        <is>
          <t>00:0D:05:0A:B2:43</t>
        </is>
      </c>
      <c r="CA249" t="inlineStr">
        <is>
          <t>iPro
Epic Satellite
ALLSCRIPTS
EPIC BCA</t>
        </is>
      </c>
      <c r="CD249">
        <f>IF($Y249="","",IF((IF(AND($BR249&lt;&gt;"Yes",$BR249&lt;&gt;"N/A"),"Power Cable, ","")&amp;IF(AND($BS249&lt;&gt;"Yes",$BS249&lt;&gt;"N/A"),"Battery, ","")&amp;IF(AND($AD249&lt;&gt;"Yes",$AD249&lt;&gt;"N/A"),"Firmware Download, ","")&amp;IF(AND(OR($AD249="Yes",$AD249="N/A"),$AE249&lt;&gt;"Yes",$AE249&lt;&gt;"N/A"),"Firmware Install, ","")&amp;IF(AND($CB249&lt;&gt;"Yes",$CB249&lt;&gt;"N/A"),"Device ID, ","")&amp;IF(AND($CC249&lt;&gt;"Yes",$CC249&lt;&gt;"N/A"),"Epic Beans Relay, ",""))="","",LEFT(IF(AND($BR249&lt;&gt;"Yes",$BR249&lt;&gt;"N/A"),"Power Cable, ","")&amp;IF(AND($BS249&lt;&gt;"Yes",$BS249&lt;&gt;"N/A"),"Battery, ","")&amp;IF(AND($AD249&lt;&gt;"Yes",$AD249&lt;&gt;"N/A"),"Firmware Download, ","")&amp;IF(AND(OR($AD249="Yes",$AD249="N/A"),$AE249&lt;&gt;"Yes",$AE249&lt;&gt;"N/A"),"Firmware Install, ","")&amp;IF(AND($CB249&lt;&gt;"Yes",$CB249&lt;&gt;"N/A"),"Device ID, ","")&amp;IF(AND($CC249&lt;&gt;"Yes",$CC249&lt;&gt;"N/A"),"Epic Beans Relay, ",""),LEN(IF(AND($BR249&lt;&gt;"Yes",$BR249&lt;&gt;"N/A"),"Power Cable, ","")&amp;IF(AND($BS249&lt;&gt;"Yes",$BS249&lt;&gt;"N/A"),"Battery, ","")&amp;IF(AND($AD249&lt;&gt;"Yes",$AD249&lt;&gt;"N/A"),"Firmware Download, ","")&amp;IF(AND(OR($AD249="Yes",$AD249="N/A"),$AE249&lt;&gt;"Yes",$AE249&lt;&gt;"N/A"),"Firmware Install, ","")&amp;IF(AND($CB249&lt;&gt;"Yes",$CB249&lt;&gt;"N/A"),"Device ID, ","")&amp;IF(AND($CC249&lt;&gt;"Yes",$CC249&lt;&gt;"N/A"),"Epic Beans Relay, ",""))-2)))</f>
        <v/>
      </c>
      <c r="CE249">
        <f>IF($Y249="","",IF($CD249="","Yes","Blocked"))</f>
        <v/>
      </c>
      <c r="CF249" t="inlineStr">
        <is>
          <t>Yes</t>
        </is>
      </c>
      <c r="CG249" t="inlineStr">
        <is>
          <t>Yes</t>
        </is>
      </c>
      <c r="CH249" t="inlineStr">
        <is>
          <t>Yes</t>
        </is>
      </c>
      <c r="CI249" t="inlineStr">
        <is>
          <t>Yes</t>
        </is>
      </c>
      <c r="CJ249" t="inlineStr">
        <is>
          <t>Yes</t>
        </is>
      </c>
      <c r="CK249" t="n">
        <v>19200</v>
      </c>
      <c r="CP249">
        <f>IF($CO249="","",IFERROR(VLOOKUP($CO249,'01_Warehouse_Ledger'!$A:$N,4,FALSE),""))</f>
        <v/>
      </c>
      <c r="CQ249">
        <f>IF($CO249="","",IFERROR(VLOOKUP($CO249,'01_Warehouse_Ledger'!$A:$N,5,FALSE),""))</f>
        <v/>
      </c>
      <c r="CR249">
        <f>IF($CO249="","",IFERROR(VLOOKUP($CO249,'01_Warehouse_Ledger'!$A:$N,13,FALSE),""))</f>
        <v/>
      </c>
      <c r="CW249">
        <f>IF($S249="","",IF(UPPER(TRIM($S249))&lt;&gt;"PASS","",IF(LEN(TRIM($BY249))&gt;0,"NOTES_PRESENT",IF(LEN(TRIM($T249))=0,"SET_NA",IF(OR(LOWER(TRIM($T249))="na",LOWER(TRIM($T249))="n/a"),"OK","MANUAL_OVERRIDE")))))</f>
        <v/>
      </c>
    </row>
    <row r="250">
      <c r="A250" t="inlineStr">
        <is>
          <t>Cybernet</t>
        </is>
      </c>
      <c r="B250" s="5" t="inlineStr">
        <is>
          <t>No</t>
        </is>
      </c>
      <c r="C250" t="inlineStr">
        <is>
          <t>No</t>
        </is>
      </c>
      <c r="D250">
        <f>IF($B250&lt;&gt;"Yes","",IF($C250="No","Yes",IF($C250="Yes","No","")))</f>
        <v/>
      </c>
      <c r="E250">
        <f>IF($A250="","",IF(OR(AND($V250&lt;&gt;"",LOWER(TRIM($V250))&lt;&gt;"n/a",LOWER(TRIM($V250))&lt;&gt;"na",SUMPRODUCT(--(UPPER(TRIM($V$2:$V$518))=UPPER(TRIM($V250))),--(TRIM($V$2:$V$518)&lt;&gt;""),--(LOWER(TRIM($V$2:$V$518))&lt;&gt;"n/a"),--(LOWER(TRIM($V$2:$V$518))&lt;&gt;"na"))&gt;1),AND($W250&lt;&gt;"",LOWER(TRIM($W250))&lt;&gt;"n/a",LOWER(TRIM($W250))&lt;&gt;"na",SUMPRODUCT(--(UPPER(TRIM($W$2:$W$518))=UPPER(TRIM($W250))),--(TRIM($W$2:$W$518)&lt;&gt;""),--(LOWER(TRIM($W$2:$W$518))&lt;&gt;"n/a"),--(LOWER(TRIM($W$2:$W$518))&lt;&gt;"na"))&gt;1),AND($X250&lt;&gt;"",LOWER(TRIM($X250))&lt;&gt;"n/a",LOWER(TRIM($X250))&lt;&gt;"na",SUMPRODUCT(--(UPPER(TRIM($X$2:$X$518))=UPPER(TRIM($X250))),--(TRIM($X$2:$X$518)&lt;&gt;""),--(LOWER(TRIM($X$2:$X$518))&lt;&gt;"n/a"),--(LOWER(TRIM($X$2:$X$518))&lt;&gt;"na"))&gt;1),AND($Y250&lt;&gt;"",LOWER(TRIM($Y250))&lt;&gt;"n/a",LOWER(TRIM($Y250))&lt;&gt;"na",SUMPRODUCT(--(UPPER(SUBSTITUTE(SUBSTITUTE(TRIM($Y$2:$Y$518),":",""),"-",""))=UPPER(SUBSTITUTE(SUBSTITUTE(TRIM($Y250),":",""),"-",""))),--(TRIM($Y$2:$Y$518)&lt;&gt;""),--(LOWER(TRIM($Y$2:$Y$518))&lt;&gt;"n/a"),--(LOWER(TRIM($Y$2:$Y$518))&lt;&gt;"na"))&gt;1),AND($AB250&lt;&gt;"",LOWER(TRIM($AB250))&lt;&gt;"n/a",LOWER(TRIM($AB250))&lt;&gt;"na",SUMPRODUCT(--(UPPER(TRIM($AB$2:$AB$518))=UPPER(TRIM($AB250))),--(TRIM($AB$2:$AB$518)&lt;&gt;""),--(LOWER(TRIM($AB$2:$AB$518))&lt;&gt;"n/a"),--(LOWER(TRIM($AB$2:$AB$518))&lt;&gt;"na"))&gt;1),AND($AH250&lt;&gt;"",LOWER(TRIM($AH250))&lt;&gt;"n/a",LOWER(TRIM($AH250))&lt;&gt;"na",SUMPRODUCT(--(UPPER(SUBSTITUTE(SUBSTITUTE(TRIM($AH$2:$AH$518),":",""),"-",""))=UPPER(SUBSTITUTE(SUBSTITUTE(TRIM($AH250),":",""),"-",""))),--(TRIM($AH$2:$AH$518)&lt;&gt;""),--(LOWER(TRIM($AH$2:$AH$518))&lt;&gt;"n/a"),--(LOWER(TRIM($AH$2:$AH$518))&lt;&gt;"na"))&gt;1),AND($AP250&lt;&gt;"",LOWER(TRIM($AP250))&lt;&gt;"n/a",LOWER(TRIM($AP250))&lt;&gt;"na",SUMPRODUCT(--(UPPER(TRIM($AP$2:$AP$518))=UPPER(TRIM($AP250))),--(TRIM($AP$2:$AP$518)&lt;&gt;""),--(LOWER(TRIM($AP$2:$AP$518))&lt;&gt;"n/a"),--(LOWER(TRIM($AP$2:$AP$518))&lt;&gt;"na"))&gt;1),AND($AQ250&lt;&gt;"",LOWER(TRIM($AQ250))&lt;&gt;"n/a",LOWER(TRIM($AQ250))&lt;&gt;"na",SUMPRODUCT(--(UPPER(TRIM($AQ$2:$AQ$518))=UPPER(TRIM($AQ250))),--(TRIM($AQ$2:$AQ$518)&lt;&gt;""),--(LOWER(TRIM($AQ$2:$AQ$518))&lt;&gt;"n/a"),--(LOWER(TRIM($AQ$2:$AQ$518))&lt;&gt;"na"))&gt;1)),"Yes","No"))</f>
        <v/>
      </c>
      <c r="F250">
        <f>IF(UPPER(TRIM($B250))&lt;&gt;"YES","", IF(OR(AND($V250&lt;&gt;"", LOWER(TRIM($V250))&lt;&gt;"n/a", LOWER(TRIM($V250))&lt;&gt;"na", SUMPRODUCT(--(UPPER(TRIM($V$2:$V$518))=UPPER(TRIM($V250))), --(UPPER(TRIM($B$2:$B$518))="YES"), --(UPPER(TRIM($G$2:$G$518)&amp;TRIM($I$2:$I$518)&amp;TRIM($J$2:$J$518))&lt;&gt;UPPER(TRIM($G250)&amp;TRIM($I250)&amp;TRIM($J250))))&gt;0), AND($W250&lt;&gt;"", LOWER(TRIM($W250))&lt;&gt;"n/a", LOWER(TRIM($W250))&lt;&gt;"na", SUMPRODUCT(--(UPPER(TRIM($W$2:$W$518))=UPPER(TRIM($W250))), --(UPPER(TRIM($B$2:$B$518))="YES"), --(UPPER(TRIM($G$2:$G$518)&amp;TRIM($I$2:$I$518)&amp;TRIM($J$2:$J$518))&lt;&gt;UPPER(TRIM($G250)&amp;TRIM($I250)&amp;TRIM($J250))))&gt;0), AND($X250&lt;&gt;"", LOWER(TRIM($X250))&lt;&gt;"n/a", LOWER(TRIM($X250))&lt;&gt;"na", SUMPRODUCT(--(UPPER(TRIM($X$2:$X$518))=UPPER(TRIM($X250))), --(UPPER(TRIM($B$2:$B$518))="YES"), --(UPPER(TRIM($G$2:$G$518)&amp;TRIM($I$2:$I$518)&amp;TRIM($J$2:$J$518))&lt;&gt;UPPER(TRIM($G250)&amp;TRIM($I250)&amp;TRIM($J250))))&gt;0), AND($Y250&lt;&gt;"", LOWER(TRIM($Y250))&lt;&gt;"n/a", LOWER(TRIM($Y250))&lt;&gt;"na", SUMPRODUCT(--(UPPER(SUBSTITUTE(SUBSTITUTE(TRIM($Y$2:$Y$518),":",""),"-",""))=UPPER(SUBSTITUTE(SUBSTITUTE(TRIM($Y250),":",""),"-",""))), --(UPPER(TRIM($B$2:$B$518))="YES"), --(UPPER(TRIM($G$2:$G$518)&amp;TRIM($I$2:$I$518)&amp;TRIM($J$2:$J$518))&lt;&gt;UPPER(TRIM($G250)&amp;TRIM($I250)&amp;TRIM($J250))))&gt;0), AND($AB250&lt;&gt;"", LOWER(TRIM($AB250))&lt;&gt;"n/a", LOWER(TRIM($AB250))&lt;&gt;"na", SUMPRODUCT(--(UPPER(TRIM($AB$2:$AB$518))=UPPER(TRIM($AB250))), --(UPPER(TRIM($B$2:$B$518))="YES"), --(UPPER(TRIM($G$2:$G$518)&amp;TRIM($I$2:$I$518)&amp;TRIM($J$2:$J$518))&lt;&gt;UPPER(TRIM($G250)&amp;TRIM($I250)&amp;TRIM($J250))))&gt;0), AND($AH250&lt;&gt;"", LOWER(TRIM($AH250))&lt;&gt;"n/a", LOWER(TRIM($AH250))&lt;&gt;"na", SUMPRODUCT(--(UPPER(SUBSTITUTE(SUBSTITUTE(TRIM($AH$2:$AH$518),":",""),"-",""))=UPPER(SUBSTITUTE(SUBSTITUTE(TRIM($AH250),":",""),"-",""))), --(UPPER(TRIM($B$2:$B$518))="YES"), --(UPPER(TRIM($G$2:$G$518)&amp;TRIM($I$2:$I$518)&amp;TRIM($J$2:$J$518))&lt;&gt;UPPER(TRIM($G250)&amp;TRIM($I250)&amp;TRIM($J250))))&gt;0), AND($AP250&lt;&gt;"", LOWER(TRIM($AP250))&lt;&gt;"n/a", LOWER(TRIM($AP250))&lt;&gt;"na", SUMPRODUCT(--(UPPER(TRIM($AP$2:$AP$518))=UPPER(TRIM($AP250))), --(UPPER(TRIM($B$2:$B$518))="YES"), --(UPPER(TRIM($G$2:$G$518)&amp;TRIM($I$2:$I$518)&amp;TRIM($J$2:$J$518))&lt;&gt;UPPER(TRIM($G250)&amp;TRIM($I250)&amp;TRIM($J250))))&gt;0), AND($AQ250&lt;&gt;"", LOWER(TRIM($AQ250))&lt;&gt;"n/a", LOWER(TRIM($AQ250))&lt;&gt;"na", SUMPRODUCT(--(UPPER(TRIM($AQ$2:$AQ$518))=UPPER(TRIM($AQ250))), --(UPPER(TRIM($B$2:$B$518))="YES"), --(UPPER(TRIM($G$2:$G$518)&amp;TRIM($I$2:$I$518)&amp;TRIM($J$2:$J$518))&lt;&gt;UPPER(TRIM($G250)&amp;TRIM($I250)&amp;TRIM($J250))))&gt;0)), "Yes", "No"))</f>
        <v/>
      </c>
      <c r="G250" t="inlineStr">
        <is>
          <t>LIJ - CCMC</t>
        </is>
      </c>
      <c r="H250" t="inlineStr">
        <is>
          <t>LIJ - CCMC</t>
        </is>
      </c>
      <c r="M250" t="inlineStr">
        <is>
          <t>OR iPro Cybernet Workstation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V250" t="inlineStr">
        <is>
          <t>WNH270OPR431</t>
        </is>
      </c>
      <c r="W250" t="inlineStr">
        <is>
          <t>MEDSG2425F-3304</t>
        </is>
      </c>
      <c r="AH250" t="inlineStr">
        <is>
          <t>00:0D:05:0A:B0:AF</t>
        </is>
      </c>
      <c r="CA250" t="inlineStr">
        <is>
          <t>iPro
Epic Satellite
ALLSCRIPTS
EPIC BCA</t>
        </is>
      </c>
      <c r="CD250">
        <f>IF($Y250="","",IF((IF(AND($BR250&lt;&gt;"Yes",$BR250&lt;&gt;"N/A"),"Power Cable, ","")&amp;IF(AND($BS250&lt;&gt;"Yes",$BS250&lt;&gt;"N/A"),"Battery, ","")&amp;IF(AND($AD250&lt;&gt;"Yes",$AD250&lt;&gt;"N/A"),"Firmware Download, ","")&amp;IF(AND(OR($AD250="Yes",$AD250="N/A"),$AE250&lt;&gt;"Yes",$AE250&lt;&gt;"N/A"),"Firmware Install, ","")&amp;IF(AND($CB250&lt;&gt;"Yes",$CB250&lt;&gt;"N/A"),"Device ID, ","")&amp;IF(AND($CC250&lt;&gt;"Yes",$CC250&lt;&gt;"N/A"),"Epic Beans Relay, ",""))="","",LEFT(IF(AND($BR250&lt;&gt;"Yes",$BR250&lt;&gt;"N/A"),"Power Cable, ","")&amp;IF(AND($BS250&lt;&gt;"Yes",$BS250&lt;&gt;"N/A"),"Battery, ","")&amp;IF(AND($AD250&lt;&gt;"Yes",$AD250&lt;&gt;"N/A"),"Firmware Download, ","")&amp;IF(AND(OR($AD250="Yes",$AD250="N/A"),$AE250&lt;&gt;"Yes",$AE250&lt;&gt;"N/A"),"Firmware Install, ","")&amp;IF(AND($CB250&lt;&gt;"Yes",$CB250&lt;&gt;"N/A"),"Device ID, ","")&amp;IF(AND($CC250&lt;&gt;"Yes",$CC250&lt;&gt;"N/A"),"Epic Beans Relay, ",""),LEN(IF(AND($BR250&lt;&gt;"Yes",$BR250&lt;&gt;"N/A"),"Power Cable, ","")&amp;IF(AND($BS250&lt;&gt;"Yes",$BS250&lt;&gt;"N/A"),"Battery, ","")&amp;IF(AND($AD250&lt;&gt;"Yes",$AD250&lt;&gt;"N/A"),"Firmware Download, ","")&amp;IF(AND(OR($AD250="Yes",$AD250="N/A"),$AE250&lt;&gt;"Yes",$AE250&lt;&gt;"N/A"),"Firmware Install, ","")&amp;IF(AND($CB250&lt;&gt;"Yes",$CB250&lt;&gt;"N/A"),"Device ID, ","")&amp;IF(AND($CC250&lt;&gt;"Yes",$CC250&lt;&gt;"N/A"),"Epic Beans Relay, ",""))-2)))</f>
        <v/>
      </c>
      <c r="CE250">
        <f>IF($Y250="","",IF($CD250="","Yes","Blocked"))</f>
        <v/>
      </c>
      <c r="CF250" t="inlineStr">
        <is>
          <t>Yes</t>
        </is>
      </c>
      <c r="CG250" t="inlineStr">
        <is>
          <t>Yes</t>
        </is>
      </c>
      <c r="CH250" t="inlineStr">
        <is>
          <t>Yes</t>
        </is>
      </c>
      <c r="CI250" t="inlineStr">
        <is>
          <t>Yes</t>
        </is>
      </c>
      <c r="CJ250" t="inlineStr">
        <is>
          <t>Yes</t>
        </is>
      </c>
      <c r="CK250" t="n">
        <v>19200</v>
      </c>
      <c r="CP250">
        <f>IF($CO250="","",IFERROR(VLOOKUP($CO250,'01_Warehouse_Ledger'!$A:$N,4,FALSE),""))</f>
        <v/>
      </c>
      <c r="CQ250">
        <f>IF($CO250="","",IFERROR(VLOOKUP($CO250,'01_Warehouse_Ledger'!$A:$N,5,FALSE),""))</f>
        <v/>
      </c>
      <c r="CR250">
        <f>IF($CO250="","",IFERROR(VLOOKUP($CO250,'01_Warehouse_Ledger'!$A:$N,13,FALSE),""))</f>
        <v/>
      </c>
      <c r="CW250">
        <f>IF($S250="","",IF(UPPER(TRIM($S250))&lt;&gt;"PASS","",IF(LEN(TRIM($BY250))&gt;0,"NOTES_PRESENT",IF(LEN(TRIM($T250))=0,"SET_NA",IF(OR(LOWER(TRIM($T250))="na",LOWER(TRIM($T250))="n/a"),"OK","MANUAL_OVERRIDE")))))</f>
        <v/>
      </c>
    </row>
    <row r="251">
      <c r="A251" t="inlineStr">
        <is>
          <t>Cybernet</t>
        </is>
      </c>
      <c r="B251" s="5" t="inlineStr">
        <is>
          <t>No</t>
        </is>
      </c>
      <c r="C251" t="inlineStr">
        <is>
          <t>No</t>
        </is>
      </c>
      <c r="D251">
        <f>IF($B251&lt;&gt;"Yes","",IF($C251="No","Yes",IF($C251="Yes","No","")))</f>
        <v/>
      </c>
      <c r="E251">
        <f>IF($A251="","",IF(OR(AND($V251&lt;&gt;"",LOWER(TRIM($V251))&lt;&gt;"n/a",LOWER(TRIM($V251))&lt;&gt;"na",SUMPRODUCT(--(UPPER(TRIM($V$2:$V$518))=UPPER(TRIM($V251))),--(TRIM($V$2:$V$518)&lt;&gt;""),--(LOWER(TRIM($V$2:$V$518))&lt;&gt;"n/a"),--(LOWER(TRIM($V$2:$V$518))&lt;&gt;"na"))&gt;1),AND($W251&lt;&gt;"",LOWER(TRIM($W251))&lt;&gt;"n/a",LOWER(TRIM($W251))&lt;&gt;"na",SUMPRODUCT(--(UPPER(TRIM($W$2:$W$518))=UPPER(TRIM($W251))),--(TRIM($W$2:$W$518)&lt;&gt;""),--(LOWER(TRIM($W$2:$W$518))&lt;&gt;"n/a"),--(LOWER(TRIM($W$2:$W$518))&lt;&gt;"na"))&gt;1),AND($X251&lt;&gt;"",LOWER(TRIM($X251))&lt;&gt;"n/a",LOWER(TRIM($X251))&lt;&gt;"na",SUMPRODUCT(--(UPPER(TRIM($X$2:$X$518))=UPPER(TRIM($X251))),--(TRIM($X$2:$X$518)&lt;&gt;""),--(LOWER(TRIM($X$2:$X$518))&lt;&gt;"n/a"),--(LOWER(TRIM($X$2:$X$518))&lt;&gt;"na"))&gt;1),AND($Y251&lt;&gt;"",LOWER(TRIM($Y251))&lt;&gt;"n/a",LOWER(TRIM($Y251))&lt;&gt;"na",SUMPRODUCT(--(UPPER(SUBSTITUTE(SUBSTITUTE(TRIM($Y$2:$Y$518),":",""),"-",""))=UPPER(SUBSTITUTE(SUBSTITUTE(TRIM($Y251),":",""),"-",""))),--(TRIM($Y$2:$Y$518)&lt;&gt;""),--(LOWER(TRIM($Y$2:$Y$518))&lt;&gt;"n/a"),--(LOWER(TRIM($Y$2:$Y$518))&lt;&gt;"na"))&gt;1),AND($AB251&lt;&gt;"",LOWER(TRIM($AB251))&lt;&gt;"n/a",LOWER(TRIM($AB251))&lt;&gt;"na",SUMPRODUCT(--(UPPER(TRIM($AB$2:$AB$518))=UPPER(TRIM($AB251))),--(TRIM($AB$2:$AB$518)&lt;&gt;""),--(LOWER(TRIM($AB$2:$AB$518))&lt;&gt;"n/a"),--(LOWER(TRIM($AB$2:$AB$518))&lt;&gt;"na"))&gt;1),AND($AH251&lt;&gt;"",LOWER(TRIM($AH251))&lt;&gt;"n/a",LOWER(TRIM($AH251))&lt;&gt;"na",SUMPRODUCT(--(UPPER(SUBSTITUTE(SUBSTITUTE(TRIM($AH$2:$AH$518),":",""),"-",""))=UPPER(SUBSTITUTE(SUBSTITUTE(TRIM($AH251),":",""),"-",""))),--(TRIM($AH$2:$AH$518)&lt;&gt;""),--(LOWER(TRIM($AH$2:$AH$518))&lt;&gt;"n/a"),--(LOWER(TRIM($AH$2:$AH$518))&lt;&gt;"na"))&gt;1),AND($AP251&lt;&gt;"",LOWER(TRIM($AP251))&lt;&gt;"n/a",LOWER(TRIM($AP251))&lt;&gt;"na",SUMPRODUCT(--(UPPER(TRIM($AP$2:$AP$518))=UPPER(TRIM($AP251))),--(TRIM($AP$2:$AP$518)&lt;&gt;""),--(LOWER(TRIM($AP$2:$AP$518))&lt;&gt;"n/a"),--(LOWER(TRIM($AP$2:$AP$518))&lt;&gt;"na"))&gt;1),AND($AQ251&lt;&gt;"",LOWER(TRIM($AQ251))&lt;&gt;"n/a",LOWER(TRIM($AQ251))&lt;&gt;"na",SUMPRODUCT(--(UPPER(TRIM($AQ$2:$AQ$518))=UPPER(TRIM($AQ251))),--(TRIM($AQ$2:$AQ$518)&lt;&gt;""),--(LOWER(TRIM($AQ$2:$AQ$518))&lt;&gt;"n/a"),--(LOWER(TRIM($AQ$2:$AQ$518))&lt;&gt;"na"))&gt;1)),"Yes","No"))</f>
        <v/>
      </c>
      <c r="F251">
        <f>IF(UPPER(TRIM($B251))&lt;&gt;"YES","", IF(OR(AND($V251&lt;&gt;"", LOWER(TRIM($V251))&lt;&gt;"n/a", LOWER(TRIM($V251))&lt;&gt;"na", SUMPRODUCT(--(UPPER(TRIM($V$2:$V$518))=UPPER(TRIM($V251))), --(UPPER(TRIM($B$2:$B$518))="YES"), --(UPPER(TRIM($G$2:$G$518)&amp;TRIM($I$2:$I$518)&amp;TRIM($J$2:$J$518))&lt;&gt;UPPER(TRIM($G251)&amp;TRIM($I251)&amp;TRIM($J251))))&gt;0), AND($W251&lt;&gt;"", LOWER(TRIM($W251))&lt;&gt;"n/a", LOWER(TRIM($W251))&lt;&gt;"na", SUMPRODUCT(--(UPPER(TRIM($W$2:$W$518))=UPPER(TRIM($W251))), --(UPPER(TRIM($B$2:$B$518))="YES"), --(UPPER(TRIM($G$2:$G$518)&amp;TRIM($I$2:$I$518)&amp;TRIM($J$2:$J$518))&lt;&gt;UPPER(TRIM($G251)&amp;TRIM($I251)&amp;TRIM($J251))))&gt;0), AND($X251&lt;&gt;"", LOWER(TRIM($X251))&lt;&gt;"n/a", LOWER(TRIM($X251))&lt;&gt;"na", SUMPRODUCT(--(UPPER(TRIM($X$2:$X$518))=UPPER(TRIM($X251))), --(UPPER(TRIM($B$2:$B$518))="YES"), --(UPPER(TRIM($G$2:$G$518)&amp;TRIM($I$2:$I$518)&amp;TRIM($J$2:$J$518))&lt;&gt;UPPER(TRIM($G251)&amp;TRIM($I251)&amp;TRIM($J251))))&gt;0), AND($Y251&lt;&gt;"", LOWER(TRIM($Y251))&lt;&gt;"n/a", LOWER(TRIM($Y251))&lt;&gt;"na", SUMPRODUCT(--(UPPER(SUBSTITUTE(SUBSTITUTE(TRIM($Y$2:$Y$518),":",""),"-",""))=UPPER(SUBSTITUTE(SUBSTITUTE(TRIM($Y251),":",""),"-",""))), --(UPPER(TRIM($B$2:$B$518))="YES"), --(UPPER(TRIM($G$2:$G$518)&amp;TRIM($I$2:$I$518)&amp;TRIM($J$2:$J$518))&lt;&gt;UPPER(TRIM($G251)&amp;TRIM($I251)&amp;TRIM($J251))))&gt;0), AND($AB251&lt;&gt;"", LOWER(TRIM($AB251))&lt;&gt;"n/a", LOWER(TRIM($AB251))&lt;&gt;"na", SUMPRODUCT(--(UPPER(TRIM($AB$2:$AB$518))=UPPER(TRIM($AB251))), --(UPPER(TRIM($B$2:$B$518))="YES"), --(UPPER(TRIM($G$2:$G$518)&amp;TRIM($I$2:$I$518)&amp;TRIM($J$2:$J$518))&lt;&gt;UPPER(TRIM($G251)&amp;TRIM($I251)&amp;TRIM($J251))))&gt;0), AND($AH251&lt;&gt;"", LOWER(TRIM($AH251))&lt;&gt;"n/a", LOWER(TRIM($AH251))&lt;&gt;"na", SUMPRODUCT(--(UPPER(SUBSTITUTE(SUBSTITUTE(TRIM($AH$2:$AH$518),":",""),"-",""))=UPPER(SUBSTITUTE(SUBSTITUTE(TRIM($AH251),":",""),"-",""))), --(UPPER(TRIM($B$2:$B$518))="YES"), --(UPPER(TRIM($G$2:$G$518)&amp;TRIM($I$2:$I$518)&amp;TRIM($J$2:$J$518))&lt;&gt;UPPER(TRIM($G251)&amp;TRIM($I251)&amp;TRIM($J251))))&gt;0), AND($AP251&lt;&gt;"", LOWER(TRIM($AP251))&lt;&gt;"n/a", LOWER(TRIM($AP251))&lt;&gt;"na", SUMPRODUCT(--(UPPER(TRIM($AP$2:$AP$518))=UPPER(TRIM($AP251))), --(UPPER(TRIM($B$2:$B$518))="YES"), --(UPPER(TRIM($G$2:$G$518)&amp;TRIM($I$2:$I$518)&amp;TRIM($J$2:$J$518))&lt;&gt;UPPER(TRIM($G251)&amp;TRIM($I251)&amp;TRIM($J251))))&gt;0), AND($AQ251&lt;&gt;"", LOWER(TRIM($AQ251))&lt;&gt;"n/a", LOWER(TRIM($AQ251))&lt;&gt;"na", SUMPRODUCT(--(UPPER(TRIM($AQ$2:$AQ$518))=UPPER(TRIM($AQ251))), --(UPPER(TRIM($B$2:$B$518))="YES"), --(UPPER(TRIM($G$2:$G$518)&amp;TRIM($I$2:$I$518)&amp;TRIM($J$2:$J$518))&lt;&gt;UPPER(TRIM($G251)&amp;TRIM($I251)&amp;TRIM($J251))))&gt;0)), "Yes", "No"))</f>
        <v/>
      </c>
      <c r="G251" t="inlineStr">
        <is>
          <t>LIJ Main / LIJ OR</t>
        </is>
      </c>
      <c r="H251" t="inlineStr">
        <is>
          <t>LIJ - OR</t>
        </is>
      </c>
      <c r="M251" t="inlineStr">
        <is>
          <t>OR iPro Cybernet Workstation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V251" t="inlineStr">
        <is>
          <t>WNH270OPR443</t>
        </is>
      </c>
      <c r="CA251" t="inlineStr">
        <is>
          <t>iPro
Epic Satellite
ALLSCRIPTS
EPIC BCA</t>
        </is>
      </c>
      <c r="CD251">
        <f>IF($Y251="","",IF((IF(AND($BR251&lt;&gt;"Yes",$BR251&lt;&gt;"N/A"),"Power Cable, ","")&amp;IF(AND($BS251&lt;&gt;"Yes",$BS251&lt;&gt;"N/A"),"Battery, ","")&amp;IF(AND($AD251&lt;&gt;"Yes",$AD251&lt;&gt;"N/A"),"Firmware Download, ","")&amp;IF(AND(OR($AD251="Yes",$AD251="N/A"),$AE251&lt;&gt;"Yes",$AE251&lt;&gt;"N/A"),"Firmware Install, ","")&amp;IF(AND($CB251&lt;&gt;"Yes",$CB251&lt;&gt;"N/A"),"Device ID, ","")&amp;IF(AND($CC251&lt;&gt;"Yes",$CC251&lt;&gt;"N/A"),"Epic Beans Relay, ",""))="","",LEFT(IF(AND($BR251&lt;&gt;"Yes",$BR251&lt;&gt;"N/A"),"Power Cable, ","")&amp;IF(AND($BS251&lt;&gt;"Yes",$BS251&lt;&gt;"N/A"),"Battery, ","")&amp;IF(AND($AD251&lt;&gt;"Yes",$AD251&lt;&gt;"N/A"),"Firmware Download, ","")&amp;IF(AND(OR($AD251="Yes",$AD251="N/A"),$AE251&lt;&gt;"Yes",$AE251&lt;&gt;"N/A"),"Firmware Install, ","")&amp;IF(AND($CB251&lt;&gt;"Yes",$CB251&lt;&gt;"N/A"),"Device ID, ","")&amp;IF(AND($CC251&lt;&gt;"Yes",$CC251&lt;&gt;"N/A"),"Epic Beans Relay, ",""),LEN(IF(AND($BR251&lt;&gt;"Yes",$BR251&lt;&gt;"N/A"),"Power Cable, ","")&amp;IF(AND($BS251&lt;&gt;"Yes",$BS251&lt;&gt;"N/A"),"Battery, ","")&amp;IF(AND($AD251&lt;&gt;"Yes",$AD251&lt;&gt;"N/A"),"Firmware Download, ","")&amp;IF(AND(OR($AD251="Yes",$AD251="N/A"),$AE251&lt;&gt;"Yes",$AE251&lt;&gt;"N/A"),"Firmware Install, ","")&amp;IF(AND($CB251&lt;&gt;"Yes",$CB251&lt;&gt;"N/A"),"Device ID, ","")&amp;IF(AND($CC251&lt;&gt;"Yes",$CC251&lt;&gt;"N/A"),"Epic Beans Relay, ",""))-2)))</f>
        <v/>
      </c>
      <c r="CE251">
        <f>IF($Y251="","",IF($CD251="","Yes","Blocked"))</f>
        <v/>
      </c>
      <c r="CF251" t="inlineStr">
        <is>
          <t>Yes</t>
        </is>
      </c>
      <c r="CG251" t="inlineStr">
        <is>
          <t>Yes</t>
        </is>
      </c>
      <c r="CH251" t="inlineStr">
        <is>
          <t>Yes</t>
        </is>
      </c>
      <c r="CI251" t="inlineStr">
        <is>
          <t>Yes</t>
        </is>
      </c>
      <c r="CJ251" t="inlineStr">
        <is>
          <t>Yes</t>
        </is>
      </c>
      <c r="CK251" t="n">
        <v>19200</v>
      </c>
      <c r="CP251">
        <f>IF($CO251="","",IFERROR(VLOOKUP($CO251,'01_Warehouse_Ledger'!$A:$N,4,FALSE),""))</f>
        <v/>
      </c>
      <c r="CQ251">
        <f>IF($CO251="","",IFERROR(VLOOKUP($CO251,'01_Warehouse_Ledger'!$A:$N,5,FALSE),""))</f>
        <v/>
      </c>
      <c r="CR251">
        <f>IF($CO251="","",IFERROR(VLOOKUP($CO251,'01_Warehouse_Ledger'!$A:$N,13,FALSE),""))</f>
        <v/>
      </c>
      <c r="CW251">
        <f>IF($S251="","",IF(UPPER(TRIM($S251))&lt;&gt;"PASS","",IF(LEN(TRIM($BY251))&gt;0,"NOTES_PRESENT",IF(LEN(TRIM($T251))=0,"SET_NA",IF(OR(LOWER(TRIM($T251))="na",LOWER(TRIM($T251))="n/a"),"OK","MANUAL_OVERRIDE")))))</f>
        <v/>
      </c>
    </row>
    <row r="252">
      <c r="A252" t="inlineStr">
        <is>
          <t>Cybernet</t>
        </is>
      </c>
      <c r="B252" s="5" t="inlineStr">
        <is>
          <t>No</t>
        </is>
      </c>
      <c r="C252" t="inlineStr">
        <is>
          <t>No</t>
        </is>
      </c>
      <c r="D252">
        <f>IF($B252&lt;&gt;"Yes","",IF($C252="No","Yes",IF($C252="Yes","No","")))</f>
        <v/>
      </c>
      <c r="E252">
        <f>IF($A252="","",IF(OR(AND($V252&lt;&gt;"",LOWER(TRIM($V252))&lt;&gt;"n/a",LOWER(TRIM($V252))&lt;&gt;"na",SUMPRODUCT(--(UPPER(TRIM($V$2:$V$518))=UPPER(TRIM($V252))),--(TRIM($V$2:$V$518)&lt;&gt;""),--(LOWER(TRIM($V$2:$V$518))&lt;&gt;"n/a"),--(LOWER(TRIM($V$2:$V$518))&lt;&gt;"na"))&gt;1),AND($W252&lt;&gt;"",LOWER(TRIM($W252))&lt;&gt;"n/a",LOWER(TRIM($W252))&lt;&gt;"na",SUMPRODUCT(--(UPPER(TRIM($W$2:$W$518))=UPPER(TRIM($W252))),--(TRIM($W$2:$W$518)&lt;&gt;""),--(LOWER(TRIM($W$2:$W$518))&lt;&gt;"n/a"),--(LOWER(TRIM($W$2:$W$518))&lt;&gt;"na"))&gt;1),AND($X252&lt;&gt;"",LOWER(TRIM($X252))&lt;&gt;"n/a",LOWER(TRIM($X252))&lt;&gt;"na",SUMPRODUCT(--(UPPER(TRIM($X$2:$X$518))=UPPER(TRIM($X252))),--(TRIM($X$2:$X$518)&lt;&gt;""),--(LOWER(TRIM($X$2:$X$518))&lt;&gt;"n/a"),--(LOWER(TRIM($X$2:$X$518))&lt;&gt;"na"))&gt;1),AND($Y252&lt;&gt;"",LOWER(TRIM($Y252))&lt;&gt;"n/a",LOWER(TRIM($Y252))&lt;&gt;"na",SUMPRODUCT(--(UPPER(SUBSTITUTE(SUBSTITUTE(TRIM($Y$2:$Y$518),":",""),"-",""))=UPPER(SUBSTITUTE(SUBSTITUTE(TRIM($Y252),":",""),"-",""))),--(TRIM($Y$2:$Y$518)&lt;&gt;""),--(LOWER(TRIM($Y$2:$Y$518))&lt;&gt;"n/a"),--(LOWER(TRIM($Y$2:$Y$518))&lt;&gt;"na"))&gt;1),AND($AB252&lt;&gt;"",LOWER(TRIM($AB252))&lt;&gt;"n/a",LOWER(TRIM($AB252))&lt;&gt;"na",SUMPRODUCT(--(UPPER(TRIM($AB$2:$AB$518))=UPPER(TRIM($AB252))),--(TRIM($AB$2:$AB$518)&lt;&gt;""),--(LOWER(TRIM($AB$2:$AB$518))&lt;&gt;"n/a"),--(LOWER(TRIM($AB$2:$AB$518))&lt;&gt;"na"))&gt;1),AND($AH252&lt;&gt;"",LOWER(TRIM($AH252))&lt;&gt;"n/a",LOWER(TRIM($AH252))&lt;&gt;"na",SUMPRODUCT(--(UPPER(SUBSTITUTE(SUBSTITUTE(TRIM($AH$2:$AH$518),":",""),"-",""))=UPPER(SUBSTITUTE(SUBSTITUTE(TRIM($AH252),":",""),"-",""))),--(TRIM($AH$2:$AH$518)&lt;&gt;""),--(LOWER(TRIM($AH$2:$AH$518))&lt;&gt;"n/a"),--(LOWER(TRIM($AH$2:$AH$518))&lt;&gt;"na"))&gt;1),AND($AP252&lt;&gt;"",LOWER(TRIM($AP252))&lt;&gt;"n/a",LOWER(TRIM($AP252))&lt;&gt;"na",SUMPRODUCT(--(UPPER(TRIM($AP$2:$AP$518))=UPPER(TRIM($AP252))),--(TRIM($AP$2:$AP$518)&lt;&gt;""),--(LOWER(TRIM($AP$2:$AP$518))&lt;&gt;"n/a"),--(LOWER(TRIM($AP$2:$AP$518))&lt;&gt;"na"))&gt;1),AND($AQ252&lt;&gt;"",LOWER(TRIM($AQ252))&lt;&gt;"n/a",LOWER(TRIM($AQ252))&lt;&gt;"na",SUMPRODUCT(--(UPPER(TRIM($AQ$2:$AQ$518))=UPPER(TRIM($AQ252))),--(TRIM($AQ$2:$AQ$518)&lt;&gt;""),--(LOWER(TRIM($AQ$2:$AQ$518))&lt;&gt;"n/a"),--(LOWER(TRIM($AQ$2:$AQ$518))&lt;&gt;"na"))&gt;1)),"Yes","No"))</f>
        <v/>
      </c>
      <c r="F252">
        <f>IF(UPPER(TRIM($B252))&lt;&gt;"YES","", IF(OR(AND($V252&lt;&gt;"", LOWER(TRIM($V252))&lt;&gt;"n/a", LOWER(TRIM($V252))&lt;&gt;"na", SUMPRODUCT(--(UPPER(TRIM($V$2:$V$518))=UPPER(TRIM($V252))), --(UPPER(TRIM($B$2:$B$518))="YES"), --(UPPER(TRIM($G$2:$G$518)&amp;TRIM($I$2:$I$518)&amp;TRIM($J$2:$J$518))&lt;&gt;UPPER(TRIM($G252)&amp;TRIM($I252)&amp;TRIM($J252))))&gt;0), AND($W252&lt;&gt;"", LOWER(TRIM($W252))&lt;&gt;"n/a", LOWER(TRIM($W252))&lt;&gt;"na", SUMPRODUCT(--(UPPER(TRIM($W$2:$W$518))=UPPER(TRIM($W252))), --(UPPER(TRIM($B$2:$B$518))="YES"), --(UPPER(TRIM($G$2:$G$518)&amp;TRIM($I$2:$I$518)&amp;TRIM($J$2:$J$518))&lt;&gt;UPPER(TRIM($G252)&amp;TRIM($I252)&amp;TRIM($J252))))&gt;0), AND($X252&lt;&gt;"", LOWER(TRIM($X252))&lt;&gt;"n/a", LOWER(TRIM($X252))&lt;&gt;"na", SUMPRODUCT(--(UPPER(TRIM($X$2:$X$518))=UPPER(TRIM($X252))), --(UPPER(TRIM($B$2:$B$518))="YES"), --(UPPER(TRIM($G$2:$G$518)&amp;TRIM($I$2:$I$518)&amp;TRIM($J$2:$J$518))&lt;&gt;UPPER(TRIM($G252)&amp;TRIM($I252)&amp;TRIM($J252))))&gt;0), AND($Y252&lt;&gt;"", LOWER(TRIM($Y252))&lt;&gt;"n/a", LOWER(TRIM($Y252))&lt;&gt;"na", SUMPRODUCT(--(UPPER(SUBSTITUTE(SUBSTITUTE(TRIM($Y$2:$Y$518),":",""),"-",""))=UPPER(SUBSTITUTE(SUBSTITUTE(TRIM($Y252),":",""),"-",""))), --(UPPER(TRIM($B$2:$B$518))="YES"), --(UPPER(TRIM($G$2:$G$518)&amp;TRIM($I$2:$I$518)&amp;TRIM($J$2:$J$518))&lt;&gt;UPPER(TRIM($G252)&amp;TRIM($I252)&amp;TRIM($J252))))&gt;0), AND($AB252&lt;&gt;"", LOWER(TRIM($AB252))&lt;&gt;"n/a", LOWER(TRIM($AB252))&lt;&gt;"na", SUMPRODUCT(--(UPPER(TRIM($AB$2:$AB$518))=UPPER(TRIM($AB252))), --(UPPER(TRIM($B$2:$B$518))="YES"), --(UPPER(TRIM($G$2:$G$518)&amp;TRIM($I$2:$I$518)&amp;TRIM($J$2:$J$518))&lt;&gt;UPPER(TRIM($G252)&amp;TRIM($I252)&amp;TRIM($J252))))&gt;0), AND($AH252&lt;&gt;"", LOWER(TRIM($AH252))&lt;&gt;"n/a", LOWER(TRIM($AH252))&lt;&gt;"na", SUMPRODUCT(--(UPPER(SUBSTITUTE(SUBSTITUTE(TRIM($AH$2:$AH$518),":",""),"-",""))=UPPER(SUBSTITUTE(SUBSTITUTE(TRIM($AH252),":",""),"-",""))), --(UPPER(TRIM($B$2:$B$518))="YES"), --(UPPER(TRIM($G$2:$G$518)&amp;TRIM($I$2:$I$518)&amp;TRIM($J$2:$J$518))&lt;&gt;UPPER(TRIM($G252)&amp;TRIM($I252)&amp;TRIM($J252))))&gt;0), AND($AP252&lt;&gt;"", LOWER(TRIM($AP252))&lt;&gt;"n/a", LOWER(TRIM($AP252))&lt;&gt;"na", SUMPRODUCT(--(UPPER(TRIM($AP$2:$AP$518))=UPPER(TRIM($AP252))), --(UPPER(TRIM($B$2:$B$518))="YES"), --(UPPER(TRIM($G$2:$G$518)&amp;TRIM($I$2:$I$518)&amp;TRIM($J$2:$J$518))&lt;&gt;UPPER(TRIM($G252)&amp;TRIM($I252)&amp;TRIM($J252))))&gt;0), AND($AQ252&lt;&gt;"", LOWER(TRIM($AQ252))&lt;&gt;"n/a", LOWER(TRIM($AQ252))&lt;&gt;"na", SUMPRODUCT(--(UPPER(TRIM($AQ$2:$AQ$518))=UPPER(TRIM($AQ252))), --(UPPER(TRIM($B$2:$B$518))="YES"), --(UPPER(TRIM($G$2:$G$518)&amp;TRIM($I$2:$I$518)&amp;TRIM($J$2:$J$518))&lt;&gt;UPPER(TRIM($G252)&amp;TRIM($I252)&amp;TRIM($J252))))&gt;0)), "Yes", "No"))</f>
        <v/>
      </c>
      <c r="G252" t="inlineStr">
        <is>
          <t>LIJ Main / LIJ OR</t>
        </is>
      </c>
      <c r="H252" t="inlineStr">
        <is>
          <t>LIJ - OR</t>
        </is>
      </c>
      <c r="M252" t="inlineStr">
        <is>
          <t>OR iPro Cybernet Workstation</t>
        </is>
      </c>
      <c r="N252" t="inlineStr">
        <is>
          <t>Yes</t>
        </is>
      </c>
      <c r="O252" t="inlineStr">
        <is>
          <t>No</t>
        </is>
      </c>
      <c r="P252" t="inlineStr">
        <is>
          <t>No</t>
        </is>
      </c>
      <c r="V252" t="inlineStr">
        <is>
          <t>WNH270OPR444</t>
        </is>
      </c>
      <c r="CA252" t="inlineStr">
        <is>
          <t>iPro
Epic Satellite
ALLSCRIPTS
EPIC BCA</t>
        </is>
      </c>
      <c r="CD252">
        <f>IF($Y252="","",IF((IF(AND($BR252&lt;&gt;"Yes",$BR252&lt;&gt;"N/A"),"Power Cable, ","")&amp;IF(AND($BS252&lt;&gt;"Yes",$BS252&lt;&gt;"N/A"),"Battery, ","")&amp;IF(AND($AD252&lt;&gt;"Yes",$AD252&lt;&gt;"N/A"),"Firmware Download, ","")&amp;IF(AND(OR($AD252="Yes",$AD252="N/A"),$AE252&lt;&gt;"Yes",$AE252&lt;&gt;"N/A"),"Firmware Install, ","")&amp;IF(AND($CB252&lt;&gt;"Yes",$CB252&lt;&gt;"N/A"),"Device ID, ","")&amp;IF(AND($CC252&lt;&gt;"Yes",$CC252&lt;&gt;"N/A"),"Epic Beans Relay, ",""))="","",LEFT(IF(AND($BR252&lt;&gt;"Yes",$BR252&lt;&gt;"N/A"),"Power Cable, ","")&amp;IF(AND($BS252&lt;&gt;"Yes",$BS252&lt;&gt;"N/A"),"Battery, ","")&amp;IF(AND($AD252&lt;&gt;"Yes",$AD252&lt;&gt;"N/A"),"Firmware Download, ","")&amp;IF(AND(OR($AD252="Yes",$AD252="N/A"),$AE252&lt;&gt;"Yes",$AE252&lt;&gt;"N/A"),"Firmware Install, ","")&amp;IF(AND($CB252&lt;&gt;"Yes",$CB252&lt;&gt;"N/A"),"Device ID, ","")&amp;IF(AND($CC252&lt;&gt;"Yes",$CC252&lt;&gt;"N/A"),"Epic Beans Relay, ",""),LEN(IF(AND($BR252&lt;&gt;"Yes",$BR252&lt;&gt;"N/A"),"Power Cable, ","")&amp;IF(AND($BS252&lt;&gt;"Yes",$BS252&lt;&gt;"N/A"),"Battery, ","")&amp;IF(AND($AD252&lt;&gt;"Yes",$AD252&lt;&gt;"N/A"),"Firmware Download, ","")&amp;IF(AND(OR($AD252="Yes",$AD252="N/A"),$AE252&lt;&gt;"Yes",$AE252&lt;&gt;"N/A"),"Firmware Install, ","")&amp;IF(AND($CB252&lt;&gt;"Yes",$CB252&lt;&gt;"N/A"),"Device ID, ","")&amp;IF(AND($CC252&lt;&gt;"Yes",$CC252&lt;&gt;"N/A"),"Epic Beans Relay, ",""))-2)))</f>
        <v/>
      </c>
      <c r="CE252">
        <f>IF($Y252="","",IF($CD252="","Yes","Blocked"))</f>
        <v/>
      </c>
      <c r="CF252" t="inlineStr">
        <is>
          <t>Yes</t>
        </is>
      </c>
      <c r="CG252" t="inlineStr">
        <is>
          <t>Yes</t>
        </is>
      </c>
      <c r="CH252" t="inlineStr">
        <is>
          <t>Yes</t>
        </is>
      </c>
      <c r="CI252" t="inlineStr">
        <is>
          <t>Yes</t>
        </is>
      </c>
      <c r="CJ252" t="inlineStr">
        <is>
          <t>Yes</t>
        </is>
      </c>
      <c r="CK252" t="n">
        <v>19200</v>
      </c>
      <c r="CP252">
        <f>IF($CO252="","",IFERROR(VLOOKUP($CO252,'01_Warehouse_Ledger'!$A:$N,4,FALSE),""))</f>
        <v/>
      </c>
      <c r="CQ252">
        <f>IF($CO252="","",IFERROR(VLOOKUP($CO252,'01_Warehouse_Ledger'!$A:$N,5,FALSE),""))</f>
        <v/>
      </c>
      <c r="CR252">
        <f>IF($CO252="","",IFERROR(VLOOKUP($CO252,'01_Warehouse_Ledger'!$A:$N,13,FALSE),""))</f>
        <v/>
      </c>
      <c r="CW252">
        <f>IF($S252="","",IF(UPPER(TRIM($S252))&lt;&gt;"PASS","",IF(LEN(TRIM($BY252))&gt;0,"NOTES_PRESENT",IF(LEN(TRIM($T252))=0,"SET_NA",IF(OR(LOWER(TRIM($T252))="na",LOWER(TRIM($T252))="n/a"),"OK","MANUAL_OVERRIDE")))))</f>
        <v/>
      </c>
    </row>
    <row r="253">
      <c r="A253" t="inlineStr">
        <is>
          <t>Cybernet</t>
        </is>
      </c>
      <c r="B253" s="5" t="inlineStr">
        <is>
          <t>No</t>
        </is>
      </c>
      <c r="C253" t="inlineStr">
        <is>
          <t>No</t>
        </is>
      </c>
      <c r="D253">
        <f>IF($B253&lt;&gt;"Yes","",IF($C253="No","Yes",IF($C253="Yes","No","")))</f>
        <v/>
      </c>
      <c r="E253">
        <f>IF($A253="","",IF(OR(AND($V253&lt;&gt;"",LOWER(TRIM($V253))&lt;&gt;"n/a",LOWER(TRIM($V253))&lt;&gt;"na",SUMPRODUCT(--(UPPER(TRIM($V$2:$V$518))=UPPER(TRIM($V253))),--(TRIM($V$2:$V$518)&lt;&gt;""),--(LOWER(TRIM($V$2:$V$518))&lt;&gt;"n/a"),--(LOWER(TRIM($V$2:$V$518))&lt;&gt;"na"))&gt;1),AND($W253&lt;&gt;"",LOWER(TRIM($W253))&lt;&gt;"n/a",LOWER(TRIM($W253))&lt;&gt;"na",SUMPRODUCT(--(UPPER(TRIM($W$2:$W$518))=UPPER(TRIM($W253))),--(TRIM($W$2:$W$518)&lt;&gt;""),--(LOWER(TRIM($W$2:$W$518))&lt;&gt;"n/a"),--(LOWER(TRIM($W$2:$W$518))&lt;&gt;"na"))&gt;1),AND($X253&lt;&gt;"",LOWER(TRIM($X253))&lt;&gt;"n/a",LOWER(TRIM($X253))&lt;&gt;"na",SUMPRODUCT(--(UPPER(TRIM($X$2:$X$518))=UPPER(TRIM($X253))),--(TRIM($X$2:$X$518)&lt;&gt;""),--(LOWER(TRIM($X$2:$X$518))&lt;&gt;"n/a"),--(LOWER(TRIM($X$2:$X$518))&lt;&gt;"na"))&gt;1),AND($Y253&lt;&gt;"",LOWER(TRIM($Y253))&lt;&gt;"n/a",LOWER(TRIM($Y253))&lt;&gt;"na",SUMPRODUCT(--(UPPER(SUBSTITUTE(SUBSTITUTE(TRIM($Y$2:$Y$518),":",""),"-",""))=UPPER(SUBSTITUTE(SUBSTITUTE(TRIM($Y253),":",""),"-",""))),--(TRIM($Y$2:$Y$518)&lt;&gt;""),--(LOWER(TRIM($Y$2:$Y$518))&lt;&gt;"n/a"),--(LOWER(TRIM($Y$2:$Y$518))&lt;&gt;"na"))&gt;1),AND($AB253&lt;&gt;"",LOWER(TRIM($AB253))&lt;&gt;"n/a",LOWER(TRIM($AB253))&lt;&gt;"na",SUMPRODUCT(--(UPPER(TRIM($AB$2:$AB$518))=UPPER(TRIM($AB253))),--(TRIM($AB$2:$AB$518)&lt;&gt;""),--(LOWER(TRIM($AB$2:$AB$518))&lt;&gt;"n/a"),--(LOWER(TRIM($AB$2:$AB$518))&lt;&gt;"na"))&gt;1),AND($AH253&lt;&gt;"",LOWER(TRIM($AH253))&lt;&gt;"n/a",LOWER(TRIM($AH253))&lt;&gt;"na",SUMPRODUCT(--(UPPER(SUBSTITUTE(SUBSTITUTE(TRIM($AH$2:$AH$518),":",""),"-",""))=UPPER(SUBSTITUTE(SUBSTITUTE(TRIM($AH253),":",""),"-",""))),--(TRIM($AH$2:$AH$518)&lt;&gt;""),--(LOWER(TRIM($AH$2:$AH$518))&lt;&gt;"n/a"),--(LOWER(TRIM($AH$2:$AH$518))&lt;&gt;"na"))&gt;1),AND($AP253&lt;&gt;"",LOWER(TRIM($AP253))&lt;&gt;"n/a",LOWER(TRIM($AP253))&lt;&gt;"na",SUMPRODUCT(--(UPPER(TRIM($AP$2:$AP$518))=UPPER(TRIM($AP253))),--(TRIM($AP$2:$AP$518)&lt;&gt;""),--(LOWER(TRIM($AP$2:$AP$518))&lt;&gt;"n/a"),--(LOWER(TRIM($AP$2:$AP$518))&lt;&gt;"na"))&gt;1),AND($AQ253&lt;&gt;"",LOWER(TRIM($AQ253))&lt;&gt;"n/a",LOWER(TRIM($AQ253))&lt;&gt;"na",SUMPRODUCT(--(UPPER(TRIM($AQ$2:$AQ$518))=UPPER(TRIM($AQ253))),--(TRIM($AQ$2:$AQ$518)&lt;&gt;""),--(LOWER(TRIM($AQ$2:$AQ$518))&lt;&gt;"n/a"),--(LOWER(TRIM($AQ$2:$AQ$518))&lt;&gt;"na"))&gt;1)),"Yes","No"))</f>
        <v/>
      </c>
      <c r="F253">
        <f>IF(UPPER(TRIM($B253))&lt;&gt;"YES","", IF(OR(AND($V253&lt;&gt;"", LOWER(TRIM($V253))&lt;&gt;"n/a", LOWER(TRIM($V253))&lt;&gt;"na", SUMPRODUCT(--(UPPER(TRIM($V$2:$V$518))=UPPER(TRIM($V253))), --(UPPER(TRIM($B$2:$B$518))="YES"), --(UPPER(TRIM($G$2:$G$518)&amp;TRIM($I$2:$I$518)&amp;TRIM($J$2:$J$518))&lt;&gt;UPPER(TRIM($G253)&amp;TRIM($I253)&amp;TRIM($J253))))&gt;0), AND($W253&lt;&gt;"", LOWER(TRIM($W253))&lt;&gt;"n/a", LOWER(TRIM($W253))&lt;&gt;"na", SUMPRODUCT(--(UPPER(TRIM($W$2:$W$518))=UPPER(TRIM($W253))), --(UPPER(TRIM($B$2:$B$518))="YES"), --(UPPER(TRIM($G$2:$G$518)&amp;TRIM($I$2:$I$518)&amp;TRIM($J$2:$J$518))&lt;&gt;UPPER(TRIM($G253)&amp;TRIM($I253)&amp;TRIM($J253))))&gt;0), AND($X253&lt;&gt;"", LOWER(TRIM($X253))&lt;&gt;"n/a", LOWER(TRIM($X253))&lt;&gt;"na", SUMPRODUCT(--(UPPER(TRIM($X$2:$X$518))=UPPER(TRIM($X253))), --(UPPER(TRIM($B$2:$B$518))="YES"), --(UPPER(TRIM($G$2:$G$518)&amp;TRIM($I$2:$I$518)&amp;TRIM($J$2:$J$518))&lt;&gt;UPPER(TRIM($G253)&amp;TRIM($I253)&amp;TRIM($J253))))&gt;0), AND($Y253&lt;&gt;"", LOWER(TRIM($Y253))&lt;&gt;"n/a", LOWER(TRIM($Y253))&lt;&gt;"na", SUMPRODUCT(--(UPPER(SUBSTITUTE(SUBSTITUTE(TRIM($Y$2:$Y$518),":",""),"-",""))=UPPER(SUBSTITUTE(SUBSTITUTE(TRIM($Y253),":",""),"-",""))), --(UPPER(TRIM($B$2:$B$518))="YES"), --(UPPER(TRIM($G$2:$G$518)&amp;TRIM($I$2:$I$518)&amp;TRIM($J$2:$J$518))&lt;&gt;UPPER(TRIM($G253)&amp;TRIM($I253)&amp;TRIM($J253))))&gt;0), AND($AB253&lt;&gt;"", LOWER(TRIM($AB253))&lt;&gt;"n/a", LOWER(TRIM($AB253))&lt;&gt;"na", SUMPRODUCT(--(UPPER(TRIM($AB$2:$AB$518))=UPPER(TRIM($AB253))), --(UPPER(TRIM($B$2:$B$518))="YES"), --(UPPER(TRIM($G$2:$G$518)&amp;TRIM($I$2:$I$518)&amp;TRIM($J$2:$J$518))&lt;&gt;UPPER(TRIM($G253)&amp;TRIM($I253)&amp;TRIM($J253))))&gt;0), AND($AH253&lt;&gt;"", LOWER(TRIM($AH253))&lt;&gt;"n/a", LOWER(TRIM($AH253))&lt;&gt;"na", SUMPRODUCT(--(UPPER(SUBSTITUTE(SUBSTITUTE(TRIM($AH$2:$AH$518),":",""),"-",""))=UPPER(SUBSTITUTE(SUBSTITUTE(TRIM($AH253),":",""),"-",""))), --(UPPER(TRIM($B$2:$B$518))="YES"), --(UPPER(TRIM($G$2:$G$518)&amp;TRIM($I$2:$I$518)&amp;TRIM($J$2:$J$518))&lt;&gt;UPPER(TRIM($G253)&amp;TRIM($I253)&amp;TRIM($J253))))&gt;0), AND($AP253&lt;&gt;"", LOWER(TRIM($AP253))&lt;&gt;"n/a", LOWER(TRIM($AP253))&lt;&gt;"na", SUMPRODUCT(--(UPPER(TRIM($AP$2:$AP$518))=UPPER(TRIM($AP253))), --(UPPER(TRIM($B$2:$B$518))="YES"), --(UPPER(TRIM($G$2:$G$518)&amp;TRIM($I$2:$I$518)&amp;TRIM($J$2:$J$518))&lt;&gt;UPPER(TRIM($G253)&amp;TRIM($I253)&amp;TRIM($J253))))&gt;0), AND($AQ253&lt;&gt;"", LOWER(TRIM($AQ253))&lt;&gt;"n/a", LOWER(TRIM($AQ253))&lt;&gt;"na", SUMPRODUCT(--(UPPER(TRIM($AQ$2:$AQ$518))=UPPER(TRIM($AQ253))), --(UPPER(TRIM($B$2:$B$518))="YES"), --(UPPER(TRIM($G$2:$G$518)&amp;TRIM($I$2:$I$518)&amp;TRIM($J$2:$J$518))&lt;&gt;UPPER(TRIM($G253)&amp;TRIM($I253)&amp;TRIM($J253))))&gt;0)), "Yes", "No"))</f>
        <v/>
      </c>
      <c r="G253" t="inlineStr">
        <is>
          <t>LIJ Main / LIJ OR</t>
        </is>
      </c>
      <c r="H253" t="inlineStr">
        <is>
          <t>LIJ - OR</t>
        </is>
      </c>
      <c r="M253" t="inlineStr">
        <is>
          <t>OR iPro Cybernet Workstation</t>
        </is>
      </c>
      <c r="N253" t="inlineStr">
        <is>
          <t>Yes</t>
        </is>
      </c>
      <c r="O253" t="inlineStr">
        <is>
          <t>No</t>
        </is>
      </c>
      <c r="P253" t="inlineStr">
        <is>
          <t>No</t>
        </is>
      </c>
      <c r="V253" t="inlineStr">
        <is>
          <t>WNH270OPR445</t>
        </is>
      </c>
      <c r="CA253" t="inlineStr">
        <is>
          <t>iPro
Epic Satellite
ALLSCRIPTS
EPIC BCA</t>
        </is>
      </c>
      <c r="CD253">
        <f>IF($Y253="","",IF((IF(AND($BR253&lt;&gt;"Yes",$BR253&lt;&gt;"N/A"),"Power Cable, ","")&amp;IF(AND($BS253&lt;&gt;"Yes",$BS253&lt;&gt;"N/A"),"Battery, ","")&amp;IF(AND($AD253&lt;&gt;"Yes",$AD253&lt;&gt;"N/A"),"Firmware Download, ","")&amp;IF(AND(OR($AD253="Yes",$AD253="N/A"),$AE253&lt;&gt;"Yes",$AE253&lt;&gt;"N/A"),"Firmware Install, ","")&amp;IF(AND($CB253&lt;&gt;"Yes",$CB253&lt;&gt;"N/A"),"Device ID, ","")&amp;IF(AND($CC253&lt;&gt;"Yes",$CC253&lt;&gt;"N/A"),"Epic Beans Relay, ",""))="","",LEFT(IF(AND($BR253&lt;&gt;"Yes",$BR253&lt;&gt;"N/A"),"Power Cable, ","")&amp;IF(AND($BS253&lt;&gt;"Yes",$BS253&lt;&gt;"N/A"),"Battery, ","")&amp;IF(AND($AD253&lt;&gt;"Yes",$AD253&lt;&gt;"N/A"),"Firmware Download, ","")&amp;IF(AND(OR($AD253="Yes",$AD253="N/A"),$AE253&lt;&gt;"Yes",$AE253&lt;&gt;"N/A"),"Firmware Install, ","")&amp;IF(AND($CB253&lt;&gt;"Yes",$CB253&lt;&gt;"N/A"),"Device ID, ","")&amp;IF(AND($CC253&lt;&gt;"Yes",$CC253&lt;&gt;"N/A"),"Epic Beans Relay, ",""),LEN(IF(AND($BR253&lt;&gt;"Yes",$BR253&lt;&gt;"N/A"),"Power Cable, ","")&amp;IF(AND($BS253&lt;&gt;"Yes",$BS253&lt;&gt;"N/A"),"Battery, ","")&amp;IF(AND($AD253&lt;&gt;"Yes",$AD253&lt;&gt;"N/A"),"Firmware Download, ","")&amp;IF(AND(OR($AD253="Yes",$AD253="N/A"),$AE253&lt;&gt;"Yes",$AE253&lt;&gt;"N/A"),"Firmware Install, ","")&amp;IF(AND($CB253&lt;&gt;"Yes",$CB253&lt;&gt;"N/A"),"Device ID, ","")&amp;IF(AND($CC253&lt;&gt;"Yes",$CC253&lt;&gt;"N/A"),"Epic Beans Relay, ",""))-2)))</f>
        <v/>
      </c>
      <c r="CE253">
        <f>IF($Y253="","",IF($CD253="","Yes","Blocked"))</f>
        <v/>
      </c>
      <c r="CF253" t="inlineStr">
        <is>
          <t>Yes</t>
        </is>
      </c>
      <c r="CG253" t="inlineStr">
        <is>
          <t>Yes</t>
        </is>
      </c>
      <c r="CH253" t="inlineStr">
        <is>
          <t>Yes</t>
        </is>
      </c>
      <c r="CI253" t="inlineStr">
        <is>
          <t>Yes</t>
        </is>
      </c>
      <c r="CJ253" t="inlineStr">
        <is>
          <t>Yes</t>
        </is>
      </c>
      <c r="CK253" t="n">
        <v>19200</v>
      </c>
      <c r="CP253">
        <f>IF($CO253="","",IFERROR(VLOOKUP($CO253,'01_Warehouse_Ledger'!$A:$N,4,FALSE),""))</f>
        <v/>
      </c>
      <c r="CQ253">
        <f>IF($CO253="","",IFERROR(VLOOKUP($CO253,'01_Warehouse_Ledger'!$A:$N,5,FALSE),""))</f>
        <v/>
      </c>
      <c r="CR253">
        <f>IF($CO253="","",IFERROR(VLOOKUP($CO253,'01_Warehouse_Ledger'!$A:$N,13,FALSE),""))</f>
        <v/>
      </c>
      <c r="CW253">
        <f>IF($S253="","",IF(UPPER(TRIM($S253))&lt;&gt;"PASS","",IF(LEN(TRIM($BY253))&gt;0,"NOTES_PRESENT",IF(LEN(TRIM($T253))=0,"SET_NA",IF(OR(LOWER(TRIM($T253))="na",LOWER(TRIM($T253))="n/a"),"OK","MANUAL_OVERRIDE")))))</f>
        <v/>
      </c>
    </row>
    <row r="254">
      <c r="A254" t="inlineStr">
        <is>
          <t>Cybernet</t>
        </is>
      </c>
      <c r="B254" s="5" t="inlineStr">
        <is>
          <t>No</t>
        </is>
      </c>
      <c r="C254" t="inlineStr">
        <is>
          <t>No</t>
        </is>
      </c>
      <c r="D254">
        <f>IF($B254&lt;&gt;"Yes","",IF($C254="No","Yes",IF($C254="Yes","No","")))</f>
        <v/>
      </c>
      <c r="E254">
        <f>IF($A254="","",IF(OR(AND($V254&lt;&gt;"",LOWER(TRIM($V254))&lt;&gt;"n/a",LOWER(TRIM($V254))&lt;&gt;"na",SUMPRODUCT(--(UPPER(TRIM($V$2:$V$518))=UPPER(TRIM($V254))),--(TRIM($V$2:$V$518)&lt;&gt;""),--(LOWER(TRIM($V$2:$V$518))&lt;&gt;"n/a"),--(LOWER(TRIM($V$2:$V$518))&lt;&gt;"na"))&gt;1),AND($W254&lt;&gt;"",LOWER(TRIM($W254))&lt;&gt;"n/a",LOWER(TRIM($W254))&lt;&gt;"na",SUMPRODUCT(--(UPPER(TRIM($W$2:$W$518))=UPPER(TRIM($W254))),--(TRIM($W$2:$W$518)&lt;&gt;""),--(LOWER(TRIM($W$2:$W$518))&lt;&gt;"n/a"),--(LOWER(TRIM($W$2:$W$518))&lt;&gt;"na"))&gt;1),AND($X254&lt;&gt;"",LOWER(TRIM($X254))&lt;&gt;"n/a",LOWER(TRIM($X254))&lt;&gt;"na",SUMPRODUCT(--(UPPER(TRIM($X$2:$X$518))=UPPER(TRIM($X254))),--(TRIM($X$2:$X$518)&lt;&gt;""),--(LOWER(TRIM($X$2:$X$518))&lt;&gt;"n/a"),--(LOWER(TRIM($X$2:$X$518))&lt;&gt;"na"))&gt;1),AND($Y254&lt;&gt;"",LOWER(TRIM($Y254))&lt;&gt;"n/a",LOWER(TRIM($Y254))&lt;&gt;"na",SUMPRODUCT(--(UPPER(SUBSTITUTE(SUBSTITUTE(TRIM($Y$2:$Y$518),":",""),"-",""))=UPPER(SUBSTITUTE(SUBSTITUTE(TRIM($Y254),":",""),"-",""))),--(TRIM($Y$2:$Y$518)&lt;&gt;""),--(LOWER(TRIM($Y$2:$Y$518))&lt;&gt;"n/a"),--(LOWER(TRIM($Y$2:$Y$518))&lt;&gt;"na"))&gt;1),AND($AB254&lt;&gt;"",LOWER(TRIM($AB254))&lt;&gt;"n/a",LOWER(TRIM($AB254))&lt;&gt;"na",SUMPRODUCT(--(UPPER(TRIM($AB$2:$AB$518))=UPPER(TRIM($AB254))),--(TRIM($AB$2:$AB$518)&lt;&gt;""),--(LOWER(TRIM($AB$2:$AB$518))&lt;&gt;"n/a"),--(LOWER(TRIM($AB$2:$AB$518))&lt;&gt;"na"))&gt;1),AND($AH254&lt;&gt;"",LOWER(TRIM($AH254))&lt;&gt;"n/a",LOWER(TRIM($AH254))&lt;&gt;"na",SUMPRODUCT(--(UPPER(SUBSTITUTE(SUBSTITUTE(TRIM($AH$2:$AH$518),":",""),"-",""))=UPPER(SUBSTITUTE(SUBSTITUTE(TRIM($AH254),":",""),"-",""))),--(TRIM($AH$2:$AH$518)&lt;&gt;""),--(LOWER(TRIM($AH$2:$AH$518))&lt;&gt;"n/a"),--(LOWER(TRIM($AH$2:$AH$518))&lt;&gt;"na"))&gt;1),AND($AP254&lt;&gt;"",LOWER(TRIM($AP254))&lt;&gt;"n/a",LOWER(TRIM($AP254))&lt;&gt;"na",SUMPRODUCT(--(UPPER(TRIM($AP$2:$AP$518))=UPPER(TRIM($AP254))),--(TRIM($AP$2:$AP$518)&lt;&gt;""),--(LOWER(TRIM($AP$2:$AP$518))&lt;&gt;"n/a"),--(LOWER(TRIM($AP$2:$AP$518))&lt;&gt;"na"))&gt;1),AND($AQ254&lt;&gt;"",LOWER(TRIM($AQ254))&lt;&gt;"n/a",LOWER(TRIM($AQ254))&lt;&gt;"na",SUMPRODUCT(--(UPPER(TRIM($AQ$2:$AQ$518))=UPPER(TRIM($AQ254))),--(TRIM($AQ$2:$AQ$518)&lt;&gt;""),--(LOWER(TRIM($AQ$2:$AQ$518))&lt;&gt;"n/a"),--(LOWER(TRIM($AQ$2:$AQ$518))&lt;&gt;"na"))&gt;1)),"Yes","No"))</f>
        <v/>
      </c>
      <c r="F254">
        <f>IF(UPPER(TRIM($B254))&lt;&gt;"YES","", IF(OR(AND($V254&lt;&gt;"", LOWER(TRIM($V254))&lt;&gt;"n/a", LOWER(TRIM($V254))&lt;&gt;"na", SUMPRODUCT(--(UPPER(TRIM($V$2:$V$518))=UPPER(TRIM($V254))), --(UPPER(TRIM($B$2:$B$518))="YES"), --(UPPER(TRIM($G$2:$G$518)&amp;TRIM($I$2:$I$518)&amp;TRIM($J$2:$J$518))&lt;&gt;UPPER(TRIM($G254)&amp;TRIM($I254)&amp;TRIM($J254))))&gt;0), AND($W254&lt;&gt;"", LOWER(TRIM($W254))&lt;&gt;"n/a", LOWER(TRIM($W254))&lt;&gt;"na", SUMPRODUCT(--(UPPER(TRIM($W$2:$W$518))=UPPER(TRIM($W254))), --(UPPER(TRIM($B$2:$B$518))="YES"), --(UPPER(TRIM($G$2:$G$518)&amp;TRIM($I$2:$I$518)&amp;TRIM($J$2:$J$518))&lt;&gt;UPPER(TRIM($G254)&amp;TRIM($I254)&amp;TRIM($J254))))&gt;0), AND($X254&lt;&gt;"", LOWER(TRIM($X254))&lt;&gt;"n/a", LOWER(TRIM($X254))&lt;&gt;"na", SUMPRODUCT(--(UPPER(TRIM($X$2:$X$518))=UPPER(TRIM($X254))), --(UPPER(TRIM($B$2:$B$518))="YES"), --(UPPER(TRIM($G$2:$G$518)&amp;TRIM($I$2:$I$518)&amp;TRIM($J$2:$J$518))&lt;&gt;UPPER(TRIM($G254)&amp;TRIM($I254)&amp;TRIM($J254))))&gt;0), AND($Y254&lt;&gt;"", LOWER(TRIM($Y254))&lt;&gt;"n/a", LOWER(TRIM($Y254))&lt;&gt;"na", SUMPRODUCT(--(UPPER(SUBSTITUTE(SUBSTITUTE(TRIM($Y$2:$Y$518),":",""),"-",""))=UPPER(SUBSTITUTE(SUBSTITUTE(TRIM($Y254),":",""),"-",""))), --(UPPER(TRIM($B$2:$B$518))="YES"), --(UPPER(TRIM($G$2:$G$518)&amp;TRIM($I$2:$I$518)&amp;TRIM($J$2:$J$518))&lt;&gt;UPPER(TRIM($G254)&amp;TRIM($I254)&amp;TRIM($J254))))&gt;0), AND($AB254&lt;&gt;"", LOWER(TRIM($AB254))&lt;&gt;"n/a", LOWER(TRIM($AB254))&lt;&gt;"na", SUMPRODUCT(--(UPPER(TRIM($AB$2:$AB$518))=UPPER(TRIM($AB254))), --(UPPER(TRIM($B$2:$B$518))="YES"), --(UPPER(TRIM($G$2:$G$518)&amp;TRIM($I$2:$I$518)&amp;TRIM($J$2:$J$518))&lt;&gt;UPPER(TRIM($G254)&amp;TRIM($I254)&amp;TRIM($J254))))&gt;0), AND($AH254&lt;&gt;"", LOWER(TRIM($AH254))&lt;&gt;"n/a", LOWER(TRIM($AH254))&lt;&gt;"na", SUMPRODUCT(--(UPPER(SUBSTITUTE(SUBSTITUTE(TRIM($AH$2:$AH$518),":",""),"-",""))=UPPER(SUBSTITUTE(SUBSTITUTE(TRIM($AH254),":",""),"-",""))), --(UPPER(TRIM($B$2:$B$518))="YES"), --(UPPER(TRIM($G$2:$G$518)&amp;TRIM($I$2:$I$518)&amp;TRIM($J$2:$J$518))&lt;&gt;UPPER(TRIM($G254)&amp;TRIM($I254)&amp;TRIM($J254))))&gt;0), AND($AP254&lt;&gt;"", LOWER(TRIM($AP254))&lt;&gt;"n/a", LOWER(TRIM($AP254))&lt;&gt;"na", SUMPRODUCT(--(UPPER(TRIM($AP$2:$AP$518))=UPPER(TRIM($AP254))), --(UPPER(TRIM($B$2:$B$518))="YES"), --(UPPER(TRIM($G$2:$G$518)&amp;TRIM($I$2:$I$518)&amp;TRIM($J$2:$J$518))&lt;&gt;UPPER(TRIM($G254)&amp;TRIM($I254)&amp;TRIM($J254))))&gt;0), AND($AQ254&lt;&gt;"", LOWER(TRIM($AQ254))&lt;&gt;"n/a", LOWER(TRIM($AQ254))&lt;&gt;"na", SUMPRODUCT(--(UPPER(TRIM($AQ$2:$AQ$518))=UPPER(TRIM($AQ254))), --(UPPER(TRIM($B$2:$B$518))="YES"), --(UPPER(TRIM($G$2:$G$518)&amp;TRIM($I$2:$I$518)&amp;TRIM($J$2:$J$518))&lt;&gt;UPPER(TRIM($G254)&amp;TRIM($I254)&amp;TRIM($J254))))&gt;0)), "Yes", "No"))</f>
        <v/>
      </c>
      <c r="G254" t="inlineStr">
        <is>
          <t>LIJ Main / LIJ OR</t>
        </is>
      </c>
      <c r="H254" t="inlineStr">
        <is>
          <t>LIJ - OR</t>
        </is>
      </c>
      <c r="M254" t="inlineStr">
        <is>
          <t>OR iPro Cybernet Workstation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V254" t="inlineStr">
        <is>
          <t>WNH270OPR446</t>
        </is>
      </c>
      <c r="CA254" t="inlineStr">
        <is>
          <t>iPro
Epic Satellite
ALLSCRIPTS
EPIC BCA</t>
        </is>
      </c>
      <c r="CD254">
        <f>IF($Y254="","",IF((IF(AND($BR254&lt;&gt;"Yes",$BR254&lt;&gt;"N/A"),"Power Cable, ","")&amp;IF(AND($BS254&lt;&gt;"Yes",$BS254&lt;&gt;"N/A"),"Battery, ","")&amp;IF(AND($AD254&lt;&gt;"Yes",$AD254&lt;&gt;"N/A"),"Firmware Download, ","")&amp;IF(AND(OR($AD254="Yes",$AD254="N/A"),$AE254&lt;&gt;"Yes",$AE254&lt;&gt;"N/A"),"Firmware Install, ","")&amp;IF(AND($CB254&lt;&gt;"Yes",$CB254&lt;&gt;"N/A"),"Device ID, ","")&amp;IF(AND($CC254&lt;&gt;"Yes",$CC254&lt;&gt;"N/A"),"Epic Beans Relay, ",""))="","",LEFT(IF(AND($BR254&lt;&gt;"Yes",$BR254&lt;&gt;"N/A"),"Power Cable, ","")&amp;IF(AND($BS254&lt;&gt;"Yes",$BS254&lt;&gt;"N/A"),"Battery, ","")&amp;IF(AND($AD254&lt;&gt;"Yes",$AD254&lt;&gt;"N/A"),"Firmware Download, ","")&amp;IF(AND(OR($AD254="Yes",$AD254="N/A"),$AE254&lt;&gt;"Yes",$AE254&lt;&gt;"N/A"),"Firmware Install, ","")&amp;IF(AND($CB254&lt;&gt;"Yes",$CB254&lt;&gt;"N/A"),"Device ID, ","")&amp;IF(AND($CC254&lt;&gt;"Yes",$CC254&lt;&gt;"N/A"),"Epic Beans Relay, ",""),LEN(IF(AND($BR254&lt;&gt;"Yes",$BR254&lt;&gt;"N/A"),"Power Cable, ","")&amp;IF(AND($BS254&lt;&gt;"Yes",$BS254&lt;&gt;"N/A"),"Battery, ","")&amp;IF(AND($AD254&lt;&gt;"Yes",$AD254&lt;&gt;"N/A"),"Firmware Download, ","")&amp;IF(AND(OR($AD254="Yes",$AD254="N/A"),$AE254&lt;&gt;"Yes",$AE254&lt;&gt;"N/A"),"Firmware Install, ","")&amp;IF(AND($CB254&lt;&gt;"Yes",$CB254&lt;&gt;"N/A"),"Device ID, ","")&amp;IF(AND($CC254&lt;&gt;"Yes",$CC254&lt;&gt;"N/A"),"Epic Beans Relay, ",""))-2)))</f>
        <v/>
      </c>
      <c r="CE254">
        <f>IF($Y254="","",IF($CD254="","Yes","Blocked"))</f>
        <v/>
      </c>
      <c r="CF254" t="inlineStr">
        <is>
          <t>Yes</t>
        </is>
      </c>
      <c r="CG254" t="inlineStr">
        <is>
          <t>Yes</t>
        </is>
      </c>
      <c r="CH254" t="inlineStr">
        <is>
          <t>Yes</t>
        </is>
      </c>
      <c r="CI254" t="inlineStr">
        <is>
          <t>Yes</t>
        </is>
      </c>
      <c r="CJ254" t="inlineStr">
        <is>
          <t>Yes</t>
        </is>
      </c>
      <c r="CK254" t="n">
        <v>19200</v>
      </c>
      <c r="CP254">
        <f>IF($CO254="","",IFERROR(VLOOKUP($CO254,'01_Warehouse_Ledger'!$A:$N,4,FALSE),""))</f>
        <v/>
      </c>
      <c r="CQ254">
        <f>IF($CO254="","",IFERROR(VLOOKUP($CO254,'01_Warehouse_Ledger'!$A:$N,5,FALSE),""))</f>
        <v/>
      </c>
      <c r="CR254">
        <f>IF($CO254="","",IFERROR(VLOOKUP($CO254,'01_Warehouse_Ledger'!$A:$N,13,FALSE),""))</f>
        <v/>
      </c>
      <c r="CW254">
        <f>IF($S254="","",IF(UPPER(TRIM($S254))&lt;&gt;"PASS","",IF(LEN(TRIM($BY254))&gt;0,"NOTES_PRESENT",IF(LEN(TRIM($T254))=0,"SET_NA",IF(OR(LOWER(TRIM($T254))="na",LOWER(TRIM($T254))="n/a"),"OK","MANUAL_OVERRIDE")))))</f>
        <v/>
      </c>
    </row>
    <row r="255">
      <c r="A255" t="inlineStr">
        <is>
          <t>Cybernet</t>
        </is>
      </c>
      <c r="B255" s="5" t="inlineStr">
        <is>
          <t>No</t>
        </is>
      </c>
      <c r="C255" t="inlineStr">
        <is>
          <t>No</t>
        </is>
      </c>
      <c r="D255">
        <f>IF($B255&lt;&gt;"Yes","",IF($C255="No","Yes",IF($C255="Yes","No","")))</f>
        <v/>
      </c>
      <c r="E255">
        <f>IF($A255="","",IF(OR(AND($V255&lt;&gt;"",LOWER(TRIM($V255))&lt;&gt;"n/a",LOWER(TRIM($V255))&lt;&gt;"na",SUMPRODUCT(--(UPPER(TRIM($V$2:$V$518))=UPPER(TRIM($V255))),--(TRIM($V$2:$V$518)&lt;&gt;""),--(LOWER(TRIM($V$2:$V$518))&lt;&gt;"n/a"),--(LOWER(TRIM($V$2:$V$518))&lt;&gt;"na"))&gt;1),AND($W255&lt;&gt;"",LOWER(TRIM($W255))&lt;&gt;"n/a",LOWER(TRIM($W255))&lt;&gt;"na",SUMPRODUCT(--(UPPER(TRIM($W$2:$W$518))=UPPER(TRIM($W255))),--(TRIM($W$2:$W$518)&lt;&gt;""),--(LOWER(TRIM($W$2:$W$518))&lt;&gt;"n/a"),--(LOWER(TRIM($W$2:$W$518))&lt;&gt;"na"))&gt;1),AND($X255&lt;&gt;"",LOWER(TRIM($X255))&lt;&gt;"n/a",LOWER(TRIM($X255))&lt;&gt;"na",SUMPRODUCT(--(UPPER(TRIM($X$2:$X$518))=UPPER(TRIM($X255))),--(TRIM($X$2:$X$518)&lt;&gt;""),--(LOWER(TRIM($X$2:$X$518))&lt;&gt;"n/a"),--(LOWER(TRIM($X$2:$X$518))&lt;&gt;"na"))&gt;1),AND($Y255&lt;&gt;"",LOWER(TRIM($Y255))&lt;&gt;"n/a",LOWER(TRIM($Y255))&lt;&gt;"na",SUMPRODUCT(--(UPPER(SUBSTITUTE(SUBSTITUTE(TRIM($Y$2:$Y$518),":",""),"-",""))=UPPER(SUBSTITUTE(SUBSTITUTE(TRIM($Y255),":",""),"-",""))),--(TRIM($Y$2:$Y$518)&lt;&gt;""),--(LOWER(TRIM($Y$2:$Y$518))&lt;&gt;"n/a"),--(LOWER(TRIM($Y$2:$Y$518))&lt;&gt;"na"))&gt;1),AND($AB255&lt;&gt;"",LOWER(TRIM($AB255))&lt;&gt;"n/a",LOWER(TRIM($AB255))&lt;&gt;"na",SUMPRODUCT(--(UPPER(TRIM($AB$2:$AB$518))=UPPER(TRIM($AB255))),--(TRIM($AB$2:$AB$518)&lt;&gt;""),--(LOWER(TRIM($AB$2:$AB$518))&lt;&gt;"n/a"),--(LOWER(TRIM($AB$2:$AB$518))&lt;&gt;"na"))&gt;1),AND($AH255&lt;&gt;"",LOWER(TRIM($AH255))&lt;&gt;"n/a",LOWER(TRIM($AH255))&lt;&gt;"na",SUMPRODUCT(--(UPPER(SUBSTITUTE(SUBSTITUTE(TRIM($AH$2:$AH$518),":",""),"-",""))=UPPER(SUBSTITUTE(SUBSTITUTE(TRIM($AH255),":",""),"-",""))),--(TRIM($AH$2:$AH$518)&lt;&gt;""),--(LOWER(TRIM($AH$2:$AH$518))&lt;&gt;"n/a"),--(LOWER(TRIM($AH$2:$AH$518))&lt;&gt;"na"))&gt;1),AND($AP255&lt;&gt;"",LOWER(TRIM($AP255))&lt;&gt;"n/a",LOWER(TRIM($AP255))&lt;&gt;"na",SUMPRODUCT(--(UPPER(TRIM($AP$2:$AP$518))=UPPER(TRIM($AP255))),--(TRIM($AP$2:$AP$518)&lt;&gt;""),--(LOWER(TRIM($AP$2:$AP$518))&lt;&gt;"n/a"),--(LOWER(TRIM($AP$2:$AP$518))&lt;&gt;"na"))&gt;1),AND($AQ255&lt;&gt;"",LOWER(TRIM($AQ255))&lt;&gt;"n/a",LOWER(TRIM($AQ255))&lt;&gt;"na",SUMPRODUCT(--(UPPER(TRIM($AQ$2:$AQ$518))=UPPER(TRIM($AQ255))),--(TRIM($AQ$2:$AQ$518)&lt;&gt;""),--(LOWER(TRIM($AQ$2:$AQ$518))&lt;&gt;"n/a"),--(LOWER(TRIM($AQ$2:$AQ$518))&lt;&gt;"na"))&gt;1)),"Yes","No"))</f>
        <v/>
      </c>
      <c r="F255">
        <f>IF(UPPER(TRIM($B255))&lt;&gt;"YES","", IF(OR(AND($V255&lt;&gt;"", LOWER(TRIM($V255))&lt;&gt;"n/a", LOWER(TRIM($V255))&lt;&gt;"na", SUMPRODUCT(--(UPPER(TRIM($V$2:$V$518))=UPPER(TRIM($V255))), --(UPPER(TRIM($B$2:$B$518))="YES"), --(UPPER(TRIM($G$2:$G$518)&amp;TRIM($I$2:$I$518)&amp;TRIM($J$2:$J$518))&lt;&gt;UPPER(TRIM($G255)&amp;TRIM($I255)&amp;TRIM($J255))))&gt;0), AND($W255&lt;&gt;"", LOWER(TRIM($W255))&lt;&gt;"n/a", LOWER(TRIM($W255))&lt;&gt;"na", SUMPRODUCT(--(UPPER(TRIM($W$2:$W$518))=UPPER(TRIM($W255))), --(UPPER(TRIM($B$2:$B$518))="YES"), --(UPPER(TRIM($G$2:$G$518)&amp;TRIM($I$2:$I$518)&amp;TRIM($J$2:$J$518))&lt;&gt;UPPER(TRIM($G255)&amp;TRIM($I255)&amp;TRIM($J255))))&gt;0), AND($X255&lt;&gt;"", LOWER(TRIM($X255))&lt;&gt;"n/a", LOWER(TRIM($X255))&lt;&gt;"na", SUMPRODUCT(--(UPPER(TRIM($X$2:$X$518))=UPPER(TRIM($X255))), --(UPPER(TRIM($B$2:$B$518))="YES"), --(UPPER(TRIM($G$2:$G$518)&amp;TRIM($I$2:$I$518)&amp;TRIM($J$2:$J$518))&lt;&gt;UPPER(TRIM($G255)&amp;TRIM($I255)&amp;TRIM($J255))))&gt;0), AND($Y255&lt;&gt;"", LOWER(TRIM($Y255))&lt;&gt;"n/a", LOWER(TRIM($Y255))&lt;&gt;"na", SUMPRODUCT(--(UPPER(SUBSTITUTE(SUBSTITUTE(TRIM($Y$2:$Y$518),":",""),"-",""))=UPPER(SUBSTITUTE(SUBSTITUTE(TRIM($Y255),":",""),"-",""))), --(UPPER(TRIM($B$2:$B$518))="YES"), --(UPPER(TRIM($G$2:$G$518)&amp;TRIM($I$2:$I$518)&amp;TRIM($J$2:$J$518))&lt;&gt;UPPER(TRIM($G255)&amp;TRIM($I255)&amp;TRIM($J255))))&gt;0), AND($AB255&lt;&gt;"", LOWER(TRIM($AB255))&lt;&gt;"n/a", LOWER(TRIM($AB255))&lt;&gt;"na", SUMPRODUCT(--(UPPER(TRIM($AB$2:$AB$518))=UPPER(TRIM($AB255))), --(UPPER(TRIM($B$2:$B$518))="YES"), --(UPPER(TRIM($G$2:$G$518)&amp;TRIM($I$2:$I$518)&amp;TRIM($J$2:$J$518))&lt;&gt;UPPER(TRIM($G255)&amp;TRIM($I255)&amp;TRIM($J255))))&gt;0), AND($AH255&lt;&gt;"", LOWER(TRIM($AH255))&lt;&gt;"n/a", LOWER(TRIM($AH255))&lt;&gt;"na", SUMPRODUCT(--(UPPER(SUBSTITUTE(SUBSTITUTE(TRIM($AH$2:$AH$518),":",""),"-",""))=UPPER(SUBSTITUTE(SUBSTITUTE(TRIM($AH255),":",""),"-",""))), --(UPPER(TRIM($B$2:$B$518))="YES"), --(UPPER(TRIM($G$2:$G$518)&amp;TRIM($I$2:$I$518)&amp;TRIM($J$2:$J$518))&lt;&gt;UPPER(TRIM($G255)&amp;TRIM($I255)&amp;TRIM($J255))))&gt;0), AND($AP255&lt;&gt;"", LOWER(TRIM($AP255))&lt;&gt;"n/a", LOWER(TRIM($AP255))&lt;&gt;"na", SUMPRODUCT(--(UPPER(TRIM($AP$2:$AP$518))=UPPER(TRIM($AP255))), --(UPPER(TRIM($B$2:$B$518))="YES"), --(UPPER(TRIM($G$2:$G$518)&amp;TRIM($I$2:$I$518)&amp;TRIM($J$2:$J$518))&lt;&gt;UPPER(TRIM($G255)&amp;TRIM($I255)&amp;TRIM($J255))))&gt;0), AND($AQ255&lt;&gt;"", LOWER(TRIM($AQ255))&lt;&gt;"n/a", LOWER(TRIM($AQ255))&lt;&gt;"na", SUMPRODUCT(--(UPPER(TRIM($AQ$2:$AQ$518))=UPPER(TRIM($AQ255))), --(UPPER(TRIM($B$2:$B$518))="YES"), --(UPPER(TRIM($G$2:$G$518)&amp;TRIM($I$2:$I$518)&amp;TRIM($J$2:$J$518))&lt;&gt;UPPER(TRIM($G255)&amp;TRIM($I255)&amp;TRIM($J255))))&gt;0)), "Yes", "No"))</f>
        <v/>
      </c>
      <c r="G255" t="inlineStr">
        <is>
          <t>LIJ Main / LIJ OR</t>
        </is>
      </c>
      <c r="H255" t="inlineStr">
        <is>
          <t>LIJ - OR</t>
        </is>
      </c>
      <c r="M255" t="inlineStr">
        <is>
          <t>OR iPro Cybernet Workstation</t>
        </is>
      </c>
      <c r="N255" t="inlineStr">
        <is>
          <t>Yes</t>
        </is>
      </c>
      <c r="O255" t="inlineStr">
        <is>
          <t>No</t>
        </is>
      </c>
      <c r="P255" t="inlineStr">
        <is>
          <t>No</t>
        </is>
      </c>
      <c r="V255" t="inlineStr">
        <is>
          <t>WNH270OPR447</t>
        </is>
      </c>
      <c r="CA255" t="inlineStr">
        <is>
          <t>iPro
Epic Satellite
ALLSCRIPTS
EPIC BCA</t>
        </is>
      </c>
      <c r="CD255">
        <f>IF($Y255="","",IF((IF(AND($BR255&lt;&gt;"Yes",$BR255&lt;&gt;"N/A"),"Power Cable, ","")&amp;IF(AND($BS255&lt;&gt;"Yes",$BS255&lt;&gt;"N/A"),"Battery, ","")&amp;IF(AND($AD255&lt;&gt;"Yes",$AD255&lt;&gt;"N/A"),"Firmware Download, ","")&amp;IF(AND(OR($AD255="Yes",$AD255="N/A"),$AE255&lt;&gt;"Yes",$AE255&lt;&gt;"N/A"),"Firmware Install, ","")&amp;IF(AND($CB255&lt;&gt;"Yes",$CB255&lt;&gt;"N/A"),"Device ID, ","")&amp;IF(AND($CC255&lt;&gt;"Yes",$CC255&lt;&gt;"N/A"),"Epic Beans Relay, ",""))="","",LEFT(IF(AND($BR255&lt;&gt;"Yes",$BR255&lt;&gt;"N/A"),"Power Cable, ","")&amp;IF(AND($BS255&lt;&gt;"Yes",$BS255&lt;&gt;"N/A"),"Battery, ","")&amp;IF(AND($AD255&lt;&gt;"Yes",$AD255&lt;&gt;"N/A"),"Firmware Download, ","")&amp;IF(AND(OR($AD255="Yes",$AD255="N/A"),$AE255&lt;&gt;"Yes",$AE255&lt;&gt;"N/A"),"Firmware Install, ","")&amp;IF(AND($CB255&lt;&gt;"Yes",$CB255&lt;&gt;"N/A"),"Device ID, ","")&amp;IF(AND($CC255&lt;&gt;"Yes",$CC255&lt;&gt;"N/A"),"Epic Beans Relay, ",""),LEN(IF(AND($BR255&lt;&gt;"Yes",$BR255&lt;&gt;"N/A"),"Power Cable, ","")&amp;IF(AND($BS255&lt;&gt;"Yes",$BS255&lt;&gt;"N/A"),"Battery, ","")&amp;IF(AND($AD255&lt;&gt;"Yes",$AD255&lt;&gt;"N/A"),"Firmware Download, ","")&amp;IF(AND(OR($AD255="Yes",$AD255="N/A"),$AE255&lt;&gt;"Yes",$AE255&lt;&gt;"N/A"),"Firmware Install, ","")&amp;IF(AND($CB255&lt;&gt;"Yes",$CB255&lt;&gt;"N/A"),"Device ID, ","")&amp;IF(AND($CC255&lt;&gt;"Yes",$CC255&lt;&gt;"N/A"),"Epic Beans Relay, ",""))-2)))</f>
        <v/>
      </c>
      <c r="CE255">
        <f>IF($Y255="","",IF($CD255="","Yes","Blocked"))</f>
        <v/>
      </c>
      <c r="CF255" t="inlineStr">
        <is>
          <t>Yes</t>
        </is>
      </c>
      <c r="CG255" t="inlineStr">
        <is>
          <t>Yes</t>
        </is>
      </c>
      <c r="CH255" t="inlineStr">
        <is>
          <t>Yes</t>
        </is>
      </c>
      <c r="CI255" t="inlineStr">
        <is>
          <t>Yes</t>
        </is>
      </c>
      <c r="CJ255" t="inlineStr">
        <is>
          <t>Yes</t>
        </is>
      </c>
      <c r="CK255" t="n">
        <v>19200</v>
      </c>
      <c r="CP255">
        <f>IF($CO255="","",IFERROR(VLOOKUP($CO255,'01_Warehouse_Ledger'!$A:$N,4,FALSE),""))</f>
        <v/>
      </c>
      <c r="CQ255">
        <f>IF($CO255="","",IFERROR(VLOOKUP($CO255,'01_Warehouse_Ledger'!$A:$N,5,FALSE),""))</f>
        <v/>
      </c>
      <c r="CR255">
        <f>IF($CO255="","",IFERROR(VLOOKUP($CO255,'01_Warehouse_Ledger'!$A:$N,13,FALSE),""))</f>
        <v/>
      </c>
      <c r="CW255">
        <f>IF($S255="","",IF(UPPER(TRIM($S255))&lt;&gt;"PASS","",IF(LEN(TRIM($BY255))&gt;0,"NOTES_PRESENT",IF(LEN(TRIM($T255))=0,"SET_NA",IF(OR(LOWER(TRIM($T255))="na",LOWER(TRIM($T255))="n/a"),"OK","MANUAL_OVERRIDE")))))</f>
        <v/>
      </c>
    </row>
    <row r="256">
      <c r="A256" t="inlineStr">
        <is>
          <t>Cybernet</t>
        </is>
      </c>
      <c r="B256" s="5" t="inlineStr">
        <is>
          <t>No</t>
        </is>
      </c>
      <c r="C256" t="inlineStr">
        <is>
          <t>No</t>
        </is>
      </c>
      <c r="D256">
        <f>IF($B256&lt;&gt;"Yes","",IF($C256="No","Yes",IF($C256="Yes","No","")))</f>
        <v/>
      </c>
      <c r="E256">
        <f>IF($A256="","",IF(OR(AND($V256&lt;&gt;"",LOWER(TRIM($V256))&lt;&gt;"n/a",LOWER(TRIM($V256))&lt;&gt;"na",SUMPRODUCT(--(UPPER(TRIM($V$2:$V$518))=UPPER(TRIM($V256))),--(TRIM($V$2:$V$518)&lt;&gt;""),--(LOWER(TRIM($V$2:$V$518))&lt;&gt;"n/a"),--(LOWER(TRIM($V$2:$V$518))&lt;&gt;"na"))&gt;1),AND($W256&lt;&gt;"",LOWER(TRIM($W256))&lt;&gt;"n/a",LOWER(TRIM($W256))&lt;&gt;"na",SUMPRODUCT(--(UPPER(TRIM($W$2:$W$518))=UPPER(TRIM($W256))),--(TRIM($W$2:$W$518)&lt;&gt;""),--(LOWER(TRIM($W$2:$W$518))&lt;&gt;"n/a"),--(LOWER(TRIM($W$2:$W$518))&lt;&gt;"na"))&gt;1),AND($X256&lt;&gt;"",LOWER(TRIM($X256))&lt;&gt;"n/a",LOWER(TRIM($X256))&lt;&gt;"na",SUMPRODUCT(--(UPPER(TRIM($X$2:$X$518))=UPPER(TRIM($X256))),--(TRIM($X$2:$X$518)&lt;&gt;""),--(LOWER(TRIM($X$2:$X$518))&lt;&gt;"n/a"),--(LOWER(TRIM($X$2:$X$518))&lt;&gt;"na"))&gt;1),AND($Y256&lt;&gt;"",LOWER(TRIM($Y256))&lt;&gt;"n/a",LOWER(TRIM($Y256))&lt;&gt;"na",SUMPRODUCT(--(UPPER(SUBSTITUTE(SUBSTITUTE(TRIM($Y$2:$Y$518),":",""),"-",""))=UPPER(SUBSTITUTE(SUBSTITUTE(TRIM($Y256),":",""),"-",""))),--(TRIM($Y$2:$Y$518)&lt;&gt;""),--(LOWER(TRIM($Y$2:$Y$518))&lt;&gt;"n/a"),--(LOWER(TRIM($Y$2:$Y$518))&lt;&gt;"na"))&gt;1),AND($AB256&lt;&gt;"",LOWER(TRIM($AB256))&lt;&gt;"n/a",LOWER(TRIM($AB256))&lt;&gt;"na",SUMPRODUCT(--(UPPER(TRIM($AB$2:$AB$518))=UPPER(TRIM($AB256))),--(TRIM($AB$2:$AB$518)&lt;&gt;""),--(LOWER(TRIM($AB$2:$AB$518))&lt;&gt;"n/a"),--(LOWER(TRIM($AB$2:$AB$518))&lt;&gt;"na"))&gt;1),AND($AH256&lt;&gt;"",LOWER(TRIM($AH256))&lt;&gt;"n/a",LOWER(TRIM($AH256))&lt;&gt;"na",SUMPRODUCT(--(UPPER(SUBSTITUTE(SUBSTITUTE(TRIM($AH$2:$AH$518),":",""),"-",""))=UPPER(SUBSTITUTE(SUBSTITUTE(TRIM($AH256),":",""),"-",""))),--(TRIM($AH$2:$AH$518)&lt;&gt;""),--(LOWER(TRIM($AH$2:$AH$518))&lt;&gt;"n/a"),--(LOWER(TRIM($AH$2:$AH$518))&lt;&gt;"na"))&gt;1),AND($AP256&lt;&gt;"",LOWER(TRIM($AP256))&lt;&gt;"n/a",LOWER(TRIM($AP256))&lt;&gt;"na",SUMPRODUCT(--(UPPER(TRIM($AP$2:$AP$518))=UPPER(TRIM($AP256))),--(TRIM($AP$2:$AP$518)&lt;&gt;""),--(LOWER(TRIM($AP$2:$AP$518))&lt;&gt;"n/a"),--(LOWER(TRIM($AP$2:$AP$518))&lt;&gt;"na"))&gt;1),AND($AQ256&lt;&gt;"",LOWER(TRIM($AQ256))&lt;&gt;"n/a",LOWER(TRIM($AQ256))&lt;&gt;"na",SUMPRODUCT(--(UPPER(TRIM($AQ$2:$AQ$518))=UPPER(TRIM($AQ256))),--(TRIM($AQ$2:$AQ$518)&lt;&gt;""),--(LOWER(TRIM($AQ$2:$AQ$518))&lt;&gt;"n/a"),--(LOWER(TRIM($AQ$2:$AQ$518))&lt;&gt;"na"))&gt;1)),"Yes","No"))</f>
        <v/>
      </c>
      <c r="F256">
        <f>IF(UPPER(TRIM($B256))&lt;&gt;"YES","", IF(OR(AND($V256&lt;&gt;"", LOWER(TRIM($V256))&lt;&gt;"n/a", LOWER(TRIM($V256))&lt;&gt;"na", SUMPRODUCT(--(UPPER(TRIM($V$2:$V$518))=UPPER(TRIM($V256))), --(UPPER(TRIM($B$2:$B$518))="YES"), --(UPPER(TRIM($G$2:$G$518)&amp;TRIM($I$2:$I$518)&amp;TRIM($J$2:$J$518))&lt;&gt;UPPER(TRIM($G256)&amp;TRIM($I256)&amp;TRIM($J256))))&gt;0), AND($W256&lt;&gt;"", LOWER(TRIM($W256))&lt;&gt;"n/a", LOWER(TRIM($W256))&lt;&gt;"na", SUMPRODUCT(--(UPPER(TRIM($W$2:$W$518))=UPPER(TRIM($W256))), --(UPPER(TRIM($B$2:$B$518))="YES"), --(UPPER(TRIM($G$2:$G$518)&amp;TRIM($I$2:$I$518)&amp;TRIM($J$2:$J$518))&lt;&gt;UPPER(TRIM($G256)&amp;TRIM($I256)&amp;TRIM($J256))))&gt;0), AND($X256&lt;&gt;"", LOWER(TRIM($X256))&lt;&gt;"n/a", LOWER(TRIM($X256))&lt;&gt;"na", SUMPRODUCT(--(UPPER(TRIM($X$2:$X$518))=UPPER(TRIM($X256))), --(UPPER(TRIM($B$2:$B$518))="YES"), --(UPPER(TRIM($G$2:$G$518)&amp;TRIM($I$2:$I$518)&amp;TRIM($J$2:$J$518))&lt;&gt;UPPER(TRIM($G256)&amp;TRIM($I256)&amp;TRIM($J256))))&gt;0), AND($Y256&lt;&gt;"", LOWER(TRIM($Y256))&lt;&gt;"n/a", LOWER(TRIM($Y256))&lt;&gt;"na", SUMPRODUCT(--(UPPER(SUBSTITUTE(SUBSTITUTE(TRIM($Y$2:$Y$518),":",""),"-",""))=UPPER(SUBSTITUTE(SUBSTITUTE(TRIM($Y256),":",""),"-",""))), --(UPPER(TRIM($B$2:$B$518))="YES"), --(UPPER(TRIM($G$2:$G$518)&amp;TRIM($I$2:$I$518)&amp;TRIM($J$2:$J$518))&lt;&gt;UPPER(TRIM($G256)&amp;TRIM($I256)&amp;TRIM($J256))))&gt;0), AND($AB256&lt;&gt;"", LOWER(TRIM($AB256))&lt;&gt;"n/a", LOWER(TRIM($AB256))&lt;&gt;"na", SUMPRODUCT(--(UPPER(TRIM($AB$2:$AB$518))=UPPER(TRIM($AB256))), --(UPPER(TRIM($B$2:$B$518))="YES"), --(UPPER(TRIM($G$2:$G$518)&amp;TRIM($I$2:$I$518)&amp;TRIM($J$2:$J$518))&lt;&gt;UPPER(TRIM($G256)&amp;TRIM($I256)&amp;TRIM($J256))))&gt;0), AND($AH256&lt;&gt;"", LOWER(TRIM($AH256))&lt;&gt;"n/a", LOWER(TRIM($AH256))&lt;&gt;"na", SUMPRODUCT(--(UPPER(SUBSTITUTE(SUBSTITUTE(TRIM($AH$2:$AH$518),":",""),"-",""))=UPPER(SUBSTITUTE(SUBSTITUTE(TRIM($AH256),":",""),"-",""))), --(UPPER(TRIM($B$2:$B$518))="YES"), --(UPPER(TRIM($G$2:$G$518)&amp;TRIM($I$2:$I$518)&amp;TRIM($J$2:$J$518))&lt;&gt;UPPER(TRIM($G256)&amp;TRIM($I256)&amp;TRIM($J256))))&gt;0), AND($AP256&lt;&gt;"", LOWER(TRIM($AP256))&lt;&gt;"n/a", LOWER(TRIM($AP256))&lt;&gt;"na", SUMPRODUCT(--(UPPER(TRIM($AP$2:$AP$518))=UPPER(TRIM($AP256))), --(UPPER(TRIM($B$2:$B$518))="YES"), --(UPPER(TRIM($G$2:$G$518)&amp;TRIM($I$2:$I$518)&amp;TRIM($J$2:$J$518))&lt;&gt;UPPER(TRIM($G256)&amp;TRIM($I256)&amp;TRIM($J256))))&gt;0), AND($AQ256&lt;&gt;"", LOWER(TRIM($AQ256))&lt;&gt;"n/a", LOWER(TRIM($AQ256))&lt;&gt;"na", SUMPRODUCT(--(UPPER(TRIM($AQ$2:$AQ$518))=UPPER(TRIM($AQ256))), --(UPPER(TRIM($B$2:$B$518))="YES"), --(UPPER(TRIM($G$2:$G$518)&amp;TRIM($I$2:$I$518)&amp;TRIM($J$2:$J$518))&lt;&gt;UPPER(TRIM($G256)&amp;TRIM($I256)&amp;TRIM($J256))))&gt;0)), "Yes", "No"))</f>
        <v/>
      </c>
      <c r="G256" t="inlineStr">
        <is>
          <t>LIJ Main / LIJ OR</t>
        </is>
      </c>
      <c r="H256" t="inlineStr">
        <is>
          <t>LIJ - OR</t>
        </is>
      </c>
      <c r="M256" t="inlineStr">
        <is>
          <t>OR iPro Cybernet Workstation</t>
        </is>
      </c>
      <c r="N256" t="inlineStr">
        <is>
          <t>Yes</t>
        </is>
      </c>
      <c r="O256" t="inlineStr">
        <is>
          <t>No</t>
        </is>
      </c>
      <c r="P256" t="inlineStr">
        <is>
          <t>No</t>
        </is>
      </c>
      <c r="V256" t="inlineStr">
        <is>
          <t>WNH270OPR448</t>
        </is>
      </c>
      <c r="CA256" t="inlineStr">
        <is>
          <t>iPro
Epic Satellite
ALLSCRIPTS
EPIC BCA</t>
        </is>
      </c>
      <c r="CD256">
        <f>IF($Y256="","",IF((IF(AND($BR256&lt;&gt;"Yes",$BR256&lt;&gt;"N/A"),"Power Cable, ","")&amp;IF(AND($BS256&lt;&gt;"Yes",$BS256&lt;&gt;"N/A"),"Battery, ","")&amp;IF(AND($AD256&lt;&gt;"Yes",$AD256&lt;&gt;"N/A"),"Firmware Download, ","")&amp;IF(AND(OR($AD256="Yes",$AD256="N/A"),$AE256&lt;&gt;"Yes",$AE256&lt;&gt;"N/A"),"Firmware Install, ","")&amp;IF(AND($CB256&lt;&gt;"Yes",$CB256&lt;&gt;"N/A"),"Device ID, ","")&amp;IF(AND($CC256&lt;&gt;"Yes",$CC256&lt;&gt;"N/A"),"Epic Beans Relay, ",""))="","",LEFT(IF(AND($BR256&lt;&gt;"Yes",$BR256&lt;&gt;"N/A"),"Power Cable, ","")&amp;IF(AND($BS256&lt;&gt;"Yes",$BS256&lt;&gt;"N/A"),"Battery, ","")&amp;IF(AND($AD256&lt;&gt;"Yes",$AD256&lt;&gt;"N/A"),"Firmware Download, ","")&amp;IF(AND(OR($AD256="Yes",$AD256="N/A"),$AE256&lt;&gt;"Yes",$AE256&lt;&gt;"N/A"),"Firmware Install, ","")&amp;IF(AND($CB256&lt;&gt;"Yes",$CB256&lt;&gt;"N/A"),"Device ID, ","")&amp;IF(AND($CC256&lt;&gt;"Yes",$CC256&lt;&gt;"N/A"),"Epic Beans Relay, ",""),LEN(IF(AND($BR256&lt;&gt;"Yes",$BR256&lt;&gt;"N/A"),"Power Cable, ","")&amp;IF(AND($BS256&lt;&gt;"Yes",$BS256&lt;&gt;"N/A"),"Battery, ","")&amp;IF(AND($AD256&lt;&gt;"Yes",$AD256&lt;&gt;"N/A"),"Firmware Download, ","")&amp;IF(AND(OR($AD256="Yes",$AD256="N/A"),$AE256&lt;&gt;"Yes",$AE256&lt;&gt;"N/A"),"Firmware Install, ","")&amp;IF(AND($CB256&lt;&gt;"Yes",$CB256&lt;&gt;"N/A"),"Device ID, ","")&amp;IF(AND($CC256&lt;&gt;"Yes",$CC256&lt;&gt;"N/A"),"Epic Beans Relay, ",""))-2)))</f>
        <v/>
      </c>
      <c r="CE256">
        <f>IF($Y256="","",IF($CD256="","Yes","Blocked"))</f>
        <v/>
      </c>
      <c r="CF256" t="inlineStr">
        <is>
          <t>Yes</t>
        </is>
      </c>
      <c r="CG256" t="inlineStr">
        <is>
          <t>Yes</t>
        </is>
      </c>
      <c r="CH256" t="inlineStr">
        <is>
          <t>Yes</t>
        </is>
      </c>
      <c r="CI256" t="inlineStr">
        <is>
          <t>Yes</t>
        </is>
      </c>
      <c r="CJ256" t="inlineStr">
        <is>
          <t>Yes</t>
        </is>
      </c>
      <c r="CK256" t="n">
        <v>19200</v>
      </c>
      <c r="CP256">
        <f>IF($CO256="","",IFERROR(VLOOKUP($CO256,'01_Warehouse_Ledger'!$A:$N,4,FALSE),""))</f>
        <v/>
      </c>
      <c r="CQ256">
        <f>IF($CO256="","",IFERROR(VLOOKUP($CO256,'01_Warehouse_Ledger'!$A:$N,5,FALSE),""))</f>
        <v/>
      </c>
      <c r="CR256">
        <f>IF($CO256="","",IFERROR(VLOOKUP($CO256,'01_Warehouse_Ledger'!$A:$N,13,FALSE),""))</f>
        <v/>
      </c>
      <c r="CW256">
        <f>IF($S256="","",IF(UPPER(TRIM($S256))&lt;&gt;"PASS","",IF(LEN(TRIM($BY256))&gt;0,"NOTES_PRESENT",IF(LEN(TRIM($T256))=0,"SET_NA",IF(OR(LOWER(TRIM($T256))="na",LOWER(TRIM($T256))="n/a"),"OK","MANUAL_OVERRIDE")))))</f>
        <v/>
      </c>
    </row>
    <row r="257">
      <c r="A257" t="inlineStr">
        <is>
          <t>Cybernet</t>
        </is>
      </c>
      <c r="B257" s="5" t="inlineStr">
        <is>
          <t>No</t>
        </is>
      </c>
      <c r="C257" t="inlineStr">
        <is>
          <t>No</t>
        </is>
      </c>
      <c r="D257">
        <f>IF($B257&lt;&gt;"Yes","",IF($C257="No","Yes",IF($C257="Yes","No","")))</f>
        <v/>
      </c>
      <c r="E257">
        <f>IF($A257="","",IF(OR(AND($V257&lt;&gt;"",LOWER(TRIM($V257))&lt;&gt;"n/a",LOWER(TRIM($V257))&lt;&gt;"na",SUMPRODUCT(--(UPPER(TRIM($V$2:$V$518))=UPPER(TRIM($V257))),--(TRIM($V$2:$V$518)&lt;&gt;""),--(LOWER(TRIM($V$2:$V$518))&lt;&gt;"n/a"),--(LOWER(TRIM($V$2:$V$518))&lt;&gt;"na"))&gt;1),AND($W257&lt;&gt;"",LOWER(TRIM($W257))&lt;&gt;"n/a",LOWER(TRIM($W257))&lt;&gt;"na",SUMPRODUCT(--(UPPER(TRIM($W$2:$W$518))=UPPER(TRIM($W257))),--(TRIM($W$2:$W$518)&lt;&gt;""),--(LOWER(TRIM($W$2:$W$518))&lt;&gt;"n/a"),--(LOWER(TRIM($W$2:$W$518))&lt;&gt;"na"))&gt;1),AND($X257&lt;&gt;"",LOWER(TRIM($X257))&lt;&gt;"n/a",LOWER(TRIM($X257))&lt;&gt;"na",SUMPRODUCT(--(UPPER(TRIM($X$2:$X$518))=UPPER(TRIM($X257))),--(TRIM($X$2:$X$518)&lt;&gt;""),--(LOWER(TRIM($X$2:$X$518))&lt;&gt;"n/a"),--(LOWER(TRIM($X$2:$X$518))&lt;&gt;"na"))&gt;1),AND($Y257&lt;&gt;"",LOWER(TRIM($Y257))&lt;&gt;"n/a",LOWER(TRIM($Y257))&lt;&gt;"na",SUMPRODUCT(--(UPPER(SUBSTITUTE(SUBSTITUTE(TRIM($Y$2:$Y$518),":",""),"-",""))=UPPER(SUBSTITUTE(SUBSTITUTE(TRIM($Y257),":",""),"-",""))),--(TRIM($Y$2:$Y$518)&lt;&gt;""),--(LOWER(TRIM($Y$2:$Y$518))&lt;&gt;"n/a"),--(LOWER(TRIM($Y$2:$Y$518))&lt;&gt;"na"))&gt;1),AND($AB257&lt;&gt;"",LOWER(TRIM($AB257))&lt;&gt;"n/a",LOWER(TRIM($AB257))&lt;&gt;"na",SUMPRODUCT(--(UPPER(TRIM($AB$2:$AB$518))=UPPER(TRIM($AB257))),--(TRIM($AB$2:$AB$518)&lt;&gt;""),--(LOWER(TRIM($AB$2:$AB$518))&lt;&gt;"n/a"),--(LOWER(TRIM($AB$2:$AB$518))&lt;&gt;"na"))&gt;1),AND($AH257&lt;&gt;"",LOWER(TRIM($AH257))&lt;&gt;"n/a",LOWER(TRIM($AH257))&lt;&gt;"na",SUMPRODUCT(--(UPPER(SUBSTITUTE(SUBSTITUTE(TRIM($AH$2:$AH$518),":",""),"-",""))=UPPER(SUBSTITUTE(SUBSTITUTE(TRIM($AH257),":",""),"-",""))),--(TRIM($AH$2:$AH$518)&lt;&gt;""),--(LOWER(TRIM($AH$2:$AH$518))&lt;&gt;"n/a"),--(LOWER(TRIM($AH$2:$AH$518))&lt;&gt;"na"))&gt;1),AND($AP257&lt;&gt;"",LOWER(TRIM($AP257))&lt;&gt;"n/a",LOWER(TRIM($AP257))&lt;&gt;"na",SUMPRODUCT(--(UPPER(TRIM($AP$2:$AP$518))=UPPER(TRIM($AP257))),--(TRIM($AP$2:$AP$518)&lt;&gt;""),--(LOWER(TRIM($AP$2:$AP$518))&lt;&gt;"n/a"),--(LOWER(TRIM($AP$2:$AP$518))&lt;&gt;"na"))&gt;1),AND($AQ257&lt;&gt;"",LOWER(TRIM($AQ257))&lt;&gt;"n/a",LOWER(TRIM($AQ257))&lt;&gt;"na",SUMPRODUCT(--(UPPER(TRIM($AQ$2:$AQ$518))=UPPER(TRIM($AQ257))),--(TRIM($AQ$2:$AQ$518)&lt;&gt;""),--(LOWER(TRIM($AQ$2:$AQ$518))&lt;&gt;"n/a"),--(LOWER(TRIM($AQ$2:$AQ$518))&lt;&gt;"na"))&gt;1)),"Yes","No"))</f>
        <v/>
      </c>
      <c r="F257">
        <f>IF(UPPER(TRIM($B257))&lt;&gt;"YES","", IF(OR(AND($V257&lt;&gt;"", LOWER(TRIM($V257))&lt;&gt;"n/a", LOWER(TRIM($V257))&lt;&gt;"na", SUMPRODUCT(--(UPPER(TRIM($V$2:$V$518))=UPPER(TRIM($V257))), --(UPPER(TRIM($B$2:$B$518))="YES"), --(UPPER(TRIM($G$2:$G$518)&amp;TRIM($I$2:$I$518)&amp;TRIM($J$2:$J$518))&lt;&gt;UPPER(TRIM($G257)&amp;TRIM($I257)&amp;TRIM($J257))))&gt;0), AND($W257&lt;&gt;"", LOWER(TRIM($W257))&lt;&gt;"n/a", LOWER(TRIM($W257))&lt;&gt;"na", SUMPRODUCT(--(UPPER(TRIM($W$2:$W$518))=UPPER(TRIM($W257))), --(UPPER(TRIM($B$2:$B$518))="YES"), --(UPPER(TRIM($G$2:$G$518)&amp;TRIM($I$2:$I$518)&amp;TRIM($J$2:$J$518))&lt;&gt;UPPER(TRIM($G257)&amp;TRIM($I257)&amp;TRIM($J257))))&gt;0), AND($X257&lt;&gt;"", LOWER(TRIM($X257))&lt;&gt;"n/a", LOWER(TRIM($X257))&lt;&gt;"na", SUMPRODUCT(--(UPPER(TRIM($X$2:$X$518))=UPPER(TRIM($X257))), --(UPPER(TRIM($B$2:$B$518))="YES"), --(UPPER(TRIM($G$2:$G$518)&amp;TRIM($I$2:$I$518)&amp;TRIM($J$2:$J$518))&lt;&gt;UPPER(TRIM($G257)&amp;TRIM($I257)&amp;TRIM($J257))))&gt;0), AND($Y257&lt;&gt;"", LOWER(TRIM($Y257))&lt;&gt;"n/a", LOWER(TRIM($Y257))&lt;&gt;"na", SUMPRODUCT(--(UPPER(SUBSTITUTE(SUBSTITUTE(TRIM($Y$2:$Y$518),":",""),"-",""))=UPPER(SUBSTITUTE(SUBSTITUTE(TRIM($Y257),":",""),"-",""))), --(UPPER(TRIM($B$2:$B$518))="YES"), --(UPPER(TRIM($G$2:$G$518)&amp;TRIM($I$2:$I$518)&amp;TRIM($J$2:$J$518))&lt;&gt;UPPER(TRIM($G257)&amp;TRIM($I257)&amp;TRIM($J257))))&gt;0), AND($AB257&lt;&gt;"", LOWER(TRIM($AB257))&lt;&gt;"n/a", LOWER(TRIM($AB257))&lt;&gt;"na", SUMPRODUCT(--(UPPER(TRIM($AB$2:$AB$518))=UPPER(TRIM($AB257))), --(UPPER(TRIM($B$2:$B$518))="YES"), --(UPPER(TRIM($G$2:$G$518)&amp;TRIM($I$2:$I$518)&amp;TRIM($J$2:$J$518))&lt;&gt;UPPER(TRIM($G257)&amp;TRIM($I257)&amp;TRIM($J257))))&gt;0), AND($AH257&lt;&gt;"", LOWER(TRIM($AH257))&lt;&gt;"n/a", LOWER(TRIM($AH257))&lt;&gt;"na", SUMPRODUCT(--(UPPER(SUBSTITUTE(SUBSTITUTE(TRIM($AH$2:$AH$518),":",""),"-",""))=UPPER(SUBSTITUTE(SUBSTITUTE(TRIM($AH257),":",""),"-",""))), --(UPPER(TRIM($B$2:$B$518))="YES"), --(UPPER(TRIM($G$2:$G$518)&amp;TRIM($I$2:$I$518)&amp;TRIM($J$2:$J$518))&lt;&gt;UPPER(TRIM($G257)&amp;TRIM($I257)&amp;TRIM($J257))))&gt;0), AND($AP257&lt;&gt;"", LOWER(TRIM($AP257))&lt;&gt;"n/a", LOWER(TRIM($AP257))&lt;&gt;"na", SUMPRODUCT(--(UPPER(TRIM($AP$2:$AP$518))=UPPER(TRIM($AP257))), --(UPPER(TRIM($B$2:$B$518))="YES"), --(UPPER(TRIM($G$2:$G$518)&amp;TRIM($I$2:$I$518)&amp;TRIM($J$2:$J$518))&lt;&gt;UPPER(TRIM($G257)&amp;TRIM($I257)&amp;TRIM($J257))))&gt;0), AND($AQ257&lt;&gt;"", LOWER(TRIM($AQ257))&lt;&gt;"n/a", LOWER(TRIM($AQ257))&lt;&gt;"na", SUMPRODUCT(--(UPPER(TRIM($AQ$2:$AQ$518))=UPPER(TRIM($AQ257))), --(UPPER(TRIM($B$2:$B$518))="YES"), --(UPPER(TRIM($G$2:$G$518)&amp;TRIM($I$2:$I$518)&amp;TRIM($J$2:$J$518))&lt;&gt;UPPER(TRIM($G257)&amp;TRIM($I257)&amp;TRIM($J257))))&gt;0)), "Yes", "No"))</f>
        <v/>
      </c>
      <c r="G257" t="inlineStr">
        <is>
          <t>LIJ Main / LIJ OR</t>
        </is>
      </c>
      <c r="H257" t="inlineStr">
        <is>
          <t>LIJ - OR</t>
        </is>
      </c>
      <c r="M257" t="inlineStr">
        <is>
          <t>OR iPro Cybernet Workstation</t>
        </is>
      </c>
      <c r="N257" t="inlineStr">
        <is>
          <t>Yes</t>
        </is>
      </c>
      <c r="O257" t="inlineStr">
        <is>
          <t>No</t>
        </is>
      </c>
      <c r="P257" t="inlineStr">
        <is>
          <t>No</t>
        </is>
      </c>
      <c r="V257" t="inlineStr">
        <is>
          <t>WNH270OPR449</t>
        </is>
      </c>
      <c r="CA257" t="inlineStr">
        <is>
          <t>iPro
Epic Satellite
ALLSCRIPTS
EPIC BCA</t>
        </is>
      </c>
      <c r="CD257">
        <f>IF($Y257="","",IF((IF(AND($BR257&lt;&gt;"Yes",$BR257&lt;&gt;"N/A"),"Power Cable, ","")&amp;IF(AND($BS257&lt;&gt;"Yes",$BS257&lt;&gt;"N/A"),"Battery, ","")&amp;IF(AND($AD257&lt;&gt;"Yes",$AD257&lt;&gt;"N/A"),"Firmware Download, ","")&amp;IF(AND(OR($AD257="Yes",$AD257="N/A"),$AE257&lt;&gt;"Yes",$AE257&lt;&gt;"N/A"),"Firmware Install, ","")&amp;IF(AND($CB257&lt;&gt;"Yes",$CB257&lt;&gt;"N/A"),"Device ID, ","")&amp;IF(AND($CC257&lt;&gt;"Yes",$CC257&lt;&gt;"N/A"),"Epic Beans Relay, ",""))="","",LEFT(IF(AND($BR257&lt;&gt;"Yes",$BR257&lt;&gt;"N/A"),"Power Cable, ","")&amp;IF(AND($BS257&lt;&gt;"Yes",$BS257&lt;&gt;"N/A"),"Battery, ","")&amp;IF(AND($AD257&lt;&gt;"Yes",$AD257&lt;&gt;"N/A"),"Firmware Download, ","")&amp;IF(AND(OR($AD257="Yes",$AD257="N/A"),$AE257&lt;&gt;"Yes",$AE257&lt;&gt;"N/A"),"Firmware Install, ","")&amp;IF(AND($CB257&lt;&gt;"Yes",$CB257&lt;&gt;"N/A"),"Device ID, ","")&amp;IF(AND($CC257&lt;&gt;"Yes",$CC257&lt;&gt;"N/A"),"Epic Beans Relay, ",""),LEN(IF(AND($BR257&lt;&gt;"Yes",$BR257&lt;&gt;"N/A"),"Power Cable, ","")&amp;IF(AND($BS257&lt;&gt;"Yes",$BS257&lt;&gt;"N/A"),"Battery, ","")&amp;IF(AND($AD257&lt;&gt;"Yes",$AD257&lt;&gt;"N/A"),"Firmware Download, ","")&amp;IF(AND(OR($AD257="Yes",$AD257="N/A"),$AE257&lt;&gt;"Yes",$AE257&lt;&gt;"N/A"),"Firmware Install, ","")&amp;IF(AND($CB257&lt;&gt;"Yes",$CB257&lt;&gt;"N/A"),"Device ID, ","")&amp;IF(AND($CC257&lt;&gt;"Yes",$CC257&lt;&gt;"N/A"),"Epic Beans Relay, ",""))-2)))</f>
        <v/>
      </c>
      <c r="CE257">
        <f>IF($Y257="","",IF($CD257="","Yes","Blocked"))</f>
        <v/>
      </c>
      <c r="CF257" t="inlineStr">
        <is>
          <t>Yes</t>
        </is>
      </c>
      <c r="CG257" t="inlineStr">
        <is>
          <t>Yes</t>
        </is>
      </c>
      <c r="CH257" t="inlineStr">
        <is>
          <t>Yes</t>
        </is>
      </c>
      <c r="CI257" t="inlineStr">
        <is>
          <t>Yes</t>
        </is>
      </c>
      <c r="CJ257" t="inlineStr">
        <is>
          <t>Yes</t>
        </is>
      </c>
      <c r="CK257" t="n">
        <v>19200</v>
      </c>
      <c r="CP257">
        <f>IF($CO257="","",IFERROR(VLOOKUP($CO257,'01_Warehouse_Ledger'!$A:$N,4,FALSE),""))</f>
        <v/>
      </c>
      <c r="CQ257">
        <f>IF($CO257="","",IFERROR(VLOOKUP($CO257,'01_Warehouse_Ledger'!$A:$N,5,FALSE),""))</f>
        <v/>
      </c>
      <c r="CR257">
        <f>IF($CO257="","",IFERROR(VLOOKUP($CO257,'01_Warehouse_Ledger'!$A:$N,13,FALSE),""))</f>
        <v/>
      </c>
      <c r="CW257">
        <f>IF($S257="","",IF(UPPER(TRIM($S257))&lt;&gt;"PASS","",IF(LEN(TRIM($BY257))&gt;0,"NOTES_PRESENT",IF(LEN(TRIM($T257))=0,"SET_NA",IF(OR(LOWER(TRIM($T257))="na",LOWER(TRIM($T257))="n/a"),"OK","MANUAL_OVERRIDE")))))</f>
        <v/>
      </c>
    </row>
    <row r="258">
      <c r="A258" t="inlineStr">
        <is>
          <t>Cybernet</t>
        </is>
      </c>
      <c r="B258" s="5" t="inlineStr">
        <is>
          <t>No</t>
        </is>
      </c>
      <c r="C258" t="inlineStr">
        <is>
          <t>No</t>
        </is>
      </c>
      <c r="D258">
        <f>IF($B258&lt;&gt;"Yes","",IF($C258="No","Yes",IF($C258="Yes","No","")))</f>
        <v/>
      </c>
      <c r="E258">
        <f>IF($A258="","",IF(OR(AND($V258&lt;&gt;"",LOWER(TRIM($V258))&lt;&gt;"n/a",LOWER(TRIM($V258))&lt;&gt;"na",SUMPRODUCT(--(UPPER(TRIM($V$2:$V$518))=UPPER(TRIM($V258))),--(TRIM($V$2:$V$518)&lt;&gt;""),--(LOWER(TRIM($V$2:$V$518))&lt;&gt;"n/a"),--(LOWER(TRIM($V$2:$V$518))&lt;&gt;"na"))&gt;1),AND($W258&lt;&gt;"",LOWER(TRIM($W258))&lt;&gt;"n/a",LOWER(TRIM($W258))&lt;&gt;"na",SUMPRODUCT(--(UPPER(TRIM($W$2:$W$518))=UPPER(TRIM($W258))),--(TRIM($W$2:$W$518)&lt;&gt;""),--(LOWER(TRIM($W$2:$W$518))&lt;&gt;"n/a"),--(LOWER(TRIM($W$2:$W$518))&lt;&gt;"na"))&gt;1),AND($X258&lt;&gt;"",LOWER(TRIM($X258))&lt;&gt;"n/a",LOWER(TRIM($X258))&lt;&gt;"na",SUMPRODUCT(--(UPPER(TRIM($X$2:$X$518))=UPPER(TRIM($X258))),--(TRIM($X$2:$X$518)&lt;&gt;""),--(LOWER(TRIM($X$2:$X$518))&lt;&gt;"n/a"),--(LOWER(TRIM($X$2:$X$518))&lt;&gt;"na"))&gt;1),AND($Y258&lt;&gt;"",LOWER(TRIM($Y258))&lt;&gt;"n/a",LOWER(TRIM($Y258))&lt;&gt;"na",SUMPRODUCT(--(UPPER(SUBSTITUTE(SUBSTITUTE(TRIM($Y$2:$Y$518),":",""),"-",""))=UPPER(SUBSTITUTE(SUBSTITUTE(TRIM($Y258),":",""),"-",""))),--(TRIM($Y$2:$Y$518)&lt;&gt;""),--(LOWER(TRIM($Y$2:$Y$518))&lt;&gt;"n/a"),--(LOWER(TRIM($Y$2:$Y$518))&lt;&gt;"na"))&gt;1),AND($AB258&lt;&gt;"",LOWER(TRIM($AB258))&lt;&gt;"n/a",LOWER(TRIM($AB258))&lt;&gt;"na",SUMPRODUCT(--(UPPER(TRIM($AB$2:$AB$518))=UPPER(TRIM($AB258))),--(TRIM($AB$2:$AB$518)&lt;&gt;""),--(LOWER(TRIM($AB$2:$AB$518))&lt;&gt;"n/a"),--(LOWER(TRIM($AB$2:$AB$518))&lt;&gt;"na"))&gt;1),AND($AH258&lt;&gt;"",LOWER(TRIM($AH258))&lt;&gt;"n/a",LOWER(TRIM($AH258))&lt;&gt;"na",SUMPRODUCT(--(UPPER(SUBSTITUTE(SUBSTITUTE(TRIM($AH$2:$AH$518),":",""),"-",""))=UPPER(SUBSTITUTE(SUBSTITUTE(TRIM($AH258),":",""),"-",""))),--(TRIM($AH$2:$AH$518)&lt;&gt;""),--(LOWER(TRIM($AH$2:$AH$518))&lt;&gt;"n/a"),--(LOWER(TRIM($AH$2:$AH$518))&lt;&gt;"na"))&gt;1),AND($AP258&lt;&gt;"",LOWER(TRIM($AP258))&lt;&gt;"n/a",LOWER(TRIM($AP258))&lt;&gt;"na",SUMPRODUCT(--(UPPER(TRIM($AP$2:$AP$518))=UPPER(TRIM($AP258))),--(TRIM($AP$2:$AP$518)&lt;&gt;""),--(LOWER(TRIM($AP$2:$AP$518))&lt;&gt;"n/a"),--(LOWER(TRIM($AP$2:$AP$518))&lt;&gt;"na"))&gt;1),AND($AQ258&lt;&gt;"",LOWER(TRIM($AQ258))&lt;&gt;"n/a",LOWER(TRIM($AQ258))&lt;&gt;"na",SUMPRODUCT(--(UPPER(TRIM($AQ$2:$AQ$518))=UPPER(TRIM($AQ258))),--(TRIM($AQ$2:$AQ$518)&lt;&gt;""),--(LOWER(TRIM($AQ$2:$AQ$518))&lt;&gt;"n/a"),--(LOWER(TRIM($AQ$2:$AQ$518))&lt;&gt;"na"))&gt;1)),"Yes","No"))</f>
        <v/>
      </c>
      <c r="F258">
        <f>IF(UPPER(TRIM($B258))&lt;&gt;"YES","", IF(OR(AND($V258&lt;&gt;"", LOWER(TRIM($V258))&lt;&gt;"n/a", LOWER(TRIM($V258))&lt;&gt;"na", SUMPRODUCT(--(UPPER(TRIM($V$2:$V$518))=UPPER(TRIM($V258))), --(UPPER(TRIM($B$2:$B$518))="YES"), --(UPPER(TRIM($G$2:$G$518)&amp;TRIM($I$2:$I$518)&amp;TRIM($J$2:$J$518))&lt;&gt;UPPER(TRIM($G258)&amp;TRIM($I258)&amp;TRIM($J258))))&gt;0), AND($W258&lt;&gt;"", LOWER(TRIM($W258))&lt;&gt;"n/a", LOWER(TRIM($W258))&lt;&gt;"na", SUMPRODUCT(--(UPPER(TRIM($W$2:$W$518))=UPPER(TRIM($W258))), --(UPPER(TRIM($B$2:$B$518))="YES"), --(UPPER(TRIM($G$2:$G$518)&amp;TRIM($I$2:$I$518)&amp;TRIM($J$2:$J$518))&lt;&gt;UPPER(TRIM($G258)&amp;TRIM($I258)&amp;TRIM($J258))))&gt;0), AND($X258&lt;&gt;"", LOWER(TRIM($X258))&lt;&gt;"n/a", LOWER(TRIM($X258))&lt;&gt;"na", SUMPRODUCT(--(UPPER(TRIM($X$2:$X$518))=UPPER(TRIM($X258))), --(UPPER(TRIM($B$2:$B$518))="YES"), --(UPPER(TRIM($G$2:$G$518)&amp;TRIM($I$2:$I$518)&amp;TRIM($J$2:$J$518))&lt;&gt;UPPER(TRIM($G258)&amp;TRIM($I258)&amp;TRIM($J258))))&gt;0), AND($Y258&lt;&gt;"", LOWER(TRIM($Y258))&lt;&gt;"n/a", LOWER(TRIM($Y258))&lt;&gt;"na", SUMPRODUCT(--(UPPER(SUBSTITUTE(SUBSTITUTE(TRIM($Y$2:$Y$518),":",""),"-",""))=UPPER(SUBSTITUTE(SUBSTITUTE(TRIM($Y258),":",""),"-",""))), --(UPPER(TRIM($B$2:$B$518))="YES"), --(UPPER(TRIM($G$2:$G$518)&amp;TRIM($I$2:$I$518)&amp;TRIM($J$2:$J$518))&lt;&gt;UPPER(TRIM($G258)&amp;TRIM($I258)&amp;TRIM($J258))))&gt;0), AND($AB258&lt;&gt;"", LOWER(TRIM($AB258))&lt;&gt;"n/a", LOWER(TRIM($AB258))&lt;&gt;"na", SUMPRODUCT(--(UPPER(TRIM($AB$2:$AB$518))=UPPER(TRIM($AB258))), --(UPPER(TRIM($B$2:$B$518))="YES"), --(UPPER(TRIM($G$2:$G$518)&amp;TRIM($I$2:$I$518)&amp;TRIM($J$2:$J$518))&lt;&gt;UPPER(TRIM($G258)&amp;TRIM($I258)&amp;TRIM($J258))))&gt;0), AND($AH258&lt;&gt;"", LOWER(TRIM($AH258))&lt;&gt;"n/a", LOWER(TRIM($AH258))&lt;&gt;"na", SUMPRODUCT(--(UPPER(SUBSTITUTE(SUBSTITUTE(TRIM($AH$2:$AH$518),":",""),"-",""))=UPPER(SUBSTITUTE(SUBSTITUTE(TRIM($AH258),":",""),"-",""))), --(UPPER(TRIM($B$2:$B$518))="YES"), --(UPPER(TRIM($G$2:$G$518)&amp;TRIM($I$2:$I$518)&amp;TRIM($J$2:$J$518))&lt;&gt;UPPER(TRIM($G258)&amp;TRIM($I258)&amp;TRIM($J258))))&gt;0), AND($AP258&lt;&gt;"", LOWER(TRIM($AP258))&lt;&gt;"n/a", LOWER(TRIM($AP258))&lt;&gt;"na", SUMPRODUCT(--(UPPER(TRIM($AP$2:$AP$518))=UPPER(TRIM($AP258))), --(UPPER(TRIM($B$2:$B$518))="YES"), --(UPPER(TRIM($G$2:$G$518)&amp;TRIM($I$2:$I$518)&amp;TRIM($J$2:$J$518))&lt;&gt;UPPER(TRIM($G258)&amp;TRIM($I258)&amp;TRIM($J258))))&gt;0), AND($AQ258&lt;&gt;"", LOWER(TRIM($AQ258))&lt;&gt;"n/a", LOWER(TRIM($AQ258))&lt;&gt;"na", SUMPRODUCT(--(UPPER(TRIM($AQ$2:$AQ$518))=UPPER(TRIM($AQ258))), --(UPPER(TRIM($B$2:$B$518))="YES"), --(UPPER(TRIM($G$2:$G$518)&amp;TRIM($I$2:$I$518)&amp;TRIM($J$2:$J$518))&lt;&gt;UPPER(TRIM($G258)&amp;TRIM($I258)&amp;TRIM($J258))))&gt;0)), "Yes", "No"))</f>
        <v/>
      </c>
      <c r="G258" t="inlineStr">
        <is>
          <t>LIJ Main / LIJ OR</t>
        </is>
      </c>
      <c r="H258" t="inlineStr">
        <is>
          <t>LIJ - OR</t>
        </is>
      </c>
      <c r="M258" t="inlineStr">
        <is>
          <t>OR iPro Cybernet Workstation</t>
        </is>
      </c>
      <c r="V258" t="inlineStr">
        <is>
          <t>WNH270OPR450</t>
        </is>
      </c>
      <c r="CA258" t="inlineStr">
        <is>
          <t>iPro
Epic Satellite
ALLSCRIPTS
EPIC BCA</t>
        </is>
      </c>
      <c r="CD258">
        <f>IF($Y258="","",IF((IF(AND($BR258&lt;&gt;"Yes",$BR258&lt;&gt;"N/A"),"Power Cable, ","")&amp;IF(AND($BS258&lt;&gt;"Yes",$BS258&lt;&gt;"N/A"),"Battery, ","")&amp;IF(AND($AD258&lt;&gt;"Yes",$AD258&lt;&gt;"N/A"),"Firmware Download, ","")&amp;IF(AND(OR($AD258="Yes",$AD258="N/A"),$AE258&lt;&gt;"Yes",$AE258&lt;&gt;"N/A"),"Firmware Install, ","")&amp;IF(AND($CB258&lt;&gt;"Yes",$CB258&lt;&gt;"N/A"),"Device ID, ","")&amp;IF(AND($CC258&lt;&gt;"Yes",$CC258&lt;&gt;"N/A"),"Epic Beans Relay, ",""))="","",LEFT(IF(AND($BR258&lt;&gt;"Yes",$BR258&lt;&gt;"N/A"),"Power Cable, ","")&amp;IF(AND($BS258&lt;&gt;"Yes",$BS258&lt;&gt;"N/A"),"Battery, ","")&amp;IF(AND($AD258&lt;&gt;"Yes",$AD258&lt;&gt;"N/A"),"Firmware Download, ","")&amp;IF(AND(OR($AD258="Yes",$AD258="N/A"),$AE258&lt;&gt;"Yes",$AE258&lt;&gt;"N/A"),"Firmware Install, ","")&amp;IF(AND($CB258&lt;&gt;"Yes",$CB258&lt;&gt;"N/A"),"Device ID, ","")&amp;IF(AND($CC258&lt;&gt;"Yes",$CC258&lt;&gt;"N/A"),"Epic Beans Relay, ",""),LEN(IF(AND($BR258&lt;&gt;"Yes",$BR258&lt;&gt;"N/A"),"Power Cable, ","")&amp;IF(AND($BS258&lt;&gt;"Yes",$BS258&lt;&gt;"N/A"),"Battery, ","")&amp;IF(AND($AD258&lt;&gt;"Yes",$AD258&lt;&gt;"N/A"),"Firmware Download, ","")&amp;IF(AND(OR($AD258="Yes",$AD258="N/A"),$AE258&lt;&gt;"Yes",$AE258&lt;&gt;"N/A"),"Firmware Install, ","")&amp;IF(AND($CB258&lt;&gt;"Yes",$CB258&lt;&gt;"N/A"),"Device ID, ","")&amp;IF(AND($CC258&lt;&gt;"Yes",$CC258&lt;&gt;"N/A"),"Epic Beans Relay, ",""))-2)))</f>
        <v/>
      </c>
      <c r="CE258">
        <f>IF($Y258="","",IF($CD258="","Yes","Blocked"))</f>
        <v/>
      </c>
      <c r="CF258" t="inlineStr">
        <is>
          <t>Yes</t>
        </is>
      </c>
      <c r="CG258" t="inlineStr">
        <is>
          <t>Yes</t>
        </is>
      </c>
      <c r="CH258" t="inlineStr">
        <is>
          <t>Yes</t>
        </is>
      </c>
      <c r="CI258" t="inlineStr">
        <is>
          <t>Yes</t>
        </is>
      </c>
      <c r="CJ258" t="inlineStr">
        <is>
          <t>Yes</t>
        </is>
      </c>
      <c r="CK258" t="n">
        <v>19200</v>
      </c>
      <c r="CP258">
        <f>IF($CO258="","",IFERROR(VLOOKUP($CO258,'01_Warehouse_Ledger'!$A:$N,4,FALSE),""))</f>
        <v/>
      </c>
      <c r="CQ258">
        <f>IF($CO258="","",IFERROR(VLOOKUP($CO258,'01_Warehouse_Ledger'!$A:$N,5,FALSE),""))</f>
        <v/>
      </c>
      <c r="CR258">
        <f>IF($CO258="","",IFERROR(VLOOKUP($CO258,'01_Warehouse_Ledger'!$A:$N,13,FALSE),""))</f>
        <v/>
      </c>
      <c r="CW258">
        <f>IF($S258="","",IF(UPPER(TRIM($S258))&lt;&gt;"PASS","",IF(LEN(TRIM($BY258))&gt;0,"NOTES_PRESENT",IF(LEN(TRIM($T258))=0,"SET_NA",IF(OR(LOWER(TRIM($T258))="na",LOWER(TRIM($T258))="n/a"),"OK","MANUAL_OVERRIDE")))))</f>
        <v/>
      </c>
    </row>
    <row r="259">
      <c r="A259" t="inlineStr">
        <is>
          <t>Cybernet</t>
        </is>
      </c>
      <c r="B259" s="5" t="inlineStr">
        <is>
          <t>No</t>
        </is>
      </c>
      <c r="C259" t="inlineStr">
        <is>
          <t>No</t>
        </is>
      </c>
      <c r="D259">
        <f>IF($B259&lt;&gt;"Yes","",IF($C259="No","Yes",IF($C259="Yes","No","")))</f>
        <v/>
      </c>
      <c r="E259">
        <f>IF($A259="","",IF(OR(AND($V259&lt;&gt;"",LOWER(TRIM($V259))&lt;&gt;"n/a",LOWER(TRIM($V259))&lt;&gt;"na",SUMPRODUCT(--(UPPER(TRIM($V$2:$V$518))=UPPER(TRIM($V259))),--(TRIM($V$2:$V$518)&lt;&gt;""),--(LOWER(TRIM($V$2:$V$518))&lt;&gt;"n/a"),--(LOWER(TRIM($V$2:$V$518))&lt;&gt;"na"))&gt;1),AND($W259&lt;&gt;"",LOWER(TRIM($W259))&lt;&gt;"n/a",LOWER(TRIM($W259))&lt;&gt;"na",SUMPRODUCT(--(UPPER(TRIM($W$2:$W$518))=UPPER(TRIM($W259))),--(TRIM($W$2:$W$518)&lt;&gt;""),--(LOWER(TRIM($W$2:$W$518))&lt;&gt;"n/a"),--(LOWER(TRIM($W$2:$W$518))&lt;&gt;"na"))&gt;1),AND($X259&lt;&gt;"",LOWER(TRIM($X259))&lt;&gt;"n/a",LOWER(TRIM($X259))&lt;&gt;"na",SUMPRODUCT(--(UPPER(TRIM($X$2:$X$518))=UPPER(TRIM($X259))),--(TRIM($X$2:$X$518)&lt;&gt;""),--(LOWER(TRIM($X$2:$X$518))&lt;&gt;"n/a"),--(LOWER(TRIM($X$2:$X$518))&lt;&gt;"na"))&gt;1),AND($Y259&lt;&gt;"",LOWER(TRIM($Y259))&lt;&gt;"n/a",LOWER(TRIM($Y259))&lt;&gt;"na",SUMPRODUCT(--(UPPER(SUBSTITUTE(SUBSTITUTE(TRIM($Y$2:$Y$518),":",""),"-",""))=UPPER(SUBSTITUTE(SUBSTITUTE(TRIM($Y259),":",""),"-",""))),--(TRIM($Y$2:$Y$518)&lt;&gt;""),--(LOWER(TRIM($Y$2:$Y$518))&lt;&gt;"n/a"),--(LOWER(TRIM($Y$2:$Y$518))&lt;&gt;"na"))&gt;1),AND($AB259&lt;&gt;"",LOWER(TRIM($AB259))&lt;&gt;"n/a",LOWER(TRIM($AB259))&lt;&gt;"na",SUMPRODUCT(--(UPPER(TRIM($AB$2:$AB$518))=UPPER(TRIM($AB259))),--(TRIM($AB$2:$AB$518)&lt;&gt;""),--(LOWER(TRIM($AB$2:$AB$518))&lt;&gt;"n/a"),--(LOWER(TRIM($AB$2:$AB$518))&lt;&gt;"na"))&gt;1),AND($AH259&lt;&gt;"",LOWER(TRIM($AH259))&lt;&gt;"n/a",LOWER(TRIM($AH259))&lt;&gt;"na",SUMPRODUCT(--(UPPER(SUBSTITUTE(SUBSTITUTE(TRIM($AH$2:$AH$518),":",""),"-",""))=UPPER(SUBSTITUTE(SUBSTITUTE(TRIM($AH259),":",""),"-",""))),--(TRIM($AH$2:$AH$518)&lt;&gt;""),--(LOWER(TRIM($AH$2:$AH$518))&lt;&gt;"n/a"),--(LOWER(TRIM($AH$2:$AH$518))&lt;&gt;"na"))&gt;1),AND($AP259&lt;&gt;"",LOWER(TRIM($AP259))&lt;&gt;"n/a",LOWER(TRIM($AP259))&lt;&gt;"na",SUMPRODUCT(--(UPPER(TRIM($AP$2:$AP$518))=UPPER(TRIM($AP259))),--(TRIM($AP$2:$AP$518)&lt;&gt;""),--(LOWER(TRIM($AP$2:$AP$518))&lt;&gt;"n/a"),--(LOWER(TRIM($AP$2:$AP$518))&lt;&gt;"na"))&gt;1),AND($AQ259&lt;&gt;"",LOWER(TRIM($AQ259))&lt;&gt;"n/a",LOWER(TRIM($AQ259))&lt;&gt;"na",SUMPRODUCT(--(UPPER(TRIM($AQ$2:$AQ$518))=UPPER(TRIM($AQ259))),--(TRIM($AQ$2:$AQ$518)&lt;&gt;""),--(LOWER(TRIM($AQ$2:$AQ$518))&lt;&gt;"n/a"),--(LOWER(TRIM($AQ$2:$AQ$518))&lt;&gt;"na"))&gt;1)),"Yes","No"))</f>
        <v/>
      </c>
      <c r="F259">
        <f>IF(UPPER(TRIM($B259))&lt;&gt;"YES","", IF(OR(AND($V259&lt;&gt;"", LOWER(TRIM($V259))&lt;&gt;"n/a", LOWER(TRIM($V259))&lt;&gt;"na", SUMPRODUCT(--(UPPER(TRIM($V$2:$V$518))=UPPER(TRIM($V259))), --(UPPER(TRIM($B$2:$B$518))="YES"), --(UPPER(TRIM($G$2:$G$518)&amp;TRIM($I$2:$I$518)&amp;TRIM($J$2:$J$518))&lt;&gt;UPPER(TRIM($G259)&amp;TRIM($I259)&amp;TRIM($J259))))&gt;0), AND($W259&lt;&gt;"", LOWER(TRIM($W259))&lt;&gt;"n/a", LOWER(TRIM($W259))&lt;&gt;"na", SUMPRODUCT(--(UPPER(TRIM($W$2:$W$518))=UPPER(TRIM($W259))), --(UPPER(TRIM($B$2:$B$518))="YES"), --(UPPER(TRIM($G$2:$G$518)&amp;TRIM($I$2:$I$518)&amp;TRIM($J$2:$J$518))&lt;&gt;UPPER(TRIM($G259)&amp;TRIM($I259)&amp;TRIM($J259))))&gt;0), AND($X259&lt;&gt;"", LOWER(TRIM($X259))&lt;&gt;"n/a", LOWER(TRIM($X259))&lt;&gt;"na", SUMPRODUCT(--(UPPER(TRIM($X$2:$X$518))=UPPER(TRIM($X259))), --(UPPER(TRIM($B$2:$B$518))="YES"), --(UPPER(TRIM($G$2:$G$518)&amp;TRIM($I$2:$I$518)&amp;TRIM($J$2:$J$518))&lt;&gt;UPPER(TRIM($G259)&amp;TRIM($I259)&amp;TRIM($J259))))&gt;0), AND($Y259&lt;&gt;"", LOWER(TRIM($Y259))&lt;&gt;"n/a", LOWER(TRIM($Y259))&lt;&gt;"na", SUMPRODUCT(--(UPPER(SUBSTITUTE(SUBSTITUTE(TRIM($Y$2:$Y$518),":",""),"-",""))=UPPER(SUBSTITUTE(SUBSTITUTE(TRIM($Y259),":",""),"-",""))), --(UPPER(TRIM($B$2:$B$518))="YES"), --(UPPER(TRIM($G$2:$G$518)&amp;TRIM($I$2:$I$518)&amp;TRIM($J$2:$J$518))&lt;&gt;UPPER(TRIM($G259)&amp;TRIM($I259)&amp;TRIM($J259))))&gt;0), AND($AB259&lt;&gt;"", LOWER(TRIM($AB259))&lt;&gt;"n/a", LOWER(TRIM($AB259))&lt;&gt;"na", SUMPRODUCT(--(UPPER(TRIM($AB$2:$AB$518))=UPPER(TRIM($AB259))), --(UPPER(TRIM($B$2:$B$518))="YES"), --(UPPER(TRIM($G$2:$G$518)&amp;TRIM($I$2:$I$518)&amp;TRIM($J$2:$J$518))&lt;&gt;UPPER(TRIM($G259)&amp;TRIM($I259)&amp;TRIM($J259))))&gt;0), AND($AH259&lt;&gt;"", LOWER(TRIM($AH259))&lt;&gt;"n/a", LOWER(TRIM($AH259))&lt;&gt;"na", SUMPRODUCT(--(UPPER(SUBSTITUTE(SUBSTITUTE(TRIM($AH$2:$AH$518),":",""),"-",""))=UPPER(SUBSTITUTE(SUBSTITUTE(TRIM($AH259),":",""),"-",""))), --(UPPER(TRIM($B$2:$B$518))="YES"), --(UPPER(TRIM($G$2:$G$518)&amp;TRIM($I$2:$I$518)&amp;TRIM($J$2:$J$518))&lt;&gt;UPPER(TRIM($G259)&amp;TRIM($I259)&amp;TRIM($J259))))&gt;0), AND($AP259&lt;&gt;"", LOWER(TRIM($AP259))&lt;&gt;"n/a", LOWER(TRIM($AP259))&lt;&gt;"na", SUMPRODUCT(--(UPPER(TRIM($AP$2:$AP$518))=UPPER(TRIM($AP259))), --(UPPER(TRIM($B$2:$B$518))="YES"), --(UPPER(TRIM($G$2:$G$518)&amp;TRIM($I$2:$I$518)&amp;TRIM($J$2:$J$518))&lt;&gt;UPPER(TRIM($G259)&amp;TRIM($I259)&amp;TRIM($J259))))&gt;0), AND($AQ259&lt;&gt;"", LOWER(TRIM($AQ259))&lt;&gt;"n/a", LOWER(TRIM($AQ259))&lt;&gt;"na", SUMPRODUCT(--(UPPER(TRIM($AQ$2:$AQ$518))=UPPER(TRIM($AQ259))), --(UPPER(TRIM($B$2:$B$518))="YES"), --(UPPER(TRIM($G$2:$G$518)&amp;TRIM($I$2:$I$518)&amp;TRIM($J$2:$J$518))&lt;&gt;UPPER(TRIM($G259)&amp;TRIM($I259)&amp;TRIM($J259))))&gt;0)), "Yes", "No"))</f>
        <v/>
      </c>
      <c r="G259" t="inlineStr">
        <is>
          <t>LIJ Main / LIJ OR</t>
        </is>
      </c>
      <c r="H259" t="inlineStr">
        <is>
          <t>LIJ - OR</t>
        </is>
      </c>
      <c r="M259" t="inlineStr">
        <is>
          <t>OR iPro Cybernet Workstation</t>
        </is>
      </c>
      <c r="V259" t="inlineStr">
        <is>
          <t>WNH270OPR451</t>
        </is>
      </c>
      <c r="CA259" t="inlineStr">
        <is>
          <t>iPro
Epic Satellite
ALLSCRIPTS
EPIC BCA</t>
        </is>
      </c>
      <c r="CD259">
        <f>IF($Y259="","",IF((IF(AND($BR259&lt;&gt;"Yes",$BR259&lt;&gt;"N/A"),"Power Cable, ","")&amp;IF(AND($BS259&lt;&gt;"Yes",$BS259&lt;&gt;"N/A"),"Battery, ","")&amp;IF(AND($AD259&lt;&gt;"Yes",$AD259&lt;&gt;"N/A"),"Firmware Download, ","")&amp;IF(AND(OR($AD259="Yes",$AD259="N/A"),$AE259&lt;&gt;"Yes",$AE259&lt;&gt;"N/A"),"Firmware Install, ","")&amp;IF(AND($CB259&lt;&gt;"Yes",$CB259&lt;&gt;"N/A"),"Device ID, ","")&amp;IF(AND($CC259&lt;&gt;"Yes",$CC259&lt;&gt;"N/A"),"Epic Beans Relay, ",""))="","",LEFT(IF(AND($BR259&lt;&gt;"Yes",$BR259&lt;&gt;"N/A"),"Power Cable, ","")&amp;IF(AND($BS259&lt;&gt;"Yes",$BS259&lt;&gt;"N/A"),"Battery, ","")&amp;IF(AND($AD259&lt;&gt;"Yes",$AD259&lt;&gt;"N/A"),"Firmware Download, ","")&amp;IF(AND(OR($AD259="Yes",$AD259="N/A"),$AE259&lt;&gt;"Yes",$AE259&lt;&gt;"N/A"),"Firmware Install, ","")&amp;IF(AND($CB259&lt;&gt;"Yes",$CB259&lt;&gt;"N/A"),"Device ID, ","")&amp;IF(AND($CC259&lt;&gt;"Yes",$CC259&lt;&gt;"N/A"),"Epic Beans Relay, ",""),LEN(IF(AND($BR259&lt;&gt;"Yes",$BR259&lt;&gt;"N/A"),"Power Cable, ","")&amp;IF(AND($BS259&lt;&gt;"Yes",$BS259&lt;&gt;"N/A"),"Battery, ","")&amp;IF(AND($AD259&lt;&gt;"Yes",$AD259&lt;&gt;"N/A"),"Firmware Download, ","")&amp;IF(AND(OR($AD259="Yes",$AD259="N/A"),$AE259&lt;&gt;"Yes",$AE259&lt;&gt;"N/A"),"Firmware Install, ","")&amp;IF(AND($CB259&lt;&gt;"Yes",$CB259&lt;&gt;"N/A"),"Device ID, ","")&amp;IF(AND($CC259&lt;&gt;"Yes",$CC259&lt;&gt;"N/A"),"Epic Beans Relay, ",""))-2)))</f>
        <v/>
      </c>
      <c r="CE259">
        <f>IF($Y259="","",IF($CD259="","Yes","Blocked"))</f>
        <v/>
      </c>
      <c r="CF259" t="inlineStr">
        <is>
          <t>Yes</t>
        </is>
      </c>
      <c r="CG259" t="inlineStr">
        <is>
          <t>Yes</t>
        </is>
      </c>
      <c r="CH259" t="inlineStr">
        <is>
          <t>Yes</t>
        </is>
      </c>
      <c r="CI259" t="inlineStr">
        <is>
          <t>Yes</t>
        </is>
      </c>
      <c r="CJ259" t="inlineStr">
        <is>
          <t>Yes</t>
        </is>
      </c>
      <c r="CK259" t="n">
        <v>19200</v>
      </c>
      <c r="CP259">
        <f>IF($CO259="","",IFERROR(VLOOKUP($CO259,'01_Warehouse_Ledger'!$A:$N,4,FALSE),""))</f>
        <v/>
      </c>
      <c r="CQ259">
        <f>IF($CO259="","",IFERROR(VLOOKUP($CO259,'01_Warehouse_Ledger'!$A:$N,5,FALSE),""))</f>
        <v/>
      </c>
      <c r="CR259">
        <f>IF($CO259="","",IFERROR(VLOOKUP($CO259,'01_Warehouse_Ledger'!$A:$N,13,FALSE),""))</f>
        <v/>
      </c>
      <c r="CW259">
        <f>IF($S259="","",IF(UPPER(TRIM($S259))&lt;&gt;"PASS","",IF(LEN(TRIM($BY259))&gt;0,"NOTES_PRESENT",IF(LEN(TRIM($T259))=0,"SET_NA",IF(OR(LOWER(TRIM($T259))="na",LOWER(TRIM($T259))="n/a"),"OK","MANUAL_OVERRIDE")))))</f>
        <v/>
      </c>
    </row>
    <row r="260">
      <c r="A260" t="inlineStr">
        <is>
          <t>Peripherals</t>
        </is>
      </c>
      <c r="B260" s="5" t="inlineStr">
        <is>
          <t>Yes</t>
        </is>
      </c>
      <c r="C260" t="inlineStr">
        <is>
          <t>Yes</t>
        </is>
      </c>
      <c r="D260">
        <f>IF($B260&lt;&gt;"Yes","",IF($C260="No","Yes",IF($C260="Yes","No","")))</f>
        <v/>
      </c>
      <c r="E260">
        <f>IF($A260="","",IF(OR(AND($V260&lt;&gt;"",LOWER(TRIM($V260))&lt;&gt;"n/a",LOWER(TRIM($V260))&lt;&gt;"na",SUMPRODUCT(--(UPPER(TRIM($V$2:$V$518))=UPPER(TRIM($V260))),--(TRIM($V$2:$V$518)&lt;&gt;""),--(LOWER(TRIM($V$2:$V$518))&lt;&gt;"n/a"),--(LOWER(TRIM($V$2:$V$518))&lt;&gt;"na"))&gt;1),AND($W260&lt;&gt;"",LOWER(TRIM($W260))&lt;&gt;"n/a",LOWER(TRIM($W260))&lt;&gt;"na",SUMPRODUCT(--(UPPER(TRIM($W$2:$W$518))=UPPER(TRIM($W260))),--(TRIM($W$2:$W$518)&lt;&gt;""),--(LOWER(TRIM($W$2:$W$518))&lt;&gt;"n/a"),--(LOWER(TRIM($W$2:$W$518))&lt;&gt;"na"))&gt;1),AND($X260&lt;&gt;"",LOWER(TRIM($X260))&lt;&gt;"n/a",LOWER(TRIM($X260))&lt;&gt;"na",SUMPRODUCT(--(UPPER(TRIM($X$2:$X$518))=UPPER(TRIM($X260))),--(TRIM($X$2:$X$518)&lt;&gt;""),--(LOWER(TRIM($X$2:$X$518))&lt;&gt;"n/a"),--(LOWER(TRIM($X$2:$X$518))&lt;&gt;"na"))&gt;1),AND($Y260&lt;&gt;"",LOWER(TRIM($Y260))&lt;&gt;"n/a",LOWER(TRIM($Y260))&lt;&gt;"na",SUMPRODUCT(--(UPPER(SUBSTITUTE(SUBSTITUTE(TRIM($Y$2:$Y$518),":",""),"-",""))=UPPER(SUBSTITUTE(SUBSTITUTE(TRIM($Y260),":",""),"-",""))),--(TRIM($Y$2:$Y$518)&lt;&gt;""),--(LOWER(TRIM($Y$2:$Y$518))&lt;&gt;"n/a"),--(LOWER(TRIM($Y$2:$Y$518))&lt;&gt;"na"))&gt;1),AND($AB260&lt;&gt;"",LOWER(TRIM($AB260))&lt;&gt;"n/a",LOWER(TRIM($AB260))&lt;&gt;"na",SUMPRODUCT(--(UPPER(TRIM($AB$2:$AB$518))=UPPER(TRIM($AB260))),--(TRIM($AB$2:$AB$518)&lt;&gt;""),--(LOWER(TRIM($AB$2:$AB$518))&lt;&gt;"n/a"),--(LOWER(TRIM($AB$2:$AB$518))&lt;&gt;"na"))&gt;1),AND($AH260&lt;&gt;"",LOWER(TRIM($AH260))&lt;&gt;"n/a",LOWER(TRIM($AH260))&lt;&gt;"na",SUMPRODUCT(--(UPPER(SUBSTITUTE(SUBSTITUTE(TRIM($AH$2:$AH$518),":",""),"-",""))=UPPER(SUBSTITUTE(SUBSTITUTE(TRIM($AH260),":",""),"-",""))),--(TRIM($AH$2:$AH$518)&lt;&gt;""),--(LOWER(TRIM($AH$2:$AH$518))&lt;&gt;"n/a"),--(LOWER(TRIM($AH$2:$AH$518))&lt;&gt;"na"))&gt;1),AND($AP260&lt;&gt;"",LOWER(TRIM($AP260))&lt;&gt;"n/a",LOWER(TRIM($AP260))&lt;&gt;"na",SUMPRODUCT(--(UPPER(TRIM($AP$2:$AP$518))=UPPER(TRIM($AP260))),--(TRIM($AP$2:$AP$518)&lt;&gt;""),--(LOWER(TRIM($AP$2:$AP$518))&lt;&gt;"n/a"),--(LOWER(TRIM($AP$2:$AP$518))&lt;&gt;"na"))&gt;1),AND($AQ260&lt;&gt;"",LOWER(TRIM($AQ260))&lt;&gt;"n/a",LOWER(TRIM($AQ260))&lt;&gt;"na",SUMPRODUCT(--(UPPER(TRIM($AQ$2:$AQ$518))=UPPER(TRIM($AQ260))),--(TRIM($AQ$2:$AQ$518)&lt;&gt;""),--(LOWER(TRIM($AQ$2:$AQ$518))&lt;&gt;"n/a"),--(LOWER(TRIM($AQ$2:$AQ$518))&lt;&gt;"na"))&gt;1)),"Yes","No"))</f>
        <v/>
      </c>
      <c r="F260">
        <f>IF(UPPER(TRIM($B260))&lt;&gt;"YES","", IF(OR(AND($V260&lt;&gt;"", LOWER(TRIM($V260))&lt;&gt;"n/a", LOWER(TRIM($V260))&lt;&gt;"na", SUMPRODUCT(--(UPPER(TRIM($V$2:$V$518))=UPPER(TRIM($V260))), --(UPPER(TRIM($B$2:$B$518))="YES"), --(UPPER(TRIM($G$2:$G$518)&amp;TRIM($I$2:$I$518)&amp;TRIM($J$2:$J$518))&lt;&gt;UPPER(TRIM($G260)&amp;TRIM($I260)&amp;TRIM($J260))))&gt;0), AND($W260&lt;&gt;"", LOWER(TRIM($W260))&lt;&gt;"n/a", LOWER(TRIM($W260))&lt;&gt;"na", SUMPRODUCT(--(UPPER(TRIM($W$2:$W$518))=UPPER(TRIM($W260))), --(UPPER(TRIM($B$2:$B$518))="YES"), --(UPPER(TRIM($G$2:$G$518)&amp;TRIM($I$2:$I$518)&amp;TRIM($J$2:$J$518))&lt;&gt;UPPER(TRIM($G260)&amp;TRIM($I260)&amp;TRIM($J260))))&gt;0), AND($X260&lt;&gt;"", LOWER(TRIM($X260))&lt;&gt;"n/a", LOWER(TRIM($X260))&lt;&gt;"na", SUMPRODUCT(--(UPPER(TRIM($X$2:$X$518))=UPPER(TRIM($X260))), --(UPPER(TRIM($B$2:$B$518))="YES"), --(UPPER(TRIM($G$2:$G$518)&amp;TRIM($I$2:$I$518)&amp;TRIM($J$2:$J$518))&lt;&gt;UPPER(TRIM($G260)&amp;TRIM($I260)&amp;TRIM($J260))))&gt;0), AND($Y260&lt;&gt;"", LOWER(TRIM($Y260))&lt;&gt;"n/a", LOWER(TRIM($Y260))&lt;&gt;"na", SUMPRODUCT(--(UPPER(SUBSTITUTE(SUBSTITUTE(TRIM($Y$2:$Y$518),":",""),"-",""))=UPPER(SUBSTITUTE(SUBSTITUTE(TRIM($Y260),":",""),"-",""))), --(UPPER(TRIM($B$2:$B$518))="YES"), --(UPPER(TRIM($G$2:$G$518)&amp;TRIM($I$2:$I$518)&amp;TRIM($J$2:$J$518))&lt;&gt;UPPER(TRIM($G260)&amp;TRIM($I260)&amp;TRIM($J260))))&gt;0), AND($AB260&lt;&gt;"", LOWER(TRIM($AB260))&lt;&gt;"n/a", LOWER(TRIM($AB260))&lt;&gt;"na", SUMPRODUCT(--(UPPER(TRIM($AB$2:$AB$518))=UPPER(TRIM($AB260))), --(UPPER(TRIM($B$2:$B$518))="YES"), --(UPPER(TRIM($G$2:$G$518)&amp;TRIM($I$2:$I$518)&amp;TRIM($J$2:$J$518))&lt;&gt;UPPER(TRIM($G260)&amp;TRIM($I260)&amp;TRIM($J260))))&gt;0), AND($AH260&lt;&gt;"", LOWER(TRIM($AH260))&lt;&gt;"n/a", LOWER(TRIM($AH260))&lt;&gt;"na", SUMPRODUCT(--(UPPER(SUBSTITUTE(SUBSTITUTE(TRIM($AH$2:$AH$518),":",""),"-",""))=UPPER(SUBSTITUTE(SUBSTITUTE(TRIM($AH260),":",""),"-",""))), --(UPPER(TRIM($B$2:$B$518))="YES"), --(UPPER(TRIM($G$2:$G$518)&amp;TRIM($I$2:$I$518)&amp;TRIM($J$2:$J$518))&lt;&gt;UPPER(TRIM($G260)&amp;TRIM($I260)&amp;TRIM($J260))))&gt;0), AND($AP260&lt;&gt;"", LOWER(TRIM($AP260))&lt;&gt;"n/a", LOWER(TRIM($AP260))&lt;&gt;"na", SUMPRODUCT(--(UPPER(TRIM($AP$2:$AP$518))=UPPER(TRIM($AP260))), --(UPPER(TRIM($B$2:$B$518))="YES"), --(UPPER(TRIM($G$2:$G$518)&amp;TRIM($I$2:$I$518)&amp;TRIM($J$2:$J$518))&lt;&gt;UPPER(TRIM($G260)&amp;TRIM($I260)&amp;TRIM($J260))))&gt;0), AND($AQ260&lt;&gt;"", LOWER(TRIM($AQ260))&lt;&gt;"n/a", LOWER(TRIM($AQ260))&lt;&gt;"na", SUMPRODUCT(--(UPPER(TRIM($AQ$2:$AQ$518))=UPPER(TRIM($AQ260))), --(UPPER(TRIM($B$2:$B$518))="YES"), --(UPPER(TRIM($G$2:$G$518)&amp;TRIM($I$2:$I$518)&amp;TRIM($J$2:$J$518))&lt;&gt;UPPER(TRIM($G260)&amp;TRIM($I260)&amp;TRIM($J260))))&gt;0)), "Yes", "No"))</f>
        <v/>
      </c>
      <c r="G260" t="inlineStr">
        <is>
          <t>LIJVS</t>
        </is>
      </c>
      <c r="H260" t="inlineStr">
        <is>
          <t>LIJVS</t>
        </is>
      </c>
      <c r="I260" t="inlineStr">
        <is>
          <t>Endoscopy Suite</t>
        </is>
      </c>
      <c r="J260" t="inlineStr">
        <is>
          <t>1-C-2</t>
        </is>
      </c>
      <c r="S260" t="inlineStr">
        <is>
          <t>Pass</t>
        </is>
      </c>
      <c r="V260" t="inlineStr">
        <is>
          <t>WVS900OPR028</t>
        </is>
      </c>
      <c r="W260" t="inlineStr">
        <is>
          <t>MEDNG2425E-3292</t>
        </is>
      </c>
      <c r="X260" t="inlineStr">
        <is>
          <t>ff</t>
        </is>
      </c>
      <c r="Y260" t="inlineStr">
        <is>
          <t>A0F5097FA59B</t>
        </is>
      </c>
      <c r="AB260" t="inlineStr">
        <is>
          <t>WA23C03815</t>
        </is>
      </c>
      <c r="AC260" t="inlineStr">
        <is>
          <t>LIJVS</t>
        </is>
      </c>
      <c r="AH260" t="inlineStr">
        <is>
          <t>DC:90:09:61:8B:EA</t>
        </is>
      </c>
      <c r="AI260" t="inlineStr">
        <is>
          <t>Anesthesia Machine</t>
        </is>
      </c>
      <c r="AK260" t="n">
        <v>1</v>
      </c>
      <c r="AM260" t="inlineStr">
        <is>
          <t>Mindray A5 - EJ-57023077</t>
        </is>
      </c>
      <c r="AS260" t="inlineStr">
        <is>
          <t>B1-CFD</t>
        </is>
      </c>
      <c r="AX260" t="inlineStr">
        <is>
          <t>MX550</t>
        </is>
      </c>
      <c r="AY260" t="inlineStr">
        <is>
          <t>Philips Mindray</t>
        </is>
      </c>
      <c r="BT260" t="inlineStr">
        <is>
          <t>Yes</t>
        </is>
      </c>
      <c r="BU260" t="inlineStr">
        <is>
          <t>Yes</t>
        </is>
      </c>
      <c r="BW260" t="inlineStr">
        <is>
          <t>Yes</t>
        </is>
      </c>
      <c r="BY260" t="inlineStr">
        <is>
          <t>ran AL</t>
        </is>
      </c>
      <c r="CF260" t="inlineStr">
        <is>
          <t>Yes</t>
        </is>
      </c>
      <c r="CG260" t="inlineStr">
        <is>
          <t>Yes</t>
        </is>
      </c>
      <c r="CH260" t="inlineStr">
        <is>
          <t>Yes</t>
        </is>
      </c>
      <c r="CI260" t="inlineStr">
        <is>
          <t>Yes</t>
        </is>
      </c>
      <c r="CW260">
        <f>IF($S260="","",IF(UPPER(TRIM($S260))&lt;&gt;"PASS","",IF(LEN(TRIM($BY260))&gt;0,"NOTES_PRESENT",IF(LEN(TRIM($T260))=0,"SET_NA",IF(OR(LOWER(TRIM($T260))="na",LOWER(TRIM($T260))="n/a"),"OK","MANUAL_OVERRIDE")))))</f>
        <v/>
      </c>
    </row>
    <row r="261">
      <c r="A261" t="inlineStr">
        <is>
          <t>Peripherals</t>
        </is>
      </c>
      <c r="B261" s="5" t="inlineStr">
        <is>
          <t>Yes</t>
        </is>
      </c>
      <c r="C261" t="inlineStr">
        <is>
          <t>Yes</t>
        </is>
      </c>
      <c r="D261">
        <f>IF($B261&lt;&gt;"Yes","",IF($C261="No","Yes",IF($C261="Yes","No","")))</f>
        <v/>
      </c>
      <c r="E261">
        <f>IF($A261="","",IF(OR(AND($V261&lt;&gt;"",LOWER(TRIM($V261))&lt;&gt;"n/a",LOWER(TRIM($V261))&lt;&gt;"na",SUMPRODUCT(--(UPPER(TRIM($V$2:$V$518))=UPPER(TRIM($V261))),--(TRIM($V$2:$V$518)&lt;&gt;""),--(LOWER(TRIM($V$2:$V$518))&lt;&gt;"n/a"),--(LOWER(TRIM($V$2:$V$518))&lt;&gt;"na"))&gt;1),AND($W261&lt;&gt;"",LOWER(TRIM($W261))&lt;&gt;"n/a",LOWER(TRIM($W261))&lt;&gt;"na",SUMPRODUCT(--(UPPER(TRIM($W$2:$W$518))=UPPER(TRIM($W261))),--(TRIM($W$2:$W$518)&lt;&gt;""),--(LOWER(TRIM($W$2:$W$518))&lt;&gt;"n/a"),--(LOWER(TRIM($W$2:$W$518))&lt;&gt;"na"))&gt;1),AND($X261&lt;&gt;"",LOWER(TRIM($X261))&lt;&gt;"n/a",LOWER(TRIM($X261))&lt;&gt;"na",SUMPRODUCT(--(UPPER(TRIM($X$2:$X$518))=UPPER(TRIM($X261))),--(TRIM($X$2:$X$518)&lt;&gt;""),--(LOWER(TRIM($X$2:$X$518))&lt;&gt;"n/a"),--(LOWER(TRIM($X$2:$X$518))&lt;&gt;"na"))&gt;1),AND($Y261&lt;&gt;"",LOWER(TRIM($Y261))&lt;&gt;"n/a",LOWER(TRIM($Y261))&lt;&gt;"na",SUMPRODUCT(--(UPPER(SUBSTITUTE(SUBSTITUTE(TRIM($Y$2:$Y$518),":",""),"-",""))=UPPER(SUBSTITUTE(SUBSTITUTE(TRIM($Y261),":",""),"-",""))),--(TRIM($Y$2:$Y$518)&lt;&gt;""),--(LOWER(TRIM($Y$2:$Y$518))&lt;&gt;"n/a"),--(LOWER(TRIM($Y$2:$Y$518))&lt;&gt;"na"))&gt;1),AND($AB261&lt;&gt;"",LOWER(TRIM($AB261))&lt;&gt;"n/a",LOWER(TRIM($AB261))&lt;&gt;"na",SUMPRODUCT(--(UPPER(TRIM($AB$2:$AB$518))=UPPER(TRIM($AB261))),--(TRIM($AB$2:$AB$518)&lt;&gt;""),--(LOWER(TRIM($AB$2:$AB$518))&lt;&gt;"n/a"),--(LOWER(TRIM($AB$2:$AB$518))&lt;&gt;"na"))&gt;1),AND($AH261&lt;&gt;"",LOWER(TRIM($AH261))&lt;&gt;"n/a",LOWER(TRIM($AH261))&lt;&gt;"na",SUMPRODUCT(--(UPPER(SUBSTITUTE(SUBSTITUTE(TRIM($AH$2:$AH$518),":",""),"-",""))=UPPER(SUBSTITUTE(SUBSTITUTE(TRIM($AH261),":",""),"-",""))),--(TRIM($AH$2:$AH$518)&lt;&gt;""),--(LOWER(TRIM($AH$2:$AH$518))&lt;&gt;"n/a"),--(LOWER(TRIM($AH$2:$AH$518))&lt;&gt;"na"))&gt;1),AND($AP261&lt;&gt;"",LOWER(TRIM($AP261))&lt;&gt;"n/a",LOWER(TRIM($AP261))&lt;&gt;"na",SUMPRODUCT(--(UPPER(TRIM($AP$2:$AP$518))=UPPER(TRIM($AP261))),--(TRIM($AP$2:$AP$518)&lt;&gt;""),--(LOWER(TRIM($AP$2:$AP$518))&lt;&gt;"n/a"),--(LOWER(TRIM($AP$2:$AP$518))&lt;&gt;"na"))&gt;1),AND($AQ261&lt;&gt;"",LOWER(TRIM($AQ261))&lt;&gt;"n/a",LOWER(TRIM($AQ261))&lt;&gt;"na",SUMPRODUCT(--(UPPER(TRIM($AQ$2:$AQ$518))=UPPER(TRIM($AQ261))),--(TRIM($AQ$2:$AQ$518)&lt;&gt;""),--(LOWER(TRIM($AQ$2:$AQ$518))&lt;&gt;"n/a"),--(LOWER(TRIM($AQ$2:$AQ$518))&lt;&gt;"na"))&gt;1)),"Yes","No"))</f>
        <v/>
      </c>
      <c r="F261">
        <f>IF(UPPER(TRIM($B261))&lt;&gt;"YES","", IF(OR(AND($V261&lt;&gt;"", LOWER(TRIM($V261))&lt;&gt;"n/a", LOWER(TRIM($V261))&lt;&gt;"na", SUMPRODUCT(--(UPPER(TRIM($V$2:$V$518))=UPPER(TRIM($V261))), --(UPPER(TRIM($B$2:$B$518))="YES"), --(UPPER(TRIM($G$2:$G$518)&amp;TRIM($I$2:$I$518)&amp;TRIM($J$2:$J$518))&lt;&gt;UPPER(TRIM($G261)&amp;TRIM($I261)&amp;TRIM($J261))))&gt;0), AND($W261&lt;&gt;"", LOWER(TRIM($W261))&lt;&gt;"n/a", LOWER(TRIM($W261))&lt;&gt;"na", SUMPRODUCT(--(UPPER(TRIM($W$2:$W$518))=UPPER(TRIM($W261))), --(UPPER(TRIM($B$2:$B$518))="YES"), --(UPPER(TRIM($G$2:$G$518)&amp;TRIM($I$2:$I$518)&amp;TRIM($J$2:$J$518))&lt;&gt;UPPER(TRIM($G261)&amp;TRIM($I261)&amp;TRIM($J261))))&gt;0), AND($X261&lt;&gt;"", LOWER(TRIM($X261))&lt;&gt;"n/a", LOWER(TRIM($X261))&lt;&gt;"na", SUMPRODUCT(--(UPPER(TRIM($X$2:$X$518))=UPPER(TRIM($X261))), --(UPPER(TRIM($B$2:$B$518))="YES"), --(UPPER(TRIM($G$2:$G$518)&amp;TRIM($I$2:$I$518)&amp;TRIM($J$2:$J$518))&lt;&gt;UPPER(TRIM($G261)&amp;TRIM($I261)&amp;TRIM($J261))))&gt;0), AND($Y261&lt;&gt;"", LOWER(TRIM($Y261))&lt;&gt;"n/a", LOWER(TRIM($Y261))&lt;&gt;"na", SUMPRODUCT(--(UPPER(SUBSTITUTE(SUBSTITUTE(TRIM($Y$2:$Y$518),":",""),"-",""))=UPPER(SUBSTITUTE(SUBSTITUTE(TRIM($Y261),":",""),"-",""))), --(UPPER(TRIM($B$2:$B$518))="YES"), --(UPPER(TRIM($G$2:$G$518)&amp;TRIM($I$2:$I$518)&amp;TRIM($J$2:$J$518))&lt;&gt;UPPER(TRIM($G261)&amp;TRIM($I261)&amp;TRIM($J261))))&gt;0), AND($AB261&lt;&gt;"", LOWER(TRIM($AB261))&lt;&gt;"n/a", LOWER(TRIM($AB261))&lt;&gt;"na", SUMPRODUCT(--(UPPER(TRIM($AB$2:$AB$518))=UPPER(TRIM($AB261))), --(UPPER(TRIM($B$2:$B$518))="YES"), --(UPPER(TRIM($G$2:$G$518)&amp;TRIM($I$2:$I$518)&amp;TRIM($J$2:$J$518))&lt;&gt;UPPER(TRIM($G261)&amp;TRIM($I261)&amp;TRIM($J261))))&gt;0), AND($AH261&lt;&gt;"", LOWER(TRIM($AH261))&lt;&gt;"n/a", LOWER(TRIM($AH261))&lt;&gt;"na", SUMPRODUCT(--(UPPER(SUBSTITUTE(SUBSTITUTE(TRIM($AH$2:$AH$518),":",""),"-",""))=UPPER(SUBSTITUTE(SUBSTITUTE(TRIM($AH261),":",""),"-",""))), --(UPPER(TRIM($B$2:$B$518))="YES"), --(UPPER(TRIM($G$2:$G$518)&amp;TRIM($I$2:$I$518)&amp;TRIM($J$2:$J$518))&lt;&gt;UPPER(TRIM($G261)&amp;TRIM($I261)&amp;TRIM($J261))))&gt;0), AND($AP261&lt;&gt;"", LOWER(TRIM($AP261))&lt;&gt;"n/a", LOWER(TRIM($AP261))&lt;&gt;"na", SUMPRODUCT(--(UPPER(TRIM($AP$2:$AP$518))=UPPER(TRIM($AP261))), --(UPPER(TRIM($B$2:$B$518))="YES"), --(UPPER(TRIM($G$2:$G$518)&amp;TRIM($I$2:$I$518)&amp;TRIM($J$2:$J$518))&lt;&gt;UPPER(TRIM($G261)&amp;TRIM($I261)&amp;TRIM($J261))))&gt;0), AND($AQ261&lt;&gt;"", LOWER(TRIM($AQ261))&lt;&gt;"n/a", LOWER(TRIM($AQ261))&lt;&gt;"na", SUMPRODUCT(--(UPPER(TRIM($AQ$2:$AQ$518))=UPPER(TRIM($AQ261))), --(UPPER(TRIM($B$2:$B$518))="YES"), --(UPPER(TRIM($G$2:$G$518)&amp;TRIM($I$2:$I$518)&amp;TRIM($J$2:$J$518))&lt;&gt;UPPER(TRIM($G261)&amp;TRIM($I261)&amp;TRIM($J261))))&gt;0)), "Yes", "No"))</f>
        <v/>
      </c>
      <c r="G261" t="inlineStr">
        <is>
          <t>LIJVS</t>
        </is>
      </c>
      <c r="H261" t="inlineStr">
        <is>
          <t>LIJVS</t>
        </is>
      </c>
      <c r="I261" t="inlineStr">
        <is>
          <t>OR</t>
        </is>
      </c>
      <c r="J261" t="inlineStr">
        <is>
          <t>OR 7</t>
        </is>
      </c>
      <c r="S261" t="inlineStr">
        <is>
          <t>Pass</t>
        </is>
      </c>
      <c r="V261" t="inlineStr">
        <is>
          <t>WVS900OPR023</t>
        </is>
      </c>
      <c r="W261" t="inlineStr">
        <is>
          <t>MEDNG2425E-3673</t>
        </is>
      </c>
      <c r="Y261" t="inlineStr">
        <is>
          <t>A0F5097FA526</t>
        </is>
      </c>
      <c r="AB261" t="inlineStr">
        <is>
          <t>WA23C03913</t>
        </is>
      </c>
      <c r="AH261" t="inlineStr">
        <is>
          <t>n/a</t>
        </is>
      </c>
      <c r="AI261" t="inlineStr">
        <is>
          <t>Anesthesia Machine</t>
        </is>
      </c>
      <c r="AK261" t="n">
        <v>1</v>
      </c>
      <c r="AM261" t="inlineStr">
        <is>
          <t>Drager Apollo</t>
        </is>
      </c>
      <c r="AX261" t="inlineStr">
        <is>
          <t>Neuron</t>
        </is>
      </c>
      <c r="AY261" t="inlineStr">
        <is>
          <t>Phillips</t>
        </is>
      </c>
      <c r="BT261" t="inlineStr">
        <is>
          <t>Yes</t>
        </is>
      </c>
      <c r="BU261" t="inlineStr">
        <is>
          <t>Yes</t>
        </is>
      </c>
      <c r="BW261" t="inlineStr">
        <is>
          <t>Yes</t>
        </is>
      </c>
      <c r="BY261" t="inlineStr">
        <is>
          <t>ran AL</t>
        </is>
      </c>
      <c r="CF261" t="inlineStr">
        <is>
          <t>Yes</t>
        </is>
      </c>
      <c r="CG261" t="inlineStr">
        <is>
          <t>Yes</t>
        </is>
      </c>
      <c r="CH261" t="inlineStr">
        <is>
          <t>Yes</t>
        </is>
      </c>
      <c r="CI261" t="inlineStr">
        <is>
          <t>Yes</t>
        </is>
      </c>
      <c r="CW261">
        <f>IF($S261="","",IF(UPPER(TRIM($S261))&lt;&gt;"PASS","",IF(LEN(TRIM($BY261))&gt;0,"NOTES_PRESENT",IF(LEN(TRIM($T261))=0,"SET_NA",IF(OR(LOWER(TRIM($T261))="na",LOWER(TRIM($T261))="n/a"),"OK","MANUAL_OVERRIDE")))))</f>
        <v/>
      </c>
    </row>
    <row r="262">
      <c r="A262" t="inlineStr">
        <is>
          <t>Peripherals</t>
        </is>
      </c>
      <c r="B262" s="5" t="inlineStr">
        <is>
          <t>Yes</t>
        </is>
      </c>
      <c r="C262" t="inlineStr">
        <is>
          <t>Yes</t>
        </is>
      </c>
      <c r="D262">
        <f>IF($B262&lt;&gt;"Yes","",IF($C262="No","Yes",IF($C262="Yes","No","")))</f>
        <v/>
      </c>
      <c r="E262">
        <f>IF($A262="","",IF(OR(AND($V262&lt;&gt;"",LOWER(TRIM($V262))&lt;&gt;"n/a",LOWER(TRIM($V262))&lt;&gt;"na",SUMPRODUCT(--(UPPER(TRIM($V$2:$V$518))=UPPER(TRIM($V262))),--(TRIM($V$2:$V$518)&lt;&gt;""),--(LOWER(TRIM($V$2:$V$518))&lt;&gt;"n/a"),--(LOWER(TRIM($V$2:$V$518))&lt;&gt;"na"))&gt;1),AND($W262&lt;&gt;"",LOWER(TRIM($W262))&lt;&gt;"n/a",LOWER(TRIM($W262))&lt;&gt;"na",SUMPRODUCT(--(UPPER(TRIM($W$2:$W$518))=UPPER(TRIM($W262))),--(TRIM($W$2:$W$518)&lt;&gt;""),--(LOWER(TRIM($W$2:$W$518))&lt;&gt;"n/a"),--(LOWER(TRIM($W$2:$W$518))&lt;&gt;"na"))&gt;1),AND($X262&lt;&gt;"",LOWER(TRIM($X262))&lt;&gt;"n/a",LOWER(TRIM($X262))&lt;&gt;"na",SUMPRODUCT(--(UPPER(TRIM($X$2:$X$518))=UPPER(TRIM($X262))),--(TRIM($X$2:$X$518)&lt;&gt;""),--(LOWER(TRIM($X$2:$X$518))&lt;&gt;"n/a"),--(LOWER(TRIM($X$2:$X$518))&lt;&gt;"na"))&gt;1),AND($Y262&lt;&gt;"",LOWER(TRIM($Y262))&lt;&gt;"n/a",LOWER(TRIM($Y262))&lt;&gt;"na",SUMPRODUCT(--(UPPER(SUBSTITUTE(SUBSTITUTE(TRIM($Y$2:$Y$518),":",""),"-",""))=UPPER(SUBSTITUTE(SUBSTITUTE(TRIM($Y262),":",""),"-",""))),--(TRIM($Y$2:$Y$518)&lt;&gt;""),--(LOWER(TRIM($Y$2:$Y$518))&lt;&gt;"n/a"),--(LOWER(TRIM($Y$2:$Y$518))&lt;&gt;"na"))&gt;1),AND($AB262&lt;&gt;"",LOWER(TRIM($AB262))&lt;&gt;"n/a",LOWER(TRIM($AB262))&lt;&gt;"na",SUMPRODUCT(--(UPPER(TRIM($AB$2:$AB$518))=UPPER(TRIM($AB262))),--(TRIM($AB$2:$AB$518)&lt;&gt;""),--(LOWER(TRIM($AB$2:$AB$518))&lt;&gt;"n/a"),--(LOWER(TRIM($AB$2:$AB$518))&lt;&gt;"na"))&gt;1),AND($AH262&lt;&gt;"",LOWER(TRIM($AH262))&lt;&gt;"n/a",LOWER(TRIM($AH262))&lt;&gt;"na",SUMPRODUCT(--(UPPER(SUBSTITUTE(SUBSTITUTE(TRIM($AH$2:$AH$518),":",""),"-",""))=UPPER(SUBSTITUTE(SUBSTITUTE(TRIM($AH262),":",""),"-",""))),--(TRIM($AH$2:$AH$518)&lt;&gt;""),--(LOWER(TRIM($AH$2:$AH$518))&lt;&gt;"n/a"),--(LOWER(TRIM($AH$2:$AH$518))&lt;&gt;"na"))&gt;1),AND($AP262&lt;&gt;"",LOWER(TRIM($AP262))&lt;&gt;"n/a",LOWER(TRIM($AP262))&lt;&gt;"na",SUMPRODUCT(--(UPPER(TRIM($AP$2:$AP$518))=UPPER(TRIM($AP262))),--(TRIM($AP$2:$AP$518)&lt;&gt;""),--(LOWER(TRIM($AP$2:$AP$518))&lt;&gt;"n/a"),--(LOWER(TRIM($AP$2:$AP$518))&lt;&gt;"na"))&gt;1),AND($AQ262&lt;&gt;"",LOWER(TRIM($AQ262))&lt;&gt;"n/a",LOWER(TRIM($AQ262))&lt;&gt;"na",SUMPRODUCT(--(UPPER(TRIM($AQ$2:$AQ$518))=UPPER(TRIM($AQ262))),--(TRIM($AQ$2:$AQ$518)&lt;&gt;""),--(LOWER(TRIM($AQ$2:$AQ$518))&lt;&gt;"n/a"),--(LOWER(TRIM($AQ$2:$AQ$518))&lt;&gt;"na"))&gt;1)),"Yes","No"))</f>
        <v/>
      </c>
      <c r="F262">
        <f>IF(UPPER(TRIM($B262))&lt;&gt;"YES","", IF(OR(AND($V262&lt;&gt;"", LOWER(TRIM($V262))&lt;&gt;"n/a", LOWER(TRIM($V262))&lt;&gt;"na", SUMPRODUCT(--(UPPER(TRIM($V$2:$V$518))=UPPER(TRIM($V262))), --(UPPER(TRIM($B$2:$B$518))="YES"), --(UPPER(TRIM($G$2:$G$518)&amp;TRIM($I$2:$I$518)&amp;TRIM($J$2:$J$518))&lt;&gt;UPPER(TRIM($G262)&amp;TRIM($I262)&amp;TRIM($J262))))&gt;0), AND($W262&lt;&gt;"", LOWER(TRIM($W262))&lt;&gt;"n/a", LOWER(TRIM($W262))&lt;&gt;"na", SUMPRODUCT(--(UPPER(TRIM($W$2:$W$518))=UPPER(TRIM($W262))), --(UPPER(TRIM($B$2:$B$518))="YES"), --(UPPER(TRIM($G$2:$G$518)&amp;TRIM($I$2:$I$518)&amp;TRIM($J$2:$J$518))&lt;&gt;UPPER(TRIM($G262)&amp;TRIM($I262)&amp;TRIM($J262))))&gt;0), AND($X262&lt;&gt;"", LOWER(TRIM($X262))&lt;&gt;"n/a", LOWER(TRIM($X262))&lt;&gt;"na", SUMPRODUCT(--(UPPER(TRIM($X$2:$X$518))=UPPER(TRIM($X262))), --(UPPER(TRIM($B$2:$B$518))="YES"), --(UPPER(TRIM($G$2:$G$518)&amp;TRIM($I$2:$I$518)&amp;TRIM($J$2:$J$518))&lt;&gt;UPPER(TRIM($G262)&amp;TRIM($I262)&amp;TRIM($J262))))&gt;0), AND($Y262&lt;&gt;"", LOWER(TRIM($Y262))&lt;&gt;"n/a", LOWER(TRIM($Y262))&lt;&gt;"na", SUMPRODUCT(--(UPPER(SUBSTITUTE(SUBSTITUTE(TRIM($Y$2:$Y$518),":",""),"-",""))=UPPER(SUBSTITUTE(SUBSTITUTE(TRIM($Y262),":",""),"-",""))), --(UPPER(TRIM($B$2:$B$518))="YES"), --(UPPER(TRIM($G$2:$G$518)&amp;TRIM($I$2:$I$518)&amp;TRIM($J$2:$J$518))&lt;&gt;UPPER(TRIM($G262)&amp;TRIM($I262)&amp;TRIM($J262))))&gt;0), AND($AB262&lt;&gt;"", LOWER(TRIM($AB262))&lt;&gt;"n/a", LOWER(TRIM($AB262))&lt;&gt;"na", SUMPRODUCT(--(UPPER(TRIM($AB$2:$AB$518))=UPPER(TRIM($AB262))), --(UPPER(TRIM($B$2:$B$518))="YES"), --(UPPER(TRIM($G$2:$G$518)&amp;TRIM($I$2:$I$518)&amp;TRIM($J$2:$J$518))&lt;&gt;UPPER(TRIM($G262)&amp;TRIM($I262)&amp;TRIM($J262))))&gt;0), AND($AH262&lt;&gt;"", LOWER(TRIM($AH262))&lt;&gt;"n/a", LOWER(TRIM($AH262))&lt;&gt;"na", SUMPRODUCT(--(UPPER(SUBSTITUTE(SUBSTITUTE(TRIM($AH$2:$AH$518),":",""),"-",""))=UPPER(SUBSTITUTE(SUBSTITUTE(TRIM($AH262),":",""),"-",""))), --(UPPER(TRIM($B$2:$B$518))="YES"), --(UPPER(TRIM($G$2:$G$518)&amp;TRIM($I$2:$I$518)&amp;TRIM($J$2:$J$518))&lt;&gt;UPPER(TRIM($G262)&amp;TRIM($I262)&amp;TRIM($J262))))&gt;0), AND($AP262&lt;&gt;"", LOWER(TRIM($AP262))&lt;&gt;"n/a", LOWER(TRIM($AP262))&lt;&gt;"na", SUMPRODUCT(--(UPPER(TRIM($AP$2:$AP$518))=UPPER(TRIM($AP262))), --(UPPER(TRIM($B$2:$B$518))="YES"), --(UPPER(TRIM($G$2:$G$518)&amp;TRIM($I$2:$I$518)&amp;TRIM($J$2:$J$518))&lt;&gt;UPPER(TRIM($G262)&amp;TRIM($I262)&amp;TRIM($J262))))&gt;0), AND($AQ262&lt;&gt;"", LOWER(TRIM($AQ262))&lt;&gt;"n/a", LOWER(TRIM($AQ262))&lt;&gt;"na", SUMPRODUCT(--(UPPER(TRIM($AQ$2:$AQ$518))=UPPER(TRIM($AQ262))), --(UPPER(TRIM($B$2:$B$518))="YES"), --(UPPER(TRIM($G$2:$G$518)&amp;TRIM($I$2:$I$518)&amp;TRIM($J$2:$J$518))&lt;&gt;UPPER(TRIM($G262)&amp;TRIM($I262)&amp;TRIM($J262))))&gt;0)), "Yes", "No"))</f>
        <v/>
      </c>
      <c r="G262" t="inlineStr">
        <is>
          <t>LIJVS</t>
        </is>
      </c>
      <c r="H262" t="inlineStr">
        <is>
          <t>LIJVS</t>
        </is>
      </c>
      <c r="I262" t="inlineStr">
        <is>
          <t>OR</t>
        </is>
      </c>
      <c r="J262" t="inlineStr">
        <is>
          <t>OR 1</t>
        </is>
      </c>
      <c r="S262" t="inlineStr">
        <is>
          <t>Pass</t>
        </is>
      </c>
      <c r="V262" t="inlineStr">
        <is>
          <t>WVS900OPR026</t>
        </is>
      </c>
      <c r="W262" t="inlineStr">
        <is>
          <t>MEDNG2425E-3698</t>
        </is>
      </c>
      <c r="Y262" t="inlineStr">
        <is>
          <t>A0F5097FA52B</t>
        </is>
      </c>
      <c r="AB262" t="inlineStr">
        <is>
          <t>WA23C03907</t>
        </is>
      </c>
      <c r="AH262" t="inlineStr">
        <is>
          <t>N/A</t>
        </is>
      </c>
      <c r="AI262" t="inlineStr">
        <is>
          <t>Anesthesia Machine</t>
        </is>
      </c>
      <c r="AK262" t="n">
        <v>1</v>
      </c>
      <c r="AM262" t="inlineStr">
        <is>
          <t>Drager Apollo</t>
        </is>
      </c>
      <c r="AX262" t="inlineStr">
        <is>
          <t>Neuron</t>
        </is>
      </c>
      <c r="AY262" t="inlineStr">
        <is>
          <t>PHILLIPS</t>
        </is>
      </c>
      <c r="BT262" t="inlineStr">
        <is>
          <t>Yes</t>
        </is>
      </c>
      <c r="BU262" t="inlineStr">
        <is>
          <t>No</t>
        </is>
      </c>
      <c r="BW262" t="inlineStr">
        <is>
          <t>Yes</t>
        </is>
      </c>
      <c r="BY262" t="inlineStr">
        <is>
          <t>ALREADY HAD A BADGE SCANNER INSTALLED / RAN AL</t>
        </is>
      </c>
      <c r="CF262" t="inlineStr">
        <is>
          <t>Yes</t>
        </is>
      </c>
      <c r="CG262" t="inlineStr">
        <is>
          <t>Yes</t>
        </is>
      </c>
      <c r="CH262" t="inlineStr">
        <is>
          <t>Yes</t>
        </is>
      </c>
      <c r="CI262" t="inlineStr">
        <is>
          <t>Yes</t>
        </is>
      </c>
      <c r="CW262">
        <f>IF($S262="","",IF(UPPER(TRIM($S262))&lt;&gt;"PASS","",IF(LEN(TRIM($BY262))&gt;0,"NOTES_PRESENT",IF(LEN(TRIM($T262))=0,"SET_NA",IF(OR(LOWER(TRIM($T262))="na",LOWER(TRIM($T262))="n/a"),"OK","MANUAL_OVERRIDE")))))</f>
        <v/>
      </c>
    </row>
    <row r="263">
      <c r="A263" t="inlineStr">
        <is>
          <t>Peripherals</t>
        </is>
      </c>
      <c r="B263" s="5" t="inlineStr">
        <is>
          <t>Yes</t>
        </is>
      </c>
      <c r="C263" t="inlineStr">
        <is>
          <t>Yes</t>
        </is>
      </c>
      <c r="D263">
        <f>IF($B263&lt;&gt;"Yes","",IF($C263="No","Yes",IF($C263="Yes","No","")))</f>
        <v/>
      </c>
      <c r="E263">
        <f>IF($A263="","",IF(OR(AND($V263&lt;&gt;"",LOWER(TRIM($V263))&lt;&gt;"n/a",LOWER(TRIM($V263))&lt;&gt;"na",SUMPRODUCT(--(UPPER(TRIM($V$2:$V$518))=UPPER(TRIM($V263))),--(TRIM($V$2:$V$518)&lt;&gt;""),--(LOWER(TRIM($V$2:$V$518))&lt;&gt;"n/a"),--(LOWER(TRIM($V$2:$V$518))&lt;&gt;"na"))&gt;1),AND($W263&lt;&gt;"",LOWER(TRIM($W263))&lt;&gt;"n/a",LOWER(TRIM($W263))&lt;&gt;"na",SUMPRODUCT(--(UPPER(TRIM($W$2:$W$518))=UPPER(TRIM($W263))),--(TRIM($W$2:$W$518)&lt;&gt;""),--(LOWER(TRIM($W$2:$W$518))&lt;&gt;"n/a"),--(LOWER(TRIM($W$2:$W$518))&lt;&gt;"na"))&gt;1),AND($X263&lt;&gt;"",LOWER(TRIM($X263))&lt;&gt;"n/a",LOWER(TRIM($X263))&lt;&gt;"na",SUMPRODUCT(--(UPPER(TRIM($X$2:$X$518))=UPPER(TRIM($X263))),--(TRIM($X$2:$X$518)&lt;&gt;""),--(LOWER(TRIM($X$2:$X$518))&lt;&gt;"n/a"),--(LOWER(TRIM($X$2:$X$518))&lt;&gt;"na"))&gt;1),AND($Y263&lt;&gt;"",LOWER(TRIM($Y263))&lt;&gt;"n/a",LOWER(TRIM($Y263))&lt;&gt;"na",SUMPRODUCT(--(UPPER(SUBSTITUTE(SUBSTITUTE(TRIM($Y$2:$Y$518),":",""),"-",""))=UPPER(SUBSTITUTE(SUBSTITUTE(TRIM($Y263),":",""),"-",""))),--(TRIM($Y$2:$Y$518)&lt;&gt;""),--(LOWER(TRIM($Y$2:$Y$518))&lt;&gt;"n/a"),--(LOWER(TRIM($Y$2:$Y$518))&lt;&gt;"na"))&gt;1),AND($AB263&lt;&gt;"",LOWER(TRIM($AB263))&lt;&gt;"n/a",LOWER(TRIM($AB263))&lt;&gt;"na",SUMPRODUCT(--(UPPER(TRIM($AB$2:$AB$518))=UPPER(TRIM($AB263))),--(TRIM($AB$2:$AB$518)&lt;&gt;""),--(LOWER(TRIM($AB$2:$AB$518))&lt;&gt;"n/a"),--(LOWER(TRIM($AB$2:$AB$518))&lt;&gt;"na"))&gt;1),AND($AH263&lt;&gt;"",LOWER(TRIM($AH263))&lt;&gt;"n/a",LOWER(TRIM($AH263))&lt;&gt;"na",SUMPRODUCT(--(UPPER(SUBSTITUTE(SUBSTITUTE(TRIM($AH$2:$AH$518),":",""),"-",""))=UPPER(SUBSTITUTE(SUBSTITUTE(TRIM($AH263),":",""),"-",""))),--(TRIM($AH$2:$AH$518)&lt;&gt;""),--(LOWER(TRIM($AH$2:$AH$518))&lt;&gt;"n/a"),--(LOWER(TRIM($AH$2:$AH$518))&lt;&gt;"na"))&gt;1),AND($AP263&lt;&gt;"",LOWER(TRIM($AP263))&lt;&gt;"n/a",LOWER(TRIM($AP263))&lt;&gt;"na",SUMPRODUCT(--(UPPER(TRIM($AP$2:$AP$518))=UPPER(TRIM($AP263))),--(TRIM($AP$2:$AP$518)&lt;&gt;""),--(LOWER(TRIM($AP$2:$AP$518))&lt;&gt;"n/a"),--(LOWER(TRIM($AP$2:$AP$518))&lt;&gt;"na"))&gt;1),AND($AQ263&lt;&gt;"",LOWER(TRIM($AQ263))&lt;&gt;"n/a",LOWER(TRIM($AQ263))&lt;&gt;"na",SUMPRODUCT(--(UPPER(TRIM($AQ$2:$AQ$518))=UPPER(TRIM($AQ263))),--(TRIM($AQ$2:$AQ$518)&lt;&gt;""),--(LOWER(TRIM($AQ$2:$AQ$518))&lt;&gt;"n/a"),--(LOWER(TRIM($AQ$2:$AQ$518))&lt;&gt;"na"))&gt;1)),"Yes","No"))</f>
        <v/>
      </c>
      <c r="F263">
        <f>IF(UPPER(TRIM($B263))&lt;&gt;"YES","", IF(OR(AND($V263&lt;&gt;"", LOWER(TRIM($V263))&lt;&gt;"n/a", LOWER(TRIM($V263))&lt;&gt;"na", SUMPRODUCT(--(UPPER(TRIM($V$2:$V$518))=UPPER(TRIM($V263))), --(UPPER(TRIM($B$2:$B$518))="YES"), --(UPPER(TRIM($G$2:$G$518)&amp;TRIM($I$2:$I$518)&amp;TRIM($J$2:$J$518))&lt;&gt;UPPER(TRIM($G263)&amp;TRIM($I263)&amp;TRIM($J263))))&gt;0), AND($W263&lt;&gt;"", LOWER(TRIM($W263))&lt;&gt;"n/a", LOWER(TRIM($W263))&lt;&gt;"na", SUMPRODUCT(--(UPPER(TRIM($W$2:$W$518))=UPPER(TRIM($W263))), --(UPPER(TRIM($B$2:$B$518))="YES"), --(UPPER(TRIM($G$2:$G$518)&amp;TRIM($I$2:$I$518)&amp;TRIM($J$2:$J$518))&lt;&gt;UPPER(TRIM($G263)&amp;TRIM($I263)&amp;TRIM($J263))))&gt;0), AND($X263&lt;&gt;"", LOWER(TRIM($X263))&lt;&gt;"n/a", LOWER(TRIM($X263))&lt;&gt;"na", SUMPRODUCT(--(UPPER(TRIM($X$2:$X$518))=UPPER(TRIM($X263))), --(UPPER(TRIM($B$2:$B$518))="YES"), --(UPPER(TRIM($G$2:$G$518)&amp;TRIM($I$2:$I$518)&amp;TRIM($J$2:$J$518))&lt;&gt;UPPER(TRIM($G263)&amp;TRIM($I263)&amp;TRIM($J263))))&gt;0), AND($Y263&lt;&gt;"", LOWER(TRIM($Y263))&lt;&gt;"n/a", LOWER(TRIM($Y263))&lt;&gt;"na", SUMPRODUCT(--(UPPER(SUBSTITUTE(SUBSTITUTE(TRIM($Y$2:$Y$518),":",""),"-",""))=UPPER(SUBSTITUTE(SUBSTITUTE(TRIM($Y263),":",""),"-",""))), --(UPPER(TRIM($B$2:$B$518))="YES"), --(UPPER(TRIM($G$2:$G$518)&amp;TRIM($I$2:$I$518)&amp;TRIM($J$2:$J$518))&lt;&gt;UPPER(TRIM($G263)&amp;TRIM($I263)&amp;TRIM($J263))))&gt;0), AND($AB263&lt;&gt;"", LOWER(TRIM($AB263))&lt;&gt;"n/a", LOWER(TRIM($AB263))&lt;&gt;"na", SUMPRODUCT(--(UPPER(TRIM($AB$2:$AB$518))=UPPER(TRIM($AB263))), --(UPPER(TRIM($B$2:$B$518))="YES"), --(UPPER(TRIM($G$2:$G$518)&amp;TRIM($I$2:$I$518)&amp;TRIM($J$2:$J$518))&lt;&gt;UPPER(TRIM($G263)&amp;TRIM($I263)&amp;TRIM($J263))))&gt;0), AND($AH263&lt;&gt;"", LOWER(TRIM($AH263))&lt;&gt;"n/a", LOWER(TRIM($AH263))&lt;&gt;"na", SUMPRODUCT(--(UPPER(SUBSTITUTE(SUBSTITUTE(TRIM($AH$2:$AH$518),":",""),"-",""))=UPPER(SUBSTITUTE(SUBSTITUTE(TRIM($AH263),":",""),"-",""))), --(UPPER(TRIM($B$2:$B$518))="YES"), --(UPPER(TRIM($G$2:$G$518)&amp;TRIM($I$2:$I$518)&amp;TRIM($J$2:$J$518))&lt;&gt;UPPER(TRIM($G263)&amp;TRIM($I263)&amp;TRIM($J263))))&gt;0), AND($AP263&lt;&gt;"", LOWER(TRIM($AP263))&lt;&gt;"n/a", LOWER(TRIM($AP263))&lt;&gt;"na", SUMPRODUCT(--(UPPER(TRIM($AP$2:$AP$518))=UPPER(TRIM($AP263))), --(UPPER(TRIM($B$2:$B$518))="YES"), --(UPPER(TRIM($G$2:$G$518)&amp;TRIM($I$2:$I$518)&amp;TRIM($J$2:$J$518))&lt;&gt;UPPER(TRIM($G263)&amp;TRIM($I263)&amp;TRIM($J263))))&gt;0), AND($AQ263&lt;&gt;"", LOWER(TRIM($AQ263))&lt;&gt;"n/a", LOWER(TRIM($AQ263))&lt;&gt;"na", SUMPRODUCT(--(UPPER(TRIM($AQ$2:$AQ$518))=UPPER(TRIM($AQ263))), --(UPPER(TRIM($B$2:$B$518))="YES"), --(UPPER(TRIM($G$2:$G$518)&amp;TRIM($I$2:$I$518)&amp;TRIM($J$2:$J$518))&lt;&gt;UPPER(TRIM($G263)&amp;TRIM($I263)&amp;TRIM($J263))))&gt;0)), "Yes", "No"))</f>
        <v/>
      </c>
      <c r="G263" t="inlineStr">
        <is>
          <t>LIJVS</t>
        </is>
      </c>
      <c r="H263" t="inlineStr">
        <is>
          <t>LIJVS</t>
        </is>
      </c>
      <c r="I263" t="inlineStr">
        <is>
          <t>OR</t>
        </is>
      </c>
      <c r="J263" t="inlineStr">
        <is>
          <t>OR 2</t>
        </is>
      </c>
      <c r="S263" t="inlineStr">
        <is>
          <t>Pass</t>
        </is>
      </c>
      <c r="V263" t="inlineStr">
        <is>
          <t>WVS900OPR030</t>
        </is>
      </c>
      <c r="W263" t="inlineStr">
        <is>
          <t>medng2425e-3739</t>
        </is>
      </c>
      <c r="Y263" t="inlineStr">
        <is>
          <t>A0F5097FA5C5</t>
        </is>
      </c>
      <c r="AB263" t="inlineStr">
        <is>
          <t>WA23C03201</t>
        </is>
      </c>
      <c r="AH263" t="inlineStr">
        <is>
          <t>N/A</t>
        </is>
      </c>
      <c r="AI263" t="inlineStr">
        <is>
          <t>Anesthesia Machine</t>
        </is>
      </c>
      <c r="AK263" t="n">
        <v>1</v>
      </c>
      <c r="AM263" t="inlineStr">
        <is>
          <t>Drager Atlan</t>
        </is>
      </c>
      <c r="AX263" t="inlineStr">
        <is>
          <t>Neuron</t>
        </is>
      </c>
      <c r="AY263" t="inlineStr">
        <is>
          <t xml:space="preserve">Phillips </t>
        </is>
      </c>
      <c r="BT263" t="inlineStr">
        <is>
          <t>Yes</t>
        </is>
      </c>
      <c r="BU263" t="inlineStr">
        <is>
          <t>No</t>
        </is>
      </c>
      <c r="BW263" t="inlineStr">
        <is>
          <t>Yes</t>
        </is>
      </c>
      <c r="BY263" t="inlineStr">
        <is>
          <t>ALREADY HAD A BADGE SCANNER INSTALLED / imprivata installed, so cant run  AL / DIDNT PROGRAM SCANNER</t>
        </is>
      </c>
      <c r="CF263" t="inlineStr">
        <is>
          <t>Yes</t>
        </is>
      </c>
      <c r="CG263" t="inlineStr">
        <is>
          <t>Yes</t>
        </is>
      </c>
      <c r="CH263" t="inlineStr">
        <is>
          <t>Yes</t>
        </is>
      </c>
      <c r="CI263" t="inlineStr">
        <is>
          <t>Yes</t>
        </is>
      </c>
      <c r="CW263">
        <f>IF($S263="","",IF(UPPER(TRIM($S263))&lt;&gt;"PASS","",IF(LEN(TRIM($BY263))&gt;0,"NOTES_PRESENT",IF(LEN(TRIM($T263))=0,"SET_NA",IF(OR(LOWER(TRIM($T263))="na",LOWER(TRIM($T263))="n/a"),"OK","MANUAL_OVERRIDE")))))</f>
        <v/>
      </c>
    </row>
    <row r="264">
      <c r="A264" t="inlineStr">
        <is>
          <t>Peripherals</t>
        </is>
      </c>
      <c r="B264" s="5" t="inlineStr">
        <is>
          <t>Yes</t>
        </is>
      </c>
      <c r="C264" t="inlineStr">
        <is>
          <t>Yes</t>
        </is>
      </c>
      <c r="D264">
        <f>IF($B264&lt;&gt;"Yes","",IF($C264="No","Yes",IF($C264="Yes","No","")))</f>
        <v/>
      </c>
      <c r="E264">
        <f>IF($A264="","",IF(OR(AND($V264&lt;&gt;"",LOWER(TRIM($V264))&lt;&gt;"n/a",LOWER(TRIM($V264))&lt;&gt;"na",SUMPRODUCT(--(UPPER(TRIM($V$2:$V$518))=UPPER(TRIM($V264))),--(TRIM($V$2:$V$518)&lt;&gt;""),--(LOWER(TRIM($V$2:$V$518))&lt;&gt;"n/a"),--(LOWER(TRIM($V$2:$V$518))&lt;&gt;"na"))&gt;1),AND($W264&lt;&gt;"",LOWER(TRIM($W264))&lt;&gt;"n/a",LOWER(TRIM($W264))&lt;&gt;"na",SUMPRODUCT(--(UPPER(TRIM($W$2:$W$518))=UPPER(TRIM($W264))),--(TRIM($W$2:$W$518)&lt;&gt;""),--(LOWER(TRIM($W$2:$W$518))&lt;&gt;"n/a"),--(LOWER(TRIM($W$2:$W$518))&lt;&gt;"na"))&gt;1),AND($X264&lt;&gt;"",LOWER(TRIM($X264))&lt;&gt;"n/a",LOWER(TRIM($X264))&lt;&gt;"na",SUMPRODUCT(--(UPPER(TRIM($X$2:$X$518))=UPPER(TRIM($X264))),--(TRIM($X$2:$X$518)&lt;&gt;""),--(LOWER(TRIM($X$2:$X$518))&lt;&gt;"n/a"),--(LOWER(TRIM($X$2:$X$518))&lt;&gt;"na"))&gt;1),AND($Y264&lt;&gt;"",LOWER(TRIM($Y264))&lt;&gt;"n/a",LOWER(TRIM($Y264))&lt;&gt;"na",SUMPRODUCT(--(UPPER(SUBSTITUTE(SUBSTITUTE(TRIM($Y$2:$Y$518),":",""),"-",""))=UPPER(SUBSTITUTE(SUBSTITUTE(TRIM($Y264),":",""),"-",""))),--(TRIM($Y$2:$Y$518)&lt;&gt;""),--(LOWER(TRIM($Y$2:$Y$518))&lt;&gt;"n/a"),--(LOWER(TRIM($Y$2:$Y$518))&lt;&gt;"na"))&gt;1),AND($AB264&lt;&gt;"",LOWER(TRIM($AB264))&lt;&gt;"n/a",LOWER(TRIM($AB264))&lt;&gt;"na",SUMPRODUCT(--(UPPER(TRIM($AB$2:$AB$518))=UPPER(TRIM($AB264))),--(TRIM($AB$2:$AB$518)&lt;&gt;""),--(LOWER(TRIM($AB$2:$AB$518))&lt;&gt;"n/a"),--(LOWER(TRIM($AB$2:$AB$518))&lt;&gt;"na"))&gt;1),AND($AH264&lt;&gt;"",LOWER(TRIM($AH264))&lt;&gt;"n/a",LOWER(TRIM($AH264))&lt;&gt;"na",SUMPRODUCT(--(UPPER(SUBSTITUTE(SUBSTITUTE(TRIM($AH$2:$AH$518),":",""),"-",""))=UPPER(SUBSTITUTE(SUBSTITUTE(TRIM($AH264),":",""),"-",""))),--(TRIM($AH$2:$AH$518)&lt;&gt;""),--(LOWER(TRIM($AH$2:$AH$518))&lt;&gt;"n/a"),--(LOWER(TRIM($AH$2:$AH$518))&lt;&gt;"na"))&gt;1),AND($AP264&lt;&gt;"",LOWER(TRIM($AP264))&lt;&gt;"n/a",LOWER(TRIM($AP264))&lt;&gt;"na",SUMPRODUCT(--(UPPER(TRIM($AP$2:$AP$518))=UPPER(TRIM($AP264))),--(TRIM($AP$2:$AP$518)&lt;&gt;""),--(LOWER(TRIM($AP$2:$AP$518))&lt;&gt;"n/a"),--(LOWER(TRIM($AP$2:$AP$518))&lt;&gt;"na"))&gt;1),AND($AQ264&lt;&gt;"",LOWER(TRIM($AQ264))&lt;&gt;"n/a",LOWER(TRIM($AQ264))&lt;&gt;"na",SUMPRODUCT(--(UPPER(TRIM($AQ$2:$AQ$518))=UPPER(TRIM($AQ264))),--(TRIM($AQ$2:$AQ$518)&lt;&gt;""),--(LOWER(TRIM($AQ$2:$AQ$518))&lt;&gt;"n/a"),--(LOWER(TRIM($AQ$2:$AQ$518))&lt;&gt;"na"))&gt;1)),"Yes","No"))</f>
        <v/>
      </c>
      <c r="F264">
        <f>IF(UPPER(TRIM($B264))&lt;&gt;"YES","", IF(OR(AND($V264&lt;&gt;"", LOWER(TRIM($V264))&lt;&gt;"n/a", LOWER(TRIM($V264))&lt;&gt;"na", SUMPRODUCT(--(UPPER(TRIM($V$2:$V$518))=UPPER(TRIM($V264))), --(UPPER(TRIM($B$2:$B$518))="YES"), --(UPPER(TRIM($G$2:$G$518)&amp;TRIM($I$2:$I$518)&amp;TRIM($J$2:$J$518))&lt;&gt;UPPER(TRIM($G264)&amp;TRIM($I264)&amp;TRIM($J264))))&gt;0), AND($W264&lt;&gt;"", LOWER(TRIM($W264))&lt;&gt;"n/a", LOWER(TRIM($W264))&lt;&gt;"na", SUMPRODUCT(--(UPPER(TRIM($W$2:$W$518))=UPPER(TRIM($W264))), --(UPPER(TRIM($B$2:$B$518))="YES"), --(UPPER(TRIM($G$2:$G$518)&amp;TRIM($I$2:$I$518)&amp;TRIM($J$2:$J$518))&lt;&gt;UPPER(TRIM($G264)&amp;TRIM($I264)&amp;TRIM($J264))))&gt;0), AND($X264&lt;&gt;"", LOWER(TRIM($X264))&lt;&gt;"n/a", LOWER(TRIM($X264))&lt;&gt;"na", SUMPRODUCT(--(UPPER(TRIM($X$2:$X$518))=UPPER(TRIM($X264))), --(UPPER(TRIM($B$2:$B$518))="YES"), --(UPPER(TRIM($G$2:$G$518)&amp;TRIM($I$2:$I$518)&amp;TRIM($J$2:$J$518))&lt;&gt;UPPER(TRIM($G264)&amp;TRIM($I264)&amp;TRIM($J264))))&gt;0), AND($Y264&lt;&gt;"", LOWER(TRIM($Y264))&lt;&gt;"n/a", LOWER(TRIM($Y264))&lt;&gt;"na", SUMPRODUCT(--(UPPER(SUBSTITUTE(SUBSTITUTE(TRIM($Y$2:$Y$518),":",""),"-",""))=UPPER(SUBSTITUTE(SUBSTITUTE(TRIM($Y264),":",""),"-",""))), --(UPPER(TRIM($B$2:$B$518))="YES"), --(UPPER(TRIM($G$2:$G$518)&amp;TRIM($I$2:$I$518)&amp;TRIM($J$2:$J$518))&lt;&gt;UPPER(TRIM($G264)&amp;TRIM($I264)&amp;TRIM($J264))))&gt;0), AND($AB264&lt;&gt;"", LOWER(TRIM($AB264))&lt;&gt;"n/a", LOWER(TRIM($AB264))&lt;&gt;"na", SUMPRODUCT(--(UPPER(TRIM($AB$2:$AB$518))=UPPER(TRIM($AB264))), --(UPPER(TRIM($B$2:$B$518))="YES"), --(UPPER(TRIM($G$2:$G$518)&amp;TRIM($I$2:$I$518)&amp;TRIM($J$2:$J$518))&lt;&gt;UPPER(TRIM($G264)&amp;TRIM($I264)&amp;TRIM($J264))))&gt;0), AND($AH264&lt;&gt;"", LOWER(TRIM($AH264))&lt;&gt;"n/a", LOWER(TRIM($AH264))&lt;&gt;"na", SUMPRODUCT(--(UPPER(SUBSTITUTE(SUBSTITUTE(TRIM($AH$2:$AH$518),":",""),"-",""))=UPPER(SUBSTITUTE(SUBSTITUTE(TRIM($AH264),":",""),"-",""))), --(UPPER(TRIM($B$2:$B$518))="YES"), --(UPPER(TRIM($G$2:$G$518)&amp;TRIM($I$2:$I$518)&amp;TRIM($J$2:$J$518))&lt;&gt;UPPER(TRIM($G264)&amp;TRIM($I264)&amp;TRIM($J264))))&gt;0), AND($AP264&lt;&gt;"", LOWER(TRIM($AP264))&lt;&gt;"n/a", LOWER(TRIM($AP264))&lt;&gt;"na", SUMPRODUCT(--(UPPER(TRIM($AP$2:$AP$518))=UPPER(TRIM($AP264))), --(UPPER(TRIM($B$2:$B$518))="YES"), --(UPPER(TRIM($G$2:$G$518)&amp;TRIM($I$2:$I$518)&amp;TRIM($J$2:$J$518))&lt;&gt;UPPER(TRIM($G264)&amp;TRIM($I264)&amp;TRIM($J264))))&gt;0), AND($AQ264&lt;&gt;"", LOWER(TRIM($AQ264))&lt;&gt;"n/a", LOWER(TRIM($AQ264))&lt;&gt;"na", SUMPRODUCT(--(UPPER(TRIM($AQ$2:$AQ$518))=UPPER(TRIM($AQ264))), --(UPPER(TRIM($B$2:$B$518))="YES"), --(UPPER(TRIM($G$2:$G$518)&amp;TRIM($I$2:$I$518)&amp;TRIM($J$2:$J$518))&lt;&gt;UPPER(TRIM($G264)&amp;TRIM($I264)&amp;TRIM($J264))))&gt;0)), "Yes", "No"))</f>
        <v/>
      </c>
      <c r="G264" t="inlineStr">
        <is>
          <t>LIJVS</t>
        </is>
      </c>
      <c r="H264" t="inlineStr">
        <is>
          <t>LIJVS</t>
        </is>
      </c>
      <c r="I264" t="inlineStr">
        <is>
          <t>OR</t>
        </is>
      </c>
      <c r="J264" t="inlineStr">
        <is>
          <t>OR 5</t>
        </is>
      </c>
      <c r="S264" t="inlineStr">
        <is>
          <t>Pass</t>
        </is>
      </c>
      <c r="V264" t="inlineStr">
        <is>
          <t>WVS900OPR029</t>
        </is>
      </c>
      <c r="W264" t="inlineStr">
        <is>
          <t>MEDNG2425E-3069</t>
        </is>
      </c>
      <c r="Y264" t="inlineStr">
        <is>
          <t>A0F5097FA3F3</t>
        </is>
      </c>
      <c r="AB264" t="inlineStr">
        <is>
          <t>WA23C03752</t>
        </is>
      </c>
      <c r="AI264" t="inlineStr">
        <is>
          <t>Anesthesia Machine</t>
        </is>
      </c>
      <c r="AK264" t="n">
        <v>1</v>
      </c>
      <c r="AM264" t="inlineStr">
        <is>
          <t>Drager Atlan</t>
        </is>
      </c>
      <c r="AX264" t="inlineStr">
        <is>
          <t>Neuron</t>
        </is>
      </c>
      <c r="AY264" t="inlineStr">
        <is>
          <t>Phillips</t>
        </is>
      </c>
      <c r="BT264" t="inlineStr">
        <is>
          <t>Yes</t>
        </is>
      </c>
      <c r="BU264" t="inlineStr">
        <is>
          <t>Yes</t>
        </is>
      </c>
      <c r="BW264" t="inlineStr">
        <is>
          <t>Yes</t>
        </is>
      </c>
      <c r="BY264" t="inlineStr">
        <is>
          <t>RAN AL / DIDNT PROGRAM SCANNER</t>
        </is>
      </c>
      <c r="CF264" t="inlineStr">
        <is>
          <t>Yes</t>
        </is>
      </c>
      <c r="CG264" t="inlineStr">
        <is>
          <t>Yes</t>
        </is>
      </c>
      <c r="CH264" t="inlineStr">
        <is>
          <t>Yes</t>
        </is>
      </c>
      <c r="CI264" t="inlineStr">
        <is>
          <t>Yes</t>
        </is>
      </c>
      <c r="CW264">
        <f>IF($S264="","",IF(UPPER(TRIM($S264))&lt;&gt;"PASS","",IF(LEN(TRIM($BY264))&gt;0,"NOTES_PRESENT",IF(LEN(TRIM($T264))=0,"SET_NA",IF(OR(LOWER(TRIM($T264))="na",LOWER(TRIM($T264))="n/a"),"OK","MANUAL_OVERRIDE")))))</f>
        <v/>
      </c>
    </row>
    <row r="265">
      <c r="A265" t="inlineStr">
        <is>
          <t>Peripherals</t>
        </is>
      </c>
      <c r="B265" s="5" t="inlineStr">
        <is>
          <t>Yes</t>
        </is>
      </c>
      <c r="C265" t="inlineStr">
        <is>
          <t>Yes</t>
        </is>
      </c>
      <c r="D265">
        <f>IF($B265&lt;&gt;"Yes","",IF($C265="No","Yes",IF($C265="Yes","No","")))</f>
        <v/>
      </c>
      <c r="E265">
        <f>IF($A265="","",IF(OR(AND($V265&lt;&gt;"",LOWER(TRIM($V265))&lt;&gt;"n/a",LOWER(TRIM($V265))&lt;&gt;"na",SUMPRODUCT(--(UPPER(TRIM($V$2:$V$518))=UPPER(TRIM($V265))),--(TRIM($V$2:$V$518)&lt;&gt;""),--(LOWER(TRIM($V$2:$V$518))&lt;&gt;"n/a"),--(LOWER(TRIM($V$2:$V$518))&lt;&gt;"na"))&gt;1),AND($W265&lt;&gt;"",LOWER(TRIM($W265))&lt;&gt;"n/a",LOWER(TRIM($W265))&lt;&gt;"na",SUMPRODUCT(--(UPPER(TRIM($W$2:$W$518))=UPPER(TRIM($W265))),--(TRIM($W$2:$W$518)&lt;&gt;""),--(LOWER(TRIM($W$2:$W$518))&lt;&gt;"n/a"),--(LOWER(TRIM($W$2:$W$518))&lt;&gt;"na"))&gt;1),AND($X265&lt;&gt;"",LOWER(TRIM($X265))&lt;&gt;"n/a",LOWER(TRIM($X265))&lt;&gt;"na",SUMPRODUCT(--(UPPER(TRIM($X$2:$X$518))=UPPER(TRIM($X265))),--(TRIM($X$2:$X$518)&lt;&gt;""),--(LOWER(TRIM($X$2:$X$518))&lt;&gt;"n/a"),--(LOWER(TRIM($X$2:$X$518))&lt;&gt;"na"))&gt;1),AND($Y265&lt;&gt;"",LOWER(TRIM($Y265))&lt;&gt;"n/a",LOWER(TRIM($Y265))&lt;&gt;"na",SUMPRODUCT(--(UPPER(SUBSTITUTE(SUBSTITUTE(TRIM($Y$2:$Y$518),":",""),"-",""))=UPPER(SUBSTITUTE(SUBSTITUTE(TRIM($Y265),":",""),"-",""))),--(TRIM($Y$2:$Y$518)&lt;&gt;""),--(LOWER(TRIM($Y$2:$Y$518))&lt;&gt;"n/a"),--(LOWER(TRIM($Y$2:$Y$518))&lt;&gt;"na"))&gt;1),AND($AB265&lt;&gt;"",LOWER(TRIM($AB265))&lt;&gt;"n/a",LOWER(TRIM($AB265))&lt;&gt;"na",SUMPRODUCT(--(UPPER(TRIM($AB$2:$AB$518))=UPPER(TRIM($AB265))),--(TRIM($AB$2:$AB$518)&lt;&gt;""),--(LOWER(TRIM($AB$2:$AB$518))&lt;&gt;"n/a"),--(LOWER(TRIM($AB$2:$AB$518))&lt;&gt;"na"))&gt;1),AND($AH265&lt;&gt;"",LOWER(TRIM($AH265))&lt;&gt;"n/a",LOWER(TRIM($AH265))&lt;&gt;"na",SUMPRODUCT(--(UPPER(SUBSTITUTE(SUBSTITUTE(TRIM($AH$2:$AH$518),":",""),"-",""))=UPPER(SUBSTITUTE(SUBSTITUTE(TRIM($AH265),":",""),"-",""))),--(TRIM($AH$2:$AH$518)&lt;&gt;""),--(LOWER(TRIM($AH$2:$AH$518))&lt;&gt;"n/a"),--(LOWER(TRIM($AH$2:$AH$518))&lt;&gt;"na"))&gt;1),AND($AP265&lt;&gt;"",LOWER(TRIM($AP265))&lt;&gt;"n/a",LOWER(TRIM($AP265))&lt;&gt;"na",SUMPRODUCT(--(UPPER(TRIM($AP$2:$AP$518))=UPPER(TRIM($AP265))),--(TRIM($AP$2:$AP$518)&lt;&gt;""),--(LOWER(TRIM($AP$2:$AP$518))&lt;&gt;"n/a"),--(LOWER(TRIM($AP$2:$AP$518))&lt;&gt;"na"))&gt;1),AND($AQ265&lt;&gt;"",LOWER(TRIM($AQ265))&lt;&gt;"n/a",LOWER(TRIM($AQ265))&lt;&gt;"na",SUMPRODUCT(--(UPPER(TRIM($AQ$2:$AQ$518))=UPPER(TRIM($AQ265))),--(TRIM($AQ$2:$AQ$518)&lt;&gt;""),--(LOWER(TRIM($AQ$2:$AQ$518))&lt;&gt;"n/a"),--(LOWER(TRIM($AQ$2:$AQ$518))&lt;&gt;"na"))&gt;1)),"Yes","No"))</f>
        <v/>
      </c>
      <c r="F265">
        <f>IF(UPPER(TRIM($B265))&lt;&gt;"YES","", IF(OR(AND($V265&lt;&gt;"", LOWER(TRIM($V265))&lt;&gt;"n/a", LOWER(TRIM($V265))&lt;&gt;"na", SUMPRODUCT(--(UPPER(TRIM($V$2:$V$518))=UPPER(TRIM($V265))), --(UPPER(TRIM($B$2:$B$518))="YES"), --(UPPER(TRIM($G$2:$G$518)&amp;TRIM($I$2:$I$518)&amp;TRIM($J$2:$J$518))&lt;&gt;UPPER(TRIM($G265)&amp;TRIM($I265)&amp;TRIM($J265))))&gt;0), AND($W265&lt;&gt;"", LOWER(TRIM($W265))&lt;&gt;"n/a", LOWER(TRIM($W265))&lt;&gt;"na", SUMPRODUCT(--(UPPER(TRIM($W$2:$W$518))=UPPER(TRIM($W265))), --(UPPER(TRIM($B$2:$B$518))="YES"), --(UPPER(TRIM($G$2:$G$518)&amp;TRIM($I$2:$I$518)&amp;TRIM($J$2:$J$518))&lt;&gt;UPPER(TRIM($G265)&amp;TRIM($I265)&amp;TRIM($J265))))&gt;0), AND($X265&lt;&gt;"", LOWER(TRIM($X265))&lt;&gt;"n/a", LOWER(TRIM($X265))&lt;&gt;"na", SUMPRODUCT(--(UPPER(TRIM($X$2:$X$518))=UPPER(TRIM($X265))), --(UPPER(TRIM($B$2:$B$518))="YES"), --(UPPER(TRIM($G$2:$G$518)&amp;TRIM($I$2:$I$518)&amp;TRIM($J$2:$J$518))&lt;&gt;UPPER(TRIM($G265)&amp;TRIM($I265)&amp;TRIM($J265))))&gt;0), AND($Y265&lt;&gt;"", LOWER(TRIM($Y265))&lt;&gt;"n/a", LOWER(TRIM($Y265))&lt;&gt;"na", SUMPRODUCT(--(UPPER(SUBSTITUTE(SUBSTITUTE(TRIM($Y$2:$Y$518),":",""),"-",""))=UPPER(SUBSTITUTE(SUBSTITUTE(TRIM($Y265),":",""),"-",""))), --(UPPER(TRIM($B$2:$B$518))="YES"), --(UPPER(TRIM($G$2:$G$518)&amp;TRIM($I$2:$I$518)&amp;TRIM($J$2:$J$518))&lt;&gt;UPPER(TRIM($G265)&amp;TRIM($I265)&amp;TRIM($J265))))&gt;0), AND($AB265&lt;&gt;"", LOWER(TRIM($AB265))&lt;&gt;"n/a", LOWER(TRIM($AB265))&lt;&gt;"na", SUMPRODUCT(--(UPPER(TRIM($AB$2:$AB$518))=UPPER(TRIM($AB265))), --(UPPER(TRIM($B$2:$B$518))="YES"), --(UPPER(TRIM($G$2:$G$518)&amp;TRIM($I$2:$I$518)&amp;TRIM($J$2:$J$518))&lt;&gt;UPPER(TRIM($G265)&amp;TRIM($I265)&amp;TRIM($J265))))&gt;0), AND($AH265&lt;&gt;"", LOWER(TRIM($AH265))&lt;&gt;"n/a", LOWER(TRIM($AH265))&lt;&gt;"na", SUMPRODUCT(--(UPPER(SUBSTITUTE(SUBSTITUTE(TRIM($AH$2:$AH$518),":",""),"-",""))=UPPER(SUBSTITUTE(SUBSTITUTE(TRIM($AH265),":",""),"-",""))), --(UPPER(TRIM($B$2:$B$518))="YES"), --(UPPER(TRIM($G$2:$G$518)&amp;TRIM($I$2:$I$518)&amp;TRIM($J$2:$J$518))&lt;&gt;UPPER(TRIM($G265)&amp;TRIM($I265)&amp;TRIM($J265))))&gt;0), AND($AP265&lt;&gt;"", LOWER(TRIM($AP265))&lt;&gt;"n/a", LOWER(TRIM($AP265))&lt;&gt;"na", SUMPRODUCT(--(UPPER(TRIM($AP$2:$AP$518))=UPPER(TRIM($AP265))), --(UPPER(TRIM($B$2:$B$518))="YES"), --(UPPER(TRIM($G$2:$G$518)&amp;TRIM($I$2:$I$518)&amp;TRIM($J$2:$J$518))&lt;&gt;UPPER(TRIM($G265)&amp;TRIM($I265)&amp;TRIM($J265))))&gt;0), AND($AQ265&lt;&gt;"", LOWER(TRIM($AQ265))&lt;&gt;"n/a", LOWER(TRIM($AQ265))&lt;&gt;"na", SUMPRODUCT(--(UPPER(TRIM($AQ$2:$AQ$518))=UPPER(TRIM($AQ265))), --(UPPER(TRIM($B$2:$B$518))="YES"), --(UPPER(TRIM($G$2:$G$518)&amp;TRIM($I$2:$I$518)&amp;TRIM($J$2:$J$518))&lt;&gt;UPPER(TRIM($G265)&amp;TRIM($I265)&amp;TRIM($J265))))&gt;0)), "Yes", "No"))</f>
        <v/>
      </c>
      <c r="G265" t="inlineStr">
        <is>
          <t>LIJVS</t>
        </is>
      </c>
      <c r="H265" t="inlineStr">
        <is>
          <t>LIJVS</t>
        </is>
      </c>
      <c r="I265" t="inlineStr">
        <is>
          <t>OR</t>
        </is>
      </c>
      <c r="J265" t="inlineStr">
        <is>
          <t>OR 6</t>
        </is>
      </c>
      <c r="S265" t="inlineStr">
        <is>
          <t>Pass</t>
        </is>
      </c>
      <c r="V265" t="inlineStr">
        <is>
          <t>WVS900OPR024</t>
        </is>
      </c>
      <c r="W265" t="inlineStr">
        <is>
          <t>MEDNG2425E-3059</t>
        </is>
      </c>
      <c r="Y265" t="inlineStr">
        <is>
          <t>A0F5097FA58A</t>
        </is>
      </c>
      <c r="AB265" t="inlineStr">
        <is>
          <t>WA23C03908</t>
        </is>
      </c>
      <c r="AI265" t="inlineStr">
        <is>
          <t>Anesthesia Machine</t>
        </is>
      </c>
      <c r="AK265" t="n">
        <v>1</v>
      </c>
      <c r="AM265" t="inlineStr">
        <is>
          <t>MINDRAY A5</t>
        </is>
      </c>
      <c r="AX265" t="inlineStr">
        <is>
          <t>NEURON</t>
        </is>
      </c>
      <c r="AY265" t="inlineStr">
        <is>
          <t>Phillips</t>
        </is>
      </c>
      <c r="BT265" t="inlineStr">
        <is>
          <t>Yes</t>
        </is>
      </c>
      <c r="BU265" t="inlineStr">
        <is>
          <t>Yes</t>
        </is>
      </c>
      <c r="BW265" t="inlineStr">
        <is>
          <t>Yes</t>
        </is>
      </c>
      <c r="BY265" t="inlineStr">
        <is>
          <t>ALREADY HAS BADGE SCANNER / SCANNER PROGRAMMED / RAN AL</t>
        </is>
      </c>
      <c r="CF265" t="inlineStr">
        <is>
          <t>Yes</t>
        </is>
      </c>
      <c r="CG265" t="inlineStr">
        <is>
          <t>Yes</t>
        </is>
      </c>
      <c r="CH265" t="inlineStr">
        <is>
          <t>Yes</t>
        </is>
      </c>
      <c r="CI265" t="inlineStr">
        <is>
          <t>Yes</t>
        </is>
      </c>
      <c r="CW265">
        <f>IF($S265="","",IF(UPPER(TRIM($S265))&lt;&gt;"PASS","",IF(LEN(TRIM($BY265))&gt;0,"NOTES_PRESENT",IF(LEN(TRIM($T265))=0,"SET_NA",IF(OR(LOWER(TRIM($T265))="na",LOWER(TRIM($T265))="n/a"),"OK","MANUAL_OVERRIDE")))))</f>
        <v/>
      </c>
    </row>
    <row r="266">
      <c r="A266" t="inlineStr">
        <is>
          <t>Peripherals</t>
        </is>
      </c>
      <c r="B266" s="5" t="inlineStr">
        <is>
          <t>Yes</t>
        </is>
      </c>
      <c r="C266" t="inlineStr">
        <is>
          <t>Yes</t>
        </is>
      </c>
      <c r="D266">
        <f>IF($B266&lt;&gt;"Yes","",IF($C266="No","Yes",IF($C266="Yes","No","")))</f>
        <v/>
      </c>
      <c r="E266">
        <f>IF($A266="","",IF(OR(AND($V266&lt;&gt;"",LOWER(TRIM($V266))&lt;&gt;"n/a",LOWER(TRIM($V266))&lt;&gt;"na",SUMPRODUCT(--(UPPER(TRIM($V$2:$V$518))=UPPER(TRIM($V266))),--(TRIM($V$2:$V$518)&lt;&gt;""),--(LOWER(TRIM($V$2:$V$518))&lt;&gt;"n/a"),--(LOWER(TRIM($V$2:$V$518))&lt;&gt;"na"))&gt;1),AND($W266&lt;&gt;"",LOWER(TRIM($W266))&lt;&gt;"n/a",LOWER(TRIM($W266))&lt;&gt;"na",SUMPRODUCT(--(UPPER(TRIM($W$2:$W$518))=UPPER(TRIM($W266))),--(TRIM($W$2:$W$518)&lt;&gt;""),--(LOWER(TRIM($W$2:$W$518))&lt;&gt;"n/a"),--(LOWER(TRIM($W$2:$W$518))&lt;&gt;"na"))&gt;1),AND($X266&lt;&gt;"",LOWER(TRIM($X266))&lt;&gt;"n/a",LOWER(TRIM($X266))&lt;&gt;"na",SUMPRODUCT(--(UPPER(TRIM($X$2:$X$518))=UPPER(TRIM($X266))),--(TRIM($X$2:$X$518)&lt;&gt;""),--(LOWER(TRIM($X$2:$X$518))&lt;&gt;"n/a"),--(LOWER(TRIM($X$2:$X$518))&lt;&gt;"na"))&gt;1),AND($Y266&lt;&gt;"",LOWER(TRIM($Y266))&lt;&gt;"n/a",LOWER(TRIM($Y266))&lt;&gt;"na",SUMPRODUCT(--(UPPER(SUBSTITUTE(SUBSTITUTE(TRIM($Y$2:$Y$518),":",""),"-",""))=UPPER(SUBSTITUTE(SUBSTITUTE(TRIM($Y266),":",""),"-",""))),--(TRIM($Y$2:$Y$518)&lt;&gt;""),--(LOWER(TRIM($Y$2:$Y$518))&lt;&gt;"n/a"),--(LOWER(TRIM($Y$2:$Y$518))&lt;&gt;"na"))&gt;1),AND($AB266&lt;&gt;"",LOWER(TRIM($AB266))&lt;&gt;"n/a",LOWER(TRIM($AB266))&lt;&gt;"na",SUMPRODUCT(--(UPPER(TRIM($AB$2:$AB$518))=UPPER(TRIM($AB266))),--(TRIM($AB$2:$AB$518)&lt;&gt;""),--(LOWER(TRIM($AB$2:$AB$518))&lt;&gt;"n/a"),--(LOWER(TRIM($AB$2:$AB$518))&lt;&gt;"na"))&gt;1),AND($AH266&lt;&gt;"",LOWER(TRIM($AH266))&lt;&gt;"n/a",LOWER(TRIM($AH266))&lt;&gt;"na",SUMPRODUCT(--(UPPER(SUBSTITUTE(SUBSTITUTE(TRIM($AH$2:$AH$518),":",""),"-",""))=UPPER(SUBSTITUTE(SUBSTITUTE(TRIM($AH266),":",""),"-",""))),--(TRIM($AH$2:$AH$518)&lt;&gt;""),--(LOWER(TRIM($AH$2:$AH$518))&lt;&gt;"n/a"),--(LOWER(TRIM($AH$2:$AH$518))&lt;&gt;"na"))&gt;1),AND($AP266&lt;&gt;"",LOWER(TRIM($AP266))&lt;&gt;"n/a",LOWER(TRIM($AP266))&lt;&gt;"na",SUMPRODUCT(--(UPPER(TRIM($AP$2:$AP$518))=UPPER(TRIM($AP266))),--(TRIM($AP$2:$AP$518)&lt;&gt;""),--(LOWER(TRIM($AP$2:$AP$518))&lt;&gt;"n/a"),--(LOWER(TRIM($AP$2:$AP$518))&lt;&gt;"na"))&gt;1),AND($AQ266&lt;&gt;"",LOWER(TRIM($AQ266))&lt;&gt;"n/a",LOWER(TRIM($AQ266))&lt;&gt;"na",SUMPRODUCT(--(UPPER(TRIM($AQ$2:$AQ$518))=UPPER(TRIM($AQ266))),--(TRIM($AQ$2:$AQ$518)&lt;&gt;""),--(LOWER(TRIM($AQ$2:$AQ$518))&lt;&gt;"n/a"),--(LOWER(TRIM($AQ$2:$AQ$518))&lt;&gt;"na"))&gt;1)),"Yes","No"))</f>
        <v/>
      </c>
      <c r="F266">
        <f>IF(UPPER(TRIM($B266))&lt;&gt;"YES","", IF(OR(AND($V266&lt;&gt;"", LOWER(TRIM($V266))&lt;&gt;"n/a", LOWER(TRIM($V266))&lt;&gt;"na", SUMPRODUCT(--(UPPER(TRIM($V$2:$V$518))=UPPER(TRIM($V266))), --(UPPER(TRIM($B$2:$B$518))="YES"), --(UPPER(TRIM($G$2:$G$518)&amp;TRIM($I$2:$I$518)&amp;TRIM($J$2:$J$518))&lt;&gt;UPPER(TRIM($G266)&amp;TRIM($I266)&amp;TRIM($J266))))&gt;0), AND($W266&lt;&gt;"", LOWER(TRIM($W266))&lt;&gt;"n/a", LOWER(TRIM($W266))&lt;&gt;"na", SUMPRODUCT(--(UPPER(TRIM($W$2:$W$518))=UPPER(TRIM($W266))), --(UPPER(TRIM($B$2:$B$518))="YES"), --(UPPER(TRIM($G$2:$G$518)&amp;TRIM($I$2:$I$518)&amp;TRIM($J$2:$J$518))&lt;&gt;UPPER(TRIM($G266)&amp;TRIM($I266)&amp;TRIM($J266))))&gt;0), AND($X266&lt;&gt;"", LOWER(TRIM($X266))&lt;&gt;"n/a", LOWER(TRIM($X266))&lt;&gt;"na", SUMPRODUCT(--(UPPER(TRIM($X$2:$X$518))=UPPER(TRIM($X266))), --(UPPER(TRIM($B$2:$B$518))="YES"), --(UPPER(TRIM($G$2:$G$518)&amp;TRIM($I$2:$I$518)&amp;TRIM($J$2:$J$518))&lt;&gt;UPPER(TRIM($G266)&amp;TRIM($I266)&amp;TRIM($J266))))&gt;0), AND($Y266&lt;&gt;"", LOWER(TRIM($Y266))&lt;&gt;"n/a", LOWER(TRIM($Y266))&lt;&gt;"na", SUMPRODUCT(--(UPPER(SUBSTITUTE(SUBSTITUTE(TRIM($Y$2:$Y$518),":",""),"-",""))=UPPER(SUBSTITUTE(SUBSTITUTE(TRIM($Y266),":",""),"-",""))), --(UPPER(TRIM($B$2:$B$518))="YES"), --(UPPER(TRIM($G$2:$G$518)&amp;TRIM($I$2:$I$518)&amp;TRIM($J$2:$J$518))&lt;&gt;UPPER(TRIM($G266)&amp;TRIM($I266)&amp;TRIM($J266))))&gt;0), AND($AB266&lt;&gt;"", LOWER(TRIM($AB266))&lt;&gt;"n/a", LOWER(TRIM($AB266))&lt;&gt;"na", SUMPRODUCT(--(UPPER(TRIM($AB$2:$AB$518))=UPPER(TRIM($AB266))), --(UPPER(TRIM($B$2:$B$518))="YES"), --(UPPER(TRIM($G$2:$G$518)&amp;TRIM($I$2:$I$518)&amp;TRIM($J$2:$J$518))&lt;&gt;UPPER(TRIM($G266)&amp;TRIM($I266)&amp;TRIM($J266))))&gt;0), AND($AH266&lt;&gt;"", LOWER(TRIM($AH266))&lt;&gt;"n/a", LOWER(TRIM($AH266))&lt;&gt;"na", SUMPRODUCT(--(UPPER(SUBSTITUTE(SUBSTITUTE(TRIM($AH$2:$AH$518),":",""),"-",""))=UPPER(SUBSTITUTE(SUBSTITUTE(TRIM($AH266),":",""),"-",""))), --(UPPER(TRIM($B$2:$B$518))="YES"), --(UPPER(TRIM($G$2:$G$518)&amp;TRIM($I$2:$I$518)&amp;TRIM($J$2:$J$518))&lt;&gt;UPPER(TRIM($G266)&amp;TRIM($I266)&amp;TRIM($J266))))&gt;0), AND($AP266&lt;&gt;"", LOWER(TRIM($AP266))&lt;&gt;"n/a", LOWER(TRIM($AP266))&lt;&gt;"na", SUMPRODUCT(--(UPPER(TRIM($AP$2:$AP$518))=UPPER(TRIM($AP266))), --(UPPER(TRIM($B$2:$B$518))="YES"), --(UPPER(TRIM($G$2:$G$518)&amp;TRIM($I$2:$I$518)&amp;TRIM($J$2:$J$518))&lt;&gt;UPPER(TRIM($G266)&amp;TRIM($I266)&amp;TRIM($J266))))&gt;0), AND($AQ266&lt;&gt;"", LOWER(TRIM($AQ266))&lt;&gt;"n/a", LOWER(TRIM($AQ266))&lt;&gt;"na", SUMPRODUCT(--(UPPER(TRIM($AQ$2:$AQ$518))=UPPER(TRIM($AQ266))), --(UPPER(TRIM($B$2:$B$518))="YES"), --(UPPER(TRIM($G$2:$G$518)&amp;TRIM($I$2:$I$518)&amp;TRIM($J$2:$J$518))&lt;&gt;UPPER(TRIM($G266)&amp;TRIM($I266)&amp;TRIM($J266))))&gt;0)), "Yes", "No"))</f>
        <v/>
      </c>
      <c r="G266" t="inlineStr">
        <is>
          <t>LIJVS</t>
        </is>
      </c>
      <c r="H266" t="inlineStr">
        <is>
          <t>LIJVS</t>
        </is>
      </c>
      <c r="I266" t="inlineStr">
        <is>
          <t>OR</t>
        </is>
      </c>
      <c r="J266" t="inlineStr">
        <is>
          <t>OR 3</t>
        </is>
      </c>
      <c r="S266" t="inlineStr">
        <is>
          <t>Pass</t>
        </is>
      </c>
      <c r="V266" t="inlineStr">
        <is>
          <t>WVS900OPR025</t>
        </is>
      </c>
      <c r="W266" t="inlineStr">
        <is>
          <t>MEDNG2425E-3061</t>
        </is>
      </c>
      <c r="Y266" t="inlineStr">
        <is>
          <t>A0F5097F9550</t>
        </is>
      </c>
      <c r="AB266" t="inlineStr">
        <is>
          <t>WA23C03136</t>
        </is>
      </c>
      <c r="AI266" t="inlineStr">
        <is>
          <t>Anesthesia Machine</t>
        </is>
      </c>
      <c r="AK266" t="n">
        <v>1</v>
      </c>
      <c r="AM266" t="inlineStr">
        <is>
          <t>Drager Apollo</t>
        </is>
      </c>
      <c r="AX266" t="inlineStr">
        <is>
          <t>NEURON</t>
        </is>
      </c>
      <c r="AY266" t="inlineStr">
        <is>
          <t>PHILLIP</t>
        </is>
      </c>
      <c r="BT266" t="inlineStr">
        <is>
          <t>Yes</t>
        </is>
      </c>
      <c r="BU266" t="inlineStr">
        <is>
          <t>Yes</t>
        </is>
      </c>
      <c r="BW266" t="inlineStr">
        <is>
          <t>Yes</t>
        </is>
      </c>
      <c r="BY266" t="inlineStr">
        <is>
          <t>RAN AL / DIDNT PROGRAM SCANNER</t>
        </is>
      </c>
      <c r="CF266" t="inlineStr">
        <is>
          <t>Yes</t>
        </is>
      </c>
      <c r="CG266" t="inlineStr">
        <is>
          <t>Yes</t>
        </is>
      </c>
      <c r="CH266" t="inlineStr">
        <is>
          <t>Yes</t>
        </is>
      </c>
      <c r="CI266" t="inlineStr">
        <is>
          <t>Yes</t>
        </is>
      </c>
      <c r="CW266">
        <f>IF($S266="","",IF(UPPER(TRIM($S266))&lt;&gt;"PASS","",IF(LEN(TRIM($BY266))&gt;0,"NOTES_PRESENT",IF(LEN(TRIM($T266))=0,"SET_NA",IF(OR(LOWER(TRIM($T266))="na",LOWER(TRIM($T266))="n/a"),"OK","MANUAL_OVERRIDE")))))</f>
        <v/>
      </c>
    </row>
    <row r="267">
      <c r="A267" t="inlineStr">
        <is>
          <t>Peripherals</t>
        </is>
      </c>
      <c r="B267" s="5" t="inlineStr">
        <is>
          <t>No</t>
        </is>
      </c>
      <c r="C267" t="inlineStr">
        <is>
          <t>No</t>
        </is>
      </c>
      <c r="D267">
        <f>IF($B267&lt;&gt;"Yes","",IF($C267="No","Yes",IF($C267="Yes","No","")))</f>
        <v/>
      </c>
      <c r="E267">
        <f>IF($A267="","",IF(OR(AND($V267&lt;&gt;"",LOWER(TRIM($V267))&lt;&gt;"n/a",LOWER(TRIM($V267))&lt;&gt;"na",SUMPRODUCT(--(UPPER(TRIM($V$2:$V$518))=UPPER(TRIM($V267))),--(TRIM($V$2:$V$518)&lt;&gt;""),--(LOWER(TRIM($V$2:$V$518))&lt;&gt;"n/a"),--(LOWER(TRIM($V$2:$V$518))&lt;&gt;"na"))&gt;1),AND($W267&lt;&gt;"",LOWER(TRIM($W267))&lt;&gt;"n/a",LOWER(TRIM($W267))&lt;&gt;"na",SUMPRODUCT(--(UPPER(TRIM($W$2:$W$518))=UPPER(TRIM($W267))),--(TRIM($W$2:$W$518)&lt;&gt;""),--(LOWER(TRIM($W$2:$W$518))&lt;&gt;"n/a"),--(LOWER(TRIM($W$2:$W$518))&lt;&gt;"na"))&gt;1),AND($X267&lt;&gt;"",LOWER(TRIM($X267))&lt;&gt;"n/a",LOWER(TRIM($X267))&lt;&gt;"na",SUMPRODUCT(--(UPPER(TRIM($X$2:$X$518))=UPPER(TRIM($X267))),--(TRIM($X$2:$X$518)&lt;&gt;""),--(LOWER(TRIM($X$2:$X$518))&lt;&gt;"n/a"),--(LOWER(TRIM($X$2:$X$518))&lt;&gt;"na"))&gt;1),AND($Y267&lt;&gt;"",LOWER(TRIM($Y267))&lt;&gt;"n/a",LOWER(TRIM($Y267))&lt;&gt;"na",SUMPRODUCT(--(UPPER(SUBSTITUTE(SUBSTITUTE(TRIM($Y$2:$Y$518),":",""),"-",""))=UPPER(SUBSTITUTE(SUBSTITUTE(TRIM($Y267),":",""),"-",""))),--(TRIM($Y$2:$Y$518)&lt;&gt;""),--(LOWER(TRIM($Y$2:$Y$518))&lt;&gt;"n/a"),--(LOWER(TRIM($Y$2:$Y$518))&lt;&gt;"na"))&gt;1),AND($AB267&lt;&gt;"",LOWER(TRIM($AB267))&lt;&gt;"n/a",LOWER(TRIM($AB267))&lt;&gt;"na",SUMPRODUCT(--(UPPER(TRIM($AB$2:$AB$518))=UPPER(TRIM($AB267))),--(TRIM($AB$2:$AB$518)&lt;&gt;""),--(LOWER(TRIM($AB$2:$AB$518))&lt;&gt;"n/a"),--(LOWER(TRIM($AB$2:$AB$518))&lt;&gt;"na"))&gt;1),AND($AH267&lt;&gt;"",LOWER(TRIM($AH267))&lt;&gt;"n/a",LOWER(TRIM($AH267))&lt;&gt;"na",SUMPRODUCT(--(UPPER(SUBSTITUTE(SUBSTITUTE(TRIM($AH$2:$AH$518),":",""),"-",""))=UPPER(SUBSTITUTE(SUBSTITUTE(TRIM($AH267),":",""),"-",""))),--(TRIM($AH$2:$AH$518)&lt;&gt;""),--(LOWER(TRIM($AH$2:$AH$518))&lt;&gt;"n/a"),--(LOWER(TRIM($AH$2:$AH$518))&lt;&gt;"na"))&gt;1),AND($AP267&lt;&gt;"",LOWER(TRIM($AP267))&lt;&gt;"n/a",LOWER(TRIM($AP267))&lt;&gt;"na",SUMPRODUCT(--(UPPER(TRIM($AP$2:$AP$518))=UPPER(TRIM($AP267))),--(TRIM($AP$2:$AP$518)&lt;&gt;""),--(LOWER(TRIM($AP$2:$AP$518))&lt;&gt;"n/a"),--(LOWER(TRIM($AP$2:$AP$518))&lt;&gt;"na"))&gt;1),AND($AQ267&lt;&gt;"",LOWER(TRIM($AQ267))&lt;&gt;"n/a",LOWER(TRIM($AQ267))&lt;&gt;"na",SUMPRODUCT(--(UPPER(TRIM($AQ$2:$AQ$518))=UPPER(TRIM($AQ267))),--(TRIM($AQ$2:$AQ$518)&lt;&gt;""),--(LOWER(TRIM($AQ$2:$AQ$518))&lt;&gt;"n/a"),--(LOWER(TRIM($AQ$2:$AQ$518))&lt;&gt;"na"))&gt;1)),"Yes","No"))</f>
        <v/>
      </c>
      <c r="F267">
        <f>IF(UPPER(TRIM($B267))&lt;&gt;"YES","", IF(OR(AND($V267&lt;&gt;"", LOWER(TRIM($V267))&lt;&gt;"n/a", LOWER(TRIM($V267))&lt;&gt;"na", SUMPRODUCT(--(UPPER(TRIM($V$2:$V$518))=UPPER(TRIM($V267))), --(UPPER(TRIM($B$2:$B$518))="YES"), --(UPPER(TRIM($G$2:$G$518)&amp;TRIM($I$2:$I$518)&amp;TRIM($J$2:$J$518))&lt;&gt;UPPER(TRIM($G267)&amp;TRIM($I267)&amp;TRIM($J267))))&gt;0), AND($W267&lt;&gt;"", LOWER(TRIM($W267))&lt;&gt;"n/a", LOWER(TRIM($W267))&lt;&gt;"na", SUMPRODUCT(--(UPPER(TRIM($W$2:$W$518))=UPPER(TRIM($W267))), --(UPPER(TRIM($B$2:$B$518))="YES"), --(UPPER(TRIM($G$2:$G$518)&amp;TRIM($I$2:$I$518)&amp;TRIM($J$2:$J$518))&lt;&gt;UPPER(TRIM($G267)&amp;TRIM($I267)&amp;TRIM($J267))))&gt;0), AND($X267&lt;&gt;"", LOWER(TRIM($X267))&lt;&gt;"n/a", LOWER(TRIM($X267))&lt;&gt;"na", SUMPRODUCT(--(UPPER(TRIM($X$2:$X$518))=UPPER(TRIM($X267))), --(UPPER(TRIM($B$2:$B$518))="YES"), --(UPPER(TRIM($G$2:$G$518)&amp;TRIM($I$2:$I$518)&amp;TRIM($J$2:$J$518))&lt;&gt;UPPER(TRIM($G267)&amp;TRIM($I267)&amp;TRIM($J267))))&gt;0), AND($Y267&lt;&gt;"", LOWER(TRIM($Y267))&lt;&gt;"n/a", LOWER(TRIM($Y267))&lt;&gt;"na", SUMPRODUCT(--(UPPER(SUBSTITUTE(SUBSTITUTE(TRIM($Y$2:$Y$518),":",""),"-",""))=UPPER(SUBSTITUTE(SUBSTITUTE(TRIM($Y267),":",""),"-",""))), --(UPPER(TRIM($B$2:$B$518))="YES"), --(UPPER(TRIM($G$2:$G$518)&amp;TRIM($I$2:$I$518)&amp;TRIM($J$2:$J$518))&lt;&gt;UPPER(TRIM($G267)&amp;TRIM($I267)&amp;TRIM($J267))))&gt;0), AND($AB267&lt;&gt;"", LOWER(TRIM($AB267))&lt;&gt;"n/a", LOWER(TRIM($AB267))&lt;&gt;"na", SUMPRODUCT(--(UPPER(TRIM($AB$2:$AB$518))=UPPER(TRIM($AB267))), --(UPPER(TRIM($B$2:$B$518))="YES"), --(UPPER(TRIM($G$2:$G$518)&amp;TRIM($I$2:$I$518)&amp;TRIM($J$2:$J$518))&lt;&gt;UPPER(TRIM($G267)&amp;TRIM($I267)&amp;TRIM($J267))))&gt;0), AND($AH267&lt;&gt;"", LOWER(TRIM($AH267))&lt;&gt;"n/a", LOWER(TRIM($AH267))&lt;&gt;"na", SUMPRODUCT(--(UPPER(SUBSTITUTE(SUBSTITUTE(TRIM($AH$2:$AH$518),":",""),"-",""))=UPPER(SUBSTITUTE(SUBSTITUTE(TRIM($AH267),":",""),"-",""))), --(UPPER(TRIM($B$2:$B$518))="YES"), --(UPPER(TRIM($G$2:$G$518)&amp;TRIM($I$2:$I$518)&amp;TRIM($J$2:$J$518))&lt;&gt;UPPER(TRIM($G267)&amp;TRIM($I267)&amp;TRIM($J267))))&gt;0), AND($AP267&lt;&gt;"", LOWER(TRIM($AP267))&lt;&gt;"n/a", LOWER(TRIM($AP267))&lt;&gt;"na", SUMPRODUCT(--(UPPER(TRIM($AP$2:$AP$518))=UPPER(TRIM($AP267))), --(UPPER(TRIM($B$2:$B$518))="YES"), --(UPPER(TRIM($G$2:$G$518)&amp;TRIM($I$2:$I$518)&amp;TRIM($J$2:$J$518))&lt;&gt;UPPER(TRIM($G267)&amp;TRIM($I267)&amp;TRIM($J267))))&gt;0), AND($AQ267&lt;&gt;"", LOWER(TRIM($AQ267))&lt;&gt;"n/a", LOWER(TRIM($AQ267))&lt;&gt;"na", SUMPRODUCT(--(UPPER(TRIM($AQ$2:$AQ$518))=UPPER(TRIM($AQ267))), --(UPPER(TRIM($B$2:$B$518))="YES"), --(UPPER(TRIM($G$2:$G$518)&amp;TRIM($I$2:$I$518)&amp;TRIM($J$2:$J$518))&lt;&gt;UPPER(TRIM($G267)&amp;TRIM($I267)&amp;TRIM($J267))))&gt;0)), "Yes", "No"))</f>
        <v/>
      </c>
      <c r="G267" t="inlineStr">
        <is>
          <t>LIJVS</t>
        </is>
      </c>
      <c r="H267" t="inlineStr">
        <is>
          <t>LIJVS</t>
        </is>
      </c>
      <c r="AI267" t="inlineStr">
        <is>
          <t>Anesthesia Machine</t>
        </is>
      </c>
      <c r="AK267" t="n">
        <v>1</v>
      </c>
      <c r="BT267" t="inlineStr">
        <is>
          <t>No</t>
        </is>
      </c>
      <c r="BU267" t="inlineStr">
        <is>
          <t>Yes</t>
        </is>
      </c>
      <c r="BW267" t="inlineStr">
        <is>
          <t>Yes</t>
        </is>
      </c>
      <c r="BY267" t="inlineStr">
        <is>
          <t>did not get to install</t>
        </is>
      </c>
      <c r="CF267" t="inlineStr">
        <is>
          <t>Yes</t>
        </is>
      </c>
      <c r="CG267" t="inlineStr">
        <is>
          <t>Yes</t>
        </is>
      </c>
      <c r="CH267" t="inlineStr">
        <is>
          <t>Yes</t>
        </is>
      </c>
      <c r="CI267" t="inlineStr">
        <is>
          <t>Yes</t>
        </is>
      </c>
      <c r="CW267">
        <f>IF($S267="","",IF(UPPER(TRIM($S267))&lt;&gt;"PASS","",IF(LEN(TRIM($BY267))&gt;0,"NOTES_PRESENT",IF(LEN(TRIM($T267))=0,"SET_NA",IF(OR(LOWER(TRIM($T267))="na",LOWER(TRIM($T267))="n/a"),"OK","MANUAL_OVERRIDE")))))</f>
        <v/>
      </c>
    </row>
    <row r="268">
      <c r="A268" t="inlineStr">
        <is>
          <t>Peripherals</t>
        </is>
      </c>
      <c r="B268" s="5" t="inlineStr">
        <is>
          <t>No</t>
        </is>
      </c>
      <c r="C268" t="inlineStr">
        <is>
          <t>No</t>
        </is>
      </c>
      <c r="D268">
        <f>IF($B268&lt;&gt;"Yes","",IF($C268="No","Yes",IF($C268="Yes","No","")))</f>
        <v/>
      </c>
      <c r="E268">
        <f>IF($A268="","",IF(OR(AND($V268&lt;&gt;"",LOWER(TRIM($V268))&lt;&gt;"n/a",LOWER(TRIM($V268))&lt;&gt;"na",SUMPRODUCT(--(UPPER(TRIM($V$2:$V$518))=UPPER(TRIM($V268))),--(TRIM($V$2:$V$518)&lt;&gt;""),--(LOWER(TRIM($V$2:$V$518))&lt;&gt;"n/a"),--(LOWER(TRIM($V$2:$V$518))&lt;&gt;"na"))&gt;1),AND($W268&lt;&gt;"",LOWER(TRIM($W268))&lt;&gt;"n/a",LOWER(TRIM($W268))&lt;&gt;"na",SUMPRODUCT(--(UPPER(TRIM($W$2:$W$518))=UPPER(TRIM($W268))),--(TRIM($W$2:$W$518)&lt;&gt;""),--(LOWER(TRIM($W$2:$W$518))&lt;&gt;"n/a"),--(LOWER(TRIM($W$2:$W$518))&lt;&gt;"na"))&gt;1),AND($X268&lt;&gt;"",LOWER(TRIM($X268))&lt;&gt;"n/a",LOWER(TRIM($X268))&lt;&gt;"na",SUMPRODUCT(--(UPPER(TRIM($X$2:$X$518))=UPPER(TRIM($X268))),--(TRIM($X$2:$X$518)&lt;&gt;""),--(LOWER(TRIM($X$2:$X$518))&lt;&gt;"n/a"),--(LOWER(TRIM($X$2:$X$518))&lt;&gt;"na"))&gt;1),AND($Y268&lt;&gt;"",LOWER(TRIM($Y268))&lt;&gt;"n/a",LOWER(TRIM($Y268))&lt;&gt;"na",SUMPRODUCT(--(UPPER(SUBSTITUTE(SUBSTITUTE(TRIM($Y$2:$Y$518),":",""),"-",""))=UPPER(SUBSTITUTE(SUBSTITUTE(TRIM($Y268),":",""),"-",""))),--(TRIM($Y$2:$Y$518)&lt;&gt;""),--(LOWER(TRIM($Y$2:$Y$518))&lt;&gt;"n/a"),--(LOWER(TRIM($Y$2:$Y$518))&lt;&gt;"na"))&gt;1),AND($AB268&lt;&gt;"",LOWER(TRIM($AB268))&lt;&gt;"n/a",LOWER(TRIM($AB268))&lt;&gt;"na",SUMPRODUCT(--(UPPER(TRIM($AB$2:$AB$518))=UPPER(TRIM($AB268))),--(TRIM($AB$2:$AB$518)&lt;&gt;""),--(LOWER(TRIM($AB$2:$AB$518))&lt;&gt;"n/a"),--(LOWER(TRIM($AB$2:$AB$518))&lt;&gt;"na"))&gt;1),AND($AH268&lt;&gt;"",LOWER(TRIM($AH268))&lt;&gt;"n/a",LOWER(TRIM($AH268))&lt;&gt;"na",SUMPRODUCT(--(UPPER(SUBSTITUTE(SUBSTITUTE(TRIM($AH$2:$AH$518),":",""),"-",""))=UPPER(SUBSTITUTE(SUBSTITUTE(TRIM($AH268),":",""),"-",""))),--(TRIM($AH$2:$AH$518)&lt;&gt;""),--(LOWER(TRIM($AH$2:$AH$518))&lt;&gt;"n/a"),--(LOWER(TRIM($AH$2:$AH$518))&lt;&gt;"na"))&gt;1),AND($AP268&lt;&gt;"",LOWER(TRIM($AP268))&lt;&gt;"n/a",LOWER(TRIM($AP268))&lt;&gt;"na",SUMPRODUCT(--(UPPER(TRIM($AP$2:$AP$518))=UPPER(TRIM($AP268))),--(TRIM($AP$2:$AP$518)&lt;&gt;""),--(LOWER(TRIM($AP$2:$AP$518))&lt;&gt;"n/a"),--(LOWER(TRIM($AP$2:$AP$518))&lt;&gt;"na"))&gt;1),AND($AQ268&lt;&gt;"",LOWER(TRIM($AQ268))&lt;&gt;"n/a",LOWER(TRIM($AQ268))&lt;&gt;"na",SUMPRODUCT(--(UPPER(TRIM($AQ$2:$AQ$518))=UPPER(TRIM($AQ268))),--(TRIM($AQ$2:$AQ$518)&lt;&gt;""),--(LOWER(TRIM($AQ$2:$AQ$518))&lt;&gt;"n/a"),--(LOWER(TRIM($AQ$2:$AQ$518))&lt;&gt;"na"))&gt;1)),"Yes","No"))</f>
        <v/>
      </c>
      <c r="F268">
        <f>IF(UPPER(TRIM($B268))&lt;&gt;"YES","", IF(OR(AND($V268&lt;&gt;"", LOWER(TRIM($V268))&lt;&gt;"n/a", LOWER(TRIM($V268))&lt;&gt;"na", SUMPRODUCT(--(UPPER(TRIM($V$2:$V$518))=UPPER(TRIM($V268))), --(UPPER(TRIM($B$2:$B$518))="YES"), --(UPPER(TRIM($G$2:$G$518)&amp;TRIM($I$2:$I$518)&amp;TRIM($J$2:$J$518))&lt;&gt;UPPER(TRIM($G268)&amp;TRIM($I268)&amp;TRIM($J268))))&gt;0), AND($W268&lt;&gt;"", LOWER(TRIM($W268))&lt;&gt;"n/a", LOWER(TRIM($W268))&lt;&gt;"na", SUMPRODUCT(--(UPPER(TRIM($W$2:$W$518))=UPPER(TRIM($W268))), --(UPPER(TRIM($B$2:$B$518))="YES"), --(UPPER(TRIM($G$2:$G$518)&amp;TRIM($I$2:$I$518)&amp;TRIM($J$2:$J$518))&lt;&gt;UPPER(TRIM($G268)&amp;TRIM($I268)&amp;TRIM($J268))))&gt;0), AND($X268&lt;&gt;"", LOWER(TRIM($X268))&lt;&gt;"n/a", LOWER(TRIM($X268))&lt;&gt;"na", SUMPRODUCT(--(UPPER(TRIM($X$2:$X$518))=UPPER(TRIM($X268))), --(UPPER(TRIM($B$2:$B$518))="YES"), --(UPPER(TRIM($G$2:$G$518)&amp;TRIM($I$2:$I$518)&amp;TRIM($J$2:$J$518))&lt;&gt;UPPER(TRIM($G268)&amp;TRIM($I268)&amp;TRIM($J268))))&gt;0), AND($Y268&lt;&gt;"", LOWER(TRIM($Y268))&lt;&gt;"n/a", LOWER(TRIM($Y268))&lt;&gt;"na", SUMPRODUCT(--(UPPER(SUBSTITUTE(SUBSTITUTE(TRIM($Y$2:$Y$518),":",""),"-",""))=UPPER(SUBSTITUTE(SUBSTITUTE(TRIM($Y268),":",""),"-",""))), --(UPPER(TRIM($B$2:$B$518))="YES"), --(UPPER(TRIM($G$2:$G$518)&amp;TRIM($I$2:$I$518)&amp;TRIM($J$2:$J$518))&lt;&gt;UPPER(TRIM($G268)&amp;TRIM($I268)&amp;TRIM($J268))))&gt;0), AND($AB268&lt;&gt;"", LOWER(TRIM($AB268))&lt;&gt;"n/a", LOWER(TRIM($AB268))&lt;&gt;"na", SUMPRODUCT(--(UPPER(TRIM($AB$2:$AB$518))=UPPER(TRIM($AB268))), --(UPPER(TRIM($B$2:$B$518))="YES"), --(UPPER(TRIM($G$2:$G$518)&amp;TRIM($I$2:$I$518)&amp;TRIM($J$2:$J$518))&lt;&gt;UPPER(TRIM($G268)&amp;TRIM($I268)&amp;TRIM($J268))))&gt;0), AND($AH268&lt;&gt;"", LOWER(TRIM($AH268))&lt;&gt;"n/a", LOWER(TRIM($AH268))&lt;&gt;"na", SUMPRODUCT(--(UPPER(SUBSTITUTE(SUBSTITUTE(TRIM($AH$2:$AH$518),":",""),"-",""))=UPPER(SUBSTITUTE(SUBSTITUTE(TRIM($AH268),":",""),"-",""))), --(UPPER(TRIM($B$2:$B$518))="YES"), --(UPPER(TRIM($G$2:$G$518)&amp;TRIM($I$2:$I$518)&amp;TRIM($J$2:$J$518))&lt;&gt;UPPER(TRIM($G268)&amp;TRIM($I268)&amp;TRIM($J268))))&gt;0), AND($AP268&lt;&gt;"", LOWER(TRIM($AP268))&lt;&gt;"n/a", LOWER(TRIM($AP268))&lt;&gt;"na", SUMPRODUCT(--(UPPER(TRIM($AP$2:$AP$518))=UPPER(TRIM($AP268))), --(UPPER(TRIM($B$2:$B$518))="YES"), --(UPPER(TRIM($G$2:$G$518)&amp;TRIM($I$2:$I$518)&amp;TRIM($J$2:$J$518))&lt;&gt;UPPER(TRIM($G268)&amp;TRIM($I268)&amp;TRIM($J268))))&gt;0), AND($AQ268&lt;&gt;"", LOWER(TRIM($AQ268))&lt;&gt;"n/a", LOWER(TRIM($AQ268))&lt;&gt;"na", SUMPRODUCT(--(UPPER(TRIM($AQ$2:$AQ$518))=UPPER(TRIM($AQ268))), --(UPPER(TRIM($B$2:$B$518))="YES"), --(UPPER(TRIM($G$2:$G$518)&amp;TRIM($I$2:$I$518)&amp;TRIM($J$2:$J$518))&lt;&gt;UPPER(TRIM($G268)&amp;TRIM($I268)&amp;TRIM($J268))))&gt;0)), "Yes", "No"))</f>
        <v/>
      </c>
      <c r="G268" t="inlineStr">
        <is>
          <t>LIJVS</t>
        </is>
      </c>
      <c r="H268" t="inlineStr">
        <is>
          <t>LIJVS</t>
        </is>
      </c>
      <c r="AI268" t="inlineStr">
        <is>
          <t>Anesthesia Machine</t>
        </is>
      </c>
      <c r="AK268" t="n">
        <v>1</v>
      </c>
      <c r="BT268" t="inlineStr">
        <is>
          <t>No</t>
        </is>
      </c>
      <c r="BU268" t="inlineStr">
        <is>
          <t>Yes</t>
        </is>
      </c>
      <c r="BW268" t="inlineStr">
        <is>
          <t>Yes</t>
        </is>
      </c>
      <c r="BY268" t="inlineStr">
        <is>
          <t>did not get to install</t>
        </is>
      </c>
      <c r="CF268" t="inlineStr">
        <is>
          <t>Yes</t>
        </is>
      </c>
      <c r="CG268" t="inlineStr">
        <is>
          <t>Yes</t>
        </is>
      </c>
      <c r="CH268" t="inlineStr">
        <is>
          <t>Yes</t>
        </is>
      </c>
      <c r="CI268" t="inlineStr">
        <is>
          <t>Yes</t>
        </is>
      </c>
      <c r="CW268">
        <f>IF($S268="","",IF(UPPER(TRIM($S268))&lt;&gt;"PASS","",IF(LEN(TRIM($BY268))&gt;0,"NOTES_PRESENT",IF(LEN(TRIM($T268))=0,"SET_NA",IF(OR(LOWER(TRIM($T268))="na",LOWER(TRIM($T268))="n/a"),"OK","MANUAL_OVERRIDE")))))</f>
        <v/>
      </c>
    </row>
    <row r="269">
      <c r="A269" t="inlineStr">
        <is>
          <t>Peripherals</t>
        </is>
      </c>
      <c r="B269" s="5" t="inlineStr">
        <is>
          <t>No</t>
        </is>
      </c>
      <c r="C269" t="inlineStr">
        <is>
          <t>No</t>
        </is>
      </c>
      <c r="D269">
        <f>IF($B269&lt;&gt;"Yes","",IF($C269="No","Yes",IF($C269="Yes","No","")))</f>
        <v/>
      </c>
      <c r="E269">
        <f>IF($A269="","",IF(OR(AND($V269&lt;&gt;"",LOWER(TRIM($V269))&lt;&gt;"n/a",LOWER(TRIM($V269))&lt;&gt;"na",SUMPRODUCT(--(UPPER(TRIM($V$2:$V$518))=UPPER(TRIM($V269))),--(TRIM($V$2:$V$518)&lt;&gt;""),--(LOWER(TRIM($V$2:$V$518))&lt;&gt;"n/a"),--(LOWER(TRIM($V$2:$V$518))&lt;&gt;"na"))&gt;1),AND($W269&lt;&gt;"",LOWER(TRIM($W269))&lt;&gt;"n/a",LOWER(TRIM($W269))&lt;&gt;"na",SUMPRODUCT(--(UPPER(TRIM($W$2:$W$518))=UPPER(TRIM($W269))),--(TRIM($W$2:$W$518)&lt;&gt;""),--(LOWER(TRIM($W$2:$W$518))&lt;&gt;"n/a"),--(LOWER(TRIM($W$2:$W$518))&lt;&gt;"na"))&gt;1),AND($X269&lt;&gt;"",LOWER(TRIM($X269))&lt;&gt;"n/a",LOWER(TRIM($X269))&lt;&gt;"na",SUMPRODUCT(--(UPPER(TRIM($X$2:$X$518))=UPPER(TRIM($X269))),--(TRIM($X$2:$X$518)&lt;&gt;""),--(LOWER(TRIM($X$2:$X$518))&lt;&gt;"n/a"),--(LOWER(TRIM($X$2:$X$518))&lt;&gt;"na"))&gt;1),AND($Y269&lt;&gt;"",LOWER(TRIM($Y269))&lt;&gt;"n/a",LOWER(TRIM($Y269))&lt;&gt;"na",SUMPRODUCT(--(UPPER(SUBSTITUTE(SUBSTITUTE(TRIM($Y$2:$Y$518),":",""),"-",""))=UPPER(SUBSTITUTE(SUBSTITUTE(TRIM($Y269),":",""),"-",""))),--(TRIM($Y$2:$Y$518)&lt;&gt;""),--(LOWER(TRIM($Y$2:$Y$518))&lt;&gt;"n/a"),--(LOWER(TRIM($Y$2:$Y$518))&lt;&gt;"na"))&gt;1),AND($AB269&lt;&gt;"",LOWER(TRIM($AB269))&lt;&gt;"n/a",LOWER(TRIM($AB269))&lt;&gt;"na",SUMPRODUCT(--(UPPER(TRIM($AB$2:$AB$518))=UPPER(TRIM($AB269))),--(TRIM($AB$2:$AB$518)&lt;&gt;""),--(LOWER(TRIM($AB$2:$AB$518))&lt;&gt;"n/a"),--(LOWER(TRIM($AB$2:$AB$518))&lt;&gt;"na"))&gt;1),AND($AH269&lt;&gt;"",LOWER(TRIM($AH269))&lt;&gt;"n/a",LOWER(TRIM($AH269))&lt;&gt;"na",SUMPRODUCT(--(UPPER(SUBSTITUTE(SUBSTITUTE(TRIM($AH$2:$AH$518),":",""),"-",""))=UPPER(SUBSTITUTE(SUBSTITUTE(TRIM($AH269),":",""),"-",""))),--(TRIM($AH$2:$AH$518)&lt;&gt;""),--(LOWER(TRIM($AH$2:$AH$518))&lt;&gt;"n/a"),--(LOWER(TRIM($AH$2:$AH$518))&lt;&gt;"na"))&gt;1),AND($AP269&lt;&gt;"",LOWER(TRIM($AP269))&lt;&gt;"n/a",LOWER(TRIM($AP269))&lt;&gt;"na",SUMPRODUCT(--(UPPER(TRIM($AP$2:$AP$518))=UPPER(TRIM($AP269))),--(TRIM($AP$2:$AP$518)&lt;&gt;""),--(LOWER(TRIM($AP$2:$AP$518))&lt;&gt;"n/a"),--(LOWER(TRIM($AP$2:$AP$518))&lt;&gt;"na"))&gt;1),AND($AQ269&lt;&gt;"",LOWER(TRIM($AQ269))&lt;&gt;"n/a",LOWER(TRIM($AQ269))&lt;&gt;"na",SUMPRODUCT(--(UPPER(TRIM($AQ$2:$AQ$518))=UPPER(TRIM($AQ269))),--(TRIM($AQ$2:$AQ$518)&lt;&gt;""),--(LOWER(TRIM($AQ$2:$AQ$518))&lt;&gt;"n/a"),--(LOWER(TRIM($AQ$2:$AQ$518))&lt;&gt;"na"))&gt;1)),"Yes","No"))</f>
        <v/>
      </c>
      <c r="F269">
        <f>IF(UPPER(TRIM($B269))&lt;&gt;"YES","", IF(OR(AND($V269&lt;&gt;"", LOWER(TRIM($V269))&lt;&gt;"n/a", LOWER(TRIM($V269))&lt;&gt;"na", SUMPRODUCT(--(UPPER(TRIM($V$2:$V$518))=UPPER(TRIM($V269))), --(UPPER(TRIM($B$2:$B$518))="YES"), --(UPPER(TRIM($G$2:$G$518)&amp;TRIM($I$2:$I$518)&amp;TRIM($J$2:$J$518))&lt;&gt;UPPER(TRIM($G269)&amp;TRIM($I269)&amp;TRIM($J269))))&gt;0), AND($W269&lt;&gt;"", LOWER(TRIM($W269))&lt;&gt;"n/a", LOWER(TRIM($W269))&lt;&gt;"na", SUMPRODUCT(--(UPPER(TRIM($W$2:$W$518))=UPPER(TRIM($W269))), --(UPPER(TRIM($B$2:$B$518))="YES"), --(UPPER(TRIM($G$2:$G$518)&amp;TRIM($I$2:$I$518)&amp;TRIM($J$2:$J$518))&lt;&gt;UPPER(TRIM($G269)&amp;TRIM($I269)&amp;TRIM($J269))))&gt;0), AND($X269&lt;&gt;"", LOWER(TRIM($X269))&lt;&gt;"n/a", LOWER(TRIM($X269))&lt;&gt;"na", SUMPRODUCT(--(UPPER(TRIM($X$2:$X$518))=UPPER(TRIM($X269))), --(UPPER(TRIM($B$2:$B$518))="YES"), --(UPPER(TRIM($G$2:$G$518)&amp;TRIM($I$2:$I$518)&amp;TRIM($J$2:$J$518))&lt;&gt;UPPER(TRIM($G269)&amp;TRIM($I269)&amp;TRIM($J269))))&gt;0), AND($Y269&lt;&gt;"", LOWER(TRIM($Y269))&lt;&gt;"n/a", LOWER(TRIM($Y269))&lt;&gt;"na", SUMPRODUCT(--(UPPER(SUBSTITUTE(SUBSTITUTE(TRIM($Y$2:$Y$518),":",""),"-",""))=UPPER(SUBSTITUTE(SUBSTITUTE(TRIM($Y269),":",""),"-",""))), --(UPPER(TRIM($B$2:$B$518))="YES"), --(UPPER(TRIM($G$2:$G$518)&amp;TRIM($I$2:$I$518)&amp;TRIM($J$2:$J$518))&lt;&gt;UPPER(TRIM($G269)&amp;TRIM($I269)&amp;TRIM($J269))))&gt;0), AND($AB269&lt;&gt;"", LOWER(TRIM($AB269))&lt;&gt;"n/a", LOWER(TRIM($AB269))&lt;&gt;"na", SUMPRODUCT(--(UPPER(TRIM($AB$2:$AB$518))=UPPER(TRIM($AB269))), --(UPPER(TRIM($B$2:$B$518))="YES"), --(UPPER(TRIM($G$2:$G$518)&amp;TRIM($I$2:$I$518)&amp;TRIM($J$2:$J$518))&lt;&gt;UPPER(TRIM($G269)&amp;TRIM($I269)&amp;TRIM($J269))))&gt;0), AND($AH269&lt;&gt;"", LOWER(TRIM($AH269))&lt;&gt;"n/a", LOWER(TRIM($AH269))&lt;&gt;"na", SUMPRODUCT(--(UPPER(SUBSTITUTE(SUBSTITUTE(TRIM($AH$2:$AH$518),":",""),"-",""))=UPPER(SUBSTITUTE(SUBSTITUTE(TRIM($AH269),":",""),"-",""))), --(UPPER(TRIM($B$2:$B$518))="YES"), --(UPPER(TRIM($G$2:$G$518)&amp;TRIM($I$2:$I$518)&amp;TRIM($J$2:$J$518))&lt;&gt;UPPER(TRIM($G269)&amp;TRIM($I269)&amp;TRIM($J269))))&gt;0), AND($AP269&lt;&gt;"", LOWER(TRIM($AP269))&lt;&gt;"n/a", LOWER(TRIM($AP269))&lt;&gt;"na", SUMPRODUCT(--(UPPER(TRIM($AP$2:$AP$518))=UPPER(TRIM($AP269))), --(UPPER(TRIM($B$2:$B$518))="YES"), --(UPPER(TRIM($G$2:$G$518)&amp;TRIM($I$2:$I$518)&amp;TRIM($J$2:$J$518))&lt;&gt;UPPER(TRIM($G269)&amp;TRIM($I269)&amp;TRIM($J269))))&gt;0), AND($AQ269&lt;&gt;"", LOWER(TRIM($AQ269))&lt;&gt;"n/a", LOWER(TRIM($AQ269))&lt;&gt;"na", SUMPRODUCT(--(UPPER(TRIM($AQ$2:$AQ$518))=UPPER(TRIM($AQ269))), --(UPPER(TRIM($B$2:$B$518))="YES"), --(UPPER(TRIM($G$2:$G$518)&amp;TRIM($I$2:$I$518)&amp;TRIM($J$2:$J$518))&lt;&gt;UPPER(TRIM($G269)&amp;TRIM($I269)&amp;TRIM($J269))))&gt;0)), "Yes", "No"))</f>
        <v/>
      </c>
      <c r="G269" t="inlineStr">
        <is>
          <t>LIJVS</t>
        </is>
      </c>
      <c r="H269" t="inlineStr">
        <is>
          <t>LIJVS</t>
        </is>
      </c>
      <c r="AI269" t="inlineStr">
        <is>
          <t>Anesthesia Machine</t>
        </is>
      </c>
      <c r="AK269" t="n">
        <v>1</v>
      </c>
      <c r="BT269" t="inlineStr">
        <is>
          <t>No</t>
        </is>
      </c>
      <c r="BU269" t="inlineStr">
        <is>
          <t>Yes</t>
        </is>
      </c>
      <c r="BW269" t="inlineStr">
        <is>
          <t>Yes</t>
        </is>
      </c>
      <c r="BY269" t="inlineStr">
        <is>
          <t>did not get to install</t>
        </is>
      </c>
      <c r="CF269" t="inlineStr">
        <is>
          <t>Yes</t>
        </is>
      </c>
      <c r="CG269" t="inlineStr">
        <is>
          <t>Yes</t>
        </is>
      </c>
      <c r="CH269" t="inlineStr">
        <is>
          <t>Yes</t>
        </is>
      </c>
      <c r="CI269" t="inlineStr">
        <is>
          <t>Yes</t>
        </is>
      </c>
      <c r="CJ269" t="inlineStr">
        <is>
          <t>Yes</t>
        </is>
      </c>
      <c r="CK269" t="n">
        <v>19200</v>
      </c>
      <c r="CW269">
        <f>IF($S269="","",IF(UPPER(TRIM($S269))&lt;&gt;"PASS","",IF(LEN(TRIM($BY269))&gt;0,"NOTES_PRESENT",IF(LEN(TRIM($T269))=0,"SET_NA",IF(OR(LOWER(TRIM($T269))="na",LOWER(TRIM($T269))="n/a"),"OK","MANUAL_OVERRIDE")))))</f>
        <v/>
      </c>
    </row>
    <row r="270">
      <c r="A270" t="inlineStr">
        <is>
          <t>Cybernet</t>
        </is>
      </c>
      <c r="B270" s="5" t="inlineStr">
        <is>
          <t>No</t>
        </is>
      </c>
      <c r="D270">
        <f>IF($B270&lt;&gt;"Yes","",IF($C270="No","Yes",IF($C270="Yes","No","")))</f>
        <v/>
      </c>
      <c r="E270">
        <f>IF($A270="","",IF(OR(AND($V270&lt;&gt;"",LOWER(TRIM($V270))&lt;&gt;"n/a",LOWER(TRIM($V270))&lt;&gt;"na",SUMPRODUCT(--(UPPER(TRIM($V$2:$V$518))=UPPER(TRIM($V270))),--(TRIM($V$2:$V$518)&lt;&gt;""),--(LOWER(TRIM($V$2:$V$518))&lt;&gt;"n/a"),--(LOWER(TRIM($V$2:$V$518))&lt;&gt;"na"))&gt;1),AND($W270&lt;&gt;"",LOWER(TRIM($W270))&lt;&gt;"n/a",LOWER(TRIM($W270))&lt;&gt;"na",SUMPRODUCT(--(UPPER(TRIM($W$2:$W$518))=UPPER(TRIM($W270))),--(TRIM($W$2:$W$518)&lt;&gt;""),--(LOWER(TRIM($W$2:$W$518))&lt;&gt;"n/a"),--(LOWER(TRIM($W$2:$W$518))&lt;&gt;"na"))&gt;1),AND($X270&lt;&gt;"",LOWER(TRIM($X270))&lt;&gt;"n/a",LOWER(TRIM($X270))&lt;&gt;"na",SUMPRODUCT(--(UPPER(TRIM($X$2:$X$518))=UPPER(TRIM($X270))),--(TRIM($X$2:$X$518)&lt;&gt;""),--(LOWER(TRIM($X$2:$X$518))&lt;&gt;"n/a"),--(LOWER(TRIM($X$2:$X$518))&lt;&gt;"na"))&gt;1),AND($Y270&lt;&gt;"",LOWER(TRIM($Y270))&lt;&gt;"n/a",LOWER(TRIM($Y270))&lt;&gt;"na",SUMPRODUCT(--(UPPER(SUBSTITUTE(SUBSTITUTE(TRIM($Y$2:$Y$518),":",""),"-",""))=UPPER(SUBSTITUTE(SUBSTITUTE(TRIM($Y270),":",""),"-",""))),--(TRIM($Y$2:$Y$518)&lt;&gt;""),--(LOWER(TRIM($Y$2:$Y$518))&lt;&gt;"n/a"),--(LOWER(TRIM($Y$2:$Y$518))&lt;&gt;"na"))&gt;1),AND($AB270&lt;&gt;"",LOWER(TRIM($AB270))&lt;&gt;"n/a",LOWER(TRIM($AB270))&lt;&gt;"na",SUMPRODUCT(--(UPPER(TRIM($AB$2:$AB$518))=UPPER(TRIM($AB270))),--(TRIM($AB$2:$AB$518)&lt;&gt;""),--(LOWER(TRIM($AB$2:$AB$518))&lt;&gt;"n/a"),--(LOWER(TRIM($AB$2:$AB$518))&lt;&gt;"na"))&gt;1),AND($AH270&lt;&gt;"",LOWER(TRIM($AH270))&lt;&gt;"n/a",LOWER(TRIM($AH270))&lt;&gt;"na",SUMPRODUCT(--(UPPER(SUBSTITUTE(SUBSTITUTE(TRIM($AH$2:$AH$518),":",""),"-",""))=UPPER(SUBSTITUTE(SUBSTITUTE(TRIM($AH270),":",""),"-",""))),--(TRIM($AH$2:$AH$518)&lt;&gt;""),--(LOWER(TRIM($AH$2:$AH$518))&lt;&gt;"n/a"),--(LOWER(TRIM($AH$2:$AH$518))&lt;&gt;"na"))&gt;1),AND($AP270&lt;&gt;"",LOWER(TRIM($AP270))&lt;&gt;"n/a",LOWER(TRIM($AP270))&lt;&gt;"na",SUMPRODUCT(--(UPPER(TRIM($AP$2:$AP$518))=UPPER(TRIM($AP270))),--(TRIM($AP$2:$AP$518)&lt;&gt;""),--(LOWER(TRIM($AP$2:$AP$518))&lt;&gt;"n/a"),--(LOWER(TRIM($AP$2:$AP$518))&lt;&gt;"na"))&gt;1),AND($AQ270&lt;&gt;"",LOWER(TRIM($AQ270))&lt;&gt;"n/a",LOWER(TRIM($AQ270))&lt;&gt;"na",SUMPRODUCT(--(UPPER(TRIM($AQ$2:$AQ$518))=UPPER(TRIM($AQ270))),--(TRIM($AQ$2:$AQ$518)&lt;&gt;""),--(LOWER(TRIM($AQ$2:$AQ$518))&lt;&gt;"n/a"),--(LOWER(TRIM($AQ$2:$AQ$518))&lt;&gt;"na"))&gt;1)),"Yes","No"))</f>
        <v/>
      </c>
      <c r="F270">
        <f>IF(UPPER(TRIM($B270))&lt;&gt;"YES","", IF(OR(AND($V270&lt;&gt;"", LOWER(TRIM($V270))&lt;&gt;"n/a", LOWER(TRIM($V270))&lt;&gt;"na", SUMPRODUCT(--(UPPER(TRIM($V$2:$V$518))=UPPER(TRIM($V270))), --(UPPER(TRIM($B$2:$B$518))="YES"), --(UPPER(TRIM($G$2:$G$518)&amp;TRIM($I$2:$I$518)&amp;TRIM($J$2:$J$518))&lt;&gt;UPPER(TRIM($G270)&amp;TRIM($I270)&amp;TRIM($J270))))&gt;0), AND($W270&lt;&gt;"", LOWER(TRIM($W270))&lt;&gt;"n/a", LOWER(TRIM($W270))&lt;&gt;"na", SUMPRODUCT(--(UPPER(TRIM($W$2:$W$518))=UPPER(TRIM($W270))), --(UPPER(TRIM($B$2:$B$518))="YES"), --(UPPER(TRIM($G$2:$G$518)&amp;TRIM($I$2:$I$518)&amp;TRIM($J$2:$J$518))&lt;&gt;UPPER(TRIM($G270)&amp;TRIM($I270)&amp;TRIM($J270))))&gt;0), AND($X270&lt;&gt;"", LOWER(TRIM($X270))&lt;&gt;"n/a", LOWER(TRIM($X270))&lt;&gt;"na", SUMPRODUCT(--(UPPER(TRIM($X$2:$X$518))=UPPER(TRIM($X270))), --(UPPER(TRIM($B$2:$B$518))="YES"), --(UPPER(TRIM($G$2:$G$518)&amp;TRIM($I$2:$I$518)&amp;TRIM($J$2:$J$518))&lt;&gt;UPPER(TRIM($G270)&amp;TRIM($I270)&amp;TRIM($J270))))&gt;0), AND($Y270&lt;&gt;"", LOWER(TRIM($Y270))&lt;&gt;"n/a", LOWER(TRIM($Y270))&lt;&gt;"na", SUMPRODUCT(--(UPPER(SUBSTITUTE(SUBSTITUTE(TRIM($Y$2:$Y$518),":",""),"-",""))=UPPER(SUBSTITUTE(SUBSTITUTE(TRIM($Y270),":",""),"-",""))), --(UPPER(TRIM($B$2:$B$518))="YES"), --(UPPER(TRIM($G$2:$G$518)&amp;TRIM($I$2:$I$518)&amp;TRIM($J$2:$J$518))&lt;&gt;UPPER(TRIM($G270)&amp;TRIM($I270)&amp;TRIM($J270))))&gt;0), AND($AB270&lt;&gt;"", LOWER(TRIM($AB270))&lt;&gt;"n/a", LOWER(TRIM($AB270))&lt;&gt;"na", SUMPRODUCT(--(UPPER(TRIM($AB$2:$AB$518))=UPPER(TRIM($AB270))), --(UPPER(TRIM($B$2:$B$518))="YES"), --(UPPER(TRIM($G$2:$G$518)&amp;TRIM($I$2:$I$518)&amp;TRIM($J$2:$J$518))&lt;&gt;UPPER(TRIM($G270)&amp;TRIM($I270)&amp;TRIM($J270))))&gt;0), AND($AH270&lt;&gt;"", LOWER(TRIM($AH270))&lt;&gt;"n/a", LOWER(TRIM($AH270))&lt;&gt;"na", SUMPRODUCT(--(UPPER(SUBSTITUTE(SUBSTITUTE(TRIM($AH$2:$AH$518),":",""),"-",""))=UPPER(SUBSTITUTE(SUBSTITUTE(TRIM($AH270),":",""),"-",""))), --(UPPER(TRIM($B$2:$B$518))="YES"), --(UPPER(TRIM($G$2:$G$518)&amp;TRIM($I$2:$I$518)&amp;TRIM($J$2:$J$518))&lt;&gt;UPPER(TRIM($G270)&amp;TRIM($I270)&amp;TRIM($J270))))&gt;0), AND($AP270&lt;&gt;"", LOWER(TRIM($AP270))&lt;&gt;"n/a", LOWER(TRIM($AP270))&lt;&gt;"na", SUMPRODUCT(--(UPPER(TRIM($AP$2:$AP$518))=UPPER(TRIM($AP270))), --(UPPER(TRIM($B$2:$B$518))="YES"), --(UPPER(TRIM($G$2:$G$518)&amp;TRIM($I$2:$I$518)&amp;TRIM($J$2:$J$518))&lt;&gt;UPPER(TRIM($G270)&amp;TRIM($I270)&amp;TRIM($J270))))&gt;0), AND($AQ270&lt;&gt;"", LOWER(TRIM($AQ270))&lt;&gt;"n/a", LOWER(TRIM($AQ270))&lt;&gt;"na", SUMPRODUCT(--(UPPER(TRIM($AQ$2:$AQ$518))=UPPER(TRIM($AQ270))), --(UPPER(TRIM($B$2:$B$518))="YES"), --(UPPER(TRIM($G$2:$G$518)&amp;TRIM($I$2:$I$518)&amp;TRIM($J$2:$J$518))&lt;&gt;UPPER(TRIM($G270)&amp;TRIM($I270)&amp;TRIM($J270))))&gt;0)), "Yes", "No"))</f>
        <v/>
      </c>
      <c r="G270" t="inlineStr">
        <is>
          <t>1 Marcus</t>
        </is>
      </c>
      <c r="H270" t="inlineStr">
        <is>
          <t>SSUH</t>
        </is>
      </c>
      <c r="V270" t="inlineStr">
        <is>
          <t>WBS301opr111</t>
        </is>
      </c>
      <c r="W270" t="inlineStr">
        <is>
          <t>MEDNG2425E-3137</t>
        </is>
      </c>
      <c r="AH270" t="inlineStr">
        <is>
          <t>00:0D:05:0A:B3:BF</t>
        </is>
      </c>
      <c r="CF270" t="inlineStr">
        <is>
          <t>Yes</t>
        </is>
      </c>
      <c r="CG270" t="inlineStr">
        <is>
          <t>Yes</t>
        </is>
      </c>
      <c r="CH270" t="inlineStr">
        <is>
          <t>Yes</t>
        </is>
      </c>
      <c r="CI270" t="inlineStr">
        <is>
          <t>Yes</t>
        </is>
      </c>
      <c r="CJ270" t="inlineStr">
        <is>
          <t>Yes</t>
        </is>
      </c>
      <c r="CK270" t="n">
        <v>19200</v>
      </c>
      <c r="CW270">
        <f>IF($S270="","",IF(UPPER(TRIM($S270))&lt;&gt;"PASS","",IF(LEN(TRIM($BY270))&gt;0,"NOTES_PRESENT",IF(LEN(TRIM($T270))=0,"SET_NA",IF(OR(LOWER(TRIM($T270))="na",LOWER(TRIM($T270))="n/a"),"OK","MANUAL_OVERRIDE")))))</f>
        <v/>
      </c>
    </row>
    <row r="271">
      <c r="A271" t="inlineStr">
        <is>
          <t>Cybernet</t>
        </is>
      </c>
      <c r="B271" s="5" t="inlineStr">
        <is>
          <t>No</t>
        </is>
      </c>
      <c r="D271">
        <f>IF($B271&lt;&gt;"Yes","",IF($C271="No","Yes",IF($C271="Yes","No","")))</f>
        <v/>
      </c>
      <c r="E271">
        <f>IF($A271="","",IF(OR(AND($V271&lt;&gt;"",LOWER(TRIM($V271))&lt;&gt;"n/a",LOWER(TRIM($V271))&lt;&gt;"na",SUMPRODUCT(--(UPPER(TRIM($V$2:$V$518))=UPPER(TRIM($V271))),--(TRIM($V$2:$V$518)&lt;&gt;""),--(LOWER(TRIM($V$2:$V$518))&lt;&gt;"n/a"),--(LOWER(TRIM($V$2:$V$518))&lt;&gt;"na"))&gt;1),AND($W271&lt;&gt;"",LOWER(TRIM($W271))&lt;&gt;"n/a",LOWER(TRIM($W271))&lt;&gt;"na",SUMPRODUCT(--(UPPER(TRIM($W$2:$W$518))=UPPER(TRIM($W271))),--(TRIM($W$2:$W$518)&lt;&gt;""),--(LOWER(TRIM($W$2:$W$518))&lt;&gt;"n/a"),--(LOWER(TRIM($W$2:$W$518))&lt;&gt;"na"))&gt;1),AND($X271&lt;&gt;"",LOWER(TRIM($X271))&lt;&gt;"n/a",LOWER(TRIM($X271))&lt;&gt;"na",SUMPRODUCT(--(UPPER(TRIM($X$2:$X$518))=UPPER(TRIM($X271))),--(TRIM($X$2:$X$518)&lt;&gt;""),--(LOWER(TRIM($X$2:$X$518))&lt;&gt;"n/a"),--(LOWER(TRIM($X$2:$X$518))&lt;&gt;"na"))&gt;1),AND($Y271&lt;&gt;"",LOWER(TRIM($Y271))&lt;&gt;"n/a",LOWER(TRIM($Y271))&lt;&gt;"na",SUMPRODUCT(--(UPPER(SUBSTITUTE(SUBSTITUTE(TRIM($Y$2:$Y$518),":",""),"-",""))=UPPER(SUBSTITUTE(SUBSTITUTE(TRIM($Y271),":",""),"-",""))),--(TRIM($Y$2:$Y$518)&lt;&gt;""),--(LOWER(TRIM($Y$2:$Y$518))&lt;&gt;"n/a"),--(LOWER(TRIM($Y$2:$Y$518))&lt;&gt;"na"))&gt;1),AND($AB271&lt;&gt;"",LOWER(TRIM($AB271))&lt;&gt;"n/a",LOWER(TRIM($AB271))&lt;&gt;"na",SUMPRODUCT(--(UPPER(TRIM($AB$2:$AB$518))=UPPER(TRIM($AB271))),--(TRIM($AB$2:$AB$518)&lt;&gt;""),--(LOWER(TRIM($AB$2:$AB$518))&lt;&gt;"n/a"),--(LOWER(TRIM($AB$2:$AB$518))&lt;&gt;"na"))&gt;1),AND($AH271&lt;&gt;"",LOWER(TRIM($AH271))&lt;&gt;"n/a",LOWER(TRIM($AH271))&lt;&gt;"na",SUMPRODUCT(--(UPPER(SUBSTITUTE(SUBSTITUTE(TRIM($AH$2:$AH$518),":",""),"-",""))=UPPER(SUBSTITUTE(SUBSTITUTE(TRIM($AH271),":",""),"-",""))),--(TRIM($AH$2:$AH$518)&lt;&gt;""),--(LOWER(TRIM($AH$2:$AH$518))&lt;&gt;"n/a"),--(LOWER(TRIM($AH$2:$AH$518))&lt;&gt;"na"))&gt;1),AND($AP271&lt;&gt;"",LOWER(TRIM($AP271))&lt;&gt;"n/a",LOWER(TRIM($AP271))&lt;&gt;"na",SUMPRODUCT(--(UPPER(TRIM($AP$2:$AP$518))=UPPER(TRIM($AP271))),--(TRIM($AP$2:$AP$518)&lt;&gt;""),--(LOWER(TRIM($AP$2:$AP$518))&lt;&gt;"n/a"),--(LOWER(TRIM($AP$2:$AP$518))&lt;&gt;"na"))&gt;1),AND($AQ271&lt;&gt;"",LOWER(TRIM($AQ271))&lt;&gt;"n/a",LOWER(TRIM($AQ271))&lt;&gt;"na",SUMPRODUCT(--(UPPER(TRIM($AQ$2:$AQ$518))=UPPER(TRIM($AQ271))),--(TRIM($AQ$2:$AQ$518)&lt;&gt;""),--(LOWER(TRIM($AQ$2:$AQ$518))&lt;&gt;"n/a"),--(LOWER(TRIM($AQ$2:$AQ$518))&lt;&gt;"na"))&gt;1)),"Yes","No"))</f>
        <v/>
      </c>
      <c r="F271">
        <f>IF(UPPER(TRIM($B271))&lt;&gt;"YES","", IF(OR(AND($V271&lt;&gt;"", LOWER(TRIM($V271))&lt;&gt;"n/a", LOWER(TRIM($V271))&lt;&gt;"na", SUMPRODUCT(--(UPPER(TRIM($V$2:$V$518))=UPPER(TRIM($V271))), --(UPPER(TRIM($B$2:$B$518))="YES"), --(UPPER(TRIM($G$2:$G$518)&amp;TRIM($I$2:$I$518)&amp;TRIM($J$2:$J$518))&lt;&gt;UPPER(TRIM($G271)&amp;TRIM($I271)&amp;TRIM($J271))))&gt;0), AND($W271&lt;&gt;"", LOWER(TRIM($W271))&lt;&gt;"n/a", LOWER(TRIM($W271))&lt;&gt;"na", SUMPRODUCT(--(UPPER(TRIM($W$2:$W$518))=UPPER(TRIM($W271))), --(UPPER(TRIM($B$2:$B$518))="YES"), --(UPPER(TRIM($G$2:$G$518)&amp;TRIM($I$2:$I$518)&amp;TRIM($J$2:$J$518))&lt;&gt;UPPER(TRIM($G271)&amp;TRIM($I271)&amp;TRIM($J271))))&gt;0), AND($X271&lt;&gt;"", LOWER(TRIM($X271))&lt;&gt;"n/a", LOWER(TRIM($X271))&lt;&gt;"na", SUMPRODUCT(--(UPPER(TRIM($X$2:$X$518))=UPPER(TRIM($X271))), --(UPPER(TRIM($B$2:$B$518))="YES"), --(UPPER(TRIM($G$2:$G$518)&amp;TRIM($I$2:$I$518)&amp;TRIM($J$2:$J$518))&lt;&gt;UPPER(TRIM($G271)&amp;TRIM($I271)&amp;TRIM($J271))))&gt;0), AND($Y271&lt;&gt;"", LOWER(TRIM($Y271))&lt;&gt;"n/a", LOWER(TRIM($Y271))&lt;&gt;"na", SUMPRODUCT(--(UPPER(SUBSTITUTE(SUBSTITUTE(TRIM($Y$2:$Y$518),":",""),"-",""))=UPPER(SUBSTITUTE(SUBSTITUTE(TRIM($Y271),":",""),"-",""))), --(UPPER(TRIM($B$2:$B$518))="YES"), --(UPPER(TRIM($G$2:$G$518)&amp;TRIM($I$2:$I$518)&amp;TRIM($J$2:$J$518))&lt;&gt;UPPER(TRIM($G271)&amp;TRIM($I271)&amp;TRIM($J271))))&gt;0), AND($AB271&lt;&gt;"", LOWER(TRIM($AB271))&lt;&gt;"n/a", LOWER(TRIM($AB271))&lt;&gt;"na", SUMPRODUCT(--(UPPER(TRIM($AB$2:$AB$518))=UPPER(TRIM($AB271))), --(UPPER(TRIM($B$2:$B$518))="YES"), --(UPPER(TRIM($G$2:$G$518)&amp;TRIM($I$2:$I$518)&amp;TRIM($J$2:$J$518))&lt;&gt;UPPER(TRIM($G271)&amp;TRIM($I271)&amp;TRIM($J271))))&gt;0), AND($AH271&lt;&gt;"", LOWER(TRIM($AH271))&lt;&gt;"n/a", LOWER(TRIM($AH271))&lt;&gt;"na", SUMPRODUCT(--(UPPER(SUBSTITUTE(SUBSTITUTE(TRIM($AH$2:$AH$518),":",""),"-",""))=UPPER(SUBSTITUTE(SUBSTITUTE(TRIM($AH271),":",""),"-",""))), --(UPPER(TRIM($B$2:$B$518))="YES"), --(UPPER(TRIM($G$2:$G$518)&amp;TRIM($I$2:$I$518)&amp;TRIM($J$2:$J$518))&lt;&gt;UPPER(TRIM($G271)&amp;TRIM($I271)&amp;TRIM($J271))))&gt;0), AND($AP271&lt;&gt;"", LOWER(TRIM($AP271))&lt;&gt;"n/a", LOWER(TRIM($AP271))&lt;&gt;"na", SUMPRODUCT(--(UPPER(TRIM($AP$2:$AP$518))=UPPER(TRIM($AP271))), --(UPPER(TRIM($B$2:$B$518))="YES"), --(UPPER(TRIM($G$2:$G$518)&amp;TRIM($I$2:$I$518)&amp;TRIM($J$2:$J$518))&lt;&gt;UPPER(TRIM($G271)&amp;TRIM($I271)&amp;TRIM($J271))))&gt;0), AND($AQ271&lt;&gt;"", LOWER(TRIM($AQ271))&lt;&gt;"n/a", LOWER(TRIM($AQ271))&lt;&gt;"na", SUMPRODUCT(--(UPPER(TRIM($AQ$2:$AQ$518))=UPPER(TRIM($AQ271))), --(UPPER(TRIM($B$2:$B$518))="YES"), --(UPPER(TRIM($G$2:$G$518)&amp;TRIM($I$2:$I$518)&amp;TRIM($J$2:$J$518))&lt;&gt;UPPER(TRIM($G271)&amp;TRIM($I271)&amp;TRIM($J271))))&gt;0)), "Yes", "No"))</f>
        <v/>
      </c>
      <c r="G271" t="inlineStr">
        <is>
          <t>1 Marcus</t>
        </is>
      </c>
      <c r="H271" t="inlineStr">
        <is>
          <t>LIJ</t>
        </is>
      </c>
      <c r="V271" t="inlineStr">
        <is>
          <t>WNH270OPR460</t>
        </is>
      </c>
      <c r="W271" t="inlineStr">
        <is>
          <t>MEDNG2425E-3205</t>
        </is>
      </c>
      <c r="AH271" t="inlineStr">
        <is>
          <t>00:0D:05:0A:B3:05</t>
        </is>
      </c>
      <c r="CF271" t="inlineStr">
        <is>
          <t>Yes</t>
        </is>
      </c>
      <c r="CG271" t="inlineStr">
        <is>
          <t>Yes</t>
        </is>
      </c>
      <c r="CH271" t="inlineStr">
        <is>
          <t>Yes</t>
        </is>
      </c>
      <c r="CI271" t="inlineStr">
        <is>
          <t>Yes</t>
        </is>
      </c>
      <c r="CJ271" t="inlineStr">
        <is>
          <t>Yes</t>
        </is>
      </c>
      <c r="CK271" t="n">
        <v>19200</v>
      </c>
      <c r="CW271">
        <f>IF($S271="","",IF(UPPER(TRIM($S271))&lt;&gt;"PASS","",IF(LEN(TRIM($BY271))&gt;0,"NOTES_PRESENT",IF(LEN(TRIM($T271))=0,"SET_NA",IF(OR(LOWER(TRIM($T271))="na",LOWER(TRIM($T271))="n/a"),"OK","MANUAL_OVERRIDE")))))</f>
        <v/>
      </c>
    </row>
    <row r="272">
      <c r="A272" t="inlineStr">
        <is>
          <t>Cybernet</t>
        </is>
      </c>
      <c r="B272" s="5" t="inlineStr">
        <is>
          <t>No</t>
        </is>
      </c>
      <c r="D272">
        <f>IF($B272&lt;&gt;"Yes","",IF($C272="No","Yes",IF($C272="Yes","No","")))</f>
        <v/>
      </c>
      <c r="E272">
        <f>IF($A272="","",IF(OR(AND($V272&lt;&gt;"",LOWER(TRIM($V272))&lt;&gt;"n/a",LOWER(TRIM($V272))&lt;&gt;"na",SUMPRODUCT(--(UPPER(TRIM($V$2:$V$518))=UPPER(TRIM($V272))),--(TRIM($V$2:$V$518)&lt;&gt;""),--(LOWER(TRIM($V$2:$V$518))&lt;&gt;"n/a"),--(LOWER(TRIM($V$2:$V$518))&lt;&gt;"na"))&gt;1),AND($W272&lt;&gt;"",LOWER(TRIM($W272))&lt;&gt;"n/a",LOWER(TRIM($W272))&lt;&gt;"na",SUMPRODUCT(--(UPPER(TRIM($W$2:$W$518))=UPPER(TRIM($W272))),--(TRIM($W$2:$W$518)&lt;&gt;""),--(LOWER(TRIM($W$2:$W$518))&lt;&gt;"n/a"),--(LOWER(TRIM($W$2:$W$518))&lt;&gt;"na"))&gt;1),AND($X272&lt;&gt;"",LOWER(TRIM($X272))&lt;&gt;"n/a",LOWER(TRIM($X272))&lt;&gt;"na",SUMPRODUCT(--(UPPER(TRIM($X$2:$X$518))=UPPER(TRIM($X272))),--(TRIM($X$2:$X$518)&lt;&gt;""),--(LOWER(TRIM($X$2:$X$518))&lt;&gt;"n/a"),--(LOWER(TRIM($X$2:$X$518))&lt;&gt;"na"))&gt;1),AND($Y272&lt;&gt;"",LOWER(TRIM($Y272))&lt;&gt;"n/a",LOWER(TRIM($Y272))&lt;&gt;"na",SUMPRODUCT(--(UPPER(SUBSTITUTE(SUBSTITUTE(TRIM($Y$2:$Y$518),":",""),"-",""))=UPPER(SUBSTITUTE(SUBSTITUTE(TRIM($Y272),":",""),"-",""))),--(TRIM($Y$2:$Y$518)&lt;&gt;""),--(LOWER(TRIM($Y$2:$Y$518))&lt;&gt;"n/a"),--(LOWER(TRIM($Y$2:$Y$518))&lt;&gt;"na"))&gt;1),AND($AB272&lt;&gt;"",LOWER(TRIM($AB272))&lt;&gt;"n/a",LOWER(TRIM($AB272))&lt;&gt;"na",SUMPRODUCT(--(UPPER(TRIM($AB$2:$AB$518))=UPPER(TRIM($AB272))),--(TRIM($AB$2:$AB$518)&lt;&gt;""),--(LOWER(TRIM($AB$2:$AB$518))&lt;&gt;"n/a"),--(LOWER(TRIM($AB$2:$AB$518))&lt;&gt;"na"))&gt;1),AND($AH272&lt;&gt;"",LOWER(TRIM($AH272))&lt;&gt;"n/a",LOWER(TRIM($AH272))&lt;&gt;"na",SUMPRODUCT(--(UPPER(SUBSTITUTE(SUBSTITUTE(TRIM($AH$2:$AH$518),":",""),"-",""))=UPPER(SUBSTITUTE(SUBSTITUTE(TRIM($AH272),":",""),"-",""))),--(TRIM($AH$2:$AH$518)&lt;&gt;""),--(LOWER(TRIM($AH$2:$AH$518))&lt;&gt;"n/a"),--(LOWER(TRIM($AH$2:$AH$518))&lt;&gt;"na"))&gt;1),AND($AP272&lt;&gt;"",LOWER(TRIM($AP272))&lt;&gt;"n/a",LOWER(TRIM($AP272))&lt;&gt;"na",SUMPRODUCT(--(UPPER(TRIM($AP$2:$AP$518))=UPPER(TRIM($AP272))),--(TRIM($AP$2:$AP$518)&lt;&gt;""),--(LOWER(TRIM($AP$2:$AP$518))&lt;&gt;"n/a"),--(LOWER(TRIM($AP$2:$AP$518))&lt;&gt;"na"))&gt;1),AND($AQ272&lt;&gt;"",LOWER(TRIM($AQ272))&lt;&gt;"n/a",LOWER(TRIM($AQ272))&lt;&gt;"na",SUMPRODUCT(--(UPPER(TRIM($AQ$2:$AQ$518))=UPPER(TRIM($AQ272))),--(TRIM($AQ$2:$AQ$518)&lt;&gt;""),--(LOWER(TRIM($AQ$2:$AQ$518))&lt;&gt;"n/a"),--(LOWER(TRIM($AQ$2:$AQ$518))&lt;&gt;"na"))&gt;1)),"Yes","No"))</f>
        <v/>
      </c>
      <c r="F272">
        <f>IF(UPPER(TRIM($B272))&lt;&gt;"YES","", IF(OR(AND($V272&lt;&gt;"", LOWER(TRIM($V272))&lt;&gt;"n/a", LOWER(TRIM($V272))&lt;&gt;"na", SUMPRODUCT(--(UPPER(TRIM($V$2:$V$518))=UPPER(TRIM($V272))), --(UPPER(TRIM($B$2:$B$518))="YES"), --(UPPER(TRIM($G$2:$G$518)&amp;TRIM($I$2:$I$518)&amp;TRIM($J$2:$J$518))&lt;&gt;UPPER(TRIM($G272)&amp;TRIM($I272)&amp;TRIM($J272))))&gt;0), AND($W272&lt;&gt;"", LOWER(TRIM($W272))&lt;&gt;"n/a", LOWER(TRIM($W272))&lt;&gt;"na", SUMPRODUCT(--(UPPER(TRIM($W$2:$W$518))=UPPER(TRIM($W272))), --(UPPER(TRIM($B$2:$B$518))="YES"), --(UPPER(TRIM($G$2:$G$518)&amp;TRIM($I$2:$I$518)&amp;TRIM($J$2:$J$518))&lt;&gt;UPPER(TRIM($G272)&amp;TRIM($I272)&amp;TRIM($J272))))&gt;0), AND($X272&lt;&gt;"", LOWER(TRIM($X272))&lt;&gt;"n/a", LOWER(TRIM($X272))&lt;&gt;"na", SUMPRODUCT(--(UPPER(TRIM($X$2:$X$518))=UPPER(TRIM($X272))), --(UPPER(TRIM($B$2:$B$518))="YES"), --(UPPER(TRIM($G$2:$G$518)&amp;TRIM($I$2:$I$518)&amp;TRIM($J$2:$J$518))&lt;&gt;UPPER(TRIM($G272)&amp;TRIM($I272)&amp;TRIM($J272))))&gt;0), AND($Y272&lt;&gt;"", LOWER(TRIM($Y272))&lt;&gt;"n/a", LOWER(TRIM($Y272))&lt;&gt;"na", SUMPRODUCT(--(UPPER(SUBSTITUTE(SUBSTITUTE(TRIM($Y$2:$Y$518),":",""),"-",""))=UPPER(SUBSTITUTE(SUBSTITUTE(TRIM($Y272),":",""),"-",""))), --(UPPER(TRIM($B$2:$B$518))="YES"), --(UPPER(TRIM($G$2:$G$518)&amp;TRIM($I$2:$I$518)&amp;TRIM($J$2:$J$518))&lt;&gt;UPPER(TRIM($G272)&amp;TRIM($I272)&amp;TRIM($J272))))&gt;0), AND($AB272&lt;&gt;"", LOWER(TRIM($AB272))&lt;&gt;"n/a", LOWER(TRIM($AB272))&lt;&gt;"na", SUMPRODUCT(--(UPPER(TRIM($AB$2:$AB$518))=UPPER(TRIM($AB272))), --(UPPER(TRIM($B$2:$B$518))="YES"), --(UPPER(TRIM($G$2:$G$518)&amp;TRIM($I$2:$I$518)&amp;TRIM($J$2:$J$518))&lt;&gt;UPPER(TRIM($G272)&amp;TRIM($I272)&amp;TRIM($J272))))&gt;0), AND($AH272&lt;&gt;"", LOWER(TRIM($AH272))&lt;&gt;"n/a", LOWER(TRIM($AH272))&lt;&gt;"na", SUMPRODUCT(--(UPPER(SUBSTITUTE(SUBSTITUTE(TRIM($AH$2:$AH$518),":",""),"-",""))=UPPER(SUBSTITUTE(SUBSTITUTE(TRIM($AH272),":",""),"-",""))), --(UPPER(TRIM($B$2:$B$518))="YES"), --(UPPER(TRIM($G$2:$G$518)&amp;TRIM($I$2:$I$518)&amp;TRIM($J$2:$J$518))&lt;&gt;UPPER(TRIM($G272)&amp;TRIM($I272)&amp;TRIM($J272))))&gt;0), AND($AP272&lt;&gt;"", LOWER(TRIM($AP272))&lt;&gt;"n/a", LOWER(TRIM($AP272))&lt;&gt;"na", SUMPRODUCT(--(UPPER(TRIM($AP$2:$AP$518))=UPPER(TRIM($AP272))), --(UPPER(TRIM($B$2:$B$518))="YES"), --(UPPER(TRIM($G$2:$G$518)&amp;TRIM($I$2:$I$518)&amp;TRIM($J$2:$J$518))&lt;&gt;UPPER(TRIM($G272)&amp;TRIM($I272)&amp;TRIM($J272))))&gt;0), AND($AQ272&lt;&gt;"", LOWER(TRIM($AQ272))&lt;&gt;"n/a", LOWER(TRIM($AQ272))&lt;&gt;"na", SUMPRODUCT(--(UPPER(TRIM($AQ$2:$AQ$518))=UPPER(TRIM($AQ272))), --(UPPER(TRIM($B$2:$B$518))="YES"), --(UPPER(TRIM($G$2:$G$518)&amp;TRIM($I$2:$I$518)&amp;TRIM($J$2:$J$518))&lt;&gt;UPPER(TRIM($G272)&amp;TRIM($I272)&amp;TRIM($J272))))&gt;0)), "Yes", "No"))</f>
        <v/>
      </c>
      <c r="G272" t="inlineStr">
        <is>
          <t>1 Marcus</t>
        </is>
      </c>
      <c r="H272" t="inlineStr">
        <is>
          <t>LIJ</t>
        </is>
      </c>
      <c r="V272" t="inlineStr">
        <is>
          <t>WNH270OPR461</t>
        </is>
      </c>
      <c r="W272" t="inlineStr">
        <is>
          <t>MEDNG2425E-3670</t>
        </is>
      </c>
      <c r="AH272" t="inlineStr">
        <is>
          <t>00:0D:05:0A:B1:45</t>
        </is>
      </c>
      <c r="CF272" t="inlineStr">
        <is>
          <t>Yes</t>
        </is>
      </c>
      <c r="CG272" t="inlineStr">
        <is>
          <t>Yes</t>
        </is>
      </c>
      <c r="CH272" t="inlineStr">
        <is>
          <t>Yes</t>
        </is>
      </c>
      <c r="CI272" t="inlineStr">
        <is>
          <t>Yes</t>
        </is>
      </c>
      <c r="CJ272" t="inlineStr">
        <is>
          <t>Yes</t>
        </is>
      </c>
      <c r="CK272" t="n">
        <v>19200</v>
      </c>
      <c r="CW272">
        <f>IF($S272="","",IF(UPPER(TRIM($S272))&lt;&gt;"PASS","",IF(LEN(TRIM($BY272))&gt;0,"NOTES_PRESENT",IF(LEN(TRIM($T272))=0,"SET_NA",IF(OR(LOWER(TRIM($T272))="na",LOWER(TRIM($T272))="n/a"),"OK","MANUAL_OVERRIDE")))))</f>
        <v/>
      </c>
    </row>
    <row r="273">
      <c r="A273" t="inlineStr">
        <is>
          <t>Cybernet</t>
        </is>
      </c>
      <c r="B273" s="8" t="inlineStr">
        <is>
          <t>No</t>
        </is>
      </c>
      <c r="D273">
        <f>IF($B273&lt;&gt;"Yes","",IF($C273="No","Yes",IF($C273="Yes","No","")))</f>
        <v/>
      </c>
      <c r="E273">
        <f>IF($A273="","",IF(OR(AND($V273&lt;&gt;"",LOWER(TRIM($V273))&lt;&gt;"n/a",LOWER(TRIM($V273))&lt;&gt;"na",SUMPRODUCT(--(UPPER(TRIM($V$2:$V$518))=UPPER(TRIM($V273))),--(TRIM($V$2:$V$518)&lt;&gt;""),--(LOWER(TRIM($V$2:$V$518))&lt;&gt;"n/a"),--(LOWER(TRIM($V$2:$V$518))&lt;&gt;"na"))&gt;1),AND($W273&lt;&gt;"",LOWER(TRIM($W273))&lt;&gt;"n/a",LOWER(TRIM($W273))&lt;&gt;"na",SUMPRODUCT(--(UPPER(TRIM($W$2:$W$518))=UPPER(TRIM($W273))),--(TRIM($W$2:$W$518)&lt;&gt;""),--(LOWER(TRIM($W$2:$W$518))&lt;&gt;"n/a"),--(LOWER(TRIM($W$2:$W$518))&lt;&gt;"na"))&gt;1),AND($X273&lt;&gt;"",LOWER(TRIM($X273))&lt;&gt;"n/a",LOWER(TRIM($X273))&lt;&gt;"na",SUMPRODUCT(--(UPPER(TRIM($X$2:$X$518))=UPPER(TRIM($X273))),--(TRIM($X$2:$X$518)&lt;&gt;""),--(LOWER(TRIM($X$2:$X$518))&lt;&gt;"n/a"),--(LOWER(TRIM($X$2:$X$518))&lt;&gt;"na"))&gt;1),AND($Y273&lt;&gt;"",LOWER(TRIM($Y273))&lt;&gt;"n/a",LOWER(TRIM($Y273))&lt;&gt;"na",SUMPRODUCT(--(UPPER(SUBSTITUTE(SUBSTITUTE(TRIM($Y$2:$Y$518),":",""),"-",""))=UPPER(SUBSTITUTE(SUBSTITUTE(TRIM($Y273),":",""),"-",""))),--(TRIM($Y$2:$Y$518)&lt;&gt;""),--(LOWER(TRIM($Y$2:$Y$518))&lt;&gt;"n/a"),--(LOWER(TRIM($Y$2:$Y$518))&lt;&gt;"na"))&gt;1),AND($AB273&lt;&gt;"",LOWER(TRIM($AB273))&lt;&gt;"n/a",LOWER(TRIM($AB273))&lt;&gt;"na",SUMPRODUCT(--(UPPER(TRIM($AB$2:$AB$518))=UPPER(TRIM($AB273))),--(TRIM($AB$2:$AB$518)&lt;&gt;""),--(LOWER(TRIM($AB$2:$AB$518))&lt;&gt;"n/a"),--(LOWER(TRIM($AB$2:$AB$518))&lt;&gt;"na"))&gt;1),AND($AH273&lt;&gt;"",LOWER(TRIM($AH273))&lt;&gt;"n/a",LOWER(TRIM($AH273))&lt;&gt;"na",SUMPRODUCT(--(UPPER(SUBSTITUTE(SUBSTITUTE(TRIM($AH$2:$AH$518),":",""),"-",""))=UPPER(SUBSTITUTE(SUBSTITUTE(TRIM($AH273),":",""),"-",""))),--(TRIM($AH$2:$AH$518)&lt;&gt;""),--(LOWER(TRIM($AH$2:$AH$518))&lt;&gt;"n/a"),--(LOWER(TRIM($AH$2:$AH$518))&lt;&gt;"na"))&gt;1),AND($AP273&lt;&gt;"",LOWER(TRIM($AP273))&lt;&gt;"n/a",LOWER(TRIM($AP273))&lt;&gt;"na",SUMPRODUCT(--(UPPER(TRIM($AP$2:$AP$518))=UPPER(TRIM($AP273))),--(TRIM($AP$2:$AP$518)&lt;&gt;""),--(LOWER(TRIM($AP$2:$AP$518))&lt;&gt;"n/a"),--(LOWER(TRIM($AP$2:$AP$518))&lt;&gt;"na"))&gt;1),AND($AQ273&lt;&gt;"",LOWER(TRIM($AQ273))&lt;&gt;"n/a",LOWER(TRIM($AQ273))&lt;&gt;"na",SUMPRODUCT(--(UPPER(TRIM($AQ$2:$AQ$518))=UPPER(TRIM($AQ273))),--(TRIM($AQ$2:$AQ$518)&lt;&gt;""),--(LOWER(TRIM($AQ$2:$AQ$518))&lt;&gt;"n/a"),--(LOWER(TRIM($AQ$2:$AQ$518))&lt;&gt;"na"))&gt;1)),"Yes","No"))</f>
        <v/>
      </c>
      <c r="F273">
        <f>IF(UPPER(TRIM($B273))&lt;&gt;"YES","", IF(OR(AND($V273&lt;&gt;"", LOWER(TRIM($V273))&lt;&gt;"n/a", LOWER(TRIM($V273))&lt;&gt;"na", SUMPRODUCT(--(UPPER(TRIM($V$2:$V$518))=UPPER(TRIM($V273))), --(UPPER(TRIM($B$2:$B$518))="YES"), --(UPPER(TRIM($G$2:$G$518)&amp;TRIM($I$2:$I$518)&amp;TRIM($J$2:$J$518))&lt;&gt;UPPER(TRIM($G273)&amp;TRIM($I273)&amp;TRIM($J273))))&gt;0), AND($W273&lt;&gt;"", LOWER(TRIM($W273))&lt;&gt;"n/a", LOWER(TRIM($W273))&lt;&gt;"na", SUMPRODUCT(--(UPPER(TRIM($W$2:$W$518))=UPPER(TRIM($W273))), --(UPPER(TRIM($B$2:$B$518))="YES"), --(UPPER(TRIM($G$2:$G$518)&amp;TRIM($I$2:$I$518)&amp;TRIM($J$2:$J$518))&lt;&gt;UPPER(TRIM($G273)&amp;TRIM($I273)&amp;TRIM($J273))))&gt;0), AND($X273&lt;&gt;"", LOWER(TRIM($X273))&lt;&gt;"n/a", LOWER(TRIM($X273))&lt;&gt;"na", SUMPRODUCT(--(UPPER(TRIM($X$2:$X$518))=UPPER(TRIM($X273))), --(UPPER(TRIM($B$2:$B$518))="YES"), --(UPPER(TRIM($G$2:$G$518)&amp;TRIM($I$2:$I$518)&amp;TRIM($J$2:$J$518))&lt;&gt;UPPER(TRIM($G273)&amp;TRIM($I273)&amp;TRIM($J273))))&gt;0), AND($Y273&lt;&gt;"", LOWER(TRIM($Y273))&lt;&gt;"n/a", LOWER(TRIM($Y273))&lt;&gt;"na", SUMPRODUCT(--(UPPER(SUBSTITUTE(SUBSTITUTE(TRIM($Y$2:$Y$518),":",""),"-",""))=UPPER(SUBSTITUTE(SUBSTITUTE(TRIM($Y273),":",""),"-",""))), --(UPPER(TRIM($B$2:$B$518))="YES"), --(UPPER(TRIM($G$2:$G$518)&amp;TRIM($I$2:$I$518)&amp;TRIM($J$2:$J$518))&lt;&gt;UPPER(TRIM($G273)&amp;TRIM($I273)&amp;TRIM($J273))))&gt;0), AND($AB273&lt;&gt;"", LOWER(TRIM($AB273))&lt;&gt;"n/a", LOWER(TRIM($AB273))&lt;&gt;"na", SUMPRODUCT(--(UPPER(TRIM($AB$2:$AB$518))=UPPER(TRIM($AB273))), --(UPPER(TRIM($B$2:$B$518))="YES"), --(UPPER(TRIM($G$2:$G$518)&amp;TRIM($I$2:$I$518)&amp;TRIM($J$2:$J$518))&lt;&gt;UPPER(TRIM($G273)&amp;TRIM($I273)&amp;TRIM($J273))))&gt;0), AND($AH273&lt;&gt;"", LOWER(TRIM($AH273))&lt;&gt;"n/a", LOWER(TRIM($AH273))&lt;&gt;"na", SUMPRODUCT(--(UPPER(SUBSTITUTE(SUBSTITUTE(TRIM($AH$2:$AH$518),":",""),"-",""))=UPPER(SUBSTITUTE(SUBSTITUTE(TRIM($AH273),":",""),"-",""))), --(UPPER(TRIM($B$2:$B$518))="YES"), --(UPPER(TRIM($G$2:$G$518)&amp;TRIM($I$2:$I$518)&amp;TRIM($J$2:$J$518))&lt;&gt;UPPER(TRIM($G273)&amp;TRIM($I273)&amp;TRIM($J273))))&gt;0), AND($AP273&lt;&gt;"", LOWER(TRIM($AP273))&lt;&gt;"n/a", LOWER(TRIM($AP273))&lt;&gt;"na", SUMPRODUCT(--(UPPER(TRIM($AP$2:$AP$518))=UPPER(TRIM($AP273))), --(UPPER(TRIM($B$2:$B$518))="YES"), --(UPPER(TRIM($G$2:$G$518)&amp;TRIM($I$2:$I$518)&amp;TRIM($J$2:$J$518))&lt;&gt;UPPER(TRIM($G273)&amp;TRIM($I273)&amp;TRIM($J273))))&gt;0), AND($AQ273&lt;&gt;"", LOWER(TRIM($AQ273))&lt;&gt;"n/a", LOWER(TRIM($AQ273))&lt;&gt;"na", SUMPRODUCT(--(UPPER(TRIM($AQ$2:$AQ$518))=UPPER(TRIM($AQ273))), --(UPPER(TRIM($B$2:$B$518))="YES"), --(UPPER(TRIM($G$2:$G$518)&amp;TRIM($I$2:$I$518)&amp;TRIM($J$2:$J$518))&lt;&gt;UPPER(TRIM($G273)&amp;TRIM($I273)&amp;TRIM($J273))))&gt;0)), "Yes", "No"))</f>
        <v/>
      </c>
      <c r="G273" t="inlineStr">
        <is>
          <t>1 Marcus</t>
        </is>
      </c>
      <c r="H273" t="inlineStr">
        <is>
          <t>LIJ</t>
        </is>
      </c>
      <c r="V273" t="inlineStr">
        <is>
          <t>WNH270OPR062</t>
        </is>
      </c>
      <c r="W273" t="inlineStr">
        <is>
          <t>MEDNG2425E-3155</t>
        </is>
      </c>
      <c r="CD273">
        <f>IF($Y273="","",IF((IF(AND($BR273&lt;&gt;"Yes",$BR273&lt;&gt;"N/A"),"Power Cable, ","")&amp;IF(AND($BS273&lt;&gt;"Yes",$BS273&lt;&gt;"N/A"),"Battery, ","")&amp;IF(AND($AD273&lt;&gt;"Yes",$AD273&lt;&gt;"N/A"),"Firmware Download, ","")&amp;IF(AND(OR($AD273="Yes",$AD273="N/A"),$AE273&lt;&gt;"Yes",$AE273&lt;&gt;"N/A"),"Firmware Install, ","")&amp;IF(AND($CB273&lt;&gt;"Yes",$CB273&lt;&gt;"N/A"),"Device ID, ","")&amp;IF(AND($CC273&lt;&gt;"Yes",$CC273&lt;&gt;"N/A"),"Epic Beans Relay, ",""))="","",LEFT(IF(AND($BR273&lt;&gt;"Yes",$BR273&lt;&gt;"N/A"),"Power Cable, ","")&amp;IF(AND($BS273&lt;&gt;"Yes",$BS273&lt;&gt;"N/A"),"Battery, ","")&amp;IF(AND($AD273&lt;&gt;"Yes",$AD273&lt;&gt;"N/A"),"Firmware Download, ","")&amp;IF(AND(OR($AD273="Yes",$AD273="N/A"),$AE273&lt;&gt;"Yes",$AE273&lt;&gt;"N/A"),"Firmware Install, ","")&amp;IF(AND($CB273&lt;&gt;"Yes",$CB273&lt;&gt;"N/A"),"Device ID, ","")&amp;IF(AND($CC273&lt;&gt;"Yes",$CC273&lt;&gt;"N/A"),"Epic Beans Relay, ",""),LEN(IF(AND($BR273&lt;&gt;"Yes",$BR273&lt;&gt;"N/A"),"Power Cable, ","")&amp;IF(AND($BS273&lt;&gt;"Yes",$BS273&lt;&gt;"N/A"),"Battery, ","")&amp;IF(AND($AD273&lt;&gt;"Yes",$AD273&lt;&gt;"N/A"),"Firmware Download, ","")&amp;IF(AND(OR($AD273="Yes",$AD273="N/A"),$AE273&lt;&gt;"Yes",$AE273&lt;&gt;"N/A"),"Firmware Install, ","")&amp;IF(AND($CB273&lt;&gt;"Yes",$CB273&lt;&gt;"N/A"),"Device ID, ","")&amp;IF(AND($CC273&lt;&gt;"Yes",$CC273&lt;&gt;"N/A"),"Epic Beans Relay, ",""))-2)))</f>
        <v/>
      </c>
      <c r="CE273">
        <f>IF($Y273="","",IF($CD273="","Yes","Blocked"))</f>
        <v/>
      </c>
      <c r="CF273" t="inlineStr">
        <is>
          <t>Yes</t>
        </is>
      </c>
      <c r="CG273" t="inlineStr">
        <is>
          <t>Yes</t>
        </is>
      </c>
      <c r="CH273" t="inlineStr">
        <is>
          <t>Yes</t>
        </is>
      </c>
      <c r="CI273" t="inlineStr">
        <is>
          <t>Yes</t>
        </is>
      </c>
      <c r="CJ273" t="inlineStr">
        <is>
          <t>Yes</t>
        </is>
      </c>
      <c r="CK273" t="n">
        <v>19200</v>
      </c>
      <c r="CP273">
        <f>IF($CO273="","",IFERROR(VLOOKUP($CO273,'01_Warehouse_Ledger'!$A:$N,4,FALSE),""))</f>
        <v/>
      </c>
      <c r="CQ273">
        <f>IF($CO273="","",IFERROR(VLOOKUP($CO273,'01_Warehouse_Ledger'!$A:$N,5,FALSE),""))</f>
        <v/>
      </c>
      <c r="CR273">
        <f>IF($CO273="","",IFERROR(VLOOKUP($CO273,'01_Warehouse_Ledger'!$A:$N,13,FALSE),""))</f>
        <v/>
      </c>
      <c r="CW273">
        <f>IF($S273="","",IF(UPPER(TRIM($S273))&lt;&gt;"PASS","",IF(LEN(TRIM($BY273))&gt;0,"NOTES_PRESENT",IF(LEN(TRIM($T273))=0,"SET_NA",IF(OR(LOWER(TRIM($T273))="na",LOWER(TRIM($T273))="n/a"),"OK","MANUAL_OVERRIDE")))))</f>
        <v/>
      </c>
    </row>
    <row r="274">
      <c r="A274" t="inlineStr">
        <is>
          <t>Peripherals</t>
        </is>
      </c>
      <c r="B274" s="8" t="n"/>
      <c r="D274">
        <f>IF($B274&lt;&gt;"Yes","",IF($C274="No","Yes",IF($C274="Yes","No","")))</f>
        <v/>
      </c>
      <c r="E274">
        <f>IF($A274="","",IF(OR(AND($V274&lt;&gt;"",LOWER(TRIM($V274))&lt;&gt;"n/a",LOWER(TRIM($V274))&lt;&gt;"na",SUMPRODUCT(--(UPPER(TRIM($V$2:$V$518))=UPPER(TRIM($V274))),--(TRIM($V$2:$V$518)&lt;&gt;""),--(LOWER(TRIM($V$2:$V$518))&lt;&gt;"n/a"),--(LOWER(TRIM($V$2:$V$518))&lt;&gt;"na"))&gt;1),AND($W274&lt;&gt;"",LOWER(TRIM($W274))&lt;&gt;"n/a",LOWER(TRIM($W274))&lt;&gt;"na",SUMPRODUCT(--(UPPER(TRIM($W$2:$W$518))=UPPER(TRIM($W274))),--(TRIM($W$2:$W$518)&lt;&gt;""),--(LOWER(TRIM($W$2:$W$518))&lt;&gt;"n/a"),--(LOWER(TRIM($W$2:$W$518))&lt;&gt;"na"))&gt;1),AND($X274&lt;&gt;"",LOWER(TRIM($X274))&lt;&gt;"n/a",LOWER(TRIM($X274))&lt;&gt;"na",SUMPRODUCT(--(UPPER(TRIM($X$2:$X$518))=UPPER(TRIM($X274))),--(TRIM($X$2:$X$518)&lt;&gt;""),--(LOWER(TRIM($X$2:$X$518))&lt;&gt;"n/a"),--(LOWER(TRIM($X$2:$X$518))&lt;&gt;"na"))&gt;1),AND($Y274&lt;&gt;"",LOWER(TRIM($Y274))&lt;&gt;"n/a",LOWER(TRIM($Y274))&lt;&gt;"na",SUMPRODUCT(--(UPPER(SUBSTITUTE(SUBSTITUTE(TRIM($Y$2:$Y$518),":",""),"-",""))=UPPER(SUBSTITUTE(SUBSTITUTE(TRIM($Y274),":",""),"-",""))),--(TRIM($Y$2:$Y$518)&lt;&gt;""),--(LOWER(TRIM($Y$2:$Y$518))&lt;&gt;"n/a"),--(LOWER(TRIM($Y$2:$Y$518))&lt;&gt;"na"))&gt;1),AND($AB274&lt;&gt;"",LOWER(TRIM($AB274))&lt;&gt;"n/a",LOWER(TRIM($AB274))&lt;&gt;"na",SUMPRODUCT(--(UPPER(TRIM($AB$2:$AB$518))=UPPER(TRIM($AB274))),--(TRIM($AB$2:$AB$518)&lt;&gt;""),--(LOWER(TRIM($AB$2:$AB$518))&lt;&gt;"n/a"),--(LOWER(TRIM($AB$2:$AB$518))&lt;&gt;"na"))&gt;1),AND($AH274&lt;&gt;"",LOWER(TRIM($AH274))&lt;&gt;"n/a",LOWER(TRIM($AH274))&lt;&gt;"na",SUMPRODUCT(--(UPPER(SUBSTITUTE(SUBSTITUTE(TRIM($AH$2:$AH$518),":",""),"-",""))=UPPER(SUBSTITUTE(SUBSTITUTE(TRIM($AH274),":",""),"-",""))),--(TRIM($AH$2:$AH$518)&lt;&gt;""),--(LOWER(TRIM($AH$2:$AH$518))&lt;&gt;"n/a"),--(LOWER(TRIM($AH$2:$AH$518))&lt;&gt;"na"))&gt;1),AND($AP274&lt;&gt;"",LOWER(TRIM($AP274))&lt;&gt;"n/a",LOWER(TRIM($AP274))&lt;&gt;"na",SUMPRODUCT(--(UPPER(TRIM($AP$2:$AP$518))=UPPER(TRIM($AP274))),--(TRIM($AP$2:$AP$518)&lt;&gt;""),--(LOWER(TRIM($AP$2:$AP$518))&lt;&gt;"n/a"),--(LOWER(TRIM($AP$2:$AP$518))&lt;&gt;"na"))&gt;1),AND($AQ274&lt;&gt;"",LOWER(TRIM($AQ274))&lt;&gt;"n/a",LOWER(TRIM($AQ274))&lt;&gt;"na",SUMPRODUCT(--(UPPER(TRIM($AQ$2:$AQ$518))=UPPER(TRIM($AQ274))),--(TRIM($AQ$2:$AQ$518)&lt;&gt;""),--(LOWER(TRIM($AQ$2:$AQ$518))&lt;&gt;"n/a"),--(LOWER(TRIM($AQ$2:$AQ$518))&lt;&gt;"na"))&gt;1)),"Yes","No"))</f>
        <v/>
      </c>
      <c r="F274">
        <f>IF(UPPER(TRIM($B274))&lt;&gt;"YES","", IF(OR(AND($V274&lt;&gt;"", LOWER(TRIM($V274))&lt;&gt;"n/a", LOWER(TRIM($V274))&lt;&gt;"na", SUMPRODUCT(--(UPPER(TRIM($V$2:$V$518))=UPPER(TRIM($V274))), --(UPPER(TRIM($B$2:$B$518))="YES"), --(UPPER(TRIM($G$2:$G$518)&amp;TRIM($I$2:$I$518)&amp;TRIM($J$2:$J$518))&lt;&gt;UPPER(TRIM($G274)&amp;TRIM($I274)&amp;TRIM($J274))))&gt;0), AND($W274&lt;&gt;"", LOWER(TRIM($W274))&lt;&gt;"n/a", LOWER(TRIM($W274))&lt;&gt;"na", SUMPRODUCT(--(UPPER(TRIM($W$2:$W$518))=UPPER(TRIM($W274))), --(UPPER(TRIM($B$2:$B$518))="YES"), --(UPPER(TRIM($G$2:$G$518)&amp;TRIM($I$2:$I$518)&amp;TRIM($J$2:$J$518))&lt;&gt;UPPER(TRIM($G274)&amp;TRIM($I274)&amp;TRIM($J274))))&gt;0), AND($X274&lt;&gt;"", LOWER(TRIM($X274))&lt;&gt;"n/a", LOWER(TRIM($X274))&lt;&gt;"na", SUMPRODUCT(--(UPPER(TRIM($X$2:$X$518))=UPPER(TRIM($X274))), --(UPPER(TRIM($B$2:$B$518))="YES"), --(UPPER(TRIM($G$2:$G$518)&amp;TRIM($I$2:$I$518)&amp;TRIM($J$2:$J$518))&lt;&gt;UPPER(TRIM($G274)&amp;TRIM($I274)&amp;TRIM($J274))))&gt;0), AND($Y274&lt;&gt;"", LOWER(TRIM($Y274))&lt;&gt;"n/a", LOWER(TRIM($Y274))&lt;&gt;"na", SUMPRODUCT(--(UPPER(SUBSTITUTE(SUBSTITUTE(TRIM($Y$2:$Y$518),":",""),"-",""))=UPPER(SUBSTITUTE(SUBSTITUTE(TRIM($Y274),":",""),"-",""))), --(UPPER(TRIM($B$2:$B$518))="YES"), --(UPPER(TRIM($G$2:$G$518)&amp;TRIM($I$2:$I$518)&amp;TRIM($J$2:$J$518))&lt;&gt;UPPER(TRIM($G274)&amp;TRIM($I274)&amp;TRIM($J274))))&gt;0), AND($AB274&lt;&gt;"", LOWER(TRIM($AB274))&lt;&gt;"n/a", LOWER(TRIM($AB274))&lt;&gt;"na", SUMPRODUCT(--(UPPER(TRIM($AB$2:$AB$518))=UPPER(TRIM($AB274))), --(UPPER(TRIM($B$2:$B$518))="YES"), --(UPPER(TRIM($G$2:$G$518)&amp;TRIM($I$2:$I$518)&amp;TRIM($J$2:$J$518))&lt;&gt;UPPER(TRIM($G274)&amp;TRIM($I274)&amp;TRIM($J274))))&gt;0), AND($AH274&lt;&gt;"", LOWER(TRIM($AH274))&lt;&gt;"n/a", LOWER(TRIM($AH274))&lt;&gt;"na", SUMPRODUCT(--(UPPER(SUBSTITUTE(SUBSTITUTE(TRIM($AH$2:$AH$518),":",""),"-",""))=UPPER(SUBSTITUTE(SUBSTITUTE(TRIM($AH274),":",""),"-",""))), --(UPPER(TRIM($B$2:$B$518))="YES"), --(UPPER(TRIM($G$2:$G$518)&amp;TRIM($I$2:$I$518)&amp;TRIM($J$2:$J$518))&lt;&gt;UPPER(TRIM($G274)&amp;TRIM($I274)&amp;TRIM($J274))))&gt;0), AND($AP274&lt;&gt;"", LOWER(TRIM($AP274))&lt;&gt;"n/a", LOWER(TRIM($AP274))&lt;&gt;"na", SUMPRODUCT(--(UPPER(TRIM($AP$2:$AP$518))=UPPER(TRIM($AP274))), --(UPPER(TRIM($B$2:$B$518))="YES"), --(UPPER(TRIM($G$2:$G$518)&amp;TRIM($I$2:$I$518)&amp;TRIM($J$2:$J$518))&lt;&gt;UPPER(TRIM($G274)&amp;TRIM($I274)&amp;TRIM($J274))))&gt;0), AND($AQ274&lt;&gt;"", LOWER(TRIM($AQ274))&lt;&gt;"n/a", LOWER(TRIM($AQ274))&lt;&gt;"na", SUMPRODUCT(--(UPPER(TRIM($AQ$2:$AQ$518))=UPPER(TRIM($AQ274))), --(UPPER(TRIM($B$2:$B$518))="YES"), --(UPPER(TRIM($G$2:$G$518)&amp;TRIM($I$2:$I$518)&amp;TRIM($J$2:$J$518))&lt;&gt;UPPER(TRIM($G274)&amp;TRIM($I274)&amp;TRIM($J274))))&gt;0)), "Yes", "No"))</f>
        <v/>
      </c>
      <c r="CD274">
        <f>IF($Y274="","",IF((IF(AND($BR274&lt;&gt;"Yes",$BR274&lt;&gt;"N/A"),"Power Cable, ","")&amp;IF(AND($BS274&lt;&gt;"Yes",$BS274&lt;&gt;"N/A"),"Battery, ","")&amp;IF(AND($AD274&lt;&gt;"Yes",$AD274&lt;&gt;"N/A"),"Firmware Download, ","")&amp;IF(AND(OR($AD274="Yes",$AD274="N/A"),$AE274&lt;&gt;"Yes",$AE274&lt;&gt;"N/A"),"Firmware Install, ","")&amp;IF(AND($CB274&lt;&gt;"Yes",$CB274&lt;&gt;"N/A"),"Device ID, ","")&amp;IF(AND($CC274&lt;&gt;"Yes",$CC274&lt;&gt;"N/A"),"Epic Beans Relay, ",""))="","",LEFT(IF(AND($BR274&lt;&gt;"Yes",$BR274&lt;&gt;"N/A"),"Power Cable, ","")&amp;IF(AND($BS274&lt;&gt;"Yes",$BS274&lt;&gt;"N/A"),"Battery, ","")&amp;IF(AND($AD274&lt;&gt;"Yes",$AD274&lt;&gt;"N/A"),"Firmware Download, ","")&amp;IF(AND(OR($AD274="Yes",$AD274="N/A"),$AE274&lt;&gt;"Yes",$AE274&lt;&gt;"N/A"),"Firmware Install, ","")&amp;IF(AND($CB274&lt;&gt;"Yes",$CB274&lt;&gt;"N/A"),"Device ID, ","")&amp;IF(AND($CC274&lt;&gt;"Yes",$CC274&lt;&gt;"N/A"),"Epic Beans Relay, ",""),LEN(IF(AND($BR274&lt;&gt;"Yes",$BR274&lt;&gt;"N/A"),"Power Cable, ","")&amp;IF(AND($BS274&lt;&gt;"Yes",$BS274&lt;&gt;"N/A"),"Battery, ","")&amp;IF(AND($AD274&lt;&gt;"Yes",$AD274&lt;&gt;"N/A"),"Firmware Download, ","")&amp;IF(AND(OR($AD274="Yes",$AD274="N/A"),$AE274&lt;&gt;"Yes",$AE274&lt;&gt;"N/A"),"Firmware Install, ","")&amp;IF(AND($CB274&lt;&gt;"Yes",$CB274&lt;&gt;"N/A"),"Device ID, ","")&amp;IF(AND($CC274&lt;&gt;"Yes",$CC274&lt;&gt;"N/A"),"Epic Beans Relay, ",""))-2)))</f>
        <v/>
      </c>
      <c r="CE274">
        <f>IF($Y274="","",IF($CD274="","Yes","Blocked"))</f>
        <v/>
      </c>
      <c r="CF274" t="inlineStr">
        <is>
          <t>Yes</t>
        </is>
      </c>
      <c r="CG274" t="inlineStr">
        <is>
          <t>Yes</t>
        </is>
      </c>
      <c r="CH274" t="inlineStr">
        <is>
          <t>Yes</t>
        </is>
      </c>
      <c r="CI274" t="inlineStr">
        <is>
          <t>Yes</t>
        </is>
      </c>
      <c r="CJ274" t="inlineStr">
        <is>
          <t>Yes</t>
        </is>
      </c>
      <c r="CK274" t="n">
        <v>19200</v>
      </c>
      <c r="CP274">
        <f>IF($CO274="","",IFERROR(VLOOKUP($CO274,'01_Warehouse_Ledger'!$A:$N,4,FALSE),""))</f>
        <v/>
      </c>
      <c r="CQ274">
        <f>IF($CO274="","",IFERROR(VLOOKUP($CO274,'01_Warehouse_Ledger'!$A:$N,5,FALSE),""))</f>
        <v/>
      </c>
      <c r="CR274">
        <f>IF($CO274="","",IFERROR(VLOOKUP($CO274,'01_Warehouse_Ledger'!$A:$N,13,FALSE),""))</f>
        <v/>
      </c>
      <c r="CW274">
        <f>IF($S274="","",IF(UPPER(TRIM($S274))&lt;&gt;"PASS","",IF(LEN(TRIM($BY274))&gt;0,"NOTES_PRESENT",IF(LEN(TRIM($T274))=0,"SET_NA",IF(OR(LOWER(TRIM($T274))="na",LOWER(TRIM($T274))="n/a"),"OK","MANUAL_OVERRIDE")))))</f>
        <v/>
      </c>
    </row>
    <row r="275">
      <c r="A275" t="inlineStr">
        <is>
          <t>Peripherals</t>
        </is>
      </c>
      <c r="B275" s="8" t="n"/>
      <c r="D275">
        <f>IF($B275&lt;&gt;"Yes","",IF($C275="No","Yes",IF($C275="Yes","No","")))</f>
        <v/>
      </c>
      <c r="E275">
        <f>IF($A275="","",IF(OR(AND($V275&lt;&gt;"",LOWER(TRIM($V275))&lt;&gt;"n/a",LOWER(TRIM($V275))&lt;&gt;"na",SUMPRODUCT(--(UPPER(TRIM($V$2:$V$518))=UPPER(TRIM($V275))),--(TRIM($V$2:$V$518)&lt;&gt;""),--(LOWER(TRIM($V$2:$V$518))&lt;&gt;"n/a"),--(LOWER(TRIM($V$2:$V$518))&lt;&gt;"na"))&gt;1),AND($W275&lt;&gt;"",LOWER(TRIM($W275))&lt;&gt;"n/a",LOWER(TRIM($W275))&lt;&gt;"na",SUMPRODUCT(--(UPPER(TRIM($W$2:$W$518))=UPPER(TRIM($W275))),--(TRIM($W$2:$W$518)&lt;&gt;""),--(LOWER(TRIM($W$2:$W$518))&lt;&gt;"n/a"),--(LOWER(TRIM($W$2:$W$518))&lt;&gt;"na"))&gt;1),AND($X275&lt;&gt;"",LOWER(TRIM($X275))&lt;&gt;"n/a",LOWER(TRIM($X275))&lt;&gt;"na",SUMPRODUCT(--(UPPER(TRIM($X$2:$X$518))=UPPER(TRIM($X275))),--(TRIM($X$2:$X$518)&lt;&gt;""),--(LOWER(TRIM($X$2:$X$518))&lt;&gt;"n/a"),--(LOWER(TRIM($X$2:$X$518))&lt;&gt;"na"))&gt;1),AND($Y275&lt;&gt;"",LOWER(TRIM($Y275))&lt;&gt;"n/a",LOWER(TRIM($Y275))&lt;&gt;"na",SUMPRODUCT(--(UPPER(SUBSTITUTE(SUBSTITUTE(TRIM($Y$2:$Y$518),":",""),"-",""))=UPPER(SUBSTITUTE(SUBSTITUTE(TRIM($Y275),":",""),"-",""))),--(TRIM($Y$2:$Y$518)&lt;&gt;""),--(LOWER(TRIM($Y$2:$Y$518))&lt;&gt;"n/a"),--(LOWER(TRIM($Y$2:$Y$518))&lt;&gt;"na"))&gt;1),AND($AB275&lt;&gt;"",LOWER(TRIM($AB275))&lt;&gt;"n/a",LOWER(TRIM($AB275))&lt;&gt;"na",SUMPRODUCT(--(UPPER(TRIM($AB$2:$AB$518))=UPPER(TRIM($AB275))),--(TRIM($AB$2:$AB$518)&lt;&gt;""),--(LOWER(TRIM($AB$2:$AB$518))&lt;&gt;"n/a"),--(LOWER(TRIM($AB$2:$AB$518))&lt;&gt;"na"))&gt;1),AND($AH275&lt;&gt;"",LOWER(TRIM($AH275))&lt;&gt;"n/a",LOWER(TRIM($AH275))&lt;&gt;"na",SUMPRODUCT(--(UPPER(SUBSTITUTE(SUBSTITUTE(TRIM($AH$2:$AH$518),":",""),"-",""))=UPPER(SUBSTITUTE(SUBSTITUTE(TRIM($AH275),":",""),"-",""))),--(TRIM($AH$2:$AH$518)&lt;&gt;""),--(LOWER(TRIM($AH$2:$AH$518))&lt;&gt;"n/a"),--(LOWER(TRIM($AH$2:$AH$518))&lt;&gt;"na"))&gt;1),AND($AP275&lt;&gt;"",LOWER(TRIM($AP275))&lt;&gt;"n/a",LOWER(TRIM($AP275))&lt;&gt;"na",SUMPRODUCT(--(UPPER(TRIM($AP$2:$AP$518))=UPPER(TRIM($AP275))),--(TRIM($AP$2:$AP$518)&lt;&gt;""),--(LOWER(TRIM($AP$2:$AP$518))&lt;&gt;"n/a"),--(LOWER(TRIM($AP$2:$AP$518))&lt;&gt;"na"))&gt;1),AND($AQ275&lt;&gt;"",LOWER(TRIM($AQ275))&lt;&gt;"n/a",LOWER(TRIM($AQ275))&lt;&gt;"na",SUMPRODUCT(--(UPPER(TRIM($AQ$2:$AQ$518))=UPPER(TRIM($AQ275))),--(TRIM($AQ$2:$AQ$518)&lt;&gt;""),--(LOWER(TRIM($AQ$2:$AQ$518))&lt;&gt;"n/a"),--(LOWER(TRIM($AQ$2:$AQ$518))&lt;&gt;"na"))&gt;1)),"Yes","No"))</f>
        <v/>
      </c>
      <c r="F275">
        <f>IF(UPPER(TRIM($B275))&lt;&gt;"YES","", IF(OR(AND($V275&lt;&gt;"", LOWER(TRIM($V275))&lt;&gt;"n/a", LOWER(TRIM($V275))&lt;&gt;"na", SUMPRODUCT(--(UPPER(TRIM($V$2:$V$518))=UPPER(TRIM($V275))), --(UPPER(TRIM($B$2:$B$518))="YES"), --(UPPER(TRIM($G$2:$G$518)&amp;TRIM($I$2:$I$518)&amp;TRIM($J$2:$J$518))&lt;&gt;UPPER(TRIM($G275)&amp;TRIM($I275)&amp;TRIM($J275))))&gt;0), AND($W275&lt;&gt;"", LOWER(TRIM($W275))&lt;&gt;"n/a", LOWER(TRIM($W275))&lt;&gt;"na", SUMPRODUCT(--(UPPER(TRIM($W$2:$W$518))=UPPER(TRIM($W275))), --(UPPER(TRIM($B$2:$B$518))="YES"), --(UPPER(TRIM($G$2:$G$518)&amp;TRIM($I$2:$I$518)&amp;TRIM($J$2:$J$518))&lt;&gt;UPPER(TRIM($G275)&amp;TRIM($I275)&amp;TRIM($J275))))&gt;0), AND($X275&lt;&gt;"", LOWER(TRIM($X275))&lt;&gt;"n/a", LOWER(TRIM($X275))&lt;&gt;"na", SUMPRODUCT(--(UPPER(TRIM($X$2:$X$518))=UPPER(TRIM($X275))), --(UPPER(TRIM($B$2:$B$518))="YES"), --(UPPER(TRIM($G$2:$G$518)&amp;TRIM($I$2:$I$518)&amp;TRIM($J$2:$J$518))&lt;&gt;UPPER(TRIM($G275)&amp;TRIM($I275)&amp;TRIM($J275))))&gt;0), AND($Y275&lt;&gt;"", LOWER(TRIM($Y275))&lt;&gt;"n/a", LOWER(TRIM($Y275))&lt;&gt;"na", SUMPRODUCT(--(UPPER(SUBSTITUTE(SUBSTITUTE(TRIM($Y$2:$Y$518),":",""),"-",""))=UPPER(SUBSTITUTE(SUBSTITUTE(TRIM($Y275),":",""),"-",""))), --(UPPER(TRIM($B$2:$B$518))="YES"), --(UPPER(TRIM($G$2:$G$518)&amp;TRIM($I$2:$I$518)&amp;TRIM($J$2:$J$518))&lt;&gt;UPPER(TRIM($G275)&amp;TRIM($I275)&amp;TRIM($J275))))&gt;0), AND($AB275&lt;&gt;"", LOWER(TRIM($AB275))&lt;&gt;"n/a", LOWER(TRIM($AB275))&lt;&gt;"na", SUMPRODUCT(--(UPPER(TRIM($AB$2:$AB$518))=UPPER(TRIM($AB275))), --(UPPER(TRIM($B$2:$B$518))="YES"), --(UPPER(TRIM($G$2:$G$518)&amp;TRIM($I$2:$I$518)&amp;TRIM($J$2:$J$518))&lt;&gt;UPPER(TRIM($G275)&amp;TRIM($I275)&amp;TRIM($J275))))&gt;0), AND($AH275&lt;&gt;"", LOWER(TRIM($AH275))&lt;&gt;"n/a", LOWER(TRIM($AH275))&lt;&gt;"na", SUMPRODUCT(--(UPPER(SUBSTITUTE(SUBSTITUTE(TRIM($AH$2:$AH$518),":",""),"-",""))=UPPER(SUBSTITUTE(SUBSTITUTE(TRIM($AH275),":",""),"-",""))), --(UPPER(TRIM($B$2:$B$518))="YES"), --(UPPER(TRIM($G$2:$G$518)&amp;TRIM($I$2:$I$518)&amp;TRIM($J$2:$J$518))&lt;&gt;UPPER(TRIM($G275)&amp;TRIM($I275)&amp;TRIM($J275))))&gt;0), AND($AP275&lt;&gt;"", LOWER(TRIM($AP275))&lt;&gt;"n/a", LOWER(TRIM($AP275))&lt;&gt;"na", SUMPRODUCT(--(UPPER(TRIM($AP$2:$AP$518))=UPPER(TRIM($AP275))), --(UPPER(TRIM($B$2:$B$518))="YES"), --(UPPER(TRIM($G$2:$G$518)&amp;TRIM($I$2:$I$518)&amp;TRIM($J$2:$J$518))&lt;&gt;UPPER(TRIM($G275)&amp;TRIM($I275)&amp;TRIM($J275))))&gt;0), AND($AQ275&lt;&gt;"", LOWER(TRIM($AQ275))&lt;&gt;"n/a", LOWER(TRIM($AQ275))&lt;&gt;"na", SUMPRODUCT(--(UPPER(TRIM($AQ$2:$AQ$518))=UPPER(TRIM($AQ275))), --(UPPER(TRIM($B$2:$B$518))="YES"), --(UPPER(TRIM($G$2:$G$518)&amp;TRIM($I$2:$I$518)&amp;TRIM($J$2:$J$518))&lt;&gt;UPPER(TRIM($G275)&amp;TRIM($I275)&amp;TRIM($J275))))&gt;0)), "Yes", "No"))</f>
        <v/>
      </c>
      <c r="CD275">
        <f>IF($Y275="","",IF((IF(AND($BR275&lt;&gt;"Yes",$BR275&lt;&gt;"N/A"),"Power Cable, ","")&amp;IF(AND($BS275&lt;&gt;"Yes",$BS275&lt;&gt;"N/A"),"Battery, ","")&amp;IF(AND($AD275&lt;&gt;"Yes",$AD275&lt;&gt;"N/A"),"Firmware Download, ","")&amp;IF(AND(OR($AD275="Yes",$AD275="N/A"),$AE275&lt;&gt;"Yes",$AE275&lt;&gt;"N/A"),"Firmware Install, ","")&amp;IF(AND($CB275&lt;&gt;"Yes",$CB275&lt;&gt;"N/A"),"Device ID, ","")&amp;IF(AND($CC275&lt;&gt;"Yes",$CC275&lt;&gt;"N/A"),"Epic Beans Relay, ",""))="","",LEFT(IF(AND($BR275&lt;&gt;"Yes",$BR275&lt;&gt;"N/A"),"Power Cable, ","")&amp;IF(AND($BS275&lt;&gt;"Yes",$BS275&lt;&gt;"N/A"),"Battery, ","")&amp;IF(AND($AD275&lt;&gt;"Yes",$AD275&lt;&gt;"N/A"),"Firmware Download, ","")&amp;IF(AND(OR($AD275="Yes",$AD275="N/A"),$AE275&lt;&gt;"Yes",$AE275&lt;&gt;"N/A"),"Firmware Install, ","")&amp;IF(AND($CB275&lt;&gt;"Yes",$CB275&lt;&gt;"N/A"),"Device ID, ","")&amp;IF(AND($CC275&lt;&gt;"Yes",$CC275&lt;&gt;"N/A"),"Epic Beans Relay, ",""),LEN(IF(AND($BR275&lt;&gt;"Yes",$BR275&lt;&gt;"N/A"),"Power Cable, ","")&amp;IF(AND($BS275&lt;&gt;"Yes",$BS275&lt;&gt;"N/A"),"Battery, ","")&amp;IF(AND($AD275&lt;&gt;"Yes",$AD275&lt;&gt;"N/A"),"Firmware Download, ","")&amp;IF(AND(OR($AD275="Yes",$AD275="N/A"),$AE275&lt;&gt;"Yes",$AE275&lt;&gt;"N/A"),"Firmware Install, ","")&amp;IF(AND($CB275&lt;&gt;"Yes",$CB275&lt;&gt;"N/A"),"Device ID, ","")&amp;IF(AND($CC275&lt;&gt;"Yes",$CC275&lt;&gt;"N/A"),"Epic Beans Relay, ",""))-2)))</f>
        <v/>
      </c>
      <c r="CE275">
        <f>IF($Y275="","",IF($CD275="","Yes","Blocked"))</f>
        <v/>
      </c>
      <c r="CF275" t="inlineStr">
        <is>
          <t>Yes</t>
        </is>
      </c>
      <c r="CG275" t="inlineStr">
        <is>
          <t>Yes</t>
        </is>
      </c>
      <c r="CH275" t="inlineStr">
        <is>
          <t>Yes</t>
        </is>
      </c>
      <c r="CI275" t="inlineStr">
        <is>
          <t>Yes</t>
        </is>
      </c>
      <c r="CJ275" t="inlineStr">
        <is>
          <t>Yes</t>
        </is>
      </c>
      <c r="CK275" t="n">
        <v>19200</v>
      </c>
      <c r="CP275">
        <f>IF($CO275="","",IFERROR(VLOOKUP($CO275,'01_Warehouse_Ledger'!$A:$N,4,FALSE),""))</f>
        <v/>
      </c>
      <c r="CQ275">
        <f>IF($CO275="","",IFERROR(VLOOKUP($CO275,'01_Warehouse_Ledger'!$A:$N,5,FALSE),""))</f>
        <v/>
      </c>
      <c r="CR275">
        <f>IF($CO275="","",IFERROR(VLOOKUP($CO275,'01_Warehouse_Ledger'!$A:$N,13,FALSE),""))</f>
        <v/>
      </c>
      <c r="CW275">
        <f>IF($S275="","",IF(UPPER(TRIM($S275))&lt;&gt;"PASS","",IF(LEN(TRIM($BY275))&gt;0,"NOTES_PRESENT",IF(LEN(TRIM($T275))=0,"SET_NA",IF(OR(LOWER(TRIM($T275))="na",LOWER(TRIM($T275))="n/a"),"OK","MANUAL_OVERRIDE")))))</f>
        <v/>
      </c>
    </row>
    <row r="276">
      <c r="A276" t="inlineStr">
        <is>
          <t>Neuron</t>
        </is>
      </c>
      <c r="B276" s="8" t="inlineStr">
        <is>
          <t>Yes</t>
        </is>
      </c>
      <c r="C276" t="inlineStr">
        <is>
          <t>Yes</t>
        </is>
      </c>
      <c r="D276">
        <f>IF($B276&lt;&gt;"Yes","",IF($C276="No","Yes",IF($C276="Yes","No","")))</f>
        <v/>
      </c>
      <c r="E276">
        <f>IF($A276="","",IF(OR(AND($V276&lt;&gt;"",LOWER(TRIM($V276))&lt;&gt;"n/a",LOWER(TRIM($V276))&lt;&gt;"na",SUMPRODUCT(--(UPPER(TRIM($V$2:$V$518))=UPPER(TRIM($V276))),--(TRIM($V$2:$V$518)&lt;&gt;""),--(LOWER(TRIM($V$2:$V$518))&lt;&gt;"n/a"),--(LOWER(TRIM($V$2:$V$518))&lt;&gt;"na"))&gt;1),AND($W276&lt;&gt;"",LOWER(TRIM($W276))&lt;&gt;"n/a",LOWER(TRIM($W276))&lt;&gt;"na",SUMPRODUCT(--(UPPER(TRIM($W$2:$W$518))=UPPER(TRIM($W276))),--(TRIM($W$2:$W$518)&lt;&gt;""),--(LOWER(TRIM($W$2:$W$518))&lt;&gt;"n/a"),--(LOWER(TRIM($W$2:$W$518))&lt;&gt;"na"))&gt;1),AND($X276&lt;&gt;"",LOWER(TRIM($X276))&lt;&gt;"n/a",LOWER(TRIM($X276))&lt;&gt;"na",SUMPRODUCT(--(UPPER(TRIM($X$2:$X$518))=UPPER(TRIM($X276))),--(TRIM($X$2:$X$518)&lt;&gt;""),--(LOWER(TRIM($X$2:$X$518))&lt;&gt;"n/a"),--(LOWER(TRIM($X$2:$X$518))&lt;&gt;"na"))&gt;1),AND($Y276&lt;&gt;"",LOWER(TRIM($Y276))&lt;&gt;"n/a",LOWER(TRIM($Y276))&lt;&gt;"na",SUMPRODUCT(--(UPPER(SUBSTITUTE(SUBSTITUTE(TRIM($Y$2:$Y$518),":",""),"-",""))=UPPER(SUBSTITUTE(SUBSTITUTE(TRIM($Y276),":",""),"-",""))),--(TRIM($Y$2:$Y$518)&lt;&gt;""),--(LOWER(TRIM($Y$2:$Y$518))&lt;&gt;"n/a"),--(LOWER(TRIM($Y$2:$Y$518))&lt;&gt;"na"))&gt;1),AND($AB276&lt;&gt;"",LOWER(TRIM($AB276))&lt;&gt;"n/a",LOWER(TRIM($AB276))&lt;&gt;"na",SUMPRODUCT(--(UPPER(TRIM($AB$2:$AB$518))=UPPER(TRIM($AB276))),--(TRIM($AB$2:$AB$518)&lt;&gt;""),--(LOWER(TRIM($AB$2:$AB$518))&lt;&gt;"n/a"),--(LOWER(TRIM($AB$2:$AB$518))&lt;&gt;"na"))&gt;1),AND($AH276&lt;&gt;"",LOWER(TRIM($AH276))&lt;&gt;"n/a",LOWER(TRIM($AH276))&lt;&gt;"na",SUMPRODUCT(--(UPPER(SUBSTITUTE(SUBSTITUTE(TRIM($AH$2:$AH$518),":",""),"-",""))=UPPER(SUBSTITUTE(SUBSTITUTE(TRIM($AH276),":",""),"-",""))),--(TRIM($AH$2:$AH$518)&lt;&gt;""),--(LOWER(TRIM($AH$2:$AH$518))&lt;&gt;"n/a"),--(LOWER(TRIM($AH$2:$AH$518))&lt;&gt;"na"))&gt;1),AND($AP276&lt;&gt;"",LOWER(TRIM($AP276))&lt;&gt;"n/a",LOWER(TRIM($AP276))&lt;&gt;"na",SUMPRODUCT(--(UPPER(TRIM($AP$2:$AP$518))=UPPER(TRIM($AP276))),--(TRIM($AP$2:$AP$518)&lt;&gt;""),--(LOWER(TRIM($AP$2:$AP$518))&lt;&gt;"n/a"),--(LOWER(TRIM($AP$2:$AP$518))&lt;&gt;"na"))&gt;1),AND($AQ276&lt;&gt;"",LOWER(TRIM($AQ276))&lt;&gt;"n/a",LOWER(TRIM($AQ276))&lt;&gt;"na",SUMPRODUCT(--(UPPER(TRIM($AQ$2:$AQ$518))=UPPER(TRIM($AQ276))),--(TRIM($AQ$2:$AQ$518)&lt;&gt;""),--(LOWER(TRIM($AQ$2:$AQ$518))&lt;&gt;"n/a"),--(LOWER(TRIM($AQ$2:$AQ$518))&lt;&gt;"na"))&gt;1)),"Yes","No"))</f>
        <v/>
      </c>
      <c r="F276">
        <f>IF(UPPER(TRIM($B276))&lt;&gt;"YES","", IF(OR(AND($V276&lt;&gt;"", LOWER(TRIM($V276))&lt;&gt;"n/a", LOWER(TRIM($V276))&lt;&gt;"na", SUMPRODUCT(--(UPPER(TRIM($V$2:$V$518))=UPPER(TRIM($V276))), --(UPPER(TRIM($B$2:$B$518))="YES"), --(UPPER(TRIM($G$2:$G$518)&amp;TRIM($I$2:$I$518)&amp;TRIM($J$2:$J$518))&lt;&gt;UPPER(TRIM($G276)&amp;TRIM($I276)&amp;TRIM($J276))))&gt;0), AND($W276&lt;&gt;"", LOWER(TRIM($W276))&lt;&gt;"n/a", LOWER(TRIM($W276))&lt;&gt;"na", SUMPRODUCT(--(UPPER(TRIM($W$2:$W$518))=UPPER(TRIM($W276))), --(UPPER(TRIM($B$2:$B$518))="YES"), --(UPPER(TRIM($G$2:$G$518)&amp;TRIM($I$2:$I$518)&amp;TRIM($J$2:$J$518))&lt;&gt;UPPER(TRIM($G276)&amp;TRIM($I276)&amp;TRIM($J276))))&gt;0), AND($X276&lt;&gt;"", LOWER(TRIM($X276))&lt;&gt;"n/a", LOWER(TRIM($X276))&lt;&gt;"na", SUMPRODUCT(--(UPPER(TRIM($X$2:$X$518))=UPPER(TRIM($X276))), --(UPPER(TRIM($B$2:$B$518))="YES"), --(UPPER(TRIM($G$2:$G$518)&amp;TRIM($I$2:$I$518)&amp;TRIM($J$2:$J$518))&lt;&gt;UPPER(TRIM($G276)&amp;TRIM($I276)&amp;TRIM($J276))))&gt;0), AND($Y276&lt;&gt;"", LOWER(TRIM($Y276))&lt;&gt;"n/a", LOWER(TRIM($Y276))&lt;&gt;"na", SUMPRODUCT(--(UPPER(SUBSTITUTE(SUBSTITUTE(TRIM($Y$2:$Y$518),":",""),"-",""))=UPPER(SUBSTITUTE(SUBSTITUTE(TRIM($Y276),":",""),"-",""))), --(UPPER(TRIM($B$2:$B$518))="YES"), --(UPPER(TRIM($G$2:$G$518)&amp;TRIM($I$2:$I$518)&amp;TRIM($J$2:$J$518))&lt;&gt;UPPER(TRIM($G276)&amp;TRIM($I276)&amp;TRIM($J276))))&gt;0), AND($AB276&lt;&gt;"", LOWER(TRIM($AB276))&lt;&gt;"n/a", LOWER(TRIM($AB276))&lt;&gt;"na", SUMPRODUCT(--(UPPER(TRIM($AB$2:$AB$518))=UPPER(TRIM($AB276))), --(UPPER(TRIM($B$2:$B$518))="YES"), --(UPPER(TRIM($G$2:$G$518)&amp;TRIM($I$2:$I$518)&amp;TRIM($J$2:$J$518))&lt;&gt;UPPER(TRIM($G276)&amp;TRIM($I276)&amp;TRIM($J276))))&gt;0), AND($AH276&lt;&gt;"", LOWER(TRIM($AH276))&lt;&gt;"n/a", LOWER(TRIM($AH276))&lt;&gt;"na", SUMPRODUCT(--(UPPER(SUBSTITUTE(SUBSTITUTE(TRIM($AH$2:$AH$518),":",""),"-",""))=UPPER(SUBSTITUTE(SUBSTITUTE(TRIM($AH276),":",""),"-",""))), --(UPPER(TRIM($B$2:$B$518))="YES"), --(UPPER(TRIM($G$2:$G$518)&amp;TRIM($I$2:$I$518)&amp;TRIM($J$2:$J$518))&lt;&gt;UPPER(TRIM($G276)&amp;TRIM($I276)&amp;TRIM($J276))))&gt;0), AND($AP276&lt;&gt;"", LOWER(TRIM($AP276))&lt;&gt;"n/a", LOWER(TRIM($AP276))&lt;&gt;"na", SUMPRODUCT(--(UPPER(TRIM($AP$2:$AP$518))=UPPER(TRIM($AP276))), --(UPPER(TRIM($B$2:$B$518))="YES"), --(UPPER(TRIM($G$2:$G$518)&amp;TRIM($I$2:$I$518)&amp;TRIM($J$2:$J$518))&lt;&gt;UPPER(TRIM($G276)&amp;TRIM($I276)&amp;TRIM($J276))))&gt;0), AND($AQ276&lt;&gt;"", LOWER(TRIM($AQ276))&lt;&gt;"n/a", LOWER(TRIM($AQ276))&lt;&gt;"na", SUMPRODUCT(--(UPPER(TRIM($AQ$2:$AQ$518))=UPPER(TRIM($AQ276))), --(UPPER(TRIM($B$2:$B$518))="YES"), --(UPPER(TRIM($G$2:$G$518)&amp;TRIM($I$2:$I$518)&amp;TRIM($J$2:$J$518))&lt;&gt;UPPER(TRIM($G276)&amp;TRIM($I276)&amp;TRIM($J276))))&gt;0)), "Yes", "No"))</f>
        <v/>
      </c>
      <c r="G276" t="inlineStr">
        <is>
          <t>LIJ IR</t>
        </is>
      </c>
      <c r="H276" t="inlineStr">
        <is>
          <t>LIJ IR</t>
        </is>
      </c>
      <c r="I276" t="inlineStr">
        <is>
          <t>2nd floor?</t>
        </is>
      </c>
      <c r="V276" t="inlineStr">
        <is>
          <t>WNH270RAD220</t>
        </is>
      </c>
      <c r="Y276" t="inlineStr">
        <is>
          <t>A0F5097BA153</t>
        </is>
      </c>
      <c r="AB276" t="inlineStr">
        <is>
          <t>WA25300442</t>
        </is>
      </c>
      <c r="CD276">
        <f>IF($Y276="","",IF((IF(AND($BR276&lt;&gt;"Yes",$BR276&lt;&gt;"N/A"),"Power Cable, ","")&amp;IF(AND($BS276&lt;&gt;"Yes",$BS276&lt;&gt;"N/A"),"Battery, ","")&amp;IF(AND($AD276&lt;&gt;"Yes",$AD276&lt;&gt;"N/A"),"Firmware Download, ","")&amp;IF(AND(OR($AD276="Yes",$AD276="N/A"),$AE276&lt;&gt;"Yes",$AE276&lt;&gt;"N/A"),"Firmware Install, ","")&amp;IF(AND($CB276&lt;&gt;"Yes",$CB276&lt;&gt;"N/A"),"Device ID, ","")&amp;IF(AND($CC276&lt;&gt;"Yes",$CC276&lt;&gt;"N/A"),"Epic Beans Relay, ",""))="","",LEFT(IF(AND($BR276&lt;&gt;"Yes",$BR276&lt;&gt;"N/A"),"Power Cable, ","")&amp;IF(AND($BS276&lt;&gt;"Yes",$BS276&lt;&gt;"N/A"),"Battery, ","")&amp;IF(AND($AD276&lt;&gt;"Yes",$AD276&lt;&gt;"N/A"),"Firmware Download, ","")&amp;IF(AND(OR($AD276="Yes",$AD276="N/A"),$AE276&lt;&gt;"Yes",$AE276&lt;&gt;"N/A"),"Firmware Install, ","")&amp;IF(AND($CB276&lt;&gt;"Yes",$CB276&lt;&gt;"N/A"),"Device ID, ","")&amp;IF(AND($CC276&lt;&gt;"Yes",$CC276&lt;&gt;"N/A"),"Epic Beans Relay, ",""),LEN(IF(AND($BR276&lt;&gt;"Yes",$BR276&lt;&gt;"N/A"),"Power Cable, ","")&amp;IF(AND($BS276&lt;&gt;"Yes",$BS276&lt;&gt;"N/A"),"Battery, ","")&amp;IF(AND($AD276&lt;&gt;"Yes",$AD276&lt;&gt;"N/A"),"Firmware Download, ","")&amp;IF(AND(OR($AD276="Yes",$AD276="N/A"),$AE276&lt;&gt;"Yes",$AE276&lt;&gt;"N/A"),"Firmware Install, ","")&amp;IF(AND($CB276&lt;&gt;"Yes",$CB276&lt;&gt;"N/A"),"Device ID, ","")&amp;IF(AND($CC276&lt;&gt;"Yes",$CC276&lt;&gt;"N/A"),"Epic Beans Relay, ",""))-2)))</f>
        <v/>
      </c>
      <c r="CE276">
        <f>IF($Y276="","",IF($CD276="","Yes","Blocked"))</f>
        <v/>
      </c>
      <c r="CP276">
        <f>IF($CO276="","",IFERROR(VLOOKUP($CO276,'01_Warehouse_Ledger'!$A:$N,4,FALSE),""))</f>
        <v/>
      </c>
      <c r="CQ276">
        <f>IF($CO276="","",IFERROR(VLOOKUP($CO276,'01_Warehouse_Ledger'!$A:$N,5,FALSE),""))</f>
        <v/>
      </c>
      <c r="CR276">
        <f>IF($CO276="","",IFERROR(VLOOKUP($CO276,'01_Warehouse_Ledger'!$A:$N,13,FALSE),""))</f>
        <v/>
      </c>
      <c r="CW276">
        <f>IF($S276="","",IF(UPPER(TRIM($S276))&lt;&gt;"PASS","",IF(LEN(TRIM($BY276))&gt;0,"NOTES_PRESENT",IF(LEN(TRIM($T276))=0,"SET_NA",IF(OR(LOWER(TRIM($T276))="na",LOWER(TRIM($T276))="n/a"),"OK","MANUAL_OVERRIDE")))))</f>
        <v/>
      </c>
    </row>
    <row r="277">
      <c r="A277" t="inlineStr">
        <is>
          <t>Cybernet</t>
        </is>
      </c>
      <c r="B277" s="8" t="n"/>
      <c r="E277">
        <f>IF($A277="","",IF(OR(AND($V277&lt;&gt;"",LOWER(TRIM($V277))&lt;&gt;"n/a",LOWER(TRIM($V277))&lt;&gt;"na",SUMPRODUCT(--(UPPER(TRIM($V$2:$V$518))=UPPER(TRIM($V277))),--(TRIM($V$2:$V$518)&lt;&gt;""),--(LOWER(TRIM($V$2:$V$518))&lt;&gt;"n/a"),--(LOWER(TRIM($V$2:$V$518))&lt;&gt;"na"))&gt;1),AND($W277&lt;&gt;"",LOWER(TRIM($W277))&lt;&gt;"n/a",LOWER(TRIM($W277))&lt;&gt;"na",SUMPRODUCT(--(UPPER(TRIM($W$2:$W$518))=UPPER(TRIM($W277))),--(TRIM($W$2:$W$518)&lt;&gt;""),--(LOWER(TRIM($W$2:$W$518))&lt;&gt;"n/a"),--(LOWER(TRIM($W$2:$W$518))&lt;&gt;"na"))&gt;1),AND($X277&lt;&gt;"",LOWER(TRIM($X277))&lt;&gt;"n/a",LOWER(TRIM($X277))&lt;&gt;"na",SUMPRODUCT(--(UPPER(TRIM($X$2:$X$518))=UPPER(TRIM($X277))),--(TRIM($X$2:$X$518)&lt;&gt;""),--(LOWER(TRIM($X$2:$X$518))&lt;&gt;"n/a"),--(LOWER(TRIM($X$2:$X$518))&lt;&gt;"na"))&gt;1),AND($Y277&lt;&gt;"",LOWER(TRIM($Y277))&lt;&gt;"n/a",LOWER(TRIM($Y277))&lt;&gt;"na",SUMPRODUCT(--(UPPER(SUBSTITUTE(SUBSTITUTE(TRIM($Y$2:$Y$518),":",""),"-",""))=UPPER(SUBSTITUTE(SUBSTITUTE(TRIM($Y277),":",""),"-",""))),--(TRIM($Y$2:$Y$518)&lt;&gt;""),--(LOWER(TRIM($Y$2:$Y$518))&lt;&gt;"n/a"),--(LOWER(TRIM($Y$2:$Y$518))&lt;&gt;"na"))&gt;1),AND($AB277&lt;&gt;"",LOWER(TRIM($AB277))&lt;&gt;"n/a",LOWER(TRIM($AB277))&lt;&gt;"na",SUMPRODUCT(--(UPPER(TRIM($AB$2:$AB$518))=UPPER(TRIM($AB277))),--(TRIM($AB$2:$AB$518)&lt;&gt;""),--(LOWER(TRIM($AB$2:$AB$518))&lt;&gt;"n/a"),--(LOWER(TRIM($AB$2:$AB$518))&lt;&gt;"na"))&gt;1),AND($AH277&lt;&gt;"",LOWER(TRIM($AH277))&lt;&gt;"n/a",LOWER(TRIM($AH277))&lt;&gt;"na",SUMPRODUCT(--(UPPER(SUBSTITUTE(SUBSTITUTE(TRIM($AH$2:$AH$518),":",""),"-",""))=UPPER(SUBSTITUTE(SUBSTITUTE(TRIM($AH277),":",""),"-",""))),--(TRIM($AH$2:$AH$518)&lt;&gt;""),--(LOWER(TRIM($AH$2:$AH$518))&lt;&gt;"n/a"),--(LOWER(TRIM($AH$2:$AH$518))&lt;&gt;"na"))&gt;1),AND($AP277&lt;&gt;"",LOWER(TRIM($AP277))&lt;&gt;"n/a",LOWER(TRIM($AP277))&lt;&gt;"na",SUMPRODUCT(--(UPPER(TRIM($AP$2:$AP$518))=UPPER(TRIM($AP277))),--(TRIM($AP$2:$AP$518)&lt;&gt;""),--(LOWER(TRIM($AP$2:$AP$518))&lt;&gt;"n/a"),--(LOWER(TRIM($AP$2:$AP$518))&lt;&gt;"na"))&gt;1),AND($AQ277&lt;&gt;"",LOWER(TRIM($AQ277))&lt;&gt;"n/a",LOWER(TRIM($AQ277))&lt;&gt;"na",SUMPRODUCT(--(UPPER(TRIM($AQ$2:$AQ$518))=UPPER(TRIM($AQ277))),--(TRIM($AQ$2:$AQ$518)&lt;&gt;""),--(LOWER(TRIM($AQ$2:$AQ$518))&lt;&gt;"n/a"),--(LOWER(TRIM($AQ$2:$AQ$518))&lt;&gt;"na"))&gt;1)),"Yes","No"))</f>
        <v/>
      </c>
      <c r="F277">
        <f>IF(UPPER(TRIM($B277))&lt;&gt;"YES","", IF(OR(AND($V277&lt;&gt;"", LOWER(TRIM($V277))&lt;&gt;"n/a", LOWER(TRIM($V277))&lt;&gt;"na", SUMPRODUCT(--(UPPER(TRIM($V$2:$V$518))=UPPER(TRIM($V277))), --(UPPER(TRIM($B$2:$B$518))="YES"), --(UPPER(TRIM($G$2:$G$518)&amp;TRIM($I$2:$I$518)&amp;TRIM($J$2:$J$518))&lt;&gt;UPPER(TRIM($G277)&amp;TRIM($I277)&amp;TRIM($J277))))&gt;0), AND($W277&lt;&gt;"", LOWER(TRIM($W277))&lt;&gt;"n/a", LOWER(TRIM($W277))&lt;&gt;"na", SUMPRODUCT(--(UPPER(TRIM($W$2:$W$518))=UPPER(TRIM($W277))), --(UPPER(TRIM($B$2:$B$518))="YES"), --(UPPER(TRIM($G$2:$G$518)&amp;TRIM($I$2:$I$518)&amp;TRIM($J$2:$J$518))&lt;&gt;UPPER(TRIM($G277)&amp;TRIM($I277)&amp;TRIM($J277))))&gt;0), AND($X277&lt;&gt;"", LOWER(TRIM($X277))&lt;&gt;"n/a", LOWER(TRIM($X277))&lt;&gt;"na", SUMPRODUCT(--(UPPER(TRIM($X$2:$X$518))=UPPER(TRIM($X277))), --(UPPER(TRIM($B$2:$B$518))="YES"), --(UPPER(TRIM($G$2:$G$518)&amp;TRIM($I$2:$I$518)&amp;TRIM($J$2:$J$518))&lt;&gt;UPPER(TRIM($G277)&amp;TRIM($I277)&amp;TRIM($J277))))&gt;0), AND($Y277&lt;&gt;"", LOWER(TRIM($Y277))&lt;&gt;"n/a", LOWER(TRIM($Y277))&lt;&gt;"na", SUMPRODUCT(--(UPPER(SUBSTITUTE(SUBSTITUTE(TRIM($Y$2:$Y$518),":",""),"-",""))=UPPER(SUBSTITUTE(SUBSTITUTE(TRIM($Y277),":",""),"-",""))), --(UPPER(TRIM($B$2:$B$518))="YES"), --(UPPER(TRIM($G$2:$G$518)&amp;TRIM($I$2:$I$518)&amp;TRIM($J$2:$J$518))&lt;&gt;UPPER(TRIM($G277)&amp;TRIM($I277)&amp;TRIM($J277))))&gt;0), AND($AB277&lt;&gt;"", LOWER(TRIM($AB277))&lt;&gt;"n/a", LOWER(TRIM($AB277))&lt;&gt;"na", SUMPRODUCT(--(UPPER(TRIM($AB$2:$AB$518))=UPPER(TRIM($AB277))), --(UPPER(TRIM($B$2:$B$518))="YES"), --(UPPER(TRIM($G$2:$G$518)&amp;TRIM($I$2:$I$518)&amp;TRIM($J$2:$J$518))&lt;&gt;UPPER(TRIM($G277)&amp;TRIM($I277)&amp;TRIM($J277))))&gt;0), AND($AH277&lt;&gt;"", LOWER(TRIM($AH277))&lt;&gt;"n/a", LOWER(TRIM($AH277))&lt;&gt;"na", SUMPRODUCT(--(UPPER(SUBSTITUTE(SUBSTITUTE(TRIM($AH$2:$AH$518),":",""),"-",""))=UPPER(SUBSTITUTE(SUBSTITUTE(TRIM($AH277),":",""),"-",""))), --(UPPER(TRIM($B$2:$B$518))="YES"), --(UPPER(TRIM($G$2:$G$518)&amp;TRIM($I$2:$I$518)&amp;TRIM($J$2:$J$518))&lt;&gt;UPPER(TRIM($G277)&amp;TRIM($I277)&amp;TRIM($J277))))&gt;0), AND($AP277&lt;&gt;"", LOWER(TRIM($AP277))&lt;&gt;"n/a", LOWER(TRIM($AP277))&lt;&gt;"na", SUMPRODUCT(--(UPPER(TRIM($AP$2:$AP$518))=UPPER(TRIM($AP277))), --(UPPER(TRIM($B$2:$B$518))="YES"), --(UPPER(TRIM($G$2:$G$518)&amp;TRIM($I$2:$I$518)&amp;TRIM($J$2:$J$518))&lt;&gt;UPPER(TRIM($G277)&amp;TRIM($I277)&amp;TRIM($J277))))&gt;0), AND($AQ277&lt;&gt;"", LOWER(TRIM($AQ277))&lt;&gt;"n/a", LOWER(TRIM($AQ277))&lt;&gt;"na", SUMPRODUCT(--(UPPER(TRIM($AQ$2:$AQ$518))=UPPER(TRIM($AQ277))), --(UPPER(TRIM($B$2:$B$518))="YES"), --(UPPER(TRIM($G$2:$G$518)&amp;TRIM($I$2:$I$518)&amp;TRIM($J$2:$J$518))&lt;&gt;UPPER(TRIM($G277)&amp;TRIM($I277)&amp;TRIM($J277))))&gt;0)), "Yes", "No"))</f>
        <v/>
      </c>
      <c r="CE277">
        <f>IF($Y277="","",IF($CD277="","Yes","Blocked"))</f>
        <v/>
      </c>
      <c r="CP277">
        <f>IF($CO277="","",IFERROR(VLOOKUP($CO277,'01_Warehouse_Ledger'!$A:$N,4,FALSE),""))</f>
        <v/>
      </c>
      <c r="CQ277">
        <f>IF($CO277="","",IFERROR(VLOOKUP($CO277,'01_Warehouse_Ledger'!$A:$N,5,FALSE),""))</f>
        <v/>
      </c>
      <c r="CR277">
        <f>IF($CO277="","",IFERROR(VLOOKUP($CO277,'01_Warehouse_Ledger'!$A:$N,13,FALSE),""))</f>
        <v/>
      </c>
      <c r="CW277">
        <f>IF($S277="","",IF(UPPER(TRIM($S277))&lt;&gt;"PASS","",IF(LEN(TRIM($BY277))&gt;0,"NOTES_PRESENT",IF(LEN(TRIM($T277))=0,"SET_NA",IF(OR(LOWER(TRIM($T277))="na",LOWER(TRIM($T277))="n/a"),"OK","MANUAL_OVERRIDE")))))</f>
        <v/>
      </c>
    </row>
    <row r="278">
      <c r="A278" t="inlineStr">
        <is>
          <t>Neuron</t>
        </is>
      </c>
      <c r="B278" s="8" t="inlineStr">
        <is>
          <t>No</t>
        </is>
      </c>
      <c r="C278" t="inlineStr">
        <is>
          <t>No</t>
        </is>
      </c>
      <c r="D278">
        <f>IF($B278&lt;&gt;"Yes","",IF($C278="No","Yes",IF($C278="Yes","No","")))</f>
        <v/>
      </c>
      <c r="E278">
        <f>IF($A278="","",IF(OR(AND($V278&lt;&gt;"",LOWER(TRIM($V278))&lt;&gt;"n/a",LOWER(TRIM($V278))&lt;&gt;"na",SUMPRODUCT(--(UPPER(TRIM($V$2:$V$518))=UPPER(TRIM($V278))),--(TRIM($V$2:$V$518)&lt;&gt;""),--(LOWER(TRIM($V$2:$V$518))&lt;&gt;"n/a"),--(LOWER(TRIM($V$2:$V$518))&lt;&gt;"na"))&gt;1),AND($W278&lt;&gt;"",LOWER(TRIM($W278))&lt;&gt;"n/a",LOWER(TRIM($W278))&lt;&gt;"na",SUMPRODUCT(--(UPPER(TRIM($W$2:$W$518))=UPPER(TRIM($W278))),--(TRIM($W$2:$W$518)&lt;&gt;""),--(LOWER(TRIM($W$2:$W$518))&lt;&gt;"n/a"),--(LOWER(TRIM($W$2:$W$518))&lt;&gt;"na"))&gt;1),AND($X278&lt;&gt;"",LOWER(TRIM($X278))&lt;&gt;"n/a",LOWER(TRIM($X278))&lt;&gt;"na",SUMPRODUCT(--(UPPER(TRIM($X$2:$X$518))=UPPER(TRIM($X278))),--(TRIM($X$2:$X$518)&lt;&gt;""),--(LOWER(TRIM($X$2:$X$518))&lt;&gt;"n/a"),--(LOWER(TRIM($X$2:$X$518))&lt;&gt;"na"))&gt;1),AND($Y278&lt;&gt;"",LOWER(TRIM($Y278))&lt;&gt;"n/a",LOWER(TRIM($Y278))&lt;&gt;"na",SUMPRODUCT(--(UPPER(SUBSTITUTE(SUBSTITUTE(TRIM($Y$2:$Y$518),":",""),"-",""))=UPPER(SUBSTITUTE(SUBSTITUTE(TRIM($Y278),":",""),"-",""))),--(TRIM($Y$2:$Y$518)&lt;&gt;""),--(LOWER(TRIM($Y$2:$Y$518))&lt;&gt;"n/a"),--(LOWER(TRIM($Y$2:$Y$518))&lt;&gt;"na"))&gt;1),AND($AB278&lt;&gt;"",LOWER(TRIM($AB278))&lt;&gt;"n/a",LOWER(TRIM($AB278))&lt;&gt;"na",SUMPRODUCT(--(UPPER(TRIM($AB$2:$AB$518))=UPPER(TRIM($AB278))),--(TRIM($AB$2:$AB$518)&lt;&gt;""),--(LOWER(TRIM($AB$2:$AB$518))&lt;&gt;"n/a"),--(LOWER(TRIM($AB$2:$AB$518))&lt;&gt;"na"))&gt;1),AND($AH278&lt;&gt;"",LOWER(TRIM($AH278))&lt;&gt;"n/a",LOWER(TRIM($AH278))&lt;&gt;"na",SUMPRODUCT(--(UPPER(SUBSTITUTE(SUBSTITUTE(TRIM($AH$2:$AH$518),":",""),"-",""))=UPPER(SUBSTITUTE(SUBSTITUTE(TRIM($AH278),":",""),"-",""))),--(TRIM($AH$2:$AH$518)&lt;&gt;""),--(LOWER(TRIM($AH$2:$AH$518))&lt;&gt;"n/a"),--(LOWER(TRIM($AH$2:$AH$518))&lt;&gt;"na"))&gt;1),AND($AP278&lt;&gt;"",LOWER(TRIM($AP278))&lt;&gt;"n/a",LOWER(TRIM($AP278))&lt;&gt;"na",SUMPRODUCT(--(UPPER(TRIM($AP$2:$AP$518))=UPPER(TRIM($AP278))),--(TRIM($AP$2:$AP$518)&lt;&gt;""),--(LOWER(TRIM($AP$2:$AP$518))&lt;&gt;"n/a"),--(LOWER(TRIM($AP$2:$AP$518))&lt;&gt;"na"))&gt;1),AND($AQ278&lt;&gt;"",LOWER(TRIM($AQ278))&lt;&gt;"n/a",LOWER(TRIM($AQ278))&lt;&gt;"na",SUMPRODUCT(--(UPPER(TRIM($AQ$2:$AQ$518))=UPPER(TRIM($AQ278))),--(TRIM($AQ$2:$AQ$518)&lt;&gt;""),--(LOWER(TRIM($AQ$2:$AQ$518))&lt;&gt;"n/a"),--(LOWER(TRIM($AQ$2:$AQ$518))&lt;&gt;"na"))&gt;1)),"Yes","No"))</f>
        <v/>
      </c>
      <c r="F278">
        <f>IF(UPPER(TRIM($B278))&lt;&gt;"YES","", IF(OR(AND($V278&lt;&gt;"", LOWER(TRIM($V278))&lt;&gt;"n/a", LOWER(TRIM($V278))&lt;&gt;"na", SUMPRODUCT(--(UPPER(TRIM($V$2:$V$518))=UPPER(TRIM($V278))), --(UPPER(TRIM($B$2:$B$518))="YES"), --(UPPER(TRIM($G$2:$G$518)&amp;TRIM($I$2:$I$518)&amp;TRIM($J$2:$J$518))&lt;&gt;UPPER(TRIM($G278)&amp;TRIM($I278)&amp;TRIM($J278))))&gt;0), AND($W278&lt;&gt;"", LOWER(TRIM($W278))&lt;&gt;"n/a", LOWER(TRIM($W278))&lt;&gt;"na", SUMPRODUCT(--(UPPER(TRIM($W$2:$W$518))=UPPER(TRIM($W278))), --(UPPER(TRIM($B$2:$B$518))="YES"), --(UPPER(TRIM($G$2:$G$518)&amp;TRIM($I$2:$I$518)&amp;TRIM($J$2:$J$518))&lt;&gt;UPPER(TRIM($G278)&amp;TRIM($I278)&amp;TRIM($J278))))&gt;0), AND($X278&lt;&gt;"", LOWER(TRIM($X278))&lt;&gt;"n/a", LOWER(TRIM($X278))&lt;&gt;"na", SUMPRODUCT(--(UPPER(TRIM($X$2:$X$518))=UPPER(TRIM($X278))), --(UPPER(TRIM($B$2:$B$518))="YES"), --(UPPER(TRIM($G$2:$G$518)&amp;TRIM($I$2:$I$518)&amp;TRIM($J$2:$J$518))&lt;&gt;UPPER(TRIM($G278)&amp;TRIM($I278)&amp;TRIM($J278))))&gt;0), AND($Y278&lt;&gt;"", LOWER(TRIM($Y278))&lt;&gt;"n/a", LOWER(TRIM($Y278))&lt;&gt;"na", SUMPRODUCT(--(UPPER(SUBSTITUTE(SUBSTITUTE(TRIM($Y$2:$Y$518),":",""),"-",""))=UPPER(SUBSTITUTE(SUBSTITUTE(TRIM($Y278),":",""),"-",""))), --(UPPER(TRIM($B$2:$B$518))="YES"), --(UPPER(TRIM($G$2:$G$518)&amp;TRIM($I$2:$I$518)&amp;TRIM($J$2:$J$518))&lt;&gt;UPPER(TRIM($G278)&amp;TRIM($I278)&amp;TRIM($J278))))&gt;0), AND($AB278&lt;&gt;"", LOWER(TRIM($AB278))&lt;&gt;"n/a", LOWER(TRIM($AB278))&lt;&gt;"na", SUMPRODUCT(--(UPPER(TRIM($AB$2:$AB$518))=UPPER(TRIM($AB278))), --(UPPER(TRIM($B$2:$B$518))="YES"), --(UPPER(TRIM($G$2:$G$518)&amp;TRIM($I$2:$I$518)&amp;TRIM($J$2:$J$518))&lt;&gt;UPPER(TRIM($G278)&amp;TRIM($I278)&amp;TRIM($J278))))&gt;0), AND($AH278&lt;&gt;"", LOWER(TRIM($AH278))&lt;&gt;"n/a", LOWER(TRIM($AH278))&lt;&gt;"na", SUMPRODUCT(--(UPPER(SUBSTITUTE(SUBSTITUTE(TRIM($AH$2:$AH$518),":",""),"-",""))=UPPER(SUBSTITUTE(SUBSTITUTE(TRIM($AH278),":",""),"-",""))), --(UPPER(TRIM($B$2:$B$518))="YES"), --(UPPER(TRIM($G$2:$G$518)&amp;TRIM($I$2:$I$518)&amp;TRIM($J$2:$J$518))&lt;&gt;UPPER(TRIM($G278)&amp;TRIM($I278)&amp;TRIM($J278))))&gt;0), AND($AP278&lt;&gt;"", LOWER(TRIM($AP278))&lt;&gt;"n/a", LOWER(TRIM($AP278))&lt;&gt;"na", SUMPRODUCT(--(UPPER(TRIM($AP$2:$AP$518))=UPPER(TRIM($AP278))), --(UPPER(TRIM($B$2:$B$518))="YES"), --(UPPER(TRIM($G$2:$G$518)&amp;TRIM($I$2:$I$518)&amp;TRIM($J$2:$J$518))&lt;&gt;UPPER(TRIM($G278)&amp;TRIM($I278)&amp;TRIM($J278))))&gt;0), AND($AQ278&lt;&gt;"", LOWER(TRIM($AQ278))&lt;&gt;"n/a", LOWER(TRIM($AQ278))&lt;&gt;"na", SUMPRODUCT(--(UPPER(TRIM($AQ$2:$AQ$518))=UPPER(TRIM($AQ278))), --(UPPER(TRIM($B$2:$B$518))="YES"), --(UPPER(TRIM($G$2:$G$518)&amp;TRIM($I$2:$I$518)&amp;TRIM($J$2:$J$518))&lt;&gt;UPPER(TRIM($G278)&amp;TRIM($I278)&amp;TRIM($J278))))&gt;0)), "Yes", "No"))</f>
        <v/>
      </c>
      <c r="G278" t="inlineStr">
        <is>
          <t>NSUH - PSP</t>
        </is>
      </c>
      <c r="H278" t="inlineStr">
        <is>
          <t>NSUH - PSP</t>
        </is>
      </c>
      <c r="I278" t="inlineStr">
        <is>
          <t>Main ORs - PSP - 2nd Floor</t>
        </is>
      </c>
      <c r="X278" t="inlineStr">
        <is>
          <t>NSUH-MACH-JJ</t>
        </is>
      </c>
      <c r="Y278" t="inlineStr">
        <is>
          <t>A0F5097FDE42</t>
        </is>
      </c>
      <c r="AB278" t="inlineStr">
        <is>
          <t>WA24406138</t>
        </is>
      </c>
      <c r="AC278" t="inlineStr">
        <is>
          <t>NSUH</t>
        </is>
      </c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</t>
        </is>
      </c>
      <c r="CD278">
        <f>IF($Y278="","",IF((IF(AND($BR278&lt;&gt;"Yes",$BR278&lt;&gt;"N/A"),"Power Cable, ","")&amp;IF(AND($BS278&lt;&gt;"Yes",$BS278&lt;&gt;"N/A"),"Battery, ","")&amp;IF(AND($AD278&lt;&gt;"Yes",$AD278&lt;&gt;"N/A"),"Firmware Download, ","")&amp;IF(AND(OR($AD278="Yes",$AD278="N/A"),$AE278&lt;&gt;"Yes",$AE278&lt;&gt;"N/A"),"Firmware Install, ","")&amp;IF(AND($CB278&lt;&gt;"Yes",$CB278&lt;&gt;"N/A"),"Device ID, ","")&amp;IF(AND($CC278&lt;&gt;"Yes",$CC278&lt;&gt;"N/A"),"Epic Beans Relay, ",""))="","",LEFT(IF(AND($BR278&lt;&gt;"Yes",$BR278&lt;&gt;"N/A"),"Power Cable, ","")&amp;IF(AND($BS278&lt;&gt;"Yes",$BS278&lt;&gt;"N/A"),"Battery, ","")&amp;IF(AND($AD278&lt;&gt;"Yes",$AD278&lt;&gt;"N/A"),"Firmware Download, ","")&amp;IF(AND(OR($AD278="Yes",$AD278="N/A"),$AE278&lt;&gt;"Yes",$AE278&lt;&gt;"N/A"),"Firmware Install, ","")&amp;IF(AND($CB278&lt;&gt;"Yes",$CB278&lt;&gt;"N/A"),"Device ID, ","")&amp;IF(AND($CC278&lt;&gt;"Yes",$CC278&lt;&gt;"N/A"),"Epic Beans Relay, ",""),LEN(IF(AND($BR278&lt;&gt;"Yes",$BR278&lt;&gt;"N/A"),"Power Cable, ","")&amp;IF(AND($BS278&lt;&gt;"Yes",$BS278&lt;&gt;"N/A"),"Battery, ","")&amp;IF(AND($AD278&lt;&gt;"Yes",$AD278&lt;&gt;"N/A"),"Firmware Download, ","")&amp;IF(AND(OR($AD278="Yes",$AD278="N/A"),$AE278&lt;&gt;"Yes",$AE278&lt;&gt;"N/A"),"Firmware Install, ","")&amp;IF(AND($CB278&lt;&gt;"Yes",$CB278&lt;&gt;"N/A"),"Device ID, ","")&amp;IF(AND($CC278&lt;&gt;"Yes",$CC278&lt;&gt;"N/A"),"Epic Beans Relay, ",""))-2)))</f>
        <v/>
      </c>
      <c r="CE278">
        <f>IF($Y278="","",IF($CD278="","Yes","Blocked"))</f>
        <v/>
      </c>
      <c r="CP278">
        <f>IF($CO278="","",IFERROR(VLOOKUP($CO278,'01_Warehouse_Ledger'!$A:$N,4,FALSE),""))</f>
        <v/>
      </c>
      <c r="CQ278">
        <f>IF($CO278="","",IFERROR(VLOOKUP($CO278,'01_Warehouse_Ledger'!$A:$N,5,FALSE),""))</f>
        <v/>
      </c>
      <c r="CR278">
        <f>IF($CO278="","",IFERROR(VLOOKUP($CO278,'01_Warehouse_Ledger'!$A:$N,13,FALSE),""))</f>
        <v/>
      </c>
      <c r="CW278">
        <f>IF($S278="","",IF(UPPER(TRIM($S278))&lt;&gt;"PASS","",IF(LEN(TRIM($BY278))&gt;0,"NOTES_PRESENT",IF(LEN(TRIM($T278))=0,"SET_NA",IF(OR(LOWER(TRIM($T278))="na",LOWER(TRIM($T278))="n/a"),"OK","MANUAL_OVERRIDE")))))</f>
        <v/>
      </c>
    </row>
    <row r="279">
      <c r="A279" t="inlineStr">
        <is>
          <t>Neuron</t>
        </is>
      </c>
      <c r="B279" s="8" t="inlineStr">
        <is>
          <t>Yes</t>
        </is>
      </c>
      <c r="C279" t="inlineStr">
        <is>
          <t>Yes</t>
        </is>
      </c>
      <c r="D279">
        <f>IF($B279&lt;&gt;"Yes","",IF($C279="No","Yes",IF($C279="Yes","No","")))</f>
        <v/>
      </c>
      <c r="E279">
        <f>IF($A279="","",IF(OR(AND($V279&lt;&gt;"",LOWER(TRIM($V279))&lt;&gt;"n/a",LOWER(TRIM($V279))&lt;&gt;"na",SUMPRODUCT(--(UPPER(TRIM($V$2:$V$518))=UPPER(TRIM($V279))),--(TRIM($V$2:$V$518)&lt;&gt;""),--(LOWER(TRIM($V$2:$V$518))&lt;&gt;"n/a"),--(LOWER(TRIM($V$2:$V$518))&lt;&gt;"na"))&gt;1),AND($W279&lt;&gt;"",LOWER(TRIM($W279))&lt;&gt;"n/a",LOWER(TRIM($W279))&lt;&gt;"na",SUMPRODUCT(--(UPPER(TRIM($W$2:$W$518))=UPPER(TRIM($W279))),--(TRIM($W$2:$W$518)&lt;&gt;""),--(LOWER(TRIM($W$2:$W$518))&lt;&gt;"n/a"),--(LOWER(TRIM($W$2:$W$518))&lt;&gt;"na"))&gt;1),AND($X279&lt;&gt;"",LOWER(TRIM($X279))&lt;&gt;"n/a",LOWER(TRIM($X279))&lt;&gt;"na",SUMPRODUCT(--(UPPER(TRIM($X$2:$X$518))=UPPER(TRIM($X279))),--(TRIM($X$2:$X$518)&lt;&gt;""),--(LOWER(TRIM($X$2:$X$518))&lt;&gt;"n/a"),--(LOWER(TRIM($X$2:$X$518))&lt;&gt;"na"))&gt;1),AND($Y279&lt;&gt;"",LOWER(TRIM($Y279))&lt;&gt;"n/a",LOWER(TRIM($Y279))&lt;&gt;"na",SUMPRODUCT(--(UPPER(SUBSTITUTE(SUBSTITUTE(TRIM($Y$2:$Y$518),":",""),"-",""))=UPPER(SUBSTITUTE(SUBSTITUTE(TRIM($Y279),":",""),"-",""))),--(TRIM($Y$2:$Y$518)&lt;&gt;""),--(LOWER(TRIM($Y$2:$Y$518))&lt;&gt;"n/a"),--(LOWER(TRIM($Y$2:$Y$518))&lt;&gt;"na"))&gt;1),AND($AB279&lt;&gt;"",LOWER(TRIM($AB279))&lt;&gt;"n/a",LOWER(TRIM($AB279))&lt;&gt;"na",SUMPRODUCT(--(UPPER(TRIM($AB$2:$AB$518))=UPPER(TRIM($AB279))),--(TRIM($AB$2:$AB$518)&lt;&gt;""),--(LOWER(TRIM($AB$2:$AB$518))&lt;&gt;"n/a"),--(LOWER(TRIM($AB$2:$AB$518))&lt;&gt;"na"))&gt;1),AND($AH279&lt;&gt;"",LOWER(TRIM($AH279))&lt;&gt;"n/a",LOWER(TRIM($AH279))&lt;&gt;"na",SUMPRODUCT(--(UPPER(SUBSTITUTE(SUBSTITUTE(TRIM($AH$2:$AH$518),":",""),"-",""))=UPPER(SUBSTITUTE(SUBSTITUTE(TRIM($AH279),":",""),"-",""))),--(TRIM($AH$2:$AH$518)&lt;&gt;""),--(LOWER(TRIM($AH$2:$AH$518))&lt;&gt;"n/a"),--(LOWER(TRIM($AH$2:$AH$518))&lt;&gt;"na"))&gt;1),AND($AP279&lt;&gt;"",LOWER(TRIM($AP279))&lt;&gt;"n/a",LOWER(TRIM($AP279))&lt;&gt;"na",SUMPRODUCT(--(UPPER(TRIM($AP$2:$AP$518))=UPPER(TRIM($AP279))),--(TRIM($AP$2:$AP$518)&lt;&gt;""),--(LOWER(TRIM($AP$2:$AP$518))&lt;&gt;"n/a"),--(LOWER(TRIM($AP$2:$AP$518))&lt;&gt;"na"))&gt;1),AND($AQ279&lt;&gt;"",LOWER(TRIM($AQ279))&lt;&gt;"n/a",LOWER(TRIM($AQ279))&lt;&gt;"na",SUMPRODUCT(--(UPPER(TRIM($AQ$2:$AQ$518))=UPPER(TRIM($AQ279))),--(TRIM($AQ$2:$AQ$518)&lt;&gt;""),--(LOWER(TRIM($AQ$2:$AQ$518))&lt;&gt;"n/a"),--(LOWER(TRIM($AQ$2:$AQ$518))&lt;&gt;"na"))&gt;1)),"Yes","No"))</f>
        <v/>
      </c>
      <c r="F279">
        <f>IF(UPPER(TRIM($B279))&lt;&gt;"YES","", IF(OR(AND($V279&lt;&gt;"", LOWER(TRIM($V279))&lt;&gt;"n/a", LOWER(TRIM($V279))&lt;&gt;"na", SUMPRODUCT(--(UPPER(TRIM($V$2:$V$518))=UPPER(TRIM($V279))), --(UPPER(TRIM($B$2:$B$518))="YES"), --(UPPER(TRIM($G$2:$G$518)&amp;TRIM($I$2:$I$518)&amp;TRIM($J$2:$J$518))&lt;&gt;UPPER(TRIM($G279)&amp;TRIM($I279)&amp;TRIM($J279))))&gt;0), AND($W279&lt;&gt;"", LOWER(TRIM($W279))&lt;&gt;"n/a", LOWER(TRIM($W279))&lt;&gt;"na", SUMPRODUCT(--(UPPER(TRIM($W$2:$W$518))=UPPER(TRIM($W279))), --(UPPER(TRIM($B$2:$B$518))="YES"), --(UPPER(TRIM($G$2:$G$518)&amp;TRIM($I$2:$I$518)&amp;TRIM($J$2:$J$518))&lt;&gt;UPPER(TRIM($G279)&amp;TRIM($I279)&amp;TRIM($J279))))&gt;0), AND($X279&lt;&gt;"", LOWER(TRIM($X279))&lt;&gt;"n/a", LOWER(TRIM($X279))&lt;&gt;"na", SUMPRODUCT(--(UPPER(TRIM($X$2:$X$518))=UPPER(TRIM($X279))), --(UPPER(TRIM($B$2:$B$518))="YES"), --(UPPER(TRIM($G$2:$G$518)&amp;TRIM($I$2:$I$518)&amp;TRIM($J$2:$J$518))&lt;&gt;UPPER(TRIM($G279)&amp;TRIM($I279)&amp;TRIM($J279))))&gt;0), AND($Y279&lt;&gt;"", LOWER(TRIM($Y279))&lt;&gt;"n/a", LOWER(TRIM($Y279))&lt;&gt;"na", SUMPRODUCT(--(UPPER(SUBSTITUTE(SUBSTITUTE(TRIM($Y$2:$Y$518),":",""),"-",""))=UPPER(SUBSTITUTE(SUBSTITUTE(TRIM($Y279),":",""),"-",""))), --(UPPER(TRIM($B$2:$B$518))="YES"), --(UPPER(TRIM($G$2:$G$518)&amp;TRIM($I$2:$I$518)&amp;TRIM($J$2:$J$518))&lt;&gt;UPPER(TRIM($G279)&amp;TRIM($I279)&amp;TRIM($J279))))&gt;0), AND($AB279&lt;&gt;"", LOWER(TRIM($AB279))&lt;&gt;"n/a", LOWER(TRIM($AB279))&lt;&gt;"na", SUMPRODUCT(--(UPPER(TRIM($AB$2:$AB$518))=UPPER(TRIM($AB279))), --(UPPER(TRIM($B$2:$B$518))="YES"), --(UPPER(TRIM($G$2:$G$518)&amp;TRIM($I$2:$I$518)&amp;TRIM($J$2:$J$518))&lt;&gt;UPPER(TRIM($G279)&amp;TRIM($I279)&amp;TRIM($J279))))&gt;0), AND($AH279&lt;&gt;"", LOWER(TRIM($AH279))&lt;&gt;"n/a", LOWER(TRIM($AH279))&lt;&gt;"na", SUMPRODUCT(--(UPPER(SUBSTITUTE(SUBSTITUTE(TRIM($AH$2:$AH$518),":",""),"-",""))=UPPER(SUBSTITUTE(SUBSTITUTE(TRIM($AH279),":",""),"-",""))), --(UPPER(TRIM($B$2:$B$518))="YES"), --(UPPER(TRIM($G$2:$G$518)&amp;TRIM($I$2:$I$518)&amp;TRIM($J$2:$J$518))&lt;&gt;UPPER(TRIM($G279)&amp;TRIM($I279)&amp;TRIM($J279))))&gt;0), AND($AP279&lt;&gt;"", LOWER(TRIM($AP279))&lt;&gt;"n/a", LOWER(TRIM($AP279))&lt;&gt;"na", SUMPRODUCT(--(UPPER(TRIM($AP$2:$AP$518))=UPPER(TRIM($AP279))), --(UPPER(TRIM($B$2:$B$518))="YES"), --(UPPER(TRIM($G$2:$G$518)&amp;TRIM($I$2:$I$518)&amp;TRIM($J$2:$J$518))&lt;&gt;UPPER(TRIM($G279)&amp;TRIM($I279)&amp;TRIM($J279))))&gt;0), AND($AQ279&lt;&gt;"", LOWER(TRIM($AQ279))&lt;&gt;"n/a", LOWER(TRIM($AQ279))&lt;&gt;"na", SUMPRODUCT(--(UPPER(TRIM($AQ$2:$AQ$518))=UPPER(TRIM($AQ279))), --(UPPER(TRIM($B$2:$B$518))="YES"), --(UPPER(TRIM($G$2:$G$518)&amp;TRIM($I$2:$I$518)&amp;TRIM($J$2:$J$518))&lt;&gt;UPPER(TRIM($G279)&amp;TRIM($I279)&amp;TRIM($J279))))&gt;0)), "Yes", "No"))</f>
        <v/>
      </c>
      <c r="G279" t="inlineStr">
        <is>
          <t>NSUH - PSP</t>
        </is>
      </c>
      <c r="H279" t="inlineStr">
        <is>
          <t>NSUH - PSP</t>
        </is>
      </c>
      <c r="I279" t="inlineStr">
        <is>
          <t>Main ORs - PSP - 2nd Floor</t>
        </is>
      </c>
      <c r="J279" t="inlineStr">
        <is>
          <t>OR 11</t>
        </is>
      </c>
      <c r="K279" t="inlineStr">
        <is>
          <t>N/A</t>
        </is>
      </c>
      <c r="L279" s="18" t="n">
        <v>46123</v>
      </c>
      <c r="M279" t="inlineStr">
        <is>
          <t>OR Workstation</t>
        </is>
      </c>
      <c r="N279" t="inlineStr">
        <is>
          <t>No</t>
        </is>
      </c>
      <c r="O279" t="inlineStr">
        <is>
          <t>Yes</t>
        </is>
      </c>
      <c r="P279" t="inlineStr">
        <is>
          <t>Yes</t>
        </is>
      </c>
      <c r="R279" t="inlineStr">
        <is>
          <t>Yes</t>
        </is>
      </c>
      <c r="S279" t="inlineStr">
        <is>
          <t>pass</t>
        </is>
      </c>
      <c r="U279" t="inlineStr">
        <is>
          <t>psp</t>
        </is>
      </c>
      <c r="V279" t="inlineStr">
        <is>
          <t>WMH300OPR411</t>
        </is>
      </c>
      <c r="W279" t="inlineStr">
        <is>
          <t>MEDNG2425E-3347</t>
        </is>
      </c>
      <c r="X279" t="inlineStr">
        <is>
          <t>NSUH-MACH-I</t>
        </is>
      </c>
      <c r="Y279" t="inlineStr">
        <is>
          <t>A0F5097FE452</t>
        </is>
      </c>
      <c r="AB279" t="inlineStr">
        <is>
          <t>WA24406385</t>
        </is>
      </c>
      <c r="AC279" t="inlineStr">
        <is>
          <t>NSUH</t>
        </is>
      </c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CD279">
        <f>IF($Y279="","",IF((IF(AND($BR279&lt;&gt;"Yes",$BR279&lt;&gt;"N/A"),"Power Cable, ","")&amp;IF(AND($BS279&lt;&gt;"Yes",$BS279&lt;&gt;"N/A"),"Battery, ","")&amp;IF(AND($AD279&lt;&gt;"Yes",$AD279&lt;&gt;"N/A"),"Firmware Download, ","")&amp;IF(AND(OR($AD279="Yes",$AD279="N/A"),$AE279&lt;&gt;"Yes",$AE279&lt;&gt;"N/A"),"Firmware Install, ","")&amp;IF(AND($CB279&lt;&gt;"Yes",$CB279&lt;&gt;"N/A"),"Device ID, ","")&amp;IF(AND($CC279&lt;&gt;"Yes",$CC279&lt;&gt;"N/A"),"Epic Beans Relay, ",""))="","",LEFT(IF(AND($BR279&lt;&gt;"Yes",$BR279&lt;&gt;"N/A"),"Power Cable, ","")&amp;IF(AND($BS279&lt;&gt;"Yes",$BS279&lt;&gt;"N/A"),"Battery, ","")&amp;IF(AND($AD279&lt;&gt;"Yes",$AD279&lt;&gt;"N/A"),"Firmware Download, ","")&amp;IF(AND(OR($AD279="Yes",$AD279="N/A"),$AE279&lt;&gt;"Yes",$AE279&lt;&gt;"N/A"),"Firmware Install, ","")&amp;IF(AND($CB279&lt;&gt;"Yes",$CB279&lt;&gt;"N/A"),"Device ID, ","")&amp;IF(AND($CC279&lt;&gt;"Yes",$CC279&lt;&gt;"N/A"),"Epic Beans Relay, ",""),LEN(IF(AND($BR279&lt;&gt;"Yes",$BR279&lt;&gt;"N/A"),"Power Cable, ","")&amp;IF(AND($BS279&lt;&gt;"Yes",$BS279&lt;&gt;"N/A"),"Battery, ","")&amp;IF(AND($AD279&lt;&gt;"Yes",$AD279&lt;&gt;"N/A"),"Firmware Download, ","")&amp;IF(AND(OR($AD279="Yes",$AD279="N/A"),$AE279&lt;&gt;"Yes",$AE279&lt;&gt;"N/A"),"Firmware Install, ","")&amp;IF(AND($CB279&lt;&gt;"Yes",$CB279&lt;&gt;"N/A"),"Device ID, ","")&amp;IF(AND($CC279&lt;&gt;"Yes",$CC279&lt;&gt;"N/A"),"Epic Beans Relay, ",""))-2)))</f>
        <v/>
      </c>
      <c r="CE279">
        <f>IF($Y279="","",IF($CD279="","Yes","Blocked"))</f>
        <v/>
      </c>
      <c r="CP279">
        <f>IF($CO279="","",IFERROR(VLOOKUP($CO279,'01_Warehouse_Ledger'!$A:$N,4,FALSE),""))</f>
        <v/>
      </c>
      <c r="CQ279">
        <f>IF($CO279="","",IFERROR(VLOOKUP($CO279,'01_Warehouse_Ledger'!$A:$N,5,FALSE),""))</f>
        <v/>
      </c>
      <c r="CR279">
        <f>IF($CO279="","",IFERROR(VLOOKUP($CO279,'01_Warehouse_Ledger'!$A:$N,13,FALSE),""))</f>
        <v/>
      </c>
      <c r="CW279">
        <f>IF($S279="","",IF(UPPER(TRIM($S279))&lt;&gt;"PASS","",IF(LEN(TRIM($BY279))&gt;0,"NOTES_PRESENT",IF(LEN(TRIM($T279))=0,"SET_NA",IF(OR(LOWER(TRIM($T279))="na",LOWER(TRIM($T279))="n/a"),"OK","MANUAL_OVERRIDE")))))</f>
        <v/>
      </c>
    </row>
    <row r="280">
      <c r="A280" t="inlineStr">
        <is>
          <t>Neuron</t>
        </is>
      </c>
      <c r="B280" s="8" t="inlineStr">
        <is>
          <t>No</t>
        </is>
      </c>
      <c r="C280" t="inlineStr">
        <is>
          <t>No</t>
        </is>
      </c>
      <c r="D280">
        <f>IF($B280&lt;&gt;"Yes","",IF($C280="No","Yes",IF($C280="Yes","No","")))</f>
        <v/>
      </c>
      <c r="E280">
        <f>IF($A280="","",IF(OR(AND($V280&lt;&gt;"",LOWER(TRIM($V280))&lt;&gt;"n/a",LOWER(TRIM($V280))&lt;&gt;"na",SUMPRODUCT(--(UPPER(TRIM($V$2:$V$518))=UPPER(TRIM($V280))),--(TRIM($V$2:$V$518)&lt;&gt;""),--(LOWER(TRIM($V$2:$V$518))&lt;&gt;"n/a"),--(LOWER(TRIM($V$2:$V$518))&lt;&gt;"na"))&gt;1),AND($W280&lt;&gt;"",LOWER(TRIM($W280))&lt;&gt;"n/a",LOWER(TRIM($W280))&lt;&gt;"na",SUMPRODUCT(--(UPPER(TRIM($W$2:$W$518))=UPPER(TRIM($W280))),--(TRIM($W$2:$W$518)&lt;&gt;""),--(LOWER(TRIM($W$2:$W$518))&lt;&gt;"n/a"),--(LOWER(TRIM($W$2:$W$518))&lt;&gt;"na"))&gt;1),AND($X280&lt;&gt;"",LOWER(TRIM($X280))&lt;&gt;"n/a",LOWER(TRIM($X280))&lt;&gt;"na",SUMPRODUCT(--(UPPER(TRIM($X$2:$X$518))=UPPER(TRIM($X280))),--(TRIM($X$2:$X$518)&lt;&gt;""),--(LOWER(TRIM($X$2:$X$518))&lt;&gt;"n/a"),--(LOWER(TRIM($X$2:$X$518))&lt;&gt;"na"))&gt;1),AND($Y280&lt;&gt;"",LOWER(TRIM($Y280))&lt;&gt;"n/a",LOWER(TRIM($Y280))&lt;&gt;"na",SUMPRODUCT(--(UPPER(SUBSTITUTE(SUBSTITUTE(TRIM($Y$2:$Y$518),":",""),"-",""))=UPPER(SUBSTITUTE(SUBSTITUTE(TRIM($Y280),":",""),"-",""))),--(TRIM($Y$2:$Y$518)&lt;&gt;""),--(LOWER(TRIM($Y$2:$Y$518))&lt;&gt;"n/a"),--(LOWER(TRIM($Y$2:$Y$518))&lt;&gt;"na"))&gt;1),AND($AB280&lt;&gt;"",LOWER(TRIM($AB280))&lt;&gt;"n/a",LOWER(TRIM($AB280))&lt;&gt;"na",SUMPRODUCT(--(UPPER(TRIM($AB$2:$AB$518))=UPPER(TRIM($AB280))),--(TRIM($AB$2:$AB$518)&lt;&gt;""),--(LOWER(TRIM($AB$2:$AB$518))&lt;&gt;"n/a"),--(LOWER(TRIM($AB$2:$AB$518))&lt;&gt;"na"))&gt;1),AND($AH280&lt;&gt;"",LOWER(TRIM($AH280))&lt;&gt;"n/a",LOWER(TRIM($AH280))&lt;&gt;"na",SUMPRODUCT(--(UPPER(SUBSTITUTE(SUBSTITUTE(TRIM($AH$2:$AH$518),":",""),"-",""))=UPPER(SUBSTITUTE(SUBSTITUTE(TRIM($AH280),":",""),"-",""))),--(TRIM($AH$2:$AH$518)&lt;&gt;""),--(LOWER(TRIM($AH$2:$AH$518))&lt;&gt;"n/a"),--(LOWER(TRIM($AH$2:$AH$518))&lt;&gt;"na"))&gt;1),AND($AP280&lt;&gt;"",LOWER(TRIM($AP280))&lt;&gt;"n/a",LOWER(TRIM($AP280))&lt;&gt;"na",SUMPRODUCT(--(UPPER(TRIM($AP$2:$AP$518))=UPPER(TRIM($AP280))),--(TRIM($AP$2:$AP$518)&lt;&gt;""),--(LOWER(TRIM($AP$2:$AP$518))&lt;&gt;"n/a"),--(LOWER(TRIM($AP$2:$AP$518))&lt;&gt;"na"))&gt;1),AND($AQ280&lt;&gt;"",LOWER(TRIM($AQ280))&lt;&gt;"n/a",LOWER(TRIM($AQ280))&lt;&gt;"na",SUMPRODUCT(--(UPPER(TRIM($AQ$2:$AQ$518))=UPPER(TRIM($AQ280))),--(TRIM($AQ$2:$AQ$518)&lt;&gt;""),--(LOWER(TRIM($AQ$2:$AQ$518))&lt;&gt;"n/a"),--(LOWER(TRIM($AQ$2:$AQ$518))&lt;&gt;"na"))&gt;1)),"Yes","No"))</f>
        <v/>
      </c>
      <c r="F280">
        <f>IF(UPPER(TRIM($B280))&lt;&gt;"YES","", IF(OR(AND($V280&lt;&gt;"", LOWER(TRIM($V280))&lt;&gt;"n/a", LOWER(TRIM($V280))&lt;&gt;"na", SUMPRODUCT(--(UPPER(TRIM($V$2:$V$518))=UPPER(TRIM($V280))), --(UPPER(TRIM($B$2:$B$518))="YES"), --(UPPER(TRIM($G$2:$G$518)&amp;TRIM($I$2:$I$518)&amp;TRIM($J$2:$J$518))&lt;&gt;UPPER(TRIM($G280)&amp;TRIM($I280)&amp;TRIM($J280))))&gt;0), AND($W280&lt;&gt;"", LOWER(TRIM($W280))&lt;&gt;"n/a", LOWER(TRIM($W280))&lt;&gt;"na", SUMPRODUCT(--(UPPER(TRIM($W$2:$W$518))=UPPER(TRIM($W280))), --(UPPER(TRIM($B$2:$B$518))="YES"), --(UPPER(TRIM($G$2:$G$518)&amp;TRIM($I$2:$I$518)&amp;TRIM($J$2:$J$518))&lt;&gt;UPPER(TRIM($G280)&amp;TRIM($I280)&amp;TRIM($J280))))&gt;0), AND($X280&lt;&gt;"", LOWER(TRIM($X280))&lt;&gt;"n/a", LOWER(TRIM($X280))&lt;&gt;"na", SUMPRODUCT(--(UPPER(TRIM($X$2:$X$518))=UPPER(TRIM($X280))), --(UPPER(TRIM($B$2:$B$518))="YES"), --(UPPER(TRIM($G$2:$G$518)&amp;TRIM($I$2:$I$518)&amp;TRIM($J$2:$J$518))&lt;&gt;UPPER(TRIM($G280)&amp;TRIM($I280)&amp;TRIM($J280))))&gt;0), AND($Y280&lt;&gt;"", LOWER(TRIM($Y280))&lt;&gt;"n/a", LOWER(TRIM($Y280))&lt;&gt;"na", SUMPRODUCT(--(UPPER(SUBSTITUTE(SUBSTITUTE(TRIM($Y$2:$Y$518),":",""),"-",""))=UPPER(SUBSTITUTE(SUBSTITUTE(TRIM($Y280),":",""),"-",""))), --(UPPER(TRIM($B$2:$B$518))="YES"), --(UPPER(TRIM($G$2:$G$518)&amp;TRIM($I$2:$I$518)&amp;TRIM($J$2:$J$518))&lt;&gt;UPPER(TRIM($G280)&amp;TRIM($I280)&amp;TRIM($J280))))&gt;0), AND($AB280&lt;&gt;"", LOWER(TRIM($AB280))&lt;&gt;"n/a", LOWER(TRIM($AB280))&lt;&gt;"na", SUMPRODUCT(--(UPPER(TRIM($AB$2:$AB$518))=UPPER(TRIM($AB280))), --(UPPER(TRIM($B$2:$B$518))="YES"), --(UPPER(TRIM($G$2:$G$518)&amp;TRIM($I$2:$I$518)&amp;TRIM($J$2:$J$518))&lt;&gt;UPPER(TRIM($G280)&amp;TRIM($I280)&amp;TRIM($J280))))&gt;0), AND($AH280&lt;&gt;"", LOWER(TRIM($AH280))&lt;&gt;"n/a", LOWER(TRIM($AH280))&lt;&gt;"na", SUMPRODUCT(--(UPPER(SUBSTITUTE(SUBSTITUTE(TRIM($AH$2:$AH$518),":",""),"-",""))=UPPER(SUBSTITUTE(SUBSTITUTE(TRIM($AH280),":",""),"-",""))), --(UPPER(TRIM($B$2:$B$518))="YES"), --(UPPER(TRIM($G$2:$G$518)&amp;TRIM($I$2:$I$518)&amp;TRIM($J$2:$J$518))&lt;&gt;UPPER(TRIM($G280)&amp;TRIM($I280)&amp;TRIM($J280))))&gt;0), AND($AP280&lt;&gt;"", LOWER(TRIM($AP280))&lt;&gt;"n/a", LOWER(TRIM($AP280))&lt;&gt;"na", SUMPRODUCT(--(UPPER(TRIM($AP$2:$AP$518))=UPPER(TRIM($AP280))), --(UPPER(TRIM($B$2:$B$518))="YES"), --(UPPER(TRIM($G$2:$G$518)&amp;TRIM($I$2:$I$518)&amp;TRIM($J$2:$J$518))&lt;&gt;UPPER(TRIM($G280)&amp;TRIM($I280)&amp;TRIM($J280))))&gt;0), AND($AQ280&lt;&gt;"", LOWER(TRIM($AQ280))&lt;&gt;"n/a", LOWER(TRIM($AQ280))&lt;&gt;"na", SUMPRODUCT(--(UPPER(TRIM($AQ$2:$AQ$518))=UPPER(TRIM($AQ280))), --(UPPER(TRIM($B$2:$B$518))="YES"), --(UPPER(TRIM($G$2:$G$518)&amp;TRIM($I$2:$I$518)&amp;TRIM($J$2:$J$518))&lt;&gt;UPPER(TRIM($G280)&amp;TRIM($I280)&amp;TRIM($J280))))&gt;0)), "Yes", "No"))</f>
        <v/>
      </c>
      <c r="G280" t="inlineStr">
        <is>
          <t>NSUH - PSP</t>
        </is>
      </c>
      <c r="H280" t="inlineStr">
        <is>
          <t>NSUH - PSP</t>
        </is>
      </c>
      <c r="I280" t="inlineStr">
        <is>
          <t>Main ORs - PSP - 2nd Floor</t>
        </is>
      </c>
      <c r="X280" t="inlineStr">
        <is>
          <t>NSUH-MACH-J</t>
        </is>
      </c>
      <c r="Y280" t="inlineStr">
        <is>
          <t>A0F5097FEE5D</t>
        </is>
      </c>
      <c r="AB280" t="inlineStr">
        <is>
          <t>WA24406276</t>
        </is>
      </c>
      <c r="AC280" t="inlineStr">
        <is>
          <t>NSUH</t>
        </is>
      </c>
      <c r="AD280" t="inlineStr">
        <is>
          <t>Yes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CD280">
        <f>IF($Y280="","",IF((IF(AND($BR280&lt;&gt;"Yes",$BR280&lt;&gt;"N/A"),"Power Cable, ","")&amp;IF(AND($BS280&lt;&gt;"Yes",$BS280&lt;&gt;"N/A"),"Battery, ","")&amp;IF(AND($AD280&lt;&gt;"Yes",$AD280&lt;&gt;"N/A"),"Firmware Download, ","")&amp;IF(AND(OR($AD280="Yes",$AD280="N/A"),$AE280&lt;&gt;"Yes",$AE280&lt;&gt;"N/A"),"Firmware Install, ","")&amp;IF(AND($CB280&lt;&gt;"Yes",$CB280&lt;&gt;"N/A"),"Device ID, ","")&amp;IF(AND($CC280&lt;&gt;"Yes",$CC280&lt;&gt;"N/A"),"Epic Beans Relay, ",""))="","",LEFT(IF(AND($BR280&lt;&gt;"Yes",$BR280&lt;&gt;"N/A"),"Power Cable, ","")&amp;IF(AND($BS280&lt;&gt;"Yes",$BS280&lt;&gt;"N/A"),"Battery, ","")&amp;IF(AND($AD280&lt;&gt;"Yes",$AD280&lt;&gt;"N/A"),"Firmware Download, ","")&amp;IF(AND(OR($AD280="Yes",$AD280="N/A"),$AE280&lt;&gt;"Yes",$AE280&lt;&gt;"N/A"),"Firmware Install, ","")&amp;IF(AND($CB280&lt;&gt;"Yes",$CB280&lt;&gt;"N/A"),"Device ID, ","")&amp;IF(AND($CC280&lt;&gt;"Yes",$CC280&lt;&gt;"N/A"),"Epic Beans Relay, ",""),LEN(IF(AND($BR280&lt;&gt;"Yes",$BR280&lt;&gt;"N/A"),"Power Cable, ","")&amp;IF(AND($BS280&lt;&gt;"Yes",$BS280&lt;&gt;"N/A"),"Battery, ","")&amp;IF(AND($AD280&lt;&gt;"Yes",$AD280&lt;&gt;"N/A"),"Firmware Download, ","")&amp;IF(AND(OR($AD280="Yes",$AD280="N/A"),$AE280&lt;&gt;"Yes",$AE280&lt;&gt;"N/A"),"Firmware Install, ","")&amp;IF(AND($CB280&lt;&gt;"Yes",$CB280&lt;&gt;"N/A"),"Device ID, ","")&amp;IF(AND($CC280&lt;&gt;"Yes",$CC280&lt;&gt;"N/A"),"Epic Beans Relay, ",""))-2)))</f>
        <v/>
      </c>
      <c r="CE280">
        <f>IF($Y280="","",IF($CD280="","Yes","Blocked"))</f>
        <v/>
      </c>
      <c r="CP280">
        <f>IF($CO280="","",IFERROR(VLOOKUP($CO280,'01_Warehouse_Ledger'!$A:$N,4,FALSE),""))</f>
        <v/>
      </c>
      <c r="CQ280">
        <f>IF($CO280="","",IFERROR(VLOOKUP($CO280,'01_Warehouse_Ledger'!$A:$N,5,FALSE),""))</f>
        <v/>
      </c>
      <c r="CR280">
        <f>IF($CO280="","",IFERROR(VLOOKUP($CO280,'01_Warehouse_Ledger'!$A:$N,13,FALSE),""))</f>
        <v/>
      </c>
      <c r="CW280">
        <f>IF($S280="","",IF(UPPER(TRIM($S280))&lt;&gt;"PASS","",IF(LEN(TRIM($BY280))&gt;0,"NOTES_PRESENT",IF(LEN(TRIM($T280))=0,"SET_NA",IF(OR(LOWER(TRIM($T280))="na",LOWER(TRIM($T280))="n/a"),"OK","MANUAL_OVERRIDE")))))</f>
        <v/>
      </c>
    </row>
    <row r="281">
      <c r="A281" t="inlineStr">
        <is>
          <t>Neuron</t>
        </is>
      </c>
      <c r="B281" s="8" t="inlineStr">
        <is>
          <t>No</t>
        </is>
      </c>
      <c r="C281" t="inlineStr">
        <is>
          <t>No</t>
        </is>
      </c>
      <c r="D281">
        <f>IF($B281&lt;&gt;"Yes","",IF($C281="No","Yes",IF($C281="Yes","No","")))</f>
        <v/>
      </c>
      <c r="E281">
        <f>IF($A281="","",IF(OR(AND($V281&lt;&gt;"",LOWER(TRIM($V281))&lt;&gt;"n/a",LOWER(TRIM($V281))&lt;&gt;"na",SUMPRODUCT(--(UPPER(TRIM($V$2:$V$518))=UPPER(TRIM($V281))),--(TRIM($V$2:$V$518)&lt;&gt;""),--(LOWER(TRIM($V$2:$V$518))&lt;&gt;"n/a"),--(LOWER(TRIM($V$2:$V$518))&lt;&gt;"na"))&gt;1),AND($W281&lt;&gt;"",LOWER(TRIM($W281))&lt;&gt;"n/a",LOWER(TRIM($W281))&lt;&gt;"na",SUMPRODUCT(--(UPPER(TRIM($W$2:$W$518))=UPPER(TRIM($W281))),--(TRIM($W$2:$W$518)&lt;&gt;""),--(LOWER(TRIM($W$2:$W$518))&lt;&gt;"n/a"),--(LOWER(TRIM($W$2:$W$518))&lt;&gt;"na"))&gt;1),AND($X281&lt;&gt;"",LOWER(TRIM($X281))&lt;&gt;"n/a",LOWER(TRIM($X281))&lt;&gt;"na",SUMPRODUCT(--(UPPER(TRIM($X$2:$X$518))=UPPER(TRIM($X281))),--(TRIM($X$2:$X$518)&lt;&gt;""),--(LOWER(TRIM($X$2:$X$518))&lt;&gt;"n/a"),--(LOWER(TRIM($X$2:$X$518))&lt;&gt;"na"))&gt;1),AND($Y281&lt;&gt;"",LOWER(TRIM($Y281))&lt;&gt;"n/a",LOWER(TRIM($Y281))&lt;&gt;"na",SUMPRODUCT(--(UPPER(SUBSTITUTE(SUBSTITUTE(TRIM($Y$2:$Y$518),":",""),"-",""))=UPPER(SUBSTITUTE(SUBSTITUTE(TRIM($Y281),":",""),"-",""))),--(TRIM($Y$2:$Y$518)&lt;&gt;""),--(LOWER(TRIM($Y$2:$Y$518))&lt;&gt;"n/a"),--(LOWER(TRIM($Y$2:$Y$518))&lt;&gt;"na"))&gt;1),AND($AB281&lt;&gt;"",LOWER(TRIM($AB281))&lt;&gt;"n/a",LOWER(TRIM($AB281))&lt;&gt;"na",SUMPRODUCT(--(UPPER(TRIM($AB$2:$AB$518))=UPPER(TRIM($AB281))),--(TRIM($AB$2:$AB$518)&lt;&gt;""),--(LOWER(TRIM($AB$2:$AB$518))&lt;&gt;"n/a"),--(LOWER(TRIM($AB$2:$AB$518))&lt;&gt;"na"))&gt;1),AND($AH281&lt;&gt;"",LOWER(TRIM($AH281))&lt;&gt;"n/a",LOWER(TRIM($AH281))&lt;&gt;"na",SUMPRODUCT(--(UPPER(SUBSTITUTE(SUBSTITUTE(TRIM($AH$2:$AH$518),":",""),"-",""))=UPPER(SUBSTITUTE(SUBSTITUTE(TRIM($AH281),":",""),"-",""))),--(TRIM($AH$2:$AH$518)&lt;&gt;""),--(LOWER(TRIM($AH$2:$AH$518))&lt;&gt;"n/a"),--(LOWER(TRIM($AH$2:$AH$518))&lt;&gt;"na"))&gt;1),AND($AP281&lt;&gt;"",LOWER(TRIM($AP281))&lt;&gt;"n/a",LOWER(TRIM($AP281))&lt;&gt;"na",SUMPRODUCT(--(UPPER(TRIM($AP$2:$AP$518))=UPPER(TRIM($AP281))),--(TRIM($AP$2:$AP$518)&lt;&gt;""),--(LOWER(TRIM($AP$2:$AP$518))&lt;&gt;"n/a"),--(LOWER(TRIM($AP$2:$AP$518))&lt;&gt;"na"))&gt;1),AND($AQ281&lt;&gt;"",LOWER(TRIM($AQ281))&lt;&gt;"n/a",LOWER(TRIM($AQ281))&lt;&gt;"na",SUMPRODUCT(--(UPPER(TRIM($AQ$2:$AQ$518))=UPPER(TRIM($AQ281))),--(TRIM($AQ$2:$AQ$518)&lt;&gt;""),--(LOWER(TRIM($AQ$2:$AQ$518))&lt;&gt;"n/a"),--(LOWER(TRIM($AQ$2:$AQ$518))&lt;&gt;"na"))&gt;1)),"Yes","No"))</f>
        <v/>
      </c>
      <c r="F281">
        <f>IF(UPPER(TRIM($B281))&lt;&gt;"YES","", IF(OR(AND($V281&lt;&gt;"", LOWER(TRIM($V281))&lt;&gt;"n/a", LOWER(TRIM($V281))&lt;&gt;"na", SUMPRODUCT(--(UPPER(TRIM($V$2:$V$518))=UPPER(TRIM($V281))), --(UPPER(TRIM($B$2:$B$518))="YES"), --(UPPER(TRIM($G$2:$G$518)&amp;TRIM($I$2:$I$518)&amp;TRIM($J$2:$J$518))&lt;&gt;UPPER(TRIM($G281)&amp;TRIM($I281)&amp;TRIM($J281))))&gt;0), AND($W281&lt;&gt;"", LOWER(TRIM($W281))&lt;&gt;"n/a", LOWER(TRIM($W281))&lt;&gt;"na", SUMPRODUCT(--(UPPER(TRIM($W$2:$W$518))=UPPER(TRIM($W281))), --(UPPER(TRIM($B$2:$B$518))="YES"), --(UPPER(TRIM($G$2:$G$518)&amp;TRIM($I$2:$I$518)&amp;TRIM($J$2:$J$518))&lt;&gt;UPPER(TRIM($G281)&amp;TRIM($I281)&amp;TRIM($J281))))&gt;0), AND($X281&lt;&gt;"", LOWER(TRIM($X281))&lt;&gt;"n/a", LOWER(TRIM($X281))&lt;&gt;"na", SUMPRODUCT(--(UPPER(TRIM($X$2:$X$518))=UPPER(TRIM($X281))), --(UPPER(TRIM($B$2:$B$518))="YES"), --(UPPER(TRIM($G$2:$G$518)&amp;TRIM($I$2:$I$518)&amp;TRIM($J$2:$J$518))&lt;&gt;UPPER(TRIM($G281)&amp;TRIM($I281)&amp;TRIM($J281))))&gt;0), AND($Y281&lt;&gt;"", LOWER(TRIM($Y281))&lt;&gt;"n/a", LOWER(TRIM($Y281))&lt;&gt;"na", SUMPRODUCT(--(UPPER(SUBSTITUTE(SUBSTITUTE(TRIM($Y$2:$Y$518),":",""),"-",""))=UPPER(SUBSTITUTE(SUBSTITUTE(TRIM($Y281),":",""),"-",""))), --(UPPER(TRIM($B$2:$B$518))="YES"), --(UPPER(TRIM($G$2:$G$518)&amp;TRIM($I$2:$I$518)&amp;TRIM($J$2:$J$518))&lt;&gt;UPPER(TRIM($G281)&amp;TRIM($I281)&amp;TRIM($J281))))&gt;0), AND($AB281&lt;&gt;"", LOWER(TRIM($AB281))&lt;&gt;"n/a", LOWER(TRIM($AB281))&lt;&gt;"na", SUMPRODUCT(--(UPPER(TRIM($AB$2:$AB$518))=UPPER(TRIM($AB281))), --(UPPER(TRIM($B$2:$B$518))="YES"), --(UPPER(TRIM($G$2:$G$518)&amp;TRIM($I$2:$I$518)&amp;TRIM($J$2:$J$518))&lt;&gt;UPPER(TRIM($G281)&amp;TRIM($I281)&amp;TRIM($J281))))&gt;0), AND($AH281&lt;&gt;"", LOWER(TRIM($AH281))&lt;&gt;"n/a", LOWER(TRIM($AH281))&lt;&gt;"na", SUMPRODUCT(--(UPPER(SUBSTITUTE(SUBSTITUTE(TRIM($AH$2:$AH$518),":",""),"-",""))=UPPER(SUBSTITUTE(SUBSTITUTE(TRIM($AH281),":",""),"-",""))), --(UPPER(TRIM($B$2:$B$518))="YES"), --(UPPER(TRIM($G$2:$G$518)&amp;TRIM($I$2:$I$518)&amp;TRIM($J$2:$J$518))&lt;&gt;UPPER(TRIM($G281)&amp;TRIM($I281)&amp;TRIM($J281))))&gt;0), AND($AP281&lt;&gt;"", LOWER(TRIM($AP281))&lt;&gt;"n/a", LOWER(TRIM($AP281))&lt;&gt;"na", SUMPRODUCT(--(UPPER(TRIM($AP$2:$AP$518))=UPPER(TRIM($AP281))), --(UPPER(TRIM($B$2:$B$518))="YES"), --(UPPER(TRIM($G$2:$G$518)&amp;TRIM($I$2:$I$518)&amp;TRIM($J$2:$J$518))&lt;&gt;UPPER(TRIM($G281)&amp;TRIM($I281)&amp;TRIM($J281))))&gt;0), AND($AQ281&lt;&gt;"", LOWER(TRIM($AQ281))&lt;&gt;"n/a", LOWER(TRIM($AQ281))&lt;&gt;"na", SUMPRODUCT(--(UPPER(TRIM($AQ$2:$AQ$518))=UPPER(TRIM($AQ281))), --(UPPER(TRIM($B$2:$B$518))="YES"), --(UPPER(TRIM($G$2:$G$518)&amp;TRIM($I$2:$I$518)&amp;TRIM($J$2:$J$518))&lt;&gt;UPPER(TRIM($G281)&amp;TRIM($I281)&amp;TRIM($J281))))&gt;0)), "Yes", "No"))</f>
        <v/>
      </c>
      <c r="G281" t="inlineStr">
        <is>
          <t>NSUH - PSP</t>
        </is>
      </c>
      <c r="H281" t="inlineStr">
        <is>
          <t>NSUH - PSP</t>
        </is>
      </c>
      <c r="I281" t="inlineStr">
        <is>
          <t>Main ORs - PSP - 2nd Floor</t>
        </is>
      </c>
      <c r="X281" t="inlineStr">
        <is>
          <t>NSUH-MACH-H</t>
        </is>
      </c>
      <c r="Y281" t="inlineStr">
        <is>
          <t>A0F5097FE16E</t>
        </is>
      </c>
      <c r="AB281" t="inlineStr">
        <is>
          <t>WA24406104</t>
        </is>
      </c>
      <c r="AC281" t="inlineStr">
        <is>
          <t>NSUH</t>
        </is>
      </c>
      <c r="AD281" t="inlineStr">
        <is>
          <t>Yes</t>
        </is>
      </c>
      <c r="AE281" t="inlineStr">
        <is>
          <t>Yes</t>
        </is>
      </c>
      <c r="AF281" t="inlineStr">
        <is>
          <t>Yes</t>
        </is>
      </c>
      <c r="AG281" t="inlineStr">
        <is>
          <t>Yes</t>
        </is>
      </c>
      <c r="CD281">
        <f>IF($Y281="","",IF((IF(AND($BR281&lt;&gt;"Yes",$BR281&lt;&gt;"N/A"),"Power Cable, ","")&amp;IF(AND($BS281&lt;&gt;"Yes",$BS281&lt;&gt;"N/A"),"Battery, ","")&amp;IF(AND($AD281&lt;&gt;"Yes",$AD281&lt;&gt;"N/A"),"Firmware Download, ","")&amp;IF(AND(OR($AD281="Yes",$AD281="N/A"),$AE281&lt;&gt;"Yes",$AE281&lt;&gt;"N/A"),"Firmware Install, ","")&amp;IF(AND($CB281&lt;&gt;"Yes",$CB281&lt;&gt;"N/A"),"Device ID, ","")&amp;IF(AND($CC281&lt;&gt;"Yes",$CC281&lt;&gt;"N/A"),"Epic Beans Relay, ",""))="","",LEFT(IF(AND($BR281&lt;&gt;"Yes",$BR281&lt;&gt;"N/A"),"Power Cable, ","")&amp;IF(AND($BS281&lt;&gt;"Yes",$BS281&lt;&gt;"N/A"),"Battery, ","")&amp;IF(AND($AD281&lt;&gt;"Yes",$AD281&lt;&gt;"N/A"),"Firmware Download, ","")&amp;IF(AND(OR($AD281="Yes",$AD281="N/A"),$AE281&lt;&gt;"Yes",$AE281&lt;&gt;"N/A"),"Firmware Install, ","")&amp;IF(AND($CB281&lt;&gt;"Yes",$CB281&lt;&gt;"N/A"),"Device ID, ","")&amp;IF(AND($CC281&lt;&gt;"Yes",$CC281&lt;&gt;"N/A"),"Epic Beans Relay, ",""),LEN(IF(AND($BR281&lt;&gt;"Yes",$BR281&lt;&gt;"N/A"),"Power Cable, ","")&amp;IF(AND($BS281&lt;&gt;"Yes",$BS281&lt;&gt;"N/A"),"Battery, ","")&amp;IF(AND($AD281&lt;&gt;"Yes",$AD281&lt;&gt;"N/A"),"Firmware Download, ","")&amp;IF(AND(OR($AD281="Yes",$AD281="N/A"),$AE281&lt;&gt;"Yes",$AE281&lt;&gt;"N/A"),"Firmware Install, ","")&amp;IF(AND($CB281&lt;&gt;"Yes",$CB281&lt;&gt;"N/A"),"Device ID, ","")&amp;IF(AND($CC281&lt;&gt;"Yes",$CC281&lt;&gt;"N/A"),"Epic Beans Relay, ",""))-2)))</f>
        <v/>
      </c>
      <c r="CE281">
        <f>IF($Y281="","",IF($CD281="","Yes","Blocked"))</f>
        <v/>
      </c>
      <c r="CP281">
        <f>IF($CO281="","",IFERROR(VLOOKUP($CO281,'01_Warehouse_Ledger'!$A:$N,4,FALSE),""))</f>
        <v/>
      </c>
      <c r="CQ281">
        <f>IF($CO281="","",IFERROR(VLOOKUP($CO281,'01_Warehouse_Ledger'!$A:$N,5,FALSE),""))</f>
        <v/>
      </c>
      <c r="CR281">
        <f>IF($CO281="","",IFERROR(VLOOKUP($CO281,'01_Warehouse_Ledger'!$A:$N,13,FALSE),""))</f>
        <v/>
      </c>
      <c r="CW281">
        <f>IF($S281="","",IF(UPPER(TRIM($S281))&lt;&gt;"PASS","",IF(LEN(TRIM($BY281))&gt;0,"NOTES_PRESENT",IF(LEN(TRIM($T281))=0,"SET_NA",IF(OR(LOWER(TRIM($T281))="na",LOWER(TRIM($T281))="n/a"),"OK","MANUAL_OVERRIDE")))))</f>
        <v/>
      </c>
    </row>
    <row r="282">
      <c r="A282" t="inlineStr">
        <is>
          <t>Neuron</t>
        </is>
      </c>
      <c r="B282" s="8" t="inlineStr">
        <is>
          <t>No</t>
        </is>
      </c>
      <c r="C282" t="inlineStr">
        <is>
          <t>No</t>
        </is>
      </c>
      <c r="D282">
        <f>IF($B282&lt;&gt;"Yes","",IF($C282="No","Yes",IF($C282="Yes","No","")))</f>
        <v/>
      </c>
      <c r="E282">
        <f>IF($A282="","",IF(OR(AND($V282&lt;&gt;"",LOWER(TRIM($V282))&lt;&gt;"n/a",LOWER(TRIM($V282))&lt;&gt;"na",SUMPRODUCT(--(UPPER(TRIM($V$2:$V$518))=UPPER(TRIM($V282))),--(TRIM($V$2:$V$518)&lt;&gt;""),--(LOWER(TRIM($V$2:$V$518))&lt;&gt;"n/a"),--(LOWER(TRIM($V$2:$V$518))&lt;&gt;"na"))&gt;1),AND($W282&lt;&gt;"",LOWER(TRIM($W282))&lt;&gt;"n/a",LOWER(TRIM($W282))&lt;&gt;"na",SUMPRODUCT(--(UPPER(TRIM($W$2:$W$518))=UPPER(TRIM($W282))),--(TRIM($W$2:$W$518)&lt;&gt;""),--(LOWER(TRIM($W$2:$W$518))&lt;&gt;"n/a"),--(LOWER(TRIM($W$2:$W$518))&lt;&gt;"na"))&gt;1),AND($X282&lt;&gt;"",LOWER(TRIM($X282))&lt;&gt;"n/a",LOWER(TRIM($X282))&lt;&gt;"na",SUMPRODUCT(--(UPPER(TRIM($X$2:$X$518))=UPPER(TRIM($X282))),--(TRIM($X$2:$X$518)&lt;&gt;""),--(LOWER(TRIM($X$2:$X$518))&lt;&gt;"n/a"),--(LOWER(TRIM($X$2:$X$518))&lt;&gt;"na"))&gt;1),AND($Y282&lt;&gt;"",LOWER(TRIM($Y282))&lt;&gt;"n/a",LOWER(TRIM($Y282))&lt;&gt;"na",SUMPRODUCT(--(UPPER(SUBSTITUTE(SUBSTITUTE(TRIM($Y$2:$Y$518),":",""),"-",""))=UPPER(SUBSTITUTE(SUBSTITUTE(TRIM($Y282),":",""),"-",""))),--(TRIM($Y$2:$Y$518)&lt;&gt;""),--(LOWER(TRIM($Y$2:$Y$518))&lt;&gt;"n/a"),--(LOWER(TRIM($Y$2:$Y$518))&lt;&gt;"na"))&gt;1),AND($AB282&lt;&gt;"",LOWER(TRIM($AB282))&lt;&gt;"n/a",LOWER(TRIM($AB282))&lt;&gt;"na",SUMPRODUCT(--(UPPER(TRIM($AB$2:$AB$518))=UPPER(TRIM($AB282))),--(TRIM($AB$2:$AB$518)&lt;&gt;""),--(LOWER(TRIM($AB$2:$AB$518))&lt;&gt;"n/a"),--(LOWER(TRIM($AB$2:$AB$518))&lt;&gt;"na"))&gt;1),AND($AH282&lt;&gt;"",LOWER(TRIM($AH282))&lt;&gt;"n/a",LOWER(TRIM($AH282))&lt;&gt;"na",SUMPRODUCT(--(UPPER(SUBSTITUTE(SUBSTITUTE(TRIM($AH$2:$AH$518),":",""),"-",""))=UPPER(SUBSTITUTE(SUBSTITUTE(TRIM($AH282),":",""),"-",""))),--(TRIM($AH$2:$AH$518)&lt;&gt;""),--(LOWER(TRIM($AH$2:$AH$518))&lt;&gt;"n/a"),--(LOWER(TRIM($AH$2:$AH$518))&lt;&gt;"na"))&gt;1),AND($AP282&lt;&gt;"",LOWER(TRIM($AP282))&lt;&gt;"n/a",LOWER(TRIM($AP282))&lt;&gt;"na",SUMPRODUCT(--(UPPER(TRIM($AP$2:$AP$518))=UPPER(TRIM($AP282))),--(TRIM($AP$2:$AP$518)&lt;&gt;""),--(LOWER(TRIM($AP$2:$AP$518))&lt;&gt;"n/a"),--(LOWER(TRIM($AP$2:$AP$518))&lt;&gt;"na"))&gt;1),AND($AQ282&lt;&gt;"",LOWER(TRIM($AQ282))&lt;&gt;"n/a",LOWER(TRIM($AQ282))&lt;&gt;"na",SUMPRODUCT(--(UPPER(TRIM($AQ$2:$AQ$518))=UPPER(TRIM($AQ282))),--(TRIM($AQ$2:$AQ$518)&lt;&gt;""),--(LOWER(TRIM($AQ$2:$AQ$518))&lt;&gt;"n/a"),--(LOWER(TRIM($AQ$2:$AQ$518))&lt;&gt;"na"))&gt;1)),"Yes","No"))</f>
        <v/>
      </c>
      <c r="F282">
        <f>IF(UPPER(TRIM($B282))&lt;&gt;"YES","", IF(OR(AND($V282&lt;&gt;"", LOWER(TRIM($V282))&lt;&gt;"n/a", LOWER(TRIM($V282))&lt;&gt;"na", SUMPRODUCT(--(UPPER(TRIM($V$2:$V$518))=UPPER(TRIM($V282))), --(UPPER(TRIM($B$2:$B$518))="YES"), --(UPPER(TRIM($G$2:$G$518)&amp;TRIM($I$2:$I$518)&amp;TRIM($J$2:$J$518))&lt;&gt;UPPER(TRIM($G282)&amp;TRIM($I282)&amp;TRIM($J282))))&gt;0), AND($W282&lt;&gt;"", LOWER(TRIM($W282))&lt;&gt;"n/a", LOWER(TRIM($W282))&lt;&gt;"na", SUMPRODUCT(--(UPPER(TRIM($W$2:$W$518))=UPPER(TRIM($W282))), --(UPPER(TRIM($B$2:$B$518))="YES"), --(UPPER(TRIM($G$2:$G$518)&amp;TRIM($I$2:$I$518)&amp;TRIM($J$2:$J$518))&lt;&gt;UPPER(TRIM($G282)&amp;TRIM($I282)&amp;TRIM($J282))))&gt;0), AND($X282&lt;&gt;"", LOWER(TRIM($X282))&lt;&gt;"n/a", LOWER(TRIM($X282))&lt;&gt;"na", SUMPRODUCT(--(UPPER(TRIM($X$2:$X$518))=UPPER(TRIM($X282))), --(UPPER(TRIM($B$2:$B$518))="YES"), --(UPPER(TRIM($G$2:$G$518)&amp;TRIM($I$2:$I$518)&amp;TRIM($J$2:$J$518))&lt;&gt;UPPER(TRIM($G282)&amp;TRIM($I282)&amp;TRIM($J282))))&gt;0), AND($Y282&lt;&gt;"", LOWER(TRIM($Y282))&lt;&gt;"n/a", LOWER(TRIM($Y282))&lt;&gt;"na", SUMPRODUCT(--(UPPER(SUBSTITUTE(SUBSTITUTE(TRIM($Y$2:$Y$518),":",""),"-",""))=UPPER(SUBSTITUTE(SUBSTITUTE(TRIM($Y282),":",""),"-",""))), --(UPPER(TRIM($B$2:$B$518))="YES"), --(UPPER(TRIM($G$2:$G$518)&amp;TRIM($I$2:$I$518)&amp;TRIM($J$2:$J$518))&lt;&gt;UPPER(TRIM($G282)&amp;TRIM($I282)&amp;TRIM($J282))))&gt;0), AND($AB282&lt;&gt;"", LOWER(TRIM($AB282))&lt;&gt;"n/a", LOWER(TRIM($AB282))&lt;&gt;"na", SUMPRODUCT(--(UPPER(TRIM($AB$2:$AB$518))=UPPER(TRIM($AB282))), --(UPPER(TRIM($B$2:$B$518))="YES"), --(UPPER(TRIM($G$2:$G$518)&amp;TRIM($I$2:$I$518)&amp;TRIM($J$2:$J$518))&lt;&gt;UPPER(TRIM($G282)&amp;TRIM($I282)&amp;TRIM($J282))))&gt;0), AND($AH282&lt;&gt;"", LOWER(TRIM($AH282))&lt;&gt;"n/a", LOWER(TRIM($AH282))&lt;&gt;"na", SUMPRODUCT(--(UPPER(SUBSTITUTE(SUBSTITUTE(TRIM($AH$2:$AH$518),":",""),"-",""))=UPPER(SUBSTITUTE(SUBSTITUTE(TRIM($AH282),":",""),"-",""))), --(UPPER(TRIM($B$2:$B$518))="YES"), --(UPPER(TRIM($G$2:$G$518)&amp;TRIM($I$2:$I$518)&amp;TRIM($J$2:$J$518))&lt;&gt;UPPER(TRIM($G282)&amp;TRIM($I282)&amp;TRIM($J282))))&gt;0), AND($AP282&lt;&gt;"", LOWER(TRIM($AP282))&lt;&gt;"n/a", LOWER(TRIM($AP282))&lt;&gt;"na", SUMPRODUCT(--(UPPER(TRIM($AP$2:$AP$518))=UPPER(TRIM($AP282))), --(UPPER(TRIM($B$2:$B$518))="YES"), --(UPPER(TRIM($G$2:$G$518)&amp;TRIM($I$2:$I$518)&amp;TRIM($J$2:$J$518))&lt;&gt;UPPER(TRIM($G282)&amp;TRIM($I282)&amp;TRIM($J282))))&gt;0), AND($AQ282&lt;&gt;"", LOWER(TRIM($AQ282))&lt;&gt;"n/a", LOWER(TRIM($AQ282))&lt;&gt;"na", SUMPRODUCT(--(UPPER(TRIM($AQ$2:$AQ$518))=UPPER(TRIM($AQ282))), --(UPPER(TRIM($B$2:$B$518))="YES"), --(UPPER(TRIM($G$2:$G$518)&amp;TRIM($I$2:$I$518)&amp;TRIM($J$2:$J$518))&lt;&gt;UPPER(TRIM($G282)&amp;TRIM($I282)&amp;TRIM($J282))))&gt;0)), "Yes", "No"))</f>
        <v/>
      </c>
      <c r="G282" t="inlineStr">
        <is>
          <t>NSUH - PSP</t>
        </is>
      </c>
      <c r="H282" t="inlineStr">
        <is>
          <t>NSUH - PSP</t>
        </is>
      </c>
      <c r="I282" t="inlineStr">
        <is>
          <t>Main ORs - PSP - 2nd Floor</t>
        </is>
      </c>
      <c r="X282" t="inlineStr">
        <is>
          <t>NSUH-MACH-LL</t>
        </is>
      </c>
      <c r="Y282" t="inlineStr">
        <is>
          <t>A0F5097FE31E</t>
        </is>
      </c>
      <c r="AB282" t="inlineStr">
        <is>
          <t>WA24406134</t>
        </is>
      </c>
      <c r="AC282" t="inlineStr">
        <is>
          <t>NSUH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I282" t="inlineStr">
        <is>
          <t>Anesthesia Machine</t>
        </is>
      </c>
      <c r="AJ282" t="n">
        <v>61369</v>
      </c>
      <c r="AM282" t="inlineStr">
        <is>
          <t>Drager</t>
        </is>
      </c>
      <c r="AN282" t="inlineStr">
        <is>
          <t>FABIUS GS PREMIUM</t>
        </is>
      </c>
      <c r="AO282" t="inlineStr">
        <is>
          <t>n/a</t>
        </is>
      </c>
      <c r="AP282" t="inlineStr">
        <is>
          <t>8607000-37ASBH-0024</t>
        </is>
      </c>
      <c r="AQ282" t="inlineStr">
        <is>
          <t>8607000-37ASBH-0024</t>
        </is>
      </c>
      <c r="AS282" t="inlineStr">
        <is>
          <t>GE CARESCAPE B450: X,Y</t>
        </is>
      </c>
      <c r="AT282" t="inlineStr">
        <is>
          <t>B1-CFB</t>
        </is>
      </c>
      <c r="AX282" t="inlineStr">
        <is>
          <t>G3 CARESCAPE B450: SNT24378492SA</t>
        </is>
      </c>
      <c r="BC282" t="n">
        <v>459992</v>
      </c>
      <c r="BD282" t="n">
        <v>61369</v>
      </c>
      <c r="CD282">
        <f>IF($Y282="","",IF((IF(AND($BR282&lt;&gt;"Yes",$BR282&lt;&gt;"N/A"),"Power Cable, ","")&amp;IF(AND($BS282&lt;&gt;"Yes",$BS282&lt;&gt;"N/A"),"Battery, ","")&amp;IF(AND($AD282&lt;&gt;"Yes",$AD282&lt;&gt;"N/A"),"Firmware Download, ","")&amp;IF(AND(OR($AD282="Yes",$AD282="N/A"),$AE282&lt;&gt;"Yes",$AE282&lt;&gt;"N/A"),"Firmware Install, ","")&amp;IF(AND($CB282&lt;&gt;"Yes",$CB282&lt;&gt;"N/A"),"Device ID, ","")&amp;IF(AND($CC282&lt;&gt;"Yes",$CC282&lt;&gt;"N/A"),"Epic Beans Relay, ",""))="","",LEFT(IF(AND($BR282&lt;&gt;"Yes",$BR282&lt;&gt;"N/A"),"Power Cable, ","")&amp;IF(AND($BS282&lt;&gt;"Yes",$BS282&lt;&gt;"N/A"),"Battery, ","")&amp;IF(AND($AD282&lt;&gt;"Yes",$AD282&lt;&gt;"N/A"),"Firmware Download, ","")&amp;IF(AND(OR($AD282="Yes",$AD282="N/A"),$AE282&lt;&gt;"Yes",$AE282&lt;&gt;"N/A"),"Firmware Install, ","")&amp;IF(AND($CB282&lt;&gt;"Yes",$CB282&lt;&gt;"N/A"),"Device ID, ","")&amp;IF(AND($CC282&lt;&gt;"Yes",$CC282&lt;&gt;"N/A"),"Epic Beans Relay, ",""),LEN(IF(AND($BR282&lt;&gt;"Yes",$BR282&lt;&gt;"N/A"),"Power Cable, ","")&amp;IF(AND($BS282&lt;&gt;"Yes",$BS282&lt;&gt;"N/A"),"Battery, ","")&amp;IF(AND($AD282&lt;&gt;"Yes",$AD282&lt;&gt;"N/A"),"Firmware Download, ","")&amp;IF(AND(OR($AD282="Yes",$AD282="N/A"),$AE282&lt;&gt;"Yes",$AE282&lt;&gt;"N/A"),"Firmware Install, ","")&amp;IF(AND($CB282&lt;&gt;"Yes",$CB282&lt;&gt;"N/A"),"Device ID, ","")&amp;IF(AND($CC282&lt;&gt;"Yes",$CC282&lt;&gt;"N/A"),"Epic Beans Relay, ",""))-2)))</f>
        <v/>
      </c>
      <c r="CE282">
        <f>IF($Y282="","",IF($CD282="","Yes","Blocked"))</f>
        <v/>
      </c>
      <c r="CP282">
        <f>IF($CO282="","",IFERROR(VLOOKUP($CO282,'01_Warehouse_Ledger'!$A:$N,4,FALSE),""))</f>
        <v/>
      </c>
      <c r="CQ282">
        <f>IF($CO282="","",IFERROR(VLOOKUP($CO282,'01_Warehouse_Ledger'!$A:$N,5,FALSE),""))</f>
        <v/>
      </c>
      <c r="CR282">
        <f>IF($CO282="","",IFERROR(VLOOKUP($CO282,'01_Warehouse_Ledger'!$A:$N,13,FALSE),""))</f>
        <v/>
      </c>
      <c r="CW282">
        <f>IF($S282="","",IF(UPPER(TRIM($S282))&lt;&gt;"PASS","",IF(LEN(TRIM($BY282))&gt;0,"NOTES_PRESENT",IF(LEN(TRIM($T282))=0,"SET_NA",IF(OR(LOWER(TRIM($T282))="na",LOWER(TRIM($T282))="n/a"),"OK","MANUAL_OVERRIDE")))))</f>
        <v/>
      </c>
    </row>
    <row r="283">
      <c r="A283" t="inlineStr">
        <is>
          <t>Neuron</t>
        </is>
      </c>
      <c r="B283" s="8" t="inlineStr">
        <is>
          <t>No</t>
        </is>
      </c>
      <c r="C283" t="inlineStr">
        <is>
          <t>No</t>
        </is>
      </c>
      <c r="D283">
        <f>IF($B283&lt;&gt;"Yes","",IF($C283="No","Yes",IF($C283="Yes","No","")))</f>
        <v/>
      </c>
      <c r="E283">
        <f>IF($A283="","",IF(OR(AND($V283&lt;&gt;"",LOWER(TRIM($V283))&lt;&gt;"n/a",LOWER(TRIM($V283))&lt;&gt;"na",SUMPRODUCT(--(UPPER(TRIM($V$2:$V$518))=UPPER(TRIM($V283))),--(TRIM($V$2:$V$518)&lt;&gt;""),--(LOWER(TRIM($V$2:$V$518))&lt;&gt;"n/a"),--(LOWER(TRIM($V$2:$V$518))&lt;&gt;"na"))&gt;1),AND($W283&lt;&gt;"",LOWER(TRIM($W283))&lt;&gt;"n/a",LOWER(TRIM($W283))&lt;&gt;"na",SUMPRODUCT(--(UPPER(TRIM($W$2:$W$518))=UPPER(TRIM($W283))),--(TRIM($W$2:$W$518)&lt;&gt;""),--(LOWER(TRIM($W$2:$W$518))&lt;&gt;"n/a"),--(LOWER(TRIM($W$2:$W$518))&lt;&gt;"na"))&gt;1),AND($X283&lt;&gt;"",LOWER(TRIM($X283))&lt;&gt;"n/a",LOWER(TRIM($X283))&lt;&gt;"na",SUMPRODUCT(--(UPPER(TRIM($X$2:$X$518))=UPPER(TRIM($X283))),--(TRIM($X$2:$X$518)&lt;&gt;""),--(LOWER(TRIM($X$2:$X$518))&lt;&gt;"n/a"),--(LOWER(TRIM($X$2:$X$518))&lt;&gt;"na"))&gt;1),AND($Y283&lt;&gt;"",LOWER(TRIM($Y283))&lt;&gt;"n/a",LOWER(TRIM($Y283))&lt;&gt;"na",SUMPRODUCT(--(UPPER(SUBSTITUTE(SUBSTITUTE(TRIM($Y$2:$Y$518),":",""),"-",""))=UPPER(SUBSTITUTE(SUBSTITUTE(TRIM($Y283),":",""),"-",""))),--(TRIM($Y$2:$Y$518)&lt;&gt;""),--(LOWER(TRIM($Y$2:$Y$518))&lt;&gt;"n/a"),--(LOWER(TRIM($Y$2:$Y$518))&lt;&gt;"na"))&gt;1),AND($AB283&lt;&gt;"",LOWER(TRIM($AB283))&lt;&gt;"n/a",LOWER(TRIM($AB283))&lt;&gt;"na",SUMPRODUCT(--(UPPER(TRIM($AB$2:$AB$518))=UPPER(TRIM($AB283))),--(TRIM($AB$2:$AB$518)&lt;&gt;""),--(LOWER(TRIM($AB$2:$AB$518))&lt;&gt;"n/a"),--(LOWER(TRIM($AB$2:$AB$518))&lt;&gt;"na"))&gt;1),AND($AH283&lt;&gt;"",LOWER(TRIM($AH283))&lt;&gt;"n/a",LOWER(TRIM($AH283))&lt;&gt;"na",SUMPRODUCT(--(UPPER(SUBSTITUTE(SUBSTITUTE(TRIM($AH$2:$AH$518),":",""),"-",""))=UPPER(SUBSTITUTE(SUBSTITUTE(TRIM($AH283),":",""),"-",""))),--(TRIM($AH$2:$AH$518)&lt;&gt;""),--(LOWER(TRIM($AH$2:$AH$518))&lt;&gt;"n/a"),--(LOWER(TRIM($AH$2:$AH$518))&lt;&gt;"na"))&gt;1),AND($AP283&lt;&gt;"",LOWER(TRIM($AP283))&lt;&gt;"n/a",LOWER(TRIM($AP283))&lt;&gt;"na",SUMPRODUCT(--(UPPER(TRIM($AP$2:$AP$518))=UPPER(TRIM($AP283))),--(TRIM($AP$2:$AP$518)&lt;&gt;""),--(LOWER(TRIM($AP$2:$AP$518))&lt;&gt;"n/a"),--(LOWER(TRIM($AP$2:$AP$518))&lt;&gt;"na"))&gt;1),AND($AQ283&lt;&gt;"",LOWER(TRIM($AQ283))&lt;&gt;"n/a",LOWER(TRIM($AQ283))&lt;&gt;"na",SUMPRODUCT(--(UPPER(TRIM($AQ$2:$AQ$518))=UPPER(TRIM($AQ283))),--(TRIM($AQ$2:$AQ$518)&lt;&gt;""),--(LOWER(TRIM($AQ$2:$AQ$518))&lt;&gt;"n/a"),--(LOWER(TRIM($AQ$2:$AQ$518))&lt;&gt;"na"))&gt;1)),"Yes","No"))</f>
        <v/>
      </c>
      <c r="F283">
        <f>IF(UPPER(TRIM($B283))&lt;&gt;"YES","", IF(OR(AND($V283&lt;&gt;"", LOWER(TRIM($V283))&lt;&gt;"n/a", LOWER(TRIM($V283))&lt;&gt;"na", SUMPRODUCT(--(UPPER(TRIM($V$2:$V$518))=UPPER(TRIM($V283))), --(UPPER(TRIM($B$2:$B$518))="YES"), --(UPPER(TRIM($G$2:$G$518)&amp;TRIM($I$2:$I$518)&amp;TRIM($J$2:$J$518))&lt;&gt;UPPER(TRIM($G283)&amp;TRIM($I283)&amp;TRIM($J283))))&gt;0), AND($W283&lt;&gt;"", LOWER(TRIM($W283))&lt;&gt;"n/a", LOWER(TRIM($W283))&lt;&gt;"na", SUMPRODUCT(--(UPPER(TRIM($W$2:$W$518))=UPPER(TRIM($W283))), --(UPPER(TRIM($B$2:$B$518))="YES"), --(UPPER(TRIM($G$2:$G$518)&amp;TRIM($I$2:$I$518)&amp;TRIM($J$2:$J$518))&lt;&gt;UPPER(TRIM($G283)&amp;TRIM($I283)&amp;TRIM($J283))))&gt;0), AND($X283&lt;&gt;"", LOWER(TRIM($X283))&lt;&gt;"n/a", LOWER(TRIM($X283))&lt;&gt;"na", SUMPRODUCT(--(UPPER(TRIM($X$2:$X$518))=UPPER(TRIM($X283))), --(UPPER(TRIM($B$2:$B$518))="YES"), --(UPPER(TRIM($G$2:$G$518)&amp;TRIM($I$2:$I$518)&amp;TRIM($J$2:$J$518))&lt;&gt;UPPER(TRIM($G283)&amp;TRIM($I283)&amp;TRIM($J283))))&gt;0), AND($Y283&lt;&gt;"", LOWER(TRIM($Y283))&lt;&gt;"n/a", LOWER(TRIM($Y283))&lt;&gt;"na", SUMPRODUCT(--(UPPER(SUBSTITUTE(SUBSTITUTE(TRIM($Y$2:$Y$518),":",""),"-",""))=UPPER(SUBSTITUTE(SUBSTITUTE(TRIM($Y283),":",""),"-",""))), --(UPPER(TRIM($B$2:$B$518))="YES"), --(UPPER(TRIM($G$2:$G$518)&amp;TRIM($I$2:$I$518)&amp;TRIM($J$2:$J$518))&lt;&gt;UPPER(TRIM($G283)&amp;TRIM($I283)&amp;TRIM($J283))))&gt;0), AND($AB283&lt;&gt;"", LOWER(TRIM($AB283))&lt;&gt;"n/a", LOWER(TRIM($AB283))&lt;&gt;"na", SUMPRODUCT(--(UPPER(TRIM($AB$2:$AB$518))=UPPER(TRIM($AB283))), --(UPPER(TRIM($B$2:$B$518))="YES"), --(UPPER(TRIM($G$2:$G$518)&amp;TRIM($I$2:$I$518)&amp;TRIM($J$2:$J$518))&lt;&gt;UPPER(TRIM($G283)&amp;TRIM($I283)&amp;TRIM($J283))))&gt;0), AND($AH283&lt;&gt;"", LOWER(TRIM($AH283))&lt;&gt;"n/a", LOWER(TRIM($AH283))&lt;&gt;"na", SUMPRODUCT(--(UPPER(SUBSTITUTE(SUBSTITUTE(TRIM($AH$2:$AH$518),":",""),"-",""))=UPPER(SUBSTITUTE(SUBSTITUTE(TRIM($AH283),":",""),"-",""))), --(UPPER(TRIM($B$2:$B$518))="YES"), --(UPPER(TRIM($G$2:$G$518)&amp;TRIM($I$2:$I$518)&amp;TRIM($J$2:$J$518))&lt;&gt;UPPER(TRIM($G283)&amp;TRIM($I283)&amp;TRIM($J283))))&gt;0), AND($AP283&lt;&gt;"", LOWER(TRIM($AP283))&lt;&gt;"n/a", LOWER(TRIM($AP283))&lt;&gt;"na", SUMPRODUCT(--(UPPER(TRIM($AP$2:$AP$518))=UPPER(TRIM($AP283))), --(UPPER(TRIM($B$2:$B$518))="YES"), --(UPPER(TRIM($G$2:$G$518)&amp;TRIM($I$2:$I$518)&amp;TRIM($J$2:$J$518))&lt;&gt;UPPER(TRIM($G283)&amp;TRIM($I283)&amp;TRIM($J283))))&gt;0), AND($AQ283&lt;&gt;"", LOWER(TRIM($AQ283))&lt;&gt;"n/a", LOWER(TRIM($AQ283))&lt;&gt;"na", SUMPRODUCT(--(UPPER(TRIM($AQ$2:$AQ$518))=UPPER(TRIM($AQ283))), --(UPPER(TRIM($B$2:$B$518))="YES"), --(UPPER(TRIM($G$2:$G$518)&amp;TRIM($I$2:$I$518)&amp;TRIM($J$2:$J$518))&lt;&gt;UPPER(TRIM($G283)&amp;TRIM($I283)&amp;TRIM($J283))))&gt;0)), "Yes", "No"))</f>
        <v/>
      </c>
      <c r="G283" t="inlineStr">
        <is>
          <t>NSUH - PSP</t>
        </is>
      </c>
      <c r="H283" t="inlineStr">
        <is>
          <t>NSUH - PSP</t>
        </is>
      </c>
      <c r="I283" t="inlineStr">
        <is>
          <t>Main ORs - PSP - 2nd Floor</t>
        </is>
      </c>
      <c r="X283" t="inlineStr">
        <is>
          <t>NSUH-MACH-K</t>
        </is>
      </c>
      <c r="Y283" t="inlineStr">
        <is>
          <t>A0F5097FEA46</t>
        </is>
      </c>
      <c r="AB283" t="inlineStr">
        <is>
          <t>WA24406186</t>
        </is>
      </c>
      <c r="AC283" t="inlineStr">
        <is>
          <t>NSUH</t>
        </is>
      </c>
      <c r="AD283" t="inlineStr">
        <is>
          <t>Yes</t>
        </is>
      </c>
      <c r="AE283" t="inlineStr">
        <is>
          <t>Yes</t>
        </is>
      </c>
      <c r="AF283" t="inlineStr">
        <is>
          <t>Yes</t>
        </is>
      </c>
      <c r="AG283" t="inlineStr">
        <is>
          <t>Yes</t>
        </is>
      </c>
      <c r="CD283">
        <f>IF($Y283="","",IF((IF(AND($BR283&lt;&gt;"Yes",$BR283&lt;&gt;"N/A"),"Power Cable, ","")&amp;IF(AND($BS283&lt;&gt;"Yes",$BS283&lt;&gt;"N/A"),"Battery, ","")&amp;IF(AND($AD283&lt;&gt;"Yes",$AD283&lt;&gt;"N/A"),"Firmware Download, ","")&amp;IF(AND(OR($AD283="Yes",$AD283="N/A"),$AE283&lt;&gt;"Yes",$AE283&lt;&gt;"N/A"),"Firmware Install, ","")&amp;IF(AND($CB283&lt;&gt;"Yes",$CB283&lt;&gt;"N/A"),"Device ID, ","")&amp;IF(AND($CC283&lt;&gt;"Yes",$CC283&lt;&gt;"N/A"),"Epic Beans Relay, ",""))="","",LEFT(IF(AND($BR283&lt;&gt;"Yes",$BR283&lt;&gt;"N/A"),"Power Cable, ","")&amp;IF(AND($BS283&lt;&gt;"Yes",$BS283&lt;&gt;"N/A"),"Battery, ","")&amp;IF(AND($AD283&lt;&gt;"Yes",$AD283&lt;&gt;"N/A"),"Firmware Download, ","")&amp;IF(AND(OR($AD283="Yes",$AD283="N/A"),$AE283&lt;&gt;"Yes",$AE283&lt;&gt;"N/A"),"Firmware Install, ","")&amp;IF(AND($CB283&lt;&gt;"Yes",$CB283&lt;&gt;"N/A"),"Device ID, ","")&amp;IF(AND($CC283&lt;&gt;"Yes",$CC283&lt;&gt;"N/A"),"Epic Beans Relay, ",""),LEN(IF(AND($BR283&lt;&gt;"Yes",$BR283&lt;&gt;"N/A"),"Power Cable, ","")&amp;IF(AND($BS283&lt;&gt;"Yes",$BS283&lt;&gt;"N/A"),"Battery, ","")&amp;IF(AND($AD283&lt;&gt;"Yes",$AD283&lt;&gt;"N/A"),"Firmware Download, ","")&amp;IF(AND(OR($AD283="Yes",$AD283="N/A"),$AE283&lt;&gt;"Yes",$AE283&lt;&gt;"N/A"),"Firmware Install, ","")&amp;IF(AND($CB283&lt;&gt;"Yes",$CB283&lt;&gt;"N/A"),"Device ID, ","")&amp;IF(AND($CC283&lt;&gt;"Yes",$CC283&lt;&gt;"N/A"),"Epic Beans Relay, ",""))-2)))</f>
        <v/>
      </c>
      <c r="CE283">
        <f>IF($Y283="","",IF($CD283="","Yes","Blocked"))</f>
        <v/>
      </c>
      <c r="CP283">
        <f>IF($CO283="","",IFERROR(VLOOKUP($CO283,'01_Warehouse_Ledger'!$A:$N,4,FALSE),""))</f>
        <v/>
      </c>
      <c r="CQ283">
        <f>IF($CO283="","",IFERROR(VLOOKUP($CO283,'01_Warehouse_Ledger'!$A:$N,5,FALSE),""))</f>
        <v/>
      </c>
      <c r="CR283">
        <f>IF($CO283="","",IFERROR(VLOOKUP($CO283,'01_Warehouse_Ledger'!$A:$N,13,FALSE),""))</f>
        <v/>
      </c>
      <c r="CW283">
        <f>IF($S283="","",IF(UPPER(TRIM($S283))&lt;&gt;"PASS","",IF(LEN(TRIM($BY283))&gt;0,"NOTES_PRESENT",IF(LEN(TRIM($T283))=0,"SET_NA",IF(OR(LOWER(TRIM($T283))="na",LOWER(TRIM($T283))="n/a"),"OK","MANUAL_OVERRIDE")))))</f>
        <v/>
      </c>
    </row>
    <row r="284">
      <c r="A284" t="inlineStr">
        <is>
          <t>Neuron</t>
        </is>
      </c>
      <c r="B284" s="8" t="inlineStr">
        <is>
          <t>No</t>
        </is>
      </c>
      <c r="C284" t="inlineStr">
        <is>
          <t>No</t>
        </is>
      </c>
      <c r="D284">
        <f>IF($B284&lt;&gt;"Yes","",IF($C284="No","Yes",IF($C284="Yes","No","")))</f>
        <v/>
      </c>
      <c r="E284">
        <f>IF($A284="","",IF(OR(AND($V284&lt;&gt;"",LOWER(TRIM($V284))&lt;&gt;"n/a",LOWER(TRIM($V284))&lt;&gt;"na",SUMPRODUCT(--(UPPER(TRIM($V$2:$V$518))=UPPER(TRIM($V284))),--(TRIM($V$2:$V$518)&lt;&gt;""),--(LOWER(TRIM($V$2:$V$518))&lt;&gt;"n/a"),--(LOWER(TRIM($V$2:$V$518))&lt;&gt;"na"))&gt;1),AND($W284&lt;&gt;"",LOWER(TRIM($W284))&lt;&gt;"n/a",LOWER(TRIM($W284))&lt;&gt;"na",SUMPRODUCT(--(UPPER(TRIM($W$2:$W$518))=UPPER(TRIM($W284))),--(TRIM($W$2:$W$518)&lt;&gt;""),--(LOWER(TRIM($W$2:$W$518))&lt;&gt;"n/a"),--(LOWER(TRIM($W$2:$W$518))&lt;&gt;"na"))&gt;1),AND($X284&lt;&gt;"",LOWER(TRIM($X284))&lt;&gt;"n/a",LOWER(TRIM($X284))&lt;&gt;"na",SUMPRODUCT(--(UPPER(TRIM($X$2:$X$518))=UPPER(TRIM($X284))),--(TRIM($X$2:$X$518)&lt;&gt;""),--(LOWER(TRIM($X$2:$X$518))&lt;&gt;"n/a"),--(LOWER(TRIM($X$2:$X$518))&lt;&gt;"na"))&gt;1),AND($Y284&lt;&gt;"",LOWER(TRIM($Y284))&lt;&gt;"n/a",LOWER(TRIM($Y284))&lt;&gt;"na",SUMPRODUCT(--(UPPER(SUBSTITUTE(SUBSTITUTE(TRIM($Y$2:$Y$518),":",""),"-",""))=UPPER(SUBSTITUTE(SUBSTITUTE(TRIM($Y284),":",""),"-",""))),--(TRIM($Y$2:$Y$518)&lt;&gt;""),--(LOWER(TRIM($Y$2:$Y$518))&lt;&gt;"n/a"),--(LOWER(TRIM($Y$2:$Y$518))&lt;&gt;"na"))&gt;1),AND($AB284&lt;&gt;"",LOWER(TRIM($AB284))&lt;&gt;"n/a",LOWER(TRIM($AB284))&lt;&gt;"na",SUMPRODUCT(--(UPPER(TRIM($AB$2:$AB$518))=UPPER(TRIM($AB284))),--(TRIM($AB$2:$AB$518)&lt;&gt;""),--(LOWER(TRIM($AB$2:$AB$518))&lt;&gt;"n/a"),--(LOWER(TRIM($AB$2:$AB$518))&lt;&gt;"na"))&gt;1),AND($AH284&lt;&gt;"",LOWER(TRIM($AH284))&lt;&gt;"n/a",LOWER(TRIM($AH284))&lt;&gt;"na",SUMPRODUCT(--(UPPER(SUBSTITUTE(SUBSTITUTE(TRIM($AH$2:$AH$518),":",""),"-",""))=UPPER(SUBSTITUTE(SUBSTITUTE(TRIM($AH284),":",""),"-",""))),--(TRIM($AH$2:$AH$518)&lt;&gt;""),--(LOWER(TRIM($AH$2:$AH$518))&lt;&gt;"n/a"),--(LOWER(TRIM($AH$2:$AH$518))&lt;&gt;"na"))&gt;1),AND($AP284&lt;&gt;"",LOWER(TRIM($AP284))&lt;&gt;"n/a",LOWER(TRIM($AP284))&lt;&gt;"na",SUMPRODUCT(--(UPPER(TRIM($AP$2:$AP$518))=UPPER(TRIM($AP284))),--(TRIM($AP$2:$AP$518)&lt;&gt;""),--(LOWER(TRIM($AP$2:$AP$518))&lt;&gt;"n/a"),--(LOWER(TRIM($AP$2:$AP$518))&lt;&gt;"na"))&gt;1),AND($AQ284&lt;&gt;"",LOWER(TRIM($AQ284))&lt;&gt;"n/a",LOWER(TRIM($AQ284))&lt;&gt;"na",SUMPRODUCT(--(UPPER(TRIM($AQ$2:$AQ$518))=UPPER(TRIM($AQ284))),--(TRIM($AQ$2:$AQ$518)&lt;&gt;""),--(LOWER(TRIM($AQ$2:$AQ$518))&lt;&gt;"n/a"),--(LOWER(TRIM($AQ$2:$AQ$518))&lt;&gt;"na"))&gt;1)),"Yes","No"))</f>
        <v/>
      </c>
      <c r="F284">
        <f>IF(UPPER(TRIM($B284))&lt;&gt;"YES","", IF(OR(AND($V284&lt;&gt;"", LOWER(TRIM($V284))&lt;&gt;"n/a", LOWER(TRIM($V284))&lt;&gt;"na", SUMPRODUCT(--(UPPER(TRIM($V$2:$V$518))=UPPER(TRIM($V284))), --(UPPER(TRIM($B$2:$B$518))="YES"), --(UPPER(TRIM($G$2:$G$518)&amp;TRIM($I$2:$I$518)&amp;TRIM($J$2:$J$518))&lt;&gt;UPPER(TRIM($G284)&amp;TRIM($I284)&amp;TRIM($J284))))&gt;0), AND($W284&lt;&gt;"", LOWER(TRIM($W284))&lt;&gt;"n/a", LOWER(TRIM($W284))&lt;&gt;"na", SUMPRODUCT(--(UPPER(TRIM($W$2:$W$518))=UPPER(TRIM($W284))), --(UPPER(TRIM($B$2:$B$518))="YES"), --(UPPER(TRIM($G$2:$G$518)&amp;TRIM($I$2:$I$518)&amp;TRIM($J$2:$J$518))&lt;&gt;UPPER(TRIM($G284)&amp;TRIM($I284)&amp;TRIM($J284))))&gt;0), AND($X284&lt;&gt;"", LOWER(TRIM($X284))&lt;&gt;"n/a", LOWER(TRIM($X284))&lt;&gt;"na", SUMPRODUCT(--(UPPER(TRIM($X$2:$X$518))=UPPER(TRIM($X284))), --(UPPER(TRIM($B$2:$B$518))="YES"), --(UPPER(TRIM($G$2:$G$518)&amp;TRIM($I$2:$I$518)&amp;TRIM($J$2:$J$518))&lt;&gt;UPPER(TRIM($G284)&amp;TRIM($I284)&amp;TRIM($J284))))&gt;0), AND($Y284&lt;&gt;"", LOWER(TRIM($Y284))&lt;&gt;"n/a", LOWER(TRIM($Y284))&lt;&gt;"na", SUMPRODUCT(--(UPPER(SUBSTITUTE(SUBSTITUTE(TRIM($Y$2:$Y$518),":",""),"-",""))=UPPER(SUBSTITUTE(SUBSTITUTE(TRIM($Y284),":",""),"-",""))), --(UPPER(TRIM($B$2:$B$518))="YES"), --(UPPER(TRIM($G$2:$G$518)&amp;TRIM($I$2:$I$518)&amp;TRIM($J$2:$J$518))&lt;&gt;UPPER(TRIM($G284)&amp;TRIM($I284)&amp;TRIM($J284))))&gt;0), AND($AB284&lt;&gt;"", LOWER(TRIM($AB284))&lt;&gt;"n/a", LOWER(TRIM($AB284))&lt;&gt;"na", SUMPRODUCT(--(UPPER(TRIM($AB$2:$AB$518))=UPPER(TRIM($AB284))), --(UPPER(TRIM($B$2:$B$518))="YES"), --(UPPER(TRIM($G$2:$G$518)&amp;TRIM($I$2:$I$518)&amp;TRIM($J$2:$J$518))&lt;&gt;UPPER(TRIM($G284)&amp;TRIM($I284)&amp;TRIM($J284))))&gt;0), AND($AH284&lt;&gt;"", LOWER(TRIM($AH284))&lt;&gt;"n/a", LOWER(TRIM($AH284))&lt;&gt;"na", SUMPRODUCT(--(UPPER(SUBSTITUTE(SUBSTITUTE(TRIM($AH$2:$AH$518),":",""),"-",""))=UPPER(SUBSTITUTE(SUBSTITUTE(TRIM($AH284),":",""),"-",""))), --(UPPER(TRIM($B$2:$B$518))="YES"), --(UPPER(TRIM($G$2:$G$518)&amp;TRIM($I$2:$I$518)&amp;TRIM($J$2:$J$518))&lt;&gt;UPPER(TRIM($G284)&amp;TRIM($I284)&amp;TRIM($J284))))&gt;0), AND($AP284&lt;&gt;"", LOWER(TRIM($AP284))&lt;&gt;"n/a", LOWER(TRIM($AP284))&lt;&gt;"na", SUMPRODUCT(--(UPPER(TRIM($AP$2:$AP$518))=UPPER(TRIM($AP284))), --(UPPER(TRIM($B$2:$B$518))="YES"), --(UPPER(TRIM($G$2:$G$518)&amp;TRIM($I$2:$I$518)&amp;TRIM($J$2:$J$518))&lt;&gt;UPPER(TRIM($G284)&amp;TRIM($I284)&amp;TRIM($J284))))&gt;0), AND($AQ284&lt;&gt;"", LOWER(TRIM($AQ284))&lt;&gt;"n/a", LOWER(TRIM($AQ284))&lt;&gt;"na", SUMPRODUCT(--(UPPER(TRIM($AQ$2:$AQ$518))=UPPER(TRIM($AQ284))), --(UPPER(TRIM($B$2:$B$518))="YES"), --(UPPER(TRIM($G$2:$G$518)&amp;TRIM($I$2:$I$518)&amp;TRIM($J$2:$J$518))&lt;&gt;UPPER(TRIM($G284)&amp;TRIM($I284)&amp;TRIM($J284))))&gt;0)), "Yes", "No"))</f>
        <v/>
      </c>
      <c r="G284" t="inlineStr">
        <is>
          <t>NSUH - PSP</t>
        </is>
      </c>
      <c r="H284" t="inlineStr">
        <is>
          <t>NSUH - PSP</t>
        </is>
      </c>
      <c r="I284" t="inlineStr">
        <is>
          <t>Main ORs - PSP - 2nd Floor</t>
        </is>
      </c>
      <c r="X284" t="inlineStr">
        <is>
          <t>NSUH-MACH-AAB</t>
        </is>
      </c>
      <c r="Y284" t="inlineStr">
        <is>
          <t>A0F5097FF01A</t>
        </is>
      </c>
      <c r="AB284" t="inlineStr">
        <is>
          <t>WA24406228</t>
        </is>
      </c>
      <c r="AC284" t="inlineStr">
        <is>
          <t>NSUH</t>
        </is>
      </c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</t>
        </is>
      </c>
      <c r="CD284">
        <f>IF($Y284="","",IF((IF(AND($BR284&lt;&gt;"Yes",$BR284&lt;&gt;"N/A"),"Power Cable, ","")&amp;IF(AND($BS284&lt;&gt;"Yes",$BS284&lt;&gt;"N/A"),"Battery, ","")&amp;IF(AND($AD284&lt;&gt;"Yes",$AD284&lt;&gt;"N/A"),"Firmware Download, ","")&amp;IF(AND(OR($AD284="Yes",$AD284="N/A"),$AE284&lt;&gt;"Yes",$AE284&lt;&gt;"N/A"),"Firmware Install, ","")&amp;IF(AND($CB284&lt;&gt;"Yes",$CB284&lt;&gt;"N/A"),"Device ID, ","")&amp;IF(AND($CC284&lt;&gt;"Yes",$CC284&lt;&gt;"N/A"),"Epic Beans Relay, ",""))="","",LEFT(IF(AND($BR284&lt;&gt;"Yes",$BR284&lt;&gt;"N/A"),"Power Cable, ","")&amp;IF(AND($BS284&lt;&gt;"Yes",$BS284&lt;&gt;"N/A"),"Battery, ","")&amp;IF(AND($AD284&lt;&gt;"Yes",$AD284&lt;&gt;"N/A"),"Firmware Download, ","")&amp;IF(AND(OR($AD284="Yes",$AD284="N/A"),$AE284&lt;&gt;"Yes",$AE284&lt;&gt;"N/A"),"Firmware Install, ","")&amp;IF(AND($CB284&lt;&gt;"Yes",$CB284&lt;&gt;"N/A"),"Device ID, ","")&amp;IF(AND($CC284&lt;&gt;"Yes",$CC284&lt;&gt;"N/A"),"Epic Beans Relay, ",""),LEN(IF(AND($BR284&lt;&gt;"Yes",$BR284&lt;&gt;"N/A"),"Power Cable, ","")&amp;IF(AND($BS284&lt;&gt;"Yes",$BS284&lt;&gt;"N/A"),"Battery, ","")&amp;IF(AND($AD284&lt;&gt;"Yes",$AD284&lt;&gt;"N/A"),"Firmware Download, ","")&amp;IF(AND(OR($AD284="Yes",$AD284="N/A"),$AE284&lt;&gt;"Yes",$AE284&lt;&gt;"N/A"),"Firmware Install, ","")&amp;IF(AND($CB284&lt;&gt;"Yes",$CB284&lt;&gt;"N/A"),"Device ID, ","")&amp;IF(AND($CC284&lt;&gt;"Yes",$CC284&lt;&gt;"N/A"),"Epic Beans Relay, ",""))-2)))</f>
        <v/>
      </c>
      <c r="CE284">
        <f>IF($Y284="","",IF($CD284="","Yes","Blocked"))</f>
        <v/>
      </c>
      <c r="CP284">
        <f>IF($CO284="","",IFERROR(VLOOKUP($CO284,'01_Warehouse_Ledger'!$A:$N,4,FALSE),""))</f>
        <v/>
      </c>
      <c r="CQ284">
        <f>IF($CO284="","",IFERROR(VLOOKUP($CO284,'01_Warehouse_Ledger'!$A:$N,5,FALSE),""))</f>
        <v/>
      </c>
      <c r="CR284">
        <f>IF($CO284="","",IFERROR(VLOOKUP($CO284,'01_Warehouse_Ledger'!$A:$N,13,FALSE),""))</f>
        <v/>
      </c>
      <c r="CW284">
        <f>IF($S284="","",IF(UPPER(TRIM($S284))&lt;&gt;"PASS","",IF(LEN(TRIM($BY284))&gt;0,"NOTES_PRESENT",IF(LEN(TRIM($T284))=0,"SET_NA",IF(OR(LOWER(TRIM($T284))="na",LOWER(TRIM($T284))="n/a"),"OK","MANUAL_OVERRIDE")))))</f>
        <v/>
      </c>
    </row>
    <row r="285">
      <c r="A285" t="inlineStr">
        <is>
          <t>Neuron</t>
        </is>
      </c>
      <c r="B285" s="8" t="inlineStr">
        <is>
          <t>No</t>
        </is>
      </c>
      <c r="C285" t="inlineStr">
        <is>
          <t>No</t>
        </is>
      </c>
      <c r="D285">
        <f>IF($B285&lt;&gt;"Yes","",IF($C285="No","Yes",IF($C285="Yes","No","")))</f>
        <v/>
      </c>
      <c r="E285">
        <f>IF($A285="","",IF(OR(AND($V285&lt;&gt;"",LOWER(TRIM($V285))&lt;&gt;"n/a",LOWER(TRIM($V285))&lt;&gt;"na",SUMPRODUCT(--(UPPER(TRIM($V$2:$V$518))=UPPER(TRIM($V285))),--(TRIM($V$2:$V$518)&lt;&gt;""),--(LOWER(TRIM($V$2:$V$518))&lt;&gt;"n/a"),--(LOWER(TRIM($V$2:$V$518))&lt;&gt;"na"))&gt;1),AND($W285&lt;&gt;"",LOWER(TRIM($W285))&lt;&gt;"n/a",LOWER(TRIM($W285))&lt;&gt;"na",SUMPRODUCT(--(UPPER(TRIM($W$2:$W$518))=UPPER(TRIM($W285))),--(TRIM($W$2:$W$518)&lt;&gt;""),--(LOWER(TRIM($W$2:$W$518))&lt;&gt;"n/a"),--(LOWER(TRIM($W$2:$W$518))&lt;&gt;"na"))&gt;1),AND($X285&lt;&gt;"",LOWER(TRIM($X285))&lt;&gt;"n/a",LOWER(TRIM($X285))&lt;&gt;"na",SUMPRODUCT(--(UPPER(TRIM($X$2:$X$518))=UPPER(TRIM($X285))),--(TRIM($X$2:$X$518)&lt;&gt;""),--(LOWER(TRIM($X$2:$X$518))&lt;&gt;"n/a"),--(LOWER(TRIM($X$2:$X$518))&lt;&gt;"na"))&gt;1),AND($Y285&lt;&gt;"",LOWER(TRIM($Y285))&lt;&gt;"n/a",LOWER(TRIM($Y285))&lt;&gt;"na",SUMPRODUCT(--(UPPER(SUBSTITUTE(SUBSTITUTE(TRIM($Y$2:$Y$518),":",""),"-",""))=UPPER(SUBSTITUTE(SUBSTITUTE(TRIM($Y285),":",""),"-",""))),--(TRIM($Y$2:$Y$518)&lt;&gt;""),--(LOWER(TRIM($Y$2:$Y$518))&lt;&gt;"n/a"),--(LOWER(TRIM($Y$2:$Y$518))&lt;&gt;"na"))&gt;1),AND($AB285&lt;&gt;"",LOWER(TRIM($AB285))&lt;&gt;"n/a",LOWER(TRIM($AB285))&lt;&gt;"na",SUMPRODUCT(--(UPPER(TRIM($AB$2:$AB$518))=UPPER(TRIM($AB285))),--(TRIM($AB$2:$AB$518)&lt;&gt;""),--(LOWER(TRIM($AB$2:$AB$518))&lt;&gt;"n/a"),--(LOWER(TRIM($AB$2:$AB$518))&lt;&gt;"na"))&gt;1),AND($AH285&lt;&gt;"",LOWER(TRIM($AH285))&lt;&gt;"n/a",LOWER(TRIM($AH285))&lt;&gt;"na",SUMPRODUCT(--(UPPER(SUBSTITUTE(SUBSTITUTE(TRIM($AH$2:$AH$518),":",""),"-",""))=UPPER(SUBSTITUTE(SUBSTITUTE(TRIM($AH285),":",""),"-",""))),--(TRIM($AH$2:$AH$518)&lt;&gt;""),--(LOWER(TRIM($AH$2:$AH$518))&lt;&gt;"n/a"),--(LOWER(TRIM($AH$2:$AH$518))&lt;&gt;"na"))&gt;1),AND($AP285&lt;&gt;"",LOWER(TRIM($AP285))&lt;&gt;"n/a",LOWER(TRIM($AP285))&lt;&gt;"na",SUMPRODUCT(--(UPPER(TRIM($AP$2:$AP$518))=UPPER(TRIM($AP285))),--(TRIM($AP$2:$AP$518)&lt;&gt;""),--(LOWER(TRIM($AP$2:$AP$518))&lt;&gt;"n/a"),--(LOWER(TRIM($AP$2:$AP$518))&lt;&gt;"na"))&gt;1),AND($AQ285&lt;&gt;"",LOWER(TRIM($AQ285))&lt;&gt;"n/a",LOWER(TRIM($AQ285))&lt;&gt;"na",SUMPRODUCT(--(UPPER(TRIM($AQ$2:$AQ$518))=UPPER(TRIM($AQ285))),--(TRIM($AQ$2:$AQ$518)&lt;&gt;""),--(LOWER(TRIM($AQ$2:$AQ$518))&lt;&gt;"n/a"),--(LOWER(TRIM($AQ$2:$AQ$518))&lt;&gt;"na"))&gt;1)),"Yes","No"))</f>
        <v/>
      </c>
      <c r="F285">
        <f>IF(UPPER(TRIM($B285))&lt;&gt;"YES","", IF(OR(AND($V285&lt;&gt;"", LOWER(TRIM($V285))&lt;&gt;"n/a", LOWER(TRIM($V285))&lt;&gt;"na", SUMPRODUCT(--(UPPER(TRIM($V$2:$V$518))=UPPER(TRIM($V285))), --(UPPER(TRIM($B$2:$B$518))="YES"), --(UPPER(TRIM($G$2:$G$518)&amp;TRIM($I$2:$I$518)&amp;TRIM($J$2:$J$518))&lt;&gt;UPPER(TRIM($G285)&amp;TRIM($I285)&amp;TRIM($J285))))&gt;0), AND($W285&lt;&gt;"", LOWER(TRIM($W285))&lt;&gt;"n/a", LOWER(TRIM($W285))&lt;&gt;"na", SUMPRODUCT(--(UPPER(TRIM($W$2:$W$518))=UPPER(TRIM($W285))), --(UPPER(TRIM($B$2:$B$518))="YES"), --(UPPER(TRIM($G$2:$G$518)&amp;TRIM($I$2:$I$518)&amp;TRIM($J$2:$J$518))&lt;&gt;UPPER(TRIM($G285)&amp;TRIM($I285)&amp;TRIM($J285))))&gt;0), AND($X285&lt;&gt;"", LOWER(TRIM($X285))&lt;&gt;"n/a", LOWER(TRIM($X285))&lt;&gt;"na", SUMPRODUCT(--(UPPER(TRIM($X$2:$X$518))=UPPER(TRIM($X285))), --(UPPER(TRIM($B$2:$B$518))="YES"), --(UPPER(TRIM($G$2:$G$518)&amp;TRIM($I$2:$I$518)&amp;TRIM($J$2:$J$518))&lt;&gt;UPPER(TRIM($G285)&amp;TRIM($I285)&amp;TRIM($J285))))&gt;0), AND($Y285&lt;&gt;"", LOWER(TRIM($Y285))&lt;&gt;"n/a", LOWER(TRIM($Y285))&lt;&gt;"na", SUMPRODUCT(--(UPPER(SUBSTITUTE(SUBSTITUTE(TRIM($Y$2:$Y$518),":",""),"-",""))=UPPER(SUBSTITUTE(SUBSTITUTE(TRIM($Y285),":",""),"-",""))), --(UPPER(TRIM($B$2:$B$518))="YES"), --(UPPER(TRIM($G$2:$G$518)&amp;TRIM($I$2:$I$518)&amp;TRIM($J$2:$J$518))&lt;&gt;UPPER(TRIM($G285)&amp;TRIM($I285)&amp;TRIM($J285))))&gt;0), AND($AB285&lt;&gt;"", LOWER(TRIM($AB285))&lt;&gt;"n/a", LOWER(TRIM($AB285))&lt;&gt;"na", SUMPRODUCT(--(UPPER(TRIM($AB$2:$AB$518))=UPPER(TRIM($AB285))), --(UPPER(TRIM($B$2:$B$518))="YES"), --(UPPER(TRIM($G$2:$G$518)&amp;TRIM($I$2:$I$518)&amp;TRIM($J$2:$J$518))&lt;&gt;UPPER(TRIM($G285)&amp;TRIM($I285)&amp;TRIM($J285))))&gt;0), AND($AH285&lt;&gt;"", LOWER(TRIM($AH285))&lt;&gt;"n/a", LOWER(TRIM($AH285))&lt;&gt;"na", SUMPRODUCT(--(UPPER(SUBSTITUTE(SUBSTITUTE(TRIM($AH$2:$AH$518),":",""),"-",""))=UPPER(SUBSTITUTE(SUBSTITUTE(TRIM($AH285),":",""),"-",""))), --(UPPER(TRIM($B$2:$B$518))="YES"), --(UPPER(TRIM($G$2:$G$518)&amp;TRIM($I$2:$I$518)&amp;TRIM($J$2:$J$518))&lt;&gt;UPPER(TRIM($G285)&amp;TRIM($I285)&amp;TRIM($J285))))&gt;0), AND($AP285&lt;&gt;"", LOWER(TRIM($AP285))&lt;&gt;"n/a", LOWER(TRIM($AP285))&lt;&gt;"na", SUMPRODUCT(--(UPPER(TRIM($AP$2:$AP$518))=UPPER(TRIM($AP285))), --(UPPER(TRIM($B$2:$B$518))="YES"), --(UPPER(TRIM($G$2:$G$518)&amp;TRIM($I$2:$I$518)&amp;TRIM($J$2:$J$518))&lt;&gt;UPPER(TRIM($G285)&amp;TRIM($I285)&amp;TRIM($J285))))&gt;0), AND($AQ285&lt;&gt;"", LOWER(TRIM($AQ285))&lt;&gt;"n/a", LOWER(TRIM($AQ285))&lt;&gt;"na", SUMPRODUCT(--(UPPER(TRIM($AQ$2:$AQ$518))=UPPER(TRIM($AQ285))), --(UPPER(TRIM($B$2:$B$518))="YES"), --(UPPER(TRIM($G$2:$G$518)&amp;TRIM($I$2:$I$518)&amp;TRIM($J$2:$J$518))&lt;&gt;UPPER(TRIM($G285)&amp;TRIM($I285)&amp;TRIM($J285))))&gt;0)), "Yes", "No"))</f>
        <v/>
      </c>
      <c r="G285" t="inlineStr">
        <is>
          <t>NSUH - PSP</t>
        </is>
      </c>
      <c r="H285" t="inlineStr">
        <is>
          <t>NSUH - PSP</t>
        </is>
      </c>
      <c r="I285" t="inlineStr">
        <is>
          <t>Main ORs - PSP - 2nd Floor</t>
        </is>
      </c>
      <c r="X285" t="inlineStr">
        <is>
          <t>NSUH-MACH-MM</t>
        </is>
      </c>
      <c r="Y285" t="inlineStr">
        <is>
          <t>A0F5097FDFF1</t>
        </is>
      </c>
      <c r="AB285" t="inlineStr">
        <is>
          <t>WA24406226</t>
        </is>
      </c>
      <c r="AC285" t="inlineStr">
        <is>
          <t>NSUH</t>
        </is>
      </c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CD285">
        <f>IF($Y285="","",IF((IF(AND($BR285&lt;&gt;"Yes",$BR285&lt;&gt;"N/A"),"Power Cable, ","")&amp;IF(AND($BS285&lt;&gt;"Yes",$BS285&lt;&gt;"N/A"),"Battery, ","")&amp;IF(AND($AD285&lt;&gt;"Yes",$AD285&lt;&gt;"N/A"),"Firmware Download, ","")&amp;IF(AND(OR($AD285="Yes",$AD285="N/A"),$AE285&lt;&gt;"Yes",$AE285&lt;&gt;"N/A"),"Firmware Install, ","")&amp;IF(AND($CB285&lt;&gt;"Yes",$CB285&lt;&gt;"N/A"),"Device ID, ","")&amp;IF(AND($CC285&lt;&gt;"Yes",$CC285&lt;&gt;"N/A"),"Epic Beans Relay, ",""))="","",LEFT(IF(AND($BR285&lt;&gt;"Yes",$BR285&lt;&gt;"N/A"),"Power Cable, ","")&amp;IF(AND($BS285&lt;&gt;"Yes",$BS285&lt;&gt;"N/A"),"Battery, ","")&amp;IF(AND($AD285&lt;&gt;"Yes",$AD285&lt;&gt;"N/A"),"Firmware Download, ","")&amp;IF(AND(OR($AD285="Yes",$AD285="N/A"),$AE285&lt;&gt;"Yes",$AE285&lt;&gt;"N/A"),"Firmware Install, ","")&amp;IF(AND($CB285&lt;&gt;"Yes",$CB285&lt;&gt;"N/A"),"Device ID, ","")&amp;IF(AND($CC285&lt;&gt;"Yes",$CC285&lt;&gt;"N/A"),"Epic Beans Relay, ",""),LEN(IF(AND($BR285&lt;&gt;"Yes",$BR285&lt;&gt;"N/A"),"Power Cable, ","")&amp;IF(AND($BS285&lt;&gt;"Yes",$BS285&lt;&gt;"N/A"),"Battery, ","")&amp;IF(AND($AD285&lt;&gt;"Yes",$AD285&lt;&gt;"N/A"),"Firmware Download, ","")&amp;IF(AND(OR($AD285="Yes",$AD285="N/A"),$AE285&lt;&gt;"Yes",$AE285&lt;&gt;"N/A"),"Firmware Install, ","")&amp;IF(AND($CB285&lt;&gt;"Yes",$CB285&lt;&gt;"N/A"),"Device ID, ","")&amp;IF(AND($CC285&lt;&gt;"Yes",$CC285&lt;&gt;"N/A"),"Epic Beans Relay, ",""))-2)))</f>
        <v/>
      </c>
      <c r="CE285">
        <f>IF($Y285="","",IF($CD285="","Yes","Blocked"))</f>
        <v/>
      </c>
      <c r="CP285">
        <f>IF($CO285="","",IFERROR(VLOOKUP($CO285,'01_Warehouse_Ledger'!$A:$N,4,FALSE),""))</f>
        <v/>
      </c>
      <c r="CQ285">
        <f>IF($CO285="","",IFERROR(VLOOKUP($CO285,'01_Warehouse_Ledger'!$A:$N,5,FALSE),""))</f>
        <v/>
      </c>
      <c r="CR285">
        <f>IF($CO285="","",IFERROR(VLOOKUP($CO285,'01_Warehouse_Ledger'!$A:$N,13,FALSE),""))</f>
        <v/>
      </c>
      <c r="CW285">
        <f>IF($S285="","",IF(UPPER(TRIM($S285))&lt;&gt;"PASS","",IF(LEN(TRIM($BY285))&gt;0,"NOTES_PRESENT",IF(LEN(TRIM($T285))=0,"SET_NA",IF(OR(LOWER(TRIM($T285))="na",LOWER(TRIM($T285))="n/a"),"OK","MANUAL_OVERRIDE")))))</f>
        <v/>
      </c>
    </row>
    <row r="286">
      <c r="A286" t="inlineStr">
        <is>
          <t>Neuron</t>
        </is>
      </c>
      <c r="B286" s="8" t="inlineStr">
        <is>
          <t>No</t>
        </is>
      </c>
      <c r="C286" t="inlineStr">
        <is>
          <t>No</t>
        </is>
      </c>
      <c r="D286">
        <f>IF($B286&lt;&gt;"Yes","",IF($C286="No","Yes",IF($C286="Yes","No","")))</f>
        <v/>
      </c>
      <c r="E286">
        <f>IF($A286="","",IF(OR(AND($V286&lt;&gt;"",LOWER(TRIM($V286))&lt;&gt;"n/a",LOWER(TRIM($V286))&lt;&gt;"na",SUMPRODUCT(--(UPPER(TRIM($V$2:$V$518))=UPPER(TRIM($V286))),--(TRIM($V$2:$V$518)&lt;&gt;""),--(LOWER(TRIM($V$2:$V$518))&lt;&gt;"n/a"),--(LOWER(TRIM($V$2:$V$518))&lt;&gt;"na"))&gt;1),AND($W286&lt;&gt;"",LOWER(TRIM($W286))&lt;&gt;"n/a",LOWER(TRIM($W286))&lt;&gt;"na",SUMPRODUCT(--(UPPER(TRIM($W$2:$W$518))=UPPER(TRIM($W286))),--(TRIM($W$2:$W$518)&lt;&gt;""),--(LOWER(TRIM($W$2:$W$518))&lt;&gt;"n/a"),--(LOWER(TRIM($W$2:$W$518))&lt;&gt;"na"))&gt;1),AND($X286&lt;&gt;"",LOWER(TRIM($X286))&lt;&gt;"n/a",LOWER(TRIM($X286))&lt;&gt;"na",SUMPRODUCT(--(UPPER(TRIM($X$2:$X$518))=UPPER(TRIM($X286))),--(TRIM($X$2:$X$518)&lt;&gt;""),--(LOWER(TRIM($X$2:$X$518))&lt;&gt;"n/a"),--(LOWER(TRIM($X$2:$X$518))&lt;&gt;"na"))&gt;1),AND($Y286&lt;&gt;"",LOWER(TRIM($Y286))&lt;&gt;"n/a",LOWER(TRIM($Y286))&lt;&gt;"na",SUMPRODUCT(--(UPPER(SUBSTITUTE(SUBSTITUTE(TRIM($Y$2:$Y$518),":",""),"-",""))=UPPER(SUBSTITUTE(SUBSTITUTE(TRIM($Y286),":",""),"-",""))),--(TRIM($Y$2:$Y$518)&lt;&gt;""),--(LOWER(TRIM($Y$2:$Y$518))&lt;&gt;"n/a"),--(LOWER(TRIM($Y$2:$Y$518))&lt;&gt;"na"))&gt;1),AND($AB286&lt;&gt;"",LOWER(TRIM($AB286))&lt;&gt;"n/a",LOWER(TRIM($AB286))&lt;&gt;"na",SUMPRODUCT(--(UPPER(TRIM($AB$2:$AB$518))=UPPER(TRIM($AB286))),--(TRIM($AB$2:$AB$518)&lt;&gt;""),--(LOWER(TRIM($AB$2:$AB$518))&lt;&gt;"n/a"),--(LOWER(TRIM($AB$2:$AB$518))&lt;&gt;"na"))&gt;1),AND($AH286&lt;&gt;"",LOWER(TRIM($AH286))&lt;&gt;"n/a",LOWER(TRIM($AH286))&lt;&gt;"na",SUMPRODUCT(--(UPPER(SUBSTITUTE(SUBSTITUTE(TRIM($AH$2:$AH$518),":",""),"-",""))=UPPER(SUBSTITUTE(SUBSTITUTE(TRIM($AH286),":",""),"-",""))),--(TRIM($AH$2:$AH$518)&lt;&gt;""),--(LOWER(TRIM($AH$2:$AH$518))&lt;&gt;"n/a"),--(LOWER(TRIM($AH$2:$AH$518))&lt;&gt;"na"))&gt;1),AND($AP286&lt;&gt;"",LOWER(TRIM($AP286))&lt;&gt;"n/a",LOWER(TRIM($AP286))&lt;&gt;"na",SUMPRODUCT(--(UPPER(TRIM($AP$2:$AP$518))=UPPER(TRIM($AP286))),--(TRIM($AP$2:$AP$518)&lt;&gt;""),--(LOWER(TRIM($AP$2:$AP$518))&lt;&gt;"n/a"),--(LOWER(TRIM($AP$2:$AP$518))&lt;&gt;"na"))&gt;1),AND($AQ286&lt;&gt;"",LOWER(TRIM($AQ286))&lt;&gt;"n/a",LOWER(TRIM($AQ286))&lt;&gt;"na",SUMPRODUCT(--(UPPER(TRIM($AQ$2:$AQ$518))=UPPER(TRIM($AQ286))),--(TRIM($AQ$2:$AQ$518)&lt;&gt;""),--(LOWER(TRIM($AQ$2:$AQ$518))&lt;&gt;"n/a"),--(LOWER(TRIM($AQ$2:$AQ$518))&lt;&gt;"na"))&gt;1)),"Yes","No"))</f>
        <v/>
      </c>
      <c r="F286">
        <f>IF(UPPER(TRIM($B286))&lt;&gt;"YES","", IF(OR(AND($V286&lt;&gt;"", LOWER(TRIM($V286))&lt;&gt;"n/a", LOWER(TRIM($V286))&lt;&gt;"na", SUMPRODUCT(--(UPPER(TRIM($V$2:$V$518))=UPPER(TRIM($V286))), --(UPPER(TRIM($B$2:$B$518))="YES"), --(UPPER(TRIM($G$2:$G$518)&amp;TRIM($I$2:$I$518)&amp;TRIM($J$2:$J$518))&lt;&gt;UPPER(TRIM($G286)&amp;TRIM($I286)&amp;TRIM($J286))))&gt;0), AND($W286&lt;&gt;"", LOWER(TRIM($W286))&lt;&gt;"n/a", LOWER(TRIM($W286))&lt;&gt;"na", SUMPRODUCT(--(UPPER(TRIM($W$2:$W$518))=UPPER(TRIM($W286))), --(UPPER(TRIM($B$2:$B$518))="YES"), --(UPPER(TRIM($G$2:$G$518)&amp;TRIM($I$2:$I$518)&amp;TRIM($J$2:$J$518))&lt;&gt;UPPER(TRIM($G286)&amp;TRIM($I286)&amp;TRIM($J286))))&gt;0), AND($X286&lt;&gt;"", LOWER(TRIM($X286))&lt;&gt;"n/a", LOWER(TRIM($X286))&lt;&gt;"na", SUMPRODUCT(--(UPPER(TRIM($X$2:$X$518))=UPPER(TRIM($X286))), --(UPPER(TRIM($B$2:$B$518))="YES"), --(UPPER(TRIM($G$2:$G$518)&amp;TRIM($I$2:$I$518)&amp;TRIM($J$2:$J$518))&lt;&gt;UPPER(TRIM($G286)&amp;TRIM($I286)&amp;TRIM($J286))))&gt;0), AND($Y286&lt;&gt;"", LOWER(TRIM($Y286))&lt;&gt;"n/a", LOWER(TRIM($Y286))&lt;&gt;"na", SUMPRODUCT(--(UPPER(SUBSTITUTE(SUBSTITUTE(TRIM($Y$2:$Y$518),":",""),"-",""))=UPPER(SUBSTITUTE(SUBSTITUTE(TRIM($Y286),":",""),"-",""))), --(UPPER(TRIM($B$2:$B$518))="YES"), --(UPPER(TRIM($G$2:$G$518)&amp;TRIM($I$2:$I$518)&amp;TRIM($J$2:$J$518))&lt;&gt;UPPER(TRIM($G286)&amp;TRIM($I286)&amp;TRIM($J286))))&gt;0), AND($AB286&lt;&gt;"", LOWER(TRIM($AB286))&lt;&gt;"n/a", LOWER(TRIM($AB286))&lt;&gt;"na", SUMPRODUCT(--(UPPER(TRIM($AB$2:$AB$518))=UPPER(TRIM($AB286))), --(UPPER(TRIM($B$2:$B$518))="YES"), --(UPPER(TRIM($G$2:$G$518)&amp;TRIM($I$2:$I$518)&amp;TRIM($J$2:$J$518))&lt;&gt;UPPER(TRIM($G286)&amp;TRIM($I286)&amp;TRIM($J286))))&gt;0), AND($AH286&lt;&gt;"", LOWER(TRIM($AH286))&lt;&gt;"n/a", LOWER(TRIM($AH286))&lt;&gt;"na", SUMPRODUCT(--(UPPER(SUBSTITUTE(SUBSTITUTE(TRIM($AH$2:$AH$518),":",""),"-",""))=UPPER(SUBSTITUTE(SUBSTITUTE(TRIM($AH286),":",""),"-",""))), --(UPPER(TRIM($B$2:$B$518))="YES"), --(UPPER(TRIM($G$2:$G$518)&amp;TRIM($I$2:$I$518)&amp;TRIM($J$2:$J$518))&lt;&gt;UPPER(TRIM($G286)&amp;TRIM($I286)&amp;TRIM($J286))))&gt;0), AND($AP286&lt;&gt;"", LOWER(TRIM($AP286))&lt;&gt;"n/a", LOWER(TRIM($AP286))&lt;&gt;"na", SUMPRODUCT(--(UPPER(TRIM($AP$2:$AP$518))=UPPER(TRIM($AP286))), --(UPPER(TRIM($B$2:$B$518))="YES"), --(UPPER(TRIM($G$2:$G$518)&amp;TRIM($I$2:$I$518)&amp;TRIM($J$2:$J$518))&lt;&gt;UPPER(TRIM($G286)&amp;TRIM($I286)&amp;TRIM($J286))))&gt;0), AND($AQ286&lt;&gt;"", LOWER(TRIM($AQ286))&lt;&gt;"n/a", LOWER(TRIM($AQ286))&lt;&gt;"na", SUMPRODUCT(--(UPPER(TRIM($AQ$2:$AQ$518))=UPPER(TRIM($AQ286))), --(UPPER(TRIM($B$2:$B$518))="YES"), --(UPPER(TRIM($G$2:$G$518)&amp;TRIM($I$2:$I$518)&amp;TRIM($J$2:$J$518))&lt;&gt;UPPER(TRIM($G286)&amp;TRIM($I286)&amp;TRIM($J286))))&gt;0)), "Yes", "No"))</f>
        <v/>
      </c>
      <c r="G286" t="inlineStr">
        <is>
          <t>NSUH - PSP</t>
        </is>
      </c>
      <c r="H286" t="inlineStr">
        <is>
          <t>NSUH - PSP</t>
        </is>
      </c>
      <c r="I286" t="inlineStr">
        <is>
          <t>Main ORs - PSP - 2nd Floor</t>
        </is>
      </c>
      <c r="X286" t="inlineStr">
        <is>
          <t>NSUH-MACH-QQ</t>
        </is>
      </c>
      <c r="Y286" t="inlineStr">
        <is>
          <t>A0F5097FEBD9</t>
        </is>
      </c>
      <c r="AB286" t="inlineStr">
        <is>
          <t>WA24406789</t>
        </is>
      </c>
      <c r="AC286" t="inlineStr">
        <is>
          <t>NSUH</t>
        </is>
      </c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Yes</t>
        </is>
      </c>
      <c r="CD286">
        <f>IF($Y286="","",IF((IF(AND($BR286&lt;&gt;"Yes",$BR286&lt;&gt;"N/A"),"Power Cable, ","")&amp;IF(AND($BS286&lt;&gt;"Yes",$BS286&lt;&gt;"N/A"),"Battery, ","")&amp;IF(AND($AD286&lt;&gt;"Yes",$AD286&lt;&gt;"N/A"),"Firmware Download, ","")&amp;IF(AND(OR($AD286="Yes",$AD286="N/A"),$AE286&lt;&gt;"Yes",$AE286&lt;&gt;"N/A"),"Firmware Install, ","")&amp;IF(AND($CB286&lt;&gt;"Yes",$CB286&lt;&gt;"N/A"),"Device ID, ","")&amp;IF(AND($CC286&lt;&gt;"Yes",$CC286&lt;&gt;"N/A"),"Epic Beans Relay, ",""))="","",LEFT(IF(AND($BR286&lt;&gt;"Yes",$BR286&lt;&gt;"N/A"),"Power Cable, ","")&amp;IF(AND($BS286&lt;&gt;"Yes",$BS286&lt;&gt;"N/A"),"Battery, ","")&amp;IF(AND($AD286&lt;&gt;"Yes",$AD286&lt;&gt;"N/A"),"Firmware Download, ","")&amp;IF(AND(OR($AD286="Yes",$AD286="N/A"),$AE286&lt;&gt;"Yes",$AE286&lt;&gt;"N/A"),"Firmware Install, ","")&amp;IF(AND($CB286&lt;&gt;"Yes",$CB286&lt;&gt;"N/A"),"Device ID, ","")&amp;IF(AND($CC286&lt;&gt;"Yes",$CC286&lt;&gt;"N/A"),"Epic Beans Relay, ",""),LEN(IF(AND($BR286&lt;&gt;"Yes",$BR286&lt;&gt;"N/A"),"Power Cable, ","")&amp;IF(AND($BS286&lt;&gt;"Yes",$BS286&lt;&gt;"N/A"),"Battery, ","")&amp;IF(AND($AD286&lt;&gt;"Yes",$AD286&lt;&gt;"N/A"),"Firmware Download, ","")&amp;IF(AND(OR($AD286="Yes",$AD286="N/A"),$AE286&lt;&gt;"Yes",$AE286&lt;&gt;"N/A"),"Firmware Install, ","")&amp;IF(AND($CB286&lt;&gt;"Yes",$CB286&lt;&gt;"N/A"),"Device ID, ","")&amp;IF(AND($CC286&lt;&gt;"Yes",$CC286&lt;&gt;"N/A"),"Epic Beans Relay, ",""))-2)))</f>
        <v/>
      </c>
      <c r="CE286">
        <f>IF($Y286="","",IF($CD286="","Yes","Blocked"))</f>
        <v/>
      </c>
      <c r="CP286">
        <f>IF($CO286="","",IFERROR(VLOOKUP($CO286,'01_Warehouse_Ledger'!$A:$N,4,FALSE),""))</f>
        <v/>
      </c>
      <c r="CQ286">
        <f>IF($CO286="","",IFERROR(VLOOKUP($CO286,'01_Warehouse_Ledger'!$A:$N,5,FALSE),""))</f>
        <v/>
      </c>
      <c r="CR286">
        <f>IF($CO286="","",IFERROR(VLOOKUP($CO286,'01_Warehouse_Ledger'!$A:$N,13,FALSE),""))</f>
        <v/>
      </c>
      <c r="CW286">
        <f>IF($S286="","",IF(UPPER(TRIM($S286))&lt;&gt;"PASS","",IF(LEN(TRIM($BY286))&gt;0,"NOTES_PRESENT",IF(LEN(TRIM($T286))=0,"SET_NA",IF(OR(LOWER(TRIM($T286))="na",LOWER(TRIM($T286))="n/a"),"OK","MANUAL_OVERRIDE")))))</f>
        <v/>
      </c>
    </row>
    <row r="287">
      <c r="A287" t="inlineStr">
        <is>
          <t>Neuron</t>
        </is>
      </c>
      <c r="B287" s="8" t="inlineStr">
        <is>
          <t>No</t>
        </is>
      </c>
      <c r="C287" t="inlineStr">
        <is>
          <t>No</t>
        </is>
      </c>
      <c r="D287">
        <f>IF($B287&lt;&gt;"Yes","",IF($C287="No","Yes",IF($C287="Yes","No","")))</f>
        <v/>
      </c>
      <c r="E287">
        <f>IF($A287="","",IF(OR(AND($V287&lt;&gt;"",LOWER(TRIM($V287))&lt;&gt;"n/a",LOWER(TRIM($V287))&lt;&gt;"na",SUMPRODUCT(--(UPPER(TRIM($V$2:$V$518))=UPPER(TRIM($V287))),--(TRIM($V$2:$V$518)&lt;&gt;""),--(LOWER(TRIM($V$2:$V$518))&lt;&gt;"n/a"),--(LOWER(TRIM($V$2:$V$518))&lt;&gt;"na"))&gt;1),AND($W287&lt;&gt;"",LOWER(TRIM($W287))&lt;&gt;"n/a",LOWER(TRIM($W287))&lt;&gt;"na",SUMPRODUCT(--(UPPER(TRIM($W$2:$W$518))=UPPER(TRIM($W287))),--(TRIM($W$2:$W$518)&lt;&gt;""),--(LOWER(TRIM($W$2:$W$518))&lt;&gt;"n/a"),--(LOWER(TRIM($W$2:$W$518))&lt;&gt;"na"))&gt;1),AND($X287&lt;&gt;"",LOWER(TRIM($X287))&lt;&gt;"n/a",LOWER(TRIM($X287))&lt;&gt;"na",SUMPRODUCT(--(UPPER(TRIM($X$2:$X$518))=UPPER(TRIM($X287))),--(TRIM($X$2:$X$518)&lt;&gt;""),--(LOWER(TRIM($X$2:$X$518))&lt;&gt;"n/a"),--(LOWER(TRIM($X$2:$X$518))&lt;&gt;"na"))&gt;1),AND($Y287&lt;&gt;"",LOWER(TRIM($Y287))&lt;&gt;"n/a",LOWER(TRIM($Y287))&lt;&gt;"na",SUMPRODUCT(--(UPPER(SUBSTITUTE(SUBSTITUTE(TRIM($Y$2:$Y$518),":",""),"-",""))=UPPER(SUBSTITUTE(SUBSTITUTE(TRIM($Y287),":",""),"-",""))),--(TRIM($Y$2:$Y$518)&lt;&gt;""),--(LOWER(TRIM($Y$2:$Y$518))&lt;&gt;"n/a"),--(LOWER(TRIM($Y$2:$Y$518))&lt;&gt;"na"))&gt;1),AND($AB287&lt;&gt;"",LOWER(TRIM($AB287))&lt;&gt;"n/a",LOWER(TRIM($AB287))&lt;&gt;"na",SUMPRODUCT(--(UPPER(TRIM($AB$2:$AB$518))=UPPER(TRIM($AB287))),--(TRIM($AB$2:$AB$518)&lt;&gt;""),--(LOWER(TRIM($AB$2:$AB$518))&lt;&gt;"n/a"),--(LOWER(TRIM($AB$2:$AB$518))&lt;&gt;"na"))&gt;1),AND($AH287&lt;&gt;"",LOWER(TRIM($AH287))&lt;&gt;"n/a",LOWER(TRIM($AH287))&lt;&gt;"na",SUMPRODUCT(--(UPPER(SUBSTITUTE(SUBSTITUTE(TRIM($AH$2:$AH$518),":",""),"-",""))=UPPER(SUBSTITUTE(SUBSTITUTE(TRIM($AH287),":",""),"-",""))),--(TRIM($AH$2:$AH$518)&lt;&gt;""),--(LOWER(TRIM($AH$2:$AH$518))&lt;&gt;"n/a"),--(LOWER(TRIM($AH$2:$AH$518))&lt;&gt;"na"))&gt;1),AND($AP287&lt;&gt;"",LOWER(TRIM($AP287))&lt;&gt;"n/a",LOWER(TRIM($AP287))&lt;&gt;"na",SUMPRODUCT(--(UPPER(TRIM($AP$2:$AP$518))=UPPER(TRIM($AP287))),--(TRIM($AP$2:$AP$518)&lt;&gt;""),--(LOWER(TRIM($AP$2:$AP$518))&lt;&gt;"n/a"),--(LOWER(TRIM($AP$2:$AP$518))&lt;&gt;"na"))&gt;1),AND($AQ287&lt;&gt;"",LOWER(TRIM($AQ287))&lt;&gt;"n/a",LOWER(TRIM($AQ287))&lt;&gt;"na",SUMPRODUCT(--(UPPER(TRIM($AQ$2:$AQ$518))=UPPER(TRIM($AQ287))),--(TRIM($AQ$2:$AQ$518)&lt;&gt;""),--(LOWER(TRIM($AQ$2:$AQ$518))&lt;&gt;"n/a"),--(LOWER(TRIM($AQ$2:$AQ$518))&lt;&gt;"na"))&gt;1)),"Yes","No"))</f>
        <v/>
      </c>
      <c r="F287">
        <f>IF(UPPER(TRIM($B287))&lt;&gt;"YES","", IF(OR(AND($V287&lt;&gt;"", LOWER(TRIM($V287))&lt;&gt;"n/a", LOWER(TRIM($V287))&lt;&gt;"na", SUMPRODUCT(--(UPPER(TRIM($V$2:$V$518))=UPPER(TRIM($V287))), --(UPPER(TRIM($B$2:$B$518))="YES"), --(UPPER(TRIM($G$2:$G$518)&amp;TRIM($I$2:$I$518)&amp;TRIM($J$2:$J$518))&lt;&gt;UPPER(TRIM($G287)&amp;TRIM($I287)&amp;TRIM($J287))))&gt;0), AND($W287&lt;&gt;"", LOWER(TRIM($W287))&lt;&gt;"n/a", LOWER(TRIM($W287))&lt;&gt;"na", SUMPRODUCT(--(UPPER(TRIM($W$2:$W$518))=UPPER(TRIM($W287))), --(UPPER(TRIM($B$2:$B$518))="YES"), --(UPPER(TRIM($G$2:$G$518)&amp;TRIM($I$2:$I$518)&amp;TRIM($J$2:$J$518))&lt;&gt;UPPER(TRIM($G287)&amp;TRIM($I287)&amp;TRIM($J287))))&gt;0), AND($X287&lt;&gt;"", LOWER(TRIM($X287))&lt;&gt;"n/a", LOWER(TRIM($X287))&lt;&gt;"na", SUMPRODUCT(--(UPPER(TRIM($X$2:$X$518))=UPPER(TRIM($X287))), --(UPPER(TRIM($B$2:$B$518))="YES"), --(UPPER(TRIM($G$2:$G$518)&amp;TRIM($I$2:$I$518)&amp;TRIM($J$2:$J$518))&lt;&gt;UPPER(TRIM($G287)&amp;TRIM($I287)&amp;TRIM($J287))))&gt;0), AND($Y287&lt;&gt;"", LOWER(TRIM($Y287))&lt;&gt;"n/a", LOWER(TRIM($Y287))&lt;&gt;"na", SUMPRODUCT(--(UPPER(SUBSTITUTE(SUBSTITUTE(TRIM($Y$2:$Y$518),":",""),"-",""))=UPPER(SUBSTITUTE(SUBSTITUTE(TRIM($Y287),":",""),"-",""))), --(UPPER(TRIM($B$2:$B$518))="YES"), --(UPPER(TRIM($G$2:$G$518)&amp;TRIM($I$2:$I$518)&amp;TRIM($J$2:$J$518))&lt;&gt;UPPER(TRIM($G287)&amp;TRIM($I287)&amp;TRIM($J287))))&gt;0), AND($AB287&lt;&gt;"", LOWER(TRIM($AB287))&lt;&gt;"n/a", LOWER(TRIM($AB287))&lt;&gt;"na", SUMPRODUCT(--(UPPER(TRIM($AB$2:$AB$518))=UPPER(TRIM($AB287))), --(UPPER(TRIM($B$2:$B$518))="YES"), --(UPPER(TRIM($G$2:$G$518)&amp;TRIM($I$2:$I$518)&amp;TRIM($J$2:$J$518))&lt;&gt;UPPER(TRIM($G287)&amp;TRIM($I287)&amp;TRIM($J287))))&gt;0), AND($AH287&lt;&gt;"", LOWER(TRIM($AH287))&lt;&gt;"n/a", LOWER(TRIM($AH287))&lt;&gt;"na", SUMPRODUCT(--(UPPER(SUBSTITUTE(SUBSTITUTE(TRIM($AH$2:$AH$518),":",""),"-",""))=UPPER(SUBSTITUTE(SUBSTITUTE(TRIM($AH287),":",""),"-",""))), --(UPPER(TRIM($B$2:$B$518))="YES"), --(UPPER(TRIM($G$2:$G$518)&amp;TRIM($I$2:$I$518)&amp;TRIM($J$2:$J$518))&lt;&gt;UPPER(TRIM($G287)&amp;TRIM($I287)&amp;TRIM($J287))))&gt;0), AND($AP287&lt;&gt;"", LOWER(TRIM($AP287))&lt;&gt;"n/a", LOWER(TRIM($AP287))&lt;&gt;"na", SUMPRODUCT(--(UPPER(TRIM($AP$2:$AP$518))=UPPER(TRIM($AP287))), --(UPPER(TRIM($B$2:$B$518))="YES"), --(UPPER(TRIM($G$2:$G$518)&amp;TRIM($I$2:$I$518)&amp;TRIM($J$2:$J$518))&lt;&gt;UPPER(TRIM($G287)&amp;TRIM($I287)&amp;TRIM($J287))))&gt;0), AND($AQ287&lt;&gt;"", LOWER(TRIM($AQ287))&lt;&gt;"n/a", LOWER(TRIM($AQ287))&lt;&gt;"na", SUMPRODUCT(--(UPPER(TRIM($AQ$2:$AQ$518))=UPPER(TRIM($AQ287))), --(UPPER(TRIM($B$2:$B$518))="YES"), --(UPPER(TRIM($G$2:$G$518)&amp;TRIM($I$2:$I$518)&amp;TRIM($J$2:$J$518))&lt;&gt;UPPER(TRIM($G287)&amp;TRIM($I287)&amp;TRIM($J287))))&gt;0)), "Yes", "No"))</f>
        <v/>
      </c>
      <c r="G287" t="inlineStr">
        <is>
          <t>NSUH - PSP</t>
        </is>
      </c>
      <c r="H287" t="inlineStr">
        <is>
          <t>NSUH - PSP</t>
        </is>
      </c>
      <c r="I287" t="inlineStr">
        <is>
          <t>Main ORs - PSP - 2nd Floor</t>
        </is>
      </c>
      <c r="X287" t="inlineStr">
        <is>
          <t>NSUH-MACH-JJJ</t>
        </is>
      </c>
      <c r="Y287" t="inlineStr">
        <is>
          <t>A0F5097FE20D</t>
        </is>
      </c>
      <c r="AB287" t="inlineStr">
        <is>
          <t>WA24406070</t>
        </is>
      </c>
      <c r="CD287">
        <f>IF($Y287="","",IF((IF(AND($BR287&lt;&gt;"Yes",$BR287&lt;&gt;"N/A"),"Power Cable, ","")&amp;IF(AND($BS287&lt;&gt;"Yes",$BS287&lt;&gt;"N/A"),"Battery, ","")&amp;IF(AND($AD287&lt;&gt;"Yes",$AD287&lt;&gt;"N/A"),"Firmware Download, ","")&amp;IF(AND(OR($AD287="Yes",$AD287="N/A"),$AE287&lt;&gt;"Yes",$AE287&lt;&gt;"N/A"),"Firmware Install, ","")&amp;IF(AND($CB287&lt;&gt;"Yes",$CB287&lt;&gt;"N/A"),"Device ID, ","")&amp;IF(AND($CC287&lt;&gt;"Yes",$CC287&lt;&gt;"N/A"),"Epic Beans Relay, ",""))="","",LEFT(IF(AND($BR287&lt;&gt;"Yes",$BR287&lt;&gt;"N/A"),"Power Cable, ","")&amp;IF(AND($BS287&lt;&gt;"Yes",$BS287&lt;&gt;"N/A"),"Battery, ","")&amp;IF(AND($AD287&lt;&gt;"Yes",$AD287&lt;&gt;"N/A"),"Firmware Download, ","")&amp;IF(AND(OR($AD287="Yes",$AD287="N/A"),$AE287&lt;&gt;"Yes",$AE287&lt;&gt;"N/A"),"Firmware Install, ","")&amp;IF(AND($CB287&lt;&gt;"Yes",$CB287&lt;&gt;"N/A"),"Device ID, ","")&amp;IF(AND($CC287&lt;&gt;"Yes",$CC287&lt;&gt;"N/A"),"Epic Beans Relay, ",""),LEN(IF(AND($BR287&lt;&gt;"Yes",$BR287&lt;&gt;"N/A"),"Power Cable, ","")&amp;IF(AND($BS287&lt;&gt;"Yes",$BS287&lt;&gt;"N/A"),"Battery, ","")&amp;IF(AND($AD287&lt;&gt;"Yes",$AD287&lt;&gt;"N/A"),"Firmware Download, ","")&amp;IF(AND(OR($AD287="Yes",$AD287="N/A"),$AE287&lt;&gt;"Yes",$AE287&lt;&gt;"N/A"),"Firmware Install, ","")&amp;IF(AND($CB287&lt;&gt;"Yes",$CB287&lt;&gt;"N/A"),"Device ID, ","")&amp;IF(AND($CC287&lt;&gt;"Yes",$CC287&lt;&gt;"N/A"),"Epic Beans Relay, ",""))-2)))</f>
        <v/>
      </c>
      <c r="CE287">
        <f>IF($Y287="","",IF($CD287="","Yes","Blocked"))</f>
        <v/>
      </c>
      <c r="CP287">
        <f>IF($CO287="","",IFERROR(VLOOKUP($CO287,'01_Warehouse_Ledger'!$A:$N,4,FALSE),""))</f>
        <v/>
      </c>
      <c r="CQ287">
        <f>IF($CO287="","",IFERROR(VLOOKUP($CO287,'01_Warehouse_Ledger'!$A:$N,5,FALSE),""))</f>
        <v/>
      </c>
      <c r="CR287">
        <f>IF($CO287="","",IFERROR(VLOOKUP($CO287,'01_Warehouse_Ledger'!$A:$N,13,FALSE),""))</f>
        <v/>
      </c>
      <c r="CW287">
        <f>IF($S287="","",IF(UPPER(TRIM($S287))&lt;&gt;"PASS","",IF(LEN(TRIM($BY287))&gt;0,"NOTES_PRESENT",IF(LEN(TRIM($T287))=0,"SET_NA",IF(OR(LOWER(TRIM($T287))="na",LOWER(TRIM($T287))="n/a"),"OK","MANUAL_OVERRIDE")))))</f>
        <v/>
      </c>
    </row>
    <row r="288">
      <c r="A288" t="inlineStr">
        <is>
          <t>Neuron</t>
        </is>
      </c>
      <c r="B288" s="8" t="inlineStr">
        <is>
          <t>No</t>
        </is>
      </c>
      <c r="C288" t="inlineStr">
        <is>
          <t>No</t>
        </is>
      </c>
      <c r="D288">
        <f>IF($B288&lt;&gt;"Yes","",IF($C288="No","Yes",IF($C288="Yes","No","")))</f>
        <v/>
      </c>
      <c r="E288">
        <f>IF($A288="","",IF(OR(AND($V288&lt;&gt;"",LOWER(TRIM($V288))&lt;&gt;"n/a",LOWER(TRIM($V288))&lt;&gt;"na",SUMPRODUCT(--(UPPER(TRIM($V$2:$V$518))=UPPER(TRIM($V288))),--(TRIM($V$2:$V$518)&lt;&gt;""),--(LOWER(TRIM($V$2:$V$518))&lt;&gt;"n/a"),--(LOWER(TRIM($V$2:$V$518))&lt;&gt;"na"))&gt;1),AND($W288&lt;&gt;"",LOWER(TRIM($W288))&lt;&gt;"n/a",LOWER(TRIM($W288))&lt;&gt;"na",SUMPRODUCT(--(UPPER(TRIM($W$2:$W$518))=UPPER(TRIM($W288))),--(TRIM($W$2:$W$518)&lt;&gt;""),--(LOWER(TRIM($W$2:$W$518))&lt;&gt;"n/a"),--(LOWER(TRIM($W$2:$W$518))&lt;&gt;"na"))&gt;1),AND($X288&lt;&gt;"",LOWER(TRIM($X288))&lt;&gt;"n/a",LOWER(TRIM($X288))&lt;&gt;"na",SUMPRODUCT(--(UPPER(TRIM($X$2:$X$518))=UPPER(TRIM($X288))),--(TRIM($X$2:$X$518)&lt;&gt;""),--(LOWER(TRIM($X$2:$X$518))&lt;&gt;"n/a"),--(LOWER(TRIM($X$2:$X$518))&lt;&gt;"na"))&gt;1),AND($Y288&lt;&gt;"",LOWER(TRIM($Y288))&lt;&gt;"n/a",LOWER(TRIM($Y288))&lt;&gt;"na",SUMPRODUCT(--(UPPER(SUBSTITUTE(SUBSTITUTE(TRIM($Y$2:$Y$518),":",""),"-",""))=UPPER(SUBSTITUTE(SUBSTITUTE(TRIM($Y288),":",""),"-",""))),--(TRIM($Y$2:$Y$518)&lt;&gt;""),--(LOWER(TRIM($Y$2:$Y$518))&lt;&gt;"n/a"),--(LOWER(TRIM($Y$2:$Y$518))&lt;&gt;"na"))&gt;1),AND($AB288&lt;&gt;"",LOWER(TRIM($AB288))&lt;&gt;"n/a",LOWER(TRIM($AB288))&lt;&gt;"na",SUMPRODUCT(--(UPPER(TRIM($AB$2:$AB$518))=UPPER(TRIM($AB288))),--(TRIM($AB$2:$AB$518)&lt;&gt;""),--(LOWER(TRIM($AB$2:$AB$518))&lt;&gt;"n/a"),--(LOWER(TRIM($AB$2:$AB$518))&lt;&gt;"na"))&gt;1),AND($AH288&lt;&gt;"",LOWER(TRIM($AH288))&lt;&gt;"n/a",LOWER(TRIM($AH288))&lt;&gt;"na",SUMPRODUCT(--(UPPER(SUBSTITUTE(SUBSTITUTE(TRIM($AH$2:$AH$518),":",""),"-",""))=UPPER(SUBSTITUTE(SUBSTITUTE(TRIM($AH288),":",""),"-",""))),--(TRIM($AH$2:$AH$518)&lt;&gt;""),--(LOWER(TRIM($AH$2:$AH$518))&lt;&gt;"n/a"),--(LOWER(TRIM($AH$2:$AH$518))&lt;&gt;"na"))&gt;1),AND($AP288&lt;&gt;"",LOWER(TRIM($AP288))&lt;&gt;"n/a",LOWER(TRIM($AP288))&lt;&gt;"na",SUMPRODUCT(--(UPPER(TRIM($AP$2:$AP$518))=UPPER(TRIM($AP288))),--(TRIM($AP$2:$AP$518)&lt;&gt;""),--(LOWER(TRIM($AP$2:$AP$518))&lt;&gt;"n/a"),--(LOWER(TRIM($AP$2:$AP$518))&lt;&gt;"na"))&gt;1),AND($AQ288&lt;&gt;"",LOWER(TRIM($AQ288))&lt;&gt;"n/a",LOWER(TRIM($AQ288))&lt;&gt;"na",SUMPRODUCT(--(UPPER(TRIM($AQ$2:$AQ$518))=UPPER(TRIM($AQ288))),--(TRIM($AQ$2:$AQ$518)&lt;&gt;""),--(LOWER(TRIM($AQ$2:$AQ$518))&lt;&gt;"n/a"),--(LOWER(TRIM($AQ$2:$AQ$518))&lt;&gt;"na"))&gt;1)),"Yes","No"))</f>
        <v/>
      </c>
      <c r="F288">
        <f>IF(UPPER(TRIM($B288))&lt;&gt;"YES","", IF(OR(AND($V288&lt;&gt;"", LOWER(TRIM($V288))&lt;&gt;"n/a", LOWER(TRIM($V288))&lt;&gt;"na", SUMPRODUCT(--(UPPER(TRIM($V$2:$V$518))=UPPER(TRIM($V288))), --(UPPER(TRIM($B$2:$B$518))="YES"), --(UPPER(TRIM($G$2:$G$518)&amp;TRIM($I$2:$I$518)&amp;TRIM($J$2:$J$518))&lt;&gt;UPPER(TRIM($G288)&amp;TRIM($I288)&amp;TRIM($J288))))&gt;0), AND($W288&lt;&gt;"", LOWER(TRIM($W288))&lt;&gt;"n/a", LOWER(TRIM($W288))&lt;&gt;"na", SUMPRODUCT(--(UPPER(TRIM($W$2:$W$518))=UPPER(TRIM($W288))), --(UPPER(TRIM($B$2:$B$518))="YES"), --(UPPER(TRIM($G$2:$G$518)&amp;TRIM($I$2:$I$518)&amp;TRIM($J$2:$J$518))&lt;&gt;UPPER(TRIM($G288)&amp;TRIM($I288)&amp;TRIM($J288))))&gt;0), AND($X288&lt;&gt;"", LOWER(TRIM($X288))&lt;&gt;"n/a", LOWER(TRIM($X288))&lt;&gt;"na", SUMPRODUCT(--(UPPER(TRIM($X$2:$X$518))=UPPER(TRIM($X288))), --(UPPER(TRIM($B$2:$B$518))="YES"), --(UPPER(TRIM($G$2:$G$518)&amp;TRIM($I$2:$I$518)&amp;TRIM($J$2:$J$518))&lt;&gt;UPPER(TRIM($G288)&amp;TRIM($I288)&amp;TRIM($J288))))&gt;0), AND($Y288&lt;&gt;"", LOWER(TRIM($Y288))&lt;&gt;"n/a", LOWER(TRIM($Y288))&lt;&gt;"na", SUMPRODUCT(--(UPPER(SUBSTITUTE(SUBSTITUTE(TRIM($Y$2:$Y$518),":",""),"-",""))=UPPER(SUBSTITUTE(SUBSTITUTE(TRIM($Y288),":",""),"-",""))), --(UPPER(TRIM($B$2:$B$518))="YES"), --(UPPER(TRIM($G$2:$G$518)&amp;TRIM($I$2:$I$518)&amp;TRIM($J$2:$J$518))&lt;&gt;UPPER(TRIM($G288)&amp;TRIM($I288)&amp;TRIM($J288))))&gt;0), AND($AB288&lt;&gt;"", LOWER(TRIM($AB288))&lt;&gt;"n/a", LOWER(TRIM($AB288))&lt;&gt;"na", SUMPRODUCT(--(UPPER(TRIM($AB$2:$AB$518))=UPPER(TRIM($AB288))), --(UPPER(TRIM($B$2:$B$518))="YES"), --(UPPER(TRIM($G$2:$G$518)&amp;TRIM($I$2:$I$518)&amp;TRIM($J$2:$J$518))&lt;&gt;UPPER(TRIM($G288)&amp;TRIM($I288)&amp;TRIM($J288))))&gt;0), AND($AH288&lt;&gt;"", LOWER(TRIM($AH288))&lt;&gt;"n/a", LOWER(TRIM($AH288))&lt;&gt;"na", SUMPRODUCT(--(UPPER(SUBSTITUTE(SUBSTITUTE(TRIM($AH$2:$AH$518),":",""),"-",""))=UPPER(SUBSTITUTE(SUBSTITUTE(TRIM($AH288),":",""),"-",""))), --(UPPER(TRIM($B$2:$B$518))="YES"), --(UPPER(TRIM($G$2:$G$518)&amp;TRIM($I$2:$I$518)&amp;TRIM($J$2:$J$518))&lt;&gt;UPPER(TRIM($G288)&amp;TRIM($I288)&amp;TRIM($J288))))&gt;0), AND($AP288&lt;&gt;"", LOWER(TRIM($AP288))&lt;&gt;"n/a", LOWER(TRIM($AP288))&lt;&gt;"na", SUMPRODUCT(--(UPPER(TRIM($AP$2:$AP$518))=UPPER(TRIM($AP288))), --(UPPER(TRIM($B$2:$B$518))="YES"), --(UPPER(TRIM($G$2:$G$518)&amp;TRIM($I$2:$I$518)&amp;TRIM($J$2:$J$518))&lt;&gt;UPPER(TRIM($G288)&amp;TRIM($I288)&amp;TRIM($J288))))&gt;0), AND($AQ288&lt;&gt;"", LOWER(TRIM($AQ288))&lt;&gt;"n/a", LOWER(TRIM($AQ288))&lt;&gt;"na", SUMPRODUCT(--(UPPER(TRIM($AQ$2:$AQ$518))=UPPER(TRIM($AQ288))), --(UPPER(TRIM($B$2:$B$518))="YES"), --(UPPER(TRIM($G$2:$G$518)&amp;TRIM($I$2:$I$518)&amp;TRIM($J$2:$J$518))&lt;&gt;UPPER(TRIM($G288)&amp;TRIM($I288)&amp;TRIM($J288))))&gt;0)), "Yes", "No"))</f>
        <v/>
      </c>
      <c r="G288" t="inlineStr">
        <is>
          <t>NSUH - PSP</t>
        </is>
      </c>
      <c r="H288" t="inlineStr">
        <is>
          <t>NSUH - PSP</t>
        </is>
      </c>
      <c r="I288" t="inlineStr">
        <is>
          <t>Main ORs - PSP - 2nd Floor</t>
        </is>
      </c>
      <c r="X288" t="inlineStr">
        <is>
          <t>NSUH-MACH-G</t>
        </is>
      </c>
      <c r="Y288" t="inlineStr">
        <is>
          <t>A0F5097FF0CC</t>
        </is>
      </c>
      <c r="AB288" t="inlineStr">
        <is>
          <t>WA24406291</t>
        </is>
      </c>
      <c r="CD288">
        <f>IF($Y288="","",IF((IF(AND($BR288&lt;&gt;"Yes",$BR288&lt;&gt;"N/A"),"Power Cable, ","")&amp;IF(AND($BS288&lt;&gt;"Yes",$BS288&lt;&gt;"N/A"),"Battery, ","")&amp;IF(AND($AD288&lt;&gt;"Yes",$AD288&lt;&gt;"N/A"),"Firmware Download, ","")&amp;IF(AND(OR($AD288="Yes",$AD288="N/A"),$AE288&lt;&gt;"Yes",$AE288&lt;&gt;"N/A"),"Firmware Install, ","")&amp;IF(AND($CB288&lt;&gt;"Yes",$CB288&lt;&gt;"N/A"),"Device ID, ","")&amp;IF(AND($CC288&lt;&gt;"Yes",$CC288&lt;&gt;"N/A"),"Epic Beans Relay, ",""))="","",LEFT(IF(AND($BR288&lt;&gt;"Yes",$BR288&lt;&gt;"N/A"),"Power Cable, ","")&amp;IF(AND($BS288&lt;&gt;"Yes",$BS288&lt;&gt;"N/A"),"Battery, ","")&amp;IF(AND($AD288&lt;&gt;"Yes",$AD288&lt;&gt;"N/A"),"Firmware Download, ","")&amp;IF(AND(OR($AD288="Yes",$AD288="N/A"),$AE288&lt;&gt;"Yes",$AE288&lt;&gt;"N/A"),"Firmware Install, ","")&amp;IF(AND($CB288&lt;&gt;"Yes",$CB288&lt;&gt;"N/A"),"Device ID, ","")&amp;IF(AND($CC288&lt;&gt;"Yes",$CC288&lt;&gt;"N/A"),"Epic Beans Relay, ",""),LEN(IF(AND($BR288&lt;&gt;"Yes",$BR288&lt;&gt;"N/A"),"Power Cable, ","")&amp;IF(AND($BS288&lt;&gt;"Yes",$BS288&lt;&gt;"N/A"),"Battery, ","")&amp;IF(AND($AD288&lt;&gt;"Yes",$AD288&lt;&gt;"N/A"),"Firmware Download, ","")&amp;IF(AND(OR($AD288="Yes",$AD288="N/A"),$AE288&lt;&gt;"Yes",$AE288&lt;&gt;"N/A"),"Firmware Install, ","")&amp;IF(AND($CB288&lt;&gt;"Yes",$CB288&lt;&gt;"N/A"),"Device ID, ","")&amp;IF(AND($CC288&lt;&gt;"Yes",$CC288&lt;&gt;"N/A"),"Epic Beans Relay, ",""))-2)))</f>
        <v/>
      </c>
      <c r="CE288">
        <f>IF($Y288="","",IF($CD288="","Yes","Blocked"))</f>
        <v/>
      </c>
      <c r="CP288">
        <f>IF($CO288="","",IFERROR(VLOOKUP($CO288,'01_Warehouse_Ledger'!$A:$N,4,FALSE),""))</f>
        <v/>
      </c>
      <c r="CQ288">
        <f>IF($CO288="","",IFERROR(VLOOKUP($CO288,'01_Warehouse_Ledger'!$A:$N,5,FALSE),""))</f>
        <v/>
      </c>
      <c r="CR288">
        <f>IF($CO288="","",IFERROR(VLOOKUP($CO288,'01_Warehouse_Ledger'!$A:$N,13,FALSE),""))</f>
        <v/>
      </c>
      <c r="CW288">
        <f>IF($S288="","",IF(UPPER(TRIM($S288))&lt;&gt;"PASS","",IF(LEN(TRIM($BY288))&gt;0,"NOTES_PRESENT",IF(LEN(TRIM($T288))=0,"SET_NA",IF(OR(LOWER(TRIM($T288))="na",LOWER(TRIM($T288))="n/a"),"OK","MANUAL_OVERRIDE")))))</f>
        <v/>
      </c>
    </row>
    <row r="289">
      <c r="A289" t="inlineStr">
        <is>
          <t>Neuron</t>
        </is>
      </c>
      <c r="B289" s="8" t="inlineStr">
        <is>
          <t>No</t>
        </is>
      </c>
      <c r="C289" t="inlineStr">
        <is>
          <t>No</t>
        </is>
      </c>
      <c r="D289">
        <f>IF($B289&lt;&gt;"Yes","",IF($C289="No","Yes",IF($C289="Yes","No","")))</f>
        <v/>
      </c>
      <c r="E289">
        <f>IF($A289="","",IF(OR(AND($V289&lt;&gt;"",LOWER(TRIM($V289))&lt;&gt;"n/a",LOWER(TRIM($V289))&lt;&gt;"na",SUMPRODUCT(--(UPPER(TRIM($V$2:$V$518))=UPPER(TRIM($V289))),--(TRIM($V$2:$V$518)&lt;&gt;""),--(LOWER(TRIM($V$2:$V$518))&lt;&gt;"n/a"),--(LOWER(TRIM($V$2:$V$518))&lt;&gt;"na"))&gt;1),AND($W289&lt;&gt;"",LOWER(TRIM($W289))&lt;&gt;"n/a",LOWER(TRIM($W289))&lt;&gt;"na",SUMPRODUCT(--(UPPER(TRIM($W$2:$W$518))=UPPER(TRIM($W289))),--(TRIM($W$2:$W$518)&lt;&gt;""),--(LOWER(TRIM($W$2:$W$518))&lt;&gt;"n/a"),--(LOWER(TRIM($W$2:$W$518))&lt;&gt;"na"))&gt;1),AND($X289&lt;&gt;"",LOWER(TRIM($X289))&lt;&gt;"n/a",LOWER(TRIM($X289))&lt;&gt;"na",SUMPRODUCT(--(UPPER(TRIM($X$2:$X$518))=UPPER(TRIM($X289))),--(TRIM($X$2:$X$518)&lt;&gt;""),--(LOWER(TRIM($X$2:$X$518))&lt;&gt;"n/a"),--(LOWER(TRIM($X$2:$X$518))&lt;&gt;"na"))&gt;1),AND($Y289&lt;&gt;"",LOWER(TRIM($Y289))&lt;&gt;"n/a",LOWER(TRIM($Y289))&lt;&gt;"na",SUMPRODUCT(--(UPPER(SUBSTITUTE(SUBSTITUTE(TRIM($Y$2:$Y$518),":",""),"-",""))=UPPER(SUBSTITUTE(SUBSTITUTE(TRIM($Y289),":",""),"-",""))),--(TRIM($Y$2:$Y$518)&lt;&gt;""),--(LOWER(TRIM($Y$2:$Y$518))&lt;&gt;"n/a"),--(LOWER(TRIM($Y$2:$Y$518))&lt;&gt;"na"))&gt;1),AND($AB289&lt;&gt;"",LOWER(TRIM($AB289))&lt;&gt;"n/a",LOWER(TRIM($AB289))&lt;&gt;"na",SUMPRODUCT(--(UPPER(TRIM($AB$2:$AB$518))=UPPER(TRIM($AB289))),--(TRIM($AB$2:$AB$518)&lt;&gt;""),--(LOWER(TRIM($AB$2:$AB$518))&lt;&gt;"n/a"),--(LOWER(TRIM($AB$2:$AB$518))&lt;&gt;"na"))&gt;1),AND($AH289&lt;&gt;"",LOWER(TRIM($AH289))&lt;&gt;"n/a",LOWER(TRIM($AH289))&lt;&gt;"na",SUMPRODUCT(--(UPPER(SUBSTITUTE(SUBSTITUTE(TRIM($AH$2:$AH$518),":",""),"-",""))=UPPER(SUBSTITUTE(SUBSTITUTE(TRIM($AH289),":",""),"-",""))),--(TRIM($AH$2:$AH$518)&lt;&gt;""),--(LOWER(TRIM($AH$2:$AH$518))&lt;&gt;"n/a"),--(LOWER(TRIM($AH$2:$AH$518))&lt;&gt;"na"))&gt;1),AND($AP289&lt;&gt;"",LOWER(TRIM($AP289))&lt;&gt;"n/a",LOWER(TRIM($AP289))&lt;&gt;"na",SUMPRODUCT(--(UPPER(TRIM($AP$2:$AP$518))=UPPER(TRIM($AP289))),--(TRIM($AP$2:$AP$518)&lt;&gt;""),--(LOWER(TRIM($AP$2:$AP$518))&lt;&gt;"n/a"),--(LOWER(TRIM($AP$2:$AP$518))&lt;&gt;"na"))&gt;1),AND($AQ289&lt;&gt;"",LOWER(TRIM($AQ289))&lt;&gt;"n/a",LOWER(TRIM($AQ289))&lt;&gt;"na",SUMPRODUCT(--(UPPER(TRIM($AQ$2:$AQ$518))=UPPER(TRIM($AQ289))),--(TRIM($AQ$2:$AQ$518)&lt;&gt;""),--(LOWER(TRIM($AQ$2:$AQ$518))&lt;&gt;"n/a"),--(LOWER(TRIM($AQ$2:$AQ$518))&lt;&gt;"na"))&gt;1)),"Yes","No"))</f>
        <v/>
      </c>
      <c r="F289">
        <f>IF(UPPER(TRIM($B289))&lt;&gt;"YES","", IF(OR(AND($V289&lt;&gt;"", LOWER(TRIM($V289))&lt;&gt;"n/a", LOWER(TRIM($V289))&lt;&gt;"na", SUMPRODUCT(--(UPPER(TRIM($V$2:$V$518))=UPPER(TRIM($V289))), --(UPPER(TRIM($B$2:$B$518))="YES"), --(UPPER(TRIM($G$2:$G$518)&amp;TRIM($I$2:$I$518)&amp;TRIM($J$2:$J$518))&lt;&gt;UPPER(TRIM($G289)&amp;TRIM($I289)&amp;TRIM($J289))))&gt;0), AND($W289&lt;&gt;"", LOWER(TRIM($W289))&lt;&gt;"n/a", LOWER(TRIM($W289))&lt;&gt;"na", SUMPRODUCT(--(UPPER(TRIM($W$2:$W$518))=UPPER(TRIM($W289))), --(UPPER(TRIM($B$2:$B$518))="YES"), --(UPPER(TRIM($G$2:$G$518)&amp;TRIM($I$2:$I$518)&amp;TRIM($J$2:$J$518))&lt;&gt;UPPER(TRIM($G289)&amp;TRIM($I289)&amp;TRIM($J289))))&gt;0), AND($X289&lt;&gt;"", LOWER(TRIM($X289))&lt;&gt;"n/a", LOWER(TRIM($X289))&lt;&gt;"na", SUMPRODUCT(--(UPPER(TRIM($X$2:$X$518))=UPPER(TRIM($X289))), --(UPPER(TRIM($B$2:$B$518))="YES"), --(UPPER(TRIM($G$2:$G$518)&amp;TRIM($I$2:$I$518)&amp;TRIM($J$2:$J$518))&lt;&gt;UPPER(TRIM($G289)&amp;TRIM($I289)&amp;TRIM($J289))))&gt;0), AND($Y289&lt;&gt;"", LOWER(TRIM($Y289))&lt;&gt;"n/a", LOWER(TRIM($Y289))&lt;&gt;"na", SUMPRODUCT(--(UPPER(SUBSTITUTE(SUBSTITUTE(TRIM($Y$2:$Y$518),":",""),"-",""))=UPPER(SUBSTITUTE(SUBSTITUTE(TRIM($Y289),":",""),"-",""))), --(UPPER(TRIM($B$2:$B$518))="YES"), --(UPPER(TRIM($G$2:$G$518)&amp;TRIM($I$2:$I$518)&amp;TRIM($J$2:$J$518))&lt;&gt;UPPER(TRIM($G289)&amp;TRIM($I289)&amp;TRIM($J289))))&gt;0), AND($AB289&lt;&gt;"", LOWER(TRIM($AB289))&lt;&gt;"n/a", LOWER(TRIM($AB289))&lt;&gt;"na", SUMPRODUCT(--(UPPER(TRIM($AB$2:$AB$518))=UPPER(TRIM($AB289))), --(UPPER(TRIM($B$2:$B$518))="YES"), --(UPPER(TRIM($G$2:$G$518)&amp;TRIM($I$2:$I$518)&amp;TRIM($J$2:$J$518))&lt;&gt;UPPER(TRIM($G289)&amp;TRIM($I289)&amp;TRIM($J289))))&gt;0), AND($AH289&lt;&gt;"", LOWER(TRIM($AH289))&lt;&gt;"n/a", LOWER(TRIM($AH289))&lt;&gt;"na", SUMPRODUCT(--(UPPER(SUBSTITUTE(SUBSTITUTE(TRIM($AH$2:$AH$518),":",""),"-",""))=UPPER(SUBSTITUTE(SUBSTITUTE(TRIM($AH289),":",""),"-",""))), --(UPPER(TRIM($B$2:$B$518))="YES"), --(UPPER(TRIM($G$2:$G$518)&amp;TRIM($I$2:$I$518)&amp;TRIM($J$2:$J$518))&lt;&gt;UPPER(TRIM($G289)&amp;TRIM($I289)&amp;TRIM($J289))))&gt;0), AND($AP289&lt;&gt;"", LOWER(TRIM($AP289))&lt;&gt;"n/a", LOWER(TRIM($AP289))&lt;&gt;"na", SUMPRODUCT(--(UPPER(TRIM($AP$2:$AP$518))=UPPER(TRIM($AP289))), --(UPPER(TRIM($B$2:$B$518))="YES"), --(UPPER(TRIM($G$2:$G$518)&amp;TRIM($I$2:$I$518)&amp;TRIM($J$2:$J$518))&lt;&gt;UPPER(TRIM($G289)&amp;TRIM($I289)&amp;TRIM($J289))))&gt;0), AND($AQ289&lt;&gt;"", LOWER(TRIM($AQ289))&lt;&gt;"n/a", LOWER(TRIM($AQ289))&lt;&gt;"na", SUMPRODUCT(--(UPPER(TRIM($AQ$2:$AQ$518))=UPPER(TRIM($AQ289))), --(UPPER(TRIM($B$2:$B$518))="YES"), --(UPPER(TRIM($G$2:$G$518)&amp;TRIM($I$2:$I$518)&amp;TRIM($J$2:$J$518))&lt;&gt;UPPER(TRIM($G289)&amp;TRIM($I289)&amp;TRIM($J289))))&gt;0)), "Yes", "No"))</f>
        <v/>
      </c>
      <c r="G289" t="inlineStr">
        <is>
          <t>NSUH - PSP</t>
        </is>
      </c>
      <c r="H289" t="inlineStr">
        <is>
          <t>NSUH - PSP</t>
        </is>
      </c>
      <c r="I289" t="inlineStr">
        <is>
          <t>Main ORs - PSP - 2nd Floor</t>
        </is>
      </c>
      <c r="X289" t="inlineStr">
        <is>
          <t xml:space="preserve">NSUH-MACH-F </t>
        </is>
      </c>
      <c r="Y289" t="inlineStr">
        <is>
          <t>A0F5097FDFF7</t>
        </is>
      </c>
      <c r="AB289" t="inlineStr">
        <is>
          <t>WA24406147</t>
        </is>
      </c>
      <c r="CD289">
        <f>IF($Y289="","",IF((IF(AND($BR289&lt;&gt;"Yes",$BR289&lt;&gt;"N/A"),"Power Cable, ","")&amp;IF(AND($BS289&lt;&gt;"Yes",$BS289&lt;&gt;"N/A"),"Battery, ","")&amp;IF(AND($AD289&lt;&gt;"Yes",$AD289&lt;&gt;"N/A"),"Firmware Download, ","")&amp;IF(AND(OR($AD289="Yes",$AD289="N/A"),$AE289&lt;&gt;"Yes",$AE289&lt;&gt;"N/A"),"Firmware Install, ","")&amp;IF(AND($CB289&lt;&gt;"Yes",$CB289&lt;&gt;"N/A"),"Device ID, ","")&amp;IF(AND($CC289&lt;&gt;"Yes",$CC289&lt;&gt;"N/A"),"Epic Beans Relay, ",""))="","",LEFT(IF(AND($BR289&lt;&gt;"Yes",$BR289&lt;&gt;"N/A"),"Power Cable, ","")&amp;IF(AND($BS289&lt;&gt;"Yes",$BS289&lt;&gt;"N/A"),"Battery, ","")&amp;IF(AND($AD289&lt;&gt;"Yes",$AD289&lt;&gt;"N/A"),"Firmware Download, ","")&amp;IF(AND(OR($AD289="Yes",$AD289="N/A"),$AE289&lt;&gt;"Yes",$AE289&lt;&gt;"N/A"),"Firmware Install, ","")&amp;IF(AND($CB289&lt;&gt;"Yes",$CB289&lt;&gt;"N/A"),"Device ID, ","")&amp;IF(AND($CC289&lt;&gt;"Yes",$CC289&lt;&gt;"N/A"),"Epic Beans Relay, ",""),LEN(IF(AND($BR289&lt;&gt;"Yes",$BR289&lt;&gt;"N/A"),"Power Cable, ","")&amp;IF(AND($BS289&lt;&gt;"Yes",$BS289&lt;&gt;"N/A"),"Battery, ","")&amp;IF(AND($AD289&lt;&gt;"Yes",$AD289&lt;&gt;"N/A"),"Firmware Download, ","")&amp;IF(AND(OR($AD289="Yes",$AD289="N/A"),$AE289&lt;&gt;"Yes",$AE289&lt;&gt;"N/A"),"Firmware Install, ","")&amp;IF(AND($CB289&lt;&gt;"Yes",$CB289&lt;&gt;"N/A"),"Device ID, ","")&amp;IF(AND($CC289&lt;&gt;"Yes",$CC289&lt;&gt;"N/A"),"Epic Beans Relay, ",""))-2)))</f>
        <v/>
      </c>
      <c r="CE289">
        <f>IF($Y289="","",IF($CD289="","Yes","Blocked"))</f>
        <v/>
      </c>
      <c r="CP289">
        <f>IF($CO289="","",IFERROR(VLOOKUP($CO289,'01_Warehouse_Ledger'!$A:$N,4,FALSE),""))</f>
        <v/>
      </c>
      <c r="CQ289">
        <f>IF($CO289="","",IFERROR(VLOOKUP($CO289,'01_Warehouse_Ledger'!$A:$N,5,FALSE),""))</f>
        <v/>
      </c>
      <c r="CR289">
        <f>IF($CO289="","",IFERROR(VLOOKUP($CO289,'01_Warehouse_Ledger'!$A:$N,13,FALSE),""))</f>
        <v/>
      </c>
      <c r="CW289">
        <f>IF($S289="","",IF(UPPER(TRIM($S289))&lt;&gt;"PASS","",IF(LEN(TRIM($BY289))&gt;0,"NOTES_PRESENT",IF(LEN(TRIM($T289))=0,"SET_NA",IF(OR(LOWER(TRIM($T289))="na",LOWER(TRIM($T289))="n/a"),"OK","MANUAL_OVERRIDE")))))</f>
        <v/>
      </c>
    </row>
    <row r="290">
      <c r="A290" t="inlineStr">
        <is>
          <t>Neuron</t>
        </is>
      </c>
      <c r="B290" s="8" t="inlineStr">
        <is>
          <t>No</t>
        </is>
      </c>
      <c r="C290" t="inlineStr">
        <is>
          <t>No</t>
        </is>
      </c>
      <c r="D290">
        <f>IF($B290&lt;&gt;"Yes","",IF($C290="No","Yes",IF($C290="Yes","No","")))</f>
        <v/>
      </c>
      <c r="E290">
        <f>IF($A290="","",IF(OR(AND($V290&lt;&gt;"",LOWER(TRIM($V290))&lt;&gt;"n/a",LOWER(TRIM($V290))&lt;&gt;"na",SUMPRODUCT(--(UPPER(TRIM($V$2:$V$518))=UPPER(TRIM($V290))),--(TRIM($V$2:$V$518)&lt;&gt;""),--(LOWER(TRIM($V$2:$V$518))&lt;&gt;"n/a"),--(LOWER(TRIM($V$2:$V$518))&lt;&gt;"na"))&gt;1),AND($W290&lt;&gt;"",LOWER(TRIM($W290))&lt;&gt;"n/a",LOWER(TRIM($W290))&lt;&gt;"na",SUMPRODUCT(--(UPPER(TRIM($W$2:$W$518))=UPPER(TRIM($W290))),--(TRIM($W$2:$W$518)&lt;&gt;""),--(LOWER(TRIM($W$2:$W$518))&lt;&gt;"n/a"),--(LOWER(TRIM($W$2:$W$518))&lt;&gt;"na"))&gt;1),AND($X290&lt;&gt;"",LOWER(TRIM($X290))&lt;&gt;"n/a",LOWER(TRIM($X290))&lt;&gt;"na",SUMPRODUCT(--(UPPER(TRIM($X$2:$X$518))=UPPER(TRIM($X290))),--(TRIM($X$2:$X$518)&lt;&gt;""),--(LOWER(TRIM($X$2:$X$518))&lt;&gt;"n/a"),--(LOWER(TRIM($X$2:$X$518))&lt;&gt;"na"))&gt;1),AND($Y290&lt;&gt;"",LOWER(TRIM($Y290))&lt;&gt;"n/a",LOWER(TRIM($Y290))&lt;&gt;"na",SUMPRODUCT(--(UPPER(SUBSTITUTE(SUBSTITUTE(TRIM($Y$2:$Y$518),":",""),"-",""))=UPPER(SUBSTITUTE(SUBSTITUTE(TRIM($Y290),":",""),"-",""))),--(TRIM($Y$2:$Y$518)&lt;&gt;""),--(LOWER(TRIM($Y$2:$Y$518))&lt;&gt;"n/a"),--(LOWER(TRIM($Y$2:$Y$518))&lt;&gt;"na"))&gt;1),AND($AB290&lt;&gt;"",LOWER(TRIM($AB290))&lt;&gt;"n/a",LOWER(TRIM($AB290))&lt;&gt;"na",SUMPRODUCT(--(UPPER(TRIM($AB$2:$AB$518))=UPPER(TRIM($AB290))),--(TRIM($AB$2:$AB$518)&lt;&gt;""),--(LOWER(TRIM($AB$2:$AB$518))&lt;&gt;"n/a"),--(LOWER(TRIM($AB$2:$AB$518))&lt;&gt;"na"))&gt;1),AND($AH290&lt;&gt;"",LOWER(TRIM($AH290))&lt;&gt;"n/a",LOWER(TRIM($AH290))&lt;&gt;"na",SUMPRODUCT(--(UPPER(SUBSTITUTE(SUBSTITUTE(TRIM($AH$2:$AH$518),":",""),"-",""))=UPPER(SUBSTITUTE(SUBSTITUTE(TRIM($AH290),":",""),"-",""))),--(TRIM($AH$2:$AH$518)&lt;&gt;""),--(LOWER(TRIM($AH$2:$AH$518))&lt;&gt;"n/a"),--(LOWER(TRIM($AH$2:$AH$518))&lt;&gt;"na"))&gt;1),AND($AP290&lt;&gt;"",LOWER(TRIM($AP290))&lt;&gt;"n/a",LOWER(TRIM($AP290))&lt;&gt;"na",SUMPRODUCT(--(UPPER(TRIM($AP$2:$AP$518))=UPPER(TRIM($AP290))),--(TRIM($AP$2:$AP$518)&lt;&gt;""),--(LOWER(TRIM($AP$2:$AP$518))&lt;&gt;"n/a"),--(LOWER(TRIM($AP$2:$AP$518))&lt;&gt;"na"))&gt;1),AND($AQ290&lt;&gt;"",LOWER(TRIM($AQ290))&lt;&gt;"n/a",LOWER(TRIM($AQ290))&lt;&gt;"na",SUMPRODUCT(--(UPPER(TRIM($AQ$2:$AQ$518))=UPPER(TRIM($AQ290))),--(TRIM($AQ$2:$AQ$518)&lt;&gt;""),--(LOWER(TRIM($AQ$2:$AQ$518))&lt;&gt;"n/a"),--(LOWER(TRIM($AQ$2:$AQ$518))&lt;&gt;"na"))&gt;1)),"Yes","No"))</f>
        <v/>
      </c>
      <c r="F290">
        <f>IF(UPPER(TRIM($B290))&lt;&gt;"YES","", IF(OR(AND($V290&lt;&gt;"", LOWER(TRIM($V290))&lt;&gt;"n/a", LOWER(TRIM($V290))&lt;&gt;"na", SUMPRODUCT(--(UPPER(TRIM($V$2:$V$518))=UPPER(TRIM($V290))), --(UPPER(TRIM($B$2:$B$518))="YES"), --(UPPER(TRIM($G$2:$G$518)&amp;TRIM($I$2:$I$518)&amp;TRIM($J$2:$J$518))&lt;&gt;UPPER(TRIM($G290)&amp;TRIM($I290)&amp;TRIM($J290))))&gt;0), AND($W290&lt;&gt;"", LOWER(TRIM($W290))&lt;&gt;"n/a", LOWER(TRIM($W290))&lt;&gt;"na", SUMPRODUCT(--(UPPER(TRIM($W$2:$W$518))=UPPER(TRIM($W290))), --(UPPER(TRIM($B$2:$B$518))="YES"), --(UPPER(TRIM($G$2:$G$518)&amp;TRIM($I$2:$I$518)&amp;TRIM($J$2:$J$518))&lt;&gt;UPPER(TRIM($G290)&amp;TRIM($I290)&amp;TRIM($J290))))&gt;0), AND($X290&lt;&gt;"", LOWER(TRIM($X290))&lt;&gt;"n/a", LOWER(TRIM($X290))&lt;&gt;"na", SUMPRODUCT(--(UPPER(TRIM($X$2:$X$518))=UPPER(TRIM($X290))), --(UPPER(TRIM($B$2:$B$518))="YES"), --(UPPER(TRIM($G$2:$G$518)&amp;TRIM($I$2:$I$518)&amp;TRIM($J$2:$J$518))&lt;&gt;UPPER(TRIM($G290)&amp;TRIM($I290)&amp;TRIM($J290))))&gt;0), AND($Y290&lt;&gt;"", LOWER(TRIM($Y290))&lt;&gt;"n/a", LOWER(TRIM($Y290))&lt;&gt;"na", SUMPRODUCT(--(UPPER(SUBSTITUTE(SUBSTITUTE(TRIM($Y$2:$Y$518),":",""),"-",""))=UPPER(SUBSTITUTE(SUBSTITUTE(TRIM($Y290),":",""),"-",""))), --(UPPER(TRIM($B$2:$B$518))="YES"), --(UPPER(TRIM($G$2:$G$518)&amp;TRIM($I$2:$I$518)&amp;TRIM($J$2:$J$518))&lt;&gt;UPPER(TRIM($G290)&amp;TRIM($I290)&amp;TRIM($J290))))&gt;0), AND($AB290&lt;&gt;"", LOWER(TRIM($AB290))&lt;&gt;"n/a", LOWER(TRIM($AB290))&lt;&gt;"na", SUMPRODUCT(--(UPPER(TRIM($AB$2:$AB$518))=UPPER(TRIM($AB290))), --(UPPER(TRIM($B$2:$B$518))="YES"), --(UPPER(TRIM($G$2:$G$518)&amp;TRIM($I$2:$I$518)&amp;TRIM($J$2:$J$518))&lt;&gt;UPPER(TRIM($G290)&amp;TRIM($I290)&amp;TRIM($J290))))&gt;0), AND($AH290&lt;&gt;"", LOWER(TRIM($AH290))&lt;&gt;"n/a", LOWER(TRIM($AH290))&lt;&gt;"na", SUMPRODUCT(--(UPPER(SUBSTITUTE(SUBSTITUTE(TRIM($AH$2:$AH$518),":",""),"-",""))=UPPER(SUBSTITUTE(SUBSTITUTE(TRIM($AH290),":",""),"-",""))), --(UPPER(TRIM($B$2:$B$518))="YES"), --(UPPER(TRIM($G$2:$G$518)&amp;TRIM($I$2:$I$518)&amp;TRIM($J$2:$J$518))&lt;&gt;UPPER(TRIM($G290)&amp;TRIM($I290)&amp;TRIM($J290))))&gt;0), AND($AP290&lt;&gt;"", LOWER(TRIM($AP290))&lt;&gt;"n/a", LOWER(TRIM($AP290))&lt;&gt;"na", SUMPRODUCT(--(UPPER(TRIM($AP$2:$AP$518))=UPPER(TRIM($AP290))), --(UPPER(TRIM($B$2:$B$518))="YES"), --(UPPER(TRIM($G$2:$G$518)&amp;TRIM($I$2:$I$518)&amp;TRIM($J$2:$J$518))&lt;&gt;UPPER(TRIM($G290)&amp;TRIM($I290)&amp;TRIM($J290))))&gt;0), AND($AQ290&lt;&gt;"", LOWER(TRIM($AQ290))&lt;&gt;"n/a", LOWER(TRIM($AQ290))&lt;&gt;"na", SUMPRODUCT(--(UPPER(TRIM($AQ$2:$AQ$518))=UPPER(TRIM($AQ290))), --(UPPER(TRIM($B$2:$B$518))="YES"), --(UPPER(TRIM($G$2:$G$518)&amp;TRIM($I$2:$I$518)&amp;TRIM($J$2:$J$518))&lt;&gt;UPPER(TRIM($G290)&amp;TRIM($I290)&amp;TRIM($J290))))&gt;0)), "Yes", "No"))</f>
        <v/>
      </c>
      <c r="G290" t="inlineStr">
        <is>
          <t>NSUH - PSP</t>
        </is>
      </c>
      <c r="H290" t="inlineStr">
        <is>
          <t>NSUH - PSP</t>
        </is>
      </c>
      <c r="I290" t="inlineStr">
        <is>
          <t>Main ORs - PSP - 2nd Floor</t>
        </is>
      </c>
      <c r="X290" t="inlineStr">
        <is>
          <t>NSUH-MACH-HHH</t>
        </is>
      </c>
      <c r="Y290" t="inlineStr">
        <is>
          <t>A0F5097FE3BB</t>
        </is>
      </c>
      <c r="AB290" t="inlineStr">
        <is>
          <t>WA24406224</t>
        </is>
      </c>
      <c r="CD290">
        <f>IF($Y290="","",IF((IF(AND($BR290&lt;&gt;"Yes",$BR290&lt;&gt;"N/A"),"Power Cable, ","")&amp;IF(AND($BS290&lt;&gt;"Yes",$BS290&lt;&gt;"N/A"),"Battery, ","")&amp;IF(AND($AD290&lt;&gt;"Yes",$AD290&lt;&gt;"N/A"),"Firmware Download, ","")&amp;IF(AND(OR($AD290="Yes",$AD290="N/A"),$AE290&lt;&gt;"Yes",$AE290&lt;&gt;"N/A"),"Firmware Install, ","")&amp;IF(AND($CB290&lt;&gt;"Yes",$CB290&lt;&gt;"N/A"),"Device ID, ","")&amp;IF(AND($CC290&lt;&gt;"Yes",$CC290&lt;&gt;"N/A"),"Epic Beans Relay, ",""))="","",LEFT(IF(AND($BR290&lt;&gt;"Yes",$BR290&lt;&gt;"N/A"),"Power Cable, ","")&amp;IF(AND($BS290&lt;&gt;"Yes",$BS290&lt;&gt;"N/A"),"Battery, ","")&amp;IF(AND($AD290&lt;&gt;"Yes",$AD290&lt;&gt;"N/A"),"Firmware Download, ","")&amp;IF(AND(OR($AD290="Yes",$AD290="N/A"),$AE290&lt;&gt;"Yes",$AE290&lt;&gt;"N/A"),"Firmware Install, ","")&amp;IF(AND($CB290&lt;&gt;"Yes",$CB290&lt;&gt;"N/A"),"Device ID, ","")&amp;IF(AND($CC290&lt;&gt;"Yes",$CC290&lt;&gt;"N/A"),"Epic Beans Relay, ",""),LEN(IF(AND($BR290&lt;&gt;"Yes",$BR290&lt;&gt;"N/A"),"Power Cable, ","")&amp;IF(AND($BS290&lt;&gt;"Yes",$BS290&lt;&gt;"N/A"),"Battery, ","")&amp;IF(AND($AD290&lt;&gt;"Yes",$AD290&lt;&gt;"N/A"),"Firmware Download, ","")&amp;IF(AND(OR($AD290="Yes",$AD290="N/A"),$AE290&lt;&gt;"Yes",$AE290&lt;&gt;"N/A"),"Firmware Install, ","")&amp;IF(AND($CB290&lt;&gt;"Yes",$CB290&lt;&gt;"N/A"),"Device ID, ","")&amp;IF(AND($CC290&lt;&gt;"Yes",$CC290&lt;&gt;"N/A"),"Epic Beans Relay, ",""))-2)))</f>
        <v/>
      </c>
      <c r="CE290">
        <f>IF($Y290="","",IF($CD290="","Yes","Blocked"))</f>
        <v/>
      </c>
      <c r="CP290">
        <f>IF($CO290="","",IFERROR(VLOOKUP($CO290,'01_Warehouse_Ledger'!$A:$N,4,FALSE),""))</f>
        <v/>
      </c>
      <c r="CQ290">
        <f>IF($CO290="","",IFERROR(VLOOKUP($CO290,'01_Warehouse_Ledger'!$A:$N,5,FALSE),""))</f>
        <v/>
      </c>
      <c r="CR290">
        <f>IF($CO290="","",IFERROR(VLOOKUP($CO290,'01_Warehouse_Ledger'!$A:$N,13,FALSE),""))</f>
        <v/>
      </c>
      <c r="CW290">
        <f>IF($S290="","",IF(UPPER(TRIM($S290))&lt;&gt;"PASS","",IF(LEN(TRIM($BY290))&gt;0,"NOTES_PRESENT",IF(LEN(TRIM($T290))=0,"SET_NA",IF(OR(LOWER(TRIM($T290))="na",LOWER(TRIM($T290))="n/a"),"OK","MANUAL_OVERRIDE")))))</f>
        <v/>
      </c>
    </row>
    <row r="291">
      <c r="A291" t="inlineStr">
        <is>
          <t>Neuron</t>
        </is>
      </c>
      <c r="B291" s="8" t="inlineStr">
        <is>
          <t>No</t>
        </is>
      </c>
      <c r="C291" t="inlineStr">
        <is>
          <t>No</t>
        </is>
      </c>
      <c r="D291">
        <f>IF($B291&lt;&gt;"Yes","",IF($C291="No","Yes",IF($C291="Yes","No","")))</f>
        <v/>
      </c>
      <c r="E291">
        <f>IF($A291="","",IF(OR(AND($V291&lt;&gt;"",LOWER(TRIM($V291))&lt;&gt;"n/a",LOWER(TRIM($V291))&lt;&gt;"na",SUMPRODUCT(--(UPPER(TRIM($V$2:$V$518))=UPPER(TRIM($V291))),--(TRIM($V$2:$V$518)&lt;&gt;""),--(LOWER(TRIM($V$2:$V$518))&lt;&gt;"n/a"),--(LOWER(TRIM($V$2:$V$518))&lt;&gt;"na"))&gt;1),AND($W291&lt;&gt;"",LOWER(TRIM($W291))&lt;&gt;"n/a",LOWER(TRIM($W291))&lt;&gt;"na",SUMPRODUCT(--(UPPER(TRIM($W$2:$W$518))=UPPER(TRIM($W291))),--(TRIM($W$2:$W$518)&lt;&gt;""),--(LOWER(TRIM($W$2:$W$518))&lt;&gt;"n/a"),--(LOWER(TRIM($W$2:$W$518))&lt;&gt;"na"))&gt;1),AND($X291&lt;&gt;"",LOWER(TRIM($X291))&lt;&gt;"n/a",LOWER(TRIM($X291))&lt;&gt;"na",SUMPRODUCT(--(UPPER(TRIM($X$2:$X$518))=UPPER(TRIM($X291))),--(TRIM($X$2:$X$518)&lt;&gt;""),--(LOWER(TRIM($X$2:$X$518))&lt;&gt;"n/a"),--(LOWER(TRIM($X$2:$X$518))&lt;&gt;"na"))&gt;1),AND($Y291&lt;&gt;"",LOWER(TRIM($Y291))&lt;&gt;"n/a",LOWER(TRIM($Y291))&lt;&gt;"na",SUMPRODUCT(--(UPPER(SUBSTITUTE(SUBSTITUTE(TRIM($Y$2:$Y$518),":",""),"-",""))=UPPER(SUBSTITUTE(SUBSTITUTE(TRIM($Y291),":",""),"-",""))),--(TRIM($Y$2:$Y$518)&lt;&gt;""),--(LOWER(TRIM($Y$2:$Y$518))&lt;&gt;"n/a"),--(LOWER(TRIM($Y$2:$Y$518))&lt;&gt;"na"))&gt;1),AND($AB291&lt;&gt;"",LOWER(TRIM($AB291))&lt;&gt;"n/a",LOWER(TRIM($AB291))&lt;&gt;"na",SUMPRODUCT(--(UPPER(TRIM($AB$2:$AB$518))=UPPER(TRIM($AB291))),--(TRIM($AB$2:$AB$518)&lt;&gt;""),--(LOWER(TRIM($AB$2:$AB$518))&lt;&gt;"n/a"),--(LOWER(TRIM($AB$2:$AB$518))&lt;&gt;"na"))&gt;1),AND($AH291&lt;&gt;"",LOWER(TRIM($AH291))&lt;&gt;"n/a",LOWER(TRIM($AH291))&lt;&gt;"na",SUMPRODUCT(--(UPPER(SUBSTITUTE(SUBSTITUTE(TRIM($AH$2:$AH$518),":",""),"-",""))=UPPER(SUBSTITUTE(SUBSTITUTE(TRIM($AH291),":",""),"-",""))),--(TRIM($AH$2:$AH$518)&lt;&gt;""),--(LOWER(TRIM($AH$2:$AH$518))&lt;&gt;"n/a"),--(LOWER(TRIM($AH$2:$AH$518))&lt;&gt;"na"))&gt;1),AND($AP291&lt;&gt;"",LOWER(TRIM($AP291))&lt;&gt;"n/a",LOWER(TRIM($AP291))&lt;&gt;"na",SUMPRODUCT(--(UPPER(TRIM($AP$2:$AP$518))=UPPER(TRIM($AP291))),--(TRIM($AP$2:$AP$518)&lt;&gt;""),--(LOWER(TRIM($AP$2:$AP$518))&lt;&gt;"n/a"),--(LOWER(TRIM($AP$2:$AP$518))&lt;&gt;"na"))&gt;1),AND($AQ291&lt;&gt;"",LOWER(TRIM($AQ291))&lt;&gt;"n/a",LOWER(TRIM($AQ291))&lt;&gt;"na",SUMPRODUCT(--(UPPER(TRIM($AQ$2:$AQ$518))=UPPER(TRIM($AQ291))),--(TRIM($AQ$2:$AQ$518)&lt;&gt;""),--(LOWER(TRIM($AQ$2:$AQ$518))&lt;&gt;"n/a"),--(LOWER(TRIM($AQ$2:$AQ$518))&lt;&gt;"na"))&gt;1)),"Yes","No"))</f>
        <v/>
      </c>
      <c r="F291">
        <f>IF(UPPER(TRIM($B291))&lt;&gt;"YES","", IF(OR(AND($V291&lt;&gt;"", LOWER(TRIM($V291))&lt;&gt;"n/a", LOWER(TRIM($V291))&lt;&gt;"na", SUMPRODUCT(--(UPPER(TRIM($V$2:$V$518))=UPPER(TRIM($V291))), --(UPPER(TRIM($B$2:$B$518))="YES"), --(UPPER(TRIM($G$2:$G$518)&amp;TRIM($I$2:$I$518)&amp;TRIM($J$2:$J$518))&lt;&gt;UPPER(TRIM($G291)&amp;TRIM($I291)&amp;TRIM($J291))))&gt;0), AND($W291&lt;&gt;"", LOWER(TRIM($W291))&lt;&gt;"n/a", LOWER(TRIM($W291))&lt;&gt;"na", SUMPRODUCT(--(UPPER(TRIM($W$2:$W$518))=UPPER(TRIM($W291))), --(UPPER(TRIM($B$2:$B$518))="YES"), --(UPPER(TRIM($G$2:$G$518)&amp;TRIM($I$2:$I$518)&amp;TRIM($J$2:$J$518))&lt;&gt;UPPER(TRIM($G291)&amp;TRIM($I291)&amp;TRIM($J291))))&gt;0), AND($X291&lt;&gt;"", LOWER(TRIM($X291))&lt;&gt;"n/a", LOWER(TRIM($X291))&lt;&gt;"na", SUMPRODUCT(--(UPPER(TRIM($X$2:$X$518))=UPPER(TRIM($X291))), --(UPPER(TRIM($B$2:$B$518))="YES"), --(UPPER(TRIM($G$2:$G$518)&amp;TRIM($I$2:$I$518)&amp;TRIM($J$2:$J$518))&lt;&gt;UPPER(TRIM($G291)&amp;TRIM($I291)&amp;TRIM($J291))))&gt;0), AND($Y291&lt;&gt;"", LOWER(TRIM($Y291))&lt;&gt;"n/a", LOWER(TRIM($Y291))&lt;&gt;"na", SUMPRODUCT(--(UPPER(SUBSTITUTE(SUBSTITUTE(TRIM($Y$2:$Y$518),":",""),"-",""))=UPPER(SUBSTITUTE(SUBSTITUTE(TRIM($Y291),":",""),"-",""))), --(UPPER(TRIM($B$2:$B$518))="YES"), --(UPPER(TRIM($G$2:$G$518)&amp;TRIM($I$2:$I$518)&amp;TRIM($J$2:$J$518))&lt;&gt;UPPER(TRIM($G291)&amp;TRIM($I291)&amp;TRIM($J291))))&gt;0), AND($AB291&lt;&gt;"", LOWER(TRIM($AB291))&lt;&gt;"n/a", LOWER(TRIM($AB291))&lt;&gt;"na", SUMPRODUCT(--(UPPER(TRIM($AB$2:$AB$518))=UPPER(TRIM($AB291))), --(UPPER(TRIM($B$2:$B$518))="YES"), --(UPPER(TRIM($G$2:$G$518)&amp;TRIM($I$2:$I$518)&amp;TRIM($J$2:$J$518))&lt;&gt;UPPER(TRIM($G291)&amp;TRIM($I291)&amp;TRIM($J291))))&gt;0), AND($AH291&lt;&gt;"", LOWER(TRIM($AH291))&lt;&gt;"n/a", LOWER(TRIM($AH291))&lt;&gt;"na", SUMPRODUCT(--(UPPER(SUBSTITUTE(SUBSTITUTE(TRIM($AH$2:$AH$518),":",""),"-",""))=UPPER(SUBSTITUTE(SUBSTITUTE(TRIM($AH291),":",""),"-",""))), --(UPPER(TRIM($B$2:$B$518))="YES"), --(UPPER(TRIM($G$2:$G$518)&amp;TRIM($I$2:$I$518)&amp;TRIM($J$2:$J$518))&lt;&gt;UPPER(TRIM($G291)&amp;TRIM($I291)&amp;TRIM($J291))))&gt;0), AND($AP291&lt;&gt;"", LOWER(TRIM($AP291))&lt;&gt;"n/a", LOWER(TRIM($AP291))&lt;&gt;"na", SUMPRODUCT(--(UPPER(TRIM($AP$2:$AP$518))=UPPER(TRIM($AP291))), --(UPPER(TRIM($B$2:$B$518))="YES"), --(UPPER(TRIM($G$2:$G$518)&amp;TRIM($I$2:$I$518)&amp;TRIM($J$2:$J$518))&lt;&gt;UPPER(TRIM($G291)&amp;TRIM($I291)&amp;TRIM($J291))))&gt;0), AND($AQ291&lt;&gt;"", LOWER(TRIM($AQ291))&lt;&gt;"n/a", LOWER(TRIM($AQ291))&lt;&gt;"na", SUMPRODUCT(--(UPPER(TRIM($AQ$2:$AQ$518))=UPPER(TRIM($AQ291))), --(UPPER(TRIM($B$2:$B$518))="YES"), --(UPPER(TRIM($G$2:$G$518)&amp;TRIM($I$2:$I$518)&amp;TRIM($J$2:$J$518))&lt;&gt;UPPER(TRIM($G291)&amp;TRIM($I291)&amp;TRIM($J291))))&gt;0)), "Yes", "No"))</f>
        <v/>
      </c>
      <c r="G291" t="inlineStr">
        <is>
          <t>NSUH - PSP</t>
        </is>
      </c>
      <c r="H291" t="inlineStr">
        <is>
          <t>NSUH - PSP</t>
        </is>
      </c>
      <c r="I291" t="inlineStr">
        <is>
          <t>Main ORs - PSP - 2nd Floor</t>
        </is>
      </c>
      <c r="X291" t="inlineStr">
        <is>
          <t>NSUH-MACH-RR</t>
        </is>
      </c>
      <c r="Y291" t="inlineStr">
        <is>
          <t>A0F5097FEA9D</t>
        </is>
      </c>
      <c r="AB291" t="inlineStr">
        <is>
          <t>WA24406292</t>
        </is>
      </c>
      <c r="CD291">
        <f>IF($Y291="","",IF((IF(AND($BR291&lt;&gt;"Yes",$BR291&lt;&gt;"N/A"),"Power Cable, ","")&amp;IF(AND($BS291&lt;&gt;"Yes",$BS291&lt;&gt;"N/A"),"Battery, ","")&amp;IF(AND($AD291&lt;&gt;"Yes",$AD291&lt;&gt;"N/A"),"Firmware Download, ","")&amp;IF(AND(OR($AD291="Yes",$AD291="N/A"),$AE291&lt;&gt;"Yes",$AE291&lt;&gt;"N/A"),"Firmware Install, ","")&amp;IF(AND($CB291&lt;&gt;"Yes",$CB291&lt;&gt;"N/A"),"Device ID, ","")&amp;IF(AND($CC291&lt;&gt;"Yes",$CC291&lt;&gt;"N/A"),"Epic Beans Relay, ",""))="","",LEFT(IF(AND($BR291&lt;&gt;"Yes",$BR291&lt;&gt;"N/A"),"Power Cable, ","")&amp;IF(AND($BS291&lt;&gt;"Yes",$BS291&lt;&gt;"N/A"),"Battery, ","")&amp;IF(AND($AD291&lt;&gt;"Yes",$AD291&lt;&gt;"N/A"),"Firmware Download, ","")&amp;IF(AND(OR($AD291="Yes",$AD291="N/A"),$AE291&lt;&gt;"Yes",$AE291&lt;&gt;"N/A"),"Firmware Install, ","")&amp;IF(AND($CB291&lt;&gt;"Yes",$CB291&lt;&gt;"N/A"),"Device ID, ","")&amp;IF(AND($CC291&lt;&gt;"Yes",$CC291&lt;&gt;"N/A"),"Epic Beans Relay, ",""),LEN(IF(AND($BR291&lt;&gt;"Yes",$BR291&lt;&gt;"N/A"),"Power Cable, ","")&amp;IF(AND($BS291&lt;&gt;"Yes",$BS291&lt;&gt;"N/A"),"Battery, ","")&amp;IF(AND($AD291&lt;&gt;"Yes",$AD291&lt;&gt;"N/A"),"Firmware Download, ","")&amp;IF(AND(OR($AD291="Yes",$AD291="N/A"),$AE291&lt;&gt;"Yes",$AE291&lt;&gt;"N/A"),"Firmware Install, ","")&amp;IF(AND($CB291&lt;&gt;"Yes",$CB291&lt;&gt;"N/A"),"Device ID, ","")&amp;IF(AND($CC291&lt;&gt;"Yes",$CC291&lt;&gt;"N/A"),"Epic Beans Relay, ",""))-2)))</f>
        <v/>
      </c>
      <c r="CE291">
        <f>IF($Y291="","",IF($CD291="","Yes","Blocked"))</f>
        <v/>
      </c>
      <c r="CP291">
        <f>IF($CO291="","",IFERROR(VLOOKUP($CO291,'01_Warehouse_Ledger'!$A:$N,4,FALSE),""))</f>
        <v/>
      </c>
      <c r="CQ291">
        <f>IF($CO291="","",IFERROR(VLOOKUP($CO291,'01_Warehouse_Ledger'!$A:$N,5,FALSE),""))</f>
        <v/>
      </c>
      <c r="CR291">
        <f>IF($CO291="","",IFERROR(VLOOKUP($CO291,'01_Warehouse_Ledger'!$A:$N,13,FALSE),""))</f>
        <v/>
      </c>
      <c r="CW291">
        <f>IF($S291="","",IF(UPPER(TRIM($S291))&lt;&gt;"PASS","",IF(LEN(TRIM($BY291))&gt;0,"NOTES_PRESENT",IF(LEN(TRIM($T291))=0,"SET_NA",IF(OR(LOWER(TRIM($T291))="na",LOWER(TRIM($T291))="n/a"),"OK","MANUAL_OVERRIDE")))))</f>
        <v/>
      </c>
    </row>
    <row r="292">
      <c r="A292" t="inlineStr">
        <is>
          <t>Neuron</t>
        </is>
      </c>
      <c r="B292" s="8" t="inlineStr">
        <is>
          <t>No</t>
        </is>
      </c>
      <c r="C292" t="inlineStr">
        <is>
          <t>No</t>
        </is>
      </c>
      <c r="D292">
        <f>IF($B292&lt;&gt;"Yes","",IF($C292="No","Yes",IF($C292="Yes","No","")))</f>
        <v/>
      </c>
      <c r="E292">
        <f>IF($A292="","",IF(OR(AND($V292&lt;&gt;"",LOWER(TRIM($V292))&lt;&gt;"n/a",LOWER(TRIM($V292))&lt;&gt;"na",SUMPRODUCT(--(UPPER(TRIM($V$2:$V$518))=UPPER(TRIM($V292))),--(TRIM($V$2:$V$518)&lt;&gt;""),--(LOWER(TRIM($V$2:$V$518))&lt;&gt;"n/a"),--(LOWER(TRIM($V$2:$V$518))&lt;&gt;"na"))&gt;1),AND($W292&lt;&gt;"",LOWER(TRIM($W292))&lt;&gt;"n/a",LOWER(TRIM($W292))&lt;&gt;"na",SUMPRODUCT(--(UPPER(TRIM($W$2:$W$518))=UPPER(TRIM($W292))),--(TRIM($W$2:$W$518)&lt;&gt;""),--(LOWER(TRIM($W$2:$W$518))&lt;&gt;"n/a"),--(LOWER(TRIM($W$2:$W$518))&lt;&gt;"na"))&gt;1),AND($X292&lt;&gt;"",LOWER(TRIM($X292))&lt;&gt;"n/a",LOWER(TRIM($X292))&lt;&gt;"na",SUMPRODUCT(--(UPPER(TRIM($X$2:$X$518))=UPPER(TRIM($X292))),--(TRIM($X$2:$X$518)&lt;&gt;""),--(LOWER(TRIM($X$2:$X$518))&lt;&gt;"n/a"),--(LOWER(TRIM($X$2:$X$518))&lt;&gt;"na"))&gt;1),AND($Y292&lt;&gt;"",LOWER(TRIM($Y292))&lt;&gt;"n/a",LOWER(TRIM($Y292))&lt;&gt;"na",SUMPRODUCT(--(UPPER(SUBSTITUTE(SUBSTITUTE(TRIM($Y$2:$Y$518),":",""),"-",""))=UPPER(SUBSTITUTE(SUBSTITUTE(TRIM($Y292),":",""),"-",""))),--(TRIM($Y$2:$Y$518)&lt;&gt;""),--(LOWER(TRIM($Y$2:$Y$518))&lt;&gt;"n/a"),--(LOWER(TRIM($Y$2:$Y$518))&lt;&gt;"na"))&gt;1),AND($AB292&lt;&gt;"",LOWER(TRIM($AB292))&lt;&gt;"n/a",LOWER(TRIM($AB292))&lt;&gt;"na",SUMPRODUCT(--(UPPER(TRIM($AB$2:$AB$518))=UPPER(TRIM($AB292))),--(TRIM($AB$2:$AB$518)&lt;&gt;""),--(LOWER(TRIM($AB$2:$AB$518))&lt;&gt;"n/a"),--(LOWER(TRIM($AB$2:$AB$518))&lt;&gt;"na"))&gt;1),AND($AH292&lt;&gt;"",LOWER(TRIM($AH292))&lt;&gt;"n/a",LOWER(TRIM($AH292))&lt;&gt;"na",SUMPRODUCT(--(UPPER(SUBSTITUTE(SUBSTITUTE(TRIM($AH$2:$AH$518),":",""),"-",""))=UPPER(SUBSTITUTE(SUBSTITUTE(TRIM($AH292),":",""),"-",""))),--(TRIM($AH$2:$AH$518)&lt;&gt;""),--(LOWER(TRIM($AH$2:$AH$518))&lt;&gt;"n/a"),--(LOWER(TRIM($AH$2:$AH$518))&lt;&gt;"na"))&gt;1),AND($AP292&lt;&gt;"",LOWER(TRIM($AP292))&lt;&gt;"n/a",LOWER(TRIM($AP292))&lt;&gt;"na",SUMPRODUCT(--(UPPER(TRIM($AP$2:$AP$518))=UPPER(TRIM($AP292))),--(TRIM($AP$2:$AP$518)&lt;&gt;""),--(LOWER(TRIM($AP$2:$AP$518))&lt;&gt;"n/a"),--(LOWER(TRIM($AP$2:$AP$518))&lt;&gt;"na"))&gt;1),AND($AQ292&lt;&gt;"",LOWER(TRIM($AQ292))&lt;&gt;"n/a",LOWER(TRIM($AQ292))&lt;&gt;"na",SUMPRODUCT(--(UPPER(TRIM($AQ$2:$AQ$518))=UPPER(TRIM($AQ292))),--(TRIM($AQ$2:$AQ$518)&lt;&gt;""),--(LOWER(TRIM($AQ$2:$AQ$518))&lt;&gt;"n/a"),--(LOWER(TRIM($AQ$2:$AQ$518))&lt;&gt;"na"))&gt;1)),"Yes","No"))</f>
        <v/>
      </c>
      <c r="F292">
        <f>IF(UPPER(TRIM($B292))&lt;&gt;"YES","", IF(OR(AND($V292&lt;&gt;"", LOWER(TRIM($V292))&lt;&gt;"n/a", LOWER(TRIM($V292))&lt;&gt;"na", SUMPRODUCT(--(UPPER(TRIM($V$2:$V$518))=UPPER(TRIM($V292))), --(UPPER(TRIM($B$2:$B$518))="YES"), --(UPPER(TRIM($G$2:$G$518)&amp;TRIM($I$2:$I$518)&amp;TRIM($J$2:$J$518))&lt;&gt;UPPER(TRIM($G292)&amp;TRIM($I292)&amp;TRIM($J292))))&gt;0), AND($W292&lt;&gt;"", LOWER(TRIM($W292))&lt;&gt;"n/a", LOWER(TRIM($W292))&lt;&gt;"na", SUMPRODUCT(--(UPPER(TRIM($W$2:$W$518))=UPPER(TRIM($W292))), --(UPPER(TRIM($B$2:$B$518))="YES"), --(UPPER(TRIM($G$2:$G$518)&amp;TRIM($I$2:$I$518)&amp;TRIM($J$2:$J$518))&lt;&gt;UPPER(TRIM($G292)&amp;TRIM($I292)&amp;TRIM($J292))))&gt;0), AND($X292&lt;&gt;"", LOWER(TRIM($X292))&lt;&gt;"n/a", LOWER(TRIM($X292))&lt;&gt;"na", SUMPRODUCT(--(UPPER(TRIM($X$2:$X$518))=UPPER(TRIM($X292))), --(UPPER(TRIM($B$2:$B$518))="YES"), --(UPPER(TRIM($G$2:$G$518)&amp;TRIM($I$2:$I$518)&amp;TRIM($J$2:$J$518))&lt;&gt;UPPER(TRIM($G292)&amp;TRIM($I292)&amp;TRIM($J292))))&gt;0), AND($Y292&lt;&gt;"", LOWER(TRIM($Y292))&lt;&gt;"n/a", LOWER(TRIM($Y292))&lt;&gt;"na", SUMPRODUCT(--(UPPER(SUBSTITUTE(SUBSTITUTE(TRIM($Y$2:$Y$518),":",""),"-",""))=UPPER(SUBSTITUTE(SUBSTITUTE(TRIM($Y292),":",""),"-",""))), --(UPPER(TRIM($B$2:$B$518))="YES"), --(UPPER(TRIM($G$2:$G$518)&amp;TRIM($I$2:$I$518)&amp;TRIM($J$2:$J$518))&lt;&gt;UPPER(TRIM($G292)&amp;TRIM($I292)&amp;TRIM($J292))))&gt;0), AND($AB292&lt;&gt;"", LOWER(TRIM($AB292))&lt;&gt;"n/a", LOWER(TRIM($AB292))&lt;&gt;"na", SUMPRODUCT(--(UPPER(TRIM($AB$2:$AB$518))=UPPER(TRIM($AB292))), --(UPPER(TRIM($B$2:$B$518))="YES"), --(UPPER(TRIM($G$2:$G$518)&amp;TRIM($I$2:$I$518)&amp;TRIM($J$2:$J$518))&lt;&gt;UPPER(TRIM($G292)&amp;TRIM($I292)&amp;TRIM($J292))))&gt;0), AND($AH292&lt;&gt;"", LOWER(TRIM($AH292))&lt;&gt;"n/a", LOWER(TRIM($AH292))&lt;&gt;"na", SUMPRODUCT(--(UPPER(SUBSTITUTE(SUBSTITUTE(TRIM($AH$2:$AH$518),":",""),"-",""))=UPPER(SUBSTITUTE(SUBSTITUTE(TRIM($AH292),":",""),"-",""))), --(UPPER(TRIM($B$2:$B$518))="YES"), --(UPPER(TRIM($G$2:$G$518)&amp;TRIM($I$2:$I$518)&amp;TRIM($J$2:$J$518))&lt;&gt;UPPER(TRIM($G292)&amp;TRIM($I292)&amp;TRIM($J292))))&gt;0), AND($AP292&lt;&gt;"", LOWER(TRIM($AP292))&lt;&gt;"n/a", LOWER(TRIM($AP292))&lt;&gt;"na", SUMPRODUCT(--(UPPER(TRIM($AP$2:$AP$518))=UPPER(TRIM($AP292))), --(UPPER(TRIM($B$2:$B$518))="YES"), --(UPPER(TRIM($G$2:$G$518)&amp;TRIM($I$2:$I$518)&amp;TRIM($J$2:$J$518))&lt;&gt;UPPER(TRIM($G292)&amp;TRIM($I292)&amp;TRIM($J292))))&gt;0), AND($AQ292&lt;&gt;"", LOWER(TRIM($AQ292))&lt;&gt;"n/a", LOWER(TRIM($AQ292))&lt;&gt;"na", SUMPRODUCT(--(UPPER(TRIM($AQ$2:$AQ$518))=UPPER(TRIM($AQ292))), --(UPPER(TRIM($B$2:$B$518))="YES"), --(UPPER(TRIM($G$2:$G$518)&amp;TRIM($I$2:$I$518)&amp;TRIM($J$2:$J$518))&lt;&gt;UPPER(TRIM($G292)&amp;TRIM($I292)&amp;TRIM($J292))))&gt;0)), "Yes", "No"))</f>
        <v/>
      </c>
      <c r="G292" t="inlineStr">
        <is>
          <t>NSUH - PSP</t>
        </is>
      </c>
      <c r="H292" t="inlineStr">
        <is>
          <t>NSUH - PSP</t>
        </is>
      </c>
      <c r="I292" t="inlineStr">
        <is>
          <t>Main ORs - PSP - 2nd Floor</t>
        </is>
      </c>
      <c r="X292" t="inlineStr">
        <is>
          <t>NSUH-MACH-FFF</t>
        </is>
      </c>
      <c r="Y292" t="inlineStr">
        <is>
          <t>A0F5097FF06C</t>
        </is>
      </c>
      <c r="AB292" t="inlineStr">
        <is>
          <t>WA24406192</t>
        </is>
      </c>
      <c r="CD292">
        <f>IF($Y292="","",IF((IF(AND($BR292&lt;&gt;"Yes",$BR292&lt;&gt;"N/A"),"Power Cable, ","")&amp;IF(AND($BS292&lt;&gt;"Yes",$BS292&lt;&gt;"N/A"),"Battery, ","")&amp;IF(AND($AD292&lt;&gt;"Yes",$AD292&lt;&gt;"N/A"),"Firmware Download, ","")&amp;IF(AND(OR($AD292="Yes",$AD292="N/A"),$AE292&lt;&gt;"Yes",$AE292&lt;&gt;"N/A"),"Firmware Install, ","")&amp;IF(AND($CB292&lt;&gt;"Yes",$CB292&lt;&gt;"N/A"),"Device ID, ","")&amp;IF(AND($CC292&lt;&gt;"Yes",$CC292&lt;&gt;"N/A"),"Epic Beans Relay, ",""))="","",LEFT(IF(AND($BR292&lt;&gt;"Yes",$BR292&lt;&gt;"N/A"),"Power Cable, ","")&amp;IF(AND($BS292&lt;&gt;"Yes",$BS292&lt;&gt;"N/A"),"Battery, ","")&amp;IF(AND($AD292&lt;&gt;"Yes",$AD292&lt;&gt;"N/A"),"Firmware Download, ","")&amp;IF(AND(OR($AD292="Yes",$AD292="N/A"),$AE292&lt;&gt;"Yes",$AE292&lt;&gt;"N/A"),"Firmware Install, ","")&amp;IF(AND($CB292&lt;&gt;"Yes",$CB292&lt;&gt;"N/A"),"Device ID, ","")&amp;IF(AND($CC292&lt;&gt;"Yes",$CC292&lt;&gt;"N/A"),"Epic Beans Relay, ",""),LEN(IF(AND($BR292&lt;&gt;"Yes",$BR292&lt;&gt;"N/A"),"Power Cable, ","")&amp;IF(AND($BS292&lt;&gt;"Yes",$BS292&lt;&gt;"N/A"),"Battery, ","")&amp;IF(AND($AD292&lt;&gt;"Yes",$AD292&lt;&gt;"N/A"),"Firmware Download, ","")&amp;IF(AND(OR($AD292="Yes",$AD292="N/A"),$AE292&lt;&gt;"Yes",$AE292&lt;&gt;"N/A"),"Firmware Install, ","")&amp;IF(AND($CB292&lt;&gt;"Yes",$CB292&lt;&gt;"N/A"),"Device ID, ","")&amp;IF(AND($CC292&lt;&gt;"Yes",$CC292&lt;&gt;"N/A"),"Epic Beans Relay, ",""))-2)))</f>
        <v/>
      </c>
      <c r="CE292">
        <f>IF($Y292="","",IF($CD292="","Yes","Blocked"))</f>
        <v/>
      </c>
      <c r="CP292">
        <f>IF($CO292="","",IFERROR(VLOOKUP($CO292,'01_Warehouse_Ledger'!$A:$N,4,FALSE),""))</f>
        <v/>
      </c>
      <c r="CQ292">
        <f>IF($CO292="","",IFERROR(VLOOKUP($CO292,'01_Warehouse_Ledger'!$A:$N,5,FALSE),""))</f>
        <v/>
      </c>
      <c r="CR292">
        <f>IF($CO292="","",IFERROR(VLOOKUP($CO292,'01_Warehouse_Ledger'!$A:$N,13,FALSE),""))</f>
        <v/>
      </c>
      <c r="CW292">
        <f>IF($S292="","",IF(UPPER(TRIM($S292))&lt;&gt;"PASS","",IF(LEN(TRIM($BY292))&gt;0,"NOTES_PRESENT",IF(LEN(TRIM($T292))=0,"SET_NA",IF(OR(LOWER(TRIM($T292))="na",LOWER(TRIM($T292))="n/a"),"OK","MANUAL_OVERRIDE")))))</f>
        <v/>
      </c>
    </row>
    <row r="293">
      <c r="A293" t="inlineStr">
        <is>
          <t>Neuron</t>
        </is>
      </c>
      <c r="B293" s="8" t="inlineStr">
        <is>
          <t>No</t>
        </is>
      </c>
      <c r="C293" t="inlineStr">
        <is>
          <t>No</t>
        </is>
      </c>
      <c r="D293">
        <f>IF($B293&lt;&gt;"Yes","",IF($C293="No","Yes",IF($C293="Yes","No","")))</f>
        <v/>
      </c>
      <c r="E293">
        <f>IF($A293="","",IF(OR(AND($V293&lt;&gt;"",LOWER(TRIM($V293))&lt;&gt;"n/a",LOWER(TRIM($V293))&lt;&gt;"na",SUMPRODUCT(--(UPPER(TRIM($V$2:$V$518))=UPPER(TRIM($V293))),--(TRIM($V$2:$V$518)&lt;&gt;""),--(LOWER(TRIM($V$2:$V$518))&lt;&gt;"n/a"),--(LOWER(TRIM($V$2:$V$518))&lt;&gt;"na"))&gt;1),AND($W293&lt;&gt;"",LOWER(TRIM($W293))&lt;&gt;"n/a",LOWER(TRIM($W293))&lt;&gt;"na",SUMPRODUCT(--(UPPER(TRIM($W$2:$W$518))=UPPER(TRIM($W293))),--(TRIM($W$2:$W$518)&lt;&gt;""),--(LOWER(TRIM($W$2:$W$518))&lt;&gt;"n/a"),--(LOWER(TRIM($W$2:$W$518))&lt;&gt;"na"))&gt;1),AND($X293&lt;&gt;"",LOWER(TRIM($X293))&lt;&gt;"n/a",LOWER(TRIM($X293))&lt;&gt;"na",SUMPRODUCT(--(UPPER(TRIM($X$2:$X$518))=UPPER(TRIM($X293))),--(TRIM($X$2:$X$518)&lt;&gt;""),--(LOWER(TRIM($X$2:$X$518))&lt;&gt;"n/a"),--(LOWER(TRIM($X$2:$X$518))&lt;&gt;"na"))&gt;1),AND($Y293&lt;&gt;"",LOWER(TRIM($Y293))&lt;&gt;"n/a",LOWER(TRIM($Y293))&lt;&gt;"na",SUMPRODUCT(--(UPPER(SUBSTITUTE(SUBSTITUTE(TRIM($Y$2:$Y$518),":",""),"-",""))=UPPER(SUBSTITUTE(SUBSTITUTE(TRIM($Y293),":",""),"-",""))),--(TRIM($Y$2:$Y$518)&lt;&gt;""),--(LOWER(TRIM($Y$2:$Y$518))&lt;&gt;"n/a"),--(LOWER(TRIM($Y$2:$Y$518))&lt;&gt;"na"))&gt;1),AND($AB293&lt;&gt;"",LOWER(TRIM($AB293))&lt;&gt;"n/a",LOWER(TRIM($AB293))&lt;&gt;"na",SUMPRODUCT(--(UPPER(TRIM($AB$2:$AB$518))=UPPER(TRIM($AB293))),--(TRIM($AB$2:$AB$518)&lt;&gt;""),--(LOWER(TRIM($AB$2:$AB$518))&lt;&gt;"n/a"),--(LOWER(TRIM($AB$2:$AB$518))&lt;&gt;"na"))&gt;1),AND($AH293&lt;&gt;"",LOWER(TRIM($AH293))&lt;&gt;"n/a",LOWER(TRIM($AH293))&lt;&gt;"na",SUMPRODUCT(--(UPPER(SUBSTITUTE(SUBSTITUTE(TRIM($AH$2:$AH$518),":",""),"-",""))=UPPER(SUBSTITUTE(SUBSTITUTE(TRIM($AH293),":",""),"-",""))),--(TRIM($AH$2:$AH$518)&lt;&gt;""),--(LOWER(TRIM($AH$2:$AH$518))&lt;&gt;"n/a"),--(LOWER(TRIM($AH$2:$AH$518))&lt;&gt;"na"))&gt;1),AND($AP293&lt;&gt;"",LOWER(TRIM($AP293))&lt;&gt;"n/a",LOWER(TRIM($AP293))&lt;&gt;"na",SUMPRODUCT(--(UPPER(TRIM($AP$2:$AP$518))=UPPER(TRIM($AP293))),--(TRIM($AP$2:$AP$518)&lt;&gt;""),--(LOWER(TRIM($AP$2:$AP$518))&lt;&gt;"n/a"),--(LOWER(TRIM($AP$2:$AP$518))&lt;&gt;"na"))&gt;1),AND($AQ293&lt;&gt;"",LOWER(TRIM($AQ293))&lt;&gt;"n/a",LOWER(TRIM($AQ293))&lt;&gt;"na",SUMPRODUCT(--(UPPER(TRIM($AQ$2:$AQ$518))=UPPER(TRIM($AQ293))),--(TRIM($AQ$2:$AQ$518)&lt;&gt;""),--(LOWER(TRIM($AQ$2:$AQ$518))&lt;&gt;"n/a"),--(LOWER(TRIM($AQ$2:$AQ$518))&lt;&gt;"na"))&gt;1)),"Yes","No"))</f>
        <v/>
      </c>
      <c r="F293">
        <f>IF(UPPER(TRIM($B293))&lt;&gt;"YES","", IF(OR(AND($V293&lt;&gt;"", LOWER(TRIM($V293))&lt;&gt;"n/a", LOWER(TRIM($V293))&lt;&gt;"na", SUMPRODUCT(--(UPPER(TRIM($V$2:$V$518))=UPPER(TRIM($V293))), --(UPPER(TRIM($B$2:$B$518))="YES"), --(UPPER(TRIM($G$2:$G$518)&amp;TRIM($I$2:$I$518)&amp;TRIM($J$2:$J$518))&lt;&gt;UPPER(TRIM($G293)&amp;TRIM($I293)&amp;TRIM($J293))))&gt;0), AND($W293&lt;&gt;"", LOWER(TRIM($W293))&lt;&gt;"n/a", LOWER(TRIM($W293))&lt;&gt;"na", SUMPRODUCT(--(UPPER(TRIM($W$2:$W$518))=UPPER(TRIM($W293))), --(UPPER(TRIM($B$2:$B$518))="YES"), --(UPPER(TRIM($G$2:$G$518)&amp;TRIM($I$2:$I$518)&amp;TRIM($J$2:$J$518))&lt;&gt;UPPER(TRIM($G293)&amp;TRIM($I293)&amp;TRIM($J293))))&gt;0), AND($X293&lt;&gt;"", LOWER(TRIM($X293))&lt;&gt;"n/a", LOWER(TRIM($X293))&lt;&gt;"na", SUMPRODUCT(--(UPPER(TRIM($X$2:$X$518))=UPPER(TRIM($X293))), --(UPPER(TRIM($B$2:$B$518))="YES"), --(UPPER(TRIM($G$2:$G$518)&amp;TRIM($I$2:$I$518)&amp;TRIM($J$2:$J$518))&lt;&gt;UPPER(TRIM($G293)&amp;TRIM($I293)&amp;TRIM($J293))))&gt;0), AND($Y293&lt;&gt;"", LOWER(TRIM($Y293))&lt;&gt;"n/a", LOWER(TRIM($Y293))&lt;&gt;"na", SUMPRODUCT(--(UPPER(SUBSTITUTE(SUBSTITUTE(TRIM($Y$2:$Y$518),":",""),"-",""))=UPPER(SUBSTITUTE(SUBSTITUTE(TRIM($Y293),":",""),"-",""))), --(UPPER(TRIM($B$2:$B$518))="YES"), --(UPPER(TRIM($G$2:$G$518)&amp;TRIM($I$2:$I$518)&amp;TRIM($J$2:$J$518))&lt;&gt;UPPER(TRIM($G293)&amp;TRIM($I293)&amp;TRIM($J293))))&gt;0), AND($AB293&lt;&gt;"", LOWER(TRIM($AB293))&lt;&gt;"n/a", LOWER(TRIM($AB293))&lt;&gt;"na", SUMPRODUCT(--(UPPER(TRIM($AB$2:$AB$518))=UPPER(TRIM($AB293))), --(UPPER(TRIM($B$2:$B$518))="YES"), --(UPPER(TRIM($G$2:$G$518)&amp;TRIM($I$2:$I$518)&amp;TRIM($J$2:$J$518))&lt;&gt;UPPER(TRIM($G293)&amp;TRIM($I293)&amp;TRIM($J293))))&gt;0), AND($AH293&lt;&gt;"", LOWER(TRIM($AH293))&lt;&gt;"n/a", LOWER(TRIM($AH293))&lt;&gt;"na", SUMPRODUCT(--(UPPER(SUBSTITUTE(SUBSTITUTE(TRIM($AH$2:$AH$518),":",""),"-",""))=UPPER(SUBSTITUTE(SUBSTITUTE(TRIM($AH293),":",""),"-",""))), --(UPPER(TRIM($B$2:$B$518))="YES"), --(UPPER(TRIM($G$2:$G$518)&amp;TRIM($I$2:$I$518)&amp;TRIM($J$2:$J$518))&lt;&gt;UPPER(TRIM($G293)&amp;TRIM($I293)&amp;TRIM($J293))))&gt;0), AND($AP293&lt;&gt;"", LOWER(TRIM($AP293))&lt;&gt;"n/a", LOWER(TRIM($AP293))&lt;&gt;"na", SUMPRODUCT(--(UPPER(TRIM($AP$2:$AP$518))=UPPER(TRIM($AP293))), --(UPPER(TRIM($B$2:$B$518))="YES"), --(UPPER(TRIM($G$2:$G$518)&amp;TRIM($I$2:$I$518)&amp;TRIM($J$2:$J$518))&lt;&gt;UPPER(TRIM($G293)&amp;TRIM($I293)&amp;TRIM($J293))))&gt;0), AND($AQ293&lt;&gt;"", LOWER(TRIM($AQ293))&lt;&gt;"n/a", LOWER(TRIM($AQ293))&lt;&gt;"na", SUMPRODUCT(--(UPPER(TRIM($AQ$2:$AQ$518))=UPPER(TRIM($AQ293))), --(UPPER(TRIM($B$2:$B$518))="YES"), --(UPPER(TRIM($G$2:$G$518)&amp;TRIM($I$2:$I$518)&amp;TRIM($J$2:$J$518))&lt;&gt;UPPER(TRIM($G293)&amp;TRIM($I293)&amp;TRIM($J293))))&gt;0)), "Yes", "No"))</f>
        <v/>
      </c>
      <c r="G293" t="inlineStr">
        <is>
          <t>NSUH - PSP</t>
        </is>
      </c>
      <c r="H293" t="inlineStr">
        <is>
          <t>NSUH - PSP</t>
        </is>
      </c>
      <c r="I293" t="inlineStr">
        <is>
          <t>Main ORs - PSP - 2nd Floor</t>
        </is>
      </c>
      <c r="X293" t="inlineStr">
        <is>
          <t>NSUH-MACH-TT</t>
        </is>
      </c>
      <c r="Y293" t="inlineStr">
        <is>
          <t>A0F5097FF0EF</t>
        </is>
      </c>
      <c r="AB293" t="inlineStr">
        <is>
          <t>WA24406236</t>
        </is>
      </c>
      <c r="CD293">
        <f>IF($Y293="","",IF((IF(AND($BR293&lt;&gt;"Yes",$BR293&lt;&gt;"N/A"),"Power Cable, ","")&amp;IF(AND($BS293&lt;&gt;"Yes",$BS293&lt;&gt;"N/A"),"Battery, ","")&amp;IF(AND($AD293&lt;&gt;"Yes",$AD293&lt;&gt;"N/A"),"Firmware Download, ","")&amp;IF(AND(OR($AD293="Yes",$AD293="N/A"),$AE293&lt;&gt;"Yes",$AE293&lt;&gt;"N/A"),"Firmware Install, ","")&amp;IF(AND($CB293&lt;&gt;"Yes",$CB293&lt;&gt;"N/A"),"Device ID, ","")&amp;IF(AND($CC293&lt;&gt;"Yes",$CC293&lt;&gt;"N/A"),"Epic Beans Relay, ",""))="","",LEFT(IF(AND($BR293&lt;&gt;"Yes",$BR293&lt;&gt;"N/A"),"Power Cable, ","")&amp;IF(AND($BS293&lt;&gt;"Yes",$BS293&lt;&gt;"N/A"),"Battery, ","")&amp;IF(AND($AD293&lt;&gt;"Yes",$AD293&lt;&gt;"N/A"),"Firmware Download, ","")&amp;IF(AND(OR($AD293="Yes",$AD293="N/A"),$AE293&lt;&gt;"Yes",$AE293&lt;&gt;"N/A"),"Firmware Install, ","")&amp;IF(AND($CB293&lt;&gt;"Yes",$CB293&lt;&gt;"N/A"),"Device ID, ","")&amp;IF(AND($CC293&lt;&gt;"Yes",$CC293&lt;&gt;"N/A"),"Epic Beans Relay, ",""),LEN(IF(AND($BR293&lt;&gt;"Yes",$BR293&lt;&gt;"N/A"),"Power Cable, ","")&amp;IF(AND($BS293&lt;&gt;"Yes",$BS293&lt;&gt;"N/A"),"Battery, ","")&amp;IF(AND($AD293&lt;&gt;"Yes",$AD293&lt;&gt;"N/A"),"Firmware Download, ","")&amp;IF(AND(OR($AD293="Yes",$AD293="N/A"),$AE293&lt;&gt;"Yes",$AE293&lt;&gt;"N/A"),"Firmware Install, ","")&amp;IF(AND($CB293&lt;&gt;"Yes",$CB293&lt;&gt;"N/A"),"Device ID, ","")&amp;IF(AND($CC293&lt;&gt;"Yes",$CC293&lt;&gt;"N/A"),"Epic Beans Relay, ",""))-2)))</f>
        <v/>
      </c>
      <c r="CE293">
        <f>IF($Y293="","",IF($CD293="","Yes","Blocked"))</f>
        <v/>
      </c>
      <c r="CP293">
        <f>IF($CO293="","",IFERROR(VLOOKUP($CO293,'01_Warehouse_Ledger'!$A:$N,4,FALSE),""))</f>
        <v/>
      </c>
      <c r="CQ293">
        <f>IF($CO293="","",IFERROR(VLOOKUP($CO293,'01_Warehouse_Ledger'!$A:$N,5,FALSE),""))</f>
        <v/>
      </c>
      <c r="CR293">
        <f>IF($CO293="","",IFERROR(VLOOKUP($CO293,'01_Warehouse_Ledger'!$A:$N,13,FALSE),""))</f>
        <v/>
      </c>
      <c r="CW293">
        <f>IF($S293="","",IF(UPPER(TRIM($S293))&lt;&gt;"PASS","",IF(LEN(TRIM($BY293))&gt;0,"NOTES_PRESENT",IF(LEN(TRIM($T293))=0,"SET_NA",IF(OR(LOWER(TRIM($T293))="na",LOWER(TRIM($T293))="n/a"),"OK","MANUAL_OVERRIDE")))))</f>
        <v/>
      </c>
    </row>
    <row r="294">
      <c r="A294" t="inlineStr">
        <is>
          <t>Neuron</t>
        </is>
      </c>
      <c r="B294" s="51" t="inlineStr">
        <is>
          <t>No</t>
        </is>
      </c>
      <c r="C294" t="inlineStr">
        <is>
          <t>No</t>
        </is>
      </c>
      <c r="D294">
        <f>IF($B294&lt;&gt;"Yes","",IF($C294="No","Yes",IF($C294="Yes","No","")))</f>
        <v/>
      </c>
      <c r="E294">
        <f>IF($A294="","",IF(OR(AND($V294&lt;&gt;"",LOWER(TRIM($V294))&lt;&gt;"n/a",LOWER(TRIM($V294))&lt;&gt;"na",SUMPRODUCT(--(UPPER(TRIM($V$2:$V$518))=UPPER(TRIM($V294))),--(TRIM($V$2:$V$518)&lt;&gt;""),--(LOWER(TRIM($V$2:$V$518))&lt;&gt;"n/a"),--(LOWER(TRIM($V$2:$V$518))&lt;&gt;"na"))&gt;1),AND($W294&lt;&gt;"",LOWER(TRIM($W294))&lt;&gt;"n/a",LOWER(TRIM($W294))&lt;&gt;"na",SUMPRODUCT(--(UPPER(TRIM($W$2:$W$518))=UPPER(TRIM($W294))),--(TRIM($W$2:$W$518)&lt;&gt;""),--(LOWER(TRIM($W$2:$W$518))&lt;&gt;"n/a"),--(LOWER(TRIM($W$2:$W$518))&lt;&gt;"na"))&gt;1),AND($X294&lt;&gt;"",LOWER(TRIM($X294))&lt;&gt;"n/a",LOWER(TRIM($X294))&lt;&gt;"na",SUMPRODUCT(--(UPPER(TRIM($X$2:$X$518))=UPPER(TRIM($X294))),--(TRIM($X$2:$X$518)&lt;&gt;""),--(LOWER(TRIM($X$2:$X$518))&lt;&gt;"n/a"),--(LOWER(TRIM($X$2:$X$518))&lt;&gt;"na"))&gt;1),AND($Y294&lt;&gt;"",LOWER(TRIM($Y294))&lt;&gt;"n/a",LOWER(TRIM($Y294))&lt;&gt;"na",SUMPRODUCT(--(UPPER(SUBSTITUTE(SUBSTITUTE(TRIM($Y$2:$Y$518),":",""),"-",""))=UPPER(SUBSTITUTE(SUBSTITUTE(TRIM($Y294),":",""),"-",""))),--(TRIM($Y$2:$Y$518)&lt;&gt;""),--(LOWER(TRIM($Y$2:$Y$518))&lt;&gt;"n/a"),--(LOWER(TRIM($Y$2:$Y$518))&lt;&gt;"na"))&gt;1),AND($AB294&lt;&gt;"",LOWER(TRIM($AB294))&lt;&gt;"n/a",LOWER(TRIM($AB294))&lt;&gt;"na",SUMPRODUCT(--(UPPER(TRIM($AB$2:$AB$518))=UPPER(TRIM($AB294))),--(TRIM($AB$2:$AB$518)&lt;&gt;""),--(LOWER(TRIM($AB$2:$AB$518))&lt;&gt;"n/a"),--(LOWER(TRIM($AB$2:$AB$518))&lt;&gt;"na"))&gt;1),AND($AH294&lt;&gt;"",LOWER(TRIM($AH294))&lt;&gt;"n/a",LOWER(TRIM($AH294))&lt;&gt;"na",SUMPRODUCT(--(UPPER(SUBSTITUTE(SUBSTITUTE(TRIM($AH$2:$AH$518),":",""),"-",""))=UPPER(SUBSTITUTE(SUBSTITUTE(TRIM($AH294),":",""),"-",""))),--(TRIM($AH$2:$AH$518)&lt;&gt;""),--(LOWER(TRIM($AH$2:$AH$518))&lt;&gt;"n/a"),--(LOWER(TRIM($AH$2:$AH$518))&lt;&gt;"na"))&gt;1),AND($AP294&lt;&gt;"",LOWER(TRIM($AP294))&lt;&gt;"n/a",LOWER(TRIM($AP294))&lt;&gt;"na",SUMPRODUCT(--(UPPER(TRIM($AP$2:$AP$518))=UPPER(TRIM($AP294))),--(TRIM($AP$2:$AP$518)&lt;&gt;""),--(LOWER(TRIM($AP$2:$AP$518))&lt;&gt;"n/a"),--(LOWER(TRIM($AP$2:$AP$518))&lt;&gt;"na"))&gt;1),AND($AQ294&lt;&gt;"",LOWER(TRIM($AQ294))&lt;&gt;"n/a",LOWER(TRIM($AQ294))&lt;&gt;"na",SUMPRODUCT(--(UPPER(TRIM($AQ$2:$AQ$518))=UPPER(TRIM($AQ294))),--(TRIM($AQ$2:$AQ$518)&lt;&gt;""),--(LOWER(TRIM($AQ$2:$AQ$518))&lt;&gt;"n/a"),--(LOWER(TRIM($AQ$2:$AQ$518))&lt;&gt;"na"))&gt;1)),"Yes","No"))</f>
        <v/>
      </c>
      <c r="F294">
        <f>IF(UPPER(TRIM($B294))&lt;&gt;"YES","", IF(OR(AND($V294&lt;&gt;"", LOWER(TRIM($V294))&lt;&gt;"n/a", LOWER(TRIM($V294))&lt;&gt;"na", SUMPRODUCT(--(UPPER(TRIM($V$2:$V$518))=UPPER(TRIM($V294))), --(UPPER(TRIM($B$2:$B$518))="YES"), --(UPPER(TRIM($G$2:$G$518)&amp;TRIM($I$2:$I$518)&amp;TRIM($J$2:$J$518))&lt;&gt;UPPER(TRIM($G294)&amp;TRIM($I294)&amp;TRIM($J294))))&gt;0), AND($W294&lt;&gt;"", LOWER(TRIM($W294))&lt;&gt;"n/a", LOWER(TRIM($W294))&lt;&gt;"na", SUMPRODUCT(--(UPPER(TRIM($W$2:$W$518))=UPPER(TRIM($W294))), --(UPPER(TRIM($B$2:$B$518))="YES"), --(UPPER(TRIM($G$2:$G$518)&amp;TRIM($I$2:$I$518)&amp;TRIM($J$2:$J$518))&lt;&gt;UPPER(TRIM($G294)&amp;TRIM($I294)&amp;TRIM($J294))))&gt;0), AND($X294&lt;&gt;"", LOWER(TRIM($X294))&lt;&gt;"n/a", LOWER(TRIM($X294))&lt;&gt;"na", SUMPRODUCT(--(UPPER(TRIM($X$2:$X$518))=UPPER(TRIM($X294))), --(UPPER(TRIM($B$2:$B$518))="YES"), --(UPPER(TRIM($G$2:$G$518)&amp;TRIM($I$2:$I$518)&amp;TRIM($J$2:$J$518))&lt;&gt;UPPER(TRIM($G294)&amp;TRIM($I294)&amp;TRIM($J294))))&gt;0), AND($Y294&lt;&gt;"", LOWER(TRIM($Y294))&lt;&gt;"n/a", LOWER(TRIM($Y294))&lt;&gt;"na", SUMPRODUCT(--(UPPER(SUBSTITUTE(SUBSTITUTE(TRIM($Y$2:$Y$518),":",""),"-",""))=UPPER(SUBSTITUTE(SUBSTITUTE(TRIM($Y294),":",""),"-",""))), --(UPPER(TRIM($B$2:$B$518))="YES"), --(UPPER(TRIM($G$2:$G$518)&amp;TRIM($I$2:$I$518)&amp;TRIM($J$2:$J$518))&lt;&gt;UPPER(TRIM($G294)&amp;TRIM($I294)&amp;TRIM($J294))))&gt;0), AND($AB294&lt;&gt;"", LOWER(TRIM($AB294))&lt;&gt;"n/a", LOWER(TRIM($AB294))&lt;&gt;"na", SUMPRODUCT(--(UPPER(TRIM($AB$2:$AB$518))=UPPER(TRIM($AB294))), --(UPPER(TRIM($B$2:$B$518))="YES"), --(UPPER(TRIM($G$2:$G$518)&amp;TRIM($I$2:$I$518)&amp;TRIM($J$2:$J$518))&lt;&gt;UPPER(TRIM($G294)&amp;TRIM($I294)&amp;TRIM($J294))))&gt;0), AND($AH294&lt;&gt;"", LOWER(TRIM($AH294))&lt;&gt;"n/a", LOWER(TRIM($AH294))&lt;&gt;"na", SUMPRODUCT(--(UPPER(SUBSTITUTE(SUBSTITUTE(TRIM($AH$2:$AH$518),":",""),"-",""))=UPPER(SUBSTITUTE(SUBSTITUTE(TRIM($AH294),":",""),"-",""))), --(UPPER(TRIM($B$2:$B$518))="YES"), --(UPPER(TRIM($G$2:$G$518)&amp;TRIM($I$2:$I$518)&amp;TRIM($J$2:$J$518))&lt;&gt;UPPER(TRIM($G294)&amp;TRIM($I294)&amp;TRIM($J294))))&gt;0), AND($AP294&lt;&gt;"", LOWER(TRIM($AP294))&lt;&gt;"n/a", LOWER(TRIM($AP294))&lt;&gt;"na", SUMPRODUCT(--(UPPER(TRIM($AP$2:$AP$518))=UPPER(TRIM($AP294))), --(UPPER(TRIM($B$2:$B$518))="YES"), --(UPPER(TRIM($G$2:$G$518)&amp;TRIM($I$2:$I$518)&amp;TRIM($J$2:$J$518))&lt;&gt;UPPER(TRIM($G294)&amp;TRIM($I294)&amp;TRIM($J294))))&gt;0), AND($AQ294&lt;&gt;"", LOWER(TRIM($AQ294))&lt;&gt;"n/a", LOWER(TRIM($AQ294))&lt;&gt;"na", SUMPRODUCT(--(UPPER(TRIM($AQ$2:$AQ$518))=UPPER(TRIM($AQ294))), --(UPPER(TRIM($B$2:$B$518))="YES"), --(UPPER(TRIM($G$2:$G$518)&amp;TRIM($I$2:$I$518)&amp;TRIM($J$2:$J$518))&lt;&gt;UPPER(TRIM($G294)&amp;TRIM($I294)&amp;TRIM($J294))))&gt;0)), "Yes", "No"))</f>
        <v/>
      </c>
      <c r="X294" t="inlineStr">
        <is>
          <t>NSUH-MACH-YY</t>
        </is>
      </c>
      <c r="Y294" t="inlineStr">
        <is>
          <t>A0F5097FF04F</t>
        </is>
      </c>
      <c r="AB294" t="inlineStr">
        <is>
          <t>WA24406904</t>
        </is>
      </c>
      <c r="CD294">
        <f>IF($Y294="","",IF((IF(AND($BR294&lt;&gt;"Yes",$BR294&lt;&gt;"N/A"),"Power Cable, ","")&amp;IF(AND($BS294&lt;&gt;"Yes",$BS294&lt;&gt;"N/A"),"Battery, ","")&amp;IF(AND($AD294&lt;&gt;"Yes",$AD294&lt;&gt;"N/A"),"Firmware Download, ","")&amp;IF(AND(OR($AD294="Yes",$AD294="N/A"),$AE294&lt;&gt;"Yes",$AE294&lt;&gt;"N/A"),"Firmware Install, ","")&amp;IF(AND($CB294&lt;&gt;"Yes",$CB294&lt;&gt;"N/A"),"Device ID, ","")&amp;IF(AND($CC294&lt;&gt;"Yes",$CC294&lt;&gt;"N/A"),"Epic Beans Relay, ",""))="","",LEFT(IF(AND($BR294&lt;&gt;"Yes",$BR294&lt;&gt;"N/A"),"Power Cable, ","")&amp;IF(AND($BS294&lt;&gt;"Yes",$BS294&lt;&gt;"N/A"),"Battery, ","")&amp;IF(AND($AD294&lt;&gt;"Yes",$AD294&lt;&gt;"N/A"),"Firmware Download, ","")&amp;IF(AND(OR($AD294="Yes",$AD294="N/A"),$AE294&lt;&gt;"Yes",$AE294&lt;&gt;"N/A"),"Firmware Install, ","")&amp;IF(AND($CB294&lt;&gt;"Yes",$CB294&lt;&gt;"N/A"),"Device ID, ","")&amp;IF(AND($CC294&lt;&gt;"Yes",$CC294&lt;&gt;"N/A"),"Epic Beans Relay, ",""),LEN(IF(AND($BR294&lt;&gt;"Yes",$BR294&lt;&gt;"N/A"),"Power Cable, ","")&amp;IF(AND($BS294&lt;&gt;"Yes",$BS294&lt;&gt;"N/A"),"Battery, ","")&amp;IF(AND($AD294&lt;&gt;"Yes",$AD294&lt;&gt;"N/A"),"Firmware Download, ","")&amp;IF(AND(OR($AD294="Yes",$AD294="N/A"),$AE294&lt;&gt;"Yes",$AE294&lt;&gt;"N/A"),"Firmware Install, ","")&amp;IF(AND($CB294&lt;&gt;"Yes",$CB294&lt;&gt;"N/A"),"Device ID, ","")&amp;IF(AND($CC294&lt;&gt;"Yes",$CC294&lt;&gt;"N/A"),"Epic Beans Relay, ",""))-2)))</f>
        <v/>
      </c>
      <c r="CE294">
        <f>IF($Y294="","",IF($CD294="","Yes","Blocked"))</f>
        <v/>
      </c>
      <c r="CP294">
        <f>IF($CO294="","",IFERROR(VLOOKUP($CO294,'01_Warehouse_Ledger'!$A:$N,4,FALSE),""))</f>
        <v/>
      </c>
      <c r="CQ294">
        <f>IF($CO294="","",IFERROR(VLOOKUP($CO294,'01_Warehouse_Ledger'!$A:$N,5,FALSE),""))</f>
        <v/>
      </c>
      <c r="CR294">
        <f>IF($CO294="","",IFERROR(VLOOKUP($CO294,'01_Warehouse_Ledger'!$A:$N,13,FALSE),""))</f>
        <v/>
      </c>
      <c r="CW294">
        <f>IF($S294="","",IF(UPPER(TRIM($S294))&lt;&gt;"PASS","",IF(LEN(TRIM($BY294))&gt;0,"NOTES_PRESENT",IF(LEN(TRIM($T294))=0,"SET_NA",IF(OR(LOWER(TRIM($T294))="na",LOWER(TRIM($T294))="n/a"),"OK","MANUAL_OVERRIDE")))))</f>
        <v/>
      </c>
    </row>
    <row r="295">
      <c r="A295" t="inlineStr">
        <is>
          <t>Neuron</t>
        </is>
      </c>
      <c r="B295" s="51" t="inlineStr">
        <is>
          <t>No</t>
        </is>
      </c>
      <c r="C295" t="inlineStr">
        <is>
          <t>No</t>
        </is>
      </c>
      <c r="D295">
        <f>IF($B295&lt;&gt;"Yes","",IF($C295="No","Yes",IF($C295="Yes","No","")))</f>
        <v/>
      </c>
      <c r="E295">
        <f>IF($A295="","",IF(OR(AND($V295&lt;&gt;"",LOWER(TRIM($V295))&lt;&gt;"n/a",LOWER(TRIM($V295))&lt;&gt;"na",SUMPRODUCT(--(UPPER(TRIM($V$2:$V$518))=UPPER(TRIM($V295))),--(TRIM($V$2:$V$518)&lt;&gt;""),--(LOWER(TRIM($V$2:$V$518))&lt;&gt;"n/a"),--(LOWER(TRIM($V$2:$V$518))&lt;&gt;"na"))&gt;1),AND($W295&lt;&gt;"",LOWER(TRIM($W295))&lt;&gt;"n/a",LOWER(TRIM($W295))&lt;&gt;"na",SUMPRODUCT(--(UPPER(TRIM($W$2:$W$518))=UPPER(TRIM($W295))),--(TRIM($W$2:$W$518)&lt;&gt;""),--(LOWER(TRIM($W$2:$W$518))&lt;&gt;"n/a"),--(LOWER(TRIM($W$2:$W$518))&lt;&gt;"na"))&gt;1),AND($X295&lt;&gt;"",LOWER(TRIM($X295))&lt;&gt;"n/a",LOWER(TRIM($X295))&lt;&gt;"na",SUMPRODUCT(--(UPPER(TRIM($X$2:$X$518))=UPPER(TRIM($X295))),--(TRIM($X$2:$X$518)&lt;&gt;""),--(LOWER(TRIM($X$2:$X$518))&lt;&gt;"n/a"),--(LOWER(TRIM($X$2:$X$518))&lt;&gt;"na"))&gt;1),AND($Y295&lt;&gt;"",LOWER(TRIM($Y295))&lt;&gt;"n/a",LOWER(TRIM($Y295))&lt;&gt;"na",SUMPRODUCT(--(UPPER(SUBSTITUTE(SUBSTITUTE(TRIM($Y$2:$Y$518),":",""),"-",""))=UPPER(SUBSTITUTE(SUBSTITUTE(TRIM($Y295),":",""),"-",""))),--(TRIM($Y$2:$Y$518)&lt;&gt;""),--(LOWER(TRIM($Y$2:$Y$518))&lt;&gt;"n/a"),--(LOWER(TRIM($Y$2:$Y$518))&lt;&gt;"na"))&gt;1),AND($AB295&lt;&gt;"",LOWER(TRIM($AB295))&lt;&gt;"n/a",LOWER(TRIM($AB295))&lt;&gt;"na",SUMPRODUCT(--(UPPER(TRIM($AB$2:$AB$518))=UPPER(TRIM($AB295))),--(TRIM($AB$2:$AB$518)&lt;&gt;""),--(LOWER(TRIM($AB$2:$AB$518))&lt;&gt;"n/a"),--(LOWER(TRIM($AB$2:$AB$518))&lt;&gt;"na"))&gt;1),AND($AH295&lt;&gt;"",LOWER(TRIM($AH295))&lt;&gt;"n/a",LOWER(TRIM($AH295))&lt;&gt;"na",SUMPRODUCT(--(UPPER(SUBSTITUTE(SUBSTITUTE(TRIM($AH$2:$AH$518),":",""),"-",""))=UPPER(SUBSTITUTE(SUBSTITUTE(TRIM($AH295),":",""),"-",""))),--(TRIM($AH$2:$AH$518)&lt;&gt;""),--(LOWER(TRIM($AH$2:$AH$518))&lt;&gt;"n/a"),--(LOWER(TRIM($AH$2:$AH$518))&lt;&gt;"na"))&gt;1),AND($AP295&lt;&gt;"",LOWER(TRIM($AP295))&lt;&gt;"n/a",LOWER(TRIM($AP295))&lt;&gt;"na",SUMPRODUCT(--(UPPER(TRIM($AP$2:$AP$518))=UPPER(TRIM($AP295))),--(TRIM($AP$2:$AP$518)&lt;&gt;""),--(LOWER(TRIM($AP$2:$AP$518))&lt;&gt;"n/a"),--(LOWER(TRIM($AP$2:$AP$518))&lt;&gt;"na"))&gt;1),AND($AQ295&lt;&gt;"",LOWER(TRIM($AQ295))&lt;&gt;"n/a",LOWER(TRIM($AQ295))&lt;&gt;"na",SUMPRODUCT(--(UPPER(TRIM($AQ$2:$AQ$518))=UPPER(TRIM($AQ295))),--(TRIM($AQ$2:$AQ$518)&lt;&gt;""),--(LOWER(TRIM($AQ$2:$AQ$518))&lt;&gt;"n/a"),--(LOWER(TRIM($AQ$2:$AQ$518))&lt;&gt;"na"))&gt;1)),"Yes","No"))</f>
        <v/>
      </c>
      <c r="F295">
        <f>IF(UPPER(TRIM($B295))&lt;&gt;"YES","", IF(OR(AND($V295&lt;&gt;"", LOWER(TRIM($V295))&lt;&gt;"n/a", LOWER(TRIM($V295))&lt;&gt;"na", SUMPRODUCT(--(UPPER(TRIM($V$2:$V$518))=UPPER(TRIM($V295))), --(UPPER(TRIM($B$2:$B$518))="YES"), --(UPPER(TRIM($G$2:$G$518)&amp;TRIM($I$2:$I$518)&amp;TRIM($J$2:$J$518))&lt;&gt;UPPER(TRIM($G295)&amp;TRIM($I295)&amp;TRIM($J295))))&gt;0), AND($W295&lt;&gt;"", LOWER(TRIM($W295))&lt;&gt;"n/a", LOWER(TRIM($W295))&lt;&gt;"na", SUMPRODUCT(--(UPPER(TRIM($W$2:$W$518))=UPPER(TRIM($W295))), --(UPPER(TRIM($B$2:$B$518))="YES"), --(UPPER(TRIM($G$2:$G$518)&amp;TRIM($I$2:$I$518)&amp;TRIM($J$2:$J$518))&lt;&gt;UPPER(TRIM($G295)&amp;TRIM($I295)&amp;TRIM($J295))))&gt;0), AND($X295&lt;&gt;"", LOWER(TRIM($X295))&lt;&gt;"n/a", LOWER(TRIM($X295))&lt;&gt;"na", SUMPRODUCT(--(UPPER(TRIM($X$2:$X$518))=UPPER(TRIM($X295))), --(UPPER(TRIM($B$2:$B$518))="YES"), --(UPPER(TRIM($G$2:$G$518)&amp;TRIM($I$2:$I$518)&amp;TRIM($J$2:$J$518))&lt;&gt;UPPER(TRIM($G295)&amp;TRIM($I295)&amp;TRIM($J295))))&gt;0), AND($Y295&lt;&gt;"", LOWER(TRIM($Y295))&lt;&gt;"n/a", LOWER(TRIM($Y295))&lt;&gt;"na", SUMPRODUCT(--(UPPER(SUBSTITUTE(SUBSTITUTE(TRIM($Y$2:$Y$518),":",""),"-",""))=UPPER(SUBSTITUTE(SUBSTITUTE(TRIM($Y295),":",""),"-",""))), --(UPPER(TRIM($B$2:$B$518))="YES"), --(UPPER(TRIM($G$2:$G$518)&amp;TRIM($I$2:$I$518)&amp;TRIM($J$2:$J$518))&lt;&gt;UPPER(TRIM($G295)&amp;TRIM($I295)&amp;TRIM($J295))))&gt;0), AND($AB295&lt;&gt;"", LOWER(TRIM($AB295))&lt;&gt;"n/a", LOWER(TRIM($AB295))&lt;&gt;"na", SUMPRODUCT(--(UPPER(TRIM($AB$2:$AB$518))=UPPER(TRIM($AB295))), --(UPPER(TRIM($B$2:$B$518))="YES"), --(UPPER(TRIM($G$2:$G$518)&amp;TRIM($I$2:$I$518)&amp;TRIM($J$2:$J$518))&lt;&gt;UPPER(TRIM($G295)&amp;TRIM($I295)&amp;TRIM($J295))))&gt;0), AND($AH295&lt;&gt;"", LOWER(TRIM($AH295))&lt;&gt;"n/a", LOWER(TRIM($AH295))&lt;&gt;"na", SUMPRODUCT(--(UPPER(SUBSTITUTE(SUBSTITUTE(TRIM($AH$2:$AH$518),":",""),"-",""))=UPPER(SUBSTITUTE(SUBSTITUTE(TRIM($AH295),":",""),"-",""))), --(UPPER(TRIM($B$2:$B$518))="YES"), --(UPPER(TRIM($G$2:$G$518)&amp;TRIM($I$2:$I$518)&amp;TRIM($J$2:$J$518))&lt;&gt;UPPER(TRIM($G295)&amp;TRIM($I295)&amp;TRIM($J295))))&gt;0), AND($AP295&lt;&gt;"", LOWER(TRIM($AP295))&lt;&gt;"n/a", LOWER(TRIM($AP295))&lt;&gt;"na", SUMPRODUCT(--(UPPER(TRIM($AP$2:$AP$518))=UPPER(TRIM($AP295))), --(UPPER(TRIM($B$2:$B$518))="YES"), --(UPPER(TRIM($G$2:$G$518)&amp;TRIM($I$2:$I$518)&amp;TRIM($J$2:$J$518))&lt;&gt;UPPER(TRIM($G295)&amp;TRIM($I295)&amp;TRIM($J295))))&gt;0), AND($AQ295&lt;&gt;"", LOWER(TRIM($AQ295))&lt;&gt;"n/a", LOWER(TRIM($AQ295))&lt;&gt;"na", SUMPRODUCT(--(UPPER(TRIM($AQ$2:$AQ$518))=UPPER(TRIM($AQ295))), --(UPPER(TRIM($B$2:$B$518))="YES"), --(UPPER(TRIM($G$2:$G$518)&amp;TRIM($I$2:$I$518)&amp;TRIM($J$2:$J$518))&lt;&gt;UPPER(TRIM($G295)&amp;TRIM($I295)&amp;TRIM($J295))))&gt;0)), "Yes", "No"))</f>
        <v/>
      </c>
      <c r="X295" t="inlineStr">
        <is>
          <t>NSUH-MACH-UU</t>
        </is>
      </c>
      <c r="Y295" t="inlineStr">
        <is>
          <t>A0F5097FF064</t>
        </is>
      </c>
      <c r="AB295" t="inlineStr">
        <is>
          <t>WA24406242</t>
        </is>
      </c>
      <c r="CD295">
        <f>IF($Y295="","",IF((IF(AND($BR295&lt;&gt;"Yes",$BR295&lt;&gt;"N/A"),"Power Cable, ","")&amp;IF(AND($BS295&lt;&gt;"Yes",$BS295&lt;&gt;"N/A"),"Battery, ","")&amp;IF(AND($AD295&lt;&gt;"Yes",$AD295&lt;&gt;"N/A"),"Firmware Download, ","")&amp;IF(AND(OR($AD295="Yes",$AD295="N/A"),$AE295&lt;&gt;"Yes",$AE295&lt;&gt;"N/A"),"Firmware Install, ","")&amp;IF(AND($CB295&lt;&gt;"Yes",$CB295&lt;&gt;"N/A"),"Device ID, ","")&amp;IF(AND($CC295&lt;&gt;"Yes",$CC295&lt;&gt;"N/A"),"Epic Beans Relay, ",""))="","",LEFT(IF(AND($BR295&lt;&gt;"Yes",$BR295&lt;&gt;"N/A"),"Power Cable, ","")&amp;IF(AND($BS295&lt;&gt;"Yes",$BS295&lt;&gt;"N/A"),"Battery, ","")&amp;IF(AND($AD295&lt;&gt;"Yes",$AD295&lt;&gt;"N/A"),"Firmware Download, ","")&amp;IF(AND(OR($AD295="Yes",$AD295="N/A"),$AE295&lt;&gt;"Yes",$AE295&lt;&gt;"N/A"),"Firmware Install, ","")&amp;IF(AND($CB295&lt;&gt;"Yes",$CB295&lt;&gt;"N/A"),"Device ID, ","")&amp;IF(AND($CC295&lt;&gt;"Yes",$CC295&lt;&gt;"N/A"),"Epic Beans Relay, ",""),LEN(IF(AND($BR295&lt;&gt;"Yes",$BR295&lt;&gt;"N/A"),"Power Cable, ","")&amp;IF(AND($BS295&lt;&gt;"Yes",$BS295&lt;&gt;"N/A"),"Battery, ","")&amp;IF(AND($AD295&lt;&gt;"Yes",$AD295&lt;&gt;"N/A"),"Firmware Download, ","")&amp;IF(AND(OR($AD295="Yes",$AD295="N/A"),$AE295&lt;&gt;"Yes",$AE295&lt;&gt;"N/A"),"Firmware Install, ","")&amp;IF(AND($CB295&lt;&gt;"Yes",$CB295&lt;&gt;"N/A"),"Device ID, ","")&amp;IF(AND($CC295&lt;&gt;"Yes",$CC295&lt;&gt;"N/A"),"Epic Beans Relay, ",""))-2)))</f>
        <v/>
      </c>
      <c r="CE295">
        <f>IF($Y295="","",IF($CD295="","Yes","Blocked"))</f>
        <v/>
      </c>
      <c r="CP295">
        <f>IF($CO295="","",IFERROR(VLOOKUP($CO295,'01_Warehouse_Ledger'!$A:$N,4,FALSE),""))</f>
        <v/>
      </c>
      <c r="CQ295">
        <f>IF($CO295="","",IFERROR(VLOOKUP($CO295,'01_Warehouse_Ledger'!$A:$N,5,FALSE),""))</f>
        <v/>
      </c>
      <c r="CR295">
        <f>IF($CO295="","",IFERROR(VLOOKUP($CO295,'01_Warehouse_Ledger'!$A:$N,13,FALSE),""))</f>
        <v/>
      </c>
      <c r="CW295">
        <f>IF($S295="","",IF(UPPER(TRIM($S295))&lt;&gt;"PASS","",IF(LEN(TRIM($BY295))&gt;0,"NOTES_PRESENT",IF(LEN(TRIM($T295))=0,"SET_NA",IF(OR(LOWER(TRIM($T295))="na",LOWER(TRIM($T295))="n/a"),"OK","MANUAL_OVERRIDE")))))</f>
        <v/>
      </c>
    </row>
    <row r="296">
      <c r="A296" t="inlineStr">
        <is>
          <t>Neuron</t>
        </is>
      </c>
      <c r="B296" s="51" t="inlineStr">
        <is>
          <t>No</t>
        </is>
      </c>
      <c r="C296" t="inlineStr">
        <is>
          <t>No</t>
        </is>
      </c>
      <c r="D296">
        <f>IF($B296&lt;&gt;"Yes","",IF($C296="No","Yes",IF($C296="Yes","No","")))</f>
        <v/>
      </c>
      <c r="E296">
        <f>IF($A296="","",IF(OR(AND($V296&lt;&gt;"",LOWER(TRIM($V296))&lt;&gt;"n/a",LOWER(TRIM($V296))&lt;&gt;"na",SUMPRODUCT(--(UPPER(TRIM($V$2:$V$518))=UPPER(TRIM($V296))),--(TRIM($V$2:$V$518)&lt;&gt;""),--(LOWER(TRIM($V$2:$V$518))&lt;&gt;"n/a"),--(LOWER(TRIM($V$2:$V$518))&lt;&gt;"na"))&gt;1),AND($W296&lt;&gt;"",LOWER(TRIM($W296))&lt;&gt;"n/a",LOWER(TRIM($W296))&lt;&gt;"na",SUMPRODUCT(--(UPPER(TRIM($W$2:$W$518))=UPPER(TRIM($W296))),--(TRIM($W$2:$W$518)&lt;&gt;""),--(LOWER(TRIM($W$2:$W$518))&lt;&gt;"n/a"),--(LOWER(TRIM($W$2:$W$518))&lt;&gt;"na"))&gt;1),AND($X296&lt;&gt;"",LOWER(TRIM($X296))&lt;&gt;"n/a",LOWER(TRIM($X296))&lt;&gt;"na",SUMPRODUCT(--(UPPER(TRIM($X$2:$X$518))=UPPER(TRIM($X296))),--(TRIM($X$2:$X$518)&lt;&gt;""),--(LOWER(TRIM($X$2:$X$518))&lt;&gt;"n/a"),--(LOWER(TRIM($X$2:$X$518))&lt;&gt;"na"))&gt;1),AND($Y296&lt;&gt;"",LOWER(TRIM($Y296))&lt;&gt;"n/a",LOWER(TRIM($Y296))&lt;&gt;"na",SUMPRODUCT(--(UPPER(SUBSTITUTE(SUBSTITUTE(TRIM($Y$2:$Y$518),":",""),"-",""))=UPPER(SUBSTITUTE(SUBSTITUTE(TRIM($Y296),":",""),"-",""))),--(TRIM($Y$2:$Y$518)&lt;&gt;""),--(LOWER(TRIM($Y$2:$Y$518))&lt;&gt;"n/a"),--(LOWER(TRIM($Y$2:$Y$518))&lt;&gt;"na"))&gt;1),AND($AB296&lt;&gt;"",LOWER(TRIM($AB296))&lt;&gt;"n/a",LOWER(TRIM($AB296))&lt;&gt;"na",SUMPRODUCT(--(UPPER(TRIM($AB$2:$AB$518))=UPPER(TRIM($AB296))),--(TRIM($AB$2:$AB$518)&lt;&gt;""),--(LOWER(TRIM($AB$2:$AB$518))&lt;&gt;"n/a"),--(LOWER(TRIM($AB$2:$AB$518))&lt;&gt;"na"))&gt;1),AND($AH296&lt;&gt;"",LOWER(TRIM($AH296))&lt;&gt;"n/a",LOWER(TRIM($AH296))&lt;&gt;"na",SUMPRODUCT(--(UPPER(SUBSTITUTE(SUBSTITUTE(TRIM($AH$2:$AH$518),":",""),"-",""))=UPPER(SUBSTITUTE(SUBSTITUTE(TRIM($AH296),":",""),"-",""))),--(TRIM($AH$2:$AH$518)&lt;&gt;""),--(LOWER(TRIM($AH$2:$AH$518))&lt;&gt;"n/a"),--(LOWER(TRIM($AH$2:$AH$518))&lt;&gt;"na"))&gt;1),AND($AP296&lt;&gt;"",LOWER(TRIM($AP296))&lt;&gt;"n/a",LOWER(TRIM($AP296))&lt;&gt;"na",SUMPRODUCT(--(UPPER(TRIM($AP$2:$AP$518))=UPPER(TRIM($AP296))),--(TRIM($AP$2:$AP$518)&lt;&gt;""),--(LOWER(TRIM($AP$2:$AP$518))&lt;&gt;"n/a"),--(LOWER(TRIM($AP$2:$AP$518))&lt;&gt;"na"))&gt;1),AND($AQ296&lt;&gt;"",LOWER(TRIM($AQ296))&lt;&gt;"n/a",LOWER(TRIM($AQ296))&lt;&gt;"na",SUMPRODUCT(--(UPPER(TRIM($AQ$2:$AQ$518))=UPPER(TRIM($AQ296))),--(TRIM($AQ$2:$AQ$518)&lt;&gt;""),--(LOWER(TRIM($AQ$2:$AQ$518))&lt;&gt;"n/a"),--(LOWER(TRIM($AQ$2:$AQ$518))&lt;&gt;"na"))&gt;1)),"Yes","No"))</f>
        <v/>
      </c>
      <c r="F296">
        <f>IF(UPPER(TRIM($B296))&lt;&gt;"YES","", IF(OR(AND($V296&lt;&gt;"", LOWER(TRIM($V296))&lt;&gt;"n/a", LOWER(TRIM($V296))&lt;&gt;"na", SUMPRODUCT(--(UPPER(TRIM($V$2:$V$518))=UPPER(TRIM($V296))), --(UPPER(TRIM($B$2:$B$518))="YES"), --(UPPER(TRIM($G$2:$G$518)&amp;TRIM($I$2:$I$518)&amp;TRIM($J$2:$J$518))&lt;&gt;UPPER(TRIM($G296)&amp;TRIM($I296)&amp;TRIM($J296))))&gt;0), AND($W296&lt;&gt;"", LOWER(TRIM($W296))&lt;&gt;"n/a", LOWER(TRIM($W296))&lt;&gt;"na", SUMPRODUCT(--(UPPER(TRIM($W$2:$W$518))=UPPER(TRIM($W296))), --(UPPER(TRIM($B$2:$B$518))="YES"), --(UPPER(TRIM($G$2:$G$518)&amp;TRIM($I$2:$I$518)&amp;TRIM($J$2:$J$518))&lt;&gt;UPPER(TRIM($G296)&amp;TRIM($I296)&amp;TRIM($J296))))&gt;0), AND($X296&lt;&gt;"", LOWER(TRIM($X296))&lt;&gt;"n/a", LOWER(TRIM($X296))&lt;&gt;"na", SUMPRODUCT(--(UPPER(TRIM($X$2:$X$518))=UPPER(TRIM($X296))), --(UPPER(TRIM($B$2:$B$518))="YES"), --(UPPER(TRIM($G$2:$G$518)&amp;TRIM($I$2:$I$518)&amp;TRIM($J$2:$J$518))&lt;&gt;UPPER(TRIM($G296)&amp;TRIM($I296)&amp;TRIM($J296))))&gt;0), AND($Y296&lt;&gt;"", LOWER(TRIM($Y296))&lt;&gt;"n/a", LOWER(TRIM($Y296))&lt;&gt;"na", SUMPRODUCT(--(UPPER(SUBSTITUTE(SUBSTITUTE(TRIM($Y$2:$Y$518),":",""),"-",""))=UPPER(SUBSTITUTE(SUBSTITUTE(TRIM($Y296),":",""),"-",""))), --(UPPER(TRIM($B$2:$B$518))="YES"), --(UPPER(TRIM($G$2:$G$518)&amp;TRIM($I$2:$I$518)&amp;TRIM($J$2:$J$518))&lt;&gt;UPPER(TRIM($G296)&amp;TRIM($I296)&amp;TRIM($J296))))&gt;0), AND($AB296&lt;&gt;"", LOWER(TRIM($AB296))&lt;&gt;"n/a", LOWER(TRIM($AB296))&lt;&gt;"na", SUMPRODUCT(--(UPPER(TRIM($AB$2:$AB$518))=UPPER(TRIM($AB296))), --(UPPER(TRIM($B$2:$B$518))="YES"), --(UPPER(TRIM($G$2:$G$518)&amp;TRIM($I$2:$I$518)&amp;TRIM($J$2:$J$518))&lt;&gt;UPPER(TRIM($G296)&amp;TRIM($I296)&amp;TRIM($J296))))&gt;0), AND($AH296&lt;&gt;"", LOWER(TRIM($AH296))&lt;&gt;"n/a", LOWER(TRIM($AH296))&lt;&gt;"na", SUMPRODUCT(--(UPPER(SUBSTITUTE(SUBSTITUTE(TRIM($AH$2:$AH$518),":",""),"-",""))=UPPER(SUBSTITUTE(SUBSTITUTE(TRIM($AH296),":",""),"-",""))), --(UPPER(TRIM($B$2:$B$518))="YES"), --(UPPER(TRIM($G$2:$G$518)&amp;TRIM($I$2:$I$518)&amp;TRIM($J$2:$J$518))&lt;&gt;UPPER(TRIM($G296)&amp;TRIM($I296)&amp;TRIM($J296))))&gt;0), AND($AP296&lt;&gt;"", LOWER(TRIM($AP296))&lt;&gt;"n/a", LOWER(TRIM($AP296))&lt;&gt;"na", SUMPRODUCT(--(UPPER(TRIM($AP$2:$AP$518))=UPPER(TRIM($AP296))), --(UPPER(TRIM($B$2:$B$518))="YES"), --(UPPER(TRIM($G$2:$G$518)&amp;TRIM($I$2:$I$518)&amp;TRIM($J$2:$J$518))&lt;&gt;UPPER(TRIM($G296)&amp;TRIM($I296)&amp;TRIM($J296))))&gt;0), AND($AQ296&lt;&gt;"", LOWER(TRIM($AQ296))&lt;&gt;"n/a", LOWER(TRIM($AQ296))&lt;&gt;"na", SUMPRODUCT(--(UPPER(TRIM($AQ$2:$AQ$518))=UPPER(TRIM($AQ296))), --(UPPER(TRIM($B$2:$B$518))="YES"), --(UPPER(TRIM($G$2:$G$518)&amp;TRIM($I$2:$I$518)&amp;TRIM($J$2:$J$518))&lt;&gt;UPPER(TRIM($G296)&amp;TRIM($I296)&amp;TRIM($J296))))&gt;0)), "Yes", "No"))</f>
        <v/>
      </c>
      <c r="X296" t="inlineStr">
        <is>
          <t>NSUH-MACH-SS</t>
        </is>
      </c>
      <c r="Y296" t="inlineStr">
        <is>
          <t>A0F5097FDF00</t>
        </is>
      </c>
      <c r="AB296" t="inlineStr">
        <is>
          <t>WA24406124</t>
        </is>
      </c>
      <c r="CD296">
        <f>IF($Y296="","",IF((IF(AND($BR296&lt;&gt;"Yes",$BR296&lt;&gt;"N/A"),"Power Cable, ","")&amp;IF(AND($BS296&lt;&gt;"Yes",$BS296&lt;&gt;"N/A"),"Battery, ","")&amp;IF(AND($AD296&lt;&gt;"Yes",$AD296&lt;&gt;"N/A"),"Firmware Download, ","")&amp;IF(AND(OR($AD296="Yes",$AD296="N/A"),$AE296&lt;&gt;"Yes",$AE296&lt;&gt;"N/A"),"Firmware Install, ","")&amp;IF(AND($CB296&lt;&gt;"Yes",$CB296&lt;&gt;"N/A"),"Device ID, ","")&amp;IF(AND($CC296&lt;&gt;"Yes",$CC296&lt;&gt;"N/A"),"Epic Beans Relay, ",""))="","",LEFT(IF(AND($BR296&lt;&gt;"Yes",$BR296&lt;&gt;"N/A"),"Power Cable, ","")&amp;IF(AND($BS296&lt;&gt;"Yes",$BS296&lt;&gt;"N/A"),"Battery, ","")&amp;IF(AND($AD296&lt;&gt;"Yes",$AD296&lt;&gt;"N/A"),"Firmware Download, ","")&amp;IF(AND(OR($AD296="Yes",$AD296="N/A"),$AE296&lt;&gt;"Yes",$AE296&lt;&gt;"N/A"),"Firmware Install, ","")&amp;IF(AND($CB296&lt;&gt;"Yes",$CB296&lt;&gt;"N/A"),"Device ID, ","")&amp;IF(AND($CC296&lt;&gt;"Yes",$CC296&lt;&gt;"N/A"),"Epic Beans Relay, ",""),LEN(IF(AND($BR296&lt;&gt;"Yes",$BR296&lt;&gt;"N/A"),"Power Cable, ","")&amp;IF(AND($BS296&lt;&gt;"Yes",$BS296&lt;&gt;"N/A"),"Battery, ","")&amp;IF(AND($AD296&lt;&gt;"Yes",$AD296&lt;&gt;"N/A"),"Firmware Download, ","")&amp;IF(AND(OR($AD296="Yes",$AD296="N/A"),$AE296&lt;&gt;"Yes",$AE296&lt;&gt;"N/A"),"Firmware Install, ","")&amp;IF(AND($CB296&lt;&gt;"Yes",$CB296&lt;&gt;"N/A"),"Device ID, ","")&amp;IF(AND($CC296&lt;&gt;"Yes",$CC296&lt;&gt;"N/A"),"Epic Beans Relay, ",""))-2)))</f>
        <v/>
      </c>
      <c r="CE296">
        <f>IF($Y296="","",IF($CD296="","Yes","Blocked"))</f>
        <v/>
      </c>
      <c r="CP296">
        <f>IF($CO296="","",IFERROR(VLOOKUP($CO296,'01_Warehouse_Ledger'!$A:$N,4,FALSE),""))</f>
        <v/>
      </c>
      <c r="CQ296">
        <f>IF($CO296="","",IFERROR(VLOOKUP($CO296,'01_Warehouse_Ledger'!$A:$N,5,FALSE),""))</f>
        <v/>
      </c>
      <c r="CR296">
        <f>IF($CO296="","",IFERROR(VLOOKUP($CO296,'01_Warehouse_Ledger'!$A:$N,13,FALSE),""))</f>
        <v/>
      </c>
      <c r="CW296">
        <f>IF($S296="","",IF(UPPER(TRIM($S296))&lt;&gt;"PASS","",IF(LEN(TRIM($BY296))&gt;0,"NOTES_PRESENT",IF(LEN(TRIM($T296))=0,"SET_NA",IF(OR(LOWER(TRIM($T296))="na",LOWER(TRIM($T296))="n/a"),"OK","MANUAL_OVERRIDE")))))</f>
        <v/>
      </c>
    </row>
    <row r="297">
      <c r="A297" t="inlineStr">
        <is>
          <t>Neuron</t>
        </is>
      </c>
      <c r="B297" s="51" t="inlineStr">
        <is>
          <t>No</t>
        </is>
      </c>
      <c r="C297" t="inlineStr">
        <is>
          <t>No</t>
        </is>
      </c>
      <c r="D297">
        <f>IF($B297&lt;&gt;"Yes","",IF($C297="No","Yes",IF($C297="Yes","No","")))</f>
        <v/>
      </c>
      <c r="E297">
        <f>IF($A297="","",IF(OR(AND($V297&lt;&gt;"",LOWER(TRIM($V297))&lt;&gt;"n/a",LOWER(TRIM($V297))&lt;&gt;"na",SUMPRODUCT(--(UPPER(TRIM($V$2:$V$518))=UPPER(TRIM($V297))),--(TRIM($V$2:$V$518)&lt;&gt;""),--(LOWER(TRIM($V$2:$V$518))&lt;&gt;"n/a"),--(LOWER(TRIM($V$2:$V$518))&lt;&gt;"na"))&gt;1),AND($W297&lt;&gt;"",LOWER(TRIM($W297))&lt;&gt;"n/a",LOWER(TRIM($W297))&lt;&gt;"na",SUMPRODUCT(--(UPPER(TRIM($W$2:$W$518))=UPPER(TRIM($W297))),--(TRIM($W$2:$W$518)&lt;&gt;""),--(LOWER(TRIM($W$2:$W$518))&lt;&gt;"n/a"),--(LOWER(TRIM($W$2:$W$518))&lt;&gt;"na"))&gt;1),AND($X297&lt;&gt;"",LOWER(TRIM($X297))&lt;&gt;"n/a",LOWER(TRIM($X297))&lt;&gt;"na",SUMPRODUCT(--(UPPER(TRIM($X$2:$X$518))=UPPER(TRIM($X297))),--(TRIM($X$2:$X$518)&lt;&gt;""),--(LOWER(TRIM($X$2:$X$518))&lt;&gt;"n/a"),--(LOWER(TRIM($X$2:$X$518))&lt;&gt;"na"))&gt;1),AND($Y297&lt;&gt;"",LOWER(TRIM($Y297))&lt;&gt;"n/a",LOWER(TRIM($Y297))&lt;&gt;"na",SUMPRODUCT(--(UPPER(SUBSTITUTE(SUBSTITUTE(TRIM($Y$2:$Y$518),":",""),"-",""))=UPPER(SUBSTITUTE(SUBSTITUTE(TRIM($Y297),":",""),"-",""))),--(TRIM($Y$2:$Y$518)&lt;&gt;""),--(LOWER(TRIM($Y$2:$Y$518))&lt;&gt;"n/a"),--(LOWER(TRIM($Y$2:$Y$518))&lt;&gt;"na"))&gt;1),AND($AB297&lt;&gt;"",LOWER(TRIM($AB297))&lt;&gt;"n/a",LOWER(TRIM($AB297))&lt;&gt;"na",SUMPRODUCT(--(UPPER(TRIM($AB$2:$AB$518))=UPPER(TRIM($AB297))),--(TRIM($AB$2:$AB$518)&lt;&gt;""),--(LOWER(TRIM($AB$2:$AB$518))&lt;&gt;"n/a"),--(LOWER(TRIM($AB$2:$AB$518))&lt;&gt;"na"))&gt;1),AND($AH297&lt;&gt;"",LOWER(TRIM($AH297))&lt;&gt;"n/a",LOWER(TRIM($AH297))&lt;&gt;"na",SUMPRODUCT(--(UPPER(SUBSTITUTE(SUBSTITUTE(TRIM($AH$2:$AH$518),":",""),"-",""))=UPPER(SUBSTITUTE(SUBSTITUTE(TRIM($AH297),":",""),"-",""))),--(TRIM($AH$2:$AH$518)&lt;&gt;""),--(LOWER(TRIM($AH$2:$AH$518))&lt;&gt;"n/a"),--(LOWER(TRIM($AH$2:$AH$518))&lt;&gt;"na"))&gt;1),AND($AP297&lt;&gt;"",LOWER(TRIM($AP297))&lt;&gt;"n/a",LOWER(TRIM($AP297))&lt;&gt;"na",SUMPRODUCT(--(UPPER(TRIM($AP$2:$AP$518))=UPPER(TRIM($AP297))),--(TRIM($AP$2:$AP$518)&lt;&gt;""),--(LOWER(TRIM($AP$2:$AP$518))&lt;&gt;"n/a"),--(LOWER(TRIM($AP$2:$AP$518))&lt;&gt;"na"))&gt;1),AND($AQ297&lt;&gt;"",LOWER(TRIM($AQ297))&lt;&gt;"n/a",LOWER(TRIM($AQ297))&lt;&gt;"na",SUMPRODUCT(--(UPPER(TRIM($AQ$2:$AQ$518))=UPPER(TRIM($AQ297))),--(TRIM($AQ$2:$AQ$518)&lt;&gt;""),--(LOWER(TRIM($AQ$2:$AQ$518))&lt;&gt;"n/a"),--(LOWER(TRIM($AQ$2:$AQ$518))&lt;&gt;"na"))&gt;1)),"Yes","No"))</f>
        <v/>
      </c>
      <c r="F297">
        <f>IF(UPPER(TRIM($B297))&lt;&gt;"YES","", IF(OR(AND($V297&lt;&gt;"", LOWER(TRIM($V297))&lt;&gt;"n/a", LOWER(TRIM($V297))&lt;&gt;"na", SUMPRODUCT(--(UPPER(TRIM($V$2:$V$518))=UPPER(TRIM($V297))), --(UPPER(TRIM($B$2:$B$518))="YES"), --(UPPER(TRIM($G$2:$G$518)&amp;TRIM($I$2:$I$518)&amp;TRIM($J$2:$J$518))&lt;&gt;UPPER(TRIM($G297)&amp;TRIM($I297)&amp;TRIM($J297))))&gt;0), AND($W297&lt;&gt;"", LOWER(TRIM($W297))&lt;&gt;"n/a", LOWER(TRIM($W297))&lt;&gt;"na", SUMPRODUCT(--(UPPER(TRIM($W$2:$W$518))=UPPER(TRIM($W297))), --(UPPER(TRIM($B$2:$B$518))="YES"), --(UPPER(TRIM($G$2:$G$518)&amp;TRIM($I$2:$I$518)&amp;TRIM($J$2:$J$518))&lt;&gt;UPPER(TRIM($G297)&amp;TRIM($I297)&amp;TRIM($J297))))&gt;0), AND($X297&lt;&gt;"", LOWER(TRIM($X297))&lt;&gt;"n/a", LOWER(TRIM($X297))&lt;&gt;"na", SUMPRODUCT(--(UPPER(TRIM($X$2:$X$518))=UPPER(TRIM($X297))), --(UPPER(TRIM($B$2:$B$518))="YES"), --(UPPER(TRIM($G$2:$G$518)&amp;TRIM($I$2:$I$518)&amp;TRIM($J$2:$J$518))&lt;&gt;UPPER(TRIM($G297)&amp;TRIM($I297)&amp;TRIM($J297))))&gt;0), AND($Y297&lt;&gt;"", LOWER(TRIM($Y297))&lt;&gt;"n/a", LOWER(TRIM($Y297))&lt;&gt;"na", SUMPRODUCT(--(UPPER(SUBSTITUTE(SUBSTITUTE(TRIM($Y$2:$Y$518),":",""),"-",""))=UPPER(SUBSTITUTE(SUBSTITUTE(TRIM($Y297),":",""),"-",""))), --(UPPER(TRIM($B$2:$B$518))="YES"), --(UPPER(TRIM($G$2:$G$518)&amp;TRIM($I$2:$I$518)&amp;TRIM($J$2:$J$518))&lt;&gt;UPPER(TRIM($G297)&amp;TRIM($I297)&amp;TRIM($J297))))&gt;0), AND($AB297&lt;&gt;"", LOWER(TRIM($AB297))&lt;&gt;"n/a", LOWER(TRIM($AB297))&lt;&gt;"na", SUMPRODUCT(--(UPPER(TRIM($AB$2:$AB$518))=UPPER(TRIM($AB297))), --(UPPER(TRIM($B$2:$B$518))="YES"), --(UPPER(TRIM($G$2:$G$518)&amp;TRIM($I$2:$I$518)&amp;TRIM($J$2:$J$518))&lt;&gt;UPPER(TRIM($G297)&amp;TRIM($I297)&amp;TRIM($J297))))&gt;0), AND($AH297&lt;&gt;"", LOWER(TRIM($AH297))&lt;&gt;"n/a", LOWER(TRIM($AH297))&lt;&gt;"na", SUMPRODUCT(--(UPPER(SUBSTITUTE(SUBSTITUTE(TRIM($AH$2:$AH$518),":",""),"-",""))=UPPER(SUBSTITUTE(SUBSTITUTE(TRIM($AH297),":",""),"-",""))), --(UPPER(TRIM($B$2:$B$518))="YES"), --(UPPER(TRIM($G$2:$G$518)&amp;TRIM($I$2:$I$518)&amp;TRIM($J$2:$J$518))&lt;&gt;UPPER(TRIM($G297)&amp;TRIM($I297)&amp;TRIM($J297))))&gt;0), AND($AP297&lt;&gt;"", LOWER(TRIM($AP297))&lt;&gt;"n/a", LOWER(TRIM($AP297))&lt;&gt;"na", SUMPRODUCT(--(UPPER(TRIM($AP$2:$AP$518))=UPPER(TRIM($AP297))), --(UPPER(TRIM($B$2:$B$518))="YES"), --(UPPER(TRIM($G$2:$G$518)&amp;TRIM($I$2:$I$518)&amp;TRIM($J$2:$J$518))&lt;&gt;UPPER(TRIM($G297)&amp;TRIM($I297)&amp;TRIM($J297))))&gt;0), AND($AQ297&lt;&gt;"", LOWER(TRIM($AQ297))&lt;&gt;"n/a", LOWER(TRIM($AQ297))&lt;&gt;"na", SUMPRODUCT(--(UPPER(TRIM($AQ$2:$AQ$518))=UPPER(TRIM($AQ297))), --(UPPER(TRIM($B$2:$B$518))="YES"), --(UPPER(TRIM($G$2:$G$518)&amp;TRIM($I$2:$I$518)&amp;TRIM($J$2:$J$518))&lt;&gt;UPPER(TRIM($G297)&amp;TRIM($I297)&amp;TRIM($J297))))&gt;0)), "Yes", "No"))</f>
        <v/>
      </c>
      <c r="X297" t="inlineStr">
        <is>
          <t>NSUH-MACH-KKK</t>
        </is>
      </c>
      <c r="Y297" t="inlineStr">
        <is>
          <t>A0F5097FE1D8</t>
        </is>
      </c>
      <c r="AB297" t="inlineStr">
        <is>
          <t>WA24406222</t>
        </is>
      </c>
      <c r="CD297">
        <f>IF($Y297="","",IF((IF(AND($BR297&lt;&gt;"Yes",$BR297&lt;&gt;"N/A"),"Power Cable, ","")&amp;IF(AND($BS297&lt;&gt;"Yes",$BS297&lt;&gt;"N/A"),"Battery, ","")&amp;IF(AND($AD297&lt;&gt;"Yes",$AD297&lt;&gt;"N/A"),"Firmware Download, ","")&amp;IF(AND(OR($AD297="Yes",$AD297="N/A"),$AE297&lt;&gt;"Yes",$AE297&lt;&gt;"N/A"),"Firmware Install, ","")&amp;IF(AND($CB297&lt;&gt;"Yes",$CB297&lt;&gt;"N/A"),"Device ID, ","")&amp;IF(AND($CC297&lt;&gt;"Yes",$CC297&lt;&gt;"N/A"),"Epic Beans Relay, ",""))="","",LEFT(IF(AND($BR297&lt;&gt;"Yes",$BR297&lt;&gt;"N/A"),"Power Cable, ","")&amp;IF(AND($BS297&lt;&gt;"Yes",$BS297&lt;&gt;"N/A"),"Battery, ","")&amp;IF(AND($AD297&lt;&gt;"Yes",$AD297&lt;&gt;"N/A"),"Firmware Download, ","")&amp;IF(AND(OR($AD297="Yes",$AD297="N/A"),$AE297&lt;&gt;"Yes",$AE297&lt;&gt;"N/A"),"Firmware Install, ","")&amp;IF(AND($CB297&lt;&gt;"Yes",$CB297&lt;&gt;"N/A"),"Device ID, ","")&amp;IF(AND($CC297&lt;&gt;"Yes",$CC297&lt;&gt;"N/A"),"Epic Beans Relay, ",""),LEN(IF(AND($BR297&lt;&gt;"Yes",$BR297&lt;&gt;"N/A"),"Power Cable, ","")&amp;IF(AND($BS297&lt;&gt;"Yes",$BS297&lt;&gt;"N/A"),"Battery, ","")&amp;IF(AND($AD297&lt;&gt;"Yes",$AD297&lt;&gt;"N/A"),"Firmware Download, ","")&amp;IF(AND(OR($AD297="Yes",$AD297="N/A"),$AE297&lt;&gt;"Yes",$AE297&lt;&gt;"N/A"),"Firmware Install, ","")&amp;IF(AND($CB297&lt;&gt;"Yes",$CB297&lt;&gt;"N/A"),"Device ID, ","")&amp;IF(AND($CC297&lt;&gt;"Yes",$CC297&lt;&gt;"N/A"),"Epic Beans Relay, ",""))-2)))</f>
        <v/>
      </c>
      <c r="CE297">
        <f>IF($Y297="","",IF($CD297="","Yes","Blocked"))</f>
        <v/>
      </c>
      <c r="CP297">
        <f>IF($CO297="","",IFERROR(VLOOKUP($CO297,'01_Warehouse_Ledger'!$A:$N,4,FALSE),""))</f>
        <v/>
      </c>
      <c r="CQ297">
        <f>IF($CO297="","",IFERROR(VLOOKUP($CO297,'01_Warehouse_Ledger'!$A:$N,5,FALSE),""))</f>
        <v/>
      </c>
      <c r="CR297">
        <f>IF($CO297="","",IFERROR(VLOOKUP($CO297,'01_Warehouse_Ledger'!$A:$N,13,FALSE),""))</f>
        <v/>
      </c>
      <c r="CW297">
        <f>IF($S297="","",IF(UPPER(TRIM($S297))&lt;&gt;"PASS","",IF(LEN(TRIM($BY297))&gt;0,"NOTES_PRESENT",IF(LEN(TRIM($T297))=0,"SET_NA",IF(OR(LOWER(TRIM($T297))="na",LOWER(TRIM($T297))="n/a"),"OK","MANUAL_OVERRIDE")))))</f>
        <v/>
      </c>
    </row>
    <row r="298">
      <c r="A298" t="inlineStr">
        <is>
          <t>Neuron</t>
        </is>
      </c>
      <c r="B298" t="inlineStr">
        <is>
          <t>No</t>
        </is>
      </c>
      <c r="C298" t="inlineStr">
        <is>
          <t>No</t>
        </is>
      </c>
      <c r="D298">
        <f>IF($B298&lt;&gt;"Yes","",IF($C298="No","Yes",IF($C298="Yes","No","")))</f>
        <v/>
      </c>
      <c r="E298">
        <f>IF($A298="","",IF(OR(AND($V298&lt;&gt;"",LOWER(TRIM($V298))&lt;&gt;"n/a",LOWER(TRIM($V298))&lt;&gt;"na",SUMPRODUCT(--(UPPER(TRIM($V$2:$V$518))=UPPER(TRIM($V298))),--(TRIM($V$2:$V$518)&lt;&gt;""),--(LOWER(TRIM($V$2:$V$518))&lt;&gt;"n/a"),--(LOWER(TRIM($V$2:$V$518))&lt;&gt;"na"))&gt;1),AND($W298&lt;&gt;"",LOWER(TRIM($W298))&lt;&gt;"n/a",LOWER(TRIM($W298))&lt;&gt;"na",SUMPRODUCT(--(UPPER(TRIM($W$2:$W$518))=UPPER(TRIM($W298))),--(TRIM($W$2:$W$518)&lt;&gt;""),--(LOWER(TRIM($W$2:$W$518))&lt;&gt;"n/a"),--(LOWER(TRIM($W$2:$W$518))&lt;&gt;"na"))&gt;1),AND($X298&lt;&gt;"",LOWER(TRIM($X298))&lt;&gt;"n/a",LOWER(TRIM($X298))&lt;&gt;"na",SUMPRODUCT(--(UPPER(TRIM($X$2:$X$518))=UPPER(TRIM($X298))),--(TRIM($X$2:$X$518)&lt;&gt;""),--(LOWER(TRIM($X$2:$X$518))&lt;&gt;"n/a"),--(LOWER(TRIM($X$2:$X$518))&lt;&gt;"na"))&gt;1),AND($Y298&lt;&gt;"",LOWER(TRIM($Y298))&lt;&gt;"n/a",LOWER(TRIM($Y298))&lt;&gt;"na",SUMPRODUCT(--(UPPER(SUBSTITUTE(SUBSTITUTE(TRIM($Y$2:$Y$518),":",""),"-",""))=UPPER(SUBSTITUTE(SUBSTITUTE(TRIM($Y298),":",""),"-",""))),--(TRIM($Y$2:$Y$518)&lt;&gt;""),--(LOWER(TRIM($Y$2:$Y$518))&lt;&gt;"n/a"),--(LOWER(TRIM($Y$2:$Y$518))&lt;&gt;"na"))&gt;1),AND($AB298&lt;&gt;"",LOWER(TRIM($AB298))&lt;&gt;"n/a",LOWER(TRIM($AB298))&lt;&gt;"na",SUMPRODUCT(--(UPPER(TRIM($AB$2:$AB$518))=UPPER(TRIM($AB298))),--(TRIM($AB$2:$AB$518)&lt;&gt;""),--(LOWER(TRIM($AB$2:$AB$518))&lt;&gt;"n/a"),--(LOWER(TRIM($AB$2:$AB$518))&lt;&gt;"na"))&gt;1),AND($AH298&lt;&gt;"",LOWER(TRIM($AH298))&lt;&gt;"n/a",LOWER(TRIM($AH298))&lt;&gt;"na",SUMPRODUCT(--(UPPER(SUBSTITUTE(SUBSTITUTE(TRIM($AH$2:$AH$518),":",""),"-",""))=UPPER(SUBSTITUTE(SUBSTITUTE(TRIM($AH298),":",""),"-",""))),--(TRIM($AH$2:$AH$518)&lt;&gt;""),--(LOWER(TRIM($AH$2:$AH$518))&lt;&gt;"n/a"),--(LOWER(TRIM($AH$2:$AH$518))&lt;&gt;"na"))&gt;1),AND($AP298&lt;&gt;"",LOWER(TRIM($AP298))&lt;&gt;"n/a",LOWER(TRIM($AP298))&lt;&gt;"na",SUMPRODUCT(--(UPPER(TRIM($AP$2:$AP$518))=UPPER(TRIM($AP298))),--(TRIM($AP$2:$AP$518)&lt;&gt;""),--(LOWER(TRIM($AP$2:$AP$518))&lt;&gt;"n/a"),--(LOWER(TRIM($AP$2:$AP$518))&lt;&gt;"na"))&gt;1),AND($AQ298&lt;&gt;"",LOWER(TRIM($AQ298))&lt;&gt;"n/a",LOWER(TRIM($AQ298))&lt;&gt;"na",SUMPRODUCT(--(UPPER(TRIM($AQ$2:$AQ$518))=UPPER(TRIM($AQ298))),--(TRIM($AQ$2:$AQ$518)&lt;&gt;""),--(LOWER(TRIM($AQ$2:$AQ$518))&lt;&gt;"n/a"),--(LOWER(TRIM($AQ$2:$AQ$518))&lt;&gt;"na"))&gt;1)),"Yes","No"))</f>
        <v/>
      </c>
      <c r="F298">
        <f>IF(UPPER(TRIM($B298))&lt;&gt;"YES","", IF(OR(AND($V298&lt;&gt;"", LOWER(TRIM($V298))&lt;&gt;"n/a", LOWER(TRIM($V298))&lt;&gt;"na", SUMPRODUCT(--(UPPER(TRIM($V$2:$V$518))=UPPER(TRIM($V298))), --(UPPER(TRIM($B$2:$B$518))="YES"), --(UPPER(TRIM($G$2:$G$518)&amp;TRIM($I$2:$I$518)&amp;TRIM($J$2:$J$518))&lt;&gt;UPPER(TRIM($G298)&amp;TRIM($I298)&amp;TRIM($J298))))&gt;0), AND($W298&lt;&gt;"", LOWER(TRIM($W298))&lt;&gt;"n/a", LOWER(TRIM($W298))&lt;&gt;"na", SUMPRODUCT(--(UPPER(TRIM($W$2:$W$518))=UPPER(TRIM($W298))), --(UPPER(TRIM($B$2:$B$518))="YES"), --(UPPER(TRIM($G$2:$G$518)&amp;TRIM($I$2:$I$518)&amp;TRIM($J$2:$J$518))&lt;&gt;UPPER(TRIM($G298)&amp;TRIM($I298)&amp;TRIM($J298))))&gt;0), AND($X298&lt;&gt;"", LOWER(TRIM($X298))&lt;&gt;"n/a", LOWER(TRIM($X298))&lt;&gt;"na", SUMPRODUCT(--(UPPER(TRIM($X$2:$X$518))=UPPER(TRIM($X298))), --(UPPER(TRIM($B$2:$B$518))="YES"), --(UPPER(TRIM($G$2:$G$518)&amp;TRIM($I$2:$I$518)&amp;TRIM($J$2:$J$518))&lt;&gt;UPPER(TRIM($G298)&amp;TRIM($I298)&amp;TRIM($J298))))&gt;0), AND($Y298&lt;&gt;"", LOWER(TRIM($Y298))&lt;&gt;"n/a", LOWER(TRIM($Y298))&lt;&gt;"na", SUMPRODUCT(--(UPPER(SUBSTITUTE(SUBSTITUTE(TRIM($Y$2:$Y$518),":",""),"-",""))=UPPER(SUBSTITUTE(SUBSTITUTE(TRIM($Y298),":",""),"-",""))), --(UPPER(TRIM($B$2:$B$518))="YES"), --(UPPER(TRIM($G$2:$G$518)&amp;TRIM($I$2:$I$518)&amp;TRIM($J$2:$J$518))&lt;&gt;UPPER(TRIM($G298)&amp;TRIM($I298)&amp;TRIM($J298))))&gt;0), AND($AB298&lt;&gt;"", LOWER(TRIM($AB298))&lt;&gt;"n/a", LOWER(TRIM($AB298))&lt;&gt;"na", SUMPRODUCT(--(UPPER(TRIM($AB$2:$AB$518))=UPPER(TRIM($AB298))), --(UPPER(TRIM($B$2:$B$518))="YES"), --(UPPER(TRIM($G$2:$G$518)&amp;TRIM($I$2:$I$518)&amp;TRIM($J$2:$J$518))&lt;&gt;UPPER(TRIM($G298)&amp;TRIM($I298)&amp;TRIM($J298))))&gt;0), AND($AH298&lt;&gt;"", LOWER(TRIM($AH298))&lt;&gt;"n/a", LOWER(TRIM($AH298))&lt;&gt;"na", SUMPRODUCT(--(UPPER(SUBSTITUTE(SUBSTITUTE(TRIM($AH$2:$AH$518),":",""),"-",""))=UPPER(SUBSTITUTE(SUBSTITUTE(TRIM($AH298),":",""),"-",""))), --(UPPER(TRIM($B$2:$B$518))="YES"), --(UPPER(TRIM($G$2:$G$518)&amp;TRIM($I$2:$I$518)&amp;TRIM($J$2:$J$518))&lt;&gt;UPPER(TRIM($G298)&amp;TRIM($I298)&amp;TRIM($J298))))&gt;0), AND($AP298&lt;&gt;"", LOWER(TRIM($AP298))&lt;&gt;"n/a", LOWER(TRIM($AP298))&lt;&gt;"na", SUMPRODUCT(--(UPPER(TRIM($AP$2:$AP$518))=UPPER(TRIM($AP298))), --(UPPER(TRIM($B$2:$B$518))="YES"), --(UPPER(TRIM($G$2:$G$518)&amp;TRIM($I$2:$I$518)&amp;TRIM($J$2:$J$518))&lt;&gt;UPPER(TRIM($G298)&amp;TRIM($I298)&amp;TRIM($J298))))&gt;0), AND($AQ298&lt;&gt;"", LOWER(TRIM($AQ298))&lt;&gt;"n/a", LOWER(TRIM($AQ298))&lt;&gt;"na", SUMPRODUCT(--(UPPER(TRIM($AQ$2:$AQ$518))=UPPER(TRIM($AQ298))), --(UPPER(TRIM($B$2:$B$518))="YES"), --(UPPER(TRIM($G$2:$G$518)&amp;TRIM($I$2:$I$518)&amp;TRIM($J$2:$J$518))&lt;&gt;UPPER(TRIM($G298)&amp;TRIM($I298)&amp;TRIM($J298))))&gt;0)), "Yes", "No"))</f>
        <v/>
      </c>
      <c r="X298" t="inlineStr">
        <is>
          <t>NSUH-MACH-TTT</t>
        </is>
      </c>
      <c r="Y298" t="inlineStr">
        <is>
          <t>A0F5097FA507</t>
        </is>
      </c>
      <c r="AB298" t="inlineStr">
        <is>
          <t>WA23C03775</t>
        </is>
      </c>
      <c r="CD298">
        <f>IF($Y298="","",IF((IF(AND($BR298&lt;&gt;"Yes",$BR298&lt;&gt;"N/A"),"Power Cable, ","")&amp;IF(AND($BS298&lt;&gt;"Yes",$BS298&lt;&gt;"N/A"),"Battery, ","")&amp;IF(AND($AD298&lt;&gt;"Yes",$AD298&lt;&gt;"N/A"),"Firmware Download, ","")&amp;IF(AND(OR($AD298="Yes",$AD298="N/A"),$AE298&lt;&gt;"Yes",$AE298&lt;&gt;"N/A"),"Firmware Install, ","")&amp;IF(AND($CB298&lt;&gt;"Yes",$CB298&lt;&gt;"N/A"),"Device ID, ","")&amp;IF(AND($CC298&lt;&gt;"Yes",$CC298&lt;&gt;"N/A"),"Epic Beans Relay, ",""))="","",LEFT(IF(AND($BR298&lt;&gt;"Yes",$BR298&lt;&gt;"N/A"),"Power Cable, ","")&amp;IF(AND($BS298&lt;&gt;"Yes",$BS298&lt;&gt;"N/A"),"Battery, ","")&amp;IF(AND($AD298&lt;&gt;"Yes",$AD298&lt;&gt;"N/A"),"Firmware Download, ","")&amp;IF(AND(OR($AD298="Yes",$AD298="N/A"),$AE298&lt;&gt;"Yes",$AE298&lt;&gt;"N/A"),"Firmware Install, ","")&amp;IF(AND($CB298&lt;&gt;"Yes",$CB298&lt;&gt;"N/A"),"Device ID, ","")&amp;IF(AND($CC298&lt;&gt;"Yes",$CC298&lt;&gt;"N/A"),"Epic Beans Relay, ",""),LEN(IF(AND($BR298&lt;&gt;"Yes",$BR298&lt;&gt;"N/A"),"Power Cable, ","")&amp;IF(AND($BS298&lt;&gt;"Yes",$BS298&lt;&gt;"N/A"),"Battery, ","")&amp;IF(AND($AD298&lt;&gt;"Yes",$AD298&lt;&gt;"N/A"),"Firmware Download, ","")&amp;IF(AND(OR($AD298="Yes",$AD298="N/A"),$AE298&lt;&gt;"Yes",$AE298&lt;&gt;"N/A"),"Firmware Install, ","")&amp;IF(AND($CB298&lt;&gt;"Yes",$CB298&lt;&gt;"N/A"),"Device ID, ","")&amp;IF(AND($CC298&lt;&gt;"Yes",$CC298&lt;&gt;"N/A"),"Epic Beans Relay, ",""))-2)))</f>
        <v/>
      </c>
      <c r="CE298">
        <f>IF($Y298="","",IF($CD298="","Yes","Blocked"))</f>
        <v/>
      </c>
      <c r="CP298">
        <f>IF($CO298="","",IFERROR(VLOOKUP($CO298,'01_Warehouse_Ledger'!$A:$N,4,FALSE),""))</f>
        <v/>
      </c>
      <c r="CQ298">
        <f>IF($CO298="","",IFERROR(VLOOKUP($CO298,'01_Warehouse_Ledger'!$A:$N,5,FALSE),""))</f>
        <v/>
      </c>
      <c r="CR298">
        <f>IF($CO298="","",IFERROR(VLOOKUP($CO298,'01_Warehouse_Ledger'!$A:$N,13,FALSE),""))</f>
        <v/>
      </c>
      <c r="CW298">
        <f>IF($S298="","",IF(UPPER(TRIM($S298))&lt;&gt;"PASS","",IF(LEN(TRIM($BY298))&gt;0,"NOTES_PRESENT",IF(LEN(TRIM($T298))=0,"SET_NA",IF(OR(LOWER(TRIM($T298))="na",LOWER(TRIM($T298))="n/a"),"OK","MANUAL_OVERRIDE")))))</f>
        <v/>
      </c>
    </row>
    <row r="299">
      <c r="A299" t="inlineStr">
        <is>
          <t>Neuron</t>
        </is>
      </c>
      <c r="B299" t="inlineStr">
        <is>
          <t>No</t>
        </is>
      </c>
      <c r="C299" t="inlineStr">
        <is>
          <t>No</t>
        </is>
      </c>
      <c r="D299">
        <f>IF($B299&lt;&gt;"Yes","",IF($C299="No","Yes",IF($C299="Yes","No","")))</f>
        <v/>
      </c>
      <c r="E299">
        <f>IF($A299="","",IF(OR(AND($V299&lt;&gt;"",LOWER(TRIM($V299))&lt;&gt;"n/a",LOWER(TRIM($V299))&lt;&gt;"na",SUMPRODUCT(--(UPPER(TRIM($V$2:$V$518))=UPPER(TRIM($V299))),--(TRIM($V$2:$V$518)&lt;&gt;""),--(LOWER(TRIM($V$2:$V$518))&lt;&gt;"n/a"),--(LOWER(TRIM($V$2:$V$518))&lt;&gt;"na"))&gt;1),AND($W299&lt;&gt;"",LOWER(TRIM($W299))&lt;&gt;"n/a",LOWER(TRIM($W299))&lt;&gt;"na",SUMPRODUCT(--(UPPER(TRIM($W$2:$W$518))=UPPER(TRIM($W299))),--(TRIM($W$2:$W$518)&lt;&gt;""),--(LOWER(TRIM($W$2:$W$518))&lt;&gt;"n/a"),--(LOWER(TRIM($W$2:$W$518))&lt;&gt;"na"))&gt;1),AND($X299&lt;&gt;"",LOWER(TRIM($X299))&lt;&gt;"n/a",LOWER(TRIM($X299))&lt;&gt;"na",SUMPRODUCT(--(UPPER(TRIM($X$2:$X$518))=UPPER(TRIM($X299))),--(TRIM($X$2:$X$518)&lt;&gt;""),--(LOWER(TRIM($X$2:$X$518))&lt;&gt;"n/a"),--(LOWER(TRIM($X$2:$X$518))&lt;&gt;"na"))&gt;1),AND($Y299&lt;&gt;"",LOWER(TRIM($Y299))&lt;&gt;"n/a",LOWER(TRIM($Y299))&lt;&gt;"na",SUMPRODUCT(--(UPPER(SUBSTITUTE(SUBSTITUTE(TRIM($Y$2:$Y$518),":",""),"-",""))=UPPER(SUBSTITUTE(SUBSTITUTE(TRIM($Y299),":",""),"-",""))),--(TRIM($Y$2:$Y$518)&lt;&gt;""),--(LOWER(TRIM($Y$2:$Y$518))&lt;&gt;"n/a"),--(LOWER(TRIM($Y$2:$Y$518))&lt;&gt;"na"))&gt;1),AND($AB299&lt;&gt;"",LOWER(TRIM($AB299))&lt;&gt;"n/a",LOWER(TRIM($AB299))&lt;&gt;"na",SUMPRODUCT(--(UPPER(TRIM($AB$2:$AB$518))=UPPER(TRIM($AB299))),--(TRIM($AB$2:$AB$518)&lt;&gt;""),--(LOWER(TRIM($AB$2:$AB$518))&lt;&gt;"n/a"),--(LOWER(TRIM($AB$2:$AB$518))&lt;&gt;"na"))&gt;1),AND($AH299&lt;&gt;"",LOWER(TRIM($AH299))&lt;&gt;"n/a",LOWER(TRIM($AH299))&lt;&gt;"na",SUMPRODUCT(--(UPPER(SUBSTITUTE(SUBSTITUTE(TRIM($AH$2:$AH$518),":",""),"-",""))=UPPER(SUBSTITUTE(SUBSTITUTE(TRIM($AH299),":",""),"-",""))),--(TRIM($AH$2:$AH$518)&lt;&gt;""),--(LOWER(TRIM($AH$2:$AH$518))&lt;&gt;"n/a"),--(LOWER(TRIM($AH$2:$AH$518))&lt;&gt;"na"))&gt;1),AND($AP299&lt;&gt;"",LOWER(TRIM($AP299))&lt;&gt;"n/a",LOWER(TRIM($AP299))&lt;&gt;"na",SUMPRODUCT(--(UPPER(TRIM($AP$2:$AP$518))=UPPER(TRIM($AP299))),--(TRIM($AP$2:$AP$518)&lt;&gt;""),--(LOWER(TRIM($AP$2:$AP$518))&lt;&gt;"n/a"),--(LOWER(TRIM($AP$2:$AP$518))&lt;&gt;"na"))&gt;1),AND($AQ299&lt;&gt;"",LOWER(TRIM($AQ299))&lt;&gt;"n/a",LOWER(TRIM($AQ299))&lt;&gt;"na",SUMPRODUCT(--(UPPER(TRIM($AQ$2:$AQ$518))=UPPER(TRIM($AQ299))),--(TRIM($AQ$2:$AQ$518)&lt;&gt;""),--(LOWER(TRIM($AQ$2:$AQ$518))&lt;&gt;"n/a"),--(LOWER(TRIM($AQ$2:$AQ$518))&lt;&gt;"na"))&gt;1)),"Yes","No"))</f>
        <v/>
      </c>
      <c r="F299">
        <f>IF(UPPER(TRIM($B299))&lt;&gt;"YES","", IF(OR(AND($V299&lt;&gt;"", LOWER(TRIM($V299))&lt;&gt;"n/a", LOWER(TRIM($V299))&lt;&gt;"na", SUMPRODUCT(--(UPPER(TRIM($V$2:$V$518))=UPPER(TRIM($V299))), --(UPPER(TRIM($B$2:$B$518))="YES"), --(UPPER(TRIM($G$2:$G$518)&amp;TRIM($I$2:$I$518)&amp;TRIM($J$2:$J$518))&lt;&gt;UPPER(TRIM($G299)&amp;TRIM($I299)&amp;TRIM($J299))))&gt;0), AND($W299&lt;&gt;"", LOWER(TRIM($W299))&lt;&gt;"n/a", LOWER(TRIM($W299))&lt;&gt;"na", SUMPRODUCT(--(UPPER(TRIM($W$2:$W$518))=UPPER(TRIM($W299))), --(UPPER(TRIM($B$2:$B$518))="YES"), --(UPPER(TRIM($G$2:$G$518)&amp;TRIM($I$2:$I$518)&amp;TRIM($J$2:$J$518))&lt;&gt;UPPER(TRIM($G299)&amp;TRIM($I299)&amp;TRIM($J299))))&gt;0), AND($X299&lt;&gt;"", LOWER(TRIM($X299))&lt;&gt;"n/a", LOWER(TRIM($X299))&lt;&gt;"na", SUMPRODUCT(--(UPPER(TRIM($X$2:$X$518))=UPPER(TRIM($X299))), --(UPPER(TRIM($B$2:$B$518))="YES"), --(UPPER(TRIM($G$2:$G$518)&amp;TRIM($I$2:$I$518)&amp;TRIM($J$2:$J$518))&lt;&gt;UPPER(TRIM($G299)&amp;TRIM($I299)&amp;TRIM($J299))))&gt;0), AND($Y299&lt;&gt;"", LOWER(TRIM($Y299))&lt;&gt;"n/a", LOWER(TRIM($Y299))&lt;&gt;"na", SUMPRODUCT(--(UPPER(SUBSTITUTE(SUBSTITUTE(TRIM($Y$2:$Y$518),":",""),"-",""))=UPPER(SUBSTITUTE(SUBSTITUTE(TRIM($Y299),":",""),"-",""))), --(UPPER(TRIM($B$2:$B$518))="YES"), --(UPPER(TRIM($G$2:$G$518)&amp;TRIM($I$2:$I$518)&amp;TRIM($J$2:$J$518))&lt;&gt;UPPER(TRIM($G299)&amp;TRIM($I299)&amp;TRIM($J299))))&gt;0), AND($AB299&lt;&gt;"", LOWER(TRIM($AB299))&lt;&gt;"n/a", LOWER(TRIM($AB299))&lt;&gt;"na", SUMPRODUCT(--(UPPER(TRIM($AB$2:$AB$518))=UPPER(TRIM($AB299))), --(UPPER(TRIM($B$2:$B$518))="YES"), --(UPPER(TRIM($G$2:$G$518)&amp;TRIM($I$2:$I$518)&amp;TRIM($J$2:$J$518))&lt;&gt;UPPER(TRIM($G299)&amp;TRIM($I299)&amp;TRIM($J299))))&gt;0), AND($AH299&lt;&gt;"", LOWER(TRIM($AH299))&lt;&gt;"n/a", LOWER(TRIM($AH299))&lt;&gt;"na", SUMPRODUCT(--(UPPER(SUBSTITUTE(SUBSTITUTE(TRIM($AH$2:$AH$518),":",""),"-",""))=UPPER(SUBSTITUTE(SUBSTITUTE(TRIM($AH299),":",""),"-",""))), --(UPPER(TRIM($B$2:$B$518))="YES"), --(UPPER(TRIM($G$2:$G$518)&amp;TRIM($I$2:$I$518)&amp;TRIM($J$2:$J$518))&lt;&gt;UPPER(TRIM($G299)&amp;TRIM($I299)&amp;TRIM($J299))))&gt;0), AND($AP299&lt;&gt;"", LOWER(TRIM($AP299))&lt;&gt;"n/a", LOWER(TRIM($AP299))&lt;&gt;"na", SUMPRODUCT(--(UPPER(TRIM($AP$2:$AP$518))=UPPER(TRIM($AP299))), --(UPPER(TRIM($B$2:$B$518))="YES"), --(UPPER(TRIM($G$2:$G$518)&amp;TRIM($I$2:$I$518)&amp;TRIM($J$2:$J$518))&lt;&gt;UPPER(TRIM($G299)&amp;TRIM($I299)&amp;TRIM($J299))))&gt;0), AND($AQ299&lt;&gt;"", LOWER(TRIM($AQ299))&lt;&gt;"n/a", LOWER(TRIM($AQ299))&lt;&gt;"na", SUMPRODUCT(--(UPPER(TRIM($AQ$2:$AQ$518))=UPPER(TRIM($AQ299))), --(UPPER(TRIM($B$2:$B$518))="YES"), --(UPPER(TRIM($G$2:$G$518)&amp;TRIM($I$2:$I$518)&amp;TRIM($J$2:$J$518))&lt;&gt;UPPER(TRIM($G299)&amp;TRIM($I299)&amp;TRIM($J299))))&gt;0)), "Yes", "No"))</f>
        <v/>
      </c>
      <c r="X299" t="inlineStr">
        <is>
          <t>NSUH-MACH-UUU</t>
        </is>
      </c>
      <c r="Y299" t="inlineStr">
        <is>
          <t>A0F5097FA516</t>
        </is>
      </c>
      <c r="AB299" t="inlineStr">
        <is>
          <t>WA23C03118</t>
        </is>
      </c>
      <c r="CD299">
        <f>IF($Y299="","",IF((IF(AND($BR299&lt;&gt;"Yes",$BR299&lt;&gt;"N/A"),"Power Cable, ","")&amp;IF(AND($BS299&lt;&gt;"Yes",$BS299&lt;&gt;"N/A"),"Battery, ","")&amp;IF(AND($AD299&lt;&gt;"Yes",$AD299&lt;&gt;"N/A"),"Firmware Download, ","")&amp;IF(AND(OR($AD299="Yes",$AD299="N/A"),$AE299&lt;&gt;"Yes",$AE299&lt;&gt;"N/A"),"Firmware Install, ","")&amp;IF(AND($CB299&lt;&gt;"Yes",$CB299&lt;&gt;"N/A"),"Device ID, ","")&amp;IF(AND($CC299&lt;&gt;"Yes",$CC299&lt;&gt;"N/A"),"Epic Beans Relay, ",""))="","",LEFT(IF(AND($BR299&lt;&gt;"Yes",$BR299&lt;&gt;"N/A"),"Power Cable, ","")&amp;IF(AND($BS299&lt;&gt;"Yes",$BS299&lt;&gt;"N/A"),"Battery, ","")&amp;IF(AND($AD299&lt;&gt;"Yes",$AD299&lt;&gt;"N/A"),"Firmware Download, ","")&amp;IF(AND(OR($AD299="Yes",$AD299="N/A"),$AE299&lt;&gt;"Yes",$AE299&lt;&gt;"N/A"),"Firmware Install, ","")&amp;IF(AND($CB299&lt;&gt;"Yes",$CB299&lt;&gt;"N/A"),"Device ID, ","")&amp;IF(AND($CC299&lt;&gt;"Yes",$CC299&lt;&gt;"N/A"),"Epic Beans Relay, ",""),LEN(IF(AND($BR299&lt;&gt;"Yes",$BR299&lt;&gt;"N/A"),"Power Cable, ","")&amp;IF(AND($BS299&lt;&gt;"Yes",$BS299&lt;&gt;"N/A"),"Battery, ","")&amp;IF(AND($AD299&lt;&gt;"Yes",$AD299&lt;&gt;"N/A"),"Firmware Download, ","")&amp;IF(AND(OR($AD299="Yes",$AD299="N/A"),$AE299&lt;&gt;"Yes",$AE299&lt;&gt;"N/A"),"Firmware Install, ","")&amp;IF(AND($CB299&lt;&gt;"Yes",$CB299&lt;&gt;"N/A"),"Device ID, ","")&amp;IF(AND($CC299&lt;&gt;"Yes",$CC299&lt;&gt;"N/A"),"Epic Beans Relay, ",""))-2)))</f>
        <v/>
      </c>
      <c r="CE299">
        <f>IF($Y299="","",IF($CD299="","Yes","Blocked"))</f>
        <v/>
      </c>
      <c r="CP299">
        <f>IF($CO299="","",IFERROR(VLOOKUP($CO299,'01_Warehouse_Ledger'!$A:$N,4,FALSE),""))</f>
        <v/>
      </c>
      <c r="CQ299">
        <f>IF($CO299="","",IFERROR(VLOOKUP($CO299,'01_Warehouse_Ledger'!$A:$N,5,FALSE),""))</f>
        <v/>
      </c>
      <c r="CR299">
        <f>IF($CO299="","",IFERROR(VLOOKUP($CO299,'01_Warehouse_Ledger'!$A:$N,13,FALSE),""))</f>
        <v/>
      </c>
      <c r="CW299">
        <f>IF($S299="","",IF(UPPER(TRIM($S299))&lt;&gt;"PASS","",IF(LEN(TRIM($BY299))&gt;0,"NOTES_PRESENT",IF(LEN(TRIM($T299))=0,"SET_NA",IF(OR(LOWER(TRIM($T299))="na",LOWER(TRIM($T299))="n/a"),"OK","MANUAL_OVERRIDE")))))</f>
        <v/>
      </c>
    </row>
    <row r="300">
      <c r="A300" t="inlineStr">
        <is>
          <t>Cybernet</t>
        </is>
      </c>
      <c r="B300" t="inlineStr">
        <is>
          <t>No</t>
        </is>
      </c>
      <c r="C300" t="inlineStr">
        <is>
          <t>No</t>
        </is>
      </c>
      <c r="D300">
        <f>IF($B300&lt;&gt;"Yes","",IF($C300="No","Yes",IF($C300="Yes","No","")))</f>
        <v/>
      </c>
      <c r="E300">
        <f>IF($A300="","",IF(OR(AND($V300&lt;&gt;"",LOWER(TRIM($V300))&lt;&gt;"n/a",LOWER(TRIM($V300))&lt;&gt;"na",SUMPRODUCT(--(UPPER(TRIM($V$2:$V$518))=UPPER(TRIM($V300))),--(TRIM($V$2:$V$518)&lt;&gt;""),--(LOWER(TRIM($V$2:$V$518))&lt;&gt;"n/a"),--(LOWER(TRIM($V$2:$V$518))&lt;&gt;"na"))&gt;1),AND($W300&lt;&gt;"",LOWER(TRIM($W300))&lt;&gt;"n/a",LOWER(TRIM($W300))&lt;&gt;"na",SUMPRODUCT(--(UPPER(TRIM($W$2:$W$518))=UPPER(TRIM($W300))),--(TRIM($W$2:$W$518)&lt;&gt;""),--(LOWER(TRIM($W$2:$W$518))&lt;&gt;"n/a"),--(LOWER(TRIM($W$2:$W$518))&lt;&gt;"na"))&gt;1),AND($X300&lt;&gt;"",LOWER(TRIM($X300))&lt;&gt;"n/a",LOWER(TRIM($X300))&lt;&gt;"na",SUMPRODUCT(--(UPPER(TRIM($X$2:$X$518))=UPPER(TRIM($X300))),--(TRIM($X$2:$X$518)&lt;&gt;""),--(LOWER(TRIM($X$2:$X$518))&lt;&gt;"n/a"),--(LOWER(TRIM($X$2:$X$518))&lt;&gt;"na"))&gt;1),AND($Y300&lt;&gt;"",LOWER(TRIM($Y300))&lt;&gt;"n/a",LOWER(TRIM($Y300))&lt;&gt;"na",SUMPRODUCT(--(UPPER(SUBSTITUTE(SUBSTITUTE(TRIM($Y$2:$Y$518),":",""),"-",""))=UPPER(SUBSTITUTE(SUBSTITUTE(TRIM($Y300),":",""),"-",""))),--(TRIM($Y$2:$Y$518)&lt;&gt;""),--(LOWER(TRIM($Y$2:$Y$518))&lt;&gt;"n/a"),--(LOWER(TRIM($Y$2:$Y$518))&lt;&gt;"na"))&gt;1),AND($AB300&lt;&gt;"",LOWER(TRIM($AB300))&lt;&gt;"n/a",LOWER(TRIM($AB300))&lt;&gt;"na",SUMPRODUCT(--(UPPER(TRIM($AB$2:$AB$518))=UPPER(TRIM($AB300))),--(TRIM($AB$2:$AB$518)&lt;&gt;""),--(LOWER(TRIM($AB$2:$AB$518))&lt;&gt;"n/a"),--(LOWER(TRIM($AB$2:$AB$518))&lt;&gt;"na"))&gt;1),AND($AH300&lt;&gt;"",LOWER(TRIM($AH300))&lt;&gt;"n/a",LOWER(TRIM($AH300))&lt;&gt;"na",SUMPRODUCT(--(UPPER(SUBSTITUTE(SUBSTITUTE(TRIM($AH$2:$AH$518),":",""),"-",""))=UPPER(SUBSTITUTE(SUBSTITUTE(TRIM($AH300),":",""),"-",""))),--(TRIM($AH$2:$AH$518)&lt;&gt;""),--(LOWER(TRIM($AH$2:$AH$518))&lt;&gt;"n/a"),--(LOWER(TRIM($AH$2:$AH$518))&lt;&gt;"na"))&gt;1),AND($AP300&lt;&gt;"",LOWER(TRIM($AP300))&lt;&gt;"n/a",LOWER(TRIM($AP300))&lt;&gt;"na",SUMPRODUCT(--(UPPER(TRIM($AP$2:$AP$518))=UPPER(TRIM($AP300))),--(TRIM($AP$2:$AP$518)&lt;&gt;""),--(LOWER(TRIM($AP$2:$AP$518))&lt;&gt;"n/a"),--(LOWER(TRIM($AP$2:$AP$518))&lt;&gt;"na"))&gt;1),AND($AQ300&lt;&gt;"",LOWER(TRIM($AQ300))&lt;&gt;"n/a",LOWER(TRIM($AQ300))&lt;&gt;"na",SUMPRODUCT(--(UPPER(TRIM($AQ$2:$AQ$518))=UPPER(TRIM($AQ300))),--(TRIM($AQ$2:$AQ$518)&lt;&gt;""),--(LOWER(TRIM($AQ$2:$AQ$518))&lt;&gt;"n/a"),--(LOWER(TRIM($AQ$2:$AQ$518))&lt;&gt;"na"))&gt;1)),"Yes","No"))</f>
        <v/>
      </c>
      <c r="F300">
        <f>IF(UPPER(TRIM($B300))&lt;&gt;"YES","", IF(OR(AND($V300&lt;&gt;"", LOWER(TRIM($V300))&lt;&gt;"n/a", LOWER(TRIM($V300))&lt;&gt;"na", SUMPRODUCT(--(UPPER(TRIM($V$2:$V$518))=UPPER(TRIM($V300))), --(UPPER(TRIM($B$2:$B$518))="YES"), --(UPPER(TRIM($G$2:$G$518)&amp;TRIM($I$2:$I$518)&amp;TRIM($J$2:$J$518))&lt;&gt;UPPER(TRIM($G300)&amp;TRIM($I300)&amp;TRIM($J300))))&gt;0), AND($W300&lt;&gt;"", LOWER(TRIM($W300))&lt;&gt;"n/a", LOWER(TRIM($W300))&lt;&gt;"na", SUMPRODUCT(--(UPPER(TRIM($W$2:$W$518))=UPPER(TRIM($W300))), --(UPPER(TRIM($B$2:$B$518))="YES"), --(UPPER(TRIM($G$2:$G$518)&amp;TRIM($I$2:$I$518)&amp;TRIM($J$2:$J$518))&lt;&gt;UPPER(TRIM($G300)&amp;TRIM($I300)&amp;TRIM($J300))))&gt;0), AND($X300&lt;&gt;"", LOWER(TRIM($X300))&lt;&gt;"n/a", LOWER(TRIM($X300))&lt;&gt;"na", SUMPRODUCT(--(UPPER(TRIM($X$2:$X$518))=UPPER(TRIM($X300))), --(UPPER(TRIM($B$2:$B$518))="YES"), --(UPPER(TRIM($G$2:$G$518)&amp;TRIM($I$2:$I$518)&amp;TRIM($J$2:$J$518))&lt;&gt;UPPER(TRIM($G300)&amp;TRIM($I300)&amp;TRIM($J300))))&gt;0), AND($Y300&lt;&gt;"", LOWER(TRIM($Y300))&lt;&gt;"n/a", LOWER(TRIM($Y300))&lt;&gt;"na", SUMPRODUCT(--(UPPER(SUBSTITUTE(SUBSTITUTE(TRIM($Y$2:$Y$518),":",""),"-",""))=UPPER(SUBSTITUTE(SUBSTITUTE(TRIM($Y300),":",""),"-",""))), --(UPPER(TRIM($B$2:$B$518))="YES"), --(UPPER(TRIM($G$2:$G$518)&amp;TRIM($I$2:$I$518)&amp;TRIM($J$2:$J$518))&lt;&gt;UPPER(TRIM($G300)&amp;TRIM($I300)&amp;TRIM($J300))))&gt;0), AND($AB300&lt;&gt;"", LOWER(TRIM($AB300))&lt;&gt;"n/a", LOWER(TRIM($AB300))&lt;&gt;"na", SUMPRODUCT(--(UPPER(TRIM($AB$2:$AB$518))=UPPER(TRIM($AB300))), --(UPPER(TRIM($B$2:$B$518))="YES"), --(UPPER(TRIM($G$2:$G$518)&amp;TRIM($I$2:$I$518)&amp;TRIM($J$2:$J$518))&lt;&gt;UPPER(TRIM($G300)&amp;TRIM($I300)&amp;TRIM($J300))))&gt;0), AND($AH300&lt;&gt;"", LOWER(TRIM($AH300))&lt;&gt;"n/a", LOWER(TRIM($AH300))&lt;&gt;"na", SUMPRODUCT(--(UPPER(SUBSTITUTE(SUBSTITUTE(TRIM($AH$2:$AH$518),":",""),"-",""))=UPPER(SUBSTITUTE(SUBSTITUTE(TRIM($AH300),":",""),"-",""))), --(UPPER(TRIM($B$2:$B$518))="YES"), --(UPPER(TRIM($G$2:$G$518)&amp;TRIM($I$2:$I$518)&amp;TRIM($J$2:$J$518))&lt;&gt;UPPER(TRIM($G300)&amp;TRIM($I300)&amp;TRIM($J300))))&gt;0), AND($AP300&lt;&gt;"", LOWER(TRIM($AP300))&lt;&gt;"n/a", LOWER(TRIM($AP300))&lt;&gt;"na", SUMPRODUCT(--(UPPER(TRIM($AP$2:$AP$518))=UPPER(TRIM($AP300))), --(UPPER(TRIM($B$2:$B$518))="YES"), --(UPPER(TRIM($G$2:$G$518)&amp;TRIM($I$2:$I$518)&amp;TRIM($J$2:$J$518))&lt;&gt;UPPER(TRIM($G300)&amp;TRIM($I300)&amp;TRIM($J300))))&gt;0), AND($AQ300&lt;&gt;"", LOWER(TRIM($AQ300))&lt;&gt;"n/a", LOWER(TRIM($AQ300))&lt;&gt;"na", SUMPRODUCT(--(UPPER(TRIM($AQ$2:$AQ$518))=UPPER(TRIM($AQ300))), --(UPPER(TRIM($B$2:$B$518))="YES"), --(UPPER(TRIM($G$2:$G$518)&amp;TRIM($I$2:$I$518)&amp;TRIM($J$2:$J$518))&lt;&gt;UPPER(TRIM($G300)&amp;TRIM($I300)&amp;TRIM($J300))))&gt;0)), "Yes", "No"))</f>
        <v/>
      </c>
      <c r="CD300">
        <f>IF($Y300="","",IF((IF(AND($BR300&lt;&gt;"Yes",$BR300&lt;&gt;"N/A"),"Power Cable, ","")&amp;IF(AND($BS300&lt;&gt;"Yes",$BS300&lt;&gt;"N/A"),"Battery, ","")&amp;IF(AND($AD300&lt;&gt;"Yes",$AD300&lt;&gt;"N/A"),"Firmware Download, ","")&amp;IF(AND(OR($AD300="Yes",$AD300="N/A"),$AE300&lt;&gt;"Yes",$AE300&lt;&gt;"N/A"),"Firmware Install, ","")&amp;IF(AND($CB300&lt;&gt;"Yes",$CB300&lt;&gt;"N/A"),"Device ID, ","")&amp;IF(AND($CC300&lt;&gt;"Yes",$CC300&lt;&gt;"N/A"),"Epic Beans Relay, ",""))="","",LEFT(IF(AND($BR300&lt;&gt;"Yes",$BR300&lt;&gt;"N/A"),"Power Cable, ","")&amp;IF(AND($BS300&lt;&gt;"Yes",$BS300&lt;&gt;"N/A"),"Battery, ","")&amp;IF(AND($AD300&lt;&gt;"Yes",$AD300&lt;&gt;"N/A"),"Firmware Download, ","")&amp;IF(AND(OR($AD300="Yes",$AD300="N/A"),$AE300&lt;&gt;"Yes",$AE300&lt;&gt;"N/A"),"Firmware Install, ","")&amp;IF(AND($CB300&lt;&gt;"Yes",$CB300&lt;&gt;"N/A"),"Device ID, ","")&amp;IF(AND($CC300&lt;&gt;"Yes",$CC300&lt;&gt;"N/A"),"Epic Beans Relay, ",""),LEN(IF(AND($BR300&lt;&gt;"Yes",$BR300&lt;&gt;"N/A"),"Power Cable, ","")&amp;IF(AND($BS300&lt;&gt;"Yes",$BS300&lt;&gt;"N/A"),"Battery, ","")&amp;IF(AND($AD300&lt;&gt;"Yes",$AD300&lt;&gt;"N/A"),"Firmware Download, ","")&amp;IF(AND(OR($AD300="Yes",$AD300="N/A"),$AE300&lt;&gt;"Yes",$AE300&lt;&gt;"N/A"),"Firmware Install, ","")&amp;IF(AND($CB300&lt;&gt;"Yes",$CB300&lt;&gt;"N/A"),"Device ID, ","")&amp;IF(AND($CC300&lt;&gt;"Yes",$CC300&lt;&gt;"N/A"),"Epic Beans Relay, ",""))-2)))</f>
        <v/>
      </c>
      <c r="CE300">
        <f>IF($Y300="","",IF($CD300="","Yes","Blocked"))</f>
        <v/>
      </c>
      <c r="CP300">
        <f>IF($CO300="","",IFERROR(VLOOKUP($CO300,'01_Warehouse_Ledger'!$A:$N,4,FALSE),""))</f>
        <v/>
      </c>
      <c r="CQ300">
        <f>IF($CO300="","",IFERROR(VLOOKUP($CO300,'01_Warehouse_Ledger'!$A:$N,5,FALSE),""))</f>
        <v/>
      </c>
      <c r="CR300">
        <f>IF($CO300="","",IFERROR(VLOOKUP($CO300,'01_Warehouse_Ledger'!$A:$N,13,FALSE),""))</f>
        <v/>
      </c>
      <c r="CW300">
        <f>IF($S300="","",IF(UPPER(TRIM($S300))&lt;&gt;"PASS","",IF(LEN(TRIM($BY300))&gt;0,"NOTES_PRESENT",IF(LEN(TRIM($T300))=0,"SET_NA",IF(OR(LOWER(TRIM($T300))="na",LOWER(TRIM($T300))="n/a"),"OK","MANUAL_OVERRIDE")))))</f>
        <v/>
      </c>
    </row>
    <row r="301">
      <c r="A301" t="inlineStr">
        <is>
          <t>Neuron</t>
        </is>
      </c>
      <c r="E301">
        <f>IF($A301="","",IF(OR(AND($V301&lt;&gt;"",LOWER(TRIM($V301))&lt;&gt;"n/a",LOWER(TRIM($V301))&lt;&gt;"na",SUMPRODUCT(--(UPPER(TRIM($V$2:$V$518))=UPPER(TRIM($V301))),--(TRIM($V$2:$V$518)&lt;&gt;""),--(LOWER(TRIM($V$2:$V$518))&lt;&gt;"n/a"),--(LOWER(TRIM($V$2:$V$518))&lt;&gt;"na"))&gt;1),AND($W301&lt;&gt;"",LOWER(TRIM($W301))&lt;&gt;"n/a",LOWER(TRIM($W301))&lt;&gt;"na",SUMPRODUCT(--(UPPER(TRIM($W$2:$W$518))=UPPER(TRIM($W301))),--(TRIM($W$2:$W$518)&lt;&gt;""),--(LOWER(TRIM($W$2:$W$518))&lt;&gt;"n/a"),--(LOWER(TRIM($W$2:$W$518))&lt;&gt;"na"))&gt;1),AND($X301&lt;&gt;"",LOWER(TRIM($X301))&lt;&gt;"n/a",LOWER(TRIM($X301))&lt;&gt;"na",SUMPRODUCT(--(UPPER(TRIM($X$2:$X$518))=UPPER(TRIM($X301))),--(TRIM($X$2:$X$518)&lt;&gt;""),--(LOWER(TRIM($X$2:$X$518))&lt;&gt;"n/a"),--(LOWER(TRIM($X$2:$X$518))&lt;&gt;"na"))&gt;1),AND($Y301&lt;&gt;"",LOWER(TRIM($Y301))&lt;&gt;"n/a",LOWER(TRIM($Y301))&lt;&gt;"na",SUMPRODUCT(--(UPPER(SUBSTITUTE(SUBSTITUTE(TRIM($Y$2:$Y$518),":",""),"-",""))=UPPER(SUBSTITUTE(SUBSTITUTE(TRIM($Y301),":",""),"-",""))),--(TRIM($Y$2:$Y$518)&lt;&gt;""),--(LOWER(TRIM($Y$2:$Y$518))&lt;&gt;"n/a"),--(LOWER(TRIM($Y$2:$Y$518))&lt;&gt;"na"))&gt;1),AND($AB301&lt;&gt;"",LOWER(TRIM($AB301))&lt;&gt;"n/a",LOWER(TRIM($AB301))&lt;&gt;"na",SUMPRODUCT(--(UPPER(TRIM($AB$2:$AB$518))=UPPER(TRIM($AB301))),--(TRIM($AB$2:$AB$518)&lt;&gt;""),--(LOWER(TRIM($AB$2:$AB$518))&lt;&gt;"n/a"),--(LOWER(TRIM($AB$2:$AB$518))&lt;&gt;"na"))&gt;1),AND($AH301&lt;&gt;"",LOWER(TRIM($AH301))&lt;&gt;"n/a",LOWER(TRIM($AH301))&lt;&gt;"na",SUMPRODUCT(--(UPPER(SUBSTITUTE(SUBSTITUTE(TRIM($AH$2:$AH$518),":",""),"-",""))=UPPER(SUBSTITUTE(SUBSTITUTE(TRIM($AH301),":",""),"-",""))),--(TRIM($AH$2:$AH$518)&lt;&gt;""),--(LOWER(TRIM($AH$2:$AH$518))&lt;&gt;"n/a"),--(LOWER(TRIM($AH$2:$AH$518))&lt;&gt;"na"))&gt;1),AND($AP301&lt;&gt;"",LOWER(TRIM($AP301))&lt;&gt;"n/a",LOWER(TRIM($AP301))&lt;&gt;"na",SUMPRODUCT(--(UPPER(TRIM($AP$2:$AP$518))=UPPER(TRIM($AP301))),--(TRIM($AP$2:$AP$518)&lt;&gt;""),--(LOWER(TRIM($AP$2:$AP$518))&lt;&gt;"n/a"),--(LOWER(TRIM($AP$2:$AP$518))&lt;&gt;"na"))&gt;1),AND($AQ301&lt;&gt;"",LOWER(TRIM($AQ301))&lt;&gt;"n/a",LOWER(TRIM($AQ301))&lt;&gt;"na",SUMPRODUCT(--(UPPER(TRIM($AQ$2:$AQ$518))=UPPER(TRIM($AQ301))),--(TRIM($AQ$2:$AQ$518)&lt;&gt;""),--(LOWER(TRIM($AQ$2:$AQ$518))&lt;&gt;"n/a"),--(LOWER(TRIM($AQ$2:$AQ$518))&lt;&gt;"na"))&gt;1)),"Yes","No"))</f>
        <v/>
      </c>
      <c r="F301">
        <f>IF(UPPER(TRIM($B301))&lt;&gt;"YES","", IF(OR(AND($V301&lt;&gt;"", LOWER(TRIM($V301))&lt;&gt;"n/a", LOWER(TRIM($V301))&lt;&gt;"na", SUMPRODUCT(--(UPPER(TRIM($V$2:$V$518))=UPPER(TRIM($V301))), --(UPPER(TRIM($B$2:$B$518))="YES"), --(UPPER(TRIM($G$2:$G$518)&amp;TRIM($I$2:$I$518)&amp;TRIM($J$2:$J$518))&lt;&gt;UPPER(TRIM($G301)&amp;TRIM($I301)&amp;TRIM($J301))))&gt;0), AND($W301&lt;&gt;"", LOWER(TRIM($W301))&lt;&gt;"n/a", LOWER(TRIM($W301))&lt;&gt;"na", SUMPRODUCT(--(UPPER(TRIM($W$2:$W$518))=UPPER(TRIM($W301))), --(UPPER(TRIM($B$2:$B$518))="YES"), --(UPPER(TRIM($G$2:$G$518)&amp;TRIM($I$2:$I$518)&amp;TRIM($J$2:$J$518))&lt;&gt;UPPER(TRIM($G301)&amp;TRIM($I301)&amp;TRIM($J301))))&gt;0), AND($X301&lt;&gt;"", LOWER(TRIM($X301))&lt;&gt;"n/a", LOWER(TRIM($X301))&lt;&gt;"na", SUMPRODUCT(--(UPPER(TRIM($X$2:$X$518))=UPPER(TRIM($X301))), --(UPPER(TRIM($B$2:$B$518))="YES"), --(UPPER(TRIM($G$2:$G$518)&amp;TRIM($I$2:$I$518)&amp;TRIM($J$2:$J$518))&lt;&gt;UPPER(TRIM($G301)&amp;TRIM($I301)&amp;TRIM($J301))))&gt;0), AND($Y301&lt;&gt;"", LOWER(TRIM($Y301))&lt;&gt;"n/a", LOWER(TRIM($Y301))&lt;&gt;"na", SUMPRODUCT(--(UPPER(SUBSTITUTE(SUBSTITUTE(TRIM($Y$2:$Y$518),":",""),"-",""))=UPPER(SUBSTITUTE(SUBSTITUTE(TRIM($Y301),":",""),"-",""))), --(UPPER(TRIM($B$2:$B$518))="YES"), --(UPPER(TRIM($G$2:$G$518)&amp;TRIM($I$2:$I$518)&amp;TRIM($J$2:$J$518))&lt;&gt;UPPER(TRIM($G301)&amp;TRIM($I301)&amp;TRIM($J301))))&gt;0), AND($AB301&lt;&gt;"", LOWER(TRIM($AB301))&lt;&gt;"n/a", LOWER(TRIM($AB301))&lt;&gt;"na", SUMPRODUCT(--(UPPER(TRIM($AB$2:$AB$518))=UPPER(TRIM($AB301))), --(UPPER(TRIM($B$2:$B$518))="YES"), --(UPPER(TRIM($G$2:$G$518)&amp;TRIM($I$2:$I$518)&amp;TRIM($J$2:$J$518))&lt;&gt;UPPER(TRIM($G301)&amp;TRIM($I301)&amp;TRIM($J301))))&gt;0), AND($AH301&lt;&gt;"", LOWER(TRIM($AH301))&lt;&gt;"n/a", LOWER(TRIM($AH301))&lt;&gt;"na", SUMPRODUCT(--(UPPER(SUBSTITUTE(SUBSTITUTE(TRIM($AH$2:$AH$518),":",""),"-",""))=UPPER(SUBSTITUTE(SUBSTITUTE(TRIM($AH301),":",""),"-",""))), --(UPPER(TRIM($B$2:$B$518))="YES"), --(UPPER(TRIM($G$2:$G$518)&amp;TRIM($I$2:$I$518)&amp;TRIM($J$2:$J$518))&lt;&gt;UPPER(TRIM($G301)&amp;TRIM($I301)&amp;TRIM($J301))))&gt;0), AND($AP301&lt;&gt;"", LOWER(TRIM($AP301))&lt;&gt;"n/a", LOWER(TRIM($AP301))&lt;&gt;"na", SUMPRODUCT(--(UPPER(TRIM($AP$2:$AP$518))=UPPER(TRIM($AP301))), --(UPPER(TRIM($B$2:$B$518))="YES"), --(UPPER(TRIM($G$2:$G$518)&amp;TRIM($I$2:$I$518)&amp;TRIM($J$2:$J$518))&lt;&gt;UPPER(TRIM($G301)&amp;TRIM($I301)&amp;TRIM($J301))))&gt;0), AND($AQ301&lt;&gt;"", LOWER(TRIM($AQ301))&lt;&gt;"n/a", LOWER(TRIM($AQ301))&lt;&gt;"na", SUMPRODUCT(--(UPPER(TRIM($AQ$2:$AQ$518))=UPPER(TRIM($AQ301))), --(UPPER(TRIM($B$2:$B$518))="YES"), --(UPPER(TRIM($G$2:$G$518)&amp;TRIM($I$2:$I$518)&amp;TRIM($J$2:$J$518))&lt;&gt;UPPER(TRIM($G301)&amp;TRIM($I301)&amp;TRIM($J301))))&gt;0)), "Yes", "No"))</f>
        <v/>
      </c>
      <c r="X301" t="inlineStr">
        <is>
          <t>NSUH-MACH-AD</t>
        </is>
      </c>
      <c r="Y301" t="inlineStr">
        <is>
          <t>A0F5097FA4CB</t>
        </is>
      </c>
      <c r="AB301" t="inlineStr">
        <is>
          <t>WA23C03745</t>
        </is>
      </c>
      <c r="CW301">
        <f>IF($S301="","",IF(UPPER(TRIM($S301))&lt;&gt;"PASS","",IF(LEN(TRIM($BY301))&gt;0,"NOTES_PRESENT",IF(LEN(TRIM($T301))=0,"SET_NA",IF(OR(LOWER(TRIM($T301))="na",LOWER(TRIM($T301))="n/a"),"OK","MANUAL_OVERRIDE")))))</f>
        <v/>
      </c>
    </row>
    <row r="302">
      <c r="A302" t="inlineStr">
        <is>
          <t>Neuron</t>
        </is>
      </c>
      <c r="B302" t="inlineStr">
        <is>
          <t>No</t>
        </is>
      </c>
      <c r="C302" t="inlineStr">
        <is>
          <t>No</t>
        </is>
      </c>
      <c r="D302">
        <f>IF($B302&lt;&gt;"Yes","",IF($C302="No","Yes",IF($C302="Yes","No","")))</f>
        <v/>
      </c>
      <c r="E302">
        <f>IF($A302="","",IF(OR(AND($V302&lt;&gt;"",LOWER(TRIM($V302))&lt;&gt;"n/a",LOWER(TRIM($V302))&lt;&gt;"na",SUMPRODUCT(--(UPPER(TRIM($V$2:$V$518))=UPPER(TRIM($V302))),--(TRIM($V$2:$V$518)&lt;&gt;""),--(LOWER(TRIM($V$2:$V$518))&lt;&gt;"n/a"),--(LOWER(TRIM($V$2:$V$518))&lt;&gt;"na"))&gt;1),AND($W302&lt;&gt;"",LOWER(TRIM($W302))&lt;&gt;"n/a",LOWER(TRIM($W302))&lt;&gt;"na",SUMPRODUCT(--(UPPER(TRIM($W$2:$W$518))=UPPER(TRIM($W302))),--(TRIM($W$2:$W$518)&lt;&gt;""),--(LOWER(TRIM($W$2:$W$518))&lt;&gt;"n/a"),--(LOWER(TRIM($W$2:$W$518))&lt;&gt;"na"))&gt;1),AND($X302&lt;&gt;"",LOWER(TRIM($X302))&lt;&gt;"n/a",LOWER(TRIM($X302))&lt;&gt;"na",SUMPRODUCT(--(UPPER(TRIM($X$2:$X$518))=UPPER(TRIM($X302))),--(TRIM($X$2:$X$518)&lt;&gt;""),--(LOWER(TRIM($X$2:$X$518))&lt;&gt;"n/a"),--(LOWER(TRIM($X$2:$X$518))&lt;&gt;"na"))&gt;1),AND($Y302&lt;&gt;"",LOWER(TRIM($Y302))&lt;&gt;"n/a",LOWER(TRIM($Y302))&lt;&gt;"na",SUMPRODUCT(--(UPPER(SUBSTITUTE(SUBSTITUTE(TRIM($Y$2:$Y$518),":",""),"-",""))=UPPER(SUBSTITUTE(SUBSTITUTE(TRIM($Y302),":",""),"-",""))),--(TRIM($Y$2:$Y$518)&lt;&gt;""),--(LOWER(TRIM($Y$2:$Y$518))&lt;&gt;"n/a"),--(LOWER(TRIM($Y$2:$Y$518))&lt;&gt;"na"))&gt;1),AND($AB302&lt;&gt;"",LOWER(TRIM($AB302))&lt;&gt;"n/a",LOWER(TRIM($AB302))&lt;&gt;"na",SUMPRODUCT(--(UPPER(TRIM($AB$2:$AB$518))=UPPER(TRIM($AB302))),--(TRIM($AB$2:$AB$518)&lt;&gt;""),--(LOWER(TRIM($AB$2:$AB$518))&lt;&gt;"n/a"),--(LOWER(TRIM($AB$2:$AB$518))&lt;&gt;"na"))&gt;1),AND($AH302&lt;&gt;"",LOWER(TRIM($AH302))&lt;&gt;"n/a",LOWER(TRIM($AH302))&lt;&gt;"na",SUMPRODUCT(--(UPPER(SUBSTITUTE(SUBSTITUTE(TRIM($AH$2:$AH$518),":",""),"-",""))=UPPER(SUBSTITUTE(SUBSTITUTE(TRIM($AH302),":",""),"-",""))),--(TRIM($AH$2:$AH$518)&lt;&gt;""),--(LOWER(TRIM($AH$2:$AH$518))&lt;&gt;"n/a"),--(LOWER(TRIM($AH$2:$AH$518))&lt;&gt;"na"))&gt;1),AND($AP302&lt;&gt;"",LOWER(TRIM($AP302))&lt;&gt;"n/a",LOWER(TRIM($AP302))&lt;&gt;"na",SUMPRODUCT(--(UPPER(TRIM($AP$2:$AP$518))=UPPER(TRIM($AP302))),--(TRIM($AP$2:$AP$518)&lt;&gt;""),--(LOWER(TRIM($AP$2:$AP$518))&lt;&gt;"n/a"),--(LOWER(TRIM($AP$2:$AP$518))&lt;&gt;"na"))&gt;1),AND($AQ302&lt;&gt;"",LOWER(TRIM($AQ302))&lt;&gt;"n/a",LOWER(TRIM($AQ302))&lt;&gt;"na",SUMPRODUCT(--(UPPER(TRIM($AQ$2:$AQ$518))=UPPER(TRIM($AQ302))),--(TRIM($AQ$2:$AQ$518)&lt;&gt;""),--(LOWER(TRIM($AQ$2:$AQ$518))&lt;&gt;"n/a"),--(LOWER(TRIM($AQ$2:$AQ$518))&lt;&gt;"na"))&gt;1)),"Yes","No"))</f>
        <v/>
      </c>
      <c r="F302">
        <f>IF(UPPER(TRIM($B302))&lt;&gt;"YES","", IF(OR(AND($V302&lt;&gt;"", LOWER(TRIM($V302))&lt;&gt;"n/a", LOWER(TRIM($V302))&lt;&gt;"na", SUMPRODUCT(--(UPPER(TRIM($V$2:$V$518))=UPPER(TRIM($V302))), --(UPPER(TRIM($B$2:$B$518))="YES"), --(UPPER(TRIM($G$2:$G$518)&amp;TRIM($I$2:$I$518)&amp;TRIM($J$2:$J$518))&lt;&gt;UPPER(TRIM($G302)&amp;TRIM($I302)&amp;TRIM($J302))))&gt;0), AND($W302&lt;&gt;"", LOWER(TRIM($W302))&lt;&gt;"n/a", LOWER(TRIM($W302))&lt;&gt;"na", SUMPRODUCT(--(UPPER(TRIM($W$2:$W$518))=UPPER(TRIM($W302))), --(UPPER(TRIM($B$2:$B$518))="YES"), --(UPPER(TRIM($G$2:$G$518)&amp;TRIM($I$2:$I$518)&amp;TRIM($J$2:$J$518))&lt;&gt;UPPER(TRIM($G302)&amp;TRIM($I302)&amp;TRIM($J302))))&gt;0), AND($X302&lt;&gt;"", LOWER(TRIM($X302))&lt;&gt;"n/a", LOWER(TRIM($X302))&lt;&gt;"na", SUMPRODUCT(--(UPPER(TRIM($X$2:$X$518))=UPPER(TRIM($X302))), --(UPPER(TRIM($B$2:$B$518))="YES"), --(UPPER(TRIM($G$2:$G$518)&amp;TRIM($I$2:$I$518)&amp;TRIM($J$2:$J$518))&lt;&gt;UPPER(TRIM($G302)&amp;TRIM($I302)&amp;TRIM($J302))))&gt;0), AND($Y302&lt;&gt;"", LOWER(TRIM($Y302))&lt;&gt;"n/a", LOWER(TRIM($Y302))&lt;&gt;"na", SUMPRODUCT(--(UPPER(SUBSTITUTE(SUBSTITUTE(TRIM($Y$2:$Y$518),":",""),"-",""))=UPPER(SUBSTITUTE(SUBSTITUTE(TRIM($Y302),":",""),"-",""))), --(UPPER(TRIM($B$2:$B$518))="YES"), --(UPPER(TRIM($G$2:$G$518)&amp;TRIM($I$2:$I$518)&amp;TRIM($J$2:$J$518))&lt;&gt;UPPER(TRIM($G302)&amp;TRIM($I302)&amp;TRIM($J302))))&gt;0), AND($AB302&lt;&gt;"", LOWER(TRIM($AB302))&lt;&gt;"n/a", LOWER(TRIM($AB302))&lt;&gt;"na", SUMPRODUCT(--(UPPER(TRIM($AB$2:$AB$518))=UPPER(TRIM($AB302))), --(UPPER(TRIM($B$2:$B$518))="YES"), --(UPPER(TRIM($G$2:$G$518)&amp;TRIM($I$2:$I$518)&amp;TRIM($J$2:$J$518))&lt;&gt;UPPER(TRIM($G302)&amp;TRIM($I302)&amp;TRIM($J302))))&gt;0), AND($AH302&lt;&gt;"", LOWER(TRIM($AH302))&lt;&gt;"n/a", LOWER(TRIM($AH302))&lt;&gt;"na", SUMPRODUCT(--(UPPER(SUBSTITUTE(SUBSTITUTE(TRIM($AH$2:$AH$518),":",""),"-",""))=UPPER(SUBSTITUTE(SUBSTITUTE(TRIM($AH302),":",""),"-",""))), --(UPPER(TRIM($B$2:$B$518))="YES"), --(UPPER(TRIM($G$2:$G$518)&amp;TRIM($I$2:$I$518)&amp;TRIM($J$2:$J$518))&lt;&gt;UPPER(TRIM($G302)&amp;TRIM($I302)&amp;TRIM($J302))))&gt;0), AND($AP302&lt;&gt;"", LOWER(TRIM($AP302))&lt;&gt;"n/a", LOWER(TRIM($AP302))&lt;&gt;"na", SUMPRODUCT(--(UPPER(TRIM($AP$2:$AP$518))=UPPER(TRIM($AP302))), --(UPPER(TRIM($B$2:$B$518))="YES"), --(UPPER(TRIM($G$2:$G$518)&amp;TRIM($I$2:$I$518)&amp;TRIM($J$2:$J$518))&lt;&gt;UPPER(TRIM($G302)&amp;TRIM($I302)&amp;TRIM($J302))))&gt;0), AND($AQ302&lt;&gt;"", LOWER(TRIM($AQ302))&lt;&gt;"n/a", LOWER(TRIM($AQ302))&lt;&gt;"na", SUMPRODUCT(--(UPPER(TRIM($AQ$2:$AQ$518))=UPPER(TRIM($AQ302))), --(UPPER(TRIM($B$2:$B$518))="YES"), --(UPPER(TRIM($G$2:$G$518)&amp;TRIM($I$2:$I$518)&amp;TRIM($J$2:$J$518))&lt;&gt;UPPER(TRIM($G302)&amp;TRIM($I302)&amp;TRIM($J302))))&gt;0)), "Yes", "No"))</f>
        <v/>
      </c>
      <c r="G302" t="inlineStr">
        <is>
          <t>1 Marcus</t>
        </is>
      </c>
      <c r="H302" t="inlineStr">
        <is>
          <t>LIJFH</t>
        </is>
      </c>
      <c r="X302" t="inlineStr">
        <is>
          <t>LFH-MACH-AA</t>
        </is>
      </c>
      <c r="Y302" t="inlineStr">
        <is>
          <t>A0F5097FA4C4</t>
        </is>
      </c>
      <c r="AB302" t="inlineStr">
        <is>
          <t>WA23C03812</t>
        </is>
      </c>
      <c r="CD302">
        <f>IF($Y302="","",IF((IF(AND($BR302&lt;&gt;"Yes",$BR302&lt;&gt;"N/A"),"Power Cable, ","")&amp;IF(AND($BS302&lt;&gt;"Yes",$BS302&lt;&gt;"N/A"),"Battery, ","")&amp;IF(AND($AD302&lt;&gt;"Yes",$AD302&lt;&gt;"N/A"),"Firmware Download, ","")&amp;IF(AND(OR($AD302="Yes",$AD302="N/A"),$AE302&lt;&gt;"Yes",$AE302&lt;&gt;"N/A"),"Firmware Install, ","")&amp;IF(AND($CB302&lt;&gt;"Yes",$CB302&lt;&gt;"N/A"),"Device ID, ","")&amp;IF(AND($CC302&lt;&gt;"Yes",$CC302&lt;&gt;"N/A"),"Epic Beans Relay, ",""))="","",LEFT(IF(AND($BR302&lt;&gt;"Yes",$BR302&lt;&gt;"N/A"),"Power Cable, ","")&amp;IF(AND($BS302&lt;&gt;"Yes",$BS302&lt;&gt;"N/A"),"Battery, ","")&amp;IF(AND($AD302&lt;&gt;"Yes",$AD302&lt;&gt;"N/A"),"Firmware Download, ","")&amp;IF(AND(OR($AD302="Yes",$AD302="N/A"),$AE302&lt;&gt;"Yes",$AE302&lt;&gt;"N/A"),"Firmware Install, ","")&amp;IF(AND($CB302&lt;&gt;"Yes",$CB302&lt;&gt;"N/A"),"Device ID, ","")&amp;IF(AND($CC302&lt;&gt;"Yes",$CC302&lt;&gt;"N/A"),"Epic Beans Relay, ",""),LEN(IF(AND($BR302&lt;&gt;"Yes",$BR302&lt;&gt;"N/A"),"Power Cable, ","")&amp;IF(AND($BS302&lt;&gt;"Yes",$BS302&lt;&gt;"N/A"),"Battery, ","")&amp;IF(AND($AD302&lt;&gt;"Yes",$AD302&lt;&gt;"N/A"),"Firmware Download, ","")&amp;IF(AND(OR($AD302="Yes",$AD302="N/A"),$AE302&lt;&gt;"Yes",$AE302&lt;&gt;"N/A"),"Firmware Install, ","")&amp;IF(AND($CB302&lt;&gt;"Yes",$CB302&lt;&gt;"N/A"),"Device ID, ","")&amp;IF(AND($CC302&lt;&gt;"Yes",$CC302&lt;&gt;"N/A"),"Epic Beans Relay, ",""))-2)))</f>
        <v/>
      </c>
      <c r="CE302">
        <f>IF($Y302="","",IF($CD302="","Yes","Blocked"))</f>
        <v/>
      </c>
      <c r="CP302">
        <f>IF($CO302="","",IFERROR(VLOOKUP($CO302,'01_Warehouse_Ledger'!$A:$N,4,FALSE),""))</f>
        <v/>
      </c>
      <c r="CQ302">
        <f>IF($CO302="","",IFERROR(VLOOKUP($CO302,'01_Warehouse_Ledger'!$A:$N,5,FALSE),""))</f>
        <v/>
      </c>
      <c r="CR302">
        <f>IF($CO302="","",IFERROR(VLOOKUP($CO302,'01_Warehouse_Ledger'!$A:$N,13,FALSE),""))</f>
        <v/>
      </c>
      <c r="CW302">
        <f>IF($S302="","",IF(UPPER(TRIM($S302))&lt;&gt;"PASS","",IF(LEN(TRIM($BY302))&gt;0,"NOTES_PRESENT",IF(LEN(TRIM($T302))=0,"SET_NA",IF(OR(LOWER(TRIM($T302))="na",LOWER(TRIM($T302))="n/a"),"OK","MANUAL_OVERRIDE")))))</f>
        <v/>
      </c>
    </row>
    <row r="303">
      <c r="A303" t="inlineStr">
        <is>
          <t>Neuron</t>
        </is>
      </c>
      <c r="B303" t="inlineStr">
        <is>
          <t>No</t>
        </is>
      </c>
      <c r="C303" t="inlineStr">
        <is>
          <t>No</t>
        </is>
      </c>
      <c r="D303">
        <f>IF($B303&lt;&gt;"Yes","",IF($C303="No","Yes",IF($C303="Yes","No","")))</f>
        <v/>
      </c>
      <c r="E303">
        <f>IF($A303="","",IF(OR(AND($V303&lt;&gt;"",LOWER(TRIM($V303))&lt;&gt;"n/a",LOWER(TRIM($V303))&lt;&gt;"na",SUMPRODUCT(--(UPPER(TRIM($V$2:$V$518))=UPPER(TRIM($V303))),--(TRIM($V$2:$V$518)&lt;&gt;""),--(LOWER(TRIM($V$2:$V$518))&lt;&gt;"n/a"),--(LOWER(TRIM($V$2:$V$518))&lt;&gt;"na"))&gt;1),AND($W303&lt;&gt;"",LOWER(TRIM($W303))&lt;&gt;"n/a",LOWER(TRIM($W303))&lt;&gt;"na",SUMPRODUCT(--(UPPER(TRIM($W$2:$W$518))=UPPER(TRIM($W303))),--(TRIM($W$2:$W$518)&lt;&gt;""),--(LOWER(TRIM($W$2:$W$518))&lt;&gt;"n/a"),--(LOWER(TRIM($W$2:$W$518))&lt;&gt;"na"))&gt;1),AND($X303&lt;&gt;"",LOWER(TRIM($X303))&lt;&gt;"n/a",LOWER(TRIM($X303))&lt;&gt;"na",SUMPRODUCT(--(UPPER(TRIM($X$2:$X$518))=UPPER(TRIM($X303))),--(TRIM($X$2:$X$518)&lt;&gt;""),--(LOWER(TRIM($X$2:$X$518))&lt;&gt;"n/a"),--(LOWER(TRIM($X$2:$X$518))&lt;&gt;"na"))&gt;1),AND($Y303&lt;&gt;"",LOWER(TRIM($Y303))&lt;&gt;"n/a",LOWER(TRIM($Y303))&lt;&gt;"na",SUMPRODUCT(--(UPPER(SUBSTITUTE(SUBSTITUTE(TRIM($Y$2:$Y$518),":",""),"-",""))=UPPER(SUBSTITUTE(SUBSTITUTE(TRIM($Y303),":",""),"-",""))),--(TRIM($Y$2:$Y$518)&lt;&gt;""),--(LOWER(TRIM($Y$2:$Y$518))&lt;&gt;"n/a"),--(LOWER(TRIM($Y$2:$Y$518))&lt;&gt;"na"))&gt;1),AND($AB303&lt;&gt;"",LOWER(TRIM($AB303))&lt;&gt;"n/a",LOWER(TRIM($AB303))&lt;&gt;"na",SUMPRODUCT(--(UPPER(TRIM($AB$2:$AB$518))=UPPER(TRIM($AB303))),--(TRIM($AB$2:$AB$518)&lt;&gt;""),--(LOWER(TRIM($AB$2:$AB$518))&lt;&gt;"n/a"),--(LOWER(TRIM($AB$2:$AB$518))&lt;&gt;"na"))&gt;1),AND($AH303&lt;&gt;"",LOWER(TRIM($AH303))&lt;&gt;"n/a",LOWER(TRIM($AH303))&lt;&gt;"na",SUMPRODUCT(--(UPPER(SUBSTITUTE(SUBSTITUTE(TRIM($AH$2:$AH$518),":",""),"-",""))=UPPER(SUBSTITUTE(SUBSTITUTE(TRIM($AH303),":",""),"-",""))),--(TRIM($AH$2:$AH$518)&lt;&gt;""),--(LOWER(TRIM($AH$2:$AH$518))&lt;&gt;"n/a"),--(LOWER(TRIM($AH$2:$AH$518))&lt;&gt;"na"))&gt;1),AND($AP303&lt;&gt;"",LOWER(TRIM($AP303))&lt;&gt;"n/a",LOWER(TRIM($AP303))&lt;&gt;"na",SUMPRODUCT(--(UPPER(TRIM($AP$2:$AP$518))=UPPER(TRIM($AP303))),--(TRIM($AP$2:$AP$518)&lt;&gt;""),--(LOWER(TRIM($AP$2:$AP$518))&lt;&gt;"n/a"),--(LOWER(TRIM($AP$2:$AP$518))&lt;&gt;"na"))&gt;1),AND($AQ303&lt;&gt;"",LOWER(TRIM($AQ303))&lt;&gt;"n/a",LOWER(TRIM($AQ303))&lt;&gt;"na",SUMPRODUCT(--(UPPER(TRIM($AQ$2:$AQ$518))=UPPER(TRIM($AQ303))),--(TRIM($AQ$2:$AQ$518)&lt;&gt;""),--(LOWER(TRIM($AQ$2:$AQ$518))&lt;&gt;"n/a"),--(LOWER(TRIM($AQ$2:$AQ$518))&lt;&gt;"na"))&gt;1)),"Yes","No"))</f>
        <v/>
      </c>
      <c r="F303">
        <f>IF(UPPER(TRIM($B303))&lt;&gt;"YES","", IF(OR(AND($V303&lt;&gt;"", LOWER(TRIM($V303))&lt;&gt;"n/a", LOWER(TRIM($V303))&lt;&gt;"na", SUMPRODUCT(--(UPPER(TRIM($V$2:$V$518))=UPPER(TRIM($V303))), --(UPPER(TRIM($B$2:$B$518))="YES"), --(UPPER(TRIM($G$2:$G$518)&amp;TRIM($I$2:$I$518)&amp;TRIM($J$2:$J$518))&lt;&gt;UPPER(TRIM($G303)&amp;TRIM($I303)&amp;TRIM($J303))))&gt;0), AND($W303&lt;&gt;"", LOWER(TRIM($W303))&lt;&gt;"n/a", LOWER(TRIM($W303))&lt;&gt;"na", SUMPRODUCT(--(UPPER(TRIM($W$2:$W$518))=UPPER(TRIM($W303))), --(UPPER(TRIM($B$2:$B$518))="YES"), --(UPPER(TRIM($G$2:$G$518)&amp;TRIM($I$2:$I$518)&amp;TRIM($J$2:$J$518))&lt;&gt;UPPER(TRIM($G303)&amp;TRIM($I303)&amp;TRIM($J303))))&gt;0), AND($X303&lt;&gt;"", LOWER(TRIM($X303))&lt;&gt;"n/a", LOWER(TRIM($X303))&lt;&gt;"na", SUMPRODUCT(--(UPPER(TRIM($X$2:$X$518))=UPPER(TRIM($X303))), --(UPPER(TRIM($B$2:$B$518))="YES"), --(UPPER(TRIM($G$2:$G$518)&amp;TRIM($I$2:$I$518)&amp;TRIM($J$2:$J$518))&lt;&gt;UPPER(TRIM($G303)&amp;TRIM($I303)&amp;TRIM($J303))))&gt;0), AND($Y303&lt;&gt;"", LOWER(TRIM($Y303))&lt;&gt;"n/a", LOWER(TRIM($Y303))&lt;&gt;"na", SUMPRODUCT(--(UPPER(SUBSTITUTE(SUBSTITUTE(TRIM($Y$2:$Y$518),":",""),"-",""))=UPPER(SUBSTITUTE(SUBSTITUTE(TRIM($Y303),":",""),"-",""))), --(UPPER(TRIM($B$2:$B$518))="YES"), --(UPPER(TRIM($G$2:$G$518)&amp;TRIM($I$2:$I$518)&amp;TRIM($J$2:$J$518))&lt;&gt;UPPER(TRIM($G303)&amp;TRIM($I303)&amp;TRIM($J303))))&gt;0), AND($AB303&lt;&gt;"", LOWER(TRIM($AB303))&lt;&gt;"n/a", LOWER(TRIM($AB303))&lt;&gt;"na", SUMPRODUCT(--(UPPER(TRIM($AB$2:$AB$518))=UPPER(TRIM($AB303))), --(UPPER(TRIM($B$2:$B$518))="YES"), --(UPPER(TRIM($G$2:$G$518)&amp;TRIM($I$2:$I$518)&amp;TRIM($J$2:$J$518))&lt;&gt;UPPER(TRIM($G303)&amp;TRIM($I303)&amp;TRIM($J303))))&gt;0), AND($AH303&lt;&gt;"", LOWER(TRIM($AH303))&lt;&gt;"n/a", LOWER(TRIM($AH303))&lt;&gt;"na", SUMPRODUCT(--(UPPER(SUBSTITUTE(SUBSTITUTE(TRIM($AH$2:$AH$518),":",""),"-",""))=UPPER(SUBSTITUTE(SUBSTITUTE(TRIM($AH303),":",""),"-",""))), --(UPPER(TRIM($B$2:$B$518))="YES"), --(UPPER(TRIM($G$2:$G$518)&amp;TRIM($I$2:$I$518)&amp;TRIM($J$2:$J$518))&lt;&gt;UPPER(TRIM($G303)&amp;TRIM($I303)&amp;TRIM($J303))))&gt;0), AND($AP303&lt;&gt;"", LOWER(TRIM($AP303))&lt;&gt;"n/a", LOWER(TRIM($AP303))&lt;&gt;"na", SUMPRODUCT(--(UPPER(TRIM($AP$2:$AP$518))=UPPER(TRIM($AP303))), --(UPPER(TRIM($B$2:$B$518))="YES"), --(UPPER(TRIM($G$2:$G$518)&amp;TRIM($I$2:$I$518)&amp;TRIM($J$2:$J$518))&lt;&gt;UPPER(TRIM($G303)&amp;TRIM($I303)&amp;TRIM($J303))))&gt;0), AND($AQ303&lt;&gt;"", LOWER(TRIM($AQ303))&lt;&gt;"n/a", LOWER(TRIM($AQ303))&lt;&gt;"na", SUMPRODUCT(--(UPPER(TRIM($AQ$2:$AQ$518))=UPPER(TRIM($AQ303))), --(UPPER(TRIM($B$2:$B$518))="YES"), --(UPPER(TRIM($G$2:$G$518)&amp;TRIM($I$2:$I$518)&amp;TRIM($J$2:$J$518))&lt;&gt;UPPER(TRIM($G303)&amp;TRIM($I303)&amp;TRIM($J303))))&gt;0)), "Yes", "No"))</f>
        <v/>
      </c>
      <c r="X303" t="inlineStr">
        <is>
          <t>NSUH-MACH-AI</t>
        </is>
      </c>
      <c r="Y303" t="inlineStr">
        <is>
          <t>A0F5097FEE2A</t>
        </is>
      </c>
      <c r="AB303" t="inlineStr">
        <is>
          <t>WA24406295</t>
        </is>
      </c>
      <c r="CD303">
        <f>IF($Y303="","",IF((IF(AND($BR303&lt;&gt;"Yes",$BR303&lt;&gt;"N/A"),"Power Cable, ","")&amp;IF(AND($BS303&lt;&gt;"Yes",$BS303&lt;&gt;"N/A"),"Battery, ","")&amp;IF(AND($AD303&lt;&gt;"Yes",$AD303&lt;&gt;"N/A"),"Firmware Download, ","")&amp;IF(AND(OR($AD303="Yes",$AD303="N/A"),$AE303&lt;&gt;"Yes",$AE303&lt;&gt;"N/A"),"Firmware Install, ","")&amp;IF(AND($CB303&lt;&gt;"Yes",$CB303&lt;&gt;"N/A"),"Device ID, ","")&amp;IF(AND($CC303&lt;&gt;"Yes",$CC303&lt;&gt;"N/A"),"Epic Beans Relay, ",""))="","",LEFT(IF(AND($BR303&lt;&gt;"Yes",$BR303&lt;&gt;"N/A"),"Power Cable, ","")&amp;IF(AND($BS303&lt;&gt;"Yes",$BS303&lt;&gt;"N/A"),"Battery, ","")&amp;IF(AND($AD303&lt;&gt;"Yes",$AD303&lt;&gt;"N/A"),"Firmware Download, ","")&amp;IF(AND(OR($AD303="Yes",$AD303="N/A"),$AE303&lt;&gt;"Yes",$AE303&lt;&gt;"N/A"),"Firmware Install, ","")&amp;IF(AND($CB303&lt;&gt;"Yes",$CB303&lt;&gt;"N/A"),"Device ID, ","")&amp;IF(AND($CC303&lt;&gt;"Yes",$CC303&lt;&gt;"N/A"),"Epic Beans Relay, ",""),LEN(IF(AND($BR303&lt;&gt;"Yes",$BR303&lt;&gt;"N/A"),"Power Cable, ","")&amp;IF(AND($BS303&lt;&gt;"Yes",$BS303&lt;&gt;"N/A"),"Battery, ","")&amp;IF(AND($AD303&lt;&gt;"Yes",$AD303&lt;&gt;"N/A"),"Firmware Download, ","")&amp;IF(AND(OR($AD303="Yes",$AD303="N/A"),$AE303&lt;&gt;"Yes",$AE303&lt;&gt;"N/A"),"Firmware Install, ","")&amp;IF(AND($CB303&lt;&gt;"Yes",$CB303&lt;&gt;"N/A"),"Device ID, ","")&amp;IF(AND($CC303&lt;&gt;"Yes",$CC303&lt;&gt;"N/A"),"Epic Beans Relay, ",""))-2)))</f>
        <v/>
      </c>
      <c r="CE303">
        <f>IF($Y303="","",IF($CD303="","Yes","Blocked"))</f>
        <v/>
      </c>
      <c r="CP303">
        <f>IF($CO303="","",IFERROR(VLOOKUP($CO303,'01_Warehouse_Ledger'!$A:$N,4,FALSE),""))</f>
        <v/>
      </c>
      <c r="CQ303">
        <f>IF($CO303="","",IFERROR(VLOOKUP($CO303,'01_Warehouse_Ledger'!$A:$N,5,FALSE),""))</f>
        <v/>
      </c>
      <c r="CR303">
        <f>IF($CO303="","",IFERROR(VLOOKUP($CO303,'01_Warehouse_Ledger'!$A:$N,13,FALSE),""))</f>
        <v/>
      </c>
      <c r="CW303">
        <f>IF($S303="","",IF(UPPER(TRIM($S303))&lt;&gt;"PASS","",IF(LEN(TRIM($BY303))&gt;0,"NOTES_PRESENT",IF(LEN(TRIM($T303))=0,"SET_NA",IF(OR(LOWER(TRIM($T303))="na",LOWER(TRIM($T303))="n/a"),"OK","MANUAL_OVERRIDE")))))</f>
        <v/>
      </c>
    </row>
    <row r="304">
      <c r="A304" t="inlineStr">
        <is>
          <t>Neuron</t>
        </is>
      </c>
      <c r="B304" t="inlineStr">
        <is>
          <t>No</t>
        </is>
      </c>
      <c r="C304" t="inlineStr">
        <is>
          <t>No</t>
        </is>
      </c>
      <c r="D304">
        <f>IF($B304&lt;&gt;"Yes","",IF($C304="No","Yes",IF($C304="Yes","No","")))</f>
        <v/>
      </c>
      <c r="E304">
        <f>IF($A304="","",IF(OR(AND($V304&lt;&gt;"",LOWER(TRIM($V304))&lt;&gt;"n/a",LOWER(TRIM($V304))&lt;&gt;"na",SUMPRODUCT(--(UPPER(TRIM($V$2:$V$518))=UPPER(TRIM($V304))),--(TRIM($V$2:$V$518)&lt;&gt;""),--(LOWER(TRIM($V$2:$V$518))&lt;&gt;"n/a"),--(LOWER(TRIM($V$2:$V$518))&lt;&gt;"na"))&gt;1),AND($W304&lt;&gt;"",LOWER(TRIM($W304))&lt;&gt;"n/a",LOWER(TRIM($W304))&lt;&gt;"na",SUMPRODUCT(--(UPPER(TRIM($W$2:$W$518))=UPPER(TRIM($W304))),--(TRIM($W$2:$W$518)&lt;&gt;""),--(LOWER(TRIM($W$2:$W$518))&lt;&gt;"n/a"),--(LOWER(TRIM($W$2:$W$518))&lt;&gt;"na"))&gt;1),AND($X304&lt;&gt;"",LOWER(TRIM($X304))&lt;&gt;"n/a",LOWER(TRIM($X304))&lt;&gt;"na",SUMPRODUCT(--(UPPER(TRIM($X$2:$X$518))=UPPER(TRIM($X304))),--(TRIM($X$2:$X$518)&lt;&gt;""),--(LOWER(TRIM($X$2:$X$518))&lt;&gt;"n/a"),--(LOWER(TRIM($X$2:$X$518))&lt;&gt;"na"))&gt;1),AND($Y304&lt;&gt;"",LOWER(TRIM($Y304))&lt;&gt;"n/a",LOWER(TRIM($Y304))&lt;&gt;"na",SUMPRODUCT(--(UPPER(SUBSTITUTE(SUBSTITUTE(TRIM($Y$2:$Y$518),":",""),"-",""))=UPPER(SUBSTITUTE(SUBSTITUTE(TRIM($Y304),":",""),"-",""))),--(TRIM($Y$2:$Y$518)&lt;&gt;""),--(LOWER(TRIM($Y$2:$Y$518))&lt;&gt;"n/a"),--(LOWER(TRIM($Y$2:$Y$518))&lt;&gt;"na"))&gt;1),AND($AB304&lt;&gt;"",LOWER(TRIM($AB304))&lt;&gt;"n/a",LOWER(TRIM($AB304))&lt;&gt;"na",SUMPRODUCT(--(UPPER(TRIM($AB$2:$AB$518))=UPPER(TRIM($AB304))),--(TRIM($AB$2:$AB$518)&lt;&gt;""),--(LOWER(TRIM($AB$2:$AB$518))&lt;&gt;"n/a"),--(LOWER(TRIM($AB$2:$AB$518))&lt;&gt;"na"))&gt;1),AND($AH304&lt;&gt;"",LOWER(TRIM($AH304))&lt;&gt;"n/a",LOWER(TRIM($AH304))&lt;&gt;"na",SUMPRODUCT(--(UPPER(SUBSTITUTE(SUBSTITUTE(TRIM($AH$2:$AH$518),":",""),"-",""))=UPPER(SUBSTITUTE(SUBSTITUTE(TRIM($AH304),":",""),"-",""))),--(TRIM($AH$2:$AH$518)&lt;&gt;""),--(LOWER(TRIM($AH$2:$AH$518))&lt;&gt;"n/a"),--(LOWER(TRIM($AH$2:$AH$518))&lt;&gt;"na"))&gt;1),AND($AP304&lt;&gt;"",LOWER(TRIM($AP304))&lt;&gt;"n/a",LOWER(TRIM($AP304))&lt;&gt;"na",SUMPRODUCT(--(UPPER(TRIM($AP$2:$AP$518))=UPPER(TRIM($AP304))),--(TRIM($AP$2:$AP$518)&lt;&gt;""),--(LOWER(TRIM($AP$2:$AP$518))&lt;&gt;"n/a"),--(LOWER(TRIM($AP$2:$AP$518))&lt;&gt;"na"))&gt;1),AND($AQ304&lt;&gt;"",LOWER(TRIM($AQ304))&lt;&gt;"n/a",LOWER(TRIM($AQ304))&lt;&gt;"na",SUMPRODUCT(--(UPPER(TRIM($AQ$2:$AQ$518))=UPPER(TRIM($AQ304))),--(TRIM($AQ$2:$AQ$518)&lt;&gt;""),--(LOWER(TRIM($AQ$2:$AQ$518))&lt;&gt;"n/a"),--(LOWER(TRIM($AQ$2:$AQ$518))&lt;&gt;"na"))&gt;1)),"Yes","No"))</f>
        <v/>
      </c>
      <c r="F304">
        <f>IF(UPPER(TRIM($B304))&lt;&gt;"YES","", IF(OR(AND($V304&lt;&gt;"", LOWER(TRIM($V304))&lt;&gt;"n/a", LOWER(TRIM($V304))&lt;&gt;"na", SUMPRODUCT(--(UPPER(TRIM($V$2:$V$518))=UPPER(TRIM($V304))), --(UPPER(TRIM($B$2:$B$518))="YES"), --(UPPER(TRIM($G$2:$G$518)&amp;TRIM($I$2:$I$518)&amp;TRIM($J$2:$J$518))&lt;&gt;UPPER(TRIM($G304)&amp;TRIM($I304)&amp;TRIM($J304))))&gt;0), AND($W304&lt;&gt;"", LOWER(TRIM($W304))&lt;&gt;"n/a", LOWER(TRIM($W304))&lt;&gt;"na", SUMPRODUCT(--(UPPER(TRIM($W$2:$W$518))=UPPER(TRIM($W304))), --(UPPER(TRIM($B$2:$B$518))="YES"), --(UPPER(TRIM($G$2:$G$518)&amp;TRIM($I$2:$I$518)&amp;TRIM($J$2:$J$518))&lt;&gt;UPPER(TRIM($G304)&amp;TRIM($I304)&amp;TRIM($J304))))&gt;0), AND($X304&lt;&gt;"", LOWER(TRIM($X304))&lt;&gt;"n/a", LOWER(TRIM($X304))&lt;&gt;"na", SUMPRODUCT(--(UPPER(TRIM($X$2:$X$518))=UPPER(TRIM($X304))), --(UPPER(TRIM($B$2:$B$518))="YES"), --(UPPER(TRIM($G$2:$G$518)&amp;TRIM($I$2:$I$518)&amp;TRIM($J$2:$J$518))&lt;&gt;UPPER(TRIM($G304)&amp;TRIM($I304)&amp;TRIM($J304))))&gt;0), AND($Y304&lt;&gt;"", LOWER(TRIM($Y304))&lt;&gt;"n/a", LOWER(TRIM($Y304))&lt;&gt;"na", SUMPRODUCT(--(UPPER(SUBSTITUTE(SUBSTITUTE(TRIM($Y$2:$Y$518),":",""),"-",""))=UPPER(SUBSTITUTE(SUBSTITUTE(TRIM($Y304),":",""),"-",""))), --(UPPER(TRIM($B$2:$B$518))="YES"), --(UPPER(TRIM($G$2:$G$518)&amp;TRIM($I$2:$I$518)&amp;TRIM($J$2:$J$518))&lt;&gt;UPPER(TRIM($G304)&amp;TRIM($I304)&amp;TRIM($J304))))&gt;0), AND($AB304&lt;&gt;"", LOWER(TRIM($AB304))&lt;&gt;"n/a", LOWER(TRIM($AB304))&lt;&gt;"na", SUMPRODUCT(--(UPPER(TRIM($AB$2:$AB$518))=UPPER(TRIM($AB304))), --(UPPER(TRIM($B$2:$B$518))="YES"), --(UPPER(TRIM($G$2:$G$518)&amp;TRIM($I$2:$I$518)&amp;TRIM($J$2:$J$518))&lt;&gt;UPPER(TRIM($G304)&amp;TRIM($I304)&amp;TRIM($J304))))&gt;0), AND($AH304&lt;&gt;"", LOWER(TRIM($AH304))&lt;&gt;"n/a", LOWER(TRIM($AH304))&lt;&gt;"na", SUMPRODUCT(--(UPPER(SUBSTITUTE(SUBSTITUTE(TRIM($AH$2:$AH$518),":",""),"-",""))=UPPER(SUBSTITUTE(SUBSTITUTE(TRIM($AH304),":",""),"-",""))), --(UPPER(TRIM($B$2:$B$518))="YES"), --(UPPER(TRIM($G$2:$G$518)&amp;TRIM($I$2:$I$518)&amp;TRIM($J$2:$J$518))&lt;&gt;UPPER(TRIM($G304)&amp;TRIM($I304)&amp;TRIM($J304))))&gt;0), AND($AP304&lt;&gt;"", LOWER(TRIM($AP304))&lt;&gt;"n/a", LOWER(TRIM($AP304))&lt;&gt;"na", SUMPRODUCT(--(UPPER(TRIM($AP$2:$AP$518))=UPPER(TRIM($AP304))), --(UPPER(TRIM($B$2:$B$518))="YES"), --(UPPER(TRIM($G$2:$G$518)&amp;TRIM($I$2:$I$518)&amp;TRIM($J$2:$J$518))&lt;&gt;UPPER(TRIM($G304)&amp;TRIM($I304)&amp;TRIM($J304))))&gt;0), AND($AQ304&lt;&gt;"", LOWER(TRIM($AQ304))&lt;&gt;"n/a", LOWER(TRIM($AQ304))&lt;&gt;"na", SUMPRODUCT(--(UPPER(TRIM($AQ$2:$AQ$518))=UPPER(TRIM($AQ304))), --(UPPER(TRIM($B$2:$B$518))="YES"), --(UPPER(TRIM($G$2:$G$518)&amp;TRIM($I$2:$I$518)&amp;TRIM($J$2:$J$518))&lt;&gt;UPPER(TRIM($G304)&amp;TRIM($I304)&amp;TRIM($J304))))&gt;0)), "Yes", "No"))</f>
        <v/>
      </c>
      <c r="X304" t="inlineStr">
        <is>
          <t>NSUH-MACH-AF</t>
        </is>
      </c>
      <c r="Y304" t="inlineStr">
        <is>
          <t>A0F5097FE183</t>
        </is>
      </c>
      <c r="AB304" t="inlineStr">
        <is>
          <t>WA24406380</t>
        </is>
      </c>
      <c r="CD304">
        <f>IF($Y304="","",IF((IF(AND($BR304&lt;&gt;"Yes",$BR304&lt;&gt;"N/A"),"Power Cable, ","")&amp;IF(AND($BS304&lt;&gt;"Yes",$BS304&lt;&gt;"N/A"),"Battery, ","")&amp;IF(AND($AD304&lt;&gt;"Yes",$AD304&lt;&gt;"N/A"),"Firmware Download, ","")&amp;IF(AND(OR($AD304="Yes",$AD304="N/A"),$AE304&lt;&gt;"Yes",$AE304&lt;&gt;"N/A"),"Firmware Install, ","")&amp;IF(AND($CB304&lt;&gt;"Yes",$CB304&lt;&gt;"N/A"),"Device ID, ","")&amp;IF(AND($CC304&lt;&gt;"Yes",$CC304&lt;&gt;"N/A"),"Epic Beans Relay, ",""))="","",LEFT(IF(AND($BR304&lt;&gt;"Yes",$BR304&lt;&gt;"N/A"),"Power Cable, ","")&amp;IF(AND($BS304&lt;&gt;"Yes",$BS304&lt;&gt;"N/A"),"Battery, ","")&amp;IF(AND($AD304&lt;&gt;"Yes",$AD304&lt;&gt;"N/A"),"Firmware Download, ","")&amp;IF(AND(OR($AD304="Yes",$AD304="N/A"),$AE304&lt;&gt;"Yes",$AE304&lt;&gt;"N/A"),"Firmware Install, ","")&amp;IF(AND($CB304&lt;&gt;"Yes",$CB304&lt;&gt;"N/A"),"Device ID, ","")&amp;IF(AND($CC304&lt;&gt;"Yes",$CC304&lt;&gt;"N/A"),"Epic Beans Relay, ",""),LEN(IF(AND($BR304&lt;&gt;"Yes",$BR304&lt;&gt;"N/A"),"Power Cable, ","")&amp;IF(AND($BS304&lt;&gt;"Yes",$BS304&lt;&gt;"N/A"),"Battery, ","")&amp;IF(AND($AD304&lt;&gt;"Yes",$AD304&lt;&gt;"N/A"),"Firmware Download, ","")&amp;IF(AND(OR($AD304="Yes",$AD304="N/A"),$AE304&lt;&gt;"Yes",$AE304&lt;&gt;"N/A"),"Firmware Install, ","")&amp;IF(AND($CB304&lt;&gt;"Yes",$CB304&lt;&gt;"N/A"),"Device ID, ","")&amp;IF(AND($CC304&lt;&gt;"Yes",$CC304&lt;&gt;"N/A"),"Epic Beans Relay, ",""))-2)))</f>
        <v/>
      </c>
      <c r="CE304">
        <f>IF($Y304="","",IF($CD304="","Yes","Blocked"))</f>
        <v/>
      </c>
      <c r="CP304">
        <f>IF($CO304="","",IFERROR(VLOOKUP($CO304,'01_Warehouse_Ledger'!$A:$N,4,FALSE),""))</f>
        <v/>
      </c>
      <c r="CQ304">
        <f>IF($CO304="","",IFERROR(VLOOKUP($CO304,'01_Warehouse_Ledger'!$A:$N,5,FALSE),""))</f>
        <v/>
      </c>
      <c r="CR304">
        <f>IF($CO304="","",IFERROR(VLOOKUP($CO304,'01_Warehouse_Ledger'!$A:$N,13,FALSE),""))</f>
        <v/>
      </c>
      <c r="CW304">
        <f>IF($S304="","",IF(UPPER(TRIM($S304))&lt;&gt;"PASS","",IF(LEN(TRIM($BY304))&gt;0,"NOTES_PRESENT",IF(LEN(TRIM($T304))=0,"SET_NA",IF(OR(LOWER(TRIM($T304))="na",LOWER(TRIM($T304))="n/a"),"OK","MANUAL_OVERRIDE")))))</f>
        <v/>
      </c>
    </row>
    <row r="305">
      <c r="A305" t="inlineStr">
        <is>
          <t>Neuron</t>
        </is>
      </c>
      <c r="B305" t="inlineStr">
        <is>
          <t>No</t>
        </is>
      </c>
      <c r="C305" t="inlineStr">
        <is>
          <t>No</t>
        </is>
      </c>
      <c r="D305">
        <f>IF($B305&lt;&gt;"Yes","",IF($C305="No","Yes",IF($C305="Yes","No","")))</f>
        <v/>
      </c>
      <c r="E305">
        <f>IF($A305="","",IF(OR(AND($V305&lt;&gt;"",LOWER(TRIM($V305))&lt;&gt;"n/a",LOWER(TRIM($V305))&lt;&gt;"na",SUMPRODUCT(--(UPPER(TRIM($V$2:$V$518))=UPPER(TRIM($V305))),--(TRIM($V$2:$V$518)&lt;&gt;""),--(LOWER(TRIM($V$2:$V$518))&lt;&gt;"n/a"),--(LOWER(TRIM($V$2:$V$518))&lt;&gt;"na"))&gt;1),AND($W305&lt;&gt;"",LOWER(TRIM($W305))&lt;&gt;"n/a",LOWER(TRIM($W305))&lt;&gt;"na",SUMPRODUCT(--(UPPER(TRIM($W$2:$W$518))=UPPER(TRIM($W305))),--(TRIM($W$2:$W$518)&lt;&gt;""),--(LOWER(TRIM($W$2:$W$518))&lt;&gt;"n/a"),--(LOWER(TRIM($W$2:$W$518))&lt;&gt;"na"))&gt;1),AND($X305&lt;&gt;"",LOWER(TRIM($X305))&lt;&gt;"n/a",LOWER(TRIM($X305))&lt;&gt;"na",SUMPRODUCT(--(UPPER(TRIM($X$2:$X$518))=UPPER(TRIM($X305))),--(TRIM($X$2:$X$518)&lt;&gt;""),--(LOWER(TRIM($X$2:$X$518))&lt;&gt;"n/a"),--(LOWER(TRIM($X$2:$X$518))&lt;&gt;"na"))&gt;1),AND($Y305&lt;&gt;"",LOWER(TRIM($Y305))&lt;&gt;"n/a",LOWER(TRIM($Y305))&lt;&gt;"na",SUMPRODUCT(--(UPPER(SUBSTITUTE(SUBSTITUTE(TRIM($Y$2:$Y$518),":",""),"-",""))=UPPER(SUBSTITUTE(SUBSTITUTE(TRIM($Y305),":",""),"-",""))),--(TRIM($Y$2:$Y$518)&lt;&gt;""),--(LOWER(TRIM($Y$2:$Y$518))&lt;&gt;"n/a"),--(LOWER(TRIM($Y$2:$Y$518))&lt;&gt;"na"))&gt;1),AND($AB305&lt;&gt;"",LOWER(TRIM($AB305))&lt;&gt;"n/a",LOWER(TRIM($AB305))&lt;&gt;"na",SUMPRODUCT(--(UPPER(TRIM($AB$2:$AB$518))=UPPER(TRIM($AB305))),--(TRIM($AB$2:$AB$518)&lt;&gt;""),--(LOWER(TRIM($AB$2:$AB$518))&lt;&gt;"n/a"),--(LOWER(TRIM($AB$2:$AB$518))&lt;&gt;"na"))&gt;1),AND($AH305&lt;&gt;"",LOWER(TRIM($AH305))&lt;&gt;"n/a",LOWER(TRIM($AH305))&lt;&gt;"na",SUMPRODUCT(--(UPPER(SUBSTITUTE(SUBSTITUTE(TRIM($AH$2:$AH$518),":",""),"-",""))=UPPER(SUBSTITUTE(SUBSTITUTE(TRIM($AH305),":",""),"-",""))),--(TRIM($AH$2:$AH$518)&lt;&gt;""),--(LOWER(TRIM($AH$2:$AH$518))&lt;&gt;"n/a"),--(LOWER(TRIM($AH$2:$AH$518))&lt;&gt;"na"))&gt;1),AND($AP305&lt;&gt;"",LOWER(TRIM($AP305))&lt;&gt;"n/a",LOWER(TRIM($AP305))&lt;&gt;"na",SUMPRODUCT(--(UPPER(TRIM($AP$2:$AP$518))=UPPER(TRIM($AP305))),--(TRIM($AP$2:$AP$518)&lt;&gt;""),--(LOWER(TRIM($AP$2:$AP$518))&lt;&gt;"n/a"),--(LOWER(TRIM($AP$2:$AP$518))&lt;&gt;"na"))&gt;1),AND($AQ305&lt;&gt;"",LOWER(TRIM($AQ305))&lt;&gt;"n/a",LOWER(TRIM($AQ305))&lt;&gt;"na",SUMPRODUCT(--(UPPER(TRIM($AQ$2:$AQ$518))=UPPER(TRIM($AQ305))),--(TRIM($AQ$2:$AQ$518)&lt;&gt;""),--(LOWER(TRIM($AQ$2:$AQ$518))&lt;&gt;"n/a"),--(LOWER(TRIM($AQ$2:$AQ$518))&lt;&gt;"na"))&gt;1)),"Yes","No"))</f>
        <v/>
      </c>
      <c r="F305">
        <f>IF(UPPER(TRIM($B305))&lt;&gt;"YES","", IF(OR(AND($V305&lt;&gt;"", LOWER(TRIM($V305))&lt;&gt;"n/a", LOWER(TRIM($V305))&lt;&gt;"na", SUMPRODUCT(--(UPPER(TRIM($V$2:$V$518))=UPPER(TRIM($V305))), --(UPPER(TRIM($B$2:$B$518))="YES"), --(UPPER(TRIM($G$2:$G$518)&amp;TRIM($I$2:$I$518)&amp;TRIM($J$2:$J$518))&lt;&gt;UPPER(TRIM($G305)&amp;TRIM($I305)&amp;TRIM($J305))))&gt;0), AND($W305&lt;&gt;"", LOWER(TRIM($W305))&lt;&gt;"n/a", LOWER(TRIM($W305))&lt;&gt;"na", SUMPRODUCT(--(UPPER(TRIM($W$2:$W$518))=UPPER(TRIM($W305))), --(UPPER(TRIM($B$2:$B$518))="YES"), --(UPPER(TRIM($G$2:$G$518)&amp;TRIM($I$2:$I$518)&amp;TRIM($J$2:$J$518))&lt;&gt;UPPER(TRIM($G305)&amp;TRIM($I305)&amp;TRIM($J305))))&gt;0), AND($X305&lt;&gt;"", LOWER(TRIM($X305))&lt;&gt;"n/a", LOWER(TRIM($X305))&lt;&gt;"na", SUMPRODUCT(--(UPPER(TRIM($X$2:$X$518))=UPPER(TRIM($X305))), --(UPPER(TRIM($B$2:$B$518))="YES"), --(UPPER(TRIM($G$2:$G$518)&amp;TRIM($I$2:$I$518)&amp;TRIM($J$2:$J$518))&lt;&gt;UPPER(TRIM($G305)&amp;TRIM($I305)&amp;TRIM($J305))))&gt;0), AND($Y305&lt;&gt;"", LOWER(TRIM($Y305))&lt;&gt;"n/a", LOWER(TRIM($Y305))&lt;&gt;"na", SUMPRODUCT(--(UPPER(SUBSTITUTE(SUBSTITUTE(TRIM($Y$2:$Y$518),":",""),"-",""))=UPPER(SUBSTITUTE(SUBSTITUTE(TRIM($Y305),":",""),"-",""))), --(UPPER(TRIM($B$2:$B$518))="YES"), --(UPPER(TRIM($G$2:$G$518)&amp;TRIM($I$2:$I$518)&amp;TRIM($J$2:$J$518))&lt;&gt;UPPER(TRIM($G305)&amp;TRIM($I305)&amp;TRIM($J305))))&gt;0), AND($AB305&lt;&gt;"", LOWER(TRIM($AB305))&lt;&gt;"n/a", LOWER(TRIM($AB305))&lt;&gt;"na", SUMPRODUCT(--(UPPER(TRIM($AB$2:$AB$518))=UPPER(TRIM($AB305))), --(UPPER(TRIM($B$2:$B$518))="YES"), --(UPPER(TRIM($G$2:$G$518)&amp;TRIM($I$2:$I$518)&amp;TRIM($J$2:$J$518))&lt;&gt;UPPER(TRIM($G305)&amp;TRIM($I305)&amp;TRIM($J305))))&gt;0), AND($AH305&lt;&gt;"", LOWER(TRIM($AH305))&lt;&gt;"n/a", LOWER(TRIM($AH305))&lt;&gt;"na", SUMPRODUCT(--(UPPER(SUBSTITUTE(SUBSTITUTE(TRIM($AH$2:$AH$518),":",""),"-",""))=UPPER(SUBSTITUTE(SUBSTITUTE(TRIM($AH305),":",""),"-",""))), --(UPPER(TRIM($B$2:$B$518))="YES"), --(UPPER(TRIM($G$2:$G$518)&amp;TRIM($I$2:$I$518)&amp;TRIM($J$2:$J$518))&lt;&gt;UPPER(TRIM($G305)&amp;TRIM($I305)&amp;TRIM($J305))))&gt;0), AND($AP305&lt;&gt;"", LOWER(TRIM($AP305))&lt;&gt;"n/a", LOWER(TRIM($AP305))&lt;&gt;"na", SUMPRODUCT(--(UPPER(TRIM($AP$2:$AP$518))=UPPER(TRIM($AP305))), --(UPPER(TRIM($B$2:$B$518))="YES"), --(UPPER(TRIM($G$2:$G$518)&amp;TRIM($I$2:$I$518)&amp;TRIM($J$2:$J$518))&lt;&gt;UPPER(TRIM($G305)&amp;TRIM($I305)&amp;TRIM($J305))))&gt;0), AND($AQ305&lt;&gt;"", LOWER(TRIM($AQ305))&lt;&gt;"n/a", LOWER(TRIM($AQ305))&lt;&gt;"na", SUMPRODUCT(--(UPPER(TRIM($AQ$2:$AQ$518))=UPPER(TRIM($AQ305))), --(UPPER(TRIM($B$2:$B$518))="YES"), --(UPPER(TRIM($G$2:$G$518)&amp;TRIM($I$2:$I$518)&amp;TRIM($J$2:$J$518))&lt;&gt;UPPER(TRIM($G305)&amp;TRIM($I305)&amp;TRIM($J305))))&gt;0)), "Yes", "No"))</f>
        <v/>
      </c>
      <c r="X305" t="inlineStr">
        <is>
          <t>NSUH-MACH-AH</t>
        </is>
      </c>
      <c r="Y305" t="inlineStr">
        <is>
          <t>A0F5097FED7F</t>
        </is>
      </c>
      <c r="AB305" t="inlineStr">
        <is>
          <t>WA24406283</t>
        </is>
      </c>
      <c r="CD305">
        <f>IF($Y305="","",IF((IF(AND($BR305&lt;&gt;"Yes",$BR305&lt;&gt;"N/A"),"Power Cable, ","")&amp;IF(AND($BS305&lt;&gt;"Yes",$BS305&lt;&gt;"N/A"),"Battery, ","")&amp;IF(AND($AD305&lt;&gt;"Yes",$AD305&lt;&gt;"N/A"),"Firmware Download, ","")&amp;IF(AND(OR($AD305="Yes",$AD305="N/A"),$AE305&lt;&gt;"Yes",$AE305&lt;&gt;"N/A"),"Firmware Install, ","")&amp;IF(AND($CB305&lt;&gt;"Yes",$CB305&lt;&gt;"N/A"),"Device ID, ","")&amp;IF(AND($CC305&lt;&gt;"Yes",$CC305&lt;&gt;"N/A"),"Epic Beans Relay, ",""))="","",LEFT(IF(AND($BR305&lt;&gt;"Yes",$BR305&lt;&gt;"N/A"),"Power Cable, ","")&amp;IF(AND($BS305&lt;&gt;"Yes",$BS305&lt;&gt;"N/A"),"Battery, ","")&amp;IF(AND($AD305&lt;&gt;"Yes",$AD305&lt;&gt;"N/A"),"Firmware Download, ","")&amp;IF(AND(OR($AD305="Yes",$AD305="N/A"),$AE305&lt;&gt;"Yes",$AE305&lt;&gt;"N/A"),"Firmware Install, ","")&amp;IF(AND($CB305&lt;&gt;"Yes",$CB305&lt;&gt;"N/A"),"Device ID, ","")&amp;IF(AND($CC305&lt;&gt;"Yes",$CC305&lt;&gt;"N/A"),"Epic Beans Relay, ",""),LEN(IF(AND($BR305&lt;&gt;"Yes",$BR305&lt;&gt;"N/A"),"Power Cable, ","")&amp;IF(AND($BS305&lt;&gt;"Yes",$BS305&lt;&gt;"N/A"),"Battery, ","")&amp;IF(AND($AD305&lt;&gt;"Yes",$AD305&lt;&gt;"N/A"),"Firmware Download, ","")&amp;IF(AND(OR($AD305="Yes",$AD305="N/A"),$AE305&lt;&gt;"Yes",$AE305&lt;&gt;"N/A"),"Firmware Install, ","")&amp;IF(AND($CB305&lt;&gt;"Yes",$CB305&lt;&gt;"N/A"),"Device ID, ","")&amp;IF(AND($CC305&lt;&gt;"Yes",$CC305&lt;&gt;"N/A"),"Epic Beans Relay, ",""))-2)))</f>
        <v/>
      </c>
      <c r="CE305">
        <f>IF($Y305="","",IF($CD305="","Yes","Blocked"))</f>
        <v/>
      </c>
      <c r="CP305">
        <f>IF($CO305="","",IFERROR(VLOOKUP($CO305,'01_Warehouse_Ledger'!$A:$N,4,FALSE),""))</f>
        <v/>
      </c>
      <c r="CQ305">
        <f>IF($CO305="","",IFERROR(VLOOKUP($CO305,'01_Warehouse_Ledger'!$A:$N,5,FALSE),""))</f>
        <v/>
      </c>
      <c r="CR305">
        <f>IF($CO305="","",IFERROR(VLOOKUP($CO305,'01_Warehouse_Ledger'!$A:$N,13,FALSE),""))</f>
        <v/>
      </c>
      <c r="CW305">
        <f>IF($S305="","",IF(UPPER(TRIM($S305))&lt;&gt;"PASS","",IF(LEN(TRIM($BY305))&gt;0,"NOTES_PRESENT",IF(LEN(TRIM($T305))=0,"SET_NA",IF(OR(LOWER(TRIM($T305))="na",LOWER(TRIM($T305))="n/a"),"OK","MANUAL_OVERRIDE")))))</f>
        <v/>
      </c>
    </row>
    <row r="306">
      <c r="A306" t="inlineStr">
        <is>
          <t>Neuron</t>
        </is>
      </c>
      <c r="B306" t="inlineStr">
        <is>
          <t>No</t>
        </is>
      </c>
      <c r="C306" t="inlineStr">
        <is>
          <t>No</t>
        </is>
      </c>
      <c r="D306">
        <f>IF($B306&lt;&gt;"Yes","",IF($C306="No","Yes",IF($C306="Yes","No","")))</f>
        <v/>
      </c>
      <c r="E306">
        <f>IF($A306="","",IF(OR(AND($V306&lt;&gt;"",LOWER(TRIM($V306))&lt;&gt;"n/a",LOWER(TRIM($V306))&lt;&gt;"na",SUMPRODUCT(--(UPPER(TRIM($V$2:$V$518))=UPPER(TRIM($V306))),--(TRIM($V$2:$V$518)&lt;&gt;""),--(LOWER(TRIM($V$2:$V$518))&lt;&gt;"n/a"),--(LOWER(TRIM($V$2:$V$518))&lt;&gt;"na"))&gt;1),AND($W306&lt;&gt;"",LOWER(TRIM($W306))&lt;&gt;"n/a",LOWER(TRIM($W306))&lt;&gt;"na",SUMPRODUCT(--(UPPER(TRIM($W$2:$W$518))=UPPER(TRIM($W306))),--(TRIM($W$2:$W$518)&lt;&gt;""),--(LOWER(TRIM($W$2:$W$518))&lt;&gt;"n/a"),--(LOWER(TRIM($W$2:$W$518))&lt;&gt;"na"))&gt;1),AND($X306&lt;&gt;"",LOWER(TRIM($X306))&lt;&gt;"n/a",LOWER(TRIM($X306))&lt;&gt;"na",SUMPRODUCT(--(UPPER(TRIM($X$2:$X$518))=UPPER(TRIM($X306))),--(TRIM($X$2:$X$518)&lt;&gt;""),--(LOWER(TRIM($X$2:$X$518))&lt;&gt;"n/a"),--(LOWER(TRIM($X$2:$X$518))&lt;&gt;"na"))&gt;1),AND($Y306&lt;&gt;"",LOWER(TRIM($Y306))&lt;&gt;"n/a",LOWER(TRIM($Y306))&lt;&gt;"na",SUMPRODUCT(--(UPPER(SUBSTITUTE(SUBSTITUTE(TRIM($Y$2:$Y$518),":",""),"-",""))=UPPER(SUBSTITUTE(SUBSTITUTE(TRIM($Y306),":",""),"-",""))),--(TRIM($Y$2:$Y$518)&lt;&gt;""),--(LOWER(TRIM($Y$2:$Y$518))&lt;&gt;"n/a"),--(LOWER(TRIM($Y$2:$Y$518))&lt;&gt;"na"))&gt;1),AND($AB306&lt;&gt;"",LOWER(TRIM($AB306))&lt;&gt;"n/a",LOWER(TRIM($AB306))&lt;&gt;"na",SUMPRODUCT(--(UPPER(TRIM($AB$2:$AB$518))=UPPER(TRIM($AB306))),--(TRIM($AB$2:$AB$518)&lt;&gt;""),--(LOWER(TRIM($AB$2:$AB$518))&lt;&gt;"n/a"),--(LOWER(TRIM($AB$2:$AB$518))&lt;&gt;"na"))&gt;1),AND($AH306&lt;&gt;"",LOWER(TRIM($AH306))&lt;&gt;"n/a",LOWER(TRIM($AH306))&lt;&gt;"na",SUMPRODUCT(--(UPPER(SUBSTITUTE(SUBSTITUTE(TRIM($AH$2:$AH$518),":",""),"-",""))=UPPER(SUBSTITUTE(SUBSTITUTE(TRIM($AH306),":",""),"-",""))),--(TRIM($AH$2:$AH$518)&lt;&gt;""),--(LOWER(TRIM($AH$2:$AH$518))&lt;&gt;"n/a"),--(LOWER(TRIM($AH$2:$AH$518))&lt;&gt;"na"))&gt;1),AND($AP306&lt;&gt;"",LOWER(TRIM($AP306))&lt;&gt;"n/a",LOWER(TRIM($AP306))&lt;&gt;"na",SUMPRODUCT(--(UPPER(TRIM($AP$2:$AP$518))=UPPER(TRIM($AP306))),--(TRIM($AP$2:$AP$518)&lt;&gt;""),--(LOWER(TRIM($AP$2:$AP$518))&lt;&gt;"n/a"),--(LOWER(TRIM($AP$2:$AP$518))&lt;&gt;"na"))&gt;1),AND($AQ306&lt;&gt;"",LOWER(TRIM($AQ306))&lt;&gt;"n/a",LOWER(TRIM($AQ306))&lt;&gt;"na",SUMPRODUCT(--(UPPER(TRIM($AQ$2:$AQ$518))=UPPER(TRIM($AQ306))),--(TRIM($AQ$2:$AQ$518)&lt;&gt;""),--(LOWER(TRIM($AQ$2:$AQ$518))&lt;&gt;"n/a"),--(LOWER(TRIM($AQ$2:$AQ$518))&lt;&gt;"na"))&gt;1)),"Yes","No"))</f>
        <v/>
      </c>
      <c r="F306">
        <f>IF(UPPER(TRIM($B306))&lt;&gt;"YES","", IF(OR(AND($V306&lt;&gt;"", LOWER(TRIM($V306))&lt;&gt;"n/a", LOWER(TRIM($V306))&lt;&gt;"na", SUMPRODUCT(--(UPPER(TRIM($V$2:$V$518))=UPPER(TRIM($V306))), --(UPPER(TRIM($B$2:$B$518))="YES"), --(UPPER(TRIM($G$2:$G$518)&amp;TRIM($I$2:$I$518)&amp;TRIM($J$2:$J$518))&lt;&gt;UPPER(TRIM($G306)&amp;TRIM($I306)&amp;TRIM($J306))))&gt;0), AND($W306&lt;&gt;"", LOWER(TRIM($W306))&lt;&gt;"n/a", LOWER(TRIM($W306))&lt;&gt;"na", SUMPRODUCT(--(UPPER(TRIM($W$2:$W$518))=UPPER(TRIM($W306))), --(UPPER(TRIM($B$2:$B$518))="YES"), --(UPPER(TRIM($G$2:$G$518)&amp;TRIM($I$2:$I$518)&amp;TRIM($J$2:$J$518))&lt;&gt;UPPER(TRIM($G306)&amp;TRIM($I306)&amp;TRIM($J306))))&gt;0), AND($X306&lt;&gt;"", LOWER(TRIM($X306))&lt;&gt;"n/a", LOWER(TRIM($X306))&lt;&gt;"na", SUMPRODUCT(--(UPPER(TRIM($X$2:$X$518))=UPPER(TRIM($X306))), --(UPPER(TRIM($B$2:$B$518))="YES"), --(UPPER(TRIM($G$2:$G$518)&amp;TRIM($I$2:$I$518)&amp;TRIM($J$2:$J$518))&lt;&gt;UPPER(TRIM($G306)&amp;TRIM($I306)&amp;TRIM($J306))))&gt;0), AND($Y306&lt;&gt;"", LOWER(TRIM($Y306))&lt;&gt;"n/a", LOWER(TRIM($Y306))&lt;&gt;"na", SUMPRODUCT(--(UPPER(SUBSTITUTE(SUBSTITUTE(TRIM($Y$2:$Y$518),":",""),"-",""))=UPPER(SUBSTITUTE(SUBSTITUTE(TRIM($Y306),":",""),"-",""))), --(UPPER(TRIM($B$2:$B$518))="YES"), --(UPPER(TRIM($G$2:$G$518)&amp;TRIM($I$2:$I$518)&amp;TRIM($J$2:$J$518))&lt;&gt;UPPER(TRIM($G306)&amp;TRIM($I306)&amp;TRIM($J306))))&gt;0), AND($AB306&lt;&gt;"", LOWER(TRIM($AB306))&lt;&gt;"n/a", LOWER(TRIM($AB306))&lt;&gt;"na", SUMPRODUCT(--(UPPER(TRIM($AB$2:$AB$518))=UPPER(TRIM($AB306))), --(UPPER(TRIM($B$2:$B$518))="YES"), --(UPPER(TRIM($G$2:$G$518)&amp;TRIM($I$2:$I$518)&amp;TRIM($J$2:$J$518))&lt;&gt;UPPER(TRIM($G306)&amp;TRIM($I306)&amp;TRIM($J306))))&gt;0), AND($AH306&lt;&gt;"", LOWER(TRIM($AH306))&lt;&gt;"n/a", LOWER(TRIM($AH306))&lt;&gt;"na", SUMPRODUCT(--(UPPER(SUBSTITUTE(SUBSTITUTE(TRIM($AH$2:$AH$518),":",""),"-",""))=UPPER(SUBSTITUTE(SUBSTITUTE(TRIM($AH306),":",""),"-",""))), --(UPPER(TRIM($B$2:$B$518))="YES"), --(UPPER(TRIM($G$2:$G$518)&amp;TRIM($I$2:$I$518)&amp;TRIM($J$2:$J$518))&lt;&gt;UPPER(TRIM($G306)&amp;TRIM($I306)&amp;TRIM($J306))))&gt;0), AND($AP306&lt;&gt;"", LOWER(TRIM($AP306))&lt;&gt;"n/a", LOWER(TRIM($AP306))&lt;&gt;"na", SUMPRODUCT(--(UPPER(TRIM($AP$2:$AP$518))=UPPER(TRIM($AP306))), --(UPPER(TRIM($B$2:$B$518))="YES"), --(UPPER(TRIM($G$2:$G$518)&amp;TRIM($I$2:$I$518)&amp;TRIM($J$2:$J$518))&lt;&gt;UPPER(TRIM($G306)&amp;TRIM($I306)&amp;TRIM($J306))))&gt;0), AND($AQ306&lt;&gt;"", LOWER(TRIM($AQ306))&lt;&gt;"n/a", LOWER(TRIM($AQ306))&lt;&gt;"na", SUMPRODUCT(--(UPPER(TRIM($AQ$2:$AQ$518))=UPPER(TRIM($AQ306))), --(UPPER(TRIM($B$2:$B$518))="YES"), --(UPPER(TRIM($G$2:$G$518)&amp;TRIM($I$2:$I$518)&amp;TRIM($J$2:$J$518))&lt;&gt;UPPER(TRIM($G306)&amp;TRIM($I306)&amp;TRIM($J306))))&gt;0)), "Yes", "No"))</f>
        <v/>
      </c>
      <c r="X306" t="inlineStr">
        <is>
          <t>NSUH-MACH-AG</t>
        </is>
      </c>
      <c r="Y306" t="inlineStr">
        <is>
          <t>A0F5097FE27A</t>
        </is>
      </c>
      <c r="AB306" t="inlineStr">
        <is>
          <t>WA24406386</t>
        </is>
      </c>
      <c r="CD306">
        <f>IF($Y306="","",IF((IF(AND($BR306&lt;&gt;"Yes",$BR306&lt;&gt;"N/A"),"Power Cable, ","")&amp;IF(AND($BS306&lt;&gt;"Yes",$BS306&lt;&gt;"N/A"),"Battery, ","")&amp;IF(AND($AD306&lt;&gt;"Yes",$AD306&lt;&gt;"N/A"),"Firmware Download, ","")&amp;IF(AND(OR($AD306="Yes",$AD306="N/A"),$AE306&lt;&gt;"Yes",$AE306&lt;&gt;"N/A"),"Firmware Install, ","")&amp;IF(AND($CB306&lt;&gt;"Yes",$CB306&lt;&gt;"N/A"),"Device ID, ","")&amp;IF(AND($CC306&lt;&gt;"Yes",$CC306&lt;&gt;"N/A"),"Epic Beans Relay, ",""))="","",LEFT(IF(AND($BR306&lt;&gt;"Yes",$BR306&lt;&gt;"N/A"),"Power Cable, ","")&amp;IF(AND($BS306&lt;&gt;"Yes",$BS306&lt;&gt;"N/A"),"Battery, ","")&amp;IF(AND($AD306&lt;&gt;"Yes",$AD306&lt;&gt;"N/A"),"Firmware Download, ","")&amp;IF(AND(OR($AD306="Yes",$AD306="N/A"),$AE306&lt;&gt;"Yes",$AE306&lt;&gt;"N/A"),"Firmware Install, ","")&amp;IF(AND($CB306&lt;&gt;"Yes",$CB306&lt;&gt;"N/A"),"Device ID, ","")&amp;IF(AND($CC306&lt;&gt;"Yes",$CC306&lt;&gt;"N/A"),"Epic Beans Relay, ",""),LEN(IF(AND($BR306&lt;&gt;"Yes",$BR306&lt;&gt;"N/A"),"Power Cable, ","")&amp;IF(AND($BS306&lt;&gt;"Yes",$BS306&lt;&gt;"N/A"),"Battery, ","")&amp;IF(AND($AD306&lt;&gt;"Yes",$AD306&lt;&gt;"N/A"),"Firmware Download, ","")&amp;IF(AND(OR($AD306="Yes",$AD306="N/A"),$AE306&lt;&gt;"Yes",$AE306&lt;&gt;"N/A"),"Firmware Install, ","")&amp;IF(AND($CB306&lt;&gt;"Yes",$CB306&lt;&gt;"N/A"),"Device ID, ","")&amp;IF(AND($CC306&lt;&gt;"Yes",$CC306&lt;&gt;"N/A"),"Epic Beans Relay, ",""))-2)))</f>
        <v/>
      </c>
      <c r="CE306">
        <f>IF($Y306="","",IF($CD306="","Yes","Blocked"))</f>
        <v/>
      </c>
      <c r="CP306">
        <f>IF($CO306="","",IFERROR(VLOOKUP($CO306,'01_Warehouse_Ledger'!$A:$N,4,FALSE),""))</f>
        <v/>
      </c>
      <c r="CQ306">
        <f>IF($CO306="","",IFERROR(VLOOKUP($CO306,'01_Warehouse_Ledger'!$A:$N,5,FALSE),""))</f>
        <v/>
      </c>
      <c r="CR306">
        <f>IF($CO306="","",IFERROR(VLOOKUP($CO306,'01_Warehouse_Ledger'!$A:$N,13,FALSE),""))</f>
        <v/>
      </c>
      <c r="CW306">
        <f>IF($S306="","",IF(UPPER(TRIM($S306))&lt;&gt;"PASS","",IF(LEN(TRIM($BY306))&gt;0,"NOTES_PRESENT",IF(LEN(TRIM($T306))=0,"SET_NA",IF(OR(LOWER(TRIM($T306))="na",LOWER(TRIM($T306))="n/a"),"OK","MANUAL_OVERRIDE")))))</f>
        <v/>
      </c>
    </row>
    <row r="307">
      <c r="A307" t="inlineStr">
        <is>
          <t>Neuron</t>
        </is>
      </c>
      <c r="B307" t="inlineStr">
        <is>
          <t>No</t>
        </is>
      </c>
      <c r="C307" t="inlineStr">
        <is>
          <t>No</t>
        </is>
      </c>
      <c r="D307">
        <f>IF($B307&lt;&gt;"Yes","",IF($C307="No","Yes",IF($C307="Yes","No","")))</f>
        <v/>
      </c>
      <c r="E307">
        <f>IF($A307="","",IF(OR(AND($V307&lt;&gt;"",LOWER(TRIM($V307))&lt;&gt;"n/a",LOWER(TRIM($V307))&lt;&gt;"na",SUMPRODUCT(--(UPPER(TRIM($V$2:$V$518))=UPPER(TRIM($V307))),--(TRIM($V$2:$V$518)&lt;&gt;""),--(LOWER(TRIM($V$2:$V$518))&lt;&gt;"n/a"),--(LOWER(TRIM($V$2:$V$518))&lt;&gt;"na"))&gt;1),AND($W307&lt;&gt;"",LOWER(TRIM($W307))&lt;&gt;"n/a",LOWER(TRIM($W307))&lt;&gt;"na",SUMPRODUCT(--(UPPER(TRIM($W$2:$W$518))=UPPER(TRIM($W307))),--(TRIM($W$2:$W$518)&lt;&gt;""),--(LOWER(TRIM($W$2:$W$518))&lt;&gt;"n/a"),--(LOWER(TRIM($W$2:$W$518))&lt;&gt;"na"))&gt;1),AND($X307&lt;&gt;"",LOWER(TRIM($X307))&lt;&gt;"n/a",LOWER(TRIM($X307))&lt;&gt;"na",SUMPRODUCT(--(UPPER(TRIM($X$2:$X$518))=UPPER(TRIM($X307))),--(TRIM($X$2:$X$518)&lt;&gt;""),--(LOWER(TRIM($X$2:$X$518))&lt;&gt;"n/a"),--(LOWER(TRIM($X$2:$X$518))&lt;&gt;"na"))&gt;1),AND($Y307&lt;&gt;"",LOWER(TRIM($Y307))&lt;&gt;"n/a",LOWER(TRIM($Y307))&lt;&gt;"na",SUMPRODUCT(--(UPPER(SUBSTITUTE(SUBSTITUTE(TRIM($Y$2:$Y$518),":",""),"-",""))=UPPER(SUBSTITUTE(SUBSTITUTE(TRIM($Y307),":",""),"-",""))),--(TRIM($Y$2:$Y$518)&lt;&gt;""),--(LOWER(TRIM($Y$2:$Y$518))&lt;&gt;"n/a"),--(LOWER(TRIM($Y$2:$Y$518))&lt;&gt;"na"))&gt;1),AND($AB307&lt;&gt;"",LOWER(TRIM($AB307))&lt;&gt;"n/a",LOWER(TRIM($AB307))&lt;&gt;"na",SUMPRODUCT(--(UPPER(TRIM($AB$2:$AB$518))=UPPER(TRIM($AB307))),--(TRIM($AB$2:$AB$518)&lt;&gt;""),--(LOWER(TRIM($AB$2:$AB$518))&lt;&gt;"n/a"),--(LOWER(TRIM($AB$2:$AB$518))&lt;&gt;"na"))&gt;1),AND($AH307&lt;&gt;"",LOWER(TRIM($AH307))&lt;&gt;"n/a",LOWER(TRIM($AH307))&lt;&gt;"na",SUMPRODUCT(--(UPPER(SUBSTITUTE(SUBSTITUTE(TRIM($AH$2:$AH$518),":",""),"-",""))=UPPER(SUBSTITUTE(SUBSTITUTE(TRIM($AH307),":",""),"-",""))),--(TRIM($AH$2:$AH$518)&lt;&gt;""),--(LOWER(TRIM($AH$2:$AH$518))&lt;&gt;"n/a"),--(LOWER(TRIM($AH$2:$AH$518))&lt;&gt;"na"))&gt;1),AND($AP307&lt;&gt;"",LOWER(TRIM($AP307))&lt;&gt;"n/a",LOWER(TRIM($AP307))&lt;&gt;"na",SUMPRODUCT(--(UPPER(TRIM($AP$2:$AP$518))=UPPER(TRIM($AP307))),--(TRIM($AP$2:$AP$518)&lt;&gt;""),--(LOWER(TRIM($AP$2:$AP$518))&lt;&gt;"n/a"),--(LOWER(TRIM($AP$2:$AP$518))&lt;&gt;"na"))&gt;1),AND($AQ307&lt;&gt;"",LOWER(TRIM($AQ307))&lt;&gt;"n/a",LOWER(TRIM($AQ307))&lt;&gt;"na",SUMPRODUCT(--(UPPER(TRIM($AQ$2:$AQ$518))=UPPER(TRIM($AQ307))),--(TRIM($AQ$2:$AQ$518)&lt;&gt;""),--(LOWER(TRIM($AQ$2:$AQ$518))&lt;&gt;"n/a"),--(LOWER(TRIM($AQ$2:$AQ$518))&lt;&gt;"na"))&gt;1)),"Yes","No"))</f>
        <v/>
      </c>
      <c r="F307">
        <f>IF(UPPER(TRIM($B307))&lt;&gt;"YES","", IF(OR(AND($V307&lt;&gt;"", LOWER(TRIM($V307))&lt;&gt;"n/a", LOWER(TRIM($V307))&lt;&gt;"na", SUMPRODUCT(--(UPPER(TRIM($V$2:$V$518))=UPPER(TRIM($V307))), --(UPPER(TRIM($B$2:$B$518))="YES"), --(UPPER(TRIM($G$2:$G$518)&amp;TRIM($I$2:$I$518)&amp;TRIM($J$2:$J$518))&lt;&gt;UPPER(TRIM($G307)&amp;TRIM($I307)&amp;TRIM($J307))))&gt;0), AND($W307&lt;&gt;"", LOWER(TRIM($W307))&lt;&gt;"n/a", LOWER(TRIM($W307))&lt;&gt;"na", SUMPRODUCT(--(UPPER(TRIM($W$2:$W$518))=UPPER(TRIM($W307))), --(UPPER(TRIM($B$2:$B$518))="YES"), --(UPPER(TRIM($G$2:$G$518)&amp;TRIM($I$2:$I$518)&amp;TRIM($J$2:$J$518))&lt;&gt;UPPER(TRIM($G307)&amp;TRIM($I307)&amp;TRIM($J307))))&gt;0), AND($X307&lt;&gt;"", LOWER(TRIM($X307))&lt;&gt;"n/a", LOWER(TRIM($X307))&lt;&gt;"na", SUMPRODUCT(--(UPPER(TRIM($X$2:$X$518))=UPPER(TRIM($X307))), --(UPPER(TRIM($B$2:$B$518))="YES"), --(UPPER(TRIM($G$2:$G$518)&amp;TRIM($I$2:$I$518)&amp;TRIM($J$2:$J$518))&lt;&gt;UPPER(TRIM($G307)&amp;TRIM($I307)&amp;TRIM($J307))))&gt;0), AND($Y307&lt;&gt;"", LOWER(TRIM($Y307))&lt;&gt;"n/a", LOWER(TRIM($Y307))&lt;&gt;"na", SUMPRODUCT(--(UPPER(SUBSTITUTE(SUBSTITUTE(TRIM($Y$2:$Y$518),":",""),"-",""))=UPPER(SUBSTITUTE(SUBSTITUTE(TRIM($Y307),":",""),"-",""))), --(UPPER(TRIM($B$2:$B$518))="YES"), --(UPPER(TRIM($G$2:$G$518)&amp;TRIM($I$2:$I$518)&amp;TRIM($J$2:$J$518))&lt;&gt;UPPER(TRIM($G307)&amp;TRIM($I307)&amp;TRIM($J307))))&gt;0), AND($AB307&lt;&gt;"", LOWER(TRIM($AB307))&lt;&gt;"n/a", LOWER(TRIM($AB307))&lt;&gt;"na", SUMPRODUCT(--(UPPER(TRIM($AB$2:$AB$518))=UPPER(TRIM($AB307))), --(UPPER(TRIM($B$2:$B$518))="YES"), --(UPPER(TRIM($G$2:$G$518)&amp;TRIM($I$2:$I$518)&amp;TRIM($J$2:$J$518))&lt;&gt;UPPER(TRIM($G307)&amp;TRIM($I307)&amp;TRIM($J307))))&gt;0), AND($AH307&lt;&gt;"", LOWER(TRIM($AH307))&lt;&gt;"n/a", LOWER(TRIM($AH307))&lt;&gt;"na", SUMPRODUCT(--(UPPER(SUBSTITUTE(SUBSTITUTE(TRIM($AH$2:$AH$518),":",""),"-",""))=UPPER(SUBSTITUTE(SUBSTITUTE(TRIM($AH307),":",""),"-",""))), --(UPPER(TRIM($B$2:$B$518))="YES"), --(UPPER(TRIM($G$2:$G$518)&amp;TRIM($I$2:$I$518)&amp;TRIM($J$2:$J$518))&lt;&gt;UPPER(TRIM($G307)&amp;TRIM($I307)&amp;TRIM($J307))))&gt;0), AND($AP307&lt;&gt;"", LOWER(TRIM($AP307))&lt;&gt;"n/a", LOWER(TRIM($AP307))&lt;&gt;"na", SUMPRODUCT(--(UPPER(TRIM($AP$2:$AP$518))=UPPER(TRIM($AP307))), --(UPPER(TRIM($B$2:$B$518))="YES"), --(UPPER(TRIM($G$2:$G$518)&amp;TRIM($I$2:$I$518)&amp;TRIM($J$2:$J$518))&lt;&gt;UPPER(TRIM($G307)&amp;TRIM($I307)&amp;TRIM($J307))))&gt;0), AND($AQ307&lt;&gt;"", LOWER(TRIM($AQ307))&lt;&gt;"n/a", LOWER(TRIM($AQ307))&lt;&gt;"na", SUMPRODUCT(--(UPPER(TRIM($AQ$2:$AQ$518))=UPPER(TRIM($AQ307))), --(UPPER(TRIM($B$2:$B$518))="YES"), --(UPPER(TRIM($G$2:$G$518)&amp;TRIM($I$2:$I$518)&amp;TRIM($J$2:$J$518))&lt;&gt;UPPER(TRIM($G307)&amp;TRIM($I307)&amp;TRIM($J307))))&gt;0)), "Yes", "No"))</f>
        <v/>
      </c>
      <c r="X307" t="inlineStr">
        <is>
          <t>NSUH-MACH-AE</t>
        </is>
      </c>
      <c r="Y307" t="inlineStr">
        <is>
          <t>A0F5097FA548</t>
        </is>
      </c>
      <c r="AB307" t="inlineStr">
        <is>
          <t>WA23C03785</t>
        </is>
      </c>
      <c r="CD307">
        <f>IF($Y307="","",IF((IF(AND($BR307&lt;&gt;"Yes",$BR307&lt;&gt;"N/A"),"Power Cable, ","")&amp;IF(AND($BS307&lt;&gt;"Yes",$BS307&lt;&gt;"N/A"),"Battery, ","")&amp;IF(AND($AD307&lt;&gt;"Yes",$AD307&lt;&gt;"N/A"),"Firmware Download, ","")&amp;IF(AND(OR($AD307="Yes",$AD307="N/A"),$AE307&lt;&gt;"Yes",$AE307&lt;&gt;"N/A"),"Firmware Install, ","")&amp;IF(AND($CB307&lt;&gt;"Yes",$CB307&lt;&gt;"N/A"),"Device ID, ","")&amp;IF(AND($CC307&lt;&gt;"Yes",$CC307&lt;&gt;"N/A"),"Epic Beans Relay, ",""))="","",LEFT(IF(AND($BR307&lt;&gt;"Yes",$BR307&lt;&gt;"N/A"),"Power Cable, ","")&amp;IF(AND($BS307&lt;&gt;"Yes",$BS307&lt;&gt;"N/A"),"Battery, ","")&amp;IF(AND($AD307&lt;&gt;"Yes",$AD307&lt;&gt;"N/A"),"Firmware Download, ","")&amp;IF(AND(OR($AD307="Yes",$AD307="N/A"),$AE307&lt;&gt;"Yes",$AE307&lt;&gt;"N/A"),"Firmware Install, ","")&amp;IF(AND($CB307&lt;&gt;"Yes",$CB307&lt;&gt;"N/A"),"Device ID, ","")&amp;IF(AND($CC307&lt;&gt;"Yes",$CC307&lt;&gt;"N/A"),"Epic Beans Relay, ",""),LEN(IF(AND($BR307&lt;&gt;"Yes",$BR307&lt;&gt;"N/A"),"Power Cable, ","")&amp;IF(AND($BS307&lt;&gt;"Yes",$BS307&lt;&gt;"N/A"),"Battery, ","")&amp;IF(AND($AD307&lt;&gt;"Yes",$AD307&lt;&gt;"N/A"),"Firmware Download, ","")&amp;IF(AND(OR($AD307="Yes",$AD307="N/A"),$AE307&lt;&gt;"Yes",$AE307&lt;&gt;"N/A"),"Firmware Install, ","")&amp;IF(AND($CB307&lt;&gt;"Yes",$CB307&lt;&gt;"N/A"),"Device ID, ","")&amp;IF(AND($CC307&lt;&gt;"Yes",$CC307&lt;&gt;"N/A"),"Epic Beans Relay, ",""))-2)))</f>
        <v/>
      </c>
      <c r="CE307">
        <f>IF($Y307="","",IF($CD307="","Yes","Blocked"))</f>
        <v/>
      </c>
      <c r="CP307">
        <f>IF($CO307="","",IFERROR(VLOOKUP($CO307,'01_Warehouse_Ledger'!$A:$N,4,FALSE),""))</f>
        <v/>
      </c>
      <c r="CQ307">
        <f>IF($CO307="","",IFERROR(VLOOKUP($CO307,'01_Warehouse_Ledger'!$A:$N,5,FALSE),""))</f>
        <v/>
      </c>
      <c r="CR307">
        <f>IF($CO307="","",IFERROR(VLOOKUP($CO307,'01_Warehouse_Ledger'!$A:$N,13,FALSE),""))</f>
        <v/>
      </c>
      <c r="CW307">
        <f>IF($S307="","",IF(UPPER(TRIM($S307))&lt;&gt;"PASS","",IF(LEN(TRIM($BY307))&gt;0,"NOTES_PRESENT",IF(LEN(TRIM($T307))=0,"SET_NA",IF(OR(LOWER(TRIM($T307))="na",LOWER(TRIM($T307))="n/a"),"OK","MANUAL_OVERRIDE")))))</f>
        <v/>
      </c>
    </row>
    <row r="308">
      <c r="A308" t="inlineStr">
        <is>
          <t>Neuron</t>
        </is>
      </c>
      <c r="B308" t="inlineStr">
        <is>
          <t>Yes</t>
        </is>
      </c>
      <c r="C308" t="inlineStr">
        <is>
          <t>Yes</t>
        </is>
      </c>
      <c r="D308">
        <f>IF($B308&lt;&gt;"Yes","",IF($C308="No","Yes",IF($C308="Yes","No","")))</f>
        <v/>
      </c>
      <c r="E308">
        <f>IF($A308="","",IF(OR(AND($V308&lt;&gt;"",LOWER(TRIM($V308))&lt;&gt;"n/a",LOWER(TRIM($V308))&lt;&gt;"na",SUMPRODUCT(--(UPPER(TRIM($V$2:$V$518))=UPPER(TRIM($V308))),--(TRIM($V$2:$V$518)&lt;&gt;""),--(LOWER(TRIM($V$2:$V$518))&lt;&gt;"n/a"),--(LOWER(TRIM($V$2:$V$518))&lt;&gt;"na"))&gt;1),AND($W308&lt;&gt;"",LOWER(TRIM($W308))&lt;&gt;"n/a",LOWER(TRIM($W308))&lt;&gt;"na",SUMPRODUCT(--(UPPER(TRIM($W$2:$W$518))=UPPER(TRIM($W308))),--(TRIM($W$2:$W$518)&lt;&gt;""),--(LOWER(TRIM($W$2:$W$518))&lt;&gt;"n/a"),--(LOWER(TRIM($W$2:$W$518))&lt;&gt;"na"))&gt;1),AND($X308&lt;&gt;"",LOWER(TRIM($X308))&lt;&gt;"n/a",LOWER(TRIM($X308))&lt;&gt;"na",SUMPRODUCT(--(UPPER(TRIM($X$2:$X$518))=UPPER(TRIM($X308))),--(TRIM($X$2:$X$518)&lt;&gt;""),--(LOWER(TRIM($X$2:$X$518))&lt;&gt;"n/a"),--(LOWER(TRIM($X$2:$X$518))&lt;&gt;"na"))&gt;1),AND($Y308&lt;&gt;"",LOWER(TRIM($Y308))&lt;&gt;"n/a",LOWER(TRIM($Y308))&lt;&gt;"na",SUMPRODUCT(--(UPPER(SUBSTITUTE(SUBSTITUTE(TRIM($Y$2:$Y$518),":",""),"-",""))=UPPER(SUBSTITUTE(SUBSTITUTE(TRIM($Y308),":",""),"-",""))),--(TRIM($Y$2:$Y$518)&lt;&gt;""),--(LOWER(TRIM($Y$2:$Y$518))&lt;&gt;"n/a"),--(LOWER(TRIM($Y$2:$Y$518))&lt;&gt;"na"))&gt;1),AND($AB308&lt;&gt;"",LOWER(TRIM($AB308))&lt;&gt;"n/a",LOWER(TRIM($AB308))&lt;&gt;"na",SUMPRODUCT(--(UPPER(TRIM($AB$2:$AB$518))=UPPER(TRIM($AB308))),--(TRIM($AB$2:$AB$518)&lt;&gt;""),--(LOWER(TRIM($AB$2:$AB$518))&lt;&gt;"n/a"),--(LOWER(TRIM($AB$2:$AB$518))&lt;&gt;"na"))&gt;1),AND($AH308&lt;&gt;"",LOWER(TRIM($AH308))&lt;&gt;"n/a",LOWER(TRIM($AH308))&lt;&gt;"na",SUMPRODUCT(--(UPPER(SUBSTITUTE(SUBSTITUTE(TRIM($AH$2:$AH$518),":",""),"-",""))=UPPER(SUBSTITUTE(SUBSTITUTE(TRIM($AH308),":",""),"-",""))),--(TRIM($AH$2:$AH$518)&lt;&gt;""),--(LOWER(TRIM($AH$2:$AH$518))&lt;&gt;"n/a"),--(LOWER(TRIM($AH$2:$AH$518))&lt;&gt;"na"))&gt;1),AND($AP308&lt;&gt;"",LOWER(TRIM($AP308))&lt;&gt;"n/a",LOWER(TRIM($AP308))&lt;&gt;"na",SUMPRODUCT(--(UPPER(TRIM($AP$2:$AP$518))=UPPER(TRIM($AP308))),--(TRIM($AP$2:$AP$518)&lt;&gt;""),--(LOWER(TRIM($AP$2:$AP$518))&lt;&gt;"n/a"),--(LOWER(TRIM($AP$2:$AP$518))&lt;&gt;"na"))&gt;1),AND($AQ308&lt;&gt;"",LOWER(TRIM($AQ308))&lt;&gt;"n/a",LOWER(TRIM($AQ308))&lt;&gt;"na",SUMPRODUCT(--(UPPER(TRIM($AQ$2:$AQ$518))=UPPER(TRIM($AQ308))),--(TRIM($AQ$2:$AQ$518)&lt;&gt;""),--(LOWER(TRIM($AQ$2:$AQ$518))&lt;&gt;"n/a"),--(LOWER(TRIM($AQ$2:$AQ$518))&lt;&gt;"na"))&gt;1)),"Yes","No"))</f>
        <v/>
      </c>
      <c r="F308">
        <f>IF(UPPER(TRIM($B308))&lt;&gt;"YES","", IF(OR(AND($V308&lt;&gt;"", LOWER(TRIM($V308))&lt;&gt;"n/a", LOWER(TRIM($V308))&lt;&gt;"na", SUMPRODUCT(--(UPPER(TRIM($V$2:$V$518))=UPPER(TRIM($V308))), --(UPPER(TRIM($B$2:$B$518))="YES"), --(UPPER(TRIM($G$2:$G$518)&amp;TRIM($I$2:$I$518)&amp;TRIM($J$2:$J$518))&lt;&gt;UPPER(TRIM($G308)&amp;TRIM($I308)&amp;TRIM($J308))))&gt;0), AND($W308&lt;&gt;"", LOWER(TRIM($W308))&lt;&gt;"n/a", LOWER(TRIM($W308))&lt;&gt;"na", SUMPRODUCT(--(UPPER(TRIM($W$2:$W$518))=UPPER(TRIM($W308))), --(UPPER(TRIM($B$2:$B$518))="YES"), --(UPPER(TRIM($G$2:$G$518)&amp;TRIM($I$2:$I$518)&amp;TRIM($J$2:$J$518))&lt;&gt;UPPER(TRIM($G308)&amp;TRIM($I308)&amp;TRIM($J308))))&gt;0), AND($X308&lt;&gt;"", LOWER(TRIM($X308))&lt;&gt;"n/a", LOWER(TRIM($X308))&lt;&gt;"na", SUMPRODUCT(--(UPPER(TRIM($X$2:$X$518))=UPPER(TRIM($X308))), --(UPPER(TRIM($B$2:$B$518))="YES"), --(UPPER(TRIM($G$2:$G$518)&amp;TRIM($I$2:$I$518)&amp;TRIM($J$2:$J$518))&lt;&gt;UPPER(TRIM($G308)&amp;TRIM($I308)&amp;TRIM($J308))))&gt;0), AND($Y308&lt;&gt;"", LOWER(TRIM($Y308))&lt;&gt;"n/a", LOWER(TRIM($Y308))&lt;&gt;"na", SUMPRODUCT(--(UPPER(SUBSTITUTE(SUBSTITUTE(TRIM($Y$2:$Y$518),":",""),"-",""))=UPPER(SUBSTITUTE(SUBSTITUTE(TRIM($Y308),":",""),"-",""))), --(UPPER(TRIM($B$2:$B$518))="YES"), --(UPPER(TRIM($G$2:$G$518)&amp;TRIM($I$2:$I$518)&amp;TRIM($J$2:$J$518))&lt;&gt;UPPER(TRIM($G308)&amp;TRIM($I308)&amp;TRIM($J308))))&gt;0), AND($AB308&lt;&gt;"", LOWER(TRIM($AB308))&lt;&gt;"n/a", LOWER(TRIM($AB308))&lt;&gt;"na", SUMPRODUCT(--(UPPER(TRIM($AB$2:$AB$518))=UPPER(TRIM($AB308))), --(UPPER(TRIM($B$2:$B$518))="YES"), --(UPPER(TRIM($G$2:$G$518)&amp;TRIM($I$2:$I$518)&amp;TRIM($J$2:$J$518))&lt;&gt;UPPER(TRIM($G308)&amp;TRIM($I308)&amp;TRIM($J308))))&gt;0), AND($AH308&lt;&gt;"", LOWER(TRIM($AH308))&lt;&gt;"n/a", LOWER(TRIM($AH308))&lt;&gt;"na", SUMPRODUCT(--(UPPER(SUBSTITUTE(SUBSTITUTE(TRIM($AH$2:$AH$518),":",""),"-",""))=UPPER(SUBSTITUTE(SUBSTITUTE(TRIM($AH308),":",""),"-",""))), --(UPPER(TRIM($B$2:$B$518))="YES"), --(UPPER(TRIM($G$2:$G$518)&amp;TRIM($I$2:$I$518)&amp;TRIM($J$2:$J$518))&lt;&gt;UPPER(TRIM($G308)&amp;TRIM($I308)&amp;TRIM($J308))))&gt;0), AND($AP308&lt;&gt;"", LOWER(TRIM($AP308))&lt;&gt;"n/a", LOWER(TRIM($AP308))&lt;&gt;"na", SUMPRODUCT(--(UPPER(TRIM($AP$2:$AP$518))=UPPER(TRIM($AP308))), --(UPPER(TRIM($B$2:$B$518))="YES"), --(UPPER(TRIM($G$2:$G$518)&amp;TRIM($I$2:$I$518)&amp;TRIM($J$2:$J$518))&lt;&gt;UPPER(TRIM($G308)&amp;TRIM($I308)&amp;TRIM($J308))))&gt;0), AND($AQ308&lt;&gt;"", LOWER(TRIM($AQ308))&lt;&gt;"n/a", LOWER(TRIM($AQ308))&lt;&gt;"na", SUMPRODUCT(--(UPPER(TRIM($AQ$2:$AQ$518))=UPPER(TRIM($AQ308))), --(UPPER(TRIM($B$2:$B$518))="YES"), --(UPPER(TRIM($G$2:$G$518)&amp;TRIM($I$2:$I$518)&amp;TRIM($J$2:$J$518))&lt;&gt;UPPER(TRIM($G308)&amp;TRIM($I308)&amp;TRIM($J308))))&gt;0)), "Yes", "No"))</f>
        <v/>
      </c>
      <c r="G308" t="inlineStr">
        <is>
          <t>NSUH - Main</t>
        </is>
      </c>
      <c r="H308" t="inlineStr">
        <is>
          <t>NSUH - Main</t>
        </is>
      </c>
      <c r="I308" t="inlineStr">
        <is>
          <t>2nd Floor Biomed</t>
        </is>
      </c>
      <c r="J308" t="inlineStr">
        <is>
          <t>2LP15 - Bio-Medical Engineering</t>
        </is>
      </c>
      <c r="K308" t="inlineStr">
        <is>
          <t>Backup Workstation</t>
        </is>
      </c>
      <c r="L308" s="18" t="n">
        <v>46123</v>
      </c>
      <c r="M308" t="inlineStr">
        <is>
          <t>OR Cybernet</t>
        </is>
      </c>
      <c r="X308" t="inlineStr">
        <is>
          <t>NSUH-MACH-AB</t>
        </is>
      </c>
      <c r="Y308" t="inlineStr">
        <is>
          <t>A0F5097FA48F</t>
        </is>
      </c>
      <c r="AB308" t="inlineStr">
        <is>
          <t>WA23C03164</t>
        </is>
      </c>
      <c r="CD308">
        <f>IF($Y308="","",IF((IF(AND($BR308&lt;&gt;"Yes",$BR308&lt;&gt;"N/A"),"Power Cable, ","")&amp;IF(AND($BS308&lt;&gt;"Yes",$BS308&lt;&gt;"N/A"),"Battery, ","")&amp;IF(AND($AD308&lt;&gt;"Yes",$AD308&lt;&gt;"N/A"),"Firmware Download, ","")&amp;IF(AND(OR($AD308="Yes",$AD308="N/A"),$AE308&lt;&gt;"Yes",$AE308&lt;&gt;"N/A"),"Firmware Install, ","")&amp;IF(AND($CB308&lt;&gt;"Yes",$CB308&lt;&gt;"N/A"),"Device ID, ","")&amp;IF(AND($CC308&lt;&gt;"Yes",$CC308&lt;&gt;"N/A"),"Epic Beans Relay, ",""))="","",LEFT(IF(AND($BR308&lt;&gt;"Yes",$BR308&lt;&gt;"N/A"),"Power Cable, ","")&amp;IF(AND($BS308&lt;&gt;"Yes",$BS308&lt;&gt;"N/A"),"Battery, ","")&amp;IF(AND($AD308&lt;&gt;"Yes",$AD308&lt;&gt;"N/A"),"Firmware Download, ","")&amp;IF(AND(OR($AD308="Yes",$AD308="N/A"),$AE308&lt;&gt;"Yes",$AE308&lt;&gt;"N/A"),"Firmware Install, ","")&amp;IF(AND($CB308&lt;&gt;"Yes",$CB308&lt;&gt;"N/A"),"Device ID, ","")&amp;IF(AND($CC308&lt;&gt;"Yes",$CC308&lt;&gt;"N/A"),"Epic Beans Relay, ",""),LEN(IF(AND($BR308&lt;&gt;"Yes",$BR308&lt;&gt;"N/A"),"Power Cable, ","")&amp;IF(AND($BS308&lt;&gt;"Yes",$BS308&lt;&gt;"N/A"),"Battery, ","")&amp;IF(AND($AD308&lt;&gt;"Yes",$AD308&lt;&gt;"N/A"),"Firmware Download, ","")&amp;IF(AND(OR($AD308="Yes",$AD308="N/A"),$AE308&lt;&gt;"Yes",$AE308&lt;&gt;"N/A"),"Firmware Install, ","")&amp;IF(AND($CB308&lt;&gt;"Yes",$CB308&lt;&gt;"N/A"),"Device ID, ","")&amp;IF(AND($CC308&lt;&gt;"Yes",$CC308&lt;&gt;"N/A"),"Epic Beans Relay, ",""))-2)))</f>
        <v/>
      </c>
      <c r="CE308">
        <f>IF($Y308="","",IF($CD308="","Yes","Blocked"))</f>
        <v/>
      </c>
      <c r="CP308">
        <f>IF($CO308="","",IFERROR(VLOOKUP($CO308,'01_Warehouse_Ledger'!$A:$N,4,FALSE),""))</f>
        <v/>
      </c>
      <c r="CQ308">
        <f>IF($CO308="","",IFERROR(VLOOKUP($CO308,'01_Warehouse_Ledger'!$A:$N,5,FALSE),""))</f>
        <v/>
      </c>
      <c r="CR308">
        <f>IF($CO308="","",IFERROR(VLOOKUP($CO308,'01_Warehouse_Ledger'!$A:$N,13,FALSE),""))</f>
        <v/>
      </c>
      <c r="CW308">
        <f>IF($S308="","",IF(UPPER(TRIM($S308))&lt;&gt;"PASS","",IF(LEN(TRIM($BY308))&gt;0,"NOTES_PRESENT",IF(LEN(TRIM($T308))=0,"SET_NA",IF(OR(LOWER(TRIM($T308))="na",LOWER(TRIM($T308))="n/a"),"OK","MANUAL_OVERRIDE")))))</f>
        <v/>
      </c>
    </row>
    <row r="309">
      <c r="A309" t="inlineStr">
        <is>
          <t>Neuron</t>
        </is>
      </c>
      <c r="B309" t="inlineStr">
        <is>
          <t>No</t>
        </is>
      </c>
      <c r="C309" t="inlineStr">
        <is>
          <t>No</t>
        </is>
      </c>
      <c r="D309">
        <f>IF($B309&lt;&gt;"Yes","",IF($C309="No","Yes",IF($C309="Yes","No","")))</f>
        <v/>
      </c>
      <c r="E309">
        <f>IF($A309="","",IF(OR(AND($V309&lt;&gt;"",LOWER(TRIM($V309))&lt;&gt;"n/a",LOWER(TRIM($V309))&lt;&gt;"na",SUMPRODUCT(--(UPPER(TRIM($V$2:$V$518))=UPPER(TRIM($V309))),--(TRIM($V$2:$V$518)&lt;&gt;""),--(LOWER(TRIM($V$2:$V$518))&lt;&gt;"n/a"),--(LOWER(TRIM($V$2:$V$518))&lt;&gt;"na"))&gt;1),AND($W309&lt;&gt;"",LOWER(TRIM($W309))&lt;&gt;"n/a",LOWER(TRIM($W309))&lt;&gt;"na",SUMPRODUCT(--(UPPER(TRIM($W$2:$W$518))=UPPER(TRIM($W309))),--(TRIM($W$2:$W$518)&lt;&gt;""),--(LOWER(TRIM($W$2:$W$518))&lt;&gt;"n/a"),--(LOWER(TRIM($W$2:$W$518))&lt;&gt;"na"))&gt;1),AND($X309&lt;&gt;"",LOWER(TRIM($X309))&lt;&gt;"n/a",LOWER(TRIM($X309))&lt;&gt;"na",SUMPRODUCT(--(UPPER(TRIM($X$2:$X$518))=UPPER(TRIM($X309))),--(TRIM($X$2:$X$518)&lt;&gt;""),--(LOWER(TRIM($X$2:$X$518))&lt;&gt;"n/a"),--(LOWER(TRIM($X$2:$X$518))&lt;&gt;"na"))&gt;1),AND($Y309&lt;&gt;"",LOWER(TRIM($Y309))&lt;&gt;"n/a",LOWER(TRIM($Y309))&lt;&gt;"na",SUMPRODUCT(--(UPPER(SUBSTITUTE(SUBSTITUTE(TRIM($Y$2:$Y$518),":",""),"-",""))=UPPER(SUBSTITUTE(SUBSTITUTE(TRIM($Y309),":",""),"-",""))),--(TRIM($Y$2:$Y$518)&lt;&gt;""),--(LOWER(TRIM($Y$2:$Y$518))&lt;&gt;"n/a"),--(LOWER(TRIM($Y$2:$Y$518))&lt;&gt;"na"))&gt;1),AND($AB309&lt;&gt;"",LOWER(TRIM($AB309))&lt;&gt;"n/a",LOWER(TRIM($AB309))&lt;&gt;"na",SUMPRODUCT(--(UPPER(TRIM($AB$2:$AB$518))=UPPER(TRIM($AB309))),--(TRIM($AB$2:$AB$518)&lt;&gt;""),--(LOWER(TRIM($AB$2:$AB$518))&lt;&gt;"n/a"),--(LOWER(TRIM($AB$2:$AB$518))&lt;&gt;"na"))&gt;1),AND($AH309&lt;&gt;"",LOWER(TRIM($AH309))&lt;&gt;"n/a",LOWER(TRIM($AH309))&lt;&gt;"na",SUMPRODUCT(--(UPPER(SUBSTITUTE(SUBSTITUTE(TRIM($AH$2:$AH$518),":",""),"-",""))=UPPER(SUBSTITUTE(SUBSTITUTE(TRIM($AH309),":",""),"-",""))),--(TRIM($AH$2:$AH$518)&lt;&gt;""),--(LOWER(TRIM($AH$2:$AH$518))&lt;&gt;"n/a"),--(LOWER(TRIM($AH$2:$AH$518))&lt;&gt;"na"))&gt;1),AND($AP309&lt;&gt;"",LOWER(TRIM($AP309))&lt;&gt;"n/a",LOWER(TRIM($AP309))&lt;&gt;"na",SUMPRODUCT(--(UPPER(TRIM($AP$2:$AP$518))=UPPER(TRIM($AP309))),--(TRIM($AP$2:$AP$518)&lt;&gt;""),--(LOWER(TRIM($AP$2:$AP$518))&lt;&gt;"n/a"),--(LOWER(TRIM($AP$2:$AP$518))&lt;&gt;"na"))&gt;1),AND($AQ309&lt;&gt;"",LOWER(TRIM($AQ309))&lt;&gt;"n/a",LOWER(TRIM($AQ309))&lt;&gt;"na",SUMPRODUCT(--(UPPER(TRIM($AQ$2:$AQ$518))=UPPER(TRIM($AQ309))),--(TRIM($AQ$2:$AQ$518)&lt;&gt;""),--(LOWER(TRIM($AQ$2:$AQ$518))&lt;&gt;"n/a"),--(LOWER(TRIM($AQ$2:$AQ$518))&lt;&gt;"na"))&gt;1)),"Yes","No"))</f>
        <v/>
      </c>
      <c r="F309">
        <f>IF(UPPER(TRIM($B309))&lt;&gt;"YES","", IF(OR(AND($V309&lt;&gt;"", LOWER(TRIM($V309))&lt;&gt;"n/a", LOWER(TRIM($V309))&lt;&gt;"na", SUMPRODUCT(--(UPPER(TRIM($V$2:$V$518))=UPPER(TRIM($V309))), --(UPPER(TRIM($B$2:$B$518))="YES"), --(UPPER(TRIM($G$2:$G$518)&amp;TRIM($I$2:$I$518)&amp;TRIM($J$2:$J$518))&lt;&gt;UPPER(TRIM($G309)&amp;TRIM($I309)&amp;TRIM($J309))))&gt;0), AND($W309&lt;&gt;"", LOWER(TRIM($W309))&lt;&gt;"n/a", LOWER(TRIM($W309))&lt;&gt;"na", SUMPRODUCT(--(UPPER(TRIM($W$2:$W$518))=UPPER(TRIM($W309))), --(UPPER(TRIM($B$2:$B$518))="YES"), --(UPPER(TRIM($G$2:$G$518)&amp;TRIM($I$2:$I$518)&amp;TRIM($J$2:$J$518))&lt;&gt;UPPER(TRIM($G309)&amp;TRIM($I309)&amp;TRIM($J309))))&gt;0), AND($X309&lt;&gt;"", LOWER(TRIM($X309))&lt;&gt;"n/a", LOWER(TRIM($X309))&lt;&gt;"na", SUMPRODUCT(--(UPPER(TRIM($X$2:$X$518))=UPPER(TRIM($X309))), --(UPPER(TRIM($B$2:$B$518))="YES"), --(UPPER(TRIM($G$2:$G$518)&amp;TRIM($I$2:$I$518)&amp;TRIM($J$2:$J$518))&lt;&gt;UPPER(TRIM($G309)&amp;TRIM($I309)&amp;TRIM($J309))))&gt;0), AND($Y309&lt;&gt;"", LOWER(TRIM($Y309))&lt;&gt;"n/a", LOWER(TRIM($Y309))&lt;&gt;"na", SUMPRODUCT(--(UPPER(SUBSTITUTE(SUBSTITUTE(TRIM($Y$2:$Y$518),":",""),"-",""))=UPPER(SUBSTITUTE(SUBSTITUTE(TRIM($Y309),":",""),"-",""))), --(UPPER(TRIM($B$2:$B$518))="YES"), --(UPPER(TRIM($G$2:$G$518)&amp;TRIM($I$2:$I$518)&amp;TRIM($J$2:$J$518))&lt;&gt;UPPER(TRIM($G309)&amp;TRIM($I309)&amp;TRIM($J309))))&gt;0), AND($AB309&lt;&gt;"", LOWER(TRIM($AB309))&lt;&gt;"n/a", LOWER(TRIM($AB309))&lt;&gt;"na", SUMPRODUCT(--(UPPER(TRIM($AB$2:$AB$518))=UPPER(TRIM($AB309))), --(UPPER(TRIM($B$2:$B$518))="YES"), --(UPPER(TRIM($G$2:$G$518)&amp;TRIM($I$2:$I$518)&amp;TRIM($J$2:$J$518))&lt;&gt;UPPER(TRIM($G309)&amp;TRIM($I309)&amp;TRIM($J309))))&gt;0), AND($AH309&lt;&gt;"", LOWER(TRIM($AH309))&lt;&gt;"n/a", LOWER(TRIM($AH309))&lt;&gt;"na", SUMPRODUCT(--(UPPER(SUBSTITUTE(SUBSTITUTE(TRIM($AH$2:$AH$518),":",""),"-",""))=UPPER(SUBSTITUTE(SUBSTITUTE(TRIM($AH309),":",""),"-",""))), --(UPPER(TRIM($B$2:$B$518))="YES"), --(UPPER(TRIM($G$2:$G$518)&amp;TRIM($I$2:$I$518)&amp;TRIM($J$2:$J$518))&lt;&gt;UPPER(TRIM($G309)&amp;TRIM($I309)&amp;TRIM($J309))))&gt;0), AND($AP309&lt;&gt;"", LOWER(TRIM($AP309))&lt;&gt;"n/a", LOWER(TRIM($AP309))&lt;&gt;"na", SUMPRODUCT(--(UPPER(TRIM($AP$2:$AP$518))=UPPER(TRIM($AP309))), --(UPPER(TRIM($B$2:$B$518))="YES"), --(UPPER(TRIM($G$2:$G$518)&amp;TRIM($I$2:$I$518)&amp;TRIM($J$2:$J$518))&lt;&gt;UPPER(TRIM($G309)&amp;TRIM($I309)&amp;TRIM($J309))))&gt;0), AND($AQ309&lt;&gt;"", LOWER(TRIM($AQ309))&lt;&gt;"n/a", LOWER(TRIM($AQ309))&lt;&gt;"na", SUMPRODUCT(--(UPPER(TRIM($AQ$2:$AQ$518))=UPPER(TRIM($AQ309))), --(UPPER(TRIM($B$2:$B$518))="YES"), --(UPPER(TRIM($G$2:$G$518)&amp;TRIM($I$2:$I$518)&amp;TRIM($J$2:$J$518))&lt;&gt;UPPER(TRIM($G309)&amp;TRIM($I309)&amp;TRIM($J309))))&gt;0)), "Yes", "No"))</f>
        <v/>
      </c>
      <c r="X309" t="inlineStr">
        <is>
          <t>NSUH-MACH-AK</t>
        </is>
      </c>
      <c r="Y309" t="inlineStr">
        <is>
          <t>A0F5097FA55E</t>
        </is>
      </c>
      <c r="AB309" t="inlineStr">
        <is>
          <t>WA23C03906</t>
        </is>
      </c>
      <c r="CD309">
        <f>IF($Y309="","",IF((IF(AND($BR309&lt;&gt;"Yes",$BR309&lt;&gt;"N/A"),"Power Cable, ","")&amp;IF(AND($BS309&lt;&gt;"Yes",$BS309&lt;&gt;"N/A"),"Battery, ","")&amp;IF(AND($AD309&lt;&gt;"Yes",$AD309&lt;&gt;"N/A"),"Firmware Download, ","")&amp;IF(AND(OR($AD309="Yes",$AD309="N/A"),$AE309&lt;&gt;"Yes",$AE309&lt;&gt;"N/A"),"Firmware Install, ","")&amp;IF(AND($CB309&lt;&gt;"Yes",$CB309&lt;&gt;"N/A"),"Device ID, ","")&amp;IF(AND($CC309&lt;&gt;"Yes",$CC309&lt;&gt;"N/A"),"Epic Beans Relay, ",""))="","",LEFT(IF(AND($BR309&lt;&gt;"Yes",$BR309&lt;&gt;"N/A"),"Power Cable, ","")&amp;IF(AND($BS309&lt;&gt;"Yes",$BS309&lt;&gt;"N/A"),"Battery, ","")&amp;IF(AND($AD309&lt;&gt;"Yes",$AD309&lt;&gt;"N/A"),"Firmware Download, ","")&amp;IF(AND(OR($AD309="Yes",$AD309="N/A"),$AE309&lt;&gt;"Yes",$AE309&lt;&gt;"N/A"),"Firmware Install, ","")&amp;IF(AND($CB309&lt;&gt;"Yes",$CB309&lt;&gt;"N/A"),"Device ID, ","")&amp;IF(AND($CC309&lt;&gt;"Yes",$CC309&lt;&gt;"N/A"),"Epic Beans Relay, ",""),LEN(IF(AND($BR309&lt;&gt;"Yes",$BR309&lt;&gt;"N/A"),"Power Cable, ","")&amp;IF(AND($BS309&lt;&gt;"Yes",$BS309&lt;&gt;"N/A"),"Battery, ","")&amp;IF(AND($AD309&lt;&gt;"Yes",$AD309&lt;&gt;"N/A"),"Firmware Download, ","")&amp;IF(AND(OR($AD309="Yes",$AD309="N/A"),$AE309&lt;&gt;"Yes",$AE309&lt;&gt;"N/A"),"Firmware Install, ","")&amp;IF(AND($CB309&lt;&gt;"Yes",$CB309&lt;&gt;"N/A"),"Device ID, ","")&amp;IF(AND($CC309&lt;&gt;"Yes",$CC309&lt;&gt;"N/A"),"Epic Beans Relay, ",""))-2)))</f>
        <v/>
      </c>
      <c r="CE309">
        <f>IF($Y309="","",IF($CD309="","Yes","Blocked"))</f>
        <v/>
      </c>
      <c r="CP309">
        <f>IF($CO309="","",IFERROR(VLOOKUP($CO309,'01_Warehouse_Ledger'!$A:$N,4,FALSE),""))</f>
        <v/>
      </c>
      <c r="CQ309">
        <f>IF($CO309="","",IFERROR(VLOOKUP($CO309,'01_Warehouse_Ledger'!$A:$N,5,FALSE),""))</f>
        <v/>
      </c>
      <c r="CR309">
        <f>IF($CO309="","",IFERROR(VLOOKUP($CO309,'01_Warehouse_Ledger'!$A:$N,13,FALSE),""))</f>
        <v/>
      </c>
      <c r="CW309">
        <f>IF($S309="","",IF(UPPER(TRIM($S309))&lt;&gt;"PASS","",IF(LEN(TRIM($BY309))&gt;0,"NOTES_PRESENT",IF(LEN(TRIM($T309))=0,"SET_NA",IF(OR(LOWER(TRIM($T309))="na",LOWER(TRIM($T309))="n/a"),"OK","MANUAL_OVERRIDE")))))</f>
        <v/>
      </c>
    </row>
    <row r="310">
      <c r="A310" t="inlineStr">
        <is>
          <t>Neuron</t>
        </is>
      </c>
      <c r="B310" t="inlineStr">
        <is>
          <t>No</t>
        </is>
      </c>
      <c r="C310" t="inlineStr">
        <is>
          <t>No</t>
        </is>
      </c>
      <c r="D310">
        <f>IF($B310&lt;&gt;"Yes","",IF($C310="No","Yes",IF($C310="Yes","No","")))</f>
        <v/>
      </c>
      <c r="E310">
        <f>IF($A310="","",IF(OR(AND($V310&lt;&gt;"",LOWER(TRIM($V310))&lt;&gt;"n/a",LOWER(TRIM($V310))&lt;&gt;"na",SUMPRODUCT(--(UPPER(TRIM($V$2:$V$518))=UPPER(TRIM($V310))),--(TRIM($V$2:$V$518)&lt;&gt;""),--(LOWER(TRIM($V$2:$V$518))&lt;&gt;"n/a"),--(LOWER(TRIM($V$2:$V$518))&lt;&gt;"na"))&gt;1),AND($W310&lt;&gt;"",LOWER(TRIM($W310))&lt;&gt;"n/a",LOWER(TRIM($W310))&lt;&gt;"na",SUMPRODUCT(--(UPPER(TRIM($W$2:$W$518))=UPPER(TRIM($W310))),--(TRIM($W$2:$W$518)&lt;&gt;""),--(LOWER(TRIM($W$2:$W$518))&lt;&gt;"n/a"),--(LOWER(TRIM($W$2:$W$518))&lt;&gt;"na"))&gt;1),AND($X310&lt;&gt;"",LOWER(TRIM($X310))&lt;&gt;"n/a",LOWER(TRIM($X310))&lt;&gt;"na",SUMPRODUCT(--(UPPER(TRIM($X$2:$X$518))=UPPER(TRIM($X310))),--(TRIM($X$2:$X$518)&lt;&gt;""),--(LOWER(TRIM($X$2:$X$518))&lt;&gt;"n/a"),--(LOWER(TRIM($X$2:$X$518))&lt;&gt;"na"))&gt;1),AND($Y310&lt;&gt;"",LOWER(TRIM($Y310))&lt;&gt;"n/a",LOWER(TRIM($Y310))&lt;&gt;"na",SUMPRODUCT(--(UPPER(SUBSTITUTE(SUBSTITUTE(TRIM($Y$2:$Y$518),":",""),"-",""))=UPPER(SUBSTITUTE(SUBSTITUTE(TRIM($Y310),":",""),"-",""))),--(TRIM($Y$2:$Y$518)&lt;&gt;""),--(LOWER(TRIM($Y$2:$Y$518))&lt;&gt;"n/a"),--(LOWER(TRIM($Y$2:$Y$518))&lt;&gt;"na"))&gt;1),AND($AB310&lt;&gt;"",LOWER(TRIM($AB310))&lt;&gt;"n/a",LOWER(TRIM($AB310))&lt;&gt;"na",SUMPRODUCT(--(UPPER(TRIM($AB$2:$AB$518))=UPPER(TRIM($AB310))),--(TRIM($AB$2:$AB$518)&lt;&gt;""),--(LOWER(TRIM($AB$2:$AB$518))&lt;&gt;"n/a"),--(LOWER(TRIM($AB$2:$AB$518))&lt;&gt;"na"))&gt;1),AND($AH310&lt;&gt;"",LOWER(TRIM($AH310))&lt;&gt;"n/a",LOWER(TRIM($AH310))&lt;&gt;"na",SUMPRODUCT(--(UPPER(SUBSTITUTE(SUBSTITUTE(TRIM($AH$2:$AH$518),":",""),"-",""))=UPPER(SUBSTITUTE(SUBSTITUTE(TRIM($AH310),":",""),"-",""))),--(TRIM($AH$2:$AH$518)&lt;&gt;""),--(LOWER(TRIM($AH$2:$AH$518))&lt;&gt;"n/a"),--(LOWER(TRIM($AH$2:$AH$518))&lt;&gt;"na"))&gt;1),AND($AP310&lt;&gt;"",LOWER(TRIM($AP310))&lt;&gt;"n/a",LOWER(TRIM($AP310))&lt;&gt;"na",SUMPRODUCT(--(UPPER(TRIM($AP$2:$AP$518))=UPPER(TRIM($AP310))),--(TRIM($AP$2:$AP$518)&lt;&gt;""),--(LOWER(TRIM($AP$2:$AP$518))&lt;&gt;"n/a"),--(LOWER(TRIM($AP$2:$AP$518))&lt;&gt;"na"))&gt;1),AND($AQ310&lt;&gt;"",LOWER(TRIM($AQ310))&lt;&gt;"n/a",LOWER(TRIM($AQ310))&lt;&gt;"na",SUMPRODUCT(--(UPPER(TRIM($AQ$2:$AQ$518))=UPPER(TRIM($AQ310))),--(TRIM($AQ$2:$AQ$518)&lt;&gt;""),--(LOWER(TRIM($AQ$2:$AQ$518))&lt;&gt;"n/a"),--(LOWER(TRIM($AQ$2:$AQ$518))&lt;&gt;"na"))&gt;1)),"Yes","No"))</f>
        <v/>
      </c>
      <c r="F310">
        <f>IF(UPPER(TRIM($B310))&lt;&gt;"YES","", IF(OR(AND($V310&lt;&gt;"", LOWER(TRIM($V310))&lt;&gt;"n/a", LOWER(TRIM($V310))&lt;&gt;"na", SUMPRODUCT(--(UPPER(TRIM($V$2:$V$518))=UPPER(TRIM($V310))), --(UPPER(TRIM($B$2:$B$518))="YES"), --(UPPER(TRIM($G$2:$G$518)&amp;TRIM($I$2:$I$518)&amp;TRIM($J$2:$J$518))&lt;&gt;UPPER(TRIM($G310)&amp;TRIM($I310)&amp;TRIM($J310))))&gt;0), AND($W310&lt;&gt;"", LOWER(TRIM($W310))&lt;&gt;"n/a", LOWER(TRIM($W310))&lt;&gt;"na", SUMPRODUCT(--(UPPER(TRIM($W$2:$W$518))=UPPER(TRIM($W310))), --(UPPER(TRIM($B$2:$B$518))="YES"), --(UPPER(TRIM($G$2:$G$518)&amp;TRIM($I$2:$I$518)&amp;TRIM($J$2:$J$518))&lt;&gt;UPPER(TRIM($G310)&amp;TRIM($I310)&amp;TRIM($J310))))&gt;0), AND($X310&lt;&gt;"", LOWER(TRIM($X310))&lt;&gt;"n/a", LOWER(TRIM($X310))&lt;&gt;"na", SUMPRODUCT(--(UPPER(TRIM($X$2:$X$518))=UPPER(TRIM($X310))), --(UPPER(TRIM($B$2:$B$518))="YES"), --(UPPER(TRIM($G$2:$G$518)&amp;TRIM($I$2:$I$518)&amp;TRIM($J$2:$J$518))&lt;&gt;UPPER(TRIM($G310)&amp;TRIM($I310)&amp;TRIM($J310))))&gt;0), AND($Y310&lt;&gt;"", LOWER(TRIM($Y310))&lt;&gt;"n/a", LOWER(TRIM($Y310))&lt;&gt;"na", SUMPRODUCT(--(UPPER(SUBSTITUTE(SUBSTITUTE(TRIM($Y$2:$Y$518),":",""),"-",""))=UPPER(SUBSTITUTE(SUBSTITUTE(TRIM($Y310),":",""),"-",""))), --(UPPER(TRIM($B$2:$B$518))="YES"), --(UPPER(TRIM($G$2:$G$518)&amp;TRIM($I$2:$I$518)&amp;TRIM($J$2:$J$518))&lt;&gt;UPPER(TRIM($G310)&amp;TRIM($I310)&amp;TRIM($J310))))&gt;0), AND($AB310&lt;&gt;"", LOWER(TRIM($AB310))&lt;&gt;"n/a", LOWER(TRIM($AB310))&lt;&gt;"na", SUMPRODUCT(--(UPPER(TRIM($AB$2:$AB$518))=UPPER(TRIM($AB310))), --(UPPER(TRIM($B$2:$B$518))="YES"), --(UPPER(TRIM($G$2:$G$518)&amp;TRIM($I$2:$I$518)&amp;TRIM($J$2:$J$518))&lt;&gt;UPPER(TRIM($G310)&amp;TRIM($I310)&amp;TRIM($J310))))&gt;0), AND($AH310&lt;&gt;"", LOWER(TRIM($AH310))&lt;&gt;"n/a", LOWER(TRIM($AH310))&lt;&gt;"na", SUMPRODUCT(--(UPPER(SUBSTITUTE(SUBSTITUTE(TRIM($AH$2:$AH$518),":",""),"-",""))=UPPER(SUBSTITUTE(SUBSTITUTE(TRIM($AH310),":",""),"-",""))), --(UPPER(TRIM($B$2:$B$518))="YES"), --(UPPER(TRIM($G$2:$G$518)&amp;TRIM($I$2:$I$518)&amp;TRIM($J$2:$J$518))&lt;&gt;UPPER(TRIM($G310)&amp;TRIM($I310)&amp;TRIM($J310))))&gt;0), AND($AP310&lt;&gt;"", LOWER(TRIM($AP310))&lt;&gt;"n/a", LOWER(TRIM($AP310))&lt;&gt;"na", SUMPRODUCT(--(UPPER(TRIM($AP$2:$AP$518))=UPPER(TRIM($AP310))), --(UPPER(TRIM($B$2:$B$518))="YES"), --(UPPER(TRIM($G$2:$G$518)&amp;TRIM($I$2:$I$518)&amp;TRIM($J$2:$J$518))&lt;&gt;UPPER(TRIM($G310)&amp;TRIM($I310)&amp;TRIM($J310))))&gt;0), AND($AQ310&lt;&gt;"", LOWER(TRIM($AQ310))&lt;&gt;"n/a", LOWER(TRIM($AQ310))&lt;&gt;"na", SUMPRODUCT(--(UPPER(TRIM($AQ$2:$AQ$518))=UPPER(TRIM($AQ310))), --(UPPER(TRIM($B$2:$B$518))="YES"), --(UPPER(TRIM($G$2:$G$518)&amp;TRIM($I$2:$I$518)&amp;TRIM($J$2:$J$518))&lt;&gt;UPPER(TRIM($G310)&amp;TRIM($I310)&amp;TRIM($J310))))&gt;0)), "Yes", "No"))</f>
        <v/>
      </c>
      <c r="X310" t="inlineStr">
        <is>
          <t>NSUH-MACH-AL</t>
        </is>
      </c>
      <c r="Y310" t="inlineStr">
        <is>
          <t>A0F5097FDE43</t>
        </is>
      </c>
      <c r="AB310" t="inlineStr">
        <is>
          <t>WA24406146</t>
        </is>
      </c>
      <c r="CD310">
        <f>IF($Y310="","",IF((IF(AND($BR310&lt;&gt;"Yes",$BR310&lt;&gt;"N/A"),"Power Cable, ","")&amp;IF(AND($BS310&lt;&gt;"Yes",$BS310&lt;&gt;"N/A"),"Battery, ","")&amp;IF(AND($AD310&lt;&gt;"Yes",$AD310&lt;&gt;"N/A"),"Firmware Download, ","")&amp;IF(AND(OR($AD310="Yes",$AD310="N/A"),$AE310&lt;&gt;"Yes",$AE310&lt;&gt;"N/A"),"Firmware Install, ","")&amp;IF(AND($CB310&lt;&gt;"Yes",$CB310&lt;&gt;"N/A"),"Device ID, ","")&amp;IF(AND($CC310&lt;&gt;"Yes",$CC310&lt;&gt;"N/A"),"Epic Beans Relay, ",""))="","",LEFT(IF(AND($BR310&lt;&gt;"Yes",$BR310&lt;&gt;"N/A"),"Power Cable, ","")&amp;IF(AND($BS310&lt;&gt;"Yes",$BS310&lt;&gt;"N/A"),"Battery, ","")&amp;IF(AND($AD310&lt;&gt;"Yes",$AD310&lt;&gt;"N/A"),"Firmware Download, ","")&amp;IF(AND(OR($AD310="Yes",$AD310="N/A"),$AE310&lt;&gt;"Yes",$AE310&lt;&gt;"N/A"),"Firmware Install, ","")&amp;IF(AND($CB310&lt;&gt;"Yes",$CB310&lt;&gt;"N/A"),"Device ID, ","")&amp;IF(AND($CC310&lt;&gt;"Yes",$CC310&lt;&gt;"N/A"),"Epic Beans Relay, ",""),LEN(IF(AND($BR310&lt;&gt;"Yes",$BR310&lt;&gt;"N/A"),"Power Cable, ","")&amp;IF(AND($BS310&lt;&gt;"Yes",$BS310&lt;&gt;"N/A"),"Battery, ","")&amp;IF(AND($AD310&lt;&gt;"Yes",$AD310&lt;&gt;"N/A"),"Firmware Download, ","")&amp;IF(AND(OR($AD310="Yes",$AD310="N/A"),$AE310&lt;&gt;"Yes",$AE310&lt;&gt;"N/A"),"Firmware Install, ","")&amp;IF(AND($CB310&lt;&gt;"Yes",$CB310&lt;&gt;"N/A"),"Device ID, ","")&amp;IF(AND($CC310&lt;&gt;"Yes",$CC310&lt;&gt;"N/A"),"Epic Beans Relay, ",""))-2)))</f>
        <v/>
      </c>
      <c r="CE310">
        <f>IF($Y310="","",IF($CD310="","Yes","Blocked"))</f>
        <v/>
      </c>
      <c r="CP310">
        <f>IF($CO310="","",IFERROR(VLOOKUP($CO310,'01_Warehouse_Ledger'!$A:$N,4,FALSE),""))</f>
        <v/>
      </c>
      <c r="CQ310">
        <f>IF($CO310="","",IFERROR(VLOOKUP($CO310,'01_Warehouse_Ledger'!$A:$N,5,FALSE),""))</f>
        <v/>
      </c>
      <c r="CR310">
        <f>IF($CO310="","",IFERROR(VLOOKUP($CO310,'01_Warehouse_Ledger'!$A:$N,13,FALSE),""))</f>
        <v/>
      </c>
      <c r="CW310">
        <f>IF($S310="","",IF(UPPER(TRIM($S310))&lt;&gt;"PASS","",IF(LEN(TRIM($BY310))&gt;0,"NOTES_PRESENT",IF(LEN(TRIM($T310))=0,"SET_NA",IF(OR(LOWER(TRIM($T310))="na",LOWER(TRIM($T310))="n/a"),"OK","MANUAL_OVERRIDE")))))</f>
        <v/>
      </c>
    </row>
    <row r="311">
      <c r="A311" t="inlineStr">
        <is>
          <t>Neuron</t>
        </is>
      </c>
      <c r="B311" t="inlineStr">
        <is>
          <t>No</t>
        </is>
      </c>
      <c r="C311" t="inlineStr">
        <is>
          <t>No</t>
        </is>
      </c>
      <c r="D311">
        <f>IF($B311&lt;&gt;"Yes","",IF($C311="No","Yes",IF($C311="Yes","No","")))</f>
        <v/>
      </c>
      <c r="E311">
        <f>IF($A311="","",IF(OR(AND($V311&lt;&gt;"",LOWER(TRIM($V311))&lt;&gt;"n/a",LOWER(TRIM($V311))&lt;&gt;"na",SUMPRODUCT(--(UPPER(TRIM($V$2:$V$518))=UPPER(TRIM($V311))),--(TRIM($V$2:$V$518)&lt;&gt;""),--(LOWER(TRIM($V$2:$V$518))&lt;&gt;"n/a"),--(LOWER(TRIM($V$2:$V$518))&lt;&gt;"na"))&gt;1),AND($W311&lt;&gt;"",LOWER(TRIM($W311))&lt;&gt;"n/a",LOWER(TRIM($W311))&lt;&gt;"na",SUMPRODUCT(--(UPPER(TRIM($W$2:$W$518))=UPPER(TRIM($W311))),--(TRIM($W$2:$W$518)&lt;&gt;""),--(LOWER(TRIM($W$2:$W$518))&lt;&gt;"n/a"),--(LOWER(TRIM($W$2:$W$518))&lt;&gt;"na"))&gt;1),AND($X311&lt;&gt;"",LOWER(TRIM($X311))&lt;&gt;"n/a",LOWER(TRIM($X311))&lt;&gt;"na",SUMPRODUCT(--(UPPER(TRIM($X$2:$X$518))=UPPER(TRIM($X311))),--(TRIM($X$2:$X$518)&lt;&gt;""),--(LOWER(TRIM($X$2:$X$518))&lt;&gt;"n/a"),--(LOWER(TRIM($X$2:$X$518))&lt;&gt;"na"))&gt;1),AND($Y311&lt;&gt;"",LOWER(TRIM($Y311))&lt;&gt;"n/a",LOWER(TRIM($Y311))&lt;&gt;"na",SUMPRODUCT(--(UPPER(SUBSTITUTE(SUBSTITUTE(TRIM($Y$2:$Y$518),":",""),"-",""))=UPPER(SUBSTITUTE(SUBSTITUTE(TRIM($Y311),":",""),"-",""))),--(TRIM($Y$2:$Y$518)&lt;&gt;""),--(LOWER(TRIM($Y$2:$Y$518))&lt;&gt;"n/a"),--(LOWER(TRIM($Y$2:$Y$518))&lt;&gt;"na"))&gt;1),AND($AB311&lt;&gt;"",LOWER(TRIM($AB311))&lt;&gt;"n/a",LOWER(TRIM($AB311))&lt;&gt;"na",SUMPRODUCT(--(UPPER(TRIM($AB$2:$AB$518))=UPPER(TRIM($AB311))),--(TRIM($AB$2:$AB$518)&lt;&gt;""),--(LOWER(TRIM($AB$2:$AB$518))&lt;&gt;"n/a"),--(LOWER(TRIM($AB$2:$AB$518))&lt;&gt;"na"))&gt;1),AND($AH311&lt;&gt;"",LOWER(TRIM($AH311))&lt;&gt;"n/a",LOWER(TRIM($AH311))&lt;&gt;"na",SUMPRODUCT(--(UPPER(SUBSTITUTE(SUBSTITUTE(TRIM($AH$2:$AH$518),":",""),"-",""))=UPPER(SUBSTITUTE(SUBSTITUTE(TRIM($AH311),":",""),"-",""))),--(TRIM($AH$2:$AH$518)&lt;&gt;""),--(LOWER(TRIM($AH$2:$AH$518))&lt;&gt;"n/a"),--(LOWER(TRIM($AH$2:$AH$518))&lt;&gt;"na"))&gt;1),AND($AP311&lt;&gt;"",LOWER(TRIM($AP311))&lt;&gt;"n/a",LOWER(TRIM($AP311))&lt;&gt;"na",SUMPRODUCT(--(UPPER(TRIM($AP$2:$AP$518))=UPPER(TRIM($AP311))),--(TRIM($AP$2:$AP$518)&lt;&gt;""),--(LOWER(TRIM($AP$2:$AP$518))&lt;&gt;"n/a"),--(LOWER(TRIM($AP$2:$AP$518))&lt;&gt;"na"))&gt;1),AND($AQ311&lt;&gt;"",LOWER(TRIM($AQ311))&lt;&gt;"n/a",LOWER(TRIM($AQ311))&lt;&gt;"na",SUMPRODUCT(--(UPPER(TRIM($AQ$2:$AQ$518))=UPPER(TRIM($AQ311))),--(TRIM($AQ$2:$AQ$518)&lt;&gt;""),--(LOWER(TRIM($AQ$2:$AQ$518))&lt;&gt;"n/a"),--(LOWER(TRIM($AQ$2:$AQ$518))&lt;&gt;"na"))&gt;1)),"Yes","No"))</f>
        <v/>
      </c>
      <c r="F311">
        <f>IF(UPPER(TRIM($B311))&lt;&gt;"YES","", IF(OR(AND($V311&lt;&gt;"", LOWER(TRIM($V311))&lt;&gt;"n/a", LOWER(TRIM($V311))&lt;&gt;"na", SUMPRODUCT(--(UPPER(TRIM($V$2:$V$518))=UPPER(TRIM($V311))), --(UPPER(TRIM($B$2:$B$518))="YES"), --(UPPER(TRIM($G$2:$G$518)&amp;TRIM($I$2:$I$518)&amp;TRIM($J$2:$J$518))&lt;&gt;UPPER(TRIM($G311)&amp;TRIM($I311)&amp;TRIM($J311))))&gt;0), AND($W311&lt;&gt;"", LOWER(TRIM($W311))&lt;&gt;"n/a", LOWER(TRIM($W311))&lt;&gt;"na", SUMPRODUCT(--(UPPER(TRIM($W$2:$W$518))=UPPER(TRIM($W311))), --(UPPER(TRIM($B$2:$B$518))="YES"), --(UPPER(TRIM($G$2:$G$518)&amp;TRIM($I$2:$I$518)&amp;TRIM($J$2:$J$518))&lt;&gt;UPPER(TRIM($G311)&amp;TRIM($I311)&amp;TRIM($J311))))&gt;0), AND($X311&lt;&gt;"", LOWER(TRIM($X311))&lt;&gt;"n/a", LOWER(TRIM($X311))&lt;&gt;"na", SUMPRODUCT(--(UPPER(TRIM($X$2:$X$518))=UPPER(TRIM($X311))), --(UPPER(TRIM($B$2:$B$518))="YES"), --(UPPER(TRIM($G$2:$G$518)&amp;TRIM($I$2:$I$518)&amp;TRIM($J$2:$J$518))&lt;&gt;UPPER(TRIM($G311)&amp;TRIM($I311)&amp;TRIM($J311))))&gt;0), AND($Y311&lt;&gt;"", LOWER(TRIM($Y311))&lt;&gt;"n/a", LOWER(TRIM($Y311))&lt;&gt;"na", SUMPRODUCT(--(UPPER(SUBSTITUTE(SUBSTITUTE(TRIM($Y$2:$Y$518),":",""),"-",""))=UPPER(SUBSTITUTE(SUBSTITUTE(TRIM($Y311),":",""),"-",""))), --(UPPER(TRIM($B$2:$B$518))="YES"), --(UPPER(TRIM($G$2:$G$518)&amp;TRIM($I$2:$I$518)&amp;TRIM($J$2:$J$518))&lt;&gt;UPPER(TRIM($G311)&amp;TRIM($I311)&amp;TRIM($J311))))&gt;0), AND($AB311&lt;&gt;"", LOWER(TRIM($AB311))&lt;&gt;"n/a", LOWER(TRIM($AB311))&lt;&gt;"na", SUMPRODUCT(--(UPPER(TRIM($AB$2:$AB$518))=UPPER(TRIM($AB311))), --(UPPER(TRIM($B$2:$B$518))="YES"), --(UPPER(TRIM($G$2:$G$518)&amp;TRIM($I$2:$I$518)&amp;TRIM($J$2:$J$518))&lt;&gt;UPPER(TRIM($G311)&amp;TRIM($I311)&amp;TRIM($J311))))&gt;0), AND($AH311&lt;&gt;"", LOWER(TRIM($AH311))&lt;&gt;"n/a", LOWER(TRIM($AH311))&lt;&gt;"na", SUMPRODUCT(--(UPPER(SUBSTITUTE(SUBSTITUTE(TRIM($AH$2:$AH$518),":",""),"-",""))=UPPER(SUBSTITUTE(SUBSTITUTE(TRIM($AH311),":",""),"-",""))), --(UPPER(TRIM($B$2:$B$518))="YES"), --(UPPER(TRIM($G$2:$G$518)&amp;TRIM($I$2:$I$518)&amp;TRIM($J$2:$J$518))&lt;&gt;UPPER(TRIM($G311)&amp;TRIM($I311)&amp;TRIM($J311))))&gt;0), AND($AP311&lt;&gt;"", LOWER(TRIM($AP311))&lt;&gt;"n/a", LOWER(TRIM($AP311))&lt;&gt;"na", SUMPRODUCT(--(UPPER(TRIM($AP$2:$AP$518))=UPPER(TRIM($AP311))), --(UPPER(TRIM($B$2:$B$518))="YES"), --(UPPER(TRIM($G$2:$G$518)&amp;TRIM($I$2:$I$518)&amp;TRIM($J$2:$J$518))&lt;&gt;UPPER(TRIM($G311)&amp;TRIM($I311)&amp;TRIM($J311))))&gt;0), AND($AQ311&lt;&gt;"", LOWER(TRIM($AQ311))&lt;&gt;"n/a", LOWER(TRIM($AQ311))&lt;&gt;"na", SUMPRODUCT(--(UPPER(TRIM($AQ$2:$AQ$518))=UPPER(TRIM($AQ311))), --(UPPER(TRIM($B$2:$B$518))="YES"), --(UPPER(TRIM($G$2:$G$518)&amp;TRIM($I$2:$I$518)&amp;TRIM($J$2:$J$518))&lt;&gt;UPPER(TRIM($G311)&amp;TRIM($I311)&amp;TRIM($J311))))&gt;0)), "Yes", "No"))</f>
        <v/>
      </c>
      <c r="G311" t="inlineStr">
        <is>
          <t>1 Marcus</t>
        </is>
      </c>
      <c r="H311" t="inlineStr">
        <is>
          <t>LIJFH</t>
        </is>
      </c>
      <c r="X311" t="inlineStr">
        <is>
          <t>LFH-MACH-AAA</t>
        </is>
      </c>
      <c r="Y311" t="inlineStr">
        <is>
          <t>A0F5097FE1C4</t>
        </is>
      </c>
      <c r="AB311" t="inlineStr">
        <is>
          <t>WA24406216</t>
        </is>
      </c>
      <c r="CD311">
        <f>IF($Y311="","",IF((IF(AND($BR311&lt;&gt;"Yes",$BR311&lt;&gt;"N/A"),"Power Cable, ","")&amp;IF(AND($BS311&lt;&gt;"Yes",$BS311&lt;&gt;"N/A"),"Battery, ","")&amp;IF(AND($AD311&lt;&gt;"Yes",$AD311&lt;&gt;"N/A"),"Firmware Download, ","")&amp;IF(AND(OR($AD311="Yes",$AD311="N/A"),$AE311&lt;&gt;"Yes",$AE311&lt;&gt;"N/A"),"Firmware Install, ","")&amp;IF(AND($CB311&lt;&gt;"Yes",$CB311&lt;&gt;"N/A"),"Device ID, ","")&amp;IF(AND($CC311&lt;&gt;"Yes",$CC311&lt;&gt;"N/A"),"Epic Beans Relay, ",""))="","",LEFT(IF(AND($BR311&lt;&gt;"Yes",$BR311&lt;&gt;"N/A"),"Power Cable, ","")&amp;IF(AND($BS311&lt;&gt;"Yes",$BS311&lt;&gt;"N/A"),"Battery, ","")&amp;IF(AND($AD311&lt;&gt;"Yes",$AD311&lt;&gt;"N/A"),"Firmware Download, ","")&amp;IF(AND(OR($AD311="Yes",$AD311="N/A"),$AE311&lt;&gt;"Yes",$AE311&lt;&gt;"N/A"),"Firmware Install, ","")&amp;IF(AND($CB311&lt;&gt;"Yes",$CB311&lt;&gt;"N/A"),"Device ID, ","")&amp;IF(AND($CC311&lt;&gt;"Yes",$CC311&lt;&gt;"N/A"),"Epic Beans Relay, ",""),LEN(IF(AND($BR311&lt;&gt;"Yes",$BR311&lt;&gt;"N/A"),"Power Cable, ","")&amp;IF(AND($BS311&lt;&gt;"Yes",$BS311&lt;&gt;"N/A"),"Battery, ","")&amp;IF(AND($AD311&lt;&gt;"Yes",$AD311&lt;&gt;"N/A"),"Firmware Download, ","")&amp;IF(AND(OR($AD311="Yes",$AD311="N/A"),$AE311&lt;&gt;"Yes",$AE311&lt;&gt;"N/A"),"Firmware Install, ","")&amp;IF(AND($CB311&lt;&gt;"Yes",$CB311&lt;&gt;"N/A"),"Device ID, ","")&amp;IF(AND($CC311&lt;&gt;"Yes",$CC311&lt;&gt;"N/A"),"Epic Beans Relay, ",""))-2)))</f>
        <v/>
      </c>
      <c r="CE311">
        <f>IF($Y311="","",IF($CD311="","Yes","Blocked"))</f>
        <v/>
      </c>
      <c r="CP311">
        <f>IF($CO311="","",IFERROR(VLOOKUP($CO311,'01_Warehouse_Ledger'!$A:$N,4,FALSE),""))</f>
        <v/>
      </c>
      <c r="CQ311">
        <f>IF($CO311="","",IFERROR(VLOOKUP($CO311,'01_Warehouse_Ledger'!$A:$N,5,FALSE),""))</f>
        <v/>
      </c>
      <c r="CR311">
        <f>IF($CO311="","",IFERROR(VLOOKUP($CO311,'01_Warehouse_Ledger'!$A:$N,13,FALSE),""))</f>
        <v/>
      </c>
      <c r="CW311">
        <f>IF($S311="","",IF(UPPER(TRIM($S311))&lt;&gt;"PASS","",IF(LEN(TRIM($BY311))&gt;0,"NOTES_PRESENT",IF(LEN(TRIM($T311))=0,"SET_NA",IF(OR(LOWER(TRIM($T311))="na",LOWER(TRIM($T311))="n/a"),"OK","MANUAL_OVERRIDE")))))</f>
        <v/>
      </c>
    </row>
    <row r="312">
      <c r="A312" t="inlineStr">
        <is>
          <t>Neuron</t>
        </is>
      </c>
      <c r="B312" t="inlineStr">
        <is>
          <t>No</t>
        </is>
      </c>
      <c r="C312" t="inlineStr">
        <is>
          <t>No</t>
        </is>
      </c>
      <c r="D312">
        <f>IF($B312&lt;&gt;"Yes","",IF($C312="No","Yes",IF($C312="Yes","No","")))</f>
        <v/>
      </c>
      <c r="E312">
        <f>IF($A312="","",IF(OR(AND($V312&lt;&gt;"",LOWER(TRIM($V312))&lt;&gt;"n/a",LOWER(TRIM($V312))&lt;&gt;"na",SUMPRODUCT(--(UPPER(TRIM($V$2:$V$518))=UPPER(TRIM($V312))),--(TRIM($V$2:$V$518)&lt;&gt;""),--(LOWER(TRIM($V$2:$V$518))&lt;&gt;"n/a"),--(LOWER(TRIM($V$2:$V$518))&lt;&gt;"na"))&gt;1),AND($W312&lt;&gt;"",LOWER(TRIM($W312))&lt;&gt;"n/a",LOWER(TRIM($W312))&lt;&gt;"na",SUMPRODUCT(--(UPPER(TRIM($W$2:$W$518))=UPPER(TRIM($W312))),--(TRIM($W$2:$W$518)&lt;&gt;""),--(LOWER(TRIM($W$2:$W$518))&lt;&gt;"n/a"),--(LOWER(TRIM($W$2:$W$518))&lt;&gt;"na"))&gt;1),AND($X312&lt;&gt;"",LOWER(TRIM($X312))&lt;&gt;"n/a",LOWER(TRIM($X312))&lt;&gt;"na",SUMPRODUCT(--(UPPER(TRIM($X$2:$X$518))=UPPER(TRIM($X312))),--(TRIM($X$2:$X$518)&lt;&gt;""),--(LOWER(TRIM($X$2:$X$518))&lt;&gt;"n/a"),--(LOWER(TRIM($X$2:$X$518))&lt;&gt;"na"))&gt;1),AND($Y312&lt;&gt;"",LOWER(TRIM($Y312))&lt;&gt;"n/a",LOWER(TRIM($Y312))&lt;&gt;"na",SUMPRODUCT(--(UPPER(SUBSTITUTE(SUBSTITUTE(TRIM($Y$2:$Y$518),":",""),"-",""))=UPPER(SUBSTITUTE(SUBSTITUTE(TRIM($Y312),":",""),"-",""))),--(TRIM($Y$2:$Y$518)&lt;&gt;""),--(LOWER(TRIM($Y$2:$Y$518))&lt;&gt;"n/a"),--(LOWER(TRIM($Y$2:$Y$518))&lt;&gt;"na"))&gt;1),AND($AB312&lt;&gt;"",LOWER(TRIM($AB312))&lt;&gt;"n/a",LOWER(TRIM($AB312))&lt;&gt;"na",SUMPRODUCT(--(UPPER(TRIM($AB$2:$AB$518))=UPPER(TRIM($AB312))),--(TRIM($AB$2:$AB$518)&lt;&gt;""),--(LOWER(TRIM($AB$2:$AB$518))&lt;&gt;"n/a"),--(LOWER(TRIM($AB$2:$AB$518))&lt;&gt;"na"))&gt;1),AND($AH312&lt;&gt;"",LOWER(TRIM($AH312))&lt;&gt;"n/a",LOWER(TRIM($AH312))&lt;&gt;"na",SUMPRODUCT(--(UPPER(SUBSTITUTE(SUBSTITUTE(TRIM($AH$2:$AH$518),":",""),"-",""))=UPPER(SUBSTITUTE(SUBSTITUTE(TRIM($AH312),":",""),"-",""))),--(TRIM($AH$2:$AH$518)&lt;&gt;""),--(LOWER(TRIM($AH$2:$AH$518))&lt;&gt;"n/a"),--(LOWER(TRIM($AH$2:$AH$518))&lt;&gt;"na"))&gt;1),AND($AP312&lt;&gt;"",LOWER(TRIM($AP312))&lt;&gt;"n/a",LOWER(TRIM($AP312))&lt;&gt;"na",SUMPRODUCT(--(UPPER(TRIM($AP$2:$AP$518))=UPPER(TRIM($AP312))),--(TRIM($AP$2:$AP$518)&lt;&gt;""),--(LOWER(TRIM($AP$2:$AP$518))&lt;&gt;"n/a"),--(LOWER(TRIM($AP$2:$AP$518))&lt;&gt;"na"))&gt;1),AND($AQ312&lt;&gt;"",LOWER(TRIM($AQ312))&lt;&gt;"n/a",LOWER(TRIM($AQ312))&lt;&gt;"na",SUMPRODUCT(--(UPPER(TRIM($AQ$2:$AQ$518))=UPPER(TRIM($AQ312))),--(TRIM($AQ$2:$AQ$518)&lt;&gt;""),--(LOWER(TRIM($AQ$2:$AQ$518))&lt;&gt;"n/a"),--(LOWER(TRIM($AQ$2:$AQ$518))&lt;&gt;"na"))&gt;1)),"Yes","No"))</f>
        <v/>
      </c>
      <c r="F312">
        <f>IF(UPPER(TRIM($B312))&lt;&gt;"YES","", IF(OR(AND($V312&lt;&gt;"", LOWER(TRIM($V312))&lt;&gt;"n/a", LOWER(TRIM($V312))&lt;&gt;"na", SUMPRODUCT(--(UPPER(TRIM($V$2:$V$518))=UPPER(TRIM($V312))), --(UPPER(TRIM($B$2:$B$518))="YES"), --(UPPER(TRIM($G$2:$G$518)&amp;TRIM($I$2:$I$518)&amp;TRIM($J$2:$J$518))&lt;&gt;UPPER(TRIM($G312)&amp;TRIM($I312)&amp;TRIM($J312))))&gt;0), AND($W312&lt;&gt;"", LOWER(TRIM($W312))&lt;&gt;"n/a", LOWER(TRIM($W312))&lt;&gt;"na", SUMPRODUCT(--(UPPER(TRIM($W$2:$W$518))=UPPER(TRIM($W312))), --(UPPER(TRIM($B$2:$B$518))="YES"), --(UPPER(TRIM($G$2:$G$518)&amp;TRIM($I$2:$I$518)&amp;TRIM($J$2:$J$518))&lt;&gt;UPPER(TRIM($G312)&amp;TRIM($I312)&amp;TRIM($J312))))&gt;0), AND($X312&lt;&gt;"", LOWER(TRIM($X312))&lt;&gt;"n/a", LOWER(TRIM($X312))&lt;&gt;"na", SUMPRODUCT(--(UPPER(TRIM($X$2:$X$518))=UPPER(TRIM($X312))), --(UPPER(TRIM($B$2:$B$518))="YES"), --(UPPER(TRIM($G$2:$G$518)&amp;TRIM($I$2:$I$518)&amp;TRIM($J$2:$J$518))&lt;&gt;UPPER(TRIM($G312)&amp;TRIM($I312)&amp;TRIM($J312))))&gt;0), AND($Y312&lt;&gt;"", LOWER(TRIM($Y312))&lt;&gt;"n/a", LOWER(TRIM($Y312))&lt;&gt;"na", SUMPRODUCT(--(UPPER(SUBSTITUTE(SUBSTITUTE(TRIM($Y$2:$Y$518),":",""),"-",""))=UPPER(SUBSTITUTE(SUBSTITUTE(TRIM($Y312),":",""),"-",""))), --(UPPER(TRIM($B$2:$B$518))="YES"), --(UPPER(TRIM($G$2:$G$518)&amp;TRIM($I$2:$I$518)&amp;TRIM($J$2:$J$518))&lt;&gt;UPPER(TRIM($G312)&amp;TRIM($I312)&amp;TRIM($J312))))&gt;0), AND($AB312&lt;&gt;"", LOWER(TRIM($AB312))&lt;&gt;"n/a", LOWER(TRIM($AB312))&lt;&gt;"na", SUMPRODUCT(--(UPPER(TRIM($AB$2:$AB$518))=UPPER(TRIM($AB312))), --(UPPER(TRIM($B$2:$B$518))="YES"), --(UPPER(TRIM($G$2:$G$518)&amp;TRIM($I$2:$I$518)&amp;TRIM($J$2:$J$518))&lt;&gt;UPPER(TRIM($G312)&amp;TRIM($I312)&amp;TRIM($J312))))&gt;0), AND($AH312&lt;&gt;"", LOWER(TRIM($AH312))&lt;&gt;"n/a", LOWER(TRIM($AH312))&lt;&gt;"na", SUMPRODUCT(--(UPPER(SUBSTITUTE(SUBSTITUTE(TRIM($AH$2:$AH$518),":",""),"-",""))=UPPER(SUBSTITUTE(SUBSTITUTE(TRIM($AH312),":",""),"-",""))), --(UPPER(TRIM($B$2:$B$518))="YES"), --(UPPER(TRIM($G$2:$G$518)&amp;TRIM($I$2:$I$518)&amp;TRIM($J$2:$J$518))&lt;&gt;UPPER(TRIM($G312)&amp;TRIM($I312)&amp;TRIM($J312))))&gt;0), AND($AP312&lt;&gt;"", LOWER(TRIM($AP312))&lt;&gt;"n/a", LOWER(TRIM($AP312))&lt;&gt;"na", SUMPRODUCT(--(UPPER(TRIM($AP$2:$AP$518))=UPPER(TRIM($AP312))), --(UPPER(TRIM($B$2:$B$518))="YES"), --(UPPER(TRIM($G$2:$G$518)&amp;TRIM($I$2:$I$518)&amp;TRIM($J$2:$J$518))&lt;&gt;UPPER(TRIM($G312)&amp;TRIM($I312)&amp;TRIM($J312))))&gt;0), AND($AQ312&lt;&gt;"", LOWER(TRIM($AQ312))&lt;&gt;"n/a", LOWER(TRIM($AQ312))&lt;&gt;"na", SUMPRODUCT(--(UPPER(TRIM($AQ$2:$AQ$518))=UPPER(TRIM($AQ312))), --(UPPER(TRIM($B$2:$B$518))="YES"), --(UPPER(TRIM($G$2:$G$518)&amp;TRIM($I$2:$I$518)&amp;TRIM($J$2:$J$518))&lt;&gt;UPPER(TRIM($G312)&amp;TRIM($I312)&amp;TRIM($J312))))&gt;0)), "Yes", "No"))</f>
        <v/>
      </c>
      <c r="X312" t="inlineStr">
        <is>
          <t>NSUH-MACH-II</t>
        </is>
      </c>
      <c r="Y312" t="inlineStr">
        <is>
          <t>A0F5097FEF3B</t>
        </is>
      </c>
      <c r="AB312" t="inlineStr">
        <is>
          <t>WA24406352</t>
        </is>
      </c>
      <c r="CD312">
        <f>IF($Y312="","",IF((IF(AND($BR312&lt;&gt;"Yes",$BR312&lt;&gt;"N/A"),"Power Cable, ","")&amp;IF(AND($BS312&lt;&gt;"Yes",$BS312&lt;&gt;"N/A"),"Battery, ","")&amp;IF(AND($AD312&lt;&gt;"Yes",$AD312&lt;&gt;"N/A"),"Firmware Download, ","")&amp;IF(AND(OR($AD312="Yes",$AD312="N/A"),$AE312&lt;&gt;"Yes",$AE312&lt;&gt;"N/A"),"Firmware Install, ","")&amp;IF(AND($CB312&lt;&gt;"Yes",$CB312&lt;&gt;"N/A"),"Device ID, ","")&amp;IF(AND($CC312&lt;&gt;"Yes",$CC312&lt;&gt;"N/A"),"Epic Beans Relay, ",""))="","",LEFT(IF(AND($BR312&lt;&gt;"Yes",$BR312&lt;&gt;"N/A"),"Power Cable, ","")&amp;IF(AND($BS312&lt;&gt;"Yes",$BS312&lt;&gt;"N/A"),"Battery, ","")&amp;IF(AND($AD312&lt;&gt;"Yes",$AD312&lt;&gt;"N/A"),"Firmware Download, ","")&amp;IF(AND(OR($AD312="Yes",$AD312="N/A"),$AE312&lt;&gt;"Yes",$AE312&lt;&gt;"N/A"),"Firmware Install, ","")&amp;IF(AND($CB312&lt;&gt;"Yes",$CB312&lt;&gt;"N/A"),"Device ID, ","")&amp;IF(AND($CC312&lt;&gt;"Yes",$CC312&lt;&gt;"N/A"),"Epic Beans Relay, ",""),LEN(IF(AND($BR312&lt;&gt;"Yes",$BR312&lt;&gt;"N/A"),"Power Cable, ","")&amp;IF(AND($BS312&lt;&gt;"Yes",$BS312&lt;&gt;"N/A"),"Battery, ","")&amp;IF(AND($AD312&lt;&gt;"Yes",$AD312&lt;&gt;"N/A"),"Firmware Download, ","")&amp;IF(AND(OR($AD312="Yes",$AD312="N/A"),$AE312&lt;&gt;"Yes",$AE312&lt;&gt;"N/A"),"Firmware Install, ","")&amp;IF(AND($CB312&lt;&gt;"Yes",$CB312&lt;&gt;"N/A"),"Device ID, ","")&amp;IF(AND($CC312&lt;&gt;"Yes",$CC312&lt;&gt;"N/A"),"Epic Beans Relay, ",""))-2)))</f>
        <v/>
      </c>
      <c r="CE312">
        <f>IF($Y312="","",IF($CD312="","Yes","Blocked"))</f>
        <v/>
      </c>
      <c r="CP312">
        <f>IF($CO312="","",IFERROR(VLOOKUP($CO312,'01_Warehouse_Ledger'!$A:$N,4,FALSE),""))</f>
        <v/>
      </c>
      <c r="CQ312">
        <f>IF($CO312="","",IFERROR(VLOOKUP($CO312,'01_Warehouse_Ledger'!$A:$N,5,FALSE),""))</f>
        <v/>
      </c>
      <c r="CR312">
        <f>IF($CO312="","",IFERROR(VLOOKUP($CO312,'01_Warehouse_Ledger'!$A:$N,13,FALSE),""))</f>
        <v/>
      </c>
      <c r="CW312">
        <f>IF($S312="","",IF(UPPER(TRIM($S312))&lt;&gt;"PASS","",IF(LEN(TRIM($BY312))&gt;0,"NOTES_PRESENT",IF(LEN(TRIM($T312))=0,"SET_NA",IF(OR(LOWER(TRIM($T312))="na",LOWER(TRIM($T312))="n/a"),"OK","MANUAL_OVERRIDE")))))</f>
        <v/>
      </c>
    </row>
    <row r="313">
      <c r="A313" t="inlineStr">
        <is>
          <t>Neuron</t>
        </is>
      </c>
      <c r="B313" t="inlineStr">
        <is>
          <t>No</t>
        </is>
      </c>
      <c r="C313" t="inlineStr">
        <is>
          <t>No</t>
        </is>
      </c>
      <c r="D313">
        <f>IF($B313&lt;&gt;"Yes","",IF($C313="No","Yes",IF($C313="Yes","No","")))</f>
        <v/>
      </c>
      <c r="E313">
        <f>IF($A313="","",IF(OR(AND($V313&lt;&gt;"",LOWER(TRIM($V313))&lt;&gt;"n/a",LOWER(TRIM($V313))&lt;&gt;"na",SUMPRODUCT(--(UPPER(TRIM($V$2:$V$518))=UPPER(TRIM($V313))),--(TRIM($V$2:$V$518)&lt;&gt;""),--(LOWER(TRIM($V$2:$V$518))&lt;&gt;"n/a"),--(LOWER(TRIM($V$2:$V$518))&lt;&gt;"na"))&gt;1),AND($W313&lt;&gt;"",LOWER(TRIM($W313))&lt;&gt;"n/a",LOWER(TRIM($W313))&lt;&gt;"na",SUMPRODUCT(--(UPPER(TRIM($W$2:$W$518))=UPPER(TRIM($W313))),--(TRIM($W$2:$W$518)&lt;&gt;""),--(LOWER(TRIM($W$2:$W$518))&lt;&gt;"n/a"),--(LOWER(TRIM($W$2:$W$518))&lt;&gt;"na"))&gt;1),AND($X313&lt;&gt;"",LOWER(TRIM($X313))&lt;&gt;"n/a",LOWER(TRIM($X313))&lt;&gt;"na",SUMPRODUCT(--(UPPER(TRIM($X$2:$X$518))=UPPER(TRIM($X313))),--(TRIM($X$2:$X$518)&lt;&gt;""),--(LOWER(TRIM($X$2:$X$518))&lt;&gt;"n/a"),--(LOWER(TRIM($X$2:$X$518))&lt;&gt;"na"))&gt;1),AND($Y313&lt;&gt;"",LOWER(TRIM($Y313))&lt;&gt;"n/a",LOWER(TRIM($Y313))&lt;&gt;"na",SUMPRODUCT(--(UPPER(SUBSTITUTE(SUBSTITUTE(TRIM($Y$2:$Y$518),":",""),"-",""))=UPPER(SUBSTITUTE(SUBSTITUTE(TRIM($Y313),":",""),"-",""))),--(TRIM($Y$2:$Y$518)&lt;&gt;""),--(LOWER(TRIM($Y$2:$Y$518))&lt;&gt;"n/a"),--(LOWER(TRIM($Y$2:$Y$518))&lt;&gt;"na"))&gt;1),AND($AB313&lt;&gt;"",LOWER(TRIM($AB313))&lt;&gt;"n/a",LOWER(TRIM($AB313))&lt;&gt;"na",SUMPRODUCT(--(UPPER(TRIM($AB$2:$AB$518))=UPPER(TRIM($AB313))),--(TRIM($AB$2:$AB$518)&lt;&gt;""),--(LOWER(TRIM($AB$2:$AB$518))&lt;&gt;"n/a"),--(LOWER(TRIM($AB$2:$AB$518))&lt;&gt;"na"))&gt;1),AND($AH313&lt;&gt;"",LOWER(TRIM($AH313))&lt;&gt;"n/a",LOWER(TRIM($AH313))&lt;&gt;"na",SUMPRODUCT(--(UPPER(SUBSTITUTE(SUBSTITUTE(TRIM($AH$2:$AH$518),":",""),"-",""))=UPPER(SUBSTITUTE(SUBSTITUTE(TRIM($AH313),":",""),"-",""))),--(TRIM($AH$2:$AH$518)&lt;&gt;""),--(LOWER(TRIM($AH$2:$AH$518))&lt;&gt;"n/a"),--(LOWER(TRIM($AH$2:$AH$518))&lt;&gt;"na"))&gt;1),AND($AP313&lt;&gt;"",LOWER(TRIM($AP313))&lt;&gt;"n/a",LOWER(TRIM($AP313))&lt;&gt;"na",SUMPRODUCT(--(UPPER(TRIM($AP$2:$AP$518))=UPPER(TRIM($AP313))),--(TRIM($AP$2:$AP$518)&lt;&gt;""),--(LOWER(TRIM($AP$2:$AP$518))&lt;&gt;"n/a"),--(LOWER(TRIM($AP$2:$AP$518))&lt;&gt;"na"))&gt;1),AND($AQ313&lt;&gt;"",LOWER(TRIM($AQ313))&lt;&gt;"n/a",LOWER(TRIM($AQ313))&lt;&gt;"na",SUMPRODUCT(--(UPPER(TRIM($AQ$2:$AQ$518))=UPPER(TRIM($AQ313))),--(TRIM($AQ$2:$AQ$518)&lt;&gt;""),--(LOWER(TRIM($AQ$2:$AQ$518))&lt;&gt;"n/a"),--(LOWER(TRIM($AQ$2:$AQ$518))&lt;&gt;"na"))&gt;1)),"Yes","No"))</f>
        <v/>
      </c>
      <c r="F313">
        <f>IF(UPPER(TRIM($B313))&lt;&gt;"YES","", IF(OR(AND($V313&lt;&gt;"", LOWER(TRIM($V313))&lt;&gt;"n/a", LOWER(TRIM($V313))&lt;&gt;"na", SUMPRODUCT(--(UPPER(TRIM($V$2:$V$518))=UPPER(TRIM($V313))), --(UPPER(TRIM($B$2:$B$518))="YES"), --(UPPER(TRIM($G$2:$G$518)&amp;TRIM($I$2:$I$518)&amp;TRIM($J$2:$J$518))&lt;&gt;UPPER(TRIM($G313)&amp;TRIM($I313)&amp;TRIM($J313))))&gt;0), AND($W313&lt;&gt;"", LOWER(TRIM($W313))&lt;&gt;"n/a", LOWER(TRIM($W313))&lt;&gt;"na", SUMPRODUCT(--(UPPER(TRIM($W$2:$W$518))=UPPER(TRIM($W313))), --(UPPER(TRIM($B$2:$B$518))="YES"), --(UPPER(TRIM($G$2:$G$518)&amp;TRIM($I$2:$I$518)&amp;TRIM($J$2:$J$518))&lt;&gt;UPPER(TRIM($G313)&amp;TRIM($I313)&amp;TRIM($J313))))&gt;0), AND($X313&lt;&gt;"", LOWER(TRIM($X313))&lt;&gt;"n/a", LOWER(TRIM($X313))&lt;&gt;"na", SUMPRODUCT(--(UPPER(TRIM($X$2:$X$518))=UPPER(TRIM($X313))), --(UPPER(TRIM($B$2:$B$518))="YES"), --(UPPER(TRIM($G$2:$G$518)&amp;TRIM($I$2:$I$518)&amp;TRIM($J$2:$J$518))&lt;&gt;UPPER(TRIM($G313)&amp;TRIM($I313)&amp;TRIM($J313))))&gt;0), AND($Y313&lt;&gt;"", LOWER(TRIM($Y313))&lt;&gt;"n/a", LOWER(TRIM($Y313))&lt;&gt;"na", SUMPRODUCT(--(UPPER(SUBSTITUTE(SUBSTITUTE(TRIM($Y$2:$Y$518),":",""),"-",""))=UPPER(SUBSTITUTE(SUBSTITUTE(TRIM($Y313),":",""),"-",""))), --(UPPER(TRIM($B$2:$B$518))="YES"), --(UPPER(TRIM($G$2:$G$518)&amp;TRIM($I$2:$I$518)&amp;TRIM($J$2:$J$518))&lt;&gt;UPPER(TRIM($G313)&amp;TRIM($I313)&amp;TRIM($J313))))&gt;0), AND($AB313&lt;&gt;"", LOWER(TRIM($AB313))&lt;&gt;"n/a", LOWER(TRIM($AB313))&lt;&gt;"na", SUMPRODUCT(--(UPPER(TRIM($AB$2:$AB$518))=UPPER(TRIM($AB313))), --(UPPER(TRIM($B$2:$B$518))="YES"), --(UPPER(TRIM($G$2:$G$518)&amp;TRIM($I$2:$I$518)&amp;TRIM($J$2:$J$518))&lt;&gt;UPPER(TRIM($G313)&amp;TRIM($I313)&amp;TRIM($J313))))&gt;0), AND($AH313&lt;&gt;"", LOWER(TRIM($AH313))&lt;&gt;"n/a", LOWER(TRIM($AH313))&lt;&gt;"na", SUMPRODUCT(--(UPPER(SUBSTITUTE(SUBSTITUTE(TRIM($AH$2:$AH$518),":",""),"-",""))=UPPER(SUBSTITUTE(SUBSTITUTE(TRIM($AH313),":",""),"-",""))), --(UPPER(TRIM($B$2:$B$518))="YES"), --(UPPER(TRIM($G$2:$G$518)&amp;TRIM($I$2:$I$518)&amp;TRIM($J$2:$J$518))&lt;&gt;UPPER(TRIM($G313)&amp;TRIM($I313)&amp;TRIM($J313))))&gt;0), AND($AP313&lt;&gt;"", LOWER(TRIM($AP313))&lt;&gt;"n/a", LOWER(TRIM($AP313))&lt;&gt;"na", SUMPRODUCT(--(UPPER(TRIM($AP$2:$AP$518))=UPPER(TRIM($AP313))), --(UPPER(TRIM($B$2:$B$518))="YES"), --(UPPER(TRIM($G$2:$G$518)&amp;TRIM($I$2:$I$518)&amp;TRIM($J$2:$J$518))&lt;&gt;UPPER(TRIM($G313)&amp;TRIM($I313)&amp;TRIM($J313))))&gt;0), AND($AQ313&lt;&gt;"", LOWER(TRIM($AQ313))&lt;&gt;"n/a", LOWER(TRIM($AQ313))&lt;&gt;"na", SUMPRODUCT(--(UPPER(TRIM($AQ$2:$AQ$518))=UPPER(TRIM($AQ313))), --(UPPER(TRIM($B$2:$B$518))="YES"), --(UPPER(TRIM($G$2:$G$518)&amp;TRIM($I$2:$I$518)&amp;TRIM($J$2:$J$518))&lt;&gt;UPPER(TRIM($G313)&amp;TRIM($I313)&amp;TRIM($J313))))&gt;0)), "Yes", "No"))</f>
        <v/>
      </c>
      <c r="X313" t="inlineStr">
        <is>
          <t>NSUH-MACH-HH</t>
        </is>
      </c>
      <c r="Y313" t="inlineStr">
        <is>
          <t>A0F5097FE0CD</t>
        </is>
      </c>
      <c r="AB313" t="inlineStr">
        <is>
          <t>WA24406315</t>
        </is>
      </c>
      <c r="CD313">
        <f>IF($Y313="","",IF((IF(AND($BR313&lt;&gt;"Yes",$BR313&lt;&gt;"N/A"),"Power Cable, ","")&amp;IF(AND($BS313&lt;&gt;"Yes",$BS313&lt;&gt;"N/A"),"Battery, ","")&amp;IF(AND($AD313&lt;&gt;"Yes",$AD313&lt;&gt;"N/A"),"Firmware Download, ","")&amp;IF(AND(OR($AD313="Yes",$AD313="N/A"),$AE313&lt;&gt;"Yes",$AE313&lt;&gt;"N/A"),"Firmware Install, ","")&amp;IF(AND($CB313&lt;&gt;"Yes",$CB313&lt;&gt;"N/A"),"Device ID, ","")&amp;IF(AND($CC313&lt;&gt;"Yes",$CC313&lt;&gt;"N/A"),"Epic Beans Relay, ",""))="","",LEFT(IF(AND($BR313&lt;&gt;"Yes",$BR313&lt;&gt;"N/A"),"Power Cable, ","")&amp;IF(AND($BS313&lt;&gt;"Yes",$BS313&lt;&gt;"N/A"),"Battery, ","")&amp;IF(AND($AD313&lt;&gt;"Yes",$AD313&lt;&gt;"N/A"),"Firmware Download, ","")&amp;IF(AND(OR($AD313="Yes",$AD313="N/A"),$AE313&lt;&gt;"Yes",$AE313&lt;&gt;"N/A"),"Firmware Install, ","")&amp;IF(AND($CB313&lt;&gt;"Yes",$CB313&lt;&gt;"N/A"),"Device ID, ","")&amp;IF(AND($CC313&lt;&gt;"Yes",$CC313&lt;&gt;"N/A"),"Epic Beans Relay, ",""),LEN(IF(AND($BR313&lt;&gt;"Yes",$BR313&lt;&gt;"N/A"),"Power Cable, ","")&amp;IF(AND($BS313&lt;&gt;"Yes",$BS313&lt;&gt;"N/A"),"Battery, ","")&amp;IF(AND($AD313&lt;&gt;"Yes",$AD313&lt;&gt;"N/A"),"Firmware Download, ","")&amp;IF(AND(OR($AD313="Yes",$AD313="N/A"),$AE313&lt;&gt;"Yes",$AE313&lt;&gt;"N/A"),"Firmware Install, ","")&amp;IF(AND($CB313&lt;&gt;"Yes",$CB313&lt;&gt;"N/A"),"Device ID, ","")&amp;IF(AND($CC313&lt;&gt;"Yes",$CC313&lt;&gt;"N/A"),"Epic Beans Relay, ",""))-2)))</f>
        <v/>
      </c>
      <c r="CE313">
        <f>IF($Y313="","",IF($CD313="","Yes","Blocked"))</f>
        <v/>
      </c>
      <c r="CP313">
        <f>IF($CO313="","",IFERROR(VLOOKUP($CO313,'01_Warehouse_Ledger'!$A:$N,4,FALSE),""))</f>
        <v/>
      </c>
      <c r="CQ313">
        <f>IF($CO313="","",IFERROR(VLOOKUP($CO313,'01_Warehouse_Ledger'!$A:$N,5,FALSE),""))</f>
        <v/>
      </c>
      <c r="CR313">
        <f>IF($CO313="","",IFERROR(VLOOKUP($CO313,'01_Warehouse_Ledger'!$A:$N,13,FALSE),""))</f>
        <v/>
      </c>
      <c r="CW313">
        <f>IF($S313="","",IF(UPPER(TRIM($S313))&lt;&gt;"PASS","",IF(LEN(TRIM($BY313))&gt;0,"NOTES_PRESENT",IF(LEN(TRIM($T313))=0,"SET_NA",IF(OR(LOWER(TRIM($T313))="na",LOWER(TRIM($T313))="n/a"),"OK","MANUAL_OVERRIDE")))))</f>
        <v/>
      </c>
    </row>
    <row r="314">
      <c r="A314" t="inlineStr">
        <is>
          <t>Neuron</t>
        </is>
      </c>
      <c r="B314" t="inlineStr">
        <is>
          <t>No</t>
        </is>
      </c>
      <c r="C314" t="inlineStr">
        <is>
          <t>No</t>
        </is>
      </c>
      <c r="D314">
        <f>IF($B314&lt;&gt;"Yes","",IF($C314="No","Yes",IF($C314="Yes","No","")))</f>
        <v/>
      </c>
      <c r="E314">
        <f>IF($A314="","",IF(OR(AND($V314&lt;&gt;"",LOWER(TRIM($V314))&lt;&gt;"n/a",LOWER(TRIM($V314))&lt;&gt;"na",SUMPRODUCT(--(UPPER(TRIM($V$2:$V$518))=UPPER(TRIM($V314))),--(TRIM($V$2:$V$518)&lt;&gt;""),--(LOWER(TRIM($V$2:$V$518))&lt;&gt;"n/a"),--(LOWER(TRIM($V$2:$V$518))&lt;&gt;"na"))&gt;1),AND($W314&lt;&gt;"",LOWER(TRIM($W314))&lt;&gt;"n/a",LOWER(TRIM($W314))&lt;&gt;"na",SUMPRODUCT(--(UPPER(TRIM($W$2:$W$518))=UPPER(TRIM($W314))),--(TRIM($W$2:$W$518)&lt;&gt;""),--(LOWER(TRIM($W$2:$W$518))&lt;&gt;"n/a"),--(LOWER(TRIM($W$2:$W$518))&lt;&gt;"na"))&gt;1),AND($X314&lt;&gt;"",LOWER(TRIM($X314))&lt;&gt;"n/a",LOWER(TRIM($X314))&lt;&gt;"na",SUMPRODUCT(--(UPPER(TRIM($X$2:$X$518))=UPPER(TRIM($X314))),--(TRIM($X$2:$X$518)&lt;&gt;""),--(LOWER(TRIM($X$2:$X$518))&lt;&gt;"n/a"),--(LOWER(TRIM($X$2:$X$518))&lt;&gt;"na"))&gt;1),AND($Y314&lt;&gt;"",LOWER(TRIM($Y314))&lt;&gt;"n/a",LOWER(TRIM($Y314))&lt;&gt;"na",SUMPRODUCT(--(UPPER(SUBSTITUTE(SUBSTITUTE(TRIM($Y$2:$Y$518),":",""),"-",""))=UPPER(SUBSTITUTE(SUBSTITUTE(TRIM($Y314),":",""),"-",""))),--(TRIM($Y$2:$Y$518)&lt;&gt;""),--(LOWER(TRIM($Y$2:$Y$518))&lt;&gt;"n/a"),--(LOWER(TRIM($Y$2:$Y$518))&lt;&gt;"na"))&gt;1),AND($AB314&lt;&gt;"",LOWER(TRIM($AB314))&lt;&gt;"n/a",LOWER(TRIM($AB314))&lt;&gt;"na",SUMPRODUCT(--(UPPER(TRIM($AB$2:$AB$518))=UPPER(TRIM($AB314))),--(TRIM($AB$2:$AB$518)&lt;&gt;""),--(LOWER(TRIM($AB$2:$AB$518))&lt;&gt;"n/a"),--(LOWER(TRIM($AB$2:$AB$518))&lt;&gt;"na"))&gt;1),AND($AH314&lt;&gt;"",LOWER(TRIM($AH314))&lt;&gt;"n/a",LOWER(TRIM($AH314))&lt;&gt;"na",SUMPRODUCT(--(UPPER(SUBSTITUTE(SUBSTITUTE(TRIM($AH$2:$AH$518),":",""),"-",""))=UPPER(SUBSTITUTE(SUBSTITUTE(TRIM($AH314),":",""),"-",""))),--(TRIM($AH$2:$AH$518)&lt;&gt;""),--(LOWER(TRIM($AH$2:$AH$518))&lt;&gt;"n/a"),--(LOWER(TRIM($AH$2:$AH$518))&lt;&gt;"na"))&gt;1),AND($AP314&lt;&gt;"",LOWER(TRIM($AP314))&lt;&gt;"n/a",LOWER(TRIM($AP314))&lt;&gt;"na",SUMPRODUCT(--(UPPER(TRIM($AP$2:$AP$518))=UPPER(TRIM($AP314))),--(TRIM($AP$2:$AP$518)&lt;&gt;""),--(LOWER(TRIM($AP$2:$AP$518))&lt;&gt;"n/a"),--(LOWER(TRIM($AP$2:$AP$518))&lt;&gt;"na"))&gt;1),AND($AQ314&lt;&gt;"",LOWER(TRIM($AQ314))&lt;&gt;"n/a",LOWER(TRIM($AQ314))&lt;&gt;"na",SUMPRODUCT(--(UPPER(TRIM($AQ$2:$AQ$518))=UPPER(TRIM($AQ314))),--(TRIM($AQ$2:$AQ$518)&lt;&gt;""),--(LOWER(TRIM($AQ$2:$AQ$518))&lt;&gt;"n/a"),--(LOWER(TRIM($AQ$2:$AQ$518))&lt;&gt;"na"))&gt;1)),"Yes","No"))</f>
        <v/>
      </c>
      <c r="F314">
        <f>IF(UPPER(TRIM($B314))&lt;&gt;"YES","", IF(OR(AND($V314&lt;&gt;"", LOWER(TRIM($V314))&lt;&gt;"n/a", LOWER(TRIM($V314))&lt;&gt;"na", SUMPRODUCT(--(UPPER(TRIM($V$2:$V$518))=UPPER(TRIM($V314))), --(UPPER(TRIM($B$2:$B$518))="YES"), --(UPPER(TRIM($G$2:$G$518)&amp;TRIM($I$2:$I$518)&amp;TRIM($J$2:$J$518))&lt;&gt;UPPER(TRIM($G314)&amp;TRIM($I314)&amp;TRIM($J314))))&gt;0), AND($W314&lt;&gt;"", LOWER(TRIM($W314))&lt;&gt;"n/a", LOWER(TRIM($W314))&lt;&gt;"na", SUMPRODUCT(--(UPPER(TRIM($W$2:$W$518))=UPPER(TRIM($W314))), --(UPPER(TRIM($B$2:$B$518))="YES"), --(UPPER(TRIM($G$2:$G$518)&amp;TRIM($I$2:$I$518)&amp;TRIM($J$2:$J$518))&lt;&gt;UPPER(TRIM($G314)&amp;TRIM($I314)&amp;TRIM($J314))))&gt;0), AND($X314&lt;&gt;"", LOWER(TRIM($X314))&lt;&gt;"n/a", LOWER(TRIM($X314))&lt;&gt;"na", SUMPRODUCT(--(UPPER(TRIM($X$2:$X$518))=UPPER(TRIM($X314))), --(UPPER(TRIM($B$2:$B$518))="YES"), --(UPPER(TRIM($G$2:$G$518)&amp;TRIM($I$2:$I$518)&amp;TRIM($J$2:$J$518))&lt;&gt;UPPER(TRIM($G314)&amp;TRIM($I314)&amp;TRIM($J314))))&gt;0), AND($Y314&lt;&gt;"", LOWER(TRIM($Y314))&lt;&gt;"n/a", LOWER(TRIM($Y314))&lt;&gt;"na", SUMPRODUCT(--(UPPER(SUBSTITUTE(SUBSTITUTE(TRIM($Y$2:$Y$518),":",""),"-",""))=UPPER(SUBSTITUTE(SUBSTITUTE(TRIM($Y314),":",""),"-",""))), --(UPPER(TRIM($B$2:$B$518))="YES"), --(UPPER(TRIM($G$2:$G$518)&amp;TRIM($I$2:$I$518)&amp;TRIM($J$2:$J$518))&lt;&gt;UPPER(TRIM($G314)&amp;TRIM($I314)&amp;TRIM($J314))))&gt;0), AND($AB314&lt;&gt;"", LOWER(TRIM($AB314))&lt;&gt;"n/a", LOWER(TRIM($AB314))&lt;&gt;"na", SUMPRODUCT(--(UPPER(TRIM($AB$2:$AB$518))=UPPER(TRIM($AB314))), --(UPPER(TRIM($B$2:$B$518))="YES"), --(UPPER(TRIM($G$2:$G$518)&amp;TRIM($I$2:$I$518)&amp;TRIM($J$2:$J$518))&lt;&gt;UPPER(TRIM($G314)&amp;TRIM($I314)&amp;TRIM($J314))))&gt;0), AND($AH314&lt;&gt;"", LOWER(TRIM($AH314))&lt;&gt;"n/a", LOWER(TRIM($AH314))&lt;&gt;"na", SUMPRODUCT(--(UPPER(SUBSTITUTE(SUBSTITUTE(TRIM($AH$2:$AH$518),":",""),"-",""))=UPPER(SUBSTITUTE(SUBSTITUTE(TRIM($AH314),":",""),"-",""))), --(UPPER(TRIM($B$2:$B$518))="YES"), --(UPPER(TRIM($G$2:$G$518)&amp;TRIM($I$2:$I$518)&amp;TRIM($J$2:$J$518))&lt;&gt;UPPER(TRIM($G314)&amp;TRIM($I314)&amp;TRIM($J314))))&gt;0), AND($AP314&lt;&gt;"", LOWER(TRIM($AP314))&lt;&gt;"n/a", LOWER(TRIM($AP314))&lt;&gt;"na", SUMPRODUCT(--(UPPER(TRIM($AP$2:$AP$518))=UPPER(TRIM($AP314))), --(UPPER(TRIM($B$2:$B$518))="YES"), --(UPPER(TRIM($G$2:$G$518)&amp;TRIM($I$2:$I$518)&amp;TRIM($J$2:$J$518))&lt;&gt;UPPER(TRIM($G314)&amp;TRIM($I314)&amp;TRIM($J314))))&gt;0), AND($AQ314&lt;&gt;"", LOWER(TRIM($AQ314))&lt;&gt;"n/a", LOWER(TRIM($AQ314))&lt;&gt;"na", SUMPRODUCT(--(UPPER(TRIM($AQ$2:$AQ$518))=UPPER(TRIM($AQ314))), --(UPPER(TRIM($B$2:$B$518))="YES"), --(UPPER(TRIM($G$2:$G$518)&amp;TRIM($I$2:$I$518)&amp;TRIM($J$2:$J$518))&lt;&gt;UPPER(TRIM($G314)&amp;TRIM($I314)&amp;TRIM($J314))))&gt;0)), "Yes", "No"))</f>
        <v/>
      </c>
      <c r="X314" t="inlineStr">
        <is>
          <t>NSUH-MACH-GG</t>
        </is>
      </c>
      <c r="Y314" t="inlineStr">
        <is>
          <t>A0F5097FF160</t>
        </is>
      </c>
      <c r="AB314" t="inlineStr">
        <is>
          <t>WA24406233</t>
        </is>
      </c>
      <c r="CD314">
        <f>IF($Y314="","",IF((IF(AND($BR314&lt;&gt;"Yes",$BR314&lt;&gt;"N/A"),"Power Cable, ","")&amp;IF(AND($BS314&lt;&gt;"Yes",$BS314&lt;&gt;"N/A"),"Battery, ","")&amp;IF(AND($AD314&lt;&gt;"Yes",$AD314&lt;&gt;"N/A"),"Firmware Download, ","")&amp;IF(AND(OR($AD314="Yes",$AD314="N/A"),$AE314&lt;&gt;"Yes",$AE314&lt;&gt;"N/A"),"Firmware Install, ","")&amp;IF(AND($CB314&lt;&gt;"Yes",$CB314&lt;&gt;"N/A"),"Device ID, ","")&amp;IF(AND($CC314&lt;&gt;"Yes",$CC314&lt;&gt;"N/A"),"Epic Beans Relay, ",""))="","",LEFT(IF(AND($BR314&lt;&gt;"Yes",$BR314&lt;&gt;"N/A"),"Power Cable, ","")&amp;IF(AND($BS314&lt;&gt;"Yes",$BS314&lt;&gt;"N/A"),"Battery, ","")&amp;IF(AND($AD314&lt;&gt;"Yes",$AD314&lt;&gt;"N/A"),"Firmware Download, ","")&amp;IF(AND(OR($AD314="Yes",$AD314="N/A"),$AE314&lt;&gt;"Yes",$AE314&lt;&gt;"N/A"),"Firmware Install, ","")&amp;IF(AND($CB314&lt;&gt;"Yes",$CB314&lt;&gt;"N/A"),"Device ID, ","")&amp;IF(AND($CC314&lt;&gt;"Yes",$CC314&lt;&gt;"N/A"),"Epic Beans Relay, ",""),LEN(IF(AND($BR314&lt;&gt;"Yes",$BR314&lt;&gt;"N/A"),"Power Cable, ","")&amp;IF(AND($BS314&lt;&gt;"Yes",$BS314&lt;&gt;"N/A"),"Battery, ","")&amp;IF(AND($AD314&lt;&gt;"Yes",$AD314&lt;&gt;"N/A"),"Firmware Download, ","")&amp;IF(AND(OR($AD314="Yes",$AD314="N/A"),$AE314&lt;&gt;"Yes",$AE314&lt;&gt;"N/A"),"Firmware Install, ","")&amp;IF(AND($CB314&lt;&gt;"Yes",$CB314&lt;&gt;"N/A"),"Device ID, ","")&amp;IF(AND($CC314&lt;&gt;"Yes",$CC314&lt;&gt;"N/A"),"Epic Beans Relay, ",""))-2)))</f>
        <v/>
      </c>
      <c r="CE314">
        <f>IF($Y314="","",IF($CD314="","Yes","Blocked"))</f>
        <v/>
      </c>
      <c r="CP314">
        <f>IF($CO314="","",IFERROR(VLOOKUP($CO314,'01_Warehouse_Ledger'!$A:$N,4,FALSE),""))</f>
        <v/>
      </c>
      <c r="CQ314">
        <f>IF($CO314="","",IFERROR(VLOOKUP($CO314,'01_Warehouse_Ledger'!$A:$N,5,FALSE),""))</f>
        <v/>
      </c>
      <c r="CR314">
        <f>IF($CO314="","",IFERROR(VLOOKUP($CO314,'01_Warehouse_Ledger'!$A:$N,13,FALSE),""))</f>
        <v/>
      </c>
      <c r="CW314">
        <f>IF($S314="","",IF(UPPER(TRIM($S314))&lt;&gt;"PASS","",IF(LEN(TRIM($BY314))&gt;0,"NOTES_PRESENT",IF(LEN(TRIM($T314))=0,"SET_NA",IF(OR(LOWER(TRIM($T314))="na",LOWER(TRIM($T314))="n/a"),"OK","MANUAL_OVERRIDE")))))</f>
        <v/>
      </c>
    </row>
    <row r="315">
      <c r="A315" t="inlineStr">
        <is>
          <t>Neuron</t>
        </is>
      </c>
      <c r="B315" t="inlineStr">
        <is>
          <t>No</t>
        </is>
      </c>
      <c r="C315" t="inlineStr">
        <is>
          <t>No</t>
        </is>
      </c>
      <c r="D315">
        <f>IF($B315&lt;&gt;"Yes","",IF($C315="No","Yes",IF($C315="Yes","No","")))</f>
        <v/>
      </c>
      <c r="E315">
        <f>IF($A315="","",IF(OR(AND($V315&lt;&gt;"",LOWER(TRIM($V315))&lt;&gt;"n/a",LOWER(TRIM($V315))&lt;&gt;"na",SUMPRODUCT(--(UPPER(TRIM($V$2:$V$518))=UPPER(TRIM($V315))),--(TRIM($V$2:$V$518)&lt;&gt;""),--(LOWER(TRIM($V$2:$V$518))&lt;&gt;"n/a"),--(LOWER(TRIM($V$2:$V$518))&lt;&gt;"na"))&gt;1),AND($W315&lt;&gt;"",LOWER(TRIM($W315))&lt;&gt;"n/a",LOWER(TRIM($W315))&lt;&gt;"na",SUMPRODUCT(--(UPPER(TRIM($W$2:$W$518))=UPPER(TRIM($W315))),--(TRIM($W$2:$W$518)&lt;&gt;""),--(LOWER(TRIM($W$2:$W$518))&lt;&gt;"n/a"),--(LOWER(TRIM($W$2:$W$518))&lt;&gt;"na"))&gt;1),AND($X315&lt;&gt;"",LOWER(TRIM($X315))&lt;&gt;"n/a",LOWER(TRIM($X315))&lt;&gt;"na",SUMPRODUCT(--(UPPER(TRIM($X$2:$X$518))=UPPER(TRIM($X315))),--(TRIM($X$2:$X$518)&lt;&gt;""),--(LOWER(TRIM($X$2:$X$518))&lt;&gt;"n/a"),--(LOWER(TRIM($X$2:$X$518))&lt;&gt;"na"))&gt;1),AND($Y315&lt;&gt;"",LOWER(TRIM($Y315))&lt;&gt;"n/a",LOWER(TRIM($Y315))&lt;&gt;"na",SUMPRODUCT(--(UPPER(SUBSTITUTE(SUBSTITUTE(TRIM($Y$2:$Y$518),":",""),"-",""))=UPPER(SUBSTITUTE(SUBSTITUTE(TRIM($Y315),":",""),"-",""))),--(TRIM($Y$2:$Y$518)&lt;&gt;""),--(LOWER(TRIM($Y$2:$Y$518))&lt;&gt;"n/a"),--(LOWER(TRIM($Y$2:$Y$518))&lt;&gt;"na"))&gt;1),AND($AB315&lt;&gt;"",LOWER(TRIM($AB315))&lt;&gt;"n/a",LOWER(TRIM($AB315))&lt;&gt;"na",SUMPRODUCT(--(UPPER(TRIM($AB$2:$AB$518))=UPPER(TRIM($AB315))),--(TRIM($AB$2:$AB$518)&lt;&gt;""),--(LOWER(TRIM($AB$2:$AB$518))&lt;&gt;"n/a"),--(LOWER(TRIM($AB$2:$AB$518))&lt;&gt;"na"))&gt;1),AND($AH315&lt;&gt;"",LOWER(TRIM($AH315))&lt;&gt;"n/a",LOWER(TRIM($AH315))&lt;&gt;"na",SUMPRODUCT(--(UPPER(SUBSTITUTE(SUBSTITUTE(TRIM($AH$2:$AH$518),":",""),"-",""))=UPPER(SUBSTITUTE(SUBSTITUTE(TRIM($AH315),":",""),"-",""))),--(TRIM($AH$2:$AH$518)&lt;&gt;""),--(LOWER(TRIM($AH$2:$AH$518))&lt;&gt;"n/a"),--(LOWER(TRIM($AH$2:$AH$518))&lt;&gt;"na"))&gt;1),AND($AP315&lt;&gt;"",LOWER(TRIM($AP315))&lt;&gt;"n/a",LOWER(TRIM($AP315))&lt;&gt;"na",SUMPRODUCT(--(UPPER(TRIM($AP$2:$AP$518))=UPPER(TRIM($AP315))),--(TRIM($AP$2:$AP$518)&lt;&gt;""),--(LOWER(TRIM($AP$2:$AP$518))&lt;&gt;"n/a"),--(LOWER(TRIM($AP$2:$AP$518))&lt;&gt;"na"))&gt;1),AND($AQ315&lt;&gt;"",LOWER(TRIM($AQ315))&lt;&gt;"n/a",LOWER(TRIM($AQ315))&lt;&gt;"na",SUMPRODUCT(--(UPPER(TRIM($AQ$2:$AQ$518))=UPPER(TRIM($AQ315))),--(TRIM($AQ$2:$AQ$518)&lt;&gt;""),--(LOWER(TRIM($AQ$2:$AQ$518))&lt;&gt;"n/a"),--(LOWER(TRIM($AQ$2:$AQ$518))&lt;&gt;"na"))&gt;1)),"Yes","No"))</f>
        <v/>
      </c>
      <c r="F315">
        <f>IF(UPPER(TRIM($B315))&lt;&gt;"YES","", IF(OR(AND($V315&lt;&gt;"", LOWER(TRIM($V315))&lt;&gt;"n/a", LOWER(TRIM($V315))&lt;&gt;"na", SUMPRODUCT(--(UPPER(TRIM($V$2:$V$518))=UPPER(TRIM($V315))), --(UPPER(TRIM($B$2:$B$518))="YES"), --(UPPER(TRIM($G$2:$G$518)&amp;TRIM($I$2:$I$518)&amp;TRIM($J$2:$J$518))&lt;&gt;UPPER(TRIM($G315)&amp;TRIM($I315)&amp;TRIM($J315))))&gt;0), AND($W315&lt;&gt;"", LOWER(TRIM($W315))&lt;&gt;"n/a", LOWER(TRIM($W315))&lt;&gt;"na", SUMPRODUCT(--(UPPER(TRIM($W$2:$W$518))=UPPER(TRIM($W315))), --(UPPER(TRIM($B$2:$B$518))="YES"), --(UPPER(TRIM($G$2:$G$518)&amp;TRIM($I$2:$I$518)&amp;TRIM($J$2:$J$518))&lt;&gt;UPPER(TRIM($G315)&amp;TRIM($I315)&amp;TRIM($J315))))&gt;0), AND($X315&lt;&gt;"", LOWER(TRIM($X315))&lt;&gt;"n/a", LOWER(TRIM($X315))&lt;&gt;"na", SUMPRODUCT(--(UPPER(TRIM($X$2:$X$518))=UPPER(TRIM($X315))), --(UPPER(TRIM($B$2:$B$518))="YES"), --(UPPER(TRIM($G$2:$G$518)&amp;TRIM($I$2:$I$518)&amp;TRIM($J$2:$J$518))&lt;&gt;UPPER(TRIM($G315)&amp;TRIM($I315)&amp;TRIM($J315))))&gt;0), AND($Y315&lt;&gt;"", LOWER(TRIM($Y315))&lt;&gt;"n/a", LOWER(TRIM($Y315))&lt;&gt;"na", SUMPRODUCT(--(UPPER(SUBSTITUTE(SUBSTITUTE(TRIM($Y$2:$Y$518),":",""),"-",""))=UPPER(SUBSTITUTE(SUBSTITUTE(TRIM($Y315),":",""),"-",""))), --(UPPER(TRIM($B$2:$B$518))="YES"), --(UPPER(TRIM($G$2:$G$518)&amp;TRIM($I$2:$I$518)&amp;TRIM($J$2:$J$518))&lt;&gt;UPPER(TRIM($G315)&amp;TRIM($I315)&amp;TRIM($J315))))&gt;0), AND($AB315&lt;&gt;"", LOWER(TRIM($AB315))&lt;&gt;"n/a", LOWER(TRIM($AB315))&lt;&gt;"na", SUMPRODUCT(--(UPPER(TRIM($AB$2:$AB$518))=UPPER(TRIM($AB315))), --(UPPER(TRIM($B$2:$B$518))="YES"), --(UPPER(TRIM($G$2:$G$518)&amp;TRIM($I$2:$I$518)&amp;TRIM($J$2:$J$518))&lt;&gt;UPPER(TRIM($G315)&amp;TRIM($I315)&amp;TRIM($J315))))&gt;0), AND($AH315&lt;&gt;"", LOWER(TRIM($AH315))&lt;&gt;"n/a", LOWER(TRIM($AH315))&lt;&gt;"na", SUMPRODUCT(--(UPPER(SUBSTITUTE(SUBSTITUTE(TRIM($AH$2:$AH$518),":",""),"-",""))=UPPER(SUBSTITUTE(SUBSTITUTE(TRIM($AH315),":",""),"-",""))), --(UPPER(TRIM($B$2:$B$518))="YES"), --(UPPER(TRIM($G$2:$G$518)&amp;TRIM($I$2:$I$518)&amp;TRIM($J$2:$J$518))&lt;&gt;UPPER(TRIM($G315)&amp;TRIM($I315)&amp;TRIM($J315))))&gt;0), AND($AP315&lt;&gt;"", LOWER(TRIM($AP315))&lt;&gt;"n/a", LOWER(TRIM($AP315))&lt;&gt;"na", SUMPRODUCT(--(UPPER(TRIM($AP$2:$AP$518))=UPPER(TRIM($AP315))), --(UPPER(TRIM($B$2:$B$518))="YES"), --(UPPER(TRIM($G$2:$G$518)&amp;TRIM($I$2:$I$518)&amp;TRIM($J$2:$J$518))&lt;&gt;UPPER(TRIM($G315)&amp;TRIM($I315)&amp;TRIM($J315))))&gt;0), AND($AQ315&lt;&gt;"", LOWER(TRIM($AQ315))&lt;&gt;"n/a", LOWER(TRIM($AQ315))&lt;&gt;"na", SUMPRODUCT(--(UPPER(TRIM($AQ$2:$AQ$518))=UPPER(TRIM($AQ315))), --(UPPER(TRIM($B$2:$B$518))="YES"), --(UPPER(TRIM($G$2:$G$518)&amp;TRIM($I$2:$I$518)&amp;TRIM($J$2:$J$518))&lt;&gt;UPPER(TRIM($G315)&amp;TRIM($I315)&amp;TRIM($J315))))&gt;0)), "Yes", "No"))</f>
        <v/>
      </c>
      <c r="X315" t="inlineStr">
        <is>
          <t>NSUH-MACH-FF</t>
        </is>
      </c>
      <c r="Y315" t="inlineStr">
        <is>
          <t>A0F5097FF0E3</t>
        </is>
      </c>
      <c r="AB315" t="inlineStr">
        <is>
          <t>WA24406235</t>
        </is>
      </c>
      <c r="CD315">
        <f>IF($Y315="","",IF((IF(AND($BR315&lt;&gt;"Yes",$BR315&lt;&gt;"N/A"),"Power Cable, ","")&amp;IF(AND($BS315&lt;&gt;"Yes",$BS315&lt;&gt;"N/A"),"Battery, ","")&amp;IF(AND($AD315&lt;&gt;"Yes",$AD315&lt;&gt;"N/A"),"Firmware Download, ","")&amp;IF(AND(OR($AD315="Yes",$AD315="N/A"),$AE315&lt;&gt;"Yes",$AE315&lt;&gt;"N/A"),"Firmware Install, ","")&amp;IF(AND($CB315&lt;&gt;"Yes",$CB315&lt;&gt;"N/A"),"Device ID, ","")&amp;IF(AND($CC315&lt;&gt;"Yes",$CC315&lt;&gt;"N/A"),"Epic Beans Relay, ",""))="","",LEFT(IF(AND($BR315&lt;&gt;"Yes",$BR315&lt;&gt;"N/A"),"Power Cable, ","")&amp;IF(AND($BS315&lt;&gt;"Yes",$BS315&lt;&gt;"N/A"),"Battery, ","")&amp;IF(AND($AD315&lt;&gt;"Yes",$AD315&lt;&gt;"N/A"),"Firmware Download, ","")&amp;IF(AND(OR($AD315="Yes",$AD315="N/A"),$AE315&lt;&gt;"Yes",$AE315&lt;&gt;"N/A"),"Firmware Install, ","")&amp;IF(AND($CB315&lt;&gt;"Yes",$CB315&lt;&gt;"N/A"),"Device ID, ","")&amp;IF(AND($CC315&lt;&gt;"Yes",$CC315&lt;&gt;"N/A"),"Epic Beans Relay, ",""),LEN(IF(AND($BR315&lt;&gt;"Yes",$BR315&lt;&gt;"N/A"),"Power Cable, ","")&amp;IF(AND($BS315&lt;&gt;"Yes",$BS315&lt;&gt;"N/A"),"Battery, ","")&amp;IF(AND($AD315&lt;&gt;"Yes",$AD315&lt;&gt;"N/A"),"Firmware Download, ","")&amp;IF(AND(OR($AD315="Yes",$AD315="N/A"),$AE315&lt;&gt;"Yes",$AE315&lt;&gt;"N/A"),"Firmware Install, ","")&amp;IF(AND($CB315&lt;&gt;"Yes",$CB315&lt;&gt;"N/A"),"Device ID, ","")&amp;IF(AND($CC315&lt;&gt;"Yes",$CC315&lt;&gt;"N/A"),"Epic Beans Relay, ",""))-2)))</f>
        <v/>
      </c>
      <c r="CE315">
        <f>IF($Y315="","",IF($CD315="","Yes","Blocked"))</f>
        <v/>
      </c>
      <c r="CP315">
        <f>IF($CO315="","",IFERROR(VLOOKUP($CO315,'01_Warehouse_Ledger'!$A:$N,4,FALSE),""))</f>
        <v/>
      </c>
      <c r="CQ315">
        <f>IF($CO315="","",IFERROR(VLOOKUP($CO315,'01_Warehouse_Ledger'!$A:$N,5,FALSE),""))</f>
        <v/>
      </c>
      <c r="CR315">
        <f>IF($CO315="","",IFERROR(VLOOKUP($CO315,'01_Warehouse_Ledger'!$A:$N,13,FALSE),""))</f>
        <v/>
      </c>
      <c r="CW315">
        <f>IF($S315="","",IF(UPPER(TRIM($S315))&lt;&gt;"PASS","",IF(LEN(TRIM($BY315))&gt;0,"NOTES_PRESENT",IF(LEN(TRIM($T315))=0,"SET_NA",IF(OR(LOWER(TRIM($T315))="na",LOWER(TRIM($T315))="n/a"),"OK","MANUAL_OVERRIDE")))))</f>
        <v/>
      </c>
    </row>
    <row r="316">
      <c r="A316" t="inlineStr">
        <is>
          <t>Neuron</t>
        </is>
      </c>
      <c r="B316" t="inlineStr">
        <is>
          <t>No</t>
        </is>
      </c>
      <c r="C316" t="inlineStr">
        <is>
          <t>No</t>
        </is>
      </c>
      <c r="D316">
        <f>IF($B316&lt;&gt;"Yes","",IF($C316="No","Yes",IF($C316="Yes","No","")))</f>
        <v/>
      </c>
      <c r="E316">
        <f>IF($A316="","",IF(OR(AND($V316&lt;&gt;"",LOWER(TRIM($V316))&lt;&gt;"n/a",LOWER(TRIM($V316))&lt;&gt;"na",SUMPRODUCT(--(UPPER(TRIM($V$2:$V$518))=UPPER(TRIM($V316))),--(TRIM($V$2:$V$518)&lt;&gt;""),--(LOWER(TRIM($V$2:$V$518))&lt;&gt;"n/a"),--(LOWER(TRIM($V$2:$V$518))&lt;&gt;"na"))&gt;1),AND($W316&lt;&gt;"",LOWER(TRIM($W316))&lt;&gt;"n/a",LOWER(TRIM($W316))&lt;&gt;"na",SUMPRODUCT(--(UPPER(TRIM($W$2:$W$518))=UPPER(TRIM($W316))),--(TRIM($W$2:$W$518)&lt;&gt;""),--(LOWER(TRIM($W$2:$W$518))&lt;&gt;"n/a"),--(LOWER(TRIM($W$2:$W$518))&lt;&gt;"na"))&gt;1),AND($X316&lt;&gt;"",LOWER(TRIM($X316))&lt;&gt;"n/a",LOWER(TRIM($X316))&lt;&gt;"na",SUMPRODUCT(--(UPPER(TRIM($X$2:$X$518))=UPPER(TRIM($X316))),--(TRIM($X$2:$X$518)&lt;&gt;""),--(LOWER(TRIM($X$2:$X$518))&lt;&gt;"n/a"),--(LOWER(TRIM($X$2:$X$518))&lt;&gt;"na"))&gt;1),AND($Y316&lt;&gt;"",LOWER(TRIM($Y316))&lt;&gt;"n/a",LOWER(TRIM($Y316))&lt;&gt;"na",SUMPRODUCT(--(UPPER(SUBSTITUTE(SUBSTITUTE(TRIM($Y$2:$Y$518),":",""),"-",""))=UPPER(SUBSTITUTE(SUBSTITUTE(TRIM($Y316),":",""),"-",""))),--(TRIM($Y$2:$Y$518)&lt;&gt;""),--(LOWER(TRIM($Y$2:$Y$518))&lt;&gt;"n/a"),--(LOWER(TRIM($Y$2:$Y$518))&lt;&gt;"na"))&gt;1),AND($AB316&lt;&gt;"",LOWER(TRIM($AB316))&lt;&gt;"n/a",LOWER(TRIM($AB316))&lt;&gt;"na",SUMPRODUCT(--(UPPER(TRIM($AB$2:$AB$518))=UPPER(TRIM($AB316))),--(TRIM($AB$2:$AB$518)&lt;&gt;""),--(LOWER(TRIM($AB$2:$AB$518))&lt;&gt;"n/a"),--(LOWER(TRIM($AB$2:$AB$518))&lt;&gt;"na"))&gt;1),AND($AH316&lt;&gt;"",LOWER(TRIM($AH316))&lt;&gt;"n/a",LOWER(TRIM($AH316))&lt;&gt;"na",SUMPRODUCT(--(UPPER(SUBSTITUTE(SUBSTITUTE(TRIM($AH$2:$AH$518),":",""),"-",""))=UPPER(SUBSTITUTE(SUBSTITUTE(TRIM($AH316),":",""),"-",""))),--(TRIM($AH$2:$AH$518)&lt;&gt;""),--(LOWER(TRIM($AH$2:$AH$518))&lt;&gt;"n/a"),--(LOWER(TRIM($AH$2:$AH$518))&lt;&gt;"na"))&gt;1),AND($AP316&lt;&gt;"",LOWER(TRIM($AP316))&lt;&gt;"n/a",LOWER(TRIM($AP316))&lt;&gt;"na",SUMPRODUCT(--(UPPER(TRIM($AP$2:$AP$518))=UPPER(TRIM($AP316))),--(TRIM($AP$2:$AP$518)&lt;&gt;""),--(LOWER(TRIM($AP$2:$AP$518))&lt;&gt;"n/a"),--(LOWER(TRIM($AP$2:$AP$518))&lt;&gt;"na"))&gt;1),AND($AQ316&lt;&gt;"",LOWER(TRIM($AQ316))&lt;&gt;"n/a",LOWER(TRIM($AQ316))&lt;&gt;"na",SUMPRODUCT(--(UPPER(TRIM($AQ$2:$AQ$518))=UPPER(TRIM($AQ316))),--(TRIM($AQ$2:$AQ$518)&lt;&gt;""),--(LOWER(TRIM($AQ$2:$AQ$518))&lt;&gt;"n/a"),--(LOWER(TRIM($AQ$2:$AQ$518))&lt;&gt;"na"))&gt;1)),"Yes","No"))</f>
        <v/>
      </c>
      <c r="F316">
        <f>IF(UPPER(TRIM($B316))&lt;&gt;"YES","", IF(OR(AND($V316&lt;&gt;"", LOWER(TRIM($V316))&lt;&gt;"n/a", LOWER(TRIM($V316))&lt;&gt;"na", SUMPRODUCT(--(UPPER(TRIM($V$2:$V$518))=UPPER(TRIM($V316))), --(UPPER(TRIM($B$2:$B$518))="YES"), --(UPPER(TRIM($G$2:$G$518)&amp;TRIM($I$2:$I$518)&amp;TRIM($J$2:$J$518))&lt;&gt;UPPER(TRIM($G316)&amp;TRIM($I316)&amp;TRIM($J316))))&gt;0), AND($W316&lt;&gt;"", LOWER(TRIM($W316))&lt;&gt;"n/a", LOWER(TRIM($W316))&lt;&gt;"na", SUMPRODUCT(--(UPPER(TRIM($W$2:$W$518))=UPPER(TRIM($W316))), --(UPPER(TRIM($B$2:$B$518))="YES"), --(UPPER(TRIM($G$2:$G$518)&amp;TRIM($I$2:$I$518)&amp;TRIM($J$2:$J$518))&lt;&gt;UPPER(TRIM($G316)&amp;TRIM($I316)&amp;TRIM($J316))))&gt;0), AND($X316&lt;&gt;"", LOWER(TRIM($X316))&lt;&gt;"n/a", LOWER(TRIM($X316))&lt;&gt;"na", SUMPRODUCT(--(UPPER(TRIM($X$2:$X$518))=UPPER(TRIM($X316))), --(UPPER(TRIM($B$2:$B$518))="YES"), --(UPPER(TRIM($G$2:$G$518)&amp;TRIM($I$2:$I$518)&amp;TRIM($J$2:$J$518))&lt;&gt;UPPER(TRIM($G316)&amp;TRIM($I316)&amp;TRIM($J316))))&gt;0), AND($Y316&lt;&gt;"", LOWER(TRIM($Y316))&lt;&gt;"n/a", LOWER(TRIM($Y316))&lt;&gt;"na", SUMPRODUCT(--(UPPER(SUBSTITUTE(SUBSTITUTE(TRIM($Y$2:$Y$518),":",""),"-",""))=UPPER(SUBSTITUTE(SUBSTITUTE(TRIM($Y316),":",""),"-",""))), --(UPPER(TRIM($B$2:$B$518))="YES"), --(UPPER(TRIM($G$2:$G$518)&amp;TRIM($I$2:$I$518)&amp;TRIM($J$2:$J$518))&lt;&gt;UPPER(TRIM($G316)&amp;TRIM($I316)&amp;TRIM($J316))))&gt;0), AND($AB316&lt;&gt;"", LOWER(TRIM($AB316))&lt;&gt;"n/a", LOWER(TRIM($AB316))&lt;&gt;"na", SUMPRODUCT(--(UPPER(TRIM($AB$2:$AB$518))=UPPER(TRIM($AB316))), --(UPPER(TRIM($B$2:$B$518))="YES"), --(UPPER(TRIM($G$2:$G$518)&amp;TRIM($I$2:$I$518)&amp;TRIM($J$2:$J$518))&lt;&gt;UPPER(TRIM($G316)&amp;TRIM($I316)&amp;TRIM($J316))))&gt;0), AND($AH316&lt;&gt;"", LOWER(TRIM($AH316))&lt;&gt;"n/a", LOWER(TRIM($AH316))&lt;&gt;"na", SUMPRODUCT(--(UPPER(SUBSTITUTE(SUBSTITUTE(TRIM($AH$2:$AH$518),":",""),"-",""))=UPPER(SUBSTITUTE(SUBSTITUTE(TRIM($AH316),":",""),"-",""))), --(UPPER(TRIM($B$2:$B$518))="YES"), --(UPPER(TRIM($G$2:$G$518)&amp;TRIM($I$2:$I$518)&amp;TRIM($J$2:$J$518))&lt;&gt;UPPER(TRIM($G316)&amp;TRIM($I316)&amp;TRIM($J316))))&gt;0), AND($AP316&lt;&gt;"", LOWER(TRIM($AP316))&lt;&gt;"n/a", LOWER(TRIM($AP316))&lt;&gt;"na", SUMPRODUCT(--(UPPER(TRIM($AP$2:$AP$518))=UPPER(TRIM($AP316))), --(UPPER(TRIM($B$2:$B$518))="YES"), --(UPPER(TRIM($G$2:$G$518)&amp;TRIM($I$2:$I$518)&amp;TRIM($J$2:$J$518))&lt;&gt;UPPER(TRIM($G316)&amp;TRIM($I316)&amp;TRIM($J316))))&gt;0), AND($AQ316&lt;&gt;"", LOWER(TRIM($AQ316))&lt;&gt;"n/a", LOWER(TRIM($AQ316))&lt;&gt;"na", SUMPRODUCT(--(UPPER(TRIM($AQ$2:$AQ$518))=UPPER(TRIM($AQ316))), --(UPPER(TRIM($B$2:$B$518))="YES"), --(UPPER(TRIM($G$2:$G$518)&amp;TRIM($I$2:$I$518)&amp;TRIM($J$2:$J$518))&lt;&gt;UPPER(TRIM($G316)&amp;TRIM($I316)&amp;TRIM($J316))))&gt;0)), "Yes", "No"))</f>
        <v/>
      </c>
      <c r="X316" t="inlineStr">
        <is>
          <t>NSUH-MACH-AO</t>
        </is>
      </c>
      <c r="Y316" t="inlineStr">
        <is>
          <t>A0F5097FEEDA</t>
        </is>
      </c>
      <c r="AB316" t="inlineStr">
        <is>
          <t>WA24406197</t>
        </is>
      </c>
      <c r="CD316">
        <f>IF($Y316="","",IF((IF(AND($BR316&lt;&gt;"Yes",$BR316&lt;&gt;"N/A"),"Power Cable, ","")&amp;IF(AND($BS316&lt;&gt;"Yes",$BS316&lt;&gt;"N/A"),"Battery, ","")&amp;IF(AND($AD316&lt;&gt;"Yes",$AD316&lt;&gt;"N/A"),"Firmware Download, ","")&amp;IF(AND(OR($AD316="Yes",$AD316="N/A"),$AE316&lt;&gt;"Yes",$AE316&lt;&gt;"N/A"),"Firmware Install, ","")&amp;IF(AND($CB316&lt;&gt;"Yes",$CB316&lt;&gt;"N/A"),"Device ID, ","")&amp;IF(AND($CC316&lt;&gt;"Yes",$CC316&lt;&gt;"N/A"),"Epic Beans Relay, ",""))="","",LEFT(IF(AND($BR316&lt;&gt;"Yes",$BR316&lt;&gt;"N/A"),"Power Cable, ","")&amp;IF(AND($BS316&lt;&gt;"Yes",$BS316&lt;&gt;"N/A"),"Battery, ","")&amp;IF(AND($AD316&lt;&gt;"Yes",$AD316&lt;&gt;"N/A"),"Firmware Download, ","")&amp;IF(AND(OR($AD316="Yes",$AD316="N/A"),$AE316&lt;&gt;"Yes",$AE316&lt;&gt;"N/A"),"Firmware Install, ","")&amp;IF(AND($CB316&lt;&gt;"Yes",$CB316&lt;&gt;"N/A"),"Device ID, ","")&amp;IF(AND($CC316&lt;&gt;"Yes",$CC316&lt;&gt;"N/A"),"Epic Beans Relay, ",""),LEN(IF(AND($BR316&lt;&gt;"Yes",$BR316&lt;&gt;"N/A"),"Power Cable, ","")&amp;IF(AND($BS316&lt;&gt;"Yes",$BS316&lt;&gt;"N/A"),"Battery, ","")&amp;IF(AND($AD316&lt;&gt;"Yes",$AD316&lt;&gt;"N/A"),"Firmware Download, ","")&amp;IF(AND(OR($AD316="Yes",$AD316="N/A"),$AE316&lt;&gt;"Yes",$AE316&lt;&gt;"N/A"),"Firmware Install, ","")&amp;IF(AND($CB316&lt;&gt;"Yes",$CB316&lt;&gt;"N/A"),"Device ID, ","")&amp;IF(AND($CC316&lt;&gt;"Yes",$CC316&lt;&gt;"N/A"),"Epic Beans Relay, ",""))-2)))</f>
        <v/>
      </c>
      <c r="CE316">
        <f>IF($Y316="","",IF($CD316="","Yes","Blocked"))</f>
        <v/>
      </c>
      <c r="CP316">
        <f>IF($CO316="","",IFERROR(VLOOKUP($CO316,'01_Warehouse_Ledger'!$A:$N,4,FALSE),""))</f>
        <v/>
      </c>
      <c r="CQ316">
        <f>IF($CO316="","",IFERROR(VLOOKUP($CO316,'01_Warehouse_Ledger'!$A:$N,5,FALSE),""))</f>
        <v/>
      </c>
      <c r="CR316">
        <f>IF($CO316="","",IFERROR(VLOOKUP($CO316,'01_Warehouse_Ledger'!$A:$N,13,FALSE),""))</f>
        <v/>
      </c>
      <c r="CW316">
        <f>IF($S316="","",IF(UPPER(TRIM($S316))&lt;&gt;"PASS","",IF(LEN(TRIM($BY316))&gt;0,"NOTES_PRESENT",IF(LEN(TRIM($T316))=0,"SET_NA",IF(OR(LOWER(TRIM($T316))="na",LOWER(TRIM($T316))="n/a"),"OK","MANUAL_OVERRIDE")))))</f>
        <v/>
      </c>
    </row>
    <row r="317">
      <c r="A317" t="inlineStr">
        <is>
          <t>Neuron</t>
        </is>
      </c>
      <c r="B317" t="inlineStr">
        <is>
          <t>No</t>
        </is>
      </c>
      <c r="C317" t="inlineStr">
        <is>
          <t>No</t>
        </is>
      </c>
      <c r="D317">
        <f>IF($B317&lt;&gt;"Yes","",IF($C317="No","Yes",IF($C317="Yes","No","")))</f>
        <v/>
      </c>
      <c r="E317">
        <f>IF($A317="","",IF(OR(AND($V317&lt;&gt;"",LOWER(TRIM($V317))&lt;&gt;"n/a",LOWER(TRIM($V317))&lt;&gt;"na",SUMPRODUCT(--(UPPER(TRIM($V$2:$V$518))=UPPER(TRIM($V317))),--(TRIM($V$2:$V$518)&lt;&gt;""),--(LOWER(TRIM($V$2:$V$518))&lt;&gt;"n/a"),--(LOWER(TRIM($V$2:$V$518))&lt;&gt;"na"))&gt;1),AND($W317&lt;&gt;"",LOWER(TRIM($W317))&lt;&gt;"n/a",LOWER(TRIM($W317))&lt;&gt;"na",SUMPRODUCT(--(UPPER(TRIM($W$2:$W$518))=UPPER(TRIM($W317))),--(TRIM($W$2:$W$518)&lt;&gt;""),--(LOWER(TRIM($W$2:$W$518))&lt;&gt;"n/a"),--(LOWER(TRIM($W$2:$W$518))&lt;&gt;"na"))&gt;1),AND($X317&lt;&gt;"",LOWER(TRIM($X317))&lt;&gt;"n/a",LOWER(TRIM($X317))&lt;&gt;"na",SUMPRODUCT(--(UPPER(TRIM($X$2:$X$518))=UPPER(TRIM($X317))),--(TRIM($X$2:$X$518)&lt;&gt;""),--(LOWER(TRIM($X$2:$X$518))&lt;&gt;"n/a"),--(LOWER(TRIM($X$2:$X$518))&lt;&gt;"na"))&gt;1),AND($Y317&lt;&gt;"",LOWER(TRIM($Y317))&lt;&gt;"n/a",LOWER(TRIM($Y317))&lt;&gt;"na",SUMPRODUCT(--(UPPER(SUBSTITUTE(SUBSTITUTE(TRIM($Y$2:$Y$518),":",""),"-",""))=UPPER(SUBSTITUTE(SUBSTITUTE(TRIM($Y317),":",""),"-",""))),--(TRIM($Y$2:$Y$518)&lt;&gt;""),--(LOWER(TRIM($Y$2:$Y$518))&lt;&gt;"n/a"),--(LOWER(TRIM($Y$2:$Y$518))&lt;&gt;"na"))&gt;1),AND($AB317&lt;&gt;"",LOWER(TRIM($AB317))&lt;&gt;"n/a",LOWER(TRIM($AB317))&lt;&gt;"na",SUMPRODUCT(--(UPPER(TRIM($AB$2:$AB$518))=UPPER(TRIM($AB317))),--(TRIM($AB$2:$AB$518)&lt;&gt;""),--(LOWER(TRIM($AB$2:$AB$518))&lt;&gt;"n/a"),--(LOWER(TRIM($AB$2:$AB$518))&lt;&gt;"na"))&gt;1),AND($AH317&lt;&gt;"",LOWER(TRIM($AH317))&lt;&gt;"n/a",LOWER(TRIM($AH317))&lt;&gt;"na",SUMPRODUCT(--(UPPER(SUBSTITUTE(SUBSTITUTE(TRIM($AH$2:$AH$518),":",""),"-",""))=UPPER(SUBSTITUTE(SUBSTITUTE(TRIM($AH317),":",""),"-",""))),--(TRIM($AH$2:$AH$518)&lt;&gt;""),--(LOWER(TRIM($AH$2:$AH$518))&lt;&gt;"n/a"),--(LOWER(TRIM($AH$2:$AH$518))&lt;&gt;"na"))&gt;1),AND($AP317&lt;&gt;"",LOWER(TRIM($AP317))&lt;&gt;"n/a",LOWER(TRIM($AP317))&lt;&gt;"na",SUMPRODUCT(--(UPPER(TRIM($AP$2:$AP$518))=UPPER(TRIM($AP317))),--(TRIM($AP$2:$AP$518)&lt;&gt;""),--(LOWER(TRIM($AP$2:$AP$518))&lt;&gt;"n/a"),--(LOWER(TRIM($AP$2:$AP$518))&lt;&gt;"na"))&gt;1),AND($AQ317&lt;&gt;"",LOWER(TRIM($AQ317))&lt;&gt;"n/a",LOWER(TRIM($AQ317))&lt;&gt;"na",SUMPRODUCT(--(UPPER(TRIM($AQ$2:$AQ$518))=UPPER(TRIM($AQ317))),--(TRIM($AQ$2:$AQ$518)&lt;&gt;""),--(LOWER(TRIM($AQ$2:$AQ$518))&lt;&gt;"n/a"),--(LOWER(TRIM($AQ$2:$AQ$518))&lt;&gt;"na"))&gt;1)),"Yes","No"))</f>
        <v/>
      </c>
      <c r="F317">
        <f>IF(UPPER(TRIM($B317))&lt;&gt;"YES","", IF(OR(AND($V317&lt;&gt;"", LOWER(TRIM($V317))&lt;&gt;"n/a", LOWER(TRIM($V317))&lt;&gt;"na", SUMPRODUCT(--(UPPER(TRIM($V$2:$V$518))=UPPER(TRIM($V317))), --(UPPER(TRIM($B$2:$B$518))="YES"), --(UPPER(TRIM($G$2:$G$518)&amp;TRIM($I$2:$I$518)&amp;TRIM($J$2:$J$518))&lt;&gt;UPPER(TRIM($G317)&amp;TRIM($I317)&amp;TRIM($J317))))&gt;0), AND($W317&lt;&gt;"", LOWER(TRIM($W317))&lt;&gt;"n/a", LOWER(TRIM($W317))&lt;&gt;"na", SUMPRODUCT(--(UPPER(TRIM($W$2:$W$518))=UPPER(TRIM($W317))), --(UPPER(TRIM($B$2:$B$518))="YES"), --(UPPER(TRIM($G$2:$G$518)&amp;TRIM($I$2:$I$518)&amp;TRIM($J$2:$J$518))&lt;&gt;UPPER(TRIM($G317)&amp;TRIM($I317)&amp;TRIM($J317))))&gt;0), AND($X317&lt;&gt;"", LOWER(TRIM($X317))&lt;&gt;"n/a", LOWER(TRIM($X317))&lt;&gt;"na", SUMPRODUCT(--(UPPER(TRIM($X$2:$X$518))=UPPER(TRIM($X317))), --(UPPER(TRIM($B$2:$B$518))="YES"), --(UPPER(TRIM($G$2:$G$518)&amp;TRIM($I$2:$I$518)&amp;TRIM($J$2:$J$518))&lt;&gt;UPPER(TRIM($G317)&amp;TRIM($I317)&amp;TRIM($J317))))&gt;0), AND($Y317&lt;&gt;"", LOWER(TRIM($Y317))&lt;&gt;"n/a", LOWER(TRIM($Y317))&lt;&gt;"na", SUMPRODUCT(--(UPPER(SUBSTITUTE(SUBSTITUTE(TRIM($Y$2:$Y$518),":",""),"-",""))=UPPER(SUBSTITUTE(SUBSTITUTE(TRIM($Y317),":",""),"-",""))), --(UPPER(TRIM($B$2:$B$518))="YES"), --(UPPER(TRIM($G$2:$G$518)&amp;TRIM($I$2:$I$518)&amp;TRIM($J$2:$J$518))&lt;&gt;UPPER(TRIM($G317)&amp;TRIM($I317)&amp;TRIM($J317))))&gt;0), AND($AB317&lt;&gt;"", LOWER(TRIM($AB317))&lt;&gt;"n/a", LOWER(TRIM($AB317))&lt;&gt;"na", SUMPRODUCT(--(UPPER(TRIM($AB$2:$AB$518))=UPPER(TRIM($AB317))), --(UPPER(TRIM($B$2:$B$518))="YES"), --(UPPER(TRIM($G$2:$G$518)&amp;TRIM($I$2:$I$518)&amp;TRIM($J$2:$J$518))&lt;&gt;UPPER(TRIM($G317)&amp;TRIM($I317)&amp;TRIM($J317))))&gt;0), AND($AH317&lt;&gt;"", LOWER(TRIM($AH317))&lt;&gt;"n/a", LOWER(TRIM($AH317))&lt;&gt;"na", SUMPRODUCT(--(UPPER(SUBSTITUTE(SUBSTITUTE(TRIM($AH$2:$AH$518),":",""),"-",""))=UPPER(SUBSTITUTE(SUBSTITUTE(TRIM($AH317),":",""),"-",""))), --(UPPER(TRIM($B$2:$B$518))="YES"), --(UPPER(TRIM($G$2:$G$518)&amp;TRIM($I$2:$I$518)&amp;TRIM($J$2:$J$518))&lt;&gt;UPPER(TRIM($G317)&amp;TRIM($I317)&amp;TRIM($J317))))&gt;0), AND($AP317&lt;&gt;"", LOWER(TRIM($AP317))&lt;&gt;"n/a", LOWER(TRIM($AP317))&lt;&gt;"na", SUMPRODUCT(--(UPPER(TRIM($AP$2:$AP$518))=UPPER(TRIM($AP317))), --(UPPER(TRIM($B$2:$B$518))="YES"), --(UPPER(TRIM($G$2:$G$518)&amp;TRIM($I$2:$I$518)&amp;TRIM($J$2:$J$518))&lt;&gt;UPPER(TRIM($G317)&amp;TRIM($I317)&amp;TRIM($J317))))&gt;0), AND($AQ317&lt;&gt;"", LOWER(TRIM($AQ317))&lt;&gt;"n/a", LOWER(TRIM($AQ317))&lt;&gt;"na", SUMPRODUCT(--(UPPER(TRIM($AQ$2:$AQ$518))=UPPER(TRIM($AQ317))), --(UPPER(TRIM($B$2:$B$518))="YES"), --(UPPER(TRIM($G$2:$G$518)&amp;TRIM($I$2:$I$518)&amp;TRIM($J$2:$J$518))&lt;&gt;UPPER(TRIM($G317)&amp;TRIM($I317)&amp;TRIM($J317))))&gt;0)), "Yes", "No"))</f>
        <v/>
      </c>
      <c r="X317" t="inlineStr">
        <is>
          <t>NSUH-MACH-AM</t>
        </is>
      </c>
      <c r="Y317" t="inlineStr">
        <is>
          <t>A0F5097FE10A</t>
        </is>
      </c>
      <c r="AB317" t="inlineStr">
        <is>
          <t>WA24406121</t>
        </is>
      </c>
      <c r="CD317">
        <f>IF($Y317="","",IF((IF(AND($BR317&lt;&gt;"Yes",$BR317&lt;&gt;"N/A"),"Power Cable, ","")&amp;IF(AND($BS317&lt;&gt;"Yes",$BS317&lt;&gt;"N/A"),"Battery, ","")&amp;IF(AND($AD317&lt;&gt;"Yes",$AD317&lt;&gt;"N/A"),"Firmware Download, ","")&amp;IF(AND(OR($AD317="Yes",$AD317="N/A"),$AE317&lt;&gt;"Yes",$AE317&lt;&gt;"N/A"),"Firmware Install, ","")&amp;IF(AND($CB317&lt;&gt;"Yes",$CB317&lt;&gt;"N/A"),"Device ID, ","")&amp;IF(AND($CC317&lt;&gt;"Yes",$CC317&lt;&gt;"N/A"),"Epic Beans Relay, ",""))="","",LEFT(IF(AND($BR317&lt;&gt;"Yes",$BR317&lt;&gt;"N/A"),"Power Cable, ","")&amp;IF(AND($BS317&lt;&gt;"Yes",$BS317&lt;&gt;"N/A"),"Battery, ","")&amp;IF(AND($AD317&lt;&gt;"Yes",$AD317&lt;&gt;"N/A"),"Firmware Download, ","")&amp;IF(AND(OR($AD317="Yes",$AD317="N/A"),$AE317&lt;&gt;"Yes",$AE317&lt;&gt;"N/A"),"Firmware Install, ","")&amp;IF(AND($CB317&lt;&gt;"Yes",$CB317&lt;&gt;"N/A"),"Device ID, ","")&amp;IF(AND($CC317&lt;&gt;"Yes",$CC317&lt;&gt;"N/A"),"Epic Beans Relay, ",""),LEN(IF(AND($BR317&lt;&gt;"Yes",$BR317&lt;&gt;"N/A"),"Power Cable, ","")&amp;IF(AND($BS317&lt;&gt;"Yes",$BS317&lt;&gt;"N/A"),"Battery, ","")&amp;IF(AND($AD317&lt;&gt;"Yes",$AD317&lt;&gt;"N/A"),"Firmware Download, ","")&amp;IF(AND(OR($AD317="Yes",$AD317="N/A"),$AE317&lt;&gt;"Yes",$AE317&lt;&gt;"N/A"),"Firmware Install, ","")&amp;IF(AND($CB317&lt;&gt;"Yes",$CB317&lt;&gt;"N/A"),"Device ID, ","")&amp;IF(AND($CC317&lt;&gt;"Yes",$CC317&lt;&gt;"N/A"),"Epic Beans Relay, ",""))-2)))</f>
        <v/>
      </c>
      <c r="CE317">
        <f>IF($Y317="","",IF($CD317="","Yes","Blocked"))</f>
        <v/>
      </c>
      <c r="CP317">
        <f>IF($CO317="","",IFERROR(VLOOKUP($CO317,'01_Warehouse_Ledger'!$A:$N,4,FALSE),""))</f>
        <v/>
      </c>
      <c r="CQ317">
        <f>IF($CO317="","",IFERROR(VLOOKUP($CO317,'01_Warehouse_Ledger'!$A:$N,5,FALSE),""))</f>
        <v/>
      </c>
      <c r="CR317">
        <f>IF($CO317="","",IFERROR(VLOOKUP($CO317,'01_Warehouse_Ledger'!$A:$N,13,FALSE),""))</f>
        <v/>
      </c>
      <c r="CW317">
        <f>IF($S317="","",IF(UPPER(TRIM($S317))&lt;&gt;"PASS","",IF(LEN(TRIM($BY317))&gt;0,"NOTES_PRESENT",IF(LEN(TRIM($T317))=0,"SET_NA",IF(OR(LOWER(TRIM($T317))="na",LOWER(TRIM($T317))="n/a"),"OK","MANUAL_OVERRIDE")))))</f>
        <v/>
      </c>
    </row>
    <row r="318">
      <c r="A318" t="inlineStr">
        <is>
          <t>Neuron</t>
        </is>
      </c>
      <c r="B318" t="inlineStr">
        <is>
          <t>No</t>
        </is>
      </c>
      <c r="C318" t="inlineStr">
        <is>
          <t>No</t>
        </is>
      </c>
      <c r="D318">
        <f>IF($B318&lt;&gt;"Yes","",IF($C318="No","Yes",IF($C318="Yes","No","")))</f>
        <v/>
      </c>
      <c r="E318">
        <f>IF($A318="","",IF(OR(AND($V318&lt;&gt;"",LOWER(TRIM($V318))&lt;&gt;"n/a",LOWER(TRIM($V318))&lt;&gt;"na",SUMPRODUCT(--(UPPER(TRIM($V$2:$V$518))=UPPER(TRIM($V318))),--(TRIM($V$2:$V$518)&lt;&gt;""),--(LOWER(TRIM($V$2:$V$518))&lt;&gt;"n/a"),--(LOWER(TRIM($V$2:$V$518))&lt;&gt;"na"))&gt;1),AND($W318&lt;&gt;"",LOWER(TRIM($W318))&lt;&gt;"n/a",LOWER(TRIM($W318))&lt;&gt;"na",SUMPRODUCT(--(UPPER(TRIM($W$2:$W$518))=UPPER(TRIM($W318))),--(TRIM($W$2:$W$518)&lt;&gt;""),--(LOWER(TRIM($W$2:$W$518))&lt;&gt;"n/a"),--(LOWER(TRIM($W$2:$W$518))&lt;&gt;"na"))&gt;1),AND($X318&lt;&gt;"",LOWER(TRIM($X318))&lt;&gt;"n/a",LOWER(TRIM($X318))&lt;&gt;"na",SUMPRODUCT(--(UPPER(TRIM($X$2:$X$518))=UPPER(TRIM($X318))),--(TRIM($X$2:$X$518)&lt;&gt;""),--(LOWER(TRIM($X$2:$X$518))&lt;&gt;"n/a"),--(LOWER(TRIM($X$2:$X$518))&lt;&gt;"na"))&gt;1),AND($Y318&lt;&gt;"",LOWER(TRIM($Y318))&lt;&gt;"n/a",LOWER(TRIM($Y318))&lt;&gt;"na",SUMPRODUCT(--(UPPER(SUBSTITUTE(SUBSTITUTE(TRIM($Y$2:$Y$518),":",""),"-",""))=UPPER(SUBSTITUTE(SUBSTITUTE(TRIM($Y318),":",""),"-",""))),--(TRIM($Y$2:$Y$518)&lt;&gt;""),--(LOWER(TRIM($Y$2:$Y$518))&lt;&gt;"n/a"),--(LOWER(TRIM($Y$2:$Y$518))&lt;&gt;"na"))&gt;1),AND($AB318&lt;&gt;"",LOWER(TRIM($AB318))&lt;&gt;"n/a",LOWER(TRIM($AB318))&lt;&gt;"na",SUMPRODUCT(--(UPPER(TRIM($AB$2:$AB$518))=UPPER(TRIM($AB318))),--(TRIM($AB$2:$AB$518)&lt;&gt;""),--(LOWER(TRIM($AB$2:$AB$518))&lt;&gt;"n/a"),--(LOWER(TRIM($AB$2:$AB$518))&lt;&gt;"na"))&gt;1),AND($AH318&lt;&gt;"",LOWER(TRIM($AH318))&lt;&gt;"n/a",LOWER(TRIM($AH318))&lt;&gt;"na",SUMPRODUCT(--(UPPER(SUBSTITUTE(SUBSTITUTE(TRIM($AH$2:$AH$518),":",""),"-",""))=UPPER(SUBSTITUTE(SUBSTITUTE(TRIM($AH318),":",""),"-",""))),--(TRIM($AH$2:$AH$518)&lt;&gt;""),--(LOWER(TRIM($AH$2:$AH$518))&lt;&gt;"n/a"),--(LOWER(TRIM($AH$2:$AH$518))&lt;&gt;"na"))&gt;1),AND($AP318&lt;&gt;"",LOWER(TRIM($AP318))&lt;&gt;"n/a",LOWER(TRIM($AP318))&lt;&gt;"na",SUMPRODUCT(--(UPPER(TRIM($AP$2:$AP$518))=UPPER(TRIM($AP318))),--(TRIM($AP$2:$AP$518)&lt;&gt;""),--(LOWER(TRIM($AP$2:$AP$518))&lt;&gt;"n/a"),--(LOWER(TRIM($AP$2:$AP$518))&lt;&gt;"na"))&gt;1),AND($AQ318&lt;&gt;"",LOWER(TRIM($AQ318))&lt;&gt;"n/a",LOWER(TRIM($AQ318))&lt;&gt;"na",SUMPRODUCT(--(UPPER(TRIM($AQ$2:$AQ$518))=UPPER(TRIM($AQ318))),--(TRIM($AQ$2:$AQ$518)&lt;&gt;""),--(LOWER(TRIM($AQ$2:$AQ$518))&lt;&gt;"n/a"),--(LOWER(TRIM($AQ$2:$AQ$518))&lt;&gt;"na"))&gt;1)),"Yes","No"))</f>
        <v/>
      </c>
      <c r="F318">
        <f>IF(UPPER(TRIM($B318))&lt;&gt;"YES","", IF(OR(AND($V318&lt;&gt;"", LOWER(TRIM($V318))&lt;&gt;"n/a", LOWER(TRIM($V318))&lt;&gt;"na", SUMPRODUCT(--(UPPER(TRIM($V$2:$V$518))=UPPER(TRIM($V318))), --(UPPER(TRIM($B$2:$B$518))="YES"), --(UPPER(TRIM($G$2:$G$518)&amp;TRIM($I$2:$I$518)&amp;TRIM($J$2:$J$518))&lt;&gt;UPPER(TRIM($G318)&amp;TRIM($I318)&amp;TRIM($J318))))&gt;0), AND($W318&lt;&gt;"", LOWER(TRIM($W318))&lt;&gt;"n/a", LOWER(TRIM($W318))&lt;&gt;"na", SUMPRODUCT(--(UPPER(TRIM($W$2:$W$518))=UPPER(TRIM($W318))), --(UPPER(TRIM($B$2:$B$518))="YES"), --(UPPER(TRIM($G$2:$G$518)&amp;TRIM($I$2:$I$518)&amp;TRIM($J$2:$J$518))&lt;&gt;UPPER(TRIM($G318)&amp;TRIM($I318)&amp;TRIM($J318))))&gt;0), AND($X318&lt;&gt;"", LOWER(TRIM($X318))&lt;&gt;"n/a", LOWER(TRIM($X318))&lt;&gt;"na", SUMPRODUCT(--(UPPER(TRIM($X$2:$X$518))=UPPER(TRIM($X318))), --(UPPER(TRIM($B$2:$B$518))="YES"), --(UPPER(TRIM($G$2:$G$518)&amp;TRIM($I$2:$I$518)&amp;TRIM($J$2:$J$518))&lt;&gt;UPPER(TRIM($G318)&amp;TRIM($I318)&amp;TRIM($J318))))&gt;0), AND($Y318&lt;&gt;"", LOWER(TRIM($Y318))&lt;&gt;"n/a", LOWER(TRIM($Y318))&lt;&gt;"na", SUMPRODUCT(--(UPPER(SUBSTITUTE(SUBSTITUTE(TRIM($Y$2:$Y$518),":",""),"-",""))=UPPER(SUBSTITUTE(SUBSTITUTE(TRIM($Y318),":",""),"-",""))), --(UPPER(TRIM($B$2:$B$518))="YES"), --(UPPER(TRIM($G$2:$G$518)&amp;TRIM($I$2:$I$518)&amp;TRIM($J$2:$J$518))&lt;&gt;UPPER(TRIM($G318)&amp;TRIM($I318)&amp;TRIM($J318))))&gt;0), AND($AB318&lt;&gt;"", LOWER(TRIM($AB318))&lt;&gt;"n/a", LOWER(TRIM($AB318))&lt;&gt;"na", SUMPRODUCT(--(UPPER(TRIM($AB$2:$AB$518))=UPPER(TRIM($AB318))), --(UPPER(TRIM($B$2:$B$518))="YES"), --(UPPER(TRIM($G$2:$G$518)&amp;TRIM($I$2:$I$518)&amp;TRIM($J$2:$J$518))&lt;&gt;UPPER(TRIM($G318)&amp;TRIM($I318)&amp;TRIM($J318))))&gt;0), AND($AH318&lt;&gt;"", LOWER(TRIM($AH318))&lt;&gt;"n/a", LOWER(TRIM($AH318))&lt;&gt;"na", SUMPRODUCT(--(UPPER(SUBSTITUTE(SUBSTITUTE(TRIM($AH$2:$AH$518),":",""),"-",""))=UPPER(SUBSTITUTE(SUBSTITUTE(TRIM($AH318),":",""),"-",""))), --(UPPER(TRIM($B$2:$B$518))="YES"), --(UPPER(TRIM($G$2:$G$518)&amp;TRIM($I$2:$I$518)&amp;TRIM($J$2:$J$518))&lt;&gt;UPPER(TRIM($G318)&amp;TRIM($I318)&amp;TRIM($J318))))&gt;0), AND($AP318&lt;&gt;"", LOWER(TRIM($AP318))&lt;&gt;"n/a", LOWER(TRIM($AP318))&lt;&gt;"na", SUMPRODUCT(--(UPPER(TRIM($AP$2:$AP$518))=UPPER(TRIM($AP318))), --(UPPER(TRIM($B$2:$B$518))="YES"), --(UPPER(TRIM($G$2:$G$518)&amp;TRIM($I$2:$I$518)&amp;TRIM($J$2:$J$518))&lt;&gt;UPPER(TRIM($G318)&amp;TRIM($I318)&amp;TRIM($J318))))&gt;0), AND($AQ318&lt;&gt;"", LOWER(TRIM($AQ318))&lt;&gt;"n/a", LOWER(TRIM($AQ318))&lt;&gt;"na", SUMPRODUCT(--(UPPER(TRIM($AQ$2:$AQ$518))=UPPER(TRIM($AQ318))), --(UPPER(TRIM($B$2:$B$518))="YES"), --(UPPER(TRIM($G$2:$G$518)&amp;TRIM($I$2:$I$518)&amp;TRIM($J$2:$J$518))&lt;&gt;UPPER(TRIM($G318)&amp;TRIM($I318)&amp;TRIM($J318))))&gt;0)), "Yes", "No"))</f>
        <v/>
      </c>
      <c r="X318" t="inlineStr">
        <is>
          <t>NSUH-MACH-AJ</t>
        </is>
      </c>
      <c r="Y318" t="inlineStr">
        <is>
          <t>A0F5097FA3EA</t>
        </is>
      </c>
      <c r="AB318" t="inlineStr">
        <is>
          <t>WA23C03103</t>
        </is>
      </c>
      <c r="CD318">
        <f>IF($Y318="","",IF((IF(AND($BR318&lt;&gt;"Yes",$BR318&lt;&gt;"N/A"),"Power Cable, ","")&amp;IF(AND($BS318&lt;&gt;"Yes",$BS318&lt;&gt;"N/A"),"Battery, ","")&amp;IF(AND($AD318&lt;&gt;"Yes",$AD318&lt;&gt;"N/A"),"Firmware Download, ","")&amp;IF(AND(OR($AD318="Yes",$AD318="N/A"),$AE318&lt;&gt;"Yes",$AE318&lt;&gt;"N/A"),"Firmware Install, ","")&amp;IF(AND($CB318&lt;&gt;"Yes",$CB318&lt;&gt;"N/A"),"Device ID, ","")&amp;IF(AND($CC318&lt;&gt;"Yes",$CC318&lt;&gt;"N/A"),"Epic Beans Relay, ",""))="","",LEFT(IF(AND($BR318&lt;&gt;"Yes",$BR318&lt;&gt;"N/A"),"Power Cable, ","")&amp;IF(AND($BS318&lt;&gt;"Yes",$BS318&lt;&gt;"N/A"),"Battery, ","")&amp;IF(AND($AD318&lt;&gt;"Yes",$AD318&lt;&gt;"N/A"),"Firmware Download, ","")&amp;IF(AND(OR($AD318="Yes",$AD318="N/A"),$AE318&lt;&gt;"Yes",$AE318&lt;&gt;"N/A"),"Firmware Install, ","")&amp;IF(AND($CB318&lt;&gt;"Yes",$CB318&lt;&gt;"N/A"),"Device ID, ","")&amp;IF(AND($CC318&lt;&gt;"Yes",$CC318&lt;&gt;"N/A"),"Epic Beans Relay, ",""),LEN(IF(AND($BR318&lt;&gt;"Yes",$BR318&lt;&gt;"N/A"),"Power Cable, ","")&amp;IF(AND($BS318&lt;&gt;"Yes",$BS318&lt;&gt;"N/A"),"Battery, ","")&amp;IF(AND($AD318&lt;&gt;"Yes",$AD318&lt;&gt;"N/A"),"Firmware Download, ","")&amp;IF(AND(OR($AD318="Yes",$AD318="N/A"),$AE318&lt;&gt;"Yes",$AE318&lt;&gt;"N/A"),"Firmware Install, ","")&amp;IF(AND($CB318&lt;&gt;"Yes",$CB318&lt;&gt;"N/A"),"Device ID, ","")&amp;IF(AND($CC318&lt;&gt;"Yes",$CC318&lt;&gt;"N/A"),"Epic Beans Relay, ",""))-2)))</f>
        <v/>
      </c>
      <c r="CE318">
        <f>IF($Y318="","",IF($CD318="","Yes","Blocked"))</f>
        <v/>
      </c>
      <c r="CP318">
        <f>IF($CO318="","",IFERROR(VLOOKUP($CO318,'01_Warehouse_Ledger'!$A:$N,4,FALSE),""))</f>
        <v/>
      </c>
      <c r="CQ318">
        <f>IF($CO318="","",IFERROR(VLOOKUP($CO318,'01_Warehouse_Ledger'!$A:$N,5,FALSE),""))</f>
        <v/>
      </c>
      <c r="CR318">
        <f>IF($CO318="","",IFERROR(VLOOKUP($CO318,'01_Warehouse_Ledger'!$A:$N,13,FALSE),""))</f>
        <v/>
      </c>
      <c r="CW318">
        <f>IF($S318="","",IF(UPPER(TRIM($S318))&lt;&gt;"PASS","",IF(LEN(TRIM($BY318))&gt;0,"NOTES_PRESENT",IF(LEN(TRIM($T318))=0,"SET_NA",IF(OR(LOWER(TRIM($T318))="na",LOWER(TRIM($T318))="n/a"),"OK","MANUAL_OVERRIDE")))))</f>
        <v/>
      </c>
    </row>
    <row r="319">
      <c r="A319" t="inlineStr">
        <is>
          <t>Neuron</t>
        </is>
      </c>
      <c r="B319" t="inlineStr">
        <is>
          <t>No</t>
        </is>
      </c>
      <c r="C319" t="inlineStr">
        <is>
          <t>No</t>
        </is>
      </c>
      <c r="D319">
        <f>IF($B319&lt;&gt;"Yes","",IF($C319="No","Yes",IF($C319="Yes","No","")))</f>
        <v/>
      </c>
      <c r="E319">
        <f>IF($A319="","",IF(OR(AND($V319&lt;&gt;"",LOWER(TRIM($V319))&lt;&gt;"n/a",LOWER(TRIM($V319))&lt;&gt;"na",SUMPRODUCT(--(UPPER(TRIM($V$2:$V$518))=UPPER(TRIM($V319))),--(TRIM($V$2:$V$518)&lt;&gt;""),--(LOWER(TRIM($V$2:$V$518))&lt;&gt;"n/a"),--(LOWER(TRIM($V$2:$V$518))&lt;&gt;"na"))&gt;1),AND($W319&lt;&gt;"",LOWER(TRIM($W319))&lt;&gt;"n/a",LOWER(TRIM($W319))&lt;&gt;"na",SUMPRODUCT(--(UPPER(TRIM($W$2:$W$518))=UPPER(TRIM($W319))),--(TRIM($W$2:$W$518)&lt;&gt;""),--(LOWER(TRIM($W$2:$W$518))&lt;&gt;"n/a"),--(LOWER(TRIM($W$2:$W$518))&lt;&gt;"na"))&gt;1),AND($X319&lt;&gt;"",LOWER(TRIM($X319))&lt;&gt;"n/a",LOWER(TRIM($X319))&lt;&gt;"na",SUMPRODUCT(--(UPPER(TRIM($X$2:$X$518))=UPPER(TRIM($X319))),--(TRIM($X$2:$X$518)&lt;&gt;""),--(LOWER(TRIM($X$2:$X$518))&lt;&gt;"n/a"),--(LOWER(TRIM($X$2:$X$518))&lt;&gt;"na"))&gt;1),AND($Y319&lt;&gt;"",LOWER(TRIM($Y319))&lt;&gt;"n/a",LOWER(TRIM($Y319))&lt;&gt;"na",SUMPRODUCT(--(UPPER(SUBSTITUTE(SUBSTITUTE(TRIM($Y$2:$Y$518),":",""),"-",""))=UPPER(SUBSTITUTE(SUBSTITUTE(TRIM($Y319),":",""),"-",""))),--(TRIM($Y$2:$Y$518)&lt;&gt;""),--(LOWER(TRIM($Y$2:$Y$518))&lt;&gt;"n/a"),--(LOWER(TRIM($Y$2:$Y$518))&lt;&gt;"na"))&gt;1),AND($AB319&lt;&gt;"",LOWER(TRIM($AB319))&lt;&gt;"n/a",LOWER(TRIM($AB319))&lt;&gt;"na",SUMPRODUCT(--(UPPER(TRIM($AB$2:$AB$518))=UPPER(TRIM($AB319))),--(TRIM($AB$2:$AB$518)&lt;&gt;""),--(LOWER(TRIM($AB$2:$AB$518))&lt;&gt;"n/a"),--(LOWER(TRIM($AB$2:$AB$518))&lt;&gt;"na"))&gt;1),AND($AH319&lt;&gt;"",LOWER(TRIM($AH319))&lt;&gt;"n/a",LOWER(TRIM($AH319))&lt;&gt;"na",SUMPRODUCT(--(UPPER(SUBSTITUTE(SUBSTITUTE(TRIM($AH$2:$AH$518),":",""),"-",""))=UPPER(SUBSTITUTE(SUBSTITUTE(TRIM($AH319),":",""),"-",""))),--(TRIM($AH$2:$AH$518)&lt;&gt;""),--(LOWER(TRIM($AH$2:$AH$518))&lt;&gt;"n/a"),--(LOWER(TRIM($AH$2:$AH$518))&lt;&gt;"na"))&gt;1),AND($AP319&lt;&gt;"",LOWER(TRIM($AP319))&lt;&gt;"n/a",LOWER(TRIM($AP319))&lt;&gt;"na",SUMPRODUCT(--(UPPER(TRIM($AP$2:$AP$518))=UPPER(TRIM($AP319))),--(TRIM($AP$2:$AP$518)&lt;&gt;""),--(LOWER(TRIM($AP$2:$AP$518))&lt;&gt;"n/a"),--(LOWER(TRIM($AP$2:$AP$518))&lt;&gt;"na"))&gt;1),AND($AQ319&lt;&gt;"",LOWER(TRIM($AQ319))&lt;&gt;"n/a",LOWER(TRIM($AQ319))&lt;&gt;"na",SUMPRODUCT(--(UPPER(TRIM($AQ$2:$AQ$518))=UPPER(TRIM($AQ319))),--(TRIM($AQ$2:$AQ$518)&lt;&gt;""),--(LOWER(TRIM($AQ$2:$AQ$518))&lt;&gt;"n/a"),--(LOWER(TRIM($AQ$2:$AQ$518))&lt;&gt;"na"))&gt;1)),"Yes","No"))</f>
        <v/>
      </c>
      <c r="F319">
        <f>IF(UPPER(TRIM($B319))&lt;&gt;"YES","", IF(OR(AND($V319&lt;&gt;"", LOWER(TRIM($V319))&lt;&gt;"n/a", LOWER(TRIM($V319))&lt;&gt;"na", SUMPRODUCT(--(UPPER(TRIM($V$2:$V$518))=UPPER(TRIM($V319))), --(UPPER(TRIM($B$2:$B$518))="YES"), --(UPPER(TRIM($G$2:$G$518)&amp;TRIM($I$2:$I$518)&amp;TRIM($J$2:$J$518))&lt;&gt;UPPER(TRIM($G319)&amp;TRIM($I319)&amp;TRIM($J319))))&gt;0), AND($W319&lt;&gt;"", LOWER(TRIM($W319))&lt;&gt;"n/a", LOWER(TRIM($W319))&lt;&gt;"na", SUMPRODUCT(--(UPPER(TRIM($W$2:$W$518))=UPPER(TRIM($W319))), --(UPPER(TRIM($B$2:$B$518))="YES"), --(UPPER(TRIM($G$2:$G$518)&amp;TRIM($I$2:$I$518)&amp;TRIM($J$2:$J$518))&lt;&gt;UPPER(TRIM($G319)&amp;TRIM($I319)&amp;TRIM($J319))))&gt;0), AND($X319&lt;&gt;"", LOWER(TRIM($X319))&lt;&gt;"n/a", LOWER(TRIM($X319))&lt;&gt;"na", SUMPRODUCT(--(UPPER(TRIM($X$2:$X$518))=UPPER(TRIM($X319))), --(UPPER(TRIM($B$2:$B$518))="YES"), --(UPPER(TRIM($G$2:$G$518)&amp;TRIM($I$2:$I$518)&amp;TRIM($J$2:$J$518))&lt;&gt;UPPER(TRIM($G319)&amp;TRIM($I319)&amp;TRIM($J319))))&gt;0), AND($Y319&lt;&gt;"", LOWER(TRIM($Y319))&lt;&gt;"n/a", LOWER(TRIM($Y319))&lt;&gt;"na", SUMPRODUCT(--(UPPER(SUBSTITUTE(SUBSTITUTE(TRIM($Y$2:$Y$518),":",""),"-",""))=UPPER(SUBSTITUTE(SUBSTITUTE(TRIM($Y319),":",""),"-",""))), --(UPPER(TRIM($B$2:$B$518))="YES"), --(UPPER(TRIM($G$2:$G$518)&amp;TRIM($I$2:$I$518)&amp;TRIM($J$2:$J$518))&lt;&gt;UPPER(TRIM($G319)&amp;TRIM($I319)&amp;TRIM($J319))))&gt;0), AND($AB319&lt;&gt;"", LOWER(TRIM($AB319))&lt;&gt;"n/a", LOWER(TRIM($AB319))&lt;&gt;"na", SUMPRODUCT(--(UPPER(TRIM($AB$2:$AB$518))=UPPER(TRIM($AB319))), --(UPPER(TRIM($B$2:$B$518))="YES"), --(UPPER(TRIM($G$2:$G$518)&amp;TRIM($I$2:$I$518)&amp;TRIM($J$2:$J$518))&lt;&gt;UPPER(TRIM($G319)&amp;TRIM($I319)&amp;TRIM($J319))))&gt;0), AND($AH319&lt;&gt;"", LOWER(TRIM($AH319))&lt;&gt;"n/a", LOWER(TRIM($AH319))&lt;&gt;"na", SUMPRODUCT(--(UPPER(SUBSTITUTE(SUBSTITUTE(TRIM($AH$2:$AH$518),":",""),"-",""))=UPPER(SUBSTITUTE(SUBSTITUTE(TRIM($AH319),":",""),"-",""))), --(UPPER(TRIM($B$2:$B$518))="YES"), --(UPPER(TRIM($G$2:$G$518)&amp;TRIM($I$2:$I$518)&amp;TRIM($J$2:$J$518))&lt;&gt;UPPER(TRIM($G319)&amp;TRIM($I319)&amp;TRIM($J319))))&gt;0), AND($AP319&lt;&gt;"", LOWER(TRIM($AP319))&lt;&gt;"n/a", LOWER(TRIM($AP319))&lt;&gt;"na", SUMPRODUCT(--(UPPER(TRIM($AP$2:$AP$518))=UPPER(TRIM($AP319))), --(UPPER(TRIM($B$2:$B$518))="YES"), --(UPPER(TRIM($G$2:$G$518)&amp;TRIM($I$2:$I$518)&amp;TRIM($J$2:$J$518))&lt;&gt;UPPER(TRIM($G319)&amp;TRIM($I319)&amp;TRIM($J319))))&gt;0), AND($AQ319&lt;&gt;"", LOWER(TRIM($AQ319))&lt;&gt;"n/a", LOWER(TRIM($AQ319))&lt;&gt;"na", SUMPRODUCT(--(UPPER(TRIM($AQ$2:$AQ$518))=UPPER(TRIM($AQ319))), --(UPPER(TRIM($B$2:$B$518))="YES"), --(UPPER(TRIM($G$2:$G$518)&amp;TRIM($I$2:$I$518)&amp;TRIM($J$2:$J$518))&lt;&gt;UPPER(TRIM($G319)&amp;TRIM($I319)&amp;TRIM($J319))))&gt;0)), "Yes", "No"))</f>
        <v/>
      </c>
      <c r="X319" t="inlineStr">
        <is>
          <t>NSUH-MACH-D</t>
        </is>
      </c>
      <c r="Y319" t="inlineStr">
        <is>
          <t>A0F5097FE212</t>
        </is>
      </c>
      <c r="AB319" t="inlineStr">
        <is>
          <t>WA24406262</t>
        </is>
      </c>
      <c r="CD319">
        <f>IF($Y319="","",IF((IF(AND($BR319&lt;&gt;"Yes",$BR319&lt;&gt;"N/A"),"Power Cable, ","")&amp;IF(AND($BS319&lt;&gt;"Yes",$BS319&lt;&gt;"N/A"),"Battery, ","")&amp;IF(AND($AD319&lt;&gt;"Yes",$AD319&lt;&gt;"N/A"),"Firmware Download, ","")&amp;IF(AND(OR($AD319="Yes",$AD319="N/A"),$AE319&lt;&gt;"Yes",$AE319&lt;&gt;"N/A"),"Firmware Install, ","")&amp;IF(AND($CB319&lt;&gt;"Yes",$CB319&lt;&gt;"N/A"),"Device ID, ","")&amp;IF(AND($CC319&lt;&gt;"Yes",$CC319&lt;&gt;"N/A"),"Epic Beans Relay, ",""))="","",LEFT(IF(AND($BR319&lt;&gt;"Yes",$BR319&lt;&gt;"N/A"),"Power Cable, ","")&amp;IF(AND($BS319&lt;&gt;"Yes",$BS319&lt;&gt;"N/A"),"Battery, ","")&amp;IF(AND($AD319&lt;&gt;"Yes",$AD319&lt;&gt;"N/A"),"Firmware Download, ","")&amp;IF(AND(OR($AD319="Yes",$AD319="N/A"),$AE319&lt;&gt;"Yes",$AE319&lt;&gt;"N/A"),"Firmware Install, ","")&amp;IF(AND($CB319&lt;&gt;"Yes",$CB319&lt;&gt;"N/A"),"Device ID, ","")&amp;IF(AND($CC319&lt;&gt;"Yes",$CC319&lt;&gt;"N/A"),"Epic Beans Relay, ",""),LEN(IF(AND($BR319&lt;&gt;"Yes",$BR319&lt;&gt;"N/A"),"Power Cable, ","")&amp;IF(AND($BS319&lt;&gt;"Yes",$BS319&lt;&gt;"N/A"),"Battery, ","")&amp;IF(AND($AD319&lt;&gt;"Yes",$AD319&lt;&gt;"N/A"),"Firmware Download, ","")&amp;IF(AND(OR($AD319="Yes",$AD319="N/A"),$AE319&lt;&gt;"Yes",$AE319&lt;&gt;"N/A"),"Firmware Install, ","")&amp;IF(AND($CB319&lt;&gt;"Yes",$CB319&lt;&gt;"N/A"),"Device ID, ","")&amp;IF(AND($CC319&lt;&gt;"Yes",$CC319&lt;&gt;"N/A"),"Epic Beans Relay, ",""))-2)))</f>
        <v/>
      </c>
      <c r="CE319">
        <f>IF($Y319="","",IF($CD319="","Yes","Blocked"))</f>
        <v/>
      </c>
      <c r="CP319">
        <f>IF($CO319="","",IFERROR(VLOOKUP($CO319,'01_Warehouse_Ledger'!$A:$N,4,FALSE),""))</f>
        <v/>
      </c>
      <c r="CQ319">
        <f>IF($CO319="","",IFERROR(VLOOKUP($CO319,'01_Warehouse_Ledger'!$A:$N,5,FALSE),""))</f>
        <v/>
      </c>
      <c r="CR319">
        <f>IF($CO319="","",IFERROR(VLOOKUP($CO319,'01_Warehouse_Ledger'!$A:$N,13,FALSE),""))</f>
        <v/>
      </c>
      <c r="CW319">
        <f>IF($S319="","",IF(UPPER(TRIM($S319))&lt;&gt;"PASS","",IF(LEN(TRIM($BY319))&gt;0,"NOTES_PRESENT",IF(LEN(TRIM($T319))=0,"SET_NA",IF(OR(LOWER(TRIM($T319))="na",LOWER(TRIM($T319))="n/a"),"OK","MANUAL_OVERRIDE")))))</f>
        <v/>
      </c>
    </row>
    <row r="320">
      <c r="A320" t="inlineStr">
        <is>
          <t>Neuron</t>
        </is>
      </c>
      <c r="B320" t="inlineStr">
        <is>
          <t>No</t>
        </is>
      </c>
      <c r="C320" t="inlineStr">
        <is>
          <t>No</t>
        </is>
      </c>
      <c r="D320">
        <f>IF($B320&lt;&gt;"Yes","",IF($C320="No","Yes",IF($C320="Yes","No","")))</f>
        <v/>
      </c>
      <c r="E320">
        <f>IF($A320="","",IF(OR(AND($V320&lt;&gt;"",LOWER(TRIM($V320))&lt;&gt;"n/a",LOWER(TRIM($V320))&lt;&gt;"na",SUMPRODUCT(--(UPPER(TRIM($V$2:$V$518))=UPPER(TRIM($V320))),--(TRIM($V$2:$V$518)&lt;&gt;""),--(LOWER(TRIM($V$2:$V$518))&lt;&gt;"n/a"),--(LOWER(TRIM($V$2:$V$518))&lt;&gt;"na"))&gt;1),AND($W320&lt;&gt;"",LOWER(TRIM($W320))&lt;&gt;"n/a",LOWER(TRIM($W320))&lt;&gt;"na",SUMPRODUCT(--(UPPER(TRIM($W$2:$W$518))=UPPER(TRIM($W320))),--(TRIM($W$2:$W$518)&lt;&gt;""),--(LOWER(TRIM($W$2:$W$518))&lt;&gt;"n/a"),--(LOWER(TRIM($W$2:$W$518))&lt;&gt;"na"))&gt;1),AND($X320&lt;&gt;"",LOWER(TRIM($X320))&lt;&gt;"n/a",LOWER(TRIM($X320))&lt;&gt;"na",SUMPRODUCT(--(UPPER(TRIM($X$2:$X$518))=UPPER(TRIM($X320))),--(TRIM($X$2:$X$518)&lt;&gt;""),--(LOWER(TRIM($X$2:$X$518))&lt;&gt;"n/a"),--(LOWER(TRIM($X$2:$X$518))&lt;&gt;"na"))&gt;1),AND($Y320&lt;&gt;"",LOWER(TRIM($Y320))&lt;&gt;"n/a",LOWER(TRIM($Y320))&lt;&gt;"na",SUMPRODUCT(--(UPPER(SUBSTITUTE(SUBSTITUTE(TRIM($Y$2:$Y$518),":",""),"-",""))=UPPER(SUBSTITUTE(SUBSTITUTE(TRIM($Y320),":",""),"-",""))),--(TRIM($Y$2:$Y$518)&lt;&gt;""),--(LOWER(TRIM($Y$2:$Y$518))&lt;&gt;"n/a"),--(LOWER(TRIM($Y$2:$Y$518))&lt;&gt;"na"))&gt;1),AND($AB320&lt;&gt;"",LOWER(TRIM($AB320))&lt;&gt;"n/a",LOWER(TRIM($AB320))&lt;&gt;"na",SUMPRODUCT(--(UPPER(TRIM($AB$2:$AB$518))=UPPER(TRIM($AB320))),--(TRIM($AB$2:$AB$518)&lt;&gt;""),--(LOWER(TRIM($AB$2:$AB$518))&lt;&gt;"n/a"),--(LOWER(TRIM($AB$2:$AB$518))&lt;&gt;"na"))&gt;1),AND($AH320&lt;&gt;"",LOWER(TRIM($AH320))&lt;&gt;"n/a",LOWER(TRIM($AH320))&lt;&gt;"na",SUMPRODUCT(--(UPPER(SUBSTITUTE(SUBSTITUTE(TRIM($AH$2:$AH$518),":",""),"-",""))=UPPER(SUBSTITUTE(SUBSTITUTE(TRIM($AH320),":",""),"-",""))),--(TRIM($AH$2:$AH$518)&lt;&gt;""),--(LOWER(TRIM($AH$2:$AH$518))&lt;&gt;"n/a"),--(LOWER(TRIM($AH$2:$AH$518))&lt;&gt;"na"))&gt;1),AND($AP320&lt;&gt;"",LOWER(TRIM($AP320))&lt;&gt;"n/a",LOWER(TRIM($AP320))&lt;&gt;"na",SUMPRODUCT(--(UPPER(TRIM($AP$2:$AP$518))=UPPER(TRIM($AP320))),--(TRIM($AP$2:$AP$518)&lt;&gt;""),--(LOWER(TRIM($AP$2:$AP$518))&lt;&gt;"n/a"),--(LOWER(TRIM($AP$2:$AP$518))&lt;&gt;"na"))&gt;1),AND($AQ320&lt;&gt;"",LOWER(TRIM($AQ320))&lt;&gt;"n/a",LOWER(TRIM($AQ320))&lt;&gt;"na",SUMPRODUCT(--(UPPER(TRIM($AQ$2:$AQ$518))=UPPER(TRIM($AQ320))),--(TRIM($AQ$2:$AQ$518)&lt;&gt;""),--(LOWER(TRIM($AQ$2:$AQ$518))&lt;&gt;"n/a"),--(LOWER(TRIM($AQ$2:$AQ$518))&lt;&gt;"na"))&gt;1)),"Yes","No"))</f>
        <v/>
      </c>
      <c r="F320">
        <f>IF(UPPER(TRIM($B320))&lt;&gt;"YES","", IF(OR(AND($V320&lt;&gt;"", LOWER(TRIM($V320))&lt;&gt;"n/a", LOWER(TRIM($V320))&lt;&gt;"na", SUMPRODUCT(--(UPPER(TRIM($V$2:$V$518))=UPPER(TRIM($V320))), --(UPPER(TRIM($B$2:$B$518))="YES"), --(UPPER(TRIM($G$2:$G$518)&amp;TRIM($I$2:$I$518)&amp;TRIM($J$2:$J$518))&lt;&gt;UPPER(TRIM($G320)&amp;TRIM($I320)&amp;TRIM($J320))))&gt;0), AND($W320&lt;&gt;"", LOWER(TRIM($W320))&lt;&gt;"n/a", LOWER(TRIM($W320))&lt;&gt;"na", SUMPRODUCT(--(UPPER(TRIM($W$2:$W$518))=UPPER(TRIM($W320))), --(UPPER(TRIM($B$2:$B$518))="YES"), --(UPPER(TRIM($G$2:$G$518)&amp;TRIM($I$2:$I$518)&amp;TRIM($J$2:$J$518))&lt;&gt;UPPER(TRIM($G320)&amp;TRIM($I320)&amp;TRIM($J320))))&gt;0), AND($X320&lt;&gt;"", LOWER(TRIM($X320))&lt;&gt;"n/a", LOWER(TRIM($X320))&lt;&gt;"na", SUMPRODUCT(--(UPPER(TRIM($X$2:$X$518))=UPPER(TRIM($X320))), --(UPPER(TRIM($B$2:$B$518))="YES"), --(UPPER(TRIM($G$2:$G$518)&amp;TRIM($I$2:$I$518)&amp;TRIM($J$2:$J$518))&lt;&gt;UPPER(TRIM($G320)&amp;TRIM($I320)&amp;TRIM($J320))))&gt;0), AND($Y320&lt;&gt;"", LOWER(TRIM($Y320))&lt;&gt;"n/a", LOWER(TRIM($Y320))&lt;&gt;"na", SUMPRODUCT(--(UPPER(SUBSTITUTE(SUBSTITUTE(TRIM($Y$2:$Y$518),":",""),"-",""))=UPPER(SUBSTITUTE(SUBSTITUTE(TRIM($Y320),":",""),"-",""))), --(UPPER(TRIM($B$2:$B$518))="YES"), --(UPPER(TRIM($G$2:$G$518)&amp;TRIM($I$2:$I$518)&amp;TRIM($J$2:$J$518))&lt;&gt;UPPER(TRIM($G320)&amp;TRIM($I320)&amp;TRIM($J320))))&gt;0), AND($AB320&lt;&gt;"", LOWER(TRIM($AB320))&lt;&gt;"n/a", LOWER(TRIM($AB320))&lt;&gt;"na", SUMPRODUCT(--(UPPER(TRIM($AB$2:$AB$518))=UPPER(TRIM($AB320))), --(UPPER(TRIM($B$2:$B$518))="YES"), --(UPPER(TRIM($G$2:$G$518)&amp;TRIM($I$2:$I$518)&amp;TRIM($J$2:$J$518))&lt;&gt;UPPER(TRIM($G320)&amp;TRIM($I320)&amp;TRIM($J320))))&gt;0), AND($AH320&lt;&gt;"", LOWER(TRIM($AH320))&lt;&gt;"n/a", LOWER(TRIM($AH320))&lt;&gt;"na", SUMPRODUCT(--(UPPER(SUBSTITUTE(SUBSTITUTE(TRIM($AH$2:$AH$518),":",""),"-",""))=UPPER(SUBSTITUTE(SUBSTITUTE(TRIM($AH320),":",""),"-",""))), --(UPPER(TRIM($B$2:$B$518))="YES"), --(UPPER(TRIM($G$2:$G$518)&amp;TRIM($I$2:$I$518)&amp;TRIM($J$2:$J$518))&lt;&gt;UPPER(TRIM($G320)&amp;TRIM($I320)&amp;TRIM($J320))))&gt;0), AND($AP320&lt;&gt;"", LOWER(TRIM($AP320))&lt;&gt;"n/a", LOWER(TRIM($AP320))&lt;&gt;"na", SUMPRODUCT(--(UPPER(TRIM($AP$2:$AP$518))=UPPER(TRIM($AP320))), --(UPPER(TRIM($B$2:$B$518))="YES"), --(UPPER(TRIM($G$2:$G$518)&amp;TRIM($I$2:$I$518)&amp;TRIM($J$2:$J$518))&lt;&gt;UPPER(TRIM($G320)&amp;TRIM($I320)&amp;TRIM($J320))))&gt;0), AND($AQ320&lt;&gt;"", LOWER(TRIM($AQ320))&lt;&gt;"n/a", LOWER(TRIM($AQ320))&lt;&gt;"na", SUMPRODUCT(--(UPPER(TRIM($AQ$2:$AQ$518))=UPPER(TRIM($AQ320))), --(UPPER(TRIM($B$2:$B$518))="YES"), --(UPPER(TRIM($G$2:$G$518)&amp;TRIM($I$2:$I$518)&amp;TRIM($J$2:$J$518))&lt;&gt;UPPER(TRIM($G320)&amp;TRIM($I320)&amp;TRIM($J320))))&gt;0)), "Yes", "No"))</f>
        <v/>
      </c>
      <c r="X320" t="inlineStr">
        <is>
          <t>NSUH-MACH-A</t>
        </is>
      </c>
      <c r="Y320" t="inlineStr">
        <is>
          <t>A0F5097FEEFE</t>
        </is>
      </c>
      <c r="AB320" t="inlineStr">
        <is>
          <t>WA24406855</t>
        </is>
      </c>
      <c r="CD320">
        <f>IF($Y320="","",IF((IF(AND($BR320&lt;&gt;"Yes",$BR320&lt;&gt;"N/A"),"Power Cable, ","")&amp;IF(AND($BS320&lt;&gt;"Yes",$BS320&lt;&gt;"N/A"),"Battery, ","")&amp;IF(AND($AD320&lt;&gt;"Yes",$AD320&lt;&gt;"N/A"),"Firmware Download, ","")&amp;IF(AND(OR($AD320="Yes",$AD320="N/A"),$AE320&lt;&gt;"Yes",$AE320&lt;&gt;"N/A"),"Firmware Install, ","")&amp;IF(AND($CB320&lt;&gt;"Yes",$CB320&lt;&gt;"N/A"),"Device ID, ","")&amp;IF(AND($CC320&lt;&gt;"Yes",$CC320&lt;&gt;"N/A"),"Epic Beans Relay, ",""))="","",LEFT(IF(AND($BR320&lt;&gt;"Yes",$BR320&lt;&gt;"N/A"),"Power Cable, ","")&amp;IF(AND($BS320&lt;&gt;"Yes",$BS320&lt;&gt;"N/A"),"Battery, ","")&amp;IF(AND($AD320&lt;&gt;"Yes",$AD320&lt;&gt;"N/A"),"Firmware Download, ","")&amp;IF(AND(OR($AD320="Yes",$AD320="N/A"),$AE320&lt;&gt;"Yes",$AE320&lt;&gt;"N/A"),"Firmware Install, ","")&amp;IF(AND($CB320&lt;&gt;"Yes",$CB320&lt;&gt;"N/A"),"Device ID, ","")&amp;IF(AND($CC320&lt;&gt;"Yes",$CC320&lt;&gt;"N/A"),"Epic Beans Relay, ",""),LEN(IF(AND($BR320&lt;&gt;"Yes",$BR320&lt;&gt;"N/A"),"Power Cable, ","")&amp;IF(AND($BS320&lt;&gt;"Yes",$BS320&lt;&gt;"N/A"),"Battery, ","")&amp;IF(AND($AD320&lt;&gt;"Yes",$AD320&lt;&gt;"N/A"),"Firmware Download, ","")&amp;IF(AND(OR($AD320="Yes",$AD320="N/A"),$AE320&lt;&gt;"Yes",$AE320&lt;&gt;"N/A"),"Firmware Install, ","")&amp;IF(AND($CB320&lt;&gt;"Yes",$CB320&lt;&gt;"N/A"),"Device ID, ","")&amp;IF(AND($CC320&lt;&gt;"Yes",$CC320&lt;&gt;"N/A"),"Epic Beans Relay, ",""))-2)))</f>
        <v/>
      </c>
      <c r="CE320">
        <f>IF($Y320="","",IF($CD320="","Yes","Blocked"))</f>
        <v/>
      </c>
      <c r="CP320">
        <f>IF($CO320="","",IFERROR(VLOOKUP($CO320,'01_Warehouse_Ledger'!$A:$N,4,FALSE),""))</f>
        <v/>
      </c>
      <c r="CQ320">
        <f>IF($CO320="","",IFERROR(VLOOKUP($CO320,'01_Warehouse_Ledger'!$A:$N,5,FALSE),""))</f>
        <v/>
      </c>
      <c r="CR320">
        <f>IF($CO320="","",IFERROR(VLOOKUP($CO320,'01_Warehouse_Ledger'!$A:$N,13,FALSE),""))</f>
        <v/>
      </c>
      <c r="CW320">
        <f>IF($S320="","",IF(UPPER(TRIM($S320))&lt;&gt;"PASS","",IF(LEN(TRIM($BY320))&gt;0,"NOTES_PRESENT",IF(LEN(TRIM($T320))=0,"SET_NA",IF(OR(LOWER(TRIM($T320))="na",LOWER(TRIM($T320))="n/a"),"OK","MANUAL_OVERRIDE")))))</f>
        <v/>
      </c>
    </row>
    <row r="321">
      <c r="A321" t="inlineStr">
        <is>
          <t>Neuron</t>
        </is>
      </c>
      <c r="B321" t="inlineStr">
        <is>
          <t>No</t>
        </is>
      </c>
      <c r="C321" t="inlineStr">
        <is>
          <t>No</t>
        </is>
      </c>
      <c r="D321">
        <f>IF($B321&lt;&gt;"Yes","",IF($C321="No","Yes",IF($C321="Yes","No","")))</f>
        <v/>
      </c>
      <c r="E321">
        <f>IF($A321="","",IF(OR(AND($V321&lt;&gt;"",LOWER(TRIM($V321))&lt;&gt;"n/a",LOWER(TRIM($V321))&lt;&gt;"na",SUMPRODUCT(--(UPPER(TRIM($V$2:$V$518))=UPPER(TRIM($V321))),--(TRIM($V$2:$V$518)&lt;&gt;""),--(LOWER(TRIM($V$2:$V$518))&lt;&gt;"n/a"),--(LOWER(TRIM($V$2:$V$518))&lt;&gt;"na"))&gt;1),AND($W321&lt;&gt;"",LOWER(TRIM($W321))&lt;&gt;"n/a",LOWER(TRIM($W321))&lt;&gt;"na",SUMPRODUCT(--(UPPER(TRIM($W$2:$W$518))=UPPER(TRIM($W321))),--(TRIM($W$2:$W$518)&lt;&gt;""),--(LOWER(TRIM($W$2:$W$518))&lt;&gt;"n/a"),--(LOWER(TRIM($W$2:$W$518))&lt;&gt;"na"))&gt;1),AND($X321&lt;&gt;"",LOWER(TRIM($X321))&lt;&gt;"n/a",LOWER(TRIM($X321))&lt;&gt;"na",SUMPRODUCT(--(UPPER(TRIM($X$2:$X$518))=UPPER(TRIM($X321))),--(TRIM($X$2:$X$518)&lt;&gt;""),--(LOWER(TRIM($X$2:$X$518))&lt;&gt;"n/a"),--(LOWER(TRIM($X$2:$X$518))&lt;&gt;"na"))&gt;1),AND($Y321&lt;&gt;"",LOWER(TRIM($Y321))&lt;&gt;"n/a",LOWER(TRIM($Y321))&lt;&gt;"na",SUMPRODUCT(--(UPPER(SUBSTITUTE(SUBSTITUTE(TRIM($Y$2:$Y$518),":",""),"-",""))=UPPER(SUBSTITUTE(SUBSTITUTE(TRIM($Y321),":",""),"-",""))),--(TRIM($Y$2:$Y$518)&lt;&gt;""),--(LOWER(TRIM($Y$2:$Y$518))&lt;&gt;"n/a"),--(LOWER(TRIM($Y$2:$Y$518))&lt;&gt;"na"))&gt;1),AND($AB321&lt;&gt;"",LOWER(TRIM($AB321))&lt;&gt;"n/a",LOWER(TRIM($AB321))&lt;&gt;"na",SUMPRODUCT(--(UPPER(TRIM($AB$2:$AB$518))=UPPER(TRIM($AB321))),--(TRIM($AB$2:$AB$518)&lt;&gt;""),--(LOWER(TRIM($AB$2:$AB$518))&lt;&gt;"n/a"),--(LOWER(TRIM($AB$2:$AB$518))&lt;&gt;"na"))&gt;1),AND($AH321&lt;&gt;"",LOWER(TRIM($AH321))&lt;&gt;"n/a",LOWER(TRIM($AH321))&lt;&gt;"na",SUMPRODUCT(--(UPPER(SUBSTITUTE(SUBSTITUTE(TRIM($AH$2:$AH$518),":",""),"-",""))=UPPER(SUBSTITUTE(SUBSTITUTE(TRIM($AH321),":",""),"-",""))),--(TRIM($AH$2:$AH$518)&lt;&gt;""),--(LOWER(TRIM($AH$2:$AH$518))&lt;&gt;"n/a"),--(LOWER(TRIM($AH$2:$AH$518))&lt;&gt;"na"))&gt;1),AND($AP321&lt;&gt;"",LOWER(TRIM($AP321))&lt;&gt;"n/a",LOWER(TRIM($AP321))&lt;&gt;"na",SUMPRODUCT(--(UPPER(TRIM($AP$2:$AP$518))=UPPER(TRIM($AP321))),--(TRIM($AP$2:$AP$518)&lt;&gt;""),--(LOWER(TRIM($AP$2:$AP$518))&lt;&gt;"n/a"),--(LOWER(TRIM($AP$2:$AP$518))&lt;&gt;"na"))&gt;1),AND($AQ321&lt;&gt;"",LOWER(TRIM($AQ321))&lt;&gt;"n/a",LOWER(TRIM($AQ321))&lt;&gt;"na",SUMPRODUCT(--(UPPER(TRIM($AQ$2:$AQ$518))=UPPER(TRIM($AQ321))),--(TRIM($AQ$2:$AQ$518)&lt;&gt;""),--(LOWER(TRIM($AQ$2:$AQ$518))&lt;&gt;"n/a"),--(LOWER(TRIM($AQ$2:$AQ$518))&lt;&gt;"na"))&gt;1)),"Yes","No"))</f>
        <v/>
      </c>
      <c r="F321">
        <f>IF(UPPER(TRIM($B321))&lt;&gt;"YES","", IF(OR(AND($V321&lt;&gt;"", LOWER(TRIM($V321))&lt;&gt;"n/a", LOWER(TRIM($V321))&lt;&gt;"na", SUMPRODUCT(--(UPPER(TRIM($V$2:$V$518))=UPPER(TRIM($V321))), --(UPPER(TRIM($B$2:$B$518))="YES"), --(UPPER(TRIM($G$2:$G$518)&amp;TRIM($I$2:$I$518)&amp;TRIM($J$2:$J$518))&lt;&gt;UPPER(TRIM($G321)&amp;TRIM($I321)&amp;TRIM($J321))))&gt;0), AND($W321&lt;&gt;"", LOWER(TRIM($W321))&lt;&gt;"n/a", LOWER(TRIM($W321))&lt;&gt;"na", SUMPRODUCT(--(UPPER(TRIM($W$2:$W$518))=UPPER(TRIM($W321))), --(UPPER(TRIM($B$2:$B$518))="YES"), --(UPPER(TRIM($G$2:$G$518)&amp;TRIM($I$2:$I$518)&amp;TRIM($J$2:$J$518))&lt;&gt;UPPER(TRIM($G321)&amp;TRIM($I321)&amp;TRIM($J321))))&gt;0), AND($X321&lt;&gt;"", LOWER(TRIM($X321))&lt;&gt;"n/a", LOWER(TRIM($X321))&lt;&gt;"na", SUMPRODUCT(--(UPPER(TRIM($X$2:$X$518))=UPPER(TRIM($X321))), --(UPPER(TRIM($B$2:$B$518))="YES"), --(UPPER(TRIM($G$2:$G$518)&amp;TRIM($I$2:$I$518)&amp;TRIM($J$2:$J$518))&lt;&gt;UPPER(TRIM($G321)&amp;TRIM($I321)&amp;TRIM($J321))))&gt;0), AND($Y321&lt;&gt;"", LOWER(TRIM($Y321))&lt;&gt;"n/a", LOWER(TRIM($Y321))&lt;&gt;"na", SUMPRODUCT(--(UPPER(SUBSTITUTE(SUBSTITUTE(TRIM($Y$2:$Y$518),":",""),"-",""))=UPPER(SUBSTITUTE(SUBSTITUTE(TRIM($Y321),":",""),"-",""))), --(UPPER(TRIM($B$2:$B$518))="YES"), --(UPPER(TRIM($G$2:$G$518)&amp;TRIM($I$2:$I$518)&amp;TRIM($J$2:$J$518))&lt;&gt;UPPER(TRIM($G321)&amp;TRIM($I321)&amp;TRIM($J321))))&gt;0), AND($AB321&lt;&gt;"", LOWER(TRIM($AB321))&lt;&gt;"n/a", LOWER(TRIM($AB321))&lt;&gt;"na", SUMPRODUCT(--(UPPER(TRIM($AB$2:$AB$518))=UPPER(TRIM($AB321))), --(UPPER(TRIM($B$2:$B$518))="YES"), --(UPPER(TRIM($G$2:$G$518)&amp;TRIM($I$2:$I$518)&amp;TRIM($J$2:$J$518))&lt;&gt;UPPER(TRIM($G321)&amp;TRIM($I321)&amp;TRIM($J321))))&gt;0), AND($AH321&lt;&gt;"", LOWER(TRIM($AH321))&lt;&gt;"n/a", LOWER(TRIM($AH321))&lt;&gt;"na", SUMPRODUCT(--(UPPER(SUBSTITUTE(SUBSTITUTE(TRIM($AH$2:$AH$518),":",""),"-",""))=UPPER(SUBSTITUTE(SUBSTITUTE(TRIM($AH321),":",""),"-",""))), --(UPPER(TRIM($B$2:$B$518))="YES"), --(UPPER(TRIM($G$2:$G$518)&amp;TRIM($I$2:$I$518)&amp;TRIM($J$2:$J$518))&lt;&gt;UPPER(TRIM($G321)&amp;TRIM($I321)&amp;TRIM($J321))))&gt;0), AND($AP321&lt;&gt;"", LOWER(TRIM($AP321))&lt;&gt;"n/a", LOWER(TRIM($AP321))&lt;&gt;"na", SUMPRODUCT(--(UPPER(TRIM($AP$2:$AP$518))=UPPER(TRIM($AP321))), --(UPPER(TRIM($B$2:$B$518))="YES"), --(UPPER(TRIM($G$2:$G$518)&amp;TRIM($I$2:$I$518)&amp;TRIM($J$2:$J$518))&lt;&gt;UPPER(TRIM($G321)&amp;TRIM($I321)&amp;TRIM($J321))))&gt;0), AND($AQ321&lt;&gt;"", LOWER(TRIM($AQ321))&lt;&gt;"n/a", LOWER(TRIM($AQ321))&lt;&gt;"na", SUMPRODUCT(--(UPPER(TRIM($AQ$2:$AQ$518))=UPPER(TRIM($AQ321))), --(UPPER(TRIM($B$2:$B$518))="YES"), --(UPPER(TRIM($G$2:$G$518)&amp;TRIM($I$2:$I$518)&amp;TRIM($J$2:$J$518))&lt;&gt;UPPER(TRIM($G321)&amp;TRIM($I321)&amp;TRIM($J321))))&gt;0)), "Yes", "No"))</f>
        <v/>
      </c>
      <c r="X321" t="inlineStr">
        <is>
          <t>NSUH-MACH-C</t>
        </is>
      </c>
      <c r="Y321" s="65" t="inlineStr">
        <is>
          <t>A0F5097FE4B8</t>
        </is>
      </c>
      <c r="AB321" t="inlineStr">
        <is>
          <t>WA24406381</t>
        </is>
      </c>
      <c r="CD321">
        <f>IF($Y321="","",IF((IF(AND($BR321&lt;&gt;"Yes",$BR321&lt;&gt;"N/A"),"Power Cable, ","")&amp;IF(AND($BS321&lt;&gt;"Yes",$BS321&lt;&gt;"N/A"),"Battery, ","")&amp;IF(AND($AD321&lt;&gt;"Yes",$AD321&lt;&gt;"N/A"),"Firmware Download, ","")&amp;IF(AND(OR($AD321="Yes",$AD321="N/A"),$AE321&lt;&gt;"Yes",$AE321&lt;&gt;"N/A"),"Firmware Install, ","")&amp;IF(AND($CB321&lt;&gt;"Yes",$CB321&lt;&gt;"N/A"),"Device ID, ","")&amp;IF(AND($CC321&lt;&gt;"Yes",$CC321&lt;&gt;"N/A"),"Epic Beans Relay, ",""))="","",LEFT(IF(AND($BR321&lt;&gt;"Yes",$BR321&lt;&gt;"N/A"),"Power Cable, ","")&amp;IF(AND($BS321&lt;&gt;"Yes",$BS321&lt;&gt;"N/A"),"Battery, ","")&amp;IF(AND($AD321&lt;&gt;"Yes",$AD321&lt;&gt;"N/A"),"Firmware Download, ","")&amp;IF(AND(OR($AD321="Yes",$AD321="N/A"),$AE321&lt;&gt;"Yes",$AE321&lt;&gt;"N/A"),"Firmware Install, ","")&amp;IF(AND($CB321&lt;&gt;"Yes",$CB321&lt;&gt;"N/A"),"Device ID, ","")&amp;IF(AND($CC321&lt;&gt;"Yes",$CC321&lt;&gt;"N/A"),"Epic Beans Relay, ",""),LEN(IF(AND($BR321&lt;&gt;"Yes",$BR321&lt;&gt;"N/A"),"Power Cable, ","")&amp;IF(AND($BS321&lt;&gt;"Yes",$BS321&lt;&gt;"N/A"),"Battery, ","")&amp;IF(AND($AD321&lt;&gt;"Yes",$AD321&lt;&gt;"N/A"),"Firmware Download, ","")&amp;IF(AND(OR($AD321="Yes",$AD321="N/A"),$AE321&lt;&gt;"Yes",$AE321&lt;&gt;"N/A"),"Firmware Install, ","")&amp;IF(AND($CB321&lt;&gt;"Yes",$CB321&lt;&gt;"N/A"),"Device ID, ","")&amp;IF(AND($CC321&lt;&gt;"Yes",$CC321&lt;&gt;"N/A"),"Epic Beans Relay, ",""))-2)))</f>
        <v/>
      </c>
      <c r="CE321">
        <f>IF($Y321="","",IF($CD321="","Yes","Blocked"))</f>
        <v/>
      </c>
      <c r="CP321">
        <f>IF($CO321="","",IFERROR(VLOOKUP($CO321,'01_Warehouse_Ledger'!$A:$N,4,FALSE),""))</f>
        <v/>
      </c>
      <c r="CQ321">
        <f>IF($CO321="","",IFERROR(VLOOKUP($CO321,'01_Warehouse_Ledger'!$A:$N,5,FALSE),""))</f>
        <v/>
      </c>
      <c r="CR321">
        <f>IF($CO321="","",IFERROR(VLOOKUP($CO321,'01_Warehouse_Ledger'!$A:$N,13,FALSE),""))</f>
        <v/>
      </c>
      <c r="CW321">
        <f>IF($S321="","",IF(UPPER(TRIM($S321))&lt;&gt;"PASS","",IF(LEN(TRIM($BY321))&gt;0,"NOTES_PRESENT",IF(LEN(TRIM($T321))=0,"SET_NA",IF(OR(LOWER(TRIM($T321))="na",LOWER(TRIM($T321))="n/a"),"OK","MANUAL_OVERRIDE")))))</f>
        <v/>
      </c>
    </row>
    <row r="322">
      <c r="A322" t="inlineStr">
        <is>
          <t>Neuron</t>
        </is>
      </c>
      <c r="B322" t="inlineStr">
        <is>
          <t>No</t>
        </is>
      </c>
      <c r="C322" t="inlineStr">
        <is>
          <t>No</t>
        </is>
      </c>
      <c r="D322">
        <f>IF($B322&lt;&gt;"Yes","",IF($C322="No","Yes",IF($C322="Yes","No","")))</f>
        <v/>
      </c>
      <c r="E322">
        <f>IF($A322="","",IF(OR(AND($V322&lt;&gt;"",LOWER(TRIM($V322))&lt;&gt;"n/a",LOWER(TRIM($V322))&lt;&gt;"na",SUMPRODUCT(--(UPPER(TRIM($V$2:$V$518))=UPPER(TRIM($V322))),--(TRIM($V$2:$V$518)&lt;&gt;""),--(LOWER(TRIM($V$2:$V$518))&lt;&gt;"n/a"),--(LOWER(TRIM($V$2:$V$518))&lt;&gt;"na"))&gt;1),AND($W322&lt;&gt;"",LOWER(TRIM($W322))&lt;&gt;"n/a",LOWER(TRIM($W322))&lt;&gt;"na",SUMPRODUCT(--(UPPER(TRIM($W$2:$W$518))=UPPER(TRIM($W322))),--(TRIM($W$2:$W$518)&lt;&gt;""),--(LOWER(TRIM($W$2:$W$518))&lt;&gt;"n/a"),--(LOWER(TRIM($W$2:$W$518))&lt;&gt;"na"))&gt;1),AND($X322&lt;&gt;"",LOWER(TRIM($X322))&lt;&gt;"n/a",LOWER(TRIM($X322))&lt;&gt;"na",SUMPRODUCT(--(UPPER(TRIM($X$2:$X$518))=UPPER(TRIM($X322))),--(TRIM($X$2:$X$518)&lt;&gt;""),--(LOWER(TRIM($X$2:$X$518))&lt;&gt;"n/a"),--(LOWER(TRIM($X$2:$X$518))&lt;&gt;"na"))&gt;1),AND($Y322&lt;&gt;"",LOWER(TRIM($Y322))&lt;&gt;"n/a",LOWER(TRIM($Y322))&lt;&gt;"na",SUMPRODUCT(--(UPPER(SUBSTITUTE(SUBSTITUTE(TRIM($Y$2:$Y$518),":",""),"-",""))=UPPER(SUBSTITUTE(SUBSTITUTE(TRIM($Y322),":",""),"-",""))),--(TRIM($Y$2:$Y$518)&lt;&gt;""),--(LOWER(TRIM($Y$2:$Y$518))&lt;&gt;"n/a"),--(LOWER(TRIM($Y$2:$Y$518))&lt;&gt;"na"))&gt;1),AND($AB322&lt;&gt;"",LOWER(TRIM($AB322))&lt;&gt;"n/a",LOWER(TRIM($AB322))&lt;&gt;"na",SUMPRODUCT(--(UPPER(TRIM($AB$2:$AB$518))=UPPER(TRIM($AB322))),--(TRIM($AB$2:$AB$518)&lt;&gt;""),--(LOWER(TRIM($AB$2:$AB$518))&lt;&gt;"n/a"),--(LOWER(TRIM($AB$2:$AB$518))&lt;&gt;"na"))&gt;1),AND($AH322&lt;&gt;"",LOWER(TRIM($AH322))&lt;&gt;"n/a",LOWER(TRIM($AH322))&lt;&gt;"na",SUMPRODUCT(--(UPPER(SUBSTITUTE(SUBSTITUTE(TRIM($AH$2:$AH$518),":",""),"-",""))=UPPER(SUBSTITUTE(SUBSTITUTE(TRIM($AH322),":",""),"-",""))),--(TRIM($AH$2:$AH$518)&lt;&gt;""),--(LOWER(TRIM($AH$2:$AH$518))&lt;&gt;"n/a"),--(LOWER(TRIM($AH$2:$AH$518))&lt;&gt;"na"))&gt;1),AND($AP322&lt;&gt;"",LOWER(TRIM($AP322))&lt;&gt;"n/a",LOWER(TRIM($AP322))&lt;&gt;"na",SUMPRODUCT(--(UPPER(TRIM($AP$2:$AP$518))=UPPER(TRIM($AP322))),--(TRIM($AP$2:$AP$518)&lt;&gt;""),--(LOWER(TRIM($AP$2:$AP$518))&lt;&gt;"n/a"),--(LOWER(TRIM($AP$2:$AP$518))&lt;&gt;"na"))&gt;1),AND($AQ322&lt;&gt;"",LOWER(TRIM($AQ322))&lt;&gt;"n/a",LOWER(TRIM($AQ322))&lt;&gt;"na",SUMPRODUCT(--(UPPER(TRIM($AQ$2:$AQ$518))=UPPER(TRIM($AQ322))),--(TRIM($AQ$2:$AQ$518)&lt;&gt;""),--(LOWER(TRIM($AQ$2:$AQ$518))&lt;&gt;"n/a"),--(LOWER(TRIM($AQ$2:$AQ$518))&lt;&gt;"na"))&gt;1)),"Yes","No"))</f>
        <v/>
      </c>
      <c r="F322">
        <f>IF(UPPER(TRIM($B322))&lt;&gt;"YES","", IF(OR(AND($V322&lt;&gt;"", LOWER(TRIM($V322))&lt;&gt;"n/a", LOWER(TRIM($V322))&lt;&gt;"na", SUMPRODUCT(--(UPPER(TRIM($V$2:$V$518))=UPPER(TRIM($V322))), --(UPPER(TRIM($B$2:$B$518))="YES"), --(UPPER(TRIM($G$2:$G$518)&amp;TRIM($I$2:$I$518)&amp;TRIM($J$2:$J$518))&lt;&gt;UPPER(TRIM($G322)&amp;TRIM($I322)&amp;TRIM($J322))))&gt;0), AND($W322&lt;&gt;"", LOWER(TRIM($W322))&lt;&gt;"n/a", LOWER(TRIM($W322))&lt;&gt;"na", SUMPRODUCT(--(UPPER(TRIM($W$2:$W$518))=UPPER(TRIM($W322))), --(UPPER(TRIM($B$2:$B$518))="YES"), --(UPPER(TRIM($G$2:$G$518)&amp;TRIM($I$2:$I$518)&amp;TRIM($J$2:$J$518))&lt;&gt;UPPER(TRIM($G322)&amp;TRIM($I322)&amp;TRIM($J322))))&gt;0), AND($X322&lt;&gt;"", LOWER(TRIM($X322))&lt;&gt;"n/a", LOWER(TRIM($X322))&lt;&gt;"na", SUMPRODUCT(--(UPPER(TRIM($X$2:$X$518))=UPPER(TRIM($X322))), --(UPPER(TRIM($B$2:$B$518))="YES"), --(UPPER(TRIM($G$2:$G$518)&amp;TRIM($I$2:$I$518)&amp;TRIM($J$2:$J$518))&lt;&gt;UPPER(TRIM($G322)&amp;TRIM($I322)&amp;TRIM($J322))))&gt;0), AND($Y322&lt;&gt;"", LOWER(TRIM($Y322))&lt;&gt;"n/a", LOWER(TRIM($Y322))&lt;&gt;"na", SUMPRODUCT(--(UPPER(SUBSTITUTE(SUBSTITUTE(TRIM($Y$2:$Y$518),":",""),"-",""))=UPPER(SUBSTITUTE(SUBSTITUTE(TRIM($Y322),":",""),"-",""))), --(UPPER(TRIM($B$2:$B$518))="YES"), --(UPPER(TRIM($G$2:$G$518)&amp;TRIM($I$2:$I$518)&amp;TRIM($J$2:$J$518))&lt;&gt;UPPER(TRIM($G322)&amp;TRIM($I322)&amp;TRIM($J322))))&gt;0), AND($AB322&lt;&gt;"", LOWER(TRIM($AB322))&lt;&gt;"n/a", LOWER(TRIM($AB322))&lt;&gt;"na", SUMPRODUCT(--(UPPER(TRIM($AB$2:$AB$518))=UPPER(TRIM($AB322))), --(UPPER(TRIM($B$2:$B$518))="YES"), --(UPPER(TRIM($G$2:$G$518)&amp;TRIM($I$2:$I$518)&amp;TRIM($J$2:$J$518))&lt;&gt;UPPER(TRIM($G322)&amp;TRIM($I322)&amp;TRIM($J322))))&gt;0), AND($AH322&lt;&gt;"", LOWER(TRIM($AH322))&lt;&gt;"n/a", LOWER(TRIM($AH322))&lt;&gt;"na", SUMPRODUCT(--(UPPER(SUBSTITUTE(SUBSTITUTE(TRIM($AH$2:$AH$518),":",""),"-",""))=UPPER(SUBSTITUTE(SUBSTITUTE(TRIM($AH322),":",""),"-",""))), --(UPPER(TRIM($B$2:$B$518))="YES"), --(UPPER(TRIM($G$2:$G$518)&amp;TRIM($I$2:$I$518)&amp;TRIM($J$2:$J$518))&lt;&gt;UPPER(TRIM($G322)&amp;TRIM($I322)&amp;TRIM($J322))))&gt;0), AND($AP322&lt;&gt;"", LOWER(TRIM($AP322))&lt;&gt;"n/a", LOWER(TRIM($AP322))&lt;&gt;"na", SUMPRODUCT(--(UPPER(TRIM($AP$2:$AP$518))=UPPER(TRIM($AP322))), --(UPPER(TRIM($B$2:$B$518))="YES"), --(UPPER(TRIM($G$2:$G$518)&amp;TRIM($I$2:$I$518)&amp;TRIM($J$2:$J$518))&lt;&gt;UPPER(TRIM($G322)&amp;TRIM($I322)&amp;TRIM($J322))))&gt;0), AND($AQ322&lt;&gt;"", LOWER(TRIM($AQ322))&lt;&gt;"n/a", LOWER(TRIM($AQ322))&lt;&gt;"na", SUMPRODUCT(--(UPPER(TRIM($AQ$2:$AQ$518))=UPPER(TRIM($AQ322))), --(UPPER(TRIM($B$2:$B$518))="YES"), --(UPPER(TRIM($G$2:$G$518)&amp;TRIM($I$2:$I$518)&amp;TRIM($J$2:$J$518))&lt;&gt;UPPER(TRIM($G322)&amp;TRIM($I322)&amp;TRIM($J322))))&gt;0)), "Yes", "No"))</f>
        <v/>
      </c>
      <c r="X322" t="inlineStr">
        <is>
          <t>NSUH-MACH-B</t>
        </is>
      </c>
      <c r="Y322" t="inlineStr">
        <is>
          <t>A0F5097FE1A3</t>
        </is>
      </c>
      <c r="AB322" s="65" t="inlineStr">
        <is>
          <t>WA24406270</t>
        </is>
      </c>
      <c r="CD322">
        <f>IF($Y322="","",IF((IF(AND($BR322&lt;&gt;"Yes",$BR322&lt;&gt;"N/A"),"Power Cable, ","")&amp;IF(AND($BS322&lt;&gt;"Yes",$BS322&lt;&gt;"N/A"),"Battery, ","")&amp;IF(AND($AD322&lt;&gt;"Yes",$AD322&lt;&gt;"N/A"),"Firmware Download, ","")&amp;IF(AND(OR($AD322="Yes",$AD322="N/A"),$AE322&lt;&gt;"Yes",$AE322&lt;&gt;"N/A"),"Firmware Install, ","")&amp;IF(AND($CB322&lt;&gt;"Yes",$CB322&lt;&gt;"N/A"),"Device ID, ","")&amp;IF(AND($CC322&lt;&gt;"Yes",$CC322&lt;&gt;"N/A"),"Epic Beans Relay, ",""))="","",LEFT(IF(AND($BR322&lt;&gt;"Yes",$BR322&lt;&gt;"N/A"),"Power Cable, ","")&amp;IF(AND($BS322&lt;&gt;"Yes",$BS322&lt;&gt;"N/A"),"Battery, ","")&amp;IF(AND($AD322&lt;&gt;"Yes",$AD322&lt;&gt;"N/A"),"Firmware Download, ","")&amp;IF(AND(OR($AD322="Yes",$AD322="N/A"),$AE322&lt;&gt;"Yes",$AE322&lt;&gt;"N/A"),"Firmware Install, ","")&amp;IF(AND($CB322&lt;&gt;"Yes",$CB322&lt;&gt;"N/A"),"Device ID, ","")&amp;IF(AND($CC322&lt;&gt;"Yes",$CC322&lt;&gt;"N/A"),"Epic Beans Relay, ",""),LEN(IF(AND($BR322&lt;&gt;"Yes",$BR322&lt;&gt;"N/A"),"Power Cable, ","")&amp;IF(AND($BS322&lt;&gt;"Yes",$BS322&lt;&gt;"N/A"),"Battery, ","")&amp;IF(AND($AD322&lt;&gt;"Yes",$AD322&lt;&gt;"N/A"),"Firmware Download, ","")&amp;IF(AND(OR($AD322="Yes",$AD322="N/A"),$AE322&lt;&gt;"Yes",$AE322&lt;&gt;"N/A"),"Firmware Install, ","")&amp;IF(AND($CB322&lt;&gt;"Yes",$CB322&lt;&gt;"N/A"),"Device ID, ","")&amp;IF(AND($CC322&lt;&gt;"Yes",$CC322&lt;&gt;"N/A"),"Epic Beans Relay, ",""))-2)))</f>
        <v/>
      </c>
      <c r="CE322">
        <f>IF($Y322="","",IF($CD322="","Yes","Blocked"))</f>
        <v/>
      </c>
      <c r="CP322">
        <f>IF($CO322="","",IFERROR(VLOOKUP($CO322,'01_Warehouse_Ledger'!$A:$N,4,FALSE),""))</f>
        <v/>
      </c>
      <c r="CQ322">
        <f>IF($CO322="","",IFERROR(VLOOKUP($CO322,'01_Warehouse_Ledger'!$A:$N,5,FALSE),""))</f>
        <v/>
      </c>
      <c r="CR322">
        <f>IF($CO322="","",IFERROR(VLOOKUP($CO322,'01_Warehouse_Ledger'!$A:$N,13,FALSE),""))</f>
        <v/>
      </c>
      <c r="CW322">
        <f>IF($S322="","",IF(UPPER(TRIM($S322))&lt;&gt;"PASS","",IF(LEN(TRIM($BY322))&gt;0,"NOTES_PRESENT",IF(LEN(TRIM($T322))=0,"SET_NA",IF(OR(LOWER(TRIM($T322))="na",LOWER(TRIM($T322))="n/a"),"OK","MANUAL_OVERRIDE")))))</f>
        <v/>
      </c>
    </row>
    <row r="323">
      <c r="A323" t="inlineStr">
        <is>
          <t>Cybernet</t>
        </is>
      </c>
      <c r="B323" t="inlineStr">
        <is>
          <t>No</t>
        </is>
      </c>
      <c r="C323" t="inlineStr">
        <is>
          <t>No</t>
        </is>
      </c>
      <c r="D323">
        <f>IF($B323&lt;&gt;"Yes","",IF($C323="No","Yes",IF($C323="Yes","No","")))</f>
        <v/>
      </c>
      <c r="E323">
        <f>IF($A323="","",IF(OR(AND($V323&lt;&gt;"",LOWER(TRIM($V323))&lt;&gt;"n/a",LOWER(TRIM($V323))&lt;&gt;"na",SUMPRODUCT(--(UPPER(TRIM($V$2:$V$518))=UPPER(TRIM($V323))),--(TRIM($V$2:$V$518)&lt;&gt;""),--(LOWER(TRIM($V$2:$V$518))&lt;&gt;"n/a"),--(LOWER(TRIM($V$2:$V$518))&lt;&gt;"na"))&gt;1),AND($W323&lt;&gt;"",LOWER(TRIM($W323))&lt;&gt;"n/a",LOWER(TRIM($W323))&lt;&gt;"na",SUMPRODUCT(--(UPPER(TRIM($W$2:$W$518))=UPPER(TRIM($W323))),--(TRIM($W$2:$W$518)&lt;&gt;""),--(LOWER(TRIM($W$2:$W$518))&lt;&gt;"n/a"),--(LOWER(TRIM($W$2:$W$518))&lt;&gt;"na"))&gt;1),AND($X323&lt;&gt;"",LOWER(TRIM($X323))&lt;&gt;"n/a",LOWER(TRIM($X323))&lt;&gt;"na",SUMPRODUCT(--(UPPER(TRIM($X$2:$X$518))=UPPER(TRIM($X323))),--(TRIM($X$2:$X$518)&lt;&gt;""),--(LOWER(TRIM($X$2:$X$518))&lt;&gt;"n/a"),--(LOWER(TRIM($X$2:$X$518))&lt;&gt;"na"))&gt;1),AND($Y323&lt;&gt;"",LOWER(TRIM($Y323))&lt;&gt;"n/a",LOWER(TRIM($Y323))&lt;&gt;"na",SUMPRODUCT(--(UPPER(SUBSTITUTE(SUBSTITUTE(TRIM($Y$2:$Y$518),":",""),"-",""))=UPPER(SUBSTITUTE(SUBSTITUTE(TRIM($Y323),":",""),"-",""))),--(TRIM($Y$2:$Y$518)&lt;&gt;""),--(LOWER(TRIM($Y$2:$Y$518))&lt;&gt;"n/a"),--(LOWER(TRIM($Y$2:$Y$518))&lt;&gt;"na"))&gt;1),AND($AB323&lt;&gt;"",LOWER(TRIM($AB323))&lt;&gt;"n/a",LOWER(TRIM($AB323))&lt;&gt;"na",SUMPRODUCT(--(UPPER(TRIM($AB$2:$AB$518))=UPPER(TRIM($AB323))),--(TRIM($AB$2:$AB$518)&lt;&gt;""),--(LOWER(TRIM($AB$2:$AB$518))&lt;&gt;"n/a"),--(LOWER(TRIM($AB$2:$AB$518))&lt;&gt;"na"))&gt;1),AND($AH323&lt;&gt;"",LOWER(TRIM($AH323))&lt;&gt;"n/a",LOWER(TRIM($AH323))&lt;&gt;"na",SUMPRODUCT(--(UPPER(SUBSTITUTE(SUBSTITUTE(TRIM($AH$2:$AH$518),":",""),"-",""))=UPPER(SUBSTITUTE(SUBSTITUTE(TRIM($AH323),":",""),"-",""))),--(TRIM($AH$2:$AH$518)&lt;&gt;""),--(LOWER(TRIM($AH$2:$AH$518))&lt;&gt;"n/a"),--(LOWER(TRIM($AH$2:$AH$518))&lt;&gt;"na"))&gt;1),AND($AP323&lt;&gt;"",LOWER(TRIM($AP323))&lt;&gt;"n/a",LOWER(TRIM($AP323))&lt;&gt;"na",SUMPRODUCT(--(UPPER(TRIM($AP$2:$AP$518))=UPPER(TRIM($AP323))),--(TRIM($AP$2:$AP$518)&lt;&gt;""),--(LOWER(TRIM($AP$2:$AP$518))&lt;&gt;"n/a"),--(LOWER(TRIM($AP$2:$AP$518))&lt;&gt;"na"))&gt;1),AND($AQ323&lt;&gt;"",LOWER(TRIM($AQ323))&lt;&gt;"n/a",LOWER(TRIM($AQ323))&lt;&gt;"na",SUMPRODUCT(--(UPPER(TRIM($AQ$2:$AQ$518))=UPPER(TRIM($AQ323))),--(TRIM($AQ$2:$AQ$518)&lt;&gt;""),--(LOWER(TRIM($AQ$2:$AQ$518))&lt;&gt;"n/a"),--(LOWER(TRIM($AQ$2:$AQ$518))&lt;&gt;"na"))&gt;1)),"Yes","No"))</f>
        <v/>
      </c>
      <c r="F323">
        <f>IF(UPPER(TRIM($B323))&lt;&gt;"YES","", IF(OR(AND($V323&lt;&gt;"", LOWER(TRIM($V323))&lt;&gt;"n/a", LOWER(TRIM($V323))&lt;&gt;"na", SUMPRODUCT(--(UPPER(TRIM($V$2:$V$518))=UPPER(TRIM($V323))), --(UPPER(TRIM($B$2:$B$518))="YES"), --(UPPER(TRIM($G$2:$G$518)&amp;TRIM($I$2:$I$518)&amp;TRIM($J$2:$J$518))&lt;&gt;UPPER(TRIM($G323)&amp;TRIM($I323)&amp;TRIM($J323))))&gt;0), AND($W323&lt;&gt;"", LOWER(TRIM($W323))&lt;&gt;"n/a", LOWER(TRIM($W323))&lt;&gt;"na", SUMPRODUCT(--(UPPER(TRIM($W$2:$W$518))=UPPER(TRIM($W323))), --(UPPER(TRIM($B$2:$B$518))="YES"), --(UPPER(TRIM($G$2:$G$518)&amp;TRIM($I$2:$I$518)&amp;TRIM($J$2:$J$518))&lt;&gt;UPPER(TRIM($G323)&amp;TRIM($I323)&amp;TRIM($J323))))&gt;0), AND($X323&lt;&gt;"", LOWER(TRIM($X323))&lt;&gt;"n/a", LOWER(TRIM($X323))&lt;&gt;"na", SUMPRODUCT(--(UPPER(TRIM($X$2:$X$518))=UPPER(TRIM($X323))), --(UPPER(TRIM($B$2:$B$518))="YES"), --(UPPER(TRIM($G$2:$G$518)&amp;TRIM($I$2:$I$518)&amp;TRIM($J$2:$J$518))&lt;&gt;UPPER(TRIM($G323)&amp;TRIM($I323)&amp;TRIM($J323))))&gt;0), AND($Y323&lt;&gt;"", LOWER(TRIM($Y323))&lt;&gt;"n/a", LOWER(TRIM($Y323))&lt;&gt;"na", SUMPRODUCT(--(UPPER(SUBSTITUTE(SUBSTITUTE(TRIM($Y$2:$Y$518),":",""),"-",""))=UPPER(SUBSTITUTE(SUBSTITUTE(TRIM($Y323),":",""),"-",""))), --(UPPER(TRIM($B$2:$B$518))="YES"), --(UPPER(TRIM($G$2:$G$518)&amp;TRIM($I$2:$I$518)&amp;TRIM($J$2:$J$518))&lt;&gt;UPPER(TRIM($G323)&amp;TRIM($I323)&amp;TRIM($J323))))&gt;0), AND($AB323&lt;&gt;"", LOWER(TRIM($AB323))&lt;&gt;"n/a", LOWER(TRIM($AB323))&lt;&gt;"na", SUMPRODUCT(--(UPPER(TRIM($AB$2:$AB$518))=UPPER(TRIM($AB323))), --(UPPER(TRIM($B$2:$B$518))="YES"), --(UPPER(TRIM($G$2:$G$518)&amp;TRIM($I$2:$I$518)&amp;TRIM($J$2:$J$518))&lt;&gt;UPPER(TRIM($G323)&amp;TRIM($I323)&amp;TRIM($J323))))&gt;0), AND($AH323&lt;&gt;"", LOWER(TRIM($AH323))&lt;&gt;"n/a", LOWER(TRIM($AH323))&lt;&gt;"na", SUMPRODUCT(--(UPPER(SUBSTITUTE(SUBSTITUTE(TRIM($AH$2:$AH$518),":",""),"-",""))=UPPER(SUBSTITUTE(SUBSTITUTE(TRIM($AH323),":",""),"-",""))), --(UPPER(TRIM($B$2:$B$518))="YES"), --(UPPER(TRIM($G$2:$G$518)&amp;TRIM($I$2:$I$518)&amp;TRIM($J$2:$J$518))&lt;&gt;UPPER(TRIM($G323)&amp;TRIM($I323)&amp;TRIM($J323))))&gt;0), AND($AP323&lt;&gt;"", LOWER(TRIM($AP323))&lt;&gt;"n/a", LOWER(TRIM($AP323))&lt;&gt;"na", SUMPRODUCT(--(UPPER(TRIM($AP$2:$AP$518))=UPPER(TRIM($AP323))), --(UPPER(TRIM($B$2:$B$518))="YES"), --(UPPER(TRIM($G$2:$G$518)&amp;TRIM($I$2:$I$518)&amp;TRIM($J$2:$J$518))&lt;&gt;UPPER(TRIM($G323)&amp;TRIM($I323)&amp;TRIM($J323))))&gt;0), AND($AQ323&lt;&gt;"", LOWER(TRIM($AQ323))&lt;&gt;"n/a", LOWER(TRIM($AQ323))&lt;&gt;"na", SUMPRODUCT(--(UPPER(TRIM($AQ$2:$AQ$518))=UPPER(TRIM($AQ323))), --(UPPER(TRIM($B$2:$B$518))="YES"), --(UPPER(TRIM($G$2:$G$518)&amp;TRIM($I$2:$I$518)&amp;TRIM($J$2:$J$518))&lt;&gt;UPPER(TRIM($G323)&amp;TRIM($I323)&amp;TRIM($J323))))&gt;0)), "Yes", "No"))</f>
        <v/>
      </c>
      <c r="CD323">
        <f>IF($Y323="","",IF((IF(AND($BR323&lt;&gt;"Yes",$BR323&lt;&gt;"N/A"),"Power Cable, ","")&amp;IF(AND($BS323&lt;&gt;"Yes",$BS323&lt;&gt;"N/A"),"Battery, ","")&amp;IF(AND($AD323&lt;&gt;"Yes",$AD323&lt;&gt;"N/A"),"Firmware Download, ","")&amp;IF(AND(OR($AD323="Yes",$AD323="N/A"),$AE323&lt;&gt;"Yes",$AE323&lt;&gt;"N/A"),"Firmware Install, ","")&amp;IF(AND($CB323&lt;&gt;"Yes",$CB323&lt;&gt;"N/A"),"Device ID, ","")&amp;IF(AND($CC323&lt;&gt;"Yes",$CC323&lt;&gt;"N/A"),"Epic Beans Relay, ",""))="","",LEFT(IF(AND($BR323&lt;&gt;"Yes",$BR323&lt;&gt;"N/A"),"Power Cable, ","")&amp;IF(AND($BS323&lt;&gt;"Yes",$BS323&lt;&gt;"N/A"),"Battery, ","")&amp;IF(AND($AD323&lt;&gt;"Yes",$AD323&lt;&gt;"N/A"),"Firmware Download, ","")&amp;IF(AND(OR($AD323="Yes",$AD323="N/A"),$AE323&lt;&gt;"Yes",$AE323&lt;&gt;"N/A"),"Firmware Install, ","")&amp;IF(AND($CB323&lt;&gt;"Yes",$CB323&lt;&gt;"N/A"),"Device ID, ","")&amp;IF(AND($CC323&lt;&gt;"Yes",$CC323&lt;&gt;"N/A"),"Epic Beans Relay, ",""),LEN(IF(AND($BR323&lt;&gt;"Yes",$BR323&lt;&gt;"N/A"),"Power Cable, ","")&amp;IF(AND($BS323&lt;&gt;"Yes",$BS323&lt;&gt;"N/A"),"Battery, ","")&amp;IF(AND($AD323&lt;&gt;"Yes",$AD323&lt;&gt;"N/A"),"Firmware Download, ","")&amp;IF(AND(OR($AD323="Yes",$AD323="N/A"),$AE323&lt;&gt;"Yes",$AE323&lt;&gt;"N/A"),"Firmware Install, ","")&amp;IF(AND($CB323&lt;&gt;"Yes",$CB323&lt;&gt;"N/A"),"Device ID, ","")&amp;IF(AND($CC323&lt;&gt;"Yes",$CC323&lt;&gt;"N/A"),"Epic Beans Relay, ",""))-2)))</f>
        <v/>
      </c>
      <c r="CE323">
        <f>IF($Y323="","",IF($CD323="","Yes","Blocked"))</f>
        <v/>
      </c>
      <c r="CP323">
        <f>IF($CO323="","",IFERROR(VLOOKUP($CO323,'01_Warehouse_Ledger'!$A:$N,4,FALSE),""))</f>
        <v/>
      </c>
      <c r="CQ323">
        <f>IF($CO323="","",IFERROR(VLOOKUP($CO323,'01_Warehouse_Ledger'!$A:$N,5,FALSE),""))</f>
        <v/>
      </c>
      <c r="CR323">
        <f>IF($CO323="","",IFERROR(VLOOKUP($CO323,'01_Warehouse_Ledger'!$A:$N,13,FALSE),""))</f>
        <v/>
      </c>
      <c r="CW323">
        <f>IF($S323="","",IF(UPPER(TRIM($S323))&lt;&gt;"PASS","",IF(LEN(TRIM($BY323))&gt;0,"NOTES_PRESENT",IF(LEN(TRIM($T323))=0,"SET_NA",IF(OR(LOWER(TRIM($T323))="na",LOWER(TRIM($T323))="n/a"),"OK","MANUAL_OVERRIDE")))))</f>
        <v/>
      </c>
    </row>
    <row r="324">
      <c r="A324" t="inlineStr">
        <is>
          <t>Neuron</t>
        </is>
      </c>
      <c r="B324" t="inlineStr">
        <is>
          <t>Yes</t>
        </is>
      </c>
      <c r="C324" t="inlineStr">
        <is>
          <t>Yes</t>
        </is>
      </c>
      <c r="D324">
        <f>IF($B324&lt;&gt;"Yes","",IF($C324="No","Yes",IF($C324="Yes","No","")))</f>
        <v/>
      </c>
      <c r="E324">
        <f>IF($A324="","",IF(OR(AND($V324&lt;&gt;"",LOWER(TRIM($V324))&lt;&gt;"n/a",LOWER(TRIM($V324))&lt;&gt;"na",SUMPRODUCT(--(UPPER(TRIM($V$2:$V$518))=UPPER(TRIM($V324))),--(TRIM($V$2:$V$518)&lt;&gt;""),--(LOWER(TRIM($V$2:$V$518))&lt;&gt;"n/a"),--(LOWER(TRIM($V$2:$V$518))&lt;&gt;"na"))&gt;1),AND($W324&lt;&gt;"",LOWER(TRIM($W324))&lt;&gt;"n/a",LOWER(TRIM($W324))&lt;&gt;"na",SUMPRODUCT(--(UPPER(TRIM($W$2:$W$518))=UPPER(TRIM($W324))),--(TRIM($W$2:$W$518)&lt;&gt;""),--(LOWER(TRIM($W$2:$W$518))&lt;&gt;"n/a"),--(LOWER(TRIM($W$2:$W$518))&lt;&gt;"na"))&gt;1),AND($X324&lt;&gt;"",LOWER(TRIM($X324))&lt;&gt;"n/a",LOWER(TRIM($X324))&lt;&gt;"na",SUMPRODUCT(--(UPPER(TRIM($X$2:$X$518))=UPPER(TRIM($X324))),--(TRIM($X$2:$X$518)&lt;&gt;""),--(LOWER(TRIM($X$2:$X$518))&lt;&gt;"n/a"),--(LOWER(TRIM($X$2:$X$518))&lt;&gt;"na"))&gt;1),AND($Y324&lt;&gt;"",LOWER(TRIM($Y324))&lt;&gt;"n/a",LOWER(TRIM($Y324))&lt;&gt;"na",SUMPRODUCT(--(UPPER(SUBSTITUTE(SUBSTITUTE(TRIM($Y$2:$Y$518),":",""),"-",""))=UPPER(SUBSTITUTE(SUBSTITUTE(TRIM($Y324),":",""),"-",""))),--(TRIM($Y$2:$Y$518)&lt;&gt;""),--(LOWER(TRIM($Y$2:$Y$518))&lt;&gt;"n/a"),--(LOWER(TRIM($Y$2:$Y$518))&lt;&gt;"na"))&gt;1),AND($AB324&lt;&gt;"",LOWER(TRIM($AB324))&lt;&gt;"n/a",LOWER(TRIM($AB324))&lt;&gt;"na",SUMPRODUCT(--(UPPER(TRIM($AB$2:$AB$518))=UPPER(TRIM($AB324))),--(TRIM($AB$2:$AB$518)&lt;&gt;""),--(LOWER(TRIM($AB$2:$AB$518))&lt;&gt;"n/a"),--(LOWER(TRIM($AB$2:$AB$518))&lt;&gt;"na"))&gt;1),AND($AH324&lt;&gt;"",LOWER(TRIM($AH324))&lt;&gt;"n/a",LOWER(TRIM($AH324))&lt;&gt;"na",SUMPRODUCT(--(UPPER(SUBSTITUTE(SUBSTITUTE(TRIM($AH$2:$AH$518),":",""),"-",""))=UPPER(SUBSTITUTE(SUBSTITUTE(TRIM($AH324),":",""),"-",""))),--(TRIM($AH$2:$AH$518)&lt;&gt;""),--(LOWER(TRIM($AH$2:$AH$518))&lt;&gt;"n/a"),--(LOWER(TRIM($AH$2:$AH$518))&lt;&gt;"na"))&gt;1),AND($AP324&lt;&gt;"",LOWER(TRIM($AP324))&lt;&gt;"n/a",LOWER(TRIM($AP324))&lt;&gt;"na",SUMPRODUCT(--(UPPER(TRIM($AP$2:$AP$518))=UPPER(TRIM($AP324))),--(TRIM($AP$2:$AP$518)&lt;&gt;""),--(LOWER(TRIM($AP$2:$AP$518))&lt;&gt;"n/a"),--(LOWER(TRIM($AP$2:$AP$518))&lt;&gt;"na"))&gt;1),AND($AQ324&lt;&gt;"",LOWER(TRIM($AQ324))&lt;&gt;"n/a",LOWER(TRIM($AQ324))&lt;&gt;"na",SUMPRODUCT(--(UPPER(TRIM($AQ$2:$AQ$518))=UPPER(TRIM($AQ324))),--(TRIM($AQ$2:$AQ$518)&lt;&gt;""),--(LOWER(TRIM($AQ$2:$AQ$518))&lt;&gt;"n/a"),--(LOWER(TRIM($AQ$2:$AQ$518))&lt;&gt;"na"))&gt;1)),"Yes","No"))</f>
        <v/>
      </c>
      <c r="F324">
        <f>IF(UPPER(TRIM($B324))&lt;&gt;"YES","", IF(OR(AND($V324&lt;&gt;"", LOWER(TRIM($V324))&lt;&gt;"n/a", LOWER(TRIM($V324))&lt;&gt;"na", SUMPRODUCT(--(UPPER(TRIM($V$2:$V$518))=UPPER(TRIM($V324))), --(UPPER(TRIM($B$2:$B$518))="YES"), --(UPPER(TRIM($G$2:$G$518)&amp;TRIM($I$2:$I$518)&amp;TRIM($J$2:$J$518))&lt;&gt;UPPER(TRIM($G324)&amp;TRIM($I324)&amp;TRIM($J324))))&gt;0), AND($W324&lt;&gt;"", LOWER(TRIM($W324))&lt;&gt;"n/a", LOWER(TRIM($W324))&lt;&gt;"na", SUMPRODUCT(--(UPPER(TRIM($W$2:$W$518))=UPPER(TRIM($W324))), --(UPPER(TRIM($B$2:$B$518))="YES"), --(UPPER(TRIM($G$2:$G$518)&amp;TRIM($I$2:$I$518)&amp;TRIM($J$2:$J$518))&lt;&gt;UPPER(TRIM($G324)&amp;TRIM($I324)&amp;TRIM($J324))))&gt;0), AND($X324&lt;&gt;"", LOWER(TRIM($X324))&lt;&gt;"n/a", LOWER(TRIM($X324))&lt;&gt;"na", SUMPRODUCT(--(UPPER(TRIM($X$2:$X$518))=UPPER(TRIM($X324))), --(UPPER(TRIM($B$2:$B$518))="YES"), --(UPPER(TRIM($G$2:$G$518)&amp;TRIM($I$2:$I$518)&amp;TRIM($J$2:$J$518))&lt;&gt;UPPER(TRIM($G324)&amp;TRIM($I324)&amp;TRIM($J324))))&gt;0), AND($Y324&lt;&gt;"", LOWER(TRIM($Y324))&lt;&gt;"n/a", LOWER(TRIM($Y324))&lt;&gt;"na", SUMPRODUCT(--(UPPER(SUBSTITUTE(SUBSTITUTE(TRIM($Y$2:$Y$518),":",""),"-",""))=UPPER(SUBSTITUTE(SUBSTITUTE(TRIM($Y324),":",""),"-",""))), --(UPPER(TRIM($B$2:$B$518))="YES"), --(UPPER(TRIM($G$2:$G$518)&amp;TRIM($I$2:$I$518)&amp;TRIM($J$2:$J$518))&lt;&gt;UPPER(TRIM($G324)&amp;TRIM($I324)&amp;TRIM($J324))))&gt;0), AND($AB324&lt;&gt;"", LOWER(TRIM($AB324))&lt;&gt;"n/a", LOWER(TRIM($AB324))&lt;&gt;"na", SUMPRODUCT(--(UPPER(TRIM($AB$2:$AB$518))=UPPER(TRIM($AB324))), --(UPPER(TRIM($B$2:$B$518))="YES"), --(UPPER(TRIM($G$2:$G$518)&amp;TRIM($I$2:$I$518)&amp;TRIM($J$2:$J$518))&lt;&gt;UPPER(TRIM($G324)&amp;TRIM($I324)&amp;TRIM($J324))))&gt;0), AND($AH324&lt;&gt;"", LOWER(TRIM($AH324))&lt;&gt;"n/a", LOWER(TRIM($AH324))&lt;&gt;"na", SUMPRODUCT(--(UPPER(SUBSTITUTE(SUBSTITUTE(TRIM($AH$2:$AH$518),":",""),"-",""))=UPPER(SUBSTITUTE(SUBSTITUTE(TRIM($AH324),":",""),"-",""))), --(UPPER(TRIM($B$2:$B$518))="YES"), --(UPPER(TRIM($G$2:$G$518)&amp;TRIM($I$2:$I$518)&amp;TRIM($J$2:$J$518))&lt;&gt;UPPER(TRIM($G324)&amp;TRIM($I324)&amp;TRIM($J324))))&gt;0), AND($AP324&lt;&gt;"", LOWER(TRIM($AP324))&lt;&gt;"n/a", LOWER(TRIM($AP324))&lt;&gt;"na", SUMPRODUCT(--(UPPER(TRIM($AP$2:$AP$518))=UPPER(TRIM($AP324))), --(UPPER(TRIM($B$2:$B$518))="YES"), --(UPPER(TRIM($G$2:$G$518)&amp;TRIM($I$2:$I$518)&amp;TRIM($J$2:$J$518))&lt;&gt;UPPER(TRIM($G324)&amp;TRIM($I324)&amp;TRIM($J324))))&gt;0), AND($AQ324&lt;&gt;"", LOWER(TRIM($AQ324))&lt;&gt;"n/a", LOWER(TRIM($AQ324))&lt;&gt;"na", SUMPRODUCT(--(UPPER(TRIM($AQ$2:$AQ$518))=UPPER(TRIM($AQ324))), --(UPPER(TRIM($B$2:$B$518))="YES"), --(UPPER(TRIM($G$2:$G$518)&amp;TRIM($I$2:$I$518)&amp;TRIM($J$2:$J$518))&lt;&gt;UPPER(TRIM($G324)&amp;TRIM($I324)&amp;TRIM($J324))))&gt;0)), "Yes", "No"))</f>
        <v/>
      </c>
      <c r="G324" t="inlineStr">
        <is>
          <t>NSUH - PSP</t>
        </is>
      </c>
      <c r="H324" t="inlineStr">
        <is>
          <t>NSUH - PSP</t>
        </is>
      </c>
      <c r="I324" t="inlineStr">
        <is>
          <t>2nd Floor</t>
        </is>
      </c>
      <c r="J324" t="inlineStr">
        <is>
          <t>OR 9</t>
        </is>
      </c>
      <c r="L324" s="18" t="n">
        <v>46123</v>
      </c>
      <c r="M324" t="inlineStr">
        <is>
          <t>OR Workstation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R324" t="inlineStr">
        <is>
          <t>No</t>
        </is>
      </c>
      <c r="T324" t="inlineStr">
        <is>
          <t>Counterweight blocks uninstall</t>
        </is>
      </c>
      <c r="V324" t="inlineStr">
        <is>
          <t>NOT YET PLACED</t>
        </is>
      </c>
      <c r="W324" t="inlineStr">
        <is>
          <t>NOT YET PLACED</t>
        </is>
      </c>
      <c r="X324" t="inlineStr">
        <is>
          <t>UNPLUGGED</t>
        </is>
      </c>
      <c r="Y324" t="inlineStr">
        <is>
          <t>A0F5097FE1A9</t>
        </is>
      </c>
      <c r="AB324" t="inlineStr">
        <is>
          <t>WA24406131</t>
        </is>
      </c>
      <c r="AI324" t="inlineStr">
        <is>
          <t>Anesthesia Machine</t>
        </is>
      </c>
      <c r="AK324" t="n">
        <v>2</v>
      </c>
      <c r="AL324" t="inlineStr">
        <is>
          <t>7202-687 / 7202-686</t>
        </is>
      </c>
      <c r="AM324" t="inlineStr">
        <is>
          <t>GE</t>
        </is>
      </c>
      <c r="AN324" t="inlineStr">
        <is>
          <t>DATEX Ohmeha - Aisys CS2</t>
        </is>
      </c>
      <c r="AO324" t="inlineStr">
        <is>
          <t>N/A</t>
        </is>
      </c>
      <c r="AP324" t="inlineStr">
        <is>
          <t>010084068210229221APWC0263511230914</t>
        </is>
      </c>
      <c r="AQ324" t="inlineStr">
        <is>
          <t>010084068210229221APWC0263511230914</t>
        </is>
      </c>
      <c r="AR324" t="inlineStr">
        <is>
          <t>WMH300PSP009</t>
        </is>
      </c>
      <c r="AS324" t="inlineStr">
        <is>
          <t>DV9 to DV9 to USB to Canvas 1000</t>
        </is>
      </c>
      <c r="AT324" t="inlineStr">
        <is>
          <t>B1-CFU</t>
        </is>
      </c>
      <c r="BC324" t="n">
        <v>452501</v>
      </c>
      <c r="BD324" t="n">
        <v>452500</v>
      </c>
      <c r="CD324">
        <f>IF($Y324="","",IF((IF(AND($BR324&lt;&gt;"Yes",$BR324&lt;&gt;"N/A"),"Power Cable, ","")&amp;IF(AND($BS324&lt;&gt;"Yes",$BS324&lt;&gt;"N/A"),"Battery, ","")&amp;IF(AND($AD324&lt;&gt;"Yes",$AD324&lt;&gt;"N/A"),"Firmware Download, ","")&amp;IF(AND(OR($AD324="Yes",$AD324="N/A"),$AE324&lt;&gt;"Yes",$AE324&lt;&gt;"N/A"),"Firmware Install, ","")&amp;IF(AND($CB324&lt;&gt;"Yes",$CB324&lt;&gt;"N/A"),"Device ID, ","")&amp;IF(AND($CC324&lt;&gt;"Yes",$CC324&lt;&gt;"N/A"),"Epic Beans Relay, ",""))="","",LEFT(IF(AND($BR324&lt;&gt;"Yes",$BR324&lt;&gt;"N/A"),"Power Cable, ","")&amp;IF(AND($BS324&lt;&gt;"Yes",$BS324&lt;&gt;"N/A"),"Battery, ","")&amp;IF(AND($AD324&lt;&gt;"Yes",$AD324&lt;&gt;"N/A"),"Firmware Download, ","")&amp;IF(AND(OR($AD324="Yes",$AD324="N/A"),$AE324&lt;&gt;"Yes",$AE324&lt;&gt;"N/A"),"Firmware Install, ","")&amp;IF(AND($CB324&lt;&gt;"Yes",$CB324&lt;&gt;"N/A"),"Device ID, ","")&amp;IF(AND($CC324&lt;&gt;"Yes",$CC324&lt;&gt;"N/A"),"Epic Beans Relay, ",""),LEN(IF(AND($BR324&lt;&gt;"Yes",$BR324&lt;&gt;"N/A"),"Power Cable, ","")&amp;IF(AND($BS324&lt;&gt;"Yes",$BS324&lt;&gt;"N/A"),"Battery, ","")&amp;IF(AND($AD324&lt;&gt;"Yes",$AD324&lt;&gt;"N/A"),"Firmware Download, ","")&amp;IF(AND(OR($AD324="Yes",$AD324="N/A"),$AE324&lt;&gt;"Yes",$AE324&lt;&gt;"N/A"),"Firmware Install, ","")&amp;IF(AND($CB324&lt;&gt;"Yes",$CB324&lt;&gt;"N/A"),"Device ID, ","")&amp;IF(AND($CC324&lt;&gt;"Yes",$CC324&lt;&gt;"N/A"),"Epic Beans Relay, ",""))-2)))</f>
        <v/>
      </c>
      <c r="CE324">
        <f>IF($Y324="","",IF($CD324="","Yes","Blocked"))</f>
        <v/>
      </c>
      <c r="CP324">
        <f>IF($CO324="","",IFERROR(VLOOKUP($CO324,'01_Warehouse_Ledger'!$A:$N,4,FALSE),""))</f>
        <v/>
      </c>
      <c r="CQ324">
        <f>IF($CO324="","",IFERROR(VLOOKUP($CO324,'01_Warehouse_Ledger'!$A:$N,5,FALSE),""))</f>
        <v/>
      </c>
      <c r="CR324">
        <f>IF($CO324="","",IFERROR(VLOOKUP($CO324,'01_Warehouse_Ledger'!$A:$N,13,FALSE),""))</f>
        <v/>
      </c>
      <c r="CT324" t="inlineStr">
        <is>
          <t>WMH300PSP009</t>
        </is>
      </c>
      <c r="CW324">
        <f>IF($S324="","",IF(UPPER(TRIM($S324))&lt;&gt;"PASS","",IF(LEN(TRIM($BY324))&gt;0,"NOTES_PRESENT",IF(LEN(TRIM($T324))=0,"SET_NA",IF(OR(LOWER(TRIM($T324))="na",LOWER(TRIM($T324))="n/a"),"OK","MANUAL_OVERRIDE")))))</f>
        <v/>
      </c>
    </row>
    <row r="325">
      <c r="A325" t="inlineStr">
        <is>
          <t>Cybernet</t>
        </is>
      </c>
      <c r="B325" t="inlineStr">
        <is>
          <t>No</t>
        </is>
      </c>
      <c r="C325" t="inlineStr">
        <is>
          <t>No</t>
        </is>
      </c>
      <c r="D325">
        <f>IF($B325&lt;&gt;"Yes","",IF($C325="No","Yes",IF($C325="Yes","No","")))</f>
        <v/>
      </c>
      <c r="E325">
        <f>IF($A325="","",IF(OR(AND($V326&lt;&gt;"",LOWER(TRIM($V326))&lt;&gt;"n/a",LOWER(TRIM($V326))&lt;&gt;"na",SUMPRODUCT(--(UPPER(TRIM($V$2:$V$518))=UPPER(TRIM($V326))),--(TRIM($V$2:$V$518)&lt;&gt;""),--(LOWER(TRIM($V$2:$V$518))&lt;&gt;"n/a"),--(LOWER(TRIM($V$2:$V$518))&lt;&gt;"na"))&gt;1),AND($W326&lt;&gt;"",LOWER(TRIM($W326))&lt;&gt;"n/a",LOWER(TRIM($W326))&lt;&gt;"na",SUMPRODUCT(--(UPPER(TRIM($W$2:$W$518))=UPPER(TRIM($W326))),--(TRIM($W$2:$W$518)&lt;&gt;""),--(LOWER(TRIM($W$2:$W$518))&lt;&gt;"n/a"),--(LOWER(TRIM($W$2:$W$518))&lt;&gt;"na"))&gt;1),AND($X325&lt;&gt;"",LOWER(TRIM($X325))&lt;&gt;"n/a",LOWER(TRIM($X325))&lt;&gt;"na",SUMPRODUCT(--(UPPER(TRIM($X$2:$X$518))=UPPER(TRIM($X325))),--(TRIM($X$2:$X$518)&lt;&gt;""),--(LOWER(TRIM($X$2:$X$518))&lt;&gt;"n/a"),--(LOWER(TRIM($X$2:$X$518))&lt;&gt;"na"))&gt;1),AND($Y325&lt;&gt;"",LOWER(TRIM($Y325))&lt;&gt;"n/a",LOWER(TRIM($Y325))&lt;&gt;"na",SUMPRODUCT(--(UPPER(SUBSTITUTE(SUBSTITUTE(TRIM($Y$2:$Y$518),":",""),"-",""))=UPPER(SUBSTITUTE(SUBSTITUTE(TRIM($Y325),":",""),"-",""))),--(TRIM($Y$2:$Y$518)&lt;&gt;""),--(LOWER(TRIM($Y$2:$Y$518))&lt;&gt;"n/a"),--(LOWER(TRIM($Y$2:$Y$518))&lt;&gt;"na"))&gt;1),AND($AB325&lt;&gt;"",LOWER(TRIM($AB325))&lt;&gt;"n/a",LOWER(TRIM($AB325))&lt;&gt;"na",SUMPRODUCT(--(UPPER(TRIM($AB$2:$AB$518))=UPPER(TRIM($AB325))),--(TRIM($AB$2:$AB$518)&lt;&gt;""),--(LOWER(TRIM($AB$2:$AB$518))&lt;&gt;"n/a"),--(LOWER(TRIM($AB$2:$AB$518))&lt;&gt;"na"))&gt;1),AND($AH325&lt;&gt;"",LOWER(TRIM($AH325))&lt;&gt;"n/a",LOWER(TRIM($AH325))&lt;&gt;"na",SUMPRODUCT(--(UPPER(SUBSTITUTE(SUBSTITUTE(TRIM($AH$2:$AH$518),":",""),"-",""))=UPPER(SUBSTITUTE(SUBSTITUTE(TRIM($AH325),":",""),"-",""))),--(TRIM($AH$2:$AH$518)&lt;&gt;""),--(LOWER(TRIM($AH$2:$AH$518))&lt;&gt;"n/a"),--(LOWER(TRIM($AH$2:$AH$518))&lt;&gt;"na"))&gt;1),AND($AP325&lt;&gt;"",LOWER(TRIM($AP325))&lt;&gt;"n/a",LOWER(TRIM($AP325))&lt;&gt;"na",SUMPRODUCT(--(UPPER(TRIM($AP$2:$AP$518))=UPPER(TRIM($AP325))),--(TRIM($AP$2:$AP$518)&lt;&gt;""),--(LOWER(TRIM($AP$2:$AP$518))&lt;&gt;"n/a"),--(LOWER(TRIM($AP$2:$AP$518))&lt;&gt;"na"))&gt;1),AND($AQ325&lt;&gt;"",LOWER(TRIM($AQ325))&lt;&gt;"n/a",LOWER(TRIM($AQ325))&lt;&gt;"na",SUMPRODUCT(--(UPPER(TRIM($AQ$2:$AQ$518))=UPPER(TRIM($AQ325))),--(TRIM($AQ$2:$AQ$518)&lt;&gt;""),--(LOWER(TRIM($AQ$2:$AQ$518))&lt;&gt;"n/a"),--(LOWER(TRIM($AQ$2:$AQ$518))&lt;&gt;"na"))&gt;1)),"Yes","No"))</f>
        <v/>
      </c>
      <c r="F325">
        <f>IF(UPPER(TRIM($B325))&lt;&gt;"YES","", IF(OR(AND($V325&lt;&gt;"", LOWER(TRIM($V325))&lt;&gt;"n/a", LOWER(TRIM($V325))&lt;&gt;"na", SUMPRODUCT(--(UPPER(TRIM($V$2:$V$518))=UPPER(TRIM($V325))), --(UPPER(TRIM($B$2:$B$518))="YES"), --(UPPER(TRIM($G$2:$G$518)&amp;TRIM($I$2:$I$518)&amp;TRIM($J$2:$J$518))&lt;&gt;UPPER(TRIM($G325)&amp;TRIM($I325)&amp;TRIM($J325))))&gt;0), AND($W325&lt;&gt;"", LOWER(TRIM($W325))&lt;&gt;"n/a", LOWER(TRIM($W325))&lt;&gt;"na", SUMPRODUCT(--(UPPER(TRIM($W$2:$W$518))=UPPER(TRIM($W325))), --(UPPER(TRIM($B$2:$B$518))="YES"), --(UPPER(TRIM($G$2:$G$518)&amp;TRIM($I$2:$I$518)&amp;TRIM($J$2:$J$518))&lt;&gt;UPPER(TRIM($G325)&amp;TRIM($I325)&amp;TRIM($J325))))&gt;0), AND($X325&lt;&gt;"", LOWER(TRIM($X325))&lt;&gt;"n/a", LOWER(TRIM($X325))&lt;&gt;"na", SUMPRODUCT(--(UPPER(TRIM($X$2:$X$518))=UPPER(TRIM($X325))), --(UPPER(TRIM($B$2:$B$518))="YES"), --(UPPER(TRIM($G$2:$G$518)&amp;TRIM($I$2:$I$518)&amp;TRIM($J$2:$J$518))&lt;&gt;UPPER(TRIM($G325)&amp;TRIM($I325)&amp;TRIM($J325))))&gt;0), AND($Y325&lt;&gt;"", LOWER(TRIM($Y325))&lt;&gt;"n/a", LOWER(TRIM($Y325))&lt;&gt;"na", SUMPRODUCT(--(UPPER(SUBSTITUTE(SUBSTITUTE(TRIM($Y$2:$Y$518),":",""),"-",""))=UPPER(SUBSTITUTE(SUBSTITUTE(TRIM($Y325),":",""),"-",""))), --(UPPER(TRIM($B$2:$B$518))="YES"), --(UPPER(TRIM($G$2:$G$518)&amp;TRIM($I$2:$I$518)&amp;TRIM($J$2:$J$518))&lt;&gt;UPPER(TRIM($G325)&amp;TRIM($I325)&amp;TRIM($J325))))&gt;0), AND($AB325&lt;&gt;"", LOWER(TRIM($AB325))&lt;&gt;"n/a", LOWER(TRIM($AB325))&lt;&gt;"na", SUMPRODUCT(--(UPPER(TRIM($AB$2:$AB$518))=UPPER(TRIM($AB325))), --(UPPER(TRIM($B$2:$B$518))="YES"), --(UPPER(TRIM($G$2:$G$518)&amp;TRIM($I$2:$I$518)&amp;TRIM($J$2:$J$518))&lt;&gt;UPPER(TRIM($G325)&amp;TRIM($I325)&amp;TRIM($J325))))&gt;0), AND($AH325&lt;&gt;"", LOWER(TRIM($AH325))&lt;&gt;"n/a", LOWER(TRIM($AH325))&lt;&gt;"na", SUMPRODUCT(--(UPPER(SUBSTITUTE(SUBSTITUTE(TRIM($AH$2:$AH$518),":",""),"-",""))=UPPER(SUBSTITUTE(SUBSTITUTE(TRIM($AH325),":",""),"-",""))), --(UPPER(TRIM($B$2:$B$518))="YES"), --(UPPER(TRIM($G$2:$G$518)&amp;TRIM($I$2:$I$518)&amp;TRIM($J$2:$J$518))&lt;&gt;UPPER(TRIM($G325)&amp;TRIM($I325)&amp;TRIM($J325))))&gt;0), AND($AP325&lt;&gt;"", LOWER(TRIM($AP325))&lt;&gt;"n/a", LOWER(TRIM($AP325))&lt;&gt;"na", SUMPRODUCT(--(UPPER(TRIM($AP$2:$AP$518))=UPPER(TRIM($AP325))), --(UPPER(TRIM($B$2:$B$518))="YES"), --(UPPER(TRIM($G$2:$G$518)&amp;TRIM($I$2:$I$518)&amp;TRIM($J$2:$J$518))&lt;&gt;UPPER(TRIM($G325)&amp;TRIM($I325)&amp;TRIM($J325))))&gt;0), AND($AQ325&lt;&gt;"", LOWER(TRIM($AQ325))&lt;&gt;"n/a", LOWER(TRIM($AQ325))&lt;&gt;"na", SUMPRODUCT(--(UPPER(TRIM($AQ$2:$AQ$518))=UPPER(TRIM($AQ325))), --(UPPER(TRIM($B$2:$B$518))="YES"), --(UPPER(TRIM($G$2:$G$518)&amp;TRIM($I$2:$I$518)&amp;TRIM($J$2:$J$518))&lt;&gt;UPPER(TRIM($G325)&amp;TRIM($I325)&amp;TRIM($J325))))&gt;0)), "Yes", "No"))</f>
        <v/>
      </c>
      <c r="G325" t="inlineStr">
        <is>
          <t>1 Marcus</t>
        </is>
      </c>
      <c r="H325" t="inlineStr">
        <is>
          <t xml:space="preserve">VS </t>
        </is>
      </c>
      <c r="V325" t="inlineStr">
        <is>
          <t>WVS900OPR034</t>
        </is>
      </c>
      <c r="W325" t="inlineStr">
        <is>
          <t>MEDSG2425F-0080</t>
        </is>
      </c>
      <c r="CD325">
        <f>IF($Y325="","",IF((IF(AND($BR325&lt;&gt;"Yes",$BR325&lt;&gt;"N/A"),"Power Cable, ","")&amp;IF(AND($BS325&lt;&gt;"Yes",$BS325&lt;&gt;"N/A"),"Battery, ","")&amp;IF(AND($AD325&lt;&gt;"Yes",$AD325&lt;&gt;"N/A"),"Firmware Download, ","")&amp;IF(AND(OR($AD325="Yes",$AD325="N/A"),$AE325&lt;&gt;"Yes",$AE325&lt;&gt;"N/A"),"Firmware Install, ","")&amp;IF(AND($CB325&lt;&gt;"Yes",$CB325&lt;&gt;"N/A"),"Device ID, ","")&amp;IF(AND($CC325&lt;&gt;"Yes",$CC325&lt;&gt;"N/A"),"Epic Beans Relay, ",""))="","",LEFT(IF(AND($BR325&lt;&gt;"Yes",$BR325&lt;&gt;"N/A"),"Power Cable, ","")&amp;IF(AND($BS325&lt;&gt;"Yes",$BS325&lt;&gt;"N/A"),"Battery, ","")&amp;IF(AND($AD325&lt;&gt;"Yes",$AD325&lt;&gt;"N/A"),"Firmware Download, ","")&amp;IF(AND(OR($AD325="Yes",$AD325="N/A"),$AE325&lt;&gt;"Yes",$AE325&lt;&gt;"N/A"),"Firmware Install, ","")&amp;IF(AND($CB325&lt;&gt;"Yes",$CB325&lt;&gt;"N/A"),"Device ID, ","")&amp;IF(AND($CC325&lt;&gt;"Yes",$CC325&lt;&gt;"N/A"),"Epic Beans Relay, ",""),LEN(IF(AND($BR325&lt;&gt;"Yes",$BR325&lt;&gt;"N/A"),"Power Cable, ","")&amp;IF(AND($BS325&lt;&gt;"Yes",$BS325&lt;&gt;"N/A"),"Battery, ","")&amp;IF(AND($AD325&lt;&gt;"Yes",$AD325&lt;&gt;"N/A"),"Firmware Download, ","")&amp;IF(AND(OR($AD325="Yes",$AD325="N/A"),$AE325&lt;&gt;"Yes",$AE325&lt;&gt;"N/A"),"Firmware Install, ","")&amp;IF(AND($CB325&lt;&gt;"Yes",$CB325&lt;&gt;"N/A"),"Device ID, ","")&amp;IF(AND($CC325&lt;&gt;"Yes",$CC325&lt;&gt;"N/A"),"Epic Beans Relay, ",""))-2)))</f>
        <v/>
      </c>
      <c r="CE325">
        <f>IF($Y325="","",IF($CD325="","Yes","Blocked"))</f>
        <v/>
      </c>
      <c r="CP325">
        <f>IF($CO325="","",IFERROR(VLOOKUP($CO325,'01_Warehouse_Ledger'!$A:$N,4,FALSE),""))</f>
        <v/>
      </c>
      <c r="CQ325">
        <f>IF($CO325="","",IFERROR(VLOOKUP($CO325,'01_Warehouse_Ledger'!$A:$N,5,FALSE),""))</f>
        <v/>
      </c>
      <c r="CR325">
        <f>IF($CO325="","",IFERROR(VLOOKUP($CO325,'01_Warehouse_Ledger'!$A:$N,13,FALSE),""))</f>
        <v/>
      </c>
      <c r="CW325">
        <f>IF($S325="","",IF(UPPER(TRIM($S325))&lt;&gt;"PASS","",IF(LEN(TRIM($BY325))&gt;0,"NOTES_PRESENT",IF(LEN(TRIM($T325))=0,"SET_NA",IF(OR(LOWER(TRIM($T325))="na",LOWER(TRIM($T325))="n/a"),"OK","MANUAL_OVERRIDE")))))</f>
        <v/>
      </c>
    </row>
    <row r="326">
      <c r="A326" t="inlineStr">
        <is>
          <t>Cybernet</t>
        </is>
      </c>
      <c r="B326" t="inlineStr">
        <is>
          <t>No</t>
        </is>
      </c>
      <c r="C326" t="inlineStr">
        <is>
          <t>No</t>
        </is>
      </c>
      <c r="D326">
        <f>IF($B326&lt;&gt;"Yes","",IF($C326="No","Yes",IF($C326="Yes","No","")))</f>
        <v/>
      </c>
      <c r="E326">
        <f>IF($A326="","",IF(OR(AND($V327&lt;&gt;"",LOWER(TRIM($V327))&lt;&gt;"n/a",LOWER(TRIM($V327))&lt;&gt;"na",SUMPRODUCT(--(UPPER(TRIM($V$2:$V$518))=UPPER(TRIM($V327))),--(TRIM($V$2:$V$518)&lt;&gt;""),--(LOWER(TRIM($V$2:$V$518))&lt;&gt;"n/a"),--(LOWER(TRIM($V$2:$V$518))&lt;&gt;"na"))&gt;1),AND($W327&lt;&gt;"",LOWER(TRIM($W327))&lt;&gt;"n/a",LOWER(TRIM($W327))&lt;&gt;"na",SUMPRODUCT(--(UPPER(TRIM($W$2:$W$518))=UPPER(TRIM($W327))),--(TRIM($W$2:$W$518)&lt;&gt;""),--(LOWER(TRIM($W$2:$W$518))&lt;&gt;"n/a"),--(LOWER(TRIM($W$2:$W$518))&lt;&gt;"na"))&gt;1),AND($X326&lt;&gt;"",LOWER(TRIM($X326))&lt;&gt;"n/a",LOWER(TRIM($X326))&lt;&gt;"na",SUMPRODUCT(--(UPPER(TRIM($X$2:$X$518))=UPPER(TRIM($X326))),--(TRIM($X$2:$X$518)&lt;&gt;""),--(LOWER(TRIM($X$2:$X$518))&lt;&gt;"n/a"),--(LOWER(TRIM($X$2:$X$518))&lt;&gt;"na"))&gt;1),AND($Y326&lt;&gt;"",LOWER(TRIM($Y326))&lt;&gt;"n/a",LOWER(TRIM($Y326))&lt;&gt;"na",SUMPRODUCT(--(UPPER(SUBSTITUTE(SUBSTITUTE(TRIM($Y$2:$Y$518),":",""),"-",""))=UPPER(SUBSTITUTE(SUBSTITUTE(TRIM($Y326),":",""),"-",""))),--(TRIM($Y$2:$Y$518)&lt;&gt;""),--(LOWER(TRIM($Y$2:$Y$518))&lt;&gt;"n/a"),--(LOWER(TRIM($Y$2:$Y$518))&lt;&gt;"na"))&gt;1),AND($AB326&lt;&gt;"",LOWER(TRIM($AB326))&lt;&gt;"n/a",LOWER(TRIM($AB326))&lt;&gt;"na",SUMPRODUCT(--(UPPER(TRIM($AB$2:$AB$518))=UPPER(TRIM($AB326))),--(TRIM($AB$2:$AB$518)&lt;&gt;""),--(LOWER(TRIM($AB$2:$AB$518))&lt;&gt;"n/a"),--(LOWER(TRIM($AB$2:$AB$518))&lt;&gt;"na"))&gt;1),AND($AH326&lt;&gt;"",LOWER(TRIM($AH326))&lt;&gt;"n/a",LOWER(TRIM($AH326))&lt;&gt;"na",SUMPRODUCT(--(UPPER(SUBSTITUTE(SUBSTITUTE(TRIM($AH$2:$AH$518),":",""),"-",""))=UPPER(SUBSTITUTE(SUBSTITUTE(TRIM($AH326),":",""),"-",""))),--(TRIM($AH$2:$AH$518)&lt;&gt;""),--(LOWER(TRIM($AH$2:$AH$518))&lt;&gt;"n/a"),--(LOWER(TRIM($AH$2:$AH$518))&lt;&gt;"na"))&gt;1),AND($AP326&lt;&gt;"",LOWER(TRIM($AP326))&lt;&gt;"n/a",LOWER(TRIM($AP326))&lt;&gt;"na",SUMPRODUCT(--(UPPER(TRIM($AP$2:$AP$518))=UPPER(TRIM($AP326))),--(TRIM($AP$2:$AP$518)&lt;&gt;""),--(LOWER(TRIM($AP$2:$AP$518))&lt;&gt;"n/a"),--(LOWER(TRIM($AP$2:$AP$518))&lt;&gt;"na"))&gt;1),AND($AQ326&lt;&gt;"",LOWER(TRIM($AQ326))&lt;&gt;"n/a",LOWER(TRIM($AQ326))&lt;&gt;"na",SUMPRODUCT(--(UPPER(TRIM($AQ$2:$AQ$518))=UPPER(TRIM($AQ326))),--(TRIM($AQ$2:$AQ$518)&lt;&gt;""),--(LOWER(TRIM($AQ$2:$AQ$518))&lt;&gt;"n/a"),--(LOWER(TRIM($AQ$2:$AQ$518))&lt;&gt;"na"))&gt;1)),"Yes","No"))</f>
        <v/>
      </c>
      <c r="F326">
        <f>IF(UPPER(TRIM($B326))&lt;&gt;"YES","", IF(OR(AND($V326&lt;&gt;"", LOWER(TRIM($V326))&lt;&gt;"n/a", LOWER(TRIM($V326))&lt;&gt;"na", SUMPRODUCT(--(UPPER(TRIM($V$2:$V$518))=UPPER(TRIM($V326))), --(UPPER(TRIM($B$2:$B$518))="YES"), --(UPPER(TRIM($G$2:$G$518)&amp;TRIM($I$2:$I$518)&amp;TRIM($J$2:$J$518))&lt;&gt;UPPER(TRIM($G326)&amp;TRIM($I326)&amp;TRIM($J326))))&gt;0), AND($W326&lt;&gt;"", LOWER(TRIM($W326))&lt;&gt;"n/a", LOWER(TRIM($W326))&lt;&gt;"na", SUMPRODUCT(--(UPPER(TRIM($W$2:$W$518))=UPPER(TRIM($W326))), --(UPPER(TRIM($B$2:$B$518))="YES"), --(UPPER(TRIM($G$2:$G$518)&amp;TRIM($I$2:$I$518)&amp;TRIM($J$2:$J$518))&lt;&gt;UPPER(TRIM($G326)&amp;TRIM($I326)&amp;TRIM($J326))))&gt;0), AND($X326&lt;&gt;"", LOWER(TRIM($X326))&lt;&gt;"n/a", LOWER(TRIM($X326))&lt;&gt;"na", SUMPRODUCT(--(UPPER(TRIM($X$2:$X$518))=UPPER(TRIM($X326))), --(UPPER(TRIM($B$2:$B$518))="YES"), --(UPPER(TRIM($G$2:$G$518)&amp;TRIM($I$2:$I$518)&amp;TRIM($J$2:$J$518))&lt;&gt;UPPER(TRIM($G326)&amp;TRIM($I326)&amp;TRIM($J326))))&gt;0), AND($Y326&lt;&gt;"", LOWER(TRIM($Y326))&lt;&gt;"n/a", LOWER(TRIM($Y326))&lt;&gt;"na", SUMPRODUCT(--(UPPER(SUBSTITUTE(SUBSTITUTE(TRIM($Y$2:$Y$518),":",""),"-",""))=UPPER(SUBSTITUTE(SUBSTITUTE(TRIM($Y326),":",""),"-",""))), --(UPPER(TRIM($B$2:$B$518))="YES"), --(UPPER(TRIM($G$2:$G$518)&amp;TRIM($I$2:$I$518)&amp;TRIM($J$2:$J$518))&lt;&gt;UPPER(TRIM($G326)&amp;TRIM($I326)&amp;TRIM($J326))))&gt;0), AND($AB326&lt;&gt;"", LOWER(TRIM($AB326))&lt;&gt;"n/a", LOWER(TRIM($AB326))&lt;&gt;"na", SUMPRODUCT(--(UPPER(TRIM($AB$2:$AB$518))=UPPER(TRIM($AB326))), --(UPPER(TRIM($B$2:$B$518))="YES"), --(UPPER(TRIM($G$2:$G$518)&amp;TRIM($I$2:$I$518)&amp;TRIM($J$2:$J$518))&lt;&gt;UPPER(TRIM($G326)&amp;TRIM($I326)&amp;TRIM($J326))))&gt;0), AND($AH326&lt;&gt;"", LOWER(TRIM($AH326))&lt;&gt;"n/a", LOWER(TRIM($AH326))&lt;&gt;"na", SUMPRODUCT(--(UPPER(SUBSTITUTE(SUBSTITUTE(TRIM($AH$2:$AH$518),":",""),"-",""))=UPPER(SUBSTITUTE(SUBSTITUTE(TRIM($AH326),":",""),"-",""))), --(UPPER(TRIM($B$2:$B$518))="YES"), --(UPPER(TRIM($G$2:$G$518)&amp;TRIM($I$2:$I$518)&amp;TRIM($J$2:$J$518))&lt;&gt;UPPER(TRIM($G326)&amp;TRIM($I326)&amp;TRIM($J326))))&gt;0), AND($AP326&lt;&gt;"", LOWER(TRIM($AP326))&lt;&gt;"n/a", LOWER(TRIM($AP326))&lt;&gt;"na", SUMPRODUCT(--(UPPER(TRIM($AP$2:$AP$518))=UPPER(TRIM($AP326))), --(UPPER(TRIM($B$2:$B$518))="YES"), --(UPPER(TRIM($G$2:$G$518)&amp;TRIM($I$2:$I$518)&amp;TRIM($J$2:$J$518))&lt;&gt;UPPER(TRIM($G326)&amp;TRIM($I326)&amp;TRIM($J326))))&gt;0), AND($AQ326&lt;&gt;"", LOWER(TRIM($AQ326))&lt;&gt;"n/a", LOWER(TRIM($AQ326))&lt;&gt;"na", SUMPRODUCT(--(UPPER(TRIM($AQ$2:$AQ$518))=UPPER(TRIM($AQ326))), --(UPPER(TRIM($B$2:$B$518))="YES"), --(UPPER(TRIM($G$2:$G$518)&amp;TRIM($I$2:$I$518)&amp;TRIM($J$2:$J$518))&lt;&gt;UPPER(TRIM($G326)&amp;TRIM($I326)&amp;TRIM($J326))))&gt;0)), "Yes", "No"))</f>
        <v/>
      </c>
      <c r="G326" t="inlineStr">
        <is>
          <t>1 Marcus</t>
        </is>
      </c>
      <c r="H326" t="inlineStr">
        <is>
          <t>NSUH - VAR</t>
        </is>
      </c>
      <c r="P326" t="inlineStr">
        <is>
          <t>Yes</t>
        </is>
      </c>
      <c r="V326" t="inlineStr">
        <is>
          <t>WPV109OPR012</t>
        </is>
      </c>
      <c r="W326" t="inlineStr">
        <is>
          <t>MEDNG2425E-3205</t>
        </is>
      </c>
      <c r="CD326">
        <f>IF($Y326="","",IF((IF(AND($BR326&lt;&gt;"Yes",$BR326&lt;&gt;"N/A"),"Power Cable, ","")&amp;IF(AND($BS326&lt;&gt;"Yes",$BS326&lt;&gt;"N/A"),"Battery, ","")&amp;IF(AND($AD326&lt;&gt;"Yes",$AD326&lt;&gt;"N/A"),"Firmware Download, ","")&amp;IF(AND(OR($AD326="Yes",$AD326="N/A"),$AE326&lt;&gt;"Yes",$AE326&lt;&gt;"N/A"),"Firmware Install, ","")&amp;IF(AND($CB326&lt;&gt;"Yes",$CB326&lt;&gt;"N/A"),"Device ID, ","")&amp;IF(AND($CC326&lt;&gt;"Yes",$CC326&lt;&gt;"N/A"),"Epic Beans Relay, ",""))="","",LEFT(IF(AND($BR326&lt;&gt;"Yes",$BR326&lt;&gt;"N/A"),"Power Cable, ","")&amp;IF(AND($BS326&lt;&gt;"Yes",$BS326&lt;&gt;"N/A"),"Battery, ","")&amp;IF(AND($AD326&lt;&gt;"Yes",$AD326&lt;&gt;"N/A"),"Firmware Download, ","")&amp;IF(AND(OR($AD326="Yes",$AD326="N/A"),$AE326&lt;&gt;"Yes",$AE326&lt;&gt;"N/A"),"Firmware Install, ","")&amp;IF(AND($CB326&lt;&gt;"Yes",$CB326&lt;&gt;"N/A"),"Device ID, ","")&amp;IF(AND($CC326&lt;&gt;"Yes",$CC326&lt;&gt;"N/A"),"Epic Beans Relay, ",""),LEN(IF(AND($BR326&lt;&gt;"Yes",$BR326&lt;&gt;"N/A"),"Power Cable, ","")&amp;IF(AND($BS326&lt;&gt;"Yes",$BS326&lt;&gt;"N/A"),"Battery, ","")&amp;IF(AND($AD326&lt;&gt;"Yes",$AD326&lt;&gt;"N/A"),"Firmware Download, ","")&amp;IF(AND(OR($AD326="Yes",$AD326="N/A"),$AE326&lt;&gt;"Yes",$AE326&lt;&gt;"N/A"),"Firmware Install, ","")&amp;IF(AND($CB326&lt;&gt;"Yes",$CB326&lt;&gt;"N/A"),"Device ID, ","")&amp;IF(AND($CC326&lt;&gt;"Yes",$CC326&lt;&gt;"N/A"),"Epic Beans Relay, ",""))-2)))</f>
        <v/>
      </c>
      <c r="CE326">
        <f>IF($Y326="","",IF($CD326="","Yes","Blocked"))</f>
        <v/>
      </c>
      <c r="CP326">
        <f>IF($CO326="","",IFERROR(VLOOKUP($CO326,'01_Warehouse_Ledger'!$A:$N,4,FALSE),""))</f>
        <v/>
      </c>
      <c r="CQ326">
        <f>IF($CO326="","",IFERROR(VLOOKUP($CO326,'01_Warehouse_Ledger'!$A:$N,5,FALSE),""))</f>
        <v/>
      </c>
      <c r="CR326">
        <f>IF($CO326="","",IFERROR(VLOOKUP($CO326,'01_Warehouse_Ledger'!$A:$N,13,FALSE),""))</f>
        <v/>
      </c>
      <c r="CW326">
        <f>IF($S326="","",IF(UPPER(TRIM($S326))&lt;&gt;"PASS","",IF(LEN(TRIM($BY326))&gt;0,"NOTES_PRESENT",IF(LEN(TRIM($T326))=0,"SET_NA",IF(OR(LOWER(TRIM($T326))="na",LOWER(TRIM($T326))="n/a"),"OK","MANUAL_OVERRIDE")))))</f>
        <v/>
      </c>
    </row>
    <row r="327">
      <c r="A327" t="inlineStr">
        <is>
          <t>Cybernet</t>
        </is>
      </c>
      <c r="B327" t="inlineStr">
        <is>
          <t>No</t>
        </is>
      </c>
      <c r="C327" t="inlineStr">
        <is>
          <t>No</t>
        </is>
      </c>
      <c r="D327">
        <f>IF($B327&lt;&gt;"Yes","",IF($C327="No","Yes",IF($C327="Yes","No","")))</f>
        <v/>
      </c>
      <c r="E327">
        <f>IF($A327="","",IF(OR(AND($V328&lt;&gt;"",LOWER(TRIM($V328))&lt;&gt;"n/a",LOWER(TRIM($V328))&lt;&gt;"na",SUMPRODUCT(--(UPPER(TRIM($V$2:$V$518))=UPPER(TRIM($V328))),--(TRIM($V$2:$V$518)&lt;&gt;""),--(LOWER(TRIM($V$2:$V$518))&lt;&gt;"n/a"),--(LOWER(TRIM($V$2:$V$518))&lt;&gt;"na"))&gt;1),AND($W328&lt;&gt;"",LOWER(TRIM($W328))&lt;&gt;"n/a",LOWER(TRIM($W328))&lt;&gt;"na",SUMPRODUCT(--(UPPER(TRIM($W$2:$W$518))=UPPER(TRIM($W328))),--(TRIM($W$2:$W$518)&lt;&gt;""),--(LOWER(TRIM($W$2:$W$518))&lt;&gt;"n/a"),--(LOWER(TRIM($W$2:$W$518))&lt;&gt;"na"))&gt;1),AND($X327&lt;&gt;"",LOWER(TRIM($X327))&lt;&gt;"n/a",LOWER(TRIM($X327))&lt;&gt;"na",SUMPRODUCT(--(UPPER(TRIM($X$2:$X$518))=UPPER(TRIM($X327))),--(TRIM($X$2:$X$518)&lt;&gt;""),--(LOWER(TRIM($X$2:$X$518))&lt;&gt;"n/a"),--(LOWER(TRIM($X$2:$X$518))&lt;&gt;"na"))&gt;1),AND($Y327&lt;&gt;"",LOWER(TRIM($Y327))&lt;&gt;"n/a",LOWER(TRIM($Y327))&lt;&gt;"na",SUMPRODUCT(--(UPPER(SUBSTITUTE(SUBSTITUTE(TRIM($Y$2:$Y$518),":",""),"-",""))=UPPER(SUBSTITUTE(SUBSTITUTE(TRIM($Y327),":",""),"-",""))),--(TRIM($Y$2:$Y$518)&lt;&gt;""),--(LOWER(TRIM($Y$2:$Y$518))&lt;&gt;"n/a"),--(LOWER(TRIM($Y$2:$Y$518))&lt;&gt;"na"))&gt;1),AND($AB327&lt;&gt;"",LOWER(TRIM($AB327))&lt;&gt;"n/a",LOWER(TRIM($AB327))&lt;&gt;"na",SUMPRODUCT(--(UPPER(TRIM($AB$2:$AB$518))=UPPER(TRIM($AB327))),--(TRIM($AB$2:$AB$518)&lt;&gt;""),--(LOWER(TRIM($AB$2:$AB$518))&lt;&gt;"n/a"),--(LOWER(TRIM($AB$2:$AB$518))&lt;&gt;"na"))&gt;1),AND($AH327&lt;&gt;"",LOWER(TRIM($AH327))&lt;&gt;"n/a",LOWER(TRIM($AH327))&lt;&gt;"na",SUMPRODUCT(--(UPPER(SUBSTITUTE(SUBSTITUTE(TRIM($AH$2:$AH$518),":",""),"-",""))=UPPER(SUBSTITUTE(SUBSTITUTE(TRIM($AH327),":",""),"-",""))),--(TRIM($AH$2:$AH$518)&lt;&gt;""),--(LOWER(TRIM($AH$2:$AH$518))&lt;&gt;"n/a"),--(LOWER(TRIM($AH$2:$AH$518))&lt;&gt;"na"))&gt;1),AND($AP327&lt;&gt;"",LOWER(TRIM($AP327))&lt;&gt;"n/a",LOWER(TRIM($AP327))&lt;&gt;"na",SUMPRODUCT(--(UPPER(TRIM($AP$2:$AP$518))=UPPER(TRIM($AP327))),--(TRIM($AP$2:$AP$518)&lt;&gt;""),--(LOWER(TRIM($AP$2:$AP$518))&lt;&gt;"n/a"),--(LOWER(TRIM($AP$2:$AP$518))&lt;&gt;"na"))&gt;1),AND($AQ327&lt;&gt;"",LOWER(TRIM($AQ327))&lt;&gt;"n/a",LOWER(TRIM($AQ327))&lt;&gt;"na",SUMPRODUCT(--(UPPER(TRIM($AQ$2:$AQ$518))=UPPER(TRIM($AQ327))),--(TRIM($AQ$2:$AQ$518)&lt;&gt;""),--(LOWER(TRIM($AQ$2:$AQ$518))&lt;&gt;"n/a"),--(LOWER(TRIM($AQ$2:$AQ$518))&lt;&gt;"na"))&gt;1)),"Yes","No"))</f>
        <v/>
      </c>
      <c r="F327">
        <f>IF(UPPER(TRIM($B327))&lt;&gt;"YES","", IF(OR(AND($V327&lt;&gt;"", LOWER(TRIM($V327))&lt;&gt;"n/a", LOWER(TRIM($V327))&lt;&gt;"na", SUMPRODUCT(--(UPPER(TRIM($V$2:$V$518))=UPPER(TRIM($V327))), --(UPPER(TRIM($B$2:$B$518))="YES"), --(UPPER(TRIM($G$2:$G$518)&amp;TRIM($I$2:$I$518)&amp;TRIM($J$2:$J$518))&lt;&gt;UPPER(TRIM($G327)&amp;TRIM($I327)&amp;TRIM($J327))))&gt;0), AND($W327&lt;&gt;"", LOWER(TRIM($W327))&lt;&gt;"n/a", LOWER(TRIM($W327))&lt;&gt;"na", SUMPRODUCT(--(UPPER(TRIM($W$2:$W$518))=UPPER(TRIM($W327))), --(UPPER(TRIM($B$2:$B$518))="YES"), --(UPPER(TRIM($G$2:$G$518)&amp;TRIM($I$2:$I$518)&amp;TRIM($J$2:$J$518))&lt;&gt;UPPER(TRIM($G327)&amp;TRIM($I327)&amp;TRIM($J327))))&gt;0), AND($X327&lt;&gt;"", LOWER(TRIM($X327))&lt;&gt;"n/a", LOWER(TRIM($X327))&lt;&gt;"na", SUMPRODUCT(--(UPPER(TRIM($X$2:$X$518))=UPPER(TRIM($X327))), --(UPPER(TRIM($B$2:$B$518))="YES"), --(UPPER(TRIM($G$2:$G$518)&amp;TRIM($I$2:$I$518)&amp;TRIM($J$2:$J$518))&lt;&gt;UPPER(TRIM($G327)&amp;TRIM($I327)&amp;TRIM($J327))))&gt;0), AND($Y327&lt;&gt;"", LOWER(TRIM($Y327))&lt;&gt;"n/a", LOWER(TRIM($Y327))&lt;&gt;"na", SUMPRODUCT(--(UPPER(SUBSTITUTE(SUBSTITUTE(TRIM($Y$2:$Y$518),":",""),"-",""))=UPPER(SUBSTITUTE(SUBSTITUTE(TRIM($Y327),":",""),"-",""))), --(UPPER(TRIM($B$2:$B$518))="YES"), --(UPPER(TRIM($G$2:$G$518)&amp;TRIM($I$2:$I$518)&amp;TRIM($J$2:$J$518))&lt;&gt;UPPER(TRIM($G327)&amp;TRIM($I327)&amp;TRIM($J327))))&gt;0), AND($AB327&lt;&gt;"", LOWER(TRIM($AB327))&lt;&gt;"n/a", LOWER(TRIM($AB327))&lt;&gt;"na", SUMPRODUCT(--(UPPER(TRIM($AB$2:$AB$518))=UPPER(TRIM($AB327))), --(UPPER(TRIM($B$2:$B$518))="YES"), --(UPPER(TRIM($G$2:$G$518)&amp;TRIM($I$2:$I$518)&amp;TRIM($J$2:$J$518))&lt;&gt;UPPER(TRIM($G327)&amp;TRIM($I327)&amp;TRIM($J327))))&gt;0), AND($AH327&lt;&gt;"", LOWER(TRIM($AH327))&lt;&gt;"n/a", LOWER(TRIM($AH327))&lt;&gt;"na", SUMPRODUCT(--(UPPER(SUBSTITUTE(SUBSTITUTE(TRIM($AH$2:$AH$518),":",""),"-",""))=UPPER(SUBSTITUTE(SUBSTITUTE(TRIM($AH327),":",""),"-",""))), --(UPPER(TRIM($B$2:$B$518))="YES"), --(UPPER(TRIM($G$2:$G$518)&amp;TRIM($I$2:$I$518)&amp;TRIM($J$2:$J$518))&lt;&gt;UPPER(TRIM($G327)&amp;TRIM($I327)&amp;TRIM($J327))))&gt;0), AND($AP327&lt;&gt;"", LOWER(TRIM($AP327))&lt;&gt;"n/a", LOWER(TRIM($AP327))&lt;&gt;"na", SUMPRODUCT(--(UPPER(TRIM($AP$2:$AP$518))=UPPER(TRIM($AP327))), --(UPPER(TRIM($B$2:$B$518))="YES"), --(UPPER(TRIM($G$2:$G$518)&amp;TRIM($I$2:$I$518)&amp;TRIM($J$2:$J$518))&lt;&gt;UPPER(TRIM($G327)&amp;TRIM($I327)&amp;TRIM($J327))))&gt;0), AND($AQ327&lt;&gt;"", LOWER(TRIM($AQ327))&lt;&gt;"n/a", LOWER(TRIM($AQ327))&lt;&gt;"na", SUMPRODUCT(--(UPPER(TRIM($AQ$2:$AQ$518))=UPPER(TRIM($AQ327))), --(UPPER(TRIM($B$2:$B$518))="YES"), --(UPPER(TRIM($G$2:$G$518)&amp;TRIM($I$2:$I$518)&amp;TRIM($J$2:$J$518))&lt;&gt;UPPER(TRIM($G327)&amp;TRIM($I327)&amp;TRIM($J327))))&gt;0)), "Yes", "No"))</f>
        <v/>
      </c>
      <c r="G327" t="inlineStr">
        <is>
          <t>1 Marcus</t>
        </is>
      </c>
      <c r="H327" t="inlineStr">
        <is>
          <t>PV</t>
        </is>
      </c>
      <c r="P327" t="inlineStr">
        <is>
          <t>Yes</t>
        </is>
      </c>
      <c r="V327" t="inlineStr">
        <is>
          <t>WPV109OPR014</t>
        </is>
      </c>
      <c r="W327" t="inlineStr">
        <is>
          <t>MEDSG2425F-0053</t>
        </is>
      </c>
      <c r="CD327">
        <f>IF($Y327="","",IF((IF(AND($BR327&lt;&gt;"Yes",$BR327&lt;&gt;"N/A"),"Power Cable, ","")&amp;IF(AND($BS327&lt;&gt;"Yes",$BS327&lt;&gt;"N/A"),"Battery, ","")&amp;IF(AND($AD327&lt;&gt;"Yes",$AD327&lt;&gt;"N/A"),"Firmware Download, ","")&amp;IF(AND(OR($AD327="Yes",$AD327="N/A"),$AE327&lt;&gt;"Yes",$AE327&lt;&gt;"N/A"),"Firmware Install, ","")&amp;IF(AND($CB327&lt;&gt;"Yes",$CB327&lt;&gt;"N/A"),"Device ID, ","")&amp;IF(AND($CC327&lt;&gt;"Yes",$CC327&lt;&gt;"N/A"),"Epic Beans Relay, ",""))="","",LEFT(IF(AND($BR327&lt;&gt;"Yes",$BR327&lt;&gt;"N/A"),"Power Cable, ","")&amp;IF(AND($BS327&lt;&gt;"Yes",$BS327&lt;&gt;"N/A"),"Battery, ","")&amp;IF(AND($AD327&lt;&gt;"Yes",$AD327&lt;&gt;"N/A"),"Firmware Download, ","")&amp;IF(AND(OR($AD327="Yes",$AD327="N/A"),$AE327&lt;&gt;"Yes",$AE327&lt;&gt;"N/A"),"Firmware Install, ","")&amp;IF(AND($CB327&lt;&gt;"Yes",$CB327&lt;&gt;"N/A"),"Device ID, ","")&amp;IF(AND($CC327&lt;&gt;"Yes",$CC327&lt;&gt;"N/A"),"Epic Beans Relay, ",""),LEN(IF(AND($BR327&lt;&gt;"Yes",$BR327&lt;&gt;"N/A"),"Power Cable, ","")&amp;IF(AND($BS327&lt;&gt;"Yes",$BS327&lt;&gt;"N/A"),"Battery, ","")&amp;IF(AND($AD327&lt;&gt;"Yes",$AD327&lt;&gt;"N/A"),"Firmware Download, ","")&amp;IF(AND(OR($AD327="Yes",$AD327="N/A"),$AE327&lt;&gt;"Yes",$AE327&lt;&gt;"N/A"),"Firmware Install, ","")&amp;IF(AND($CB327&lt;&gt;"Yes",$CB327&lt;&gt;"N/A"),"Device ID, ","")&amp;IF(AND($CC327&lt;&gt;"Yes",$CC327&lt;&gt;"N/A"),"Epic Beans Relay, ",""))-2)))</f>
        <v/>
      </c>
      <c r="CE327">
        <f>IF($Y327="","",IF($CD327="","Yes","Blocked"))</f>
        <v/>
      </c>
      <c r="CP327">
        <f>IF($CO327="","",IFERROR(VLOOKUP($CO327,'01_Warehouse_Ledger'!$A:$N,4,FALSE),""))</f>
        <v/>
      </c>
      <c r="CQ327">
        <f>IF($CO327="","",IFERROR(VLOOKUP($CO327,'01_Warehouse_Ledger'!$A:$N,5,FALSE),""))</f>
        <v/>
      </c>
      <c r="CR327">
        <f>IF($CO327="","",IFERROR(VLOOKUP($CO327,'01_Warehouse_Ledger'!$A:$N,13,FALSE),""))</f>
        <v/>
      </c>
      <c r="CW327">
        <f>IF($S327="","",IF(UPPER(TRIM($S327))&lt;&gt;"PASS","",IF(LEN(TRIM($BY327))&gt;0,"NOTES_PRESENT",IF(LEN(TRIM($T327))=0,"SET_NA",IF(OR(LOWER(TRIM($T327))="na",LOWER(TRIM($T327))="n/a"),"OK","MANUAL_OVERRIDE")))))</f>
        <v/>
      </c>
    </row>
    <row r="328">
      <c r="A328" t="inlineStr">
        <is>
          <t>Cybernet</t>
        </is>
      </c>
      <c r="B328" t="inlineStr">
        <is>
          <t>No</t>
        </is>
      </c>
      <c r="C328" t="inlineStr">
        <is>
          <t>No</t>
        </is>
      </c>
      <c r="D328">
        <f>IF($B328&lt;&gt;"Yes","",IF($C328="No","Yes",IF($C328="Yes","No","")))</f>
        <v/>
      </c>
      <c r="E328">
        <f>IF($A328="","",IF(OR(AND($V329&lt;&gt;"",LOWER(TRIM($V329))&lt;&gt;"n/a",LOWER(TRIM($V329))&lt;&gt;"na",SUMPRODUCT(--(UPPER(TRIM($V$2:$V$518))=UPPER(TRIM($V329))),--(TRIM($V$2:$V$518)&lt;&gt;""),--(LOWER(TRIM($V$2:$V$518))&lt;&gt;"n/a"),--(LOWER(TRIM($V$2:$V$518))&lt;&gt;"na"))&gt;1),AND($W329&lt;&gt;"",LOWER(TRIM($W329))&lt;&gt;"n/a",LOWER(TRIM($W329))&lt;&gt;"na",SUMPRODUCT(--(UPPER(TRIM($W$2:$W$518))=UPPER(TRIM($W329))),--(TRIM($W$2:$W$518)&lt;&gt;""),--(LOWER(TRIM($W$2:$W$518))&lt;&gt;"n/a"),--(LOWER(TRIM($W$2:$W$518))&lt;&gt;"na"))&gt;1),AND($X328&lt;&gt;"",LOWER(TRIM($X328))&lt;&gt;"n/a",LOWER(TRIM($X328))&lt;&gt;"na",SUMPRODUCT(--(UPPER(TRIM($X$2:$X$518))=UPPER(TRIM($X328))),--(TRIM($X$2:$X$518)&lt;&gt;""),--(LOWER(TRIM($X$2:$X$518))&lt;&gt;"n/a"),--(LOWER(TRIM($X$2:$X$518))&lt;&gt;"na"))&gt;1),AND($Y328&lt;&gt;"",LOWER(TRIM($Y328))&lt;&gt;"n/a",LOWER(TRIM($Y328))&lt;&gt;"na",SUMPRODUCT(--(UPPER(SUBSTITUTE(SUBSTITUTE(TRIM($Y$2:$Y$518),":",""),"-",""))=UPPER(SUBSTITUTE(SUBSTITUTE(TRIM($Y328),":",""),"-",""))),--(TRIM($Y$2:$Y$518)&lt;&gt;""),--(LOWER(TRIM($Y$2:$Y$518))&lt;&gt;"n/a"),--(LOWER(TRIM($Y$2:$Y$518))&lt;&gt;"na"))&gt;1),AND($AB328&lt;&gt;"",LOWER(TRIM($AB328))&lt;&gt;"n/a",LOWER(TRIM($AB328))&lt;&gt;"na",SUMPRODUCT(--(UPPER(TRIM($AB$2:$AB$518))=UPPER(TRIM($AB328))),--(TRIM($AB$2:$AB$518)&lt;&gt;""),--(LOWER(TRIM($AB$2:$AB$518))&lt;&gt;"n/a"),--(LOWER(TRIM($AB$2:$AB$518))&lt;&gt;"na"))&gt;1),AND($AH328&lt;&gt;"",LOWER(TRIM($AH328))&lt;&gt;"n/a",LOWER(TRIM($AH328))&lt;&gt;"na",SUMPRODUCT(--(UPPER(SUBSTITUTE(SUBSTITUTE(TRIM($AH$2:$AH$518),":",""),"-",""))=UPPER(SUBSTITUTE(SUBSTITUTE(TRIM($AH328),":",""),"-",""))),--(TRIM($AH$2:$AH$518)&lt;&gt;""),--(LOWER(TRIM($AH$2:$AH$518))&lt;&gt;"n/a"),--(LOWER(TRIM($AH$2:$AH$518))&lt;&gt;"na"))&gt;1),AND($AP328&lt;&gt;"",LOWER(TRIM($AP328))&lt;&gt;"n/a",LOWER(TRIM($AP328))&lt;&gt;"na",SUMPRODUCT(--(UPPER(TRIM($AP$2:$AP$518))=UPPER(TRIM($AP328))),--(TRIM($AP$2:$AP$518)&lt;&gt;""),--(LOWER(TRIM($AP$2:$AP$518))&lt;&gt;"n/a"),--(LOWER(TRIM($AP$2:$AP$518))&lt;&gt;"na"))&gt;1),AND($AQ328&lt;&gt;"",LOWER(TRIM($AQ328))&lt;&gt;"n/a",LOWER(TRIM($AQ328))&lt;&gt;"na",SUMPRODUCT(--(UPPER(TRIM($AQ$2:$AQ$518))=UPPER(TRIM($AQ328))),--(TRIM($AQ$2:$AQ$518)&lt;&gt;""),--(LOWER(TRIM($AQ$2:$AQ$518))&lt;&gt;"n/a"),--(LOWER(TRIM($AQ$2:$AQ$518))&lt;&gt;"na"))&gt;1)),"Yes","No"))</f>
        <v/>
      </c>
      <c r="F328">
        <f>IF(UPPER(TRIM($B328))&lt;&gt;"YES","", IF(OR(AND($V328&lt;&gt;"", LOWER(TRIM($V328))&lt;&gt;"n/a", LOWER(TRIM($V328))&lt;&gt;"na", SUMPRODUCT(--(UPPER(TRIM($V$2:$V$518))=UPPER(TRIM($V328))), --(UPPER(TRIM($B$2:$B$518))="YES"), --(UPPER(TRIM($G$2:$G$518)&amp;TRIM($I$2:$I$518)&amp;TRIM($J$2:$J$518))&lt;&gt;UPPER(TRIM($G328)&amp;TRIM($I328)&amp;TRIM($J328))))&gt;0), AND($W328&lt;&gt;"", LOWER(TRIM($W328))&lt;&gt;"n/a", LOWER(TRIM($W328))&lt;&gt;"na", SUMPRODUCT(--(UPPER(TRIM($W$2:$W$518))=UPPER(TRIM($W328))), --(UPPER(TRIM($B$2:$B$518))="YES"), --(UPPER(TRIM($G$2:$G$518)&amp;TRIM($I$2:$I$518)&amp;TRIM($J$2:$J$518))&lt;&gt;UPPER(TRIM($G328)&amp;TRIM($I328)&amp;TRIM($J328))))&gt;0), AND($X328&lt;&gt;"", LOWER(TRIM($X328))&lt;&gt;"n/a", LOWER(TRIM($X328))&lt;&gt;"na", SUMPRODUCT(--(UPPER(TRIM($X$2:$X$518))=UPPER(TRIM($X328))), --(UPPER(TRIM($B$2:$B$518))="YES"), --(UPPER(TRIM($G$2:$G$518)&amp;TRIM($I$2:$I$518)&amp;TRIM($J$2:$J$518))&lt;&gt;UPPER(TRIM($G328)&amp;TRIM($I328)&amp;TRIM($J328))))&gt;0), AND($Y328&lt;&gt;"", LOWER(TRIM($Y328))&lt;&gt;"n/a", LOWER(TRIM($Y328))&lt;&gt;"na", SUMPRODUCT(--(UPPER(SUBSTITUTE(SUBSTITUTE(TRIM($Y$2:$Y$518),":",""),"-",""))=UPPER(SUBSTITUTE(SUBSTITUTE(TRIM($Y328),":",""),"-",""))), --(UPPER(TRIM($B$2:$B$518))="YES"), --(UPPER(TRIM($G$2:$G$518)&amp;TRIM($I$2:$I$518)&amp;TRIM($J$2:$J$518))&lt;&gt;UPPER(TRIM($G328)&amp;TRIM($I328)&amp;TRIM($J328))))&gt;0), AND($AB328&lt;&gt;"", LOWER(TRIM($AB328))&lt;&gt;"n/a", LOWER(TRIM($AB328))&lt;&gt;"na", SUMPRODUCT(--(UPPER(TRIM($AB$2:$AB$518))=UPPER(TRIM($AB328))), --(UPPER(TRIM($B$2:$B$518))="YES"), --(UPPER(TRIM($G$2:$G$518)&amp;TRIM($I$2:$I$518)&amp;TRIM($J$2:$J$518))&lt;&gt;UPPER(TRIM($G328)&amp;TRIM($I328)&amp;TRIM($J328))))&gt;0), AND($AH328&lt;&gt;"", LOWER(TRIM($AH328))&lt;&gt;"n/a", LOWER(TRIM($AH328))&lt;&gt;"na", SUMPRODUCT(--(UPPER(SUBSTITUTE(SUBSTITUTE(TRIM($AH$2:$AH$518),":",""),"-",""))=UPPER(SUBSTITUTE(SUBSTITUTE(TRIM($AH328),":",""),"-",""))), --(UPPER(TRIM($B$2:$B$518))="YES"), --(UPPER(TRIM($G$2:$G$518)&amp;TRIM($I$2:$I$518)&amp;TRIM($J$2:$J$518))&lt;&gt;UPPER(TRIM($G328)&amp;TRIM($I328)&amp;TRIM($J328))))&gt;0), AND($AP328&lt;&gt;"", LOWER(TRIM($AP328))&lt;&gt;"n/a", LOWER(TRIM($AP328))&lt;&gt;"na", SUMPRODUCT(--(UPPER(TRIM($AP$2:$AP$518))=UPPER(TRIM($AP328))), --(UPPER(TRIM($B$2:$B$518))="YES"), --(UPPER(TRIM($G$2:$G$518)&amp;TRIM($I$2:$I$518)&amp;TRIM($J$2:$J$518))&lt;&gt;UPPER(TRIM($G328)&amp;TRIM($I328)&amp;TRIM($J328))))&gt;0), AND($AQ328&lt;&gt;"", LOWER(TRIM($AQ328))&lt;&gt;"n/a", LOWER(TRIM($AQ328))&lt;&gt;"na", SUMPRODUCT(--(UPPER(TRIM($AQ$2:$AQ$518))=UPPER(TRIM($AQ328))), --(UPPER(TRIM($B$2:$B$518))="YES"), --(UPPER(TRIM($G$2:$G$518)&amp;TRIM($I$2:$I$518)&amp;TRIM($J$2:$J$518))&lt;&gt;UPPER(TRIM($G328)&amp;TRIM($I328)&amp;TRIM($J328))))&gt;0)), "Yes", "No"))</f>
        <v/>
      </c>
      <c r="G328" t="inlineStr">
        <is>
          <t>1 Marcus</t>
        </is>
      </c>
      <c r="H328" t="inlineStr">
        <is>
          <t>NSUH - VAR</t>
        </is>
      </c>
      <c r="V328" t="inlineStr">
        <is>
          <t>WMH300OPR424</t>
        </is>
      </c>
      <c r="W328" t="inlineStr">
        <is>
          <t>MEDNM24G25-0522</t>
        </is>
      </c>
      <c r="CD328">
        <f>IF($Y328="","",IF((IF(AND($BR328&lt;&gt;"Yes",$BR328&lt;&gt;"N/A"),"Power Cable, ","")&amp;IF(AND($BS328&lt;&gt;"Yes",$BS328&lt;&gt;"N/A"),"Battery, ","")&amp;IF(AND($AD328&lt;&gt;"Yes",$AD328&lt;&gt;"N/A"),"Firmware Download, ","")&amp;IF(AND(OR($AD328="Yes",$AD328="N/A"),$AE328&lt;&gt;"Yes",$AE328&lt;&gt;"N/A"),"Firmware Install, ","")&amp;IF(AND($CB328&lt;&gt;"Yes",$CB328&lt;&gt;"N/A"),"Device ID, ","")&amp;IF(AND($CC328&lt;&gt;"Yes",$CC328&lt;&gt;"N/A"),"Epic Beans Relay, ",""))="","",LEFT(IF(AND($BR328&lt;&gt;"Yes",$BR328&lt;&gt;"N/A"),"Power Cable, ","")&amp;IF(AND($BS328&lt;&gt;"Yes",$BS328&lt;&gt;"N/A"),"Battery, ","")&amp;IF(AND($AD328&lt;&gt;"Yes",$AD328&lt;&gt;"N/A"),"Firmware Download, ","")&amp;IF(AND(OR($AD328="Yes",$AD328="N/A"),$AE328&lt;&gt;"Yes",$AE328&lt;&gt;"N/A"),"Firmware Install, ","")&amp;IF(AND($CB328&lt;&gt;"Yes",$CB328&lt;&gt;"N/A"),"Device ID, ","")&amp;IF(AND($CC328&lt;&gt;"Yes",$CC328&lt;&gt;"N/A"),"Epic Beans Relay, ",""),LEN(IF(AND($BR328&lt;&gt;"Yes",$BR328&lt;&gt;"N/A"),"Power Cable, ","")&amp;IF(AND($BS328&lt;&gt;"Yes",$BS328&lt;&gt;"N/A"),"Battery, ","")&amp;IF(AND($AD328&lt;&gt;"Yes",$AD328&lt;&gt;"N/A"),"Firmware Download, ","")&amp;IF(AND(OR($AD328="Yes",$AD328="N/A"),$AE328&lt;&gt;"Yes",$AE328&lt;&gt;"N/A"),"Firmware Install, ","")&amp;IF(AND($CB328&lt;&gt;"Yes",$CB328&lt;&gt;"N/A"),"Device ID, ","")&amp;IF(AND($CC328&lt;&gt;"Yes",$CC328&lt;&gt;"N/A"),"Epic Beans Relay, ",""))-2)))</f>
        <v/>
      </c>
      <c r="CE328">
        <f>IF($Y328="","",IF($CD328="","Yes","Blocked"))</f>
        <v/>
      </c>
      <c r="CP328">
        <f>IF($CO328="","",IFERROR(VLOOKUP($CO328,'01_Warehouse_Ledger'!$A:$N,4,FALSE),""))</f>
        <v/>
      </c>
      <c r="CQ328">
        <f>IF($CO328="","",IFERROR(VLOOKUP($CO328,'01_Warehouse_Ledger'!$A:$N,5,FALSE),""))</f>
        <v/>
      </c>
      <c r="CR328">
        <f>IF($CO328="","",IFERROR(VLOOKUP($CO328,'01_Warehouse_Ledger'!$A:$N,13,FALSE),""))</f>
        <v/>
      </c>
      <c r="CW328">
        <f>IF($S328="","",IF(UPPER(TRIM($S328))&lt;&gt;"PASS","",IF(LEN(TRIM($BY328))&gt;0,"NOTES_PRESENT",IF(LEN(TRIM($T328))=0,"SET_NA",IF(OR(LOWER(TRIM($T328))="na",LOWER(TRIM($T328))="n/a"),"OK","MANUAL_OVERRIDE")))))</f>
        <v/>
      </c>
    </row>
    <row r="329">
      <c r="A329" t="inlineStr">
        <is>
          <t>Cybernet</t>
        </is>
      </c>
      <c r="B329" t="inlineStr">
        <is>
          <t>No</t>
        </is>
      </c>
      <c r="C329" t="inlineStr">
        <is>
          <t>No</t>
        </is>
      </c>
      <c r="D329">
        <f>IF($B329&lt;&gt;"Yes","",IF($C329="No","Yes",IF($C329="Yes","No","")))</f>
        <v/>
      </c>
      <c r="E329">
        <f>IF($A329="","",IF(OR(AND($V330&lt;&gt;"",LOWER(TRIM($V330))&lt;&gt;"n/a",LOWER(TRIM($V330))&lt;&gt;"na",SUMPRODUCT(--(UPPER(TRIM($V$2:$V$518))=UPPER(TRIM($V330))),--(TRIM($V$2:$V$518)&lt;&gt;""),--(LOWER(TRIM($V$2:$V$518))&lt;&gt;"n/a"),--(LOWER(TRIM($V$2:$V$518))&lt;&gt;"na"))&gt;1),AND($W330&lt;&gt;"",LOWER(TRIM($W330))&lt;&gt;"n/a",LOWER(TRIM($W330))&lt;&gt;"na",SUMPRODUCT(--(UPPER(TRIM($W$2:$W$518))=UPPER(TRIM($W330))),--(TRIM($W$2:$W$518)&lt;&gt;""),--(LOWER(TRIM($W$2:$W$518))&lt;&gt;"n/a"),--(LOWER(TRIM($W$2:$W$518))&lt;&gt;"na"))&gt;1),AND($X329&lt;&gt;"",LOWER(TRIM($X329))&lt;&gt;"n/a",LOWER(TRIM($X329))&lt;&gt;"na",SUMPRODUCT(--(UPPER(TRIM($X$2:$X$518))=UPPER(TRIM($X329))),--(TRIM($X$2:$X$518)&lt;&gt;""),--(LOWER(TRIM($X$2:$X$518))&lt;&gt;"n/a"),--(LOWER(TRIM($X$2:$X$518))&lt;&gt;"na"))&gt;1),AND($Y329&lt;&gt;"",LOWER(TRIM($Y329))&lt;&gt;"n/a",LOWER(TRIM($Y329))&lt;&gt;"na",SUMPRODUCT(--(UPPER(SUBSTITUTE(SUBSTITUTE(TRIM($Y$2:$Y$518),":",""),"-",""))=UPPER(SUBSTITUTE(SUBSTITUTE(TRIM($Y329),":",""),"-",""))),--(TRIM($Y$2:$Y$518)&lt;&gt;""),--(LOWER(TRIM($Y$2:$Y$518))&lt;&gt;"n/a"),--(LOWER(TRIM($Y$2:$Y$518))&lt;&gt;"na"))&gt;1),AND($AB329&lt;&gt;"",LOWER(TRIM($AB329))&lt;&gt;"n/a",LOWER(TRIM($AB329))&lt;&gt;"na",SUMPRODUCT(--(UPPER(TRIM($AB$2:$AB$518))=UPPER(TRIM($AB329))),--(TRIM($AB$2:$AB$518)&lt;&gt;""),--(LOWER(TRIM($AB$2:$AB$518))&lt;&gt;"n/a"),--(LOWER(TRIM($AB$2:$AB$518))&lt;&gt;"na"))&gt;1),AND($AH329&lt;&gt;"",LOWER(TRIM($AH329))&lt;&gt;"n/a",LOWER(TRIM($AH329))&lt;&gt;"na",SUMPRODUCT(--(UPPER(SUBSTITUTE(SUBSTITUTE(TRIM($AH$2:$AH$518),":",""),"-",""))=UPPER(SUBSTITUTE(SUBSTITUTE(TRIM($AH329),":",""),"-",""))),--(TRIM($AH$2:$AH$518)&lt;&gt;""),--(LOWER(TRIM($AH$2:$AH$518))&lt;&gt;"n/a"),--(LOWER(TRIM($AH$2:$AH$518))&lt;&gt;"na"))&gt;1),AND($AP329&lt;&gt;"",LOWER(TRIM($AP329))&lt;&gt;"n/a",LOWER(TRIM($AP329))&lt;&gt;"na",SUMPRODUCT(--(UPPER(TRIM($AP$2:$AP$518))=UPPER(TRIM($AP329))),--(TRIM($AP$2:$AP$518)&lt;&gt;""),--(LOWER(TRIM($AP$2:$AP$518))&lt;&gt;"n/a"),--(LOWER(TRIM($AP$2:$AP$518))&lt;&gt;"na"))&gt;1),AND($AQ329&lt;&gt;"",LOWER(TRIM($AQ329))&lt;&gt;"n/a",LOWER(TRIM($AQ329))&lt;&gt;"na",SUMPRODUCT(--(UPPER(TRIM($AQ$2:$AQ$518))=UPPER(TRIM($AQ329))),--(TRIM($AQ$2:$AQ$518)&lt;&gt;""),--(LOWER(TRIM($AQ$2:$AQ$518))&lt;&gt;"n/a"),--(LOWER(TRIM($AQ$2:$AQ$518))&lt;&gt;"na"))&gt;1)),"Yes","No"))</f>
        <v/>
      </c>
      <c r="F329">
        <f>IF(UPPER(TRIM($B329))&lt;&gt;"YES","", IF(OR(AND($V329&lt;&gt;"", LOWER(TRIM($V329))&lt;&gt;"n/a", LOWER(TRIM($V329))&lt;&gt;"na", SUMPRODUCT(--(UPPER(TRIM($V$2:$V$518))=UPPER(TRIM($V329))), --(UPPER(TRIM($B$2:$B$518))="YES"), --(UPPER(TRIM($G$2:$G$518)&amp;TRIM($I$2:$I$518)&amp;TRIM($J$2:$J$518))&lt;&gt;UPPER(TRIM($G329)&amp;TRIM($I329)&amp;TRIM($J329))))&gt;0), AND($W329&lt;&gt;"", LOWER(TRIM($W329))&lt;&gt;"n/a", LOWER(TRIM($W329))&lt;&gt;"na", SUMPRODUCT(--(UPPER(TRIM($W$2:$W$518))=UPPER(TRIM($W329))), --(UPPER(TRIM($B$2:$B$518))="YES"), --(UPPER(TRIM($G$2:$G$518)&amp;TRIM($I$2:$I$518)&amp;TRIM($J$2:$J$518))&lt;&gt;UPPER(TRIM($G329)&amp;TRIM($I329)&amp;TRIM($J329))))&gt;0), AND($X329&lt;&gt;"", LOWER(TRIM($X329))&lt;&gt;"n/a", LOWER(TRIM($X329))&lt;&gt;"na", SUMPRODUCT(--(UPPER(TRIM($X$2:$X$518))=UPPER(TRIM($X329))), --(UPPER(TRIM($B$2:$B$518))="YES"), --(UPPER(TRIM($G$2:$G$518)&amp;TRIM($I$2:$I$518)&amp;TRIM($J$2:$J$518))&lt;&gt;UPPER(TRIM($G329)&amp;TRIM($I329)&amp;TRIM($J329))))&gt;0), AND($Y329&lt;&gt;"", LOWER(TRIM($Y329))&lt;&gt;"n/a", LOWER(TRIM($Y329))&lt;&gt;"na", SUMPRODUCT(--(UPPER(SUBSTITUTE(SUBSTITUTE(TRIM($Y$2:$Y$518),":",""),"-",""))=UPPER(SUBSTITUTE(SUBSTITUTE(TRIM($Y329),":",""),"-",""))), --(UPPER(TRIM($B$2:$B$518))="YES"), --(UPPER(TRIM($G$2:$G$518)&amp;TRIM($I$2:$I$518)&amp;TRIM($J$2:$J$518))&lt;&gt;UPPER(TRIM($G329)&amp;TRIM($I329)&amp;TRIM($J329))))&gt;0), AND($AB329&lt;&gt;"", LOWER(TRIM($AB329))&lt;&gt;"n/a", LOWER(TRIM($AB329))&lt;&gt;"na", SUMPRODUCT(--(UPPER(TRIM($AB$2:$AB$518))=UPPER(TRIM($AB329))), --(UPPER(TRIM($B$2:$B$518))="YES"), --(UPPER(TRIM($G$2:$G$518)&amp;TRIM($I$2:$I$518)&amp;TRIM($J$2:$J$518))&lt;&gt;UPPER(TRIM($G329)&amp;TRIM($I329)&amp;TRIM($J329))))&gt;0), AND($AH329&lt;&gt;"", LOWER(TRIM($AH329))&lt;&gt;"n/a", LOWER(TRIM($AH329))&lt;&gt;"na", SUMPRODUCT(--(UPPER(SUBSTITUTE(SUBSTITUTE(TRIM($AH$2:$AH$518),":",""),"-",""))=UPPER(SUBSTITUTE(SUBSTITUTE(TRIM($AH329),":",""),"-",""))), --(UPPER(TRIM($B$2:$B$518))="YES"), --(UPPER(TRIM($G$2:$G$518)&amp;TRIM($I$2:$I$518)&amp;TRIM($J$2:$J$518))&lt;&gt;UPPER(TRIM($G329)&amp;TRIM($I329)&amp;TRIM($J329))))&gt;0), AND($AP329&lt;&gt;"", LOWER(TRIM($AP329))&lt;&gt;"n/a", LOWER(TRIM($AP329))&lt;&gt;"na", SUMPRODUCT(--(UPPER(TRIM($AP$2:$AP$518))=UPPER(TRIM($AP329))), --(UPPER(TRIM($B$2:$B$518))="YES"), --(UPPER(TRIM($G$2:$G$518)&amp;TRIM($I$2:$I$518)&amp;TRIM($J$2:$J$518))&lt;&gt;UPPER(TRIM($G329)&amp;TRIM($I329)&amp;TRIM($J329))))&gt;0), AND($AQ329&lt;&gt;"", LOWER(TRIM($AQ329))&lt;&gt;"n/a", LOWER(TRIM($AQ329))&lt;&gt;"na", SUMPRODUCT(--(UPPER(TRIM($AQ$2:$AQ$518))=UPPER(TRIM($AQ329))), --(UPPER(TRIM($B$2:$B$518))="YES"), --(UPPER(TRIM($G$2:$G$518)&amp;TRIM($I$2:$I$518)&amp;TRIM($J$2:$J$518))&lt;&gt;UPPER(TRIM($G329)&amp;TRIM($I329)&amp;TRIM($J329))))&gt;0)), "Yes", "No"))</f>
        <v/>
      </c>
      <c r="G329" t="inlineStr">
        <is>
          <t>1 Marcus</t>
        </is>
      </c>
      <c r="H329" t="inlineStr">
        <is>
          <t>NSUH - VAR</t>
        </is>
      </c>
      <c r="V329" t="inlineStr">
        <is>
          <t>WMH300OPR425</t>
        </is>
      </c>
      <c r="W329" t="inlineStr">
        <is>
          <t>MEDNM24G25-0310</t>
        </is>
      </c>
      <c r="CD329">
        <f>IF($Y329="","",IF((IF(AND($BR329&lt;&gt;"Yes",$BR329&lt;&gt;"N/A"),"Power Cable, ","")&amp;IF(AND($BS329&lt;&gt;"Yes",$BS329&lt;&gt;"N/A"),"Battery, ","")&amp;IF(AND($AD329&lt;&gt;"Yes",$AD329&lt;&gt;"N/A"),"Firmware Download, ","")&amp;IF(AND(OR($AD329="Yes",$AD329="N/A"),$AE329&lt;&gt;"Yes",$AE329&lt;&gt;"N/A"),"Firmware Install, ","")&amp;IF(AND($CB329&lt;&gt;"Yes",$CB329&lt;&gt;"N/A"),"Device ID, ","")&amp;IF(AND($CC329&lt;&gt;"Yes",$CC329&lt;&gt;"N/A"),"Epic Beans Relay, ",""))="","",LEFT(IF(AND($BR329&lt;&gt;"Yes",$BR329&lt;&gt;"N/A"),"Power Cable, ","")&amp;IF(AND($BS329&lt;&gt;"Yes",$BS329&lt;&gt;"N/A"),"Battery, ","")&amp;IF(AND($AD329&lt;&gt;"Yes",$AD329&lt;&gt;"N/A"),"Firmware Download, ","")&amp;IF(AND(OR($AD329="Yes",$AD329="N/A"),$AE329&lt;&gt;"Yes",$AE329&lt;&gt;"N/A"),"Firmware Install, ","")&amp;IF(AND($CB329&lt;&gt;"Yes",$CB329&lt;&gt;"N/A"),"Device ID, ","")&amp;IF(AND($CC329&lt;&gt;"Yes",$CC329&lt;&gt;"N/A"),"Epic Beans Relay, ",""),LEN(IF(AND($BR329&lt;&gt;"Yes",$BR329&lt;&gt;"N/A"),"Power Cable, ","")&amp;IF(AND($BS329&lt;&gt;"Yes",$BS329&lt;&gt;"N/A"),"Battery, ","")&amp;IF(AND($AD329&lt;&gt;"Yes",$AD329&lt;&gt;"N/A"),"Firmware Download, ","")&amp;IF(AND(OR($AD329="Yes",$AD329="N/A"),$AE329&lt;&gt;"Yes",$AE329&lt;&gt;"N/A"),"Firmware Install, ","")&amp;IF(AND($CB329&lt;&gt;"Yes",$CB329&lt;&gt;"N/A"),"Device ID, ","")&amp;IF(AND($CC329&lt;&gt;"Yes",$CC329&lt;&gt;"N/A"),"Epic Beans Relay, ",""))-2)))</f>
        <v/>
      </c>
      <c r="CE329">
        <f>IF($Y329="","",IF($CD329="","Yes","Blocked"))</f>
        <v/>
      </c>
      <c r="CP329">
        <f>IF($CO329="","",IFERROR(VLOOKUP($CO329,'01_Warehouse_Ledger'!$A:$N,4,FALSE),""))</f>
        <v/>
      </c>
      <c r="CQ329">
        <f>IF($CO329="","",IFERROR(VLOOKUP($CO329,'01_Warehouse_Ledger'!$A:$N,5,FALSE),""))</f>
        <v/>
      </c>
      <c r="CR329">
        <f>IF($CO329="","",IFERROR(VLOOKUP($CO329,'01_Warehouse_Ledger'!$A:$N,13,FALSE),""))</f>
        <v/>
      </c>
      <c r="CW329">
        <f>IF($S329="","",IF(UPPER(TRIM($S329))&lt;&gt;"PASS","",IF(LEN(TRIM($BY329))&gt;0,"NOTES_PRESENT",IF(LEN(TRIM($T329))=0,"SET_NA",IF(OR(LOWER(TRIM($T329))="na",LOWER(TRIM($T329))="n/a"),"OK","MANUAL_OVERRIDE")))))</f>
        <v/>
      </c>
    </row>
    <row r="330">
      <c r="A330" t="inlineStr">
        <is>
          <t>Cybernet</t>
        </is>
      </c>
      <c r="B330" t="inlineStr">
        <is>
          <t>No</t>
        </is>
      </c>
      <c r="C330" t="inlineStr">
        <is>
          <t>No</t>
        </is>
      </c>
      <c r="D330">
        <f>IF($B330&lt;&gt;"Yes","",IF($C330="No","Yes",IF($C330="Yes","No","")))</f>
        <v/>
      </c>
      <c r="E330">
        <f>IF($A330="","",IF(OR(AND($V331&lt;&gt;"",LOWER(TRIM($V331))&lt;&gt;"n/a",LOWER(TRIM($V331))&lt;&gt;"na",SUMPRODUCT(--(UPPER(TRIM($V$2:$V$518))=UPPER(TRIM($V331))),--(TRIM($V$2:$V$518)&lt;&gt;""),--(LOWER(TRIM($V$2:$V$518))&lt;&gt;"n/a"),--(LOWER(TRIM($V$2:$V$518))&lt;&gt;"na"))&gt;1),AND($W331&lt;&gt;"",LOWER(TRIM($W331))&lt;&gt;"n/a",LOWER(TRIM($W331))&lt;&gt;"na",SUMPRODUCT(--(UPPER(TRIM($W$2:$W$518))=UPPER(TRIM($W331))),--(TRIM($W$2:$W$518)&lt;&gt;""),--(LOWER(TRIM($W$2:$W$518))&lt;&gt;"n/a"),--(LOWER(TRIM($W$2:$W$518))&lt;&gt;"na"))&gt;1),AND($X330&lt;&gt;"",LOWER(TRIM($X330))&lt;&gt;"n/a",LOWER(TRIM($X330))&lt;&gt;"na",SUMPRODUCT(--(UPPER(TRIM($X$2:$X$518))=UPPER(TRIM($X330))),--(TRIM($X$2:$X$518)&lt;&gt;""),--(LOWER(TRIM($X$2:$X$518))&lt;&gt;"n/a"),--(LOWER(TRIM($X$2:$X$518))&lt;&gt;"na"))&gt;1),AND($Y330&lt;&gt;"",LOWER(TRIM($Y330))&lt;&gt;"n/a",LOWER(TRIM($Y330))&lt;&gt;"na",SUMPRODUCT(--(UPPER(SUBSTITUTE(SUBSTITUTE(TRIM($Y$2:$Y$518),":",""),"-",""))=UPPER(SUBSTITUTE(SUBSTITUTE(TRIM($Y330),":",""),"-",""))),--(TRIM($Y$2:$Y$518)&lt;&gt;""),--(LOWER(TRIM($Y$2:$Y$518))&lt;&gt;"n/a"),--(LOWER(TRIM($Y$2:$Y$518))&lt;&gt;"na"))&gt;1),AND($AB330&lt;&gt;"",LOWER(TRIM($AB330))&lt;&gt;"n/a",LOWER(TRIM($AB330))&lt;&gt;"na",SUMPRODUCT(--(UPPER(TRIM($AB$2:$AB$518))=UPPER(TRIM($AB330))),--(TRIM($AB$2:$AB$518)&lt;&gt;""),--(LOWER(TRIM($AB$2:$AB$518))&lt;&gt;"n/a"),--(LOWER(TRIM($AB$2:$AB$518))&lt;&gt;"na"))&gt;1),AND($AH330&lt;&gt;"",LOWER(TRIM($AH330))&lt;&gt;"n/a",LOWER(TRIM($AH330))&lt;&gt;"na",SUMPRODUCT(--(UPPER(SUBSTITUTE(SUBSTITUTE(TRIM($AH$2:$AH$518),":",""),"-",""))=UPPER(SUBSTITUTE(SUBSTITUTE(TRIM($AH330),":",""),"-",""))),--(TRIM($AH$2:$AH$518)&lt;&gt;""),--(LOWER(TRIM($AH$2:$AH$518))&lt;&gt;"n/a"),--(LOWER(TRIM($AH$2:$AH$518))&lt;&gt;"na"))&gt;1),AND($AP330&lt;&gt;"",LOWER(TRIM($AP330))&lt;&gt;"n/a",LOWER(TRIM($AP330))&lt;&gt;"na",SUMPRODUCT(--(UPPER(TRIM($AP$2:$AP$518))=UPPER(TRIM($AP330))),--(TRIM($AP$2:$AP$518)&lt;&gt;""),--(LOWER(TRIM($AP$2:$AP$518))&lt;&gt;"n/a"),--(LOWER(TRIM($AP$2:$AP$518))&lt;&gt;"na"))&gt;1),AND($AQ330&lt;&gt;"",LOWER(TRIM($AQ330))&lt;&gt;"n/a",LOWER(TRIM($AQ330))&lt;&gt;"na",SUMPRODUCT(--(UPPER(TRIM($AQ$2:$AQ$518))=UPPER(TRIM($AQ330))),--(TRIM($AQ$2:$AQ$518)&lt;&gt;""),--(LOWER(TRIM($AQ$2:$AQ$518))&lt;&gt;"n/a"),--(LOWER(TRIM($AQ$2:$AQ$518))&lt;&gt;"na"))&gt;1)),"Yes","No"))</f>
        <v/>
      </c>
      <c r="F330">
        <f>IF(UPPER(TRIM($B330))&lt;&gt;"YES","", IF(OR(AND($V330&lt;&gt;"", LOWER(TRIM($V330))&lt;&gt;"n/a", LOWER(TRIM($V330))&lt;&gt;"na", SUMPRODUCT(--(UPPER(TRIM($V$2:$V$518))=UPPER(TRIM($V330))), --(UPPER(TRIM($B$2:$B$518))="YES"), --(UPPER(TRIM($G$2:$G$518)&amp;TRIM($I$2:$I$518)&amp;TRIM($J$2:$J$518))&lt;&gt;UPPER(TRIM($G330)&amp;TRIM($I330)&amp;TRIM($J330))))&gt;0), AND($W330&lt;&gt;"", LOWER(TRIM($W330))&lt;&gt;"n/a", LOWER(TRIM($W330))&lt;&gt;"na", SUMPRODUCT(--(UPPER(TRIM($W$2:$W$518))=UPPER(TRIM($W330))), --(UPPER(TRIM($B$2:$B$518))="YES"), --(UPPER(TRIM($G$2:$G$518)&amp;TRIM($I$2:$I$518)&amp;TRIM($J$2:$J$518))&lt;&gt;UPPER(TRIM($G330)&amp;TRIM($I330)&amp;TRIM($J330))))&gt;0), AND($X330&lt;&gt;"", LOWER(TRIM($X330))&lt;&gt;"n/a", LOWER(TRIM($X330))&lt;&gt;"na", SUMPRODUCT(--(UPPER(TRIM($X$2:$X$518))=UPPER(TRIM($X330))), --(UPPER(TRIM($B$2:$B$518))="YES"), --(UPPER(TRIM($G$2:$G$518)&amp;TRIM($I$2:$I$518)&amp;TRIM($J$2:$J$518))&lt;&gt;UPPER(TRIM($G330)&amp;TRIM($I330)&amp;TRIM($J330))))&gt;0), AND($Y330&lt;&gt;"", LOWER(TRIM($Y330))&lt;&gt;"n/a", LOWER(TRIM($Y330))&lt;&gt;"na", SUMPRODUCT(--(UPPER(SUBSTITUTE(SUBSTITUTE(TRIM($Y$2:$Y$518),":",""),"-",""))=UPPER(SUBSTITUTE(SUBSTITUTE(TRIM($Y330),":",""),"-",""))), --(UPPER(TRIM($B$2:$B$518))="YES"), --(UPPER(TRIM($G$2:$G$518)&amp;TRIM($I$2:$I$518)&amp;TRIM($J$2:$J$518))&lt;&gt;UPPER(TRIM($G330)&amp;TRIM($I330)&amp;TRIM($J330))))&gt;0), AND($AB330&lt;&gt;"", LOWER(TRIM($AB330))&lt;&gt;"n/a", LOWER(TRIM($AB330))&lt;&gt;"na", SUMPRODUCT(--(UPPER(TRIM($AB$2:$AB$518))=UPPER(TRIM($AB330))), --(UPPER(TRIM($B$2:$B$518))="YES"), --(UPPER(TRIM($G$2:$G$518)&amp;TRIM($I$2:$I$518)&amp;TRIM($J$2:$J$518))&lt;&gt;UPPER(TRIM($G330)&amp;TRIM($I330)&amp;TRIM($J330))))&gt;0), AND($AH330&lt;&gt;"", LOWER(TRIM($AH330))&lt;&gt;"n/a", LOWER(TRIM($AH330))&lt;&gt;"na", SUMPRODUCT(--(UPPER(SUBSTITUTE(SUBSTITUTE(TRIM($AH$2:$AH$518),":",""),"-",""))=UPPER(SUBSTITUTE(SUBSTITUTE(TRIM($AH330),":",""),"-",""))), --(UPPER(TRIM($B$2:$B$518))="YES"), --(UPPER(TRIM($G$2:$G$518)&amp;TRIM($I$2:$I$518)&amp;TRIM($J$2:$J$518))&lt;&gt;UPPER(TRIM($G330)&amp;TRIM($I330)&amp;TRIM($J330))))&gt;0), AND($AP330&lt;&gt;"", LOWER(TRIM($AP330))&lt;&gt;"n/a", LOWER(TRIM($AP330))&lt;&gt;"na", SUMPRODUCT(--(UPPER(TRIM($AP$2:$AP$518))=UPPER(TRIM($AP330))), --(UPPER(TRIM($B$2:$B$518))="YES"), --(UPPER(TRIM($G$2:$G$518)&amp;TRIM($I$2:$I$518)&amp;TRIM($J$2:$J$518))&lt;&gt;UPPER(TRIM($G330)&amp;TRIM($I330)&amp;TRIM($J330))))&gt;0), AND($AQ330&lt;&gt;"", LOWER(TRIM($AQ330))&lt;&gt;"n/a", LOWER(TRIM($AQ330))&lt;&gt;"na", SUMPRODUCT(--(UPPER(TRIM($AQ$2:$AQ$518))=UPPER(TRIM($AQ330))), --(UPPER(TRIM($B$2:$B$518))="YES"), --(UPPER(TRIM($G$2:$G$518)&amp;TRIM($I$2:$I$518)&amp;TRIM($J$2:$J$518))&lt;&gt;UPPER(TRIM($G330)&amp;TRIM($I330)&amp;TRIM($J330))))&gt;0)), "Yes", "No"))</f>
        <v/>
      </c>
      <c r="G330" t="inlineStr">
        <is>
          <t>1 Marcus</t>
        </is>
      </c>
      <c r="H330" t="inlineStr">
        <is>
          <t>NSUH - VAR</t>
        </is>
      </c>
      <c r="V330" t="inlineStr">
        <is>
          <t>WMH300OPR426</t>
        </is>
      </c>
      <c r="W330" t="inlineStr">
        <is>
          <t>MEDNM24G25-0510</t>
        </is>
      </c>
      <c r="CD330">
        <f>IF($Y330="","",IF((IF(AND($BR330&lt;&gt;"Yes",$BR330&lt;&gt;"N/A"),"Power Cable, ","")&amp;IF(AND($BS330&lt;&gt;"Yes",$BS330&lt;&gt;"N/A"),"Battery, ","")&amp;IF(AND($AD330&lt;&gt;"Yes",$AD330&lt;&gt;"N/A"),"Firmware Download, ","")&amp;IF(AND(OR($AD330="Yes",$AD330="N/A"),$AE330&lt;&gt;"Yes",$AE330&lt;&gt;"N/A"),"Firmware Install, ","")&amp;IF(AND($CB330&lt;&gt;"Yes",$CB330&lt;&gt;"N/A"),"Device ID, ","")&amp;IF(AND($CC330&lt;&gt;"Yes",$CC330&lt;&gt;"N/A"),"Epic Beans Relay, ",""))="","",LEFT(IF(AND($BR330&lt;&gt;"Yes",$BR330&lt;&gt;"N/A"),"Power Cable, ","")&amp;IF(AND($BS330&lt;&gt;"Yes",$BS330&lt;&gt;"N/A"),"Battery, ","")&amp;IF(AND($AD330&lt;&gt;"Yes",$AD330&lt;&gt;"N/A"),"Firmware Download, ","")&amp;IF(AND(OR($AD330="Yes",$AD330="N/A"),$AE330&lt;&gt;"Yes",$AE330&lt;&gt;"N/A"),"Firmware Install, ","")&amp;IF(AND($CB330&lt;&gt;"Yes",$CB330&lt;&gt;"N/A"),"Device ID, ","")&amp;IF(AND($CC330&lt;&gt;"Yes",$CC330&lt;&gt;"N/A"),"Epic Beans Relay, ",""),LEN(IF(AND($BR330&lt;&gt;"Yes",$BR330&lt;&gt;"N/A"),"Power Cable, ","")&amp;IF(AND($BS330&lt;&gt;"Yes",$BS330&lt;&gt;"N/A"),"Battery, ","")&amp;IF(AND($AD330&lt;&gt;"Yes",$AD330&lt;&gt;"N/A"),"Firmware Download, ","")&amp;IF(AND(OR($AD330="Yes",$AD330="N/A"),$AE330&lt;&gt;"Yes",$AE330&lt;&gt;"N/A"),"Firmware Install, ","")&amp;IF(AND($CB330&lt;&gt;"Yes",$CB330&lt;&gt;"N/A"),"Device ID, ","")&amp;IF(AND($CC330&lt;&gt;"Yes",$CC330&lt;&gt;"N/A"),"Epic Beans Relay, ",""))-2)))</f>
        <v/>
      </c>
      <c r="CE330">
        <f>IF($Y330="","",IF($CD330="","Yes","Blocked"))</f>
        <v/>
      </c>
      <c r="CP330">
        <f>IF($CO330="","",IFERROR(VLOOKUP($CO330,'01_Warehouse_Ledger'!$A:$N,4,FALSE),""))</f>
        <v/>
      </c>
      <c r="CQ330">
        <f>IF($CO330="","",IFERROR(VLOOKUP($CO330,'01_Warehouse_Ledger'!$A:$N,5,FALSE),""))</f>
        <v/>
      </c>
      <c r="CR330">
        <f>IF($CO330="","",IFERROR(VLOOKUP($CO330,'01_Warehouse_Ledger'!$A:$N,13,FALSE),""))</f>
        <v/>
      </c>
      <c r="CW330">
        <f>IF($S330="","",IF(UPPER(TRIM($S330))&lt;&gt;"PASS","",IF(LEN(TRIM($BY330))&gt;0,"NOTES_PRESENT",IF(LEN(TRIM($T330))=0,"SET_NA",IF(OR(LOWER(TRIM($T330))="na",LOWER(TRIM($T330))="n/a"),"OK","MANUAL_OVERRIDE")))))</f>
        <v/>
      </c>
    </row>
    <row r="331">
      <c r="A331" t="inlineStr">
        <is>
          <t>Cybernet</t>
        </is>
      </c>
      <c r="B331" t="inlineStr">
        <is>
          <t>No</t>
        </is>
      </c>
      <c r="C331" t="inlineStr">
        <is>
          <t>No</t>
        </is>
      </c>
      <c r="D331">
        <f>IF($B331&lt;&gt;"Yes","",IF($C331="No","Yes",IF($C331="Yes","No","")))</f>
        <v/>
      </c>
      <c r="E331">
        <f>IF($A331="","",IF(OR(AND($V332&lt;&gt;"",LOWER(TRIM($V332))&lt;&gt;"n/a",LOWER(TRIM($V332))&lt;&gt;"na",SUMPRODUCT(--(UPPER(TRIM($V$2:$V$518))=UPPER(TRIM($V332))),--(TRIM($V$2:$V$518)&lt;&gt;""),--(LOWER(TRIM($V$2:$V$518))&lt;&gt;"n/a"),--(LOWER(TRIM($V$2:$V$518))&lt;&gt;"na"))&gt;1),AND($W332&lt;&gt;"",LOWER(TRIM($W332))&lt;&gt;"n/a",LOWER(TRIM($W332))&lt;&gt;"na",SUMPRODUCT(--(UPPER(TRIM($W$2:$W$518))=UPPER(TRIM($W332))),--(TRIM($W$2:$W$518)&lt;&gt;""),--(LOWER(TRIM($W$2:$W$518))&lt;&gt;"n/a"),--(LOWER(TRIM($W$2:$W$518))&lt;&gt;"na"))&gt;1),AND($X331&lt;&gt;"",LOWER(TRIM($X331))&lt;&gt;"n/a",LOWER(TRIM($X331))&lt;&gt;"na",SUMPRODUCT(--(UPPER(TRIM($X$2:$X$518))=UPPER(TRIM($X331))),--(TRIM($X$2:$X$518)&lt;&gt;""),--(LOWER(TRIM($X$2:$X$518))&lt;&gt;"n/a"),--(LOWER(TRIM($X$2:$X$518))&lt;&gt;"na"))&gt;1),AND($Y331&lt;&gt;"",LOWER(TRIM($Y331))&lt;&gt;"n/a",LOWER(TRIM($Y331))&lt;&gt;"na",SUMPRODUCT(--(UPPER(SUBSTITUTE(SUBSTITUTE(TRIM($Y$2:$Y$518),":",""),"-",""))=UPPER(SUBSTITUTE(SUBSTITUTE(TRIM($Y331),":",""),"-",""))),--(TRIM($Y$2:$Y$518)&lt;&gt;""),--(LOWER(TRIM($Y$2:$Y$518))&lt;&gt;"n/a"),--(LOWER(TRIM($Y$2:$Y$518))&lt;&gt;"na"))&gt;1),AND($AB331&lt;&gt;"",LOWER(TRIM($AB331))&lt;&gt;"n/a",LOWER(TRIM($AB331))&lt;&gt;"na",SUMPRODUCT(--(UPPER(TRIM($AB$2:$AB$518))=UPPER(TRIM($AB331))),--(TRIM($AB$2:$AB$518)&lt;&gt;""),--(LOWER(TRIM($AB$2:$AB$518))&lt;&gt;"n/a"),--(LOWER(TRIM($AB$2:$AB$518))&lt;&gt;"na"))&gt;1),AND($AH331&lt;&gt;"",LOWER(TRIM($AH331))&lt;&gt;"n/a",LOWER(TRIM($AH331))&lt;&gt;"na",SUMPRODUCT(--(UPPER(SUBSTITUTE(SUBSTITUTE(TRIM($AH$2:$AH$518),":",""),"-",""))=UPPER(SUBSTITUTE(SUBSTITUTE(TRIM($AH331),":",""),"-",""))),--(TRIM($AH$2:$AH$518)&lt;&gt;""),--(LOWER(TRIM($AH$2:$AH$518))&lt;&gt;"n/a"),--(LOWER(TRIM($AH$2:$AH$518))&lt;&gt;"na"))&gt;1),AND($AP331&lt;&gt;"",LOWER(TRIM($AP331))&lt;&gt;"n/a",LOWER(TRIM($AP331))&lt;&gt;"na",SUMPRODUCT(--(UPPER(TRIM($AP$2:$AP$518))=UPPER(TRIM($AP331))),--(TRIM($AP$2:$AP$518)&lt;&gt;""),--(LOWER(TRIM($AP$2:$AP$518))&lt;&gt;"n/a"),--(LOWER(TRIM($AP$2:$AP$518))&lt;&gt;"na"))&gt;1),AND($AQ331&lt;&gt;"",LOWER(TRIM($AQ331))&lt;&gt;"n/a",LOWER(TRIM($AQ331))&lt;&gt;"na",SUMPRODUCT(--(UPPER(TRIM($AQ$2:$AQ$518))=UPPER(TRIM($AQ331))),--(TRIM($AQ$2:$AQ$518)&lt;&gt;""),--(LOWER(TRIM($AQ$2:$AQ$518))&lt;&gt;"n/a"),--(LOWER(TRIM($AQ$2:$AQ$518))&lt;&gt;"na"))&gt;1)),"Yes","No"))</f>
        <v/>
      </c>
      <c r="F331">
        <f>IF(UPPER(TRIM($B331))&lt;&gt;"YES","", IF(OR(AND($V331&lt;&gt;"", LOWER(TRIM($V331))&lt;&gt;"n/a", LOWER(TRIM($V331))&lt;&gt;"na", SUMPRODUCT(--(UPPER(TRIM($V$2:$V$518))=UPPER(TRIM($V331))), --(UPPER(TRIM($B$2:$B$518))="YES"), --(UPPER(TRIM($G$2:$G$518)&amp;TRIM($I$2:$I$518)&amp;TRIM($J$2:$J$518))&lt;&gt;UPPER(TRIM($G331)&amp;TRIM($I331)&amp;TRIM($J331))))&gt;0), AND($W331&lt;&gt;"", LOWER(TRIM($W331))&lt;&gt;"n/a", LOWER(TRIM($W331))&lt;&gt;"na", SUMPRODUCT(--(UPPER(TRIM($W$2:$W$518))=UPPER(TRIM($W331))), --(UPPER(TRIM($B$2:$B$518))="YES"), --(UPPER(TRIM($G$2:$G$518)&amp;TRIM($I$2:$I$518)&amp;TRIM($J$2:$J$518))&lt;&gt;UPPER(TRIM($G331)&amp;TRIM($I331)&amp;TRIM($J331))))&gt;0), AND($X331&lt;&gt;"", LOWER(TRIM($X331))&lt;&gt;"n/a", LOWER(TRIM($X331))&lt;&gt;"na", SUMPRODUCT(--(UPPER(TRIM($X$2:$X$518))=UPPER(TRIM($X331))), --(UPPER(TRIM($B$2:$B$518))="YES"), --(UPPER(TRIM($G$2:$G$518)&amp;TRIM($I$2:$I$518)&amp;TRIM($J$2:$J$518))&lt;&gt;UPPER(TRIM($G331)&amp;TRIM($I331)&amp;TRIM($J331))))&gt;0), AND($Y331&lt;&gt;"", LOWER(TRIM($Y331))&lt;&gt;"n/a", LOWER(TRIM($Y331))&lt;&gt;"na", SUMPRODUCT(--(UPPER(SUBSTITUTE(SUBSTITUTE(TRIM($Y$2:$Y$518),":",""),"-",""))=UPPER(SUBSTITUTE(SUBSTITUTE(TRIM($Y331),":",""),"-",""))), --(UPPER(TRIM($B$2:$B$518))="YES"), --(UPPER(TRIM($G$2:$G$518)&amp;TRIM($I$2:$I$518)&amp;TRIM($J$2:$J$518))&lt;&gt;UPPER(TRIM($G331)&amp;TRIM($I331)&amp;TRIM($J331))))&gt;0), AND($AB331&lt;&gt;"", LOWER(TRIM($AB331))&lt;&gt;"n/a", LOWER(TRIM($AB331))&lt;&gt;"na", SUMPRODUCT(--(UPPER(TRIM($AB$2:$AB$518))=UPPER(TRIM($AB331))), --(UPPER(TRIM($B$2:$B$518))="YES"), --(UPPER(TRIM($G$2:$G$518)&amp;TRIM($I$2:$I$518)&amp;TRIM($J$2:$J$518))&lt;&gt;UPPER(TRIM($G331)&amp;TRIM($I331)&amp;TRIM($J331))))&gt;0), AND($AH331&lt;&gt;"", LOWER(TRIM($AH331))&lt;&gt;"n/a", LOWER(TRIM($AH331))&lt;&gt;"na", SUMPRODUCT(--(UPPER(SUBSTITUTE(SUBSTITUTE(TRIM($AH$2:$AH$518),":",""),"-",""))=UPPER(SUBSTITUTE(SUBSTITUTE(TRIM($AH331),":",""),"-",""))), --(UPPER(TRIM($B$2:$B$518))="YES"), --(UPPER(TRIM($G$2:$G$518)&amp;TRIM($I$2:$I$518)&amp;TRIM($J$2:$J$518))&lt;&gt;UPPER(TRIM($G331)&amp;TRIM($I331)&amp;TRIM($J331))))&gt;0), AND($AP331&lt;&gt;"", LOWER(TRIM($AP331))&lt;&gt;"n/a", LOWER(TRIM($AP331))&lt;&gt;"na", SUMPRODUCT(--(UPPER(TRIM($AP$2:$AP$518))=UPPER(TRIM($AP331))), --(UPPER(TRIM($B$2:$B$518))="YES"), --(UPPER(TRIM($G$2:$G$518)&amp;TRIM($I$2:$I$518)&amp;TRIM($J$2:$J$518))&lt;&gt;UPPER(TRIM($G331)&amp;TRIM($I331)&amp;TRIM($J331))))&gt;0), AND($AQ331&lt;&gt;"", LOWER(TRIM($AQ331))&lt;&gt;"n/a", LOWER(TRIM($AQ331))&lt;&gt;"na", SUMPRODUCT(--(UPPER(TRIM($AQ$2:$AQ$518))=UPPER(TRIM($AQ331))), --(UPPER(TRIM($B$2:$B$518))="YES"), --(UPPER(TRIM($G$2:$G$518)&amp;TRIM($I$2:$I$518)&amp;TRIM($J$2:$J$518))&lt;&gt;UPPER(TRIM($G331)&amp;TRIM($I331)&amp;TRIM($J331))))&gt;0)), "Yes", "No"))</f>
        <v/>
      </c>
      <c r="G331" t="inlineStr">
        <is>
          <t>1 Marcus</t>
        </is>
      </c>
      <c r="H331" t="inlineStr">
        <is>
          <t>NSUH - VAR</t>
        </is>
      </c>
      <c r="V331" t="inlineStr">
        <is>
          <t>WMH300OPR427</t>
        </is>
      </c>
      <c r="W331" t="inlineStr">
        <is>
          <t>MEDNM24G25-0445</t>
        </is>
      </c>
      <c r="CD331">
        <f>IF($Y331="","",IF((IF(AND($BR331&lt;&gt;"Yes",$BR331&lt;&gt;"N/A"),"Power Cable, ","")&amp;IF(AND($BS331&lt;&gt;"Yes",$BS331&lt;&gt;"N/A"),"Battery, ","")&amp;IF(AND($AD331&lt;&gt;"Yes",$AD331&lt;&gt;"N/A"),"Firmware Download, ","")&amp;IF(AND(OR($AD331="Yes",$AD331="N/A"),$AE331&lt;&gt;"Yes",$AE331&lt;&gt;"N/A"),"Firmware Install, ","")&amp;IF(AND($CB331&lt;&gt;"Yes",$CB331&lt;&gt;"N/A"),"Device ID, ","")&amp;IF(AND($CC331&lt;&gt;"Yes",$CC331&lt;&gt;"N/A"),"Epic Beans Relay, ",""))="","",LEFT(IF(AND($BR331&lt;&gt;"Yes",$BR331&lt;&gt;"N/A"),"Power Cable, ","")&amp;IF(AND($BS331&lt;&gt;"Yes",$BS331&lt;&gt;"N/A"),"Battery, ","")&amp;IF(AND($AD331&lt;&gt;"Yes",$AD331&lt;&gt;"N/A"),"Firmware Download, ","")&amp;IF(AND(OR($AD331="Yes",$AD331="N/A"),$AE331&lt;&gt;"Yes",$AE331&lt;&gt;"N/A"),"Firmware Install, ","")&amp;IF(AND($CB331&lt;&gt;"Yes",$CB331&lt;&gt;"N/A"),"Device ID, ","")&amp;IF(AND($CC331&lt;&gt;"Yes",$CC331&lt;&gt;"N/A"),"Epic Beans Relay, ",""),LEN(IF(AND($BR331&lt;&gt;"Yes",$BR331&lt;&gt;"N/A"),"Power Cable, ","")&amp;IF(AND($BS331&lt;&gt;"Yes",$BS331&lt;&gt;"N/A"),"Battery, ","")&amp;IF(AND($AD331&lt;&gt;"Yes",$AD331&lt;&gt;"N/A"),"Firmware Download, ","")&amp;IF(AND(OR($AD331="Yes",$AD331="N/A"),$AE331&lt;&gt;"Yes",$AE331&lt;&gt;"N/A"),"Firmware Install, ","")&amp;IF(AND($CB331&lt;&gt;"Yes",$CB331&lt;&gt;"N/A"),"Device ID, ","")&amp;IF(AND($CC331&lt;&gt;"Yes",$CC331&lt;&gt;"N/A"),"Epic Beans Relay, ",""))-2)))</f>
        <v/>
      </c>
      <c r="CE331">
        <f>IF($Y331="","",IF($CD331="","Yes","Blocked"))</f>
        <v/>
      </c>
      <c r="CP331">
        <f>IF($CO331="","",IFERROR(VLOOKUP($CO331,'01_Warehouse_Ledger'!$A:$N,4,FALSE),""))</f>
        <v/>
      </c>
      <c r="CQ331">
        <f>IF($CO331="","",IFERROR(VLOOKUP($CO331,'01_Warehouse_Ledger'!$A:$N,5,FALSE),""))</f>
        <v/>
      </c>
      <c r="CR331">
        <f>IF($CO331="","",IFERROR(VLOOKUP($CO331,'01_Warehouse_Ledger'!$A:$N,13,FALSE),""))</f>
        <v/>
      </c>
      <c r="CW331">
        <f>IF($S331="","",IF(UPPER(TRIM($S331))&lt;&gt;"PASS","",IF(LEN(TRIM($BY331))&gt;0,"NOTES_PRESENT",IF(LEN(TRIM($T331))=0,"SET_NA",IF(OR(LOWER(TRIM($T331))="na",LOWER(TRIM($T331))="n/a"),"OK","MANUAL_OVERRIDE")))))</f>
        <v/>
      </c>
    </row>
    <row r="332">
      <c r="A332" t="inlineStr">
        <is>
          <t>Cybernet</t>
        </is>
      </c>
      <c r="B332" t="inlineStr">
        <is>
          <t>No</t>
        </is>
      </c>
      <c r="C332" t="inlineStr">
        <is>
          <t>No</t>
        </is>
      </c>
      <c r="D332">
        <f>IF($B332&lt;&gt;"Yes","",IF($C332="No","Yes",IF($C332="Yes","No","")))</f>
        <v/>
      </c>
      <c r="E332">
        <f>IF($A332="","",IF(OR(AND($V333&lt;&gt;"",LOWER(TRIM($V333))&lt;&gt;"n/a",LOWER(TRIM($V333))&lt;&gt;"na",SUMPRODUCT(--(UPPER(TRIM($V$2:$V$518))=UPPER(TRIM($V333))),--(TRIM($V$2:$V$518)&lt;&gt;""),--(LOWER(TRIM($V$2:$V$518))&lt;&gt;"n/a"),--(LOWER(TRIM($V$2:$V$518))&lt;&gt;"na"))&gt;1),AND($W333&lt;&gt;"",LOWER(TRIM($W333))&lt;&gt;"n/a",LOWER(TRIM($W333))&lt;&gt;"na",SUMPRODUCT(--(UPPER(TRIM($W$2:$W$518))=UPPER(TRIM($W333))),--(TRIM($W$2:$W$518)&lt;&gt;""),--(LOWER(TRIM($W$2:$W$518))&lt;&gt;"n/a"),--(LOWER(TRIM($W$2:$W$518))&lt;&gt;"na"))&gt;1),AND($X332&lt;&gt;"",LOWER(TRIM($X332))&lt;&gt;"n/a",LOWER(TRIM($X332))&lt;&gt;"na",SUMPRODUCT(--(UPPER(TRIM($X$2:$X$518))=UPPER(TRIM($X332))),--(TRIM($X$2:$X$518)&lt;&gt;""),--(LOWER(TRIM($X$2:$X$518))&lt;&gt;"n/a"),--(LOWER(TRIM($X$2:$X$518))&lt;&gt;"na"))&gt;1),AND($Y332&lt;&gt;"",LOWER(TRIM($Y332))&lt;&gt;"n/a",LOWER(TRIM($Y332))&lt;&gt;"na",SUMPRODUCT(--(UPPER(SUBSTITUTE(SUBSTITUTE(TRIM($Y$2:$Y$518),":",""),"-",""))=UPPER(SUBSTITUTE(SUBSTITUTE(TRIM($Y332),":",""),"-",""))),--(TRIM($Y$2:$Y$518)&lt;&gt;""),--(LOWER(TRIM($Y$2:$Y$518))&lt;&gt;"n/a"),--(LOWER(TRIM($Y$2:$Y$518))&lt;&gt;"na"))&gt;1),AND($AB332&lt;&gt;"",LOWER(TRIM($AB332))&lt;&gt;"n/a",LOWER(TRIM($AB332))&lt;&gt;"na",SUMPRODUCT(--(UPPER(TRIM($AB$2:$AB$518))=UPPER(TRIM($AB332))),--(TRIM($AB$2:$AB$518)&lt;&gt;""),--(LOWER(TRIM($AB$2:$AB$518))&lt;&gt;"n/a"),--(LOWER(TRIM($AB$2:$AB$518))&lt;&gt;"na"))&gt;1),AND($AH332&lt;&gt;"",LOWER(TRIM($AH332))&lt;&gt;"n/a",LOWER(TRIM($AH332))&lt;&gt;"na",SUMPRODUCT(--(UPPER(SUBSTITUTE(SUBSTITUTE(TRIM($AH$2:$AH$518),":",""),"-",""))=UPPER(SUBSTITUTE(SUBSTITUTE(TRIM($AH332),":",""),"-",""))),--(TRIM($AH$2:$AH$518)&lt;&gt;""),--(LOWER(TRIM($AH$2:$AH$518))&lt;&gt;"n/a"),--(LOWER(TRIM($AH$2:$AH$518))&lt;&gt;"na"))&gt;1),AND($AP332&lt;&gt;"",LOWER(TRIM($AP332))&lt;&gt;"n/a",LOWER(TRIM($AP332))&lt;&gt;"na",SUMPRODUCT(--(UPPER(TRIM($AP$2:$AP$518))=UPPER(TRIM($AP332))),--(TRIM($AP$2:$AP$518)&lt;&gt;""),--(LOWER(TRIM($AP$2:$AP$518))&lt;&gt;"n/a"),--(LOWER(TRIM($AP$2:$AP$518))&lt;&gt;"na"))&gt;1),AND($AQ332&lt;&gt;"",LOWER(TRIM($AQ332))&lt;&gt;"n/a",LOWER(TRIM($AQ332))&lt;&gt;"na",SUMPRODUCT(--(UPPER(TRIM($AQ$2:$AQ$518))=UPPER(TRIM($AQ332))),--(TRIM($AQ$2:$AQ$518)&lt;&gt;""),--(LOWER(TRIM($AQ$2:$AQ$518))&lt;&gt;"n/a"),--(LOWER(TRIM($AQ$2:$AQ$518))&lt;&gt;"na"))&gt;1)),"Yes","No"))</f>
        <v/>
      </c>
      <c r="F332">
        <f>IF(UPPER(TRIM($B332))&lt;&gt;"YES","", IF(OR(AND($V332&lt;&gt;"", LOWER(TRIM($V332))&lt;&gt;"n/a", LOWER(TRIM($V332))&lt;&gt;"na", SUMPRODUCT(--(UPPER(TRIM($V$2:$V$518))=UPPER(TRIM($V332))), --(UPPER(TRIM($B$2:$B$518))="YES"), --(UPPER(TRIM($G$2:$G$518)&amp;TRIM($I$2:$I$518)&amp;TRIM($J$2:$J$518))&lt;&gt;UPPER(TRIM($G332)&amp;TRIM($I332)&amp;TRIM($J332))))&gt;0), AND($W332&lt;&gt;"", LOWER(TRIM($W332))&lt;&gt;"n/a", LOWER(TRIM($W332))&lt;&gt;"na", SUMPRODUCT(--(UPPER(TRIM($W$2:$W$518))=UPPER(TRIM($W332))), --(UPPER(TRIM($B$2:$B$518))="YES"), --(UPPER(TRIM($G$2:$G$518)&amp;TRIM($I$2:$I$518)&amp;TRIM($J$2:$J$518))&lt;&gt;UPPER(TRIM($G332)&amp;TRIM($I332)&amp;TRIM($J332))))&gt;0), AND($X332&lt;&gt;"", LOWER(TRIM($X332))&lt;&gt;"n/a", LOWER(TRIM($X332))&lt;&gt;"na", SUMPRODUCT(--(UPPER(TRIM($X$2:$X$518))=UPPER(TRIM($X332))), --(UPPER(TRIM($B$2:$B$518))="YES"), --(UPPER(TRIM($G$2:$G$518)&amp;TRIM($I$2:$I$518)&amp;TRIM($J$2:$J$518))&lt;&gt;UPPER(TRIM($G332)&amp;TRIM($I332)&amp;TRIM($J332))))&gt;0), AND($Y332&lt;&gt;"", LOWER(TRIM($Y332))&lt;&gt;"n/a", LOWER(TRIM($Y332))&lt;&gt;"na", SUMPRODUCT(--(UPPER(SUBSTITUTE(SUBSTITUTE(TRIM($Y$2:$Y$518),":",""),"-",""))=UPPER(SUBSTITUTE(SUBSTITUTE(TRIM($Y332),":",""),"-",""))), --(UPPER(TRIM($B$2:$B$518))="YES"), --(UPPER(TRIM($G$2:$G$518)&amp;TRIM($I$2:$I$518)&amp;TRIM($J$2:$J$518))&lt;&gt;UPPER(TRIM($G332)&amp;TRIM($I332)&amp;TRIM($J332))))&gt;0), AND($AB332&lt;&gt;"", LOWER(TRIM($AB332))&lt;&gt;"n/a", LOWER(TRIM($AB332))&lt;&gt;"na", SUMPRODUCT(--(UPPER(TRIM($AB$2:$AB$518))=UPPER(TRIM($AB332))), --(UPPER(TRIM($B$2:$B$518))="YES"), --(UPPER(TRIM($G$2:$G$518)&amp;TRIM($I$2:$I$518)&amp;TRIM($J$2:$J$518))&lt;&gt;UPPER(TRIM($G332)&amp;TRIM($I332)&amp;TRIM($J332))))&gt;0), AND($AH332&lt;&gt;"", LOWER(TRIM($AH332))&lt;&gt;"n/a", LOWER(TRIM($AH332))&lt;&gt;"na", SUMPRODUCT(--(UPPER(SUBSTITUTE(SUBSTITUTE(TRIM($AH$2:$AH$518),":",""),"-",""))=UPPER(SUBSTITUTE(SUBSTITUTE(TRIM($AH332),":",""),"-",""))), --(UPPER(TRIM($B$2:$B$518))="YES"), --(UPPER(TRIM($G$2:$G$518)&amp;TRIM($I$2:$I$518)&amp;TRIM($J$2:$J$518))&lt;&gt;UPPER(TRIM($G332)&amp;TRIM($I332)&amp;TRIM($J332))))&gt;0), AND($AP332&lt;&gt;"", LOWER(TRIM($AP332))&lt;&gt;"n/a", LOWER(TRIM($AP332))&lt;&gt;"na", SUMPRODUCT(--(UPPER(TRIM($AP$2:$AP$518))=UPPER(TRIM($AP332))), --(UPPER(TRIM($B$2:$B$518))="YES"), --(UPPER(TRIM($G$2:$G$518)&amp;TRIM($I$2:$I$518)&amp;TRIM($J$2:$J$518))&lt;&gt;UPPER(TRIM($G332)&amp;TRIM($I332)&amp;TRIM($J332))))&gt;0), AND($AQ332&lt;&gt;"", LOWER(TRIM($AQ332))&lt;&gt;"n/a", LOWER(TRIM($AQ332))&lt;&gt;"na", SUMPRODUCT(--(UPPER(TRIM($AQ$2:$AQ$518))=UPPER(TRIM($AQ332))), --(UPPER(TRIM($B$2:$B$518))="YES"), --(UPPER(TRIM($G$2:$G$518)&amp;TRIM($I$2:$I$518)&amp;TRIM($J$2:$J$518))&lt;&gt;UPPER(TRIM($G332)&amp;TRIM($I332)&amp;TRIM($J332))))&gt;0)), "Yes", "No"))</f>
        <v/>
      </c>
      <c r="G332" t="inlineStr">
        <is>
          <t>1 Marcus</t>
        </is>
      </c>
      <c r="H332" t="inlineStr">
        <is>
          <t>NSUH - VAR</t>
        </is>
      </c>
      <c r="V332" t="inlineStr">
        <is>
          <t>WMH300OPR428</t>
        </is>
      </c>
      <c r="W332" t="inlineStr">
        <is>
          <t>MEDNM24G25-0525</t>
        </is>
      </c>
      <c r="CD332">
        <f>IF($Y332="","",IF((IF(AND($BR332&lt;&gt;"Yes",$BR332&lt;&gt;"N/A"),"Power Cable, ","")&amp;IF(AND($BS332&lt;&gt;"Yes",$BS332&lt;&gt;"N/A"),"Battery, ","")&amp;IF(AND($AD332&lt;&gt;"Yes",$AD332&lt;&gt;"N/A"),"Firmware Download, ","")&amp;IF(AND(OR($AD332="Yes",$AD332="N/A"),$AE332&lt;&gt;"Yes",$AE332&lt;&gt;"N/A"),"Firmware Install, ","")&amp;IF(AND($CB332&lt;&gt;"Yes",$CB332&lt;&gt;"N/A"),"Device ID, ","")&amp;IF(AND($CC332&lt;&gt;"Yes",$CC332&lt;&gt;"N/A"),"Epic Beans Relay, ",""))="","",LEFT(IF(AND($BR332&lt;&gt;"Yes",$BR332&lt;&gt;"N/A"),"Power Cable, ","")&amp;IF(AND($BS332&lt;&gt;"Yes",$BS332&lt;&gt;"N/A"),"Battery, ","")&amp;IF(AND($AD332&lt;&gt;"Yes",$AD332&lt;&gt;"N/A"),"Firmware Download, ","")&amp;IF(AND(OR($AD332="Yes",$AD332="N/A"),$AE332&lt;&gt;"Yes",$AE332&lt;&gt;"N/A"),"Firmware Install, ","")&amp;IF(AND($CB332&lt;&gt;"Yes",$CB332&lt;&gt;"N/A"),"Device ID, ","")&amp;IF(AND($CC332&lt;&gt;"Yes",$CC332&lt;&gt;"N/A"),"Epic Beans Relay, ",""),LEN(IF(AND($BR332&lt;&gt;"Yes",$BR332&lt;&gt;"N/A"),"Power Cable, ","")&amp;IF(AND($BS332&lt;&gt;"Yes",$BS332&lt;&gt;"N/A"),"Battery, ","")&amp;IF(AND($AD332&lt;&gt;"Yes",$AD332&lt;&gt;"N/A"),"Firmware Download, ","")&amp;IF(AND(OR($AD332="Yes",$AD332="N/A"),$AE332&lt;&gt;"Yes",$AE332&lt;&gt;"N/A"),"Firmware Install, ","")&amp;IF(AND($CB332&lt;&gt;"Yes",$CB332&lt;&gt;"N/A"),"Device ID, ","")&amp;IF(AND($CC332&lt;&gt;"Yes",$CC332&lt;&gt;"N/A"),"Epic Beans Relay, ",""))-2)))</f>
        <v/>
      </c>
      <c r="CE332">
        <f>IF($Y332="","",IF($CD332="","Yes","Blocked"))</f>
        <v/>
      </c>
      <c r="CP332">
        <f>IF($CO332="","",IFERROR(VLOOKUP($CO332,'01_Warehouse_Ledger'!$A:$N,4,FALSE),""))</f>
        <v/>
      </c>
      <c r="CQ332">
        <f>IF($CO332="","",IFERROR(VLOOKUP($CO332,'01_Warehouse_Ledger'!$A:$N,5,FALSE),""))</f>
        <v/>
      </c>
      <c r="CR332">
        <f>IF($CO332="","",IFERROR(VLOOKUP($CO332,'01_Warehouse_Ledger'!$A:$N,13,FALSE),""))</f>
        <v/>
      </c>
      <c r="CW332">
        <f>IF($S332="","",IF(UPPER(TRIM($S332))&lt;&gt;"PASS","",IF(LEN(TRIM($BY332))&gt;0,"NOTES_PRESENT",IF(LEN(TRIM($T332))=0,"SET_NA",IF(OR(LOWER(TRIM($T332))="na",LOWER(TRIM($T332))="n/a"),"OK","MANUAL_OVERRIDE")))))</f>
        <v/>
      </c>
    </row>
    <row r="333">
      <c r="A333" t="inlineStr">
        <is>
          <t>Cybernet</t>
        </is>
      </c>
      <c r="B333" t="inlineStr">
        <is>
          <t>No</t>
        </is>
      </c>
      <c r="C333" t="inlineStr">
        <is>
          <t>No</t>
        </is>
      </c>
      <c r="D333">
        <f>IF($B333&lt;&gt;"Yes","",IF($C333="No","Yes",IF($C333="Yes","No","")))</f>
        <v/>
      </c>
      <c r="E333">
        <f>IF($A333="","",IF(OR(AND($V334&lt;&gt;"",LOWER(TRIM($V334))&lt;&gt;"n/a",LOWER(TRIM($V334))&lt;&gt;"na",SUMPRODUCT(--(UPPER(TRIM($V$2:$V$518))=UPPER(TRIM($V334))),--(TRIM($V$2:$V$518)&lt;&gt;""),--(LOWER(TRIM($V$2:$V$518))&lt;&gt;"n/a"),--(LOWER(TRIM($V$2:$V$518))&lt;&gt;"na"))&gt;1),AND($W334&lt;&gt;"",LOWER(TRIM($W334))&lt;&gt;"n/a",LOWER(TRIM($W334))&lt;&gt;"na",SUMPRODUCT(--(UPPER(TRIM($W$2:$W$518))=UPPER(TRIM($W334))),--(TRIM($W$2:$W$518)&lt;&gt;""),--(LOWER(TRIM($W$2:$W$518))&lt;&gt;"n/a"),--(LOWER(TRIM($W$2:$W$518))&lt;&gt;"na"))&gt;1),AND($X333&lt;&gt;"",LOWER(TRIM($X333))&lt;&gt;"n/a",LOWER(TRIM($X333))&lt;&gt;"na",SUMPRODUCT(--(UPPER(TRIM($X$2:$X$518))=UPPER(TRIM($X333))),--(TRIM($X$2:$X$518)&lt;&gt;""),--(LOWER(TRIM($X$2:$X$518))&lt;&gt;"n/a"),--(LOWER(TRIM($X$2:$X$518))&lt;&gt;"na"))&gt;1),AND($Y333&lt;&gt;"",LOWER(TRIM($Y333))&lt;&gt;"n/a",LOWER(TRIM($Y333))&lt;&gt;"na",SUMPRODUCT(--(UPPER(SUBSTITUTE(SUBSTITUTE(TRIM($Y$2:$Y$518),":",""),"-",""))=UPPER(SUBSTITUTE(SUBSTITUTE(TRIM($Y333),":",""),"-",""))),--(TRIM($Y$2:$Y$518)&lt;&gt;""),--(LOWER(TRIM($Y$2:$Y$518))&lt;&gt;"n/a"),--(LOWER(TRIM($Y$2:$Y$518))&lt;&gt;"na"))&gt;1),AND($AB333&lt;&gt;"",LOWER(TRIM($AB333))&lt;&gt;"n/a",LOWER(TRIM($AB333))&lt;&gt;"na",SUMPRODUCT(--(UPPER(TRIM($AB$2:$AB$518))=UPPER(TRIM($AB333))),--(TRIM($AB$2:$AB$518)&lt;&gt;""),--(LOWER(TRIM($AB$2:$AB$518))&lt;&gt;"n/a"),--(LOWER(TRIM($AB$2:$AB$518))&lt;&gt;"na"))&gt;1),AND($AH333&lt;&gt;"",LOWER(TRIM($AH333))&lt;&gt;"n/a",LOWER(TRIM($AH333))&lt;&gt;"na",SUMPRODUCT(--(UPPER(SUBSTITUTE(SUBSTITUTE(TRIM($AH$2:$AH$518),":",""),"-",""))=UPPER(SUBSTITUTE(SUBSTITUTE(TRIM($AH333),":",""),"-",""))),--(TRIM($AH$2:$AH$518)&lt;&gt;""),--(LOWER(TRIM($AH$2:$AH$518))&lt;&gt;"n/a"),--(LOWER(TRIM($AH$2:$AH$518))&lt;&gt;"na"))&gt;1),AND($AP333&lt;&gt;"",LOWER(TRIM($AP333))&lt;&gt;"n/a",LOWER(TRIM($AP333))&lt;&gt;"na",SUMPRODUCT(--(UPPER(TRIM($AP$2:$AP$518))=UPPER(TRIM($AP333))),--(TRIM($AP$2:$AP$518)&lt;&gt;""),--(LOWER(TRIM($AP$2:$AP$518))&lt;&gt;"n/a"),--(LOWER(TRIM($AP$2:$AP$518))&lt;&gt;"na"))&gt;1),AND($AQ333&lt;&gt;"",LOWER(TRIM($AQ333))&lt;&gt;"n/a",LOWER(TRIM($AQ333))&lt;&gt;"na",SUMPRODUCT(--(UPPER(TRIM($AQ$2:$AQ$518))=UPPER(TRIM($AQ333))),--(TRIM($AQ$2:$AQ$518)&lt;&gt;""),--(LOWER(TRIM($AQ$2:$AQ$518))&lt;&gt;"n/a"),--(LOWER(TRIM($AQ$2:$AQ$518))&lt;&gt;"na"))&gt;1)),"Yes","No"))</f>
        <v/>
      </c>
      <c r="F333">
        <f>IF(UPPER(TRIM($B333))&lt;&gt;"YES","", IF(OR(AND($V333&lt;&gt;"", LOWER(TRIM($V333))&lt;&gt;"n/a", LOWER(TRIM($V333))&lt;&gt;"na", SUMPRODUCT(--(UPPER(TRIM($V$2:$V$518))=UPPER(TRIM($V333))), --(UPPER(TRIM($B$2:$B$518))="YES"), --(UPPER(TRIM($G$2:$G$518)&amp;TRIM($I$2:$I$518)&amp;TRIM($J$2:$J$518))&lt;&gt;UPPER(TRIM($G333)&amp;TRIM($I333)&amp;TRIM($J333))))&gt;0), AND($W333&lt;&gt;"", LOWER(TRIM($W333))&lt;&gt;"n/a", LOWER(TRIM($W333))&lt;&gt;"na", SUMPRODUCT(--(UPPER(TRIM($W$2:$W$518))=UPPER(TRIM($W333))), --(UPPER(TRIM($B$2:$B$518))="YES"), --(UPPER(TRIM($G$2:$G$518)&amp;TRIM($I$2:$I$518)&amp;TRIM($J$2:$J$518))&lt;&gt;UPPER(TRIM($G333)&amp;TRIM($I333)&amp;TRIM($J333))))&gt;0), AND($X333&lt;&gt;"", LOWER(TRIM($X333))&lt;&gt;"n/a", LOWER(TRIM($X333))&lt;&gt;"na", SUMPRODUCT(--(UPPER(TRIM($X$2:$X$518))=UPPER(TRIM($X333))), --(UPPER(TRIM($B$2:$B$518))="YES"), --(UPPER(TRIM($G$2:$G$518)&amp;TRIM($I$2:$I$518)&amp;TRIM($J$2:$J$518))&lt;&gt;UPPER(TRIM($G333)&amp;TRIM($I333)&amp;TRIM($J333))))&gt;0), AND($Y333&lt;&gt;"", LOWER(TRIM($Y333))&lt;&gt;"n/a", LOWER(TRIM($Y333))&lt;&gt;"na", SUMPRODUCT(--(UPPER(SUBSTITUTE(SUBSTITUTE(TRIM($Y$2:$Y$518),":",""),"-",""))=UPPER(SUBSTITUTE(SUBSTITUTE(TRIM($Y333),":",""),"-",""))), --(UPPER(TRIM($B$2:$B$518))="YES"), --(UPPER(TRIM($G$2:$G$518)&amp;TRIM($I$2:$I$518)&amp;TRIM($J$2:$J$518))&lt;&gt;UPPER(TRIM($G333)&amp;TRIM($I333)&amp;TRIM($J333))))&gt;0), AND($AB333&lt;&gt;"", LOWER(TRIM($AB333))&lt;&gt;"n/a", LOWER(TRIM($AB333))&lt;&gt;"na", SUMPRODUCT(--(UPPER(TRIM($AB$2:$AB$518))=UPPER(TRIM($AB333))), --(UPPER(TRIM($B$2:$B$518))="YES"), --(UPPER(TRIM($G$2:$G$518)&amp;TRIM($I$2:$I$518)&amp;TRIM($J$2:$J$518))&lt;&gt;UPPER(TRIM($G333)&amp;TRIM($I333)&amp;TRIM($J333))))&gt;0), AND($AH333&lt;&gt;"", LOWER(TRIM($AH333))&lt;&gt;"n/a", LOWER(TRIM($AH333))&lt;&gt;"na", SUMPRODUCT(--(UPPER(SUBSTITUTE(SUBSTITUTE(TRIM($AH$2:$AH$518),":",""),"-",""))=UPPER(SUBSTITUTE(SUBSTITUTE(TRIM($AH333),":",""),"-",""))), --(UPPER(TRIM($B$2:$B$518))="YES"), --(UPPER(TRIM($G$2:$G$518)&amp;TRIM($I$2:$I$518)&amp;TRIM($J$2:$J$518))&lt;&gt;UPPER(TRIM($G333)&amp;TRIM($I333)&amp;TRIM($J333))))&gt;0), AND($AP333&lt;&gt;"", LOWER(TRIM($AP333))&lt;&gt;"n/a", LOWER(TRIM($AP333))&lt;&gt;"na", SUMPRODUCT(--(UPPER(TRIM($AP$2:$AP$518))=UPPER(TRIM($AP333))), --(UPPER(TRIM($B$2:$B$518))="YES"), --(UPPER(TRIM($G$2:$G$518)&amp;TRIM($I$2:$I$518)&amp;TRIM($J$2:$J$518))&lt;&gt;UPPER(TRIM($G333)&amp;TRIM($I333)&amp;TRIM($J333))))&gt;0), AND($AQ333&lt;&gt;"", LOWER(TRIM($AQ333))&lt;&gt;"n/a", LOWER(TRIM($AQ333))&lt;&gt;"na", SUMPRODUCT(--(UPPER(TRIM($AQ$2:$AQ$518))=UPPER(TRIM($AQ333))), --(UPPER(TRIM($B$2:$B$518))="YES"), --(UPPER(TRIM($G$2:$G$518)&amp;TRIM($I$2:$I$518)&amp;TRIM($J$2:$J$518))&lt;&gt;UPPER(TRIM($G333)&amp;TRIM($I333)&amp;TRIM($J333))))&gt;0)), "Yes", "No"))</f>
        <v/>
      </c>
      <c r="G333" t="inlineStr">
        <is>
          <t>1 Marcus</t>
        </is>
      </c>
      <c r="H333" t="inlineStr">
        <is>
          <t>FH</t>
        </is>
      </c>
      <c r="V333" t="inlineStr">
        <is>
          <t>WFH102OPR080</t>
        </is>
      </c>
      <c r="W333" t="inlineStr">
        <is>
          <t>MEDNM24G25-0429</t>
        </is>
      </c>
      <c r="CD333">
        <f>IF($Y333="","",IF((IF(AND($BR333&lt;&gt;"Yes",$BR333&lt;&gt;"N/A"),"Power Cable, ","")&amp;IF(AND($BS333&lt;&gt;"Yes",$BS333&lt;&gt;"N/A"),"Battery, ","")&amp;IF(AND($AD333&lt;&gt;"Yes",$AD333&lt;&gt;"N/A"),"Firmware Download, ","")&amp;IF(AND(OR($AD333="Yes",$AD333="N/A"),$AE333&lt;&gt;"Yes",$AE333&lt;&gt;"N/A"),"Firmware Install, ","")&amp;IF(AND($CB333&lt;&gt;"Yes",$CB333&lt;&gt;"N/A"),"Device ID, ","")&amp;IF(AND($CC333&lt;&gt;"Yes",$CC333&lt;&gt;"N/A"),"Epic Beans Relay, ",""))="","",LEFT(IF(AND($BR333&lt;&gt;"Yes",$BR333&lt;&gt;"N/A"),"Power Cable, ","")&amp;IF(AND($BS333&lt;&gt;"Yes",$BS333&lt;&gt;"N/A"),"Battery, ","")&amp;IF(AND($AD333&lt;&gt;"Yes",$AD333&lt;&gt;"N/A"),"Firmware Download, ","")&amp;IF(AND(OR($AD333="Yes",$AD333="N/A"),$AE333&lt;&gt;"Yes",$AE333&lt;&gt;"N/A"),"Firmware Install, ","")&amp;IF(AND($CB333&lt;&gt;"Yes",$CB333&lt;&gt;"N/A"),"Device ID, ","")&amp;IF(AND($CC333&lt;&gt;"Yes",$CC333&lt;&gt;"N/A"),"Epic Beans Relay, ",""),LEN(IF(AND($BR333&lt;&gt;"Yes",$BR333&lt;&gt;"N/A"),"Power Cable, ","")&amp;IF(AND($BS333&lt;&gt;"Yes",$BS333&lt;&gt;"N/A"),"Battery, ","")&amp;IF(AND($AD333&lt;&gt;"Yes",$AD333&lt;&gt;"N/A"),"Firmware Download, ","")&amp;IF(AND(OR($AD333="Yes",$AD333="N/A"),$AE333&lt;&gt;"Yes",$AE333&lt;&gt;"N/A"),"Firmware Install, ","")&amp;IF(AND($CB333&lt;&gt;"Yes",$CB333&lt;&gt;"N/A"),"Device ID, ","")&amp;IF(AND($CC333&lt;&gt;"Yes",$CC333&lt;&gt;"N/A"),"Epic Beans Relay, ",""))-2)))</f>
        <v/>
      </c>
      <c r="CE333">
        <f>IF($Y333="","",IF($CD333="","Yes","Blocked"))</f>
        <v/>
      </c>
      <c r="CP333">
        <f>IF($CO333="","",IFERROR(VLOOKUP($CO333,'01_Warehouse_Ledger'!$A:$N,4,FALSE),""))</f>
        <v/>
      </c>
      <c r="CQ333">
        <f>IF($CO333="","",IFERROR(VLOOKUP($CO333,'01_Warehouse_Ledger'!$A:$N,5,FALSE),""))</f>
        <v/>
      </c>
      <c r="CR333">
        <f>IF($CO333="","",IFERROR(VLOOKUP($CO333,'01_Warehouse_Ledger'!$A:$N,13,FALSE),""))</f>
        <v/>
      </c>
      <c r="CW333">
        <f>IF($S333="","",IF(UPPER(TRIM($S333))&lt;&gt;"PASS","",IF(LEN(TRIM($BY333))&gt;0,"NOTES_PRESENT",IF(LEN(TRIM($T333))=0,"SET_NA",IF(OR(LOWER(TRIM($T333))="na",LOWER(TRIM($T333))="n/a"),"OK","MANUAL_OVERRIDE")))))</f>
        <v/>
      </c>
    </row>
    <row r="334">
      <c r="A334" t="inlineStr">
        <is>
          <t>Cybernet</t>
        </is>
      </c>
      <c r="B334" t="inlineStr">
        <is>
          <t>No</t>
        </is>
      </c>
      <c r="C334" t="inlineStr">
        <is>
          <t>No</t>
        </is>
      </c>
      <c r="D334">
        <f>IF($B334&lt;&gt;"Yes","",IF($C334="No","Yes",IF($C334="Yes","No","")))</f>
        <v/>
      </c>
      <c r="E334">
        <f>IF($A334="","",IF(OR(AND($V335&lt;&gt;"",LOWER(TRIM($V335))&lt;&gt;"n/a",LOWER(TRIM($V335))&lt;&gt;"na",SUMPRODUCT(--(UPPER(TRIM($V$2:$V$518))=UPPER(TRIM($V335))),--(TRIM($V$2:$V$518)&lt;&gt;""),--(LOWER(TRIM($V$2:$V$518))&lt;&gt;"n/a"),--(LOWER(TRIM($V$2:$V$518))&lt;&gt;"na"))&gt;1),AND($W335&lt;&gt;"",LOWER(TRIM($W335))&lt;&gt;"n/a",LOWER(TRIM($W335))&lt;&gt;"na",SUMPRODUCT(--(UPPER(TRIM($W$2:$W$518))=UPPER(TRIM($W335))),--(TRIM($W$2:$W$518)&lt;&gt;""),--(LOWER(TRIM($W$2:$W$518))&lt;&gt;"n/a"),--(LOWER(TRIM($W$2:$W$518))&lt;&gt;"na"))&gt;1),AND($X334&lt;&gt;"",LOWER(TRIM($X334))&lt;&gt;"n/a",LOWER(TRIM($X334))&lt;&gt;"na",SUMPRODUCT(--(UPPER(TRIM($X$2:$X$518))=UPPER(TRIM($X334))),--(TRIM($X$2:$X$518)&lt;&gt;""),--(LOWER(TRIM($X$2:$X$518))&lt;&gt;"n/a"),--(LOWER(TRIM($X$2:$X$518))&lt;&gt;"na"))&gt;1),AND($Y334&lt;&gt;"",LOWER(TRIM($Y334))&lt;&gt;"n/a",LOWER(TRIM($Y334))&lt;&gt;"na",SUMPRODUCT(--(UPPER(SUBSTITUTE(SUBSTITUTE(TRIM($Y$2:$Y$518),":",""),"-",""))=UPPER(SUBSTITUTE(SUBSTITUTE(TRIM($Y334),":",""),"-",""))),--(TRIM($Y$2:$Y$518)&lt;&gt;""),--(LOWER(TRIM($Y$2:$Y$518))&lt;&gt;"n/a"),--(LOWER(TRIM($Y$2:$Y$518))&lt;&gt;"na"))&gt;1),AND($AB334&lt;&gt;"",LOWER(TRIM($AB334))&lt;&gt;"n/a",LOWER(TRIM($AB334))&lt;&gt;"na",SUMPRODUCT(--(UPPER(TRIM($AB$2:$AB$518))=UPPER(TRIM($AB334))),--(TRIM($AB$2:$AB$518)&lt;&gt;""),--(LOWER(TRIM($AB$2:$AB$518))&lt;&gt;"n/a"),--(LOWER(TRIM($AB$2:$AB$518))&lt;&gt;"na"))&gt;1),AND($AH334&lt;&gt;"",LOWER(TRIM($AH334))&lt;&gt;"n/a",LOWER(TRIM($AH334))&lt;&gt;"na",SUMPRODUCT(--(UPPER(SUBSTITUTE(SUBSTITUTE(TRIM($AH$2:$AH$518),":",""),"-",""))=UPPER(SUBSTITUTE(SUBSTITUTE(TRIM($AH334),":",""),"-",""))),--(TRIM($AH$2:$AH$518)&lt;&gt;""),--(LOWER(TRIM($AH$2:$AH$518))&lt;&gt;"n/a"),--(LOWER(TRIM($AH$2:$AH$518))&lt;&gt;"na"))&gt;1),AND($AP334&lt;&gt;"",LOWER(TRIM($AP334))&lt;&gt;"n/a",LOWER(TRIM($AP334))&lt;&gt;"na",SUMPRODUCT(--(UPPER(TRIM($AP$2:$AP$518))=UPPER(TRIM($AP334))),--(TRIM($AP$2:$AP$518)&lt;&gt;""),--(LOWER(TRIM($AP$2:$AP$518))&lt;&gt;"n/a"),--(LOWER(TRIM($AP$2:$AP$518))&lt;&gt;"na"))&gt;1),AND($AQ334&lt;&gt;"",LOWER(TRIM($AQ334))&lt;&gt;"n/a",LOWER(TRIM($AQ334))&lt;&gt;"na",SUMPRODUCT(--(UPPER(TRIM($AQ$2:$AQ$518))=UPPER(TRIM($AQ334))),--(TRIM($AQ$2:$AQ$518)&lt;&gt;""),--(LOWER(TRIM($AQ$2:$AQ$518))&lt;&gt;"n/a"),--(LOWER(TRIM($AQ$2:$AQ$518))&lt;&gt;"na"))&gt;1)),"Yes","No"))</f>
        <v/>
      </c>
      <c r="F334">
        <f>IF(UPPER(TRIM($B334))&lt;&gt;"YES","", IF(OR(AND($V334&lt;&gt;"", LOWER(TRIM($V334))&lt;&gt;"n/a", LOWER(TRIM($V334))&lt;&gt;"na", SUMPRODUCT(--(UPPER(TRIM($V$2:$V$518))=UPPER(TRIM($V334))), --(UPPER(TRIM($B$2:$B$518))="YES"), --(UPPER(TRIM($G$2:$G$518)&amp;TRIM($I$2:$I$518)&amp;TRIM($J$2:$J$518))&lt;&gt;UPPER(TRIM($G334)&amp;TRIM($I334)&amp;TRIM($J334))))&gt;0), AND($W334&lt;&gt;"", LOWER(TRIM($W334))&lt;&gt;"n/a", LOWER(TRIM($W334))&lt;&gt;"na", SUMPRODUCT(--(UPPER(TRIM($W$2:$W$518))=UPPER(TRIM($W334))), --(UPPER(TRIM($B$2:$B$518))="YES"), --(UPPER(TRIM($G$2:$G$518)&amp;TRIM($I$2:$I$518)&amp;TRIM($J$2:$J$518))&lt;&gt;UPPER(TRIM($G334)&amp;TRIM($I334)&amp;TRIM($J334))))&gt;0), AND($X334&lt;&gt;"", LOWER(TRIM($X334))&lt;&gt;"n/a", LOWER(TRIM($X334))&lt;&gt;"na", SUMPRODUCT(--(UPPER(TRIM($X$2:$X$518))=UPPER(TRIM($X334))), --(UPPER(TRIM($B$2:$B$518))="YES"), --(UPPER(TRIM($G$2:$G$518)&amp;TRIM($I$2:$I$518)&amp;TRIM($J$2:$J$518))&lt;&gt;UPPER(TRIM($G334)&amp;TRIM($I334)&amp;TRIM($J334))))&gt;0), AND($Y334&lt;&gt;"", LOWER(TRIM($Y334))&lt;&gt;"n/a", LOWER(TRIM($Y334))&lt;&gt;"na", SUMPRODUCT(--(UPPER(SUBSTITUTE(SUBSTITUTE(TRIM($Y$2:$Y$518),":",""),"-",""))=UPPER(SUBSTITUTE(SUBSTITUTE(TRIM($Y334),":",""),"-",""))), --(UPPER(TRIM($B$2:$B$518))="YES"), --(UPPER(TRIM($G$2:$G$518)&amp;TRIM($I$2:$I$518)&amp;TRIM($J$2:$J$518))&lt;&gt;UPPER(TRIM($G334)&amp;TRIM($I334)&amp;TRIM($J334))))&gt;0), AND($AB334&lt;&gt;"", LOWER(TRIM($AB334))&lt;&gt;"n/a", LOWER(TRIM($AB334))&lt;&gt;"na", SUMPRODUCT(--(UPPER(TRIM($AB$2:$AB$518))=UPPER(TRIM($AB334))), --(UPPER(TRIM($B$2:$B$518))="YES"), --(UPPER(TRIM($G$2:$G$518)&amp;TRIM($I$2:$I$518)&amp;TRIM($J$2:$J$518))&lt;&gt;UPPER(TRIM($G334)&amp;TRIM($I334)&amp;TRIM($J334))))&gt;0), AND($AH334&lt;&gt;"", LOWER(TRIM($AH334))&lt;&gt;"n/a", LOWER(TRIM($AH334))&lt;&gt;"na", SUMPRODUCT(--(UPPER(SUBSTITUTE(SUBSTITUTE(TRIM($AH$2:$AH$518),":",""),"-",""))=UPPER(SUBSTITUTE(SUBSTITUTE(TRIM($AH334),":",""),"-",""))), --(UPPER(TRIM($B$2:$B$518))="YES"), --(UPPER(TRIM($G$2:$G$518)&amp;TRIM($I$2:$I$518)&amp;TRIM($J$2:$J$518))&lt;&gt;UPPER(TRIM($G334)&amp;TRIM($I334)&amp;TRIM($J334))))&gt;0), AND($AP334&lt;&gt;"", LOWER(TRIM($AP334))&lt;&gt;"n/a", LOWER(TRIM($AP334))&lt;&gt;"na", SUMPRODUCT(--(UPPER(TRIM($AP$2:$AP$518))=UPPER(TRIM($AP334))), --(UPPER(TRIM($B$2:$B$518))="YES"), --(UPPER(TRIM($G$2:$G$518)&amp;TRIM($I$2:$I$518)&amp;TRIM($J$2:$J$518))&lt;&gt;UPPER(TRIM($G334)&amp;TRIM($I334)&amp;TRIM($J334))))&gt;0), AND($AQ334&lt;&gt;"", LOWER(TRIM($AQ334))&lt;&gt;"n/a", LOWER(TRIM($AQ334))&lt;&gt;"na", SUMPRODUCT(--(UPPER(TRIM($AQ$2:$AQ$518))=UPPER(TRIM($AQ334))), --(UPPER(TRIM($B$2:$B$518))="YES"), --(UPPER(TRIM($G$2:$G$518)&amp;TRIM($I$2:$I$518)&amp;TRIM($J$2:$J$518))&lt;&gt;UPPER(TRIM($G334)&amp;TRIM($I334)&amp;TRIM($J334))))&gt;0)), "Yes", "No"))</f>
        <v/>
      </c>
      <c r="G334" t="inlineStr">
        <is>
          <t>1 Marcus</t>
        </is>
      </c>
      <c r="H334" t="inlineStr">
        <is>
          <t>NSUH - VAR</t>
        </is>
      </c>
      <c r="V334" t="inlineStr">
        <is>
          <t>WMH300OPR430</t>
        </is>
      </c>
      <c r="W334" t="inlineStr">
        <is>
          <t>MEDNM24G25-0610</t>
        </is>
      </c>
      <c r="CD334">
        <f>IF($Y334="","",IF((IF(AND($BR334&lt;&gt;"Yes",$BR334&lt;&gt;"N/A"),"Power Cable, ","")&amp;IF(AND($BS334&lt;&gt;"Yes",$BS334&lt;&gt;"N/A"),"Battery, ","")&amp;IF(AND($AD334&lt;&gt;"Yes",$AD334&lt;&gt;"N/A"),"Firmware Download, ","")&amp;IF(AND(OR($AD334="Yes",$AD334="N/A"),$AE334&lt;&gt;"Yes",$AE334&lt;&gt;"N/A"),"Firmware Install, ","")&amp;IF(AND($CB334&lt;&gt;"Yes",$CB334&lt;&gt;"N/A"),"Device ID, ","")&amp;IF(AND($CC334&lt;&gt;"Yes",$CC334&lt;&gt;"N/A"),"Epic Beans Relay, ",""))="","",LEFT(IF(AND($BR334&lt;&gt;"Yes",$BR334&lt;&gt;"N/A"),"Power Cable, ","")&amp;IF(AND($BS334&lt;&gt;"Yes",$BS334&lt;&gt;"N/A"),"Battery, ","")&amp;IF(AND($AD334&lt;&gt;"Yes",$AD334&lt;&gt;"N/A"),"Firmware Download, ","")&amp;IF(AND(OR($AD334="Yes",$AD334="N/A"),$AE334&lt;&gt;"Yes",$AE334&lt;&gt;"N/A"),"Firmware Install, ","")&amp;IF(AND($CB334&lt;&gt;"Yes",$CB334&lt;&gt;"N/A"),"Device ID, ","")&amp;IF(AND($CC334&lt;&gt;"Yes",$CC334&lt;&gt;"N/A"),"Epic Beans Relay, ",""),LEN(IF(AND($BR334&lt;&gt;"Yes",$BR334&lt;&gt;"N/A"),"Power Cable, ","")&amp;IF(AND($BS334&lt;&gt;"Yes",$BS334&lt;&gt;"N/A"),"Battery, ","")&amp;IF(AND($AD334&lt;&gt;"Yes",$AD334&lt;&gt;"N/A"),"Firmware Download, ","")&amp;IF(AND(OR($AD334="Yes",$AD334="N/A"),$AE334&lt;&gt;"Yes",$AE334&lt;&gt;"N/A"),"Firmware Install, ","")&amp;IF(AND($CB334&lt;&gt;"Yes",$CB334&lt;&gt;"N/A"),"Device ID, ","")&amp;IF(AND($CC334&lt;&gt;"Yes",$CC334&lt;&gt;"N/A"),"Epic Beans Relay, ",""))-2)))</f>
        <v/>
      </c>
      <c r="CE334">
        <f>IF($Y334="","",IF($CD334="","Yes","Blocked"))</f>
        <v/>
      </c>
      <c r="CP334">
        <f>IF($CO334="","",IFERROR(VLOOKUP($CO334,'01_Warehouse_Ledger'!$A:$N,4,FALSE),""))</f>
        <v/>
      </c>
      <c r="CQ334">
        <f>IF($CO334="","",IFERROR(VLOOKUP($CO334,'01_Warehouse_Ledger'!$A:$N,5,FALSE),""))</f>
        <v/>
      </c>
      <c r="CR334">
        <f>IF($CO334="","",IFERROR(VLOOKUP($CO334,'01_Warehouse_Ledger'!$A:$N,13,FALSE),""))</f>
        <v/>
      </c>
      <c r="CW334">
        <f>IF($S334="","",IF(UPPER(TRIM($S334))&lt;&gt;"PASS","",IF(LEN(TRIM($BY334))&gt;0,"NOTES_PRESENT",IF(LEN(TRIM($T334))=0,"SET_NA",IF(OR(LOWER(TRIM($T334))="na",LOWER(TRIM($T334))="n/a"),"OK","MANUAL_OVERRIDE")))))</f>
        <v/>
      </c>
    </row>
    <row r="335">
      <c r="A335" t="inlineStr">
        <is>
          <t>Cybernet</t>
        </is>
      </c>
      <c r="B335" t="inlineStr">
        <is>
          <t>No</t>
        </is>
      </c>
      <c r="C335" t="inlineStr">
        <is>
          <t>No</t>
        </is>
      </c>
      <c r="D335">
        <f>IF($B335&lt;&gt;"Yes","",IF($C335="No","Yes",IF($C335="Yes","No","")))</f>
        <v/>
      </c>
      <c r="E335">
        <f>IF($A335="","",IF(OR(AND($V336&lt;&gt;"",LOWER(TRIM($V336))&lt;&gt;"n/a",LOWER(TRIM($V336))&lt;&gt;"na",SUMPRODUCT(--(UPPER(TRIM($V$2:$V$518))=UPPER(TRIM($V336))),--(TRIM($V$2:$V$518)&lt;&gt;""),--(LOWER(TRIM($V$2:$V$518))&lt;&gt;"n/a"),--(LOWER(TRIM($V$2:$V$518))&lt;&gt;"na"))&gt;1),AND($W336&lt;&gt;"",LOWER(TRIM($W336))&lt;&gt;"n/a",LOWER(TRIM($W336))&lt;&gt;"na",SUMPRODUCT(--(UPPER(TRIM($W$2:$W$518))=UPPER(TRIM($W336))),--(TRIM($W$2:$W$518)&lt;&gt;""),--(LOWER(TRIM($W$2:$W$518))&lt;&gt;"n/a"),--(LOWER(TRIM($W$2:$W$518))&lt;&gt;"na"))&gt;1),AND($X335&lt;&gt;"",LOWER(TRIM($X335))&lt;&gt;"n/a",LOWER(TRIM($X335))&lt;&gt;"na",SUMPRODUCT(--(UPPER(TRIM($X$2:$X$518))=UPPER(TRIM($X335))),--(TRIM($X$2:$X$518)&lt;&gt;""),--(LOWER(TRIM($X$2:$X$518))&lt;&gt;"n/a"),--(LOWER(TRIM($X$2:$X$518))&lt;&gt;"na"))&gt;1),AND($Y335&lt;&gt;"",LOWER(TRIM($Y335))&lt;&gt;"n/a",LOWER(TRIM($Y335))&lt;&gt;"na",SUMPRODUCT(--(UPPER(SUBSTITUTE(SUBSTITUTE(TRIM($Y$2:$Y$518),":",""),"-",""))=UPPER(SUBSTITUTE(SUBSTITUTE(TRIM($Y335),":",""),"-",""))),--(TRIM($Y$2:$Y$518)&lt;&gt;""),--(LOWER(TRIM($Y$2:$Y$518))&lt;&gt;"n/a"),--(LOWER(TRIM($Y$2:$Y$518))&lt;&gt;"na"))&gt;1),AND($AB335&lt;&gt;"",LOWER(TRIM($AB335))&lt;&gt;"n/a",LOWER(TRIM($AB335))&lt;&gt;"na",SUMPRODUCT(--(UPPER(TRIM($AB$2:$AB$518))=UPPER(TRIM($AB335))),--(TRIM($AB$2:$AB$518)&lt;&gt;""),--(LOWER(TRIM($AB$2:$AB$518))&lt;&gt;"n/a"),--(LOWER(TRIM($AB$2:$AB$518))&lt;&gt;"na"))&gt;1),AND($AH335&lt;&gt;"",LOWER(TRIM($AH335))&lt;&gt;"n/a",LOWER(TRIM($AH335))&lt;&gt;"na",SUMPRODUCT(--(UPPER(SUBSTITUTE(SUBSTITUTE(TRIM($AH$2:$AH$518),":",""),"-",""))=UPPER(SUBSTITUTE(SUBSTITUTE(TRIM($AH335),":",""),"-",""))),--(TRIM($AH$2:$AH$518)&lt;&gt;""),--(LOWER(TRIM($AH$2:$AH$518))&lt;&gt;"n/a"),--(LOWER(TRIM($AH$2:$AH$518))&lt;&gt;"na"))&gt;1),AND($AP335&lt;&gt;"",LOWER(TRIM($AP335))&lt;&gt;"n/a",LOWER(TRIM($AP335))&lt;&gt;"na",SUMPRODUCT(--(UPPER(TRIM($AP$2:$AP$518))=UPPER(TRIM($AP335))),--(TRIM($AP$2:$AP$518)&lt;&gt;""),--(LOWER(TRIM($AP$2:$AP$518))&lt;&gt;"n/a"),--(LOWER(TRIM($AP$2:$AP$518))&lt;&gt;"na"))&gt;1),AND($AQ335&lt;&gt;"",LOWER(TRIM($AQ335))&lt;&gt;"n/a",LOWER(TRIM($AQ335))&lt;&gt;"na",SUMPRODUCT(--(UPPER(TRIM($AQ$2:$AQ$518))=UPPER(TRIM($AQ335))),--(TRIM($AQ$2:$AQ$518)&lt;&gt;""),--(LOWER(TRIM($AQ$2:$AQ$518))&lt;&gt;"n/a"),--(LOWER(TRIM($AQ$2:$AQ$518))&lt;&gt;"na"))&gt;1)),"Yes","No"))</f>
        <v/>
      </c>
      <c r="F335">
        <f>IF(UPPER(TRIM($B335))&lt;&gt;"YES","", IF(OR(AND($V335&lt;&gt;"", LOWER(TRIM($V335))&lt;&gt;"n/a", LOWER(TRIM($V335))&lt;&gt;"na", SUMPRODUCT(--(UPPER(TRIM($V$2:$V$518))=UPPER(TRIM($V335))), --(UPPER(TRIM($B$2:$B$518))="YES"), --(UPPER(TRIM($G$2:$G$518)&amp;TRIM($I$2:$I$518)&amp;TRIM($J$2:$J$518))&lt;&gt;UPPER(TRIM($G335)&amp;TRIM($I335)&amp;TRIM($J335))))&gt;0), AND($W335&lt;&gt;"", LOWER(TRIM($W335))&lt;&gt;"n/a", LOWER(TRIM($W335))&lt;&gt;"na", SUMPRODUCT(--(UPPER(TRIM($W$2:$W$518))=UPPER(TRIM($W335))), --(UPPER(TRIM($B$2:$B$518))="YES"), --(UPPER(TRIM($G$2:$G$518)&amp;TRIM($I$2:$I$518)&amp;TRIM($J$2:$J$518))&lt;&gt;UPPER(TRIM($G335)&amp;TRIM($I335)&amp;TRIM($J335))))&gt;0), AND($X335&lt;&gt;"", LOWER(TRIM($X335))&lt;&gt;"n/a", LOWER(TRIM($X335))&lt;&gt;"na", SUMPRODUCT(--(UPPER(TRIM($X$2:$X$518))=UPPER(TRIM($X335))), --(UPPER(TRIM($B$2:$B$518))="YES"), --(UPPER(TRIM($G$2:$G$518)&amp;TRIM($I$2:$I$518)&amp;TRIM($J$2:$J$518))&lt;&gt;UPPER(TRIM($G335)&amp;TRIM($I335)&amp;TRIM($J335))))&gt;0), AND($Y335&lt;&gt;"", LOWER(TRIM($Y335))&lt;&gt;"n/a", LOWER(TRIM($Y335))&lt;&gt;"na", SUMPRODUCT(--(UPPER(SUBSTITUTE(SUBSTITUTE(TRIM($Y$2:$Y$518),":",""),"-",""))=UPPER(SUBSTITUTE(SUBSTITUTE(TRIM($Y335),":",""),"-",""))), --(UPPER(TRIM($B$2:$B$518))="YES"), --(UPPER(TRIM($G$2:$G$518)&amp;TRIM($I$2:$I$518)&amp;TRIM($J$2:$J$518))&lt;&gt;UPPER(TRIM($G335)&amp;TRIM($I335)&amp;TRIM($J335))))&gt;0), AND($AB335&lt;&gt;"", LOWER(TRIM($AB335))&lt;&gt;"n/a", LOWER(TRIM($AB335))&lt;&gt;"na", SUMPRODUCT(--(UPPER(TRIM($AB$2:$AB$518))=UPPER(TRIM($AB335))), --(UPPER(TRIM($B$2:$B$518))="YES"), --(UPPER(TRIM($G$2:$G$518)&amp;TRIM($I$2:$I$518)&amp;TRIM($J$2:$J$518))&lt;&gt;UPPER(TRIM($G335)&amp;TRIM($I335)&amp;TRIM($J335))))&gt;0), AND($AH335&lt;&gt;"", LOWER(TRIM($AH335))&lt;&gt;"n/a", LOWER(TRIM($AH335))&lt;&gt;"na", SUMPRODUCT(--(UPPER(SUBSTITUTE(SUBSTITUTE(TRIM($AH$2:$AH$518),":",""),"-",""))=UPPER(SUBSTITUTE(SUBSTITUTE(TRIM($AH335),":",""),"-",""))), --(UPPER(TRIM($B$2:$B$518))="YES"), --(UPPER(TRIM($G$2:$G$518)&amp;TRIM($I$2:$I$518)&amp;TRIM($J$2:$J$518))&lt;&gt;UPPER(TRIM($G335)&amp;TRIM($I335)&amp;TRIM($J335))))&gt;0), AND($AP335&lt;&gt;"", LOWER(TRIM($AP335))&lt;&gt;"n/a", LOWER(TRIM($AP335))&lt;&gt;"na", SUMPRODUCT(--(UPPER(TRIM($AP$2:$AP$518))=UPPER(TRIM($AP335))), --(UPPER(TRIM($B$2:$B$518))="YES"), --(UPPER(TRIM($G$2:$G$518)&amp;TRIM($I$2:$I$518)&amp;TRIM($J$2:$J$518))&lt;&gt;UPPER(TRIM($G335)&amp;TRIM($I335)&amp;TRIM($J335))))&gt;0), AND($AQ335&lt;&gt;"", LOWER(TRIM($AQ335))&lt;&gt;"n/a", LOWER(TRIM($AQ335))&lt;&gt;"na", SUMPRODUCT(--(UPPER(TRIM($AQ$2:$AQ$518))=UPPER(TRIM($AQ335))), --(UPPER(TRIM($B$2:$B$518))="YES"), --(UPPER(TRIM($G$2:$G$518)&amp;TRIM($I$2:$I$518)&amp;TRIM($J$2:$J$518))&lt;&gt;UPPER(TRIM($G335)&amp;TRIM($I335)&amp;TRIM($J335))))&gt;0)), "Yes", "No"))</f>
        <v/>
      </c>
      <c r="G335" t="inlineStr">
        <is>
          <t>1 Marcus</t>
        </is>
      </c>
      <c r="H335" t="inlineStr">
        <is>
          <t>NSUH - VAR</t>
        </is>
      </c>
      <c r="V335" t="inlineStr">
        <is>
          <t>WMH300OPR431</t>
        </is>
      </c>
      <c r="W335" t="inlineStr">
        <is>
          <t>MEDNM24G25-0446</t>
        </is>
      </c>
      <c r="CD335">
        <f>IF($Y335="","",IF((IF(AND($BR335&lt;&gt;"Yes",$BR335&lt;&gt;"N/A"),"Power Cable, ","")&amp;IF(AND($BS335&lt;&gt;"Yes",$BS335&lt;&gt;"N/A"),"Battery, ","")&amp;IF(AND($AD335&lt;&gt;"Yes",$AD335&lt;&gt;"N/A"),"Firmware Download, ","")&amp;IF(AND(OR($AD335="Yes",$AD335="N/A"),$AE335&lt;&gt;"Yes",$AE335&lt;&gt;"N/A"),"Firmware Install, ","")&amp;IF(AND($CB335&lt;&gt;"Yes",$CB335&lt;&gt;"N/A"),"Device ID, ","")&amp;IF(AND($CC335&lt;&gt;"Yes",$CC335&lt;&gt;"N/A"),"Epic Beans Relay, ",""))="","",LEFT(IF(AND($BR335&lt;&gt;"Yes",$BR335&lt;&gt;"N/A"),"Power Cable, ","")&amp;IF(AND($BS335&lt;&gt;"Yes",$BS335&lt;&gt;"N/A"),"Battery, ","")&amp;IF(AND($AD335&lt;&gt;"Yes",$AD335&lt;&gt;"N/A"),"Firmware Download, ","")&amp;IF(AND(OR($AD335="Yes",$AD335="N/A"),$AE335&lt;&gt;"Yes",$AE335&lt;&gt;"N/A"),"Firmware Install, ","")&amp;IF(AND($CB335&lt;&gt;"Yes",$CB335&lt;&gt;"N/A"),"Device ID, ","")&amp;IF(AND($CC335&lt;&gt;"Yes",$CC335&lt;&gt;"N/A"),"Epic Beans Relay, ",""),LEN(IF(AND($BR335&lt;&gt;"Yes",$BR335&lt;&gt;"N/A"),"Power Cable, ","")&amp;IF(AND($BS335&lt;&gt;"Yes",$BS335&lt;&gt;"N/A"),"Battery, ","")&amp;IF(AND($AD335&lt;&gt;"Yes",$AD335&lt;&gt;"N/A"),"Firmware Download, ","")&amp;IF(AND(OR($AD335="Yes",$AD335="N/A"),$AE335&lt;&gt;"Yes",$AE335&lt;&gt;"N/A"),"Firmware Install, ","")&amp;IF(AND($CB335&lt;&gt;"Yes",$CB335&lt;&gt;"N/A"),"Device ID, ","")&amp;IF(AND($CC335&lt;&gt;"Yes",$CC335&lt;&gt;"N/A"),"Epic Beans Relay, ",""))-2)))</f>
        <v/>
      </c>
      <c r="CE335">
        <f>IF($Y335="","",IF($CD335="","Yes","Blocked"))</f>
        <v/>
      </c>
      <c r="CP335">
        <f>IF($CO335="","",IFERROR(VLOOKUP($CO335,'01_Warehouse_Ledger'!$A:$N,4,FALSE),""))</f>
        <v/>
      </c>
      <c r="CQ335">
        <f>IF($CO335="","",IFERROR(VLOOKUP($CO335,'01_Warehouse_Ledger'!$A:$N,5,FALSE),""))</f>
        <v/>
      </c>
      <c r="CR335">
        <f>IF($CO335="","",IFERROR(VLOOKUP($CO335,'01_Warehouse_Ledger'!$A:$N,13,FALSE),""))</f>
        <v/>
      </c>
      <c r="CW335">
        <f>IF($S335="","",IF(UPPER(TRIM($S335))&lt;&gt;"PASS","",IF(LEN(TRIM($BY335))&gt;0,"NOTES_PRESENT",IF(LEN(TRIM($T335))=0,"SET_NA",IF(OR(LOWER(TRIM($T335))="na",LOWER(TRIM($T335))="n/a"),"OK","MANUAL_OVERRIDE")))))</f>
        <v/>
      </c>
    </row>
    <row r="336">
      <c r="A336" t="inlineStr">
        <is>
          <t>Cybernet</t>
        </is>
      </c>
      <c r="B336" t="inlineStr">
        <is>
          <t>No</t>
        </is>
      </c>
      <c r="C336" t="inlineStr">
        <is>
          <t>No</t>
        </is>
      </c>
      <c r="D336">
        <f>IF($B336&lt;&gt;"Yes","",IF($C336="No","Yes",IF($C336="Yes","No","")))</f>
        <v/>
      </c>
      <c r="E336">
        <f>IF($A336="","",IF(OR(AND($V337&lt;&gt;"",LOWER(TRIM($V337))&lt;&gt;"n/a",LOWER(TRIM($V337))&lt;&gt;"na",SUMPRODUCT(--(UPPER(TRIM($V$2:$V$518))=UPPER(TRIM($V337))),--(TRIM($V$2:$V$518)&lt;&gt;""),--(LOWER(TRIM($V$2:$V$518))&lt;&gt;"n/a"),--(LOWER(TRIM($V$2:$V$518))&lt;&gt;"na"))&gt;1),AND($W337&lt;&gt;"",LOWER(TRIM($W337))&lt;&gt;"n/a",LOWER(TRIM($W337))&lt;&gt;"na",SUMPRODUCT(--(UPPER(TRIM($W$2:$W$518))=UPPER(TRIM($W337))),--(TRIM($W$2:$W$518)&lt;&gt;""),--(LOWER(TRIM($W$2:$W$518))&lt;&gt;"n/a"),--(LOWER(TRIM($W$2:$W$518))&lt;&gt;"na"))&gt;1),AND($X336&lt;&gt;"",LOWER(TRIM($X336))&lt;&gt;"n/a",LOWER(TRIM($X336))&lt;&gt;"na",SUMPRODUCT(--(UPPER(TRIM($X$2:$X$518))=UPPER(TRIM($X336))),--(TRIM($X$2:$X$518)&lt;&gt;""),--(LOWER(TRIM($X$2:$X$518))&lt;&gt;"n/a"),--(LOWER(TRIM($X$2:$X$518))&lt;&gt;"na"))&gt;1),AND($Y336&lt;&gt;"",LOWER(TRIM($Y336))&lt;&gt;"n/a",LOWER(TRIM($Y336))&lt;&gt;"na",SUMPRODUCT(--(UPPER(SUBSTITUTE(SUBSTITUTE(TRIM($Y$2:$Y$518),":",""),"-",""))=UPPER(SUBSTITUTE(SUBSTITUTE(TRIM($Y336),":",""),"-",""))),--(TRIM($Y$2:$Y$518)&lt;&gt;""),--(LOWER(TRIM($Y$2:$Y$518))&lt;&gt;"n/a"),--(LOWER(TRIM($Y$2:$Y$518))&lt;&gt;"na"))&gt;1),AND($AB336&lt;&gt;"",LOWER(TRIM($AB336))&lt;&gt;"n/a",LOWER(TRIM($AB336))&lt;&gt;"na",SUMPRODUCT(--(UPPER(TRIM($AB$2:$AB$518))=UPPER(TRIM($AB336))),--(TRIM($AB$2:$AB$518)&lt;&gt;""),--(LOWER(TRIM($AB$2:$AB$518))&lt;&gt;"n/a"),--(LOWER(TRIM($AB$2:$AB$518))&lt;&gt;"na"))&gt;1),AND($AH336&lt;&gt;"",LOWER(TRIM($AH336))&lt;&gt;"n/a",LOWER(TRIM($AH336))&lt;&gt;"na",SUMPRODUCT(--(UPPER(SUBSTITUTE(SUBSTITUTE(TRIM($AH$2:$AH$518),":",""),"-",""))=UPPER(SUBSTITUTE(SUBSTITUTE(TRIM($AH336),":",""),"-",""))),--(TRIM($AH$2:$AH$518)&lt;&gt;""),--(LOWER(TRIM($AH$2:$AH$518))&lt;&gt;"n/a"),--(LOWER(TRIM($AH$2:$AH$518))&lt;&gt;"na"))&gt;1),AND($AP336&lt;&gt;"",LOWER(TRIM($AP336))&lt;&gt;"n/a",LOWER(TRIM($AP336))&lt;&gt;"na",SUMPRODUCT(--(UPPER(TRIM($AP$2:$AP$518))=UPPER(TRIM($AP336))),--(TRIM($AP$2:$AP$518)&lt;&gt;""),--(LOWER(TRIM($AP$2:$AP$518))&lt;&gt;"n/a"),--(LOWER(TRIM($AP$2:$AP$518))&lt;&gt;"na"))&gt;1),AND($AQ336&lt;&gt;"",LOWER(TRIM($AQ336))&lt;&gt;"n/a",LOWER(TRIM($AQ336))&lt;&gt;"na",SUMPRODUCT(--(UPPER(TRIM($AQ$2:$AQ$518))=UPPER(TRIM($AQ336))),--(TRIM($AQ$2:$AQ$518)&lt;&gt;""),--(LOWER(TRIM($AQ$2:$AQ$518))&lt;&gt;"n/a"),--(LOWER(TRIM($AQ$2:$AQ$518))&lt;&gt;"na"))&gt;1)),"Yes","No"))</f>
        <v/>
      </c>
      <c r="F336">
        <f>IF(UPPER(TRIM($B336))&lt;&gt;"YES","", IF(OR(AND($V336&lt;&gt;"", LOWER(TRIM($V336))&lt;&gt;"n/a", LOWER(TRIM($V336))&lt;&gt;"na", SUMPRODUCT(--(UPPER(TRIM($V$2:$V$518))=UPPER(TRIM($V336))), --(UPPER(TRIM($B$2:$B$518))="YES"), --(UPPER(TRIM($G$2:$G$518)&amp;TRIM($I$2:$I$518)&amp;TRIM($J$2:$J$518))&lt;&gt;UPPER(TRIM($G336)&amp;TRIM($I336)&amp;TRIM($J336))))&gt;0), AND($W336&lt;&gt;"", LOWER(TRIM($W336))&lt;&gt;"n/a", LOWER(TRIM($W336))&lt;&gt;"na", SUMPRODUCT(--(UPPER(TRIM($W$2:$W$518))=UPPER(TRIM($W336))), --(UPPER(TRIM($B$2:$B$518))="YES"), --(UPPER(TRIM($G$2:$G$518)&amp;TRIM($I$2:$I$518)&amp;TRIM($J$2:$J$518))&lt;&gt;UPPER(TRIM($G336)&amp;TRIM($I336)&amp;TRIM($J336))))&gt;0), AND($X336&lt;&gt;"", LOWER(TRIM($X336))&lt;&gt;"n/a", LOWER(TRIM($X336))&lt;&gt;"na", SUMPRODUCT(--(UPPER(TRIM($X$2:$X$518))=UPPER(TRIM($X336))), --(UPPER(TRIM($B$2:$B$518))="YES"), --(UPPER(TRIM($G$2:$G$518)&amp;TRIM($I$2:$I$518)&amp;TRIM($J$2:$J$518))&lt;&gt;UPPER(TRIM($G336)&amp;TRIM($I336)&amp;TRIM($J336))))&gt;0), AND($Y336&lt;&gt;"", LOWER(TRIM($Y336))&lt;&gt;"n/a", LOWER(TRIM($Y336))&lt;&gt;"na", SUMPRODUCT(--(UPPER(SUBSTITUTE(SUBSTITUTE(TRIM($Y$2:$Y$518),":",""),"-",""))=UPPER(SUBSTITUTE(SUBSTITUTE(TRIM($Y336),":",""),"-",""))), --(UPPER(TRIM($B$2:$B$518))="YES"), --(UPPER(TRIM($G$2:$G$518)&amp;TRIM($I$2:$I$518)&amp;TRIM($J$2:$J$518))&lt;&gt;UPPER(TRIM($G336)&amp;TRIM($I336)&amp;TRIM($J336))))&gt;0), AND($AB336&lt;&gt;"", LOWER(TRIM($AB336))&lt;&gt;"n/a", LOWER(TRIM($AB336))&lt;&gt;"na", SUMPRODUCT(--(UPPER(TRIM($AB$2:$AB$518))=UPPER(TRIM($AB336))), --(UPPER(TRIM($B$2:$B$518))="YES"), --(UPPER(TRIM($G$2:$G$518)&amp;TRIM($I$2:$I$518)&amp;TRIM($J$2:$J$518))&lt;&gt;UPPER(TRIM($G336)&amp;TRIM($I336)&amp;TRIM($J336))))&gt;0), AND($AH336&lt;&gt;"", LOWER(TRIM($AH336))&lt;&gt;"n/a", LOWER(TRIM($AH336))&lt;&gt;"na", SUMPRODUCT(--(UPPER(SUBSTITUTE(SUBSTITUTE(TRIM($AH$2:$AH$518),":",""),"-",""))=UPPER(SUBSTITUTE(SUBSTITUTE(TRIM($AH336),":",""),"-",""))), --(UPPER(TRIM($B$2:$B$518))="YES"), --(UPPER(TRIM($G$2:$G$518)&amp;TRIM($I$2:$I$518)&amp;TRIM($J$2:$J$518))&lt;&gt;UPPER(TRIM($G336)&amp;TRIM($I336)&amp;TRIM($J336))))&gt;0), AND($AP336&lt;&gt;"", LOWER(TRIM($AP336))&lt;&gt;"n/a", LOWER(TRIM($AP336))&lt;&gt;"na", SUMPRODUCT(--(UPPER(TRIM($AP$2:$AP$518))=UPPER(TRIM($AP336))), --(UPPER(TRIM($B$2:$B$518))="YES"), --(UPPER(TRIM($G$2:$G$518)&amp;TRIM($I$2:$I$518)&amp;TRIM($J$2:$J$518))&lt;&gt;UPPER(TRIM($G336)&amp;TRIM($I336)&amp;TRIM($J336))))&gt;0), AND($AQ336&lt;&gt;"", LOWER(TRIM($AQ336))&lt;&gt;"n/a", LOWER(TRIM($AQ336))&lt;&gt;"na", SUMPRODUCT(--(UPPER(TRIM($AQ$2:$AQ$518))=UPPER(TRIM($AQ336))), --(UPPER(TRIM($B$2:$B$518))="YES"), --(UPPER(TRIM($G$2:$G$518)&amp;TRIM($I$2:$I$518)&amp;TRIM($J$2:$J$518))&lt;&gt;UPPER(TRIM($G336)&amp;TRIM($I336)&amp;TRIM($J336))))&gt;0)), "Yes", "No"))</f>
        <v/>
      </c>
      <c r="G336" t="inlineStr">
        <is>
          <t>1 Marcus</t>
        </is>
      </c>
      <c r="H336" t="inlineStr">
        <is>
          <t>NSUH - VAR</t>
        </is>
      </c>
      <c r="V336" t="inlineStr">
        <is>
          <t>WMH300OPR432</t>
        </is>
      </c>
      <c r="W336" t="inlineStr">
        <is>
          <t>MEDNM24G25-0517</t>
        </is>
      </c>
      <c r="CD336">
        <f>IF($Y336="","",IF((IF(AND($BR336&lt;&gt;"Yes",$BR336&lt;&gt;"N/A"),"Power Cable, ","")&amp;IF(AND($BS336&lt;&gt;"Yes",$BS336&lt;&gt;"N/A"),"Battery, ","")&amp;IF(AND($AD336&lt;&gt;"Yes",$AD336&lt;&gt;"N/A"),"Firmware Download, ","")&amp;IF(AND(OR($AD336="Yes",$AD336="N/A"),$AE336&lt;&gt;"Yes",$AE336&lt;&gt;"N/A"),"Firmware Install, ","")&amp;IF(AND($CB336&lt;&gt;"Yes",$CB336&lt;&gt;"N/A"),"Device ID, ","")&amp;IF(AND($CC336&lt;&gt;"Yes",$CC336&lt;&gt;"N/A"),"Epic Beans Relay, ",""))="","",LEFT(IF(AND($BR336&lt;&gt;"Yes",$BR336&lt;&gt;"N/A"),"Power Cable, ","")&amp;IF(AND($BS336&lt;&gt;"Yes",$BS336&lt;&gt;"N/A"),"Battery, ","")&amp;IF(AND($AD336&lt;&gt;"Yes",$AD336&lt;&gt;"N/A"),"Firmware Download, ","")&amp;IF(AND(OR($AD336="Yes",$AD336="N/A"),$AE336&lt;&gt;"Yes",$AE336&lt;&gt;"N/A"),"Firmware Install, ","")&amp;IF(AND($CB336&lt;&gt;"Yes",$CB336&lt;&gt;"N/A"),"Device ID, ","")&amp;IF(AND($CC336&lt;&gt;"Yes",$CC336&lt;&gt;"N/A"),"Epic Beans Relay, ",""),LEN(IF(AND($BR336&lt;&gt;"Yes",$BR336&lt;&gt;"N/A"),"Power Cable, ","")&amp;IF(AND($BS336&lt;&gt;"Yes",$BS336&lt;&gt;"N/A"),"Battery, ","")&amp;IF(AND($AD336&lt;&gt;"Yes",$AD336&lt;&gt;"N/A"),"Firmware Download, ","")&amp;IF(AND(OR($AD336="Yes",$AD336="N/A"),$AE336&lt;&gt;"Yes",$AE336&lt;&gt;"N/A"),"Firmware Install, ","")&amp;IF(AND($CB336&lt;&gt;"Yes",$CB336&lt;&gt;"N/A"),"Device ID, ","")&amp;IF(AND($CC336&lt;&gt;"Yes",$CC336&lt;&gt;"N/A"),"Epic Beans Relay, ",""))-2)))</f>
        <v/>
      </c>
      <c r="CE336">
        <f>IF($Y336="","",IF($CD336="","Yes","Blocked"))</f>
        <v/>
      </c>
      <c r="CP336">
        <f>IF($CO336="","",IFERROR(VLOOKUP($CO336,'01_Warehouse_Ledger'!$A:$N,4,FALSE),""))</f>
        <v/>
      </c>
      <c r="CQ336">
        <f>IF($CO336="","",IFERROR(VLOOKUP($CO336,'01_Warehouse_Ledger'!$A:$N,5,FALSE),""))</f>
        <v/>
      </c>
      <c r="CR336">
        <f>IF($CO336="","",IFERROR(VLOOKUP($CO336,'01_Warehouse_Ledger'!$A:$N,13,FALSE),""))</f>
        <v/>
      </c>
      <c r="CW336">
        <f>IF($S336="","",IF(UPPER(TRIM($S336))&lt;&gt;"PASS","",IF(LEN(TRIM($BY336))&gt;0,"NOTES_PRESENT",IF(LEN(TRIM($T336))=0,"SET_NA",IF(OR(LOWER(TRIM($T336))="na",LOWER(TRIM($T336))="n/a"),"OK","MANUAL_OVERRIDE")))))</f>
        <v/>
      </c>
    </row>
    <row r="337">
      <c r="A337" t="inlineStr">
        <is>
          <t>Cybernet</t>
        </is>
      </c>
      <c r="B337" t="inlineStr">
        <is>
          <t>No</t>
        </is>
      </c>
      <c r="C337" t="inlineStr">
        <is>
          <t>No</t>
        </is>
      </c>
      <c r="D337">
        <f>IF($B337&lt;&gt;"Yes","",IF($C337="No","Yes",IF($C337="Yes","No","")))</f>
        <v/>
      </c>
      <c r="E337">
        <f>IF($A337="","",IF(OR(AND($V344&lt;&gt;"",LOWER(TRIM($V344))&lt;&gt;"n/a",LOWER(TRIM($V344))&lt;&gt;"na",SUMPRODUCT(--(UPPER(TRIM($V$2:$V$518))=UPPER(TRIM($V344))),--(TRIM($V$2:$V$518)&lt;&gt;""),--(LOWER(TRIM($V$2:$V$518))&lt;&gt;"n/a"),--(LOWER(TRIM($V$2:$V$518))&lt;&gt;"na"))&gt;1),AND($W344&lt;&gt;"",LOWER(TRIM($W344))&lt;&gt;"n/a",LOWER(TRIM($W344))&lt;&gt;"na",SUMPRODUCT(--(UPPER(TRIM($W$2:$W$518))=UPPER(TRIM($W344))),--(TRIM($W$2:$W$518)&lt;&gt;""),--(LOWER(TRIM($W$2:$W$518))&lt;&gt;"n/a"),--(LOWER(TRIM($W$2:$W$518))&lt;&gt;"na"))&gt;1),AND($X337&lt;&gt;"",LOWER(TRIM($X337))&lt;&gt;"n/a",LOWER(TRIM($X337))&lt;&gt;"na",SUMPRODUCT(--(UPPER(TRIM($X$2:$X$518))=UPPER(TRIM($X337))),--(TRIM($X$2:$X$518)&lt;&gt;""),--(LOWER(TRIM($X$2:$X$518))&lt;&gt;"n/a"),--(LOWER(TRIM($X$2:$X$518))&lt;&gt;"na"))&gt;1),AND($Y337&lt;&gt;"",LOWER(TRIM($Y337))&lt;&gt;"n/a",LOWER(TRIM($Y337))&lt;&gt;"na",SUMPRODUCT(--(UPPER(SUBSTITUTE(SUBSTITUTE(TRIM($Y$2:$Y$518),":",""),"-",""))=UPPER(SUBSTITUTE(SUBSTITUTE(TRIM($Y337),":",""),"-",""))),--(TRIM($Y$2:$Y$518)&lt;&gt;""),--(LOWER(TRIM($Y$2:$Y$518))&lt;&gt;"n/a"),--(LOWER(TRIM($Y$2:$Y$518))&lt;&gt;"na"))&gt;1),AND($AB337&lt;&gt;"",LOWER(TRIM($AB337))&lt;&gt;"n/a",LOWER(TRIM($AB337))&lt;&gt;"na",SUMPRODUCT(--(UPPER(TRIM($AB$2:$AB$518))=UPPER(TRIM($AB337))),--(TRIM($AB$2:$AB$518)&lt;&gt;""),--(LOWER(TRIM($AB$2:$AB$518))&lt;&gt;"n/a"),--(LOWER(TRIM($AB$2:$AB$518))&lt;&gt;"na"))&gt;1),AND($AH337&lt;&gt;"",LOWER(TRIM($AH337))&lt;&gt;"n/a",LOWER(TRIM($AH337))&lt;&gt;"na",SUMPRODUCT(--(UPPER(SUBSTITUTE(SUBSTITUTE(TRIM($AH$2:$AH$518),":",""),"-",""))=UPPER(SUBSTITUTE(SUBSTITUTE(TRIM($AH337),":",""),"-",""))),--(TRIM($AH$2:$AH$518)&lt;&gt;""),--(LOWER(TRIM($AH$2:$AH$518))&lt;&gt;"n/a"),--(LOWER(TRIM($AH$2:$AH$518))&lt;&gt;"na"))&gt;1),AND($AP337&lt;&gt;"",LOWER(TRIM($AP337))&lt;&gt;"n/a",LOWER(TRIM($AP337))&lt;&gt;"na",SUMPRODUCT(--(UPPER(TRIM($AP$2:$AP$518))=UPPER(TRIM($AP337))),--(TRIM($AP$2:$AP$518)&lt;&gt;""),--(LOWER(TRIM($AP$2:$AP$518))&lt;&gt;"n/a"),--(LOWER(TRIM($AP$2:$AP$518))&lt;&gt;"na"))&gt;1),AND($AQ337&lt;&gt;"",LOWER(TRIM($AQ337))&lt;&gt;"n/a",LOWER(TRIM($AQ337))&lt;&gt;"na",SUMPRODUCT(--(UPPER(TRIM($AQ$2:$AQ$518))=UPPER(TRIM($AQ337))),--(TRIM($AQ$2:$AQ$518)&lt;&gt;""),--(LOWER(TRIM($AQ$2:$AQ$518))&lt;&gt;"n/a"),--(LOWER(TRIM($AQ$2:$AQ$518))&lt;&gt;"na"))&gt;1)),"Yes","No"))</f>
        <v/>
      </c>
      <c r="F337">
        <f>IF(UPPER(TRIM($B337))&lt;&gt;"YES","", IF(OR(AND($V337&lt;&gt;"", LOWER(TRIM($V337))&lt;&gt;"n/a", LOWER(TRIM($V337))&lt;&gt;"na", SUMPRODUCT(--(UPPER(TRIM($V$2:$V$518))=UPPER(TRIM($V337))), --(UPPER(TRIM($B$2:$B$518))="YES"), --(UPPER(TRIM($G$2:$G$518)&amp;TRIM($I$2:$I$518)&amp;TRIM($J$2:$J$518))&lt;&gt;UPPER(TRIM($G337)&amp;TRIM($I337)&amp;TRIM($J337))))&gt;0), AND($W337&lt;&gt;"", LOWER(TRIM($W337))&lt;&gt;"n/a", LOWER(TRIM($W337))&lt;&gt;"na", SUMPRODUCT(--(UPPER(TRIM($W$2:$W$518))=UPPER(TRIM($W337))), --(UPPER(TRIM($B$2:$B$518))="YES"), --(UPPER(TRIM($G$2:$G$518)&amp;TRIM($I$2:$I$518)&amp;TRIM($J$2:$J$518))&lt;&gt;UPPER(TRIM($G337)&amp;TRIM($I337)&amp;TRIM($J337))))&gt;0), AND($X337&lt;&gt;"", LOWER(TRIM($X337))&lt;&gt;"n/a", LOWER(TRIM($X337))&lt;&gt;"na", SUMPRODUCT(--(UPPER(TRIM($X$2:$X$518))=UPPER(TRIM($X337))), --(UPPER(TRIM($B$2:$B$518))="YES"), --(UPPER(TRIM($G$2:$G$518)&amp;TRIM($I$2:$I$518)&amp;TRIM($J$2:$J$518))&lt;&gt;UPPER(TRIM($G337)&amp;TRIM($I337)&amp;TRIM($J337))))&gt;0), AND($Y337&lt;&gt;"", LOWER(TRIM($Y337))&lt;&gt;"n/a", LOWER(TRIM($Y337))&lt;&gt;"na", SUMPRODUCT(--(UPPER(SUBSTITUTE(SUBSTITUTE(TRIM($Y$2:$Y$518),":",""),"-",""))=UPPER(SUBSTITUTE(SUBSTITUTE(TRIM($Y337),":",""),"-",""))), --(UPPER(TRIM($B$2:$B$518))="YES"), --(UPPER(TRIM($G$2:$G$518)&amp;TRIM($I$2:$I$518)&amp;TRIM($J$2:$J$518))&lt;&gt;UPPER(TRIM($G337)&amp;TRIM($I337)&amp;TRIM($J337))))&gt;0), AND($AB337&lt;&gt;"", LOWER(TRIM($AB337))&lt;&gt;"n/a", LOWER(TRIM($AB337))&lt;&gt;"na", SUMPRODUCT(--(UPPER(TRIM($AB$2:$AB$518))=UPPER(TRIM($AB337))), --(UPPER(TRIM($B$2:$B$518))="YES"), --(UPPER(TRIM($G$2:$G$518)&amp;TRIM($I$2:$I$518)&amp;TRIM($J$2:$J$518))&lt;&gt;UPPER(TRIM($G337)&amp;TRIM($I337)&amp;TRIM($J337))))&gt;0), AND($AH337&lt;&gt;"", LOWER(TRIM($AH337))&lt;&gt;"n/a", LOWER(TRIM($AH337))&lt;&gt;"na", SUMPRODUCT(--(UPPER(SUBSTITUTE(SUBSTITUTE(TRIM($AH$2:$AH$518),":",""),"-",""))=UPPER(SUBSTITUTE(SUBSTITUTE(TRIM($AH337),":",""),"-",""))), --(UPPER(TRIM($B$2:$B$518))="YES"), --(UPPER(TRIM($G$2:$G$518)&amp;TRIM($I$2:$I$518)&amp;TRIM($J$2:$J$518))&lt;&gt;UPPER(TRIM($G337)&amp;TRIM($I337)&amp;TRIM($J337))))&gt;0), AND($AP337&lt;&gt;"", LOWER(TRIM($AP337))&lt;&gt;"n/a", LOWER(TRIM($AP337))&lt;&gt;"na", SUMPRODUCT(--(UPPER(TRIM($AP$2:$AP$518))=UPPER(TRIM($AP337))), --(UPPER(TRIM($B$2:$B$518))="YES"), --(UPPER(TRIM($G$2:$G$518)&amp;TRIM($I$2:$I$518)&amp;TRIM($J$2:$J$518))&lt;&gt;UPPER(TRIM($G337)&amp;TRIM($I337)&amp;TRIM($J337))))&gt;0), AND($AQ337&lt;&gt;"", LOWER(TRIM($AQ337))&lt;&gt;"n/a", LOWER(TRIM($AQ337))&lt;&gt;"na", SUMPRODUCT(--(UPPER(TRIM($AQ$2:$AQ$518))=UPPER(TRIM($AQ337))), --(UPPER(TRIM($B$2:$B$518))="YES"), --(UPPER(TRIM($G$2:$G$518)&amp;TRIM($I$2:$I$518)&amp;TRIM($J$2:$J$518))&lt;&gt;UPPER(TRIM($G337)&amp;TRIM($I337)&amp;TRIM($J337))))&gt;0)), "Yes", "No"))</f>
        <v/>
      </c>
      <c r="G337" t="inlineStr">
        <is>
          <t>1 Marcus</t>
        </is>
      </c>
      <c r="H337" t="inlineStr">
        <is>
          <t>NSUH - VAR</t>
        </is>
      </c>
      <c r="V337" t="inlineStr">
        <is>
          <t>WMH300OPR433</t>
        </is>
      </c>
      <c r="W337" t="inlineStr">
        <is>
          <t>MEDNM24G25-0526</t>
        </is>
      </c>
      <c r="CD337">
        <f>IF($Y337="","",IF((IF(AND($BR337&lt;&gt;"Yes",$BR337&lt;&gt;"N/A"),"Power Cable, ","")&amp;IF(AND($BS337&lt;&gt;"Yes",$BS337&lt;&gt;"N/A"),"Battery, ","")&amp;IF(AND($AD337&lt;&gt;"Yes",$AD337&lt;&gt;"N/A"),"Firmware Download, ","")&amp;IF(AND(OR($AD337="Yes",$AD337="N/A"),$AE337&lt;&gt;"Yes",$AE337&lt;&gt;"N/A"),"Firmware Install, ","")&amp;IF(AND($CB337&lt;&gt;"Yes",$CB337&lt;&gt;"N/A"),"Device ID, ","")&amp;IF(AND($CC337&lt;&gt;"Yes",$CC337&lt;&gt;"N/A"),"Epic Beans Relay, ",""))="","",LEFT(IF(AND($BR337&lt;&gt;"Yes",$BR337&lt;&gt;"N/A"),"Power Cable, ","")&amp;IF(AND($BS337&lt;&gt;"Yes",$BS337&lt;&gt;"N/A"),"Battery, ","")&amp;IF(AND($AD337&lt;&gt;"Yes",$AD337&lt;&gt;"N/A"),"Firmware Download, ","")&amp;IF(AND(OR($AD337="Yes",$AD337="N/A"),$AE337&lt;&gt;"Yes",$AE337&lt;&gt;"N/A"),"Firmware Install, ","")&amp;IF(AND($CB337&lt;&gt;"Yes",$CB337&lt;&gt;"N/A"),"Device ID, ","")&amp;IF(AND($CC337&lt;&gt;"Yes",$CC337&lt;&gt;"N/A"),"Epic Beans Relay, ",""),LEN(IF(AND($BR337&lt;&gt;"Yes",$BR337&lt;&gt;"N/A"),"Power Cable, ","")&amp;IF(AND($BS337&lt;&gt;"Yes",$BS337&lt;&gt;"N/A"),"Battery, ","")&amp;IF(AND($AD337&lt;&gt;"Yes",$AD337&lt;&gt;"N/A"),"Firmware Download, ","")&amp;IF(AND(OR($AD337="Yes",$AD337="N/A"),$AE337&lt;&gt;"Yes",$AE337&lt;&gt;"N/A"),"Firmware Install, ","")&amp;IF(AND($CB337&lt;&gt;"Yes",$CB337&lt;&gt;"N/A"),"Device ID, ","")&amp;IF(AND($CC337&lt;&gt;"Yes",$CC337&lt;&gt;"N/A"),"Epic Beans Relay, ",""))-2)))</f>
        <v/>
      </c>
      <c r="CE337">
        <f>IF($Y337="","",IF($CD337="","Yes","Blocked"))</f>
        <v/>
      </c>
      <c r="CP337">
        <f>IF($CO337="","",IFERROR(VLOOKUP($CO337,'01_Warehouse_Ledger'!$A:$N,4,FALSE),""))</f>
        <v/>
      </c>
      <c r="CQ337">
        <f>IF($CO337="","",IFERROR(VLOOKUP($CO337,'01_Warehouse_Ledger'!$A:$N,5,FALSE),""))</f>
        <v/>
      </c>
      <c r="CR337">
        <f>IF($CO337="","",IFERROR(VLOOKUP($CO337,'01_Warehouse_Ledger'!$A:$N,13,FALSE),""))</f>
        <v/>
      </c>
      <c r="CW337">
        <f>IF($S337="","",IF(UPPER(TRIM($S337))&lt;&gt;"PASS","",IF(LEN(TRIM($BY337))&gt;0,"NOTES_PRESENT",IF(LEN(TRIM($T337))=0,"SET_NA",IF(OR(LOWER(TRIM($T337))="na",LOWER(TRIM($T337))="n/a"),"OK","MANUAL_OVERRIDE")))))</f>
        <v/>
      </c>
    </row>
    <row r="338">
      <c r="A338" t="inlineStr">
        <is>
          <t>Cybernet</t>
        </is>
      </c>
      <c r="B338" t="inlineStr">
        <is>
          <t>No</t>
        </is>
      </c>
      <c r="C338" t="inlineStr">
        <is>
          <t>No</t>
        </is>
      </c>
      <c r="D338">
        <f>IF($B338&lt;&gt;"Yes","",IF($C338="No","Yes",IF($C338="Yes","No","")))</f>
        <v/>
      </c>
      <c r="E338">
        <f>IF($A338="","",IF(OR(AND($V338&lt;&gt;"",LOWER(TRIM($V338))&lt;&gt;"n/a",LOWER(TRIM($V338))&lt;&gt;"na",SUMPRODUCT(--(UPPER(TRIM($V$2:$V$518))=UPPER(TRIM($V338))),--(TRIM($V$2:$V$518)&lt;&gt;""),--(LOWER(TRIM($V$2:$V$518))&lt;&gt;"n/a"),--(LOWER(TRIM($V$2:$V$518))&lt;&gt;"na"))&gt;1),AND($W338&lt;&gt;"",LOWER(TRIM($W338))&lt;&gt;"n/a",LOWER(TRIM($W338))&lt;&gt;"na",SUMPRODUCT(--(UPPER(TRIM($W$2:$W$518))=UPPER(TRIM($W338))),--(TRIM($W$2:$W$518)&lt;&gt;""),--(LOWER(TRIM($W$2:$W$518))&lt;&gt;"n/a"),--(LOWER(TRIM($W$2:$W$518))&lt;&gt;"na"))&gt;1),AND(#REF!&lt;&gt;"",LOWER(TRIM(#REF!))&lt;&gt;"n/a",LOWER(TRIM(#REF!))&lt;&gt;"na",SUMPRODUCT(--(UPPER(TRIM($X$2:$X$518))=UPPER(TRIM(#REF!))),--(TRIM($X$2:$X$518)&lt;&gt;""),--(LOWER(TRIM($X$2:$X$518))&lt;&gt;"n/a"),--(LOWER(TRIM($X$2:$X$518))&lt;&gt;"na"))&gt;1),AND(#REF!&lt;&gt;"",LOWER(TRIM(#REF!))&lt;&gt;"n/a",LOWER(TRIM(#REF!))&lt;&gt;"na",SUMPRODUCT(--(UPPER(SUBSTITUTE(SUBSTITUTE(TRIM($Y$2:$Y$518),":",""),"-",""))=UPPER(SUBSTITUTE(SUBSTITUTE(TRIM(#REF!),":",""),"-",""))),--(TRIM($Y$2:$Y$518)&lt;&gt;""),--(LOWER(TRIM($Y$2:$Y$518))&lt;&gt;"n/a"),--(LOWER(TRIM($Y$2:$Y$518))&lt;&gt;"na"))&gt;1),AND($AB338&lt;&gt;"",LOWER(TRIM($AB338))&lt;&gt;"n/a",LOWER(TRIM($AB338))&lt;&gt;"na",SUMPRODUCT(--(UPPER(TRIM($AB$2:$AB$518))=UPPER(TRIM($AB338))),--(TRIM($AB$2:$AB$518)&lt;&gt;""),--(LOWER(TRIM($AB$2:$AB$518))&lt;&gt;"n/a"),--(LOWER(TRIM($AB$2:$AB$518))&lt;&gt;"na"))&gt;1),AND($AH338&lt;&gt;"",LOWER(TRIM($AH338))&lt;&gt;"n/a",LOWER(TRIM($AH338))&lt;&gt;"na",SUMPRODUCT(--(UPPER(SUBSTITUTE(SUBSTITUTE(TRIM($AH$2:$AH$518),":",""),"-",""))=UPPER(SUBSTITUTE(SUBSTITUTE(TRIM($AH338),":",""),"-",""))),--(TRIM($AH$2:$AH$518)&lt;&gt;""),--(LOWER(TRIM($AH$2:$AH$518))&lt;&gt;"n/a"),--(LOWER(TRIM($AH$2:$AH$518))&lt;&gt;"na"))&gt;1),AND($AP338&lt;&gt;"",LOWER(TRIM($AP338))&lt;&gt;"n/a",LOWER(TRIM($AP338))&lt;&gt;"na",SUMPRODUCT(--(UPPER(TRIM($AP$2:$AP$518))=UPPER(TRIM($AP338))),--(TRIM($AP$2:$AP$518)&lt;&gt;""),--(LOWER(TRIM($AP$2:$AP$518))&lt;&gt;"n/a"),--(LOWER(TRIM($AP$2:$AP$518))&lt;&gt;"na"))&gt;1),AND($AQ338&lt;&gt;"",LOWER(TRIM($AQ338))&lt;&gt;"n/a",LOWER(TRIM($AQ338))&lt;&gt;"na",SUMPRODUCT(--(UPPER(TRIM($AQ$2:$AQ$518))=UPPER(TRIM($AQ338))),--(TRIM($AQ$2:$AQ$518)&lt;&gt;""),--(LOWER(TRIM($AQ$2:$AQ$518))&lt;&gt;"n/a"),--(LOWER(TRIM($AQ$2:$AQ$518))&lt;&gt;"na"))&gt;1)),"Yes","No"))</f>
        <v/>
      </c>
      <c r="F338">
        <f>IF(UPPER(TRIM($B338))&lt;&gt;"YES","", IF(OR(AND($V338&lt;&gt;"", LOWER(TRIM($V338))&lt;&gt;"n/a", LOWER(TRIM($V338))&lt;&gt;"na", SUMPRODUCT(--(UPPER(TRIM($V$2:$V$518))=UPPER(TRIM($V338))), --(UPPER(TRIM($B$2:$B$518))="YES"), --(UPPER(TRIM($G$2:$G$518)&amp;TRIM($I$2:$I$518)&amp;TRIM($J$2:$J$518))&lt;&gt;UPPER(TRIM($G338)&amp;TRIM($I338)&amp;TRIM($J338))))&gt;0), AND($W338&lt;&gt;"", LOWER(TRIM($W338))&lt;&gt;"n/a", LOWER(TRIM($W338))&lt;&gt;"na", SUMPRODUCT(--(UPPER(TRIM($W$2:$W$518))=UPPER(TRIM($W338))), --(UPPER(TRIM($B$2:$B$518))="YES"), --(UPPER(TRIM($G$2:$G$518)&amp;TRIM($I$2:$I$518)&amp;TRIM($J$2:$J$518))&lt;&gt;UPPER(TRIM($G338)&amp;TRIM($I338)&amp;TRIM($J338))))&gt;0), AND($X338&lt;&gt;"", LOWER(TRIM($X338))&lt;&gt;"n/a", LOWER(TRIM($X338))&lt;&gt;"na", SUMPRODUCT(--(UPPER(TRIM($X$2:$X$518))=UPPER(TRIM($X338))), --(UPPER(TRIM($B$2:$B$518))="YES"), --(UPPER(TRIM($G$2:$G$518)&amp;TRIM($I$2:$I$518)&amp;TRIM($J$2:$J$518))&lt;&gt;UPPER(TRIM($G338)&amp;TRIM($I338)&amp;TRIM($J338))))&gt;0), AND($Y338&lt;&gt;"", LOWER(TRIM($Y338))&lt;&gt;"n/a", LOWER(TRIM($Y338))&lt;&gt;"na", SUMPRODUCT(--(UPPER(SUBSTITUTE(SUBSTITUTE(TRIM($Y$2:$Y$518),":",""),"-",""))=UPPER(SUBSTITUTE(SUBSTITUTE(TRIM($Y338),":",""),"-",""))), --(UPPER(TRIM($B$2:$B$518))="YES"), --(UPPER(TRIM($G$2:$G$518)&amp;TRIM($I$2:$I$518)&amp;TRIM($J$2:$J$518))&lt;&gt;UPPER(TRIM($G338)&amp;TRIM($I338)&amp;TRIM($J338))))&gt;0), AND($AB338&lt;&gt;"", LOWER(TRIM($AB338))&lt;&gt;"n/a", LOWER(TRIM($AB338))&lt;&gt;"na", SUMPRODUCT(--(UPPER(TRIM($AB$2:$AB$518))=UPPER(TRIM($AB338))), --(UPPER(TRIM($B$2:$B$518))="YES"), --(UPPER(TRIM($G$2:$G$518)&amp;TRIM($I$2:$I$518)&amp;TRIM($J$2:$J$518))&lt;&gt;UPPER(TRIM($G338)&amp;TRIM($I338)&amp;TRIM($J338))))&gt;0), AND($AH338&lt;&gt;"", LOWER(TRIM($AH338))&lt;&gt;"n/a", LOWER(TRIM($AH338))&lt;&gt;"na", SUMPRODUCT(--(UPPER(SUBSTITUTE(SUBSTITUTE(TRIM($AH$2:$AH$518),":",""),"-",""))=UPPER(SUBSTITUTE(SUBSTITUTE(TRIM($AH338),":",""),"-",""))), --(UPPER(TRIM($B$2:$B$518))="YES"), --(UPPER(TRIM($G$2:$G$518)&amp;TRIM($I$2:$I$518)&amp;TRIM($J$2:$J$518))&lt;&gt;UPPER(TRIM($G338)&amp;TRIM($I338)&amp;TRIM($J338))))&gt;0), AND($AP338&lt;&gt;"", LOWER(TRIM($AP338))&lt;&gt;"n/a", LOWER(TRIM($AP338))&lt;&gt;"na", SUMPRODUCT(--(UPPER(TRIM($AP$2:$AP$518))=UPPER(TRIM($AP338))), --(UPPER(TRIM($B$2:$B$518))="YES"), --(UPPER(TRIM($G$2:$G$518)&amp;TRIM($I$2:$I$518)&amp;TRIM($J$2:$J$518))&lt;&gt;UPPER(TRIM($G338)&amp;TRIM($I338)&amp;TRIM($J338))))&gt;0), AND($AQ338&lt;&gt;"", LOWER(TRIM($AQ338))&lt;&gt;"n/a", LOWER(TRIM($AQ338))&lt;&gt;"na", SUMPRODUCT(--(UPPER(TRIM($AQ$2:$AQ$518))=UPPER(TRIM($AQ338))), --(UPPER(TRIM($B$2:$B$518))="YES"), --(UPPER(TRIM($G$2:$G$518)&amp;TRIM($I$2:$I$518)&amp;TRIM($J$2:$J$518))&lt;&gt;UPPER(TRIM($G338)&amp;TRIM($I338)&amp;TRIM($J338))))&gt;0)), "Yes", "No"))</f>
        <v/>
      </c>
      <c r="G338" t="inlineStr">
        <is>
          <t>1 Marcus</t>
        </is>
      </c>
      <c r="H338" t="inlineStr">
        <is>
          <t>PV</t>
        </is>
      </c>
      <c r="V338" t="inlineStr">
        <is>
          <t>WPV109OPR015</t>
        </is>
      </c>
      <c r="W338" t="inlineStr">
        <is>
          <t>MEDNM24G25-0184</t>
        </is>
      </c>
      <c r="CD338">
        <f>IF(#REF!="","",IF((IF(AND($BR338&lt;&gt;"Yes",$BR338&lt;&gt;"N/A"),"Power Cable, ","")&amp;IF(AND($BS338&lt;&gt;"Yes",$BS338&lt;&gt;"N/A"),"Battery, ","")&amp;IF(AND($AD338&lt;&gt;"Yes",$AD338&lt;&gt;"N/A"),"Firmware Download, ","")&amp;IF(AND(OR($AD338="Yes",$AD338="N/A"),$AE338&lt;&gt;"Yes",$AE338&lt;&gt;"N/A"),"Firmware Install, ","")&amp;IF(AND($CB338&lt;&gt;"Yes",$CB338&lt;&gt;"N/A"),"Device ID, ","")&amp;IF(AND($CC338&lt;&gt;"Yes",$CC338&lt;&gt;"N/A"),"Epic Beans Relay, ",""))="","",LEFT(IF(AND($BR338&lt;&gt;"Yes",$BR338&lt;&gt;"N/A"),"Power Cable, ","")&amp;IF(AND($BS338&lt;&gt;"Yes",$BS338&lt;&gt;"N/A"),"Battery, ","")&amp;IF(AND($AD338&lt;&gt;"Yes",$AD338&lt;&gt;"N/A"),"Firmware Download, ","")&amp;IF(AND(OR($AD338="Yes",$AD338="N/A"),$AE338&lt;&gt;"Yes",$AE338&lt;&gt;"N/A"),"Firmware Install, ","")&amp;IF(AND($CB338&lt;&gt;"Yes",$CB338&lt;&gt;"N/A"),"Device ID, ","")&amp;IF(AND($CC338&lt;&gt;"Yes",$CC338&lt;&gt;"N/A"),"Epic Beans Relay, ",""),LEN(IF(AND($BR338&lt;&gt;"Yes",$BR338&lt;&gt;"N/A"),"Power Cable, ","")&amp;IF(AND($BS338&lt;&gt;"Yes",$BS338&lt;&gt;"N/A"),"Battery, ","")&amp;IF(AND($AD338&lt;&gt;"Yes",$AD338&lt;&gt;"N/A"),"Firmware Download, ","")&amp;IF(AND(OR($AD338="Yes",$AD338="N/A"),$AE338&lt;&gt;"Yes",$AE338&lt;&gt;"N/A"),"Firmware Install, ","")&amp;IF(AND($CB338&lt;&gt;"Yes",$CB338&lt;&gt;"N/A"),"Device ID, ","")&amp;IF(AND($CC338&lt;&gt;"Yes",$CC338&lt;&gt;"N/A"),"Epic Beans Relay, ",""))-2)))</f>
        <v/>
      </c>
      <c r="CE338">
        <f>IF(#REF!="","",IF($CD338="","Yes","Blocked"))</f>
        <v/>
      </c>
      <c r="CP338">
        <f>IF($CO338="","",IFERROR(VLOOKUP($CO338,'01_Warehouse_Ledger'!$A:$N,4,FALSE),""))</f>
        <v/>
      </c>
      <c r="CQ338">
        <f>IF($CO338="","",IFERROR(VLOOKUP($CO338,'01_Warehouse_Ledger'!$A:$N,5,FALSE),""))</f>
        <v/>
      </c>
      <c r="CR338">
        <f>IF($CO338="","",IFERROR(VLOOKUP($CO338,'01_Warehouse_Ledger'!$A:$N,13,FALSE),""))</f>
        <v/>
      </c>
      <c r="CW338">
        <f>IF($S338="","",IF(UPPER(TRIM($S338))&lt;&gt;"PASS","",IF(LEN(TRIM($BY338))&gt;0,"NOTES_PRESENT",IF(LEN(TRIM($T338))=0,"SET_NA",IF(OR(LOWER(TRIM($T338))="na",LOWER(TRIM($T338))="n/a"),"OK","MANUAL_OVERRIDE")))))</f>
        <v/>
      </c>
    </row>
    <row r="339">
      <c r="A339" t="inlineStr">
        <is>
          <t>Cybernet</t>
        </is>
      </c>
      <c r="B339" t="inlineStr">
        <is>
          <t>No</t>
        </is>
      </c>
      <c r="C339" t="inlineStr">
        <is>
          <t>No</t>
        </is>
      </c>
      <c r="D339">
        <f>IF($B339&lt;&gt;"Yes","",IF($C339="No","Yes",IF($C339="Yes","No","")))</f>
        <v/>
      </c>
      <c r="E339">
        <f>IF($A339="","",IF(OR(AND($V339&lt;&gt;"",LOWER(TRIM($V339))&lt;&gt;"n/a",LOWER(TRIM($V339))&lt;&gt;"na",SUMPRODUCT(--(UPPER(TRIM($V$2:$V$518))=UPPER(TRIM($V339))),--(TRIM($V$2:$V$518)&lt;&gt;""),--(LOWER(TRIM($V$2:$V$518))&lt;&gt;"n/a"),--(LOWER(TRIM($V$2:$V$518))&lt;&gt;"na"))&gt;1),AND($W339&lt;&gt;"",LOWER(TRIM($W339))&lt;&gt;"n/a",LOWER(TRIM($W339))&lt;&gt;"na",SUMPRODUCT(--(UPPER(TRIM($W$2:$W$518))=UPPER(TRIM($W339))),--(TRIM($W$2:$W$518)&lt;&gt;""),--(LOWER(TRIM($W$2:$W$518))&lt;&gt;"n/a"),--(LOWER(TRIM($W$2:$W$518))&lt;&gt;"na"))&gt;1),AND($X339&lt;&gt;"",LOWER(TRIM($X339))&lt;&gt;"n/a",LOWER(TRIM($X339))&lt;&gt;"na",SUMPRODUCT(--(UPPER(TRIM($X$2:$X$518))=UPPER(TRIM($X339))),--(TRIM($X$2:$X$518)&lt;&gt;""),--(LOWER(TRIM($X$2:$X$518))&lt;&gt;"n/a"),--(LOWER(TRIM($X$2:$X$518))&lt;&gt;"na"))&gt;1),AND($Y339&lt;&gt;"",LOWER(TRIM($Y339))&lt;&gt;"n/a",LOWER(TRIM($Y339))&lt;&gt;"na",SUMPRODUCT(--(UPPER(SUBSTITUTE(SUBSTITUTE(TRIM($Y$2:$Y$518),":",""),"-",""))=UPPER(SUBSTITUTE(SUBSTITUTE(TRIM($Y339),":",""),"-",""))),--(TRIM($Y$2:$Y$518)&lt;&gt;""),--(LOWER(TRIM($Y$2:$Y$518))&lt;&gt;"n/a"),--(LOWER(TRIM($Y$2:$Y$518))&lt;&gt;"na"))&gt;1),AND($AB339&lt;&gt;"",LOWER(TRIM($AB339))&lt;&gt;"n/a",LOWER(TRIM($AB339))&lt;&gt;"na",SUMPRODUCT(--(UPPER(TRIM($AB$2:$AB$518))=UPPER(TRIM($AB339))),--(TRIM($AB$2:$AB$518)&lt;&gt;""),--(LOWER(TRIM($AB$2:$AB$518))&lt;&gt;"n/a"),--(LOWER(TRIM($AB$2:$AB$518))&lt;&gt;"na"))&gt;1),AND($AH339&lt;&gt;"",LOWER(TRIM($AH339))&lt;&gt;"n/a",LOWER(TRIM($AH339))&lt;&gt;"na",SUMPRODUCT(--(UPPER(SUBSTITUTE(SUBSTITUTE(TRIM($AH$2:$AH$518),":",""),"-",""))=UPPER(SUBSTITUTE(SUBSTITUTE(TRIM($AH339),":",""),"-",""))),--(TRIM($AH$2:$AH$518)&lt;&gt;""),--(LOWER(TRIM($AH$2:$AH$518))&lt;&gt;"n/a"),--(LOWER(TRIM($AH$2:$AH$518))&lt;&gt;"na"))&gt;1),AND($AP339&lt;&gt;"",LOWER(TRIM($AP339))&lt;&gt;"n/a",LOWER(TRIM($AP339))&lt;&gt;"na",SUMPRODUCT(--(UPPER(TRIM($AP$2:$AP$518))=UPPER(TRIM($AP339))),--(TRIM($AP$2:$AP$518)&lt;&gt;""),--(LOWER(TRIM($AP$2:$AP$518))&lt;&gt;"n/a"),--(LOWER(TRIM($AP$2:$AP$518))&lt;&gt;"na"))&gt;1),AND($AQ339&lt;&gt;"",LOWER(TRIM($AQ339))&lt;&gt;"n/a",LOWER(TRIM($AQ339))&lt;&gt;"na",SUMPRODUCT(--(UPPER(TRIM($AQ$2:$AQ$518))=UPPER(TRIM($AQ339))),--(TRIM($AQ$2:$AQ$518)&lt;&gt;""),--(LOWER(TRIM($AQ$2:$AQ$518))&lt;&gt;"n/a"),--(LOWER(TRIM($AQ$2:$AQ$518))&lt;&gt;"na"))&gt;1)),"Yes","No"))</f>
        <v/>
      </c>
      <c r="F339">
        <f>IF(UPPER(TRIM($B339))&lt;&gt;"YES","", IF(OR(AND($V339&lt;&gt;"", LOWER(TRIM($V339))&lt;&gt;"n/a", LOWER(TRIM($V339))&lt;&gt;"na", SUMPRODUCT(--(UPPER(TRIM($V$2:$V$518))=UPPER(TRIM($V339))), --(UPPER(TRIM($B$2:$B$518))="YES"), --(UPPER(TRIM($G$2:$G$518)&amp;TRIM($I$2:$I$518)&amp;TRIM($J$2:$J$518))&lt;&gt;UPPER(TRIM($G339)&amp;TRIM($I339)&amp;TRIM($J339))))&gt;0), AND($W339&lt;&gt;"", LOWER(TRIM($W339))&lt;&gt;"n/a", LOWER(TRIM($W339))&lt;&gt;"na", SUMPRODUCT(--(UPPER(TRIM($W$2:$W$518))=UPPER(TRIM($W339))), --(UPPER(TRIM($B$2:$B$518))="YES"), --(UPPER(TRIM($G$2:$G$518)&amp;TRIM($I$2:$I$518)&amp;TRIM($J$2:$J$518))&lt;&gt;UPPER(TRIM($G339)&amp;TRIM($I339)&amp;TRIM($J339))))&gt;0), AND($X339&lt;&gt;"", LOWER(TRIM($X339))&lt;&gt;"n/a", LOWER(TRIM($X339))&lt;&gt;"na", SUMPRODUCT(--(UPPER(TRIM($X$2:$X$518))=UPPER(TRIM($X339))), --(UPPER(TRIM($B$2:$B$518))="YES"), --(UPPER(TRIM($G$2:$G$518)&amp;TRIM($I$2:$I$518)&amp;TRIM($J$2:$J$518))&lt;&gt;UPPER(TRIM($G339)&amp;TRIM($I339)&amp;TRIM($J339))))&gt;0), AND($Y339&lt;&gt;"", LOWER(TRIM($Y339))&lt;&gt;"n/a", LOWER(TRIM($Y339))&lt;&gt;"na", SUMPRODUCT(--(UPPER(SUBSTITUTE(SUBSTITUTE(TRIM($Y$2:$Y$518),":",""),"-",""))=UPPER(SUBSTITUTE(SUBSTITUTE(TRIM($Y339),":",""),"-",""))), --(UPPER(TRIM($B$2:$B$518))="YES"), --(UPPER(TRIM($G$2:$G$518)&amp;TRIM($I$2:$I$518)&amp;TRIM($J$2:$J$518))&lt;&gt;UPPER(TRIM($G339)&amp;TRIM($I339)&amp;TRIM($J339))))&gt;0), AND($AB339&lt;&gt;"", LOWER(TRIM($AB339))&lt;&gt;"n/a", LOWER(TRIM($AB339))&lt;&gt;"na", SUMPRODUCT(--(UPPER(TRIM($AB$2:$AB$518))=UPPER(TRIM($AB339))), --(UPPER(TRIM($B$2:$B$518))="YES"), --(UPPER(TRIM($G$2:$G$518)&amp;TRIM($I$2:$I$518)&amp;TRIM($J$2:$J$518))&lt;&gt;UPPER(TRIM($G339)&amp;TRIM($I339)&amp;TRIM($J339))))&gt;0), AND($AH339&lt;&gt;"", LOWER(TRIM($AH339))&lt;&gt;"n/a", LOWER(TRIM($AH339))&lt;&gt;"na", SUMPRODUCT(--(UPPER(SUBSTITUTE(SUBSTITUTE(TRIM($AH$2:$AH$518),":",""),"-",""))=UPPER(SUBSTITUTE(SUBSTITUTE(TRIM($AH339),":",""),"-",""))), --(UPPER(TRIM($B$2:$B$518))="YES"), --(UPPER(TRIM($G$2:$G$518)&amp;TRIM($I$2:$I$518)&amp;TRIM($J$2:$J$518))&lt;&gt;UPPER(TRIM($G339)&amp;TRIM($I339)&amp;TRIM($J339))))&gt;0), AND($AP339&lt;&gt;"", LOWER(TRIM($AP339))&lt;&gt;"n/a", LOWER(TRIM($AP339))&lt;&gt;"na", SUMPRODUCT(--(UPPER(TRIM($AP$2:$AP$518))=UPPER(TRIM($AP339))), --(UPPER(TRIM($B$2:$B$518))="YES"), --(UPPER(TRIM($G$2:$G$518)&amp;TRIM($I$2:$I$518)&amp;TRIM($J$2:$J$518))&lt;&gt;UPPER(TRIM($G339)&amp;TRIM($I339)&amp;TRIM($J339))))&gt;0), AND($AQ339&lt;&gt;"", LOWER(TRIM($AQ339))&lt;&gt;"n/a", LOWER(TRIM($AQ339))&lt;&gt;"na", SUMPRODUCT(--(UPPER(TRIM($AQ$2:$AQ$518))=UPPER(TRIM($AQ339))), --(UPPER(TRIM($B$2:$B$518))="YES"), --(UPPER(TRIM($G$2:$G$518)&amp;TRIM($I$2:$I$518)&amp;TRIM($J$2:$J$518))&lt;&gt;UPPER(TRIM($G339)&amp;TRIM($I339)&amp;TRIM($J339))))&gt;0)), "Yes", "No"))</f>
        <v/>
      </c>
      <c r="G339" t="inlineStr">
        <is>
          <t>1 Marcus</t>
        </is>
      </c>
      <c r="H339" t="inlineStr">
        <is>
          <t>GLEN COVE</t>
        </is>
      </c>
      <c r="V339" t="inlineStr">
        <is>
          <t>WGC101OPR035</t>
        </is>
      </c>
      <c r="W339" t="inlineStr">
        <is>
          <t>MEDSG2425F-0177</t>
        </is>
      </c>
      <c r="CD339">
        <f>IF($Y339="","",IF((IF(AND($BR339&lt;&gt;"Yes",$BR339&lt;&gt;"N/A"),"Power Cable, ","")&amp;IF(AND($BS339&lt;&gt;"Yes",$BS339&lt;&gt;"N/A"),"Battery, ","")&amp;IF(AND($AD339&lt;&gt;"Yes",$AD339&lt;&gt;"N/A"),"Firmware Download, ","")&amp;IF(AND(OR($AD339="Yes",$AD339="N/A"),$AE339&lt;&gt;"Yes",$AE339&lt;&gt;"N/A"),"Firmware Install, ","")&amp;IF(AND($CB339&lt;&gt;"Yes",$CB339&lt;&gt;"N/A"),"Device ID, ","")&amp;IF(AND($CC339&lt;&gt;"Yes",$CC339&lt;&gt;"N/A"),"Epic Beans Relay, ",""))="","",LEFT(IF(AND($BR339&lt;&gt;"Yes",$BR339&lt;&gt;"N/A"),"Power Cable, ","")&amp;IF(AND($BS339&lt;&gt;"Yes",$BS339&lt;&gt;"N/A"),"Battery, ","")&amp;IF(AND($AD339&lt;&gt;"Yes",$AD339&lt;&gt;"N/A"),"Firmware Download, ","")&amp;IF(AND(OR($AD339="Yes",$AD339="N/A"),$AE339&lt;&gt;"Yes",$AE339&lt;&gt;"N/A"),"Firmware Install, ","")&amp;IF(AND($CB339&lt;&gt;"Yes",$CB339&lt;&gt;"N/A"),"Device ID, ","")&amp;IF(AND($CC339&lt;&gt;"Yes",$CC339&lt;&gt;"N/A"),"Epic Beans Relay, ",""),LEN(IF(AND($BR339&lt;&gt;"Yes",$BR339&lt;&gt;"N/A"),"Power Cable, ","")&amp;IF(AND($BS339&lt;&gt;"Yes",$BS339&lt;&gt;"N/A"),"Battery, ","")&amp;IF(AND($AD339&lt;&gt;"Yes",$AD339&lt;&gt;"N/A"),"Firmware Download, ","")&amp;IF(AND(OR($AD339="Yes",$AD339="N/A"),$AE339&lt;&gt;"Yes",$AE339&lt;&gt;"N/A"),"Firmware Install, ","")&amp;IF(AND($CB339&lt;&gt;"Yes",$CB339&lt;&gt;"N/A"),"Device ID, ","")&amp;IF(AND($CC339&lt;&gt;"Yes",$CC339&lt;&gt;"N/A"),"Epic Beans Relay, ",""))-2)))</f>
        <v/>
      </c>
      <c r="CE339">
        <f>IF($Y339="","",IF($CD339="","Yes","Blocked"))</f>
        <v/>
      </c>
      <c r="CP339">
        <f>IF($CO339="","",IFERROR(VLOOKUP($CO339,'01_Warehouse_Ledger'!$A:$N,4,FALSE),""))</f>
        <v/>
      </c>
      <c r="CQ339">
        <f>IF($CO339="","",IFERROR(VLOOKUP($CO339,'01_Warehouse_Ledger'!$A:$N,5,FALSE),""))</f>
        <v/>
      </c>
      <c r="CR339">
        <f>IF($CO339="","",IFERROR(VLOOKUP($CO339,'01_Warehouse_Ledger'!$A:$N,13,FALSE),""))</f>
        <v/>
      </c>
      <c r="CW339">
        <f>IF($S339="","",IF(UPPER(TRIM($S339))&lt;&gt;"PASS","",IF(LEN(TRIM($BY339))&gt;0,"NOTES_PRESENT",IF(LEN(TRIM($T339))=0,"SET_NA",IF(OR(LOWER(TRIM($T339))="na",LOWER(TRIM($T339))="n/a"),"OK","MANUAL_OVERRIDE")))))</f>
        <v/>
      </c>
    </row>
    <row r="340">
      <c r="A340" t="inlineStr">
        <is>
          <t>Cybernet</t>
        </is>
      </c>
      <c r="B340" t="inlineStr">
        <is>
          <t>No</t>
        </is>
      </c>
      <c r="C340" t="inlineStr">
        <is>
          <t>No</t>
        </is>
      </c>
      <c r="D340">
        <f>IF($B340&lt;&gt;"Yes","",IF($C340="No","Yes",IF($C340="Yes","No","")))</f>
        <v/>
      </c>
      <c r="E340">
        <f>IF($A340="","",IF(OR(AND($V340&lt;&gt;"",LOWER(TRIM($V340))&lt;&gt;"n/a",LOWER(TRIM($V340))&lt;&gt;"na",SUMPRODUCT(--(UPPER(TRIM($V$2:$V$518))=UPPER(TRIM($V340))),--(TRIM($V$2:$V$518)&lt;&gt;""),--(LOWER(TRIM($V$2:$V$518))&lt;&gt;"n/a"),--(LOWER(TRIM($V$2:$V$518))&lt;&gt;"na"))&gt;1),AND($W340&lt;&gt;"",LOWER(TRIM($W340))&lt;&gt;"n/a",LOWER(TRIM($W340))&lt;&gt;"na",SUMPRODUCT(--(UPPER(TRIM($W$2:$W$518))=UPPER(TRIM($W340))),--(TRIM($W$2:$W$518)&lt;&gt;""),--(LOWER(TRIM($W$2:$W$518))&lt;&gt;"n/a"),--(LOWER(TRIM($W$2:$W$518))&lt;&gt;"na"))&gt;1),AND($X340&lt;&gt;"",LOWER(TRIM($X340))&lt;&gt;"n/a",LOWER(TRIM($X340))&lt;&gt;"na",SUMPRODUCT(--(UPPER(TRIM($X$2:$X$518))=UPPER(TRIM($X340))),--(TRIM($X$2:$X$518)&lt;&gt;""),--(LOWER(TRIM($X$2:$X$518))&lt;&gt;"n/a"),--(LOWER(TRIM($X$2:$X$518))&lt;&gt;"na"))&gt;1),AND($Y340&lt;&gt;"",LOWER(TRIM($Y340))&lt;&gt;"n/a",LOWER(TRIM($Y340))&lt;&gt;"na",SUMPRODUCT(--(UPPER(SUBSTITUTE(SUBSTITUTE(TRIM($Y$2:$Y$518),":",""),"-",""))=UPPER(SUBSTITUTE(SUBSTITUTE(TRIM($Y340),":",""),"-",""))),--(TRIM($Y$2:$Y$518)&lt;&gt;""),--(LOWER(TRIM($Y$2:$Y$518))&lt;&gt;"n/a"),--(LOWER(TRIM($Y$2:$Y$518))&lt;&gt;"na"))&gt;1),AND($AB340&lt;&gt;"",LOWER(TRIM($AB340))&lt;&gt;"n/a",LOWER(TRIM($AB340))&lt;&gt;"na",SUMPRODUCT(--(UPPER(TRIM($AB$2:$AB$518))=UPPER(TRIM($AB340))),--(TRIM($AB$2:$AB$518)&lt;&gt;""),--(LOWER(TRIM($AB$2:$AB$518))&lt;&gt;"n/a"),--(LOWER(TRIM($AB$2:$AB$518))&lt;&gt;"na"))&gt;1),AND($AH340&lt;&gt;"",LOWER(TRIM($AH340))&lt;&gt;"n/a",LOWER(TRIM($AH340))&lt;&gt;"na",SUMPRODUCT(--(UPPER(SUBSTITUTE(SUBSTITUTE(TRIM($AH$2:$AH$518),":",""),"-",""))=UPPER(SUBSTITUTE(SUBSTITUTE(TRIM($AH340),":",""),"-",""))),--(TRIM($AH$2:$AH$518)&lt;&gt;""),--(LOWER(TRIM($AH$2:$AH$518))&lt;&gt;"n/a"),--(LOWER(TRIM($AH$2:$AH$518))&lt;&gt;"na"))&gt;1),AND($AP340&lt;&gt;"",LOWER(TRIM($AP340))&lt;&gt;"n/a",LOWER(TRIM($AP340))&lt;&gt;"na",SUMPRODUCT(--(UPPER(TRIM($AP$2:$AP$518))=UPPER(TRIM($AP340))),--(TRIM($AP$2:$AP$518)&lt;&gt;""),--(LOWER(TRIM($AP$2:$AP$518))&lt;&gt;"n/a"),--(LOWER(TRIM($AP$2:$AP$518))&lt;&gt;"na"))&gt;1),AND($AQ340&lt;&gt;"",LOWER(TRIM($AQ340))&lt;&gt;"n/a",LOWER(TRIM($AQ340))&lt;&gt;"na",SUMPRODUCT(--(UPPER(TRIM($AQ$2:$AQ$518))=UPPER(TRIM($AQ340))),--(TRIM($AQ$2:$AQ$518)&lt;&gt;""),--(LOWER(TRIM($AQ$2:$AQ$518))&lt;&gt;"n/a"),--(LOWER(TRIM($AQ$2:$AQ$518))&lt;&gt;"na"))&gt;1)),"Yes","No"))</f>
        <v/>
      </c>
      <c r="F340">
        <f>IF(UPPER(TRIM($B340))&lt;&gt;"YES","", IF(OR(AND($V340&lt;&gt;"", LOWER(TRIM($V340))&lt;&gt;"n/a", LOWER(TRIM($V340))&lt;&gt;"na", SUMPRODUCT(--(UPPER(TRIM($V$2:$V$518))=UPPER(TRIM($V340))), --(UPPER(TRIM($B$2:$B$518))="YES"), --(UPPER(TRIM($G$2:$G$518)&amp;TRIM($I$2:$I$518)&amp;TRIM($J$2:$J$518))&lt;&gt;UPPER(TRIM($G340)&amp;TRIM($I340)&amp;TRIM($J340))))&gt;0), AND($W340&lt;&gt;"", LOWER(TRIM($W340))&lt;&gt;"n/a", LOWER(TRIM($W340))&lt;&gt;"na", SUMPRODUCT(--(UPPER(TRIM($W$2:$W$518))=UPPER(TRIM($W340))), --(UPPER(TRIM($B$2:$B$518))="YES"), --(UPPER(TRIM($G$2:$G$518)&amp;TRIM($I$2:$I$518)&amp;TRIM($J$2:$J$518))&lt;&gt;UPPER(TRIM($G340)&amp;TRIM($I340)&amp;TRIM($J340))))&gt;0), AND($X340&lt;&gt;"", LOWER(TRIM($X340))&lt;&gt;"n/a", LOWER(TRIM($X340))&lt;&gt;"na", SUMPRODUCT(--(UPPER(TRIM($X$2:$X$518))=UPPER(TRIM($X340))), --(UPPER(TRIM($B$2:$B$518))="YES"), --(UPPER(TRIM($G$2:$G$518)&amp;TRIM($I$2:$I$518)&amp;TRIM($J$2:$J$518))&lt;&gt;UPPER(TRIM($G340)&amp;TRIM($I340)&amp;TRIM($J340))))&gt;0), AND($Y340&lt;&gt;"", LOWER(TRIM($Y340))&lt;&gt;"n/a", LOWER(TRIM($Y340))&lt;&gt;"na", SUMPRODUCT(--(UPPER(SUBSTITUTE(SUBSTITUTE(TRIM($Y$2:$Y$518),":",""),"-",""))=UPPER(SUBSTITUTE(SUBSTITUTE(TRIM($Y340),":",""),"-",""))), --(UPPER(TRIM($B$2:$B$518))="YES"), --(UPPER(TRIM($G$2:$G$518)&amp;TRIM($I$2:$I$518)&amp;TRIM($J$2:$J$518))&lt;&gt;UPPER(TRIM($G340)&amp;TRIM($I340)&amp;TRIM($J340))))&gt;0), AND($AB340&lt;&gt;"", LOWER(TRIM($AB340))&lt;&gt;"n/a", LOWER(TRIM($AB340))&lt;&gt;"na", SUMPRODUCT(--(UPPER(TRIM($AB$2:$AB$518))=UPPER(TRIM($AB340))), --(UPPER(TRIM($B$2:$B$518))="YES"), --(UPPER(TRIM($G$2:$G$518)&amp;TRIM($I$2:$I$518)&amp;TRIM($J$2:$J$518))&lt;&gt;UPPER(TRIM($G340)&amp;TRIM($I340)&amp;TRIM($J340))))&gt;0), AND($AH340&lt;&gt;"", LOWER(TRIM($AH340))&lt;&gt;"n/a", LOWER(TRIM($AH340))&lt;&gt;"na", SUMPRODUCT(--(UPPER(SUBSTITUTE(SUBSTITUTE(TRIM($AH$2:$AH$518),":",""),"-",""))=UPPER(SUBSTITUTE(SUBSTITUTE(TRIM($AH340),":",""),"-",""))), --(UPPER(TRIM($B$2:$B$518))="YES"), --(UPPER(TRIM($G$2:$G$518)&amp;TRIM($I$2:$I$518)&amp;TRIM($J$2:$J$518))&lt;&gt;UPPER(TRIM($G340)&amp;TRIM($I340)&amp;TRIM($J340))))&gt;0), AND($AP340&lt;&gt;"", LOWER(TRIM($AP340))&lt;&gt;"n/a", LOWER(TRIM($AP340))&lt;&gt;"na", SUMPRODUCT(--(UPPER(TRIM($AP$2:$AP$518))=UPPER(TRIM($AP340))), --(UPPER(TRIM($B$2:$B$518))="YES"), --(UPPER(TRIM($G$2:$G$518)&amp;TRIM($I$2:$I$518)&amp;TRIM($J$2:$J$518))&lt;&gt;UPPER(TRIM($G340)&amp;TRIM($I340)&amp;TRIM($J340))))&gt;0), AND($AQ340&lt;&gt;"", LOWER(TRIM($AQ340))&lt;&gt;"n/a", LOWER(TRIM($AQ340))&lt;&gt;"na", SUMPRODUCT(--(UPPER(TRIM($AQ$2:$AQ$518))=UPPER(TRIM($AQ340))), --(UPPER(TRIM($B$2:$B$518))="YES"), --(UPPER(TRIM($G$2:$G$518)&amp;TRIM($I$2:$I$518)&amp;TRIM($J$2:$J$518))&lt;&gt;UPPER(TRIM($G340)&amp;TRIM($I340)&amp;TRIM($J340))))&gt;0)), "Yes", "No"))</f>
        <v/>
      </c>
      <c r="G340" t="inlineStr">
        <is>
          <t>1 Marcus</t>
        </is>
      </c>
      <c r="H340" t="inlineStr">
        <is>
          <t>SY</t>
        </is>
      </c>
      <c r="V340" t="inlineStr">
        <is>
          <t>WSY221OPR074</t>
        </is>
      </c>
      <c r="W340" t="inlineStr">
        <is>
          <t>MEDSG2425F-0203</t>
        </is>
      </c>
      <c r="CD340">
        <f>IF($Y340="","",IF((IF(AND($BR340&lt;&gt;"Yes",$BR340&lt;&gt;"N/A"),"Power Cable, ","")&amp;IF(AND($BS340&lt;&gt;"Yes",$BS340&lt;&gt;"N/A"),"Battery, ","")&amp;IF(AND($AD340&lt;&gt;"Yes",$AD340&lt;&gt;"N/A"),"Firmware Download, ","")&amp;IF(AND(OR($AD340="Yes",$AD340="N/A"),$AE340&lt;&gt;"Yes",$AE340&lt;&gt;"N/A"),"Firmware Install, ","")&amp;IF(AND($CB340&lt;&gt;"Yes",$CB340&lt;&gt;"N/A"),"Device ID, ","")&amp;IF(AND($CC340&lt;&gt;"Yes",$CC340&lt;&gt;"N/A"),"Epic Beans Relay, ",""))="","",LEFT(IF(AND($BR340&lt;&gt;"Yes",$BR340&lt;&gt;"N/A"),"Power Cable, ","")&amp;IF(AND($BS340&lt;&gt;"Yes",$BS340&lt;&gt;"N/A"),"Battery, ","")&amp;IF(AND($AD340&lt;&gt;"Yes",$AD340&lt;&gt;"N/A"),"Firmware Download, ","")&amp;IF(AND(OR($AD340="Yes",$AD340="N/A"),$AE340&lt;&gt;"Yes",$AE340&lt;&gt;"N/A"),"Firmware Install, ","")&amp;IF(AND($CB340&lt;&gt;"Yes",$CB340&lt;&gt;"N/A"),"Device ID, ","")&amp;IF(AND($CC340&lt;&gt;"Yes",$CC340&lt;&gt;"N/A"),"Epic Beans Relay, ",""),LEN(IF(AND($BR340&lt;&gt;"Yes",$BR340&lt;&gt;"N/A"),"Power Cable, ","")&amp;IF(AND($BS340&lt;&gt;"Yes",$BS340&lt;&gt;"N/A"),"Battery, ","")&amp;IF(AND($AD340&lt;&gt;"Yes",$AD340&lt;&gt;"N/A"),"Firmware Download, ","")&amp;IF(AND(OR($AD340="Yes",$AD340="N/A"),$AE340&lt;&gt;"Yes",$AE340&lt;&gt;"N/A"),"Firmware Install, ","")&amp;IF(AND($CB340&lt;&gt;"Yes",$CB340&lt;&gt;"N/A"),"Device ID, ","")&amp;IF(AND($CC340&lt;&gt;"Yes",$CC340&lt;&gt;"N/A"),"Epic Beans Relay, ",""))-2)))</f>
        <v/>
      </c>
      <c r="CE340">
        <f>IF($Y340="","",IF($CD340="","Yes","Blocked"))</f>
        <v/>
      </c>
      <c r="CP340">
        <f>IF($CO340="","",IFERROR(VLOOKUP($CO340,'01_Warehouse_Ledger'!$A:$N,4,FALSE),""))</f>
        <v/>
      </c>
      <c r="CQ340">
        <f>IF($CO340="","",IFERROR(VLOOKUP($CO340,'01_Warehouse_Ledger'!$A:$N,5,FALSE),""))</f>
        <v/>
      </c>
      <c r="CR340">
        <f>IF($CO340="","",IFERROR(VLOOKUP($CO340,'01_Warehouse_Ledger'!$A:$N,13,FALSE),""))</f>
        <v/>
      </c>
      <c r="CW340">
        <f>IF($S340="","",IF(UPPER(TRIM($S340))&lt;&gt;"PASS","",IF(LEN(TRIM($BY340))&gt;0,"NOTES_PRESENT",IF(LEN(TRIM($T340))=0,"SET_NA",IF(OR(LOWER(TRIM($T340))="na",LOWER(TRIM($T340))="n/a"),"OK","MANUAL_OVERRIDE")))))</f>
        <v/>
      </c>
    </row>
    <row r="341">
      <c r="A341" t="inlineStr">
        <is>
          <t>Cybernet</t>
        </is>
      </c>
      <c r="B341" t="inlineStr">
        <is>
          <t>No</t>
        </is>
      </c>
      <c r="C341" t="inlineStr">
        <is>
          <t>No</t>
        </is>
      </c>
      <c r="D341">
        <f>IF($B341&lt;&gt;"Yes","",IF($C341="No","Yes",IF($C341="Yes","No","")))</f>
        <v/>
      </c>
      <c r="E341">
        <f>IF($A341="","",IF(OR(AND($V341&lt;&gt;"",LOWER(TRIM($V341))&lt;&gt;"n/a",LOWER(TRIM($V341))&lt;&gt;"na",SUMPRODUCT(--(UPPER(TRIM($V$2:$V$518))=UPPER(TRIM($V341))),--(TRIM($V$2:$V$518)&lt;&gt;""),--(LOWER(TRIM($V$2:$V$518))&lt;&gt;"n/a"),--(LOWER(TRIM($V$2:$V$518))&lt;&gt;"na"))&gt;1),AND($W341&lt;&gt;"",LOWER(TRIM($W341))&lt;&gt;"n/a",LOWER(TRIM($W341))&lt;&gt;"na",SUMPRODUCT(--(UPPER(TRIM($W$2:$W$518))=UPPER(TRIM($W341))),--(TRIM($W$2:$W$518)&lt;&gt;""),--(LOWER(TRIM($W$2:$W$518))&lt;&gt;"n/a"),--(LOWER(TRIM($W$2:$W$518))&lt;&gt;"na"))&gt;1),AND($X341&lt;&gt;"",LOWER(TRIM($X341))&lt;&gt;"n/a",LOWER(TRIM($X341))&lt;&gt;"na",SUMPRODUCT(--(UPPER(TRIM($X$2:$X$518))=UPPER(TRIM($X341))),--(TRIM($X$2:$X$518)&lt;&gt;""),--(LOWER(TRIM($X$2:$X$518))&lt;&gt;"n/a"),--(LOWER(TRIM($X$2:$X$518))&lt;&gt;"na"))&gt;1),AND($Y341&lt;&gt;"",LOWER(TRIM($Y341))&lt;&gt;"n/a",LOWER(TRIM($Y341))&lt;&gt;"na",SUMPRODUCT(--(UPPER(SUBSTITUTE(SUBSTITUTE(TRIM($Y$2:$Y$518),":",""),"-",""))=UPPER(SUBSTITUTE(SUBSTITUTE(TRIM($Y341),":",""),"-",""))),--(TRIM($Y$2:$Y$518)&lt;&gt;""),--(LOWER(TRIM($Y$2:$Y$518))&lt;&gt;"n/a"),--(LOWER(TRIM($Y$2:$Y$518))&lt;&gt;"na"))&gt;1),AND($AB341&lt;&gt;"",LOWER(TRIM($AB341))&lt;&gt;"n/a",LOWER(TRIM($AB341))&lt;&gt;"na",SUMPRODUCT(--(UPPER(TRIM($AB$2:$AB$518))=UPPER(TRIM($AB341))),--(TRIM($AB$2:$AB$518)&lt;&gt;""),--(LOWER(TRIM($AB$2:$AB$518))&lt;&gt;"n/a"),--(LOWER(TRIM($AB$2:$AB$518))&lt;&gt;"na"))&gt;1),AND($AH341&lt;&gt;"",LOWER(TRIM($AH341))&lt;&gt;"n/a",LOWER(TRIM($AH341))&lt;&gt;"na",SUMPRODUCT(--(UPPER(SUBSTITUTE(SUBSTITUTE(TRIM($AH$2:$AH$518),":",""),"-",""))=UPPER(SUBSTITUTE(SUBSTITUTE(TRIM($AH341),":",""),"-",""))),--(TRIM($AH$2:$AH$518)&lt;&gt;""),--(LOWER(TRIM($AH$2:$AH$518))&lt;&gt;"n/a"),--(LOWER(TRIM($AH$2:$AH$518))&lt;&gt;"na"))&gt;1),AND($AP341&lt;&gt;"",LOWER(TRIM($AP341))&lt;&gt;"n/a",LOWER(TRIM($AP341))&lt;&gt;"na",SUMPRODUCT(--(UPPER(TRIM($AP$2:$AP$518))=UPPER(TRIM($AP341))),--(TRIM($AP$2:$AP$518)&lt;&gt;""),--(LOWER(TRIM($AP$2:$AP$518))&lt;&gt;"n/a"),--(LOWER(TRIM($AP$2:$AP$518))&lt;&gt;"na"))&gt;1),AND($AQ341&lt;&gt;"",LOWER(TRIM($AQ341))&lt;&gt;"n/a",LOWER(TRIM($AQ341))&lt;&gt;"na",SUMPRODUCT(--(UPPER(TRIM($AQ$2:$AQ$518))=UPPER(TRIM($AQ341))),--(TRIM($AQ$2:$AQ$518)&lt;&gt;""),--(LOWER(TRIM($AQ$2:$AQ$518))&lt;&gt;"n/a"),--(LOWER(TRIM($AQ$2:$AQ$518))&lt;&gt;"na"))&gt;1)),"Yes","No"))</f>
        <v/>
      </c>
      <c r="F341">
        <f>IF(UPPER(TRIM($B341))&lt;&gt;"YES","", IF(OR(AND($V341&lt;&gt;"", LOWER(TRIM($V341))&lt;&gt;"n/a", LOWER(TRIM($V341))&lt;&gt;"na", SUMPRODUCT(--(UPPER(TRIM($V$2:$V$518))=UPPER(TRIM($V341))), --(UPPER(TRIM($B$2:$B$518))="YES"), --(UPPER(TRIM($G$2:$G$518)&amp;TRIM($I$2:$I$518)&amp;TRIM($J$2:$J$518))&lt;&gt;UPPER(TRIM($G341)&amp;TRIM($I341)&amp;TRIM($J341))))&gt;0), AND($W341&lt;&gt;"", LOWER(TRIM($W341))&lt;&gt;"n/a", LOWER(TRIM($W341))&lt;&gt;"na", SUMPRODUCT(--(UPPER(TRIM($W$2:$W$518))=UPPER(TRIM($W341))), --(UPPER(TRIM($B$2:$B$518))="YES"), --(UPPER(TRIM($G$2:$G$518)&amp;TRIM($I$2:$I$518)&amp;TRIM($J$2:$J$518))&lt;&gt;UPPER(TRIM($G341)&amp;TRIM($I341)&amp;TRIM($J341))))&gt;0), AND($X341&lt;&gt;"", LOWER(TRIM($X341))&lt;&gt;"n/a", LOWER(TRIM($X341))&lt;&gt;"na", SUMPRODUCT(--(UPPER(TRIM($X$2:$X$518))=UPPER(TRIM($X341))), --(UPPER(TRIM($B$2:$B$518))="YES"), --(UPPER(TRIM($G$2:$G$518)&amp;TRIM($I$2:$I$518)&amp;TRIM($J$2:$J$518))&lt;&gt;UPPER(TRIM($G341)&amp;TRIM($I341)&amp;TRIM($J341))))&gt;0), AND($Y341&lt;&gt;"", LOWER(TRIM($Y341))&lt;&gt;"n/a", LOWER(TRIM($Y341))&lt;&gt;"na", SUMPRODUCT(--(UPPER(SUBSTITUTE(SUBSTITUTE(TRIM($Y$2:$Y$518),":",""),"-",""))=UPPER(SUBSTITUTE(SUBSTITUTE(TRIM($Y341),":",""),"-",""))), --(UPPER(TRIM($B$2:$B$518))="YES"), --(UPPER(TRIM($G$2:$G$518)&amp;TRIM($I$2:$I$518)&amp;TRIM($J$2:$J$518))&lt;&gt;UPPER(TRIM($G341)&amp;TRIM($I341)&amp;TRIM($J341))))&gt;0), AND($AB341&lt;&gt;"", LOWER(TRIM($AB341))&lt;&gt;"n/a", LOWER(TRIM($AB341))&lt;&gt;"na", SUMPRODUCT(--(UPPER(TRIM($AB$2:$AB$518))=UPPER(TRIM($AB341))), --(UPPER(TRIM($B$2:$B$518))="YES"), --(UPPER(TRIM($G$2:$G$518)&amp;TRIM($I$2:$I$518)&amp;TRIM($J$2:$J$518))&lt;&gt;UPPER(TRIM($G341)&amp;TRIM($I341)&amp;TRIM($J341))))&gt;0), AND($AH341&lt;&gt;"", LOWER(TRIM($AH341))&lt;&gt;"n/a", LOWER(TRIM($AH341))&lt;&gt;"na", SUMPRODUCT(--(UPPER(SUBSTITUTE(SUBSTITUTE(TRIM($AH$2:$AH$518),":",""),"-",""))=UPPER(SUBSTITUTE(SUBSTITUTE(TRIM($AH341),":",""),"-",""))), --(UPPER(TRIM($B$2:$B$518))="YES"), --(UPPER(TRIM($G$2:$G$518)&amp;TRIM($I$2:$I$518)&amp;TRIM($J$2:$J$518))&lt;&gt;UPPER(TRIM($G341)&amp;TRIM($I341)&amp;TRIM($J341))))&gt;0), AND($AP341&lt;&gt;"", LOWER(TRIM($AP341))&lt;&gt;"n/a", LOWER(TRIM($AP341))&lt;&gt;"na", SUMPRODUCT(--(UPPER(TRIM($AP$2:$AP$518))=UPPER(TRIM($AP341))), --(UPPER(TRIM($B$2:$B$518))="YES"), --(UPPER(TRIM($G$2:$G$518)&amp;TRIM($I$2:$I$518)&amp;TRIM($J$2:$J$518))&lt;&gt;UPPER(TRIM($G341)&amp;TRIM($I341)&amp;TRIM($J341))))&gt;0), AND($AQ341&lt;&gt;"", LOWER(TRIM($AQ341))&lt;&gt;"n/a", LOWER(TRIM($AQ341))&lt;&gt;"na", SUMPRODUCT(--(UPPER(TRIM($AQ$2:$AQ$518))=UPPER(TRIM($AQ341))), --(UPPER(TRIM($B$2:$B$518))="YES"), --(UPPER(TRIM($G$2:$G$518)&amp;TRIM($I$2:$I$518)&amp;TRIM($J$2:$J$518))&lt;&gt;UPPER(TRIM($G341)&amp;TRIM($I341)&amp;TRIM($J341))))&gt;0)), "Yes", "No"))</f>
        <v/>
      </c>
      <c r="G341" t="inlineStr">
        <is>
          <t>1 Marcus</t>
        </is>
      </c>
      <c r="H341" t="inlineStr">
        <is>
          <t>NSUH - VAR</t>
        </is>
      </c>
      <c r="V341" t="inlineStr">
        <is>
          <t>WMH300OPR437</t>
        </is>
      </c>
      <c r="CD341">
        <f>IF($Y341="","",IF((IF(AND($BR341&lt;&gt;"Yes",$BR341&lt;&gt;"N/A"),"Power Cable, ","")&amp;IF(AND($BS341&lt;&gt;"Yes",$BS341&lt;&gt;"N/A"),"Battery, ","")&amp;IF(AND($AD341&lt;&gt;"Yes",$AD341&lt;&gt;"N/A"),"Firmware Download, ","")&amp;IF(AND(OR($AD341="Yes",$AD341="N/A"),$AE341&lt;&gt;"Yes",$AE341&lt;&gt;"N/A"),"Firmware Install, ","")&amp;IF(AND($CB341&lt;&gt;"Yes",$CB341&lt;&gt;"N/A"),"Device ID, ","")&amp;IF(AND($CC341&lt;&gt;"Yes",$CC341&lt;&gt;"N/A"),"Epic Beans Relay, ",""))="","",LEFT(IF(AND($BR341&lt;&gt;"Yes",$BR341&lt;&gt;"N/A"),"Power Cable, ","")&amp;IF(AND($BS341&lt;&gt;"Yes",$BS341&lt;&gt;"N/A"),"Battery, ","")&amp;IF(AND($AD341&lt;&gt;"Yes",$AD341&lt;&gt;"N/A"),"Firmware Download, ","")&amp;IF(AND(OR($AD341="Yes",$AD341="N/A"),$AE341&lt;&gt;"Yes",$AE341&lt;&gt;"N/A"),"Firmware Install, ","")&amp;IF(AND($CB341&lt;&gt;"Yes",$CB341&lt;&gt;"N/A"),"Device ID, ","")&amp;IF(AND($CC341&lt;&gt;"Yes",$CC341&lt;&gt;"N/A"),"Epic Beans Relay, ",""),LEN(IF(AND($BR341&lt;&gt;"Yes",$BR341&lt;&gt;"N/A"),"Power Cable, ","")&amp;IF(AND($BS341&lt;&gt;"Yes",$BS341&lt;&gt;"N/A"),"Battery, ","")&amp;IF(AND($AD341&lt;&gt;"Yes",$AD341&lt;&gt;"N/A"),"Firmware Download, ","")&amp;IF(AND(OR($AD341="Yes",$AD341="N/A"),$AE341&lt;&gt;"Yes",$AE341&lt;&gt;"N/A"),"Firmware Install, ","")&amp;IF(AND($CB341&lt;&gt;"Yes",$CB341&lt;&gt;"N/A"),"Device ID, ","")&amp;IF(AND($CC341&lt;&gt;"Yes",$CC341&lt;&gt;"N/A"),"Epic Beans Relay, ",""))-2)))</f>
        <v/>
      </c>
      <c r="CE341">
        <f>IF($Y341="","",IF($CD341="","Yes","Blocked"))</f>
        <v/>
      </c>
      <c r="CP341">
        <f>IF($CO341="","",IFERROR(VLOOKUP($CO341,'01_Warehouse_Ledger'!$A:$N,4,FALSE),""))</f>
        <v/>
      </c>
      <c r="CQ341">
        <f>IF($CO341="","",IFERROR(VLOOKUP($CO341,'01_Warehouse_Ledger'!$A:$N,5,FALSE),""))</f>
        <v/>
      </c>
      <c r="CR341">
        <f>IF($CO341="","",IFERROR(VLOOKUP($CO341,'01_Warehouse_Ledger'!$A:$N,13,FALSE),""))</f>
        <v/>
      </c>
      <c r="CW341">
        <f>IF($S341="","",IF(UPPER(TRIM($S341))&lt;&gt;"PASS","",IF(LEN(TRIM($BY341))&gt;0,"NOTES_PRESENT",IF(LEN(TRIM($T341))=0,"SET_NA",IF(OR(LOWER(TRIM($T341))="na",LOWER(TRIM($T341))="n/a"),"OK","MANUAL_OVERRIDE")))))</f>
        <v/>
      </c>
    </row>
    <row r="342">
      <c r="A342" t="inlineStr">
        <is>
          <t>Cybernet</t>
        </is>
      </c>
      <c r="B342" t="inlineStr">
        <is>
          <t>No</t>
        </is>
      </c>
      <c r="C342" t="inlineStr">
        <is>
          <t>No</t>
        </is>
      </c>
      <c r="D342">
        <f>IF($B342&lt;&gt;"Yes","",IF($C342="No","Yes",IF($C342="Yes","No","")))</f>
        <v/>
      </c>
      <c r="E342">
        <f>IF($A342="","",IF(OR(AND($V347&lt;&gt;"",LOWER(TRIM($V347))&lt;&gt;"n/a",LOWER(TRIM($V347))&lt;&gt;"na",SUMPRODUCT(--(UPPER(TRIM($V$2:$V$518))=UPPER(TRIM($V347))),--(TRIM($V$2:$V$518)&lt;&gt;""),--(LOWER(TRIM($V$2:$V$518))&lt;&gt;"n/a"),--(LOWER(TRIM($V$2:$V$518))&lt;&gt;"na"))&gt;1),AND($W347&lt;&gt;"",LOWER(TRIM($W347))&lt;&gt;"n/a",LOWER(TRIM($W347))&lt;&gt;"na",SUMPRODUCT(--(UPPER(TRIM($W$2:$W$518))=UPPER(TRIM($W347))),--(TRIM($W$2:$W$518)&lt;&gt;""),--(LOWER(TRIM($W$2:$W$518))&lt;&gt;"n/a"),--(LOWER(TRIM($W$2:$W$518))&lt;&gt;"na"))&gt;1),AND($X342&lt;&gt;"",LOWER(TRIM($X342))&lt;&gt;"n/a",LOWER(TRIM($X342))&lt;&gt;"na",SUMPRODUCT(--(UPPER(TRIM($X$2:$X$518))=UPPER(TRIM($X342))),--(TRIM($X$2:$X$518)&lt;&gt;""),--(LOWER(TRIM($X$2:$X$518))&lt;&gt;"n/a"),--(LOWER(TRIM($X$2:$X$518))&lt;&gt;"na"))&gt;1),AND($Y342&lt;&gt;"",LOWER(TRIM($Y342))&lt;&gt;"n/a",LOWER(TRIM($Y342))&lt;&gt;"na",SUMPRODUCT(--(UPPER(SUBSTITUTE(SUBSTITUTE(TRIM($Y$2:$Y$518),":",""),"-",""))=UPPER(SUBSTITUTE(SUBSTITUTE(TRIM($Y342),":",""),"-",""))),--(TRIM($Y$2:$Y$518)&lt;&gt;""),--(LOWER(TRIM($Y$2:$Y$518))&lt;&gt;"n/a"),--(LOWER(TRIM($Y$2:$Y$518))&lt;&gt;"na"))&gt;1),AND($AB342&lt;&gt;"",LOWER(TRIM($AB342))&lt;&gt;"n/a",LOWER(TRIM($AB342))&lt;&gt;"na",SUMPRODUCT(--(UPPER(TRIM($AB$2:$AB$518))=UPPER(TRIM($AB342))),--(TRIM($AB$2:$AB$518)&lt;&gt;""),--(LOWER(TRIM($AB$2:$AB$518))&lt;&gt;"n/a"),--(LOWER(TRIM($AB$2:$AB$518))&lt;&gt;"na"))&gt;1),AND($AH342&lt;&gt;"",LOWER(TRIM($AH342))&lt;&gt;"n/a",LOWER(TRIM($AH342))&lt;&gt;"na",SUMPRODUCT(--(UPPER(SUBSTITUTE(SUBSTITUTE(TRIM($AH$2:$AH$518),":",""),"-",""))=UPPER(SUBSTITUTE(SUBSTITUTE(TRIM($AH342),":",""),"-",""))),--(TRIM($AH$2:$AH$518)&lt;&gt;""),--(LOWER(TRIM($AH$2:$AH$518))&lt;&gt;"n/a"),--(LOWER(TRIM($AH$2:$AH$518))&lt;&gt;"na"))&gt;1),AND($AP342&lt;&gt;"",LOWER(TRIM($AP342))&lt;&gt;"n/a",LOWER(TRIM($AP342))&lt;&gt;"na",SUMPRODUCT(--(UPPER(TRIM($AP$2:$AP$518))=UPPER(TRIM($AP342))),--(TRIM($AP$2:$AP$518)&lt;&gt;""),--(LOWER(TRIM($AP$2:$AP$518))&lt;&gt;"n/a"),--(LOWER(TRIM($AP$2:$AP$518))&lt;&gt;"na"))&gt;1),AND($AQ342&lt;&gt;"",LOWER(TRIM($AQ342))&lt;&gt;"n/a",LOWER(TRIM($AQ342))&lt;&gt;"na",SUMPRODUCT(--(UPPER(TRIM($AQ$2:$AQ$518))=UPPER(TRIM($AQ342))),--(TRIM($AQ$2:$AQ$518)&lt;&gt;""),--(LOWER(TRIM($AQ$2:$AQ$518))&lt;&gt;"n/a"),--(LOWER(TRIM($AQ$2:$AQ$518))&lt;&gt;"na"))&gt;1)),"Yes","No"))</f>
        <v/>
      </c>
      <c r="F342">
        <f>IF(UPPER(TRIM($B342))&lt;&gt;"YES","", IF(OR(AND($V342&lt;&gt;"", LOWER(TRIM($V342))&lt;&gt;"n/a", LOWER(TRIM($V342))&lt;&gt;"na", SUMPRODUCT(--(UPPER(TRIM($V$2:$V$518))=UPPER(TRIM($V342))), --(UPPER(TRIM($B$2:$B$518))="YES"), --(UPPER(TRIM($G$2:$G$518)&amp;TRIM($I$2:$I$518)&amp;TRIM($J$2:$J$518))&lt;&gt;UPPER(TRIM($G342)&amp;TRIM($I342)&amp;TRIM($J342))))&gt;0), AND($W342&lt;&gt;"", LOWER(TRIM($W342))&lt;&gt;"n/a", LOWER(TRIM($W342))&lt;&gt;"na", SUMPRODUCT(--(UPPER(TRIM($W$2:$W$518))=UPPER(TRIM($W342))), --(UPPER(TRIM($B$2:$B$518))="YES"), --(UPPER(TRIM($G$2:$G$518)&amp;TRIM($I$2:$I$518)&amp;TRIM($J$2:$J$518))&lt;&gt;UPPER(TRIM($G342)&amp;TRIM($I342)&amp;TRIM($J342))))&gt;0), AND($X342&lt;&gt;"", LOWER(TRIM($X342))&lt;&gt;"n/a", LOWER(TRIM($X342))&lt;&gt;"na", SUMPRODUCT(--(UPPER(TRIM($X$2:$X$518))=UPPER(TRIM($X342))), --(UPPER(TRIM($B$2:$B$518))="YES"), --(UPPER(TRIM($G$2:$G$518)&amp;TRIM($I$2:$I$518)&amp;TRIM($J$2:$J$518))&lt;&gt;UPPER(TRIM($G342)&amp;TRIM($I342)&amp;TRIM($J342))))&gt;0), AND($Y342&lt;&gt;"", LOWER(TRIM($Y342))&lt;&gt;"n/a", LOWER(TRIM($Y342))&lt;&gt;"na", SUMPRODUCT(--(UPPER(SUBSTITUTE(SUBSTITUTE(TRIM($Y$2:$Y$518),":",""),"-",""))=UPPER(SUBSTITUTE(SUBSTITUTE(TRIM($Y342),":",""),"-",""))), --(UPPER(TRIM($B$2:$B$518))="YES"), --(UPPER(TRIM($G$2:$G$518)&amp;TRIM($I$2:$I$518)&amp;TRIM($J$2:$J$518))&lt;&gt;UPPER(TRIM($G342)&amp;TRIM($I342)&amp;TRIM($J342))))&gt;0), AND($AB342&lt;&gt;"", LOWER(TRIM($AB342))&lt;&gt;"n/a", LOWER(TRIM($AB342))&lt;&gt;"na", SUMPRODUCT(--(UPPER(TRIM($AB$2:$AB$518))=UPPER(TRIM($AB342))), --(UPPER(TRIM($B$2:$B$518))="YES"), --(UPPER(TRIM($G$2:$G$518)&amp;TRIM($I$2:$I$518)&amp;TRIM($J$2:$J$518))&lt;&gt;UPPER(TRIM($G342)&amp;TRIM($I342)&amp;TRIM($J342))))&gt;0), AND($AH342&lt;&gt;"", LOWER(TRIM($AH342))&lt;&gt;"n/a", LOWER(TRIM($AH342))&lt;&gt;"na", SUMPRODUCT(--(UPPER(SUBSTITUTE(SUBSTITUTE(TRIM($AH$2:$AH$518),":",""),"-",""))=UPPER(SUBSTITUTE(SUBSTITUTE(TRIM($AH342),":",""),"-",""))), --(UPPER(TRIM($B$2:$B$518))="YES"), --(UPPER(TRIM($G$2:$G$518)&amp;TRIM($I$2:$I$518)&amp;TRIM($J$2:$J$518))&lt;&gt;UPPER(TRIM($G342)&amp;TRIM($I342)&amp;TRIM($J342))))&gt;0), AND($AP342&lt;&gt;"", LOWER(TRIM($AP342))&lt;&gt;"n/a", LOWER(TRIM($AP342))&lt;&gt;"na", SUMPRODUCT(--(UPPER(TRIM($AP$2:$AP$518))=UPPER(TRIM($AP342))), --(UPPER(TRIM($B$2:$B$518))="YES"), --(UPPER(TRIM($G$2:$G$518)&amp;TRIM($I$2:$I$518)&amp;TRIM($J$2:$J$518))&lt;&gt;UPPER(TRIM($G342)&amp;TRIM($I342)&amp;TRIM($J342))))&gt;0), AND($AQ342&lt;&gt;"", LOWER(TRIM($AQ342))&lt;&gt;"n/a", LOWER(TRIM($AQ342))&lt;&gt;"na", SUMPRODUCT(--(UPPER(TRIM($AQ$2:$AQ$518))=UPPER(TRIM($AQ342))), --(UPPER(TRIM($B$2:$B$518))="YES"), --(UPPER(TRIM($G$2:$G$518)&amp;TRIM($I$2:$I$518)&amp;TRIM($J$2:$J$518))&lt;&gt;UPPER(TRIM($G342)&amp;TRIM($I342)&amp;TRIM($J342))))&gt;0)), "Yes", "No"))</f>
        <v/>
      </c>
      <c r="G342" t="inlineStr">
        <is>
          <t>1 Marcus</t>
        </is>
      </c>
      <c r="H342" t="inlineStr">
        <is>
          <t>NSUH - VAR</t>
        </is>
      </c>
      <c r="V342" t="inlineStr">
        <is>
          <t>WMH300OPR438</t>
        </is>
      </c>
      <c r="W342" t="inlineStr">
        <is>
          <t>MEDNM24G25-0532</t>
        </is>
      </c>
      <c r="CD342">
        <f>IF($Y342="","",IF((IF(AND($BR342&lt;&gt;"Yes",$BR342&lt;&gt;"N/A"),"Power Cable, ","")&amp;IF(AND($BS342&lt;&gt;"Yes",$BS342&lt;&gt;"N/A"),"Battery, ","")&amp;IF(AND($AD342&lt;&gt;"Yes",$AD342&lt;&gt;"N/A"),"Firmware Download, ","")&amp;IF(AND(OR($AD342="Yes",$AD342="N/A"),$AE342&lt;&gt;"Yes",$AE342&lt;&gt;"N/A"),"Firmware Install, ","")&amp;IF(AND($CB342&lt;&gt;"Yes",$CB342&lt;&gt;"N/A"),"Device ID, ","")&amp;IF(AND($CC342&lt;&gt;"Yes",$CC342&lt;&gt;"N/A"),"Epic Beans Relay, ",""))="","",LEFT(IF(AND($BR342&lt;&gt;"Yes",$BR342&lt;&gt;"N/A"),"Power Cable, ","")&amp;IF(AND($BS342&lt;&gt;"Yes",$BS342&lt;&gt;"N/A"),"Battery, ","")&amp;IF(AND($AD342&lt;&gt;"Yes",$AD342&lt;&gt;"N/A"),"Firmware Download, ","")&amp;IF(AND(OR($AD342="Yes",$AD342="N/A"),$AE342&lt;&gt;"Yes",$AE342&lt;&gt;"N/A"),"Firmware Install, ","")&amp;IF(AND($CB342&lt;&gt;"Yes",$CB342&lt;&gt;"N/A"),"Device ID, ","")&amp;IF(AND($CC342&lt;&gt;"Yes",$CC342&lt;&gt;"N/A"),"Epic Beans Relay, ",""),LEN(IF(AND($BR342&lt;&gt;"Yes",$BR342&lt;&gt;"N/A"),"Power Cable, ","")&amp;IF(AND($BS342&lt;&gt;"Yes",$BS342&lt;&gt;"N/A"),"Battery, ","")&amp;IF(AND($AD342&lt;&gt;"Yes",$AD342&lt;&gt;"N/A"),"Firmware Download, ","")&amp;IF(AND(OR($AD342="Yes",$AD342="N/A"),$AE342&lt;&gt;"Yes",$AE342&lt;&gt;"N/A"),"Firmware Install, ","")&amp;IF(AND($CB342&lt;&gt;"Yes",$CB342&lt;&gt;"N/A"),"Device ID, ","")&amp;IF(AND($CC342&lt;&gt;"Yes",$CC342&lt;&gt;"N/A"),"Epic Beans Relay, ",""))-2)))</f>
        <v/>
      </c>
      <c r="CE342">
        <f>IF($Y342="","",IF($CD342="","Yes","Blocked"))</f>
        <v/>
      </c>
      <c r="CP342">
        <f>IF($CO342="","",IFERROR(VLOOKUP($CO342,'01_Warehouse_Ledger'!$A:$N,4,FALSE),""))</f>
        <v/>
      </c>
      <c r="CQ342">
        <f>IF($CO342="","",IFERROR(VLOOKUP($CO342,'01_Warehouse_Ledger'!$A:$N,5,FALSE),""))</f>
        <v/>
      </c>
      <c r="CR342">
        <f>IF($CO342="","",IFERROR(VLOOKUP($CO342,'01_Warehouse_Ledger'!$A:$N,13,FALSE),""))</f>
        <v/>
      </c>
      <c r="CW342">
        <f>IF($S342="","",IF(UPPER(TRIM($S342))&lt;&gt;"PASS","",IF(LEN(TRIM($BY342))&gt;0,"NOTES_PRESENT",IF(LEN(TRIM($T342))=0,"SET_NA",IF(OR(LOWER(TRIM($T342))="na",LOWER(TRIM($T342))="n/a"),"OK","MANUAL_OVERRIDE")))))</f>
        <v/>
      </c>
    </row>
    <row r="343">
      <c r="A343" t="inlineStr">
        <is>
          <t>Cybernet</t>
        </is>
      </c>
      <c r="B343" t="inlineStr">
        <is>
          <t>No</t>
        </is>
      </c>
      <c r="C343" t="inlineStr">
        <is>
          <t>No</t>
        </is>
      </c>
      <c r="D343">
        <f>IF($B343&lt;&gt;"Yes","",IF($C343="No","Yes",IF($C343="Yes","No","")))</f>
        <v/>
      </c>
      <c r="E343">
        <f>IF($A343="","",IF(OR(AND(#REF!&lt;&gt;"",LOWER(TRIM(#REF!))&lt;&gt;"n/a",LOWER(TRIM(#REF!))&lt;&gt;"na",SUMPRODUCT(--(UPPER(TRIM($V$2:$V$518))=UPPER(TRIM(#REF!))),--(TRIM($V$2:$V$518)&lt;&gt;""),--(LOWER(TRIM($V$2:$V$518))&lt;&gt;"n/a"),--(LOWER(TRIM($V$2:$V$518))&lt;&gt;"na"))&gt;1),AND(#REF!&lt;&gt;"",LOWER(TRIM(#REF!))&lt;&gt;"n/a",LOWER(TRIM(#REF!))&lt;&gt;"na",SUMPRODUCT(--(UPPER(TRIM($W$2:$W$518))=UPPER(TRIM(#REF!))),--(TRIM($W$2:$W$518)&lt;&gt;""),--(LOWER(TRIM($W$2:$W$518))&lt;&gt;"n/a"),--(LOWER(TRIM($W$2:$W$518))&lt;&gt;"na"))&gt;1),AND($X343&lt;&gt;"",LOWER(TRIM($X343))&lt;&gt;"n/a",LOWER(TRIM($X343))&lt;&gt;"na",SUMPRODUCT(--(UPPER(TRIM($X$2:$X$518))=UPPER(TRIM($X343))),--(TRIM($X$2:$X$518)&lt;&gt;""),--(LOWER(TRIM($X$2:$X$518))&lt;&gt;"n/a"),--(LOWER(TRIM($X$2:$X$518))&lt;&gt;"na"))&gt;1),AND($Y343&lt;&gt;"",LOWER(TRIM($Y343))&lt;&gt;"n/a",LOWER(TRIM($Y343))&lt;&gt;"na",SUMPRODUCT(--(UPPER(SUBSTITUTE(SUBSTITUTE(TRIM($Y$2:$Y$518),":",""),"-",""))=UPPER(SUBSTITUTE(SUBSTITUTE(TRIM($Y343),":",""),"-",""))),--(TRIM($Y$2:$Y$518)&lt;&gt;""),--(LOWER(TRIM($Y$2:$Y$518))&lt;&gt;"n/a"),--(LOWER(TRIM($Y$2:$Y$518))&lt;&gt;"na"))&gt;1),AND($AB343&lt;&gt;"",LOWER(TRIM($AB343))&lt;&gt;"n/a",LOWER(TRIM($AB343))&lt;&gt;"na",SUMPRODUCT(--(UPPER(TRIM($AB$2:$AB$518))=UPPER(TRIM($AB343))),--(TRIM($AB$2:$AB$518)&lt;&gt;""),--(LOWER(TRIM($AB$2:$AB$518))&lt;&gt;"n/a"),--(LOWER(TRIM($AB$2:$AB$518))&lt;&gt;"na"))&gt;1),AND($AH343&lt;&gt;"",LOWER(TRIM($AH343))&lt;&gt;"n/a",LOWER(TRIM($AH343))&lt;&gt;"na",SUMPRODUCT(--(UPPER(SUBSTITUTE(SUBSTITUTE(TRIM($AH$2:$AH$518),":",""),"-",""))=UPPER(SUBSTITUTE(SUBSTITUTE(TRIM($AH343),":",""),"-",""))),--(TRIM($AH$2:$AH$518)&lt;&gt;""),--(LOWER(TRIM($AH$2:$AH$518))&lt;&gt;"n/a"),--(LOWER(TRIM($AH$2:$AH$518))&lt;&gt;"na"))&gt;1),AND($AP343&lt;&gt;"",LOWER(TRIM($AP343))&lt;&gt;"n/a",LOWER(TRIM($AP343))&lt;&gt;"na",SUMPRODUCT(--(UPPER(TRIM($AP$2:$AP$518))=UPPER(TRIM($AP343))),--(TRIM($AP$2:$AP$518)&lt;&gt;""),--(LOWER(TRIM($AP$2:$AP$518))&lt;&gt;"n/a"),--(LOWER(TRIM($AP$2:$AP$518))&lt;&gt;"na"))&gt;1),AND($AQ343&lt;&gt;"",LOWER(TRIM($AQ343))&lt;&gt;"n/a",LOWER(TRIM($AQ343))&lt;&gt;"na",SUMPRODUCT(--(UPPER(TRIM($AQ$2:$AQ$518))=UPPER(TRIM($AQ343))),--(TRIM($AQ$2:$AQ$518)&lt;&gt;""),--(LOWER(TRIM($AQ$2:$AQ$518))&lt;&gt;"n/a"),--(LOWER(TRIM($AQ$2:$AQ$518))&lt;&gt;"na"))&gt;1)),"Yes","No"))</f>
        <v/>
      </c>
      <c r="F343">
        <f>IF(UPPER(TRIM($B343))&lt;&gt;"YES","", IF(OR(AND($V343&lt;&gt;"", LOWER(TRIM($V343))&lt;&gt;"n/a", LOWER(TRIM($V343))&lt;&gt;"na", SUMPRODUCT(--(UPPER(TRIM($V$2:$V$518))=UPPER(TRIM($V343))), --(UPPER(TRIM($B$2:$B$518))="YES"), --(UPPER(TRIM($G$2:$G$518)&amp;TRIM($I$2:$I$518)&amp;TRIM($J$2:$J$518))&lt;&gt;UPPER(TRIM($G343)&amp;TRIM($I343)&amp;TRIM($J343))))&gt;0), AND($W343&lt;&gt;"", LOWER(TRIM($W343))&lt;&gt;"n/a", LOWER(TRIM($W343))&lt;&gt;"na", SUMPRODUCT(--(UPPER(TRIM($W$2:$W$518))=UPPER(TRIM($W343))), --(UPPER(TRIM($B$2:$B$518))="YES"), --(UPPER(TRIM($G$2:$G$518)&amp;TRIM($I$2:$I$518)&amp;TRIM($J$2:$J$518))&lt;&gt;UPPER(TRIM($G343)&amp;TRIM($I343)&amp;TRIM($J343))))&gt;0), AND($X343&lt;&gt;"", LOWER(TRIM($X343))&lt;&gt;"n/a", LOWER(TRIM($X343))&lt;&gt;"na", SUMPRODUCT(--(UPPER(TRIM($X$2:$X$518))=UPPER(TRIM($X343))), --(UPPER(TRIM($B$2:$B$518))="YES"), --(UPPER(TRIM($G$2:$G$518)&amp;TRIM($I$2:$I$518)&amp;TRIM($J$2:$J$518))&lt;&gt;UPPER(TRIM($G343)&amp;TRIM($I343)&amp;TRIM($J343))))&gt;0), AND($Y343&lt;&gt;"", LOWER(TRIM($Y343))&lt;&gt;"n/a", LOWER(TRIM($Y343))&lt;&gt;"na", SUMPRODUCT(--(UPPER(SUBSTITUTE(SUBSTITUTE(TRIM($Y$2:$Y$518),":",""),"-",""))=UPPER(SUBSTITUTE(SUBSTITUTE(TRIM($Y343),":",""),"-",""))), --(UPPER(TRIM($B$2:$B$518))="YES"), --(UPPER(TRIM($G$2:$G$518)&amp;TRIM($I$2:$I$518)&amp;TRIM($J$2:$J$518))&lt;&gt;UPPER(TRIM($G343)&amp;TRIM($I343)&amp;TRIM($J343))))&gt;0), AND($AB343&lt;&gt;"", LOWER(TRIM($AB343))&lt;&gt;"n/a", LOWER(TRIM($AB343))&lt;&gt;"na", SUMPRODUCT(--(UPPER(TRIM($AB$2:$AB$518))=UPPER(TRIM($AB343))), --(UPPER(TRIM($B$2:$B$518))="YES"), --(UPPER(TRIM($G$2:$G$518)&amp;TRIM($I$2:$I$518)&amp;TRIM($J$2:$J$518))&lt;&gt;UPPER(TRIM($G343)&amp;TRIM($I343)&amp;TRIM($J343))))&gt;0), AND($AH343&lt;&gt;"", LOWER(TRIM($AH343))&lt;&gt;"n/a", LOWER(TRIM($AH343))&lt;&gt;"na", SUMPRODUCT(--(UPPER(SUBSTITUTE(SUBSTITUTE(TRIM($AH$2:$AH$518),":",""),"-",""))=UPPER(SUBSTITUTE(SUBSTITUTE(TRIM($AH343),":",""),"-",""))), --(UPPER(TRIM($B$2:$B$518))="YES"), --(UPPER(TRIM($G$2:$G$518)&amp;TRIM($I$2:$I$518)&amp;TRIM($J$2:$J$518))&lt;&gt;UPPER(TRIM($G343)&amp;TRIM($I343)&amp;TRIM($J343))))&gt;0), AND($AP343&lt;&gt;"", LOWER(TRIM($AP343))&lt;&gt;"n/a", LOWER(TRIM($AP343))&lt;&gt;"na", SUMPRODUCT(--(UPPER(TRIM($AP$2:$AP$518))=UPPER(TRIM($AP343))), --(UPPER(TRIM($B$2:$B$518))="YES"), --(UPPER(TRIM($G$2:$G$518)&amp;TRIM($I$2:$I$518)&amp;TRIM($J$2:$J$518))&lt;&gt;UPPER(TRIM($G343)&amp;TRIM($I343)&amp;TRIM($J343))))&gt;0), AND($AQ343&lt;&gt;"", LOWER(TRIM($AQ343))&lt;&gt;"n/a", LOWER(TRIM($AQ343))&lt;&gt;"na", SUMPRODUCT(--(UPPER(TRIM($AQ$2:$AQ$518))=UPPER(TRIM($AQ343))), --(UPPER(TRIM($B$2:$B$518))="YES"), --(UPPER(TRIM($G$2:$G$518)&amp;TRIM($I$2:$I$518)&amp;TRIM($J$2:$J$518))&lt;&gt;UPPER(TRIM($G343)&amp;TRIM($I343)&amp;TRIM($J343))))&gt;0)), "Yes", "No"))</f>
        <v/>
      </c>
      <c r="G343" t="inlineStr">
        <is>
          <t>1 Marcus</t>
        </is>
      </c>
      <c r="H343" t="inlineStr">
        <is>
          <t>SSUH</t>
        </is>
      </c>
      <c r="V343" t="inlineStr">
        <is>
          <t>WBS301OPR113</t>
        </is>
      </c>
      <c r="W343" t="inlineStr">
        <is>
          <t>MEDNM24G25-3670</t>
        </is>
      </c>
      <c r="CD343">
        <f>IF($Y343="","",IF((IF(AND($BR343&lt;&gt;"Yes",$BR343&lt;&gt;"N/A"),"Power Cable, ","")&amp;IF(AND($BS343&lt;&gt;"Yes",$BS343&lt;&gt;"N/A"),"Battery, ","")&amp;IF(AND($AD343&lt;&gt;"Yes",$AD343&lt;&gt;"N/A"),"Firmware Download, ","")&amp;IF(AND(OR($AD343="Yes",$AD343="N/A"),$AE343&lt;&gt;"Yes",$AE343&lt;&gt;"N/A"),"Firmware Install, ","")&amp;IF(AND($CB343&lt;&gt;"Yes",$CB343&lt;&gt;"N/A"),"Device ID, ","")&amp;IF(AND($CC343&lt;&gt;"Yes",$CC343&lt;&gt;"N/A"),"Epic Beans Relay, ",""))="","",LEFT(IF(AND($BR343&lt;&gt;"Yes",$BR343&lt;&gt;"N/A"),"Power Cable, ","")&amp;IF(AND($BS343&lt;&gt;"Yes",$BS343&lt;&gt;"N/A"),"Battery, ","")&amp;IF(AND($AD343&lt;&gt;"Yes",$AD343&lt;&gt;"N/A"),"Firmware Download, ","")&amp;IF(AND(OR($AD343="Yes",$AD343="N/A"),$AE343&lt;&gt;"Yes",$AE343&lt;&gt;"N/A"),"Firmware Install, ","")&amp;IF(AND($CB343&lt;&gt;"Yes",$CB343&lt;&gt;"N/A"),"Device ID, ","")&amp;IF(AND($CC343&lt;&gt;"Yes",$CC343&lt;&gt;"N/A"),"Epic Beans Relay, ",""),LEN(IF(AND($BR343&lt;&gt;"Yes",$BR343&lt;&gt;"N/A"),"Power Cable, ","")&amp;IF(AND($BS343&lt;&gt;"Yes",$BS343&lt;&gt;"N/A"),"Battery, ","")&amp;IF(AND($AD343&lt;&gt;"Yes",$AD343&lt;&gt;"N/A"),"Firmware Download, ","")&amp;IF(AND(OR($AD343="Yes",$AD343="N/A"),$AE343&lt;&gt;"Yes",$AE343&lt;&gt;"N/A"),"Firmware Install, ","")&amp;IF(AND($CB343&lt;&gt;"Yes",$CB343&lt;&gt;"N/A"),"Device ID, ","")&amp;IF(AND($CC343&lt;&gt;"Yes",$CC343&lt;&gt;"N/A"),"Epic Beans Relay, ",""))-2)))</f>
        <v/>
      </c>
      <c r="CE343">
        <f>IF($Y343="","",IF($CD343="","Yes","Blocked"))</f>
        <v/>
      </c>
      <c r="CP343">
        <f>IF($CO343="","",IFERROR(VLOOKUP($CO343,'01_Warehouse_Ledger'!$A:$N,4,FALSE),""))</f>
        <v/>
      </c>
      <c r="CQ343">
        <f>IF($CO343="","",IFERROR(VLOOKUP($CO343,'01_Warehouse_Ledger'!$A:$N,5,FALSE),""))</f>
        <v/>
      </c>
      <c r="CR343">
        <f>IF($CO343="","",IFERROR(VLOOKUP($CO343,'01_Warehouse_Ledger'!$A:$N,13,FALSE),""))</f>
        <v/>
      </c>
      <c r="CW343">
        <f>IF($S343="","",IF(UPPER(TRIM($S343))&lt;&gt;"PASS","",IF(LEN(TRIM($BY343))&gt;0,"NOTES_PRESENT",IF(LEN(TRIM($T343))=0,"SET_NA",IF(OR(LOWER(TRIM($T343))="na",LOWER(TRIM($T343))="n/a"),"OK","MANUAL_OVERRIDE")))))</f>
        <v/>
      </c>
    </row>
    <row r="344">
      <c r="A344" t="inlineStr">
        <is>
          <t>Cybernet</t>
        </is>
      </c>
      <c r="B344" t="inlineStr">
        <is>
          <t>No</t>
        </is>
      </c>
      <c r="C344" t="inlineStr">
        <is>
          <t>No</t>
        </is>
      </c>
      <c r="D344">
        <f>IF($B344&lt;&gt;"Yes","",IF($C344="No","Yes",IF($C344="Yes","No","")))</f>
        <v/>
      </c>
      <c r="E344">
        <f>IF($A344="","",IF(OR(AND($V342&lt;&gt;"",LOWER(TRIM($V342))&lt;&gt;"n/a",LOWER(TRIM($V342))&lt;&gt;"na",SUMPRODUCT(--(UPPER(TRIM($V$2:$V$518))=UPPER(TRIM($V342))),--(TRIM($V$2:$V$518)&lt;&gt;""),--(LOWER(TRIM($V$2:$V$518))&lt;&gt;"n/a"),--(LOWER(TRIM($V$2:$V$518))&lt;&gt;"na"))&gt;1),AND($W342&lt;&gt;"",LOWER(TRIM($W342))&lt;&gt;"n/a",LOWER(TRIM($W342))&lt;&gt;"na",SUMPRODUCT(--(UPPER(TRIM($W$2:$W$518))=UPPER(TRIM($W342))),--(TRIM($W$2:$W$518)&lt;&gt;""),--(LOWER(TRIM($W$2:$W$518))&lt;&gt;"n/a"),--(LOWER(TRIM($W$2:$W$518))&lt;&gt;"na"))&gt;1),AND($X344&lt;&gt;"",LOWER(TRIM($X344))&lt;&gt;"n/a",LOWER(TRIM($X344))&lt;&gt;"na",SUMPRODUCT(--(UPPER(TRIM($X$2:$X$518))=UPPER(TRIM($X344))),--(TRIM($X$2:$X$518)&lt;&gt;""),--(LOWER(TRIM($X$2:$X$518))&lt;&gt;"n/a"),--(LOWER(TRIM($X$2:$X$518))&lt;&gt;"na"))&gt;1),AND($Y344&lt;&gt;"",LOWER(TRIM($Y344))&lt;&gt;"n/a",LOWER(TRIM($Y344))&lt;&gt;"na",SUMPRODUCT(--(UPPER(SUBSTITUTE(SUBSTITUTE(TRIM($Y$2:$Y$518),":",""),"-",""))=UPPER(SUBSTITUTE(SUBSTITUTE(TRIM($Y344),":",""),"-",""))),--(TRIM($Y$2:$Y$518)&lt;&gt;""),--(LOWER(TRIM($Y$2:$Y$518))&lt;&gt;"n/a"),--(LOWER(TRIM($Y$2:$Y$518))&lt;&gt;"na"))&gt;1),AND($AB344&lt;&gt;"",LOWER(TRIM($AB344))&lt;&gt;"n/a",LOWER(TRIM($AB344))&lt;&gt;"na",SUMPRODUCT(--(UPPER(TRIM($AB$2:$AB$518))=UPPER(TRIM($AB344))),--(TRIM($AB$2:$AB$518)&lt;&gt;""),--(LOWER(TRIM($AB$2:$AB$518))&lt;&gt;"n/a"),--(LOWER(TRIM($AB$2:$AB$518))&lt;&gt;"na"))&gt;1),AND($AH344&lt;&gt;"",LOWER(TRIM($AH344))&lt;&gt;"n/a",LOWER(TRIM($AH344))&lt;&gt;"na",SUMPRODUCT(--(UPPER(SUBSTITUTE(SUBSTITUTE(TRIM($AH$2:$AH$518),":",""),"-",""))=UPPER(SUBSTITUTE(SUBSTITUTE(TRIM($AH344),":",""),"-",""))),--(TRIM($AH$2:$AH$518)&lt;&gt;""),--(LOWER(TRIM($AH$2:$AH$518))&lt;&gt;"n/a"),--(LOWER(TRIM($AH$2:$AH$518))&lt;&gt;"na"))&gt;1),AND($AP344&lt;&gt;"",LOWER(TRIM($AP344))&lt;&gt;"n/a",LOWER(TRIM($AP344))&lt;&gt;"na",SUMPRODUCT(--(UPPER(TRIM($AP$2:$AP$518))=UPPER(TRIM($AP344))),--(TRIM($AP$2:$AP$518)&lt;&gt;""),--(LOWER(TRIM($AP$2:$AP$518))&lt;&gt;"n/a"),--(LOWER(TRIM($AP$2:$AP$518))&lt;&gt;"na"))&gt;1),AND($AQ344&lt;&gt;"",LOWER(TRIM($AQ344))&lt;&gt;"n/a",LOWER(TRIM($AQ344))&lt;&gt;"na",SUMPRODUCT(--(UPPER(TRIM($AQ$2:$AQ$518))=UPPER(TRIM($AQ344))),--(TRIM($AQ$2:$AQ$518)&lt;&gt;""),--(LOWER(TRIM($AQ$2:$AQ$518))&lt;&gt;"n/a"),--(LOWER(TRIM($AQ$2:$AQ$518))&lt;&gt;"na"))&gt;1)),"Yes","No"))</f>
        <v/>
      </c>
      <c r="F344">
        <f>IF(UPPER(TRIM($B344))&lt;&gt;"YES","", IF(OR(AND($V344&lt;&gt;"", LOWER(TRIM($V344))&lt;&gt;"n/a", LOWER(TRIM($V344))&lt;&gt;"na", SUMPRODUCT(--(UPPER(TRIM($V$2:$V$518))=UPPER(TRIM($V344))), --(UPPER(TRIM($B$2:$B$518))="YES"), --(UPPER(TRIM($G$2:$G$518)&amp;TRIM($I$2:$I$518)&amp;TRIM($J$2:$J$518))&lt;&gt;UPPER(TRIM($G344)&amp;TRIM($I344)&amp;TRIM($J344))))&gt;0), AND($W344&lt;&gt;"", LOWER(TRIM($W344))&lt;&gt;"n/a", LOWER(TRIM($W344))&lt;&gt;"na", SUMPRODUCT(--(UPPER(TRIM($W$2:$W$518))=UPPER(TRIM($W344))), --(UPPER(TRIM($B$2:$B$518))="YES"), --(UPPER(TRIM($G$2:$G$518)&amp;TRIM($I$2:$I$518)&amp;TRIM($J$2:$J$518))&lt;&gt;UPPER(TRIM($G344)&amp;TRIM($I344)&amp;TRIM($J344))))&gt;0), AND($X344&lt;&gt;"", LOWER(TRIM($X344))&lt;&gt;"n/a", LOWER(TRIM($X344))&lt;&gt;"na", SUMPRODUCT(--(UPPER(TRIM($X$2:$X$518))=UPPER(TRIM($X344))), --(UPPER(TRIM($B$2:$B$518))="YES"), --(UPPER(TRIM($G$2:$G$518)&amp;TRIM($I$2:$I$518)&amp;TRIM($J$2:$J$518))&lt;&gt;UPPER(TRIM($G344)&amp;TRIM($I344)&amp;TRIM($J344))))&gt;0), AND($Y344&lt;&gt;"", LOWER(TRIM($Y344))&lt;&gt;"n/a", LOWER(TRIM($Y344))&lt;&gt;"na", SUMPRODUCT(--(UPPER(SUBSTITUTE(SUBSTITUTE(TRIM($Y$2:$Y$518),":",""),"-",""))=UPPER(SUBSTITUTE(SUBSTITUTE(TRIM($Y344),":",""),"-",""))), --(UPPER(TRIM($B$2:$B$518))="YES"), --(UPPER(TRIM($G$2:$G$518)&amp;TRIM($I$2:$I$518)&amp;TRIM($J$2:$J$518))&lt;&gt;UPPER(TRIM($G344)&amp;TRIM($I344)&amp;TRIM($J344))))&gt;0), AND($AB344&lt;&gt;"", LOWER(TRIM($AB344))&lt;&gt;"n/a", LOWER(TRIM($AB344))&lt;&gt;"na", SUMPRODUCT(--(UPPER(TRIM($AB$2:$AB$518))=UPPER(TRIM($AB344))), --(UPPER(TRIM($B$2:$B$518))="YES"), --(UPPER(TRIM($G$2:$G$518)&amp;TRIM($I$2:$I$518)&amp;TRIM($J$2:$J$518))&lt;&gt;UPPER(TRIM($G344)&amp;TRIM($I344)&amp;TRIM($J344))))&gt;0), AND($AH344&lt;&gt;"", LOWER(TRIM($AH344))&lt;&gt;"n/a", LOWER(TRIM($AH344))&lt;&gt;"na", SUMPRODUCT(--(UPPER(SUBSTITUTE(SUBSTITUTE(TRIM($AH$2:$AH$518),":",""),"-",""))=UPPER(SUBSTITUTE(SUBSTITUTE(TRIM($AH344),":",""),"-",""))), --(UPPER(TRIM($B$2:$B$518))="YES"), --(UPPER(TRIM($G$2:$G$518)&amp;TRIM($I$2:$I$518)&amp;TRIM($J$2:$J$518))&lt;&gt;UPPER(TRIM($G344)&amp;TRIM($I344)&amp;TRIM($J344))))&gt;0), AND($AP344&lt;&gt;"", LOWER(TRIM($AP344))&lt;&gt;"n/a", LOWER(TRIM($AP344))&lt;&gt;"na", SUMPRODUCT(--(UPPER(TRIM($AP$2:$AP$518))=UPPER(TRIM($AP344))), --(UPPER(TRIM($B$2:$B$518))="YES"), --(UPPER(TRIM($G$2:$G$518)&amp;TRIM($I$2:$I$518)&amp;TRIM($J$2:$J$518))&lt;&gt;UPPER(TRIM($G344)&amp;TRIM($I344)&amp;TRIM($J344))))&gt;0), AND($AQ344&lt;&gt;"", LOWER(TRIM($AQ344))&lt;&gt;"n/a", LOWER(TRIM($AQ344))&lt;&gt;"na", SUMPRODUCT(--(UPPER(TRIM($AQ$2:$AQ$518))=UPPER(TRIM($AQ344))), --(UPPER(TRIM($B$2:$B$518))="YES"), --(UPPER(TRIM($G$2:$G$518)&amp;TRIM($I$2:$I$518)&amp;TRIM($J$2:$J$518))&lt;&gt;UPPER(TRIM($G344)&amp;TRIM($I344)&amp;TRIM($J344))))&gt;0)), "Yes", "No"))</f>
        <v/>
      </c>
      <c r="G344" t="inlineStr">
        <is>
          <t>1 Marcus</t>
        </is>
      </c>
      <c r="H344" t="inlineStr">
        <is>
          <t>NSUH - VAR</t>
        </is>
      </c>
      <c r="CD344">
        <f>IF($Y344="","",IF((IF(AND($BR344&lt;&gt;"Yes",$BR344&lt;&gt;"N/A"),"Power Cable, ","")&amp;IF(AND($BS344&lt;&gt;"Yes",$BS344&lt;&gt;"N/A"),"Battery, ","")&amp;IF(AND($AD344&lt;&gt;"Yes",$AD344&lt;&gt;"N/A"),"Firmware Download, ","")&amp;IF(AND(OR($AD344="Yes",$AD344="N/A"),$AE344&lt;&gt;"Yes",$AE344&lt;&gt;"N/A"),"Firmware Install, ","")&amp;IF(AND($CB344&lt;&gt;"Yes",$CB344&lt;&gt;"N/A"),"Device ID, ","")&amp;IF(AND($CC344&lt;&gt;"Yes",$CC344&lt;&gt;"N/A"),"Epic Beans Relay, ",""))="","",LEFT(IF(AND($BR344&lt;&gt;"Yes",$BR344&lt;&gt;"N/A"),"Power Cable, ","")&amp;IF(AND($BS344&lt;&gt;"Yes",$BS344&lt;&gt;"N/A"),"Battery, ","")&amp;IF(AND($AD344&lt;&gt;"Yes",$AD344&lt;&gt;"N/A"),"Firmware Download, ","")&amp;IF(AND(OR($AD344="Yes",$AD344="N/A"),$AE344&lt;&gt;"Yes",$AE344&lt;&gt;"N/A"),"Firmware Install, ","")&amp;IF(AND($CB344&lt;&gt;"Yes",$CB344&lt;&gt;"N/A"),"Device ID, ","")&amp;IF(AND($CC344&lt;&gt;"Yes",$CC344&lt;&gt;"N/A"),"Epic Beans Relay, ",""),LEN(IF(AND($BR344&lt;&gt;"Yes",$BR344&lt;&gt;"N/A"),"Power Cable, ","")&amp;IF(AND($BS344&lt;&gt;"Yes",$BS344&lt;&gt;"N/A"),"Battery, ","")&amp;IF(AND($AD344&lt;&gt;"Yes",$AD344&lt;&gt;"N/A"),"Firmware Download, ","")&amp;IF(AND(OR($AD344="Yes",$AD344="N/A"),$AE344&lt;&gt;"Yes",$AE344&lt;&gt;"N/A"),"Firmware Install, ","")&amp;IF(AND($CB344&lt;&gt;"Yes",$CB344&lt;&gt;"N/A"),"Device ID, ","")&amp;IF(AND($CC344&lt;&gt;"Yes",$CC344&lt;&gt;"N/A"),"Epic Beans Relay, ",""))-2)))</f>
        <v/>
      </c>
      <c r="CE344">
        <f>IF($Y344="","",IF($CD344="","Yes","Blocked"))</f>
        <v/>
      </c>
      <c r="CP344">
        <f>IF($CO344="","",IFERROR(VLOOKUP($CO344,'01_Warehouse_Ledger'!$A:$N,4,FALSE),""))</f>
        <v/>
      </c>
      <c r="CQ344">
        <f>IF($CO344="","",IFERROR(VLOOKUP($CO344,'01_Warehouse_Ledger'!$A:$N,5,FALSE),""))</f>
        <v/>
      </c>
      <c r="CR344">
        <f>IF($CO344="","",IFERROR(VLOOKUP($CO344,'01_Warehouse_Ledger'!$A:$N,13,FALSE),""))</f>
        <v/>
      </c>
      <c r="CW344">
        <f>IF($S344="","",IF(UPPER(TRIM($S344))&lt;&gt;"PASS","",IF(LEN(TRIM($BY344))&gt;0,"NOTES_PRESENT",IF(LEN(TRIM($T344))=0,"SET_NA",IF(OR(LOWER(TRIM($T344))="na",LOWER(TRIM($T344))="n/a"),"OK","MANUAL_OVERRIDE")))))</f>
        <v/>
      </c>
    </row>
    <row r="345">
      <c r="A345" t="inlineStr">
        <is>
          <t>Cybernet</t>
        </is>
      </c>
      <c r="B345" t="inlineStr">
        <is>
          <t>No</t>
        </is>
      </c>
      <c r="C345" t="inlineStr">
        <is>
          <t>No</t>
        </is>
      </c>
      <c r="D345">
        <f>IF($B345&lt;&gt;"Yes","",IF($C345="No","Yes",IF($C345="Yes","No","")))</f>
        <v/>
      </c>
      <c r="E345">
        <f>IF($A345="","",IF(OR(AND(#REF!&lt;&gt;"",LOWER(TRIM(#REF!))&lt;&gt;"n/a",LOWER(TRIM(#REF!))&lt;&gt;"na",SUMPRODUCT(--(UPPER(TRIM($V$2:$V$518))=UPPER(TRIM(#REF!))),--(TRIM($V$2:$V$518)&lt;&gt;""),--(LOWER(TRIM($V$2:$V$518))&lt;&gt;"n/a"),--(LOWER(TRIM($V$2:$V$518))&lt;&gt;"na"))&gt;1),AND(#REF!&lt;&gt;"",LOWER(TRIM(#REF!))&lt;&gt;"n/a",LOWER(TRIM(#REF!))&lt;&gt;"na",SUMPRODUCT(--(UPPER(TRIM($W$2:$W$518))=UPPER(TRIM(#REF!))),--(TRIM($W$2:$W$518)&lt;&gt;""),--(LOWER(TRIM($W$2:$W$518))&lt;&gt;"n/a"),--(LOWER(TRIM($W$2:$W$518))&lt;&gt;"na"))&gt;1),AND($X345&lt;&gt;"",LOWER(TRIM($X345))&lt;&gt;"n/a",LOWER(TRIM($X345))&lt;&gt;"na",SUMPRODUCT(--(UPPER(TRIM($X$2:$X$518))=UPPER(TRIM($X345))),--(TRIM($X$2:$X$518)&lt;&gt;""),--(LOWER(TRIM($X$2:$X$518))&lt;&gt;"n/a"),--(LOWER(TRIM($X$2:$X$518))&lt;&gt;"na"))&gt;1),AND($Y345&lt;&gt;"",LOWER(TRIM($Y345))&lt;&gt;"n/a",LOWER(TRIM($Y345))&lt;&gt;"na",SUMPRODUCT(--(UPPER(SUBSTITUTE(SUBSTITUTE(TRIM($Y$2:$Y$518),":",""),"-",""))=UPPER(SUBSTITUTE(SUBSTITUTE(TRIM($Y345),":",""),"-",""))),--(TRIM($Y$2:$Y$518)&lt;&gt;""),--(LOWER(TRIM($Y$2:$Y$518))&lt;&gt;"n/a"),--(LOWER(TRIM($Y$2:$Y$518))&lt;&gt;"na"))&gt;1),AND($AB345&lt;&gt;"",LOWER(TRIM($AB345))&lt;&gt;"n/a",LOWER(TRIM($AB345))&lt;&gt;"na",SUMPRODUCT(--(UPPER(TRIM($AB$2:$AB$518))=UPPER(TRIM($AB345))),--(TRIM($AB$2:$AB$518)&lt;&gt;""),--(LOWER(TRIM($AB$2:$AB$518))&lt;&gt;"n/a"),--(LOWER(TRIM($AB$2:$AB$518))&lt;&gt;"na"))&gt;1),AND($AH345&lt;&gt;"",LOWER(TRIM($AH345))&lt;&gt;"n/a",LOWER(TRIM($AH345))&lt;&gt;"na",SUMPRODUCT(--(UPPER(SUBSTITUTE(SUBSTITUTE(TRIM($AH$2:$AH$518),":",""),"-",""))=UPPER(SUBSTITUTE(SUBSTITUTE(TRIM($AH345),":",""),"-",""))),--(TRIM($AH$2:$AH$518)&lt;&gt;""),--(LOWER(TRIM($AH$2:$AH$518))&lt;&gt;"n/a"),--(LOWER(TRIM($AH$2:$AH$518))&lt;&gt;"na"))&gt;1),AND($AP345&lt;&gt;"",LOWER(TRIM($AP345))&lt;&gt;"n/a",LOWER(TRIM($AP345))&lt;&gt;"na",SUMPRODUCT(--(UPPER(TRIM($AP$2:$AP$518))=UPPER(TRIM($AP345))),--(TRIM($AP$2:$AP$518)&lt;&gt;""),--(LOWER(TRIM($AP$2:$AP$518))&lt;&gt;"n/a"),--(LOWER(TRIM($AP$2:$AP$518))&lt;&gt;"na"))&gt;1),AND($AQ345&lt;&gt;"",LOWER(TRIM($AQ345))&lt;&gt;"n/a",LOWER(TRIM($AQ345))&lt;&gt;"na",SUMPRODUCT(--(UPPER(TRIM($AQ$2:$AQ$518))=UPPER(TRIM($AQ345))),--(TRIM($AQ$2:$AQ$518)&lt;&gt;""),--(LOWER(TRIM($AQ$2:$AQ$518))&lt;&gt;"n/a"),--(LOWER(TRIM($AQ$2:$AQ$518))&lt;&gt;"na"))&gt;1)),"Yes","No"))</f>
        <v/>
      </c>
      <c r="F345">
        <f>IF(UPPER(TRIM($B345))&lt;&gt;"YES","", IF(OR(AND($V345&lt;&gt;"", LOWER(TRIM($V345))&lt;&gt;"n/a", LOWER(TRIM($V345))&lt;&gt;"na", SUMPRODUCT(--(UPPER(TRIM($V$2:$V$518))=UPPER(TRIM($V345))), --(UPPER(TRIM($B$2:$B$518))="YES"), --(UPPER(TRIM($G$2:$G$518)&amp;TRIM($I$2:$I$518)&amp;TRIM($J$2:$J$518))&lt;&gt;UPPER(TRIM($G345)&amp;TRIM($I345)&amp;TRIM($J345))))&gt;0), AND($W345&lt;&gt;"", LOWER(TRIM($W345))&lt;&gt;"n/a", LOWER(TRIM($W345))&lt;&gt;"na", SUMPRODUCT(--(UPPER(TRIM($W$2:$W$518))=UPPER(TRIM($W345))), --(UPPER(TRIM($B$2:$B$518))="YES"), --(UPPER(TRIM($G$2:$G$518)&amp;TRIM($I$2:$I$518)&amp;TRIM($J$2:$J$518))&lt;&gt;UPPER(TRIM($G345)&amp;TRIM($I345)&amp;TRIM($J345))))&gt;0), AND($X345&lt;&gt;"", LOWER(TRIM($X345))&lt;&gt;"n/a", LOWER(TRIM($X345))&lt;&gt;"na", SUMPRODUCT(--(UPPER(TRIM($X$2:$X$518))=UPPER(TRIM($X345))), --(UPPER(TRIM($B$2:$B$518))="YES"), --(UPPER(TRIM($G$2:$G$518)&amp;TRIM($I$2:$I$518)&amp;TRIM($J$2:$J$518))&lt;&gt;UPPER(TRIM($G345)&amp;TRIM($I345)&amp;TRIM($J345))))&gt;0), AND($Y345&lt;&gt;"", LOWER(TRIM($Y345))&lt;&gt;"n/a", LOWER(TRIM($Y345))&lt;&gt;"na", SUMPRODUCT(--(UPPER(SUBSTITUTE(SUBSTITUTE(TRIM($Y$2:$Y$518),":",""),"-",""))=UPPER(SUBSTITUTE(SUBSTITUTE(TRIM($Y345),":",""),"-",""))), --(UPPER(TRIM($B$2:$B$518))="YES"), --(UPPER(TRIM($G$2:$G$518)&amp;TRIM($I$2:$I$518)&amp;TRIM($J$2:$J$518))&lt;&gt;UPPER(TRIM($G345)&amp;TRIM($I345)&amp;TRIM($J345))))&gt;0), AND($AB345&lt;&gt;"", LOWER(TRIM($AB345))&lt;&gt;"n/a", LOWER(TRIM($AB345))&lt;&gt;"na", SUMPRODUCT(--(UPPER(TRIM($AB$2:$AB$518))=UPPER(TRIM($AB345))), --(UPPER(TRIM($B$2:$B$518))="YES"), --(UPPER(TRIM($G$2:$G$518)&amp;TRIM($I$2:$I$518)&amp;TRIM($J$2:$J$518))&lt;&gt;UPPER(TRIM($G345)&amp;TRIM($I345)&amp;TRIM($J345))))&gt;0), AND($AH345&lt;&gt;"", LOWER(TRIM($AH345))&lt;&gt;"n/a", LOWER(TRIM($AH345))&lt;&gt;"na", SUMPRODUCT(--(UPPER(SUBSTITUTE(SUBSTITUTE(TRIM($AH$2:$AH$518),":",""),"-",""))=UPPER(SUBSTITUTE(SUBSTITUTE(TRIM($AH345),":",""),"-",""))), --(UPPER(TRIM($B$2:$B$518))="YES"), --(UPPER(TRIM($G$2:$G$518)&amp;TRIM($I$2:$I$518)&amp;TRIM($J$2:$J$518))&lt;&gt;UPPER(TRIM($G345)&amp;TRIM($I345)&amp;TRIM($J345))))&gt;0), AND($AP345&lt;&gt;"", LOWER(TRIM($AP345))&lt;&gt;"n/a", LOWER(TRIM($AP345))&lt;&gt;"na", SUMPRODUCT(--(UPPER(TRIM($AP$2:$AP$518))=UPPER(TRIM($AP345))), --(UPPER(TRIM($B$2:$B$518))="YES"), --(UPPER(TRIM($G$2:$G$518)&amp;TRIM($I$2:$I$518)&amp;TRIM($J$2:$J$518))&lt;&gt;UPPER(TRIM($G345)&amp;TRIM($I345)&amp;TRIM($J345))))&gt;0), AND($AQ345&lt;&gt;"", LOWER(TRIM($AQ345))&lt;&gt;"n/a", LOWER(TRIM($AQ345))&lt;&gt;"na", SUMPRODUCT(--(UPPER(TRIM($AQ$2:$AQ$518))=UPPER(TRIM($AQ345))), --(UPPER(TRIM($B$2:$B$518))="YES"), --(UPPER(TRIM($G$2:$G$518)&amp;TRIM($I$2:$I$518)&amp;TRIM($J$2:$J$518))&lt;&gt;UPPER(TRIM($G345)&amp;TRIM($I345)&amp;TRIM($J345))))&gt;0)), "Yes", "No"))</f>
        <v/>
      </c>
      <c r="G345" t="inlineStr">
        <is>
          <t>1 Marcus</t>
        </is>
      </c>
      <c r="H345" t="inlineStr">
        <is>
          <t>LIJFH</t>
        </is>
      </c>
      <c r="V345" t="inlineStr">
        <is>
          <t>WFH102OPR071</t>
        </is>
      </c>
      <c r="W345" t="inlineStr">
        <is>
          <t>MEDSG2425F-0167</t>
        </is>
      </c>
      <c r="CD345">
        <f>IF($Y345="","",IF((IF(AND($BR345&lt;&gt;"Yes",$BR345&lt;&gt;"N/A"),"Power Cable, ","")&amp;IF(AND($BS345&lt;&gt;"Yes",$BS345&lt;&gt;"N/A"),"Battery, ","")&amp;IF(AND($AD345&lt;&gt;"Yes",$AD345&lt;&gt;"N/A"),"Firmware Download, ","")&amp;IF(AND(OR($AD345="Yes",$AD345="N/A"),$AE345&lt;&gt;"Yes",$AE345&lt;&gt;"N/A"),"Firmware Install, ","")&amp;IF(AND($CB345&lt;&gt;"Yes",$CB345&lt;&gt;"N/A"),"Device ID, ","")&amp;IF(AND($CC345&lt;&gt;"Yes",$CC345&lt;&gt;"N/A"),"Epic Beans Relay, ",""))="","",LEFT(IF(AND($BR345&lt;&gt;"Yes",$BR345&lt;&gt;"N/A"),"Power Cable, ","")&amp;IF(AND($BS345&lt;&gt;"Yes",$BS345&lt;&gt;"N/A"),"Battery, ","")&amp;IF(AND($AD345&lt;&gt;"Yes",$AD345&lt;&gt;"N/A"),"Firmware Download, ","")&amp;IF(AND(OR($AD345="Yes",$AD345="N/A"),$AE345&lt;&gt;"Yes",$AE345&lt;&gt;"N/A"),"Firmware Install, ","")&amp;IF(AND($CB345&lt;&gt;"Yes",$CB345&lt;&gt;"N/A"),"Device ID, ","")&amp;IF(AND($CC345&lt;&gt;"Yes",$CC345&lt;&gt;"N/A"),"Epic Beans Relay, ",""),LEN(IF(AND($BR345&lt;&gt;"Yes",$BR345&lt;&gt;"N/A"),"Power Cable, ","")&amp;IF(AND($BS345&lt;&gt;"Yes",$BS345&lt;&gt;"N/A"),"Battery, ","")&amp;IF(AND($AD345&lt;&gt;"Yes",$AD345&lt;&gt;"N/A"),"Firmware Download, ","")&amp;IF(AND(OR($AD345="Yes",$AD345="N/A"),$AE345&lt;&gt;"Yes",$AE345&lt;&gt;"N/A"),"Firmware Install, ","")&amp;IF(AND($CB345&lt;&gt;"Yes",$CB345&lt;&gt;"N/A"),"Device ID, ","")&amp;IF(AND($CC345&lt;&gt;"Yes",$CC345&lt;&gt;"N/A"),"Epic Beans Relay, ",""))-2)))</f>
        <v/>
      </c>
      <c r="CE345">
        <f>IF($Y345="","",IF($CD345="","Yes","Blocked"))</f>
        <v/>
      </c>
      <c r="CP345">
        <f>IF($CO345="","",IFERROR(VLOOKUP($CO345,'01_Warehouse_Ledger'!$A:$N,4,FALSE),""))</f>
        <v/>
      </c>
      <c r="CQ345">
        <f>IF($CO345="","",IFERROR(VLOOKUP($CO345,'01_Warehouse_Ledger'!$A:$N,5,FALSE),""))</f>
        <v/>
      </c>
      <c r="CR345">
        <f>IF($CO345="","",IFERROR(VLOOKUP($CO345,'01_Warehouse_Ledger'!$A:$N,13,FALSE),""))</f>
        <v/>
      </c>
      <c r="CW345">
        <f>IF($S345="","",IF(UPPER(TRIM($S345))&lt;&gt;"PASS","",IF(LEN(TRIM($BY345))&gt;0,"NOTES_PRESENT",IF(LEN(TRIM($T345))=0,"SET_NA",IF(OR(LOWER(TRIM($T345))="na",LOWER(TRIM($T345))="n/a"),"OK","MANUAL_OVERRIDE")))))</f>
        <v/>
      </c>
    </row>
    <row r="346">
      <c r="A346" t="inlineStr">
        <is>
          <t>Cybernet</t>
        </is>
      </c>
      <c r="B346" t="inlineStr">
        <is>
          <t>No</t>
        </is>
      </c>
      <c r="C346" t="inlineStr">
        <is>
          <t>No</t>
        </is>
      </c>
      <c r="D346">
        <f>IF($B346&lt;&gt;"Yes","",IF($C346="No","Yes",IF($C346="Yes","No","")))</f>
        <v/>
      </c>
      <c r="E346">
        <f>IF($A346="","",IF(OR(AND(#REF!&lt;&gt;"",LOWER(TRIM(#REF!))&lt;&gt;"n/a",LOWER(TRIM(#REF!))&lt;&gt;"na",SUMPRODUCT(--(UPPER(TRIM($V$2:$V$518))=UPPER(TRIM(#REF!))),--(TRIM($V$2:$V$518)&lt;&gt;""),--(LOWER(TRIM($V$2:$V$518))&lt;&gt;"n/a"),--(LOWER(TRIM($V$2:$V$518))&lt;&gt;"na"))&gt;1),AND(#REF!&lt;&gt;"",LOWER(TRIM(#REF!))&lt;&gt;"n/a",LOWER(TRIM(#REF!))&lt;&gt;"na",SUMPRODUCT(--(UPPER(TRIM($W$2:$W$518))=UPPER(TRIM(#REF!))),--(TRIM($W$2:$W$518)&lt;&gt;""),--(LOWER(TRIM($W$2:$W$518))&lt;&gt;"n/a"),--(LOWER(TRIM($W$2:$W$518))&lt;&gt;"na"))&gt;1),AND($X346&lt;&gt;"",LOWER(TRIM($X346))&lt;&gt;"n/a",LOWER(TRIM($X346))&lt;&gt;"na",SUMPRODUCT(--(UPPER(TRIM($X$2:$X$518))=UPPER(TRIM($X346))),--(TRIM($X$2:$X$518)&lt;&gt;""),--(LOWER(TRIM($X$2:$X$518))&lt;&gt;"n/a"),--(LOWER(TRIM($X$2:$X$518))&lt;&gt;"na"))&gt;1),AND($Y346&lt;&gt;"",LOWER(TRIM($Y346))&lt;&gt;"n/a",LOWER(TRIM($Y346))&lt;&gt;"na",SUMPRODUCT(--(UPPER(SUBSTITUTE(SUBSTITUTE(TRIM($Y$2:$Y$518),":",""),"-",""))=UPPER(SUBSTITUTE(SUBSTITUTE(TRIM($Y346),":",""),"-",""))),--(TRIM($Y$2:$Y$518)&lt;&gt;""),--(LOWER(TRIM($Y$2:$Y$518))&lt;&gt;"n/a"),--(LOWER(TRIM($Y$2:$Y$518))&lt;&gt;"na"))&gt;1),AND($AB346&lt;&gt;"",LOWER(TRIM($AB346))&lt;&gt;"n/a",LOWER(TRIM($AB346))&lt;&gt;"na",SUMPRODUCT(--(UPPER(TRIM($AB$2:$AB$518))=UPPER(TRIM($AB346))),--(TRIM($AB$2:$AB$518)&lt;&gt;""),--(LOWER(TRIM($AB$2:$AB$518))&lt;&gt;"n/a"),--(LOWER(TRIM($AB$2:$AB$518))&lt;&gt;"na"))&gt;1),AND($AH346&lt;&gt;"",LOWER(TRIM($AH346))&lt;&gt;"n/a",LOWER(TRIM($AH346))&lt;&gt;"na",SUMPRODUCT(--(UPPER(SUBSTITUTE(SUBSTITUTE(TRIM($AH$2:$AH$518),":",""),"-",""))=UPPER(SUBSTITUTE(SUBSTITUTE(TRIM($AH346),":",""),"-",""))),--(TRIM($AH$2:$AH$518)&lt;&gt;""),--(LOWER(TRIM($AH$2:$AH$518))&lt;&gt;"n/a"),--(LOWER(TRIM($AH$2:$AH$518))&lt;&gt;"na"))&gt;1),AND($AP346&lt;&gt;"",LOWER(TRIM($AP346))&lt;&gt;"n/a",LOWER(TRIM($AP346))&lt;&gt;"na",SUMPRODUCT(--(UPPER(TRIM($AP$2:$AP$518))=UPPER(TRIM($AP346))),--(TRIM($AP$2:$AP$518)&lt;&gt;""),--(LOWER(TRIM($AP$2:$AP$518))&lt;&gt;"n/a"),--(LOWER(TRIM($AP$2:$AP$518))&lt;&gt;"na"))&gt;1),AND($AQ346&lt;&gt;"",LOWER(TRIM($AQ346))&lt;&gt;"n/a",LOWER(TRIM($AQ346))&lt;&gt;"na",SUMPRODUCT(--(UPPER(TRIM($AQ$2:$AQ$518))=UPPER(TRIM($AQ346))),--(TRIM($AQ$2:$AQ$518)&lt;&gt;""),--(LOWER(TRIM($AQ$2:$AQ$518))&lt;&gt;"n/a"),--(LOWER(TRIM($AQ$2:$AQ$518))&lt;&gt;"na"))&gt;1)),"Yes","No"))</f>
        <v/>
      </c>
      <c r="F346">
        <f>IF(UPPER(TRIM($B346))&lt;&gt;"YES","", IF(OR(AND($V346&lt;&gt;"", LOWER(TRIM($V346))&lt;&gt;"n/a", LOWER(TRIM($V346))&lt;&gt;"na", SUMPRODUCT(--(UPPER(TRIM($V$2:$V$518))=UPPER(TRIM($V346))), --(UPPER(TRIM($B$2:$B$518))="YES"), --(UPPER(TRIM($G$2:$G$518)&amp;TRIM($I$2:$I$518)&amp;TRIM($J$2:$J$518))&lt;&gt;UPPER(TRIM($G346)&amp;TRIM($I346)&amp;TRIM($J346))))&gt;0), AND($W346&lt;&gt;"", LOWER(TRIM($W346))&lt;&gt;"n/a", LOWER(TRIM($W346))&lt;&gt;"na", SUMPRODUCT(--(UPPER(TRIM($W$2:$W$518))=UPPER(TRIM($W346))), --(UPPER(TRIM($B$2:$B$518))="YES"), --(UPPER(TRIM($G$2:$G$518)&amp;TRIM($I$2:$I$518)&amp;TRIM($J$2:$J$518))&lt;&gt;UPPER(TRIM($G346)&amp;TRIM($I346)&amp;TRIM($J346))))&gt;0), AND($X346&lt;&gt;"", LOWER(TRIM($X346))&lt;&gt;"n/a", LOWER(TRIM($X346))&lt;&gt;"na", SUMPRODUCT(--(UPPER(TRIM($X$2:$X$518))=UPPER(TRIM($X346))), --(UPPER(TRIM($B$2:$B$518))="YES"), --(UPPER(TRIM($G$2:$G$518)&amp;TRIM($I$2:$I$518)&amp;TRIM($J$2:$J$518))&lt;&gt;UPPER(TRIM($G346)&amp;TRIM($I346)&amp;TRIM($J346))))&gt;0), AND($Y346&lt;&gt;"", LOWER(TRIM($Y346))&lt;&gt;"n/a", LOWER(TRIM($Y346))&lt;&gt;"na", SUMPRODUCT(--(UPPER(SUBSTITUTE(SUBSTITUTE(TRIM($Y$2:$Y$518),":",""),"-",""))=UPPER(SUBSTITUTE(SUBSTITUTE(TRIM($Y346),":",""),"-",""))), --(UPPER(TRIM($B$2:$B$518))="YES"), --(UPPER(TRIM($G$2:$G$518)&amp;TRIM($I$2:$I$518)&amp;TRIM($J$2:$J$518))&lt;&gt;UPPER(TRIM($G346)&amp;TRIM($I346)&amp;TRIM($J346))))&gt;0), AND($AB346&lt;&gt;"", LOWER(TRIM($AB346))&lt;&gt;"n/a", LOWER(TRIM($AB346))&lt;&gt;"na", SUMPRODUCT(--(UPPER(TRIM($AB$2:$AB$518))=UPPER(TRIM($AB346))), --(UPPER(TRIM($B$2:$B$518))="YES"), --(UPPER(TRIM($G$2:$G$518)&amp;TRIM($I$2:$I$518)&amp;TRIM($J$2:$J$518))&lt;&gt;UPPER(TRIM($G346)&amp;TRIM($I346)&amp;TRIM($J346))))&gt;0), AND($AH346&lt;&gt;"", LOWER(TRIM($AH346))&lt;&gt;"n/a", LOWER(TRIM($AH346))&lt;&gt;"na", SUMPRODUCT(--(UPPER(SUBSTITUTE(SUBSTITUTE(TRIM($AH$2:$AH$518),":",""),"-",""))=UPPER(SUBSTITUTE(SUBSTITUTE(TRIM($AH346),":",""),"-",""))), --(UPPER(TRIM($B$2:$B$518))="YES"), --(UPPER(TRIM($G$2:$G$518)&amp;TRIM($I$2:$I$518)&amp;TRIM($J$2:$J$518))&lt;&gt;UPPER(TRIM($G346)&amp;TRIM($I346)&amp;TRIM($J346))))&gt;0), AND($AP346&lt;&gt;"", LOWER(TRIM($AP346))&lt;&gt;"n/a", LOWER(TRIM($AP346))&lt;&gt;"na", SUMPRODUCT(--(UPPER(TRIM($AP$2:$AP$518))=UPPER(TRIM($AP346))), --(UPPER(TRIM($B$2:$B$518))="YES"), --(UPPER(TRIM($G$2:$G$518)&amp;TRIM($I$2:$I$518)&amp;TRIM($J$2:$J$518))&lt;&gt;UPPER(TRIM($G346)&amp;TRIM($I346)&amp;TRIM($J346))))&gt;0), AND($AQ346&lt;&gt;"", LOWER(TRIM($AQ346))&lt;&gt;"n/a", LOWER(TRIM($AQ346))&lt;&gt;"na", SUMPRODUCT(--(UPPER(TRIM($AQ$2:$AQ$518))=UPPER(TRIM($AQ346))), --(UPPER(TRIM($B$2:$B$518))="YES"), --(UPPER(TRIM($G$2:$G$518)&amp;TRIM($I$2:$I$518)&amp;TRIM($J$2:$J$518))&lt;&gt;UPPER(TRIM($G346)&amp;TRIM($I346)&amp;TRIM($J346))))&gt;0)), "Yes", "No"))</f>
        <v/>
      </c>
      <c r="G346" t="inlineStr">
        <is>
          <t>1 Marcus</t>
        </is>
      </c>
      <c r="H346" t="inlineStr">
        <is>
          <t xml:space="preserve">CCMC </t>
        </is>
      </c>
      <c r="V346" t="inlineStr">
        <is>
          <t>WNH269OPR028</t>
        </is>
      </c>
      <c r="W346" t="inlineStr">
        <is>
          <t>MEDNG2425E-3240</t>
        </is>
      </c>
      <c r="CD346">
        <f>IF($Y346="","",IF((IF(AND($BR346&lt;&gt;"Yes",$BR346&lt;&gt;"N/A"),"Power Cable, ","")&amp;IF(AND($BS346&lt;&gt;"Yes",$BS346&lt;&gt;"N/A"),"Battery, ","")&amp;IF(AND($AD346&lt;&gt;"Yes",$AD346&lt;&gt;"N/A"),"Firmware Download, ","")&amp;IF(AND(OR($AD346="Yes",$AD346="N/A"),$AE346&lt;&gt;"Yes",$AE346&lt;&gt;"N/A"),"Firmware Install, ","")&amp;IF(AND($CB346&lt;&gt;"Yes",$CB346&lt;&gt;"N/A"),"Device ID, ","")&amp;IF(AND($CC346&lt;&gt;"Yes",$CC346&lt;&gt;"N/A"),"Epic Beans Relay, ",""))="","",LEFT(IF(AND($BR346&lt;&gt;"Yes",$BR346&lt;&gt;"N/A"),"Power Cable, ","")&amp;IF(AND($BS346&lt;&gt;"Yes",$BS346&lt;&gt;"N/A"),"Battery, ","")&amp;IF(AND($AD346&lt;&gt;"Yes",$AD346&lt;&gt;"N/A"),"Firmware Download, ","")&amp;IF(AND(OR($AD346="Yes",$AD346="N/A"),$AE346&lt;&gt;"Yes",$AE346&lt;&gt;"N/A"),"Firmware Install, ","")&amp;IF(AND($CB346&lt;&gt;"Yes",$CB346&lt;&gt;"N/A"),"Device ID, ","")&amp;IF(AND($CC346&lt;&gt;"Yes",$CC346&lt;&gt;"N/A"),"Epic Beans Relay, ",""),LEN(IF(AND($BR346&lt;&gt;"Yes",$BR346&lt;&gt;"N/A"),"Power Cable, ","")&amp;IF(AND($BS346&lt;&gt;"Yes",$BS346&lt;&gt;"N/A"),"Battery, ","")&amp;IF(AND($AD346&lt;&gt;"Yes",$AD346&lt;&gt;"N/A"),"Firmware Download, ","")&amp;IF(AND(OR($AD346="Yes",$AD346="N/A"),$AE346&lt;&gt;"Yes",$AE346&lt;&gt;"N/A"),"Firmware Install, ","")&amp;IF(AND($CB346&lt;&gt;"Yes",$CB346&lt;&gt;"N/A"),"Device ID, ","")&amp;IF(AND($CC346&lt;&gt;"Yes",$CC346&lt;&gt;"N/A"),"Epic Beans Relay, ",""))-2)))</f>
        <v/>
      </c>
      <c r="CE346">
        <f>IF($Y346="","",IF($CD346="","Yes","Blocked"))</f>
        <v/>
      </c>
      <c r="CP346">
        <f>IF($CO346="","",IFERROR(VLOOKUP($CO346,'01_Warehouse_Ledger'!$A:$N,4,FALSE),""))</f>
        <v/>
      </c>
      <c r="CQ346">
        <f>IF($CO346="","",IFERROR(VLOOKUP($CO346,'01_Warehouse_Ledger'!$A:$N,5,FALSE),""))</f>
        <v/>
      </c>
      <c r="CR346">
        <f>IF($CO346="","",IFERROR(VLOOKUP($CO346,'01_Warehouse_Ledger'!$A:$N,13,FALSE),""))</f>
        <v/>
      </c>
      <c r="CW346">
        <f>IF($S346="","",IF(UPPER(TRIM($S346))&lt;&gt;"PASS","",IF(LEN(TRIM($BY346))&gt;0,"NOTES_PRESENT",IF(LEN(TRIM($T346))=0,"SET_NA",IF(OR(LOWER(TRIM($T346))="na",LOWER(TRIM($T346))="n/a"),"OK","MANUAL_OVERRIDE")))))</f>
        <v/>
      </c>
    </row>
    <row r="347">
      <c r="A347" t="inlineStr">
        <is>
          <t>Cybernet</t>
        </is>
      </c>
      <c r="B347" t="inlineStr">
        <is>
          <t>No</t>
        </is>
      </c>
      <c r="C347" t="inlineStr">
        <is>
          <t>No</t>
        </is>
      </c>
      <c r="D347">
        <f>IF($B347&lt;&gt;"Yes","",IF($C347="No","Yes",IF($C347="Yes","No","")))</f>
        <v/>
      </c>
      <c r="E347">
        <f>IF($A347="","",IF(OR(AND($V325&lt;&gt;"",LOWER(TRIM($V325))&lt;&gt;"n/a",LOWER(TRIM($V325))&lt;&gt;"na",SUMPRODUCT(--(UPPER(TRIM($V$2:$V$518))=UPPER(TRIM($V325))),--(TRIM($V$2:$V$518)&lt;&gt;""),--(LOWER(TRIM($V$2:$V$518))&lt;&gt;"n/a"),--(LOWER(TRIM($V$2:$V$518))&lt;&gt;"na"))&gt;1),AND($W325&lt;&gt;"",LOWER(TRIM($W325))&lt;&gt;"n/a",LOWER(TRIM($W325))&lt;&gt;"na",SUMPRODUCT(--(UPPER(TRIM($W$2:$W$518))=UPPER(TRIM($W325))),--(TRIM($W$2:$W$518)&lt;&gt;""),--(LOWER(TRIM($W$2:$W$518))&lt;&gt;"n/a"),--(LOWER(TRIM($W$2:$W$518))&lt;&gt;"na"))&gt;1),AND($X347&lt;&gt;"",LOWER(TRIM($X347))&lt;&gt;"n/a",LOWER(TRIM($X347))&lt;&gt;"na",SUMPRODUCT(--(UPPER(TRIM($X$2:$X$518))=UPPER(TRIM($X347))),--(TRIM($X$2:$X$518)&lt;&gt;""),--(LOWER(TRIM($X$2:$X$518))&lt;&gt;"n/a"),--(LOWER(TRIM($X$2:$X$518))&lt;&gt;"na"))&gt;1),AND($Y347&lt;&gt;"",LOWER(TRIM($Y347))&lt;&gt;"n/a",LOWER(TRIM($Y347))&lt;&gt;"na",SUMPRODUCT(--(UPPER(SUBSTITUTE(SUBSTITUTE(TRIM($Y$2:$Y$518),":",""),"-",""))=UPPER(SUBSTITUTE(SUBSTITUTE(TRIM($Y347),":",""),"-",""))),--(TRIM($Y$2:$Y$518)&lt;&gt;""),--(LOWER(TRIM($Y$2:$Y$518))&lt;&gt;"n/a"),--(LOWER(TRIM($Y$2:$Y$518))&lt;&gt;"na"))&gt;1),AND($AB347&lt;&gt;"",LOWER(TRIM($AB347))&lt;&gt;"n/a",LOWER(TRIM($AB347))&lt;&gt;"na",SUMPRODUCT(--(UPPER(TRIM($AB$2:$AB$518))=UPPER(TRIM($AB347))),--(TRIM($AB$2:$AB$518)&lt;&gt;""),--(LOWER(TRIM($AB$2:$AB$518))&lt;&gt;"n/a"),--(LOWER(TRIM($AB$2:$AB$518))&lt;&gt;"na"))&gt;1),AND($AH347&lt;&gt;"",LOWER(TRIM($AH347))&lt;&gt;"n/a",LOWER(TRIM($AH347))&lt;&gt;"na",SUMPRODUCT(--(UPPER(SUBSTITUTE(SUBSTITUTE(TRIM($AH$2:$AH$518),":",""),"-",""))=UPPER(SUBSTITUTE(SUBSTITUTE(TRIM($AH347),":",""),"-",""))),--(TRIM($AH$2:$AH$518)&lt;&gt;""),--(LOWER(TRIM($AH$2:$AH$518))&lt;&gt;"n/a"),--(LOWER(TRIM($AH$2:$AH$518))&lt;&gt;"na"))&gt;1),AND($AP347&lt;&gt;"",LOWER(TRIM($AP347))&lt;&gt;"n/a",LOWER(TRIM($AP347))&lt;&gt;"na",SUMPRODUCT(--(UPPER(TRIM($AP$2:$AP$518))=UPPER(TRIM($AP347))),--(TRIM($AP$2:$AP$518)&lt;&gt;""),--(LOWER(TRIM($AP$2:$AP$518))&lt;&gt;"n/a"),--(LOWER(TRIM($AP$2:$AP$518))&lt;&gt;"na"))&gt;1),AND($AQ347&lt;&gt;"",LOWER(TRIM($AQ347))&lt;&gt;"n/a",LOWER(TRIM($AQ347))&lt;&gt;"na",SUMPRODUCT(--(UPPER(TRIM($AQ$2:$AQ$518))=UPPER(TRIM($AQ347))),--(TRIM($AQ$2:$AQ$518)&lt;&gt;""),--(LOWER(TRIM($AQ$2:$AQ$518))&lt;&gt;"n/a"),--(LOWER(TRIM($AQ$2:$AQ$518))&lt;&gt;"na"))&gt;1)),"Yes","No"))</f>
        <v/>
      </c>
      <c r="F347">
        <f>IF(UPPER(TRIM($B347))&lt;&gt;"YES","", IF(OR(AND($V347&lt;&gt;"", LOWER(TRIM($V347))&lt;&gt;"n/a", LOWER(TRIM($V347))&lt;&gt;"na", SUMPRODUCT(--(UPPER(TRIM($V$2:$V$518))=UPPER(TRIM($V347))), --(UPPER(TRIM($B$2:$B$518))="YES"), --(UPPER(TRIM($G$2:$G$518)&amp;TRIM($I$2:$I$518)&amp;TRIM($J$2:$J$518))&lt;&gt;UPPER(TRIM($G347)&amp;TRIM($I347)&amp;TRIM($J347))))&gt;0), AND($W347&lt;&gt;"", LOWER(TRIM($W347))&lt;&gt;"n/a", LOWER(TRIM($W347))&lt;&gt;"na", SUMPRODUCT(--(UPPER(TRIM($W$2:$W$518))=UPPER(TRIM($W347))), --(UPPER(TRIM($B$2:$B$518))="YES"), --(UPPER(TRIM($G$2:$G$518)&amp;TRIM($I$2:$I$518)&amp;TRIM($J$2:$J$518))&lt;&gt;UPPER(TRIM($G347)&amp;TRIM($I347)&amp;TRIM($J347))))&gt;0), AND($X347&lt;&gt;"", LOWER(TRIM($X347))&lt;&gt;"n/a", LOWER(TRIM($X347))&lt;&gt;"na", SUMPRODUCT(--(UPPER(TRIM($X$2:$X$518))=UPPER(TRIM($X347))), --(UPPER(TRIM($B$2:$B$518))="YES"), --(UPPER(TRIM($G$2:$G$518)&amp;TRIM($I$2:$I$518)&amp;TRIM($J$2:$J$518))&lt;&gt;UPPER(TRIM($G347)&amp;TRIM($I347)&amp;TRIM($J347))))&gt;0), AND($Y347&lt;&gt;"", LOWER(TRIM($Y347))&lt;&gt;"n/a", LOWER(TRIM($Y347))&lt;&gt;"na", SUMPRODUCT(--(UPPER(SUBSTITUTE(SUBSTITUTE(TRIM($Y$2:$Y$518),":",""),"-",""))=UPPER(SUBSTITUTE(SUBSTITUTE(TRIM($Y347),":",""),"-",""))), --(UPPER(TRIM($B$2:$B$518))="YES"), --(UPPER(TRIM($G$2:$G$518)&amp;TRIM($I$2:$I$518)&amp;TRIM($J$2:$J$518))&lt;&gt;UPPER(TRIM($G347)&amp;TRIM($I347)&amp;TRIM($J347))))&gt;0), AND($AB347&lt;&gt;"", LOWER(TRIM($AB347))&lt;&gt;"n/a", LOWER(TRIM($AB347))&lt;&gt;"na", SUMPRODUCT(--(UPPER(TRIM($AB$2:$AB$518))=UPPER(TRIM($AB347))), --(UPPER(TRIM($B$2:$B$518))="YES"), --(UPPER(TRIM($G$2:$G$518)&amp;TRIM($I$2:$I$518)&amp;TRIM($J$2:$J$518))&lt;&gt;UPPER(TRIM($G347)&amp;TRIM($I347)&amp;TRIM($J347))))&gt;0), AND($AH347&lt;&gt;"", LOWER(TRIM($AH347))&lt;&gt;"n/a", LOWER(TRIM($AH347))&lt;&gt;"na", SUMPRODUCT(--(UPPER(SUBSTITUTE(SUBSTITUTE(TRIM($AH$2:$AH$518),":",""),"-",""))=UPPER(SUBSTITUTE(SUBSTITUTE(TRIM($AH347),":",""),"-",""))), --(UPPER(TRIM($B$2:$B$518))="YES"), --(UPPER(TRIM($G$2:$G$518)&amp;TRIM($I$2:$I$518)&amp;TRIM($J$2:$J$518))&lt;&gt;UPPER(TRIM($G347)&amp;TRIM($I347)&amp;TRIM($J347))))&gt;0), AND($AP347&lt;&gt;"", LOWER(TRIM($AP347))&lt;&gt;"n/a", LOWER(TRIM($AP347))&lt;&gt;"na", SUMPRODUCT(--(UPPER(TRIM($AP$2:$AP$518))=UPPER(TRIM($AP347))), --(UPPER(TRIM($B$2:$B$518))="YES"), --(UPPER(TRIM($G$2:$G$518)&amp;TRIM($I$2:$I$518)&amp;TRIM($J$2:$J$518))&lt;&gt;UPPER(TRIM($G347)&amp;TRIM($I347)&amp;TRIM($J347))))&gt;0), AND($AQ347&lt;&gt;"", LOWER(TRIM($AQ347))&lt;&gt;"n/a", LOWER(TRIM($AQ347))&lt;&gt;"na", SUMPRODUCT(--(UPPER(TRIM($AQ$2:$AQ$518))=UPPER(TRIM($AQ347))), --(UPPER(TRIM($B$2:$B$518))="YES"), --(UPPER(TRIM($G$2:$G$518)&amp;TRIM($I$2:$I$518)&amp;TRIM($J$2:$J$518))&lt;&gt;UPPER(TRIM($G347)&amp;TRIM($I347)&amp;TRIM($J347))))&gt;0)), "Yes", "No"))</f>
        <v/>
      </c>
      <c r="G347" t="inlineStr">
        <is>
          <t>1 Marcus</t>
        </is>
      </c>
      <c r="H347" t="inlineStr">
        <is>
          <t xml:space="preserve">CCMC </t>
        </is>
      </c>
      <c r="V347" t="inlineStr">
        <is>
          <t>WNH269OPR029</t>
        </is>
      </c>
      <c r="W347" t="inlineStr">
        <is>
          <t>MEDNG2425E-3207</t>
        </is>
      </c>
      <c r="CD347">
        <f>IF($Y347="","",IF((IF(AND($BR347&lt;&gt;"Yes",$BR347&lt;&gt;"N/A"),"Power Cable, ","")&amp;IF(AND($BS347&lt;&gt;"Yes",$BS347&lt;&gt;"N/A"),"Battery, ","")&amp;IF(AND($AD347&lt;&gt;"Yes",$AD347&lt;&gt;"N/A"),"Firmware Download, ","")&amp;IF(AND(OR($AD347="Yes",$AD347="N/A"),$AE347&lt;&gt;"Yes",$AE347&lt;&gt;"N/A"),"Firmware Install, ","")&amp;IF(AND($CB347&lt;&gt;"Yes",$CB347&lt;&gt;"N/A"),"Device ID, ","")&amp;IF(AND($CC347&lt;&gt;"Yes",$CC347&lt;&gt;"N/A"),"Epic Beans Relay, ",""))="","",LEFT(IF(AND($BR347&lt;&gt;"Yes",$BR347&lt;&gt;"N/A"),"Power Cable, ","")&amp;IF(AND($BS347&lt;&gt;"Yes",$BS347&lt;&gt;"N/A"),"Battery, ","")&amp;IF(AND($AD347&lt;&gt;"Yes",$AD347&lt;&gt;"N/A"),"Firmware Download, ","")&amp;IF(AND(OR($AD347="Yes",$AD347="N/A"),$AE347&lt;&gt;"Yes",$AE347&lt;&gt;"N/A"),"Firmware Install, ","")&amp;IF(AND($CB347&lt;&gt;"Yes",$CB347&lt;&gt;"N/A"),"Device ID, ","")&amp;IF(AND($CC347&lt;&gt;"Yes",$CC347&lt;&gt;"N/A"),"Epic Beans Relay, ",""),LEN(IF(AND($BR347&lt;&gt;"Yes",$BR347&lt;&gt;"N/A"),"Power Cable, ","")&amp;IF(AND($BS347&lt;&gt;"Yes",$BS347&lt;&gt;"N/A"),"Battery, ","")&amp;IF(AND($AD347&lt;&gt;"Yes",$AD347&lt;&gt;"N/A"),"Firmware Download, ","")&amp;IF(AND(OR($AD347="Yes",$AD347="N/A"),$AE347&lt;&gt;"Yes",$AE347&lt;&gt;"N/A"),"Firmware Install, ","")&amp;IF(AND($CB347&lt;&gt;"Yes",$CB347&lt;&gt;"N/A"),"Device ID, ","")&amp;IF(AND($CC347&lt;&gt;"Yes",$CC347&lt;&gt;"N/A"),"Epic Beans Relay, ",""))-2)))</f>
        <v/>
      </c>
      <c r="CE347">
        <f>IF($Y347="","",IF($CD347="","Yes","Blocked"))</f>
        <v/>
      </c>
      <c r="CP347">
        <f>IF($CO347="","",IFERROR(VLOOKUP($CO347,'01_Warehouse_Ledger'!$A:$N,4,FALSE),""))</f>
        <v/>
      </c>
      <c r="CQ347">
        <f>IF($CO347="","",IFERROR(VLOOKUP($CO347,'01_Warehouse_Ledger'!$A:$N,5,FALSE),""))</f>
        <v/>
      </c>
      <c r="CR347">
        <f>IF($CO347="","",IFERROR(VLOOKUP($CO347,'01_Warehouse_Ledger'!$A:$N,13,FALSE),""))</f>
        <v/>
      </c>
      <c r="CW347">
        <f>IF($S347="","",IF(UPPER(TRIM($S347))&lt;&gt;"PASS","",IF(LEN(TRIM($BY347))&gt;0,"NOTES_PRESENT",IF(LEN(TRIM($T347))=0,"SET_NA",IF(OR(LOWER(TRIM($T347))="na",LOWER(TRIM($T347))="n/a"),"OK","MANUAL_OVERRIDE")))))</f>
        <v/>
      </c>
    </row>
    <row r="348">
      <c r="A348" t="inlineStr">
        <is>
          <t>Cybernet</t>
        </is>
      </c>
      <c r="B348" t="inlineStr">
        <is>
          <t>No</t>
        </is>
      </c>
      <c r="C348" t="inlineStr">
        <is>
          <t>No</t>
        </is>
      </c>
      <c r="D348">
        <f>IF($B348&lt;&gt;"Yes","",IF($C348="No","Yes",IF($C348="Yes","No","")))</f>
        <v/>
      </c>
      <c r="E348">
        <f>IF($A348="","",IF(OR(AND($V345&lt;&gt;"",LOWER(TRIM($V345))&lt;&gt;"n/a",LOWER(TRIM($V345))&lt;&gt;"na",SUMPRODUCT(--(UPPER(TRIM($V$2:$V$518))=UPPER(TRIM($V345))),--(TRIM($V$2:$V$518)&lt;&gt;""),--(LOWER(TRIM($V$2:$V$518))&lt;&gt;"n/a"),--(LOWER(TRIM($V$2:$V$518))&lt;&gt;"na"))&gt;1),AND($W345&lt;&gt;"",LOWER(TRIM($W345))&lt;&gt;"n/a",LOWER(TRIM($W345))&lt;&gt;"na",SUMPRODUCT(--(UPPER(TRIM($W$2:$W$518))=UPPER(TRIM($W345))),--(TRIM($W$2:$W$518)&lt;&gt;""),--(LOWER(TRIM($W$2:$W$518))&lt;&gt;"n/a"),--(LOWER(TRIM($W$2:$W$518))&lt;&gt;"na"))&gt;1),AND($X348&lt;&gt;"",LOWER(TRIM($X348))&lt;&gt;"n/a",LOWER(TRIM($X348))&lt;&gt;"na",SUMPRODUCT(--(UPPER(TRIM($X$2:$X$518))=UPPER(TRIM($X348))),--(TRIM($X$2:$X$518)&lt;&gt;""),--(LOWER(TRIM($X$2:$X$518))&lt;&gt;"n/a"),--(LOWER(TRIM($X$2:$X$518))&lt;&gt;"na"))&gt;1),AND($Y348&lt;&gt;"",LOWER(TRIM($Y348))&lt;&gt;"n/a",LOWER(TRIM($Y348))&lt;&gt;"na",SUMPRODUCT(--(UPPER(SUBSTITUTE(SUBSTITUTE(TRIM($Y$2:$Y$518),":",""),"-",""))=UPPER(SUBSTITUTE(SUBSTITUTE(TRIM($Y348),":",""),"-",""))),--(TRIM($Y$2:$Y$518)&lt;&gt;""),--(LOWER(TRIM($Y$2:$Y$518))&lt;&gt;"n/a"),--(LOWER(TRIM($Y$2:$Y$518))&lt;&gt;"na"))&gt;1),AND($AB348&lt;&gt;"",LOWER(TRIM($AB348))&lt;&gt;"n/a",LOWER(TRIM($AB348))&lt;&gt;"na",SUMPRODUCT(--(UPPER(TRIM($AB$2:$AB$518))=UPPER(TRIM($AB348))),--(TRIM($AB$2:$AB$518)&lt;&gt;""),--(LOWER(TRIM($AB$2:$AB$518))&lt;&gt;"n/a"),--(LOWER(TRIM($AB$2:$AB$518))&lt;&gt;"na"))&gt;1),AND($AH348&lt;&gt;"",LOWER(TRIM($AH348))&lt;&gt;"n/a",LOWER(TRIM($AH348))&lt;&gt;"na",SUMPRODUCT(--(UPPER(SUBSTITUTE(SUBSTITUTE(TRIM($AH$2:$AH$518),":",""),"-",""))=UPPER(SUBSTITUTE(SUBSTITUTE(TRIM($AH348),":",""),"-",""))),--(TRIM($AH$2:$AH$518)&lt;&gt;""),--(LOWER(TRIM($AH$2:$AH$518))&lt;&gt;"n/a"),--(LOWER(TRIM($AH$2:$AH$518))&lt;&gt;"na"))&gt;1),AND($AP348&lt;&gt;"",LOWER(TRIM($AP348))&lt;&gt;"n/a",LOWER(TRIM($AP348))&lt;&gt;"na",SUMPRODUCT(--(UPPER(TRIM($AP$2:$AP$518))=UPPER(TRIM($AP348))),--(TRIM($AP$2:$AP$518)&lt;&gt;""),--(LOWER(TRIM($AP$2:$AP$518))&lt;&gt;"n/a"),--(LOWER(TRIM($AP$2:$AP$518))&lt;&gt;"na"))&gt;1),AND($AQ348&lt;&gt;"",LOWER(TRIM($AQ348))&lt;&gt;"n/a",LOWER(TRIM($AQ348))&lt;&gt;"na",SUMPRODUCT(--(UPPER(TRIM($AQ$2:$AQ$518))=UPPER(TRIM($AQ348))),--(TRIM($AQ$2:$AQ$518)&lt;&gt;""),--(LOWER(TRIM($AQ$2:$AQ$518))&lt;&gt;"n/a"),--(LOWER(TRIM($AQ$2:$AQ$518))&lt;&gt;"na"))&gt;1)),"Yes","No"))</f>
        <v/>
      </c>
      <c r="F348">
        <f>IF(UPPER(TRIM($B348))&lt;&gt;"YES","", IF(OR(AND($V348&lt;&gt;"", LOWER(TRIM($V348))&lt;&gt;"n/a", LOWER(TRIM($V348))&lt;&gt;"na", SUMPRODUCT(--(UPPER(TRIM($V$2:$V$518))=UPPER(TRIM($V348))), --(UPPER(TRIM($B$2:$B$518))="YES"), --(UPPER(TRIM($G$2:$G$518)&amp;TRIM($I$2:$I$518)&amp;TRIM($J$2:$J$518))&lt;&gt;UPPER(TRIM($G348)&amp;TRIM($I348)&amp;TRIM($J348))))&gt;0), AND($W348&lt;&gt;"", LOWER(TRIM($W348))&lt;&gt;"n/a", LOWER(TRIM($W348))&lt;&gt;"na", SUMPRODUCT(--(UPPER(TRIM($W$2:$W$518))=UPPER(TRIM($W348))), --(UPPER(TRIM($B$2:$B$518))="YES"), --(UPPER(TRIM($G$2:$G$518)&amp;TRIM($I$2:$I$518)&amp;TRIM($J$2:$J$518))&lt;&gt;UPPER(TRIM($G348)&amp;TRIM($I348)&amp;TRIM($J348))))&gt;0), AND($X348&lt;&gt;"", LOWER(TRIM($X348))&lt;&gt;"n/a", LOWER(TRIM($X348))&lt;&gt;"na", SUMPRODUCT(--(UPPER(TRIM($X$2:$X$518))=UPPER(TRIM($X348))), --(UPPER(TRIM($B$2:$B$518))="YES"), --(UPPER(TRIM($G$2:$G$518)&amp;TRIM($I$2:$I$518)&amp;TRIM($J$2:$J$518))&lt;&gt;UPPER(TRIM($G348)&amp;TRIM($I348)&amp;TRIM($J348))))&gt;0), AND($Y348&lt;&gt;"", LOWER(TRIM($Y348))&lt;&gt;"n/a", LOWER(TRIM($Y348))&lt;&gt;"na", SUMPRODUCT(--(UPPER(SUBSTITUTE(SUBSTITUTE(TRIM($Y$2:$Y$518),":",""),"-",""))=UPPER(SUBSTITUTE(SUBSTITUTE(TRIM($Y348),":",""),"-",""))), --(UPPER(TRIM($B$2:$B$518))="YES"), --(UPPER(TRIM($G$2:$G$518)&amp;TRIM($I$2:$I$518)&amp;TRIM($J$2:$J$518))&lt;&gt;UPPER(TRIM($G348)&amp;TRIM($I348)&amp;TRIM($J348))))&gt;0), AND($AB348&lt;&gt;"", LOWER(TRIM($AB348))&lt;&gt;"n/a", LOWER(TRIM($AB348))&lt;&gt;"na", SUMPRODUCT(--(UPPER(TRIM($AB$2:$AB$518))=UPPER(TRIM($AB348))), --(UPPER(TRIM($B$2:$B$518))="YES"), --(UPPER(TRIM($G$2:$G$518)&amp;TRIM($I$2:$I$518)&amp;TRIM($J$2:$J$518))&lt;&gt;UPPER(TRIM($G348)&amp;TRIM($I348)&amp;TRIM($J348))))&gt;0), AND($AH348&lt;&gt;"", LOWER(TRIM($AH348))&lt;&gt;"n/a", LOWER(TRIM($AH348))&lt;&gt;"na", SUMPRODUCT(--(UPPER(SUBSTITUTE(SUBSTITUTE(TRIM($AH$2:$AH$518),":",""),"-",""))=UPPER(SUBSTITUTE(SUBSTITUTE(TRIM($AH348),":",""),"-",""))), --(UPPER(TRIM($B$2:$B$518))="YES"), --(UPPER(TRIM($G$2:$G$518)&amp;TRIM($I$2:$I$518)&amp;TRIM($J$2:$J$518))&lt;&gt;UPPER(TRIM($G348)&amp;TRIM($I348)&amp;TRIM($J348))))&gt;0), AND($AP348&lt;&gt;"", LOWER(TRIM($AP348))&lt;&gt;"n/a", LOWER(TRIM($AP348))&lt;&gt;"na", SUMPRODUCT(--(UPPER(TRIM($AP$2:$AP$518))=UPPER(TRIM($AP348))), --(UPPER(TRIM($B$2:$B$518))="YES"), --(UPPER(TRIM($G$2:$G$518)&amp;TRIM($I$2:$I$518)&amp;TRIM($J$2:$J$518))&lt;&gt;UPPER(TRIM($G348)&amp;TRIM($I348)&amp;TRIM($J348))))&gt;0), AND($AQ348&lt;&gt;"", LOWER(TRIM($AQ348))&lt;&gt;"n/a", LOWER(TRIM($AQ348))&lt;&gt;"na", SUMPRODUCT(--(UPPER(TRIM($AQ$2:$AQ$518))=UPPER(TRIM($AQ348))), --(UPPER(TRIM($B$2:$B$518))="YES"), --(UPPER(TRIM($G$2:$G$518)&amp;TRIM($I$2:$I$518)&amp;TRIM($J$2:$J$518))&lt;&gt;UPPER(TRIM($G348)&amp;TRIM($I348)&amp;TRIM($J348))))&gt;0)), "Yes", "No"))</f>
        <v/>
      </c>
      <c r="G348" t="inlineStr">
        <is>
          <t>1 Marcus</t>
        </is>
      </c>
      <c r="H348" t="inlineStr">
        <is>
          <t xml:space="preserve">CCMC </t>
        </is>
      </c>
      <c r="V348" t="inlineStr">
        <is>
          <t>WNH269OPR027</t>
        </is>
      </c>
      <c r="W348" s="65" t="inlineStr">
        <is>
          <t>MEDSG2425F-0058</t>
        </is>
      </c>
      <c r="CD348">
        <f>IF($Y348="","",IF((IF(AND($BR348&lt;&gt;"Yes",$BR348&lt;&gt;"N/A"),"Power Cable, ","")&amp;IF(AND($BS348&lt;&gt;"Yes",$BS348&lt;&gt;"N/A"),"Battery, ","")&amp;IF(AND($AD348&lt;&gt;"Yes",$AD348&lt;&gt;"N/A"),"Firmware Download, ","")&amp;IF(AND(OR($AD348="Yes",$AD348="N/A"),$AE348&lt;&gt;"Yes",$AE348&lt;&gt;"N/A"),"Firmware Install, ","")&amp;IF(AND($CB348&lt;&gt;"Yes",$CB348&lt;&gt;"N/A"),"Device ID, ","")&amp;IF(AND($CC348&lt;&gt;"Yes",$CC348&lt;&gt;"N/A"),"Epic Beans Relay, ",""))="","",LEFT(IF(AND($BR348&lt;&gt;"Yes",$BR348&lt;&gt;"N/A"),"Power Cable, ","")&amp;IF(AND($BS348&lt;&gt;"Yes",$BS348&lt;&gt;"N/A"),"Battery, ","")&amp;IF(AND($AD348&lt;&gt;"Yes",$AD348&lt;&gt;"N/A"),"Firmware Download, ","")&amp;IF(AND(OR($AD348="Yes",$AD348="N/A"),$AE348&lt;&gt;"Yes",$AE348&lt;&gt;"N/A"),"Firmware Install, ","")&amp;IF(AND($CB348&lt;&gt;"Yes",$CB348&lt;&gt;"N/A"),"Device ID, ","")&amp;IF(AND($CC348&lt;&gt;"Yes",$CC348&lt;&gt;"N/A"),"Epic Beans Relay, ",""),LEN(IF(AND($BR348&lt;&gt;"Yes",$BR348&lt;&gt;"N/A"),"Power Cable, ","")&amp;IF(AND($BS348&lt;&gt;"Yes",$BS348&lt;&gt;"N/A"),"Battery, ","")&amp;IF(AND($AD348&lt;&gt;"Yes",$AD348&lt;&gt;"N/A"),"Firmware Download, ","")&amp;IF(AND(OR($AD348="Yes",$AD348="N/A"),$AE348&lt;&gt;"Yes",$AE348&lt;&gt;"N/A"),"Firmware Install, ","")&amp;IF(AND($CB348&lt;&gt;"Yes",$CB348&lt;&gt;"N/A"),"Device ID, ","")&amp;IF(AND($CC348&lt;&gt;"Yes",$CC348&lt;&gt;"N/A"),"Epic Beans Relay, ",""))-2)))</f>
        <v/>
      </c>
      <c r="CE348">
        <f>IF($Y348="","",IF($CD348="","Yes","Blocked"))</f>
        <v/>
      </c>
      <c r="CP348">
        <f>IF($CO348="","",IFERROR(VLOOKUP($CO348,'01_Warehouse_Ledger'!$A:$N,4,FALSE),""))</f>
        <v/>
      </c>
      <c r="CQ348">
        <f>IF($CO348="","",IFERROR(VLOOKUP($CO348,'01_Warehouse_Ledger'!$A:$N,5,FALSE),""))</f>
        <v/>
      </c>
      <c r="CR348">
        <f>IF($CO348="","",IFERROR(VLOOKUP($CO348,'01_Warehouse_Ledger'!$A:$N,13,FALSE),""))</f>
        <v/>
      </c>
      <c r="CW348">
        <f>IF($S348="","",IF(UPPER(TRIM($S348))&lt;&gt;"PASS","",IF(LEN(TRIM($BY348))&gt;0,"NOTES_PRESENT",IF(LEN(TRIM($T348))=0,"SET_NA",IF(OR(LOWER(TRIM($T348))="na",LOWER(TRIM($T348))="n/a"),"OK","MANUAL_OVERRIDE")))))</f>
        <v/>
      </c>
    </row>
    <row r="349">
      <c r="A349" t="inlineStr">
        <is>
          <t>Cybernet</t>
        </is>
      </c>
      <c r="B349" t="inlineStr">
        <is>
          <t>Yes</t>
        </is>
      </c>
      <c r="C349" t="inlineStr">
        <is>
          <t>No</t>
        </is>
      </c>
      <c r="D349">
        <f>IF($B349&lt;&gt;"Yes","",IF($C349="No","Yes",IF($C349="Yes","No","")))</f>
        <v/>
      </c>
      <c r="E349">
        <f>IF($A349="","",IF(OR(AND($V346&lt;&gt;"",LOWER(TRIM($V346))&lt;&gt;"n/a",LOWER(TRIM($V346))&lt;&gt;"na",SUMPRODUCT(--(UPPER(TRIM($V$2:$V$518))=UPPER(TRIM($V346))),--(TRIM($V$2:$V$518)&lt;&gt;""),--(LOWER(TRIM($V$2:$V$518))&lt;&gt;"n/a"),--(LOWER(TRIM($V$2:$V$518))&lt;&gt;"na"))&gt;1),AND($W346&lt;&gt;"",LOWER(TRIM($W346))&lt;&gt;"n/a",LOWER(TRIM($W346))&lt;&gt;"na",SUMPRODUCT(--(UPPER(TRIM($W$2:$W$518))=UPPER(TRIM($W346))),--(TRIM($W$2:$W$518)&lt;&gt;""),--(LOWER(TRIM($W$2:$W$518))&lt;&gt;"n/a"),--(LOWER(TRIM($W$2:$W$518))&lt;&gt;"na"))&gt;1),AND($X349&lt;&gt;"",LOWER(TRIM($X349))&lt;&gt;"n/a",LOWER(TRIM($X349))&lt;&gt;"na",SUMPRODUCT(--(UPPER(TRIM($X$2:$X$518))=UPPER(TRIM($X349))),--(TRIM($X$2:$X$518)&lt;&gt;""),--(LOWER(TRIM($X$2:$X$518))&lt;&gt;"n/a"),--(LOWER(TRIM($X$2:$X$518))&lt;&gt;"na"))&gt;1),AND($Y349&lt;&gt;"",LOWER(TRIM($Y349))&lt;&gt;"n/a",LOWER(TRIM($Y349))&lt;&gt;"na",SUMPRODUCT(--(UPPER(SUBSTITUTE(SUBSTITUTE(TRIM($Y$2:$Y$518),":",""),"-",""))=UPPER(SUBSTITUTE(SUBSTITUTE(TRIM($Y349),":",""),"-",""))),--(TRIM($Y$2:$Y$518)&lt;&gt;""),--(LOWER(TRIM($Y$2:$Y$518))&lt;&gt;"n/a"),--(LOWER(TRIM($Y$2:$Y$518))&lt;&gt;"na"))&gt;1),AND($AB349&lt;&gt;"",LOWER(TRIM($AB349))&lt;&gt;"n/a",LOWER(TRIM($AB349))&lt;&gt;"na",SUMPRODUCT(--(UPPER(TRIM($AB$2:$AB$518))=UPPER(TRIM($AB349))),--(TRIM($AB$2:$AB$518)&lt;&gt;""),--(LOWER(TRIM($AB$2:$AB$518))&lt;&gt;"n/a"),--(LOWER(TRIM($AB$2:$AB$518))&lt;&gt;"na"))&gt;1),AND($AH349&lt;&gt;"",LOWER(TRIM($AH349))&lt;&gt;"n/a",LOWER(TRIM($AH349))&lt;&gt;"na",SUMPRODUCT(--(UPPER(SUBSTITUTE(SUBSTITUTE(TRIM($AH$2:$AH$518),":",""),"-",""))=UPPER(SUBSTITUTE(SUBSTITUTE(TRIM($AH349),":",""),"-",""))),--(TRIM($AH$2:$AH$518)&lt;&gt;""),--(LOWER(TRIM($AH$2:$AH$518))&lt;&gt;"n/a"),--(LOWER(TRIM($AH$2:$AH$518))&lt;&gt;"na"))&gt;1),AND($AP349&lt;&gt;"",LOWER(TRIM($AP349))&lt;&gt;"n/a",LOWER(TRIM($AP349))&lt;&gt;"na",SUMPRODUCT(--(UPPER(TRIM($AP$2:$AP$518))=UPPER(TRIM($AP349))),--(TRIM($AP$2:$AP$518)&lt;&gt;""),--(LOWER(TRIM($AP$2:$AP$518))&lt;&gt;"n/a"),--(LOWER(TRIM($AP$2:$AP$518))&lt;&gt;"na"))&gt;1),AND($AQ349&lt;&gt;"",LOWER(TRIM($AQ349))&lt;&gt;"n/a",LOWER(TRIM($AQ349))&lt;&gt;"na",SUMPRODUCT(--(UPPER(TRIM($AQ$2:$AQ$518))=UPPER(TRIM($AQ349))),--(TRIM($AQ$2:$AQ$518)&lt;&gt;""),--(LOWER(TRIM($AQ$2:$AQ$518))&lt;&gt;"n/a"),--(LOWER(TRIM($AQ$2:$AQ$518))&lt;&gt;"na"))&gt;1)),"Yes","No"))</f>
        <v/>
      </c>
      <c r="F349">
        <f>IF(UPPER(TRIM($B349))&lt;&gt;"YES","", IF(OR(AND($V349&lt;&gt;"", LOWER(TRIM($V349))&lt;&gt;"n/a", LOWER(TRIM($V349))&lt;&gt;"na", SUMPRODUCT(--(UPPER(TRIM($V$2:$V$518))=UPPER(TRIM($V349))), --(UPPER(TRIM($B$2:$B$518))="YES"), --(UPPER(TRIM($G$2:$G$518)&amp;TRIM($I$2:$I$518)&amp;TRIM($J$2:$J$518))&lt;&gt;UPPER(TRIM($G349)&amp;TRIM($I349)&amp;TRIM($J349))))&gt;0), AND($W349&lt;&gt;"", LOWER(TRIM($W349))&lt;&gt;"n/a", LOWER(TRIM($W349))&lt;&gt;"na", SUMPRODUCT(--(UPPER(TRIM($W$2:$W$518))=UPPER(TRIM($W349))), --(UPPER(TRIM($B$2:$B$518))="YES"), --(UPPER(TRIM($G$2:$G$518)&amp;TRIM($I$2:$I$518)&amp;TRIM($J$2:$J$518))&lt;&gt;UPPER(TRIM($G349)&amp;TRIM($I349)&amp;TRIM($J349))))&gt;0), AND($X349&lt;&gt;"", LOWER(TRIM($X349))&lt;&gt;"n/a", LOWER(TRIM($X349))&lt;&gt;"na", SUMPRODUCT(--(UPPER(TRIM($X$2:$X$518))=UPPER(TRIM($X349))), --(UPPER(TRIM($B$2:$B$518))="YES"), --(UPPER(TRIM($G$2:$G$518)&amp;TRIM($I$2:$I$518)&amp;TRIM($J$2:$J$518))&lt;&gt;UPPER(TRIM($G349)&amp;TRIM($I349)&amp;TRIM($J349))))&gt;0), AND($Y349&lt;&gt;"", LOWER(TRIM($Y349))&lt;&gt;"n/a", LOWER(TRIM($Y349))&lt;&gt;"na", SUMPRODUCT(--(UPPER(SUBSTITUTE(SUBSTITUTE(TRIM($Y$2:$Y$518),":",""),"-",""))=UPPER(SUBSTITUTE(SUBSTITUTE(TRIM($Y349),":",""),"-",""))), --(UPPER(TRIM($B$2:$B$518))="YES"), --(UPPER(TRIM($G$2:$G$518)&amp;TRIM($I$2:$I$518)&amp;TRIM($J$2:$J$518))&lt;&gt;UPPER(TRIM($G349)&amp;TRIM($I349)&amp;TRIM($J349))))&gt;0), AND($AB349&lt;&gt;"", LOWER(TRIM($AB349))&lt;&gt;"n/a", LOWER(TRIM($AB349))&lt;&gt;"na", SUMPRODUCT(--(UPPER(TRIM($AB$2:$AB$518))=UPPER(TRIM($AB349))), --(UPPER(TRIM($B$2:$B$518))="YES"), --(UPPER(TRIM($G$2:$G$518)&amp;TRIM($I$2:$I$518)&amp;TRIM($J$2:$J$518))&lt;&gt;UPPER(TRIM($G349)&amp;TRIM($I349)&amp;TRIM($J349))))&gt;0), AND($AH349&lt;&gt;"", LOWER(TRIM($AH349))&lt;&gt;"n/a", LOWER(TRIM($AH349))&lt;&gt;"na", SUMPRODUCT(--(UPPER(SUBSTITUTE(SUBSTITUTE(TRIM($AH$2:$AH$518),":",""),"-",""))=UPPER(SUBSTITUTE(SUBSTITUTE(TRIM($AH349),":",""),"-",""))), --(UPPER(TRIM($B$2:$B$518))="YES"), --(UPPER(TRIM($G$2:$G$518)&amp;TRIM($I$2:$I$518)&amp;TRIM($J$2:$J$518))&lt;&gt;UPPER(TRIM($G349)&amp;TRIM($I349)&amp;TRIM($J349))))&gt;0), AND($AP349&lt;&gt;"", LOWER(TRIM($AP349))&lt;&gt;"n/a", LOWER(TRIM($AP349))&lt;&gt;"na", SUMPRODUCT(--(UPPER(TRIM($AP$2:$AP$518))=UPPER(TRIM($AP349))), --(UPPER(TRIM($B$2:$B$518))="YES"), --(UPPER(TRIM($G$2:$G$518)&amp;TRIM($I$2:$I$518)&amp;TRIM($J$2:$J$518))&lt;&gt;UPPER(TRIM($G349)&amp;TRIM($I349)&amp;TRIM($J349))))&gt;0), AND($AQ349&lt;&gt;"", LOWER(TRIM($AQ349))&lt;&gt;"n/a", LOWER(TRIM($AQ349))&lt;&gt;"na", SUMPRODUCT(--(UPPER(TRIM($AQ$2:$AQ$518))=UPPER(TRIM($AQ349))), --(UPPER(TRIM($B$2:$B$518))="YES"), --(UPPER(TRIM($G$2:$G$518)&amp;TRIM($I$2:$I$518)&amp;TRIM($J$2:$J$518))&lt;&gt;UPPER(TRIM($G349)&amp;TRIM($I349)&amp;TRIM($J349))))&gt;0)), "Yes", "No"))</f>
        <v/>
      </c>
      <c r="G349" t="inlineStr">
        <is>
          <t>1 Marcus</t>
        </is>
      </c>
      <c r="H349" t="inlineStr">
        <is>
          <t>NSUH - VAR</t>
        </is>
      </c>
      <c r="S349" t="inlineStr">
        <is>
          <t>PASS</t>
        </is>
      </c>
      <c r="T349" t="inlineStr">
        <is>
          <t>N/A</t>
        </is>
      </c>
      <c r="V349" t="inlineStr">
        <is>
          <t>WMH300OPR406</t>
        </is>
      </c>
      <c r="W349" t="inlineStr">
        <is>
          <t>mednm24g25-0261</t>
        </is>
      </c>
      <c r="CD349">
        <f>IF($Y349="","",IF((IF(AND($BR349&lt;&gt;"Yes",$BR349&lt;&gt;"N/A"),"Power Cable, ","")&amp;IF(AND($BS349&lt;&gt;"Yes",$BS349&lt;&gt;"N/A"),"Battery, ","")&amp;IF(AND($AD349&lt;&gt;"Yes",$AD349&lt;&gt;"N/A"),"Firmware Download, ","")&amp;IF(AND(OR($AD349="Yes",$AD349="N/A"),$AE349&lt;&gt;"Yes",$AE349&lt;&gt;"N/A"),"Firmware Install, ","")&amp;IF(AND($CB349&lt;&gt;"Yes",$CB349&lt;&gt;"N/A"),"Device ID, ","")&amp;IF(AND($CC349&lt;&gt;"Yes",$CC349&lt;&gt;"N/A"),"Epic Beans Relay, ",""))="","",LEFT(IF(AND($BR349&lt;&gt;"Yes",$BR349&lt;&gt;"N/A"),"Power Cable, ","")&amp;IF(AND($BS349&lt;&gt;"Yes",$BS349&lt;&gt;"N/A"),"Battery, ","")&amp;IF(AND($AD349&lt;&gt;"Yes",$AD349&lt;&gt;"N/A"),"Firmware Download, ","")&amp;IF(AND(OR($AD349="Yes",$AD349="N/A"),$AE349&lt;&gt;"Yes",$AE349&lt;&gt;"N/A"),"Firmware Install, ","")&amp;IF(AND($CB349&lt;&gt;"Yes",$CB349&lt;&gt;"N/A"),"Device ID, ","")&amp;IF(AND($CC349&lt;&gt;"Yes",$CC349&lt;&gt;"N/A"),"Epic Beans Relay, ",""),LEN(IF(AND($BR349&lt;&gt;"Yes",$BR349&lt;&gt;"N/A"),"Power Cable, ","")&amp;IF(AND($BS349&lt;&gt;"Yes",$BS349&lt;&gt;"N/A"),"Battery, ","")&amp;IF(AND($AD349&lt;&gt;"Yes",$AD349&lt;&gt;"N/A"),"Firmware Download, ","")&amp;IF(AND(OR($AD349="Yes",$AD349="N/A"),$AE349&lt;&gt;"Yes",$AE349&lt;&gt;"N/A"),"Firmware Install, ","")&amp;IF(AND($CB349&lt;&gt;"Yes",$CB349&lt;&gt;"N/A"),"Device ID, ","")&amp;IF(AND($CC349&lt;&gt;"Yes",$CC349&lt;&gt;"N/A"),"Epic Beans Relay, ",""))-2)))</f>
        <v/>
      </c>
      <c r="CE349">
        <f>IF($Y349="","",IF($CD349="","Yes","Blocked"))</f>
        <v/>
      </c>
      <c r="CP349">
        <f>IF($CO349="","",IFERROR(VLOOKUP($CO349,'01_Warehouse_Ledger'!$A:$N,4,FALSE),""))</f>
        <v/>
      </c>
      <c r="CQ349">
        <f>IF($CO349="","",IFERROR(VLOOKUP($CO349,'01_Warehouse_Ledger'!$A:$N,5,FALSE),""))</f>
        <v/>
      </c>
      <c r="CR349">
        <f>IF($CO349="","",IFERROR(VLOOKUP($CO349,'01_Warehouse_Ledger'!$A:$N,13,FALSE),""))</f>
        <v/>
      </c>
      <c r="CW349">
        <f>IF($S349="","",IF(UPPER(TRIM($S349))&lt;&gt;"PASS","",IF(LEN(TRIM($BY349))&gt;0,"NOTES_PRESENT",IF(LEN(TRIM($T349))=0,"SET_NA",IF(OR(LOWER(TRIM($T349))="na",LOWER(TRIM($T349))="n/a"),"OK","MANUAL_OVERRIDE")))))</f>
        <v/>
      </c>
    </row>
    <row r="350">
      <c r="A350" t="inlineStr">
        <is>
          <t>Cybernet</t>
        </is>
      </c>
      <c r="B350" t="inlineStr">
        <is>
          <t>No</t>
        </is>
      </c>
      <c r="C350" t="inlineStr">
        <is>
          <t>No</t>
        </is>
      </c>
      <c r="D350">
        <f>IF($B350&lt;&gt;"Yes","",IF($C350="No","Yes",IF($C350="Yes","No","")))</f>
        <v/>
      </c>
      <c r="E350">
        <f>IF($A350="","",IF(OR(AND($V348&lt;&gt;"",LOWER(TRIM($V348))&lt;&gt;"n/a",LOWER(TRIM($V348))&lt;&gt;"na",SUMPRODUCT(--(UPPER(TRIM($V$2:$V$518))=UPPER(TRIM($V348))),--(TRIM($V$2:$V$518)&lt;&gt;""),--(LOWER(TRIM($V$2:$V$518))&lt;&gt;"n/a"),--(LOWER(TRIM($V$2:$V$518))&lt;&gt;"na"))&gt;1),AND($W348&lt;&gt;"",LOWER(TRIM($W348))&lt;&gt;"n/a",LOWER(TRIM($W348))&lt;&gt;"na",SUMPRODUCT(--(UPPER(TRIM($W$2:$W$518))=UPPER(TRIM($W348))),--(TRIM($W$2:$W$518)&lt;&gt;""),--(LOWER(TRIM($W$2:$W$518))&lt;&gt;"n/a"),--(LOWER(TRIM($W$2:$W$518))&lt;&gt;"na"))&gt;1),AND($X350&lt;&gt;"",LOWER(TRIM($X350))&lt;&gt;"n/a",LOWER(TRIM($X350))&lt;&gt;"na",SUMPRODUCT(--(UPPER(TRIM($X$2:$X$518))=UPPER(TRIM($X350))),--(TRIM($X$2:$X$518)&lt;&gt;""),--(LOWER(TRIM($X$2:$X$518))&lt;&gt;"n/a"),--(LOWER(TRIM($X$2:$X$518))&lt;&gt;"na"))&gt;1),AND($Y350&lt;&gt;"",LOWER(TRIM($Y350))&lt;&gt;"n/a",LOWER(TRIM($Y350))&lt;&gt;"na",SUMPRODUCT(--(UPPER(SUBSTITUTE(SUBSTITUTE(TRIM($Y$2:$Y$518),":",""),"-",""))=UPPER(SUBSTITUTE(SUBSTITUTE(TRIM($Y350),":",""),"-",""))),--(TRIM($Y$2:$Y$518)&lt;&gt;""),--(LOWER(TRIM($Y$2:$Y$518))&lt;&gt;"n/a"),--(LOWER(TRIM($Y$2:$Y$518))&lt;&gt;"na"))&gt;1),AND($AB350&lt;&gt;"",LOWER(TRIM($AB350))&lt;&gt;"n/a",LOWER(TRIM($AB350))&lt;&gt;"na",SUMPRODUCT(--(UPPER(TRIM($AB$2:$AB$518))=UPPER(TRIM($AB350))),--(TRIM($AB$2:$AB$518)&lt;&gt;""),--(LOWER(TRIM($AB$2:$AB$518))&lt;&gt;"n/a"),--(LOWER(TRIM($AB$2:$AB$518))&lt;&gt;"na"))&gt;1),AND($AH350&lt;&gt;"",LOWER(TRIM($AH350))&lt;&gt;"n/a",LOWER(TRIM($AH350))&lt;&gt;"na",SUMPRODUCT(--(UPPER(SUBSTITUTE(SUBSTITUTE(TRIM($AH$2:$AH$518),":",""),"-",""))=UPPER(SUBSTITUTE(SUBSTITUTE(TRIM($AH350),":",""),"-",""))),--(TRIM($AH$2:$AH$518)&lt;&gt;""),--(LOWER(TRIM($AH$2:$AH$518))&lt;&gt;"n/a"),--(LOWER(TRIM($AH$2:$AH$518))&lt;&gt;"na"))&gt;1),AND($AP350&lt;&gt;"",LOWER(TRIM($AP350))&lt;&gt;"n/a",LOWER(TRIM($AP350))&lt;&gt;"na",SUMPRODUCT(--(UPPER(TRIM($AP$2:$AP$518))=UPPER(TRIM($AP350))),--(TRIM($AP$2:$AP$518)&lt;&gt;""),--(LOWER(TRIM($AP$2:$AP$518))&lt;&gt;"n/a"),--(LOWER(TRIM($AP$2:$AP$518))&lt;&gt;"na"))&gt;1),AND($AQ350&lt;&gt;"",LOWER(TRIM($AQ350))&lt;&gt;"n/a",LOWER(TRIM($AQ350))&lt;&gt;"na",SUMPRODUCT(--(UPPER(TRIM($AQ$2:$AQ$518))=UPPER(TRIM($AQ350))),--(TRIM($AQ$2:$AQ$518)&lt;&gt;""),--(LOWER(TRIM($AQ$2:$AQ$518))&lt;&gt;"n/a"),--(LOWER(TRIM($AQ$2:$AQ$518))&lt;&gt;"na"))&gt;1)),"Yes","No"))</f>
        <v/>
      </c>
      <c r="F350">
        <f>IF(UPPER(TRIM($B350))&lt;&gt;"YES","", IF(OR(AND($V350&lt;&gt;"", LOWER(TRIM($V350))&lt;&gt;"n/a", LOWER(TRIM($V350))&lt;&gt;"na", SUMPRODUCT(--(UPPER(TRIM($V$2:$V$518))=UPPER(TRIM($V350))), --(UPPER(TRIM($B$2:$B$518))="YES"), --(UPPER(TRIM($G$2:$G$518)&amp;TRIM($I$2:$I$518)&amp;TRIM($J$2:$J$518))&lt;&gt;UPPER(TRIM($G350)&amp;TRIM($I350)&amp;TRIM($J350))))&gt;0), AND($W350&lt;&gt;"", LOWER(TRIM($W350))&lt;&gt;"n/a", LOWER(TRIM($W350))&lt;&gt;"na", SUMPRODUCT(--(UPPER(TRIM($W$2:$W$518))=UPPER(TRIM($W350))), --(UPPER(TRIM($B$2:$B$518))="YES"), --(UPPER(TRIM($G$2:$G$518)&amp;TRIM($I$2:$I$518)&amp;TRIM($J$2:$J$518))&lt;&gt;UPPER(TRIM($G350)&amp;TRIM($I350)&amp;TRIM($J350))))&gt;0), AND($X350&lt;&gt;"", LOWER(TRIM($X350))&lt;&gt;"n/a", LOWER(TRIM($X350))&lt;&gt;"na", SUMPRODUCT(--(UPPER(TRIM($X$2:$X$518))=UPPER(TRIM($X350))), --(UPPER(TRIM($B$2:$B$518))="YES"), --(UPPER(TRIM($G$2:$G$518)&amp;TRIM($I$2:$I$518)&amp;TRIM($J$2:$J$518))&lt;&gt;UPPER(TRIM($G350)&amp;TRIM($I350)&amp;TRIM($J350))))&gt;0), AND($Y350&lt;&gt;"", LOWER(TRIM($Y350))&lt;&gt;"n/a", LOWER(TRIM($Y350))&lt;&gt;"na", SUMPRODUCT(--(UPPER(SUBSTITUTE(SUBSTITUTE(TRIM($Y$2:$Y$518),":",""),"-",""))=UPPER(SUBSTITUTE(SUBSTITUTE(TRIM($Y350),":",""),"-",""))), --(UPPER(TRIM($B$2:$B$518))="YES"), --(UPPER(TRIM($G$2:$G$518)&amp;TRIM($I$2:$I$518)&amp;TRIM($J$2:$J$518))&lt;&gt;UPPER(TRIM($G350)&amp;TRIM($I350)&amp;TRIM($J350))))&gt;0), AND($AB350&lt;&gt;"", LOWER(TRIM($AB350))&lt;&gt;"n/a", LOWER(TRIM($AB350))&lt;&gt;"na", SUMPRODUCT(--(UPPER(TRIM($AB$2:$AB$518))=UPPER(TRIM($AB350))), --(UPPER(TRIM($B$2:$B$518))="YES"), --(UPPER(TRIM($G$2:$G$518)&amp;TRIM($I$2:$I$518)&amp;TRIM($J$2:$J$518))&lt;&gt;UPPER(TRIM($G350)&amp;TRIM($I350)&amp;TRIM($J350))))&gt;0), AND($AH350&lt;&gt;"", LOWER(TRIM($AH350))&lt;&gt;"n/a", LOWER(TRIM($AH350))&lt;&gt;"na", SUMPRODUCT(--(UPPER(SUBSTITUTE(SUBSTITUTE(TRIM($AH$2:$AH$518),":",""),"-",""))=UPPER(SUBSTITUTE(SUBSTITUTE(TRIM($AH350),":",""),"-",""))), --(UPPER(TRIM($B$2:$B$518))="YES"), --(UPPER(TRIM($G$2:$G$518)&amp;TRIM($I$2:$I$518)&amp;TRIM($J$2:$J$518))&lt;&gt;UPPER(TRIM($G350)&amp;TRIM($I350)&amp;TRIM($J350))))&gt;0), AND($AP350&lt;&gt;"", LOWER(TRIM($AP350))&lt;&gt;"n/a", LOWER(TRIM($AP350))&lt;&gt;"na", SUMPRODUCT(--(UPPER(TRIM($AP$2:$AP$518))=UPPER(TRIM($AP350))), --(UPPER(TRIM($B$2:$B$518))="YES"), --(UPPER(TRIM($G$2:$G$518)&amp;TRIM($I$2:$I$518)&amp;TRIM($J$2:$J$518))&lt;&gt;UPPER(TRIM($G350)&amp;TRIM($I350)&amp;TRIM($J350))))&gt;0), AND($AQ350&lt;&gt;"", LOWER(TRIM($AQ350))&lt;&gt;"n/a", LOWER(TRIM($AQ350))&lt;&gt;"na", SUMPRODUCT(--(UPPER(TRIM($AQ$2:$AQ$518))=UPPER(TRIM($AQ350))), --(UPPER(TRIM($B$2:$B$518))="YES"), --(UPPER(TRIM($G$2:$G$518)&amp;TRIM($I$2:$I$518)&amp;TRIM($J$2:$J$518))&lt;&gt;UPPER(TRIM($G350)&amp;TRIM($I350)&amp;TRIM($J350))))&gt;0)), "Yes", "No"))</f>
        <v/>
      </c>
      <c r="G350" t="inlineStr">
        <is>
          <t>1 Marcus</t>
        </is>
      </c>
      <c r="H350" t="inlineStr">
        <is>
          <t>PV</t>
        </is>
      </c>
      <c r="S350" t="inlineStr">
        <is>
          <t>PASS</t>
        </is>
      </c>
      <c r="T350" t="inlineStr">
        <is>
          <t>N/A</t>
        </is>
      </c>
      <c r="V350" t="inlineStr">
        <is>
          <t>WPV109OPR013</t>
        </is>
      </c>
      <c r="W350" t="inlineStr">
        <is>
          <t>medsg2425f-0270</t>
        </is>
      </c>
      <c r="CD350">
        <f>IF($Y350="","",IF((IF(AND($BR350&lt;&gt;"Yes",$BR350&lt;&gt;"N/A"),"Power Cable, ","")&amp;IF(AND($BS350&lt;&gt;"Yes",$BS350&lt;&gt;"N/A"),"Battery, ","")&amp;IF(AND($AD350&lt;&gt;"Yes",$AD350&lt;&gt;"N/A"),"Firmware Download, ","")&amp;IF(AND(OR($AD350="Yes",$AD350="N/A"),$AE350&lt;&gt;"Yes",$AE350&lt;&gt;"N/A"),"Firmware Install, ","")&amp;IF(AND($CB350&lt;&gt;"Yes",$CB350&lt;&gt;"N/A"),"Device ID, ","")&amp;IF(AND($CC350&lt;&gt;"Yes",$CC350&lt;&gt;"N/A"),"Epic Beans Relay, ",""))="","",LEFT(IF(AND($BR350&lt;&gt;"Yes",$BR350&lt;&gt;"N/A"),"Power Cable, ","")&amp;IF(AND($BS350&lt;&gt;"Yes",$BS350&lt;&gt;"N/A"),"Battery, ","")&amp;IF(AND($AD350&lt;&gt;"Yes",$AD350&lt;&gt;"N/A"),"Firmware Download, ","")&amp;IF(AND(OR($AD350="Yes",$AD350="N/A"),$AE350&lt;&gt;"Yes",$AE350&lt;&gt;"N/A"),"Firmware Install, ","")&amp;IF(AND($CB350&lt;&gt;"Yes",$CB350&lt;&gt;"N/A"),"Device ID, ","")&amp;IF(AND($CC350&lt;&gt;"Yes",$CC350&lt;&gt;"N/A"),"Epic Beans Relay, ",""),LEN(IF(AND($BR350&lt;&gt;"Yes",$BR350&lt;&gt;"N/A"),"Power Cable, ","")&amp;IF(AND($BS350&lt;&gt;"Yes",$BS350&lt;&gt;"N/A"),"Battery, ","")&amp;IF(AND($AD350&lt;&gt;"Yes",$AD350&lt;&gt;"N/A"),"Firmware Download, ","")&amp;IF(AND(OR($AD350="Yes",$AD350="N/A"),$AE350&lt;&gt;"Yes",$AE350&lt;&gt;"N/A"),"Firmware Install, ","")&amp;IF(AND($CB350&lt;&gt;"Yes",$CB350&lt;&gt;"N/A"),"Device ID, ","")&amp;IF(AND($CC350&lt;&gt;"Yes",$CC350&lt;&gt;"N/A"),"Epic Beans Relay, ",""))-2)))</f>
        <v/>
      </c>
      <c r="CE350">
        <f>IF($Y350="","",IF($CD350="","Yes","Blocked"))</f>
        <v/>
      </c>
      <c r="CP350">
        <f>IF($CO350="","",IFERROR(VLOOKUP($CO350,'01_Warehouse_Ledger'!$A:$N,4,FALSE),""))</f>
        <v/>
      </c>
      <c r="CQ350">
        <f>IF($CO350="","",IFERROR(VLOOKUP($CO350,'01_Warehouse_Ledger'!$A:$N,5,FALSE),""))</f>
        <v/>
      </c>
      <c r="CR350">
        <f>IF($CO350="","",IFERROR(VLOOKUP($CO350,'01_Warehouse_Ledger'!$A:$N,13,FALSE),""))</f>
        <v/>
      </c>
      <c r="CW350">
        <f>IF($S350="","",IF(UPPER(TRIM($S350))&lt;&gt;"PASS","",IF(LEN(TRIM($BY350))&gt;0,"NOTES_PRESENT",IF(LEN(TRIM($T350))=0,"SET_NA",IF(OR(LOWER(TRIM($T350))="na",LOWER(TRIM($T350))="n/a"),"OK","MANUAL_OVERRIDE")))))</f>
        <v/>
      </c>
    </row>
    <row r="351">
      <c r="A351" t="inlineStr">
        <is>
          <t>Cybernet</t>
        </is>
      </c>
      <c r="B351" t="inlineStr">
        <is>
          <t>No</t>
        </is>
      </c>
      <c r="C351" t="inlineStr">
        <is>
          <t>No</t>
        </is>
      </c>
      <c r="D351">
        <f>IF($B351&lt;&gt;"Yes","",IF($C351="No","Yes",IF($C351="Yes","No","")))</f>
        <v/>
      </c>
      <c r="E351">
        <f>IF($A351="","",IF(OR(AND($V351&lt;&gt;"",LOWER(TRIM($V351))&lt;&gt;"n/a",LOWER(TRIM($V351))&lt;&gt;"na",SUMPRODUCT(--(UPPER(TRIM($V$2:$V$518))=UPPER(TRIM($V351))),--(TRIM($V$2:$V$518)&lt;&gt;""),--(LOWER(TRIM($V$2:$V$518))&lt;&gt;"n/a"),--(LOWER(TRIM($V$2:$V$518))&lt;&gt;"na"))&gt;1),AND($W351&lt;&gt;"",LOWER(TRIM($W351))&lt;&gt;"n/a",LOWER(TRIM($W351))&lt;&gt;"na",SUMPRODUCT(--(UPPER(TRIM($W$2:$W$518))=UPPER(TRIM($W351))),--(TRIM($W$2:$W$518)&lt;&gt;""),--(LOWER(TRIM($W$2:$W$518))&lt;&gt;"n/a"),--(LOWER(TRIM($W$2:$W$518))&lt;&gt;"na"))&gt;1),AND($X351&lt;&gt;"",LOWER(TRIM($X351))&lt;&gt;"n/a",LOWER(TRIM($X351))&lt;&gt;"na",SUMPRODUCT(--(UPPER(TRIM($X$2:$X$518))=UPPER(TRIM($X351))),--(TRIM($X$2:$X$518)&lt;&gt;""),--(LOWER(TRIM($X$2:$X$518))&lt;&gt;"n/a"),--(LOWER(TRIM($X$2:$X$518))&lt;&gt;"na"))&gt;1),AND($Y351&lt;&gt;"",LOWER(TRIM($Y351))&lt;&gt;"n/a",LOWER(TRIM($Y351))&lt;&gt;"na",SUMPRODUCT(--(UPPER(SUBSTITUTE(SUBSTITUTE(TRIM($Y$2:$Y$518),":",""),"-",""))=UPPER(SUBSTITUTE(SUBSTITUTE(TRIM($Y351),":",""),"-",""))),--(TRIM($Y$2:$Y$518)&lt;&gt;""),--(LOWER(TRIM($Y$2:$Y$518))&lt;&gt;"n/a"),--(LOWER(TRIM($Y$2:$Y$518))&lt;&gt;"na"))&gt;1),AND($AB351&lt;&gt;"",LOWER(TRIM($AB351))&lt;&gt;"n/a",LOWER(TRIM($AB351))&lt;&gt;"na",SUMPRODUCT(--(UPPER(TRIM($AB$2:$AB$518))=UPPER(TRIM($AB351))),--(TRIM($AB$2:$AB$518)&lt;&gt;""),--(LOWER(TRIM($AB$2:$AB$518))&lt;&gt;"n/a"),--(LOWER(TRIM($AB$2:$AB$518))&lt;&gt;"na"))&gt;1),AND($AH351&lt;&gt;"",LOWER(TRIM($AH351))&lt;&gt;"n/a",LOWER(TRIM($AH351))&lt;&gt;"na",SUMPRODUCT(--(UPPER(SUBSTITUTE(SUBSTITUTE(TRIM($AH$2:$AH$518),":",""),"-",""))=UPPER(SUBSTITUTE(SUBSTITUTE(TRIM($AH351),":",""),"-",""))),--(TRIM($AH$2:$AH$518)&lt;&gt;""),--(LOWER(TRIM($AH$2:$AH$518))&lt;&gt;"n/a"),--(LOWER(TRIM($AH$2:$AH$518))&lt;&gt;"na"))&gt;1),AND($AP351&lt;&gt;"",LOWER(TRIM($AP351))&lt;&gt;"n/a",LOWER(TRIM($AP351))&lt;&gt;"na",SUMPRODUCT(--(UPPER(TRIM($AP$2:$AP$518))=UPPER(TRIM($AP351))),--(TRIM($AP$2:$AP$518)&lt;&gt;""),--(LOWER(TRIM($AP$2:$AP$518))&lt;&gt;"n/a"),--(LOWER(TRIM($AP$2:$AP$518))&lt;&gt;"na"))&gt;1),AND($AQ351&lt;&gt;"",LOWER(TRIM($AQ351))&lt;&gt;"n/a",LOWER(TRIM($AQ351))&lt;&gt;"na",SUMPRODUCT(--(UPPER(TRIM($AQ$2:$AQ$518))=UPPER(TRIM($AQ351))),--(TRIM($AQ$2:$AQ$518)&lt;&gt;""),--(LOWER(TRIM($AQ$2:$AQ$518))&lt;&gt;"n/a"),--(LOWER(TRIM($AQ$2:$AQ$518))&lt;&gt;"na"))&gt;1)),"Yes","No"))</f>
        <v/>
      </c>
      <c r="F351">
        <f>IF(UPPER(TRIM($B351))&lt;&gt;"YES","", IF(OR(AND($V351&lt;&gt;"", LOWER(TRIM($V351))&lt;&gt;"n/a", LOWER(TRIM($V351))&lt;&gt;"na", SUMPRODUCT(--(UPPER(TRIM($V$2:$V$518))=UPPER(TRIM($V351))), --(UPPER(TRIM($B$2:$B$518))="YES"), --(UPPER(TRIM($G$2:$G$518)&amp;TRIM($I$2:$I$518)&amp;TRIM($J$2:$J$518))&lt;&gt;UPPER(TRIM($G351)&amp;TRIM($I351)&amp;TRIM($J351))))&gt;0), AND($W351&lt;&gt;"", LOWER(TRIM($W351))&lt;&gt;"n/a", LOWER(TRIM($W351))&lt;&gt;"na", SUMPRODUCT(--(UPPER(TRIM($W$2:$W$518))=UPPER(TRIM($W351))), --(UPPER(TRIM($B$2:$B$518))="YES"), --(UPPER(TRIM($G$2:$G$518)&amp;TRIM($I$2:$I$518)&amp;TRIM($J$2:$J$518))&lt;&gt;UPPER(TRIM($G351)&amp;TRIM($I351)&amp;TRIM($J351))))&gt;0), AND($X351&lt;&gt;"", LOWER(TRIM($X351))&lt;&gt;"n/a", LOWER(TRIM($X351))&lt;&gt;"na", SUMPRODUCT(--(UPPER(TRIM($X$2:$X$518))=UPPER(TRIM($X351))), --(UPPER(TRIM($B$2:$B$518))="YES"), --(UPPER(TRIM($G$2:$G$518)&amp;TRIM($I$2:$I$518)&amp;TRIM($J$2:$J$518))&lt;&gt;UPPER(TRIM($G351)&amp;TRIM($I351)&amp;TRIM($J351))))&gt;0), AND($Y351&lt;&gt;"", LOWER(TRIM($Y351))&lt;&gt;"n/a", LOWER(TRIM($Y351))&lt;&gt;"na", SUMPRODUCT(--(UPPER(SUBSTITUTE(SUBSTITUTE(TRIM($Y$2:$Y$518),":",""),"-",""))=UPPER(SUBSTITUTE(SUBSTITUTE(TRIM($Y351),":",""),"-",""))), --(UPPER(TRIM($B$2:$B$518))="YES"), --(UPPER(TRIM($G$2:$G$518)&amp;TRIM($I$2:$I$518)&amp;TRIM($J$2:$J$518))&lt;&gt;UPPER(TRIM($G351)&amp;TRIM($I351)&amp;TRIM($J351))))&gt;0), AND($AB351&lt;&gt;"", LOWER(TRIM($AB351))&lt;&gt;"n/a", LOWER(TRIM($AB351))&lt;&gt;"na", SUMPRODUCT(--(UPPER(TRIM($AB$2:$AB$518))=UPPER(TRIM($AB351))), --(UPPER(TRIM($B$2:$B$518))="YES"), --(UPPER(TRIM($G$2:$G$518)&amp;TRIM($I$2:$I$518)&amp;TRIM($J$2:$J$518))&lt;&gt;UPPER(TRIM($G351)&amp;TRIM($I351)&amp;TRIM($J351))))&gt;0), AND($AH351&lt;&gt;"", LOWER(TRIM($AH351))&lt;&gt;"n/a", LOWER(TRIM($AH351))&lt;&gt;"na", SUMPRODUCT(--(UPPER(SUBSTITUTE(SUBSTITUTE(TRIM($AH$2:$AH$518),":",""),"-",""))=UPPER(SUBSTITUTE(SUBSTITUTE(TRIM($AH351),":",""),"-",""))), --(UPPER(TRIM($B$2:$B$518))="YES"), --(UPPER(TRIM($G$2:$G$518)&amp;TRIM($I$2:$I$518)&amp;TRIM($J$2:$J$518))&lt;&gt;UPPER(TRIM($G351)&amp;TRIM($I351)&amp;TRIM($J351))))&gt;0), AND($AP351&lt;&gt;"", LOWER(TRIM($AP351))&lt;&gt;"n/a", LOWER(TRIM($AP351))&lt;&gt;"na", SUMPRODUCT(--(UPPER(TRIM($AP$2:$AP$518))=UPPER(TRIM($AP351))), --(UPPER(TRIM($B$2:$B$518))="YES"), --(UPPER(TRIM($G$2:$G$518)&amp;TRIM($I$2:$I$518)&amp;TRIM($J$2:$J$518))&lt;&gt;UPPER(TRIM($G351)&amp;TRIM($I351)&amp;TRIM($J351))))&gt;0), AND($AQ351&lt;&gt;"", LOWER(TRIM($AQ351))&lt;&gt;"n/a", LOWER(TRIM($AQ351))&lt;&gt;"na", SUMPRODUCT(--(UPPER(TRIM($AQ$2:$AQ$518))=UPPER(TRIM($AQ351))), --(UPPER(TRIM($B$2:$B$518))="YES"), --(UPPER(TRIM($G$2:$G$518)&amp;TRIM($I$2:$I$518)&amp;TRIM($J$2:$J$518))&lt;&gt;UPPER(TRIM($G351)&amp;TRIM($I351)&amp;TRIM($J351))))&gt;0)), "Yes", "No"))</f>
        <v/>
      </c>
      <c r="G351" t="inlineStr">
        <is>
          <t>1 Marcus</t>
        </is>
      </c>
      <c r="H351" t="inlineStr">
        <is>
          <t>LIJ - VAR</t>
        </is>
      </c>
      <c r="V351" t="inlineStr">
        <is>
          <t>WNH270OPR463</t>
        </is>
      </c>
      <c r="W351" s="76" t="inlineStr">
        <is>
          <t>MEDNM24G25-0308</t>
        </is>
      </c>
      <c r="CD351">
        <f>IF($Y351="","",IF((IF(AND($BR351&lt;&gt;"Yes",$BR351&lt;&gt;"N/A"),"Power Cable, ","")&amp;IF(AND($BS351&lt;&gt;"Yes",$BS351&lt;&gt;"N/A"),"Battery, ","")&amp;IF(AND($AD351&lt;&gt;"Yes",$AD351&lt;&gt;"N/A"),"Firmware Download, ","")&amp;IF(AND(OR($AD351="Yes",$AD351="N/A"),$AE351&lt;&gt;"Yes",$AE351&lt;&gt;"N/A"),"Firmware Install, ","")&amp;IF(AND($CB351&lt;&gt;"Yes",$CB351&lt;&gt;"N/A"),"Device ID, ","")&amp;IF(AND($CC351&lt;&gt;"Yes",$CC351&lt;&gt;"N/A"),"Epic Beans Relay, ",""))="","",LEFT(IF(AND($BR351&lt;&gt;"Yes",$BR351&lt;&gt;"N/A"),"Power Cable, ","")&amp;IF(AND($BS351&lt;&gt;"Yes",$BS351&lt;&gt;"N/A"),"Battery, ","")&amp;IF(AND($AD351&lt;&gt;"Yes",$AD351&lt;&gt;"N/A"),"Firmware Download, ","")&amp;IF(AND(OR($AD351="Yes",$AD351="N/A"),$AE351&lt;&gt;"Yes",$AE351&lt;&gt;"N/A"),"Firmware Install, ","")&amp;IF(AND($CB351&lt;&gt;"Yes",$CB351&lt;&gt;"N/A"),"Device ID, ","")&amp;IF(AND($CC351&lt;&gt;"Yes",$CC351&lt;&gt;"N/A"),"Epic Beans Relay, ",""),LEN(IF(AND($BR351&lt;&gt;"Yes",$BR351&lt;&gt;"N/A"),"Power Cable, ","")&amp;IF(AND($BS351&lt;&gt;"Yes",$BS351&lt;&gt;"N/A"),"Battery, ","")&amp;IF(AND($AD351&lt;&gt;"Yes",$AD351&lt;&gt;"N/A"),"Firmware Download, ","")&amp;IF(AND(OR($AD351="Yes",$AD351="N/A"),$AE351&lt;&gt;"Yes",$AE351&lt;&gt;"N/A"),"Firmware Install, ","")&amp;IF(AND($CB351&lt;&gt;"Yes",$CB351&lt;&gt;"N/A"),"Device ID, ","")&amp;IF(AND($CC351&lt;&gt;"Yes",$CC351&lt;&gt;"N/A"),"Epic Beans Relay, ",""))-2)))</f>
        <v/>
      </c>
      <c r="CE351">
        <f>IF($Y351="","",IF($CD351="","Yes","Blocked"))</f>
        <v/>
      </c>
      <c r="CP351">
        <f>IF($CO351="","",IFERROR(VLOOKUP($CO351,'01_Warehouse_Ledger'!$A:$N,4,FALSE),""))</f>
        <v/>
      </c>
      <c r="CQ351">
        <f>IF($CO351="","",IFERROR(VLOOKUP($CO351,'01_Warehouse_Ledger'!$A:$N,5,FALSE),""))</f>
        <v/>
      </c>
      <c r="CR351">
        <f>IF($CO351="","",IFERROR(VLOOKUP($CO351,'01_Warehouse_Ledger'!$A:$N,13,FALSE),""))</f>
        <v/>
      </c>
      <c r="CW351">
        <f>IF($S351="","",IF(UPPER(TRIM($S351))&lt;&gt;"PASS","",IF(LEN(TRIM($BY351))&gt;0,"NOTES_PRESENT",IF(LEN(TRIM($T351))=0,"SET_NA",IF(OR(LOWER(TRIM($T351))="na",LOWER(TRIM($T351))="n/a"),"OK","MANUAL_OVERRIDE")))))</f>
        <v/>
      </c>
    </row>
    <row r="352">
      <c r="A352" t="inlineStr">
        <is>
          <t>Cybernet</t>
        </is>
      </c>
      <c r="B352" t="inlineStr">
        <is>
          <t>No</t>
        </is>
      </c>
      <c r="C352" t="inlineStr">
        <is>
          <t>No</t>
        </is>
      </c>
      <c r="D352">
        <f>IF($B352&lt;&gt;"Yes","",IF($C352="No","Yes",IF($C352="Yes","No","")))</f>
        <v/>
      </c>
      <c r="E352">
        <f>IF($A352="","",IF(OR(AND($V352&lt;&gt;"",LOWER(TRIM($V352))&lt;&gt;"n/a",LOWER(TRIM($V352))&lt;&gt;"na",SUMPRODUCT(--(UPPER(TRIM($V$2:$V$518))=UPPER(TRIM($V352))),--(TRIM($V$2:$V$518)&lt;&gt;""),--(LOWER(TRIM($V$2:$V$518))&lt;&gt;"n/a"),--(LOWER(TRIM($V$2:$V$518))&lt;&gt;"na"))&gt;1),AND($W352&lt;&gt;"",LOWER(TRIM($W352))&lt;&gt;"n/a",LOWER(TRIM($W352))&lt;&gt;"na",SUMPRODUCT(--(UPPER(TRIM($W$2:$W$518))=UPPER(TRIM($W352))),--(TRIM($W$2:$W$518)&lt;&gt;""),--(LOWER(TRIM($W$2:$W$518))&lt;&gt;"n/a"),--(LOWER(TRIM($W$2:$W$518))&lt;&gt;"na"))&gt;1),AND($X352&lt;&gt;"",LOWER(TRIM($X352))&lt;&gt;"n/a",LOWER(TRIM($X352))&lt;&gt;"na",SUMPRODUCT(--(UPPER(TRIM($X$2:$X$518))=UPPER(TRIM($X352))),--(TRIM($X$2:$X$518)&lt;&gt;""),--(LOWER(TRIM($X$2:$X$518))&lt;&gt;"n/a"),--(LOWER(TRIM($X$2:$X$518))&lt;&gt;"na"))&gt;1),AND($Y352&lt;&gt;"",LOWER(TRIM($Y352))&lt;&gt;"n/a",LOWER(TRIM($Y352))&lt;&gt;"na",SUMPRODUCT(--(UPPER(SUBSTITUTE(SUBSTITUTE(TRIM($Y$2:$Y$518),":",""),"-",""))=UPPER(SUBSTITUTE(SUBSTITUTE(TRIM($Y352),":",""),"-",""))),--(TRIM($Y$2:$Y$518)&lt;&gt;""),--(LOWER(TRIM($Y$2:$Y$518))&lt;&gt;"n/a"),--(LOWER(TRIM($Y$2:$Y$518))&lt;&gt;"na"))&gt;1),AND($AB352&lt;&gt;"",LOWER(TRIM($AB352))&lt;&gt;"n/a",LOWER(TRIM($AB352))&lt;&gt;"na",SUMPRODUCT(--(UPPER(TRIM($AB$2:$AB$518))=UPPER(TRIM($AB352))),--(TRIM($AB$2:$AB$518)&lt;&gt;""),--(LOWER(TRIM($AB$2:$AB$518))&lt;&gt;"n/a"),--(LOWER(TRIM($AB$2:$AB$518))&lt;&gt;"na"))&gt;1),AND($AH352&lt;&gt;"",LOWER(TRIM($AH352))&lt;&gt;"n/a",LOWER(TRIM($AH352))&lt;&gt;"na",SUMPRODUCT(--(UPPER(SUBSTITUTE(SUBSTITUTE(TRIM($AH$2:$AH$518),":",""),"-",""))=UPPER(SUBSTITUTE(SUBSTITUTE(TRIM($AH352),":",""),"-",""))),--(TRIM($AH$2:$AH$518)&lt;&gt;""),--(LOWER(TRIM($AH$2:$AH$518))&lt;&gt;"n/a"),--(LOWER(TRIM($AH$2:$AH$518))&lt;&gt;"na"))&gt;1),AND($AP352&lt;&gt;"",LOWER(TRIM($AP352))&lt;&gt;"n/a",LOWER(TRIM($AP352))&lt;&gt;"na",SUMPRODUCT(--(UPPER(TRIM($AP$2:$AP$518))=UPPER(TRIM($AP352))),--(TRIM($AP$2:$AP$518)&lt;&gt;""),--(LOWER(TRIM($AP$2:$AP$518))&lt;&gt;"n/a"),--(LOWER(TRIM($AP$2:$AP$518))&lt;&gt;"na"))&gt;1),AND($AQ352&lt;&gt;"",LOWER(TRIM($AQ352))&lt;&gt;"n/a",LOWER(TRIM($AQ352))&lt;&gt;"na",SUMPRODUCT(--(UPPER(TRIM($AQ$2:$AQ$518))=UPPER(TRIM($AQ352))),--(TRIM($AQ$2:$AQ$518)&lt;&gt;""),--(LOWER(TRIM($AQ$2:$AQ$518))&lt;&gt;"n/a"),--(LOWER(TRIM($AQ$2:$AQ$518))&lt;&gt;"na"))&gt;1)),"Yes","No"))</f>
        <v/>
      </c>
      <c r="F352">
        <f>IF(UPPER(TRIM($B352))&lt;&gt;"YES","", IF(OR(AND($V352&lt;&gt;"", LOWER(TRIM($V352))&lt;&gt;"n/a", LOWER(TRIM($V352))&lt;&gt;"na", SUMPRODUCT(--(UPPER(TRIM($V$2:$V$518))=UPPER(TRIM($V352))), --(UPPER(TRIM($B$2:$B$518))="YES"), --(UPPER(TRIM($G$2:$G$518)&amp;TRIM($I$2:$I$518)&amp;TRIM($J$2:$J$518))&lt;&gt;UPPER(TRIM($G352)&amp;TRIM($I352)&amp;TRIM($J352))))&gt;0), AND($W352&lt;&gt;"", LOWER(TRIM($W352))&lt;&gt;"n/a", LOWER(TRIM($W352))&lt;&gt;"na", SUMPRODUCT(--(UPPER(TRIM($W$2:$W$518))=UPPER(TRIM($W352))), --(UPPER(TRIM($B$2:$B$518))="YES"), --(UPPER(TRIM($G$2:$G$518)&amp;TRIM($I$2:$I$518)&amp;TRIM($J$2:$J$518))&lt;&gt;UPPER(TRIM($G352)&amp;TRIM($I352)&amp;TRIM($J352))))&gt;0), AND($X352&lt;&gt;"", LOWER(TRIM($X352))&lt;&gt;"n/a", LOWER(TRIM($X352))&lt;&gt;"na", SUMPRODUCT(--(UPPER(TRIM($X$2:$X$518))=UPPER(TRIM($X352))), --(UPPER(TRIM($B$2:$B$518))="YES"), --(UPPER(TRIM($G$2:$G$518)&amp;TRIM($I$2:$I$518)&amp;TRIM($J$2:$J$518))&lt;&gt;UPPER(TRIM($G352)&amp;TRIM($I352)&amp;TRIM($J352))))&gt;0), AND($Y352&lt;&gt;"", LOWER(TRIM($Y352))&lt;&gt;"n/a", LOWER(TRIM($Y352))&lt;&gt;"na", SUMPRODUCT(--(UPPER(SUBSTITUTE(SUBSTITUTE(TRIM($Y$2:$Y$518),":",""),"-",""))=UPPER(SUBSTITUTE(SUBSTITUTE(TRIM($Y352),":",""),"-",""))), --(UPPER(TRIM($B$2:$B$518))="YES"), --(UPPER(TRIM($G$2:$G$518)&amp;TRIM($I$2:$I$518)&amp;TRIM($J$2:$J$518))&lt;&gt;UPPER(TRIM($G352)&amp;TRIM($I352)&amp;TRIM($J352))))&gt;0), AND($AB352&lt;&gt;"", LOWER(TRIM($AB352))&lt;&gt;"n/a", LOWER(TRIM($AB352))&lt;&gt;"na", SUMPRODUCT(--(UPPER(TRIM($AB$2:$AB$518))=UPPER(TRIM($AB352))), --(UPPER(TRIM($B$2:$B$518))="YES"), --(UPPER(TRIM($G$2:$G$518)&amp;TRIM($I$2:$I$518)&amp;TRIM($J$2:$J$518))&lt;&gt;UPPER(TRIM($G352)&amp;TRIM($I352)&amp;TRIM($J352))))&gt;0), AND($AH352&lt;&gt;"", LOWER(TRIM($AH352))&lt;&gt;"n/a", LOWER(TRIM($AH352))&lt;&gt;"na", SUMPRODUCT(--(UPPER(SUBSTITUTE(SUBSTITUTE(TRIM($AH$2:$AH$518),":",""),"-",""))=UPPER(SUBSTITUTE(SUBSTITUTE(TRIM($AH352),":",""),"-",""))), --(UPPER(TRIM($B$2:$B$518))="YES"), --(UPPER(TRIM($G$2:$G$518)&amp;TRIM($I$2:$I$518)&amp;TRIM($J$2:$J$518))&lt;&gt;UPPER(TRIM($G352)&amp;TRIM($I352)&amp;TRIM($J352))))&gt;0), AND($AP352&lt;&gt;"", LOWER(TRIM($AP352))&lt;&gt;"n/a", LOWER(TRIM($AP352))&lt;&gt;"na", SUMPRODUCT(--(UPPER(TRIM($AP$2:$AP$518))=UPPER(TRIM($AP352))), --(UPPER(TRIM($B$2:$B$518))="YES"), --(UPPER(TRIM($G$2:$G$518)&amp;TRIM($I$2:$I$518)&amp;TRIM($J$2:$J$518))&lt;&gt;UPPER(TRIM($G352)&amp;TRIM($I352)&amp;TRIM($J352))))&gt;0), AND($AQ352&lt;&gt;"", LOWER(TRIM($AQ352))&lt;&gt;"n/a", LOWER(TRIM($AQ352))&lt;&gt;"na", SUMPRODUCT(--(UPPER(TRIM($AQ$2:$AQ$518))=UPPER(TRIM($AQ352))), --(UPPER(TRIM($B$2:$B$518))="YES"), --(UPPER(TRIM($G$2:$G$518)&amp;TRIM($I$2:$I$518)&amp;TRIM($J$2:$J$518))&lt;&gt;UPPER(TRIM($G352)&amp;TRIM($I352)&amp;TRIM($J352))))&gt;0)), "Yes", "No"))</f>
        <v/>
      </c>
      <c r="G352" t="inlineStr">
        <is>
          <t>1 Marcus</t>
        </is>
      </c>
      <c r="H352" t="inlineStr">
        <is>
          <t>LIJ - VAR</t>
        </is>
      </c>
      <c r="V352" s="15" t="inlineStr">
        <is>
          <t>WNH270OPR464</t>
        </is>
      </c>
      <c r="W352" s="76" t="inlineStr">
        <is>
          <t>MEDNM24G25-0711</t>
        </is>
      </c>
      <c r="CD352">
        <f>IF($Y352="","",IF((IF(AND($BR352&lt;&gt;"Yes",$BR352&lt;&gt;"N/A"),"Power Cable, ","")&amp;IF(AND($BS352&lt;&gt;"Yes",$BS352&lt;&gt;"N/A"),"Battery, ","")&amp;IF(AND($AD352&lt;&gt;"Yes",$AD352&lt;&gt;"N/A"),"Firmware Download, ","")&amp;IF(AND(OR($AD352="Yes",$AD352="N/A"),$AE352&lt;&gt;"Yes",$AE352&lt;&gt;"N/A"),"Firmware Install, ","")&amp;IF(AND($CB352&lt;&gt;"Yes",$CB352&lt;&gt;"N/A"),"Device ID, ","")&amp;IF(AND($CC352&lt;&gt;"Yes",$CC352&lt;&gt;"N/A"),"Epic Beans Relay, ",""))="","",LEFT(IF(AND($BR352&lt;&gt;"Yes",$BR352&lt;&gt;"N/A"),"Power Cable, ","")&amp;IF(AND($BS352&lt;&gt;"Yes",$BS352&lt;&gt;"N/A"),"Battery, ","")&amp;IF(AND($AD352&lt;&gt;"Yes",$AD352&lt;&gt;"N/A"),"Firmware Download, ","")&amp;IF(AND(OR($AD352="Yes",$AD352="N/A"),$AE352&lt;&gt;"Yes",$AE352&lt;&gt;"N/A"),"Firmware Install, ","")&amp;IF(AND($CB352&lt;&gt;"Yes",$CB352&lt;&gt;"N/A"),"Device ID, ","")&amp;IF(AND($CC352&lt;&gt;"Yes",$CC352&lt;&gt;"N/A"),"Epic Beans Relay, ",""),LEN(IF(AND($BR352&lt;&gt;"Yes",$BR352&lt;&gt;"N/A"),"Power Cable, ","")&amp;IF(AND($BS352&lt;&gt;"Yes",$BS352&lt;&gt;"N/A"),"Battery, ","")&amp;IF(AND($AD352&lt;&gt;"Yes",$AD352&lt;&gt;"N/A"),"Firmware Download, ","")&amp;IF(AND(OR($AD352="Yes",$AD352="N/A"),$AE352&lt;&gt;"Yes",$AE352&lt;&gt;"N/A"),"Firmware Install, ","")&amp;IF(AND($CB352&lt;&gt;"Yes",$CB352&lt;&gt;"N/A"),"Device ID, ","")&amp;IF(AND($CC352&lt;&gt;"Yes",$CC352&lt;&gt;"N/A"),"Epic Beans Relay, ",""))-2)))</f>
        <v/>
      </c>
      <c r="CE352">
        <f>IF($Y352="","",IF($CD352="","Yes","Blocked"))</f>
        <v/>
      </c>
      <c r="CP352">
        <f>IF($CO352="","",IFERROR(VLOOKUP($CO352,'01_Warehouse_Ledger'!$A:$N,4,FALSE),""))</f>
        <v/>
      </c>
      <c r="CQ352">
        <f>IF($CO352="","",IFERROR(VLOOKUP($CO352,'01_Warehouse_Ledger'!$A:$N,5,FALSE),""))</f>
        <v/>
      </c>
      <c r="CR352">
        <f>IF($CO352="","",IFERROR(VLOOKUP($CO352,'01_Warehouse_Ledger'!$A:$N,13,FALSE),""))</f>
        <v/>
      </c>
      <c r="CW352">
        <f>IF($S352="","",IF(UPPER(TRIM($S352))&lt;&gt;"PASS","",IF(LEN(TRIM($BY352))&gt;0,"NOTES_PRESENT",IF(LEN(TRIM($T352))=0,"SET_NA",IF(OR(LOWER(TRIM($T352))="na",LOWER(TRIM($T352))="n/a"),"OK","MANUAL_OVERRIDE")))))</f>
        <v/>
      </c>
    </row>
    <row r="353">
      <c r="A353" t="inlineStr">
        <is>
          <t>Cybernet</t>
        </is>
      </c>
      <c r="B353" t="inlineStr">
        <is>
          <t>No</t>
        </is>
      </c>
      <c r="C353" t="inlineStr">
        <is>
          <t>No</t>
        </is>
      </c>
      <c r="D353">
        <f>IF($B353&lt;&gt;"Yes","",IF($C353="No","Yes",IF($C353="Yes","No","")))</f>
        <v/>
      </c>
      <c r="E353">
        <f>IF($A353="","",IF(OR(AND($V353&lt;&gt;"",LOWER(TRIM($V353))&lt;&gt;"n/a",LOWER(TRIM($V353))&lt;&gt;"na",SUMPRODUCT(--(UPPER(TRIM($V$2:$V$518))=UPPER(TRIM($V353))),--(TRIM($V$2:$V$518)&lt;&gt;""),--(LOWER(TRIM($V$2:$V$518))&lt;&gt;"n/a"),--(LOWER(TRIM($V$2:$V$518))&lt;&gt;"na"))&gt;1),AND($W353&lt;&gt;"",LOWER(TRIM($W353))&lt;&gt;"n/a",LOWER(TRIM($W353))&lt;&gt;"na",SUMPRODUCT(--(UPPER(TRIM($W$2:$W$518))=UPPER(TRIM($W353))),--(TRIM($W$2:$W$518)&lt;&gt;""),--(LOWER(TRIM($W$2:$W$518))&lt;&gt;"n/a"),--(LOWER(TRIM($W$2:$W$518))&lt;&gt;"na"))&gt;1),AND($X353&lt;&gt;"",LOWER(TRIM($X353))&lt;&gt;"n/a",LOWER(TRIM($X353))&lt;&gt;"na",SUMPRODUCT(--(UPPER(TRIM($X$2:$X$518))=UPPER(TRIM($X353))),--(TRIM($X$2:$X$518)&lt;&gt;""),--(LOWER(TRIM($X$2:$X$518))&lt;&gt;"n/a"),--(LOWER(TRIM($X$2:$X$518))&lt;&gt;"na"))&gt;1),AND($Y353&lt;&gt;"",LOWER(TRIM($Y353))&lt;&gt;"n/a",LOWER(TRIM($Y353))&lt;&gt;"na",SUMPRODUCT(--(UPPER(SUBSTITUTE(SUBSTITUTE(TRIM($Y$2:$Y$518),":",""),"-",""))=UPPER(SUBSTITUTE(SUBSTITUTE(TRIM($Y353),":",""),"-",""))),--(TRIM($Y$2:$Y$518)&lt;&gt;""),--(LOWER(TRIM($Y$2:$Y$518))&lt;&gt;"n/a"),--(LOWER(TRIM($Y$2:$Y$518))&lt;&gt;"na"))&gt;1),AND($AB353&lt;&gt;"",LOWER(TRIM($AB353))&lt;&gt;"n/a",LOWER(TRIM($AB353))&lt;&gt;"na",SUMPRODUCT(--(UPPER(TRIM($AB$2:$AB$518))=UPPER(TRIM($AB353))),--(TRIM($AB$2:$AB$518)&lt;&gt;""),--(LOWER(TRIM($AB$2:$AB$518))&lt;&gt;"n/a"),--(LOWER(TRIM($AB$2:$AB$518))&lt;&gt;"na"))&gt;1),AND($AH353&lt;&gt;"",LOWER(TRIM($AH353))&lt;&gt;"n/a",LOWER(TRIM($AH353))&lt;&gt;"na",SUMPRODUCT(--(UPPER(SUBSTITUTE(SUBSTITUTE(TRIM($AH$2:$AH$518),":",""),"-",""))=UPPER(SUBSTITUTE(SUBSTITUTE(TRIM($AH353),":",""),"-",""))),--(TRIM($AH$2:$AH$518)&lt;&gt;""),--(LOWER(TRIM($AH$2:$AH$518))&lt;&gt;"n/a"),--(LOWER(TRIM($AH$2:$AH$518))&lt;&gt;"na"))&gt;1),AND($AP353&lt;&gt;"",LOWER(TRIM($AP353))&lt;&gt;"n/a",LOWER(TRIM($AP353))&lt;&gt;"na",SUMPRODUCT(--(UPPER(TRIM($AP$2:$AP$518))=UPPER(TRIM($AP353))),--(TRIM($AP$2:$AP$518)&lt;&gt;""),--(LOWER(TRIM($AP$2:$AP$518))&lt;&gt;"n/a"),--(LOWER(TRIM($AP$2:$AP$518))&lt;&gt;"na"))&gt;1),AND($AQ353&lt;&gt;"",LOWER(TRIM($AQ353))&lt;&gt;"n/a",LOWER(TRIM($AQ353))&lt;&gt;"na",SUMPRODUCT(--(UPPER(TRIM($AQ$2:$AQ$518))=UPPER(TRIM($AQ353))),--(TRIM($AQ$2:$AQ$518)&lt;&gt;""),--(LOWER(TRIM($AQ$2:$AQ$518))&lt;&gt;"n/a"),--(LOWER(TRIM($AQ$2:$AQ$518))&lt;&gt;"na"))&gt;1)),"Yes","No"))</f>
        <v/>
      </c>
      <c r="F353">
        <f>IF(UPPER(TRIM($B353))&lt;&gt;"YES","", IF(OR(AND($V353&lt;&gt;"", LOWER(TRIM($V353))&lt;&gt;"n/a", LOWER(TRIM($V353))&lt;&gt;"na", SUMPRODUCT(--(UPPER(TRIM($V$2:$V$518))=UPPER(TRIM($V353))), --(UPPER(TRIM($B$2:$B$518))="YES"), --(UPPER(TRIM($G$2:$G$518)&amp;TRIM($I$2:$I$518)&amp;TRIM($J$2:$J$518))&lt;&gt;UPPER(TRIM($G353)&amp;TRIM($I353)&amp;TRIM($J353))))&gt;0), AND($W353&lt;&gt;"", LOWER(TRIM($W353))&lt;&gt;"n/a", LOWER(TRIM($W353))&lt;&gt;"na", SUMPRODUCT(--(UPPER(TRIM($W$2:$W$518))=UPPER(TRIM($W353))), --(UPPER(TRIM($B$2:$B$518))="YES"), --(UPPER(TRIM($G$2:$G$518)&amp;TRIM($I$2:$I$518)&amp;TRIM($J$2:$J$518))&lt;&gt;UPPER(TRIM($G353)&amp;TRIM($I353)&amp;TRIM($J353))))&gt;0), AND($X353&lt;&gt;"", LOWER(TRIM($X353))&lt;&gt;"n/a", LOWER(TRIM($X353))&lt;&gt;"na", SUMPRODUCT(--(UPPER(TRIM($X$2:$X$518))=UPPER(TRIM($X353))), --(UPPER(TRIM($B$2:$B$518))="YES"), --(UPPER(TRIM($G$2:$G$518)&amp;TRIM($I$2:$I$518)&amp;TRIM($J$2:$J$518))&lt;&gt;UPPER(TRIM($G353)&amp;TRIM($I353)&amp;TRIM($J353))))&gt;0), AND($Y353&lt;&gt;"", LOWER(TRIM($Y353))&lt;&gt;"n/a", LOWER(TRIM($Y353))&lt;&gt;"na", SUMPRODUCT(--(UPPER(SUBSTITUTE(SUBSTITUTE(TRIM($Y$2:$Y$518),":",""),"-",""))=UPPER(SUBSTITUTE(SUBSTITUTE(TRIM($Y353),":",""),"-",""))), --(UPPER(TRIM($B$2:$B$518))="YES"), --(UPPER(TRIM($G$2:$G$518)&amp;TRIM($I$2:$I$518)&amp;TRIM($J$2:$J$518))&lt;&gt;UPPER(TRIM($G353)&amp;TRIM($I353)&amp;TRIM($J353))))&gt;0), AND($AB353&lt;&gt;"", LOWER(TRIM($AB353))&lt;&gt;"n/a", LOWER(TRIM($AB353))&lt;&gt;"na", SUMPRODUCT(--(UPPER(TRIM($AB$2:$AB$518))=UPPER(TRIM($AB353))), --(UPPER(TRIM($B$2:$B$518))="YES"), --(UPPER(TRIM($G$2:$G$518)&amp;TRIM($I$2:$I$518)&amp;TRIM($J$2:$J$518))&lt;&gt;UPPER(TRIM($G353)&amp;TRIM($I353)&amp;TRIM($J353))))&gt;0), AND($AH353&lt;&gt;"", LOWER(TRIM($AH353))&lt;&gt;"n/a", LOWER(TRIM($AH353))&lt;&gt;"na", SUMPRODUCT(--(UPPER(SUBSTITUTE(SUBSTITUTE(TRIM($AH$2:$AH$518),":",""),"-",""))=UPPER(SUBSTITUTE(SUBSTITUTE(TRIM($AH353),":",""),"-",""))), --(UPPER(TRIM($B$2:$B$518))="YES"), --(UPPER(TRIM($G$2:$G$518)&amp;TRIM($I$2:$I$518)&amp;TRIM($J$2:$J$518))&lt;&gt;UPPER(TRIM($G353)&amp;TRIM($I353)&amp;TRIM($J353))))&gt;0), AND($AP353&lt;&gt;"", LOWER(TRIM($AP353))&lt;&gt;"n/a", LOWER(TRIM($AP353))&lt;&gt;"na", SUMPRODUCT(--(UPPER(TRIM($AP$2:$AP$518))=UPPER(TRIM($AP353))), --(UPPER(TRIM($B$2:$B$518))="YES"), --(UPPER(TRIM($G$2:$G$518)&amp;TRIM($I$2:$I$518)&amp;TRIM($J$2:$J$518))&lt;&gt;UPPER(TRIM($G353)&amp;TRIM($I353)&amp;TRIM($J353))))&gt;0), AND($AQ353&lt;&gt;"", LOWER(TRIM($AQ353))&lt;&gt;"n/a", LOWER(TRIM($AQ353))&lt;&gt;"na", SUMPRODUCT(--(UPPER(TRIM($AQ$2:$AQ$518))=UPPER(TRIM($AQ353))), --(UPPER(TRIM($B$2:$B$518))="YES"), --(UPPER(TRIM($G$2:$G$518)&amp;TRIM($I$2:$I$518)&amp;TRIM($J$2:$J$518))&lt;&gt;UPPER(TRIM($G353)&amp;TRIM($I353)&amp;TRIM($J353))))&gt;0)), "Yes", "No"))</f>
        <v/>
      </c>
      <c r="G353" t="inlineStr">
        <is>
          <t>1 Marcus</t>
        </is>
      </c>
      <c r="H353" t="inlineStr">
        <is>
          <t>LIJ - VAR</t>
        </is>
      </c>
      <c r="V353" t="inlineStr">
        <is>
          <t>WNH270OPR465</t>
        </is>
      </c>
      <c r="W353" s="76" t="inlineStr">
        <is>
          <t>MEDNM24G25-0553</t>
        </is>
      </c>
      <c r="CD353">
        <f>IF($Y353="","",IF((IF(AND($BR353&lt;&gt;"Yes",$BR353&lt;&gt;"N/A"),"Power Cable, ","")&amp;IF(AND($BS353&lt;&gt;"Yes",$BS353&lt;&gt;"N/A"),"Battery, ","")&amp;IF(AND($AD353&lt;&gt;"Yes",$AD353&lt;&gt;"N/A"),"Firmware Download, ","")&amp;IF(AND(OR($AD353="Yes",$AD353="N/A"),$AE353&lt;&gt;"Yes",$AE353&lt;&gt;"N/A"),"Firmware Install, ","")&amp;IF(AND($CB353&lt;&gt;"Yes",$CB353&lt;&gt;"N/A"),"Device ID, ","")&amp;IF(AND($CC353&lt;&gt;"Yes",$CC353&lt;&gt;"N/A"),"Epic Beans Relay, ",""))="","",LEFT(IF(AND($BR353&lt;&gt;"Yes",$BR353&lt;&gt;"N/A"),"Power Cable, ","")&amp;IF(AND($BS353&lt;&gt;"Yes",$BS353&lt;&gt;"N/A"),"Battery, ","")&amp;IF(AND($AD353&lt;&gt;"Yes",$AD353&lt;&gt;"N/A"),"Firmware Download, ","")&amp;IF(AND(OR($AD353="Yes",$AD353="N/A"),$AE353&lt;&gt;"Yes",$AE353&lt;&gt;"N/A"),"Firmware Install, ","")&amp;IF(AND($CB353&lt;&gt;"Yes",$CB353&lt;&gt;"N/A"),"Device ID, ","")&amp;IF(AND($CC353&lt;&gt;"Yes",$CC353&lt;&gt;"N/A"),"Epic Beans Relay, ",""),LEN(IF(AND($BR353&lt;&gt;"Yes",$BR353&lt;&gt;"N/A"),"Power Cable, ","")&amp;IF(AND($BS353&lt;&gt;"Yes",$BS353&lt;&gt;"N/A"),"Battery, ","")&amp;IF(AND($AD353&lt;&gt;"Yes",$AD353&lt;&gt;"N/A"),"Firmware Download, ","")&amp;IF(AND(OR($AD353="Yes",$AD353="N/A"),$AE353&lt;&gt;"Yes",$AE353&lt;&gt;"N/A"),"Firmware Install, ","")&amp;IF(AND($CB353&lt;&gt;"Yes",$CB353&lt;&gt;"N/A"),"Device ID, ","")&amp;IF(AND($CC353&lt;&gt;"Yes",$CC353&lt;&gt;"N/A"),"Epic Beans Relay, ",""))-2)))</f>
        <v/>
      </c>
      <c r="CE353">
        <f>IF($Y353="","",IF($CD353="","Yes","Blocked"))</f>
        <v/>
      </c>
      <c r="CP353">
        <f>IF($CO353="","",IFERROR(VLOOKUP($CO353,'01_Warehouse_Ledger'!$A:$N,4,FALSE),""))</f>
        <v/>
      </c>
      <c r="CQ353">
        <f>IF($CO353="","",IFERROR(VLOOKUP($CO353,'01_Warehouse_Ledger'!$A:$N,5,FALSE),""))</f>
        <v/>
      </c>
      <c r="CR353">
        <f>IF($CO353="","",IFERROR(VLOOKUP($CO353,'01_Warehouse_Ledger'!$A:$N,13,FALSE),""))</f>
        <v/>
      </c>
      <c r="CW353">
        <f>IF($S353="","",IF(UPPER(TRIM($S353))&lt;&gt;"PASS","",IF(LEN(TRIM($BY353))&gt;0,"NOTES_PRESENT",IF(LEN(TRIM($T353))=0,"SET_NA",IF(OR(LOWER(TRIM($T353))="na",LOWER(TRIM($T353))="n/a"),"OK","MANUAL_OVERRIDE")))))</f>
        <v/>
      </c>
    </row>
    <row r="354">
      <c r="A354" t="inlineStr">
        <is>
          <t>Cybernet</t>
        </is>
      </c>
      <c r="B354" t="inlineStr">
        <is>
          <t>No</t>
        </is>
      </c>
      <c r="C354" t="inlineStr">
        <is>
          <t>No</t>
        </is>
      </c>
      <c r="D354">
        <f>IF($B354&lt;&gt;"Yes","",IF($C354="No","Yes",IF($C354="Yes","No","")))</f>
        <v/>
      </c>
      <c r="E354">
        <f>IF($A354="","",IF(OR(AND($V354&lt;&gt;"",LOWER(TRIM($V354))&lt;&gt;"n/a",LOWER(TRIM($V354))&lt;&gt;"na",SUMPRODUCT(--(UPPER(TRIM($V$2:$V$518))=UPPER(TRIM($V354))),--(TRIM($V$2:$V$518)&lt;&gt;""),--(LOWER(TRIM($V$2:$V$518))&lt;&gt;"n/a"),--(LOWER(TRIM($V$2:$V$518))&lt;&gt;"na"))&gt;1),AND($W354&lt;&gt;"",LOWER(TRIM($W354))&lt;&gt;"n/a",LOWER(TRIM($W354))&lt;&gt;"na",SUMPRODUCT(--(UPPER(TRIM($W$2:$W$518))=UPPER(TRIM($W354))),--(TRIM($W$2:$W$518)&lt;&gt;""),--(LOWER(TRIM($W$2:$W$518))&lt;&gt;"n/a"),--(LOWER(TRIM($W$2:$W$518))&lt;&gt;"na"))&gt;1),AND($X354&lt;&gt;"",LOWER(TRIM($X354))&lt;&gt;"n/a",LOWER(TRIM($X354))&lt;&gt;"na",SUMPRODUCT(--(UPPER(TRIM($X$2:$X$518))=UPPER(TRIM($X354))),--(TRIM($X$2:$X$518)&lt;&gt;""),--(LOWER(TRIM($X$2:$X$518))&lt;&gt;"n/a"),--(LOWER(TRIM($X$2:$X$518))&lt;&gt;"na"))&gt;1),AND($Y354&lt;&gt;"",LOWER(TRIM($Y354))&lt;&gt;"n/a",LOWER(TRIM($Y354))&lt;&gt;"na",SUMPRODUCT(--(UPPER(SUBSTITUTE(SUBSTITUTE(TRIM($Y$2:$Y$518),":",""),"-",""))=UPPER(SUBSTITUTE(SUBSTITUTE(TRIM($Y354),":",""),"-",""))),--(TRIM($Y$2:$Y$518)&lt;&gt;""),--(LOWER(TRIM($Y$2:$Y$518))&lt;&gt;"n/a"),--(LOWER(TRIM($Y$2:$Y$518))&lt;&gt;"na"))&gt;1),AND($AB354&lt;&gt;"",LOWER(TRIM($AB354))&lt;&gt;"n/a",LOWER(TRIM($AB354))&lt;&gt;"na",SUMPRODUCT(--(UPPER(TRIM($AB$2:$AB$518))=UPPER(TRIM($AB354))),--(TRIM($AB$2:$AB$518)&lt;&gt;""),--(LOWER(TRIM($AB$2:$AB$518))&lt;&gt;"n/a"),--(LOWER(TRIM($AB$2:$AB$518))&lt;&gt;"na"))&gt;1),AND($AH354&lt;&gt;"",LOWER(TRIM($AH354))&lt;&gt;"n/a",LOWER(TRIM($AH354))&lt;&gt;"na",SUMPRODUCT(--(UPPER(SUBSTITUTE(SUBSTITUTE(TRIM($AH$2:$AH$518),":",""),"-",""))=UPPER(SUBSTITUTE(SUBSTITUTE(TRIM($AH354),":",""),"-",""))),--(TRIM($AH$2:$AH$518)&lt;&gt;""),--(LOWER(TRIM($AH$2:$AH$518))&lt;&gt;"n/a"),--(LOWER(TRIM($AH$2:$AH$518))&lt;&gt;"na"))&gt;1),AND($AP354&lt;&gt;"",LOWER(TRIM($AP354))&lt;&gt;"n/a",LOWER(TRIM($AP354))&lt;&gt;"na",SUMPRODUCT(--(UPPER(TRIM($AP$2:$AP$518))=UPPER(TRIM($AP354))),--(TRIM($AP$2:$AP$518)&lt;&gt;""),--(LOWER(TRIM($AP$2:$AP$518))&lt;&gt;"n/a"),--(LOWER(TRIM($AP$2:$AP$518))&lt;&gt;"na"))&gt;1),AND($AQ354&lt;&gt;"",LOWER(TRIM($AQ354))&lt;&gt;"n/a",LOWER(TRIM($AQ354))&lt;&gt;"na",SUMPRODUCT(--(UPPER(TRIM($AQ$2:$AQ$518))=UPPER(TRIM($AQ354))),--(TRIM($AQ$2:$AQ$518)&lt;&gt;""),--(LOWER(TRIM($AQ$2:$AQ$518))&lt;&gt;"n/a"),--(LOWER(TRIM($AQ$2:$AQ$518))&lt;&gt;"na"))&gt;1)),"Yes","No"))</f>
        <v/>
      </c>
      <c r="F354">
        <f>IF(UPPER(TRIM($B354))&lt;&gt;"YES","", IF(OR(AND($V354&lt;&gt;"", LOWER(TRIM($V354))&lt;&gt;"n/a", LOWER(TRIM($V354))&lt;&gt;"na", SUMPRODUCT(--(UPPER(TRIM($V$2:$V$518))=UPPER(TRIM($V354))), --(UPPER(TRIM($B$2:$B$518))="YES"), --(UPPER(TRIM($G$2:$G$518)&amp;TRIM($I$2:$I$518)&amp;TRIM($J$2:$J$518))&lt;&gt;UPPER(TRIM($G354)&amp;TRIM($I354)&amp;TRIM($J354))))&gt;0), AND($W354&lt;&gt;"", LOWER(TRIM($W354))&lt;&gt;"n/a", LOWER(TRIM($W354))&lt;&gt;"na", SUMPRODUCT(--(UPPER(TRIM($W$2:$W$518))=UPPER(TRIM($W354))), --(UPPER(TRIM($B$2:$B$518))="YES"), --(UPPER(TRIM($G$2:$G$518)&amp;TRIM($I$2:$I$518)&amp;TRIM($J$2:$J$518))&lt;&gt;UPPER(TRIM($G354)&amp;TRIM($I354)&amp;TRIM($J354))))&gt;0), AND($X354&lt;&gt;"", LOWER(TRIM($X354))&lt;&gt;"n/a", LOWER(TRIM($X354))&lt;&gt;"na", SUMPRODUCT(--(UPPER(TRIM($X$2:$X$518))=UPPER(TRIM($X354))), --(UPPER(TRIM($B$2:$B$518))="YES"), --(UPPER(TRIM($G$2:$G$518)&amp;TRIM($I$2:$I$518)&amp;TRIM($J$2:$J$518))&lt;&gt;UPPER(TRIM($G354)&amp;TRIM($I354)&amp;TRIM($J354))))&gt;0), AND($Y354&lt;&gt;"", LOWER(TRIM($Y354))&lt;&gt;"n/a", LOWER(TRIM($Y354))&lt;&gt;"na", SUMPRODUCT(--(UPPER(SUBSTITUTE(SUBSTITUTE(TRIM($Y$2:$Y$518),":",""),"-",""))=UPPER(SUBSTITUTE(SUBSTITUTE(TRIM($Y354),":",""),"-",""))), --(UPPER(TRIM($B$2:$B$518))="YES"), --(UPPER(TRIM($G$2:$G$518)&amp;TRIM($I$2:$I$518)&amp;TRIM($J$2:$J$518))&lt;&gt;UPPER(TRIM($G354)&amp;TRIM($I354)&amp;TRIM($J354))))&gt;0), AND($AB354&lt;&gt;"", LOWER(TRIM($AB354))&lt;&gt;"n/a", LOWER(TRIM($AB354))&lt;&gt;"na", SUMPRODUCT(--(UPPER(TRIM($AB$2:$AB$518))=UPPER(TRIM($AB354))), --(UPPER(TRIM($B$2:$B$518))="YES"), --(UPPER(TRIM($G$2:$G$518)&amp;TRIM($I$2:$I$518)&amp;TRIM($J$2:$J$518))&lt;&gt;UPPER(TRIM($G354)&amp;TRIM($I354)&amp;TRIM($J354))))&gt;0), AND($AH354&lt;&gt;"", LOWER(TRIM($AH354))&lt;&gt;"n/a", LOWER(TRIM($AH354))&lt;&gt;"na", SUMPRODUCT(--(UPPER(SUBSTITUTE(SUBSTITUTE(TRIM($AH$2:$AH$518),":",""),"-",""))=UPPER(SUBSTITUTE(SUBSTITUTE(TRIM($AH354),":",""),"-",""))), --(UPPER(TRIM($B$2:$B$518))="YES"), --(UPPER(TRIM($G$2:$G$518)&amp;TRIM($I$2:$I$518)&amp;TRIM($J$2:$J$518))&lt;&gt;UPPER(TRIM($G354)&amp;TRIM($I354)&amp;TRIM($J354))))&gt;0), AND($AP354&lt;&gt;"", LOWER(TRIM($AP354))&lt;&gt;"n/a", LOWER(TRIM($AP354))&lt;&gt;"na", SUMPRODUCT(--(UPPER(TRIM($AP$2:$AP$518))=UPPER(TRIM($AP354))), --(UPPER(TRIM($B$2:$B$518))="YES"), --(UPPER(TRIM($G$2:$G$518)&amp;TRIM($I$2:$I$518)&amp;TRIM($J$2:$J$518))&lt;&gt;UPPER(TRIM($G354)&amp;TRIM($I354)&amp;TRIM($J354))))&gt;0), AND($AQ354&lt;&gt;"", LOWER(TRIM($AQ354))&lt;&gt;"n/a", LOWER(TRIM($AQ354))&lt;&gt;"na", SUMPRODUCT(--(UPPER(TRIM($AQ$2:$AQ$518))=UPPER(TRIM($AQ354))), --(UPPER(TRIM($B$2:$B$518))="YES"), --(UPPER(TRIM($G$2:$G$518)&amp;TRIM($I$2:$I$518)&amp;TRIM($J$2:$J$518))&lt;&gt;UPPER(TRIM($G354)&amp;TRIM($I354)&amp;TRIM($J354))))&gt;0)), "Yes", "No"))</f>
        <v/>
      </c>
      <c r="G354" t="inlineStr">
        <is>
          <t>1 Marcus</t>
        </is>
      </c>
      <c r="H354" t="inlineStr">
        <is>
          <t>LIJ - VAR</t>
        </is>
      </c>
      <c r="V354" s="15" t="inlineStr">
        <is>
          <t>WNH270OPR466</t>
        </is>
      </c>
      <c r="W354" s="76" t="inlineStr">
        <is>
          <t>MEDNM24G25-0519</t>
        </is>
      </c>
      <c r="CD354">
        <f>IF($Y354="","",IF((IF(AND($BR354&lt;&gt;"Yes",$BR354&lt;&gt;"N/A"),"Power Cable, ","")&amp;IF(AND($BS354&lt;&gt;"Yes",$BS354&lt;&gt;"N/A"),"Battery, ","")&amp;IF(AND($AD354&lt;&gt;"Yes",$AD354&lt;&gt;"N/A"),"Firmware Download, ","")&amp;IF(AND(OR($AD354="Yes",$AD354="N/A"),$AE354&lt;&gt;"Yes",$AE354&lt;&gt;"N/A"),"Firmware Install, ","")&amp;IF(AND($CB354&lt;&gt;"Yes",$CB354&lt;&gt;"N/A"),"Device ID, ","")&amp;IF(AND($CC354&lt;&gt;"Yes",$CC354&lt;&gt;"N/A"),"Epic Beans Relay, ",""))="","",LEFT(IF(AND($BR354&lt;&gt;"Yes",$BR354&lt;&gt;"N/A"),"Power Cable, ","")&amp;IF(AND($BS354&lt;&gt;"Yes",$BS354&lt;&gt;"N/A"),"Battery, ","")&amp;IF(AND($AD354&lt;&gt;"Yes",$AD354&lt;&gt;"N/A"),"Firmware Download, ","")&amp;IF(AND(OR($AD354="Yes",$AD354="N/A"),$AE354&lt;&gt;"Yes",$AE354&lt;&gt;"N/A"),"Firmware Install, ","")&amp;IF(AND($CB354&lt;&gt;"Yes",$CB354&lt;&gt;"N/A"),"Device ID, ","")&amp;IF(AND($CC354&lt;&gt;"Yes",$CC354&lt;&gt;"N/A"),"Epic Beans Relay, ",""),LEN(IF(AND($BR354&lt;&gt;"Yes",$BR354&lt;&gt;"N/A"),"Power Cable, ","")&amp;IF(AND($BS354&lt;&gt;"Yes",$BS354&lt;&gt;"N/A"),"Battery, ","")&amp;IF(AND($AD354&lt;&gt;"Yes",$AD354&lt;&gt;"N/A"),"Firmware Download, ","")&amp;IF(AND(OR($AD354="Yes",$AD354="N/A"),$AE354&lt;&gt;"Yes",$AE354&lt;&gt;"N/A"),"Firmware Install, ","")&amp;IF(AND($CB354&lt;&gt;"Yes",$CB354&lt;&gt;"N/A"),"Device ID, ","")&amp;IF(AND($CC354&lt;&gt;"Yes",$CC354&lt;&gt;"N/A"),"Epic Beans Relay, ",""))-2)))</f>
        <v/>
      </c>
      <c r="CE354">
        <f>IF($Y354="","",IF($CD354="","Yes","Blocked"))</f>
        <v/>
      </c>
      <c r="CP354">
        <f>IF($CO354="","",IFERROR(VLOOKUP($CO354,'01_Warehouse_Ledger'!$A:$N,4,FALSE),""))</f>
        <v/>
      </c>
      <c r="CQ354">
        <f>IF($CO354="","",IFERROR(VLOOKUP($CO354,'01_Warehouse_Ledger'!$A:$N,5,FALSE),""))</f>
        <v/>
      </c>
      <c r="CR354">
        <f>IF($CO354="","",IFERROR(VLOOKUP($CO354,'01_Warehouse_Ledger'!$A:$N,13,FALSE),""))</f>
        <v/>
      </c>
      <c r="CW354">
        <f>IF($S354="","",IF(UPPER(TRIM($S354))&lt;&gt;"PASS","",IF(LEN(TRIM($BY354))&gt;0,"NOTES_PRESENT",IF(LEN(TRIM($T354))=0,"SET_NA",IF(OR(LOWER(TRIM($T354))="na",LOWER(TRIM($T354))="n/a"),"OK","MANUAL_OVERRIDE")))))</f>
        <v/>
      </c>
    </row>
    <row r="355">
      <c r="A355" t="inlineStr">
        <is>
          <t>Cybernet</t>
        </is>
      </c>
      <c r="B355" t="inlineStr">
        <is>
          <t>No</t>
        </is>
      </c>
      <c r="C355" t="inlineStr">
        <is>
          <t>No</t>
        </is>
      </c>
      <c r="D355">
        <f>IF($B355&lt;&gt;"Yes","",IF($C355="No","Yes",IF($C355="Yes","No","")))</f>
        <v/>
      </c>
      <c r="E355">
        <f>IF($A355="","",IF(OR(AND($V355&lt;&gt;"",LOWER(TRIM($V355))&lt;&gt;"n/a",LOWER(TRIM($V355))&lt;&gt;"na",SUMPRODUCT(--(UPPER(TRIM($V$2:$V$518))=UPPER(TRIM($V355))),--(TRIM($V$2:$V$518)&lt;&gt;""),--(LOWER(TRIM($V$2:$V$518))&lt;&gt;"n/a"),--(LOWER(TRIM($V$2:$V$518))&lt;&gt;"na"))&gt;1),AND($W355&lt;&gt;"",LOWER(TRIM($W355))&lt;&gt;"n/a",LOWER(TRIM($W355))&lt;&gt;"na",SUMPRODUCT(--(UPPER(TRIM($W$2:$W$518))=UPPER(TRIM($W355))),--(TRIM($W$2:$W$518)&lt;&gt;""),--(LOWER(TRIM($W$2:$W$518))&lt;&gt;"n/a"),--(LOWER(TRIM($W$2:$W$518))&lt;&gt;"na"))&gt;1),AND($X355&lt;&gt;"",LOWER(TRIM($X355))&lt;&gt;"n/a",LOWER(TRIM($X355))&lt;&gt;"na",SUMPRODUCT(--(UPPER(TRIM($X$2:$X$518))=UPPER(TRIM($X355))),--(TRIM($X$2:$X$518)&lt;&gt;""),--(LOWER(TRIM($X$2:$X$518))&lt;&gt;"n/a"),--(LOWER(TRIM($X$2:$X$518))&lt;&gt;"na"))&gt;1),AND($Y355&lt;&gt;"",LOWER(TRIM($Y355))&lt;&gt;"n/a",LOWER(TRIM($Y355))&lt;&gt;"na",SUMPRODUCT(--(UPPER(SUBSTITUTE(SUBSTITUTE(TRIM($Y$2:$Y$518),":",""),"-",""))=UPPER(SUBSTITUTE(SUBSTITUTE(TRIM($Y355),":",""),"-",""))),--(TRIM($Y$2:$Y$518)&lt;&gt;""),--(LOWER(TRIM($Y$2:$Y$518))&lt;&gt;"n/a"),--(LOWER(TRIM($Y$2:$Y$518))&lt;&gt;"na"))&gt;1),AND($AB355&lt;&gt;"",LOWER(TRIM($AB355))&lt;&gt;"n/a",LOWER(TRIM($AB355))&lt;&gt;"na",SUMPRODUCT(--(UPPER(TRIM($AB$2:$AB$518))=UPPER(TRIM($AB355))),--(TRIM($AB$2:$AB$518)&lt;&gt;""),--(LOWER(TRIM($AB$2:$AB$518))&lt;&gt;"n/a"),--(LOWER(TRIM($AB$2:$AB$518))&lt;&gt;"na"))&gt;1),AND($AH355&lt;&gt;"",LOWER(TRIM($AH355))&lt;&gt;"n/a",LOWER(TRIM($AH355))&lt;&gt;"na",SUMPRODUCT(--(UPPER(SUBSTITUTE(SUBSTITUTE(TRIM($AH$2:$AH$518),":",""),"-",""))=UPPER(SUBSTITUTE(SUBSTITUTE(TRIM($AH355),":",""),"-",""))),--(TRIM($AH$2:$AH$518)&lt;&gt;""),--(LOWER(TRIM($AH$2:$AH$518))&lt;&gt;"n/a"),--(LOWER(TRIM($AH$2:$AH$518))&lt;&gt;"na"))&gt;1),AND($AP355&lt;&gt;"",LOWER(TRIM($AP355))&lt;&gt;"n/a",LOWER(TRIM($AP355))&lt;&gt;"na",SUMPRODUCT(--(UPPER(TRIM($AP$2:$AP$518))=UPPER(TRIM($AP355))),--(TRIM($AP$2:$AP$518)&lt;&gt;""),--(LOWER(TRIM($AP$2:$AP$518))&lt;&gt;"n/a"),--(LOWER(TRIM($AP$2:$AP$518))&lt;&gt;"na"))&gt;1),AND($AQ355&lt;&gt;"",LOWER(TRIM($AQ355))&lt;&gt;"n/a",LOWER(TRIM($AQ355))&lt;&gt;"na",SUMPRODUCT(--(UPPER(TRIM($AQ$2:$AQ$518))=UPPER(TRIM($AQ355))),--(TRIM($AQ$2:$AQ$518)&lt;&gt;""),--(LOWER(TRIM($AQ$2:$AQ$518))&lt;&gt;"n/a"),--(LOWER(TRIM($AQ$2:$AQ$518))&lt;&gt;"na"))&gt;1)),"Yes","No"))</f>
        <v/>
      </c>
      <c r="F355">
        <f>IF(UPPER(TRIM($B355))&lt;&gt;"YES","", IF(OR(AND($V355&lt;&gt;"", LOWER(TRIM($V355))&lt;&gt;"n/a", LOWER(TRIM($V355))&lt;&gt;"na", SUMPRODUCT(--(UPPER(TRIM($V$2:$V$518))=UPPER(TRIM($V355))), --(UPPER(TRIM($B$2:$B$518))="YES"), --(UPPER(TRIM($G$2:$G$518)&amp;TRIM($I$2:$I$518)&amp;TRIM($J$2:$J$518))&lt;&gt;UPPER(TRIM($G355)&amp;TRIM($I355)&amp;TRIM($J355))))&gt;0), AND($W355&lt;&gt;"", LOWER(TRIM($W355))&lt;&gt;"n/a", LOWER(TRIM($W355))&lt;&gt;"na", SUMPRODUCT(--(UPPER(TRIM($W$2:$W$518))=UPPER(TRIM($W355))), --(UPPER(TRIM($B$2:$B$518))="YES"), --(UPPER(TRIM($G$2:$G$518)&amp;TRIM($I$2:$I$518)&amp;TRIM($J$2:$J$518))&lt;&gt;UPPER(TRIM($G355)&amp;TRIM($I355)&amp;TRIM($J355))))&gt;0), AND($X355&lt;&gt;"", LOWER(TRIM($X355))&lt;&gt;"n/a", LOWER(TRIM($X355))&lt;&gt;"na", SUMPRODUCT(--(UPPER(TRIM($X$2:$X$518))=UPPER(TRIM($X355))), --(UPPER(TRIM($B$2:$B$518))="YES"), --(UPPER(TRIM($G$2:$G$518)&amp;TRIM($I$2:$I$518)&amp;TRIM($J$2:$J$518))&lt;&gt;UPPER(TRIM($G355)&amp;TRIM($I355)&amp;TRIM($J355))))&gt;0), AND($Y355&lt;&gt;"", LOWER(TRIM($Y355))&lt;&gt;"n/a", LOWER(TRIM($Y355))&lt;&gt;"na", SUMPRODUCT(--(UPPER(SUBSTITUTE(SUBSTITUTE(TRIM($Y$2:$Y$518),":",""),"-",""))=UPPER(SUBSTITUTE(SUBSTITUTE(TRIM($Y355),":",""),"-",""))), --(UPPER(TRIM($B$2:$B$518))="YES"), --(UPPER(TRIM($G$2:$G$518)&amp;TRIM($I$2:$I$518)&amp;TRIM($J$2:$J$518))&lt;&gt;UPPER(TRIM($G355)&amp;TRIM($I355)&amp;TRIM($J355))))&gt;0), AND($AB355&lt;&gt;"", LOWER(TRIM($AB355))&lt;&gt;"n/a", LOWER(TRIM($AB355))&lt;&gt;"na", SUMPRODUCT(--(UPPER(TRIM($AB$2:$AB$518))=UPPER(TRIM($AB355))), --(UPPER(TRIM($B$2:$B$518))="YES"), --(UPPER(TRIM($G$2:$G$518)&amp;TRIM($I$2:$I$518)&amp;TRIM($J$2:$J$518))&lt;&gt;UPPER(TRIM($G355)&amp;TRIM($I355)&amp;TRIM($J355))))&gt;0), AND($AH355&lt;&gt;"", LOWER(TRIM($AH355))&lt;&gt;"n/a", LOWER(TRIM($AH355))&lt;&gt;"na", SUMPRODUCT(--(UPPER(SUBSTITUTE(SUBSTITUTE(TRIM($AH$2:$AH$518),":",""),"-",""))=UPPER(SUBSTITUTE(SUBSTITUTE(TRIM($AH355),":",""),"-",""))), --(UPPER(TRIM($B$2:$B$518))="YES"), --(UPPER(TRIM($G$2:$G$518)&amp;TRIM($I$2:$I$518)&amp;TRIM($J$2:$J$518))&lt;&gt;UPPER(TRIM($G355)&amp;TRIM($I355)&amp;TRIM($J355))))&gt;0), AND($AP355&lt;&gt;"", LOWER(TRIM($AP355))&lt;&gt;"n/a", LOWER(TRIM($AP355))&lt;&gt;"na", SUMPRODUCT(--(UPPER(TRIM($AP$2:$AP$518))=UPPER(TRIM($AP355))), --(UPPER(TRIM($B$2:$B$518))="YES"), --(UPPER(TRIM($G$2:$G$518)&amp;TRIM($I$2:$I$518)&amp;TRIM($J$2:$J$518))&lt;&gt;UPPER(TRIM($G355)&amp;TRIM($I355)&amp;TRIM($J355))))&gt;0), AND($AQ355&lt;&gt;"", LOWER(TRIM($AQ355))&lt;&gt;"n/a", LOWER(TRIM($AQ355))&lt;&gt;"na", SUMPRODUCT(--(UPPER(TRIM($AQ$2:$AQ$518))=UPPER(TRIM($AQ355))), --(UPPER(TRIM($B$2:$B$518))="YES"), --(UPPER(TRIM($G$2:$G$518)&amp;TRIM($I$2:$I$518)&amp;TRIM($J$2:$J$518))&lt;&gt;UPPER(TRIM($G355)&amp;TRIM($I355)&amp;TRIM($J355))))&gt;0)), "Yes", "No"))</f>
        <v/>
      </c>
      <c r="G355" t="inlineStr">
        <is>
          <t>1 Marcus</t>
        </is>
      </c>
      <c r="H355" t="inlineStr">
        <is>
          <t>LIJ - VAR</t>
        </is>
      </c>
      <c r="V355" t="inlineStr">
        <is>
          <t>WNH270OPR467</t>
        </is>
      </c>
      <c r="W355" s="76" t="inlineStr">
        <is>
          <t>MEDNM24G25-0513</t>
        </is>
      </c>
      <c r="CD355">
        <f>IF($Y355="","",IF((IF(AND($BR355&lt;&gt;"Yes",$BR355&lt;&gt;"N/A"),"Power Cable, ","")&amp;IF(AND($BS355&lt;&gt;"Yes",$BS355&lt;&gt;"N/A"),"Battery, ","")&amp;IF(AND($AD355&lt;&gt;"Yes",$AD355&lt;&gt;"N/A"),"Firmware Download, ","")&amp;IF(AND(OR($AD355="Yes",$AD355="N/A"),$AE355&lt;&gt;"Yes",$AE355&lt;&gt;"N/A"),"Firmware Install, ","")&amp;IF(AND($CB355&lt;&gt;"Yes",$CB355&lt;&gt;"N/A"),"Device ID, ","")&amp;IF(AND($CC355&lt;&gt;"Yes",$CC355&lt;&gt;"N/A"),"Epic Beans Relay, ",""))="","",LEFT(IF(AND($BR355&lt;&gt;"Yes",$BR355&lt;&gt;"N/A"),"Power Cable, ","")&amp;IF(AND($BS355&lt;&gt;"Yes",$BS355&lt;&gt;"N/A"),"Battery, ","")&amp;IF(AND($AD355&lt;&gt;"Yes",$AD355&lt;&gt;"N/A"),"Firmware Download, ","")&amp;IF(AND(OR($AD355="Yes",$AD355="N/A"),$AE355&lt;&gt;"Yes",$AE355&lt;&gt;"N/A"),"Firmware Install, ","")&amp;IF(AND($CB355&lt;&gt;"Yes",$CB355&lt;&gt;"N/A"),"Device ID, ","")&amp;IF(AND($CC355&lt;&gt;"Yes",$CC355&lt;&gt;"N/A"),"Epic Beans Relay, ",""),LEN(IF(AND($BR355&lt;&gt;"Yes",$BR355&lt;&gt;"N/A"),"Power Cable, ","")&amp;IF(AND($BS355&lt;&gt;"Yes",$BS355&lt;&gt;"N/A"),"Battery, ","")&amp;IF(AND($AD355&lt;&gt;"Yes",$AD355&lt;&gt;"N/A"),"Firmware Download, ","")&amp;IF(AND(OR($AD355="Yes",$AD355="N/A"),$AE355&lt;&gt;"Yes",$AE355&lt;&gt;"N/A"),"Firmware Install, ","")&amp;IF(AND($CB355&lt;&gt;"Yes",$CB355&lt;&gt;"N/A"),"Device ID, ","")&amp;IF(AND($CC355&lt;&gt;"Yes",$CC355&lt;&gt;"N/A"),"Epic Beans Relay, ",""))-2)))</f>
        <v/>
      </c>
      <c r="CE355">
        <f>IF($Y355="","",IF($CD355="","Yes","Blocked"))</f>
        <v/>
      </c>
      <c r="CP355">
        <f>IF($CO355="","",IFERROR(VLOOKUP($CO355,'01_Warehouse_Ledger'!$A:$N,4,FALSE),""))</f>
        <v/>
      </c>
      <c r="CQ355">
        <f>IF($CO355="","",IFERROR(VLOOKUP($CO355,'01_Warehouse_Ledger'!$A:$N,5,FALSE),""))</f>
        <v/>
      </c>
      <c r="CR355">
        <f>IF($CO355="","",IFERROR(VLOOKUP($CO355,'01_Warehouse_Ledger'!$A:$N,13,FALSE),""))</f>
        <v/>
      </c>
      <c r="CW355">
        <f>IF($S355="","",IF(UPPER(TRIM($S355))&lt;&gt;"PASS","",IF(LEN(TRIM($BY355))&gt;0,"NOTES_PRESENT",IF(LEN(TRIM($T355))=0,"SET_NA",IF(OR(LOWER(TRIM($T355))="na",LOWER(TRIM($T355))="n/a"),"OK","MANUAL_OVERRIDE")))))</f>
        <v/>
      </c>
    </row>
    <row r="356">
      <c r="A356" t="inlineStr">
        <is>
          <t>Cybernet</t>
        </is>
      </c>
      <c r="B356" t="inlineStr">
        <is>
          <t>No</t>
        </is>
      </c>
      <c r="C356" t="inlineStr">
        <is>
          <t>No</t>
        </is>
      </c>
      <c r="D356">
        <f>IF($B356&lt;&gt;"Yes","",IF($C356="No","Yes",IF($C356="Yes","No","")))</f>
        <v/>
      </c>
      <c r="E356">
        <f>IF($A356="","",IF(OR(AND($V356&lt;&gt;"",LOWER(TRIM($V356))&lt;&gt;"n/a",LOWER(TRIM($V356))&lt;&gt;"na",SUMPRODUCT(--(UPPER(TRIM($V$2:$V$518))=UPPER(TRIM($V356))),--(TRIM($V$2:$V$518)&lt;&gt;""),--(LOWER(TRIM($V$2:$V$518))&lt;&gt;"n/a"),--(LOWER(TRIM($V$2:$V$518))&lt;&gt;"na"))&gt;1),AND($W356&lt;&gt;"",LOWER(TRIM($W356))&lt;&gt;"n/a",LOWER(TRIM($W356))&lt;&gt;"na",SUMPRODUCT(--(UPPER(TRIM($W$2:$W$518))=UPPER(TRIM($W356))),--(TRIM($W$2:$W$518)&lt;&gt;""),--(LOWER(TRIM($W$2:$W$518))&lt;&gt;"n/a"),--(LOWER(TRIM($W$2:$W$518))&lt;&gt;"na"))&gt;1),AND($X356&lt;&gt;"",LOWER(TRIM($X356))&lt;&gt;"n/a",LOWER(TRIM($X356))&lt;&gt;"na",SUMPRODUCT(--(UPPER(TRIM($X$2:$X$518))=UPPER(TRIM($X356))),--(TRIM($X$2:$X$518)&lt;&gt;""),--(LOWER(TRIM($X$2:$X$518))&lt;&gt;"n/a"),--(LOWER(TRIM($X$2:$X$518))&lt;&gt;"na"))&gt;1),AND($Y356&lt;&gt;"",LOWER(TRIM($Y356))&lt;&gt;"n/a",LOWER(TRIM($Y356))&lt;&gt;"na",SUMPRODUCT(--(UPPER(SUBSTITUTE(SUBSTITUTE(TRIM($Y$2:$Y$518),":",""),"-",""))=UPPER(SUBSTITUTE(SUBSTITUTE(TRIM($Y356),":",""),"-",""))),--(TRIM($Y$2:$Y$518)&lt;&gt;""),--(LOWER(TRIM($Y$2:$Y$518))&lt;&gt;"n/a"),--(LOWER(TRIM($Y$2:$Y$518))&lt;&gt;"na"))&gt;1),AND($AB356&lt;&gt;"",LOWER(TRIM($AB356))&lt;&gt;"n/a",LOWER(TRIM($AB356))&lt;&gt;"na",SUMPRODUCT(--(UPPER(TRIM($AB$2:$AB$518))=UPPER(TRIM($AB356))),--(TRIM($AB$2:$AB$518)&lt;&gt;""),--(LOWER(TRIM($AB$2:$AB$518))&lt;&gt;"n/a"),--(LOWER(TRIM($AB$2:$AB$518))&lt;&gt;"na"))&gt;1),AND($AH356&lt;&gt;"",LOWER(TRIM($AH356))&lt;&gt;"n/a",LOWER(TRIM($AH356))&lt;&gt;"na",SUMPRODUCT(--(UPPER(SUBSTITUTE(SUBSTITUTE(TRIM($AH$2:$AH$518),":",""),"-",""))=UPPER(SUBSTITUTE(SUBSTITUTE(TRIM($AH356),":",""),"-",""))),--(TRIM($AH$2:$AH$518)&lt;&gt;""),--(LOWER(TRIM($AH$2:$AH$518))&lt;&gt;"n/a"),--(LOWER(TRIM($AH$2:$AH$518))&lt;&gt;"na"))&gt;1),AND($AP356&lt;&gt;"",LOWER(TRIM($AP356))&lt;&gt;"n/a",LOWER(TRIM($AP356))&lt;&gt;"na",SUMPRODUCT(--(UPPER(TRIM($AP$2:$AP$518))=UPPER(TRIM($AP356))),--(TRIM($AP$2:$AP$518)&lt;&gt;""),--(LOWER(TRIM($AP$2:$AP$518))&lt;&gt;"n/a"),--(LOWER(TRIM($AP$2:$AP$518))&lt;&gt;"na"))&gt;1),AND($AQ356&lt;&gt;"",LOWER(TRIM($AQ356))&lt;&gt;"n/a",LOWER(TRIM($AQ356))&lt;&gt;"na",SUMPRODUCT(--(UPPER(TRIM($AQ$2:$AQ$518))=UPPER(TRIM($AQ356))),--(TRIM($AQ$2:$AQ$518)&lt;&gt;""),--(LOWER(TRIM($AQ$2:$AQ$518))&lt;&gt;"n/a"),--(LOWER(TRIM($AQ$2:$AQ$518))&lt;&gt;"na"))&gt;1)),"Yes","No"))</f>
        <v/>
      </c>
      <c r="F356">
        <f>IF(UPPER(TRIM($B356))&lt;&gt;"YES","", IF(OR(AND($V356&lt;&gt;"", LOWER(TRIM($V356))&lt;&gt;"n/a", LOWER(TRIM($V356))&lt;&gt;"na", SUMPRODUCT(--(UPPER(TRIM($V$2:$V$518))=UPPER(TRIM($V356))), --(UPPER(TRIM($B$2:$B$518))="YES"), --(UPPER(TRIM($G$2:$G$518)&amp;TRIM($I$2:$I$518)&amp;TRIM($J$2:$J$518))&lt;&gt;UPPER(TRIM($G356)&amp;TRIM($I356)&amp;TRIM($J356))))&gt;0), AND($W356&lt;&gt;"", LOWER(TRIM($W356))&lt;&gt;"n/a", LOWER(TRIM($W356))&lt;&gt;"na", SUMPRODUCT(--(UPPER(TRIM($W$2:$W$518))=UPPER(TRIM($W356))), --(UPPER(TRIM($B$2:$B$518))="YES"), --(UPPER(TRIM($G$2:$G$518)&amp;TRIM($I$2:$I$518)&amp;TRIM($J$2:$J$518))&lt;&gt;UPPER(TRIM($G356)&amp;TRIM($I356)&amp;TRIM($J356))))&gt;0), AND($X356&lt;&gt;"", LOWER(TRIM($X356))&lt;&gt;"n/a", LOWER(TRIM($X356))&lt;&gt;"na", SUMPRODUCT(--(UPPER(TRIM($X$2:$X$518))=UPPER(TRIM($X356))), --(UPPER(TRIM($B$2:$B$518))="YES"), --(UPPER(TRIM($G$2:$G$518)&amp;TRIM($I$2:$I$518)&amp;TRIM($J$2:$J$518))&lt;&gt;UPPER(TRIM($G356)&amp;TRIM($I356)&amp;TRIM($J356))))&gt;0), AND($Y356&lt;&gt;"", LOWER(TRIM($Y356))&lt;&gt;"n/a", LOWER(TRIM($Y356))&lt;&gt;"na", SUMPRODUCT(--(UPPER(SUBSTITUTE(SUBSTITUTE(TRIM($Y$2:$Y$518),":",""),"-",""))=UPPER(SUBSTITUTE(SUBSTITUTE(TRIM($Y356),":",""),"-",""))), --(UPPER(TRIM($B$2:$B$518))="YES"), --(UPPER(TRIM($G$2:$G$518)&amp;TRIM($I$2:$I$518)&amp;TRIM($J$2:$J$518))&lt;&gt;UPPER(TRIM($G356)&amp;TRIM($I356)&amp;TRIM($J356))))&gt;0), AND($AB356&lt;&gt;"", LOWER(TRIM($AB356))&lt;&gt;"n/a", LOWER(TRIM($AB356))&lt;&gt;"na", SUMPRODUCT(--(UPPER(TRIM($AB$2:$AB$518))=UPPER(TRIM($AB356))), --(UPPER(TRIM($B$2:$B$518))="YES"), --(UPPER(TRIM($G$2:$G$518)&amp;TRIM($I$2:$I$518)&amp;TRIM($J$2:$J$518))&lt;&gt;UPPER(TRIM($G356)&amp;TRIM($I356)&amp;TRIM($J356))))&gt;0), AND($AH356&lt;&gt;"", LOWER(TRIM($AH356))&lt;&gt;"n/a", LOWER(TRIM($AH356))&lt;&gt;"na", SUMPRODUCT(--(UPPER(SUBSTITUTE(SUBSTITUTE(TRIM($AH$2:$AH$518),":",""),"-",""))=UPPER(SUBSTITUTE(SUBSTITUTE(TRIM($AH356),":",""),"-",""))), --(UPPER(TRIM($B$2:$B$518))="YES"), --(UPPER(TRIM($G$2:$G$518)&amp;TRIM($I$2:$I$518)&amp;TRIM($J$2:$J$518))&lt;&gt;UPPER(TRIM($G356)&amp;TRIM($I356)&amp;TRIM($J356))))&gt;0), AND($AP356&lt;&gt;"", LOWER(TRIM($AP356))&lt;&gt;"n/a", LOWER(TRIM($AP356))&lt;&gt;"na", SUMPRODUCT(--(UPPER(TRIM($AP$2:$AP$518))=UPPER(TRIM($AP356))), --(UPPER(TRIM($B$2:$B$518))="YES"), --(UPPER(TRIM($G$2:$G$518)&amp;TRIM($I$2:$I$518)&amp;TRIM($J$2:$J$518))&lt;&gt;UPPER(TRIM($G356)&amp;TRIM($I356)&amp;TRIM($J356))))&gt;0), AND($AQ356&lt;&gt;"", LOWER(TRIM($AQ356))&lt;&gt;"n/a", LOWER(TRIM($AQ356))&lt;&gt;"na", SUMPRODUCT(--(UPPER(TRIM($AQ$2:$AQ$518))=UPPER(TRIM($AQ356))), --(UPPER(TRIM($B$2:$B$518))="YES"), --(UPPER(TRIM($G$2:$G$518)&amp;TRIM($I$2:$I$518)&amp;TRIM($J$2:$J$518))&lt;&gt;UPPER(TRIM($G356)&amp;TRIM($I356)&amp;TRIM($J356))))&gt;0)), "Yes", "No"))</f>
        <v/>
      </c>
      <c r="G356" t="inlineStr">
        <is>
          <t>1 Marcus</t>
        </is>
      </c>
      <c r="H356" t="inlineStr">
        <is>
          <t>LIJ - VAR</t>
        </is>
      </c>
      <c r="V356" s="15" t="inlineStr">
        <is>
          <t>WNH270OPR468</t>
        </is>
      </c>
      <c r="W356" t="inlineStr">
        <is>
          <t>MEDNM24G25-0290</t>
        </is>
      </c>
      <c r="CD356">
        <f>IF($Y356="","",IF((IF(AND($BR356&lt;&gt;"Yes",$BR356&lt;&gt;"N/A"),"Power Cable, ","")&amp;IF(AND($BS356&lt;&gt;"Yes",$BS356&lt;&gt;"N/A"),"Battery, ","")&amp;IF(AND($AD356&lt;&gt;"Yes",$AD356&lt;&gt;"N/A"),"Firmware Download, ","")&amp;IF(AND(OR($AD356="Yes",$AD356="N/A"),$AE356&lt;&gt;"Yes",$AE356&lt;&gt;"N/A"),"Firmware Install, ","")&amp;IF(AND($CB356&lt;&gt;"Yes",$CB356&lt;&gt;"N/A"),"Device ID, ","")&amp;IF(AND($CC356&lt;&gt;"Yes",$CC356&lt;&gt;"N/A"),"Epic Beans Relay, ",""))="","",LEFT(IF(AND($BR356&lt;&gt;"Yes",$BR356&lt;&gt;"N/A"),"Power Cable, ","")&amp;IF(AND($BS356&lt;&gt;"Yes",$BS356&lt;&gt;"N/A"),"Battery, ","")&amp;IF(AND($AD356&lt;&gt;"Yes",$AD356&lt;&gt;"N/A"),"Firmware Download, ","")&amp;IF(AND(OR($AD356="Yes",$AD356="N/A"),$AE356&lt;&gt;"Yes",$AE356&lt;&gt;"N/A"),"Firmware Install, ","")&amp;IF(AND($CB356&lt;&gt;"Yes",$CB356&lt;&gt;"N/A"),"Device ID, ","")&amp;IF(AND($CC356&lt;&gt;"Yes",$CC356&lt;&gt;"N/A"),"Epic Beans Relay, ",""),LEN(IF(AND($BR356&lt;&gt;"Yes",$BR356&lt;&gt;"N/A"),"Power Cable, ","")&amp;IF(AND($BS356&lt;&gt;"Yes",$BS356&lt;&gt;"N/A"),"Battery, ","")&amp;IF(AND($AD356&lt;&gt;"Yes",$AD356&lt;&gt;"N/A"),"Firmware Download, ","")&amp;IF(AND(OR($AD356="Yes",$AD356="N/A"),$AE356&lt;&gt;"Yes",$AE356&lt;&gt;"N/A"),"Firmware Install, ","")&amp;IF(AND($CB356&lt;&gt;"Yes",$CB356&lt;&gt;"N/A"),"Device ID, ","")&amp;IF(AND($CC356&lt;&gt;"Yes",$CC356&lt;&gt;"N/A"),"Epic Beans Relay, ",""))-2)))</f>
        <v/>
      </c>
      <c r="CE356">
        <f>IF($Y356="","",IF($CD356="","Yes","Blocked"))</f>
        <v/>
      </c>
      <c r="CP356">
        <f>IF($CO356="","",IFERROR(VLOOKUP($CO356,'01_Warehouse_Ledger'!$A:$N,4,FALSE),""))</f>
        <v/>
      </c>
      <c r="CQ356">
        <f>IF($CO356="","",IFERROR(VLOOKUP($CO356,'01_Warehouse_Ledger'!$A:$N,5,FALSE),""))</f>
        <v/>
      </c>
      <c r="CR356">
        <f>IF($CO356="","",IFERROR(VLOOKUP($CO356,'01_Warehouse_Ledger'!$A:$N,13,FALSE),""))</f>
        <v/>
      </c>
      <c r="CW356">
        <f>IF($S356="","",IF(UPPER(TRIM($S356))&lt;&gt;"PASS","",IF(LEN(TRIM($BY356))&gt;0,"NOTES_PRESENT",IF(LEN(TRIM($T356))=0,"SET_NA",IF(OR(LOWER(TRIM($T356))="na",LOWER(TRIM($T356))="n/a"),"OK","MANUAL_OVERRIDE")))))</f>
        <v/>
      </c>
    </row>
    <row r="357">
      <c r="A357" t="inlineStr">
        <is>
          <t>Cybernet</t>
        </is>
      </c>
      <c r="B357" t="inlineStr">
        <is>
          <t>No</t>
        </is>
      </c>
      <c r="C357" t="inlineStr">
        <is>
          <t>No</t>
        </is>
      </c>
      <c r="D357">
        <f>IF($B357&lt;&gt;"Yes","",IF($C357="No","Yes",IF($C357="Yes","No","")))</f>
        <v/>
      </c>
      <c r="E357">
        <f>IF($A357="","",IF(OR(AND($V357&lt;&gt;"",LOWER(TRIM($V357))&lt;&gt;"n/a",LOWER(TRIM($V357))&lt;&gt;"na",SUMPRODUCT(--(UPPER(TRIM($V$2:$V$518))=UPPER(TRIM($V357))),--(TRIM($V$2:$V$518)&lt;&gt;""),--(LOWER(TRIM($V$2:$V$518))&lt;&gt;"n/a"),--(LOWER(TRIM($V$2:$V$518))&lt;&gt;"na"))&gt;1),AND($W357&lt;&gt;"",LOWER(TRIM($W357))&lt;&gt;"n/a",LOWER(TRIM($W357))&lt;&gt;"na",SUMPRODUCT(--(UPPER(TRIM($W$2:$W$518))=UPPER(TRIM($W357))),--(TRIM($W$2:$W$518)&lt;&gt;""),--(LOWER(TRIM($W$2:$W$518))&lt;&gt;"n/a"),--(LOWER(TRIM($W$2:$W$518))&lt;&gt;"na"))&gt;1),AND($X357&lt;&gt;"",LOWER(TRIM($X357))&lt;&gt;"n/a",LOWER(TRIM($X357))&lt;&gt;"na",SUMPRODUCT(--(UPPER(TRIM($X$2:$X$518))=UPPER(TRIM($X357))),--(TRIM($X$2:$X$518)&lt;&gt;""),--(LOWER(TRIM($X$2:$X$518))&lt;&gt;"n/a"),--(LOWER(TRIM($X$2:$X$518))&lt;&gt;"na"))&gt;1),AND($Y357&lt;&gt;"",LOWER(TRIM($Y357))&lt;&gt;"n/a",LOWER(TRIM($Y357))&lt;&gt;"na",SUMPRODUCT(--(UPPER(SUBSTITUTE(SUBSTITUTE(TRIM($Y$2:$Y$518),":",""),"-",""))=UPPER(SUBSTITUTE(SUBSTITUTE(TRIM($Y357),":",""),"-",""))),--(TRIM($Y$2:$Y$518)&lt;&gt;""),--(LOWER(TRIM($Y$2:$Y$518))&lt;&gt;"n/a"),--(LOWER(TRIM($Y$2:$Y$518))&lt;&gt;"na"))&gt;1),AND($AB357&lt;&gt;"",LOWER(TRIM($AB357))&lt;&gt;"n/a",LOWER(TRIM($AB357))&lt;&gt;"na",SUMPRODUCT(--(UPPER(TRIM($AB$2:$AB$518))=UPPER(TRIM($AB357))),--(TRIM($AB$2:$AB$518)&lt;&gt;""),--(LOWER(TRIM($AB$2:$AB$518))&lt;&gt;"n/a"),--(LOWER(TRIM($AB$2:$AB$518))&lt;&gt;"na"))&gt;1),AND($AH357&lt;&gt;"",LOWER(TRIM($AH357))&lt;&gt;"n/a",LOWER(TRIM($AH357))&lt;&gt;"na",SUMPRODUCT(--(UPPER(SUBSTITUTE(SUBSTITUTE(TRIM($AH$2:$AH$518),":",""),"-",""))=UPPER(SUBSTITUTE(SUBSTITUTE(TRIM($AH357),":",""),"-",""))),--(TRIM($AH$2:$AH$518)&lt;&gt;""),--(LOWER(TRIM($AH$2:$AH$518))&lt;&gt;"n/a"),--(LOWER(TRIM($AH$2:$AH$518))&lt;&gt;"na"))&gt;1),AND($AP357&lt;&gt;"",LOWER(TRIM($AP357))&lt;&gt;"n/a",LOWER(TRIM($AP357))&lt;&gt;"na",SUMPRODUCT(--(UPPER(TRIM($AP$2:$AP$518))=UPPER(TRIM($AP357))),--(TRIM($AP$2:$AP$518)&lt;&gt;""),--(LOWER(TRIM($AP$2:$AP$518))&lt;&gt;"n/a"),--(LOWER(TRIM($AP$2:$AP$518))&lt;&gt;"na"))&gt;1),AND($AQ357&lt;&gt;"",LOWER(TRIM($AQ357))&lt;&gt;"n/a",LOWER(TRIM($AQ357))&lt;&gt;"na",SUMPRODUCT(--(UPPER(TRIM($AQ$2:$AQ$518))=UPPER(TRIM($AQ357))),--(TRIM($AQ$2:$AQ$518)&lt;&gt;""),--(LOWER(TRIM($AQ$2:$AQ$518))&lt;&gt;"n/a"),--(LOWER(TRIM($AQ$2:$AQ$518))&lt;&gt;"na"))&gt;1)),"Yes","No"))</f>
        <v/>
      </c>
      <c r="F357">
        <f>IF(UPPER(TRIM($B357))&lt;&gt;"YES","", IF(OR(AND($V357&lt;&gt;"", LOWER(TRIM($V357))&lt;&gt;"n/a", LOWER(TRIM($V357))&lt;&gt;"na", SUMPRODUCT(--(UPPER(TRIM($V$2:$V$518))=UPPER(TRIM($V357))), --(UPPER(TRIM($B$2:$B$518))="YES"), --(UPPER(TRIM($G$2:$G$518)&amp;TRIM($I$2:$I$518)&amp;TRIM($J$2:$J$518))&lt;&gt;UPPER(TRIM($G357)&amp;TRIM($I357)&amp;TRIM($J357))))&gt;0), AND($W357&lt;&gt;"", LOWER(TRIM($W357))&lt;&gt;"n/a", LOWER(TRIM($W357))&lt;&gt;"na", SUMPRODUCT(--(UPPER(TRIM($W$2:$W$518))=UPPER(TRIM($W357))), --(UPPER(TRIM($B$2:$B$518))="YES"), --(UPPER(TRIM($G$2:$G$518)&amp;TRIM($I$2:$I$518)&amp;TRIM($J$2:$J$518))&lt;&gt;UPPER(TRIM($G357)&amp;TRIM($I357)&amp;TRIM($J357))))&gt;0), AND($X357&lt;&gt;"", LOWER(TRIM($X357))&lt;&gt;"n/a", LOWER(TRIM($X357))&lt;&gt;"na", SUMPRODUCT(--(UPPER(TRIM($X$2:$X$518))=UPPER(TRIM($X357))), --(UPPER(TRIM($B$2:$B$518))="YES"), --(UPPER(TRIM($G$2:$G$518)&amp;TRIM($I$2:$I$518)&amp;TRIM($J$2:$J$518))&lt;&gt;UPPER(TRIM($G357)&amp;TRIM($I357)&amp;TRIM($J357))))&gt;0), AND($Y357&lt;&gt;"", LOWER(TRIM($Y357))&lt;&gt;"n/a", LOWER(TRIM($Y357))&lt;&gt;"na", SUMPRODUCT(--(UPPER(SUBSTITUTE(SUBSTITUTE(TRIM($Y$2:$Y$518),":",""),"-",""))=UPPER(SUBSTITUTE(SUBSTITUTE(TRIM($Y357),":",""),"-",""))), --(UPPER(TRIM($B$2:$B$518))="YES"), --(UPPER(TRIM($G$2:$G$518)&amp;TRIM($I$2:$I$518)&amp;TRIM($J$2:$J$518))&lt;&gt;UPPER(TRIM($G357)&amp;TRIM($I357)&amp;TRIM($J357))))&gt;0), AND($AB357&lt;&gt;"", LOWER(TRIM($AB357))&lt;&gt;"n/a", LOWER(TRIM($AB357))&lt;&gt;"na", SUMPRODUCT(--(UPPER(TRIM($AB$2:$AB$518))=UPPER(TRIM($AB357))), --(UPPER(TRIM($B$2:$B$518))="YES"), --(UPPER(TRIM($G$2:$G$518)&amp;TRIM($I$2:$I$518)&amp;TRIM($J$2:$J$518))&lt;&gt;UPPER(TRIM($G357)&amp;TRIM($I357)&amp;TRIM($J357))))&gt;0), AND($AH357&lt;&gt;"", LOWER(TRIM($AH357))&lt;&gt;"n/a", LOWER(TRIM($AH357))&lt;&gt;"na", SUMPRODUCT(--(UPPER(SUBSTITUTE(SUBSTITUTE(TRIM($AH$2:$AH$518),":",""),"-",""))=UPPER(SUBSTITUTE(SUBSTITUTE(TRIM($AH357),":",""),"-",""))), --(UPPER(TRIM($B$2:$B$518))="YES"), --(UPPER(TRIM($G$2:$G$518)&amp;TRIM($I$2:$I$518)&amp;TRIM($J$2:$J$518))&lt;&gt;UPPER(TRIM($G357)&amp;TRIM($I357)&amp;TRIM($J357))))&gt;0), AND($AP357&lt;&gt;"", LOWER(TRIM($AP357))&lt;&gt;"n/a", LOWER(TRIM($AP357))&lt;&gt;"na", SUMPRODUCT(--(UPPER(TRIM($AP$2:$AP$518))=UPPER(TRIM($AP357))), --(UPPER(TRIM($B$2:$B$518))="YES"), --(UPPER(TRIM($G$2:$G$518)&amp;TRIM($I$2:$I$518)&amp;TRIM($J$2:$J$518))&lt;&gt;UPPER(TRIM($G357)&amp;TRIM($I357)&amp;TRIM($J357))))&gt;0), AND($AQ357&lt;&gt;"", LOWER(TRIM($AQ357))&lt;&gt;"n/a", LOWER(TRIM($AQ357))&lt;&gt;"na", SUMPRODUCT(--(UPPER(TRIM($AQ$2:$AQ$518))=UPPER(TRIM($AQ357))), --(UPPER(TRIM($B$2:$B$518))="YES"), --(UPPER(TRIM($G$2:$G$518)&amp;TRIM($I$2:$I$518)&amp;TRIM($J$2:$J$518))&lt;&gt;UPPER(TRIM($G357)&amp;TRIM($I357)&amp;TRIM($J357))))&gt;0)), "Yes", "No"))</f>
        <v/>
      </c>
      <c r="G357" t="inlineStr">
        <is>
          <t>1 Marcus</t>
        </is>
      </c>
      <c r="H357" t="inlineStr">
        <is>
          <t>LIJ - VAR</t>
        </is>
      </c>
      <c r="V357" t="inlineStr">
        <is>
          <t>WNH270OPR469</t>
        </is>
      </c>
      <c r="W357" t="inlineStr">
        <is>
          <t>MEDNM24G25-0537</t>
        </is>
      </c>
      <c r="CD357">
        <f>IF($Y357="","",IF((IF(AND($BR357&lt;&gt;"Yes",$BR357&lt;&gt;"N/A"),"Power Cable, ","")&amp;IF(AND($BS357&lt;&gt;"Yes",$BS357&lt;&gt;"N/A"),"Battery, ","")&amp;IF(AND($AD357&lt;&gt;"Yes",$AD357&lt;&gt;"N/A"),"Firmware Download, ","")&amp;IF(AND(OR($AD357="Yes",$AD357="N/A"),$AE357&lt;&gt;"Yes",$AE357&lt;&gt;"N/A"),"Firmware Install, ","")&amp;IF(AND($CB357&lt;&gt;"Yes",$CB357&lt;&gt;"N/A"),"Device ID, ","")&amp;IF(AND($CC357&lt;&gt;"Yes",$CC357&lt;&gt;"N/A"),"Epic Beans Relay, ",""))="","",LEFT(IF(AND($BR357&lt;&gt;"Yes",$BR357&lt;&gt;"N/A"),"Power Cable, ","")&amp;IF(AND($BS357&lt;&gt;"Yes",$BS357&lt;&gt;"N/A"),"Battery, ","")&amp;IF(AND($AD357&lt;&gt;"Yes",$AD357&lt;&gt;"N/A"),"Firmware Download, ","")&amp;IF(AND(OR($AD357="Yes",$AD357="N/A"),$AE357&lt;&gt;"Yes",$AE357&lt;&gt;"N/A"),"Firmware Install, ","")&amp;IF(AND($CB357&lt;&gt;"Yes",$CB357&lt;&gt;"N/A"),"Device ID, ","")&amp;IF(AND($CC357&lt;&gt;"Yes",$CC357&lt;&gt;"N/A"),"Epic Beans Relay, ",""),LEN(IF(AND($BR357&lt;&gt;"Yes",$BR357&lt;&gt;"N/A"),"Power Cable, ","")&amp;IF(AND($BS357&lt;&gt;"Yes",$BS357&lt;&gt;"N/A"),"Battery, ","")&amp;IF(AND($AD357&lt;&gt;"Yes",$AD357&lt;&gt;"N/A"),"Firmware Download, ","")&amp;IF(AND(OR($AD357="Yes",$AD357="N/A"),$AE357&lt;&gt;"Yes",$AE357&lt;&gt;"N/A"),"Firmware Install, ","")&amp;IF(AND($CB357&lt;&gt;"Yes",$CB357&lt;&gt;"N/A"),"Device ID, ","")&amp;IF(AND($CC357&lt;&gt;"Yes",$CC357&lt;&gt;"N/A"),"Epic Beans Relay, ",""))-2)))</f>
        <v/>
      </c>
      <c r="CE357">
        <f>IF($Y357="","",IF($CD357="","Yes","Blocked"))</f>
        <v/>
      </c>
      <c r="CP357">
        <f>IF($CO357="","",IFERROR(VLOOKUP($CO357,'01_Warehouse_Ledger'!$A:$N,4,FALSE),""))</f>
        <v/>
      </c>
      <c r="CQ357">
        <f>IF($CO357="","",IFERROR(VLOOKUP($CO357,'01_Warehouse_Ledger'!$A:$N,5,FALSE),""))</f>
        <v/>
      </c>
      <c r="CR357">
        <f>IF($CO357="","",IFERROR(VLOOKUP($CO357,'01_Warehouse_Ledger'!$A:$N,13,FALSE),""))</f>
        <v/>
      </c>
      <c r="CW357">
        <f>IF($S357="","",IF(UPPER(TRIM($S357))&lt;&gt;"PASS","",IF(LEN(TRIM($BY357))&gt;0,"NOTES_PRESENT",IF(LEN(TRIM($T357))=0,"SET_NA",IF(OR(LOWER(TRIM($T357))="na",LOWER(TRIM($T357))="n/a"),"OK","MANUAL_OVERRIDE")))))</f>
        <v/>
      </c>
    </row>
    <row r="358">
      <c r="A358" t="inlineStr">
        <is>
          <t>Cybernet</t>
        </is>
      </c>
      <c r="B358" t="inlineStr">
        <is>
          <t>No</t>
        </is>
      </c>
      <c r="C358" t="inlineStr">
        <is>
          <t>No</t>
        </is>
      </c>
      <c r="D358">
        <f>IF($B358&lt;&gt;"Yes","",IF($C358="No","Yes",IF($C358="Yes","No","")))</f>
        <v/>
      </c>
      <c r="E358">
        <f>IF($A358="","",IF(OR(AND($V358&lt;&gt;"",LOWER(TRIM($V358))&lt;&gt;"n/a",LOWER(TRIM($V358))&lt;&gt;"na",SUMPRODUCT(--(UPPER(TRIM($V$2:$V$518))=UPPER(TRIM($V358))),--(TRIM($V$2:$V$518)&lt;&gt;""),--(LOWER(TRIM($V$2:$V$518))&lt;&gt;"n/a"),--(LOWER(TRIM($V$2:$V$518))&lt;&gt;"na"))&gt;1),AND($W358&lt;&gt;"",LOWER(TRIM($W358))&lt;&gt;"n/a",LOWER(TRIM($W358))&lt;&gt;"na",SUMPRODUCT(--(UPPER(TRIM($W$2:$W$518))=UPPER(TRIM($W358))),--(TRIM($W$2:$W$518)&lt;&gt;""),--(LOWER(TRIM($W$2:$W$518))&lt;&gt;"n/a"),--(LOWER(TRIM($W$2:$W$518))&lt;&gt;"na"))&gt;1),AND($X358&lt;&gt;"",LOWER(TRIM($X358))&lt;&gt;"n/a",LOWER(TRIM($X358))&lt;&gt;"na",SUMPRODUCT(--(UPPER(TRIM($X$2:$X$518))=UPPER(TRIM($X358))),--(TRIM($X$2:$X$518)&lt;&gt;""),--(LOWER(TRIM($X$2:$X$518))&lt;&gt;"n/a"),--(LOWER(TRIM($X$2:$X$518))&lt;&gt;"na"))&gt;1),AND($Y358&lt;&gt;"",LOWER(TRIM($Y358))&lt;&gt;"n/a",LOWER(TRIM($Y358))&lt;&gt;"na",SUMPRODUCT(--(UPPER(SUBSTITUTE(SUBSTITUTE(TRIM($Y$2:$Y$518),":",""),"-",""))=UPPER(SUBSTITUTE(SUBSTITUTE(TRIM($Y358),":",""),"-",""))),--(TRIM($Y$2:$Y$518)&lt;&gt;""),--(LOWER(TRIM($Y$2:$Y$518))&lt;&gt;"n/a"),--(LOWER(TRIM($Y$2:$Y$518))&lt;&gt;"na"))&gt;1),AND($AB358&lt;&gt;"",LOWER(TRIM($AB358))&lt;&gt;"n/a",LOWER(TRIM($AB358))&lt;&gt;"na",SUMPRODUCT(--(UPPER(TRIM($AB$2:$AB$518))=UPPER(TRIM($AB358))),--(TRIM($AB$2:$AB$518)&lt;&gt;""),--(LOWER(TRIM($AB$2:$AB$518))&lt;&gt;"n/a"),--(LOWER(TRIM($AB$2:$AB$518))&lt;&gt;"na"))&gt;1),AND($AH358&lt;&gt;"",LOWER(TRIM($AH358))&lt;&gt;"n/a",LOWER(TRIM($AH358))&lt;&gt;"na",SUMPRODUCT(--(UPPER(SUBSTITUTE(SUBSTITUTE(TRIM($AH$2:$AH$518),":",""),"-",""))=UPPER(SUBSTITUTE(SUBSTITUTE(TRIM($AH358),":",""),"-",""))),--(TRIM($AH$2:$AH$518)&lt;&gt;""),--(LOWER(TRIM($AH$2:$AH$518))&lt;&gt;"n/a"),--(LOWER(TRIM($AH$2:$AH$518))&lt;&gt;"na"))&gt;1),AND($AP358&lt;&gt;"",LOWER(TRIM($AP358))&lt;&gt;"n/a",LOWER(TRIM($AP358))&lt;&gt;"na",SUMPRODUCT(--(UPPER(TRIM($AP$2:$AP$518))=UPPER(TRIM($AP358))),--(TRIM($AP$2:$AP$518)&lt;&gt;""),--(LOWER(TRIM($AP$2:$AP$518))&lt;&gt;"n/a"),--(LOWER(TRIM($AP$2:$AP$518))&lt;&gt;"na"))&gt;1),AND($AQ358&lt;&gt;"",LOWER(TRIM($AQ358))&lt;&gt;"n/a",LOWER(TRIM($AQ358))&lt;&gt;"na",SUMPRODUCT(--(UPPER(TRIM($AQ$2:$AQ$518))=UPPER(TRIM($AQ358))),--(TRIM($AQ$2:$AQ$518)&lt;&gt;""),--(LOWER(TRIM($AQ$2:$AQ$518))&lt;&gt;"n/a"),--(LOWER(TRIM($AQ$2:$AQ$518))&lt;&gt;"na"))&gt;1)),"Yes","No"))</f>
        <v/>
      </c>
      <c r="F358">
        <f>IF(UPPER(TRIM($B358))&lt;&gt;"YES","", IF(OR(AND($V358&lt;&gt;"", LOWER(TRIM($V358))&lt;&gt;"n/a", LOWER(TRIM($V358))&lt;&gt;"na", SUMPRODUCT(--(UPPER(TRIM($V$2:$V$518))=UPPER(TRIM($V358))), --(UPPER(TRIM($B$2:$B$518))="YES"), --(UPPER(TRIM($G$2:$G$518)&amp;TRIM($I$2:$I$518)&amp;TRIM($J$2:$J$518))&lt;&gt;UPPER(TRIM($G358)&amp;TRIM($I358)&amp;TRIM($J358))))&gt;0), AND($W358&lt;&gt;"", LOWER(TRIM($W358))&lt;&gt;"n/a", LOWER(TRIM($W358))&lt;&gt;"na", SUMPRODUCT(--(UPPER(TRIM($W$2:$W$518))=UPPER(TRIM($W358))), --(UPPER(TRIM($B$2:$B$518))="YES"), --(UPPER(TRIM($G$2:$G$518)&amp;TRIM($I$2:$I$518)&amp;TRIM($J$2:$J$518))&lt;&gt;UPPER(TRIM($G358)&amp;TRIM($I358)&amp;TRIM($J358))))&gt;0), AND($X358&lt;&gt;"", LOWER(TRIM($X358))&lt;&gt;"n/a", LOWER(TRIM($X358))&lt;&gt;"na", SUMPRODUCT(--(UPPER(TRIM($X$2:$X$518))=UPPER(TRIM($X358))), --(UPPER(TRIM($B$2:$B$518))="YES"), --(UPPER(TRIM($G$2:$G$518)&amp;TRIM($I$2:$I$518)&amp;TRIM($J$2:$J$518))&lt;&gt;UPPER(TRIM($G358)&amp;TRIM($I358)&amp;TRIM($J358))))&gt;0), AND($Y358&lt;&gt;"", LOWER(TRIM($Y358))&lt;&gt;"n/a", LOWER(TRIM($Y358))&lt;&gt;"na", SUMPRODUCT(--(UPPER(SUBSTITUTE(SUBSTITUTE(TRIM($Y$2:$Y$518),":",""),"-",""))=UPPER(SUBSTITUTE(SUBSTITUTE(TRIM($Y358),":",""),"-",""))), --(UPPER(TRIM($B$2:$B$518))="YES"), --(UPPER(TRIM($G$2:$G$518)&amp;TRIM($I$2:$I$518)&amp;TRIM($J$2:$J$518))&lt;&gt;UPPER(TRIM($G358)&amp;TRIM($I358)&amp;TRIM($J358))))&gt;0), AND($AB358&lt;&gt;"", LOWER(TRIM($AB358))&lt;&gt;"n/a", LOWER(TRIM($AB358))&lt;&gt;"na", SUMPRODUCT(--(UPPER(TRIM($AB$2:$AB$518))=UPPER(TRIM($AB358))), --(UPPER(TRIM($B$2:$B$518))="YES"), --(UPPER(TRIM($G$2:$G$518)&amp;TRIM($I$2:$I$518)&amp;TRIM($J$2:$J$518))&lt;&gt;UPPER(TRIM($G358)&amp;TRIM($I358)&amp;TRIM($J358))))&gt;0), AND($AH358&lt;&gt;"", LOWER(TRIM($AH358))&lt;&gt;"n/a", LOWER(TRIM($AH358))&lt;&gt;"na", SUMPRODUCT(--(UPPER(SUBSTITUTE(SUBSTITUTE(TRIM($AH$2:$AH$518),":",""),"-",""))=UPPER(SUBSTITUTE(SUBSTITUTE(TRIM($AH358),":",""),"-",""))), --(UPPER(TRIM($B$2:$B$518))="YES"), --(UPPER(TRIM($G$2:$G$518)&amp;TRIM($I$2:$I$518)&amp;TRIM($J$2:$J$518))&lt;&gt;UPPER(TRIM($G358)&amp;TRIM($I358)&amp;TRIM($J358))))&gt;0), AND($AP358&lt;&gt;"", LOWER(TRIM($AP358))&lt;&gt;"n/a", LOWER(TRIM($AP358))&lt;&gt;"na", SUMPRODUCT(--(UPPER(TRIM($AP$2:$AP$518))=UPPER(TRIM($AP358))), --(UPPER(TRIM($B$2:$B$518))="YES"), --(UPPER(TRIM($G$2:$G$518)&amp;TRIM($I$2:$I$518)&amp;TRIM($J$2:$J$518))&lt;&gt;UPPER(TRIM($G358)&amp;TRIM($I358)&amp;TRIM($J358))))&gt;0), AND($AQ358&lt;&gt;"", LOWER(TRIM($AQ358))&lt;&gt;"n/a", LOWER(TRIM($AQ358))&lt;&gt;"na", SUMPRODUCT(--(UPPER(TRIM($AQ$2:$AQ$518))=UPPER(TRIM($AQ358))), --(UPPER(TRIM($B$2:$B$518))="YES"), --(UPPER(TRIM($G$2:$G$518)&amp;TRIM($I$2:$I$518)&amp;TRIM($J$2:$J$518))&lt;&gt;UPPER(TRIM($G358)&amp;TRIM($I358)&amp;TRIM($J358))))&gt;0)), "Yes", "No"))</f>
        <v/>
      </c>
      <c r="G358" t="inlineStr">
        <is>
          <t>1 Marcus</t>
        </is>
      </c>
      <c r="H358" t="inlineStr">
        <is>
          <t>LIJ - VAR</t>
        </is>
      </c>
      <c r="V358" s="15" t="inlineStr">
        <is>
          <t>WNH270OPR470</t>
        </is>
      </c>
      <c r="W358" t="inlineStr">
        <is>
          <t>MEDNM24G25-0313</t>
        </is>
      </c>
      <c r="CD358">
        <f>IF($Y358="","",IF((IF(AND($BR358&lt;&gt;"Yes",$BR358&lt;&gt;"N/A"),"Power Cable, ","")&amp;IF(AND($BS358&lt;&gt;"Yes",$BS358&lt;&gt;"N/A"),"Battery, ","")&amp;IF(AND($AD358&lt;&gt;"Yes",$AD358&lt;&gt;"N/A"),"Firmware Download, ","")&amp;IF(AND(OR($AD358="Yes",$AD358="N/A"),$AE358&lt;&gt;"Yes",$AE358&lt;&gt;"N/A"),"Firmware Install, ","")&amp;IF(AND($CB358&lt;&gt;"Yes",$CB358&lt;&gt;"N/A"),"Device ID, ","")&amp;IF(AND($CC358&lt;&gt;"Yes",$CC358&lt;&gt;"N/A"),"Epic Beans Relay, ",""))="","",LEFT(IF(AND($BR358&lt;&gt;"Yes",$BR358&lt;&gt;"N/A"),"Power Cable, ","")&amp;IF(AND($BS358&lt;&gt;"Yes",$BS358&lt;&gt;"N/A"),"Battery, ","")&amp;IF(AND($AD358&lt;&gt;"Yes",$AD358&lt;&gt;"N/A"),"Firmware Download, ","")&amp;IF(AND(OR($AD358="Yes",$AD358="N/A"),$AE358&lt;&gt;"Yes",$AE358&lt;&gt;"N/A"),"Firmware Install, ","")&amp;IF(AND($CB358&lt;&gt;"Yes",$CB358&lt;&gt;"N/A"),"Device ID, ","")&amp;IF(AND($CC358&lt;&gt;"Yes",$CC358&lt;&gt;"N/A"),"Epic Beans Relay, ",""),LEN(IF(AND($BR358&lt;&gt;"Yes",$BR358&lt;&gt;"N/A"),"Power Cable, ","")&amp;IF(AND($BS358&lt;&gt;"Yes",$BS358&lt;&gt;"N/A"),"Battery, ","")&amp;IF(AND($AD358&lt;&gt;"Yes",$AD358&lt;&gt;"N/A"),"Firmware Download, ","")&amp;IF(AND(OR($AD358="Yes",$AD358="N/A"),$AE358&lt;&gt;"Yes",$AE358&lt;&gt;"N/A"),"Firmware Install, ","")&amp;IF(AND($CB358&lt;&gt;"Yes",$CB358&lt;&gt;"N/A"),"Device ID, ","")&amp;IF(AND($CC358&lt;&gt;"Yes",$CC358&lt;&gt;"N/A"),"Epic Beans Relay, ",""))-2)))</f>
        <v/>
      </c>
      <c r="CE358">
        <f>IF($Y358="","",IF($CD358="","Yes","Blocked"))</f>
        <v/>
      </c>
      <c r="CP358">
        <f>IF($CO358="","",IFERROR(VLOOKUP($CO358,'01_Warehouse_Ledger'!$A:$N,4,FALSE),""))</f>
        <v/>
      </c>
      <c r="CQ358">
        <f>IF($CO358="","",IFERROR(VLOOKUP($CO358,'01_Warehouse_Ledger'!$A:$N,5,FALSE),""))</f>
        <v/>
      </c>
      <c r="CR358">
        <f>IF($CO358="","",IFERROR(VLOOKUP($CO358,'01_Warehouse_Ledger'!$A:$N,13,FALSE),""))</f>
        <v/>
      </c>
      <c r="CW358">
        <f>IF($S358="","",IF(UPPER(TRIM($S358))&lt;&gt;"PASS","",IF(LEN(TRIM($BY358))&gt;0,"NOTES_PRESENT",IF(LEN(TRIM($T358))=0,"SET_NA",IF(OR(LOWER(TRIM($T358))="na",LOWER(TRIM($T358))="n/a"),"OK","MANUAL_OVERRIDE")))))</f>
        <v/>
      </c>
    </row>
    <row r="359">
      <c r="A359" t="inlineStr">
        <is>
          <t>Cybernet</t>
        </is>
      </c>
      <c r="B359" t="inlineStr">
        <is>
          <t>No</t>
        </is>
      </c>
      <c r="C359" t="inlineStr">
        <is>
          <t>No</t>
        </is>
      </c>
      <c r="D359">
        <f>IF($B359&lt;&gt;"Yes","",IF($C359="No","Yes",IF($C359="Yes","No","")))</f>
        <v/>
      </c>
      <c r="E359">
        <f>IF($A359="","",IF(OR(AND($V359&lt;&gt;"",LOWER(TRIM($V359))&lt;&gt;"n/a",LOWER(TRIM($V359))&lt;&gt;"na",SUMPRODUCT(--(UPPER(TRIM($V$2:$V$518))=UPPER(TRIM($V359))),--(TRIM($V$2:$V$518)&lt;&gt;""),--(LOWER(TRIM($V$2:$V$518))&lt;&gt;"n/a"),--(LOWER(TRIM($V$2:$V$518))&lt;&gt;"na"))&gt;1),AND($W359&lt;&gt;"",LOWER(TRIM($W359))&lt;&gt;"n/a",LOWER(TRIM($W359))&lt;&gt;"na",SUMPRODUCT(--(UPPER(TRIM($W$2:$W$518))=UPPER(TRIM($W359))),--(TRIM($W$2:$W$518)&lt;&gt;""),--(LOWER(TRIM($W$2:$W$518))&lt;&gt;"n/a"),--(LOWER(TRIM($W$2:$W$518))&lt;&gt;"na"))&gt;1),AND($X359&lt;&gt;"",LOWER(TRIM($X359))&lt;&gt;"n/a",LOWER(TRIM($X359))&lt;&gt;"na",SUMPRODUCT(--(UPPER(TRIM($X$2:$X$518))=UPPER(TRIM($X359))),--(TRIM($X$2:$X$518)&lt;&gt;""),--(LOWER(TRIM($X$2:$X$518))&lt;&gt;"n/a"),--(LOWER(TRIM($X$2:$X$518))&lt;&gt;"na"))&gt;1),AND($Y359&lt;&gt;"",LOWER(TRIM($Y359))&lt;&gt;"n/a",LOWER(TRIM($Y359))&lt;&gt;"na",SUMPRODUCT(--(UPPER(SUBSTITUTE(SUBSTITUTE(TRIM($Y$2:$Y$518),":",""),"-",""))=UPPER(SUBSTITUTE(SUBSTITUTE(TRIM($Y359),":",""),"-",""))),--(TRIM($Y$2:$Y$518)&lt;&gt;""),--(LOWER(TRIM($Y$2:$Y$518))&lt;&gt;"n/a"),--(LOWER(TRIM($Y$2:$Y$518))&lt;&gt;"na"))&gt;1),AND($AB359&lt;&gt;"",LOWER(TRIM($AB359))&lt;&gt;"n/a",LOWER(TRIM($AB359))&lt;&gt;"na",SUMPRODUCT(--(UPPER(TRIM($AB$2:$AB$518))=UPPER(TRIM($AB359))),--(TRIM($AB$2:$AB$518)&lt;&gt;""),--(LOWER(TRIM($AB$2:$AB$518))&lt;&gt;"n/a"),--(LOWER(TRIM($AB$2:$AB$518))&lt;&gt;"na"))&gt;1),AND($AH359&lt;&gt;"",LOWER(TRIM($AH359))&lt;&gt;"n/a",LOWER(TRIM($AH359))&lt;&gt;"na",SUMPRODUCT(--(UPPER(SUBSTITUTE(SUBSTITUTE(TRIM($AH$2:$AH$518),":",""),"-",""))=UPPER(SUBSTITUTE(SUBSTITUTE(TRIM($AH359),":",""),"-",""))),--(TRIM($AH$2:$AH$518)&lt;&gt;""),--(LOWER(TRIM($AH$2:$AH$518))&lt;&gt;"n/a"),--(LOWER(TRIM($AH$2:$AH$518))&lt;&gt;"na"))&gt;1),AND($AP359&lt;&gt;"",LOWER(TRIM($AP359))&lt;&gt;"n/a",LOWER(TRIM($AP359))&lt;&gt;"na",SUMPRODUCT(--(UPPER(TRIM($AP$2:$AP$518))=UPPER(TRIM($AP359))),--(TRIM($AP$2:$AP$518)&lt;&gt;""),--(LOWER(TRIM($AP$2:$AP$518))&lt;&gt;"n/a"),--(LOWER(TRIM($AP$2:$AP$518))&lt;&gt;"na"))&gt;1),AND($AQ359&lt;&gt;"",LOWER(TRIM($AQ359))&lt;&gt;"n/a",LOWER(TRIM($AQ359))&lt;&gt;"na",SUMPRODUCT(--(UPPER(TRIM($AQ$2:$AQ$518))=UPPER(TRIM($AQ359))),--(TRIM($AQ$2:$AQ$518)&lt;&gt;""),--(LOWER(TRIM($AQ$2:$AQ$518))&lt;&gt;"n/a"),--(LOWER(TRIM($AQ$2:$AQ$518))&lt;&gt;"na"))&gt;1)),"Yes","No"))</f>
        <v/>
      </c>
      <c r="F359">
        <f>IF(UPPER(TRIM($B359))&lt;&gt;"YES","", IF(OR(AND($V359&lt;&gt;"", LOWER(TRIM($V359))&lt;&gt;"n/a", LOWER(TRIM($V359))&lt;&gt;"na", SUMPRODUCT(--(UPPER(TRIM($V$2:$V$518))=UPPER(TRIM($V359))), --(UPPER(TRIM($B$2:$B$518))="YES"), --(UPPER(TRIM($G$2:$G$518)&amp;TRIM($I$2:$I$518)&amp;TRIM($J$2:$J$518))&lt;&gt;UPPER(TRIM($G359)&amp;TRIM($I359)&amp;TRIM($J359))))&gt;0), AND($W359&lt;&gt;"", LOWER(TRIM($W359))&lt;&gt;"n/a", LOWER(TRIM($W359))&lt;&gt;"na", SUMPRODUCT(--(UPPER(TRIM($W$2:$W$518))=UPPER(TRIM($W359))), --(UPPER(TRIM($B$2:$B$518))="YES"), --(UPPER(TRIM($G$2:$G$518)&amp;TRIM($I$2:$I$518)&amp;TRIM($J$2:$J$518))&lt;&gt;UPPER(TRIM($G359)&amp;TRIM($I359)&amp;TRIM($J359))))&gt;0), AND($X359&lt;&gt;"", LOWER(TRIM($X359))&lt;&gt;"n/a", LOWER(TRIM($X359))&lt;&gt;"na", SUMPRODUCT(--(UPPER(TRIM($X$2:$X$518))=UPPER(TRIM($X359))), --(UPPER(TRIM($B$2:$B$518))="YES"), --(UPPER(TRIM($G$2:$G$518)&amp;TRIM($I$2:$I$518)&amp;TRIM($J$2:$J$518))&lt;&gt;UPPER(TRIM($G359)&amp;TRIM($I359)&amp;TRIM($J359))))&gt;0), AND($Y359&lt;&gt;"", LOWER(TRIM($Y359))&lt;&gt;"n/a", LOWER(TRIM($Y359))&lt;&gt;"na", SUMPRODUCT(--(UPPER(SUBSTITUTE(SUBSTITUTE(TRIM($Y$2:$Y$518),":",""),"-",""))=UPPER(SUBSTITUTE(SUBSTITUTE(TRIM($Y359),":",""),"-",""))), --(UPPER(TRIM($B$2:$B$518))="YES"), --(UPPER(TRIM($G$2:$G$518)&amp;TRIM($I$2:$I$518)&amp;TRIM($J$2:$J$518))&lt;&gt;UPPER(TRIM($G359)&amp;TRIM($I359)&amp;TRIM($J359))))&gt;0), AND($AB359&lt;&gt;"", LOWER(TRIM($AB359))&lt;&gt;"n/a", LOWER(TRIM($AB359))&lt;&gt;"na", SUMPRODUCT(--(UPPER(TRIM($AB$2:$AB$518))=UPPER(TRIM($AB359))), --(UPPER(TRIM($B$2:$B$518))="YES"), --(UPPER(TRIM($G$2:$G$518)&amp;TRIM($I$2:$I$518)&amp;TRIM($J$2:$J$518))&lt;&gt;UPPER(TRIM($G359)&amp;TRIM($I359)&amp;TRIM($J359))))&gt;0), AND($AH359&lt;&gt;"", LOWER(TRIM($AH359))&lt;&gt;"n/a", LOWER(TRIM($AH359))&lt;&gt;"na", SUMPRODUCT(--(UPPER(SUBSTITUTE(SUBSTITUTE(TRIM($AH$2:$AH$518),":",""),"-",""))=UPPER(SUBSTITUTE(SUBSTITUTE(TRIM($AH359),":",""),"-",""))), --(UPPER(TRIM($B$2:$B$518))="YES"), --(UPPER(TRIM($G$2:$G$518)&amp;TRIM($I$2:$I$518)&amp;TRIM($J$2:$J$518))&lt;&gt;UPPER(TRIM($G359)&amp;TRIM($I359)&amp;TRIM($J359))))&gt;0), AND($AP359&lt;&gt;"", LOWER(TRIM($AP359))&lt;&gt;"n/a", LOWER(TRIM($AP359))&lt;&gt;"na", SUMPRODUCT(--(UPPER(TRIM($AP$2:$AP$518))=UPPER(TRIM($AP359))), --(UPPER(TRIM($B$2:$B$518))="YES"), --(UPPER(TRIM($G$2:$G$518)&amp;TRIM($I$2:$I$518)&amp;TRIM($J$2:$J$518))&lt;&gt;UPPER(TRIM($G359)&amp;TRIM($I359)&amp;TRIM($J359))))&gt;0), AND($AQ359&lt;&gt;"", LOWER(TRIM($AQ359))&lt;&gt;"n/a", LOWER(TRIM($AQ359))&lt;&gt;"na", SUMPRODUCT(--(UPPER(TRIM($AQ$2:$AQ$518))=UPPER(TRIM($AQ359))), --(UPPER(TRIM($B$2:$B$518))="YES"), --(UPPER(TRIM($G$2:$G$518)&amp;TRIM($I$2:$I$518)&amp;TRIM($J$2:$J$518))&lt;&gt;UPPER(TRIM($G359)&amp;TRIM($I359)&amp;TRIM($J359))))&gt;0)), "Yes", "No"))</f>
        <v/>
      </c>
      <c r="G359" t="inlineStr">
        <is>
          <t>1 Marcus</t>
        </is>
      </c>
      <c r="H359" t="inlineStr">
        <is>
          <t>LIJ - VAR</t>
        </is>
      </c>
      <c r="V359" t="inlineStr">
        <is>
          <t>WNH270OPR471</t>
        </is>
      </c>
      <c r="W359" t="inlineStr">
        <is>
          <t>MEDNM24J25-1223</t>
        </is>
      </c>
      <c r="CD359">
        <f>IF($Y359="","",IF((IF(AND($BR359&lt;&gt;"Yes",$BR359&lt;&gt;"N/A"),"Power Cable, ","")&amp;IF(AND($BS359&lt;&gt;"Yes",$BS359&lt;&gt;"N/A"),"Battery, ","")&amp;IF(AND($AD359&lt;&gt;"Yes",$AD359&lt;&gt;"N/A"),"Firmware Download, ","")&amp;IF(AND(OR($AD359="Yes",$AD359="N/A"),$AE359&lt;&gt;"Yes",$AE359&lt;&gt;"N/A"),"Firmware Install, ","")&amp;IF(AND($CB359&lt;&gt;"Yes",$CB359&lt;&gt;"N/A"),"Device ID, ","")&amp;IF(AND($CC359&lt;&gt;"Yes",$CC359&lt;&gt;"N/A"),"Epic Beans Relay, ",""))="","",LEFT(IF(AND($BR359&lt;&gt;"Yes",$BR359&lt;&gt;"N/A"),"Power Cable, ","")&amp;IF(AND($BS359&lt;&gt;"Yes",$BS359&lt;&gt;"N/A"),"Battery, ","")&amp;IF(AND($AD359&lt;&gt;"Yes",$AD359&lt;&gt;"N/A"),"Firmware Download, ","")&amp;IF(AND(OR($AD359="Yes",$AD359="N/A"),$AE359&lt;&gt;"Yes",$AE359&lt;&gt;"N/A"),"Firmware Install, ","")&amp;IF(AND($CB359&lt;&gt;"Yes",$CB359&lt;&gt;"N/A"),"Device ID, ","")&amp;IF(AND($CC359&lt;&gt;"Yes",$CC359&lt;&gt;"N/A"),"Epic Beans Relay, ",""),LEN(IF(AND($BR359&lt;&gt;"Yes",$BR359&lt;&gt;"N/A"),"Power Cable, ","")&amp;IF(AND($BS359&lt;&gt;"Yes",$BS359&lt;&gt;"N/A"),"Battery, ","")&amp;IF(AND($AD359&lt;&gt;"Yes",$AD359&lt;&gt;"N/A"),"Firmware Download, ","")&amp;IF(AND(OR($AD359="Yes",$AD359="N/A"),$AE359&lt;&gt;"Yes",$AE359&lt;&gt;"N/A"),"Firmware Install, ","")&amp;IF(AND($CB359&lt;&gt;"Yes",$CB359&lt;&gt;"N/A"),"Device ID, ","")&amp;IF(AND($CC359&lt;&gt;"Yes",$CC359&lt;&gt;"N/A"),"Epic Beans Relay, ",""))-2)))</f>
        <v/>
      </c>
      <c r="CE359">
        <f>IF($Y359="","",IF($CD359="","Yes","Blocked"))</f>
        <v/>
      </c>
      <c r="CP359">
        <f>IF($CO359="","",IFERROR(VLOOKUP($CO359,'01_Warehouse_Ledger'!$A:$N,4,FALSE),""))</f>
        <v/>
      </c>
      <c r="CQ359">
        <f>IF($CO359="","",IFERROR(VLOOKUP($CO359,'01_Warehouse_Ledger'!$A:$N,5,FALSE),""))</f>
        <v/>
      </c>
      <c r="CR359">
        <f>IF($CO359="","",IFERROR(VLOOKUP($CO359,'01_Warehouse_Ledger'!$A:$N,13,FALSE),""))</f>
        <v/>
      </c>
      <c r="CW359">
        <f>IF($S359="","",IF(UPPER(TRIM($S359))&lt;&gt;"PASS","",IF(LEN(TRIM($BY359))&gt;0,"NOTES_PRESENT",IF(LEN(TRIM($T359))=0,"SET_NA",IF(OR(LOWER(TRIM($T359))="na",LOWER(TRIM($T359))="n/a"),"OK","MANUAL_OVERRIDE")))))</f>
        <v/>
      </c>
    </row>
    <row r="360">
      <c r="A360" t="inlineStr">
        <is>
          <t>Cybernet</t>
        </is>
      </c>
      <c r="B360" t="inlineStr">
        <is>
          <t>No</t>
        </is>
      </c>
      <c r="C360" t="inlineStr">
        <is>
          <t>No</t>
        </is>
      </c>
      <c r="D360">
        <f>IF($B360&lt;&gt;"Yes","",IF($C360="No","Yes",IF($C360="Yes","No","")))</f>
        <v/>
      </c>
      <c r="E360">
        <f>IF($A360="","",IF(OR(AND($V360&lt;&gt;"",LOWER(TRIM($V360))&lt;&gt;"n/a",LOWER(TRIM($V360))&lt;&gt;"na",SUMPRODUCT(--(UPPER(TRIM($V$2:$V$518))=UPPER(TRIM($V360))),--(TRIM($V$2:$V$518)&lt;&gt;""),--(LOWER(TRIM($V$2:$V$518))&lt;&gt;"n/a"),--(LOWER(TRIM($V$2:$V$518))&lt;&gt;"na"))&gt;1),AND($W360&lt;&gt;"",LOWER(TRIM($W360))&lt;&gt;"n/a",LOWER(TRIM($W360))&lt;&gt;"na",SUMPRODUCT(--(UPPER(TRIM($W$2:$W$518))=UPPER(TRIM($W360))),--(TRIM($W$2:$W$518)&lt;&gt;""),--(LOWER(TRIM($W$2:$W$518))&lt;&gt;"n/a"),--(LOWER(TRIM($W$2:$W$518))&lt;&gt;"na"))&gt;1),AND($X360&lt;&gt;"",LOWER(TRIM($X360))&lt;&gt;"n/a",LOWER(TRIM($X360))&lt;&gt;"na",SUMPRODUCT(--(UPPER(TRIM($X$2:$X$518))=UPPER(TRIM($X360))),--(TRIM($X$2:$X$518)&lt;&gt;""),--(LOWER(TRIM($X$2:$X$518))&lt;&gt;"n/a"),--(LOWER(TRIM($X$2:$X$518))&lt;&gt;"na"))&gt;1),AND($Y360&lt;&gt;"",LOWER(TRIM($Y360))&lt;&gt;"n/a",LOWER(TRIM($Y360))&lt;&gt;"na",SUMPRODUCT(--(UPPER(SUBSTITUTE(SUBSTITUTE(TRIM($Y$2:$Y$518),":",""),"-",""))=UPPER(SUBSTITUTE(SUBSTITUTE(TRIM($Y360),":",""),"-",""))),--(TRIM($Y$2:$Y$518)&lt;&gt;""),--(LOWER(TRIM($Y$2:$Y$518))&lt;&gt;"n/a"),--(LOWER(TRIM($Y$2:$Y$518))&lt;&gt;"na"))&gt;1),AND($AB360&lt;&gt;"",LOWER(TRIM($AB360))&lt;&gt;"n/a",LOWER(TRIM($AB360))&lt;&gt;"na",SUMPRODUCT(--(UPPER(TRIM($AB$2:$AB$518))=UPPER(TRIM($AB360))),--(TRIM($AB$2:$AB$518)&lt;&gt;""),--(LOWER(TRIM($AB$2:$AB$518))&lt;&gt;"n/a"),--(LOWER(TRIM($AB$2:$AB$518))&lt;&gt;"na"))&gt;1),AND($AH360&lt;&gt;"",LOWER(TRIM($AH360))&lt;&gt;"n/a",LOWER(TRIM($AH360))&lt;&gt;"na",SUMPRODUCT(--(UPPER(SUBSTITUTE(SUBSTITUTE(TRIM($AH$2:$AH$518),":",""),"-",""))=UPPER(SUBSTITUTE(SUBSTITUTE(TRIM($AH360),":",""),"-",""))),--(TRIM($AH$2:$AH$518)&lt;&gt;""),--(LOWER(TRIM($AH$2:$AH$518))&lt;&gt;"n/a"),--(LOWER(TRIM($AH$2:$AH$518))&lt;&gt;"na"))&gt;1),AND($AP360&lt;&gt;"",LOWER(TRIM($AP360))&lt;&gt;"n/a",LOWER(TRIM($AP360))&lt;&gt;"na",SUMPRODUCT(--(UPPER(TRIM($AP$2:$AP$518))=UPPER(TRIM($AP360))),--(TRIM($AP$2:$AP$518)&lt;&gt;""),--(LOWER(TRIM($AP$2:$AP$518))&lt;&gt;"n/a"),--(LOWER(TRIM($AP$2:$AP$518))&lt;&gt;"na"))&gt;1),AND($AQ360&lt;&gt;"",LOWER(TRIM($AQ360))&lt;&gt;"n/a",LOWER(TRIM($AQ360))&lt;&gt;"na",SUMPRODUCT(--(UPPER(TRIM($AQ$2:$AQ$518))=UPPER(TRIM($AQ360))),--(TRIM($AQ$2:$AQ$518)&lt;&gt;""),--(LOWER(TRIM($AQ$2:$AQ$518))&lt;&gt;"n/a"),--(LOWER(TRIM($AQ$2:$AQ$518))&lt;&gt;"na"))&gt;1)),"Yes","No"))</f>
        <v/>
      </c>
      <c r="F360">
        <f>IF(UPPER(TRIM($B360))&lt;&gt;"YES","", IF(OR(AND($V360&lt;&gt;"", LOWER(TRIM($V360))&lt;&gt;"n/a", LOWER(TRIM($V360))&lt;&gt;"na", SUMPRODUCT(--(UPPER(TRIM($V$2:$V$518))=UPPER(TRIM($V360))), --(UPPER(TRIM($B$2:$B$518))="YES"), --(UPPER(TRIM($G$2:$G$518)&amp;TRIM($I$2:$I$518)&amp;TRIM($J$2:$J$518))&lt;&gt;UPPER(TRIM($G360)&amp;TRIM($I360)&amp;TRIM($J360))))&gt;0), AND($W360&lt;&gt;"", LOWER(TRIM($W360))&lt;&gt;"n/a", LOWER(TRIM($W360))&lt;&gt;"na", SUMPRODUCT(--(UPPER(TRIM($W$2:$W$518))=UPPER(TRIM($W360))), --(UPPER(TRIM($B$2:$B$518))="YES"), --(UPPER(TRIM($G$2:$G$518)&amp;TRIM($I$2:$I$518)&amp;TRIM($J$2:$J$518))&lt;&gt;UPPER(TRIM($G360)&amp;TRIM($I360)&amp;TRIM($J360))))&gt;0), AND($X360&lt;&gt;"", LOWER(TRIM($X360))&lt;&gt;"n/a", LOWER(TRIM($X360))&lt;&gt;"na", SUMPRODUCT(--(UPPER(TRIM($X$2:$X$518))=UPPER(TRIM($X360))), --(UPPER(TRIM($B$2:$B$518))="YES"), --(UPPER(TRIM($G$2:$G$518)&amp;TRIM($I$2:$I$518)&amp;TRIM($J$2:$J$518))&lt;&gt;UPPER(TRIM($G360)&amp;TRIM($I360)&amp;TRIM($J360))))&gt;0), AND($Y360&lt;&gt;"", LOWER(TRIM($Y360))&lt;&gt;"n/a", LOWER(TRIM($Y360))&lt;&gt;"na", SUMPRODUCT(--(UPPER(SUBSTITUTE(SUBSTITUTE(TRIM($Y$2:$Y$518),":",""),"-",""))=UPPER(SUBSTITUTE(SUBSTITUTE(TRIM($Y360),":",""),"-",""))), --(UPPER(TRIM($B$2:$B$518))="YES"), --(UPPER(TRIM($G$2:$G$518)&amp;TRIM($I$2:$I$518)&amp;TRIM($J$2:$J$518))&lt;&gt;UPPER(TRIM($G360)&amp;TRIM($I360)&amp;TRIM($J360))))&gt;0), AND($AB360&lt;&gt;"", LOWER(TRIM($AB360))&lt;&gt;"n/a", LOWER(TRIM($AB360))&lt;&gt;"na", SUMPRODUCT(--(UPPER(TRIM($AB$2:$AB$518))=UPPER(TRIM($AB360))), --(UPPER(TRIM($B$2:$B$518))="YES"), --(UPPER(TRIM($G$2:$G$518)&amp;TRIM($I$2:$I$518)&amp;TRIM($J$2:$J$518))&lt;&gt;UPPER(TRIM($G360)&amp;TRIM($I360)&amp;TRIM($J360))))&gt;0), AND($AH360&lt;&gt;"", LOWER(TRIM($AH360))&lt;&gt;"n/a", LOWER(TRIM($AH360))&lt;&gt;"na", SUMPRODUCT(--(UPPER(SUBSTITUTE(SUBSTITUTE(TRIM($AH$2:$AH$518),":",""),"-",""))=UPPER(SUBSTITUTE(SUBSTITUTE(TRIM($AH360),":",""),"-",""))), --(UPPER(TRIM($B$2:$B$518))="YES"), --(UPPER(TRIM($G$2:$G$518)&amp;TRIM($I$2:$I$518)&amp;TRIM($J$2:$J$518))&lt;&gt;UPPER(TRIM($G360)&amp;TRIM($I360)&amp;TRIM($J360))))&gt;0), AND($AP360&lt;&gt;"", LOWER(TRIM($AP360))&lt;&gt;"n/a", LOWER(TRIM($AP360))&lt;&gt;"na", SUMPRODUCT(--(UPPER(TRIM($AP$2:$AP$518))=UPPER(TRIM($AP360))), --(UPPER(TRIM($B$2:$B$518))="YES"), --(UPPER(TRIM($G$2:$G$518)&amp;TRIM($I$2:$I$518)&amp;TRIM($J$2:$J$518))&lt;&gt;UPPER(TRIM($G360)&amp;TRIM($I360)&amp;TRIM($J360))))&gt;0), AND($AQ360&lt;&gt;"", LOWER(TRIM($AQ360))&lt;&gt;"n/a", LOWER(TRIM($AQ360))&lt;&gt;"na", SUMPRODUCT(--(UPPER(TRIM($AQ$2:$AQ$518))=UPPER(TRIM($AQ360))), --(UPPER(TRIM($B$2:$B$518))="YES"), --(UPPER(TRIM($G$2:$G$518)&amp;TRIM($I$2:$I$518)&amp;TRIM($J$2:$J$518))&lt;&gt;UPPER(TRIM($G360)&amp;TRIM($I360)&amp;TRIM($J360))))&gt;0)), "Yes", "No"))</f>
        <v/>
      </c>
      <c r="G360" t="inlineStr">
        <is>
          <t>1 Marcus</t>
        </is>
      </c>
      <c r="H360" t="inlineStr">
        <is>
          <t>LIJ - VAR</t>
        </is>
      </c>
      <c r="V360" s="15" t="inlineStr">
        <is>
          <t>WNH270OPR472</t>
        </is>
      </c>
      <c r="W360" t="inlineStr">
        <is>
          <t>MEDNM24J25-1238</t>
        </is>
      </c>
      <c r="CD360">
        <f>IF($Y360="","",IF((IF(AND($BR360&lt;&gt;"Yes",$BR360&lt;&gt;"N/A"),"Power Cable, ","")&amp;IF(AND($BS360&lt;&gt;"Yes",$BS360&lt;&gt;"N/A"),"Battery, ","")&amp;IF(AND($AD360&lt;&gt;"Yes",$AD360&lt;&gt;"N/A"),"Firmware Download, ","")&amp;IF(AND(OR($AD360="Yes",$AD360="N/A"),$AE360&lt;&gt;"Yes",$AE360&lt;&gt;"N/A"),"Firmware Install, ","")&amp;IF(AND($CB360&lt;&gt;"Yes",$CB360&lt;&gt;"N/A"),"Device ID, ","")&amp;IF(AND($CC360&lt;&gt;"Yes",$CC360&lt;&gt;"N/A"),"Epic Beans Relay, ",""))="","",LEFT(IF(AND($BR360&lt;&gt;"Yes",$BR360&lt;&gt;"N/A"),"Power Cable, ","")&amp;IF(AND($BS360&lt;&gt;"Yes",$BS360&lt;&gt;"N/A"),"Battery, ","")&amp;IF(AND($AD360&lt;&gt;"Yes",$AD360&lt;&gt;"N/A"),"Firmware Download, ","")&amp;IF(AND(OR($AD360="Yes",$AD360="N/A"),$AE360&lt;&gt;"Yes",$AE360&lt;&gt;"N/A"),"Firmware Install, ","")&amp;IF(AND($CB360&lt;&gt;"Yes",$CB360&lt;&gt;"N/A"),"Device ID, ","")&amp;IF(AND($CC360&lt;&gt;"Yes",$CC360&lt;&gt;"N/A"),"Epic Beans Relay, ",""),LEN(IF(AND($BR360&lt;&gt;"Yes",$BR360&lt;&gt;"N/A"),"Power Cable, ","")&amp;IF(AND($BS360&lt;&gt;"Yes",$BS360&lt;&gt;"N/A"),"Battery, ","")&amp;IF(AND($AD360&lt;&gt;"Yes",$AD360&lt;&gt;"N/A"),"Firmware Download, ","")&amp;IF(AND(OR($AD360="Yes",$AD360="N/A"),$AE360&lt;&gt;"Yes",$AE360&lt;&gt;"N/A"),"Firmware Install, ","")&amp;IF(AND($CB360&lt;&gt;"Yes",$CB360&lt;&gt;"N/A"),"Device ID, ","")&amp;IF(AND($CC360&lt;&gt;"Yes",$CC360&lt;&gt;"N/A"),"Epic Beans Relay, ",""))-2)))</f>
        <v/>
      </c>
      <c r="CE360">
        <f>IF($Y360="","",IF($CD360="","Yes","Blocked"))</f>
        <v/>
      </c>
      <c r="CP360">
        <f>IF($CO360="","",IFERROR(VLOOKUP($CO360,'01_Warehouse_Ledger'!$A:$N,4,FALSE),""))</f>
        <v/>
      </c>
      <c r="CQ360">
        <f>IF($CO360="","",IFERROR(VLOOKUP($CO360,'01_Warehouse_Ledger'!$A:$N,5,FALSE),""))</f>
        <v/>
      </c>
      <c r="CR360">
        <f>IF($CO360="","",IFERROR(VLOOKUP($CO360,'01_Warehouse_Ledger'!$A:$N,13,FALSE),""))</f>
        <v/>
      </c>
      <c r="CW360">
        <f>IF($S360="","",IF(UPPER(TRIM($S360))&lt;&gt;"PASS","",IF(LEN(TRIM($BY360))&gt;0,"NOTES_PRESENT",IF(LEN(TRIM($T360))=0,"SET_NA",IF(OR(LOWER(TRIM($T360))="na",LOWER(TRIM($T360))="n/a"),"OK","MANUAL_OVERRIDE")))))</f>
        <v/>
      </c>
    </row>
    <row r="361">
      <c r="A361" t="inlineStr">
        <is>
          <t>Cybernet</t>
        </is>
      </c>
      <c r="B361" t="inlineStr">
        <is>
          <t>No</t>
        </is>
      </c>
      <c r="C361" t="inlineStr">
        <is>
          <t>No</t>
        </is>
      </c>
      <c r="D361">
        <f>IF($B361&lt;&gt;"Yes","",IF($C361="No","Yes",IF($C361="Yes","No","")))</f>
        <v/>
      </c>
      <c r="E361">
        <f>IF($A361="","",IF(OR(AND($V361&lt;&gt;"",LOWER(TRIM($V361))&lt;&gt;"n/a",LOWER(TRIM($V361))&lt;&gt;"na",SUMPRODUCT(--(UPPER(TRIM($V$2:$V$518))=UPPER(TRIM($V361))),--(TRIM($V$2:$V$518)&lt;&gt;""),--(LOWER(TRIM($V$2:$V$518))&lt;&gt;"n/a"),--(LOWER(TRIM($V$2:$V$518))&lt;&gt;"na"))&gt;1),AND($W361&lt;&gt;"",LOWER(TRIM($W361))&lt;&gt;"n/a",LOWER(TRIM($W361))&lt;&gt;"na",SUMPRODUCT(--(UPPER(TRIM($W$2:$W$518))=UPPER(TRIM($W361))),--(TRIM($W$2:$W$518)&lt;&gt;""),--(LOWER(TRIM($W$2:$W$518))&lt;&gt;"n/a"),--(LOWER(TRIM($W$2:$W$518))&lt;&gt;"na"))&gt;1),AND($X361&lt;&gt;"",LOWER(TRIM($X361))&lt;&gt;"n/a",LOWER(TRIM($X361))&lt;&gt;"na",SUMPRODUCT(--(UPPER(TRIM($X$2:$X$518))=UPPER(TRIM($X361))),--(TRIM($X$2:$X$518)&lt;&gt;""),--(LOWER(TRIM($X$2:$X$518))&lt;&gt;"n/a"),--(LOWER(TRIM($X$2:$X$518))&lt;&gt;"na"))&gt;1),AND($Y361&lt;&gt;"",LOWER(TRIM($Y361))&lt;&gt;"n/a",LOWER(TRIM($Y361))&lt;&gt;"na",SUMPRODUCT(--(UPPER(SUBSTITUTE(SUBSTITUTE(TRIM($Y$2:$Y$518),":",""),"-",""))=UPPER(SUBSTITUTE(SUBSTITUTE(TRIM($Y361),":",""),"-",""))),--(TRIM($Y$2:$Y$518)&lt;&gt;""),--(LOWER(TRIM($Y$2:$Y$518))&lt;&gt;"n/a"),--(LOWER(TRIM($Y$2:$Y$518))&lt;&gt;"na"))&gt;1),AND($AB361&lt;&gt;"",LOWER(TRIM($AB361))&lt;&gt;"n/a",LOWER(TRIM($AB361))&lt;&gt;"na",SUMPRODUCT(--(UPPER(TRIM($AB$2:$AB$518))=UPPER(TRIM($AB361))),--(TRIM($AB$2:$AB$518)&lt;&gt;""),--(LOWER(TRIM($AB$2:$AB$518))&lt;&gt;"n/a"),--(LOWER(TRIM($AB$2:$AB$518))&lt;&gt;"na"))&gt;1),AND($AH361&lt;&gt;"",LOWER(TRIM($AH361))&lt;&gt;"n/a",LOWER(TRIM($AH361))&lt;&gt;"na",SUMPRODUCT(--(UPPER(SUBSTITUTE(SUBSTITUTE(TRIM($AH$2:$AH$518),":",""),"-",""))=UPPER(SUBSTITUTE(SUBSTITUTE(TRIM($AH361),":",""),"-",""))),--(TRIM($AH$2:$AH$518)&lt;&gt;""),--(LOWER(TRIM($AH$2:$AH$518))&lt;&gt;"n/a"),--(LOWER(TRIM($AH$2:$AH$518))&lt;&gt;"na"))&gt;1),AND($AP361&lt;&gt;"",LOWER(TRIM($AP361))&lt;&gt;"n/a",LOWER(TRIM($AP361))&lt;&gt;"na",SUMPRODUCT(--(UPPER(TRIM($AP$2:$AP$518))=UPPER(TRIM($AP361))),--(TRIM($AP$2:$AP$518)&lt;&gt;""),--(LOWER(TRIM($AP$2:$AP$518))&lt;&gt;"n/a"),--(LOWER(TRIM($AP$2:$AP$518))&lt;&gt;"na"))&gt;1),AND($AQ361&lt;&gt;"",LOWER(TRIM($AQ361))&lt;&gt;"n/a",LOWER(TRIM($AQ361))&lt;&gt;"na",SUMPRODUCT(--(UPPER(TRIM($AQ$2:$AQ$518))=UPPER(TRIM($AQ361))),--(TRIM($AQ$2:$AQ$518)&lt;&gt;""),--(LOWER(TRIM($AQ$2:$AQ$518))&lt;&gt;"n/a"),--(LOWER(TRIM($AQ$2:$AQ$518))&lt;&gt;"na"))&gt;1)),"Yes","No"))</f>
        <v/>
      </c>
      <c r="F361">
        <f>IF(UPPER(TRIM($B361))&lt;&gt;"YES","", IF(OR(AND($V361&lt;&gt;"", LOWER(TRIM($V361))&lt;&gt;"n/a", LOWER(TRIM($V361))&lt;&gt;"na", SUMPRODUCT(--(UPPER(TRIM($V$2:$V$518))=UPPER(TRIM($V361))), --(UPPER(TRIM($B$2:$B$518))="YES"), --(UPPER(TRIM($G$2:$G$518)&amp;TRIM($I$2:$I$518)&amp;TRIM($J$2:$J$518))&lt;&gt;UPPER(TRIM($G361)&amp;TRIM($I361)&amp;TRIM($J361))))&gt;0), AND($W361&lt;&gt;"", LOWER(TRIM($W361))&lt;&gt;"n/a", LOWER(TRIM($W361))&lt;&gt;"na", SUMPRODUCT(--(UPPER(TRIM($W$2:$W$518))=UPPER(TRIM($W361))), --(UPPER(TRIM($B$2:$B$518))="YES"), --(UPPER(TRIM($G$2:$G$518)&amp;TRIM($I$2:$I$518)&amp;TRIM($J$2:$J$518))&lt;&gt;UPPER(TRIM($G361)&amp;TRIM($I361)&amp;TRIM($J361))))&gt;0), AND($X361&lt;&gt;"", LOWER(TRIM($X361))&lt;&gt;"n/a", LOWER(TRIM($X361))&lt;&gt;"na", SUMPRODUCT(--(UPPER(TRIM($X$2:$X$518))=UPPER(TRIM($X361))), --(UPPER(TRIM($B$2:$B$518))="YES"), --(UPPER(TRIM($G$2:$G$518)&amp;TRIM($I$2:$I$518)&amp;TRIM($J$2:$J$518))&lt;&gt;UPPER(TRIM($G361)&amp;TRIM($I361)&amp;TRIM($J361))))&gt;0), AND($Y361&lt;&gt;"", LOWER(TRIM($Y361))&lt;&gt;"n/a", LOWER(TRIM($Y361))&lt;&gt;"na", SUMPRODUCT(--(UPPER(SUBSTITUTE(SUBSTITUTE(TRIM($Y$2:$Y$518),":",""),"-",""))=UPPER(SUBSTITUTE(SUBSTITUTE(TRIM($Y361),":",""),"-",""))), --(UPPER(TRIM($B$2:$B$518))="YES"), --(UPPER(TRIM($G$2:$G$518)&amp;TRIM($I$2:$I$518)&amp;TRIM($J$2:$J$518))&lt;&gt;UPPER(TRIM($G361)&amp;TRIM($I361)&amp;TRIM($J361))))&gt;0), AND($AB361&lt;&gt;"", LOWER(TRIM($AB361))&lt;&gt;"n/a", LOWER(TRIM($AB361))&lt;&gt;"na", SUMPRODUCT(--(UPPER(TRIM($AB$2:$AB$518))=UPPER(TRIM($AB361))), --(UPPER(TRIM($B$2:$B$518))="YES"), --(UPPER(TRIM($G$2:$G$518)&amp;TRIM($I$2:$I$518)&amp;TRIM($J$2:$J$518))&lt;&gt;UPPER(TRIM($G361)&amp;TRIM($I361)&amp;TRIM($J361))))&gt;0), AND($AH361&lt;&gt;"", LOWER(TRIM($AH361))&lt;&gt;"n/a", LOWER(TRIM($AH361))&lt;&gt;"na", SUMPRODUCT(--(UPPER(SUBSTITUTE(SUBSTITUTE(TRIM($AH$2:$AH$518),":",""),"-",""))=UPPER(SUBSTITUTE(SUBSTITUTE(TRIM($AH361),":",""),"-",""))), --(UPPER(TRIM($B$2:$B$518))="YES"), --(UPPER(TRIM($G$2:$G$518)&amp;TRIM($I$2:$I$518)&amp;TRIM($J$2:$J$518))&lt;&gt;UPPER(TRIM($G361)&amp;TRIM($I361)&amp;TRIM($J361))))&gt;0), AND($AP361&lt;&gt;"", LOWER(TRIM($AP361))&lt;&gt;"n/a", LOWER(TRIM($AP361))&lt;&gt;"na", SUMPRODUCT(--(UPPER(TRIM($AP$2:$AP$518))=UPPER(TRIM($AP361))), --(UPPER(TRIM($B$2:$B$518))="YES"), --(UPPER(TRIM($G$2:$G$518)&amp;TRIM($I$2:$I$518)&amp;TRIM($J$2:$J$518))&lt;&gt;UPPER(TRIM($G361)&amp;TRIM($I361)&amp;TRIM($J361))))&gt;0), AND($AQ361&lt;&gt;"", LOWER(TRIM($AQ361))&lt;&gt;"n/a", LOWER(TRIM($AQ361))&lt;&gt;"na", SUMPRODUCT(--(UPPER(TRIM($AQ$2:$AQ$518))=UPPER(TRIM($AQ361))), --(UPPER(TRIM($B$2:$B$518))="YES"), --(UPPER(TRIM($G$2:$G$518)&amp;TRIM($I$2:$I$518)&amp;TRIM($J$2:$J$518))&lt;&gt;UPPER(TRIM($G361)&amp;TRIM($I361)&amp;TRIM($J361))))&gt;0)), "Yes", "No"))</f>
        <v/>
      </c>
      <c r="G361" t="inlineStr">
        <is>
          <t>1 Marcus</t>
        </is>
      </c>
      <c r="H361" t="inlineStr">
        <is>
          <t>LIJ - VAR</t>
        </is>
      </c>
      <c r="V361" t="inlineStr">
        <is>
          <t>WNH270OPR473</t>
        </is>
      </c>
      <c r="W361" t="inlineStr">
        <is>
          <t>MEDNM24J25-0886</t>
        </is>
      </c>
      <c r="CD361">
        <f>IF($Y361="","",IF((IF(AND($BR361&lt;&gt;"Yes",$BR361&lt;&gt;"N/A"),"Power Cable, ","")&amp;IF(AND($BS361&lt;&gt;"Yes",$BS361&lt;&gt;"N/A"),"Battery, ","")&amp;IF(AND($AD361&lt;&gt;"Yes",$AD361&lt;&gt;"N/A"),"Firmware Download, ","")&amp;IF(AND(OR($AD361="Yes",$AD361="N/A"),$AE361&lt;&gt;"Yes",$AE361&lt;&gt;"N/A"),"Firmware Install, ","")&amp;IF(AND($CB361&lt;&gt;"Yes",$CB361&lt;&gt;"N/A"),"Device ID, ","")&amp;IF(AND($CC361&lt;&gt;"Yes",$CC361&lt;&gt;"N/A"),"Epic Beans Relay, ",""))="","",LEFT(IF(AND($BR361&lt;&gt;"Yes",$BR361&lt;&gt;"N/A"),"Power Cable, ","")&amp;IF(AND($BS361&lt;&gt;"Yes",$BS361&lt;&gt;"N/A"),"Battery, ","")&amp;IF(AND($AD361&lt;&gt;"Yes",$AD361&lt;&gt;"N/A"),"Firmware Download, ","")&amp;IF(AND(OR($AD361="Yes",$AD361="N/A"),$AE361&lt;&gt;"Yes",$AE361&lt;&gt;"N/A"),"Firmware Install, ","")&amp;IF(AND($CB361&lt;&gt;"Yes",$CB361&lt;&gt;"N/A"),"Device ID, ","")&amp;IF(AND($CC361&lt;&gt;"Yes",$CC361&lt;&gt;"N/A"),"Epic Beans Relay, ",""),LEN(IF(AND($BR361&lt;&gt;"Yes",$BR361&lt;&gt;"N/A"),"Power Cable, ","")&amp;IF(AND($BS361&lt;&gt;"Yes",$BS361&lt;&gt;"N/A"),"Battery, ","")&amp;IF(AND($AD361&lt;&gt;"Yes",$AD361&lt;&gt;"N/A"),"Firmware Download, ","")&amp;IF(AND(OR($AD361="Yes",$AD361="N/A"),$AE361&lt;&gt;"Yes",$AE361&lt;&gt;"N/A"),"Firmware Install, ","")&amp;IF(AND($CB361&lt;&gt;"Yes",$CB361&lt;&gt;"N/A"),"Device ID, ","")&amp;IF(AND($CC361&lt;&gt;"Yes",$CC361&lt;&gt;"N/A"),"Epic Beans Relay, ",""))-2)))</f>
        <v/>
      </c>
      <c r="CE361">
        <f>IF($Y361="","",IF($CD361="","Yes","Blocked"))</f>
        <v/>
      </c>
      <c r="CP361">
        <f>IF($CO361="","",IFERROR(VLOOKUP($CO361,'01_Warehouse_Ledger'!$A:$N,4,FALSE),""))</f>
        <v/>
      </c>
      <c r="CQ361">
        <f>IF($CO361="","",IFERROR(VLOOKUP($CO361,'01_Warehouse_Ledger'!$A:$N,5,FALSE),""))</f>
        <v/>
      </c>
      <c r="CR361">
        <f>IF($CO361="","",IFERROR(VLOOKUP($CO361,'01_Warehouse_Ledger'!$A:$N,13,FALSE),""))</f>
        <v/>
      </c>
      <c r="CW361">
        <f>IF($S361="","",IF(UPPER(TRIM($S361))&lt;&gt;"PASS","",IF(LEN(TRIM($BY361))&gt;0,"NOTES_PRESENT",IF(LEN(TRIM($T361))=0,"SET_NA",IF(OR(LOWER(TRIM($T361))="na",LOWER(TRIM($T361))="n/a"),"OK","MANUAL_OVERRIDE")))))</f>
        <v/>
      </c>
    </row>
    <row r="362">
      <c r="A362" t="inlineStr">
        <is>
          <t>Cybernet</t>
        </is>
      </c>
      <c r="B362" t="inlineStr">
        <is>
          <t>No</t>
        </is>
      </c>
      <c r="C362" t="inlineStr">
        <is>
          <t>No</t>
        </is>
      </c>
      <c r="D362">
        <f>IF($B362&lt;&gt;"Yes","",IF($C362="No","Yes",IF($C362="Yes","No","")))</f>
        <v/>
      </c>
      <c r="E362">
        <f>IF($A362="","",IF(OR(AND($V362&lt;&gt;"",LOWER(TRIM($V362))&lt;&gt;"n/a",LOWER(TRIM($V362))&lt;&gt;"na",SUMPRODUCT(--(UPPER(TRIM($V$2:$V$518))=UPPER(TRIM($V362))),--(TRIM($V$2:$V$518)&lt;&gt;""),--(LOWER(TRIM($V$2:$V$518))&lt;&gt;"n/a"),--(LOWER(TRIM($V$2:$V$518))&lt;&gt;"na"))&gt;1),AND($W362&lt;&gt;"",LOWER(TRIM($W362))&lt;&gt;"n/a",LOWER(TRIM($W362))&lt;&gt;"na",SUMPRODUCT(--(UPPER(TRIM($W$2:$W$518))=UPPER(TRIM($W362))),--(TRIM($W$2:$W$518)&lt;&gt;""),--(LOWER(TRIM($W$2:$W$518))&lt;&gt;"n/a"),--(LOWER(TRIM($W$2:$W$518))&lt;&gt;"na"))&gt;1),AND($X362&lt;&gt;"",LOWER(TRIM($X362))&lt;&gt;"n/a",LOWER(TRIM($X362))&lt;&gt;"na",SUMPRODUCT(--(UPPER(TRIM($X$2:$X$518))=UPPER(TRIM($X362))),--(TRIM($X$2:$X$518)&lt;&gt;""),--(LOWER(TRIM($X$2:$X$518))&lt;&gt;"n/a"),--(LOWER(TRIM($X$2:$X$518))&lt;&gt;"na"))&gt;1),AND($Y362&lt;&gt;"",LOWER(TRIM($Y362))&lt;&gt;"n/a",LOWER(TRIM($Y362))&lt;&gt;"na",SUMPRODUCT(--(UPPER(SUBSTITUTE(SUBSTITUTE(TRIM($Y$2:$Y$518),":",""),"-",""))=UPPER(SUBSTITUTE(SUBSTITUTE(TRIM($Y362),":",""),"-",""))),--(TRIM($Y$2:$Y$518)&lt;&gt;""),--(LOWER(TRIM($Y$2:$Y$518))&lt;&gt;"n/a"),--(LOWER(TRIM($Y$2:$Y$518))&lt;&gt;"na"))&gt;1),AND($AB362&lt;&gt;"",LOWER(TRIM($AB362))&lt;&gt;"n/a",LOWER(TRIM($AB362))&lt;&gt;"na",SUMPRODUCT(--(UPPER(TRIM($AB$2:$AB$518))=UPPER(TRIM($AB362))),--(TRIM($AB$2:$AB$518)&lt;&gt;""),--(LOWER(TRIM($AB$2:$AB$518))&lt;&gt;"n/a"),--(LOWER(TRIM($AB$2:$AB$518))&lt;&gt;"na"))&gt;1),AND($AH362&lt;&gt;"",LOWER(TRIM($AH362))&lt;&gt;"n/a",LOWER(TRIM($AH362))&lt;&gt;"na",SUMPRODUCT(--(UPPER(SUBSTITUTE(SUBSTITUTE(TRIM($AH$2:$AH$518),":",""),"-",""))=UPPER(SUBSTITUTE(SUBSTITUTE(TRIM($AH362),":",""),"-",""))),--(TRIM($AH$2:$AH$518)&lt;&gt;""),--(LOWER(TRIM($AH$2:$AH$518))&lt;&gt;"n/a"),--(LOWER(TRIM($AH$2:$AH$518))&lt;&gt;"na"))&gt;1),AND($AP362&lt;&gt;"",LOWER(TRIM($AP362))&lt;&gt;"n/a",LOWER(TRIM($AP362))&lt;&gt;"na",SUMPRODUCT(--(UPPER(TRIM($AP$2:$AP$518))=UPPER(TRIM($AP362))),--(TRIM($AP$2:$AP$518)&lt;&gt;""),--(LOWER(TRIM($AP$2:$AP$518))&lt;&gt;"n/a"),--(LOWER(TRIM($AP$2:$AP$518))&lt;&gt;"na"))&gt;1),AND($AQ362&lt;&gt;"",LOWER(TRIM($AQ362))&lt;&gt;"n/a",LOWER(TRIM($AQ362))&lt;&gt;"na",SUMPRODUCT(--(UPPER(TRIM($AQ$2:$AQ$518))=UPPER(TRIM($AQ362))),--(TRIM($AQ$2:$AQ$518)&lt;&gt;""),--(LOWER(TRIM($AQ$2:$AQ$518))&lt;&gt;"n/a"),--(LOWER(TRIM($AQ$2:$AQ$518))&lt;&gt;"na"))&gt;1)),"Yes","No"))</f>
        <v/>
      </c>
      <c r="F362">
        <f>IF(UPPER(TRIM($B362))&lt;&gt;"YES","", IF(OR(AND($V362&lt;&gt;"", LOWER(TRIM($V362))&lt;&gt;"n/a", LOWER(TRIM($V362))&lt;&gt;"na", SUMPRODUCT(--(UPPER(TRIM($V$2:$V$518))=UPPER(TRIM($V362))), --(UPPER(TRIM($B$2:$B$518))="YES"), --(UPPER(TRIM($G$2:$G$518)&amp;TRIM($I$2:$I$518)&amp;TRIM($J$2:$J$518))&lt;&gt;UPPER(TRIM($G362)&amp;TRIM($I362)&amp;TRIM($J362))))&gt;0), AND($W362&lt;&gt;"", LOWER(TRIM($W362))&lt;&gt;"n/a", LOWER(TRIM($W362))&lt;&gt;"na", SUMPRODUCT(--(UPPER(TRIM($W$2:$W$518))=UPPER(TRIM($W362))), --(UPPER(TRIM($B$2:$B$518))="YES"), --(UPPER(TRIM($G$2:$G$518)&amp;TRIM($I$2:$I$518)&amp;TRIM($J$2:$J$518))&lt;&gt;UPPER(TRIM($G362)&amp;TRIM($I362)&amp;TRIM($J362))))&gt;0), AND($X362&lt;&gt;"", LOWER(TRIM($X362))&lt;&gt;"n/a", LOWER(TRIM($X362))&lt;&gt;"na", SUMPRODUCT(--(UPPER(TRIM($X$2:$X$518))=UPPER(TRIM($X362))), --(UPPER(TRIM($B$2:$B$518))="YES"), --(UPPER(TRIM($G$2:$G$518)&amp;TRIM($I$2:$I$518)&amp;TRIM($J$2:$J$518))&lt;&gt;UPPER(TRIM($G362)&amp;TRIM($I362)&amp;TRIM($J362))))&gt;0), AND($Y362&lt;&gt;"", LOWER(TRIM($Y362))&lt;&gt;"n/a", LOWER(TRIM($Y362))&lt;&gt;"na", SUMPRODUCT(--(UPPER(SUBSTITUTE(SUBSTITUTE(TRIM($Y$2:$Y$518),":",""),"-",""))=UPPER(SUBSTITUTE(SUBSTITUTE(TRIM($Y362),":",""),"-",""))), --(UPPER(TRIM($B$2:$B$518))="YES"), --(UPPER(TRIM($G$2:$G$518)&amp;TRIM($I$2:$I$518)&amp;TRIM($J$2:$J$518))&lt;&gt;UPPER(TRIM($G362)&amp;TRIM($I362)&amp;TRIM($J362))))&gt;0), AND($AB362&lt;&gt;"", LOWER(TRIM($AB362))&lt;&gt;"n/a", LOWER(TRIM($AB362))&lt;&gt;"na", SUMPRODUCT(--(UPPER(TRIM($AB$2:$AB$518))=UPPER(TRIM($AB362))), --(UPPER(TRIM($B$2:$B$518))="YES"), --(UPPER(TRIM($G$2:$G$518)&amp;TRIM($I$2:$I$518)&amp;TRIM($J$2:$J$518))&lt;&gt;UPPER(TRIM($G362)&amp;TRIM($I362)&amp;TRIM($J362))))&gt;0), AND($AH362&lt;&gt;"", LOWER(TRIM($AH362))&lt;&gt;"n/a", LOWER(TRIM($AH362))&lt;&gt;"na", SUMPRODUCT(--(UPPER(SUBSTITUTE(SUBSTITUTE(TRIM($AH$2:$AH$518),":",""),"-",""))=UPPER(SUBSTITUTE(SUBSTITUTE(TRIM($AH362),":",""),"-",""))), --(UPPER(TRIM($B$2:$B$518))="YES"), --(UPPER(TRIM($G$2:$G$518)&amp;TRIM($I$2:$I$518)&amp;TRIM($J$2:$J$518))&lt;&gt;UPPER(TRIM($G362)&amp;TRIM($I362)&amp;TRIM($J362))))&gt;0), AND($AP362&lt;&gt;"", LOWER(TRIM($AP362))&lt;&gt;"n/a", LOWER(TRIM($AP362))&lt;&gt;"na", SUMPRODUCT(--(UPPER(TRIM($AP$2:$AP$518))=UPPER(TRIM($AP362))), --(UPPER(TRIM($B$2:$B$518))="YES"), --(UPPER(TRIM($G$2:$G$518)&amp;TRIM($I$2:$I$518)&amp;TRIM($J$2:$J$518))&lt;&gt;UPPER(TRIM($G362)&amp;TRIM($I362)&amp;TRIM($J362))))&gt;0), AND($AQ362&lt;&gt;"", LOWER(TRIM($AQ362))&lt;&gt;"n/a", LOWER(TRIM($AQ362))&lt;&gt;"na", SUMPRODUCT(--(UPPER(TRIM($AQ$2:$AQ$518))=UPPER(TRIM($AQ362))), --(UPPER(TRIM($B$2:$B$518))="YES"), --(UPPER(TRIM($G$2:$G$518)&amp;TRIM($I$2:$I$518)&amp;TRIM($J$2:$J$518))&lt;&gt;UPPER(TRIM($G362)&amp;TRIM($I362)&amp;TRIM($J362))))&gt;0)), "Yes", "No"))</f>
        <v/>
      </c>
      <c r="G362" t="inlineStr">
        <is>
          <t>1 Marcus</t>
        </is>
      </c>
      <c r="H362" t="inlineStr">
        <is>
          <t>LIJ - VAR</t>
        </is>
      </c>
      <c r="V362" s="15" t="inlineStr">
        <is>
          <t>WNH270OPR474</t>
        </is>
      </c>
      <c r="W362" t="inlineStr">
        <is>
          <t>MEDNM24J25-1180</t>
        </is>
      </c>
      <c r="CD362">
        <f>IF($Y362="","",IF((IF(AND($BR362&lt;&gt;"Yes",$BR362&lt;&gt;"N/A"),"Power Cable, ","")&amp;IF(AND($BS362&lt;&gt;"Yes",$BS362&lt;&gt;"N/A"),"Battery, ","")&amp;IF(AND($AD362&lt;&gt;"Yes",$AD362&lt;&gt;"N/A"),"Firmware Download, ","")&amp;IF(AND(OR($AD362="Yes",$AD362="N/A"),$AE362&lt;&gt;"Yes",$AE362&lt;&gt;"N/A"),"Firmware Install, ","")&amp;IF(AND($CB362&lt;&gt;"Yes",$CB362&lt;&gt;"N/A"),"Device ID, ","")&amp;IF(AND($CC362&lt;&gt;"Yes",$CC362&lt;&gt;"N/A"),"Epic Beans Relay, ",""))="","",LEFT(IF(AND($BR362&lt;&gt;"Yes",$BR362&lt;&gt;"N/A"),"Power Cable, ","")&amp;IF(AND($BS362&lt;&gt;"Yes",$BS362&lt;&gt;"N/A"),"Battery, ","")&amp;IF(AND($AD362&lt;&gt;"Yes",$AD362&lt;&gt;"N/A"),"Firmware Download, ","")&amp;IF(AND(OR($AD362="Yes",$AD362="N/A"),$AE362&lt;&gt;"Yes",$AE362&lt;&gt;"N/A"),"Firmware Install, ","")&amp;IF(AND($CB362&lt;&gt;"Yes",$CB362&lt;&gt;"N/A"),"Device ID, ","")&amp;IF(AND($CC362&lt;&gt;"Yes",$CC362&lt;&gt;"N/A"),"Epic Beans Relay, ",""),LEN(IF(AND($BR362&lt;&gt;"Yes",$BR362&lt;&gt;"N/A"),"Power Cable, ","")&amp;IF(AND($BS362&lt;&gt;"Yes",$BS362&lt;&gt;"N/A"),"Battery, ","")&amp;IF(AND($AD362&lt;&gt;"Yes",$AD362&lt;&gt;"N/A"),"Firmware Download, ","")&amp;IF(AND(OR($AD362="Yes",$AD362="N/A"),$AE362&lt;&gt;"Yes",$AE362&lt;&gt;"N/A"),"Firmware Install, ","")&amp;IF(AND($CB362&lt;&gt;"Yes",$CB362&lt;&gt;"N/A"),"Device ID, ","")&amp;IF(AND($CC362&lt;&gt;"Yes",$CC362&lt;&gt;"N/A"),"Epic Beans Relay, ",""))-2)))</f>
        <v/>
      </c>
      <c r="CE362">
        <f>IF($Y362="","",IF($CD362="","Yes","Blocked"))</f>
        <v/>
      </c>
      <c r="CP362">
        <f>IF($CO362="","",IFERROR(VLOOKUP($CO362,'01_Warehouse_Ledger'!$A:$N,4,FALSE),""))</f>
        <v/>
      </c>
      <c r="CQ362">
        <f>IF($CO362="","",IFERROR(VLOOKUP($CO362,'01_Warehouse_Ledger'!$A:$N,5,FALSE),""))</f>
        <v/>
      </c>
      <c r="CR362">
        <f>IF($CO362="","",IFERROR(VLOOKUP($CO362,'01_Warehouse_Ledger'!$A:$N,13,FALSE),""))</f>
        <v/>
      </c>
      <c r="CW362">
        <f>IF($S362="","",IF(UPPER(TRIM($S362))&lt;&gt;"PASS","",IF(LEN(TRIM($BY362))&gt;0,"NOTES_PRESENT",IF(LEN(TRIM($T362))=0,"SET_NA",IF(OR(LOWER(TRIM($T362))="na",LOWER(TRIM($T362))="n/a"),"OK","MANUAL_OVERRIDE")))))</f>
        <v/>
      </c>
    </row>
    <row r="363">
      <c r="A363" t="inlineStr">
        <is>
          <t>Cybernet</t>
        </is>
      </c>
      <c r="B363" t="inlineStr">
        <is>
          <t>No</t>
        </is>
      </c>
      <c r="C363" t="inlineStr">
        <is>
          <t>No</t>
        </is>
      </c>
      <c r="D363">
        <f>IF($B363&lt;&gt;"Yes","",IF($C363="No","Yes",IF($C363="Yes","No","")))</f>
        <v/>
      </c>
      <c r="E363">
        <f>IF($A363="","",IF(OR(AND($V363&lt;&gt;"",LOWER(TRIM($V363))&lt;&gt;"n/a",LOWER(TRIM($V363))&lt;&gt;"na",SUMPRODUCT(--(UPPER(TRIM($V$2:$V$518))=UPPER(TRIM($V363))),--(TRIM($V$2:$V$518)&lt;&gt;""),--(LOWER(TRIM($V$2:$V$518))&lt;&gt;"n/a"),--(LOWER(TRIM($V$2:$V$518))&lt;&gt;"na"))&gt;1),AND($W363&lt;&gt;"",LOWER(TRIM($W363))&lt;&gt;"n/a",LOWER(TRIM($W363))&lt;&gt;"na",SUMPRODUCT(--(UPPER(TRIM($W$2:$W$518))=UPPER(TRIM($W363))),--(TRIM($W$2:$W$518)&lt;&gt;""),--(LOWER(TRIM($W$2:$W$518))&lt;&gt;"n/a"),--(LOWER(TRIM($W$2:$W$518))&lt;&gt;"na"))&gt;1),AND($X363&lt;&gt;"",LOWER(TRIM($X363))&lt;&gt;"n/a",LOWER(TRIM($X363))&lt;&gt;"na",SUMPRODUCT(--(UPPER(TRIM($X$2:$X$518))=UPPER(TRIM($X363))),--(TRIM($X$2:$X$518)&lt;&gt;""),--(LOWER(TRIM($X$2:$X$518))&lt;&gt;"n/a"),--(LOWER(TRIM($X$2:$X$518))&lt;&gt;"na"))&gt;1),AND($Y363&lt;&gt;"",LOWER(TRIM($Y363))&lt;&gt;"n/a",LOWER(TRIM($Y363))&lt;&gt;"na",SUMPRODUCT(--(UPPER(SUBSTITUTE(SUBSTITUTE(TRIM($Y$2:$Y$518),":",""),"-",""))=UPPER(SUBSTITUTE(SUBSTITUTE(TRIM($Y363),":",""),"-",""))),--(TRIM($Y$2:$Y$518)&lt;&gt;""),--(LOWER(TRIM($Y$2:$Y$518))&lt;&gt;"n/a"),--(LOWER(TRIM($Y$2:$Y$518))&lt;&gt;"na"))&gt;1),AND($AB363&lt;&gt;"",LOWER(TRIM($AB363))&lt;&gt;"n/a",LOWER(TRIM($AB363))&lt;&gt;"na",SUMPRODUCT(--(UPPER(TRIM($AB$2:$AB$518))=UPPER(TRIM($AB363))),--(TRIM($AB$2:$AB$518)&lt;&gt;""),--(LOWER(TRIM($AB$2:$AB$518))&lt;&gt;"n/a"),--(LOWER(TRIM($AB$2:$AB$518))&lt;&gt;"na"))&gt;1),AND($AH363&lt;&gt;"",LOWER(TRIM($AH363))&lt;&gt;"n/a",LOWER(TRIM($AH363))&lt;&gt;"na",SUMPRODUCT(--(UPPER(SUBSTITUTE(SUBSTITUTE(TRIM($AH$2:$AH$518),":",""),"-",""))=UPPER(SUBSTITUTE(SUBSTITUTE(TRIM($AH363),":",""),"-",""))),--(TRIM($AH$2:$AH$518)&lt;&gt;""),--(LOWER(TRIM($AH$2:$AH$518))&lt;&gt;"n/a"),--(LOWER(TRIM($AH$2:$AH$518))&lt;&gt;"na"))&gt;1),AND($AP363&lt;&gt;"",LOWER(TRIM($AP363))&lt;&gt;"n/a",LOWER(TRIM($AP363))&lt;&gt;"na",SUMPRODUCT(--(UPPER(TRIM($AP$2:$AP$518))=UPPER(TRIM($AP363))),--(TRIM($AP$2:$AP$518)&lt;&gt;""),--(LOWER(TRIM($AP$2:$AP$518))&lt;&gt;"n/a"),--(LOWER(TRIM($AP$2:$AP$518))&lt;&gt;"na"))&gt;1),AND($AQ363&lt;&gt;"",LOWER(TRIM($AQ363))&lt;&gt;"n/a",LOWER(TRIM($AQ363))&lt;&gt;"na",SUMPRODUCT(--(UPPER(TRIM($AQ$2:$AQ$518))=UPPER(TRIM($AQ363))),--(TRIM($AQ$2:$AQ$518)&lt;&gt;""),--(LOWER(TRIM($AQ$2:$AQ$518))&lt;&gt;"n/a"),--(LOWER(TRIM($AQ$2:$AQ$518))&lt;&gt;"na"))&gt;1)),"Yes","No"))</f>
        <v/>
      </c>
      <c r="F363">
        <f>IF(UPPER(TRIM($B363))&lt;&gt;"YES","", IF(OR(AND($V363&lt;&gt;"", LOWER(TRIM($V363))&lt;&gt;"n/a", LOWER(TRIM($V363))&lt;&gt;"na", SUMPRODUCT(--(UPPER(TRIM($V$2:$V$518))=UPPER(TRIM($V363))), --(UPPER(TRIM($B$2:$B$518))="YES"), --(UPPER(TRIM($G$2:$G$518)&amp;TRIM($I$2:$I$518)&amp;TRIM($J$2:$J$518))&lt;&gt;UPPER(TRIM($G363)&amp;TRIM($I363)&amp;TRIM($J363))))&gt;0), AND($W363&lt;&gt;"", LOWER(TRIM($W363))&lt;&gt;"n/a", LOWER(TRIM($W363))&lt;&gt;"na", SUMPRODUCT(--(UPPER(TRIM($W$2:$W$518))=UPPER(TRIM($W363))), --(UPPER(TRIM($B$2:$B$518))="YES"), --(UPPER(TRIM($G$2:$G$518)&amp;TRIM($I$2:$I$518)&amp;TRIM($J$2:$J$518))&lt;&gt;UPPER(TRIM($G363)&amp;TRIM($I363)&amp;TRIM($J363))))&gt;0), AND($X363&lt;&gt;"", LOWER(TRIM($X363))&lt;&gt;"n/a", LOWER(TRIM($X363))&lt;&gt;"na", SUMPRODUCT(--(UPPER(TRIM($X$2:$X$518))=UPPER(TRIM($X363))), --(UPPER(TRIM($B$2:$B$518))="YES"), --(UPPER(TRIM($G$2:$G$518)&amp;TRIM($I$2:$I$518)&amp;TRIM($J$2:$J$518))&lt;&gt;UPPER(TRIM($G363)&amp;TRIM($I363)&amp;TRIM($J363))))&gt;0), AND($Y363&lt;&gt;"", LOWER(TRIM($Y363))&lt;&gt;"n/a", LOWER(TRIM($Y363))&lt;&gt;"na", SUMPRODUCT(--(UPPER(SUBSTITUTE(SUBSTITUTE(TRIM($Y$2:$Y$518),":",""),"-",""))=UPPER(SUBSTITUTE(SUBSTITUTE(TRIM($Y363),":",""),"-",""))), --(UPPER(TRIM($B$2:$B$518))="YES"), --(UPPER(TRIM($G$2:$G$518)&amp;TRIM($I$2:$I$518)&amp;TRIM($J$2:$J$518))&lt;&gt;UPPER(TRIM($G363)&amp;TRIM($I363)&amp;TRIM($J363))))&gt;0), AND($AB363&lt;&gt;"", LOWER(TRIM($AB363))&lt;&gt;"n/a", LOWER(TRIM($AB363))&lt;&gt;"na", SUMPRODUCT(--(UPPER(TRIM($AB$2:$AB$518))=UPPER(TRIM($AB363))), --(UPPER(TRIM($B$2:$B$518))="YES"), --(UPPER(TRIM($G$2:$G$518)&amp;TRIM($I$2:$I$518)&amp;TRIM($J$2:$J$518))&lt;&gt;UPPER(TRIM($G363)&amp;TRIM($I363)&amp;TRIM($J363))))&gt;0), AND($AH363&lt;&gt;"", LOWER(TRIM($AH363))&lt;&gt;"n/a", LOWER(TRIM($AH363))&lt;&gt;"na", SUMPRODUCT(--(UPPER(SUBSTITUTE(SUBSTITUTE(TRIM($AH$2:$AH$518),":",""),"-",""))=UPPER(SUBSTITUTE(SUBSTITUTE(TRIM($AH363),":",""),"-",""))), --(UPPER(TRIM($B$2:$B$518))="YES"), --(UPPER(TRIM($G$2:$G$518)&amp;TRIM($I$2:$I$518)&amp;TRIM($J$2:$J$518))&lt;&gt;UPPER(TRIM($G363)&amp;TRIM($I363)&amp;TRIM($J363))))&gt;0), AND($AP363&lt;&gt;"", LOWER(TRIM($AP363))&lt;&gt;"n/a", LOWER(TRIM($AP363))&lt;&gt;"na", SUMPRODUCT(--(UPPER(TRIM($AP$2:$AP$518))=UPPER(TRIM($AP363))), --(UPPER(TRIM($B$2:$B$518))="YES"), --(UPPER(TRIM($G$2:$G$518)&amp;TRIM($I$2:$I$518)&amp;TRIM($J$2:$J$518))&lt;&gt;UPPER(TRIM($G363)&amp;TRIM($I363)&amp;TRIM($J363))))&gt;0), AND($AQ363&lt;&gt;"", LOWER(TRIM($AQ363))&lt;&gt;"n/a", LOWER(TRIM($AQ363))&lt;&gt;"na", SUMPRODUCT(--(UPPER(TRIM($AQ$2:$AQ$518))=UPPER(TRIM($AQ363))), --(UPPER(TRIM($B$2:$B$518))="YES"), --(UPPER(TRIM($G$2:$G$518)&amp;TRIM($I$2:$I$518)&amp;TRIM($J$2:$J$518))&lt;&gt;UPPER(TRIM($G363)&amp;TRIM($I363)&amp;TRIM($J363))))&gt;0)), "Yes", "No"))</f>
        <v/>
      </c>
      <c r="G363" t="inlineStr">
        <is>
          <t>1 Marcus</t>
        </is>
      </c>
      <c r="H363" t="inlineStr">
        <is>
          <t>LIJ - VAR</t>
        </is>
      </c>
      <c r="V363" t="inlineStr">
        <is>
          <t>WNH270OPR475</t>
        </is>
      </c>
      <c r="W363" t="inlineStr">
        <is>
          <t>MEDNM24J25-0875</t>
        </is>
      </c>
      <c r="CD363">
        <f>IF($Y363="","",IF((IF(AND($BR363&lt;&gt;"Yes",$BR363&lt;&gt;"N/A"),"Power Cable, ","")&amp;IF(AND($BS363&lt;&gt;"Yes",$BS363&lt;&gt;"N/A"),"Battery, ","")&amp;IF(AND($AD363&lt;&gt;"Yes",$AD363&lt;&gt;"N/A"),"Firmware Download, ","")&amp;IF(AND(OR($AD363="Yes",$AD363="N/A"),$AE363&lt;&gt;"Yes",$AE363&lt;&gt;"N/A"),"Firmware Install, ","")&amp;IF(AND($CB363&lt;&gt;"Yes",$CB363&lt;&gt;"N/A"),"Device ID, ","")&amp;IF(AND($CC363&lt;&gt;"Yes",$CC363&lt;&gt;"N/A"),"Epic Beans Relay, ",""))="","",LEFT(IF(AND($BR363&lt;&gt;"Yes",$BR363&lt;&gt;"N/A"),"Power Cable, ","")&amp;IF(AND($BS363&lt;&gt;"Yes",$BS363&lt;&gt;"N/A"),"Battery, ","")&amp;IF(AND($AD363&lt;&gt;"Yes",$AD363&lt;&gt;"N/A"),"Firmware Download, ","")&amp;IF(AND(OR($AD363="Yes",$AD363="N/A"),$AE363&lt;&gt;"Yes",$AE363&lt;&gt;"N/A"),"Firmware Install, ","")&amp;IF(AND($CB363&lt;&gt;"Yes",$CB363&lt;&gt;"N/A"),"Device ID, ","")&amp;IF(AND($CC363&lt;&gt;"Yes",$CC363&lt;&gt;"N/A"),"Epic Beans Relay, ",""),LEN(IF(AND($BR363&lt;&gt;"Yes",$BR363&lt;&gt;"N/A"),"Power Cable, ","")&amp;IF(AND($BS363&lt;&gt;"Yes",$BS363&lt;&gt;"N/A"),"Battery, ","")&amp;IF(AND($AD363&lt;&gt;"Yes",$AD363&lt;&gt;"N/A"),"Firmware Download, ","")&amp;IF(AND(OR($AD363="Yes",$AD363="N/A"),$AE363&lt;&gt;"Yes",$AE363&lt;&gt;"N/A"),"Firmware Install, ","")&amp;IF(AND($CB363&lt;&gt;"Yes",$CB363&lt;&gt;"N/A"),"Device ID, ","")&amp;IF(AND($CC363&lt;&gt;"Yes",$CC363&lt;&gt;"N/A"),"Epic Beans Relay, ",""))-2)))</f>
        <v/>
      </c>
      <c r="CE363">
        <f>IF($Y363="","",IF($CD363="","Yes","Blocked"))</f>
        <v/>
      </c>
      <c r="CP363">
        <f>IF($CO363="","",IFERROR(VLOOKUP($CO363,'01_Warehouse_Ledger'!$A:$N,4,FALSE),""))</f>
        <v/>
      </c>
      <c r="CQ363">
        <f>IF($CO363="","",IFERROR(VLOOKUP($CO363,'01_Warehouse_Ledger'!$A:$N,5,FALSE),""))</f>
        <v/>
      </c>
      <c r="CR363">
        <f>IF($CO363="","",IFERROR(VLOOKUP($CO363,'01_Warehouse_Ledger'!$A:$N,13,FALSE),""))</f>
        <v/>
      </c>
      <c r="CW363">
        <f>IF($S363="","",IF(UPPER(TRIM($S363))&lt;&gt;"PASS","",IF(LEN(TRIM($BY363))&gt;0,"NOTES_PRESENT",IF(LEN(TRIM($T363))=0,"SET_NA",IF(OR(LOWER(TRIM($T363))="na",LOWER(TRIM($T363))="n/a"),"OK","MANUAL_OVERRIDE")))))</f>
        <v/>
      </c>
    </row>
    <row r="364">
      <c r="A364" t="inlineStr">
        <is>
          <t>Cybernet</t>
        </is>
      </c>
      <c r="B364" t="inlineStr">
        <is>
          <t>No</t>
        </is>
      </c>
      <c r="C364" t="inlineStr">
        <is>
          <t>No</t>
        </is>
      </c>
      <c r="D364">
        <f>IF($B364&lt;&gt;"Yes","",IF($C364="No","Yes",IF($C364="Yes","No","")))</f>
        <v/>
      </c>
      <c r="E364">
        <f>IF($A364="","",IF(OR(AND($V364&lt;&gt;"",LOWER(TRIM($V364))&lt;&gt;"n/a",LOWER(TRIM($V364))&lt;&gt;"na",SUMPRODUCT(--(UPPER(TRIM($V$2:$V$518))=UPPER(TRIM($V364))),--(TRIM($V$2:$V$518)&lt;&gt;""),--(LOWER(TRIM($V$2:$V$518))&lt;&gt;"n/a"),--(LOWER(TRIM($V$2:$V$518))&lt;&gt;"na"))&gt;1),AND($W364&lt;&gt;"",LOWER(TRIM($W364))&lt;&gt;"n/a",LOWER(TRIM($W364))&lt;&gt;"na",SUMPRODUCT(--(UPPER(TRIM($W$2:$W$518))=UPPER(TRIM($W364))),--(TRIM($W$2:$W$518)&lt;&gt;""),--(LOWER(TRIM($W$2:$W$518))&lt;&gt;"n/a"),--(LOWER(TRIM($W$2:$W$518))&lt;&gt;"na"))&gt;1),AND($X364&lt;&gt;"",LOWER(TRIM($X364))&lt;&gt;"n/a",LOWER(TRIM($X364))&lt;&gt;"na",SUMPRODUCT(--(UPPER(TRIM($X$2:$X$518))=UPPER(TRIM($X364))),--(TRIM($X$2:$X$518)&lt;&gt;""),--(LOWER(TRIM($X$2:$X$518))&lt;&gt;"n/a"),--(LOWER(TRIM($X$2:$X$518))&lt;&gt;"na"))&gt;1),AND($Y364&lt;&gt;"",LOWER(TRIM($Y364))&lt;&gt;"n/a",LOWER(TRIM($Y364))&lt;&gt;"na",SUMPRODUCT(--(UPPER(SUBSTITUTE(SUBSTITUTE(TRIM($Y$2:$Y$518),":",""),"-",""))=UPPER(SUBSTITUTE(SUBSTITUTE(TRIM($Y364),":",""),"-",""))),--(TRIM($Y$2:$Y$518)&lt;&gt;""),--(LOWER(TRIM($Y$2:$Y$518))&lt;&gt;"n/a"),--(LOWER(TRIM($Y$2:$Y$518))&lt;&gt;"na"))&gt;1),AND($AB364&lt;&gt;"",LOWER(TRIM($AB364))&lt;&gt;"n/a",LOWER(TRIM($AB364))&lt;&gt;"na",SUMPRODUCT(--(UPPER(TRIM($AB$2:$AB$518))=UPPER(TRIM($AB364))),--(TRIM($AB$2:$AB$518)&lt;&gt;""),--(LOWER(TRIM($AB$2:$AB$518))&lt;&gt;"n/a"),--(LOWER(TRIM($AB$2:$AB$518))&lt;&gt;"na"))&gt;1),AND($AH364&lt;&gt;"",LOWER(TRIM($AH364))&lt;&gt;"n/a",LOWER(TRIM($AH364))&lt;&gt;"na",SUMPRODUCT(--(UPPER(SUBSTITUTE(SUBSTITUTE(TRIM($AH$2:$AH$518),":",""),"-",""))=UPPER(SUBSTITUTE(SUBSTITUTE(TRIM($AH364),":",""),"-",""))),--(TRIM($AH$2:$AH$518)&lt;&gt;""),--(LOWER(TRIM($AH$2:$AH$518))&lt;&gt;"n/a"),--(LOWER(TRIM($AH$2:$AH$518))&lt;&gt;"na"))&gt;1),AND($AP364&lt;&gt;"",LOWER(TRIM($AP364))&lt;&gt;"n/a",LOWER(TRIM($AP364))&lt;&gt;"na",SUMPRODUCT(--(UPPER(TRIM($AP$2:$AP$518))=UPPER(TRIM($AP364))),--(TRIM($AP$2:$AP$518)&lt;&gt;""),--(LOWER(TRIM($AP$2:$AP$518))&lt;&gt;"n/a"),--(LOWER(TRIM($AP$2:$AP$518))&lt;&gt;"na"))&gt;1),AND($AQ364&lt;&gt;"",LOWER(TRIM($AQ364))&lt;&gt;"n/a",LOWER(TRIM($AQ364))&lt;&gt;"na",SUMPRODUCT(--(UPPER(TRIM($AQ$2:$AQ$518))=UPPER(TRIM($AQ364))),--(TRIM($AQ$2:$AQ$518)&lt;&gt;""),--(LOWER(TRIM($AQ$2:$AQ$518))&lt;&gt;"n/a"),--(LOWER(TRIM($AQ$2:$AQ$518))&lt;&gt;"na"))&gt;1)),"Yes","No"))</f>
        <v/>
      </c>
      <c r="F364">
        <f>IF(UPPER(TRIM($B364))&lt;&gt;"YES","", IF(OR(AND($V364&lt;&gt;"", LOWER(TRIM($V364))&lt;&gt;"n/a", LOWER(TRIM($V364))&lt;&gt;"na", SUMPRODUCT(--(UPPER(TRIM($V$2:$V$518))=UPPER(TRIM($V364))), --(UPPER(TRIM($B$2:$B$518))="YES"), --(UPPER(TRIM($G$2:$G$518)&amp;TRIM($I$2:$I$518)&amp;TRIM($J$2:$J$518))&lt;&gt;UPPER(TRIM($G364)&amp;TRIM($I364)&amp;TRIM($J364))))&gt;0), AND($W364&lt;&gt;"", LOWER(TRIM($W364))&lt;&gt;"n/a", LOWER(TRIM($W364))&lt;&gt;"na", SUMPRODUCT(--(UPPER(TRIM($W$2:$W$518))=UPPER(TRIM($W364))), --(UPPER(TRIM($B$2:$B$518))="YES"), --(UPPER(TRIM($G$2:$G$518)&amp;TRIM($I$2:$I$518)&amp;TRIM($J$2:$J$518))&lt;&gt;UPPER(TRIM($G364)&amp;TRIM($I364)&amp;TRIM($J364))))&gt;0), AND($X364&lt;&gt;"", LOWER(TRIM($X364))&lt;&gt;"n/a", LOWER(TRIM($X364))&lt;&gt;"na", SUMPRODUCT(--(UPPER(TRIM($X$2:$X$518))=UPPER(TRIM($X364))), --(UPPER(TRIM($B$2:$B$518))="YES"), --(UPPER(TRIM($G$2:$G$518)&amp;TRIM($I$2:$I$518)&amp;TRIM($J$2:$J$518))&lt;&gt;UPPER(TRIM($G364)&amp;TRIM($I364)&amp;TRIM($J364))))&gt;0), AND($Y364&lt;&gt;"", LOWER(TRIM($Y364))&lt;&gt;"n/a", LOWER(TRIM($Y364))&lt;&gt;"na", SUMPRODUCT(--(UPPER(SUBSTITUTE(SUBSTITUTE(TRIM($Y$2:$Y$518),":",""),"-",""))=UPPER(SUBSTITUTE(SUBSTITUTE(TRIM($Y364),":",""),"-",""))), --(UPPER(TRIM($B$2:$B$518))="YES"), --(UPPER(TRIM($G$2:$G$518)&amp;TRIM($I$2:$I$518)&amp;TRIM($J$2:$J$518))&lt;&gt;UPPER(TRIM($G364)&amp;TRIM($I364)&amp;TRIM($J364))))&gt;0), AND($AB364&lt;&gt;"", LOWER(TRIM($AB364))&lt;&gt;"n/a", LOWER(TRIM($AB364))&lt;&gt;"na", SUMPRODUCT(--(UPPER(TRIM($AB$2:$AB$518))=UPPER(TRIM($AB364))), --(UPPER(TRIM($B$2:$B$518))="YES"), --(UPPER(TRIM($G$2:$G$518)&amp;TRIM($I$2:$I$518)&amp;TRIM($J$2:$J$518))&lt;&gt;UPPER(TRIM($G364)&amp;TRIM($I364)&amp;TRIM($J364))))&gt;0), AND($AH364&lt;&gt;"", LOWER(TRIM($AH364))&lt;&gt;"n/a", LOWER(TRIM($AH364))&lt;&gt;"na", SUMPRODUCT(--(UPPER(SUBSTITUTE(SUBSTITUTE(TRIM($AH$2:$AH$518),":",""),"-",""))=UPPER(SUBSTITUTE(SUBSTITUTE(TRIM($AH364),":",""),"-",""))), --(UPPER(TRIM($B$2:$B$518))="YES"), --(UPPER(TRIM($G$2:$G$518)&amp;TRIM($I$2:$I$518)&amp;TRIM($J$2:$J$518))&lt;&gt;UPPER(TRIM($G364)&amp;TRIM($I364)&amp;TRIM($J364))))&gt;0), AND($AP364&lt;&gt;"", LOWER(TRIM($AP364))&lt;&gt;"n/a", LOWER(TRIM($AP364))&lt;&gt;"na", SUMPRODUCT(--(UPPER(TRIM($AP$2:$AP$518))=UPPER(TRIM($AP364))), --(UPPER(TRIM($B$2:$B$518))="YES"), --(UPPER(TRIM($G$2:$G$518)&amp;TRIM($I$2:$I$518)&amp;TRIM($J$2:$J$518))&lt;&gt;UPPER(TRIM($G364)&amp;TRIM($I364)&amp;TRIM($J364))))&gt;0), AND($AQ364&lt;&gt;"", LOWER(TRIM($AQ364))&lt;&gt;"n/a", LOWER(TRIM($AQ364))&lt;&gt;"na", SUMPRODUCT(--(UPPER(TRIM($AQ$2:$AQ$518))=UPPER(TRIM($AQ364))), --(UPPER(TRIM($B$2:$B$518))="YES"), --(UPPER(TRIM($G$2:$G$518)&amp;TRIM($I$2:$I$518)&amp;TRIM($J$2:$J$518))&lt;&gt;UPPER(TRIM($G364)&amp;TRIM($I364)&amp;TRIM($J364))))&gt;0)), "Yes", "No"))</f>
        <v/>
      </c>
      <c r="G364" t="inlineStr">
        <is>
          <t>1 Marcus</t>
        </is>
      </c>
      <c r="H364" t="inlineStr">
        <is>
          <t>LIJ - VAR</t>
        </is>
      </c>
      <c r="V364" s="15" t="inlineStr">
        <is>
          <t>WNH270OPR476</t>
        </is>
      </c>
      <c r="W364" t="inlineStr">
        <is>
          <t>MEDNM24J25-0879</t>
        </is>
      </c>
      <c r="CD364">
        <f>IF($Y364="","",IF((IF(AND($BR364&lt;&gt;"Yes",$BR364&lt;&gt;"N/A"),"Power Cable, ","")&amp;IF(AND($BS364&lt;&gt;"Yes",$BS364&lt;&gt;"N/A"),"Battery, ","")&amp;IF(AND($AD364&lt;&gt;"Yes",$AD364&lt;&gt;"N/A"),"Firmware Download, ","")&amp;IF(AND(OR($AD364="Yes",$AD364="N/A"),$AE364&lt;&gt;"Yes",$AE364&lt;&gt;"N/A"),"Firmware Install, ","")&amp;IF(AND($CB364&lt;&gt;"Yes",$CB364&lt;&gt;"N/A"),"Device ID, ","")&amp;IF(AND($CC364&lt;&gt;"Yes",$CC364&lt;&gt;"N/A"),"Epic Beans Relay, ",""))="","",LEFT(IF(AND($BR364&lt;&gt;"Yes",$BR364&lt;&gt;"N/A"),"Power Cable, ","")&amp;IF(AND($BS364&lt;&gt;"Yes",$BS364&lt;&gt;"N/A"),"Battery, ","")&amp;IF(AND($AD364&lt;&gt;"Yes",$AD364&lt;&gt;"N/A"),"Firmware Download, ","")&amp;IF(AND(OR($AD364="Yes",$AD364="N/A"),$AE364&lt;&gt;"Yes",$AE364&lt;&gt;"N/A"),"Firmware Install, ","")&amp;IF(AND($CB364&lt;&gt;"Yes",$CB364&lt;&gt;"N/A"),"Device ID, ","")&amp;IF(AND($CC364&lt;&gt;"Yes",$CC364&lt;&gt;"N/A"),"Epic Beans Relay, ",""),LEN(IF(AND($BR364&lt;&gt;"Yes",$BR364&lt;&gt;"N/A"),"Power Cable, ","")&amp;IF(AND($BS364&lt;&gt;"Yes",$BS364&lt;&gt;"N/A"),"Battery, ","")&amp;IF(AND($AD364&lt;&gt;"Yes",$AD364&lt;&gt;"N/A"),"Firmware Download, ","")&amp;IF(AND(OR($AD364="Yes",$AD364="N/A"),$AE364&lt;&gt;"Yes",$AE364&lt;&gt;"N/A"),"Firmware Install, ","")&amp;IF(AND($CB364&lt;&gt;"Yes",$CB364&lt;&gt;"N/A"),"Device ID, ","")&amp;IF(AND($CC364&lt;&gt;"Yes",$CC364&lt;&gt;"N/A"),"Epic Beans Relay, ",""))-2)))</f>
        <v/>
      </c>
      <c r="CE364">
        <f>IF($Y364="","",IF($CD364="","Yes","Blocked"))</f>
        <v/>
      </c>
      <c r="CP364">
        <f>IF($CO364="","",IFERROR(VLOOKUP($CO364,'01_Warehouse_Ledger'!$A:$N,4,FALSE),""))</f>
        <v/>
      </c>
      <c r="CQ364">
        <f>IF($CO364="","",IFERROR(VLOOKUP($CO364,'01_Warehouse_Ledger'!$A:$N,5,FALSE),""))</f>
        <v/>
      </c>
      <c r="CR364">
        <f>IF($CO364="","",IFERROR(VLOOKUP($CO364,'01_Warehouse_Ledger'!$A:$N,13,FALSE),""))</f>
        <v/>
      </c>
      <c r="CW364">
        <f>IF($S364="","",IF(UPPER(TRIM($S364))&lt;&gt;"PASS","",IF(LEN(TRIM($BY364))&gt;0,"NOTES_PRESENT",IF(LEN(TRIM($T364))=0,"SET_NA",IF(OR(LOWER(TRIM($T364))="na",LOWER(TRIM($T364))="n/a"),"OK","MANUAL_OVERRIDE")))))</f>
        <v/>
      </c>
    </row>
    <row r="365">
      <c r="A365" t="inlineStr">
        <is>
          <t>Cybernet</t>
        </is>
      </c>
      <c r="B365" t="inlineStr">
        <is>
          <t>No</t>
        </is>
      </c>
      <c r="C365" t="inlineStr">
        <is>
          <t>No</t>
        </is>
      </c>
      <c r="D365">
        <f>IF($B365&lt;&gt;"Yes","",IF($C365="No","Yes",IF($C365="Yes","No","")))</f>
        <v/>
      </c>
      <c r="E365">
        <f>IF($A365="","",IF(OR(AND($V365&lt;&gt;"",LOWER(TRIM($V365))&lt;&gt;"n/a",LOWER(TRIM($V365))&lt;&gt;"na",SUMPRODUCT(--(UPPER(TRIM($V$2:$V$518))=UPPER(TRIM($V365))),--(TRIM($V$2:$V$518)&lt;&gt;""),--(LOWER(TRIM($V$2:$V$518))&lt;&gt;"n/a"),--(LOWER(TRIM($V$2:$V$518))&lt;&gt;"na"))&gt;1),AND($W365&lt;&gt;"",LOWER(TRIM($W365))&lt;&gt;"n/a",LOWER(TRIM($W365))&lt;&gt;"na",SUMPRODUCT(--(UPPER(TRIM($W$2:$W$518))=UPPER(TRIM($W365))),--(TRIM($W$2:$W$518)&lt;&gt;""),--(LOWER(TRIM($W$2:$W$518))&lt;&gt;"n/a"),--(LOWER(TRIM($W$2:$W$518))&lt;&gt;"na"))&gt;1),AND($X365&lt;&gt;"",LOWER(TRIM($X365))&lt;&gt;"n/a",LOWER(TRIM($X365))&lt;&gt;"na",SUMPRODUCT(--(UPPER(TRIM($X$2:$X$518))=UPPER(TRIM($X365))),--(TRIM($X$2:$X$518)&lt;&gt;""),--(LOWER(TRIM($X$2:$X$518))&lt;&gt;"n/a"),--(LOWER(TRIM($X$2:$X$518))&lt;&gt;"na"))&gt;1),AND($Y365&lt;&gt;"",LOWER(TRIM($Y365))&lt;&gt;"n/a",LOWER(TRIM($Y365))&lt;&gt;"na",SUMPRODUCT(--(UPPER(SUBSTITUTE(SUBSTITUTE(TRIM($Y$2:$Y$518),":",""),"-",""))=UPPER(SUBSTITUTE(SUBSTITUTE(TRIM($Y365),":",""),"-",""))),--(TRIM($Y$2:$Y$518)&lt;&gt;""),--(LOWER(TRIM($Y$2:$Y$518))&lt;&gt;"n/a"),--(LOWER(TRIM($Y$2:$Y$518))&lt;&gt;"na"))&gt;1),AND($AB365&lt;&gt;"",LOWER(TRIM($AB365))&lt;&gt;"n/a",LOWER(TRIM($AB365))&lt;&gt;"na",SUMPRODUCT(--(UPPER(TRIM($AB$2:$AB$518))=UPPER(TRIM($AB365))),--(TRIM($AB$2:$AB$518)&lt;&gt;""),--(LOWER(TRIM($AB$2:$AB$518))&lt;&gt;"n/a"),--(LOWER(TRIM($AB$2:$AB$518))&lt;&gt;"na"))&gt;1),AND($AH365&lt;&gt;"",LOWER(TRIM($AH365))&lt;&gt;"n/a",LOWER(TRIM($AH365))&lt;&gt;"na",SUMPRODUCT(--(UPPER(SUBSTITUTE(SUBSTITUTE(TRIM($AH$2:$AH$518),":",""),"-",""))=UPPER(SUBSTITUTE(SUBSTITUTE(TRIM($AH365),":",""),"-",""))),--(TRIM($AH$2:$AH$518)&lt;&gt;""),--(LOWER(TRIM($AH$2:$AH$518))&lt;&gt;"n/a"),--(LOWER(TRIM($AH$2:$AH$518))&lt;&gt;"na"))&gt;1),AND($AP365&lt;&gt;"",LOWER(TRIM($AP365))&lt;&gt;"n/a",LOWER(TRIM($AP365))&lt;&gt;"na",SUMPRODUCT(--(UPPER(TRIM($AP$2:$AP$518))=UPPER(TRIM($AP365))),--(TRIM($AP$2:$AP$518)&lt;&gt;""),--(LOWER(TRIM($AP$2:$AP$518))&lt;&gt;"n/a"),--(LOWER(TRIM($AP$2:$AP$518))&lt;&gt;"na"))&gt;1),AND($AQ365&lt;&gt;"",LOWER(TRIM($AQ365))&lt;&gt;"n/a",LOWER(TRIM($AQ365))&lt;&gt;"na",SUMPRODUCT(--(UPPER(TRIM($AQ$2:$AQ$518))=UPPER(TRIM($AQ365))),--(TRIM($AQ$2:$AQ$518)&lt;&gt;""),--(LOWER(TRIM($AQ$2:$AQ$518))&lt;&gt;"n/a"),--(LOWER(TRIM($AQ$2:$AQ$518))&lt;&gt;"na"))&gt;1)),"Yes","No"))</f>
        <v/>
      </c>
      <c r="F365">
        <f>IF(UPPER(TRIM($B365))&lt;&gt;"YES","", IF(OR(AND($V365&lt;&gt;"", LOWER(TRIM($V365))&lt;&gt;"n/a", LOWER(TRIM($V365))&lt;&gt;"na", SUMPRODUCT(--(UPPER(TRIM($V$2:$V$518))=UPPER(TRIM($V365))), --(UPPER(TRIM($B$2:$B$518))="YES"), --(UPPER(TRIM($G$2:$G$518)&amp;TRIM($I$2:$I$518)&amp;TRIM($J$2:$J$518))&lt;&gt;UPPER(TRIM($G365)&amp;TRIM($I365)&amp;TRIM($J365))))&gt;0), AND($W365&lt;&gt;"", LOWER(TRIM($W365))&lt;&gt;"n/a", LOWER(TRIM($W365))&lt;&gt;"na", SUMPRODUCT(--(UPPER(TRIM($W$2:$W$518))=UPPER(TRIM($W365))), --(UPPER(TRIM($B$2:$B$518))="YES"), --(UPPER(TRIM($G$2:$G$518)&amp;TRIM($I$2:$I$518)&amp;TRIM($J$2:$J$518))&lt;&gt;UPPER(TRIM($G365)&amp;TRIM($I365)&amp;TRIM($J365))))&gt;0), AND($X365&lt;&gt;"", LOWER(TRIM($X365))&lt;&gt;"n/a", LOWER(TRIM($X365))&lt;&gt;"na", SUMPRODUCT(--(UPPER(TRIM($X$2:$X$518))=UPPER(TRIM($X365))), --(UPPER(TRIM($B$2:$B$518))="YES"), --(UPPER(TRIM($G$2:$G$518)&amp;TRIM($I$2:$I$518)&amp;TRIM($J$2:$J$518))&lt;&gt;UPPER(TRIM($G365)&amp;TRIM($I365)&amp;TRIM($J365))))&gt;0), AND($Y365&lt;&gt;"", LOWER(TRIM($Y365))&lt;&gt;"n/a", LOWER(TRIM($Y365))&lt;&gt;"na", SUMPRODUCT(--(UPPER(SUBSTITUTE(SUBSTITUTE(TRIM($Y$2:$Y$518),":",""),"-",""))=UPPER(SUBSTITUTE(SUBSTITUTE(TRIM($Y365),":",""),"-",""))), --(UPPER(TRIM($B$2:$B$518))="YES"), --(UPPER(TRIM($G$2:$G$518)&amp;TRIM($I$2:$I$518)&amp;TRIM($J$2:$J$518))&lt;&gt;UPPER(TRIM($G365)&amp;TRIM($I365)&amp;TRIM($J365))))&gt;0), AND($AB365&lt;&gt;"", LOWER(TRIM($AB365))&lt;&gt;"n/a", LOWER(TRIM($AB365))&lt;&gt;"na", SUMPRODUCT(--(UPPER(TRIM($AB$2:$AB$518))=UPPER(TRIM($AB365))), --(UPPER(TRIM($B$2:$B$518))="YES"), --(UPPER(TRIM($G$2:$G$518)&amp;TRIM($I$2:$I$518)&amp;TRIM($J$2:$J$518))&lt;&gt;UPPER(TRIM($G365)&amp;TRIM($I365)&amp;TRIM($J365))))&gt;0), AND($AH365&lt;&gt;"", LOWER(TRIM($AH365))&lt;&gt;"n/a", LOWER(TRIM($AH365))&lt;&gt;"na", SUMPRODUCT(--(UPPER(SUBSTITUTE(SUBSTITUTE(TRIM($AH$2:$AH$518),":",""),"-",""))=UPPER(SUBSTITUTE(SUBSTITUTE(TRIM($AH365),":",""),"-",""))), --(UPPER(TRIM($B$2:$B$518))="YES"), --(UPPER(TRIM($G$2:$G$518)&amp;TRIM($I$2:$I$518)&amp;TRIM($J$2:$J$518))&lt;&gt;UPPER(TRIM($G365)&amp;TRIM($I365)&amp;TRIM($J365))))&gt;0), AND($AP365&lt;&gt;"", LOWER(TRIM($AP365))&lt;&gt;"n/a", LOWER(TRIM($AP365))&lt;&gt;"na", SUMPRODUCT(--(UPPER(TRIM($AP$2:$AP$518))=UPPER(TRIM($AP365))), --(UPPER(TRIM($B$2:$B$518))="YES"), --(UPPER(TRIM($G$2:$G$518)&amp;TRIM($I$2:$I$518)&amp;TRIM($J$2:$J$518))&lt;&gt;UPPER(TRIM($G365)&amp;TRIM($I365)&amp;TRIM($J365))))&gt;0), AND($AQ365&lt;&gt;"", LOWER(TRIM($AQ365))&lt;&gt;"n/a", LOWER(TRIM($AQ365))&lt;&gt;"na", SUMPRODUCT(--(UPPER(TRIM($AQ$2:$AQ$518))=UPPER(TRIM($AQ365))), --(UPPER(TRIM($B$2:$B$518))="YES"), --(UPPER(TRIM($G$2:$G$518)&amp;TRIM($I$2:$I$518)&amp;TRIM($J$2:$J$518))&lt;&gt;UPPER(TRIM($G365)&amp;TRIM($I365)&amp;TRIM($J365))))&gt;0)), "Yes", "No"))</f>
        <v/>
      </c>
      <c r="G365" t="inlineStr">
        <is>
          <t>1 Marcus</t>
        </is>
      </c>
      <c r="H365" t="inlineStr">
        <is>
          <t>LIJ - VAR</t>
        </is>
      </c>
      <c r="V365" t="inlineStr">
        <is>
          <t>WNH270OPR477</t>
        </is>
      </c>
      <c r="W365" s="76" t="inlineStr">
        <is>
          <t>MEDNM24G25-1037</t>
        </is>
      </c>
      <c r="CD365">
        <f>IF($Y365="","",IF((IF(AND($BR365&lt;&gt;"Yes",$BR365&lt;&gt;"N/A"),"Power Cable, ","")&amp;IF(AND($BS365&lt;&gt;"Yes",$BS365&lt;&gt;"N/A"),"Battery, ","")&amp;IF(AND($AD365&lt;&gt;"Yes",$AD365&lt;&gt;"N/A"),"Firmware Download, ","")&amp;IF(AND(OR($AD365="Yes",$AD365="N/A"),$AE365&lt;&gt;"Yes",$AE365&lt;&gt;"N/A"),"Firmware Install, ","")&amp;IF(AND($CB365&lt;&gt;"Yes",$CB365&lt;&gt;"N/A"),"Device ID, ","")&amp;IF(AND($CC365&lt;&gt;"Yes",$CC365&lt;&gt;"N/A"),"Epic Beans Relay, ",""))="","",LEFT(IF(AND($BR365&lt;&gt;"Yes",$BR365&lt;&gt;"N/A"),"Power Cable, ","")&amp;IF(AND($BS365&lt;&gt;"Yes",$BS365&lt;&gt;"N/A"),"Battery, ","")&amp;IF(AND($AD365&lt;&gt;"Yes",$AD365&lt;&gt;"N/A"),"Firmware Download, ","")&amp;IF(AND(OR($AD365="Yes",$AD365="N/A"),$AE365&lt;&gt;"Yes",$AE365&lt;&gt;"N/A"),"Firmware Install, ","")&amp;IF(AND($CB365&lt;&gt;"Yes",$CB365&lt;&gt;"N/A"),"Device ID, ","")&amp;IF(AND($CC365&lt;&gt;"Yes",$CC365&lt;&gt;"N/A"),"Epic Beans Relay, ",""),LEN(IF(AND($BR365&lt;&gt;"Yes",$BR365&lt;&gt;"N/A"),"Power Cable, ","")&amp;IF(AND($BS365&lt;&gt;"Yes",$BS365&lt;&gt;"N/A"),"Battery, ","")&amp;IF(AND($AD365&lt;&gt;"Yes",$AD365&lt;&gt;"N/A"),"Firmware Download, ","")&amp;IF(AND(OR($AD365="Yes",$AD365="N/A"),$AE365&lt;&gt;"Yes",$AE365&lt;&gt;"N/A"),"Firmware Install, ","")&amp;IF(AND($CB365&lt;&gt;"Yes",$CB365&lt;&gt;"N/A"),"Device ID, ","")&amp;IF(AND($CC365&lt;&gt;"Yes",$CC365&lt;&gt;"N/A"),"Epic Beans Relay, ",""))-2)))</f>
        <v/>
      </c>
      <c r="CE365">
        <f>IF($Y365="","",IF($CD365="","Yes","Blocked"))</f>
        <v/>
      </c>
      <c r="CP365">
        <f>IF($CO365="","",IFERROR(VLOOKUP($CO365,'01_Warehouse_Ledger'!$A:$N,4,FALSE),""))</f>
        <v/>
      </c>
      <c r="CQ365">
        <f>IF($CO365="","",IFERROR(VLOOKUP($CO365,'01_Warehouse_Ledger'!$A:$N,5,FALSE),""))</f>
        <v/>
      </c>
      <c r="CR365">
        <f>IF($CO365="","",IFERROR(VLOOKUP($CO365,'01_Warehouse_Ledger'!$A:$N,13,FALSE),""))</f>
        <v/>
      </c>
      <c r="CW365">
        <f>IF($S365="","",IF(UPPER(TRIM($S365))&lt;&gt;"PASS","",IF(LEN(TRIM($BY365))&gt;0,"NOTES_PRESENT",IF(LEN(TRIM($T365))=0,"SET_NA",IF(OR(LOWER(TRIM($T365))="na",LOWER(TRIM($T365))="n/a"),"OK","MANUAL_OVERRIDE")))))</f>
        <v/>
      </c>
    </row>
    <row r="366">
      <c r="A366" t="inlineStr">
        <is>
          <t>Cybernet</t>
        </is>
      </c>
      <c r="B366" t="inlineStr">
        <is>
          <t>No</t>
        </is>
      </c>
      <c r="C366" t="inlineStr">
        <is>
          <t>No</t>
        </is>
      </c>
      <c r="D366">
        <f>IF($B366&lt;&gt;"Yes","",IF($C366="No","Yes",IF($C366="Yes","No","")))</f>
        <v/>
      </c>
      <c r="E366">
        <f>IF($A366="","",IF(OR(AND($V366&lt;&gt;"",LOWER(TRIM($V366))&lt;&gt;"n/a",LOWER(TRIM($V366))&lt;&gt;"na",SUMPRODUCT(--(UPPER(TRIM($V$2:$V$518))=UPPER(TRIM($V366))),--(TRIM($V$2:$V$518)&lt;&gt;""),--(LOWER(TRIM($V$2:$V$518))&lt;&gt;"n/a"),--(LOWER(TRIM($V$2:$V$518))&lt;&gt;"na"))&gt;1),AND($W366&lt;&gt;"",LOWER(TRIM($W366))&lt;&gt;"n/a",LOWER(TRIM($W366))&lt;&gt;"na",SUMPRODUCT(--(UPPER(TRIM($W$2:$W$518))=UPPER(TRIM($W366))),--(TRIM($W$2:$W$518)&lt;&gt;""),--(LOWER(TRIM($W$2:$W$518))&lt;&gt;"n/a"),--(LOWER(TRIM($W$2:$W$518))&lt;&gt;"na"))&gt;1),AND($X366&lt;&gt;"",LOWER(TRIM($X366))&lt;&gt;"n/a",LOWER(TRIM($X366))&lt;&gt;"na",SUMPRODUCT(--(UPPER(TRIM($X$2:$X$518))=UPPER(TRIM($X366))),--(TRIM($X$2:$X$518)&lt;&gt;""),--(LOWER(TRIM($X$2:$X$518))&lt;&gt;"n/a"),--(LOWER(TRIM($X$2:$X$518))&lt;&gt;"na"))&gt;1),AND($Y366&lt;&gt;"",LOWER(TRIM($Y366))&lt;&gt;"n/a",LOWER(TRIM($Y366))&lt;&gt;"na",SUMPRODUCT(--(UPPER(SUBSTITUTE(SUBSTITUTE(TRIM($Y$2:$Y$518),":",""),"-",""))=UPPER(SUBSTITUTE(SUBSTITUTE(TRIM($Y366),":",""),"-",""))),--(TRIM($Y$2:$Y$518)&lt;&gt;""),--(LOWER(TRIM($Y$2:$Y$518))&lt;&gt;"n/a"),--(LOWER(TRIM($Y$2:$Y$518))&lt;&gt;"na"))&gt;1),AND($AB366&lt;&gt;"",LOWER(TRIM($AB366))&lt;&gt;"n/a",LOWER(TRIM($AB366))&lt;&gt;"na",SUMPRODUCT(--(UPPER(TRIM($AB$2:$AB$518))=UPPER(TRIM($AB366))),--(TRIM($AB$2:$AB$518)&lt;&gt;""),--(LOWER(TRIM($AB$2:$AB$518))&lt;&gt;"n/a"),--(LOWER(TRIM($AB$2:$AB$518))&lt;&gt;"na"))&gt;1),AND($AH366&lt;&gt;"",LOWER(TRIM($AH366))&lt;&gt;"n/a",LOWER(TRIM($AH366))&lt;&gt;"na",SUMPRODUCT(--(UPPER(SUBSTITUTE(SUBSTITUTE(TRIM($AH$2:$AH$518),":",""),"-",""))=UPPER(SUBSTITUTE(SUBSTITUTE(TRIM($AH366),":",""),"-",""))),--(TRIM($AH$2:$AH$518)&lt;&gt;""),--(LOWER(TRIM($AH$2:$AH$518))&lt;&gt;"n/a"),--(LOWER(TRIM($AH$2:$AH$518))&lt;&gt;"na"))&gt;1),AND($AP366&lt;&gt;"",LOWER(TRIM($AP366))&lt;&gt;"n/a",LOWER(TRIM($AP366))&lt;&gt;"na",SUMPRODUCT(--(UPPER(TRIM($AP$2:$AP$518))=UPPER(TRIM($AP366))),--(TRIM($AP$2:$AP$518)&lt;&gt;""),--(LOWER(TRIM($AP$2:$AP$518))&lt;&gt;"n/a"),--(LOWER(TRIM($AP$2:$AP$518))&lt;&gt;"na"))&gt;1),AND($AQ366&lt;&gt;"",LOWER(TRIM($AQ366))&lt;&gt;"n/a",LOWER(TRIM($AQ366))&lt;&gt;"na",SUMPRODUCT(--(UPPER(TRIM($AQ$2:$AQ$518))=UPPER(TRIM($AQ366))),--(TRIM($AQ$2:$AQ$518)&lt;&gt;""),--(LOWER(TRIM($AQ$2:$AQ$518))&lt;&gt;"n/a"),--(LOWER(TRIM($AQ$2:$AQ$518))&lt;&gt;"na"))&gt;1)),"Yes","No"))</f>
        <v/>
      </c>
      <c r="F366">
        <f>IF(UPPER(TRIM($B366))&lt;&gt;"YES","", IF(OR(AND($V366&lt;&gt;"", LOWER(TRIM($V366))&lt;&gt;"n/a", LOWER(TRIM($V366))&lt;&gt;"na", SUMPRODUCT(--(UPPER(TRIM($V$2:$V$518))=UPPER(TRIM($V366))), --(UPPER(TRIM($B$2:$B$518))="YES"), --(UPPER(TRIM($G$2:$G$518)&amp;TRIM($I$2:$I$518)&amp;TRIM($J$2:$J$518))&lt;&gt;UPPER(TRIM($G366)&amp;TRIM($I366)&amp;TRIM($J366))))&gt;0), AND($W366&lt;&gt;"", LOWER(TRIM($W366))&lt;&gt;"n/a", LOWER(TRIM($W366))&lt;&gt;"na", SUMPRODUCT(--(UPPER(TRIM($W$2:$W$518))=UPPER(TRIM($W366))), --(UPPER(TRIM($B$2:$B$518))="YES"), --(UPPER(TRIM($G$2:$G$518)&amp;TRIM($I$2:$I$518)&amp;TRIM($J$2:$J$518))&lt;&gt;UPPER(TRIM($G366)&amp;TRIM($I366)&amp;TRIM($J366))))&gt;0), AND($X366&lt;&gt;"", LOWER(TRIM($X366))&lt;&gt;"n/a", LOWER(TRIM($X366))&lt;&gt;"na", SUMPRODUCT(--(UPPER(TRIM($X$2:$X$518))=UPPER(TRIM($X366))), --(UPPER(TRIM($B$2:$B$518))="YES"), --(UPPER(TRIM($G$2:$G$518)&amp;TRIM($I$2:$I$518)&amp;TRIM($J$2:$J$518))&lt;&gt;UPPER(TRIM($G366)&amp;TRIM($I366)&amp;TRIM($J366))))&gt;0), AND($Y366&lt;&gt;"", LOWER(TRIM($Y366))&lt;&gt;"n/a", LOWER(TRIM($Y366))&lt;&gt;"na", SUMPRODUCT(--(UPPER(SUBSTITUTE(SUBSTITUTE(TRIM($Y$2:$Y$518),":",""),"-",""))=UPPER(SUBSTITUTE(SUBSTITUTE(TRIM($Y366),":",""),"-",""))), --(UPPER(TRIM($B$2:$B$518))="YES"), --(UPPER(TRIM($G$2:$G$518)&amp;TRIM($I$2:$I$518)&amp;TRIM($J$2:$J$518))&lt;&gt;UPPER(TRIM($G366)&amp;TRIM($I366)&amp;TRIM($J366))))&gt;0), AND($AB366&lt;&gt;"", LOWER(TRIM($AB366))&lt;&gt;"n/a", LOWER(TRIM($AB366))&lt;&gt;"na", SUMPRODUCT(--(UPPER(TRIM($AB$2:$AB$518))=UPPER(TRIM($AB366))), --(UPPER(TRIM($B$2:$B$518))="YES"), --(UPPER(TRIM($G$2:$G$518)&amp;TRIM($I$2:$I$518)&amp;TRIM($J$2:$J$518))&lt;&gt;UPPER(TRIM($G366)&amp;TRIM($I366)&amp;TRIM($J366))))&gt;0), AND($AH366&lt;&gt;"", LOWER(TRIM($AH366))&lt;&gt;"n/a", LOWER(TRIM($AH366))&lt;&gt;"na", SUMPRODUCT(--(UPPER(SUBSTITUTE(SUBSTITUTE(TRIM($AH$2:$AH$518),":",""),"-",""))=UPPER(SUBSTITUTE(SUBSTITUTE(TRIM($AH366),":",""),"-",""))), --(UPPER(TRIM($B$2:$B$518))="YES"), --(UPPER(TRIM($G$2:$G$518)&amp;TRIM($I$2:$I$518)&amp;TRIM($J$2:$J$518))&lt;&gt;UPPER(TRIM($G366)&amp;TRIM($I366)&amp;TRIM($J366))))&gt;0), AND($AP366&lt;&gt;"", LOWER(TRIM($AP366))&lt;&gt;"n/a", LOWER(TRIM($AP366))&lt;&gt;"na", SUMPRODUCT(--(UPPER(TRIM($AP$2:$AP$518))=UPPER(TRIM($AP366))), --(UPPER(TRIM($B$2:$B$518))="YES"), --(UPPER(TRIM($G$2:$G$518)&amp;TRIM($I$2:$I$518)&amp;TRIM($J$2:$J$518))&lt;&gt;UPPER(TRIM($G366)&amp;TRIM($I366)&amp;TRIM($J366))))&gt;0), AND($AQ366&lt;&gt;"", LOWER(TRIM($AQ366))&lt;&gt;"n/a", LOWER(TRIM($AQ366))&lt;&gt;"na", SUMPRODUCT(--(UPPER(TRIM($AQ$2:$AQ$518))=UPPER(TRIM($AQ366))), --(UPPER(TRIM($B$2:$B$518))="YES"), --(UPPER(TRIM($G$2:$G$518)&amp;TRIM($I$2:$I$518)&amp;TRIM($J$2:$J$518))&lt;&gt;UPPER(TRIM($G366)&amp;TRIM($I366)&amp;TRIM($J366))))&gt;0)), "Yes", "No"))</f>
        <v/>
      </c>
      <c r="G366" t="inlineStr">
        <is>
          <t>1 Marcus</t>
        </is>
      </c>
      <c r="H366" t="inlineStr">
        <is>
          <t>LIJ - VAR</t>
        </is>
      </c>
      <c r="V366" s="15" t="inlineStr">
        <is>
          <t>WNH270OPR478</t>
        </is>
      </c>
      <c r="W366" s="76" t="inlineStr">
        <is>
          <t>MEDNM24G25-1226</t>
        </is>
      </c>
      <c r="CD366">
        <f>IF($Y366="","",IF((IF(AND($BR366&lt;&gt;"Yes",$BR366&lt;&gt;"N/A"),"Power Cable, ","")&amp;IF(AND($BS366&lt;&gt;"Yes",$BS366&lt;&gt;"N/A"),"Battery, ","")&amp;IF(AND($AD366&lt;&gt;"Yes",$AD366&lt;&gt;"N/A"),"Firmware Download, ","")&amp;IF(AND(OR($AD366="Yes",$AD366="N/A"),$AE366&lt;&gt;"Yes",$AE366&lt;&gt;"N/A"),"Firmware Install, ","")&amp;IF(AND($CB366&lt;&gt;"Yes",$CB366&lt;&gt;"N/A"),"Device ID, ","")&amp;IF(AND($CC366&lt;&gt;"Yes",$CC366&lt;&gt;"N/A"),"Epic Beans Relay, ",""))="","",LEFT(IF(AND($BR366&lt;&gt;"Yes",$BR366&lt;&gt;"N/A"),"Power Cable, ","")&amp;IF(AND($BS366&lt;&gt;"Yes",$BS366&lt;&gt;"N/A"),"Battery, ","")&amp;IF(AND($AD366&lt;&gt;"Yes",$AD366&lt;&gt;"N/A"),"Firmware Download, ","")&amp;IF(AND(OR($AD366="Yes",$AD366="N/A"),$AE366&lt;&gt;"Yes",$AE366&lt;&gt;"N/A"),"Firmware Install, ","")&amp;IF(AND($CB366&lt;&gt;"Yes",$CB366&lt;&gt;"N/A"),"Device ID, ","")&amp;IF(AND($CC366&lt;&gt;"Yes",$CC366&lt;&gt;"N/A"),"Epic Beans Relay, ",""),LEN(IF(AND($BR366&lt;&gt;"Yes",$BR366&lt;&gt;"N/A"),"Power Cable, ","")&amp;IF(AND($BS366&lt;&gt;"Yes",$BS366&lt;&gt;"N/A"),"Battery, ","")&amp;IF(AND($AD366&lt;&gt;"Yes",$AD366&lt;&gt;"N/A"),"Firmware Download, ","")&amp;IF(AND(OR($AD366="Yes",$AD366="N/A"),$AE366&lt;&gt;"Yes",$AE366&lt;&gt;"N/A"),"Firmware Install, ","")&amp;IF(AND($CB366&lt;&gt;"Yes",$CB366&lt;&gt;"N/A"),"Device ID, ","")&amp;IF(AND($CC366&lt;&gt;"Yes",$CC366&lt;&gt;"N/A"),"Epic Beans Relay, ",""))-2)))</f>
        <v/>
      </c>
      <c r="CE366">
        <f>IF($Y366="","",IF($CD366="","Yes","Blocked"))</f>
        <v/>
      </c>
      <c r="CP366">
        <f>IF($CO366="","",IFERROR(VLOOKUP($CO366,'01_Warehouse_Ledger'!$A:$N,4,FALSE),""))</f>
        <v/>
      </c>
      <c r="CQ366">
        <f>IF($CO366="","",IFERROR(VLOOKUP($CO366,'01_Warehouse_Ledger'!$A:$N,5,FALSE),""))</f>
        <v/>
      </c>
      <c r="CR366">
        <f>IF($CO366="","",IFERROR(VLOOKUP($CO366,'01_Warehouse_Ledger'!$A:$N,13,FALSE),""))</f>
        <v/>
      </c>
      <c r="CW366">
        <f>IF($S366="","",IF(UPPER(TRIM($S366))&lt;&gt;"PASS","",IF(LEN(TRIM($BY366))&gt;0,"NOTES_PRESENT",IF(LEN(TRIM($T366))=0,"SET_NA",IF(OR(LOWER(TRIM($T366))="na",LOWER(TRIM($T366))="n/a"),"OK","MANUAL_OVERRIDE")))))</f>
        <v/>
      </c>
    </row>
    <row r="367">
      <c r="A367" t="inlineStr">
        <is>
          <t>Cybernet</t>
        </is>
      </c>
      <c r="B367" t="inlineStr">
        <is>
          <t>No</t>
        </is>
      </c>
      <c r="C367" t="inlineStr">
        <is>
          <t>No</t>
        </is>
      </c>
      <c r="D367">
        <f>IF($B367&lt;&gt;"Yes","",IF($C367="No","Yes",IF($C367="Yes","No","")))</f>
        <v/>
      </c>
      <c r="E367">
        <f>IF($A367="","",IF(OR(AND($V367&lt;&gt;"",LOWER(TRIM($V367))&lt;&gt;"n/a",LOWER(TRIM($V367))&lt;&gt;"na",SUMPRODUCT(--(UPPER(TRIM($V$2:$V$518))=UPPER(TRIM($V367))),--(TRIM($V$2:$V$518)&lt;&gt;""),--(LOWER(TRIM($V$2:$V$518))&lt;&gt;"n/a"),--(LOWER(TRIM($V$2:$V$518))&lt;&gt;"na"))&gt;1),AND($W367&lt;&gt;"",LOWER(TRIM($W367))&lt;&gt;"n/a",LOWER(TRIM($W367))&lt;&gt;"na",SUMPRODUCT(--(UPPER(TRIM($W$2:$W$518))=UPPER(TRIM($W367))),--(TRIM($W$2:$W$518)&lt;&gt;""),--(LOWER(TRIM($W$2:$W$518))&lt;&gt;"n/a"),--(LOWER(TRIM($W$2:$W$518))&lt;&gt;"na"))&gt;1),AND($X367&lt;&gt;"",LOWER(TRIM($X367))&lt;&gt;"n/a",LOWER(TRIM($X367))&lt;&gt;"na",SUMPRODUCT(--(UPPER(TRIM($X$2:$X$518))=UPPER(TRIM($X367))),--(TRIM($X$2:$X$518)&lt;&gt;""),--(LOWER(TRIM($X$2:$X$518))&lt;&gt;"n/a"),--(LOWER(TRIM($X$2:$X$518))&lt;&gt;"na"))&gt;1),AND($Y367&lt;&gt;"",LOWER(TRIM($Y367))&lt;&gt;"n/a",LOWER(TRIM($Y367))&lt;&gt;"na",SUMPRODUCT(--(UPPER(SUBSTITUTE(SUBSTITUTE(TRIM($Y$2:$Y$518),":",""),"-",""))=UPPER(SUBSTITUTE(SUBSTITUTE(TRIM($Y367),":",""),"-",""))),--(TRIM($Y$2:$Y$518)&lt;&gt;""),--(LOWER(TRIM($Y$2:$Y$518))&lt;&gt;"n/a"),--(LOWER(TRIM($Y$2:$Y$518))&lt;&gt;"na"))&gt;1),AND($AB367&lt;&gt;"",LOWER(TRIM($AB367))&lt;&gt;"n/a",LOWER(TRIM($AB367))&lt;&gt;"na",SUMPRODUCT(--(UPPER(TRIM($AB$2:$AB$518))=UPPER(TRIM($AB367))),--(TRIM($AB$2:$AB$518)&lt;&gt;""),--(LOWER(TRIM($AB$2:$AB$518))&lt;&gt;"n/a"),--(LOWER(TRIM($AB$2:$AB$518))&lt;&gt;"na"))&gt;1),AND($AH367&lt;&gt;"",LOWER(TRIM($AH367))&lt;&gt;"n/a",LOWER(TRIM($AH367))&lt;&gt;"na",SUMPRODUCT(--(UPPER(SUBSTITUTE(SUBSTITUTE(TRIM($AH$2:$AH$518),":",""),"-",""))=UPPER(SUBSTITUTE(SUBSTITUTE(TRIM($AH367),":",""),"-",""))),--(TRIM($AH$2:$AH$518)&lt;&gt;""),--(LOWER(TRIM($AH$2:$AH$518))&lt;&gt;"n/a"),--(LOWER(TRIM($AH$2:$AH$518))&lt;&gt;"na"))&gt;1),AND($AP367&lt;&gt;"",LOWER(TRIM($AP367))&lt;&gt;"n/a",LOWER(TRIM($AP367))&lt;&gt;"na",SUMPRODUCT(--(UPPER(TRIM($AP$2:$AP$518))=UPPER(TRIM($AP367))),--(TRIM($AP$2:$AP$518)&lt;&gt;""),--(LOWER(TRIM($AP$2:$AP$518))&lt;&gt;"n/a"),--(LOWER(TRIM($AP$2:$AP$518))&lt;&gt;"na"))&gt;1),AND($AQ367&lt;&gt;"",LOWER(TRIM($AQ367))&lt;&gt;"n/a",LOWER(TRIM($AQ367))&lt;&gt;"na",SUMPRODUCT(--(UPPER(TRIM($AQ$2:$AQ$518))=UPPER(TRIM($AQ367))),--(TRIM($AQ$2:$AQ$518)&lt;&gt;""),--(LOWER(TRIM($AQ$2:$AQ$518))&lt;&gt;"n/a"),--(LOWER(TRIM($AQ$2:$AQ$518))&lt;&gt;"na"))&gt;1)),"Yes","No"))</f>
        <v/>
      </c>
      <c r="F367">
        <f>IF(UPPER(TRIM($B367))&lt;&gt;"YES","", IF(OR(AND($V367&lt;&gt;"", LOWER(TRIM($V367))&lt;&gt;"n/a", LOWER(TRIM($V367))&lt;&gt;"na", SUMPRODUCT(--(UPPER(TRIM($V$2:$V$518))=UPPER(TRIM($V367))), --(UPPER(TRIM($B$2:$B$518))="YES"), --(UPPER(TRIM($G$2:$G$518)&amp;TRIM($I$2:$I$518)&amp;TRIM($J$2:$J$518))&lt;&gt;UPPER(TRIM($G367)&amp;TRIM($I367)&amp;TRIM($J367))))&gt;0), AND($W367&lt;&gt;"", LOWER(TRIM($W367))&lt;&gt;"n/a", LOWER(TRIM($W367))&lt;&gt;"na", SUMPRODUCT(--(UPPER(TRIM($W$2:$W$518))=UPPER(TRIM($W367))), --(UPPER(TRIM($B$2:$B$518))="YES"), --(UPPER(TRIM($G$2:$G$518)&amp;TRIM($I$2:$I$518)&amp;TRIM($J$2:$J$518))&lt;&gt;UPPER(TRIM($G367)&amp;TRIM($I367)&amp;TRIM($J367))))&gt;0), AND($X367&lt;&gt;"", LOWER(TRIM($X367))&lt;&gt;"n/a", LOWER(TRIM($X367))&lt;&gt;"na", SUMPRODUCT(--(UPPER(TRIM($X$2:$X$518))=UPPER(TRIM($X367))), --(UPPER(TRIM($B$2:$B$518))="YES"), --(UPPER(TRIM($G$2:$G$518)&amp;TRIM($I$2:$I$518)&amp;TRIM($J$2:$J$518))&lt;&gt;UPPER(TRIM($G367)&amp;TRIM($I367)&amp;TRIM($J367))))&gt;0), AND($Y367&lt;&gt;"", LOWER(TRIM($Y367))&lt;&gt;"n/a", LOWER(TRIM($Y367))&lt;&gt;"na", SUMPRODUCT(--(UPPER(SUBSTITUTE(SUBSTITUTE(TRIM($Y$2:$Y$518),":",""),"-",""))=UPPER(SUBSTITUTE(SUBSTITUTE(TRIM($Y367),":",""),"-",""))), --(UPPER(TRIM($B$2:$B$518))="YES"), --(UPPER(TRIM($G$2:$G$518)&amp;TRIM($I$2:$I$518)&amp;TRIM($J$2:$J$518))&lt;&gt;UPPER(TRIM($G367)&amp;TRIM($I367)&amp;TRIM($J367))))&gt;0), AND($AB367&lt;&gt;"", LOWER(TRIM($AB367))&lt;&gt;"n/a", LOWER(TRIM($AB367))&lt;&gt;"na", SUMPRODUCT(--(UPPER(TRIM($AB$2:$AB$518))=UPPER(TRIM($AB367))), --(UPPER(TRIM($B$2:$B$518))="YES"), --(UPPER(TRIM($G$2:$G$518)&amp;TRIM($I$2:$I$518)&amp;TRIM($J$2:$J$518))&lt;&gt;UPPER(TRIM($G367)&amp;TRIM($I367)&amp;TRIM($J367))))&gt;0), AND($AH367&lt;&gt;"", LOWER(TRIM($AH367))&lt;&gt;"n/a", LOWER(TRIM($AH367))&lt;&gt;"na", SUMPRODUCT(--(UPPER(SUBSTITUTE(SUBSTITUTE(TRIM($AH$2:$AH$518),":",""),"-",""))=UPPER(SUBSTITUTE(SUBSTITUTE(TRIM($AH367),":",""),"-",""))), --(UPPER(TRIM($B$2:$B$518))="YES"), --(UPPER(TRIM($G$2:$G$518)&amp;TRIM($I$2:$I$518)&amp;TRIM($J$2:$J$518))&lt;&gt;UPPER(TRIM($G367)&amp;TRIM($I367)&amp;TRIM($J367))))&gt;0), AND($AP367&lt;&gt;"", LOWER(TRIM($AP367))&lt;&gt;"n/a", LOWER(TRIM($AP367))&lt;&gt;"na", SUMPRODUCT(--(UPPER(TRIM($AP$2:$AP$518))=UPPER(TRIM($AP367))), --(UPPER(TRIM($B$2:$B$518))="YES"), --(UPPER(TRIM($G$2:$G$518)&amp;TRIM($I$2:$I$518)&amp;TRIM($J$2:$J$518))&lt;&gt;UPPER(TRIM($G367)&amp;TRIM($I367)&amp;TRIM($J367))))&gt;0), AND($AQ367&lt;&gt;"", LOWER(TRIM($AQ367))&lt;&gt;"n/a", LOWER(TRIM($AQ367))&lt;&gt;"na", SUMPRODUCT(--(UPPER(TRIM($AQ$2:$AQ$518))=UPPER(TRIM($AQ367))), --(UPPER(TRIM($B$2:$B$518))="YES"), --(UPPER(TRIM($G$2:$G$518)&amp;TRIM($I$2:$I$518)&amp;TRIM($J$2:$J$518))&lt;&gt;UPPER(TRIM($G367)&amp;TRIM($I367)&amp;TRIM($J367))))&gt;0)), "Yes", "No"))</f>
        <v/>
      </c>
      <c r="G367" t="inlineStr">
        <is>
          <t>1 Marcus</t>
        </is>
      </c>
      <c r="H367" t="inlineStr">
        <is>
          <t>LIJ - VAR</t>
        </is>
      </c>
      <c r="V367" t="inlineStr">
        <is>
          <t>WNH270OPR479</t>
        </is>
      </c>
      <c r="W367" s="76" t="inlineStr">
        <is>
          <t>MEDNM24G25-1218</t>
        </is>
      </c>
      <c r="CD367">
        <f>IF($Y367="","",IF((IF(AND($BR367&lt;&gt;"Yes",$BR367&lt;&gt;"N/A"),"Power Cable, ","")&amp;IF(AND($BS367&lt;&gt;"Yes",$BS367&lt;&gt;"N/A"),"Battery, ","")&amp;IF(AND($AD367&lt;&gt;"Yes",$AD367&lt;&gt;"N/A"),"Firmware Download, ","")&amp;IF(AND(OR($AD367="Yes",$AD367="N/A"),$AE367&lt;&gt;"Yes",$AE367&lt;&gt;"N/A"),"Firmware Install, ","")&amp;IF(AND($CB367&lt;&gt;"Yes",$CB367&lt;&gt;"N/A"),"Device ID, ","")&amp;IF(AND($CC367&lt;&gt;"Yes",$CC367&lt;&gt;"N/A"),"Epic Beans Relay, ",""))="","",LEFT(IF(AND($BR367&lt;&gt;"Yes",$BR367&lt;&gt;"N/A"),"Power Cable, ","")&amp;IF(AND($BS367&lt;&gt;"Yes",$BS367&lt;&gt;"N/A"),"Battery, ","")&amp;IF(AND($AD367&lt;&gt;"Yes",$AD367&lt;&gt;"N/A"),"Firmware Download, ","")&amp;IF(AND(OR($AD367="Yes",$AD367="N/A"),$AE367&lt;&gt;"Yes",$AE367&lt;&gt;"N/A"),"Firmware Install, ","")&amp;IF(AND($CB367&lt;&gt;"Yes",$CB367&lt;&gt;"N/A"),"Device ID, ","")&amp;IF(AND($CC367&lt;&gt;"Yes",$CC367&lt;&gt;"N/A"),"Epic Beans Relay, ",""),LEN(IF(AND($BR367&lt;&gt;"Yes",$BR367&lt;&gt;"N/A"),"Power Cable, ","")&amp;IF(AND($BS367&lt;&gt;"Yes",$BS367&lt;&gt;"N/A"),"Battery, ","")&amp;IF(AND($AD367&lt;&gt;"Yes",$AD367&lt;&gt;"N/A"),"Firmware Download, ","")&amp;IF(AND(OR($AD367="Yes",$AD367="N/A"),$AE367&lt;&gt;"Yes",$AE367&lt;&gt;"N/A"),"Firmware Install, ","")&amp;IF(AND($CB367&lt;&gt;"Yes",$CB367&lt;&gt;"N/A"),"Device ID, ","")&amp;IF(AND($CC367&lt;&gt;"Yes",$CC367&lt;&gt;"N/A"),"Epic Beans Relay, ",""))-2)))</f>
        <v/>
      </c>
      <c r="CE367">
        <f>IF($Y367="","",IF($CD367="","Yes","Blocked"))</f>
        <v/>
      </c>
      <c r="CP367">
        <f>IF($CO367="","",IFERROR(VLOOKUP($CO367,'01_Warehouse_Ledger'!$A:$N,4,FALSE),""))</f>
        <v/>
      </c>
      <c r="CQ367">
        <f>IF($CO367="","",IFERROR(VLOOKUP($CO367,'01_Warehouse_Ledger'!$A:$N,5,FALSE),""))</f>
        <v/>
      </c>
      <c r="CR367">
        <f>IF($CO367="","",IFERROR(VLOOKUP($CO367,'01_Warehouse_Ledger'!$A:$N,13,FALSE),""))</f>
        <v/>
      </c>
      <c r="CW367">
        <f>IF($S367="","",IF(UPPER(TRIM($S367))&lt;&gt;"PASS","",IF(LEN(TRIM($BY367))&gt;0,"NOTES_PRESENT",IF(LEN(TRIM($T367))=0,"SET_NA",IF(OR(LOWER(TRIM($T367))="na",LOWER(TRIM($T367))="n/a"),"OK","MANUAL_OVERRIDE")))))</f>
        <v/>
      </c>
    </row>
    <row r="368">
      <c r="A368" t="inlineStr">
        <is>
          <t>Cybernet</t>
        </is>
      </c>
      <c r="B368" t="inlineStr">
        <is>
          <t>No</t>
        </is>
      </c>
      <c r="C368" t="inlineStr">
        <is>
          <t>No</t>
        </is>
      </c>
      <c r="D368">
        <f>IF($B368&lt;&gt;"Yes","",IF($C368="No","Yes",IF($C368="Yes","No","")))</f>
        <v/>
      </c>
      <c r="E368">
        <f>IF($A368="","",IF(OR(AND($V368&lt;&gt;"",LOWER(TRIM($V368))&lt;&gt;"n/a",LOWER(TRIM($V368))&lt;&gt;"na",SUMPRODUCT(--(UPPER(TRIM($V$2:$V$518))=UPPER(TRIM($V368))),--(TRIM($V$2:$V$518)&lt;&gt;""),--(LOWER(TRIM($V$2:$V$518))&lt;&gt;"n/a"),--(LOWER(TRIM($V$2:$V$518))&lt;&gt;"na"))&gt;1),AND($W368&lt;&gt;"",LOWER(TRIM($W368))&lt;&gt;"n/a",LOWER(TRIM($W368))&lt;&gt;"na",SUMPRODUCT(--(UPPER(TRIM($W$2:$W$518))=UPPER(TRIM($W368))),--(TRIM($W$2:$W$518)&lt;&gt;""),--(LOWER(TRIM($W$2:$W$518))&lt;&gt;"n/a"),--(LOWER(TRIM($W$2:$W$518))&lt;&gt;"na"))&gt;1),AND($X368&lt;&gt;"",LOWER(TRIM($X368))&lt;&gt;"n/a",LOWER(TRIM($X368))&lt;&gt;"na",SUMPRODUCT(--(UPPER(TRIM($X$2:$X$518))=UPPER(TRIM($X368))),--(TRIM($X$2:$X$518)&lt;&gt;""),--(LOWER(TRIM($X$2:$X$518))&lt;&gt;"n/a"),--(LOWER(TRIM($X$2:$X$518))&lt;&gt;"na"))&gt;1),AND($Y368&lt;&gt;"",LOWER(TRIM($Y368))&lt;&gt;"n/a",LOWER(TRIM($Y368))&lt;&gt;"na",SUMPRODUCT(--(UPPER(SUBSTITUTE(SUBSTITUTE(TRIM($Y$2:$Y$518),":",""),"-",""))=UPPER(SUBSTITUTE(SUBSTITUTE(TRIM($Y368),":",""),"-",""))),--(TRIM($Y$2:$Y$518)&lt;&gt;""),--(LOWER(TRIM($Y$2:$Y$518))&lt;&gt;"n/a"),--(LOWER(TRIM($Y$2:$Y$518))&lt;&gt;"na"))&gt;1),AND($AB368&lt;&gt;"",LOWER(TRIM($AB368))&lt;&gt;"n/a",LOWER(TRIM($AB368))&lt;&gt;"na",SUMPRODUCT(--(UPPER(TRIM($AB$2:$AB$518))=UPPER(TRIM($AB368))),--(TRIM($AB$2:$AB$518)&lt;&gt;""),--(LOWER(TRIM($AB$2:$AB$518))&lt;&gt;"n/a"),--(LOWER(TRIM($AB$2:$AB$518))&lt;&gt;"na"))&gt;1),AND($AH368&lt;&gt;"",LOWER(TRIM($AH368))&lt;&gt;"n/a",LOWER(TRIM($AH368))&lt;&gt;"na",SUMPRODUCT(--(UPPER(SUBSTITUTE(SUBSTITUTE(TRIM($AH$2:$AH$518),":",""),"-",""))=UPPER(SUBSTITUTE(SUBSTITUTE(TRIM($AH368),":",""),"-",""))),--(TRIM($AH$2:$AH$518)&lt;&gt;""),--(LOWER(TRIM($AH$2:$AH$518))&lt;&gt;"n/a"),--(LOWER(TRIM($AH$2:$AH$518))&lt;&gt;"na"))&gt;1),AND($AP368&lt;&gt;"",LOWER(TRIM($AP368))&lt;&gt;"n/a",LOWER(TRIM($AP368))&lt;&gt;"na",SUMPRODUCT(--(UPPER(TRIM($AP$2:$AP$518))=UPPER(TRIM($AP368))),--(TRIM($AP$2:$AP$518)&lt;&gt;""),--(LOWER(TRIM($AP$2:$AP$518))&lt;&gt;"n/a"),--(LOWER(TRIM($AP$2:$AP$518))&lt;&gt;"na"))&gt;1),AND($AQ368&lt;&gt;"",LOWER(TRIM($AQ368))&lt;&gt;"n/a",LOWER(TRIM($AQ368))&lt;&gt;"na",SUMPRODUCT(--(UPPER(TRIM($AQ$2:$AQ$518))=UPPER(TRIM($AQ368))),--(TRIM($AQ$2:$AQ$518)&lt;&gt;""),--(LOWER(TRIM($AQ$2:$AQ$518))&lt;&gt;"n/a"),--(LOWER(TRIM($AQ$2:$AQ$518))&lt;&gt;"na"))&gt;1)),"Yes","No"))</f>
        <v/>
      </c>
      <c r="F368">
        <f>IF(UPPER(TRIM($B368))&lt;&gt;"YES","", IF(OR(AND($V368&lt;&gt;"", LOWER(TRIM($V368))&lt;&gt;"n/a", LOWER(TRIM($V368))&lt;&gt;"na", SUMPRODUCT(--(UPPER(TRIM($V$2:$V$518))=UPPER(TRIM($V368))), --(UPPER(TRIM($B$2:$B$518))="YES"), --(UPPER(TRIM($G$2:$G$518)&amp;TRIM($I$2:$I$518)&amp;TRIM($J$2:$J$518))&lt;&gt;UPPER(TRIM($G368)&amp;TRIM($I368)&amp;TRIM($J368))))&gt;0), AND($W368&lt;&gt;"", LOWER(TRIM($W368))&lt;&gt;"n/a", LOWER(TRIM($W368))&lt;&gt;"na", SUMPRODUCT(--(UPPER(TRIM($W$2:$W$518))=UPPER(TRIM($W368))), --(UPPER(TRIM($B$2:$B$518))="YES"), --(UPPER(TRIM($G$2:$G$518)&amp;TRIM($I$2:$I$518)&amp;TRIM($J$2:$J$518))&lt;&gt;UPPER(TRIM($G368)&amp;TRIM($I368)&amp;TRIM($J368))))&gt;0), AND($X368&lt;&gt;"", LOWER(TRIM($X368))&lt;&gt;"n/a", LOWER(TRIM($X368))&lt;&gt;"na", SUMPRODUCT(--(UPPER(TRIM($X$2:$X$518))=UPPER(TRIM($X368))), --(UPPER(TRIM($B$2:$B$518))="YES"), --(UPPER(TRIM($G$2:$G$518)&amp;TRIM($I$2:$I$518)&amp;TRIM($J$2:$J$518))&lt;&gt;UPPER(TRIM($G368)&amp;TRIM($I368)&amp;TRIM($J368))))&gt;0), AND($Y368&lt;&gt;"", LOWER(TRIM($Y368))&lt;&gt;"n/a", LOWER(TRIM($Y368))&lt;&gt;"na", SUMPRODUCT(--(UPPER(SUBSTITUTE(SUBSTITUTE(TRIM($Y$2:$Y$518),":",""),"-",""))=UPPER(SUBSTITUTE(SUBSTITUTE(TRIM($Y368),":",""),"-",""))), --(UPPER(TRIM($B$2:$B$518))="YES"), --(UPPER(TRIM($G$2:$G$518)&amp;TRIM($I$2:$I$518)&amp;TRIM($J$2:$J$518))&lt;&gt;UPPER(TRIM($G368)&amp;TRIM($I368)&amp;TRIM($J368))))&gt;0), AND($AB368&lt;&gt;"", LOWER(TRIM($AB368))&lt;&gt;"n/a", LOWER(TRIM($AB368))&lt;&gt;"na", SUMPRODUCT(--(UPPER(TRIM($AB$2:$AB$518))=UPPER(TRIM($AB368))), --(UPPER(TRIM($B$2:$B$518))="YES"), --(UPPER(TRIM($G$2:$G$518)&amp;TRIM($I$2:$I$518)&amp;TRIM($J$2:$J$518))&lt;&gt;UPPER(TRIM($G368)&amp;TRIM($I368)&amp;TRIM($J368))))&gt;0), AND($AH368&lt;&gt;"", LOWER(TRIM($AH368))&lt;&gt;"n/a", LOWER(TRIM($AH368))&lt;&gt;"na", SUMPRODUCT(--(UPPER(SUBSTITUTE(SUBSTITUTE(TRIM($AH$2:$AH$518),":",""),"-",""))=UPPER(SUBSTITUTE(SUBSTITUTE(TRIM($AH368),":",""),"-",""))), --(UPPER(TRIM($B$2:$B$518))="YES"), --(UPPER(TRIM($G$2:$G$518)&amp;TRIM($I$2:$I$518)&amp;TRIM($J$2:$J$518))&lt;&gt;UPPER(TRIM($G368)&amp;TRIM($I368)&amp;TRIM($J368))))&gt;0), AND($AP368&lt;&gt;"", LOWER(TRIM($AP368))&lt;&gt;"n/a", LOWER(TRIM($AP368))&lt;&gt;"na", SUMPRODUCT(--(UPPER(TRIM($AP$2:$AP$518))=UPPER(TRIM($AP368))), --(UPPER(TRIM($B$2:$B$518))="YES"), --(UPPER(TRIM($G$2:$G$518)&amp;TRIM($I$2:$I$518)&amp;TRIM($J$2:$J$518))&lt;&gt;UPPER(TRIM($G368)&amp;TRIM($I368)&amp;TRIM($J368))))&gt;0), AND($AQ368&lt;&gt;"", LOWER(TRIM($AQ368))&lt;&gt;"n/a", LOWER(TRIM($AQ368))&lt;&gt;"na", SUMPRODUCT(--(UPPER(TRIM($AQ$2:$AQ$518))=UPPER(TRIM($AQ368))), --(UPPER(TRIM($B$2:$B$518))="YES"), --(UPPER(TRIM($G$2:$G$518)&amp;TRIM($I$2:$I$518)&amp;TRIM($J$2:$J$518))&lt;&gt;UPPER(TRIM($G368)&amp;TRIM($I368)&amp;TRIM($J368))))&gt;0)), "Yes", "No"))</f>
        <v/>
      </c>
      <c r="G368" t="inlineStr">
        <is>
          <t>1 Marcus</t>
        </is>
      </c>
      <c r="H368" t="inlineStr">
        <is>
          <t>LIJ - VAR</t>
        </is>
      </c>
      <c r="V368" s="15" t="inlineStr">
        <is>
          <t>WNH270OPR480</t>
        </is>
      </c>
      <c r="W368" s="76" t="inlineStr">
        <is>
          <t>MEDNM24G25-0885</t>
        </is>
      </c>
      <c r="CD368">
        <f>IF($Y368="","",IF((IF(AND($BR368&lt;&gt;"Yes",$BR368&lt;&gt;"N/A"),"Power Cable, ","")&amp;IF(AND($BS368&lt;&gt;"Yes",$BS368&lt;&gt;"N/A"),"Battery, ","")&amp;IF(AND($AD368&lt;&gt;"Yes",$AD368&lt;&gt;"N/A"),"Firmware Download, ","")&amp;IF(AND(OR($AD368="Yes",$AD368="N/A"),$AE368&lt;&gt;"Yes",$AE368&lt;&gt;"N/A"),"Firmware Install, ","")&amp;IF(AND($CB368&lt;&gt;"Yes",$CB368&lt;&gt;"N/A"),"Device ID, ","")&amp;IF(AND($CC368&lt;&gt;"Yes",$CC368&lt;&gt;"N/A"),"Epic Beans Relay, ",""))="","",LEFT(IF(AND($BR368&lt;&gt;"Yes",$BR368&lt;&gt;"N/A"),"Power Cable, ","")&amp;IF(AND($BS368&lt;&gt;"Yes",$BS368&lt;&gt;"N/A"),"Battery, ","")&amp;IF(AND($AD368&lt;&gt;"Yes",$AD368&lt;&gt;"N/A"),"Firmware Download, ","")&amp;IF(AND(OR($AD368="Yes",$AD368="N/A"),$AE368&lt;&gt;"Yes",$AE368&lt;&gt;"N/A"),"Firmware Install, ","")&amp;IF(AND($CB368&lt;&gt;"Yes",$CB368&lt;&gt;"N/A"),"Device ID, ","")&amp;IF(AND($CC368&lt;&gt;"Yes",$CC368&lt;&gt;"N/A"),"Epic Beans Relay, ",""),LEN(IF(AND($BR368&lt;&gt;"Yes",$BR368&lt;&gt;"N/A"),"Power Cable, ","")&amp;IF(AND($BS368&lt;&gt;"Yes",$BS368&lt;&gt;"N/A"),"Battery, ","")&amp;IF(AND($AD368&lt;&gt;"Yes",$AD368&lt;&gt;"N/A"),"Firmware Download, ","")&amp;IF(AND(OR($AD368="Yes",$AD368="N/A"),$AE368&lt;&gt;"Yes",$AE368&lt;&gt;"N/A"),"Firmware Install, ","")&amp;IF(AND($CB368&lt;&gt;"Yes",$CB368&lt;&gt;"N/A"),"Device ID, ","")&amp;IF(AND($CC368&lt;&gt;"Yes",$CC368&lt;&gt;"N/A"),"Epic Beans Relay, ",""))-2)))</f>
        <v/>
      </c>
      <c r="CE368">
        <f>IF($Y368="","",IF($CD368="","Yes","Blocked"))</f>
        <v/>
      </c>
      <c r="CP368">
        <f>IF($CO368="","",IFERROR(VLOOKUP($CO368,'01_Warehouse_Ledger'!$A:$N,4,FALSE),""))</f>
        <v/>
      </c>
      <c r="CQ368">
        <f>IF($CO368="","",IFERROR(VLOOKUP($CO368,'01_Warehouse_Ledger'!$A:$N,5,FALSE),""))</f>
        <v/>
      </c>
      <c r="CR368">
        <f>IF($CO368="","",IFERROR(VLOOKUP($CO368,'01_Warehouse_Ledger'!$A:$N,13,FALSE),""))</f>
        <v/>
      </c>
      <c r="CW368">
        <f>IF($S368="","",IF(UPPER(TRIM($S368))&lt;&gt;"PASS","",IF(LEN(TRIM($BY368))&gt;0,"NOTES_PRESENT",IF(LEN(TRIM($T368))=0,"SET_NA",IF(OR(LOWER(TRIM($T368))="na",LOWER(TRIM($T368))="n/a"),"OK","MANUAL_OVERRIDE")))))</f>
        <v/>
      </c>
    </row>
    <row r="369">
      <c r="A369" t="inlineStr">
        <is>
          <t>Cybernet</t>
        </is>
      </c>
      <c r="B369" t="inlineStr">
        <is>
          <t>No</t>
        </is>
      </c>
      <c r="C369" t="inlineStr">
        <is>
          <t>No</t>
        </is>
      </c>
      <c r="D369">
        <f>IF($B369&lt;&gt;"Yes","",IF($C369="No","Yes",IF($C369="Yes","No","")))</f>
        <v/>
      </c>
      <c r="E369">
        <f>IF($A369="","",IF(OR(AND($V369&lt;&gt;"",LOWER(TRIM($V369))&lt;&gt;"n/a",LOWER(TRIM($V369))&lt;&gt;"na",SUMPRODUCT(--(UPPER(TRIM($V$2:$V$518))=UPPER(TRIM($V369))),--(TRIM($V$2:$V$518)&lt;&gt;""),--(LOWER(TRIM($V$2:$V$518))&lt;&gt;"n/a"),--(LOWER(TRIM($V$2:$V$518))&lt;&gt;"na"))&gt;1),AND($W369&lt;&gt;"",LOWER(TRIM($W369))&lt;&gt;"n/a",LOWER(TRIM($W369))&lt;&gt;"na",SUMPRODUCT(--(UPPER(TRIM($W$2:$W$518))=UPPER(TRIM($W369))),--(TRIM($W$2:$W$518)&lt;&gt;""),--(LOWER(TRIM($W$2:$W$518))&lt;&gt;"n/a"),--(LOWER(TRIM($W$2:$W$518))&lt;&gt;"na"))&gt;1),AND($X369&lt;&gt;"",LOWER(TRIM($X369))&lt;&gt;"n/a",LOWER(TRIM($X369))&lt;&gt;"na",SUMPRODUCT(--(UPPER(TRIM($X$2:$X$518))=UPPER(TRIM($X369))),--(TRIM($X$2:$X$518)&lt;&gt;""),--(LOWER(TRIM($X$2:$X$518))&lt;&gt;"n/a"),--(LOWER(TRIM($X$2:$X$518))&lt;&gt;"na"))&gt;1),AND($Y369&lt;&gt;"",LOWER(TRIM($Y369))&lt;&gt;"n/a",LOWER(TRIM($Y369))&lt;&gt;"na",SUMPRODUCT(--(UPPER(SUBSTITUTE(SUBSTITUTE(TRIM($Y$2:$Y$518),":",""),"-",""))=UPPER(SUBSTITUTE(SUBSTITUTE(TRIM($Y369),":",""),"-",""))),--(TRIM($Y$2:$Y$518)&lt;&gt;""),--(LOWER(TRIM($Y$2:$Y$518))&lt;&gt;"n/a"),--(LOWER(TRIM($Y$2:$Y$518))&lt;&gt;"na"))&gt;1),AND($AB369&lt;&gt;"",LOWER(TRIM($AB369))&lt;&gt;"n/a",LOWER(TRIM($AB369))&lt;&gt;"na",SUMPRODUCT(--(UPPER(TRIM($AB$2:$AB$518))=UPPER(TRIM($AB369))),--(TRIM($AB$2:$AB$518)&lt;&gt;""),--(LOWER(TRIM($AB$2:$AB$518))&lt;&gt;"n/a"),--(LOWER(TRIM($AB$2:$AB$518))&lt;&gt;"na"))&gt;1),AND($AH369&lt;&gt;"",LOWER(TRIM($AH369))&lt;&gt;"n/a",LOWER(TRIM($AH369))&lt;&gt;"na",SUMPRODUCT(--(UPPER(SUBSTITUTE(SUBSTITUTE(TRIM($AH$2:$AH$518),":",""),"-",""))=UPPER(SUBSTITUTE(SUBSTITUTE(TRIM($AH369),":",""),"-",""))),--(TRIM($AH$2:$AH$518)&lt;&gt;""),--(LOWER(TRIM($AH$2:$AH$518))&lt;&gt;"n/a"),--(LOWER(TRIM($AH$2:$AH$518))&lt;&gt;"na"))&gt;1),AND($AP369&lt;&gt;"",LOWER(TRIM($AP369))&lt;&gt;"n/a",LOWER(TRIM($AP369))&lt;&gt;"na",SUMPRODUCT(--(UPPER(TRIM($AP$2:$AP$518))=UPPER(TRIM($AP369))),--(TRIM($AP$2:$AP$518)&lt;&gt;""),--(LOWER(TRIM($AP$2:$AP$518))&lt;&gt;"n/a"),--(LOWER(TRIM($AP$2:$AP$518))&lt;&gt;"na"))&gt;1),AND($AQ369&lt;&gt;"",LOWER(TRIM($AQ369))&lt;&gt;"n/a",LOWER(TRIM($AQ369))&lt;&gt;"na",SUMPRODUCT(--(UPPER(TRIM($AQ$2:$AQ$518))=UPPER(TRIM($AQ369))),--(TRIM($AQ$2:$AQ$518)&lt;&gt;""),--(LOWER(TRIM($AQ$2:$AQ$518))&lt;&gt;"n/a"),--(LOWER(TRIM($AQ$2:$AQ$518))&lt;&gt;"na"))&gt;1)),"Yes","No"))</f>
        <v/>
      </c>
      <c r="F369">
        <f>IF(UPPER(TRIM($B369))&lt;&gt;"YES","", IF(OR(AND($V369&lt;&gt;"", LOWER(TRIM($V369))&lt;&gt;"n/a", LOWER(TRIM($V369))&lt;&gt;"na", SUMPRODUCT(--(UPPER(TRIM($V$2:$V$518))=UPPER(TRIM($V369))), --(UPPER(TRIM($B$2:$B$518))="YES"), --(UPPER(TRIM($G$2:$G$518)&amp;TRIM($I$2:$I$518)&amp;TRIM($J$2:$J$518))&lt;&gt;UPPER(TRIM($G369)&amp;TRIM($I369)&amp;TRIM($J369))))&gt;0), AND($W369&lt;&gt;"", LOWER(TRIM($W369))&lt;&gt;"n/a", LOWER(TRIM($W369))&lt;&gt;"na", SUMPRODUCT(--(UPPER(TRIM($W$2:$W$518))=UPPER(TRIM($W369))), --(UPPER(TRIM($B$2:$B$518))="YES"), --(UPPER(TRIM($G$2:$G$518)&amp;TRIM($I$2:$I$518)&amp;TRIM($J$2:$J$518))&lt;&gt;UPPER(TRIM($G369)&amp;TRIM($I369)&amp;TRIM($J369))))&gt;0), AND($X369&lt;&gt;"", LOWER(TRIM($X369))&lt;&gt;"n/a", LOWER(TRIM($X369))&lt;&gt;"na", SUMPRODUCT(--(UPPER(TRIM($X$2:$X$518))=UPPER(TRIM($X369))), --(UPPER(TRIM($B$2:$B$518))="YES"), --(UPPER(TRIM($G$2:$G$518)&amp;TRIM($I$2:$I$518)&amp;TRIM($J$2:$J$518))&lt;&gt;UPPER(TRIM($G369)&amp;TRIM($I369)&amp;TRIM($J369))))&gt;0), AND($Y369&lt;&gt;"", LOWER(TRIM($Y369))&lt;&gt;"n/a", LOWER(TRIM($Y369))&lt;&gt;"na", SUMPRODUCT(--(UPPER(SUBSTITUTE(SUBSTITUTE(TRIM($Y$2:$Y$518),":",""),"-",""))=UPPER(SUBSTITUTE(SUBSTITUTE(TRIM($Y369),":",""),"-",""))), --(UPPER(TRIM($B$2:$B$518))="YES"), --(UPPER(TRIM($G$2:$G$518)&amp;TRIM($I$2:$I$518)&amp;TRIM($J$2:$J$518))&lt;&gt;UPPER(TRIM($G369)&amp;TRIM($I369)&amp;TRIM($J369))))&gt;0), AND($AB369&lt;&gt;"", LOWER(TRIM($AB369))&lt;&gt;"n/a", LOWER(TRIM($AB369))&lt;&gt;"na", SUMPRODUCT(--(UPPER(TRIM($AB$2:$AB$518))=UPPER(TRIM($AB369))), --(UPPER(TRIM($B$2:$B$518))="YES"), --(UPPER(TRIM($G$2:$G$518)&amp;TRIM($I$2:$I$518)&amp;TRIM($J$2:$J$518))&lt;&gt;UPPER(TRIM($G369)&amp;TRIM($I369)&amp;TRIM($J369))))&gt;0), AND($AH369&lt;&gt;"", LOWER(TRIM($AH369))&lt;&gt;"n/a", LOWER(TRIM($AH369))&lt;&gt;"na", SUMPRODUCT(--(UPPER(SUBSTITUTE(SUBSTITUTE(TRIM($AH$2:$AH$518),":",""),"-",""))=UPPER(SUBSTITUTE(SUBSTITUTE(TRIM($AH369),":",""),"-",""))), --(UPPER(TRIM($B$2:$B$518))="YES"), --(UPPER(TRIM($G$2:$G$518)&amp;TRIM($I$2:$I$518)&amp;TRIM($J$2:$J$518))&lt;&gt;UPPER(TRIM($G369)&amp;TRIM($I369)&amp;TRIM($J369))))&gt;0), AND($AP369&lt;&gt;"", LOWER(TRIM($AP369))&lt;&gt;"n/a", LOWER(TRIM($AP369))&lt;&gt;"na", SUMPRODUCT(--(UPPER(TRIM($AP$2:$AP$518))=UPPER(TRIM($AP369))), --(UPPER(TRIM($B$2:$B$518))="YES"), --(UPPER(TRIM($G$2:$G$518)&amp;TRIM($I$2:$I$518)&amp;TRIM($J$2:$J$518))&lt;&gt;UPPER(TRIM($G369)&amp;TRIM($I369)&amp;TRIM($J369))))&gt;0), AND($AQ369&lt;&gt;"", LOWER(TRIM($AQ369))&lt;&gt;"n/a", LOWER(TRIM($AQ369))&lt;&gt;"na", SUMPRODUCT(--(UPPER(TRIM($AQ$2:$AQ$518))=UPPER(TRIM($AQ369))), --(UPPER(TRIM($B$2:$B$518))="YES"), --(UPPER(TRIM($G$2:$G$518)&amp;TRIM($I$2:$I$518)&amp;TRIM($J$2:$J$518))&lt;&gt;UPPER(TRIM($G369)&amp;TRIM($I369)&amp;TRIM($J369))))&gt;0)), "Yes", "No"))</f>
        <v/>
      </c>
      <c r="G369" t="inlineStr">
        <is>
          <t>1 Marcus</t>
        </is>
      </c>
      <c r="H369" t="inlineStr">
        <is>
          <t>LIJ - VAR</t>
        </is>
      </c>
      <c r="V369" t="inlineStr">
        <is>
          <t>WNH270OPR481</t>
        </is>
      </c>
      <c r="W369" s="76" t="inlineStr">
        <is>
          <t>MEDNM24G25-0643</t>
        </is>
      </c>
      <c r="CD369">
        <f>IF($Y369="","",IF((IF(AND($BR369&lt;&gt;"Yes",$BR369&lt;&gt;"N/A"),"Power Cable, ","")&amp;IF(AND($BS369&lt;&gt;"Yes",$BS369&lt;&gt;"N/A"),"Battery, ","")&amp;IF(AND($AD369&lt;&gt;"Yes",$AD369&lt;&gt;"N/A"),"Firmware Download, ","")&amp;IF(AND(OR($AD369="Yes",$AD369="N/A"),$AE369&lt;&gt;"Yes",$AE369&lt;&gt;"N/A"),"Firmware Install, ","")&amp;IF(AND($CB369&lt;&gt;"Yes",$CB369&lt;&gt;"N/A"),"Device ID, ","")&amp;IF(AND($CC369&lt;&gt;"Yes",$CC369&lt;&gt;"N/A"),"Epic Beans Relay, ",""))="","",LEFT(IF(AND($BR369&lt;&gt;"Yes",$BR369&lt;&gt;"N/A"),"Power Cable, ","")&amp;IF(AND($BS369&lt;&gt;"Yes",$BS369&lt;&gt;"N/A"),"Battery, ","")&amp;IF(AND($AD369&lt;&gt;"Yes",$AD369&lt;&gt;"N/A"),"Firmware Download, ","")&amp;IF(AND(OR($AD369="Yes",$AD369="N/A"),$AE369&lt;&gt;"Yes",$AE369&lt;&gt;"N/A"),"Firmware Install, ","")&amp;IF(AND($CB369&lt;&gt;"Yes",$CB369&lt;&gt;"N/A"),"Device ID, ","")&amp;IF(AND($CC369&lt;&gt;"Yes",$CC369&lt;&gt;"N/A"),"Epic Beans Relay, ",""),LEN(IF(AND($BR369&lt;&gt;"Yes",$BR369&lt;&gt;"N/A"),"Power Cable, ","")&amp;IF(AND($BS369&lt;&gt;"Yes",$BS369&lt;&gt;"N/A"),"Battery, ","")&amp;IF(AND($AD369&lt;&gt;"Yes",$AD369&lt;&gt;"N/A"),"Firmware Download, ","")&amp;IF(AND(OR($AD369="Yes",$AD369="N/A"),$AE369&lt;&gt;"Yes",$AE369&lt;&gt;"N/A"),"Firmware Install, ","")&amp;IF(AND($CB369&lt;&gt;"Yes",$CB369&lt;&gt;"N/A"),"Device ID, ","")&amp;IF(AND($CC369&lt;&gt;"Yes",$CC369&lt;&gt;"N/A"),"Epic Beans Relay, ",""))-2)))</f>
        <v/>
      </c>
      <c r="CE369">
        <f>IF($Y369="","",IF($CD369="","Yes","Blocked"))</f>
        <v/>
      </c>
      <c r="CP369">
        <f>IF($CO369="","",IFERROR(VLOOKUP($CO369,'01_Warehouse_Ledger'!$A:$N,4,FALSE),""))</f>
        <v/>
      </c>
      <c r="CQ369">
        <f>IF($CO369="","",IFERROR(VLOOKUP($CO369,'01_Warehouse_Ledger'!$A:$N,5,FALSE),""))</f>
        <v/>
      </c>
      <c r="CR369">
        <f>IF($CO369="","",IFERROR(VLOOKUP($CO369,'01_Warehouse_Ledger'!$A:$N,13,FALSE),""))</f>
        <v/>
      </c>
      <c r="CW369">
        <f>IF($S369="","",IF(UPPER(TRIM($S369))&lt;&gt;"PASS","",IF(LEN(TRIM($BY369))&gt;0,"NOTES_PRESENT",IF(LEN(TRIM($T369))=0,"SET_NA",IF(OR(LOWER(TRIM($T369))="na",LOWER(TRIM($T369))="n/a"),"OK","MANUAL_OVERRIDE")))))</f>
        <v/>
      </c>
    </row>
    <row r="370">
      <c r="A370" t="inlineStr">
        <is>
          <t>Cybernet</t>
        </is>
      </c>
      <c r="B370" t="inlineStr">
        <is>
          <t>No</t>
        </is>
      </c>
      <c r="C370" t="inlineStr">
        <is>
          <t>No</t>
        </is>
      </c>
      <c r="D370">
        <f>IF($B370&lt;&gt;"Yes","",IF($C370="No","Yes",IF($C370="Yes","No","")))</f>
        <v/>
      </c>
      <c r="E370">
        <f>IF($A370="","",IF(OR(AND($V370&lt;&gt;"",LOWER(TRIM($V370))&lt;&gt;"n/a",LOWER(TRIM($V370))&lt;&gt;"na",SUMPRODUCT(--(UPPER(TRIM($V$2:$V$518))=UPPER(TRIM($V370))),--(TRIM($V$2:$V$518)&lt;&gt;""),--(LOWER(TRIM($V$2:$V$518))&lt;&gt;"n/a"),--(LOWER(TRIM($V$2:$V$518))&lt;&gt;"na"))&gt;1),AND($W370&lt;&gt;"",LOWER(TRIM($W370))&lt;&gt;"n/a",LOWER(TRIM($W370))&lt;&gt;"na",SUMPRODUCT(--(UPPER(TRIM($W$2:$W$518))=UPPER(TRIM($W370))),--(TRIM($W$2:$W$518)&lt;&gt;""),--(LOWER(TRIM($W$2:$W$518))&lt;&gt;"n/a"),--(LOWER(TRIM($W$2:$W$518))&lt;&gt;"na"))&gt;1),AND($X370&lt;&gt;"",LOWER(TRIM($X370))&lt;&gt;"n/a",LOWER(TRIM($X370))&lt;&gt;"na",SUMPRODUCT(--(UPPER(TRIM($X$2:$X$518))=UPPER(TRIM($X370))),--(TRIM($X$2:$X$518)&lt;&gt;""),--(LOWER(TRIM($X$2:$X$518))&lt;&gt;"n/a"),--(LOWER(TRIM($X$2:$X$518))&lt;&gt;"na"))&gt;1),AND($Y370&lt;&gt;"",LOWER(TRIM($Y370))&lt;&gt;"n/a",LOWER(TRIM($Y370))&lt;&gt;"na",SUMPRODUCT(--(UPPER(SUBSTITUTE(SUBSTITUTE(TRIM($Y$2:$Y$518),":",""),"-",""))=UPPER(SUBSTITUTE(SUBSTITUTE(TRIM($Y370),":",""),"-",""))),--(TRIM($Y$2:$Y$518)&lt;&gt;""),--(LOWER(TRIM($Y$2:$Y$518))&lt;&gt;"n/a"),--(LOWER(TRIM($Y$2:$Y$518))&lt;&gt;"na"))&gt;1),AND($AB370&lt;&gt;"",LOWER(TRIM($AB370))&lt;&gt;"n/a",LOWER(TRIM($AB370))&lt;&gt;"na",SUMPRODUCT(--(UPPER(TRIM($AB$2:$AB$518))=UPPER(TRIM($AB370))),--(TRIM($AB$2:$AB$518)&lt;&gt;""),--(LOWER(TRIM($AB$2:$AB$518))&lt;&gt;"n/a"),--(LOWER(TRIM($AB$2:$AB$518))&lt;&gt;"na"))&gt;1),AND($AH370&lt;&gt;"",LOWER(TRIM($AH370))&lt;&gt;"n/a",LOWER(TRIM($AH370))&lt;&gt;"na",SUMPRODUCT(--(UPPER(SUBSTITUTE(SUBSTITUTE(TRIM($AH$2:$AH$518),":",""),"-",""))=UPPER(SUBSTITUTE(SUBSTITUTE(TRIM($AH370),":",""),"-",""))),--(TRIM($AH$2:$AH$518)&lt;&gt;""),--(LOWER(TRIM($AH$2:$AH$518))&lt;&gt;"n/a"),--(LOWER(TRIM($AH$2:$AH$518))&lt;&gt;"na"))&gt;1),AND($AP370&lt;&gt;"",LOWER(TRIM($AP370))&lt;&gt;"n/a",LOWER(TRIM($AP370))&lt;&gt;"na",SUMPRODUCT(--(UPPER(TRIM($AP$2:$AP$518))=UPPER(TRIM($AP370))),--(TRIM($AP$2:$AP$518)&lt;&gt;""),--(LOWER(TRIM($AP$2:$AP$518))&lt;&gt;"n/a"),--(LOWER(TRIM($AP$2:$AP$518))&lt;&gt;"na"))&gt;1),AND($AQ370&lt;&gt;"",LOWER(TRIM($AQ370))&lt;&gt;"n/a",LOWER(TRIM($AQ370))&lt;&gt;"na",SUMPRODUCT(--(UPPER(TRIM($AQ$2:$AQ$518))=UPPER(TRIM($AQ370))),--(TRIM($AQ$2:$AQ$518)&lt;&gt;""),--(LOWER(TRIM($AQ$2:$AQ$518))&lt;&gt;"n/a"),--(LOWER(TRIM($AQ$2:$AQ$518))&lt;&gt;"na"))&gt;1)),"Yes","No"))</f>
        <v/>
      </c>
      <c r="F370">
        <f>IF(UPPER(TRIM($B370))&lt;&gt;"YES","", IF(OR(AND($V370&lt;&gt;"", LOWER(TRIM($V370))&lt;&gt;"n/a", LOWER(TRIM($V370))&lt;&gt;"na", SUMPRODUCT(--(UPPER(TRIM($V$2:$V$518))=UPPER(TRIM($V370))), --(UPPER(TRIM($B$2:$B$518))="YES"), --(UPPER(TRIM($G$2:$G$518)&amp;TRIM($I$2:$I$518)&amp;TRIM($J$2:$J$518))&lt;&gt;UPPER(TRIM($G370)&amp;TRIM($I370)&amp;TRIM($J370))))&gt;0), AND($W370&lt;&gt;"", LOWER(TRIM($W370))&lt;&gt;"n/a", LOWER(TRIM($W370))&lt;&gt;"na", SUMPRODUCT(--(UPPER(TRIM($W$2:$W$518))=UPPER(TRIM($W370))), --(UPPER(TRIM($B$2:$B$518))="YES"), --(UPPER(TRIM($G$2:$G$518)&amp;TRIM($I$2:$I$518)&amp;TRIM($J$2:$J$518))&lt;&gt;UPPER(TRIM($G370)&amp;TRIM($I370)&amp;TRIM($J370))))&gt;0), AND($X370&lt;&gt;"", LOWER(TRIM($X370))&lt;&gt;"n/a", LOWER(TRIM($X370))&lt;&gt;"na", SUMPRODUCT(--(UPPER(TRIM($X$2:$X$518))=UPPER(TRIM($X370))), --(UPPER(TRIM($B$2:$B$518))="YES"), --(UPPER(TRIM($G$2:$G$518)&amp;TRIM($I$2:$I$518)&amp;TRIM($J$2:$J$518))&lt;&gt;UPPER(TRIM($G370)&amp;TRIM($I370)&amp;TRIM($J370))))&gt;0), AND($Y370&lt;&gt;"", LOWER(TRIM($Y370))&lt;&gt;"n/a", LOWER(TRIM($Y370))&lt;&gt;"na", SUMPRODUCT(--(UPPER(SUBSTITUTE(SUBSTITUTE(TRIM($Y$2:$Y$518),":",""),"-",""))=UPPER(SUBSTITUTE(SUBSTITUTE(TRIM($Y370),":",""),"-",""))), --(UPPER(TRIM($B$2:$B$518))="YES"), --(UPPER(TRIM($G$2:$G$518)&amp;TRIM($I$2:$I$518)&amp;TRIM($J$2:$J$518))&lt;&gt;UPPER(TRIM($G370)&amp;TRIM($I370)&amp;TRIM($J370))))&gt;0), AND($AB370&lt;&gt;"", LOWER(TRIM($AB370))&lt;&gt;"n/a", LOWER(TRIM($AB370))&lt;&gt;"na", SUMPRODUCT(--(UPPER(TRIM($AB$2:$AB$518))=UPPER(TRIM($AB370))), --(UPPER(TRIM($B$2:$B$518))="YES"), --(UPPER(TRIM($G$2:$G$518)&amp;TRIM($I$2:$I$518)&amp;TRIM($J$2:$J$518))&lt;&gt;UPPER(TRIM($G370)&amp;TRIM($I370)&amp;TRIM($J370))))&gt;0), AND($AH370&lt;&gt;"", LOWER(TRIM($AH370))&lt;&gt;"n/a", LOWER(TRIM($AH370))&lt;&gt;"na", SUMPRODUCT(--(UPPER(SUBSTITUTE(SUBSTITUTE(TRIM($AH$2:$AH$518),":",""),"-",""))=UPPER(SUBSTITUTE(SUBSTITUTE(TRIM($AH370),":",""),"-",""))), --(UPPER(TRIM($B$2:$B$518))="YES"), --(UPPER(TRIM($G$2:$G$518)&amp;TRIM($I$2:$I$518)&amp;TRIM($J$2:$J$518))&lt;&gt;UPPER(TRIM($G370)&amp;TRIM($I370)&amp;TRIM($J370))))&gt;0), AND($AP370&lt;&gt;"", LOWER(TRIM($AP370))&lt;&gt;"n/a", LOWER(TRIM($AP370))&lt;&gt;"na", SUMPRODUCT(--(UPPER(TRIM($AP$2:$AP$518))=UPPER(TRIM($AP370))), --(UPPER(TRIM($B$2:$B$518))="YES"), --(UPPER(TRIM($G$2:$G$518)&amp;TRIM($I$2:$I$518)&amp;TRIM($J$2:$J$518))&lt;&gt;UPPER(TRIM($G370)&amp;TRIM($I370)&amp;TRIM($J370))))&gt;0), AND($AQ370&lt;&gt;"", LOWER(TRIM($AQ370))&lt;&gt;"n/a", LOWER(TRIM($AQ370))&lt;&gt;"na", SUMPRODUCT(--(UPPER(TRIM($AQ$2:$AQ$518))=UPPER(TRIM($AQ370))), --(UPPER(TRIM($B$2:$B$518))="YES"), --(UPPER(TRIM($G$2:$G$518)&amp;TRIM($I$2:$I$518)&amp;TRIM($J$2:$J$518))&lt;&gt;UPPER(TRIM($G370)&amp;TRIM($I370)&amp;TRIM($J370))))&gt;0)), "Yes", "No"))</f>
        <v/>
      </c>
      <c r="G370" t="inlineStr">
        <is>
          <t>1 Marcus</t>
        </is>
      </c>
      <c r="H370" t="inlineStr">
        <is>
          <t>LIJ - VAR</t>
        </is>
      </c>
      <c r="V370" s="15" t="inlineStr">
        <is>
          <t>WNH270OPR482</t>
        </is>
      </c>
      <c r="W370" s="76" t="inlineStr">
        <is>
          <t>MEDNM24G25-0268</t>
        </is>
      </c>
      <c r="CD370">
        <f>IF($Y370="","",IF((IF(AND($BR370&lt;&gt;"Yes",$BR370&lt;&gt;"N/A"),"Power Cable, ","")&amp;IF(AND($BS370&lt;&gt;"Yes",$BS370&lt;&gt;"N/A"),"Battery, ","")&amp;IF(AND($AD370&lt;&gt;"Yes",$AD370&lt;&gt;"N/A"),"Firmware Download, ","")&amp;IF(AND(OR($AD370="Yes",$AD370="N/A"),$AE370&lt;&gt;"Yes",$AE370&lt;&gt;"N/A"),"Firmware Install, ","")&amp;IF(AND($CB370&lt;&gt;"Yes",$CB370&lt;&gt;"N/A"),"Device ID, ","")&amp;IF(AND($CC370&lt;&gt;"Yes",$CC370&lt;&gt;"N/A"),"Epic Beans Relay, ",""))="","",LEFT(IF(AND($BR370&lt;&gt;"Yes",$BR370&lt;&gt;"N/A"),"Power Cable, ","")&amp;IF(AND($BS370&lt;&gt;"Yes",$BS370&lt;&gt;"N/A"),"Battery, ","")&amp;IF(AND($AD370&lt;&gt;"Yes",$AD370&lt;&gt;"N/A"),"Firmware Download, ","")&amp;IF(AND(OR($AD370="Yes",$AD370="N/A"),$AE370&lt;&gt;"Yes",$AE370&lt;&gt;"N/A"),"Firmware Install, ","")&amp;IF(AND($CB370&lt;&gt;"Yes",$CB370&lt;&gt;"N/A"),"Device ID, ","")&amp;IF(AND($CC370&lt;&gt;"Yes",$CC370&lt;&gt;"N/A"),"Epic Beans Relay, ",""),LEN(IF(AND($BR370&lt;&gt;"Yes",$BR370&lt;&gt;"N/A"),"Power Cable, ","")&amp;IF(AND($BS370&lt;&gt;"Yes",$BS370&lt;&gt;"N/A"),"Battery, ","")&amp;IF(AND($AD370&lt;&gt;"Yes",$AD370&lt;&gt;"N/A"),"Firmware Download, ","")&amp;IF(AND(OR($AD370="Yes",$AD370="N/A"),$AE370&lt;&gt;"Yes",$AE370&lt;&gt;"N/A"),"Firmware Install, ","")&amp;IF(AND($CB370&lt;&gt;"Yes",$CB370&lt;&gt;"N/A"),"Device ID, ","")&amp;IF(AND($CC370&lt;&gt;"Yes",$CC370&lt;&gt;"N/A"),"Epic Beans Relay, ",""))-2)))</f>
        <v/>
      </c>
      <c r="CE370">
        <f>IF($Y370="","",IF($CD370="","Yes","Blocked"))</f>
        <v/>
      </c>
      <c r="CP370">
        <f>IF($CO370="","",IFERROR(VLOOKUP($CO370,'01_Warehouse_Ledger'!$A:$N,4,FALSE),""))</f>
        <v/>
      </c>
      <c r="CQ370">
        <f>IF($CO370="","",IFERROR(VLOOKUP($CO370,'01_Warehouse_Ledger'!$A:$N,5,FALSE),""))</f>
        <v/>
      </c>
      <c r="CR370">
        <f>IF($CO370="","",IFERROR(VLOOKUP($CO370,'01_Warehouse_Ledger'!$A:$N,13,FALSE),""))</f>
        <v/>
      </c>
      <c r="CW370">
        <f>IF($S370="","",IF(UPPER(TRIM($S370))&lt;&gt;"PASS","",IF(LEN(TRIM($BY370))&gt;0,"NOTES_PRESENT",IF(LEN(TRIM($T370))=0,"SET_NA",IF(OR(LOWER(TRIM($T370))="na",LOWER(TRIM($T370))="n/a"),"OK","MANUAL_OVERRIDE")))))</f>
        <v/>
      </c>
    </row>
    <row r="371">
      <c r="A371" t="inlineStr">
        <is>
          <t>Cybernet</t>
        </is>
      </c>
      <c r="B371" t="inlineStr">
        <is>
          <t>No</t>
        </is>
      </c>
      <c r="C371" t="inlineStr">
        <is>
          <t>No</t>
        </is>
      </c>
      <c r="D371">
        <f>IF($B371&lt;&gt;"Yes","",IF($C371="No","Yes",IF($C371="Yes","No","")))</f>
        <v/>
      </c>
      <c r="E371">
        <f>IF($A371="","",IF(OR(AND($V371&lt;&gt;"",LOWER(TRIM($V371))&lt;&gt;"n/a",LOWER(TRIM($V371))&lt;&gt;"na",SUMPRODUCT(--(UPPER(TRIM($V$2:$V$518))=UPPER(TRIM($V371))),--(TRIM($V$2:$V$518)&lt;&gt;""),--(LOWER(TRIM($V$2:$V$518))&lt;&gt;"n/a"),--(LOWER(TRIM($V$2:$V$518))&lt;&gt;"na"))&gt;1),AND($W371&lt;&gt;"",LOWER(TRIM($W371))&lt;&gt;"n/a",LOWER(TRIM($W371))&lt;&gt;"na",SUMPRODUCT(--(UPPER(TRIM($W$2:$W$518))=UPPER(TRIM($W371))),--(TRIM($W$2:$W$518)&lt;&gt;""),--(LOWER(TRIM($W$2:$W$518))&lt;&gt;"n/a"),--(LOWER(TRIM($W$2:$W$518))&lt;&gt;"na"))&gt;1),AND($X371&lt;&gt;"",LOWER(TRIM($X371))&lt;&gt;"n/a",LOWER(TRIM($X371))&lt;&gt;"na",SUMPRODUCT(--(UPPER(TRIM($X$2:$X$518))=UPPER(TRIM($X371))),--(TRIM($X$2:$X$518)&lt;&gt;""),--(LOWER(TRIM($X$2:$X$518))&lt;&gt;"n/a"),--(LOWER(TRIM($X$2:$X$518))&lt;&gt;"na"))&gt;1),AND($Y371&lt;&gt;"",LOWER(TRIM($Y371))&lt;&gt;"n/a",LOWER(TRIM($Y371))&lt;&gt;"na",SUMPRODUCT(--(UPPER(SUBSTITUTE(SUBSTITUTE(TRIM($Y$2:$Y$518),":",""),"-",""))=UPPER(SUBSTITUTE(SUBSTITUTE(TRIM($Y371),":",""),"-",""))),--(TRIM($Y$2:$Y$518)&lt;&gt;""),--(LOWER(TRIM($Y$2:$Y$518))&lt;&gt;"n/a"),--(LOWER(TRIM($Y$2:$Y$518))&lt;&gt;"na"))&gt;1),AND($AB371&lt;&gt;"",LOWER(TRIM($AB371))&lt;&gt;"n/a",LOWER(TRIM($AB371))&lt;&gt;"na",SUMPRODUCT(--(UPPER(TRIM($AB$2:$AB$518))=UPPER(TRIM($AB371))),--(TRIM($AB$2:$AB$518)&lt;&gt;""),--(LOWER(TRIM($AB$2:$AB$518))&lt;&gt;"n/a"),--(LOWER(TRIM($AB$2:$AB$518))&lt;&gt;"na"))&gt;1),AND($AH371&lt;&gt;"",LOWER(TRIM($AH371))&lt;&gt;"n/a",LOWER(TRIM($AH371))&lt;&gt;"na",SUMPRODUCT(--(UPPER(SUBSTITUTE(SUBSTITUTE(TRIM($AH$2:$AH$518),":",""),"-",""))=UPPER(SUBSTITUTE(SUBSTITUTE(TRIM($AH371),":",""),"-",""))),--(TRIM($AH$2:$AH$518)&lt;&gt;""),--(LOWER(TRIM($AH$2:$AH$518))&lt;&gt;"n/a"),--(LOWER(TRIM($AH$2:$AH$518))&lt;&gt;"na"))&gt;1),AND($AP371&lt;&gt;"",LOWER(TRIM($AP371))&lt;&gt;"n/a",LOWER(TRIM($AP371))&lt;&gt;"na",SUMPRODUCT(--(UPPER(TRIM($AP$2:$AP$518))=UPPER(TRIM($AP371))),--(TRIM($AP$2:$AP$518)&lt;&gt;""),--(LOWER(TRIM($AP$2:$AP$518))&lt;&gt;"n/a"),--(LOWER(TRIM($AP$2:$AP$518))&lt;&gt;"na"))&gt;1),AND($AQ371&lt;&gt;"",LOWER(TRIM($AQ371))&lt;&gt;"n/a",LOWER(TRIM($AQ371))&lt;&gt;"na",SUMPRODUCT(--(UPPER(TRIM($AQ$2:$AQ$518))=UPPER(TRIM($AQ371))),--(TRIM($AQ$2:$AQ$518)&lt;&gt;""),--(LOWER(TRIM($AQ$2:$AQ$518))&lt;&gt;"n/a"),--(LOWER(TRIM($AQ$2:$AQ$518))&lt;&gt;"na"))&gt;1)),"Yes","No"))</f>
        <v/>
      </c>
      <c r="F371">
        <f>IF(UPPER(TRIM($B371))&lt;&gt;"YES","", IF(OR(AND($V371&lt;&gt;"", LOWER(TRIM($V371))&lt;&gt;"n/a", LOWER(TRIM($V371))&lt;&gt;"na", SUMPRODUCT(--(UPPER(TRIM($V$2:$V$518))=UPPER(TRIM($V371))), --(UPPER(TRIM($B$2:$B$518))="YES"), --(UPPER(TRIM($G$2:$G$518)&amp;TRIM($I$2:$I$518)&amp;TRIM($J$2:$J$518))&lt;&gt;UPPER(TRIM($G371)&amp;TRIM($I371)&amp;TRIM($J371))))&gt;0), AND($W371&lt;&gt;"", LOWER(TRIM($W371))&lt;&gt;"n/a", LOWER(TRIM($W371))&lt;&gt;"na", SUMPRODUCT(--(UPPER(TRIM($W$2:$W$518))=UPPER(TRIM($W371))), --(UPPER(TRIM($B$2:$B$518))="YES"), --(UPPER(TRIM($G$2:$G$518)&amp;TRIM($I$2:$I$518)&amp;TRIM($J$2:$J$518))&lt;&gt;UPPER(TRIM($G371)&amp;TRIM($I371)&amp;TRIM($J371))))&gt;0), AND($X371&lt;&gt;"", LOWER(TRIM($X371))&lt;&gt;"n/a", LOWER(TRIM($X371))&lt;&gt;"na", SUMPRODUCT(--(UPPER(TRIM($X$2:$X$518))=UPPER(TRIM($X371))), --(UPPER(TRIM($B$2:$B$518))="YES"), --(UPPER(TRIM($G$2:$G$518)&amp;TRIM($I$2:$I$518)&amp;TRIM($J$2:$J$518))&lt;&gt;UPPER(TRIM($G371)&amp;TRIM($I371)&amp;TRIM($J371))))&gt;0), AND($Y371&lt;&gt;"", LOWER(TRIM($Y371))&lt;&gt;"n/a", LOWER(TRIM($Y371))&lt;&gt;"na", SUMPRODUCT(--(UPPER(SUBSTITUTE(SUBSTITUTE(TRIM($Y$2:$Y$518),":",""),"-",""))=UPPER(SUBSTITUTE(SUBSTITUTE(TRIM($Y371),":",""),"-",""))), --(UPPER(TRIM($B$2:$B$518))="YES"), --(UPPER(TRIM($G$2:$G$518)&amp;TRIM($I$2:$I$518)&amp;TRIM($J$2:$J$518))&lt;&gt;UPPER(TRIM($G371)&amp;TRIM($I371)&amp;TRIM($J371))))&gt;0), AND($AB371&lt;&gt;"", LOWER(TRIM($AB371))&lt;&gt;"n/a", LOWER(TRIM($AB371))&lt;&gt;"na", SUMPRODUCT(--(UPPER(TRIM($AB$2:$AB$518))=UPPER(TRIM($AB371))), --(UPPER(TRIM($B$2:$B$518))="YES"), --(UPPER(TRIM($G$2:$G$518)&amp;TRIM($I$2:$I$518)&amp;TRIM($J$2:$J$518))&lt;&gt;UPPER(TRIM($G371)&amp;TRIM($I371)&amp;TRIM($J371))))&gt;0), AND($AH371&lt;&gt;"", LOWER(TRIM($AH371))&lt;&gt;"n/a", LOWER(TRIM($AH371))&lt;&gt;"na", SUMPRODUCT(--(UPPER(SUBSTITUTE(SUBSTITUTE(TRIM($AH$2:$AH$518),":",""),"-",""))=UPPER(SUBSTITUTE(SUBSTITUTE(TRIM($AH371),":",""),"-",""))), --(UPPER(TRIM($B$2:$B$518))="YES"), --(UPPER(TRIM($G$2:$G$518)&amp;TRIM($I$2:$I$518)&amp;TRIM($J$2:$J$518))&lt;&gt;UPPER(TRIM($G371)&amp;TRIM($I371)&amp;TRIM($J371))))&gt;0), AND($AP371&lt;&gt;"", LOWER(TRIM($AP371))&lt;&gt;"n/a", LOWER(TRIM($AP371))&lt;&gt;"na", SUMPRODUCT(--(UPPER(TRIM($AP$2:$AP$518))=UPPER(TRIM($AP371))), --(UPPER(TRIM($B$2:$B$518))="YES"), --(UPPER(TRIM($G$2:$G$518)&amp;TRIM($I$2:$I$518)&amp;TRIM($J$2:$J$518))&lt;&gt;UPPER(TRIM($G371)&amp;TRIM($I371)&amp;TRIM($J371))))&gt;0), AND($AQ371&lt;&gt;"", LOWER(TRIM($AQ371))&lt;&gt;"n/a", LOWER(TRIM($AQ371))&lt;&gt;"na", SUMPRODUCT(--(UPPER(TRIM($AQ$2:$AQ$518))=UPPER(TRIM($AQ371))), --(UPPER(TRIM($B$2:$B$518))="YES"), --(UPPER(TRIM($G$2:$G$518)&amp;TRIM($I$2:$I$518)&amp;TRIM($J$2:$J$518))&lt;&gt;UPPER(TRIM($G371)&amp;TRIM($I371)&amp;TRIM($J371))))&gt;0)), "Yes", "No"))</f>
        <v/>
      </c>
      <c r="G371" t="inlineStr">
        <is>
          <t>1 Marcus</t>
        </is>
      </c>
      <c r="H371" t="inlineStr">
        <is>
          <t>LIJ - VAR</t>
        </is>
      </c>
      <c r="V371" t="inlineStr">
        <is>
          <t>WNH270OPR483</t>
        </is>
      </c>
      <c r="W371" s="76" t="inlineStr">
        <is>
          <t>MEDNM24G25-0409</t>
        </is>
      </c>
      <c r="CD371">
        <f>IF($Y371="","",IF((IF(AND($BR371&lt;&gt;"Yes",$BR371&lt;&gt;"N/A"),"Power Cable, ","")&amp;IF(AND($BS371&lt;&gt;"Yes",$BS371&lt;&gt;"N/A"),"Battery, ","")&amp;IF(AND($AD371&lt;&gt;"Yes",$AD371&lt;&gt;"N/A"),"Firmware Download, ","")&amp;IF(AND(OR($AD371="Yes",$AD371="N/A"),$AE371&lt;&gt;"Yes",$AE371&lt;&gt;"N/A"),"Firmware Install, ","")&amp;IF(AND($CB371&lt;&gt;"Yes",$CB371&lt;&gt;"N/A"),"Device ID, ","")&amp;IF(AND($CC371&lt;&gt;"Yes",$CC371&lt;&gt;"N/A"),"Epic Beans Relay, ",""))="","",LEFT(IF(AND($BR371&lt;&gt;"Yes",$BR371&lt;&gt;"N/A"),"Power Cable, ","")&amp;IF(AND($BS371&lt;&gt;"Yes",$BS371&lt;&gt;"N/A"),"Battery, ","")&amp;IF(AND($AD371&lt;&gt;"Yes",$AD371&lt;&gt;"N/A"),"Firmware Download, ","")&amp;IF(AND(OR($AD371="Yes",$AD371="N/A"),$AE371&lt;&gt;"Yes",$AE371&lt;&gt;"N/A"),"Firmware Install, ","")&amp;IF(AND($CB371&lt;&gt;"Yes",$CB371&lt;&gt;"N/A"),"Device ID, ","")&amp;IF(AND($CC371&lt;&gt;"Yes",$CC371&lt;&gt;"N/A"),"Epic Beans Relay, ",""),LEN(IF(AND($BR371&lt;&gt;"Yes",$BR371&lt;&gt;"N/A"),"Power Cable, ","")&amp;IF(AND($BS371&lt;&gt;"Yes",$BS371&lt;&gt;"N/A"),"Battery, ","")&amp;IF(AND($AD371&lt;&gt;"Yes",$AD371&lt;&gt;"N/A"),"Firmware Download, ","")&amp;IF(AND(OR($AD371="Yes",$AD371="N/A"),$AE371&lt;&gt;"Yes",$AE371&lt;&gt;"N/A"),"Firmware Install, ","")&amp;IF(AND($CB371&lt;&gt;"Yes",$CB371&lt;&gt;"N/A"),"Device ID, ","")&amp;IF(AND($CC371&lt;&gt;"Yes",$CC371&lt;&gt;"N/A"),"Epic Beans Relay, ",""))-2)))</f>
        <v/>
      </c>
      <c r="CE371">
        <f>IF($Y371="","",IF($CD371="","Yes","Blocked"))</f>
        <v/>
      </c>
      <c r="CP371">
        <f>IF($CO371="","",IFERROR(VLOOKUP($CO371,'01_Warehouse_Ledger'!$A:$N,4,FALSE),""))</f>
        <v/>
      </c>
      <c r="CQ371">
        <f>IF($CO371="","",IFERROR(VLOOKUP($CO371,'01_Warehouse_Ledger'!$A:$N,5,FALSE),""))</f>
        <v/>
      </c>
      <c r="CR371">
        <f>IF($CO371="","",IFERROR(VLOOKUP($CO371,'01_Warehouse_Ledger'!$A:$N,13,FALSE),""))</f>
        <v/>
      </c>
      <c r="CW371">
        <f>IF($S371="","",IF(UPPER(TRIM($S371))&lt;&gt;"PASS","",IF(LEN(TRIM($BY371))&gt;0,"NOTES_PRESENT",IF(LEN(TRIM($T371))=0,"SET_NA",IF(OR(LOWER(TRIM($T371))="na",LOWER(TRIM($T371))="n/a"),"OK","MANUAL_OVERRIDE")))))</f>
        <v/>
      </c>
    </row>
    <row r="372">
      <c r="A372" t="inlineStr">
        <is>
          <t>Cybernet</t>
        </is>
      </c>
      <c r="B372" t="inlineStr">
        <is>
          <t>No</t>
        </is>
      </c>
      <c r="C372" t="inlineStr">
        <is>
          <t>No</t>
        </is>
      </c>
      <c r="D372">
        <f>IF($B372&lt;&gt;"Yes","",IF($C372="No","Yes",IF($C372="Yes","No","")))</f>
        <v/>
      </c>
      <c r="E372">
        <f>IF($A372="","",IF(OR(AND($V372&lt;&gt;"",LOWER(TRIM($V372))&lt;&gt;"n/a",LOWER(TRIM($V372))&lt;&gt;"na",SUMPRODUCT(--(UPPER(TRIM($V$2:$V$518))=UPPER(TRIM($V372))),--(TRIM($V$2:$V$518)&lt;&gt;""),--(LOWER(TRIM($V$2:$V$518))&lt;&gt;"n/a"),--(LOWER(TRIM($V$2:$V$518))&lt;&gt;"na"))&gt;1),AND($W372&lt;&gt;"",LOWER(TRIM($W372))&lt;&gt;"n/a",LOWER(TRIM($W372))&lt;&gt;"na",SUMPRODUCT(--(UPPER(TRIM($W$2:$W$518))=UPPER(TRIM($W372))),--(TRIM($W$2:$W$518)&lt;&gt;""),--(LOWER(TRIM($W$2:$W$518))&lt;&gt;"n/a"),--(LOWER(TRIM($W$2:$W$518))&lt;&gt;"na"))&gt;1),AND($X372&lt;&gt;"",LOWER(TRIM($X372))&lt;&gt;"n/a",LOWER(TRIM($X372))&lt;&gt;"na",SUMPRODUCT(--(UPPER(TRIM($X$2:$X$518))=UPPER(TRIM($X372))),--(TRIM($X$2:$X$518)&lt;&gt;""),--(LOWER(TRIM($X$2:$X$518))&lt;&gt;"n/a"),--(LOWER(TRIM($X$2:$X$518))&lt;&gt;"na"))&gt;1),AND($Y372&lt;&gt;"",LOWER(TRIM($Y372))&lt;&gt;"n/a",LOWER(TRIM($Y372))&lt;&gt;"na",SUMPRODUCT(--(UPPER(SUBSTITUTE(SUBSTITUTE(TRIM($Y$2:$Y$518),":",""),"-",""))=UPPER(SUBSTITUTE(SUBSTITUTE(TRIM($Y372),":",""),"-",""))),--(TRIM($Y$2:$Y$518)&lt;&gt;""),--(LOWER(TRIM($Y$2:$Y$518))&lt;&gt;"n/a"),--(LOWER(TRIM($Y$2:$Y$518))&lt;&gt;"na"))&gt;1),AND($AB372&lt;&gt;"",LOWER(TRIM($AB372))&lt;&gt;"n/a",LOWER(TRIM($AB372))&lt;&gt;"na",SUMPRODUCT(--(UPPER(TRIM($AB$2:$AB$518))=UPPER(TRIM($AB372))),--(TRIM($AB$2:$AB$518)&lt;&gt;""),--(LOWER(TRIM($AB$2:$AB$518))&lt;&gt;"n/a"),--(LOWER(TRIM($AB$2:$AB$518))&lt;&gt;"na"))&gt;1),AND($AH372&lt;&gt;"",LOWER(TRIM($AH372))&lt;&gt;"n/a",LOWER(TRIM($AH372))&lt;&gt;"na",SUMPRODUCT(--(UPPER(SUBSTITUTE(SUBSTITUTE(TRIM($AH$2:$AH$518),":",""),"-",""))=UPPER(SUBSTITUTE(SUBSTITUTE(TRIM($AH372),":",""),"-",""))),--(TRIM($AH$2:$AH$518)&lt;&gt;""),--(LOWER(TRIM($AH$2:$AH$518))&lt;&gt;"n/a"),--(LOWER(TRIM($AH$2:$AH$518))&lt;&gt;"na"))&gt;1),AND($AP372&lt;&gt;"",LOWER(TRIM($AP372))&lt;&gt;"n/a",LOWER(TRIM($AP372))&lt;&gt;"na",SUMPRODUCT(--(UPPER(TRIM($AP$2:$AP$518))=UPPER(TRIM($AP372))),--(TRIM($AP$2:$AP$518)&lt;&gt;""),--(LOWER(TRIM($AP$2:$AP$518))&lt;&gt;"n/a"),--(LOWER(TRIM($AP$2:$AP$518))&lt;&gt;"na"))&gt;1),AND($AQ372&lt;&gt;"",LOWER(TRIM($AQ372))&lt;&gt;"n/a",LOWER(TRIM($AQ372))&lt;&gt;"na",SUMPRODUCT(--(UPPER(TRIM($AQ$2:$AQ$518))=UPPER(TRIM($AQ372))),--(TRIM($AQ$2:$AQ$518)&lt;&gt;""),--(LOWER(TRIM($AQ$2:$AQ$518))&lt;&gt;"n/a"),--(LOWER(TRIM($AQ$2:$AQ$518))&lt;&gt;"na"))&gt;1)),"Yes","No"))</f>
        <v/>
      </c>
      <c r="F372">
        <f>IF(UPPER(TRIM($B372))&lt;&gt;"YES","", IF(OR(AND($V372&lt;&gt;"", LOWER(TRIM($V372))&lt;&gt;"n/a", LOWER(TRIM($V372))&lt;&gt;"na", SUMPRODUCT(--(UPPER(TRIM($V$2:$V$518))=UPPER(TRIM($V372))), --(UPPER(TRIM($B$2:$B$518))="YES"), --(UPPER(TRIM($G$2:$G$518)&amp;TRIM($I$2:$I$518)&amp;TRIM($J$2:$J$518))&lt;&gt;UPPER(TRIM($G372)&amp;TRIM($I372)&amp;TRIM($J372))))&gt;0), AND($W372&lt;&gt;"", LOWER(TRIM($W372))&lt;&gt;"n/a", LOWER(TRIM($W372))&lt;&gt;"na", SUMPRODUCT(--(UPPER(TRIM($W$2:$W$518))=UPPER(TRIM($W372))), --(UPPER(TRIM($B$2:$B$518))="YES"), --(UPPER(TRIM($G$2:$G$518)&amp;TRIM($I$2:$I$518)&amp;TRIM($J$2:$J$518))&lt;&gt;UPPER(TRIM($G372)&amp;TRIM($I372)&amp;TRIM($J372))))&gt;0), AND($X372&lt;&gt;"", LOWER(TRIM($X372))&lt;&gt;"n/a", LOWER(TRIM($X372))&lt;&gt;"na", SUMPRODUCT(--(UPPER(TRIM($X$2:$X$518))=UPPER(TRIM($X372))), --(UPPER(TRIM($B$2:$B$518))="YES"), --(UPPER(TRIM($G$2:$G$518)&amp;TRIM($I$2:$I$518)&amp;TRIM($J$2:$J$518))&lt;&gt;UPPER(TRIM($G372)&amp;TRIM($I372)&amp;TRIM($J372))))&gt;0), AND($Y372&lt;&gt;"", LOWER(TRIM($Y372))&lt;&gt;"n/a", LOWER(TRIM($Y372))&lt;&gt;"na", SUMPRODUCT(--(UPPER(SUBSTITUTE(SUBSTITUTE(TRIM($Y$2:$Y$518),":",""),"-",""))=UPPER(SUBSTITUTE(SUBSTITUTE(TRIM($Y372),":",""),"-",""))), --(UPPER(TRIM($B$2:$B$518))="YES"), --(UPPER(TRIM($G$2:$G$518)&amp;TRIM($I$2:$I$518)&amp;TRIM($J$2:$J$518))&lt;&gt;UPPER(TRIM($G372)&amp;TRIM($I372)&amp;TRIM($J372))))&gt;0), AND($AB372&lt;&gt;"", LOWER(TRIM($AB372))&lt;&gt;"n/a", LOWER(TRIM($AB372))&lt;&gt;"na", SUMPRODUCT(--(UPPER(TRIM($AB$2:$AB$518))=UPPER(TRIM($AB372))), --(UPPER(TRIM($B$2:$B$518))="YES"), --(UPPER(TRIM($G$2:$G$518)&amp;TRIM($I$2:$I$518)&amp;TRIM($J$2:$J$518))&lt;&gt;UPPER(TRIM($G372)&amp;TRIM($I372)&amp;TRIM($J372))))&gt;0), AND($AH372&lt;&gt;"", LOWER(TRIM($AH372))&lt;&gt;"n/a", LOWER(TRIM($AH372))&lt;&gt;"na", SUMPRODUCT(--(UPPER(SUBSTITUTE(SUBSTITUTE(TRIM($AH$2:$AH$518),":",""),"-",""))=UPPER(SUBSTITUTE(SUBSTITUTE(TRIM($AH372),":",""),"-",""))), --(UPPER(TRIM($B$2:$B$518))="YES"), --(UPPER(TRIM($G$2:$G$518)&amp;TRIM($I$2:$I$518)&amp;TRIM($J$2:$J$518))&lt;&gt;UPPER(TRIM($G372)&amp;TRIM($I372)&amp;TRIM($J372))))&gt;0), AND($AP372&lt;&gt;"", LOWER(TRIM($AP372))&lt;&gt;"n/a", LOWER(TRIM($AP372))&lt;&gt;"na", SUMPRODUCT(--(UPPER(TRIM($AP$2:$AP$518))=UPPER(TRIM($AP372))), --(UPPER(TRIM($B$2:$B$518))="YES"), --(UPPER(TRIM($G$2:$G$518)&amp;TRIM($I$2:$I$518)&amp;TRIM($J$2:$J$518))&lt;&gt;UPPER(TRIM($G372)&amp;TRIM($I372)&amp;TRIM($J372))))&gt;0), AND($AQ372&lt;&gt;"", LOWER(TRIM($AQ372))&lt;&gt;"n/a", LOWER(TRIM($AQ372))&lt;&gt;"na", SUMPRODUCT(--(UPPER(TRIM($AQ$2:$AQ$518))=UPPER(TRIM($AQ372))), --(UPPER(TRIM($B$2:$B$518))="YES"), --(UPPER(TRIM($G$2:$G$518)&amp;TRIM($I$2:$I$518)&amp;TRIM($J$2:$J$518))&lt;&gt;UPPER(TRIM($G372)&amp;TRIM($I372)&amp;TRIM($J372))))&gt;0)), "Yes", "No"))</f>
        <v/>
      </c>
      <c r="G372" t="inlineStr">
        <is>
          <t>1 Marcus</t>
        </is>
      </c>
      <c r="H372" t="inlineStr">
        <is>
          <t>LIJ - VAR</t>
        </is>
      </c>
      <c r="V372" s="15" t="inlineStr">
        <is>
          <t>WNH270OPR484</t>
        </is>
      </c>
      <c r="W372" s="76" t="inlineStr">
        <is>
          <t>MEDNM24G25-0531</t>
        </is>
      </c>
      <c r="CD372">
        <f>IF($Y372="","",IF((IF(AND($BR372&lt;&gt;"Yes",$BR372&lt;&gt;"N/A"),"Power Cable, ","")&amp;IF(AND($BS372&lt;&gt;"Yes",$BS372&lt;&gt;"N/A"),"Battery, ","")&amp;IF(AND($AD372&lt;&gt;"Yes",$AD372&lt;&gt;"N/A"),"Firmware Download, ","")&amp;IF(AND(OR($AD372="Yes",$AD372="N/A"),$AE372&lt;&gt;"Yes",$AE372&lt;&gt;"N/A"),"Firmware Install, ","")&amp;IF(AND($CB372&lt;&gt;"Yes",$CB372&lt;&gt;"N/A"),"Device ID, ","")&amp;IF(AND($CC372&lt;&gt;"Yes",$CC372&lt;&gt;"N/A"),"Epic Beans Relay, ",""))="","",LEFT(IF(AND($BR372&lt;&gt;"Yes",$BR372&lt;&gt;"N/A"),"Power Cable, ","")&amp;IF(AND($BS372&lt;&gt;"Yes",$BS372&lt;&gt;"N/A"),"Battery, ","")&amp;IF(AND($AD372&lt;&gt;"Yes",$AD372&lt;&gt;"N/A"),"Firmware Download, ","")&amp;IF(AND(OR($AD372="Yes",$AD372="N/A"),$AE372&lt;&gt;"Yes",$AE372&lt;&gt;"N/A"),"Firmware Install, ","")&amp;IF(AND($CB372&lt;&gt;"Yes",$CB372&lt;&gt;"N/A"),"Device ID, ","")&amp;IF(AND($CC372&lt;&gt;"Yes",$CC372&lt;&gt;"N/A"),"Epic Beans Relay, ",""),LEN(IF(AND($BR372&lt;&gt;"Yes",$BR372&lt;&gt;"N/A"),"Power Cable, ","")&amp;IF(AND($BS372&lt;&gt;"Yes",$BS372&lt;&gt;"N/A"),"Battery, ","")&amp;IF(AND($AD372&lt;&gt;"Yes",$AD372&lt;&gt;"N/A"),"Firmware Download, ","")&amp;IF(AND(OR($AD372="Yes",$AD372="N/A"),$AE372&lt;&gt;"Yes",$AE372&lt;&gt;"N/A"),"Firmware Install, ","")&amp;IF(AND($CB372&lt;&gt;"Yes",$CB372&lt;&gt;"N/A"),"Device ID, ","")&amp;IF(AND($CC372&lt;&gt;"Yes",$CC372&lt;&gt;"N/A"),"Epic Beans Relay, ",""))-2)))</f>
        <v/>
      </c>
      <c r="CE372">
        <f>IF($Y372="","",IF($CD372="","Yes","Blocked"))</f>
        <v/>
      </c>
      <c r="CP372">
        <f>IF($CO372="","",IFERROR(VLOOKUP($CO372,'01_Warehouse_Ledger'!$A:$N,4,FALSE),""))</f>
        <v/>
      </c>
      <c r="CQ372">
        <f>IF($CO372="","",IFERROR(VLOOKUP($CO372,'01_Warehouse_Ledger'!$A:$N,5,FALSE),""))</f>
        <v/>
      </c>
      <c r="CR372">
        <f>IF($CO372="","",IFERROR(VLOOKUP($CO372,'01_Warehouse_Ledger'!$A:$N,13,FALSE),""))</f>
        <v/>
      </c>
      <c r="CW372">
        <f>IF($S372="","",IF(UPPER(TRIM($S372))&lt;&gt;"PASS","",IF(LEN(TRIM($BY372))&gt;0,"NOTES_PRESENT",IF(LEN(TRIM($T372))=0,"SET_NA",IF(OR(LOWER(TRIM($T372))="na",LOWER(TRIM($T372))="n/a"),"OK","MANUAL_OVERRIDE")))))</f>
        <v/>
      </c>
    </row>
    <row r="373">
      <c r="A373" t="inlineStr">
        <is>
          <t>Cybernet</t>
        </is>
      </c>
      <c r="B373" t="inlineStr">
        <is>
          <t>No</t>
        </is>
      </c>
      <c r="C373" t="inlineStr">
        <is>
          <t>No</t>
        </is>
      </c>
      <c r="D373">
        <f>IF($B373&lt;&gt;"Yes","",IF($C373="No","Yes",IF($C373="Yes","No","")))</f>
        <v/>
      </c>
      <c r="E373">
        <f>IF($A373="","",IF(OR(AND($V373&lt;&gt;"",LOWER(TRIM($V373))&lt;&gt;"n/a",LOWER(TRIM($V373))&lt;&gt;"na",SUMPRODUCT(--(UPPER(TRIM($V$2:$V$518))=UPPER(TRIM($V373))),--(TRIM($V$2:$V$518)&lt;&gt;""),--(LOWER(TRIM($V$2:$V$518))&lt;&gt;"n/a"),--(LOWER(TRIM($V$2:$V$518))&lt;&gt;"na"))&gt;1),AND($W373&lt;&gt;"",LOWER(TRIM($W373))&lt;&gt;"n/a",LOWER(TRIM($W373))&lt;&gt;"na",SUMPRODUCT(--(UPPER(TRIM($W$2:$W$518))=UPPER(TRIM($W373))),--(TRIM($W$2:$W$518)&lt;&gt;""),--(LOWER(TRIM($W$2:$W$518))&lt;&gt;"n/a"),--(LOWER(TRIM($W$2:$W$518))&lt;&gt;"na"))&gt;1),AND($X373&lt;&gt;"",LOWER(TRIM($X373))&lt;&gt;"n/a",LOWER(TRIM($X373))&lt;&gt;"na",SUMPRODUCT(--(UPPER(TRIM($X$2:$X$518))=UPPER(TRIM($X373))),--(TRIM($X$2:$X$518)&lt;&gt;""),--(LOWER(TRIM($X$2:$X$518))&lt;&gt;"n/a"),--(LOWER(TRIM($X$2:$X$518))&lt;&gt;"na"))&gt;1),AND($Y373&lt;&gt;"",LOWER(TRIM($Y373))&lt;&gt;"n/a",LOWER(TRIM($Y373))&lt;&gt;"na",SUMPRODUCT(--(UPPER(SUBSTITUTE(SUBSTITUTE(TRIM($Y$2:$Y$518),":",""),"-",""))=UPPER(SUBSTITUTE(SUBSTITUTE(TRIM($Y373),":",""),"-",""))),--(TRIM($Y$2:$Y$518)&lt;&gt;""),--(LOWER(TRIM($Y$2:$Y$518))&lt;&gt;"n/a"),--(LOWER(TRIM($Y$2:$Y$518))&lt;&gt;"na"))&gt;1),AND($AB373&lt;&gt;"",LOWER(TRIM($AB373))&lt;&gt;"n/a",LOWER(TRIM($AB373))&lt;&gt;"na",SUMPRODUCT(--(UPPER(TRIM($AB$2:$AB$518))=UPPER(TRIM($AB373))),--(TRIM($AB$2:$AB$518)&lt;&gt;""),--(LOWER(TRIM($AB$2:$AB$518))&lt;&gt;"n/a"),--(LOWER(TRIM($AB$2:$AB$518))&lt;&gt;"na"))&gt;1),AND($AH373&lt;&gt;"",LOWER(TRIM($AH373))&lt;&gt;"n/a",LOWER(TRIM($AH373))&lt;&gt;"na",SUMPRODUCT(--(UPPER(SUBSTITUTE(SUBSTITUTE(TRIM($AH$2:$AH$518),":",""),"-",""))=UPPER(SUBSTITUTE(SUBSTITUTE(TRIM($AH373),":",""),"-",""))),--(TRIM($AH$2:$AH$518)&lt;&gt;""),--(LOWER(TRIM($AH$2:$AH$518))&lt;&gt;"n/a"),--(LOWER(TRIM($AH$2:$AH$518))&lt;&gt;"na"))&gt;1),AND($AP373&lt;&gt;"",LOWER(TRIM($AP373))&lt;&gt;"n/a",LOWER(TRIM($AP373))&lt;&gt;"na",SUMPRODUCT(--(UPPER(TRIM($AP$2:$AP$518))=UPPER(TRIM($AP373))),--(TRIM($AP$2:$AP$518)&lt;&gt;""),--(LOWER(TRIM($AP$2:$AP$518))&lt;&gt;"n/a"),--(LOWER(TRIM($AP$2:$AP$518))&lt;&gt;"na"))&gt;1),AND($AQ373&lt;&gt;"",LOWER(TRIM($AQ373))&lt;&gt;"n/a",LOWER(TRIM($AQ373))&lt;&gt;"na",SUMPRODUCT(--(UPPER(TRIM($AQ$2:$AQ$518))=UPPER(TRIM($AQ373))),--(TRIM($AQ$2:$AQ$518)&lt;&gt;""),--(LOWER(TRIM($AQ$2:$AQ$518))&lt;&gt;"n/a"),--(LOWER(TRIM($AQ$2:$AQ$518))&lt;&gt;"na"))&gt;1)),"Yes","No"))</f>
        <v/>
      </c>
      <c r="F373">
        <f>IF(UPPER(TRIM($B373))&lt;&gt;"YES","", IF(OR(AND($V373&lt;&gt;"", LOWER(TRIM($V373))&lt;&gt;"n/a", LOWER(TRIM($V373))&lt;&gt;"na", SUMPRODUCT(--(UPPER(TRIM($V$2:$V$518))=UPPER(TRIM($V373))), --(UPPER(TRIM($B$2:$B$518))="YES"), --(UPPER(TRIM($G$2:$G$518)&amp;TRIM($I$2:$I$518)&amp;TRIM($J$2:$J$518))&lt;&gt;UPPER(TRIM($G373)&amp;TRIM($I373)&amp;TRIM($J373))))&gt;0), AND($W373&lt;&gt;"", LOWER(TRIM($W373))&lt;&gt;"n/a", LOWER(TRIM($W373))&lt;&gt;"na", SUMPRODUCT(--(UPPER(TRIM($W$2:$W$518))=UPPER(TRIM($W373))), --(UPPER(TRIM($B$2:$B$518))="YES"), --(UPPER(TRIM($G$2:$G$518)&amp;TRIM($I$2:$I$518)&amp;TRIM($J$2:$J$518))&lt;&gt;UPPER(TRIM($G373)&amp;TRIM($I373)&amp;TRIM($J373))))&gt;0), AND($X373&lt;&gt;"", LOWER(TRIM($X373))&lt;&gt;"n/a", LOWER(TRIM($X373))&lt;&gt;"na", SUMPRODUCT(--(UPPER(TRIM($X$2:$X$518))=UPPER(TRIM($X373))), --(UPPER(TRIM($B$2:$B$518))="YES"), --(UPPER(TRIM($G$2:$G$518)&amp;TRIM($I$2:$I$518)&amp;TRIM($J$2:$J$518))&lt;&gt;UPPER(TRIM($G373)&amp;TRIM($I373)&amp;TRIM($J373))))&gt;0), AND($Y373&lt;&gt;"", LOWER(TRIM($Y373))&lt;&gt;"n/a", LOWER(TRIM($Y373))&lt;&gt;"na", SUMPRODUCT(--(UPPER(SUBSTITUTE(SUBSTITUTE(TRIM($Y$2:$Y$518),":",""),"-",""))=UPPER(SUBSTITUTE(SUBSTITUTE(TRIM($Y373),":",""),"-",""))), --(UPPER(TRIM($B$2:$B$518))="YES"), --(UPPER(TRIM($G$2:$G$518)&amp;TRIM($I$2:$I$518)&amp;TRIM($J$2:$J$518))&lt;&gt;UPPER(TRIM($G373)&amp;TRIM($I373)&amp;TRIM($J373))))&gt;0), AND($AB373&lt;&gt;"", LOWER(TRIM($AB373))&lt;&gt;"n/a", LOWER(TRIM($AB373))&lt;&gt;"na", SUMPRODUCT(--(UPPER(TRIM($AB$2:$AB$518))=UPPER(TRIM($AB373))), --(UPPER(TRIM($B$2:$B$518))="YES"), --(UPPER(TRIM($G$2:$G$518)&amp;TRIM($I$2:$I$518)&amp;TRIM($J$2:$J$518))&lt;&gt;UPPER(TRIM($G373)&amp;TRIM($I373)&amp;TRIM($J373))))&gt;0), AND($AH373&lt;&gt;"", LOWER(TRIM($AH373))&lt;&gt;"n/a", LOWER(TRIM($AH373))&lt;&gt;"na", SUMPRODUCT(--(UPPER(SUBSTITUTE(SUBSTITUTE(TRIM($AH$2:$AH$518),":",""),"-",""))=UPPER(SUBSTITUTE(SUBSTITUTE(TRIM($AH373),":",""),"-",""))), --(UPPER(TRIM($B$2:$B$518))="YES"), --(UPPER(TRIM($G$2:$G$518)&amp;TRIM($I$2:$I$518)&amp;TRIM($J$2:$J$518))&lt;&gt;UPPER(TRIM($G373)&amp;TRIM($I373)&amp;TRIM($J373))))&gt;0), AND($AP373&lt;&gt;"", LOWER(TRIM($AP373))&lt;&gt;"n/a", LOWER(TRIM($AP373))&lt;&gt;"na", SUMPRODUCT(--(UPPER(TRIM($AP$2:$AP$518))=UPPER(TRIM($AP373))), --(UPPER(TRIM($B$2:$B$518))="YES"), --(UPPER(TRIM($G$2:$G$518)&amp;TRIM($I$2:$I$518)&amp;TRIM($J$2:$J$518))&lt;&gt;UPPER(TRIM($G373)&amp;TRIM($I373)&amp;TRIM($J373))))&gt;0), AND($AQ373&lt;&gt;"", LOWER(TRIM($AQ373))&lt;&gt;"n/a", LOWER(TRIM($AQ373))&lt;&gt;"na", SUMPRODUCT(--(UPPER(TRIM($AQ$2:$AQ$518))=UPPER(TRIM($AQ373))), --(UPPER(TRIM($B$2:$B$518))="YES"), --(UPPER(TRIM($G$2:$G$518)&amp;TRIM($I$2:$I$518)&amp;TRIM($J$2:$J$518))&lt;&gt;UPPER(TRIM($G373)&amp;TRIM($I373)&amp;TRIM($J373))))&gt;0)), "Yes", "No"))</f>
        <v/>
      </c>
      <c r="G373" t="inlineStr">
        <is>
          <t>1 Marcus</t>
        </is>
      </c>
      <c r="H373" t="inlineStr">
        <is>
          <t>LIJ - VAR</t>
        </is>
      </c>
      <c r="V373" t="inlineStr">
        <is>
          <t>WNH270OPR485</t>
        </is>
      </c>
      <c r="W373" s="76" t="inlineStr">
        <is>
          <t>MEDNM24G25-0306</t>
        </is>
      </c>
      <c r="CD373">
        <f>IF($Y373="","",IF((IF(AND($BR373&lt;&gt;"Yes",$BR373&lt;&gt;"N/A"),"Power Cable, ","")&amp;IF(AND($BS373&lt;&gt;"Yes",$BS373&lt;&gt;"N/A"),"Battery, ","")&amp;IF(AND($AD373&lt;&gt;"Yes",$AD373&lt;&gt;"N/A"),"Firmware Download, ","")&amp;IF(AND(OR($AD373="Yes",$AD373="N/A"),$AE373&lt;&gt;"Yes",$AE373&lt;&gt;"N/A"),"Firmware Install, ","")&amp;IF(AND($CB373&lt;&gt;"Yes",$CB373&lt;&gt;"N/A"),"Device ID, ","")&amp;IF(AND($CC373&lt;&gt;"Yes",$CC373&lt;&gt;"N/A"),"Epic Beans Relay, ",""))="","",LEFT(IF(AND($BR373&lt;&gt;"Yes",$BR373&lt;&gt;"N/A"),"Power Cable, ","")&amp;IF(AND($BS373&lt;&gt;"Yes",$BS373&lt;&gt;"N/A"),"Battery, ","")&amp;IF(AND($AD373&lt;&gt;"Yes",$AD373&lt;&gt;"N/A"),"Firmware Download, ","")&amp;IF(AND(OR($AD373="Yes",$AD373="N/A"),$AE373&lt;&gt;"Yes",$AE373&lt;&gt;"N/A"),"Firmware Install, ","")&amp;IF(AND($CB373&lt;&gt;"Yes",$CB373&lt;&gt;"N/A"),"Device ID, ","")&amp;IF(AND($CC373&lt;&gt;"Yes",$CC373&lt;&gt;"N/A"),"Epic Beans Relay, ",""),LEN(IF(AND($BR373&lt;&gt;"Yes",$BR373&lt;&gt;"N/A"),"Power Cable, ","")&amp;IF(AND($BS373&lt;&gt;"Yes",$BS373&lt;&gt;"N/A"),"Battery, ","")&amp;IF(AND($AD373&lt;&gt;"Yes",$AD373&lt;&gt;"N/A"),"Firmware Download, ","")&amp;IF(AND(OR($AD373="Yes",$AD373="N/A"),$AE373&lt;&gt;"Yes",$AE373&lt;&gt;"N/A"),"Firmware Install, ","")&amp;IF(AND($CB373&lt;&gt;"Yes",$CB373&lt;&gt;"N/A"),"Device ID, ","")&amp;IF(AND($CC373&lt;&gt;"Yes",$CC373&lt;&gt;"N/A"),"Epic Beans Relay, ",""))-2)))</f>
        <v/>
      </c>
      <c r="CE373">
        <f>IF($Y373="","",IF($CD373="","Yes","Blocked"))</f>
        <v/>
      </c>
      <c r="CP373">
        <f>IF($CO373="","",IFERROR(VLOOKUP($CO373,'01_Warehouse_Ledger'!$A:$N,4,FALSE),""))</f>
        <v/>
      </c>
      <c r="CQ373">
        <f>IF($CO373="","",IFERROR(VLOOKUP($CO373,'01_Warehouse_Ledger'!$A:$N,5,FALSE),""))</f>
        <v/>
      </c>
      <c r="CR373">
        <f>IF($CO373="","",IFERROR(VLOOKUP($CO373,'01_Warehouse_Ledger'!$A:$N,13,FALSE),""))</f>
        <v/>
      </c>
      <c r="CW373">
        <f>IF($S373="","",IF(UPPER(TRIM($S373))&lt;&gt;"PASS","",IF(LEN(TRIM($BY373))&gt;0,"NOTES_PRESENT",IF(LEN(TRIM($T373))=0,"SET_NA",IF(OR(LOWER(TRIM($T373))="na",LOWER(TRIM($T373))="n/a"),"OK","MANUAL_OVERRIDE")))))</f>
        <v/>
      </c>
    </row>
    <row r="374">
      <c r="A374" t="inlineStr">
        <is>
          <t>Cybernet</t>
        </is>
      </c>
      <c r="B374" t="inlineStr">
        <is>
          <t>No</t>
        </is>
      </c>
      <c r="C374" t="inlineStr">
        <is>
          <t>No</t>
        </is>
      </c>
      <c r="D374">
        <f>IF($B374&lt;&gt;"Yes","",IF($C374="No","Yes",IF($C374="Yes","No","")))</f>
        <v/>
      </c>
      <c r="E374">
        <f>IF($A374="","",IF(OR(AND($V374&lt;&gt;"",LOWER(TRIM($V374))&lt;&gt;"n/a",LOWER(TRIM($V374))&lt;&gt;"na",SUMPRODUCT(--(UPPER(TRIM($V$2:$V$518))=UPPER(TRIM($V374))),--(TRIM($V$2:$V$518)&lt;&gt;""),--(LOWER(TRIM($V$2:$V$518))&lt;&gt;"n/a"),--(LOWER(TRIM($V$2:$V$518))&lt;&gt;"na"))&gt;1),AND($W374&lt;&gt;"",LOWER(TRIM($W374))&lt;&gt;"n/a",LOWER(TRIM($W374))&lt;&gt;"na",SUMPRODUCT(--(UPPER(TRIM($W$2:$W$518))=UPPER(TRIM($W374))),--(TRIM($W$2:$W$518)&lt;&gt;""),--(LOWER(TRIM($W$2:$W$518))&lt;&gt;"n/a"),--(LOWER(TRIM($W$2:$W$518))&lt;&gt;"na"))&gt;1),AND($X374&lt;&gt;"",LOWER(TRIM($X374))&lt;&gt;"n/a",LOWER(TRIM($X374))&lt;&gt;"na",SUMPRODUCT(--(UPPER(TRIM($X$2:$X$518))=UPPER(TRIM($X374))),--(TRIM($X$2:$X$518)&lt;&gt;""),--(LOWER(TRIM($X$2:$X$518))&lt;&gt;"n/a"),--(LOWER(TRIM($X$2:$X$518))&lt;&gt;"na"))&gt;1),AND($Y374&lt;&gt;"",LOWER(TRIM($Y374))&lt;&gt;"n/a",LOWER(TRIM($Y374))&lt;&gt;"na",SUMPRODUCT(--(UPPER(SUBSTITUTE(SUBSTITUTE(TRIM($Y$2:$Y$518),":",""),"-",""))=UPPER(SUBSTITUTE(SUBSTITUTE(TRIM($Y374),":",""),"-",""))),--(TRIM($Y$2:$Y$518)&lt;&gt;""),--(LOWER(TRIM($Y$2:$Y$518))&lt;&gt;"n/a"),--(LOWER(TRIM($Y$2:$Y$518))&lt;&gt;"na"))&gt;1),AND($AB374&lt;&gt;"",LOWER(TRIM($AB374))&lt;&gt;"n/a",LOWER(TRIM($AB374))&lt;&gt;"na",SUMPRODUCT(--(UPPER(TRIM($AB$2:$AB$518))=UPPER(TRIM($AB374))),--(TRIM($AB$2:$AB$518)&lt;&gt;""),--(LOWER(TRIM($AB$2:$AB$518))&lt;&gt;"n/a"),--(LOWER(TRIM($AB$2:$AB$518))&lt;&gt;"na"))&gt;1),AND($AH374&lt;&gt;"",LOWER(TRIM($AH374))&lt;&gt;"n/a",LOWER(TRIM($AH374))&lt;&gt;"na",SUMPRODUCT(--(UPPER(SUBSTITUTE(SUBSTITUTE(TRIM($AH$2:$AH$518),":",""),"-",""))=UPPER(SUBSTITUTE(SUBSTITUTE(TRIM($AH374),":",""),"-",""))),--(TRIM($AH$2:$AH$518)&lt;&gt;""),--(LOWER(TRIM($AH$2:$AH$518))&lt;&gt;"n/a"),--(LOWER(TRIM($AH$2:$AH$518))&lt;&gt;"na"))&gt;1),AND($AP374&lt;&gt;"",LOWER(TRIM($AP374))&lt;&gt;"n/a",LOWER(TRIM($AP374))&lt;&gt;"na",SUMPRODUCT(--(UPPER(TRIM($AP$2:$AP$518))=UPPER(TRIM($AP374))),--(TRIM($AP$2:$AP$518)&lt;&gt;""),--(LOWER(TRIM($AP$2:$AP$518))&lt;&gt;"n/a"),--(LOWER(TRIM($AP$2:$AP$518))&lt;&gt;"na"))&gt;1),AND($AQ374&lt;&gt;"",LOWER(TRIM($AQ374))&lt;&gt;"n/a",LOWER(TRIM($AQ374))&lt;&gt;"na",SUMPRODUCT(--(UPPER(TRIM($AQ$2:$AQ$518))=UPPER(TRIM($AQ374))),--(TRIM($AQ$2:$AQ$518)&lt;&gt;""),--(LOWER(TRIM($AQ$2:$AQ$518))&lt;&gt;"n/a"),--(LOWER(TRIM($AQ$2:$AQ$518))&lt;&gt;"na"))&gt;1)),"Yes","No"))</f>
        <v/>
      </c>
      <c r="F374">
        <f>IF(UPPER(TRIM($B374))&lt;&gt;"YES","", IF(OR(AND($V374&lt;&gt;"", LOWER(TRIM($V374))&lt;&gt;"n/a", LOWER(TRIM($V374))&lt;&gt;"na", SUMPRODUCT(--(UPPER(TRIM($V$2:$V$518))=UPPER(TRIM($V374))), --(UPPER(TRIM($B$2:$B$518))="YES"), --(UPPER(TRIM($G$2:$G$518)&amp;TRIM($I$2:$I$518)&amp;TRIM($J$2:$J$518))&lt;&gt;UPPER(TRIM($G374)&amp;TRIM($I374)&amp;TRIM($J374))))&gt;0), AND($W374&lt;&gt;"", LOWER(TRIM($W374))&lt;&gt;"n/a", LOWER(TRIM($W374))&lt;&gt;"na", SUMPRODUCT(--(UPPER(TRIM($W$2:$W$518))=UPPER(TRIM($W374))), --(UPPER(TRIM($B$2:$B$518))="YES"), --(UPPER(TRIM($G$2:$G$518)&amp;TRIM($I$2:$I$518)&amp;TRIM($J$2:$J$518))&lt;&gt;UPPER(TRIM($G374)&amp;TRIM($I374)&amp;TRIM($J374))))&gt;0), AND($X374&lt;&gt;"", LOWER(TRIM($X374))&lt;&gt;"n/a", LOWER(TRIM($X374))&lt;&gt;"na", SUMPRODUCT(--(UPPER(TRIM($X$2:$X$518))=UPPER(TRIM($X374))), --(UPPER(TRIM($B$2:$B$518))="YES"), --(UPPER(TRIM($G$2:$G$518)&amp;TRIM($I$2:$I$518)&amp;TRIM($J$2:$J$518))&lt;&gt;UPPER(TRIM($G374)&amp;TRIM($I374)&amp;TRIM($J374))))&gt;0), AND($Y374&lt;&gt;"", LOWER(TRIM($Y374))&lt;&gt;"n/a", LOWER(TRIM($Y374))&lt;&gt;"na", SUMPRODUCT(--(UPPER(SUBSTITUTE(SUBSTITUTE(TRIM($Y$2:$Y$518),":",""),"-",""))=UPPER(SUBSTITUTE(SUBSTITUTE(TRIM($Y374),":",""),"-",""))), --(UPPER(TRIM($B$2:$B$518))="YES"), --(UPPER(TRIM($G$2:$G$518)&amp;TRIM($I$2:$I$518)&amp;TRIM($J$2:$J$518))&lt;&gt;UPPER(TRIM($G374)&amp;TRIM($I374)&amp;TRIM($J374))))&gt;0), AND($AB374&lt;&gt;"", LOWER(TRIM($AB374))&lt;&gt;"n/a", LOWER(TRIM($AB374))&lt;&gt;"na", SUMPRODUCT(--(UPPER(TRIM($AB$2:$AB$518))=UPPER(TRIM($AB374))), --(UPPER(TRIM($B$2:$B$518))="YES"), --(UPPER(TRIM($G$2:$G$518)&amp;TRIM($I$2:$I$518)&amp;TRIM($J$2:$J$518))&lt;&gt;UPPER(TRIM($G374)&amp;TRIM($I374)&amp;TRIM($J374))))&gt;0), AND($AH374&lt;&gt;"", LOWER(TRIM($AH374))&lt;&gt;"n/a", LOWER(TRIM($AH374))&lt;&gt;"na", SUMPRODUCT(--(UPPER(SUBSTITUTE(SUBSTITUTE(TRIM($AH$2:$AH$518),":",""),"-",""))=UPPER(SUBSTITUTE(SUBSTITUTE(TRIM($AH374),":",""),"-",""))), --(UPPER(TRIM($B$2:$B$518))="YES"), --(UPPER(TRIM($G$2:$G$518)&amp;TRIM($I$2:$I$518)&amp;TRIM($J$2:$J$518))&lt;&gt;UPPER(TRIM($G374)&amp;TRIM($I374)&amp;TRIM($J374))))&gt;0), AND($AP374&lt;&gt;"", LOWER(TRIM($AP374))&lt;&gt;"n/a", LOWER(TRIM($AP374))&lt;&gt;"na", SUMPRODUCT(--(UPPER(TRIM($AP$2:$AP$518))=UPPER(TRIM($AP374))), --(UPPER(TRIM($B$2:$B$518))="YES"), --(UPPER(TRIM($G$2:$G$518)&amp;TRIM($I$2:$I$518)&amp;TRIM($J$2:$J$518))&lt;&gt;UPPER(TRIM($G374)&amp;TRIM($I374)&amp;TRIM($J374))))&gt;0), AND($AQ374&lt;&gt;"", LOWER(TRIM($AQ374))&lt;&gt;"n/a", LOWER(TRIM($AQ374))&lt;&gt;"na", SUMPRODUCT(--(UPPER(TRIM($AQ$2:$AQ$518))=UPPER(TRIM($AQ374))), --(UPPER(TRIM($B$2:$B$518))="YES"), --(UPPER(TRIM($G$2:$G$518)&amp;TRIM($I$2:$I$518)&amp;TRIM($J$2:$J$518))&lt;&gt;UPPER(TRIM($G374)&amp;TRIM($I374)&amp;TRIM($J374))))&gt;0)), "Yes", "No"))</f>
        <v/>
      </c>
      <c r="G374" t="inlineStr">
        <is>
          <t>1 Marcus</t>
        </is>
      </c>
      <c r="H374" t="inlineStr">
        <is>
          <t>LIJ - VAR</t>
        </is>
      </c>
      <c r="V374" s="15" t="inlineStr">
        <is>
          <t>WNH270OPR486</t>
        </is>
      </c>
      <c r="W374" s="76" t="inlineStr">
        <is>
          <t>MEDNM24G25-1120</t>
        </is>
      </c>
      <c r="CD374">
        <f>IF($Y374="","",IF((IF(AND($BR374&lt;&gt;"Yes",$BR374&lt;&gt;"N/A"),"Power Cable, ","")&amp;IF(AND($BS374&lt;&gt;"Yes",$BS374&lt;&gt;"N/A"),"Battery, ","")&amp;IF(AND($AD374&lt;&gt;"Yes",$AD374&lt;&gt;"N/A"),"Firmware Download, ","")&amp;IF(AND(OR($AD374="Yes",$AD374="N/A"),$AE374&lt;&gt;"Yes",$AE374&lt;&gt;"N/A"),"Firmware Install, ","")&amp;IF(AND($CB374&lt;&gt;"Yes",$CB374&lt;&gt;"N/A"),"Device ID, ","")&amp;IF(AND($CC374&lt;&gt;"Yes",$CC374&lt;&gt;"N/A"),"Epic Beans Relay, ",""))="","",LEFT(IF(AND($BR374&lt;&gt;"Yes",$BR374&lt;&gt;"N/A"),"Power Cable, ","")&amp;IF(AND($BS374&lt;&gt;"Yes",$BS374&lt;&gt;"N/A"),"Battery, ","")&amp;IF(AND($AD374&lt;&gt;"Yes",$AD374&lt;&gt;"N/A"),"Firmware Download, ","")&amp;IF(AND(OR($AD374="Yes",$AD374="N/A"),$AE374&lt;&gt;"Yes",$AE374&lt;&gt;"N/A"),"Firmware Install, ","")&amp;IF(AND($CB374&lt;&gt;"Yes",$CB374&lt;&gt;"N/A"),"Device ID, ","")&amp;IF(AND($CC374&lt;&gt;"Yes",$CC374&lt;&gt;"N/A"),"Epic Beans Relay, ",""),LEN(IF(AND($BR374&lt;&gt;"Yes",$BR374&lt;&gt;"N/A"),"Power Cable, ","")&amp;IF(AND($BS374&lt;&gt;"Yes",$BS374&lt;&gt;"N/A"),"Battery, ","")&amp;IF(AND($AD374&lt;&gt;"Yes",$AD374&lt;&gt;"N/A"),"Firmware Download, ","")&amp;IF(AND(OR($AD374="Yes",$AD374="N/A"),$AE374&lt;&gt;"Yes",$AE374&lt;&gt;"N/A"),"Firmware Install, ","")&amp;IF(AND($CB374&lt;&gt;"Yes",$CB374&lt;&gt;"N/A"),"Device ID, ","")&amp;IF(AND($CC374&lt;&gt;"Yes",$CC374&lt;&gt;"N/A"),"Epic Beans Relay, ",""))-2)))</f>
        <v/>
      </c>
      <c r="CE374">
        <f>IF($Y374="","",IF($CD374="","Yes","Blocked"))</f>
        <v/>
      </c>
      <c r="CP374">
        <f>IF($CO374="","",IFERROR(VLOOKUP($CO374,'01_Warehouse_Ledger'!$A:$N,4,FALSE),""))</f>
        <v/>
      </c>
      <c r="CQ374">
        <f>IF($CO374="","",IFERROR(VLOOKUP($CO374,'01_Warehouse_Ledger'!$A:$N,5,FALSE),""))</f>
        <v/>
      </c>
      <c r="CR374">
        <f>IF($CO374="","",IFERROR(VLOOKUP($CO374,'01_Warehouse_Ledger'!$A:$N,13,FALSE),""))</f>
        <v/>
      </c>
      <c r="CW374">
        <f>IF($S374="","",IF(UPPER(TRIM($S374))&lt;&gt;"PASS","",IF(LEN(TRIM($BY374))&gt;0,"NOTES_PRESENT",IF(LEN(TRIM($T374))=0,"SET_NA",IF(OR(LOWER(TRIM($T374))="na",LOWER(TRIM($T374))="n/a"),"OK","MANUAL_OVERRIDE")))))</f>
        <v/>
      </c>
    </row>
    <row r="375">
      <c r="A375" t="inlineStr">
        <is>
          <t>Cybernet</t>
        </is>
      </c>
      <c r="B375" t="inlineStr">
        <is>
          <t>No</t>
        </is>
      </c>
      <c r="C375" t="inlineStr">
        <is>
          <t>No</t>
        </is>
      </c>
      <c r="D375">
        <f>IF($B375&lt;&gt;"Yes","",IF($C375="No","Yes",IF($C375="Yes","No","")))</f>
        <v/>
      </c>
      <c r="E375">
        <f>IF($A375="","",IF(OR(AND($V375&lt;&gt;"",LOWER(TRIM($V375))&lt;&gt;"n/a",LOWER(TRIM($V375))&lt;&gt;"na",SUMPRODUCT(--(UPPER(TRIM($V$2:$V$518))=UPPER(TRIM($V375))),--(TRIM($V$2:$V$518)&lt;&gt;""),--(LOWER(TRIM($V$2:$V$518))&lt;&gt;"n/a"),--(LOWER(TRIM($V$2:$V$518))&lt;&gt;"na"))&gt;1),AND($W375&lt;&gt;"",LOWER(TRIM($W375))&lt;&gt;"n/a",LOWER(TRIM($W375))&lt;&gt;"na",SUMPRODUCT(--(UPPER(TRIM($W$2:$W$518))=UPPER(TRIM($W375))),--(TRIM($W$2:$W$518)&lt;&gt;""),--(LOWER(TRIM($W$2:$W$518))&lt;&gt;"n/a"),--(LOWER(TRIM($W$2:$W$518))&lt;&gt;"na"))&gt;1),AND($X375&lt;&gt;"",LOWER(TRIM($X375))&lt;&gt;"n/a",LOWER(TRIM($X375))&lt;&gt;"na",SUMPRODUCT(--(UPPER(TRIM($X$2:$X$518))=UPPER(TRIM($X375))),--(TRIM($X$2:$X$518)&lt;&gt;""),--(LOWER(TRIM($X$2:$X$518))&lt;&gt;"n/a"),--(LOWER(TRIM($X$2:$X$518))&lt;&gt;"na"))&gt;1),AND($Y375&lt;&gt;"",LOWER(TRIM($Y375))&lt;&gt;"n/a",LOWER(TRIM($Y375))&lt;&gt;"na",SUMPRODUCT(--(UPPER(SUBSTITUTE(SUBSTITUTE(TRIM($Y$2:$Y$518),":",""),"-",""))=UPPER(SUBSTITUTE(SUBSTITUTE(TRIM($Y375),":",""),"-",""))),--(TRIM($Y$2:$Y$518)&lt;&gt;""),--(LOWER(TRIM($Y$2:$Y$518))&lt;&gt;"n/a"),--(LOWER(TRIM($Y$2:$Y$518))&lt;&gt;"na"))&gt;1),AND($AB375&lt;&gt;"",LOWER(TRIM($AB375))&lt;&gt;"n/a",LOWER(TRIM($AB375))&lt;&gt;"na",SUMPRODUCT(--(UPPER(TRIM($AB$2:$AB$518))=UPPER(TRIM($AB375))),--(TRIM($AB$2:$AB$518)&lt;&gt;""),--(LOWER(TRIM($AB$2:$AB$518))&lt;&gt;"n/a"),--(LOWER(TRIM($AB$2:$AB$518))&lt;&gt;"na"))&gt;1),AND($AH375&lt;&gt;"",LOWER(TRIM($AH375))&lt;&gt;"n/a",LOWER(TRIM($AH375))&lt;&gt;"na",SUMPRODUCT(--(UPPER(SUBSTITUTE(SUBSTITUTE(TRIM($AH$2:$AH$518),":",""),"-",""))=UPPER(SUBSTITUTE(SUBSTITUTE(TRIM($AH375),":",""),"-",""))),--(TRIM($AH$2:$AH$518)&lt;&gt;""),--(LOWER(TRIM($AH$2:$AH$518))&lt;&gt;"n/a"),--(LOWER(TRIM($AH$2:$AH$518))&lt;&gt;"na"))&gt;1),AND($AP375&lt;&gt;"",LOWER(TRIM($AP375))&lt;&gt;"n/a",LOWER(TRIM($AP375))&lt;&gt;"na",SUMPRODUCT(--(UPPER(TRIM($AP$2:$AP$518))=UPPER(TRIM($AP375))),--(TRIM($AP$2:$AP$518)&lt;&gt;""),--(LOWER(TRIM($AP$2:$AP$518))&lt;&gt;"n/a"),--(LOWER(TRIM($AP$2:$AP$518))&lt;&gt;"na"))&gt;1),AND($AQ375&lt;&gt;"",LOWER(TRIM($AQ375))&lt;&gt;"n/a",LOWER(TRIM($AQ375))&lt;&gt;"na",SUMPRODUCT(--(UPPER(TRIM($AQ$2:$AQ$518))=UPPER(TRIM($AQ375))),--(TRIM($AQ$2:$AQ$518)&lt;&gt;""),--(LOWER(TRIM($AQ$2:$AQ$518))&lt;&gt;"n/a"),--(LOWER(TRIM($AQ$2:$AQ$518))&lt;&gt;"na"))&gt;1)),"Yes","No"))</f>
        <v/>
      </c>
      <c r="F375">
        <f>IF(UPPER(TRIM($B375))&lt;&gt;"YES","", IF(OR(AND($V375&lt;&gt;"", LOWER(TRIM($V375))&lt;&gt;"n/a", LOWER(TRIM($V375))&lt;&gt;"na", SUMPRODUCT(--(UPPER(TRIM($V$2:$V$518))=UPPER(TRIM($V375))), --(UPPER(TRIM($B$2:$B$518))="YES"), --(UPPER(TRIM($G$2:$G$518)&amp;TRIM($I$2:$I$518)&amp;TRIM($J$2:$J$518))&lt;&gt;UPPER(TRIM($G375)&amp;TRIM($I375)&amp;TRIM($J375))))&gt;0), AND($W375&lt;&gt;"", LOWER(TRIM($W375))&lt;&gt;"n/a", LOWER(TRIM($W375))&lt;&gt;"na", SUMPRODUCT(--(UPPER(TRIM($W$2:$W$518))=UPPER(TRIM($W375))), --(UPPER(TRIM($B$2:$B$518))="YES"), --(UPPER(TRIM($G$2:$G$518)&amp;TRIM($I$2:$I$518)&amp;TRIM($J$2:$J$518))&lt;&gt;UPPER(TRIM($G375)&amp;TRIM($I375)&amp;TRIM($J375))))&gt;0), AND($X375&lt;&gt;"", LOWER(TRIM($X375))&lt;&gt;"n/a", LOWER(TRIM($X375))&lt;&gt;"na", SUMPRODUCT(--(UPPER(TRIM($X$2:$X$518))=UPPER(TRIM($X375))), --(UPPER(TRIM($B$2:$B$518))="YES"), --(UPPER(TRIM($G$2:$G$518)&amp;TRIM($I$2:$I$518)&amp;TRIM($J$2:$J$518))&lt;&gt;UPPER(TRIM($G375)&amp;TRIM($I375)&amp;TRIM($J375))))&gt;0), AND($Y375&lt;&gt;"", LOWER(TRIM($Y375))&lt;&gt;"n/a", LOWER(TRIM($Y375))&lt;&gt;"na", SUMPRODUCT(--(UPPER(SUBSTITUTE(SUBSTITUTE(TRIM($Y$2:$Y$518),":",""),"-",""))=UPPER(SUBSTITUTE(SUBSTITUTE(TRIM($Y375),":",""),"-",""))), --(UPPER(TRIM($B$2:$B$518))="YES"), --(UPPER(TRIM($G$2:$G$518)&amp;TRIM($I$2:$I$518)&amp;TRIM($J$2:$J$518))&lt;&gt;UPPER(TRIM($G375)&amp;TRIM($I375)&amp;TRIM($J375))))&gt;0), AND($AB375&lt;&gt;"", LOWER(TRIM($AB375))&lt;&gt;"n/a", LOWER(TRIM($AB375))&lt;&gt;"na", SUMPRODUCT(--(UPPER(TRIM($AB$2:$AB$518))=UPPER(TRIM($AB375))), --(UPPER(TRIM($B$2:$B$518))="YES"), --(UPPER(TRIM($G$2:$G$518)&amp;TRIM($I$2:$I$518)&amp;TRIM($J$2:$J$518))&lt;&gt;UPPER(TRIM($G375)&amp;TRIM($I375)&amp;TRIM($J375))))&gt;0), AND($AH375&lt;&gt;"", LOWER(TRIM($AH375))&lt;&gt;"n/a", LOWER(TRIM($AH375))&lt;&gt;"na", SUMPRODUCT(--(UPPER(SUBSTITUTE(SUBSTITUTE(TRIM($AH$2:$AH$518),":",""),"-",""))=UPPER(SUBSTITUTE(SUBSTITUTE(TRIM($AH375),":",""),"-",""))), --(UPPER(TRIM($B$2:$B$518))="YES"), --(UPPER(TRIM($G$2:$G$518)&amp;TRIM($I$2:$I$518)&amp;TRIM($J$2:$J$518))&lt;&gt;UPPER(TRIM($G375)&amp;TRIM($I375)&amp;TRIM($J375))))&gt;0), AND($AP375&lt;&gt;"", LOWER(TRIM($AP375))&lt;&gt;"n/a", LOWER(TRIM($AP375))&lt;&gt;"na", SUMPRODUCT(--(UPPER(TRIM($AP$2:$AP$518))=UPPER(TRIM($AP375))), --(UPPER(TRIM($B$2:$B$518))="YES"), --(UPPER(TRIM($G$2:$G$518)&amp;TRIM($I$2:$I$518)&amp;TRIM($J$2:$J$518))&lt;&gt;UPPER(TRIM($G375)&amp;TRIM($I375)&amp;TRIM($J375))))&gt;0), AND($AQ375&lt;&gt;"", LOWER(TRIM($AQ375))&lt;&gt;"n/a", LOWER(TRIM($AQ375))&lt;&gt;"na", SUMPRODUCT(--(UPPER(TRIM($AQ$2:$AQ$518))=UPPER(TRIM($AQ375))), --(UPPER(TRIM($B$2:$B$518))="YES"), --(UPPER(TRIM($G$2:$G$518)&amp;TRIM($I$2:$I$518)&amp;TRIM($J$2:$J$518))&lt;&gt;UPPER(TRIM($G375)&amp;TRIM($I375)&amp;TRIM($J375))))&gt;0)), "Yes", "No"))</f>
        <v/>
      </c>
      <c r="G375" t="inlineStr">
        <is>
          <t>1 Marcus</t>
        </is>
      </c>
      <c r="H375" t="inlineStr">
        <is>
          <t>LIJ - VAR</t>
        </is>
      </c>
      <c r="V375" t="inlineStr">
        <is>
          <t>WNH270OPR487</t>
        </is>
      </c>
      <c r="W375" s="76" t="inlineStr">
        <is>
          <t>MEDNM24G25-1052</t>
        </is>
      </c>
      <c r="CD375">
        <f>IF($Y375="","",IF((IF(AND($BR375&lt;&gt;"Yes",$BR375&lt;&gt;"N/A"),"Power Cable, ","")&amp;IF(AND($BS375&lt;&gt;"Yes",$BS375&lt;&gt;"N/A"),"Battery, ","")&amp;IF(AND($AD375&lt;&gt;"Yes",$AD375&lt;&gt;"N/A"),"Firmware Download, ","")&amp;IF(AND(OR($AD375="Yes",$AD375="N/A"),$AE375&lt;&gt;"Yes",$AE375&lt;&gt;"N/A"),"Firmware Install, ","")&amp;IF(AND($CB375&lt;&gt;"Yes",$CB375&lt;&gt;"N/A"),"Device ID, ","")&amp;IF(AND($CC375&lt;&gt;"Yes",$CC375&lt;&gt;"N/A"),"Epic Beans Relay, ",""))="","",LEFT(IF(AND($BR375&lt;&gt;"Yes",$BR375&lt;&gt;"N/A"),"Power Cable, ","")&amp;IF(AND($BS375&lt;&gt;"Yes",$BS375&lt;&gt;"N/A"),"Battery, ","")&amp;IF(AND($AD375&lt;&gt;"Yes",$AD375&lt;&gt;"N/A"),"Firmware Download, ","")&amp;IF(AND(OR($AD375="Yes",$AD375="N/A"),$AE375&lt;&gt;"Yes",$AE375&lt;&gt;"N/A"),"Firmware Install, ","")&amp;IF(AND($CB375&lt;&gt;"Yes",$CB375&lt;&gt;"N/A"),"Device ID, ","")&amp;IF(AND($CC375&lt;&gt;"Yes",$CC375&lt;&gt;"N/A"),"Epic Beans Relay, ",""),LEN(IF(AND($BR375&lt;&gt;"Yes",$BR375&lt;&gt;"N/A"),"Power Cable, ","")&amp;IF(AND($BS375&lt;&gt;"Yes",$BS375&lt;&gt;"N/A"),"Battery, ","")&amp;IF(AND($AD375&lt;&gt;"Yes",$AD375&lt;&gt;"N/A"),"Firmware Download, ","")&amp;IF(AND(OR($AD375="Yes",$AD375="N/A"),$AE375&lt;&gt;"Yes",$AE375&lt;&gt;"N/A"),"Firmware Install, ","")&amp;IF(AND($CB375&lt;&gt;"Yes",$CB375&lt;&gt;"N/A"),"Device ID, ","")&amp;IF(AND($CC375&lt;&gt;"Yes",$CC375&lt;&gt;"N/A"),"Epic Beans Relay, ",""))-2)))</f>
        <v/>
      </c>
      <c r="CE375">
        <f>IF($Y375="","",IF($CD375="","Yes","Blocked"))</f>
        <v/>
      </c>
      <c r="CP375">
        <f>IF($CO375="","",IFERROR(VLOOKUP($CO375,'01_Warehouse_Ledger'!$A:$N,4,FALSE),""))</f>
        <v/>
      </c>
      <c r="CQ375">
        <f>IF($CO375="","",IFERROR(VLOOKUP($CO375,'01_Warehouse_Ledger'!$A:$N,5,FALSE),""))</f>
        <v/>
      </c>
      <c r="CR375">
        <f>IF($CO375="","",IFERROR(VLOOKUP($CO375,'01_Warehouse_Ledger'!$A:$N,13,FALSE),""))</f>
        <v/>
      </c>
      <c r="CW375">
        <f>IF($S375="","",IF(UPPER(TRIM($S375))&lt;&gt;"PASS","",IF(LEN(TRIM($BY375))&gt;0,"NOTES_PRESENT",IF(LEN(TRIM($T375))=0,"SET_NA",IF(OR(LOWER(TRIM($T375))="na",LOWER(TRIM($T375))="n/a"),"OK","MANUAL_OVERRIDE")))))</f>
        <v/>
      </c>
    </row>
    <row r="376">
      <c r="B376" t="inlineStr">
        <is>
          <t>No</t>
        </is>
      </c>
      <c r="C376" t="inlineStr">
        <is>
          <t>No</t>
        </is>
      </c>
      <c r="D376">
        <f>IF($B376&lt;&gt;"Yes","",IF($C376="No","Yes",IF($C376="Yes","No","")))</f>
        <v/>
      </c>
      <c r="E376">
        <f>IF($A376="","",IF(OR(AND($V376&lt;&gt;"",LOWER(TRIM($V376))&lt;&gt;"n/a",LOWER(TRIM($V376))&lt;&gt;"na",SUMPRODUCT(--(UPPER(TRIM($V$2:$V$518))=UPPER(TRIM($V376))),--(TRIM($V$2:$V$518)&lt;&gt;""),--(LOWER(TRIM($V$2:$V$518))&lt;&gt;"n/a"),--(LOWER(TRIM($V$2:$V$518))&lt;&gt;"na"))&gt;1),AND($W376&lt;&gt;"",LOWER(TRIM($W376))&lt;&gt;"n/a",LOWER(TRIM($W376))&lt;&gt;"na",SUMPRODUCT(--(UPPER(TRIM($W$2:$W$518))=UPPER(TRIM($W376))),--(TRIM($W$2:$W$518)&lt;&gt;""),--(LOWER(TRIM($W$2:$W$518))&lt;&gt;"n/a"),--(LOWER(TRIM($W$2:$W$518))&lt;&gt;"na"))&gt;1),AND($X376&lt;&gt;"",LOWER(TRIM($X376))&lt;&gt;"n/a",LOWER(TRIM($X376))&lt;&gt;"na",SUMPRODUCT(--(UPPER(TRIM($X$2:$X$518))=UPPER(TRIM($X376))),--(TRIM($X$2:$X$518)&lt;&gt;""),--(LOWER(TRIM($X$2:$X$518))&lt;&gt;"n/a"),--(LOWER(TRIM($X$2:$X$518))&lt;&gt;"na"))&gt;1),AND($Y376&lt;&gt;"",LOWER(TRIM($Y376))&lt;&gt;"n/a",LOWER(TRIM($Y376))&lt;&gt;"na",SUMPRODUCT(--(UPPER(SUBSTITUTE(SUBSTITUTE(TRIM($Y$2:$Y$518),":",""),"-",""))=UPPER(SUBSTITUTE(SUBSTITUTE(TRIM($Y376),":",""),"-",""))),--(TRIM($Y$2:$Y$518)&lt;&gt;""),--(LOWER(TRIM($Y$2:$Y$518))&lt;&gt;"n/a"),--(LOWER(TRIM($Y$2:$Y$518))&lt;&gt;"na"))&gt;1),AND($AB376&lt;&gt;"",LOWER(TRIM($AB376))&lt;&gt;"n/a",LOWER(TRIM($AB376))&lt;&gt;"na",SUMPRODUCT(--(UPPER(TRIM($AB$2:$AB$518))=UPPER(TRIM($AB376))),--(TRIM($AB$2:$AB$518)&lt;&gt;""),--(LOWER(TRIM($AB$2:$AB$518))&lt;&gt;"n/a"),--(LOWER(TRIM($AB$2:$AB$518))&lt;&gt;"na"))&gt;1),AND($AH376&lt;&gt;"",LOWER(TRIM($AH376))&lt;&gt;"n/a",LOWER(TRIM($AH376))&lt;&gt;"na",SUMPRODUCT(--(UPPER(SUBSTITUTE(SUBSTITUTE(TRIM($AH$2:$AH$518),":",""),"-",""))=UPPER(SUBSTITUTE(SUBSTITUTE(TRIM($AH376),":",""),"-",""))),--(TRIM($AH$2:$AH$518)&lt;&gt;""),--(LOWER(TRIM($AH$2:$AH$518))&lt;&gt;"n/a"),--(LOWER(TRIM($AH$2:$AH$518))&lt;&gt;"na"))&gt;1),AND($AP376&lt;&gt;"",LOWER(TRIM($AP376))&lt;&gt;"n/a",LOWER(TRIM($AP376))&lt;&gt;"na",SUMPRODUCT(--(UPPER(TRIM($AP$2:$AP$518))=UPPER(TRIM($AP376))),--(TRIM($AP$2:$AP$518)&lt;&gt;""),--(LOWER(TRIM($AP$2:$AP$518))&lt;&gt;"n/a"),--(LOWER(TRIM($AP$2:$AP$518))&lt;&gt;"na"))&gt;1),AND($AQ376&lt;&gt;"",LOWER(TRIM($AQ376))&lt;&gt;"n/a",LOWER(TRIM($AQ376))&lt;&gt;"na",SUMPRODUCT(--(UPPER(TRIM($AQ$2:$AQ$518))=UPPER(TRIM($AQ376))),--(TRIM($AQ$2:$AQ$518)&lt;&gt;""),--(LOWER(TRIM($AQ$2:$AQ$518))&lt;&gt;"n/a"),--(LOWER(TRIM($AQ$2:$AQ$518))&lt;&gt;"na"))&gt;1)),"Yes","No"))</f>
        <v/>
      </c>
      <c r="F376">
        <f>IF(UPPER(TRIM($B376))&lt;&gt;"YES","", IF(OR(AND($V376&lt;&gt;"", LOWER(TRIM($V376))&lt;&gt;"n/a", LOWER(TRIM($V376))&lt;&gt;"na", SUMPRODUCT(--(UPPER(TRIM($V$2:$V$518))=UPPER(TRIM($V376))), --(UPPER(TRIM($B$2:$B$518))="YES"), --(UPPER(TRIM($G$2:$G$518)&amp;TRIM($I$2:$I$518)&amp;TRIM($J$2:$J$518))&lt;&gt;UPPER(TRIM($G376)&amp;TRIM($I376)&amp;TRIM($J376))))&gt;0), AND($W376&lt;&gt;"", LOWER(TRIM($W376))&lt;&gt;"n/a", LOWER(TRIM($W376))&lt;&gt;"na", SUMPRODUCT(--(UPPER(TRIM($W$2:$W$518))=UPPER(TRIM($W376))), --(UPPER(TRIM($B$2:$B$518))="YES"), --(UPPER(TRIM($G$2:$G$518)&amp;TRIM($I$2:$I$518)&amp;TRIM($J$2:$J$518))&lt;&gt;UPPER(TRIM($G376)&amp;TRIM($I376)&amp;TRIM($J376))))&gt;0), AND($X376&lt;&gt;"", LOWER(TRIM($X376))&lt;&gt;"n/a", LOWER(TRIM($X376))&lt;&gt;"na", SUMPRODUCT(--(UPPER(TRIM($X$2:$X$518))=UPPER(TRIM($X376))), --(UPPER(TRIM($B$2:$B$518))="YES"), --(UPPER(TRIM($G$2:$G$518)&amp;TRIM($I$2:$I$518)&amp;TRIM($J$2:$J$518))&lt;&gt;UPPER(TRIM($G376)&amp;TRIM($I376)&amp;TRIM($J376))))&gt;0), AND($Y376&lt;&gt;"", LOWER(TRIM($Y376))&lt;&gt;"n/a", LOWER(TRIM($Y376))&lt;&gt;"na", SUMPRODUCT(--(UPPER(SUBSTITUTE(SUBSTITUTE(TRIM($Y$2:$Y$518),":",""),"-",""))=UPPER(SUBSTITUTE(SUBSTITUTE(TRIM($Y376),":",""),"-",""))), --(UPPER(TRIM($B$2:$B$518))="YES"), --(UPPER(TRIM($G$2:$G$518)&amp;TRIM($I$2:$I$518)&amp;TRIM($J$2:$J$518))&lt;&gt;UPPER(TRIM($G376)&amp;TRIM($I376)&amp;TRIM($J376))))&gt;0), AND($AB376&lt;&gt;"", LOWER(TRIM($AB376))&lt;&gt;"n/a", LOWER(TRIM($AB376))&lt;&gt;"na", SUMPRODUCT(--(UPPER(TRIM($AB$2:$AB$518))=UPPER(TRIM($AB376))), --(UPPER(TRIM($B$2:$B$518))="YES"), --(UPPER(TRIM($G$2:$G$518)&amp;TRIM($I$2:$I$518)&amp;TRIM($J$2:$J$518))&lt;&gt;UPPER(TRIM($G376)&amp;TRIM($I376)&amp;TRIM($J376))))&gt;0), AND($AH376&lt;&gt;"", LOWER(TRIM($AH376))&lt;&gt;"n/a", LOWER(TRIM($AH376))&lt;&gt;"na", SUMPRODUCT(--(UPPER(SUBSTITUTE(SUBSTITUTE(TRIM($AH$2:$AH$518),":",""),"-",""))=UPPER(SUBSTITUTE(SUBSTITUTE(TRIM($AH376),":",""),"-",""))), --(UPPER(TRIM($B$2:$B$518))="YES"), --(UPPER(TRIM($G$2:$G$518)&amp;TRIM($I$2:$I$518)&amp;TRIM($J$2:$J$518))&lt;&gt;UPPER(TRIM($G376)&amp;TRIM($I376)&amp;TRIM($J376))))&gt;0), AND($AP376&lt;&gt;"", LOWER(TRIM($AP376))&lt;&gt;"n/a", LOWER(TRIM($AP376))&lt;&gt;"na", SUMPRODUCT(--(UPPER(TRIM($AP$2:$AP$518))=UPPER(TRIM($AP376))), --(UPPER(TRIM($B$2:$B$518))="YES"), --(UPPER(TRIM($G$2:$G$518)&amp;TRIM($I$2:$I$518)&amp;TRIM($J$2:$J$518))&lt;&gt;UPPER(TRIM($G376)&amp;TRIM($I376)&amp;TRIM($J376))))&gt;0), AND($AQ376&lt;&gt;"", LOWER(TRIM($AQ376))&lt;&gt;"n/a", LOWER(TRIM($AQ376))&lt;&gt;"na", SUMPRODUCT(--(UPPER(TRIM($AQ$2:$AQ$518))=UPPER(TRIM($AQ376))), --(UPPER(TRIM($B$2:$B$518))="YES"), --(UPPER(TRIM($G$2:$G$518)&amp;TRIM($I$2:$I$518)&amp;TRIM($J$2:$J$518))&lt;&gt;UPPER(TRIM($G376)&amp;TRIM($I376)&amp;TRIM($J376))))&gt;0)), "Yes", "No"))</f>
        <v/>
      </c>
      <c r="V376" t="inlineStr">
        <is>
          <t>WNH270OPR488</t>
        </is>
      </c>
      <c r="W376" t="inlineStr">
        <is>
          <t>MEDNM24J25-1039</t>
        </is>
      </c>
      <c r="CD376">
        <f>IF($Y376="","",IF((IF(AND($BR376&lt;&gt;"Yes",$BR376&lt;&gt;"N/A"),"Power Cable, ","")&amp;IF(AND($BS376&lt;&gt;"Yes",$BS376&lt;&gt;"N/A"),"Battery, ","")&amp;IF(AND($AD376&lt;&gt;"Yes",$AD376&lt;&gt;"N/A"),"Firmware Download, ","")&amp;IF(AND(OR($AD376="Yes",$AD376="N/A"),$AE376&lt;&gt;"Yes",$AE376&lt;&gt;"N/A"),"Firmware Install, ","")&amp;IF(AND($CB376&lt;&gt;"Yes",$CB376&lt;&gt;"N/A"),"Device ID, ","")&amp;IF(AND($CC376&lt;&gt;"Yes",$CC376&lt;&gt;"N/A"),"Epic Beans Relay, ",""))="","",LEFT(IF(AND($BR376&lt;&gt;"Yes",$BR376&lt;&gt;"N/A"),"Power Cable, ","")&amp;IF(AND($BS376&lt;&gt;"Yes",$BS376&lt;&gt;"N/A"),"Battery, ","")&amp;IF(AND($AD376&lt;&gt;"Yes",$AD376&lt;&gt;"N/A"),"Firmware Download, ","")&amp;IF(AND(OR($AD376="Yes",$AD376="N/A"),$AE376&lt;&gt;"Yes",$AE376&lt;&gt;"N/A"),"Firmware Install, ","")&amp;IF(AND($CB376&lt;&gt;"Yes",$CB376&lt;&gt;"N/A"),"Device ID, ","")&amp;IF(AND($CC376&lt;&gt;"Yes",$CC376&lt;&gt;"N/A"),"Epic Beans Relay, ",""),LEN(IF(AND($BR376&lt;&gt;"Yes",$BR376&lt;&gt;"N/A"),"Power Cable, ","")&amp;IF(AND($BS376&lt;&gt;"Yes",$BS376&lt;&gt;"N/A"),"Battery, ","")&amp;IF(AND($AD376&lt;&gt;"Yes",$AD376&lt;&gt;"N/A"),"Firmware Download, ","")&amp;IF(AND(OR($AD376="Yes",$AD376="N/A"),$AE376&lt;&gt;"Yes",$AE376&lt;&gt;"N/A"),"Firmware Install, ","")&amp;IF(AND($CB376&lt;&gt;"Yes",$CB376&lt;&gt;"N/A"),"Device ID, ","")&amp;IF(AND($CC376&lt;&gt;"Yes",$CC376&lt;&gt;"N/A"),"Epic Beans Relay, ",""))-2)))</f>
        <v/>
      </c>
      <c r="CE376">
        <f>IF($Y376="","",IF($CD376="","Yes","Blocked"))</f>
        <v/>
      </c>
      <c r="CP376">
        <f>IF($CO376="","",IFERROR(VLOOKUP($CO376,'01_Warehouse_Ledger'!$A:$N,4,FALSE),""))</f>
        <v/>
      </c>
      <c r="CQ376">
        <f>IF($CO376="","",IFERROR(VLOOKUP($CO376,'01_Warehouse_Ledger'!$A:$N,5,FALSE),""))</f>
        <v/>
      </c>
      <c r="CR376">
        <f>IF($CO376="","",IFERROR(VLOOKUP($CO376,'01_Warehouse_Ledger'!$A:$N,13,FALSE),""))</f>
        <v/>
      </c>
      <c r="CW376">
        <f>IF($S376="","",IF(UPPER(TRIM($S376))&lt;&gt;"PASS","",IF(LEN(TRIM($BY376))&gt;0,"NOTES_PRESENT",IF(LEN(TRIM($T376))=0,"SET_NA",IF(OR(LOWER(TRIM($T376))="na",LOWER(TRIM($T376))="n/a"),"OK","MANUAL_OVERRIDE")))))</f>
        <v/>
      </c>
    </row>
    <row r="377">
      <c r="A377" t="inlineStr">
        <is>
          <t>Cybernet</t>
        </is>
      </c>
      <c r="B377" t="inlineStr">
        <is>
          <t>No</t>
        </is>
      </c>
      <c r="C377" t="inlineStr">
        <is>
          <t>No</t>
        </is>
      </c>
      <c r="D377">
        <f>IF($B377&lt;&gt;"Yes","",IF($C377="No","Yes",IF($C377="Yes","No","")))</f>
        <v/>
      </c>
      <c r="E377">
        <f>IF($A377="","",IF(OR(AND($V377&lt;&gt;"",LOWER(TRIM($V377))&lt;&gt;"n/a",LOWER(TRIM($V377))&lt;&gt;"na",SUMPRODUCT(--(UPPER(TRIM($V$2:$V$518))=UPPER(TRIM($V377))),--(TRIM($V$2:$V$518)&lt;&gt;""),--(LOWER(TRIM($V$2:$V$518))&lt;&gt;"n/a"),--(LOWER(TRIM($V$2:$V$518))&lt;&gt;"na"))&gt;1),AND($W377&lt;&gt;"",LOWER(TRIM($W377))&lt;&gt;"n/a",LOWER(TRIM($W377))&lt;&gt;"na",SUMPRODUCT(--(UPPER(TRIM($W$2:$W$518))=UPPER(TRIM($W377))),--(TRIM($W$2:$W$518)&lt;&gt;""),--(LOWER(TRIM($W$2:$W$518))&lt;&gt;"n/a"),--(LOWER(TRIM($W$2:$W$518))&lt;&gt;"na"))&gt;1),AND($X377&lt;&gt;"",LOWER(TRIM($X377))&lt;&gt;"n/a",LOWER(TRIM($X377))&lt;&gt;"na",SUMPRODUCT(--(UPPER(TRIM($X$2:$X$518))=UPPER(TRIM($X377))),--(TRIM($X$2:$X$518)&lt;&gt;""),--(LOWER(TRIM($X$2:$X$518))&lt;&gt;"n/a"),--(LOWER(TRIM($X$2:$X$518))&lt;&gt;"na"))&gt;1),AND($Y377&lt;&gt;"",LOWER(TRIM($Y377))&lt;&gt;"n/a",LOWER(TRIM($Y377))&lt;&gt;"na",SUMPRODUCT(--(UPPER(SUBSTITUTE(SUBSTITUTE(TRIM($Y$2:$Y$518),":",""),"-",""))=UPPER(SUBSTITUTE(SUBSTITUTE(TRIM($Y377),":",""),"-",""))),--(TRIM($Y$2:$Y$518)&lt;&gt;""),--(LOWER(TRIM($Y$2:$Y$518))&lt;&gt;"n/a"),--(LOWER(TRIM($Y$2:$Y$518))&lt;&gt;"na"))&gt;1),AND($AB377&lt;&gt;"",LOWER(TRIM($AB377))&lt;&gt;"n/a",LOWER(TRIM($AB377))&lt;&gt;"na",SUMPRODUCT(--(UPPER(TRIM($AB$2:$AB$518))=UPPER(TRIM($AB377))),--(TRIM($AB$2:$AB$518)&lt;&gt;""),--(LOWER(TRIM($AB$2:$AB$518))&lt;&gt;"n/a"),--(LOWER(TRIM($AB$2:$AB$518))&lt;&gt;"na"))&gt;1),AND($AH377&lt;&gt;"",LOWER(TRIM($AH377))&lt;&gt;"n/a",LOWER(TRIM($AH377))&lt;&gt;"na",SUMPRODUCT(--(UPPER(SUBSTITUTE(SUBSTITUTE(TRIM($AH$2:$AH$518),":",""),"-",""))=UPPER(SUBSTITUTE(SUBSTITUTE(TRIM($AH377),":",""),"-",""))),--(TRIM($AH$2:$AH$518)&lt;&gt;""),--(LOWER(TRIM($AH$2:$AH$518))&lt;&gt;"n/a"),--(LOWER(TRIM($AH$2:$AH$518))&lt;&gt;"na"))&gt;1),AND($AP377&lt;&gt;"",LOWER(TRIM($AP377))&lt;&gt;"n/a",LOWER(TRIM($AP377))&lt;&gt;"na",SUMPRODUCT(--(UPPER(TRIM($AP$2:$AP$518))=UPPER(TRIM($AP377))),--(TRIM($AP$2:$AP$518)&lt;&gt;""),--(LOWER(TRIM($AP$2:$AP$518))&lt;&gt;"n/a"),--(LOWER(TRIM($AP$2:$AP$518))&lt;&gt;"na"))&gt;1),AND($AQ377&lt;&gt;"",LOWER(TRIM($AQ377))&lt;&gt;"n/a",LOWER(TRIM($AQ377))&lt;&gt;"na",SUMPRODUCT(--(UPPER(TRIM($AQ$2:$AQ$518))=UPPER(TRIM($AQ377))),--(TRIM($AQ$2:$AQ$518)&lt;&gt;""),--(LOWER(TRIM($AQ$2:$AQ$518))&lt;&gt;"n/a"),--(LOWER(TRIM($AQ$2:$AQ$518))&lt;&gt;"na"))&gt;1)),"Yes","No"))</f>
        <v/>
      </c>
      <c r="F377">
        <f>IF(UPPER(TRIM($B377))&lt;&gt;"YES","", IF(OR(AND($V377&lt;&gt;"", LOWER(TRIM($V377))&lt;&gt;"n/a", LOWER(TRIM($V377))&lt;&gt;"na", SUMPRODUCT(--(UPPER(TRIM($V$2:$V$518))=UPPER(TRIM($V377))), --(UPPER(TRIM($B$2:$B$518))="YES"), --(UPPER(TRIM($G$2:$G$518)&amp;TRIM($I$2:$I$518)&amp;TRIM($J$2:$J$518))&lt;&gt;UPPER(TRIM($G377)&amp;TRIM($I377)&amp;TRIM($J377))))&gt;0), AND($W377&lt;&gt;"", LOWER(TRIM($W377))&lt;&gt;"n/a", LOWER(TRIM($W377))&lt;&gt;"na", SUMPRODUCT(--(UPPER(TRIM($W$2:$W$518))=UPPER(TRIM($W377))), --(UPPER(TRIM($B$2:$B$518))="YES"), --(UPPER(TRIM($G$2:$G$518)&amp;TRIM($I$2:$I$518)&amp;TRIM($J$2:$J$518))&lt;&gt;UPPER(TRIM($G377)&amp;TRIM($I377)&amp;TRIM($J377))))&gt;0), AND($X377&lt;&gt;"", LOWER(TRIM($X377))&lt;&gt;"n/a", LOWER(TRIM($X377))&lt;&gt;"na", SUMPRODUCT(--(UPPER(TRIM($X$2:$X$518))=UPPER(TRIM($X377))), --(UPPER(TRIM($B$2:$B$518))="YES"), --(UPPER(TRIM($G$2:$G$518)&amp;TRIM($I$2:$I$518)&amp;TRIM($J$2:$J$518))&lt;&gt;UPPER(TRIM($G377)&amp;TRIM($I377)&amp;TRIM($J377))))&gt;0), AND($Y377&lt;&gt;"", LOWER(TRIM($Y377))&lt;&gt;"n/a", LOWER(TRIM($Y377))&lt;&gt;"na", SUMPRODUCT(--(UPPER(SUBSTITUTE(SUBSTITUTE(TRIM($Y$2:$Y$518),":",""),"-",""))=UPPER(SUBSTITUTE(SUBSTITUTE(TRIM($Y377),":",""),"-",""))), --(UPPER(TRIM($B$2:$B$518))="YES"), --(UPPER(TRIM($G$2:$G$518)&amp;TRIM($I$2:$I$518)&amp;TRIM($J$2:$J$518))&lt;&gt;UPPER(TRIM($G377)&amp;TRIM($I377)&amp;TRIM($J377))))&gt;0), AND($AB377&lt;&gt;"", LOWER(TRIM($AB377))&lt;&gt;"n/a", LOWER(TRIM($AB377))&lt;&gt;"na", SUMPRODUCT(--(UPPER(TRIM($AB$2:$AB$518))=UPPER(TRIM($AB377))), --(UPPER(TRIM($B$2:$B$518))="YES"), --(UPPER(TRIM($G$2:$G$518)&amp;TRIM($I$2:$I$518)&amp;TRIM($J$2:$J$518))&lt;&gt;UPPER(TRIM($G377)&amp;TRIM($I377)&amp;TRIM($J377))))&gt;0), AND($AH377&lt;&gt;"", LOWER(TRIM($AH377))&lt;&gt;"n/a", LOWER(TRIM($AH377))&lt;&gt;"na", SUMPRODUCT(--(UPPER(SUBSTITUTE(SUBSTITUTE(TRIM($AH$2:$AH$518),":",""),"-",""))=UPPER(SUBSTITUTE(SUBSTITUTE(TRIM($AH377),":",""),"-",""))), --(UPPER(TRIM($B$2:$B$518))="YES"), --(UPPER(TRIM($G$2:$G$518)&amp;TRIM($I$2:$I$518)&amp;TRIM($J$2:$J$518))&lt;&gt;UPPER(TRIM($G377)&amp;TRIM($I377)&amp;TRIM($J377))))&gt;0), AND($AP377&lt;&gt;"", LOWER(TRIM($AP377))&lt;&gt;"n/a", LOWER(TRIM($AP377))&lt;&gt;"na", SUMPRODUCT(--(UPPER(TRIM($AP$2:$AP$518))=UPPER(TRIM($AP377))), --(UPPER(TRIM($B$2:$B$518))="YES"), --(UPPER(TRIM($G$2:$G$518)&amp;TRIM($I$2:$I$518)&amp;TRIM($J$2:$J$518))&lt;&gt;UPPER(TRIM($G377)&amp;TRIM($I377)&amp;TRIM($J377))))&gt;0), AND($AQ377&lt;&gt;"", LOWER(TRIM($AQ377))&lt;&gt;"n/a", LOWER(TRIM($AQ377))&lt;&gt;"na", SUMPRODUCT(--(UPPER(TRIM($AQ$2:$AQ$518))=UPPER(TRIM($AQ377))), --(UPPER(TRIM($B$2:$B$518))="YES"), --(UPPER(TRIM($G$2:$G$518)&amp;TRIM($I$2:$I$518)&amp;TRIM($J$2:$J$518))&lt;&gt;UPPER(TRIM($G377)&amp;TRIM($I377)&amp;TRIM($J377))))&gt;0)), "Yes", "No"))</f>
        <v/>
      </c>
      <c r="G377" t="inlineStr">
        <is>
          <t>1 MARCUS</t>
        </is>
      </c>
      <c r="H377" t="inlineStr">
        <is>
          <t xml:space="preserve">SSUH </t>
        </is>
      </c>
      <c r="V377" t="inlineStr">
        <is>
          <t>WBS301OPR114</t>
        </is>
      </c>
      <c r="W377" t="inlineStr">
        <is>
          <t>MEDNM24J25-1236</t>
        </is>
      </c>
      <c r="CD377">
        <f>IF($Y377="","",IF((IF(AND($BR377&lt;&gt;"Yes",$BR377&lt;&gt;"N/A"),"Power Cable, ","")&amp;IF(AND($BS377&lt;&gt;"Yes",$BS377&lt;&gt;"N/A"),"Battery, ","")&amp;IF(AND($AD377&lt;&gt;"Yes",$AD377&lt;&gt;"N/A"),"Firmware Download, ","")&amp;IF(AND(OR($AD377="Yes",$AD377="N/A"),$AE377&lt;&gt;"Yes",$AE377&lt;&gt;"N/A"),"Firmware Install, ","")&amp;IF(AND($CB377&lt;&gt;"Yes",$CB377&lt;&gt;"N/A"),"Device ID, ","")&amp;IF(AND($CC377&lt;&gt;"Yes",$CC377&lt;&gt;"N/A"),"Epic Beans Relay, ",""))="","",LEFT(IF(AND($BR377&lt;&gt;"Yes",$BR377&lt;&gt;"N/A"),"Power Cable, ","")&amp;IF(AND($BS377&lt;&gt;"Yes",$BS377&lt;&gt;"N/A"),"Battery, ","")&amp;IF(AND($AD377&lt;&gt;"Yes",$AD377&lt;&gt;"N/A"),"Firmware Download, ","")&amp;IF(AND(OR($AD377="Yes",$AD377="N/A"),$AE377&lt;&gt;"Yes",$AE377&lt;&gt;"N/A"),"Firmware Install, ","")&amp;IF(AND($CB377&lt;&gt;"Yes",$CB377&lt;&gt;"N/A"),"Device ID, ","")&amp;IF(AND($CC377&lt;&gt;"Yes",$CC377&lt;&gt;"N/A"),"Epic Beans Relay, ",""),LEN(IF(AND($BR377&lt;&gt;"Yes",$BR377&lt;&gt;"N/A"),"Power Cable, ","")&amp;IF(AND($BS377&lt;&gt;"Yes",$BS377&lt;&gt;"N/A"),"Battery, ","")&amp;IF(AND($AD377&lt;&gt;"Yes",$AD377&lt;&gt;"N/A"),"Firmware Download, ","")&amp;IF(AND(OR($AD377="Yes",$AD377="N/A"),$AE377&lt;&gt;"Yes",$AE377&lt;&gt;"N/A"),"Firmware Install, ","")&amp;IF(AND($CB377&lt;&gt;"Yes",$CB377&lt;&gt;"N/A"),"Device ID, ","")&amp;IF(AND($CC377&lt;&gt;"Yes",$CC377&lt;&gt;"N/A"),"Epic Beans Relay, ",""))-2)))</f>
        <v/>
      </c>
      <c r="CE377">
        <f>IF($Y377="","",IF($CD377="","Yes","Blocked"))</f>
        <v/>
      </c>
      <c r="CP377">
        <f>IF($CO377="","",IFERROR(VLOOKUP($CO377,'01_Warehouse_Ledger'!$A:$N,4,FALSE),""))</f>
        <v/>
      </c>
      <c r="CQ377">
        <f>IF($CO377="","",IFERROR(VLOOKUP($CO377,'01_Warehouse_Ledger'!$A:$N,5,FALSE),""))</f>
        <v/>
      </c>
      <c r="CR377">
        <f>IF($CO377="","",IFERROR(VLOOKUP($CO377,'01_Warehouse_Ledger'!$A:$N,13,FALSE),""))</f>
        <v/>
      </c>
      <c r="CW377">
        <f>IF($S377="","",IF(UPPER(TRIM($S377))&lt;&gt;"PASS","",IF(LEN(TRIM($BY377))&gt;0,"NOTES_PRESENT",IF(LEN(TRIM($T377))=0,"SET_NA",IF(OR(LOWER(TRIM($T377))="na",LOWER(TRIM($T377))="n/a"),"OK","MANUAL_OVERRIDE")))))</f>
        <v/>
      </c>
    </row>
    <row r="378">
      <c r="B378" t="inlineStr">
        <is>
          <t>No</t>
        </is>
      </c>
      <c r="C378" t="inlineStr">
        <is>
          <t>No</t>
        </is>
      </c>
      <c r="D378">
        <f>IF($B378&lt;&gt;"Yes","",IF($C378="No","Yes",IF($C378="Yes","No","")))</f>
        <v/>
      </c>
      <c r="E378">
        <f>IF($A378="","",IF(OR(AND($V378&lt;&gt;"",LOWER(TRIM($V378))&lt;&gt;"n/a",LOWER(TRIM($V378))&lt;&gt;"na",SUMPRODUCT(--(UPPER(TRIM($V$2:$V$518))=UPPER(TRIM($V378))),--(TRIM($V$2:$V$518)&lt;&gt;""),--(LOWER(TRIM($V$2:$V$518))&lt;&gt;"n/a"),--(LOWER(TRIM($V$2:$V$518))&lt;&gt;"na"))&gt;1),AND($W378&lt;&gt;"",LOWER(TRIM($W378))&lt;&gt;"n/a",LOWER(TRIM($W378))&lt;&gt;"na",SUMPRODUCT(--(UPPER(TRIM($W$2:$W$518))=UPPER(TRIM($W378))),--(TRIM($W$2:$W$518)&lt;&gt;""),--(LOWER(TRIM($W$2:$W$518))&lt;&gt;"n/a"),--(LOWER(TRIM($W$2:$W$518))&lt;&gt;"na"))&gt;1),AND($X378&lt;&gt;"",LOWER(TRIM($X378))&lt;&gt;"n/a",LOWER(TRIM($X378))&lt;&gt;"na",SUMPRODUCT(--(UPPER(TRIM($X$2:$X$518))=UPPER(TRIM($X378))),--(TRIM($X$2:$X$518)&lt;&gt;""),--(LOWER(TRIM($X$2:$X$518))&lt;&gt;"n/a"),--(LOWER(TRIM($X$2:$X$518))&lt;&gt;"na"))&gt;1),AND($Y378&lt;&gt;"",LOWER(TRIM($Y378))&lt;&gt;"n/a",LOWER(TRIM($Y378))&lt;&gt;"na",SUMPRODUCT(--(UPPER(SUBSTITUTE(SUBSTITUTE(TRIM($Y$2:$Y$518),":",""),"-",""))=UPPER(SUBSTITUTE(SUBSTITUTE(TRIM($Y378),":",""),"-",""))),--(TRIM($Y$2:$Y$518)&lt;&gt;""),--(LOWER(TRIM($Y$2:$Y$518))&lt;&gt;"n/a"),--(LOWER(TRIM($Y$2:$Y$518))&lt;&gt;"na"))&gt;1),AND($AB378&lt;&gt;"",LOWER(TRIM($AB378))&lt;&gt;"n/a",LOWER(TRIM($AB378))&lt;&gt;"na",SUMPRODUCT(--(UPPER(TRIM($AB$2:$AB$518))=UPPER(TRIM($AB378))),--(TRIM($AB$2:$AB$518)&lt;&gt;""),--(LOWER(TRIM($AB$2:$AB$518))&lt;&gt;"n/a"),--(LOWER(TRIM($AB$2:$AB$518))&lt;&gt;"na"))&gt;1),AND($AH378&lt;&gt;"",LOWER(TRIM($AH378))&lt;&gt;"n/a",LOWER(TRIM($AH378))&lt;&gt;"na",SUMPRODUCT(--(UPPER(SUBSTITUTE(SUBSTITUTE(TRIM($AH$2:$AH$518),":",""),"-",""))=UPPER(SUBSTITUTE(SUBSTITUTE(TRIM($AH378),":",""),"-",""))),--(TRIM($AH$2:$AH$518)&lt;&gt;""),--(LOWER(TRIM($AH$2:$AH$518))&lt;&gt;"n/a"),--(LOWER(TRIM($AH$2:$AH$518))&lt;&gt;"na"))&gt;1),AND($AP378&lt;&gt;"",LOWER(TRIM($AP378))&lt;&gt;"n/a",LOWER(TRIM($AP378))&lt;&gt;"na",SUMPRODUCT(--(UPPER(TRIM($AP$2:$AP$518))=UPPER(TRIM($AP378))),--(TRIM($AP$2:$AP$518)&lt;&gt;""),--(LOWER(TRIM($AP$2:$AP$518))&lt;&gt;"n/a"),--(LOWER(TRIM($AP$2:$AP$518))&lt;&gt;"na"))&gt;1),AND($AQ378&lt;&gt;"",LOWER(TRIM($AQ378))&lt;&gt;"n/a",LOWER(TRIM($AQ378))&lt;&gt;"na",SUMPRODUCT(--(UPPER(TRIM($AQ$2:$AQ$518))=UPPER(TRIM($AQ378))),--(TRIM($AQ$2:$AQ$518)&lt;&gt;""),--(LOWER(TRIM($AQ$2:$AQ$518))&lt;&gt;"n/a"),--(LOWER(TRIM($AQ$2:$AQ$518))&lt;&gt;"na"))&gt;1)),"Yes","No"))</f>
        <v/>
      </c>
      <c r="F378">
        <f>IF(UPPER(TRIM($B378))&lt;&gt;"YES","", IF(OR(AND($V378&lt;&gt;"", LOWER(TRIM($V378))&lt;&gt;"n/a", LOWER(TRIM($V378))&lt;&gt;"na", SUMPRODUCT(--(UPPER(TRIM($V$2:$V$518))=UPPER(TRIM($V378))), --(UPPER(TRIM($B$2:$B$518))="YES"), --(UPPER(TRIM($G$2:$G$518)&amp;TRIM($I$2:$I$518)&amp;TRIM($J$2:$J$518))&lt;&gt;UPPER(TRIM($G378)&amp;TRIM($I378)&amp;TRIM($J378))))&gt;0), AND($W378&lt;&gt;"", LOWER(TRIM($W378))&lt;&gt;"n/a", LOWER(TRIM($W378))&lt;&gt;"na", SUMPRODUCT(--(UPPER(TRIM($W$2:$W$518))=UPPER(TRIM($W378))), --(UPPER(TRIM($B$2:$B$518))="YES"), --(UPPER(TRIM($G$2:$G$518)&amp;TRIM($I$2:$I$518)&amp;TRIM($J$2:$J$518))&lt;&gt;UPPER(TRIM($G378)&amp;TRIM($I378)&amp;TRIM($J378))))&gt;0), AND($X378&lt;&gt;"", LOWER(TRIM($X378))&lt;&gt;"n/a", LOWER(TRIM($X378))&lt;&gt;"na", SUMPRODUCT(--(UPPER(TRIM($X$2:$X$518))=UPPER(TRIM($X378))), --(UPPER(TRIM($B$2:$B$518))="YES"), --(UPPER(TRIM($G$2:$G$518)&amp;TRIM($I$2:$I$518)&amp;TRIM($J$2:$J$518))&lt;&gt;UPPER(TRIM($G378)&amp;TRIM($I378)&amp;TRIM($J378))))&gt;0), AND($Y378&lt;&gt;"", LOWER(TRIM($Y378))&lt;&gt;"n/a", LOWER(TRIM($Y378))&lt;&gt;"na", SUMPRODUCT(--(UPPER(SUBSTITUTE(SUBSTITUTE(TRIM($Y$2:$Y$518),":",""),"-",""))=UPPER(SUBSTITUTE(SUBSTITUTE(TRIM($Y378),":",""),"-",""))), --(UPPER(TRIM($B$2:$B$518))="YES"), --(UPPER(TRIM($G$2:$G$518)&amp;TRIM($I$2:$I$518)&amp;TRIM($J$2:$J$518))&lt;&gt;UPPER(TRIM($G378)&amp;TRIM($I378)&amp;TRIM($J378))))&gt;0), AND($AB378&lt;&gt;"", LOWER(TRIM($AB378))&lt;&gt;"n/a", LOWER(TRIM($AB378))&lt;&gt;"na", SUMPRODUCT(--(UPPER(TRIM($AB$2:$AB$518))=UPPER(TRIM($AB378))), --(UPPER(TRIM($B$2:$B$518))="YES"), --(UPPER(TRIM($G$2:$G$518)&amp;TRIM($I$2:$I$518)&amp;TRIM($J$2:$J$518))&lt;&gt;UPPER(TRIM($G378)&amp;TRIM($I378)&amp;TRIM($J378))))&gt;0), AND($AH378&lt;&gt;"", LOWER(TRIM($AH378))&lt;&gt;"n/a", LOWER(TRIM($AH378))&lt;&gt;"na", SUMPRODUCT(--(UPPER(SUBSTITUTE(SUBSTITUTE(TRIM($AH$2:$AH$518),":",""),"-",""))=UPPER(SUBSTITUTE(SUBSTITUTE(TRIM($AH378),":",""),"-",""))), --(UPPER(TRIM($B$2:$B$518))="YES"), --(UPPER(TRIM($G$2:$G$518)&amp;TRIM($I$2:$I$518)&amp;TRIM($J$2:$J$518))&lt;&gt;UPPER(TRIM($G378)&amp;TRIM($I378)&amp;TRIM($J378))))&gt;0), AND($AP378&lt;&gt;"", LOWER(TRIM($AP378))&lt;&gt;"n/a", LOWER(TRIM($AP378))&lt;&gt;"na", SUMPRODUCT(--(UPPER(TRIM($AP$2:$AP$518))=UPPER(TRIM($AP378))), --(UPPER(TRIM($B$2:$B$518))="YES"), --(UPPER(TRIM($G$2:$G$518)&amp;TRIM($I$2:$I$518)&amp;TRIM($J$2:$J$518))&lt;&gt;UPPER(TRIM($G378)&amp;TRIM($I378)&amp;TRIM($J378))))&gt;0), AND($AQ378&lt;&gt;"", LOWER(TRIM($AQ378))&lt;&gt;"n/a", LOWER(TRIM($AQ378))&lt;&gt;"na", SUMPRODUCT(--(UPPER(TRIM($AQ$2:$AQ$518))=UPPER(TRIM($AQ378))), --(UPPER(TRIM($B$2:$B$518))="YES"), --(UPPER(TRIM($G$2:$G$518)&amp;TRIM($I$2:$I$518)&amp;TRIM($J$2:$J$518))&lt;&gt;UPPER(TRIM($G378)&amp;TRIM($I378)&amp;TRIM($J378))))&gt;0)), "Yes", "No"))</f>
        <v/>
      </c>
      <c r="V378" t="inlineStr">
        <is>
          <t>WNH270OPR490</t>
        </is>
      </c>
      <c r="W378" t="inlineStr">
        <is>
          <t>MEDNM24J25-0889</t>
        </is>
      </c>
      <c r="CD378">
        <f>IF($Y378="","",IF((IF(AND($BR378&lt;&gt;"Yes",$BR378&lt;&gt;"N/A"),"Power Cable, ","")&amp;IF(AND($BS378&lt;&gt;"Yes",$BS378&lt;&gt;"N/A"),"Battery, ","")&amp;IF(AND($AD378&lt;&gt;"Yes",$AD378&lt;&gt;"N/A"),"Firmware Download, ","")&amp;IF(AND(OR($AD378="Yes",$AD378="N/A"),$AE378&lt;&gt;"Yes",$AE378&lt;&gt;"N/A"),"Firmware Install, ","")&amp;IF(AND($CB378&lt;&gt;"Yes",$CB378&lt;&gt;"N/A"),"Device ID, ","")&amp;IF(AND($CC378&lt;&gt;"Yes",$CC378&lt;&gt;"N/A"),"Epic Beans Relay, ",""))="","",LEFT(IF(AND($BR378&lt;&gt;"Yes",$BR378&lt;&gt;"N/A"),"Power Cable, ","")&amp;IF(AND($BS378&lt;&gt;"Yes",$BS378&lt;&gt;"N/A"),"Battery, ","")&amp;IF(AND($AD378&lt;&gt;"Yes",$AD378&lt;&gt;"N/A"),"Firmware Download, ","")&amp;IF(AND(OR($AD378="Yes",$AD378="N/A"),$AE378&lt;&gt;"Yes",$AE378&lt;&gt;"N/A"),"Firmware Install, ","")&amp;IF(AND($CB378&lt;&gt;"Yes",$CB378&lt;&gt;"N/A"),"Device ID, ","")&amp;IF(AND($CC378&lt;&gt;"Yes",$CC378&lt;&gt;"N/A"),"Epic Beans Relay, ",""),LEN(IF(AND($BR378&lt;&gt;"Yes",$BR378&lt;&gt;"N/A"),"Power Cable, ","")&amp;IF(AND($BS378&lt;&gt;"Yes",$BS378&lt;&gt;"N/A"),"Battery, ","")&amp;IF(AND($AD378&lt;&gt;"Yes",$AD378&lt;&gt;"N/A"),"Firmware Download, ","")&amp;IF(AND(OR($AD378="Yes",$AD378="N/A"),$AE378&lt;&gt;"Yes",$AE378&lt;&gt;"N/A"),"Firmware Install, ","")&amp;IF(AND($CB378&lt;&gt;"Yes",$CB378&lt;&gt;"N/A"),"Device ID, ","")&amp;IF(AND($CC378&lt;&gt;"Yes",$CC378&lt;&gt;"N/A"),"Epic Beans Relay, ",""))-2)))</f>
        <v/>
      </c>
      <c r="CE378">
        <f>IF($Y378="","",IF($CD378="","Yes","Blocked"))</f>
        <v/>
      </c>
      <c r="CP378">
        <f>IF($CO378="","",IFERROR(VLOOKUP($CO378,'01_Warehouse_Ledger'!$A:$N,4,FALSE),""))</f>
        <v/>
      </c>
      <c r="CQ378">
        <f>IF($CO378="","",IFERROR(VLOOKUP($CO378,'01_Warehouse_Ledger'!$A:$N,5,FALSE),""))</f>
        <v/>
      </c>
      <c r="CR378">
        <f>IF($CO378="","",IFERROR(VLOOKUP($CO378,'01_Warehouse_Ledger'!$A:$N,13,FALSE),""))</f>
        <v/>
      </c>
      <c r="CW378">
        <f>IF($S378="","",IF(UPPER(TRIM($S378))&lt;&gt;"PASS","",IF(LEN(TRIM($BY378))&gt;0,"NOTES_PRESENT",IF(LEN(TRIM($T378))=0,"SET_NA",IF(OR(LOWER(TRIM($T378))="na",LOWER(TRIM($T378))="n/a"),"OK","MANUAL_OVERRIDE")))))</f>
        <v/>
      </c>
    </row>
    <row r="379">
      <c r="B379" t="inlineStr">
        <is>
          <t>No</t>
        </is>
      </c>
      <c r="C379" t="inlineStr">
        <is>
          <t>No</t>
        </is>
      </c>
      <c r="D379">
        <f>IF($B379&lt;&gt;"Yes","",IF($C379="No","Yes",IF($C379="Yes","No","")))</f>
        <v/>
      </c>
      <c r="E379">
        <f>IF($A379="","",IF(OR(AND($V379&lt;&gt;"",LOWER(TRIM($V379))&lt;&gt;"n/a",LOWER(TRIM($V379))&lt;&gt;"na",SUMPRODUCT(--(UPPER(TRIM($V$2:$V$518))=UPPER(TRIM($V379))),--(TRIM($V$2:$V$518)&lt;&gt;""),--(LOWER(TRIM($V$2:$V$518))&lt;&gt;"n/a"),--(LOWER(TRIM($V$2:$V$518))&lt;&gt;"na"))&gt;1),AND($W379&lt;&gt;"",LOWER(TRIM($W379))&lt;&gt;"n/a",LOWER(TRIM($W379))&lt;&gt;"na",SUMPRODUCT(--(UPPER(TRIM($W$2:$W$518))=UPPER(TRIM($W379))),--(TRIM($W$2:$W$518)&lt;&gt;""),--(LOWER(TRIM($W$2:$W$518))&lt;&gt;"n/a"),--(LOWER(TRIM($W$2:$W$518))&lt;&gt;"na"))&gt;1),AND($X379&lt;&gt;"",LOWER(TRIM($X379))&lt;&gt;"n/a",LOWER(TRIM($X379))&lt;&gt;"na",SUMPRODUCT(--(UPPER(TRIM($X$2:$X$518))=UPPER(TRIM($X379))),--(TRIM($X$2:$X$518)&lt;&gt;""),--(LOWER(TRIM($X$2:$X$518))&lt;&gt;"n/a"),--(LOWER(TRIM($X$2:$X$518))&lt;&gt;"na"))&gt;1),AND($Y379&lt;&gt;"",LOWER(TRIM($Y379))&lt;&gt;"n/a",LOWER(TRIM($Y379))&lt;&gt;"na",SUMPRODUCT(--(UPPER(SUBSTITUTE(SUBSTITUTE(TRIM($Y$2:$Y$518),":",""),"-",""))=UPPER(SUBSTITUTE(SUBSTITUTE(TRIM($Y379),":",""),"-",""))),--(TRIM($Y$2:$Y$518)&lt;&gt;""),--(LOWER(TRIM($Y$2:$Y$518))&lt;&gt;"n/a"),--(LOWER(TRIM($Y$2:$Y$518))&lt;&gt;"na"))&gt;1),AND($AB379&lt;&gt;"",LOWER(TRIM($AB379))&lt;&gt;"n/a",LOWER(TRIM($AB379))&lt;&gt;"na",SUMPRODUCT(--(UPPER(TRIM($AB$2:$AB$518))=UPPER(TRIM($AB379))),--(TRIM($AB$2:$AB$518)&lt;&gt;""),--(LOWER(TRIM($AB$2:$AB$518))&lt;&gt;"n/a"),--(LOWER(TRIM($AB$2:$AB$518))&lt;&gt;"na"))&gt;1),AND($AH379&lt;&gt;"",LOWER(TRIM($AH379))&lt;&gt;"n/a",LOWER(TRIM($AH379))&lt;&gt;"na",SUMPRODUCT(--(UPPER(SUBSTITUTE(SUBSTITUTE(TRIM($AH$2:$AH$518),":",""),"-",""))=UPPER(SUBSTITUTE(SUBSTITUTE(TRIM($AH379),":",""),"-",""))),--(TRIM($AH$2:$AH$518)&lt;&gt;""),--(LOWER(TRIM($AH$2:$AH$518))&lt;&gt;"n/a"),--(LOWER(TRIM($AH$2:$AH$518))&lt;&gt;"na"))&gt;1),AND($AP379&lt;&gt;"",LOWER(TRIM($AP379))&lt;&gt;"n/a",LOWER(TRIM($AP379))&lt;&gt;"na",SUMPRODUCT(--(UPPER(TRIM($AP$2:$AP$518))=UPPER(TRIM($AP379))),--(TRIM($AP$2:$AP$518)&lt;&gt;""),--(LOWER(TRIM($AP$2:$AP$518))&lt;&gt;"n/a"),--(LOWER(TRIM($AP$2:$AP$518))&lt;&gt;"na"))&gt;1),AND($AQ379&lt;&gt;"",LOWER(TRIM($AQ379))&lt;&gt;"n/a",LOWER(TRIM($AQ379))&lt;&gt;"na",SUMPRODUCT(--(UPPER(TRIM($AQ$2:$AQ$518))=UPPER(TRIM($AQ379))),--(TRIM($AQ$2:$AQ$518)&lt;&gt;""),--(LOWER(TRIM($AQ$2:$AQ$518))&lt;&gt;"n/a"),--(LOWER(TRIM($AQ$2:$AQ$518))&lt;&gt;"na"))&gt;1)),"Yes","No"))</f>
        <v/>
      </c>
      <c r="F379">
        <f>IF(UPPER(TRIM($B379))&lt;&gt;"YES","", IF(OR(AND($V379&lt;&gt;"", LOWER(TRIM($V379))&lt;&gt;"n/a", LOWER(TRIM($V379))&lt;&gt;"na", SUMPRODUCT(--(UPPER(TRIM($V$2:$V$518))=UPPER(TRIM($V379))), --(UPPER(TRIM($B$2:$B$518))="YES"), --(UPPER(TRIM($G$2:$G$518)&amp;TRIM($I$2:$I$518)&amp;TRIM($J$2:$J$518))&lt;&gt;UPPER(TRIM($G379)&amp;TRIM($I379)&amp;TRIM($J379))))&gt;0), AND($W379&lt;&gt;"", LOWER(TRIM($W379))&lt;&gt;"n/a", LOWER(TRIM($W379))&lt;&gt;"na", SUMPRODUCT(--(UPPER(TRIM($W$2:$W$518))=UPPER(TRIM($W379))), --(UPPER(TRIM($B$2:$B$518))="YES"), --(UPPER(TRIM($G$2:$G$518)&amp;TRIM($I$2:$I$518)&amp;TRIM($J$2:$J$518))&lt;&gt;UPPER(TRIM($G379)&amp;TRIM($I379)&amp;TRIM($J379))))&gt;0), AND($X379&lt;&gt;"", LOWER(TRIM($X379))&lt;&gt;"n/a", LOWER(TRIM($X379))&lt;&gt;"na", SUMPRODUCT(--(UPPER(TRIM($X$2:$X$518))=UPPER(TRIM($X379))), --(UPPER(TRIM($B$2:$B$518))="YES"), --(UPPER(TRIM($G$2:$G$518)&amp;TRIM($I$2:$I$518)&amp;TRIM($J$2:$J$518))&lt;&gt;UPPER(TRIM($G379)&amp;TRIM($I379)&amp;TRIM($J379))))&gt;0), AND($Y379&lt;&gt;"", LOWER(TRIM($Y379))&lt;&gt;"n/a", LOWER(TRIM($Y379))&lt;&gt;"na", SUMPRODUCT(--(UPPER(SUBSTITUTE(SUBSTITUTE(TRIM($Y$2:$Y$518),":",""),"-",""))=UPPER(SUBSTITUTE(SUBSTITUTE(TRIM($Y379),":",""),"-",""))), --(UPPER(TRIM($B$2:$B$518))="YES"), --(UPPER(TRIM($G$2:$G$518)&amp;TRIM($I$2:$I$518)&amp;TRIM($J$2:$J$518))&lt;&gt;UPPER(TRIM($G379)&amp;TRIM($I379)&amp;TRIM($J379))))&gt;0), AND($AB379&lt;&gt;"", LOWER(TRIM($AB379))&lt;&gt;"n/a", LOWER(TRIM($AB379))&lt;&gt;"na", SUMPRODUCT(--(UPPER(TRIM($AB$2:$AB$518))=UPPER(TRIM($AB379))), --(UPPER(TRIM($B$2:$B$518))="YES"), --(UPPER(TRIM($G$2:$G$518)&amp;TRIM($I$2:$I$518)&amp;TRIM($J$2:$J$518))&lt;&gt;UPPER(TRIM($G379)&amp;TRIM($I379)&amp;TRIM($J379))))&gt;0), AND($AH379&lt;&gt;"", LOWER(TRIM($AH379))&lt;&gt;"n/a", LOWER(TRIM($AH379))&lt;&gt;"na", SUMPRODUCT(--(UPPER(SUBSTITUTE(SUBSTITUTE(TRIM($AH$2:$AH$518),":",""),"-",""))=UPPER(SUBSTITUTE(SUBSTITUTE(TRIM($AH379),":",""),"-",""))), --(UPPER(TRIM($B$2:$B$518))="YES"), --(UPPER(TRIM($G$2:$G$518)&amp;TRIM($I$2:$I$518)&amp;TRIM($J$2:$J$518))&lt;&gt;UPPER(TRIM($G379)&amp;TRIM($I379)&amp;TRIM($J379))))&gt;0), AND($AP379&lt;&gt;"", LOWER(TRIM($AP379))&lt;&gt;"n/a", LOWER(TRIM($AP379))&lt;&gt;"na", SUMPRODUCT(--(UPPER(TRIM($AP$2:$AP$518))=UPPER(TRIM($AP379))), --(UPPER(TRIM($B$2:$B$518))="YES"), --(UPPER(TRIM($G$2:$G$518)&amp;TRIM($I$2:$I$518)&amp;TRIM($J$2:$J$518))&lt;&gt;UPPER(TRIM($G379)&amp;TRIM($I379)&amp;TRIM($J379))))&gt;0), AND($AQ379&lt;&gt;"", LOWER(TRIM($AQ379))&lt;&gt;"n/a", LOWER(TRIM($AQ379))&lt;&gt;"na", SUMPRODUCT(--(UPPER(TRIM($AQ$2:$AQ$518))=UPPER(TRIM($AQ379))), --(UPPER(TRIM($B$2:$B$518))="YES"), --(UPPER(TRIM($G$2:$G$518)&amp;TRIM($I$2:$I$518)&amp;TRIM($J$2:$J$518))&lt;&gt;UPPER(TRIM($G379)&amp;TRIM($I379)&amp;TRIM($J379))))&gt;0)), "Yes", "No"))</f>
        <v/>
      </c>
      <c r="G379" t="inlineStr">
        <is>
          <t>1 MARCUS</t>
        </is>
      </c>
      <c r="H379" t="inlineStr">
        <is>
          <t>SSUH</t>
        </is>
      </c>
      <c r="V379" t="inlineStr">
        <is>
          <t>WBS301OPR112</t>
        </is>
      </c>
      <c r="W379" t="inlineStr">
        <is>
          <t>MEDNM24J25-1196</t>
        </is>
      </c>
      <c r="CD379">
        <f>IF($Y379="","",IF((IF(AND($BR379&lt;&gt;"Yes",$BR379&lt;&gt;"N/A"),"Power Cable, ","")&amp;IF(AND($BS379&lt;&gt;"Yes",$BS379&lt;&gt;"N/A"),"Battery, ","")&amp;IF(AND($AD379&lt;&gt;"Yes",$AD379&lt;&gt;"N/A"),"Firmware Download, ","")&amp;IF(AND(OR($AD379="Yes",$AD379="N/A"),$AE379&lt;&gt;"Yes",$AE379&lt;&gt;"N/A"),"Firmware Install, ","")&amp;IF(AND($CB379&lt;&gt;"Yes",$CB379&lt;&gt;"N/A"),"Device ID, ","")&amp;IF(AND($CC379&lt;&gt;"Yes",$CC379&lt;&gt;"N/A"),"Epic Beans Relay, ",""))="","",LEFT(IF(AND($BR379&lt;&gt;"Yes",$BR379&lt;&gt;"N/A"),"Power Cable, ","")&amp;IF(AND($BS379&lt;&gt;"Yes",$BS379&lt;&gt;"N/A"),"Battery, ","")&amp;IF(AND($AD379&lt;&gt;"Yes",$AD379&lt;&gt;"N/A"),"Firmware Download, ","")&amp;IF(AND(OR($AD379="Yes",$AD379="N/A"),$AE379&lt;&gt;"Yes",$AE379&lt;&gt;"N/A"),"Firmware Install, ","")&amp;IF(AND($CB379&lt;&gt;"Yes",$CB379&lt;&gt;"N/A"),"Device ID, ","")&amp;IF(AND($CC379&lt;&gt;"Yes",$CC379&lt;&gt;"N/A"),"Epic Beans Relay, ",""),LEN(IF(AND($BR379&lt;&gt;"Yes",$BR379&lt;&gt;"N/A"),"Power Cable, ","")&amp;IF(AND($BS379&lt;&gt;"Yes",$BS379&lt;&gt;"N/A"),"Battery, ","")&amp;IF(AND($AD379&lt;&gt;"Yes",$AD379&lt;&gt;"N/A"),"Firmware Download, ","")&amp;IF(AND(OR($AD379="Yes",$AD379="N/A"),$AE379&lt;&gt;"Yes",$AE379&lt;&gt;"N/A"),"Firmware Install, ","")&amp;IF(AND($CB379&lt;&gt;"Yes",$CB379&lt;&gt;"N/A"),"Device ID, ","")&amp;IF(AND($CC379&lt;&gt;"Yes",$CC379&lt;&gt;"N/A"),"Epic Beans Relay, ",""))-2)))</f>
        <v/>
      </c>
      <c r="CE379">
        <f>IF($Y379="","",IF($CD379="","Yes","Blocked"))</f>
        <v/>
      </c>
      <c r="CP379">
        <f>IF($CO379="","",IFERROR(VLOOKUP($CO379,'01_Warehouse_Ledger'!$A:$N,4,FALSE),""))</f>
        <v/>
      </c>
      <c r="CQ379">
        <f>IF($CO379="","",IFERROR(VLOOKUP($CO379,'01_Warehouse_Ledger'!$A:$N,5,FALSE),""))</f>
        <v/>
      </c>
      <c r="CR379">
        <f>IF($CO379="","",IFERROR(VLOOKUP($CO379,'01_Warehouse_Ledger'!$A:$N,13,FALSE),""))</f>
        <v/>
      </c>
      <c r="CW379">
        <f>IF($S379="","",IF(UPPER(TRIM($S379))&lt;&gt;"PASS","",IF(LEN(TRIM($BY379))&gt;0,"NOTES_PRESENT",IF(LEN(TRIM($T379))=0,"SET_NA",IF(OR(LOWER(TRIM($T379))="na",LOWER(TRIM($T379))="n/a"),"OK","MANUAL_OVERRIDE")))))</f>
        <v/>
      </c>
    </row>
    <row r="380">
      <c r="B380" t="inlineStr">
        <is>
          <t>No</t>
        </is>
      </c>
      <c r="C380" t="inlineStr">
        <is>
          <t>No</t>
        </is>
      </c>
      <c r="D380">
        <f>IF($B380&lt;&gt;"Yes","",IF($C380="No","Yes",IF($C380="Yes","No","")))</f>
        <v/>
      </c>
      <c r="E380">
        <f>IF($A380="","",IF(OR(AND($V380&lt;&gt;"",LOWER(TRIM($V380))&lt;&gt;"n/a",LOWER(TRIM($V380))&lt;&gt;"na",SUMPRODUCT(--(UPPER(TRIM($V$2:$V$518))=UPPER(TRIM($V380))),--(TRIM($V$2:$V$518)&lt;&gt;""),--(LOWER(TRIM($V$2:$V$518))&lt;&gt;"n/a"),--(LOWER(TRIM($V$2:$V$518))&lt;&gt;"na"))&gt;1),AND($W380&lt;&gt;"",LOWER(TRIM($W380))&lt;&gt;"n/a",LOWER(TRIM($W380))&lt;&gt;"na",SUMPRODUCT(--(UPPER(TRIM($W$2:$W$518))=UPPER(TRIM($W380))),--(TRIM($W$2:$W$518)&lt;&gt;""),--(LOWER(TRIM($W$2:$W$518))&lt;&gt;"n/a"),--(LOWER(TRIM($W$2:$W$518))&lt;&gt;"na"))&gt;1),AND($X380&lt;&gt;"",LOWER(TRIM($X380))&lt;&gt;"n/a",LOWER(TRIM($X380))&lt;&gt;"na",SUMPRODUCT(--(UPPER(TRIM($X$2:$X$518))=UPPER(TRIM($X380))),--(TRIM($X$2:$X$518)&lt;&gt;""),--(LOWER(TRIM($X$2:$X$518))&lt;&gt;"n/a"),--(LOWER(TRIM($X$2:$X$518))&lt;&gt;"na"))&gt;1),AND($Y380&lt;&gt;"",LOWER(TRIM($Y380))&lt;&gt;"n/a",LOWER(TRIM($Y380))&lt;&gt;"na",SUMPRODUCT(--(UPPER(SUBSTITUTE(SUBSTITUTE(TRIM($Y$2:$Y$518),":",""),"-",""))=UPPER(SUBSTITUTE(SUBSTITUTE(TRIM($Y380),":",""),"-",""))),--(TRIM($Y$2:$Y$518)&lt;&gt;""),--(LOWER(TRIM($Y$2:$Y$518))&lt;&gt;"n/a"),--(LOWER(TRIM($Y$2:$Y$518))&lt;&gt;"na"))&gt;1),AND($AB380&lt;&gt;"",LOWER(TRIM($AB380))&lt;&gt;"n/a",LOWER(TRIM($AB380))&lt;&gt;"na",SUMPRODUCT(--(UPPER(TRIM($AB$2:$AB$518))=UPPER(TRIM($AB380))),--(TRIM($AB$2:$AB$518)&lt;&gt;""),--(LOWER(TRIM($AB$2:$AB$518))&lt;&gt;"n/a"),--(LOWER(TRIM($AB$2:$AB$518))&lt;&gt;"na"))&gt;1),AND($AH380&lt;&gt;"",LOWER(TRIM($AH380))&lt;&gt;"n/a",LOWER(TRIM($AH380))&lt;&gt;"na",SUMPRODUCT(--(UPPER(SUBSTITUTE(SUBSTITUTE(TRIM($AH$2:$AH$518),":",""),"-",""))=UPPER(SUBSTITUTE(SUBSTITUTE(TRIM($AH380),":",""),"-",""))),--(TRIM($AH$2:$AH$518)&lt;&gt;""),--(LOWER(TRIM($AH$2:$AH$518))&lt;&gt;"n/a"),--(LOWER(TRIM($AH$2:$AH$518))&lt;&gt;"na"))&gt;1),AND($AP380&lt;&gt;"",LOWER(TRIM($AP380))&lt;&gt;"n/a",LOWER(TRIM($AP380))&lt;&gt;"na",SUMPRODUCT(--(UPPER(TRIM($AP$2:$AP$518))=UPPER(TRIM($AP380))),--(TRIM($AP$2:$AP$518)&lt;&gt;""),--(LOWER(TRIM($AP$2:$AP$518))&lt;&gt;"n/a"),--(LOWER(TRIM($AP$2:$AP$518))&lt;&gt;"na"))&gt;1),AND($AQ380&lt;&gt;"",LOWER(TRIM($AQ380))&lt;&gt;"n/a",LOWER(TRIM($AQ380))&lt;&gt;"na",SUMPRODUCT(--(UPPER(TRIM($AQ$2:$AQ$518))=UPPER(TRIM($AQ380))),--(TRIM($AQ$2:$AQ$518)&lt;&gt;""),--(LOWER(TRIM($AQ$2:$AQ$518))&lt;&gt;"n/a"),--(LOWER(TRIM($AQ$2:$AQ$518))&lt;&gt;"na"))&gt;1)),"Yes","No"))</f>
        <v/>
      </c>
      <c r="F380">
        <f>IF(UPPER(TRIM($B380))&lt;&gt;"YES","", IF(OR(AND($V380&lt;&gt;"", LOWER(TRIM($V380))&lt;&gt;"n/a", LOWER(TRIM($V380))&lt;&gt;"na", SUMPRODUCT(--(UPPER(TRIM($V$2:$V$518))=UPPER(TRIM($V380))), --(UPPER(TRIM($B$2:$B$518))="YES"), --(UPPER(TRIM($G$2:$G$518)&amp;TRIM($I$2:$I$518)&amp;TRIM($J$2:$J$518))&lt;&gt;UPPER(TRIM($G380)&amp;TRIM($I380)&amp;TRIM($J380))))&gt;0), AND($W380&lt;&gt;"", LOWER(TRIM($W380))&lt;&gt;"n/a", LOWER(TRIM($W380))&lt;&gt;"na", SUMPRODUCT(--(UPPER(TRIM($W$2:$W$518))=UPPER(TRIM($W380))), --(UPPER(TRIM($B$2:$B$518))="YES"), --(UPPER(TRIM($G$2:$G$518)&amp;TRIM($I$2:$I$518)&amp;TRIM($J$2:$J$518))&lt;&gt;UPPER(TRIM($G380)&amp;TRIM($I380)&amp;TRIM($J380))))&gt;0), AND($X380&lt;&gt;"", LOWER(TRIM($X380))&lt;&gt;"n/a", LOWER(TRIM($X380))&lt;&gt;"na", SUMPRODUCT(--(UPPER(TRIM($X$2:$X$518))=UPPER(TRIM($X380))), --(UPPER(TRIM($B$2:$B$518))="YES"), --(UPPER(TRIM($G$2:$G$518)&amp;TRIM($I$2:$I$518)&amp;TRIM($J$2:$J$518))&lt;&gt;UPPER(TRIM($G380)&amp;TRIM($I380)&amp;TRIM($J380))))&gt;0), AND($Y380&lt;&gt;"", LOWER(TRIM($Y380))&lt;&gt;"n/a", LOWER(TRIM($Y380))&lt;&gt;"na", SUMPRODUCT(--(UPPER(SUBSTITUTE(SUBSTITUTE(TRIM($Y$2:$Y$518),":",""),"-",""))=UPPER(SUBSTITUTE(SUBSTITUTE(TRIM($Y380),":",""),"-",""))), --(UPPER(TRIM($B$2:$B$518))="YES"), --(UPPER(TRIM($G$2:$G$518)&amp;TRIM($I$2:$I$518)&amp;TRIM($J$2:$J$518))&lt;&gt;UPPER(TRIM($G380)&amp;TRIM($I380)&amp;TRIM($J380))))&gt;0), AND($AB380&lt;&gt;"", LOWER(TRIM($AB380))&lt;&gt;"n/a", LOWER(TRIM($AB380))&lt;&gt;"na", SUMPRODUCT(--(UPPER(TRIM($AB$2:$AB$518))=UPPER(TRIM($AB380))), --(UPPER(TRIM($B$2:$B$518))="YES"), --(UPPER(TRIM($G$2:$G$518)&amp;TRIM($I$2:$I$518)&amp;TRIM($J$2:$J$518))&lt;&gt;UPPER(TRIM($G380)&amp;TRIM($I380)&amp;TRIM($J380))))&gt;0), AND($AH380&lt;&gt;"", LOWER(TRIM($AH380))&lt;&gt;"n/a", LOWER(TRIM($AH380))&lt;&gt;"na", SUMPRODUCT(--(UPPER(SUBSTITUTE(SUBSTITUTE(TRIM($AH$2:$AH$518),":",""),"-",""))=UPPER(SUBSTITUTE(SUBSTITUTE(TRIM($AH380),":",""),"-",""))), --(UPPER(TRIM($B$2:$B$518))="YES"), --(UPPER(TRIM($G$2:$G$518)&amp;TRIM($I$2:$I$518)&amp;TRIM($J$2:$J$518))&lt;&gt;UPPER(TRIM($G380)&amp;TRIM($I380)&amp;TRIM($J380))))&gt;0), AND($AP380&lt;&gt;"", LOWER(TRIM($AP380))&lt;&gt;"n/a", LOWER(TRIM($AP380))&lt;&gt;"na", SUMPRODUCT(--(UPPER(TRIM($AP$2:$AP$518))=UPPER(TRIM($AP380))), --(UPPER(TRIM($B$2:$B$518))="YES"), --(UPPER(TRIM($G$2:$G$518)&amp;TRIM($I$2:$I$518)&amp;TRIM($J$2:$J$518))&lt;&gt;UPPER(TRIM($G380)&amp;TRIM($I380)&amp;TRIM($J380))))&gt;0), AND($AQ380&lt;&gt;"", LOWER(TRIM($AQ380))&lt;&gt;"n/a", LOWER(TRIM($AQ380))&lt;&gt;"na", SUMPRODUCT(--(UPPER(TRIM($AQ$2:$AQ$518))=UPPER(TRIM($AQ380))), --(UPPER(TRIM($B$2:$B$518))="YES"), --(UPPER(TRIM($G$2:$G$518)&amp;TRIM($I$2:$I$518)&amp;TRIM($J$2:$J$518))&lt;&gt;UPPER(TRIM($G380)&amp;TRIM($I380)&amp;TRIM($J380))))&gt;0)), "Yes", "No"))</f>
        <v/>
      </c>
      <c r="CD380">
        <f>IF($Y380="","",IF((IF(AND($BR380&lt;&gt;"Yes",$BR380&lt;&gt;"N/A"),"Power Cable, ","")&amp;IF(AND($BS380&lt;&gt;"Yes",$BS380&lt;&gt;"N/A"),"Battery, ","")&amp;IF(AND($AD380&lt;&gt;"Yes",$AD380&lt;&gt;"N/A"),"Firmware Download, ","")&amp;IF(AND(OR($AD380="Yes",$AD380="N/A"),$AE380&lt;&gt;"Yes",$AE380&lt;&gt;"N/A"),"Firmware Install, ","")&amp;IF(AND($CB380&lt;&gt;"Yes",$CB380&lt;&gt;"N/A"),"Device ID, ","")&amp;IF(AND($CC380&lt;&gt;"Yes",$CC380&lt;&gt;"N/A"),"Epic Beans Relay, ",""))="","",LEFT(IF(AND($BR380&lt;&gt;"Yes",$BR380&lt;&gt;"N/A"),"Power Cable, ","")&amp;IF(AND($BS380&lt;&gt;"Yes",$BS380&lt;&gt;"N/A"),"Battery, ","")&amp;IF(AND($AD380&lt;&gt;"Yes",$AD380&lt;&gt;"N/A"),"Firmware Download, ","")&amp;IF(AND(OR($AD380="Yes",$AD380="N/A"),$AE380&lt;&gt;"Yes",$AE380&lt;&gt;"N/A"),"Firmware Install, ","")&amp;IF(AND($CB380&lt;&gt;"Yes",$CB380&lt;&gt;"N/A"),"Device ID, ","")&amp;IF(AND($CC380&lt;&gt;"Yes",$CC380&lt;&gt;"N/A"),"Epic Beans Relay, ",""),LEN(IF(AND($BR380&lt;&gt;"Yes",$BR380&lt;&gt;"N/A"),"Power Cable, ","")&amp;IF(AND($BS380&lt;&gt;"Yes",$BS380&lt;&gt;"N/A"),"Battery, ","")&amp;IF(AND($AD380&lt;&gt;"Yes",$AD380&lt;&gt;"N/A"),"Firmware Download, ","")&amp;IF(AND(OR($AD380="Yes",$AD380="N/A"),$AE380&lt;&gt;"Yes",$AE380&lt;&gt;"N/A"),"Firmware Install, ","")&amp;IF(AND($CB380&lt;&gt;"Yes",$CB380&lt;&gt;"N/A"),"Device ID, ","")&amp;IF(AND($CC380&lt;&gt;"Yes",$CC380&lt;&gt;"N/A"),"Epic Beans Relay, ",""))-2)))</f>
        <v/>
      </c>
      <c r="CE380">
        <f>IF($Y380="","",IF($CD380="","Yes","Blocked"))</f>
        <v/>
      </c>
      <c r="CP380">
        <f>IF($CO380="","",IFERROR(VLOOKUP($CO380,'01_Warehouse_Ledger'!$A:$N,4,FALSE),""))</f>
        <v/>
      </c>
      <c r="CQ380">
        <f>IF($CO380="","",IFERROR(VLOOKUP($CO380,'01_Warehouse_Ledger'!$A:$N,5,FALSE),""))</f>
        <v/>
      </c>
      <c r="CR380">
        <f>IF($CO380="","",IFERROR(VLOOKUP($CO380,'01_Warehouse_Ledger'!$A:$N,13,FALSE),""))</f>
        <v/>
      </c>
      <c r="CW380">
        <f>IF($S380="","",IF(UPPER(TRIM($S380))&lt;&gt;"PASS","",IF(LEN(TRIM($BY380))&gt;0,"NOTES_PRESENT",IF(LEN(TRIM($T380))=0,"SET_NA",IF(OR(LOWER(TRIM($T380))="na",LOWER(TRIM($T380))="n/a"),"OK","MANUAL_OVERRIDE")))))</f>
        <v/>
      </c>
    </row>
    <row r="381">
      <c r="B381" t="inlineStr">
        <is>
          <t>No</t>
        </is>
      </c>
      <c r="C381" t="inlineStr">
        <is>
          <t>No</t>
        </is>
      </c>
      <c r="D381">
        <f>IF($B381&lt;&gt;"Yes","",IF($C381="No","Yes",IF($C381="Yes","No","")))</f>
        <v/>
      </c>
      <c r="E381">
        <f>IF($A381="","",IF(OR(AND($V381&lt;&gt;"",LOWER(TRIM($V381))&lt;&gt;"n/a",LOWER(TRIM($V381))&lt;&gt;"na",SUMPRODUCT(--(UPPER(TRIM($V$2:$V$518))=UPPER(TRIM($V381))),--(TRIM($V$2:$V$518)&lt;&gt;""),--(LOWER(TRIM($V$2:$V$518))&lt;&gt;"n/a"),--(LOWER(TRIM($V$2:$V$518))&lt;&gt;"na"))&gt;1),AND($W381&lt;&gt;"",LOWER(TRIM($W381))&lt;&gt;"n/a",LOWER(TRIM($W381))&lt;&gt;"na",SUMPRODUCT(--(UPPER(TRIM($W$2:$W$518))=UPPER(TRIM($W381))),--(TRIM($W$2:$W$518)&lt;&gt;""),--(LOWER(TRIM($W$2:$W$518))&lt;&gt;"n/a"),--(LOWER(TRIM($W$2:$W$518))&lt;&gt;"na"))&gt;1),AND($X381&lt;&gt;"",LOWER(TRIM($X381))&lt;&gt;"n/a",LOWER(TRIM($X381))&lt;&gt;"na",SUMPRODUCT(--(UPPER(TRIM($X$2:$X$518))=UPPER(TRIM($X381))),--(TRIM($X$2:$X$518)&lt;&gt;""),--(LOWER(TRIM($X$2:$X$518))&lt;&gt;"n/a"),--(LOWER(TRIM($X$2:$X$518))&lt;&gt;"na"))&gt;1),AND($Y381&lt;&gt;"",LOWER(TRIM($Y381))&lt;&gt;"n/a",LOWER(TRIM($Y381))&lt;&gt;"na",SUMPRODUCT(--(UPPER(SUBSTITUTE(SUBSTITUTE(TRIM($Y$2:$Y$518),":",""),"-",""))=UPPER(SUBSTITUTE(SUBSTITUTE(TRIM($Y381),":",""),"-",""))),--(TRIM($Y$2:$Y$518)&lt;&gt;""),--(LOWER(TRIM($Y$2:$Y$518))&lt;&gt;"n/a"),--(LOWER(TRIM($Y$2:$Y$518))&lt;&gt;"na"))&gt;1),AND($AB381&lt;&gt;"",LOWER(TRIM($AB381))&lt;&gt;"n/a",LOWER(TRIM($AB381))&lt;&gt;"na",SUMPRODUCT(--(UPPER(TRIM($AB$2:$AB$518))=UPPER(TRIM($AB381))),--(TRIM($AB$2:$AB$518)&lt;&gt;""),--(LOWER(TRIM($AB$2:$AB$518))&lt;&gt;"n/a"),--(LOWER(TRIM($AB$2:$AB$518))&lt;&gt;"na"))&gt;1),AND($AH381&lt;&gt;"",LOWER(TRIM($AH381))&lt;&gt;"n/a",LOWER(TRIM($AH381))&lt;&gt;"na",SUMPRODUCT(--(UPPER(SUBSTITUTE(SUBSTITUTE(TRIM($AH$2:$AH$518),":",""),"-",""))=UPPER(SUBSTITUTE(SUBSTITUTE(TRIM($AH381),":",""),"-",""))),--(TRIM($AH$2:$AH$518)&lt;&gt;""),--(LOWER(TRIM($AH$2:$AH$518))&lt;&gt;"n/a"),--(LOWER(TRIM($AH$2:$AH$518))&lt;&gt;"na"))&gt;1),AND($AP381&lt;&gt;"",LOWER(TRIM($AP381))&lt;&gt;"n/a",LOWER(TRIM($AP381))&lt;&gt;"na",SUMPRODUCT(--(UPPER(TRIM($AP$2:$AP$518))=UPPER(TRIM($AP381))),--(TRIM($AP$2:$AP$518)&lt;&gt;""),--(LOWER(TRIM($AP$2:$AP$518))&lt;&gt;"n/a"),--(LOWER(TRIM($AP$2:$AP$518))&lt;&gt;"na"))&gt;1),AND($AQ381&lt;&gt;"",LOWER(TRIM($AQ381))&lt;&gt;"n/a",LOWER(TRIM($AQ381))&lt;&gt;"na",SUMPRODUCT(--(UPPER(TRIM($AQ$2:$AQ$518))=UPPER(TRIM($AQ381))),--(TRIM($AQ$2:$AQ$518)&lt;&gt;""),--(LOWER(TRIM($AQ$2:$AQ$518))&lt;&gt;"n/a"),--(LOWER(TRIM($AQ$2:$AQ$518))&lt;&gt;"na"))&gt;1)),"Yes","No"))</f>
        <v/>
      </c>
      <c r="F381">
        <f>IF(UPPER(TRIM($B381))&lt;&gt;"YES","", IF(OR(AND($V381&lt;&gt;"", LOWER(TRIM($V381))&lt;&gt;"n/a", LOWER(TRIM($V381))&lt;&gt;"na", SUMPRODUCT(--(UPPER(TRIM($V$2:$V$518))=UPPER(TRIM($V381))), --(UPPER(TRIM($B$2:$B$518))="YES"), --(UPPER(TRIM($G$2:$G$518)&amp;TRIM($I$2:$I$518)&amp;TRIM($J$2:$J$518))&lt;&gt;UPPER(TRIM($G381)&amp;TRIM($I381)&amp;TRIM($J381))))&gt;0), AND($W381&lt;&gt;"", LOWER(TRIM($W381))&lt;&gt;"n/a", LOWER(TRIM($W381))&lt;&gt;"na", SUMPRODUCT(--(UPPER(TRIM($W$2:$W$518))=UPPER(TRIM($W381))), --(UPPER(TRIM($B$2:$B$518))="YES"), --(UPPER(TRIM($G$2:$G$518)&amp;TRIM($I$2:$I$518)&amp;TRIM($J$2:$J$518))&lt;&gt;UPPER(TRIM($G381)&amp;TRIM($I381)&amp;TRIM($J381))))&gt;0), AND($X381&lt;&gt;"", LOWER(TRIM($X381))&lt;&gt;"n/a", LOWER(TRIM($X381))&lt;&gt;"na", SUMPRODUCT(--(UPPER(TRIM($X$2:$X$518))=UPPER(TRIM($X381))), --(UPPER(TRIM($B$2:$B$518))="YES"), --(UPPER(TRIM($G$2:$G$518)&amp;TRIM($I$2:$I$518)&amp;TRIM($J$2:$J$518))&lt;&gt;UPPER(TRIM($G381)&amp;TRIM($I381)&amp;TRIM($J381))))&gt;0), AND($Y381&lt;&gt;"", LOWER(TRIM($Y381))&lt;&gt;"n/a", LOWER(TRIM($Y381))&lt;&gt;"na", SUMPRODUCT(--(UPPER(SUBSTITUTE(SUBSTITUTE(TRIM($Y$2:$Y$518),":",""),"-",""))=UPPER(SUBSTITUTE(SUBSTITUTE(TRIM($Y381),":",""),"-",""))), --(UPPER(TRIM($B$2:$B$518))="YES"), --(UPPER(TRIM($G$2:$G$518)&amp;TRIM($I$2:$I$518)&amp;TRIM($J$2:$J$518))&lt;&gt;UPPER(TRIM($G381)&amp;TRIM($I381)&amp;TRIM($J381))))&gt;0), AND($AB381&lt;&gt;"", LOWER(TRIM($AB381))&lt;&gt;"n/a", LOWER(TRIM($AB381))&lt;&gt;"na", SUMPRODUCT(--(UPPER(TRIM($AB$2:$AB$518))=UPPER(TRIM($AB381))), --(UPPER(TRIM($B$2:$B$518))="YES"), --(UPPER(TRIM($G$2:$G$518)&amp;TRIM($I$2:$I$518)&amp;TRIM($J$2:$J$518))&lt;&gt;UPPER(TRIM($G381)&amp;TRIM($I381)&amp;TRIM($J381))))&gt;0), AND($AH381&lt;&gt;"", LOWER(TRIM($AH381))&lt;&gt;"n/a", LOWER(TRIM($AH381))&lt;&gt;"na", SUMPRODUCT(--(UPPER(SUBSTITUTE(SUBSTITUTE(TRIM($AH$2:$AH$518),":",""),"-",""))=UPPER(SUBSTITUTE(SUBSTITUTE(TRIM($AH381),":",""),"-",""))), --(UPPER(TRIM($B$2:$B$518))="YES"), --(UPPER(TRIM($G$2:$G$518)&amp;TRIM($I$2:$I$518)&amp;TRIM($J$2:$J$518))&lt;&gt;UPPER(TRIM($G381)&amp;TRIM($I381)&amp;TRIM($J381))))&gt;0), AND($AP381&lt;&gt;"", LOWER(TRIM($AP381))&lt;&gt;"n/a", LOWER(TRIM($AP381))&lt;&gt;"na", SUMPRODUCT(--(UPPER(TRIM($AP$2:$AP$518))=UPPER(TRIM($AP381))), --(UPPER(TRIM($B$2:$B$518))="YES"), --(UPPER(TRIM($G$2:$G$518)&amp;TRIM($I$2:$I$518)&amp;TRIM($J$2:$J$518))&lt;&gt;UPPER(TRIM($G381)&amp;TRIM($I381)&amp;TRIM($J381))))&gt;0), AND($AQ381&lt;&gt;"", LOWER(TRIM($AQ381))&lt;&gt;"n/a", LOWER(TRIM($AQ381))&lt;&gt;"na", SUMPRODUCT(--(UPPER(TRIM($AQ$2:$AQ$518))=UPPER(TRIM($AQ381))), --(UPPER(TRIM($B$2:$B$518))="YES"), --(UPPER(TRIM($G$2:$G$518)&amp;TRIM($I$2:$I$518)&amp;TRIM($J$2:$J$518))&lt;&gt;UPPER(TRIM($G381)&amp;TRIM($I381)&amp;TRIM($J381))))&gt;0)), "Yes", "No"))</f>
        <v/>
      </c>
      <c r="CD381">
        <f>IF($Y381="","",IF((IF(AND($BR381&lt;&gt;"Yes",$BR381&lt;&gt;"N/A"),"Power Cable, ","")&amp;IF(AND($BS381&lt;&gt;"Yes",$BS381&lt;&gt;"N/A"),"Battery, ","")&amp;IF(AND($AD381&lt;&gt;"Yes",$AD381&lt;&gt;"N/A"),"Firmware Download, ","")&amp;IF(AND(OR($AD381="Yes",$AD381="N/A"),$AE381&lt;&gt;"Yes",$AE381&lt;&gt;"N/A"),"Firmware Install, ","")&amp;IF(AND($CB381&lt;&gt;"Yes",$CB381&lt;&gt;"N/A"),"Device ID, ","")&amp;IF(AND($CC381&lt;&gt;"Yes",$CC381&lt;&gt;"N/A"),"Epic Beans Relay, ",""))="","",LEFT(IF(AND($BR381&lt;&gt;"Yes",$BR381&lt;&gt;"N/A"),"Power Cable, ","")&amp;IF(AND($BS381&lt;&gt;"Yes",$BS381&lt;&gt;"N/A"),"Battery, ","")&amp;IF(AND($AD381&lt;&gt;"Yes",$AD381&lt;&gt;"N/A"),"Firmware Download, ","")&amp;IF(AND(OR($AD381="Yes",$AD381="N/A"),$AE381&lt;&gt;"Yes",$AE381&lt;&gt;"N/A"),"Firmware Install, ","")&amp;IF(AND($CB381&lt;&gt;"Yes",$CB381&lt;&gt;"N/A"),"Device ID, ","")&amp;IF(AND($CC381&lt;&gt;"Yes",$CC381&lt;&gt;"N/A"),"Epic Beans Relay, ",""),LEN(IF(AND($BR381&lt;&gt;"Yes",$BR381&lt;&gt;"N/A"),"Power Cable, ","")&amp;IF(AND($BS381&lt;&gt;"Yes",$BS381&lt;&gt;"N/A"),"Battery, ","")&amp;IF(AND($AD381&lt;&gt;"Yes",$AD381&lt;&gt;"N/A"),"Firmware Download, ","")&amp;IF(AND(OR($AD381="Yes",$AD381="N/A"),$AE381&lt;&gt;"Yes",$AE381&lt;&gt;"N/A"),"Firmware Install, ","")&amp;IF(AND($CB381&lt;&gt;"Yes",$CB381&lt;&gt;"N/A"),"Device ID, ","")&amp;IF(AND($CC381&lt;&gt;"Yes",$CC381&lt;&gt;"N/A"),"Epic Beans Relay, ",""))-2)))</f>
        <v/>
      </c>
      <c r="CE381">
        <f>IF($Y381="","",IF($CD381="","Yes","Blocked"))</f>
        <v/>
      </c>
      <c r="CP381">
        <f>IF($CO381="","",IFERROR(VLOOKUP($CO381,'01_Warehouse_Ledger'!$A:$N,4,FALSE),""))</f>
        <v/>
      </c>
      <c r="CQ381">
        <f>IF($CO381="","",IFERROR(VLOOKUP($CO381,'01_Warehouse_Ledger'!$A:$N,5,FALSE),""))</f>
        <v/>
      </c>
      <c r="CR381">
        <f>IF($CO381="","",IFERROR(VLOOKUP($CO381,'01_Warehouse_Ledger'!$A:$N,13,FALSE),""))</f>
        <v/>
      </c>
      <c r="CW381">
        <f>IF($S381="","",IF(UPPER(TRIM($S381))&lt;&gt;"PASS","",IF(LEN(TRIM($BY381))&gt;0,"NOTES_PRESENT",IF(LEN(TRIM($T381))=0,"SET_NA",IF(OR(LOWER(TRIM($T381))="na",LOWER(TRIM($T381))="n/a"),"OK","MANUAL_OVERRIDE")))))</f>
        <v/>
      </c>
    </row>
    <row r="382">
      <c r="B382" t="inlineStr">
        <is>
          <t>No</t>
        </is>
      </c>
      <c r="C382" t="inlineStr">
        <is>
          <t>No</t>
        </is>
      </c>
      <c r="D382">
        <f>IF($B382&lt;&gt;"Yes","",IF($C382="No","Yes",IF($C382="Yes","No","")))</f>
        <v/>
      </c>
      <c r="E382">
        <f>IF($A382="","",IF(OR(AND($V382&lt;&gt;"",LOWER(TRIM($V382))&lt;&gt;"n/a",LOWER(TRIM($V382))&lt;&gt;"na",SUMPRODUCT(--(UPPER(TRIM($V$2:$V$518))=UPPER(TRIM($V382))),--(TRIM($V$2:$V$518)&lt;&gt;""),--(LOWER(TRIM($V$2:$V$518))&lt;&gt;"n/a"),--(LOWER(TRIM($V$2:$V$518))&lt;&gt;"na"))&gt;1),AND($W382&lt;&gt;"",LOWER(TRIM($W382))&lt;&gt;"n/a",LOWER(TRIM($W382))&lt;&gt;"na",SUMPRODUCT(--(UPPER(TRIM($W$2:$W$518))=UPPER(TRIM($W382))),--(TRIM($W$2:$W$518)&lt;&gt;""),--(LOWER(TRIM($W$2:$W$518))&lt;&gt;"n/a"),--(LOWER(TRIM($W$2:$W$518))&lt;&gt;"na"))&gt;1),AND($X382&lt;&gt;"",LOWER(TRIM($X382))&lt;&gt;"n/a",LOWER(TRIM($X382))&lt;&gt;"na",SUMPRODUCT(--(UPPER(TRIM($X$2:$X$518))=UPPER(TRIM($X382))),--(TRIM($X$2:$X$518)&lt;&gt;""),--(LOWER(TRIM($X$2:$X$518))&lt;&gt;"n/a"),--(LOWER(TRIM($X$2:$X$518))&lt;&gt;"na"))&gt;1),AND($Y382&lt;&gt;"",LOWER(TRIM($Y382))&lt;&gt;"n/a",LOWER(TRIM($Y382))&lt;&gt;"na",SUMPRODUCT(--(UPPER(SUBSTITUTE(SUBSTITUTE(TRIM($Y$2:$Y$518),":",""),"-",""))=UPPER(SUBSTITUTE(SUBSTITUTE(TRIM($Y382),":",""),"-",""))),--(TRIM($Y$2:$Y$518)&lt;&gt;""),--(LOWER(TRIM($Y$2:$Y$518))&lt;&gt;"n/a"),--(LOWER(TRIM($Y$2:$Y$518))&lt;&gt;"na"))&gt;1),AND($AB382&lt;&gt;"",LOWER(TRIM($AB382))&lt;&gt;"n/a",LOWER(TRIM($AB382))&lt;&gt;"na",SUMPRODUCT(--(UPPER(TRIM($AB$2:$AB$518))=UPPER(TRIM($AB382))),--(TRIM($AB$2:$AB$518)&lt;&gt;""),--(LOWER(TRIM($AB$2:$AB$518))&lt;&gt;"n/a"),--(LOWER(TRIM($AB$2:$AB$518))&lt;&gt;"na"))&gt;1),AND($AH382&lt;&gt;"",LOWER(TRIM($AH382))&lt;&gt;"n/a",LOWER(TRIM($AH382))&lt;&gt;"na",SUMPRODUCT(--(UPPER(SUBSTITUTE(SUBSTITUTE(TRIM($AH$2:$AH$518),":",""),"-",""))=UPPER(SUBSTITUTE(SUBSTITUTE(TRIM($AH382),":",""),"-",""))),--(TRIM($AH$2:$AH$518)&lt;&gt;""),--(LOWER(TRIM($AH$2:$AH$518))&lt;&gt;"n/a"),--(LOWER(TRIM($AH$2:$AH$518))&lt;&gt;"na"))&gt;1),AND($AP382&lt;&gt;"",LOWER(TRIM($AP382))&lt;&gt;"n/a",LOWER(TRIM($AP382))&lt;&gt;"na",SUMPRODUCT(--(UPPER(TRIM($AP$2:$AP$518))=UPPER(TRIM($AP382))),--(TRIM($AP$2:$AP$518)&lt;&gt;""),--(LOWER(TRIM($AP$2:$AP$518))&lt;&gt;"n/a"),--(LOWER(TRIM($AP$2:$AP$518))&lt;&gt;"na"))&gt;1),AND($AQ382&lt;&gt;"",LOWER(TRIM($AQ382))&lt;&gt;"n/a",LOWER(TRIM($AQ382))&lt;&gt;"na",SUMPRODUCT(--(UPPER(TRIM($AQ$2:$AQ$518))=UPPER(TRIM($AQ382))),--(TRIM($AQ$2:$AQ$518)&lt;&gt;""),--(LOWER(TRIM($AQ$2:$AQ$518))&lt;&gt;"n/a"),--(LOWER(TRIM($AQ$2:$AQ$518))&lt;&gt;"na"))&gt;1)),"Yes","No"))</f>
        <v/>
      </c>
      <c r="F382">
        <f>IF(UPPER(TRIM($B382))&lt;&gt;"YES","", IF(OR(AND($V382&lt;&gt;"", LOWER(TRIM($V382))&lt;&gt;"n/a", LOWER(TRIM($V382))&lt;&gt;"na", SUMPRODUCT(--(UPPER(TRIM($V$2:$V$518))=UPPER(TRIM($V382))), --(UPPER(TRIM($B$2:$B$518))="YES"), --(UPPER(TRIM($G$2:$G$518)&amp;TRIM($I$2:$I$518)&amp;TRIM($J$2:$J$518))&lt;&gt;UPPER(TRIM($G382)&amp;TRIM($I382)&amp;TRIM($J382))))&gt;0), AND($W382&lt;&gt;"", LOWER(TRIM($W382))&lt;&gt;"n/a", LOWER(TRIM($W382))&lt;&gt;"na", SUMPRODUCT(--(UPPER(TRIM($W$2:$W$518))=UPPER(TRIM($W382))), --(UPPER(TRIM($B$2:$B$518))="YES"), --(UPPER(TRIM($G$2:$G$518)&amp;TRIM($I$2:$I$518)&amp;TRIM($J$2:$J$518))&lt;&gt;UPPER(TRIM($G382)&amp;TRIM($I382)&amp;TRIM($J382))))&gt;0), AND($X382&lt;&gt;"", LOWER(TRIM($X382))&lt;&gt;"n/a", LOWER(TRIM($X382))&lt;&gt;"na", SUMPRODUCT(--(UPPER(TRIM($X$2:$X$518))=UPPER(TRIM($X382))), --(UPPER(TRIM($B$2:$B$518))="YES"), --(UPPER(TRIM($G$2:$G$518)&amp;TRIM($I$2:$I$518)&amp;TRIM($J$2:$J$518))&lt;&gt;UPPER(TRIM($G382)&amp;TRIM($I382)&amp;TRIM($J382))))&gt;0), AND($Y382&lt;&gt;"", LOWER(TRIM($Y382))&lt;&gt;"n/a", LOWER(TRIM($Y382))&lt;&gt;"na", SUMPRODUCT(--(UPPER(SUBSTITUTE(SUBSTITUTE(TRIM($Y$2:$Y$518),":",""),"-",""))=UPPER(SUBSTITUTE(SUBSTITUTE(TRIM($Y382),":",""),"-",""))), --(UPPER(TRIM($B$2:$B$518))="YES"), --(UPPER(TRIM($G$2:$G$518)&amp;TRIM($I$2:$I$518)&amp;TRIM($J$2:$J$518))&lt;&gt;UPPER(TRIM($G382)&amp;TRIM($I382)&amp;TRIM($J382))))&gt;0), AND($AB382&lt;&gt;"", LOWER(TRIM($AB382))&lt;&gt;"n/a", LOWER(TRIM($AB382))&lt;&gt;"na", SUMPRODUCT(--(UPPER(TRIM($AB$2:$AB$518))=UPPER(TRIM($AB382))), --(UPPER(TRIM($B$2:$B$518))="YES"), --(UPPER(TRIM($G$2:$G$518)&amp;TRIM($I$2:$I$518)&amp;TRIM($J$2:$J$518))&lt;&gt;UPPER(TRIM($G382)&amp;TRIM($I382)&amp;TRIM($J382))))&gt;0), AND($AH382&lt;&gt;"", LOWER(TRIM($AH382))&lt;&gt;"n/a", LOWER(TRIM($AH382))&lt;&gt;"na", SUMPRODUCT(--(UPPER(SUBSTITUTE(SUBSTITUTE(TRIM($AH$2:$AH$518),":",""),"-",""))=UPPER(SUBSTITUTE(SUBSTITUTE(TRIM($AH382),":",""),"-",""))), --(UPPER(TRIM($B$2:$B$518))="YES"), --(UPPER(TRIM($G$2:$G$518)&amp;TRIM($I$2:$I$518)&amp;TRIM($J$2:$J$518))&lt;&gt;UPPER(TRIM($G382)&amp;TRIM($I382)&amp;TRIM($J382))))&gt;0), AND($AP382&lt;&gt;"", LOWER(TRIM($AP382))&lt;&gt;"n/a", LOWER(TRIM($AP382))&lt;&gt;"na", SUMPRODUCT(--(UPPER(TRIM($AP$2:$AP$518))=UPPER(TRIM($AP382))), --(UPPER(TRIM($B$2:$B$518))="YES"), --(UPPER(TRIM($G$2:$G$518)&amp;TRIM($I$2:$I$518)&amp;TRIM($J$2:$J$518))&lt;&gt;UPPER(TRIM($G382)&amp;TRIM($I382)&amp;TRIM($J382))))&gt;0), AND($AQ382&lt;&gt;"", LOWER(TRIM($AQ382))&lt;&gt;"n/a", LOWER(TRIM($AQ382))&lt;&gt;"na", SUMPRODUCT(--(UPPER(TRIM($AQ$2:$AQ$518))=UPPER(TRIM($AQ382))), --(UPPER(TRIM($B$2:$B$518))="YES"), --(UPPER(TRIM($G$2:$G$518)&amp;TRIM($I$2:$I$518)&amp;TRIM($J$2:$J$518))&lt;&gt;UPPER(TRIM($G382)&amp;TRIM($I382)&amp;TRIM($J382))))&gt;0)), "Yes", "No"))</f>
        <v/>
      </c>
      <c r="CD382">
        <f>IF($Y382="","",IF((IF(AND($BR382&lt;&gt;"Yes",$BR382&lt;&gt;"N/A"),"Power Cable, ","")&amp;IF(AND($BS382&lt;&gt;"Yes",$BS382&lt;&gt;"N/A"),"Battery, ","")&amp;IF(AND($AD382&lt;&gt;"Yes",$AD382&lt;&gt;"N/A"),"Firmware Download, ","")&amp;IF(AND(OR($AD382="Yes",$AD382="N/A"),$AE382&lt;&gt;"Yes",$AE382&lt;&gt;"N/A"),"Firmware Install, ","")&amp;IF(AND($CB382&lt;&gt;"Yes",$CB382&lt;&gt;"N/A"),"Device ID, ","")&amp;IF(AND($CC382&lt;&gt;"Yes",$CC382&lt;&gt;"N/A"),"Epic Beans Relay, ",""))="","",LEFT(IF(AND($BR382&lt;&gt;"Yes",$BR382&lt;&gt;"N/A"),"Power Cable, ","")&amp;IF(AND($BS382&lt;&gt;"Yes",$BS382&lt;&gt;"N/A"),"Battery, ","")&amp;IF(AND($AD382&lt;&gt;"Yes",$AD382&lt;&gt;"N/A"),"Firmware Download, ","")&amp;IF(AND(OR($AD382="Yes",$AD382="N/A"),$AE382&lt;&gt;"Yes",$AE382&lt;&gt;"N/A"),"Firmware Install, ","")&amp;IF(AND($CB382&lt;&gt;"Yes",$CB382&lt;&gt;"N/A"),"Device ID, ","")&amp;IF(AND($CC382&lt;&gt;"Yes",$CC382&lt;&gt;"N/A"),"Epic Beans Relay, ",""),LEN(IF(AND($BR382&lt;&gt;"Yes",$BR382&lt;&gt;"N/A"),"Power Cable, ","")&amp;IF(AND($BS382&lt;&gt;"Yes",$BS382&lt;&gt;"N/A"),"Battery, ","")&amp;IF(AND($AD382&lt;&gt;"Yes",$AD382&lt;&gt;"N/A"),"Firmware Download, ","")&amp;IF(AND(OR($AD382="Yes",$AD382="N/A"),$AE382&lt;&gt;"Yes",$AE382&lt;&gt;"N/A"),"Firmware Install, ","")&amp;IF(AND($CB382&lt;&gt;"Yes",$CB382&lt;&gt;"N/A"),"Device ID, ","")&amp;IF(AND($CC382&lt;&gt;"Yes",$CC382&lt;&gt;"N/A"),"Epic Beans Relay, ",""))-2)))</f>
        <v/>
      </c>
      <c r="CE382">
        <f>IF($Y382="","",IF($CD382="","Yes","Blocked"))</f>
        <v/>
      </c>
      <c r="CP382">
        <f>IF($CO382="","",IFERROR(VLOOKUP($CO382,'01_Warehouse_Ledger'!$A:$N,4,FALSE),""))</f>
        <v/>
      </c>
      <c r="CQ382">
        <f>IF($CO382="","",IFERROR(VLOOKUP($CO382,'01_Warehouse_Ledger'!$A:$N,5,FALSE),""))</f>
        <v/>
      </c>
      <c r="CR382">
        <f>IF($CO382="","",IFERROR(VLOOKUP($CO382,'01_Warehouse_Ledger'!$A:$N,13,FALSE),""))</f>
        <v/>
      </c>
      <c r="CW382">
        <f>IF($S382="","",IF(UPPER(TRIM($S382))&lt;&gt;"PASS","",IF(LEN(TRIM($BY382))&gt;0,"NOTES_PRESENT",IF(LEN(TRIM($T382))=0,"SET_NA",IF(OR(LOWER(TRIM($T382))="na",LOWER(TRIM($T382))="n/a"),"OK","MANUAL_OVERRIDE")))))</f>
        <v/>
      </c>
    </row>
    <row r="383">
      <c r="B383" t="inlineStr">
        <is>
          <t>No</t>
        </is>
      </c>
      <c r="C383" t="inlineStr">
        <is>
          <t>No</t>
        </is>
      </c>
      <c r="D383">
        <f>IF($B383&lt;&gt;"Yes","",IF($C383="No","Yes",IF($C383="Yes","No","")))</f>
        <v/>
      </c>
      <c r="E383">
        <f>IF($A383="","",IF(OR(AND($V383&lt;&gt;"",LOWER(TRIM($V383))&lt;&gt;"n/a",LOWER(TRIM($V383))&lt;&gt;"na",SUMPRODUCT(--(UPPER(TRIM($V$2:$V$518))=UPPER(TRIM($V383))),--(TRIM($V$2:$V$518)&lt;&gt;""),--(LOWER(TRIM($V$2:$V$518))&lt;&gt;"n/a"),--(LOWER(TRIM($V$2:$V$518))&lt;&gt;"na"))&gt;1),AND($W383&lt;&gt;"",LOWER(TRIM($W383))&lt;&gt;"n/a",LOWER(TRIM($W383))&lt;&gt;"na",SUMPRODUCT(--(UPPER(TRIM($W$2:$W$518))=UPPER(TRIM($W383))),--(TRIM($W$2:$W$518)&lt;&gt;""),--(LOWER(TRIM($W$2:$W$518))&lt;&gt;"n/a"),--(LOWER(TRIM($W$2:$W$518))&lt;&gt;"na"))&gt;1),AND($X383&lt;&gt;"",LOWER(TRIM($X383))&lt;&gt;"n/a",LOWER(TRIM($X383))&lt;&gt;"na",SUMPRODUCT(--(UPPER(TRIM($X$2:$X$518))=UPPER(TRIM($X383))),--(TRIM($X$2:$X$518)&lt;&gt;""),--(LOWER(TRIM($X$2:$X$518))&lt;&gt;"n/a"),--(LOWER(TRIM($X$2:$X$518))&lt;&gt;"na"))&gt;1),AND($Y383&lt;&gt;"",LOWER(TRIM($Y383))&lt;&gt;"n/a",LOWER(TRIM($Y383))&lt;&gt;"na",SUMPRODUCT(--(UPPER(SUBSTITUTE(SUBSTITUTE(TRIM($Y$2:$Y$518),":",""),"-",""))=UPPER(SUBSTITUTE(SUBSTITUTE(TRIM($Y383),":",""),"-",""))),--(TRIM($Y$2:$Y$518)&lt;&gt;""),--(LOWER(TRIM($Y$2:$Y$518))&lt;&gt;"n/a"),--(LOWER(TRIM($Y$2:$Y$518))&lt;&gt;"na"))&gt;1),AND($AB383&lt;&gt;"",LOWER(TRIM($AB383))&lt;&gt;"n/a",LOWER(TRIM($AB383))&lt;&gt;"na",SUMPRODUCT(--(UPPER(TRIM($AB$2:$AB$518))=UPPER(TRIM($AB383))),--(TRIM($AB$2:$AB$518)&lt;&gt;""),--(LOWER(TRIM($AB$2:$AB$518))&lt;&gt;"n/a"),--(LOWER(TRIM($AB$2:$AB$518))&lt;&gt;"na"))&gt;1),AND($AH383&lt;&gt;"",LOWER(TRIM($AH383))&lt;&gt;"n/a",LOWER(TRIM($AH383))&lt;&gt;"na",SUMPRODUCT(--(UPPER(SUBSTITUTE(SUBSTITUTE(TRIM($AH$2:$AH$518),":",""),"-",""))=UPPER(SUBSTITUTE(SUBSTITUTE(TRIM($AH383),":",""),"-",""))),--(TRIM($AH$2:$AH$518)&lt;&gt;""),--(LOWER(TRIM($AH$2:$AH$518))&lt;&gt;"n/a"),--(LOWER(TRIM($AH$2:$AH$518))&lt;&gt;"na"))&gt;1),AND($AP383&lt;&gt;"",LOWER(TRIM($AP383))&lt;&gt;"n/a",LOWER(TRIM($AP383))&lt;&gt;"na",SUMPRODUCT(--(UPPER(TRIM($AP$2:$AP$518))=UPPER(TRIM($AP383))),--(TRIM($AP$2:$AP$518)&lt;&gt;""),--(LOWER(TRIM($AP$2:$AP$518))&lt;&gt;"n/a"),--(LOWER(TRIM($AP$2:$AP$518))&lt;&gt;"na"))&gt;1),AND($AQ383&lt;&gt;"",LOWER(TRIM($AQ383))&lt;&gt;"n/a",LOWER(TRIM($AQ383))&lt;&gt;"na",SUMPRODUCT(--(UPPER(TRIM($AQ$2:$AQ$518))=UPPER(TRIM($AQ383))),--(TRIM($AQ$2:$AQ$518)&lt;&gt;""),--(LOWER(TRIM($AQ$2:$AQ$518))&lt;&gt;"n/a"),--(LOWER(TRIM($AQ$2:$AQ$518))&lt;&gt;"na"))&gt;1)),"Yes","No"))</f>
        <v/>
      </c>
      <c r="F383">
        <f>IF(UPPER(TRIM($B383))&lt;&gt;"YES","", IF(OR(AND($V383&lt;&gt;"", LOWER(TRIM($V383))&lt;&gt;"n/a", LOWER(TRIM($V383))&lt;&gt;"na", SUMPRODUCT(--(UPPER(TRIM($V$2:$V$518))=UPPER(TRIM($V383))), --(UPPER(TRIM($B$2:$B$518))="YES"), --(UPPER(TRIM($G$2:$G$518)&amp;TRIM($I$2:$I$518)&amp;TRIM($J$2:$J$518))&lt;&gt;UPPER(TRIM($G383)&amp;TRIM($I383)&amp;TRIM($J383))))&gt;0), AND($W383&lt;&gt;"", LOWER(TRIM($W383))&lt;&gt;"n/a", LOWER(TRIM($W383))&lt;&gt;"na", SUMPRODUCT(--(UPPER(TRIM($W$2:$W$518))=UPPER(TRIM($W383))), --(UPPER(TRIM($B$2:$B$518))="YES"), --(UPPER(TRIM($G$2:$G$518)&amp;TRIM($I$2:$I$518)&amp;TRIM($J$2:$J$518))&lt;&gt;UPPER(TRIM($G383)&amp;TRIM($I383)&amp;TRIM($J383))))&gt;0), AND($X383&lt;&gt;"", LOWER(TRIM($X383))&lt;&gt;"n/a", LOWER(TRIM($X383))&lt;&gt;"na", SUMPRODUCT(--(UPPER(TRIM($X$2:$X$518))=UPPER(TRIM($X383))), --(UPPER(TRIM($B$2:$B$518))="YES"), --(UPPER(TRIM($G$2:$G$518)&amp;TRIM($I$2:$I$518)&amp;TRIM($J$2:$J$518))&lt;&gt;UPPER(TRIM($G383)&amp;TRIM($I383)&amp;TRIM($J383))))&gt;0), AND($Y383&lt;&gt;"", LOWER(TRIM($Y383))&lt;&gt;"n/a", LOWER(TRIM($Y383))&lt;&gt;"na", SUMPRODUCT(--(UPPER(SUBSTITUTE(SUBSTITUTE(TRIM($Y$2:$Y$518),":",""),"-",""))=UPPER(SUBSTITUTE(SUBSTITUTE(TRIM($Y383),":",""),"-",""))), --(UPPER(TRIM($B$2:$B$518))="YES"), --(UPPER(TRIM($G$2:$G$518)&amp;TRIM($I$2:$I$518)&amp;TRIM($J$2:$J$518))&lt;&gt;UPPER(TRIM($G383)&amp;TRIM($I383)&amp;TRIM($J383))))&gt;0), AND($AB383&lt;&gt;"", LOWER(TRIM($AB383))&lt;&gt;"n/a", LOWER(TRIM($AB383))&lt;&gt;"na", SUMPRODUCT(--(UPPER(TRIM($AB$2:$AB$518))=UPPER(TRIM($AB383))), --(UPPER(TRIM($B$2:$B$518))="YES"), --(UPPER(TRIM($G$2:$G$518)&amp;TRIM($I$2:$I$518)&amp;TRIM($J$2:$J$518))&lt;&gt;UPPER(TRIM($G383)&amp;TRIM($I383)&amp;TRIM($J383))))&gt;0), AND($AH383&lt;&gt;"", LOWER(TRIM($AH383))&lt;&gt;"n/a", LOWER(TRIM($AH383))&lt;&gt;"na", SUMPRODUCT(--(UPPER(SUBSTITUTE(SUBSTITUTE(TRIM($AH$2:$AH$518),":",""),"-",""))=UPPER(SUBSTITUTE(SUBSTITUTE(TRIM($AH383),":",""),"-",""))), --(UPPER(TRIM($B$2:$B$518))="YES"), --(UPPER(TRIM($G$2:$G$518)&amp;TRIM($I$2:$I$518)&amp;TRIM($J$2:$J$518))&lt;&gt;UPPER(TRIM($G383)&amp;TRIM($I383)&amp;TRIM($J383))))&gt;0), AND($AP383&lt;&gt;"", LOWER(TRIM($AP383))&lt;&gt;"n/a", LOWER(TRIM($AP383))&lt;&gt;"na", SUMPRODUCT(--(UPPER(TRIM($AP$2:$AP$518))=UPPER(TRIM($AP383))), --(UPPER(TRIM($B$2:$B$518))="YES"), --(UPPER(TRIM($G$2:$G$518)&amp;TRIM($I$2:$I$518)&amp;TRIM($J$2:$J$518))&lt;&gt;UPPER(TRIM($G383)&amp;TRIM($I383)&amp;TRIM($J383))))&gt;0), AND($AQ383&lt;&gt;"", LOWER(TRIM($AQ383))&lt;&gt;"n/a", LOWER(TRIM($AQ383))&lt;&gt;"na", SUMPRODUCT(--(UPPER(TRIM($AQ$2:$AQ$518))=UPPER(TRIM($AQ383))), --(UPPER(TRIM($B$2:$B$518))="YES"), --(UPPER(TRIM($G$2:$G$518)&amp;TRIM($I$2:$I$518)&amp;TRIM($J$2:$J$518))&lt;&gt;UPPER(TRIM($G383)&amp;TRIM($I383)&amp;TRIM($J383))))&gt;0)), "Yes", "No"))</f>
        <v/>
      </c>
      <c r="CD383">
        <f>IF($Y383="","",IF((IF(AND($BR383&lt;&gt;"Yes",$BR383&lt;&gt;"N/A"),"Power Cable, ","")&amp;IF(AND($BS383&lt;&gt;"Yes",$BS383&lt;&gt;"N/A"),"Battery, ","")&amp;IF(AND($AD383&lt;&gt;"Yes",$AD383&lt;&gt;"N/A"),"Firmware Download, ","")&amp;IF(AND(OR($AD383="Yes",$AD383="N/A"),$AE383&lt;&gt;"Yes",$AE383&lt;&gt;"N/A"),"Firmware Install, ","")&amp;IF(AND($CB383&lt;&gt;"Yes",$CB383&lt;&gt;"N/A"),"Device ID, ","")&amp;IF(AND($CC383&lt;&gt;"Yes",$CC383&lt;&gt;"N/A"),"Epic Beans Relay, ",""))="","",LEFT(IF(AND($BR383&lt;&gt;"Yes",$BR383&lt;&gt;"N/A"),"Power Cable, ","")&amp;IF(AND($BS383&lt;&gt;"Yes",$BS383&lt;&gt;"N/A"),"Battery, ","")&amp;IF(AND($AD383&lt;&gt;"Yes",$AD383&lt;&gt;"N/A"),"Firmware Download, ","")&amp;IF(AND(OR($AD383="Yes",$AD383="N/A"),$AE383&lt;&gt;"Yes",$AE383&lt;&gt;"N/A"),"Firmware Install, ","")&amp;IF(AND($CB383&lt;&gt;"Yes",$CB383&lt;&gt;"N/A"),"Device ID, ","")&amp;IF(AND($CC383&lt;&gt;"Yes",$CC383&lt;&gt;"N/A"),"Epic Beans Relay, ",""),LEN(IF(AND($BR383&lt;&gt;"Yes",$BR383&lt;&gt;"N/A"),"Power Cable, ","")&amp;IF(AND($BS383&lt;&gt;"Yes",$BS383&lt;&gt;"N/A"),"Battery, ","")&amp;IF(AND($AD383&lt;&gt;"Yes",$AD383&lt;&gt;"N/A"),"Firmware Download, ","")&amp;IF(AND(OR($AD383="Yes",$AD383="N/A"),$AE383&lt;&gt;"Yes",$AE383&lt;&gt;"N/A"),"Firmware Install, ","")&amp;IF(AND($CB383&lt;&gt;"Yes",$CB383&lt;&gt;"N/A"),"Device ID, ","")&amp;IF(AND($CC383&lt;&gt;"Yes",$CC383&lt;&gt;"N/A"),"Epic Beans Relay, ",""))-2)))</f>
        <v/>
      </c>
      <c r="CE383">
        <f>IF($Y383="","",IF($CD383="","Yes","Blocked"))</f>
        <v/>
      </c>
      <c r="CP383">
        <f>IF($CO383="","",IFERROR(VLOOKUP($CO383,'01_Warehouse_Ledger'!$A:$N,4,FALSE),""))</f>
        <v/>
      </c>
      <c r="CQ383">
        <f>IF($CO383="","",IFERROR(VLOOKUP($CO383,'01_Warehouse_Ledger'!$A:$N,5,FALSE),""))</f>
        <v/>
      </c>
      <c r="CR383">
        <f>IF($CO383="","",IFERROR(VLOOKUP($CO383,'01_Warehouse_Ledger'!$A:$N,13,FALSE),""))</f>
        <v/>
      </c>
      <c r="CW383">
        <f>IF($S383="","",IF(UPPER(TRIM($S383))&lt;&gt;"PASS","",IF(LEN(TRIM($BY383))&gt;0,"NOTES_PRESENT",IF(LEN(TRIM($T383))=0,"SET_NA",IF(OR(LOWER(TRIM($T383))="na",LOWER(TRIM($T383))="n/a"),"OK","MANUAL_OVERRIDE")))))</f>
        <v/>
      </c>
    </row>
    <row r="384">
      <c r="B384" t="inlineStr">
        <is>
          <t>No</t>
        </is>
      </c>
      <c r="C384" t="inlineStr">
        <is>
          <t>No</t>
        </is>
      </c>
      <c r="D384">
        <f>IF($B384&lt;&gt;"Yes","",IF($C384="No","Yes",IF($C384="Yes","No","")))</f>
        <v/>
      </c>
      <c r="E384">
        <f>IF($A384="","",IF(OR(AND($V384&lt;&gt;"",LOWER(TRIM($V384))&lt;&gt;"n/a",LOWER(TRIM($V384))&lt;&gt;"na",SUMPRODUCT(--(UPPER(TRIM($V$2:$V$518))=UPPER(TRIM($V384))),--(TRIM($V$2:$V$518)&lt;&gt;""),--(LOWER(TRIM($V$2:$V$518))&lt;&gt;"n/a"),--(LOWER(TRIM($V$2:$V$518))&lt;&gt;"na"))&gt;1),AND($W384&lt;&gt;"",LOWER(TRIM($W384))&lt;&gt;"n/a",LOWER(TRIM($W384))&lt;&gt;"na",SUMPRODUCT(--(UPPER(TRIM($W$2:$W$518))=UPPER(TRIM($W384))),--(TRIM($W$2:$W$518)&lt;&gt;""),--(LOWER(TRIM($W$2:$W$518))&lt;&gt;"n/a"),--(LOWER(TRIM($W$2:$W$518))&lt;&gt;"na"))&gt;1),AND($X384&lt;&gt;"",LOWER(TRIM($X384))&lt;&gt;"n/a",LOWER(TRIM($X384))&lt;&gt;"na",SUMPRODUCT(--(UPPER(TRIM($X$2:$X$518))=UPPER(TRIM($X384))),--(TRIM($X$2:$X$518)&lt;&gt;""),--(LOWER(TRIM($X$2:$X$518))&lt;&gt;"n/a"),--(LOWER(TRIM($X$2:$X$518))&lt;&gt;"na"))&gt;1),AND($Y384&lt;&gt;"",LOWER(TRIM($Y384))&lt;&gt;"n/a",LOWER(TRIM($Y384))&lt;&gt;"na",SUMPRODUCT(--(UPPER(SUBSTITUTE(SUBSTITUTE(TRIM($Y$2:$Y$518),":",""),"-",""))=UPPER(SUBSTITUTE(SUBSTITUTE(TRIM($Y384),":",""),"-",""))),--(TRIM($Y$2:$Y$518)&lt;&gt;""),--(LOWER(TRIM($Y$2:$Y$518))&lt;&gt;"n/a"),--(LOWER(TRIM($Y$2:$Y$518))&lt;&gt;"na"))&gt;1),AND($AB384&lt;&gt;"",LOWER(TRIM($AB384))&lt;&gt;"n/a",LOWER(TRIM($AB384))&lt;&gt;"na",SUMPRODUCT(--(UPPER(TRIM($AB$2:$AB$518))=UPPER(TRIM($AB384))),--(TRIM($AB$2:$AB$518)&lt;&gt;""),--(LOWER(TRIM($AB$2:$AB$518))&lt;&gt;"n/a"),--(LOWER(TRIM($AB$2:$AB$518))&lt;&gt;"na"))&gt;1),AND($AH384&lt;&gt;"",LOWER(TRIM($AH384))&lt;&gt;"n/a",LOWER(TRIM($AH384))&lt;&gt;"na",SUMPRODUCT(--(UPPER(SUBSTITUTE(SUBSTITUTE(TRIM($AH$2:$AH$518),":",""),"-",""))=UPPER(SUBSTITUTE(SUBSTITUTE(TRIM($AH384),":",""),"-",""))),--(TRIM($AH$2:$AH$518)&lt;&gt;""),--(LOWER(TRIM($AH$2:$AH$518))&lt;&gt;"n/a"),--(LOWER(TRIM($AH$2:$AH$518))&lt;&gt;"na"))&gt;1),AND($AP384&lt;&gt;"",LOWER(TRIM($AP384))&lt;&gt;"n/a",LOWER(TRIM($AP384))&lt;&gt;"na",SUMPRODUCT(--(UPPER(TRIM($AP$2:$AP$518))=UPPER(TRIM($AP384))),--(TRIM($AP$2:$AP$518)&lt;&gt;""),--(LOWER(TRIM($AP$2:$AP$518))&lt;&gt;"n/a"),--(LOWER(TRIM($AP$2:$AP$518))&lt;&gt;"na"))&gt;1),AND($AQ384&lt;&gt;"",LOWER(TRIM($AQ384))&lt;&gt;"n/a",LOWER(TRIM($AQ384))&lt;&gt;"na",SUMPRODUCT(--(UPPER(TRIM($AQ$2:$AQ$518))=UPPER(TRIM($AQ384))),--(TRIM($AQ$2:$AQ$518)&lt;&gt;""),--(LOWER(TRIM($AQ$2:$AQ$518))&lt;&gt;"n/a"),--(LOWER(TRIM($AQ$2:$AQ$518))&lt;&gt;"na"))&gt;1)),"Yes","No"))</f>
        <v/>
      </c>
      <c r="F384">
        <f>IF(UPPER(TRIM($B384))&lt;&gt;"YES","", IF(OR(AND($V384&lt;&gt;"", LOWER(TRIM($V384))&lt;&gt;"n/a", LOWER(TRIM($V384))&lt;&gt;"na", SUMPRODUCT(--(UPPER(TRIM($V$2:$V$518))=UPPER(TRIM($V384))), --(UPPER(TRIM($B$2:$B$518))="YES"), --(UPPER(TRIM($G$2:$G$518)&amp;TRIM($I$2:$I$518)&amp;TRIM($J$2:$J$518))&lt;&gt;UPPER(TRIM($G384)&amp;TRIM($I384)&amp;TRIM($J384))))&gt;0), AND($W384&lt;&gt;"", LOWER(TRIM($W384))&lt;&gt;"n/a", LOWER(TRIM($W384))&lt;&gt;"na", SUMPRODUCT(--(UPPER(TRIM($W$2:$W$518))=UPPER(TRIM($W384))), --(UPPER(TRIM($B$2:$B$518))="YES"), --(UPPER(TRIM($G$2:$G$518)&amp;TRIM($I$2:$I$518)&amp;TRIM($J$2:$J$518))&lt;&gt;UPPER(TRIM($G384)&amp;TRIM($I384)&amp;TRIM($J384))))&gt;0), AND($X384&lt;&gt;"", LOWER(TRIM($X384))&lt;&gt;"n/a", LOWER(TRIM($X384))&lt;&gt;"na", SUMPRODUCT(--(UPPER(TRIM($X$2:$X$518))=UPPER(TRIM($X384))), --(UPPER(TRIM($B$2:$B$518))="YES"), --(UPPER(TRIM($G$2:$G$518)&amp;TRIM($I$2:$I$518)&amp;TRIM($J$2:$J$518))&lt;&gt;UPPER(TRIM($G384)&amp;TRIM($I384)&amp;TRIM($J384))))&gt;0), AND($Y384&lt;&gt;"", LOWER(TRIM($Y384))&lt;&gt;"n/a", LOWER(TRIM($Y384))&lt;&gt;"na", SUMPRODUCT(--(UPPER(SUBSTITUTE(SUBSTITUTE(TRIM($Y$2:$Y$518),":",""),"-",""))=UPPER(SUBSTITUTE(SUBSTITUTE(TRIM($Y384),":",""),"-",""))), --(UPPER(TRIM($B$2:$B$518))="YES"), --(UPPER(TRIM($G$2:$G$518)&amp;TRIM($I$2:$I$518)&amp;TRIM($J$2:$J$518))&lt;&gt;UPPER(TRIM($G384)&amp;TRIM($I384)&amp;TRIM($J384))))&gt;0), AND($AB384&lt;&gt;"", LOWER(TRIM($AB384))&lt;&gt;"n/a", LOWER(TRIM($AB384))&lt;&gt;"na", SUMPRODUCT(--(UPPER(TRIM($AB$2:$AB$518))=UPPER(TRIM($AB384))), --(UPPER(TRIM($B$2:$B$518))="YES"), --(UPPER(TRIM($G$2:$G$518)&amp;TRIM($I$2:$I$518)&amp;TRIM($J$2:$J$518))&lt;&gt;UPPER(TRIM($G384)&amp;TRIM($I384)&amp;TRIM($J384))))&gt;0), AND($AH384&lt;&gt;"", LOWER(TRIM($AH384))&lt;&gt;"n/a", LOWER(TRIM($AH384))&lt;&gt;"na", SUMPRODUCT(--(UPPER(SUBSTITUTE(SUBSTITUTE(TRIM($AH$2:$AH$518),":",""),"-",""))=UPPER(SUBSTITUTE(SUBSTITUTE(TRIM($AH384),":",""),"-",""))), --(UPPER(TRIM($B$2:$B$518))="YES"), --(UPPER(TRIM($G$2:$G$518)&amp;TRIM($I$2:$I$518)&amp;TRIM($J$2:$J$518))&lt;&gt;UPPER(TRIM($G384)&amp;TRIM($I384)&amp;TRIM($J384))))&gt;0), AND($AP384&lt;&gt;"", LOWER(TRIM($AP384))&lt;&gt;"n/a", LOWER(TRIM($AP384))&lt;&gt;"na", SUMPRODUCT(--(UPPER(TRIM($AP$2:$AP$518))=UPPER(TRIM($AP384))), --(UPPER(TRIM($B$2:$B$518))="YES"), --(UPPER(TRIM($G$2:$G$518)&amp;TRIM($I$2:$I$518)&amp;TRIM($J$2:$J$518))&lt;&gt;UPPER(TRIM($G384)&amp;TRIM($I384)&amp;TRIM($J384))))&gt;0), AND($AQ384&lt;&gt;"", LOWER(TRIM($AQ384))&lt;&gt;"n/a", LOWER(TRIM($AQ384))&lt;&gt;"na", SUMPRODUCT(--(UPPER(TRIM($AQ$2:$AQ$518))=UPPER(TRIM($AQ384))), --(UPPER(TRIM($B$2:$B$518))="YES"), --(UPPER(TRIM($G$2:$G$518)&amp;TRIM($I$2:$I$518)&amp;TRIM($J$2:$J$518))&lt;&gt;UPPER(TRIM($G384)&amp;TRIM($I384)&amp;TRIM($J384))))&gt;0)), "Yes", "No"))</f>
        <v/>
      </c>
      <c r="CD384">
        <f>IF($Y384="","",IF((IF(AND($BR384&lt;&gt;"Yes",$BR384&lt;&gt;"N/A"),"Power Cable, ","")&amp;IF(AND($BS384&lt;&gt;"Yes",$BS384&lt;&gt;"N/A"),"Battery, ","")&amp;IF(AND($AD384&lt;&gt;"Yes",$AD384&lt;&gt;"N/A"),"Firmware Download, ","")&amp;IF(AND(OR($AD384="Yes",$AD384="N/A"),$AE384&lt;&gt;"Yes",$AE384&lt;&gt;"N/A"),"Firmware Install, ","")&amp;IF(AND($CB384&lt;&gt;"Yes",$CB384&lt;&gt;"N/A"),"Device ID, ","")&amp;IF(AND($CC384&lt;&gt;"Yes",$CC384&lt;&gt;"N/A"),"Epic Beans Relay, ",""))="","",LEFT(IF(AND($BR384&lt;&gt;"Yes",$BR384&lt;&gt;"N/A"),"Power Cable, ","")&amp;IF(AND($BS384&lt;&gt;"Yes",$BS384&lt;&gt;"N/A"),"Battery, ","")&amp;IF(AND($AD384&lt;&gt;"Yes",$AD384&lt;&gt;"N/A"),"Firmware Download, ","")&amp;IF(AND(OR($AD384="Yes",$AD384="N/A"),$AE384&lt;&gt;"Yes",$AE384&lt;&gt;"N/A"),"Firmware Install, ","")&amp;IF(AND($CB384&lt;&gt;"Yes",$CB384&lt;&gt;"N/A"),"Device ID, ","")&amp;IF(AND($CC384&lt;&gt;"Yes",$CC384&lt;&gt;"N/A"),"Epic Beans Relay, ",""),LEN(IF(AND($BR384&lt;&gt;"Yes",$BR384&lt;&gt;"N/A"),"Power Cable, ","")&amp;IF(AND($BS384&lt;&gt;"Yes",$BS384&lt;&gt;"N/A"),"Battery, ","")&amp;IF(AND($AD384&lt;&gt;"Yes",$AD384&lt;&gt;"N/A"),"Firmware Download, ","")&amp;IF(AND(OR($AD384="Yes",$AD384="N/A"),$AE384&lt;&gt;"Yes",$AE384&lt;&gt;"N/A"),"Firmware Install, ","")&amp;IF(AND($CB384&lt;&gt;"Yes",$CB384&lt;&gt;"N/A"),"Device ID, ","")&amp;IF(AND($CC384&lt;&gt;"Yes",$CC384&lt;&gt;"N/A"),"Epic Beans Relay, ",""))-2)))</f>
        <v/>
      </c>
      <c r="CE384">
        <f>IF($Y384="","",IF($CD384="","Yes","Blocked"))</f>
        <v/>
      </c>
      <c r="CP384">
        <f>IF($CO384="","",IFERROR(VLOOKUP($CO384,'01_Warehouse_Ledger'!$A:$N,4,FALSE),""))</f>
        <v/>
      </c>
      <c r="CQ384">
        <f>IF($CO384="","",IFERROR(VLOOKUP($CO384,'01_Warehouse_Ledger'!$A:$N,5,FALSE),""))</f>
        <v/>
      </c>
      <c r="CR384">
        <f>IF($CO384="","",IFERROR(VLOOKUP($CO384,'01_Warehouse_Ledger'!$A:$N,13,FALSE),""))</f>
        <v/>
      </c>
      <c r="CW384">
        <f>IF($S384="","",IF(UPPER(TRIM($S384))&lt;&gt;"PASS","",IF(LEN(TRIM($BY384))&gt;0,"NOTES_PRESENT",IF(LEN(TRIM($T384))=0,"SET_NA",IF(OR(LOWER(TRIM($T384))="na",LOWER(TRIM($T384))="n/a"),"OK","MANUAL_OVERRIDE")))))</f>
        <v/>
      </c>
    </row>
    <row r="385">
      <c r="B385" t="inlineStr">
        <is>
          <t>No</t>
        </is>
      </c>
      <c r="C385" t="inlineStr">
        <is>
          <t>No</t>
        </is>
      </c>
      <c r="D385">
        <f>IF($B385&lt;&gt;"Yes","",IF($C385="No","Yes",IF($C385="Yes","No","")))</f>
        <v/>
      </c>
      <c r="E385">
        <f>IF($A385="","",IF(OR(AND($V385&lt;&gt;"",LOWER(TRIM($V385))&lt;&gt;"n/a",LOWER(TRIM($V385))&lt;&gt;"na",SUMPRODUCT(--(UPPER(TRIM($V$2:$V$518))=UPPER(TRIM($V385))),--(TRIM($V$2:$V$518)&lt;&gt;""),--(LOWER(TRIM($V$2:$V$518))&lt;&gt;"n/a"),--(LOWER(TRIM($V$2:$V$518))&lt;&gt;"na"))&gt;1),AND($W385&lt;&gt;"",LOWER(TRIM($W385))&lt;&gt;"n/a",LOWER(TRIM($W385))&lt;&gt;"na",SUMPRODUCT(--(UPPER(TRIM($W$2:$W$518))=UPPER(TRIM($W385))),--(TRIM($W$2:$W$518)&lt;&gt;""),--(LOWER(TRIM($W$2:$W$518))&lt;&gt;"n/a"),--(LOWER(TRIM($W$2:$W$518))&lt;&gt;"na"))&gt;1),AND($X385&lt;&gt;"",LOWER(TRIM($X385))&lt;&gt;"n/a",LOWER(TRIM($X385))&lt;&gt;"na",SUMPRODUCT(--(UPPER(TRIM($X$2:$X$518))=UPPER(TRIM($X385))),--(TRIM($X$2:$X$518)&lt;&gt;""),--(LOWER(TRIM($X$2:$X$518))&lt;&gt;"n/a"),--(LOWER(TRIM($X$2:$X$518))&lt;&gt;"na"))&gt;1),AND($Y385&lt;&gt;"",LOWER(TRIM($Y385))&lt;&gt;"n/a",LOWER(TRIM($Y385))&lt;&gt;"na",SUMPRODUCT(--(UPPER(SUBSTITUTE(SUBSTITUTE(TRIM($Y$2:$Y$518),":",""),"-",""))=UPPER(SUBSTITUTE(SUBSTITUTE(TRIM($Y385),":",""),"-",""))),--(TRIM($Y$2:$Y$518)&lt;&gt;""),--(LOWER(TRIM($Y$2:$Y$518))&lt;&gt;"n/a"),--(LOWER(TRIM($Y$2:$Y$518))&lt;&gt;"na"))&gt;1),AND($AB385&lt;&gt;"",LOWER(TRIM($AB385))&lt;&gt;"n/a",LOWER(TRIM($AB385))&lt;&gt;"na",SUMPRODUCT(--(UPPER(TRIM($AB$2:$AB$518))=UPPER(TRIM($AB385))),--(TRIM($AB$2:$AB$518)&lt;&gt;""),--(LOWER(TRIM($AB$2:$AB$518))&lt;&gt;"n/a"),--(LOWER(TRIM($AB$2:$AB$518))&lt;&gt;"na"))&gt;1),AND($AH385&lt;&gt;"",LOWER(TRIM($AH385))&lt;&gt;"n/a",LOWER(TRIM($AH385))&lt;&gt;"na",SUMPRODUCT(--(UPPER(SUBSTITUTE(SUBSTITUTE(TRIM($AH$2:$AH$518),":",""),"-",""))=UPPER(SUBSTITUTE(SUBSTITUTE(TRIM($AH385),":",""),"-",""))),--(TRIM($AH$2:$AH$518)&lt;&gt;""),--(LOWER(TRIM($AH$2:$AH$518))&lt;&gt;"n/a"),--(LOWER(TRIM($AH$2:$AH$518))&lt;&gt;"na"))&gt;1),AND($AP385&lt;&gt;"",LOWER(TRIM($AP385))&lt;&gt;"n/a",LOWER(TRIM($AP385))&lt;&gt;"na",SUMPRODUCT(--(UPPER(TRIM($AP$2:$AP$518))=UPPER(TRIM($AP385))),--(TRIM($AP$2:$AP$518)&lt;&gt;""),--(LOWER(TRIM($AP$2:$AP$518))&lt;&gt;"n/a"),--(LOWER(TRIM($AP$2:$AP$518))&lt;&gt;"na"))&gt;1),AND($AQ385&lt;&gt;"",LOWER(TRIM($AQ385))&lt;&gt;"n/a",LOWER(TRIM($AQ385))&lt;&gt;"na",SUMPRODUCT(--(UPPER(TRIM($AQ$2:$AQ$518))=UPPER(TRIM($AQ385))),--(TRIM($AQ$2:$AQ$518)&lt;&gt;""),--(LOWER(TRIM($AQ$2:$AQ$518))&lt;&gt;"n/a"),--(LOWER(TRIM($AQ$2:$AQ$518))&lt;&gt;"na"))&gt;1)),"Yes","No"))</f>
        <v/>
      </c>
      <c r="F385">
        <f>IF(UPPER(TRIM($B385))&lt;&gt;"YES","", IF(OR(AND($V385&lt;&gt;"", LOWER(TRIM($V385))&lt;&gt;"n/a", LOWER(TRIM($V385))&lt;&gt;"na", SUMPRODUCT(--(UPPER(TRIM($V$2:$V$518))=UPPER(TRIM($V385))), --(UPPER(TRIM($B$2:$B$518))="YES"), --(UPPER(TRIM($G$2:$G$518)&amp;TRIM($I$2:$I$518)&amp;TRIM($J$2:$J$518))&lt;&gt;UPPER(TRIM($G385)&amp;TRIM($I385)&amp;TRIM($J385))))&gt;0), AND($W385&lt;&gt;"", LOWER(TRIM($W385))&lt;&gt;"n/a", LOWER(TRIM($W385))&lt;&gt;"na", SUMPRODUCT(--(UPPER(TRIM($W$2:$W$518))=UPPER(TRIM($W385))), --(UPPER(TRIM($B$2:$B$518))="YES"), --(UPPER(TRIM($G$2:$G$518)&amp;TRIM($I$2:$I$518)&amp;TRIM($J$2:$J$518))&lt;&gt;UPPER(TRIM($G385)&amp;TRIM($I385)&amp;TRIM($J385))))&gt;0), AND($X385&lt;&gt;"", LOWER(TRIM($X385))&lt;&gt;"n/a", LOWER(TRIM($X385))&lt;&gt;"na", SUMPRODUCT(--(UPPER(TRIM($X$2:$X$518))=UPPER(TRIM($X385))), --(UPPER(TRIM($B$2:$B$518))="YES"), --(UPPER(TRIM($G$2:$G$518)&amp;TRIM($I$2:$I$518)&amp;TRIM($J$2:$J$518))&lt;&gt;UPPER(TRIM($G385)&amp;TRIM($I385)&amp;TRIM($J385))))&gt;0), AND($Y385&lt;&gt;"", LOWER(TRIM($Y385))&lt;&gt;"n/a", LOWER(TRIM($Y385))&lt;&gt;"na", SUMPRODUCT(--(UPPER(SUBSTITUTE(SUBSTITUTE(TRIM($Y$2:$Y$518),":",""),"-",""))=UPPER(SUBSTITUTE(SUBSTITUTE(TRIM($Y385),":",""),"-",""))), --(UPPER(TRIM($B$2:$B$518))="YES"), --(UPPER(TRIM($G$2:$G$518)&amp;TRIM($I$2:$I$518)&amp;TRIM($J$2:$J$518))&lt;&gt;UPPER(TRIM($G385)&amp;TRIM($I385)&amp;TRIM($J385))))&gt;0), AND($AB385&lt;&gt;"", LOWER(TRIM($AB385))&lt;&gt;"n/a", LOWER(TRIM($AB385))&lt;&gt;"na", SUMPRODUCT(--(UPPER(TRIM($AB$2:$AB$518))=UPPER(TRIM($AB385))), --(UPPER(TRIM($B$2:$B$518))="YES"), --(UPPER(TRIM($G$2:$G$518)&amp;TRIM($I$2:$I$518)&amp;TRIM($J$2:$J$518))&lt;&gt;UPPER(TRIM($G385)&amp;TRIM($I385)&amp;TRIM($J385))))&gt;0), AND($AH385&lt;&gt;"", LOWER(TRIM($AH385))&lt;&gt;"n/a", LOWER(TRIM($AH385))&lt;&gt;"na", SUMPRODUCT(--(UPPER(SUBSTITUTE(SUBSTITUTE(TRIM($AH$2:$AH$518),":",""),"-",""))=UPPER(SUBSTITUTE(SUBSTITUTE(TRIM($AH385),":",""),"-",""))), --(UPPER(TRIM($B$2:$B$518))="YES"), --(UPPER(TRIM($G$2:$G$518)&amp;TRIM($I$2:$I$518)&amp;TRIM($J$2:$J$518))&lt;&gt;UPPER(TRIM($G385)&amp;TRIM($I385)&amp;TRIM($J385))))&gt;0), AND($AP385&lt;&gt;"", LOWER(TRIM($AP385))&lt;&gt;"n/a", LOWER(TRIM($AP385))&lt;&gt;"na", SUMPRODUCT(--(UPPER(TRIM($AP$2:$AP$518))=UPPER(TRIM($AP385))), --(UPPER(TRIM($B$2:$B$518))="YES"), --(UPPER(TRIM($G$2:$G$518)&amp;TRIM($I$2:$I$518)&amp;TRIM($J$2:$J$518))&lt;&gt;UPPER(TRIM($G385)&amp;TRIM($I385)&amp;TRIM($J385))))&gt;0), AND($AQ385&lt;&gt;"", LOWER(TRIM($AQ385))&lt;&gt;"n/a", LOWER(TRIM($AQ385))&lt;&gt;"na", SUMPRODUCT(--(UPPER(TRIM($AQ$2:$AQ$518))=UPPER(TRIM($AQ385))), --(UPPER(TRIM($B$2:$B$518))="YES"), --(UPPER(TRIM($G$2:$G$518)&amp;TRIM($I$2:$I$518)&amp;TRIM($J$2:$J$518))&lt;&gt;UPPER(TRIM($G385)&amp;TRIM($I385)&amp;TRIM($J385))))&gt;0)), "Yes", "No"))</f>
        <v/>
      </c>
      <c r="CD385">
        <f>IF($Y385="","",IF((IF(AND($BR385&lt;&gt;"Yes",$BR385&lt;&gt;"N/A"),"Power Cable, ","")&amp;IF(AND($BS385&lt;&gt;"Yes",$BS385&lt;&gt;"N/A"),"Battery, ","")&amp;IF(AND($AD385&lt;&gt;"Yes",$AD385&lt;&gt;"N/A"),"Firmware Download, ","")&amp;IF(AND(OR($AD385="Yes",$AD385="N/A"),$AE385&lt;&gt;"Yes",$AE385&lt;&gt;"N/A"),"Firmware Install, ","")&amp;IF(AND($CB385&lt;&gt;"Yes",$CB385&lt;&gt;"N/A"),"Device ID, ","")&amp;IF(AND($CC385&lt;&gt;"Yes",$CC385&lt;&gt;"N/A"),"Epic Beans Relay, ",""))="","",LEFT(IF(AND($BR385&lt;&gt;"Yes",$BR385&lt;&gt;"N/A"),"Power Cable, ","")&amp;IF(AND($BS385&lt;&gt;"Yes",$BS385&lt;&gt;"N/A"),"Battery, ","")&amp;IF(AND($AD385&lt;&gt;"Yes",$AD385&lt;&gt;"N/A"),"Firmware Download, ","")&amp;IF(AND(OR($AD385="Yes",$AD385="N/A"),$AE385&lt;&gt;"Yes",$AE385&lt;&gt;"N/A"),"Firmware Install, ","")&amp;IF(AND($CB385&lt;&gt;"Yes",$CB385&lt;&gt;"N/A"),"Device ID, ","")&amp;IF(AND($CC385&lt;&gt;"Yes",$CC385&lt;&gt;"N/A"),"Epic Beans Relay, ",""),LEN(IF(AND($BR385&lt;&gt;"Yes",$BR385&lt;&gt;"N/A"),"Power Cable, ","")&amp;IF(AND($BS385&lt;&gt;"Yes",$BS385&lt;&gt;"N/A"),"Battery, ","")&amp;IF(AND($AD385&lt;&gt;"Yes",$AD385&lt;&gt;"N/A"),"Firmware Download, ","")&amp;IF(AND(OR($AD385="Yes",$AD385="N/A"),$AE385&lt;&gt;"Yes",$AE385&lt;&gt;"N/A"),"Firmware Install, ","")&amp;IF(AND($CB385&lt;&gt;"Yes",$CB385&lt;&gt;"N/A"),"Device ID, ","")&amp;IF(AND($CC385&lt;&gt;"Yes",$CC385&lt;&gt;"N/A"),"Epic Beans Relay, ",""))-2)))</f>
        <v/>
      </c>
      <c r="CE385">
        <f>IF($Y385="","",IF($CD385="","Yes","Blocked"))</f>
        <v/>
      </c>
      <c r="CP385">
        <f>IF($CO385="","",IFERROR(VLOOKUP($CO385,'01_Warehouse_Ledger'!$A:$N,4,FALSE),""))</f>
        <v/>
      </c>
      <c r="CQ385">
        <f>IF($CO385="","",IFERROR(VLOOKUP($CO385,'01_Warehouse_Ledger'!$A:$N,5,FALSE),""))</f>
        <v/>
      </c>
      <c r="CR385">
        <f>IF($CO385="","",IFERROR(VLOOKUP($CO385,'01_Warehouse_Ledger'!$A:$N,13,FALSE),""))</f>
        <v/>
      </c>
      <c r="CW385">
        <f>IF($S385="","",IF(UPPER(TRIM($S385))&lt;&gt;"PASS","",IF(LEN(TRIM($BY385))&gt;0,"NOTES_PRESENT",IF(LEN(TRIM($T385))=0,"SET_NA",IF(OR(LOWER(TRIM($T385))="na",LOWER(TRIM($T385))="n/a"),"OK","MANUAL_OVERRIDE")))))</f>
        <v/>
      </c>
    </row>
    <row r="386">
      <c r="B386" t="inlineStr">
        <is>
          <t>No</t>
        </is>
      </c>
      <c r="C386" t="inlineStr">
        <is>
          <t>No</t>
        </is>
      </c>
      <c r="D386">
        <f>IF($B386&lt;&gt;"Yes","",IF($C386="No","Yes",IF($C386="Yes","No","")))</f>
        <v/>
      </c>
      <c r="E386">
        <f>IF($A386="","",IF(OR(AND($V386&lt;&gt;"",LOWER(TRIM($V386))&lt;&gt;"n/a",LOWER(TRIM($V386))&lt;&gt;"na",SUMPRODUCT(--(UPPER(TRIM($V$2:$V$518))=UPPER(TRIM($V386))),--(TRIM($V$2:$V$518)&lt;&gt;""),--(LOWER(TRIM($V$2:$V$518))&lt;&gt;"n/a"),--(LOWER(TRIM($V$2:$V$518))&lt;&gt;"na"))&gt;1),AND($W386&lt;&gt;"",LOWER(TRIM($W386))&lt;&gt;"n/a",LOWER(TRIM($W386))&lt;&gt;"na",SUMPRODUCT(--(UPPER(TRIM($W$2:$W$518))=UPPER(TRIM($W386))),--(TRIM($W$2:$W$518)&lt;&gt;""),--(LOWER(TRIM($W$2:$W$518))&lt;&gt;"n/a"),--(LOWER(TRIM($W$2:$W$518))&lt;&gt;"na"))&gt;1),AND($X386&lt;&gt;"",LOWER(TRIM($X386))&lt;&gt;"n/a",LOWER(TRIM($X386))&lt;&gt;"na",SUMPRODUCT(--(UPPER(TRIM($X$2:$X$518))=UPPER(TRIM($X386))),--(TRIM($X$2:$X$518)&lt;&gt;""),--(LOWER(TRIM($X$2:$X$518))&lt;&gt;"n/a"),--(LOWER(TRIM($X$2:$X$518))&lt;&gt;"na"))&gt;1),AND($Y386&lt;&gt;"",LOWER(TRIM($Y386))&lt;&gt;"n/a",LOWER(TRIM($Y386))&lt;&gt;"na",SUMPRODUCT(--(UPPER(SUBSTITUTE(SUBSTITUTE(TRIM($Y$2:$Y$518),":",""),"-",""))=UPPER(SUBSTITUTE(SUBSTITUTE(TRIM($Y386),":",""),"-",""))),--(TRIM($Y$2:$Y$518)&lt;&gt;""),--(LOWER(TRIM($Y$2:$Y$518))&lt;&gt;"n/a"),--(LOWER(TRIM($Y$2:$Y$518))&lt;&gt;"na"))&gt;1),AND($AB386&lt;&gt;"",LOWER(TRIM($AB386))&lt;&gt;"n/a",LOWER(TRIM($AB386))&lt;&gt;"na",SUMPRODUCT(--(UPPER(TRIM($AB$2:$AB$518))=UPPER(TRIM($AB386))),--(TRIM($AB$2:$AB$518)&lt;&gt;""),--(LOWER(TRIM($AB$2:$AB$518))&lt;&gt;"n/a"),--(LOWER(TRIM($AB$2:$AB$518))&lt;&gt;"na"))&gt;1),AND($AH386&lt;&gt;"",LOWER(TRIM($AH386))&lt;&gt;"n/a",LOWER(TRIM($AH386))&lt;&gt;"na",SUMPRODUCT(--(UPPER(SUBSTITUTE(SUBSTITUTE(TRIM($AH$2:$AH$518),":",""),"-",""))=UPPER(SUBSTITUTE(SUBSTITUTE(TRIM($AH386),":",""),"-",""))),--(TRIM($AH$2:$AH$518)&lt;&gt;""),--(LOWER(TRIM($AH$2:$AH$518))&lt;&gt;"n/a"),--(LOWER(TRIM($AH$2:$AH$518))&lt;&gt;"na"))&gt;1),AND($AP386&lt;&gt;"",LOWER(TRIM($AP386))&lt;&gt;"n/a",LOWER(TRIM($AP386))&lt;&gt;"na",SUMPRODUCT(--(UPPER(TRIM($AP$2:$AP$518))=UPPER(TRIM($AP386))),--(TRIM($AP$2:$AP$518)&lt;&gt;""),--(LOWER(TRIM($AP$2:$AP$518))&lt;&gt;"n/a"),--(LOWER(TRIM($AP$2:$AP$518))&lt;&gt;"na"))&gt;1),AND($AQ386&lt;&gt;"",LOWER(TRIM($AQ386))&lt;&gt;"n/a",LOWER(TRIM($AQ386))&lt;&gt;"na",SUMPRODUCT(--(UPPER(TRIM($AQ$2:$AQ$518))=UPPER(TRIM($AQ386))),--(TRIM($AQ$2:$AQ$518)&lt;&gt;""),--(LOWER(TRIM($AQ$2:$AQ$518))&lt;&gt;"n/a"),--(LOWER(TRIM($AQ$2:$AQ$518))&lt;&gt;"na"))&gt;1)),"Yes","No"))</f>
        <v/>
      </c>
      <c r="F386">
        <f>IF(UPPER(TRIM($B386))&lt;&gt;"YES","", IF(OR(AND($V386&lt;&gt;"", LOWER(TRIM($V386))&lt;&gt;"n/a", LOWER(TRIM($V386))&lt;&gt;"na", SUMPRODUCT(--(UPPER(TRIM($V$2:$V$518))=UPPER(TRIM($V386))), --(UPPER(TRIM($B$2:$B$518))="YES"), --(UPPER(TRIM($G$2:$G$518)&amp;TRIM($I$2:$I$518)&amp;TRIM($J$2:$J$518))&lt;&gt;UPPER(TRIM($G386)&amp;TRIM($I386)&amp;TRIM($J386))))&gt;0), AND($W386&lt;&gt;"", LOWER(TRIM($W386))&lt;&gt;"n/a", LOWER(TRIM($W386))&lt;&gt;"na", SUMPRODUCT(--(UPPER(TRIM($W$2:$W$518))=UPPER(TRIM($W386))), --(UPPER(TRIM($B$2:$B$518))="YES"), --(UPPER(TRIM($G$2:$G$518)&amp;TRIM($I$2:$I$518)&amp;TRIM($J$2:$J$518))&lt;&gt;UPPER(TRIM($G386)&amp;TRIM($I386)&amp;TRIM($J386))))&gt;0), AND($X386&lt;&gt;"", LOWER(TRIM($X386))&lt;&gt;"n/a", LOWER(TRIM($X386))&lt;&gt;"na", SUMPRODUCT(--(UPPER(TRIM($X$2:$X$518))=UPPER(TRIM($X386))), --(UPPER(TRIM($B$2:$B$518))="YES"), --(UPPER(TRIM($G$2:$G$518)&amp;TRIM($I$2:$I$518)&amp;TRIM($J$2:$J$518))&lt;&gt;UPPER(TRIM($G386)&amp;TRIM($I386)&amp;TRIM($J386))))&gt;0), AND($Y386&lt;&gt;"", LOWER(TRIM($Y386))&lt;&gt;"n/a", LOWER(TRIM($Y386))&lt;&gt;"na", SUMPRODUCT(--(UPPER(SUBSTITUTE(SUBSTITUTE(TRIM($Y$2:$Y$518),":",""),"-",""))=UPPER(SUBSTITUTE(SUBSTITUTE(TRIM($Y386),":",""),"-",""))), --(UPPER(TRIM($B$2:$B$518))="YES"), --(UPPER(TRIM($G$2:$G$518)&amp;TRIM($I$2:$I$518)&amp;TRIM($J$2:$J$518))&lt;&gt;UPPER(TRIM($G386)&amp;TRIM($I386)&amp;TRIM($J386))))&gt;0), AND($AB386&lt;&gt;"", LOWER(TRIM($AB386))&lt;&gt;"n/a", LOWER(TRIM($AB386))&lt;&gt;"na", SUMPRODUCT(--(UPPER(TRIM($AB$2:$AB$518))=UPPER(TRIM($AB386))), --(UPPER(TRIM($B$2:$B$518))="YES"), --(UPPER(TRIM($G$2:$G$518)&amp;TRIM($I$2:$I$518)&amp;TRIM($J$2:$J$518))&lt;&gt;UPPER(TRIM($G386)&amp;TRIM($I386)&amp;TRIM($J386))))&gt;0), AND($AH386&lt;&gt;"", LOWER(TRIM($AH386))&lt;&gt;"n/a", LOWER(TRIM($AH386))&lt;&gt;"na", SUMPRODUCT(--(UPPER(SUBSTITUTE(SUBSTITUTE(TRIM($AH$2:$AH$518),":",""),"-",""))=UPPER(SUBSTITUTE(SUBSTITUTE(TRIM($AH386),":",""),"-",""))), --(UPPER(TRIM($B$2:$B$518))="YES"), --(UPPER(TRIM($G$2:$G$518)&amp;TRIM($I$2:$I$518)&amp;TRIM($J$2:$J$518))&lt;&gt;UPPER(TRIM($G386)&amp;TRIM($I386)&amp;TRIM($J386))))&gt;0), AND($AP386&lt;&gt;"", LOWER(TRIM($AP386))&lt;&gt;"n/a", LOWER(TRIM($AP386))&lt;&gt;"na", SUMPRODUCT(--(UPPER(TRIM($AP$2:$AP$518))=UPPER(TRIM($AP386))), --(UPPER(TRIM($B$2:$B$518))="YES"), --(UPPER(TRIM($G$2:$G$518)&amp;TRIM($I$2:$I$518)&amp;TRIM($J$2:$J$518))&lt;&gt;UPPER(TRIM($G386)&amp;TRIM($I386)&amp;TRIM($J386))))&gt;0), AND($AQ386&lt;&gt;"", LOWER(TRIM($AQ386))&lt;&gt;"n/a", LOWER(TRIM($AQ386))&lt;&gt;"na", SUMPRODUCT(--(UPPER(TRIM($AQ$2:$AQ$518))=UPPER(TRIM($AQ386))), --(UPPER(TRIM($B$2:$B$518))="YES"), --(UPPER(TRIM($G$2:$G$518)&amp;TRIM($I$2:$I$518)&amp;TRIM($J$2:$J$518))&lt;&gt;UPPER(TRIM($G386)&amp;TRIM($I386)&amp;TRIM($J386))))&gt;0)), "Yes", "No"))</f>
        <v/>
      </c>
      <c r="CD386">
        <f>IF($Y386="","",IF((IF(AND($BR386&lt;&gt;"Yes",$BR386&lt;&gt;"N/A"),"Power Cable, ","")&amp;IF(AND($BS386&lt;&gt;"Yes",$BS386&lt;&gt;"N/A"),"Battery, ","")&amp;IF(AND($AD386&lt;&gt;"Yes",$AD386&lt;&gt;"N/A"),"Firmware Download, ","")&amp;IF(AND(OR($AD386="Yes",$AD386="N/A"),$AE386&lt;&gt;"Yes",$AE386&lt;&gt;"N/A"),"Firmware Install, ","")&amp;IF(AND($CB386&lt;&gt;"Yes",$CB386&lt;&gt;"N/A"),"Device ID, ","")&amp;IF(AND($CC386&lt;&gt;"Yes",$CC386&lt;&gt;"N/A"),"Epic Beans Relay, ",""))="","",LEFT(IF(AND($BR386&lt;&gt;"Yes",$BR386&lt;&gt;"N/A"),"Power Cable, ","")&amp;IF(AND($BS386&lt;&gt;"Yes",$BS386&lt;&gt;"N/A"),"Battery, ","")&amp;IF(AND($AD386&lt;&gt;"Yes",$AD386&lt;&gt;"N/A"),"Firmware Download, ","")&amp;IF(AND(OR($AD386="Yes",$AD386="N/A"),$AE386&lt;&gt;"Yes",$AE386&lt;&gt;"N/A"),"Firmware Install, ","")&amp;IF(AND($CB386&lt;&gt;"Yes",$CB386&lt;&gt;"N/A"),"Device ID, ","")&amp;IF(AND($CC386&lt;&gt;"Yes",$CC386&lt;&gt;"N/A"),"Epic Beans Relay, ",""),LEN(IF(AND($BR386&lt;&gt;"Yes",$BR386&lt;&gt;"N/A"),"Power Cable, ","")&amp;IF(AND($BS386&lt;&gt;"Yes",$BS386&lt;&gt;"N/A"),"Battery, ","")&amp;IF(AND($AD386&lt;&gt;"Yes",$AD386&lt;&gt;"N/A"),"Firmware Download, ","")&amp;IF(AND(OR($AD386="Yes",$AD386="N/A"),$AE386&lt;&gt;"Yes",$AE386&lt;&gt;"N/A"),"Firmware Install, ","")&amp;IF(AND($CB386&lt;&gt;"Yes",$CB386&lt;&gt;"N/A"),"Device ID, ","")&amp;IF(AND($CC386&lt;&gt;"Yes",$CC386&lt;&gt;"N/A"),"Epic Beans Relay, ",""))-2)))</f>
        <v/>
      </c>
      <c r="CE386">
        <f>IF($Y386="","",IF($CD386="","Yes","Blocked"))</f>
        <v/>
      </c>
      <c r="CP386">
        <f>IF($CO386="","",IFERROR(VLOOKUP($CO386,'01_Warehouse_Ledger'!$A:$N,4,FALSE),""))</f>
        <v/>
      </c>
      <c r="CQ386">
        <f>IF($CO386="","",IFERROR(VLOOKUP($CO386,'01_Warehouse_Ledger'!$A:$N,5,FALSE),""))</f>
        <v/>
      </c>
      <c r="CR386">
        <f>IF($CO386="","",IFERROR(VLOOKUP($CO386,'01_Warehouse_Ledger'!$A:$N,13,FALSE),""))</f>
        <v/>
      </c>
      <c r="CW386">
        <f>IF($S386="","",IF(UPPER(TRIM($S386))&lt;&gt;"PASS","",IF(LEN(TRIM($BY386))&gt;0,"NOTES_PRESENT",IF(LEN(TRIM($T386))=0,"SET_NA",IF(OR(LOWER(TRIM($T386))="na",LOWER(TRIM($T386))="n/a"),"OK","MANUAL_OVERRIDE")))))</f>
        <v/>
      </c>
    </row>
    <row r="387">
      <c r="B387" t="inlineStr">
        <is>
          <t>No</t>
        </is>
      </c>
      <c r="C387" t="inlineStr">
        <is>
          <t>No</t>
        </is>
      </c>
      <c r="D387">
        <f>IF($B387&lt;&gt;"Yes","",IF($C387="No","Yes",IF($C387="Yes","No","")))</f>
        <v/>
      </c>
      <c r="E387">
        <f>IF($A387="","",IF(OR(AND($V387&lt;&gt;"",LOWER(TRIM($V387))&lt;&gt;"n/a",LOWER(TRIM($V387))&lt;&gt;"na",SUMPRODUCT(--(UPPER(TRIM($V$2:$V$518))=UPPER(TRIM($V387))),--(TRIM($V$2:$V$518)&lt;&gt;""),--(LOWER(TRIM($V$2:$V$518))&lt;&gt;"n/a"),--(LOWER(TRIM($V$2:$V$518))&lt;&gt;"na"))&gt;1),AND($W387&lt;&gt;"",LOWER(TRIM($W387))&lt;&gt;"n/a",LOWER(TRIM($W387))&lt;&gt;"na",SUMPRODUCT(--(UPPER(TRIM($W$2:$W$518))=UPPER(TRIM($W387))),--(TRIM($W$2:$W$518)&lt;&gt;""),--(LOWER(TRIM($W$2:$W$518))&lt;&gt;"n/a"),--(LOWER(TRIM($W$2:$W$518))&lt;&gt;"na"))&gt;1),AND($X387&lt;&gt;"",LOWER(TRIM($X387))&lt;&gt;"n/a",LOWER(TRIM($X387))&lt;&gt;"na",SUMPRODUCT(--(UPPER(TRIM($X$2:$X$518))=UPPER(TRIM($X387))),--(TRIM($X$2:$X$518)&lt;&gt;""),--(LOWER(TRIM($X$2:$X$518))&lt;&gt;"n/a"),--(LOWER(TRIM($X$2:$X$518))&lt;&gt;"na"))&gt;1),AND($Y387&lt;&gt;"",LOWER(TRIM($Y387))&lt;&gt;"n/a",LOWER(TRIM($Y387))&lt;&gt;"na",SUMPRODUCT(--(UPPER(SUBSTITUTE(SUBSTITUTE(TRIM($Y$2:$Y$518),":",""),"-",""))=UPPER(SUBSTITUTE(SUBSTITUTE(TRIM($Y387),":",""),"-",""))),--(TRIM($Y$2:$Y$518)&lt;&gt;""),--(LOWER(TRIM($Y$2:$Y$518))&lt;&gt;"n/a"),--(LOWER(TRIM($Y$2:$Y$518))&lt;&gt;"na"))&gt;1),AND($AB387&lt;&gt;"",LOWER(TRIM($AB387))&lt;&gt;"n/a",LOWER(TRIM($AB387))&lt;&gt;"na",SUMPRODUCT(--(UPPER(TRIM($AB$2:$AB$518))=UPPER(TRIM($AB387))),--(TRIM($AB$2:$AB$518)&lt;&gt;""),--(LOWER(TRIM($AB$2:$AB$518))&lt;&gt;"n/a"),--(LOWER(TRIM($AB$2:$AB$518))&lt;&gt;"na"))&gt;1),AND($AH387&lt;&gt;"",LOWER(TRIM($AH387))&lt;&gt;"n/a",LOWER(TRIM($AH387))&lt;&gt;"na",SUMPRODUCT(--(UPPER(SUBSTITUTE(SUBSTITUTE(TRIM($AH$2:$AH$518),":",""),"-",""))=UPPER(SUBSTITUTE(SUBSTITUTE(TRIM($AH387),":",""),"-",""))),--(TRIM($AH$2:$AH$518)&lt;&gt;""),--(LOWER(TRIM($AH$2:$AH$518))&lt;&gt;"n/a"),--(LOWER(TRIM($AH$2:$AH$518))&lt;&gt;"na"))&gt;1),AND($AP387&lt;&gt;"",LOWER(TRIM($AP387))&lt;&gt;"n/a",LOWER(TRIM($AP387))&lt;&gt;"na",SUMPRODUCT(--(UPPER(TRIM($AP$2:$AP$518))=UPPER(TRIM($AP387))),--(TRIM($AP$2:$AP$518)&lt;&gt;""),--(LOWER(TRIM($AP$2:$AP$518))&lt;&gt;"n/a"),--(LOWER(TRIM($AP$2:$AP$518))&lt;&gt;"na"))&gt;1),AND($AQ387&lt;&gt;"",LOWER(TRIM($AQ387))&lt;&gt;"n/a",LOWER(TRIM($AQ387))&lt;&gt;"na",SUMPRODUCT(--(UPPER(TRIM($AQ$2:$AQ$518))=UPPER(TRIM($AQ387))),--(TRIM($AQ$2:$AQ$518)&lt;&gt;""),--(LOWER(TRIM($AQ$2:$AQ$518))&lt;&gt;"n/a"),--(LOWER(TRIM($AQ$2:$AQ$518))&lt;&gt;"na"))&gt;1)),"Yes","No"))</f>
        <v/>
      </c>
      <c r="F387">
        <f>IF(UPPER(TRIM($B387))&lt;&gt;"YES","", IF(OR(AND($V387&lt;&gt;"", LOWER(TRIM($V387))&lt;&gt;"n/a", LOWER(TRIM($V387))&lt;&gt;"na", SUMPRODUCT(--(UPPER(TRIM($V$2:$V$518))=UPPER(TRIM($V387))), --(UPPER(TRIM($B$2:$B$518))="YES"), --(UPPER(TRIM($G$2:$G$518)&amp;TRIM($I$2:$I$518)&amp;TRIM($J$2:$J$518))&lt;&gt;UPPER(TRIM($G387)&amp;TRIM($I387)&amp;TRIM($J387))))&gt;0), AND($W387&lt;&gt;"", LOWER(TRIM($W387))&lt;&gt;"n/a", LOWER(TRIM($W387))&lt;&gt;"na", SUMPRODUCT(--(UPPER(TRIM($W$2:$W$518))=UPPER(TRIM($W387))), --(UPPER(TRIM($B$2:$B$518))="YES"), --(UPPER(TRIM($G$2:$G$518)&amp;TRIM($I$2:$I$518)&amp;TRIM($J$2:$J$518))&lt;&gt;UPPER(TRIM($G387)&amp;TRIM($I387)&amp;TRIM($J387))))&gt;0), AND($X387&lt;&gt;"", LOWER(TRIM($X387))&lt;&gt;"n/a", LOWER(TRIM($X387))&lt;&gt;"na", SUMPRODUCT(--(UPPER(TRIM($X$2:$X$518))=UPPER(TRIM($X387))), --(UPPER(TRIM($B$2:$B$518))="YES"), --(UPPER(TRIM($G$2:$G$518)&amp;TRIM($I$2:$I$518)&amp;TRIM($J$2:$J$518))&lt;&gt;UPPER(TRIM($G387)&amp;TRIM($I387)&amp;TRIM($J387))))&gt;0), AND($Y387&lt;&gt;"", LOWER(TRIM($Y387))&lt;&gt;"n/a", LOWER(TRIM($Y387))&lt;&gt;"na", SUMPRODUCT(--(UPPER(SUBSTITUTE(SUBSTITUTE(TRIM($Y$2:$Y$518),":",""),"-",""))=UPPER(SUBSTITUTE(SUBSTITUTE(TRIM($Y387),":",""),"-",""))), --(UPPER(TRIM($B$2:$B$518))="YES"), --(UPPER(TRIM($G$2:$G$518)&amp;TRIM($I$2:$I$518)&amp;TRIM($J$2:$J$518))&lt;&gt;UPPER(TRIM($G387)&amp;TRIM($I387)&amp;TRIM($J387))))&gt;0), AND($AB387&lt;&gt;"", LOWER(TRIM($AB387))&lt;&gt;"n/a", LOWER(TRIM($AB387))&lt;&gt;"na", SUMPRODUCT(--(UPPER(TRIM($AB$2:$AB$518))=UPPER(TRIM($AB387))), --(UPPER(TRIM($B$2:$B$518))="YES"), --(UPPER(TRIM($G$2:$G$518)&amp;TRIM($I$2:$I$518)&amp;TRIM($J$2:$J$518))&lt;&gt;UPPER(TRIM($G387)&amp;TRIM($I387)&amp;TRIM($J387))))&gt;0), AND($AH387&lt;&gt;"", LOWER(TRIM($AH387))&lt;&gt;"n/a", LOWER(TRIM($AH387))&lt;&gt;"na", SUMPRODUCT(--(UPPER(SUBSTITUTE(SUBSTITUTE(TRIM($AH$2:$AH$518),":",""),"-",""))=UPPER(SUBSTITUTE(SUBSTITUTE(TRIM($AH387),":",""),"-",""))), --(UPPER(TRIM($B$2:$B$518))="YES"), --(UPPER(TRIM($G$2:$G$518)&amp;TRIM($I$2:$I$518)&amp;TRIM($J$2:$J$518))&lt;&gt;UPPER(TRIM($G387)&amp;TRIM($I387)&amp;TRIM($J387))))&gt;0), AND($AP387&lt;&gt;"", LOWER(TRIM($AP387))&lt;&gt;"n/a", LOWER(TRIM($AP387))&lt;&gt;"na", SUMPRODUCT(--(UPPER(TRIM($AP$2:$AP$518))=UPPER(TRIM($AP387))), --(UPPER(TRIM($B$2:$B$518))="YES"), --(UPPER(TRIM($G$2:$G$518)&amp;TRIM($I$2:$I$518)&amp;TRIM($J$2:$J$518))&lt;&gt;UPPER(TRIM($G387)&amp;TRIM($I387)&amp;TRIM($J387))))&gt;0), AND($AQ387&lt;&gt;"", LOWER(TRIM($AQ387))&lt;&gt;"n/a", LOWER(TRIM($AQ387))&lt;&gt;"na", SUMPRODUCT(--(UPPER(TRIM($AQ$2:$AQ$518))=UPPER(TRIM($AQ387))), --(UPPER(TRIM($B$2:$B$518))="YES"), --(UPPER(TRIM($G$2:$G$518)&amp;TRIM($I$2:$I$518)&amp;TRIM($J$2:$J$518))&lt;&gt;UPPER(TRIM($G387)&amp;TRIM($I387)&amp;TRIM($J387))))&gt;0)), "Yes", "No"))</f>
        <v/>
      </c>
      <c r="CD387">
        <f>IF($Y387="","",IF((IF(AND($BR387&lt;&gt;"Yes",$BR387&lt;&gt;"N/A"),"Power Cable, ","")&amp;IF(AND($BS387&lt;&gt;"Yes",$BS387&lt;&gt;"N/A"),"Battery, ","")&amp;IF(AND($AD387&lt;&gt;"Yes",$AD387&lt;&gt;"N/A"),"Firmware Download, ","")&amp;IF(AND(OR($AD387="Yes",$AD387="N/A"),$AE387&lt;&gt;"Yes",$AE387&lt;&gt;"N/A"),"Firmware Install, ","")&amp;IF(AND($CB387&lt;&gt;"Yes",$CB387&lt;&gt;"N/A"),"Device ID, ","")&amp;IF(AND($CC387&lt;&gt;"Yes",$CC387&lt;&gt;"N/A"),"Epic Beans Relay, ",""))="","",LEFT(IF(AND($BR387&lt;&gt;"Yes",$BR387&lt;&gt;"N/A"),"Power Cable, ","")&amp;IF(AND($BS387&lt;&gt;"Yes",$BS387&lt;&gt;"N/A"),"Battery, ","")&amp;IF(AND($AD387&lt;&gt;"Yes",$AD387&lt;&gt;"N/A"),"Firmware Download, ","")&amp;IF(AND(OR($AD387="Yes",$AD387="N/A"),$AE387&lt;&gt;"Yes",$AE387&lt;&gt;"N/A"),"Firmware Install, ","")&amp;IF(AND($CB387&lt;&gt;"Yes",$CB387&lt;&gt;"N/A"),"Device ID, ","")&amp;IF(AND($CC387&lt;&gt;"Yes",$CC387&lt;&gt;"N/A"),"Epic Beans Relay, ",""),LEN(IF(AND($BR387&lt;&gt;"Yes",$BR387&lt;&gt;"N/A"),"Power Cable, ","")&amp;IF(AND($BS387&lt;&gt;"Yes",$BS387&lt;&gt;"N/A"),"Battery, ","")&amp;IF(AND($AD387&lt;&gt;"Yes",$AD387&lt;&gt;"N/A"),"Firmware Download, ","")&amp;IF(AND(OR($AD387="Yes",$AD387="N/A"),$AE387&lt;&gt;"Yes",$AE387&lt;&gt;"N/A"),"Firmware Install, ","")&amp;IF(AND($CB387&lt;&gt;"Yes",$CB387&lt;&gt;"N/A"),"Device ID, ","")&amp;IF(AND($CC387&lt;&gt;"Yes",$CC387&lt;&gt;"N/A"),"Epic Beans Relay, ",""))-2)))</f>
        <v/>
      </c>
      <c r="CE387">
        <f>IF($Y387="","",IF($CD387="","Yes","Blocked"))</f>
        <v/>
      </c>
      <c r="CP387">
        <f>IF($CO387="","",IFERROR(VLOOKUP($CO387,'01_Warehouse_Ledger'!$A:$N,4,FALSE),""))</f>
        <v/>
      </c>
      <c r="CQ387">
        <f>IF($CO387="","",IFERROR(VLOOKUP($CO387,'01_Warehouse_Ledger'!$A:$N,5,FALSE),""))</f>
        <v/>
      </c>
      <c r="CR387">
        <f>IF($CO387="","",IFERROR(VLOOKUP($CO387,'01_Warehouse_Ledger'!$A:$N,13,FALSE),""))</f>
        <v/>
      </c>
      <c r="CW387">
        <f>IF($S387="","",IF(UPPER(TRIM($S387))&lt;&gt;"PASS","",IF(LEN(TRIM($BY387))&gt;0,"NOTES_PRESENT",IF(LEN(TRIM($T387))=0,"SET_NA",IF(OR(LOWER(TRIM($T387))="na",LOWER(TRIM($T387))="n/a"),"OK","MANUAL_OVERRIDE")))))</f>
        <v/>
      </c>
    </row>
    <row r="388">
      <c r="B388" t="inlineStr">
        <is>
          <t>No</t>
        </is>
      </c>
      <c r="C388" t="inlineStr">
        <is>
          <t>No</t>
        </is>
      </c>
      <c r="D388">
        <f>IF($B388&lt;&gt;"Yes","",IF($C388="No","Yes",IF($C388="Yes","No","")))</f>
        <v/>
      </c>
      <c r="E388">
        <f>IF($A388="","",IF(OR(AND($V388&lt;&gt;"",LOWER(TRIM($V388))&lt;&gt;"n/a",LOWER(TRIM($V388))&lt;&gt;"na",SUMPRODUCT(--(UPPER(TRIM($V$2:$V$518))=UPPER(TRIM($V388))),--(TRIM($V$2:$V$518)&lt;&gt;""),--(LOWER(TRIM($V$2:$V$518))&lt;&gt;"n/a"),--(LOWER(TRIM($V$2:$V$518))&lt;&gt;"na"))&gt;1),AND($W388&lt;&gt;"",LOWER(TRIM($W388))&lt;&gt;"n/a",LOWER(TRIM($W388))&lt;&gt;"na",SUMPRODUCT(--(UPPER(TRIM($W$2:$W$518))=UPPER(TRIM($W388))),--(TRIM($W$2:$W$518)&lt;&gt;""),--(LOWER(TRIM($W$2:$W$518))&lt;&gt;"n/a"),--(LOWER(TRIM($W$2:$W$518))&lt;&gt;"na"))&gt;1),AND($X388&lt;&gt;"",LOWER(TRIM($X388))&lt;&gt;"n/a",LOWER(TRIM($X388))&lt;&gt;"na",SUMPRODUCT(--(UPPER(TRIM($X$2:$X$518))=UPPER(TRIM($X388))),--(TRIM($X$2:$X$518)&lt;&gt;""),--(LOWER(TRIM($X$2:$X$518))&lt;&gt;"n/a"),--(LOWER(TRIM($X$2:$X$518))&lt;&gt;"na"))&gt;1),AND($Y388&lt;&gt;"",LOWER(TRIM($Y388))&lt;&gt;"n/a",LOWER(TRIM($Y388))&lt;&gt;"na",SUMPRODUCT(--(UPPER(SUBSTITUTE(SUBSTITUTE(TRIM($Y$2:$Y$518),":",""),"-",""))=UPPER(SUBSTITUTE(SUBSTITUTE(TRIM($Y388),":",""),"-",""))),--(TRIM($Y$2:$Y$518)&lt;&gt;""),--(LOWER(TRIM($Y$2:$Y$518))&lt;&gt;"n/a"),--(LOWER(TRIM($Y$2:$Y$518))&lt;&gt;"na"))&gt;1),AND($AB388&lt;&gt;"",LOWER(TRIM($AB388))&lt;&gt;"n/a",LOWER(TRIM($AB388))&lt;&gt;"na",SUMPRODUCT(--(UPPER(TRIM($AB$2:$AB$518))=UPPER(TRIM($AB388))),--(TRIM($AB$2:$AB$518)&lt;&gt;""),--(LOWER(TRIM($AB$2:$AB$518))&lt;&gt;"n/a"),--(LOWER(TRIM($AB$2:$AB$518))&lt;&gt;"na"))&gt;1),AND($AH388&lt;&gt;"",LOWER(TRIM($AH388))&lt;&gt;"n/a",LOWER(TRIM($AH388))&lt;&gt;"na",SUMPRODUCT(--(UPPER(SUBSTITUTE(SUBSTITUTE(TRIM($AH$2:$AH$518),":",""),"-",""))=UPPER(SUBSTITUTE(SUBSTITUTE(TRIM($AH388),":",""),"-",""))),--(TRIM($AH$2:$AH$518)&lt;&gt;""),--(LOWER(TRIM($AH$2:$AH$518))&lt;&gt;"n/a"),--(LOWER(TRIM($AH$2:$AH$518))&lt;&gt;"na"))&gt;1),AND($AP388&lt;&gt;"",LOWER(TRIM($AP388))&lt;&gt;"n/a",LOWER(TRIM($AP388))&lt;&gt;"na",SUMPRODUCT(--(UPPER(TRIM($AP$2:$AP$518))=UPPER(TRIM($AP388))),--(TRIM($AP$2:$AP$518)&lt;&gt;""),--(LOWER(TRIM($AP$2:$AP$518))&lt;&gt;"n/a"),--(LOWER(TRIM($AP$2:$AP$518))&lt;&gt;"na"))&gt;1),AND($AQ388&lt;&gt;"",LOWER(TRIM($AQ388))&lt;&gt;"n/a",LOWER(TRIM($AQ388))&lt;&gt;"na",SUMPRODUCT(--(UPPER(TRIM($AQ$2:$AQ$518))=UPPER(TRIM($AQ388))),--(TRIM($AQ$2:$AQ$518)&lt;&gt;""),--(LOWER(TRIM($AQ$2:$AQ$518))&lt;&gt;"n/a"),--(LOWER(TRIM($AQ$2:$AQ$518))&lt;&gt;"na"))&gt;1)),"Yes","No"))</f>
        <v/>
      </c>
      <c r="F388">
        <f>IF(UPPER(TRIM($B388))&lt;&gt;"YES","", IF(OR(AND($V388&lt;&gt;"", LOWER(TRIM($V388))&lt;&gt;"n/a", LOWER(TRIM($V388))&lt;&gt;"na", SUMPRODUCT(--(UPPER(TRIM($V$2:$V$518))=UPPER(TRIM($V388))), --(UPPER(TRIM($B$2:$B$518))="YES"), --(UPPER(TRIM($G$2:$G$518)&amp;TRIM($I$2:$I$518)&amp;TRIM($J$2:$J$518))&lt;&gt;UPPER(TRIM($G388)&amp;TRIM($I388)&amp;TRIM($J388))))&gt;0), AND($W388&lt;&gt;"", LOWER(TRIM($W388))&lt;&gt;"n/a", LOWER(TRIM($W388))&lt;&gt;"na", SUMPRODUCT(--(UPPER(TRIM($W$2:$W$518))=UPPER(TRIM($W388))), --(UPPER(TRIM($B$2:$B$518))="YES"), --(UPPER(TRIM($G$2:$G$518)&amp;TRIM($I$2:$I$518)&amp;TRIM($J$2:$J$518))&lt;&gt;UPPER(TRIM($G388)&amp;TRIM($I388)&amp;TRIM($J388))))&gt;0), AND($X388&lt;&gt;"", LOWER(TRIM($X388))&lt;&gt;"n/a", LOWER(TRIM($X388))&lt;&gt;"na", SUMPRODUCT(--(UPPER(TRIM($X$2:$X$518))=UPPER(TRIM($X388))), --(UPPER(TRIM($B$2:$B$518))="YES"), --(UPPER(TRIM($G$2:$G$518)&amp;TRIM($I$2:$I$518)&amp;TRIM($J$2:$J$518))&lt;&gt;UPPER(TRIM($G388)&amp;TRIM($I388)&amp;TRIM($J388))))&gt;0), AND($Y388&lt;&gt;"", LOWER(TRIM($Y388))&lt;&gt;"n/a", LOWER(TRIM($Y388))&lt;&gt;"na", SUMPRODUCT(--(UPPER(SUBSTITUTE(SUBSTITUTE(TRIM($Y$2:$Y$518),":",""),"-",""))=UPPER(SUBSTITUTE(SUBSTITUTE(TRIM($Y388),":",""),"-",""))), --(UPPER(TRIM($B$2:$B$518))="YES"), --(UPPER(TRIM($G$2:$G$518)&amp;TRIM($I$2:$I$518)&amp;TRIM($J$2:$J$518))&lt;&gt;UPPER(TRIM($G388)&amp;TRIM($I388)&amp;TRIM($J388))))&gt;0), AND($AB388&lt;&gt;"", LOWER(TRIM($AB388))&lt;&gt;"n/a", LOWER(TRIM($AB388))&lt;&gt;"na", SUMPRODUCT(--(UPPER(TRIM($AB$2:$AB$518))=UPPER(TRIM($AB388))), --(UPPER(TRIM($B$2:$B$518))="YES"), --(UPPER(TRIM($G$2:$G$518)&amp;TRIM($I$2:$I$518)&amp;TRIM($J$2:$J$518))&lt;&gt;UPPER(TRIM($G388)&amp;TRIM($I388)&amp;TRIM($J388))))&gt;0), AND($AH388&lt;&gt;"", LOWER(TRIM($AH388))&lt;&gt;"n/a", LOWER(TRIM($AH388))&lt;&gt;"na", SUMPRODUCT(--(UPPER(SUBSTITUTE(SUBSTITUTE(TRIM($AH$2:$AH$518),":",""),"-",""))=UPPER(SUBSTITUTE(SUBSTITUTE(TRIM($AH388),":",""),"-",""))), --(UPPER(TRIM($B$2:$B$518))="YES"), --(UPPER(TRIM($G$2:$G$518)&amp;TRIM($I$2:$I$518)&amp;TRIM($J$2:$J$518))&lt;&gt;UPPER(TRIM($G388)&amp;TRIM($I388)&amp;TRIM($J388))))&gt;0), AND($AP388&lt;&gt;"", LOWER(TRIM($AP388))&lt;&gt;"n/a", LOWER(TRIM($AP388))&lt;&gt;"na", SUMPRODUCT(--(UPPER(TRIM($AP$2:$AP$518))=UPPER(TRIM($AP388))), --(UPPER(TRIM($B$2:$B$518))="YES"), --(UPPER(TRIM($G$2:$G$518)&amp;TRIM($I$2:$I$518)&amp;TRIM($J$2:$J$518))&lt;&gt;UPPER(TRIM($G388)&amp;TRIM($I388)&amp;TRIM($J388))))&gt;0), AND($AQ388&lt;&gt;"", LOWER(TRIM($AQ388))&lt;&gt;"n/a", LOWER(TRIM($AQ388))&lt;&gt;"na", SUMPRODUCT(--(UPPER(TRIM($AQ$2:$AQ$518))=UPPER(TRIM($AQ388))), --(UPPER(TRIM($B$2:$B$518))="YES"), --(UPPER(TRIM($G$2:$G$518)&amp;TRIM($I$2:$I$518)&amp;TRIM($J$2:$J$518))&lt;&gt;UPPER(TRIM($G388)&amp;TRIM($I388)&amp;TRIM($J388))))&gt;0)), "Yes", "No"))</f>
        <v/>
      </c>
      <c r="CD388">
        <f>IF($Y388="","",IF((IF(AND($BR388&lt;&gt;"Yes",$BR388&lt;&gt;"N/A"),"Power Cable, ","")&amp;IF(AND($BS388&lt;&gt;"Yes",$BS388&lt;&gt;"N/A"),"Battery, ","")&amp;IF(AND($AD388&lt;&gt;"Yes",$AD388&lt;&gt;"N/A"),"Firmware Download, ","")&amp;IF(AND(OR($AD388="Yes",$AD388="N/A"),$AE388&lt;&gt;"Yes",$AE388&lt;&gt;"N/A"),"Firmware Install, ","")&amp;IF(AND($CB388&lt;&gt;"Yes",$CB388&lt;&gt;"N/A"),"Device ID, ","")&amp;IF(AND($CC388&lt;&gt;"Yes",$CC388&lt;&gt;"N/A"),"Epic Beans Relay, ",""))="","",LEFT(IF(AND($BR388&lt;&gt;"Yes",$BR388&lt;&gt;"N/A"),"Power Cable, ","")&amp;IF(AND($BS388&lt;&gt;"Yes",$BS388&lt;&gt;"N/A"),"Battery, ","")&amp;IF(AND($AD388&lt;&gt;"Yes",$AD388&lt;&gt;"N/A"),"Firmware Download, ","")&amp;IF(AND(OR($AD388="Yes",$AD388="N/A"),$AE388&lt;&gt;"Yes",$AE388&lt;&gt;"N/A"),"Firmware Install, ","")&amp;IF(AND($CB388&lt;&gt;"Yes",$CB388&lt;&gt;"N/A"),"Device ID, ","")&amp;IF(AND($CC388&lt;&gt;"Yes",$CC388&lt;&gt;"N/A"),"Epic Beans Relay, ",""),LEN(IF(AND($BR388&lt;&gt;"Yes",$BR388&lt;&gt;"N/A"),"Power Cable, ","")&amp;IF(AND($BS388&lt;&gt;"Yes",$BS388&lt;&gt;"N/A"),"Battery, ","")&amp;IF(AND($AD388&lt;&gt;"Yes",$AD388&lt;&gt;"N/A"),"Firmware Download, ","")&amp;IF(AND(OR($AD388="Yes",$AD388="N/A"),$AE388&lt;&gt;"Yes",$AE388&lt;&gt;"N/A"),"Firmware Install, ","")&amp;IF(AND($CB388&lt;&gt;"Yes",$CB388&lt;&gt;"N/A"),"Device ID, ","")&amp;IF(AND($CC388&lt;&gt;"Yes",$CC388&lt;&gt;"N/A"),"Epic Beans Relay, ",""))-2)))</f>
        <v/>
      </c>
      <c r="CE388">
        <f>IF($Y388="","",IF($CD388="","Yes","Blocked"))</f>
        <v/>
      </c>
      <c r="CP388">
        <f>IF($CO388="","",IFERROR(VLOOKUP($CO388,'01_Warehouse_Ledger'!$A:$N,4,FALSE),""))</f>
        <v/>
      </c>
      <c r="CQ388">
        <f>IF($CO388="","",IFERROR(VLOOKUP($CO388,'01_Warehouse_Ledger'!$A:$N,5,FALSE),""))</f>
        <v/>
      </c>
      <c r="CR388">
        <f>IF($CO388="","",IFERROR(VLOOKUP($CO388,'01_Warehouse_Ledger'!$A:$N,13,FALSE),""))</f>
        <v/>
      </c>
      <c r="CW388">
        <f>IF($S388="","",IF(UPPER(TRIM($S388))&lt;&gt;"PASS","",IF(LEN(TRIM($BY388))&gt;0,"NOTES_PRESENT",IF(LEN(TRIM($T388))=0,"SET_NA",IF(OR(LOWER(TRIM($T388))="na",LOWER(TRIM($T388))="n/a"),"OK","MANUAL_OVERRIDE")))))</f>
        <v/>
      </c>
    </row>
    <row r="389">
      <c r="B389" t="inlineStr">
        <is>
          <t>No</t>
        </is>
      </c>
      <c r="C389" t="inlineStr">
        <is>
          <t>No</t>
        </is>
      </c>
      <c r="D389">
        <f>IF($B389&lt;&gt;"Yes","",IF($C389="No","Yes",IF($C389="Yes","No","")))</f>
        <v/>
      </c>
      <c r="E389">
        <f>IF($A389="","",IF(OR(AND($V389&lt;&gt;"",LOWER(TRIM($V389))&lt;&gt;"n/a",LOWER(TRIM($V389))&lt;&gt;"na",SUMPRODUCT(--(UPPER(TRIM($V$2:$V$518))=UPPER(TRIM($V389))),--(TRIM($V$2:$V$518)&lt;&gt;""),--(LOWER(TRIM($V$2:$V$518))&lt;&gt;"n/a"),--(LOWER(TRIM($V$2:$V$518))&lt;&gt;"na"))&gt;1),AND($W389&lt;&gt;"",LOWER(TRIM($W389))&lt;&gt;"n/a",LOWER(TRIM($W389))&lt;&gt;"na",SUMPRODUCT(--(UPPER(TRIM($W$2:$W$518))=UPPER(TRIM($W389))),--(TRIM($W$2:$W$518)&lt;&gt;""),--(LOWER(TRIM($W$2:$W$518))&lt;&gt;"n/a"),--(LOWER(TRIM($W$2:$W$518))&lt;&gt;"na"))&gt;1),AND($X389&lt;&gt;"",LOWER(TRIM($X389))&lt;&gt;"n/a",LOWER(TRIM($X389))&lt;&gt;"na",SUMPRODUCT(--(UPPER(TRIM($X$2:$X$518))=UPPER(TRIM($X389))),--(TRIM($X$2:$X$518)&lt;&gt;""),--(LOWER(TRIM($X$2:$X$518))&lt;&gt;"n/a"),--(LOWER(TRIM($X$2:$X$518))&lt;&gt;"na"))&gt;1),AND($Y389&lt;&gt;"",LOWER(TRIM($Y389))&lt;&gt;"n/a",LOWER(TRIM($Y389))&lt;&gt;"na",SUMPRODUCT(--(UPPER(SUBSTITUTE(SUBSTITUTE(TRIM($Y$2:$Y$518),":",""),"-",""))=UPPER(SUBSTITUTE(SUBSTITUTE(TRIM($Y389),":",""),"-",""))),--(TRIM($Y$2:$Y$518)&lt;&gt;""),--(LOWER(TRIM($Y$2:$Y$518))&lt;&gt;"n/a"),--(LOWER(TRIM($Y$2:$Y$518))&lt;&gt;"na"))&gt;1),AND($AB389&lt;&gt;"",LOWER(TRIM($AB389))&lt;&gt;"n/a",LOWER(TRIM($AB389))&lt;&gt;"na",SUMPRODUCT(--(UPPER(TRIM($AB$2:$AB$518))=UPPER(TRIM($AB389))),--(TRIM($AB$2:$AB$518)&lt;&gt;""),--(LOWER(TRIM($AB$2:$AB$518))&lt;&gt;"n/a"),--(LOWER(TRIM($AB$2:$AB$518))&lt;&gt;"na"))&gt;1),AND($AH389&lt;&gt;"",LOWER(TRIM($AH389))&lt;&gt;"n/a",LOWER(TRIM($AH389))&lt;&gt;"na",SUMPRODUCT(--(UPPER(SUBSTITUTE(SUBSTITUTE(TRIM($AH$2:$AH$518),":",""),"-",""))=UPPER(SUBSTITUTE(SUBSTITUTE(TRIM($AH389),":",""),"-",""))),--(TRIM($AH$2:$AH$518)&lt;&gt;""),--(LOWER(TRIM($AH$2:$AH$518))&lt;&gt;"n/a"),--(LOWER(TRIM($AH$2:$AH$518))&lt;&gt;"na"))&gt;1),AND($AP389&lt;&gt;"",LOWER(TRIM($AP389))&lt;&gt;"n/a",LOWER(TRIM($AP389))&lt;&gt;"na",SUMPRODUCT(--(UPPER(TRIM($AP$2:$AP$518))=UPPER(TRIM($AP389))),--(TRIM($AP$2:$AP$518)&lt;&gt;""),--(LOWER(TRIM($AP$2:$AP$518))&lt;&gt;"n/a"),--(LOWER(TRIM($AP$2:$AP$518))&lt;&gt;"na"))&gt;1),AND($AQ389&lt;&gt;"",LOWER(TRIM($AQ389))&lt;&gt;"n/a",LOWER(TRIM($AQ389))&lt;&gt;"na",SUMPRODUCT(--(UPPER(TRIM($AQ$2:$AQ$518))=UPPER(TRIM($AQ389))),--(TRIM($AQ$2:$AQ$518)&lt;&gt;""),--(LOWER(TRIM($AQ$2:$AQ$518))&lt;&gt;"n/a"),--(LOWER(TRIM($AQ$2:$AQ$518))&lt;&gt;"na"))&gt;1)),"Yes","No"))</f>
        <v/>
      </c>
      <c r="F389">
        <f>IF(UPPER(TRIM($B389))&lt;&gt;"YES","", IF(OR(AND($V389&lt;&gt;"", LOWER(TRIM($V389))&lt;&gt;"n/a", LOWER(TRIM($V389))&lt;&gt;"na", SUMPRODUCT(--(UPPER(TRIM($V$2:$V$518))=UPPER(TRIM($V389))), --(UPPER(TRIM($B$2:$B$518))="YES"), --(UPPER(TRIM($G$2:$G$518)&amp;TRIM($I$2:$I$518)&amp;TRIM($J$2:$J$518))&lt;&gt;UPPER(TRIM($G389)&amp;TRIM($I389)&amp;TRIM($J389))))&gt;0), AND($W389&lt;&gt;"", LOWER(TRIM($W389))&lt;&gt;"n/a", LOWER(TRIM($W389))&lt;&gt;"na", SUMPRODUCT(--(UPPER(TRIM($W$2:$W$518))=UPPER(TRIM($W389))), --(UPPER(TRIM($B$2:$B$518))="YES"), --(UPPER(TRIM($G$2:$G$518)&amp;TRIM($I$2:$I$518)&amp;TRIM($J$2:$J$518))&lt;&gt;UPPER(TRIM($G389)&amp;TRIM($I389)&amp;TRIM($J389))))&gt;0), AND($X389&lt;&gt;"", LOWER(TRIM($X389))&lt;&gt;"n/a", LOWER(TRIM($X389))&lt;&gt;"na", SUMPRODUCT(--(UPPER(TRIM($X$2:$X$518))=UPPER(TRIM($X389))), --(UPPER(TRIM($B$2:$B$518))="YES"), --(UPPER(TRIM($G$2:$G$518)&amp;TRIM($I$2:$I$518)&amp;TRIM($J$2:$J$518))&lt;&gt;UPPER(TRIM($G389)&amp;TRIM($I389)&amp;TRIM($J389))))&gt;0), AND($Y389&lt;&gt;"", LOWER(TRIM($Y389))&lt;&gt;"n/a", LOWER(TRIM($Y389))&lt;&gt;"na", SUMPRODUCT(--(UPPER(SUBSTITUTE(SUBSTITUTE(TRIM($Y$2:$Y$518),":",""),"-",""))=UPPER(SUBSTITUTE(SUBSTITUTE(TRIM($Y389),":",""),"-",""))), --(UPPER(TRIM($B$2:$B$518))="YES"), --(UPPER(TRIM($G$2:$G$518)&amp;TRIM($I$2:$I$518)&amp;TRIM($J$2:$J$518))&lt;&gt;UPPER(TRIM($G389)&amp;TRIM($I389)&amp;TRIM($J389))))&gt;0), AND($AB389&lt;&gt;"", LOWER(TRIM($AB389))&lt;&gt;"n/a", LOWER(TRIM($AB389))&lt;&gt;"na", SUMPRODUCT(--(UPPER(TRIM($AB$2:$AB$518))=UPPER(TRIM($AB389))), --(UPPER(TRIM($B$2:$B$518))="YES"), --(UPPER(TRIM($G$2:$G$518)&amp;TRIM($I$2:$I$518)&amp;TRIM($J$2:$J$518))&lt;&gt;UPPER(TRIM($G389)&amp;TRIM($I389)&amp;TRIM($J389))))&gt;0), AND($AH389&lt;&gt;"", LOWER(TRIM($AH389))&lt;&gt;"n/a", LOWER(TRIM($AH389))&lt;&gt;"na", SUMPRODUCT(--(UPPER(SUBSTITUTE(SUBSTITUTE(TRIM($AH$2:$AH$518),":",""),"-",""))=UPPER(SUBSTITUTE(SUBSTITUTE(TRIM($AH389),":",""),"-",""))), --(UPPER(TRIM($B$2:$B$518))="YES"), --(UPPER(TRIM($G$2:$G$518)&amp;TRIM($I$2:$I$518)&amp;TRIM($J$2:$J$518))&lt;&gt;UPPER(TRIM($G389)&amp;TRIM($I389)&amp;TRIM($J389))))&gt;0), AND($AP389&lt;&gt;"", LOWER(TRIM($AP389))&lt;&gt;"n/a", LOWER(TRIM($AP389))&lt;&gt;"na", SUMPRODUCT(--(UPPER(TRIM($AP$2:$AP$518))=UPPER(TRIM($AP389))), --(UPPER(TRIM($B$2:$B$518))="YES"), --(UPPER(TRIM($G$2:$G$518)&amp;TRIM($I$2:$I$518)&amp;TRIM($J$2:$J$518))&lt;&gt;UPPER(TRIM($G389)&amp;TRIM($I389)&amp;TRIM($J389))))&gt;0), AND($AQ389&lt;&gt;"", LOWER(TRIM($AQ389))&lt;&gt;"n/a", LOWER(TRIM($AQ389))&lt;&gt;"na", SUMPRODUCT(--(UPPER(TRIM($AQ$2:$AQ$518))=UPPER(TRIM($AQ389))), --(UPPER(TRIM($B$2:$B$518))="YES"), --(UPPER(TRIM($G$2:$G$518)&amp;TRIM($I$2:$I$518)&amp;TRIM($J$2:$J$518))&lt;&gt;UPPER(TRIM($G389)&amp;TRIM($I389)&amp;TRIM($J389))))&gt;0)), "Yes", "No"))</f>
        <v/>
      </c>
      <c r="CD389">
        <f>IF($Y389="","",IF((IF(AND($BR389&lt;&gt;"Yes",$BR389&lt;&gt;"N/A"),"Power Cable, ","")&amp;IF(AND($BS389&lt;&gt;"Yes",$BS389&lt;&gt;"N/A"),"Battery, ","")&amp;IF(AND($AD389&lt;&gt;"Yes",$AD389&lt;&gt;"N/A"),"Firmware Download, ","")&amp;IF(AND(OR($AD389="Yes",$AD389="N/A"),$AE389&lt;&gt;"Yes",$AE389&lt;&gt;"N/A"),"Firmware Install, ","")&amp;IF(AND($CB389&lt;&gt;"Yes",$CB389&lt;&gt;"N/A"),"Device ID, ","")&amp;IF(AND($CC389&lt;&gt;"Yes",$CC389&lt;&gt;"N/A"),"Epic Beans Relay, ",""))="","",LEFT(IF(AND($BR389&lt;&gt;"Yes",$BR389&lt;&gt;"N/A"),"Power Cable, ","")&amp;IF(AND($BS389&lt;&gt;"Yes",$BS389&lt;&gt;"N/A"),"Battery, ","")&amp;IF(AND($AD389&lt;&gt;"Yes",$AD389&lt;&gt;"N/A"),"Firmware Download, ","")&amp;IF(AND(OR($AD389="Yes",$AD389="N/A"),$AE389&lt;&gt;"Yes",$AE389&lt;&gt;"N/A"),"Firmware Install, ","")&amp;IF(AND($CB389&lt;&gt;"Yes",$CB389&lt;&gt;"N/A"),"Device ID, ","")&amp;IF(AND($CC389&lt;&gt;"Yes",$CC389&lt;&gt;"N/A"),"Epic Beans Relay, ",""),LEN(IF(AND($BR389&lt;&gt;"Yes",$BR389&lt;&gt;"N/A"),"Power Cable, ","")&amp;IF(AND($BS389&lt;&gt;"Yes",$BS389&lt;&gt;"N/A"),"Battery, ","")&amp;IF(AND($AD389&lt;&gt;"Yes",$AD389&lt;&gt;"N/A"),"Firmware Download, ","")&amp;IF(AND(OR($AD389="Yes",$AD389="N/A"),$AE389&lt;&gt;"Yes",$AE389&lt;&gt;"N/A"),"Firmware Install, ","")&amp;IF(AND($CB389&lt;&gt;"Yes",$CB389&lt;&gt;"N/A"),"Device ID, ","")&amp;IF(AND($CC389&lt;&gt;"Yes",$CC389&lt;&gt;"N/A"),"Epic Beans Relay, ",""))-2)))</f>
        <v/>
      </c>
      <c r="CE389">
        <f>IF($Y389="","",IF($CD389="","Yes","Blocked"))</f>
        <v/>
      </c>
      <c r="CP389">
        <f>IF($CO389="","",IFERROR(VLOOKUP($CO389,'01_Warehouse_Ledger'!$A:$N,4,FALSE),""))</f>
        <v/>
      </c>
      <c r="CQ389">
        <f>IF($CO389="","",IFERROR(VLOOKUP($CO389,'01_Warehouse_Ledger'!$A:$N,5,FALSE),""))</f>
        <v/>
      </c>
      <c r="CR389">
        <f>IF($CO389="","",IFERROR(VLOOKUP($CO389,'01_Warehouse_Ledger'!$A:$N,13,FALSE),""))</f>
        <v/>
      </c>
      <c r="CW389">
        <f>IF($S389="","",IF(UPPER(TRIM($S389))&lt;&gt;"PASS","",IF(LEN(TRIM($BY389))&gt;0,"NOTES_PRESENT",IF(LEN(TRIM($T389))=0,"SET_NA",IF(OR(LOWER(TRIM($T389))="na",LOWER(TRIM($T389))="n/a"),"OK","MANUAL_OVERRIDE")))))</f>
        <v/>
      </c>
    </row>
    <row r="390">
      <c r="B390" t="inlineStr">
        <is>
          <t>No</t>
        </is>
      </c>
      <c r="C390" t="inlineStr">
        <is>
          <t>No</t>
        </is>
      </c>
      <c r="D390">
        <f>IF($B390&lt;&gt;"Yes","",IF($C390="No","Yes",IF($C390="Yes","No","")))</f>
        <v/>
      </c>
      <c r="E390">
        <f>IF($A390="","",IF(OR(AND($V390&lt;&gt;"",LOWER(TRIM($V390))&lt;&gt;"n/a",LOWER(TRIM($V390))&lt;&gt;"na",SUMPRODUCT(--(UPPER(TRIM($V$2:$V$518))=UPPER(TRIM($V390))),--(TRIM($V$2:$V$518)&lt;&gt;""),--(LOWER(TRIM($V$2:$V$518))&lt;&gt;"n/a"),--(LOWER(TRIM($V$2:$V$518))&lt;&gt;"na"))&gt;1),AND($W390&lt;&gt;"",LOWER(TRIM($W390))&lt;&gt;"n/a",LOWER(TRIM($W390))&lt;&gt;"na",SUMPRODUCT(--(UPPER(TRIM($W$2:$W$518))=UPPER(TRIM($W390))),--(TRIM($W$2:$W$518)&lt;&gt;""),--(LOWER(TRIM($W$2:$W$518))&lt;&gt;"n/a"),--(LOWER(TRIM($W$2:$W$518))&lt;&gt;"na"))&gt;1),AND($X390&lt;&gt;"",LOWER(TRIM($X390))&lt;&gt;"n/a",LOWER(TRIM($X390))&lt;&gt;"na",SUMPRODUCT(--(UPPER(TRIM($X$2:$X$518))=UPPER(TRIM($X390))),--(TRIM($X$2:$X$518)&lt;&gt;""),--(LOWER(TRIM($X$2:$X$518))&lt;&gt;"n/a"),--(LOWER(TRIM($X$2:$X$518))&lt;&gt;"na"))&gt;1),AND($Y390&lt;&gt;"",LOWER(TRIM($Y390))&lt;&gt;"n/a",LOWER(TRIM($Y390))&lt;&gt;"na",SUMPRODUCT(--(UPPER(SUBSTITUTE(SUBSTITUTE(TRIM($Y$2:$Y$518),":",""),"-",""))=UPPER(SUBSTITUTE(SUBSTITUTE(TRIM($Y390),":",""),"-",""))),--(TRIM($Y$2:$Y$518)&lt;&gt;""),--(LOWER(TRIM($Y$2:$Y$518))&lt;&gt;"n/a"),--(LOWER(TRIM($Y$2:$Y$518))&lt;&gt;"na"))&gt;1),AND($AB390&lt;&gt;"",LOWER(TRIM($AB390))&lt;&gt;"n/a",LOWER(TRIM($AB390))&lt;&gt;"na",SUMPRODUCT(--(UPPER(TRIM($AB$2:$AB$518))=UPPER(TRIM($AB390))),--(TRIM($AB$2:$AB$518)&lt;&gt;""),--(LOWER(TRIM($AB$2:$AB$518))&lt;&gt;"n/a"),--(LOWER(TRIM($AB$2:$AB$518))&lt;&gt;"na"))&gt;1),AND($AH390&lt;&gt;"",LOWER(TRIM($AH390))&lt;&gt;"n/a",LOWER(TRIM($AH390))&lt;&gt;"na",SUMPRODUCT(--(UPPER(SUBSTITUTE(SUBSTITUTE(TRIM($AH$2:$AH$518),":",""),"-",""))=UPPER(SUBSTITUTE(SUBSTITUTE(TRIM($AH390),":",""),"-",""))),--(TRIM($AH$2:$AH$518)&lt;&gt;""),--(LOWER(TRIM($AH$2:$AH$518))&lt;&gt;"n/a"),--(LOWER(TRIM($AH$2:$AH$518))&lt;&gt;"na"))&gt;1),AND($AP390&lt;&gt;"",LOWER(TRIM($AP390))&lt;&gt;"n/a",LOWER(TRIM($AP390))&lt;&gt;"na",SUMPRODUCT(--(UPPER(TRIM($AP$2:$AP$518))=UPPER(TRIM($AP390))),--(TRIM($AP$2:$AP$518)&lt;&gt;""),--(LOWER(TRIM($AP$2:$AP$518))&lt;&gt;"n/a"),--(LOWER(TRIM($AP$2:$AP$518))&lt;&gt;"na"))&gt;1),AND($AQ390&lt;&gt;"",LOWER(TRIM($AQ390))&lt;&gt;"n/a",LOWER(TRIM($AQ390))&lt;&gt;"na",SUMPRODUCT(--(UPPER(TRIM($AQ$2:$AQ$518))=UPPER(TRIM($AQ390))),--(TRIM($AQ$2:$AQ$518)&lt;&gt;""),--(LOWER(TRIM($AQ$2:$AQ$518))&lt;&gt;"n/a"),--(LOWER(TRIM($AQ$2:$AQ$518))&lt;&gt;"na"))&gt;1)),"Yes","No"))</f>
        <v/>
      </c>
      <c r="F390">
        <f>IF(UPPER(TRIM($B390))&lt;&gt;"YES","", IF(OR(AND($V390&lt;&gt;"", LOWER(TRIM($V390))&lt;&gt;"n/a", LOWER(TRIM($V390))&lt;&gt;"na", SUMPRODUCT(--(UPPER(TRIM($V$2:$V$518))=UPPER(TRIM($V390))), --(UPPER(TRIM($B$2:$B$518))="YES"), --(UPPER(TRIM($G$2:$G$518)&amp;TRIM($I$2:$I$518)&amp;TRIM($J$2:$J$518))&lt;&gt;UPPER(TRIM($G390)&amp;TRIM($I390)&amp;TRIM($J390))))&gt;0), AND($W390&lt;&gt;"", LOWER(TRIM($W390))&lt;&gt;"n/a", LOWER(TRIM($W390))&lt;&gt;"na", SUMPRODUCT(--(UPPER(TRIM($W$2:$W$518))=UPPER(TRIM($W390))), --(UPPER(TRIM($B$2:$B$518))="YES"), --(UPPER(TRIM($G$2:$G$518)&amp;TRIM($I$2:$I$518)&amp;TRIM($J$2:$J$518))&lt;&gt;UPPER(TRIM($G390)&amp;TRIM($I390)&amp;TRIM($J390))))&gt;0), AND($X390&lt;&gt;"", LOWER(TRIM($X390))&lt;&gt;"n/a", LOWER(TRIM($X390))&lt;&gt;"na", SUMPRODUCT(--(UPPER(TRIM($X$2:$X$518))=UPPER(TRIM($X390))), --(UPPER(TRIM($B$2:$B$518))="YES"), --(UPPER(TRIM($G$2:$G$518)&amp;TRIM($I$2:$I$518)&amp;TRIM($J$2:$J$518))&lt;&gt;UPPER(TRIM($G390)&amp;TRIM($I390)&amp;TRIM($J390))))&gt;0), AND($Y390&lt;&gt;"", LOWER(TRIM($Y390))&lt;&gt;"n/a", LOWER(TRIM($Y390))&lt;&gt;"na", SUMPRODUCT(--(UPPER(SUBSTITUTE(SUBSTITUTE(TRIM($Y$2:$Y$518),":",""),"-",""))=UPPER(SUBSTITUTE(SUBSTITUTE(TRIM($Y390),":",""),"-",""))), --(UPPER(TRIM($B$2:$B$518))="YES"), --(UPPER(TRIM($G$2:$G$518)&amp;TRIM($I$2:$I$518)&amp;TRIM($J$2:$J$518))&lt;&gt;UPPER(TRIM($G390)&amp;TRIM($I390)&amp;TRIM($J390))))&gt;0), AND($AB390&lt;&gt;"", LOWER(TRIM($AB390))&lt;&gt;"n/a", LOWER(TRIM($AB390))&lt;&gt;"na", SUMPRODUCT(--(UPPER(TRIM($AB$2:$AB$518))=UPPER(TRIM($AB390))), --(UPPER(TRIM($B$2:$B$518))="YES"), --(UPPER(TRIM($G$2:$G$518)&amp;TRIM($I$2:$I$518)&amp;TRIM($J$2:$J$518))&lt;&gt;UPPER(TRIM($G390)&amp;TRIM($I390)&amp;TRIM($J390))))&gt;0), AND($AH390&lt;&gt;"", LOWER(TRIM($AH390))&lt;&gt;"n/a", LOWER(TRIM($AH390))&lt;&gt;"na", SUMPRODUCT(--(UPPER(SUBSTITUTE(SUBSTITUTE(TRIM($AH$2:$AH$518),":",""),"-",""))=UPPER(SUBSTITUTE(SUBSTITUTE(TRIM($AH390),":",""),"-",""))), --(UPPER(TRIM($B$2:$B$518))="YES"), --(UPPER(TRIM($G$2:$G$518)&amp;TRIM($I$2:$I$518)&amp;TRIM($J$2:$J$518))&lt;&gt;UPPER(TRIM($G390)&amp;TRIM($I390)&amp;TRIM($J390))))&gt;0), AND($AP390&lt;&gt;"", LOWER(TRIM($AP390))&lt;&gt;"n/a", LOWER(TRIM($AP390))&lt;&gt;"na", SUMPRODUCT(--(UPPER(TRIM($AP$2:$AP$518))=UPPER(TRIM($AP390))), --(UPPER(TRIM($B$2:$B$518))="YES"), --(UPPER(TRIM($G$2:$G$518)&amp;TRIM($I$2:$I$518)&amp;TRIM($J$2:$J$518))&lt;&gt;UPPER(TRIM($G390)&amp;TRIM($I390)&amp;TRIM($J390))))&gt;0), AND($AQ390&lt;&gt;"", LOWER(TRIM($AQ390))&lt;&gt;"n/a", LOWER(TRIM($AQ390))&lt;&gt;"na", SUMPRODUCT(--(UPPER(TRIM($AQ$2:$AQ$518))=UPPER(TRIM($AQ390))), --(UPPER(TRIM($B$2:$B$518))="YES"), --(UPPER(TRIM($G$2:$G$518)&amp;TRIM($I$2:$I$518)&amp;TRIM($J$2:$J$518))&lt;&gt;UPPER(TRIM($G390)&amp;TRIM($I390)&amp;TRIM($J390))))&gt;0)), "Yes", "No"))</f>
        <v/>
      </c>
      <c r="CD390">
        <f>IF($Y390="","",IF((IF(AND($BR390&lt;&gt;"Yes",$BR390&lt;&gt;"N/A"),"Power Cable, ","")&amp;IF(AND($BS390&lt;&gt;"Yes",$BS390&lt;&gt;"N/A"),"Battery, ","")&amp;IF(AND($AD390&lt;&gt;"Yes",$AD390&lt;&gt;"N/A"),"Firmware Download, ","")&amp;IF(AND(OR($AD390="Yes",$AD390="N/A"),$AE390&lt;&gt;"Yes",$AE390&lt;&gt;"N/A"),"Firmware Install, ","")&amp;IF(AND($CB390&lt;&gt;"Yes",$CB390&lt;&gt;"N/A"),"Device ID, ","")&amp;IF(AND($CC390&lt;&gt;"Yes",$CC390&lt;&gt;"N/A"),"Epic Beans Relay, ",""))="","",LEFT(IF(AND($BR390&lt;&gt;"Yes",$BR390&lt;&gt;"N/A"),"Power Cable, ","")&amp;IF(AND($BS390&lt;&gt;"Yes",$BS390&lt;&gt;"N/A"),"Battery, ","")&amp;IF(AND($AD390&lt;&gt;"Yes",$AD390&lt;&gt;"N/A"),"Firmware Download, ","")&amp;IF(AND(OR($AD390="Yes",$AD390="N/A"),$AE390&lt;&gt;"Yes",$AE390&lt;&gt;"N/A"),"Firmware Install, ","")&amp;IF(AND($CB390&lt;&gt;"Yes",$CB390&lt;&gt;"N/A"),"Device ID, ","")&amp;IF(AND($CC390&lt;&gt;"Yes",$CC390&lt;&gt;"N/A"),"Epic Beans Relay, ",""),LEN(IF(AND($BR390&lt;&gt;"Yes",$BR390&lt;&gt;"N/A"),"Power Cable, ","")&amp;IF(AND($BS390&lt;&gt;"Yes",$BS390&lt;&gt;"N/A"),"Battery, ","")&amp;IF(AND($AD390&lt;&gt;"Yes",$AD390&lt;&gt;"N/A"),"Firmware Download, ","")&amp;IF(AND(OR($AD390="Yes",$AD390="N/A"),$AE390&lt;&gt;"Yes",$AE390&lt;&gt;"N/A"),"Firmware Install, ","")&amp;IF(AND($CB390&lt;&gt;"Yes",$CB390&lt;&gt;"N/A"),"Device ID, ","")&amp;IF(AND($CC390&lt;&gt;"Yes",$CC390&lt;&gt;"N/A"),"Epic Beans Relay, ",""))-2)))</f>
        <v/>
      </c>
      <c r="CE390">
        <f>IF($Y390="","",IF($CD390="","Yes","Blocked"))</f>
        <v/>
      </c>
      <c r="CP390">
        <f>IF($CO390="","",IFERROR(VLOOKUP($CO390,'01_Warehouse_Ledger'!$A:$N,4,FALSE),""))</f>
        <v/>
      </c>
      <c r="CQ390">
        <f>IF($CO390="","",IFERROR(VLOOKUP($CO390,'01_Warehouse_Ledger'!$A:$N,5,FALSE),""))</f>
        <v/>
      </c>
      <c r="CR390">
        <f>IF($CO390="","",IFERROR(VLOOKUP($CO390,'01_Warehouse_Ledger'!$A:$N,13,FALSE),""))</f>
        <v/>
      </c>
      <c r="CW390">
        <f>IF($S390="","",IF(UPPER(TRIM($S390))&lt;&gt;"PASS","",IF(LEN(TRIM($BY390))&gt;0,"NOTES_PRESENT",IF(LEN(TRIM($T390))=0,"SET_NA",IF(OR(LOWER(TRIM($T390))="na",LOWER(TRIM($T390))="n/a"),"OK","MANUAL_OVERRIDE")))))</f>
        <v/>
      </c>
    </row>
    <row r="391">
      <c r="B391" t="inlineStr">
        <is>
          <t>No</t>
        </is>
      </c>
      <c r="C391" t="inlineStr">
        <is>
          <t>No</t>
        </is>
      </c>
      <c r="D391">
        <f>IF($B391&lt;&gt;"Yes","",IF($C391="No","Yes",IF($C391="Yes","No","")))</f>
        <v/>
      </c>
      <c r="E391">
        <f>IF($A391="","",IF(OR(AND($V391&lt;&gt;"",LOWER(TRIM($V391))&lt;&gt;"n/a",LOWER(TRIM($V391))&lt;&gt;"na",SUMPRODUCT(--(UPPER(TRIM($V$2:$V$518))=UPPER(TRIM($V391))),--(TRIM($V$2:$V$518)&lt;&gt;""),--(LOWER(TRIM($V$2:$V$518))&lt;&gt;"n/a"),--(LOWER(TRIM($V$2:$V$518))&lt;&gt;"na"))&gt;1),AND($W391&lt;&gt;"",LOWER(TRIM($W391))&lt;&gt;"n/a",LOWER(TRIM($W391))&lt;&gt;"na",SUMPRODUCT(--(UPPER(TRIM($W$2:$W$518))=UPPER(TRIM($W391))),--(TRIM($W$2:$W$518)&lt;&gt;""),--(LOWER(TRIM($W$2:$W$518))&lt;&gt;"n/a"),--(LOWER(TRIM($W$2:$W$518))&lt;&gt;"na"))&gt;1),AND($X391&lt;&gt;"",LOWER(TRIM($X391))&lt;&gt;"n/a",LOWER(TRIM($X391))&lt;&gt;"na",SUMPRODUCT(--(UPPER(TRIM($X$2:$X$518))=UPPER(TRIM($X391))),--(TRIM($X$2:$X$518)&lt;&gt;""),--(LOWER(TRIM($X$2:$X$518))&lt;&gt;"n/a"),--(LOWER(TRIM($X$2:$X$518))&lt;&gt;"na"))&gt;1),AND($Y391&lt;&gt;"",LOWER(TRIM($Y391))&lt;&gt;"n/a",LOWER(TRIM($Y391))&lt;&gt;"na",SUMPRODUCT(--(UPPER(SUBSTITUTE(SUBSTITUTE(TRIM($Y$2:$Y$518),":",""),"-",""))=UPPER(SUBSTITUTE(SUBSTITUTE(TRIM($Y391),":",""),"-",""))),--(TRIM($Y$2:$Y$518)&lt;&gt;""),--(LOWER(TRIM($Y$2:$Y$518))&lt;&gt;"n/a"),--(LOWER(TRIM($Y$2:$Y$518))&lt;&gt;"na"))&gt;1),AND($AB391&lt;&gt;"",LOWER(TRIM($AB391))&lt;&gt;"n/a",LOWER(TRIM($AB391))&lt;&gt;"na",SUMPRODUCT(--(UPPER(TRIM($AB$2:$AB$518))=UPPER(TRIM($AB391))),--(TRIM($AB$2:$AB$518)&lt;&gt;""),--(LOWER(TRIM($AB$2:$AB$518))&lt;&gt;"n/a"),--(LOWER(TRIM($AB$2:$AB$518))&lt;&gt;"na"))&gt;1),AND($AH391&lt;&gt;"",LOWER(TRIM($AH391))&lt;&gt;"n/a",LOWER(TRIM($AH391))&lt;&gt;"na",SUMPRODUCT(--(UPPER(SUBSTITUTE(SUBSTITUTE(TRIM($AH$2:$AH$518),":",""),"-",""))=UPPER(SUBSTITUTE(SUBSTITUTE(TRIM($AH391),":",""),"-",""))),--(TRIM($AH$2:$AH$518)&lt;&gt;""),--(LOWER(TRIM($AH$2:$AH$518))&lt;&gt;"n/a"),--(LOWER(TRIM($AH$2:$AH$518))&lt;&gt;"na"))&gt;1),AND($AP391&lt;&gt;"",LOWER(TRIM($AP391))&lt;&gt;"n/a",LOWER(TRIM($AP391))&lt;&gt;"na",SUMPRODUCT(--(UPPER(TRIM($AP$2:$AP$518))=UPPER(TRIM($AP391))),--(TRIM($AP$2:$AP$518)&lt;&gt;""),--(LOWER(TRIM($AP$2:$AP$518))&lt;&gt;"n/a"),--(LOWER(TRIM($AP$2:$AP$518))&lt;&gt;"na"))&gt;1),AND($AQ391&lt;&gt;"",LOWER(TRIM($AQ391))&lt;&gt;"n/a",LOWER(TRIM($AQ391))&lt;&gt;"na",SUMPRODUCT(--(UPPER(TRIM($AQ$2:$AQ$518))=UPPER(TRIM($AQ391))),--(TRIM($AQ$2:$AQ$518)&lt;&gt;""),--(LOWER(TRIM($AQ$2:$AQ$518))&lt;&gt;"n/a"),--(LOWER(TRIM($AQ$2:$AQ$518))&lt;&gt;"na"))&gt;1)),"Yes","No"))</f>
        <v/>
      </c>
      <c r="F391">
        <f>IF(UPPER(TRIM($B391))&lt;&gt;"YES","", IF(OR(AND($V391&lt;&gt;"", LOWER(TRIM($V391))&lt;&gt;"n/a", LOWER(TRIM($V391))&lt;&gt;"na", SUMPRODUCT(--(UPPER(TRIM($V$2:$V$518))=UPPER(TRIM($V391))), --(UPPER(TRIM($B$2:$B$518))="YES"), --(UPPER(TRIM($G$2:$G$518)&amp;TRIM($I$2:$I$518)&amp;TRIM($J$2:$J$518))&lt;&gt;UPPER(TRIM($G391)&amp;TRIM($I391)&amp;TRIM($J391))))&gt;0), AND($W391&lt;&gt;"", LOWER(TRIM($W391))&lt;&gt;"n/a", LOWER(TRIM($W391))&lt;&gt;"na", SUMPRODUCT(--(UPPER(TRIM($W$2:$W$518))=UPPER(TRIM($W391))), --(UPPER(TRIM($B$2:$B$518))="YES"), --(UPPER(TRIM($G$2:$G$518)&amp;TRIM($I$2:$I$518)&amp;TRIM($J$2:$J$518))&lt;&gt;UPPER(TRIM($G391)&amp;TRIM($I391)&amp;TRIM($J391))))&gt;0), AND($X391&lt;&gt;"", LOWER(TRIM($X391))&lt;&gt;"n/a", LOWER(TRIM($X391))&lt;&gt;"na", SUMPRODUCT(--(UPPER(TRIM($X$2:$X$518))=UPPER(TRIM($X391))), --(UPPER(TRIM($B$2:$B$518))="YES"), --(UPPER(TRIM($G$2:$G$518)&amp;TRIM($I$2:$I$518)&amp;TRIM($J$2:$J$518))&lt;&gt;UPPER(TRIM($G391)&amp;TRIM($I391)&amp;TRIM($J391))))&gt;0), AND($Y391&lt;&gt;"", LOWER(TRIM($Y391))&lt;&gt;"n/a", LOWER(TRIM($Y391))&lt;&gt;"na", SUMPRODUCT(--(UPPER(SUBSTITUTE(SUBSTITUTE(TRIM($Y$2:$Y$518),":",""),"-",""))=UPPER(SUBSTITUTE(SUBSTITUTE(TRIM($Y391),":",""),"-",""))), --(UPPER(TRIM($B$2:$B$518))="YES"), --(UPPER(TRIM($G$2:$G$518)&amp;TRIM($I$2:$I$518)&amp;TRIM($J$2:$J$518))&lt;&gt;UPPER(TRIM($G391)&amp;TRIM($I391)&amp;TRIM($J391))))&gt;0), AND($AB391&lt;&gt;"", LOWER(TRIM($AB391))&lt;&gt;"n/a", LOWER(TRIM($AB391))&lt;&gt;"na", SUMPRODUCT(--(UPPER(TRIM($AB$2:$AB$518))=UPPER(TRIM($AB391))), --(UPPER(TRIM($B$2:$B$518))="YES"), --(UPPER(TRIM($G$2:$G$518)&amp;TRIM($I$2:$I$518)&amp;TRIM($J$2:$J$518))&lt;&gt;UPPER(TRIM($G391)&amp;TRIM($I391)&amp;TRIM($J391))))&gt;0), AND($AH391&lt;&gt;"", LOWER(TRIM($AH391))&lt;&gt;"n/a", LOWER(TRIM($AH391))&lt;&gt;"na", SUMPRODUCT(--(UPPER(SUBSTITUTE(SUBSTITUTE(TRIM($AH$2:$AH$518),":",""),"-",""))=UPPER(SUBSTITUTE(SUBSTITUTE(TRIM($AH391),":",""),"-",""))), --(UPPER(TRIM($B$2:$B$518))="YES"), --(UPPER(TRIM($G$2:$G$518)&amp;TRIM($I$2:$I$518)&amp;TRIM($J$2:$J$518))&lt;&gt;UPPER(TRIM($G391)&amp;TRIM($I391)&amp;TRIM($J391))))&gt;0), AND($AP391&lt;&gt;"", LOWER(TRIM($AP391))&lt;&gt;"n/a", LOWER(TRIM($AP391))&lt;&gt;"na", SUMPRODUCT(--(UPPER(TRIM($AP$2:$AP$518))=UPPER(TRIM($AP391))), --(UPPER(TRIM($B$2:$B$518))="YES"), --(UPPER(TRIM($G$2:$G$518)&amp;TRIM($I$2:$I$518)&amp;TRIM($J$2:$J$518))&lt;&gt;UPPER(TRIM($G391)&amp;TRIM($I391)&amp;TRIM($J391))))&gt;0), AND($AQ391&lt;&gt;"", LOWER(TRIM($AQ391))&lt;&gt;"n/a", LOWER(TRIM($AQ391))&lt;&gt;"na", SUMPRODUCT(--(UPPER(TRIM($AQ$2:$AQ$518))=UPPER(TRIM($AQ391))), --(UPPER(TRIM($B$2:$B$518))="YES"), --(UPPER(TRIM($G$2:$G$518)&amp;TRIM($I$2:$I$518)&amp;TRIM($J$2:$J$518))&lt;&gt;UPPER(TRIM($G391)&amp;TRIM($I391)&amp;TRIM($J391))))&gt;0)), "Yes", "No"))</f>
        <v/>
      </c>
      <c r="CD391">
        <f>IF($Y391="","",IF((IF(AND($BR391&lt;&gt;"Yes",$BR391&lt;&gt;"N/A"),"Power Cable, ","")&amp;IF(AND($BS391&lt;&gt;"Yes",$BS391&lt;&gt;"N/A"),"Battery, ","")&amp;IF(AND($AD391&lt;&gt;"Yes",$AD391&lt;&gt;"N/A"),"Firmware Download, ","")&amp;IF(AND(OR($AD391="Yes",$AD391="N/A"),$AE391&lt;&gt;"Yes",$AE391&lt;&gt;"N/A"),"Firmware Install, ","")&amp;IF(AND($CB391&lt;&gt;"Yes",$CB391&lt;&gt;"N/A"),"Device ID, ","")&amp;IF(AND($CC391&lt;&gt;"Yes",$CC391&lt;&gt;"N/A"),"Epic Beans Relay, ",""))="","",LEFT(IF(AND($BR391&lt;&gt;"Yes",$BR391&lt;&gt;"N/A"),"Power Cable, ","")&amp;IF(AND($BS391&lt;&gt;"Yes",$BS391&lt;&gt;"N/A"),"Battery, ","")&amp;IF(AND($AD391&lt;&gt;"Yes",$AD391&lt;&gt;"N/A"),"Firmware Download, ","")&amp;IF(AND(OR($AD391="Yes",$AD391="N/A"),$AE391&lt;&gt;"Yes",$AE391&lt;&gt;"N/A"),"Firmware Install, ","")&amp;IF(AND($CB391&lt;&gt;"Yes",$CB391&lt;&gt;"N/A"),"Device ID, ","")&amp;IF(AND($CC391&lt;&gt;"Yes",$CC391&lt;&gt;"N/A"),"Epic Beans Relay, ",""),LEN(IF(AND($BR391&lt;&gt;"Yes",$BR391&lt;&gt;"N/A"),"Power Cable, ","")&amp;IF(AND($BS391&lt;&gt;"Yes",$BS391&lt;&gt;"N/A"),"Battery, ","")&amp;IF(AND($AD391&lt;&gt;"Yes",$AD391&lt;&gt;"N/A"),"Firmware Download, ","")&amp;IF(AND(OR($AD391="Yes",$AD391="N/A"),$AE391&lt;&gt;"Yes",$AE391&lt;&gt;"N/A"),"Firmware Install, ","")&amp;IF(AND($CB391&lt;&gt;"Yes",$CB391&lt;&gt;"N/A"),"Device ID, ","")&amp;IF(AND($CC391&lt;&gt;"Yes",$CC391&lt;&gt;"N/A"),"Epic Beans Relay, ",""))-2)))</f>
        <v/>
      </c>
      <c r="CE391">
        <f>IF($Y391="","",IF($CD391="","Yes","Blocked"))</f>
        <v/>
      </c>
      <c r="CP391">
        <f>IF($CO391="","",IFERROR(VLOOKUP($CO391,'01_Warehouse_Ledger'!$A:$N,4,FALSE),""))</f>
        <v/>
      </c>
      <c r="CQ391">
        <f>IF($CO391="","",IFERROR(VLOOKUP($CO391,'01_Warehouse_Ledger'!$A:$N,5,FALSE),""))</f>
        <v/>
      </c>
      <c r="CR391">
        <f>IF($CO391="","",IFERROR(VLOOKUP($CO391,'01_Warehouse_Ledger'!$A:$N,13,FALSE),""))</f>
        <v/>
      </c>
      <c r="CW391">
        <f>IF($S391="","",IF(UPPER(TRIM($S391))&lt;&gt;"PASS","",IF(LEN(TRIM($BY391))&gt;0,"NOTES_PRESENT",IF(LEN(TRIM($T391))=0,"SET_NA",IF(OR(LOWER(TRIM($T391))="na",LOWER(TRIM($T391))="n/a"),"OK","MANUAL_OVERRIDE")))))</f>
        <v/>
      </c>
    </row>
    <row r="392">
      <c r="B392" t="inlineStr">
        <is>
          <t>No</t>
        </is>
      </c>
      <c r="C392" t="inlineStr">
        <is>
          <t>No</t>
        </is>
      </c>
      <c r="D392">
        <f>IF($B392&lt;&gt;"Yes","",IF($C392="No","Yes",IF($C392="Yes","No","")))</f>
        <v/>
      </c>
      <c r="E392">
        <f>IF($A392="","",IF(OR(AND($V392&lt;&gt;"",LOWER(TRIM($V392))&lt;&gt;"n/a",LOWER(TRIM($V392))&lt;&gt;"na",SUMPRODUCT(--(UPPER(TRIM($V$2:$V$518))=UPPER(TRIM($V392))),--(TRIM($V$2:$V$518)&lt;&gt;""),--(LOWER(TRIM($V$2:$V$518))&lt;&gt;"n/a"),--(LOWER(TRIM($V$2:$V$518))&lt;&gt;"na"))&gt;1),AND($W392&lt;&gt;"",LOWER(TRIM($W392))&lt;&gt;"n/a",LOWER(TRIM($W392))&lt;&gt;"na",SUMPRODUCT(--(UPPER(TRIM($W$2:$W$518))=UPPER(TRIM($W392))),--(TRIM($W$2:$W$518)&lt;&gt;""),--(LOWER(TRIM($W$2:$W$518))&lt;&gt;"n/a"),--(LOWER(TRIM($W$2:$W$518))&lt;&gt;"na"))&gt;1),AND($X392&lt;&gt;"",LOWER(TRIM($X392))&lt;&gt;"n/a",LOWER(TRIM($X392))&lt;&gt;"na",SUMPRODUCT(--(UPPER(TRIM($X$2:$X$518))=UPPER(TRIM($X392))),--(TRIM($X$2:$X$518)&lt;&gt;""),--(LOWER(TRIM($X$2:$X$518))&lt;&gt;"n/a"),--(LOWER(TRIM($X$2:$X$518))&lt;&gt;"na"))&gt;1),AND($Y392&lt;&gt;"",LOWER(TRIM($Y392))&lt;&gt;"n/a",LOWER(TRIM($Y392))&lt;&gt;"na",SUMPRODUCT(--(UPPER(SUBSTITUTE(SUBSTITUTE(TRIM($Y$2:$Y$518),":",""),"-",""))=UPPER(SUBSTITUTE(SUBSTITUTE(TRIM($Y392),":",""),"-",""))),--(TRIM($Y$2:$Y$518)&lt;&gt;""),--(LOWER(TRIM($Y$2:$Y$518))&lt;&gt;"n/a"),--(LOWER(TRIM($Y$2:$Y$518))&lt;&gt;"na"))&gt;1),AND($AB392&lt;&gt;"",LOWER(TRIM($AB392))&lt;&gt;"n/a",LOWER(TRIM($AB392))&lt;&gt;"na",SUMPRODUCT(--(UPPER(TRIM($AB$2:$AB$518))=UPPER(TRIM($AB392))),--(TRIM($AB$2:$AB$518)&lt;&gt;""),--(LOWER(TRIM($AB$2:$AB$518))&lt;&gt;"n/a"),--(LOWER(TRIM($AB$2:$AB$518))&lt;&gt;"na"))&gt;1),AND($AH392&lt;&gt;"",LOWER(TRIM($AH392))&lt;&gt;"n/a",LOWER(TRIM($AH392))&lt;&gt;"na",SUMPRODUCT(--(UPPER(SUBSTITUTE(SUBSTITUTE(TRIM($AH$2:$AH$518),":",""),"-",""))=UPPER(SUBSTITUTE(SUBSTITUTE(TRIM($AH392),":",""),"-",""))),--(TRIM($AH$2:$AH$518)&lt;&gt;""),--(LOWER(TRIM($AH$2:$AH$518))&lt;&gt;"n/a"),--(LOWER(TRIM($AH$2:$AH$518))&lt;&gt;"na"))&gt;1),AND($AP392&lt;&gt;"",LOWER(TRIM($AP392))&lt;&gt;"n/a",LOWER(TRIM($AP392))&lt;&gt;"na",SUMPRODUCT(--(UPPER(TRIM($AP$2:$AP$518))=UPPER(TRIM($AP392))),--(TRIM($AP$2:$AP$518)&lt;&gt;""),--(LOWER(TRIM($AP$2:$AP$518))&lt;&gt;"n/a"),--(LOWER(TRIM($AP$2:$AP$518))&lt;&gt;"na"))&gt;1),AND($AQ392&lt;&gt;"",LOWER(TRIM($AQ392))&lt;&gt;"n/a",LOWER(TRIM($AQ392))&lt;&gt;"na",SUMPRODUCT(--(UPPER(TRIM($AQ$2:$AQ$518))=UPPER(TRIM($AQ392))),--(TRIM($AQ$2:$AQ$518)&lt;&gt;""),--(LOWER(TRIM($AQ$2:$AQ$518))&lt;&gt;"n/a"),--(LOWER(TRIM($AQ$2:$AQ$518))&lt;&gt;"na"))&gt;1)),"Yes","No"))</f>
        <v/>
      </c>
      <c r="F392">
        <f>IF(UPPER(TRIM($B392))&lt;&gt;"YES","", IF(OR(AND($V392&lt;&gt;"", LOWER(TRIM($V392))&lt;&gt;"n/a", LOWER(TRIM($V392))&lt;&gt;"na", SUMPRODUCT(--(UPPER(TRIM($V$2:$V$518))=UPPER(TRIM($V392))), --(UPPER(TRIM($B$2:$B$518))="YES"), --(UPPER(TRIM($G$2:$G$518)&amp;TRIM($I$2:$I$518)&amp;TRIM($J$2:$J$518))&lt;&gt;UPPER(TRIM($G392)&amp;TRIM($I392)&amp;TRIM($J392))))&gt;0), AND($W392&lt;&gt;"", LOWER(TRIM($W392))&lt;&gt;"n/a", LOWER(TRIM($W392))&lt;&gt;"na", SUMPRODUCT(--(UPPER(TRIM($W$2:$W$518))=UPPER(TRIM($W392))), --(UPPER(TRIM($B$2:$B$518))="YES"), --(UPPER(TRIM($G$2:$G$518)&amp;TRIM($I$2:$I$518)&amp;TRIM($J$2:$J$518))&lt;&gt;UPPER(TRIM($G392)&amp;TRIM($I392)&amp;TRIM($J392))))&gt;0), AND($X392&lt;&gt;"", LOWER(TRIM($X392))&lt;&gt;"n/a", LOWER(TRIM($X392))&lt;&gt;"na", SUMPRODUCT(--(UPPER(TRIM($X$2:$X$518))=UPPER(TRIM($X392))), --(UPPER(TRIM($B$2:$B$518))="YES"), --(UPPER(TRIM($G$2:$G$518)&amp;TRIM($I$2:$I$518)&amp;TRIM($J$2:$J$518))&lt;&gt;UPPER(TRIM($G392)&amp;TRIM($I392)&amp;TRIM($J392))))&gt;0), AND($Y392&lt;&gt;"", LOWER(TRIM($Y392))&lt;&gt;"n/a", LOWER(TRIM($Y392))&lt;&gt;"na", SUMPRODUCT(--(UPPER(SUBSTITUTE(SUBSTITUTE(TRIM($Y$2:$Y$518),":",""),"-",""))=UPPER(SUBSTITUTE(SUBSTITUTE(TRIM($Y392),":",""),"-",""))), --(UPPER(TRIM($B$2:$B$518))="YES"), --(UPPER(TRIM($G$2:$G$518)&amp;TRIM($I$2:$I$518)&amp;TRIM($J$2:$J$518))&lt;&gt;UPPER(TRIM($G392)&amp;TRIM($I392)&amp;TRIM($J392))))&gt;0), AND($AB392&lt;&gt;"", LOWER(TRIM($AB392))&lt;&gt;"n/a", LOWER(TRIM($AB392))&lt;&gt;"na", SUMPRODUCT(--(UPPER(TRIM($AB$2:$AB$518))=UPPER(TRIM($AB392))), --(UPPER(TRIM($B$2:$B$518))="YES"), --(UPPER(TRIM($G$2:$G$518)&amp;TRIM($I$2:$I$518)&amp;TRIM($J$2:$J$518))&lt;&gt;UPPER(TRIM($G392)&amp;TRIM($I392)&amp;TRIM($J392))))&gt;0), AND($AH392&lt;&gt;"", LOWER(TRIM($AH392))&lt;&gt;"n/a", LOWER(TRIM($AH392))&lt;&gt;"na", SUMPRODUCT(--(UPPER(SUBSTITUTE(SUBSTITUTE(TRIM($AH$2:$AH$518),":",""),"-",""))=UPPER(SUBSTITUTE(SUBSTITUTE(TRIM($AH392),":",""),"-",""))), --(UPPER(TRIM($B$2:$B$518))="YES"), --(UPPER(TRIM($G$2:$G$518)&amp;TRIM($I$2:$I$518)&amp;TRIM($J$2:$J$518))&lt;&gt;UPPER(TRIM($G392)&amp;TRIM($I392)&amp;TRIM($J392))))&gt;0), AND($AP392&lt;&gt;"", LOWER(TRIM($AP392))&lt;&gt;"n/a", LOWER(TRIM($AP392))&lt;&gt;"na", SUMPRODUCT(--(UPPER(TRIM($AP$2:$AP$518))=UPPER(TRIM($AP392))), --(UPPER(TRIM($B$2:$B$518))="YES"), --(UPPER(TRIM($G$2:$G$518)&amp;TRIM($I$2:$I$518)&amp;TRIM($J$2:$J$518))&lt;&gt;UPPER(TRIM($G392)&amp;TRIM($I392)&amp;TRIM($J392))))&gt;0), AND($AQ392&lt;&gt;"", LOWER(TRIM($AQ392))&lt;&gt;"n/a", LOWER(TRIM($AQ392))&lt;&gt;"na", SUMPRODUCT(--(UPPER(TRIM($AQ$2:$AQ$518))=UPPER(TRIM($AQ392))), --(UPPER(TRIM($B$2:$B$518))="YES"), --(UPPER(TRIM($G$2:$G$518)&amp;TRIM($I$2:$I$518)&amp;TRIM($J$2:$J$518))&lt;&gt;UPPER(TRIM($G392)&amp;TRIM($I392)&amp;TRIM($J392))))&gt;0)), "Yes", "No"))</f>
        <v/>
      </c>
      <c r="CD392">
        <f>IF($Y392="","",IF((IF(AND($BR392&lt;&gt;"Yes",$BR392&lt;&gt;"N/A"),"Power Cable, ","")&amp;IF(AND($BS392&lt;&gt;"Yes",$BS392&lt;&gt;"N/A"),"Battery, ","")&amp;IF(AND($AD392&lt;&gt;"Yes",$AD392&lt;&gt;"N/A"),"Firmware Download, ","")&amp;IF(AND(OR($AD392="Yes",$AD392="N/A"),$AE392&lt;&gt;"Yes",$AE392&lt;&gt;"N/A"),"Firmware Install, ","")&amp;IF(AND($CB392&lt;&gt;"Yes",$CB392&lt;&gt;"N/A"),"Device ID, ","")&amp;IF(AND($CC392&lt;&gt;"Yes",$CC392&lt;&gt;"N/A"),"Epic Beans Relay, ",""))="","",LEFT(IF(AND($BR392&lt;&gt;"Yes",$BR392&lt;&gt;"N/A"),"Power Cable, ","")&amp;IF(AND($BS392&lt;&gt;"Yes",$BS392&lt;&gt;"N/A"),"Battery, ","")&amp;IF(AND($AD392&lt;&gt;"Yes",$AD392&lt;&gt;"N/A"),"Firmware Download, ","")&amp;IF(AND(OR($AD392="Yes",$AD392="N/A"),$AE392&lt;&gt;"Yes",$AE392&lt;&gt;"N/A"),"Firmware Install, ","")&amp;IF(AND($CB392&lt;&gt;"Yes",$CB392&lt;&gt;"N/A"),"Device ID, ","")&amp;IF(AND($CC392&lt;&gt;"Yes",$CC392&lt;&gt;"N/A"),"Epic Beans Relay, ",""),LEN(IF(AND($BR392&lt;&gt;"Yes",$BR392&lt;&gt;"N/A"),"Power Cable, ","")&amp;IF(AND($BS392&lt;&gt;"Yes",$BS392&lt;&gt;"N/A"),"Battery, ","")&amp;IF(AND($AD392&lt;&gt;"Yes",$AD392&lt;&gt;"N/A"),"Firmware Download, ","")&amp;IF(AND(OR($AD392="Yes",$AD392="N/A"),$AE392&lt;&gt;"Yes",$AE392&lt;&gt;"N/A"),"Firmware Install, ","")&amp;IF(AND($CB392&lt;&gt;"Yes",$CB392&lt;&gt;"N/A"),"Device ID, ","")&amp;IF(AND($CC392&lt;&gt;"Yes",$CC392&lt;&gt;"N/A"),"Epic Beans Relay, ",""))-2)))</f>
        <v/>
      </c>
      <c r="CE392">
        <f>IF($Y392="","",IF($CD392="","Yes","Blocked"))</f>
        <v/>
      </c>
      <c r="CP392">
        <f>IF($CO392="","",IFERROR(VLOOKUP($CO392,'01_Warehouse_Ledger'!$A:$N,4,FALSE),""))</f>
        <v/>
      </c>
      <c r="CQ392">
        <f>IF($CO392="","",IFERROR(VLOOKUP($CO392,'01_Warehouse_Ledger'!$A:$N,5,FALSE),""))</f>
        <v/>
      </c>
      <c r="CR392">
        <f>IF($CO392="","",IFERROR(VLOOKUP($CO392,'01_Warehouse_Ledger'!$A:$N,13,FALSE),""))</f>
        <v/>
      </c>
      <c r="CW392">
        <f>IF($S392="","",IF(UPPER(TRIM($S392))&lt;&gt;"PASS","",IF(LEN(TRIM($BY392))&gt;0,"NOTES_PRESENT",IF(LEN(TRIM($T392))=0,"SET_NA",IF(OR(LOWER(TRIM($T392))="na",LOWER(TRIM($T392))="n/a"),"OK","MANUAL_OVERRIDE")))))</f>
        <v/>
      </c>
    </row>
    <row r="393">
      <c r="B393" t="inlineStr">
        <is>
          <t>No</t>
        </is>
      </c>
      <c r="C393" t="inlineStr">
        <is>
          <t>No</t>
        </is>
      </c>
      <c r="D393">
        <f>IF($B393&lt;&gt;"Yes","",IF($C393="No","Yes",IF($C393="Yes","No","")))</f>
        <v/>
      </c>
      <c r="E393">
        <f>IF($A393="","",IF(OR(AND($V393&lt;&gt;"",LOWER(TRIM($V393))&lt;&gt;"n/a",LOWER(TRIM($V393))&lt;&gt;"na",SUMPRODUCT(--(UPPER(TRIM($V$2:$V$518))=UPPER(TRIM($V393))),--(TRIM($V$2:$V$518)&lt;&gt;""),--(LOWER(TRIM($V$2:$V$518))&lt;&gt;"n/a"),--(LOWER(TRIM($V$2:$V$518))&lt;&gt;"na"))&gt;1),AND($W393&lt;&gt;"",LOWER(TRIM($W393))&lt;&gt;"n/a",LOWER(TRIM($W393))&lt;&gt;"na",SUMPRODUCT(--(UPPER(TRIM($W$2:$W$518))=UPPER(TRIM($W393))),--(TRIM($W$2:$W$518)&lt;&gt;""),--(LOWER(TRIM($W$2:$W$518))&lt;&gt;"n/a"),--(LOWER(TRIM($W$2:$W$518))&lt;&gt;"na"))&gt;1),AND($X393&lt;&gt;"",LOWER(TRIM($X393))&lt;&gt;"n/a",LOWER(TRIM($X393))&lt;&gt;"na",SUMPRODUCT(--(UPPER(TRIM($X$2:$X$518))=UPPER(TRIM($X393))),--(TRIM($X$2:$X$518)&lt;&gt;""),--(LOWER(TRIM($X$2:$X$518))&lt;&gt;"n/a"),--(LOWER(TRIM($X$2:$X$518))&lt;&gt;"na"))&gt;1),AND($Y393&lt;&gt;"",LOWER(TRIM($Y393))&lt;&gt;"n/a",LOWER(TRIM($Y393))&lt;&gt;"na",SUMPRODUCT(--(UPPER(SUBSTITUTE(SUBSTITUTE(TRIM($Y$2:$Y$518),":",""),"-",""))=UPPER(SUBSTITUTE(SUBSTITUTE(TRIM($Y393),":",""),"-",""))),--(TRIM($Y$2:$Y$518)&lt;&gt;""),--(LOWER(TRIM($Y$2:$Y$518))&lt;&gt;"n/a"),--(LOWER(TRIM($Y$2:$Y$518))&lt;&gt;"na"))&gt;1),AND($AB393&lt;&gt;"",LOWER(TRIM($AB393))&lt;&gt;"n/a",LOWER(TRIM($AB393))&lt;&gt;"na",SUMPRODUCT(--(UPPER(TRIM($AB$2:$AB$518))=UPPER(TRIM($AB393))),--(TRIM($AB$2:$AB$518)&lt;&gt;""),--(LOWER(TRIM($AB$2:$AB$518))&lt;&gt;"n/a"),--(LOWER(TRIM($AB$2:$AB$518))&lt;&gt;"na"))&gt;1),AND($AH393&lt;&gt;"",LOWER(TRIM($AH393))&lt;&gt;"n/a",LOWER(TRIM($AH393))&lt;&gt;"na",SUMPRODUCT(--(UPPER(SUBSTITUTE(SUBSTITUTE(TRIM($AH$2:$AH$518),":",""),"-",""))=UPPER(SUBSTITUTE(SUBSTITUTE(TRIM($AH393),":",""),"-",""))),--(TRIM($AH$2:$AH$518)&lt;&gt;""),--(LOWER(TRIM($AH$2:$AH$518))&lt;&gt;"n/a"),--(LOWER(TRIM($AH$2:$AH$518))&lt;&gt;"na"))&gt;1),AND($AP393&lt;&gt;"",LOWER(TRIM($AP393))&lt;&gt;"n/a",LOWER(TRIM($AP393))&lt;&gt;"na",SUMPRODUCT(--(UPPER(TRIM($AP$2:$AP$518))=UPPER(TRIM($AP393))),--(TRIM($AP$2:$AP$518)&lt;&gt;""),--(LOWER(TRIM($AP$2:$AP$518))&lt;&gt;"n/a"),--(LOWER(TRIM($AP$2:$AP$518))&lt;&gt;"na"))&gt;1),AND($AQ393&lt;&gt;"",LOWER(TRIM($AQ393))&lt;&gt;"n/a",LOWER(TRIM($AQ393))&lt;&gt;"na",SUMPRODUCT(--(UPPER(TRIM($AQ$2:$AQ$518))=UPPER(TRIM($AQ393))),--(TRIM($AQ$2:$AQ$518)&lt;&gt;""),--(LOWER(TRIM($AQ$2:$AQ$518))&lt;&gt;"n/a"),--(LOWER(TRIM($AQ$2:$AQ$518))&lt;&gt;"na"))&gt;1)),"Yes","No"))</f>
        <v/>
      </c>
      <c r="F393">
        <f>IF(UPPER(TRIM($B393))&lt;&gt;"YES","", IF(OR(AND($V393&lt;&gt;"", LOWER(TRIM($V393))&lt;&gt;"n/a", LOWER(TRIM($V393))&lt;&gt;"na", SUMPRODUCT(--(UPPER(TRIM($V$2:$V$518))=UPPER(TRIM($V393))), --(UPPER(TRIM($B$2:$B$518))="YES"), --(UPPER(TRIM($G$2:$G$518)&amp;TRIM($I$2:$I$518)&amp;TRIM($J$2:$J$518))&lt;&gt;UPPER(TRIM($G393)&amp;TRIM($I393)&amp;TRIM($J393))))&gt;0), AND($W393&lt;&gt;"", LOWER(TRIM($W393))&lt;&gt;"n/a", LOWER(TRIM($W393))&lt;&gt;"na", SUMPRODUCT(--(UPPER(TRIM($W$2:$W$518))=UPPER(TRIM($W393))), --(UPPER(TRIM($B$2:$B$518))="YES"), --(UPPER(TRIM($G$2:$G$518)&amp;TRIM($I$2:$I$518)&amp;TRIM($J$2:$J$518))&lt;&gt;UPPER(TRIM($G393)&amp;TRIM($I393)&amp;TRIM($J393))))&gt;0), AND($X393&lt;&gt;"", LOWER(TRIM($X393))&lt;&gt;"n/a", LOWER(TRIM($X393))&lt;&gt;"na", SUMPRODUCT(--(UPPER(TRIM($X$2:$X$518))=UPPER(TRIM($X393))), --(UPPER(TRIM($B$2:$B$518))="YES"), --(UPPER(TRIM($G$2:$G$518)&amp;TRIM($I$2:$I$518)&amp;TRIM($J$2:$J$518))&lt;&gt;UPPER(TRIM($G393)&amp;TRIM($I393)&amp;TRIM($J393))))&gt;0), AND($Y393&lt;&gt;"", LOWER(TRIM($Y393))&lt;&gt;"n/a", LOWER(TRIM($Y393))&lt;&gt;"na", SUMPRODUCT(--(UPPER(SUBSTITUTE(SUBSTITUTE(TRIM($Y$2:$Y$518),":",""),"-",""))=UPPER(SUBSTITUTE(SUBSTITUTE(TRIM($Y393),":",""),"-",""))), --(UPPER(TRIM($B$2:$B$518))="YES"), --(UPPER(TRIM($G$2:$G$518)&amp;TRIM($I$2:$I$518)&amp;TRIM($J$2:$J$518))&lt;&gt;UPPER(TRIM($G393)&amp;TRIM($I393)&amp;TRIM($J393))))&gt;0), AND($AB393&lt;&gt;"", LOWER(TRIM($AB393))&lt;&gt;"n/a", LOWER(TRIM($AB393))&lt;&gt;"na", SUMPRODUCT(--(UPPER(TRIM($AB$2:$AB$518))=UPPER(TRIM($AB393))), --(UPPER(TRIM($B$2:$B$518))="YES"), --(UPPER(TRIM($G$2:$G$518)&amp;TRIM($I$2:$I$518)&amp;TRIM($J$2:$J$518))&lt;&gt;UPPER(TRIM($G393)&amp;TRIM($I393)&amp;TRIM($J393))))&gt;0), AND($AH393&lt;&gt;"", LOWER(TRIM($AH393))&lt;&gt;"n/a", LOWER(TRIM($AH393))&lt;&gt;"na", SUMPRODUCT(--(UPPER(SUBSTITUTE(SUBSTITUTE(TRIM($AH$2:$AH$518),":",""),"-",""))=UPPER(SUBSTITUTE(SUBSTITUTE(TRIM($AH393),":",""),"-",""))), --(UPPER(TRIM($B$2:$B$518))="YES"), --(UPPER(TRIM($G$2:$G$518)&amp;TRIM($I$2:$I$518)&amp;TRIM($J$2:$J$518))&lt;&gt;UPPER(TRIM($G393)&amp;TRIM($I393)&amp;TRIM($J393))))&gt;0), AND($AP393&lt;&gt;"", LOWER(TRIM($AP393))&lt;&gt;"n/a", LOWER(TRIM($AP393))&lt;&gt;"na", SUMPRODUCT(--(UPPER(TRIM($AP$2:$AP$518))=UPPER(TRIM($AP393))), --(UPPER(TRIM($B$2:$B$518))="YES"), --(UPPER(TRIM($G$2:$G$518)&amp;TRIM($I$2:$I$518)&amp;TRIM($J$2:$J$518))&lt;&gt;UPPER(TRIM($G393)&amp;TRIM($I393)&amp;TRIM($J393))))&gt;0), AND($AQ393&lt;&gt;"", LOWER(TRIM($AQ393))&lt;&gt;"n/a", LOWER(TRIM($AQ393))&lt;&gt;"na", SUMPRODUCT(--(UPPER(TRIM($AQ$2:$AQ$518))=UPPER(TRIM($AQ393))), --(UPPER(TRIM($B$2:$B$518))="YES"), --(UPPER(TRIM($G$2:$G$518)&amp;TRIM($I$2:$I$518)&amp;TRIM($J$2:$J$518))&lt;&gt;UPPER(TRIM($G393)&amp;TRIM($I393)&amp;TRIM($J393))))&gt;0)), "Yes", "No"))</f>
        <v/>
      </c>
      <c r="CD393">
        <f>IF($Y393="","",IF((IF(AND($BR393&lt;&gt;"Yes",$BR393&lt;&gt;"N/A"),"Power Cable, ","")&amp;IF(AND($BS393&lt;&gt;"Yes",$BS393&lt;&gt;"N/A"),"Battery, ","")&amp;IF(AND($AD393&lt;&gt;"Yes",$AD393&lt;&gt;"N/A"),"Firmware Download, ","")&amp;IF(AND(OR($AD393="Yes",$AD393="N/A"),$AE393&lt;&gt;"Yes",$AE393&lt;&gt;"N/A"),"Firmware Install, ","")&amp;IF(AND($CB393&lt;&gt;"Yes",$CB393&lt;&gt;"N/A"),"Device ID, ","")&amp;IF(AND($CC393&lt;&gt;"Yes",$CC393&lt;&gt;"N/A"),"Epic Beans Relay, ",""))="","",LEFT(IF(AND($BR393&lt;&gt;"Yes",$BR393&lt;&gt;"N/A"),"Power Cable, ","")&amp;IF(AND($BS393&lt;&gt;"Yes",$BS393&lt;&gt;"N/A"),"Battery, ","")&amp;IF(AND($AD393&lt;&gt;"Yes",$AD393&lt;&gt;"N/A"),"Firmware Download, ","")&amp;IF(AND(OR($AD393="Yes",$AD393="N/A"),$AE393&lt;&gt;"Yes",$AE393&lt;&gt;"N/A"),"Firmware Install, ","")&amp;IF(AND($CB393&lt;&gt;"Yes",$CB393&lt;&gt;"N/A"),"Device ID, ","")&amp;IF(AND($CC393&lt;&gt;"Yes",$CC393&lt;&gt;"N/A"),"Epic Beans Relay, ",""),LEN(IF(AND($BR393&lt;&gt;"Yes",$BR393&lt;&gt;"N/A"),"Power Cable, ","")&amp;IF(AND($BS393&lt;&gt;"Yes",$BS393&lt;&gt;"N/A"),"Battery, ","")&amp;IF(AND($AD393&lt;&gt;"Yes",$AD393&lt;&gt;"N/A"),"Firmware Download, ","")&amp;IF(AND(OR($AD393="Yes",$AD393="N/A"),$AE393&lt;&gt;"Yes",$AE393&lt;&gt;"N/A"),"Firmware Install, ","")&amp;IF(AND($CB393&lt;&gt;"Yes",$CB393&lt;&gt;"N/A"),"Device ID, ","")&amp;IF(AND($CC393&lt;&gt;"Yes",$CC393&lt;&gt;"N/A"),"Epic Beans Relay, ",""))-2)))</f>
        <v/>
      </c>
      <c r="CE393">
        <f>IF($Y393="","",IF($CD393="","Yes","Blocked"))</f>
        <v/>
      </c>
      <c r="CP393">
        <f>IF($CO393="","",IFERROR(VLOOKUP($CO393,'01_Warehouse_Ledger'!$A:$N,4,FALSE),""))</f>
        <v/>
      </c>
      <c r="CQ393">
        <f>IF($CO393="","",IFERROR(VLOOKUP($CO393,'01_Warehouse_Ledger'!$A:$N,5,FALSE),""))</f>
        <v/>
      </c>
      <c r="CR393">
        <f>IF($CO393="","",IFERROR(VLOOKUP($CO393,'01_Warehouse_Ledger'!$A:$N,13,FALSE),""))</f>
        <v/>
      </c>
      <c r="CW393">
        <f>IF($S393="","",IF(UPPER(TRIM($S393))&lt;&gt;"PASS","",IF(LEN(TRIM($BY393))&gt;0,"NOTES_PRESENT",IF(LEN(TRIM($T393))=0,"SET_NA",IF(OR(LOWER(TRIM($T393))="na",LOWER(TRIM($T393))="n/a"),"OK","MANUAL_OVERRIDE")))))</f>
        <v/>
      </c>
    </row>
    <row r="394">
      <c r="B394" t="inlineStr">
        <is>
          <t>No</t>
        </is>
      </c>
      <c r="C394" t="inlineStr">
        <is>
          <t>No</t>
        </is>
      </c>
      <c r="D394">
        <f>IF($B394&lt;&gt;"Yes","",IF($C394="No","Yes",IF($C394="Yes","No","")))</f>
        <v/>
      </c>
      <c r="E394">
        <f>IF($A394="","",IF(OR(AND($V394&lt;&gt;"",LOWER(TRIM($V394))&lt;&gt;"n/a",LOWER(TRIM($V394))&lt;&gt;"na",SUMPRODUCT(--(UPPER(TRIM($V$2:$V$518))=UPPER(TRIM($V394))),--(TRIM($V$2:$V$518)&lt;&gt;""),--(LOWER(TRIM($V$2:$V$518))&lt;&gt;"n/a"),--(LOWER(TRIM($V$2:$V$518))&lt;&gt;"na"))&gt;1),AND($W394&lt;&gt;"",LOWER(TRIM($W394))&lt;&gt;"n/a",LOWER(TRIM($W394))&lt;&gt;"na",SUMPRODUCT(--(UPPER(TRIM($W$2:$W$518))=UPPER(TRIM($W394))),--(TRIM($W$2:$W$518)&lt;&gt;""),--(LOWER(TRIM($W$2:$W$518))&lt;&gt;"n/a"),--(LOWER(TRIM($W$2:$W$518))&lt;&gt;"na"))&gt;1),AND($X394&lt;&gt;"",LOWER(TRIM($X394))&lt;&gt;"n/a",LOWER(TRIM($X394))&lt;&gt;"na",SUMPRODUCT(--(UPPER(TRIM($X$2:$X$518))=UPPER(TRIM($X394))),--(TRIM($X$2:$X$518)&lt;&gt;""),--(LOWER(TRIM($X$2:$X$518))&lt;&gt;"n/a"),--(LOWER(TRIM($X$2:$X$518))&lt;&gt;"na"))&gt;1),AND($Y394&lt;&gt;"",LOWER(TRIM($Y394))&lt;&gt;"n/a",LOWER(TRIM($Y394))&lt;&gt;"na",SUMPRODUCT(--(UPPER(SUBSTITUTE(SUBSTITUTE(TRIM($Y$2:$Y$518),":",""),"-",""))=UPPER(SUBSTITUTE(SUBSTITUTE(TRIM($Y394),":",""),"-",""))),--(TRIM($Y$2:$Y$518)&lt;&gt;""),--(LOWER(TRIM($Y$2:$Y$518))&lt;&gt;"n/a"),--(LOWER(TRIM($Y$2:$Y$518))&lt;&gt;"na"))&gt;1),AND($AB394&lt;&gt;"",LOWER(TRIM($AB394))&lt;&gt;"n/a",LOWER(TRIM($AB394))&lt;&gt;"na",SUMPRODUCT(--(UPPER(TRIM($AB$2:$AB$518))=UPPER(TRIM($AB394))),--(TRIM($AB$2:$AB$518)&lt;&gt;""),--(LOWER(TRIM($AB$2:$AB$518))&lt;&gt;"n/a"),--(LOWER(TRIM($AB$2:$AB$518))&lt;&gt;"na"))&gt;1),AND($AH394&lt;&gt;"",LOWER(TRIM($AH394))&lt;&gt;"n/a",LOWER(TRIM($AH394))&lt;&gt;"na",SUMPRODUCT(--(UPPER(SUBSTITUTE(SUBSTITUTE(TRIM($AH$2:$AH$518),":",""),"-",""))=UPPER(SUBSTITUTE(SUBSTITUTE(TRIM($AH394),":",""),"-",""))),--(TRIM($AH$2:$AH$518)&lt;&gt;""),--(LOWER(TRIM($AH$2:$AH$518))&lt;&gt;"n/a"),--(LOWER(TRIM($AH$2:$AH$518))&lt;&gt;"na"))&gt;1),AND($AP394&lt;&gt;"",LOWER(TRIM($AP394))&lt;&gt;"n/a",LOWER(TRIM($AP394))&lt;&gt;"na",SUMPRODUCT(--(UPPER(TRIM($AP$2:$AP$518))=UPPER(TRIM($AP394))),--(TRIM($AP$2:$AP$518)&lt;&gt;""),--(LOWER(TRIM($AP$2:$AP$518))&lt;&gt;"n/a"),--(LOWER(TRIM($AP$2:$AP$518))&lt;&gt;"na"))&gt;1),AND($AQ394&lt;&gt;"",LOWER(TRIM($AQ394))&lt;&gt;"n/a",LOWER(TRIM($AQ394))&lt;&gt;"na",SUMPRODUCT(--(UPPER(TRIM($AQ$2:$AQ$518))=UPPER(TRIM($AQ394))),--(TRIM($AQ$2:$AQ$518)&lt;&gt;""),--(LOWER(TRIM($AQ$2:$AQ$518))&lt;&gt;"n/a"),--(LOWER(TRIM($AQ$2:$AQ$518))&lt;&gt;"na"))&gt;1)),"Yes","No"))</f>
        <v/>
      </c>
      <c r="F394">
        <f>IF(UPPER(TRIM($B394))&lt;&gt;"YES","", IF(OR(AND($V394&lt;&gt;"", LOWER(TRIM($V394))&lt;&gt;"n/a", LOWER(TRIM($V394))&lt;&gt;"na", SUMPRODUCT(--(UPPER(TRIM($V$2:$V$518))=UPPER(TRIM($V394))), --(UPPER(TRIM($B$2:$B$518))="YES"), --(UPPER(TRIM($G$2:$G$518)&amp;TRIM($I$2:$I$518)&amp;TRIM($J$2:$J$518))&lt;&gt;UPPER(TRIM($G394)&amp;TRIM($I394)&amp;TRIM($J394))))&gt;0), AND($W394&lt;&gt;"", LOWER(TRIM($W394))&lt;&gt;"n/a", LOWER(TRIM($W394))&lt;&gt;"na", SUMPRODUCT(--(UPPER(TRIM($W$2:$W$518))=UPPER(TRIM($W394))), --(UPPER(TRIM($B$2:$B$518))="YES"), --(UPPER(TRIM($G$2:$G$518)&amp;TRIM($I$2:$I$518)&amp;TRIM($J$2:$J$518))&lt;&gt;UPPER(TRIM($G394)&amp;TRIM($I394)&amp;TRIM($J394))))&gt;0), AND($X394&lt;&gt;"", LOWER(TRIM($X394))&lt;&gt;"n/a", LOWER(TRIM($X394))&lt;&gt;"na", SUMPRODUCT(--(UPPER(TRIM($X$2:$X$518))=UPPER(TRIM($X394))), --(UPPER(TRIM($B$2:$B$518))="YES"), --(UPPER(TRIM($G$2:$G$518)&amp;TRIM($I$2:$I$518)&amp;TRIM($J$2:$J$518))&lt;&gt;UPPER(TRIM($G394)&amp;TRIM($I394)&amp;TRIM($J394))))&gt;0), AND($Y394&lt;&gt;"", LOWER(TRIM($Y394))&lt;&gt;"n/a", LOWER(TRIM($Y394))&lt;&gt;"na", SUMPRODUCT(--(UPPER(SUBSTITUTE(SUBSTITUTE(TRIM($Y$2:$Y$518),":",""),"-",""))=UPPER(SUBSTITUTE(SUBSTITUTE(TRIM($Y394),":",""),"-",""))), --(UPPER(TRIM($B$2:$B$518))="YES"), --(UPPER(TRIM($G$2:$G$518)&amp;TRIM($I$2:$I$518)&amp;TRIM($J$2:$J$518))&lt;&gt;UPPER(TRIM($G394)&amp;TRIM($I394)&amp;TRIM($J394))))&gt;0), AND($AB394&lt;&gt;"", LOWER(TRIM($AB394))&lt;&gt;"n/a", LOWER(TRIM($AB394))&lt;&gt;"na", SUMPRODUCT(--(UPPER(TRIM($AB$2:$AB$518))=UPPER(TRIM($AB394))), --(UPPER(TRIM($B$2:$B$518))="YES"), --(UPPER(TRIM($G$2:$G$518)&amp;TRIM($I$2:$I$518)&amp;TRIM($J$2:$J$518))&lt;&gt;UPPER(TRIM($G394)&amp;TRIM($I394)&amp;TRIM($J394))))&gt;0), AND($AH394&lt;&gt;"", LOWER(TRIM($AH394))&lt;&gt;"n/a", LOWER(TRIM($AH394))&lt;&gt;"na", SUMPRODUCT(--(UPPER(SUBSTITUTE(SUBSTITUTE(TRIM($AH$2:$AH$518),":",""),"-",""))=UPPER(SUBSTITUTE(SUBSTITUTE(TRIM($AH394),":",""),"-",""))), --(UPPER(TRIM($B$2:$B$518))="YES"), --(UPPER(TRIM($G$2:$G$518)&amp;TRIM($I$2:$I$518)&amp;TRIM($J$2:$J$518))&lt;&gt;UPPER(TRIM($G394)&amp;TRIM($I394)&amp;TRIM($J394))))&gt;0), AND($AP394&lt;&gt;"", LOWER(TRIM($AP394))&lt;&gt;"n/a", LOWER(TRIM($AP394))&lt;&gt;"na", SUMPRODUCT(--(UPPER(TRIM($AP$2:$AP$518))=UPPER(TRIM($AP394))), --(UPPER(TRIM($B$2:$B$518))="YES"), --(UPPER(TRIM($G$2:$G$518)&amp;TRIM($I$2:$I$518)&amp;TRIM($J$2:$J$518))&lt;&gt;UPPER(TRIM($G394)&amp;TRIM($I394)&amp;TRIM($J394))))&gt;0), AND($AQ394&lt;&gt;"", LOWER(TRIM($AQ394))&lt;&gt;"n/a", LOWER(TRIM($AQ394))&lt;&gt;"na", SUMPRODUCT(--(UPPER(TRIM($AQ$2:$AQ$518))=UPPER(TRIM($AQ394))), --(UPPER(TRIM($B$2:$B$518))="YES"), --(UPPER(TRIM($G$2:$G$518)&amp;TRIM($I$2:$I$518)&amp;TRIM($J$2:$J$518))&lt;&gt;UPPER(TRIM($G394)&amp;TRIM($I394)&amp;TRIM($J394))))&gt;0)), "Yes", "No"))</f>
        <v/>
      </c>
      <c r="CD394">
        <f>IF($Y394="","",IF((IF(AND($BR394&lt;&gt;"Yes",$BR394&lt;&gt;"N/A"),"Power Cable, ","")&amp;IF(AND($BS394&lt;&gt;"Yes",$BS394&lt;&gt;"N/A"),"Battery, ","")&amp;IF(AND($AD394&lt;&gt;"Yes",$AD394&lt;&gt;"N/A"),"Firmware Download, ","")&amp;IF(AND(OR($AD394="Yes",$AD394="N/A"),$AE394&lt;&gt;"Yes",$AE394&lt;&gt;"N/A"),"Firmware Install, ","")&amp;IF(AND($CB394&lt;&gt;"Yes",$CB394&lt;&gt;"N/A"),"Device ID, ","")&amp;IF(AND($CC394&lt;&gt;"Yes",$CC394&lt;&gt;"N/A"),"Epic Beans Relay, ",""))="","",LEFT(IF(AND($BR394&lt;&gt;"Yes",$BR394&lt;&gt;"N/A"),"Power Cable, ","")&amp;IF(AND($BS394&lt;&gt;"Yes",$BS394&lt;&gt;"N/A"),"Battery, ","")&amp;IF(AND($AD394&lt;&gt;"Yes",$AD394&lt;&gt;"N/A"),"Firmware Download, ","")&amp;IF(AND(OR($AD394="Yes",$AD394="N/A"),$AE394&lt;&gt;"Yes",$AE394&lt;&gt;"N/A"),"Firmware Install, ","")&amp;IF(AND($CB394&lt;&gt;"Yes",$CB394&lt;&gt;"N/A"),"Device ID, ","")&amp;IF(AND($CC394&lt;&gt;"Yes",$CC394&lt;&gt;"N/A"),"Epic Beans Relay, ",""),LEN(IF(AND($BR394&lt;&gt;"Yes",$BR394&lt;&gt;"N/A"),"Power Cable, ","")&amp;IF(AND($BS394&lt;&gt;"Yes",$BS394&lt;&gt;"N/A"),"Battery, ","")&amp;IF(AND($AD394&lt;&gt;"Yes",$AD394&lt;&gt;"N/A"),"Firmware Download, ","")&amp;IF(AND(OR($AD394="Yes",$AD394="N/A"),$AE394&lt;&gt;"Yes",$AE394&lt;&gt;"N/A"),"Firmware Install, ","")&amp;IF(AND($CB394&lt;&gt;"Yes",$CB394&lt;&gt;"N/A"),"Device ID, ","")&amp;IF(AND($CC394&lt;&gt;"Yes",$CC394&lt;&gt;"N/A"),"Epic Beans Relay, ",""))-2)))</f>
        <v/>
      </c>
      <c r="CE394">
        <f>IF($Y394="","",IF($CD394="","Yes","Blocked"))</f>
        <v/>
      </c>
      <c r="CP394">
        <f>IF($CO394="","",IFERROR(VLOOKUP($CO394,'01_Warehouse_Ledger'!$A:$N,4,FALSE),""))</f>
        <v/>
      </c>
      <c r="CQ394">
        <f>IF($CO394="","",IFERROR(VLOOKUP($CO394,'01_Warehouse_Ledger'!$A:$N,5,FALSE),""))</f>
        <v/>
      </c>
      <c r="CR394">
        <f>IF($CO394="","",IFERROR(VLOOKUP($CO394,'01_Warehouse_Ledger'!$A:$N,13,FALSE),""))</f>
        <v/>
      </c>
      <c r="CW394">
        <f>IF($S394="","",IF(UPPER(TRIM($S394))&lt;&gt;"PASS","",IF(LEN(TRIM($BY394))&gt;0,"NOTES_PRESENT",IF(LEN(TRIM($T394))=0,"SET_NA",IF(OR(LOWER(TRIM($T394))="na",LOWER(TRIM($T394))="n/a"),"OK","MANUAL_OVERRIDE")))))</f>
        <v/>
      </c>
    </row>
    <row r="395">
      <c r="B395" t="inlineStr">
        <is>
          <t>No</t>
        </is>
      </c>
      <c r="C395" t="inlineStr">
        <is>
          <t>No</t>
        </is>
      </c>
      <c r="D395">
        <f>IF($B395&lt;&gt;"Yes","",IF($C395="No","Yes",IF($C395="Yes","No","")))</f>
        <v/>
      </c>
      <c r="E395">
        <f>IF($A395="","",IF(OR(AND($V395&lt;&gt;"",LOWER(TRIM($V395))&lt;&gt;"n/a",LOWER(TRIM($V395))&lt;&gt;"na",SUMPRODUCT(--(UPPER(TRIM($V$2:$V$518))=UPPER(TRIM($V395))),--(TRIM($V$2:$V$518)&lt;&gt;""),--(LOWER(TRIM($V$2:$V$518))&lt;&gt;"n/a"),--(LOWER(TRIM($V$2:$V$518))&lt;&gt;"na"))&gt;1),AND($W395&lt;&gt;"",LOWER(TRIM($W395))&lt;&gt;"n/a",LOWER(TRIM($W395))&lt;&gt;"na",SUMPRODUCT(--(UPPER(TRIM($W$2:$W$518))=UPPER(TRIM($W395))),--(TRIM($W$2:$W$518)&lt;&gt;""),--(LOWER(TRIM($W$2:$W$518))&lt;&gt;"n/a"),--(LOWER(TRIM($W$2:$W$518))&lt;&gt;"na"))&gt;1),AND($X395&lt;&gt;"",LOWER(TRIM($X395))&lt;&gt;"n/a",LOWER(TRIM($X395))&lt;&gt;"na",SUMPRODUCT(--(UPPER(TRIM($X$2:$X$518))=UPPER(TRIM($X395))),--(TRIM($X$2:$X$518)&lt;&gt;""),--(LOWER(TRIM($X$2:$X$518))&lt;&gt;"n/a"),--(LOWER(TRIM($X$2:$X$518))&lt;&gt;"na"))&gt;1),AND($Y395&lt;&gt;"",LOWER(TRIM($Y395))&lt;&gt;"n/a",LOWER(TRIM($Y395))&lt;&gt;"na",SUMPRODUCT(--(UPPER(SUBSTITUTE(SUBSTITUTE(TRIM($Y$2:$Y$518),":",""),"-",""))=UPPER(SUBSTITUTE(SUBSTITUTE(TRIM($Y395),":",""),"-",""))),--(TRIM($Y$2:$Y$518)&lt;&gt;""),--(LOWER(TRIM($Y$2:$Y$518))&lt;&gt;"n/a"),--(LOWER(TRIM($Y$2:$Y$518))&lt;&gt;"na"))&gt;1),AND($AB395&lt;&gt;"",LOWER(TRIM($AB395))&lt;&gt;"n/a",LOWER(TRIM($AB395))&lt;&gt;"na",SUMPRODUCT(--(UPPER(TRIM($AB$2:$AB$518))=UPPER(TRIM($AB395))),--(TRIM($AB$2:$AB$518)&lt;&gt;""),--(LOWER(TRIM($AB$2:$AB$518))&lt;&gt;"n/a"),--(LOWER(TRIM($AB$2:$AB$518))&lt;&gt;"na"))&gt;1),AND($AH395&lt;&gt;"",LOWER(TRIM($AH395))&lt;&gt;"n/a",LOWER(TRIM($AH395))&lt;&gt;"na",SUMPRODUCT(--(UPPER(SUBSTITUTE(SUBSTITUTE(TRIM($AH$2:$AH$518),":",""),"-",""))=UPPER(SUBSTITUTE(SUBSTITUTE(TRIM($AH395),":",""),"-",""))),--(TRIM($AH$2:$AH$518)&lt;&gt;""),--(LOWER(TRIM($AH$2:$AH$518))&lt;&gt;"n/a"),--(LOWER(TRIM($AH$2:$AH$518))&lt;&gt;"na"))&gt;1),AND($AP395&lt;&gt;"",LOWER(TRIM($AP395))&lt;&gt;"n/a",LOWER(TRIM($AP395))&lt;&gt;"na",SUMPRODUCT(--(UPPER(TRIM($AP$2:$AP$518))=UPPER(TRIM($AP395))),--(TRIM($AP$2:$AP$518)&lt;&gt;""),--(LOWER(TRIM($AP$2:$AP$518))&lt;&gt;"n/a"),--(LOWER(TRIM($AP$2:$AP$518))&lt;&gt;"na"))&gt;1),AND($AQ395&lt;&gt;"",LOWER(TRIM($AQ395))&lt;&gt;"n/a",LOWER(TRIM($AQ395))&lt;&gt;"na",SUMPRODUCT(--(UPPER(TRIM($AQ$2:$AQ$518))=UPPER(TRIM($AQ395))),--(TRIM($AQ$2:$AQ$518)&lt;&gt;""),--(LOWER(TRIM($AQ$2:$AQ$518))&lt;&gt;"n/a"),--(LOWER(TRIM($AQ$2:$AQ$518))&lt;&gt;"na"))&gt;1)),"Yes","No"))</f>
        <v/>
      </c>
      <c r="F395">
        <f>IF(UPPER(TRIM($B395))&lt;&gt;"YES","", IF(OR(AND($V395&lt;&gt;"", LOWER(TRIM($V395))&lt;&gt;"n/a", LOWER(TRIM($V395))&lt;&gt;"na", SUMPRODUCT(--(UPPER(TRIM($V$2:$V$518))=UPPER(TRIM($V395))), --(UPPER(TRIM($B$2:$B$518))="YES"), --(UPPER(TRIM($G$2:$G$518)&amp;TRIM($I$2:$I$518)&amp;TRIM($J$2:$J$518))&lt;&gt;UPPER(TRIM($G395)&amp;TRIM($I395)&amp;TRIM($J395))))&gt;0), AND($W395&lt;&gt;"", LOWER(TRIM($W395))&lt;&gt;"n/a", LOWER(TRIM($W395))&lt;&gt;"na", SUMPRODUCT(--(UPPER(TRIM($W$2:$W$518))=UPPER(TRIM($W395))), --(UPPER(TRIM($B$2:$B$518))="YES"), --(UPPER(TRIM($G$2:$G$518)&amp;TRIM($I$2:$I$518)&amp;TRIM($J$2:$J$518))&lt;&gt;UPPER(TRIM($G395)&amp;TRIM($I395)&amp;TRIM($J395))))&gt;0), AND($X395&lt;&gt;"", LOWER(TRIM($X395))&lt;&gt;"n/a", LOWER(TRIM($X395))&lt;&gt;"na", SUMPRODUCT(--(UPPER(TRIM($X$2:$X$518))=UPPER(TRIM($X395))), --(UPPER(TRIM($B$2:$B$518))="YES"), --(UPPER(TRIM($G$2:$G$518)&amp;TRIM($I$2:$I$518)&amp;TRIM($J$2:$J$518))&lt;&gt;UPPER(TRIM($G395)&amp;TRIM($I395)&amp;TRIM($J395))))&gt;0), AND($Y395&lt;&gt;"", LOWER(TRIM($Y395))&lt;&gt;"n/a", LOWER(TRIM($Y395))&lt;&gt;"na", SUMPRODUCT(--(UPPER(SUBSTITUTE(SUBSTITUTE(TRIM($Y$2:$Y$518),":",""),"-",""))=UPPER(SUBSTITUTE(SUBSTITUTE(TRIM($Y395),":",""),"-",""))), --(UPPER(TRIM($B$2:$B$518))="YES"), --(UPPER(TRIM($G$2:$G$518)&amp;TRIM($I$2:$I$518)&amp;TRIM($J$2:$J$518))&lt;&gt;UPPER(TRIM($G395)&amp;TRIM($I395)&amp;TRIM($J395))))&gt;0), AND($AB395&lt;&gt;"", LOWER(TRIM($AB395))&lt;&gt;"n/a", LOWER(TRIM($AB395))&lt;&gt;"na", SUMPRODUCT(--(UPPER(TRIM($AB$2:$AB$518))=UPPER(TRIM($AB395))), --(UPPER(TRIM($B$2:$B$518))="YES"), --(UPPER(TRIM($G$2:$G$518)&amp;TRIM($I$2:$I$518)&amp;TRIM($J$2:$J$518))&lt;&gt;UPPER(TRIM($G395)&amp;TRIM($I395)&amp;TRIM($J395))))&gt;0), AND($AH395&lt;&gt;"", LOWER(TRIM($AH395))&lt;&gt;"n/a", LOWER(TRIM($AH395))&lt;&gt;"na", SUMPRODUCT(--(UPPER(SUBSTITUTE(SUBSTITUTE(TRIM($AH$2:$AH$518),":",""),"-",""))=UPPER(SUBSTITUTE(SUBSTITUTE(TRIM($AH395),":",""),"-",""))), --(UPPER(TRIM($B$2:$B$518))="YES"), --(UPPER(TRIM($G$2:$G$518)&amp;TRIM($I$2:$I$518)&amp;TRIM($J$2:$J$518))&lt;&gt;UPPER(TRIM($G395)&amp;TRIM($I395)&amp;TRIM($J395))))&gt;0), AND($AP395&lt;&gt;"", LOWER(TRIM($AP395))&lt;&gt;"n/a", LOWER(TRIM($AP395))&lt;&gt;"na", SUMPRODUCT(--(UPPER(TRIM($AP$2:$AP$518))=UPPER(TRIM($AP395))), --(UPPER(TRIM($B$2:$B$518))="YES"), --(UPPER(TRIM($G$2:$G$518)&amp;TRIM($I$2:$I$518)&amp;TRIM($J$2:$J$518))&lt;&gt;UPPER(TRIM($G395)&amp;TRIM($I395)&amp;TRIM($J395))))&gt;0), AND($AQ395&lt;&gt;"", LOWER(TRIM($AQ395))&lt;&gt;"n/a", LOWER(TRIM($AQ395))&lt;&gt;"na", SUMPRODUCT(--(UPPER(TRIM($AQ$2:$AQ$518))=UPPER(TRIM($AQ395))), --(UPPER(TRIM($B$2:$B$518))="YES"), --(UPPER(TRIM($G$2:$G$518)&amp;TRIM($I$2:$I$518)&amp;TRIM($J$2:$J$518))&lt;&gt;UPPER(TRIM($G395)&amp;TRIM($I395)&amp;TRIM($J395))))&gt;0)), "Yes", "No"))</f>
        <v/>
      </c>
      <c r="CD395">
        <f>IF($Y395="","",IF((IF(AND($BR395&lt;&gt;"Yes",$BR395&lt;&gt;"N/A"),"Power Cable, ","")&amp;IF(AND($BS395&lt;&gt;"Yes",$BS395&lt;&gt;"N/A"),"Battery, ","")&amp;IF(AND($AD395&lt;&gt;"Yes",$AD395&lt;&gt;"N/A"),"Firmware Download, ","")&amp;IF(AND(OR($AD395="Yes",$AD395="N/A"),$AE395&lt;&gt;"Yes",$AE395&lt;&gt;"N/A"),"Firmware Install, ","")&amp;IF(AND($CB395&lt;&gt;"Yes",$CB395&lt;&gt;"N/A"),"Device ID, ","")&amp;IF(AND($CC395&lt;&gt;"Yes",$CC395&lt;&gt;"N/A"),"Epic Beans Relay, ",""))="","",LEFT(IF(AND($BR395&lt;&gt;"Yes",$BR395&lt;&gt;"N/A"),"Power Cable, ","")&amp;IF(AND($BS395&lt;&gt;"Yes",$BS395&lt;&gt;"N/A"),"Battery, ","")&amp;IF(AND($AD395&lt;&gt;"Yes",$AD395&lt;&gt;"N/A"),"Firmware Download, ","")&amp;IF(AND(OR($AD395="Yes",$AD395="N/A"),$AE395&lt;&gt;"Yes",$AE395&lt;&gt;"N/A"),"Firmware Install, ","")&amp;IF(AND($CB395&lt;&gt;"Yes",$CB395&lt;&gt;"N/A"),"Device ID, ","")&amp;IF(AND($CC395&lt;&gt;"Yes",$CC395&lt;&gt;"N/A"),"Epic Beans Relay, ",""),LEN(IF(AND($BR395&lt;&gt;"Yes",$BR395&lt;&gt;"N/A"),"Power Cable, ","")&amp;IF(AND($BS395&lt;&gt;"Yes",$BS395&lt;&gt;"N/A"),"Battery, ","")&amp;IF(AND($AD395&lt;&gt;"Yes",$AD395&lt;&gt;"N/A"),"Firmware Download, ","")&amp;IF(AND(OR($AD395="Yes",$AD395="N/A"),$AE395&lt;&gt;"Yes",$AE395&lt;&gt;"N/A"),"Firmware Install, ","")&amp;IF(AND($CB395&lt;&gt;"Yes",$CB395&lt;&gt;"N/A"),"Device ID, ","")&amp;IF(AND($CC395&lt;&gt;"Yes",$CC395&lt;&gt;"N/A"),"Epic Beans Relay, ",""))-2)))</f>
        <v/>
      </c>
      <c r="CE395">
        <f>IF($Y395="","",IF($CD395="","Yes","Blocked"))</f>
        <v/>
      </c>
      <c r="CP395">
        <f>IF($CO395="","",IFERROR(VLOOKUP($CO395,'01_Warehouse_Ledger'!$A:$N,4,FALSE),""))</f>
        <v/>
      </c>
      <c r="CQ395">
        <f>IF($CO395="","",IFERROR(VLOOKUP($CO395,'01_Warehouse_Ledger'!$A:$N,5,FALSE),""))</f>
        <v/>
      </c>
      <c r="CR395">
        <f>IF($CO395="","",IFERROR(VLOOKUP($CO395,'01_Warehouse_Ledger'!$A:$N,13,FALSE),""))</f>
        <v/>
      </c>
      <c r="CW395">
        <f>IF($S395="","",IF(UPPER(TRIM($S395))&lt;&gt;"PASS","",IF(LEN(TRIM($BY395))&gt;0,"NOTES_PRESENT",IF(LEN(TRIM($T395))=0,"SET_NA",IF(OR(LOWER(TRIM($T395))="na",LOWER(TRIM($T395))="n/a"),"OK","MANUAL_OVERRIDE")))))</f>
        <v/>
      </c>
    </row>
    <row r="396">
      <c r="B396" t="inlineStr">
        <is>
          <t>No</t>
        </is>
      </c>
      <c r="C396" t="inlineStr">
        <is>
          <t>No</t>
        </is>
      </c>
      <c r="D396">
        <f>IF($B396&lt;&gt;"Yes","",IF($C396="No","Yes",IF($C396="Yes","No","")))</f>
        <v/>
      </c>
      <c r="E396">
        <f>IF($A396="","",IF(OR(AND($V396&lt;&gt;"",LOWER(TRIM($V396))&lt;&gt;"n/a",LOWER(TRIM($V396))&lt;&gt;"na",SUMPRODUCT(--(UPPER(TRIM($V$2:$V$518))=UPPER(TRIM($V396))),--(TRIM($V$2:$V$518)&lt;&gt;""),--(LOWER(TRIM($V$2:$V$518))&lt;&gt;"n/a"),--(LOWER(TRIM($V$2:$V$518))&lt;&gt;"na"))&gt;1),AND($W396&lt;&gt;"",LOWER(TRIM($W396))&lt;&gt;"n/a",LOWER(TRIM($W396))&lt;&gt;"na",SUMPRODUCT(--(UPPER(TRIM($W$2:$W$518))=UPPER(TRIM($W396))),--(TRIM($W$2:$W$518)&lt;&gt;""),--(LOWER(TRIM($W$2:$W$518))&lt;&gt;"n/a"),--(LOWER(TRIM($W$2:$W$518))&lt;&gt;"na"))&gt;1),AND($X396&lt;&gt;"",LOWER(TRIM($X396))&lt;&gt;"n/a",LOWER(TRIM($X396))&lt;&gt;"na",SUMPRODUCT(--(UPPER(TRIM($X$2:$X$518))=UPPER(TRIM($X396))),--(TRIM($X$2:$X$518)&lt;&gt;""),--(LOWER(TRIM($X$2:$X$518))&lt;&gt;"n/a"),--(LOWER(TRIM($X$2:$X$518))&lt;&gt;"na"))&gt;1),AND($Y396&lt;&gt;"",LOWER(TRIM($Y396))&lt;&gt;"n/a",LOWER(TRIM($Y396))&lt;&gt;"na",SUMPRODUCT(--(UPPER(SUBSTITUTE(SUBSTITUTE(TRIM($Y$2:$Y$518),":",""),"-",""))=UPPER(SUBSTITUTE(SUBSTITUTE(TRIM($Y396),":",""),"-",""))),--(TRIM($Y$2:$Y$518)&lt;&gt;""),--(LOWER(TRIM($Y$2:$Y$518))&lt;&gt;"n/a"),--(LOWER(TRIM($Y$2:$Y$518))&lt;&gt;"na"))&gt;1),AND($AB396&lt;&gt;"",LOWER(TRIM($AB396))&lt;&gt;"n/a",LOWER(TRIM($AB396))&lt;&gt;"na",SUMPRODUCT(--(UPPER(TRIM($AB$2:$AB$518))=UPPER(TRIM($AB396))),--(TRIM($AB$2:$AB$518)&lt;&gt;""),--(LOWER(TRIM($AB$2:$AB$518))&lt;&gt;"n/a"),--(LOWER(TRIM($AB$2:$AB$518))&lt;&gt;"na"))&gt;1),AND($AH396&lt;&gt;"",LOWER(TRIM($AH396))&lt;&gt;"n/a",LOWER(TRIM($AH396))&lt;&gt;"na",SUMPRODUCT(--(UPPER(SUBSTITUTE(SUBSTITUTE(TRIM($AH$2:$AH$518),":",""),"-",""))=UPPER(SUBSTITUTE(SUBSTITUTE(TRIM($AH396),":",""),"-",""))),--(TRIM($AH$2:$AH$518)&lt;&gt;""),--(LOWER(TRIM($AH$2:$AH$518))&lt;&gt;"n/a"),--(LOWER(TRIM($AH$2:$AH$518))&lt;&gt;"na"))&gt;1),AND($AP396&lt;&gt;"",LOWER(TRIM($AP396))&lt;&gt;"n/a",LOWER(TRIM($AP396))&lt;&gt;"na",SUMPRODUCT(--(UPPER(TRIM($AP$2:$AP$518))=UPPER(TRIM($AP396))),--(TRIM($AP$2:$AP$518)&lt;&gt;""),--(LOWER(TRIM($AP$2:$AP$518))&lt;&gt;"n/a"),--(LOWER(TRIM($AP$2:$AP$518))&lt;&gt;"na"))&gt;1),AND($AQ396&lt;&gt;"",LOWER(TRIM($AQ396))&lt;&gt;"n/a",LOWER(TRIM($AQ396))&lt;&gt;"na",SUMPRODUCT(--(UPPER(TRIM($AQ$2:$AQ$518))=UPPER(TRIM($AQ396))),--(TRIM($AQ$2:$AQ$518)&lt;&gt;""),--(LOWER(TRIM($AQ$2:$AQ$518))&lt;&gt;"n/a"),--(LOWER(TRIM($AQ$2:$AQ$518))&lt;&gt;"na"))&gt;1)),"Yes","No"))</f>
        <v/>
      </c>
      <c r="F396">
        <f>IF(UPPER(TRIM($B396))&lt;&gt;"YES","", IF(OR(AND($V396&lt;&gt;"", LOWER(TRIM($V396))&lt;&gt;"n/a", LOWER(TRIM($V396))&lt;&gt;"na", SUMPRODUCT(--(UPPER(TRIM($V$2:$V$518))=UPPER(TRIM($V396))), --(UPPER(TRIM($B$2:$B$518))="YES"), --(UPPER(TRIM($G$2:$G$518)&amp;TRIM($I$2:$I$518)&amp;TRIM($J$2:$J$518))&lt;&gt;UPPER(TRIM($G396)&amp;TRIM($I396)&amp;TRIM($J396))))&gt;0), AND($W396&lt;&gt;"", LOWER(TRIM($W396))&lt;&gt;"n/a", LOWER(TRIM($W396))&lt;&gt;"na", SUMPRODUCT(--(UPPER(TRIM($W$2:$W$518))=UPPER(TRIM($W396))), --(UPPER(TRIM($B$2:$B$518))="YES"), --(UPPER(TRIM($G$2:$G$518)&amp;TRIM($I$2:$I$518)&amp;TRIM($J$2:$J$518))&lt;&gt;UPPER(TRIM($G396)&amp;TRIM($I396)&amp;TRIM($J396))))&gt;0), AND($X396&lt;&gt;"", LOWER(TRIM($X396))&lt;&gt;"n/a", LOWER(TRIM($X396))&lt;&gt;"na", SUMPRODUCT(--(UPPER(TRIM($X$2:$X$518))=UPPER(TRIM($X396))), --(UPPER(TRIM($B$2:$B$518))="YES"), --(UPPER(TRIM($G$2:$G$518)&amp;TRIM($I$2:$I$518)&amp;TRIM($J$2:$J$518))&lt;&gt;UPPER(TRIM($G396)&amp;TRIM($I396)&amp;TRIM($J396))))&gt;0), AND($Y396&lt;&gt;"", LOWER(TRIM($Y396))&lt;&gt;"n/a", LOWER(TRIM($Y396))&lt;&gt;"na", SUMPRODUCT(--(UPPER(SUBSTITUTE(SUBSTITUTE(TRIM($Y$2:$Y$518),":",""),"-",""))=UPPER(SUBSTITUTE(SUBSTITUTE(TRIM($Y396),":",""),"-",""))), --(UPPER(TRIM($B$2:$B$518))="YES"), --(UPPER(TRIM($G$2:$G$518)&amp;TRIM($I$2:$I$518)&amp;TRIM($J$2:$J$518))&lt;&gt;UPPER(TRIM($G396)&amp;TRIM($I396)&amp;TRIM($J396))))&gt;0), AND($AB396&lt;&gt;"", LOWER(TRIM($AB396))&lt;&gt;"n/a", LOWER(TRIM($AB396))&lt;&gt;"na", SUMPRODUCT(--(UPPER(TRIM($AB$2:$AB$518))=UPPER(TRIM($AB396))), --(UPPER(TRIM($B$2:$B$518))="YES"), --(UPPER(TRIM($G$2:$G$518)&amp;TRIM($I$2:$I$518)&amp;TRIM($J$2:$J$518))&lt;&gt;UPPER(TRIM($G396)&amp;TRIM($I396)&amp;TRIM($J396))))&gt;0), AND($AH396&lt;&gt;"", LOWER(TRIM($AH396))&lt;&gt;"n/a", LOWER(TRIM($AH396))&lt;&gt;"na", SUMPRODUCT(--(UPPER(SUBSTITUTE(SUBSTITUTE(TRIM($AH$2:$AH$518),":",""),"-",""))=UPPER(SUBSTITUTE(SUBSTITUTE(TRIM($AH396),":",""),"-",""))), --(UPPER(TRIM($B$2:$B$518))="YES"), --(UPPER(TRIM($G$2:$G$518)&amp;TRIM($I$2:$I$518)&amp;TRIM($J$2:$J$518))&lt;&gt;UPPER(TRIM($G396)&amp;TRIM($I396)&amp;TRIM($J396))))&gt;0), AND($AP396&lt;&gt;"", LOWER(TRIM($AP396))&lt;&gt;"n/a", LOWER(TRIM($AP396))&lt;&gt;"na", SUMPRODUCT(--(UPPER(TRIM($AP$2:$AP$518))=UPPER(TRIM($AP396))), --(UPPER(TRIM($B$2:$B$518))="YES"), --(UPPER(TRIM($G$2:$G$518)&amp;TRIM($I$2:$I$518)&amp;TRIM($J$2:$J$518))&lt;&gt;UPPER(TRIM($G396)&amp;TRIM($I396)&amp;TRIM($J396))))&gt;0), AND($AQ396&lt;&gt;"", LOWER(TRIM($AQ396))&lt;&gt;"n/a", LOWER(TRIM($AQ396))&lt;&gt;"na", SUMPRODUCT(--(UPPER(TRIM($AQ$2:$AQ$518))=UPPER(TRIM($AQ396))), --(UPPER(TRIM($B$2:$B$518))="YES"), --(UPPER(TRIM($G$2:$G$518)&amp;TRIM($I$2:$I$518)&amp;TRIM($J$2:$J$518))&lt;&gt;UPPER(TRIM($G396)&amp;TRIM($I396)&amp;TRIM($J396))))&gt;0)), "Yes", "No"))</f>
        <v/>
      </c>
      <c r="CD396">
        <f>IF($Y396="","",IF((IF(AND($BR396&lt;&gt;"Yes",$BR396&lt;&gt;"N/A"),"Power Cable, ","")&amp;IF(AND($BS396&lt;&gt;"Yes",$BS396&lt;&gt;"N/A"),"Battery, ","")&amp;IF(AND($AD396&lt;&gt;"Yes",$AD396&lt;&gt;"N/A"),"Firmware Download, ","")&amp;IF(AND(OR($AD396="Yes",$AD396="N/A"),$AE396&lt;&gt;"Yes",$AE396&lt;&gt;"N/A"),"Firmware Install, ","")&amp;IF(AND($CB396&lt;&gt;"Yes",$CB396&lt;&gt;"N/A"),"Device ID, ","")&amp;IF(AND($CC396&lt;&gt;"Yes",$CC396&lt;&gt;"N/A"),"Epic Beans Relay, ",""))="","",LEFT(IF(AND($BR396&lt;&gt;"Yes",$BR396&lt;&gt;"N/A"),"Power Cable, ","")&amp;IF(AND($BS396&lt;&gt;"Yes",$BS396&lt;&gt;"N/A"),"Battery, ","")&amp;IF(AND($AD396&lt;&gt;"Yes",$AD396&lt;&gt;"N/A"),"Firmware Download, ","")&amp;IF(AND(OR($AD396="Yes",$AD396="N/A"),$AE396&lt;&gt;"Yes",$AE396&lt;&gt;"N/A"),"Firmware Install, ","")&amp;IF(AND($CB396&lt;&gt;"Yes",$CB396&lt;&gt;"N/A"),"Device ID, ","")&amp;IF(AND($CC396&lt;&gt;"Yes",$CC396&lt;&gt;"N/A"),"Epic Beans Relay, ",""),LEN(IF(AND($BR396&lt;&gt;"Yes",$BR396&lt;&gt;"N/A"),"Power Cable, ","")&amp;IF(AND($BS396&lt;&gt;"Yes",$BS396&lt;&gt;"N/A"),"Battery, ","")&amp;IF(AND($AD396&lt;&gt;"Yes",$AD396&lt;&gt;"N/A"),"Firmware Download, ","")&amp;IF(AND(OR($AD396="Yes",$AD396="N/A"),$AE396&lt;&gt;"Yes",$AE396&lt;&gt;"N/A"),"Firmware Install, ","")&amp;IF(AND($CB396&lt;&gt;"Yes",$CB396&lt;&gt;"N/A"),"Device ID, ","")&amp;IF(AND($CC396&lt;&gt;"Yes",$CC396&lt;&gt;"N/A"),"Epic Beans Relay, ",""))-2)))</f>
        <v/>
      </c>
      <c r="CE396">
        <f>IF($Y396="","",IF($CD396="","Yes","Blocked"))</f>
        <v/>
      </c>
      <c r="CP396">
        <f>IF($CO396="","",IFERROR(VLOOKUP($CO396,'01_Warehouse_Ledger'!$A:$N,4,FALSE),""))</f>
        <v/>
      </c>
      <c r="CQ396">
        <f>IF($CO396="","",IFERROR(VLOOKUP($CO396,'01_Warehouse_Ledger'!$A:$N,5,FALSE),""))</f>
        <v/>
      </c>
      <c r="CR396">
        <f>IF($CO396="","",IFERROR(VLOOKUP($CO396,'01_Warehouse_Ledger'!$A:$N,13,FALSE),""))</f>
        <v/>
      </c>
      <c r="CW396">
        <f>IF($S396="","",IF(UPPER(TRIM($S396))&lt;&gt;"PASS","",IF(LEN(TRIM($BY396))&gt;0,"NOTES_PRESENT",IF(LEN(TRIM($T396))=0,"SET_NA",IF(OR(LOWER(TRIM($T396))="na",LOWER(TRIM($T396))="n/a"),"OK","MANUAL_OVERRIDE")))))</f>
        <v/>
      </c>
    </row>
    <row r="397">
      <c r="B397" t="inlineStr">
        <is>
          <t>No</t>
        </is>
      </c>
      <c r="C397" t="inlineStr">
        <is>
          <t>No</t>
        </is>
      </c>
      <c r="D397">
        <f>IF($B397&lt;&gt;"Yes","",IF($C397="No","Yes",IF($C397="Yes","No","")))</f>
        <v/>
      </c>
      <c r="E397">
        <f>IF($A397="","",IF(OR(AND($V397&lt;&gt;"",LOWER(TRIM($V397))&lt;&gt;"n/a",LOWER(TRIM($V397))&lt;&gt;"na",SUMPRODUCT(--(UPPER(TRIM($V$2:$V$518))=UPPER(TRIM($V397))),--(TRIM($V$2:$V$518)&lt;&gt;""),--(LOWER(TRIM($V$2:$V$518))&lt;&gt;"n/a"),--(LOWER(TRIM($V$2:$V$518))&lt;&gt;"na"))&gt;1),AND($W397&lt;&gt;"",LOWER(TRIM($W397))&lt;&gt;"n/a",LOWER(TRIM($W397))&lt;&gt;"na",SUMPRODUCT(--(UPPER(TRIM($W$2:$W$518))=UPPER(TRIM($W397))),--(TRIM($W$2:$W$518)&lt;&gt;""),--(LOWER(TRIM($W$2:$W$518))&lt;&gt;"n/a"),--(LOWER(TRIM($W$2:$W$518))&lt;&gt;"na"))&gt;1),AND($X397&lt;&gt;"",LOWER(TRIM($X397))&lt;&gt;"n/a",LOWER(TRIM($X397))&lt;&gt;"na",SUMPRODUCT(--(UPPER(TRIM($X$2:$X$518))=UPPER(TRIM($X397))),--(TRIM($X$2:$X$518)&lt;&gt;""),--(LOWER(TRIM($X$2:$X$518))&lt;&gt;"n/a"),--(LOWER(TRIM($X$2:$X$518))&lt;&gt;"na"))&gt;1),AND($Y397&lt;&gt;"",LOWER(TRIM($Y397))&lt;&gt;"n/a",LOWER(TRIM($Y397))&lt;&gt;"na",SUMPRODUCT(--(UPPER(SUBSTITUTE(SUBSTITUTE(TRIM($Y$2:$Y$518),":",""),"-",""))=UPPER(SUBSTITUTE(SUBSTITUTE(TRIM($Y397),":",""),"-",""))),--(TRIM($Y$2:$Y$518)&lt;&gt;""),--(LOWER(TRIM($Y$2:$Y$518))&lt;&gt;"n/a"),--(LOWER(TRIM($Y$2:$Y$518))&lt;&gt;"na"))&gt;1),AND($AB397&lt;&gt;"",LOWER(TRIM($AB397))&lt;&gt;"n/a",LOWER(TRIM($AB397))&lt;&gt;"na",SUMPRODUCT(--(UPPER(TRIM($AB$2:$AB$518))=UPPER(TRIM($AB397))),--(TRIM($AB$2:$AB$518)&lt;&gt;""),--(LOWER(TRIM($AB$2:$AB$518))&lt;&gt;"n/a"),--(LOWER(TRIM($AB$2:$AB$518))&lt;&gt;"na"))&gt;1),AND($AH397&lt;&gt;"",LOWER(TRIM($AH397))&lt;&gt;"n/a",LOWER(TRIM($AH397))&lt;&gt;"na",SUMPRODUCT(--(UPPER(SUBSTITUTE(SUBSTITUTE(TRIM($AH$2:$AH$518),":",""),"-",""))=UPPER(SUBSTITUTE(SUBSTITUTE(TRIM($AH397),":",""),"-",""))),--(TRIM($AH$2:$AH$518)&lt;&gt;""),--(LOWER(TRIM($AH$2:$AH$518))&lt;&gt;"n/a"),--(LOWER(TRIM($AH$2:$AH$518))&lt;&gt;"na"))&gt;1),AND($AP397&lt;&gt;"",LOWER(TRIM($AP397))&lt;&gt;"n/a",LOWER(TRIM($AP397))&lt;&gt;"na",SUMPRODUCT(--(UPPER(TRIM($AP$2:$AP$518))=UPPER(TRIM($AP397))),--(TRIM($AP$2:$AP$518)&lt;&gt;""),--(LOWER(TRIM($AP$2:$AP$518))&lt;&gt;"n/a"),--(LOWER(TRIM($AP$2:$AP$518))&lt;&gt;"na"))&gt;1),AND($AQ397&lt;&gt;"",LOWER(TRIM($AQ397))&lt;&gt;"n/a",LOWER(TRIM($AQ397))&lt;&gt;"na",SUMPRODUCT(--(UPPER(TRIM($AQ$2:$AQ$518))=UPPER(TRIM($AQ397))),--(TRIM($AQ$2:$AQ$518)&lt;&gt;""),--(LOWER(TRIM($AQ$2:$AQ$518))&lt;&gt;"n/a"),--(LOWER(TRIM($AQ$2:$AQ$518))&lt;&gt;"na"))&gt;1)),"Yes","No"))</f>
        <v/>
      </c>
      <c r="F397">
        <f>IF(UPPER(TRIM($B397))&lt;&gt;"YES","", IF(OR(AND($V397&lt;&gt;"", LOWER(TRIM($V397))&lt;&gt;"n/a", LOWER(TRIM($V397))&lt;&gt;"na", SUMPRODUCT(--(UPPER(TRIM($V$2:$V$518))=UPPER(TRIM($V397))), --(UPPER(TRIM($B$2:$B$518))="YES"), --(UPPER(TRIM($G$2:$G$518)&amp;TRIM($I$2:$I$518)&amp;TRIM($J$2:$J$518))&lt;&gt;UPPER(TRIM($G397)&amp;TRIM($I397)&amp;TRIM($J397))))&gt;0), AND($W397&lt;&gt;"", LOWER(TRIM($W397))&lt;&gt;"n/a", LOWER(TRIM($W397))&lt;&gt;"na", SUMPRODUCT(--(UPPER(TRIM($W$2:$W$518))=UPPER(TRIM($W397))), --(UPPER(TRIM($B$2:$B$518))="YES"), --(UPPER(TRIM($G$2:$G$518)&amp;TRIM($I$2:$I$518)&amp;TRIM($J$2:$J$518))&lt;&gt;UPPER(TRIM($G397)&amp;TRIM($I397)&amp;TRIM($J397))))&gt;0), AND($X397&lt;&gt;"", LOWER(TRIM($X397))&lt;&gt;"n/a", LOWER(TRIM($X397))&lt;&gt;"na", SUMPRODUCT(--(UPPER(TRIM($X$2:$X$518))=UPPER(TRIM($X397))), --(UPPER(TRIM($B$2:$B$518))="YES"), --(UPPER(TRIM($G$2:$G$518)&amp;TRIM($I$2:$I$518)&amp;TRIM($J$2:$J$518))&lt;&gt;UPPER(TRIM($G397)&amp;TRIM($I397)&amp;TRIM($J397))))&gt;0), AND($Y397&lt;&gt;"", LOWER(TRIM($Y397))&lt;&gt;"n/a", LOWER(TRIM($Y397))&lt;&gt;"na", SUMPRODUCT(--(UPPER(SUBSTITUTE(SUBSTITUTE(TRIM($Y$2:$Y$518),":",""),"-",""))=UPPER(SUBSTITUTE(SUBSTITUTE(TRIM($Y397),":",""),"-",""))), --(UPPER(TRIM($B$2:$B$518))="YES"), --(UPPER(TRIM($G$2:$G$518)&amp;TRIM($I$2:$I$518)&amp;TRIM($J$2:$J$518))&lt;&gt;UPPER(TRIM($G397)&amp;TRIM($I397)&amp;TRIM($J397))))&gt;0), AND($AB397&lt;&gt;"", LOWER(TRIM($AB397))&lt;&gt;"n/a", LOWER(TRIM($AB397))&lt;&gt;"na", SUMPRODUCT(--(UPPER(TRIM($AB$2:$AB$518))=UPPER(TRIM($AB397))), --(UPPER(TRIM($B$2:$B$518))="YES"), --(UPPER(TRIM($G$2:$G$518)&amp;TRIM($I$2:$I$518)&amp;TRIM($J$2:$J$518))&lt;&gt;UPPER(TRIM($G397)&amp;TRIM($I397)&amp;TRIM($J397))))&gt;0), AND($AH397&lt;&gt;"", LOWER(TRIM($AH397))&lt;&gt;"n/a", LOWER(TRIM($AH397))&lt;&gt;"na", SUMPRODUCT(--(UPPER(SUBSTITUTE(SUBSTITUTE(TRIM($AH$2:$AH$518),":",""),"-",""))=UPPER(SUBSTITUTE(SUBSTITUTE(TRIM($AH397),":",""),"-",""))), --(UPPER(TRIM($B$2:$B$518))="YES"), --(UPPER(TRIM($G$2:$G$518)&amp;TRIM($I$2:$I$518)&amp;TRIM($J$2:$J$518))&lt;&gt;UPPER(TRIM($G397)&amp;TRIM($I397)&amp;TRIM($J397))))&gt;0), AND($AP397&lt;&gt;"", LOWER(TRIM($AP397))&lt;&gt;"n/a", LOWER(TRIM($AP397))&lt;&gt;"na", SUMPRODUCT(--(UPPER(TRIM($AP$2:$AP$518))=UPPER(TRIM($AP397))), --(UPPER(TRIM($B$2:$B$518))="YES"), --(UPPER(TRIM($G$2:$G$518)&amp;TRIM($I$2:$I$518)&amp;TRIM($J$2:$J$518))&lt;&gt;UPPER(TRIM($G397)&amp;TRIM($I397)&amp;TRIM($J397))))&gt;0), AND($AQ397&lt;&gt;"", LOWER(TRIM($AQ397))&lt;&gt;"n/a", LOWER(TRIM($AQ397))&lt;&gt;"na", SUMPRODUCT(--(UPPER(TRIM($AQ$2:$AQ$518))=UPPER(TRIM($AQ397))), --(UPPER(TRIM($B$2:$B$518))="YES"), --(UPPER(TRIM($G$2:$G$518)&amp;TRIM($I$2:$I$518)&amp;TRIM($J$2:$J$518))&lt;&gt;UPPER(TRIM($G397)&amp;TRIM($I397)&amp;TRIM($J397))))&gt;0)), "Yes", "No"))</f>
        <v/>
      </c>
      <c r="CD397">
        <f>IF($Y397="","",IF((IF(AND($BR397&lt;&gt;"Yes",$BR397&lt;&gt;"N/A"),"Power Cable, ","")&amp;IF(AND($BS397&lt;&gt;"Yes",$BS397&lt;&gt;"N/A"),"Battery, ","")&amp;IF(AND($AD397&lt;&gt;"Yes",$AD397&lt;&gt;"N/A"),"Firmware Download, ","")&amp;IF(AND(OR($AD397="Yes",$AD397="N/A"),$AE397&lt;&gt;"Yes",$AE397&lt;&gt;"N/A"),"Firmware Install, ","")&amp;IF(AND($CB397&lt;&gt;"Yes",$CB397&lt;&gt;"N/A"),"Device ID, ","")&amp;IF(AND($CC397&lt;&gt;"Yes",$CC397&lt;&gt;"N/A"),"Epic Beans Relay, ",""))="","",LEFT(IF(AND($BR397&lt;&gt;"Yes",$BR397&lt;&gt;"N/A"),"Power Cable, ","")&amp;IF(AND($BS397&lt;&gt;"Yes",$BS397&lt;&gt;"N/A"),"Battery, ","")&amp;IF(AND($AD397&lt;&gt;"Yes",$AD397&lt;&gt;"N/A"),"Firmware Download, ","")&amp;IF(AND(OR($AD397="Yes",$AD397="N/A"),$AE397&lt;&gt;"Yes",$AE397&lt;&gt;"N/A"),"Firmware Install, ","")&amp;IF(AND($CB397&lt;&gt;"Yes",$CB397&lt;&gt;"N/A"),"Device ID, ","")&amp;IF(AND($CC397&lt;&gt;"Yes",$CC397&lt;&gt;"N/A"),"Epic Beans Relay, ",""),LEN(IF(AND($BR397&lt;&gt;"Yes",$BR397&lt;&gt;"N/A"),"Power Cable, ","")&amp;IF(AND($BS397&lt;&gt;"Yes",$BS397&lt;&gt;"N/A"),"Battery, ","")&amp;IF(AND($AD397&lt;&gt;"Yes",$AD397&lt;&gt;"N/A"),"Firmware Download, ","")&amp;IF(AND(OR($AD397="Yes",$AD397="N/A"),$AE397&lt;&gt;"Yes",$AE397&lt;&gt;"N/A"),"Firmware Install, ","")&amp;IF(AND($CB397&lt;&gt;"Yes",$CB397&lt;&gt;"N/A"),"Device ID, ","")&amp;IF(AND($CC397&lt;&gt;"Yes",$CC397&lt;&gt;"N/A"),"Epic Beans Relay, ",""))-2)))</f>
        <v/>
      </c>
      <c r="CE397">
        <f>IF($Y397="","",IF($CD397="","Yes","Blocked"))</f>
        <v/>
      </c>
      <c r="CP397">
        <f>IF($CO397="","",IFERROR(VLOOKUP($CO397,'01_Warehouse_Ledger'!$A:$N,4,FALSE),""))</f>
        <v/>
      </c>
      <c r="CQ397">
        <f>IF($CO397="","",IFERROR(VLOOKUP($CO397,'01_Warehouse_Ledger'!$A:$N,5,FALSE),""))</f>
        <v/>
      </c>
      <c r="CR397">
        <f>IF($CO397="","",IFERROR(VLOOKUP($CO397,'01_Warehouse_Ledger'!$A:$N,13,FALSE),""))</f>
        <v/>
      </c>
      <c r="CW397">
        <f>IF($S397="","",IF(UPPER(TRIM($S397))&lt;&gt;"PASS","",IF(LEN(TRIM($BY397))&gt;0,"NOTES_PRESENT",IF(LEN(TRIM($T397))=0,"SET_NA",IF(OR(LOWER(TRIM($T397))="na",LOWER(TRIM($T397))="n/a"),"OK","MANUAL_OVERRIDE")))))</f>
        <v/>
      </c>
    </row>
    <row r="398">
      <c r="B398" t="inlineStr">
        <is>
          <t>No</t>
        </is>
      </c>
      <c r="C398" t="inlineStr">
        <is>
          <t>No</t>
        </is>
      </c>
      <c r="D398">
        <f>IF($B398&lt;&gt;"Yes","",IF($C398="No","Yes",IF($C398="Yes","No","")))</f>
        <v/>
      </c>
      <c r="E398">
        <f>IF($A398="","",IF(OR(AND($V398&lt;&gt;"",LOWER(TRIM($V398))&lt;&gt;"n/a",LOWER(TRIM($V398))&lt;&gt;"na",SUMPRODUCT(--(UPPER(TRIM($V$2:$V$518))=UPPER(TRIM($V398))),--(TRIM($V$2:$V$518)&lt;&gt;""),--(LOWER(TRIM($V$2:$V$518))&lt;&gt;"n/a"),--(LOWER(TRIM($V$2:$V$518))&lt;&gt;"na"))&gt;1),AND($W398&lt;&gt;"",LOWER(TRIM($W398))&lt;&gt;"n/a",LOWER(TRIM($W398))&lt;&gt;"na",SUMPRODUCT(--(UPPER(TRIM($W$2:$W$518))=UPPER(TRIM($W398))),--(TRIM($W$2:$W$518)&lt;&gt;""),--(LOWER(TRIM($W$2:$W$518))&lt;&gt;"n/a"),--(LOWER(TRIM($W$2:$W$518))&lt;&gt;"na"))&gt;1),AND($X398&lt;&gt;"",LOWER(TRIM($X398))&lt;&gt;"n/a",LOWER(TRIM($X398))&lt;&gt;"na",SUMPRODUCT(--(UPPER(TRIM($X$2:$X$518))=UPPER(TRIM($X398))),--(TRIM($X$2:$X$518)&lt;&gt;""),--(LOWER(TRIM($X$2:$X$518))&lt;&gt;"n/a"),--(LOWER(TRIM($X$2:$X$518))&lt;&gt;"na"))&gt;1),AND($Y398&lt;&gt;"",LOWER(TRIM($Y398))&lt;&gt;"n/a",LOWER(TRIM($Y398))&lt;&gt;"na",SUMPRODUCT(--(UPPER(SUBSTITUTE(SUBSTITUTE(TRIM($Y$2:$Y$518),":",""),"-",""))=UPPER(SUBSTITUTE(SUBSTITUTE(TRIM($Y398),":",""),"-",""))),--(TRIM($Y$2:$Y$518)&lt;&gt;""),--(LOWER(TRIM($Y$2:$Y$518))&lt;&gt;"n/a"),--(LOWER(TRIM($Y$2:$Y$518))&lt;&gt;"na"))&gt;1),AND($AB398&lt;&gt;"",LOWER(TRIM($AB398))&lt;&gt;"n/a",LOWER(TRIM($AB398))&lt;&gt;"na",SUMPRODUCT(--(UPPER(TRIM($AB$2:$AB$518))=UPPER(TRIM($AB398))),--(TRIM($AB$2:$AB$518)&lt;&gt;""),--(LOWER(TRIM($AB$2:$AB$518))&lt;&gt;"n/a"),--(LOWER(TRIM($AB$2:$AB$518))&lt;&gt;"na"))&gt;1),AND($AH398&lt;&gt;"",LOWER(TRIM($AH398))&lt;&gt;"n/a",LOWER(TRIM($AH398))&lt;&gt;"na",SUMPRODUCT(--(UPPER(SUBSTITUTE(SUBSTITUTE(TRIM($AH$2:$AH$518),":",""),"-",""))=UPPER(SUBSTITUTE(SUBSTITUTE(TRIM($AH398),":",""),"-",""))),--(TRIM($AH$2:$AH$518)&lt;&gt;""),--(LOWER(TRIM($AH$2:$AH$518))&lt;&gt;"n/a"),--(LOWER(TRIM($AH$2:$AH$518))&lt;&gt;"na"))&gt;1),AND($AP398&lt;&gt;"",LOWER(TRIM($AP398))&lt;&gt;"n/a",LOWER(TRIM($AP398))&lt;&gt;"na",SUMPRODUCT(--(UPPER(TRIM($AP$2:$AP$518))=UPPER(TRIM($AP398))),--(TRIM($AP$2:$AP$518)&lt;&gt;""),--(LOWER(TRIM($AP$2:$AP$518))&lt;&gt;"n/a"),--(LOWER(TRIM($AP$2:$AP$518))&lt;&gt;"na"))&gt;1),AND($AQ398&lt;&gt;"",LOWER(TRIM($AQ398))&lt;&gt;"n/a",LOWER(TRIM($AQ398))&lt;&gt;"na",SUMPRODUCT(--(UPPER(TRIM($AQ$2:$AQ$518))=UPPER(TRIM($AQ398))),--(TRIM($AQ$2:$AQ$518)&lt;&gt;""),--(LOWER(TRIM($AQ$2:$AQ$518))&lt;&gt;"n/a"),--(LOWER(TRIM($AQ$2:$AQ$518))&lt;&gt;"na"))&gt;1)),"Yes","No"))</f>
        <v/>
      </c>
      <c r="F398">
        <f>IF(UPPER(TRIM($B398))&lt;&gt;"YES","", IF(OR(AND($V398&lt;&gt;"", LOWER(TRIM($V398))&lt;&gt;"n/a", LOWER(TRIM($V398))&lt;&gt;"na", SUMPRODUCT(--(UPPER(TRIM($V$2:$V$518))=UPPER(TRIM($V398))), --(UPPER(TRIM($B$2:$B$518))="YES"), --(UPPER(TRIM($G$2:$G$518)&amp;TRIM($I$2:$I$518)&amp;TRIM($J$2:$J$518))&lt;&gt;UPPER(TRIM($G398)&amp;TRIM($I398)&amp;TRIM($J398))))&gt;0), AND($W398&lt;&gt;"", LOWER(TRIM($W398))&lt;&gt;"n/a", LOWER(TRIM($W398))&lt;&gt;"na", SUMPRODUCT(--(UPPER(TRIM($W$2:$W$518))=UPPER(TRIM($W398))), --(UPPER(TRIM($B$2:$B$518))="YES"), --(UPPER(TRIM($G$2:$G$518)&amp;TRIM($I$2:$I$518)&amp;TRIM($J$2:$J$518))&lt;&gt;UPPER(TRIM($G398)&amp;TRIM($I398)&amp;TRIM($J398))))&gt;0), AND($X398&lt;&gt;"", LOWER(TRIM($X398))&lt;&gt;"n/a", LOWER(TRIM($X398))&lt;&gt;"na", SUMPRODUCT(--(UPPER(TRIM($X$2:$X$518))=UPPER(TRIM($X398))), --(UPPER(TRIM($B$2:$B$518))="YES"), --(UPPER(TRIM($G$2:$G$518)&amp;TRIM($I$2:$I$518)&amp;TRIM($J$2:$J$518))&lt;&gt;UPPER(TRIM($G398)&amp;TRIM($I398)&amp;TRIM($J398))))&gt;0), AND($Y398&lt;&gt;"", LOWER(TRIM($Y398))&lt;&gt;"n/a", LOWER(TRIM($Y398))&lt;&gt;"na", SUMPRODUCT(--(UPPER(SUBSTITUTE(SUBSTITUTE(TRIM($Y$2:$Y$518),":",""),"-",""))=UPPER(SUBSTITUTE(SUBSTITUTE(TRIM($Y398),":",""),"-",""))), --(UPPER(TRIM($B$2:$B$518))="YES"), --(UPPER(TRIM($G$2:$G$518)&amp;TRIM($I$2:$I$518)&amp;TRIM($J$2:$J$518))&lt;&gt;UPPER(TRIM($G398)&amp;TRIM($I398)&amp;TRIM($J398))))&gt;0), AND($AB398&lt;&gt;"", LOWER(TRIM($AB398))&lt;&gt;"n/a", LOWER(TRIM($AB398))&lt;&gt;"na", SUMPRODUCT(--(UPPER(TRIM($AB$2:$AB$518))=UPPER(TRIM($AB398))), --(UPPER(TRIM($B$2:$B$518))="YES"), --(UPPER(TRIM($G$2:$G$518)&amp;TRIM($I$2:$I$518)&amp;TRIM($J$2:$J$518))&lt;&gt;UPPER(TRIM($G398)&amp;TRIM($I398)&amp;TRIM($J398))))&gt;0), AND($AH398&lt;&gt;"", LOWER(TRIM($AH398))&lt;&gt;"n/a", LOWER(TRIM($AH398))&lt;&gt;"na", SUMPRODUCT(--(UPPER(SUBSTITUTE(SUBSTITUTE(TRIM($AH$2:$AH$518),":",""),"-",""))=UPPER(SUBSTITUTE(SUBSTITUTE(TRIM($AH398),":",""),"-",""))), --(UPPER(TRIM($B$2:$B$518))="YES"), --(UPPER(TRIM($G$2:$G$518)&amp;TRIM($I$2:$I$518)&amp;TRIM($J$2:$J$518))&lt;&gt;UPPER(TRIM($G398)&amp;TRIM($I398)&amp;TRIM($J398))))&gt;0), AND($AP398&lt;&gt;"", LOWER(TRIM($AP398))&lt;&gt;"n/a", LOWER(TRIM($AP398))&lt;&gt;"na", SUMPRODUCT(--(UPPER(TRIM($AP$2:$AP$518))=UPPER(TRIM($AP398))), --(UPPER(TRIM($B$2:$B$518))="YES"), --(UPPER(TRIM($G$2:$G$518)&amp;TRIM($I$2:$I$518)&amp;TRIM($J$2:$J$518))&lt;&gt;UPPER(TRIM($G398)&amp;TRIM($I398)&amp;TRIM($J398))))&gt;0), AND($AQ398&lt;&gt;"", LOWER(TRIM($AQ398))&lt;&gt;"n/a", LOWER(TRIM($AQ398))&lt;&gt;"na", SUMPRODUCT(--(UPPER(TRIM($AQ$2:$AQ$518))=UPPER(TRIM($AQ398))), --(UPPER(TRIM($B$2:$B$518))="YES"), --(UPPER(TRIM($G$2:$G$518)&amp;TRIM($I$2:$I$518)&amp;TRIM($J$2:$J$518))&lt;&gt;UPPER(TRIM($G398)&amp;TRIM($I398)&amp;TRIM($J398))))&gt;0)), "Yes", "No"))</f>
        <v/>
      </c>
      <c r="CD398">
        <f>IF($Y398="","",IF((IF(AND($BR398&lt;&gt;"Yes",$BR398&lt;&gt;"N/A"),"Power Cable, ","")&amp;IF(AND($BS398&lt;&gt;"Yes",$BS398&lt;&gt;"N/A"),"Battery, ","")&amp;IF(AND($AD398&lt;&gt;"Yes",$AD398&lt;&gt;"N/A"),"Firmware Download, ","")&amp;IF(AND(OR($AD398="Yes",$AD398="N/A"),$AE398&lt;&gt;"Yes",$AE398&lt;&gt;"N/A"),"Firmware Install, ","")&amp;IF(AND($CB398&lt;&gt;"Yes",$CB398&lt;&gt;"N/A"),"Device ID, ","")&amp;IF(AND($CC398&lt;&gt;"Yes",$CC398&lt;&gt;"N/A"),"Epic Beans Relay, ",""))="","",LEFT(IF(AND($BR398&lt;&gt;"Yes",$BR398&lt;&gt;"N/A"),"Power Cable, ","")&amp;IF(AND($BS398&lt;&gt;"Yes",$BS398&lt;&gt;"N/A"),"Battery, ","")&amp;IF(AND($AD398&lt;&gt;"Yes",$AD398&lt;&gt;"N/A"),"Firmware Download, ","")&amp;IF(AND(OR($AD398="Yes",$AD398="N/A"),$AE398&lt;&gt;"Yes",$AE398&lt;&gt;"N/A"),"Firmware Install, ","")&amp;IF(AND($CB398&lt;&gt;"Yes",$CB398&lt;&gt;"N/A"),"Device ID, ","")&amp;IF(AND($CC398&lt;&gt;"Yes",$CC398&lt;&gt;"N/A"),"Epic Beans Relay, ",""),LEN(IF(AND($BR398&lt;&gt;"Yes",$BR398&lt;&gt;"N/A"),"Power Cable, ","")&amp;IF(AND($BS398&lt;&gt;"Yes",$BS398&lt;&gt;"N/A"),"Battery, ","")&amp;IF(AND($AD398&lt;&gt;"Yes",$AD398&lt;&gt;"N/A"),"Firmware Download, ","")&amp;IF(AND(OR($AD398="Yes",$AD398="N/A"),$AE398&lt;&gt;"Yes",$AE398&lt;&gt;"N/A"),"Firmware Install, ","")&amp;IF(AND($CB398&lt;&gt;"Yes",$CB398&lt;&gt;"N/A"),"Device ID, ","")&amp;IF(AND($CC398&lt;&gt;"Yes",$CC398&lt;&gt;"N/A"),"Epic Beans Relay, ",""))-2)))</f>
        <v/>
      </c>
      <c r="CE398">
        <f>IF($Y398="","",IF($CD398="","Yes","Blocked"))</f>
        <v/>
      </c>
      <c r="CP398">
        <f>IF($CO398="","",IFERROR(VLOOKUP($CO398,'01_Warehouse_Ledger'!$A:$N,4,FALSE),""))</f>
        <v/>
      </c>
      <c r="CQ398">
        <f>IF($CO398="","",IFERROR(VLOOKUP($CO398,'01_Warehouse_Ledger'!$A:$N,5,FALSE),""))</f>
        <v/>
      </c>
      <c r="CR398">
        <f>IF($CO398="","",IFERROR(VLOOKUP($CO398,'01_Warehouse_Ledger'!$A:$N,13,FALSE),""))</f>
        <v/>
      </c>
      <c r="CW398">
        <f>IF($S398="","",IF(UPPER(TRIM($S398))&lt;&gt;"PASS","",IF(LEN(TRIM($BY398))&gt;0,"NOTES_PRESENT",IF(LEN(TRIM($T398))=0,"SET_NA",IF(OR(LOWER(TRIM($T398))="na",LOWER(TRIM($T398))="n/a"),"OK","MANUAL_OVERRIDE")))))</f>
        <v/>
      </c>
    </row>
    <row r="399">
      <c r="B399" t="inlineStr">
        <is>
          <t>No</t>
        </is>
      </c>
      <c r="C399" t="inlineStr">
        <is>
          <t>No</t>
        </is>
      </c>
      <c r="D399">
        <f>IF($B399&lt;&gt;"Yes","",IF($C399="No","Yes",IF($C399="Yes","No","")))</f>
        <v/>
      </c>
      <c r="E399">
        <f>IF($A399="","",IF(OR(AND($V399&lt;&gt;"",LOWER(TRIM($V399))&lt;&gt;"n/a",LOWER(TRIM($V399))&lt;&gt;"na",SUMPRODUCT(--(UPPER(TRIM($V$2:$V$518))=UPPER(TRIM($V399))),--(TRIM($V$2:$V$518)&lt;&gt;""),--(LOWER(TRIM($V$2:$V$518))&lt;&gt;"n/a"),--(LOWER(TRIM($V$2:$V$518))&lt;&gt;"na"))&gt;1),AND($W399&lt;&gt;"",LOWER(TRIM($W399))&lt;&gt;"n/a",LOWER(TRIM($W399))&lt;&gt;"na",SUMPRODUCT(--(UPPER(TRIM($W$2:$W$518))=UPPER(TRIM($W399))),--(TRIM($W$2:$W$518)&lt;&gt;""),--(LOWER(TRIM($W$2:$W$518))&lt;&gt;"n/a"),--(LOWER(TRIM($W$2:$W$518))&lt;&gt;"na"))&gt;1),AND($X399&lt;&gt;"",LOWER(TRIM($X399))&lt;&gt;"n/a",LOWER(TRIM($X399))&lt;&gt;"na",SUMPRODUCT(--(UPPER(TRIM($X$2:$X$518))=UPPER(TRIM($X399))),--(TRIM($X$2:$X$518)&lt;&gt;""),--(LOWER(TRIM($X$2:$X$518))&lt;&gt;"n/a"),--(LOWER(TRIM($X$2:$X$518))&lt;&gt;"na"))&gt;1),AND($Y399&lt;&gt;"",LOWER(TRIM($Y399))&lt;&gt;"n/a",LOWER(TRIM($Y399))&lt;&gt;"na",SUMPRODUCT(--(UPPER(SUBSTITUTE(SUBSTITUTE(TRIM($Y$2:$Y$518),":",""),"-",""))=UPPER(SUBSTITUTE(SUBSTITUTE(TRIM($Y399),":",""),"-",""))),--(TRIM($Y$2:$Y$518)&lt;&gt;""),--(LOWER(TRIM($Y$2:$Y$518))&lt;&gt;"n/a"),--(LOWER(TRIM($Y$2:$Y$518))&lt;&gt;"na"))&gt;1),AND($AB399&lt;&gt;"",LOWER(TRIM($AB399))&lt;&gt;"n/a",LOWER(TRIM($AB399))&lt;&gt;"na",SUMPRODUCT(--(UPPER(TRIM($AB$2:$AB$518))=UPPER(TRIM($AB399))),--(TRIM($AB$2:$AB$518)&lt;&gt;""),--(LOWER(TRIM($AB$2:$AB$518))&lt;&gt;"n/a"),--(LOWER(TRIM($AB$2:$AB$518))&lt;&gt;"na"))&gt;1),AND($AH399&lt;&gt;"",LOWER(TRIM($AH399))&lt;&gt;"n/a",LOWER(TRIM($AH399))&lt;&gt;"na",SUMPRODUCT(--(UPPER(SUBSTITUTE(SUBSTITUTE(TRIM($AH$2:$AH$518),":",""),"-",""))=UPPER(SUBSTITUTE(SUBSTITUTE(TRIM($AH399),":",""),"-",""))),--(TRIM($AH$2:$AH$518)&lt;&gt;""),--(LOWER(TRIM($AH$2:$AH$518))&lt;&gt;"n/a"),--(LOWER(TRIM($AH$2:$AH$518))&lt;&gt;"na"))&gt;1),AND($AP399&lt;&gt;"",LOWER(TRIM($AP399))&lt;&gt;"n/a",LOWER(TRIM($AP399))&lt;&gt;"na",SUMPRODUCT(--(UPPER(TRIM($AP$2:$AP$518))=UPPER(TRIM($AP399))),--(TRIM($AP$2:$AP$518)&lt;&gt;""),--(LOWER(TRIM($AP$2:$AP$518))&lt;&gt;"n/a"),--(LOWER(TRIM($AP$2:$AP$518))&lt;&gt;"na"))&gt;1),AND($AQ399&lt;&gt;"",LOWER(TRIM($AQ399))&lt;&gt;"n/a",LOWER(TRIM($AQ399))&lt;&gt;"na",SUMPRODUCT(--(UPPER(TRIM($AQ$2:$AQ$518))=UPPER(TRIM($AQ399))),--(TRIM($AQ$2:$AQ$518)&lt;&gt;""),--(LOWER(TRIM($AQ$2:$AQ$518))&lt;&gt;"n/a"),--(LOWER(TRIM($AQ$2:$AQ$518))&lt;&gt;"na"))&gt;1)),"Yes","No"))</f>
        <v/>
      </c>
      <c r="F399">
        <f>IF(UPPER(TRIM($B399))&lt;&gt;"YES","", IF(OR(AND($V399&lt;&gt;"", LOWER(TRIM($V399))&lt;&gt;"n/a", LOWER(TRIM($V399))&lt;&gt;"na", SUMPRODUCT(--(UPPER(TRIM($V$2:$V$518))=UPPER(TRIM($V399))), --(UPPER(TRIM($B$2:$B$518))="YES"), --(UPPER(TRIM($G$2:$G$518)&amp;TRIM($I$2:$I$518)&amp;TRIM($J$2:$J$518))&lt;&gt;UPPER(TRIM($G399)&amp;TRIM($I399)&amp;TRIM($J399))))&gt;0), AND($W399&lt;&gt;"", LOWER(TRIM($W399))&lt;&gt;"n/a", LOWER(TRIM($W399))&lt;&gt;"na", SUMPRODUCT(--(UPPER(TRIM($W$2:$W$518))=UPPER(TRIM($W399))), --(UPPER(TRIM($B$2:$B$518))="YES"), --(UPPER(TRIM($G$2:$G$518)&amp;TRIM($I$2:$I$518)&amp;TRIM($J$2:$J$518))&lt;&gt;UPPER(TRIM($G399)&amp;TRIM($I399)&amp;TRIM($J399))))&gt;0), AND($X399&lt;&gt;"", LOWER(TRIM($X399))&lt;&gt;"n/a", LOWER(TRIM($X399))&lt;&gt;"na", SUMPRODUCT(--(UPPER(TRIM($X$2:$X$518))=UPPER(TRIM($X399))), --(UPPER(TRIM($B$2:$B$518))="YES"), --(UPPER(TRIM($G$2:$G$518)&amp;TRIM($I$2:$I$518)&amp;TRIM($J$2:$J$518))&lt;&gt;UPPER(TRIM($G399)&amp;TRIM($I399)&amp;TRIM($J399))))&gt;0), AND($Y399&lt;&gt;"", LOWER(TRIM($Y399))&lt;&gt;"n/a", LOWER(TRIM($Y399))&lt;&gt;"na", SUMPRODUCT(--(UPPER(SUBSTITUTE(SUBSTITUTE(TRIM($Y$2:$Y$518),":",""),"-",""))=UPPER(SUBSTITUTE(SUBSTITUTE(TRIM($Y399),":",""),"-",""))), --(UPPER(TRIM($B$2:$B$518))="YES"), --(UPPER(TRIM($G$2:$G$518)&amp;TRIM($I$2:$I$518)&amp;TRIM($J$2:$J$518))&lt;&gt;UPPER(TRIM($G399)&amp;TRIM($I399)&amp;TRIM($J399))))&gt;0), AND($AB399&lt;&gt;"", LOWER(TRIM($AB399))&lt;&gt;"n/a", LOWER(TRIM($AB399))&lt;&gt;"na", SUMPRODUCT(--(UPPER(TRIM($AB$2:$AB$518))=UPPER(TRIM($AB399))), --(UPPER(TRIM($B$2:$B$518))="YES"), --(UPPER(TRIM($G$2:$G$518)&amp;TRIM($I$2:$I$518)&amp;TRIM($J$2:$J$518))&lt;&gt;UPPER(TRIM($G399)&amp;TRIM($I399)&amp;TRIM($J399))))&gt;0), AND($AH399&lt;&gt;"", LOWER(TRIM($AH399))&lt;&gt;"n/a", LOWER(TRIM($AH399))&lt;&gt;"na", SUMPRODUCT(--(UPPER(SUBSTITUTE(SUBSTITUTE(TRIM($AH$2:$AH$518),":",""),"-",""))=UPPER(SUBSTITUTE(SUBSTITUTE(TRIM($AH399),":",""),"-",""))), --(UPPER(TRIM($B$2:$B$518))="YES"), --(UPPER(TRIM($G$2:$G$518)&amp;TRIM($I$2:$I$518)&amp;TRIM($J$2:$J$518))&lt;&gt;UPPER(TRIM($G399)&amp;TRIM($I399)&amp;TRIM($J399))))&gt;0), AND($AP399&lt;&gt;"", LOWER(TRIM($AP399))&lt;&gt;"n/a", LOWER(TRIM($AP399))&lt;&gt;"na", SUMPRODUCT(--(UPPER(TRIM($AP$2:$AP$518))=UPPER(TRIM($AP399))), --(UPPER(TRIM($B$2:$B$518))="YES"), --(UPPER(TRIM($G$2:$G$518)&amp;TRIM($I$2:$I$518)&amp;TRIM($J$2:$J$518))&lt;&gt;UPPER(TRIM($G399)&amp;TRIM($I399)&amp;TRIM($J399))))&gt;0), AND($AQ399&lt;&gt;"", LOWER(TRIM($AQ399))&lt;&gt;"n/a", LOWER(TRIM($AQ399))&lt;&gt;"na", SUMPRODUCT(--(UPPER(TRIM($AQ$2:$AQ$518))=UPPER(TRIM($AQ399))), --(UPPER(TRIM($B$2:$B$518))="YES"), --(UPPER(TRIM($G$2:$G$518)&amp;TRIM($I$2:$I$518)&amp;TRIM($J$2:$J$518))&lt;&gt;UPPER(TRIM($G399)&amp;TRIM($I399)&amp;TRIM($J399))))&gt;0)), "Yes", "No"))</f>
        <v/>
      </c>
      <c r="CD399">
        <f>IF($Y399="","",IF((IF(AND($BR399&lt;&gt;"Yes",$BR399&lt;&gt;"N/A"),"Power Cable, ","")&amp;IF(AND($BS399&lt;&gt;"Yes",$BS399&lt;&gt;"N/A"),"Battery, ","")&amp;IF(AND($AD399&lt;&gt;"Yes",$AD399&lt;&gt;"N/A"),"Firmware Download, ","")&amp;IF(AND(OR($AD399="Yes",$AD399="N/A"),$AE399&lt;&gt;"Yes",$AE399&lt;&gt;"N/A"),"Firmware Install, ","")&amp;IF(AND($CB399&lt;&gt;"Yes",$CB399&lt;&gt;"N/A"),"Device ID, ","")&amp;IF(AND($CC399&lt;&gt;"Yes",$CC399&lt;&gt;"N/A"),"Epic Beans Relay, ",""))="","",LEFT(IF(AND($BR399&lt;&gt;"Yes",$BR399&lt;&gt;"N/A"),"Power Cable, ","")&amp;IF(AND($BS399&lt;&gt;"Yes",$BS399&lt;&gt;"N/A"),"Battery, ","")&amp;IF(AND($AD399&lt;&gt;"Yes",$AD399&lt;&gt;"N/A"),"Firmware Download, ","")&amp;IF(AND(OR($AD399="Yes",$AD399="N/A"),$AE399&lt;&gt;"Yes",$AE399&lt;&gt;"N/A"),"Firmware Install, ","")&amp;IF(AND($CB399&lt;&gt;"Yes",$CB399&lt;&gt;"N/A"),"Device ID, ","")&amp;IF(AND($CC399&lt;&gt;"Yes",$CC399&lt;&gt;"N/A"),"Epic Beans Relay, ",""),LEN(IF(AND($BR399&lt;&gt;"Yes",$BR399&lt;&gt;"N/A"),"Power Cable, ","")&amp;IF(AND($BS399&lt;&gt;"Yes",$BS399&lt;&gt;"N/A"),"Battery, ","")&amp;IF(AND($AD399&lt;&gt;"Yes",$AD399&lt;&gt;"N/A"),"Firmware Download, ","")&amp;IF(AND(OR($AD399="Yes",$AD399="N/A"),$AE399&lt;&gt;"Yes",$AE399&lt;&gt;"N/A"),"Firmware Install, ","")&amp;IF(AND($CB399&lt;&gt;"Yes",$CB399&lt;&gt;"N/A"),"Device ID, ","")&amp;IF(AND($CC399&lt;&gt;"Yes",$CC399&lt;&gt;"N/A"),"Epic Beans Relay, ",""))-2)))</f>
        <v/>
      </c>
      <c r="CE399">
        <f>IF($Y399="","",IF($CD399="","Yes","Blocked"))</f>
        <v/>
      </c>
      <c r="CP399">
        <f>IF($CO399="","",IFERROR(VLOOKUP($CO399,'01_Warehouse_Ledger'!$A:$N,4,FALSE),""))</f>
        <v/>
      </c>
      <c r="CQ399">
        <f>IF($CO399="","",IFERROR(VLOOKUP($CO399,'01_Warehouse_Ledger'!$A:$N,5,FALSE),""))</f>
        <v/>
      </c>
      <c r="CR399">
        <f>IF($CO399="","",IFERROR(VLOOKUP($CO399,'01_Warehouse_Ledger'!$A:$N,13,FALSE),""))</f>
        <v/>
      </c>
      <c r="CW399">
        <f>IF($S399="","",IF(UPPER(TRIM($S399))&lt;&gt;"PASS","",IF(LEN(TRIM($BY399))&gt;0,"NOTES_PRESENT",IF(LEN(TRIM($T399))=0,"SET_NA",IF(OR(LOWER(TRIM($T399))="na",LOWER(TRIM($T399))="n/a"),"OK","MANUAL_OVERRIDE")))))</f>
        <v/>
      </c>
    </row>
    <row r="400">
      <c r="B400" t="inlineStr">
        <is>
          <t>No</t>
        </is>
      </c>
      <c r="C400" t="inlineStr">
        <is>
          <t>No</t>
        </is>
      </c>
      <c r="D400">
        <f>IF($B400&lt;&gt;"Yes","",IF($C400="No","Yes",IF($C400="Yes","No","")))</f>
        <v/>
      </c>
      <c r="E400">
        <f>IF($A400="","",IF(OR(AND($V400&lt;&gt;"",LOWER(TRIM($V400))&lt;&gt;"n/a",LOWER(TRIM($V400))&lt;&gt;"na",SUMPRODUCT(--(UPPER(TRIM($V$2:$V$518))=UPPER(TRIM($V400))),--(TRIM($V$2:$V$518)&lt;&gt;""),--(LOWER(TRIM($V$2:$V$518))&lt;&gt;"n/a"),--(LOWER(TRIM($V$2:$V$518))&lt;&gt;"na"))&gt;1),AND($W400&lt;&gt;"",LOWER(TRIM($W400))&lt;&gt;"n/a",LOWER(TRIM($W400))&lt;&gt;"na",SUMPRODUCT(--(UPPER(TRIM($W$2:$W$518))=UPPER(TRIM($W400))),--(TRIM($W$2:$W$518)&lt;&gt;""),--(LOWER(TRIM($W$2:$W$518))&lt;&gt;"n/a"),--(LOWER(TRIM($W$2:$W$518))&lt;&gt;"na"))&gt;1),AND($X400&lt;&gt;"",LOWER(TRIM($X400))&lt;&gt;"n/a",LOWER(TRIM($X400))&lt;&gt;"na",SUMPRODUCT(--(UPPER(TRIM($X$2:$X$518))=UPPER(TRIM($X400))),--(TRIM($X$2:$X$518)&lt;&gt;""),--(LOWER(TRIM($X$2:$X$518))&lt;&gt;"n/a"),--(LOWER(TRIM($X$2:$X$518))&lt;&gt;"na"))&gt;1),AND($Y400&lt;&gt;"",LOWER(TRIM($Y400))&lt;&gt;"n/a",LOWER(TRIM($Y400))&lt;&gt;"na",SUMPRODUCT(--(UPPER(SUBSTITUTE(SUBSTITUTE(TRIM($Y$2:$Y$518),":",""),"-",""))=UPPER(SUBSTITUTE(SUBSTITUTE(TRIM($Y400),":",""),"-",""))),--(TRIM($Y$2:$Y$518)&lt;&gt;""),--(LOWER(TRIM($Y$2:$Y$518))&lt;&gt;"n/a"),--(LOWER(TRIM($Y$2:$Y$518))&lt;&gt;"na"))&gt;1),AND($AB400&lt;&gt;"",LOWER(TRIM($AB400))&lt;&gt;"n/a",LOWER(TRIM($AB400))&lt;&gt;"na",SUMPRODUCT(--(UPPER(TRIM($AB$2:$AB$518))=UPPER(TRIM($AB400))),--(TRIM($AB$2:$AB$518)&lt;&gt;""),--(LOWER(TRIM($AB$2:$AB$518))&lt;&gt;"n/a"),--(LOWER(TRIM($AB$2:$AB$518))&lt;&gt;"na"))&gt;1),AND($AH400&lt;&gt;"",LOWER(TRIM($AH400))&lt;&gt;"n/a",LOWER(TRIM($AH400))&lt;&gt;"na",SUMPRODUCT(--(UPPER(SUBSTITUTE(SUBSTITUTE(TRIM($AH$2:$AH$518),":",""),"-",""))=UPPER(SUBSTITUTE(SUBSTITUTE(TRIM($AH400),":",""),"-",""))),--(TRIM($AH$2:$AH$518)&lt;&gt;""),--(LOWER(TRIM($AH$2:$AH$518))&lt;&gt;"n/a"),--(LOWER(TRIM($AH$2:$AH$518))&lt;&gt;"na"))&gt;1),AND($AP400&lt;&gt;"",LOWER(TRIM($AP400))&lt;&gt;"n/a",LOWER(TRIM($AP400))&lt;&gt;"na",SUMPRODUCT(--(UPPER(TRIM($AP$2:$AP$518))=UPPER(TRIM($AP400))),--(TRIM($AP$2:$AP$518)&lt;&gt;""),--(LOWER(TRIM($AP$2:$AP$518))&lt;&gt;"n/a"),--(LOWER(TRIM($AP$2:$AP$518))&lt;&gt;"na"))&gt;1),AND($AQ400&lt;&gt;"",LOWER(TRIM($AQ400))&lt;&gt;"n/a",LOWER(TRIM($AQ400))&lt;&gt;"na",SUMPRODUCT(--(UPPER(TRIM($AQ$2:$AQ$518))=UPPER(TRIM($AQ400))),--(TRIM($AQ$2:$AQ$518)&lt;&gt;""),--(LOWER(TRIM($AQ$2:$AQ$518))&lt;&gt;"n/a"),--(LOWER(TRIM($AQ$2:$AQ$518))&lt;&gt;"na"))&gt;1)),"Yes","No"))</f>
        <v/>
      </c>
      <c r="F400">
        <f>IF(UPPER(TRIM($B400))&lt;&gt;"YES","", IF(OR(AND($V400&lt;&gt;"", LOWER(TRIM($V400))&lt;&gt;"n/a", LOWER(TRIM($V400))&lt;&gt;"na", SUMPRODUCT(--(UPPER(TRIM($V$2:$V$518))=UPPER(TRIM($V400))), --(UPPER(TRIM($B$2:$B$518))="YES"), --(UPPER(TRIM($G$2:$G$518)&amp;TRIM($I$2:$I$518)&amp;TRIM($J$2:$J$518))&lt;&gt;UPPER(TRIM($G400)&amp;TRIM($I400)&amp;TRIM($J400))))&gt;0), AND($W400&lt;&gt;"", LOWER(TRIM($W400))&lt;&gt;"n/a", LOWER(TRIM($W400))&lt;&gt;"na", SUMPRODUCT(--(UPPER(TRIM($W$2:$W$518))=UPPER(TRIM($W400))), --(UPPER(TRIM($B$2:$B$518))="YES"), --(UPPER(TRIM($G$2:$G$518)&amp;TRIM($I$2:$I$518)&amp;TRIM($J$2:$J$518))&lt;&gt;UPPER(TRIM($G400)&amp;TRIM($I400)&amp;TRIM($J400))))&gt;0), AND($X400&lt;&gt;"", LOWER(TRIM($X400))&lt;&gt;"n/a", LOWER(TRIM($X400))&lt;&gt;"na", SUMPRODUCT(--(UPPER(TRIM($X$2:$X$518))=UPPER(TRIM($X400))), --(UPPER(TRIM($B$2:$B$518))="YES"), --(UPPER(TRIM($G$2:$G$518)&amp;TRIM($I$2:$I$518)&amp;TRIM($J$2:$J$518))&lt;&gt;UPPER(TRIM($G400)&amp;TRIM($I400)&amp;TRIM($J400))))&gt;0), AND($Y400&lt;&gt;"", LOWER(TRIM($Y400))&lt;&gt;"n/a", LOWER(TRIM($Y400))&lt;&gt;"na", SUMPRODUCT(--(UPPER(SUBSTITUTE(SUBSTITUTE(TRIM($Y$2:$Y$518),":",""),"-",""))=UPPER(SUBSTITUTE(SUBSTITUTE(TRIM($Y400),":",""),"-",""))), --(UPPER(TRIM($B$2:$B$518))="YES"), --(UPPER(TRIM($G$2:$G$518)&amp;TRIM($I$2:$I$518)&amp;TRIM($J$2:$J$518))&lt;&gt;UPPER(TRIM($G400)&amp;TRIM($I400)&amp;TRIM($J400))))&gt;0), AND($AB400&lt;&gt;"", LOWER(TRIM($AB400))&lt;&gt;"n/a", LOWER(TRIM($AB400))&lt;&gt;"na", SUMPRODUCT(--(UPPER(TRIM($AB$2:$AB$518))=UPPER(TRIM($AB400))), --(UPPER(TRIM($B$2:$B$518))="YES"), --(UPPER(TRIM($G$2:$G$518)&amp;TRIM($I$2:$I$518)&amp;TRIM($J$2:$J$518))&lt;&gt;UPPER(TRIM($G400)&amp;TRIM($I400)&amp;TRIM($J400))))&gt;0), AND($AH400&lt;&gt;"", LOWER(TRIM($AH400))&lt;&gt;"n/a", LOWER(TRIM($AH400))&lt;&gt;"na", SUMPRODUCT(--(UPPER(SUBSTITUTE(SUBSTITUTE(TRIM($AH$2:$AH$518),":",""),"-",""))=UPPER(SUBSTITUTE(SUBSTITUTE(TRIM($AH400),":",""),"-",""))), --(UPPER(TRIM($B$2:$B$518))="YES"), --(UPPER(TRIM($G$2:$G$518)&amp;TRIM($I$2:$I$518)&amp;TRIM($J$2:$J$518))&lt;&gt;UPPER(TRIM($G400)&amp;TRIM($I400)&amp;TRIM($J400))))&gt;0), AND($AP400&lt;&gt;"", LOWER(TRIM($AP400))&lt;&gt;"n/a", LOWER(TRIM($AP400))&lt;&gt;"na", SUMPRODUCT(--(UPPER(TRIM($AP$2:$AP$518))=UPPER(TRIM($AP400))), --(UPPER(TRIM($B$2:$B$518))="YES"), --(UPPER(TRIM($G$2:$G$518)&amp;TRIM($I$2:$I$518)&amp;TRIM($J$2:$J$518))&lt;&gt;UPPER(TRIM($G400)&amp;TRIM($I400)&amp;TRIM($J400))))&gt;0), AND($AQ400&lt;&gt;"", LOWER(TRIM($AQ400))&lt;&gt;"n/a", LOWER(TRIM($AQ400))&lt;&gt;"na", SUMPRODUCT(--(UPPER(TRIM($AQ$2:$AQ$518))=UPPER(TRIM($AQ400))), --(UPPER(TRIM($B$2:$B$518))="YES"), --(UPPER(TRIM($G$2:$G$518)&amp;TRIM($I$2:$I$518)&amp;TRIM($J$2:$J$518))&lt;&gt;UPPER(TRIM($G400)&amp;TRIM($I400)&amp;TRIM($J400))))&gt;0)), "Yes", "No"))</f>
        <v/>
      </c>
      <c r="CD400">
        <f>IF($Y400="","",IF((IF(AND($BR400&lt;&gt;"Yes",$BR400&lt;&gt;"N/A"),"Power Cable, ","")&amp;IF(AND($BS400&lt;&gt;"Yes",$BS400&lt;&gt;"N/A"),"Battery, ","")&amp;IF(AND($AD400&lt;&gt;"Yes",$AD400&lt;&gt;"N/A"),"Firmware Download, ","")&amp;IF(AND(OR($AD400="Yes",$AD400="N/A"),$AE400&lt;&gt;"Yes",$AE400&lt;&gt;"N/A"),"Firmware Install, ","")&amp;IF(AND($CB400&lt;&gt;"Yes",$CB400&lt;&gt;"N/A"),"Device ID, ","")&amp;IF(AND($CC400&lt;&gt;"Yes",$CC400&lt;&gt;"N/A"),"Epic Beans Relay, ",""))="","",LEFT(IF(AND($BR400&lt;&gt;"Yes",$BR400&lt;&gt;"N/A"),"Power Cable, ","")&amp;IF(AND($BS400&lt;&gt;"Yes",$BS400&lt;&gt;"N/A"),"Battery, ","")&amp;IF(AND($AD400&lt;&gt;"Yes",$AD400&lt;&gt;"N/A"),"Firmware Download, ","")&amp;IF(AND(OR($AD400="Yes",$AD400="N/A"),$AE400&lt;&gt;"Yes",$AE400&lt;&gt;"N/A"),"Firmware Install, ","")&amp;IF(AND($CB400&lt;&gt;"Yes",$CB400&lt;&gt;"N/A"),"Device ID, ","")&amp;IF(AND($CC400&lt;&gt;"Yes",$CC400&lt;&gt;"N/A"),"Epic Beans Relay, ",""),LEN(IF(AND($BR400&lt;&gt;"Yes",$BR400&lt;&gt;"N/A"),"Power Cable, ","")&amp;IF(AND($BS400&lt;&gt;"Yes",$BS400&lt;&gt;"N/A"),"Battery, ","")&amp;IF(AND($AD400&lt;&gt;"Yes",$AD400&lt;&gt;"N/A"),"Firmware Download, ","")&amp;IF(AND(OR($AD400="Yes",$AD400="N/A"),$AE400&lt;&gt;"Yes",$AE400&lt;&gt;"N/A"),"Firmware Install, ","")&amp;IF(AND($CB400&lt;&gt;"Yes",$CB400&lt;&gt;"N/A"),"Device ID, ","")&amp;IF(AND($CC400&lt;&gt;"Yes",$CC400&lt;&gt;"N/A"),"Epic Beans Relay, ",""))-2)))</f>
        <v/>
      </c>
      <c r="CE400">
        <f>IF($Y400="","",IF($CD400="","Yes","Blocked"))</f>
        <v/>
      </c>
      <c r="CP400">
        <f>IF($CO400="","",IFERROR(VLOOKUP($CO400,'01_Warehouse_Ledger'!$A:$N,4,FALSE),""))</f>
        <v/>
      </c>
      <c r="CQ400">
        <f>IF($CO400="","",IFERROR(VLOOKUP($CO400,'01_Warehouse_Ledger'!$A:$N,5,FALSE),""))</f>
        <v/>
      </c>
      <c r="CR400">
        <f>IF($CO400="","",IFERROR(VLOOKUP($CO400,'01_Warehouse_Ledger'!$A:$N,13,FALSE),""))</f>
        <v/>
      </c>
      <c r="CW400">
        <f>IF($S400="","",IF(UPPER(TRIM($S400))&lt;&gt;"PASS","",IF(LEN(TRIM($BY400))&gt;0,"NOTES_PRESENT",IF(LEN(TRIM($T400))=0,"SET_NA",IF(OR(LOWER(TRIM($T400))="na",LOWER(TRIM($T400))="n/a"),"OK","MANUAL_OVERRIDE")))))</f>
        <v/>
      </c>
    </row>
    <row r="401">
      <c r="B401" t="inlineStr">
        <is>
          <t>No</t>
        </is>
      </c>
      <c r="C401" t="inlineStr">
        <is>
          <t>No</t>
        </is>
      </c>
      <c r="D401">
        <f>IF($B401&lt;&gt;"Yes","",IF($C401="No","Yes",IF($C401="Yes","No","")))</f>
        <v/>
      </c>
      <c r="E401">
        <f>IF($A401="","",IF(OR(AND($V401&lt;&gt;"",LOWER(TRIM($V401))&lt;&gt;"n/a",LOWER(TRIM($V401))&lt;&gt;"na",SUMPRODUCT(--(UPPER(TRIM($V$2:$V$518))=UPPER(TRIM($V401))),--(TRIM($V$2:$V$518)&lt;&gt;""),--(LOWER(TRIM($V$2:$V$518))&lt;&gt;"n/a"),--(LOWER(TRIM($V$2:$V$518))&lt;&gt;"na"))&gt;1),AND($W401&lt;&gt;"",LOWER(TRIM($W401))&lt;&gt;"n/a",LOWER(TRIM($W401))&lt;&gt;"na",SUMPRODUCT(--(UPPER(TRIM($W$2:$W$518))=UPPER(TRIM($W401))),--(TRIM($W$2:$W$518)&lt;&gt;""),--(LOWER(TRIM($W$2:$W$518))&lt;&gt;"n/a"),--(LOWER(TRIM($W$2:$W$518))&lt;&gt;"na"))&gt;1),AND($X401&lt;&gt;"",LOWER(TRIM($X401))&lt;&gt;"n/a",LOWER(TRIM($X401))&lt;&gt;"na",SUMPRODUCT(--(UPPER(TRIM($X$2:$X$518))=UPPER(TRIM($X401))),--(TRIM($X$2:$X$518)&lt;&gt;""),--(LOWER(TRIM($X$2:$X$518))&lt;&gt;"n/a"),--(LOWER(TRIM($X$2:$X$518))&lt;&gt;"na"))&gt;1),AND($Y401&lt;&gt;"",LOWER(TRIM($Y401))&lt;&gt;"n/a",LOWER(TRIM($Y401))&lt;&gt;"na",SUMPRODUCT(--(UPPER(SUBSTITUTE(SUBSTITUTE(TRIM($Y$2:$Y$518),":",""),"-",""))=UPPER(SUBSTITUTE(SUBSTITUTE(TRIM($Y401),":",""),"-",""))),--(TRIM($Y$2:$Y$518)&lt;&gt;""),--(LOWER(TRIM($Y$2:$Y$518))&lt;&gt;"n/a"),--(LOWER(TRIM($Y$2:$Y$518))&lt;&gt;"na"))&gt;1),AND($AB401&lt;&gt;"",LOWER(TRIM($AB401))&lt;&gt;"n/a",LOWER(TRIM($AB401))&lt;&gt;"na",SUMPRODUCT(--(UPPER(TRIM($AB$2:$AB$518))=UPPER(TRIM($AB401))),--(TRIM($AB$2:$AB$518)&lt;&gt;""),--(LOWER(TRIM($AB$2:$AB$518))&lt;&gt;"n/a"),--(LOWER(TRIM($AB$2:$AB$518))&lt;&gt;"na"))&gt;1),AND($AH401&lt;&gt;"",LOWER(TRIM($AH401))&lt;&gt;"n/a",LOWER(TRIM($AH401))&lt;&gt;"na",SUMPRODUCT(--(UPPER(SUBSTITUTE(SUBSTITUTE(TRIM($AH$2:$AH$518),":",""),"-",""))=UPPER(SUBSTITUTE(SUBSTITUTE(TRIM($AH401),":",""),"-",""))),--(TRIM($AH$2:$AH$518)&lt;&gt;""),--(LOWER(TRIM($AH$2:$AH$518))&lt;&gt;"n/a"),--(LOWER(TRIM($AH$2:$AH$518))&lt;&gt;"na"))&gt;1),AND($AP401&lt;&gt;"",LOWER(TRIM($AP401))&lt;&gt;"n/a",LOWER(TRIM($AP401))&lt;&gt;"na",SUMPRODUCT(--(UPPER(TRIM($AP$2:$AP$518))=UPPER(TRIM($AP401))),--(TRIM($AP$2:$AP$518)&lt;&gt;""),--(LOWER(TRIM($AP$2:$AP$518))&lt;&gt;"n/a"),--(LOWER(TRIM($AP$2:$AP$518))&lt;&gt;"na"))&gt;1),AND($AQ401&lt;&gt;"",LOWER(TRIM($AQ401))&lt;&gt;"n/a",LOWER(TRIM($AQ401))&lt;&gt;"na",SUMPRODUCT(--(UPPER(TRIM($AQ$2:$AQ$518))=UPPER(TRIM($AQ401))),--(TRIM($AQ$2:$AQ$518)&lt;&gt;""),--(LOWER(TRIM($AQ$2:$AQ$518))&lt;&gt;"n/a"),--(LOWER(TRIM($AQ$2:$AQ$518))&lt;&gt;"na"))&gt;1)),"Yes","No"))</f>
        <v/>
      </c>
      <c r="F401">
        <f>IF(UPPER(TRIM($B401))&lt;&gt;"YES","", IF(OR(AND($V401&lt;&gt;"", LOWER(TRIM($V401))&lt;&gt;"n/a", LOWER(TRIM($V401))&lt;&gt;"na", SUMPRODUCT(--(UPPER(TRIM($V$2:$V$518))=UPPER(TRIM($V401))), --(UPPER(TRIM($B$2:$B$518))="YES"), --(UPPER(TRIM($G$2:$G$518)&amp;TRIM($I$2:$I$518)&amp;TRIM($J$2:$J$518))&lt;&gt;UPPER(TRIM($G401)&amp;TRIM($I401)&amp;TRIM($J401))))&gt;0), AND($W401&lt;&gt;"", LOWER(TRIM($W401))&lt;&gt;"n/a", LOWER(TRIM($W401))&lt;&gt;"na", SUMPRODUCT(--(UPPER(TRIM($W$2:$W$518))=UPPER(TRIM($W401))), --(UPPER(TRIM($B$2:$B$518))="YES"), --(UPPER(TRIM($G$2:$G$518)&amp;TRIM($I$2:$I$518)&amp;TRIM($J$2:$J$518))&lt;&gt;UPPER(TRIM($G401)&amp;TRIM($I401)&amp;TRIM($J401))))&gt;0), AND($X401&lt;&gt;"", LOWER(TRIM($X401))&lt;&gt;"n/a", LOWER(TRIM($X401))&lt;&gt;"na", SUMPRODUCT(--(UPPER(TRIM($X$2:$X$518))=UPPER(TRIM($X401))), --(UPPER(TRIM($B$2:$B$518))="YES"), --(UPPER(TRIM($G$2:$G$518)&amp;TRIM($I$2:$I$518)&amp;TRIM($J$2:$J$518))&lt;&gt;UPPER(TRIM($G401)&amp;TRIM($I401)&amp;TRIM($J401))))&gt;0), AND($Y401&lt;&gt;"", LOWER(TRIM($Y401))&lt;&gt;"n/a", LOWER(TRIM($Y401))&lt;&gt;"na", SUMPRODUCT(--(UPPER(SUBSTITUTE(SUBSTITUTE(TRIM($Y$2:$Y$518),":",""),"-",""))=UPPER(SUBSTITUTE(SUBSTITUTE(TRIM($Y401),":",""),"-",""))), --(UPPER(TRIM($B$2:$B$518))="YES"), --(UPPER(TRIM($G$2:$G$518)&amp;TRIM($I$2:$I$518)&amp;TRIM($J$2:$J$518))&lt;&gt;UPPER(TRIM($G401)&amp;TRIM($I401)&amp;TRIM($J401))))&gt;0), AND($AB401&lt;&gt;"", LOWER(TRIM($AB401))&lt;&gt;"n/a", LOWER(TRIM($AB401))&lt;&gt;"na", SUMPRODUCT(--(UPPER(TRIM($AB$2:$AB$518))=UPPER(TRIM($AB401))), --(UPPER(TRIM($B$2:$B$518))="YES"), --(UPPER(TRIM($G$2:$G$518)&amp;TRIM($I$2:$I$518)&amp;TRIM($J$2:$J$518))&lt;&gt;UPPER(TRIM($G401)&amp;TRIM($I401)&amp;TRIM($J401))))&gt;0), AND($AH401&lt;&gt;"", LOWER(TRIM($AH401))&lt;&gt;"n/a", LOWER(TRIM($AH401))&lt;&gt;"na", SUMPRODUCT(--(UPPER(SUBSTITUTE(SUBSTITUTE(TRIM($AH$2:$AH$518),":",""),"-",""))=UPPER(SUBSTITUTE(SUBSTITUTE(TRIM($AH401),":",""),"-",""))), --(UPPER(TRIM($B$2:$B$518))="YES"), --(UPPER(TRIM($G$2:$G$518)&amp;TRIM($I$2:$I$518)&amp;TRIM($J$2:$J$518))&lt;&gt;UPPER(TRIM($G401)&amp;TRIM($I401)&amp;TRIM($J401))))&gt;0), AND($AP401&lt;&gt;"", LOWER(TRIM($AP401))&lt;&gt;"n/a", LOWER(TRIM($AP401))&lt;&gt;"na", SUMPRODUCT(--(UPPER(TRIM($AP$2:$AP$518))=UPPER(TRIM($AP401))), --(UPPER(TRIM($B$2:$B$518))="YES"), --(UPPER(TRIM($G$2:$G$518)&amp;TRIM($I$2:$I$518)&amp;TRIM($J$2:$J$518))&lt;&gt;UPPER(TRIM($G401)&amp;TRIM($I401)&amp;TRIM($J401))))&gt;0), AND($AQ401&lt;&gt;"", LOWER(TRIM($AQ401))&lt;&gt;"n/a", LOWER(TRIM($AQ401))&lt;&gt;"na", SUMPRODUCT(--(UPPER(TRIM($AQ$2:$AQ$518))=UPPER(TRIM($AQ401))), --(UPPER(TRIM($B$2:$B$518))="YES"), --(UPPER(TRIM($G$2:$G$518)&amp;TRIM($I$2:$I$518)&amp;TRIM($J$2:$J$518))&lt;&gt;UPPER(TRIM($G401)&amp;TRIM($I401)&amp;TRIM($J401))))&gt;0)), "Yes", "No"))</f>
        <v/>
      </c>
      <c r="CD401">
        <f>IF($Y401="","",IF((IF(AND($BR401&lt;&gt;"Yes",$BR401&lt;&gt;"N/A"),"Power Cable, ","")&amp;IF(AND($BS401&lt;&gt;"Yes",$BS401&lt;&gt;"N/A"),"Battery, ","")&amp;IF(AND($AD401&lt;&gt;"Yes",$AD401&lt;&gt;"N/A"),"Firmware Download, ","")&amp;IF(AND(OR($AD401="Yes",$AD401="N/A"),$AE401&lt;&gt;"Yes",$AE401&lt;&gt;"N/A"),"Firmware Install, ","")&amp;IF(AND($CB401&lt;&gt;"Yes",$CB401&lt;&gt;"N/A"),"Device ID, ","")&amp;IF(AND($CC401&lt;&gt;"Yes",$CC401&lt;&gt;"N/A"),"Epic Beans Relay, ",""))="","",LEFT(IF(AND($BR401&lt;&gt;"Yes",$BR401&lt;&gt;"N/A"),"Power Cable, ","")&amp;IF(AND($BS401&lt;&gt;"Yes",$BS401&lt;&gt;"N/A"),"Battery, ","")&amp;IF(AND($AD401&lt;&gt;"Yes",$AD401&lt;&gt;"N/A"),"Firmware Download, ","")&amp;IF(AND(OR($AD401="Yes",$AD401="N/A"),$AE401&lt;&gt;"Yes",$AE401&lt;&gt;"N/A"),"Firmware Install, ","")&amp;IF(AND($CB401&lt;&gt;"Yes",$CB401&lt;&gt;"N/A"),"Device ID, ","")&amp;IF(AND($CC401&lt;&gt;"Yes",$CC401&lt;&gt;"N/A"),"Epic Beans Relay, ",""),LEN(IF(AND($BR401&lt;&gt;"Yes",$BR401&lt;&gt;"N/A"),"Power Cable, ","")&amp;IF(AND($BS401&lt;&gt;"Yes",$BS401&lt;&gt;"N/A"),"Battery, ","")&amp;IF(AND($AD401&lt;&gt;"Yes",$AD401&lt;&gt;"N/A"),"Firmware Download, ","")&amp;IF(AND(OR($AD401="Yes",$AD401="N/A"),$AE401&lt;&gt;"Yes",$AE401&lt;&gt;"N/A"),"Firmware Install, ","")&amp;IF(AND($CB401&lt;&gt;"Yes",$CB401&lt;&gt;"N/A"),"Device ID, ","")&amp;IF(AND($CC401&lt;&gt;"Yes",$CC401&lt;&gt;"N/A"),"Epic Beans Relay, ",""))-2)))</f>
        <v/>
      </c>
      <c r="CE401">
        <f>IF($Y401="","",IF($CD401="","Yes","Blocked"))</f>
        <v/>
      </c>
      <c r="CP401">
        <f>IF($CO401="","",IFERROR(VLOOKUP($CO401,'01_Warehouse_Ledger'!$A:$N,4,FALSE),""))</f>
        <v/>
      </c>
      <c r="CQ401">
        <f>IF($CO401="","",IFERROR(VLOOKUP($CO401,'01_Warehouse_Ledger'!$A:$N,5,FALSE),""))</f>
        <v/>
      </c>
      <c r="CR401">
        <f>IF($CO401="","",IFERROR(VLOOKUP($CO401,'01_Warehouse_Ledger'!$A:$N,13,FALSE),""))</f>
        <v/>
      </c>
      <c r="CW401">
        <f>IF($S401="","",IF(UPPER(TRIM($S401))&lt;&gt;"PASS","",IF(LEN(TRIM($BY401))&gt;0,"NOTES_PRESENT",IF(LEN(TRIM($T401))=0,"SET_NA",IF(OR(LOWER(TRIM($T401))="na",LOWER(TRIM($T401))="n/a"),"OK","MANUAL_OVERRIDE")))))</f>
        <v/>
      </c>
    </row>
    <row r="402">
      <c r="B402" t="inlineStr">
        <is>
          <t>No</t>
        </is>
      </c>
      <c r="C402" t="inlineStr">
        <is>
          <t>No</t>
        </is>
      </c>
      <c r="D402">
        <f>IF($B402&lt;&gt;"Yes","",IF($C402="No","Yes",IF($C402="Yes","No","")))</f>
        <v/>
      </c>
      <c r="E402">
        <f>IF($A402="","",IF(OR(AND($V402&lt;&gt;"",LOWER(TRIM($V402))&lt;&gt;"n/a",LOWER(TRIM($V402))&lt;&gt;"na",SUMPRODUCT(--(UPPER(TRIM($V$2:$V$518))=UPPER(TRIM($V402))),--(TRIM($V$2:$V$518)&lt;&gt;""),--(LOWER(TRIM($V$2:$V$518))&lt;&gt;"n/a"),--(LOWER(TRIM($V$2:$V$518))&lt;&gt;"na"))&gt;1),AND($W402&lt;&gt;"",LOWER(TRIM($W402))&lt;&gt;"n/a",LOWER(TRIM($W402))&lt;&gt;"na",SUMPRODUCT(--(UPPER(TRIM($W$2:$W$518))=UPPER(TRIM($W402))),--(TRIM($W$2:$W$518)&lt;&gt;""),--(LOWER(TRIM($W$2:$W$518))&lt;&gt;"n/a"),--(LOWER(TRIM($W$2:$W$518))&lt;&gt;"na"))&gt;1),AND($X402&lt;&gt;"",LOWER(TRIM($X402))&lt;&gt;"n/a",LOWER(TRIM($X402))&lt;&gt;"na",SUMPRODUCT(--(UPPER(TRIM($X$2:$X$518))=UPPER(TRIM($X402))),--(TRIM($X$2:$X$518)&lt;&gt;""),--(LOWER(TRIM($X$2:$X$518))&lt;&gt;"n/a"),--(LOWER(TRIM($X$2:$X$518))&lt;&gt;"na"))&gt;1),AND($Y402&lt;&gt;"",LOWER(TRIM($Y402))&lt;&gt;"n/a",LOWER(TRIM($Y402))&lt;&gt;"na",SUMPRODUCT(--(UPPER(SUBSTITUTE(SUBSTITUTE(TRIM($Y$2:$Y$518),":",""),"-",""))=UPPER(SUBSTITUTE(SUBSTITUTE(TRIM($Y402),":",""),"-",""))),--(TRIM($Y$2:$Y$518)&lt;&gt;""),--(LOWER(TRIM($Y$2:$Y$518))&lt;&gt;"n/a"),--(LOWER(TRIM($Y$2:$Y$518))&lt;&gt;"na"))&gt;1),AND($AB402&lt;&gt;"",LOWER(TRIM($AB402))&lt;&gt;"n/a",LOWER(TRIM($AB402))&lt;&gt;"na",SUMPRODUCT(--(UPPER(TRIM($AB$2:$AB$518))=UPPER(TRIM($AB402))),--(TRIM($AB$2:$AB$518)&lt;&gt;""),--(LOWER(TRIM($AB$2:$AB$518))&lt;&gt;"n/a"),--(LOWER(TRIM($AB$2:$AB$518))&lt;&gt;"na"))&gt;1),AND($AH402&lt;&gt;"",LOWER(TRIM($AH402))&lt;&gt;"n/a",LOWER(TRIM($AH402))&lt;&gt;"na",SUMPRODUCT(--(UPPER(SUBSTITUTE(SUBSTITUTE(TRIM($AH$2:$AH$518),":",""),"-",""))=UPPER(SUBSTITUTE(SUBSTITUTE(TRIM($AH402),":",""),"-",""))),--(TRIM($AH$2:$AH$518)&lt;&gt;""),--(LOWER(TRIM($AH$2:$AH$518))&lt;&gt;"n/a"),--(LOWER(TRIM($AH$2:$AH$518))&lt;&gt;"na"))&gt;1),AND($AP402&lt;&gt;"",LOWER(TRIM($AP402))&lt;&gt;"n/a",LOWER(TRIM($AP402))&lt;&gt;"na",SUMPRODUCT(--(UPPER(TRIM($AP$2:$AP$518))=UPPER(TRIM($AP402))),--(TRIM($AP$2:$AP$518)&lt;&gt;""),--(LOWER(TRIM($AP$2:$AP$518))&lt;&gt;"n/a"),--(LOWER(TRIM($AP$2:$AP$518))&lt;&gt;"na"))&gt;1),AND($AQ402&lt;&gt;"",LOWER(TRIM($AQ402))&lt;&gt;"n/a",LOWER(TRIM($AQ402))&lt;&gt;"na",SUMPRODUCT(--(UPPER(TRIM($AQ$2:$AQ$518))=UPPER(TRIM($AQ402))),--(TRIM($AQ$2:$AQ$518)&lt;&gt;""),--(LOWER(TRIM($AQ$2:$AQ$518))&lt;&gt;"n/a"),--(LOWER(TRIM($AQ$2:$AQ$518))&lt;&gt;"na"))&gt;1)),"Yes","No"))</f>
        <v/>
      </c>
      <c r="F402">
        <f>IF(UPPER(TRIM($B402))&lt;&gt;"YES","", IF(OR(AND($V402&lt;&gt;"", LOWER(TRIM($V402))&lt;&gt;"n/a", LOWER(TRIM($V402))&lt;&gt;"na", SUMPRODUCT(--(UPPER(TRIM($V$2:$V$518))=UPPER(TRIM($V402))), --(UPPER(TRIM($B$2:$B$518))="YES"), --(UPPER(TRIM($G$2:$G$518)&amp;TRIM($I$2:$I$518)&amp;TRIM($J$2:$J$518))&lt;&gt;UPPER(TRIM($G402)&amp;TRIM($I402)&amp;TRIM($J402))))&gt;0), AND($W402&lt;&gt;"", LOWER(TRIM($W402))&lt;&gt;"n/a", LOWER(TRIM($W402))&lt;&gt;"na", SUMPRODUCT(--(UPPER(TRIM($W$2:$W$518))=UPPER(TRIM($W402))), --(UPPER(TRIM($B$2:$B$518))="YES"), --(UPPER(TRIM($G$2:$G$518)&amp;TRIM($I$2:$I$518)&amp;TRIM($J$2:$J$518))&lt;&gt;UPPER(TRIM($G402)&amp;TRIM($I402)&amp;TRIM($J402))))&gt;0), AND($X402&lt;&gt;"", LOWER(TRIM($X402))&lt;&gt;"n/a", LOWER(TRIM($X402))&lt;&gt;"na", SUMPRODUCT(--(UPPER(TRIM($X$2:$X$518))=UPPER(TRIM($X402))), --(UPPER(TRIM($B$2:$B$518))="YES"), --(UPPER(TRIM($G$2:$G$518)&amp;TRIM($I$2:$I$518)&amp;TRIM($J$2:$J$518))&lt;&gt;UPPER(TRIM($G402)&amp;TRIM($I402)&amp;TRIM($J402))))&gt;0), AND($Y402&lt;&gt;"", LOWER(TRIM($Y402))&lt;&gt;"n/a", LOWER(TRIM($Y402))&lt;&gt;"na", SUMPRODUCT(--(UPPER(SUBSTITUTE(SUBSTITUTE(TRIM($Y$2:$Y$518),":",""),"-",""))=UPPER(SUBSTITUTE(SUBSTITUTE(TRIM($Y402),":",""),"-",""))), --(UPPER(TRIM($B$2:$B$518))="YES"), --(UPPER(TRIM($G$2:$G$518)&amp;TRIM($I$2:$I$518)&amp;TRIM($J$2:$J$518))&lt;&gt;UPPER(TRIM($G402)&amp;TRIM($I402)&amp;TRIM($J402))))&gt;0), AND($AB402&lt;&gt;"", LOWER(TRIM($AB402))&lt;&gt;"n/a", LOWER(TRIM($AB402))&lt;&gt;"na", SUMPRODUCT(--(UPPER(TRIM($AB$2:$AB$518))=UPPER(TRIM($AB402))), --(UPPER(TRIM($B$2:$B$518))="YES"), --(UPPER(TRIM($G$2:$G$518)&amp;TRIM($I$2:$I$518)&amp;TRIM($J$2:$J$518))&lt;&gt;UPPER(TRIM($G402)&amp;TRIM($I402)&amp;TRIM($J402))))&gt;0), AND($AH402&lt;&gt;"", LOWER(TRIM($AH402))&lt;&gt;"n/a", LOWER(TRIM($AH402))&lt;&gt;"na", SUMPRODUCT(--(UPPER(SUBSTITUTE(SUBSTITUTE(TRIM($AH$2:$AH$518),":",""),"-",""))=UPPER(SUBSTITUTE(SUBSTITUTE(TRIM($AH402),":",""),"-",""))), --(UPPER(TRIM($B$2:$B$518))="YES"), --(UPPER(TRIM($G$2:$G$518)&amp;TRIM($I$2:$I$518)&amp;TRIM($J$2:$J$518))&lt;&gt;UPPER(TRIM($G402)&amp;TRIM($I402)&amp;TRIM($J402))))&gt;0), AND($AP402&lt;&gt;"", LOWER(TRIM($AP402))&lt;&gt;"n/a", LOWER(TRIM($AP402))&lt;&gt;"na", SUMPRODUCT(--(UPPER(TRIM($AP$2:$AP$518))=UPPER(TRIM($AP402))), --(UPPER(TRIM($B$2:$B$518))="YES"), --(UPPER(TRIM($G$2:$G$518)&amp;TRIM($I$2:$I$518)&amp;TRIM($J$2:$J$518))&lt;&gt;UPPER(TRIM($G402)&amp;TRIM($I402)&amp;TRIM($J402))))&gt;0), AND($AQ402&lt;&gt;"", LOWER(TRIM($AQ402))&lt;&gt;"n/a", LOWER(TRIM($AQ402))&lt;&gt;"na", SUMPRODUCT(--(UPPER(TRIM($AQ$2:$AQ$518))=UPPER(TRIM($AQ402))), --(UPPER(TRIM($B$2:$B$518))="YES"), --(UPPER(TRIM($G$2:$G$518)&amp;TRIM($I$2:$I$518)&amp;TRIM($J$2:$J$518))&lt;&gt;UPPER(TRIM($G402)&amp;TRIM($I402)&amp;TRIM($J402))))&gt;0)), "Yes", "No"))</f>
        <v/>
      </c>
      <c r="CD402">
        <f>IF($Y402="","",IF((IF(AND($BR402&lt;&gt;"Yes",$BR402&lt;&gt;"N/A"),"Power Cable, ","")&amp;IF(AND($BS402&lt;&gt;"Yes",$BS402&lt;&gt;"N/A"),"Battery, ","")&amp;IF(AND($AD402&lt;&gt;"Yes",$AD402&lt;&gt;"N/A"),"Firmware Download, ","")&amp;IF(AND(OR($AD402="Yes",$AD402="N/A"),$AE402&lt;&gt;"Yes",$AE402&lt;&gt;"N/A"),"Firmware Install, ","")&amp;IF(AND($CB402&lt;&gt;"Yes",$CB402&lt;&gt;"N/A"),"Device ID, ","")&amp;IF(AND($CC402&lt;&gt;"Yes",$CC402&lt;&gt;"N/A"),"Epic Beans Relay, ",""))="","",LEFT(IF(AND($BR402&lt;&gt;"Yes",$BR402&lt;&gt;"N/A"),"Power Cable, ","")&amp;IF(AND($BS402&lt;&gt;"Yes",$BS402&lt;&gt;"N/A"),"Battery, ","")&amp;IF(AND($AD402&lt;&gt;"Yes",$AD402&lt;&gt;"N/A"),"Firmware Download, ","")&amp;IF(AND(OR($AD402="Yes",$AD402="N/A"),$AE402&lt;&gt;"Yes",$AE402&lt;&gt;"N/A"),"Firmware Install, ","")&amp;IF(AND($CB402&lt;&gt;"Yes",$CB402&lt;&gt;"N/A"),"Device ID, ","")&amp;IF(AND($CC402&lt;&gt;"Yes",$CC402&lt;&gt;"N/A"),"Epic Beans Relay, ",""),LEN(IF(AND($BR402&lt;&gt;"Yes",$BR402&lt;&gt;"N/A"),"Power Cable, ","")&amp;IF(AND($BS402&lt;&gt;"Yes",$BS402&lt;&gt;"N/A"),"Battery, ","")&amp;IF(AND($AD402&lt;&gt;"Yes",$AD402&lt;&gt;"N/A"),"Firmware Download, ","")&amp;IF(AND(OR($AD402="Yes",$AD402="N/A"),$AE402&lt;&gt;"Yes",$AE402&lt;&gt;"N/A"),"Firmware Install, ","")&amp;IF(AND($CB402&lt;&gt;"Yes",$CB402&lt;&gt;"N/A"),"Device ID, ","")&amp;IF(AND($CC402&lt;&gt;"Yes",$CC402&lt;&gt;"N/A"),"Epic Beans Relay, ",""))-2)))</f>
        <v/>
      </c>
      <c r="CE402">
        <f>IF($Y402="","",IF($CD402="","Yes","Blocked"))</f>
        <v/>
      </c>
      <c r="CP402">
        <f>IF($CO402="","",IFERROR(VLOOKUP($CO402,'01_Warehouse_Ledger'!$A:$N,4,FALSE),""))</f>
        <v/>
      </c>
      <c r="CQ402">
        <f>IF($CO402="","",IFERROR(VLOOKUP($CO402,'01_Warehouse_Ledger'!$A:$N,5,FALSE),""))</f>
        <v/>
      </c>
      <c r="CR402">
        <f>IF($CO402="","",IFERROR(VLOOKUP($CO402,'01_Warehouse_Ledger'!$A:$N,13,FALSE),""))</f>
        <v/>
      </c>
      <c r="CW402">
        <f>IF($S402="","",IF(UPPER(TRIM($S402))&lt;&gt;"PASS","",IF(LEN(TRIM($BY402))&gt;0,"NOTES_PRESENT",IF(LEN(TRIM($T402))=0,"SET_NA",IF(OR(LOWER(TRIM($T402))="na",LOWER(TRIM($T402))="n/a"),"OK","MANUAL_OVERRIDE")))))</f>
        <v/>
      </c>
    </row>
    <row r="403">
      <c r="B403" t="inlineStr">
        <is>
          <t>No</t>
        </is>
      </c>
      <c r="C403" t="inlineStr">
        <is>
          <t>No</t>
        </is>
      </c>
      <c r="D403">
        <f>IF($B403&lt;&gt;"Yes","",IF($C403="No","Yes",IF($C403="Yes","No","")))</f>
        <v/>
      </c>
      <c r="E403">
        <f>IF($A403="","",IF(OR(AND($V403&lt;&gt;"",LOWER(TRIM($V403))&lt;&gt;"n/a",LOWER(TRIM($V403))&lt;&gt;"na",SUMPRODUCT(--(UPPER(TRIM($V$2:$V$518))=UPPER(TRIM($V403))),--(TRIM($V$2:$V$518)&lt;&gt;""),--(LOWER(TRIM($V$2:$V$518))&lt;&gt;"n/a"),--(LOWER(TRIM($V$2:$V$518))&lt;&gt;"na"))&gt;1),AND($W403&lt;&gt;"",LOWER(TRIM($W403))&lt;&gt;"n/a",LOWER(TRIM($W403))&lt;&gt;"na",SUMPRODUCT(--(UPPER(TRIM($W$2:$W$518))=UPPER(TRIM($W403))),--(TRIM($W$2:$W$518)&lt;&gt;""),--(LOWER(TRIM($W$2:$W$518))&lt;&gt;"n/a"),--(LOWER(TRIM($W$2:$W$518))&lt;&gt;"na"))&gt;1),AND($X403&lt;&gt;"",LOWER(TRIM($X403))&lt;&gt;"n/a",LOWER(TRIM($X403))&lt;&gt;"na",SUMPRODUCT(--(UPPER(TRIM($X$2:$X$518))=UPPER(TRIM($X403))),--(TRIM($X$2:$X$518)&lt;&gt;""),--(LOWER(TRIM($X$2:$X$518))&lt;&gt;"n/a"),--(LOWER(TRIM($X$2:$X$518))&lt;&gt;"na"))&gt;1),AND($Y403&lt;&gt;"",LOWER(TRIM($Y403))&lt;&gt;"n/a",LOWER(TRIM($Y403))&lt;&gt;"na",SUMPRODUCT(--(UPPER(SUBSTITUTE(SUBSTITUTE(TRIM($Y$2:$Y$518),":",""),"-",""))=UPPER(SUBSTITUTE(SUBSTITUTE(TRIM($Y403),":",""),"-",""))),--(TRIM($Y$2:$Y$518)&lt;&gt;""),--(LOWER(TRIM($Y$2:$Y$518))&lt;&gt;"n/a"),--(LOWER(TRIM($Y$2:$Y$518))&lt;&gt;"na"))&gt;1),AND($AB403&lt;&gt;"",LOWER(TRIM($AB403))&lt;&gt;"n/a",LOWER(TRIM($AB403))&lt;&gt;"na",SUMPRODUCT(--(UPPER(TRIM($AB$2:$AB$518))=UPPER(TRIM($AB403))),--(TRIM($AB$2:$AB$518)&lt;&gt;""),--(LOWER(TRIM($AB$2:$AB$518))&lt;&gt;"n/a"),--(LOWER(TRIM($AB$2:$AB$518))&lt;&gt;"na"))&gt;1),AND($AH403&lt;&gt;"",LOWER(TRIM($AH403))&lt;&gt;"n/a",LOWER(TRIM($AH403))&lt;&gt;"na",SUMPRODUCT(--(UPPER(SUBSTITUTE(SUBSTITUTE(TRIM($AH$2:$AH$518),":",""),"-",""))=UPPER(SUBSTITUTE(SUBSTITUTE(TRIM($AH403),":",""),"-",""))),--(TRIM($AH$2:$AH$518)&lt;&gt;""),--(LOWER(TRIM($AH$2:$AH$518))&lt;&gt;"n/a"),--(LOWER(TRIM($AH$2:$AH$518))&lt;&gt;"na"))&gt;1),AND($AP403&lt;&gt;"",LOWER(TRIM($AP403))&lt;&gt;"n/a",LOWER(TRIM($AP403))&lt;&gt;"na",SUMPRODUCT(--(UPPER(TRIM($AP$2:$AP$518))=UPPER(TRIM($AP403))),--(TRIM($AP$2:$AP$518)&lt;&gt;""),--(LOWER(TRIM($AP$2:$AP$518))&lt;&gt;"n/a"),--(LOWER(TRIM($AP$2:$AP$518))&lt;&gt;"na"))&gt;1),AND($AQ403&lt;&gt;"",LOWER(TRIM($AQ403))&lt;&gt;"n/a",LOWER(TRIM($AQ403))&lt;&gt;"na",SUMPRODUCT(--(UPPER(TRIM($AQ$2:$AQ$518))=UPPER(TRIM($AQ403))),--(TRIM($AQ$2:$AQ$518)&lt;&gt;""),--(LOWER(TRIM($AQ$2:$AQ$518))&lt;&gt;"n/a"),--(LOWER(TRIM($AQ$2:$AQ$518))&lt;&gt;"na"))&gt;1)),"Yes","No"))</f>
        <v/>
      </c>
      <c r="F403">
        <f>IF(UPPER(TRIM($B403))&lt;&gt;"YES","", IF(OR(AND($V403&lt;&gt;"", LOWER(TRIM($V403))&lt;&gt;"n/a", LOWER(TRIM($V403))&lt;&gt;"na", SUMPRODUCT(--(UPPER(TRIM($V$2:$V$518))=UPPER(TRIM($V403))), --(UPPER(TRIM($B$2:$B$518))="YES"), --(UPPER(TRIM($G$2:$G$518)&amp;TRIM($I$2:$I$518)&amp;TRIM($J$2:$J$518))&lt;&gt;UPPER(TRIM($G403)&amp;TRIM($I403)&amp;TRIM($J403))))&gt;0), AND($W403&lt;&gt;"", LOWER(TRIM($W403))&lt;&gt;"n/a", LOWER(TRIM($W403))&lt;&gt;"na", SUMPRODUCT(--(UPPER(TRIM($W$2:$W$518))=UPPER(TRIM($W403))), --(UPPER(TRIM($B$2:$B$518))="YES"), --(UPPER(TRIM($G$2:$G$518)&amp;TRIM($I$2:$I$518)&amp;TRIM($J$2:$J$518))&lt;&gt;UPPER(TRIM($G403)&amp;TRIM($I403)&amp;TRIM($J403))))&gt;0), AND($X403&lt;&gt;"", LOWER(TRIM($X403))&lt;&gt;"n/a", LOWER(TRIM($X403))&lt;&gt;"na", SUMPRODUCT(--(UPPER(TRIM($X$2:$X$518))=UPPER(TRIM($X403))), --(UPPER(TRIM($B$2:$B$518))="YES"), --(UPPER(TRIM($G$2:$G$518)&amp;TRIM($I$2:$I$518)&amp;TRIM($J$2:$J$518))&lt;&gt;UPPER(TRIM($G403)&amp;TRIM($I403)&amp;TRIM($J403))))&gt;0), AND($Y403&lt;&gt;"", LOWER(TRIM($Y403))&lt;&gt;"n/a", LOWER(TRIM($Y403))&lt;&gt;"na", SUMPRODUCT(--(UPPER(SUBSTITUTE(SUBSTITUTE(TRIM($Y$2:$Y$518),":",""),"-",""))=UPPER(SUBSTITUTE(SUBSTITUTE(TRIM($Y403),":",""),"-",""))), --(UPPER(TRIM($B$2:$B$518))="YES"), --(UPPER(TRIM($G$2:$G$518)&amp;TRIM($I$2:$I$518)&amp;TRIM($J$2:$J$518))&lt;&gt;UPPER(TRIM($G403)&amp;TRIM($I403)&amp;TRIM($J403))))&gt;0), AND($AB403&lt;&gt;"", LOWER(TRIM($AB403))&lt;&gt;"n/a", LOWER(TRIM($AB403))&lt;&gt;"na", SUMPRODUCT(--(UPPER(TRIM($AB$2:$AB$518))=UPPER(TRIM($AB403))), --(UPPER(TRIM($B$2:$B$518))="YES"), --(UPPER(TRIM($G$2:$G$518)&amp;TRIM($I$2:$I$518)&amp;TRIM($J$2:$J$518))&lt;&gt;UPPER(TRIM($G403)&amp;TRIM($I403)&amp;TRIM($J403))))&gt;0), AND($AH403&lt;&gt;"", LOWER(TRIM($AH403))&lt;&gt;"n/a", LOWER(TRIM($AH403))&lt;&gt;"na", SUMPRODUCT(--(UPPER(SUBSTITUTE(SUBSTITUTE(TRIM($AH$2:$AH$518),":",""),"-",""))=UPPER(SUBSTITUTE(SUBSTITUTE(TRIM($AH403),":",""),"-",""))), --(UPPER(TRIM($B$2:$B$518))="YES"), --(UPPER(TRIM($G$2:$G$518)&amp;TRIM($I$2:$I$518)&amp;TRIM($J$2:$J$518))&lt;&gt;UPPER(TRIM($G403)&amp;TRIM($I403)&amp;TRIM($J403))))&gt;0), AND($AP403&lt;&gt;"", LOWER(TRIM($AP403))&lt;&gt;"n/a", LOWER(TRIM($AP403))&lt;&gt;"na", SUMPRODUCT(--(UPPER(TRIM($AP$2:$AP$518))=UPPER(TRIM($AP403))), --(UPPER(TRIM($B$2:$B$518))="YES"), --(UPPER(TRIM($G$2:$G$518)&amp;TRIM($I$2:$I$518)&amp;TRIM($J$2:$J$518))&lt;&gt;UPPER(TRIM($G403)&amp;TRIM($I403)&amp;TRIM($J403))))&gt;0), AND($AQ403&lt;&gt;"", LOWER(TRIM($AQ403))&lt;&gt;"n/a", LOWER(TRIM($AQ403))&lt;&gt;"na", SUMPRODUCT(--(UPPER(TRIM($AQ$2:$AQ$518))=UPPER(TRIM($AQ403))), --(UPPER(TRIM($B$2:$B$518))="YES"), --(UPPER(TRIM($G$2:$G$518)&amp;TRIM($I$2:$I$518)&amp;TRIM($J$2:$J$518))&lt;&gt;UPPER(TRIM($G403)&amp;TRIM($I403)&amp;TRIM($J403))))&gt;0)), "Yes", "No"))</f>
        <v/>
      </c>
      <c r="CD403">
        <f>IF($Y403="","",IF((IF(AND($BR403&lt;&gt;"Yes",$BR403&lt;&gt;"N/A"),"Power Cable, ","")&amp;IF(AND($BS403&lt;&gt;"Yes",$BS403&lt;&gt;"N/A"),"Battery, ","")&amp;IF(AND($AD403&lt;&gt;"Yes",$AD403&lt;&gt;"N/A"),"Firmware Download, ","")&amp;IF(AND(OR($AD403="Yes",$AD403="N/A"),$AE403&lt;&gt;"Yes",$AE403&lt;&gt;"N/A"),"Firmware Install, ","")&amp;IF(AND($CB403&lt;&gt;"Yes",$CB403&lt;&gt;"N/A"),"Device ID, ","")&amp;IF(AND($CC403&lt;&gt;"Yes",$CC403&lt;&gt;"N/A"),"Epic Beans Relay, ",""))="","",LEFT(IF(AND($BR403&lt;&gt;"Yes",$BR403&lt;&gt;"N/A"),"Power Cable, ","")&amp;IF(AND($BS403&lt;&gt;"Yes",$BS403&lt;&gt;"N/A"),"Battery, ","")&amp;IF(AND($AD403&lt;&gt;"Yes",$AD403&lt;&gt;"N/A"),"Firmware Download, ","")&amp;IF(AND(OR($AD403="Yes",$AD403="N/A"),$AE403&lt;&gt;"Yes",$AE403&lt;&gt;"N/A"),"Firmware Install, ","")&amp;IF(AND($CB403&lt;&gt;"Yes",$CB403&lt;&gt;"N/A"),"Device ID, ","")&amp;IF(AND($CC403&lt;&gt;"Yes",$CC403&lt;&gt;"N/A"),"Epic Beans Relay, ",""),LEN(IF(AND($BR403&lt;&gt;"Yes",$BR403&lt;&gt;"N/A"),"Power Cable, ","")&amp;IF(AND($BS403&lt;&gt;"Yes",$BS403&lt;&gt;"N/A"),"Battery, ","")&amp;IF(AND($AD403&lt;&gt;"Yes",$AD403&lt;&gt;"N/A"),"Firmware Download, ","")&amp;IF(AND(OR($AD403="Yes",$AD403="N/A"),$AE403&lt;&gt;"Yes",$AE403&lt;&gt;"N/A"),"Firmware Install, ","")&amp;IF(AND($CB403&lt;&gt;"Yes",$CB403&lt;&gt;"N/A"),"Device ID, ","")&amp;IF(AND($CC403&lt;&gt;"Yes",$CC403&lt;&gt;"N/A"),"Epic Beans Relay, ",""))-2)))</f>
        <v/>
      </c>
      <c r="CE403">
        <f>IF($Y403="","",IF($CD403="","Yes","Blocked"))</f>
        <v/>
      </c>
      <c r="CP403">
        <f>IF($CO403="","",IFERROR(VLOOKUP($CO403,'01_Warehouse_Ledger'!$A:$N,4,FALSE),""))</f>
        <v/>
      </c>
      <c r="CQ403">
        <f>IF($CO403="","",IFERROR(VLOOKUP($CO403,'01_Warehouse_Ledger'!$A:$N,5,FALSE),""))</f>
        <v/>
      </c>
      <c r="CR403">
        <f>IF($CO403="","",IFERROR(VLOOKUP($CO403,'01_Warehouse_Ledger'!$A:$N,13,FALSE),""))</f>
        <v/>
      </c>
      <c r="CW403">
        <f>IF($S403="","",IF(UPPER(TRIM($S403))&lt;&gt;"PASS","",IF(LEN(TRIM($BY403))&gt;0,"NOTES_PRESENT",IF(LEN(TRIM($T403))=0,"SET_NA",IF(OR(LOWER(TRIM($T403))="na",LOWER(TRIM($T403))="n/a"),"OK","MANUAL_OVERRIDE")))))</f>
        <v/>
      </c>
    </row>
    <row r="404">
      <c r="B404" t="inlineStr">
        <is>
          <t>No</t>
        </is>
      </c>
      <c r="C404" t="inlineStr">
        <is>
          <t>No</t>
        </is>
      </c>
      <c r="D404">
        <f>IF($B404&lt;&gt;"Yes","",IF($C404="No","Yes",IF($C404="Yes","No","")))</f>
        <v/>
      </c>
      <c r="E404">
        <f>IF($A404="","",IF(OR(AND($V404&lt;&gt;"",LOWER(TRIM($V404))&lt;&gt;"n/a",LOWER(TRIM($V404))&lt;&gt;"na",SUMPRODUCT(--(UPPER(TRIM($V$2:$V$518))=UPPER(TRIM($V404))),--(TRIM($V$2:$V$518)&lt;&gt;""),--(LOWER(TRIM($V$2:$V$518))&lt;&gt;"n/a"),--(LOWER(TRIM($V$2:$V$518))&lt;&gt;"na"))&gt;1),AND($W404&lt;&gt;"",LOWER(TRIM($W404))&lt;&gt;"n/a",LOWER(TRIM($W404))&lt;&gt;"na",SUMPRODUCT(--(UPPER(TRIM($W$2:$W$518))=UPPER(TRIM($W404))),--(TRIM($W$2:$W$518)&lt;&gt;""),--(LOWER(TRIM($W$2:$W$518))&lt;&gt;"n/a"),--(LOWER(TRIM($W$2:$W$518))&lt;&gt;"na"))&gt;1),AND($X404&lt;&gt;"",LOWER(TRIM($X404))&lt;&gt;"n/a",LOWER(TRIM($X404))&lt;&gt;"na",SUMPRODUCT(--(UPPER(TRIM($X$2:$X$518))=UPPER(TRIM($X404))),--(TRIM($X$2:$X$518)&lt;&gt;""),--(LOWER(TRIM($X$2:$X$518))&lt;&gt;"n/a"),--(LOWER(TRIM($X$2:$X$518))&lt;&gt;"na"))&gt;1),AND($Y404&lt;&gt;"",LOWER(TRIM($Y404))&lt;&gt;"n/a",LOWER(TRIM($Y404))&lt;&gt;"na",SUMPRODUCT(--(UPPER(SUBSTITUTE(SUBSTITUTE(TRIM($Y$2:$Y$518),":",""),"-",""))=UPPER(SUBSTITUTE(SUBSTITUTE(TRIM($Y404),":",""),"-",""))),--(TRIM($Y$2:$Y$518)&lt;&gt;""),--(LOWER(TRIM($Y$2:$Y$518))&lt;&gt;"n/a"),--(LOWER(TRIM($Y$2:$Y$518))&lt;&gt;"na"))&gt;1),AND($AB404&lt;&gt;"",LOWER(TRIM($AB404))&lt;&gt;"n/a",LOWER(TRIM($AB404))&lt;&gt;"na",SUMPRODUCT(--(UPPER(TRIM($AB$2:$AB$518))=UPPER(TRIM($AB404))),--(TRIM($AB$2:$AB$518)&lt;&gt;""),--(LOWER(TRIM($AB$2:$AB$518))&lt;&gt;"n/a"),--(LOWER(TRIM($AB$2:$AB$518))&lt;&gt;"na"))&gt;1),AND($AH404&lt;&gt;"",LOWER(TRIM($AH404))&lt;&gt;"n/a",LOWER(TRIM($AH404))&lt;&gt;"na",SUMPRODUCT(--(UPPER(SUBSTITUTE(SUBSTITUTE(TRIM($AH$2:$AH$518),":",""),"-",""))=UPPER(SUBSTITUTE(SUBSTITUTE(TRIM($AH404),":",""),"-",""))),--(TRIM($AH$2:$AH$518)&lt;&gt;""),--(LOWER(TRIM($AH$2:$AH$518))&lt;&gt;"n/a"),--(LOWER(TRIM($AH$2:$AH$518))&lt;&gt;"na"))&gt;1),AND($AP404&lt;&gt;"",LOWER(TRIM($AP404))&lt;&gt;"n/a",LOWER(TRIM($AP404))&lt;&gt;"na",SUMPRODUCT(--(UPPER(TRIM($AP$2:$AP$518))=UPPER(TRIM($AP404))),--(TRIM($AP$2:$AP$518)&lt;&gt;""),--(LOWER(TRIM($AP$2:$AP$518))&lt;&gt;"n/a"),--(LOWER(TRIM($AP$2:$AP$518))&lt;&gt;"na"))&gt;1),AND($AQ404&lt;&gt;"",LOWER(TRIM($AQ404))&lt;&gt;"n/a",LOWER(TRIM($AQ404))&lt;&gt;"na",SUMPRODUCT(--(UPPER(TRIM($AQ$2:$AQ$518))=UPPER(TRIM($AQ404))),--(TRIM($AQ$2:$AQ$518)&lt;&gt;""),--(LOWER(TRIM($AQ$2:$AQ$518))&lt;&gt;"n/a"),--(LOWER(TRIM($AQ$2:$AQ$518))&lt;&gt;"na"))&gt;1)),"Yes","No"))</f>
        <v/>
      </c>
      <c r="F404">
        <f>IF(UPPER(TRIM($B404))&lt;&gt;"YES","", IF(OR(AND($V404&lt;&gt;"", LOWER(TRIM($V404))&lt;&gt;"n/a", LOWER(TRIM($V404))&lt;&gt;"na", SUMPRODUCT(--(UPPER(TRIM($V$2:$V$518))=UPPER(TRIM($V404))), --(UPPER(TRIM($B$2:$B$518))="YES"), --(UPPER(TRIM($G$2:$G$518)&amp;TRIM($I$2:$I$518)&amp;TRIM($J$2:$J$518))&lt;&gt;UPPER(TRIM($G404)&amp;TRIM($I404)&amp;TRIM($J404))))&gt;0), AND($W404&lt;&gt;"", LOWER(TRIM($W404))&lt;&gt;"n/a", LOWER(TRIM($W404))&lt;&gt;"na", SUMPRODUCT(--(UPPER(TRIM($W$2:$W$518))=UPPER(TRIM($W404))), --(UPPER(TRIM($B$2:$B$518))="YES"), --(UPPER(TRIM($G$2:$G$518)&amp;TRIM($I$2:$I$518)&amp;TRIM($J$2:$J$518))&lt;&gt;UPPER(TRIM($G404)&amp;TRIM($I404)&amp;TRIM($J404))))&gt;0), AND($X404&lt;&gt;"", LOWER(TRIM($X404))&lt;&gt;"n/a", LOWER(TRIM($X404))&lt;&gt;"na", SUMPRODUCT(--(UPPER(TRIM($X$2:$X$518))=UPPER(TRIM($X404))), --(UPPER(TRIM($B$2:$B$518))="YES"), --(UPPER(TRIM($G$2:$G$518)&amp;TRIM($I$2:$I$518)&amp;TRIM($J$2:$J$518))&lt;&gt;UPPER(TRIM($G404)&amp;TRIM($I404)&amp;TRIM($J404))))&gt;0), AND($Y404&lt;&gt;"", LOWER(TRIM($Y404))&lt;&gt;"n/a", LOWER(TRIM($Y404))&lt;&gt;"na", SUMPRODUCT(--(UPPER(SUBSTITUTE(SUBSTITUTE(TRIM($Y$2:$Y$518),":",""),"-",""))=UPPER(SUBSTITUTE(SUBSTITUTE(TRIM($Y404),":",""),"-",""))), --(UPPER(TRIM($B$2:$B$518))="YES"), --(UPPER(TRIM($G$2:$G$518)&amp;TRIM($I$2:$I$518)&amp;TRIM($J$2:$J$518))&lt;&gt;UPPER(TRIM($G404)&amp;TRIM($I404)&amp;TRIM($J404))))&gt;0), AND($AB404&lt;&gt;"", LOWER(TRIM($AB404))&lt;&gt;"n/a", LOWER(TRIM($AB404))&lt;&gt;"na", SUMPRODUCT(--(UPPER(TRIM($AB$2:$AB$518))=UPPER(TRIM($AB404))), --(UPPER(TRIM($B$2:$B$518))="YES"), --(UPPER(TRIM($G$2:$G$518)&amp;TRIM($I$2:$I$518)&amp;TRIM($J$2:$J$518))&lt;&gt;UPPER(TRIM($G404)&amp;TRIM($I404)&amp;TRIM($J404))))&gt;0), AND($AH404&lt;&gt;"", LOWER(TRIM($AH404))&lt;&gt;"n/a", LOWER(TRIM($AH404))&lt;&gt;"na", SUMPRODUCT(--(UPPER(SUBSTITUTE(SUBSTITUTE(TRIM($AH$2:$AH$518),":",""),"-",""))=UPPER(SUBSTITUTE(SUBSTITUTE(TRIM($AH404),":",""),"-",""))), --(UPPER(TRIM($B$2:$B$518))="YES"), --(UPPER(TRIM($G$2:$G$518)&amp;TRIM($I$2:$I$518)&amp;TRIM($J$2:$J$518))&lt;&gt;UPPER(TRIM($G404)&amp;TRIM($I404)&amp;TRIM($J404))))&gt;0), AND($AP404&lt;&gt;"", LOWER(TRIM($AP404))&lt;&gt;"n/a", LOWER(TRIM($AP404))&lt;&gt;"na", SUMPRODUCT(--(UPPER(TRIM($AP$2:$AP$518))=UPPER(TRIM($AP404))), --(UPPER(TRIM($B$2:$B$518))="YES"), --(UPPER(TRIM($G$2:$G$518)&amp;TRIM($I$2:$I$518)&amp;TRIM($J$2:$J$518))&lt;&gt;UPPER(TRIM($G404)&amp;TRIM($I404)&amp;TRIM($J404))))&gt;0), AND($AQ404&lt;&gt;"", LOWER(TRIM($AQ404))&lt;&gt;"n/a", LOWER(TRIM($AQ404))&lt;&gt;"na", SUMPRODUCT(--(UPPER(TRIM($AQ$2:$AQ$518))=UPPER(TRIM($AQ404))), --(UPPER(TRIM($B$2:$B$518))="YES"), --(UPPER(TRIM($G$2:$G$518)&amp;TRIM($I$2:$I$518)&amp;TRIM($J$2:$J$518))&lt;&gt;UPPER(TRIM($G404)&amp;TRIM($I404)&amp;TRIM($J404))))&gt;0)), "Yes", "No"))</f>
        <v/>
      </c>
      <c r="CD404">
        <f>IF($Y404="","",IF((IF(AND($BR404&lt;&gt;"Yes",$BR404&lt;&gt;"N/A"),"Power Cable, ","")&amp;IF(AND($BS404&lt;&gt;"Yes",$BS404&lt;&gt;"N/A"),"Battery, ","")&amp;IF(AND($AD404&lt;&gt;"Yes",$AD404&lt;&gt;"N/A"),"Firmware Download, ","")&amp;IF(AND(OR($AD404="Yes",$AD404="N/A"),$AE404&lt;&gt;"Yes",$AE404&lt;&gt;"N/A"),"Firmware Install, ","")&amp;IF(AND($CB404&lt;&gt;"Yes",$CB404&lt;&gt;"N/A"),"Device ID, ","")&amp;IF(AND($CC404&lt;&gt;"Yes",$CC404&lt;&gt;"N/A"),"Epic Beans Relay, ",""))="","",LEFT(IF(AND($BR404&lt;&gt;"Yes",$BR404&lt;&gt;"N/A"),"Power Cable, ","")&amp;IF(AND($BS404&lt;&gt;"Yes",$BS404&lt;&gt;"N/A"),"Battery, ","")&amp;IF(AND($AD404&lt;&gt;"Yes",$AD404&lt;&gt;"N/A"),"Firmware Download, ","")&amp;IF(AND(OR($AD404="Yes",$AD404="N/A"),$AE404&lt;&gt;"Yes",$AE404&lt;&gt;"N/A"),"Firmware Install, ","")&amp;IF(AND($CB404&lt;&gt;"Yes",$CB404&lt;&gt;"N/A"),"Device ID, ","")&amp;IF(AND($CC404&lt;&gt;"Yes",$CC404&lt;&gt;"N/A"),"Epic Beans Relay, ",""),LEN(IF(AND($BR404&lt;&gt;"Yes",$BR404&lt;&gt;"N/A"),"Power Cable, ","")&amp;IF(AND($BS404&lt;&gt;"Yes",$BS404&lt;&gt;"N/A"),"Battery, ","")&amp;IF(AND($AD404&lt;&gt;"Yes",$AD404&lt;&gt;"N/A"),"Firmware Download, ","")&amp;IF(AND(OR($AD404="Yes",$AD404="N/A"),$AE404&lt;&gt;"Yes",$AE404&lt;&gt;"N/A"),"Firmware Install, ","")&amp;IF(AND($CB404&lt;&gt;"Yes",$CB404&lt;&gt;"N/A"),"Device ID, ","")&amp;IF(AND($CC404&lt;&gt;"Yes",$CC404&lt;&gt;"N/A"),"Epic Beans Relay, ",""))-2)))</f>
        <v/>
      </c>
      <c r="CE404">
        <f>IF($Y404="","",IF($CD404="","Yes","Blocked"))</f>
        <v/>
      </c>
      <c r="CP404">
        <f>IF($CO404="","",IFERROR(VLOOKUP($CO404,'01_Warehouse_Ledger'!$A:$N,4,FALSE),""))</f>
        <v/>
      </c>
      <c r="CQ404">
        <f>IF($CO404="","",IFERROR(VLOOKUP($CO404,'01_Warehouse_Ledger'!$A:$N,5,FALSE),""))</f>
        <v/>
      </c>
      <c r="CR404">
        <f>IF($CO404="","",IFERROR(VLOOKUP($CO404,'01_Warehouse_Ledger'!$A:$N,13,FALSE),""))</f>
        <v/>
      </c>
      <c r="CW404">
        <f>IF($S404="","",IF(UPPER(TRIM($S404))&lt;&gt;"PASS","",IF(LEN(TRIM($BY404))&gt;0,"NOTES_PRESENT",IF(LEN(TRIM($T404))=0,"SET_NA",IF(OR(LOWER(TRIM($T404))="na",LOWER(TRIM($T404))="n/a"),"OK","MANUAL_OVERRIDE")))))</f>
        <v/>
      </c>
    </row>
    <row r="405">
      <c r="B405" t="inlineStr">
        <is>
          <t>No</t>
        </is>
      </c>
      <c r="C405" t="inlineStr">
        <is>
          <t>No</t>
        </is>
      </c>
      <c r="D405">
        <f>IF($B405&lt;&gt;"Yes","",IF($C405="No","Yes",IF($C405="Yes","No","")))</f>
        <v/>
      </c>
      <c r="E405">
        <f>IF($A405="","",IF(OR(AND($V405&lt;&gt;"",LOWER(TRIM($V405))&lt;&gt;"n/a",LOWER(TRIM($V405))&lt;&gt;"na",SUMPRODUCT(--(UPPER(TRIM($V$2:$V$518))=UPPER(TRIM($V405))),--(TRIM($V$2:$V$518)&lt;&gt;""),--(LOWER(TRIM($V$2:$V$518))&lt;&gt;"n/a"),--(LOWER(TRIM($V$2:$V$518))&lt;&gt;"na"))&gt;1),AND($W405&lt;&gt;"",LOWER(TRIM($W405))&lt;&gt;"n/a",LOWER(TRIM($W405))&lt;&gt;"na",SUMPRODUCT(--(UPPER(TRIM($W$2:$W$518))=UPPER(TRIM($W405))),--(TRIM($W$2:$W$518)&lt;&gt;""),--(LOWER(TRIM($W$2:$W$518))&lt;&gt;"n/a"),--(LOWER(TRIM($W$2:$W$518))&lt;&gt;"na"))&gt;1),AND($X405&lt;&gt;"",LOWER(TRIM($X405))&lt;&gt;"n/a",LOWER(TRIM($X405))&lt;&gt;"na",SUMPRODUCT(--(UPPER(TRIM($X$2:$X$518))=UPPER(TRIM($X405))),--(TRIM($X$2:$X$518)&lt;&gt;""),--(LOWER(TRIM($X$2:$X$518))&lt;&gt;"n/a"),--(LOWER(TRIM($X$2:$X$518))&lt;&gt;"na"))&gt;1),AND($Y405&lt;&gt;"",LOWER(TRIM($Y405))&lt;&gt;"n/a",LOWER(TRIM($Y405))&lt;&gt;"na",SUMPRODUCT(--(UPPER(SUBSTITUTE(SUBSTITUTE(TRIM($Y$2:$Y$518),":",""),"-",""))=UPPER(SUBSTITUTE(SUBSTITUTE(TRIM($Y405),":",""),"-",""))),--(TRIM($Y$2:$Y$518)&lt;&gt;""),--(LOWER(TRIM($Y$2:$Y$518))&lt;&gt;"n/a"),--(LOWER(TRIM($Y$2:$Y$518))&lt;&gt;"na"))&gt;1),AND($AB405&lt;&gt;"",LOWER(TRIM($AB405))&lt;&gt;"n/a",LOWER(TRIM($AB405))&lt;&gt;"na",SUMPRODUCT(--(UPPER(TRIM($AB$2:$AB$518))=UPPER(TRIM($AB405))),--(TRIM($AB$2:$AB$518)&lt;&gt;""),--(LOWER(TRIM($AB$2:$AB$518))&lt;&gt;"n/a"),--(LOWER(TRIM($AB$2:$AB$518))&lt;&gt;"na"))&gt;1),AND($AH405&lt;&gt;"",LOWER(TRIM($AH405))&lt;&gt;"n/a",LOWER(TRIM($AH405))&lt;&gt;"na",SUMPRODUCT(--(UPPER(SUBSTITUTE(SUBSTITUTE(TRIM($AH$2:$AH$518),":",""),"-",""))=UPPER(SUBSTITUTE(SUBSTITUTE(TRIM($AH405),":",""),"-",""))),--(TRIM($AH$2:$AH$518)&lt;&gt;""),--(LOWER(TRIM($AH$2:$AH$518))&lt;&gt;"n/a"),--(LOWER(TRIM($AH$2:$AH$518))&lt;&gt;"na"))&gt;1),AND($AP405&lt;&gt;"",LOWER(TRIM($AP405))&lt;&gt;"n/a",LOWER(TRIM($AP405))&lt;&gt;"na",SUMPRODUCT(--(UPPER(TRIM($AP$2:$AP$518))=UPPER(TRIM($AP405))),--(TRIM($AP$2:$AP$518)&lt;&gt;""),--(LOWER(TRIM($AP$2:$AP$518))&lt;&gt;"n/a"),--(LOWER(TRIM($AP$2:$AP$518))&lt;&gt;"na"))&gt;1),AND($AQ405&lt;&gt;"",LOWER(TRIM($AQ405))&lt;&gt;"n/a",LOWER(TRIM($AQ405))&lt;&gt;"na",SUMPRODUCT(--(UPPER(TRIM($AQ$2:$AQ$518))=UPPER(TRIM($AQ405))),--(TRIM($AQ$2:$AQ$518)&lt;&gt;""),--(LOWER(TRIM($AQ$2:$AQ$518))&lt;&gt;"n/a"),--(LOWER(TRIM($AQ$2:$AQ$518))&lt;&gt;"na"))&gt;1)),"Yes","No"))</f>
        <v/>
      </c>
      <c r="F405">
        <f>IF(UPPER(TRIM($B405))&lt;&gt;"YES","", IF(OR(AND($V405&lt;&gt;"", LOWER(TRIM($V405))&lt;&gt;"n/a", LOWER(TRIM($V405))&lt;&gt;"na", SUMPRODUCT(--(UPPER(TRIM($V$2:$V$518))=UPPER(TRIM($V405))), --(UPPER(TRIM($B$2:$B$518))="YES"), --(UPPER(TRIM($G$2:$G$518)&amp;TRIM($I$2:$I$518)&amp;TRIM($J$2:$J$518))&lt;&gt;UPPER(TRIM($G405)&amp;TRIM($I405)&amp;TRIM($J405))))&gt;0), AND($W405&lt;&gt;"", LOWER(TRIM($W405))&lt;&gt;"n/a", LOWER(TRIM($W405))&lt;&gt;"na", SUMPRODUCT(--(UPPER(TRIM($W$2:$W$518))=UPPER(TRIM($W405))), --(UPPER(TRIM($B$2:$B$518))="YES"), --(UPPER(TRIM($G$2:$G$518)&amp;TRIM($I$2:$I$518)&amp;TRIM($J$2:$J$518))&lt;&gt;UPPER(TRIM($G405)&amp;TRIM($I405)&amp;TRIM($J405))))&gt;0), AND($X405&lt;&gt;"", LOWER(TRIM($X405))&lt;&gt;"n/a", LOWER(TRIM($X405))&lt;&gt;"na", SUMPRODUCT(--(UPPER(TRIM($X$2:$X$518))=UPPER(TRIM($X405))), --(UPPER(TRIM($B$2:$B$518))="YES"), --(UPPER(TRIM($G$2:$G$518)&amp;TRIM($I$2:$I$518)&amp;TRIM($J$2:$J$518))&lt;&gt;UPPER(TRIM($G405)&amp;TRIM($I405)&amp;TRIM($J405))))&gt;0), AND($Y405&lt;&gt;"", LOWER(TRIM($Y405))&lt;&gt;"n/a", LOWER(TRIM($Y405))&lt;&gt;"na", SUMPRODUCT(--(UPPER(SUBSTITUTE(SUBSTITUTE(TRIM($Y$2:$Y$518),":",""),"-",""))=UPPER(SUBSTITUTE(SUBSTITUTE(TRIM($Y405),":",""),"-",""))), --(UPPER(TRIM($B$2:$B$518))="YES"), --(UPPER(TRIM($G$2:$G$518)&amp;TRIM($I$2:$I$518)&amp;TRIM($J$2:$J$518))&lt;&gt;UPPER(TRIM($G405)&amp;TRIM($I405)&amp;TRIM($J405))))&gt;0), AND($AB405&lt;&gt;"", LOWER(TRIM($AB405))&lt;&gt;"n/a", LOWER(TRIM($AB405))&lt;&gt;"na", SUMPRODUCT(--(UPPER(TRIM($AB$2:$AB$518))=UPPER(TRIM($AB405))), --(UPPER(TRIM($B$2:$B$518))="YES"), --(UPPER(TRIM($G$2:$G$518)&amp;TRIM($I$2:$I$518)&amp;TRIM($J$2:$J$518))&lt;&gt;UPPER(TRIM($G405)&amp;TRIM($I405)&amp;TRIM($J405))))&gt;0), AND($AH405&lt;&gt;"", LOWER(TRIM($AH405))&lt;&gt;"n/a", LOWER(TRIM($AH405))&lt;&gt;"na", SUMPRODUCT(--(UPPER(SUBSTITUTE(SUBSTITUTE(TRIM($AH$2:$AH$518),":",""),"-",""))=UPPER(SUBSTITUTE(SUBSTITUTE(TRIM($AH405),":",""),"-",""))), --(UPPER(TRIM($B$2:$B$518))="YES"), --(UPPER(TRIM($G$2:$G$518)&amp;TRIM($I$2:$I$518)&amp;TRIM($J$2:$J$518))&lt;&gt;UPPER(TRIM($G405)&amp;TRIM($I405)&amp;TRIM($J405))))&gt;0), AND($AP405&lt;&gt;"", LOWER(TRIM($AP405))&lt;&gt;"n/a", LOWER(TRIM($AP405))&lt;&gt;"na", SUMPRODUCT(--(UPPER(TRIM($AP$2:$AP$518))=UPPER(TRIM($AP405))), --(UPPER(TRIM($B$2:$B$518))="YES"), --(UPPER(TRIM($G$2:$G$518)&amp;TRIM($I$2:$I$518)&amp;TRIM($J$2:$J$518))&lt;&gt;UPPER(TRIM($G405)&amp;TRIM($I405)&amp;TRIM($J405))))&gt;0), AND($AQ405&lt;&gt;"", LOWER(TRIM($AQ405))&lt;&gt;"n/a", LOWER(TRIM($AQ405))&lt;&gt;"na", SUMPRODUCT(--(UPPER(TRIM($AQ$2:$AQ$518))=UPPER(TRIM($AQ405))), --(UPPER(TRIM($B$2:$B$518))="YES"), --(UPPER(TRIM($G$2:$G$518)&amp;TRIM($I$2:$I$518)&amp;TRIM($J$2:$J$518))&lt;&gt;UPPER(TRIM($G405)&amp;TRIM($I405)&amp;TRIM($J405))))&gt;0)), "Yes", "No"))</f>
        <v/>
      </c>
      <c r="CD405">
        <f>IF($Y405="","",IF((IF(AND($BR405&lt;&gt;"Yes",$BR405&lt;&gt;"N/A"),"Power Cable, ","")&amp;IF(AND($BS405&lt;&gt;"Yes",$BS405&lt;&gt;"N/A"),"Battery, ","")&amp;IF(AND($AD405&lt;&gt;"Yes",$AD405&lt;&gt;"N/A"),"Firmware Download, ","")&amp;IF(AND(OR($AD405="Yes",$AD405="N/A"),$AE405&lt;&gt;"Yes",$AE405&lt;&gt;"N/A"),"Firmware Install, ","")&amp;IF(AND($CB405&lt;&gt;"Yes",$CB405&lt;&gt;"N/A"),"Device ID, ","")&amp;IF(AND($CC405&lt;&gt;"Yes",$CC405&lt;&gt;"N/A"),"Epic Beans Relay, ",""))="","",LEFT(IF(AND($BR405&lt;&gt;"Yes",$BR405&lt;&gt;"N/A"),"Power Cable, ","")&amp;IF(AND($BS405&lt;&gt;"Yes",$BS405&lt;&gt;"N/A"),"Battery, ","")&amp;IF(AND($AD405&lt;&gt;"Yes",$AD405&lt;&gt;"N/A"),"Firmware Download, ","")&amp;IF(AND(OR($AD405="Yes",$AD405="N/A"),$AE405&lt;&gt;"Yes",$AE405&lt;&gt;"N/A"),"Firmware Install, ","")&amp;IF(AND($CB405&lt;&gt;"Yes",$CB405&lt;&gt;"N/A"),"Device ID, ","")&amp;IF(AND($CC405&lt;&gt;"Yes",$CC405&lt;&gt;"N/A"),"Epic Beans Relay, ",""),LEN(IF(AND($BR405&lt;&gt;"Yes",$BR405&lt;&gt;"N/A"),"Power Cable, ","")&amp;IF(AND($BS405&lt;&gt;"Yes",$BS405&lt;&gt;"N/A"),"Battery, ","")&amp;IF(AND($AD405&lt;&gt;"Yes",$AD405&lt;&gt;"N/A"),"Firmware Download, ","")&amp;IF(AND(OR($AD405="Yes",$AD405="N/A"),$AE405&lt;&gt;"Yes",$AE405&lt;&gt;"N/A"),"Firmware Install, ","")&amp;IF(AND($CB405&lt;&gt;"Yes",$CB405&lt;&gt;"N/A"),"Device ID, ","")&amp;IF(AND($CC405&lt;&gt;"Yes",$CC405&lt;&gt;"N/A"),"Epic Beans Relay, ",""))-2)))</f>
        <v/>
      </c>
      <c r="CE405">
        <f>IF($Y405="","",IF($CD405="","Yes","Blocked"))</f>
        <v/>
      </c>
      <c r="CP405">
        <f>IF($CO405="","",IFERROR(VLOOKUP($CO405,'01_Warehouse_Ledger'!$A:$N,4,FALSE),""))</f>
        <v/>
      </c>
      <c r="CQ405">
        <f>IF($CO405="","",IFERROR(VLOOKUP($CO405,'01_Warehouse_Ledger'!$A:$N,5,FALSE),""))</f>
        <v/>
      </c>
      <c r="CR405">
        <f>IF($CO405="","",IFERROR(VLOOKUP($CO405,'01_Warehouse_Ledger'!$A:$N,13,FALSE),""))</f>
        <v/>
      </c>
      <c r="CW405">
        <f>IF($S405="","",IF(UPPER(TRIM($S405))&lt;&gt;"PASS","",IF(LEN(TRIM($BY405))&gt;0,"NOTES_PRESENT",IF(LEN(TRIM($T405))=0,"SET_NA",IF(OR(LOWER(TRIM($T405))="na",LOWER(TRIM($T405))="n/a"),"OK","MANUAL_OVERRIDE")))))</f>
        <v/>
      </c>
    </row>
    <row r="406">
      <c r="B406" t="inlineStr">
        <is>
          <t>No</t>
        </is>
      </c>
      <c r="C406" t="inlineStr">
        <is>
          <t>No</t>
        </is>
      </c>
      <c r="D406">
        <f>IF($B406&lt;&gt;"Yes","",IF($C406="No","Yes",IF($C406="Yes","No","")))</f>
        <v/>
      </c>
      <c r="E406">
        <f>IF($A406="","",IF(OR(AND($V406&lt;&gt;"",LOWER(TRIM($V406))&lt;&gt;"n/a",LOWER(TRIM($V406))&lt;&gt;"na",SUMPRODUCT(--(UPPER(TRIM($V$2:$V$518))=UPPER(TRIM($V406))),--(TRIM($V$2:$V$518)&lt;&gt;""),--(LOWER(TRIM($V$2:$V$518))&lt;&gt;"n/a"),--(LOWER(TRIM($V$2:$V$518))&lt;&gt;"na"))&gt;1),AND($W406&lt;&gt;"",LOWER(TRIM($W406))&lt;&gt;"n/a",LOWER(TRIM($W406))&lt;&gt;"na",SUMPRODUCT(--(UPPER(TRIM($W$2:$W$518))=UPPER(TRIM($W406))),--(TRIM($W$2:$W$518)&lt;&gt;""),--(LOWER(TRIM($W$2:$W$518))&lt;&gt;"n/a"),--(LOWER(TRIM($W$2:$W$518))&lt;&gt;"na"))&gt;1),AND($X406&lt;&gt;"",LOWER(TRIM($X406))&lt;&gt;"n/a",LOWER(TRIM($X406))&lt;&gt;"na",SUMPRODUCT(--(UPPER(TRIM($X$2:$X$518))=UPPER(TRIM($X406))),--(TRIM($X$2:$X$518)&lt;&gt;""),--(LOWER(TRIM($X$2:$X$518))&lt;&gt;"n/a"),--(LOWER(TRIM($X$2:$X$518))&lt;&gt;"na"))&gt;1),AND($Y406&lt;&gt;"",LOWER(TRIM($Y406))&lt;&gt;"n/a",LOWER(TRIM($Y406))&lt;&gt;"na",SUMPRODUCT(--(UPPER(SUBSTITUTE(SUBSTITUTE(TRIM($Y$2:$Y$518),":",""),"-",""))=UPPER(SUBSTITUTE(SUBSTITUTE(TRIM($Y406),":",""),"-",""))),--(TRIM($Y$2:$Y$518)&lt;&gt;""),--(LOWER(TRIM($Y$2:$Y$518))&lt;&gt;"n/a"),--(LOWER(TRIM($Y$2:$Y$518))&lt;&gt;"na"))&gt;1),AND($AB406&lt;&gt;"",LOWER(TRIM($AB406))&lt;&gt;"n/a",LOWER(TRIM($AB406))&lt;&gt;"na",SUMPRODUCT(--(UPPER(TRIM($AB$2:$AB$518))=UPPER(TRIM($AB406))),--(TRIM($AB$2:$AB$518)&lt;&gt;""),--(LOWER(TRIM($AB$2:$AB$518))&lt;&gt;"n/a"),--(LOWER(TRIM($AB$2:$AB$518))&lt;&gt;"na"))&gt;1),AND($AH406&lt;&gt;"",LOWER(TRIM($AH406))&lt;&gt;"n/a",LOWER(TRIM($AH406))&lt;&gt;"na",SUMPRODUCT(--(UPPER(SUBSTITUTE(SUBSTITUTE(TRIM($AH$2:$AH$518),":",""),"-",""))=UPPER(SUBSTITUTE(SUBSTITUTE(TRIM($AH406),":",""),"-",""))),--(TRIM($AH$2:$AH$518)&lt;&gt;""),--(LOWER(TRIM($AH$2:$AH$518))&lt;&gt;"n/a"),--(LOWER(TRIM($AH$2:$AH$518))&lt;&gt;"na"))&gt;1),AND($AP406&lt;&gt;"",LOWER(TRIM($AP406))&lt;&gt;"n/a",LOWER(TRIM($AP406))&lt;&gt;"na",SUMPRODUCT(--(UPPER(TRIM($AP$2:$AP$518))=UPPER(TRIM($AP406))),--(TRIM($AP$2:$AP$518)&lt;&gt;""),--(LOWER(TRIM($AP$2:$AP$518))&lt;&gt;"n/a"),--(LOWER(TRIM($AP$2:$AP$518))&lt;&gt;"na"))&gt;1),AND($AQ406&lt;&gt;"",LOWER(TRIM($AQ406))&lt;&gt;"n/a",LOWER(TRIM($AQ406))&lt;&gt;"na",SUMPRODUCT(--(UPPER(TRIM($AQ$2:$AQ$518))=UPPER(TRIM($AQ406))),--(TRIM($AQ$2:$AQ$518)&lt;&gt;""),--(LOWER(TRIM($AQ$2:$AQ$518))&lt;&gt;"n/a"),--(LOWER(TRIM($AQ$2:$AQ$518))&lt;&gt;"na"))&gt;1)),"Yes","No"))</f>
        <v/>
      </c>
      <c r="F406">
        <f>IF(UPPER(TRIM($B406))&lt;&gt;"YES","", IF(OR(AND($V406&lt;&gt;"", LOWER(TRIM($V406))&lt;&gt;"n/a", LOWER(TRIM($V406))&lt;&gt;"na", SUMPRODUCT(--(UPPER(TRIM($V$2:$V$518))=UPPER(TRIM($V406))), --(UPPER(TRIM($B$2:$B$518))="YES"), --(UPPER(TRIM($G$2:$G$518)&amp;TRIM($I$2:$I$518)&amp;TRIM($J$2:$J$518))&lt;&gt;UPPER(TRIM($G406)&amp;TRIM($I406)&amp;TRIM($J406))))&gt;0), AND($W406&lt;&gt;"", LOWER(TRIM($W406))&lt;&gt;"n/a", LOWER(TRIM($W406))&lt;&gt;"na", SUMPRODUCT(--(UPPER(TRIM($W$2:$W$518))=UPPER(TRIM($W406))), --(UPPER(TRIM($B$2:$B$518))="YES"), --(UPPER(TRIM($G$2:$G$518)&amp;TRIM($I$2:$I$518)&amp;TRIM($J$2:$J$518))&lt;&gt;UPPER(TRIM($G406)&amp;TRIM($I406)&amp;TRIM($J406))))&gt;0), AND($X406&lt;&gt;"", LOWER(TRIM($X406))&lt;&gt;"n/a", LOWER(TRIM($X406))&lt;&gt;"na", SUMPRODUCT(--(UPPER(TRIM($X$2:$X$518))=UPPER(TRIM($X406))), --(UPPER(TRIM($B$2:$B$518))="YES"), --(UPPER(TRIM($G$2:$G$518)&amp;TRIM($I$2:$I$518)&amp;TRIM($J$2:$J$518))&lt;&gt;UPPER(TRIM($G406)&amp;TRIM($I406)&amp;TRIM($J406))))&gt;0), AND($Y406&lt;&gt;"", LOWER(TRIM($Y406))&lt;&gt;"n/a", LOWER(TRIM($Y406))&lt;&gt;"na", SUMPRODUCT(--(UPPER(SUBSTITUTE(SUBSTITUTE(TRIM($Y$2:$Y$518),":",""),"-",""))=UPPER(SUBSTITUTE(SUBSTITUTE(TRIM($Y406),":",""),"-",""))), --(UPPER(TRIM($B$2:$B$518))="YES"), --(UPPER(TRIM($G$2:$G$518)&amp;TRIM($I$2:$I$518)&amp;TRIM($J$2:$J$518))&lt;&gt;UPPER(TRIM($G406)&amp;TRIM($I406)&amp;TRIM($J406))))&gt;0), AND($AB406&lt;&gt;"", LOWER(TRIM($AB406))&lt;&gt;"n/a", LOWER(TRIM($AB406))&lt;&gt;"na", SUMPRODUCT(--(UPPER(TRIM($AB$2:$AB$518))=UPPER(TRIM($AB406))), --(UPPER(TRIM($B$2:$B$518))="YES"), --(UPPER(TRIM($G$2:$G$518)&amp;TRIM($I$2:$I$518)&amp;TRIM($J$2:$J$518))&lt;&gt;UPPER(TRIM($G406)&amp;TRIM($I406)&amp;TRIM($J406))))&gt;0), AND($AH406&lt;&gt;"", LOWER(TRIM($AH406))&lt;&gt;"n/a", LOWER(TRIM($AH406))&lt;&gt;"na", SUMPRODUCT(--(UPPER(SUBSTITUTE(SUBSTITUTE(TRIM($AH$2:$AH$518),":",""),"-",""))=UPPER(SUBSTITUTE(SUBSTITUTE(TRIM($AH406),":",""),"-",""))), --(UPPER(TRIM($B$2:$B$518))="YES"), --(UPPER(TRIM($G$2:$G$518)&amp;TRIM($I$2:$I$518)&amp;TRIM($J$2:$J$518))&lt;&gt;UPPER(TRIM($G406)&amp;TRIM($I406)&amp;TRIM($J406))))&gt;0), AND($AP406&lt;&gt;"", LOWER(TRIM($AP406))&lt;&gt;"n/a", LOWER(TRIM($AP406))&lt;&gt;"na", SUMPRODUCT(--(UPPER(TRIM($AP$2:$AP$518))=UPPER(TRIM($AP406))), --(UPPER(TRIM($B$2:$B$518))="YES"), --(UPPER(TRIM($G$2:$G$518)&amp;TRIM($I$2:$I$518)&amp;TRIM($J$2:$J$518))&lt;&gt;UPPER(TRIM($G406)&amp;TRIM($I406)&amp;TRIM($J406))))&gt;0), AND($AQ406&lt;&gt;"", LOWER(TRIM($AQ406))&lt;&gt;"n/a", LOWER(TRIM($AQ406))&lt;&gt;"na", SUMPRODUCT(--(UPPER(TRIM($AQ$2:$AQ$518))=UPPER(TRIM($AQ406))), --(UPPER(TRIM($B$2:$B$518))="YES"), --(UPPER(TRIM($G$2:$G$518)&amp;TRIM($I$2:$I$518)&amp;TRIM($J$2:$J$518))&lt;&gt;UPPER(TRIM($G406)&amp;TRIM($I406)&amp;TRIM($J406))))&gt;0)), "Yes", "No"))</f>
        <v/>
      </c>
      <c r="CD406">
        <f>IF($Y406="","",IF((IF(AND($BR406&lt;&gt;"Yes",$BR406&lt;&gt;"N/A"),"Power Cable, ","")&amp;IF(AND($BS406&lt;&gt;"Yes",$BS406&lt;&gt;"N/A"),"Battery, ","")&amp;IF(AND($AD406&lt;&gt;"Yes",$AD406&lt;&gt;"N/A"),"Firmware Download, ","")&amp;IF(AND(OR($AD406="Yes",$AD406="N/A"),$AE406&lt;&gt;"Yes",$AE406&lt;&gt;"N/A"),"Firmware Install, ","")&amp;IF(AND($CB406&lt;&gt;"Yes",$CB406&lt;&gt;"N/A"),"Device ID, ","")&amp;IF(AND($CC406&lt;&gt;"Yes",$CC406&lt;&gt;"N/A"),"Epic Beans Relay, ",""))="","",LEFT(IF(AND($BR406&lt;&gt;"Yes",$BR406&lt;&gt;"N/A"),"Power Cable, ","")&amp;IF(AND($BS406&lt;&gt;"Yes",$BS406&lt;&gt;"N/A"),"Battery, ","")&amp;IF(AND($AD406&lt;&gt;"Yes",$AD406&lt;&gt;"N/A"),"Firmware Download, ","")&amp;IF(AND(OR($AD406="Yes",$AD406="N/A"),$AE406&lt;&gt;"Yes",$AE406&lt;&gt;"N/A"),"Firmware Install, ","")&amp;IF(AND($CB406&lt;&gt;"Yes",$CB406&lt;&gt;"N/A"),"Device ID, ","")&amp;IF(AND($CC406&lt;&gt;"Yes",$CC406&lt;&gt;"N/A"),"Epic Beans Relay, ",""),LEN(IF(AND($BR406&lt;&gt;"Yes",$BR406&lt;&gt;"N/A"),"Power Cable, ","")&amp;IF(AND($BS406&lt;&gt;"Yes",$BS406&lt;&gt;"N/A"),"Battery, ","")&amp;IF(AND($AD406&lt;&gt;"Yes",$AD406&lt;&gt;"N/A"),"Firmware Download, ","")&amp;IF(AND(OR($AD406="Yes",$AD406="N/A"),$AE406&lt;&gt;"Yes",$AE406&lt;&gt;"N/A"),"Firmware Install, ","")&amp;IF(AND($CB406&lt;&gt;"Yes",$CB406&lt;&gt;"N/A"),"Device ID, ","")&amp;IF(AND($CC406&lt;&gt;"Yes",$CC406&lt;&gt;"N/A"),"Epic Beans Relay, ",""))-2)))</f>
        <v/>
      </c>
      <c r="CE406">
        <f>IF($Y406="","",IF($CD406="","Yes","Blocked"))</f>
        <v/>
      </c>
      <c r="CP406">
        <f>IF($CO406="","",IFERROR(VLOOKUP($CO406,'01_Warehouse_Ledger'!$A:$N,4,FALSE),""))</f>
        <v/>
      </c>
      <c r="CQ406">
        <f>IF($CO406="","",IFERROR(VLOOKUP($CO406,'01_Warehouse_Ledger'!$A:$N,5,FALSE),""))</f>
        <v/>
      </c>
      <c r="CR406">
        <f>IF($CO406="","",IFERROR(VLOOKUP($CO406,'01_Warehouse_Ledger'!$A:$N,13,FALSE),""))</f>
        <v/>
      </c>
      <c r="CW406">
        <f>IF($S406="","",IF(UPPER(TRIM($S406))&lt;&gt;"PASS","",IF(LEN(TRIM($BY406))&gt;0,"NOTES_PRESENT",IF(LEN(TRIM($T406))=0,"SET_NA",IF(OR(LOWER(TRIM($T406))="na",LOWER(TRIM($T406))="n/a"),"OK","MANUAL_OVERRIDE")))))</f>
        <v/>
      </c>
    </row>
    <row r="407">
      <c r="B407" t="inlineStr">
        <is>
          <t>No</t>
        </is>
      </c>
      <c r="C407" t="inlineStr">
        <is>
          <t>No</t>
        </is>
      </c>
      <c r="D407">
        <f>IF($B407&lt;&gt;"Yes","",IF($C407="No","Yes",IF($C407="Yes","No","")))</f>
        <v/>
      </c>
      <c r="E407">
        <f>IF($A407="","",IF(OR(AND($V407&lt;&gt;"",LOWER(TRIM($V407))&lt;&gt;"n/a",LOWER(TRIM($V407))&lt;&gt;"na",SUMPRODUCT(--(UPPER(TRIM($V$2:$V$518))=UPPER(TRIM($V407))),--(TRIM($V$2:$V$518)&lt;&gt;""),--(LOWER(TRIM($V$2:$V$518))&lt;&gt;"n/a"),--(LOWER(TRIM($V$2:$V$518))&lt;&gt;"na"))&gt;1),AND($W407&lt;&gt;"",LOWER(TRIM($W407))&lt;&gt;"n/a",LOWER(TRIM($W407))&lt;&gt;"na",SUMPRODUCT(--(UPPER(TRIM($W$2:$W$518))=UPPER(TRIM($W407))),--(TRIM($W$2:$W$518)&lt;&gt;""),--(LOWER(TRIM($W$2:$W$518))&lt;&gt;"n/a"),--(LOWER(TRIM($W$2:$W$518))&lt;&gt;"na"))&gt;1),AND($X407&lt;&gt;"",LOWER(TRIM($X407))&lt;&gt;"n/a",LOWER(TRIM($X407))&lt;&gt;"na",SUMPRODUCT(--(UPPER(TRIM($X$2:$X$518))=UPPER(TRIM($X407))),--(TRIM($X$2:$X$518)&lt;&gt;""),--(LOWER(TRIM($X$2:$X$518))&lt;&gt;"n/a"),--(LOWER(TRIM($X$2:$X$518))&lt;&gt;"na"))&gt;1),AND($Y407&lt;&gt;"",LOWER(TRIM($Y407))&lt;&gt;"n/a",LOWER(TRIM($Y407))&lt;&gt;"na",SUMPRODUCT(--(UPPER(SUBSTITUTE(SUBSTITUTE(TRIM($Y$2:$Y$518),":",""),"-",""))=UPPER(SUBSTITUTE(SUBSTITUTE(TRIM($Y407),":",""),"-",""))),--(TRIM($Y$2:$Y$518)&lt;&gt;""),--(LOWER(TRIM($Y$2:$Y$518))&lt;&gt;"n/a"),--(LOWER(TRIM($Y$2:$Y$518))&lt;&gt;"na"))&gt;1),AND($AB407&lt;&gt;"",LOWER(TRIM($AB407))&lt;&gt;"n/a",LOWER(TRIM($AB407))&lt;&gt;"na",SUMPRODUCT(--(UPPER(TRIM($AB$2:$AB$518))=UPPER(TRIM($AB407))),--(TRIM($AB$2:$AB$518)&lt;&gt;""),--(LOWER(TRIM($AB$2:$AB$518))&lt;&gt;"n/a"),--(LOWER(TRIM($AB$2:$AB$518))&lt;&gt;"na"))&gt;1),AND($AH407&lt;&gt;"",LOWER(TRIM($AH407))&lt;&gt;"n/a",LOWER(TRIM($AH407))&lt;&gt;"na",SUMPRODUCT(--(UPPER(SUBSTITUTE(SUBSTITUTE(TRIM($AH$2:$AH$518),":",""),"-",""))=UPPER(SUBSTITUTE(SUBSTITUTE(TRIM($AH407),":",""),"-",""))),--(TRIM($AH$2:$AH$518)&lt;&gt;""),--(LOWER(TRIM($AH$2:$AH$518))&lt;&gt;"n/a"),--(LOWER(TRIM($AH$2:$AH$518))&lt;&gt;"na"))&gt;1),AND($AP407&lt;&gt;"",LOWER(TRIM($AP407))&lt;&gt;"n/a",LOWER(TRIM($AP407))&lt;&gt;"na",SUMPRODUCT(--(UPPER(TRIM($AP$2:$AP$518))=UPPER(TRIM($AP407))),--(TRIM($AP$2:$AP$518)&lt;&gt;""),--(LOWER(TRIM($AP$2:$AP$518))&lt;&gt;"n/a"),--(LOWER(TRIM($AP$2:$AP$518))&lt;&gt;"na"))&gt;1),AND($AQ407&lt;&gt;"",LOWER(TRIM($AQ407))&lt;&gt;"n/a",LOWER(TRIM($AQ407))&lt;&gt;"na",SUMPRODUCT(--(UPPER(TRIM($AQ$2:$AQ$518))=UPPER(TRIM($AQ407))),--(TRIM($AQ$2:$AQ$518)&lt;&gt;""),--(LOWER(TRIM($AQ$2:$AQ$518))&lt;&gt;"n/a"),--(LOWER(TRIM($AQ$2:$AQ$518))&lt;&gt;"na"))&gt;1)),"Yes","No"))</f>
        <v/>
      </c>
      <c r="F407">
        <f>IF(UPPER(TRIM($B407))&lt;&gt;"YES","", IF(OR(AND($V407&lt;&gt;"", LOWER(TRIM($V407))&lt;&gt;"n/a", LOWER(TRIM($V407))&lt;&gt;"na", SUMPRODUCT(--(UPPER(TRIM($V$2:$V$518))=UPPER(TRIM($V407))), --(UPPER(TRIM($B$2:$B$518))="YES"), --(UPPER(TRIM($G$2:$G$518)&amp;TRIM($I$2:$I$518)&amp;TRIM($J$2:$J$518))&lt;&gt;UPPER(TRIM($G407)&amp;TRIM($I407)&amp;TRIM($J407))))&gt;0), AND($W407&lt;&gt;"", LOWER(TRIM($W407))&lt;&gt;"n/a", LOWER(TRIM($W407))&lt;&gt;"na", SUMPRODUCT(--(UPPER(TRIM($W$2:$W$518))=UPPER(TRIM($W407))), --(UPPER(TRIM($B$2:$B$518))="YES"), --(UPPER(TRIM($G$2:$G$518)&amp;TRIM($I$2:$I$518)&amp;TRIM($J$2:$J$518))&lt;&gt;UPPER(TRIM($G407)&amp;TRIM($I407)&amp;TRIM($J407))))&gt;0), AND($X407&lt;&gt;"", LOWER(TRIM($X407))&lt;&gt;"n/a", LOWER(TRIM($X407))&lt;&gt;"na", SUMPRODUCT(--(UPPER(TRIM($X$2:$X$518))=UPPER(TRIM($X407))), --(UPPER(TRIM($B$2:$B$518))="YES"), --(UPPER(TRIM($G$2:$G$518)&amp;TRIM($I$2:$I$518)&amp;TRIM($J$2:$J$518))&lt;&gt;UPPER(TRIM($G407)&amp;TRIM($I407)&amp;TRIM($J407))))&gt;0), AND($Y407&lt;&gt;"", LOWER(TRIM($Y407))&lt;&gt;"n/a", LOWER(TRIM($Y407))&lt;&gt;"na", SUMPRODUCT(--(UPPER(SUBSTITUTE(SUBSTITUTE(TRIM($Y$2:$Y$518),":",""),"-",""))=UPPER(SUBSTITUTE(SUBSTITUTE(TRIM($Y407),":",""),"-",""))), --(UPPER(TRIM($B$2:$B$518))="YES"), --(UPPER(TRIM($G$2:$G$518)&amp;TRIM($I$2:$I$518)&amp;TRIM($J$2:$J$518))&lt;&gt;UPPER(TRIM($G407)&amp;TRIM($I407)&amp;TRIM($J407))))&gt;0), AND($AB407&lt;&gt;"", LOWER(TRIM($AB407))&lt;&gt;"n/a", LOWER(TRIM($AB407))&lt;&gt;"na", SUMPRODUCT(--(UPPER(TRIM($AB$2:$AB$518))=UPPER(TRIM($AB407))), --(UPPER(TRIM($B$2:$B$518))="YES"), --(UPPER(TRIM($G$2:$G$518)&amp;TRIM($I$2:$I$518)&amp;TRIM($J$2:$J$518))&lt;&gt;UPPER(TRIM($G407)&amp;TRIM($I407)&amp;TRIM($J407))))&gt;0), AND($AH407&lt;&gt;"", LOWER(TRIM($AH407))&lt;&gt;"n/a", LOWER(TRIM($AH407))&lt;&gt;"na", SUMPRODUCT(--(UPPER(SUBSTITUTE(SUBSTITUTE(TRIM($AH$2:$AH$518),":",""),"-",""))=UPPER(SUBSTITUTE(SUBSTITUTE(TRIM($AH407),":",""),"-",""))), --(UPPER(TRIM($B$2:$B$518))="YES"), --(UPPER(TRIM($G$2:$G$518)&amp;TRIM($I$2:$I$518)&amp;TRIM($J$2:$J$518))&lt;&gt;UPPER(TRIM($G407)&amp;TRIM($I407)&amp;TRIM($J407))))&gt;0), AND($AP407&lt;&gt;"", LOWER(TRIM($AP407))&lt;&gt;"n/a", LOWER(TRIM($AP407))&lt;&gt;"na", SUMPRODUCT(--(UPPER(TRIM($AP$2:$AP$518))=UPPER(TRIM($AP407))), --(UPPER(TRIM($B$2:$B$518))="YES"), --(UPPER(TRIM($G$2:$G$518)&amp;TRIM($I$2:$I$518)&amp;TRIM($J$2:$J$518))&lt;&gt;UPPER(TRIM($G407)&amp;TRIM($I407)&amp;TRIM($J407))))&gt;0), AND($AQ407&lt;&gt;"", LOWER(TRIM($AQ407))&lt;&gt;"n/a", LOWER(TRIM($AQ407))&lt;&gt;"na", SUMPRODUCT(--(UPPER(TRIM($AQ$2:$AQ$518))=UPPER(TRIM($AQ407))), --(UPPER(TRIM($B$2:$B$518))="YES"), --(UPPER(TRIM($G$2:$G$518)&amp;TRIM($I$2:$I$518)&amp;TRIM($J$2:$J$518))&lt;&gt;UPPER(TRIM($G407)&amp;TRIM($I407)&amp;TRIM($J407))))&gt;0)), "Yes", "No"))</f>
        <v/>
      </c>
      <c r="CD407">
        <f>IF($Y407="","",IF((IF(AND($BR407&lt;&gt;"Yes",$BR407&lt;&gt;"N/A"),"Power Cable, ","")&amp;IF(AND($BS407&lt;&gt;"Yes",$BS407&lt;&gt;"N/A"),"Battery, ","")&amp;IF(AND($AD407&lt;&gt;"Yes",$AD407&lt;&gt;"N/A"),"Firmware Download, ","")&amp;IF(AND(OR($AD407="Yes",$AD407="N/A"),$AE407&lt;&gt;"Yes",$AE407&lt;&gt;"N/A"),"Firmware Install, ","")&amp;IF(AND($CB407&lt;&gt;"Yes",$CB407&lt;&gt;"N/A"),"Device ID, ","")&amp;IF(AND($CC407&lt;&gt;"Yes",$CC407&lt;&gt;"N/A"),"Epic Beans Relay, ",""))="","",LEFT(IF(AND($BR407&lt;&gt;"Yes",$BR407&lt;&gt;"N/A"),"Power Cable, ","")&amp;IF(AND($BS407&lt;&gt;"Yes",$BS407&lt;&gt;"N/A"),"Battery, ","")&amp;IF(AND($AD407&lt;&gt;"Yes",$AD407&lt;&gt;"N/A"),"Firmware Download, ","")&amp;IF(AND(OR($AD407="Yes",$AD407="N/A"),$AE407&lt;&gt;"Yes",$AE407&lt;&gt;"N/A"),"Firmware Install, ","")&amp;IF(AND($CB407&lt;&gt;"Yes",$CB407&lt;&gt;"N/A"),"Device ID, ","")&amp;IF(AND($CC407&lt;&gt;"Yes",$CC407&lt;&gt;"N/A"),"Epic Beans Relay, ",""),LEN(IF(AND($BR407&lt;&gt;"Yes",$BR407&lt;&gt;"N/A"),"Power Cable, ","")&amp;IF(AND($BS407&lt;&gt;"Yes",$BS407&lt;&gt;"N/A"),"Battery, ","")&amp;IF(AND($AD407&lt;&gt;"Yes",$AD407&lt;&gt;"N/A"),"Firmware Download, ","")&amp;IF(AND(OR($AD407="Yes",$AD407="N/A"),$AE407&lt;&gt;"Yes",$AE407&lt;&gt;"N/A"),"Firmware Install, ","")&amp;IF(AND($CB407&lt;&gt;"Yes",$CB407&lt;&gt;"N/A"),"Device ID, ","")&amp;IF(AND($CC407&lt;&gt;"Yes",$CC407&lt;&gt;"N/A"),"Epic Beans Relay, ",""))-2)))</f>
        <v/>
      </c>
      <c r="CE407">
        <f>IF($Y407="","",IF($CD407="","Yes","Blocked"))</f>
        <v/>
      </c>
      <c r="CP407">
        <f>IF($CO407="","",IFERROR(VLOOKUP($CO407,'01_Warehouse_Ledger'!$A:$N,4,FALSE),""))</f>
        <v/>
      </c>
      <c r="CQ407">
        <f>IF($CO407="","",IFERROR(VLOOKUP($CO407,'01_Warehouse_Ledger'!$A:$N,5,FALSE),""))</f>
        <v/>
      </c>
      <c r="CR407">
        <f>IF($CO407="","",IFERROR(VLOOKUP($CO407,'01_Warehouse_Ledger'!$A:$N,13,FALSE),""))</f>
        <v/>
      </c>
      <c r="CW407">
        <f>IF($S407="","",IF(UPPER(TRIM($S407))&lt;&gt;"PASS","",IF(LEN(TRIM($BY407))&gt;0,"NOTES_PRESENT",IF(LEN(TRIM($T407))=0,"SET_NA",IF(OR(LOWER(TRIM($T407))="na",LOWER(TRIM($T407))="n/a"),"OK","MANUAL_OVERRIDE")))))</f>
        <v/>
      </c>
    </row>
    <row r="408">
      <c r="B408" t="inlineStr">
        <is>
          <t>No</t>
        </is>
      </c>
      <c r="C408" t="inlineStr">
        <is>
          <t>No</t>
        </is>
      </c>
      <c r="D408">
        <f>IF($B408&lt;&gt;"Yes","",IF($C408="No","Yes",IF($C408="Yes","No","")))</f>
        <v/>
      </c>
      <c r="E408">
        <f>IF($A408="","",IF(OR(AND($V408&lt;&gt;"",LOWER(TRIM($V408))&lt;&gt;"n/a",LOWER(TRIM($V408))&lt;&gt;"na",SUMPRODUCT(--(UPPER(TRIM($V$2:$V$518))=UPPER(TRIM($V408))),--(TRIM($V$2:$V$518)&lt;&gt;""),--(LOWER(TRIM($V$2:$V$518))&lt;&gt;"n/a"),--(LOWER(TRIM($V$2:$V$518))&lt;&gt;"na"))&gt;1),AND($W408&lt;&gt;"",LOWER(TRIM($W408))&lt;&gt;"n/a",LOWER(TRIM($W408))&lt;&gt;"na",SUMPRODUCT(--(UPPER(TRIM($W$2:$W$518))=UPPER(TRIM($W408))),--(TRIM($W$2:$W$518)&lt;&gt;""),--(LOWER(TRIM($W$2:$W$518))&lt;&gt;"n/a"),--(LOWER(TRIM($W$2:$W$518))&lt;&gt;"na"))&gt;1),AND($X408&lt;&gt;"",LOWER(TRIM($X408))&lt;&gt;"n/a",LOWER(TRIM($X408))&lt;&gt;"na",SUMPRODUCT(--(UPPER(TRIM($X$2:$X$518))=UPPER(TRIM($X408))),--(TRIM($X$2:$X$518)&lt;&gt;""),--(LOWER(TRIM($X$2:$X$518))&lt;&gt;"n/a"),--(LOWER(TRIM($X$2:$X$518))&lt;&gt;"na"))&gt;1),AND($Y408&lt;&gt;"",LOWER(TRIM($Y408))&lt;&gt;"n/a",LOWER(TRIM($Y408))&lt;&gt;"na",SUMPRODUCT(--(UPPER(SUBSTITUTE(SUBSTITUTE(TRIM($Y$2:$Y$518),":",""),"-",""))=UPPER(SUBSTITUTE(SUBSTITUTE(TRIM($Y408),":",""),"-",""))),--(TRIM($Y$2:$Y$518)&lt;&gt;""),--(LOWER(TRIM($Y$2:$Y$518))&lt;&gt;"n/a"),--(LOWER(TRIM($Y$2:$Y$518))&lt;&gt;"na"))&gt;1),AND($AB408&lt;&gt;"",LOWER(TRIM($AB408))&lt;&gt;"n/a",LOWER(TRIM($AB408))&lt;&gt;"na",SUMPRODUCT(--(UPPER(TRIM($AB$2:$AB$518))=UPPER(TRIM($AB408))),--(TRIM($AB$2:$AB$518)&lt;&gt;""),--(LOWER(TRIM($AB$2:$AB$518))&lt;&gt;"n/a"),--(LOWER(TRIM($AB$2:$AB$518))&lt;&gt;"na"))&gt;1),AND($AH408&lt;&gt;"",LOWER(TRIM($AH408))&lt;&gt;"n/a",LOWER(TRIM($AH408))&lt;&gt;"na",SUMPRODUCT(--(UPPER(SUBSTITUTE(SUBSTITUTE(TRIM($AH$2:$AH$518),":",""),"-",""))=UPPER(SUBSTITUTE(SUBSTITUTE(TRIM($AH408),":",""),"-",""))),--(TRIM($AH$2:$AH$518)&lt;&gt;""),--(LOWER(TRIM($AH$2:$AH$518))&lt;&gt;"n/a"),--(LOWER(TRIM($AH$2:$AH$518))&lt;&gt;"na"))&gt;1),AND($AP408&lt;&gt;"",LOWER(TRIM($AP408))&lt;&gt;"n/a",LOWER(TRIM($AP408))&lt;&gt;"na",SUMPRODUCT(--(UPPER(TRIM($AP$2:$AP$518))=UPPER(TRIM($AP408))),--(TRIM($AP$2:$AP$518)&lt;&gt;""),--(LOWER(TRIM($AP$2:$AP$518))&lt;&gt;"n/a"),--(LOWER(TRIM($AP$2:$AP$518))&lt;&gt;"na"))&gt;1),AND($AQ408&lt;&gt;"",LOWER(TRIM($AQ408))&lt;&gt;"n/a",LOWER(TRIM($AQ408))&lt;&gt;"na",SUMPRODUCT(--(UPPER(TRIM($AQ$2:$AQ$518))=UPPER(TRIM($AQ408))),--(TRIM($AQ$2:$AQ$518)&lt;&gt;""),--(LOWER(TRIM($AQ$2:$AQ$518))&lt;&gt;"n/a"),--(LOWER(TRIM($AQ$2:$AQ$518))&lt;&gt;"na"))&gt;1)),"Yes","No"))</f>
        <v/>
      </c>
      <c r="F408">
        <f>IF(UPPER(TRIM($B408))&lt;&gt;"YES","", IF(OR(AND($V408&lt;&gt;"", LOWER(TRIM($V408))&lt;&gt;"n/a", LOWER(TRIM($V408))&lt;&gt;"na", SUMPRODUCT(--(UPPER(TRIM($V$2:$V$518))=UPPER(TRIM($V408))), --(UPPER(TRIM($B$2:$B$518))="YES"), --(UPPER(TRIM($G$2:$G$518)&amp;TRIM($I$2:$I$518)&amp;TRIM($J$2:$J$518))&lt;&gt;UPPER(TRIM($G408)&amp;TRIM($I408)&amp;TRIM($J408))))&gt;0), AND($W408&lt;&gt;"", LOWER(TRIM($W408))&lt;&gt;"n/a", LOWER(TRIM($W408))&lt;&gt;"na", SUMPRODUCT(--(UPPER(TRIM($W$2:$W$518))=UPPER(TRIM($W408))), --(UPPER(TRIM($B$2:$B$518))="YES"), --(UPPER(TRIM($G$2:$G$518)&amp;TRIM($I$2:$I$518)&amp;TRIM($J$2:$J$518))&lt;&gt;UPPER(TRIM($G408)&amp;TRIM($I408)&amp;TRIM($J408))))&gt;0), AND($X408&lt;&gt;"", LOWER(TRIM($X408))&lt;&gt;"n/a", LOWER(TRIM($X408))&lt;&gt;"na", SUMPRODUCT(--(UPPER(TRIM($X$2:$X$518))=UPPER(TRIM($X408))), --(UPPER(TRIM($B$2:$B$518))="YES"), --(UPPER(TRIM($G$2:$G$518)&amp;TRIM($I$2:$I$518)&amp;TRIM($J$2:$J$518))&lt;&gt;UPPER(TRIM($G408)&amp;TRIM($I408)&amp;TRIM($J408))))&gt;0), AND($Y408&lt;&gt;"", LOWER(TRIM($Y408))&lt;&gt;"n/a", LOWER(TRIM($Y408))&lt;&gt;"na", SUMPRODUCT(--(UPPER(SUBSTITUTE(SUBSTITUTE(TRIM($Y$2:$Y$518),":",""),"-",""))=UPPER(SUBSTITUTE(SUBSTITUTE(TRIM($Y408),":",""),"-",""))), --(UPPER(TRIM($B$2:$B$518))="YES"), --(UPPER(TRIM($G$2:$G$518)&amp;TRIM($I$2:$I$518)&amp;TRIM($J$2:$J$518))&lt;&gt;UPPER(TRIM($G408)&amp;TRIM($I408)&amp;TRIM($J408))))&gt;0), AND($AB408&lt;&gt;"", LOWER(TRIM($AB408))&lt;&gt;"n/a", LOWER(TRIM($AB408))&lt;&gt;"na", SUMPRODUCT(--(UPPER(TRIM($AB$2:$AB$518))=UPPER(TRIM($AB408))), --(UPPER(TRIM($B$2:$B$518))="YES"), --(UPPER(TRIM($G$2:$G$518)&amp;TRIM($I$2:$I$518)&amp;TRIM($J$2:$J$518))&lt;&gt;UPPER(TRIM($G408)&amp;TRIM($I408)&amp;TRIM($J408))))&gt;0), AND($AH408&lt;&gt;"", LOWER(TRIM($AH408))&lt;&gt;"n/a", LOWER(TRIM($AH408))&lt;&gt;"na", SUMPRODUCT(--(UPPER(SUBSTITUTE(SUBSTITUTE(TRIM($AH$2:$AH$518),":",""),"-",""))=UPPER(SUBSTITUTE(SUBSTITUTE(TRIM($AH408),":",""),"-",""))), --(UPPER(TRIM($B$2:$B$518))="YES"), --(UPPER(TRIM($G$2:$G$518)&amp;TRIM($I$2:$I$518)&amp;TRIM($J$2:$J$518))&lt;&gt;UPPER(TRIM($G408)&amp;TRIM($I408)&amp;TRIM($J408))))&gt;0), AND($AP408&lt;&gt;"", LOWER(TRIM($AP408))&lt;&gt;"n/a", LOWER(TRIM($AP408))&lt;&gt;"na", SUMPRODUCT(--(UPPER(TRIM($AP$2:$AP$518))=UPPER(TRIM($AP408))), --(UPPER(TRIM($B$2:$B$518))="YES"), --(UPPER(TRIM($G$2:$G$518)&amp;TRIM($I$2:$I$518)&amp;TRIM($J$2:$J$518))&lt;&gt;UPPER(TRIM($G408)&amp;TRIM($I408)&amp;TRIM($J408))))&gt;0), AND($AQ408&lt;&gt;"", LOWER(TRIM($AQ408))&lt;&gt;"n/a", LOWER(TRIM($AQ408))&lt;&gt;"na", SUMPRODUCT(--(UPPER(TRIM($AQ$2:$AQ$518))=UPPER(TRIM($AQ408))), --(UPPER(TRIM($B$2:$B$518))="YES"), --(UPPER(TRIM($G$2:$G$518)&amp;TRIM($I$2:$I$518)&amp;TRIM($J$2:$J$518))&lt;&gt;UPPER(TRIM($G408)&amp;TRIM($I408)&amp;TRIM($J408))))&gt;0)), "Yes", "No"))</f>
        <v/>
      </c>
      <c r="CD408">
        <f>IF($Y408="","",IF((IF(AND($BR408&lt;&gt;"Yes",$BR408&lt;&gt;"N/A"),"Power Cable, ","")&amp;IF(AND($BS408&lt;&gt;"Yes",$BS408&lt;&gt;"N/A"),"Battery, ","")&amp;IF(AND($AD408&lt;&gt;"Yes",$AD408&lt;&gt;"N/A"),"Firmware Download, ","")&amp;IF(AND(OR($AD408="Yes",$AD408="N/A"),$AE408&lt;&gt;"Yes",$AE408&lt;&gt;"N/A"),"Firmware Install, ","")&amp;IF(AND($CB408&lt;&gt;"Yes",$CB408&lt;&gt;"N/A"),"Device ID, ","")&amp;IF(AND($CC408&lt;&gt;"Yes",$CC408&lt;&gt;"N/A"),"Epic Beans Relay, ",""))="","",LEFT(IF(AND($BR408&lt;&gt;"Yes",$BR408&lt;&gt;"N/A"),"Power Cable, ","")&amp;IF(AND($BS408&lt;&gt;"Yes",$BS408&lt;&gt;"N/A"),"Battery, ","")&amp;IF(AND($AD408&lt;&gt;"Yes",$AD408&lt;&gt;"N/A"),"Firmware Download, ","")&amp;IF(AND(OR($AD408="Yes",$AD408="N/A"),$AE408&lt;&gt;"Yes",$AE408&lt;&gt;"N/A"),"Firmware Install, ","")&amp;IF(AND($CB408&lt;&gt;"Yes",$CB408&lt;&gt;"N/A"),"Device ID, ","")&amp;IF(AND($CC408&lt;&gt;"Yes",$CC408&lt;&gt;"N/A"),"Epic Beans Relay, ",""),LEN(IF(AND($BR408&lt;&gt;"Yes",$BR408&lt;&gt;"N/A"),"Power Cable, ","")&amp;IF(AND($BS408&lt;&gt;"Yes",$BS408&lt;&gt;"N/A"),"Battery, ","")&amp;IF(AND($AD408&lt;&gt;"Yes",$AD408&lt;&gt;"N/A"),"Firmware Download, ","")&amp;IF(AND(OR($AD408="Yes",$AD408="N/A"),$AE408&lt;&gt;"Yes",$AE408&lt;&gt;"N/A"),"Firmware Install, ","")&amp;IF(AND($CB408&lt;&gt;"Yes",$CB408&lt;&gt;"N/A"),"Device ID, ","")&amp;IF(AND($CC408&lt;&gt;"Yes",$CC408&lt;&gt;"N/A"),"Epic Beans Relay, ",""))-2)))</f>
        <v/>
      </c>
      <c r="CE408">
        <f>IF($Y408="","",IF($CD408="","Yes","Blocked"))</f>
        <v/>
      </c>
      <c r="CP408">
        <f>IF($CO408="","",IFERROR(VLOOKUP($CO408,'01_Warehouse_Ledger'!$A:$N,4,FALSE),""))</f>
        <v/>
      </c>
      <c r="CQ408">
        <f>IF($CO408="","",IFERROR(VLOOKUP($CO408,'01_Warehouse_Ledger'!$A:$N,5,FALSE),""))</f>
        <v/>
      </c>
      <c r="CR408">
        <f>IF($CO408="","",IFERROR(VLOOKUP($CO408,'01_Warehouse_Ledger'!$A:$N,13,FALSE),""))</f>
        <v/>
      </c>
      <c r="CW408">
        <f>IF($S408="","",IF(UPPER(TRIM($S408))&lt;&gt;"PASS","",IF(LEN(TRIM($BY408))&gt;0,"NOTES_PRESENT",IF(LEN(TRIM($T408))=0,"SET_NA",IF(OR(LOWER(TRIM($T408))="na",LOWER(TRIM($T408))="n/a"),"OK","MANUAL_OVERRIDE")))))</f>
        <v/>
      </c>
    </row>
    <row r="409">
      <c r="B409" t="inlineStr">
        <is>
          <t>No</t>
        </is>
      </c>
      <c r="C409" t="inlineStr">
        <is>
          <t>No</t>
        </is>
      </c>
      <c r="D409">
        <f>IF($B409&lt;&gt;"Yes","",IF($C409="No","Yes",IF($C409="Yes","No","")))</f>
        <v/>
      </c>
      <c r="E409">
        <f>IF($A409="","",IF(OR(AND($V409&lt;&gt;"",LOWER(TRIM($V409))&lt;&gt;"n/a",LOWER(TRIM($V409))&lt;&gt;"na",SUMPRODUCT(--(UPPER(TRIM($V$2:$V$518))=UPPER(TRIM($V409))),--(TRIM($V$2:$V$518)&lt;&gt;""),--(LOWER(TRIM($V$2:$V$518))&lt;&gt;"n/a"),--(LOWER(TRIM($V$2:$V$518))&lt;&gt;"na"))&gt;1),AND($W409&lt;&gt;"",LOWER(TRIM($W409))&lt;&gt;"n/a",LOWER(TRIM($W409))&lt;&gt;"na",SUMPRODUCT(--(UPPER(TRIM($W$2:$W$518))=UPPER(TRIM($W409))),--(TRIM($W$2:$W$518)&lt;&gt;""),--(LOWER(TRIM($W$2:$W$518))&lt;&gt;"n/a"),--(LOWER(TRIM($W$2:$W$518))&lt;&gt;"na"))&gt;1),AND($X409&lt;&gt;"",LOWER(TRIM($X409))&lt;&gt;"n/a",LOWER(TRIM($X409))&lt;&gt;"na",SUMPRODUCT(--(UPPER(TRIM($X$2:$X$518))=UPPER(TRIM($X409))),--(TRIM($X$2:$X$518)&lt;&gt;""),--(LOWER(TRIM($X$2:$X$518))&lt;&gt;"n/a"),--(LOWER(TRIM($X$2:$X$518))&lt;&gt;"na"))&gt;1),AND($Y409&lt;&gt;"",LOWER(TRIM($Y409))&lt;&gt;"n/a",LOWER(TRIM($Y409))&lt;&gt;"na",SUMPRODUCT(--(UPPER(SUBSTITUTE(SUBSTITUTE(TRIM($Y$2:$Y$518),":",""),"-",""))=UPPER(SUBSTITUTE(SUBSTITUTE(TRIM($Y409),":",""),"-",""))),--(TRIM($Y$2:$Y$518)&lt;&gt;""),--(LOWER(TRIM($Y$2:$Y$518))&lt;&gt;"n/a"),--(LOWER(TRIM($Y$2:$Y$518))&lt;&gt;"na"))&gt;1),AND($AB409&lt;&gt;"",LOWER(TRIM($AB409))&lt;&gt;"n/a",LOWER(TRIM($AB409))&lt;&gt;"na",SUMPRODUCT(--(UPPER(TRIM($AB$2:$AB$518))=UPPER(TRIM($AB409))),--(TRIM($AB$2:$AB$518)&lt;&gt;""),--(LOWER(TRIM($AB$2:$AB$518))&lt;&gt;"n/a"),--(LOWER(TRIM($AB$2:$AB$518))&lt;&gt;"na"))&gt;1),AND($AH409&lt;&gt;"",LOWER(TRIM($AH409))&lt;&gt;"n/a",LOWER(TRIM($AH409))&lt;&gt;"na",SUMPRODUCT(--(UPPER(SUBSTITUTE(SUBSTITUTE(TRIM($AH$2:$AH$518),":",""),"-",""))=UPPER(SUBSTITUTE(SUBSTITUTE(TRIM($AH409),":",""),"-",""))),--(TRIM($AH$2:$AH$518)&lt;&gt;""),--(LOWER(TRIM($AH$2:$AH$518))&lt;&gt;"n/a"),--(LOWER(TRIM($AH$2:$AH$518))&lt;&gt;"na"))&gt;1),AND($AP409&lt;&gt;"",LOWER(TRIM($AP409))&lt;&gt;"n/a",LOWER(TRIM($AP409))&lt;&gt;"na",SUMPRODUCT(--(UPPER(TRIM($AP$2:$AP$518))=UPPER(TRIM($AP409))),--(TRIM($AP$2:$AP$518)&lt;&gt;""),--(LOWER(TRIM($AP$2:$AP$518))&lt;&gt;"n/a"),--(LOWER(TRIM($AP$2:$AP$518))&lt;&gt;"na"))&gt;1),AND($AQ409&lt;&gt;"",LOWER(TRIM($AQ409))&lt;&gt;"n/a",LOWER(TRIM($AQ409))&lt;&gt;"na",SUMPRODUCT(--(UPPER(TRIM($AQ$2:$AQ$518))=UPPER(TRIM($AQ409))),--(TRIM($AQ$2:$AQ$518)&lt;&gt;""),--(LOWER(TRIM($AQ$2:$AQ$518))&lt;&gt;"n/a"),--(LOWER(TRIM($AQ$2:$AQ$518))&lt;&gt;"na"))&gt;1)),"Yes","No"))</f>
        <v/>
      </c>
      <c r="F409">
        <f>IF(UPPER(TRIM($B409))&lt;&gt;"YES","", IF(OR(AND($V409&lt;&gt;"", LOWER(TRIM($V409))&lt;&gt;"n/a", LOWER(TRIM($V409))&lt;&gt;"na", SUMPRODUCT(--(UPPER(TRIM($V$2:$V$518))=UPPER(TRIM($V409))), --(UPPER(TRIM($B$2:$B$518))="YES"), --(UPPER(TRIM($G$2:$G$518)&amp;TRIM($I$2:$I$518)&amp;TRIM($J$2:$J$518))&lt;&gt;UPPER(TRIM($G409)&amp;TRIM($I409)&amp;TRIM($J409))))&gt;0), AND($W409&lt;&gt;"", LOWER(TRIM($W409))&lt;&gt;"n/a", LOWER(TRIM($W409))&lt;&gt;"na", SUMPRODUCT(--(UPPER(TRIM($W$2:$W$518))=UPPER(TRIM($W409))), --(UPPER(TRIM($B$2:$B$518))="YES"), --(UPPER(TRIM($G$2:$G$518)&amp;TRIM($I$2:$I$518)&amp;TRIM($J$2:$J$518))&lt;&gt;UPPER(TRIM($G409)&amp;TRIM($I409)&amp;TRIM($J409))))&gt;0), AND($X409&lt;&gt;"", LOWER(TRIM($X409))&lt;&gt;"n/a", LOWER(TRIM($X409))&lt;&gt;"na", SUMPRODUCT(--(UPPER(TRIM($X$2:$X$518))=UPPER(TRIM($X409))), --(UPPER(TRIM($B$2:$B$518))="YES"), --(UPPER(TRIM($G$2:$G$518)&amp;TRIM($I$2:$I$518)&amp;TRIM($J$2:$J$518))&lt;&gt;UPPER(TRIM($G409)&amp;TRIM($I409)&amp;TRIM($J409))))&gt;0), AND($Y409&lt;&gt;"", LOWER(TRIM($Y409))&lt;&gt;"n/a", LOWER(TRIM($Y409))&lt;&gt;"na", SUMPRODUCT(--(UPPER(SUBSTITUTE(SUBSTITUTE(TRIM($Y$2:$Y$518),":",""),"-",""))=UPPER(SUBSTITUTE(SUBSTITUTE(TRIM($Y409),":",""),"-",""))), --(UPPER(TRIM($B$2:$B$518))="YES"), --(UPPER(TRIM($G$2:$G$518)&amp;TRIM($I$2:$I$518)&amp;TRIM($J$2:$J$518))&lt;&gt;UPPER(TRIM($G409)&amp;TRIM($I409)&amp;TRIM($J409))))&gt;0), AND($AB409&lt;&gt;"", LOWER(TRIM($AB409))&lt;&gt;"n/a", LOWER(TRIM($AB409))&lt;&gt;"na", SUMPRODUCT(--(UPPER(TRIM($AB$2:$AB$518))=UPPER(TRIM($AB409))), --(UPPER(TRIM($B$2:$B$518))="YES"), --(UPPER(TRIM($G$2:$G$518)&amp;TRIM($I$2:$I$518)&amp;TRIM($J$2:$J$518))&lt;&gt;UPPER(TRIM($G409)&amp;TRIM($I409)&amp;TRIM($J409))))&gt;0), AND($AH409&lt;&gt;"", LOWER(TRIM($AH409))&lt;&gt;"n/a", LOWER(TRIM($AH409))&lt;&gt;"na", SUMPRODUCT(--(UPPER(SUBSTITUTE(SUBSTITUTE(TRIM($AH$2:$AH$518),":",""),"-",""))=UPPER(SUBSTITUTE(SUBSTITUTE(TRIM($AH409),":",""),"-",""))), --(UPPER(TRIM($B$2:$B$518))="YES"), --(UPPER(TRIM($G$2:$G$518)&amp;TRIM($I$2:$I$518)&amp;TRIM($J$2:$J$518))&lt;&gt;UPPER(TRIM($G409)&amp;TRIM($I409)&amp;TRIM($J409))))&gt;0), AND($AP409&lt;&gt;"", LOWER(TRIM($AP409))&lt;&gt;"n/a", LOWER(TRIM($AP409))&lt;&gt;"na", SUMPRODUCT(--(UPPER(TRIM($AP$2:$AP$518))=UPPER(TRIM($AP409))), --(UPPER(TRIM($B$2:$B$518))="YES"), --(UPPER(TRIM($G$2:$G$518)&amp;TRIM($I$2:$I$518)&amp;TRIM($J$2:$J$518))&lt;&gt;UPPER(TRIM($G409)&amp;TRIM($I409)&amp;TRIM($J409))))&gt;0), AND($AQ409&lt;&gt;"", LOWER(TRIM($AQ409))&lt;&gt;"n/a", LOWER(TRIM($AQ409))&lt;&gt;"na", SUMPRODUCT(--(UPPER(TRIM($AQ$2:$AQ$518))=UPPER(TRIM($AQ409))), --(UPPER(TRIM($B$2:$B$518))="YES"), --(UPPER(TRIM($G$2:$G$518)&amp;TRIM($I$2:$I$518)&amp;TRIM($J$2:$J$518))&lt;&gt;UPPER(TRIM($G409)&amp;TRIM($I409)&amp;TRIM($J409))))&gt;0)), "Yes", "No"))</f>
        <v/>
      </c>
      <c r="CD409">
        <f>IF($Y409="","",IF((IF(AND($BR409&lt;&gt;"Yes",$BR409&lt;&gt;"N/A"),"Power Cable, ","")&amp;IF(AND($BS409&lt;&gt;"Yes",$BS409&lt;&gt;"N/A"),"Battery, ","")&amp;IF(AND($AD409&lt;&gt;"Yes",$AD409&lt;&gt;"N/A"),"Firmware Download, ","")&amp;IF(AND(OR($AD409="Yes",$AD409="N/A"),$AE409&lt;&gt;"Yes",$AE409&lt;&gt;"N/A"),"Firmware Install, ","")&amp;IF(AND($CB409&lt;&gt;"Yes",$CB409&lt;&gt;"N/A"),"Device ID, ","")&amp;IF(AND($CC409&lt;&gt;"Yes",$CC409&lt;&gt;"N/A"),"Epic Beans Relay, ",""))="","",LEFT(IF(AND($BR409&lt;&gt;"Yes",$BR409&lt;&gt;"N/A"),"Power Cable, ","")&amp;IF(AND($BS409&lt;&gt;"Yes",$BS409&lt;&gt;"N/A"),"Battery, ","")&amp;IF(AND($AD409&lt;&gt;"Yes",$AD409&lt;&gt;"N/A"),"Firmware Download, ","")&amp;IF(AND(OR($AD409="Yes",$AD409="N/A"),$AE409&lt;&gt;"Yes",$AE409&lt;&gt;"N/A"),"Firmware Install, ","")&amp;IF(AND($CB409&lt;&gt;"Yes",$CB409&lt;&gt;"N/A"),"Device ID, ","")&amp;IF(AND($CC409&lt;&gt;"Yes",$CC409&lt;&gt;"N/A"),"Epic Beans Relay, ",""),LEN(IF(AND($BR409&lt;&gt;"Yes",$BR409&lt;&gt;"N/A"),"Power Cable, ","")&amp;IF(AND($BS409&lt;&gt;"Yes",$BS409&lt;&gt;"N/A"),"Battery, ","")&amp;IF(AND($AD409&lt;&gt;"Yes",$AD409&lt;&gt;"N/A"),"Firmware Download, ","")&amp;IF(AND(OR($AD409="Yes",$AD409="N/A"),$AE409&lt;&gt;"Yes",$AE409&lt;&gt;"N/A"),"Firmware Install, ","")&amp;IF(AND($CB409&lt;&gt;"Yes",$CB409&lt;&gt;"N/A"),"Device ID, ","")&amp;IF(AND($CC409&lt;&gt;"Yes",$CC409&lt;&gt;"N/A"),"Epic Beans Relay, ",""))-2)))</f>
        <v/>
      </c>
      <c r="CE409">
        <f>IF($Y409="","",IF($CD409="","Yes","Blocked"))</f>
        <v/>
      </c>
      <c r="CP409">
        <f>IF($CO409="","",IFERROR(VLOOKUP($CO409,'01_Warehouse_Ledger'!$A:$N,4,FALSE),""))</f>
        <v/>
      </c>
      <c r="CQ409">
        <f>IF($CO409="","",IFERROR(VLOOKUP($CO409,'01_Warehouse_Ledger'!$A:$N,5,FALSE),""))</f>
        <v/>
      </c>
      <c r="CR409">
        <f>IF($CO409="","",IFERROR(VLOOKUP($CO409,'01_Warehouse_Ledger'!$A:$N,13,FALSE),""))</f>
        <v/>
      </c>
      <c r="CW409">
        <f>IF($S409="","",IF(UPPER(TRIM($S409))&lt;&gt;"PASS","",IF(LEN(TRIM($BY409))&gt;0,"NOTES_PRESENT",IF(LEN(TRIM($T409))=0,"SET_NA",IF(OR(LOWER(TRIM($T409))="na",LOWER(TRIM($T409))="n/a"),"OK","MANUAL_OVERRIDE")))))</f>
        <v/>
      </c>
    </row>
    <row r="410">
      <c r="B410" t="inlineStr">
        <is>
          <t>No</t>
        </is>
      </c>
      <c r="C410" t="inlineStr">
        <is>
          <t>No</t>
        </is>
      </c>
      <c r="D410">
        <f>IF($B410&lt;&gt;"Yes","",IF($C410="No","Yes",IF($C410="Yes","No","")))</f>
        <v/>
      </c>
      <c r="E410">
        <f>IF($A410="","",IF(OR(AND($V410&lt;&gt;"",LOWER(TRIM($V410))&lt;&gt;"n/a",LOWER(TRIM($V410))&lt;&gt;"na",SUMPRODUCT(--(UPPER(TRIM($V$2:$V$518))=UPPER(TRIM($V410))),--(TRIM($V$2:$V$518)&lt;&gt;""),--(LOWER(TRIM($V$2:$V$518))&lt;&gt;"n/a"),--(LOWER(TRIM($V$2:$V$518))&lt;&gt;"na"))&gt;1),AND($W410&lt;&gt;"",LOWER(TRIM($W410))&lt;&gt;"n/a",LOWER(TRIM($W410))&lt;&gt;"na",SUMPRODUCT(--(UPPER(TRIM($W$2:$W$518))=UPPER(TRIM($W410))),--(TRIM($W$2:$W$518)&lt;&gt;""),--(LOWER(TRIM($W$2:$W$518))&lt;&gt;"n/a"),--(LOWER(TRIM($W$2:$W$518))&lt;&gt;"na"))&gt;1),AND($X410&lt;&gt;"",LOWER(TRIM($X410))&lt;&gt;"n/a",LOWER(TRIM($X410))&lt;&gt;"na",SUMPRODUCT(--(UPPER(TRIM($X$2:$X$518))=UPPER(TRIM($X410))),--(TRIM($X$2:$X$518)&lt;&gt;""),--(LOWER(TRIM($X$2:$X$518))&lt;&gt;"n/a"),--(LOWER(TRIM($X$2:$X$518))&lt;&gt;"na"))&gt;1),AND($Y410&lt;&gt;"",LOWER(TRIM($Y410))&lt;&gt;"n/a",LOWER(TRIM($Y410))&lt;&gt;"na",SUMPRODUCT(--(UPPER(SUBSTITUTE(SUBSTITUTE(TRIM($Y$2:$Y$518),":",""),"-",""))=UPPER(SUBSTITUTE(SUBSTITUTE(TRIM($Y410),":",""),"-",""))),--(TRIM($Y$2:$Y$518)&lt;&gt;""),--(LOWER(TRIM($Y$2:$Y$518))&lt;&gt;"n/a"),--(LOWER(TRIM($Y$2:$Y$518))&lt;&gt;"na"))&gt;1),AND($AB410&lt;&gt;"",LOWER(TRIM($AB410))&lt;&gt;"n/a",LOWER(TRIM($AB410))&lt;&gt;"na",SUMPRODUCT(--(UPPER(TRIM($AB$2:$AB$518))=UPPER(TRIM($AB410))),--(TRIM($AB$2:$AB$518)&lt;&gt;""),--(LOWER(TRIM($AB$2:$AB$518))&lt;&gt;"n/a"),--(LOWER(TRIM($AB$2:$AB$518))&lt;&gt;"na"))&gt;1),AND($AH410&lt;&gt;"",LOWER(TRIM($AH410))&lt;&gt;"n/a",LOWER(TRIM($AH410))&lt;&gt;"na",SUMPRODUCT(--(UPPER(SUBSTITUTE(SUBSTITUTE(TRIM($AH$2:$AH$518),":",""),"-",""))=UPPER(SUBSTITUTE(SUBSTITUTE(TRIM($AH410),":",""),"-",""))),--(TRIM($AH$2:$AH$518)&lt;&gt;""),--(LOWER(TRIM($AH$2:$AH$518))&lt;&gt;"n/a"),--(LOWER(TRIM($AH$2:$AH$518))&lt;&gt;"na"))&gt;1),AND($AP410&lt;&gt;"",LOWER(TRIM($AP410))&lt;&gt;"n/a",LOWER(TRIM($AP410))&lt;&gt;"na",SUMPRODUCT(--(UPPER(TRIM($AP$2:$AP$518))=UPPER(TRIM($AP410))),--(TRIM($AP$2:$AP$518)&lt;&gt;""),--(LOWER(TRIM($AP$2:$AP$518))&lt;&gt;"n/a"),--(LOWER(TRIM($AP$2:$AP$518))&lt;&gt;"na"))&gt;1),AND($AQ410&lt;&gt;"",LOWER(TRIM($AQ410))&lt;&gt;"n/a",LOWER(TRIM($AQ410))&lt;&gt;"na",SUMPRODUCT(--(UPPER(TRIM($AQ$2:$AQ$518))=UPPER(TRIM($AQ410))),--(TRIM($AQ$2:$AQ$518)&lt;&gt;""),--(LOWER(TRIM($AQ$2:$AQ$518))&lt;&gt;"n/a"),--(LOWER(TRIM($AQ$2:$AQ$518))&lt;&gt;"na"))&gt;1)),"Yes","No"))</f>
        <v/>
      </c>
      <c r="F410">
        <f>IF(UPPER(TRIM($B410))&lt;&gt;"YES","", IF(OR(AND($V410&lt;&gt;"", LOWER(TRIM($V410))&lt;&gt;"n/a", LOWER(TRIM($V410))&lt;&gt;"na", SUMPRODUCT(--(UPPER(TRIM($V$2:$V$518))=UPPER(TRIM($V410))), --(UPPER(TRIM($B$2:$B$518))="YES"), --(UPPER(TRIM($G$2:$G$518)&amp;TRIM($I$2:$I$518)&amp;TRIM($J$2:$J$518))&lt;&gt;UPPER(TRIM($G410)&amp;TRIM($I410)&amp;TRIM($J410))))&gt;0), AND($W410&lt;&gt;"", LOWER(TRIM($W410))&lt;&gt;"n/a", LOWER(TRIM($W410))&lt;&gt;"na", SUMPRODUCT(--(UPPER(TRIM($W$2:$W$518))=UPPER(TRIM($W410))), --(UPPER(TRIM($B$2:$B$518))="YES"), --(UPPER(TRIM($G$2:$G$518)&amp;TRIM($I$2:$I$518)&amp;TRIM($J$2:$J$518))&lt;&gt;UPPER(TRIM($G410)&amp;TRIM($I410)&amp;TRIM($J410))))&gt;0), AND($X410&lt;&gt;"", LOWER(TRIM($X410))&lt;&gt;"n/a", LOWER(TRIM($X410))&lt;&gt;"na", SUMPRODUCT(--(UPPER(TRIM($X$2:$X$518))=UPPER(TRIM($X410))), --(UPPER(TRIM($B$2:$B$518))="YES"), --(UPPER(TRIM($G$2:$G$518)&amp;TRIM($I$2:$I$518)&amp;TRIM($J$2:$J$518))&lt;&gt;UPPER(TRIM($G410)&amp;TRIM($I410)&amp;TRIM($J410))))&gt;0), AND($Y410&lt;&gt;"", LOWER(TRIM($Y410))&lt;&gt;"n/a", LOWER(TRIM($Y410))&lt;&gt;"na", SUMPRODUCT(--(UPPER(SUBSTITUTE(SUBSTITUTE(TRIM($Y$2:$Y$518),":",""),"-",""))=UPPER(SUBSTITUTE(SUBSTITUTE(TRIM($Y410),":",""),"-",""))), --(UPPER(TRIM($B$2:$B$518))="YES"), --(UPPER(TRIM($G$2:$G$518)&amp;TRIM($I$2:$I$518)&amp;TRIM($J$2:$J$518))&lt;&gt;UPPER(TRIM($G410)&amp;TRIM($I410)&amp;TRIM($J410))))&gt;0), AND($AB410&lt;&gt;"", LOWER(TRIM($AB410))&lt;&gt;"n/a", LOWER(TRIM($AB410))&lt;&gt;"na", SUMPRODUCT(--(UPPER(TRIM($AB$2:$AB$518))=UPPER(TRIM($AB410))), --(UPPER(TRIM($B$2:$B$518))="YES"), --(UPPER(TRIM($G$2:$G$518)&amp;TRIM($I$2:$I$518)&amp;TRIM($J$2:$J$518))&lt;&gt;UPPER(TRIM($G410)&amp;TRIM($I410)&amp;TRIM($J410))))&gt;0), AND($AH410&lt;&gt;"", LOWER(TRIM($AH410))&lt;&gt;"n/a", LOWER(TRIM($AH410))&lt;&gt;"na", SUMPRODUCT(--(UPPER(SUBSTITUTE(SUBSTITUTE(TRIM($AH$2:$AH$518),":",""),"-",""))=UPPER(SUBSTITUTE(SUBSTITUTE(TRIM($AH410),":",""),"-",""))), --(UPPER(TRIM($B$2:$B$518))="YES"), --(UPPER(TRIM($G$2:$G$518)&amp;TRIM($I$2:$I$518)&amp;TRIM($J$2:$J$518))&lt;&gt;UPPER(TRIM($G410)&amp;TRIM($I410)&amp;TRIM($J410))))&gt;0), AND($AP410&lt;&gt;"", LOWER(TRIM($AP410))&lt;&gt;"n/a", LOWER(TRIM($AP410))&lt;&gt;"na", SUMPRODUCT(--(UPPER(TRIM($AP$2:$AP$518))=UPPER(TRIM($AP410))), --(UPPER(TRIM($B$2:$B$518))="YES"), --(UPPER(TRIM($G$2:$G$518)&amp;TRIM($I$2:$I$518)&amp;TRIM($J$2:$J$518))&lt;&gt;UPPER(TRIM($G410)&amp;TRIM($I410)&amp;TRIM($J410))))&gt;0), AND($AQ410&lt;&gt;"", LOWER(TRIM($AQ410))&lt;&gt;"n/a", LOWER(TRIM($AQ410))&lt;&gt;"na", SUMPRODUCT(--(UPPER(TRIM($AQ$2:$AQ$518))=UPPER(TRIM($AQ410))), --(UPPER(TRIM($B$2:$B$518))="YES"), --(UPPER(TRIM($G$2:$G$518)&amp;TRIM($I$2:$I$518)&amp;TRIM($J$2:$J$518))&lt;&gt;UPPER(TRIM($G410)&amp;TRIM($I410)&amp;TRIM($J410))))&gt;0)), "Yes", "No"))</f>
        <v/>
      </c>
      <c r="CD410">
        <f>IF($Y410="","",IF((IF(AND($BR410&lt;&gt;"Yes",$BR410&lt;&gt;"N/A"),"Power Cable, ","")&amp;IF(AND($BS410&lt;&gt;"Yes",$BS410&lt;&gt;"N/A"),"Battery, ","")&amp;IF(AND($AD410&lt;&gt;"Yes",$AD410&lt;&gt;"N/A"),"Firmware Download, ","")&amp;IF(AND(OR($AD410="Yes",$AD410="N/A"),$AE410&lt;&gt;"Yes",$AE410&lt;&gt;"N/A"),"Firmware Install, ","")&amp;IF(AND($CB410&lt;&gt;"Yes",$CB410&lt;&gt;"N/A"),"Device ID, ","")&amp;IF(AND($CC410&lt;&gt;"Yes",$CC410&lt;&gt;"N/A"),"Epic Beans Relay, ",""))="","",LEFT(IF(AND($BR410&lt;&gt;"Yes",$BR410&lt;&gt;"N/A"),"Power Cable, ","")&amp;IF(AND($BS410&lt;&gt;"Yes",$BS410&lt;&gt;"N/A"),"Battery, ","")&amp;IF(AND($AD410&lt;&gt;"Yes",$AD410&lt;&gt;"N/A"),"Firmware Download, ","")&amp;IF(AND(OR($AD410="Yes",$AD410="N/A"),$AE410&lt;&gt;"Yes",$AE410&lt;&gt;"N/A"),"Firmware Install, ","")&amp;IF(AND($CB410&lt;&gt;"Yes",$CB410&lt;&gt;"N/A"),"Device ID, ","")&amp;IF(AND($CC410&lt;&gt;"Yes",$CC410&lt;&gt;"N/A"),"Epic Beans Relay, ",""),LEN(IF(AND($BR410&lt;&gt;"Yes",$BR410&lt;&gt;"N/A"),"Power Cable, ","")&amp;IF(AND($BS410&lt;&gt;"Yes",$BS410&lt;&gt;"N/A"),"Battery, ","")&amp;IF(AND($AD410&lt;&gt;"Yes",$AD410&lt;&gt;"N/A"),"Firmware Download, ","")&amp;IF(AND(OR($AD410="Yes",$AD410="N/A"),$AE410&lt;&gt;"Yes",$AE410&lt;&gt;"N/A"),"Firmware Install, ","")&amp;IF(AND($CB410&lt;&gt;"Yes",$CB410&lt;&gt;"N/A"),"Device ID, ","")&amp;IF(AND($CC410&lt;&gt;"Yes",$CC410&lt;&gt;"N/A"),"Epic Beans Relay, ",""))-2)))</f>
        <v/>
      </c>
      <c r="CE410">
        <f>IF($Y410="","",IF($CD410="","Yes","Blocked"))</f>
        <v/>
      </c>
      <c r="CP410">
        <f>IF($CO410="","",IFERROR(VLOOKUP($CO410,'01_Warehouse_Ledger'!$A:$N,4,FALSE),""))</f>
        <v/>
      </c>
      <c r="CQ410">
        <f>IF($CO410="","",IFERROR(VLOOKUP($CO410,'01_Warehouse_Ledger'!$A:$N,5,FALSE),""))</f>
        <v/>
      </c>
      <c r="CR410">
        <f>IF($CO410="","",IFERROR(VLOOKUP($CO410,'01_Warehouse_Ledger'!$A:$N,13,FALSE),""))</f>
        <v/>
      </c>
      <c r="CW410">
        <f>IF($S410="","",IF(UPPER(TRIM($S410))&lt;&gt;"PASS","",IF(LEN(TRIM($BY410))&gt;0,"NOTES_PRESENT",IF(LEN(TRIM($T410))=0,"SET_NA",IF(OR(LOWER(TRIM($T410))="na",LOWER(TRIM($T410))="n/a"),"OK","MANUAL_OVERRIDE")))))</f>
        <v/>
      </c>
    </row>
    <row r="411">
      <c r="B411" t="inlineStr">
        <is>
          <t>No</t>
        </is>
      </c>
      <c r="C411" t="inlineStr">
        <is>
          <t>No</t>
        </is>
      </c>
      <c r="D411">
        <f>IF($B411&lt;&gt;"Yes","",IF($C411="No","Yes",IF($C411="Yes","No","")))</f>
        <v/>
      </c>
      <c r="E411">
        <f>IF($A411="","",IF(OR(AND($V411&lt;&gt;"",LOWER(TRIM($V411))&lt;&gt;"n/a",LOWER(TRIM($V411))&lt;&gt;"na",SUMPRODUCT(--(UPPER(TRIM($V$2:$V$518))=UPPER(TRIM($V411))),--(TRIM($V$2:$V$518)&lt;&gt;""),--(LOWER(TRIM($V$2:$V$518))&lt;&gt;"n/a"),--(LOWER(TRIM($V$2:$V$518))&lt;&gt;"na"))&gt;1),AND($W411&lt;&gt;"",LOWER(TRIM($W411))&lt;&gt;"n/a",LOWER(TRIM($W411))&lt;&gt;"na",SUMPRODUCT(--(UPPER(TRIM($W$2:$W$518))=UPPER(TRIM($W411))),--(TRIM($W$2:$W$518)&lt;&gt;""),--(LOWER(TRIM($W$2:$W$518))&lt;&gt;"n/a"),--(LOWER(TRIM($W$2:$W$518))&lt;&gt;"na"))&gt;1),AND($X411&lt;&gt;"",LOWER(TRIM($X411))&lt;&gt;"n/a",LOWER(TRIM($X411))&lt;&gt;"na",SUMPRODUCT(--(UPPER(TRIM($X$2:$X$518))=UPPER(TRIM($X411))),--(TRIM($X$2:$X$518)&lt;&gt;""),--(LOWER(TRIM($X$2:$X$518))&lt;&gt;"n/a"),--(LOWER(TRIM($X$2:$X$518))&lt;&gt;"na"))&gt;1),AND($Y411&lt;&gt;"",LOWER(TRIM($Y411))&lt;&gt;"n/a",LOWER(TRIM($Y411))&lt;&gt;"na",SUMPRODUCT(--(UPPER(SUBSTITUTE(SUBSTITUTE(TRIM($Y$2:$Y$518),":",""),"-",""))=UPPER(SUBSTITUTE(SUBSTITUTE(TRIM($Y411),":",""),"-",""))),--(TRIM($Y$2:$Y$518)&lt;&gt;""),--(LOWER(TRIM($Y$2:$Y$518))&lt;&gt;"n/a"),--(LOWER(TRIM($Y$2:$Y$518))&lt;&gt;"na"))&gt;1),AND($AB411&lt;&gt;"",LOWER(TRIM($AB411))&lt;&gt;"n/a",LOWER(TRIM($AB411))&lt;&gt;"na",SUMPRODUCT(--(UPPER(TRIM($AB$2:$AB$518))=UPPER(TRIM($AB411))),--(TRIM($AB$2:$AB$518)&lt;&gt;""),--(LOWER(TRIM($AB$2:$AB$518))&lt;&gt;"n/a"),--(LOWER(TRIM($AB$2:$AB$518))&lt;&gt;"na"))&gt;1),AND($AH411&lt;&gt;"",LOWER(TRIM($AH411))&lt;&gt;"n/a",LOWER(TRIM($AH411))&lt;&gt;"na",SUMPRODUCT(--(UPPER(SUBSTITUTE(SUBSTITUTE(TRIM($AH$2:$AH$518),":",""),"-",""))=UPPER(SUBSTITUTE(SUBSTITUTE(TRIM($AH411),":",""),"-",""))),--(TRIM($AH$2:$AH$518)&lt;&gt;""),--(LOWER(TRIM($AH$2:$AH$518))&lt;&gt;"n/a"),--(LOWER(TRIM($AH$2:$AH$518))&lt;&gt;"na"))&gt;1),AND($AP411&lt;&gt;"",LOWER(TRIM($AP411))&lt;&gt;"n/a",LOWER(TRIM($AP411))&lt;&gt;"na",SUMPRODUCT(--(UPPER(TRIM($AP$2:$AP$518))=UPPER(TRIM($AP411))),--(TRIM($AP$2:$AP$518)&lt;&gt;""),--(LOWER(TRIM($AP$2:$AP$518))&lt;&gt;"n/a"),--(LOWER(TRIM($AP$2:$AP$518))&lt;&gt;"na"))&gt;1),AND($AQ411&lt;&gt;"",LOWER(TRIM($AQ411))&lt;&gt;"n/a",LOWER(TRIM($AQ411))&lt;&gt;"na",SUMPRODUCT(--(UPPER(TRIM($AQ$2:$AQ$518))=UPPER(TRIM($AQ411))),--(TRIM($AQ$2:$AQ$518)&lt;&gt;""),--(LOWER(TRIM($AQ$2:$AQ$518))&lt;&gt;"n/a"),--(LOWER(TRIM($AQ$2:$AQ$518))&lt;&gt;"na"))&gt;1)),"Yes","No"))</f>
        <v/>
      </c>
      <c r="F411">
        <f>IF(UPPER(TRIM($B411))&lt;&gt;"YES","", IF(OR(AND($V411&lt;&gt;"", LOWER(TRIM($V411))&lt;&gt;"n/a", LOWER(TRIM($V411))&lt;&gt;"na", SUMPRODUCT(--(UPPER(TRIM($V$2:$V$518))=UPPER(TRIM($V411))), --(UPPER(TRIM($B$2:$B$518))="YES"), --(UPPER(TRIM($G$2:$G$518)&amp;TRIM($I$2:$I$518)&amp;TRIM($J$2:$J$518))&lt;&gt;UPPER(TRIM($G411)&amp;TRIM($I411)&amp;TRIM($J411))))&gt;0), AND($W411&lt;&gt;"", LOWER(TRIM($W411))&lt;&gt;"n/a", LOWER(TRIM($W411))&lt;&gt;"na", SUMPRODUCT(--(UPPER(TRIM($W$2:$W$518))=UPPER(TRIM($W411))), --(UPPER(TRIM($B$2:$B$518))="YES"), --(UPPER(TRIM($G$2:$G$518)&amp;TRIM($I$2:$I$518)&amp;TRIM($J$2:$J$518))&lt;&gt;UPPER(TRIM($G411)&amp;TRIM($I411)&amp;TRIM($J411))))&gt;0), AND($X411&lt;&gt;"", LOWER(TRIM($X411))&lt;&gt;"n/a", LOWER(TRIM($X411))&lt;&gt;"na", SUMPRODUCT(--(UPPER(TRIM($X$2:$X$518))=UPPER(TRIM($X411))), --(UPPER(TRIM($B$2:$B$518))="YES"), --(UPPER(TRIM($G$2:$G$518)&amp;TRIM($I$2:$I$518)&amp;TRIM($J$2:$J$518))&lt;&gt;UPPER(TRIM($G411)&amp;TRIM($I411)&amp;TRIM($J411))))&gt;0), AND($Y411&lt;&gt;"", LOWER(TRIM($Y411))&lt;&gt;"n/a", LOWER(TRIM($Y411))&lt;&gt;"na", SUMPRODUCT(--(UPPER(SUBSTITUTE(SUBSTITUTE(TRIM($Y$2:$Y$518),":",""),"-",""))=UPPER(SUBSTITUTE(SUBSTITUTE(TRIM($Y411),":",""),"-",""))), --(UPPER(TRIM($B$2:$B$518))="YES"), --(UPPER(TRIM($G$2:$G$518)&amp;TRIM($I$2:$I$518)&amp;TRIM($J$2:$J$518))&lt;&gt;UPPER(TRIM($G411)&amp;TRIM($I411)&amp;TRIM($J411))))&gt;0), AND($AB411&lt;&gt;"", LOWER(TRIM($AB411))&lt;&gt;"n/a", LOWER(TRIM($AB411))&lt;&gt;"na", SUMPRODUCT(--(UPPER(TRIM($AB$2:$AB$518))=UPPER(TRIM($AB411))), --(UPPER(TRIM($B$2:$B$518))="YES"), --(UPPER(TRIM($G$2:$G$518)&amp;TRIM($I$2:$I$518)&amp;TRIM($J$2:$J$518))&lt;&gt;UPPER(TRIM($G411)&amp;TRIM($I411)&amp;TRIM($J411))))&gt;0), AND($AH411&lt;&gt;"", LOWER(TRIM($AH411))&lt;&gt;"n/a", LOWER(TRIM($AH411))&lt;&gt;"na", SUMPRODUCT(--(UPPER(SUBSTITUTE(SUBSTITUTE(TRIM($AH$2:$AH$518),":",""),"-",""))=UPPER(SUBSTITUTE(SUBSTITUTE(TRIM($AH411),":",""),"-",""))), --(UPPER(TRIM($B$2:$B$518))="YES"), --(UPPER(TRIM($G$2:$G$518)&amp;TRIM($I$2:$I$518)&amp;TRIM($J$2:$J$518))&lt;&gt;UPPER(TRIM($G411)&amp;TRIM($I411)&amp;TRIM($J411))))&gt;0), AND($AP411&lt;&gt;"", LOWER(TRIM($AP411))&lt;&gt;"n/a", LOWER(TRIM($AP411))&lt;&gt;"na", SUMPRODUCT(--(UPPER(TRIM($AP$2:$AP$518))=UPPER(TRIM($AP411))), --(UPPER(TRIM($B$2:$B$518))="YES"), --(UPPER(TRIM($G$2:$G$518)&amp;TRIM($I$2:$I$518)&amp;TRIM($J$2:$J$518))&lt;&gt;UPPER(TRIM($G411)&amp;TRIM($I411)&amp;TRIM($J411))))&gt;0), AND($AQ411&lt;&gt;"", LOWER(TRIM($AQ411))&lt;&gt;"n/a", LOWER(TRIM($AQ411))&lt;&gt;"na", SUMPRODUCT(--(UPPER(TRIM($AQ$2:$AQ$518))=UPPER(TRIM($AQ411))), --(UPPER(TRIM($B$2:$B$518))="YES"), --(UPPER(TRIM($G$2:$G$518)&amp;TRIM($I$2:$I$518)&amp;TRIM($J$2:$J$518))&lt;&gt;UPPER(TRIM($G411)&amp;TRIM($I411)&amp;TRIM($J411))))&gt;0)), "Yes", "No"))</f>
        <v/>
      </c>
      <c r="CD411">
        <f>IF($Y411="","",IF((IF(AND($BR411&lt;&gt;"Yes",$BR411&lt;&gt;"N/A"),"Power Cable, ","")&amp;IF(AND($BS411&lt;&gt;"Yes",$BS411&lt;&gt;"N/A"),"Battery, ","")&amp;IF(AND($AD411&lt;&gt;"Yes",$AD411&lt;&gt;"N/A"),"Firmware Download, ","")&amp;IF(AND(OR($AD411="Yes",$AD411="N/A"),$AE411&lt;&gt;"Yes",$AE411&lt;&gt;"N/A"),"Firmware Install, ","")&amp;IF(AND($CB411&lt;&gt;"Yes",$CB411&lt;&gt;"N/A"),"Device ID, ","")&amp;IF(AND($CC411&lt;&gt;"Yes",$CC411&lt;&gt;"N/A"),"Epic Beans Relay, ",""))="","",LEFT(IF(AND($BR411&lt;&gt;"Yes",$BR411&lt;&gt;"N/A"),"Power Cable, ","")&amp;IF(AND($BS411&lt;&gt;"Yes",$BS411&lt;&gt;"N/A"),"Battery, ","")&amp;IF(AND($AD411&lt;&gt;"Yes",$AD411&lt;&gt;"N/A"),"Firmware Download, ","")&amp;IF(AND(OR($AD411="Yes",$AD411="N/A"),$AE411&lt;&gt;"Yes",$AE411&lt;&gt;"N/A"),"Firmware Install, ","")&amp;IF(AND($CB411&lt;&gt;"Yes",$CB411&lt;&gt;"N/A"),"Device ID, ","")&amp;IF(AND($CC411&lt;&gt;"Yes",$CC411&lt;&gt;"N/A"),"Epic Beans Relay, ",""),LEN(IF(AND($BR411&lt;&gt;"Yes",$BR411&lt;&gt;"N/A"),"Power Cable, ","")&amp;IF(AND($BS411&lt;&gt;"Yes",$BS411&lt;&gt;"N/A"),"Battery, ","")&amp;IF(AND($AD411&lt;&gt;"Yes",$AD411&lt;&gt;"N/A"),"Firmware Download, ","")&amp;IF(AND(OR($AD411="Yes",$AD411="N/A"),$AE411&lt;&gt;"Yes",$AE411&lt;&gt;"N/A"),"Firmware Install, ","")&amp;IF(AND($CB411&lt;&gt;"Yes",$CB411&lt;&gt;"N/A"),"Device ID, ","")&amp;IF(AND($CC411&lt;&gt;"Yes",$CC411&lt;&gt;"N/A"),"Epic Beans Relay, ",""))-2)))</f>
        <v/>
      </c>
      <c r="CE411">
        <f>IF($Y411="","",IF($CD411="","Yes","Blocked"))</f>
        <v/>
      </c>
      <c r="CP411">
        <f>IF($CO411="","",IFERROR(VLOOKUP($CO411,'01_Warehouse_Ledger'!$A:$N,4,FALSE),""))</f>
        <v/>
      </c>
      <c r="CQ411">
        <f>IF($CO411="","",IFERROR(VLOOKUP($CO411,'01_Warehouse_Ledger'!$A:$N,5,FALSE),""))</f>
        <v/>
      </c>
      <c r="CR411">
        <f>IF($CO411="","",IFERROR(VLOOKUP($CO411,'01_Warehouse_Ledger'!$A:$N,13,FALSE),""))</f>
        <v/>
      </c>
      <c r="CW411">
        <f>IF($S411="","",IF(UPPER(TRIM($S411))&lt;&gt;"PASS","",IF(LEN(TRIM($BY411))&gt;0,"NOTES_PRESENT",IF(LEN(TRIM($T411))=0,"SET_NA",IF(OR(LOWER(TRIM($T411))="na",LOWER(TRIM($T411))="n/a"),"OK","MANUAL_OVERRIDE")))))</f>
        <v/>
      </c>
    </row>
    <row r="412">
      <c r="B412" t="inlineStr">
        <is>
          <t>No</t>
        </is>
      </c>
      <c r="C412" t="inlineStr">
        <is>
          <t>No</t>
        </is>
      </c>
      <c r="D412">
        <f>IF($B412&lt;&gt;"Yes","",IF($C412="No","Yes",IF($C412="Yes","No","")))</f>
        <v/>
      </c>
      <c r="E412">
        <f>IF($A412="","",IF(OR(AND($V412&lt;&gt;"",LOWER(TRIM($V412))&lt;&gt;"n/a",LOWER(TRIM($V412))&lt;&gt;"na",SUMPRODUCT(--(UPPER(TRIM($V$2:$V$518))=UPPER(TRIM($V412))),--(TRIM($V$2:$V$518)&lt;&gt;""),--(LOWER(TRIM($V$2:$V$518))&lt;&gt;"n/a"),--(LOWER(TRIM($V$2:$V$518))&lt;&gt;"na"))&gt;1),AND($W412&lt;&gt;"",LOWER(TRIM($W412))&lt;&gt;"n/a",LOWER(TRIM($W412))&lt;&gt;"na",SUMPRODUCT(--(UPPER(TRIM($W$2:$W$518))=UPPER(TRIM($W412))),--(TRIM($W$2:$W$518)&lt;&gt;""),--(LOWER(TRIM($W$2:$W$518))&lt;&gt;"n/a"),--(LOWER(TRIM($W$2:$W$518))&lt;&gt;"na"))&gt;1),AND($X412&lt;&gt;"",LOWER(TRIM($X412))&lt;&gt;"n/a",LOWER(TRIM($X412))&lt;&gt;"na",SUMPRODUCT(--(UPPER(TRIM($X$2:$X$518))=UPPER(TRIM($X412))),--(TRIM($X$2:$X$518)&lt;&gt;""),--(LOWER(TRIM($X$2:$X$518))&lt;&gt;"n/a"),--(LOWER(TRIM($X$2:$X$518))&lt;&gt;"na"))&gt;1),AND($Y412&lt;&gt;"",LOWER(TRIM($Y412))&lt;&gt;"n/a",LOWER(TRIM($Y412))&lt;&gt;"na",SUMPRODUCT(--(UPPER(SUBSTITUTE(SUBSTITUTE(TRIM($Y$2:$Y$518),":",""),"-",""))=UPPER(SUBSTITUTE(SUBSTITUTE(TRIM($Y412),":",""),"-",""))),--(TRIM($Y$2:$Y$518)&lt;&gt;""),--(LOWER(TRIM($Y$2:$Y$518))&lt;&gt;"n/a"),--(LOWER(TRIM($Y$2:$Y$518))&lt;&gt;"na"))&gt;1),AND($AB412&lt;&gt;"",LOWER(TRIM($AB412))&lt;&gt;"n/a",LOWER(TRIM($AB412))&lt;&gt;"na",SUMPRODUCT(--(UPPER(TRIM($AB$2:$AB$518))=UPPER(TRIM($AB412))),--(TRIM($AB$2:$AB$518)&lt;&gt;""),--(LOWER(TRIM($AB$2:$AB$518))&lt;&gt;"n/a"),--(LOWER(TRIM($AB$2:$AB$518))&lt;&gt;"na"))&gt;1),AND($AH412&lt;&gt;"",LOWER(TRIM($AH412))&lt;&gt;"n/a",LOWER(TRIM($AH412))&lt;&gt;"na",SUMPRODUCT(--(UPPER(SUBSTITUTE(SUBSTITUTE(TRIM($AH$2:$AH$518),":",""),"-",""))=UPPER(SUBSTITUTE(SUBSTITUTE(TRIM($AH412),":",""),"-",""))),--(TRIM($AH$2:$AH$518)&lt;&gt;""),--(LOWER(TRIM($AH$2:$AH$518))&lt;&gt;"n/a"),--(LOWER(TRIM($AH$2:$AH$518))&lt;&gt;"na"))&gt;1),AND($AP412&lt;&gt;"",LOWER(TRIM($AP412))&lt;&gt;"n/a",LOWER(TRIM($AP412))&lt;&gt;"na",SUMPRODUCT(--(UPPER(TRIM($AP$2:$AP$518))=UPPER(TRIM($AP412))),--(TRIM($AP$2:$AP$518)&lt;&gt;""),--(LOWER(TRIM($AP$2:$AP$518))&lt;&gt;"n/a"),--(LOWER(TRIM($AP$2:$AP$518))&lt;&gt;"na"))&gt;1),AND($AQ412&lt;&gt;"",LOWER(TRIM($AQ412))&lt;&gt;"n/a",LOWER(TRIM($AQ412))&lt;&gt;"na",SUMPRODUCT(--(UPPER(TRIM($AQ$2:$AQ$518))=UPPER(TRIM($AQ412))),--(TRIM($AQ$2:$AQ$518)&lt;&gt;""),--(LOWER(TRIM($AQ$2:$AQ$518))&lt;&gt;"n/a"),--(LOWER(TRIM($AQ$2:$AQ$518))&lt;&gt;"na"))&gt;1)),"Yes","No"))</f>
        <v/>
      </c>
      <c r="F412">
        <f>IF(UPPER(TRIM($B412))&lt;&gt;"YES","", IF(OR(AND($V412&lt;&gt;"", LOWER(TRIM($V412))&lt;&gt;"n/a", LOWER(TRIM($V412))&lt;&gt;"na", SUMPRODUCT(--(UPPER(TRIM($V$2:$V$518))=UPPER(TRIM($V412))), --(UPPER(TRIM($B$2:$B$518))="YES"), --(UPPER(TRIM($G$2:$G$518)&amp;TRIM($I$2:$I$518)&amp;TRIM($J$2:$J$518))&lt;&gt;UPPER(TRIM($G412)&amp;TRIM($I412)&amp;TRIM($J412))))&gt;0), AND($W412&lt;&gt;"", LOWER(TRIM($W412))&lt;&gt;"n/a", LOWER(TRIM($W412))&lt;&gt;"na", SUMPRODUCT(--(UPPER(TRIM($W$2:$W$518))=UPPER(TRIM($W412))), --(UPPER(TRIM($B$2:$B$518))="YES"), --(UPPER(TRIM($G$2:$G$518)&amp;TRIM($I$2:$I$518)&amp;TRIM($J$2:$J$518))&lt;&gt;UPPER(TRIM($G412)&amp;TRIM($I412)&amp;TRIM($J412))))&gt;0), AND($X412&lt;&gt;"", LOWER(TRIM($X412))&lt;&gt;"n/a", LOWER(TRIM($X412))&lt;&gt;"na", SUMPRODUCT(--(UPPER(TRIM($X$2:$X$518))=UPPER(TRIM($X412))), --(UPPER(TRIM($B$2:$B$518))="YES"), --(UPPER(TRIM($G$2:$G$518)&amp;TRIM($I$2:$I$518)&amp;TRIM($J$2:$J$518))&lt;&gt;UPPER(TRIM($G412)&amp;TRIM($I412)&amp;TRIM($J412))))&gt;0), AND($Y412&lt;&gt;"", LOWER(TRIM($Y412))&lt;&gt;"n/a", LOWER(TRIM($Y412))&lt;&gt;"na", SUMPRODUCT(--(UPPER(SUBSTITUTE(SUBSTITUTE(TRIM($Y$2:$Y$518),":",""),"-",""))=UPPER(SUBSTITUTE(SUBSTITUTE(TRIM($Y412),":",""),"-",""))), --(UPPER(TRIM($B$2:$B$518))="YES"), --(UPPER(TRIM($G$2:$G$518)&amp;TRIM($I$2:$I$518)&amp;TRIM($J$2:$J$518))&lt;&gt;UPPER(TRIM($G412)&amp;TRIM($I412)&amp;TRIM($J412))))&gt;0), AND($AB412&lt;&gt;"", LOWER(TRIM($AB412))&lt;&gt;"n/a", LOWER(TRIM($AB412))&lt;&gt;"na", SUMPRODUCT(--(UPPER(TRIM($AB$2:$AB$518))=UPPER(TRIM($AB412))), --(UPPER(TRIM($B$2:$B$518))="YES"), --(UPPER(TRIM($G$2:$G$518)&amp;TRIM($I$2:$I$518)&amp;TRIM($J$2:$J$518))&lt;&gt;UPPER(TRIM($G412)&amp;TRIM($I412)&amp;TRIM($J412))))&gt;0), AND($AH412&lt;&gt;"", LOWER(TRIM($AH412))&lt;&gt;"n/a", LOWER(TRIM($AH412))&lt;&gt;"na", SUMPRODUCT(--(UPPER(SUBSTITUTE(SUBSTITUTE(TRIM($AH$2:$AH$518),":",""),"-",""))=UPPER(SUBSTITUTE(SUBSTITUTE(TRIM($AH412),":",""),"-",""))), --(UPPER(TRIM($B$2:$B$518))="YES"), --(UPPER(TRIM($G$2:$G$518)&amp;TRIM($I$2:$I$518)&amp;TRIM($J$2:$J$518))&lt;&gt;UPPER(TRIM($G412)&amp;TRIM($I412)&amp;TRIM($J412))))&gt;0), AND($AP412&lt;&gt;"", LOWER(TRIM($AP412))&lt;&gt;"n/a", LOWER(TRIM($AP412))&lt;&gt;"na", SUMPRODUCT(--(UPPER(TRIM($AP$2:$AP$518))=UPPER(TRIM($AP412))), --(UPPER(TRIM($B$2:$B$518))="YES"), --(UPPER(TRIM($G$2:$G$518)&amp;TRIM($I$2:$I$518)&amp;TRIM($J$2:$J$518))&lt;&gt;UPPER(TRIM($G412)&amp;TRIM($I412)&amp;TRIM($J412))))&gt;0), AND($AQ412&lt;&gt;"", LOWER(TRIM($AQ412))&lt;&gt;"n/a", LOWER(TRIM($AQ412))&lt;&gt;"na", SUMPRODUCT(--(UPPER(TRIM($AQ$2:$AQ$518))=UPPER(TRIM($AQ412))), --(UPPER(TRIM($B$2:$B$518))="YES"), --(UPPER(TRIM($G$2:$G$518)&amp;TRIM($I$2:$I$518)&amp;TRIM($J$2:$J$518))&lt;&gt;UPPER(TRIM($G412)&amp;TRIM($I412)&amp;TRIM($J412))))&gt;0)), "Yes", "No"))</f>
        <v/>
      </c>
      <c r="CD412">
        <f>IF($Y412="","",IF((IF(AND($BR412&lt;&gt;"Yes",$BR412&lt;&gt;"N/A"),"Power Cable, ","")&amp;IF(AND($BS412&lt;&gt;"Yes",$BS412&lt;&gt;"N/A"),"Battery, ","")&amp;IF(AND($AD412&lt;&gt;"Yes",$AD412&lt;&gt;"N/A"),"Firmware Download, ","")&amp;IF(AND(OR($AD412="Yes",$AD412="N/A"),$AE412&lt;&gt;"Yes",$AE412&lt;&gt;"N/A"),"Firmware Install, ","")&amp;IF(AND($CB412&lt;&gt;"Yes",$CB412&lt;&gt;"N/A"),"Device ID, ","")&amp;IF(AND($CC412&lt;&gt;"Yes",$CC412&lt;&gt;"N/A"),"Epic Beans Relay, ",""))="","",LEFT(IF(AND($BR412&lt;&gt;"Yes",$BR412&lt;&gt;"N/A"),"Power Cable, ","")&amp;IF(AND($BS412&lt;&gt;"Yes",$BS412&lt;&gt;"N/A"),"Battery, ","")&amp;IF(AND($AD412&lt;&gt;"Yes",$AD412&lt;&gt;"N/A"),"Firmware Download, ","")&amp;IF(AND(OR($AD412="Yes",$AD412="N/A"),$AE412&lt;&gt;"Yes",$AE412&lt;&gt;"N/A"),"Firmware Install, ","")&amp;IF(AND($CB412&lt;&gt;"Yes",$CB412&lt;&gt;"N/A"),"Device ID, ","")&amp;IF(AND($CC412&lt;&gt;"Yes",$CC412&lt;&gt;"N/A"),"Epic Beans Relay, ",""),LEN(IF(AND($BR412&lt;&gt;"Yes",$BR412&lt;&gt;"N/A"),"Power Cable, ","")&amp;IF(AND($BS412&lt;&gt;"Yes",$BS412&lt;&gt;"N/A"),"Battery, ","")&amp;IF(AND($AD412&lt;&gt;"Yes",$AD412&lt;&gt;"N/A"),"Firmware Download, ","")&amp;IF(AND(OR($AD412="Yes",$AD412="N/A"),$AE412&lt;&gt;"Yes",$AE412&lt;&gt;"N/A"),"Firmware Install, ","")&amp;IF(AND($CB412&lt;&gt;"Yes",$CB412&lt;&gt;"N/A"),"Device ID, ","")&amp;IF(AND($CC412&lt;&gt;"Yes",$CC412&lt;&gt;"N/A"),"Epic Beans Relay, ",""))-2)))</f>
        <v/>
      </c>
      <c r="CE412">
        <f>IF($Y412="","",IF($CD412="","Yes","Blocked"))</f>
        <v/>
      </c>
      <c r="CP412">
        <f>IF($CO412="","",IFERROR(VLOOKUP($CO412,'01_Warehouse_Ledger'!$A:$N,4,FALSE),""))</f>
        <v/>
      </c>
      <c r="CQ412">
        <f>IF($CO412="","",IFERROR(VLOOKUP($CO412,'01_Warehouse_Ledger'!$A:$N,5,FALSE),""))</f>
        <v/>
      </c>
      <c r="CR412">
        <f>IF($CO412="","",IFERROR(VLOOKUP($CO412,'01_Warehouse_Ledger'!$A:$N,13,FALSE),""))</f>
        <v/>
      </c>
      <c r="CW412">
        <f>IF($S412="","",IF(UPPER(TRIM($S412))&lt;&gt;"PASS","",IF(LEN(TRIM($BY412))&gt;0,"NOTES_PRESENT",IF(LEN(TRIM($T412))=0,"SET_NA",IF(OR(LOWER(TRIM($T412))="na",LOWER(TRIM($T412))="n/a"),"OK","MANUAL_OVERRIDE")))))</f>
        <v/>
      </c>
    </row>
    <row r="413">
      <c r="B413" t="inlineStr">
        <is>
          <t>No</t>
        </is>
      </c>
      <c r="C413" t="inlineStr">
        <is>
          <t>No</t>
        </is>
      </c>
      <c r="D413">
        <f>IF($B413&lt;&gt;"Yes","",IF($C413="No","Yes",IF($C413="Yes","No","")))</f>
        <v/>
      </c>
      <c r="E413">
        <f>IF($A413="","",IF(OR(AND($V413&lt;&gt;"",LOWER(TRIM($V413))&lt;&gt;"n/a",LOWER(TRIM($V413))&lt;&gt;"na",SUMPRODUCT(--(UPPER(TRIM($V$2:$V$518))=UPPER(TRIM($V413))),--(TRIM($V$2:$V$518)&lt;&gt;""),--(LOWER(TRIM($V$2:$V$518))&lt;&gt;"n/a"),--(LOWER(TRIM($V$2:$V$518))&lt;&gt;"na"))&gt;1),AND($W413&lt;&gt;"",LOWER(TRIM($W413))&lt;&gt;"n/a",LOWER(TRIM($W413))&lt;&gt;"na",SUMPRODUCT(--(UPPER(TRIM($W$2:$W$518))=UPPER(TRIM($W413))),--(TRIM($W$2:$W$518)&lt;&gt;""),--(LOWER(TRIM($W$2:$W$518))&lt;&gt;"n/a"),--(LOWER(TRIM($W$2:$W$518))&lt;&gt;"na"))&gt;1),AND($X413&lt;&gt;"",LOWER(TRIM($X413))&lt;&gt;"n/a",LOWER(TRIM($X413))&lt;&gt;"na",SUMPRODUCT(--(UPPER(TRIM($X$2:$X$518))=UPPER(TRIM($X413))),--(TRIM($X$2:$X$518)&lt;&gt;""),--(LOWER(TRIM($X$2:$X$518))&lt;&gt;"n/a"),--(LOWER(TRIM($X$2:$X$518))&lt;&gt;"na"))&gt;1),AND($Y413&lt;&gt;"",LOWER(TRIM($Y413))&lt;&gt;"n/a",LOWER(TRIM($Y413))&lt;&gt;"na",SUMPRODUCT(--(UPPER(SUBSTITUTE(SUBSTITUTE(TRIM($Y$2:$Y$518),":",""),"-",""))=UPPER(SUBSTITUTE(SUBSTITUTE(TRIM($Y413),":",""),"-",""))),--(TRIM($Y$2:$Y$518)&lt;&gt;""),--(LOWER(TRIM($Y$2:$Y$518))&lt;&gt;"n/a"),--(LOWER(TRIM($Y$2:$Y$518))&lt;&gt;"na"))&gt;1),AND($AB413&lt;&gt;"",LOWER(TRIM($AB413))&lt;&gt;"n/a",LOWER(TRIM($AB413))&lt;&gt;"na",SUMPRODUCT(--(UPPER(TRIM($AB$2:$AB$518))=UPPER(TRIM($AB413))),--(TRIM($AB$2:$AB$518)&lt;&gt;""),--(LOWER(TRIM($AB$2:$AB$518))&lt;&gt;"n/a"),--(LOWER(TRIM($AB$2:$AB$518))&lt;&gt;"na"))&gt;1),AND($AH413&lt;&gt;"",LOWER(TRIM($AH413))&lt;&gt;"n/a",LOWER(TRIM($AH413))&lt;&gt;"na",SUMPRODUCT(--(UPPER(SUBSTITUTE(SUBSTITUTE(TRIM($AH$2:$AH$518),":",""),"-",""))=UPPER(SUBSTITUTE(SUBSTITUTE(TRIM($AH413),":",""),"-",""))),--(TRIM($AH$2:$AH$518)&lt;&gt;""),--(LOWER(TRIM($AH$2:$AH$518))&lt;&gt;"n/a"),--(LOWER(TRIM($AH$2:$AH$518))&lt;&gt;"na"))&gt;1),AND($AP413&lt;&gt;"",LOWER(TRIM($AP413))&lt;&gt;"n/a",LOWER(TRIM($AP413))&lt;&gt;"na",SUMPRODUCT(--(UPPER(TRIM($AP$2:$AP$518))=UPPER(TRIM($AP413))),--(TRIM($AP$2:$AP$518)&lt;&gt;""),--(LOWER(TRIM($AP$2:$AP$518))&lt;&gt;"n/a"),--(LOWER(TRIM($AP$2:$AP$518))&lt;&gt;"na"))&gt;1),AND($AQ413&lt;&gt;"",LOWER(TRIM($AQ413))&lt;&gt;"n/a",LOWER(TRIM($AQ413))&lt;&gt;"na",SUMPRODUCT(--(UPPER(TRIM($AQ$2:$AQ$518))=UPPER(TRIM($AQ413))),--(TRIM($AQ$2:$AQ$518)&lt;&gt;""),--(LOWER(TRIM($AQ$2:$AQ$518))&lt;&gt;"n/a"),--(LOWER(TRIM($AQ$2:$AQ$518))&lt;&gt;"na"))&gt;1)),"Yes","No"))</f>
        <v/>
      </c>
      <c r="F413">
        <f>IF(UPPER(TRIM($B413))&lt;&gt;"YES","", IF(OR(AND($V413&lt;&gt;"", LOWER(TRIM($V413))&lt;&gt;"n/a", LOWER(TRIM($V413))&lt;&gt;"na", SUMPRODUCT(--(UPPER(TRIM($V$2:$V$518))=UPPER(TRIM($V413))), --(UPPER(TRIM($B$2:$B$518))="YES"), --(UPPER(TRIM($G$2:$G$518)&amp;TRIM($I$2:$I$518)&amp;TRIM($J$2:$J$518))&lt;&gt;UPPER(TRIM($G413)&amp;TRIM($I413)&amp;TRIM($J413))))&gt;0), AND($W413&lt;&gt;"", LOWER(TRIM($W413))&lt;&gt;"n/a", LOWER(TRIM($W413))&lt;&gt;"na", SUMPRODUCT(--(UPPER(TRIM($W$2:$W$518))=UPPER(TRIM($W413))), --(UPPER(TRIM($B$2:$B$518))="YES"), --(UPPER(TRIM($G$2:$G$518)&amp;TRIM($I$2:$I$518)&amp;TRIM($J$2:$J$518))&lt;&gt;UPPER(TRIM($G413)&amp;TRIM($I413)&amp;TRIM($J413))))&gt;0), AND($X413&lt;&gt;"", LOWER(TRIM($X413))&lt;&gt;"n/a", LOWER(TRIM($X413))&lt;&gt;"na", SUMPRODUCT(--(UPPER(TRIM($X$2:$X$518))=UPPER(TRIM($X413))), --(UPPER(TRIM($B$2:$B$518))="YES"), --(UPPER(TRIM($G$2:$G$518)&amp;TRIM($I$2:$I$518)&amp;TRIM($J$2:$J$518))&lt;&gt;UPPER(TRIM($G413)&amp;TRIM($I413)&amp;TRIM($J413))))&gt;0), AND($Y413&lt;&gt;"", LOWER(TRIM($Y413))&lt;&gt;"n/a", LOWER(TRIM($Y413))&lt;&gt;"na", SUMPRODUCT(--(UPPER(SUBSTITUTE(SUBSTITUTE(TRIM($Y$2:$Y$518),":",""),"-",""))=UPPER(SUBSTITUTE(SUBSTITUTE(TRIM($Y413),":",""),"-",""))), --(UPPER(TRIM($B$2:$B$518))="YES"), --(UPPER(TRIM($G$2:$G$518)&amp;TRIM($I$2:$I$518)&amp;TRIM($J$2:$J$518))&lt;&gt;UPPER(TRIM($G413)&amp;TRIM($I413)&amp;TRIM($J413))))&gt;0), AND($AB413&lt;&gt;"", LOWER(TRIM($AB413))&lt;&gt;"n/a", LOWER(TRIM($AB413))&lt;&gt;"na", SUMPRODUCT(--(UPPER(TRIM($AB$2:$AB$518))=UPPER(TRIM($AB413))), --(UPPER(TRIM($B$2:$B$518))="YES"), --(UPPER(TRIM($G$2:$G$518)&amp;TRIM($I$2:$I$518)&amp;TRIM($J$2:$J$518))&lt;&gt;UPPER(TRIM($G413)&amp;TRIM($I413)&amp;TRIM($J413))))&gt;0), AND($AH413&lt;&gt;"", LOWER(TRIM($AH413))&lt;&gt;"n/a", LOWER(TRIM($AH413))&lt;&gt;"na", SUMPRODUCT(--(UPPER(SUBSTITUTE(SUBSTITUTE(TRIM($AH$2:$AH$518),":",""),"-",""))=UPPER(SUBSTITUTE(SUBSTITUTE(TRIM($AH413),":",""),"-",""))), --(UPPER(TRIM($B$2:$B$518))="YES"), --(UPPER(TRIM($G$2:$G$518)&amp;TRIM($I$2:$I$518)&amp;TRIM($J$2:$J$518))&lt;&gt;UPPER(TRIM($G413)&amp;TRIM($I413)&amp;TRIM($J413))))&gt;0), AND($AP413&lt;&gt;"", LOWER(TRIM($AP413))&lt;&gt;"n/a", LOWER(TRIM($AP413))&lt;&gt;"na", SUMPRODUCT(--(UPPER(TRIM($AP$2:$AP$518))=UPPER(TRIM($AP413))), --(UPPER(TRIM($B$2:$B$518))="YES"), --(UPPER(TRIM($G$2:$G$518)&amp;TRIM($I$2:$I$518)&amp;TRIM($J$2:$J$518))&lt;&gt;UPPER(TRIM($G413)&amp;TRIM($I413)&amp;TRIM($J413))))&gt;0), AND($AQ413&lt;&gt;"", LOWER(TRIM($AQ413))&lt;&gt;"n/a", LOWER(TRIM($AQ413))&lt;&gt;"na", SUMPRODUCT(--(UPPER(TRIM($AQ$2:$AQ$518))=UPPER(TRIM($AQ413))), --(UPPER(TRIM($B$2:$B$518))="YES"), --(UPPER(TRIM($G$2:$G$518)&amp;TRIM($I$2:$I$518)&amp;TRIM($J$2:$J$518))&lt;&gt;UPPER(TRIM($G413)&amp;TRIM($I413)&amp;TRIM($J413))))&gt;0)), "Yes", "No"))</f>
        <v/>
      </c>
      <c r="CD413">
        <f>IF($Y413="","",IF((IF(AND($BR413&lt;&gt;"Yes",$BR413&lt;&gt;"N/A"),"Power Cable, ","")&amp;IF(AND($BS413&lt;&gt;"Yes",$BS413&lt;&gt;"N/A"),"Battery, ","")&amp;IF(AND($AD413&lt;&gt;"Yes",$AD413&lt;&gt;"N/A"),"Firmware Download, ","")&amp;IF(AND(OR($AD413="Yes",$AD413="N/A"),$AE413&lt;&gt;"Yes",$AE413&lt;&gt;"N/A"),"Firmware Install, ","")&amp;IF(AND($CB413&lt;&gt;"Yes",$CB413&lt;&gt;"N/A"),"Device ID, ","")&amp;IF(AND($CC413&lt;&gt;"Yes",$CC413&lt;&gt;"N/A"),"Epic Beans Relay, ",""))="","",LEFT(IF(AND($BR413&lt;&gt;"Yes",$BR413&lt;&gt;"N/A"),"Power Cable, ","")&amp;IF(AND($BS413&lt;&gt;"Yes",$BS413&lt;&gt;"N/A"),"Battery, ","")&amp;IF(AND($AD413&lt;&gt;"Yes",$AD413&lt;&gt;"N/A"),"Firmware Download, ","")&amp;IF(AND(OR($AD413="Yes",$AD413="N/A"),$AE413&lt;&gt;"Yes",$AE413&lt;&gt;"N/A"),"Firmware Install, ","")&amp;IF(AND($CB413&lt;&gt;"Yes",$CB413&lt;&gt;"N/A"),"Device ID, ","")&amp;IF(AND($CC413&lt;&gt;"Yes",$CC413&lt;&gt;"N/A"),"Epic Beans Relay, ",""),LEN(IF(AND($BR413&lt;&gt;"Yes",$BR413&lt;&gt;"N/A"),"Power Cable, ","")&amp;IF(AND($BS413&lt;&gt;"Yes",$BS413&lt;&gt;"N/A"),"Battery, ","")&amp;IF(AND($AD413&lt;&gt;"Yes",$AD413&lt;&gt;"N/A"),"Firmware Download, ","")&amp;IF(AND(OR($AD413="Yes",$AD413="N/A"),$AE413&lt;&gt;"Yes",$AE413&lt;&gt;"N/A"),"Firmware Install, ","")&amp;IF(AND($CB413&lt;&gt;"Yes",$CB413&lt;&gt;"N/A"),"Device ID, ","")&amp;IF(AND($CC413&lt;&gt;"Yes",$CC413&lt;&gt;"N/A"),"Epic Beans Relay, ",""))-2)))</f>
        <v/>
      </c>
      <c r="CE413">
        <f>IF($Y413="","",IF($CD413="","Yes","Blocked"))</f>
        <v/>
      </c>
      <c r="CP413">
        <f>IF($CO413="","",IFERROR(VLOOKUP($CO413,'01_Warehouse_Ledger'!$A:$N,4,FALSE),""))</f>
        <v/>
      </c>
      <c r="CQ413">
        <f>IF($CO413="","",IFERROR(VLOOKUP($CO413,'01_Warehouse_Ledger'!$A:$N,5,FALSE),""))</f>
        <v/>
      </c>
      <c r="CR413">
        <f>IF($CO413="","",IFERROR(VLOOKUP($CO413,'01_Warehouse_Ledger'!$A:$N,13,FALSE),""))</f>
        <v/>
      </c>
      <c r="CW413">
        <f>IF($S413="","",IF(UPPER(TRIM($S413))&lt;&gt;"PASS","",IF(LEN(TRIM($BY413))&gt;0,"NOTES_PRESENT",IF(LEN(TRIM($T413))=0,"SET_NA",IF(OR(LOWER(TRIM($T413))="na",LOWER(TRIM($T413))="n/a"),"OK","MANUAL_OVERRIDE")))))</f>
        <v/>
      </c>
    </row>
    <row r="414">
      <c r="B414" t="inlineStr">
        <is>
          <t>No</t>
        </is>
      </c>
      <c r="C414" t="inlineStr">
        <is>
          <t>No</t>
        </is>
      </c>
      <c r="D414">
        <f>IF($B414&lt;&gt;"Yes","",IF($C414="No","Yes",IF($C414="Yes","No","")))</f>
        <v/>
      </c>
      <c r="E414">
        <f>IF($A414="","",IF(OR(AND($V414&lt;&gt;"",LOWER(TRIM($V414))&lt;&gt;"n/a",LOWER(TRIM($V414))&lt;&gt;"na",SUMPRODUCT(--(UPPER(TRIM($V$2:$V$518))=UPPER(TRIM($V414))),--(TRIM($V$2:$V$518)&lt;&gt;""),--(LOWER(TRIM($V$2:$V$518))&lt;&gt;"n/a"),--(LOWER(TRIM($V$2:$V$518))&lt;&gt;"na"))&gt;1),AND($W414&lt;&gt;"",LOWER(TRIM($W414))&lt;&gt;"n/a",LOWER(TRIM($W414))&lt;&gt;"na",SUMPRODUCT(--(UPPER(TRIM($W$2:$W$518))=UPPER(TRIM($W414))),--(TRIM($W$2:$W$518)&lt;&gt;""),--(LOWER(TRIM($W$2:$W$518))&lt;&gt;"n/a"),--(LOWER(TRIM($W$2:$W$518))&lt;&gt;"na"))&gt;1),AND($X414&lt;&gt;"",LOWER(TRIM($X414))&lt;&gt;"n/a",LOWER(TRIM($X414))&lt;&gt;"na",SUMPRODUCT(--(UPPER(TRIM($X$2:$X$518))=UPPER(TRIM($X414))),--(TRIM($X$2:$X$518)&lt;&gt;""),--(LOWER(TRIM($X$2:$X$518))&lt;&gt;"n/a"),--(LOWER(TRIM($X$2:$X$518))&lt;&gt;"na"))&gt;1),AND($Y414&lt;&gt;"",LOWER(TRIM($Y414))&lt;&gt;"n/a",LOWER(TRIM($Y414))&lt;&gt;"na",SUMPRODUCT(--(UPPER(SUBSTITUTE(SUBSTITUTE(TRIM($Y$2:$Y$518),":",""),"-",""))=UPPER(SUBSTITUTE(SUBSTITUTE(TRIM($Y414),":",""),"-",""))),--(TRIM($Y$2:$Y$518)&lt;&gt;""),--(LOWER(TRIM($Y$2:$Y$518))&lt;&gt;"n/a"),--(LOWER(TRIM($Y$2:$Y$518))&lt;&gt;"na"))&gt;1),AND($AB414&lt;&gt;"",LOWER(TRIM($AB414))&lt;&gt;"n/a",LOWER(TRIM($AB414))&lt;&gt;"na",SUMPRODUCT(--(UPPER(TRIM($AB$2:$AB$518))=UPPER(TRIM($AB414))),--(TRIM($AB$2:$AB$518)&lt;&gt;""),--(LOWER(TRIM($AB$2:$AB$518))&lt;&gt;"n/a"),--(LOWER(TRIM($AB$2:$AB$518))&lt;&gt;"na"))&gt;1),AND($AH414&lt;&gt;"",LOWER(TRIM($AH414))&lt;&gt;"n/a",LOWER(TRIM($AH414))&lt;&gt;"na",SUMPRODUCT(--(UPPER(SUBSTITUTE(SUBSTITUTE(TRIM($AH$2:$AH$518),":",""),"-",""))=UPPER(SUBSTITUTE(SUBSTITUTE(TRIM($AH414),":",""),"-",""))),--(TRIM($AH$2:$AH$518)&lt;&gt;""),--(LOWER(TRIM($AH$2:$AH$518))&lt;&gt;"n/a"),--(LOWER(TRIM($AH$2:$AH$518))&lt;&gt;"na"))&gt;1),AND($AP414&lt;&gt;"",LOWER(TRIM($AP414))&lt;&gt;"n/a",LOWER(TRIM($AP414))&lt;&gt;"na",SUMPRODUCT(--(UPPER(TRIM($AP$2:$AP$518))=UPPER(TRIM($AP414))),--(TRIM($AP$2:$AP$518)&lt;&gt;""),--(LOWER(TRIM($AP$2:$AP$518))&lt;&gt;"n/a"),--(LOWER(TRIM($AP$2:$AP$518))&lt;&gt;"na"))&gt;1),AND($AQ414&lt;&gt;"",LOWER(TRIM($AQ414))&lt;&gt;"n/a",LOWER(TRIM($AQ414))&lt;&gt;"na",SUMPRODUCT(--(UPPER(TRIM($AQ$2:$AQ$518))=UPPER(TRIM($AQ414))),--(TRIM($AQ$2:$AQ$518)&lt;&gt;""),--(LOWER(TRIM($AQ$2:$AQ$518))&lt;&gt;"n/a"),--(LOWER(TRIM($AQ$2:$AQ$518))&lt;&gt;"na"))&gt;1)),"Yes","No"))</f>
        <v/>
      </c>
      <c r="F414">
        <f>IF(UPPER(TRIM($B414))&lt;&gt;"YES","", IF(OR(AND($V414&lt;&gt;"", LOWER(TRIM($V414))&lt;&gt;"n/a", LOWER(TRIM($V414))&lt;&gt;"na", SUMPRODUCT(--(UPPER(TRIM($V$2:$V$518))=UPPER(TRIM($V414))), --(UPPER(TRIM($B$2:$B$518))="YES"), --(UPPER(TRIM($G$2:$G$518)&amp;TRIM($I$2:$I$518)&amp;TRIM($J$2:$J$518))&lt;&gt;UPPER(TRIM($G414)&amp;TRIM($I414)&amp;TRIM($J414))))&gt;0), AND($W414&lt;&gt;"", LOWER(TRIM($W414))&lt;&gt;"n/a", LOWER(TRIM($W414))&lt;&gt;"na", SUMPRODUCT(--(UPPER(TRIM($W$2:$W$518))=UPPER(TRIM($W414))), --(UPPER(TRIM($B$2:$B$518))="YES"), --(UPPER(TRIM($G$2:$G$518)&amp;TRIM($I$2:$I$518)&amp;TRIM($J$2:$J$518))&lt;&gt;UPPER(TRIM($G414)&amp;TRIM($I414)&amp;TRIM($J414))))&gt;0), AND($X414&lt;&gt;"", LOWER(TRIM($X414))&lt;&gt;"n/a", LOWER(TRIM($X414))&lt;&gt;"na", SUMPRODUCT(--(UPPER(TRIM($X$2:$X$518))=UPPER(TRIM($X414))), --(UPPER(TRIM($B$2:$B$518))="YES"), --(UPPER(TRIM($G$2:$G$518)&amp;TRIM($I$2:$I$518)&amp;TRIM($J$2:$J$518))&lt;&gt;UPPER(TRIM($G414)&amp;TRIM($I414)&amp;TRIM($J414))))&gt;0), AND($Y414&lt;&gt;"", LOWER(TRIM($Y414))&lt;&gt;"n/a", LOWER(TRIM($Y414))&lt;&gt;"na", SUMPRODUCT(--(UPPER(SUBSTITUTE(SUBSTITUTE(TRIM($Y$2:$Y$518),":",""),"-",""))=UPPER(SUBSTITUTE(SUBSTITUTE(TRIM($Y414),":",""),"-",""))), --(UPPER(TRIM($B$2:$B$518))="YES"), --(UPPER(TRIM($G$2:$G$518)&amp;TRIM($I$2:$I$518)&amp;TRIM($J$2:$J$518))&lt;&gt;UPPER(TRIM($G414)&amp;TRIM($I414)&amp;TRIM($J414))))&gt;0), AND($AB414&lt;&gt;"", LOWER(TRIM($AB414))&lt;&gt;"n/a", LOWER(TRIM($AB414))&lt;&gt;"na", SUMPRODUCT(--(UPPER(TRIM($AB$2:$AB$518))=UPPER(TRIM($AB414))), --(UPPER(TRIM($B$2:$B$518))="YES"), --(UPPER(TRIM($G$2:$G$518)&amp;TRIM($I$2:$I$518)&amp;TRIM($J$2:$J$518))&lt;&gt;UPPER(TRIM($G414)&amp;TRIM($I414)&amp;TRIM($J414))))&gt;0), AND($AH414&lt;&gt;"", LOWER(TRIM($AH414))&lt;&gt;"n/a", LOWER(TRIM($AH414))&lt;&gt;"na", SUMPRODUCT(--(UPPER(SUBSTITUTE(SUBSTITUTE(TRIM($AH$2:$AH$518),":",""),"-",""))=UPPER(SUBSTITUTE(SUBSTITUTE(TRIM($AH414),":",""),"-",""))), --(UPPER(TRIM($B$2:$B$518))="YES"), --(UPPER(TRIM($G$2:$G$518)&amp;TRIM($I$2:$I$518)&amp;TRIM($J$2:$J$518))&lt;&gt;UPPER(TRIM($G414)&amp;TRIM($I414)&amp;TRIM($J414))))&gt;0), AND($AP414&lt;&gt;"", LOWER(TRIM($AP414))&lt;&gt;"n/a", LOWER(TRIM($AP414))&lt;&gt;"na", SUMPRODUCT(--(UPPER(TRIM($AP$2:$AP$518))=UPPER(TRIM($AP414))), --(UPPER(TRIM($B$2:$B$518))="YES"), --(UPPER(TRIM($G$2:$G$518)&amp;TRIM($I$2:$I$518)&amp;TRIM($J$2:$J$518))&lt;&gt;UPPER(TRIM($G414)&amp;TRIM($I414)&amp;TRIM($J414))))&gt;0), AND($AQ414&lt;&gt;"", LOWER(TRIM($AQ414))&lt;&gt;"n/a", LOWER(TRIM($AQ414))&lt;&gt;"na", SUMPRODUCT(--(UPPER(TRIM($AQ$2:$AQ$518))=UPPER(TRIM($AQ414))), --(UPPER(TRIM($B$2:$B$518))="YES"), --(UPPER(TRIM($G$2:$G$518)&amp;TRIM($I$2:$I$518)&amp;TRIM($J$2:$J$518))&lt;&gt;UPPER(TRIM($G414)&amp;TRIM($I414)&amp;TRIM($J414))))&gt;0)), "Yes", "No"))</f>
        <v/>
      </c>
      <c r="CD414">
        <f>IF($Y414="","",IF((IF(AND($BR414&lt;&gt;"Yes",$BR414&lt;&gt;"N/A"),"Power Cable, ","")&amp;IF(AND($BS414&lt;&gt;"Yes",$BS414&lt;&gt;"N/A"),"Battery, ","")&amp;IF(AND($AD414&lt;&gt;"Yes",$AD414&lt;&gt;"N/A"),"Firmware Download, ","")&amp;IF(AND(OR($AD414="Yes",$AD414="N/A"),$AE414&lt;&gt;"Yes",$AE414&lt;&gt;"N/A"),"Firmware Install, ","")&amp;IF(AND($CB414&lt;&gt;"Yes",$CB414&lt;&gt;"N/A"),"Device ID, ","")&amp;IF(AND($CC414&lt;&gt;"Yes",$CC414&lt;&gt;"N/A"),"Epic Beans Relay, ",""))="","",LEFT(IF(AND($BR414&lt;&gt;"Yes",$BR414&lt;&gt;"N/A"),"Power Cable, ","")&amp;IF(AND($BS414&lt;&gt;"Yes",$BS414&lt;&gt;"N/A"),"Battery, ","")&amp;IF(AND($AD414&lt;&gt;"Yes",$AD414&lt;&gt;"N/A"),"Firmware Download, ","")&amp;IF(AND(OR($AD414="Yes",$AD414="N/A"),$AE414&lt;&gt;"Yes",$AE414&lt;&gt;"N/A"),"Firmware Install, ","")&amp;IF(AND($CB414&lt;&gt;"Yes",$CB414&lt;&gt;"N/A"),"Device ID, ","")&amp;IF(AND($CC414&lt;&gt;"Yes",$CC414&lt;&gt;"N/A"),"Epic Beans Relay, ",""),LEN(IF(AND($BR414&lt;&gt;"Yes",$BR414&lt;&gt;"N/A"),"Power Cable, ","")&amp;IF(AND($BS414&lt;&gt;"Yes",$BS414&lt;&gt;"N/A"),"Battery, ","")&amp;IF(AND($AD414&lt;&gt;"Yes",$AD414&lt;&gt;"N/A"),"Firmware Download, ","")&amp;IF(AND(OR($AD414="Yes",$AD414="N/A"),$AE414&lt;&gt;"Yes",$AE414&lt;&gt;"N/A"),"Firmware Install, ","")&amp;IF(AND($CB414&lt;&gt;"Yes",$CB414&lt;&gt;"N/A"),"Device ID, ","")&amp;IF(AND($CC414&lt;&gt;"Yes",$CC414&lt;&gt;"N/A"),"Epic Beans Relay, ",""))-2)))</f>
        <v/>
      </c>
      <c r="CE414">
        <f>IF($Y414="","",IF($CD414="","Yes","Blocked"))</f>
        <v/>
      </c>
      <c r="CP414">
        <f>IF($CO414="","",IFERROR(VLOOKUP($CO414,'01_Warehouse_Ledger'!$A:$N,4,FALSE),""))</f>
        <v/>
      </c>
      <c r="CQ414">
        <f>IF($CO414="","",IFERROR(VLOOKUP($CO414,'01_Warehouse_Ledger'!$A:$N,5,FALSE),""))</f>
        <v/>
      </c>
      <c r="CR414">
        <f>IF($CO414="","",IFERROR(VLOOKUP($CO414,'01_Warehouse_Ledger'!$A:$N,13,FALSE),""))</f>
        <v/>
      </c>
      <c r="CW414">
        <f>IF($S414="","",IF(UPPER(TRIM($S414))&lt;&gt;"PASS","",IF(LEN(TRIM($BY414))&gt;0,"NOTES_PRESENT",IF(LEN(TRIM($T414))=0,"SET_NA",IF(OR(LOWER(TRIM($T414))="na",LOWER(TRIM($T414))="n/a"),"OK","MANUAL_OVERRIDE")))))</f>
        <v/>
      </c>
    </row>
    <row r="415">
      <c r="B415" t="inlineStr">
        <is>
          <t>No</t>
        </is>
      </c>
      <c r="C415" t="inlineStr">
        <is>
          <t>No</t>
        </is>
      </c>
      <c r="D415">
        <f>IF($B415&lt;&gt;"Yes","",IF($C415="No","Yes",IF($C415="Yes","No","")))</f>
        <v/>
      </c>
      <c r="E415">
        <f>IF($A415="","",IF(OR(AND($V415&lt;&gt;"",LOWER(TRIM($V415))&lt;&gt;"n/a",LOWER(TRIM($V415))&lt;&gt;"na",SUMPRODUCT(--(UPPER(TRIM($V$2:$V$518))=UPPER(TRIM($V415))),--(TRIM($V$2:$V$518)&lt;&gt;""),--(LOWER(TRIM($V$2:$V$518))&lt;&gt;"n/a"),--(LOWER(TRIM($V$2:$V$518))&lt;&gt;"na"))&gt;1),AND($W415&lt;&gt;"",LOWER(TRIM($W415))&lt;&gt;"n/a",LOWER(TRIM($W415))&lt;&gt;"na",SUMPRODUCT(--(UPPER(TRIM($W$2:$W$518))=UPPER(TRIM($W415))),--(TRIM($W$2:$W$518)&lt;&gt;""),--(LOWER(TRIM($W$2:$W$518))&lt;&gt;"n/a"),--(LOWER(TRIM($W$2:$W$518))&lt;&gt;"na"))&gt;1),AND($X415&lt;&gt;"",LOWER(TRIM($X415))&lt;&gt;"n/a",LOWER(TRIM($X415))&lt;&gt;"na",SUMPRODUCT(--(UPPER(TRIM($X$2:$X$518))=UPPER(TRIM($X415))),--(TRIM($X$2:$X$518)&lt;&gt;""),--(LOWER(TRIM($X$2:$X$518))&lt;&gt;"n/a"),--(LOWER(TRIM($X$2:$X$518))&lt;&gt;"na"))&gt;1),AND($Y415&lt;&gt;"",LOWER(TRIM($Y415))&lt;&gt;"n/a",LOWER(TRIM($Y415))&lt;&gt;"na",SUMPRODUCT(--(UPPER(SUBSTITUTE(SUBSTITUTE(TRIM($Y$2:$Y$518),":",""),"-",""))=UPPER(SUBSTITUTE(SUBSTITUTE(TRIM($Y415),":",""),"-",""))),--(TRIM($Y$2:$Y$518)&lt;&gt;""),--(LOWER(TRIM($Y$2:$Y$518))&lt;&gt;"n/a"),--(LOWER(TRIM($Y$2:$Y$518))&lt;&gt;"na"))&gt;1),AND($AB415&lt;&gt;"",LOWER(TRIM($AB415))&lt;&gt;"n/a",LOWER(TRIM($AB415))&lt;&gt;"na",SUMPRODUCT(--(UPPER(TRIM($AB$2:$AB$518))=UPPER(TRIM($AB415))),--(TRIM($AB$2:$AB$518)&lt;&gt;""),--(LOWER(TRIM($AB$2:$AB$518))&lt;&gt;"n/a"),--(LOWER(TRIM($AB$2:$AB$518))&lt;&gt;"na"))&gt;1),AND($AH415&lt;&gt;"",LOWER(TRIM($AH415))&lt;&gt;"n/a",LOWER(TRIM($AH415))&lt;&gt;"na",SUMPRODUCT(--(UPPER(SUBSTITUTE(SUBSTITUTE(TRIM($AH$2:$AH$518),":",""),"-",""))=UPPER(SUBSTITUTE(SUBSTITUTE(TRIM($AH415),":",""),"-",""))),--(TRIM($AH$2:$AH$518)&lt;&gt;""),--(LOWER(TRIM($AH$2:$AH$518))&lt;&gt;"n/a"),--(LOWER(TRIM($AH$2:$AH$518))&lt;&gt;"na"))&gt;1),AND($AP415&lt;&gt;"",LOWER(TRIM($AP415))&lt;&gt;"n/a",LOWER(TRIM($AP415))&lt;&gt;"na",SUMPRODUCT(--(UPPER(TRIM($AP$2:$AP$518))=UPPER(TRIM($AP415))),--(TRIM($AP$2:$AP$518)&lt;&gt;""),--(LOWER(TRIM($AP$2:$AP$518))&lt;&gt;"n/a"),--(LOWER(TRIM($AP$2:$AP$518))&lt;&gt;"na"))&gt;1),AND($AQ415&lt;&gt;"",LOWER(TRIM($AQ415))&lt;&gt;"n/a",LOWER(TRIM($AQ415))&lt;&gt;"na",SUMPRODUCT(--(UPPER(TRIM($AQ$2:$AQ$518))=UPPER(TRIM($AQ415))),--(TRIM($AQ$2:$AQ$518)&lt;&gt;""),--(LOWER(TRIM($AQ$2:$AQ$518))&lt;&gt;"n/a"),--(LOWER(TRIM($AQ$2:$AQ$518))&lt;&gt;"na"))&gt;1)),"Yes","No"))</f>
        <v/>
      </c>
      <c r="F415">
        <f>IF(UPPER(TRIM($B415))&lt;&gt;"YES","", IF(OR(AND($V415&lt;&gt;"", LOWER(TRIM($V415))&lt;&gt;"n/a", LOWER(TRIM($V415))&lt;&gt;"na", SUMPRODUCT(--(UPPER(TRIM($V$2:$V$518))=UPPER(TRIM($V415))), --(UPPER(TRIM($B$2:$B$518))="YES"), --(UPPER(TRIM($G$2:$G$518)&amp;TRIM($I$2:$I$518)&amp;TRIM($J$2:$J$518))&lt;&gt;UPPER(TRIM($G415)&amp;TRIM($I415)&amp;TRIM($J415))))&gt;0), AND($W415&lt;&gt;"", LOWER(TRIM($W415))&lt;&gt;"n/a", LOWER(TRIM($W415))&lt;&gt;"na", SUMPRODUCT(--(UPPER(TRIM($W$2:$W$518))=UPPER(TRIM($W415))), --(UPPER(TRIM($B$2:$B$518))="YES"), --(UPPER(TRIM($G$2:$G$518)&amp;TRIM($I$2:$I$518)&amp;TRIM($J$2:$J$518))&lt;&gt;UPPER(TRIM($G415)&amp;TRIM($I415)&amp;TRIM($J415))))&gt;0), AND($X415&lt;&gt;"", LOWER(TRIM($X415))&lt;&gt;"n/a", LOWER(TRIM($X415))&lt;&gt;"na", SUMPRODUCT(--(UPPER(TRIM($X$2:$X$518))=UPPER(TRIM($X415))), --(UPPER(TRIM($B$2:$B$518))="YES"), --(UPPER(TRIM($G$2:$G$518)&amp;TRIM($I$2:$I$518)&amp;TRIM($J$2:$J$518))&lt;&gt;UPPER(TRIM($G415)&amp;TRIM($I415)&amp;TRIM($J415))))&gt;0), AND($Y415&lt;&gt;"", LOWER(TRIM($Y415))&lt;&gt;"n/a", LOWER(TRIM($Y415))&lt;&gt;"na", SUMPRODUCT(--(UPPER(SUBSTITUTE(SUBSTITUTE(TRIM($Y$2:$Y$518),":",""),"-",""))=UPPER(SUBSTITUTE(SUBSTITUTE(TRIM($Y415),":",""),"-",""))), --(UPPER(TRIM($B$2:$B$518))="YES"), --(UPPER(TRIM($G$2:$G$518)&amp;TRIM($I$2:$I$518)&amp;TRIM($J$2:$J$518))&lt;&gt;UPPER(TRIM($G415)&amp;TRIM($I415)&amp;TRIM($J415))))&gt;0), AND($AB415&lt;&gt;"", LOWER(TRIM($AB415))&lt;&gt;"n/a", LOWER(TRIM($AB415))&lt;&gt;"na", SUMPRODUCT(--(UPPER(TRIM($AB$2:$AB$518))=UPPER(TRIM($AB415))), --(UPPER(TRIM($B$2:$B$518))="YES"), --(UPPER(TRIM($G$2:$G$518)&amp;TRIM($I$2:$I$518)&amp;TRIM($J$2:$J$518))&lt;&gt;UPPER(TRIM($G415)&amp;TRIM($I415)&amp;TRIM($J415))))&gt;0), AND($AH415&lt;&gt;"", LOWER(TRIM($AH415))&lt;&gt;"n/a", LOWER(TRIM($AH415))&lt;&gt;"na", SUMPRODUCT(--(UPPER(SUBSTITUTE(SUBSTITUTE(TRIM($AH$2:$AH$518),":",""),"-",""))=UPPER(SUBSTITUTE(SUBSTITUTE(TRIM($AH415),":",""),"-",""))), --(UPPER(TRIM($B$2:$B$518))="YES"), --(UPPER(TRIM($G$2:$G$518)&amp;TRIM($I$2:$I$518)&amp;TRIM($J$2:$J$518))&lt;&gt;UPPER(TRIM($G415)&amp;TRIM($I415)&amp;TRIM($J415))))&gt;0), AND($AP415&lt;&gt;"", LOWER(TRIM($AP415))&lt;&gt;"n/a", LOWER(TRIM($AP415))&lt;&gt;"na", SUMPRODUCT(--(UPPER(TRIM($AP$2:$AP$518))=UPPER(TRIM($AP415))), --(UPPER(TRIM($B$2:$B$518))="YES"), --(UPPER(TRIM($G$2:$G$518)&amp;TRIM($I$2:$I$518)&amp;TRIM($J$2:$J$518))&lt;&gt;UPPER(TRIM($G415)&amp;TRIM($I415)&amp;TRIM($J415))))&gt;0), AND($AQ415&lt;&gt;"", LOWER(TRIM($AQ415))&lt;&gt;"n/a", LOWER(TRIM($AQ415))&lt;&gt;"na", SUMPRODUCT(--(UPPER(TRIM($AQ$2:$AQ$518))=UPPER(TRIM($AQ415))), --(UPPER(TRIM($B$2:$B$518))="YES"), --(UPPER(TRIM($G$2:$G$518)&amp;TRIM($I$2:$I$518)&amp;TRIM($J$2:$J$518))&lt;&gt;UPPER(TRIM($G415)&amp;TRIM($I415)&amp;TRIM($J415))))&gt;0)), "Yes", "No"))</f>
        <v/>
      </c>
      <c r="CD415">
        <f>IF($Y415="","",IF((IF(AND($BR415&lt;&gt;"Yes",$BR415&lt;&gt;"N/A"),"Power Cable, ","")&amp;IF(AND($BS415&lt;&gt;"Yes",$BS415&lt;&gt;"N/A"),"Battery, ","")&amp;IF(AND($AD415&lt;&gt;"Yes",$AD415&lt;&gt;"N/A"),"Firmware Download, ","")&amp;IF(AND(OR($AD415="Yes",$AD415="N/A"),$AE415&lt;&gt;"Yes",$AE415&lt;&gt;"N/A"),"Firmware Install, ","")&amp;IF(AND($CB415&lt;&gt;"Yes",$CB415&lt;&gt;"N/A"),"Device ID, ","")&amp;IF(AND($CC415&lt;&gt;"Yes",$CC415&lt;&gt;"N/A"),"Epic Beans Relay, ",""))="","",LEFT(IF(AND($BR415&lt;&gt;"Yes",$BR415&lt;&gt;"N/A"),"Power Cable, ","")&amp;IF(AND($BS415&lt;&gt;"Yes",$BS415&lt;&gt;"N/A"),"Battery, ","")&amp;IF(AND($AD415&lt;&gt;"Yes",$AD415&lt;&gt;"N/A"),"Firmware Download, ","")&amp;IF(AND(OR($AD415="Yes",$AD415="N/A"),$AE415&lt;&gt;"Yes",$AE415&lt;&gt;"N/A"),"Firmware Install, ","")&amp;IF(AND($CB415&lt;&gt;"Yes",$CB415&lt;&gt;"N/A"),"Device ID, ","")&amp;IF(AND($CC415&lt;&gt;"Yes",$CC415&lt;&gt;"N/A"),"Epic Beans Relay, ",""),LEN(IF(AND($BR415&lt;&gt;"Yes",$BR415&lt;&gt;"N/A"),"Power Cable, ","")&amp;IF(AND($BS415&lt;&gt;"Yes",$BS415&lt;&gt;"N/A"),"Battery, ","")&amp;IF(AND($AD415&lt;&gt;"Yes",$AD415&lt;&gt;"N/A"),"Firmware Download, ","")&amp;IF(AND(OR($AD415="Yes",$AD415="N/A"),$AE415&lt;&gt;"Yes",$AE415&lt;&gt;"N/A"),"Firmware Install, ","")&amp;IF(AND($CB415&lt;&gt;"Yes",$CB415&lt;&gt;"N/A"),"Device ID, ","")&amp;IF(AND($CC415&lt;&gt;"Yes",$CC415&lt;&gt;"N/A"),"Epic Beans Relay, ",""))-2)))</f>
        <v/>
      </c>
      <c r="CE415">
        <f>IF($Y415="","",IF($CD415="","Yes","Blocked"))</f>
        <v/>
      </c>
      <c r="CP415">
        <f>IF($CO415="","",IFERROR(VLOOKUP($CO415,'01_Warehouse_Ledger'!$A:$N,4,FALSE),""))</f>
        <v/>
      </c>
      <c r="CQ415">
        <f>IF($CO415="","",IFERROR(VLOOKUP($CO415,'01_Warehouse_Ledger'!$A:$N,5,FALSE),""))</f>
        <v/>
      </c>
      <c r="CR415">
        <f>IF($CO415="","",IFERROR(VLOOKUP($CO415,'01_Warehouse_Ledger'!$A:$N,13,FALSE),""))</f>
        <v/>
      </c>
      <c r="CW415">
        <f>IF($S415="","",IF(UPPER(TRIM($S415))&lt;&gt;"PASS","",IF(LEN(TRIM($BY415))&gt;0,"NOTES_PRESENT",IF(LEN(TRIM($T415))=0,"SET_NA",IF(OR(LOWER(TRIM($T415))="na",LOWER(TRIM($T415))="n/a"),"OK","MANUAL_OVERRIDE")))))</f>
        <v/>
      </c>
    </row>
    <row r="416">
      <c r="B416" t="inlineStr">
        <is>
          <t>No</t>
        </is>
      </c>
      <c r="C416" t="inlineStr">
        <is>
          <t>No</t>
        </is>
      </c>
      <c r="D416">
        <f>IF($B416&lt;&gt;"Yes","",IF($C416="No","Yes",IF($C416="Yes","No","")))</f>
        <v/>
      </c>
      <c r="E416">
        <f>IF($A416="","",IF(OR(AND($V416&lt;&gt;"",LOWER(TRIM($V416))&lt;&gt;"n/a",LOWER(TRIM($V416))&lt;&gt;"na",SUMPRODUCT(--(UPPER(TRIM($V$2:$V$518))=UPPER(TRIM($V416))),--(TRIM($V$2:$V$518)&lt;&gt;""),--(LOWER(TRIM($V$2:$V$518))&lt;&gt;"n/a"),--(LOWER(TRIM($V$2:$V$518))&lt;&gt;"na"))&gt;1),AND($W416&lt;&gt;"",LOWER(TRIM($W416))&lt;&gt;"n/a",LOWER(TRIM($W416))&lt;&gt;"na",SUMPRODUCT(--(UPPER(TRIM($W$2:$W$518))=UPPER(TRIM($W416))),--(TRIM($W$2:$W$518)&lt;&gt;""),--(LOWER(TRIM($W$2:$W$518))&lt;&gt;"n/a"),--(LOWER(TRIM($W$2:$W$518))&lt;&gt;"na"))&gt;1),AND($X416&lt;&gt;"",LOWER(TRIM($X416))&lt;&gt;"n/a",LOWER(TRIM($X416))&lt;&gt;"na",SUMPRODUCT(--(UPPER(TRIM($X$2:$X$518))=UPPER(TRIM($X416))),--(TRIM($X$2:$X$518)&lt;&gt;""),--(LOWER(TRIM($X$2:$X$518))&lt;&gt;"n/a"),--(LOWER(TRIM($X$2:$X$518))&lt;&gt;"na"))&gt;1),AND($Y416&lt;&gt;"",LOWER(TRIM($Y416))&lt;&gt;"n/a",LOWER(TRIM($Y416))&lt;&gt;"na",SUMPRODUCT(--(UPPER(SUBSTITUTE(SUBSTITUTE(TRIM($Y$2:$Y$518),":",""),"-",""))=UPPER(SUBSTITUTE(SUBSTITUTE(TRIM($Y416),":",""),"-",""))),--(TRIM($Y$2:$Y$518)&lt;&gt;""),--(LOWER(TRIM($Y$2:$Y$518))&lt;&gt;"n/a"),--(LOWER(TRIM($Y$2:$Y$518))&lt;&gt;"na"))&gt;1),AND($AB416&lt;&gt;"",LOWER(TRIM($AB416))&lt;&gt;"n/a",LOWER(TRIM($AB416))&lt;&gt;"na",SUMPRODUCT(--(UPPER(TRIM($AB$2:$AB$518))=UPPER(TRIM($AB416))),--(TRIM($AB$2:$AB$518)&lt;&gt;""),--(LOWER(TRIM($AB$2:$AB$518))&lt;&gt;"n/a"),--(LOWER(TRIM($AB$2:$AB$518))&lt;&gt;"na"))&gt;1),AND($AH416&lt;&gt;"",LOWER(TRIM($AH416))&lt;&gt;"n/a",LOWER(TRIM($AH416))&lt;&gt;"na",SUMPRODUCT(--(UPPER(SUBSTITUTE(SUBSTITUTE(TRIM($AH$2:$AH$518),":",""),"-",""))=UPPER(SUBSTITUTE(SUBSTITUTE(TRIM($AH416),":",""),"-",""))),--(TRIM($AH$2:$AH$518)&lt;&gt;""),--(LOWER(TRIM($AH$2:$AH$518))&lt;&gt;"n/a"),--(LOWER(TRIM($AH$2:$AH$518))&lt;&gt;"na"))&gt;1),AND($AP416&lt;&gt;"",LOWER(TRIM($AP416))&lt;&gt;"n/a",LOWER(TRIM($AP416))&lt;&gt;"na",SUMPRODUCT(--(UPPER(TRIM($AP$2:$AP$518))=UPPER(TRIM($AP416))),--(TRIM($AP$2:$AP$518)&lt;&gt;""),--(LOWER(TRIM($AP$2:$AP$518))&lt;&gt;"n/a"),--(LOWER(TRIM($AP$2:$AP$518))&lt;&gt;"na"))&gt;1),AND($AQ416&lt;&gt;"",LOWER(TRIM($AQ416))&lt;&gt;"n/a",LOWER(TRIM($AQ416))&lt;&gt;"na",SUMPRODUCT(--(UPPER(TRIM($AQ$2:$AQ$518))=UPPER(TRIM($AQ416))),--(TRIM($AQ$2:$AQ$518)&lt;&gt;""),--(LOWER(TRIM($AQ$2:$AQ$518))&lt;&gt;"n/a"),--(LOWER(TRIM($AQ$2:$AQ$518))&lt;&gt;"na"))&gt;1)),"Yes","No"))</f>
        <v/>
      </c>
      <c r="F416">
        <f>IF(UPPER(TRIM($B416))&lt;&gt;"YES","", IF(OR(AND($V416&lt;&gt;"", LOWER(TRIM($V416))&lt;&gt;"n/a", LOWER(TRIM($V416))&lt;&gt;"na", SUMPRODUCT(--(UPPER(TRIM($V$2:$V$518))=UPPER(TRIM($V416))), --(UPPER(TRIM($B$2:$B$518))="YES"), --(UPPER(TRIM($G$2:$G$518)&amp;TRIM($I$2:$I$518)&amp;TRIM($J$2:$J$518))&lt;&gt;UPPER(TRIM($G416)&amp;TRIM($I416)&amp;TRIM($J416))))&gt;0), AND($W416&lt;&gt;"", LOWER(TRIM($W416))&lt;&gt;"n/a", LOWER(TRIM($W416))&lt;&gt;"na", SUMPRODUCT(--(UPPER(TRIM($W$2:$W$518))=UPPER(TRIM($W416))), --(UPPER(TRIM($B$2:$B$518))="YES"), --(UPPER(TRIM($G$2:$G$518)&amp;TRIM($I$2:$I$518)&amp;TRIM($J$2:$J$518))&lt;&gt;UPPER(TRIM($G416)&amp;TRIM($I416)&amp;TRIM($J416))))&gt;0), AND($X416&lt;&gt;"", LOWER(TRIM($X416))&lt;&gt;"n/a", LOWER(TRIM($X416))&lt;&gt;"na", SUMPRODUCT(--(UPPER(TRIM($X$2:$X$518))=UPPER(TRIM($X416))), --(UPPER(TRIM($B$2:$B$518))="YES"), --(UPPER(TRIM($G$2:$G$518)&amp;TRIM($I$2:$I$518)&amp;TRIM($J$2:$J$518))&lt;&gt;UPPER(TRIM($G416)&amp;TRIM($I416)&amp;TRIM($J416))))&gt;0), AND($Y416&lt;&gt;"", LOWER(TRIM($Y416))&lt;&gt;"n/a", LOWER(TRIM($Y416))&lt;&gt;"na", SUMPRODUCT(--(UPPER(SUBSTITUTE(SUBSTITUTE(TRIM($Y$2:$Y$518),":",""),"-",""))=UPPER(SUBSTITUTE(SUBSTITUTE(TRIM($Y416),":",""),"-",""))), --(UPPER(TRIM($B$2:$B$518))="YES"), --(UPPER(TRIM($G$2:$G$518)&amp;TRIM($I$2:$I$518)&amp;TRIM($J$2:$J$518))&lt;&gt;UPPER(TRIM($G416)&amp;TRIM($I416)&amp;TRIM($J416))))&gt;0), AND($AB416&lt;&gt;"", LOWER(TRIM($AB416))&lt;&gt;"n/a", LOWER(TRIM($AB416))&lt;&gt;"na", SUMPRODUCT(--(UPPER(TRIM($AB$2:$AB$518))=UPPER(TRIM($AB416))), --(UPPER(TRIM($B$2:$B$518))="YES"), --(UPPER(TRIM($G$2:$G$518)&amp;TRIM($I$2:$I$518)&amp;TRIM($J$2:$J$518))&lt;&gt;UPPER(TRIM($G416)&amp;TRIM($I416)&amp;TRIM($J416))))&gt;0), AND($AH416&lt;&gt;"", LOWER(TRIM($AH416))&lt;&gt;"n/a", LOWER(TRIM($AH416))&lt;&gt;"na", SUMPRODUCT(--(UPPER(SUBSTITUTE(SUBSTITUTE(TRIM($AH$2:$AH$518),":",""),"-",""))=UPPER(SUBSTITUTE(SUBSTITUTE(TRIM($AH416),":",""),"-",""))), --(UPPER(TRIM($B$2:$B$518))="YES"), --(UPPER(TRIM($G$2:$G$518)&amp;TRIM($I$2:$I$518)&amp;TRIM($J$2:$J$518))&lt;&gt;UPPER(TRIM($G416)&amp;TRIM($I416)&amp;TRIM($J416))))&gt;0), AND($AP416&lt;&gt;"", LOWER(TRIM($AP416))&lt;&gt;"n/a", LOWER(TRIM($AP416))&lt;&gt;"na", SUMPRODUCT(--(UPPER(TRIM($AP$2:$AP$518))=UPPER(TRIM($AP416))), --(UPPER(TRIM($B$2:$B$518))="YES"), --(UPPER(TRIM($G$2:$G$518)&amp;TRIM($I$2:$I$518)&amp;TRIM($J$2:$J$518))&lt;&gt;UPPER(TRIM($G416)&amp;TRIM($I416)&amp;TRIM($J416))))&gt;0), AND($AQ416&lt;&gt;"", LOWER(TRIM($AQ416))&lt;&gt;"n/a", LOWER(TRIM($AQ416))&lt;&gt;"na", SUMPRODUCT(--(UPPER(TRIM($AQ$2:$AQ$518))=UPPER(TRIM($AQ416))), --(UPPER(TRIM($B$2:$B$518))="YES"), --(UPPER(TRIM($G$2:$G$518)&amp;TRIM($I$2:$I$518)&amp;TRIM($J$2:$J$518))&lt;&gt;UPPER(TRIM($G416)&amp;TRIM($I416)&amp;TRIM($J416))))&gt;0)), "Yes", "No"))</f>
        <v/>
      </c>
      <c r="CD416">
        <f>IF($Y416="","",IF((IF(AND($BR416&lt;&gt;"Yes",$BR416&lt;&gt;"N/A"),"Power Cable, ","")&amp;IF(AND($BS416&lt;&gt;"Yes",$BS416&lt;&gt;"N/A"),"Battery, ","")&amp;IF(AND($AD416&lt;&gt;"Yes",$AD416&lt;&gt;"N/A"),"Firmware Download, ","")&amp;IF(AND(OR($AD416="Yes",$AD416="N/A"),$AE416&lt;&gt;"Yes",$AE416&lt;&gt;"N/A"),"Firmware Install, ","")&amp;IF(AND($CB416&lt;&gt;"Yes",$CB416&lt;&gt;"N/A"),"Device ID, ","")&amp;IF(AND($CC416&lt;&gt;"Yes",$CC416&lt;&gt;"N/A"),"Epic Beans Relay, ",""))="","",LEFT(IF(AND($BR416&lt;&gt;"Yes",$BR416&lt;&gt;"N/A"),"Power Cable, ","")&amp;IF(AND($BS416&lt;&gt;"Yes",$BS416&lt;&gt;"N/A"),"Battery, ","")&amp;IF(AND($AD416&lt;&gt;"Yes",$AD416&lt;&gt;"N/A"),"Firmware Download, ","")&amp;IF(AND(OR($AD416="Yes",$AD416="N/A"),$AE416&lt;&gt;"Yes",$AE416&lt;&gt;"N/A"),"Firmware Install, ","")&amp;IF(AND($CB416&lt;&gt;"Yes",$CB416&lt;&gt;"N/A"),"Device ID, ","")&amp;IF(AND($CC416&lt;&gt;"Yes",$CC416&lt;&gt;"N/A"),"Epic Beans Relay, ",""),LEN(IF(AND($BR416&lt;&gt;"Yes",$BR416&lt;&gt;"N/A"),"Power Cable, ","")&amp;IF(AND($BS416&lt;&gt;"Yes",$BS416&lt;&gt;"N/A"),"Battery, ","")&amp;IF(AND($AD416&lt;&gt;"Yes",$AD416&lt;&gt;"N/A"),"Firmware Download, ","")&amp;IF(AND(OR($AD416="Yes",$AD416="N/A"),$AE416&lt;&gt;"Yes",$AE416&lt;&gt;"N/A"),"Firmware Install, ","")&amp;IF(AND($CB416&lt;&gt;"Yes",$CB416&lt;&gt;"N/A"),"Device ID, ","")&amp;IF(AND($CC416&lt;&gt;"Yes",$CC416&lt;&gt;"N/A"),"Epic Beans Relay, ",""))-2)))</f>
        <v/>
      </c>
      <c r="CE416">
        <f>IF($Y416="","",IF($CD416="","Yes","Blocked"))</f>
        <v/>
      </c>
      <c r="CP416">
        <f>IF($CO416="","",IFERROR(VLOOKUP($CO416,'01_Warehouse_Ledger'!$A:$N,4,FALSE),""))</f>
        <v/>
      </c>
      <c r="CQ416">
        <f>IF($CO416="","",IFERROR(VLOOKUP($CO416,'01_Warehouse_Ledger'!$A:$N,5,FALSE),""))</f>
        <v/>
      </c>
      <c r="CR416">
        <f>IF($CO416="","",IFERROR(VLOOKUP($CO416,'01_Warehouse_Ledger'!$A:$N,13,FALSE),""))</f>
        <v/>
      </c>
      <c r="CW416">
        <f>IF($S416="","",IF(UPPER(TRIM($S416))&lt;&gt;"PASS","",IF(LEN(TRIM($BY416))&gt;0,"NOTES_PRESENT",IF(LEN(TRIM($T416))=0,"SET_NA",IF(OR(LOWER(TRIM($T416))="na",LOWER(TRIM($T416))="n/a"),"OK","MANUAL_OVERRIDE")))))</f>
        <v/>
      </c>
    </row>
    <row r="417">
      <c r="B417" t="inlineStr">
        <is>
          <t>No</t>
        </is>
      </c>
      <c r="C417" t="inlineStr">
        <is>
          <t>No</t>
        </is>
      </c>
      <c r="D417">
        <f>IF($B417&lt;&gt;"Yes","",IF($C417="No","Yes",IF($C417="Yes","No","")))</f>
        <v/>
      </c>
      <c r="E417">
        <f>IF($A417="","",IF(OR(AND($V417&lt;&gt;"",LOWER(TRIM($V417))&lt;&gt;"n/a",LOWER(TRIM($V417))&lt;&gt;"na",SUMPRODUCT(--(UPPER(TRIM($V$2:$V$518))=UPPER(TRIM($V417))),--(TRIM($V$2:$V$518)&lt;&gt;""),--(LOWER(TRIM($V$2:$V$518))&lt;&gt;"n/a"),--(LOWER(TRIM($V$2:$V$518))&lt;&gt;"na"))&gt;1),AND($W417&lt;&gt;"",LOWER(TRIM($W417))&lt;&gt;"n/a",LOWER(TRIM($W417))&lt;&gt;"na",SUMPRODUCT(--(UPPER(TRIM($W$2:$W$518))=UPPER(TRIM($W417))),--(TRIM($W$2:$W$518)&lt;&gt;""),--(LOWER(TRIM($W$2:$W$518))&lt;&gt;"n/a"),--(LOWER(TRIM($W$2:$W$518))&lt;&gt;"na"))&gt;1),AND($X417&lt;&gt;"",LOWER(TRIM($X417))&lt;&gt;"n/a",LOWER(TRIM($X417))&lt;&gt;"na",SUMPRODUCT(--(UPPER(TRIM($X$2:$X$518))=UPPER(TRIM($X417))),--(TRIM($X$2:$X$518)&lt;&gt;""),--(LOWER(TRIM($X$2:$X$518))&lt;&gt;"n/a"),--(LOWER(TRIM($X$2:$X$518))&lt;&gt;"na"))&gt;1),AND($Y417&lt;&gt;"",LOWER(TRIM($Y417))&lt;&gt;"n/a",LOWER(TRIM($Y417))&lt;&gt;"na",SUMPRODUCT(--(UPPER(SUBSTITUTE(SUBSTITUTE(TRIM($Y$2:$Y$518),":",""),"-",""))=UPPER(SUBSTITUTE(SUBSTITUTE(TRIM($Y417),":",""),"-",""))),--(TRIM($Y$2:$Y$518)&lt;&gt;""),--(LOWER(TRIM($Y$2:$Y$518))&lt;&gt;"n/a"),--(LOWER(TRIM($Y$2:$Y$518))&lt;&gt;"na"))&gt;1),AND($AB417&lt;&gt;"",LOWER(TRIM($AB417))&lt;&gt;"n/a",LOWER(TRIM($AB417))&lt;&gt;"na",SUMPRODUCT(--(UPPER(TRIM($AB$2:$AB$518))=UPPER(TRIM($AB417))),--(TRIM($AB$2:$AB$518)&lt;&gt;""),--(LOWER(TRIM($AB$2:$AB$518))&lt;&gt;"n/a"),--(LOWER(TRIM($AB$2:$AB$518))&lt;&gt;"na"))&gt;1),AND($AH417&lt;&gt;"",LOWER(TRIM($AH417))&lt;&gt;"n/a",LOWER(TRIM($AH417))&lt;&gt;"na",SUMPRODUCT(--(UPPER(SUBSTITUTE(SUBSTITUTE(TRIM($AH$2:$AH$518),":",""),"-",""))=UPPER(SUBSTITUTE(SUBSTITUTE(TRIM($AH417),":",""),"-",""))),--(TRIM($AH$2:$AH$518)&lt;&gt;""),--(LOWER(TRIM($AH$2:$AH$518))&lt;&gt;"n/a"),--(LOWER(TRIM($AH$2:$AH$518))&lt;&gt;"na"))&gt;1),AND($AP417&lt;&gt;"",LOWER(TRIM($AP417))&lt;&gt;"n/a",LOWER(TRIM($AP417))&lt;&gt;"na",SUMPRODUCT(--(UPPER(TRIM($AP$2:$AP$518))=UPPER(TRIM($AP417))),--(TRIM($AP$2:$AP$518)&lt;&gt;""),--(LOWER(TRIM($AP$2:$AP$518))&lt;&gt;"n/a"),--(LOWER(TRIM($AP$2:$AP$518))&lt;&gt;"na"))&gt;1),AND($AQ417&lt;&gt;"",LOWER(TRIM($AQ417))&lt;&gt;"n/a",LOWER(TRIM($AQ417))&lt;&gt;"na",SUMPRODUCT(--(UPPER(TRIM($AQ$2:$AQ$518))=UPPER(TRIM($AQ417))),--(TRIM($AQ$2:$AQ$518)&lt;&gt;""),--(LOWER(TRIM($AQ$2:$AQ$518))&lt;&gt;"n/a"),--(LOWER(TRIM($AQ$2:$AQ$518))&lt;&gt;"na"))&gt;1)),"Yes","No"))</f>
        <v/>
      </c>
      <c r="F417">
        <f>IF(UPPER(TRIM($B417))&lt;&gt;"YES","", IF(OR(AND($V417&lt;&gt;"", LOWER(TRIM($V417))&lt;&gt;"n/a", LOWER(TRIM($V417))&lt;&gt;"na", SUMPRODUCT(--(UPPER(TRIM($V$2:$V$518))=UPPER(TRIM($V417))), --(UPPER(TRIM($B$2:$B$518))="YES"), --(UPPER(TRIM($G$2:$G$518)&amp;TRIM($I$2:$I$518)&amp;TRIM($J$2:$J$518))&lt;&gt;UPPER(TRIM($G417)&amp;TRIM($I417)&amp;TRIM($J417))))&gt;0), AND($W417&lt;&gt;"", LOWER(TRIM($W417))&lt;&gt;"n/a", LOWER(TRIM($W417))&lt;&gt;"na", SUMPRODUCT(--(UPPER(TRIM($W$2:$W$518))=UPPER(TRIM($W417))), --(UPPER(TRIM($B$2:$B$518))="YES"), --(UPPER(TRIM($G$2:$G$518)&amp;TRIM($I$2:$I$518)&amp;TRIM($J$2:$J$518))&lt;&gt;UPPER(TRIM($G417)&amp;TRIM($I417)&amp;TRIM($J417))))&gt;0), AND($X417&lt;&gt;"", LOWER(TRIM($X417))&lt;&gt;"n/a", LOWER(TRIM($X417))&lt;&gt;"na", SUMPRODUCT(--(UPPER(TRIM($X$2:$X$518))=UPPER(TRIM($X417))), --(UPPER(TRIM($B$2:$B$518))="YES"), --(UPPER(TRIM($G$2:$G$518)&amp;TRIM($I$2:$I$518)&amp;TRIM($J$2:$J$518))&lt;&gt;UPPER(TRIM($G417)&amp;TRIM($I417)&amp;TRIM($J417))))&gt;0), AND($Y417&lt;&gt;"", LOWER(TRIM($Y417))&lt;&gt;"n/a", LOWER(TRIM($Y417))&lt;&gt;"na", SUMPRODUCT(--(UPPER(SUBSTITUTE(SUBSTITUTE(TRIM($Y$2:$Y$518),":",""),"-",""))=UPPER(SUBSTITUTE(SUBSTITUTE(TRIM($Y417),":",""),"-",""))), --(UPPER(TRIM($B$2:$B$518))="YES"), --(UPPER(TRIM($G$2:$G$518)&amp;TRIM($I$2:$I$518)&amp;TRIM($J$2:$J$518))&lt;&gt;UPPER(TRIM($G417)&amp;TRIM($I417)&amp;TRIM($J417))))&gt;0), AND($AB417&lt;&gt;"", LOWER(TRIM($AB417))&lt;&gt;"n/a", LOWER(TRIM($AB417))&lt;&gt;"na", SUMPRODUCT(--(UPPER(TRIM($AB$2:$AB$518))=UPPER(TRIM($AB417))), --(UPPER(TRIM($B$2:$B$518))="YES"), --(UPPER(TRIM($G$2:$G$518)&amp;TRIM($I$2:$I$518)&amp;TRIM($J$2:$J$518))&lt;&gt;UPPER(TRIM($G417)&amp;TRIM($I417)&amp;TRIM($J417))))&gt;0), AND($AH417&lt;&gt;"", LOWER(TRIM($AH417))&lt;&gt;"n/a", LOWER(TRIM($AH417))&lt;&gt;"na", SUMPRODUCT(--(UPPER(SUBSTITUTE(SUBSTITUTE(TRIM($AH$2:$AH$518),":",""),"-",""))=UPPER(SUBSTITUTE(SUBSTITUTE(TRIM($AH417),":",""),"-",""))), --(UPPER(TRIM($B$2:$B$518))="YES"), --(UPPER(TRIM($G$2:$G$518)&amp;TRIM($I$2:$I$518)&amp;TRIM($J$2:$J$518))&lt;&gt;UPPER(TRIM($G417)&amp;TRIM($I417)&amp;TRIM($J417))))&gt;0), AND($AP417&lt;&gt;"", LOWER(TRIM($AP417))&lt;&gt;"n/a", LOWER(TRIM($AP417))&lt;&gt;"na", SUMPRODUCT(--(UPPER(TRIM($AP$2:$AP$518))=UPPER(TRIM($AP417))), --(UPPER(TRIM($B$2:$B$518))="YES"), --(UPPER(TRIM($G$2:$G$518)&amp;TRIM($I$2:$I$518)&amp;TRIM($J$2:$J$518))&lt;&gt;UPPER(TRIM($G417)&amp;TRIM($I417)&amp;TRIM($J417))))&gt;0), AND($AQ417&lt;&gt;"", LOWER(TRIM($AQ417))&lt;&gt;"n/a", LOWER(TRIM($AQ417))&lt;&gt;"na", SUMPRODUCT(--(UPPER(TRIM($AQ$2:$AQ$518))=UPPER(TRIM($AQ417))), --(UPPER(TRIM($B$2:$B$518))="YES"), --(UPPER(TRIM($G$2:$G$518)&amp;TRIM($I$2:$I$518)&amp;TRIM($J$2:$J$518))&lt;&gt;UPPER(TRIM($G417)&amp;TRIM($I417)&amp;TRIM($J417))))&gt;0)), "Yes", "No"))</f>
        <v/>
      </c>
      <c r="CD417">
        <f>IF($Y417="","",IF((IF(AND($BR417&lt;&gt;"Yes",$BR417&lt;&gt;"N/A"),"Power Cable, ","")&amp;IF(AND($BS417&lt;&gt;"Yes",$BS417&lt;&gt;"N/A"),"Battery, ","")&amp;IF(AND($AD417&lt;&gt;"Yes",$AD417&lt;&gt;"N/A"),"Firmware Download, ","")&amp;IF(AND(OR($AD417="Yes",$AD417="N/A"),$AE417&lt;&gt;"Yes",$AE417&lt;&gt;"N/A"),"Firmware Install, ","")&amp;IF(AND($CB417&lt;&gt;"Yes",$CB417&lt;&gt;"N/A"),"Device ID, ","")&amp;IF(AND($CC417&lt;&gt;"Yes",$CC417&lt;&gt;"N/A"),"Epic Beans Relay, ",""))="","",LEFT(IF(AND($BR417&lt;&gt;"Yes",$BR417&lt;&gt;"N/A"),"Power Cable, ","")&amp;IF(AND($BS417&lt;&gt;"Yes",$BS417&lt;&gt;"N/A"),"Battery, ","")&amp;IF(AND($AD417&lt;&gt;"Yes",$AD417&lt;&gt;"N/A"),"Firmware Download, ","")&amp;IF(AND(OR($AD417="Yes",$AD417="N/A"),$AE417&lt;&gt;"Yes",$AE417&lt;&gt;"N/A"),"Firmware Install, ","")&amp;IF(AND($CB417&lt;&gt;"Yes",$CB417&lt;&gt;"N/A"),"Device ID, ","")&amp;IF(AND($CC417&lt;&gt;"Yes",$CC417&lt;&gt;"N/A"),"Epic Beans Relay, ",""),LEN(IF(AND($BR417&lt;&gt;"Yes",$BR417&lt;&gt;"N/A"),"Power Cable, ","")&amp;IF(AND($BS417&lt;&gt;"Yes",$BS417&lt;&gt;"N/A"),"Battery, ","")&amp;IF(AND($AD417&lt;&gt;"Yes",$AD417&lt;&gt;"N/A"),"Firmware Download, ","")&amp;IF(AND(OR($AD417="Yes",$AD417="N/A"),$AE417&lt;&gt;"Yes",$AE417&lt;&gt;"N/A"),"Firmware Install, ","")&amp;IF(AND($CB417&lt;&gt;"Yes",$CB417&lt;&gt;"N/A"),"Device ID, ","")&amp;IF(AND($CC417&lt;&gt;"Yes",$CC417&lt;&gt;"N/A"),"Epic Beans Relay, ",""))-2)))</f>
        <v/>
      </c>
      <c r="CE417">
        <f>IF($Y417="","",IF($CD417="","Yes","Blocked"))</f>
        <v/>
      </c>
      <c r="CP417">
        <f>IF($CO417="","",IFERROR(VLOOKUP($CO417,'01_Warehouse_Ledger'!$A:$N,4,FALSE),""))</f>
        <v/>
      </c>
      <c r="CQ417">
        <f>IF($CO417="","",IFERROR(VLOOKUP($CO417,'01_Warehouse_Ledger'!$A:$N,5,FALSE),""))</f>
        <v/>
      </c>
      <c r="CR417">
        <f>IF($CO417="","",IFERROR(VLOOKUP($CO417,'01_Warehouse_Ledger'!$A:$N,13,FALSE),""))</f>
        <v/>
      </c>
      <c r="CW417">
        <f>IF($S417="","",IF(UPPER(TRIM($S417))&lt;&gt;"PASS","",IF(LEN(TRIM($BY417))&gt;0,"NOTES_PRESENT",IF(LEN(TRIM($T417))=0,"SET_NA",IF(OR(LOWER(TRIM($T417))="na",LOWER(TRIM($T417))="n/a"),"OK","MANUAL_OVERRIDE")))))</f>
        <v/>
      </c>
    </row>
    <row r="418">
      <c r="B418" t="inlineStr">
        <is>
          <t>No</t>
        </is>
      </c>
      <c r="C418" t="inlineStr">
        <is>
          <t>No</t>
        </is>
      </c>
      <c r="D418">
        <f>IF($B418&lt;&gt;"Yes","",IF($C418="No","Yes",IF($C418="Yes","No","")))</f>
        <v/>
      </c>
      <c r="E418">
        <f>IF($A418="","",IF(OR(AND($V418&lt;&gt;"",LOWER(TRIM($V418))&lt;&gt;"n/a",LOWER(TRIM($V418))&lt;&gt;"na",SUMPRODUCT(--(UPPER(TRIM($V$2:$V$518))=UPPER(TRIM($V418))),--(TRIM($V$2:$V$518)&lt;&gt;""),--(LOWER(TRIM($V$2:$V$518))&lt;&gt;"n/a"),--(LOWER(TRIM($V$2:$V$518))&lt;&gt;"na"))&gt;1),AND($W418&lt;&gt;"",LOWER(TRIM($W418))&lt;&gt;"n/a",LOWER(TRIM($W418))&lt;&gt;"na",SUMPRODUCT(--(UPPER(TRIM($W$2:$W$518))=UPPER(TRIM($W418))),--(TRIM($W$2:$W$518)&lt;&gt;""),--(LOWER(TRIM($W$2:$W$518))&lt;&gt;"n/a"),--(LOWER(TRIM($W$2:$W$518))&lt;&gt;"na"))&gt;1),AND($X418&lt;&gt;"",LOWER(TRIM($X418))&lt;&gt;"n/a",LOWER(TRIM($X418))&lt;&gt;"na",SUMPRODUCT(--(UPPER(TRIM($X$2:$X$518))=UPPER(TRIM($X418))),--(TRIM($X$2:$X$518)&lt;&gt;""),--(LOWER(TRIM($X$2:$X$518))&lt;&gt;"n/a"),--(LOWER(TRIM($X$2:$X$518))&lt;&gt;"na"))&gt;1),AND($Y418&lt;&gt;"",LOWER(TRIM($Y418))&lt;&gt;"n/a",LOWER(TRIM($Y418))&lt;&gt;"na",SUMPRODUCT(--(UPPER(SUBSTITUTE(SUBSTITUTE(TRIM($Y$2:$Y$518),":",""),"-",""))=UPPER(SUBSTITUTE(SUBSTITUTE(TRIM($Y418),":",""),"-",""))),--(TRIM($Y$2:$Y$518)&lt;&gt;""),--(LOWER(TRIM($Y$2:$Y$518))&lt;&gt;"n/a"),--(LOWER(TRIM($Y$2:$Y$518))&lt;&gt;"na"))&gt;1),AND($AB418&lt;&gt;"",LOWER(TRIM($AB418))&lt;&gt;"n/a",LOWER(TRIM($AB418))&lt;&gt;"na",SUMPRODUCT(--(UPPER(TRIM($AB$2:$AB$518))=UPPER(TRIM($AB418))),--(TRIM($AB$2:$AB$518)&lt;&gt;""),--(LOWER(TRIM($AB$2:$AB$518))&lt;&gt;"n/a"),--(LOWER(TRIM($AB$2:$AB$518))&lt;&gt;"na"))&gt;1),AND($AH418&lt;&gt;"",LOWER(TRIM($AH418))&lt;&gt;"n/a",LOWER(TRIM($AH418))&lt;&gt;"na",SUMPRODUCT(--(UPPER(SUBSTITUTE(SUBSTITUTE(TRIM($AH$2:$AH$518),":",""),"-",""))=UPPER(SUBSTITUTE(SUBSTITUTE(TRIM($AH418),":",""),"-",""))),--(TRIM($AH$2:$AH$518)&lt;&gt;""),--(LOWER(TRIM($AH$2:$AH$518))&lt;&gt;"n/a"),--(LOWER(TRIM($AH$2:$AH$518))&lt;&gt;"na"))&gt;1),AND($AP418&lt;&gt;"",LOWER(TRIM($AP418))&lt;&gt;"n/a",LOWER(TRIM($AP418))&lt;&gt;"na",SUMPRODUCT(--(UPPER(TRIM($AP$2:$AP$518))=UPPER(TRIM($AP418))),--(TRIM($AP$2:$AP$518)&lt;&gt;""),--(LOWER(TRIM($AP$2:$AP$518))&lt;&gt;"n/a"),--(LOWER(TRIM($AP$2:$AP$518))&lt;&gt;"na"))&gt;1),AND($AQ418&lt;&gt;"",LOWER(TRIM($AQ418))&lt;&gt;"n/a",LOWER(TRIM($AQ418))&lt;&gt;"na",SUMPRODUCT(--(UPPER(TRIM($AQ$2:$AQ$518))=UPPER(TRIM($AQ418))),--(TRIM($AQ$2:$AQ$518)&lt;&gt;""),--(LOWER(TRIM($AQ$2:$AQ$518))&lt;&gt;"n/a"),--(LOWER(TRIM($AQ$2:$AQ$518))&lt;&gt;"na"))&gt;1)),"Yes","No"))</f>
        <v/>
      </c>
      <c r="F418">
        <f>IF(UPPER(TRIM($B418))&lt;&gt;"YES","", IF(OR(AND($V418&lt;&gt;"", LOWER(TRIM($V418))&lt;&gt;"n/a", LOWER(TRIM($V418))&lt;&gt;"na", SUMPRODUCT(--(UPPER(TRIM($V$2:$V$518))=UPPER(TRIM($V418))), --(UPPER(TRIM($B$2:$B$518))="YES"), --(UPPER(TRIM($G$2:$G$518)&amp;TRIM($I$2:$I$518)&amp;TRIM($J$2:$J$518))&lt;&gt;UPPER(TRIM($G418)&amp;TRIM($I418)&amp;TRIM($J418))))&gt;0), AND($W418&lt;&gt;"", LOWER(TRIM($W418))&lt;&gt;"n/a", LOWER(TRIM($W418))&lt;&gt;"na", SUMPRODUCT(--(UPPER(TRIM($W$2:$W$518))=UPPER(TRIM($W418))), --(UPPER(TRIM($B$2:$B$518))="YES"), --(UPPER(TRIM($G$2:$G$518)&amp;TRIM($I$2:$I$518)&amp;TRIM($J$2:$J$518))&lt;&gt;UPPER(TRIM($G418)&amp;TRIM($I418)&amp;TRIM($J418))))&gt;0), AND($X418&lt;&gt;"", LOWER(TRIM($X418))&lt;&gt;"n/a", LOWER(TRIM($X418))&lt;&gt;"na", SUMPRODUCT(--(UPPER(TRIM($X$2:$X$518))=UPPER(TRIM($X418))), --(UPPER(TRIM($B$2:$B$518))="YES"), --(UPPER(TRIM($G$2:$G$518)&amp;TRIM($I$2:$I$518)&amp;TRIM($J$2:$J$518))&lt;&gt;UPPER(TRIM($G418)&amp;TRIM($I418)&amp;TRIM($J418))))&gt;0), AND($Y418&lt;&gt;"", LOWER(TRIM($Y418))&lt;&gt;"n/a", LOWER(TRIM($Y418))&lt;&gt;"na", SUMPRODUCT(--(UPPER(SUBSTITUTE(SUBSTITUTE(TRIM($Y$2:$Y$518),":",""),"-",""))=UPPER(SUBSTITUTE(SUBSTITUTE(TRIM($Y418),":",""),"-",""))), --(UPPER(TRIM($B$2:$B$518))="YES"), --(UPPER(TRIM($G$2:$G$518)&amp;TRIM($I$2:$I$518)&amp;TRIM($J$2:$J$518))&lt;&gt;UPPER(TRIM($G418)&amp;TRIM($I418)&amp;TRIM($J418))))&gt;0), AND($AB418&lt;&gt;"", LOWER(TRIM($AB418))&lt;&gt;"n/a", LOWER(TRIM($AB418))&lt;&gt;"na", SUMPRODUCT(--(UPPER(TRIM($AB$2:$AB$518))=UPPER(TRIM($AB418))), --(UPPER(TRIM($B$2:$B$518))="YES"), --(UPPER(TRIM($G$2:$G$518)&amp;TRIM($I$2:$I$518)&amp;TRIM($J$2:$J$518))&lt;&gt;UPPER(TRIM($G418)&amp;TRIM($I418)&amp;TRIM($J418))))&gt;0), AND($AH418&lt;&gt;"", LOWER(TRIM($AH418))&lt;&gt;"n/a", LOWER(TRIM($AH418))&lt;&gt;"na", SUMPRODUCT(--(UPPER(SUBSTITUTE(SUBSTITUTE(TRIM($AH$2:$AH$518),":",""),"-",""))=UPPER(SUBSTITUTE(SUBSTITUTE(TRIM($AH418),":",""),"-",""))), --(UPPER(TRIM($B$2:$B$518))="YES"), --(UPPER(TRIM($G$2:$G$518)&amp;TRIM($I$2:$I$518)&amp;TRIM($J$2:$J$518))&lt;&gt;UPPER(TRIM($G418)&amp;TRIM($I418)&amp;TRIM($J418))))&gt;0), AND($AP418&lt;&gt;"", LOWER(TRIM($AP418))&lt;&gt;"n/a", LOWER(TRIM($AP418))&lt;&gt;"na", SUMPRODUCT(--(UPPER(TRIM($AP$2:$AP$518))=UPPER(TRIM($AP418))), --(UPPER(TRIM($B$2:$B$518))="YES"), --(UPPER(TRIM($G$2:$G$518)&amp;TRIM($I$2:$I$518)&amp;TRIM($J$2:$J$518))&lt;&gt;UPPER(TRIM($G418)&amp;TRIM($I418)&amp;TRIM($J418))))&gt;0), AND($AQ418&lt;&gt;"", LOWER(TRIM($AQ418))&lt;&gt;"n/a", LOWER(TRIM($AQ418))&lt;&gt;"na", SUMPRODUCT(--(UPPER(TRIM($AQ$2:$AQ$518))=UPPER(TRIM($AQ418))), --(UPPER(TRIM($B$2:$B$518))="YES"), --(UPPER(TRIM($G$2:$G$518)&amp;TRIM($I$2:$I$518)&amp;TRIM($J$2:$J$518))&lt;&gt;UPPER(TRIM($G418)&amp;TRIM($I418)&amp;TRIM($J418))))&gt;0)), "Yes", "No"))</f>
        <v/>
      </c>
      <c r="CD418">
        <f>IF($Y418="","",IF((IF(AND($BR418&lt;&gt;"Yes",$BR418&lt;&gt;"N/A"),"Power Cable, ","")&amp;IF(AND($BS418&lt;&gt;"Yes",$BS418&lt;&gt;"N/A"),"Battery, ","")&amp;IF(AND($AD418&lt;&gt;"Yes",$AD418&lt;&gt;"N/A"),"Firmware Download, ","")&amp;IF(AND(OR($AD418="Yes",$AD418="N/A"),$AE418&lt;&gt;"Yes",$AE418&lt;&gt;"N/A"),"Firmware Install, ","")&amp;IF(AND($CB418&lt;&gt;"Yes",$CB418&lt;&gt;"N/A"),"Device ID, ","")&amp;IF(AND($CC418&lt;&gt;"Yes",$CC418&lt;&gt;"N/A"),"Epic Beans Relay, ",""))="","",LEFT(IF(AND($BR418&lt;&gt;"Yes",$BR418&lt;&gt;"N/A"),"Power Cable, ","")&amp;IF(AND($BS418&lt;&gt;"Yes",$BS418&lt;&gt;"N/A"),"Battery, ","")&amp;IF(AND($AD418&lt;&gt;"Yes",$AD418&lt;&gt;"N/A"),"Firmware Download, ","")&amp;IF(AND(OR($AD418="Yes",$AD418="N/A"),$AE418&lt;&gt;"Yes",$AE418&lt;&gt;"N/A"),"Firmware Install, ","")&amp;IF(AND($CB418&lt;&gt;"Yes",$CB418&lt;&gt;"N/A"),"Device ID, ","")&amp;IF(AND($CC418&lt;&gt;"Yes",$CC418&lt;&gt;"N/A"),"Epic Beans Relay, ",""),LEN(IF(AND($BR418&lt;&gt;"Yes",$BR418&lt;&gt;"N/A"),"Power Cable, ","")&amp;IF(AND($BS418&lt;&gt;"Yes",$BS418&lt;&gt;"N/A"),"Battery, ","")&amp;IF(AND($AD418&lt;&gt;"Yes",$AD418&lt;&gt;"N/A"),"Firmware Download, ","")&amp;IF(AND(OR($AD418="Yes",$AD418="N/A"),$AE418&lt;&gt;"Yes",$AE418&lt;&gt;"N/A"),"Firmware Install, ","")&amp;IF(AND($CB418&lt;&gt;"Yes",$CB418&lt;&gt;"N/A"),"Device ID, ","")&amp;IF(AND($CC418&lt;&gt;"Yes",$CC418&lt;&gt;"N/A"),"Epic Beans Relay, ",""))-2)))</f>
        <v/>
      </c>
      <c r="CE418">
        <f>IF($Y418="","",IF($CD418="","Yes","Blocked"))</f>
        <v/>
      </c>
      <c r="CP418">
        <f>IF($CO418="","",IFERROR(VLOOKUP($CO418,'01_Warehouse_Ledger'!$A:$N,4,FALSE),""))</f>
        <v/>
      </c>
      <c r="CQ418">
        <f>IF($CO418="","",IFERROR(VLOOKUP($CO418,'01_Warehouse_Ledger'!$A:$N,5,FALSE),""))</f>
        <v/>
      </c>
      <c r="CR418">
        <f>IF($CO418="","",IFERROR(VLOOKUP($CO418,'01_Warehouse_Ledger'!$A:$N,13,FALSE),""))</f>
        <v/>
      </c>
      <c r="CW418">
        <f>IF($S418="","",IF(UPPER(TRIM($S418))&lt;&gt;"PASS","",IF(LEN(TRIM($BY418))&gt;0,"NOTES_PRESENT",IF(LEN(TRIM($T418))=0,"SET_NA",IF(OR(LOWER(TRIM($T418))="na",LOWER(TRIM($T418))="n/a"),"OK","MANUAL_OVERRIDE")))))</f>
        <v/>
      </c>
    </row>
    <row r="419">
      <c r="B419" t="inlineStr">
        <is>
          <t>No</t>
        </is>
      </c>
      <c r="C419" t="inlineStr">
        <is>
          <t>No</t>
        </is>
      </c>
      <c r="D419">
        <f>IF($B419&lt;&gt;"Yes","",IF($C419="No","Yes",IF($C419="Yes","No","")))</f>
        <v/>
      </c>
      <c r="E419">
        <f>IF($A419="","",IF(OR(AND($V419&lt;&gt;"",LOWER(TRIM($V419))&lt;&gt;"n/a",LOWER(TRIM($V419))&lt;&gt;"na",SUMPRODUCT(--(UPPER(TRIM($V$2:$V$518))=UPPER(TRIM($V419))),--(TRIM($V$2:$V$518)&lt;&gt;""),--(LOWER(TRIM($V$2:$V$518))&lt;&gt;"n/a"),--(LOWER(TRIM($V$2:$V$518))&lt;&gt;"na"))&gt;1),AND($W419&lt;&gt;"",LOWER(TRIM($W419))&lt;&gt;"n/a",LOWER(TRIM($W419))&lt;&gt;"na",SUMPRODUCT(--(UPPER(TRIM($W$2:$W$518))=UPPER(TRIM($W419))),--(TRIM($W$2:$W$518)&lt;&gt;""),--(LOWER(TRIM($W$2:$W$518))&lt;&gt;"n/a"),--(LOWER(TRIM($W$2:$W$518))&lt;&gt;"na"))&gt;1),AND($X419&lt;&gt;"",LOWER(TRIM($X419))&lt;&gt;"n/a",LOWER(TRIM($X419))&lt;&gt;"na",SUMPRODUCT(--(UPPER(TRIM($X$2:$X$518))=UPPER(TRIM($X419))),--(TRIM($X$2:$X$518)&lt;&gt;""),--(LOWER(TRIM($X$2:$X$518))&lt;&gt;"n/a"),--(LOWER(TRIM($X$2:$X$518))&lt;&gt;"na"))&gt;1),AND($Y419&lt;&gt;"",LOWER(TRIM($Y419))&lt;&gt;"n/a",LOWER(TRIM($Y419))&lt;&gt;"na",SUMPRODUCT(--(UPPER(SUBSTITUTE(SUBSTITUTE(TRIM($Y$2:$Y$518),":",""),"-",""))=UPPER(SUBSTITUTE(SUBSTITUTE(TRIM($Y419),":",""),"-",""))),--(TRIM($Y$2:$Y$518)&lt;&gt;""),--(LOWER(TRIM($Y$2:$Y$518))&lt;&gt;"n/a"),--(LOWER(TRIM($Y$2:$Y$518))&lt;&gt;"na"))&gt;1),AND($AB419&lt;&gt;"",LOWER(TRIM($AB419))&lt;&gt;"n/a",LOWER(TRIM($AB419))&lt;&gt;"na",SUMPRODUCT(--(UPPER(TRIM($AB$2:$AB$518))=UPPER(TRIM($AB419))),--(TRIM($AB$2:$AB$518)&lt;&gt;""),--(LOWER(TRIM($AB$2:$AB$518))&lt;&gt;"n/a"),--(LOWER(TRIM($AB$2:$AB$518))&lt;&gt;"na"))&gt;1),AND($AH419&lt;&gt;"",LOWER(TRIM($AH419))&lt;&gt;"n/a",LOWER(TRIM($AH419))&lt;&gt;"na",SUMPRODUCT(--(UPPER(SUBSTITUTE(SUBSTITUTE(TRIM($AH$2:$AH$518),":",""),"-",""))=UPPER(SUBSTITUTE(SUBSTITUTE(TRIM($AH419),":",""),"-",""))),--(TRIM($AH$2:$AH$518)&lt;&gt;""),--(LOWER(TRIM($AH$2:$AH$518))&lt;&gt;"n/a"),--(LOWER(TRIM($AH$2:$AH$518))&lt;&gt;"na"))&gt;1),AND($AP419&lt;&gt;"",LOWER(TRIM($AP419))&lt;&gt;"n/a",LOWER(TRIM($AP419))&lt;&gt;"na",SUMPRODUCT(--(UPPER(TRIM($AP$2:$AP$518))=UPPER(TRIM($AP419))),--(TRIM($AP$2:$AP$518)&lt;&gt;""),--(LOWER(TRIM($AP$2:$AP$518))&lt;&gt;"n/a"),--(LOWER(TRIM($AP$2:$AP$518))&lt;&gt;"na"))&gt;1),AND($AQ419&lt;&gt;"",LOWER(TRIM($AQ419))&lt;&gt;"n/a",LOWER(TRIM($AQ419))&lt;&gt;"na",SUMPRODUCT(--(UPPER(TRIM($AQ$2:$AQ$518))=UPPER(TRIM($AQ419))),--(TRIM($AQ$2:$AQ$518)&lt;&gt;""),--(LOWER(TRIM($AQ$2:$AQ$518))&lt;&gt;"n/a"),--(LOWER(TRIM($AQ$2:$AQ$518))&lt;&gt;"na"))&gt;1)),"Yes","No"))</f>
        <v/>
      </c>
      <c r="F419">
        <f>IF(UPPER(TRIM($B419))&lt;&gt;"YES","", IF(OR(AND($V419&lt;&gt;"", LOWER(TRIM($V419))&lt;&gt;"n/a", LOWER(TRIM($V419))&lt;&gt;"na", SUMPRODUCT(--(UPPER(TRIM($V$2:$V$518))=UPPER(TRIM($V419))), --(UPPER(TRIM($B$2:$B$518))="YES"), --(UPPER(TRIM($G$2:$G$518)&amp;TRIM($I$2:$I$518)&amp;TRIM($J$2:$J$518))&lt;&gt;UPPER(TRIM($G419)&amp;TRIM($I419)&amp;TRIM($J419))))&gt;0), AND($W419&lt;&gt;"", LOWER(TRIM($W419))&lt;&gt;"n/a", LOWER(TRIM($W419))&lt;&gt;"na", SUMPRODUCT(--(UPPER(TRIM($W$2:$W$518))=UPPER(TRIM($W419))), --(UPPER(TRIM($B$2:$B$518))="YES"), --(UPPER(TRIM($G$2:$G$518)&amp;TRIM($I$2:$I$518)&amp;TRIM($J$2:$J$518))&lt;&gt;UPPER(TRIM($G419)&amp;TRIM($I419)&amp;TRIM($J419))))&gt;0), AND($X419&lt;&gt;"", LOWER(TRIM($X419))&lt;&gt;"n/a", LOWER(TRIM($X419))&lt;&gt;"na", SUMPRODUCT(--(UPPER(TRIM($X$2:$X$518))=UPPER(TRIM($X419))), --(UPPER(TRIM($B$2:$B$518))="YES"), --(UPPER(TRIM($G$2:$G$518)&amp;TRIM($I$2:$I$518)&amp;TRIM($J$2:$J$518))&lt;&gt;UPPER(TRIM($G419)&amp;TRIM($I419)&amp;TRIM($J419))))&gt;0), AND($Y419&lt;&gt;"", LOWER(TRIM($Y419))&lt;&gt;"n/a", LOWER(TRIM($Y419))&lt;&gt;"na", SUMPRODUCT(--(UPPER(SUBSTITUTE(SUBSTITUTE(TRIM($Y$2:$Y$518),":",""),"-",""))=UPPER(SUBSTITUTE(SUBSTITUTE(TRIM($Y419),":",""),"-",""))), --(UPPER(TRIM($B$2:$B$518))="YES"), --(UPPER(TRIM($G$2:$G$518)&amp;TRIM($I$2:$I$518)&amp;TRIM($J$2:$J$518))&lt;&gt;UPPER(TRIM($G419)&amp;TRIM($I419)&amp;TRIM($J419))))&gt;0), AND($AB419&lt;&gt;"", LOWER(TRIM($AB419))&lt;&gt;"n/a", LOWER(TRIM($AB419))&lt;&gt;"na", SUMPRODUCT(--(UPPER(TRIM($AB$2:$AB$518))=UPPER(TRIM($AB419))), --(UPPER(TRIM($B$2:$B$518))="YES"), --(UPPER(TRIM($G$2:$G$518)&amp;TRIM($I$2:$I$518)&amp;TRIM($J$2:$J$518))&lt;&gt;UPPER(TRIM($G419)&amp;TRIM($I419)&amp;TRIM($J419))))&gt;0), AND($AH419&lt;&gt;"", LOWER(TRIM($AH419))&lt;&gt;"n/a", LOWER(TRIM($AH419))&lt;&gt;"na", SUMPRODUCT(--(UPPER(SUBSTITUTE(SUBSTITUTE(TRIM($AH$2:$AH$518),":",""),"-",""))=UPPER(SUBSTITUTE(SUBSTITUTE(TRIM($AH419),":",""),"-",""))), --(UPPER(TRIM($B$2:$B$518))="YES"), --(UPPER(TRIM($G$2:$G$518)&amp;TRIM($I$2:$I$518)&amp;TRIM($J$2:$J$518))&lt;&gt;UPPER(TRIM($G419)&amp;TRIM($I419)&amp;TRIM($J419))))&gt;0), AND($AP419&lt;&gt;"", LOWER(TRIM($AP419))&lt;&gt;"n/a", LOWER(TRIM($AP419))&lt;&gt;"na", SUMPRODUCT(--(UPPER(TRIM($AP$2:$AP$518))=UPPER(TRIM($AP419))), --(UPPER(TRIM($B$2:$B$518))="YES"), --(UPPER(TRIM($G$2:$G$518)&amp;TRIM($I$2:$I$518)&amp;TRIM($J$2:$J$518))&lt;&gt;UPPER(TRIM($G419)&amp;TRIM($I419)&amp;TRIM($J419))))&gt;0), AND($AQ419&lt;&gt;"", LOWER(TRIM($AQ419))&lt;&gt;"n/a", LOWER(TRIM($AQ419))&lt;&gt;"na", SUMPRODUCT(--(UPPER(TRIM($AQ$2:$AQ$518))=UPPER(TRIM($AQ419))), --(UPPER(TRIM($B$2:$B$518))="YES"), --(UPPER(TRIM($G$2:$G$518)&amp;TRIM($I$2:$I$518)&amp;TRIM($J$2:$J$518))&lt;&gt;UPPER(TRIM($G419)&amp;TRIM($I419)&amp;TRIM($J419))))&gt;0)), "Yes", "No"))</f>
        <v/>
      </c>
      <c r="CD419">
        <f>IF($Y419="","",IF((IF(AND($BR419&lt;&gt;"Yes",$BR419&lt;&gt;"N/A"),"Power Cable, ","")&amp;IF(AND($BS419&lt;&gt;"Yes",$BS419&lt;&gt;"N/A"),"Battery, ","")&amp;IF(AND($AD419&lt;&gt;"Yes",$AD419&lt;&gt;"N/A"),"Firmware Download, ","")&amp;IF(AND(OR($AD419="Yes",$AD419="N/A"),$AE419&lt;&gt;"Yes",$AE419&lt;&gt;"N/A"),"Firmware Install, ","")&amp;IF(AND($CB419&lt;&gt;"Yes",$CB419&lt;&gt;"N/A"),"Device ID, ","")&amp;IF(AND($CC419&lt;&gt;"Yes",$CC419&lt;&gt;"N/A"),"Epic Beans Relay, ",""))="","",LEFT(IF(AND($BR419&lt;&gt;"Yes",$BR419&lt;&gt;"N/A"),"Power Cable, ","")&amp;IF(AND($BS419&lt;&gt;"Yes",$BS419&lt;&gt;"N/A"),"Battery, ","")&amp;IF(AND($AD419&lt;&gt;"Yes",$AD419&lt;&gt;"N/A"),"Firmware Download, ","")&amp;IF(AND(OR($AD419="Yes",$AD419="N/A"),$AE419&lt;&gt;"Yes",$AE419&lt;&gt;"N/A"),"Firmware Install, ","")&amp;IF(AND($CB419&lt;&gt;"Yes",$CB419&lt;&gt;"N/A"),"Device ID, ","")&amp;IF(AND($CC419&lt;&gt;"Yes",$CC419&lt;&gt;"N/A"),"Epic Beans Relay, ",""),LEN(IF(AND($BR419&lt;&gt;"Yes",$BR419&lt;&gt;"N/A"),"Power Cable, ","")&amp;IF(AND($BS419&lt;&gt;"Yes",$BS419&lt;&gt;"N/A"),"Battery, ","")&amp;IF(AND($AD419&lt;&gt;"Yes",$AD419&lt;&gt;"N/A"),"Firmware Download, ","")&amp;IF(AND(OR($AD419="Yes",$AD419="N/A"),$AE419&lt;&gt;"Yes",$AE419&lt;&gt;"N/A"),"Firmware Install, ","")&amp;IF(AND($CB419&lt;&gt;"Yes",$CB419&lt;&gt;"N/A"),"Device ID, ","")&amp;IF(AND($CC419&lt;&gt;"Yes",$CC419&lt;&gt;"N/A"),"Epic Beans Relay, ",""))-2)))</f>
        <v/>
      </c>
      <c r="CE419">
        <f>IF($Y419="","",IF($CD419="","Yes","Blocked"))</f>
        <v/>
      </c>
      <c r="CP419">
        <f>IF($CO419="","",IFERROR(VLOOKUP($CO419,'01_Warehouse_Ledger'!$A:$N,4,FALSE),""))</f>
        <v/>
      </c>
      <c r="CQ419">
        <f>IF($CO419="","",IFERROR(VLOOKUP($CO419,'01_Warehouse_Ledger'!$A:$N,5,FALSE),""))</f>
        <v/>
      </c>
      <c r="CR419">
        <f>IF($CO419="","",IFERROR(VLOOKUP($CO419,'01_Warehouse_Ledger'!$A:$N,13,FALSE),""))</f>
        <v/>
      </c>
      <c r="CW419">
        <f>IF($S419="","",IF(UPPER(TRIM($S419))&lt;&gt;"PASS","",IF(LEN(TRIM($BY419))&gt;0,"NOTES_PRESENT",IF(LEN(TRIM($T419))=0,"SET_NA",IF(OR(LOWER(TRIM($T419))="na",LOWER(TRIM($T419))="n/a"),"OK","MANUAL_OVERRIDE")))))</f>
        <v/>
      </c>
    </row>
    <row r="420">
      <c r="B420" t="inlineStr">
        <is>
          <t>No</t>
        </is>
      </c>
      <c r="C420" t="inlineStr">
        <is>
          <t>No</t>
        </is>
      </c>
      <c r="D420">
        <f>IF($B420&lt;&gt;"Yes","",IF($C420="No","Yes",IF($C420="Yes","No","")))</f>
        <v/>
      </c>
      <c r="E420">
        <f>IF($A420="","",IF(OR(AND($V420&lt;&gt;"",LOWER(TRIM($V420))&lt;&gt;"n/a",LOWER(TRIM($V420))&lt;&gt;"na",SUMPRODUCT(--(UPPER(TRIM($V$2:$V$518))=UPPER(TRIM($V420))),--(TRIM($V$2:$V$518)&lt;&gt;""),--(LOWER(TRIM($V$2:$V$518))&lt;&gt;"n/a"),--(LOWER(TRIM($V$2:$V$518))&lt;&gt;"na"))&gt;1),AND($W420&lt;&gt;"",LOWER(TRIM($W420))&lt;&gt;"n/a",LOWER(TRIM($W420))&lt;&gt;"na",SUMPRODUCT(--(UPPER(TRIM($W$2:$W$518))=UPPER(TRIM($W420))),--(TRIM($W$2:$W$518)&lt;&gt;""),--(LOWER(TRIM($W$2:$W$518))&lt;&gt;"n/a"),--(LOWER(TRIM($W$2:$W$518))&lt;&gt;"na"))&gt;1),AND($X420&lt;&gt;"",LOWER(TRIM($X420))&lt;&gt;"n/a",LOWER(TRIM($X420))&lt;&gt;"na",SUMPRODUCT(--(UPPER(TRIM($X$2:$X$518))=UPPER(TRIM($X420))),--(TRIM($X$2:$X$518)&lt;&gt;""),--(LOWER(TRIM($X$2:$X$518))&lt;&gt;"n/a"),--(LOWER(TRIM($X$2:$X$518))&lt;&gt;"na"))&gt;1),AND($Y420&lt;&gt;"",LOWER(TRIM($Y420))&lt;&gt;"n/a",LOWER(TRIM($Y420))&lt;&gt;"na",SUMPRODUCT(--(UPPER(SUBSTITUTE(SUBSTITUTE(TRIM($Y$2:$Y$518),":",""),"-",""))=UPPER(SUBSTITUTE(SUBSTITUTE(TRIM($Y420),":",""),"-",""))),--(TRIM($Y$2:$Y$518)&lt;&gt;""),--(LOWER(TRIM($Y$2:$Y$518))&lt;&gt;"n/a"),--(LOWER(TRIM($Y$2:$Y$518))&lt;&gt;"na"))&gt;1),AND($AB420&lt;&gt;"",LOWER(TRIM($AB420))&lt;&gt;"n/a",LOWER(TRIM($AB420))&lt;&gt;"na",SUMPRODUCT(--(UPPER(TRIM($AB$2:$AB$518))=UPPER(TRIM($AB420))),--(TRIM($AB$2:$AB$518)&lt;&gt;""),--(LOWER(TRIM($AB$2:$AB$518))&lt;&gt;"n/a"),--(LOWER(TRIM($AB$2:$AB$518))&lt;&gt;"na"))&gt;1),AND($AH420&lt;&gt;"",LOWER(TRIM($AH420))&lt;&gt;"n/a",LOWER(TRIM($AH420))&lt;&gt;"na",SUMPRODUCT(--(UPPER(SUBSTITUTE(SUBSTITUTE(TRIM($AH$2:$AH$518),":",""),"-",""))=UPPER(SUBSTITUTE(SUBSTITUTE(TRIM($AH420),":",""),"-",""))),--(TRIM($AH$2:$AH$518)&lt;&gt;""),--(LOWER(TRIM($AH$2:$AH$518))&lt;&gt;"n/a"),--(LOWER(TRIM($AH$2:$AH$518))&lt;&gt;"na"))&gt;1),AND($AP420&lt;&gt;"",LOWER(TRIM($AP420))&lt;&gt;"n/a",LOWER(TRIM($AP420))&lt;&gt;"na",SUMPRODUCT(--(UPPER(TRIM($AP$2:$AP$518))=UPPER(TRIM($AP420))),--(TRIM($AP$2:$AP$518)&lt;&gt;""),--(LOWER(TRIM($AP$2:$AP$518))&lt;&gt;"n/a"),--(LOWER(TRIM($AP$2:$AP$518))&lt;&gt;"na"))&gt;1),AND($AQ420&lt;&gt;"",LOWER(TRIM($AQ420))&lt;&gt;"n/a",LOWER(TRIM($AQ420))&lt;&gt;"na",SUMPRODUCT(--(UPPER(TRIM($AQ$2:$AQ$518))=UPPER(TRIM($AQ420))),--(TRIM($AQ$2:$AQ$518)&lt;&gt;""),--(LOWER(TRIM($AQ$2:$AQ$518))&lt;&gt;"n/a"),--(LOWER(TRIM($AQ$2:$AQ$518))&lt;&gt;"na"))&gt;1)),"Yes","No"))</f>
        <v/>
      </c>
      <c r="F420">
        <f>IF(UPPER(TRIM($B420))&lt;&gt;"YES","", IF(OR(AND($V420&lt;&gt;"", LOWER(TRIM($V420))&lt;&gt;"n/a", LOWER(TRIM($V420))&lt;&gt;"na", SUMPRODUCT(--(UPPER(TRIM($V$2:$V$518))=UPPER(TRIM($V420))), --(UPPER(TRIM($B$2:$B$518))="YES"), --(UPPER(TRIM($G$2:$G$518)&amp;TRIM($I$2:$I$518)&amp;TRIM($J$2:$J$518))&lt;&gt;UPPER(TRIM($G420)&amp;TRIM($I420)&amp;TRIM($J420))))&gt;0), AND($W420&lt;&gt;"", LOWER(TRIM($W420))&lt;&gt;"n/a", LOWER(TRIM($W420))&lt;&gt;"na", SUMPRODUCT(--(UPPER(TRIM($W$2:$W$518))=UPPER(TRIM($W420))), --(UPPER(TRIM($B$2:$B$518))="YES"), --(UPPER(TRIM($G$2:$G$518)&amp;TRIM($I$2:$I$518)&amp;TRIM($J$2:$J$518))&lt;&gt;UPPER(TRIM($G420)&amp;TRIM($I420)&amp;TRIM($J420))))&gt;0), AND($X420&lt;&gt;"", LOWER(TRIM($X420))&lt;&gt;"n/a", LOWER(TRIM($X420))&lt;&gt;"na", SUMPRODUCT(--(UPPER(TRIM($X$2:$X$518))=UPPER(TRIM($X420))), --(UPPER(TRIM($B$2:$B$518))="YES"), --(UPPER(TRIM($G$2:$G$518)&amp;TRIM($I$2:$I$518)&amp;TRIM($J$2:$J$518))&lt;&gt;UPPER(TRIM($G420)&amp;TRIM($I420)&amp;TRIM($J420))))&gt;0), AND($Y420&lt;&gt;"", LOWER(TRIM($Y420))&lt;&gt;"n/a", LOWER(TRIM($Y420))&lt;&gt;"na", SUMPRODUCT(--(UPPER(SUBSTITUTE(SUBSTITUTE(TRIM($Y$2:$Y$518),":",""),"-",""))=UPPER(SUBSTITUTE(SUBSTITUTE(TRIM($Y420),":",""),"-",""))), --(UPPER(TRIM($B$2:$B$518))="YES"), --(UPPER(TRIM($G$2:$G$518)&amp;TRIM($I$2:$I$518)&amp;TRIM($J$2:$J$518))&lt;&gt;UPPER(TRIM($G420)&amp;TRIM($I420)&amp;TRIM($J420))))&gt;0), AND($AB420&lt;&gt;"", LOWER(TRIM($AB420))&lt;&gt;"n/a", LOWER(TRIM($AB420))&lt;&gt;"na", SUMPRODUCT(--(UPPER(TRIM($AB$2:$AB$518))=UPPER(TRIM($AB420))), --(UPPER(TRIM($B$2:$B$518))="YES"), --(UPPER(TRIM($G$2:$G$518)&amp;TRIM($I$2:$I$518)&amp;TRIM($J$2:$J$518))&lt;&gt;UPPER(TRIM($G420)&amp;TRIM($I420)&amp;TRIM($J420))))&gt;0), AND($AH420&lt;&gt;"", LOWER(TRIM($AH420))&lt;&gt;"n/a", LOWER(TRIM($AH420))&lt;&gt;"na", SUMPRODUCT(--(UPPER(SUBSTITUTE(SUBSTITUTE(TRIM($AH$2:$AH$518),":",""),"-",""))=UPPER(SUBSTITUTE(SUBSTITUTE(TRIM($AH420),":",""),"-",""))), --(UPPER(TRIM($B$2:$B$518))="YES"), --(UPPER(TRIM($G$2:$G$518)&amp;TRIM($I$2:$I$518)&amp;TRIM($J$2:$J$518))&lt;&gt;UPPER(TRIM($G420)&amp;TRIM($I420)&amp;TRIM($J420))))&gt;0), AND($AP420&lt;&gt;"", LOWER(TRIM($AP420))&lt;&gt;"n/a", LOWER(TRIM($AP420))&lt;&gt;"na", SUMPRODUCT(--(UPPER(TRIM($AP$2:$AP$518))=UPPER(TRIM($AP420))), --(UPPER(TRIM($B$2:$B$518))="YES"), --(UPPER(TRIM($G$2:$G$518)&amp;TRIM($I$2:$I$518)&amp;TRIM($J$2:$J$518))&lt;&gt;UPPER(TRIM($G420)&amp;TRIM($I420)&amp;TRIM($J420))))&gt;0), AND($AQ420&lt;&gt;"", LOWER(TRIM($AQ420))&lt;&gt;"n/a", LOWER(TRIM($AQ420))&lt;&gt;"na", SUMPRODUCT(--(UPPER(TRIM($AQ$2:$AQ$518))=UPPER(TRIM($AQ420))), --(UPPER(TRIM($B$2:$B$518))="YES"), --(UPPER(TRIM($G$2:$G$518)&amp;TRIM($I$2:$I$518)&amp;TRIM($J$2:$J$518))&lt;&gt;UPPER(TRIM($G420)&amp;TRIM($I420)&amp;TRIM($J420))))&gt;0)), "Yes", "No"))</f>
        <v/>
      </c>
      <c r="CD420">
        <f>IF($Y420="","",IF((IF(AND($BR420&lt;&gt;"Yes",$BR420&lt;&gt;"N/A"),"Power Cable, ","")&amp;IF(AND($BS420&lt;&gt;"Yes",$BS420&lt;&gt;"N/A"),"Battery, ","")&amp;IF(AND($AD420&lt;&gt;"Yes",$AD420&lt;&gt;"N/A"),"Firmware Download, ","")&amp;IF(AND(OR($AD420="Yes",$AD420="N/A"),$AE420&lt;&gt;"Yes",$AE420&lt;&gt;"N/A"),"Firmware Install, ","")&amp;IF(AND($CB420&lt;&gt;"Yes",$CB420&lt;&gt;"N/A"),"Device ID, ","")&amp;IF(AND($CC420&lt;&gt;"Yes",$CC420&lt;&gt;"N/A"),"Epic Beans Relay, ",""))="","",LEFT(IF(AND($BR420&lt;&gt;"Yes",$BR420&lt;&gt;"N/A"),"Power Cable, ","")&amp;IF(AND($BS420&lt;&gt;"Yes",$BS420&lt;&gt;"N/A"),"Battery, ","")&amp;IF(AND($AD420&lt;&gt;"Yes",$AD420&lt;&gt;"N/A"),"Firmware Download, ","")&amp;IF(AND(OR($AD420="Yes",$AD420="N/A"),$AE420&lt;&gt;"Yes",$AE420&lt;&gt;"N/A"),"Firmware Install, ","")&amp;IF(AND($CB420&lt;&gt;"Yes",$CB420&lt;&gt;"N/A"),"Device ID, ","")&amp;IF(AND($CC420&lt;&gt;"Yes",$CC420&lt;&gt;"N/A"),"Epic Beans Relay, ",""),LEN(IF(AND($BR420&lt;&gt;"Yes",$BR420&lt;&gt;"N/A"),"Power Cable, ","")&amp;IF(AND($BS420&lt;&gt;"Yes",$BS420&lt;&gt;"N/A"),"Battery, ","")&amp;IF(AND($AD420&lt;&gt;"Yes",$AD420&lt;&gt;"N/A"),"Firmware Download, ","")&amp;IF(AND(OR($AD420="Yes",$AD420="N/A"),$AE420&lt;&gt;"Yes",$AE420&lt;&gt;"N/A"),"Firmware Install, ","")&amp;IF(AND($CB420&lt;&gt;"Yes",$CB420&lt;&gt;"N/A"),"Device ID, ","")&amp;IF(AND($CC420&lt;&gt;"Yes",$CC420&lt;&gt;"N/A"),"Epic Beans Relay, ",""))-2)))</f>
        <v/>
      </c>
      <c r="CE420">
        <f>IF($Y420="","",IF($CD420="","Yes","Blocked"))</f>
        <v/>
      </c>
      <c r="CP420">
        <f>IF($CO420="","",IFERROR(VLOOKUP($CO420,'01_Warehouse_Ledger'!$A:$N,4,FALSE),""))</f>
        <v/>
      </c>
      <c r="CQ420">
        <f>IF($CO420="","",IFERROR(VLOOKUP($CO420,'01_Warehouse_Ledger'!$A:$N,5,FALSE),""))</f>
        <v/>
      </c>
      <c r="CR420">
        <f>IF($CO420="","",IFERROR(VLOOKUP($CO420,'01_Warehouse_Ledger'!$A:$N,13,FALSE),""))</f>
        <v/>
      </c>
      <c r="CW420">
        <f>IF($S420="","",IF(UPPER(TRIM($S420))&lt;&gt;"PASS","",IF(LEN(TRIM($BY420))&gt;0,"NOTES_PRESENT",IF(LEN(TRIM($T420))=0,"SET_NA",IF(OR(LOWER(TRIM($T420))="na",LOWER(TRIM($T420))="n/a"),"OK","MANUAL_OVERRIDE")))))</f>
        <v/>
      </c>
    </row>
    <row r="421">
      <c r="B421" t="inlineStr">
        <is>
          <t>No</t>
        </is>
      </c>
      <c r="C421" t="inlineStr">
        <is>
          <t>No</t>
        </is>
      </c>
      <c r="D421">
        <f>IF($B421&lt;&gt;"Yes","",IF($C421="No","Yes",IF($C421="Yes","No","")))</f>
        <v/>
      </c>
      <c r="E421">
        <f>IF($A421="","",IF(OR(AND($V421&lt;&gt;"",LOWER(TRIM($V421))&lt;&gt;"n/a",LOWER(TRIM($V421))&lt;&gt;"na",SUMPRODUCT(--(UPPER(TRIM($V$2:$V$518))=UPPER(TRIM($V421))),--(TRIM($V$2:$V$518)&lt;&gt;""),--(LOWER(TRIM($V$2:$V$518))&lt;&gt;"n/a"),--(LOWER(TRIM($V$2:$V$518))&lt;&gt;"na"))&gt;1),AND($W421&lt;&gt;"",LOWER(TRIM($W421))&lt;&gt;"n/a",LOWER(TRIM($W421))&lt;&gt;"na",SUMPRODUCT(--(UPPER(TRIM($W$2:$W$518))=UPPER(TRIM($W421))),--(TRIM($W$2:$W$518)&lt;&gt;""),--(LOWER(TRIM($W$2:$W$518))&lt;&gt;"n/a"),--(LOWER(TRIM($W$2:$W$518))&lt;&gt;"na"))&gt;1),AND($X421&lt;&gt;"",LOWER(TRIM($X421))&lt;&gt;"n/a",LOWER(TRIM($X421))&lt;&gt;"na",SUMPRODUCT(--(UPPER(TRIM($X$2:$X$518))=UPPER(TRIM($X421))),--(TRIM($X$2:$X$518)&lt;&gt;""),--(LOWER(TRIM($X$2:$X$518))&lt;&gt;"n/a"),--(LOWER(TRIM($X$2:$X$518))&lt;&gt;"na"))&gt;1),AND($Y421&lt;&gt;"",LOWER(TRIM($Y421))&lt;&gt;"n/a",LOWER(TRIM($Y421))&lt;&gt;"na",SUMPRODUCT(--(UPPER(SUBSTITUTE(SUBSTITUTE(TRIM($Y$2:$Y$518),":",""),"-",""))=UPPER(SUBSTITUTE(SUBSTITUTE(TRIM($Y421),":",""),"-",""))),--(TRIM($Y$2:$Y$518)&lt;&gt;""),--(LOWER(TRIM($Y$2:$Y$518))&lt;&gt;"n/a"),--(LOWER(TRIM($Y$2:$Y$518))&lt;&gt;"na"))&gt;1),AND($AB421&lt;&gt;"",LOWER(TRIM($AB421))&lt;&gt;"n/a",LOWER(TRIM($AB421))&lt;&gt;"na",SUMPRODUCT(--(UPPER(TRIM($AB$2:$AB$518))=UPPER(TRIM($AB421))),--(TRIM($AB$2:$AB$518)&lt;&gt;""),--(LOWER(TRIM($AB$2:$AB$518))&lt;&gt;"n/a"),--(LOWER(TRIM($AB$2:$AB$518))&lt;&gt;"na"))&gt;1),AND($AH421&lt;&gt;"",LOWER(TRIM($AH421))&lt;&gt;"n/a",LOWER(TRIM($AH421))&lt;&gt;"na",SUMPRODUCT(--(UPPER(SUBSTITUTE(SUBSTITUTE(TRIM($AH$2:$AH$518),":",""),"-",""))=UPPER(SUBSTITUTE(SUBSTITUTE(TRIM($AH421),":",""),"-",""))),--(TRIM($AH$2:$AH$518)&lt;&gt;""),--(LOWER(TRIM($AH$2:$AH$518))&lt;&gt;"n/a"),--(LOWER(TRIM($AH$2:$AH$518))&lt;&gt;"na"))&gt;1),AND($AP421&lt;&gt;"",LOWER(TRIM($AP421))&lt;&gt;"n/a",LOWER(TRIM($AP421))&lt;&gt;"na",SUMPRODUCT(--(UPPER(TRIM($AP$2:$AP$518))=UPPER(TRIM($AP421))),--(TRIM($AP$2:$AP$518)&lt;&gt;""),--(LOWER(TRIM($AP$2:$AP$518))&lt;&gt;"n/a"),--(LOWER(TRIM($AP$2:$AP$518))&lt;&gt;"na"))&gt;1),AND($AQ421&lt;&gt;"",LOWER(TRIM($AQ421))&lt;&gt;"n/a",LOWER(TRIM($AQ421))&lt;&gt;"na",SUMPRODUCT(--(UPPER(TRIM($AQ$2:$AQ$518))=UPPER(TRIM($AQ421))),--(TRIM($AQ$2:$AQ$518)&lt;&gt;""),--(LOWER(TRIM($AQ$2:$AQ$518))&lt;&gt;"n/a"),--(LOWER(TRIM($AQ$2:$AQ$518))&lt;&gt;"na"))&gt;1)),"Yes","No"))</f>
        <v/>
      </c>
      <c r="F421">
        <f>IF(UPPER(TRIM($B421))&lt;&gt;"YES","", IF(OR(AND($V421&lt;&gt;"", LOWER(TRIM($V421))&lt;&gt;"n/a", LOWER(TRIM($V421))&lt;&gt;"na", SUMPRODUCT(--(UPPER(TRIM($V$2:$V$518))=UPPER(TRIM($V421))), --(UPPER(TRIM($B$2:$B$518))="YES"), --(UPPER(TRIM($G$2:$G$518)&amp;TRIM($I$2:$I$518)&amp;TRIM($J$2:$J$518))&lt;&gt;UPPER(TRIM($G421)&amp;TRIM($I421)&amp;TRIM($J421))))&gt;0), AND($W421&lt;&gt;"", LOWER(TRIM($W421))&lt;&gt;"n/a", LOWER(TRIM($W421))&lt;&gt;"na", SUMPRODUCT(--(UPPER(TRIM($W$2:$W$518))=UPPER(TRIM($W421))), --(UPPER(TRIM($B$2:$B$518))="YES"), --(UPPER(TRIM($G$2:$G$518)&amp;TRIM($I$2:$I$518)&amp;TRIM($J$2:$J$518))&lt;&gt;UPPER(TRIM($G421)&amp;TRIM($I421)&amp;TRIM($J421))))&gt;0), AND($X421&lt;&gt;"", LOWER(TRIM($X421))&lt;&gt;"n/a", LOWER(TRIM($X421))&lt;&gt;"na", SUMPRODUCT(--(UPPER(TRIM($X$2:$X$518))=UPPER(TRIM($X421))), --(UPPER(TRIM($B$2:$B$518))="YES"), --(UPPER(TRIM($G$2:$G$518)&amp;TRIM($I$2:$I$518)&amp;TRIM($J$2:$J$518))&lt;&gt;UPPER(TRIM($G421)&amp;TRIM($I421)&amp;TRIM($J421))))&gt;0), AND($Y421&lt;&gt;"", LOWER(TRIM($Y421))&lt;&gt;"n/a", LOWER(TRIM($Y421))&lt;&gt;"na", SUMPRODUCT(--(UPPER(SUBSTITUTE(SUBSTITUTE(TRIM($Y$2:$Y$518),":",""),"-",""))=UPPER(SUBSTITUTE(SUBSTITUTE(TRIM($Y421),":",""),"-",""))), --(UPPER(TRIM($B$2:$B$518))="YES"), --(UPPER(TRIM($G$2:$G$518)&amp;TRIM($I$2:$I$518)&amp;TRIM($J$2:$J$518))&lt;&gt;UPPER(TRIM($G421)&amp;TRIM($I421)&amp;TRIM($J421))))&gt;0), AND($AB421&lt;&gt;"", LOWER(TRIM($AB421))&lt;&gt;"n/a", LOWER(TRIM($AB421))&lt;&gt;"na", SUMPRODUCT(--(UPPER(TRIM($AB$2:$AB$518))=UPPER(TRIM($AB421))), --(UPPER(TRIM($B$2:$B$518))="YES"), --(UPPER(TRIM($G$2:$G$518)&amp;TRIM($I$2:$I$518)&amp;TRIM($J$2:$J$518))&lt;&gt;UPPER(TRIM($G421)&amp;TRIM($I421)&amp;TRIM($J421))))&gt;0), AND($AH421&lt;&gt;"", LOWER(TRIM($AH421))&lt;&gt;"n/a", LOWER(TRIM($AH421))&lt;&gt;"na", SUMPRODUCT(--(UPPER(SUBSTITUTE(SUBSTITUTE(TRIM($AH$2:$AH$518),":",""),"-",""))=UPPER(SUBSTITUTE(SUBSTITUTE(TRIM($AH421),":",""),"-",""))), --(UPPER(TRIM($B$2:$B$518))="YES"), --(UPPER(TRIM($G$2:$G$518)&amp;TRIM($I$2:$I$518)&amp;TRIM($J$2:$J$518))&lt;&gt;UPPER(TRIM($G421)&amp;TRIM($I421)&amp;TRIM($J421))))&gt;0), AND($AP421&lt;&gt;"", LOWER(TRIM($AP421))&lt;&gt;"n/a", LOWER(TRIM($AP421))&lt;&gt;"na", SUMPRODUCT(--(UPPER(TRIM($AP$2:$AP$518))=UPPER(TRIM($AP421))), --(UPPER(TRIM($B$2:$B$518))="YES"), --(UPPER(TRIM($G$2:$G$518)&amp;TRIM($I$2:$I$518)&amp;TRIM($J$2:$J$518))&lt;&gt;UPPER(TRIM($G421)&amp;TRIM($I421)&amp;TRIM($J421))))&gt;0), AND($AQ421&lt;&gt;"", LOWER(TRIM($AQ421))&lt;&gt;"n/a", LOWER(TRIM($AQ421))&lt;&gt;"na", SUMPRODUCT(--(UPPER(TRIM($AQ$2:$AQ$518))=UPPER(TRIM($AQ421))), --(UPPER(TRIM($B$2:$B$518))="YES"), --(UPPER(TRIM($G$2:$G$518)&amp;TRIM($I$2:$I$518)&amp;TRIM($J$2:$J$518))&lt;&gt;UPPER(TRIM($G421)&amp;TRIM($I421)&amp;TRIM($J421))))&gt;0)), "Yes", "No"))</f>
        <v/>
      </c>
      <c r="CD421">
        <f>IF($Y421="","",IF((IF(AND($BR421&lt;&gt;"Yes",$BR421&lt;&gt;"N/A"),"Power Cable, ","")&amp;IF(AND($BS421&lt;&gt;"Yes",$BS421&lt;&gt;"N/A"),"Battery, ","")&amp;IF(AND($AD421&lt;&gt;"Yes",$AD421&lt;&gt;"N/A"),"Firmware Download, ","")&amp;IF(AND(OR($AD421="Yes",$AD421="N/A"),$AE421&lt;&gt;"Yes",$AE421&lt;&gt;"N/A"),"Firmware Install, ","")&amp;IF(AND($CB421&lt;&gt;"Yes",$CB421&lt;&gt;"N/A"),"Device ID, ","")&amp;IF(AND($CC421&lt;&gt;"Yes",$CC421&lt;&gt;"N/A"),"Epic Beans Relay, ",""))="","",LEFT(IF(AND($BR421&lt;&gt;"Yes",$BR421&lt;&gt;"N/A"),"Power Cable, ","")&amp;IF(AND($BS421&lt;&gt;"Yes",$BS421&lt;&gt;"N/A"),"Battery, ","")&amp;IF(AND($AD421&lt;&gt;"Yes",$AD421&lt;&gt;"N/A"),"Firmware Download, ","")&amp;IF(AND(OR($AD421="Yes",$AD421="N/A"),$AE421&lt;&gt;"Yes",$AE421&lt;&gt;"N/A"),"Firmware Install, ","")&amp;IF(AND($CB421&lt;&gt;"Yes",$CB421&lt;&gt;"N/A"),"Device ID, ","")&amp;IF(AND($CC421&lt;&gt;"Yes",$CC421&lt;&gt;"N/A"),"Epic Beans Relay, ",""),LEN(IF(AND($BR421&lt;&gt;"Yes",$BR421&lt;&gt;"N/A"),"Power Cable, ","")&amp;IF(AND($BS421&lt;&gt;"Yes",$BS421&lt;&gt;"N/A"),"Battery, ","")&amp;IF(AND($AD421&lt;&gt;"Yes",$AD421&lt;&gt;"N/A"),"Firmware Download, ","")&amp;IF(AND(OR($AD421="Yes",$AD421="N/A"),$AE421&lt;&gt;"Yes",$AE421&lt;&gt;"N/A"),"Firmware Install, ","")&amp;IF(AND($CB421&lt;&gt;"Yes",$CB421&lt;&gt;"N/A"),"Device ID, ","")&amp;IF(AND($CC421&lt;&gt;"Yes",$CC421&lt;&gt;"N/A"),"Epic Beans Relay, ",""))-2)))</f>
        <v/>
      </c>
      <c r="CE421">
        <f>IF($Y421="","",IF($CD421="","Yes","Blocked"))</f>
        <v/>
      </c>
      <c r="CP421">
        <f>IF($CO421="","",IFERROR(VLOOKUP($CO421,'01_Warehouse_Ledger'!$A:$N,4,FALSE),""))</f>
        <v/>
      </c>
      <c r="CQ421">
        <f>IF($CO421="","",IFERROR(VLOOKUP($CO421,'01_Warehouse_Ledger'!$A:$N,5,FALSE),""))</f>
        <v/>
      </c>
      <c r="CR421">
        <f>IF($CO421="","",IFERROR(VLOOKUP($CO421,'01_Warehouse_Ledger'!$A:$N,13,FALSE),""))</f>
        <v/>
      </c>
      <c r="CW421">
        <f>IF($S421="","",IF(UPPER(TRIM($S421))&lt;&gt;"PASS","",IF(LEN(TRIM($BY421))&gt;0,"NOTES_PRESENT",IF(LEN(TRIM($T421))=0,"SET_NA",IF(OR(LOWER(TRIM($T421))="na",LOWER(TRIM($T421))="n/a"),"OK","MANUAL_OVERRIDE")))))</f>
        <v/>
      </c>
    </row>
    <row r="422">
      <c r="B422" t="inlineStr">
        <is>
          <t>No</t>
        </is>
      </c>
      <c r="C422" t="inlineStr">
        <is>
          <t>No</t>
        </is>
      </c>
      <c r="D422">
        <f>IF($B422&lt;&gt;"Yes","",IF($C422="No","Yes",IF($C422="Yes","No","")))</f>
        <v/>
      </c>
      <c r="E422">
        <f>IF($A422="","",IF(OR(AND($V422&lt;&gt;"",LOWER(TRIM($V422))&lt;&gt;"n/a",LOWER(TRIM($V422))&lt;&gt;"na",SUMPRODUCT(--(UPPER(TRIM($V$2:$V$518))=UPPER(TRIM($V422))),--(TRIM($V$2:$V$518)&lt;&gt;""),--(LOWER(TRIM($V$2:$V$518))&lt;&gt;"n/a"),--(LOWER(TRIM($V$2:$V$518))&lt;&gt;"na"))&gt;1),AND($W422&lt;&gt;"",LOWER(TRIM($W422))&lt;&gt;"n/a",LOWER(TRIM($W422))&lt;&gt;"na",SUMPRODUCT(--(UPPER(TRIM($W$2:$W$518))=UPPER(TRIM($W422))),--(TRIM($W$2:$W$518)&lt;&gt;""),--(LOWER(TRIM($W$2:$W$518))&lt;&gt;"n/a"),--(LOWER(TRIM($W$2:$W$518))&lt;&gt;"na"))&gt;1),AND($X422&lt;&gt;"",LOWER(TRIM($X422))&lt;&gt;"n/a",LOWER(TRIM($X422))&lt;&gt;"na",SUMPRODUCT(--(UPPER(TRIM($X$2:$X$518))=UPPER(TRIM($X422))),--(TRIM($X$2:$X$518)&lt;&gt;""),--(LOWER(TRIM($X$2:$X$518))&lt;&gt;"n/a"),--(LOWER(TRIM($X$2:$X$518))&lt;&gt;"na"))&gt;1),AND($Y422&lt;&gt;"",LOWER(TRIM($Y422))&lt;&gt;"n/a",LOWER(TRIM($Y422))&lt;&gt;"na",SUMPRODUCT(--(UPPER(SUBSTITUTE(SUBSTITUTE(TRIM($Y$2:$Y$518),":",""),"-",""))=UPPER(SUBSTITUTE(SUBSTITUTE(TRIM($Y422),":",""),"-",""))),--(TRIM($Y$2:$Y$518)&lt;&gt;""),--(LOWER(TRIM($Y$2:$Y$518))&lt;&gt;"n/a"),--(LOWER(TRIM($Y$2:$Y$518))&lt;&gt;"na"))&gt;1),AND($AB422&lt;&gt;"",LOWER(TRIM($AB422))&lt;&gt;"n/a",LOWER(TRIM($AB422))&lt;&gt;"na",SUMPRODUCT(--(UPPER(TRIM($AB$2:$AB$518))=UPPER(TRIM($AB422))),--(TRIM($AB$2:$AB$518)&lt;&gt;""),--(LOWER(TRIM($AB$2:$AB$518))&lt;&gt;"n/a"),--(LOWER(TRIM($AB$2:$AB$518))&lt;&gt;"na"))&gt;1),AND($AH422&lt;&gt;"",LOWER(TRIM($AH422))&lt;&gt;"n/a",LOWER(TRIM($AH422))&lt;&gt;"na",SUMPRODUCT(--(UPPER(SUBSTITUTE(SUBSTITUTE(TRIM($AH$2:$AH$518),":",""),"-",""))=UPPER(SUBSTITUTE(SUBSTITUTE(TRIM($AH422),":",""),"-",""))),--(TRIM($AH$2:$AH$518)&lt;&gt;""),--(LOWER(TRIM($AH$2:$AH$518))&lt;&gt;"n/a"),--(LOWER(TRIM($AH$2:$AH$518))&lt;&gt;"na"))&gt;1),AND($AP422&lt;&gt;"",LOWER(TRIM($AP422))&lt;&gt;"n/a",LOWER(TRIM($AP422))&lt;&gt;"na",SUMPRODUCT(--(UPPER(TRIM($AP$2:$AP$518))=UPPER(TRIM($AP422))),--(TRIM($AP$2:$AP$518)&lt;&gt;""),--(LOWER(TRIM($AP$2:$AP$518))&lt;&gt;"n/a"),--(LOWER(TRIM($AP$2:$AP$518))&lt;&gt;"na"))&gt;1),AND($AQ422&lt;&gt;"",LOWER(TRIM($AQ422))&lt;&gt;"n/a",LOWER(TRIM($AQ422))&lt;&gt;"na",SUMPRODUCT(--(UPPER(TRIM($AQ$2:$AQ$518))=UPPER(TRIM($AQ422))),--(TRIM($AQ$2:$AQ$518)&lt;&gt;""),--(LOWER(TRIM($AQ$2:$AQ$518))&lt;&gt;"n/a"),--(LOWER(TRIM($AQ$2:$AQ$518))&lt;&gt;"na"))&gt;1)),"Yes","No"))</f>
        <v/>
      </c>
      <c r="F422">
        <f>IF(UPPER(TRIM($B422))&lt;&gt;"YES","", IF(OR(AND($V422&lt;&gt;"", LOWER(TRIM($V422))&lt;&gt;"n/a", LOWER(TRIM($V422))&lt;&gt;"na", SUMPRODUCT(--(UPPER(TRIM($V$2:$V$518))=UPPER(TRIM($V422))), --(UPPER(TRIM($B$2:$B$518))="YES"), --(UPPER(TRIM($G$2:$G$518)&amp;TRIM($I$2:$I$518)&amp;TRIM($J$2:$J$518))&lt;&gt;UPPER(TRIM($G422)&amp;TRIM($I422)&amp;TRIM($J422))))&gt;0), AND($W422&lt;&gt;"", LOWER(TRIM($W422))&lt;&gt;"n/a", LOWER(TRIM($W422))&lt;&gt;"na", SUMPRODUCT(--(UPPER(TRIM($W$2:$W$518))=UPPER(TRIM($W422))), --(UPPER(TRIM($B$2:$B$518))="YES"), --(UPPER(TRIM($G$2:$G$518)&amp;TRIM($I$2:$I$518)&amp;TRIM($J$2:$J$518))&lt;&gt;UPPER(TRIM($G422)&amp;TRIM($I422)&amp;TRIM($J422))))&gt;0), AND($X422&lt;&gt;"", LOWER(TRIM($X422))&lt;&gt;"n/a", LOWER(TRIM($X422))&lt;&gt;"na", SUMPRODUCT(--(UPPER(TRIM($X$2:$X$518))=UPPER(TRIM($X422))), --(UPPER(TRIM($B$2:$B$518))="YES"), --(UPPER(TRIM($G$2:$G$518)&amp;TRIM($I$2:$I$518)&amp;TRIM($J$2:$J$518))&lt;&gt;UPPER(TRIM($G422)&amp;TRIM($I422)&amp;TRIM($J422))))&gt;0), AND($Y422&lt;&gt;"", LOWER(TRIM($Y422))&lt;&gt;"n/a", LOWER(TRIM($Y422))&lt;&gt;"na", SUMPRODUCT(--(UPPER(SUBSTITUTE(SUBSTITUTE(TRIM($Y$2:$Y$518),":",""),"-",""))=UPPER(SUBSTITUTE(SUBSTITUTE(TRIM($Y422),":",""),"-",""))), --(UPPER(TRIM($B$2:$B$518))="YES"), --(UPPER(TRIM($G$2:$G$518)&amp;TRIM($I$2:$I$518)&amp;TRIM($J$2:$J$518))&lt;&gt;UPPER(TRIM($G422)&amp;TRIM($I422)&amp;TRIM($J422))))&gt;0), AND($AB422&lt;&gt;"", LOWER(TRIM($AB422))&lt;&gt;"n/a", LOWER(TRIM($AB422))&lt;&gt;"na", SUMPRODUCT(--(UPPER(TRIM($AB$2:$AB$518))=UPPER(TRIM($AB422))), --(UPPER(TRIM($B$2:$B$518))="YES"), --(UPPER(TRIM($G$2:$G$518)&amp;TRIM($I$2:$I$518)&amp;TRIM($J$2:$J$518))&lt;&gt;UPPER(TRIM($G422)&amp;TRIM($I422)&amp;TRIM($J422))))&gt;0), AND($AH422&lt;&gt;"", LOWER(TRIM($AH422))&lt;&gt;"n/a", LOWER(TRIM($AH422))&lt;&gt;"na", SUMPRODUCT(--(UPPER(SUBSTITUTE(SUBSTITUTE(TRIM($AH$2:$AH$518),":",""),"-",""))=UPPER(SUBSTITUTE(SUBSTITUTE(TRIM($AH422),":",""),"-",""))), --(UPPER(TRIM($B$2:$B$518))="YES"), --(UPPER(TRIM($G$2:$G$518)&amp;TRIM($I$2:$I$518)&amp;TRIM($J$2:$J$518))&lt;&gt;UPPER(TRIM($G422)&amp;TRIM($I422)&amp;TRIM($J422))))&gt;0), AND($AP422&lt;&gt;"", LOWER(TRIM($AP422))&lt;&gt;"n/a", LOWER(TRIM($AP422))&lt;&gt;"na", SUMPRODUCT(--(UPPER(TRIM($AP$2:$AP$518))=UPPER(TRIM($AP422))), --(UPPER(TRIM($B$2:$B$518))="YES"), --(UPPER(TRIM($G$2:$G$518)&amp;TRIM($I$2:$I$518)&amp;TRIM($J$2:$J$518))&lt;&gt;UPPER(TRIM($G422)&amp;TRIM($I422)&amp;TRIM($J422))))&gt;0), AND($AQ422&lt;&gt;"", LOWER(TRIM($AQ422))&lt;&gt;"n/a", LOWER(TRIM($AQ422))&lt;&gt;"na", SUMPRODUCT(--(UPPER(TRIM($AQ$2:$AQ$518))=UPPER(TRIM($AQ422))), --(UPPER(TRIM($B$2:$B$518))="YES"), --(UPPER(TRIM($G$2:$G$518)&amp;TRIM($I$2:$I$518)&amp;TRIM($J$2:$J$518))&lt;&gt;UPPER(TRIM($G422)&amp;TRIM($I422)&amp;TRIM($J422))))&gt;0)), "Yes", "No"))</f>
        <v/>
      </c>
      <c r="CD422">
        <f>IF($Y422="","",IF((IF(AND($BR422&lt;&gt;"Yes",$BR422&lt;&gt;"N/A"),"Power Cable, ","")&amp;IF(AND($BS422&lt;&gt;"Yes",$BS422&lt;&gt;"N/A"),"Battery, ","")&amp;IF(AND($AD422&lt;&gt;"Yes",$AD422&lt;&gt;"N/A"),"Firmware Download, ","")&amp;IF(AND(OR($AD422="Yes",$AD422="N/A"),$AE422&lt;&gt;"Yes",$AE422&lt;&gt;"N/A"),"Firmware Install, ","")&amp;IF(AND($CB422&lt;&gt;"Yes",$CB422&lt;&gt;"N/A"),"Device ID, ","")&amp;IF(AND($CC422&lt;&gt;"Yes",$CC422&lt;&gt;"N/A"),"Epic Beans Relay, ",""))="","",LEFT(IF(AND($BR422&lt;&gt;"Yes",$BR422&lt;&gt;"N/A"),"Power Cable, ","")&amp;IF(AND($BS422&lt;&gt;"Yes",$BS422&lt;&gt;"N/A"),"Battery, ","")&amp;IF(AND($AD422&lt;&gt;"Yes",$AD422&lt;&gt;"N/A"),"Firmware Download, ","")&amp;IF(AND(OR($AD422="Yes",$AD422="N/A"),$AE422&lt;&gt;"Yes",$AE422&lt;&gt;"N/A"),"Firmware Install, ","")&amp;IF(AND($CB422&lt;&gt;"Yes",$CB422&lt;&gt;"N/A"),"Device ID, ","")&amp;IF(AND($CC422&lt;&gt;"Yes",$CC422&lt;&gt;"N/A"),"Epic Beans Relay, ",""),LEN(IF(AND($BR422&lt;&gt;"Yes",$BR422&lt;&gt;"N/A"),"Power Cable, ","")&amp;IF(AND($BS422&lt;&gt;"Yes",$BS422&lt;&gt;"N/A"),"Battery, ","")&amp;IF(AND($AD422&lt;&gt;"Yes",$AD422&lt;&gt;"N/A"),"Firmware Download, ","")&amp;IF(AND(OR($AD422="Yes",$AD422="N/A"),$AE422&lt;&gt;"Yes",$AE422&lt;&gt;"N/A"),"Firmware Install, ","")&amp;IF(AND($CB422&lt;&gt;"Yes",$CB422&lt;&gt;"N/A"),"Device ID, ","")&amp;IF(AND($CC422&lt;&gt;"Yes",$CC422&lt;&gt;"N/A"),"Epic Beans Relay, ",""))-2)))</f>
        <v/>
      </c>
      <c r="CE422">
        <f>IF($Y422="","",IF($CD422="","Yes","Blocked"))</f>
        <v/>
      </c>
      <c r="CP422">
        <f>IF($CO422="","",IFERROR(VLOOKUP($CO422,'01_Warehouse_Ledger'!$A:$N,4,FALSE),""))</f>
        <v/>
      </c>
      <c r="CQ422">
        <f>IF($CO422="","",IFERROR(VLOOKUP($CO422,'01_Warehouse_Ledger'!$A:$N,5,FALSE),""))</f>
        <v/>
      </c>
      <c r="CR422">
        <f>IF($CO422="","",IFERROR(VLOOKUP($CO422,'01_Warehouse_Ledger'!$A:$N,13,FALSE),""))</f>
        <v/>
      </c>
      <c r="CW422">
        <f>IF($S422="","",IF(UPPER(TRIM($S422))&lt;&gt;"PASS","",IF(LEN(TRIM($BY422))&gt;0,"NOTES_PRESENT",IF(LEN(TRIM($T422))=0,"SET_NA",IF(OR(LOWER(TRIM($T422))="na",LOWER(TRIM($T422))="n/a"),"OK","MANUAL_OVERRIDE")))))</f>
        <v/>
      </c>
    </row>
    <row r="423">
      <c r="B423" t="inlineStr">
        <is>
          <t>No</t>
        </is>
      </c>
      <c r="C423" t="inlineStr">
        <is>
          <t>No</t>
        </is>
      </c>
      <c r="D423">
        <f>IF($B423&lt;&gt;"Yes","",IF($C423="No","Yes",IF($C423="Yes","No","")))</f>
        <v/>
      </c>
      <c r="E423">
        <f>IF($A423="","",IF(OR(AND($V423&lt;&gt;"",LOWER(TRIM($V423))&lt;&gt;"n/a",LOWER(TRIM($V423))&lt;&gt;"na",SUMPRODUCT(--(UPPER(TRIM($V$2:$V$518))=UPPER(TRIM($V423))),--(TRIM($V$2:$V$518)&lt;&gt;""),--(LOWER(TRIM($V$2:$V$518))&lt;&gt;"n/a"),--(LOWER(TRIM($V$2:$V$518))&lt;&gt;"na"))&gt;1),AND($W423&lt;&gt;"",LOWER(TRIM($W423))&lt;&gt;"n/a",LOWER(TRIM($W423))&lt;&gt;"na",SUMPRODUCT(--(UPPER(TRIM($W$2:$W$518))=UPPER(TRIM($W423))),--(TRIM($W$2:$W$518)&lt;&gt;""),--(LOWER(TRIM($W$2:$W$518))&lt;&gt;"n/a"),--(LOWER(TRIM($W$2:$W$518))&lt;&gt;"na"))&gt;1),AND($X423&lt;&gt;"",LOWER(TRIM($X423))&lt;&gt;"n/a",LOWER(TRIM($X423))&lt;&gt;"na",SUMPRODUCT(--(UPPER(TRIM($X$2:$X$518))=UPPER(TRIM($X423))),--(TRIM($X$2:$X$518)&lt;&gt;""),--(LOWER(TRIM($X$2:$X$518))&lt;&gt;"n/a"),--(LOWER(TRIM($X$2:$X$518))&lt;&gt;"na"))&gt;1),AND($Y423&lt;&gt;"",LOWER(TRIM($Y423))&lt;&gt;"n/a",LOWER(TRIM($Y423))&lt;&gt;"na",SUMPRODUCT(--(UPPER(SUBSTITUTE(SUBSTITUTE(TRIM($Y$2:$Y$518),":",""),"-",""))=UPPER(SUBSTITUTE(SUBSTITUTE(TRIM($Y423),":",""),"-",""))),--(TRIM($Y$2:$Y$518)&lt;&gt;""),--(LOWER(TRIM($Y$2:$Y$518))&lt;&gt;"n/a"),--(LOWER(TRIM($Y$2:$Y$518))&lt;&gt;"na"))&gt;1),AND($AB423&lt;&gt;"",LOWER(TRIM($AB423))&lt;&gt;"n/a",LOWER(TRIM($AB423))&lt;&gt;"na",SUMPRODUCT(--(UPPER(TRIM($AB$2:$AB$518))=UPPER(TRIM($AB423))),--(TRIM($AB$2:$AB$518)&lt;&gt;""),--(LOWER(TRIM($AB$2:$AB$518))&lt;&gt;"n/a"),--(LOWER(TRIM($AB$2:$AB$518))&lt;&gt;"na"))&gt;1),AND($AH423&lt;&gt;"",LOWER(TRIM($AH423))&lt;&gt;"n/a",LOWER(TRIM($AH423))&lt;&gt;"na",SUMPRODUCT(--(UPPER(SUBSTITUTE(SUBSTITUTE(TRIM($AH$2:$AH$518),":",""),"-",""))=UPPER(SUBSTITUTE(SUBSTITUTE(TRIM($AH423),":",""),"-",""))),--(TRIM($AH$2:$AH$518)&lt;&gt;""),--(LOWER(TRIM($AH$2:$AH$518))&lt;&gt;"n/a"),--(LOWER(TRIM($AH$2:$AH$518))&lt;&gt;"na"))&gt;1),AND($AP423&lt;&gt;"",LOWER(TRIM($AP423))&lt;&gt;"n/a",LOWER(TRIM($AP423))&lt;&gt;"na",SUMPRODUCT(--(UPPER(TRIM($AP$2:$AP$518))=UPPER(TRIM($AP423))),--(TRIM($AP$2:$AP$518)&lt;&gt;""),--(LOWER(TRIM($AP$2:$AP$518))&lt;&gt;"n/a"),--(LOWER(TRIM($AP$2:$AP$518))&lt;&gt;"na"))&gt;1),AND($AQ423&lt;&gt;"",LOWER(TRIM($AQ423))&lt;&gt;"n/a",LOWER(TRIM($AQ423))&lt;&gt;"na",SUMPRODUCT(--(UPPER(TRIM($AQ$2:$AQ$518))=UPPER(TRIM($AQ423))),--(TRIM($AQ$2:$AQ$518)&lt;&gt;""),--(LOWER(TRIM($AQ$2:$AQ$518))&lt;&gt;"n/a"),--(LOWER(TRIM($AQ$2:$AQ$518))&lt;&gt;"na"))&gt;1)),"Yes","No"))</f>
        <v/>
      </c>
      <c r="F423">
        <f>IF(UPPER(TRIM($B423))&lt;&gt;"YES","", IF(OR(AND($V423&lt;&gt;"", LOWER(TRIM($V423))&lt;&gt;"n/a", LOWER(TRIM($V423))&lt;&gt;"na", SUMPRODUCT(--(UPPER(TRIM($V$2:$V$518))=UPPER(TRIM($V423))), --(UPPER(TRIM($B$2:$B$518))="YES"), --(UPPER(TRIM($G$2:$G$518)&amp;TRIM($I$2:$I$518)&amp;TRIM($J$2:$J$518))&lt;&gt;UPPER(TRIM($G423)&amp;TRIM($I423)&amp;TRIM($J423))))&gt;0), AND($W423&lt;&gt;"", LOWER(TRIM($W423))&lt;&gt;"n/a", LOWER(TRIM($W423))&lt;&gt;"na", SUMPRODUCT(--(UPPER(TRIM($W$2:$W$518))=UPPER(TRIM($W423))), --(UPPER(TRIM($B$2:$B$518))="YES"), --(UPPER(TRIM($G$2:$G$518)&amp;TRIM($I$2:$I$518)&amp;TRIM($J$2:$J$518))&lt;&gt;UPPER(TRIM($G423)&amp;TRIM($I423)&amp;TRIM($J423))))&gt;0), AND($X423&lt;&gt;"", LOWER(TRIM($X423))&lt;&gt;"n/a", LOWER(TRIM($X423))&lt;&gt;"na", SUMPRODUCT(--(UPPER(TRIM($X$2:$X$518))=UPPER(TRIM($X423))), --(UPPER(TRIM($B$2:$B$518))="YES"), --(UPPER(TRIM($G$2:$G$518)&amp;TRIM($I$2:$I$518)&amp;TRIM($J$2:$J$518))&lt;&gt;UPPER(TRIM($G423)&amp;TRIM($I423)&amp;TRIM($J423))))&gt;0), AND($Y423&lt;&gt;"", LOWER(TRIM($Y423))&lt;&gt;"n/a", LOWER(TRIM($Y423))&lt;&gt;"na", SUMPRODUCT(--(UPPER(SUBSTITUTE(SUBSTITUTE(TRIM($Y$2:$Y$518),":",""),"-",""))=UPPER(SUBSTITUTE(SUBSTITUTE(TRIM($Y423),":",""),"-",""))), --(UPPER(TRIM($B$2:$B$518))="YES"), --(UPPER(TRIM($G$2:$G$518)&amp;TRIM($I$2:$I$518)&amp;TRIM($J$2:$J$518))&lt;&gt;UPPER(TRIM($G423)&amp;TRIM($I423)&amp;TRIM($J423))))&gt;0), AND($AB423&lt;&gt;"", LOWER(TRIM($AB423))&lt;&gt;"n/a", LOWER(TRIM($AB423))&lt;&gt;"na", SUMPRODUCT(--(UPPER(TRIM($AB$2:$AB$518))=UPPER(TRIM($AB423))), --(UPPER(TRIM($B$2:$B$518))="YES"), --(UPPER(TRIM($G$2:$G$518)&amp;TRIM($I$2:$I$518)&amp;TRIM($J$2:$J$518))&lt;&gt;UPPER(TRIM($G423)&amp;TRIM($I423)&amp;TRIM($J423))))&gt;0), AND($AH423&lt;&gt;"", LOWER(TRIM($AH423))&lt;&gt;"n/a", LOWER(TRIM($AH423))&lt;&gt;"na", SUMPRODUCT(--(UPPER(SUBSTITUTE(SUBSTITUTE(TRIM($AH$2:$AH$518),":",""),"-",""))=UPPER(SUBSTITUTE(SUBSTITUTE(TRIM($AH423),":",""),"-",""))), --(UPPER(TRIM($B$2:$B$518))="YES"), --(UPPER(TRIM($G$2:$G$518)&amp;TRIM($I$2:$I$518)&amp;TRIM($J$2:$J$518))&lt;&gt;UPPER(TRIM($G423)&amp;TRIM($I423)&amp;TRIM($J423))))&gt;0), AND($AP423&lt;&gt;"", LOWER(TRIM($AP423))&lt;&gt;"n/a", LOWER(TRIM($AP423))&lt;&gt;"na", SUMPRODUCT(--(UPPER(TRIM($AP$2:$AP$518))=UPPER(TRIM($AP423))), --(UPPER(TRIM($B$2:$B$518))="YES"), --(UPPER(TRIM($G$2:$G$518)&amp;TRIM($I$2:$I$518)&amp;TRIM($J$2:$J$518))&lt;&gt;UPPER(TRIM($G423)&amp;TRIM($I423)&amp;TRIM($J423))))&gt;0), AND($AQ423&lt;&gt;"", LOWER(TRIM($AQ423))&lt;&gt;"n/a", LOWER(TRIM($AQ423))&lt;&gt;"na", SUMPRODUCT(--(UPPER(TRIM($AQ$2:$AQ$518))=UPPER(TRIM($AQ423))), --(UPPER(TRIM($B$2:$B$518))="YES"), --(UPPER(TRIM($G$2:$G$518)&amp;TRIM($I$2:$I$518)&amp;TRIM($J$2:$J$518))&lt;&gt;UPPER(TRIM($G423)&amp;TRIM($I423)&amp;TRIM($J423))))&gt;0)), "Yes", "No"))</f>
        <v/>
      </c>
      <c r="CD423">
        <f>IF($Y423="","",IF((IF(AND($BR423&lt;&gt;"Yes",$BR423&lt;&gt;"N/A"),"Power Cable, ","")&amp;IF(AND($BS423&lt;&gt;"Yes",$BS423&lt;&gt;"N/A"),"Battery, ","")&amp;IF(AND($AD423&lt;&gt;"Yes",$AD423&lt;&gt;"N/A"),"Firmware Download, ","")&amp;IF(AND(OR($AD423="Yes",$AD423="N/A"),$AE423&lt;&gt;"Yes",$AE423&lt;&gt;"N/A"),"Firmware Install, ","")&amp;IF(AND($CB423&lt;&gt;"Yes",$CB423&lt;&gt;"N/A"),"Device ID, ","")&amp;IF(AND($CC423&lt;&gt;"Yes",$CC423&lt;&gt;"N/A"),"Epic Beans Relay, ",""))="","",LEFT(IF(AND($BR423&lt;&gt;"Yes",$BR423&lt;&gt;"N/A"),"Power Cable, ","")&amp;IF(AND($BS423&lt;&gt;"Yes",$BS423&lt;&gt;"N/A"),"Battery, ","")&amp;IF(AND($AD423&lt;&gt;"Yes",$AD423&lt;&gt;"N/A"),"Firmware Download, ","")&amp;IF(AND(OR($AD423="Yes",$AD423="N/A"),$AE423&lt;&gt;"Yes",$AE423&lt;&gt;"N/A"),"Firmware Install, ","")&amp;IF(AND($CB423&lt;&gt;"Yes",$CB423&lt;&gt;"N/A"),"Device ID, ","")&amp;IF(AND($CC423&lt;&gt;"Yes",$CC423&lt;&gt;"N/A"),"Epic Beans Relay, ",""),LEN(IF(AND($BR423&lt;&gt;"Yes",$BR423&lt;&gt;"N/A"),"Power Cable, ","")&amp;IF(AND($BS423&lt;&gt;"Yes",$BS423&lt;&gt;"N/A"),"Battery, ","")&amp;IF(AND($AD423&lt;&gt;"Yes",$AD423&lt;&gt;"N/A"),"Firmware Download, ","")&amp;IF(AND(OR($AD423="Yes",$AD423="N/A"),$AE423&lt;&gt;"Yes",$AE423&lt;&gt;"N/A"),"Firmware Install, ","")&amp;IF(AND($CB423&lt;&gt;"Yes",$CB423&lt;&gt;"N/A"),"Device ID, ","")&amp;IF(AND($CC423&lt;&gt;"Yes",$CC423&lt;&gt;"N/A"),"Epic Beans Relay, ",""))-2)))</f>
        <v/>
      </c>
      <c r="CE423">
        <f>IF($Y423="","",IF($CD423="","Yes","Blocked"))</f>
        <v/>
      </c>
      <c r="CP423">
        <f>IF($CO423="","",IFERROR(VLOOKUP($CO423,'01_Warehouse_Ledger'!$A:$N,4,FALSE),""))</f>
        <v/>
      </c>
      <c r="CQ423">
        <f>IF($CO423="","",IFERROR(VLOOKUP($CO423,'01_Warehouse_Ledger'!$A:$N,5,FALSE),""))</f>
        <v/>
      </c>
      <c r="CR423">
        <f>IF($CO423="","",IFERROR(VLOOKUP($CO423,'01_Warehouse_Ledger'!$A:$N,13,FALSE),""))</f>
        <v/>
      </c>
      <c r="CW423">
        <f>IF($S423="","",IF(UPPER(TRIM($S423))&lt;&gt;"PASS","",IF(LEN(TRIM($BY423))&gt;0,"NOTES_PRESENT",IF(LEN(TRIM($T423))=0,"SET_NA",IF(OR(LOWER(TRIM($T423))="na",LOWER(TRIM($T423))="n/a"),"OK","MANUAL_OVERRIDE")))))</f>
        <v/>
      </c>
    </row>
    <row r="424">
      <c r="B424" t="inlineStr">
        <is>
          <t>No</t>
        </is>
      </c>
      <c r="C424" t="inlineStr">
        <is>
          <t>No</t>
        </is>
      </c>
      <c r="D424">
        <f>IF($B424&lt;&gt;"Yes","",IF($C424="No","Yes",IF($C424="Yes","No","")))</f>
        <v/>
      </c>
      <c r="E424">
        <f>IF($A424="","",IF(OR(AND($V424&lt;&gt;"",LOWER(TRIM($V424))&lt;&gt;"n/a",LOWER(TRIM($V424))&lt;&gt;"na",SUMPRODUCT(--(UPPER(TRIM($V$2:$V$518))=UPPER(TRIM($V424))),--(TRIM($V$2:$V$518)&lt;&gt;""),--(LOWER(TRIM($V$2:$V$518))&lt;&gt;"n/a"),--(LOWER(TRIM($V$2:$V$518))&lt;&gt;"na"))&gt;1),AND($W424&lt;&gt;"",LOWER(TRIM($W424))&lt;&gt;"n/a",LOWER(TRIM($W424))&lt;&gt;"na",SUMPRODUCT(--(UPPER(TRIM($W$2:$W$518))=UPPER(TRIM($W424))),--(TRIM($W$2:$W$518)&lt;&gt;""),--(LOWER(TRIM($W$2:$W$518))&lt;&gt;"n/a"),--(LOWER(TRIM($W$2:$W$518))&lt;&gt;"na"))&gt;1),AND($X424&lt;&gt;"",LOWER(TRIM($X424))&lt;&gt;"n/a",LOWER(TRIM($X424))&lt;&gt;"na",SUMPRODUCT(--(UPPER(TRIM($X$2:$X$518))=UPPER(TRIM($X424))),--(TRIM($X$2:$X$518)&lt;&gt;""),--(LOWER(TRIM($X$2:$X$518))&lt;&gt;"n/a"),--(LOWER(TRIM($X$2:$X$518))&lt;&gt;"na"))&gt;1),AND($Y424&lt;&gt;"",LOWER(TRIM($Y424))&lt;&gt;"n/a",LOWER(TRIM($Y424))&lt;&gt;"na",SUMPRODUCT(--(UPPER(SUBSTITUTE(SUBSTITUTE(TRIM($Y$2:$Y$518),":",""),"-",""))=UPPER(SUBSTITUTE(SUBSTITUTE(TRIM($Y424),":",""),"-",""))),--(TRIM($Y$2:$Y$518)&lt;&gt;""),--(LOWER(TRIM($Y$2:$Y$518))&lt;&gt;"n/a"),--(LOWER(TRIM($Y$2:$Y$518))&lt;&gt;"na"))&gt;1),AND($AB424&lt;&gt;"",LOWER(TRIM($AB424))&lt;&gt;"n/a",LOWER(TRIM($AB424))&lt;&gt;"na",SUMPRODUCT(--(UPPER(TRIM($AB$2:$AB$518))=UPPER(TRIM($AB424))),--(TRIM($AB$2:$AB$518)&lt;&gt;""),--(LOWER(TRIM($AB$2:$AB$518))&lt;&gt;"n/a"),--(LOWER(TRIM($AB$2:$AB$518))&lt;&gt;"na"))&gt;1),AND($AH424&lt;&gt;"",LOWER(TRIM($AH424))&lt;&gt;"n/a",LOWER(TRIM($AH424))&lt;&gt;"na",SUMPRODUCT(--(UPPER(SUBSTITUTE(SUBSTITUTE(TRIM($AH$2:$AH$518),":",""),"-",""))=UPPER(SUBSTITUTE(SUBSTITUTE(TRIM($AH424),":",""),"-",""))),--(TRIM($AH$2:$AH$518)&lt;&gt;""),--(LOWER(TRIM($AH$2:$AH$518))&lt;&gt;"n/a"),--(LOWER(TRIM($AH$2:$AH$518))&lt;&gt;"na"))&gt;1),AND($AP424&lt;&gt;"",LOWER(TRIM($AP424))&lt;&gt;"n/a",LOWER(TRIM($AP424))&lt;&gt;"na",SUMPRODUCT(--(UPPER(TRIM($AP$2:$AP$518))=UPPER(TRIM($AP424))),--(TRIM($AP$2:$AP$518)&lt;&gt;""),--(LOWER(TRIM($AP$2:$AP$518))&lt;&gt;"n/a"),--(LOWER(TRIM($AP$2:$AP$518))&lt;&gt;"na"))&gt;1),AND($AQ424&lt;&gt;"",LOWER(TRIM($AQ424))&lt;&gt;"n/a",LOWER(TRIM($AQ424))&lt;&gt;"na",SUMPRODUCT(--(UPPER(TRIM($AQ$2:$AQ$518))=UPPER(TRIM($AQ424))),--(TRIM($AQ$2:$AQ$518)&lt;&gt;""),--(LOWER(TRIM($AQ$2:$AQ$518))&lt;&gt;"n/a"),--(LOWER(TRIM($AQ$2:$AQ$518))&lt;&gt;"na"))&gt;1)),"Yes","No"))</f>
        <v/>
      </c>
      <c r="F424">
        <f>IF(UPPER(TRIM($B424))&lt;&gt;"YES","", IF(OR(AND($V424&lt;&gt;"", LOWER(TRIM($V424))&lt;&gt;"n/a", LOWER(TRIM($V424))&lt;&gt;"na", SUMPRODUCT(--(UPPER(TRIM($V$2:$V$518))=UPPER(TRIM($V424))), --(UPPER(TRIM($B$2:$B$518))="YES"), --(UPPER(TRIM($G$2:$G$518)&amp;TRIM($I$2:$I$518)&amp;TRIM($J$2:$J$518))&lt;&gt;UPPER(TRIM($G424)&amp;TRIM($I424)&amp;TRIM($J424))))&gt;0), AND($W424&lt;&gt;"", LOWER(TRIM($W424))&lt;&gt;"n/a", LOWER(TRIM($W424))&lt;&gt;"na", SUMPRODUCT(--(UPPER(TRIM($W$2:$W$518))=UPPER(TRIM($W424))), --(UPPER(TRIM($B$2:$B$518))="YES"), --(UPPER(TRIM($G$2:$G$518)&amp;TRIM($I$2:$I$518)&amp;TRIM($J$2:$J$518))&lt;&gt;UPPER(TRIM($G424)&amp;TRIM($I424)&amp;TRIM($J424))))&gt;0), AND($X424&lt;&gt;"", LOWER(TRIM($X424))&lt;&gt;"n/a", LOWER(TRIM($X424))&lt;&gt;"na", SUMPRODUCT(--(UPPER(TRIM($X$2:$X$518))=UPPER(TRIM($X424))), --(UPPER(TRIM($B$2:$B$518))="YES"), --(UPPER(TRIM($G$2:$G$518)&amp;TRIM($I$2:$I$518)&amp;TRIM($J$2:$J$518))&lt;&gt;UPPER(TRIM($G424)&amp;TRIM($I424)&amp;TRIM($J424))))&gt;0), AND($Y424&lt;&gt;"", LOWER(TRIM($Y424))&lt;&gt;"n/a", LOWER(TRIM($Y424))&lt;&gt;"na", SUMPRODUCT(--(UPPER(SUBSTITUTE(SUBSTITUTE(TRIM($Y$2:$Y$518),":",""),"-",""))=UPPER(SUBSTITUTE(SUBSTITUTE(TRIM($Y424),":",""),"-",""))), --(UPPER(TRIM($B$2:$B$518))="YES"), --(UPPER(TRIM($G$2:$G$518)&amp;TRIM($I$2:$I$518)&amp;TRIM($J$2:$J$518))&lt;&gt;UPPER(TRIM($G424)&amp;TRIM($I424)&amp;TRIM($J424))))&gt;0), AND($AB424&lt;&gt;"", LOWER(TRIM($AB424))&lt;&gt;"n/a", LOWER(TRIM($AB424))&lt;&gt;"na", SUMPRODUCT(--(UPPER(TRIM($AB$2:$AB$518))=UPPER(TRIM($AB424))), --(UPPER(TRIM($B$2:$B$518))="YES"), --(UPPER(TRIM($G$2:$G$518)&amp;TRIM($I$2:$I$518)&amp;TRIM($J$2:$J$518))&lt;&gt;UPPER(TRIM($G424)&amp;TRIM($I424)&amp;TRIM($J424))))&gt;0), AND($AH424&lt;&gt;"", LOWER(TRIM($AH424))&lt;&gt;"n/a", LOWER(TRIM($AH424))&lt;&gt;"na", SUMPRODUCT(--(UPPER(SUBSTITUTE(SUBSTITUTE(TRIM($AH$2:$AH$518),":",""),"-",""))=UPPER(SUBSTITUTE(SUBSTITUTE(TRIM($AH424),":",""),"-",""))), --(UPPER(TRIM($B$2:$B$518))="YES"), --(UPPER(TRIM($G$2:$G$518)&amp;TRIM($I$2:$I$518)&amp;TRIM($J$2:$J$518))&lt;&gt;UPPER(TRIM($G424)&amp;TRIM($I424)&amp;TRIM($J424))))&gt;0), AND($AP424&lt;&gt;"", LOWER(TRIM($AP424))&lt;&gt;"n/a", LOWER(TRIM($AP424))&lt;&gt;"na", SUMPRODUCT(--(UPPER(TRIM($AP$2:$AP$518))=UPPER(TRIM($AP424))), --(UPPER(TRIM($B$2:$B$518))="YES"), --(UPPER(TRIM($G$2:$G$518)&amp;TRIM($I$2:$I$518)&amp;TRIM($J$2:$J$518))&lt;&gt;UPPER(TRIM($G424)&amp;TRIM($I424)&amp;TRIM($J424))))&gt;0), AND($AQ424&lt;&gt;"", LOWER(TRIM($AQ424))&lt;&gt;"n/a", LOWER(TRIM($AQ424))&lt;&gt;"na", SUMPRODUCT(--(UPPER(TRIM($AQ$2:$AQ$518))=UPPER(TRIM($AQ424))), --(UPPER(TRIM($B$2:$B$518))="YES"), --(UPPER(TRIM($G$2:$G$518)&amp;TRIM($I$2:$I$518)&amp;TRIM($J$2:$J$518))&lt;&gt;UPPER(TRIM($G424)&amp;TRIM($I424)&amp;TRIM($J424))))&gt;0)), "Yes", "No"))</f>
        <v/>
      </c>
      <c r="CD424">
        <f>IF($Y424="","",IF((IF(AND($BR424&lt;&gt;"Yes",$BR424&lt;&gt;"N/A"),"Power Cable, ","")&amp;IF(AND($BS424&lt;&gt;"Yes",$BS424&lt;&gt;"N/A"),"Battery, ","")&amp;IF(AND($AD424&lt;&gt;"Yes",$AD424&lt;&gt;"N/A"),"Firmware Download, ","")&amp;IF(AND(OR($AD424="Yes",$AD424="N/A"),$AE424&lt;&gt;"Yes",$AE424&lt;&gt;"N/A"),"Firmware Install, ","")&amp;IF(AND($CB424&lt;&gt;"Yes",$CB424&lt;&gt;"N/A"),"Device ID, ","")&amp;IF(AND($CC424&lt;&gt;"Yes",$CC424&lt;&gt;"N/A"),"Epic Beans Relay, ",""))="","",LEFT(IF(AND($BR424&lt;&gt;"Yes",$BR424&lt;&gt;"N/A"),"Power Cable, ","")&amp;IF(AND($BS424&lt;&gt;"Yes",$BS424&lt;&gt;"N/A"),"Battery, ","")&amp;IF(AND($AD424&lt;&gt;"Yes",$AD424&lt;&gt;"N/A"),"Firmware Download, ","")&amp;IF(AND(OR($AD424="Yes",$AD424="N/A"),$AE424&lt;&gt;"Yes",$AE424&lt;&gt;"N/A"),"Firmware Install, ","")&amp;IF(AND($CB424&lt;&gt;"Yes",$CB424&lt;&gt;"N/A"),"Device ID, ","")&amp;IF(AND($CC424&lt;&gt;"Yes",$CC424&lt;&gt;"N/A"),"Epic Beans Relay, ",""),LEN(IF(AND($BR424&lt;&gt;"Yes",$BR424&lt;&gt;"N/A"),"Power Cable, ","")&amp;IF(AND($BS424&lt;&gt;"Yes",$BS424&lt;&gt;"N/A"),"Battery, ","")&amp;IF(AND($AD424&lt;&gt;"Yes",$AD424&lt;&gt;"N/A"),"Firmware Download, ","")&amp;IF(AND(OR($AD424="Yes",$AD424="N/A"),$AE424&lt;&gt;"Yes",$AE424&lt;&gt;"N/A"),"Firmware Install, ","")&amp;IF(AND($CB424&lt;&gt;"Yes",$CB424&lt;&gt;"N/A"),"Device ID, ","")&amp;IF(AND($CC424&lt;&gt;"Yes",$CC424&lt;&gt;"N/A"),"Epic Beans Relay, ",""))-2)))</f>
        <v/>
      </c>
      <c r="CE424">
        <f>IF($Y424="","",IF($CD424="","Yes","Blocked"))</f>
        <v/>
      </c>
      <c r="CP424">
        <f>IF($CO424="","",IFERROR(VLOOKUP($CO424,'01_Warehouse_Ledger'!$A:$N,4,FALSE),""))</f>
        <v/>
      </c>
      <c r="CQ424">
        <f>IF($CO424="","",IFERROR(VLOOKUP($CO424,'01_Warehouse_Ledger'!$A:$N,5,FALSE),""))</f>
        <v/>
      </c>
      <c r="CR424">
        <f>IF($CO424="","",IFERROR(VLOOKUP($CO424,'01_Warehouse_Ledger'!$A:$N,13,FALSE),""))</f>
        <v/>
      </c>
      <c r="CW424">
        <f>IF($S424="","",IF(UPPER(TRIM($S424))&lt;&gt;"PASS","",IF(LEN(TRIM($BY424))&gt;0,"NOTES_PRESENT",IF(LEN(TRIM($T424))=0,"SET_NA",IF(OR(LOWER(TRIM($T424))="na",LOWER(TRIM($T424))="n/a"),"OK","MANUAL_OVERRIDE")))))</f>
        <v/>
      </c>
    </row>
    <row r="425">
      <c r="B425" t="inlineStr">
        <is>
          <t>No</t>
        </is>
      </c>
      <c r="C425" t="inlineStr">
        <is>
          <t>No</t>
        </is>
      </c>
      <c r="D425">
        <f>IF($B425&lt;&gt;"Yes","",IF($C425="No","Yes",IF($C425="Yes","No","")))</f>
        <v/>
      </c>
      <c r="E425">
        <f>IF($A425="","",IF(OR(AND($V425&lt;&gt;"",LOWER(TRIM($V425))&lt;&gt;"n/a",LOWER(TRIM($V425))&lt;&gt;"na",SUMPRODUCT(--(UPPER(TRIM($V$2:$V$518))=UPPER(TRIM($V425))),--(TRIM($V$2:$V$518)&lt;&gt;""),--(LOWER(TRIM($V$2:$V$518))&lt;&gt;"n/a"),--(LOWER(TRIM($V$2:$V$518))&lt;&gt;"na"))&gt;1),AND($W425&lt;&gt;"",LOWER(TRIM($W425))&lt;&gt;"n/a",LOWER(TRIM($W425))&lt;&gt;"na",SUMPRODUCT(--(UPPER(TRIM($W$2:$W$518))=UPPER(TRIM($W425))),--(TRIM($W$2:$W$518)&lt;&gt;""),--(LOWER(TRIM($W$2:$W$518))&lt;&gt;"n/a"),--(LOWER(TRIM($W$2:$W$518))&lt;&gt;"na"))&gt;1),AND($X425&lt;&gt;"",LOWER(TRIM($X425))&lt;&gt;"n/a",LOWER(TRIM($X425))&lt;&gt;"na",SUMPRODUCT(--(UPPER(TRIM($X$2:$X$518))=UPPER(TRIM($X425))),--(TRIM($X$2:$X$518)&lt;&gt;""),--(LOWER(TRIM($X$2:$X$518))&lt;&gt;"n/a"),--(LOWER(TRIM($X$2:$X$518))&lt;&gt;"na"))&gt;1),AND($Y425&lt;&gt;"",LOWER(TRIM($Y425))&lt;&gt;"n/a",LOWER(TRIM($Y425))&lt;&gt;"na",SUMPRODUCT(--(UPPER(SUBSTITUTE(SUBSTITUTE(TRIM($Y$2:$Y$518),":",""),"-",""))=UPPER(SUBSTITUTE(SUBSTITUTE(TRIM($Y425),":",""),"-",""))),--(TRIM($Y$2:$Y$518)&lt;&gt;""),--(LOWER(TRIM($Y$2:$Y$518))&lt;&gt;"n/a"),--(LOWER(TRIM($Y$2:$Y$518))&lt;&gt;"na"))&gt;1),AND($AB425&lt;&gt;"",LOWER(TRIM($AB425))&lt;&gt;"n/a",LOWER(TRIM($AB425))&lt;&gt;"na",SUMPRODUCT(--(UPPER(TRIM($AB$2:$AB$518))=UPPER(TRIM($AB425))),--(TRIM($AB$2:$AB$518)&lt;&gt;""),--(LOWER(TRIM($AB$2:$AB$518))&lt;&gt;"n/a"),--(LOWER(TRIM($AB$2:$AB$518))&lt;&gt;"na"))&gt;1),AND($AH425&lt;&gt;"",LOWER(TRIM($AH425))&lt;&gt;"n/a",LOWER(TRIM($AH425))&lt;&gt;"na",SUMPRODUCT(--(UPPER(SUBSTITUTE(SUBSTITUTE(TRIM($AH$2:$AH$518),":",""),"-",""))=UPPER(SUBSTITUTE(SUBSTITUTE(TRIM($AH425),":",""),"-",""))),--(TRIM($AH$2:$AH$518)&lt;&gt;""),--(LOWER(TRIM($AH$2:$AH$518))&lt;&gt;"n/a"),--(LOWER(TRIM($AH$2:$AH$518))&lt;&gt;"na"))&gt;1),AND($AP425&lt;&gt;"",LOWER(TRIM($AP425))&lt;&gt;"n/a",LOWER(TRIM($AP425))&lt;&gt;"na",SUMPRODUCT(--(UPPER(TRIM($AP$2:$AP$518))=UPPER(TRIM($AP425))),--(TRIM($AP$2:$AP$518)&lt;&gt;""),--(LOWER(TRIM($AP$2:$AP$518))&lt;&gt;"n/a"),--(LOWER(TRIM($AP$2:$AP$518))&lt;&gt;"na"))&gt;1),AND($AQ425&lt;&gt;"",LOWER(TRIM($AQ425))&lt;&gt;"n/a",LOWER(TRIM($AQ425))&lt;&gt;"na",SUMPRODUCT(--(UPPER(TRIM($AQ$2:$AQ$518))=UPPER(TRIM($AQ425))),--(TRIM($AQ$2:$AQ$518)&lt;&gt;""),--(LOWER(TRIM($AQ$2:$AQ$518))&lt;&gt;"n/a"),--(LOWER(TRIM($AQ$2:$AQ$518))&lt;&gt;"na"))&gt;1)),"Yes","No"))</f>
        <v/>
      </c>
      <c r="F425">
        <f>IF(UPPER(TRIM($B425))&lt;&gt;"YES","", IF(OR(AND($V425&lt;&gt;"", LOWER(TRIM($V425))&lt;&gt;"n/a", LOWER(TRIM($V425))&lt;&gt;"na", SUMPRODUCT(--(UPPER(TRIM($V$2:$V$518))=UPPER(TRIM($V425))), --(UPPER(TRIM($B$2:$B$518))="YES"), --(UPPER(TRIM($G$2:$G$518)&amp;TRIM($I$2:$I$518)&amp;TRIM($J$2:$J$518))&lt;&gt;UPPER(TRIM($G425)&amp;TRIM($I425)&amp;TRIM($J425))))&gt;0), AND($W425&lt;&gt;"", LOWER(TRIM($W425))&lt;&gt;"n/a", LOWER(TRIM($W425))&lt;&gt;"na", SUMPRODUCT(--(UPPER(TRIM($W$2:$W$518))=UPPER(TRIM($W425))), --(UPPER(TRIM($B$2:$B$518))="YES"), --(UPPER(TRIM($G$2:$G$518)&amp;TRIM($I$2:$I$518)&amp;TRIM($J$2:$J$518))&lt;&gt;UPPER(TRIM($G425)&amp;TRIM($I425)&amp;TRIM($J425))))&gt;0), AND($X425&lt;&gt;"", LOWER(TRIM($X425))&lt;&gt;"n/a", LOWER(TRIM($X425))&lt;&gt;"na", SUMPRODUCT(--(UPPER(TRIM($X$2:$X$518))=UPPER(TRIM($X425))), --(UPPER(TRIM($B$2:$B$518))="YES"), --(UPPER(TRIM($G$2:$G$518)&amp;TRIM($I$2:$I$518)&amp;TRIM($J$2:$J$518))&lt;&gt;UPPER(TRIM($G425)&amp;TRIM($I425)&amp;TRIM($J425))))&gt;0), AND($Y425&lt;&gt;"", LOWER(TRIM($Y425))&lt;&gt;"n/a", LOWER(TRIM($Y425))&lt;&gt;"na", SUMPRODUCT(--(UPPER(SUBSTITUTE(SUBSTITUTE(TRIM($Y$2:$Y$518),":",""),"-",""))=UPPER(SUBSTITUTE(SUBSTITUTE(TRIM($Y425),":",""),"-",""))), --(UPPER(TRIM($B$2:$B$518))="YES"), --(UPPER(TRIM($G$2:$G$518)&amp;TRIM($I$2:$I$518)&amp;TRIM($J$2:$J$518))&lt;&gt;UPPER(TRIM($G425)&amp;TRIM($I425)&amp;TRIM($J425))))&gt;0), AND($AB425&lt;&gt;"", LOWER(TRIM($AB425))&lt;&gt;"n/a", LOWER(TRIM($AB425))&lt;&gt;"na", SUMPRODUCT(--(UPPER(TRIM($AB$2:$AB$518))=UPPER(TRIM($AB425))), --(UPPER(TRIM($B$2:$B$518))="YES"), --(UPPER(TRIM($G$2:$G$518)&amp;TRIM($I$2:$I$518)&amp;TRIM($J$2:$J$518))&lt;&gt;UPPER(TRIM($G425)&amp;TRIM($I425)&amp;TRIM($J425))))&gt;0), AND($AH425&lt;&gt;"", LOWER(TRIM($AH425))&lt;&gt;"n/a", LOWER(TRIM($AH425))&lt;&gt;"na", SUMPRODUCT(--(UPPER(SUBSTITUTE(SUBSTITUTE(TRIM($AH$2:$AH$518),":",""),"-",""))=UPPER(SUBSTITUTE(SUBSTITUTE(TRIM($AH425),":",""),"-",""))), --(UPPER(TRIM($B$2:$B$518))="YES"), --(UPPER(TRIM($G$2:$G$518)&amp;TRIM($I$2:$I$518)&amp;TRIM($J$2:$J$518))&lt;&gt;UPPER(TRIM($G425)&amp;TRIM($I425)&amp;TRIM($J425))))&gt;0), AND($AP425&lt;&gt;"", LOWER(TRIM($AP425))&lt;&gt;"n/a", LOWER(TRIM($AP425))&lt;&gt;"na", SUMPRODUCT(--(UPPER(TRIM($AP$2:$AP$518))=UPPER(TRIM($AP425))), --(UPPER(TRIM($B$2:$B$518))="YES"), --(UPPER(TRIM($G$2:$G$518)&amp;TRIM($I$2:$I$518)&amp;TRIM($J$2:$J$518))&lt;&gt;UPPER(TRIM($G425)&amp;TRIM($I425)&amp;TRIM($J425))))&gt;0), AND($AQ425&lt;&gt;"", LOWER(TRIM($AQ425))&lt;&gt;"n/a", LOWER(TRIM($AQ425))&lt;&gt;"na", SUMPRODUCT(--(UPPER(TRIM($AQ$2:$AQ$518))=UPPER(TRIM($AQ425))), --(UPPER(TRIM($B$2:$B$518))="YES"), --(UPPER(TRIM($G$2:$G$518)&amp;TRIM($I$2:$I$518)&amp;TRIM($J$2:$J$518))&lt;&gt;UPPER(TRIM($G425)&amp;TRIM($I425)&amp;TRIM($J425))))&gt;0)), "Yes", "No"))</f>
        <v/>
      </c>
      <c r="CD425">
        <f>IF($Y425="","",IF((IF(AND($BR425&lt;&gt;"Yes",$BR425&lt;&gt;"N/A"),"Power Cable, ","")&amp;IF(AND($BS425&lt;&gt;"Yes",$BS425&lt;&gt;"N/A"),"Battery, ","")&amp;IF(AND($AD425&lt;&gt;"Yes",$AD425&lt;&gt;"N/A"),"Firmware Download, ","")&amp;IF(AND(OR($AD425="Yes",$AD425="N/A"),$AE425&lt;&gt;"Yes",$AE425&lt;&gt;"N/A"),"Firmware Install, ","")&amp;IF(AND($CB425&lt;&gt;"Yes",$CB425&lt;&gt;"N/A"),"Device ID, ","")&amp;IF(AND($CC425&lt;&gt;"Yes",$CC425&lt;&gt;"N/A"),"Epic Beans Relay, ",""))="","",LEFT(IF(AND($BR425&lt;&gt;"Yes",$BR425&lt;&gt;"N/A"),"Power Cable, ","")&amp;IF(AND($BS425&lt;&gt;"Yes",$BS425&lt;&gt;"N/A"),"Battery, ","")&amp;IF(AND($AD425&lt;&gt;"Yes",$AD425&lt;&gt;"N/A"),"Firmware Download, ","")&amp;IF(AND(OR($AD425="Yes",$AD425="N/A"),$AE425&lt;&gt;"Yes",$AE425&lt;&gt;"N/A"),"Firmware Install, ","")&amp;IF(AND($CB425&lt;&gt;"Yes",$CB425&lt;&gt;"N/A"),"Device ID, ","")&amp;IF(AND($CC425&lt;&gt;"Yes",$CC425&lt;&gt;"N/A"),"Epic Beans Relay, ",""),LEN(IF(AND($BR425&lt;&gt;"Yes",$BR425&lt;&gt;"N/A"),"Power Cable, ","")&amp;IF(AND($BS425&lt;&gt;"Yes",$BS425&lt;&gt;"N/A"),"Battery, ","")&amp;IF(AND($AD425&lt;&gt;"Yes",$AD425&lt;&gt;"N/A"),"Firmware Download, ","")&amp;IF(AND(OR($AD425="Yes",$AD425="N/A"),$AE425&lt;&gt;"Yes",$AE425&lt;&gt;"N/A"),"Firmware Install, ","")&amp;IF(AND($CB425&lt;&gt;"Yes",$CB425&lt;&gt;"N/A"),"Device ID, ","")&amp;IF(AND($CC425&lt;&gt;"Yes",$CC425&lt;&gt;"N/A"),"Epic Beans Relay, ",""))-2)))</f>
        <v/>
      </c>
      <c r="CE425">
        <f>IF($Y425="","",IF($CD425="","Yes","Blocked"))</f>
        <v/>
      </c>
      <c r="CP425">
        <f>IF($CO425="","",IFERROR(VLOOKUP($CO425,'01_Warehouse_Ledger'!$A:$N,4,FALSE),""))</f>
        <v/>
      </c>
      <c r="CQ425">
        <f>IF($CO425="","",IFERROR(VLOOKUP($CO425,'01_Warehouse_Ledger'!$A:$N,5,FALSE),""))</f>
        <v/>
      </c>
      <c r="CR425">
        <f>IF($CO425="","",IFERROR(VLOOKUP($CO425,'01_Warehouse_Ledger'!$A:$N,13,FALSE),""))</f>
        <v/>
      </c>
      <c r="CW425">
        <f>IF($S425="","",IF(UPPER(TRIM($S425))&lt;&gt;"PASS","",IF(LEN(TRIM($BY425))&gt;0,"NOTES_PRESENT",IF(LEN(TRIM($T425))=0,"SET_NA",IF(OR(LOWER(TRIM($T425))="na",LOWER(TRIM($T425))="n/a"),"OK","MANUAL_OVERRIDE")))))</f>
        <v/>
      </c>
    </row>
    <row r="426">
      <c r="B426" t="inlineStr">
        <is>
          <t>No</t>
        </is>
      </c>
      <c r="C426" t="inlineStr">
        <is>
          <t>No</t>
        </is>
      </c>
      <c r="D426">
        <f>IF($B426&lt;&gt;"Yes","",IF($C426="No","Yes",IF($C426="Yes","No","")))</f>
        <v/>
      </c>
      <c r="E426">
        <f>IF($A426="","",IF(OR(AND($V426&lt;&gt;"",LOWER(TRIM($V426))&lt;&gt;"n/a",LOWER(TRIM($V426))&lt;&gt;"na",SUMPRODUCT(--(UPPER(TRIM($V$2:$V$518))=UPPER(TRIM($V426))),--(TRIM($V$2:$V$518)&lt;&gt;""),--(LOWER(TRIM($V$2:$V$518))&lt;&gt;"n/a"),--(LOWER(TRIM($V$2:$V$518))&lt;&gt;"na"))&gt;1),AND($W426&lt;&gt;"",LOWER(TRIM($W426))&lt;&gt;"n/a",LOWER(TRIM($W426))&lt;&gt;"na",SUMPRODUCT(--(UPPER(TRIM($W$2:$W$518))=UPPER(TRIM($W426))),--(TRIM($W$2:$W$518)&lt;&gt;""),--(LOWER(TRIM($W$2:$W$518))&lt;&gt;"n/a"),--(LOWER(TRIM($W$2:$W$518))&lt;&gt;"na"))&gt;1),AND($X426&lt;&gt;"",LOWER(TRIM($X426))&lt;&gt;"n/a",LOWER(TRIM($X426))&lt;&gt;"na",SUMPRODUCT(--(UPPER(TRIM($X$2:$X$518))=UPPER(TRIM($X426))),--(TRIM($X$2:$X$518)&lt;&gt;""),--(LOWER(TRIM($X$2:$X$518))&lt;&gt;"n/a"),--(LOWER(TRIM($X$2:$X$518))&lt;&gt;"na"))&gt;1),AND($Y426&lt;&gt;"",LOWER(TRIM($Y426))&lt;&gt;"n/a",LOWER(TRIM($Y426))&lt;&gt;"na",SUMPRODUCT(--(UPPER(SUBSTITUTE(SUBSTITUTE(TRIM($Y$2:$Y$518),":",""),"-",""))=UPPER(SUBSTITUTE(SUBSTITUTE(TRIM($Y426),":",""),"-",""))),--(TRIM($Y$2:$Y$518)&lt;&gt;""),--(LOWER(TRIM($Y$2:$Y$518))&lt;&gt;"n/a"),--(LOWER(TRIM($Y$2:$Y$518))&lt;&gt;"na"))&gt;1),AND($AB426&lt;&gt;"",LOWER(TRIM($AB426))&lt;&gt;"n/a",LOWER(TRIM($AB426))&lt;&gt;"na",SUMPRODUCT(--(UPPER(TRIM($AB$2:$AB$518))=UPPER(TRIM($AB426))),--(TRIM($AB$2:$AB$518)&lt;&gt;""),--(LOWER(TRIM($AB$2:$AB$518))&lt;&gt;"n/a"),--(LOWER(TRIM($AB$2:$AB$518))&lt;&gt;"na"))&gt;1),AND($AH426&lt;&gt;"",LOWER(TRIM($AH426))&lt;&gt;"n/a",LOWER(TRIM($AH426))&lt;&gt;"na",SUMPRODUCT(--(UPPER(SUBSTITUTE(SUBSTITUTE(TRIM($AH$2:$AH$518),":",""),"-",""))=UPPER(SUBSTITUTE(SUBSTITUTE(TRIM($AH426),":",""),"-",""))),--(TRIM($AH$2:$AH$518)&lt;&gt;""),--(LOWER(TRIM($AH$2:$AH$518))&lt;&gt;"n/a"),--(LOWER(TRIM($AH$2:$AH$518))&lt;&gt;"na"))&gt;1),AND($AP426&lt;&gt;"",LOWER(TRIM($AP426))&lt;&gt;"n/a",LOWER(TRIM($AP426))&lt;&gt;"na",SUMPRODUCT(--(UPPER(TRIM($AP$2:$AP$518))=UPPER(TRIM($AP426))),--(TRIM($AP$2:$AP$518)&lt;&gt;""),--(LOWER(TRIM($AP$2:$AP$518))&lt;&gt;"n/a"),--(LOWER(TRIM($AP$2:$AP$518))&lt;&gt;"na"))&gt;1),AND($AQ426&lt;&gt;"",LOWER(TRIM($AQ426))&lt;&gt;"n/a",LOWER(TRIM($AQ426))&lt;&gt;"na",SUMPRODUCT(--(UPPER(TRIM($AQ$2:$AQ$518))=UPPER(TRIM($AQ426))),--(TRIM($AQ$2:$AQ$518)&lt;&gt;""),--(LOWER(TRIM($AQ$2:$AQ$518))&lt;&gt;"n/a"),--(LOWER(TRIM($AQ$2:$AQ$518))&lt;&gt;"na"))&gt;1)),"Yes","No"))</f>
        <v/>
      </c>
      <c r="F426">
        <f>IF(UPPER(TRIM($B426))&lt;&gt;"YES","", IF(OR(AND($V426&lt;&gt;"", LOWER(TRIM($V426))&lt;&gt;"n/a", LOWER(TRIM($V426))&lt;&gt;"na", SUMPRODUCT(--(UPPER(TRIM($V$2:$V$518))=UPPER(TRIM($V426))), --(UPPER(TRIM($B$2:$B$518))="YES"), --(UPPER(TRIM($G$2:$G$518)&amp;TRIM($I$2:$I$518)&amp;TRIM($J$2:$J$518))&lt;&gt;UPPER(TRIM($G426)&amp;TRIM($I426)&amp;TRIM($J426))))&gt;0), AND($W426&lt;&gt;"", LOWER(TRIM($W426))&lt;&gt;"n/a", LOWER(TRIM($W426))&lt;&gt;"na", SUMPRODUCT(--(UPPER(TRIM($W$2:$W$518))=UPPER(TRIM($W426))), --(UPPER(TRIM($B$2:$B$518))="YES"), --(UPPER(TRIM($G$2:$G$518)&amp;TRIM($I$2:$I$518)&amp;TRIM($J$2:$J$518))&lt;&gt;UPPER(TRIM($G426)&amp;TRIM($I426)&amp;TRIM($J426))))&gt;0), AND($X426&lt;&gt;"", LOWER(TRIM($X426))&lt;&gt;"n/a", LOWER(TRIM($X426))&lt;&gt;"na", SUMPRODUCT(--(UPPER(TRIM($X$2:$X$518))=UPPER(TRIM($X426))), --(UPPER(TRIM($B$2:$B$518))="YES"), --(UPPER(TRIM($G$2:$G$518)&amp;TRIM($I$2:$I$518)&amp;TRIM($J$2:$J$518))&lt;&gt;UPPER(TRIM($G426)&amp;TRIM($I426)&amp;TRIM($J426))))&gt;0), AND($Y426&lt;&gt;"", LOWER(TRIM($Y426))&lt;&gt;"n/a", LOWER(TRIM($Y426))&lt;&gt;"na", SUMPRODUCT(--(UPPER(SUBSTITUTE(SUBSTITUTE(TRIM($Y$2:$Y$518),":",""),"-",""))=UPPER(SUBSTITUTE(SUBSTITUTE(TRIM($Y426),":",""),"-",""))), --(UPPER(TRIM($B$2:$B$518))="YES"), --(UPPER(TRIM($G$2:$G$518)&amp;TRIM($I$2:$I$518)&amp;TRIM($J$2:$J$518))&lt;&gt;UPPER(TRIM($G426)&amp;TRIM($I426)&amp;TRIM($J426))))&gt;0), AND($AB426&lt;&gt;"", LOWER(TRIM($AB426))&lt;&gt;"n/a", LOWER(TRIM($AB426))&lt;&gt;"na", SUMPRODUCT(--(UPPER(TRIM($AB$2:$AB$518))=UPPER(TRIM($AB426))), --(UPPER(TRIM($B$2:$B$518))="YES"), --(UPPER(TRIM($G$2:$G$518)&amp;TRIM($I$2:$I$518)&amp;TRIM($J$2:$J$518))&lt;&gt;UPPER(TRIM($G426)&amp;TRIM($I426)&amp;TRIM($J426))))&gt;0), AND($AH426&lt;&gt;"", LOWER(TRIM($AH426))&lt;&gt;"n/a", LOWER(TRIM($AH426))&lt;&gt;"na", SUMPRODUCT(--(UPPER(SUBSTITUTE(SUBSTITUTE(TRIM($AH$2:$AH$518),":",""),"-",""))=UPPER(SUBSTITUTE(SUBSTITUTE(TRIM($AH426),":",""),"-",""))), --(UPPER(TRIM($B$2:$B$518))="YES"), --(UPPER(TRIM($G$2:$G$518)&amp;TRIM($I$2:$I$518)&amp;TRIM($J$2:$J$518))&lt;&gt;UPPER(TRIM($G426)&amp;TRIM($I426)&amp;TRIM($J426))))&gt;0), AND($AP426&lt;&gt;"", LOWER(TRIM($AP426))&lt;&gt;"n/a", LOWER(TRIM($AP426))&lt;&gt;"na", SUMPRODUCT(--(UPPER(TRIM($AP$2:$AP$518))=UPPER(TRIM($AP426))), --(UPPER(TRIM($B$2:$B$518))="YES"), --(UPPER(TRIM($G$2:$G$518)&amp;TRIM($I$2:$I$518)&amp;TRIM($J$2:$J$518))&lt;&gt;UPPER(TRIM($G426)&amp;TRIM($I426)&amp;TRIM($J426))))&gt;0), AND($AQ426&lt;&gt;"", LOWER(TRIM($AQ426))&lt;&gt;"n/a", LOWER(TRIM($AQ426))&lt;&gt;"na", SUMPRODUCT(--(UPPER(TRIM($AQ$2:$AQ$518))=UPPER(TRIM($AQ426))), --(UPPER(TRIM($B$2:$B$518))="YES"), --(UPPER(TRIM($G$2:$G$518)&amp;TRIM($I$2:$I$518)&amp;TRIM($J$2:$J$518))&lt;&gt;UPPER(TRIM($G426)&amp;TRIM($I426)&amp;TRIM($J426))))&gt;0)), "Yes", "No"))</f>
        <v/>
      </c>
      <c r="CD426">
        <f>IF($Y426="","",IF((IF(AND($BR426&lt;&gt;"Yes",$BR426&lt;&gt;"N/A"),"Power Cable, ","")&amp;IF(AND($BS426&lt;&gt;"Yes",$BS426&lt;&gt;"N/A"),"Battery, ","")&amp;IF(AND($AD426&lt;&gt;"Yes",$AD426&lt;&gt;"N/A"),"Firmware Download, ","")&amp;IF(AND(OR($AD426="Yes",$AD426="N/A"),$AE426&lt;&gt;"Yes",$AE426&lt;&gt;"N/A"),"Firmware Install, ","")&amp;IF(AND($CB426&lt;&gt;"Yes",$CB426&lt;&gt;"N/A"),"Device ID, ","")&amp;IF(AND($CC426&lt;&gt;"Yes",$CC426&lt;&gt;"N/A"),"Epic Beans Relay, ",""))="","",LEFT(IF(AND($BR426&lt;&gt;"Yes",$BR426&lt;&gt;"N/A"),"Power Cable, ","")&amp;IF(AND($BS426&lt;&gt;"Yes",$BS426&lt;&gt;"N/A"),"Battery, ","")&amp;IF(AND($AD426&lt;&gt;"Yes",$AD426&lt;&gt;"N/A"),"Firmware Download, ","")&amp;IF(AND(OR($AD426="Yes",$AD426="N/A"),$AE426&lt;&gt;"Yes",$AE426&lt;&gt;"N/A"),"Firmware Install, ","")&amp;IF(AND($CB426&lt;&gt;"Yes",$CB426&lt;&gt;"N/A"),"Device ID, ","")&amp;IF(AND($CC426&lt;&gt;"Yes",$CC426&lt;&gt;"N/A"),"Epic Beans Relay, ",""),LEN(IF(AND($BR426&lt;&gt;"Yes",$BR426&lt;&gt;"N/A"),"Power Cable, ","")&amp;IF(AND($BS426&lt;&gt;"Yes",$BS426&lt;&gt;"N/A"),"Battery, ","")&amp;IF(AND($AD426&lt;&gt;"Yes",$AD426&lt;&gt;"N/A"),"Firmware Download, ","")&amp;IF(AND(OR($AD426="Yes",$AD426="N/A"),$AE426&lt;&gt;"Yes",$AE426&lt;&gt;"N/A"),"Firmware Install, ","")&amp;IF(AND($CB426&lt;&gt;"Yes",$CB426&lt;&gt;"N/A"),"Device ID, ","")&amp;IF(AND($CC426&lt;&gt;"Yes",$CC426&lt;&gt;"N/A"),"Epic Beans Relay, ",""))-2)))</f>
        <v/>
      </c>
      <c r="CE426">
        <f>IF($Y426="","",IF($CD426="","Yes","Blocked"))</f>
        <v/>
      </c>
      <c r="CP426">
        <f>IF($CO426="","",IFERROR(VLOOKUP($CO426,'01_Warehouse_Ledger'!$A:$N,4,FALSE),""))</f>
        <v/>
      </c>
      <c r="CQ426">
        <f>IF($CO426="","",IFERROR(VLOOKUP($CO426,'01_Warehouse_Ledger'!$A:$N,5,FALSE),""))</f>
        <v/>
      </c>
      <c r="CR426">
        <f>IF($CO426="","",IFERROR(VLOOKUP($CO426,'01_Warehouse_Ledger'!$A:$N,13,FALSE),""))</f>
        <v/>
      </c>
      <c r="CW426">
        <f>IF($S426="","",IF(UPPER(TRIM($S426))&lt;&gt;"PASS","",IF(LEN(TRIM($BY426))&gt;0,"NOTES_PRESENT",IF(LEN(TRIM($T426))=0,"SET_NA",IF(OR(LOWER(TRIM($T426))="na",LOWER(TRIM($T426))="n/a"),"OK","MANUAL_OVERRIDE")))))</f>
        <v/>
      </c>
    </row>
    <row r="427">
      <c r="B427" t="inlineStr">
        <is>
          <t>No</t>
        </is>
      </c>
      <c r="C427" t="inlineStr">
        <is>
          <t>No</t>
        </is>
      </c>
      <c r="D427">
        <f>IF($B427&lt;&gt;"Yes","",IF($C427="No","Yes",IF($C427="Yes","No","")))</f>
        <v/>
      </c>
      <c r="E427">
        <f>IF($A427="","",IF(OR(AND($V427&lt;&gt;"",LOWER(TRIM($V427))&lt;&gt;"n/a",LOWER(TRIM($V427))&lt;&gt;"na",SUMPRODUCT(--(UPPER(TRIM($V$2:$V$518))=UPPER(TRIM($V427))),--(TRIM($V$2:$V$518)&lt;&gt;""),--(LOWER(TRIM($V$2:$V$518))&lt;&gt;"n/a"),--(LOWER(TRIM($V$2:$V$518))&lt;&gt;"na"))&gt;1),AND($W427&lt;&gt;"",LOWER(TRIM($W427))&lt;&gt;"n/a",LOWER(TRIM($W427))&lt;&gt;"na",SUMPRODUCT(--(UPPER(TRIM($W$2:$W$518))=UPPER(TRIM($W427))),--(TRIM($W$2:$W$518)&lt;&gt;""),--(LOWER(TRIM($W$2:$W$518))&lt;&gt;"n/a"),--(LOWER(TRIM($W$2:$W$518))&lt;&gt;"na"))&gt;1),AND($X427&lt;&gt;"",LOWER(TRIM($X427))&lt;&gt;"n/a",LOWER(TRIM($X427))&lt;&gt;"na",SUMPRODUCT(--(UPPER(TRIM($X$2:$X$518))=UPPER(TRIM($X427))),--(TRIM($X$2:$X$518)&lt;&gt;""),--(LOWER(TRIM($X$2:$X$518))&lt;&gt;"n/a"),--(LOWER(TRIM($X$2:$X$518))&lt;&gt;"na"))&gt;1),AND($Y427&lt;&gt;"",LOWER(TRIM($Y427))&lt;&gt;"n/a",LOWER(TRIM($Y427))&lt;&gt;"na",SUMPRODUCT(--(UPPER(SUBSTITUTE(SUBSTITUTE(TRIM($Y$2:$Y$518),":",""),"-",""))=UPPER(SUBSTITUTE(SUBSTITUTE(TRIM($Y427),":",""),"-",""))),--(TRIM($Y$2:$Y$518)&lt;&gt;""),--(LOWER(TRIM($Y$2:$Y$518))&lt;&gt;"n/a"),--(LOWER(TRIM($Y$2:$Y$518))&lt;&gt;"na"))&gt;1),AND($AB427&lt;&gt;"",LOWER(TRIM($AB427))&lt;&gt;"n/a",LOWER(TRIM($AB427))&lt;&gt;"na",SUMPRODUCT(--(UPPER(TRIM($AB$2:$AB$518))=UPPER(TRIM($AB427))),--(TRIM($AB$2:$AB$518)&lt;&gt;""),--(LOWER(TRIM($AB$2:$AB$518))&lt;&gt;"n/a"),--(LOWER(TRIM($AB$2:$AB$518))&lt;&gt;"na"))&gt;1),AND($AH427&lt;&gt;"",LOWER(TRIM($AH427))&lt;&gt;"n/a",LOWER(TRIM($AH427))&lt;&gt;"na",SUMPRODUCT(--(UPPER(SUBSTITUTE(SUBSTITUTE(TRIM($AH$2:$AH$518),":",""),"-",""))=UPPER(SUBSTITUTE(SUBSTITUTE(TRIM($AH427),":",""),"-",""))),--(TRIM($AH$2:$AH$518)&lt;&gt;""),--(LOWER(TRIM($AH$2:$AH$518))&lt;&gt;"n/a"),--(LOWER(TRIM($AH$2:$AH$518))&lt;&gt;"na"))&gt;1),AND($AP427&lt;&gt;"",LOWER(TRIM($AP427))&lt;&gt;"n/a",LOWER(TRIM($AP427))&lt;&gt;"na",SUMPRODUCT(--(UPPER(TRIM($AP$2:$AP$518))=UPPER(TRIM($AP427))),--(TRIM($AP$2:$AP$518)&lt;&gt;""),--(LOWER(TRIM($AP$2:$AP$518))&lt;&gt;"n/a"),--(LOWER(TRIM($AP$2:$AP$518))&lt;&gt;"na"))&gt;1),AND($AQ427&lt;&gt;"",LOWER(TRIM($AQ427))&lt;&gt;"n/a",LOWER(TRIM($AQ427))&lt;&gt;"na",SUMPRODUCT(--(UPPER(TRIM($AQ$2:$AQ$518))=UPPER(TRIM($AQ427))),--(TRIM($AQ$2:$AQ$518)&lt;&gt;""),--(LOWER(TRIM($AQ$2:$AQ$518))&lt;&gt;"n/a"),--(LOWER(TRIM($AQ$2:$AQ$518))&lt;&gt;"na"))&gt;1)),"Yes","No"))</f>
        <v/>
      </c>
      <c r="F427">
        <f>IF(UPPER(TRIM($B427))&lt;&gt;"YES","", IF(OR(AND($V427&lt;&gt;"", LOWER(TRIM($V427))&lt;&gt;"n/a", LOWER(TRIM($V427))&lt;&gt;"na", SUMPRODUCT(--(UPPER(TRIM($V$2:$V$518))=UPPER(TRIM($V427))), --(UPPER(TRIM($B$2:$B$518))="YES"), --(UPPER(TRIM($G$2:$G$518)&amp;TRIM($I$2:$I$518)&amp;TRIM($J$2:$J$518))&lt;&gt;UPPER(TRIM($G427)&amp;TRIM($I427)&amp;TRIM($J427))))&gt;0), AND($W427&lt;&gt;"", LOWER(TRIM($W427))&lt;&gt;"n/a", LOWER(TRIM($W427))&lt;&gt;"na", SUMPRODUCT(--(UPPER(TRIM($W$2:$W$518))=UPPER(TRIM($W427))), --(UPPER(TRIM($B$2:$B$518))="YES"), --(UPPER(TRIM($G$2:$G$518)&amp;TRIM($I$2:$I$518)&amp;TRIM($J$2:$J$518))&lt;&gt;UPPER(TRIM($G427)&amp;TRIM($I427)&amp;TRIM($J427))))&gt;0), AND($X427&lt;&gt;"", LOWER(TRIM($X427))&lt;&gt;"n/a", LOWER(TRIM($X427))&lt;&gt;"na", SUMPRODUCT(--(UPPER(TRIM($X$2:$X$518))=UPPER(TRIM($X427))), --(UPPER(TRIM($B$2:$B$518))="YES"), --(UPPER(TRIM($G$2:$G$518)&amp;TRIM($I$2:$I$518)&amp;TRIM($J$2:$J$518))&lt;&gt;UPPER(TRIM($G427)&amp;TRIM($I427)&amp;TRIM($J427))))&gt;0), AND($Y427&lt;&gt;"", LOWER(TRIM($Y427))&lt;&gt;"n/a", LOWER(TRIM($Y427))&lt;&gt;"na", SUMPRODUCT(--(UPPER(SUBSTITUTE(SUBSTITUTE(TRIM($Y$2:$Y$518),":",""),"-",""))=UPPER(SUBSTITUTE(SUBSTITUTE(TRIM($Y427),":",""),"-",""))), --(UPPER(TRIM($B$2:$B$518))="YES"), --(UPPER(TRIM($G$2:$G$518)&amp;TRIM($I$2:$I$518)&amp;TRIM($J$2:$J$518))&lt;&gt;UPPER(TRIM($G427)&amp;TRIM($I427)&amp;TRIM($J427))))&gt;0), AND($AB427&lt;&gt;"", LOWER(TRIM($AB427))&lt;&gt;"n/a", LOWER(TRIM($AB427))&lt;&gt;"na", SUMPRODUCT(--(UPPER(TRIM($AB$2:$AB$518))=UPPER(TRIM($AB427))), --(UPPER(TRIM($B$2:$B$518))="YES"), --(UPPER(TRIM($G$2:$G$518)&amp;TRIM($I$2:$I$518)&amp;TRIM($J$2:$J$518))&lt;&gt;UPPER(TRIM($G427)&amp;TRIM($I427)&amp;TRIM($J427))))&gt;0), AND($AH427&lt;&gt;"", LOWER(TRIM($AH427))&lt;&gt;"n/a", LOWER(TRIM($AH427))&lt;&gt;"na", SUMPRODUCT(--(UPPER(SUBSTITUTE(SUBSTITUTE(TRIM($AH$2:$AH$518),":",""),"-",""))=UPPER(SUBSTITUTE(SUBSTITUTE(TRIM($AH427),":",""),"-",""))), --(UPPER(TRIM($B$2:$B$518))="YES"), --(UPPER(TRIM($G$2:$G$518)&amp;TRIM($I$2:$I$518)&amp;TRIM($J$2:$J$518))&lt;&gt;UPPER(TRIM($G427)&amp;TRIM($I427)&amp;TRIM($J427))))&gt;0), AND($AP427&lt;&gt;"", LOWER(TRIM($AP427))&lt;&gt;"n/a", LOWER(TRIM($AP427))&lt;&gt;"na", SUMPRODUCT(--(UPPER(TRIM($AP$2:$AP$518))=UPPER(TRIM($AP427))), --(UPPER(TRIM($B$2:$B$518))="YES"), --(UPPER(TRIM($G$2:$G$518)&amp;TRIM($I$2:$I$518)&amp;TRIM($J$2:$J$518))&lt;&gt;UPPER(TRIM($G427)&amp;TRIM($I427)&amp;TRIM($J427))))&gt;0), AND($AQ427&lt;&gt;"", LOWER(TRIM($AQ427))&lt;&gt;"n/a", LOWER(TRIM($AQ427))&lt;&gt;"na", SUMPRODUCT(--(UPPER(TRIM($AQ$2:$AQ$518))=UPPER(TRIM($AQ427))), --(UPPER(TRIM($B$2:$B$518))="YES"), --(UPPER(TRIM($G$2:$G$518)&amp;TRIM($I$2:$I$518)&amp;TRIM($J$2:$J$518))&lt;&gt;UPPER(TRIM($G427)&amp;TRIM($I427)&amp;TRIM($J427))))&gt;0)), "Yes", "No"))</f>
        <v/>
      </c>
      <c r="CD427">
        <f>IF($Y427="","",IF((IF(AND($BR427&lt;&gt;"Yes",$BR427&lt;&gt;"N/A"),"Power Cable, ","")&amp;IF(AND($BS427&lt;&gt;"Yes",$BS427&lt;&gt;"N/A"),"Battery, ","")&amp;IF(AND($AD427&lt;&gt;"Yes",$AD427&lt;&gt;"N/A"),"Firmware Download, ","")&amp;IF(AND(OR($AD427="Yes",$AD427="N/A"),$AE427&lt;&gt;"Yes",$AE427&lt;&gt;"N/A"),"Firmware Install, ","")&amp;IF(AND($CB427&lt;&gt;"Yes",$CB427&lt;&gt;"N/A"),"Device ID, ","")&amp;IF(AND($CC427&lt;&gt;"Yes",$CC427&lt;&gt;"N/A"),"Epic Beans Relay, ",""))="","",LEFT(IF(AND($BR427&lt;&gt;"Yes",$BR427&lt;&gt;"N/A"),"Power Cable, ","")&amp;IF(AND($BS427&lt;&gt;"Yes",$BS427&lt;&gt;"N/A"),"Battery, ","")&amp;IF(AND($AD427&lt;&gt;"Yes",$AD427&lt;&gt;"N/A"),"Firmware Download, ","")&amp;IF(AND(OR($AD427="Yes",$AD427="N/A"),$AE427&lt;&gt;"Yes",$AE427&lt;&gt;"N/A"),"Firmware Install, ","")&amp;IF(AND($CB427&lt;&gt;"Yes",$CB427&lt;&gt;"N/A"),"Device ID, ","")&amp;IF(AND($CC427&lt;&gt;"Yes",$CC427&lt;&gt;"N/A"),"Epic Beans Relay, ",""),LEN(IF(AND($BR427&lt;&gt;"Yes",$BR427&lt;&gt;"N/A"),"Power Cable, ","")&amp;IF(AND($BS427&lt;&gt;"Yes",$BS427&lt;&gt;"N/A"),"Battery, ","")&amp;IF(AND($AD427&lt;&gt;"Yes",$AD427&lt;&gt;"N/A"),"Firmware Download, ","")&amp;IF(AND(OR($AD427="Yes",$AD427="N/A"),$AE427&lt;&gt;"Yes",$AE427&lt;&gt;"N/A"),"Firmware Install, ","")&amp;IF(AND($CB427&lt;&gt;"Yes",$CB427&lt;&gt;"N/A"),"Device ID, ","")&amp;IF(AND($CC427&lt;&gt;"Yes",$CC427&lt;&gt;"N/A"),"Epic Beans Relay, ",""))-2)))</f>
        <v/>
      </c>
      <c r="CE427">
        <f>IF($Y427="","",IF($CD427="","Yes","Blocked"))</f>
        <v/>
      </c>
      <c r="CP427">
        <f>IF($CO427="","",IFERROR(VLOOKUP($CO427,'01_Warehouse_Ledger'!$A:$N,4,FALSE),""))</f>
        <v/>
      </c>
      <c r="CQ427">
        <f>IF($CO427="","",IFERROR(VLOOKUP($CO427,'01_Warehouse_Ledger'!$A:$N,5,FALSE),""))</f>
        <v/>
      </c>
      <c r="CR427">
        <f>IF($CO427="","",IFERROR(VLOOKUP($CO427,'01_Warehouse_Ledger'!$A:$N,13,FALSE),""))</f>
        <v/>
      </c>
      <c r="CW427">
        <f>IF($S427="","",IF(UPPER(TRIM($S427))&lt;&gt;"PASS","",IF(LEN(TRIM($BY427))&gt;0,"NOTES_PRESENT",IF(LEN(TRIM($T427))=0,"SET_NA",IF(OR(LOWER(TRIM($T427))="na",LOWER(TRIM($T427))="n/a"),"OK","MANUAL_OVERRIDE")))))</f>
        <v/>
      </c>
    </row>
    <row r="428">
      <c r="B428" t="inlineStr">
        <is>
          <t>No</t>
        </is>
      </c>
      <c r="C428" t="inlineStr">
        <is>
          <t>No</t>
        </is>
      </c>
      <c r="D428">
        <f>IF($B428&lt;&gt;"Yes","",IF($C428="No","Yes",IF($C428="Yes","No","")))</f>
        <v/>
      </c>
      <c r="E428">
        <f>IF($A428="","",IF(OR(AND($V428&lt;&gt;"",LOWER(TRIM($V428))&lt;&gt;"n/a",LOWER(TRIM($V428))&lt;&gt;"na",SUMPRODUCT(--(UPPER(TRIM($V$2:$V$518))=UPPER(TRIM($V428))),--(TRIM($V$2:$V$518)&lt;&gt;""),--(LOWER(TRIM($V$2:$V$518))&lt;&gt;"n/a"),--(LOWER(TRIM($V$2:$V$518))&lt;&gt;"na"))&gt;1),AND($W428&lt;&gt;"",LOWER(TRIM($W428))&lt;&gt;"n/a",LOWER(TRIM($W428))&lt;&gt;"na",SUMPRODUCT(--(UPPER(TRIM($W$2:$W$518))=UPPER(TRIM($W428))),--(TRIM($W$2:$W$518)&lt;&gt;""),--(LOWER(TRIM($W$2:$W$518))&lt;&gt;"n/a"),--(LOWER(TRIM($W$2:$W$518))&lt;&gt;"na"))&gt;1),AND($X428&lt;&gt;"",LOWER(TRIM($X428))&lt;&gt;"n/a",LOWER(TRIM($X428))&lt;&gt;"na",SUMPRODUCT(--(UPPER(TRIM($X$2:$X$518))=UPPER(TRIM($X428))),--(TRIM($X$2:$X$518)&lt;&gt;""),--(LOWER(TRIM($X$2:$X$518))&lt;&gt;"n/a"),--(LOWER(TRIM($X$2:$X$518))&lt;&gt;"na"))&gt;1),AND($Y428&lt;&gt;"",LOWER(TRIM($Y428))&lt;&gt;"n/a",LOWER(TRIM($Y428))&lt;&gt;"na",SUMPRODUCT(--(UPPER(SUBSTITUTE(SUBSTITUTE(TRIM($Y$2:$Y$518),":",""),"-",""))=UPPER(SUBSTITUTE(SUBSTITUTE(TRIM($Y428),":",""),"-",""))),--(TRIM($Y$2:$Y$518)&lt;&gt;""),--(LOWER(TRIM($Y$2:$Y$518))&lt;&gt;"n/a"),--(LOWER(TRIM($Y$2:$Y$518))&lt;&gt;"na"))&gt;1),AND($AB428&lt;&gt;"",LOWER(TRIM($AB428))&lt;&gt;"n/a",LOWER(TRIM($AB428))&lt;&gt;"na",SUMPRODUCT(--(UPPER(TRIM($AB$2:$AB$518))=UPPER(TRIM($AB428))),--(TRIM($AB$2:$AB$518)&lt;&gt;""),--(LOWER(TRIM($AB$2:$AB$518))&lt;&gt;"n/a"),--(LOWER(TRIM($AB$2:$AB$518))&lt;&gt;"na"))&gt;1),AND($AH428&lt;&gt;"",LOWER(TRIM($AH428))&lt;&gt;"n/a",LOWER(TRIM($AH428))&lt;&gt;"na",SUMPRODUCT(--(UPPER(SUBSTITUTE(SUBSTITUTE(TRIM($AH$2:$AH$518),":",""),"-",""))=UPPER(SUBSTITUTE(SUBSTITUTE(TRIM($AH428),":",""),"-",""))),--(TRIM($AH$2:$AH$518)&lt;&gt;""),--(LOWER(TRIM($AH$2:$AH$518))&lt;&gt;"n/a"),--(LOWER(TRIM($AH$2:$AH$518))&lt;&gt;"na"))&gt;1),AND($AP428&lt;&gt;"",LOWER(TRIM($AP428))&lt;&gt;"n/a",LOWER(TRIM($AP428))&lt;&gt;"na",SUMPRODUCT(--(UPPER(TRIM($AP$2:$AP$518))=UPPER(TRIM($AP428))),--(TRIM($AP$2:$AP$518)&lt;&gt;""),--(LOWER(TRIM($AP$2:$AP$518))&lt;&gt;"n/a"),--(LOWER(TRIM($AP$2:$AP$518))&lt;&gt;"na"))&gt;1),AND($AQ428&lt;&gt;"",LOWER(TRIM($AQ428))&lt;&gt;"n/a",LOWER(TRIM($AQ428))&lt;&gt;"na",SUMPRODUCT(--(UPPER(TRIM($AQ$2:$AQ$518))=UPPER(TRIM($AQ428))),--(TRIM($AQ$2:$AQ$518)&lt;&gt;""),--(LOWER(TRIM($AQ$2:$AQ$518))&lt;&gt;"n/a"),--(LOWER(TRIM($AQ$2:$AQ$518))&lt;&gt;"na"))&gt;1)),"Yes","No"))</f>
        <v/>
      </c>
      <c r="F428">
        <f>IF(UPPER(TRIM($B428))&lt;&gt;"YES","", IF(OR(AND($V428&lt;&gt;"", LOWER(TRIM($V428))&lt;&gt;"n/a", LOWER(TRIM($V428))&lt;&gt;"na", SUMPRODUCT(--(UPPER(TRIM($V$2:$V$518))=UPPER(TRIM($V428))), --(UPPER(TRIM($B$2:$B$518))="YES"), --(UPPER(TRIM($G$2:$G$518)&amp;TRIM($I$2:$I$518)&amp;TRIM($J$2:$J$518))&lt;&gt;UPPER(TRIM($G428)&amp;TRIM($I428)&amp;TRIM($J428))))&gt;0), AND($W428&lt;&gt;"", LOWER(TRIM($W428))&lt;&gt;"n/a", LOWER(TRIM($W428))&lt;&gt;"na", SUMPRODUCT(--(UPPER(TRIM($W$2:$W$518))=UPPER(TRIM($W428))), --(UPPER(TRIM($B$2:$B$518))="YES"), --(UPPER(TRIM($G$2:$G$518)&amp;TRIM($I$2:$I$518)&amp;TRIM($J$2:$J$518))&lt;&gt;UPPER(TRIM($G428)&amp;TRIM($I428)&amp;TRIM($J428))))&gt;0), AND($X428&lt;&gt;"", LOWER(TRIM($X428))&lt;&gt;"n/a", LOWER(TRIM($X428))&lt;&gt;"na", SUMPRODUCT(--(UPPER(TRIM($X$2:$X$518))=UPPER(TRIM($X428))), --(UPPER(TRIM($B$2:$B$518))="YES"), --(UPPER(TRIM($G$2:$G$518)&amp;TRIM($I$2:$I$518)&amp;TRIM($J$2:$J$518))&lt;&gt;UPPER(TRIM($G428)&amp;TRIM($I428)&amp;TRIM($J428))))&gt;0), AND($Y428&lt;&gt;"", LOWER(TRIM($Y428))&lt;&gt;"n/a", LOWER(TRIM($Y428))&lt;&gt;"na", SUMPRODUCT(--(UPPER(SUBSTITUTE(SUBSTITUTE(TRIM($Y$2:$Y$518),":",""),"-",""))=UPPER(SUBSTITUTE(SUBSTITUTE(TRIM($Y428),":",""),"-",""))), --(UPPER(TRIM($B$2:$B$518))="YES"), --(UPPER(TRIM($G$2:$G$518)&amp;TRIM($I$2:$I$518)&amp;TRIM($J$2:$J$518))&lt;&gt;UPPER(TRIM($G428)&amp;TRIM($I428)&amp;TRIM($J428))))&gt;0), AND($AB428&lt;&gt;"", LOWER(TRIM($AB428))&lt;&gt;"n/a", LOWER(TRIM($AB428))&lt;&gt;"na", SUMPRODUCT(--(UPPER(TRIM($AB$2:$AB$518))=UPPER(TRIM($AB428))), --(UPPER(TRIM($B$2:$B$518))="YES"), --(UPPER(TRIM($G$2:$G$518)&amp;TRIM($I$2:$I$518)&amp;TRIM($J$2:$J$518))&lt;&gt;UPPER(TRIM($G428)&amp;TRIM($I428)&amp;TRIM($J428))))&gt;0), AND($AH428&lt;&gt;"", LOWER(TRIM($AH428))&lt;&gt;"n/a", LOWER(TRIM($AH428))&lt;&gt;"na", SUMPRODUCT(--(UPPER(SUBSTITUTE(SUBSTITUTE(TRIM($AH$2:$AH$518),":",""),"-",""))=UPPER(SUBSTITUTE(SUBSTITUTE(TRIM($AH428),":",""),"-",""))), --(UPPER(TRIM($B$2:$B$518))="YES"), --(UPPER(TRIM($G$2:$G$518)&amp;TRIM($I$2:$I$518)&amp;TRIM($J$2:$J$518))&lt;&gt;UPPER(TRIM($G428)&amp;TRIM($I428)&amp;TRIM($J428))))&gt;0), AND($AP428&lt;&gt;"", LOWER(TRIM($AP428))&lt;&gt;"n/a", LOWER(TRIM($AP428))&lt;&gt;"na", SUMPRODUCT(--(UPPER(TRIM($AP$2:$AP$518))=UPPER(TRIM($AP428))), --(UPPER(TRIM($B$2:$B$518))="YES"), --(UPPER(TRIM($G$2:$G$518)&amp;TRIM($I$2:$I$518)&amp;TRIM($J$2:$J$518))&lt;&gt;UPPER(TRIM($G428)&amp;TRIM($I428)&amp;TRIM($J428))))&gt;0), AND($AQ428&lt;&gt;"", LOWER(TRIM($AQ428))&lt;&gt;"n/a", LOWER(TRIM($AQ428))&lt;&gt;"na", SUMPRODUCT(--(UPPER(TRIM($AQ$2:$AQ$518))=UPPER(TRIM($AQ428))), --(UPPER(TRIM($B$2:$B$518))="YES"), --(UPPER(TRIM($G$2:$G$518)&amp;TRIM($I$2:$I$518)&amp;TRIM($J$2:$J$518))&lt;&gt;UPPER(TRIM($G428)&amp;TRIM($I428)&amp;TRIM($J428))))&gt;0)), "Yes", "No"))</f>
        <v/>
      </c>
      <c r="CD428">
        <f>IF($Y428="","",IF((IF(AND($BR428&lt;&gt;"Yes",$BR428&lt;&gt;"N/A"),"Power Cable, ","")&amp;IF(AND($BS428&lt;&gt;"Yes",$BS428&lt;&gt;"N/A"),"Battery, ","")&amp;IF(AND($AD428&lt;&gt;"Yes",$AD428&lt;&gt;"N/A"),"Firmware Download, ","")&amp;IF(AND(OR($AD428="Yes",$AD428="N/A"),$AE428&lt;&gt;"Yes",$AE428&lt;&gt;"N/A"),"Firmware Install, ","")&amp;IF(AND($CB428&lt;&gt;"Yes",$CB428&lt;&gt;"N/A"),"Device ID, ","")&amp;IF(AND($CC428&lt;&gt;"Yes",$CC428&lt;&gt;"N/A"),"Epic Beans Relay, ",""))="","",LEFT(IF(AND($BR428&lt;&gt;"Yes",$BR428&lt;&gt;"N/A"),"Power Cable, ","")&amp;IF(AND($BS428&lt;&gt;"Yes",$BS428&lt;&gt;"N/A"),"Battery, ","")&amp;IF(AND($AD428&lt;&gt;"Yes",$AD428&lt;&gt;"N/A"),"Firmware Download, ","")&amp;IF(AND(OR($AD428="Yes",$AD428="N/A"),$AE428&lt;&gt;"Yes",$AE428&lt;&gt;"N/A"),"Firmware Install, ","")&amp;IF(AND($CB428&lt;&gt;"Yes",$CB428&lt;&gt;"N/A"),"Device ID, ","")&amp;IF(AND($CC428&lt;&gt;"Yes",$CC428&lt;&gt;"N/A"),"Epic Beans Relay, ",""),LEN(IF(AND($BR428&lt;&gt;"Yes",$BR428&lt;&gt;"N/A"),"Power Cable, ","")&amp;IF(AND($BS428&lt;&gt;"Yes",$BS428&lt;&gt;"N/A"),"Battery, ","")&amp;IF(AND($AD428&lt;&gt;"Yes",$AD428&lt;&gt;"N/A"),"Firmware Download, ","")&amp;IF(AND(OR($AD428="Yes",$AD428="N/A"),$AE428&lt;&gt;"Yes",$AE428&lt;&gt;"N/A"),"Firmware Install, ","")&amp;IF(AND($CB428&lt;&gt;"Yes",$CB428&lt;&gt;"N/A"),"Device ID, ","")&amp;IF(AND($CC428&lt;&gt;"Yes",$CC428&lt;&gt;"N/A"),"Epic Beans Relay, ",""))-2)))</f>
        <v/>
      </c>
      <c r="CE428">
        <f>IF($Y428="","",IF($CD428="","Yes","Blocked"))</f>
        <v/>
      </c>
      <c r="CP428">
        <f>IF($CO428="","",IFERROR(VLOOKUP($CO428,'01_Warehouse_Ledger'!$A:$N,4,FALSE),""))</f>
        <v/>
      </c>
      <c r="CQ428">
        <f>IF($CO428="","",IFERROR(VLOOKUP($CO428,'01_Warehouse_Ledger'!$A:$N,5,FALSE),""))</f>
        <v/>
      </c>
      <c r="CR428">
        <f>IF($CO428="","",IFERROR(VLOOKUP($CO428,'01_Warehouse_Ledger'!$A:$N,13,FALSE),""))</f>
        <v/>
      </c>
      <c r="CW428">
        <f>IF($S428="","",IF(UPPER(TRIM($S428))&lt;&gt;"PASS","",IF(LEN(TRIM($BY428))&gt;0,"NOTES_PRESENT",IF(LEN(TRIM($T428))=0,"SET_NA",IF(OR(LOWER(TRIM($T428))="na",LOWER(TRIM($T428))="n/a"),"OK","MANUAL_OVERRIDE")))))</f>
        <v/>
      </c>
    </row>
    <row r="429">
      <c r="B429" t="inlineStr">
        <is>
          <t>No</t>
        </is>
      </c>
      <c r="C429" t="inlineStr">
        <is>
          <t>No</t>
        </is>
      </c>
      <c r="D429">
        <f>IF($B429&lt;&gt;"Yes","",IF($C429="No","Yes",IF($C429="Yes","No","")))</f>
        <v/>
      </c>
      <c r="E429">
        <f>IF($A429="","",IF(OR(AND($V429&lt;&gt;"",LOWER(TRIM($V429))&lt;&gt;"n/a",LOWER(TRIM($V429))&lt;&gt;"na",SUMPRODUCT(--(UPPER(TRIM($V$2:$V$518))=UPPER(TRIM($V429))),--(TRIM($V$2:$V$518)&lt;&gt;""),--(LOWER(TRIM($V$2:$V$518))&lt;&gt;"n/a"),--(LOWER(TRIM($V$2:$V$518))&lt;&gt;"na"))&gt;1),AND($W429&lt;&gt;"",LOWER(TRIM($W429))&lt;&gt;"n/a",LOWER(TRIM($W429))&lt;&gt;"na",SUMPRODUCT(--(UPPER(TRIM($W$2:$W$518))=UPPER(TRIM($W429))),--(TRIM($W$2:$W$518)&lt;&gt;""),--(LOWER(TRIM($W$2:$W$518))&lt;&gt;"n/a"),--(LOWER(TRIM($W$2:$W$518))&lt;&gt;"na"))&gt;1),AND($X429&lt;&gt;"",LOWER(TRIM($X429))&lt;&gt;"n/a",LOWER(TRIM($X429))&lt;&gt;"na",SUMPRODUCT(--(UPPER(TRIM($X$2:$X$518))=UPPER(TRIM($X429))),--(TRIM($X$2:$X$518)&lt;&gt;""),--(LOWER(TRIM($X$2:$X$518))&lt;&gt;"n/a"),--(LOWER(TRIM($X$2:$X$518))&lt;&gt;"na"))&gt;1),AND($Y429&lt;&gt;"",LOWER(TRIM($Y429))&lt;&gt;"n/a",LOWER(TRIM($Y429))&lt;&gt;"na",SUMPRODUCT(--(UPPER(SUBSTITUTE(SUBSTITUTE(TRIM($Y$2:$Y$518),":",""),"-",""))=UPPER(SUBSTITUTE(SUBSTITUTE(TRIM($Y429),":",""),"-",""))),--(TRIM($Y$2:$Y$518)&lt;&gt;""),--(LOWER(TRIM($Y$2:$Y$518))&lt;&gt;"n/a"),--(LOWER(TRIM($Y$2:$Y$518))&lt;&gt;"na"))&gt;1),AND($AB429&lt;&gt;"",LOWER(TRIM($AB429))&lt;&gt;"n/a",LOWER(TRIM($AB429))&lt;&gt;"na",SUMPRODUCT(--(UPPER(TRIM($AB$2:$AB$518))=UPPER(TRIM($AB429))),--(TRIM($AB$2:$AB$518)&lt;&gt;""),--(LOWER(TRIM($AB$2:$AB$518))&lt;&gt;"n/a"),--(LOWER(TRIM($AB$2:$AB$518))&lt;&gt;"na"))&gt;1),AND($AH429&lt;&gt;"",LOWER(TRIM($AH429))&lt;&gt;"n/a",LOWER(TRIM($AH429))&lt;&gt;"na",SUMPRODUCT(--(UPPER(SUBSTITUTE(SUBSTITUTE(TRIM($AH$2:$AH$518),":",""),"-",""))=UPPER(SUBSTITUTE(SUBSTITUTE(TRIM($AH429),":",""),"-",""))),--(TRIM($AH$2:$AH$518)&lt;&gt;""),--(LOWER(TRIM($AH$2:$AH$518))&lt;&gt;"n/a"),--(LOWER(TRIM($AH$2:$AH$518))&lt;&gt;"na"))&gt;1),AND($AP429&lt;&gt;"",LOWER(TRIM($AP429))&lt;&gt;"n/a",LOWER(TRIM($AP429))&lt;&gt;"na",SUMPRODUCT(--(UPPER(TRIM($AP$2:$AP$518))=UPPER(TRIM($AP429))),--(TRIM($AP$2:$AP$518)&lt;&gt;""),--(LOWER(TRIM($AP$2:$AP$518))&lt;&gt;"n/a"),--(LOWER(TRIM($AP$2:$AP$518))&lt;&gt;"na"))&gt;1),AND($AQ429&lt;&gt;"",LOWER(TRIM($AQ429))&lt;&gt;"n/a",LOWER(TRIM($AQ429))&lt;&gt;"na",SUMPRODUCT(--(UPPER(TRIM($AQ$2:$AQ$518))=UPPER(TRIM($AQ429))),--(TRIM($AQ$2:$AQ$518)&lt;&gt;""),--(LOWER(TRIM($AQ$2:$AQ$518))&lt;&gt;"n/a"),--(LOWER(TRIM($AQ$2:$AQ$518))&lt;&gt;"na"))&gt;1)),"Yes","No"))</f>
        <v/>
      </c>
      <c r="F429">
        <f>IF(UPPER(TRIM($B429))&lt;&gt;"YES","", IF(OR(AND($V429&lt;&gt;"", LOWER(TRIM($V429))&lt;&gt;"n/a", LOWER(TRIM($V429))&lt;&gt;"na", SUMPRODUCT(--(UPPER(TRIM($V$2:$V$518))=UPPER(TRIM($V429))), --(UPPER(TRIM($B$2:$B$518))="YES"), --(UPPER(TRIM($G$2:$G$518)&amp;TRIM($I$2:$I$518)&amp;TRIM($J$2:$J$518))&lt;&gt;UPPER(TRIM($G429)&amp;TRIM($I429)&amp;TRIM($J429))))&gt;0), AND($W429&lt;&gt;"", LOWER(TRIM($W429))&lt;&gt;"n/a", LOWER(TRIM($W429))&lt;&gt;"na", SUMPRODUCT(--(UPPER(TRIM($W$2:$W$518))=UPPER(TRIM($W429))), --(UPPER(TRIM($B$2:$B$518))="YES"), --(UPPER(TRIM($G$2:$G$518)&amp;TRIM($I$2:$I$518)&amp;TRIM($J$2:$J$518))&lt;&gt;UPPER(TRIM($G429)&amp;TRIM($I429)&amp;TRIM($J429))))&gt;0), AND($X429&lt;&gt;"", LOWER(TRIM($X429))&lt;&gt;"n/a", LOWER(TRIM($X429))&lt;&gt;"na", SUMPRODUCT(--(UPPER(TRIM($X$2:$X$518))=UPPER(TRIM($X429))), --(UPPER(TRIM($B$2:$B$518))="YES"), --(UPPER(TRIM($G$2:$G$518)&amp;TRIM($I$2:$I$518)&amp;TRIM($J$2:$J$518))&lt;&gt;UPPER(TRIM($G429)&amp;TRIM($I429)&amp;TRIM($J429))))&gt;0), AND($Y429&lt;&gt;"", LOWER(TRIM($Y429))&lt;&gt;"n/a", LOWER(TRIM($Y429))&lt;&gt;"na", SUMPRODUCT(--(UPPER(SUBSTITUTE(SUBSTITUTE(TRIM($Y$2:$Y$518),":",""),"-",""))=UPPER(SUBSTITUTE(SUBSTITUTE(TRIM($Y429),":",""),"-",""))), --(UPPER(TRIM($B$2:$B$518))="YES"), --(UPPER(TRIM($G$2:$G$518)&amp;TRIM($I$2:$I$518)&amp;TRIM($J$2:$J$518))&lt;&gt;UPPER(TRIM($G429)&amp;TRIM($I429)&amp;TRIM($J429))))&gt;0), AND($AB429&lt;&gt;"", LOWER(TRIM($AB429))&lt;&gt;"n/a", LOWER(TRIM($AB429))&lt;&gt;"na", SUMPRODUCT(--(UPPER(TRIM($AB$2:$AB$518))=UPPER(TRIM($AB429))), --(UPPER(TRIM($B$2:$B$518))="YES"), --(UPPER(TRIM($G$2:$G$518)&amp;TRIM($I$2:$I$518)&amp;TRIM($J$2:$J$518))&lt;&gt;UPPER(TRIM($G429)&amp;TRIM($I429)&amp;TRIM($J429))))&gt;0), AND($AH429&lt;&gt;"", LOWER(TRIM($AH429))&lt;&gt;"n/a", LOWER(TRIM($AH429))&lt;&gt;"na", SUMPRODUCT(--(UPPER(SUBSTITUTE(SUBSTITUTE(TRIM($AH$2:$AH$518),":",""),"-",""))=UPPER(SUBSTITUTE(SUBSTITUTE(TRIM($AH429),":",""),"-",""))), --(UPPER(TRIM($B$2:$B$518))="YES"), --(UPPER(TRIM($G$2:$G$518)&amp;TRIM($I$2:$I$518)&amp;TRIM($J$2:$J$518))&lt;&gt;UPPER(TRIM($G429)&amp;TRIM($I429)&amp;TRIM($J429))))&gt;0), AND($AP429&lt;&gt;"", LOWER(TRIM($AP429))&lt;&gt;"n/a", LOWER(TRIM($AP429))&lt;&gt;"na", SUMPRODUCT(--(UPPER(TRIM($AP$2:$AP$518))=UPPER(TRIM($AP429))), --(UPPER(TRIM($B$2:$B$518))="YES"), --(UPPER(TRIM($G$2:$G$518)&amp;TRIM($I$2:$I$518)&amp;TRIM($J$2:$J$518))&lt;&gt;UPPER(TRIM($G429)&amp;TRIM($I429)&amp;TRIM($J429))))&gt;0), AND($AQ429&lt;&gt;"", LOWER(TRIM($AQ429))&lt;&gt;"n/a", LOWER(TRIM($AQ429))&lt;&gt;"na", SUMPRODUCT(--(UPPER(TRIM($AQ$2:$AQ$518))=UPPER(TRIM($AQ429))), --(UPPER(TRIM($B$2:$B$518))="YES"), --(UPPER(TRIM($G$2:$G$518)&amp;TRIM($I$2:$I$518)&amp;TRIM($J$2:$J$518))&lt;&gt;UPPER(TRIM($G429)&amp;TRIM($I429)&amp;TRIM($J429))))&gt;0)), "Yes", "No"))</f>
        <v/>
      </c>
      <c r="CD429">
        <f>IF($Y429="","",IF((IF(AND($BR429&lt;&gt;"Yes",$BR429&lt;&gt;"N/A"),"Power Cable, ","")&amp;IF(AND($BS429&lt;&gt;"Yes",$BS429&lt;&gt;"N/A"),"Battery, ","")&amp;IF(AND($AD429&lt;&gt;"Yes",$AD429&lt;&gt;"N/A"),"Firmware Download, ","")&amp;IF(AND(OR($AD429="Yes",$AD429="N/A"),$AE429&lt;&gt;"Yes",$AE429&lt;&gt;"N/A"),"Firmware Install, ","")&amp;IF(AND($CB429&lt;&gt;"Yes",$CB429&lt;&gt;"N/A"),"Device ID, ","")&amp;IF(AND($CC429&lt;&gt;"Yes",$CC429&lt;&gt;"N/A"),"Epic Beans Relay, ",""))="","",LEFT(IF(AND($BR429&lt;&gt;"Yes",$BR429&lt;&gt;"N/A"),"Power Cable, ","")&amp;IF(AND($BS429&lt;&gt;"Yes",$BS429&lt;&gt;"N/A"),"Battery, ","")&amp;IF(AND($AD429&lt;&gt;"Yes",$AD429&lt;&gt;"N/A"),"Firmware Download, ","")&amp;IF(AND(OR($AD429="Yes",$AD429="N/A"),$AE429&lt;&gt;"Yes",$AE429&lt;&gt;"N/A"),"Firmware Install, ","")&amp;IF(AND($CB429&lt;&gt;"Yes",$CB429&lt;&gt;"N/A"),"Device ID, ","")&amp;IF(AND($CC429&lt;&gt;"Yes",$CC429&lt;&gt;"N/A"),"Epic Beans Relay, ",""),LEN(IF(AND($BR429&lt;&gt;"Yes",$BR429&lt;&gt;"N/A"),"Power Cable, ","")&amp;IF(AND($BS429&lt;&gt;"Yes",$BS429&lt;&gt;"N/A"),"Battery, ","")&amp;IF(AND($AD429&lt;&gt;"Yes",$AD429&lt;&gt;"N/A"),"Firmware Download, ","")&amp;IF(AND(OR($AD429="Yes",$AD429="N/A"),$AE429&lt;&gt;"Yes",$AE429&lt;&gt;"N/A"),"Firmware Install, ","")&amp;IF(AND($CB429&lt;&gt;"Yes",$CB429&lt;&gt;"N/A"),"Device ID, ","")&amp;IF(AND($CC429&lt;&gt;"Yes",$CC429&lt;&gt;"N/A"),"Epic Beans Relay, ",""))-2)))</f>
        <v/>
      </c>
      <c r="CE429">
        <f>IF($Y429="","",IF($CD429="","Yes","Blocked"))</f>
        <v/>
      </c>
      <c r="CP429">
        <f>IF($CO429="","",IFERROR(VLOOKUP($CO429,'01_Warehouse_Ledger'!$A:$N,4,FALSE),""))</f>
        <v/>
      </c>
      <c r="CQ429">
        <f>IF($CO429="","",IFERROR(VLOOKUP($CO429,'01_Warehouse_Ledger'!$A:$N,5,FALSE),""))</f>
        <v/>
      </c>
      <c r="CR429">
        <f>IF($CO429="","",IFERROR(VLOOKUP($CO429,'01_Warehouse_Ledger'!$A:$N,13,FALSE),""))</f>
        <v/>
      </c>
      <c r="CW429">
        <f>IF($S429="","",IF(UPPER(TRIM($S429))&lt;&gt;"PASS","",IF(LEN(TRIM($BY429))&gt;0,"NOTES_PRESENT",IF(LEN(TRIM($T429))=0,"SET_NA",IF(OR(LOWER(TRIM($T429))="na",LOWER(TRIM($T429))="n/a"),"OK","MANUAL_OVERRIDE")))))</f>
        <v/>
      </c>
    </row>
    <row r="430">
      <c r="B430" t="inlineStr">
        <is>
          <t>No</t>
        </is>
      </c>
      <c r="C430" t="inlineStr">
        <is>
          <t>No</t>
        </is>
      </c>
      <c r="D430">
        <f>IF($B430&lt;&gt;"Yes","",IF($C430="No","Yes",IF($C430="Yes","No","")))</f>
        <v/>
      </c>
      <c r="E430">
        <f>IF($A430="","",IF(OR(AND($V430&lt;&gt;"",LOWER(TRIM($V430))&lt;&gt;"n/a",LOWER(TRIM($V430))&lt;&gt;"na",SUMPRODUCT(--(UPPER(TRIM($V$2:$V$518))=UPPER(TRIM($V430))),--(TRIM($V$2:$V$518)&lt;&gt;""),--(LOWER(TRIM($V$2:$V$518))&lt;&gt;"n/a"),--(LOWER(TRIM($V$2:$V$518))&lt;&gt;"na"))&gt;1),AND($W430&lt;&gt;"",LOWER(TRIM($W430))&lt;&gt;"n/a",LOWER(TRIM($W430))&lt;&gt;"na",SUMPRODUCT(--(UPPER(TRIM($W$2:$W$518))=UPPER(TRIM($W430))),--(TRIM($W$2:$W$518)&lt;&gt;""),--(LOWER(TRIM($W$2:$W$518))&lt;&gt;"n/a"),--(LOWER(TRIM($W$2:$W$518))&lt;&gt;"na"))&gt;1),AND($X430&lt;&gt;"",LOWER(TRIM($X430))&lt;&gt;"n/a",LOWER(TRIM($X430))&lt;&gt;"na",SUMPRODUCT(--(UPPER(TRIM($X$2:$X$518))=UPPER(TRIM($X430))),--(TRIM($X$2:$X$518)&lt;&gt;""),--(LOWER(TRIM($X$2:$X$518))&lt;&gt;"n/a"),--(LOWER(TRIM($X$2:$X$518))&lt;&gt;"na"))&gt;1),AND($Y430&lt;&gt;"",LOWER(TRIM($Y430))&lt;&gt;"n/a",LOWER(TRIM($Y430))&lt;&gt;"na",SUMPRODUCT(--(UPPER(SUBSTITUTE(SUBSTITUTE(TRIM($Y$2:$Y$518),":",""),"-",""))=UPPER(SUBSTITUTE(SUBSTITUTE(TRIM($Y430),":",""),"-",""))),--(TRIM($Y$2:$Y$518)&lt;&gt;""),--(LOWER(TRIM($Y$2:$Y$518))&lt;&gt;"n/a"),--(LOWER(TRIM($Y$2:$Y$518))&lt;&gt;"na"))&gt;1),AND($AB430&lt;&gt;"",LOWER(TRIM($AB430))&lt;&gt;"n/a",LOWER(TRIM($AB430))&lt;&gt;"na",SUMPRODUCT(--(UPPER(TRIM($AB$2:$AB$518))=UPPER(TRIM($AB430))),--(TRIM($AB$2:$AB$518)&lt;&gt;""),--(LOWER(TRIM($AB$2:$AB$518))&lt;&gt;"n/a"),--(LOWER(TRIM($AB$2:$AB$518))&lt;&gt;"na"))&gt;1),AND($AH430&lt;&gt;"",LOWER(TRIM($AH430))&lt;&gt;"n/a",LOWER(TRIM($AH430))&lt;&gt;"na",SUMPRODUCT(--(UPPER(SUBSTITUTE(SUBSTITUTE(TRIM($AH$2:$AH$518),":",""),"-",""))=UPPER(SUBSTITUTE(SUBSTITUTE(TRIM($AH430),":",""),"-",""))),--(TRIM($AH$2:$AH$518)&lt;&gt;""),--(LOWER(TRIM($AH$2:$AH$518))&lt;&gt;"n/a"),--(LOWER(TRIM($AH$2:$AH$518))&lt;&gt;"na"))&gt;1),AND($AP430&lt;&gt;"",LOWER(TRIM($AP430))&lt;&gt;"n/a",LOWER(TRIM($AP430))&lt;&gt;"na",SUMPRODUCT(--(UPPER(TRIM($AP$2:$AP$518))=UPPER(TRIM($AP430))),--(TRIM($AP$2:$AP$518)&lt;&gt;""),--(LOWER(TRIM($AP$2:$AP$518))&lt;&gt;"n/a"),--(LOWER(TRIM($AP$2:$AP$518))&lt;&gt;"na"))&gt;1),AND($AQ430&lt;&gt;"",LOWER(TRIM($AQ430))&lt;&gt;"n/a",LOWER(TRIM($AQ430))&lt;&gt;"na",SUMPRODUCT(--(UPPER(TRIM($AQ$2:$AQ$518))=UPPER(TRIM($AQ430))),--(TRIM($AQ$2:$AQ$518)&lt;&gt;""),--(LOWER(TRIM($AQ$2:$AQ$518))&lt;&gt;"n/a"),--(LOWER(TRIM($AQ$2:$AQ$518))&lt;&gt;"na"))&gt;1)),"Yes","No"))</f>
        <v/>
      </c>
      <c r="F430">
        <f>IF(UPPER(TRIM($B430))&lt;&gt;"YES","", IF(OR(AND($V430&lt;&gt;"", LOWER(TRIM($V430))&lt;&gt;"n/a", LOWER(TRIM($V430))&lt;&gt;"na", SUMPRODUCT(--(UPPER(TRIM($V$2:$V$518))=UPPER(TRIM($V430))), --(UPPER(TRIM($B$2:$B$518))="YES"), --(UPPER(TRIM($G$2:$G$518)&amp;TRIM($I$2:$I$518)&amp;TRIM($J$2:$J$518))&lt;&gt;UPPER(TRIM($G430)&amp;TRIM($I430)&amp;TRIM($J430))))&gt;0), AND($W430&lt;&gt;"", LOWER(TRIM($W430))&lt;&gt;"n/a", LOWER(TRIM($W430))&lt;&gt;"na", SUMPRODUCT(--(UPPER(TRIM($W$2:$W$518))=UPPER(TRIM($W430))), --(UPPER(TRIM($B$2:$B$518))="YES"), --(UPPER(TRIM($G$2:$G$518)&amp;TRIM($I$2:$I$518)&amp;TRIM($J$2:$J$518))&lt;&gt;UPPER(TRIM($G430)&amp;TRIM($I430)&amp;TRIM($J430))))&gt;0), AND($X430&lt;&gt;"", LOWER(TRIM($X430))&lt;&gt;"n/a", LOWER(TRIM($X430))&lt;&gt;"na", SUMPRODUCT(--(UPPER(TRIM($X$2:$X$518))=UPPER(TRIM($X430))), --(UPPER(TRIM($B$2:$B$518))="YES"), --(UPPER(TRIM($G$2:$G$518)&amp;TRIM($I$2:$I$518)&amp;TRIM($J$2:$J$518))&lt;&gt;UPPER(TRIM($G430)&amp;TRIM($I430)&amp;TRIM($J430))))&gt;0), AND($Y430&lt;&gt;"", LOWER(TRIM($Y430))&lt;&gt;"n/a", LOWER(TRIM($Y430))&lt;&gt;"na", SUMPRODUCT(--(UPPER(SUBSTITUTE(SUBSTITUTE(TRIM($Y$2:$Y$518),":",""),"-",""))=UPPER(SUBSTITUTE(SUBSTITUTE(TRIM($Y430),":",""),"-",""))), --(UPPER(TRIM($B$2:$B$518))="YES"), --(UPPER(TRIM($G$2:$G$518)&amp;TRIM($I$2:$I$518)&amp;TRIM($J$2:$J$518))&lt;&gt;UPPER(TRIM($G430)&amp;TRIM($I430)&amp;TRIM($J430))))&gt;0), AND($AB430&lt;&gt;"", LOWER(TRIM($AB430))&lt;&gt;"n/a", LOWER(TRIM($AB430))&lt;&gt;"na", SUMPRODUCT(--(UPPER(TRIM($AB$2:$AB$518))=UPPER(TRIM($AB430))), --(UPPER(TRIM($B$2:$B$518))="YES"), --(UPPER(TRIM($G$2:$G$518)&amp;TRIM($I$2:$I$518)&amp;TRIM($J$2:$J$518))&lt;&gt;UPPER(TRIM($G430)&amp;TRIM($I430)&amp;TRIM($J430))))&gt;0), AND($AH430&lt;&gt;"", LOWER(TRIM($AH430))&lt;&gt;"n/a", LOWER(TRIM($AH430))&lt;&gt;"na", SUMPRODUCT(--(UPPER(SUBSTITUTE(SUBSTITUTE(TRIM($AH$2:$AH$518),":",""),"-",""))=UPPER(SUBSTITUTE(SUBSTITUTE(TRIM($AH430),":",""),"-",""))), --(UPPER(TRIM($B$2:$B$518))="YES"), --(UPPER(TRIM($G$2:$G$518)&amp;TRIM($I$2:$I$518)&amp;TRIM($J$2:$J$518))&lt;&gt;UPPER(TRIM($G430)&amp;TRIM($I430)&amp;TRIM($J430))))&gt;0), AND($AP430&lt;&gt;"", LOWER(TRIM($AP430))&lt;&gt;"n/a", LOWER(TRIM($AP430))&lt;&gt;"na", SUMPRODUCT(--(UPPER(TRIM($AP$2:$AP$518))=UPPER(TRIM($AP430))), --(UPPER(TRIM($B$2:$B$518))="YES"), --(UPPER(TRIM($G$2:$G$518)&amp;TRIM($I$2:$I$518)&amp;TRIM($J$2:$J$518))&lt;&gt;UPPER(TRIM($G430)&amp;TRIM($I430)&amp;TRIM($J430))))&gt;0), AND($AQ430&lt;&gt;"", LOWER(TRIM($AQ430))&lt;&gt;"n/a", LOWER(TRIM($AQ430))&lt;&gt;"na", SUMPRODUCT(--(UPPER(TRIM($AQ$2:$AQ$518))=UPPER(TRIM($AQ430))), --(UPPER(TRIM($B$2:$B$518))="YES"), --(UPPER(TRIM($G$2:$G$518)&amp;TRIM($I$2:$I$518)&amp;TRIM($J$2:$J$518))&lt;&gt;UPPER(TRIM($G430)&amp;TRIM($I430)&amp;TRIM($J430))))&gt;0)), "Yes", "No"))</f>
        <v/>
      </c>
      <c r="CD430">
        <f>IF($Y430="","",IF((IF(AND($BR430&lt;&gt;"Yes",$BR430&lt;&gt;"N/A"),"Power Cable, ","")&amp;IF(AND($BS430&lt;&gt;"Yes",$BS430&lt;&gt;"N/A"),"Battery, ","")&amp;IF(AND($AD430&lt;&gt;"Yes",$AD430&lt;&gt;"N/A"),"Firmware Download, ","")&amp;IF(AND(OR($AD430="Yes",$AD430="N/A"),$AE430&lt;&gt;"Yes",$AE430&lt;&gt;"N/A"),"Firmware Install, ","")&amp;IF(AND($CB430&lt;&gt;"Yes",$CB430&lt;&gt;"N/A"),"Device ID, ","")&amp;IF(AND($CC430&lt;&gt;"Yes",$CC430&lt;&gt;"N/A"),"Epic Beans Relay, ",""))="","",LEFT(IF(AND($BR430&lt;&gt;"Yes",$BR430&lt;&gt;"N/A"),"Power Cable, ","")&amp;IF(AND($BS430&lt;&gt;"Yes",$BS430&lt;&gt;"N/A"),"Battery, ","")&amp;IF(AND($AD430&lt;&gt;"Yes",$AD430&lt;&gt;"N/A"),"Firmware Download, ","")&amp;IF(AND(OR($AD430="Yes",$AD430="N/A"),$AE430&lt;&gt;"Yes",$AE430&lt;&gt;"N/A"),"Firmware Install, ","")&amp;IF(AND($CB430&lt;&gt;"Yes",$CB430&lt;&gt;"N/A"),"Device ID, ","")&amp;IF(AND($CC430&lt;&gt;"Yes",$CC430&lt;&gt;"N/A"),"Epic Beans Relay, ",""),LEN(IF(AND($BR430&lt;&gt;"Yes",$BR430&lt;&gt;"N/A"),"Power Cable, ","")&amp;IF(AND($BS430&lt;&gt;"Yes",$BS430&lt;&gt;"N/A"),"Battery, ","")&amp;IF(AND($AD430&lt;&gt;"Yes",$AD430&lt;&gt;"N/A"),"Firmware Download, ","")&amp;IF(AND(OR($AD430="Yes",$AD430="N/A"),$AE430&lt;&gt;"Yes",$AE430&lt;&gt;"N/A"),"Firmware Install, ","")&amp;IF(AND($CB430&lt;&gt;"Yes",$CB430&lt;&gt;"N/A"),"Device ID, ","")&amp;IF(AND($CC430&lt;&gt;"Yes",$CC430&lt;&gt;"N/A"),"Epic Beans Relay, ",""))-2)))</f>
        <v/>
      </c>
      <c r="CE430">
        <f>IF($Y430="","",IF($CD430="","Yes","Blocked"))</f>
        <v/>
      </c>
      <c r="CP430">
        <f>IF($CO430="","",IFERROR(VLOOKUP($CO430,'01_Warehouse_Ledger'!$A:$N,4,FALSE),""))</f>
        <v/>
      </c>
      <c r="CQ430">
        <f>IF($CO430="","",IFERROR(VLOOKUP($CO430,'01_Warehouse_Ledger'!$A:$N,5,FALSE),""))</f>
        <v/>
      </c>
      <c r="CR430">
        <f>IF($CO430="","",IFERROR(VLOOKUP($CO430,'01_Warehouse_Ledger'!$A:$N,13,FALSE),""))</f>
        <v/>
      </c>
      <c r="CW430">
        <f>IF($S430="","",IF(UPPER(TRIM($S430))&lt;&gt;"PASS","",IF(LEN(TRIM($BY430))&gt;0,"NOTES_PRESENT",IF(LEN(TRIM($T430))=0,"SET_NA",IF(OR(LOWER(TRIM($T430))="na",LOWER(TRIM($T430))="n/a"),"OK","MANUAL_OVERRIDE")))))</f>
        <v/>
      </c>
    </row>
    <row r="431">
      <c r="B431" t="inlineStr">
        <is>
          <t>No</t>
        </is>
      </c>
      <c r="C431" t="inlineStr">
        <is>
          <t>No</t>
        </is>
      </c>
      <c r="D431">
        <f>IF($B431&lt;&gt;"Yes","",IF($C431="No","Yes",IF($C431="Yes","No","")))</f>
        <v/>
      </c>
      <c r="E431">
        <f>IF($A431="","",IF(OR(AND($V431&lt;&gt;"",LOWER(TRIM($V431))&lt;&gt;"n/a",LOWER(TRIM($V431))&lt;&gt;"na",SUMPRODUCT(--(UPPER(TRIM($V$2:$V$518))=UPPER(TRIM($V431))),--(TRIM($V$2:$V$518)&lt;&gt;""),--(LOWER(TRIM($V$2:$V$518))&lt;&gt;"n/a"),--(LOWER(TRIM($V$2:$V$518))&lt;&gt;"na"))&gt;1),AND($W431&lt;&gt;"",LOWER(TRIM($W431))&lt;&gt;"n/a",LOWER(TRIM($W431))&lt;&gt;"na",SUMPRODUCT(--(UPPER(TRIM($W$2:$W$518))=UPPER(TRIM($W431))),--(TRIM($W$2:$W$518)&lt;&gt;""),--(LOWER(TRIM($W$2:$W$518))&lt;&gt;"n/a"),--(LOWER(TRIM($W$2:$W$518))&lt;&gt;"na"))&gt;1),AND($X431&lt;&gt;"",LOWER(TRIM($X431))&lt;&gt;"n/a",LOWER(TRIM($X431))&lt;&gt;"na",SUMPRODUCT(--(UPPER(TRIM($X$2:$X$518))=UPPER(TRIM($X431))),--(TRIM($X$2:$X$518)&lt;&gt;""),--(LOWER(TRIM($X$2:$X$518))&lt;&gt;"n/a"),--(LOWER(TRIM($X$2:$X$518))&lt;&gt;"na"))&gt;1),AND($Y431&lt;&gt;"",LOWER(TRIM($Y431))&lt;&gt;"n/a",LOWER(TRIM($Y431))&lt;&gt;"na",SUMPRODUCT(--(UPPER(SUBSTITUTE(SUBSTITUTE(TRIM($Y$2:$Y$518),":",""),"-",""))=UPPER(SUBSTITUTE(SUBSTITUTE(TRIM($Y431),":",""),"-",""))),--(TRIM($Y$2:$Y$518)&lt;&gt;""),--(LOWER(TRIM($Y$2:$Y$518))&lt;&gt;"n/a"),--(LOWER(TRIM($Y$2:$Y$518))&lt;&gt;"na"))&gt;1),AND($AB431&lt;&gt;"",LOWER(TRIM($AB431))&lt;&gt;"n/a",LOWER(TRIM($AB431))&lt;&gt;"na",SUMPRODUCT(--(UPPER(TRIM($AB$2:$AB$518))=UPPER(TRIM($AB431))),--(TRIM($AB$2:$AB$518)&lt;&gt;""),--(LOWER(TRIM($AB$2:$AB$518))&lt;&gt;"n/a"),--(LOWER(TRIM($AB$2:$AB$518))&lt;&gt;"na"))&gt;1),AND($AH431&lt;&gt;"",LOWER(TRIM($AH431))&lt;&gt;"n/a",LOWER(TRIM($AH431))&lt;&gt;"na",SUMPRODUCT(--(UPPER(SUBSTITUTE(SUBSTITUTE(TRIM($AH$2:$AH$518),":",""),"-",""))=UPPER(SUBSTITUTE(SUBSTITUTE(TRIM($AH431),":",""),"-",""))),--(TRIM($AH$2:$AH$518)&lt;&gt;""),--(LOWER(TRIM($AH$2:$AH$518))&lt;&gt;"n/a"),--(LOWER(TRIM($AH$2:$AH$518))&lt;&gt;"na"))&gt;1),AND($AP431&lt;&gt;"",LOWER(TRIM($AP431))&lt;&gt;"n/a",LOWER(TRIM($AP431))&lt;&gt;"na",SUMPRODUCT(--(UPPER(TRIM($AP$2:$AP$518))=UPPER(TRIM($AP431))),--(TRIM($AP$2:$AP$518)&lt;&gt;""),--(LOWER(TRIM($AP$2:$AP$518))&lt;&gt;"n/a"),--(LOWER(TRIM($AP$2:$AP$518))&lt;&gt;"na"))&gt;1),AND($AQ431&lt;&gt;"",LOWER(TRIM($AQ431))&lt;&gt;"n/a",LOWER(TRIM($AQ431))&lt;&gt;"na",SUMPRODUCT(--(UPPER(TRIM($AQ$2:$AQ$518))=UPPER(TRIM($AQ431))),--(TRIM($AQ$2:$AQ$518)&lt;&gt;""),--(LOWER(TRIM($AQ$2:$AQ$518))&lt;&gt;"n/a"),--(LOWER(TRIM($AQ$2:$AQ$518))&lt;&gt;"na"))&gt;1)),"Yes","No"))</f>
        <v/>
      </c>
      <c r="F431">
        <f>IF(UPPER(TRIM($B431))&lt;&gt;"YES","", IF(OR(AND($V431&lt;&gt;"", LOWER(TRIM($V431))&lt;&gt;"n/a", LOWER(TRIM($V431))&lt;&gt;"na", SUMPRODUCT(--(UPPER(TRIM($V$2:$V$518))=UPPER(TRIM($V431))), --(UPPER(TRIM($B$2:$B$518))="YES"), --(UPPER(TRIM($G$2:$G$518)&amp;TRIM($I$2:$I$518)&amp;TRIM($J$2:$J$518))&lt;&gt;UPPER(TRIM($G431)&amp;TRIM($I431)&amp;TRIM($J431))))&gt;0), AND($W431&lt;&gt;"", LOWER(TRIM($W431))&lt;&gt;"n/a", LOWER(TRIM($W431))&lt;&gt;"na", SUMPRODUCT(--(UPPER(TRIM($W$2:$W$518))=UPPER(TRIM($W431))), --(UPPER(TRIM($B$2:$B$518))="YES"), --(UPPER(TRIM($G$2:$G$518)&amp;TRIM($I$2:$I$518)&amp;TRIM($J$2:$J$518))&lt;&gt;UPPER(TRIM($G431)&amp;TRIM($I431)&amp;TRIM($J431))))&gt;0), AND($X431&lt;&gt;"", LOWER(TRIM($X431))&lt;&gt;"n/a", LOWER(TRIM($X431))&lt;&gt;"na", SUMPRODUCT(--(UPPER(TRIM($X$2:$X$518))=UPPER(TRIM($X431))), --(UPPER(TRIM($B$2:$B$518))="YES"), --(UPPER(TRIM($G$2:$G$518)&amp;TRIM($I$2:$I$518)&amp;TRIM($J$2:$J$518))&lt;&gt;UPPER(TRIM($G431)&amp;TRIM($I431)&amp;TRIM($J431))))&gt;0), AND($Y431&lt;&gt;"", LOWER(TRIM($Y431))&lt;&gt;"n/a", LOWER(TRIM($Y431))&lt;&gt;"na", SUMPRODUCT(--(UPPER(SUBSTITUTE(SUBSTITUTE(TRIM($Y$2:$Y$518),":",""),"-",""))=UPPER(SUBSTITUTE(SUBSTITUTE(TRIM($Y431),":",""),"-",""))), --(UPPER(TRIM($B$2:$B$518))="YES"), --(UPPER(TRIM($G$2:$G$518)&amp;TRIM($I$2:$I$518)&amp;TRIM($J$2:$J$518))&lt;&gt;UPPER(TRIM($G431)&amp;TRIM($I431)&amp;TRIM($J431))))&gt;0), AND($AB431&lt;&gt;"", LOWER(TRIM($AB431))&lt;&gt;"n/a", LOWER(TRIM($AB431))&lt;&gt;"na", SUMPRODUCT(--(UPPER(TRIM($AB$2:$AB$518))=UPPER(TRIM($AB431))), --(UPPER(TRIM($B$2:$B$518))="YES"), --(UPPER(TRIM($G$2:$G$518)&amp;TRIM($I$2:$I$518)&amp;TRIM($J$2:$J$518))&lt;&gt;UPPER(TRIM($G431)&amp;TRIM($I431)&amp;TRIM($J431))))&gt;0), AND($AH431&lt;&gt;"", LOWER(TRIM($AH431))&lt;&gt;"n/a", LOWER(TRIM($AH431))&lt;&gt;"na", SUMPRODUCT(--(UPPER(SUBSTITUTE(SUBSTITUTE(TRIM($AH$2:$AH$518),":",""),"-",""))=UPPER(SUBSTITUTE(SUBSTITUTE(TRIM($AH431),":",""),"-",""))), --(UPPER(TRIM($B$2:$B$518))="YES"), --(UPPER(TRIM($G$2:$G$518)&amp;TRIM($I$2:$I$518)&amp;TRIM($J$2:$J$518))&lt;&gt;UPPER(TRIM($G431)&amp;TRIM($I431)&amp;TRIM($J431))))&gt;0), AND($AP431&lt;&gt;"", LOWER(TRIM($AP431))&lt;&gt;"n/a", LOWER(TRIM($AP431))&lt;&gt;"na", SUMPRODUCT(--(UPPER(TRIM($AP$2:$AP$518))=UPPER(TRIM($AP431))), --(UPPER(TRIM($B$2:$B$518))="YES"), --(UPPER(TRIM($G$2:$G$518)&amp;TRIM($I$2:$I$518)&amp;TRIM($J$2:$J$518))&lt;&gt;UPPER(TRIM($G431)&amp;TRIM($I431)&amp;TRIM($J431))))&gt;0), AND($AQ431&lt;&gt;"", LOWER(TRIM($AQ431))&lt;&gt;"n/a", LOWER(TRIM($AQ431))&lt;&gt;"na", SUMPRODUCT(--(UPPER(TRIM($AQ$2:$AQ$518))=UPPER(TRIM($AQ431))), --(UPPER(TRIM($B$2:$B$518))="YES"), --(UPPER(TRIM($G$2:$G$518)&amp;TRIM($I$2:$I$518)&amp;TRIM($J$2:$J$518))&lt;&gt;UPPER(TRIM($G431)&amp;TRIM($I431)&amp;TRIM($J431))))&gt;0)), "Yes", "No"))</f>
        <v/>
      </c>
      <c r="CD431">
        <f>IF($Y431="","",IF((IF(AND($BR431&lt;&gt;"Yes",$BR431&lt;&gt;"N/A"),"Power Cable, ","")&amp;IF(AND($BS431&lt;&gt;"Yes",$BS431&lt;&gt;"N/A"),"Battery, ","")&amp;IF(AND($AD431&lt;&gt;"Yes",$AD431&lt;&gt;"N/A"),"Firmware Download, ","")&amp;IF(AND(OR($AD431="Yes",$AD431="N/A"),$AE431&lt;&gt;"Yes",$AE431&lt;&gt;"N/A"),"Firmware Install, ","")&amp;IF(AND($CB431&lt;&gt;"Yes",$CB431&lt;&gt;"N/A"),"Device ID, ","")&amp;IF(AND($CC431&lt;&gt;"Yes",$CC431&lt;&gt;"N/A"),"Epic Beans Relay, ",""))="","",LEFT(IF(AND($BR431&lt;&gt;"Yes",$BR431&lt;&gt;"N/A"),"Power Cable, ","")&amp;IF(AND($BS431&lt;&gt;"Yes",$BS431&lt;&gt;"N/A"),"Battery, ","")&amp;IF(AND($AD431&lt;&gt;"Yes",$AD431&lt;&gt;"N/A"),"Firmware Download, ","")&amp;IF(AND(OR($AD431="Yes",$AD431="N/A"),$AE431&lt;&gt;"Yes",$AE431&lt;&gt;"N/A"),"Firmware Install, ","")&amp;IF(AND($CB431&lt;&gt;"Yes",$CB431&lt;&gt;"N/A"),"Device ID, ","")&amp;IF(AND($CC431&lt;&gt;"Yes",$CC431&lt;&gt;"N/A"),"Epic Beans Relay, ",""),LEN(IF(AND($BR431&lt;&gt;"Yes",$BR431&lt;&gt;"N/A"),"Power Cable, ","")&amp;IF(AND($BS431&lt;&gt;"Yes",$BS431&lt;&gt;"N/A"),"Battery, ","")&amp;IF(AND($AD431&lt;&gt;"Yes",$AD431&lt;&gt;"N/A"),"Firmware Download, ","")&amp;IF(AND(OR($AD431="Yes",$AD431="N/A"),$AE431&lt;&gt;"Yes",$AE431&lt;&gt;"N/A"),"Firmware Install, ","")&amp;IF(AND($CB431&lt;&gt;"Yes",$CB431&lt;&gt;"N/A"),"Device ID, ","")&amp;IF(AND($CC431&lt;&gt;"Yes",$CC431&lt;&gt;"N/A"),"Epic Beans Relay, ",""))-2)))</f>
        <v/>
      </c>
      <c r="CE431">
        <f>IF($Y431="","",IF($CD431="","Yes","Blocked"))</f>
        <v/>
      </c>
      <c r="CP431">
        <f>IF($CO431="","",IFERROR(VLOOKUP($CO431,'01_Warehouse_Ledger'!$A:$N,4,FALSE),""))</f>
        <v/>
      </c>
      <c r="CQ431">
        <f>IF($CO431="","",IFERROR(VLOOKUP($CO431,'01_Warehouse_Ledger'!$A:$N,5,FALSE),""))</f>
        <v/>
      </c>
      <c r="CR431">
        <f>IF($CO431="","",IFERROR(VLOOKUP($CO431,'01_Warehouse_Ledger'!$A:$N,13,FALSE),""))</f>
        <v/>
      </c>
      <c r="CW431">
        <f>IF($S431="","",IF(UPPER(TRIM($S431))&lt;&gt;"PASS","",IF(LEN(TRIM($BY431))&gt;0,"NOTES_PRESENT",IF(LEN(TRIM($T431))=0,"SET_NA",IF(OR(LOWER(TRIM($T431))="na",LOWER(TRIM($T431))="n/a"),"OK","MANUAL_OVERRIDE")))))</f>
        <v/>
      </c>
    </row>
    <row r="432">
      <c r="B432" t="inlineStr">
        <is>
          <t>No</t>
        </is>
      </c>
      <c r="C432" t="inlineStr">
        <is>
          <t>No</t>
        </is>
      </c>
      <c r="D432">
        <f>IF($B432&lt;&gt;"Yes","",IF($C432="No","Yes",IF($C432="Yes","No","")))</f>
        <v/>
      </c>
      <c r="E432">
        <f>IF($A432="","",IF(OR(AND($V432&lt;&gt;"",LOWER(TRIM($V432))&lt;&gt;"n/a",LOWER(TRIM($V432))&lt;&gt;"na",SUMPRODUCT(--(UPPER(TRIM($V$2:$V$518))=UPPER(TRIM($V432))),--(TRIM($V$2:$V$518)&lt;&gt;""),--(LOWER(TRIM($V$2:$V$518))&lt;&gt;"n/a"),--(LOWER(TRIM($V$2:$V$518))&lt;&gt;"na"))&gt;1),AND($W432&lt;&gt;"",LOWER(TRIM($W432))&lt;&gt;"n/a",LOWER(TRIM($W432))&lt;&gt;"na",SUMPRODUCT(--(UPPER(TRIM($W$2:$W$518))=UPPER(TRIM($W432))),--(TRIM($W$2:$W$518)&lt;&gt;""),--(LOWER(TRIM($W$2:$W$518))&lt;&gt;"n/a"),--(LOWER(TRIM($W$2:$W$518))&lt;&gt;"na"))&gt;1),AND($X432&lt;&gt;"",LOWER(TRIM($X432))&lt;&gt;"n/a",LOWER(TRIM($X432))&lt;&gt;"na",SUMPRODUCT(--(UPPER(TRIM($X$2:$X$518))=UPPER(TRIM($X432))),--(TRIM($X$2:$X$518)&lt;&gt;""),--(LOWER(TRIM($X$2:$X$518))&lt;&gt;"n/a"),--(LOWER(TRIM($X$2:$X$518))&lt;&gt;"na"))&gt;1),AND($Y432&lt;&gt;"",LOWER(TRIM($Y432))&lt;&gt;"n/a",LOWER(TRIM($Y432))&lt;&gt;"na",SUMPRODUCT(--(UPPER(SUBSTITUTE(SUBSTITUTE(TRIM($Y$2:$Y$518),":",""),"-",""))=UPPER(SUBSTITUTE(SUBSTITUTE(TRIM($Y432),":",""),"-",""))),--(TRIM($Y$2:$Y$518)&lt;&gt;""),--(LOWER(TRIM($Y$2:$Y$518))&lt;&gt;"n/a"),--(LOWER(TRIM($Y$2:$Y$518))&lt;&gt;"na"))&gt;1),AND($AB432&lt;&gt;"",LOWER(TRIM($AB432))&lt;&gt;"n/a",LOWER(TRIM($AB432))&lt;&gt;"na",SUMPRODUCT(--(UPPER(TRIM($AB$2:$AB$518))=UPPER(TRIM($AB432))),--(TRIM($AB$2:$AB$518)&lt;&gt;""),--(LOWER(TRIM($AB$2:$AB$518))&lt;&gt;"n/a"),--(LOWER(TRIM($AB$2:$AB$518))&lt;&gt;"na"))&gt;1),AND($AH432&lt;&gt;"",LOWER(TRIM($AH432))&lt;&gt;"n/a",LOWER(TRIM($AH432))&lt;&gt;"na",SUMPRODUCT(--(UPPER(SUBSTITUTE(SUBSTITUTE(TRIM($AH$2:$AH$518),":",""),"-",""))=UPPER(SUBSTITUTE(SUBSTITUTE(TRIM($AH432),":",""),"-",""))),--(TRIM($AH$2:$AH$518)&lt;&gt;""),--(LOWER(TRIM($AH$2:$AH$518))&lt;&gt;"n/a"),--(LOWER(TRIM($AH$2:$AH$518))&lt;&gt;"na"))&gt;1),AND($AP432&lt;&gt;"",LOWER(TRIM($AP432))&lt;&gt;"n/a",LOWER(TRIM($AP432))&lt;&gt;"na",SUMPRODUCT(--(UPPER(TRIM($AP$2:$AP$518))=UPPER(TRIM($AP432))),--(TRIM($AP$2:$AP$518)&lt;&gt;""),--(LOWER(TRIM($AP$2:$AP$518))&lt;&gt;"n/a"),--(LOWER(TRIM($AP$2:$AP$518))&lt;&gt;"na"))&gt;1),AND($AQ432&lt;&gt;"",LOWER(TRIM($AQ432))&lt;&gt;"n/a",LOWER(TRIM($AQ432))&lt;&gt;"na",SUMPRODUCT(--(UPPER(TRIM($AQ$2:$AQ$518))=UPPER(TRIM($AQ432))),--(TRIM($AQ$2:$AQ$518)&lt;&gt;""),--(LOWER(TRIM($AQ$2:$AQ$518))&lt;&gt;"n/a"),--(LOWER(TRIM($AQ$2:$AQ$518))&lt;&gt;"na"))&gt;1)),"Yes","No"))</f>
        <v/>
      </c>
      <c r="F432">
        <f>IF(UPPER(TRIM($B432))&lt;&gt;"YES","", IF(OR(AND($V432&lt;&gt;"", LOWER(TRIM($V432))&lt;&gt;"n/a", LOWER(TRIM($V432))&lt;&gt;"na", SUMPRODUCT(--(UPPER(TRIM($V$2:$V$518))=UPPER(TRIM($V432))), --(UPPER(TRIM($B$2:$B$518))="YES"), --(UPPER(TRIM($G$2:$G$518)&amp;TRIM($I$2:$I$518)&amp;TRIM($J$2:$J$518))&lt;&gt;UPPER(TRIM($G432)&amp;TRIM($I432)&amp;TRIM($J432))))&gt;0), AND($W432&lt;&gt;"", LOWER(TRIM($W432))&lt;&gt;"n/a", LOWER(TRIM($W432))&lt;&gt;"na", SUMPRODUCT(--(UPPER(TRIM($W$2:$W$518))=UPPER(TRIM($W432))), --(UPPER(TRIM($B$2:$B$518))="YES"), --(UPPER(TRIM($G$2:$G$518)&amp;TRIM($I$2:$I$518)&amp;TRIM($J$2:$J$518))&lt;&gt;UPPER(TRIM($G432)&amp;TRIM($I432)&amp;TRIM($J432))))&gt;0), AND($X432&lt;&gt;"", LOWER(TRIM($X432))&lt;&gt;"n/a", LOWER(TRIM($X432))&lt;&gt;"na", SUMPRODUCT(--(UPPER(TRIM($X$2:$X$518))=UPPER(TRIM($X432))), --(UPPER(TRIM($B$2:$B$518))="YES"), --(UPPER(TRIM($G$2:$G$518)&amp;TRIM($I$2:$I$518)&amp;TRIM($J$2:$J$518))&lt;&gt;UPPER(TRIM($G432)&amp;TRIM($I432)&amp;TRIM($J432))))&gt;0), AND($Y432&lt;&gt;"", LOWER(TRIM($Y432))&lt;&gt;"n/a", LOWER(TRIM($Y432))&lt;&gt;"na", SUMPRODUCT(--(UPPER(SUBSTITUTE(SUBSTITUTE(TRIM($Y$2:$Y$518),":",""),"-",""))=UPPER(SUBSTITUTE(SUBSTITUTE(TRIM($Y432),":",""),"-",""))), --(UPPER(TRIM($B$2:$B$518))="YES"), --(UPPER(TRIM($G$2:$G$518)&amp;TRIM($I$2:$I$518)&amp;TRIM($J$2:$J$518))&lt;&gt;UPPER(TRIM($G432)&amp;TRIM($I432)&amp;TRIM($J432))))&gt;0), AND($AB432&lt;&gt;"", LOWER(TRIM($AB432))&lt;&gt;"n/a", LOWER(TRIM($AB432))&lt;&gt;"na", SUMPRODUCT(--(UPPER(TRIM($AB$2:$AB$518))=UPPER(TRIM($AB432))), --(UPPER(TRIM($B$2:$B$518))="YES"), --(UPPER(TRIM($G$2:$G$518)&amp;TRIM($I$2:$I$518)&amp;TRIM($J$2:$J$518))&lt;&gt;UPPER(TRIM($G432)&amp;TRIM($I432)&amp;TRIM($J432))))&gt;0), AND($AH432&lt;&gt;"", LOWER(TRIM($AH432))&lt;&gt;"n/a", LOWER(TRIM($AH432))&lt;&gt;"na", SUMPRODUCT(--(UPPER(SUBSTITUTE(SUBSTITUTE(TRIM($AH$2:$AH$518),":",""),"-",""))=UPPER(SUBSTITUTE(SUBSTITUTE(TRIM($AH432),":",""),"-",""))), --(UPPER(TRIM($B$2:$B$518))="YES"), --(UPPER(TRIM($G$2:$G$518)&amp;TRIM($I$2:$I$518)&amp;TRIM($J$2:$J$518))&lt;&gt;UPPER(TRIM($G432)&amp;TRIM($I432)&amp;TRIM($J432))))&gt;0), AND($AP432&lt;&gt;"", LOWER(TRIM($AP432))&lt;&gt;"n/a", LOWER(TRIM($AP432))&lt;&gt;"na", SUMPRODUCT(--(UPPER(TRIM($AP$2:$AP$518))=UPPER(TRIM($AP432))), --(UPPER(TRIM($B$2:$B$518))="YES"), --(UPPER(TRIM($G$2:$G$518)&amp;TRIM($I$2:$I$518)&amp;TRIM($J$2:$J$518))&lt;&gt;UPPER(TRIM($G432)&amp;TRIM($I432)&amp;TRIM($J432))))&gt;0), AND($AQ432&lt;&gt;"", LOWER(TRIM($AQ432))&lt;&gt;"n/a", LOWER(TRIM($AQ432))&lt;&gt;"na", SUMPRODUCT(--(UPPER(TRIM($AQ$2:$AQ$518))=UPPER(TRIM($AQ432))), --(UPPER(TRIM($B$2:$B$518))="YES"), --(UPPER(TRIM($G$2:$G$518)&amp;TRIM($I$2:$I$518)&amp;TRIM($J$2:$J$518))&lt;&gt;UPPER(TRIM($G432)&amp;TRIM($I432)&amp;TRIM($J432))))&gt;0)), "Yes", "No"))</f>
        <v/>
      </c>
      <c r="CD432">
        <f>IF($Y432="","",IF((IF(AND($BR432&lt;&gt;"Yes",$BR432&lt;&gt;"N/A"),"Power Cable, ","")&amp;IF(AND($BS432&lt;&gt;"Yes",$BS432&lt;&gt;"N/A"),"Battery, ","")&amp;IF(AND($AD432&lt;&gt;"Yes",$AD432&lt;&gt;"N/A"),"Firmware Download, ","")&amp;IF(AND(OR($AD432="Yes",$AD432="N/A"),$AE432&lt;&gt;"Yes",$AE432&lt;&gt;"N/A"),"Firmware Install, ","")&amp;IF(AND($CB432&lt;&gt;"Yes",$CB432&lt;&gt;"N/A"),"Device ID, ","")&amp;IF(AND($CC432&lt;&gt;"Yes",$CC432&lt;&gt;"N/A"),"Epic Beans Relay, ",""))="","",LEFT(IF(AND($BR432&lt;&gt;"Yes",$BR432&lt;&gt;"N/A"),"Power Cable, ","")&amp;IF(AND($BS432&lt;&gt;"Yes",$BS432&lt;&gt;"N/A"),"Battery, ","")&amp;IF(AND($AD432&lt;&gt;"Yes",$AD432&lt;&gt;"N/A"),"Firmware Download, ","")&amp;IF(AND(OR($AD432="Yes",$AD432="N/A"),$AE432&lt;&gt;"Yes",$AE432&lt;&gt;"N/A"),"Firmware Install, ","")&amp;IF(AND($CB432&lt;&gt;"Yes",$CB432&lt;&gt;"N/A"),"Device ID, ","")&amp;IF(AND($CC432&lt;&gt;"Yes",$CC432&lt;&gt;"N/A"),"Epic Beans Relay, ",""),LEN(IF(AND($BR432&lt;&gt;"Yes",$BR432&lt;&gt;"N/A"),"Power Cable, ","")&amp;IF(AND($BS432&lt;&gt;"Yes",$BS432&lt;&gt;"N/A"),"Battery, ","")&amp;IF(AND($AD432&lt;&gt;"Yes",$AD432&lt;&gt;"N/A"),"Firmware Download, ","")&amp;IF(AND(OR($AD432="Yes",$AD432="N/A"),$AE432&lt;&gt;"Yes",$AE432&lt;&gt;"N/A"),"Firmware Install, ","")&amp;IF(AND($CB432&lt;&gt;"Yes",$CB432&lt;&gt;"N/A"),"Device ID, ","")&amp;IF(AND($CC432&lt;&gt;"Yes",$CC432&lt;&gt;"N/A"),"Epic Beans Relay, ",""))-2)))</f>
        <v/>
      </c>
      <c r="CE432">
        <f>IF($Y432="","",IF($CD432="","Yes","Blocked"))</f>
        <v/>
      </c>
      <c r="CP432">
        <f>IF($CO432="","",IFERROR(VLOOKUP($CO432,'01_Warehouse_Ledger'!$A:$N,4,FALSE),""))</f>
        <v/>
      </c>
      <c r="CQ432">
        <f>IF($CO432="","",IFERROR(VLOOKUP($CO432,'01_Warehouse_Ledger'!$A:$N,5,FALSE),""))</f>
        <v/>
      </c>
      <c r="CR432">
        <f>IF($CO432="","",IFERROR(VLOOKUP($CO432,'01_Warehouse_Ledger'!$A:$N,13,FALSE),""))</f>
        <v/>
      </c>
      <c r="CW432">
        <f>IF($S432="","",IF(UPPER(TRIM($S432))&lt;&gt;"PASS","",IF(LEN(TRIM($BY432))&gt;0,"NOTES_PRESENT",IF(LEN(TRIM($T432))=0,"SET_NA",IF(OR(LOWER(TRIM($T432))="na",LOWER(TRIM($T432))="n/a"),"OK","MANUAL_OVERRIDE")))))</f>
        <v/>
      </c>
    </row>
    <row r="433">
      <c r="B433" t="inlineStr">
        <is>
          <t>No</t>
        </is>
      </c>
      <c r="C433" t="inlineStr">
        <is>
          <t>No</t>
        </is>
      </c>
      <c r="D433">
        <f>IF($B433&lt;&gt;"Yes","",IF($C433="No","Yes",IF($C433="Yes","No","")))</f>
        <v/>
      </c>
      <c r="E433">
        <f>IF($A433="","",IF(OR(AND($V433&lt;&gt;"",LOWER(TRIM($V433))&lt;&gt;"n/a",LOWER(TRIM($V433))&lt;&gt;"na",SUMPRODUCT(--(UPPER(TRIM($V$2:$V$518))=UPPER(TRIM($V433))),--(TRIM($V$2:$V$518)&lt;&gt;""),--(LOWER(TRIM($V$2:$V$518))&lt;&gt;"n/a"),--(LOWER(TRIM($V$2:$V$518))&lt;&gt;"na"))&gt;1),AND($W433&lt;&gt;"",LOWER(TRIM($W433))&lt;&gt;"n/a",LOWER(TRIM($W433))&lt;&gt;"na",SUMPRODUCT(--(UPPER(TRIM($W$2:$W$518))=UPPER(TRIM($W433))),--(TRIM($W$2:$W$518)&lt;&gt;""),--(LOWER(TRIM($W$2:$W$518))&lt;&gt;"n/a"),--(LOWER(TRIM($W$2:$W$518))&lt;&gt;"na"))&gt;1),AND($X433&lt;&gt;"",LOWER(TRIM($X433))&lt;&gt;"n/a",LOWER(TRIM($X433))&lt;&gt;"na",SUMPRODUCT(--(UPPER(TRIM($X$2:$X$518))=UPPER(TRIM($X433))),--(TRIM($X$2:$X$518)&lt;&gt;""),--(LOWER(TRIM($X$2:$X$518))&lt;&gt;"n/a"),--(LOWER(TRIM($X$2:$X$518))&lt;&gt;"na"))&gt;1),AND($Y433&lt;&gt;"",LOWER(TRIM($Y433))&lt;&gt;"n/a",LOWER(TRIM($Y433))&lt;&gt;"na",SUMPRODUCT(--(UPPER(SUBSTITUTE(SUBSTITUTE(TRIM($Y$2:$Y$518),":",""),"-",""))=UPPER(SUBSTITUTE(SUBSTITUTE(TRIM($Y433),":",""),"-",""))),--(TRIM($Y$2:$Y$518)&lt;&gt;""),--(LOWER(TRIM($Y$2:$Y$518))&lt;&gt;"n/a"),--(LOWER(TRIM($Y$2:$Y$518))&lt;&gt;"na"))&gt;1),AND($AB433&lt;&gt;"",LOWER(TRIM($AB433))&lt;&gt;"n/a",LOWER(TRIM($AB433))&lt;&gt;"na",SUMPRODUCT(--(UPPER(TRIM($AB$2:$AB$518))=UPPER(TRIM($AB433))),--(TRIM($AB$2:$AB$518)&lt;&gt;""),--(LOWER(TRIM($AB$2:$AB$518))&lt;&gt;"n/a"),--(LOWER(TRIM($AB$2:$AB$518))&lt;&gt;"na"))&gt;1),AND($AH433&lt;&gt;"",LOWER(TRIM($AH433))&lt;&gt;"n/a",LOWER(TRIM($AH433))&lt;&gt;"na",SUMPRODUCT(--(UPPER(SUBSTITUTE(SUBSTITUTE(TRIM($AH$2:$AH$518),":",""),"-",""))=UPPER(SUBSTITUTE(SUBSTITUTE(TRIM($AH433),":",""),"-",""))),--(TRIM($AH$2:$AH$518)&lt;&gt;""),--(LOWER(TRIM($AH$2:$AH$518))&lt;&gt;"n/a"),--(LOWER(TRIM($AH$2:$AH$518))&lt;&gt;"na"))&gt;1),AND($AP433&lt;&gt;"",LOWER(TRIM($AP433))&lt;&gt;"n/a",LOWER(TRIM($AP433))&lt;&gt;"na",SUMPRODUCT(--(UPPER(TRIM($AP$2:$AP$518))=UPPER(TRIM($AP433))),--(TRIM($AP$2:$AP$518)&lt;&gt;""),--(LOWER(TRIM($AP$2:$AP$518))&lt;&gt;"n/a"),--(LOWER(TRIM($AP$2:$AP$518))&lt;&gt;"na"))&gt;1),AND($AQ433&lt;&gt;"",LOWER(TRIM($AQ433))&lt;&gt;"n/a",LOWER(TRIM($AQ433))&lt;&gt;"na",SUMPRODUCT(--(UPPER(TRIM($AQ$2:$AQ$518))=UPPER(TRIM($AQ433))),--(TRIM($AQ$2:$AQ$518)&lt;&gt;""),--(LOWER(TRIM($AQ$2:$AQ$518))&lt;&gt;"n/a"),--(LOWER(TRIM($AQ$2:$AQ$518))&lt;&gt;"na"))&gt;1)),"Yes","No"))</f>
        <v/>
      </c>
      <c r="F433">
        <f>IF(UPPER(TRIM($B433))&lt;&gt;"YES","", IF(OR(AND($V433&lt;&gt;"", LOWER(TRIM($V433))&lt;&gt;"n/a", LOWER(TRIM($V433))&lt;&gt;"na", SUMPRODUCT(--(UPPER(TRIM($V$2:$V$518))=UPPER(TRIM($V433))), --(UPPER(TRIM($B$2:$B$518))="YES"), --(UPPER(TRIM($G$2:$G$518)&amp;TRIM($I$2:$I$518)&amp;TRIM($J$2:$J$518))&lt;&gt;UPPER(TRIM($G433)&amp;TRIM($I433)&amp;TRIM($J433))))&gt;0), AND($W433&lt;&gt;"", LOWER(TRIM($W433))&lt;&gt;"n/a", LOWER(TRIM($W433))&lt;&gt;"na", SUMPRODUCT(--(UPPER(TRIM($W$2:$W$518))=UPPER(TRIM($W433))), --(UPPER(TRIM($B$2:$B$518))="YES"), --(UPPER(TRIM($G$2:$G$518)&amp;TRIM($I$2:$I$518)&amp;TRIM($J$2:$J$518))&lt;&gt;UPPER(TRIM($G433)&amp;TRIM($I433)&amp;TRIM($J433))))&gt;0), AND($X433&lt;&gt;"", LOWER(TRIM($X433))&lt;&gt;"n/a", LOWER(TRIM($X433))&lt;&gt;"na", SUMPRODUCT(--(UPPER(TRIM($X$2:$X$518))=UPPER(TRIM($X433))), --(UPPER(TRIM($B$2:$B$518))="YES"), --(UPPER(TRIM($G$2:$G$518)&amp;TRIM($I$2:$I$518)&amp;TRIM($J$2:$J$518))&lt;&gt;UPPER(TRIM($G433)&amp;TRIM($I433)&amp;TRIM($J433))))&gt;0), AND($Y433&lt;&gt;"", LOWER(TRIM($Y433))&lt;&gt;"n/a", LOWER(TRIM($Y433))&lt;&gt;"na", SUMPRODUCT(--(UPPER(SUBSTITUTE(SUBSTITUTE(TRIM($Y$2:$Y$518),":",""),"-",""))=UPPER(SUBSTITUTE(SUBSTITUTE(TRIM($Y433),":",""),"-",""))), --(UPPER(TRIM($B$2:$B$518))="YES"), --(UPPER(TRIM($G$2:$G$518)&amp;TRIM($I$2:$I$518)&amp;TRIM($J$2:$J$518))&lt;&gt;UPPER(TRIM($G433)&amp;TRIM($I433)&amp;TRIM($J433))))&gt;0), AND($AB433&lt;&gt;"", LOWER(TRIM($AB433))&lt;&gt;"n/a", LOWER(TRIM($AB433))&lt;&gt;"na", SUMPRODUCT(--(UPPER(TRIM($AB$2:$AB$518))=UPPER(TRIM($AB433))), --(UPPER(TRIM($B$2:$B$518))="YES"), --(UPPER(TRIM($G$2:$G$518)&amp;TRIM($I$2:$I$518)&amp;TRIM($J$2:$J$518))&lt;&gt;UPPER(TRIM($G433)&amp;TRIM($I433)&amp;TRIM($J433))))&gt;0), AND($AH433&lt;&gt;"", LOWER(TRIM($AH433))&lt;&gt;"n/a", LOWER(TRIM($AH433))&lt;&gt;"na", SUMPRODUCT(--(UPPER(SUBSTITUTE(SUBSTITUTE(TRIM($AH$2:$AH$518),":",""),"-",""))=UPPER(SUBSTITUTE(SUBSTITUTE(TRIM($AH433),":",""),"-",""))), --(UPPER(TRIM($B$2:$B$518))="YES"), --(UPPER(TRIM($G$2:$G$518)&amp;TRIM($I$2:$I$518)&amp;TRIM($J$2:$J$518))&lt;&gt;UPPER(TRIM($G433)&amp;TRIM($I433)&amp;TRIM($J433))))&gt;0), AND($AP433&lt;&gt;"", LOWER(TRIM($AP433))&lt;&gt;"n/a", LOWER(TRIM($AP433))&lt;&gt;"na", SUMPRODUCT(--(UPPER(TRIM($AP$2:$AP$518))=UPPER(TRIM($AP433))), --(UPPER(TRIM($B$2:$B$518))="YES"), --(UPPER(TRIM($G$2:$G$518)&amp;TRIM($I$2:$I$518)&amp;TRIM($J$2:$J$518))&lt;&gt;UPPER(TRIM($G433)&amp;TRIM($I433)&amp;TRIM($J433))))&gt;0), AND($AQ433&lt;&gt;"", LOWER(TRIM($AQ433))&lt;&gt;"n/a", LOWER(TRIM($AQ433))&lt;&gt;"na", SUMPRODUCT(--(UPPER(TRIM($AQ$2:$AQ$518))=UPPER(TRIM($AQ433))), --(UPPER(TRIM($B$2:$B$518))="YES"), --(UPPER(TRIM($G$2:$G$518)&amp;TRIM($I$2:$I$518)&amp;TRIM($J$2:$J$518))&lt;&gt;UPPER(TRIM($G433)&amp;TRIM($I433)&amp;TRIM($J433))))&gt;0)), "Yes", "No"))</f>
        <v/>
      </c>
      <c r="CD433">
        <f>IF($Y433="","",IF((IF(AND($BR433&lt;&gt;"Yes",$BR433&lt;&gt;"N/A"),"Power Cable, ","")&amp;IF(AND($BS433&lt;&gt;"Yes",$BS433&lt;&gt;"N/A"),"Battery, ","")&amp;IF(AND($AD433&lt;&gt;"Yes",$AD433&lt;&gt;"N/A"),"Firmware Download, ","")&amp;IF(AND(OR($AD433="Yes",$AD433="N/A"),$AE433&lt;&gt;"Yes",$AE433&lt;&gt;"N/A"),"Firmware Install, ","")&amp;IF(AND($CB433&lt;&gt;"Yes",$CB433&lt;&gt;"N/A"),"Device ID, ","")&amp;IF(AND($CC433&lt;&gt;"Yes",$CC433&lt;&gt;"N/A"),"Epic Beans Relay, ",""))="","",LEFT(IF(AND($BR433&lt;&gt;"Yes",$BR433&lt;&gt;"N/A"),"Power Cable, ","")&amp;IF(AND($BS433&lt;&gt;"Yes",$BS433&lt;&gt;"N/A"),"Battery, ","")&amp;IF(AND($AD433&lt;&gt;"Yes",$AD433&lt;&gt;"N/A"),"Firmware Download, ","")&amp;IF(AND(OR($AD433="Yes",$AD433="N/A"),$AE433&lt;&gt;"Yes",$AE433&lt;&gt;"N/A"),"Firmware Install, ","")&amp;IF(AND($CB433&lt;&gt;"Yes",$CB433&lt;&gt;"N/A"),"Device ID, ","")&amp;IF(AND($CC433&lt;&gt;"Yes",$CC433&lt;&gt;"N/A"),"Epic Beans Relay, ",""),LEN(IF(AND($BR433&lt;&gt;"Yes",$BR433&lt;&gt;"N/A"),"Power Cable, ","")&amp;IF(AND($BS433&lt;&gt;"Yes",$BS433&lt;&gt;"N/A"),"Battery, ","")&amp;IF(AND($AD433&lt;&gt;"Yes",$AD433&lt;&gt;"N/A"),"Firmware Download, ","")&amp;IF(AND(OR($AD433="Yes",$AD433="N/A"),$AE433&lt;&gt;"Yes",$AE433&lt;&gt;"N/A"),"Firmware Install, ","")&amp;IF(AND($CB433&lt;&gt;"Yes",$CB433&lt;&gt;"N/A"),"Device ID, ","")&amp;IF(AND($CC433&lt;&gt;"Yes",$CC433&lt;&gt;"N/A"),"Epic Beans Relay, ",""))-2)))</f>
        <v/>
      </c>
      <c r="CE433">
        <f>IF($Y433="","",IF($CD433="","Yes","Blocked"))</f>
        <v/>
      </c>
      <c r="CP433">
        <f>IF($CO433="","",IFERROR(VLOOKUP($CO433,'01_Warehouse_Ledger'!$A:$N,4,FALSE),""))</f>
        <v/>
      </c>
      <c r="CQ433">
        <f>IF($CO433="","",IFERROR(VLOOKUP($CO433,'01_Warehouse_Ledger'!$A:$N,5,FALSE),""))</f>
        <v/>
      </c>
      <c r="CR433">
        <f>IF($CO433="","",IFERROR(VLOOKUP($CO433,'01_Warehouse_Ledger'!$A:$N,13,FALSE),""))</f>
        <v/>
      </c>
      <c r="CW433">
        <f>IF($S433="","",IF(UPPER(TRIM($S433))&lt;&gt;"PASS","",IF(LEN(TRIM($BY433))&gt;0,"NOTES_PRESENT",IF(LEN(TRIM($T433))=0,"SET_NA",IF(OR(LOWER(TRIM($T433))="na",LOWER(TRIM($T433))="n/a"),"OK","MANUAL_OVERRIDE")))))</f>
        <v/>
      </c>
    </row>
    <row r="434">
      <c r="B434" t="inlineStr">
        <is>
          <t>No</t>
        </is>
      </c>
      <c r="C434" t="inlineStr">
        <is>
          <t>No</t>
        </is>
      </c>
      <c r="D434">
        <f>IF($B434&lt;&gt;"Yes","",IF($C434="No","Yes",IF($C434="Yes","No","")))</f>
        <v/>
      </c>
      <c r="E434">
        <f>IF($A434="","",IF(OR(AND($V434&lt;&gt;"",LOWER(TRIM($V434))&lt;&gt;"n/a",LOWER(TRIM($V434))&lt;&gt;"na",SUMPRODUCT(--(UPPER(TRIM($V$2:$V$518))=UPPER(TRIM($V434))),--(TRIM($V$2:$V$518)&lt;&gt;""),--(LOWER(TRIM($V$2:$V$518))&lt;&gt;"n/a"),--(LOWER(TRIM($V$2:$V$518))&lt;&gt;"na"))&gt;1),AND($W434&lt;&gt;"",LOWER(TRIM($W434))&lt;&gt;"n/a",LOWER(TRIM($W434))&lt;&gt;"na",SUMPRODUCT(--(UPPER(TRIM($W$2:$W$518))=UPPER(TRIM($W434))),--(TRIM($W$2:$W$518)&lt;&gt;""),--(LOWER(TRIM($W$2:$W$518))&lt;&gt;"n/a"),--(LOWER(TRIM($W$2:$W$518))&lt;&gt;"na"))&gt;1),AND($X434&lt;&gt;"",LOWER(TRIM($X434))&lt;&gt;"n/a",LOWER(TRIM($X434))&lt;&gt;"na",SUMPRODUCT(--(UPPER(TRIM($X$2:$X$518))=UPPER(TRIM($X434))),--(TRIM($X$2:$X$518)&lt;&gt;""),--(LOWER(TRIM($X$2:$X$518))&lt;&gt;"n/a"),--(LOWER(TRIM($X$2:$X$518))&lt;&gt;"na"))&gt;1),AND($Y434&lt;&gt;"",LOWER(TRIM($Y434))&lt;&gt;"n/a",LOWER(TRIM($Y434))&lt;&gt;"na",SUMPRODUCT(--(UPPER(SUBSTITUTE(SUBSTITUTE(TRIM($Y$2:$Y$518),":",""),"-",""))=UPPER(SUBSTITUTE(SUBSTITUTE(TRIM($Y434),":",""),"-",""))),--(TRIM($Y$2:$Y$518)&lt;&gt;""),--(LOWER(TRIM($Y$2:$Y$518))&lt;&gt;"n/a"),--(LOWER(TRIM($Y$2:$Y$518))&lt;&gt;"na"))&gt;1),AND($AB434&lt;&gt;"",LOWER(TRIM($AB434))&lt;&gt;"n/a",LOWER(TRIM($AB434))&lt;&gt;"na",SUMPRODUCT(--(UPPER(TRIM($AB$2:$AB$518))=UPPER(TRIM($AB434))),--(TRIM($AB$2:$AB$518)&lt;&gt;""),--(LOWER(TRIM($AB$2:$AB$518))&lt;&gt;"n/a"),--(LOWER(TRIM($AB$2:$AB$518))&lt;&gt;"na"))&gt;1),AND($AH434&lt;&gt;"",LOWER(TRIM($AH434))&lt;&gt;"n/a",LOWER(TRIM($AH434))&lt;&gt;"na",SUMPRODUCT(--(UPPER(SUBSTITUTE(SUBSTITUTE(TRIM($AH$2:$AH$518),":",""),"-",""))=UPPER(SUBSTITUTE(SUBSTITUTE(TRIM($AH434),":",""),"-",""))),--(TRIM($AH$2:$AH$518)&lt;&gt;""),--(LOWER(TRIM($AH$2:$AH$518))&lt;&gt;"n/a"),--(LOWER(TRIM($AH$2:$AH$518))&lt;&gt;"na"))&gt;1),AND($AP434&lt;&gt;"",LOWER(TRIM($AP434))&lt;&gt;"n/a",LOWER(TRIM($AP434))&lt;&gt;"na",SUMPRODUCT(--(UPPER(TRIM($AP$2:$AP$518))=UPPER(TRIM($AP434))),--(TRIM($AP$2:$AP$518)&lt;&gt;""),--(LOWER(TRIM($AP$2:$AP$518))&lt;&gt;"n/a"),--(LOWER(TRIM($AP$2:$AP$518))&lt;&gt;"na"))&gt;1),AND($AQ434&lt;&gt;"",LOWER(TRIM($AQ434))&lt;&gt;"n/a",LOWER(TRIM($AQ434))&lt;&gt;"na",SUMPRODUCT(--(UPPER(TRIM($AQ$2:$AQ$518))=UPPER(TRIM($AQ434))),--(TRIM($AQ$2:$AQ$518)&lt;&gt;""),--(LOWER(TRIM($AQ$2:$AQ$518))&lt;&gt;"n/a"),--(LOWER(TRIM($AQ$2:$AQ$518))&lt;&gt;"na"))&gt;1)),"Yes","No"))</f>
        <v/>
      </c>
      <c r="F434">
        <f>IF(UPPER(TRIM($B434))&lt;&gt;"YES","", IF(OR(AND($V434&lt;&gt;"", LOWER(TRIM($V434))&lt;&gt;"n/a", LOWER(TRIM($V434))&lt;&gt;"na", SUMPRODUCT(--(UPPER(TRIM($V$2:$V$518))=UPPER(TRIM($V434))), --(UPPER(TRIM($B$2:$B$518))="YES"), --(UPPER(TRIM($G$2:$G$518)&amp;TRIM($I$2:$I$518)&amp;TRIM($J$2:$J$518))&lt;&gt;UPPER(TRIM($G434)&amp;TRIM($I434)&amp;TRIM($J434))))&gt;0), AND($W434&lt;&gt;"", LOWER(TRIM($W434))&lt;&gt;"n/a", LOWER(TRIM($W434))&lt;&gt;"na", SUMPRODUCT(--(UPPER(TRIM($W$2:$W$518))=UPPER(TRIM($W434))), --(UPPER(TRIM($B$2:$B$518))="YES"), --(UPPER(TRIM($G$2:$G$518)&amp;TRIM($I$2:$I$518)&amp;TRIM($J$2:$J$518))&lt;&gt;UPPER(TRIM($G434)&amp;TRIM($I434)&amp;TRIM($J434))))&gt;0), AND($X434&lt;&gt;"", LOWER(TRIM($X434))&lt;&gt;"n/a", LOWER(TRIM($X434))&lt;&gt;"na", SUMPRODUCT(--(UPPER(TRIM($X$2:$X$518))=UPPER(TRIM($X434))), --(UPPER(TRIM($B$2:$B$518))="YES"), --(UPPER(TRIM($G$2:$G$518)&amp;TRIM($I$2:$I$518)&amp;TRIM($J$2:$J$518))&lt;&gt;UPPER(TRIM($G434)&amp;TRIM($I434)&amp;TRIM($J434))))&gt;0), AND($Y434&lt;&gt;"", LOWER(TRIM($Y434))&lt;&gt;"n/a", LOWER(TRIM($Y434))&lt;&gt;"na", SUMPRODUCT(--(UPPER(SUBSTITUTE(SUBSTITUTE(TRIM($Y$2:$Y$518),":",""),"-",""))=UPPER(SUBSTITUTE(SUBSTITUTE(TRIM($Y434),":",""),"-",""))), --(UPPER(TRIM($B$2:$B$518))="YES"), --(UPPER(TRIM($G$2:$G$518)&amp;TRIM($I$2:$I$518)&amp;TRIM($J$2:$J$518))&lt;&gt;UPPER(TRIM($G434)&amp;TRIM($I434)&amp;TRIM($J434))))&gt;0), AND($AB434&lt;&gt;"", LOWER(TRIM($AB434))&lt;&gt;"n/a", LOWER(TRIM($AB434))&lt;&gt;"na", SUMPRODUCT(--(UPPER(TRIM($AB$2:$AB$518))=UPPER(TRIM($AB434))), --(UPPER(TRIM($B$2:$B$518))="YES"), --(UPPER(TRIM($G$2:$G$518)&amp;TRIM($I$2:$I$518)&amp;TRIM($J$2:$J$518))&lt;&gt;UPPER(TRIM($G434)&amp;TRIM($I434)&amp;TRIM($J434))))&gt;0), AND($AH434&lt;&gt;"", LOWER(TRIM($AH434))&lt;&gt;"n/a", LOWER(TRIM($AH434))&lt;&gt;"na", SUMPRODUCT(--(UPPER(SUBSTITUTE(SUBSTITUTE(TRIM($AH$2:$AH$518),":",""),"-",""))=UPPER(SUBSTITUTE(SUBSTITUTE(TRIM($AH434),":",""),"-",""))), --(UPPER(TRIM($B$2:$B$518))="YES"), --(UPPER(TRIM($G$2:$G$518)&amp;TRIM($I$2:$I$518)&amp;TRIM($J$2:$J$518))&lt;&gt;UPPER(TRIM($G434)&amp;TRIM($I434)&amp;TRIM($J434))))&gt;0), AND($AP434&lt;&gt;"", LOWER(TRIM($AP434))&lt;&gt;"n/a", LOWER(TRIM($AP434))&lt;&gt;"na", SUMPRODUCT(--(UPPER(TRIM($AP$2:$AP$518))=UPPER(TRIM($AP434))), --(UPPER(TRIM($B$2:$B$518))="YES"), --(UPPER(TRIM($G$2:$G$518)&amp;TRIM($I$2:$I$518)&amp;TRIM($J$2:$J$518))&lt;&gt;UPPER(TRIM($G434)&amp;TRIM($I434)&amp;TRIM($J434))))&gt;0), AND($AQ434&lt;&gt;"", LOWER(TRIM($AQ434))&lt;&gt;"n/a", LOWER(TRIM($AQ434))&lt;&gt;"na", SUMPRODUCT(--(UPPER(TRIM($AQ$2:$AQ$518))=UPPER(TRIM($AQ434))), --(UPPER(TRIM($B$2:$B$518))="YES"), --(UPPER(TRIM($G$2:$G$518)&amp;TRIM($I$2:$I$518)&amp;TRIM($J$2:$J$518))&lt;&gt;UPPER(TRIM($G434)&amp;TRIM($I434)&amp;TRIM($J434))))&gt;0)), "Yes", "No"))</f>
        <v/>
      </c>
      <c r="CD434">
        <f>IF($Y434="","",IF((IF(AND($BR434&lt;&gt;"Yes",$BR434&lt;&gt;"N/A"),"Power Cable, ","")&amp;IF(AND($BS434&lt;&gt;"Yes",$BS434&lt;&gt;"N/A"),"Battery, ","")&amp;IF(AND($AD434&lt;&gt;"Yes",$AD434&lt;&gt;"N/A"),"Firmware Download, ","")&amp;IF(AND(OR($AD434="Yes",$AD434="N/A"),$AE434&lt;&gt;"Yes",$AE434&lt;&gt;"N/A"),"Firmware Install, ","")&amp;IF(AND($CB434&lt;&gt;"Yes",$CB434&lt;&gt;"N/A"),"Device ID, ","")&amp;IF(AND($CC434&lt;&gt;"Yes",$CC434&lt;&gt;"N/A"),"Epic Beans Relay, ",""))="","",LEFT(IF(AND($BR434&lt;&gt;"Yes",$BR434&lt;&gt;"N/A"),"Power Cable, ","")&amp;IF(AND($BS434&lt;&gt;"Yes",$BS434&lt;&gt;"N/A"),"Battery, ","")&amp;IF(AND($AD434&lt;&gt;"Yes",$AD434&lt;&gt;"N/A"),"Firmware Download, ","")&amp;IF(AND(OR($AD434="Yes",$AD434="N/A"),$AE434&lt;&gt;"Yes",$AE434&lt;&gt;"N/A"),"Firmware Install, ","")&amp;IF(AND($CB434&lt;&gt;"Yes",$CB434&lt;&gt;"N/A"),"Device ID, ","")&amp;IF(AND($CC434&lt;&gt;"Yes",$CC434&lt;&gt;"N/A"),"Epic Beans Relay, ",""),LEN(IF(AND($BR434&lt;&gt;"Yes",$BR434&lt;&gt;"N/A"),"Power Cable, ","")&amp;IF(AND($BS434&lt;&gt;"Yes",$BS434&lt;&gt;"N/A"),"Battery, ","")&amp;IF(AND($AD434&lt;&gt;"Yes",$AD434&lt;&gt;"N/A"),"Firmware Download, ","")&amp;IF(AND(OR($AD434="Yes",$AD434="N/A"),$AE434&lt;&gt;"Yes",$AE434&lt;&gt;"N/A"),"Firmware Install, ","")&amp;IF(AND($CB434&lt;&gt;"Yes",$CB434&lt;&gt;"N/A"),"Device ID, ","")&amp;IF(AND($CC434&lt;&gt;"Yes",$CC434&lt;&gt;"N/A"),"Epic Beans Relay, ",""))-2)))</f>
        <v/>
      </c>
      <c r="CE434">
        <f>IF($Y434="","",IF($CD434="","Yes","Blocked"))</f>
        <v/>
      </c>
      <c r="CP434">
        <f>IF($CO434="","",IFERROR(VLOOKUP($CO434,'01_Warehouse_Ledger'!$A:$N,4,FALSE),""))</f>
        <v/>
      </c>
      <c r="CQ434">
        <f>IF($CO434="","",IFERROR(VLOOKUP($CO434,'01_Warehouse_Ledger'!$A:$N,5,FALSE),""))</f>
        <v/>
      </c>
      <c r="CR434">
        <f>IF($CO434="","",IFERROR(VLOOKUP($CO434,'01_Warehouse_Ledger'!$A:$N,13,FALSE),""))</f>
        <v/>
      </c>
      <c r="CW434">
        <f>IF($S434="","",IF(UPPER(TRIM($S434))&lt;&gt;"PASS","",IF(LEN(TRIM($BY434))&gt;0,"NOTES_PRESENT",IF(LEN(TRIM($T434))=0,"SET_NA",IF(OR(LOWER(TRIM($T434))="na",LOWER(TRIM($T434))="n/a"),"OK","MANUAL_OVERRIDE")))))</f>
        <v/>
      </c>
    </row>
    <row r="435">
      <c r="B435" t="inlineStr">
        <is>
          <t>No</t>
        </is>
      </c>
      <c r="C435" t="inlineStr">
        <is>
          <t>No</t>
        </is>
      </c>
      <c r="D435">
        <f>IF($B435&lt;&gt;"Yes","",IF($C435="No","Yes",IF($C435="Yes","No","")))</f>
        <v/>
      </c>
      <c r="E435">
        <f>IF($A435="","",IF(OR(AND($V435&lt;&gt;"",LOWER(TRIM($V435))&lt;&gt;"n/a",LOWER(TRIM($V435))&lt;&gt;"na",SUMPRODUCT(--(UPPER(TRIM($V$2:$V$518))=UPPER(TRIM($V435))),--(TRIM($V$2:$V$518)&lt;&gt;""),--(LOWER(TRIM($V$2:$V$518))&lt;&gt;"n/a"),--(LOWER(TRIM($V$2:$V$518))&lt;&gt;"na"))&gt;1),AND($W435&lt;&gt;"",LOWER(TRIM($W435))&lt;&gt;"n/a",LOWER(TRIM($W435))&lt;&gt;"na",SUMPRODUCT(--(UPPER(TRIM($W$2:$W$518))=UPPER(TRIM($W435))),--(TRIM($W$2:$W$518)&lt;&gt;""),--(LOWER(TRIM($W$2:$W$518))&lt;&gt;"n/a"),--(LOWER(TRIM($W$2:$W$518))&lt;&gt;"na"))&gt;1),AND($X435&lt;&gt;"",LOWER(TRIM($X435))&lt;&gt;"n/a",LOWER(TRIM($X435))&lt;&gt;"na",SUMPRODUCT(--(UPPER(TRIM($X$2:$X$518))=UPPER(TRIM($X435))),--(TRIM($X$2:$X$518)&lt;&gt;""),--(LOWER(TRIM($X$2:$X$518))&lt;&gt;"n/a"),--(LOWER(TRIM($X$2:$X$518))&lt;&gt;"na"))&gt;1),AND($Y435&lt;&gt;"",LOWER(TRIM($Y435))&lt;&gt;"n/a",LOWER(TRIM($Y435))&lt;&gt;"na",SUMPRODUCT(--(UPPER(SUBSTITUTE(SUBSTITUTE(TRIM($Y$2:$Y$518),":",""),"-",""))=UPPER(SUBSTITUTE(SUBSTITUTE(TRIM($Y435),":",""),"-",""))),--(TRIM($Y$2:$Y$518)&lt;&gt;""),--(LOWER(TRIM($Y$2:$Y$518))&lt;&gt;"n/a"),--(LOWER(TRIM($Y$2:$Y$518))&lt;&gt;"na"))&gt;1),AND($AB435&lt;&gt;"",LOWER(TRIM($AB435))&lt;&gt;"n/a",LOWER(TRIM($AB435))&lt;&gt;"na",SUMPRODUCT(--(UPPER(TRIM($AB$2:$AB$518))=UPPER(TRIM($AB435))),--(TRIM($AB$2:$AB$518)&lt;&gt;""),--(LOWER(TRIM($AB$2:$AB$518))&lt;&gt;"n/a"),--(LOWER(TRIM($AB$2:$AB$518))&lt;&gt;"na"))&gt;1),AND($AH435&lt;&gt;"",LOWER(TRIM($AH435))&lt;&gt;"n/a",LOWER(TRIM($AH435))&lt;&gt;"na",SUMPRODUCT(--(UPPER(SUBSTITUTE(SUBSTITUTE(TRIM($AH$2:$AH$518),":",""),"-",""))=UPPER(SUBSTITUTE(SUBSTITUTE(TRIM($AH435),":",""),"-",""))),--(TRIM($AH$2:$AH$518)&lt;&gt;""),--(LOWER(TRIM($AH$2:$AH$518))&lt;&gt;"n/a"),--(LOWER(TRIM($AH$2:$AH$518))&lt;&gt;"na"))&gt;1),AND($AP435&lt;&gt;"",LOWER(TRIM($AP435))&lt;&gt;"n/a",LOWER(TRIM($AP435))&lt;&gt;"na",SUMPRODUCT(--(UPPER(TRIM($AP$2:$AP$518))=UPPER(TRIM($AP435))),--(TRIM($AP$2:$AP$518)&lt;&gt;""),--(LOWER(TRIM($AP$2:$AP$518))&lt;&gt;"n/a"),--(LOWER(TRIM($AP$2:$AP$518))&lt;&gt;"na"))&gt;1),AND($AQ435&lt;&gt;"",LOWER(TRIM($AQ435))&lt;&gt;"n/a",LOWER(TRIM($AQ435))&lt;&gt;"na",SUMPRODUCT(--(UPPER(TRIM($AQ$2:$AQ$518))=UPPER(TRIM($AQ435))),--(TRIM($AQ$2:$AQ$518)&lt;&gt;""),--(LOWER(TRIM($AQ$2:$AQ$518))&lt;&gt;"n/a"),--(LOWER(TRIM($AQ$2:$AQ$518))&lt;&gt;"na"))&gt;1)),"Yes","No"))</f>
        <v/>
      </c>
      <c r="F435">
        <f>IF(UPPER(TRIM($B435))&lt;&gt;"YES","", IF(OR(AND($V435&lt;&gt;"", LOWER(TRIM($V435))&lt;&gt;"n/a", LOWER(TRIM($V435))&lt;&gt;"na", SUMPRODUCT(--(UPPER(TRIM($V$2:$V$518))=UPPER(TRIM($V435))), --(UPPER(TRIM($B$2:$B$518))="YES"), --(UPPER(TRIM($G$2:$G$518)&amp;TRIM($I$2:$I$518)&amp;TRIM($J$2:$J$518))&lt;&gt;UPPER(TRIM($G435)&amp;TRIM($I435)&amp;TRIM($J435))))&gt;0), AND($W435&lt;&gt;"", LOWER(TRIM($W435))&lt;&gt;"n/a", LOWER(TRIM($W435))&lt;&gt;"na", SUMPRODUCT(--(UPPER(TRIM($W$2:$W$518))=UPPER(TRIM($W435))), --(UPPER(TRIM($B$2:$B$518))="YES"), --(UPPER(TRIM($G$2:$G$518)&amp;TRIM($I$2:$I$518)&amp;TRIM($J$2:$J$518))&lt;&gt;UPPER(TRIM($G435)&amp;TRIM($I435)&amp;TRIM($J435))))&gt;0), AND($X435&lt;&gt;"", LOWER(TRIM($X435))&lt;&gt;"n/a", LOWER(TRIM($X435))&lt;&gt;"na", SUMPRODUCT(--(UPPER(TRIM($X$2:$X$518))=UPPER(TRIM($X435))), --(UPPER(TRIM($B$2:$B$518))="YES"), --(UPPER(TRIM($G$2:$G$518)&amp;TRIM($I$2:$I$518)&amp;TRIM($J$2:$J$518))&lt;&gt;UPPER(TRIM($G435)&amp;TRIM($I435)&amp;TRIM($J435))))&gt;0), AND($Y435&lt;&gt;"", LOWER(TRIM($Y435))&lt;&gt;"n/a", LOWER(TRIM($Y435))&lt;&gt;"na", SUMPRODUCT(--(UPPER(SUBSTITUTE(SUBSTITUTE(TRIM($Y$2:$Y$518),":",""),"-",""))=UPPER(SUBSTITUTE(SUBSTITUTE(TRIM($Y435),":",""),"-",""))), --(UPPER(TRIM($B$2:$B$518))="YES"), --(UPPER(TRIM($G$2:$G$518)&amp;TRIM($I$2:$I$518)&amp;TRIM($J$2:$J$518))&lt;&gt;UPPER(TRIM($G435)&amp;TRIM($I435)&amp;TRIM($J435))))&gt;0), AND($AB435&lt;&gt;"", LOWER(TRIM($AB435))&lt;&gt;"n/a", LOWER(TRIM($AB435))&lt;&gt;"na", SUMPRODUCT(--(UPPER(TRIM($AB$2:$AB$518))=UPPER(TRIM($AB435))), --(UPPER(TRIM($B$2:$B$518))="YES"), --(UPPER(TRIM($G$2:$G$518)&amp;TRIM($I$2:$I$518)&amp;TRIM($J$2:$J$518))&lt;&gt;UPPER(TRIM($G435)&amp;TRIM($I435)&amp;TRIM($J435))))&gt;0), AND($AH435&lt;&gt;"", LOWER(TRIM($AH435))&lt;&gt;"n/a", LOWER(TRIM($AH435))&lt;&gt;"na", SUMPRODUCT(--(UPPER(SUBSTITUTE(SUBSTITUTE(TRIM($AH$2:$AH$518),":",""),"-",""))=UPPER(SUBSTITUTE(SUBSTITUTE(TRIM($AH435),":",""),"-",""))), --(UPPER(TRIM($B$2:$B$518))="YES"), --(UPPER(TRIM($G$2:$G$518)&amp;TRIM($I$2:$I$518)&amp;TRIM($J$2:$J$518))&lt;&gt;UPPER(TRIM($G435)&amp;TRIM($I435)&amp;TRIM($J435))))&gt;0), AND($AP435&lt;&gt;"", LOWER(TRIM($AP435))&lt;&gt;"n/a", LOWER(TRIM($AP435))&lt;&gt;"na", SUMPRODUCT(--(UPPER(TRIM($AP$2:$AP$518))=UPPER(TRIM($AP435))), --(UPPER(TRIM($B$2:$B$518))="YES"), --(UPPER(TRIM($G$2:$G$518)&amp;TRIM($I$2:$I$518)&amp;TRIM($J$2:$J$518))&lt;&gt;UPPER(TRIM($G435)&amp;TRIM($I435)&amp;TRIM($J435))))&gt;0), AND($AQ435&lt;&gt;"", LOWER(TRIM($AQ435))&lt;&gt;"n/a", LOWER(TRIM($AQ435))&lt;&gt;"na", SUMPRODUCT(--(UPPER(TRIM($AQ$2:$AQ$518))=UPPER(TRIM($AQ435))), --(UPPER(TRIM($B$2:$B$518))="YES"), --(UPPER(TRIM($G$2:$G$518)&amp;TRIM($I$2:$I$518)&amp;TRIM($J$2:$J$518))&lt;&gt;UPPER(TRIM($G435)&amp;TRIM($I435)&amp;TRIM($J435))))&gt;0)), "Yes", "No"))</f>
        <v/>
      </c>
      <c r="CD435">
        <f>IF($Y435="","",IF((IF(AND($BR435&lt;&gt;"Yes",$BR435&lt;&gt;"N/A"),"Power Cable, ","")&amp;IF(AND($BS435&lt;&gt;"Yes",$BS435&lt;&gt;"N/A"),"Battery, ","")&amp;IF(AND($AD435&lt;&gt;"Yes",$AD435&lt;&gt;"N/A"),"Firmware Download, ","")&amp;IF(AND(OR($AD435="Yes",$AD435="N/A"),$AE435&lt;&gt;"Yes",$AE435&lt;&gt;"N/A"),"Firmware Install, ","")&amp;IF(AND($CB435&lt;&gt;"Yes",$CB435&lt;&gt;"N/A"),"Device ID, ","")&amp;IF(AND($CC435&lt;&gt;"Yes",$CC435&lt;&gt;"N/A"),"Epic Beans Relay, ",""))="","",LEFT(IF(AND($BR435&lt;&gt;"Yes",$BR435&lt;&gt;"N/A"),"Power Cable, ","")&amp;IF(AND($BS435&lt;&gt;"Yes",$BS435&lt;&gt;"N/A"),"Battery, ","")&amp;IF(AND($AD435&lt;&gt;"Yes",$AD435&lt;&gt;"N/A"),"Firmware Download, ","")&amp;IF(AND(OR($AD435="Yes",$AD435="N/A"),$AE435&lt;&gt;"Yes",$AE435&lt;&gt;"N/A"),"Firmware Install, ","")&amp;IF(AND($CB435&lt;&gt;"Yes",$CB435&lt;&gt;"N/A"),"Device ID, ","")&amp;IF(AND($CC435&lt;&gt;"Yes",$CC435&lt;&gt;"N/A"),"Epic Beans Relay, ",""),LEN(IF(AND($BR435&lt;&gt;"Yes",$BR435&lt;&gt;"N/A"),"Power Cable, ","")&amp;IF(AND($BS435&lt;&gt;"Yes",$BS435&lt;&gt;"N/A"),"Battery, ","")&amp;IF(AND($AD435&lt;&gt;"Yes",$AD435&lt;&gt;"N/A"),"Firmware Download, ","")&amp;IF(AND(OR($AD435="Yes",$AD435="N/A"),$AE435&lt;&gt;"Yes",$AE435&lt;&gt;"N/A"),"Firmware Install, ","")&amp;IF(AND($CB435&lt;&gt;"Yes",$CB435&lt;&gt;"N/A"),"Device ID, ","")&amp;IF(AND($CC435&lt;&gt;"Yes",$CC435&lt;&gt;"N/A"),"Epic Beans Relay, ",""))-2)))</f>
        <v/>
      </c>
      <c r="CE435">
        <f>IF($Y435="","",IF($CD435="","Yes","Blocked"))</f>
        <v/>
      </c>
      <c r="CP435">
        <f>IF($CO435="","",IFERROR(VLOOKUP($CO435,'01_Warehouse_Ledger'!$A:$N,4,FALSE),""))</f>
        <v/>
      </c>
      <c r="CQ435">
        <f>IF($CO435="","",IFERROR(VLOOKUP($CO435,'01_Warehouse_Ledger'!$A:$N,5,FALSE),""))</f>
        <v/>
      </c>
      <c r="CR435">
        <f>IF($CO435="","",IFERROR(VLOOKUP($CO435,'01_Warehouse_Ledger'!$A:$N,13,FALSE),""))</f>
        <v/>
      </c>
      <c r="CW435">
        <f>IF($S435="","",IF(UPPER(TRIM($S435))&lt;&gt;"PASS","",IF(LEN(TRIM($BY435))&gt;0,"NOTES_PRESENT",IF(LEN(TRIM($T435))=0,"SET_NA",IF(OR(LOWER(TRIM($T435))="na",LOWER(TRIM($T435))="n/a"),"OK","MANUAL_OVERRIDE")))))</f>
        <v/>
      </c>
    </row>
    <row r="436">
      <c r="B436" t="inlineStr">
        <is>
          <t>No</t>
        </is>
      </c>
      <c r="C436" t="inlineStr">
        <is>
          <t>No</t>
        </is>
      </c>
      <c r="D436">
        <f>IF($B436&lt;&gt;"Yes","",IF($C436="No","Yes",IF($C436="Yes","No","")))</f>
        <v/>
      </c>
      <c r="E436">
        <f>IF($A436="","",IF(OR(AND($V436&lt;&gt;"",LOWER(TRIM($V436))&lt;&gt;"n/a",LOWER(TRIM($V436))&lt;&gt;"na",SUMPRODUCT(--(UPPER(TRIM($V$2:$V$518))=UPPER(TRIM($V436))),--(TRIM($V$2:$V$518)&lt;&gt;""),--(LOWER(TRIM($V$2:$V$518))&lt;&gt;"n/a"),--(LOWER(TRIM($V$2:$V$518))&lt;&gt;"na"))&gt;1),AND($W436&lt;&gt;"",LOWER(TRIM($W436))&lt;&gt;"n/a",LOWER(TRIM($W436))&lt;&gt;"na",SUMPRODUCT(--(UPPER(TRIM($W$2:$W$518))=UPPER(TRIM($W436))),--(TRIM($W$2:$W$518)&lt;&gt;""),--(LOWER(TRIM($W$2:$W$518))&lt;&gt;"n/a"),--(LOWER(TRIM($W$2:$W$518))&lt;&gt;"na"))&gt;1),AND($X436&lt;&gt;"",LOWER(TRIM($X436))&lt;&gt;"n/a",LOWER(TRIM($X436))&lt;&gt;"na",SUMPRODUCT(--(UPPER(TRIM($X$2:$X$518))=UPPER(TRIM($X436))),--(TRIM($X$2:$X$518)&lt;&gt;""),--(LOWER(TRIM($X$2:$X$518))&lt;&gt;"n/a"),--(LOWER(TRIM($X$2:$X$518))&lt;&gt;"na"))&gt;1),AND($Y436&lt;&gt;"",LOWER(TRIM($Y436))&lt;&gt;"n/a",LOWER(TRIM($Y436))&lt;&gt;"na",SUMPRODUCT(--(UPPER(SUBSTITUTE(SUBSTITUTE(TRIM($Y$2:$Y$518),":",""),"-",""))=UPPER(SUBSTITUTE(SUBSTITUTE(TRIM($Y436),":",""),"-",""))),--(TRIM($Y$2:$Y$518)&lt;&gt;""),--(LOWER(TRIM($Y$2:$Y$518))&lt;&gt;"n/a"),--(LOWER(TRIM($Y$2:$Y$518))&lt;&gt;"na"))&gt;1),AND($AB436&lt;&gt;"",LOWER(TRIM($AB436))&lt;&gt;"n/a",LOWER(TRIM($AB436))&lt;&gt;"na",SUMPRODUCT(--(UPPER(TRIM($AB$2:$AB$518))=UPPER(TRIM($AB436))),--(TRIM($AB$2:$AB$518)&lt;&gt;""),--(LOWER(TRIM($AB$2:$AB$518))&lt;&gt;"n/a"),--(LOWER(TRIM($AB$2:$AB$518))&lt;&gt;"na"))&gt;1),AND($AH436&lt;&gt;"",LOWER(TRIM($AH436))&lt;&gt;"n/a",LOWER(TRIM($AH436))&lt;&gt;"na",SUMPRODUCT(--(UPPER(SUBSTITUTE(SUBSTITUTE(TRIM($AH$2:$AH$518),":",""),"-",""))=UPPER(SUBSTITUTE(SUBSTITUTE(TRIM($AH436),":",""),"-",""))),--(TRIM($AH$2:$AH$518)&lt;&gt;""),--(LOWER(TRIM($AH$2:$AH$518))&lt;&gt;"n/a"),--(LOWER(TRIM($AH$2:$AH$518))&lt;&gt;"na"))&gt;1),AND($AP436&lt;&gt;"",LOWER(TRIM($AP436))&lt;&gt;"n/a",LOWER(TRIM($AP436))&lt;&gt;"na",SUMPRODUCT(--(UPPER(TRIM($AP$2:$AP$518))=UPPER(TRIM($AP436))),--(TRIM($AP$2:$AP$518)&lt;&gt;""),--(LOWER(TRIM($AP$2:$AP$518))&lt;&gt;"n/a"),--(LOWER(TRIM($AP$2:$AP$518))&lt;&gt;"na"))&gt;1),AND($AQ436&lt;&gt;"",LOWER(TRIM($AQ436))&lt;&gt;"n/a",LOWER(TRIM($AQ436))&lt;&gt;"na",SUMPRODUCT(--(UPPER(TRIM($AQ$2:$AQ$518))=UPPER(TRIM($AQ436))),--(TRIM($AQ$2:$AQ$518)&lt;&gt;""),--(LOWER(TRIM($AQ$2:$AQ$518))&lt;&gt;"n/a"),--(LOWER(TRIM($AQ$2:$AQ$518))&lt;&gt;"na"))&gt;1)),"Yes","No"))</f>
        <v/>
      </c>
      <c r="F436">
        <f>IF(UPPER(TRIM($B436))&lt;&gt;"YES","", IF(OR(AND($V436&lt;&gt;"", LOWER(TRIM($V436))&lt;&gt;"n/a", LOWER(TRIM($V436))&lt;&gt;"na", SUMPRODUCT(--(UPPER(TRIM($V$2:$V$518))=UPPER(TRIM($V436))), --(UPPER(TRIM($B$2:$B$518))="YES"), --(UPPER(TRIM($G$2:$G$518)&amp;TRIM($I$2:$I$518)&amp;TRIM($J$2:$J$518))&lt;&gt;UPPER(TRIM($G436)&amp;TRIM($I436)&amp;TRIM($J436))))&gt;0), AND($W436&lt;&gt;"", LOWER(TRIM($W436))&lt;&gt;"n/a", LOWER(TRIM($W436))&lt;&gt;"na", SUMPRODUCT(--(UPPER(TRIM($W$2:$W$518))=UPPER(TRIM($W436))), --(UPPER(TRIM($B$2:$B$518))="YES"), --(UPPER(TRIM($G$2:$G$518)&amp;TRIM($I$2:$I$518)&amp;TRIM($J$2:$J$518))&lt;&gt;UPPER(TRIM($G436)&amp;TRIM($I436)&amp;TRIM($J436))))&gt;0), AND($X436&lt;&gt;"", LOWER(TRIM($X436))&lt;&gt;"n/a", LOWER(TRIM($X436))&lt;&gt;"na", SUMPRODUCT(--(UPPER(TRIM($X$2:$X$518))=UPPER(TRIM($X436))), --(UPPER(TRIM($B$2:$B$518))="YES"), --(UPPER(TRIM($G$2:$G$518)&amp;TRIM($I$2:$I$518)&amp;TRIM($J$2:$J$518))&lt;&gt;UPPER(TRIM($G436)&amp;TRIM($I436)&amp;TRIM($J436))))&gt;0), AND($Y436&lt;&gt;"", LOWER(TRIM($Y436))&lt;&gt;"n/a", LOWER(TRIM($Y436))&lt;&gt;"na", SUMPRODUCT(--(UPPER(SUBSTITUTE(SUBSTITUTE(TRIM($Y$2:$Y$518),":",""),"-",""))=UPPER(SUBSTITUTE(SUBSTITUTE(TRIM($Y436),":",""),"-",""))), --(UPPER(TRIM($B$2:$B$518))="YES"), --(UPPER(TRIM($G$2:$G$518)&amp;TRIM($I$2:$I$518)&amp;TRIM($J$2:$J$518))&lt;&gt;UPPER(TRIM($G436)&amp;TRIM($I436)&amp;TRIM($J436))))&gt;0), AND($AB436&lt;&gt;"", LOWER(TRIM($AB436))&lt;&gt;"n/a", LOWER(TRIM($AB436))&lt;&gt;"na", SUMPRODUCT(--(UPPER(TRIM($AB$2:$AB$518))=UPPER(TRIM($AB436))), --(UPPER(TRIM($B$2:$B$518))="YES"), --(UPPER(TRIM($G$2:$G$518)&amp;TRIM($I$2:$I$518)&amp;TRIM($J$2:$J$518))&lt;&gt;UPPER(TRIM($G436)&amp;TRIM($I436)&amp;TRIM($J436))))&gt;0), AND($AH436&lt;&gt;"", LOWER(TRIM($AH436))&lt;&gt;"n/a", LOWER(TRIM($AH436))&lt;&gt;"na", SUMPRODUCT(--(UPPER(SUBSTITUTE(SUBSTITUTE(TRIM($AH$2:$AH$518),":",""),"-",""))=UPPER(SUBSTITUTE(SUBSTITUTE(TRIM($AH436),":",""),"-",""))), --(UPPER(TRIM($B$2:$B$518))="YES"), --(UPPER(TRIM($G$2:$G$518)&amp;TRIM($I$2:$I$518)&amp;TRIM($J$2:$J$518))&lt;&gt;UPPER(TRIM($G436)&amp;TRIM($I436)&amp;TRIM($J436))))&gt;0), AND($AP436&lt;&gt;"", LOWER(TRIM($AP436))&lt;&gt;"n/a", LOWER(TRIM($AP436))&lt;&gt;"na", SUMPRODUCT(--(UPPER(TRIM($AP$2:$AP$518))=UPPER(TRIM($AP436))), --(UPPER(TRIM($B$2:$B$518))="YES"), --(UPPER(TRIM($G$2:$G$518)&amp;TRIM($I$2:$I$518)&amp;TRIM($J$2:$J$518))&lt;&gt;UPPER(TRIM($G436)&amp;TRIM($I436)&amp;TRIM($J436))))&gt;0), AND($AQ436&lt;&gt;"", LOWER(TRIM($AQ436))&lt;&gt;"n/a", LOWER(TRIM($AQ436))&lt;&gt;"na", SUMPRODUCT(--(UPPER(TRIM($AQ$2:$AQ$518))=UPPER(TRIM($AQ436))), --(UPPER(TRIM($B$2:$B$518))="YES"), --(UPPER(TRIM($G$2:$G$518)&amp;TRIM($I$2:$I$518)&amp;TRIM($J$2:$J$518))&lt;&gt;UPPER(TRIM($G436)&amp;TRIM($I436)&amp;TRIM($J436))))&gt;0)), "Yes", "No"))</f>
        <v/>
      </c>
      <c r="CD436">
        <f>IF($Y436="","",IF((IF(AND($BR436&lt;&gt;"Yes",$BR436&lt;&gt;"N/A"),"Power Cable, ","")&amp;IF(AND($BS436&lt;&gt;"Yes",$BS436&lt;&gt;"N/A"),"Battery, ","")&amp;IF(AND($AD436&lt;&gt;"Yes",$AD436&lt;&gt;"N/A"),"Firmware Download, ","")&amp;IF(AND(OR($AD436="Yes",$AD436="N/A"),$AE436&lt;&gt;"Yes",$AE436&lt;&gt;"N/A"),"Firmware Install, ","")&amp;IF(AND($CB436&lt;&gt;"Yes",$CB436&lt;&gt;"N/A"),"Device ID, ","")&amp;IF(AND($CC436&lt;&gt;"Yes",$CC436&lt;&gt;"N/A"),"Epic Beans Relay, ",""))="","",LEFT(IF(AND($BR436&lt;&gt;"Yes",$BR436&lt;&gt;"N/A"),"Power Cable, ","")&amp;IF(AND($BS436&lt;&gt;"Yes",$BS436&lt;&gt;"N/A"),"Battery, ","")&amp;IF(AND($AD436&lt;&gt;"Yes",$AD436&lt;&gt;"N/A"),"Firmware Download, ","")&amp;IF(AND(OR($AD436="Yes",$AD436="N/A"),$AE436&lt;&gt;"Yes",$AE436&lt;&gt;"N/A"),"Firmware Install, ","")&amp;IF(AND($CB436&lt;&gt;"Yes",$CB436&lt;&gt;"N/A"),"Device ID, ","")&amp;IF(AND($CC436&lt;&gt;"Yes",$CC436&lt;&gt;"N/A"),"Epic Beans Relay, ",""),LEN(IF(AND($BR436&lt;&gt;"Yes",$BR436&lt;&gt;"N/A"),"Power Cable, ","")&amp;IF(AND($BS436&lt;&gt;"Yes",$BS436&lt;&gt;"N/A"),"Battery, ","")&amp;IF(AND($AD436&lt;&gt;"Yes",$AD436&lt;&gt;"N/A"),"Firmware Download, ","")&amp;IF(AND(OR($AD436="Yes",$AD436="N/A"),$AE436&lt;&gt;"Yes",$AE436&lt;&gt;"N/A"),"Firmware Install, ","")&amp;IF(AND($CB436&lt;&gt;"Yes",$CB436&lt;&gt;"N/A"),"Device ID, ","")&amp;IF(AND($CC436&lt;&gt;"Yes",$CC436&lt;&gt;"N/A"),"Epic Beans Relay, ",""))-2)))</f>
        <v/>
      </c>
      <c r="CE436">
        <f>IF($Y436="","",IF($CD436="","Yes","Blocked"))</f>
        <v/>
      </c>
      <c r="CP436">
        <f>IF($CO436="","",IFERROR(VLOOKUP($CO436,'01_Warehouse_Ledger'!$A:$N,4,FALSE),""))</f>
        <v/>
      </c>
      <c r="CQ436">
        <f>IF($CO436="","",IFERROR(VLOOKUP($CO436,'01_Warehouse_Ledger'!$A:$N,5,FALSE),""))</f>
        <v/>
      </c>
      <c r="CR436">
        <f>IF($CO436="","",IFERROR(VLOOKUP($CO436,'01_Warehouse_Ledger'!$A:$N,13,FALSE),""))</f>
        <v/>
      </c>
      <c r="CW436">
        <f>IF($S436="","",IF(UPPER(TRIM($S436))&lt;&gt;"PASS","",IF(LEN(TRIM($BY436))&gt;0,"NOTES_PRESENT",IF(LEN(TRIM($T436))=0,"SET_NA",IF(OR(LOWER(TRIM($T436))="na",LOWER(TRIM($T436))="n/a"),"OK","MANUAL_OVERRIDE")))))</f>
        <v/>
      </c>
    </row>
    <row r="437">
      <c r="B437" t="inlineStr">
        <is>
          <t>No</t>
        </is>
      </c>
      <c r="C437" t="inlineStr">
        <is>
          <t>No</t>
        </is>
      </c>
      <c r="D437">
        <f>IF($B437&lt;&gt;"Yes","",IF($C437="No","Yes",IF($C437="Yes","No","")))</f>
        <v/>
      </c>
      <c r="E437">
        <f>IF($A437="","",IF(OR(AND($V437&lt;&gt;"",LOWER(TRIM($V437))&lt;&gt;"n/a",LOWER(TRIM($V437))&lt;&gt;"na",SUMPRODUCT(--(UPPER(TRIM($V$2:$V$518))=UPPER(TRIM($V437))),--(TRIM($V$2:$V$518)&lt;&gt;""),--(LOWER(TRIM($V$2:$V$518))&lt;&gt;"n/a"),--(LOWER(TRIM($V$2:$V$518))&lt;&gt;"na"))&gt;1),AND($W437&lt;&gt;"",LOWER(TRIM($W437))&lt;&gt;"n/a",LOWER(TRIM($W437))&lt;&gt;"na",SUMPRODUCT(--(UPPER(TRIM($W$2:$W$518))=UPPER(TRIM($W437))),--(TRIM($W$2:$W$518)&lt;&gt;""),--(LOWER(TRIM($W$2:$W$518))&lt;&gt;"n/a"),--(LOWER(TRIM($W$2:$W$518))&lt;&gt;"na"))&gt;1),AND($X437&lt;&gt;"",LOWER(TRIM($X437))&lt;&gt;"n/a",LOWER(TRIM($X437))&lt;&gt;"na",SUMPRODUCT(--(UPPER(TRIM($X$2:$X$518))=UPPER(TRIM($X437))),--(TRIM($X$2:$X$518)&lt;&gt;""),--(LOWER(TRIM($X$2:$X$518))&lt;&gt;"n/a"),--(LOWER(TRIM($X$2:$X$518))&lt;&gt;"na"))&gt;1),AND($Y437&lt;&gt;"",LOWER(TRIM($Y437))&lt;&gt;"n/a",LOWER(TRIM($Y437))&lt;&gt;"na",SUMPRODUCT(--(UPPER(SUBSTITUTE(SUBSTITUTE(TRIM($Y$2:$Y$518),":",""),"-",""))=UPPER(SUBSTITUTE(SUBSTITUTE(TRIM($Y437),":",""),"-",""))),--(TRIM($Y$2:$Y$518)&lt;&gt;""),--(LOWER(TRIM($Y$2:$Y$518))&lt;&gt;"n/a"),--(LOWER(TRIM($Y$2:$Y$518))&lt;&gt;"na"))&gt;1),AND($AB437&lt;&gt;"",LOWER(TRIM($AB437))&lt;&gt;"n/a",LOWER(TRIM($AB437))&lt;&gt;"na",SUMPRODUCT(--(UPPER(TRIM($AB$2:$AB$518))=UPPER(TRIM($AB437))),--(TRIM($AB$2:$AB$518)&lt;&gt;""),--(LOWER(TRIM($AB$2:$AB$518))&lt;&gt;"n/a"),--(LOWER(TRIM($AB$2:$AB$518))&lt;&gt;"na"))&gt;1),AND($AH437&lt;&gt;"",LOWER(TRIM($AH437))&lt;&gt;"n/a",LOWER(TRIM($AH437))&lt;&gt;"na",SUMPRODUCT(--(UPPER(SUBSTITUTE(SUBSTITUTE(TRIM($AH$2:$AH$518),":",""),"-",""))=UPPER(SUBSTITUTE(SUBSTITUTE(TRIM($AH437),":",""),"-",""))),--(TRIM($AH$2:$AH$518)&lt;&gt;""),--(LOWER(TRIM($AH$2:$AH$518))&lt;&gt;"n/a"),--(LOWER(TRIM($AH$2:$AH$518))&lt;&gt;"na"))&gt;1),AND($AP437&lt;&gt;"",LOWER(TRIM($AP437))&lt;&gt;"n/a",LOWER(TRIM($AP437))&lt;&gt;"na",SUMPRODUCT(--(UPPER(TRIM($AP$2:$AP$518))=UPPER(TRIM($AP437))),--(TRIM($AP$2:$AP$518)&lt;&gt;""),--(LOWER(TRIM($AP$2:$AP$518))&lt;&gt;"n/a"),--(LOWER(TRIM($AP$2:$AP$518))&lt;&gt;"na"))&gt;1),AND($AQ437&lt;&gt;"",LOWER(TRIM($AQ437))&lt;&gt;"n/a",LOWER(TRIM($AQ437))&lt;&gt;"na",SUMPRODUCT(--(UPPER(TRIM($AQ$2:$AQ$518))=UPPER(TRIM($AQ437))),--(TRIM($AQ$2:$AQ$518)&lt;&gt;""),--(LOWER(TRIM($AQ$2:$AQ$518))&lt;&gt;"n/a"),--(LOWER(TRIM($AQ$2:$AQ$518))&lt;&gt;"na"))&gt;1)),"Yes","No"))</f>
        <v/>
      </c>
      <c r="F437">
        <f>IF(UPPER(TRIM($B437))&lt;&gt;"YES","", IF(OR(AND($V437&lt;&gt;"", LOWER(TRIM($V437))&lt;&gt;"n/a", LOWER(TRIM($V437))&lt;&gt;"na", SUMPRODUCT(--(UPPER(TRIM($V$2:$V$518))=UPPER(TRIM($V437))), --(UPPER(TRIM($B$2:$B$518))="YES"), --(UPPER(TRIM($G$2:$G$518)&amp;TRIM($I$2:$I$518)&amp;TRIM($J$2:$J$518))&lt;&gt;UPPER(TRIM($G437)&amp;TRIM($I437)&amp;TRIM($J437))))&gt;0), AND($W437&lt;&gt;"", LOWER(TRIM($W437))&lt;&gt;"n/a", LOWER(TRIM($W437))&lt;&gt;"na", SUMPRODUCT(--(UPPER(TRIM($W$2:$W$518))=UPPER(TRIM($W437))), --(UPPER(TRIM($B$2:$B$518))="YES"), --(UPPER(TRIM($G$2:$G$518)&amp;TRIM($I$2:$I$518)&amp;TRIM($J$2:$J$518))&lt;&gt;UPPER(TRIM($G437)&amp;TRIM($I437)&amp;TRIM($J437))))&gt;0), AND($X437&lt;&gt;"", LOWER(TRIM($X437))&lt;&gt;"n/a", LOWER(TRIM($X437))&lt;&gt;"na", SUMPRODUCT(--(UPPER(TRIM($X$2:$X$518))=UPPER(TRIM($X437))), --(UPPER(TRIM($B$2:$B$518))="YES"), --(UPPER(TRIM($G$2:$G$518)&amp;TRIM($I$2:$I$518)&amp;TRIM($J$2:$J$518))&lt;&gt;UPPER(TRIM($G437)&amp;TRIM($I437)&amp;TRIM($J437))))&gt;0), AND($Y437&lt;&gt;"", LOWER(TRIM($Y437))&lt;&gt;"n/a", LOWER(TRIM($Y437))&lt;&gt;"na", SUMPRODUCT(--(UPPER(SUBSTITUTE(SUBSTITUTE(TRIM($Y$2:$Y$518),":",""),"-",""))=UPPER(SUBSTITUTE(SUBSTITUTE(TRIM($Y437),":",""),"-",""))), --(UPPER(TRIM($B$2:$B$518))="YES"), --(UPPER(TRIM($G$2:$G$518)&amp;TRIM($I$2:$I$518)&amp;TRIM($J$2:$J$518))&lt;&gt;UPPER(TRIM($G437)&amp;TRIM($I437)&amp;TRIM($J437))))&gt;0), AND($AB437&lt;&gt;"", LOWER(TRIM($AB437))&lt;&gt;"n/a", LOWER(TRIM($AB437))&lt;&gt;"na", SUMPRODUCT(--(UPPER(TRIM($AB$2:$AB$518))=UPPER(TRIM($AB437))), --(UPPER(TRIM($B$2:$B$518))="YES"), --(UPPER(TRIM($G$2:$G$518)&amp;TRIM($I$2:$I$518)&amp;TRIM($J$2:$J$518))&lt;&gt;UPPER(TRIM($G437)&amp;TRIM($I437)&amp;TRIM($J437))))&gt;0), AND($AH437&lt;&gt;"", LOWER(TRIM($AH437))&lt;&gt;"n/a", LOWER(TRIM($AH437))&lt;&gt;"na", SUMPRODUCT(--(UPPER(SUBSTITUTE(SUBSTITUTE(TRIM($AH$2:$AH$518),":",""),"-",""))=UPPER(SUBSTITUTE(SUBSTITUTE(TRIM($AH437),":",""),"-",""))), --(UPPER(TRIM($B$2:$B$518))="YES"), --(UPPER(TRIM($G$2:$G$518)&amp;TRIM($I$2:$I$518)&amp;TRIM($J$2:$J$518))&lt;&gt;UPPER(TRIM($G437)&amp;TRIM($I437)&amp;TRIM($J437))))&gt;0), AND($AP437&lt;&gt;"", LOWER(TRIM($AP437))&lt;&gt;"n/a", LOWER(TRIM($AP437))&lt;&gt;"na", SUMPRODUCT(--(UPPER(TRIM($AP$2:$AP$518))=UPPER(TRIM($AP437))), --(UPPER(TRIM($B$2:$B$518))="YES"), --(UPPER(TRIM($G$2:$G$518)&amp;TRIM($I$2:$I$518)&amp;TRIM($J$2:$J$518))&lt;&gt;UPPER(TRIM($G437)&amp;TRIM($I437)&amp;TRIM($J437))))&gt;0), AND($AQ437&lt;&gt;"", LOWER(TRIM($AQ437))&lt;&gt;"n/a", LOWER(TRIM($AQ437))&lt;&gt;"na", SUMPRODUCT(--(UPPER(TRIM($AQ$2:$AQ$518))=UPPER(TRIM($AQ437))), --(UPPER(TRIM($B$2:$B$518))="YES"), --(UPPER(TRIM($G$2:$G$518)&amp;TRIM($I$2:$I$518)&amp;TRIM($J$2:$J$518))&lt;&gt;UPPER(TRIM($G437)&amp;TRIM($I437)&amp;TRIM($J437))))&gt;0)), "Yes", "No"))</f>
        <v/>
      </c>
      <c r="CD437">
        <f>IF($Y437="","",IF((IF(AND($BR437&lt;&gt;"Yes",$BR437&lt;&gt;"N/A"),"Power Cable, ","")&amp;IF(AND($BS437&lt;&gt;"Yes",$BS437&lt;&gt;"N/A"),"Battery, ","")&amp;IF(AND($AD437&lt;&gt;"Yes",$AD437&lt;&gt;"N/A"),"Firmware Download, ","")&amp;IF(AND(OR($AD437="Yes",$AD437="N/A"),$AE437&lt;&gt;"Yes",$AE437&lt;&gt;"N/A"),"Firmware Install, ","")&amp;IF(AND($CB437&lt;&gt;"Yes",$CB437&lt;&gt;"N/A"),"Device ID, ","")&amp;IF(AND($CC437&lt;&gt;"Yes",$CC437&lt;&gt;"N/A"),"Epic Beans Relay, ",""))="","",LEFT(IF(AND($BR437&lt;&gt;"Yes",$BR437&lt;&gt;"N/A"),"Power Cable, ","")&amp;IF(AND($BS437&lt;&gt;"Yes",$BS437&lt;&gt;"N/A"),"Battery, ","")&amp;IF(AND($AD437&lt;&gt;"Yes",$AD437&lt;&gt;"N/A"),"Firmware Download, ","")&amp;IF(AND(OR($AD437="Yes",$AD437="N/A"),$AE437&lt;&gt;"Yes",$AE437&lt;&gt;"N/A"),"Firmware Install, ","")&amp;IF(AND($CB437&lt;&gt;"Yes",$CB437&lt;&gt;"N/A"),"Device ID, ","")&amp;IF(AND($CC437&lt;&gt;"Yes",$CC437&lt;&gt;"N/A"),"Epic Beans Relay, ",""),LEN(IF(AND($BR437&lt;&gt;"Yes",$BR437&lt;&gt;"N/A"),"Power Cable, ","")&amp;IF(AND($BS437&lt;&gt;"Yes",$BS437&lt;&gt;"N/A"),"Battery, ","")&amp;IF(AND($AD437&lt;&gt;"Yes",$AD437&lt;&gt;"N/A"),"Firmware Download, ","")&amp;IF(AND(OR($AD437="Yes",$AD437="N/A"),$AE437&lt;&gt;"Yes",$AE437&lt;&gt;"N/A"),"Firmware Install, ","")&amp;IF(AND($CB437&lt;&gt;"Yes",$CB437&lt;&gt;"N/A"),"Device ID, ","")&amp;IF(AND($CC437&lt;&gt;"Yes",$CC437&lt;&gt;"N/A"),"Epic Beans Relay, ",""))-2)))</f>
        <v/>
      </c>
      <c r="CE437">
        <f>IF($Y437="","",IF($CD437="","Yes","Blocked"))</f>
        <v/>
      </c>
      <c r="CP437">
        <f>IF($CO437="","",IFERROR(VLOOKUP($CO437,'01_Warehouse_Ledger'!$A:$N,4,FALSE),""))</f>
        <v/>
      </c>
      <c r="CQ437">
        <f>IF($CO437="","",IFERROR(VLOOKUP($CO437,'01_Warehouse_Ledger'!$A:$N,5,FALSE),""))</f>
        <v/>
      </c>
      <c r="CR437">
        <f>IF($CO437="","",IFERROR(VLOOKUP($CO437,'01_Warehouse_Ledger'!$A:$N,13,FALSE),""))</f>
        <v/>
      </c>
      <c r="CW437">
        <f>IF($S437="","",IF(UPPER(TRIM($S437))&lt;&gt;"PASS","",IF(LEN(TRIM($BY437))&gt;0,"NOTES_PRESENT",IF(LEN(TRIM($T437))=0,"SET_NA",IF(OR(LOWER(TRIM($T437))="na",LOWER(TRIM($T437))="n/a"),"OK","MANUAL_OVERRIDE")))))</f>
        <v/>
      </c>
    </row>
    <row r="438">
      <c r="B438" t="inlineStr">
        <is>
          <t>No</t>
        </is>
      </c>
      <c r="C438" t="inlineStr">
        <is>
          <t>No</t>
        </is>
      </c>
      <c r="D438">
        <f>IF($B438&lt;&gt;"Yes","",IF($C438="No","Yes",IF($C438="Yes","No","")))</f>
        <v/>
      </c>
      <c r="E438">
        <f>IF($A438="","",IF(OR(AND($V438&lt;&gt;"",LOWER(TRIM($V438))&lt;&gt;"n/a",LOWER(TRIM($V438))&lt;&gt;"na",SUMPRODUCT(--(UPPER(TRIM($V$2:$V$518))=UPPER(TRIM($V438))),--(TRIM($V$2:$V$518)&lt;&gt;""),--(LOWER(TRIM($V$2:$V$518))&lt;&gt;"n/a"),--(LOWER(TRIM($V$2:$V$518))&lt;&gt;"na"))&gt;1),AND($W438&lt;&gt;"",LOWER(TRIM($W438))&lt;&gt;"n/a",LOWER(TRIM($W438))&lt;&gt;"na",SUMPRODUCT(--(UPPER(TRIM($W$2:$W$518))=UPPER(TRIM($W438))),--(TRIM($W$2:$W$518)&lt;&gt;""),--(LOWER(TRIM($W$2:$W$518))&lt;&gt;"n/a"),--(LOWER(TRIM($W$2:$W$518))&lt;&gt;"na"))&gt;1),AND($X438&lt;&gt;"",LOWER(TRIM($X438))&lt;&gt;"n/a",LOWER(TRIM($X438))&lt;&gt;"na",SUMPRODUCT(--(UPPER(TRIM($X$2:$X$518))=UPPER(TRIM($X438))),--(TRIM($X$2:$X$518)&lt;&gt;""),--(LOWER(TRIM($X$2:$X$518))&lt;&gt;"n/a"),--(LOWER(TRIM($X$2:$X$518))&lt;&gt;"na"))&gt;1),AND($Y438&lt;&gt;"",LOWER(TRIM($Y438))&lt;&gt;"n/a",LOWER(TRIM($Y438))&lt;&gt;"na",SUMPRODUCT(--(UPPER(SUBSTITUTE(SUBSTITUTE(TRIM($Y$2:$Y$518),":",""),"-",""))=UPPER(SUBSTITUTE(SUBSTITUTE(TRIM($Y438),":",""),"-",""))),--(TRIM($Y$2:$Y$518)&lt;&gt;""),--(LOWER(TRIM($Y$2:$Y$518))&lt;&gt;"n/a"),--(LOWER(TRIM($Y$2:$Y$518))&lt;&gt;"na"))&gt;1),AND($AB438&lt;&gt;"",LOWER(TRIM($AB438))&lt;&gt;"n/a",LOWER(TRIM($AB438))&lt;&gt;"na",SUMPRODUCT(--(UPPER(TRIM($AB$2:$AB$518))=UPPER(TRIM($AB438))),--(TRIM($AB$2:$AB$518)&lt;&gt;""),--(LOWER(TRIM($AB$2:$AB$518))&lt;&gt;"n/a"),--(LOWER(TRIM($AB$2:$AB$518))&lt;&gt;"na"))&gt;1),AND($AH438&lt;&gt;"",LOWER(TRIM($AH438))&lt;&gt;"n/a",LOWER(TRIM($AH438))&lt;&gt;"na",SUMPRODUCT(--(UPPER(SUBSTITUTE(SUBSTITUTE(TRIM($AH$2:$AH$518),":",""),"-",""))=UPPER(SUBSTITUTE(SUBSTITUTE(TRIM($AH438),":",""),"-",""))),--(TRIM($AH$2:$AH$518)&lt;&gt;""),--(LOWER(TRIM($AH$2:$AH$518))&lt;&gt;"n/a"),--(LOWER(TRIM($AH$2:$AH$518))&lt;&gt;"na"))&gt;1),AND($AP438&lt;&gt;"",LOWER(TRIM($AP438))&lt;&gt;"n/a",LOWER(TRIM($AP438))&lt;&gt;"na",SUMPRODUCT(--(UPPER(TRIM($AP$2:$AP$518))=UPPER(TRIM($AP438))),--(TRIM($AP$2:$AP$518)&lt;&gt;""),--(LOWER(TRIM($AP$2:$AP$518))&lt;&gt;"n/a"),--(LOWER(TRIM($AP$2:$AP$518))&lt;&gt;"na"))&gt;1),AND($AQ438&lt;&gt;"",LOWER(TRIM($AQ438))&lt;&gt;"n/a",LOWER(TRIM($AQ438))&lt;&gt;"na",SUMPRODUCT(--(UPPER(TRIM($AQ$2:$AQ$518))=UPPER(TRIM($AQ438))),--(TRIM($AQ$2:$AQ$518)&lt;&gt;""),--(LOWER(TRIM($AQ$2:$AQ$518))&lt;&gt;"n/a"),--(LOWER(TRIM($AQ$2:$AQ$518))&lt;&gt;"na"))&gt;1)),"Yes","No"))</f>
        <v/>
      </c>
      <c r="F438">
        <f>IF(UPPER(TRIM($B438))&lt;&gt;"YES","", IF(OR(AND($V438&lt;&gt;"", LOWER(TRIM($V438))&lt;&gt;"n/a", LOWER(TRIM($V438))&lt;&gt;"na", SUMPRODUCT(--(UPPER(TRIM($V$2:$V$518))=UPPER(TRIM($V438))), --(UPPER(TRIM($B$2:$B$518))="YES"), --(UPPER(TRIM($G$2:$G$518)&amp;TRIM($I$2:$I$518)&amp;TRIM($J$2:$J$518))&lt;&gt;UPPER(TRIM($G438)&amp;TRIM($I438)&amp;TRIM($J438))))&gt;0), AND($W438&lt;&gt;"", LOWER(TRIM($W438))&lt;&gt;"n/a", LOWER(TRIM($W438))&lt;&gt;"na", SUMPRODUCT(--(UPPER(TRIM($W$2:$W$518))=UPPER(TRIM($W438))), --(UPPER(TRIM($B$2:$B$518))="YES"), --(UPPER(TRIM($G$2:$G$518)&amp;TRIM($I$2:$I$518)&amp;TRIM($J$2:$J$518))&lt;&gt;UPPER(TRIM($G438)&amp;TRIM($I438)&amp;TRIM($J438))))&gt;0), AND($X438&lt;&gt;"", LOWER(TRIM($X438))&lt;&gt;"n/a", LOWER(TRIM($X438))&lt;&gt;"na", SUMPRODUCT(--(UPPER(TRIM($X$2:$X$518))=UPPER(TRIM($X438))), --(UPPER(TRIM($B$2:$B$518))="YES"), --(UPPER(TRIM($G$2:$G$518)&amp;TRIM($I$2:$I$518)&amp;TRIM($J$2:$J$518))&lt;&gt;UPPER(TRIM($G438)&amp;TRIM($I438)&amp;TRIM($J438))))&gt;0), AND($Y438&lt;&gt;"", LOWER(TRIM($Y438))&lt;&gt;"n/a", LOWER(TRIM($Y438))&lt;&gt;"na", SUMPRODUCT(--(UPPER(SUBSTITUTE(SUBSTITUTE(TRIM($Y$2:$Y$518),":",""),"-",""))=UPPER(SUBSTITUTE(SUBSTITUTE(TRIM($Y438),":",""),"-",""))), --(UPPER(TRIM($B$2:$B$518))="YES"), --(UPPER(TRIM($G$2:$G$518)&amp;TRIM($I$2:$I$518)&amp;TRIM($J$2:$J$518))&lt;&gt;UPPER(TRIM($G438)&amp;TRIM($I438)&amp;TRIM($J438))))&gt;0), AND($AB438&lt;&gt;"", LOWER(TRIM($AB438))&lt;&gt;"n/a", LOWER(TRIM($AB438))&lt;&gt;"na", SUMPRODUCT(--(UPPER(TRIM($AB$2:$AB$518))=UPPER(TRIM($AB438))), --(UPPER(TRIM($B$2:$B$518))="YES"), --(UPPER(TRIM($G$2:$G$518)&amp;TRIM($I$2:$I$518)&amp;TRIM($J$2:$J$518))&lt;&gt;UPPER(TRIM($G438)&amp;TRIM($I438)&amp;TRIM($J438))))&gt;0), AND($AH438&lt;&gt;"", LOWER(TRIM($AH438))&lt;&gt;"n/a", LOWER(TRIM($AH438))&lt;&gt;"na", SUMPRODUCT(--(UPPER(SUBSTITUTE(SUBSTITUTE(TRIM($AH$2:$AH$518),":",""),"-",""))=UPPER(SUBSTITUTE(SUBSTITUTE(TRIM($AH438),":",""),"-",""))), --(UPPER(TRIM($B$2:$B$518))="YES"), --(UPPER(TRIM($G$2:$G$518)&amp;TRIM($I$2:$I$518)&amp;TRIM($J$2:$J$518))&lt;&gt;UPPER(TRIM($G438)&amp;TRIM($I438)&amp;TRIM($J438))))&gt;0), AND($AP438&lt;&gt;"", LOWER(TRIM($AP438))&lt;&gt;"n/a", LOWER(TRIM($AP438))&lt;&gt;"na", SUMPRODUCT(--(UPPER(TRIM($AP$2:$AP$518))=UPPER(TRIM($AP438))), --(UPPER(TRIM($B$2:$B$518))="YES"), --(UPPER(TRIM($G$2:$G$518)&amp;TRIM($I$2:$I$518)&amp;TRIM($J$2:$J$518))&lt;&gt;UPPER(TRIM($G438)&amp;TRIM($I438)&amp;TRIM($J438))))&gt;0), AND($AQ438&lt;&gt;"", LOWER(TRIM($AQ438))&lt;&gt;"n/a", LOWER(TRIM($AQ438))&lt;&gt;"na", SUMPRODUCT(--(UPPER(TRIM($AQ$2:$AQ$518))=UPPER(TRIM($AQ438))), --(UPPER(TRIM($B$2:$B$518))="YES"), --(UPPER(TRIM($G$2:$G$518)&amp;TRIM($I$2:$I$518)&amp;TRIM($J$2:$J$518))&lt;&gt;UPPER(TRIM($G438)&amp;TRIM($I438)&amp;TRIM($J438))))&gt;0)), "Yes", "No"))</f>
        <v/>
      </c>
      <c r="CD438">
        <f>IF($Y438="","",IF((IF(AND($BR438&lt;&gt;"Yes",$BR438&lt;&gt;"N/A"),"Power Cable, ","")&amp;IF(AND($BS438&lt;&gt;"Yes",$BS438&lt;&gt;"N/A"),"Battery, ","")&amp;IF(AND($AD438&lt;&gt;"Yes",$AD438&lt;&gt;"N/A"),"Firmware Download, ","")&amp;IF(AND(OR($AD438="Yes",$AD438="N/A"),$AE438&lt;&gt;"Yes",$AE438&lt;&gt;"N/A"),"Firmware Install, ","")&amp;IF(AND($CB438&lt;&gt;"Yes",$CB438&lt;&gt;"N/A"),"Device ID, ","")&amp;IF(AND($CC438&lt;&gt;"Yes",$CC438&lt;&gt;"N/A"),"Epic Beans Relay, ",""))="","",LEFT(IF(AND($BR438&lt;&gt;"Yes",$BR438&lt;&gt;"N/A"),"Power Cable, ","")&amp;IF(AND($BS438&lt;&gt;"Yes",$BS438&lt;&gt;"N/A"),"Battery, ","")&amp;IF(AND($AD438&lt;&gt;"Yes",$AD438&lt;&gt;"N/A"),"Firmware Download, ","")&amp;IF(AND(OR($AD438="Yes",$AD438="N/A"),$AE438&lt;&gt;"Yes",$AE438&lt;&gt;"N/A"),"Firmware Install, ","")&amp;IF(AND($CB438&lt;&gt;"Yes",$CB438&lt;&gt;"N/A"),"Device ID, ","")&amp;IF(AND($CC438&lt;&gt;"Yes",$CC438&lt;&gt;"N/A"),"Epic Beans Relay, ",""),LEN(IF(AND($BR438&lt;&gt;"Yes",$BR438&lt;&gt;"N/A"),"Power Cable, ","")&amp;IF(AND($BS438&lt;&gt;"Yes",$BS438&lt;&gt;"N/A"),"Battery, ","")&amp;IF(AND($AD438&lt;&gt;"Yes",$AD438&lt;&gt;"N/A"),"Firmware Download, ","")&amp;IF(AND(OR($AD438="Yes",$AD438="N/A"),$AE438&lt;&gt;"Yes",$AE438&lt;&gt;"N/A"),"Firmware Install, ","")&amp;IF(AND($CB438&lt;&gt;"Yes",$CB438&lt;&gt;"N/A"),"Device ID, ","")&amp;IF(AND($CC438&lt;&gt;"Yes",$CC438&lt;&gt;"N/A"),"Epic Beans Relay, ",""))-2)))</f>
        <v/>
      </c>
      <c r="CE438">
        <f>IF($Y438="","",IF($CD438="","Yes","Blocked"))</f>
        <v/>
      </c>
      <c r="CP438">
        <f>IF($CO438="","",IFERROR(VLOOKUP($CO438,'01_Warehouse_Ledger'!$A:$N,4,FALSE),""))</f>
        <v/>
      </c>
      <c r="CQ438">
        <f>IF($CO438="","",IFERROR(VLOOKUP($CO438,'01_Warehouse_Ledger'!$A:$N,5,FALSE),""))</f>
        <v/>
      </c>
      <c r="CR438">
        <f>IF($CO438="","",IFERROR(VLOOKUP($CO438,'01_Warehouse_Ledger'!$A:$N,13,FALSE),""))</f>
        <v/>
      </c>
      <c r="CW438">
        <f>IF($S438="","",IF(UPPER(TRIM($S438))&lt;&gt;"PASS","",IF(LEN(TRIM($BY438))&gt;0,"NOTES_PRESENT",IF(LEN(TRIM($T438))=0,"SET_NA",IF(OR(LOWER(TRIM($T438))="na",LOWER(TRIM($T438))="n/a"),"OK","MANUAL_OVERRIDE")))))</f>
        <v/>
      </c>
    </row>
    <row r="439">
      <c r="B439" t="inlineStr">
        <is>
          <t>No</t>
        </is>
      </c>
      <c r="C439" t="inlineStr">
        <is>
          <t>No</t>
        </is>
      </c>
      <c r="D439">
        <f>IF($B439&lt;&gt;"Yes","",IF($C439="No","Yes",IF($C439="Yes","No","")))</f>
        <v/>
      </c>
      <c r="E439">
        <f>IF($A439="","",IF(OR(AND($V439&lt;&gt;"",LOWER(TRIM($V439))&lt;&gt;"n/a",LOWER(TRIM($V439))&lt;&gt;"na",SUMPRODUCT(--(UPPER(TRIM($V$2:$V$518))=UPPER(TRIM($V439))),--(TRIM($V$2:$V$518)&lt;&gt;""),--(LOWER(TRIM($V$2:$V$518))&lt;&gt;"n/a"),--(LOWER(TRIM($V$2:$V$518))&lt;&gt;"na"))&gt;1),AND($W439&lt;&gt;"",LOWER(TRIM($W439))&lt;&gt;"n/a",LOWER(TRIM($W439))&lt;&gt;"na",SUMPRODUCT(--(UPPER(TRIM($W$2:$W$518))=UPPER(TRIM($W439))),--(TRIM($W$2:$W$518)&lt;&gt;""),--(LOWER(TRIM($W$2:$W$518))&lt;&gt;"n/a"),--(LOWER(TRIM($W$2:$W$518))&lt;&gt;"na"))&gt;1),AND($X439&lt;&gt;"",LOWER(TRIM($X439))&lt;&gt;"n/a",LOWER(TRIM($X439))&lt;&gt;"na",SUMPRODUCT(--(UPPER(TRIM($X$2:$X$518))=UPPER(TRIM($X439))),--(TRIM($X$2:$X$518)&lt;&gt;""),--(LOWER(TRIM($X$2:$X$518))&lt;&gt;"n/a"),--(LOWER(TRIM($X$2:$X$518))&lt;&gt;"na"))&gt;1),AND($Y439&lt;&gt;"",LOWER(TRIM($Y439))&lt;&gt;"n/a",LOWER(TRIM($Y439))&lt;&gt;"na",SUMPRODUCT(--(UPPER(SUBSTITUTE(SUBSTITUTE(TRIM($Y$2:$Y$518),":",""),"-",""))=UPPER(SUBSTITUTE(SUBSTITUTE(TRIM($Y439),":",""),"-",""))),--(TRIM($Y$2:$Y$518)&lt;&gt;""),--(LOWER(TRIM($Y$2:$Y$518))&lt;&gt;"n/a"),--(LOWER(TRIM($Y$2:$Y$518))&lt;&gt;"na"))&gt;1),AND($AB439&lt;&gt;"",LOWER(TRIM($AB439))&lt;&gt;"n/a",LOWER(TRIM($AB439))&lt;&gt;"na",SUMPRODUCT(--(UPPER(TRIM($AB$2:$AB$518))=UPPER(TRIM($AB439))),--(TRIM($AB$2:$AB$518)&lt;&gt;""),--(LOWER(TRIM($AB$2:$AB$518))&lt;&gt;"n/a"),--(LOWER(TRIM($AB$2:$AB$518))&lt;&gt;"na"))&gt;1),AND($AH439&lt;&gt;"",LOWER(TRIM($AH439))&lt;&gt;"n/a",LOWER(TRIM($AH439))&lt;&gt;"na",SUMPRODUCT(--(UPPER(SUBSTITUTE(SUBSTITUTE(TRIM($AH$2:$AH$518),":",""),"-",""))=UPPER(SUBSTITUTE(SUBSTITUTE(TRIM($AH439),":",""),"-",""))),--(TRIM($AH$2:$AH$518)&lt;&gt;""),--(LOWER(TRIM($AH$2:$AH$518))&lt;&gt;"n/a"),--(LOWER(TRIM($AH$2:$AH$518))&lt;&gt;"na"))&gt;1),AND($AP439&lt;&gt;"",LOWER(TRIM($AP439))&lt;&gt;"n/a",LOWER(TRIM($AP439))&lt;&gt;"na",SUMPRODUCT(--(UPPER(TRIM($AP$2:$AP$518))=UPPER(TRIM($AP439))),--(TRIM($AP$2:$AP$518)&lt;&gt;""),--(LOWER(TRIM($AP$2:$AP$518))&lt;&gt;"n/a"),--(LOWER(TRIM($AP$2:$AP$518))&lt;&gt;"na"))&gt;1),AND($AQ439&lt;&gt;"",LOWER(TRIM($AQ439))&lt;&gt;"n/a",LOWER(TRIM($AQ439))&lt;&gt;"na",SUMPRODUCT(--(UPPER(TRIM($AQ$2:$AQ$518))=UPPER(TRIM($AQ439))),--(TRIM($AQ$2:$AQ$518)&lt;&gt;""),--(LOWER(TRIM($AQ$2:$AQ$518))&lt;&gt;"n/a"),--(LOWER(TRIM($AQ$2:$AQ$518))&lt;&gt;"na"))&gt;1)),"Yes","No"))</f>
        <v/>
      </c>
      <c r="F439">
        <f>IF(UPPER(TRIM($B439))&lt;&gt;"YES","", IF(OR(AND($V439&lt;&gt;"", LOWER(TRIM($V439))&lt;&gt;"n/a", LOWER(TRIM($V439))&lt;&gt;"na", SUMPRODUCT(--(UPPER(TRIM($V$2:$V$518))=UPPER(TRIM($V439))), --(UPPER(TRIM($B$2:$B$518))="YES"), --(UPPER(TRIM($G$2:$G$518)&amp;TRIM($I$2:$I$518)&amp;TRIM($J$2:$J$518))&lt;&gt;UPPER(TRIM($G439)&amp;TRIM($I439)&amp;TRIM($J439))))&gt;0), AND($W439&lt;&gt;"", LOWER(TRIM($W439))&lt;&gt;"n/a", LOWER(TRIM($W439))&lt;&gt;"na", SUMPRODUCT(--(UPPER(TRIM($W$2:$W$518))=UPPER(TRIM($W439))), --(UPPER(TRIM($B$2:$B$518))="YES"), --(UPPER(TRIM($G$2:$G$518)&amp;TRIM($I$2:$I$518)&amp;TRIM($J$2:$J$518))&lt;&gt;UPPER(TRIM($G439)&amp;TRIM($I439)&amp;TRIM($J439))))&gt;0), AND($X439&lt;&gt;"", LOWER(TRIM($X439))&lt;&gt;"n/a", LOWER(TRIM($X439))&lt;&gt;"na", SUMPRODUCT(--(UPPER(TRIM($X$2:$X$518))=UPPER(TRIM($X439))), --(UPPER(TRIM($B$2:$B$518))="YES"), --(UPPER(TRIM($G$2:$G$518)&amp;TRIM($I$2:$I$518)&amp;TRIM($J$2:$J$518))&lt;&gt;UPPER(TRIM($G439)&amp;TRIM($I439)&amp;TRIM($J439))))&gt;0), AND($Y439&lt;&gt;"", LOWER(TRIM($Y439))&lt;&gt;"n/a", LOWER(TRIM($Y439))&lt;&gt;"na", SUMPRODUCT(--(UPPER(SUBSTITUTE(SUBSTITUTE(TRIM($Y$2:$Y$518),":",""),"-",""))=UPPER(SUBSTITUTE(SUBSTITUTE(TRIM($Y439),":",""),"-",""))), --(UPPER(TRIM($B$2:$B$518))="YES"), --(UPPER(TRIM($G$2:$G$518)&amp;TRIM($I$2:$I$518)&amp;TRIM($J$2:$J$518))&lt;&gt;UPPER(TRIM($G439)&amp;TRIM($I439)&amp;TRIM($J439))))&gt;0), AND($AB439&lt;&gt;"", LOWER(TRIM($AB439))&lt;&gt;"n/a", LOWER(TRIM($AB439))&lt;&gt;"na", SUMPRODUCT(--(UPPER(TRIM($AB$2:$AB$518))=UPPER(TRIM($AB439))), --(UPPER(TRIM($B$2:$B$518))="YES"), --(UPPER(TRIM($G$2:$G$518)&amp;TRIM($I$2:$I$518)&amp;TRIM($J$2:$J$518))&lt;&gt;UPPER(TRIM($G439)&amp;TRIM($I439)&amp;TRIM($J439))))&gt;0), AND($AH439&lt;&gt;"", LOWER(TRIM($AH439))&lt;&gt;"n/a", LOWER(TRIM($AH439))&lt;&gt;"na", SUMPRODUCT(--(UPPER(SUBSTITUTE(SUBSTITUTE(TRIM($AH$2:$AH$518),":",""),"-",""))=UPPER(SUBSTITUTE(SUBSTITUTE(TRIM($AH439),":",""),"-",""))), --(UPPER(TRIM($B$2:$B$518))="YES"), --(UPPER(TRIM($G$2:$G$518)&amp;TRIM($I$2:$I$518)&amp;TRIM($J$2:$J$518))&lt;&gt;UPPER(TRIM($G439)&amp;TRIM($I439)&amp;TRIM($J439))))&gt;0), AND($AP439&lt;&gt;"", LOWER(TRIM($AP439))&lt;&gt;"n/a", LOWER(TRIM($AP439))&lt;&gt;"na", SUMPRODUCT(--(UPPER(TRIM($AP$2:$AP$518))=UPPER(TRIM($AP439))), --(UPPER(TRIM($B$2:$B$518))="YES"), --(UPPER(TRIM($G$2:$G$518)&amp;TRIM($I$2:$I$518)&amp;TRIM($J$2:$J$518))&lt;&gt;UPPER(TRIM($G439)&amp;TRIM($I439)&amp;TRIM($J439))))&gt;0), AND($AQ439&lt;&gt;"", LOWER(TRIM($AQ439))&lt;&gt;"n/a", LOWER(TRIM($AQ439))&lt;&gt;"na", SUMPRODUCT(--(UPPER(TRIM($AQ$2:$AQ$518))=UPPER(TRIM($AQ439))), --(UPPER(TRIM($B$2:$B$518))="YES"), --(UPPER(TRIM($G$2:$G$518)&amp;TRIM($I$2:$I$518)&amp;TRIM($J$2:$J$518))&lt;&gt;UPPER(TRIM($G439)&amp;TRIM($I439)&amp;TRIM($J439))))&gt;0)), "Yes", "No"))</f>
        <v/>
      </c>
      <c r="CD439">
        <f>IF($Y439="","",IF((IF(AND($BR439&lt;&gt;"Yes",$BR439&lt;&gt;"N/A"),"Power Cable, ","")&amp;IF(AND($BS439&lt;&gt;"Yes",$BS439&lt;&gt;"N/A"),"Battery, ","")&amp;IF(AND($AD439&lt;&gt;"Yes",$AD439&lt;&gt;"N/A"),"Firmware Download, ","")&amp;IF(AND(OR($AD439="Yes",$AD439="N/A"),$AE439&lt;&gt;"Yes",$AE439&lt;&gt;"N/A"),"Firmware Install, ","")&amp;IF(AND($CB439&lt;&gt;"Yes",$CB439&lt;&gt;"N/A"),"Device ID, ","")&amp;IF(AND($CC439&lt;&gt;"Yes",$CC439&lt;&gt;"N/A"),"Epic Beans Relay, ",""))="","",LEFT(IF(AND($BR439&lt;&gt;"Yes",$BR439&lt;&gt;"N/A"),"Power Cable, ","")&amp;IF(AND($BS439&lt;&gt;"Yes",$BS439&lt;&gt;"N/A"),"Battery, ","")&amp;IF(AND($AD439&lt;&gt;"Yes",$AD439&lt;&gt;"N/A"),"Firmware Download, ","")&amp;IF(AND(OR($AD439="Yes",$AD439="N/A"),$AE439&lt;&gt;"Yes",$AE439&lt;&gt;"N/A"),"Firmware Install, ","")&amp;IF(AND($CB439&lt;&gt;"Yes",$CB439&lt;&gt;"N/A"),"Device ID, ","")&amp;IF(AND($CC439&lt;&gt;"Yes",$CC439&lt;&gt;"N/A"),"Epic Beans Relay, ",""),LEN(IF(AND($BR439&lt;&gt;"Yes",$BR439&lt;&gt;"N/A"),"Power Cable, ","")&amp;IF(AND($BS439&lt;&gt;"Yes",$BS439&lt;&gt;"N/A"),"Battery, ","")&amp;IF(AND($AD439&lt;&gt;"Yes",$AD439&lt;&gt;"N/A"),"Firmware Download, ","")&amp;IF(AND(OR($AD439="Yes",$AD439="N/A"),$AE439&lt;&gt;"Yes",$AE439&lt;&gt;"N/A"),"Firmware Install, ","")&amp;IF(AND($CB439&lt;&gt;"Yes",$CB439&lt;&gt;"N/A"),"Device ID, ","")&amp;IF(AND($CC439&lt;&gt;"Yes",$CC439&lt;&gt;"N/A"),"Epic Beans Relay, ",""))-2)))</f>
        <v/>
      </c>
      <c r="CE439">
        <f>IF($Y439="","",IF($CD439="","Yes","Blocked"))</f>
        <v/>
      </c>
      <c r="CP439">
        <f>IF($CO439="","",IFERROR(VLOOKUP($CO439,'01_Warehouse_Ledger'!$A:$N,4,FALSE),""))</f>
        <v/>
      </c>
      <c r="CQ439">
        <f>IF($CO439="","",IFERROR(VLOOKUP($CO439,'01_Warehouse_Ledger'!$A:$N,5,FALSE),""))</f>
        <v/>
      </c>
      <c r="CR439">
        <f>IF($CO439="","",IFERROR(VLOOKUP($CO439,'01_Warehouse_Ledger'!$A:$N,13,FALSE),""))</f>
        <v/>
      </c>
      <c r="CW439">
        <f>IF($S439="","",IF(UPPER(TRIM($S439))&lt;&gt;"PASS","",IF(LEN(TRIM($BY439))&gt;0,"NOTES_PRESENT",IF(LEN(TRIM($T439))=0,"SET_NA",IF(OR(LOWER(TRIM($T439))="na",LOWER(TRIM($T439))="n/a"),"OK","MANUAL_OVERRIDE")))))</f>
        <v/>
      </c>
    </row>
    <row r="440">
      <c r="B440" t="inlineStr">
        <is>
          <t>No</t>
        </is>
      </c>
      <c r="C440" t="inlineStr">
        <is>
          <t>No</t>
        </is>
      </c>
      <c r="D440">
        <f>IF($B440&lt;&gt;"Yes","",IF($C440="No","Yes",IF($C440="Yes","No","")))</f>
        <v/>
      </c>
      <c r="E440">
        <f>IF($A440="","",IF(OR(AND($V440&lt;&gt;"",LOWER(TRIM($V440))&lt;&gt;"n/a",LOWER(TRIM($V440))&lt;&gt;"na",SUMPRODUCT(--(UPPER(TRIM($V$2:$V$518))=UPPER(TRIM($V440))),--(TRIM($V$2:$V$518)&lt;&gt;""),--(LOWER(TRIM($V$2:$V$518))&lt;&gt;"n/a"),--(LOWER(TRIM($V$2:$V$518))&lt;&gt;"na"))&gt;1),AND($W440&lt;&gt;"",LOWER(TRIM($W440))&lt;&gt;"n/a",LOWER(TRIM($W440))&lt;&gt;"na",SUMPRODUCT(--(UPPER(TRIM($W$2:$W$518))=UPPER(TRIM($W440))),--(TRIM($W$2:$W$518)&lt;&gt;""),--(LOWER(TRIM($W$2:$W$518))&lt;&gt;"n/a"),--(LOWER(TRIM($W$2:$W$518))&lt;&gt;"na"))&gt;1),AND($X440&lt;&gt;"",LOWER(TRIM($X440))&lt;&gt;"n/a",LOWER(TRIM($X440))&lt;&gt;"na",SUMPRODUCT(--(UPPER(TRIM($X$2:$X$518))=UPPER(TRIM($X440))),--(TRIM($X$2:$X$518)&lt;&gt;""),--(LOWER(TRIM($X$2:$X$518))&lt;&gt;"n/a"),--(LOWER(TRIM($X$2:$X$518))&lt;&gt;"na"))&gt;1),AND($Y440&lt;&gt;"",LOWER(TRIM($Y440))&lt;&gt;"n/a",LOWER(TRIM($Y440))&lt;&gt;"na",SUMPRODUCT(--(UPPER(SUBSTITUTE(SUBSTITUTE(TRIM($Y$2:$Y$518),":",""),"-",""))=UPPER(SUBSTITUTE(SUBSTITUTE(TRIM($Y440),":",""),"-",""))),--(TRIM($Y$2:$Y$518)&lt;&gt;""),--(LOWER(TRIM($Y$2:$Y$518))&lt;&gt;"n/a"),--(LOWER(TRIM($Y$2:$Y$518))&lt;&gt;"na"))&gt;1),AND($AB440&lt;&gt;"",LOWER(TRIM($AB440))&lt;&gt;"n/a",LOWER(TRIM($AB440))&lt;&gt;"na",SUMPRODUCT(--(UPPER(TRIM($AB$2:$AB$518))=UPPER(TRIM($AB440))),--(TRIM($AB$2:$AB$518)&lt;&gt;""),--(LOWER(TRIM($AB$2:$AB$518))&lt;&gt;"n/a"),--(LOWER(TRIM($AB$2:$AB$518))&lt;&gt;"na"))&gt;1),AND($AH440&lt;&gt;"",LOWER(TRIM($AH440))&lt;&gt;"n/a",LOWER(TRIM($AH440))&lt;&gt;"na",SUMPRODUCT(--(UPPER(SUBSTITUTE(SUBSTITUTE(TRIM($AH$2:$AH$518),":",""),"-",""))=UPPER(SUBSTITUTE(SUBSTITUTE(TRIM($AH440),":",""),"-",""))),--(TRIM($AH$2:$AH$518)&lt;&gt;""),--(LOWER(TRIM($AH$2:$AH$518))&lt;&gt;"n/a"),--(LOWER(TRIM($AH$2:$AH$518))&lt;&gt;"na"))&gt;1),AND($AP440&lt;&gt;"",LOWER(TRIM($AP440))&lt;&gt;"n/a",LOWER(TRIM($AP440))&lt;&gt;"na",SUMPRODUCT(--(UPPER(TRIM($AP$2:$AP$518))=UPPER(TRIM($AP440))),--(TRIM($AP$2:$AP$518)&lt;&gt;""),--(LOWER(TRIM($AP$2:$AP$518))&lt;&gt;"n/a"),--(LOWER(TRIM($AP$2:$AP$518))&lt;&gt;"na"))&gt;1),AND($AQ440&lt;&gt;"",LOWER(TRIM($AQ440))&lt;&gt;"n/a",LOWER(TRIM($AQ440))&lt;&gt;"na",SUMPRODUCT(--(UPPER(TRIM($AQ$2:$AQ$518))=UPPER(TRIM($AQ440))),--(TRIM($AQ$2:$AQ$518)&lt;&gt;""),--(LOWER(TRIM($AQ$2:$AQ$518))&lt;&gt;"n/a"),--(LOWER(TRIM($AQ$2:$AQ$518))&lt;&gt;"na"))&gt;1)),"Yes","No"))</f>
        <v/>
      </c>
      <c r="F440">
        <f>IF(UPPER(TRIM($B440))&lt;&gt;"YES","", IF(OR(AND($V440&lt;&gt;"", LOWER(TRIM($V440))&lt;&gt;"n/a", LOWER(TRIM($V440))&lt;&gt;"na", SUMPRODUCT(--(UPPER(TRIM($V$2:$V$518))=UPPER(TRIM($V440))), --(UPPER(TRIM($B$2:$B$518))="YES"), --(UPPER(TRIM($G$2:$G$518)&amp;TRIM($I$2:$I$518)&amp;TRIM($J$2:$J$518))&lt;&gt;UPPER(TRIM($G440)&amp;TRIM($I440)&amp;TRIM($J440))))&gt;0), AND($W440&lt;&gt;"", LOWER(TRIM($W440))&lt;&gt;"n/a", LOWER(TRIM($W440))&lt;&gt;"na", SUMPRODUCT(--(UPPER(TRIM($W$2:$W$518))=UPPER(TRIM($W440))), --(UPPER(TRIM($B$2:$B$518))="YES"), --(UPPER(TRIM($G$2:$G$518)&amp;TRIM($I$2:$I$518)&amp;TRIM($J$2:$J$518))&lt;&gt;UPPER(TRIM($G440)&amp;TRIM($I440)&amp;TRIM($J440))))&gt;0), AND($X440&lt;&gt;"", LOWER(TRIM($X440))&lt;&gt;"n/a", LOWER(TRIM($X440))&lt;&gt;"na", SUMPRODUCT(--(UPPER(TRIM($X$2:$X$518))=UPPER(TRIM($X440))), --(UPPER(TRIM($B$2:$B$518))="YES"), --(UPPER(TRIM($G$2:$G$518)&amp;TRIM($I$2:$I$518)&amp;TRIM($J$2:$J$518))&lt;&gt;UPPER(TRIM($G440)&amp;TRIM($I440)&amp;TRIM($J440))))&gt;0), AND($Y440&lt;&gt;"", LOWER(TRIM($Y440))&lt;&gt;"n/a", LOWER(TRIM($Y440))&lt;&gt;"na", SUMPRODUCT(--(UPPER(SUBSTITUTE(SUBSTITUTE(TRIM($Y$2:$Y$518),":",""),"-",""))=UPPER(SUBSTITUTE(SUBSTITUTE(TRIM($Y440),":",""),"-",""))), --(UPPER(TRIM($B$2:$B$518))="YES"), --(UPPER(TRIM($G$2:$G$518)&amp;TRIM($I$2:$I$518)&amp;TRIM($J$2:$J$518))&lt;&gt;UPPER(TRIM($G440)&amp;TRIM($I440)&amp;TRIM($J440))))&gt;0), AND($AB440&lt;&gt;"", LOWER(TRIM($AB440))&lt;&gt;"n/a", LOWER(TRIM($AB440))&lt;&gt;"na", SUMPRODUCT(--(UPPER(TRIM($AB$2:$AB$518))=UPPER(TRIM($AB440))), --(UPPER(TRIM($B$2:$B$518))="YES"), --(UPPER(TRIM($G$2:$G$518)&amp;TRIM($I$2:$I$518)&amp;TRIM($J$2:$J$518))&lt;&gt;UPPER(TRIM($G440)&amp;TRIM($I440)&amp;TRIM($J440))))&gt;0), AND($AH440&lt;&gt;"", LOWER(TRIM($AH440))&lt;&gt;"n/a", LOWER(TRIM($AH440))&lt;&gt;"na", SUMPRODUCT(--(UPPER(SUBSTITUTE(SUBSTITUTE(TRIM($AH$2:$AH$518),":",""),"-",""))=UPPER(SUBSTITUTE(SUBSTITUTE(TRIM($AH440),":",""),"-",""))), --(UPPER(TRIM($B$2:$B$518))="YES"), --(UPPER(TRIM($G$2:$G$518)&amp;TRIM($I$2:$I$518)&amp;TRIM($J$2:$J$518))&lt;&gt;UPPER(TRIM($G440)&amp;TRIM($I440)&amp;TRIM($J440))))&gt;0), AND($AP440&lt;&gt;"", LOWER(TRIM($AP440))&lt;&gt;"n/a", LOWER(TRIM($AP440))&lt;&gt;"na", SUMPRODUCT(--(UPPER(TRIM($AP$2:$AP$518))=UPPER(TRIM($AP440))), --(UPPER(TRIM($B$2:$B$518))="YES"), --(UPPER(TRIM($G$2:$G$518)&amp;TRIM($I$2:$I$518)&amp;TRIM($J$2:$J$518))&lt;&gt;UPPER(TRIM($G440)&amp;TRIM($I440)&amp;TRIM($J440))))&gt;0), AND($AQ440&lt;&gt;"", LOWER(TRIM($AQ440))&lt;&gt;"n/a", LOWER(TRIM($AQ440))&lt;&gt;"na", SUMPRODUCT(--(UPPER(TRIM($AQ$2:$AQ$518))=UPPER(TRIM($AQ440))), --(UPPER(TRIM($B$2:$B$518))="YES"), --(UPPER(TRIM($G$2:$G$518)&amp;TRIM($I$2:$I$518)&amp;TRIM($J$2:$J$518))&lt;&gt;UPPER(TRIM($G440)&amp;TRIM($I440)&amp;TRIM($J440))))&gt;0)), "Yes", "No"))</f>
        <v/>
      </c>
      <c r="CD440">
        <f>IF($Y440="","",IF((IF(AND($BR440&lt;&gt;"Yes",$BR440&lt;&gt;"N/A"),"Power Cable, ","")&amp;IF(AND($BS440&lt;&gt;"Yes",$BS440&lt;&gt;"N/A"),"Battery, ","")&amp;IF(AND($AD440&lt;&gt;"Yes",$AD440&lt;&gt;"N/A"),"Firmware Download, ","")&amp;IF(AND(OR($AD440="Yes",$AD440="N/A"),$AE440&lt;&gt;"Yes",$AE440&lt;&gt;"N/A"),"Firmware Install, ","")&amp;IF(AND($CB440&lt;&gt;"Yes",$CB440&lt;&gt;"N/A"),"Device ID, ","")&amp;IF(AND($CC440&lt;&gt;"Yes",$CC440&lt;&gt;"N/A"),"Epic Beans Relay, ",""))="","",LEFT(IF(AND($BR440&lt;&gt;"Yes",$BR440&lt;&gt;"N/A"),"Power Cable, ","")&amp;IF(AND($BS440&lt;&gt;"Yes",$BS440&lt;&gt;"N/A"),"Battery, ","")&amp;IF(AND($AD440&lt;&gt;"Yes",$AD440&lt;&gt;"N/A"),"Firmware Download, ","")&amp;IF(AND(OR($AD440="Yes",$AD440="N/A"),$AE440&lt;&gt;"Yes",$AE440&lt;&gt;"N/A"),"Firmware Install, ","")&amp;IF(AND($CB440&lt;&gt;"Yes",$CB440&lt;&gt;"N/A"),"Device ID, ","")&amp;IF(AND($CC440&lt;&gt;"Yes",$CC440&lt;&gt;"N/A"),"Epic Beans Relay, ",""),LEN(IF(AND($BR440&lt;&gt;"Yes",$BR440&lt;&gt;"N/A"),"Power Cable, ","")&amp;IF(AND($BS440&lt;&gt;"Yes",$BS440&lt;&gt;"N/A"),"Battery, ","")&amp;IF(AND($AD440&lt;&gt;"Yes",$AD440&lt;&gt;"N/A"),"Firmware Download, ","")&amp;IF(AND(OR($AD440="Yes",$AD440="N/A"),$AE440&lt;&gt;"Yes",$AE440&lt;&gt;"N/A"),"Firmware Install, ","")&amp;IF(AND($CB440&lt;&gt;"Yes",$CB440&lt;&gt;"N/A"),"Device ID, ","")&amp;IF(AND($CC440&lt;&gt;"Yes",$CC440&lt;&gt;"N/A"),"Epic Beans Relay, ",""))-2)))</f>
        <v/>
      </c>
      <c r="CE440">
        <f>IF($Y440="","",IF($CD440="","Yes","Blocked"))</f>
        <v/>
      </c>
      <c r="CP440">
        <f>IF($CO440="","",IFERROR(VLOOKUP($CO440,'01_Warehouse_Ledger'!$A:$N,4,FALSE),""))</f>
        <v/>
      </c>
      <c r="CQ440">
        <f>IF($CO440="","",IFERROR(VLOOKUP($CO440,'01_Warehouse_Ledger'!$A:$N,5,FALSE),""))</f>
        <v/>
      </c>
      <c r="CR440">
        <f>IF($CO440="","",IFERROR(VLOOKUP($CO440,'01_Warehouse_Ledger'!$A:$N,13,FALSE),""))</f>
        <v/>
      </c>
      <c r="CW440">
        <f>IF($S440="","",IF(UPPER(TRIM($S440))&lt;&gt;"PASS","",IF(LEN(TRIM($BY440))&gt;0,"NOTES_PRESENT",IF(LEN(TRIM($T440))=0,"SET_NA",IF(OR(LOWER(TRIM($T440))="na",LOWER(TRIM($T440))="n/a"),"OK","MANUAL_OVERRIDE")))))</f>
        <v/>
      </c>
    </row>
    <row r="441">
      <c r="B441" t="inlineStr">
        <is>
          <t>No</t>
        </is>
      </c>
      <c r="C441" t="inlineStr">
        <is>
          <t>No</t>
        </is>
      </c>
      <c r="D441">
        <f>IF($B441&lt;&gt;"Yes","",IF($C441="No","Yes",IF($C441="Yes","No","")))</f>
        <v/>
      </c>
      <c r="E441">
        <f>IF($A441="","",IF(OR(AND($V441&lt;&gt;"",LOWER(TRIM($V441))&lt;&gt;"n/a",LOWER(TRIM($V441))&lt;&gt;"na",SUMPRODUCT(--(UPPER(TRIM($V$2:$V$518))=UPPER(TRIM($V441))),--(TRIM($V$2:$V$518)&lt;&gt;""),--(LOWER(TRIM($V$2:$V$518))&lt;&gt;"n/a"),--(LOWER(TRIM($V$2:$V$518))&lt;&gt;"na"))&gt;1),AND($W441&lt;&gt;"",LOWER(TRIM($W441))&lt;&gt;"n/a",LOWER(TRIM($W441))&lt;&gt;"na",SUMPRODUCT(--(UPPER(TRIM($W$2:$W$518))=UPPER(TRIM($W441))),--(TRIM($W$2:$W$518)&lt;&gt;""),--(LOWER(TRIM($W$2:$W$518))&lt;&gt;"n/a"),--(LOWER(TRIM($W$2:$W$518))&lt;&gt;"na"))&gt;1),AND($X441&lt;&gt;"",LOWER(TRIM($X441))&lt;&gt;"n/a",LOWER(TRIM($X441))&lt;&gt;"na",SUMPRODUCT(--(UPPER(TRIM($X$2:$X$518))=UPPER(TRIM($X441))),--(TRIM($X$2:$X$518)&lt;&gt;""),--(LOWER(TRIM($X$2:$X$518))&lt;&gt;"n/a"),--(LOWER(TRIM($X$2:$X$518))&lt;&gt;"na"))&gt;1),AND($Y441&lt;&gt;"",LOWER(TRIM($Y441))&lt;&gt;"n/a",LOWER(TRIM($Y441))&lt;&gt;"na",SUMPRODUCT(--(UPPER(SUBSTITUTE(SUBSTITUTE(TRIM($Y$2:$Y$518),":",""),"-",""))=UPPER(SUBSTITUTE(SUBSTITUTE(TRIM($Y441),":",""),"-",""))),--(TRIM($Y$2:$Y$518)&lt;&gt;""),--(LOWER(TRIM($Y$2:$Y$518))&lt;&gt;"n/a"),--(LOWER(TRIM($Y$2:$Y$518))&lt;&gt;"na"))&gt;1),AND($AB441&lt;&gt;"",LOWER(TRIM($AB441))&lt;&gt;"n/a",LOWER(TRIM($AB441))&lt;&gt;"na",SUMPRODUCT(--(UPPER(TRIM($AB$2:$AB$518))=UPPER(TRIM($AB441))),--(TRIM($AB$2:$AB$518)&lt;&gt;""),--(LOWER(TRIM($AB$2:$AB$518))&lt;&gt;"n/a"),--(LOWER(TRIM($AB$2:$AB$518))&lt;&gt;"na"))&gt;1),AND($AH441&lt;&gt;"",LOWER(TRIM($AH441))&lt;&gt;"n/a",LOWER(TRIM($AH441))&lt;&gt;"na",SUMPRODUCT(--(UPPER(SUBSTITUTE(SUBSTITUTE(TRIM($AH$2:$AH$518),":",""),"-",""))=UPPER(SUBSTITUTE(SUBSTITUTE(TRIM($AH441),":",""),"-",""))),--(TRIM($AH$2:$AH$518)&lt;&gt;""),--(LOWER(TRIM($AH$2:$AH$518))&lt;&gt;"n/a"),--(LOWER(TRIM($AH$2:$AH$518))&lt;&gt;"na"))&gt;1),AND($AP441&lt;&gt;"",LOWER(TRIM($AP441))&lt;&gt;"n/a",LOWER(TRIM($AP441))&lt;&gt;"na",SUMPRODUCT(--(UPPER(TRIM($AP$2:$AP$518))=UPPER(TRIM($AP441))),--(TRIM($AP$2:$AP$518)&lt;&gt;""),--(LOWER(TRIM($AP$2:$AP$518))&lt;&gt;"n/a"),--(LOWER(TRIM($AP$2:$AP$518))&lt;&gt;"na"))&gt;1),AND($AQ441&lt;&gt;"",LOWER(TRIM($AQ441))&lt;&gt;"n/a",LOWER(TRIM($AQ441))&lt;&gt;"na",SUMPRODUCT(--(UPPER(TRIM($AQ$2:$AQ$518))=UPPER(TRIM($AQ441))),--(TRIM($AQ$2:$AQ$518)&lt;&gt;""),--(LOWER(TRIM($AQ$2:$AQ$518))&lt;&gt;"n/a"),--(LOWER(TRIM($AQ$2:$AQ$518))&lt;&gt;"na"))&gt;1)),"Yes","No"))</f>
        <v/>
      </c>
      <c r="F441">
        <f>IF(UPPER(TRIM($B441))&lt;&gt;"YES","", IF(OR(AND($V441&lt;&gt;"", LOWER(TRIM($V441))&lt;&gt;"n/a", LOWER(TRIM($V441))&lt;&gt;"na", SUMPRODUCT(--(UPPER(TRIM($V$2:$V$518))=UPPER(TRIM($V441))), --(UPPER(TRIM($B$2:$B$518))="YES"), --(UPPER(TRIM($G$2:$G$518)&amp;TRIM($I$2:$I$518)&amp;TRIM($J$2:$J$518))&lt;&gt;UPPER(TRIM($G441)&amp;TRIM($I441)&amp;TRIM($J441))))&gt;0), AND($W441&lt;&gt;"", LOWER(TRIM($W441))&lt;&gt;"n/a", LOWER(TRIM($W441))&lt;&gt;"na", SUMPRODUCT(--(UPPER(TRIM($W$2:$W$518))=UPPER(TRIM($W441))), --(UPPER(TRIM($B$2:$B$518))="YES"), --(UPPER(TRIM($G$2:$G$518)&amp;TRIM($I$2:$I$518)&amp;TRIM($J$2:$J$518))&lt;&gt;UPPER(TRIM($G441)&amp;TRIM($I441)&amp;TRIM($J441))))&gt;0), AND($X441&lt;&gt;"", LOWER(TRIM($X441))&lt;&gt;"n/a", LOWER(TRIM($X441))&lt;&gt;"na", SUMPRODUCT(--(UPPER(TRIM($X$2:$X$518))=UPPER(TRIM($X441))), --(UPPER(TRIM($B$2:$B$518))="YES"), --(UPPER(TRIM($G$2:$G$518)&amp;TRIM($I$2:$I$518)&amp;TRIM($J$2:$J$518))&lt;&gt;UPPER(TRIM($G441)&amp;TRIM($I441)&amp;TRIM($J441))))&gt;0), AND($Y441&lt;&gt;"", LOWER(TRIM($Y441))&lt;&gt;"n/a", LOWER(TRIM($Y441))&lt;&gt;"na", SUMPRODUCT(--(UPPER(SUBSTITUTE(SUBSTITUTE(TRIM($Y$2:$Y$518),":",""),"-",""))=UPPER(SUBSTITUTE(SUBSTITUTE(TRIM($Y441),":",""),"-",""))), --(UPPER(TRIM($B$2:$B$518))="YES"), --(UPPER(TRIM($G$2:$G$518)&amp;TRIM($I$2:$I$518)&amp;TRIM($J$2:$J$518))&lt;&gt;UPPER(TRIM($G441)&amp;TRIM($I441)&amp;TRIM($J441))))&gt;0), AND($AB441&lt;&gt;"", LOWER(TRIM($AB441))&lt;&gt;"n/a", LOWER(TRIM($AB441))&lt;&gt;"na", SUMPRODUCT(--(UPPER(TRIM($AB$2:$AB$518))=UPPER(TRIM($AB441))), --(UPPER(TRIM($B$2:$B$518))="YES"), --(UPPER(TRIM($G$2:$G$518)&amp;TRIM($I$2:$I$518)&amp;TRIM($J$2:$J$518))&lt;&gt;UPPER(TRIM($G441)&amp;TRIM($I441)&amp;TRIM($J441))))&gt;0), AND($AH441&lt;&gt;"", LOWER(TRIM($AH441))&lt;&gt;"n/a", LOWER(TRIM($AH441))&lt;&gt;"na", SUMPRODUCT(--(UPPER(SUBSTITUTE(SUBSTITUTE(TRIM($AH$2:$AH$518),":",""),"-",""))=UPPER(SUBSTITUTE(SUBSTITUTE(TRIM($AH441),":",""),"-",""))), --(UPPER(TRIM($B$2:$B$518))="YES"), --(UPPER(TRIM($G$2:$G$518)&amp;TRIM($I$2:$I$518)&amp;TRIM($J$2:$J$518))&lt;&gt;UPPER(TRIM($G441)&amp;TRIM($I441)&amp;TRIM($J441))))&gt;0), AND($AP441&lt;&gt;"", LOWER(TRIM($AP441))&lt;&gt;"n/a", LOWER(TRIM($AP441))&lt;&gt;"na", SUMPRODUCT(--(UPPER(TRIM($AP$2:$AP$518))=UPPER(TRIM($AP441))), --(UPPER(TRIM($B$2:$B$518))="YES"), --(UPPER(TRIM($G$2:$G$518)&amp;TRIM($I$2:$I$518)&amp;TRIM($J$2:$J$518))&lt;&gt;UPPER(TRIM($G441)&amp;TRIM($I441)&amp;TRIM($J441))))&gt;0), AND($AQ441&lt;&gt;"", LOWER(TRIM($AQ441))&lt;&gt;"n/a", LOWER(TRIM($AQ441))&lt;&gt;"na", SUMPRODUCT(--(UPPER(TRIM($AQ$2:$AQ$518))=UPPER(TRIM($AQ441))), --(UPPER(TRIM($B$2:$B$518))="YES"), --(UPPER(TRIM($G$2:$G$518)&amp;TRIM($I$2:$I$518)&amp;TRIM($J$2:$J$518))&lt;&gt;UPPER(TRIM($G441)&amp;TRIM($I441)&amp;TRIM($J441))))&gt;0)), "Yes", "No"))</f>
        <v/>
      </c>
      <c r="CD441">
        <f>IF($Y441="","",IF((IF(AND($BR441&lt;&gt;"Yes",$BR441&lt;&gt;"N/A"),"Power Cable, ","")&amp;IF(AND($BS441&lt;&gt;"Yes",$BS441&lt;&gt;"N/A"),"Battery, ","")&amp;IF(AND($AD441&lt;&gt;"Yes",$AD441&lt;&gt;"N/A"),"Firmware Download, ","")&amp;IF(AND(OR($AD441="Yes",$AD441="N/A"),$AE441&lt;&gt;"Yes",$AE441&lt;&gt;"N/A"),"Firmware Install, ","")&amp;IF(AND($CB441&lt;&gt;"Yes",$CB441&lt;&gt;"N/A"),"Device ID, ","")&amp;IF(AND($CC441&lt;&gt;"Yes",$CC441&lt;&gt;"N/A"),"Epic Beans Relay, ",""))="","",LEFT(IF(AND($BR441&lt;&gt;"Yes",$BR441&lt;&gt;"N/A"),"Power Cable, ","")&amp;IF(AND($BS441&lt;&gt;"Yes",$BS441&lt;&gt;"N/A"),"Battery, ","")&amp;IF(AND($AD441&lt;&gt;"Yes",$AD441&lt;&gt;"N/A"),"Firmware Download, ","")&amp;IF(AND(OR($AD441="Yes",$AD441="N/A"),$AE441&lt;&gt;"Yes",$AE441&lt;&gt;"N/A"),"Firmware Install, ","")&amp;IF(AND($CB441&lt;&gt;"Yes",$CB441&lt;&gt;"N/A"),"Device ID, ","")&amp;IF(AND($CC441&lt;&gt;"Yes",$CC441&lt;&gt;"N/A"),"Epic Beans Relay, ",""),LEN(IF(AND($BR441&lt;&gt;"Yes",$BR441&lt;&gt;"N/A"),"Power Cable, ","")&amp;IF(AND($BS441&lt;&gt;"Yes",$BS441&lt;&gt;"N/A"),"Battery, ","")&amp;IF(AND($AD441&lt;&gt;"Yes",$AD441&lt;&gt;"N/A"),"Firmware Download, ","")&amp;IF(AND(OR($AD441="Yes",$AD441="N/A"),$AE441&lt;&gt;"Yes",$AE441&lt;&gt;"N/A"),"Firmware Install, ","")&amp;IF(AND($CB441&lt;&gt;"Yes",$CB441&lt;&gt;"N/A"),"Device ID, ","")&amp;IF(AND($CC441&lt;&gt;"Yes",$CC441&lt;&gt;"N/A"),"Epic Beans Relay, ",""))-2)))</f>
        <v/>
      </c>
      <c r="CE441">
        <f>IF($Y441="","",IF($CD441="","Yes","Blocked"))</f>
        <v/>
      </c>
      <c r="CP441">
        <f>IF($CO441="","",IFERROR(VLOOKUP($CO441,'01_Warehouse_Ledger'!$A:$N,4,FALSE),""))</f>
        <v/>
      </c>
      <c r="CQ441">
        <f>IF($CO441="","",IFERROR(VLOOKUP($CO441,'01_Warehouse_Ledger'!$A:$N,5,FALSE),""))</f>
        <v/>
      </c>
      <c r="CR441">
        <f>IF($CO441="","",IFERROR(VLOOKUP($CO441,'01_Warehouse_Ledger'!$A:$N,13,FALSE),""))</f>
        <v/>
      </c>
      <c r="CW441">
        <f>IF($S441="","",IF(UPPER(TRIM($S441))&lt;&gt;"PASS","",IF(LEN(TRIM($BY441))&gt;0,"NOTES_PRESENT",IF(LEN(TRIM($T441))=0,"SET_NA",IF(OR(LOWER(TRIM($T441))="na",LOWER(TRIM($T441))="n/a"),"OK","MANUAL_OVERRIDE")))))</f>
        <v/>
      </c>
    </row>
    <row r="442">
      <c r="B442" t="inlineStr">
        <is>
          <t>No</t>
        </is>
      </c>
      <c r="C442" t="inlineStr">
        <is>
          <t>No</t>
        </is>
      </c>
      <c r="D442">
        <f>IF($B442&lt;&gt;"Yes","",IF($C442="No","Yes",IF($C442="Yes","No","")))</f>
        <v/>
      </c>
      <c r="E442">
        <f>IF($A442="","",IF(OR(AND($V442&lt;&gt;"",LOWER(TRIM($V442))&lt;&gt;"n/a",LOWER(TRIM($V442))&lt;&gt;"na",SUMPRODUCT(--(UPPER(TRIM($V$2:$V$518))=UPPER(TRIM($V442))),--(TRIM($V$2:$V$518)&lt;&gt;""),--(LOWER(TRIM($V$2:$V$518))&lt;&gt;"n/a"),--(LOWER(TRIM($V$2:$V$518))&lt;&gt;"na"))&gt;1),AND($W442&lt;&gt;"",LOWER(TRIM($W442))&lt;&gt;"n/a",LOWER(TRIM($W442))&lt;&gt;"na",SUMPRODUCT(--(UPPER(TRIM($W$2:$W$518))=UPPER(TRIM($W442))),--(TRIM($W$2:$W$518)&lt;&gt;""),--(LOWER(TRIM($W$2:$W$518))&lt;&gt;"n/a"),--(LOWER(TRIM($W$2:$W$518))&lt;&gt;"na"))&gt;1),AND($X442&lt;&gt;"",LOWER(TRIM($X442))&lt;&gt;"n/a",LOWER(TRIM($X442))&lt;&gt;"na",SUMPRODUCT(--(UPPER(TRIM($X$2:$X$518))=UPPER(TRIM($X442))),--(TRIM($X$2:$X$518)&lt;&gt;""),--(LOWER(TRIM($X$2:$X$518))&lt;&gt;"n/a"),--(LOWER(TRIM($X$2:$X$518))&lt;&gt;"na"))&gt;1),AND($Y442&lt;&gt;"",LOWER(TRIM($Y442))&lt;&gt;"n/a",LOWER(TRIM($Y442))&lt;&gt;"na",SUMPRODUCT(--(UPPER(SUBSTITUTE(SUBSTITUTE(TRIM($Y$2:$Y$518),":",""),"-",""))=UPPER(SUBSTITUTE(SUBSTITUTE(TRIM($Y442),":",""),"-",""))),--(TRIM($Y$2:$Y$518)&lt;&gt;""),--(LOWER(TRIM($Y$2:$Y$518))&lt;&gt;"n/a"),--(LOWER(TRIM($Y$2:$Y$518))&lt;&gt;"na"))&gt;1),AND($AB442&lt;&gt;"",LOWER(TRIM($AB442))&lt;&gt;"n/a",LOWER(TRIM($AB442))&lt;&gt;"na",SUMPRODUCT(--(UPPER(TRIM($AB$2:$AB$518))=UPPER(TRIM($AB442))),--(TRIM($AB$2:$AB$518)&lt;&gt;""),--(LOWER(TRIM($AB$2:$AB$518))&lt;&gt;"n/a"),--(LOWER(TRIM($AB$2:$AB$518))&lt;&gt;"na"))&gt;1),AND($AH442&lt;&gt;"",LOWER(TRIM($AH442))&lt;&gt;"n/a",LOWER(TRIM($AH442))&lt;&gt;"na",SUMPRODUCT(--(UPPER(SUBSTITUTE(SUBSTITUTE(TRIM($AH$2:$AH$518),":",""),"-",""))=UPPER(SUBSTITUTE(SUBSTITUTE(TRIM($AH442),":",""),"-",""))),--(TRIM($AH$2:$AH$518)&lt;&gt;""),--(LOWER(TRIM($AH$2:$AH$518))&lt;&gt;"n/a"),--(LOWER(TRIM($AH$2:$AH$518))&lt;&gt;"na"))&gt;1),AND($AP442&lt;&gt;"",LOWER(TRIM($AP442))&lt;&gt;"n/a",LOWER(TRIM($AP442))&lt;&gt;"na",SUMPRODUCT(--(UPPER(TRIM($AP$2:$AP$518))=UPPER(TRIM($AP442))),--(TRIM($AP$2:$AP$518)&lt;&gt;""),--(LOWER(TRIM($AP$2:$AP$518))&lt;&gt;"n/a"),--(LOWER(TRIM($AP$2:$AP$518))&lt;&gt;"na"))&gt;1),AND($AQ442&lt;&gt;"",LOWER(TRIM($AQ442))&lt;&gt;"n/a",LOWER(TRIM($AQ442))&lt;&gt;"na",SUMPRODUCT(--(UPPER(TRIM($AQ$2:$AQ$518))=UPPER(TRIM($AQ442))),--(TRIM($AQ$2:$AQ$518)&lt;&gt;""),--(LOWER(TRIM($AQ$2:$AQ$518))&lt;&gt;"n/a"),--(LOWER(TRIM($AQ$2:$AQ$518))&lt;&gt;"na"))&gt;1)),"Yes","No"))</f>
        <v/>
      </c>
      <c r="F442">
        <f>IF(UPPER(TRIM($B442))&lt;&gt;"YES","", IF(OR(AND($V442&lt;&gt;"", LOWER(TRIM($V442))&lt;&gt;"n/a", LOWER(TRIM($V442))&lt;&gt;"na", SUMPRODUCT(--(UPPER(TRIM($V$2:$V$518))=UPPER(TRIM($V442))), --(UPPER(TRIM($B$2:$B$518))="YES"), --(UPPER(TRIM($G$2:$G$518)&amp;TRIM($I$2:$I$518)&amp;TRIM($J$2:$J$518))&lt;&gt;UPPER(TRIM($G442)&amp;TRIM($I442)&amp;TRIM($J442))))&gt;0), AND($W442&lt;&gt;"", LOWER(TRIM($W442))&lt;&gt;"n/a", LOWER(TRIM($W442))&lt;&gt;"na", SUMPRODUCT(--(UPPER(TRIM($W$2:$W$518))=UPPER(TRIM($W442))), --(UPPER(TRIM($B$2:$B$518))="YES"), --(UPPER(TRIM($G$2:$G$518)&amp;TRIM($I$2:$I$518)&amp;TRIM($J$2:$J$518))&lt;&gt;UPPER(TRIM($G442)&amp;TRIM($I442)&amp;TRIM($J442))))&gt;0), AND($X442&lt;&gt;"", LOWER(TRIM($X442))&lt;&gt;"n/a", LOWER(TRIM($X442))&lt;&gt;"na", SUMPRODUCT(--(UPPER(TRIM($X$2:$X$518))=UPPER(TRIM($X442))), --(UPPER(TRIM($B$2:$B$518))="YES"), --(UPPER(TRIM($G$2:$G$518)&amp;TRIM($I$2:$I$518)&amp;TRIM($J$2:$J$518))&lt;&gt;UPPER(TRIM($G442)&amp;TRIM($I442)&amp;TRIM($J442))))&gt;0), AND($Y442&lt;&gt;"", LOWER(TRIM($Y442))&lt;&gt;"n/a", LOWER(TRIM($Y442))&lt;&gt;"na", SUMPRODUCT(--(UPPER(SUBSTITUTE(SUBSTITUTE(TRIM($Y$2:$Y$518),":",""),"-",""))=UPPER(SUBSTITUTE(SUBSTITUTE(TRIM($Y442),":",""),"-",""))), --(UPPER(TRIM($B$2:$B$518))="YES"), --(UPPER(TRIM($G$2:$G$518)&amp;TRIM($I$2:$I$518)&amp;TRIM($J$2:$J$518))&lt;&gt;UPPER(TRIM($G442)&amp;TRIM($I442)&amp;TRIM($J442))))&gt;0), AND($AB442&lt;&gt;"", LOWER(TRIM($AB442))&lt;&gt;"n/a", LOWER(TRIM($AB442))&lt;&gt;"na", SUMPRODUCT(--(UPPER(TRIM($AB$2:$AB$518))=UPPER(TRIM($AB442))), --(UPPER(TRIM($B$2:$B$518))="YES"), --(UPPER(TRIM($G$2:$G$518)&amp;TRIM($I$2:$I$518)&amp;TRIM($J$2:$J$518))&lt;&gt;UPPER(TRIM($G442)&amp;TRIM($I442)&amp;TRIM($J442))))&gt;0), AND($AH442&lt;&gt;"", LOWER(TRIM($AH442))&lt;&gt;"n/a", LOWER(TRIM($AH442))&lt;&gt;"na", SUMPRODUCT(--(UPPER(SUBSTITUTE(SUBSTITUTE(TRIM($AH$2:$AH$518),":",""),"-",""))=UPPER(SUBSTITUTE(SUBSTITUTE(TRIM($AH442),":",""),"-",""))), --(UPPER(TRIM($B$2:$B$518))="YES"), --(UPPER(TRIM($G$2:$G$518)&amp;TRIM($I$2:$I$518)&amp;TRIM($J$2:$J$518))&lt;&gt;UPPER(TRIM($G442)&amp;TRIM($I442)&amp;TRIM($J442))))&gt;0), AND($AP442&lt;&gt;"", LOWER(TRIM($AP442))&lt;&gt;"n/a", LOWER(TRIM($AP442))&lt;&gt;"na", SUMPRODUCT(--(UPPER(TRIM($AP$2:$AP$518))=UPPER(TRIM($AP442))), --(UPPER(TRIM($B$2:$B$518))="YES"), --(UPPER(TRIM($G$2:$G$518)&amp;TRIM($I$2:$I$518)&amp;TRIM($J$2:$J$518))&lt;&gt;UPPER(TRIM($G442)&amp;TRIM($I442)&amp;TRIM($J442))))&gt;0), AND($AQ442&lt;&gt;"", LOWER(TRIM($AQ442))&lt;&gt;"n/a", LOWER(TRIM($AQ442))&lt;&gt;"na", SUMPRODUCT(--(UPPER(TRIM($AQ$2:$AQ$518))=UPPER(TRIM($AQ442))), --(UPPER(TRIM($B$2:$B$518))="YES"), --(UPPER(TRIM($G$2:$G$518)&amp;TRIM($I$2:$I$518)&amp;TRIM($J$2:$J$518))&lt;&gt;UPPER(TRIM($G442)&amp;TRIM($I442)&amp;TRIM($J442))))&gt;0)), "Yes", "No"))</f>
        <v/>
      </c>
      <c r="CD442">
        <f>IF($Y442="","",IF((IF(AND($BR442&lt;&gt;"Yes",$BR442&lt;&gt;"N/A"),"Power Cable, ","")&amp;IF(AND($BS442&lt;&gt;"Yes",$BS442&lt;&gt;"N/A"),"Battery, ","")&amp;IF(AND($AD442&lt;&gt;"Yes",$AD442&lt;&gt;"N/A"),"Firmware Download, ","")&amp;IF(AND(OR($AD442="Yes",$AD442="N/A"),$AE442&lt;&gt;"Yes",$AE442&lt;&gt;"N/A"),"Firmware Install, ","")&amp;IF(AND($CB442&lt;&gt;"Yes",$CB442&lt;&gt;"N/A"),"Device ID, ","")&amp;IF(AND($CC442&lt;&gt;"Yes",$CC442&lt;&gt;"N/A"),"Epic Beans Relay, ",""))="","",LEFT(IF(AND($BR442&lt;&gt;"Yes",$BR442&lt;&gt;"N/A"),"Power Cable, ","")&amp;IF(AND($BS442&lt;&gt;"Yes",$BS442&lt;&gt;"N/A"),"Battery, ","")&amp;IF(AND($AD442&lt;&gt;"Yes",$AD442&lt;&gt;"N/A"),"Firmware Download, ","")&amp;IF(AND(OR($AD442="Yes",$AD442="N/A"),$AE442&lt;&gt;"Yes",$AE442&lt;&gt;"N/A"),"Firmware Install, ","")&amp;IF(AND($CB442&lt;&gt;"Yes",$CB442&lt;&gt;"N/A"),"Device ID, ","")&amp;IF(AND($CC442&lt;&gt;"Yes",$CC442&lt;&gt;"N/A"),"Epic Beans Relay, ",""),LEN(IF(AND($BR442&lt;&gt;"Yes",$BR442&lt;&gt;"N/A"),"Power Cable, ","")&amp;IF(AND($BS442&lt;&gt;"Yes",$BS442&lt;&gt;"N/A"),"Battery, ","")&amp;IF(AND($AD442&lt;&gt;"Yes",$AD442&lt;&gt;"N/A"),"Firmware Download, ","")&amp;IF(AND(OR($AD442="Yes",$AD442="N/A"),$AE442&lt;&gt;"Yes",$AE442&lt;&gt;"N/A"),"Firmware Install, ","")&amp;IF(AND($CB442&lt;&gt;"Yes",$CB442&lt;&gt;"N/A"),"Device ID, ","")&amp;IF(AND($CC442&lt;&gt;"Yes",$CC442&lt;&gt;"N/A"),"Epic Beans Relay, ",""))-2)))</f>
        <v/>
      </c>
      <c r="CE442">
        <f>IF($Y442="","",IF($CD442="","Yes","Blocked"))</f>
        <v/>
      </c>
      <c r="CP442">
        <f>IF($CO442="","",IFERROR(VLOOKUP($CO442,'01_Warehouse_Ledger'!$A:$N,4,FALSE),""))</f>
        <v/>
      </c>
      <c r="CQ442">
        <f>IF($CO442="","",IFERROR(VLOOKUP($CO442,'01_Warehouse_Ledger'!$A:$N,5,FALSE),""))</f>
        <v/>
      </c>
      <c r="CR442">
        <f>IF($CO442="","",IFERROR(VLOOKUP($CO442,'01_Warehouse_Ledger'!$A:$N,13,FALSE),""))</f>
        <v/>
      </c>
      <c r="CW442">
        <f>IF($S442="","",IF(UPPER(TRIM($S442))&lt;&gt;"PASS","",IF(LEN(TRIM($BY442))&gt;0,"NOTES_PRESENT",IF(LEN(TRIM($T442))=0,"SET_NA",IF(OR(LOWER(TRIM($T442))="na",LOWER(TRIM($T442))="n/a"),"OK","MANUAL_OVERRIDE")))))</f>
        <v/>
      </c>
    </row>
    <row r="443">
      <c r="B443" t="inlineStr">
        <is>
          <t>No</t>
        </is>
      </c>
      <c r="C443" t="inlineStr">
        <is>
          <t>No</t>
        </is>
      </c>
      <c r="D443">
        <f>IF($B443&lt;&gt;"Yes","",IF($C443="No","Yes",IF($C443="Yes","No","")))</f>
        <v/>
      </c>
      <c r="E443">
        <f>IF($A443="","",IF(OR(AND($V443&lt;&gt;"",LOWER(TRIM($V443))&lt;&gt;"n/a",LOWER(TRIM($V443))&lt;&gt;"na",SUMPRODUCT(--(UPPER(TRIM($V$2:$V$518))=UPPER(TRIM($V443))),--(TRIM($V$2:$V$518)&lt;&gt;""),--(LOWER(TRIM($V$2:$V$518))&lt;&gt;"n/a"),--(LOWER(TRIM($V$2:$V$518))&lt;&gt;"na"))&gt;1),AND($W443&lt;&gt;"",LOWER(TRIM($W443))&lt;&gt;"n/a",LOWER(TRIM($W443))&lt;&gt;"na",SUMPRODUCT(--(UPPER(TRIM($W$2:$W$518))=UPPER(TRIM($W443))),--(TRIM($W$2:$W$518)&lt;&gt;""),--(LOWER(TRIM($W$2:$W$518))&lt;&gt;"n/a"),--(LOWER(TRIM($W$2:$W$518))&lt;&gt;"na"))&gt;1),AND($X443&lt;&gt;"",LOWER(TRIM($X443))&lt;&gt;"n/a",LOWER(TRIM($X443))&lt;&gt;"na",SUMPRODUCT(--(UPPER(TRIM($X$2:$X$518))=UPPER(TRIM($X443))),--(TRIM($X$2:$X$518)&lt;&gt;""),--(LOWER(TRIM($X$2:$X$518))&lt;&gt;"n/a"),--(LOWER(TRIM($X$2:$X$518))&lt;&gt;"na"))&gt;1),AND($Y443&lt;&gt;"",LOWER(TRIM($Y443))&lt;&gt;"n/a",LOWER(TRIM($Y443))&lt;&gt;"na",SUMPRODUCT(--(UPPER(SUBSTITUTE(SUBSTITUTE(TRIM($Y$2:$Y$518),":",""),"-",""))=UPPER(SUBSTITUTE(SUBSTITUTE(TRIM($Y443),":",""),"-",""))),--(TRIM($Y$2:$Y$518)&lt;&gt;""),--(LOWER(TRIM($Y$2:$Y$518))&lt;&gt;"n/a"),--(LOWER(TRIM($Y$2:$Y$518))&lt;&gt;"na"))&gt;1),AND($AB443&lt;&gt;"",LOWER(TRIM($AB443))&lt;&gt;"n/a",LOWER(TRIM($AB443))&lt;&gt;"na",SUMPRODUCT(--(UPPER(TRIM($AB$2:$AB$518))=UPPER(TRIM($AB443))),--(TRIM($AB$2:$AB$518)&lt;&gt;""),--(LOWER(TRIM($AB$2:$AB$518))&lt;&gt;"n/a"),--(LOWER(TRIM($AB$2:$AB$518))&lt;&gt;"na"))&gt;1),AND($AH443&lt;&gt;"",LOWER(TRIM($AH443))&lt;&gt;"n/a",LOWER(TRIM($AH443))&lt;&gt;"na",SUMPRODUCT(--(UPPER(SUBSTITUTE(SUBSTITUTE(TRIM($AH$2:$AH$518),":",""),"-",""))=UPPER(SUBSTITUTE(SUBSTITUTE(TRIM($AH443),":",""),"-",""))),--(TRIM($AH$2:$AH$518)&lt;&gt;""),--(LOWER(TRIM($AH$2:$AH$518))&lt;&gt;"n/a"),--(LOWER(TRIM($AH$2:$AH$518))&lt;&gt;"na"))&gt;1),AND($AP443&lt;&gt;"",LOWER(TRIM($AP443))&lt;&gt;"n/a",LOWER(TRIM($AP443))&lt;&gt;"na",SUMPRODUCT(--(UPPER(TRIM($AP$2:$AP$518))=UPPER(TRIM($AP443))),--(TRIM($AP$2:$AP$518)&lt;&gt;""),--(LOWER(TRIM($AP$2:$AP$518))&lt;&gt;"n/a"),--(LOWER(TRIM($AP$2:$AP$518))&lt;&gt;"na"))&gt;1),AND($AQ443&lt;&gt;"",LOWER(TRIM($AQ443))&lt;&gt;"n/a",LOWER(TRIM($AQ443))&lt;&gt;"na",SUMPRODUCT(--(UPPER(TRIM($AQ$2:$AQ$518))=UPPER(TRIM($AQ443))),--(TRIM($AQ$2:$AQ$518)&lt;&gt;""),--(LOWER(TRIM($AQ$2:$AQ$518))&lt;&gt;"n/a"),--(LOWER(TRIM($AQ$2:$AQ$518))&lt;&gt;"na"))&gt;1)),"Yes","No"))</f>
        <v/>
      </c>
      <c r="F443">
        <f>IF(UPPER(TRIM($B443))&lt;&gt;"YES","", IF(OR(AND($V443&lt;&gt;"", LOWER(TRIM($V443))&lt;&gt;"n/a", LOWER(TRIM($V443))&lt;&gt;"na", SUMPRODUCT(--(UPPER(TRIM($V$2:$V$518))=UPPER(TRIM($V443))), --(UPPER(TRIM($B$2:$B$518))="YES"), --(UPPER(TRIM($G$2:$G$518)&amp;TRIM($I$2:$I$518)&amp;TRIM($J$2:$J$518))&lt;&gt;UPPER(TRIM($G443)&amp;TRIM($I443)&amp;TRIM($J443))))&gt;0), AND($W443&lt;&gt;"", LOWER(TRIM($W443))&lt;&gt;"n/a", LOWER(TRIM($W443))&lt;&gt;"na", SUMPRODUCT(--(UPPER(TRIM($W$2:$W$518))=UPPER(TRIM($W443))), --(UPPER(TRIM($B$2:$B$518))="YES"), --(UPPER(TRIM($G$2:$G$518)&amp;TRIM($I$2:$I$518)&amp;TRIM($J$2:$J$518))&lt;&gt;UPPER(TRIM($G443)&amp;TRIM($I443)&amp;TRIM($J443))))&gt;0), AND($X443&lt;&gt;"", LOWER(TRIM($X443))&lt;&gt;"n/a", LOWER(TRIM($X443))&lt;&gt;"na", SUMPRODUCT(--(UPPER(TRIM($X$2:$X$518))=UPPER(TRIM($X443))), --(UPPER(TRIM($B$2:$B$518))="YES"), --(UPPER(TRIM($G$2:$G$518)&amp;TRIM($I$2:$I$518)&amp;TRIM($J$2:$J$518))&lt;&gt;UPPER(TRIM($G443)&amp;TRIM($I443)&amp;TRIM($J443))))&gt;0), AND($Y443&lt;&gt;"", LOWER(TRIM($Y443))&lt;&gt;"n/a", LOWER(TRIM($Y443))&lt;&gt;"na", SUMPRODUCT(--(UPPER(SUBSTITUTE(SUBSTITUTE(TRIM($Y$2:$Y$518),":",""),"-",""))=UPPER(SUBSTITUTE(SUBSTITUTE(TRIM($Y443),":",""),"-",""))), --(UPPER(TRIM($B$2:$B$518))="YES"), --(UPPER(TRIM($G$2:$G$518)&amp;TRIM($I$2:$I$518)&amp;TRIM($J$2:$J$518))&lt;&gt;UPPER(TRIM($G443)&amp;TRIM($I443)&amp;TRIM($J443))))&gt;0), AND($AB443&lt;&gt;"", LOWER(TRIM($AB443))&lt;&gt;"n/a", LOWER(TRIM($AB443))&lt;&gt;"na", SUMPRODUCT(--(UPPER(TRIM($AB$2:$AB$518))=UPPER(TRIM($AB443))), --(UPPER(TRIM($B$2:$B$518))="YES"), --(UPPER(TRIM($G$2:$G$518)&amp;TRIM($I$2:$I$518)&amp;TRIM($J$2:$J$518))&lt;&gt;UPPER(TRIM($G443)&amp;TRIM($I443)&amp;TRIM($J443))))&gt;0), AND($AH443&lt;&gt;"", LOWER(TRIM($AH443))&lt;&gt;"n/a", LOWER(TRIM($AH443))&lt;&gt;"na", SUMPRODUCT(--(UPPER(SUBSTITUTE(SUBSTITUTE(TRIM($AH$2:$AH$518),":",""),"-",""))=UPPER(SUBSTITUTE(SUBSTITUTE(TRIM($AH443),":",""),"-",""))), --(UPPER(TRIM($B$2:$B$518))="YES"), --(UPPER(TRIM($G$2:$G$518)&amp;TRIM($I$2:$I$518)&amp;TRIM($J$2:$J$518))&lt;&gt;UPPER(TRIM($G443)&amp;TRIM($I443)&amp;TRIM($J443))))&gt;0), AND($AP443&lt;&gt;"", LOWER(TRIM($AP443))&lt;&gt;"n/a", LOWER(TRIM($AP443))&lt;&gt;"na", SUMPRODUCT(--(UPPER(TRIM($AP$2:$AP$518))=UPPER(TRIM($AP443))), --(UPPER(TRIM($B$2:$B$518))="YES"), --(UPPER(TRIM($G$2:$G$518)&amp;TRIM($I$2:$I$518)&amp;TRIM($J$2:$J$518))&lt;&gt;UPPER(TRIM($G443)&amp;TRIM($I443)&amp;TRIM($J443))))&gt;0), AND($AQ443&lt;&gt;"", LOWER(TRIM($AQ443))&lt;&gt;"n/a", LOWER(TRIM($AQ443))&lt;&gt;"na", SUMPRODUCT(--(UPPER(TRIM($AQ$2:$AQ$518))=UPPER(TRIM($AQ443))), --(UPPER(TRIM($B$2:$B$518))="YES"), --(UPPER(TRIM($G$2:$G$518)&amp;TRIM($I$2:$I$518)&amp;TRIM($J$2:$J$518))&lt;&gt;UPPER(TRIM($G443)&amp;TRIM($I443)&amp;TRIM($J443))))&gt;0)), "Yes", "No"))</f>
        <v/>
      </c>
      <c r="CD443">
        <f>IF($Y443="","",IF((IF(AND($BR443&lt;&gt;"Yes",$BR443&lt;&gt;"N/A"),"Power Cable, ","")&amp;IF(AND($BS443&lt;&gt;"Yes",$BS443&lt;&gt;"N/A"),"Battery, ","")&amp;IF(AND($AD443&lt;&gt;"Yes",$AD443&lt;&gt;"N/A"),"Firmware Download, ","")&amp;IF(AND(OR($AD443="Yes",$AD443="N/A"),$AE443&lt;&gt;"Yes",$AE443&lt;&gt;"N/A"),"Firmware Install, ","")&amp;IF(AND($CB443&lt;&gt;"Yes",$CB443&lt;&gt;"N/A"),"Device ID, ","")&amp;IF(AND($CC443&lt;&gt;"Yes",$CC443&lt;&gt;"N/A"),"Epic Beans Relay, ",""))="","",LEFT(IF(AND($BR443&lt;&gt;"Yes",$BR443&lt;&gt;"N/A"),"Power Cable, ","")&amp;IF(AND($BS443&lt;&gt;"Yes",$BS443&lt;&gt;"N/A"),"Battery, ","")&amp;IF(AND($AD443&lt;&gt;"Yes",$AD443&lt;&gt;"N/A"),"Firmware Download, ","")&amp;IF(AND(OR($AD443="Yes",$AD443="N/A"),$AE443&lt;&gt;"Yes",$AE443&lt;&gt;"N/A"),"Firmware Install, ","")&amp;IF(AND($CB443&lt;&gt;"Yes",$CB443&lt;&gt;"N/A"),"Device ID, ","")&amp;IF(AND($CC443&lt;&gt;"Yes",$CC443&lt;&gt;"N/A"),"Epic Beans Relay, ",""),LEN(IF(AND($BR443&lt;&gt;"Yes",$BR443&lt;&gt;"N/A"),"Power Cable, ","")&amp;IF(AND($BS443&lt;&gt;"Yes",$BS443&lt;&gt;"N/A"),"Battery, ","")&amp;IF(AND($AD443&lt;&gt;"Yes",$AD443&lt;&gt;"N/A"),"Firmware Download, ","")&amp;IF(AND(OR($AD443="Yes",$AD443="N/A"),$AE443&lt;&gt;"Yes",$AE443&lt;&gt;"N/A"),"Firmware Install, ","")&amp;IF(AND($CB443&lt;&gt;"Yes",$CB443&lt;&gt;"N/A"),"Device ID, ","")&amp;IF(AND($CC443&lt;&gt;"Yes",$CC443&lt;&gt;"N/A"),"Epic Beans Relay, ",""))-2)))</f>
        <v/>
      </c>
      <c r="CE443">
        <f>IF($Y443="","",IF($CD443="","Yes","Blocked"))</f>
        <v/>
      </c>
      <c r="CP443">
        <f>IF($CO443="","",IFERROR(VLOOKUP($CO443,'01_Warehouse_Ledger'!$A:$N,4,FALSE),""))</f>
        <v/>
      </c>
      <c r="CQ443">
        <f>IF($CO443="","",IFERROR(VLOOKUP($CO443,'01_Warehouse_Ledger'!$A:$N,5,FALSE),""))</f>
        <v/>
      </c>
      <c r="CR443">
        <f>IF($CO443="","",IFERROR(VLOOKUP($CO443,'01_Warehouse_Ledger'!$A:$N,13,FALSE),""))</f>
        <v/>
      </c>
      <c r="CW443">
        <f>IF($S443="","",IF(UPPER(TRIM($S443))&lt;&gt;"PASS","",IF(LEN(TRIM($BY443))&gt;0,"NOTES_PRESENT",IF(LEN(TRIM($T443))=0,"SET_NA",IF(OR(LOWER(TRIM($T443))="na",LOWER(TRIM($T443))="n/a"),"OK","MANUAL_OVERRIDE")))))</f>
        <v/>
      </c>
    </row>
    <row r="444">
      <c r="B444" t="inlineStr">
        <is>
          <t>No</t>
        </is>
      </c>
      <c r="C444" t="inlineStr">
        <is>
          <t>No</t>
        </is>
      </c>
      <c r="D444">
        <f>IF($B444&lt;&gt;"Yes","",IF($C444="No","Yes",IF($C444="Yes","No","")))</f>
        <v/>
      </c>
      <c r="E444">
        <f>IF($A444="","",IF(OR(AND($V444&lt;&gt;"",LOWER(TRIM($V444))&lt;&gt;"n/a",LOWER(TRIM($V444))&lt;&gt;"na",SUMPRODUCT(--(UPPER(TRIM($V$2:$V$518))=UPPER(TRIM($V444))),--(TRIM($V$2:$V$518)&lt;&gt;""),--(LOWER(TRIM($V$2:$V$518))&lt;&gt;"n/a"),--(LOWER(TRIM($V$2:$V$518))&lt;&gt;"na"))&gt;1),AND($W444&lt;&gt;"",LOWER(TRIM($W444))&lt;&gt;"n/a",LOWER(TRIM($W444))&lt;&gt;"na",SUMPRODUCT(--(UPPER(TRIM($W$2:$W$518))=UPPER(TRIM($W444))),--(TRIM($W$2:$W$518)&lt;&gt;""),--(LOWER(TRIM($W$2:$W$518))&lt;&gt;"n/a"),--(LOWER(TRIM($W$2:$W$518))&lt;&gt;"na"))&gt;1),AND($X444&lt;&gt;"",LOWER(TRIM($X444))&lt;&gt;"n/a",LOWER(TRIM($X444))&lt;&gt;"na",SUMPRODUCT(--(UPPER(TRIM($X$2:$X$518))=UPPER(TRIM($X444))),--(TRIM($X$2:$X$518)&lt;&gt;""),--(LOWER(TRIM($X$2:$X$518))&lt;&gt;"n/a"),--(LOWER(TRIM($X$2:$X$518))&lt;&gt;"na"))&gt;1),AND($Y444&lt;&gt;"",LOWER(TRIM($Y444))&lt;&gt;"n/a",LOWER(TRIM($Y444))&lt;&gt;"na",SUMPRODUCT(--(UPPER(SUBSTITUTE(SUBSTITUTE(TRIM($Y$2:$Y$518),":",""),"-",""))=UPPER(SUBSTITUTE(SUBSTITUTE(TRIM($Y444),":",""),"-",""))),--(TRIM($Y$2:$Y$518)&lt;&gt;""),--(LOWER(TRIM($Y$2:$Y$518))&lt;&gt;"n/a"),--(LOWER(TRIM($Y$2:$Y$518))&lt;&gt;"na"))&gt;1),AND($AB444&lt;&gt;"",LOWER(TRIM($AB444))&lt;&gt;"n/a",LOWER(TRIM($AB444))&lt;&gt;"na",SUMPRODUCT(--(UPPER(TRIM($AB$2:$AB$518))=UPPER(TRIM($AB444))),--(TRIM($AB$2:$AB$518)&lt;&gt;""),--(LOWER(TRIM($AB$2:$AB$518))&lt;&gt;"n/a"),--(LOWER(TRIM($AB$2:$AB$518))&lt;&gt;"na"))&gt;1),AND($AH444&lt;&gt;"",LOWER(TRIM($AH444))&lt;&gt;"n/a",LOWER(TRIM($AH444))&lt;&gt;"na",SUMPRODUCT(--(UPPER(SUBSTITUTE(SUBSTITUTE(TRIM($AH$2:$AH$518),":",""),"-",""))=UPPER(SUBSTITUTE(SUBSTITUTE(TRIM($AH444),":",""),"-",""))),--(TRIM($AH$2:$AH$518)&lt;&gt;""),--(LOWER(TRIM($AH$2:$AH$518))&lt;&gt;"n/a"),--(LOWER(TRIM($AH$2:$AH$518))&lt;&gt;"na"))&gt;1),AND($AP444&lt;&gt;"",LOWER(TRIM($AP444))&lt;&gt;"n/a",LOWER(TRIM($AP444))&lt;&gt;"na",SUMPRODUCT(--(UPPER(TRIM($AP$2:$AP$518))=UPPER(TRIM($AP444))),--(TRIM($AP$2:$AP$518)&lt;&gt;""),--(LOWER(TRIM($AP$2:$AP$518))&lt;&gt;"n/a"),--(LOWER(TRIM($AP$2:$AP$518))&lt;&gt;"na"))&gt;1),AND($AQ444&lt;&gt;"",LOWER(TRIM($AQ444))&lt;&gt;"n/a",LOWER(TRIM($AQ444))&lt;&gt;"na",SUMPRODUCT(--(UPPER(TRIM($AQ$2:$AQ$518))=UPPER(TRIM($AQ444))),--(TRIM($AQ$2:$AQ$518)&lt;&gt;""),--(LOWER(TRIM($AQ$2:$AQ$518))&lt;&gt;"n/a"),--(LOWER(TRIM($AQ$2:$AQ$518))&lt;&gt;"na"))&gt;1)),"Yes","No"))</f>
        <v/>
      </c>
      <c r="F444">
        <f>IF(UPPER(TRIM($B444))&lt;&gt;"YES","", IF(OR(AND($V444&lt;&gt;"", LOWER(TRIM($V444))&lt;&gt;"n/a", LOWER(TRIM($V444))&lt;&gt;"na", SUMPRODUCT(--(UPPER(TRIM($V$2:$V$518))=UPPER(TRIM($V444))), --(UPPER(TRIM($B$2:$B$518))="YES"), --(UPPER(TRIM($G$2:$G$518)&amp;TRIM($I$2:$I$518)&amp;TRIM($J$2:$J$518))&lt;&gt;UPPER(TRIM($G444)&amp;TRIM($I444)&amp;TRIM($J444))))&gt;0), AND($W444&lt;&gt;"", LOWER(TRIM($W444))&lt;&gt;"n/a", LOWER(TRIM($W444))&lt;&gt;"na", SUMPRODUCT(--(UPPER(TRIM($W$2:$W$518))=UPPER(TRIM($W444))), --(UPPER(TRIM($B$2:$B$518))="YES"), --(UPPER(TRIM($G$2:$G$518)&amp;TRIM($I$2:$I$518)&amp;TRIM($J$2:$J$518))&lt;&gt;UPPER(TRIM($G444)&amp;TRIM($I444)&amp;TRIM($J444))))&gt;0), AND($X444&lt;&gt;"", LOWER(TRIM($X444))&lt;&gt;"n/a", LOWER(TRIM($X444))&lt;&gt;"na", SUMPRODUCT(--(UPPER(TRIM($X$2:$X$518))=UPPER(TRIM($X444))), --(UPPER(TRIM($B$2:$B$518))="YES"), --(UPPER(TRIM($G$2:$G$518)&amp;TRIM($I$2:$I$518)&amp;TRIM($J$2:$J$518))&lt;&gt;UPPER(TRIM($G444)&amp;TRIM($I444)&amp;TRIM($J444))))&gt;0), AND($Y444&lt;&gt;"", LOWER(TRIM($Y444))&lt;&gt;"n/a", LOWER(TRIM($Y444))&lt;&gt;"na", SUMPRODUCT(--(UPPER(SUBSTITUTE(SUBSTITUTE(TRIM($Y$2:$Y$518),":",""),"-",""))=UPPER(SUBSTITUTE(SUBSTITUTE(TRIM($Y444),":",""),"-",""))), --(UPPER(TRIM($B$2:$B$518))="YES"), --(UPPER(TRIM($G$2:$G$518)&amp;TRIM($I$2:$I$518)&amp;TRIM($J$2:$J$518))&lt;&gt;UPPER(TRIM($G444)&amp;TRIM($I444)&amp;TRIM($J444))))&gt;0), AND($AB444&lt;&gt;"", LOWER(TRIM($AB444))&lt;&gt;"n/a", LOWER(TRIM($AB444))&lt;&gt;"na", SUMPRODUCT(--(UPPER(TRIM($AB$2:$AB$518))=UPPER(TRIM($AB444))), --(UPPER(TRIM($B$2:$B$518))="YES"), --(UPPER(TRIM($G$2:$G$518)&amp;TRIM($I$2:$I$518)&amp;TRIM($J$2:$J$518))&lt;&gt;UPPER(TRIM($G444)&amp;TRIM($I444)&amp;TRIM($J444))))&gt;0), AND($AH444&lt;&gt;"", LOWER(TRIM($AH444))&lt;&gt;"n/a", LOWER(TRIM($AH444))&lt;&gt;"na", SUMPRODUCT(--(UPPER(SUBSTITUTE(SUBSTITUTE(TRIM($AH$2:$AH$518),":",""),"-",""))=UPPER(SUBSTITUTE(SUBSTITUTE(TRIM($AH444),":",""),"-",""))), --(UPPER(TRIM($B$2:$B$518))="YES"), --(UPPER(TRIM($G$2:$G$518)&amp;TRIM($I$2:$I$518)&amp;TRIM($J$2:$J$518))&lt;&gt;UPPER(TRIM($G444)&amp;TRIM($I444)&amp;TRIM($J444))))&gt;0), AND($AP444&lt;&gt;"", LOWER(TRIM($AP444))&lt;&gt;"n/a", LOWER(TRIM($AP444))&lt;&gt;"na", SUMPRODUCT(--(UPPER(TRIM($AP$2:$AP$518))=UPPER(TRIM($AP444))), --(UPPER(TRIM($B$2:$B$518))="YES"), --(UPPER(TRIM($G$2:$G$518)&amp;TRIM($I$2:$I$518)&amp;TRIM($J$2:$J$518))&lt;&gt;UPPER(TRIM($G444)&amp;TRIM($I444)&amp;TRIM($J444))))&gt;0), AND($AQ444&lt;&gt;"", LOWER(TRIM($AQ444))&lt;&gt;"n/a", LOWER(TRIM($AQ444))&lt;&gt;"na", SUMPRODUCT(--(UPPER(TRIM($AQ$2:$AQ$518))=UPPER(TRIM($AQ444))), --(UPPER(TRIM($B$2:$B$518))="YES"), --(UPPER(TRIM($G$2:$G$518)&amp;TRIM($I$2:$I$518)&amp;TRIM($J$2:$J$518))&lt;&gt;UPPER(TRIM($G444)&amp;TRIM($I444)&amp;TRIM($J444))))&gt;0)), "Yes", "No"))</f>
        <v/>
      </c>
      <c r="CD444">
        <f>IF($Y444="","",IF((IF(AND($BR444&lt;&gt;"Yes",$BR444&lt;&gt;"N/A"),"Power Cable, ","")&amp;IF(AND($BS444&lt;&gt;"Yes",$BS444&lt;&gt;"N/A"),"Battery, ","")&amp;IF(AND($AD444&lt;&gt;"Yes",$AD444&lt;&gt;"N/A"),"Firmware Download, ","")&amp;IF(AND(OR($AD444="Yes",$AD444="N/A"),$AE444&lt;&gt;"Yes",$AE444&lt;&gt;"N/A"),"Firmware Install, ","")&amp;IF(AND($CB444&lt;&gt;"Yes",$CB444&lt;&gt;"N/A"),"Device ID, ","")&amp;IF(AND($CC444&lt;&gt;"Yes",$CC444&lt;&gt;"N/A"),"Epic Beans Relay, ",""))="","",LEFT(IF(AND($BR444&lt;&gt;"Yes",$BR444&lt;&gt;"N/A"),"Power Cable, ","")&amp;IF(AND($BS444&lt;&gt;"Yes",$BS444&lt;&gt;"N/A"),"Battery, ","")&amp;IF(AND($AD444&lt;&gt;"Yes",$AD444&lt;&gt;"N/A"),"Firmware Download, ","")&amp;IF(AND(OR($AD444="Yes",$AD444="N/A"),$AE444&lt;&gt;"Yes",$AE444&lt;&gt;"N/A"),"Firmware Install, ","")&amp;IF(AND($CB444&lt;&gt;"Yes",$CB444&lt;&gt;"N/A"),"Device ID, ","")&amp;IF(AND($CC444&lt;&gt;"Yes",$CC444&lt;&gt;"N/A"),"Epic Beans Relay, ",""),LEN(IF(AND($BR444&lt;&gt;"Yes",$BR444&lt;&gt;"N/A"),"Power Cable, ","")&amp;IF(AND($BS444&lt;&gt;"Yes",$BS444&lt;&gt;"N/A"),"Battery, ","")&amp;IF(AND($AD444&lt;&gt;"Yes",$AD444&lt;&gt;"N/A"),"Firmware Download, ","")&amp;IF(AND(OR($AD444="Yes",$AD444="N/A"),$AE444&lt;&gt;"Yes",$AE444&lt;&gt;"N/A"),"Firmware Install, ","")&amp;IF(AND($CB444&lt;&gt;"Yes",$CB444&lt;&gt;"N/A"),"Device ID, ","")&amp;IF(AND($CC444&lt;&gt;"Yes",$CC444&lt;&gt;"N/A"),"Epic Beans Relay, ",""))-2)))</f>
        <v/>
      </c>
      <c r="CE444">
        <f>IF($Y444="","",IF($CD444="","Yes","Blocked"))</f>
        <v/>
      </c>
      <c r="CP444">
        <f>IF($CO444="","",IFERROR(VLOOKUP($CO444,'01_Warehouse_Ledger'!$A:$N,4,FALSE),""))</f>
        <v/>
      </c>
      <c r="CQ444">
        <f>IF($CO444="","",IFERROR(VLOOKUP($CO444,'01_Warehouse_Ledger'!$A:$N,5,FALSE),""))</f>
        <v/>
      </c>
      <c r="CR444">
        <f>IF($CO444="","",IFERROR(VLOOKUP($CO444,'01_Warehouse_Ledger'!$A:$N,13,FALSE),""))</f>
        <v/>
      </c>
      <c r="CW444">
        <f>IF($S444="","",IF(UPPER(TRIM($S444))&lt;&gt;"PASS","",IF(LEN(TRIM($BY444))&gt;0,"NOTES_PRESENT",IF(LEN(TRIM($T444))=0,"SET_NA",IF(OR(LOWER(TRIM($T444))="na",LOWER(TRIM($T444))="n/a"),"OK","MANUAL_OVERRIDE")))))</f>
        <v/>
      </c>
    </row>
    <row r="445">
      <c r="B445" t="inlineStr">
        <is>
          <t>No</t>
        </is>
      </c>
      <c r="C445" t="inlineStr">
        <is>
          <t>No</t>
        </is>
      </c>
      <c r="D445">
        <f>IF($B445&lt;&gt;"Yes","",IF($C445="No","Yes",IF($C445="Yes","No","")))</f>
        <v/>
      </c>
      <c r="E445">
        <f>IF($A445="","",IF(OR(AND($V445&lt;&gt;"",LOWER(TRIM($V445))&lt;&gt;"n/a",LOWER(TRIM($V445))&lt;&gt;"na",SUMPRODUCT(--(UPPER(TRIM($V$2:$V$518))=UPPER(TRIM($V445))),--(TRIM($V$2:$V$518)&lt;&gt;""),--(LOWER(TRIM($V$2:$V$518))&lt;&gt;"n/a"),--(LOWER(TRIM($V$2:$V$518))&lt;&gt;"na"))&gt;1),AND($W445&lt;&gt;"",LOWER(TRIM($W445))&lt;&gt;"n/a",LOWER(TRIM($W445))&lt;&gt;"na",SUMPRODUCT(--(UPPER(TRIM($W$2:$W$518))=UPPER(TRIM($W445))),--(TRIM($W$2:$W$518)&lt;&gt;""),--(LOWER(TRIM($W$2:$W$518))&lt;&gt;"n/a"),--(LOWER(TRIM($W$2:$W$518))&lt;&gt;"na"))&gt;1),AND($X445&lt;&gt;"",LOWER(TRIM($X445))&lt;&gt;"n/a",LOWER(TRIM($X445))&lt;&gt;"na",SUMPRODUCT(--(UPPER(TRIM($X$2:$X$518))=UPPER(TRIM($X445))),--(TRIM($X$2:$X$518)&lt;&gt;""),--(LOWER(TRIM($X$2:$X$518))&lt;&gt;"n/a"),--(LOWER(TRIM($X$2:$X$518))&lt;&gt;"na"))&gt;1),AND($Y445&lt;&gt;"",LOWER(TRIM($Y445))&lt;&gt;"n/a",LOWER(TRIM($Y445))&lt;&gt;"na",SUMPRODUCT(--(UPPER(SUBSTITUTE(SUBSTITUTE(TRIM($Y$2:$Y$518),":",""),"-",""))=UPPER(SUBSTITUTE(SUBSTITUTE(TRIM($Y445),":",""),"-",""))),--(TRIM($Y$2:$Y$518)&lt;&gt;""),--(LOWER(TRIM($Y$2:$Y$518))&lt;&gt;"n/a"),--(LOWER(TRIM($Y$2:$Y$518))&lt;&gt;"na"))&gt;1),AND($AB445&lt;&gt;"",LOWER(TRIM($AB445))&lt;&gt;"n/a",LOWER(TRIM($AB445))&lt;&gt;"na",SUMPRODUCT(--(UPPER(TRIM($AB$2:$AB$518))=UPPER(TRIM($AB445))),--(TRIM($AB$2:$AB$518)&lt;&gt;""),--(LOWER(TRIM($AB$2:$AB$518))&lt;&gt;"n/a"),--(LOWER(TRIM($AB$2:$AB$518))&lt;&gt;"na"))&gt;1),AND($AH445&lt;&gt;"",LOWER(TRIM($AH445))&lt;&gt;"n/a",LOWER(TRIM($AH445))&lt;&gt;"na",SUMPRODUCT(--(UPPER(SUBSTITUTE(SUBSTITUTE(TRIM($AH$2:$AH$518),":",""),"-",""))=UPPER(SUBSTITUTE(SUBSTITUTE(TRIM($AH445),":",""),"-",""))),--(TRIM($AH$2:$AH$518)&lt;&gt;""),--(LOWER(TRIM($AH$2:$AH$518))&lt;&gt;"n/a"),--(LOWER(TRIM($AH$2:$AH$518))&lt;&gt;"na"))&gt;1),AND($AP445&lt;&gt;"",LOWER(TRIM($AP445))&lt;&gt;"n/a",LOWER(TRIM($AP445))&lt;&gt;"na",SUMPRODUCT(--(UPPER(TRIM($AP$2:$AP$518))=UPPER(TRIM($AP445))),--(TRIM($AP$2:$AP$518)&lt;&gt;""),--(LOWER(TRIM($AP$2:$AP$518))&lt;&gt;"n/a"),--(LOWER(TRIM($AP$2:$AP$518))&lt;&gt;"na"))&gt;1),AND($AQ445&lt;&gt;"",LOWER(TRIM($AQ445))&lt;&gt;"n/a",LOWER(TRIM($AQ445))&lt;&gt;"na",SUMPRODUCT(--(UPPER(TRIM($AQ$2:$AQ$518))=UPPER(TRIM($AQ445))),--(TRIM($AQ$2:$AQ$518)&lt;&gt;""),--(LOWER(TRIM($AQ$2:$AQ$518))&lt;&gt;"n/a"),--(LOWER(TRIM($AQ$2:$AQ$518))&lt;&gt;"na"))&gt;1)),"Yes","No"))</f>
        <v/>
      </c>
      <c r="F445">
        <f>IF(UPPER(TRIM($B445))&lt;&gt;"YES","", IF(OR(AND($V445&lt;&gt;"", LOWER(TRIM($V445))&lt;&gt;"n/a", LOWER(TRIM($V445))&lt;&gt;"na", SUMPRODUCT(--(UPPER(TRIM($V$2:$V$518))=UPPER(TRIM($V445))), --(UPPER(TRIM($B$2:$B$518))="YES"), --(UPPER(TRIM($G$2:$G$518)&amp;TRIM($I$2:$I$518)&amp;TRIM($J$2:$J$518))&lt;&gt;UPPER(TRIM($G445)&amp;TRIM($I445)&amp;TRIM($J445))))&gt;0), AND($W445&lt;&gt;"", LOWER(TRIM($W445))&lt;&gt;"n/a", LOWER(TRIM($W445))&lt;&gt;"na", SUMPRODUCT(--(UPPER(TRIM($W$2:$W$518))=UPPER(TRIM($W445))), --(UPPER(TRIM($B$2:$B$518))="YES"), --(UPPER(TRIM($G$2:$G$518)&amp;TRIM($I$2:$I$518)&amp;TRIM($J$2:$J$518))&lt;&gt;UPPER(TRIM($G445)&amp;TRIM($I445)&amp;TRIM($J445))))&gt;0), AND($X445&lt;&gt;"", LOWER(TRIM($X445))&lt;&gt;"n/a", LOWER(TRIM($X445))&lt;&gt;"na", SUMPRODUCT(--(UPPER(TRIM($X$2:$X$518))=UPPER(TRIM($X445))), --(UPPER(TRIM($B$2:$B$518))="YES"), --(UPPER(TRIM($G$2:$G$518)&amp;TRIM($I$2:$I$518)&amp;TRIM($J$2:$J$518))&lt;&gt;UPPER(TRIM($G445)&amp;TRIM($I445)&amp;TRIM($J445))))&gt;0), AND($Y445&lt;&gt;"", LOWER(TRIM($Y445))&lt;&gt;"n/a", LOWER(TRIM($Y445))&lt;&gt;"na", SUMPRODUCT(--(UPPER(SUBSTITUTE(SUBSTITUTE(TRIM($Y$2:$Y$518),":",""),"-",""))=UPPER(SUBSTITUTE(SUBSTITUTE(TRIM($Y445),":",""),"-",""))), --(UPPER(TRIM($B$2:$B$518))="YES"), --(UPPER(TRIM($G$2:$G$518)&amp;TRIM($I$2:$I$518)&amp;TRIM($J$2:$J$518))&lt;&gt;UPPER(TRIM($G445)&amp;TRIM($I445)&amp;TRIM($J445))))&gt;0), AND($AB445&lt;&gt;"", LOWER(TRIM($AB445))&lt;&gt;"n/a", LOWER(TRIM($AB445))&lt;&gt;"na", SUMPRODUCT(--(UPPER(TRIM($AB$2:$AB$518))=UPPER(TRIM($AB445))), --(UPPER(TRIM($B$2:$B$518))="YES"), --(UPPER(TRIM($G$2:$G$518)&amp;TRIM($I$2:$I$518)&amp;TRIM($J$2:$J$518))&lt;&gt;UPPER(TRIM($G445)&amp;TRIM($I445)&amp;TRIM($J445))))&gt;0), AND($AH445&lt;&gt;"", LOWER(TRIM($AH445))&lt;&gt;"n/a", LOWER(TRIM($AH445))&lt;&gt;"na", SUMPRODUCT(--(UPPER(SUBSTITUTE(SUBSTITUTE(TRIM($AH$2:$AH$518),":",""),"-",""))=UPPER(SUBSTITUTE(SUBSTITUTE(TRIM($AH445),":",""),"-",""))), --(UPPER(TRIM($B$2:$B$518))="YES"), --(UPPER(TRIM($G$2:$G$518)&amp;TRIM($I$2:$I$518)&amp;TRIM($J$2:$J$518))&lt;&gt;UPPER(TRIM($G445)&amp;TRIM($I445)&amp;TRIM($J445))))&gt;0), AND($AP445&lt;&gt;"", LOWER(TRIM($AP445))&lt;&gt;"n/a", LOWER(TRIM($AP445))&lt;&gt;"na", SUMPRODUCT(--(UPPER(TRIM($AP$2:$AP$518))=UPPER(TRIM($AP445))), --(UPPER(TRIM($B$2:$B$518))="YES"), --(UPPER(TRIM($G$2:$G$518)&amp;TRIM($I$2:$I$518)&amp;TRIM($J$2:$J$518))&lt;&gt;UPPER(TRIM($G445)&amp;TRIM($I445)&amp;TRIM($J445))))&gt;0), AND($AQ445&lt;&gt;"", LOWER(TRIM($AQ445))&lt;&gt;"n/a", LOWER(TRIM($AQ445))&lt;&gt;"na", SUMPRODUCT(--(UPPER(TRIM($AQ$2:$AQ$518))=UPPER(TRIM($AQ445))), --(UPPER(TRIM($B$2:$B$518))="YES"), --(UPPER(TRIM($G$2:$G$518)&amp;TRIM($I$2:$I$518)&amp;TRIM($J$2:$J$518))&lt;&gt;UPPER(TRIM($G445)&amp;TRIM($I445)&amp;TRIM($J445))))&gt;0)), "Yes", "No"))</f>
        <v/>
      </c>
      <c r="CD445">
        <f>IF($Y445="","",IF((IF(AND($BR445&lt;&gt;"Yes",$BR445&lt;&gt;"N/A"),"Power Cable, ","")&amp;IF(AND($BS445&lt;&gt;"Yes",$BS445&lt;&gt;"N/A"),"Battery, ","")&amp;IF(AND($AD445&lt;&gt;"Yes",$AD445&lt;&gt;"N/A"),"Firmware Download, ","")&amp;IF(AND(OR($AD445="Yes",$AD445="N/A"),$AE445&lt;&gt;"Yes",$AE445&lt;&gt;"N/A"),"Firmware Install, ","")&amp;IF(AND($CB445&lt;&gt;"Yes",$CB445&lt;&gt;"N/A"),"Device ID, ","")&amp;IF(AND($CC445&lt;&gt;"Yes",$CC445&lt;&gt;"N/A"),"Epic Beans Relay, ",""))="","",LEFT(IF(AND($BR445&lt;&gt;"Yes",$BR445&lt;&gt;"N/A"),"Power Cable, ","")&amp;IF(AND($BS445&lt;&gt;"Yes",$BS445&lt;&gt;"N/A"),"Battery, ","")&amp;IF(AND($AD445&lt;&gt;"Yes",$AD445&lt;&gt;"N/A"),"Firmware Download, ","")&amp;IF(AND(OR($AD445="Yes",$AD445="N/A"),$AE445&lt;&gt;"Yes",$AE445&lt;&gt;"N/A"),"Firmware Install, ","")&amp;IF(AND($CB445&lt;&gt;"Yes",$CB445&lt;&gt;"N/A"),"Device ID, ","")&amp;IF(AND($CC445&lt;&gt;"Yes",$CC445&lt;&gt;"N/A"),"Epic Beans Relay, ",""),LEN(IF(AND($BR445&lt;&gt;"Yes",$BR445&lt;&gt;"N/A"),"Power Cable, ","")&amp;IF(AND($BS445&lt;&gt;"Yes",$BS445&lt;&gt;"N/A"),"Battery, ","")&amp;IF(AND($AD445&lt;&gt;"Yes",$AD445&lt;&gt;"N/A"),"Firmware Download, ","")&amp;IF(AND(OR($AD445="Yes",$AD445="N/A"),$AE445&lt;&gt;"Yes",$AE445&lt;&gt;"N/A"),"Firmware Install, ","")&amp;IF(AND($CB445&lt;&gt;"Yes",$CB445&lt;&gt;"N/A"),"Device ID, ","")&amp;IF(AND($CC445&lt;&gt;"Yes",$CC445&lt;&gt;"N/A"),"Epic Beans Relay, ",""))-2)))</f>
        <v/>
      </c>
      <c r="CE445">
        <f>IF($Y445="","",IF($CD445="","Yes","Blocked"))</f>
        <v/>
      </c>
      <c r="CP445">
        <f>IF($CO445="","",IFERROR(VLOOKUP($CO445,'01_Warehouse_Ledger'!$A:$N,4,FALSE),""))</f>
        <v/>
      </c>
      <c r="CQ445">
        <f>IF($CO445="","",IFERROR(VLOOKUP($CO445,'01_Warehouse_Ledger'!$A:$N,5,FALSE),""))</f>
        <v/>
      </c>
      <c r="CR445">
        <f>IF($CO445="","",IFERROR(VLOOKUP($CO445,'01_Warehouse_Ledger'!$A:$N,13,FALSE),""))</f>
        <v/>
      </c>
      <c r="CW445">
        <f>IF($S445="","",IF(UPPER(TRIM($S445))&lt;&gt;"PASS","",IF(LEN(TRIM($BY445))&gt;0,"NOTES_PRESENT",IF(LEN(TRIM($T445))=0,"SET_NA",IF(OR(LOWER(TRIM($T445))="na",LOWER(TRIM($T445))="n/a"),"OK","MANUAL_OVERRIDE")))))</f>
        <v/>
      </c>
    </row>
    <row r="446">
      <c r="B446" t="inlineStr">
        <is>
          <t>No</t>
        </is>
      </c>
      <c r="C446" t="inlineStr">
        <is>
          <t>No</t>
        </is>
      </c>
      <c r="D446">
        <f>IF($B446&lt;&gt;"Yes","",IF($C446="No","Yes",IF($C446="Yes","No","")))</f>
        <v/>
      </c>
      <c r="E446">
        <f>IF($A446="","",IF(OR(AND($V446&lt;&gt;"",LOWER(TRIM($V446))&lt;&gt;"n/a",LOWER(TRIM($V446))&lt;&gt;"na",SUMPRODUCT(--(UPPER(TRIM($V$2:$V$518))=UPPER(TRIM($V446))),--(TRIM($V$2:$V$518)&lt;&gt;""),--(LOWER(TRIM($V$2:$V$518))&lt;&gt;"n/a"),--(LOWER(TRIM($V$2:$V$518))&lt;&gt;"na"))&gt;1),AND($W446&lt;&gt;"",LOWER(TRIM($W446))&lt;&gt;"n/a",LOWER(TRIM($W446))&lt;&gt;"na",SUMPRODUCT(--(UPPER(TRIM($W$2:$W$518))=UPPER(TRIM($W446))),--(TRIM($W$2:$W$518)&lt;&gt;""),--(LOWER(TRIM($W$2:$W$518))&lt;&gt;"n/a"),--(LOWER(TRIM($W$2:$W$518))&lt;&gt;"na"))&gt;1),AND($X446&lt;&gt;"",LOWER(TRIM($X446))&lt;&gt;"n/a",LOWER(TRIM($X446))&lt;&gt;"na",SUMPRODUCT(--(UPPER(TRIM($X$2:$X$518))=UPPER(TRIM($X446))),--(TRIM($X$2:$X$518)&lt;&gt;""),--(LOWER(TRIM($X$2:$X$518))&lt;&gt;"n/a"),--(LOWER(TRIM($X$2:$X$518))&lt;&gt;"na"))&gt;1),AND($Y446&lt;&gt;"",LOWER(TRIM($Y446))&lt;&gt;"n/a",LOWER(TRIM($Y446))&lt;&gt;"na",SUMPRODUCT(--(UPPER(SUBSTITUTE(SUBSTITUTE(TRIM($Y$2:$Y$518),":",""),"-",""))=UPPER(SUBSTITUTE(SUBSTITUTE(TRIM($Y446),":",""),"-",""))),--(TRIM($Y$2:$Y$518)&lt;&gt;""),--(LOWER(TRIM($Y$2:$Y$518))&lt;&gt;"n/a"),--(LOWER(TRIM($Y$2:$Y$518))&lt;&gt;"na"))&gt;1),AND($AB446&lt;&gt;"",LOWER(TRIM($AB446))&lt;&gt;"n/a",LOWER(TRIM($AB446))&lt;&gt;"na",SUMPRODUCT(--(UPPER(TRIM($AB$2:$AB$518))=UPPER(TRIM($AB446))),--(TRIM($AB$2:$AB$518)&lt;&gt;""),--(LOWER(TRIM($AB$2:$AB$518))&lt;&gt;"n/a"),--(LOWER(TRIM($AB$2:$AB$518))&lt;&gt;"na"))&gt;1),AND($AH446&lt;&gt;"",LOWER(TRIM($AH446))&lt;&gt;"n/a",LOWER(TRIM($AH446))&lt;&gt;"na",SUMPRODUCT(--(UPPER(SUBSTITUTE(SUBSTITUTE(TRIM($AH$2:$AH$518),":",""),"-",""))=UPPER(SUBSTITUTE(SUBSTITUTE(TRIM($AH446),":",""),"-",""))),--(TRIM($AH$2:$AH$518)&lt;&gt;""),--(LOWER(TRIM($AH$2:$AH$518))&lt;&gt;"n/a"),--(LOWER(TRIM($AH$2:$AH$518))&lt;&gt;"na"))&gt;1),AND($AP446&lt;&gt;"",LOWER(TRIM($AP446))&lt;&gt;"n/a",LOWER(TRIM($AP446))&lt;&gt;"na",SUMPRODUCT(--(UPPER(TRIM($AP$2:$AP$518))=UPPER(TRIM($AP446))),--(TRIM($AP$2:$AP$518)&lt;&gt;""),--(LOWER(TRIM($AP$2:$AP$518))&lt;&gt;"n/a"),--(LOWER(TRIM($AP$2:$AP$518))&lt;&gt;"na"))&gt;1),AND($AQ446&lt;&gt;"",LOWER(TRIM($AQ446))&lt;&gt;"n/a",LOWER(TRIM($AQ446))&lt;&gt;"na",SUMPRODUCT(--(UPPER(TRIM($AQ$2:$AQ$518))=UPPER(TRIM($AQ446))),--(TRIM($AQ$2:$AQ$518)&lt;&gt;""),--(LOWER(TRIM($AQ$2:$AQ$518))&lt;&gt;"n/a"),--(LOWER(TRIM($AQ$2:$AQ$518))&lt;&gt;"na"))&gt;1)),"Yes","No"))</f>
        <v/>
      </c>
      <c r="F446">
        <f>IF(UPPER(TRIM($B446))&lt;&gt;"YES","", IF(OR(AND($V446&lt;&gt;"", LOWER(TRIM($V446))&lt;&gt;"n/a", LOWER(TRIM($V446))&lt;&gt;"na", SUMPRODUCT(--(UPPER(TRIM($V$2:$V$518))=UPPER(TRIM($V446))), --(UPPER(TRIM($B$2:$B$518))="YES"), --(UPPER(TRIM($G$2:$G$518)&amp;TRIM($I$2:$I$518)&amp;TRIM($J$2:$J$518))&lt;&gt;UPPER(TRIM($G446)&amp;TRIM($I446)&amp;TRIM($J446))))&gt;0), AND($W446&lt;&gt;"", LOWER(TRIM($W446))&lt;&gt;"n/a", LOWER(TRIM($W446))&lt;&gt;"na", SUMPRODUCT(--(UPPER(TRIM($W$2:$W$518))=UPPER(TRIM($W446))), --(UPPER(TRIM($B$2:$B$518))="YES"), --(UPPER(TRIM($G$2:$G$518)&amp;TRIM($I$2:$I$518)&amp;TRIM($J$2:$J$518))&lt;&gt;UPPER(TRIM($G446)&amp;TRIM($I446)&amp;TRIM($J446))))&gt;0), AND($X446&lt;&gt;"", LOWER(TRIM($X446))&lt;&gt;"n/a", LOWER(TRIM($X446))&lt;&gt;"na", SUMPRODUCT(--(UPPER(TRIM($X$2:$X$518))=UPPER(TRIM($X446))), --(UPPER(TRIM($B$2:$B$518))="YES"), --(UPPER(TRIM($G$2:$G$518)&amp;TRIM($I$2:$I$518)&amp;TRIM($J$2:$J$518))&lt;&gt;UPPER(TRIM($G446)&amp;TRIM($I446)&amp;TRIM($J446))))&gt;0), AND($Y446&lt;&gt;"", LOWER(TRIM($Y446))&lt;&gt;"n/a", LOWER(TRIM($Y446))&lt;&gt;"na", SUMPRODUCT(--(UPPER(SUBSTITUTE(SUBSTITUTE(TRIM($Y$2:$Y$518),":",""),"-",""))=UPPER(SUBSTITUTE(SUBSTITUTE(TRIM($Y446),":",""),"-",""))), --(UPPER(TRIM($B$2:$B$518))="YES"), --(UPPER(TRIM($G$2:$G$518)&amp;TRIM($I$2:$I$518)&amp;TRIM($J$2:$J$518))&lt;&gt;UPPER(TRIM($G446)&amp;TRIM($I446)&amp;TRIM($J446))))&gt;0), AND($AB446&lt;&gt;"", LOWER(TRIM($AB446))&lt;&gt;"n/a", LOWER(TRIM($AB446))&lt;&gt;"na", SUMPRODUCT(--(UPPER(TRIM($AB$2:$AB$518))=UPPER(TRIM($AB446))), --(UPPER(TRIM($B$2:$B$518))="YES"), --(UPPER(TRIM($G$2:$G$518)&amp;TRIM($I$2:$I$518)&amp;TRIM($J$2:$J$518))&lt;&gt;UPPER(TRIM($G446)&amp;TRIM($I446)&amp;TRIM($J446))))&gt;0), AND($AH446&lt;&gt;"", LOWER(TRIM($AH446))&lt;&gt;"n/a", LOWER(TRIM($AH446))&lt;&gt;"na", SUMPRODUCT(--(UPPER(SUBSTITUTE(SUBSTITUTE(TRIM($AH$2:$AH$518),":",""),"-",""))=UPPER(SUBSTITUTE(SUBSTITUTE(TRIM($AH446),":",""),"-",""))), --(UPPER(TRIM($B$2:$B$518))="YES"), --(UPPER(TRIM($G$2:$G$518)&amp;TRIM($I$2:$I$518)&amp;TRIM($J$2:$J$518))&lt;&gt;UPPER(TRIM($G446)&amp;TRIM($I446)&amp;TRIM($J446))))&gt;0), AND($AP446&lt;&gt;"", LOWER(TRIM($AP446))&lt;&gt;"n/a", LOWER(TRIM($AP446))&lt;&gt;"na", SUMPRODUCT(--(UPPER(TRIM($AP$2:$AP$518))=UPPER(TRIM($AP446))), --(UPPER(TRIM($B$2:$B$518))="YES"), --(UPPER(TRIM($G$2:$G$518)&amp;TRIM($I$2:$I$518)&amp;TRIM($J$2:$J$518))&lt;&gt;UPPER(TRIM($G446)&amp;TRIM($I446)&amp;TRIM($J446))))&gt;0), AND($AQ446&lt;&gt;"", LOWER(TRIM($AQ446))&lt;&gt;"n/a", LOWER(TRIM($AQ446))&lt;&gt;"na", SUMPRODUCT(--(UPPER(TRIM($AQ$2:$AQ$518))=UPPER(TRIM($AQ446))), --(UPPER(TRIM($B$2:$B$518))="YES"), --(UPPER(TRIM($G$2:$G$518)&amp;TRIM($I$2:$I$518)&amp;TRIM($J$2:$J$518))&lt;&gt;UPPER(TRIM($G446)&amp;TRIM($I446)&amp;TRIM($J446))))&gt;0)), "Yes", "No"))</f>
        <v/>
      </c>
      <c r="CD446">
        <f>IF($Y446="","",IF((IF(AND($BR446&lt;&gt;"Yes",$BR446&lt;&gt;"N/A"),"Power Cable, ","")&amp;IF(AND($BS446&lt;&gt;"Yes",$BS446&lt;&gt;"N/A"),"Battery, ","")&amp;IF(AND($AD446&lt;&gt;"Yes",$AD446&lt;&gt;"N/A"),"Firmware Download, ","")&amp;IF(AND(OR($AD446="Yes",$AD446="N/A"),$AE446&lt;&gt;"Yes",$AE446&lt;&gt;"N/A"),"Firmware Install, ","")&amp;IF(AND($CB446&lt;&gt;"Yes",$CB446&lt;&gt;"N/A"),"Device ID, ","")&amp;IF(AND($CC446&lt;&gt;"Yes",$CC446&lt;&gt;"N/A"),"Epic Beans Relay, ",""))="","",LEFT(IF(AND($BR446&lt;&gt;"Yes",$BR446&lt;&gt;"N/A"),"Power Cable, ","")&amp;IF(AND($BS446&lt;&gt;"Yes",$BS446&lt;&gt;"N/A"),"Battery, ","")&amp;IF(AND($AD446&lt;&gt;"Yes",$AD446&lt;&gt;"N/A"),"Firmware Download, ","")&amp;IF(AND(OR($AD446="Yes",$AD446="N/A"),$AE446&lt;&gt;"Yes",$AE446&lt;&gt;"N/A"),"Firmware Install, ","")&amp;IF(AND($CB446&lt;&gt;"Yes",$CB446&lt;&gt;"N/A"),"Device ID, ","")&amp;IF(AND($CC446&lt;&gt;"Yes",$CC446&lt;&gt;"N/A"),"Epic Beans Relay, ",""),LEN(IF(AND($BR446&lt;&gt;"Yes",$BR446&lt;&gt;"N/A"),"Power Cable, ","")&amp;IF(AND($BS446&lt;&gt;"Yes",$BS446&lt;&gt;"N/A"),"Battery, ","")&amp;IF(AND($AD446&lt;&gt;"Yes",$AD446&lt;&gt;"N/A"),"Firmware Download, ","")&amp;IF(AND(OR($AD446="Yes",$AD446="N/A"),$AE446&lt;&gt;"Yes",$AE446&lt;&gt;"N/A"),"Firmware Install, ","")&amp;IF(AND($CB446&lt;&gt;"Yes",$CB446&lt;&gt;"N/A"),"Device ID, ","")&amp;IF(AND($CC446&lt;&gt;"Yes",$CC446&lt;&gt;"N/A"),"Epic Beans Relay, ",""))-2)))</f>
        <v/>
      </c>
      <c r="CE446">
        <f>IF($Y446="","",IF($CD446="","Yes","Blocked"))</f>
        <v/>
      </c>
      <c r="CP446">
        <f>IF($CO446="","",IFERROR(VLOOKUP($CO446,'01_Warehouse_Ledger'!$A:$N,4,FALSE),""))</f>
        <v/>
      </c>
      <c r="CQ446">
        <f>IF($CO446="","",IFERROR(VLOOKUP($CO446,'01_Warehouse_Ledger'!$A:$N,5,FALSE),""))</f>
        <v/>
      </c>
      <c r="CR446">
        <f>IF($CO446="","",IFERROR(VLOOKUP($CO446,'01_Warehouse_Ledger'!$A:$N,13,FALSE),""))</f>
        <v/>
      </c>
      <c r="CW446">
        <f>IF($S446="","",IF(UPPER(TRIM($S446))&lt;&gt;"PASS","",IF(LEN(TRIM($BY446))&gt;0,"NOTES_PRESENT",IF(LEN(TRIM($T446))=0,"SET_NA",IF(OR(LOWER(TRIM($T446))="na",LOWER(TRIM($T446))="n/a"),"OK","MANUAL_OVERRIDE")))))</f>
        <v/>
      </c>
    </row>
    <row r="447">
      <c r="B447" t="inlineStr">
        <is>
          <t>No</t>
        </is>
      </c>
      <c r="C447" t="inlineStr">
        <is>
          <t>No</t>
        </is>
      </c>
      <c r="D447">
        <f>IF($B447&lt;&gt;"Yes","",IF($C447="No","Yes",IF($C447="Yes","No","")))</f>
        <v/>
      </c>
      <c r="E447">
        <f>IF($A447="","",IF(OR(AND($V447&lt;&gt;"",LOWER(TRIM($V447))&lt;&gt;"n/a",LOWER(TRIM($V447))&lt;&gt;"na",SUMPRODUCT(--(UPPER(TRIM($V$2:$V$518))=UPPER(TRIM($V447))),--(TRIM($V$2:$V$518)&lt;&gt;""),--(LOWER(TRIM($V$2:$V$518))&lt;&gt;"n/a"),--(LOWER(TRIM($V$2:$V$518))&lt;&gt;"na"))&gt;1),AND($W447&lt;&gt;"",LOWER(TRIM($W447))&lt;&gt;"n/a",LOWER(TRIM($W447))&lt;&gt;"na",SUMPRODUCT(--(UPPER(TRIM($W$2:$W$518))=UPPER(TRIM($W447))),--(TRIM($W$2:$W$518)&lt;&gt;""),--(LOWER(TRIM($W$2:$W$518))&lt;&gt;"n/a"),--(LOWER(TRIM($W$2:$W$518))&lt;&gt;"na"))&gt;1),AND($X447&lt;&gt;"",LOWER(TRIM($X447))&lt;&gt;"n/a",LOWER(TRIM($X447))&lt;&gt;"na",SUMPRODUCT(--(UPPER(TRIM($X$2:$X$518))=UPPER(TRIM($X447))),--(TRIM($X$2:$X$518)&lt;&gt;""),--(LOWER(TRIM($X$2:$X$518))&lt;&gt;"n/a"),--(LOWER(TRIM($X$2:$X$518))&lt;&gt;"na"))&gt;1),AND($Y447&lt;&gt;"",LOWER(TRIM($Y447))&lt;&gt;"n/a",LOWER(TRIM($Y447))&lt;&gt;"na",SUMPRODUCT(--(UPPER(SUBSTITUTE(SUBSTITUTE(TRIM($Y$2:$Y$518),":",""),"-",""))=UPPER(SUBSTITUTE(SUBSTITUTE(TRIM($Y447),":",""),"-",""))),--(TRIM($Y$2:$Y$518)&lt;&gt;""),--(LOWER(TRIM($Y$2:$Y$518))&lt;&gt;"n/a"),--(LOWER(TRIM($Y$2:$Y$518))&lt;&gt;"na"))&gt;1),AND($AB447&lt;&gt;"",LOWER(TRIM($AB447))&lt;&gt;"n/a",LOWER(TRIM($AB447))&lt;&gt;"na",SUMPRODUCT(--(UPPER(TRIM($AB$2:$AB$518))=UPPER(TRIM($AB447))),--(TRIM($AB$2:$AB$518)&lt;&gt;""),--(LOWER(TRIM($AB$2:$AB$518))&lt;&gt;"n/a"),--(LOWER(TRIM($AB$2:$AB$518))&lt;&gt;"na"))&gt;1),AND($AH447&lt;&gt;"",LOWER(TRIM($AH447))&lt;&gt;"n/a",LOWER(TRIM($AH447))&lt;&gt;"na",SUMPRODUCT(--(UPPER(SUBSTITUTE(SUBSTITUTE(TRIM($AH$2:$AH$518),":",""),"-",""))=UPPER(SUBSTITUTE(SUBSTITUTE(TRIM($AH447),":",""),"-",""))),--(TRIM($AH$2:$AH$518)&lt;&gt;""),--(LOWER(TRIM($AH$2:$AH$518))&lt;&gt;"n/a"),--(LOWER(TRIM($AH$2:$AH$518))&lt;&gt;"na"))&gt;1),AND($AP447&lt;&gt;"",LOWER(TRIM($AP447))&lt;&gt;"n/a",LOWER(TRIM($AP447))&lt;&gt;"na",SUMPRODUCT(--(UPPER(TRIM($AP$2:$AP$518))=UPPER(TRIM($AP447))),--(TRIM($AP$2:$AP$518)&lt;&gt;""),--(LOWER(TRIM($AP$2:$AP$518))&lt;&gt;"n/a"),--(LOWER(TRIM($AP$2:$AP$518))&lt;&gt;"na"))&gt;1),AND($AQ447&lt;&gt;"",LOWER(TRIM($AQ447))&lt;&gt;"n/a",LOWER(TRIM($AQ447))&lt;&gt;"na",SUMPRODUCT(--(UPPER(TRIM($AQ$2:$AQ$518))=UPPER(TRIM($AQ447))),--(TRIM($AQ$2:$AQ$518)&lt;&gt;""),--(LOWER(TRIM($AQ$2:$AQ$518))&lt;&gt;"n/a"),--(LOWER(TRIM($AQ$2:$AQ$518))&lt;&gt;"na"))&gt;1)),"Yes","No"))</f>
        <v/>
      </c>
      <c r="F447">
        <f>IF(UPPER(TRIM($B447))&lt;&gt;"YES","", IF(OR(AND($V447&lt;&gt;"", LOWER(TRIM($V447))&lt;&gt;"n/a", LOWER(TRIM($V447))&lt;&gt;"na", SUMPRODUCT(--(UPPER(TRIM($V$2:$V$518))=UPPER(TRIM($V447))), --(UPPER(TRIM($B$2:$B$518))="YES"), --(UPPER(TRIM($G$2:$G$518)&amp;TRIM($I$2:$I$518)&amp;TRIM($J$2:$J$518))&lt;&gt;UPPER(TRIM($G447)&amp;TRIM($I447)&amp;TRIM($J447))))&gt;0), AND($W447&lt;&gt;"", LOWER(TRIM($W447))&lt;&gt;"n/a", LOWER(TRIM($W447))&lt;&gt;"na", SUMPRODUCT(--(UPPER(TRIM($W$2:$W$518))=UPPER(TRIM($W447))), --(UPPER(TRIM($B$2:$B$518))="YES"), --(UPPER(TRIM($G$2:$G$518)&amp;TRIM($I$2:$I$518)&amp;TRIM($J$2:$J$518))&lt;&gt;UPPER(TRIM($G447)&amp;TRIM($I447)&amp;TRIM($J447))))&gt;0), AND($X447&lt;&gt;"", LOWER(TRIM($X447))&lt;&gt;"n/a", LOWER(TRIM($X447))&lt;&gt;"na", SUMPRODUCT(--(UPPER(TRIM($X$2:$X$518))=UPPER(TRIM($X447))), --(UPPER(TRIM($B$2:$B$518))="YES"), --(UPPER(TRIM($G$2:$G$518)&amp;TRIM($I$2:$I$518)&amp;TRIM($J$2:$J$518))&lt;&gt;UPPER(TRIM($G447)&amp;TRIM($I447)&amp;TRIM($J447))))&gt;0), AND($Y447&lt;&gt;"", LOWER(TRIM($Y447))&lt;&gt;"n/a", LOWER(TRIM($Y447))&lt;&gt;"na", SUMPRODUCT(--(UPPER(SUBSTITUTE(SUBSTITUTE(TRIM($Y$2:$Y$518),":",""),"-",""))=UPPER(SUBSTITUTE(SUBSTITUTE(TRIM($Y447),":",""),"-",""))), --(UPPER(TRIM($B$2:$B$518))="YES"), --(UPPER(TRIM($G$2:$G$518)&amp;TRIM($I$2:$I$518)&amp;TRIM($J$2:$J$518))&lt;&gt;UPPER(TRIM($G447)&amp;TRIM($I447)&amp;TRIM($J447))))&gt;0), AND($AB447&lt;&gt;"", LOWER(TRIM($AB447))&lt;&gt;"n/a", LOWER(TRIM($AB447))&lt;&gt;"na", SUMPRODUCT(--(UPPER(TRIM($AB$2:$AB$518))=UPPER(TRIM($AB447))), --(UPPER(TRIM($B$2:$B$518))="YES"), --(UPPER(TRIM($G$2:$G$518)&amp;TRIM($I$2:$I$518)&amp;TRIM($J$2:$J$518))&lt;&gt;UPPER(TRIM($G447)&amp;TRIM($I447)&amp;TRIM($J447))))&gt;0), AND($AH447&lt;&gt;"", LOWER(TRIM($AH447))&lt;&gt;"n/a", LOWER(TRIM($AH447))&lt;&gt;"na", SUMPRODUCT(--(UPPER(SUBSTITUTE(SUBSTITUTE(TRIM($AH$2:$AH$518),":",""),"-",""))=UPPER(SUBSTITUTE(SUBSTITUTE(TRIM($AH447),":",""),"-",""))), --(UPPER(TRIM($B$2:$B$518))="YES"), --(UPPER(TRIM($G$2:$G$518)&amp;TRIM($I$2:$I$518)&amp;TRIM($J$2:$J$518))&lt;&gt;UPPER(TRIM($G447)&amp;TRIM($I447)&amp;TRIM($J447))))&gt;0), AND($AP447&lt;&gt;"", LOWER(TRIM($AP447))&lt;&gt;"n/a", LOWER(TRIM($AP447))&lt;&gt;"na", SUMPRODUCT(--(UPPER(TRIM($AP$2:$AP$518))=UPPER(TRIM($AP447))), --(UPPER(TRIM($B$2:$B$518))="YES"), --(UPPER(TRIM($G$2:$G$518)&amp;TRIM($I$2:$I$518)&amp;TRIM($J$2:$J$518))&lt;&gt;UPPER(TRIM($G447)&amp;TRIM($I447)&amp;TRIM($J447))))&gt;0), AND($AQ447&lt;&gt;"", LOWER(TRIM($AQ447))&lt;&gt;"n/a", LOWER(TRIM($AQ447))&lt;&gt;"na", SUMPRODUCT(--(UPPER(TRIM($AQ$2:$AQ$518))=UPPER(TRIM($AQ447))), --(UPPER(TRIM($B$2:$B$518))="YES"), --(UPPER(TRIM($G$2:$G$518)&amp;TRIM($I$2:$I$518)&amp;TRIM($J$2:$J$518))&lt;&gt;UPPER(TRIM($G447)&amp;TRIM($I447)&amp;TRIM($J447))))&gt;0)), "Yes", "No"))</f>
        <v/>
      </c>
      <c r="CD447">
        <f>IF($Y447="","",IF((IF(AND($BR447&lt;&gt;"Yes",$BR447&lt;&gt;"N/A"),"Power Cable, ","")&amp;IF(AND($BS447&lt;&gt;"Yes",$BS447&lt;&gt;"N/A"),"Battery, ","")&amp;IF(AND($AD447&lt;&gt;"Yes",$AD447&lt;&gt;"N/A"),"Firmware Download, ","")&amp;IF(AND(OR($AD447="Yes",$AD447="N/A"),$AE447&lt;&gt;"Yes",$AE447&lt;&gt;"N/A"),"Firmware Install, ","")&amp;IF(AND($CB447&lt;&gt;"Yes",$CB447&lt;&gt;"N/A"),"Device ID, ","")&amp;IF(AND($CC447&lt;&gt;"Yes",$CC447&lt;&gt;"N/A"),"Epic Beans Relay, ",""))="","",LEFT(IF(AND($BR447&lt;&gt;"Yes",$BR447&lt;&gt;"N/A"),"Power Cable, ","")&amp;IF(AND($BS447&lt;&gt;"Yes",$BS447&lt;&gt;"N/A"),"Battery, ","")&amp;IF(AND($AD447&lt;&gt;"Yes",$AD447&lt;&gt;"N/A"),"Firmware Download, ","")&amp;IF(AND(OR($AD447="Yes",$AD447="N/A"),$AE447&lt;&gt;"Yes",$AE447&lt;&gt;"N/A"),"Firmware Install, ","")&amp;IF(AND($CB447&lt;&gt;"Yes",$CB447&lt;&gt;"N/A"),"Device ID, ","")&amp;IF(AND($CC447&lt;&gt;"Yes",$CC447&lt;&gt;"N/A"),"Epic Beans Relay, ",""),LEN(IF(AND($BR447&lt;&gt;"Yes",$BR447&lt;&gt;"N/A"),"Power Cable, ","")&amp;IF(AND($BS447&lt;&gt;"Yes",$BS447&lt;&gt;"N/A"),"Battery, ","")&amp;IF(AND($AD447&lt;&gt;"Yes",$AD447&lt;&gt;"N/A"),"Firmware Download, ","")&amp;IF(AND(OR($AD447="Yes",$AD447="N/A"),$AE447&lt;&gt;"Yes",$AE447&lt;&gt;"N/A"),"Firmware Install, ","")&amp;IF(AND($CB447&lt;&gt;"Yes",$CB447&lt;&gt;"N/A"),"Device ID, ","")&amp;IF(AND($CC447&lt;&gt;"Yes",$CC447&lt;&gt;"N/A"),"Epic Beans Relay, ",""))-2)))</f>
        <v/>
      </c>
      <c r="CE447">
        <f>IF($Y447="","",IF($CD447="","Yes","Blocked"))</f>
        <v/>
      </c>
      <c r="CP447">
        <f>IF($CO447="","",IFERROR(VLOOKUP($CO447,'01_Warehouse_Ledger'!$A:$N,4,FALSE),""))</f>
        <v/>
      </c>
      <c r="CQ447">
        <f>IF($CO447="","",IFERROR(VLOOKUP($CO447,'01_Warehouse_Ledger'!$A:$N,5,FALSE),""))</f>
        <v/>
      </c>
      <c r="CR447">
        <f>IF($CO447="","",IFERROR(VLOOKUP($CO447,'01_Warehouse_Ledger'!$A:$N,13,FALSE),""))</f>
        <v/>
      </c>
      <c r="CW447">
        <f>IF($S447="","",IF(UPPER(TRIM($S447))&lt;&gt;"PASS","",IF(LEN(TRIM($BY447))&gt;0,"NOTES_PRESENT",IF(LEN(TRIM($T447))=0,"SET_NA",IF(OR(LOWER(TRIM($T447))="na",LOWER(TRIM($T447))="n/a"),"OK","MANUAL_OVERRIDE")))))</f>
        <v/>
      </c>
    </row>
    <row r="448">
      <c r="B448" t="inlineStr">
        <is>
          <t>No</t>
        </is>
      </c>
      <c r="C448" t="inlineStr">
        <is>
          <t>No</t>
        </is>
      </c>
      <c r="D448">
        <f>IF($B448&lt;&gt;"Yes","",IF($C448="No","Yes",IF($C448="Yes","No","")))</f>
        <v/>
      </c>
      <c r="E448">
        <f>IF($A448="","",IF(OR(AND($V448&lt;&gt;"",LOWER(TRIM($V448))&lt;&gt;"n/a",LOWER(TRIM($V448))&lt;&gt;"na",SUMPRODUCT(--(UPPER(TRIM($V$2:$V$518))=UPPER(TRIM($V448))),--(TRIM($V$2:$V$518)&lt;&gt;""),--(LOWER(TRIM($V$2:$V$518))&lt;&gt;"n/a"),--(LOWER(TRIM($V$2:$V$518))&lt;&gt;"na"))&gt;1),AND($W448&lt;&gt;"",LOWER(TRIM($W448))&lt;&gt;"n/a",LOWER(TRIM($W448))&lt;&gt;"na",SUMPRODUCT(--(UPPER(TRIM($W$2:$W$518))=UPPER(TRIM($W448))),--(TRIM($W$2:$W$518)&lt;&gt;""),--(LOWER(TRIM($W$2:$W$518))&lt;&gt;"n/a"),--(LOWER(TRIM($W$2:$W$518))&lt;&gt;"na"))&gt;1),AND($X448&lt;&gt;"",LOWER(TRIM($X448))&lt;&gt;"n/a",LOWER(TRIM($X448))&lt;&gt;"na",SUMPRODUCT(--(UPPER(TRIM($X$2:$X$518))=UPPER(TRIM($X448))),--(TRIM($X$2:$X$518)&lt;&gt;""),--(LOWER(TRIM($X$2:$X$518))&lt;&gt;"n/a"),--(LOWER(TRIM($X$2:$X$518))&lt;&gt;"na"))&gt;1),AND($Y448&lt;&gt;"",LOWER(TRIM($Y448))&lt;&gt;"n/a",LOWER(TRIM($Y448))&lt;&gt;"na",SUMPRODUCT(--(UPPER(SUBSTITUTE(SUBSTITUTE(TRIM($Y$2:$Y$518),":",""),"-",""))=UPPER(SUBSTITUTE(SUBSTITUTE(TRIM($Y448),":",""),"-",""))),--(TRIM($Y$2:$Y$518)&lt;&gt;""),--(LOWER(TRIM($Y$2:$Y$518))&lt;&gt;"n/a"),--(LOWER(TRIM($Y$2:$Y$518))&lt;&gt;"na"))&gt;1),AND($AB448&lt;&gt;"",LOWER(TRIM($AB448))&lt;&gt;"n/a",LOWER(TRIM($AB448))&lt;&gt;"na",SUMPRODUCT(--(UPPER(TRIM($AB$2:$AB$518))=UPPER(TRIM($AB448))),--(TRIM($AB$2:$AB$518)&lt;&gt;""),--(LOWER(TRIM($AB$2:$AB$518))&lt;&gt;"n/a"),--(LOWER(TRIM($AB$2:$AB$518))&lt;&gt;"na"))&gt;1),AND($AH448&lt;&gt;"",LOWER(TRIM($AH448))&lt;&gt;"n/a",LOWER(TRIM($AH448))&lt;&gt;"na",SUMPRODUCT(--(UPPER(SUBSTITUTE(SUBSTITUTE(TRIM($AH$2:$AH$518),":",""),"-",""))=UPPER(SUBSTITUTE(SUBSTITUTE(TRIM($AH448),":",""),"-",""))),--(TRIM($AH$2:$AH$518)&lt;&gt;""),--(LOWER(TRIM($AH$2:$AH$518))&lt;&gt;"n/a"),--(LOWER(TRIM($AH$2:$AH$518))&lt;&gt;"na"))&gt;1),AND($AP448&lt;&gt;"",LOWER(TRIM($AP448))&lt;&gt;"n/a",LOWER(TRIM($AP448))&lt;&gt;"na",SUMPRODUCT(--(UPPER(TRIM($AP$2:$AP$518))=UPPER(TRIM($AP448))),--(TRIM($AP$2:$AP$518)&lt;&gt;""),--(LOWER(TRIM($AP$2:$AP$518))&lt;&gt;"n/a"),--(LOWER(TRIM($AP$2:$AP$518))&lt;&gt;"na"))&gt;1),AND($AQ448&lt;&gt;"",LOWER(TRIM($AQ448))&lt;&gt;"n/a",LOWER(TRIM($AQ448))&lt;&gt;"na",SUMPRODUCT(--(UPPER(TRIM($AQ$2:$AQ$518))=UPPER(TRIM($AQ448))),--(TRIM($AQ$2:$AQ$518)&lt;&gt;""),--(LOWER(TRIM($AQ$2:$AQ$518))&lt;&gt;"n/a"),--(LOWER(TRIM($AQ$2:$AQ$518))&lt;&gt;"na"))&gt;1)),"Yes","No"))</f>
        <v/>
      </c>
      <c r="F448">
        <f>IF(UPPER(TRIM($B448))&lt;&gt;"YES","", IF(OR(AND($V448&lt;&gt;"", LOWER(TRIM($V448))&lt;&gt;"n/a", LOWER(TRIM($V448))&lt;&gt;"na", SUMPRODUCT(--(UPPER(TRIM($V$2:$V$518))=UPPER(TRIM($V448))), --(UPPER(TRIM($B$2:$B$518))="YES"), --(UPPER(TRIM($G$2:$G$518)&amp;TRIM($I$2:$I$518)&amp;TRIM($J$2:$J$518))&lt;&gt;UPPER(TRIM($G448)&amp;TRIM($I448)&amp;TRIM($J448))))&gt;0), AND($W448&lt;&gt;"", LOWER(TRIM($W448))&lt;&gt;"n/a", LOWER(TRIM($W448))&lt;&gt;"na", SUMPRODUCT(--(UPPER(TRIM($W$2:$W$518))=UPPER(TRIM($W448))), --(UPPER(TRIM($B$2:$B$518))="YES"), --(UPPER(TRIM($G$2:$G$518)&amp;TRIM($I$2:$I$518)&amp;TRIM($J$2:$J$518))&lt;&gt;UPPER(TRIM($G448)&amp;TRIM($I448)&amp;TRIM($J448))))&gt;0), AND($X448&lt;&gt;"", LOWER(TRIM($X448))&lt;&gt;"n/a", LOWER(TRIM($X448))&lt;&gt;"na", SUMPRODUCT(--(UPPER(TRIM($X$2:$X$518))=UPPER(TRIM($X448))), --(UPPER(TRIM($B$2:$B$518))="YES"), --(UPPER(TRIM($G$2:$G$518)&amp;TRIM($I$2:$I$518)&amp;TRIM($J$2:$J$518))&lt;&gt;UPPER(TRIM($G448)&amp;TRIM($I448)&amp;TRIM($J448))))&gt;0), AND($Y448&lt;&gt;"", LOWER(TRIM($Y448))&lt;&gt;"n/a", LOWER(TRIM($Y448))&lt;&gt;"na", SUMPRODUCT(--(UPPER(SUBSTITUTE(SUBSTITUTE(TRIM($Y$2:$Y$518),":",""),"-",""))=UPPER(SUBSTITUTE(SUBSTITUTE(TRIM($Y448),":",""),"-",""))), --(UPPER(TRIM($B$2:$B$518))="YES"), --(UPPER(TRIM($G$2:$G$518)&amp;TRIM($I$2:$I$518)&amp;TRIM($J$2:$J$518))&lt;&gt;UPPER(TRIM($G448)&amp;TRIM($I448)&amp;TRIM($J448))))&gt;0), AND($AB448&lt;&gt;"", LOWER(TRIM($AB448))&lt;&gt;"n/a", LOWER(TRIM($AB448))&lt;&gt;"na", SUMPRODUCT(--(UPPER(TRIM($AB$2:$AB$518))=UPPER(TRIM($AB448))), --(UPPER(TRIM($B$2:$B$518))="YES"), --(UPPER(TRIM($G$2:$G$518)&amp;TRIM($I$2:$I$518)&amp;TRIM($J$2:$J$518))&lt;&gt;UPPER(TRIM($G448)&amp;TRIM($I448)&amp;TRIM($J448))))&gt;0), AND($AH448&lt;&gt;"", LOWER(TRIM($AH448))&lt;&gt;"n/a", LOWER(TRIM($AH448))&lt;&gt;"na", SUMPRODUCT(--(UPPER(SUBSTITUTE(SUBSTITUTE(TRIM($AH$2:$AH$518),":",""),"-",""))=UPPER(SUBSTITUTE(SUBSTITUTE(TRIM($AH448),":",""),"-",""))), --(UPPER(TRIM($B$2:$B$518))="YES"), --(UPPER(TRIM($G$2:$G$518)&amp;TRIM($I$2:$I$518)&amp;TRIM($J$2:$J$518))&lt;&gt;UPPER(TRIM($G448)&amp;TRIM($I448)&amp;TRIM($J448))))&gt;0), AND($AP448&lt;&gt;"", LOWER(TRIM($AP448))&lt;&gt;"n/a", LOWER(TRIM($AP448))&lt;&gt;"na", SUMPRODUCT(--(UPPER(TRIM($AP$2:$AP$518))=UPPER(TRIM($AP448))), --(UPPER(TRIM($B$2:$B$518))="YES"), --(UPPER(TRIM($G$2:$G$518)&amp;TRIM($I$2:$I$518)&amp;TRIM($J$2:$J$518))&lt;&gt;UPPER(TRIM($G448)&amp;TRIM($I448)&amp;TRIM($J448))))&gt;0), AND($AQ448&lt;&gt;"", LOWER(TRIM($AQ448))&lt;&gt;"n/a", LOWER(TRIM($AQ448))&lt;&gt;"na", SUMPRODUCT(--(UPPER(TRIM($AQ$2:$AQ$518))=UPPER(TRIM($AQ448))), --(UPPER(TRIM($B$2:$B$518))="YES"), --(UPPER(TRIM($G$2:$G$518)&amp;TRIM($I$2:$I$518)&amp;TRIM($J$2:$J$518))&lt;&gt;UPPER(TRIM($G448)&amp;TRIM($I448)&amp;TRIM($J448))))&gt;0)), "Yes", "No"))</f>
        <v/>
      </c>
      <c r="CD448">
        <f>IF($Y448="","",IF((IF(AND($BR448&lt;&gt;"Yes",$BR448&lt;&gt;"N/A"),"Power Cable, ","")&amp;IF(AND($BS448&lt;&gt;"Yes",$BS448&lt;&gt;"N/A"),"Battery, ","")&amp;IF(AND($AD448&lt;&gt;"Yes",$AD448&lt;&gt;"N/A"),"Firmware Download, ","")&amp;IF(AND(OR($AD448="Yes",$AD448="N/A"),$AE448&lt;&gt;"Yes",$AE448&lt;&gt;"N/A"),"Firmware Install, ","")&amp;IF(AND($CB448&lt;&gt;"Yes",$CB448&lt;&gt;"N/A"),"Device ID, ","")&amp;IF(AND($CC448&lt;&gt;"Yes",$CC448&lt;&gt;"N/A"),"Epic Beans Relay, ",""))="","",LEFT(IF(AND($BR448&lt;&gt;"Yes",$BR448&lt;&gt;"N/A"),"Power Cable, ","")&amp;IF(AND($BS448&lt;&gt;"Yes",$BS448&lt;&gt;"N/A"),"Battery, ","")&amp;IF(AND($AD448&lt;&gt;"Yes",$AD448&lt;&gt;"N/A"),"Firmware Download, ","")&amp;IF(AND(OR($AD448="Yes",$AD448="N/A"),$AE448&lt;&gt;"Yes",$AE448&lt;&gt;"N/A"),"Firmware Install, ","")&amp;IF(AND($CB448&lt;&gt;"Yes",$CB448&lt;&gt;"N/A"),"Device ID, ","")&amp;IF(AND($CC448&lt;&gt;"Yes",$CC448&lt;&gt;"N/A"),"Epic Beans Relay, ",""),LEN(IF(AND($BR448&lt;&gt;"Yes",$BR448&lt;&gt;"N/A"),"Power Cable, ","")&amp;IF(AND($BS448&lt;&gt;"Yes",$BS448&lt;&gt;"N/A"),"Battery, ","")&amp;IF(AND($AD448&lt;&gt;"Yes",$AD448&lt;&gt;"N/A"),"Firmware Download, ","")&amp;IF(AND(OR($AD448="Yes",$AD448="N/A"),$AE448&lt;&gt;"Yes",$AE448&lt;&gt;"N/A"),"Firmware Install, ","")&amp;IF(AND($CB448&lt;&gt;"Yes",$CB448&lt;&gt;"N/A"),"Device ID, ","")&amp;IF(AND($CC448&lt;&gt;"Yes",$CC448&lt;&gt;"N/A"),"Epic Beans Relay, ",""))-2)))</f>
        <v/>
      </c>
      <c r="CE448">
        <f>IF($Y448="","",IF($CD448="","Yes","Blocked"))</f>
        <v/>
      </c>
      <c r="CP448">
        <f>IF($CO448="","",IFERROR(VLOOKUP($CO448,'01_Warehouse_Ledger'!$A:$N,4,FALSE),""))</f>
        <v/>
      </c>
      <c r="CQ448">
        <f>IF($CO448="","",IFERROR(VLOOKUP($CO448,'01_Warehouse_Ledger'!$A:$N,5,FALSE),""))</f>
        <v/>
      </c>
      <c r="CR448">
        <f>IF($CO448="","",IFERROR(VLOOKUP($CO448,'01_Warehouse_Ledger'!$A:$N,13,FALSE),""))</f>
        <v/>
      </c>
      <c r="CW448">
        <f>IF($S448="","",IF(UPPER(TRIM($S448))&lt;&gt;"PASS","",IF(LEN(TRIM($BY448))&gt;0,"NOTES_PRESENT",IF(LEN(TRIM($T448))=0,"SET_NA",IF(OR(LOWER(TRIM($T448))="na",LOWER(TRIM($T448))="n/a"),"OK","MANUAL_OVERRIDE")))))</f>
        <v/>
      </c>
    </row>
    <row r="449">
      <c r="B449" t="inlineStr">
        <is>
          <t>No</t>
        </is>
      </c>
      <c r="C449" t="inlineStr">
        <is>
          <t>No</t>
        </is>
      </c>
      <c r="D449">
        <f>IF($B449&lt;&gt;"Yes","",IF($C449="No","Yes",IF($C449="Yes","No","")))</f>
        <v/>
      </c>
      <c r="E449">
        <f>IF($A449="","",IF(OR(AND($V449&lt;&gt;"",LOWER(TRIM($V449))&lt;&gt;"n/a",LOWER(TRIM($V449))&lt;&gt;"na",SUMPRODUCT(--(UPPER(TRIM($V$2:$V$518))=UPPER(TRIM($V449))),--(TRIM($V$2:$V$518)&lt;&gt;""),--(LOWER(TRIM($V$2:$V$518))&lt;&gt;"n/a"),--(LOWER(TRIM($V$2:$V$518))&lt;&gt;"na"))&gt;1),AND($W449&lt;&gt;"",LOWER(TRIM($W449))&lt;&gt;"n/a",LOWER(TRIM($W449))&lt;&gt;"na",SUMPRODUCT(--(UPPER(TRIM($W$2:$W$518))=UPPER(TRIM($W449))),--(TRIM($W$2:$W$518)&lt;&gt;""),--(LOWER(TRIM($W$2:$W$518))&lt;&gt;"n/a"),--(LOWER(TRIM($W$2:$W$518))&lt;&gt;"na"))&gt;1),AND($X449&lt;&gt;"",LOWER(TRIM($X449))&lt;&gt;"n/a",LOWER(TRIM($X449))&lt;&gt;"na",SUMPRODUCT(--(UPPER(TRIM($X$2:$X$518))=UPPER(TRIM($X449))),--(TRIM($X$2:$X$518)&lt;&gt;""),--(LOWER(TRIM($X$2:$X$518))&lt;&gt;"n/a"),--(LOWER(TRIM($X$2:$X$518))&lt;&gt;"na"))&gt;1),AND($Y449&lt;&gt;"",LOWER(TRIM($Y449))&lt;&gt;"n/a",LOWER(TRIM($Y449))&lt;&gt;"na",SUMPRODUCT(--(UPPER(SUBSTITUTE(SUBSTITUTE(TRIM($Y$2:$Y$518),":",""),"-",""))=UPPER(SUBSTITUTE(SUBSTITUTE(TRIM($Y449),":",""),"-",""))),--(TRIM($Y$2:$Y$518)&lt;&gt;""),--(LOWER(TRIM($Y$2:$Y$518))&lt;&gt;"n/a"),--(LOWER(TRIM($Y$2:$Y$518))&lt;&gt;"na"))&gt;1),AND($AB449&lt;&gt;"",LOWER(TRIM($AB449))&lt;&gt;"n/a",LOWER(TRIM($AB449))&lt;&gt;"na",SUMPRODUCT(--(UPPER(TRIM($AB$2:$AB$518))=UPPER(TRIM($AB449))),--(TRIM($AB$2:$AB$518)&lt;&gt;""),--(LOWER(TRIM($AB$2:$AB$518))&lt;&gt;"n/a"),--(LOWER(TRIM($AB$2:$AB$518))&lt;&gt;"na"))&gt;1),AND($AH449&lt;&gt;"",LOWER(TRIM($AH449))&lt;&gt;"n/a",LOWER(TRIM($AH449))&lt;&gt;"na",SUMPRODUCT(--(UPPER(SUBSTITUTE(SUBSTITUTE(TRIM($AH$2:$AH$518),":",""),"-",""))=UPPER(SUBSTITUTE(SUBSTITUTE(TRIM($AH449),":",""),"-",""))),--(TRIM($AH$2:$AH$518)&lt;&gt;""),--(LOWER(TRIM($AH$2:$AH$518))&lt;&gt;"n/a"),--(LOWER(TRIM($AH$2:$AH$518))&lt;&gt;"na"))&gt;1),AND($AP449&lt;&gt;"",LOWER(TRIM($AP449))&lt;&gt;"n/a",LOWER(TRIM($AP449))&lt;&gt;"na",SUMPRODUCT(--(UPPER(TRIM($AP$2:$AP$518))=UPPER(TRIM($AP449))),--(TRIM($AP$2:$AP$518)&lt;&gt;""),--(LOWER(TRIM($AP$2:$AP$518))&lt;&gt;"n/a"),--(LOWER(TRIM($AP$2:$AP$518))&lt;&gt;"na"))&gt;1),AND($AQ449&lt;&gt;"",LOWER(TRIM($AQ449))&lt;&gt;"n/a",LOWER(TRIM($AQ449))&lt;&gt;"na",SUMPRODUCT(--(UPPER(TRIM($AQ$2:$AQ$518))=UPPER(TRIM($AQ449))),--(TRIM($AQ$2:$AQ$518)&lt;&gt;""),--(LOWER(TRIM($AQ$2:$AQ$518))&lt;&gt;"n/a"),--(LOWER(TRIM($AQ$2:$AQ$518))&lt;&gt;"na"))&gt;1)),"Yes","No"))</f>
        <v/>
      </c>
      <c r="F449">
        <f>IF(UPPER(TRIM($B449))&lt;&gt;"YES","", IF(OR(AND($V449&lt;&gt;"", LOWER(TRIM($V449))&lt;&gt;"n/a", LOWER(TRIM($V449))&lt;&gt;"na", SUMPRODUCT(--(UPPER(TRIM($V$2:$V$518))=UPPER(TRIM($V449))), --(UPPER(TRIM($B$2:$B$518))="YES"), --(UPPER(TRIM($G$2:$G$518)&amp;TRIM($I$2:$I$518)&amp;TRIM($J$2:$J$518))&lt;&gt;UPPER(TRIM($G449)&amp;TRIM($I449)&amp;TRIM($J449))))&gt;0), AND($W449&lt;&gt;"", LOWER(TRIM($W449))&lt;&gt;"n/a", LOWER(TRIM($W449))&lt;&gt;"na", SUMPRODUCT(--(UPPER(TRIM($W$2:$W$518))=UPPER(TRIM($W449))), --(UPPER(TRIM($B$2:$B$518))="YES"), --(UPPER(TRIM($G$2:$G$518)&amp;TRIM($I$2:$I$518)&amp;TRIM($J$2:$J$518))&lt;&gt;UPPER(TRIM($G449)&amp;TRIM($I449)&amp;TRIM($J449))))&gt;0), AND($X449&lt;&gt;"", LOWER(TRIM($X449))&lt;&gt;"n/a", LOWER(TRIM($X449))&lt;&gt;"na", SUMPRODUCT(--(UPPER(TRIM($X$2:$X$518))=UPPER(TRIM($X449))), --(UPPER(TRIM($B$2:$B$518))="YES"), --(UPPER(TRIM($G$2:$G$518)&amp;TRIM($I$2:$I$518)&amp;TRIM($J$2:$J$518))&lt;&gt;UPPER(TRIM($G449)&amp;TRIM($I449)&amp;TRIM($J449))))&gt;0), AND($Y449&lt;&gt;"", LOWER(TRIM($Y449))&lt;&gt;"n/a", LOWER(TRIM($Y449))&lt;&gt;"na", SUMPRODUCT(--(UPPER(SUBSTITUTE(SUBSTITUTE(TRIM($Y$2:$Y$518),":",""),"-",""))=UPPER(SUBSTITUTE(SUBSTITUTE(TRIM($Y449),":",""),"-",""))), --(UPPER(TRIM($B$2:$B$518))="YES"), --(UPPER(TRIM($G$2:$G$518)&amp;TRIM($I$2:$I$518)&amp;TRIM($J$2:$J$518))&lt;&gt;UPPER(TRIM($G449)&amp;TRIM($I449)&amp;TRIM($J449))))&gt;0), AND($AB449&lt;&gt;"", LOWER(TRIM($AB449))&lt;&gt;"n/a", LOWER(TRIM($AB449))&lt;&gt;"na", SUMPRODUCT(--(UPPER(TRIM($AB$2:$AB$518))=UPPER(TRIM($AB449))), --(UPPER(TRIM($B$2:$B$518))="YES"), --(UPPER(TRIM($G$2:$G$518)&amp;TRIM($I$2:$I$518)&amp;TRIM($J$2:$J$518))&lt;&gt;UPPER(TRIM($G449)&amp;TRIM($I449)&amp;TRIM($J449))))&gt;0), AND($AH449&lt;&gt;"", LOWER(TRIM($AH449))&lt;&gt;"n/a", LOWER(TRIM($AH449))&lt;&gt;"na", SUMPRODUCT(--(UPPER(SUBSTITUTE(SUBSTITUTE(TRIM($AH$2:$AH$518),":",""),"-",""))=UPPER(SUBSTITUTE(SUBSTITUTE(TRIM($AH449),":",""),"-",""))), --(UPPER(TRIM($B$2:$B$518))="YES"), --(UPPER(TRIM($G$2:$G$518)&amp;TRIM($I$2:$I$518)&amp;TRIM($J$2:$J$518))&lt;&gt;UPPER(TRIM($G449)&amp;TRIM($I449)&amp;TRIM($J449))))&gt;0), AND($AP449&lt;&gt;"", LOWER(TRIM($AP449))&lt;&gt;"n/a", LOWER(TRIM($AP449))&lt;&gt;"na", SUMPRODUCT(--(UPPER(TRIM($AP$2:$AP$518))=UPPER(TRIM($AP449))), --(UPPER(TRIM($B$2:$B$518))="YES"), --(UPPER(TRIM($G$2:$G$518)&amp;TRIM($I$2:$I$518)&amp;TRIM($J$2:$J$518))&lt;&gt;UPPER(TRIM($G449)&amp;TRIM($I449)&amp;TRIM($J449))))&gt;0), AND($AQ449&lt;&gt;"", LOWER(TRIM($AQ449))&lt;&gt;"n/a", LOWER(TRIM($AQ449))&lt;&gt;"na", SUMPRODUCT(--(UPPER(TRIM($AQ$2:$AQ$518))=UPPER(TRIM($AQ449))), --(UPPER(TRIM($B$2:$B$518))="YES"), --(UPPER(TRIM($G$2:$G$518)&amp;TRIM($I$2:$I$518)&amp;TRIM($J$2:$J$518))&lt;&gt;UPPER(TRIM($G449)&amp;TRIM($I449)&amp;TRIM($J449))))&gt;0)), "Yes", "No"))</f>
        <v/>
      </c>
      <c r="CD449">
        <f>IF($Y449="","",IF((IF(AND($BR449&lt;&gt;"Yes",$BR449&lt;&gt;"N/A"),"Power Cable, ","")&amp;IF(AND($BS449&lt;&gt;"Yes",$BS449&lt;&gt;"N/A"),"Battery, ","")&amp;IF(AND($AD449&lt;&gt;"Yes",$AD449&lt;&gt;"N/A"),"Firmware Download, ","")&amp;IF(AND(OR($AD449="Yes",$AD449="N/A"),$AE449&lt;&gt;"Yes",$AE449&lt;&gt;"N/A"),"Firmware Install, ","")&amp;IF(AND($CB449&lt;&gt;"Yes",$CB449&lt;&gt;"N/A"),"Device ID, ","")&amp;IF(AND($CC449&lt;&gt;"Yes",$CC449&lt;&gt;"N/A"),"Epic Beans Relay, ",""))="","",LEFT(IF(AND($BR449&lt;&gt;"Yes",$BR449&lt;&gt;"N/A"),"Power Cable, ","")&amp;IF(AND($BS449&lt;&gt;"Yes",$BS449&lt;&gt;"N/A"),"Battery, ","")&amp;IF(AND($AD449&lt;&gt;"Yes",$AD449&lt;&gt;"N/A"),"Firmware Download, ","")&amp;IF(AND(OR($AD449="Yes",$AD449="N/A"),$AE449&lt;&gt;"Yes",$AE449&lt;&gt;"N/A"),"Firmware Install, ","")&amp;IF(AND($CB449&lt;&gt;"Yes",$CB449&lt;&gt;"N/A"),"Device ID, ","")&amp;IF(AND($CC449&lt;&gt;"Yes",$CC449&lt;&gt;"N/A"),"Epic Beans Relay, ",""),LEN(IF(AND($BR449&lt;&gt;"Yes",$BR449&lt;&gt;"N/A"),"Power Cable, ","")&amp;IF(AND($BS449&lt;&gt;"Yes",$BS449&lt;&gt;"N/A"),"Battery, ","")&amp;IF(AND($AD449&lt;&gt;"Yes",$AD449&lt;&gt;"N/A"),"Firmware Download, ","")&amp;IF(AND(OR($AD449="Yes",$AD449="N/A"),$AE449&lt;&gt;"Yes",$AE449&lt;&gt;"N/A"),"Firmware Install, ","")&amp;IF(AND($CB449&lt;&gt;"Yes",$CB449&lt;&gt;"N/A"),"Device ID, ","")&amp;IF(AND($CC449&lt;&gt;"Yes",$CC449&lt;&gt;"N/A"),"Epic Beans Relay, ",""))-2)))</f>
        <v/>
      </c>
      <c r="CE449">
        <f>IF($Y449="","",IF($CD449="","Yes","Blocked"))</f>
        <v/>
      </c>
      <c r="CP449">
        <f>IF($CO449="","",IFERROR(VLOOKUP($CO449,'01_Warehouse_Ledger'!$A:$N,4,FALSE),""))</f>
        <v/>
      </c>
      <c r="CQ449">
        <f>IF($CO449="","",IFERROR(VLOOKUP($CO449,'01_Warehouse_Ledger'!$A:$N,5,FALSE),""))</f>
        <v/>
      </c>
      <c r="CR449">
        <f>IF($CO449="","",IFERROR(VLOOKUP($CO449,'01_Warehouse_Ledger'!$A:$N,13,FALSE),""))</f>
        <v/>
      </c>
      <c r="CW449">
        <f>IF($S449="","",IF(UPPER(TRIM($S449))&lt;&gt;"PASS","",IF(LEN(TRIM($BY449))&gt;0,"NOTES_PRESENT",IF(LEN(TRIM($T449))=0,"SET_NA",IF(OR(LOWER(TRIM($T449))="na",LOWER(TRIM($T449))="n/a"),"OK","MANUAL_OVERRIDE")))))</f>
        <v/>
      </c>
    </row>
    <row r="450">
      <c r="B450" t="inlineStr">
        <is>
          <t>No</t>
        </is>
      </c>
      <c r="C450" t="inlineStr">
        <is>
          <t>No</t>
        </is>
      </c>
      <c r="D450">
        <f>IF($B450&lt;&gt;"Yes","",IF($C450="No","Yes",IF($C450="Yes","No","")))</f>
        <v/>
      </c>
      <c r="E450">
        <f>IF($A450="","",IF(OR(AND($V450&lt;&gt;"",LOWER(TRIM($V450))&lt;&gt;"n/a",LOWER(TRIM($V450))&lt;&gt;"na",SUMPRODUCT(--(UPPER(TRIM($V$2:$V$518))=UPPER(TRIM($V450))),--(TRIM($V$2:$V$518)&lt;&gt;""),--(LOWER(TRIM($V$2:$V$518))&lt;&gt;"n/a"),--(LOWER(TRIM($V$2:$V$518))&lt;&gt;"na"))&gt;1),AND($W450&lt;&gt;"",LOWER(TRIM($W450))&lt;&gt;"n/a",LOWER(TRIM($W450))&lt;&gt;"na",SUMPRODUCT(--(UPPER(TRIM($W$2:$W$518))=UPPER(TRIM($W450))),--(TRIM($W$2:$W$518)&lt;&gt;""),--(LOWER(TRIM($W$2:$W$518))&lt;&gt;"n/a"),--(LOWER(TRIM($W$2:$W$518))&lt;&gt;"na"))&gt;1),AND($X450&lt;&gt;"",LOWER(TRIM($X450))&lt;&gt;"n/a",LOWER(TRIM($X450))&lt;&gt;"na",SUMPRODUCT(--(UPPER(TRIM($X$2:$X$518))=UPPER(TRIM($X450))),--(TRIM($X$2:$X$518)&lt;&gt;""),--(LOWER(TRIM($X$2:$X$518))&lt;&gt;"n/a"),--(LOWER(TRIM($X$2:$X$518))&lt;&gt;"na"))&gt;1),AND($Y450&lt;&gt;"",LOWER(TRIM($Y450))&lt;&gt;"n/a",LOWER(TRIM($Y450))&lt;&gt;"na",SUMPRODUCT(--(UPPER(SUBSTITUTE(SUBSTITUTE(TRIM($Y$2:$Y$518),":",""),"-",""))=UPPER(SUBSTITUTE(SUBSTITUTE(TRIM($Y450),":",""),"-",""))),--(TRIM($Y$2:$Y$518)&lt;&gt;""),--(LOWER(TRIM($Y$2:$Y$518))&lt;&gt;"n/a"),--(LOWER(TRIM($Y$2:$Y$518))&lt;&gt;"na"))&gt;1),AND($AB450&lt;&gt;"",LOWER(TRIM($AB450))&lt;&gt;"n/a",LOWER(TRIM($AB450))&lt;&gt;"na",SUMPRODUCT(--(UPPER(TRIM($AB$2:$AB$518))=UPPER(TRIM($AB450))),--(TRIM($AB$2:$AB$518)&lt;&gt;""),--(LOWER(TRIM($AB$2:$AB$518))&lt;&gt;"n/a"),--(LOWER(TRIM($AB$2:$AB$518))&lt;&gt;"na"))&gt;1),AND($AH450&lt;&gt;"",LOWER(TRIM($AH450))&lt;&gt;"n/a",LOWER(TRIM($AH450))&lt;&gt;"na",SUMPRODUCT(--(UPPER(SUBSTITUTE(SUBSTITUTE(TRIM($AH$2:$AH$518),":",""),"-",""))=UPPER(SUBSTITUTE(SUBSTITUTE(TRIM($AH450),":",""),"-",""))),--(TRIM($AH$2:$AH$518)&lt;&gt;""),--(LOWER(TRIM($AH$2:$AH$518))&lt;&gt;"n/a"),--(LOWER(TRIM($AH$2:$AH$518))&lt;&gt;"na"))&gt;1),AND($AP450&lt;&gt;"",LOWER(TRIM($AP450))&lt;&gt;"n/a",LOWER(TRIM($AP450))&lt;&gt;"na",SUMPRODUCT(--(UPPER(TRIM($AP$2:$AP$518))=UPPER(TRIM($AP450))),--(TRIM($AP$2:$AP$518)&lt;&gt;""),--(LOWER(TRIM($AP$2:$AP$518))&lt;&gt;"n/a"),--(LOWER(TRIM($AP$2:$AP$518))&lt;&gt;"na"))&gt;1),AND($AQ450&lt;&gt;"",LOWER(TRIM($AQ450))&lt;&gt;"n/a",LOWER(TRIM($AQ450))&lt;&gt;"na",SUMPRODUCT(--(UPPER(TRIM($AQ$2:$AQ$518))=UPPER(TRIM($AQ450))),--(TRIM($AQ$2:$AQ$518)&lt;&gt;""),--(LOWER(TRIM($AQ$2:$AQ$518))&lt;&gt;"n/a"),--(LOWER(TRIM($AQ$2:$AQ$518))&lt;&gt;"na"))&gt;1)),"Yes","No"))</f>
        <v/>
      </c>
      <c r="F450">
        <f>IF(UPPER(TRIM($B450))&lt;&gt;"YES","", IF(OR(AND($V450&lt;&gt;"", LOWER(TRIM($V450))&lt;&gt;"n/a", LOWER(TRIM($V450))&lt;&gt;"na", SUMPRODUCT(--(UPPER(TRIM($V$2:$V$518))=UPPER(TRIM($V450))), --(UPPER(TRIM($B$2:$B$518))="YES"), --(UPPER(TRIM($G$2:$G$518)&amp;TRIM($I$2:$I$518)&amp;TRIM($J$2:$J$518))&lt;&gt;UPPER(TRIM($G450)&amp;TRIM($I450)&amp;TRIM($J450))))&gt;0), AND($W450&lt;&gt;"", LOWER(TRIM($W450))&lt;&gt;"n/a", LOWER(TRIM($W450))&lt;&gt;"na", SUMPRODUCT(--(UPPER(TRIM($W$2:$W$518))=UPPER(TRIM($W450))), --(UPPER(TRIM($B$2:$B$518))="YES"), --(UPPER(TRIM($G$2:$G$518)&amp;TRIM($I$2:$I$518)&amp;TRIM($J$2:$J$518))&lt;&gt;UPPER(TRIM($G450)&amp;TRIM($I450)&amp;TRIM($J450))))&gt;0), AND($X450&lt;&gt;"", LOWER(TRIM($X450))&lt;&gt;"n/a", LOWER(TRIM($X450))&lt;&gt;"na", SUMPRODUCT(--(UPPER(TRIM($X$2:$X$518))=UPPER(TRIM($X450))), --(UPPER(TRIM($B$2:$B$518))="YES"), --(UPPER(TRIM($G$2:$G$518)&amp;TRIM($I$2:$I$518)&amp;TRIM($J$2:$J$518))&lt;&gt;UPPER(TRIM($G450)&amp;TRIM($I450)&amp;TRIM($J450))))&gt;0), AND($Y450&lt;&gt;"", LOWER(TRIM($Y450))&lt;&gt;"n/a", LOWER(TRIM($Y450))&lt;&gt;"na", SUMPRODUCT(--(UPPER(SUBSTITUTE(SUBSTITUTE(TRIM($Y$2:$Y$518),":",""),"-",""))=UPPER(SUBSTITUTE(SUBSTITUTE(TRIM($Y450),":",""),"-",""))), --(UPPER(TRIM($B$2:$B$518))="YES"), --(UPPER(TRIM($G$2:$G$518)&amp;TRIM($I$2:$I$518)&amp;TRIM($J$2:$J$518))&lt;&gt;UPPER(TRIM($G450)&amp;TRIM($I450)&amp;TRIM($J450))))&gt;0), AND($AB450&lt;&gt;"", LOWER(TRIM($AB450))&lt;&gt;"n/a", LOWER(TRIM($AB450))&lt;&gt;"na", SUMPRODUCT(--(UPPER(TRIM($AB$2:$AB$518))=UPPER(TRIM($AB450))), --(UPPER(TRIM($B$2:$B$518))="YES"), --(UPPER(TRIM($G$2:$G$518)&amp;TRIM($I$2:$I$518)&amp;TRIM($J$2:$J$518))&lt;&gt;UPPER(TRIM($G450)&amp;TRIM($I450)&amp;TRIM($J450))))&gt;0), AND($AH450&lt;&gt;"", LOWER(TRIM($AH450))&lt;&gt;"n/a", LOWER(TRIM($AH450))&lt;&gt;"na", SUMPRODUCT(--(UPPER(SUBSTITUTE(SUBSTITUTE(TRIM($AH$2:$AH$518),":",""),"-",""))=UPPER(SUBSTITUTE(SUBSTITUTE(TRIM($AH450),":",""),"-",""))), --(UPPER(TRIM($B$2:$B$518))="YES"), --(UPPER(TRIM($G$2:$G$518)&amp;TRIM($I$2:$I$518)&amp;TRIM($J$2:$J$518))&lt;&gt;UPPER(TRIM($G450)&amp;TRIM($I450)&amp;TRIM($J450))))&gt;0), AND($AP450&lt;&gt;"", LOWER(TRIM($AP450))&lt;&gt;"n/a", LOWER(TRIM($AP450))&lt;&gt;"na", SUMPRODUCT(--(UPPER(TRIM($AP$2:$AP$518))=UPPER(TRIM($AP450))), --(UPPER(TRIM($B$2:$B$518))="YES"), --(UPPER(TRIM($G$2:$G$518)&amp;TRIM($I$2:$I$518)&amp;TRIM($J$2:$J$518))&lt;&gt;UPPER(TRIM($G450)&amp;TRIM($I450)&amp;TRIM($J450))))&gt;0), AND($AQ450&lt;&gt;"", LOWER(TRIM($AQ450))&lt;&gt;"n/a", LOWER(TRIM($AQ450))&lt;&gt;"na", SUMPRODUCT(--(UPPER(TRIM($AQ$2:$AQ$518))=UPPER(TRIM($AQ450))), --(UPPER(TRIM($B$2:$B$518))="YES"), --(UPPER(TRIM($G$2:$G$518)&amp;TRIM($I$2:$I$518)&amp;TRIM($J$2:$J$518))&lt;&gt;UPPER(TRIM($G450)&amp;TRIM($I450)&amp;TRIM($J450))))&gt;0)), "Yes", "No"))</f>
        <v/>
      </c>
      <c r="CD450">
        <f>IF($Y450="","",IF((IF(AND($BR450&lt;&gt;"Yes",$BR450&lt;&gt;"N/A"),"Power Cable, ","")&amp;IF(AND($BS450&lt;&gt;"Yes",$BS450&lt;&gt;"N/A"),"Battery, ","")&amp;IF(AND($AD450&lt;&gt;"Yes",$AD450&lt;&gt;"N/A"),"Firmware Download, ","")&amp;IF(AND(OR($AD450="Yes",$AD450="N/A"),$AE450&lt;&gt;"Yes",$AE450&lt;&gt;"N/A"),"Firmware Install, ","")&amp;IF(AND($CB450&lt;&gt;"Yes",$CB450&lt;&gt;"N/A"),"Device ID, ","")&amp;IF(AND($CC450&lt;&gt;"Yes",$CC450&lt;&gt;"N/A"),"Epic Beans Relay, ",""))="","",LEFT(IF(AND($BR450&lt;&gt;"Yes",$BR450&lt;&gt;"N/A"),"Power Cable, ","")&amp;IF(AND($BS450&lt;&gt;"Yes",$BS450&lt;&gt;"N/A"),"Battery, ","")&amp;IF(AND($AD450&lt;&gt;"Yes",$AD450&lt;&gt;"N/A"),"Firmware Download, ","")&amp;IF(AND(OR($AD450="Yes",$AD450="N/A"),$AE450&lt;&gt;"Yes",$AE450&lt;&gt;"N/A"),"Firmware Install, ","")&amp;IF(AND($CB450&lt;&gt;"Yes",$CB450&lt;&gt;"N/A"),"Device ID, ","")&amp;IF(AND($CC450&lt;&gt;"Yes",$CC450&lt;&gt;"N/A"),"Epic Beans Relay, ",""),LEN(IF(AND($BR450&lt;&gt;"Yes",$BR450&lt;&gt;"N/A"),"Power Cable, ","")&amp;IF(AND($BS450&lt;&gt;"Yes",$BS450&lt;&gt;"N/A"),"Battery, ","")&amp;IF(AND($AD450&lt;&gt;"Yes",$AD450&lt;&gt;"N/A"),"Firmware Download, ","")&amp;IF(AND(OR($AD450="Yes",$AD450="N/A"),$AE450&lt;&gt;"Yes",$AE450&lt;&gt;"N/A"),"Firmware Install, ","")&amp;IF(AND($CB450&lt;&gt;"Yes",$CB450&lt;&gt;"N/A"),"Device ID, ","")&amp;IF(AND($CC450&lt;&gt;"Yes",$CC450&lt;&gt;"N/A"),"Epic Beans Relay, ",""))-2)))</f>
        <v/>
      </c>
      <c r="CE450">
        <f>IF($Y450="","",IF($CD450="","Yes","Blocked"))</f>
        <v/>
      </c>
      <c r="CP450">
        <f>IF($CO450="","",IFERROR(VLOOKUP($CO450,'01_Warehouse_Ledger'!$A:$N,4,FALSE),""))</f>
        <v/>
      </c>
      <c r="CQ450">
        <f>IF($CO450="","",IFERROR(VLOOKUP($CO450,'01_Warehouse_Ledger'!$A:$N,5,FALSE),""))</f>
        <v/>
      </c>
      <c r="CR450">
        <f>IF($CO450="","",IFERROR(VLOOKUP($CO450,'01_Warehouse_Ledger'!$A:$N,13,FALSE),""))</f>
        <v/>
      </c>
      <c r="CW450">
        <f>IF($S450="","",IF(UPPER(TRIM($S450))&lt;&gt;"PASS","",IF(LEN(TRIM($BY450))&gt;0,"NOTES_PRESENT",IF(LEN(TRIM($T450))=0,"SET_NA",IF(OR(LOWER(TRIM($T450))="na",LOWER(TRIM($T450))="n/a"),"OK","MANUAL_OVERRIDE")))))</f>
        <v/>
      </c>
    </row>
    <row r="451">
      <c r="B451" t="inlineStr">
        <is>
          <t>No</t>
        </is>
      </c>
      <c r="C451" t="inlineStr">
        <is>
          <t>No</t>
        </is>
      </c>
      <c r="D451">
        <f>IF($B451&lt;&gt;"Yes","",IF($C451="No","Yes",IF($C451="Yes","No","")))</f>
        <v/>
      </c>
      <c r="E451">
        <f>IF($A451="","",IF(OR(AND($V451&lt;&gt;"",LOWER(TRIM($V451))&lt;&gt;"n/a",LOWER(TRIM($V451))&lt;&gt;"na",SUMPRODUCT(--(UPPER(TRIM($V$2:$V$518))=UPPER(TRIM($V451))),--(TRIM($V$2:$V$518)&lt;&gt;""),--(LOWER(TRIM($V$2:$V$518))&lt;&gt;"n/a"),--(LOWER(TRIM($V$2:$V$518))&lt;&gt;"na"))&gt;1),AND($W451&lt;&gt;"",LOWER(TRIM($W451))&lt;&gt;"n/a",LOWER(TRIM($W451))&lt;&gt;"na",SUMPRODUCT(--(UPPER(TRIM($W$2:$W$518))=UPPER(TRIM($W451))),--(TRIM($W$2:$W$518)&lt;&gt;""),--(LOWER(TRIM($W$2:$W$518))&lt;&gt;"n/a"),--(LOWER(TRIM($W$2:$W$518))&lt;&gt;"na"))&gt;1),AND($X451&lt;&gt;"",LOWER(TRIM($X451))&lt;&gt;"n/a",LOWER(TRIM($X451))&lt;&gt;"na",SUMPRODUCT(--(UPPER(TRIM($X$2:$X$518))=UPPER(TRIM($X451))),--(TRIM($X$2:$X$518)&lt;&gt;""),--(LOWER(TRIM($X$2:$X$518))&lt;&gt;"n/a"),--(LOWER(TRIM($X$2:$X$518))&lt;&gt;"na"))&gt;1),AND($Y451&lt;&gt;"",LOWER(TRIM($Y451))&lt;&gt;"n/a",LOWER(TRIM($Y451))&lt;&gt;"na",SUMPRODUCT(--(UPPER(SUBSTITUTE(SUBSTITUTE(TRIM($Y$2:$Y$518),":",""),"-",""))=UPPER(SUBSTITUTE(SUBSTITUTE(TRIM($Y451),":",""),"-",""))),--(TRIM($Y$2:$Y$518)&lt;&gt;""),--(LOWER(TRIM($Y$2:$Y$518))&lt;&gt;"n/a"),--(LOWER(TRIM($Y$2:$Y$518))&lt;&gt;"na"))&gt;1),AND($AB451&lt;&gt;"",LOWER(TRIM($AB451))&lt;&gt;"n/a",LOWER(TRIM($AB451))&lt;&gt;"na",SUMPRODUCT(--(UPPER(TRIM($AB$2:$AB$518))=UPPER(TRIM($AB451))),--(TRIM($AB$2:$AB$518)&lt;&gt;""),--(LOWER(TRIM($AB$2:$AB$518))&lt;&gt;"n/a"),--(LOWER(TRIM($AB$2:$AB$518))&lt;&gt;"na"))&gt;1),AND($AH451&lt;&gt;"",LOWER(TRIM($AH451))&lt;&gt;"n/a",LOWER(TRIM($AH451))&lt;&gt;"na",SUMPRODUCT(--(UPPER(SUBSTITUTE(SUBSTITUTE(TRIM($AH$2:$AH$518),":",""),"-",""))=UPPER(SUBSTITUTE(SUBSTITUTE(TRIM($AH451),":",""),"-",""))),--(TRIM($AH$2:$AH$518)&lt;&gt;""),--(LOWER(TRIM($AH$2:$AH$518))&lt;&gt;"n/a"),--(LOWER(TRIM($AH$2:$AH$518))&lt;&gt;"na"))&gt;1),AND($AP451&lt;&gt;"",LOWER(TRIM($AP451))&lt;&gt;"n/a",LOWER(TRIM($AP451))&lt;&gt;"na",SUMPRODUCT(--(UPPER(TRIM($AP$2:$AP$518))=UPPER(TRIM($AP451))),--(TRIM($AP$2:$AP$518)&lt;&gt;""),--(LOWER(TRIM($AP$2:$AP$518))&lt;&gt;"n/a"),--(LOWER(TRIM($AP$2:$AP$518))&lt;&gt;"na"))&gt;1),AND($AQ451&lt;&gt;"",LOWER(TRIM($AQ451))&lt;&gt;"n/a",LOWER(TRIM($AQ451))&lt;&gt;"na",SUMPRODUCT(--(UPPER(TRIM($AQ$2:$AQ$518))=UPPER(TRIM($AQ451))),--(TRIM($AQ$2:$AQ$518)&lt;&gt;""),--(LOWER(TRIM($AQ$2:$AQ$518))&lt;&gt;"n/a"),--(LOWER(TRIM($AQ$2:$AQ$518))&lt;&gt;"na"))&gt;1)),"Yes","No"))</f>
        <v/>
      </c>
      <c r="F451">
        <f>IF(UPPER(TRIM($B451))&lt;&gt;"YES","", IF(OR(AND($V451&lt;&gt;"", LOWER(TRIM($V451))&lt;&gt;"n/a", LOWER(TRIM($V451))&lt;&gt;"na", SUMPRODUCT(--(UPPER(TRIM($V$2:$V$518))=UPPER(TRIM($V451))), --(UPPER(TRIM($B$2:$B$518))="YES"), --(UPPER(TRIM($G$2:$G$518)&amp;TRIM($I$2:$I$518)&amp;TRIM($J$2:$J$518))&lt;&gt;UPPER(TRIM($G451)&amp;TRIM($I451)&amp;TRIM($J451))))&gt;0), AND($W451&lt;&gt;"", LOWER(TRIM($W451))&lt;&gt;"n/a", LOWER(TRIM($W451))&lt;&gt;"na", SUMPRODUCT(--(UPPER(TRIM($W$2:$W$518))=UPPER(TRIM($W451))), --(UPPER(TRIM($B$2:$B$518))="YES"), --(UPPER(TRIM($G$2:$G$518)&amp;TRIM($I$2:$I$518)&amp;TRIM($J$2:$J$518))&lt;&gt;UPPER(TRIM($G451)&amp;TRIM($I451)&amp;TRIM($J451))))&gt;0), AND($X451&lt;&gt;"", LOWER(TRIM($X451))&lt;&gt;"n/a", LOWER(TRIM($X451))&lt;&gt;"na", SUMPRODUCT(--(UPPER(TRIM($X$2:$X$518))=UPPER(TRIM($X451))), --(UPPER(TRIM($B$2:$B$518))="YES"), --(UPPER(TRIM($G$2:$G$518)&amp;TRIM($I$2:$I$518)&amp;TRIM($J$2:$J$518))&lt;&gt;UPPER(TRIM($G451)&amp;TRIM($I451)&amp;TRIM($J451))))&gt;0), AND($Y451&lt;&gt;"", LOWER(TRIM($Y451))&lt;&gt;"n/a", LOWER(TRIM($Y451))&lt;&gt;"na", SUMPRODUCT(--(UPPER(SUBSTITUTE(SUBSTITUTE(TRIM($Y$2:$Y$518),":",""),"-",""))=UPPER(SUBSTITUTE(SUBSTITUTE(TRIM($Y451),":",""),"-",""))), --(UPPER(TRIM($B$2:$B$518))="YES"), --(UPPER(TRIM($G$2:$G$518)&amp;TRIM($I$2:$I$518)&amp;TRIM($J$2:$J$518))&lt;&gt;UPPER(TRIM($G451)&amp;TRIM($I451)&amp;TRIM($J451))))&gt;0), AND($AB451&lt;&gt;"", LOWER(TRIM($AB451))&lt;&gt;"n/a", LOWER(TRIM($AB451))&lt;&gt;"na", SUMPRODUCT(--(UPPER(TRIM($AB$2:$AB$518))=UPPER(TRIM($AB451))), --(UPPER(TRIM($B$2:$B$518))="YES"), --(UPPER(TRIM($G$2:$G$518)&amp;TRIM($I$2:$I$518)&amp;TRIM($J$2:$J$518))&lt;&gt;UPPER(TRIM($G451)&amp;TRIM($I451)&amp;TRIM($J451))))&gt;0), AND($AH451&lt;&gt;"", LOWER(TRIM($AH451))&lt;&gt;"n/a", LOWER(TRIM($AH451))&lt;&gt;"na", SUMPRODUCT(--(UPPER(SUBSTITUTE(SUBSTITUTE(TRIM($AH$2:$AH$518),":",""),"-",""))=UPPER(SUBSTITUTE(SUBSTITUTE(TRIM($AH451),":",""),"-",""))), --(UPPER(TRIM($B$2:$B$518))="YES"), --(UPPER(TRIM($G$2:$G$518)&amp;TRIM($I$2:$I$518)&amp;TRIM($J$2:$J$518))&lt;&gt;UPPER(TRIM($G451)&amp;TRIM($I451)&amp;TRIM($J451))))&gt;0), AND($AP451&lt;&gt;"", LOWER(TRIM($AP451))&lt;&gt;"n/a", LOWER(TRIM($AP451))&lt;&gt;"na", SUMPRODUCT(--(UPPER(TRIM($AP$2:$AP$518))=UPPER(TRIM($AP451))), --(UPPER(TRIM($B$2:$B$518))="YES"), --(UPPER(TRIM($G$2:$G$518)&amp;TRIM($I$2:$I$518)&amp;TRIM($J$2:$J$518))&lt;&gt;UPPER(TRIM($G451)&amp;TRIM($I451)&amp;TRIM($J451))))&gt;0), AND($AQ451&lt;&gt;"", LOWER(TRIM($AQ451))&lt;&gt;"n/a", LOWER(TRIM($AQ451))&lt;&gt;"na", SUMPRODUCT(--(UPPER(TRIM($AQ$2:$AQ$518))=UPPER(TRIM($AQ451))), --(UPPER(TRIM($B$2:$B$518))="YES"), --(UPPER(TRIM($G$2:$G$518)&amp;TRIM($I$2:$I$518)&amp;TRIM($J$2:$J$518))&lt;&gt;UPPER(TRIM($G451)&amp;TRIM($I451)&amp;TRIM($J451))))&gt;0)), "Yes", "No"))</f>
        <v/>
      </c>
      <c r="CD451">
        <f>IF($Y451="","",IF((IF(AND($BR451&lt;&gt;"Yes",$BR451&lt;&gt;"N/A"),"Power Cable, ","")&amp;IF(AND($BS451&lt;&gt;"Yes",$BS451&lt;&gt;"N/A"),"Battery, ","")&amp;IF(AND($AD451&lt;&gt;"Yes",$AD451&lt;&gt;"N/A"),"Firmware Download, ","")&amp;IF(AND(OR($AD451="Yes",$AD451="N/A"),$AE451&lt;&gt;"Yes",$AE451&lt;&gt;"N/A"),"Firmware Install, ","")&amp;IF(AND($CB451&lt;&gt;"Yes",$CB451&lt;&gt;"N/A"),"Device ID, ","")&amp;IF(AND($CC451&lt;&gt;"Yes",$CC451&lt;&gt;"N/A"),"Epic Beans Relay, ",""))="","",LEFT(IF(AND($BR451&lt;&gt;"Yes",$BR451&lt;&gt;"N/A"),"Power Cable, ","")&amp;IF(AND($BS451&lt;&gt;"Yes",$BS451&lt;&gt;"N/A"),"Battery, ","")&amp;IF(AND($AD451&lt;&gt;"Yes",$AD451&lt;&gt;"N/A"),"Firmware Download, ","")&amp;IF(AND(OR($AD451="Yes",$AD451="N/A"),$AE451&lt;&gt;"Yes",$AE451&lt;&gt;"N/A"),"Firmware Install, ","")&amp;IF(AND($CB451&lt;&gt;"Yes",$CB451&lt;&gt;"N/A"),"Device ID, ","")&amp;IF(AND($CC451&lt;&gt;"Yes",$CC451&lt;&gt;"N/A"),"Epic Beans Relay, ",""),LEN(IF(AND($BR451&lt;&gt;"Yes",$BR451&lt;&gt;"N/A"),"Power Cable, ","")&amp;IF(AND($BS451&lt;&gt;"Yes",$BS451&lt;&gt;"N/A"),"Battery, ","")&amp;IF(AND($AD451&lt;&gt;"Yes",$AD451&lt;&gt;"N/A"),"Firmware Download, ","")&amp;IF(AND(OR($AD451="Yes",$AD451="N/A"),$AE451&lt;&gt;"Yes",$AE451&lt;&gt;"N/A"),"Firmware Install, ","")&amp;IF(AND($CB451&lt;&gt;"Yes",$CB451&lt;&gt;"N/A"),"Device ID, ","")&amp;IF(AND($CC451&lt;&gt;"Yes",$CC451&lt;&gt;"N/A"),"Epic Beans Relay, ",""))-2)))</f>
        <v/>
      </c>
      <c r="CE451">
        <f>IF($Y451="","",IF($CD451="","Yes","Blocked"))</f>
        <v/>
      </c>
      <c r="CP451">
        <f>IF($CO451="","",IFERROR(VLOOKUP($CO451,'01_Warehouse_Ledger'!$A:$N,4,FALSE),""))</f>
        <v/>
      </c>
      <c r="CQ451">
        <f>IF($CO451="","",IFERROR(VLOOKUP($CO451,'01_Warehouse_Ledger'!$A:$N,5,FALSE),""))</f>
        <v/>
      </c>
      <c r="CR451">
        <f>IF($CO451="","",IFERROR(VLOOKUP($CO451,'01_Warehouse_Ledger'!$A:$N,13,FALSE),""))</f>
        <v/>
      </c>
      <c r="CW451">
        <f>IF($S451="","",IF(UPPER(TRIM($S451))&lt;&gt;"PASS","",IF(LEN(TRIM($BY451))&gt;0,"NOTES_PRESENT",IF(LEN(TRIM($T451))=0,"SET_NA",IF(OR(LOWER(TRIM($T451))="na",LOWER(TRIM($T451))="n/a"),"OK","MANUAL_OVERRIDE")))))</f>
        <v/>
      </c>
    </row>
    <row r="452">
      <c r="B452" t="inlineStr">
        <is>
          <t>No</t>
        </is>
      </c>
      <c r="C452" t="inlineStr">
        <is>
          <t>No</t>
        </is>
      </c>
      <c r="D452">
        <f>IF($B452&lt;&gt;"Yes","",IF($C452="No","Yes",IF($C452="Yes","No","")))</f>
        <v/>
      </c>
      <c r="E452">
        <f>IF($A452="","",IF(OR(AND($V452&lt;&gt;"",LOWER(TRIM($V452))&lt;&gt;"n/a",LOWER(TRIM($V452))&lt;&gt;"na",SUMPRODUCT(--(UPPER(TRIM($V$2:$V$518))=UPPER(TRIM($V452))),--(TRIM($V$2:$V$518)&lt;&gt;""),--(LOWER(TRIM($V$2:$V$518))&lt;&gt;"n/a"),--(LOWER(TRIM($V$2:$V$518))&lt;&gt;"na"))&gt;1),AND($W452&lt;&gt;"",LOWER(TRIM($W452))&lt;&gt;"n/a",LOWER(TRIM($W452))&lt;&gt;"na",SUMPRODUCT(--(UPPER(TRIM($W$2:$W$518))=UPPER(TRIM($W452))),--(TRIM($W$2:$W$518)&lt;&gt;""),--(LOWER(TRIM($W$2:$W$518))&lt;&gt;"n/a"),--(LOWER(TRIM($W$2:$W$518))&lt;&gt;"na"))&gt;1),AND($X452&lt;&gt;"",LOWER(TRIM($X452))&lt;&gt;"n/a",LOWER(TRIM($X452))&lt;&gt;"na",SUMPRODUCT(--(UPPER(TRIM($X$2:$X$518))=UPPER(TRIM($X452))),--(TRIM($X$2:$X$518)&lt;&gt;""),--(LOWER(TRIM($X$2:$X$518))&lt;&gt;"n/a"),--(LOWER(TRIM($X$2:$X$518))&lt;&gt;"na"))&gt;1),AND($Y452&lt;&gt;"",LOWER(TRIM($Y452))&lt;&gt;"n/a",LOWER(TRIM($Y452))&lt;&gt;"na",SUMPRODUCT(--(UPPER(SUBSTITUTE(SUBSTITUTE(TRIM($Y$2:$Y$518),":",""),"-",""))=UPPER(SUBSTITUTE(SUBSTITUTE(TRIM($Y452),":",""),"-",""))),--(TRIM($Y$2:$Y$518)&lt;&gt;""),--(LOWER(TRIM($Y$2:$Y$518))&lt;&gt;"n/a"),--(LOWER(TRIM($Y$2:$Y$518))&lt;&gt;"na"))&gt;1),AND($AB452&lt;&gt;"",LOWER(TRIM($AB452))&lt;&gt;"n/a",LOWER(TRIM($AB452))&lt;&gt;"na",SUMPRODUCT(--(UPPER(TRIM($AB$2:$AB$518))=UPPER(TRIM($AB452))),--(TRIM($AB$2:$AB$518)&lt;&gt;""),--(LOWER(TRIM($AB$2:$AB$518))&lt;&gt;"n/a"),--(LOWER(TRIM($AB$2:$AB$518))&lt;&gt;"na"))&gt;1),AND($AH452&lt;&gt;"",LOWER(TRIM($AH452))&lt;&gt;"n/a",LOWER(TRIM($AH452))&lt;&gt;"na",SUMPRODUCT(--(UPPER(SUBSTITUTE(SUBSTITUTE(TRIM($AH$2:$AH$518),":",""),"-",""))=UPPER(SUBSTITUTE(SUBSTITUTE(TRIM($AH452),":",""),"-",""))),--(TRIM($AH$2:$AH$518)&lt;&gt;""),--(LOWER(TRIM($AH$2:$AH$518))&lt;&gt;"n/a"),--(LOWER(TRIM($AH$2:$AH$518))&lt;&gt;"na"))&gt;1),AND($AP452&lt;&gt;"",LOWER(TRIM($AP452))&lt;&gt;"n/a",LOWER(TRIM($AP452))&lt;&gt;"na",SUMPRODUCT(--(UPPER(TRIM($AP$2:$AP$518))=UPPER(TRIM($AP452))),--(TRIM($AP$2:$AP$518)&lt;&gt;""),--(LOWER(TRIM($AP$2:$AP$518))&lt;&gt;"n/a"),--(LOWER(TRIM($AP$2:$AP$518))&lt;&gt;"na"))&gt;1),AND($AQ452&lt;&gt;"",LOWER(TRIM($AQ452))&lt;&gt;"n/a",LOWER(TRIM($AQ452))&lt;&gt;"na",SUMPRODUCT(--(UPPER(TRIM($AQ$2:$AQ$518))=UPPER(TRIM($AQ452))),--(TRIM($AQ$2:$AQ$518)&lt;&gt;""),--(LOWER(TRIM($AQ$2:$AQ$518))&lt;&gt;"n/a"),--(LOWER(TRIM($AQ$2:$AQ$518))&lt;&gt;"na"))&gt;1)),"Yes","No"))</f>
        <v/>
      </c>
      <c r="F452">
        <f>IF(UPPER(TRIM($B452))&lt;&gt;"YES","", IF(OR(AND($V452&lt;&gt;"", LOWER(TRIM($V452))&lt;&gt;"n/a", LOWER(TRIM($V452))&lt;&gt;"na", SUMPRODUCT(--(UPPER(TRIM($V$2:$V$518))=UPPER(TRIM($V452))), --(UPPER(TRIM($B$2:$B$518))="YES"), --(UPPER(TRIM($G$2:$G$518)&amp;TRIM($I$2:$I$518)&amp;TRIM($J$2:$J$518))&lt;&gt;UPPER(TRIM($G452)&amp;TRIM($I452)&amp;TRIM($J452))))&gt;0), AND($W452&lt;&gt;"", LOWER(TRIM($W452))&lt;&gt;"n/a", LOWER(TRIM($W452))&lt;&gt;"na", SUMPRODUCT(--(UPPER(TRIM($W$2:$W$518))=UPPER(TRIM($W452))), --(UPPER(TRIM($B$2:$B$518))="YES"), --(UPPER(TRIM($G$2:$G$518)&amp;TRIM($I$2:$I$518)&amp;TRIM($J$2:$J$518))&lt;&gt;UPPER(TRIM($G452)&amp;TRIM($I452)&amp;TRIM($J452))))&gt;0), AND($X452&lt;&gt;"", LOWER(TRIM($X452))&lt;&gt;"n/a", LOWER(TRIM($X452))&lt;&gt;"na", SUMPRODUCT(--(UPPER(TRIM($X$2:$X$518))=UPPER(TRIM($X452))), --(UPPER(TRIM($B$2:$B$518))="YES"), --(UPPER(TRIM($G$2:$G$518)&amp;TRIM($I$2:$I$518)&amp;TRIM($J$2:$J$518))&lt;&gt;UPPER(TRIM($G452)&amp;TRIM($I452)&amp;TRIM($J452))))&gt;0), AND($Y452&lt;&gt;"", LOWER(TRIM($Y452))&lt;&gt;"n/a", LOWER(TRIM($Y452))&lt;&gt;"na", SUMPRODUCT(--(UPPER(SUBSTITUTE(SUBSTITUTE(TRIM($Y$2:$Y$518),":",""),"-",""))=UPPER(SUBSTITUTE(SUBSTITUTE(TRIM($Y452),":",""),"-",""))), --(UPPER(TRIM($B$2:$B$518))="YES"), --(UPPER(TRIM($G$2:$G$518)&amp;TRIM($I$2:$I$518)&amp;TRIM($J$2:$J$518))&lt;&gt;UPPER(TRIM($G452)&amp;TRIM($I452)&amp;TRIM($J452))))&gt;0), AND($AB452&lt;&gt;"", LOWER(TRIM($AB452))&lt;&gt;"n/a", LOWER(TRIM($AB452))&lt;&gt;"na", SUMPRODUCT(--(UPPER(TRIM($AB$2:$AB$518))=UPPER(TRIM($AB452))), --(UPPER(TRIM($B$2:$B$518))="YES"), --(UPPER(TRIM($G$2:$G$518)&amp;TRIM($I$2:$I$518)&amp;TRIM($J$2:$J$518))&lt;&gt;UPPER(TRIM($G452)&amp;TRIM($I452)&amp;TRIM($J452))))&gt;0), AND($AH452&lt;&gt;"", LOWER(TRIM($AH452))&lt;&gt;"n/a", LOWER(TRIM($AH452))&lt;&gt;"na", SUMPRODUCT(--(UPPER(SUBSTITUTE(SUBSTITUTE(TRIM($AH$2:$AH$518),":",""),"-",""))=UPPER(SUBSTITUTE(SUBSTITUTE(TRIM($AH452),":",""),"-",""))), --(UPPER(TRIM($B$2:$B$518))="YES"), --(UPPER(TRIM($G$2:$G$518)&amp;TRIM($I$2:$I$518)&amp;TRIM($J$2:$J$518))&lt;&gt;UPPER(TRIM($G452)&amp;TRIM($I452)&amp;TRIM($J452))))&gt;0), AND($AP452&lt;&gt;"", LOWER(TRIM($AP452))&lt;&gt;"n/a", LOWER(TRIM($AP452))&lt;&gt;"na", SUMPRODUCT(--(UPPER(TRIM($AP$2:$AP$518))=UPPER(TRIM($AP452))), --(UPPER(TRIM($B$2:$B$518))="YES"), --(UPPER(TRIM($G$2:$G$518)&amp;TRIM($I$2:$I$518)&amp;TRIM($J$2:$J$518))&lt;&gt;UPPER(TRIM($G452)&amp;TRIM($I452)&amp;TRIM($J452))))&gt;0), AND($AQ452&lt;&gt;"", LOWER(TRIM($AQ452))&lt;&gt;"n/a", LOWER(TRIM($AQ452))&lt;&gt;"na", SUMPRODUCT(--(UPPER(TRIM($AQ$2:$AQ$518))=UPPER(TRIM($AQ452))), --(UPPER(TRIM($B$2:$B$518))="YES"), --(UPPER(TRIM($G$2:$G$518)&amp;TRIM($I$2:$I$518)&amp;TRIM($J$2:$J$518))&lt;&gt;UPPER(TRIM($G452)&amp;TRIM($I452)&amp;TRIM($J452))))&gt;0)), "Yes", "No"))</f>
        <v/>
      </c>
      <c r="CD452">
        <f>IF($Y452="","",IF((IF(AND($BR452&lt;&gt;"Yes",$BR452&lt;&gt;"N/A"),"Power Cable, ","")&amp;IF(AND($BS452&lt;&gt;"Yes",$BS452&lt;&gt;"N/A"),"Battery, ","")&amp;IF(AND($AD452&lt;&gt;"Yes",$AD452&lt;&gt;"N/A"),"Firmware Download, ","")&amp;IF(AND(OR($AD452="Yes",$AD452="N/A"),$AE452&lt;&gt;"Yes",$AE452&lt;&gt;"N/A"),"Firmware Install, ","")&amp;IF(AND($CB452&lt;&gt;"Yes",$CB452&lt;&gt;"N/A"),"Device ID, ","")&amp;IF(AND($CC452&lt;&gt;"Yes",$CC452&lt;&gt;"N/A"),"Epic Beans Relay, ",""))="","",LEFT(IF(AND($BR452&lt;&gt;"Yes",$BR452&lt;&gt;"N/A"),"Power Cable, ","")&amp;IF(AND($BS452&lt;&gt;"Yes",$BS452&lt;&gt;"N/A"),"Battery, ","")&amp;IF(AND($AD452&lt;&gt;"Yes",$AD452&lt;&gt;"N/A"),"Firmware Download, ","")&amp;IF(AND(OR($AD452="Yes",$AD452="N/A"),$AE452&lt;&gt;"Yes",$AE452&lt;&gt;"N/A"),"Firmware Install, ","")&amp;IF(AND($CB452&lt;&gt;"Yes",$CB452&lt;&gt;"N/A"),"Device ID, ","")&amp;IF(AND($CC452&lt;&gt;"Yes",$CC452&lt;&gt;"N/A"),"Epic Beans Relay, ",""),LEN(IF(AND($BR452&lt;&gt;"Yes",$BR452&lt;&gt;"N/A"),"Power Cable, ","")&amp;IF(AND($BS452&lt;&gt;"Yes",$BS452&lt;&gt;"N/A"),"Battery, ","")&amp;IF(AND($AD452&lt;&gt;"Yes",$AD452&lt;&gt;"N/A"),"Firmware Download, ","")&amp;IF(AND(OR($AD452="Yes",$AD452="N/A"),$AE452&lt;&gt;"Yes",$AE452&lt;&gt;"N/A"),"Firmware Install, ","")&amp;IF(AND($CB452&lt;&gt;"Yes",$CB452&lt;&gt;"N/A"),"Device ID, ","")&amp;IF(AND($CC452&lt;&gt;"Yes",$CC452&lt;&gt;"N/A"),"Epic Beans Relay, ",""))-2)))</f>
        <v/>
      </c>
      <c r="CE452">
        <f>IF($Y452="","",IF($CD452="","Yes","Blocked"))</f>
        <v/>
      </c>
      <c r="CP452">
        <f>IF($CO452="","",IFERROR(VLOOKUP($CO452,'01_Warehouse_Ledger'!$A:$N,4,FALSE),""))</f>
        <v/>
      </c>
      <c r="CQ452">
        <f>IF($CO452="","",IFERROR(VLOOKUP($CO452,'01_Warehouse_Ledger'!$A:$N,5,FALSE),""))</f>
        <v/>
      </c>
      <c r="CR452">
        <f>IF($CO452="","",IFERROR(VLOOKUP($CO452,'01_Warehouse_Ledger'!$A:$N,13,FALSE),""))</f>
        <v/>
      </c>
      <c r="CW452">
        <f>IF($S452="","",IF(UPPER(TRIM($S452))&lt;&gt;"PASS","",IF(LEN(TRIM($BY452))&gt;0,"NOTES_PRESENT",IF(LEN(TRIM($T452))=0,"SET_NA",IF(OR(LOWER(TRIM($T452))="na",LOWER(TRIM($T452))="n/a"),"OK","MANUAL_OVERRIDE")))))</f>
        <v/>
      </c>
    </row>
    <row r="453">
      <c r="B453" t="inlineStr">
        <is>
          <t>No</t>
        </is>
      </c>
      <c r="C453" t="inlineStr">
        <is>
          <t>No</t>
        </is>
      </c>
      <c r="D453">
        <f>IF($B453&lt;&gt;"Yes","",IF($C453="No","Yes",IF($C453="Yes","No","")))</f>
        <v/>
      </c>
      <c r="E453">
        <f>IF($A453="","",IF(OR(AND($V453&lt;&gt;"",LOWER(TRIM($V453))&lt;&gt;"n/a",LOWER(TRIM($V453))&lt;&gt;"na",SUMPRODUCT(--(UPPER(TRIM($V$2:$V$518))=UPPER(TRIM($V453))),--(TRIM($V$2:$V$518)&lt;&gt;""),--(LOWER(TRIM($V$2:$V$518))&lt;&gt;"n/a"),--(LOWER(TRIM($V$2:$V$518))&lt;&gt;"na"))&gt;1),AND($W453&lt;&gt;"",LOWER(TRIM($W453))&lt;&gt;"n/a",LOWER(TRIM($W453))&lt;&gt;"na",SUMPRODUCT(--(UPPER(TRIM($W$2:$W$518))=UPPER(TRIM($W453))),--(TRIM($W$2:$W$518)&lt;&gt;""),--(LOWER(TRIM($W$2:$W$518))&lt;&gt;"n/a"),--(LOWER(TRIM($W$2:$W$518))&lt;&gt;"na"))&gt;1),AND($X453&lt;&gt;"",LOWER(TRIM($X453))&lt;&gt;"n/a",LOWER(TRIM($X453))&lt;&gt;"na",SUMPRODUCT(--(UPPER(TRIM($X$2:$X$518))=UPPER(TRIM($X453))),--(TRIM($X$2:$X$518)&lt;&gt;""),--(LOWER(TRIM($X$2:$X$518))&lt;&gt;"n/a"),--(LOWER(TRIM($X$2:$X$518))&lt;&gt;"na"))&gt;1),AND($Y453&lt;&gt;"",LOWER(TRIM($Y453))&lt;&gt;"n/a",LOWER(TRIM($Y453))&lt;&gt;"na",SUMPRODUCT(--(UPPER(SUBSTITUTE(SUBSTITUTE(TRIM($Y$2:$Y$518),":",""),"-",""))=UPPER(SUBSTITUTE(SUBSTITUTE(TRIM($Y453),":",""),"-",""))),--(TRIM($Y$2:$Y$518)&lt;&gt;""),--(LOWER(TRIM($Y$2:$Y$518))&lt;&gt;"n/a"),--(LOWER(TRIM($Y$2:$Y$518))&lt;&gt;"na"))&gt;1),AND($AB453&lt;&gt;"",LOWER(TRIM($AB453))&lt;&gt;"n/a",LOWER(TRIM($AB453))&lt;&gt;"na",SUMPRODUCT(--(UPPER(TRIM($AB$2:$AB$518))=UPPER(TRIM($AB453))),--(TRIM($AB$2:$AB$518)&lt;&gt;""),--(LOWER(TRIM($AB$2:$AB$518))&lt;&gt;"n/a"),--(LOWER(TRIM($AB$2:$AB$518))&lt;&gt;"na"))&gt;1),AND($AH453&lt;&gt;"",LOWER(TRIM($AH453))&lt;&gt;"n/a",LOWER(TRIM($AH453))&lt;&gt;"na",SUMPRODUCT(--(UPPER(SUBSTITUTE(SUBSTITUTE(TRIM($AH$2:$AH$518),":",""),"-",""))=UPPER(SUBSTITUTE(SUBSTITUTE(TRIM($AH453),":",""),"-",""))),--(TRIM($AH$2:$AH$518)&lt;&gt;""),--(LOWER(TRIM($AH$2:$AH$518))&lt;&gt;"n/a"),--(LOWER(TRIM($AH$2:$AH$518))&lt;&gt;"na"))&gt;1),AND($AP453&lt;&gt;"",LOWER(TRIM($AP453))&lt;&gt;"n/a",LOWER(TRIM($AP453))&lt;&gt;"na",SUMPRODUCT(--(UPPER(TRIM($AP$2:$AP$518))=UPPER(TRIM($AP453))),--(TRIM($AP$2:$AP$518)&lt;&gt;""),--(LOWER(TRIM($AP$2:$AP$518))&lt;&gt;"n/a"),--(LOWER(TRIM($AP$2:$AP$518))&lt;&gt;"na"))&gt;1),AND($AQ453&lt;&gt;"",LOWER(TRIM($AQ453))&lt;&gt;"n/a",LOWER(TRIM($AQ453))&lt;&gt;"na",SUMPRODUCT(--(UPPER(TRIM($AQ$2:$AQ$518))=UPPER(TRIM($AQ453))),--(TRIM($AQ$2:$AQ$518)&lt;&gt;""),--(LOWER(TRIM($AQ$2:$AQ$518))&lt;&gt;"n/a"),--(LOWER(TRIM($AQ$2:$AQ$518))&lt;&gt;"na"))&gt;1)),"Yes","No"))</f>
        <v/>
      </c>
      <c r="F453">
        <f>IF(UPPER(TRIM($B453))&lt;&gt;"YES","", IF(OR(AND($V453&lt;&gt;"", LOWER(TRIM($V453))&lt;&gt;"n/a", LOWER(TRIM($V453))&lt;&gt;"na", SUMPRODUCT(--(UPPER(TRIM($V$2:$V$518))=UPPER(TRIM($V453))), --(UPPER(TRIM($B$2:$B$518))="YES"), --(UPPER(TRIM($G$2:$G$518)&amp;TRIM($I$2:$I$518)&amp;TRIM($J$2:$J$518))&lt;&gt;UPPER(TRIM($G453)&amp;TRIM($I453)&amp;TRIM($J453))))&gt;0), AND($W453&lt;&gt;"", LOWER(TRIM($W453))&lt;&gt;"n/a", LOWER(TRIM($W453))&lt;&gt;"na", SUMPRODUCT(--(UPPER(TRIM($W$2:$W$518))=UPPER(TRIM($W453))), --(UPPER(TRIM($B$2:$B$518))="YES"), --(UPPER(TRIM($G$2:$G$518)&amp;TRIM($I$2:$I$518)&amp;TRIM($J$2:$J$518))&lt;&gt;UPPER(TRIM($G453)&amp;TRIM($I453)&amp;TRIM($J453))))&gt;0), AND($X453&lt;&gt;"", LOWER(TRIM($X453))&lt;&gt;"n/a", LOWER(TRIM($X453))&lt;&gt;"na", SUMPRODUCT(--(UPPER(TRIM($X$2:$X$518))=UPPER(TRIM($X453))), --(UPPER(TRIM($B$2:$B$518))="YES"), --(UPPER(TRIM($G$2:$G$518)&amp;TRIM($I$2:$I$518)&amp;TRIM($J$2:$J$518))&lt;&gt;UPPER(TRIM($G453)&amp;TRIM($I453)&amp;TRIM($J453))))&gt;0), AND($Y453&lt;&gt;"", LOWER(TRIM($Y453))&lt;&gt;"n/a", LOWER(TRIM($Y453))&lt;&gt;"na", SUMPRODUCT(--(UPPER(SUBSTITUTE(SUBSTITUTE(TRIM($Y$2:$Y$518),":",""),"-",""))=UPPER(SUBSTITUTE(SUBSTITUTE(TRIM($Y453),":",""),"-",""))), --(UPPER(TRIM($B$2:$B$518))="YES"), --(UPPER(TRIM($G$2:$G$518)&amp;TRIM($I$2:$I$518)&amp;TRIM($J$2:$J$518))&lt;&gt;UPPER(TRIM($G453)&amp;TRIM($I453)&amp;TRIM($J453))))&gt;0), AND($AB453&lt;&gt;"", LOWER(TRIM($AB453))&lt;&gt;"n/a", LOWER(TRIM($AB453))&lt;&gt;"na", SUMPRODUCT(--(UPPER(TRIM($AB$2:$AB$518))=UPPER(TRIM($AB453))), --(UPPER(TRIM($B$2:$B$518))="YES"), --(UPPER(TRIM($G$2:$G$518)&amp;TRIM($I$2:$I$518)&amp;TRIM($J$2:$J$518))&lt;&gt;UPPER(TRIM($G453)&amp;TRIM($I453)&amp;TRIM($J453))))&gt;0), AND($AH453&lt;&gt;"", LOWER(TRIM($AH453))&lt;&gt;"n/a", LOWER(TRIM($AH453))&lt;&gt;"na", SUMPRODUCT(--(UPPER(SUBSTITUTE(SUBSTITUTE(TRIM($AH$2:$AH$518),":",""),"-",""))=UPPER(SUBSTITUTE(SUBSTITUTE(TRIM($AH453),":",""),"-",""))), --(UPPER(TRIM($B$2:$B$518))="YES"), --(UPPER(TRIM($G$2:$G$518)&amp;TRIM($I$2:$I$518)&amp;TRIM($J$2:$J$518))&lt;&gt;UPPER(TRIM($G453)&amp;TRIM($I453)&amp;TRIM($J453))))&gt;0), AND($AP453&lt;&gt;"", LOWER(TRIM($AP453))&lt;&gt;"n/a", LOWER(TRIM($AP453))&lt;&gt;"na", SUMPRODUCT(--(UPPER(TRIM($AP$2:$AP$518))=UPPER(TRIM($AP453))), --(UPPER(TRIM($B$2:$B$518))="YES"), --(UPPER(TRIM($G$2:$G$518)&amp;TRIM($I$2:$I$518)&amp;TRIM($J$2:$J$518))&lt;&gt;UPPER(TRIM($G453)&amp;TRIM($I453)&amp;TRIM($J453))))&gt;0), AND($AQ453&lt;&gt;"", LOWER(TRIM($AQ453))&lt;&gt;"n/a", LOWER(TRIM($AQ453))&lt;&gt;"na", SUMPRODUCT(--(UPPER(TRIM($AQ$2:$AQ$518))=UPPER(TRIM($AQ453))), --(UPPER(TRIM($B$2:$B$518))="YES"), --(UPPER(TRIM($G$2:$G$518)&amp;TRIM($I$2:$I$518)&amp;TRIM($J$2:$J$518))&lt;&gt;UPPER(TRIM($G453)&amp;TRIM($I453)&amp;TRIM($J453))))&gt;0)), "Yes", "No"))</f>
        <v/>
      </c>
      <c r="CD453">
        <f>IF($Y453="","",IF((IF(AND($BR453&lt;&gt;"Yes",$BR453&lt;&gt;"N/A"),"Power Cable, ","")&amp;IF(AND($BS453&lt;&gt;"Yes",$BS453&lt;&gt;"N/A"),"Battery, ","")&amp;IF(AND($AD453&lt;&gt;"Yes",$AD453&lt;&gt;"N/A"),"Firmware Download, ","")&amp;IF(AND(OR($AD453="Yes",$AD453="N/A"),$AE453&lt;&gt;"Yes",$AE453&lt;&gt;"N/A"),"Firmware Install, ","")&amp;IF(AND($CB453&lt;&gt;"Yes",$CB453&lt;&gt;"N/A"),"Device ID, ","")&amp;IF(AND($CC453&lt;&gt;"Yes",$CC453&lt;&gt;"N/A"),"Epic Beans Relay, ",""))="","",LEFT(IF(AND($BR453&lt;&gt;"Yes",$BR453&lt;&gt;"N/A"),"Power Cable, ","")&amp;IF(AND($BS453&lt;&gt;"Yes",$BS453&lt;&gt;"N/A"),"Battery, ","")&amp;IF(AND($AD453&lt;&gt;"Yes",$AD453&lt;&gt;"N/A"),"Firmware Download, ","")&amp;IF(AND(OR($AD453="Yes",$AD453="N/A"),$AE453&lt;&gt;"Yes",$AE453&lt;&gt;"N/A"),"Firmware Install, ","")&amp;IF(AND($CB453&lt;&gt;"Yes",$CB453&lt;&gt;"N/A"),"Device ID, ","")&amp;IF(AND($CC453&lt;&gt;"Yes",$CC453&lt;&gt;"N/A"),"Epic Beans Relay, ",""),LEN(IF(AND($BR453&lt;&gt;"Yes",$BR453&lt;&gt;"N/A"),"Power Cable, ","")&amp;IF(AND($BS453&lt;&gt;"Yes",$BS453&lt;&gt;"N/A"),"Battery, ","")&amp;IF(AND($AD453&lt;&gt;"Yes",$AD453&lt;&gt;"N/A"),"Firmware Download, ","")&amp;IF(AND(OR($AD453="Yes",$AD453="N/A"),$AE453&lt;&gt;"Yes",$AE453&lt;&gt;"N/A"),"Firmware Install, ","")&amp;IF(AND($CB453&lt;&gt;"Yes",$CB453&lt;&gt;"N/A"),"Device ID, ","")&amp;IF(AND($CC453&lt;&gt;"Yes",$CC453&lt;&gt;"N/A"),"Epic Beans Relay, ",""))-2)))</f>
        <v/>
      </c>
      <c r="CE453">
        <f>IF($Y453="","",IF($CD453="","Yes","Blocked"))</f>
        <v/>
      </c>
      <c r="CP453">
        <f>IF($CO453="","",IFERROR(VLOOKUP($CO453,'01_Warehouse_Ledger'!$A:$N,4,FALSE),""))</f>
        <v/>
      </c>
      <c r="CQ453">
        <f>IF($CO453="","",IFERROR(VLOOKUP($CO453,'01_Warehouse_Ledger'!$A:$N,5,FALSE),""))</f>
        <v/>
      </c>
      <c r="CR453">
        <f>IF($CO453="","",IFERROR(VLOOKUP($CO453,'01_Warehouse_Ledger'!$A:$N,13,FALSE),""))</f>
        <v/>
      </c>
      <c r="CW453">
        <f>IF($S453="","",IF(UPPER(TRIM($S453))&lt;&gt;"PASS","",IF(LEN(TRIM($BY453))&gt;0,"NOTES_PRESENT",IF(LEN(TRIM($T453))=0,"SET_NA",IF(OR(LOWER(TRIM($T453))="na",LOWER(TRIM($T453))="n/a"),"OK","MANUAL_OVERRIDE")))))</f>
        <v/>
      </c>
    </row>
    <row r="454">
      <c r="B454" t="inlineStr">
        <is>
          <t>No</t>
        </is>
      </c>
      <c r="C454" t="inlineStr">
        <is>
          <t>No</t>
        </is>
      </c>
      <c r="D454">
        <f>IF($B454&lt;&gt;"Yes","",IF($C454="No","Yes",IF($C454="Yes","No","")))</f>
        <v/>
      </c>
      <c r="E454">
        <f>IF($A454="","",IF(OR(AND($V454&lt;&gt;"",LOWER(TRIM($V454))&lt;&gt;"n/a",LOWER(TRIM($V454))&lt;&gt;"na",SUMPRODUCT(--(UPPER(TRIM($V$2:$V$518))=UPPER(TRIM($V454))),--(TRIM($V$2:$V$518)&lt;&gt;""),--(LOWER(TRIM($V$2:$V$518))&lt;&gt;"n/a"),--(LOWER(TRIM($V$2:$V$518))&lt;&gt;"na"))&gt;1),AND($W454&lt;&gt;"",LOWER(TRIM($W454))&lt;&gt;"n/a",LOWER(TRIM($W454))&lt;&gt;"na",SUMPRODUCT(--(UPPER(TRIM($W$2:$W$518))=UPPER(TRIM($W454))),--(TRIM($W$2:$W$518)&lt;&gt;""),--(LOWER(TRIM($W$2:$W$518))&lt;&gt;"n/a"),--(LOWER(TRIM($W$2:$W$518))&lt;&gt;"na"))&gt;1),AND($X454&lt;&gt;"",LOWER(TRIM($X454))&lt;&gt;"n/a",LOWER(TRIM($X454))&lt;&gt;"na",SUMPRODUCT(--(UPPER(TRIM($X$2:$X$518))=UPPER(TRIM($X454))),--(TRIM($X$2:$X$518)&lt;&gt;""),--(LOWER(TRIM($X$2:$X$518))&lt;&gt;"n/a"),--(LOWER(TRIM($X$2:$X$518))&lt;&gt;"na"))&gt;1),AND($Y454&lt;&gt;"",LOWER(TRIM($Y454))&lt;&gt;"n/a",LOWER(TRIM($Y454))&lt;&gt;"na",SUMPRODUCT(--(UPPER(SUBSTITUTE(SUBSTITUTE(TRIM($Y$2:$Y$518),":",""),"-",""))=UPPER(SUBSTITUTE(SUBSTITUTE(TRIM($Y454),":",""),"-",""))),--(TRIM($Y$2:$Y$518)&lt;&gt;""),--(LOWER(TRIM($Y$2:$Y$518))&lt;&gt;"n/a"),--(LOWER(TRIM($Y$2:$Y$518))&lt;&gt;"na"))&gt;1),AND($AB454&lt;&gt;"",LOWER(TRIM($AB454))&lt;&gt;"n/a",LOWER(TRIM($AB454))&lt;&gt;"na",SUMPRODUCT(--(UPPER(TRIM($AB$2:$AB$518))=UPPER(TRIM($AB454))),--(TRIM($AB$2:$AB$518)&lt;&gt;""),--(LOWER(TRIM($AB$2:$AB$518))&lt;&gt;"n/a"),--(LOWER(TRIM($AB$2:$AB$518))&lt;&gt;"na"))&gt;1),AND($AH454&lt;&gt;"",LOWER(TRIM($AH454))&lt;&gt;"n/a",LOWER(TRIM($AH454))&lt;&gt;"na",SUMPRODUCT(--(UPPER(SUBSTITUTE(SUBSTITUTE(TRIM($AH$2:$AH$518),":",""),"-",""))=UPPER(SUBSTITUTE(SUBSTITUTE(TRIM($AH454),":",""),"-",""))),--(TRIM($AH$2:$AH$518)&lt;&gt;""),--(LOWER(TRIM($AH$2:$AH$518))&lt;&gt;"n/a"),--(LOWER(TRIM($AH$2:$AH$518))&lt;&gt;"na"))&gt;1),AND($AP454&lt;&gt;"",LOWER(TRIM($AP454))&lt;&gt;"n/a",LOWER(TRIM($AP454))&lt;&gt;"na",SUMPRODUCT(--(UPPER(TRIM($AP$2:$AP$518))=UPPER(TRIM($AP454))),--(TRIM($AP$2:$AP$518)&lt;&gt;""),--(LOWER(TRIM($AP$2:$AP$518))&lt;&gt;"n/a"),--(LOWER(TRIM($AP$2:$AP$518))&lt;&gt;"na"))&gt;1),AND($AQ454&lt;&gt;"",LOWER(TRIM($AQ454))&lt;&gt;"n/a",LOWER(TRIM($AQ454))&lt;&gt;"na",SUMPRODUCT(--(UPPER(TRIM($AQ$2:$AQ$518))=UPPER(TRIM($AQ454))),--(TRIM($AQ$2:$AQ$518)&lt;&gt;""),--(LOWER(TRIM($AQ$2:$AQ$518))&lt;&gt;"n/a"),--(LOWER(TRIM($AQ$2:$AQ$518))&lt;&gt;"na"))&gt;1)),"Yes","No"))</f>
        <v/>
      </c>
      <c r="F454">
        <f>IF(UPPER(TRIM($B454))&lt;&gt;"YES","", IF(OR(AND($V454&lt;&gt;"", LOWER(TRIM($V454))&lt;&gt;"n/a", LOWER(TRIM($V454))&lt;&gt;"na", SUMPRODUCT(--(UPPER(TRIM($V$2:$V$518))=UPPER(TRIM($V454))), --(UPPER(TRIM($B$2:$B$518))="YES"), --(UPPER(TRIM($G$2:$G$518)&amp;TRIM($I$2:$I$518)&amp;TRIM($J$2:$J$518))&lt;&gt;UPPER(TRIM($G454)&amp;TRIM($I454)&amp;TRIM($J454))))&gt;0), AND($W454&lt;&gt;"", LOWER(TRIM($W454))&lt;&gt;"n/a", LOWER(TRIM($W454))&lt;&gt;"na", SUMPRODUCT(--(UPPER(TRIM($W$2:$W$518))=UPPER(TRIM($W454))), --(UPPER(TRIM($B$2:$B$518))="YES"), --(UPPER(TRIM($G$2:$G$518)&amp;TRIM($I$2:$I$518)&amp;TRIM($J$2:$J$518))&lt;&gt;UPPER(TRIM($G454)&amp;TRIM($I454)&amp;TRIM($J454))))&gt;0), AND($X454&lt;&gt;"", LOWER(TRIM($X454))&lt;&gt;"n/a", LOWER(TRIM($X454))&lt;&gt;"na", SUMPRODUCT(--(UPPER(TRIM($X$2:$X$518))=UPPER(TRIM($X454))), --(UPPER(TRIM($B$2:$B$518))="YES"), --(UPPER(TRIM($G$2:$G$518)&amp;TRIM($I$2:$I$518)&amp;TRIM($J$2:$J$518))&lt;&gt;UPPER(TRIM($G454)&amp;TRIM($I454)&amp;TRIM($J454))))&gt;0), AND($Y454&lt;&gt;"", LOWER(TRIM($Y454))&lt;&gt;"n/a", LOWER(TRIM($Y454))&lt;&gt;"na", SUMPRODUCT(--(UPPER(SUBSTITUTE(SUBSTITUTE(TRIM($Y$2:$Y$518),":",""),"-",""))=UPPER(SUBSTITUTE(SUBSTITUTE(TRIM($Y454),":",""),"-",""))), --(UPPER(TRIM($B$2:$B$518))="YES"), --(UPPER(TRIM($G$2:$G$518)&amp;TRIM($I$2:$I$518)&amp;TRIM($J$2:$J$518))&lt;&gt;UPPER(TRIM($G454)&amp;TRIM($I454)&amp;TRIM($J454))))&gt;0), AND($AB454&lt;&gt;"", LOWER(TRIM($AB454))&lt;&gt;"n/a", LOWER(TRIM($AB454))&lt;&gt;"na", SUMPRODUCT(--(UPPER(TRIM($AB$2:$AB$518))=UPPER(TRIM($AB454))), --(UPPER(TRIM($B$2:$B$518))="YES"), --(UPPER(TRIM($G$2:$G$518)&amp;TRIM($I$2:$I$518)&amp;TRIM($J$2:$J$518))&lt;&gt;UPPER(TRIM($G454)&amp;TRIM($I454)&amp;TRIM($J454))))&gt;0), AND($AH454&lt;&gt;"", LOWER(TRIM($AH454))&lt;&gt;"n/a", LOWER(TRIM($AH454))&lt;&gt;"na", SUMPRODUCT(--(UPPER(SUBSTITUTE(SUBSTITUTE(TRIM($AH$2:$AH$518),":",""),"-",""))=UPPER(SUBSTITUTE(SUBSTITUTE(TRIM($AH454),":",""),"-",""))), --(UPPER(TRIM($B$2:$B$518))="YES"), --(UPPER(TRIM($G$2:$G$518)&amp;TRIM($I$2:$I$518)&amp;TRIM($J$2:$J$518))&lt;&gt;UPPER(TRIM($G454)&amp;TRIM($I454)&amp;TRIM($J454))))&gt;0), AND($AP454&lt;&gt;"", LOWER(TRIM($AP454))&lt;&gt;"n/a", LOWER(TRIM($AP454))&lt;&gt;"na", SUMPRODUCT(--(UPPER(TRIM($AP$2:$AP$518))=UPPER(TRIM($AP454))), --(UPPER(TRIM($B$2:$B$518))="YES"), --(UPPER(TRIM($G$2:$G$518)&amp;TRIM($I$2:$I$518)&amp;TRIM($J$2:$J$518))&lt;&gt;UPPER(TRIM($G454)&amp;TRIM($I454)&amp;TRIM($J454))))&gt;0), AND($AQ454&lt;&gt;"", LOWER(TRIM($AQ454))&lt;&gt;"n/a", LOWER(TRIM($AQ454))&lt;&gt;"na", SUMPRODUCT(--(UPPER(TRIM($AQ$2:$AQ$518))=UPPER(TRIM($AQ454))), --(UPPER(TRIM($B$2:$B$518))="YES"), --(UPPER(TRIM($G$2:$G$518)&amp;TRIM($I$2:$I$518)&amp;TRIM($J$2:$J$518))&lt;&gt;UPPER(TRIM($G454)&amp;TRIM($I454)&amp;TRIM($J454))))&gt;0)), "Yes", "No"))</f>
        <v/>
      </c>
      <c r="CD454">
        <f>IF($Y454="","",IF((IF(AND($BR454&lt;&gt;"Yes",$BR454&lt;&gt;"N/A"),"Power Cable, ","")&amp;IF(AND($BS454&lt;&gt;"Yes",$BS454&lt;&gt;"N/A"),"Battery, ","")&amp;IF(AND($AD454&lt;&gt;"Yes",$AD454&lt;&gt;"N/A"),"Firmware Download, ","")&amp;IF(AND(OR($AD454="Yes",$AD454="N/A"),$AE454&lt;&gt;"Yes",$AE454&lt;&gt;"N/A"),"Firmware Install, ","")&amp;IF(AND($CB454&lt;&gt;"Yes",$CB454&lt;&gt;"N/A"),"Device ID, ","")&amp;IF(AND($CC454&lt;&gt;"Yes",$CC454&lt;&gt;"N/A"),"Epic Beans Relay, ",""))="","",LEFT(IF(AND($BR454&lt;&gt;"Yes",$BR454&lt;&gt;"N/A"),"Power Cable, ","")&amp;IF(AND($BS454&lt;&gt;"Yes",$BS454&lt;&gt;"N/A"),"Battery, ","")&amp;IF(AND($AD454&lt;&gt;"Yes",$AD454&lt;&gt;"N/A"),"Firmware Download, ","")&amp;IF(AND(OR($AD454="Yes",$AD454="N/A"),$AE454&lt;&gt;"Yes",$AE454&lt;&gt;"N/A"),"Firmware Install, ","")&amp;IF(AND($CB454&lt;&gt;"Yes",$CB454&lt;&gt;"N/A"),"Device ID, ","")&amp;IF(AND($CC454&lt;&gt;"Yes",$CC454&lt;&gt;"N/A"),"Epic Beans Relay, ",""),LEN(IF(AND($BR454&lt;&gt;"Yes",$BR454&lt;&gt;"N/A"),"Power Cable, ","")&amp;IF(AND($BS454&lt;&gt;"Yes",$BS454&lt;&gt;"N/A"),"Battery, ","")&amp;IF(AND($AD454&lt;&gt;"Yes",$AD454&lt;&gt;"N/A"),"Firmware Download, ","")&amp;IF(AND(OR($AD454="Yes",$AD454="N/A"),$AE454&lt;&gt;"Yes",$AE454&lt;&gt;"N/A"),"Firmware Install, ","")&amp;IF(AND($CB454&lt;&gt;"Yes",$CB454&lt;&gt;"N/A"),"Device ID, ","")&amp;IF(AND($CC454&lt;&gt;"Yes",$CC454&lt;&gt;"N/A"),"Epic Beans Relay, ",""))-2)))</f>
        <v/>
      </c>
      <c r="CE454">
        <f>IF($Y454="","",IF($CD454="","Yes","Blocked"))</f>
        <v/>
      </c>
      <c r="CP454">
        <f>IF($CO454="","",IFERROR(VLOOKUP($CO454,'01_Warehouse_Ledger'!$A:$N,4,FALSE),""))</f>
        <v/>
      </c>
      <c r="CQ454">
        <f>IF($CO454="","",IFERROR(VLOOKUP($CO454,'01_Warehouse_Ledger'!$A:$N,5,FALSE),""))</f>
        <v/>
      </c>
      <c r="CR454">
        <f>IF($CO454="","",IFERROR(VLOOKUP($CO454,'01_Warehouse_Ledger'!$A:$N,13,FALSE),""))</f>
        <v/>
      </c>
      <c r="CW454">
        <f>IF($S454="","",IF(UPPER(TRIM($S454))&lt;&gt;"PASS","",IF(LEN(TRIM($BY454))&gt;0,"NOTES_PRESENT",IF(LEN(TRIM($T454))=0,"SET_NA",IF(OR(LOWER(TRIM($T454))="na",LOWER(TRIM($T454))="n/a"),"OK","MANUAL_OVERRIDE")))))</f>
        <v/>
      </c>
    </row>
    <row r="455">
      <c r="B455" t="inlineStr">
        <is>
          <t>No</t>
        </is>
      </c>
      <c r="C455" t="inlineStr">
        <is>
          <t>No</t>
        </is>
      </c>
      <c r="D455">
        <f>IF($B455&lt;&gt;"Yes","",IF($C455="No","Yes",IF($C455="Yes","No","")))</f>
        <v/>
      </c>
      <c r="E455">
        <f>IF($A455="","",IF(OR(AND($V455&lt;&gt;"",LOWER(TRIM($V455))&lt;&gt;"n/a",LOWER(TRIM($V455))&lt;&gt;"na",SUMPRODUCT(--(UPPER(TRIM($V$2:$V$518))=UPPER(TRIM($V455))),--(TRIM($V$2:$V$518)&lt;&gt;""),--(LOWER(TRIM($V$2:$V$518))&lt;&gt;"n/a"),--(LOWER(TRIM($V$2:$V$518))&lt;&gt;"na"))&gt;1),AND($W455&lt;&gt;"",LOWER(TRIM($W455))&lt;&gt;"n/a",LOWER(TRIM($W455))&lt;&gt;"na",SUMPRODUCT(--(UPPER(TRIM($W$2:$W$518))=UPPER(TRIM($W455))),--(TRIM($W$2:$W$518)&lt;&gt;""),--(LOWER(TRIM($W$2:$W$518))&lt;&gt;"n/a"),--(LOWER(TRIM($W$2:$W$518))&lt;&gt;"na"))&gt;1),AND($X455&lt;&gt;"",LOWER(TRIM($X455))&lt;&gt;"n/a",LOWER(TRIM($X455))&lt;&gt;"na",SUMPRODUCT(--(UPPER(TRIM($X$2:$X$518))=UPPER(TRIM($X455))),--(TRIM($X$2:$X$518)&lt;&gt;""),--(LOWER(TRIM($X$2:$X$518))&lt;&gt;"n/a"),--(LOWER(TRIM($X$2:$X$518))&lt;&gt;"na"))&gt;1),AND($Y455&lt;&gt;"",LOWER(TRIM($Y455))&lt;&gt;"n/a",LOWER(TRIM($Y455))&lt;&gt;"na",SUMPRODUCT(--(UPPER(SUBSTITUTE(SUBSTITUTE(TRIM($Y$2:$Y$518),":",""),"-",""))=UPPER(SUBSTITUTE(SUBSTITUTE(TRIM($Y455),":",""),"-",""))),--(TRIM($Y$2:$Y$518)&lt;&gt;""),--(LOWER(TRIM($Y$2:$Y$518))&lt;&gt;"n/a"),--(LOWER(TRIM($Y$2:$Y$518))&lt;&gt;"na"))&gt;1),AND($AB455&lt;&gt;"",LOWER(TRIM($AB455))&lt;&gt;"n/a",LOWER(TRIM($AB455))&lt;&gt;"na",SUMPRODUCT(--(UPPER(TRIM($AB$2:$AB$518))=UPPER(TRIM($AB455))),--(TRIM($AB$2:$AB$518)&lt;&gt;""),--(LOWER(TRIM($AB$2:$AB$518))&lt;&gt;"n/a"),--(LOWER(TRIM($AB$2:$AB$518))&lt;&gt;"na"))&gt;1),AND($AH455&lt;&gt;"",LOWER(TRIM($AH455))&lt;&gt;"n/a",LOWER(TRIM($AH455))&lt;&gt;"na",SUMPRODUCT(--(UPPER(SUBSTITUTE(SUBSTITUTE(TRIM($AH$2:$AH$518),":",""),"-",""))=UPPER(SUBSTITUTE(SUBSTITUTE(TRIM($AH455),":",""),"-",""))),--(TRIM($AH$2:$AH$518)&lt;&gt;""),--(LOWER(TRIM($AH$2:$AH$518))&lt;&gt;"n/a"),--(LOWER(TRIM($AH$2:$AH$518))&lt;&gt;"na"))&gt;1),AND($AP455&lt;&gt;"",LOWER(TRIM($AP455))&lt;&gt;"n/a",LOWER(TRIM($AP455))&lt;&gt;"na",SUMPRODUCT(--(UPPER(TRIM($AP$2:$AP$518))=UPPER(TRIM($AP455))),--(TRIM($AP$2:$AP$518)&lt;&gt;""),--(LOWER(TRIM($AP$2:$AP$518))&lt;&gt;"n/a"),--(LOWER(TRIM($AP$2:$AP$518))&lt;&gt;"na"))&gt;1),AND($AQ455&lt;&gt;"",LOWER(TRIM($AQ455))&lt;&gt;"n/a",LOWER(TRIM($AQ455))&lt;&gt;"na",SUMPRODUCT(--(UPPER(TRIM($AQ$2:$AQ$518))=UPPER(TRIM($AQ455))),--(TRIM($AQ$2:$AQ$518)&lt;&gt;""),--(LOWER(TRIM($AQ$2:$AQ$518))&lt;&gt;"n/a"),--(LOWER(TRIM($AQ$2:$AQ$518))&lt;&gt;"na"))&gt;1)),"Yes","No"))</f>
        <v/>
      </c>
      <c r="F455">
        <f>IF(UPPER(TRIM($B455))&lt;&gt;"YES","", IF(OR(AND($V455&lt;&gt;"", LOWER(TRIM($V455))&lt;&gt;"n/a", LOWER(TRIM($V455))&lt;&gt;"na", SUMPRODUCT(--(UPPER(TRIM($V$2:$V$518))=UPPER(TRIM($V455))), --(UPPER(TRIM($B$2:$B$518))="YES"), --(UPPER(TRIM($G$2:$G$518)&amp;TRIM($I$2:$I$518)&amp;TRIM($J$2:$J$518))&lt;&gt;UPPER(TRIM($G455)&amp;TRIM($I455)&amp;TRIM($J455))))&gt;0), AND($W455&lt;&gt;"", LOWER(TRIM($W455))&lt;&gt;"n/a", LOWER(TRIM($W455))&lt;&gt;"na", SUMPRODUCT(--(UPPER(TRIM($W$2:$W$518))=UPPER(TRIM($W455))), --(UPPER(TRIM($B$2:$B$518))="YES"), --(UPPER(TRIM($G$2:$G$518)&amp;TRIM($I$2:$I$518)&amp;TRIM($J$2:$J$518))&lt;&gt;UPPER(TRIM($G455)&amp;TRIM($I455)&amp;TRIM($J455))))&gt;0), AND($X455&lt;&gt;"", LOWER(TRIM($X455))&lt;&gt;"n/a", LOWER(TRIM($X455))&lt;&gt;"na", SUMPRODUCT(--(UPPER(TRIM($X$2:$X$518))=UPPER(TRIM($X455))), --(UPPER(TRIM($B$2:$B$518))="YES"), --(UPPER(TRIM($G$2:$G$518)&amp;TRIM($I$2:$I$518)&amp;TRIM($J$2:$J$518))&lt;&gt;UPPER(TRIM($G455)&amp;TRIM($I455)&amp;TRIM($J455))))&gt;0), AND($Y455&lt;&gt;"", LOWER(TRIM($Y455))&lt;&gt;"n/a", LOWER(TRIM($Y455))&lt;&gt;"na", SUMPRODUCT(--(UPPER(SUBSTITUTE(SUBSTITUTE(TRIM($Y$2:$Y$518),":",""),"-",""))=UPPER(SUBSTITUTE(SUBSTITUTE(TRIM($Y455),":",""),"-",""))), --(UPPER(TRIM($B$2:$B$518))="YES"), --(UPPER(TRIM($G$2:$G$518)&amp;TRIM($I$2:$I$518)&amp;TRIM($J$2:$J$518))&lt;&gt;UPPER(TRIM($G455)&amp;TRIM($I455)&amp;TRIM($J455))))&gt;0), AND($AB455&lt;&gt;"", LOWER(TRIM($AB455))&lt;&gt;"n/a", LOWER(TRIM($AB455))&lt;&gt;"na", SUMPRODUCT(--(UPPER(TRIM($AB$2:$AB$518))=UPPER(TRIM($AB455))), --(UPPER(TRIM($B$2:$B$518))="YES"), --(UPPER(TRIM($G$2:$G$518)&amp;TRIM($I$2:$I$518)&amp;TRIM($J$2:$J$518))&lt;&gt;UPPER(TRIM($G455)&amp;TRIM($I455)&amp;TRIM($J455))))&gt;0), AND($AH455&lt;&gt;"", LOWER(TRIM($AH455))&lt;&gt;"n/a", LOWER(TRIM($AH455))&lt;&gt;"na", SUMPRODUCT(--(UPPER(SUBSTITUTE(SUBSTITUTE(TRIM($AH$2:$AH$518),":",""),"-",""))=UPPER(SUBSTITUTE(SUBSTITUTE(TRIM($AH455),":",""),"-",""))), --(UPPER(TRIM($B$2:$B$518))="YES"), --(UPPER(TRIM($G$2:$G$518)&amp;TRIM($I$2:$I$518)&amp;TRIM($J$2:$J$518))&lt;&gt;UPPER(TRIM($G455)&amp;TRIM($I455)&amp;TRIM($J455))))&gt;0), AND($AP455&lt;&gt;"", LOWER(TRIM($AP455))&lt;&gt;"n/a", LOWER(TRIM($AP455))&lt;&gt;"na", SUMPRODUCT(--(UPPER(TRIM($AP$2:$AP$518))=UPPER(TRIM($AP455))), --(UPPER(TRIM($B$2:$B$518))="YES"), --(UPPER(TRIM($G$2:$G$518)&amp;TRIM($I$2:$I$518)&amp;TRIM($J$2:$J$518))&lt;&gt;UPPER(TRIM($G455)&amp;TRIM($I455)&amp;TRIM($J455))))&gt;0), AND($AQ455&lt;&gt;"", LOWER(TRIM($AQ455))&lt;&gt;"n/a", LOWER(TRIM($AQ455))&lt;&gt;"na", SUMPRODUCT(--(UPPER(TRIM($AQ$2:$AQ$518))=UPPER(TRIM($AQ455))), --(UPPER(TRIM($B$2:$B$518))="YES"), --(UPPER(TRIM($G$2:$G$518)&amp;TRIM($I$2:$I$518)&amp;TRIM($J$2:$J$518))&lt;&gt;UPPER(TRIM($G455)&amp;TRIM($I455)&amp;TRIM($J455))))&gt;0)), "Yes", "No"))</f>
        <v/>
      </c>
      <c r="CD455">
        <f>IF($Y455="","",IF((IF(AND($BR455&lt;&gt;"Yes",$BR455&lt;&gt;"N/A"),"Power Cable, ","")&amp;IF(AND($BS455&lt;&gt;"Yes",$BS455&lt;&gt;"N/A"),"Battery, ","")&amp;IF(AND($AD455&lt;&gt;"Yes",$AD455&lt;&gt;"N/A"),"Firmware Download, ","")&amp;IF(AND(OR($AD455="Yes",$AD455="N/A"),$AE455&lt;&gt;"Yes",$AE455&lt;&gt;"N/A"),"Firmware Install, ","")&amp;IF(AND($CB455&lt;&gt;"Yes",$CB455&lt;&gt;"N/A"),"Device ID, ","")&amp;IF(AND($CC455&lt;&gt;"Yes",$CC455&lt;&gt;"N/A"),"Epic Beans Relay, ",""))="","",LEFT(IF(AND($BR455&lt;&gt;"Yes",$BR455&lt;&gt;"N/A"),"Power Cable, ","")&amp;IF(AND($BS455&lt;&gt;"Yes",$BS455&lt;&gt;"N/A"),"Battery, ","")&amp;IF(AND($AD455&lt;&gt;"Yes",$AD455&lt;&gt;"N/A"),"Firmware Download, ","")&amp;IF(AND(OR($AD455="Yes",$AD455="N/A"),$AE455&lt;&gt;"Yes",$AE455&lt;&gt;"N/A"),"Firmware Install, ","")&amp;IF(AND($CB455&lt;&gt;"Yes",$CB455&lt;&gt;"N/A"),"Device ID, ","")&amp;IF(AND($CC455&lt;&gt;"Yes",$CC455&lt;&gt;"N/A"),"Epic Beans Relay, ",""),LEN(IF(AND($BR455&lt;&gt;"Yes",$BR455&lt;&gt;"N/A"),"Power Cable, ","")&amp;IF(AND($BS455&lt;&gt;"Yes",$BS455&lt;&gt;"N/A"),"Battery, ","")&amp;IF(AND($AD455&lt;&gt;"Yes",$AD455&lt;&gt;"N/A"),"Firmware Download, ","")&amp;IF(AND(OR($AD455="Yes",$AD455="N/A"),$AE455&lt;&gt;"Yes",$AE455&lt;&gt;"N/A"),"Firmware Install, ","")&amp;IF(AND($CB455&lt;&gt;"Yes",$CB455&lt;&gt;"N/A"),"Device ID, ","")&amp;IF(AND($CC455&lt;&gt;"Yes",$CC455&lt;&gt;"N/A"),"Epic Beans Relay, ",""))-2)))</f>
        <v/>
      </c>
      <c r="CE455">
        <f>IF($Y455="","",IF($CD455="","Yes","Blocked"))</f>
        <v/>
      </c>
      <c r="CP455">
        <f>IF($CO455="","",IFERROR(VLOOKUP($CO455,'01_Warehouse_Ledger'!$A:$N,4,FALSE),""))</f>
        <v/>
      </c>
      <c r="CQ455">
        <f>IF($CO455="","",IFERROR(VLOOKUP($CO455,'01_Warehouse_Ledger'!$A:$N,5,FALSE),""))</f>
        <v/>
      </c>
      <c r="CR455">
        <f>IF($CO455="","",IFERROR(VLOOKUP($CO455,'01_Warehouse_Ledger'!$A:$N,13,FALSE),""))</f>
        <v/>
      </c>
      <c r="CW455">
        <f>IF($S455="","",IF(UPPER(TRIM($S455))&lt;&gt;"PASS","",IF(LEN(TRIM($BY455))&gt;0,"NOTES_PRESENT",IF(LEN(TRIM($T455))=0,"SET_NA",IF(OR(LOWER(TRIM($T455))="na",LOWER(TRIM($T455))="n/a"),"OK","MANUAL_OVERRIDE")))))</f>
        <v/>
      </c>
    </row>
    <row r="456">
      <c r="B456" t="inlineStr">
        <is>
          <t>No</t>
        </is>
      </c>
      <c r="C456" t="inlineStr">
        <is>
          <t>No</t>
        </is>
      </c>
      <c r="D456">
        <f>IF($B456&lt;&gt;"Yes","",IF($C456="No","Yes",IF($C456="Yes","No","")))</f>
        <v/>
      </c>
      <c r="E456">
        <f>IF($A456="","",IF(OR(AND($V456&lt;&gt;"",LOWER(TRIM($V456))&lt;&gt;"n/a",LOWER(TRIM($V456))&lt;&gt;"na",SUMPRODUCT(--(UPPER(TRIM($V$2:$V$518))=UPPER(TRIM($V456))),--(TRIM($V$2:$V$518)&lt;&gt;""),--(LOWER(TRIM($V$2:$V$518))&lt;&gt;"n/a"),--(LOWER(TRIM($V$2:$V$518))&lt;&gt;"na"))&gt;1),AND($W456&lt;&gt;"",LOWER(TRIM($W456))&lt;&gt;"n/a",LOWER(TRIM($W456))&lt;&gt;"na",SUMPRODUCT(--(UPPER(TRIM($W$2:$W$518))=UPPER(TRIM($W456))),--(TRIM($W$2:$W$518)&lt;&gt;""),--(LOWER(TRIM($W$2:$W$518))&lt;&gt;"n/a"),--(LOWER(TRIM($W$2:$W$518))&lt;&gt;"na"))&gt;1),AND($X456&lt;&gt;"",LOWER(TRIM($X456))&lt;&gt;"n/a",LOWER(TRIM($X456))&lt;&gt;"na",SUMPRODUCT(--(UPPER(TRIM($X$2:$X$518))=UPPER(TRIM($X456))),--(TRIM($X$2:$X$518)&lt;&gt;""),--(LOWER(TRIM($X$2:$X$518))&lt;&gt;"n/a"),--(LOWER(TRIM($X$2:$X$518))&lt;&gt;"na"))&gt;1),AND($Y456&lt;&gt;"",LOWER(TRIM($Y456))&lt;&gt;"n/a",LOWER(TRIM($Y456))&lt;&gt;"na",SUMPRODUCT(--(UPPER(SUBSTITUTE(SUBSTITUTE(TRIM($Y$2:$Y$518),":",""),"-",""))=UPPER(SUBSTITUTE(SUBSTITUTE(TRIM($Y456),":",""),"-",""))),--(TRIM($Y$2:$Y$518)&lt;&gt;""),--(LOWER(TRIM($Y$2:$Y$518))&lt;&gt;"n/a"),--(LOWER(TRIM($Y$2:$Y$518))&lt;&gt;"na"))&gt;1),AND($AB456&lt;&gt;"",LOWER(TRIM($AB456))&lt;&gt;"n/a",LOWER(TRIM($AB456))&lt;&gt;"na",SUMPRODUCT(--(UPPER(TRIM($AB$2:$AB$518))=UPPER(TRIM($AB456))),--(TRIM($AB$2:$AB$518)&lt;&gt;""),--(LOWER(TRIM($AB$2:$AB$518))&lt;&gt;"n/a"),--(LOWER(TRIM($AB$2:$AB$518))&lt;&gt;"na"))&gt;1),AND($AH456&lt;&gt;"",LOWER(TRIM($AH456))&lt;&gt;"n/a",LOWER(TRIM($AH456))&lt;&gt;"na",SUMPRODUCT(--(UPPER(SUBSTITUTE(SUBSTITUTE(TRIM($AH$2:$AH$518),":",""),"-",""))=UPPER(SUBSTITUTE(SUBSTITUTE(TRIM($AH456),":",""),"-",""))),--(TRIM($AH$2:$AH$518)&lt;&gt;""),--(LOWER(TRIM($AH$2:$AH$518))&lt;&gt;"n/a"),--(LOWER(TRIM($AH$2:$AH$518))&lt;&gt;"na"))&gt;1),AND($AP456&lt;&gt;"",LOWER(TRIM($AP456))&lt;&gt;"n/a",LOWER(TRIM($AP456))&lt;&gt;"na",SUMPRODUCT(--(UPPER(TRIM($AP$2:$AP$518))=UPPER(TRIM($AP456))),--(TRIM($AP$2:$AP$518)&lt;&gt;""),--(LOWER(TRIM($AP$2:$AP$518))&lt;&gt;"n/a"),--(LOWER(TRIM($AP$2:$AP$518))&lt;&gt;"na"))&gt;1),AND($AQ456&lt;&gt;"",LOWER(TRIM($AQ456))&lt;&gt;"n/a",LOWER(TRIM($AQ456))&lt;&gt;"na",SUMPRODUCT(--(UPPER(TRIM($AQ$2:$AQ$518))=UPPER(TRIM($AQ456))),--(TRIM($AQ$2:$AQ$518)&lt;&gt;""),--(LOWER(TRIM($AQ$2:$AQ$518))&lt;&gt;"n/a"),--(LOWER(TRIM($AQ$2:$AQ$518))&lt;&gt;"na"))&gt;1)),"Yes","No"))</f>
        <v/>
      </c>
      <c r="F456">
        <f>IF(UPPER(TRIM($B456))&lt;&gt;"YES","", IF(OR(AND($V456&lt;&gt;"", LOWER(TRIM($V456))&lt;&gt;"n/a", LOWER(TRIM($V456))&lt;&gt;"na", SUMPRODUCT(--(UPPER(TRIM($V$2:$V$518))=UPPER(TRIM($V456))), --(UPPER(TRIM($B$2:$B$518))="YES"), --(UPPER(TRIM($G$2:$G$518)&amp;TRIM($I$2:$I$518)&amp;TRIM($J$2:$J$518))&lt;&gt;UPPER(TRIM($G456)&amp;TRIM($I456)&amp;TRIM($J456))))&gt;0), AND($W456&lt;&gt;"", LOWER(TRIM($W456))&lt;&gt;"n/a", LOWER(TRIM($W456))&lt;&gt;"na", SUMPRODUCT(--(UPPER(TRIM($W$2:$W$518))=UPPER(TRIM($W456))), --(UPPER(TRIM($B$2:$B$518))="YES"), --(UPPER(TRIM($G$2:$G$518)&amp;TRIM($I$2:$I$518)&amp;TRIM($J$2:$J$518))&lt;&gt;UPPER(TRIM($G456)&amp;TRIM($I456)&amp;TRIM($J456))))&gt;0), AND($X456&lt;&gt;"", LOWER(TRIM($X456))&lt;&gt;"n/a", LOWER(TRIM($X456))&lt;&gt;"na", SUMPRODUCT(--(UPPER(TRIM($X$2:$X$518))=UPPER(TRIM($X456))), --(UPPER(TRIM($B$2:$B$518))="YES"), --(UPPER(TRIM($G$2:$G$518)&amp;TRIM($I$2:$I$518)&amp;TRIM($J$2:$J$518))&lt;&gt;UPPER(TRIM($G456)&amp;TRIM($I456)&amp;TRIM($J456))))&gt;0), AND($Y456&lt;&gt;"", LOWER(TRIM($Y456))&lt;&gt;"n/a", LOWER(TRIM($Y456))&lt;&gt;"na", SUMPRODUCT(--(UPPER(SUBSTITUTE(SUBSTITUTE(TRIM($Y$2:$Y$518),":",""),"-",""))=UPPER(SUBSTITUTE(SUBSTITUTE(TRIM($Y456),":",""),"-",""))), --(UPPER(TRIM($B$2:$B$518))="YES"), --(UPPER(TRIM($G$2:$G$518)&amp;TRIM($I$2:$I$518)&amp;TRIM($J$2:$J$518))&lt;&gt;UPPER(TRIM($G456)&amp;TRIM($I456)&amp;TRIM($J456))))&gt;0), AND($AB456&lt;&gt;"", LOWER(TRIM($AB456))&lt;&gt;"n/a", LOWER(TRIM($AB456))&lt;&gt;"na", SUMPRODUCT(--(UPPER(TRIM($AB$2:$AB$518))=UPPER(TRIM($AB456))), --(UPPER(TRIM($B$2:$B$518))="YES"), --(UPPER(TRIM($G$2:$G$518)&amp;TRIM($I$2:$I$518)&amp;TRIM($J$2:$J$518))&lt;&gt;UPPER(TRIM($G456)&amp;TRIM($I456)&amp;TRIM($J456))))&gt;0), AND($AH456&lt;&gt;"", LOWER(TRIM($AH456))&lt;&gt;"n/a", LOWER(TRIM($AH456))&lt;&gt;"na", SUMPRODUCT(--(UPPER(SUBSTITUTE(SUBSTITUTE(TRIM($AH$2:$AH$518),":",""),"-",""))=UPPER(SUBSTITUTE(SUBSTITUTE(TRIM($AH456),":",""),"-",""))), --(UPPER(TRIM($B$2:$B$518))="YES"), --(UPPER(TRIM($G$2:$G$518)&amp;TRIM($I$2:$I$518)&amp;TRIM($J$2:$J$518))&lt;&gt;UPPER(TRIM($G456)&amp;TRIM($I456)&amp;TRIM($J456))))&gt;0), AND($AP456&lt;&gt;"", LOWER(TRIM($AP456))&lt;&gt;"n/a", LOWER(TRIM($AP456))&lt;&gt;"na", SUMPRODUCT(--(UPPER(TRIM($AP$2:$AP$518))=UPPER(TRIM($AP456))), --(UPPER(TRIM($B$2:$B$518))="YES"), --(UPPER(TRIM($G$2:$G$518)&amp;TRIM($I$2:$I$518)&amp;TRIM($J$2:$J$518))&lt;&gt;UPPER(TRIM($G456)&amp;TRIM($I456)&amp;TRIM($J456))))&gt;0), AND($AQ456&lt;&gt;"", LOWER(TRIM($AQ456))&lt;&gt;"n/a", LOWER(TRIM($AQ456))&lt;&gt;"na", SUMPRODUCT(--(UPPER(TRIM($AQ$2:$AQ$518))=UPPER(TRIM($AQ456))), --(UPPER(TRIM($B$2:$B$518))="YES"), --(UPPER(TRIM($G$2:$G$518)&amp;TRIM($I$2:$I$518)&amp;TRIM($J$2:$J$518))&lt;&gt;UPPER(TRIM($G456)&amp;TRIM($I456)&amp;TRIM($J456))))&gt;0)), "Yes", "No"))</f>
        <v/>
      </c>
      <c r="CD456">
        <f>IF($Y456="","",IF((IF(AND($BR456&lt;&gt;"Yes",$BR456&lt;&gt;"N/A"),"Power Cable, ","")&amp;IF(AND($BS456&lt;&gt;"Yes",$BS456&lt;&gt;"N/A"),"Battery, ","")&amp;IF(AND($AD456&lt;&gt;"Yes",$AD456&lt;&gt;"N/A"),"Firmware Download, ","")&amp;IF(AND(OR($AD456="Yes",$AD456="N/A"),$AE456&lt;&gt;"Yes",$AE456&lt;&gt;"N/A"),"Firmware Install, ","")&amp;IF(AND($CB456&lt;&gt;"Yes",$CB456&lt;&gt;"N/A"),"Device ID, ","")&amp;IF(AND($CC456&lt;&gt;"Yes",$CC456&lt;&gt;"N/A"),"Epic Beans Relay, ",""))="","",LEFT(IF(AND($BR456&lt;&gt;"Yes",$BR456&lt;&gt;"N/A"),"Power Cable, ","")&amp;IF(AND($BS456&lt;&gt;"Yes",$BS456&lt;&gt;"N/A"),"Battery, ","")&amp;IF(AND($AD456&lt;&gt;"Yes",$AD456&lt;&gt;"N/A"),"Firmware Download, ","")&amp;IF(AND(OR($AD456="Yes",$AD456="N/A"),$AE456&lt;&gt;"Yes",$AE456&lt;&gt;"N/A"),"Firmware Install, ","")&amp;IF(AND($CB456&lt;&gt;"Yes",$CB456&lt;&gt;"N/A"),"Device ID, ","")&amp;IF(AND($CC456&lt;&gt;"Yes",$CC456&lt;&gt;"N/A"),"Epic Beans Relay, ",""),LEN(IF(AND($BR456&lt;&gt;"Yes",$BR456&lt;&gt;"N/A"),"Power Cable, ","")&amp;IF(AND($BS456&lt;&gt;"Yes",$BS456&lt;&gt;"N/A"),"Battery, ","")&amp;IF(AND($AD456&lt;&gt;"Yes",$AD456&lt;&gt;"N/A"),"Firmware Download, ","")&amp;IF(AND(OR($AD456="Yes",$AD456="N/A"),$AE456&lt;&gt;"Yes",$AE456&lt;&gt;"N/A"),"Firmware Install, ","")&amp;IF(AND($CB456&lt;&gt;"Yes",$CB456&lt;&gt;"N/A"),"Device ID, ","")&amp;IF(AND($CC456&lt;&gt;"Yes",$CC456&lt;&gt;"N/A"),"Epic Beans Relay, ",""))-2)))</f>
        <v/>
      </c>
      <c r="CE456">
        <f>IF($Y456="","",IF($CD456="","Yes","Blocked"))</f>
        <v/>
      </c>
      <c r="CP456">
        <f>IF($CO456="","",IFERROR(VLOOKUP($CO456,'01_Warehouse_Ledger'!$A:$N,4,FALSE),""))</f>
        <v/>
      </c>
      <c r="CQ456">
        <f>IF($CO456="","",IFERROR(VLOOKUP($CO456,'01_Warehouse_Ledger'!$A:$N,5,FALSE),""))</f>
        <v/>
      </c>
      <c r="CR456">
        <f>IF($CO456="","",IFERROR(VLOOKUP($CO456,'01_Warehouse_Ledger'!$A:$N,13,FALSE),""))</f>
        <v/>
      </c>
      <c r="CW456">
        <f>IF($S456="","",IF(UPPER(TRIM($S456))&lt;&gt;"PASS","",IF(LEN(TRIM($BY456))&gt;0,"NOTES_PRESENT",IF(LEN(TRIM($T456))=0,"SET_NA",IF(OR(LOWER(TRIM($T456))="na",LOWER(TRIM($T456))="n/a"),"OK","MANUAL_OVERRIDE")))))</f>
        <v/>
      </c>
    </row>
    <row r="457">
      <c r="B457" t="inlineStr">
        <is>
          <t>No</t>
        </is>
      </c>
      <c r="C457" t="inlineStr">
        <is>
          <t>No</t>
        </is>
      </c>
      <c r="D457">
        <f>IF($B457&lt;&gt;"Yes","",IF($C457="No","Yes",IF($C457="Yes","No","")))</f>
        <v/>
      </c>
      <c r="E457">
        <f>IF($A457="","",IF(OR(AND($V457&lt;&gt;"",LOWER(TRIM($V457))&lt;&gt;"n/a",LOWER(TRIM($V457))&lt;&gt;"na",SUMPRODUCT(--(UPPER(TRIM($V$2:$V$518))=UPPER(TRIM($V457))),--(TRIM($V$2:$V$518)&lt;&gt;""),--(LOWER(TRIM($V$2:$V$518))&lt;&gt;"n/a"),--(LOWER(TRIM($V$2:$V$518))&lt;&gt;"na"))&gt;1),AND($W457&lt;&gt;"",LOWER(TRIM($W457))&lt;&gt;"n/a",LOWER(TRIM($W457))&lt;&gt;"na",SUMPRODUCT(--(UPPER(TRIM($W$2:$W$518))=UPPER(TRIM($W457))),--(TRIM($W$2:$W$518)&lt;&gt;""),--(LOWER(TRIM($W$2:$W$518))&lt;&gt;"n/a"),--(LOWER(TRIM($W$2:$W$518))&lt;&gt;"na"))&gt;1),AND($X457&lt;&gt;"",LOWER(TRIM($X457))&lt;&gt;"n/a",LOWER(TRIM($X457))&lt;&gt;"na",SUMPRODUCT(--(UPPER(TRIM($X$2:$X$518))=UPPER(TRIM($X457))),--(TRIM($X$2:$X$518)&lt;&gt;""),--(LOWER(TRIM($X$2:$X$518))&lt;&gt;"n/a"),--(LOWER(TRIM($X$2:$X$518))&lt;&gt;"na"))&gt;1),AND($Y457&lt;&gt;"",LOWER(TRIM($Y457))&lt;&gt;"n/a",LOWER(TRIM($Y457))&lt;&gt;"na",SUMPRODUCT(--(UPPER(SUBSTITUTE(SUBSTITUTE(TRIM($Y$2:$Y$518),":",""),"-",""))=UPPER(SUBSTITUTE(SUBSTITUTE(TRIM($Y457),":",""),"-",""))),--(TRIM($Y$2:$Y$518)&lt;&gt;""),--(LOWER(TRIM($Y$2:$Y$518))&lt;&gt;"n/a"),--(LOWER(TRIM($Y$2:$Y$518))&lt;&gt;"na"))&gt;1),AND($AB457&lt;&gt;"",LOWER(TRIM($AB457))&lt;&gt;"n/a",LOWER(TRIM($AB457))&lt;&gt;"na",SUMPRODUCT(--(UPPER(TRIM($AB$2:$AB$518))=UPPER(TRIM($AB457))),--(TRIM($AB$2:$AB$518)&lt;&gt;""),--(LOWER(TRIM($AB$2:$AB$518))&lt;&gt;"n/a"),--(LOWER(TRIM($AB$2:$AB$518))&lt;&gt;"na"))&gt;1),AND($AH457&lt;&gt;"",LOWER(TRIM($AH457))&lt;&gt;"n/a",LOWER(TRIM($AH457))&lt;&gt;"na",SUMPRODUCT(--(UPPER(SUBSTITUTE(SUBSTITUTE(TRIM($AH$2:$AH$518),":",""),"-",""))=UPPER(SUBSTITUTE(SUBSTITUTE(TRIM($AH457),":",""),"-",""))),--(TRIM($AH$2:$AH$518)&lt;&gt;""),--(LOWER(TRIM($AH$2:$AH$518))&lt;&gt;"n/a"),--(LOWER(TRIM($AH$2:$AH$518))&lt;&gt;"na"))&gt;1),AND($AP457&lt;&gt;"",LOWER(TRIM($AP457))&lt;&gt;"n/a",LOWER(TRIM($AP457))&lt;&gt;"na",SUMPRODUCT(--(UPPER(TRIM($AP$2:$AP$518))=UPPER(TRIM($AP457))),--(TRIM($AP$2:$AP$518)&lt;&gt;""),--(LOWER(TRIM($AP$2:$AP$518))&lt;&gt;"n/a"),--(LOWER(TRIM($AP$2:$AP$518))&lt;&gt;"na"))&gt;1),AND($AQ457&lt;&gt;"",LOWER(TRIM($AQ457))&lt;&gt;"n/a",LOWER(TRIM($AQ457))&lt;&gt;"na",SUMPRODUCT(--(UPPER(TRIM($AQ$2:$AQ$518))=UPPER(TRIM($AQ457))),--(TRIM($AQ$2:$AQ$518)&lt;&gt;""),--(LOWER(TRIM($AQ$2:$AQ$518))&lt;&gt;"n/a"),--(LOWER(TRIM($AQ$2:$AQ$518))&lt;&gt;"na"))&gt;1)),"Yes","No"))</f>
        <v/>
      </c>
      <c r="F457">
        <f>IF(UPPER(TRIM($B457))&lt;&gt;"YES","", IF(OR(AND($V457&lt;&gt;"", LOWER(TRIM($V457))&lt;&gt;"n/a", LOWER(TRIM($V457))&lt;&gt;"na", SUMPRODUCT(--(UPPER(TRIM($V$2:$V$518))=UPPER(TRIM($V457))), --(UPPER(TRIM($B$2:$B$518))="YES"), --(UPPER(TRIM($G$2:$G$518)&amp;TRIM($I$2:$I$518)&amp;TRIM($J$2:$J$518))&lt;&gt;UPPER(TRIM($G457)&amp;TRIM($I457)&amp;TRIM($J457))))&gt;0), AND($W457&lt;&gt;"", LOWER(TRIM($W457))&lt;&gt;"n/a", LOWER(TRIM($W457))&lt;&gt;"na", SUMPRODUCT(--(UPPER(TRIM($W$2:$W$518))=UPPER(TRIM($W457))), --(UPPER(TRIM($B$2:$B$518))="YES"), --(UPPER(TRIM($G$2:$G$518)&amp;TRIM($I$2:$I$518)&amp;TRIM($J$2:$J$518))&lt;&gt;UPPER(TRIM($G457)&amp;TRIM($I457)&amp;TRIM($J457))))&gt;0), AND($X457&lt;&gt;"", LOWER(TRIM($X457))&lt;&gt;"n/a", LOWER(TRIM($X457))&lt;&gt;"na", SUMPRODUCT(--(UPPER(TRIM($X$2:$X$518))=UPPER(TRIM($X457))), --(UPPER(TRIM($B$2:$B$518))="YES"), --(UPPER(TRIM($G$2:$G$518)&amp;TRIM($I$2:$I$518)&amp;TRIM($J$2:$J$518))&lt;&gt;UPPER(TRIM($G457)&amp;TRIM($I457)&amp;TRIM($J457))))&gt;0), AND($Y457&lt;&gt;"", LOWER(TRIM($Y457))&lt;&gt;"n/a", LOWER(TRIM($Y457))&lt;&gt;"na", SUMPRODUCT(--(UPPER(SUBSTITUTE(SUBSTITUTE(TRIM($Y$2:$Y$518),":",""),"-",""))=UPPER(SUBSTITUTE(SUBSTITUTE(TRIM($Y457),":",""),"-",""))), --(UPPER(TRIM($B$2:$B$518))="YES"), --(UPPER(TRIM($G$2:$G$518)&amp;TRIM($I$2:$I$518)&amp;TRIM($J$2:$J$518))&lt;&gt;UPPER(TRIM($G457)&amp;TRIM($I457)&amp;TRIM($J457))))&gt;0), AND($AB457&lt;&gt;"", LOWER(TRIM($AB457))&lt;&gt;"n/a", LOWER(TRIM($AB457))&lt;&gt;"na", SUMPRODUCT(--(UPPER(TRIM($AB$2:$AB$518))=UPPER(TRIM($AB457))), --(UPPER(TRIM($B$2:$B$518))="YES"), --(UPPER(TRIM($G$2:$G$518)&amp;TRIM($I$2:$I$518)&amp;TRIM($J$2:$J$518))&lt;&gt;UPPER(TRIM($G457)&amp;TRIM($I457)&amp;TRIM($J457))))&gt;0), AND($AH457&lt;&gt;"", LOWER(TRIM($AH457))&lt;&gt;"n/a", LOWER(TRIM($AH457))&lt;&gt;"na", SUMPRODUCT(--(UPPER(SUBSTITUTE(SUBSTITUTE(TRIM($AH$2:$AH$518),":",""),"-",""))=UPPER(SUBSTITUTE(SUBSTITUTE(TRIM($AH457),":",""),"-",""))), --(UPPER(TRIM($B$2:$B$518))="YES"), --(UPPER(TRIM($G$2:$G$518)&amp;TRIM($I$2:$I$518)&amp;TRIM($J$2:$J$518))&lt;&gt;UPPER(TRIM($G457)&amp;TRIM($I457)&amp;TRIM($J457))))&gt;0), AND($AP457&lt;&gt;"", LOWER(TRIM($AP457))&lt;&gt;"n/a", LOWER(TRIM($AP457))&lt;&gt;"na", SUMPRODUCT(--(UPPER(TRIM($AP$2:$AP$518))=UPPER(TRIM($AP457))), --(UPPER(TRIM($B$2:$B$518))="YES"), --(UPPER(TRIM($G$2:$G$518)&amp;TRIM($I$2:$I$518)&amp;TRIM($J$2:$J$518))&lt;&gt;UPPER(TRIM($G457)&amp;TRIM($I457)&amp;TRIM($J457))))&gt;0), AND($AQ457&lt;&gt;"", LOWER(TRIM($AQ457))&lt;&gt;"n/a", LOWER(TRIM($AQ457))&lt;&gt;"na", SUMPRODUCT(--(UPPER(TRIM($AQ$2:$AQ$518))=UPPER(TRIM($AQ457))), --(UPPER(TRIM($B$2:$B$518))="YES"), --(UPPER(TRIM($G$2:$G$518)&amp;TRIM($I$2:$I$518)&amp;TRIM($J$2:$J$518))&lt;&gt;UPPER(TRIM($G457)&amp;TRIM($I457)&amp;TRIM($J457))))&gt;0)), "Yes", "No"))</f>
        <v/>
      </c>
      <c r="CD457">
        <f>IF($Y457="","",IF((IF(AND($BR457&lt;&gt;"Yes",$BR457&lt;&gt;"N/A"),"Power Cable, ","")&amp;IF(AND($BS457&lt;&gt;"Yes",$BS457&lt;&gt;"N/A"),"Battery, ","")&amp;IF(AND($AD457&lt;&gt;"Yes",$AD457&lt;&gt;"N/A"),"Firmware Download, ","")&amp;IF(AND(OR($AD457="Yes",$AD457="N/A"),$AE457&lt;&gt;"Yes",$AE457&lt;&gt;"N/A"),"Firmware Install, ","")&amp;IF(AND($CB457&lt;&gt;"Yes",$CB457&lt;&gt;"N/A"),"Device ID, ","")&amp;IF(AND($CC457&lt;&gt;"Yes",$CC457&lt;&gt;"N/A"),"Epic Beans Relay, ",""))="","",LEFT(IF(AND($BR457&lt;&gt;"Yes",$BR457&lt;&gt;"N/A"),"Power Cable, ","")&amp;IF(AND($BS457&lt;&gt;"Yes",$BS457&lt;&gt;"N/A"),"Battery, ","")&amp;IF(AND($AD457&lt;&gt;"Yes",$AD457&lt;&gt;"N/A"),"Firmware Download, ","")&amp;IF(AND(OR($AD457="Yes",$AD457="N/A"),$AE457&lt;&gt;"Yes",$AE457&lt;&gt;"N/A"),"Firmware Install, ","")&amp;IF(AND($CB457&lt;&gt;"Yes",$CB457&lt;&gt;"N/A"),"Device ID, ","")&amp;IF(AND($CC457&lt;&gt;"Yes",$CC457&lt;&gt;"N/A"),"Epic Beans Relay, ",""),LEN(IF(AND($BR457&lt;&gt;"Yes",$BR457&lt;&gt;"N/A"),"Power Cable, ","")&amp;IF(AND($BS457&lt;&gt;"Yes",$BS457&lt;&gt;"N/A"),"Battery, ","")&amp;IF(AND($AD457&lt;&gt;"Yes",$AD457&lt;&gt;"N/A"),"Firmware Download, ","")&amp;IF(AND(OR($AD457="Yes",$AD457="N/A"),$AE457&lt;&gt;"Yes",$AE457&lt;&gt;"N/A"),"Firmware Install, ","")&amp;IF(AND($CB457&lt;&gt;"Yes",$CB457&lt;&gt;"N/A"),"Device ID, ","")&amp;IF(AND($CC457&lt;&gt;"Yes",$CC457&lt;&gt;"N/A"),"Epic Beans Relay, ",""))-2)))</f>
        <v/>
      </c>
      <c r="CE457">
        <f>IF($Y457="","",IF($CD457="","Yes","Blocked"))</f>
        <v/>
      </c>
      <c r="CP457">
        <f>IF($CO457="","",IFERROR(VLOOKUP($CO457,'01_Warehouse_Ledger'!$A:$N,4,FALSE),""))</f>
        <v/>
      </c>
      <c r="CQ457">
        <f>IF($CO457="","",IFERROR(VLOOKUP($CO457,'01_Warehouse_Ledger'!$A:$N,5,FALSE),""))</f>
        <v/>
      </c>
      <c r="CR457">
        <f>IF($CO457="","",IFERROR(VLOOKUP($CO457,'01_Warehouse_Ledger'!$A:$N,13,FALSE),""))</f>
        <v/>
      </c>
      <c r="CW457">
        <f>IF($S457="","",IF(UPPER(TRIM($S457))&lt;&gt;"PASS","",IF(LEN(TRIM($BY457))&gt;0,"NOTES_PRESENT",IF(LEN(TRIM($T457))=0,"SET_NA",IF(OR(LOWER(TRIM($T457))="na",LOWER(TRIM($T457))="n/a"),"OK","MANUAL_OVERRIDE")))))</f>
        <v/>
      </c>
    </row>
    <row r="458">
      <c r="B458" t="inlineStr">
        <is>
          <t>No</t>
        </is>
      </c>
      <c r="C458" t="inlineStr">
        <is>
          <t>No</t>
        </is>
      </c>
      <c r="D458">
        <f>IF($B458&lt;&gt;"Yes","",IF($C458="No","Yes",IF($C458="Yes","No","")))</f>
        <v/>
      </c>
      <c r="E458">
        <f>IF($A458="","",IF(OR(AND($V458&lt;&gt;"",LOWER(TRIM($V458))&lt;&gt;"n/a",LOWER(TRIM($V458))&lt;&gt;"na",SUMPRODUCT(--(UPPER(TRIM($V$2:$V$518))=UPPER(TRIM($V458))),--(TRIM($V$2:$V$518)&lt;&gt;""),--(LOWER(TRIM($V$2:$V$518))&lt;&gt;"n/a"),--(LOWER(TRIM($V$2:$V$518))&lt;&gt;"na"))&gt;1),AND($W458&lt;&gt;"",LOWER(TRIM($W458))&lt;&gt;"n/a",LOWER(TRIM($W458))&lt;&gt;"na",SUMPRODUCT(--(UPPER(TRIM($W$2:$W$518))=UPPER(TRIM($W458))),--(TRIM($W$2:$W$518)&lt;&gt;""),--(LOWER(TRIM($W$2:$W$518))&lt;&gt;"n/a"),--(LOWER(TRIM($W$2:$W$518))&lt;&gt;"na"))&gt;1),AND($X458&lt;&gt;"",LOWER(TRIM($X458))&lt;&gt;"n/a",LOWER(TRIM($X458))&lt;&gt;"na",SUMPRODUCT(--(UPPER(TRIM($X$2:$X$518))=UPPER(TRIM($X458))),--(TRIM($X$2:$X$518)&lt;&gt;""),--(LOWER(TRIM($X$2:$X$518))&lt;&gt;"n/a"),--(LOWER(TRIM($X$2:$X$518))&lt;&gt;"na"))&gt;1),AND($Y458&lt;&gt;"",LOWER(TRIM($Y458))&lt;&gt;"n/a",LOWER(TRIM($Y458))&lt;&gt;"na",SUMPRODUCT(--(UPPER(SUBSTITUTE(SUBSTITUTE(TRIM($Y$2:$Y$518),":",""),"-",""))=UPPER(SUBSTITUTE(SUBSTITUTE(TRIM($Y458),":",""),"-",""))),--(TRIM($Y$2:$Y$518)&lt;&gt;""),--(LOWER(TRIM($Y$2:$Y$518))&lt;&gt;"n/a"),--(LOWER(TRIM($Y$2:$Y$518))&lt;&gt;"na"))&gt;1),AND($AB458&lt;&gt;"",LOWER(TRIM($AB458))&lt;&gt;"n/a",LOWER(TRIM($AB458))&lt;&gt;"na",SUMPRODUCT(--(UPPER(TRIM($AB$2:$AB$518))=UPPER(TRIM($AB458))),--(TRIM($AB$2:$AB$518)&lt;&gt;""),--(LOWER(TRIM($AB$2:$AB$518))&lt;&gt;"n/a"),--(LOWER(TRIM($AB$2:$AB$518))&lt;&gt;"na"))&gt;1),AND($AH458&lt;&gt;"",LOWER(TRIM($AH458))&lt;&gt;"n/a",LOWER(TRIM($AH458))&lt;&gt;"na",SUMPRODUCT(--(UPPER(SUBSTITUTE(SUBSTITUTE(TRIM($AH$2:$AH$518),":",""),"-",""))=UPPER(SUBSTITUTE(SUBSTITUTE(TRIM($AH458),":",""),"-",""))),--(TRIM($AH$2:$AH$518)&lt;&gt;""),--(LOWER(TRIM($AH$2:$AH$518))&lt;&gt;"n/a"),--(LOWER(TRIM($AH$2:$AH$518))&lt;&gt;"na"))&gt;1),AND($AP458&lt;&gt;"",LOWER(TRIM($AP458))&lt;&gt;"n/a",LOWER(TRIM($AP458))&lt;&gt;"na",SUMPRODUCT(--(UPPER(TRIM($AP$2:$AP$518))=UPPER(TRIM($AP458))),--(TRIM($AP$2:$AP$518)&lt;&gt;""),--(LOWER(TRIM($AP$2:$AP$518))&lt;&gt;"n/a"),--(LOWER(TRIM($AP$2:$AP$518))&lt;&gt;"na"))&gt;1),AND($AQ458&lt;&gt;"",LOWER(TRIM($AQ458))&lt;&gt;"n/a",LOWER(TRIM($AQ458))&lt;&gt;"na",SUMPRODUCT(--(UPPER(TRIM($AQ$2:$AQ$518))=UPPER(TRIM($AQ458))),--(TRIM($AQ$2:$AQ$518)&lt;&gt;""),--(LOWER(TRIM($AQ$2:$AQ$518))&lt;&gt;"n/a"),--(LOWER(TRIM($AQ$2:$AQ$518))&lt;&gt;"na"))&gt;1)),"Yes","No"))</f>
        <v/>
      </c>
      <c r="F458">
        <f>IF(UPPER(TRIM($B458))&lt;&gt;"YES","", IF(OR(AND($V458&lt;&gt;"", LOWER(TRIM($V458))&lt;&gt;"n/a", LOWER(TRIM($V458))&lt;&gt;"na", SUMPRODUCT(--(UPPER(TRIM($V$2:$V$518))=UPPER(TRIM($V458))), --(UPPER(TRIM($B$2:$B$518))="YES"), --(UPPER(TRIM($G$2:$G$518)&amp;TRIM($I$2:$I$518)&amp;TRIM($J$2:$J$518))&lt;&gt;UPPER(TRIM($G458)&amp;TRIM($I458)&amp;TRIM($J458))))&gt;0), AND($W458&lt;&gt;"", LOWER(TRIM($W458))&lt;&gt;"n/a", LOWER(TRIM($W458))&lt;&gt;"na", SUMPRODUCT(--(UPPER(TRIM($W$2:$W$518))=UPPER(TRIM($W458))), --(UPPER(TRIM($B$2:$B$518))="YES"), --(UPPER(TRIM($G$2:$G$518)&amp;TRIM($I$2:$I$518)&amp;TRIM($J$2:$J$518))&lt;&gt;UPPER(TRIM($G458)&amp;TRIM($I458)&amp;TRIM($J458))))&gt;0), AND($X458&lt;&gt;"", LOWER(TRIM($X458))&lt;&gt;"n/a", LOWER(TRIM($X458))&lt;&gt;"na", SUMPRODUCT(--(UPPER(TRIM($X$2:$X$518))=UPPER(TRIM($X458))), --(UPPER(TRIM($B$2:$B$518))="YES"), --(UPPER(TRIM($G$2:$G$518)&amp;TRIM($I$2:$I$518)&amp;TRIM($J$2:$J$518))&lt;&gt;UPPER(TRIM($G458)&amp;TRIM($I458)&amp;TRIM($J458))))&gt;0), AND($Y458&lt;&gt;"", LOWER(TRIM($Y458))&lt;&gt;"n/a", LOWER(TRIM($Y458))&lt;&gt;"na", SUMPRODUCT(--(UPPER(SUBSTITUTE(SUBSTITUTE(TRIM($Y$2:$Y$518),":",""),"-",""))=UPPER(SUBSTITUTE(SUBSTITUTE(TRIM($Y458),":",""),"-",""))), --(UPPER(TRIM($B$2:$B$518))="YES"), --(UPPER(TRIM($G$2:$G$518)&amp;TRIM($I$2:$I$518)&amp;TRIM($J$2:$J$518))&lt;&gt;UPPER(TRIM($G458)&amp;TRIM($I458)&amp;TRIM($J458))))&gt;0), AND($AB458&lt;&gt;"", LOWER(TRIM($AB458))&lt;&gt;"n/a", LOWER(TRIM($AB458))&lt;&gt;"na", SUMPRODUCT(--(UPPER(TRIM($AB$2:$AB$518))=UPPER(TRIM($AB458))), --(UPPER(TRIM($B$2:$B$518))="YES"), --(UPPER(TRIM($G$2:$G$518)&amp;TRIM($I$2:$I$518)&amp;TRIM($J$2:$J$518))&lt;&gt;UPPER(TRIM($G458)&amp;TRIM($I458)&amp;TRIM($J458))))&gt;0), AND($AH458&lt;&gt;"", LOWER(TRIM($AH458))&lt;&gt;"n/a", LOWER(TRIM($AH458))&lt;&gt;"na", SUMPRODUCT(--(UPPER(SUBSTITUTE(SUBSTITUTE(TRIM($AH$2:$AH$518),":",""),"-",""))=UPPER(SUBSTITUTE(SUBSTITUTE(TRIM($AH458),":",""),"-",""))), --(UPPER(TRIM($B$2:$B$518))="YES"), --(UPPER(TRIM($G$2:$G$518)&amp;TRIM($I$2:$I$518)&amp;TRIM($J$2:$J$518))&lt;&gt;UPPER(TRIM($G458)&amp;TRIM($I458)&amp;TRIM($J458))))&gt;0), AND($AP458&lt;&gt;"", LOWER(TRIM($AP458))&lt;&gt;"n/a", LOWER(TRIM($AP458))&lt;&gt;"na", SUMPRODUCT(--(UPPER(TRIM($AP$2:$AP$518))=UPPER(TRIM($AP458))), --(UPPER(TRIM($B$2:$B$518))="YES"), --(UPPER(TRIM($G$2:$G$518)&amp;TRIM($I$2:$I$518)&amp;TRIM($J$2:$J$518))&lt;&gt;UPPER(TRIM($G458)&amp;TRIM($I458)&amp;TRIM($J458))))&gt;0), AND($AQ458&lt;&gt;"", LOWER(TRIM($AQ458))&lt;&gt;"n/a", LOWER(TRIM($AQ458))&lt;&gt;"na", SUMPRODUCT(--(UPPER(TRIM($AQ$2:$AQ$518))=UPPER(TRIM($AQ458))), --(UPPER(TRIM($B$2:$B$518))="YES"), --(UPPER(TRIM($G$2:$G$518)&amp;TRIM($I$2:$I$518)&amp;TRIM($J$2:$J$518))&lt;&gt;UPPER(TRIM($G458)&amp;TRIM($I458)&amp;TRIM($J458))))&gt;0)), "Yes", "No"))</f>
        <v/>
      </c>
      <c r="CD458">
        <f>IF($Y458="","",IF((IF(AND($BR458&lt;&gt;"Yes",$BR458&lt;&gt;"N/A"),"Power Cable, ","")&amp;IF(AND($BS458&lt;&gt;"Yes",$BS458&lt;&gt;"N/A"),"Battery, ","")&amp;IF(AND($AD458&lt;&gt;"Yes",$AD458&lt;&gt;"N/A"),"Firmware Download, ","")&amp;IF(AND(OR($AD458="Yes",$AD458="N/A"),$AE458&lt;&gt;"Yes",$AE458&lt;&gt;"N/A"),"Firmware Install, ","")&amp;IF(AND($CB458&lt;&gt;"Yes",$CB458&lt;&gt;"N/A"),"Device ID, ","")&amp;IF(AND($CC458&lt;&gt;"Yes",$CC458&lt;&gt;"N/A"),"Epic Beans Relay, ",""))="","",LEFT(IF(AND($BR458&lt;&gt;"Yes",$BR458&lt;&gt;"N/A"),"Power Cable, ","")&amp;IF(AND($BS458&lt;&gt;"Yes",$BS458&lt;&gt;"N/A"),"Battery, ","")&amp;IF(AND($AD458&lt;&gt;"Yes",$AD458&lt;&gt;"N/A"),"Firmware Download, ","")&amp;IF(AND(OR($AD458="Yes",$AD458="N/A"),$AE458&lt;&gt;"Yes",$AE458&lt;&gt;"N/A"),"Firmware Install, ","")&amp;IF(AND($CB458&lt;&gt;"Yes",$CB458&lt;&gt;"N/A"),"Device ID, ","")&amp;IF(AND($CC458&lt;&gt;"Yes",$CC458&lt;&gt;"N/A"),"Epic Beans Relay, ",""),LEN(IF(AND($BR458&lt;&gt;"Yes",$BR458&lt;&gt;"N/A"),"Power Cable, ","")&amp;IF(AND($BS458&lt;&gt;"Yes",$BS458&lt;&gt;"N/A"),"Battery, ","")&amp;IF(AND($AD458&lt;&gt;"Yes",$AD458&lt;&gt;"N/A"),"Firmware Download, ","")&amp;IF(AND(OR($AD458="Yes",$AD458="N/A"),$AE458&lt;&gt;"Yes",$AE458&lt;&gt;"N/A"),"Firmware Install, ","")&amp;IF(AND($CB458&lt;&gt;"Yes",$CB458&lt;&gt;"N/A"),"Device ID, ","")&amp;IF(AND($CC458&lt;&gt;"Yes",$CC458&lt;&gt;"N/A"),"Epic Beans Relay, ",""))-2)))</f>
        <v/>
      </c>
      <c r="CE458">
        <f>IF($Y458="","",IF($CD458="","Yes","Blocked"))</f>
        <v/>
      </c>
      <c r="CP458">
        <f>IF($CO458="","",IFERROR(VLOOKUP($CO458,'01_Warehouse_Ledger'!$A:$N,4,FALSE),""))</f>
        <v/>
      </c>
      <c r="CQ458">
        <f>IF($CO458="","",IFERROR(VLOOKUP($CO458,'01_Warehouse_Ledger'!$A:$N,5,FALSE),""))</f>
        <v/>
      </c>
      <c r="CR458">
        <f>IF($CO458="","",IFERROR(VLOOKUP($CO458,'01_Warehouse_Ledger'!$A:$N,13,FALSE),""))</f>
        <v/>
      </c>
      <c r="CW458">
        <f>IF($S458="","",IF(UPPER(TRIM($S458))&lt;&gt;"PASS","",IF(LEN(TRIM($BY458))&gt;0,"NOTES_PRESENT",IF(LEN(TRIM($T458))=0,"SET_NA",IF(OR(LOWER(TRIM($T458))="na",LOWER(TRIM($T458))="n/a"),"OK","MANUAL_OVERRIDE")))))</f>
        <v/>
      </c>
    </row>
    <row r="459">
      <c r="B459" t="inlineStr">
        <is>
          <t>No</t>
        </is>
      </c>
      <c r="C459" t="inlineStr">
        <is>
          <t>No</t>
        </is>
      </c>
      <c r="D459">
        <f>IF($B459&lt;&gt;"Yes","",IF($C459="No","Yes",IF($C459="Yes","No","")))</f>
        <v/>
      </c>
      <c r="E459">
        <f>IF($A459="","",IF(OR(AND($V459&lt;&gt;"",LOWER(TRIM($V459))&lt;&gt;"n/a",LOWER(TRIM($V459))&lt;&gt;"na",SUMPRODUCT(--(UPPER(TRIM($V$2:$V$518))=UPPER(TRIM($V459))),--(TRIM($V$2:$V$518)&lt;&gt;""),--(LOWER(TRIM($V$2:$V$518))&lt;&gt;"n/a"),--(LOWER(TRIM($V$2:$V$518))&lt;&gt;"na"))&gt;1),AND($W459&lt;&gt;"",LOWER(TRIM($W459))&lt;&gt;"n/a",LOWER(TRIM($W459))&lt;&gt;"na",SUMPRODUCT(--(UPPER(TRIM($W$2:$W$518))=UPPER(TRIM($W459))),--(TRIM($W$2:$W$518)&lt;&gt;""),--(LOWER(TRIM($W$2:$W$518))&lt;&gt;"n/a"),--(LOWER(TRIM($W$2:$W$518))&lt;&gt;"na"))&gt;1),AND($X459&lt;&gt;"",LOWER(TRIM($X459))&lt;&gt;"n/a",LOWER(TRIM($X459))&lt;&gt;"na",SUMPRODUCT(--(UPPER(TRIM($X$2:$X$518))=UPPER(TRIM($X459))),--(TRIM($X$2:$X$518)&lt;&gt;""),--(LOWER(TRIM($X$2:$X$518))&lt;&gt;"n/a"),--(LOWER(TRIM($X$2:$X$518))&lt;&gt;"na"))&gt;1),AND($Y459&lt;&gt;"",LOWER(TRIM($Y459))&lt;&gt;"n/a",LOWER(TRIM($Y459))&lt;&gt;"na",SUMPRODUCT(--(UPPER(SUBSTITUTE(SUBSTITUTE(TRIM($Y$2:$Y$518),":",""),"-",""))=UPPER(SUBSTITUTE(SUBSTITUTE(TRIM($Y459),":",""),"-",""))),--(TRIM($Y$2:$Y$518)&lt;&gt;""),--(LOWER(TRIM($Y$2:$Y$518))&lt;&gt;"n/a"),--(LOWER(TRIM($Y$2:$Y$518))&lt;&gt;"na"))&gt;1),AND($AB459&lt;&gt;"",LOWER(TRIM($AB459))&lt;&gt;"n/a",LOWER(TRIM($AB459))&lt;&gt;"na",SUMPRODUCT(--(UPPER(TRIM($AB$2:$AB$518))=UPPER(TRIM($AB459))),--(TRIM($AB$2:$AB$518)&lt;&gt;""),--(LOWER(TRIM($AB$2:$AB$518))&lt;&gt;"n/a"),--(LOWER(TRIM($AB$2:$AB$518))&lt;&gt;"na"))&gt;1),AND($AH459&lt;&gt;"",LOWER(TRIM($AH459))&lt;&gt;"n/a",LOWER(TRIM($AH459))&lt;&gt;"na",SUMPRODUCT(--(UPPER(SUBSTITUTE(SUBSTITUTE(TRIM($AH$2:$AH$518),":",""),"-",""))=UPPER(SUBSTITUTE(SUBSTITUTE(TRIM($AH459),":",""),"-",""))),--(TRIM($AH$2:$AH$518)&lt;&gt;""),--(LOWER(TRIM($AH$2:$AH$518))&lt;&gt;"n/a"),--(LOWER(TRIM($AH$2:$AH$518))&lt;&gt;"na"))&gt;1),AND($AP459&lt;&gt;"",LOWER(TRIM($AP459))&lt;&gt;"n/a",LOWER(TRIM($AP459))&lt;&gt;"na",SUMPRODUCT(--(UPPER(TRIM($AP$2:$AP$518))=UPPER(TRIM($AP459))),--(TRIM($AP$2:$AP$518)&lt;&gt;""),--(LOWER(TRIM($AP$2:$AP$518))&lt;&gt;"n/a"),--(LOWER(TRIM($AP$2:$AP$518))&lt;&gt;"na"))&gt;1),AND($AQ459&lt;&gt;"",LOWER(TRIM($AQ459))&lt;&gt;"n/a",LOWER(TRIM($AQ459))&lt;&gt;"na",SUMPRODUCT(--(UPPER(TRIM($AQ$2:$AQ$518))=UPPER(TRIM($AQ459))),--(TRIM($AQ$2:$AQ$518)&lt;&gt;""),--(LOWER(TRIM($AQ$2:$AQ$518))&lt;&gt;"n/a"),--(LOWER(TRIM($AQ$2:$AQ$518))&lt;&gt;"na"))&gt;1)),"Yes","No"))</f>
        <v/>
      </c>
      <c r="F459">
        <f>IF(UPPER(TRIM($B459))&lt;&gt;"YES","", IF(OR(AND($V459&lt;&gt;"", LOWER(TRIM($V459))&lt;&gt;"n/a", LOWER(TRIM($V459))&lt;&gt;"na", SUMPRODUCT(--(UPPER(TRIM($V$2:$V$518))=UPPER(TRIM($V459))), --(UPPER(TRIM($B$2:$B$518))="YES"), --(UPPER(TRIM($G$2:$G$518)&amp;TRIM($I$2:$I$518)&amp;TRIM($J$2:$J$518))&lt;&gt;UPPER(TRIM($G459)&amp;TRIM($I459)&amp;TRIM($J459))))&gt;0), AND($W459&lt;&gt;"", LOWER(TRIM($W459))&lt;&gt;"n/a", LOWER(TRIM($W459))&lt;&gt;"na", SUMPRODUCT(--(UPPER(TRIM($W$2:$W$518))=UPPER(TRIM($W459))), --(UPPER(TRIM($B$2:$B$518))="YES"), --(UPPER(TRIM($G$2:$G$518)&amp;TRIM($I$2:$I$518)&amp;TRIM($J$2:$J$518))&lt;&gt;UPPER(TRIM($G459)&amp;TRIM($I459)&amp;TRIM($J459))))&gt;0), AND($X459&lt;&gt;"", LOWER(TRIM($X459))&lt;&gt;"n/a", LOWER(TRIM($X459))&lt;&gt;"na", SUMPRODUCT(--(UPPER(TRIM($X$2:$X$518))=UPPER(TRIM($X459))), --(UPPER(TRIM($B$2:$B$518))="YES"), --(UPPER(TRIM($G$2:$G$518)&amp;TRIM($I$2:$I$518)&amp;TRIM($J$2:$J$518))&lt;&gt;UPPER(TRIM($G459)&amp;TRIM($I459)&amp;TRIM($J459))))&gt;0), AND($Y459&lt;&gt;"", LOWER(TRIM($Y459))&lt;&gt;"n/a", LOWER(TRIM($Y459))&lt;&gt;"na", SUMPRODUCT(--(UPPER(SUBSTITUTE(SUBSTITUTE(TRIM($Y$2:$Y$518),":",""),"-",""))=UPPER(SUBSTITUTE(SUBSTITUTE(TRIM($Y459),":",""),"-",""))), --(UPPER(TRIM($B$2:$B$518))="YES"), --(UPPER(TRIM($G$2:$G$518)&amp;TRIM($I$2:$I$518)&amp;TRIM($J$2:$J$518))&lt;&gt;UPPER(TRIM($G459)&amp;TRIM($I459)&amp;TRIM($J459))))&gt;0), AND($AB459&lt;&gt;"", LOWER(TRIM($AB459))&lt;&gt;"n/a", LOWER(TRIM($AB459))&lt;&gt;"na", SUMPRODUCT(--(UPPER(TRIM($AB$2:$AB$518))=UPPER(TRIM($AB459))), --(UPPER(TRIM($B$2:$B$518))="YES"), --(UPPER(TRIM($G$2:$G$518)&amp;TRIM($I$2:$I$518)&amp;TRIM($J$2:$J$518))&lt;&gt;UPPER(TRIM($G459)&amp;TRIM($I459)&amp;TRIM($J459))))&gt;0), AND($AH459&lt;&gt;"", LOWER(TRIM($AH459))&lt;&gt;"n/a", LOWER(TRIM($AH459))&lt;&gt;"na", SUMPRODUCT(--(UPPER(SUBSTITUTE(SUBSTITUTE(TRIM($AH$2:$AH$518),":",""),"-",""))=UPPER(SUBSTITUTE(SUBSTITUTE(TRIM($AH459),":",""),"-",""))), --(UPPER(TRIM($B$2:$B$518))="YES"), --(UPPER(TRIM($G$2:$G$518)&amp;TRIM($I$2:$I$518)&amp;TRIM($J$2:$J$518))&lt;&gt;UPPER(TRIM($G459)&amp;TRIM($I459)&amp;TRIM($J459))))&gt;0), AND($AP459&lt;&gt;"", LOWER(TRIM($AP459))&lt;&gt;"n/a", LOWER(TRIM($AP459))&lt;&gt;"na", SUMPRODUCT(--(UPPER(TRIM($AP$2:$AP$518))=UPPER(TRIM($AP459))), --(UPPER(TRIM($B$2:$B$518))="YES"), --(UPPER(TRIM($G$2:$G$518)&amp;TRIM($I$2:$I$518)&amp;TRIM($J$2:$J$518))&lt;&gt;UPPER(TRIM($G459)&amp;TRIM($I459)&amp;TRIM($J459))))&gt;0), AND($AQ459&lt;&gt;"", LOWER(TRIM($AQ459))&lt;&gt;"n/a", LOWER(TRIM($AQ459))&lt;&gt;"na", SUMPRODUCT(--(UPPER(TRIM($AQ$2:$AQ$518))=UPPER(TRIM($AQ459))), --(UPPER(TRIM($B$2:$B$518))="YES"), --(UPPER(TRIM($G$2:$G$518)&amp;TRIM($I$2:$I$518)&amp;TRIM($J$2:$J$518))&lt;&gt;UPPER(TRIM($G459)&amp;TRIM($I459)&amp;TRIM($J459))))&gt;0)), "Yes", "No"))</f>
        <v/>
      </c>
      <c r="CD459">
        <f>IF($Y459="","",IF((IF(AND($BR459&lt;&gt;"Yes",$BR459&lt;&gt;"N/A"),"Power Cable, ","")&amp;IF(AND($BS459&lt;&gt;"Yes",$BS459&lt;&gt;"N/A"),"Battery, ","")&amp;IF(AND($AD459&lt;&gt;"Yes",$AD459&lt;&gt;"N/A"),"Firmware Download, ","")&amp;IF(AND(OR($AD459="Yes",$AD459="N/A"),$AE459&lt;&gt;"Yes",$AE459&lt;&gt;"N/A"),"Firmware Install, ","")&amp;IF(AND($CB459&lt;&gt;"Yes",$CB459&lt;&gt;"N/A"),"Device ID, ","")&amp;IF(AND($CC459&lt;&gt;"Yes",$CC459&lt;&gt;"N/A"),"Epic Beans Relay, ",""))="","",LEFT(IF(AND($BR459&lt;&gt;"Yes",$BR459&lt;&gt;"N/A"),"Power Cable, ","")&amp;IF(AND($BS459&lt;&gt;"Yes",$BS459&lt;&gt;"N/A"),"Battery, ","")&amp;IF(AND($AD459&lt;&gt;"Yes",$AD459&lt;&gt;"N/A"),"Firmware Download, ","")&amp;IF(AND(OR($AD459="Yes",$AD459="N/A"),$AE459&lt;&gt;"Yes",$AE459&lt;&gt;"N/A"),"Firmware Install, ","")&amp;IF(AND($CB459&lt;&gt;"Yes",$CB459&lt;&gt;"N/A"),"Device ID, ","")&amp;IF(AND($CC459&lt;&gt;"Yes",$CC459&lt;&gt;"N/A"),"Epic Beans Relay, ",""),LEN(IF(AND($BR459&lt;&gt;"Yes",$BR459&lt;&gt;"N/A"),"Power Cable, ","")&amp;IF(AND($BS459&lt;&gt;"Yes",$BS459&lt;&gt;"N/A"),"Battery, ","")&amp;IF(AND($AD459&lt;&gt;"Yes",$AD459&lt;&gt;"N/A"),"Firmware Download, ","")&amp;IF(AND(OR($AD459="Yes",$AD459="N/A"),$AE459&lt;&gt;"Yes",$AE459&lt;&gt;"N/A"),"Firmware Install, ","")&amp;IF(AND($CB459&lt;&gt;"Yes",$CB459&lt;&gt;"N/A"),"Device ID, ","")&amp;IF(AND($CC459&lt;&gt;"Yes",$CC459&lt;&gt;"N/A"),"Epic Beans Relay, ",""))-2)))</f>
        <v/>
      </c>
      <c r="CE459">
        <f>IF($Y459="","",IF($CD459="","Yes","Blocked"))</f>
        <v/>
      </c>
      <c r="CP459">
        <f>IF($CO459="","",IFERROR(VLOOKUP($CO459,'01_Warehouse_Ledger'!$A:$N,4,FALSE),""))</f>
        <v/>
      </c>
      <c r="CQ459">
        <f>IF($CO459="","",IFERROR(VLOOKUP($CO459,'01_Warehouse_Ledger'!$A:$N,5,FALSE),""))</f>
        <v/>
      </c>
      <c r="CR459">
        <f>IF($CO459="","",IFERROR(VLOOKUP($CO459,'01_Warehouse_Ledger'!$A:$N,13,FALSE),""))</f>
        <v/>
      </c>
      <c r="CW459">
        <f>IF($S459="","",IF(UPPER(TRIM($S459))&lt;&gt;"PASS","",IF(LEN(TRIM($BY459))&gt;0,"NOTES_PRESENT",IF(LEN(TRIM($T459))=0,"SET_NA",IF(OR(LOWER(TRIM($T459))="na",LOWER(TRIM($T459))="n/a"),"OK","MANUAL_OVERRIDE")))))</f>
        <v/>
      </c>
    </row>
    <row r="460">
      <c r="B460" t="inlineStr">
        <is>
          <t>No</t>
        </is>
      </c>
      <c r="C460" t="inlineStr">
        <is>
          <t>No</t>
        </is>
      </c>
      <c r="D460">
        <f>IF($B460&lt;&gt;"Yes","",IF($C460="No","Yes",IF($C460="Yes","No","")))</f>
        <v/>
      </c>
      <c r="E460">
        <f>IF($A460="","",IF(OR(AND($V460&lt;&gt;"",LOWER(TRIM($V460))&lt;&gt;"n/a",LOWER(TRIM($V460))&lt;&gt;"na",SUMPRODUCT(--(UPPER(TRIM($V$2:$V$518))=UPPER(TRIM($V460))),--(TRIM($V$2:$V$518)&lt;&gt;""),--(LOWER(TRIM($V$2:$V$518))&lt;&gt;"n/a"),--(LOWER(TRIM($V$2:$V$518))&lt;&gt;"na"))&gt;1),AND($W460&lt;&gt;"",LOWER(TRIM($W460))&lt;&gt;"n/a",LOWER(TRIM($W460))&lt;&gt;"na",SUMPRODUCT(--(UPPER(TRIM($W$2:$W$518))=UPPER(TRIM($W460))),--(TRIM($W$2:$W$518)&lt;&gt;""),--(LOWER(TRIM($W$2:$W$518))&lt;&gt;"n/a"),--(LOWER(TRIM($W$2:$W$518))&lt;&gt;"na"))&gt;1),AND($X460&lt;&gt;"",LOWER(TRIM($X460))&lt;&gt;"n/a",LOWER(TRIM($X460))&lt;&gt;"na",SUMPRODUCT(--(UPPER(TRIM($X$2:$X$518))=UPPER(TRIM($X460))),--(TRIM($X$2:$X$518)&lt;&gt;""),--(LOWER(TRIM($X$2:$X$518))&lt;&gt;"n/a"),--(LOWER(TRIM($X$2:$X$518))&lt;&gt;"na"))&gt;1),AND($Y460&lt;&gt;"",LOWER(TRIM($Y460))&lt;&gt;"n/a",LOWER(TRIM($Y460))&lt;&gt;"na",SUMPRODUCT(--(UPPER(SUBSTITUTE(SUBSTITUTE(TRIM($Y$2:$Y$518),":",""),"-",""))=UPPER(SUBSTITUTE(SUBSTITUTE(TRIM($Y460),":",""),"-",""))),--(TRIM($Y$2:$Y$518)&lt;&gt;""),--(LOWER(TRIM($Y$2:$Y$518))&lt;&gt;"n/a"),--(LOWER(TRIM($Y$2:$Y$518))&lt;&gt;"na"))&gt;1),AND($AB460&lt;&gt;"",LOWER(TRIM($AB460))&lt;&gt;"n/a",LOWER(TRIM($AB460))&lt;&gt;"na",SUMPRODUCT(--(UPPER(TRIM($AB$2:$AB$518))=UPPER(TRIM($AB460))),--(TRIM($AB$2:$AB$518)&lt;&gt;""),--(LOWER(TRIM($AB$2:$AB$518))&lt;&gt;"n/a"),--(LOWER(TRIM($AB$2:$AB$518))&lt;&gt;"na"))&gt;1),AND($AH460&lt;&gt;"",LOWER(TRIM($AH460))&lt;&gt;"n/a",LOWER(TRIM($AH460))&lt;&gt;"na",SUMPRODUCT(--(UPPER(SUBSTITUTE(SUBSTITUTE(TRIM($AH$2:$AH$518),":",""),"-",""))=UPPER(SUBSTITUTE(SUBSTITUTE(TRIM($AH460),":",""),"-",""))),--(TRIM($AH$2:$AH$518)&lt;&gt;""),--(LOWER(TRIM($AH$2:$AH$518))&lt;&gt;"n/a"),--(LOWER(TRIM($AH$2:$AH$518))&lt;&gt;"na"))&gt;1),AND($AP460&lt;&gt;"",LOWER(TRIM($AP460))&lt;&gt;"n/a",LOWER(TRIM($AP460))&lt;&gt;"na",SUMPRODUCT(--(UPPER(TRIM($AP$2:$AP$518))=UPPER(TRIM($AP460))),--(TRIM($AP$2:$AP$518)&lt;&gt;""),--(LOWER(TRIM($AP$2:$AP$518))&lt;&gt;"n/a"),--(LOWER(TRIM($AP$2:$AP$518))&lt;&gt;"na"))&gt;1),AND($AQ460&lt;&gt;"",LOWER(TRIM($AQ460))&lt;&gt;"n/a",LOWER(TRIM($AQ460))&lt;&gt;"na",SUMPRODUCT(--(UPPER(TRIM($AQ$2:$AQ$518))=UPPER(TRIM($AQ460))),--(TRIM($AQ$2:$AQ$518)&lt;&gt;""),--(LOWER(TRIM($AQ$2:$AQ$518))&lt;&gt;"n/a"),--(LOWER(TRIM($AQ$2:$AQ$518))&lt;&gt;"na"))&gt;1)),"Yes","No"))</f>
        <v/>
      </c>
      <c r="F460">
        <f>IF(UPPER(TRIM($B460))&lt;&gt;"YES","", IF(OR(AND($V460&lt;&gt;"", LOWER(TRIM($V460))&lt;&gt;"n/a", LOWER(TRIM($V460))&lt;&gt;"na", SUMPRODUCT(--(UPPER(TRIM($V$2:$V$518))=UPPER(TRIM($V460))), --(UPPER(TRIM($B$2:$B$518))="YES"), --(UPPER(TRIM($G$2:$G$518)&amp;TRIM($I$2:$I$518)&amp;TRIM($J$2:$J$518))&lt;&gt;UPPER(TRIM($G460)&amp;TRIM($I460)&amp;TRIM($J460))))&gt;0), AND($W460&lt;&gt;"", LOWER(TRIM($W460))&lt;&gt;"n/a", LOWER(TRIM($W460))&lt;&gt;"na", SUMPRODUCT(--(UPPER(TRIM($W$2:$W$518))=UPPER(TRIM($W460))), --(UPPER(TRIM($B$2:$B$518))="YES"), --(UPPER(TRIM($G$2:$G$518)&amp;TRIM($I$2:$I$518)&amp;TRIM($J$2:$J$518))&lt;&gt;UPPER(TRIM($G460)&amp;TRIM($I460)&amp;TRIM($J460))))&gt;0), AND($X460&lt;&gt;"", LOWER(TRIM($X460))&lt;&gt;"n/a", LOWER(TRIM($X460))&lt;&gt;"na", SUMPRODUCT(--(UPPER(TRIM($X$2:$X$518))=UPPER(TRIM($X460))), --(UPPER(TRIM($B$2:$B$518))="YES"), --(UPPER(TRIM($G$2:$G$518)&amp;TRIM($I$2:$I$518)&amp;TRIM($J$2:$J$518))&lt;&gt;UPPER(TRIM($G460)&amp;TRIM($I460)&amp;TRIM($J460))))&gt;0), AND($Y460&lt;&gt;"", LOWER(TRIM($Y460))&lt;&gt;"n/a", LOWER(TRIM($Y460))&lt;&gt;"na", SUMPRODUCT(--(UPPER(SUBSTITUTE(SUBSTITUTE(TRIM($Y$2:$Y$518),":",""),"-",""))=UPPER(SUBSTITUTE(SUBSTITUTE(TRIM($Y460),":",""),"-",""))), --(UPPER(TRIM($B$2:$B$518))="YES"), --(UPPER(TRIM($G$2:$G$518)&amp;TRIM($I$2:$I$518)&amp;TRIM($J$2:$J$518))&lt;&gt;UPPER(TRIM($G460)&amp;TRIM($I460)&amp;TRIM($J460))))&gt;0), AND($AB460&lt;&gt;"", LOWER(TRIM($AB460))&lt;&gt;"n/a", LOWER(TRIM($AB460))&lt;&gt;"na", SUMPRODUCT(--(UPPER(TRIM($AB$2:$AB$518))=UPPER(TRIM($AB460))), --(UPPER(TRIM($B$2:$B$518))="YES"), --(UPPER(TRIM($G$2:$G$518)&amp;TRIM($I$2:$I$518)&amp;TRIM($J$2:$J$518))&lt;&gt;UPPER(TRIM($G460)&amp;TRIM($I460)&amp;TRIM($J460))))&gt;0), AND($AH460&lt;&gt;"", LOWER(TRIM($AH460))&lt;&gt;"n/a", LOWER(TRIM($AH460))&lt;&gt;"na", SUMPRODUCT(--(UPPER(SUBSTITUTE(SUBSTITUTE(TRIM($AH$2:$AH$518),":",""),"-",""))=UPPER(SUBSTITUTE(SUBSTITUTE(TRIM($AH460),":",""),"-",""))), --(UPPER(TRIM($B$2:$B$518))="YES"), --(UPPER(TRIM($G$2:$G$518)&amp;TRIM($I$2:$I$518)&amp;TRIM($J$2:$J$518))&lt;&gt;UPPER(TRIM($G460)&amp;TRIM($I460)&amp;TRIM($J460))))&gt;0), AND($AP460&lt;&gt;"", LOWER(TRIM($AP460))&lt;&gt;"n/a", LOWER(TRIM($AP460))&lt;&gt;"na", SUMPRODUCT(--(UPPER(TRIM($AP$2:$AP$518))=UPPER(TRIM($AP460))), --(UPPER(TRIM($B$2:$B$518))="YES"), --(UPPER(TRIM($G$2:$G$518)&amp;TRIM($I$2:$I$518)&amp;TRIM($J$2:$J$518))&lt;&gt;UPPER(TRIM($G460)&amp;TRIM($I460)&amp;TRIM($J460))))&gt;0), AND($AQ460&lt;&gt;"", LOWER(TRIM($AQ460))&lt;&gt;"n/a", LOWER(TRIM($AQ460))&lt;&gt;"na", SUMPRODUCT(--(UPPER(TRIM($AQ$2:$AQ$518))=UPPER(TRIM($AQ460))), --(UPPER(TRIM($B$2:$B$518))="YES"), --(UPPER(TRIM($G$2:$G$518)&amp;TRIM($I$2:$I$518)&amp;TRIM($J$2:$J$518))&lt;&gt;UPPER(TRIM($G460)&amp;TRIM($I460)&amp;TRIM($J460))))&gt;0)), "Yes", "No"))</f>
        <v/>
      </c>
      <c r="CD460">
        <f>IF($Y460="","",IF((IF(AND($BR460&lt;&gt;"Yes",$BR460&lt;&gt;"N/A"),"Power Cable, ","")&amp;IF(AND($BS460&lt;&gt;"Yes",$BS460&lt;&gt;"N/A"),"Battery, ","")&amp;IF(AND($AD460&lt;&gt;"Yes",$AD460&lt;&gt;"N/A"),"Firmware Download, ","")&amp;IF(AND(OR($AD460="Yes",$AD460="N/A"),$AE460&lt;&gt;"Yes",$AE460&lt;&gt;"N/A"),"Firmware Install, ","")&amp;IF(AND($CB460&lt;&gt;"Yes",$CB460&lt;&gt;"N/A"),"Device ID, ","")&amp;IF(AND($CC460&lt;&gt;"Yes",$CC460&lt;&gt;"N/A"),"Epic Beans Relay, ",""))="","",LEFT(IF(AND($BR460&lt;&gt;"Yes",$BR460&lt;&gt;"N/A"),"Power Cable, ","")&amp;IF(AND($BS460&lt;&gt;"Yes",$BS460&lt;&gt;"N/A"),"Battery, ","")&amp;IF(AND($AD460&lt;&gt;"Yes",$AD460&lt;&gt;"N/A"),"Firmware Download, ","")&amp;IF(AND(OR($AD460="Yes",$AD460="N/A"),$AE460&lt;&gt;"Yes",$AE460&lt;&gt;"N/A"),"Firmware Install, ","")&amp;IF(AND($CB460&lt;&gt;"Yes",$CB460&lt;&gt;"N/A"),"Device ID, ","")&amp;IF(AND($CC460&lt;&gt;"Yes",$CC460&lt;&gt;"N/A"),"Epic Beans Relay, ",""),LEN(IF(AND($BR460&lt;&gt;"Yes",$BR460&lt;&gt;"N/A"),"Power Cable, ","")&amp;IF(AND($BS460&lt;&gt;"Yes",$BS460&lt;&gt;"N/A"),"Battery, ","")&amp;IF(AND($AD460&lt;&gt;"Yes",$AD460&lt;&gt;"N/A"),"Firmware Download, ","")&amp;IF(AND(OR($AD460="Yes",$AD460="N/A"),$AE460&lt;&gt;"Yes",$AE460&lt;&gt;"N/A"),"Firmware Install, ","")&amp;IF(AND($CB460&lt;&gt;"Yes",$CB460&lt;&gt;"N/A"),"Device ID, ","")&amp;IF(AND($CC460&lt;&gt;"Yes",$CC460&lt;&gt;"N/A"),"Epic Beans Relay, ",""))-2)))</f>
        <v/>
      </c>
      <c r="CE460">
        <f>IF($Y460="","",IF($CD460="","Yes","Blocked"))</f>
        <v/>
      </c>
      <c r="CP460">
        <f>IF($CO460="","",IFERROR(VLOOKUP($CO460,'01_Warehouse_Ledger'!$A:$N,4,FALSE),""))</f>
        <v/>
      </c>
      <c r="CQ460">
        <f>IF($CO460="","",IFERROR(VLOOKUP($CO460,'01_Warehouse_Ledger'!$A:$N,5,FALSE),""))</f>
        <v/>
      </c>
      <c r="CR460">
        <f>IF($CO460="","",IFERROR(VLOOKUP($CO460,'01_Warehouse_Ledger'!$A:$N,13,FALSE),""))</f>
        <v/>
      </c>
      <c r="CW460">
        <f>IF($S460="","",IF(UPPER(TRIM($S460))&lt;&gt;"PASS","",IF(LEN(TRIM($BY460))&gt;0,"NOTES_PRESENT",IF(LEN(TRIM($T460))=0,"SET_NA",IF(OR(LOWER(TRIM($T460))="na",LOWER(TRIM($T460))="n/a"),"OK","MANUAL_OVERRIDE")))))</f>
        <v/>
      </c>
    </row>
    <row r="461">
      <c r="B461" t="inlineStr">
        <is>
          <t>No</t>
        </is>
      </c>
      <c r="C461" t="inlineStr">
        <is>
          <t>No</t>
        </is>
      </c>
      <c r="D461">
        <f>IF($B461&lt;&gt;"Yes","",IF($C461="No","Yes",IF($C461="Yes","No","")))</f>
        <v/>
      </c>
      <c r="E461">
        <f>IF($A461="","",IF(OR(AND($V461&lt;&gt;"",LOWER(TRIM($V461))&lt;&gt;"n/a",LOWER(TRIM($V461))&lt;&gt;"na",SUMPRODUCT(--(UPPER(TRIM($V$2:$V$518))=UPPER(TRIM($V461))),--(TRIM($V$2:$V$518)&lt;&gt;""),--(LOWER(TRIM($V$2:$V$518))&lt;&gt;"n/a"),--(LOWER(TRIM($V$2:$V$518))&lt;&gt;"na"))&gt;1),AND($W461&lt;&gt;"",LOWER(TRIM($W461))&lt;&gt;"n/a",LOWER(TRIM($W461))&lt;&gt;"na",SUMPRODUCT(--(UPPER(TRIM($W$2:$W$518))=UPPER(TRIM($W461))),--(TRIM($W$2:$W$518)&lt;&gt;""),--(LOWER(TRIM($W$2:$W$518))&lt;&gt;"n/a"),--(LOWER(TRIM($W$2:$W$518))&lt;&gt;"na"))&gt;1),AND($X461&lt;&gt;"",LOWER(TRIM($X461))&lt;&gt;"n/a",LOWER(TRIM($X461))&lt;&gt;"na",SUMPRODUCT(--(UPPER(TRIM($X$2:$X$518))=UPPER(TRIM($X461))),--(TRIM($X$2:$X$518)&lt;&gt;""),--(LOWER(TRIM($X$2:$X$518))&lt;&gt;"n/a"),--(LOWER(TRIM($X$2:$X$518))&lt;&gt;"na"))&gt;1),AND($Y461&lt;&gt;"",LOWER(TRIM($Y461))&lt;&gt;"n/a",LOWER(TRIM($Y461))&lt;&gt;"na",SUMPRODUCT(--(UPPER(SUBSTITUTE(SUBSTITUTE(TRIM($Y$2:$Y$518),":",""),"-",""))=UPPER(SUBSTITUTE(SUBSTITUTE(TRIM($Y461),":",""),"-",""))),--(TRIM($Y$2:$Y$518)&lt;&gt;""),--(LOWER(TRIM($Y$2:$Y$518))&lt;&gt;"n/a"),--(LOWER(TRIM($Y$2:$Y$518))&lt;&gt;"na"))&gt;1),AND($AB461&lt;&gt;"",LOWER(TRIM($AB461))&lt;&gt;"n/a",LOWER(TRIM($AB461))&lt;&gt;"na",SUMPRODUCT(--(UPPER(TRIM($AB$2:$AB$518))=UPPER(TRIM($AB461))),--(TRIM($AB$2:$AB$518)&lt;&gt;""),--(LOWER(TRIM($AB$2:$AB$518))&lt;&gt;"n/a"),--(LOWER(TRIM($AB$2:$AB$518))&lt;&gt;"na"))&gt;1),AND($AH461&lt;&gt;"",LOWER(TRIM($AH461))&lt;&gt;"n/a",LOWER(TRIM($AH461))&lt;&gt;"na",SUMPRODUCT(--(UPPER(SUBSTITUTE(SUBSTITUTE(TRIM($AH$2:$AH$518),":",""),"-",""))=UPPER(SUBSTITUTE(SUBSTITUTE(TRIM($AH461),":",""),"-",""))),--(TRIM($AH$2:$AH$518)&lt;&gt;""),--(LOWER(TRIM($AH$2:$AH$518))&lt;&gt;"n/a"),--(LOWER(TRIM($AH$2:$AH$518))&lt;&gt;"na"))&gt;1),AND($AP461&lt;&gt;"",LOWER(TRIM($AP461))&lt;&gt;"n/a",LOWER(TRIM($AP461))&lt;&gt;"na",SUMPRODUCT(--(UPPER(TRIM($AP$2:$AP$518))=UPPER(TRIM($AP461))),--(TRIM($AP$2:$AP$518)&lt;&gt;""),--(LOWER(TRIM($AP$2:$AP$518))&lt;&gt;"n/a"),--(LOWER(TRIM($AP$2:$AP$518))&lt;&gt;"na"))&gt;1),AND($AQ461&lt;&gt;"",LOWER(TRIM($AQ461))&lt;&gt;"n/a",LOWER(TRIM($AQ461))&lt;&gt;"na",SUMPRODUCT(--(UPPER(TRIM($AQ$2:$AQ$518))=UPPER(TRIM($AQ461))),--(TRIM($AQ$2:$AQ$518)&lt;&gt;""),--(LOWER(TRIM($AQ$2:$AQ$518))&lt;&gt;"n/a"),--(LOWER(TRIM($AQ$2:$AQ$518))&lt;&gt;"na"))&gt;1)),"Yes","No"))</f>
        <v/>
      </c>
      <c r="F461">
        <f>IF(UPPER(TRIM($B461))&lt;&gt;"YES","", IF(OR(AND($V461&lt;&gt;"", LOWER(TRIM($V461))&lt;&gt;"n/a", LOWER(TRIM($V461))&lt;&gt;"na", SUMPRODUCT(--(UPPER(TRIM($V$2:$V$518))=UPPER(TRIM($V461))), --(UPPER(TRIM($B$2:$B$518))="YES"), --(UPPER(TRIM($G$2:$G$518)&amp;TRIM($I$2:$I$518)&amp;TRIM($J$2:$J$518))&lt;&gt;UPPER(TRIM($G461)&amp;TRIM($I461)&amp;TRIM($J461))))&gt;0), AND($W461&lt;&gt;"", LOWER(TRIM($W461))&lt;&gt;"n/a", LOWER(TRIM($W461))&lt;&gt;"na", SUMPRODUCT(--(UPPER(TRIM($W$2:$W$518))=UPPER(TRIM($W461))), --(UPPER(TRIM($B$2:$B$518))="YES"), --(UPPER(TRIM($G$2:$G$518)&amp;TRIM($I$2:$I$518)&amp;TRIM($J$2:$J$518))&lt;&gt;UPPER(TRIM($G461)&amp;TRIM($I461)&amp;TRIM($J461))))&gt;0), AND($X461&lt;&gt;"", LOWER(TRIM($X461))&lt;&gt;"n/a", LOWER(TRIM($X461))&lt;&gt;"na", SUMPRODUCT(--(UPPER(TRIM($X$2:$X$518))=UPPER(TRIM($X461))), --(UPPER(TRIM($B$2:$B$518))="YES"), --(UPPER(TRIM($G$2:$G$518)&amp;TRIM($I$2:$I$518)&amp;TRIM($J$2:$J$518))&lt;&gt;UPPER(TRIM($G461)&amp;TRIM($I461)&amp;TRIM($J461))))&gt;0), AND($Y461&lt;&gt;"", LOWER(TRIM($Y461))&lt;&gt;"n/a", LOWER(TRIM($Y461))&lt;&gt;"na", SUMPRODUCT(--(UPPER(SUBSTITUTE(SUBSTITUTE(TRIM($Y$2:$Y$518),":",""),"-",""))=UPPER(SUBSTITUTE(SUBSTITUTE(TRIM($Y461),":",""),"-",""))), --(UPPER(TRIM($B$2:$B$518))="YES"), --(UPPER(TRIM($G$2:$G$518)&amp;TRIM($I$2:$I$518)&amp;TRIM($J$2:$J$518))&lt;&gt;UPPER(TRIM($G461)&amp;TRIM($I461)&amp;TRIM($J461))))&gt;0), AND($AB461&lt;&gt;"", LOWER(TRIM($AB461))&lt;&gt;"n/a", LOWER(TRIM($AB461))&lt;&gt;"na", SUMPRODUCT(--(UPPER(TRIM($AB$2:$AB$518))=UPPER(TRIM($AB461))), --(UPPER(TRIM($B$2:$B$518))="YES"), --(UPPER(TRIM($G$2:$G$518)&amp;TRIM($I$2:$I$518)&amp;TRIM($J$2:$J$518))&lt;&gt;UPPER(TRIM($G461)&amp;TRIM($I461)&amp;TRIM($J461))))&gt;0), AND($AH461&lt;&gt;"", LOWER(TRIM($AH461))&lt;&gt;"n/a", LOWER(TRIM($AH461))&lt;&gt;"na", SUMPRODUCT(--(UPPER(SUBSTITUTE(SUBSTITUTE(TRIM($AH$2:$AH$518),":",""),"-",""))=UPPER(SUBSTITUTE(SUBSTITUTE(TRIM($AH461),":",""),"-",""))), --(UPPER(TRIM($B$2:$B$518))="YES"), --(UPPER(TRIM($G$2:$G$518)&amp;TRIM($I$2:$I$518)&amp;TRIM($J$2:$J$518))&lt;&gt;UPPER(TRIM($G461)&amp;TRIM($I461)&amp;TRIM($J461))))&gt;0), AND($AP461&lt;&gt;"", LOWER(TRIM($AP461))&lt;&gt;"n/a", LOWER(TRIM($AP461))&lt;&gt;"na", SUMPRODUCT(--(UPPER(TRIM($AP$2:$AP$518))=UPPER(TRIM($AP461))), --(UPPER(TRIM($B$2:$B$518))="YES"), --(UPPER(TRIM($G$2:$G$518)&amp;TRIM($I$2:$I$518)&amp;TRIM($J$2:$J$518))&lt;&gt;UPPER(TRIM($G461)&amp;TRIM($I461)&amp;TRIM($J461))))&gt;0), AND($AQ461&lt;&gt;"", LOWER(TRIM($AQ461))&lt;&gt;"n/a", LOWER(TRIM($AQ461))&lt;&gt;"na", SUMPRODUCT(--(UPPER(TRIM($AQ$2:$AQ$518))=UPPER(TRIM($AQ461))), --(UPPER(TRIM($B$2:$B$518))="YES"), --(UPPER(TRIM($G$2:$G$518)&amp;TRIM($I$2:$I$518)&amp;TRIM($J$2:$J$518))&lt;&gt;UPPER(TRIM($G461)&amp;TRIM($I461)&amp;TRIM($J461))))&gt;0)), "Yes", "No"))</f>
        <v/>
      </c>
      <c r="CD461">
        <f>IF($Y461="","",IF((IF(AND($BR461&lt;&gt;"Yes",$BR461&lt;&gt;"N/A"),"Power Cable, ","")&amp;IF(AND($BS461&lt;&gt;"Yes",$BS461&lt;&gt;"N/A"),"Battery, ","")&amp;IF(AND($AD461&lt;&gt;"Yes",$AD461&lt;&gt;"N/A"),"Firmware Download, ","")&amp;IF(AND(OR($AD461="Yes",$AD461="N/A"),$AE461&lt;&gt;"Yes",$AE461&lt;&gt;"N/A"),"Firmware Install, ","")&amp;IF(AND($CB461&lt;&gt;"Yes",$CB461&lt;&gt;"N/A"),"Device ID, ","")&amp;IF(AND($CC461&lt;&gt;"Yes",$CC461&lt;&gt;"N/A"),"Epic Beans Relay, ",""))="","",LEFT(IF(AND($BR461&lt;&gt;"Yes",$BR461&lt;&gt;"N/A"),"Power Cable, ","")&amp;IF(AND($BS461&lt;&gt;"Yes",$BS461&lt;&gt;"N/A"),"Battery, ","")&amp;IF(AND($AD461&lt;&gt;"Yes",$AD461&lt;&gt;"N/A"),"Firmware Download, ","")&amp;IF(AND(OR($AD461="Yes",$AD461="N/A"),$AE461&lt;&gt;"Yes",$AE461&lt;&gt;"N/A"),"Firmware Install, ","")&amp;IF(AND($CB461&lt;&gt;"Yes",$CB461&lt;&gt;"N/A"),"Device ID, ","")&amp;IF(AND($CC461&lt;&gt;"Yes",$CC461&lt;&gt;"N/A"),"Epic Beans Relay, ",""),LEN(IF(AND($BR461&lt;&gt;"Yes",$BR461&lt;&gt;"N/A"),"Power Cable, ","")&amp;IF(AND($BS461&lt;&gt;"Yes",$BS461&lt;&gt;"N/A"),"Battery, ","")&amp;IF(AND($AD461&lt;&gt;"Yes",$AD461&lt;&gt;"N/A"),"Firmware Download, ","")&amp;IF(AND(OR($AD461="Yes",$AD461="N/A"),$AE461&lt;&gt;"Yes",$AE461&lt;&gt;"N/A"),"Firmware Install, ","")&amp;IF(AND($CB461&lt;&gt;"Yes",$CB461&lt;&gt;"N/A"),"Device ID, ","")&amp;IF(AND($CC461&lt;&gt;"Yes",$CC461&lt;&gt;"N/A"),"Epic Beans Relay, ",""))-2)))</f>
        <v/>
      </c>
      <c r="CE461">
        <f>IF($Y461="","",IF($CD461="","Yes","Blocked"))</f>
        <v/>
      </c>
      <c r="CP461">
        <f>IF($CO461="","",IFERROR(VLOOKUP($CO461,'01_Warehouse_Ledger'!$A:$N,4,FALSE),""))</f>
        <v/>
      </c>
      <c r="CQ461">
        <f>IF($CO461="","",IFERROR(VLOOKUP($CO461,'01_Warehouse_Ledger'!$A:$N,5,FALSE),""))</f>
        <v/>
      </c>
      <c r="CR461">
        <f>IF($CO461="","",IFERROR(VLOOKUP($CO461,'01_Warehouse_Ledger'!$A:$N,13,FALSE),""))</f>
        <v/>
      </c>
      <c r="CW461">
        <f>IF($S461="","",IF(UPPER(TRIM($S461))&lt;&gt;"PASS","",IF(LEN(TRIM($BY461))&gt;0,"NOTES_PRESENT",IF(LEN(TRIM($T461))=0,"SET_NA",IF(OR(LOWER(TRIM($T461))="na",LOWER(TRIM($T461))="n/a"),"OK","MANUAL_OVERRIDE")))))</f>
        <v/>
      </c>
    </row>
    <row r="462">
      <c r="B462" t="inlineStr">
        <is>
          <t>No</t>
        </is>
      </c>
      <c r="C462" t="inlineStr">
        <is>
          <t>No</t>
        </is>
      </c>
      <c r="D462">
        <f>IF($B462&lt;&gt;"Yes","",IF($C462="No","Yes",IF($C462="Yes","No","")))</f>
        <v/>
      </c>
      <c r="E462">
        <f>IF($A462="","",IF(OR(AND($V462&lt;&gt;"",LOWER(TRIM($V462))&lt;&gt;"n/a",LOWER(TRIM($V462))&lt;&gt;"na",SUMPRODUCT(--(UPPER(TRIM($V$2:$V$518))=UPPER(TRIM($V462))),--(TRIM($V$2:$V$518)&lt;&gt;""),--(LOWER(TRIM($V$2:$V$518))&lt;&gt;"n/a"),--(LOWER(TRIM($V$2:$V$518))&lt;&gt;"na"))&gt;1),AND($W462&lt;&gt;"",LOWER(TRIM($W462))&lt;&gt;"n/a",LOWER(TRIM($W462))&lt;&gt;"na",SUMPRODUCT(--(UPPER(TRIM($W$2:$W$518))=UPPER(TRIM($W462))),--(TRIM($W$2:$W$518)&lt;&gt;""),--(LOWER(TRIM($W$2:$W$518))&lt;&gt;"n/a"),--(LOWER(TRIM($W$2:$W$518))&lt;&gt;"na"))&gt;1),AND($X462&lt;&gt;"",LOWER(TRIM($X462))&lt;&gt;"n/a",LOWER(TRIM($X462))&lt;&gt;"na",SUMPRODUCT(--(UPPER(TRIM($X$2:$X$518))=UPPER(TRIM($X462))),--(TRIM($X$2:$X$518)&lt;&gt;""),--(LOWER(TRIM($X$2:$X$518))&lt;&gt;"n/a"),--(LOWER(TRIM($X$2:$X$518))&lt;&gt;"na"))&gt;1),AND($Y462&lt;&gt;"",LOWER(TRIM($Y462))&lt;&gt;"n/a",LOWER(TRIM($Y462))&lt;&gt;"na",SUMPRODUCT(--(UPPER(SUBSTITUTE(SUBSTITUTE(TRIM($Y$2:$Y$518),":",""),"-",""))=UPPER(SUBSTITUTE(SUBSTITUTE(TRIM($Y462),":",""),"-",""))),--(TRIM($Y$2:$Y$518)&lt;&gt;""),--(LOWER(TRIM($Y$2:$Y$518))&lt;&gt;"n/a"),--(LOWER(TRIM($Y$2:$Y$518))&lt;&gt;"na"))&gt;1),AND($AB462&lt;&gt;"",LOWER(TRIM($AB462))&lt;&gt;"n/a",LOWER(TRIM($AB462))&lt;&gt;"na",SUMPRODUCT(--(UPPER(TRIM($AB$2:$AB$518))=UPPER(TRIM($AB462))),--(TRIM($AB$2:$AB$518)&lt;&gt;""),--(LOWER(TRIM($AB$2:$AB$518))&lt;&gt;"n/a"),--(LOWER(TRIM($AB$2:$AB$518))&lt;&gt;"na"))&gt;1),AND($AH462&lt;&gt;"",LOWER(TRIM($AH462))&lt;&gt;"n/a",LOWER(TRIM($AH462))&lt;&gt;"na",SUMPRODUCT(--(UPPER(SUBSTITUTE(SUBSTITUTE(TRIM($AH$2:$AH$518),":",""),"-",""))=UPPER(SUBSTITUTE(SUBSTITUTE(TRIM($AH462),":",""),"-",""))),--(TRIM($AH$2:$AH$518)&lt;&gt;""),--(LOWER(TRIM($AH$2:$AH$518))&lt;&gt;"n/a"),--(LOWER(TRIM($AH$2:$AH$518))&lt;&gt;"na"))&gt;1),AND($AP462&lt;&gt;"",LOWER(TRIM($AP462))&lt;&gt;"n/a",LOWER(TRIM($AP462))&lt;&gt;"na",SUMPRODUCT(--(UPPER(TRIM($AP$2:$AP$518))=UPPER(TRIM($AP462))),--(TRIM($AP$2:$AP$518)&lt;&gt;""),--(LOWER(TRIM($AP$2:$AP$518))&lt;&gt;"n/a"),--(LOWER(TRIM($AP$2:$AP$518))&lt;&gt;"na"))&gt;1),AND($AQ462&lt;&gt;"",LOWER(TRIM($AQ462))&lt;&gt;"n/a",LOWER(TRIM($AQ462))&lt;&gt;"na",SUMPRODUCT(--(UPPER(TRIM($AQ$2:$AQ$518))=UPPER(TRIM($AQ462))),--(TRIM($AQ$2:$AQ$518)&lt;&gt;""),--(LOWER(TRIM($AQ$2:$AQ$518))&lt;&gt;"n/a"),--(LOWER(TRIM($AQ$2:$AQ$518))&lt;&gt;"na"))&gt;1)),"Yes","No"))</f>
        <v/>
      </c>
      <c r="F462">
        <f>IF(UPPER(TRIM($B462))&lt;&gt;"YES","", IF(OR(AND($V462&lt;&gt;"", LOWER(TRIM($V462))&lt;&gt;"n/a", LOWER(TRIM($V462))&lt;&gt;"na", SUMPRODUCT(--(UPPER(TRIM($V$2:$V$518))=UPPER(TRIM($V462))), --(UPPER(TRIM($B$2:$B$518))="YES"), --(UPPER(TRIM($G$2:$G$518)&amp;TRIM($I$2:$I$518)&amp;TRIM($J$2:$J$518))&lt;&gt;UPPER(TRIM($G462)&amp;TRIM($I462)&amp;TRIM($J462))))&gt;0), AND($W462&lt;&gt;"", LOWER(TRIM($W462))&lt;&gt;"n/a", LOWER(TRIM($W462))&lt;&gt;"na", SUMPRODUCT(--(UPPER(TRIM($W$2:$W$518))=UPPER(TRIM($W462))), --(UPPER(TRIM($B$2:$B$518))="YES"), --(UPPER(TRIM($G$2:$G$518)&amp;TRIM($I$2:$I$518)&amp;TRIM($J$2:$J$518))&lt;&gt;UPPER(TRIM($G462)&amp;TRIM($I462)&amp;TRIM($J462))))&gt;0), AND($X462&lt;&gt;"", LOWER(TRIM($X462))&lt;&gt;"n/a", LOWER(TRIM($X462))&lt;&gt;"na", SUMPRODUCT(--(UPPER(TRIM($X$2:$X$518))=UPPER(TRIM($X462))), --(UPPER(TRIM($B$2:$B$518))="YES"), --(UPPER(TRIM($G$2:$G$518)&amp;TRIM($I$2:$I$518)&amp;TRIM($J$2:$J$518))&lt;&gt;UPPER(TRIM($G462)&amp;TRIM($I462)&amp;TRIM($J462))))&gt;0), AND($Y462&lt;&gt;"", LOWER(TRIM($Y462))&lt;&gt;"n/a", LOWER(TRIM($Y462))&lt;&gt;"na", SUMPRODUCT(--(UPPER(SUBSTITUTE(SUBSTITUTE(TRIM($Y$2:$Y$518),":",""),"-",""))=UPPER(SUBSTITUTE(SUBSTITUTE(TRIM($Y462),":",""),"-",""))), --(UPPER(TRIM($B$2:$B$518))="YES"), --(UPPER(TRIM($G$2:$G$518)&amp;TRIM($I$2:$I$518)&amp;TRIM($J$2:$J$518))&lt;&gt;UPPER(TRIM($G462)&amp;TRIM($I462)&amp;TRIM($J462))))&gt;0), AND($AB462&lt;&gt;"", LOWER(TRIM($AB462))&lt;&gt;"n/a", LOWER(TRIM($AB462))&lt;&gt;"na", SUMPRODUCT(--(UPPER(TRIM($AB$2:$AB$518))=UPPER(TRIM($AB462))), --(UPPER(TRIM($B$2:$B$518))="YES"), --(UPPER(TRIM($G$2:$G$518)&amp;TRIM($I$2:$I$518)&amp;TRIM($J$2:$J$518))&lt;&gt;UPPER(TRIM($G462)&amp;TRIM($I462)&amp;TRIM($J462))))&gt;0), AND($AH462&lt;&gt;"", LOWER(TRIM($AH462))&lt;&gt;"n/a", LOWER(TRIM($AH462))&lt;&gt;"na", SUMPRODUCT(--(UPPER(SUBSTITUTE(SUBSTITUTE(TRIM($AH$2:$AH$518),":",""),"-",""))=UPPER(SUBSTITUTE(SUBSTITUTE(TRIM($AH462),":",""),"-",""))), --(UPPER(TRIM($B$2:$B$518))="YES"), --(UPPER(TRIM($G$2:$G$518)&amp;TRIM($I$2:$I$518)&amp;TRIM($J$2:$J$518))&lt;&gt;UPPER(TRIM($G462)&amp;TRIM($I462)&amp;TRIM($J462))))&gt;0), AND($AP462&lt;&gt;"", LOWER(TRIM($AP462))&lt;&gt;"n/a", LOWER(TRIM($AP462))&lt;&gt;"na", SUMPRODUCT(--(UPPER(TRIM($AP$2:$AP$518))=UPPER(TRIM($AP462))), --(UPPER(TRIM($B$2:$B$518))="YES"), --(UPPER(TRIM($G$2:$G$518)&amp;TRIM($I$2:$I$518)&amp;TRIM($J$2:$J$518))&lt;&gt;UPPER(TRIM($G462)&amp;TRIM($I462)&amp;TRIM($J462))))&gt;0), AND($AQ462&lt;&gt;"", LOWER(TRIM($AQ462))&lt;&gt;"n/a", LOWER(TRIM($AQ462))&lt;&gt;"na", SUMPRODUCT(--(UPPER(TRIM($AQ$2:$AQ$518))=UPPER(TRIM($AQ462))), --(UPPER(TRIM($B$2:$B$518))="YES"), --(UPPER(TRIM($G$2:$G$518)&amp;TRIM($I$2:$I$518)&amp;TRIM($J$2:$J$518))&lt;&gt;UPPER(TRIM($G462)&amp;TRIM($I462)&amp;TRIM($J462))))&gt;0)), "Yes", "No"))</f>
        <v/>
      </c>
      <c r="CD462">
        <f>IF($Y462="","",IF((IF(AND($BR462&lt;&gt;"Yes",$BR462&lt;&gt;"N/A"),"Power Cable, ","")&amp;IF(AND($BS462&lt;&gt;"Yes",$BS462&lt;&gt;"N/A"),"Battery, ","")&amp;IF(AND($AD462&lt;&gt;"Yes",$AD462&lt;&gt;"N/A"),"Firmware Download, ","")&amp;IF(AND(OR($AD462="Yes",$AD462="N/A"),$AE462&lt;&gt;"Yes",$AE462&lt;&gt;"N/A"),"Firmware Install, ","")&amp;IF(AND($CB462&lt;&gt;"Yes",$CB462&lt;&gt;"N/A"),"Device ID, ","")&amp;IF(AND($CC462&lt;&gt;"Yes",$CC462&lt;&gt;"N/A"),"Epic Beans Relay, ",""))="","",LEFT(IF(AND($BR462&lt;&gt;"Yes",$BR462&lt;&gt;"N/A"),"Power Cable, ","")&amp;IF(AND($BS462&lt;&gt;"Yes",$BS462&lt;&gt;"N/A"),"Battery, ","")&amp;IF(AND($AD462&lt;&gt;"Yes",$AD462&lt;&gt;"N/A"),"Firmware Download, ","")&amp;IF(AND(OR($AD462="Yes",$AD462="N/A"),$AE462&lt;&gt;"Yes",$AE462&lt;&gt;"N/A"),"Firmware Install, ","")&amp;IF(AND($CB462&lt;&gt;"Yes",$CB462&lt;&gt;"N/A"),"Device ID, ","")&amp;IF(AND($CC462&lt;&gt;"Yes",$CC462&lt;&gt;"N/A"),"Epic Beans Relay, ",""),LEN(IF(AND($BR462&lt;&gt;"Yes",$BR462&lt;&gt;"N/A"),"Power Cable, ","")&amp;IF(AND($BS462&lt;&gt;"Yes",$BS462&lt;&gt;"N/A"),"Battery, ","")&amp;IF(AND($AD462&lt;&gt;"Yes",$AD462&lt;&gt;"N/A"),"Firmware Download, ","")&amp;IF(AND(OR($AD462="Yes",$AD462="N/A"),$AE462&lt;&gt;"Yes",$AE462&lt;&gt;"N/A"),"Firmware Install, ","")&amp;IF(AND($CB462&lt;&gt;"Yes",$CB462&lt;&gt;"N/A"),"Device ID, ","")&amp;IF(AND($CC462&lt;&gt;"Yes",$CC462&lt;&gt;"N/A"),"Epic Beans Relay, ",""))-2)))</f>
        <v/>
      </c>
      <c r="CE462">
        <f>IF($Y462="","",IF($CD462="","Yes","Blocked"))</f>
        <v/>
      </c>
      <c r="CP462">
        <f>IF($CO462="","",IFERROR(VLOOKUP($CO462,'01_Warehouse_Ledger'!$A:$N,4,FALSE),""))</f>
        <v/>
      </c>
      <c r="CQ462">
        <f>IF($CO462="","",IFERROR(VLOOKUP($CO462,'01_Warehouse_Ledger'!$A:$N,5,FALSE),""))</f>
        <v/>
      </c>
      <c r="CR462">
        <f>IF($CO462="","",IFERROR(VLOOKUP($CO462,'01_Warehouse_Ledger'!$A:$N,13,FALSE),""))</f>
        <v/>
      </c>
      <c r="CW462">
        <f>IF($S462="","",IF(UPPER(TRIM($S462))&lt;&gt;"PASS","",IF(LEN(TRIM($BY462))&gt;0,"NOTES_PRESENT",IF(LEN(TRIM($T462))=0,"SET_NA",IF(OR(LOWER(TRIM($T462))="na",LOWER(TRIM($T462))="n/a"),"OK","MANUAL_OVERRIDE")))))</f>
        <v/>
      </c>
    </row>
    <row r="463">
      <c r="B463" t="inlineStr">
        <is>
          <t>No</t>
        </is>
      </c>
      <c r="C463" t="inlineStr">
        <is>
          <t>No</t>
        </is>
      </c>
      <c r="D463">
        <f>IF($B463&lt;&gt;"Yes","",IF($C463="No","Yes",IF($C463="Yes","No","")))</f>
        <v/>
      </c>
      <c r="E463">
        <f>IF($A463="","",IF(OR(AND($V463&lt;&gt;"",LOWER(TRIM($V463))&lt;&gt;"n/a",LOWER(TRIM($V463))&lt;&gt;"na",SUMPRODUCT(--(UPPER(TRIM($V$2:$V$518))=UPPER(TRIM($V463))),--(TRIM($V$2:$V$518)&lt;&gt;""),--(LOWER(TRIM($V$2:$V$518))&lt;&gt;"n/a"),--(LOWER(TRIM($V$2:$V$518))&lt;&gt;"na"))&gt;1),AND($W463&lt;&gt;"",LOWER(TRIM($W463))&lt;&gt;"n/a",LOWER(TRIM($W463))&lt;&gt;"na",SUMPRODUCT(--(UPPER(TRIM($W$2:$W$518))=UPPER(TRIM($W463))),--(TRIM($W$2:$W$518)&lt;&gt;""),--(LOWER(TRIM($W$2:$W$518))&lt;&gt;"n/a"),--(LOWER(TRIM($W$2:$W$518))&lt;&gt;"na"))&gt;1),AND($X463&lt;&gt;"",LOWER(TRIM($X463))&lt;&gt;"n/a",LOWER(TRIM($X463))&lt;&gt;"na",SUMPRODUCT(--(UPPER(TRIM($X$2:$X$518))=UPPER(TRIM($X463))),--(TRIM($X$2:$X$518)&lt;&gt;""),--(LOWER(TRIM($X$2:$X$518))&lt;&gt;"n/a"),--(LOWER(TRIM($X$2:$X$518))&lt;&gt;"na"))&gt;1),AND($Y463&lt;&gt;"",LOWER(TRIM($Y463))&lt;&gt;"n/a",LOWER(TRIM($Y463))&lt;&gt;"na",SUMPRODUCT(--(UPPER(SUBSTITUTE(SUBSTITUTE(TRIM($Y$2:$Y$518),":",""),"-",""))=UPPER(SUBSTITUTE(SUBSTITUTE(TRIM($Y463),":",""),"-",""))),--(TRIM($Y$2:$Y$518)&lt;&gt;""),--(LOWER(TRIM($Y$2:$Y$518))&lt;&gt;"n/a"),--(LOWER(TRIM($Y$2:$Y$518))&lt;&gt;"na"))&gt;1),AND($AB463&lt;&gt;"",LOWER(TRIM($AB463))&lt;&gt;"n/a",LOWER(TRIM($AB463))&lt;&gt;"na",SUMPRODUCT(--(UPPER(TRIM($AB$2:$AB$518))=UPPER(TRIM($AB463))),--(TRIM($AB$2:$AB$518)&lt;&gt;""),--(LOWER(TRIM($AB$2:$AB$518))&lt;&gt;"n/a"),--(LOWER(TRIM($AB$2:$AB$518))&lt;&gt;"na"))&gt;1),AND($AH463&lt;&gt;"",LOWER(TRIM($AH463))&lt;&gt;"n/a",LOWER(TRIM($AH463))&lt;&gt;"na",SUMPRODUCT(--(UPPER(SUBSTITUTE(SUBSTITUTE(TRIM($AH$2:$AH$518),":",""),"-",""))=UPPER(SUBSTITUTE(SUBSTITUTE(TRIM($AH463),":",""),"-",""))),--(TRIM($AH$2:$AH$518)&lt;&gt;""),--(LOWER(TRIM($AH$2:$AH$518))&lt;&gt;"n/a"),--(LOWER(TRIM($AH$2:$AH$518))&lt;&gt;"na"))&gt;1),AND($AP463&lt;&gt;"",LOWER(TRIM($AP463))&lt;&gt;"n/a",LOWER(TRIM($AP463))&lt;&gt;"na",SUMPRODUCT(--(UPPER(TRIM($AP$2:$AP$518))=UPPER(TRIM($AP463))),--(TRIM($AP$2:$AP$518)&lt;&gt;""),--(LOWER(TRIM($AP$2:$AP$518))&lt;&gt;"n/a"),--(LOWER(TRIM($AP$2:$AP$518))&lt;&gt;"na"))&gt;1),AND($AQ463&lt;&gt;"",LOWER(TRIM($AQ463))&lt;&gt;"n/a",LOWER(TRIM($AQ463))&lt;&gt;"na",SUMPRODUCT(--(UPPER(TRIM($AQ$2:$AQ$518))=UPPER(TRIM($AQ463))),--(TRIM($AQ$2:$AQ$518)&lt;&gt;""),--(LOWER(TRIM($AQ$2:$AQ$518))&lt;&gt;"n/a"),--(LOWER(TRIM($AQ$2:$AQ$518))&lt;&gt;"na"))&gt;1)),"Yes","No"))</f>
        <v/>
      </c>
      <c r="F463">
        <f>IF(UPPER(TRIM($B463))&lt;&gt;"YES","", IF(OR(AND($V463&lt;&gt;"", LOWER(TRIM($V463))&lt;&gt;"n/a", LOWER(TRIM($V463))&lt;&gt;"na", SUMPRODUCT(--(UPPER(TRIM($V$2:$V$518))=UPPER(TRIM($V463))), --(UPPER(TRIM($B$2:$B$518))="YES"), --(UPPER(TRIM($G$2:$G$518)&amp;TRIM($I$2:$I$518)&amp;TRIM($J$2:$J$518))&lt;&gt;UPPER(TRIM($G463)&amp;TRIM($I463)&amp;TRIM($J463))))&gt;0), AND($W463&lt;&gt;"", LOWER(TRIM($W463))&lt;&gt;"n/a", LOWER(TRIM($W463))&lt;&gt;"na", SUMPRODUCT(--(UPPER(TRIM($W$2:$W$518))=UPPER(TRIM($W463))), --(UPPER(TRIM($B$2:$B$518))="YES"), --(UPPER(TRIM($G$2:$G$518)&amp;TRIM($I$2:$I$518)&amp;TRIM($J$2:$J$518))&lt;&gt;UPPER(TRIM($G463)&amp;TRIM($I463)&amp;TRIM($J463))))&gt;0), AND($X463&lt;&gt;"", LOWER(TRIM($X463))&lt;&gt;"n/a", LOWER(TRIM($X463))&lt;&gt;"na", SUMPRODUCT(--(UPPER(TRIM($X$2:$X$518))=UPPER(TRIM($X463))), --(UPPER(TRIM($B$2:$B$518))="YES"), --(UPPER(TRIM($G$2:$G$518)&amp;TRIM($I$2:$I$518)&amp;TRIM($J$2:$J$518))&lt;&gt;UPPER(TRIM($G463)&amp;TRIM($I463)&amp;TRIM($J463))))&gt;0), AND($Y463&lt;&gt;"", LOWER(TRIM($Y463))&lt;&gt;"n/a", LOWER(TRIM($Y463))&lt;&gt;"na", SUMPRODUCT(--(UPPER(SUBSTITUTE(SUBSTITUTE(TRIM($Y$2:$Y$518),":",""),"-",""))=UPPER(SUBSTITUTE(SUBSTITUTE(TRIM($Y463),":",""),"-",""))), --(UPPER(TRIM($B$2:$B$518))="YES"), --(UPPER(TRIM($G$2:$G$518)&amp;TRIM($I$2:$I$518)&amp;TRIM($J$2:$J$518))&lt;&gt;UPPER(TRIM($G463)&amp;TRIM($I463)&amp;TRIM($J463))))&gt;0), AND($AB463&lt;&gt;"", LOWER(TRIM($AB463))&lt;&gt;"n/a", LOWER(TRIM($AB463))&lt;&gt;"na", SUMPRODUCT(--(UPPER(TRIM($AB$2:$AB$518))=UPPER(TRIM($AB463))), --(UPPER(TRIM($B$2:$B$518))="YES"), --(UPPER(TRIM($G$2:$G$518)&amp;TRIM($I$2:$I$518)&amp;TRIM($J$2:$J$518))&lt;&gt;UPPER(TRIM($G463)&amp;TRIM($I463)&amp;TRIM($J463))))&gt;0), AND($AH463&lt;&gt;"", LOWER(TRIM($AH463))&lt;&gt;"n/a", LOWER(TRIM($AH463))&lt;&gt;"na", SUMPRODUCT(--(UPPER(SUBSTITUTE(SUBSTITUTE(TRIM($AH$2:$AH$518),":",""),"-",""))=UPPER(SUBSTITUTE(SUBSTITUTE(TRIM($AH463),":",""),"-",""))), --(UPPER(TRIM($B$2:$B$518))="YES"), --(UPPER(TRIM($G$2:$G$518)&amp;TRIM($I$2:$I$518)&amp;TRIM($J$2:$J$518))&lt;&gt;UPPER(TRIM($G463)&amp;TRIM($I463)&amp;TRIM($J463))))&gt;0), AND($AP463&lt;&gt;"", LOWER(TRIM($AP463))&lt;&gt;"n/a", LOWER(TRIM($AP463))&lt;&gt;"na", SUMPRODUCT(--(UPPER(TRIM($AP$2:$AP$518))=UPPER(TRIM($AP463))), --(UPPER(TRIM($B$2:$B$518))="YES"), --(UPPER(TRIM($G$2:$G$518)&amp;TRIM($I$2:$I$518)&amp;TRIM($J$2:$J$518))&lt;&gt;UPPER(TRIM($G463)&amp;TRIM($I463)&amp;TRIM($J463))))&gt;0), AND($AQ463&lt;&gt;"", LOWER(TRIM($AQ463))&lt;&gt;"n/a", LOWER(TRIM($AQ463))&lt;&gt;"na", SUMPRODUCT(--(UPPER(TRIM($AQ$2:$AQ$518))=UPPER(TRIM($AQ463))), --(UPPER(TRIM($B$2:$B$518))="YES"), --(UPPER(TRIM($G$2:$G$518)&amp;TRIM($I$2:$I$518)&amp;TRIM($J$2:$J$518))&lt;&gt;UPPER(TRIM($G463)&amp;TRIM($I463)&amp;TRIM($J463))))&gt;0)), "Yes", "No"))</f>
        <v/>
      </c>
      <c r="CD463">
        <f>IF($Y463="","",IF((IF(AND($BR463&lt;&gt;"Yes",$BR463&lt;&gt;"N/A"),"Power Cable, ","")&amp;IF(AND($BS463&lt;&gt;"Yes",$BS463&lt;&gt;"N/A"),"Battery, ","")&amp;IF(AND($AD463&lt;&gt;"Yes",$AD463&lt;&gt;"N/A"),"Firmware Download, ","")&amp;IF(AND(OR($AD463="Yes",$AD463="N/A"),$AE463&lt;&gt;"Yes",$AE463&lt;&gt;"N/A"),"Firmware Install, ","")&amp;IF(AND($CB463&lt;&gt;"Yes",$CB463&lt;&gt;"N/A"),"Device ID, ","")&amp;IF(AND($CC463&lt;&gt;"Yes",$CC463&lt;&gt;"N/A"),"Epic Beans Relay, ",""))="","",LEFT(IF(AND($BR463&lt;&gt;"Yes",$BR463&lt;&gt;"N/A"),"Power Cable, ","")&amp;IF(AND($BS463&lt;&gt;"Yes",$BS463&lt;&gt;"N/A"),"Battery, ","")&amp;IF(AND($AD463&lt;&gt;"Yes",$AD463&lt;&gt;"N/A"),"Firmware Download, ","")&amp;IF(AND(OR($AD463="Yes",$AD463="N/A"),$AE463&lt;&gt;"Yes",$AE463&lt;&gt;"N/A"),"Firmware Install, ","")&amp;IF(AND($CB463&lt;&gt;"Yes",$CB463&lt;&gt;"N/A"),"Device ID, ","")&amp;IF(AND($CC463&lt;&gt;"Yes",$CC463&lt;&gt;"N/A"),"Epic Beans Relay, ",""),LEN(IF(AND($BR463&lt;&gt;"Yes",$BR463&lt;&gt;"N/A"),"Power Cable, ","")&amp;IF(AND($BS463&lt;&gt;"Yes",$BS463&lt;&gt;"N/A"),"Battery, ","")&amp;IF(AND($AD463&lt;&gt;"Yes",$AD463&lt;&gt;"N/A"),"Firmware Download, ","")&amp;IF(AND(OR($AD463="Yes",$AD463="N/A"),$AE463&lt;&gt;"Yes",$AE463&lt;&gt;"N/A"),"Firmware Install, ","")&amp;IF(AND($CB463&lt;&gt;"Yes",$CB463&lt;&gt;"N/A"),"Device ID, ","")&amp;IF(AND($CC463&lt;&gt;"Yes",$CC463&lt;&gt;"N/A"),"Epic Beans Relay, ",""))-2)))</f>
        <v/>
      </c>
      <c r="CE463">
        <f>IF($Y463="","",IF($CD463="","Yes","Blocked"))</f>
        <v/>
      </c>
      <c r="CP463">
        <f>IF($CO463="","",IFERROR(VLOOKUP($CO463,'01_Warehouse_Ledger'!$A:$N,4,FALSE),""))</f>
        <v/>
      </c>
      <c r="CQ463">
        <f>IF($CO463="","",IFERROR(VLOOKUP($CO463,'01_Warehouse_Ledger'!$A:$N,5,FALSE),""))</f>
        <v/>
      </c>
      <c r="CR463">
        <f>IF($CO463="","",IFERROR(VLOOKUP($CO463,'01_Warehouse_Ledger'!$A:$N,13,FALSE),""))</f>
        <v/>
      </c>
      <c r="CW463">
        <f>IF($S463="","",IF(UPPER(TRIM($S463))&lt;&gt;"PASS","",IF(LEN(TRIM($BY463))&gt;0,"NOTES_PRESENT",IF(LEN(TRIM($T463))=0,"SET_NA",IF(OR(LOWER(TRIM($T463))="na",LOWER(TRIM($T463))="n/a"),"OK","MANUAL_OVERRIDE")))))</f>
        <v/>
      </c>
    </row>
    <row r="464">
      <c r="B464" t="inlineStr">
        <is>
          <t>No</t>
        </is>
      </c>
      <c r="C464" t="inlineStr">
        <is>
          <t>No</t>
        </is>
      </c>
      <c r="D464">
        <f>IF($B464&lt;&gt;"Yes","",IF($C464="No","Yes",IF($C464="Yes","No","")))</f>
        <v/>
      </c>
      <c r="E464">
        <f>IF($A464="","",IF(OR(AND($V464&lt;&gt;"",LOWER(TRIM($V464))&lt;&gt;"n/a",LOWER(TRIM($V464))&lt;&gt;"na",SUMPRODUCT(--(UPPER(TRIM($V$2:$V$518))=UPPER(TRIM($V464))),--(TRIM($V$2:$V$518)&lt;&gt;""),--(LOWER(TRIM($V$2:$V$518))&lt;&gt;"n/a"),--(LOWER(TRIM($V$2:$V$518))&lt;&gt;"na"))&gt;1),AND($W464&lt;&gt;"",LOWER(TRIM($W464))&lt;&gt;"n/a",LOWER(TRIM($W464))&lt;&gt;"na",SUMPRODUCT(--(UPPER(TRIM($W$2:$W$518))=UPPER(TRIM($W464))),--(TRIM($W$2:$W$518)&lt;&gt;""),--(LOWER(TRIM($W$2:$W$518))&lt;&gt;"n/a"),--(LOWER(TRIM($W$2:$W$518))&lt;&gt;"na"))&gt;1),AND($X464&lt;&gt;"",LOWER(TRIM($X464))&lt;&gt;"n/a",LOWER(TRIM($X464))&lt;&gt;"na",SUMPRODUCT(--(UPPER(TRIM($X$2:$X$518))=UPPER(TRIM($X464))),--(TRIM($X$2:$X$518)&lt;&gt;""),--(LOWER(TRIM($X$2:$X$518))&lt;&gt;"n/a"),--(LOWER(TRIM($X$2:$X$518))&lt;&gt;"na"))&gt;1),AND($Y464&lt;&gt;"",LOWER(TRIM($Y464))&lt;&gt;"n/a",LOWER(TRIM($Y464))&lt;&gt;"na",SUMPRODUCT(--(UPPER(SUBSTITUTE(SUBSTITUTE(TRIM($Y$2:$Y$518),":",""),"-",""))=UPPER(SUBSTITUTE(SUBSTITUTE(TRIM($Y464),":",""),"-",""))),--(TRIM($Y$2:$Y$518)&lt;&gt;""),--(LOWER(TRIM($Y$2:$Y$518))&lt;&gt;"n/a"),--(LOWER(TRIM($Y$2:$Y$518))&lt;&gt;"na"))&gt;1),AND($AB464&lt;&gt;"",LOWER(TRIM($AB464))&lt;&gt;"n/a",LOWER(TRIM($AB464))&lt;&gt;"na",SUMPRODUCT(--(UPPER(TRIM($AB$2:$AB$518))=UPPER(TRIM($AB464))),--(TRIM($AB$2:$AB$518)&lt;&gt;""),--(LOWER(TRIM($AB$2:$AB$518))&lt;&gt;"n/a"),--(LOWER(TRIM($AB$2:$AB$518))&lt;&gt;"na"))&gt;1),AND($AH464&lt;&gt;"",LOWER(TRIM($AH464))&lt;&gt;"n/a",LOWER(TRIM($AH464))&lt;&gt;"na",SUMPRODUCT(--(UPPER(SUBSTITUTE(SUBSTITUTE(TRIM($AH$2:$AH$518),":",""),"-",""))=UPPER(SUBSTITUTE(SUBSTITUTE(TRIM($AH464),":",""),"-",""))),--(TRIM($AH$2:$AH$518)&lt;&gt;""),--(LOWER(TRIM($AH$2:$AH$518))&lt;&gt;"n/a"),--(LOWER(TRIM($AH$2:$AH$518))&lt;&gt;"na"))&gt;1),AND($AP464&lt;&gt;"",LOWER(TRIM($AP464))&lt;&gt;"n/a",LOWER(TRIM($AP464))&lt;&gt;"na",SUMPRODUCT(--(UPPER(TRIM($AP$2:$AP$518))=UPPER(TRIM($AP464))),--(TRIM($AP$2:$AP$518)&lt;&gt;""),--(LOWER(TRIM($AP$2:$AP$518))&lt;&gt;"n/a"),--(LOWER(TRIM($AP$2:$AP$518))&lt;&gt;"na"))&gt;1),AND($AQ464&lt;&gt;"",LOWER(TRIM($AQ464))&lt;&gt;"n/a",LOWER(TRIM($AQ464))&lt;&gt;"na",SUMPRODUCT(--(UPPER(TRIM($AQ$2:$AQ$518))=UPPER(TRIM($AQ464))),--(TRIM($AQ$2:$AQ$518)&lt;&gt;""),--(LOWER(TRIM($AQ$2:$AQ$518))&lt;&gt;"n/a"),--(LOWER(TRIM($AQ$2:$AQ$518))&lt;&gt;"na"))&gt;1)),"Yes","No"))</f>
        <v/>
      </c>
      <c r="F464">
        <f>IF(UPPER(TRIM($B464))&lt;&gt;"YES","", IF(OR(AND($V464&lt;&gt;"", LOWER(TRIM($V464))&lt;&gt;"n/a", LOWER(TRIM($V464))&lt;&gt;"na", SUMPRODUCT(--(UPPER(TRIM($V$2:$V$518))=UPPER(TRIM($V464))), --(UPPER(TRIM($B$2:$B$518))="YES"), --(UPPER(TRIM($G$2:$G$518)&amp;TRIM($I$2:$I$518)&amp;TRIM($J$2:$J$518))&lt;&gt;UPPER(TRIM($G464)&amp;TRIM($I464)&amp;TRIM($J464))))&gt;0), AND($W464&lt;&gt;"", LOWER(TRIM($W464))&lt;&gt;"n/a", LOWER(TRIM($W464))&lt;&gt;"na", SUMPRODUCT(--(UPPER(TRIM($W$2:$W$518))=UPPER(TRIM($W464))), --(UPPER(TRIM($B$2:$B$518))="YES"), --(UPPER(TRIM($G$2:$G$518)&amp;TRIM($I$2:$I$518)&amp;TRIM($J$2:$J$518))&lt;&gt;UPPER(TRIM($G464)&amp;TRIM($I464)&amp;TRIM($J464))))&gt;0), AND($X464&lt;&gt;"", LOWER(TRIM($X464))&lt;&gt;"n/a", LOWER(TRIM($X464))&lt;&gt;"na", SUMPRODUCT(--(UPPER(TRIM($X$2:$X$518))=UPPER(TRIM($X464))), --(UPPER(TRIM($B$2:$B$518))="YES"), --(UPPER(TRIM($G$2:$G$518)&amp;TRIM($I$2:$I$518)&amp;TRIM($J$2:$J$518))&lt;&gt;UPPER(TRIM($G464)&amp;TRIM($I464)&amp;TRIM($J464))))&gt;0), AND($Y464&lt;&gt;"", LOWER(TRIM($Y464))&lt;&gt;"n/a", LOWER(TRIM($Y464))&lt;&gt;"na", SUMPRODUCT(--(UPPER(SUBSTITUTE(SUBSTITUTE(TRIM($Y$2:$Y$518),":",""),"-",""))=UPPER(SUBSTITUTE(SUBSTITUTE(TRIM($Y464),":",""),"-",""))), --(UPPER(TRIM($B$2:$B$518))="YES"), --(UPPER(TRIM($G$2:$G$518)&amp;TRIM($I$2:$I$518)&amp;TRIM($J$2:$J$518))&lt;&gt;UPPER(TRIM($G464)&amp;TRIM($I464)&amp;TRIM($J464))))&gt;0), AND($AB464&lt;&gt;"", LOWER(TRIM($AB464))&lt;&gt;"n/a", LOWER(TRIM($AB464))&lt;&gt;"na", SUMPRODUCT(--(UPPER(TRIM($AB$2:$AB$518))=UPPER(TRIM($AB464))), --(UPPER(TRIM($B$2:$B$518))="YES"), --(UPPER(TRIM($G$2:$G$518)&amp;TRIM($I$2:$I$518)&amp;TRIM($J$2:$J$518))&lt;&gt;UPPER(TRIM($G464)&amp;TRIM($I464)&amp;TRIM($J464))))&gt;0), AND($AH464&lt;&gt;"", LOWER(TRIM($AH464))&lt;&gt;"n/a", LOWER(TRIM($AH464))&lt;&gt;"na", SUMPRODUCT(--(UPPER(SUBSTITUTE(SUBSTITUTE(TRIM($AH$2:$AH$518),":",""),"-",""))=UPPER(SUBSTITUTE(SUBSTITUTE(TRIM($AH464),":",""),"-",""))), --(UPPER(TRIM($B$2:$B$518))="YES"), --(UPPER(TRIM($G$2:$G$518)&amp;TRIM($I$2:$I$518)&amp;TRIM($J$2:$J$518))&lt;&gt;UPPER(TRIM($G464)&amp;TRIM($I464)&amp;TRIM($J464))))&gt;0), AND($AP464&lt;&gt;"", LOWER(TRIM($AP464))&lt;&gt;"n/a", LOWER(TRIM($AP464))&lt;&gt;"na", SUMPRODUCT(--(UPPER(TRIM($AP$2:$AP$518))=UPPER(TRIM($AP464))), --(UPPER(TRIM($B$2:$B$518))="YES"), --(UPPER(TRIM($G$2:$G$518)&amp;TRIM($I$2:$I$518)&amp;TRIM($J$2:$J$518))&lt;&gt;UPPER(TRIM($G464)&amp;TRIM($I464)&amp;TRIM($J464))))&gt;0), AND($AQ464&lt;&gt;"", LOWER(TRIM($AQ464))&lt;&gt;"n/a", LOWER(TRIM($AQ464))&lt;&gt;"na", SUMPRODUCT(--(UPPER(TRIM($AQ$2:$AQ$518))=UPPER(TRIM($AQ464))), --(UPPER(TRIM($B$2:$B$518))="YES"), --(UPPER(TRIM($G$2:$G$518)&amp;TRIM($I$2:$I$518)&amp;TRIM($J$2:$J$518))&lt;&gt;UPPER(TRIM($G464)&amp;TRIM($I464)&amp;TRIM($J464))))&gt;0)), "Yes", "No"))</f>
        <v/>
      </c>
      <c r="CD464">
        <f>IF($Y464="","",IF((IF(AND($BR464&lt;&gt;"Yes",$BR464&lt;&gt;"N/A"),"Power Cable, ","")&amp;IF(AND($BS464&lt;&gt;"Yes",$BS464&lt;&gt;"N/A"),"Battery, ","")&amp;IF(AND($AD464&lt;&gt;"Yes",$AD464&lt;&gt;"N/A"),"Firmware Download, ","")&amp;IF(AND(OR($AD464="Yes",$AD464="N/A"),$AE464&lt;&gt;"Yes",$AE464&lt;&gt;"N/A"),"Firmware Install, ","")&amp;IF(AND($CB464&lt;&gt;"Yes",$CB464&lt;&gt;"N/A"),"Device ID, ","")&amp;IF(AND($CC464&lt;&gt;"Yes",$CC464&lt;&gt;"N/A"),"Epic Beans Relay, ",""))="","",LEFT(IF(AND($BR464&lt;&gt;"Yes",$BR464&lt;&gt;"N/A"),"Power Cable, ","")&amp;IF(AND($BS464&lt;&gt;"Yes",$BS464&lt;&gt;"N/A"),"Battery, ","")&amp;IF(AND($AD464&lt;&gt;"Yes",$AD464&lt;&gt;"N/A"),"Firmware Download, ","")&amp;IF(AND(OR($AD464="Yes",$AD464="N/A"),$AE464&lt;&gt;"Yes",$AE464&lt;&gt;"N/A"),"Firmware Install, ","")&amp;IF(AND($CB464&lt;&gt;"Yes",$CB464&lt;&gt;"N/A"),"Device ID, ","")&amp;IF(AND($CC464&lt;&gt;"Yes",$CC464&lt;&gt;"N/A"),"Epic Beans Relay, ",""),LEN(IF(AND($BR464&lt;&gt;"Yes",$BR464&lt;&gt;"N/A"),"Power Cable, ","")&amp;IF(AND($BS464&lt;&gt;"Yes",$BS464&lt;&gt;"N/A"),"Battery, ","")&amp;IF(AND($AD464&lt;&gt;"Yes",$AD464&lt;&gt;"N/A"),"Firmware Download, ","")&amp;IF(AND(OR($AD464="Yes",$AD464="N/A"),$AE464&lt;&gt;"Yes",$AE464&lt;&gt;"N/A"),"Firmware Install, ","")&amp;IF(AND($CB464&lt;&gt;"Yes",$CB464&lt;&gt;"N/A"),"Device ID, ","")&amp;IF(AND($CC464&lt;&gt;"Yes",$CC464&lt;&gt;"N/A"),"Epic Beans Relay, ",""))-2)))</f>
        <v/>
      </c>
      <c r="CE464">
        <f>IF($Y464="","",IF($CD464="","Yes","Blocked"))</f>
        <v/>
      </c>
      <c r="CP464">
        <f>IF($CO464="","",IFERROR(VLOOKUP($CO464,'01_Warehouse_Ledger'!$A:$N,4,FALSE),""))</f>
        <v/>
      </c>
      <c r="CQ464">
        <f>IF($CO464="","",IFERROR(VLOOKUP($CO464,'01_Warehouse_Ledger'!$A:$N,5,FALSE),""))</f>
        <v/>
      </c>
      <c r="CR464">
        <f>IF($CO464="","",IFERROR(VLOOKUP($CO464,'01_Warehouse_Ledger'!$A:$N,13,FALSE),""))</f>
        <v/>
      </c>
      <c r="CW464">
        <f>IF($S464="","",IF(UPPER(TRIM($S464))&lt;&gt;"PASS","",IF(LEN(TRIM($BY464))&gt;0,"NOTES_PRESENT",IF(LEN(TRIM($T464))=0,"SET_NA",IF(OR(LOWER(TRIM($T464))="na",LOWER(TRIM($T464))="n/a"),"OK","MANUAL_OVERRIDE")))))</f>
        <v/>
      </c>
    </row>
    <row r="465">
      <c r="B465" t="inlineStr">
        <is>
          <t>No</t>
        </is>
      </c>
      <c r="C465" t="inlineStr">
        <is>
          <t>No</t>
        </is>
      </c>
      <c r="D465">
        <f>IF($B465&lt;&gt;"Yes","",IF($C465="No","Yes",IF($C465="Yes","No","")))</f>
        <v/>
      </c>
      <c r="E465">
        <f>IF($A465="","",IF(OR(AND($V465&lt;&gt;"",LOWER(TRIM($V465))&lt;&gt;"n/a",LOWER(TRIM($V465))&lt;&gt;"na",SUMPRODUCT(--(UPPER(TRIM($V$2:$V$518))=UPPER(TRIM($V465))),--(TRIM($V$2:$V$518)&lt;&gt;""),--(LOWER(TRIM($V$2:$V$518))&lt;&gt;"n/a"),--(LOWER(TRIM($V$2:$V$518))&lt;&gt;"na"))&gt;1),AND($W465&lt;&gt;"",LOWER(TRIM($W465))&lt;&gt;"n/a",LOWER(TRIM($W465))&lt;&gt;"na",SUMPRODUCT(--(UPPER(TRIM($W$2:$W$518))=UPPER(TRIM($W465))),--(TRIM($W$2:$W$518)&lt;&gt;""),--(LOWER(TRIM($W$2:$W$518))&lt;&gt;"n/a"),--(LOWER(TRIM($W$2:$W$518))&lt;&gt;"na"))&gt;1),AND($X465&lt;&gt;"",LOWER(TRIM($X465))&lt;&gt;"n/a",LOWER(TRIM($X465))&lt;&gt;"na",SUMPRODUCT(--(UPPER(TRIM($X$2:$X$518))=UPPER(TRIM($X465))),--(TRIM($X$2:$X$518)&lt;&gt;""),--(LOWER(TRIM($X$2:$X$518))&lt;&gt;"n/a"),--(LOWER(TRIM($X$2:$X$518))&lt;&gt;"na"))&gt;1),AND($Y465&lt;&gt;"",LOWER(TRIM($Y465))&lt;&gt;"n/a",LOWER(TRIM($Y465))&lt;&gt;"na",SUMPRODUCT(--(UPPER(SUBSTITUTE(SUBSTITUTE(TRIM($Y$2:$Y$518),":",""),"-",""))=UPPER(SUBSTITUTE(SUBSTITUTE(TRIM($Y465),":",""),"-",""))),--(TRIM($Y$2:$Y$518)&lt;&gt;""),--(LOWER(TRIM($Y$2:$Y$518))&lt;&gt;"n/a"),--(LOWER(TRIM($Y$2:$Y$518))&lt;&gt;"na"))&gt;1),AND($AB465&lt;&gt;"",LOWER(TRIM($AB465))&lt;&gt;"n/a",LOWER(TRIM($AB465))&lt;&gt;"na",SUMPRODUCT(--(UPPER(TRIM($AB$2:$AB$518))=UPPER(TRIM($AB465))),--(TRIM($AB$2:$AB$518)&lt;&gt;""),--(LOWER(TRIM($AB$2:$AB$518))&lt;&gt;"n/a"),--(LOWER(TRIM($AB$2:$AB$518))&lt;&gt;"na"))&gt;1),AND($AH465&lt;&gt;"",LOWER(TRIM($AH465))&lt;&gt;"n/a",LOWER(TRIM($AH465))&lt;&gt;"na",SUMPRODUCT(--(UPPER(SUBSTITUTE(SUBSTITUTE(TRIM($AH$2:$AH$518),":",""),"-",""))=UPPER(SUBSTITUTE(SUBSTITUTE(TRIM($AH465),":",""),"-",""))),--(TRIM($AH$2:$AH$518)&lt;&gt;""),--(LOWER(TRIM($AH$2:$AH$518))&lt;&gt;"n/a"),--(LOWER(TRIM($AH$2:$AH$518))&lt;&gt;"na"))&gt;1),AND($AP465&lt;&gt;"",LOWER(TRIM($AP465))&lt;&gt;"n/a",LOWER(TRIM($AP465))&lt;&gt;"na",SUMPRODUCT(--(UPPER(TRIM($AP$2:$AP$518))=UPPER(TRIM($AP465))),--(TRIM($AP$2:$AP$518)&lt;&gt;""),--(LOWER(TRIM($AP$2:$AP$518))&lt;&gt;"n/a"),--(LOWER(TRIM($AP$2:$AP$518))&lt;&gt;"na"))&gt;1),AND($AQ465&lt;&gt;"",LOWER(TRIM($AQ465))&lt;&gt;"n/a",LOWER(TRIM($AQ465))&lt;&gt;"na",SUMPRODUCT(--(UPPER(TRIM($AQ$2:$AQ$518))=UPPER(TRIM($AQ465))),--(TRIM($AQ$2:$AQ$518)&lt;&gt;""),--(LOWER(TRIM($AQ$2:$AQ$518))&lt;&gt;"n/a"),--(LOWER(TRIM($AQ$2:$AQ$518))&lt;&gt;"na"))&gt;1)),"Yes","No"))</f>
        <v/>
      </c>
      <c r="F465">
        <f>IF(UPPER(TRIM($B465))&lt;&gt;"YES","", IF(OR(AND($V465&lt;&gt;"", LOWER(TRIM($V465))&lt;&gt;"n/a", LOWER(TRIM($V465))&lt;&gt;"na", SUMPRODUCT(--(UPPER(TRIM($V$2:$V$518))=UPPER(TRIM($V465))), --(UPPER(TRIM($B$2:$B$518))="YES"), --(UPPER(TRIM($G$2:$G$518)&amp;TRIM($I$2:$I$518)&amp;TRIM($J$2:$J$518))&lt;&gt;UPPER(TRIM($G465)&amp;TRIM($I465)&amp;TRIM($J465))))&gt;0), AND($W465&lt;&gt;"", LOWER(TRIM($W465))&lt;&gt;"n/a", LOWER(TRIM($W465))&lt;&gt;"na", SUMPRODUCT(--(UPPER(TRIM($W$2:$W$518))=UPPER(TRIM($W465))), --(UPPER(TRIM($B$2:$B$518))="YES"), --(UPPER(TRIM($G$2:$G$518)&amp;TRIM($I$2:$I$518)&amp;TRIM($J$2:$J$518))&lt;&gt;UPPER(TRIM($G465)&amp;TRIM($I465)&amp;TRIM($J465))))&gt;0), AND($X465&lt;&gt;"", LOWER(TRIM($X465))&lt;&gt;"n/a", LOWER(TRIM($X465))&lt;&gt;"na", SUMPRODUCT(--(UPPER(TRIM($X$2:$X$518))=UPPER(TRIM($X465))), --(UPPER(TRIM($B$2:$B$518))="YES"), --(UPPER(TRIM($G$2:$G$518)&amp;TRIM($I$2:$I$518)&amp;TRIM($J$2:$J$518))&lt;&gt;UPPER(TRIM($G465)&amp;TRIM($I465)&amp;TRIM($J465))))&gt;0), AND($Y465&lt;&gt;"", LOWER(TRIM($Y465))&lt;&gt;"n/a", LOWER(TRIM($Y465))&lt;&gt;"na", SUMPRODUCT(--(UPPER(SUBSTITUTE(SUBSTITUTE(TRIM($Y$2:$Y$518),":",""),"-",""))=UPPER(SUBSTITUTE(SUBSTITUTE(TRIM($Y465),":",""),"-",""))), --(UPPER(TRIM($B$2:$B$518))="YES"), --(UPPER(TRIM($G$2:$G$518)&amp;TRIM($I$2:$I$518)&amp;TRIM($J$2:$J$518))&lt;&gt;UPPER(TRIM($G465)&amp;TRIM($I465)&amp;TRIM($J465))))&gt;0), AND($AB465&lt;&gt;"", LOWER(TRIM($AB465))&lt;&gt;"n/a", LOWER(TRIM($AB465))&lt;&gt;"na", SUMPRODUCT(--(UPPER(TRIM($AB$2:$AB$518))=UPPER(TRIM($AB465))), --(UPPER(TRIM($B$2:$B$518))="YES"), --(UPPER(TRIM($G$2:$G$518)&amp;TRIM($I$2:$I$518)&amp;TRIM($J$2:$J$518))&lt;&gt;UPPER(TRIM($G465)&amp;TRIM($I465)&amp;TRIM($J465))))&gt;0), AND($AH465&lt;&gt;"", LOWER(TRIM($AH465))&lt;&gt;"n/a", LOWER(TRIM($AH465))&lt;&gt;"na", SUMPRODUCT(--(UPPER(SUBSTITUTE(SUBSTITUTE(TRIM($AH$2:$AH$518),":",""),"-",""))=UPPER(SUBSTITUTE(SUBSTITUTE(TRIM($AH465),":",""),"-",""))), --(UPPER(TRIM($B$2:$B$518))="YES"), --(UPPER(TRIM($G$2:$G$518)&amp;TRIM($I$2:$I$518)&amp;TRIM($J$2:$J$518))&lt;&gt;UPPER(TRIM($G465)&amp;TRIM($I465)&amp;TRIM($J465))))&gt;0), AND($AP465&lt;&gt;"", LOWER(TRIM($AP465))&lt;&gt;"n/a", LOWER(TRIM($AP465))&lt;&gt;"na", SUMPRODUCT(--(UPPER(TRIM($AP$2:$AP$518))=UPPER(TRIM($AP465))), --(UPPER(TRIM($B$2:$B$518))="YES"), --(UPPER(TRIM($G$2:$G$518)&amp;TRIM($I$2:$I$518)&amp;TRIM($J$2:$J$518))&lt;&gt;UPPER(TRIM($G465)&amp;TRIM($I465)&amp;TRIM($J465))))&gt;0), AND($AQ465&lt;&gt;"", LOWER(TRIM($AQ465))&lt;&gt;"n/a", LOWER(TRIM($AQ465))&lt;&gt;"na", SUMPRODUCT(--(UPPER(TRIM($AQ$2:$AQ$518))=UPPER(TRIM($AQ465))), --(UPPER(TRIM($B$2:$B$518))="YES"), --(UPPER(TRIM($G$2:$G$518)&amp;TRIM($I$2:$I$518)&amp;TRIM($J$2:$J$518))&lt;&gt;UPPER(TRIM($G465)&amp;TRIM($I465)&amp;TRIM($J465))))&gt;0)), "Yes", "No"))</f>
        <v/>
      </c>
      <c r="CD465">
        <f>IF($Y465="","",IF((IF(AND($BR465&lt;&gt;"Yes",$BR465&lt;&gt;"N/A"),"Power Cable, ","")&amp;IF(AND($BS465&lt;&gt;"Yes",$BS465&lt;&gt;"N/A"),"Battery, ","")&amp;IF(AND($AD465&lt;&gt;"Yes",$AD465&lt;&gt;"N/A"),"Firmware Download, ","")&amp;IF(AND(OR($AD465="Yes",$AD465="N/A"),$AE465&lt;&gt;"Yes",$AE465&lt;&gt;"N/A"),"Firmware Install, ","")&amp;IF(AND($CB465&lt;&gt;"Yes",$CB465&lt;&gt;"N/A"),"Device ID, ","")&amp;IF(AND($CC465&lt;&gt;"Yes",$CC465&lt;&gt;"N/A"),"Epic Beans Relay, ",""))="","",LEFT(IF(AND($BR465&lt;&gt;"Yes",$BR465&lt;&gt;"N/A"),"Power Cable, ","")&amp;IF(AND($BS465&lt;&gt;"Yes",$BS465&lt;&gt;"N/A"),"Battery, ","")&amp;IF(AND($AD465&lt;&gt;"Yes",$AD465&lt;&gt;"N/A"),"Firmware Download, ","")&amp;IF(AND(OR($AD465="Yes",$AD465="N/A"),$AE465&lt;&gt;"Yes",$AE465&lt;&gt;"N/A"),"Firmware Install, ","")&amp;IF(AND($CB465&lt;&gt;"Yes",$CB465&lt;&gt;"N/A"),"Device ID, ","")&amp;IF(AND($CC465&lt;&gt;"Yes",$CC465&lt;&gt;"N/A"),"Epic Beans Relay, ",""),LEN(IF(AND($BR465&lt;&gt;"Yes",$BR465&lt;&gt;"N/A"),"Power Cable, ","")&amp;IF(AND($BS465&lt;&gt;"Yes",$BS465&lt;&gt;"N/A"),"Battery, ","")&amp;IF(AND($AD465&lt;&gt;"Yes",$AD465&lt;&gt;"N/A"),"Firmware Download, ","")&amp;IF(AND(OR($AD465="Yes",$AD465="N/A"),$AE465&lt;&gt;"Yes",$AE465&lt;&gt;"N/A"),"Firmware Install, ","")&amp;IF(AND($CB465&lt;&gt;"Yes",$CB465&lt;&gt;"N/A"),"Device ID, ","")&amp;IF(AND($CC465&lt;&gt;"Yes",$CC465&lt;&gt;"N/A"),"Epic Beans Relay, ",""))-2)))</f>
        <v/>
      </c>
      <c r="CE465">
        <f>IF($Y465="","",IF($CD465="","Yes","Blocked"))</f>
        <v/>
      </c>
      <c r="CP465">
        <f>IF($CO465="","",IFERROR(VLOOKUP($CO465,'01_Warehouse_Ledger'!$A:$N,4,FALSE),""))</f>
        <v/>
      </c>
      <c r="CQ465">
        <f>IF($CO465="","",IFERROR(VLOOKUP($CO465,'01_Warehouse_Ledger'!$A:$N,5,FALSE),""))</f>
        <v/>
      </c>
      <c r="CR465">
        <f>IF($CO465="","",IFERROR(VLOOKUP($CO465,'01_Warehouse_Ledger'!$A:$N,13,FALSE),""))</f>
        <v/>
      </c>
      <c r="CW465">
        <f>IF($S465="","",IF(UPPER(TRIM($S465))&lt;&gt;"PASS","",IF(LEN(TRIM($BY465))&gt;0,"NOTES_PRESENT",IF(LEN(TRIM($T465))=0,"SET_NA",IF(OR(LOWER(TRIM($T465))="na",LOWER(TRIM($T465))="n/a"),"OK","MANUAL_OVERRIDE")))))</f>
        <v/>
      </c>
    </row>
    <row r="466">
      <c r="B466" t="inlineStr">
        <is>
          <t>No</t>
        </is>
      </c>
      <c r="C466" t="inlineStr">
        <is>
          <t>No</t>
        </is>
      </c>
      <c r="D466">
        <f>IF($B466&lt;&gt;"Yes","",IF($C466="No","Yes",IF($C466="Yes","No","")))</f>
        <v/>
      </c>
      <c r="E466">
        <f>IF($A466="","",IF(OR(AND($V466&lt;&gt;"",LOWER(TRIM($V466))&lt;&gt;"n/a",LOWER(TRIM($V466))&lt;&gt;"na",SUMPRODUCT(--(UPPER(TRIM($V$2:$V$518))=UPPER(TRIM($V466))),--(TRIM($V$2:$V$518)&lt;&gt;""),--(LOWER(TRIM($V$2:$V$518))&lt;&gt;"n/a"),--(LOWER(TRIM($V$2:$V$518))&lt;&gt;"na"))&gt;1),AND($W466&lt;&gt;"",LOWER(TRIM($W466))&lt;&gt;"n/a",LOWER(TRIM($W466))&lt;&gt;"na",SUMPRODUCT(--(UPPER(TRIM($W$2:$W$518))=UPPER(TRIM($W466))),--(TRIM($W$2:$W$518)&lt;&gt;""),--(LOWER(TRIM($W$2:$W$518))&lt;&gt;"n/a"),--(LOWER(TRIM($W$2:$W$518))&lt;&gt;"na"))&gt;1),AND($X466&lt;&gt;"",LOWER(TRIM($X466))&lt;&gt;"n/a",LOWER(TRIM($X466))&lt;&gt;"na",SUMPRODUCT(--(UPPER(TRIM($X$2:$X$518))=UPPER(TRIM($X466))),--(TRIM($X$2:$X$518)&lt;&gt;""),--(LOWER(TRIM($X$2:$X$518))&lt;&gt;"n/a"),--(LOWER(TRIM($X$2:$X$518))&lt;&gt;"na"))&gt;1),AND($Y466&lt;&gt;"",LOWER(TRIM($Y466))&lt;&gt;"n/a",LOWER(TRIM($Y466))&lt;&gt;"na",SUMPRODUCT(--(UPPER(SUBSTITUTE(SUBSTITUTE(TRIM($Y$2:$Y$518),":",""),"-",""))=UPPER(SUBSTITUTE(SUBSTITUTE(TRIM($Y466),":",""),"-",""))),--(TRIM($Y$2:$Y$518)&lt;&gt;""),--(LOWER(TRIM($Y$2:$Y$518))&lt;&gt;"n/a"),--(LOWER(TRIM($Y$2:$Y$518))&lt;&gt;"na"))&gt;1),AND($AB466&lt;&gt;"",LOWER(TRIM($AB466))&lt;&gt;"n/a",LOWER(TRIM($AB466))&lt;&gt;"na",SUMPRODUCT(--(UPPER(TRIM($AB$2:$AB$518))=UPPER(TRIM($AB466))),--(TRIM($AB$2:$AB$518)&lt;&gt;""),--(LOWER(TRIM($AB$2:$AB$518))&lt;&gt;"n/a"),--(LOWER(TRIM($AB$2:$AB$518))&lt;&gt;"na"))&gt;1),AND($AH466&lt;&gt;"",LOWER(TRIM($AH466))&lt;&gt;"n/a",LOWER(TRIM($AH466))&lt;&gt;"na",SUMPRODUCT(--(UPPER(SUBSTITUTE(SUBSTITUTE(TRIM($AH$2:$AH$518),":",""),"-",""))=UPPER(SUBSTITUTE(SUBSTITUTE(TRIM($AH466),":",""),"-",""))),--(TRIM($AH$2:$AH$518)&lt;&gt;""),--(LOWER(TRIM($AH$2:$AH$518))&lt;&gt;"n/a"),--(LOWER(TRIM($AH$2:$AH$518))&lt;&gt;"na"))&gt;1),AND($AP466&lt;&gt;"",LOWER(TRIM($AP466))&lt;&gt;"n/a",LOWER(TRIM($AP466))&lt;&gt;"na",SUMPRODUCT(--(UPPER(TRIM($AP$2:$AP$518))=UPPER(TRIM($AP466))),--(TRIM($AP$2:$AP$518)&lt;&gt;""),--(LOWER(TRIM($AP$2:$AP$518))&lt;&gt;"n/a"),--(LOWER(TRIM($AP$2:$AP$518))&lt;&gt;"na"))&gt;1),AND($AQ466&lt;&gt;"",LOWER(TRIM($AQ466))&lt;&gt;"n/a",LOWER(TRIM($AQ466))&lt;&gt;"na",SUMPRODUCT(--(UPPER(TRIM($AQ$2:$AQ$518))=UPPER(TRIM($AQ466))),--(TRIM($AQ$2:$AQ$518)&lt;&gt;""),--(LOWER(TRIM($AQ$2:$AQ$518))&lt;&gt;"n/a"),--(LOWER(TRIM($AQ$2:$AQ$518))&lt;&gt;"na"))&gt;1)),"Yes","No"))</f>
        <v/>
      </c>
      <c r="F466">
        <f>IF(UPPER(TRIM($B466))&lt;&gt;"YES","", IF(OR(AND($V466&lt;&gt;"", LOWER(TRIM($V466))&lt;&gt;"n/a", LOWER(TRIM($V466))&lt;&gt;"na", SUMPRODUCT(--(UPPER(TRIM($V$2:$V$518))=UPPER(TRIM($V466))), --(UPPER(TRIM($B$2:$B$518))="YES"), --(UPPER(TRIM($G$2:$G$518)&amp;TRIM($I$2:$I$518)&amp;TRIM($J$2:$J$518))&lt;&gt;UPPER(TRIM($G466)&amp;TRIM($I466)&amp;TRIM($J466))))&gt;0), AND($W466&lt;&gt;"", LOWER(TRIM($W466))&lt;&gt;"n/a", LOWER(TRIM($W466))&lt;&gt;"na", SUMPRODUCT(--(UPPER(TRIM($W$2:$W$518))=UPPER(TRIM($W466))), --(UPPER(TRIM($B$2:$B$518))="YES"), --(UPPER(TRIM($G$2:$G$518)&amp;TRIM($I$2:$I$518)&amp;TRIM($J$2:$J$518))&lt;&gt;UPPER(TRIM($G466)&amp;TRIM($I466)&amp;TRIM($J466))))&gt;0), AND($X466&lt;&gt;"", LOWER(TRIM($X466))&lt;&gt;"n/a", LOWER(TRIM($X466))&lt;&gt;"na", SUMPRODUCT(--(UPPER(TRIM($X$2:$X$518))=UPPER(TRIM($X466))), --(UPPER(TRIM($B$2:$B$518))="YES"), --(UPPER(TRIM($G$2:$G$518)&amp;TRIM($I$2:$I$518)&amp;TRIM($J$2:$J$518))&lt;&gt;UPPER(TRIM($G466)&amp;TRIM($I466)&amp;TRIM($J466))))&gt;0), AND($Y466&lt;&gt;"", LOWER(TRIM($Y466))&lt;&gt;"n/a", LOWER(TRIM($Y466))&lt;&gt;"na", SUMPRODUCT(--(UPPER(SUBSTITUTE(SUBSTITUTE(TRIM($Y$2:$Y$518),":",""),"-",""))=UPPER(SUBSTITUTE(SUBSTITUTE(TRIM($Y466),":",""),"-",""))), --(UPPER(TRIM($B$2:$B$518))="YES"), --(UPPER(TRIM($G$2:$G$518)&amp;TRIM($I$2:$I$518)&amp;TRIM($J$2:$J$518))&lt;&gt;UPPER(TRIM($G466)&amp;TRIM($I466)&amp;TRIM($J466))))&gt;0), AND($AB466&lt;&gt;"", LOWER(TRIM($AB466))&lt;&gt;"n/a", LOWER(TRIM($AB466))&lt;&gt;"na", SUMPRODUCT(--(UPPER(TRIM($AB$2:$AB$518))=UPPER(TRIM($AB466))), --(UPPER(TRIM($B$2:$B$518))="YES"), --(UPPER(TRIM($G$2:$G$518)&amp;TRIM($I$2:$I$518)&amp;TRIM($J$2:$J$518))&lt;&gt;UPPER(TRIM($G466)&amp;TRIM($I466)&amp;TRIM($J466))))&gt;0), AND($AH466&lt;&gt;"", LOWER(TRIM($AH466))&lt;&gt;"n/a", LOWER(TRIM($AH466))&lt;&gt;"na", SUMPRODUCT(--(UPPER(SUBSTITUTE(SUBSTITUTE(TRIM($AH$2:$AH$518),":",""),"-",""))=UPPER(SUBSTITUTE(SUBSTITUTE(TRIM($AH466),":",""),"-",""))), --(UPPER(TRIM($B$2:$B$518))="YES"), --(UPPER(TRIM($G$2:$G$518)&amp;TRIM($I$2:$I$518)&amp;TRIM($J$2:$J$518))&lt;&gt;UPPER(TRIM($G466)&amp;TRIM($I466)&amp;TRIM($J466))))&gt;0), AND($AP466&lt;&gt;"", LOWER(TRIM($AP466))&lt;&gt;"n/a", LOWER(TRIM($AP466))&lt;&gt;"na", SUMPRODUCT(--(UPPER(TRIM($AP$2:$AP$518))=UPPER(TRIM($AP466))), --(UPPER(TRIM($B$2:$B$518))="YES"), --(UPPER(TRIM($G$2:$G$518)&amp;TRIM($I$2:$I$518)&amp;TRIM($J$2:$J$518))&lt;&gt;UPPER(TRIM($G466)&amp;TRIM($I466)&amp;TRIM($J466))))&gt;0), AND($AQ466&lt;&gt;"", LOWER(TRIM($AQ466))&lt;&gt;"n/a", LOWER(TRIM($AQ466))&lt;&gt;"na", SUMPRODUCT(--(UPPER(TRIM($AQ$2:$AQ$518))=UPPER(TRIM($AQ466))), --(UPPER(TRIM($B$2:$B$518))="YES"), --(UPPER(TRIM($G$2:$G$518)&amp;TRIM($I$2:$I$518)&amp;TRIM($J$2:$J$518))&lt;&gt;UPPER(TRIM($G466)&amp;TRIM($I466)&amp;TRIM($J466))))&gt;0)), "Yes", "No"))</f>
        <v/>
      </c>
      <c r="CD466">
        <f>IF($Y466="","",IF((IF(AND($BR466&lt;&gt;"Yes",$BR466&lt;&gt;"N/A"),"Power Cable, ","")&amp;IF(AND($BS466&lt;&gt;"Yes",$BS466&lt;&gt;"N/A"),"Battery, ","")&amp;IF(AND($AD466&lt;&gt;"Yes",$AD466&lt;&gt;"N/A"),"Firmware Download, ","")&amp;IF(AND(OR($AD466="Yes",$AD466="N/A"),$AE466&lt;&gt;"Yes",$AE466&lt;&gt;"N/A"),"Firmware Install, ","")&amp;IF(AND($CB466&lt;&gt;"Yes",$CB466&lt;&gt;"N/A"),"Device ID, ","")&amp;IF(AND($CC466&lt;&gt;"Yes",$CC466&lt;&gt;"N/A"),"Epic Beans Relay, ",""))="","",LEFT(IF(AND($BR466&lt;&gt;"Yes",$BR466&lt;&gt;"N/A"),"Power Cable, ","")&amp;IF(AND($BS466&lt;&gt;"Yes",$BS466&lt;&gt;"N/A"),"Battery, ","")&amp;IF(AND($AD466&lt;&gt;"Yes",$AD466&lt;&gt;"N/A"),"Firmware Download, ","")&amp;IF(AND(OR($AD466="Yes",$AD466="N/A"),$AE466&lt;&gt;"Yes",$AE466&lt;&gt;"N/A"),"Firmware Install, ","")&amp;IF(AND($CB466&lt;&gt;"Yes",$CB466&lt;&gt;"N/A"),"Device ID, ","")&amp;IF(AND($CC466&lt;&gt;"Yes",$CC466&lt;&gt;"N/A"),"Epic Beans Relay, ",""),LEN(IF(AND($BR466&lt;&gt;"Yes",$BR466&lt;&gt;"N/A"),"Power Cable, ","")&amp;IF(AND($BS466&lt;&gt;"Yes",$BS466&lt;&gt;"N/A"),"Battery, ","")&amp;IF(AND($AD466&lt;&gt;"Yes",$AD466&lt;&gt;"N/A"),"Firmware Download, ","")&amp;IF(AND(OR($AD466="Yes",$AD466="N/A"),$AE466&lt;&gt;"Yes",$AE466&lt;&gt;"N/A"),"Firmware Install, ","")&amp;IF(AND($CB466&lt;&gt;"Yes",$CB466&lt;&gt;"N/A"),"Device ID, ","")&amp;IF(AND($CC466&lt;&gt;"Yes",$CC466&lt;&gt;"N/A"),"Epic Beans Relay, ",""))-2)))</f>
        <v/>
      </c>
      <c r="CE466">
        <f>IF($Y466="","",IF($CD466="","Yes","Blocked"))</f>
        <v/>
      </c>
      <c r="CP466">
        <f>IF($CO466="","",IFERROR(VLOOKUP($CO466,'01_Warehouse_Ledger'!$A:$N,4,FALSE),""))</f>
        <v/>
      </c>
      <c r="CQ466">
        <f>IF($CO466="","",IFERROR(VLOOKUP($CO466,'01_Warehouse_Ledger'!$A:$N,5,FALSE),""))</f>
        <v/>
      </c>
      <c r="CR466">
        <f>IF($CO466="","",IFERROR(VLOOKUP($CO466,'01_Warehouse_Ledger'!$A:$N,13,FALSE),""))</f>
        <v/>
      </c>
      <c r="CW466">
        <f>IF($S466="","",IF(UPPER(TRIM($S466))&lt;&gt;"PASS","",IF(LEN(TRIM($BY466))&gt;0,"NOTES_PRESENT",IF(LEN(TRIM($T466))=0,"SET_NA",IF(OR(LOWER(TRIM($T466))="na",LOWER(TRIM($T466))="n/a"),"OK","MANUAL_OVERRIDE")))))</f>
        <v/>
      </c>
    </row>
    <row r="467">
      <c r="B467" t="inlineStr">
        <is>
          <t>No</t>
        </is>
      </c>
      <c r="C467" t="inlineStr">
        <is>
          <t>No</t>
        </is>
      </c>
      <c r="D467">
        <f>IF($B467&lt;&gt;"Yes","",IF($C467="No","Yes",IF($C467="Yes","No","")))</f>
        <v/>
      </c>
      <c r="E467">
        <f>IF($A467="","",IF(OR(AND($V467&lt;&gt;"",LOWER(TRIM($V467))&lt;&gt;"n/a",LOWER(TRIM($V467))&lt;&gt;"na",SUMPRODUCT(--(UPPER(TRIM($V$2:$V$518))=UPPER(TRIM($V467))),--(TRIM($V$2:$V$518)&lt;&gt;""),--(LOWER(TRIM($V$2:$V$518))&lt;&gt;"n/a"),--(LOWER(TRIM($V$2:$V$518))&lt;&gt;"na"))&gt;1),AND($W467&lt;&gt;"",LOWER(TRIM($W467))&lt;&gt;"n/a",LOWER(TRIM($W467))&lt;&gt;"na",SUMPRODUCT(--(UPPER(TRIM($W$2:$W$518))=UPPER(TRIM($W467))),--(TRIM($W$2:$W$518)&lt;&gt;""),--(LOWER(TRIM($W$2:$W$518))&lt;&gt;"n/a"),--(LOWER(TRIM($W$2:$W$518))&lt;&gt;"na"))&gt;1),AND($X467&lt;&gt;"",LOWER(TRIM($X467))&lt;&gt;"n/a",LOWER(TRIM($X467))&lt;&gt;"na",SUMPRODUCT(--(UPPER(TRIM($X$2:$X$518))=UPPER(TRIM($X467))),--(TRIM($X$2:$X$518)&lt;&gt;""),--(LOWER(TRIM($X$2:$X$518))&lt;&gt;"n/a"),--(LOWER(TRIM($X$2:$X$518))&lt;&gt;"na"))&gt;1),AND($Y467&lt;&gt;"",LOWER(TRIM($Y467))&lt;&gt;"n/a",LOWER(TRIM($Y467))&lt;&gt;"na",SUMPRODUCT(--(UPPER(SUBSTITUTE(SUBSTITUTE(TRIM($Y$2:$Y$518),":",""),"-",""))=UPPER(SUBSTITUTE(SUBSTITUTE(TRIM($Y467),":",""),"-",""))),--(TRIM($Y$2:$Y$518)&lt;&gt;""),--(LOWER(TRIM($Y$2:$Y$518))&lt;&gt;"n/a"),--(LOWER(TRIM($Y$2:$Y$518))&lt;&gt;"na"))&gt;1),AND($AB467&lt;&gt;"",LOWER(TRIM($AB467))&lt;&gt;"n/a",LOWER(TRIM($AB467))&lt;&gt;"na",SUMPRODUCT(--(UPPER(TRIM($AB$2:$AB$518))=UPPER(TRIM($AB467))),--(TRIM($AB$2:$AB$518)&lt;&gt;""),--(LOWER(TRIM($AB$2:$AB$518))&lt;&gt;"n/a"),--(LOWER(TRIM($AB$2:$AB$518))&lt;&gt;"na"))&gt;1),AND($AH467&lt;&gt;"",LOWER(TRIM($AH467))&lt;&gt;"n/a",LOWER(TRIM($AH467))&lt;&gt;"na",SUMPRODUCT(--(UPPER(SUBSTITUTE(SUBSTITUTE(TRIM($AH$2:$AH$518),":",""),"-",""))=UPPER(SUBSTITUTE(SUBSTITUTE(TRIM($AH467),":",""),"-",""))),--(TRIM($AH$2:$AH$518)&lt;&gt;""),--(LOWER(TRIM($AH$2:$AH$518))&lt;&gt;"n/a"),--(LOWER(TRIM($AH$2:$AH$518))&lt;&gt;"na"))&gt;1),AND($AP467&lt;&gt;"",LOWER(TRIM($AP467))&lt;&gt;"n/a",LOWER(TRIM($AP467))&lt;&gt;"na",SUMPRODUCT(--(UPPER(TRIM($AP$2:$AP$518))=UPPER(TRIM($AP467))),--(TRIM($AP$2:$AP$518)&lt;&gt;""),--(LOWER(TRIM($AP$2:$AP$518))&lt;&gt;"n/a"),--(LOWER(TRIM($AP$2:$AP$518))&lt;&gt;"na"))&gt;1),AND($AQ467&lt;&gt;"",LOWER(TRIM($AQ467))&lt;&gt;"n/a",LOWER(TRIM($AQ467))&lt;&gt;"na",SUMPRODUCT(--(UPPER(TRIM($AQ$2:$AQ$518))=UPPER(TRIM($AQ467))),--(TRIM($AQ$2:$AQ$518)&lt;&gt;""),--(LOWER(TRIM($AQ$2:$AQ$518))&lt;&gt;"n/a"),--(LOWER(TRIM($AQ$2:$AQ$518))&lt;&gt;"na"))&gt;1)),"Yes","No"))</f>
        <v/>
      </c>
      <c r="F467">
        <f>IF(UPPER(TRIM($B467))&lt;&gt;"YES","", IF(OR(AND($V467&lt;&gt;"", LOWER(TRIM($V467))&lt;&gt;"n/a", LOWER(TRIM($V467))&lt;&gt;"na", SUMPRODUCT(--(UPPER(TRIM($V$2:$V$518))=UPPER(TRIM($V467))), --(UPPER(TRIM($B$2:$B$518))="YES"), --(UPPER(TRIM($G$2:$G$518)&amp;TRIM($I$2:$I$518)&amp;TRIM($J$2:$J$518))&lt;&gt;UPPER(TRIM($G467)&amp;TRIM($I467)&amp;TRIM($J467))))&gt;0), AND($W467&lt;&gt;"", LOWER(TRIM($W467))&lt;&gt;"n/a", LOWER(TRIM($W467))&lt;&gt;"na", SUMPRODUCT(--(UPPER(TRIM($W$2:$W$518))=UPPER(TRIM($W467))), --(UPPER(TRIM($B$2:$B$518))="YES"), --(UPPER(TRIM($G$2:$G$518)&amp;TRIM($I$2:$I$518)&amp;TRIM($J$2:$J$518))&lt;&gt;UPPER(TRIM($G467)&amp;TRIM($I467)&amp;TRIM($J467))))&gt;0), AND($X467&lt;&gt;"", LOWER(TRIM($X467))&lt;&gt;"n/a", LOWER(TRIM($X467))&lt;&gt;"na", SUMPRODUCT(--(UPPER(TRIM($X$2:$X$518))=UPPER(TRIM($X467))), --(UPPER(TRIM($B$2:$B$518))="YES"), --(UPPER(TRIM($G$2:$G$518)&amp;TRIM($I$2:$I$518)&amp;TRIM($J$2:$J$518))&lt;&gt;UPPER(TRIM($G467)&amp;TRIM($I467)&amp;TRIM($J467))))&gt;0), AND($Y467&lt;&gt;"", LOWER(TRIM($Y467))&lt;&gt;"n/a", LOWER(TRIM($Y467))&lt;&gt;"na", SUMPRODUCT(--(UPPER(SUBSTITUTE(SUBSTITUTE(TRIM($Y$2:$Y$518),":",""),"-",""))=UPPER(SUBSTITUTE(SUBSTITUTE(TRIM($Y467),":",""),"-",""))), --(UPPER(TRIM($B$2:$B$518))="YES"), --(UPPER(TRIM($G$2:$G$518)&amp;TRIM($I$2:$I$518)&amp;TRIM($J$2:$J$518))&lt;&gt;UPPER(TRIM($G467)&amp;TRIM($I467)&amp;TRIM($J467))))&gt;0), AND($AB467&lt;&gt;"", LOWER(TRIM($AB467))&lt;&gt;"n/a", LOWER(TRIM($AB467))&lt;&gt;"na", SUMPRODUCT(--(UPPER(TRIM($AB$2:$AB$518))=UPPER(TRIM($AB467))), --(UPPER(TRIM($B$2:$B$518))="YES"), --(UPPER(TRIM($G$2:$G$518)&amp;TRIM($I$2:$I$518)&amp;TRIM($J$2:$J$518))&lt;&gt;UPPER(TRIM($G467)&amp;TRIM($I467)&amp;TRIM($J467))))&gt;0), AND($AH467&lt;&gt;"", LOWER(TRIM($AH467))&lt;&gt;"n/a", LOWER(TRIM($AH467))&lt;&gt;"na", SUMPRODUCT(--(UPPER(SUBSTITUTE(SUBSTITUTE(TRIM($AH$2:$AH$518),":",""),"-",""))=UPPER(SUBSTITUTE(SUBSTITUTE(TRIM($AH467),":",""),"-",""))), --(UPPER(TRIM($B$2:$B$518))="YES"), --(UPPER(TRIM($G$2:$G$518)&amp;TRIM($I$2:$I$518)&amp;TRIM($J$2:$J$518))&lt;&gt;UPPER(TRIM($G467)&amp;TRIM($I467)&amp;TRIM($J467))))&gt;0), AND($AP467&lt;&gt;"", LOWER(TRIM($AP467))&lt;&gt;"n/a", LOWER(TRIM($AP467))&lt;&gt;"na", SUMPRODUCT(--(UPPER(TRIM($AP$2:$AP$518))=UPPER(TRIM($AP467))), --(UPPER(TRIM($B$2:$B$518))="YES"), --(UPPER(TRIM($G$2:$G$518)&amp;TRIM($I$2:$I$518)&amp;TRIM($J$2:$J$518))&lt;&gt;UPPER(TRIM($G467)&amp;TRIM($I467)&amp;TRIM($J467))))&gt;0), AND($AQ467&lt;&gt;"", LOWER(TRIM($AQ467))&lt;&gt;"n/a", LOWER(TRIM($AQ467))&lt;&gt;"na", SUMPRODUCT(--(UPPER(TRIM($AQ$2:$AQ$518))=UPPER(TRIM($AQ467))), --(UPPER(TRIM($B$2:$B$518))="YES"), --(UPPER(TRIM($G$2:$G$518)&amp;TRIM($I$2:$I$518)&amp;TRIM($J$2:$J$518))&lt;&gt;UPPER(TRIM($G467)&amp;TRIM($I467)&amp;TRIM($J467))))&gt;0)), "Yes", "No"))</f>
        <v/>
      </c>
      <c r="CD467">
        <f>IF($Y467="","",IF((IF(AND($BR467&lt;&gt;"Yes",$BR467&lt;&gt;"N/A"),"Power Cable, ","")&amp;IF(AND($BS467&lt;&gt;"Yes",$BS467&lt;&gt;"N/A"),"Battery, ","")&amp;IF(AND($AD467&lt;&gt;"Yes",$AD467&lt;&gt;"N/A"),"Firmware Download, ","")&amp;IF(AND(OR($AD467="Yes",$AD467="N/A"),$AE467&lt;&gt;"Yes",$AE467&lt;&gt;"N/A"),"Firmware Install, ","")&amp;IF(AND($CB467&lt;&gt;"Yes",$CB467&lt;&gt;"N/A"),"Device ID, ","")&amp;IF(AND($CC467&lt;&gt;"Yes",$CC467&lt;&gt;"N/A"),"Epic Beans Relay, ",""))="","",LEFT(IF(AND($BR467&lt;&gt;"Yes",$BR467&lt;&gt;"N/A"),"Power Cable, ","")&amp;IF(AND($BS467&lt;&gt;"Yes",$BS467&lt;&gt;"N/A"),"Battery, ","")&amp;IF(AND($AD467&lt;&gt;"Yes",$AD467&lt;&gt;"N/A"),"Firmware Download, ","")&amp;IF(AND(OR($AD467="Yes",$AD467="N/A"),$AE467&lt;&gt;"Yes",$AE467&lt;&gt;"N/A"),"Firmware Install, ","")&amp;IF(AND($CB467&lt;&gt;"Yes",$CB467&lt;&gt;"N/A"),"Device ID, ","")&amp;IF(AND($CC467&lt;&gt;"Yes",$CC467&lt;&gt;"N/A"),"Epic Beans Relay, ",""),LEN(IF(AND($BR467&lt;&gt;"Yes",$BR467&lt;&gt;"N/A"),"Power Cable, ","")&amp;IF(AND($BS467&lt;&gt;"Yes",$BS467&lt;&gt;"N/A"),"Battery, ","")&amp;IF(AND($AD467&lt;&gt;"Yes",$AD467&lt;&gt;"N/A"),"Firmware Download, ","")&amp;IF(AND(OR($AD467="Yes",$AD467="N/A"),$AE467&lt;&gt;"Yes",$AE467&lt;&gt;"N/A"),"Firmware Install, ","")&amp;IF(AND($CB467&lt;&gt;"Yes",$CB467&lt;&gt;"N/A"),"Device ID, ","")&amp;IF(AND($CC467&lt;&gt;"Yes",$CC467&lt;&gt;"N/A"),"Epic Beans Relay, ",""))-2)))</f>
        <v/>
      </c>
      <c r="CE467">
        <f>IF($Y467="","",IF($CD467="","Yes","Blocked"))</f>
        <v/>
      </c>
      <c r="CP467">
        <f>IF($CO467="","",IFERROR(VLOOKUP($CO467,'01_Warehouse_Ledger'!$A:$N,4,FALSE),""))</f>
        <v/>
      </c>
      <c r="CQ467">
        <f>IF($CO467="","",IFERROR(VLOOKUP($CO467,'01_Warehouse_Ledger'!$A:$N,5,FALSE),""))</f>
        <v/>
      </c>
      <c r="CR467">
        <f>IF($CO467="","",IFERROR(VLOOKUP($CO467,'01_Warehouse_Ledger'!$A:$N,13,FALSE),""))</f>
        <v/>
      </c>
      <c r="CW467">
        <f>IF($S467="","",IF(UPPER(TRIM($S467))&lt;&gt;"PASS","",IF(LEN(TRIM($BY467))&gt;0,"NOTES_PRESENT",IF(LEN(TRIM($T467))=0,"SET_NA",IF(OR(LOWER(TRIM($T467))="na",LOWER(TRIM($T467))="n/a"),"OK","MANUAL_OVERRIDE")))))</f>
        <v/>
      </c>
    </row>
    <row r="468">
      <c r="B468" t="inlineStr">
        <is>
          <t>No</t>
        </is>
      </c>
      <c r="C468" t="inlineStr">
        <is>
          <t>No</t>
        </is>
      </c>
      <c r="D468">
        <f>IF($B468&lt;&gt;"Yes","",IF($C468="No","Yes",IF($C468="Yes","No","")))</f>
        <v/>
      </c>
      <c r="E468">
        <f>IF($A468="","",IF(OR(AND($V468&lt;&gt;"",LOWER(TRIM($V468))&lt;&gt;"n/a",LOWER(TRIM($V468))&lt;&gt;"na",SUMPRODUCT(--(UPPER(TRIM($V$2:$V$518))=UPPER(TRIM($V468))),--(TRIM($V$2:$V$518)&lt;&gt;""),--(LOWER(TRIM($V$2:$V$518))&lt;&gt;"n/a"),--(LOWER(TRIM($V$2:$V$518))&lt;&gt;"na"))&gt;1),AND($W468&lt;&gt;"",LOWER(TRIM($W468))&lt;&gt;"n/a",LOWER(TRIM($W468))&lt;&gt;"na",SUMPRODUCT(--(UPPER(TRIM($W$2:$W$518))=UPPER(TRIM($W468))),--(TRIM($W$2:$W$518)&lt;&gt;""),--(LOWER(TRIM($W$2:$W$518))&lt;&gt;"n/a"),--(LOWER(TRIM($W$2:$W$518))&lt;&gt;"na"))&gt;1),AND($X468&lt;&gt;"",LOWER(TRIM($X468))&lt;&gt;"n/a",LOWER(TRIM($X468))&lt;&gt;"na",SUMPRODUCT(--(UPPER(TRIM($X$2:$X$518))=UPPER(TRIM($X468))),--(TRIM($X$2:$X$518)&lt;&gt;""),--(LOWER(TRIM($X$2:$X$518))&lt;&gt;"n/a"),--(LOWER(TRIM($X$2:$X$518))&lt;&gt;"na"))&gt;1),AND($Y468&lt;&gt;"",LOWER(TRIM($Y468))&lt;&gt;"n/a",LOWER(TRIM($Y468))&lt;&gt;"na",SUMPRODUCT(--(UPPER(SUBSTITUTE(SUBSTITUTE(TRIM($Y$2:$Y$518),":",""),"-",""))=UPPER(SUBSTITUTE(SUBSTITUTE(TRIM($Y468),":",""),"-",""))),--(TRIM($Y$2:$Y$518)&lt;&gt;""),--(LOWER(TRIM($Y$2:$Y$518))&lt;&gt;"n/a"),--(LOWER(TRIM($Y$2:$Y$518))&lt;&gt;"na"))&gt;1),AND($AB468&lt;&gt;"",LOWER(TRIM($AB468))&lt;&gt;"n/a",LOWER(TRIM($AB468))&lt;&gt;"na",SUMPRODUCT(--(UPPER(TRIM($AB$2:$AB$518))=UPPER(TRIM($AB468))),--(TRIM($AB$2:$AB$518)&lt;&gt;""),--(LOWER(TRIM($AB$2:$AB$518))&lt;&gt;"n/a"),--(LOWER(TRIM($AB$2:$AB$518))&lt;&gt;"na"))&gt;1),AND($AH468&lt;&gt;"",LOWER(TRIM($AH468))&lt;&gt;"n/a",LOWER(TRIM($AH468))&lt;&gt;"na",SUMPRODUCT(--(UPPER(SUBSTITUTE(SUBSTITUTE(TRIM($AH$2:$AH$518),":",""),"-",""))=UPPER(SUBSTITUTE(SUBSTITUTE(TRIM($AH468),":",""),"-",""))),--(TRIM($AH$2:$AH$518)&lt;&gt;""),--(LOWER(TRIM($AH$2:$AH$518))&lt;&gt;"n/a"),--(LOWER(TRIM($AH$2:$AH$518))&lt;&gt;"na"))&gt;1),AND($AP468&lt;&gt;"",LOWER(TRIM($AP468))&lt;&gt;"n/a",LOWER(TRIM($AP468))&lt;&gt;"na",SUMPRODUCT(--(UPPER(TRIM($AP$2:$AP$518))=UPPER(TRIM($AP468))),--(TRIM($AP$2:$AP$518)&lt;&gt;""),--(LOWER(TRIM($AP$2:$AP$518))&lt;&gt;"n/a"),--(LOWER(TRIM($AP$2:$AP$518))&lt;&gt;"na"))&gt;1),AND($AQ468&lt;&gt;"",LOWER(TRIM($AQ468))&lt;&gt;"n/a",LOWER(TRIM($AQ468))&lt;&gt;"na",SUMPRODUCT(--(UPPER(TRIM($AQ$2:$AQ$518))=UPPER(TRIM($AQ468))),--(TRIM($AQ$2:$AQ$518)&lt;&gt;""),--(LOWER(TRIM($AQ$2:$AQ$518))&lt;&gt;"n/a"),--(LOWER(TRIM($AQ$2:$AQ$518))&lt;&gt;"na"))&gt;1)),"Yes","No"))</f>
        <v/>
      </c>
      <c r="F468">
        <f>IF(UPPER(TRIM($B468))&lt;&gt;"YES","", IF(OR(AND($V468&lt;&gt;"", LOWER(TRIM($V468))&lt;&gt;"n/a", LOWER(TRIM($V468))&lt;&gt;"na", SUMPRODUCT(--(UPPER(TRIM($V$2:$V$518))=UPPER(TRIM($V468))), --(UPPER(TRIM($B$2:$B$518))="YES"), --(UPPER(TRIM($G$2:$G$518)&amp;TRIM($I$2:$I$518)&amp;TRIM($J$2:$J$518))&lt;&gt;UPPER(TRIM($G468)&amp;TRIM($I468)&amp;TRIM($J468))))&gt;0), AND($W468&lt;&gt;"", LOWER(TRIM($W468))&lt;&gt;"n/a", LOWER(TRIM($W468))&lt;&gt;"na", SUMPRODUCT(--(UPPER(TRIM($W$2:$W$518))=UPPER(TRIM($W468))), --(UPPER(TRIM($B$2:$B$518))="YES"), --(UPPER(TRIM($G$2:$G$518)&amp;TRIM($I$2:$I$518)&amp;TRIM($J$2:$J$518))&lt;&gt;UPPER(TRIM($G468)&amp;TRIM($I468)&amp;TRIM($J468))))&gt;0), AND($X468&lt;&gt;"", LOWER(TRIM($X468))&lt;&gt;"n/a", LOWER(TRIM($X468))&lt;&gt;"na", SUMPRODUCT(--(UPPER(TRIM($X$2:$X$518))=UPPER(TRIM($X468))), --(UPPER(TRIM($B$2:$B$518))="YES"), --(UPPER(TRIM($G$2:$G$518)&amp;TRIM($I$2:$I$518)&amp;TRIM($J$2:$J$518))&lt;&gt;UPPER(TRIM($G468)&amp;TRIM($I468)&amp;TRIM($J468))))&gt;0), AND($Y468&lt;&gt;"", LOWER(TRIM($Y468))&lt;&gt;"n/a", LOWER(TRIM($Y468))&lt;&gt;"na", SUMPRODUCT(--(UPPER(SUBSTITUTE(SUBSTITUTE(TRIM($Y$2:$Y$518),":",""),"-",""))=UPPER(SUBSTITUTE(SUBSTITUTE(TRIM($Y468),":",""),"-",""))), --(UPPER(TRIM($B$2:$B$518))="YES"), --(UPPER(TRIM($G$2:$G$518)&amp;TRIM($I$2:$I$518)&amp;TRIM($J$2:$J$518))&lt;&gt;UPPER(TRIM($G468)&amp;TRIM($I468)&amp;TRIM($J468))))&gt;0), AND($AB468&lt;&gt;"", LOWER(TRIM($AB468))&lt;&gt;"n/a", LOWER(TRIM($AB468))&lt;&gt;"na", SUMPRODUCT(--(UPPER(TRIM($AB$2:$AB$518))=UPPER(TRIM($AB468))), --(UPPER(TRIM($B$2:$B$518))="YES"), --(UPPER(TRIM($G$2:$G$518)&amp;TRIM($I$2:$I$518)&amp;TRIM($J$2:$J$518))&lt;&gt;UPPER(TRIM($G468)&amp;TRIM($I468)&amp;TRIM($J468))))&gt;0), AND($AH468&lt;&gt;"", LOWER(TRIM($AH468))&lt;&gt;"n/a", LOWER(TRIM($AH468))&lt;&gt;"na", SUMPRODUCT(--(UPPER(SUBSTITUTE(SUBSTITUTE(TRIM($AH$2:$AH$518),":",""),"-",""))=UPPER(SUBSTITUTE(SUBSTITUTE(TRIM($AH468),":",""),"-",""))), --(UPPER(TRIM($B$2:$B$518))="YES"), --(UPPER(TRIM($G$2:$G$518)&amp;TRIM($I$2:$I$518)&amp;TRIM($J$2:$J$518))&lt;&gt;UPPER(TRIM($G468)&amp;TRIM($I468)&amp;TRIM($J468))))&gt;0), AND($AP468&lt;&gt;"", LOWER(TRIM($AP468))&lt;&gt;"n/a", LOWER(TRIM($AP468))&lt;&gt;"na", SUMPRODUCT(--(UPPER(TRIM($AP$2:$AP$518))=UPPER(TRIM($AP468))), --(UPPER(TRIM($B$2:$B$518))="YES"), --(UPPER(TRIM($G$2:$G$518)&amp;TRIM($I$2:$I$518)&amp;TRIM($J$2:$J$518))&lt;&gt;UPPER(TRIM($G468)&amp;TRIM($I468)&amp;TRIM($J468))))&gt;0), AND($AQ468&lt;&gt;"", LOWER(TRIM($AQ468))&lt;&gt;"n/a", LOWER(TRIM($AQ468))&lt;&gt;"na", SUMPRODUCT(--(UPPER(TRIM($AQ$2:$AQ$518))=UPPER(TRIM($AQ468))), --(UPPER(TRIM($B$2:$B$518))="YES"), --(UPPER(TRIM($G$2:$G$518)&amp;TRIM($I$2:$I$518)&amp;TRIM($J$2:$J$518))&lt;&gt;UPPER(TRIM($G468)&amp;TRIM($I468)&amp;TRIM($J468))))&gt;0)), "Yes", "No"))</f>
        <v/>
      </c>
      <c r="CD468">
        <f>IF($Y468="","",IF((IF(AND($BR468&lt;&gt;"Yes",$BR468&lt;&gt;"N/A"),"Power Cable, ","")&amp;IF(AND($BS468&lt;&gt;"Yes",$BS468&lt;&gt;"N/A"),"Battery, ","")&amp;IF(AND($AD468&lt;&gt;"Yes",$AD468&lt;&gt;"N/A"),"Firmware Download, ","")&amp;IF(AND(OR($AD468="Yes",$AD468="N/A"),$AE468&lt;&gt;"Yes",$AE468&lt;&gt;"N/A"),"Firmware Install, ","")&amp;IF(AND($CB468&lt;&gt;"Yes",$CB468&lt;&gt;"N/A"),"Device ID, ","")&amp;IF(AND($CC468&lt;&gt;"Yes",$CC468&lt;&gt;"N/A"),"Epic Beans Relay, ",""))="","",LEFT(IF(AND($BR468&lt;&gt;"Yes",$BR468&lt;&gt;"N/A"),"Power Cable, ","")&amp;IF(AND($BS468&lt;&gt;"Yes",$BS468&lt;&gt;"N/A"),"Battery, ","")&amp;IF(AND($AD468&lt;&gt;"Yes",$AD468&lt;&gt;"N/A"),"Firmware Download, ","")&amp;IF(AND(OR($AD468="Yes",$AD468="N/A"),$AE468&lt;&gt;"Yes",$AE468&lt;&gt;"N/A"),"Firmware Install, ","")&amp;IF(AND($CB468&lt;&gt;"Yes",$CB468&lt;&gt;"N/A"),"Device ID, ","")&amp;IF(AND($CC468&lt;&gt;"Yes",$CC468&lt;&gt;"N/A"),"Epic Beans Relay, ",""),LEN(IF(AND($BR468&lt;&gt;"Yes",$BR468&lt;&gt;"N/A"),"Power Cable, ","")&amp;IF(AND($BS468&lt;&gt;"Yes",$BS468&lt;&gt;"N/A"),"Battery, ","")&amp;IF(AND($AD468&lt;&gt;"Yes",$AD468&lt;&gt;"N/A"),"Firmware Download, ","")&amp;IF(AND(OR($AD468="Yes",$AD468="N/A"),$AE468&lt;&gt;"Yes",$AE468&lt;&gt;"N/A"),"Firmware Install, ","")&amp;IF(AND($CB468&lt;&gt;"Yes",$CB468&lt;&gt;"N/A"),"Device ID, ","")&amp;IF(AND($CC468&lt;&gt;"Yes",$CC468&lt;&gt;"N/A"),"Epic Beans Relay, ",""))-2)))</f>
        <v/>
      </c>
      <c r="CE468">
        <f>IF($Y468="","",IF($CD468="","Yes","Blocked"))</f>
        <v/>
      </c>
      <c r="CP468">
        <f>IF($CO468="","",IFERROR(VLOOKUP($CO468,'01_Warehouse_Ledger'!$A:$N,4,FALSE),""))</f>
        <v/>
      </c>
      <c r="CQ468">
        <f>IF($CO468="","",IFERROR(VLOOKUP($CO468,'01_Warehouse_Ledger'!$A:$N,5,FALSE),""))</f>
        <v/>
      </c>
      <c r="CR468">
        <f>IF($CO468="","",IFERROR(VLOOKUP($CO468,'01_Warehouse_Ledger'!$A:$N,13,FALSE),""))</f>
        <v/>
      </c>
      <c r="CW468">
        <f>IF($S468="","",IF(UPPER(TRIM($S468))&lt;&gt;"PASS","",IF(LEN(TRIM($BY468))&gt;0,"NOTES_PRESENT",IF(LEN(TRIM($T468))=0,"SET_NA",IF(OR(LOWER(TRIM($T468))="na",LOWER(TRIM($T468))="n/a"),"OK","MANUAL_OVERRIDE")))))</f>
        <v/>
      </c>
    </row>
    <row r="469">
      <c r="B469" t="inlineStr">
        <is>
          <t>No</t>
        </is>
      </c>
      <c r="C469" t="inlineStr">
        <is>
          <t>No</t>
        </is>
      </c>
      <c r="D469">
        <f>IF($B469&lt;&gt;"Yes","",IF($C469="No","Yes",IF($C469="Yes","No","")))</f>
        <v/>
      </c>
      <c r="E469">
        <f>IF($A469="","",IF(OR(AND($V469&lt;&gt;"",LOWER(TRIM($V469))&lt;&gt;"n/a",LOWER(TRIM($V469))&lt;&gt;"na",SUMPRODUCT(--(UPPER(TRIM($V$2:$V$518))=UPPER(TRIM($V469))),--(TRIM($V$2:$V$518)&lt;&gt;""),--(LOWER(TRIM($V$2:$V$518))&lt;&gt;"n/a"),--(LOWER(TRIM($V$2:$V$518))&lt;&gt;"na"))&gt;1),AND($W469&lt;&gt;"",LOWER(TRIM($W469))&lt;&gt;"n/a",LOWER(TRIM($W469))&lt;&gt;"na",SUMPRODUCT(--(UPPER(TRIM($W$2:$W$518))=UPPER(TRIM($W469))),--(TRIM($W$2:$W$518)&lt;&gt;""),--(LOWER(TRIM($W$2:$W$518))&lt;&gt;"n/a"),--(LOWER(TRIM($W$2:$W$518))&lt;&gt;"na"))&gt;1),AND($X469&lt;&gt;"",LOWER(TRIM($X469))&lt;&gt;"n/a",LOWER(TRIM($X469))&lt;&gt;"na",SUMPRODUCT(--(UPPER(TRIM($X$2:$X$518))=UPPER(TRIM($X469))),--(TRIM($X$2:$X$518)&lt;&gt;""),--(LOWER(TRIM($X$2:$X$518))&lt;&gt;"n/a"),--(LOWER(TRIM($X$2:$X$518))&lt;&gt;"na"))&gt;1),AND($Y469&lt;&gt;"",LOWER(TRIM($Y469))&lt;&gt;"n/a",LOWER(TRIM($Y469))&lt;&gt;"na",SUMPRODUCT(--(UPPER(SUBSTITUTE(SUBSTITUTE(TRIM($Y$2:$Y$518),":",""),"-",""))=UPPER(SUBSTITUTE(SUBSTITUTE(TRIM($Y469),":",""),"-",""))),--(TRIM($Y$2:$Y$518)&lt;&gt;""),--(LOWER(TRIM($Y$2:$Y$518))&lt;&gt;"n/a"),--(LOWER(TRIM($Y$2:$Y$518))&lt;&gt;"na"))&gt;1),AND($AB469&lt;&gt;"",LOWER(TRIM($AB469))&lt;&gt;"n/a",LOWER(TRIM($AB469))&lt;&gt;"na",SUMPRODUCT(--(UPPER(TRIM($AB$2:$AB$518))=UPPER(TRIM($AB469))),--(TRIM($AB$2:$AB$518)&lt;&gt;""),--(LOWER(TRIM($AB$2:$AB$518))&lt;&gt;"n/a"),--(LOWER(TRIM($AB$2:$AB$518))&lt;&gt;"na"))&gt;1),AND($AH469&lt;&gt;"",LOWER(TRIM($AH469))&lt;&gt;"n/a",LOWER(TRIM($AH469))&lt;&gt;"na",SUMPRODUCT(--(UPPER(SUBSTITUTE(SUBSTITUTE(TRIM($AH$2:$AH$518),":",""),"-",""))=UPPER(SUBSTITUTE(SUBSTITUTE(TRIM($AH469),":",""),"-",""))),--(TRIM($AH$2:$AH$518)&lt;&gt;""),--(LOWER(TRIM($AH$2:$AH$518))&lt;&gt;"n/a"),--(LOWER(TRIM($AH$2:$AH$518))&lt;&gt;"na"))&gt;1),AND($AP469&lt;&gt;"",LOWER(TRIM($AP469))&lt;&gt;"n/a",LOWER(TRIM($AP469))&lt;&gt;"na",SUMPRODUCT(--(UPPER(TRIM($AP$2:$AP$518))=UPPER(TRIM($AP469))),--(TRIM($AP$2:$AP$518)&lt;&gt;""),--(LOWER(TRIM($AP$2:$AP$518))&lt;&gt;"n/a"),--(LOWER(TRIM($AP$2:$AP$518))&lt;&gt;"na"))&gt;1),AND($AQ469&lt;&gt;"",LOWER(TRIM($AQ469))&lt;&gt;"n/a",LOWER(TRIM($AQ469))&lt;&gt;"na",SUMPRODUCT(--(UPPER(TRIM($AQ$2:$AQ$518))=UPPER(TRIM($AQ469))),--(TRIM($AQ$2:$AQ$518)&lt;&gt;""),--(LOWER(TRIM($AQ$2:$AQ$518))&lt;&gt;"n/a"),--(LOWER(TRIM($AQ$2:$AQ$518))&lt;&gt;"na"))&gt;1)),"Yes","No"))</f>
        <v/>
      </c>
      <c r="F469">
        <f>IF(UPPER(TRIM($B469))&lt;&gt;"YES","", IF(OR(AND($V469&lt;&gt;"", LOWER(TRIM($V469))&lt;&gt;"n/a", LOWER(TRIM($V469))&lt;&gt;"na", SUMPRODUCT(--(UPPER(TRIM($V$2:$V$518))=UPPER(TRIM($V469))), --(UPPER(TRIM($B$2:$B$518))="YES"), --(UPPER(TRIM($G$2:$G$518)&amp;TRIM($I$2:$I$518)&amp;TRIM($J$2:$J$518))&lt;&gt;UPPER(TRIM($G469)&amp;TRIM($I469)&amp;TRIM($J469))))&gt;0), AND($W469&lt;&gt;"", LOWER(TRIM($W469))&lt;&gt;"n/a", LOWER(TRIM($W469))&lt;&gt;"na", SUMPRODUCT(--(UPPER(TRIM($W$2:$W$518))=UPPER(TRIM($W469))), --(UPPER(TRIM($B$2:$B$518))="YES"), --(UPPER(TRIM($G$2:$G$518)&amp;TRIM($I$2:$I$518)&amp;TRIM($J$2:$J$518))&lt;&gt;UPPER(TRIM($G469)&amp;TRIM($I469)&amp;TRIM($J469))))&gt;0), AND($X469&lt;&gt;"", LOWER(TRIM($X469))&lt;&gt;"n/a", LOWER(TRIM($X469))&lt;&gt;"na", SUMPRODUCT(--(UPPER(TRIM($X$2:$X$518))=UPPER(TRIM($X469))), --(UPPER(TRIM($B$2:$B$518))="YES"), --(UPPER(TRIM($G$2:$G$518)&amp;TRIM($I$2:$I$518)&amp;TRIM($J$2:$J$518))&lt;&gt;UPPER(TRIM($G469)&amp;TRIM($I469)&amp;TRIM($J469))))&gt;0), AND($Y469&lt;&gt;"", LOWER(TRIM($Y469))&lt;&gt;"n/a", LOWER(TRIM($Y469))&lt;&gt;"na", SUMPRODUCT(--(UPPER(SUBSTITUTE(SUBSTITUTE(TRIM($Y$2:$Y$518),":",""),"-",""))=UPPER(SUBSTITUTE(SUBSTITUTE(TRIM($Y469),":",""),"-",""))), --(UPPER(TRIM($B$2:$B$518))="YES"), --(UPPER(TRIM($G$2:$G$518)&amp;TRIM($I$2:$I$518)&amp;TRIM($J$2:$J$518))&lt;&gt;UPPER(TRIM($G469)&amp;TRIM($I469)&amp;TRIM($J469))))&gt;0), AND($AB469&lt;&gt;"", LOWER(TRIM($AB469))&lt;&gt;"n/a", LOWER(TRIM($AB469))&lt;&gt;"na", SUMPRODUCT(--(UPPER(TRIM($AB$2:$AB$518))=UPPER(TRIM($AB469))), --(UPPER(TRIM($B$2:$B$518))="YES"), --(UPPER(TRIM($G$2:$G$518)&amp;TRIM($I$2:$I$518)&amp;TRIM($J$2:$J$518))&lt;&gt;UPPER(TRIM($G469)&amp;TRIM($I469)&amp;TRIM($J469))))&gt;0), AND($AH469&lt;&gt;"", LOWER(TRIM($AH469))&lt;&gt;"n/a", LOWER(TRIM($AH469))&lt;&gt;"na", SUMPRODUCT(--(UPPER(SUBSTITUTE(SUBSTITUTE(TRIM($AH$2:$AH$518),":",""),"-",""))=UPPER(SUBSTITUTE(SUBSTITUTE(TRIM($AH469),":",""),"-",""))), --(UPPER(TRIM($B$2:$B$518))="YES"), --(UPPER(TRIM($G$2:$G$518)&amp;TRIM($I$2:$I$518)&amp;TRIM($J$2:$J$518))&lt;&gt;UPPER(TRIM($G469)&amp;TRIM($I469)&amp;TRIM($J469))))&gt;0), AND($AP469&lt;&gt;"", LOWER(TRIM($AP469))&lt;&gt;"n/a", LOWER(TRIM($AP469))&lt;&gt;"na", SUMPRODUCT(--(UPPER(TRIM($AP$2:$AP$518))=UPPER(TRIM($AP469))), --(UPPER(TRIM($B$2:$B$518))="YES"), --(UPPER(TRIM($G$2:$G$518)&amp;TRIM($I$2:$I$518)&amp;TRIM($J$2:$J$518))&lt;&gt;UPPER(TRIM($G469)&amp;TRIM($I469)&amp;TRIM($J469))))&gt;0), AND($AQ469&lt;&gt;"", LOWER(TRIM($AQ469))&lt;&gt;"n/a", LOWER(TRIM($AQ469))&lt;&gt;"na", SUMPRODUCT(--(UPPER(TRIM($AQ$2:$AQ$518))=UPPER(TRIM($AQ469))), --(UPPER(TRIM($B$2:$B$518))="YES"), --(UPPER(TRIM($G$2:$G$518)&amp;TRIM($I$2:$I$518)&amp;TRIM($J$2:$J$518))&lt;&gt;UPPER(TRIM($G469)&amp;TRIM($I469)&amp;TRIM($J469))))&gt;0)), "Yes", "No"))</f>
        <v/>
      </c>
      <c r="CD469">
        <f>IF($Y469="","",IF((IF(AND($BR469&lt;&gt;"Yes",$BR469&lt;&gt;"N/A"),"Power Cable, ","")&amp;IF(AND($BS469&lt;&gt;"Yes",$BS469&lt;&gt;"N/A"),"Battery, ","")&amp;IF(AND($AD469&lt;&gt;"Yes",$AD469&lt;&gt;"N/A"),"Firmware Download, ","")&amp;IF(AND(OR($AD469="Yes",$AD469="N/A"),$AE469&lt;&gt;"Yes",$AE469&lt;&gt;"N/A"),"Firmware Install, ","")&amp;IF(AND($CB469&lt;&gt;"Yes",$CB469&lt;&gt;"N/A"),"Device ID, ","")&amp;IF(AND($CC469&lt;&gt;"Yes",$CC469&lt;&gt;"N/A"),"Epic Beans Relay, ",""))="","",LEFT(IF(AND($BR469&lt;&gt;"Yes",$BR469&lt;&gt;"N/A"),"Power Cable, ","")&amp;IF(AND($BS469&lt;&gt;"Yes",$BS469&lt;&gt;"N/A"),"Battery, ","")&amp;IF(AND($AD469&lt;&gt;"Yes",$AD469&lt;&gt;"N/A"),"Firmware Download, ","")&amp;IF(AND(OR($AD469="Yes",$AD469="N/A"),$AE469&lt;&gt;"Yes",$AE469&lt;&gt;"N/A"),"Firmware Install, ","")&amp;IF(AND($CB469&lt;&gt;"Yes",$CB469&lt;&gt;"N/A"),"Device ID, ","")&amp;IF(AND($CC469&lt;&gt;"Yes",$CC469&lt;&gt;"N/A"),"Epic Beans Relay, ",""),LEN(IF(AND($BR469&lt;&gt;"Yes",$BR469&lt;&gt;"N/A"),"Power Cable, ","")&amp;IF(AND($BS469&lt;&gt;"Yes",$BS469&lt;&gt;"N/A"),"Battery, ","")&amp;IF(AND($AD469&lt;&gt;"Yes",$AD469&lt;&gt;"N/A"),"Firmware Download, ","")&amp;IF(AND(OR($AD469="Yes",$AD469="N/A"),$AE469&lt;&gt;"Yes",$AE469&lt;&gt;"N/A"),"Firmware Install, ","")&amp;IF(AND($CB469&lt;&gt;"Yes",$CB469&lt;&gt;"N/A"),"Device ID, ","")&amp;IF(AND($CC469&lt;&gt;"Yes",$CC469&lt;&gt;"N/A"),"Epic Beans Relay, ",""))-2)))</f>
        <v/>
      </c>
      <c r="CE469">
        <f>IF($Y469="","",IF($CD469="","Yes","Blocked"))</f>
        <v/>
      </c>
      <c r="CP469">
        <f>IF($CO469="","",IFERROR(VLOOKUP($CO469,'01_Warehouse_Ledger'!$A:$N,4,FALSE),""))</f>
        <v/>
      </c>
      <c r="CQ469">
        <f>IF($CO469="","",IFERROR(VLOOKUP($CO469,'01_Warehouse_Ledger'!$A:$N,5,FALSE),""))</f>
        <v/>
      </c>
      <c r="CR469">
        <f>IF($CO469="","",IFERROR(VLOOKUP($CO469,'01_Warehouse_Ledger'!$A:$N,13,FALSE),""))</f>
        <v/>
      </c>
      <c r="CW469">
        <f>IF($S469="","",IF(UPPER(TRIM($S469))&lt;&gt;"PASS","",IF(LEN(TRIM($BY469))&gt;0,"NOTES_PRESENT",IF(LEN(TRIM($T469))=0,"SET_NA",IF(OR(LOWER(TRIM($T469))="na",LOWER(TRIM($T469))="n/a"),"OK","MANUAL_OVERRIDE")))))</f>
        <v/>
      </c>
    </row>
    <row r="470">
      <c r="B470" t="inlineStr">
        <is>
          <t>No</t>
        </is>
      </c>
      <c r="C470" t="inlineStr">
        <is>
          <t>No</t>
        </is>
      </c>
      <c r="D470">
        <f>IF($B470&lt;&gt;"Yes","",IF($C470="No","Yes",IF($C470="Yes","No","")))</f>
        <v/>
      </c>
      <c r="E470">
        <f>IF($A470="","",IF(OR(AND($V470&lt;&gt;"",LOWER(TRIM($V470))&lt;&gt;"n/a",LOWER(TRIM($V470))&lt;&gt;"na",SUMPRODUCT(--(UPPER(TRIM($V$2:$V$518))=UPPER(TRIM($V470))),--(TRIM($V$2:$V$518)&lt;&gt;""),--(LOWER(TRIM($V$2:$V$518))&lt;&gt;"n/a"),--(LOWER(TRIM($V$2:$V$518))&lt;&gt;"na"))&gt;1),AND($W470&lt;&gt;"",LOWER(TRIM($W470))&lt;&gt;"n/a",LOWER(TRIM($W470))&lt;&gt;"na",SUMPRODUCT(--(UPPER(TRIM($W$2:$W$518))=UPPER(TRIM($W470))),--(TRIM($W$2:$W$518)&lt;&gt;""),--(LOWER(TRIM($W$2:$W$518))&lt;&gt;"n/a"),--(LOWER(TRIM($W$2:$W$518))&lt;&gt;"na"))&gt;1),AND($X470&lt;&gt;"",LOWER(TRIM($X470))&lt;&gt;"n/a",LOWER(TRIM($X470))&lt;&gt;"na",SUMPRODUCT(--(UPPER(TRIM($X$2:$X$518))=UPPER(TRIM($X470))),--(TRIM($X$2:$X$518)&lt;&gt;""),--(LOWER(TRIM($X$2:$X$518))&lt;&gt;"n/a"),--(LOWER(TRIM($X$2:$X$518))&lt;&gt;"na"))&gt;1),AND($Y470&lt;&gt;"",LOWER(TRIM($Y470))&lt;&gt;"n/a",LOWER(TRIM($Y470))&lt;&gt;"na",SUMPRODUCT(--(UPPER(SUBSTITUTE(SUBSTITUTE(TRIM($Y$2:$Y$518),":",""),"-",""))=UPPER(SUBSTITUTE(SUBSTITUTE(TRIM($Y470),":",""),"-",""))),--(TRIM($Y$2:$Y$518)&lt;&gt;""),--(LOWER(TRIM($Y$2:$Y$518))&lt;&gt;"n/a"),--(LOWER(TRIM($Y$2:$Y$518))&lt;&gt;"na"))&gt;1),AND($AB470&lt;&gt;"",LOWER(TRIM($AB470))&lt;&gt;"n/a",LOWER(TRIM($AB470))&lt;&gt;"na",SUMPRODUCT(--(UPPER(TRIM($AB$2:$AB$518))=UPPER(TRIM($AB470))),--(TRIM($AB$2:$AB$518)&lt;&gt;""),--(LOWER(TRIM($AB$2:$AB$518))&lt;&gt;"n/a"),--(LOWER(TRIM($AB$2:$AB$518))&lt;&gt;"na"))&gt;1),AND($AH470&lt;&gt;"",LOWER(TRIM($AH470))&lt;&gt;"n/a",LOWER(TRIM($AH470))&lt;&gt;"na",SUMPRODUCT(--(UPPER(SUBSTITUTE(SUBSTITUTE(TRIM($AH$2:$AH$518),":",""),"-",""))=UPPER(SUBSTITUTE(SUBSTITUTE(TRIM($AH470),":",""),"-",""))),--(TRIM($AH$2:$AH$518)&lt;&gt;""),--(LOWER(TRIM($AH$2:$AH$518))&lt;&gt;"n/a"),--(LOWER(TRIM($AH$2:$AH$518))&lt;&gt;"na"))&gt;1),AND($AP470&lt;&gt;"",LOWER(TRIM($AP470))&lt;&gt;"n/a",LOWER(TRIM($AP470))&lt;&gt;"na",SUMPRODUCT(--(UPPER(TRIM($AP$2:$AP$518))=UPPER(TRIM($AP470))),--(TRIM($AP$2:$AP$518)&lt;&gt;""),--(LOWER(TRIM($AP$2:$AP$518))&lt;&gt;"n/a"),--(LOWER(TRIM($AP$2:$AP$518))&lt;&gt;"na"))&gt;1),AND($AQ470&lt;&gt;"",LOWER(TRIM($AQ470))&lt;&gt;"n/a",LOWER(TRIM($AQ470))&lt;&gt;"na",SUMPRODUCT(--(UPPER(TRIM($AQ$2:$AQ$518))=UPPER(TRIM($AQ470))),--(TRIM($AQ$2:$AQ$518)&lt;&gt;""),--(LOWER(TRIM($AQ$2:$AQ$518))&lt;&gt;"n/a"),--(LOWER(TRIM($AQ$2:$AQ$518))&lt;&gt;"na"))&gt;1)),"Yes","No"))</f>
        <v/>
      </c>
      <c r="F470">
        <f>IF(UPPER(TRIM($B470))&lt;&gt;"YES","", IF(OR(AND($V470&lt;&gt;"", LOWER(TRIM($V470))&lt;&gt;"n/a", LOWER(TRIM($V470))&lt;&gt;"na", SUMPRODUCT(--(UPPER(TRIM($V$2:$V$518))=UPPER(TRIM($V470))), --(UPPER(TRIM($B$2:$B$518))="YES"), --(UPPER(TRIM($G$2:$G$518)&amp;TRIM($I$2:$I$518)&amp;TRIM($J$2:$J$518))&lt;&gt;UPPER(TRIM($G470)&amp;TRIM($I470)&amp;TRIM($J470))))&gt;0), AND($W470&lt;&gt;"", LOWER(TRIM($W470))&lt;&gt;"n/a", LOWER(TRIM($W470))&lt;&gt;"na", SUMPRODUCT(--(UPPER(TRIM($W$2:$W$518))=UPPER(TRIM($W470))), --(UPPER(TRIM($B$2:$B$518))="YES"), --(UPPER(TRIM($G$2:$G$518)&amp;TRIM($I$2:$I$518)&amp;TRIM($J$2:$J$518))&lt;&gt;UPPER(TRIM($G470)&amp;TRIM($I470)&amp;TRIM($J470))))&gt;0), AND($X470&lt;&gt;"", LOWER(TRIM($X470))&lt;&gt;"n/a", LOWER(TRIM($X470))&lt;&gt;"na", SUMPRODUCT(--(UPPER(TRIM($X$2:$X$518))=UPPER(TRIM($X470))), --(UPPER(TRIM($B$2:$B$518))="YES"), --(UPPER(TRIM($G$2:$G$518)&amp;TRIM($I$2:$I$518)&amp;TRIM($J$2:$J$518))&lt;&gt;UPPER(TRIM($G470)&amp;TRIM($I470)&amp;TRIM($J470))))&gt;0), AND($Y470&lt;&gt;"", LOWER(TRIM($Y470))&lt;&gt;"n/a", LOWER(TRIM($Y470))&lt;&gt;"na", SUMPRODUCT(--(UPPER(SUBSTITUTE(SUBSTITUTE(TRIM($Y$2:$Y$518),":",""),"-",""))=UPPER(SUBSTITUTE(SUBSTITUTE(TRIM($Y470),":",""),"-",""))), --(UPPER(TRIM($B$2:$B$518))="YES"), --(UPPER(TRIM($G$2:$G$518)&amp;TRIM($I$2:$I$518)&amp;TRIM($J$2:$J$518))&lt;&gt;UPPER(TRIM($G470)&amp;TRIM($I470)&amp;TRIM($J470))))&gt;0), AND($AB470&lt;&gt;"", LOWER(TRIM($AB470))&lt;&gt;"n/a", LOWER(TRIM($AB470))&lt;&gt;"na", SUMPRODUCT(--(UPPER(TRIM($AB$2:$AB$518))=UPPER(TRIM($AB470))), --(UPPER(TRIM($B$2:$B$518))="YES"), --(UPPER(TRIM($G$2:$G$518)&amp;TRIM($I$2:$I$518)&amp;TRIM($J$2:$J$518))&lt;&gt;UPPER(TRIM($G470)&amp;TRIM($I470)&amp;TRIM($J470))))&gt;0), AND($AH470&lt;&gt;"", LOWER(TRIM($AH470))&lt;&gt;"n/a", LOWER(TRIM($AH470))&lt;&gt;"na", SUMPRODUCT(--(UPPER(SUBSTITUTE(SUBSTITUTE(TRIM($AH$2:$AH$518),":",""),"-",""))=UPPER(SUBSTITUTE(SUBSTITUTE(TRIM($AH470),":",""),"-",""))), --(UPPER(TRIM($B$2:$B$518))="YES"), --(UPPER(TRIM($G$2:$G$518)&amp;TRIM($I$2:$I$518)&amp;TRIM($J$2:$J$518))&lt;&gt;UPPER(TRIM($G470)&amp;TRIM($I470)&amp;TRIM($J470))))&gt;0), AND($AP470&lt;&gt;"", LOWER(TRIM($AP470))&lt;&gt;"n/a", LOWER(TRIM($AP470))&lt;&gt;"na", SUMPRODUCT(--(UPPER(TRIM($AP$2:$AP$518))=UPPER(TRIM($AP470))), --(UPPER(TRIM($B$2:$B$518))="YES"), --(UPPER(TRIM($G$2:$G$518)&amp;TRIM($I$2:$I$518)&amp;TRIM($J$2:$J$518))&lt;&gt;UPPER(TRIM($G470)&amp;TRIM($I470)&amp;TRIM($J470))))&gt;0), AND($AQ470&lt;&gt;"", LOWER(TRIM($AQ470))&lt;&gt;"n/a", LOWER(TRIM($AQ470))&lt;&gt;"na", SUMPRODUCT(--(UPPER(TRIM($AQ$2:$AQ$518))=UPPER(TRIM($AQ470))), --(UPPER(TRIM($B$2:$B$518))="YES"), --(UPPER(TRIM($G$2:$G$518)&amp;TRIM($I$2:$I$518)&amp;TRIM($J$2:$J$518))&lt;&gt;UPPER(TRIM($G470)&amp;TRIM($I470)&amp;TRIM($J470))))&gt;0)), "Yes", "No"))</f>
        <v/>
      </c>
      <c r="CD470">
        <f>IF($Y470="","",IF((IF(AND($BR470&lt;&gt;"Yes",$BR470&lt;&gt;"N/A"),"Power Cable, ","")&amp;IF(AND($BS470&lt;&gt;"Yes",$BS470&lt;&gt;"N/A"),"Battery, ","")&amp;IF(AND($AD470&lt;&gt;"Yes",$AD470&lt;&gt;"N/A"),"Firmware Download, ","")&amp;IF(AND(OR($AD470="Yes",$AD470="N/A"),$AE470&lt;&gt;"Yes",$AE470&lt;&gt;"N/A"),"Firmware Install, ","")&amp;IF(AND($CB470&lt;&gt;"Yes",$CB470&lt;&gt;"N/A"),"Device ID, ","")&amp;IF(AND($CC470&lt;&gt;"Yes",$CC470&lt;&gt;"N/A"),"Epic Beans Relay, ",""))="","",LEFT(IF(AND($BR470&lt;&gt;"Yes",$BR470&lt;&gt;"N/A"),"Power Cable, ","")&amp;IF(AND($BS470&lt;&gt;"Yes",$BS470&lt;&gt;"N/A"),"Battery, ","")&amp;IF(AND($AD470&lt;&gt;"Yes",$AD470&lt;&gt;"N/A"),"Firmware Download, ","")&amp;IF(AND(OR($AD470="Yes",$AD470="N/A"),$AE470&lt;&gt;"Yes",$AE470&lt;&gt;"N/A"),"Firmware Install, ","")&amp;IF(AND($CB470&lt;&gt;"Yes",$CB470&lt;&gt;"N/A"),"Device ID, ","")&amp;IF(AND($CC470&lt;&gt;"Yes",$CC470&lt;&gt;"N/A"),"Epic Beans Relay, ",""),LEN(IF(AND($BR470&lt;&gt;"Yes",$BR470&lt;&gt;"N/A"),"Power Cable, ","")&amp;IF(AND($BS470&lt;&gt;"Yes",$BS470&lt;&gt;"N/A"),"Battery, ","")&amp;IF(AND($AD470&lt;&gt;"Yes",$AD470&lt;&gt;"N/A"),"Firmware Download, ","")&amp;IF(AND(OR($AD470="Yes",$AD470="N/A"),$AE470&lt;&gt;"Yes",$AE470&lt;&gt;"N/A"),"Firmware Install, ","")&amp;IF(AND($CB470&lt;&gt;"Yes",$CB470&lt;&gt;"N/A"),"Device ID, ","")&amp;IF(AND($CC470&lt;&gt;"Yes",$CC470&lt;&gt;"N/A"),"Epic Beans Relay, ",""))-2)))</f>
        <v/>
      </c>
      <c r="CE470">
        <f>IF($Y470="","",IF($CD470="","Yes","Blocked"))</f>
        <v/>
      </c>
      <c r="CP470">
        <f>IF($CO470="","",IFERROR(VLOOKUP($CO470,'01_Warehouse_Ledger'!$A:$N,4,FALSE),""))</f>
        <v/>
      </c>
      <c r="CQ470">
        <f>IF($CO470="","",IFERROR(VLOOKUP($CO470,'01_Warehouse_Ledger'!$A:$N,5,FALSE),""))</f>
        <v/>
      </c>
      <c r="CR470">
        <f>IF($CO470="","",IFERROR(VLOOKUP($CO470,'01_Warehouse_Ledger'!$A:$N,13,FALSE),""))</f>
        <v/>
      </c>
      <c r="CW470">
        <f>IF($S470="","",IF(UPPER(TRIM($S470))&lt;&gt;"PASS","",IF(LEN(TRIM($BY470))&gt;0,"NOTES_PRESENT",IF(LEN(TRIM($T470))=0,"SET_NA",IF(OR(LOWER(TRIM($T470))="na",LOWER(TRIM($T470))="n/a"),"OK","MANUAL_OVERRIDE")))))</f>
        <v/>
      </c>
    </row>
    <row r="471">
      <c r="B471" t="inlineStr">
        <is>
          <t>No</t>
        </is>
      </c>
      <c r="C471" t="inlineStr">
        <is>
          <t>No</t>
        </is>
      </c>
      <c r="D471">
        <f>IF($B471&lt;&gt;"Yes","",IF($C471="No","Yes",IF($C471="Yes","No","")))</f>
        <v/>
      </c>
      <c r="E471">
        <f>IF($A471="","",IF(OR(AND($V471&lt;&gt;"",LOWER(TRIM($V471))&lt;&gt;"n/a",LOWER(TRIM($V471))&lt;&gt;"na",SUMPRODUCT(--(UPPER(TRIM($V$2:$V$518))=UPPER(TRIM($V471))),--(TRIM($V$2:$V$518)&lt;&gt;""),--(LOWER(TRIM($V$2:$V$518))&lt;&gt;"n/a"),--(LOWER(TRIM($V$2:$V$518))&lt;&gt;"na"))&gt;1),AND($W471&lt;&gt;"",LOWER(TRIM($W471))&lt;&gt;"n/a",LOWER(TRIM($W471))&lt;&gt;"na",SUMPRODUCT(--(UPPER(TRIM($W$2:$W$518))=UPPER(TRIM($W471))),--(TRIM($W$2:$W$518)&lt;&gt;""),--(LOWER(TRIM($W$2:$W$518))&lt;&gt;"n/a"),--(LOWER(TRIM($W$2:$W$518))&lt;&gt;"na"))&gt;1),AND($X471&lt;&gt;"",LOWER(TRIM($X471))&lt;&gt;"n/a",LOWER(TRIM($X471))&lt;&gt;"na",SUMPRODUCT(--(UPPER(TRIM($X$2:$X$518))=UPPER(TRIM($X471))),--(TRIM($X$2:$X$518)&lt;&gt;""),--(LOWER(TRIM($X$2:$X$518))&lt;&gt;"n/a"),--(LOWER(TRIM($X$2:$X$518))&lt;&gt;"na"))&gt;1),AND($Y471&lt;&gt;"",LOWER(TRIM($Y471))&lt;&gt;"n/a",LOWER(TRIM($Y471))&lt;&gt;"na",SUMPRODUCT(--(UPPER(SUBSTITUTE(SUBSTITUTE(TRIM($Y$2:$Y$518),":",""),"-",""))=UPPER(SUBSTITUTE(SUBSTITUTE(TRIM($Y471),":",""),"-",""))),--(TRIM($Y$2:$Y$518)&lt;&gt;""),--(LOWER(TRIM($Y$2:$Y$518))&lt;&gt;"n/a"),--(LOWER(TRIM($Y$2:$Y$518))&lt;&gt;"na"))&gt;1),AND($AB471&lt;&gt;"",LOWER(TRIM($AB471))&lt;&gt;"n/a",LOWER(TRIM($AB471))&lt;&gt;"na",SUMPRODUCT(--(UPPER(TRIM($AB$2:$AB$518))=UPPER(TRIM($AB471))),--(TRIM($AB$2:$AB$518)&lt;&gt;""),--(LOWER(TRIM($AB$2:$AB$518))&lt;&gt;"n/a"),--(LOWER(TRIM($AB$2:$AB$518))&lt;&gt;"na"))&gt;1),AND($AH471&lt;&gt;"",LOWER(TRIM($AH471))&lt;&gt;"n/a",LOWER(TRIM($AH471))&lt;&gt;"na",SUMPRODUCT(--(UPPER(SUBSTITUTE(SUBSTITUTE(TRIM($AH$2:$AH$518),":",""),"-",""))=UPPER(SUBSTITUTE(SUBSTITUTE(TRIM($AH471),":",""),"-",""))),--(TRIM($AH$2:$AH$518)&lt;&gt;""),--(LOWER(TRIM($AH$2:$AH$518))&lt;&gt;"n/a"),--(LOWER(TRIM($AH$2:$AH$518))&lt;&gt;"na"))&gt;1),AND($AP471&lt;&gt;"",LOWER(TRIM($AP471))&lt;&gt;"n/a",LOWER(TRIM($AP471))&lt;&gt;"na",SUMPRODUCT(--(UPPER(TRIM($AP$2:$AP$518))=UPPER(TRIM($AP471))),--(TRIM($AP$2:$AP$518)&lt;&gt;""),--(LOWER(TRIM($AP$2:$AP$518))&lt;&gt;"n/a"),--(LOWER(TRIM($AP$2:$AP$518))&lt;&gt;"na"))&gt;1),AND($AQ471&lt;&gt;"",LOWER(TRIM($AQ471))&lt;&gt;"n/a",LOWER(TRIM($AQ471))&lt;&gt;"na",SUMPRODUCT(--(UPPER(TRIM($AQ$2:$AQ$518))=UPPER(TRIM($AQ471))),--(TRIM($AQ$2:$AQ$518)&lt;&gt;""),--(LOWER(TRIM($AQ$2:$AQ$518))&lt;&gt;"n/a"),--(LOWER(TRIM($AQ$2:$AQ$518))&lt;&gt;"na"))&gt;1)),"Yes","No"))</f>
        <v/>
      </c>
      <c r="F471">
        <f>IF(UPPER(TRIM($B471))&lt;&gt;"YES","", IF(OR(AND($V471&lt;&gt;"", LOWER(TRIM($V471))&lt;&gt;"n/a", LOWER(TRIM($V471))&lt;&gt;"na", SUMPRODUCT(--(UPPER(TRIM($V$2:$V$518))=UPPER(TRIM($V471))), --(UPPER(TRIM($B$2:$B$518))="YES"), --(UPPER(TRIM($G$2:$G$518)&amp;TRIM($I$2:$I$518)&amp;TRIM($J$2:$J$518))&lt;&gt;UPPER(TRIM($G471)&amp;TRIM($I471)&amp;TRIM($J471))))&gt;0), AND($W471&lt;&gt;"", LOWER(TRIM($W471))&lt;&gt;"n/a", LOWER(TRIM($W471))&lt;&gt;"na", SUMPRODUCT(--(UPPER(TRIM($W$2:$W$518))=UPPER(TRIM($W471))), --(UPPER(TRIM($B$2:$B$518))="YES"), --(UPPER(TRIM($G$2:$G$518)&amp;TRIM($I$2:$I$518)&amp;TRIM($J$2:$J$518))&lt;&gt;UPPER(TRIM($G471)&amp;TRIM($I471)&amp;TRIM($J471))))&gt;0), AND($X471&lt;&gt;"", LOWER(TRIM($X471))&lt;&gt;"n/a", LOWER(TRIM($X471))&lt;&gt;"na", SUMPRODUCT(--(UPPER(TRIM($X$2:$X$518))=UPPER(TRIM($X471))), --(UPPER(TRIM($B$2:$B$518))="YES"), --(UPPER(TRIM($G$2:$G$518)&amp;TRIM($I$2:$I$518)&amp;TRIM($J$2:$J$518))&lt;&gt;UPPER(TRIM($G471)&amp;TRIM($I471)&amp;TRIM($J471))))&gt;0), AND($Y471&lt;&gt;"", LOWER(TRIM($Y471))&lt;&gt;"n/a", LOWER(TRIM($Y471))&lt;&gt;"na", SUMPRODUCT(--(UPPER(SUBSTITUTE(SUBSTITUTE(TRIM($Y$2:$Y$518),":",""),"-",""))=UPPER(SUBSTITUTE(SUBSTITUTE(TRIM($Y471),":",""),"-",""))), --(UPPER(TRIM($B$2:$B$518))="YES"), --(UPPER(TRIM($G$2:$G$518)&amp;TRIM($I$2:$I$518)&amp;TRIM($J$2:$J$518))&lt;&gt;UPPER(TRIM($G471)&amp;TRIM($I471)&amp;TRIM($J471))))&gt;0), AND($AB471&lt;&gt;"", LOWER(TRIM($AB471))&lt;&gt;"n/a", LOWER(TRIM($AB471))&lt;&gt;"na", SUMPRODUCT(--(UPPER(TRIM($AB$2:$AB$518))=UPPER(TRIM($AB471))), --(UPPER(TRIM($B$2:$B$518))="YES"), --(UPPER(TRIM($G$2:$G$518)&amp;TRIM($I$2:$I$518)&amp;TRIM($J$2:$J$518))&lt;&gt;UPPER(TRIM($G471)&amp;TRIM($I471)&amp;TRIM($J471))))&gt;0), AND($AH471&lt;&gt;"", LOWER(TRIM($AH471))&lt;&gt;"n/a", LOWER(TRIM($AH471))&lt;&gt;"na", SUMPRODUCT(--(UPPER(SUBSTITUTE(SUBSTITUTE(TRIM($AH$2:$AH$518),":",""),"-",""))=UPPER(SUBSTITUTE(SUBSTITUTE(TRIM($AH471),":",""),"-",""))), --(UPPER(TRIM($B$2:$B$518))="YES"), --(UPPER(TRIM($G$2:$G$518)&amp;TRIM($I$2:$I$518)&amp;TRIM($J$2:$J$518))&lt;&gt;UPPER(TRIM($G471)&amp;TRIM($I471)&amp;TRIM($J471))))&gt;0), AND($AP471&lt;&gt;"", LOWER(TRIM($AP471))&lt;&gt;"n/a", LOWER(TRIM($AP471))&lt;&gt;"na", SUMPRODUCT(--(UPPER(TRIM($AP$2:$AP$518))=UPPER(TRIM($AP471))), --(UPPER(TRIM($B$2:$B$518))="YES"), --(UPPER(TRIM($G$2:$G$518)&amp;TRIM($I$2:$I$518)&amp;TRIM($J$2:$J$518))&lt;&gt;UPPER(TRIM($G471)&amp;TRIM($I471)&amp;TRIM($J471))))&gt;0), AND($AQ471&lt;&gt;"", LOWER(TRIM($AQ471))&lt;&gt;"n/a", LOWER(TRIM($AQ471))&lt;&gt;"na", SUMPRODUCT(--(UPPER(TRIM($AQ$2:$AQ$518))=UPPER(TRIM($AQ471))), --(UPPER(TRIM($B$2:$B$518))="YES"), --(UPPER(TRIM($G$2:$G$518)&amp;TRIM($I$2:$I$518)&amp;TRIM($J$2:$J$518))&lt;&gt;UPPER(TRIM($G471)&amp;TRIM($I471)&amp;TRIM($J471))))&gt;0)), "Yes", "No"))</f>
        <v/>
      </c>
      <c r="CD471">
        <f>IF($Y471="","",IF((IF(AND($BR471&lt;&gt;"Yes",$BR471&lt;&gt;"N/A"),"Power Cable, ","")&amp;IF(AND($BS471&lt;&gt;"Yes",$BS471&lt;&gt;"N/A"),"Battery, ","")&amp;IF(AND($AD471&lt;&gt;"Yes",$AD471&lt;&gt;"N/A"),"Firmware Download, ","")&amp;IF(AND(OR($AD471="Yes",$AD471="N/A"),$AE471&lt;&gt;"Yes",$AE471&lt;&gt;"N/A"),"Firmware Install, ","")&amp;IF(AND($CB471&lt;&gt;"Yes",$CB471&lt;&gt;"N/A"),"Device ID, ","")&amp;IF(AND($CC471&lt;&gt;"Yes",$CC471&lt;&gt;"N/A"),"Epic Beans Relay, ",""))="","",LEFT(IF(AND($BR471&lt;&gt;"Yes",$BR471&lt;&gt;"N/A"),"Power Cable, ","")&amp;IF(AND($BS471&lt;&gt;"Yes",$BS471&lt;&gt;"N/A"),"Battery, ","")&amp;IF(AND($AD471&lt;&gt;"Yes",$AD471&lt;&gt;"N/A"),"Firmware Download, ","")&amp;IF(AND(OR($AD471="Yes",$AD471="N/A"),$AE471&lt;&gt;"Yes",$AE471&lt;&gt;"N/A"),"Firmware Install, ","")&amp;IF(AND($CB471&lt;&gt;"Yes",$CB471&lt;&gt;"N/A"),"Device ID, ","")&amp;IF(AND($CC471&lt;&gt;"Yes",$CC471&lt;&gt;"N/A"),"Epic Beans Relay, ",""),LEN(IF(AND($BR471&lt;&gt;"Yes",$BR471&lt;&gt;"N/A"),"Power Cable, ","")&amp;IF(AND($BS471&lt;&gt;"Yes",$BS471&lt;&gt;"N/A"),"Battery, ","")&amp;IF(AND($AD471&lt;&gt;"Yes",$AD471&lt;&gt;"N/A"),"Firmware Download, ","")&amp;IF(AND(OR($AD471="Yes",$AD471="N/A"),$AE471&lt;&gt;"Yes",$AE471&lt;&gt;"N/A"),"Firmware Install, ","")&amp;IF(AND($CB471&lt;&gt;"Yes",$CB471&lt;&gt;"N/A"),"Device ID, ","")&amp;IF(AND($CC471&lt;&gt;"Yes",$CC471&lt;&gt;"N/A"),"Epic Beans Relay, ",""))-2)))</f>
        <v/>
      </c>
      <c r="CE471">
        <f>IF($Y471="","",IF($CD471="","Yes","Blocked"))</f>
        <v/>
      </c>
      <c r="CP471">
        <f>IF($CO471="","",IFERROR(VLOOKUP($CO471,'01_Warehouse_Ledger'!$A:$N,4,FALSE),""))</f>
        <v/>
      </c>
      <c r="CQ471">
        <f>IF($CO471="","",IFERROR(VLOOKUP($CO471,'01_Warehouse_Ledger'!$A:$N,5,FALSE),""))</f>
        <v/>
      </c>
      <c r="CR471">
        <f>IF($CO471="","",IFERROR(VLOOKUP($CO471,'01_Warehouse_Ledger'!$A:$N,13,FALSE),""))</f>
        <v/>
      </c>
      <c r="CW471">
        <f>IF($S471="","",IF(UPPER(TRIM($S471))&lt;&gt;"PASS","",IF(LEN(TRIM($BY471))&gt;0,"NOTES_PRESENT",IF(LEN(TRIM($T471))=0,"SET_NA",IF(OR(LOWER(TRIM($T471))="na",LOWER(TRIM($T471))="n/a"),"OK","MANUAL_OVERRIDE")))))</f>
        <v/>
      </c>
    </row>
    <row r="472">
      <c r="B472" t="inlineStr">
        <is>
          <t>No</t>
        </is>
      </c>
      <c r="C472" t="inlineStr">
        <is>
          <t>No</t>
        </is>
      </c>
      <c r="D472">
        <f>IF($B472&lt;&gt;"Yes","",IF($C472="No","Yes",IF($C472="Yes","No","")))</f>
        <v/>
      </c>
      <c r="E472">
        <f>IF($A472="","",IF(OR(AND($V472&lt;&gt;"",LOWER(TRIM($V472))&lt;&gt;"n/a",LOWER(TRIM($V472))&lt;&gt;"na",SUMPRODUCT(--(UPPER(TRIM($V$2:$V$518))=UPPER(TRIM($V472))),--(TRIM($V$2:$V$518)&lt;&gt;""),--(LOWER(TRIM($V$2:$V$518))&lt;&gt;"n/a"),--(LOWER(TRIM($V$2:$V$518))&lt;&gt;"na"))&gt;1),AND($W472&lt;&gt;"",LOWER(TRIM($W472))&lt;&gt;"n/a",LOWER(TRIM($W472))&lt;&gt;"na",SUMPRODUCT(--(UPPER(TRIM($W$2:$W$518))=UPPER(TRIM($W472))),--(TRIM($W$2:$W$518)&lt;&gt;""),--(LOWER(TRIM($W$2:$W$518))&lt;&gt;"n/a"),--(LOWER(TRIM($W$2:$W$518))&lt;&gt;"na"))&gt;1),AND($X472&lt;&gt;"",LOWER(TRIM($X472))&lt;&gt;"n/a",LOWER(TRIM($X472))&lt;&gt;"na",SUMPRODUCT(--(UPPER(TRIM($X$2:$X$518))=UPPER(TRIM($X472))),--(TRIM($X$2:$X$518)&lt;&gt;""),--(LOWER(TRIM($X$2:$X$518))&lt;&gt;"n/a"),--(LOWER(TRIM($X$2:$X$518))&lt;&gt;"na"))&gt;1),AND($Y472&lt;&gt;"",LOWER(TRIM($Y472))&lt;&gt;"n/a",LOWER(TRIM($Y472))&lt;&gt;"na",SUMPRODUCT(--(UPPER(SUBSTITUTE(SUBSTITUTE(TRIM($Y$2:$Y$518),":",""),"-",""))=UPPER(SUBSTITUTE(SUBSTITUTE(TRIM($Y472),":",""),"-",""))),--(TRIM($Y$2:$Y$518)&lt;&gt;""),--(LOWER(TRIM($Y$2:$Y$518))&lt;&gt;"n/a"),--(LOWER(TRIM($Y$2:$Y$518))&lt;&gt;"na"))&gt;1),AND($AB472&lt;&gt;"",LOWER(TRIM($AB472))&lt;&gt;"n/a",LOWER(TRIM($AB472))&lt;&gt;"na",SUMPRODUCT(--(UPPER(TRIM($AB$2:$AB$518))=UPPER(TRIM($AB472))),--(TRIM($AB$2:$AB$518)&lt;&gt;""),--(LOWER(TRIM($AB$2:$AB$518))&lt;&gt;"n/a"),--(LOWER(TRIM($AB$2:$AB$518))&lt;&gt;"na"))&gt;1),AND($AH472&lt;&gt;"",LOWER(TRIM($AH472))&lt;&gt;"n/a",LOWER(TRIM($AH472))&lt;&gt;"na",SUMPRODUCT(--(UPPER(SUBSTITUTE(SUBSTITUTE(TRIM($AH$2:$AH$518),":",""),"-",""))=UPPER(SUBSTITUTE(SUBSTITUTE(TRIM($AH472),":",""),"-",""))),--(TRIM($AH$2:$AH$518)&lt;&gt;""),--(LOWER(TRIM($AH$2:$AH$518))&lt;&gt;"n/a"),--(LOWER(TRIM($AH$2:$AH$518))&lt;&gt;"na"))&gt;1),AND($AP472&lt;&gt;"",LOWER(TRIM($AP472))&lt;&gt;"n/a",LOWER(TRIM($AP472))&lt;&gt;"na",SUMPRODUCT(--(UPPER(TRIM($AP$2:$AP$518))=UPPER(TRIM($AP472))),--(TRIM($AP$2:$AP$518)&lt;&gt;""),--(LOWER(TRIM($AP$2:$AP$518))&lt;&gt;"n/a"),--(LOWER(TRIM($AP$2:$AP$518))&lt;&gt;"na"))&gt;1),AND($AQ472&lt;&gt;"",LOWER(TRIM($AQ472))&lt;&gt;"n/a",LOWER(TRIM($AQ472))&lt;&gt;"na",SUMPRODUCT(--(UPPER(TRIM($AQ$2:$AQ$518))=UPPER(TRIM($AQ472))),--(TRIM($AQ$2:$AQ$518)&lt;&gt;""),--(LOWER(TRIM($AQ$2:$AQ$518))&lt;&gt;"n/a"),--(LOWER(TRIM($AQ$2:$AQ$518))&lt;&gt;"na"))&gt;1)),"Yes","No"))</f>
        <v/>
      </c>
      <c r="F472">
        <f>IF(UPPER(TRIM($B472))&lt;&gt;"YES","", IF(OR(AND($V472&lt;&gt;"", LOWER(TRIM($V472))&lt;&gt;"n/a", LOWER(TRIM($V472))&lt;&gt;"na", SUMPRODUCT(--(UPPER(TRIM($V$2:$V$518))=UPPER(TRIM($V472))), --(UPPER(TRIM($B$2:$B$518))="YES"), --(UPPER(TRIM($G$2:$G$518)&amp;TRIM($I$2:$I$518)&amp;TRIM($J$2:$J$518))&lt;&gt;UPPER(TRIM($G472)&amp;TRIM($I472)&amp;TRIM($J472))))&gt;0), AND($W472&lt;&gt;"", LOWER(TRIM($W472))&lt;&gt;"n/a", LOWER(TRIM($W472))&lt;&gt;"na", SUMPRODUCT(--(UPPER(TRIM($W$2:$W$518))=UPPER(TRIM($W472))), --(UPPER(TRIM($B$2:$B$518))="YES"), --(UPPER(TRIM($G$2:$G$518)&amp;TRIM($I$2:$I$518)&amp;TRIM($J$2:$J$518))&lt;&gt;UPPER(TRIM($G472)&amp;TRIM($I472)&amp;TRIM($J472))))&gt;0), AND($X472&lt;&gt;"", LOWER(TRIM($X472))&lt;&gt;"n/a", LOWER(TRIM($X472))&lt;&gt;"na", SUMPRODUCT(--(UPPER(TRIM($X$2:$X$518))=UPPER(TRIM($X472))), --(UPPER(TRIM($B$2:$B$518))="YES"), --(UPPER(TRIM($G$2:$G$518)&amp;TRIM($I$2:$I$518)&amp;TRIM($J$2:$J$518))&lt;&gt;UPPER(TRIM($G472)&amp;TRIM($I472)&amp;TRIM($J472))))&gt;0), AND($Y472&lt;&gt;"", LOWER(TRIM($Y472))&lt;&gt;"n/a", LOWER(TRIM($Y472))&lt;&gt;"na", SUMPRODUCT(--(UPPER(SUBSTITUTE(SUBSTITUTE(TRIM($Y$2:$Y$518),":",""),"-",""))=UPPER(SUBSTITUTE(SUBSTITUTE(TRIM($Y472),":",""),"-",""))), --(UPPER(TRIM($B$2:$B$518))="YES"), --(UPPER(TRIM($G$2:$G$518)&amp;TRIM($I$2:$I$518)&amp;TRIM($J$2:$J$518))&lt;&gt;UPPER(TRIM($G472)&amp;TRIM($I472)&amp;TRIM($J472))))&gt;0), AND($AB472&lt;&gt;"", LOWER(TRIM($AB472))&lt;&gt;"n/a", LOWER(TRIM($AB472))&lt;&gt;"na", SUMPRODUCT(--(UPPER(TRIM($AB$2:$AB$518))=UPPER(TRIM($AB472))), --(UPPER(TRIM($B$2:$B$518))="YES"), --(UPPER(TRIM($G$2:$G$518)&amp;TRIM($I$2:$I$518)&amp;TRIM($J$2:$J$518))&lt;&gt;UPPER(TRIM($G472)&amp;TRIM($I472)&amp;TRIM($J472))))&gt;0), AND($AH472&lt;&gt;"", LOWER(TRIM($AH472))&lt;&gt;"n/a", LOWER(TRIM($AH472))&lt;&gt;"na", SUMPRODUCT(--(UPPER(SUBSTITUTE(SUBSTITUTE(TRIM($AH$2:$AH$518),":",""),"-",""))=UPPER(SUBSTITUTE(SUBSTITUTE(TRIM($AH472),":",""),"-",""))), --(UPPER(TRIM($B$2:$B$518))="YES"), --(UPPER(TRIM($G$2:$G$518)&amp;TRIM($I$2:$I$518)&amp;TRIM($J$2:$J$518))&lt;&gt;UPPER(TRIM($G472)&amp;TRIM($I472)&amp;TRIM($J472))))&gt;0), AND($AP472&lt;&gt;"", LOWER(TRIM($AP472))&lt;&gt;"n/a", LOWER(TRIM($AP472))&lt;&gt;"na", SUMPRODUCT(--(UPPER(TRIM($AP$2:$AP$518))=UPPER(TRIM($AP472))), --(UPPER(TRIM($B$2:$B$518))="YES"), --(UPPER(TRIM($G$2:$G$518)&amp;TRIM($I$2:$I$518)&amp;TRIM($J$2:$J$518))&lt;&gt;UPPER(TRIM($G472)&amp;TRIM($I472)&amp;TRIM($J472))))&gt;0), AND($AQ472&lt;&gt;"", LOWER(TRIM($AQ472))&lt;&gt;"n/a", LOWER(TRIM($AQ472))&lt;&gt;"na", SUMPRODUCT(--(UPPER(TRIM($AQ$2:$AQ$518))=UPPER(TRIM($AQ472))), --(UPPER(TRIM($B$2:$B$518))="YES"), --(UPPER(TRIM($G$2:$G$518)&amp;TRIM($I$2:$I$518)&amp;TRIM($J$2:$J$518))&lt;&gt;UPPER(TRIM($G472)&amp;TRIM($I472)&amp;TRIM($J472))))&gt;0)), "Yes", "No"))</f>
        <v/>
      </c>
      <c r="CD472">
        <f>IF($Y472="","",IF((IF(AND($BR472&lt;&gt;"Yes",$BR472&lt;&gt;"N/A"),"Power Cable, ","")&amp;IF(AND($BS472&lt;&gt;"Yes",$BS472&lt;&gt;"N/A"),"Battery, ","")&amp;IF(AND($AD472&lt;&gt;"Yes",$AD472&lt;&gt;"N/A"),"Firmware Download, ","")&amp;IF(AND(OR($AD472="Yes",$AD472="N/A"),$AE472&lt;&gt;"Yes",$AE472&lt;&gt;"N/A"),"Firmware Install, ","")&amp;IF(AND($CB472&lt;&gt;"Yes",$CB472&lt;&gt;"N/A"),"Device ID, ","")&amp;IF(AND($CC472&lt;&gt;"Yes",$CC472&lt;&gt;"N/A"),"Epic Beans Relay, ",""))="","",LEFT(IF(AND($BR472&lt;&gt;"Yes",$BR472&lt;&gt;"N/A"),"Power Cable, ","")&amp;IF(AND($BS472&lt;&gt;"Yes",$BS472&lt;&gt;"N/A"),"Battery, ","")&amp;IF(AND($AD472&lt;&gt;"Yes",$AD472&lt;&gt;"N/A"),"Firmware Download, ","")&amp;IF(AND(OR($AD472="Yes",$AD472="N/A"),$AE472&lt;&gt;"Yes",$AE472&lt;&gt;"N/A"),"Firmware Install, ","")&amp;IF(AND($CB472&lt;&gt;"Yes",$CB472&lt;&gt;"N/A"),"Device ID, ","")&amp;IF(AND($CC472&lt;&gt;"Yes",$CC472&lt;&gt;"N/A"),"Epic Beans Relay, ",""),LEN(IF(AND($BR472&lt;&gt;"Yes",$BR472&lt;&gt;"N/A"),"Power Cable, ","")&amp;IF(AND($BS472&lt;&gt;"Yes",$BS472&lt;&gt;"N/A"),"Battery, ","")&amp;IF(AND($AD472&lt;&gt;"Yes",$AD472&lt;&gt;"N/A"),"Firmware Download, ","")&amp;IF(AND(OR($AD472="Yes",$AD472="N/A"),$AE472&lt;&gt;"Yes",$AE472&lt;&gt;"N/A"),"Firmware Install, ","")&amp;IF(AND($CB472&lt;&gt;"Yes",$CB472&lt;&gt;"N/A"),"Device ID, ","")&amp;IF(AND($CC472&lt;&gt;"Yes",$CC472&lt;&gt;"N/A"),"Epic Beans Relay, ",""))-2)))</f>
        <v/>
      </c>
      <c r="CE472">
        <f>IF($Y472="","",IF($CD472="","Yes","Blocked"))</f>
        <v/>
      </c>
      <c r="CP472">
        <f>IF($CO472="","",IFERROR(VLOOKUP($CO472,'01_Warehouse_Ledger'!$A:$N,4,FALSE),""))</f>
        <v/>
      </c>
      <c r="CQ472">
        <f>IF($CO472="","",IFERROR(VLOOKUP($CO472,'01_Warehouse_Ledger'!$A:$N,5,FALSE),""))</f>
        <v/>
      </c>
      <c r="CR472">
        <f>IF($CO472="","",IFERROR(VLOOKUP($CO472,'01_Warehouse_Ledger'!$A:$N,13,FALSE),""))</f>
        <v/>
      </c>
      <c r="CW472">
        <f>IF($S472="","",IF(UPPER(TRIM($S472))&lt;&gt;"PASS","",IF(LEN(TRIM($BY472))&gt;0,"NOTES_PRESENT",IF(LEN(TRIM($T472))=0,"SET_NA",IF(OR(LOWER(TRIM($T472))="na",LOWER(TRIM($T472))="n/a"),"OK","MANUAL_OVERRIDE")))))</f>
        <v/>
      </c>
    </row>
    <row r="473">
      <c r="B473" t="inlineStr">
        <is>
          <t>No</t>
        </is>
      </c>
      <c r="C473" t="inlineStr">
        <is>
          <t>No</t>
        </is>
      </c>
      <c r="D473">
        <f>IF($B473&lt;&gt;"Yes","",IF($C473="No","Yes",IF($C473="Yes","No","")))</f>
        <v/>
      </c>
      <c r="E473">
        <f>IF($A473="","",IF(OR(AND($V473&lt;&gt;"",LOWER(TRIM($V473))&lt;&gt;"n/a",LOWER(TRIM($V473))&lt;&gt;"na",SUMPRODUCT(--(UPPER(TRIM($V$2:$V$518))=UPPER(TRIM($V473))),--(TRIM($V$2:$V$518)&lt;&gt;""),--(LOWER(TRIM($V$2:$V$518))&lt;&gt;"n/a"),--(LOWER(TRIM($V$2:$V$518))&lt;&gt;"na"))&gt;1),AND($W473&lt;&gt;"",LOWER(TRIM($W473))&lt;&gt;"n/a",LOWER(TRIM($W473))&lt;&gt;"na",SUMPRODUCT(--(UPPER(TRIM($W$2:$W$518))=UPPER(TRIM($W473))),--(TRIM($W$2:$W$518)&lt;&gt;""),--(LOWER(TRIM($W$2:$W$518))&lt;&gt;"n/a"),--(LOWER(TRIM($W$2:$W$518))&lt;&gt;"na"))&gt;1),AND($X473&lt;&gt;"",LOWER(TRIM($X473))&lt;&gt;"n/a",LOWER(TRIM($X473))&lt;&gt;"na",SUMPRODUCT(--(UPPER(TRIM($X$2:$X$518))=UPPER(TRIM($X473))),--(TRIM($X$2:$X$518)&lt;&gt;""),--(LOWER(TRIM($X$2:$X$518))&lt;&gt;"n/a"),--(LOWER(TRIM($X$2:$X$518))&lt;&gt;"na"))&gt;1),AND($Y473&lt;&gt;"",LOWER(TRIM($Y473))&lt;&gt;"n/a",LOWER(TRIM($Y473))&lt;&gt;"na",SUMPRODUCT(--(UPPER(SUBSTITUTE(SUBSTITUTE(TRIM($Y$2:$Y$518),":",""),"-",""))=UPPER(SUBSTITUTE(SUBSTITUTE(TRIM($Y473),":",""),"-",""))),--(TRIM($Y$2:$Y$518)&lt;&gt;""),--(LOWER(TRIM($Y$2:$Y$518))&lt;&gt;"n/a"),--(LOWER(TRIM($Y$2:$Y$518))&lt;&gt;"na"))&gt;1),AND($AB473&lt;&gt;"",LOWER(TRIM($AB473))&lt;&gt;"n/a",LOWER(TRIM($AB473))&lt;&gt;"na",SUMPRODUCT(--(UPPER(TRIM($AB$2:$AB$518))=UPPER(TRIM($AB473))),--(TRIM($AB$2:$AB$518)&lt;&gt;""),--(LOWER(TRIM($AB$2:$AB$518))&lt;&gt;"n/a"),--(LOWER(TRIM($AB$2:$AB$518))&lt;&gt;"na"))&gt;1),AND($AH473&lt;&gt;"",LOWER(TRIM($AH473))&lt;&gt;"n/a",LOWER(TRIM($AH473))&lt;&gt;"na",SUMPRODUCT(--(UPPER(SUBSTITUTE(SUBSTITUTE(TRIM($AH$2:$AH$518),":",""),"-",""))=UPPER(SUBSTITUTE(SUBSTITUTE(TRIM($AH473),":",""),"-",""))),--(TRIM($AH$2:$AH$518)&lt;&gt;""),--(LOWER(TRIM($AH$2:$AH$518))&lt;&gt;"n/a"),--(LOWER(TRIM($AH$2:$AH$518))&lt;&gt;"na"))&gt;1),AND($AP473&lt;&gt;"",LOWER(TRIM($AP473))&lt;&gt;"n/a",LOWER(TRIM($AP473))&lt;&gt;"na",SUMPRODUCT(--(UPPER(TRIM($AP$2:$AP$518))=UPPER(TRIM($AP473))),--(TRIM($AP$2:$AP$518)&lt;&gt;""),--(LOWER(TRIM($AP$2:$AP$518))&lt;&gt;"n/a"),--(LOWER(TRIM($AP$2:$AP$518))&lt;&gt;"na"))&gt;1),AND($AQ473&lt;&gt;"",LOWER(TRIM($AQ473))&lt;&gt;"n/a",LOWER(TRIM($AQ473))&lt;&gt;"na",SUMPRODUCT(--(UPPER(TRIM($AQ$2:$AQ$518))=UPPER(TRIM($AQ473))),--(TRIM($AQ$2:$AQ$518)&lt;&gt;""),--(LOWER(TRIM($AQ$2:$AQ$518))&lt;&gt;"n/a"),--(LOWER(TRIM($AQ$2:$AQ$518))&lt;&gt;"na"))&gt;1)),"Yes","No"))</f>
        <v/>
      </c>
      <c r="F473">
        <f>IF(UPPER(TRIM($B473))&lt;&gt;"YES","", IF(OR(AND($V473&lt;&gt;"", LOWER(TRIM($V473))&lt;&gt;"n/a", LOWER(TRIM($V473))&lt;&gt;"na", SUMPRODUCT(--(UPPER(TRIM($V$2:$V$518))=UPPER(TRIM($V473))), --(UPPER(TRIM($B$2:$B$518))="YES"), --(UPPER(TRIM($G$2:$G$518)&amp;TRIM($I$2:$I$518)&amp;TRIM($J$2:$J$518))&lt;&gt;UPPER(TRIM($G473)&amp;TRIM($I473)&amp;TRIM($J473))))&gt;0), AND($W473&lt;&gt;"", LOWER(TRIM($W473))&lt;&gt;"n/a", LOWER(TRIM($W473))&lt;&gt;"na", SUMPRODUCT(--(UPPER(TRIM($W$2:$W$518))=UPPER(TRIM($W473))), --(UPPER(TRIM($B$2:$B$518))="YES"), --(UPPER(TRIM($G$2:$G$518)&amp;TRIM($I$2:$I$518)&amp;TRIM($J$2:$J$518))&lt;&gt;UPPER(TRIM($G473)&amp;TRIM($I473)&amp;TRIM($J473))))&gt;0), AND($X473&lt;&gt;"", LOWER(TRIM($X473))&lt;&gt;"n/a", LOWER(TRIM($X473))&lt;&gt;"na", SUMPRODUCT(--(UPPER(TRIM($X$2:$X$518))=UPPER(TRIM($X473))), --(UPPER(TRIM($B$2:$B$518))="YES"), --(UPPER(TRIM($G$2:$G$518)&amp;TRIM($I$2:$I$518)&amp;TRIM($J$2:$J$518))&lt;&gt;UPPER(TRIM($G473)&amp;TRIM($I473)&amp;TRIM($J473))))&gt;0), AND($Y473&lt;&gt;"", LOWER(TRIM($Y473))&lt;&gt;"n/a", LOWER(TRIM($Y473))&lt;&gt;"na", SUMPRODUCT(--(UPPER(SUBSTITUTE(SUBSTITUTE(TRIM($Y$2:$Y$518),":",""),"-",""))=UPPER(SUBSTITUTE(SUBSTITUTE(TRIM($Y473),":",""),"-",""))), --(UPPER(TRIM($B$2:$B$518))="YES"), --(UPPER(TRIM($G$2:$G$518)&amp;TRIM($I$2:$I$518)&amp;TRIM($J$2:$J$518))&lt;&gt;UPPER(TRIM($G473)&amp;TRIM($I473)&amp;TRIM($J473))))&gt;0), AND($AB473&lt;&gt;"", LOWER(TRIM($AB473))&lt;&gt;"n/a", LOWER(TRIM($AB473))&lt;&gt;"na", SUMPRODUCT(--(UPPER(TRIM($AB$2:$AB$518))=UPPER(TRIM($AB473))), --(UPPER(TRIM($B$2:$B$518))="YES"), --(UPPER(TRIM($G$2:$G$518)&amp;TRIM($I$2:$I$518)&amp;TRIM($J$2:$J$518))&lt;&gt;UPPER(TRIM($G473)&amp;TRIM($I473)&amp;TRIM($J473))))&gt;0), AND($AH473&lt;&gt;"", LOWER(TRIM($AH473))&lt;&gt;"n/a", LOWER(TRIM($AH473))&lt;&gt;"na", SUMPRODUCT(--(UPPER(SUBSTITUTE(SUBSTITUTE(TRIM($AH$2:$AH$518),":",""),"-",""))=UPPER(SUBSTITUTE(SUBSTITUTE(TRIM($AH473),":",""),"-",""))), --(UPPER(TRIM($B$2:$B$518))="YES"), --(UPPER(TRIM($G$2:$G$518)&amp;TRIM($I$2:$I$518)&amp;TRIM($J$2:$J$518))&lt;&gt;UPPER(TRIM($G473)&amp;TRIM($I473)&amp;TRIM($J473))))&gt;0), AND($AP473&lt;&gt;"", LOWER(TRIM($AP473))&lt;&gt;"n/a", LOWER(TRIM($AP473))&lt;&gt;"na", SUMPRODUCT(--(UPPER(TRIM($AP$2:$AP$518))=UPPER(TRIM($AP473))), --(UPPER(TRIM($B$2:$B$518))="YES"), --(UPPER(TRIM($G$2:$G$518)&amp;TRIM($I$2:$I$518)&amp;TRIM($J$2:$J$518))&lt;&gt;UPPER(TRIM($G473)&amp;TRIM($I473)&amp;TRIM($J473))))&gt;0), AND($AQ473&lt;&gt;"", LOWER(TRIM($AQ473))&lt;&gt;"n/a", LOWER(TRIM($AQ473))&lt;&gt;"na", SUMPRODUCT(--(UPPER(TRIM($AQ$2:$AQ$518))=UPPER(TRIM($AQ473))), --(UPPER(TRIM($B$2:$B$518))="YES"), --(UPPER(TRIM($G$2:$G$518)&amp;TRIM($I$2:$I$518)&amp;TRIM($J$2:$J$518))&lt;&gt;UPPER(TRIM($G473)&amp;TRIM($I473)&amp;TRIM($J473))))&gt;0)), "Yes", "No"))</f>
        <v/>
      </c>
      <c r="CD473">
        <f>IF($Y473="","",IF((IF(AND($BR473&lt;&gt;"Yes",$BR473&lt;&gt;"N/A"),"Power Cable, ","")&amp;IF(AND($BS473&lt;&gt;"Yes",$BS473&lt;&gt;"N/A"),"Battery, ","")&amp;IF(AND($AD473&lt;&gt;"Yes",$AD473&lt;&gt;"N/A"),"Firmware Download, ","")&amp;IF(AND(OR($AD473="Yes",$AD473="N/A"),$AE473&lt;&gt;"Yes",$AE473&lt;&gt;"N/A"),"Firmware Install, ","")&amp;IF(AND($CB473&lt;&gt;"Yes",$CB473&lt;&gt;"N/A"),"Device ID, ","")&amp;IF(AND($CC473&lt;&gt;"Yes",$CC473&lt;&gt;"N/A"),"Epic Beans Relay, ",""))="","",LEFT(IF(AND($BR473&lt;&gt;"Yes",$BR473&lt;&gt;"N/A"),"Power Cable, ","")&amp;IF(AND($BS473&lt;&gt;"Yes",$BS473&lt;&gt;"N/A"),"Battery, ","")&amp;IF(AND($AD473&lt;&gt;"Yes",$AD473&lt;&gt;"N/A"),"Firmware Download, ","")&amp;IF(AND(OR($AD473="Yes",$AD473="N/A"),$AE473&lt;&gt;"Yes",$AE473&lt;&gt;"N/A"),"Firmware Install, ","")&amp;IF(AND($CB473&lt;&gt;"Yes",$CB473&lt;&gt;"N/A"),"Device ID, ","")&amp;IF(AND($CC473&lt;&gt;"Yes",$CC473&lt;&gt;"N/A"),"Epic Beans Relay, ",""),LEN(IF(AND($BR473&lt;&gt;"Yes",$BR473&lt;&gt;"N/A"),"Power Cable, ","")&amp;IF(AND($BS473&lt;&gt;"Yes",$BS473&lt;&gt;"N/A"),"Battery, ","")&amp;IF(AND($AD473&lt;&gt;"Yes",$AD473&lt;&gt;"N/A"),"Firmware Download, ","")&amp;IF(AND(OR($AD473="Yes",$AD473="N/A"),$AE473&lt;&gt;"Yes",$AE473&lt;&gt;"N/A"),"Firmware Install, ","")&amp;IF(AND($CB473&lt;&gt;"Yes",$CB473&lt;&gt;"N/A"),"Device ID, ","")&amp;IF(AND($CC473&lt;&gt;"Yes",$CC473&lt;&gt;"N/A"),"Epic Beans Relay, ",""))-2)))</f>
        <v/>
      </c>
      <c r="CE473">
        <f>IF($Y473="","",IF($CD473="","Yes","Blocked"))</f>
        <v/>
      </c>
      <c r="CP473">
        <f>IF($CO473="","",IFERROR(VLOOKUP($CO473,'01_Warehouse_Ledger'!$A:$N,4,FALSE),""))</f>
        <v/>
      </c>
      <c r="CQ473">
        <f>IF($CO473="","",IFERROR(VLOOKUP($CO473,'01_Warehouse_Ledger'!$A:$N,5,FALSE),""))</f>
        <v/>
      </c>
      <c r="CR473">
        <f>IF($CO473="","",IFERROR(VLOOKUP($CO473,'01_Warehouse_Ledger'!$A:$N,13,FALSE),""))</f>
        <v/>
      </c>
      <c r="CW473">
        <f>IF($S473="","",IF(UPPER(TRIM($S473))&lt;&gt;"PASS","",IF(LEN(TRIM($BY473))&gt;0,"NOTES_PRESENT",IF(LEN(TRIM($T473))=0,"SET_NA",IF(OR(LOWER(TRIM($T473))="na",LOWER(TRIM($T473))="n/a"),"OK","MANUAL_OVERRIDE")))))</f>
        <v/>
      </c>
    </row>
    <row r="474">
      <c r="B474" t="inlineStr">
        <is>
          <t>No</t>
        </is>
      </c>
      <c r="C474" t="inlineStr">
        <is>
          <t>No</t>
        </is>
      </c>
      <c r="D474">
        <f>IF($B474&lt;&gt;"Yes","",IF($C474="No","Yes",IF($C474="Yes","No","")))</f>
        <v/>
      </c>
      <c r="E474">
        <f>IF($A474="","",IF(OR(AND($V474&lt;&gt;"",LOWER(TRIM($V474))&lt;&gt;"n/a",LOWER(TRIM($V474))&lt;&gt;"na",SUMPRODUCT(--(UPPER(TRIM($V$2:$V$518))=UPPER(TRIM($V474))),--(TRIM($V$2:$V$518)&lt;&gt;""),--(LOWER(TRIM($V$2:$V$518))&lt;&gt;"n/a"),--(LOWER(TRIM($V$2:$V$518))&lt;&gt;"na"))&gt;1),AND($W474&lt;&gt;"",LOWER(TRIM($W474))&lt;&gt;"n/a",LOWER(TRIM($W474))&lt;&gt;"na",SUMPRODUCT(--(UPPER(TRIM($W$2:$W$518))=UPPER(TRIM($W474))),--(TRIM($W$2:$W$518)&lt;&gt;""),--(LOWER(TRIM($W$2:$W$518))&lt;&gt;"n/a"),--(LOWER(TRIM($W$2:$W$518))&lt;&gt;"na"))&gt;1),AND($X474&lt;&gt;"",LOWER(TRIM($X474))&lt;&gt;"n/a",LOWER(TRIM($X474))&lt;&gt;"na",SUMPRODUCT(--(UPPER(TRIM($X$2:$X$518))=UPPER(TRIM($X474))),--(TRIM($X$2:$X$518)&lt;&gt;""),--(LOWER(TRIM($X$2:$X$518))&lt;&gt;"n/a"),--(LOWER(TRIM($X$2:$X$518))&lt;&gt;"na"))&gt;1),AND($Y474&lt;&gt;"",LOWER(TRIM($Y474))&lt;&gt;"n/a",LOWER(TRIM($Y474))&lt;&gt;"na",SUMPRODUCT(--(UPPER(SUBSTITUTE(SUBSTITUTE(TRIM($Y$2:$Y$518),":",""),"-",""))=UPPER(SUBSTITUTE(SUBSTITUTE(TRIM($Y474),":",""),"-",""))),--(TRIM($Y$2:$Y$518)&lt;&gt;""),--(LOWER(TRIM($Y$2:$Y$518))&lt;&gt;"n/a"),--(LOWER(TRIM($Y$2:$Y$518))&lt;&gt;"na"))&gt;1),AND($AB474&lt;&gt;"",LOWER(TRIM($AB474))&lt;&gt;"n/a",LOWER(TRIM($AB474))&lt;&gt;"na",SUMPRODUCT(--(UPPER(TRIM($AB$2:$AB$518))=UPPER(TRIM($AB474))),--(TRIM($AB$2:$AB$518)&lt;&gt;""),--(LOWER(TRIM($AB$2:$AB$518))&lt;&gt;"n/a"),--(LOWER(TRIM($AB$2:$AB$518))&lt;&gt;"na"))&gt;1),AND($AH474&lt;&gt;"",LOWER(TRIM($AH474))&lt;&gt;"n/a",LOWER(TRIM($AH474))&lt;&gt;"na",SUMPRODUCT(--(UPPER(SUBSTITUTE(SUBSTITUTE(TRIM($AH$2:$AH$518),":",""),"-",""))=UPPER(SUBSTITUTE(SUBSTITUTE(TRIM($AH474),":",""),"-",""))),--(TRIM($AH$2:$AH$518)&lt;&gt;""),--(LOWER(TRIM($AH$2:$AH$518))&lt;&gt;"n/a"),--(LOWER(TRIM($AH$2:$AH$518))&lt;&gt;"na"))&gt;1),AND($AP474&lt;&gt;"",LOWER(TRIM($AP474))&lt;&gt;"n/a",LOWER(TRIM($AP474))&lt;&gt;"na",SUMPRODUCT(--(UPPER(TRIM($AP$2:$AP$518))=UPPER(TRIM($AP474))),--(TRIM($AP$2:$AP$518)&lt;&gt;""),--(LOWER(TRIM($AP$2:$AP$518))&lt;&gt;"n/a"),--(LOWER(TRIM($AP$2:$AP$518))&lt;&gt;"na"))&gt;1),AND($AQ474&lt;&gt;"",LOWER(TRIM($AQ474))&lt;&gt;"n/a",LOWER(TRIM($AQ474))&lt;&gt;"na",SUMPRODUCT(--(UPPER(TRIM($AQ$2:$AQ$518))=UPPER(TRIM($AQ474))),--(TRIM($AQ$2:$AQ$518)&lt;&gt;""),--(LOWER(TRIM($AQ$2:$AQ$518))&lt;&gt;"n/a"),--(LOWER(TRIM($AQ$2:$AQ$518))&lt;&gt;"na"))&gt;1)),"Yes","No"))</f>
        <v/>
      </c>
      <c r="F474">
        <f>IF(UPPER(TRIM($B474))&lt;&gt;"YES","", IF(OR(AND($V474&lt;&gt;"", LOWER(TRIM($V474))&lt;&gt;"n/a", LOWER(TRIM($V474))&lt;&gt;"na", SUMPRODUCT(--(UPPER(TRIM($V$2:$V$518))=UPPER(TRIM($V474))), --(UPPER(TRIM($B$2:$B$518))="YES"), --(UPPER(TRIM($G$2:$G$518)&amp;TRIM($I$2:$I$518)&amp;TRIM($J$2:$J$518))&lt;&gt;UPPER(TRIM($G474)&amp;TRIM($I474)&amp;TRIM($J474))))&gt;0), AND($W474&lt;&gt;"", LOWER(TRIM($W474))&lt;&gt;"n/a", LOWER(TRIM($W474))&lt;&gt;"na", SUMPRODUCT(--(UPPER(TRIM($W$2:$W$518))=UPPER(TRIM($W474))), --(UPPER(TRIM($B$2:$B$518))="YES"), --(UPPER(TRIM($G$2:$G$518)&amp;TRIM($I$2:$I$518)&amp;TRIM($J$2:$J$518))&lt;&gt;UPPER(TRIM($G474)&amp;TRIM($I474)&amp;TRIM($J474))))&gt;0), AND($X474&lt;&gt;"", LOWER(TRIM($X474))&lt;&gt;"n/a", LOWER(TRIM($X474))&lt;&gt;"na", SUMPRODUCT(--(UPPER(TRIM($X$2:$X$518))=UPPER(TRIM($X474))), --(UPPER(TRIM($B$2:$B$518))="YES"), --(UPPER(TRIM($G$2:$G$518)&amp;TRIM($I$2:$I$518)&amp;TRIM($J$2:$J$518))&lt;&gt;UPPER(TRIM($G474)&amp;TRIM($I474)&amp;TRIM($J474))))&gt;0), AND($Y474&lt;&gt;"", LOWER(TRIM($Y474))&lt;&gt;"n/a", LOWER(TRIM($Y474))&lt;&gt;"na", SUMPRODUCT(--(UPPER(SUBSTITUTE(SUBSTITUTE(TRIM($Y$2:$Y$518),":",""),"-",""))=UPPER(SUBSTITUTE(SUBSTITUTE(TRIM($Y474),":",""),"-",""))), --(UPPER(TRIM($B$2:$B$518))="YES"), --(UPPER(TRIM($G$2:$G$518)&amp;TRIM($I$2:$I$518)&amp;TRIM($J$2:$J$518))&lt;&gt;UPPER(TRIM($G474)&amp;TRIM($I474)&amp;TRIM($J474))))&gt;0), AND($AB474&lt;&gt;"", LOWER(TRIM($AB474))&lt;&gt;"n/a", LOWER(TRIM($AB474))&lt;&gt;"na", SUMPRODUCT(--(UPPER(TRIM($AB$2:$AB$518))=UPPER(TRIM($AB474))), --(UPPER(TRIM($B$2:$B$518))="YES"), --(UPPER(TRIM($G$2:$G$518)&amp;TRIM($I$2:$I$518)&amp;TRIM($J$2:$J$518))&lt;&gt;UPPER(TRIM($G474)&amp;TRIM($I474)&amp;TRIM($J474))))&gt;0), AND($AH474&lt;&gt;"", LOWER(TRIM($AH474))&lt;&gt;"n/a", LOWER(TRIM($AH474))&lt;&gt;"na", SUMPRODUCT(--(UPPER(SUBSTITUTE(SUBSTITUTE(TRIM($AH$2:$AH$518),":",""),"-",""))=UPPER(SUBSTITUTE(SUBSTITUTE(TRIM($AH474),":",""),"-",""))), --(UPPER(TRIM($B$2:$B$518))="YES"), --(UPPER(TRIM($G$2:$G$518)&amp;TRIM($I$2:$I$518)&amp;TRIM($J$2:$J$518))&lt;&gt;UPPER(TRIM($G474)&amp;TRIM($I474)&amp;TRIM($J474))))&gt;0), AND($AP474&lt;&gt;"", LOWER(TRIM($AP474))&lt;&gt;"n/a", LOWER(TRIM($AP474))&lt;&gt;"na", SUMPRODUCT(--(UPPER(TRIM($AP$2:$AP$518))=UPPER(TRIM($AP474))), --(UPPER(TRIM($B$2:$B$518))="YES"), --(UPPER(TRIM($G$2:$G$518)&amp;TRIM($I$2:$I$518)&amp;TRIM($J$2:$J$518))&lt;&gt;UPPER(TRIM($G474)&amp;TRIM($I474)&amp;TRIM($J474))))&gt;0), AND($AQ474&lt;&gt;"", LOWER(TRIM($AQ474))&lt;&gt;"n/a", LOWER(TRIM($AQ474))&lt;&gt;"na", SUMPRODUCT(--(UPPER(TRIM($AQ$2:$AQ$518))=UPPER(TRIM($AQ474))), --(UPPER(TRIM($B$2:$B$518))="YES"), --(UPPER(TRIM($G$2:$G$518)&amp;TRIM($I$2:$I$518)&amp;TRIM($J$2:$J$518))&lt;&gt;UPPER(TRIM($G474)&amp;TRIM($I474)&amp;TRIM($J474))))&gt;0)), "Yes", "No"))</f>
        <v/>
      </c>
      <c r="CD474">
        <f>IF($Y474="","",IF((IF(AND($BR474&lt;&gt;"Yes",$BR474&lt;&gt;"N/A"),"Power Cable, ","")&amp;IF(AND($BS474&lt;&gt;"Yes",$BS474&lt;&gt;"N/A"),"Battery, ","")&amp;IF(AND($AD474&lt;&gt;"Yes",$AD474&lt;&gt;"N/A"),"Firmware Download, ","")&amp;IF(AND(OR($AD474="Yes",$AD474="N/A"),$AE474&lt;&gt;"Yes",$AE474&lt;&gt;"N/A"),"Firmware Install, ","")&amp;IF(AND($CB474&lt;&gt;"Yes",$CB474&lt;&gt;"N/A"),"Device ID, ","")&amp;IF(AND($CC474&lt;&gt;"Yes",$CC474&lt;&gt;"N/A"),"Epic Beans Relay, ",""))="","",LEFT(IF(AND($BR474&lt;&gt;"Yes",$BR474&lt;&gt;"N/A"),"Power Cable, ","")&amp;IF(AND($BS474&lt;&gt;"Yes",$BS474&lt;&gt;"N/A"),"Battery, ","")&amp;IF(AND($AD474&lt;&gt;"Yes",$AD474&lt;&gt;"N/A"),"Firmware Download, ","")&amp;IF(AND(OR($AD474="Yes",$AD474="N/A"),$AE474&lt;&gt;"Yes",$AE474&lt;&gt;"N/A"),"Firmware Install, ","")&amp;IF(AND($CB474&lt;&gt;"Yes",$CB474&lt;&gt;"N/A"),"Device ID, ","")&amp;IF(AND($CC474&lt;&gt;"Yes",$CC474&lt;&gt;"N/A"),"Epic Beans Relay, ",""),LEN(IF(AND($BR474&lt;&gt;"Yes",$BR474&lt;&gt;"N/A"),"Power Cable, ","")&amp;IF(AND($BS474&lt;&gt;"Yes",$BS474&lt;&gt;"N/A"),"Battery, ","")&amp;IF(AND($AD474&lt;&gt;"Yes",$AD474&lt;&gt;"N/A"),"Firmware Download, ","")&amp;IF(AND(OR($AD474="Yes",$AD474="N/A"),$AE474&lt;&gt;"Yes",$AE474&lt;&gt;"N/A"),"Firmware Install, ","")&amp;IF(AND($CB474&lt;&gt;"Yes",$CB474&lt;&gt;"N/A"),"Device ID, ","")&amp;IF(AND($CC474&lt;&gt;"Yes",$CC474&lt;&gt;"N/A"),"Epic Beans Relay, ",""))-2)))</f>
        <v/>
      </c>
      <c r="CE474">
        <f>IF($Y474="","",IF($CD474="","Yes","Blocked"))</f>
        <v/>
      </c>
      <c r="CP474">
        <f>IF($CO474="","",IFERROR(VLOOKUP($CO474,'01_Warehouse_Ledger'!$A:$N,4,FALSE),""))</f>
        <v/>
      </c>
      <c r="CQ474">
        <f>IF($CO474="","",IFERROR(VLOOKUP($CO474,'01_Warehouse_Ledger'!$A:$N,5,FALSE),""))</f>
        <v/>
      </c>
      <c r="CR474">
        <f>IF($CO474="","",IFERROR(VLOOKUP($CO474,'01_Warehouse_Ledger'!$A:$N,13,FALSE),""))</f>
        <v/>
      </c>
      <c r="CW474">
        <f>IF($S474="","",IF(UPPER(TRIM($S474))&lt;&gt;"PASS","",IF(LEN(TRIM($BY474))&gt;0,"NOTES_PRESENT",IF(LEN(TRIM($T474))=0,"SET_NA",IF(OR(LOWER(TRIM($T474))="na",LOWER(TRIM($T474))="n/a"),"OK","MANUAL_OVERRIDE")))))</f>
        <v/>
      </c>
    </row>
    <row r="475">
      <c r="B475" t="inlineStr">
        <is>
          <t>No</t>
        </is>
      </c>
      <c r="C475" t="inlineStr">
        <is>
          <t>No</t>
        </is>
      </c>
      <c r="D475">
        <f>IF($B475&lt;&gt;"Yes","",IF($C475="No","Yes",IF($C475="Yes","No","")))</f>
        <v/>
      </c>
      <c r="E475">
        <f>IF($A475="","",IF(OR(AND($V475&lt;&gt;"",LOWER(TRIM($V475))&lt;&gt;"n/a",LOWER(TRIM($V475))&lt;&gt;"na",SUMPRODUCT(--(UPPER(TRIM($V$2:$V$518))=UPPER(TRIM($V475))),--(TRIM($V$2:$V$518)&lt;&gt;""),--(LOWER(TRIM($V$2:$V$518))&lt;&gt;"n/a"),--(LOWER(TRIM($V$2:$V$518))&lt;&gt;"na"))&gt;1),AND($W475&lt;&gt;"",LOWER(TRIM($W475))&lt;&gt;"n/a",LOWER(TRIM($W475))&lt;&gt;"na",SUMPRODUCT(--(UPPER(TRIM($W$2:$W$518))=UPPER(TRIM($W475))),--(TRIM($W$2:$W$518)&lt;&gt;""),--(LOWER(TRIM($W$2:$W$518))&lt;&gt;"n/a"),--(LOWER(TRIM($W$2:$W$518))&lt;&gt;"na"))&gt;1),AND($X475&lt;&gt;"",LOWER(TRIM($X475))&lt;&gt;"n/a",LOWER(TRIM($X475))&lt;&gt;"na",SUMPRODUCT(--(UPPER(TRIM($X$2:$X$518))=UPPER(TRIM($X475))),--(TRIM($X$2:$X$518)&lt;&gt;""),--(LOWER(TRIM($X$2:$X$518))&lt;&gt;"n/a"),--(LOWER(TRIM($X$2:$X$518))&lt;&gt;"na"))&gt;1),AND($Y475&lt;&gt;"",LOWER(TRIM($Y475))&lt;&gt;"n/a",LOWER(TRIM($Y475))&lt;&gt;"na",SUMPRODUCT(--(UPPER(SUBSTITUTE(SUBSTITUTE(TRIM($Y$2:$Y$518),":",""),"-",""))=UPPER(SUBSTITUTE(SUBSTITUTE(TRIM($Y475),":",""),"-",""))),--(TRIM($Y$2:$Y$518)&lt;&gt;""),--(LOWER(TRIM($Y$2:$Y$518))&lt;&gt;"n/a"),--(LOWER(TRIM($Y$2:$Y$518))&lt;&gt;"na"))&gt;1),AND($AB475&lt;&gt;"",LOWER(TRIM($AB475))&lt;&gt;"n/a",LOWER(TRIM($AB475))&lt;&gt;"na",SUMPRODUCT(--(UPPER(TRIM($AB$2:$AB$518))=UPPER(TRIM($AB475))),--(TRIM($AB$2:$AB$518)&lt;&gt;""),--(LOWER(TRIM($AB$2:$AB$518))&lt;&gt;"n/a"),--(LOWER(TRIM($AB$2:$AB$518))&lt;&gt;"na"))&gt;1),AND($AH475&lt;&gt;"",LOWER(TRIM($AH475))&lt;&gt;"n/a",LOWER(TRIM($AH475))&lt;&gt;"na",SUMPRODUCT(--(UPPER(SUBSTITUTE(SUBSTITUTE(TRIM($AH$2:$AH$518),":",""),"-",""))=UPPER(SUBSTITUTE(SUBSTITUTE(TRIM($AH475),":",""),"-",""))),--(TRIM($AH$2:$AH$518)&lt;&gt;""),--(LOWER(TRIM($AH$2:$AH$518))&lt;&gt;"n/a"),--(LOWER(TRIM($AH$2:$AH$518))&lt;&gt;"na"))&gt;1),AND($AP475&lt;&gt;"",LOWER(TRIM($AP475))&lt;&gt;"n/a",LOWER(TRIM($AP475))&lt;&gt;"na",SUMPRODUCT(--(UPPER(TRIM($AP$2:$AP$518))=UPPER(TRIM($AP475))),--(TRIM($AP$2:$AP$518)&lt;&gt;""),--(LOWER(TRIM($AP$2:$AP$518))&lt;&gt;"n/a"),--(LOWER(TRIM($AP$2:$AP$518))&lt;&gt;"na"))&gt;1),AND($AQ475&lt;&gt;"",LOWER(TRIM($AQ475))&lt;&gt;"n/a",LOWER(TRIM($AQ475))&lt;&gt;"na",SUMPRODUCT(--(UPPER(TRIM($AQ$2:$AQ$518))=UPPER(TRIM($AQ475))),--(TRIM($AQ$2:$AQ$518)&lt;&gt;""),--(LOWER(TRIM($AQ$2:$AQ$518))&lt;&gt;"n/a"),--(LOWER(TRIM($AQ$2:$AQ$518))&lt;&gt;"na"))&gt;1)),"Yes","No"))</f>
        <v/>
      </c>
      <c r="F475">
        <f>IF(UPPER(TRIM($B475))&lt;&gt;"YES","", IF(OR(AND($V475&lt;&gt;"", LOWER(TRIM($V475))&lt;&gt;"n/a", LOWER(TRIM($V475))&lt;&gt;"na", SUMPRODUCT(--(UPPER(TRIM($V$2:$V$518))=UPPER(TRIM($V475))), --(UPPER(TRIM($B$2:$B$518))="YES"), --(UPPER(TRIM($G$2:$G$518)&amp;TRIM($I$2:$I$518)&amp;TRIM($J$2:$J$518))&lt;&gt;UPPER(TRIM($G475)&amp;TRIM($I475)&amp;TRIM($J475))))&gt;0), AND($W475&lt;&gt;"", LOWER(TRIM($W475))&lt;&gt;"n/a", LOWER(TRIM($W475))&lt;&gt;"na", SUMPRODUCT(--(UPPER(TRIM($W$2:$W$518))=UPPER(TRIM($W475))), --(UPPER(TRIM($B$2:$B$518))="YES"), --(UPPER(TRIM($G$2:$G$518)&amp;TRIM($I$2:$I$518)&amp;TRIM($J$2:$J$518))&lt;&gt;UPPER(TRIM($G475)&amp;TRIM($I475)&amp;TRIM($J475))))&gt;0), AND($X475&lt;&gt;"", LOWER(TRIM($X475))&lt;&gt;"n/a", LOWER(TRIM($X475))&lt;&gt;"na", SUMPRODUCT(--(UPPER(TRIM($X$2:$X$518))=UPPER(TRIM($X475))), --(UPPER(TRIM($B$2:$B$518))="YES"), --(UPPER(TRIM($G$2:$G$518)&amp;TRIM($I$2:$I$518)&amp;TRIM($J$2:$J$518))&lt;&gt;UPPER(TRIM($G475)&amp;TRIM($I475)&amp;TRIM($J475))))&gt;0), AND($Y475&lt;&gt;"", LOWER(TRIM($Y475))&lt;&gt;"n/a", LOWER(TRIM($Y475))&lt;&gt;"na", SUMPRODUCT(--(UPPER(SUBSTITUTE(SUBSTITUTE(TRIM($Y$2:$Y$518),":",""),"-",""))=UPPER(SUBSTITUTE(SUBSTITUTE(TRIM($Y475),":",""),"-",""))), --(UPPER(TRIM($B$2:$B$518))="YES"), --(UPPER(TRIM($G$2:$G$518)&amp;TRIM($I$2:$I$518)&amp;TRIM($J$2:$J$518))&lt;&gt;UPPER(TRIM($G475)&amp;TRIM($I475)&amp;TRIM($J475))))&gt;0), AND($AB475&lt;&gt;"", LOWER(TRIM($AB475))&lt;&gt;"n/a", LOWER(TRIM($AB475))&lt;&gt;"na", SUMPRODUCT(--(UPPER(TRIM($AB$2:$AB$518))=UPPER(TRIM($AB475))), --(UPPER(TRIM($B$2:$B$518))="YES"), --(UPPER(TRIM($G$2:$G$518)&amp;TRIM($I$2:$I$518)&amp;TRIM($J$2:$J$518))&lt;&gt;UPPER(TRIM($G475)&amp;TRIM($I475)&amp;TRIM($J475))))&gt;0), AND($AH475&lt;&gt;"", LOWER(TRIM($AH475))&lt;&gt;"n/a", LOWER(TRIM($AH475))&lt;&gt;"na", SUMPRODUCT(--(UPPER(SUBSTITUTE(SUBSTITUTE(TRIM($AH$2:$AH$518),":",""),"-",""))=UPPER(SUBSTITUTE(SUBSTITUTE(TRIM($AH475),":",""),"-",""))), --(UPPER(TRIM($B$2:$B$518))="YES"), --(UPPER(TRIM($G$2:$G$518)&amp;TRIM($I$2:$I$518)&amp;TRIM($J$2:$J$518))&lt;&gt;UPPER(TRIM($G475)&amp;TRIM($I475)&amp;TRIM($J475))))&gt;0), AND($AP475&lt;&gt;"", LOWER(TRIM($AP475))&lt;&gt;"n/a", LOWER(TRIM($AP475))&lt;&gt;"na", SUMPRODUCT(--(UPPER(TRIM($AP$2:$AP$518))=UPPER(TRIM($AP475))), --(UPPER(TRIM($B$2:$B$518))="YES"), --(UPPER(TRIM($G$2:$G$518)&amp;TRIM($I$2:$I$518)&amp;TRIM($J$2:$J$518))&lt;&gt;UPPER(TRIM($G475)&amp;TRIM($I475)&amp;TRIM($J475))))&gt;0), AND($AQ475&lt;&gt;"", LOWER(TRIM($AQ475))&lt;&gt;"n/a", LOWER(TRIM($AQ475))&lt;&gt;"na", SUMPRODUCT(--(UPPER(TRIM($AQ$2:$AQ$518))=UPPER(TRIM($AQ475))), --(UPPER(TRIM($B$2:$B$518))="YES"), --(UPPER(TRIM($G$2:$G$518)&amp;TRIM($I$2:$I$518)&amp;TRIM($J$2:$J$518))&lt;&gt;UPPER(TRIM($G475)&amp;TRIM($I475)&amp;TRIM($J475))))&gt;0)), "Yes", "No"))</f>
        <v/>
      </c>
      <c r="CD475">
        <f>IF($Y475="","",IF((IF(AND($BR475&lt;&gt;"Yes",$BR475&lt;&gt;"N/A"),"Power Cable, ","")&amp;IF(AND($BS475&lt;&gt;"Yes",$BS475&lt;&gt;"N/A"),"Battery, ","")&amp;IF(AND($AD475&lt;&gt;"Yes",$AD475&lt;&gt;"N/A"),"Firmware Download, ","")&amp;IF(AND(OR($AD475="Yes",$AD475="N/A"),$AE475&lt;&gt;"Yes",$AE475&lt;&gt;"N/A"),"Firmware Install, ","")&amp;IF(AND($CB475&lt;&gt;"Yes",$CB475&lt;&gt;"N/A"),"Device ID, ","")&amp;IF(AND($CC475&lt;&gt;"Yes",$CC475&lt;&gt;"N/A"),"Epic Beans Relay, ",""))="","",LEFT(IF(AND($BR475&lt;&gt;"Yes",$BR475&lt;&gt;"N/A"),"Power Cable, ","")&amp;IF(AND($BS475&lt;&gt;"Yes",$BS475&lt;&gt;"N/A"),"Battery, ","")&amp;IF(AND($AD475&lt;&gt;"Yes",$AD475&lt;&gt;"N/A"),"Firmware Download, ","")&amp;IF(AND(OR($AD475="Yes",$AD475="N/A"),$AE475&lt;&gt;"Yes",$AE475&lt;&gt;"N/A"),"Firmware Install, ","")&amp;IF(AND($CB475&lt;&gt;"Yes",$CB475&lt;&gt;"N/A"),"Device ID, ","")&amp;IF(AND($CC475&lt;&gt;"Yes",$CC475&lt;&gt;"N/A"),"Epic Beans Relay, ",""),LEN(IF(AND($BR475&lt;&gt;"Yes",$BR475&lt;&gt;"N/A"),"Power Cable, ","")&amp;IF(AND($BS475&lt;&gt;"Yes",$BS475&lt;&gt;"N/A"),"Battery, ","")&amp;IF(AND($AD475&lt;&gt;"Yes",$AD475&lt;&gt;"N/A"),"Firmware Download, ","")&amp;IF(AND(OR($AD475="Yes",$AD475="N/A"),$AE475&lt;&gt;"Yes",$AE475&lt;&gt;"N/A"),"Firmware Install, ","")&amp;IF(AND($CB475&lt;&gt;"Yes",$CB475&lt;&gt;"N/A"),"Device ID, ","")&amp;IF(AND($CC475&lt;&gt;"Yes",$CC475&lt;&gt;"N/A"),"Epic Beans Relay, ",""))-2)))</f>
        <v/>
      </c>
      <c r="CE475">
        <f>IF($Y475="","",IF($CD475="","Yes","Blocked"))</f>
        <v/>
      </c>
      <c r="CP475">
        <f>IF($CO475="","",IFERROR(VLOOKUP($CO475,'01_Warehouse_Ledger'!$A:$N,4,FALSE),""))</f>
        <v/>
      </c>
      <c r="CQ475">
        <f>IF($CO475="","",IFERROR(VLOOKUP($CO475,'01_Warehouse_Ledger'!$A:$N,5,FALSE),""))</f>
        <v/>
      </c>
      <c r="CR475">
        <f>IF($CO475="","",IFERROR(VLOOKUP($CO475,'01_Warehouse_Ledger'!$A:$N,13,FALSE),""))</f>
        <v/>
      </c>
      <c r="CW475">
        <f>IF($S475="","",IF(UPPER(TRIM($S475))&lt;&gt;"PASS","",IF(LEN(TRIM($BY475))&gt;0,"NOTES_PRESENT",IF(LEN(TRIM($T475))=0,"SET_NA",IF(OR(LOWER(TRIM($T475))="na",LOWER(TRIM($T475))="n/a"),"OK","MANUAL_OVERRIDE")))))</f>
        <v/>
      </c>
    </row>
    <row r="476">
      <c r="B476" t="inlineStr">
        <is>
          <t>No</t>
        </is>
      </c>
      <c r="C476" t="inlineStr">
        <is>
          <t>No</t>
        </is>
      </c>
      <c r="D476">
        <f>IF($B476&lt;&gt;"Yes","",IF($C476="No","Yes",IF($C476="Yes","No","")))</f>
        <v/>
      </c>
      <c r="E476">
        <f>IF($A476="","",IF(OR(AND($V476&lt;&gt;"",LOWER(TRIM($V476))&lt;&gt;"n/a",LOWER(TRIM($V476))&lt;&gt;"na",SUMPRODUCT(--(UPPER(TRIM($V$2:$V$518))=UPPER(TRIM($V476))),--(TRIM($V$2:$V$518)&lt;&gt;""),--(LOWER(TRIM($V$2:$V$518))&lt;&gt;"n/a"),--(LOWER(TRIM($V$2:$V$518))&lt;&gt;"na"))&gt;1),AND($W476&lt;&gt;"",LOWER(TRIM($W476))&lt;&gt;"n/a",LOWER(TRIM($W476))&lt;&gt;"na",SUMPRODUCT(--(UPPER(TRIM($W$2:$W$518))=UPPER(TRIM($W476))),--(TRIM($W$2:$W$518)&lt;&gt;""),--(LOWER(TRIM($W$2:$W$518))&lt;&gt;"n/a"),--(LOWER(TRIM($W$2:$W$518))&lt;&gt;"na"))&gt;1),AND($X476&lt;&gt;"",LOWER(TRIM($X476))&lt;&gt;"n/a",LOWER(TRIM($X476))&lt;&gt;"na",SUMPRODUCT(--(UPPER(TRIM($X$2:$X$518))=UPPER(TRIM($X476))),--(TRIM($X$2:$X$518)&lt;&gt;""),--(LOWER(TRIM($X$2:$X$518))&lt;&gt;"n/a"),--(LOWER(TRIM($X$2:$X$518))&lt;&gt;"na"))&gt;1),AND($Y476&lt;&gt;"",LOWER(TRIM($Y476))&lt;&gt;"n/a",LOWER(TRIM($Y476))&lt;&gt;"na",SUMPRODUCT(--(UPPER(SUBSTITUTE(SUBSTITUTE(TRIM($Y$2:$Y$518),":",""),"-",""))=UPPER(SUBSTITUTE(SUBSTITUTE(TRIM($Y476),":",""),"-",""))),--(TRIM($Y$2:$Y$518)&lt;&gt;""),--(LOWER(TRIM($Y$2:$Y$518))&lt;&gt;"n/a"),--(LOWER(TRIM($Y$2:$Y$518))&lt;&gt;"na"))&gt;1),AND($AB476&lt;&gt;"",LOWER(TRIM($AB476))&lt;&gt;"n/a",LOWER(TRIM($AB476))&lt;&gt;"na",SUMPRODUCT(--(UPPER(TRIM($AB$2:$AB$518))=UPPER(TRIM($AB476))),--(TRIM($AB$2:$AB$518)&lt;&gt;""),--(LOWER(TRIM($AB$2:$AB$518))&lt;&gt;"n/a"),--(LOWER(TRIM($AB$2:$AB$518))&lt;&gt;"na"))&gt;1),AND($AH476&lt;&gt;"",LOWER(TRIM($AH476))&lt;&gt;"n/a",LOWER(TRIM($AH476))&lt;&gt;"na",SUMPRODUCT(--(UPPER(SUBSTITUTE(SUBSTITUTE(TRIM($AH$2:$AH$518),":",""),"-",""))=UPPER(SUBSTITUTE(SUBSTITUTE(TRIM($AH476),":",""),"-",""))),--(TRIM($AH$2:$AH$518)&lt;&gt;""),--(LOWER(TRIM($AH$2:$AH$518))&lt;&gt;"n/a"),--(LOWER(TRIM($AH$2:$AH$518))&lt;&gt;"na"))&gt;1),AND($AP476&lt;&gt;"",LOWER(TRIM($AP476))&lt;&gt;"n/a",LOWER(TRIM($AP476))&lt;&gt;"na",SUMPRODUCT(--(UPPER(TRIM($AP$2:$AP$518))=UPPER(TRIM($AP476))),--(TRIM($AP$2:$AP$518)&lt;&gt;""),--(LOWER(TRIM($AP$2:$AP$518))&lt;&gt;"n/a"),--(LOWER(TRIM($AP$2:$AP$518))&lt;&gt;"na"))&gt;1),AND($AQ476&lt;&gt;"",LOWER(TRIM($AQ476))&lt;&gt;"n/a",LOWER(TRIM($AQ476))&lt;&gt;"na",SUMPRODUCT(--(UPPER(TRIM($AQ$2:$AQ$518))=UPPER(TRIM($AQ476))),--(TRIM($AQ$2:$AQ$518)&lt;&gt;""),--(LOWER(TRIM($AQ$2:$AQ$518))&lt;&gt;"n/a"),--(LOWER(TRIM($AQ$2:$AQ$518))&lt;&gt;"na"))&gt;1)),"Yes","No"))</f>
        <v/>
      </c>
      <c r="F476">
        <f>IF(UPPER(TRIM($B476))&lt;&gt;"YES","", IF(OR(AND($V476&lt;&gt;"", LOWER(TRIM($V476))&lt;&gt;"n/a", LOWER(TRIM($V476))&lt;&gt;"na", SUMPRODUCT(--(UPPER(TRIM($V$2:$V$518))=UPPER(TRIM($V476))), --(UPPER(TRIM($B$2:$B$518))="YES"), --(UPPER(TRIM($G$2:$G$518)&amp;TRIM($I$2:$I$518)&amp;TRIM($J$2:$J$518))&lt;&gt;UPPER(TRIM($G476)&amp;TRIM($I476)&amp;TRIM($J476))))&gt;0), AND($W476&lt;&gt;"", LOWER(TRIM($W476))&lt;&gt;"n/a", LOWER(TRIM($W476))&lt;&gt;"na", SUMPRODUCT(--(UPPER(TRIM($W$2:$W$518))=UPPER(TRIM($W476))), --(UPPER(TRIM($B$2:$B$518))="YES"), --(UPPER(TRIM($G$2:$G$518)&amp;TRIM($I$2:$I$518)&amp;TRIM($J$2:$J$518))&lt;&gt;UPPER(TRIM($G476)&amp;TRIM($I476)&amp;TRIM($J476))))&gt;0), AND($X476&lt;&gt;"", LOWER(TRIM($X476))&lt;&gt;"n/a", LOWER(TRIM($X476))&lt;&gt;"na", SUMPRODUCT(--(UPPER(TRIM($X$2:$X$518))=UPPER(TRIM($X476))), --(UPPER(TRIM($B$2:$B$518))="YES"), --(UPPER(TRIM($G$2:$G$518)&amp;TRIM($I$2:$I$518)&amp;TRIM($J$2:$J$518))&lt;&gt;UPPER(TRIM($G476)&amp;TRIM($I476)&amp;TRIM($J476))))&gt;0), AND($Y476&lt;&gt;"", LOWER(TRIM($Y476))&lt;&gt;"n/a", LOWER(TRIM($Y476))&lt;&gt;"na", SUMPRODUCT(--(UPPER(SUBSTITUTE(SUBSTITUTE(TRIM($Y$2:$Y$518),":",""),"-",""))=UPPER(SUBSTITUTE(SUBSTITUTE(TRIM($Y476),":",""),"-",""))), --(UPPER(TRIM($B$2:$B$518))="YES"), --(UPPER(TRIM($G$2:$G$518)&amp;TRIM($I$2:$I$518)&amp;TRIM($J$2:$J$518))&lt;&gt;UPPER(TRIM($G476)&amp;TRIM($I476)&amp;TRIM($J476))))&gt;0), AND($AB476&lt;&gt;"", LOWER(TRIM($AB476))&lt;&gt;"n/a", LOWER(TRIM($AB476))&lt;&gt;"na", SUMPRODUCT(--(UPPER(TRIM($AB$2:$AB$518))=UPPER(TRIM($AB476))), --(UPPER(TRIM($B$2:$B$518))="YES"), --(UPPER(TRIM($G$2:$G$518)&amp;TRIM($I$2:$I$518)&amp;TRIM($J$2:$J$518))&lt;&gt;UPPER(TRIM($G476)&amp;TRIM($I476)&amp;TRIM($J476))))&gt;0), AND($AH476&lt;&gt;"", LOWER(TRIM($AH476))&lt;&gt;"n/a", LOWER(TRIM($AH476))&lt;&gt;"na", SUMPRODUCT(--(UPPER(SUBSTITUTE(SUBSTITUTE(TRIM($AH$2:$AH$518),":",""),"-",""))=UPPER(SUBSTITUTE(SUBSTITUTE(TRIM($AH476),":",""),"-",""))), --(UPPER(TRIM($B$2:$B$518))="YES"), --(UPPER(TRIM($G$2:$G$518)&amp;TRIM($I$2:$I$518)&amp;TRIM($J$2:$J$518))&lt;&gt;UPPER(TRIM($G476)&amp;TRIM($I476)&amp;TRIM($J476))))&gt;0), AND($AP476&lt;&gt;"", LOWER(TRIM($AP476))&lt;&gt;"n/a", LOWER(TRIM($AP476))&lt;&gt;"na", SUMPRODUCT(--(UPPER(TRIM($AP$2:$AP$518))=UPPER(TRIM($AP476))), --(UPPER(TRIM($B$2:$B$518))="YES"), --(UPPER(TRIM($G$2:$G$518)&amp;TRIM($I$2:$I$518)&amp;TRIM($J$2:$J$518))&lt;&gt;UPPER(TRIM($G476)&amp;TRIM($I476)&amp;TRIM($J476))))&gt;0), AND($AQ476&lt;&gt;"", LOWER(TRIM($AQ476))&lt;&gt;"n/a", LOWER(TRIM($AQ476))&lt;&gt;"na", SUMPRODUCT(--(UPPER(TRIM($AQ$2:$AQ$518))=UPPER(TRIM($AQ476))), --(UPPER(TRIM($B$2:$B$518))="YES"), --(UPPER(TRIM($G$2:$G$518)&amp;TRIM($I$2:$I$518)&amp;TRIM($J$2:$J$518))&lt;&gt;UPPER(TRIM($G476)&amp;TRIM($I476)&amp;TRIM($J476))))&gt;0)), "Yes", "No"))</f>
        <v/>
      </c>
      <c r="CD476">
        <f>IF($Y476="","",IF((IF(AND($BR476&lt;&gt;"Yes",$BR476&lt;&gt;"N/A"),"Power Cable, ","")&amp;IF(AND($BS476&lt;&gt;"Yes",$BS476&lt;&gt;"N/A"),"Battery, ","")&amp;IF(AND($AD476&lt;&gt;"Yes",$AD476&lt;&gt;"N/A"),"Firmware Download, ","")&amp;IF(AND(OR($AD476="Yes",$AD476="N/A"),$AE476&lt;&gt;"Yes",$AE476&lt;&gt;"N/A"),"Firmware Install, ","")&amp;IF(AND($CB476&lt;&gt;"Yes",$CB476&lt;&gt;"N/A"),"Device ID, ","")&amp;IF(AND($CC476&lt;&gt;"Yes",$CC476&lt;&gt;"N/A"),"Epic Beans Relay, ",""))="","",LEFT(IF(AND($BR476&lt;&gt;"Yes",$BR476&lt;&gt;"N/A"),"Power Cable, ","")&amp;IF(AND($BS476&lt;&gt;"Yes",$BS476&lt;&gt;"N/A"),"Battery, ","")&amp;IF(AND($AD476&lt;&gt;"Yes",$AD476&lt;&gt;"N/A"),"Firmware Download, ","")&amp;IF(AND(OR($AD476="Yes",$AD476="N/A"),$AE476&lt;&gt;"Yes",$AE476&lt;&gt;"N/A"),"Firmware Install, ","")&amp;IF(AND($CB476&lt;&gt;"Yes",$CB476&lt;&gt;"N/A"),"Device ID, ","")&amp;IF(AND($CC476&lt;&gt;"Yes",$CC476&lt;&gt;"N/A"),"Epic Beans Relay, ",""),LEN(IF(AND($BR476&lt;&gt;"Yes",$BR476&lt;&gt;"N/A"),"Power Cable, ","")&amp;IF(AND($BS476&lt;&gt;"Yes",$BS476&lt;&gt;"N/A"),"Battery, ","")&amp;IF(AND($AD476&lt;&gt;"Yes",$AD476&lt;&gt;"N/A"),"Firmware Download, ","")&amp;IF(AND(OR($AD476="Yes",$AD476="N/A"),$AE476&lt;&gt;"Yes",$AE476&lt;&gt;"N/A"),"Firmware Install, ","")&amp;IF(AND($CB476&lt;&gt;"Yes",$CB476&lt;&gt;"N/A"),"Device ID, ","")&amp;IF(AND($CC476&lt;&gt;"Yes",$CC476&lt;&gt;"N/A"),"Epic Beans Relay, ",""))-2)))</f>
        <v/>
      </c>
      <c r="CE476">
        <f>IF($Y476="","",IF($CD476="","Yes","Blocked"))</f>
        <v/>
      </c>
      <c r="CP476">
        <f>IF($CO476="","",IFERROR(VLOOKUP($CO476,'01_Warehouse_Ledger'!$A:$N,4,FALSE),""))</f>
        <v/>
      </c>
      <c r="CQ476">
        <f>IF($CO476="","",IFERROR(VLOOKUP($CO476,'01_Warehouse_Ledger'!$A:$N,5,FALSE),""))</f>
        <v/>
      </c>
      <c r="CR476">
        <f>IF($CO476="","",IFERROR(VLOOKUP($CO476,'01_Warehouse_Ledger'!$A:$N,13,FALSE),""))</f>
        <v/>
      </c>
      <c r="CW476">
        <f>IF($S476="","",IF(UPPER(TRIM($S476))&lt;&gt;"PASS","",IF(LEN(TRIM($BY476))&gt;0,"NOTES_PRESENT",IF(LEN(TRIM($T476))=0,"SET_NA",IF(OR(LOWER(TRIM($T476))="na",LOWER(TRIM($T476))="n/a"),"OK","MANUAL_OVERRIDE")))))</f>
        <v/>
      </c>
    </row>
    <row r="477">
      <c r="B477" t="inlineStr">
        <is>
          <t>No</t>
        </is>
      </c>
      <c r="C477" t="inlineStr">
        <is>
          <t>No</t>
        </is>
      </c>
      <c r="D477">
        <f>IF($B477&lt;&gt;"Yes","",IF($C477="No","Yes",IF($C477="Yes","No","")))</f>
        <v/>
      </c>
      <c r="E477">
        <f>IF($A477="","",IF(OR(AND($V477&lt;&gt;"",LOWER(TRIM($V477))&lt;&gt;"n/a",LOWER(TRIM($V477))&lt;&gt;"na",SUMPRODUCT(--(UPPER(TRIM($V$2:$V$518))=UPPER(TRIM($V477))),--(TRIM($V$2:$V$518)&lt;&gt;""),--(LOWER(TRIM($V$2:$V$518))&lt;&gt;"n/a"),--(LOWER(TRIM($V$2:$V$518))&lt;&gt;"na"))&gt;1),AND($W477&lt;&gt;"",LOWER(TRIM($W477))&lt;&gt;"n/a",LOWER(TRIM($W477))&lt;&gt;"na",SUMPRODUCT(--(UPPER(TRIM($W$2:$W$518))=UPPER(TRIM($W477))),--(TRIM($W$2:$W$518)&lt;&gt;""),--(LOWER(TRIM($W$2:$W$518))&lt;&gt;"n/a"),--(LOWER(TRIM($W$2:$W$518))&lt;&gt;"na"))&gt;1),AND($X477&lt;&gt;"",LOWER(TRIM($X477))&lt;&gt;"n/a",LOWER(TRIM($X477))&lt;&gt;"na",SUMPRODUCT(--(UPPER(TRIM($X$2:$X$518))=UPPER(TRIM($X477))),--(TRIM($X$2:$X$518)&lt;&gt;""),--(LOWER(TRIM($X$2:$X$518))&lt;&gt;"n/a"),--(LOWER(TRIM($X$2:$X$518))&lt;&gt;"na"))&gt;1),AND($Y477&lt;&gt;"",LOWER(TRIM($Y477))&lt;&gt;"n/a",LOWER(TRIM($Y477))&lt;&gt;"na",SUMPRODUCT(--(UPPER(SUBSTITUTE(SUBSTITUTE(TRIM($Y$2:$Y$518),":",""),"-",""))=UPPER(SUBSTITUTE(SUBSTITUTE(TRIM($Y477),":",""),"-",""))),--(TRIM($Y$2:$Y$518)&lt;&gt;""),--(LOWER(TRIM($Y$2:$Y$518))&lt;&gt;"n/a"),--(LOWER(TRIM($Y$2:$Y$518))&lt;&gt;"na"))&gt;1),AND($AB477&lt;&gt;"",LOWER(TRIM($AB477))&lt;&gt;"n/a",LOWER(TRIM($AB477))&lt;&gt;"na",SUMPRODUCT(--(UPPER(TRIM($AB$2:$AB$518))=UPPER(TRIM($AB477))),--(TRIM($AB$2:$AB$518)&lt;&gt;""),--(LOWER(TRIM($AB$2:$AB$518))&lt;&gt;"n/a"),--(LOWER(TRIM($AB$2:$AB$518))&lt;&gt;"na"))&gt;1),AND($AH477&lt;&gt;"",LOWER(TRIM($AH477))&lt;&gt;"n/a",LOWER(TRIM($AH477))&lt;&gt;"na",SUMPRODUCT(--(UPPER(SUBSTITUTE(SUBSTITUTE(TRIM($AH$2:$AH$518),":",""),"-",""))=UPPER(SUBSTITUTE(SUBSTITUTE(TRIM($AH477),":",""),"-",""))),--(TRIM($AH$2:$AH$518)&lt;&gt;""),--(LOWER(TRIM($AH$2:$AH$518))&lt;&gt;"n/a"),--(LOWER(TRIM($AH$2:$AH$518))&lt;&gt;"na"))&gt;1),AND($AP477&lt;&gt;"",LOWER(TRIM($AP477))&lt;&gt;"n/a",LOWER(TRIM($AP477))&lt;&gt;"na",SUMPRODUCT(--(UPPER(TRIM($AP$2:$AP$518))=UPPER(TRIM($AP477))),--(TRIM($AP$2:$AP$518)&lt;&gt;""),--(LOWER(TRIM($AP$2:$AP$518))&lt;&gt;"n/a"),--(LOWER(TRIM($AP$2:$AP$518))&lt;&gt;"na"))&gt;1),AND($AQ477&lt;&gt;"",LOWER(TRIM($AQ477))&lt;&gt;"n/a",LOWER(TRIM($AQ477))&lt;&gt;"na",SUMPRODUCT(--(UPPER(TRIM($AQ$2:$AQ$518))=UPPER(TRIM($AQ477))),--(TRIM($AQ$2:$AQ$518)&lt;&gt;""),--(LOWER(TRIM($AQ$2:$AQ$518))&lt;&gt;"n/a"),--(LOWER(TRIM($AQ$2:$AQ$518))&lt;&gt;"na"))&gt;1)),"Yes","No"))</f>
        <v/>
      </c>
      <c r="F477">
        <f>IF(UPPER(TRIM($B477))&lt;&gt;"YES","", IF(OR(AND($V477&lt;&gt;"", LOWER(TRIM($V477))&lt;&gt;"n/a", LOWER(TRIM($V477))&lt;&gt;"na", SUMPRODUCT(--(UPPER(TRIM($V$2:$V$518))=UPPER(TRIM($V477))), --(UPPER(TRIM($B$2:$B$518))="YES"), --(UPPER(TRIM($G$2:$G$518)&amp;TRIM($I$2:$I$518)&amp;TRIM($J$2:$J$518))&lt;&gt;UPPER(TRIM($G477)&amp;TRIM($I477)&amp;TRIM($J477))))&gt;0), AND($W477&lt;&gt;"", LOWER(TRIM($W477))&lt;&gt;"n/a", LOWER(TRIM($W477))&lt;&gt;"na", SUMPRODUCT(--(UPPER(TRIM($W$2:$W$518))=UPPER(TRIM($W477))), --(UPPER(TRIM($B$2:$B$518))="YES"), --(UPPER(TRIM($G$2:$G$518)&amp;TRIM($I$2:$I$518)&amp;TRIM($J$2:$J$518))&lt;&gt;UPPER(TRIM($G477)&amp;TRIM($I477)&amp;TRIM($J477))))&gt;0), AND($X477&lt;&gt;"", LOWER(TRIM($X477))&lt;&gt;"n/a", LOWER(TRIM($X477))&lt;&gt;"na", SUMPRODUCT(--(UPPER(TRIM($X$2:$X$518))=UPPER(TRIM($X477))), --(UPPER(TRIM($B$2:$B$518))="YES"), --(UPPER(TRIM($G$2:$G$518)&amp;TRIM($I$2:$I$518)&amp;TRIM($J$2:$J$518))&lt;&gt;UPPER(TRIM($G477)&amp;TRIM($I477)&amp;TRIM($J477))))&gt;0), AND($Y477&lt;&gt;"", LOWER(TRIM($Y477))&lt;&gt;"n/a", LOWER(TRIM($Y477))&lt;&gt;"na", SUMPRODUCT(--(UPPER(SUBSTITUTE(SUBSTITUTE(TRIM($Y$2:$Y$518),":",""),"-",""))=UPPER(SUBSTITUTE(SUBSTITUTE(TRIM($Y477),":",""),"-",""))), --(UPPER(TRIM($B$2:$B$518))="YES"), --(UPPER(TRIM($G$2:$G$518)&amp;TRIM($I$2:$I$518)&amp;TRIM($J$2:$J$518))&lt;&gt;UPPER(TRIM($G477)&amp;TRIM($I477)&amp;TRIM($J477))))&gt;0), AND($AB477&lt;&gt;"", LOWER(TRIM($AB477))&lt;&gt;"n/a", LOWER(TRIM($AB477))&lt;&gt;"na", SUMPRODUCT(--(UPPER(TRIM($AB$2:$AB$518))=UPPER(TRIM($AB477))), --(UPPER(TRIM($B$2:$B$518))="YES"), --(UPPER(TRIM($G$2:$G$518)&amp;TRIM($I$2:$I$518)&amp;TRIM($J$2:$J$518))&lt;&gt;UPPER(TRIM($G477)&amp;TRIM($I477)&amp;TRIM($J477))))&gt;0), AND($AH477&lt;&gt;"", LOWER(TRIM($AH477))&lt;&gt;"n/a", LOWER(TRIM($AH477))&lt;&gt;"na", SUMPRODUCT(--(UPPER(SUBSTITUTE(SUBSTITUTE(TRIM($AH$2:$AH$518),":",""),"-",""))=UPPER(SUBSTITUTE(SUBSTITUTE(TRIM($AH477),":",""),"-",""))), --(UPPER(TRIM($B$2:$B$518))="YES"), --(UPPER(TRIM($G$2:$G$518)&amp;TRIM($I$2:$I$518)&amp;TRIM($J$2:$J$518))&lt;&gt;UPPER(TRIM($G477)&amp;TRIM($I477)&amp;TRIM($J477))))&gt;0), AND($AP477&lt;&gt;"", LOWER(TRIM($AP477))&lt;&gt;"n/a", LOWER(TRIM($AP477))&lt;&gt;"na", SUMPRODUCT(--(UPPER(TRIM($AP$2:$AP$518))=UPPER(TRIM($AP477))), --(UPPER(TRIM($B$2:$B$518))="YES"), --(UPPER(TRIM($G$2:$G$518)&amp;TRIM($I$2:$I$518)&amp;TRIM($J$2:$J$518))&lt;&gt;UPPER(TRIM($G477)&amp;TRIM($I477)&amp;TRIM($J477))))&gt;0), AND($AQ477&lt;&gt;"", LOWER(TRIM($AQ477))&lt;&gt;"n/a", LOWER(TRIM($AQ477))&lt;&gt;"na", SUMPRODUCT(--(UPPER(TRIM($AQ$2:$AQ$518))=UPPER(TRIM($AQ477))), --(UPPER(TRIM($B$2:$B$518))="YES"), --(UPPER(TRIM($G$2:$G$518)&amp;TRIM($I$2:$I$518)&amp;TRIM($J$2:$J$518))&lt;&gt;UPPER(TRIM($G477)&amp;TRIM($I477)&amp;TRIM($J477))))&gt;0)), "Yes", "No"))</f>
        <v/>
      </c>
      <c r="CD477">
        <f>IF($Y477="","",IF((IF(AND($BR477&lt;&gt;"Yes",$BR477&lt;&gt;"N/A"),"Power Cable, ","")&amp;IF(AND($BS477&lt;&gt;"Yes",$BS477&lt;&gt;"N/A"),"Battery, ","")&amp;IF(AND($AD477&lt;&gt;"Yes",$AD477&lt;&gt;"N/A"),"Firmware Download, ","")&amp;IF(AND(OR($AD477="Yes",$AD477="N/A"),$AE477&lt;&gt;"Yes",$AE477&lt;&gt;"N/A"),"Firmware Install, ","")&amp;IF(AND($CB477&lt;&gt;"Yes",$CB477&lt;&gt;"N/A"),"Device ID, ","")&amp;IF(AND($CC477&lt;&gt;"Yes",$CC477&lt;&gt;"N/A"),"Epic Beans Relay, ",""))="","",LEFT(IF(AND($BR477&lt;&gt;"Yes",$BR477&lt;&gt;"N/A"),"Power Cable, ","")&amp;IF(AND($BS477&lt;&gt;"Yes",$BS477&lt;&gt;"N/A"),"Battery, ","")&amp;IF(AND($AD477&lt;&gt;"Yes",$AD477&lt;&gt;"N/A"),"Firmware Download, ","")&amp;IF(AND(OR($AD477="Yes",$AD477="N/A"),$AE477&lt;&gt;"Yes",$AE477&lt;&gt;"N/A"),"Firmware Install, ","")&amp;IF(AND($CB477&lt;&gt;"Yes",$CB477&lt;&gt;"N/A"),"Device ID, ","")&amp;IF(AND($CC477&lt;&gt;"Yes",$CC477&lt;&gt;"N/A"),"Epic Beans Relay, ",""),LEN(IF(AND($BR477&lt;&gt;"Yes",$BR477&lt;&gt;"N/A"),"Power Cable, ","")&amp;IF(AND($BS477&lt;&gt;"Yes",$BS477&lt;&gt;"N/A"),"Battery, ","")&amp;IF(AND($AD477&lt;&gt;"Yes",$AD477&lt;&gt;"N/A"),"Firmware Download, ","")&amp;IF(AND(OR($AD477="Yes",$AD477="N/A"),$AE477&lt;&gt;"Yes",$AE477&lt;&gt;"N/A"),"Firmware Install, ","")&amp;IF(AND($CB477&lt;&gt;"Yes",$CB477&lt;&gt;"N/A"),"Device ID, ","")&amp;IF(AND($CC477&lt;&gt;"Yes",$CC477&lt;&gt;"N/A"),"Epic Beans Relay, ",""))-2)))</f>
        <v/>
      </c>
      <c r="CE477">
        <f>IF($Y477="","",IF($CD477="","Yes","Blocked"))</f>
        <v/>
      </c>
      <c r="CP477">
        <f>IF($CO477="","",IFERROR(VLOOKUP($CO477,'01_Warehouse_Ledger'!$A:$N,4,FALSE),""))</f>
        <v/>
      </c>
      <c r="CQ477">
        <f>IF($CO477="","",IFERROR(VLOOKUP($CO477,'01_Warehouse_Ledger'!$A:$N,5,FALSE),""))</f>
        <v/>
      </c>
      <c r="CR477">
        <f>IF($CO477="","",IFERROR(VLOOKUP($CO477,'01_Warehouse_Ledger'!$A:$N,13,FALSE),""))</f>
        <v/>
      </c>
      <c r="CW477">
        <f>IF($S477="","",IF(UPPER(TRIM($S477))&lt;&gt;"PASS","",IF(LEN(TRIM($BY477))&gt;0,"NOTES_PRESENT",IF(LEN(TRIM($T477))=0,"SET_NA",IF(OR(LOWER(TRIM($T477))="na",LOWER(TRIM($T477))="n/a"),"OK","MANUAL_OVERRIDE")))))</f>
        <v/>
      </c>
    </row>
    <row r="478">
      <c r="B478" t="inlineStr">
        <is>
          <t>No</t>
        </is>
      </c>
      <c r="C478" t="inlineStr">
        <is>
          <t>No</t>
        </is>
      </c>
      <c r="D478">
        <f>IF($B478&lt;&gt;"Yes","",IF($C478="No","Yes",IF($C478="Yes","No","")))</f>
        <v/>
      </c>
      <c r="E478">
        <f>IF($A478="","",IF(OR(AND($V478&lt;&gt;"",LOWER(TRIM($V478))&lt;&gt;"n/a",LOWER(TRIM($V478))&lt;&gt;"na",SUMPRODUCT(--(UPPER(TRIM($V$2:$V$518))=UPPER(TRIM($V478))),--(TRIM($V$2:$V$518)&lt;&gt;""),--(LOWER(TRIM($V$2:$V$518))&lt;&gt;"n/a"),--(LOWER(TRIM($V$2:$V$518))&lt;&gt;"na"))&gt;1),AND($W478&lt;&gt;"",LOWER(TRIM($W478))&lt;&gt;"n/a",LOWER(TRIM($W478))&lt;&gt;"na",SUMPRODUCT(--(UPPER(TRIM($W$2:$W$518))=UPPER(TRIM($W478))),--(TRIM($W$2:$W$518)&lt;&gt;""),--(LOWER(TRIM($W$2:$W$518))&lt;&gt;"n/a"),--(LOWER(TRIM($W$2:$W$518))&lt;&gt;"na"))&gt;1),AND($X478&lt;&gt;"",LOWER(TRIM($X478))&lt;&gt;"n/a",LOWER(TRIM($X478))&lt;&gt;"na",SUMPRODUCT(--(UPPER(TRIM($X$2:$X$518))=UPPER(TRIM($X478))),--(TRIM($X$2:$X$518)&lt;&gt;""),--(LOWER(TRIM($X$2:$X$518))&lt;&gt;"n/a"),--(LOWER(TRIM($X$2:$X$518))&lt;&gt;"na"))&gt;1),AND($Y478&lt;&gt;"",LOWER(TRIM($Y478))&lt;&gt;"n/a",LOWER(TRIM($Y478))&lt;&gt;"na",SUMPRODUCT(--(UPPER(SUBSTITUTE(SUBSTITUTE(TRIM($Y$2:$Y$518),":",""),"-",""))=UPPER(SUBSTITUTE(SUBSTITUTE(TRIM($Y478),":",""),"-",""))),--(TRIM($Y$2:$Y$518)&lt;&gt;""),--(LOWER(TRIM($Y$2:$Y$518))&lt;&gt;"n/a"),--(LOWER(TRIM($Y$2:$Y$518))&lt;&gt;"na"))&gt;1),AND($AB478&lt;&gt;"",LOWER(TRIM($AB478))&lt;&gt;"n/a",LOWER(TRIM($AB478))&lt;&gt;"na",SUMPRODUCT(--(UPPER(TRIM($AB$2:$AB$518))=UPPER(TRIM($AB478))),--(TRIM($AB$2:$AB$518)&lt;&gt;""),--(LOWER(TRIM($AB$2:$AB$518))&lt;&gt;"n/a"),--(LOWER(TRIM($AB$2:$AB$518))&lt;&gt;"na"))&gt;1),AND($AH478&lt;&gt;"",LOWER(TRIM($AH478))&lt;&gt;"n/a",LOWER(TRIM($AH478))&lt;&gt;"na",SUMPRODUCT(--(UPPER(SUBSTITUTE(SUBSTITUTE(TRIM($AH$2:$AH$518),":",""),"-",""))=UPPER(SUBSTITUTE(SUBSTITUTE(TRIM($AH478),":",""),"-",""))),--(TRIM($AH$2:$AH$518)&lt;&gt;""),--(LOWER(TRIM($AH$2:$AH$518))&lt;&gt;"n/a"),--(LOWER(TRIM($AH$2:$AH$518))&lt;&gt;"na"))&gt;1),AND($AP478&lt;&gt;"",LOWER(TRIM($AP478))&lt;&gt;"n/a",LOWER(TRIM($AP478))&lt;&gt;"na",SUMPRODUCT(--(UPPER(TRIM($AP$2:$AP$518))=UPPER(TRIM($AP478))),--(TRIM($AP$2:$AP$518)&lt;&gt;""),--(LOWER(TRIM($AP$2:$AP$518))&lt;&gt;"n/a"),--(LOWER(TRIM($AP$2:$AP$518))&lt;&gt;"na"))&gt;1),AND($AQ478&lt;&gt;"",LOWER(TRIM($AQ478))&lt;&gt;"n/a",LOWER(TRIM($AQ478))&lt;&gt;"na",SUMPRODUCT(--(UPPER(TRIM($AQ$2:$AQ$518))=UPPER(TRIM($AQ478))),--(TRIM($AQ$2:$AQ$518)&lt;&gt;""),--(LOWER(TRIM($AQ$2:$AQ$518))&lt;&gt;"n/a"),--(LOWER(TRIM($AQ$2:$AQ$518))&lt;&gt;"na"))&gt;1)),"Yes","No"))</f>
        <v/>
      </c>
      <c r="F478">
        <f>IF(UPPER(TRIM($B478))&lt;&gt;"YES","", IF(OR(AND($V478&lt;&gt;"", LOWER(TRIM($V478))&lt;&gt;"n/a", LOWER(TRIM($V478))&lt;&gt;"na", SUMPRODUCT(--(UPPER(TRIM($V$2:$V$518))=UPPER(TRIM($V478))), --(UPPER(TRIM($B$2:$B$518))="YES"), --(UPPER(TRIM($G$2:$G$518)&amp;TRIM($I$2:$I$518)&amp;TRIM($J$2:$J$518))&lt;&gt;UPPER(TRIM($G478)&amp;TRIM($I478)&amp;TRIM($J478))))&gt;0), AND($W478&lt;&gt;"", LOWER(TRIM($W478))&lt;&gt;"n/a", LOWER(TRIM($W478))&lt;&gt;"na", SUMPRODUCT(--(UPPER(TRIM($W$2:$W$518))=UPPER(TRIM($W478))), --(UPPER(TRIM($B$2:$B$518))="YES"), --(UPPER(TRIM($G$2:$G$518)&amp;TRIM($I$2:$I$518)&amp;TRIM($J$2:$J$518))&lt;&gt;UPPER(TRIM($G478)&amp;TRIM($I478)&amp;TRIM($J478))))&gt;0), AND($X478&lt;&gt;"", LOWER(TRIM($X478))&lt;&gt;"n/a", LOWER(TRIM($X478))&lt;&gt;"na", SUMPRODUCT(--(UPPER(TRIM($X$2:$X$518))=UPPER(TRIM($X478))), --(UPPER(TRIM($B$2:$B$518))="YES"), --(UPPER(TRIM($G$2:$G$518)&amp;TRIM($I$2:$I$518)&amp;TRIM($J$2:$J$518))&lt;&gt;UPPER(TRIM($G478)&amp;TRIM($I478)&amp;TRIM($J478))))&gt;0), AND($Y478&lt;&gt;"", LOWER(TRIM($Y478))&lt;&gt;"n/a", LOWER(TRIM($Y478))&lt;&gt;"na", SUMPRODUCT(--(UPPER(SUBSTITUTE(SUBSTITUTE(TRIM($Y$2:$Y$518),":",""),"-",""))=UPPER(SUBSTITUTE(SUBSTITUTE(TRIM($Y478),":",""),"-",""))), --(UPPER(TRIM($B$2:$B$518))="YES"), --(UPPER(TRIM($G$2:$G$518)&amp;TRIM($I$2:$I$518)&amp;TRIM($J$2:$J$518))&lt;&gt;UPPER(TRIM($G478)&amp;TRIM($I478)&amp;TRIM($J478))))&gt;0), AND($AB478&lt;&gt;"", LOWER(TRIM($AB478))&lt;&gt;"n/a", LOWER(TRIM($AB478))&lt;&gt;"na", SUMPRODUCT(--(UPPER(TRIM($AB$2:$AB$518))=UPPER(TRIM($AB478))), --(UPPER(TRIM($B$2:$B$518))="YES"), --(UPPER(TRIM($G$2:$G$518)&amp;TRIM($I$2:$I$518)&amp;TRIM($J$2:$J$518))&lt;&gt;UPPER(TRIM($G478)&amp;TRIM($I478)&amp;TRIM($J478))))&gt;0), AND($AH478&lt;&gt;"", LOWER(TRIM($AH478))&lt;&gt;"n/a", LOWER(TRIM($AH478))&lt;&gt;"na", SUMPRODUCT(--(UPPER(SUBSTITUTE(SUBSTITUTE(TRIM($AH$2:$AH$518),":",""),"-",""))=UPPER(SUBSTITUTE(SUBSTITUTE(TRIM($AH478),":",""),"-",""))), --(UPPER(TRIM($B$2:$B$518))="YES"), --(UPPER(TRIM($G$2:$G$518)&amp;TRIM($I$2:$I$518)&amp;TRIM($J$2:$J$518))&lt;&gt;UPPER(TRIM($G478)&amp;TRIM($I478)&amp;TRIM($J478))))&gt;0), AND($AP478&lt;&gt;"", LOWER(TRIM($AP478))&lt;&gt;"n/a", LOWER(TRIM($AP478))&lt;&gt;"na", SUMPRODUCT(--(UPPER(TRIM($AP$2:$AP$518))=UPPER(TRIM($AP478))), --(UPPER(TRIM($B$2:$B$518))="YES"), --(UPPER(TRIM($G$2:$G$518)&amp;TRIM($I$2:$I$518)&amp;TRIM($J$2:$J$518))&lt;&gt;UPPER(TRIM($G478)&amp;TRIM($I478)&amp;TRIM($J478))))&gt;0), AND($AQ478&lt;&gt;"", LOWER(TRIM($AQ478))&lt;&gt;"n/a", LOWER(TRIM($AQ478))&lt;&gt;"na", SUMPRODUCT(--(UPPER(TRIM($AQ$2:$AQ$518))=UPPER(TRIM($AQ478))), --(UPPER(TRIM($B$2:$B$518))="YES"), --(UPPER(TRIM($G$2:$G$518)&amp;TRIM($I$2:$I$518)&amp;TRIM($J$2:$J$518))&lt;&gt;UPPER(TRIM($G478)&amp;TRIM($I478)&amp;TRIM($J478))))&gt;0)), "Yes", "No"))</f>
        <v/>
      </c>
      <c r="CD478">
        <f>IF($Y478="","",IF((IF(AND($BR478&lt;&gt;"Yes",$BR478&lt;&gt;"N/A"),"Power Cable, ","")&amp;IF(AND($BS478&lt;&gt;"Yes",$BS478&lt;&gt;"N/A"),"Battery, ","")&amp;IF(AND($AD478&lt;&gt;"Yes",$AD478&lt;&gt;"N/A"),"Firmware Download, ","")&amp;IF(AND(OR($AD478="Yes",$AD478="N/A"),$AE478&lt;&gt;"Yes",$AE478&lt;&gt;"N/A"),"Firmware Install, ","")&amp;IF(AND($CB478&lt;&gt;"Yes",$CB478&lt;&gt;"N/A"),"Device ID, ","")&amp;IF(AND($CC478&lt;&gt;"Yes",$CC478&lt;&gt;"N/A"),"Epic Beans Relay, ",""))="","",LEFT(IF(AND($BR478&lt;&gt;"Yes",$BR478&lt;&gt;"N/A"),"Power Cable, ","")&amp;IF(AND($BS478&lt;&gt;"Yes",$BS478&lt;&gt;"N/A"),"Battery, ","")&amp;IF(AND($AD478&lt;&gt;"Yes",$AD478&lt;&gt;"N/A"),"Firmware Download, ","")&amp;IF(AND(OR($AD478="Yes",$AD478="N/A"),$AE478&lt;&gt;"Yes",$AE478&lt;&gt;"N/A"),"Firmware Install, ","")&amp;IF(AND($CB478&lt;&gt;"Yes",$CB478&lt;&gt;"N/A"),"Device ID, ","")&amp;IF(AND($CC478&lt;&gt;"Yes",$CC478&lt;&gt;"N/A"),"Epic Beans Relay, ",""),LEN(IF(AND($BR478&lt;&gt;"Yes",$BR478&lt;&gt;"N/A"),"Power Cable, ","")&amp;IF(AND($BS478&lt;&gt;"Yes",$BS478&lt;&gt;"N/A"),"Battery, ","")&amp;IF(AND($AD478&lt;&gt;"Yes",$AD478&lt;&gt;"N/A"),"Firmware Download, ","")&amp;IF(AND(OR($AD478="Yes",$AD478="N/A"),$AE478&lt;&gt;"Yes",$AE478&lt;&gt;"N/A"),"Firmware Install, ","")&amp;IF(AND($CB478&lt;&gt;"Yes",$CB478&lt;&gt;"N/A"),"Device ID, ","")&amp;IF(AND($CC478&lt;&gt;"Yes",$CC478&lt;&gt;"N/A"),"Epic Beans Relay, ",""))-2)))</f>
        <v/>
      </c>
      <c r="CE478">
        <f>IF($Y478="","",IF($CD478="","Yes","Blocked"))</f>
        <v/>
      </c>
      <c r="CP478">
        <f>IF($CO478="","",IFERROR(VLOOKUP($CO478,'01_Warehouse_Ledger'!$A:$N,4,FALSE),""))</f>
        <v/>
      </c>
      <c r="CQ478">
        <f>IF($CO478="","",IFERROR(VLOOKUP($CO478,'01_Warehouse_Ledger'!$A:$N,5,FALSE),""))</f>
        <v/>
      </c>
      <c r="CR478">
        <f>IF($CO478="","",IFERROR(VLOOKUP($CO478,'01_Warehouse_Ledger'!$A:$N,13,FALSE),""))</f>
        <v/>
      </c>
      <c r="CW478">
        <f>IF($S478="","",IF(UPPER(TRIM($S478))&lt;&gt;"PASS","",IF(LEN(TRIM($BY478))&gt;0,"NOTES_PRESENT",IF(LEN(TRIM($T478))=0,"SET_NA",IF(OR(LOWER(TRIM($T478))="na",LOWER(TRIM($T478))="n/a"),"OK","MANUAL_OVERRIDE")))))</f>
        <v/>
      </c>
    </row>
    <row r="479">
      <c r="B479" t="inlineStr">
        <is>
          <t>No</t>
        </is>
      </c>
      <c r="C479" t="inlineStr">
        <is>
          <t>No</t>
        </is>
      </c>
      <c r="D479">
        <f>IF($B479&lt;&gt;"Yes","",IF($C479="No","Yes",IF($C479="Yes","No","")))</f>
        <v/>
      </c>
      <c r="E479">
        <f>IF($A479="","",IF(OR(AND($V479&lt;&gt;"",LOWER(TRIM($V479))&lt;&gt;"n/a",LOWER(TRIM($V479))&lt;&gt;"na",SUMPRODUCT(--(UPPER(TRIM($V$2:$V$518))=UPPER(TRIM($V479))),--(TRIM($V$2:$V$518)&lt;&gt;""),--(LOWER(TRIM($V$2:$V$518))&lt;&gt;"n/a"),--(LOWER(TRIM($V$2:$V$518))&lt;&gt;"na"))&gt;1),AND($W479&lt;&gt;"",LOWER(TRIM($W479))&lt;&gt;"n/a",LOWER(TRIM($W479))&lt;&gt;"na",SUMPRODUCT(--(UPPER(TRIM($W$2:$W$518))=UPPER(TRIM($W479))),--(TRIM($W$2:$W$518)&lt;&gt;""),--(LOWER(TRIM($W$2:$W$518))&lt;&gt;"n/a"),--(LOWER(TRIM($W$2:$W$518))&lt;&gt;"na"))&gt;1),AND($X479&lt;&gt;"",LOWER(TRIM($X479))&lt;&gt;"n/a",LOWER(TRIM($X479))&lt;&gt;"na",SUMPRODUCT(--(UPPER(TRIM($X$2:$X$518))=UPPER(TRIM($X479))),--(TRIM($X$2:$X$518)&lt;&gt;""),--(LOWER(TRIM($X$2:$X$518))&lt;&gt;"n/a"),--(LOWER(TRIM($X$2:$X$518))&lt;&gt;"na"))&gt;1),AND($Y479&lt;&gt;"",LOWER(TRIM($Y479))&lt;&gt;"n/a",LOWER(TRIM($Y479))&lt;&gt;"na",SUMPRODUCT(--(UPPER(SUBSTITUTE(SUBSTITUTE(TRIM($Y$2:$Y$518),":",""),"-",""))=UPPER(SUBSTITUTE(SUBSTITUTE(TRIM($Y479),":",""),"-",""))),--(TRIM($Y$2:$Y$518)&lt;&gt;""),--(LOWER(TRIM($Y$2:$Y$518))&lt;&gt;"n/a"),--(LOWER(TRIM($Y$2:$Y$518))&lt;&gt;"na"))&gt;1),AND($AB479&lt;&gt;"",LOWER(TRIM($AB479))&lt;&gt;"n/a",LOWER(TRIM($AB479))&lt;&gt;"na",SUMPRODUCT(--(UPPER(TRIM($AB$2:$AB$518))=UPPER(TRIM($AB479))),--(TRIM($AB$2:$AB$518)&lt;&gt;""),--(LOWER(TRIM($AB$2:$AB$518))&lt;&gt;"n/a"),--(LOWER(TRIM($AB$2:$AB$518))&lt;&gt;"na"))&gt;1),AND($AH479&lt;&gt;"",LOWER(TRIM($AH479))&lt;&gt;"n/a",LOWER(TRIM($AH479))&lt;&gt;"na",SUMPRODUCT(--(UPPER(SUBSTITUTE(SUBSTITUTE(TRIM($AH$2:$AH$518),":",""),"-",""))=UPPER(SUBSTITUTE(SUBSTITUTE(TRIM($AH479),":",""),"-",""))),--(TRIM($AH$2:$AH$518)&lt;&gt;""),--(LOWER(TRIM($AH$2:$AH$518))&lt;&gt;"n/a"),--(LOWER(TRIM($AH$2:$AH$518))&lt;&gt;"na"))&gt;1),AND($AP479&lt;&gt;"",LOWER(TRIM($AP479))&lt;&gt;"n/a",LOWER(TRIM($AP479))&lt;&gt;"na",SUMPRODUCT(--(UPPER(TRIM($AP$2:$AP$518))=UPPER(TRIM($AP479))),--(TRIM($AP$2:$AP$518)&lt;&gt;""),--(LOWER(TRIM($AP$2:$AP$518))&lt;&gt;"n/a"),--(LOWER(TRIM($AP$2:$AP$518))&lt;&gt;"na"))&gt;1),AND($AQ479&lt;&gt;"",LOWER(TRIM($AQ479))&lt;&gt;"n/a",LOWER(TRIM($AQ479))&lt;&gt;"na",SUMPRODUCT(--(UPPER(TRIM($AQ$2:$AQ$518))=UPPER(TRIM($AQ479))),--(TRIM($AQ$2:$AQ$518)&lt;&gt;""),--(LOWER(TRIM($AQ$2:$AQ$518))&lt;&gt;"n/a"),--(LOWER(TRIM($AQ$2:$AQ$518))&lt;&gt;"na"))&gt;1)),"Yes","No"))</f>
        <v/>
      </c>
      <c r="F479">
        <f>IF(UPPER(TRIM($B479))&lt;&gt;"YES","", IF(OR(AND($V479&lt;&gt;"", LOWER(TRIM($V479))&lt;&gt;"n/a", LOWER(TRIM($V479))&lt;&gt;"na", SUMPRODUCT(--(UPPER(TRIM($V$2:$V$518))=UPPER(TRIM($V479))), --(UPPER(TRIM($B$2:$B$518))="YES"), --(UPPER(TRIM($G$2:$G$518)&amp;TRIM($I$2:$I$518)&amp;TRIM($J$2:$J$518))&lt;&gt;UPPER(TRIM($G479)&amp;TRIM($I479)&amp;TRIM($J479))))&gt;0), AND($W479&lt;&gt;"", LOWER(TRIM($W479))&lt;&gt;"n/a", LOWER(TRIM($W479))&lt;&gt;"na", SUMPRODUCT(--(UPPER(TRIM($W$2:$W$518))=UPPER(TRIM($W479))), --(UPPER(TRIM($B$2:$B$518))="YES"), --(UPPER(TRIM($G$2:$G$518)&amp;TRIM($I$2:$I$518)&amp;TRIM($J$2:$J$518))&lt;&gt;UPPER(TRIM($G479)&amp;TRIM($I479)&amp;TRIM($J479))))&gt;0), AND($X479&lt;&gt;"", LOWER(TRIM($X479))&lt;&gt;"n/a", LOWER(TRIM($X479))&lt;&gt;"na", SUMPRODUCT(--(UPPER(TRIM($X$2:$X$518))=UPPER(TRIM($X479))), --(UPPER(TRIM($B$2:$B$518))="YES"), --(UPPER(TRIM($G$2:$G$518)&amp;TRIM($I$2:$I$518)&amp;TRIM($J$2:$J$518))&lt;&gt;UPPER(TRIM($G479)&amp;TRIM($I479)&amp;TRIM($J479))))&gt;0), AND($Y479&lt;&gt;"", LOWER(TRIM($Y479))&lt;&gt;"n/a", LOWER(TRIM($Y479))&lt;&gt;"na", SUMPRODUCT(--(UPPER(SUBSTITUTE(SUBSTITUTE(TRIM($Y$2:$Y$518),":",""),"-",""))=UPPER(SUBSTITUTE(SUBSTITUTE(TRIM($Y479),":",""),"-",""))), --(UPPER(TRIM($B$2:$B$518))="YES"), --(UPPER(TRIM($G$2:$G$518)&amp;TRIM($I$2:$I$518)&amp;TRIM($J$2:$J$518))&lt;&gt;UPPER(TRIM($G479)&amp;TRIM($I479)&amp;TRIM($J479))))&gt;0), AND($AB479&lt;&gt;"", LOWER(TRIM($AB479))&lt;&gt;"n/a", LOWER(TRIM($AB479))&lt;&gt;"na", SUMPRODUCT(--(UPPER(TRIM($AB$2:$AB$518))=UPPER(TRIM($AB479))), --(UPPER(TRIM($B$2:$B$518))="YES"), --(UPPER(TRIM($G$2:$G$518)&amp;TRIM($I$2:$I$518)&amp;TRIM($J$2:$J$518))&lt;&gt;UPPER(TRIM($G479)&amp;TRIM($I479)&amp;TRIM($J479))))&gt;0), AND($AH479&lt;&gt;"", LOWER(TRIM($AH479))&lt;&gt;"n/a", LOWER(TRIM($AH479))&lt;&gt;"na", SUMPRODUCT(--(UPPER(SUBSTITUTE(SUBSTITUTE(TRIM($AH$2:$AH$518),":",""),"-",""))=UPPER(SUBSTITUTE(SUBSTITUTE(TRIM($AH479),":",""),"-",""))), --(UPPER(TRIM($B$2:$B$518))="YES"), --(UPPER(TRIM($G$2:$G$518)&amp;TRIM($I$2:$I$518)&amp;TRIM($J$2:$J$518))&lt;&gt;UPPER(TRIM($G479)&amp;TRIM($I479)&amp;TRIM($J479))))&gt;0), AND($AP479&lt;&gt;"", LOWER(TRIM($AP479))&lt;&gt;"n/a", LOWER(TRIM($AP479))&lt;&gt;"na", SUMPRODUCT(--(UPPER(TRIM($AP$2:$AP$518))=UPPER(TRIM($AP479))), --(UPPER(TRIM($B$2:$B$518))="YES"), --(UPPER(TRIM($G$2:$G$518)&amp;TRIM($I$2:$I$518)&amp;TRIM($J$2:$J$518))&lt;&gt;UPPER(TRIM($G479)&amp;TRIM($I479)&amp;TRIM($J479))))&gt;0), AND($AQ479&lt;&gt;"", LOWER(TRIM($AQ479))&lt;&gt;"n/a", LOWER(TRIM($AQ479))&lt;&gt;"na", SUMPRODUCT(--(UPPER(TRIM($AQ$2:$AQ$518))=UPPER(TRIM($AQ479))), --(UPPER(TRIM($B$2:$B$518))="YES"), --(UPPER(TRIM($G$2:$G$518)&amp;TRIM($I$2:$I$518)&amp;TRIM($J$2:$J$518))&lt;&gt;UPPER(TRIM($G479)&amp;TRIM($I479)&amp;TRIM($J479))))&gt;0)), "Yes", "No"))</f>
        <v/>
      </c>
      <c r="CD479">
        <f>IF($Y479="","",IF((IF(AND($BR479&lt;&gt;"Yes",$BR479&lt;&gt;"N/A"),"Power Cable, ","")&amp;IF(AND($BS479&lt;&gt;"Yes",$BS479&lt;&gt;"N/A"),"Battery, ","")&amp;IF(AND($AD479&lt;&gt;"Yes",$AD479&lt;&gt;"N/A"),"Firmware Download, ","")&amp;IF(AND(OR($AD479="Yes",$AD479="N/A"),$AE479&lt;&gt;"Yes",$AE479&lt;&gt;"N/A"),"Firmware Install, ","")&amp;IF(AND($CB479&lt;&gt;"Yes",$CB479&lt;&gt;"N/A"),"Device ID, ","")&amp;IF(AND($CC479&lt;&gt;"Yes",$CC479&lt;&gt;"N/A"),"Epic Beans Relay, ",""))="","",LEFT(IF(AND($BR479&lt;&gt;"Yes",$BR479&lt;&gt;"N/A"),"Power Cable, ","")&amp;IF(AND($BS479&lt;&gt;"Yes",$BS479&lt;&gt;"N/A"),"Battery, ","")&amp;IF(AND($AD479&lt;&gt;"Yes",$AD479&lt;&gt;"N/A"),"Firmware Download, ","")&amp;IF(AND(OR($AD479="Yes",$AD479="N/A"),$AE479&lt;&gt;"Yes",$AE479&lt;&gt;"N/A"),"Firmware Install, ","")&amp;IF(AND($CB479&lt;&gt;"Yes",$CB479&lt;&gt;"N/A"),"Device ID, ","")&amp;IF(AND($CC479&lt;&gt;"Yes",$CC479&lt;&gt;"N/A"),"Epic Beans Relay, ",""),LEN(IF(AND($BR479&lt;&gt;"Yes",$BR479&lt;&gt;"N/A"),"Power Cable, ","")&amp;IF(AND($BS479&lt;&gt;"Yes",$BS479&lt;&gt;"N/A"),"Battery, ","")&amp;IF(AND($AD479&lt;&gt;"Yes",$AD479&lt;&gt;"N/A"),"Firmware Download, ","")&amp;IF(AND(OR($AD479="Yes",$AD479="N/A"),$AE479&lt;&gt;"Yes",$AE479&lt;&gt;"N/A"),"Firmware Install, ","")&amp;IF(AND($CB479&lt;&gt;"Yes",$CB479&lt;&gt;"N/A"),"Device ID, ","")&amp;IF(AND($CC479&lt;&gt;"Yes",$CC479&lt;&gt;"N/A"),"Epic Beans Relay, ",""))-2)))</f>
        <v/>
      </c>
      <c r="CE479">
        <f>IF($Y479="","",IF($CD479="","Yes","Blocked"))</f>
        <v/>
      </c>
      <c r="CP479">
        <f>IF($CO479="","",IFERROR(VLOOKUP($CO479,'01_Warehouse_Ledger'!$A:$N,4,FALSE),""))</f>
        <v/>
      </c>
      <c r="CQ479">
        <f>IF($CO479="","",IFERROR(VLOOKUP($CO479,'01_Warehouse_Ledger'!$A:$N,5,FALSE),""))</f>
        <v/>
      </c>
      <c r="CR479">
        <f>IF($CO479="","",IFERROR(VLOOKUP($CO479,'01_Warehouse_Ledger'!$A:$N,13,FALSE),""))</f>
        <v/>
      </c>
      <c r="CW479">
        <f>IF($S479="","",IF(UPPER(TRIM($S479))&lt;&gt;"PASS","",IF(LEN(TRIM($BY479))&gt;0,"NOTES_PRESENT",IF(LEN(TRIM($T479))=0,"SET_NA",IF(OR(LOWER(TRIM($T479))="na",LOWER(TRIM($T479))="n/a"),"OK","MANUAL_OVERRIDE")))))</f>
        <v/>
      </c>
    </row>
    <row r="480">
      <c r="B480" t="inlineStr">
        <is>
          <t>No</t>
        </is>
      </c>
      <c r="C480" t="inlineStr">
        <is>
          <t>No</t>
        </is>
      </c>
      <c r="D480">
        <f>IF($B480&lt;&gt;"Yes","",IF($C480="No","Yes",IF($C480="Yes","No","")))</f>
        <v/>
      </c>
      <c r="E480">
        <f>IF($A480="","",IF(OR(AND($V480&lt;&gt;"",LOWER(TRIM($V480))&lt;&gt;"n/a",LOWER(TRIM($V480))&lt;&gt;"na",SUMPRODUCT(--(UPPER(TRIM($V$2:$V$518))=UPPER(TRIM($V480))),--(TRIM($V$2:$V$518)&lt;&gt;""),--(LOWER(TRIM($V$2:$V$518))&lt;&gt;"n/a"),--(LOWER(TRIM($V$2:$V$518))&lt;&gt;"na"))&gt;1),AND($W480&lt;&gt;"",LOWER(TRIM($W480))&lt;&gt;"n/a",LOWER(TRIM($W480))&lt;&gt;"na",SUMPRODUCT(--(UPPER(TRIM($W$2:$W$518))=UPPER(TRIM($W480))),--(TRIM($W$2:$W$518)&lt;&gt;""),--(LOWER(TRIM($W$2:$W$518))&lt;&gt;"n/a"),--(LOWER(TRIM($W$2:$W$518))&lt;&gt;"na"))&gt;1),AND($X480&lt;&gt;"",LOWER(TRIM($X480))&lt;&gt;"n/a",LOWER(TRIM($X480))&lt;&gt;"na",SUMPRODUCT(--(UPPER(TRIM($X$2:$X$518))=UPPER(TRIM($X480))),--(TRIM($X$2:$X$518)&lt;&gt;""),--(LOWER(TRIM($X$2:$X$518))&lt;&gt;"n/a"),--(LOWER(TRIM($X$2:$X$518))&lt;&gt;"na"))&gt;1),AND($Y480&lt;&gt;"",LOWER(TRIM($Y480))&lt;&gt;"n/a",LOWER(TRIM($Y480))&lt;&gt;"na",SUMPRODUCT(--(UPPER(SUBSTITUTE(SUBSTITUTE(TRIM($Y$2:$Y$518),":",""),"-",""))=UPPER(SUBSTITUTE(SUBSTITUTE(TRIM($Y480),":",""),"-",""))),--(TRIM($Y$2:$Y$518)&lt;&gt;""),--(LOWER(TRIM($Y$2:$Y$518))&lt;&gt;"n/a"),--(LOWER(TRIM($Y$2:$Y$518))&lt;&gt;"na"))&gt;1),AND($AB480&lt;&gt;"",LOWER(TRIM($AB480))&lt;&gt;"n/a",LOWER(TRIM($AB480))&lt;&gt;"na",SUMPRODUCT(--(UPPER(TRIM($AB$2:$AB$518))=UPPER(TRIM($AB480))),--(TRIM($AB$2:$AB$518)&lt;&gt;""),--(LOWER(TRIM($AB$2:$AB$518))&lt;&gt;"n/a"),--(LOWER(TRIM($AB$2:$AB$518))&lt;&gt;"na"))&gt;1),AND($AH480&lt;&gt;"",LOWER(TRIM($AH480))&lt;&gt;"n/a",LOWER(TRIM($AH480))&lt;&gt;"na",SUMPRODUCT(--(UPPER(SUBSTITUTE(SUBSTITUTE(TRIM($AH$2:$AH$518),":",""),"-",""))=UPPER(SUBSTITUTE(SUBSTITUTE(TRIM($AH480),":",""),"-",""))),--(TRIM($AH$2:$AH$518)&lt;&gt;""),--(LOWER(TRIM($AH$2:$AH$518))&lt;&gt;"n/a"),--(LOWER(TRIM($AH$2:$AH$518))&lt;&gt;"na"))&gt;1),AND($AP480&lt;&gt;"",LOWER(TRIM($AP480))&lt;&gt;"n/a",LOWER(TRIM($AP480))&lt;&gt;"na",SUMPRODUCT(--(UPPER(TRIM($AP$2:$AP$518))=UPPER(TRIM($AP480))),--(TRIM($AP$2:$AP$518)&lt;&gt;""),--(LOWER(TRIM($AP$2:$AP$518))&lt;&gt;"n/a"),--(LOWER(TRIM($AP$2:$AP$518))&lt;&gt;"na"))&gt;1),AND($AQ480&lt;&gt;"",LOWER(TRIM($AQ480))&lt;&gt;"n/a",LOWER(TRIM($AQ480))&lt;&gt;"na",SUMPRODUCT(--(UPPER(TRIM($AQ$2:$AQ$518))=UPPER(TRIM($AQ480))),--(TRIM($AQ$2:$AQ$518)&lt;&gt;""),--(LOWER(TRIM($AQ$2:$AQ$518))&lt;&gt;"n/a"),--(LOWER(TRIM($AQ$2:$AQ$518))&lt;&gt;"na"))&gt;1)),"Yes","No"))</f>
        <v/>
      </c>
      <c r="F480">
        <f>IF(UPPER(TRIM($B480))&lt;&gt;"YES","", IF(OR(AND($V480&lt;&gt;"", LOWER(TRIM($V480))&lt;&gt;"n/a", LOWER(TRIM($V480))&lt;&gt;"na", SUMPRODUCT(--(UPPER(TRIM($V$2:$V$518))=UPPER(TRIM($V480))), --(UPPER(TRIM($B$2:$B$518))="YES"), --(UPPER(TRIM($G$2:$G$518)&amp;TRIM($I$2:$I$518)&amp;TRIM($J$2:$J$518))&lt;&gt;UPPER(TRIM($G480)&amp;TRIM($I480)&amp;TRIM($J480))))&gt;0), AND($W480&lt;&gt;"", LOWER(TRIM($W480))&lt;&gt;"n/a", LOWER(TRIM($W480))&lt;&gt;"na", SUMPRODUCT(--(UPPER(TRIM($W$2:$W$518))=UPPER(TRIM($W480))), --(UPPER(TRIM($B$2:$B$518))="YES"), --(UPPER(TRIM($G$2:$G$518)&amp;TRIM($I$2:$I$518)&amp;TRIM($J$2:$J$518))&lt;&gt;UPPER(TRIM($G480)&amp;TRIM($I480)&amp;TRIM($J480))))&gt;0), AND($X480&lt;&gt;"", LOWER(TRIM($X480))&lt;&gt;"n/a", LOWER(TRIM($X480))&lt;&gt;"na", SUMPRODUCT(--(UPPER(TRIM($X$2:$X$518))=UPPER(TRIM($X480))), --(UPPER(TRIM($B$2:$B$518))="YES"), --(UPPER(TRIM($G$2:$G$518)&amp;TRIM($I$2:$I$518)&amp;TRIM($J$2:$J$518))&lt;&gt;UPPER(TRIM($G480)&amp;TRIM($I480)&amp;TRIM($J480))))&gt;0), AND($Y480&lt;&gt;"", LOWER(TRIM($Y480))&lt;&gt;"n/a", LOWER(TRIM($Y480))&lt;&gt;"na", SUMPRODUCT(--(UPPER(SUBSTITUTE(SUBSTITUTE(TRIM($Y$2:$Y$518),":",""),"-",""))=UPPER(SUBSTITUTE(SUBSTITUTE(TRIM($Y480),":",""),"-",""))), --(UPPER(TRIM($B$2:$B$518))="YES"), --(UPPER(TRIM($G$2:$G$518)&amp;TRIM($I$2:$I$518)&amp;TRIM($J$2:$J$518))&lt;&gt;UPPER(TRIM($G480)&amp;TRIM($I480)&amp;TRIM($J480))))&gt;0), AND($AB480&lt;&gt;"", LOWER(TRIM($AB480))&lt;&gt;"n/a", LOWER(TRIM($AB480))&lt;&gt;"na", SUMPRODUCT(--(UPPER(TRIM($AB$2:$AB$518))=UPPER(TRIM($AB480))), --(UPPER(TRIM($B$2:$B$518))="YES"), --(UPPER(TRIM($G$2:$G$518)&amp;TRIM($I$2:$I$518)&amp;TRIM($J$2:$J$518))&lt;&gt;UPPER(TRIM($G480)&amp;TRIM($I480)&amp;TRIM($J480))))&gt;0), AND($AH480&lt;&gt;"", LOWER(TRIM($AH480))&lt;&gt;"n/a", LOWER(TRIM($AH480))&lt;&gt;"na", SUMPRODUCT(--(UPPER(SUBSTITUTE(SUBSTITUTE(TRIM($AH$2:$AH$518),":",""),"-",""))=UPPER(SUBSTITUTE(SUBSTITUTE(TRIM($AH480),":",""),"-",""))), --(UPPER(TRIM($B$2:$B$518))="YES"), --(UPPER(TRIM($G$2:$G$518)&amp;TRIM($I$2:$I$518)&amp;TRIM($J$2:$J$518))&lt;&gt;UPPER(TRIM($G480)&amp;TRIM($I480)&amp;TRIM($J480))))&gt;0), AND($AP480&lt;&gt;"", LOWER(TRIM($AP480))&lt;&gt;"n/a", LOWER(TRIM($AP480))&lt;&gt;"na", SUMPRODUCT(--(UPPER(TRIM($AP$2:$AP$518))=UPPER(TRIM($AP480))), --(UPPER(TRIM($B$2:$B$518))="YES"), --(UPPER(TRIM($G$2:$G$518)&amp;TRIM($I$2:$I$518)&amp;TRIM($J$2:$J$518))&lt;&gt;UPPER(TRIM($G480)&amp;TRIM($I480)&amp;TRIM($J480))))&gt;0), AND($AQ480&lt;&gt;"", LOWER(TRIM($AQ480))&lt;&gt;"n/a", LOWER(TRIM($AQ480))&lt;&gt;"na", SUMPRODUCT(--(UPPER(TRIM($AQ$2:$AQ$518))=UPPER(TRIM($AQ480))), --(UPPER(TRIM($B$2:$B$518))="YES"), --(UPPER(TRIM($G$2:$G$518)&amp;TRIM($I$2:$I$518)&amp;TRIM($J$2:$J$518))&lt;&gt;UPPER(TRIM($G480)&amp;TRIM($I480)&amp;TRIM($J480))))&gt;0)), "Yes", "No"))</f>
        <v/>
      </c>
      <c r="CD480">
        <f>IF($Y480="","",IF((IF(AND($BR480&lt;&gt;"Yes",$BR480&lt;&gt;"N/A"),"Power Cable, ","")&amp;IF(AND($BS480&lt;&gt;"Yes",$BS480&lt;&gt;"N/A"),"Battery, ","")&amp;IF(AND($AD480&lt;&gt;"Yes",$AD480&lt;&gt;"N/A"),"Firmware Download, ","")&amp;IF(AND(OR($AD480="Yes",$AD480="N/A"),$AE480&lt;&gt;"Yes",$AE480&lt;&gt;"N/A"),"Firmware Install, ","")&amp;IF(AND($CB480&lt;&gt;"Yes",$CB480&lt;&gt;"N/A"),"Device ID, ","")&amp;IF(AND($CC480&lt;&gt;"Yes",$CC480&lt;&gt;"N/A"),"Epic Beans Relay, ",""))="","",LEFT(IF(AND($BR480&lt;&gt;"Yes",$BR480&lt;&gt;"N/A"),"Power Cable, ","")&amp;IF(AND($BS480&lt;&gt;"Yes",$BS480&lt;&gt;"N/A"),"Battery, ","")&amp;IF(AND($AD480&lt;&gt;"Yes",$AD480&lt;&gt;"N/A"),"Firmware Download, ","")&amp;IF(AND(OR($AD480="Yes",$AD480="N/A"),$AE480&lt;&gt;"Yes",$AE480&lt;&gt;"N/A"),"Firmware Install, ","")&amp;IF(AND($CB480&lt;&gt;"Yes",$CB480&lt;&gt;"N/A"),"Device ID, ","")&amp;IF(AND($CC480&lt;&gt;"Yes",$CC480&lt;&gt;"N/A"),"Epic Beans Relay, ",""),LEN(IF(AND($BR480&lt;&gt;"Yes",$BR480&lt;&gt;"N/A"),"Power Cable, ","")&amp;IF(AND($BS480&lt;&gt;"Yes",$BS480&lt;&gt;"N/A"),"Battery, ","")&amp;IF(AND($AD480&lt;&gt;"Yes",$AD480&lt;&gt;"N/A"),"Firmware Download, ","")&amp;IF(AND(OR($AD480="Yes",$AD480="N/A"),$AE480&lt;&gt;"Yes",$AE480&lt;&gt;"N/A"),"Firmware Install, ","")&amp;IF(AND($CB480&lt;&gt;"Yes",$CB480&lt;&gt;"N/A"),"Device ID, ","")&amp;IF(AND($CC480&lt;&gt;"Yes",$CC480&lt;&gt;"N/A"),"Epic Beans Relay, ",""))-2)))</f>
        <v/>
      </c>
      <c r="CE480">
        <f>IF($Y480="","",IF($CD480="","Yes","Blocked"))</f>
        <v/>
      </c>
      <c r="CP480">
        <f>IF($CO480="","",IFERROR(VLOOKUP($CO480,'01_Warehouse_Ledger'!$A:$N,4,FALSE),""))</f>
        <v/>
      </c>
      <c r="CQ480">
        <f>IF($CO480="","",IFERROR(VLOOKUP($CO480,'01_Warehouse_Ledger'!$A:$N,5,FALSE),""))</f>
        <v/>
      </c>
      <c r="CR480">
        <f>IF($CO480="","",IFERROR(VLOOKUP($CO480,'01_Warehouse_Ledger'!$A:$N,13,FALSE),""))</f>
        <v/>
      </c>
      <c r="CW480">
        <f>IF($S480="","",IF(UPPER(TRIM($S480))&lt;&gt;"PASS","",IF(LEN(TRIM($BY480))&gt;0,"NOTES_PRESENT",IF(LEN(TRIM($T480))=0,"SET_NA",IF(OR(LOWER(TRIM($T480))="na",LOWER(TRIM($T480))="n/a"),"OK","MANUAL_OVERRIDE")))))</f>
        <v/>
      </c>
    </row>
    <row r="481">
      <c r="B481" t="inlineStr">
        <is>
          <t>No</t>
        </is>
      </c>
      <c r="C481" t="inlineStr">
        <is>
          <t>No</t>
        </is>
      </c>
      <c r="D481">
        <f>IF($B481&lt;&gt;"Yes","",IF($C481="No","Yes",IF($C481="Yes","No","")))</f>
        <v/>
      </c>
      <c r="E481">
        <f>IF($A481="","",IF(OR(AND($V481&lt;&gt;"",LOWER(TRIM($V481))&lt;&gt;"n/a",LOWER(TRIM($V481))&lt;&gt;"na",SUMPRODUCT(--(UPPER(TRIM($V$2:$V$518))=UPPER(TRIM($V481))),--(TRIM($V$2:$V$518)&lt;&gt;""),--(LOWER(TRIM($V$2:$V$518))&lt;&gt;"n/a"),--(LOWER(TRIM($V$2:$V$518))&lt;&gt;"na"))&gt;1),AND($W481&lt;&gt;"",LOWER(TRIM($W481))&lt;&gt;"n/a",LOWER(TRIM($W481))&lt;&gt;"na",SUMPRODUCT(--(UPPER(TRIM($W$2:$W$518))=UPPER(TRIM($W481))),--(TRIM($W$2:$W$518)&lt;&gt;""),--(LOWER(TRIM($W$2:$W$518))&lt;&gt;"n/a"),--(LOWER(TRIM($W$2:$W$518))&lt;&gt;"na"))&gt;1),AND($X481&lt;&gt;"",LOWER(TRIM($X481))&lt;&gt;"n/a",LOWER(TRIM($X481))&lt;&gt;"na",SUMPRODUCT(--(UPPER(TRIM($X$2:$X$518))=UPPER(TRIM($X481))),--(TRIM($X$2:$X$518)&lt;&gt;""),--(LOWER(TRIM($X$2:$X$518))&lt;&gt;"n/a"),--(LOWER(TRIM($X$2:$X$518))&lt;&gt;"na"))&gt;1),AND($Y481&lt;&gt;"",LOWER(TRIM($Y481))&lt;&gt;"n/a",LOWER(TRIM($Y481))&lt;&gt;"na",SUMPRODUCT(--(UPPER(SUBSTITUTE(SUBSTITUTE(TRIM($Y$2:$Y$518),":",""),"-",""))=UPPER(SUBSTITUTE(SUBSTITUTE(TRIM($Y481),":",""),"-",""))),--(TRIM($Y$2:$Y$518)&lt;&gt;""),--(LOWER(TRIM($Y$2:$Y$518))&lt;&gt;"n/a"),--(LOWER(TRIM($Y$2:$Y$518))&lt;&gt;"na"))&gt;1),AND($AB481&lt;&gt;"",LOWER(TRIM($AB481))&lt;&gt;"n/a",LOWER(TRIM($AB481))&lt;&gt;"na",SUMPRODUCT(--(UPPER(TRIM($AB$2:$AB$518))=UPPER(TRIM($AB481))),--(TRIM($AB$2:$AB$518)&lt;&gt;""),--(LOWER(TRIM($AB$2:$AB$518))&lt;&gt;"n/a"),--(LOWER(TRIM($AB$2:$AB$518))&lt;&gt;"na"))&gt;1),AND($AH481&lt;&gt;"",LOWER(TRIM($AH481))&lt;&gt;"n/a",LOWER(TRIM($AH481))&lt;&gt;"na",SUMPRODUCT(--(UPPER(SUBSTITUTE(SUBSTITUTE(TRIM($AH$2:$AH$518),":",""),"-",""))=UPPER(SUBSTITUTE(SUBSTITUTE(TRIM($AH481),":",""),"-",""))),--(TRIM($AH$2:$AH$518)&lt;&gt;""),--(LOWER(TRIM($AH$2:$AH$518))&lt;&gt;"n/a"),--(LOWER(TRIM($AH$2:$AH$518))&lt;&gt;"na"))&gt;1),AND($AP481&lt;&gt;"",LOWER(TRIM($AP481))&lt;&gt;"n/a",LOWER(TRIM($AP481))&lt;&gt;"na",SUMPRODUCT(--(UPPER(TRIM($AP$2:$AP$518))=UPPER(TRIM($AP481))),--(TRIM($AP$2:$AP$518)&lt;&gt;""),--(LOWER(TRIM($AP$2:$AP$518))&lt;&gt;"n/a"),--(LOWER(TRIM($AP$2:$AP$518))&lt;&gt;"na"))&gt;1),AND($AQ481&lt;&gt;"",LOWER(TRIM($AQ481))&lt;&gt;"n/a",LOWER(TRIM($AQ481))&lt;&gt;"na",SUMPRODUCT(--(UPPER(TRIM($AQ$2:$AQ$518))=UPPER(TRIM($AQ481))),--(TRIM($AQ$2:$AQ$518)&lt;&gt;""),--(LOWER(TRIM($AQ$2:$AQ$518))&lt;&gt;"n/a"),--(LOWER(TRIM($AQ$2:$AQ$518))&lt;&gt;"na"))&gt;1)),"Yes","No"))</f>
        <v/>
      </c>
      <c r="F481">
        <f>IF(UPPER(TRIM($B481))&lt;&gt;"YES","", IF(OR(AND($V481&lt;&gt;"", LOWER(TRIM($V481))&lt;&gt;"n/a", LOWER(TRIM($V481))&lt;&gt;"na", SUMPRODUCT(--(UPPER(TRIM($V$2:$V$518))=UPPER(TRIM($V481))), --(UPPER(TRIM($B$2:$B$518))="YES"), --(UPPER(TRIM($G$2:$G$518)&amp;TRIM($I$2:$I$518)&amp;TRIM($J$2:$J$518))&lt;&gt;UPPER(TRIM($G481)&amp;TRIM($I481)&amp;TRIM($J481))))&gt;0), AND($W481&lt;&gt;"", LOWER(TRIM($W481))&lt;&gt;"n/a", LOWER(TRIM($W481))&lt;&gt;"na", SUMPRODUCT(--(UPPER(TRIM($W$2:$W$518))=UPPER(TRIM($W481))), --(UPPER(TRIM($B$2:$B$518))="YES"), --(UPPER(TRIM($G$2:$G$518)&amp;TRIM($I$2:$I$518)&amp;TRIM($J$2:$J$518))&lt;&gt;UPPER(TRIM($G481)&amp;TRIM($I481)&amp;TRIM($J481))))&gt;0), AND($X481&lt;&gt;"", LOWER(TRIM($X481))&lt;&gt;"n/a", LOWER(TRIM($X481))&lt;&gt;"na", SUMPRODUCT(--(UPPER(TRIM($X$2:$X$518))=UPPER(TRIM($X481))), --(UPPER(TRIM($B$2:$B$518))="YES"), --(UPPER(TRIM($G$2:$G$518)&amp;TRIM($I$2:$I$518)&amp;TRIM($J$2:$J$518))&lt;&gt;UPPER(TRIM($G481)&amp;TRIM($I481)&amp;TRIM($J481))))&gt;0), AND($Y481&lt;&gt;"", LOWER(TRIM($Y481))&lt;&gt;"n/a", LOWER(TRIM($Y481))&lt;&gt;"na", SUMPRODUCT(--(UPPER(SUBSTITUTE(SUBSTITUTE(TRIM($Y$2:$Y$518),":",""),"-",""))=UPPER(SUBSTITUTE(SUBSTITUTE(TRIM($Y481),":",""),"-",""))), --(UPPER(TRIM($B$2:$B$518))="YES"), --(UPPER(TRIM($G$2:$G$518)&amp;TRIM($I$2:$I$518)&amp;TRIM($J$2:$J$518))&lt;&gt;UPPER(TRIM($G481)&amp;TRIM($I481)&amp;TRIM($J481))))&gt;0), AND($AB481&lt;&gt;"", LOWER(TRIM($AB481))&lt;&gt;"n/a", LOWER(TRIM($AB481))&lt;&gt;"na", SUMPRODUCT(--(UPPER(TRIM($AB$2:$AB$518))=UPPER(TRIM($AB481))), --(UPPER(TRIM($B$2:$B$518))="YES"), --(UPPER(TRIM($G$2:$G$518)&amp;TRIM($I$2:$I$518)&amp;TRIM($J$2:$J$518))&lt;&gt;UPPER(TRIM($G481)&amp;TRIM($I481)&amp;TRIM($J481))))&gt;0), AND($AH481&lt;&gt;"", LOWER(TRIM($AH481))&lt;&gt;"n/a", LOWER(TRIM($AH481))&lt;&gt;"na", SUMPRODUCT(--(UPPER(SUBSTITUTE(SUBSTITUTE(TRIM($AH$2:$AH$518),":",""),"-",""))=UPPER(SUBSTITUTE(SUBSTITUTE(TRIM($AH481),":",""),"-",""))), --(UPPER(TRIM($B$2:$B$518))="YES"), --(UPPER(TRIM($G$2:$G$518)&amp;TRIM($I$2:$I$518)&amp;TRIM($J$2:$J$518))&lt;&gt;UPPER(TRIM($G481)&amp;TRIM($I481)&amp;TRIM($J481))))&gt;0), AND($AP481&lt;&gt;"", LOWER(TRIM($AP481))&lt;&gt;"n/a", LOWER(TRIM($AP481))&lt;&gt;"na", SUMPRODUCT(--(UPPER(TRIM($AP$2:$AP$518))=UPPER(TRIM($AP481))), --(UPPER(TRIM($B$2:$B$518))="YES"), --(UPPER(TRIM($G$2:$G$518)&amp;TRIM($I$2:$I$518)&amp;TRIM($J$2:$J$518))&lt;&gt;UPPER(TRIM($G481)&amp;TRIM($I481)&amp;TRIM($J481))))&gt;0), AND($AQ481&lt;&gt;"", LOWER(TRIM($AQ481))&lt;&gt;"n/a", LOWER(TRIM($AQ481))&lt;&gt;"na", SUMPRODUCT(--(UPPER(TRIM($AQ$2:$AQ$518))=UPPER(TRIM($AQ481))), --(UPPER(TRIM($B$2:$B$518))="YES"), --(UPPER(TRIM($G$2:$G$518)&amp;TRIM($I$2:$I$518)&amp;TRIM($J$2:$J$518))&lt;&gt;UPPER(TRIM($G481)&amp;TRIM($I481)&amp;TRIM($J481))))&gt;0)), "Yes", "No"))</f>
        <v/>
      </c>
      <c r="CD481">
        <f>IF($Y481="","",IF((IF(AND($BR481&lt;&gt;"Yes",$BR481&lt;&gt;"N/A"),"Power Cable, ","")&amp;IF(AND($BS481&lt;&gt;"Yes",$BS481&lt;&gt;"N/A"),"Battery, ","")&amp;IF(AND($AD481&lt;&gt;"Yes",$AD481&lt;&gt;"N/A"),"Firmware Download, ","")&amp;IF(AND(OR($AD481="Yes",$AD481="N/A"),$AE481&lt;&gt;"Yes",$AE481&lt;&gt;"N/A"),"Firmware Install, ","")&amp;IF(AND($CB481&lt;&gt;"Yes",$CB481&lt;&gt;"N/A"),"Device ID, ","")&amp;IF(AND($CC481&lt;&gt;"Yes",$CC481&lt;&gt;"N/A"),"Epic Beans Relay, ",""))="","",LEFT(IF(AND($BR481&lt;&gt;"Yes",$BR481&lt;&gt;"N/A"),"Power Cable, ","")&amp;IF(AND($BS481&lt;&gt;"Yes",$BS481&lt;&gt;"N/A"),"Battery, ","")&amp;IF(AND($AD481&lt;&gt;"Yes",$AD481&lt;&gt;"N/A"),"Firmware Download, ","")&amp;IF(AND(OR($AD481="Yes",$AD481="N/A"),$AE481&lt;&gt;"Yes",$AE481&lt;&gt;"N/A"),"Firmware Install, ","")&amp;IF(AND($CB481&lt;&gt;"Yes",$CB481&lt;&gt;"N/A"),"Device ID, ","")&amp;IF(AND($CC481&lt;&gt;"Yes",$CC481&lt;&gt;"N/A"),"Epic Beans Relay, ",""),LEN(IF(AND($BR481&lt;&gt;"Yes",$BR481&lt;&gt;"N/A"),"Power Cable, ","")&amp;IF(AND($BS481&lt;&gt;"Yes",$BS481&lt;&gt;"N/A"),"Battery, ","")&amp;IF(AND($AD481&lt;&gt;"Yes",$AD481&lt;&gt;"N/A"),"Firmware Download, ","")&amp;IF(AND(OR($AD481="Yes",$AD481="N/A"),$AE481&lt;&gt;"Yes",$AE481&lt;&gt;"N/A"),"Firmware Install, ","")&amp;IF(AND($CB481&lt;&gt;"Yes",$CB481&lt;&gt;"N/A"),"Device ID, ","")&amp;IF(AND($CC481&lt;&gt;"Yes",$CC481&lt;&gt;"N/A"),"Epic Beans Relay, ",""))-2)))</f>
        <v/>
      </c>
      <c r="CE481">
        <f>IF($Y481="","",IF($CD481="","Yes","Blocked"))</f>
        <v/>
      </c>
      <c r="CP481">
        <f>IF($CO481="","",IFERROR(VLOOKUP($CO481,'01_Warehouse_Ledger'!$A:$N,4,FALSE),""))</f>
        <v/>
      </c>
      <c r="CQ481">
        <f>IF($CO481="","",IFERROR(VLOOKUP($CO481,'01_Warehouse_Ledger'!$A:$N,5,FALSE),""))</f>
        <v/>
      </c>
      <c r="CR481">
        <f>IF($CO481="","",IFERROR(VLOOKUP($CO481,'01_Warehouse_Ledger'!$A:$N,13,FALSE),""))</f>
        <v/>
      </c>
      <c r="CW481">
        <f>IF($S481="","",IF(UPPER(TRIM($S481))&lt;&gt;"PASS","",IF(LEN(TRIM($BY481))&gt;0,"NOTES_PRESENT",IF(LEN(TRIM($T481))=0,"SET_NA",IF(OR(LOWER(TRIM($T481))="na",LOWER(TRIM($T481))="n/a"),"OK","MANUAL_OVERRIDE")))))</f>
        <v/>
      </c>
    </row>
    <row r="482">
      <c r="B482" t="inlineStr">
        <is>
          <t>No</t>
        </is>
      </c>
      <c r="C482" t="inlineStr">
        <is>
          <t>No</t>
        </is>
      </c>
      <c r="D482">
        <f>IF($B482&lt;&gt;"Yes","",IF($C482="No","Yes",IF($C482="Yes","No","")))</f>
        <v/>
      </c>
      <c r="E482">
        <f>IF($A482="","",IF(OR(AND($V482&lt;&gt;"",LOWER(TRIM($V482))&lt;&gt;"n/a",LOWER(TRIM($V482))&lt;&gt;"na",SUMPRODUCT(--(UPPER(TRIM($V$2:$V$518))=UPPER(TRIM($V482))),--(TRIM($V$2:$V$518)&lt;&gt;""),--(LOWER(TRIM($V$2:$V$518))&lt;&gt;"n/a"),--(LOWER(TRIM($V$2:$V$518))&lt;&gt;"na"))&gt;1),AND($W482&lt;&gt;"",LOWER(TRIM($W482))&lt;&gt;"n/a",LOWER(TRIM($W482))&lt;&gt;"na",SUMPRODUCT(--(UPPER(TRIM($W$2:$W$518))=UPPER(TRIM($W482))),--(TRIM($W$2:$W$518)&lt;&gt;""),--(LOWER(TRIM($W$2:$W$518))&lt;&gt;"n/a"),--(LOWER(TRIM($W$2:$W$518))&lt;&gt;"na"))&gt;1),AND($X482&lt;&gt;"",LOWER(TRIM($X482))&lt;&gt;"n/a",LOWER(TRIM($X482))&lt;&gt;"na",SUMPRODUCT(--(UPPER(TRIM($X$2:$X$518))=UPPER(TRIM($X482))),--(TRIM($X$2:$X$518)&lt;&gt;""),--(LOWER(TRIM($X$2:$X$518))&lt;&gt;"n/a"),--(LOWER(TRIM($X$2:$X$518))&lt;&gt;"na"))&gt;1),AND($Y482&lt;&gt;"",LOWER(TRIM($Y482))&lt;&gt;"n/a",LOWER(TRIM($Y482))&lt;&gt;"na",SUMPRODUCT(--(UPPER(SUBSTITUTE(SUBSTITUTE(TRIM($Y$2:$Y$518),":",""),"-",""))=UPPER(SUBSTITUTE(SUBSTITUTE(TRIM($Y482),":",""),"-",""))),--(TRIM($Y$2:$Y$518)&lt;&gt;""),--(LOWER(TRIM($Y$2:$Y$518))&lt;&gt;"n/a"),--(LOWER(TRIM($Y$2:$Y$518))&lt;&gt;"na"))&gt;1),AND($AB482&lt;&gt;"",LOWER(TRIM($AB482))&lt;&gt;"n/a",LOWER(TRIM($AB482))&lt;&gt;"na",SUMPRODUCT(--(UPPER(TRIM($AB$2:$AB$518))=UPPER(TRIM($AB482))),--(TRIM($AB$2:$AB$518)&lt;&gt;""),--(LOWER(TRIM($AB$2:$AB$518))&lt;&gt;"n/a"),--(LOWER(TRIM($AB$2:$AB$518))&lt;&gt;"na"))&gt;1),AND($AH482&lt;&gt;"",LOWER(TRIM($AH482))&lt;&gt;"n/a",LOWER(TRIM($AH482))&lt;&gt;"na",SUMPRODUCT(--(UPPER(SUBSTITUTE(SUBSTITUTE(TRIM($AH$2:$AH$518),":",""),"-",""))=UPPER(SUBSTITUTE(SUBSTITUTE(TRIM($AH482),":",""),"-",""))),--(TRIM($AH$2:$AH$518)&lt;&gt;""),--(LOWER(TRIM($AH$2:$AH$518))&lt;&gt;"n/a"),--(LOWER(TRIM($AH$2:$AH$518))&lt;&gt;"na"))&gt;1),AND($AP482&lt;&gt;"",LOWER(TRIM($AP482))&lt;&gt;"n/a",LOWER(TRIM($AP482))&lt;&gt;"na",SUMPRODUCT(--(UPPER(TRIM($AP$2:$AP$518))=UPPER(TRIM($AP482))),--(TRIM($AP$2:$AP$518)&lt;&gt;""),--(LOWER(TRIM($AP$2:$AP$518))&lt;&gt;"n/a"),--(LOWER(TRIM($AP$2:$AP$518))&lt;&gt;"na"))&gt;1),AND($AQ482&lt;&gt;"",LOWER(TRIM($AQ482))&lt;&gt;"n/a",LOWER(TRIM($AQ482))&lt;&gt;"na",SUMPRODUCT(--(UPPER(TRIM($AQ$2:$AQ$518))=UPPER(TRIM($AQ482))),--(TRIM($AQ$2:$AQ$518)&lt;&gt;""),--(LOWER(TRIM($AQ$2:$AQ$518))&lt;&gt;"n/a"),--(LOWER(TRIM($AQ$2:$AQ$518))&lt;&gt;"na"))&gt;1)),"Yes","No"))</f>
        <v/>
      </c>
      <c r="F482">
        <f>IF(UPPER(TRIM($B482))&lt;&gt;"YES","", IF(OR(AND($V482&lt;&gt;"", LOWER(TRIM($V482))&lt;&gt;"n/a", LOWER(TRIM($V482))&lt;&gt;"na", SUMPRODUCT(--(UPPER(TRIM($V$2:$V$518))=UPPER(TRIM($V482))), --(UPPER(TRIM($B$2:$B$518))="YES"), --(UPPER(TRIM($G$2:$G$518)&amp;TRIM($I$2:$I$518)&amp;TRIM($J$2:$J$518))&lt;&gt;UPPER(TRIM($G482)&amp;TRIM($I482)&amp;TRIM($J482))))&gt;0), AND($W482&lt;&gt;"", LOWER(TRIM($W482))&lt;&gt;"n/a", LOWER(TRIM($W482))&lt;&gt;"na", SUMPRODUCT(--(UPPER(TRIM($W$2:$W$518))=UPPER(TRIM($W482))), --(UPPER(TRIM($B$2:$B$518))="YES"), --(UPPER(TRIM($G$2:$G$518)&amp;TRIM($I$2:$I$518)&amp;TRIM($J$2:$J$518))&lt;&gt;UPPER(TRIM($G482)&amp;TRIM($I482)&amp;TRIM($J482))))&gt;0), AND($X482&lt;&gt;"", LOWER(TRIM($X482))&lt;&gt;"n/a", LOWER(TRIM($X482))&lt;&gt;"na", SUMPRODUCT(--(UPPER(TRIM($X$2:$X$518))=UPPER(TRIM($X482))), --(UPPER(TRIM($B$2:$B$518))="YES"), --(UPPER(TRIM($G$2:$G$518)&amp;TRIM($I$2:$I$518)&amp;TRIM($J$2:$J$518))&lt;&gt;UPPER(TRIM($G482)&amp;TRIM($I482)&amp;TRIM($J482))))&gt;0), AND($Y482&lt;&gt;"", LOWER(TRIM($Y482))&lt;&gt;"n/a", LOWER(TRIM($Y482))&lt;&gt;"na", SUMPRODUCT(--(UPPER(SUBSTITUTE(SUBSTITUTE(TRIM($Y$2:$Y$518),":",""),"-",""))=UPPER(SUBSTITUTE(SUBSTITUTE(TRIM($Y482),":",""),"-",""))), --(UPPER(TRIM($B$2:$B$518))="YES"), --(UPPER(TRIM($G$2:$G$518)&amp;TRIM($I$2:$I$518)&amp;TRIM($J$2:$J$518))&lt;&gt;UPPER(TRIM($G482)&amp;TRIM($I482)&amp;TRIM($J482))))&gt;0), AND($AB482&lt;&gt;"", LOWER(TRIM($AB482))&lt;&gt;"n/a", LOWER(TRIM($AB482))&lt;&gt;"na", SUMPRODUCT(--(UPPER(TRIM($AB$2:$AB$518))=UPPER(TRIM($AB482))), --(UPPER(TRIM($B$2:$B$518))="YES"), --(UPPER(TRIM($G$2:$G$518)&amp;TRIM($I$2:$I$518)&amp;TRIM($J$2:$J$518))&lt;&gt;UPPER(TRIM($G482)&amp;TRIM($I482)&amp;TRIM($J482))))&gt;0), AND($AH482&lt;&gt;"", LOWER(TRIM($AH482))&lt;&gt;"n/a", LOWER(TRIM($AH482))&lt;&gt;"na", SUMPRODUCT(--(UPPER(SUBSTITUTE(SUBSTITUTE(TRIM($AH$2:$AH$518),":",""),"-",""))=UPPER(SUBSTITUTE(SUBSTITUTE(TRIM($AH482),":",""),"-",""))), --(UPPER(TRIM($B$2:$B$518))="YES"), --(UPPER(TRIM($G$2:$G$518)&amp;TRIM($I$2:$I$518)&amp;TRIM($J$2:$J$518))&lt;&gt;UPPER(TRIM($G482)&amp;TRIM($I482)&amp;TRIM($J482))))&gt;0), AND($AP482&lt;&gt;"", LOWER(TRIM($AP482))&lt;&gt;"n/a", LOWER(TRIM($AP482))&lt;&gt;"na", SUMPRODUCT(--(UPPER(TRIM($AP$2:$AP$518))=UPPER(TRIM($AP482))), --(UPPER(TRIM($B$2:$B$518))="YES"), --(UPPER(TRIM($G$2:$G$518)&amp;TRIM($I$2:$I$518)&amp;TRIM($J$2:$J$518))&lt;&gt;UPPER(TRIM($G482)&amp;TRIM($I482)&amp;TRIM($J482))))&gt;0), AND($AQ482&lt;&gt;"", LOWER(TRIM($AQ482))&lt;&gt;"n/a", LOWER(TRIM($AQ482))&lt;&gt;"na", SUMPRODUCT(--(UPPER(TRIM($AQ$2:$AQ$518))=UPPER(TRIM($AQ482))), --(UPPER(TRIM($B$2:$B$518))="YES"), --(UPPER(TRIM($G$2:$G$518)&amp;TRIM($I$2:$I$518)&amp;TRIM($J$2:$J$518))&lt;&gt;UPPER(TRIM($G482)&amp;TRIM($I482)&amp;TRIM($J482))))&gt;0)), "Yes", "No"))</f>
        <v/>
      </c>
      <c r="CD482">
        <f>IF($Y482="","",IF((IF(AND($BR482&lt;&gt;"Yes",$BR482&lt;&gt;"N/A"),"Power Cable, ","")&amp;IF(AND($BS482&lt;&gt;"Yes",$BS482&lt;&gt;"N/A"),"Battery, ","")&amp;IF(AND($AD482&lt;&gt;"Yes",$AD482&lt;&gt;"N/A"),"Firmware Download, ","")&amp;IF(AND(OR($AD482="Yes",$AD482="N/A"),$AE482&lt;&gt;"Yes",$AE482&lt;&gt;"N/A"),"Firmware Install, ","")&amp;IF(AND($CB482&lt;&gt;"Yes",$CB482&lt;&gt;"N/A"),"Device ID, ","")&amp;IF(AND($CC482&lt;&gt;"Yes",$CC482&lt;&gt;"N/A"),"Epic Beans Relay, ",""))="","",LEFT(IF(AND($BR482&lt;&gt;"Yes",$BR482&lt;&gt;"N/A"),"Power Cable, ","")&amp;IF(AND($BS482&lt;&gt;"Yes",$BS482&lt;&gt;"N/A"),"Battery, ","")&amp;IF(AND($AD482&lt;&gt;"Yes",$AD482&lt;&gt;"N/A"),"Firmware Download, ","")&amp;IF(AND(OR($AD482="Yes",$AD482="N/A"),$AE482&lt;&gt;"Yes",$AE482&lt;&gt;"N/A"),"Firmware Install, ","")&amp;IF(AND($CB482&lt;&gt;"Yes",$CB482&lt;&gt;"N/A"),"Device ID, ","")&amp;IF(AND($CC482&lt;&gt;"Yes",$CC482&lt;&gt;"N/A"),"Epic Beans Relay, ",""),LEN(IF(AND($BR482&lt;&gt;"Yes",$BR482&lt;&gt;"N/A"),"Power Cable, ","")&amp;IF(AND($BS482&lt;&gt;"Yes",$BS482&lt;&gt;"N/A"),"Battery, ","")&amp;IF(AND($AD482&lt;&gt;"Yes",$AD482&lt;&gt;"N/A"),"Firmware Download, ","")&amp;IF(AND(OR($AD482="Yes",$AD482="N/A"),$AE482&lt;&gt;"Yes",$AE482&lt;&gt;"N/A"),"Firmware Install, ","")&amp;IF(AND($CB482&lt;&gt;"Yes",$CB482&lt;&gt;"N/A"),"Device ID, ","")&amp;IF(AND($CC482&lt;&gt;"Yes",$CC482&lt;&gt;"N/A"),"Epic Beans Relay, ",""))-2)))</f>
        <v/>
      </c>
      <c r="CE482">
        <f>IF($Y482="","",IF($CD482="","Yes","Blocked"))</f>
        <v/>
      </c>
      <c r="CP482">
        <f>IF($CO482="","",IFERROR(VLOOKUP($CO482,'01_Warehouse_Ledger'!$A:$N,4,FALSE),""))</f>
        <v/>
      </c>
      <c r="CQ482">
        <f>IF($CO482="","",IFERROR(VLOOKUP($CO482,'01_Warehouse_Ledger'!$A:$N,5,FALSE),""))</f>
        <v/>
      </c>
      <c r="CR482">
        <f>IF($CO482="","",IFERROR(VLOOKUP($CO482,'01_Warehouse_Ledger'!$A:$N,13,FALSE),""))</f>
        <v/>
      </c>
      <c r="CW482">
        <f>IF($S482="","",IF(UPPER(TRIM($S482))&lt;&gt;"PASS","",IF(LEN(TRIM($BY482))&gt;0,"NOTES_PRESENT",IF(LEN(TRIM($T482))=0,"SET_NA",IF(OR(LOWER(TRIM($T482))="na",LOWER(TRIM($T482))="n/a"),"OK","MANUAL_OVERRIDE")))))</f>
        <v/>
      </c>
    </row>
    <row r="483">
      <c r="B483" t="inlineStr">
        <is>
          <t>No</t>
        </is>
      </c>
      <c r="C483" t="inlineStr">
        <is>
          <t>No</t>
        </is>
      </c>
      <c r="D483">
        <f>IF($B483&lt;&gt;"Yes","",IF($C483="No","Yes",IF($C483="Yes","No","")))</f>
        <v/>
      </c>
      <c r="E483">
        <f>IF($A483="","",IF(OR(AND($V483&lt;&gt;"",LOWER(TRIM($V483))&lt;&gt;"n/a",LOWER(TRIM($V483))&lt;&gt;"na",SUMPRODUCT(--(UPPER(TRIM($V$2:$V$518))=UPPER(TRIM($V483))),--(TRIM($V$2:$V$518)&lt;&gt;""),--(LOWER(TRIM($V$2:$V$518))&lt;&gt;"n/a"),--(LOWER(TRIM($V$2:$V$518))&lt;&gt;"na"))&gt;1),AND($W483&lt;&gt;"",LOWER(TRIM($W483))&lt;&gt;"n/a",LOWER(TRIM($W483))&lt;&gt;"na",SUMPRODUCT(--(UPPER(TRIM($W$2:$W$518))=UPPER(TRIM($W483))),--(TRIM($W$2:$W$518)&lt;&gt;""),--(LOWER(TRIM($W$2:$W$518))&lt;&gt;"n/a"),--(LOWER(TRIM($W$2:$W$518))&lt;&gt;"na"))&gt;1),AND($X483&lt;&gt;"",LOWER(TRIM($X483))&lt;&gt;"n/a",LOWER(TRIM($X483))&lt;&gt;"na",SUMPRODUCT(--(UPPER(TRIM($X$2:$X$518))=UPPER(TRIM($X483))),--(TRIM($X$2:$X$518)&lt;&gt;""),--(LOWER(TRIM($X$2:$X$518))&lt;&gt;"n/a"),--(LOWER(TRIM($X$2:$X$518))&lt;&gt;"na"))&gt;1),AND($Y483&lt;&gt;"",LOWER(TRIM($Y483))&lt;&gt;"n/a",LOWER(TRIM($Y483))&lt;&gt;"na",SUMPRODUCT(--(UPPER(SUBSTITUTE(SUBSTITUTE(TRIM($Y$2:$Y$518),":",""),"-",""))=UPPER(SUBSTITUTE(SUBSTITUTE(TRIM($Y483),":",""),"-",""))),--(TRIM($Y$2:$Y$518)&lt;&gt;""),--(LOWER(TRIM($Y$2:$Y$518))&lt;&gt;"n/a"),--(LOWER(TRIM($Y$2:$Y$518))&lt;&gt;"na"))&gt;1),AND($AB483&lt;&gt;"",LOWER(TRIM($AB483))&lt;&gt;"n/a",LOWER(TRIM($AB483))&lt;&gt;"na",SUMPRODUCT(--(UPPER(TRIM($AB$2:$AB$518))=UPPER(TRIM($AB483))),--(TRIM($AB$2:$AB$518)&lt;&gt;""),--(LOWER(TRIM($AB$2:$AB$518))&lt;&gt;"n/a"),--(LOWER(TRIM($AB$2:$AB$518))&lt;&gt;"na"))&gt;1),AND($AH483&lt;&gt;"",LOWER(TRIM($AH483))&lt;&gt;"n/a",LOWER(TRIM($AH483))&lt;&gt;"na",SUMPRODUCT(--(UPPER(SUBSTITUTE(SUBSTITUTE(TRIM($AH$2:$AH$518),":",""),"-",""))=UPPER(SUBSTITUTE(SUBSTITUTE(TRIM($AH483),":",""),"-",""))),--(TRIM($AH$2:$AH$518)&lt;&gt;""),--(LOWER(TRIM($AH$2:$AH$518))&lt;&gt;"n/a"),--(LOWER(TRIM($AH$2:$AH$518))&lt;&gt;"na"))&gt;1),AND($AP483&lt;&gt;"",LOWER(TRIM($AP483))&lt;&gt;"n/a",LOWER(TRIM($AP483))&lt;&gt;"na",SUMPRODUCT(--(UPPER(TRIM($AP$2:$AP$518))=UPPER(TRIM($AP483))),--(TRIM($AP$2:$AP$518)&lt;&gt;""),--(LOWER(TRIM($AP$2:$AP$518))&lt;&gt;"n/a"),--(LOWER(TRIM($AP$2:$AP$518))&lt;&gt;"na"))&gt;1),AND($AQ483&lt;&gt;"",LOWER(TRIM($AQ483))&lt;&gt;"n/a",LOWER(TRIM($AQ483))&lt;&gt;"na",SUMPRODUCT(--(UPPER(TRIM($AQ$2:$AQ$518))=UPPER(TRIM($AQ483))),--(TRIM($AQ$2:$AQ$518)&lt;&gt;""),--(LOWER(TRIM($AQ$2:$AQ$518))&lt;&gt;"n/a"),--(LOWER(TRIM($AQ$2:$AQ$518))&lt;&gt;"na"))&gt;1)),"Yes","No"))</f>
        <v/>
      </c>
      <c r="F483">
        <f>IF(UPPER(TRIM($B483))&lt;&gt;"YES","", IF(OR(AND($V483&lt;&gt;"", LOWER(TRIM($V483))&lt;&gt;"n/a", LOWER(TRIM($V483))&lt;&gt;"na", SUMPRODUCT(--(UPPER(TRIM($V$2:$V$518))=UPPER(TRIM($V483))), --(UPPER(TRIM($B$2:$B$518))="YES"), --(UPPER(TRIM($G$2:$G$518)&amp;TRIM($I$2:$I$518)&amp;TRIM($J$2:$J$518))&lt;&gt;UPPER(TRIM($G483)&amp;TRIM($I483)&amp;TRIM($J483))))&gt;0), AND($W483&lt;&gt;"", LOWER(TRIM($W483))&lt;&gt;"n/a", LOWER(TRIM($W483))&lt;&gt;"na", SUMPRODUCT(--(UPPER(TRIM($W$2:$W$518))=UPPER(TRIM($W483))), --(UPPER(TRIM($B$2:$B$518))="YES"), --(UPPER(TRIM($G$2:$G$518)&amp;TRIM($I$2:$I$518)&amp;TRIM($J$2:$J$518))&lt;&gt;UPPER(TRIM($G483)&amp;TRIM($I483)&amp;TRIM($J483))))&gt;0), AND($X483&lt;&gt;"", LOWER(TRIM($X483))&lt;&gt;"n/a", LOWER(TRIM($X483))&lt;&gt;"na", SUMPRODUCT(--(UPPER(TRIM($X$2:$X$518))=UPPER(TRIM($X483))), --(UPPER(TRIM($B$2:$B$518))="YES"), --(UPPER(TRIM($G$2:$G$518)&amp;TRIM($I$2:$I$518)&amp;TRIM($J$2:$J$518))&lt;&gt;UPPER(TRIM($G483)&amp;TRIM($I483)&amp;TRIM($J483))))&gt;0), AND($Y483&lt;&gt;"", LOWER(TRIM($Y483))&lt;&gt;"n/a", LOWER(TRIM($Y483))&lt;&gt;"na", SUMPRODUCT(--(UPPER(SUBSTITUTE(SUBSTITUTE(TRIM($Y$2:$Y$518),":",""),"-",""))=UPPER(SUBSTITUTE(SUBSTITUTE(TRIM($Y483),":",""),"-",""))), --(UPPER(TRIM($B$2:$B$518))="YES"), --(UPPER(TRIM($G$2:$G$518)&amp;TRIM($I$2:$I$518)&amp;TRIM($J$2:$J$518))&lt;&gt;UPPER(TRIM($G483)&amp;TRIM($I483)&amp;TRIM($J483))))&gt;0), AND($AB483&lt;&gt;"", LOWER(TRIM($AB483))&lt;&gt;"n/a", LOWER(TRIM($AB483))&lt;&gt;"na", SUMPRODUCT(--(UPPER(TRIM($AB$2:$AB$518))=UPPER(TRIM($AB483))), --(UPPER(TRIM($B$2:$B$518))="YES"), --(UPPER(TRIM($G$2:$G$518)&amp;TRIM($I$2:$I$518)&amp;TRIM($J$2:$J$518))&lt;&gt;UPPER(TRIM($G483)&amp;TRIM($I483)&amp;TRIM($J483))))&gt;0), AND($AH483&lt;&gt;"", LOWER(TRIM($AH483))&lt;&gt;"n/a", LOWER(TRIM($AH483))&lt;&gt;"na", SUMPRODUCT(--(UPPER(SUBSTITUTE(SUBSTITUTE(TRIM($AH$2:$AH$518),":",""),"-",""))=UPPER(SUBSTITUTE(SUBSTITUTE(TRIM($AH483),":",""),"-",""))), --(UPPER(TRIM($B$2:$B$518))="YES"), --(UPPER(TRIM($G$2:$G$518)&amp;TRIM($I$2:$I$518)&amp;TRIM($J$2:$J$518))&lt;&gt;UPPER(TRIM($G483)&amp;TRIM($I483)&amp;TRIM($J483))))&gt;0), AND($AP483&lt;&gt;"", LOWER(TRIM($AP483))&lt;&gt;"n/a", LOWER(TRIM($AP483))&lt;&gt;"na", SUMPRODUCT(--(UPPER(TRIM($AP$2:$AP$518))=UPPER(TRIM($AP483))), --(UPPER(TRIM($B$2:$B$518))="YES"), --(UPPER(TRIM($G$2:$G$518)&amp;TRIM($I$2:$I$518)&amp;TRIM($J$2:$J$518))&lt;&gt;UPPER(TRIM($G483)&amp;TRIM($I483)&amp;TRIM($J483))))&gt;0), AND($AQ483&lt;&gt;"", LOWER(TRIM($AQ483))&lt;&gt;"n/a", LOWER(TRIM($AQ483))&lt;&gt;"na", SUMPRODUCT(--(UPPER(TRIM($AQ$2:$AQ$518))=UPPER(TRIM($AQ483))), --(UPPER(TRIM($B$2:$B$518))="YES"), --(UPPER(TRIM($G$2:$G$518)&amp;TRIM($I$2:$I$518)&amp;TRIM($J$2:$J$518))&lt;&gt;UPPER(TRIM($G483)&amp;TRIM($I483)&amp;TRIM($J483))))&gt;0)), "Yes", "No"))</f>
        <v/>
      </c>
      <c r="CD483">
        <f>IF($Y483="","",IF((IF(AND($BR483&lt;&gt;"Yes",$BR483&lt;&gt;"N/A"),"Power Cable, ","")&amp;IF(AND($BS483&lt;&gt;"Yes",$BS483&lt;&gt;"N/A"),"Battery, ","")&amp;IF(AND($AD483&lt;&gt;"Yes",$AD483&lt;&gt;"N/A"),"Firmware Download, ","")&amp;IF(AND(OR($AD483="Yes",$AD483="N/A"),$AE483&lt;&gt;"Yes",$AE483&lt;&gt;"N/A"),"Firmware Install, ","")&amp;IF(AND($CB483&lt;&gt;"Yes",$CB483&lt;&gt;"N/A"),"Device ID, ","")&amp;IF(AND($CC483&lt;&gt;"Yes",$CC483&lt;&gt;"N/A"),"Epic Beans Relay, ",""))="","",LEFT(IF(AND($BR483&lt;&gt;"Yes",$BR483&lt;&gt;"N/A"),"Power Cable, ","")&amp;IF(AND($BS483&lt;&gt;"Yes",$BS483&lt;&gt;"N/A"),"Battery, ","")&amp;IF(AND($AD483&lt;&gt;"Yes",$AD483&lt;&gt;"N/A"),"Firmware Download, ","")&amp;IF(AND(OR($AD483="Yes",$AD483="N/A"),$AE483&lt;&gt;"Yes",$AE483&lt;&gt;"N/A"),"Firmware Install, ","")&amp;IF(AND($CB483&lt;&gt;"Yes",$CB483&lt;&gt;"N/A"),"Device ID, ","")&amp;IF(AND($CC483&lt;&gt;"Yes",$CC483&lt;&gt;"N/A"),"Epic Beans Relay, ",""),LEN(IF(AND($BR483&lt;&gt;"Yes",$BR483&lt;&gt;"N/A"),"Power Cable, ","")&amp;IF(AND($BS483&lt;&gt;"Yes",$BS483&lt;&gt;"N/A"),"Battery, ","")&amp;IF(AND($AD483&lt;&gt;"Yes",$AD483&lt;&gt;"N/A"),"Firmware Download, ","")&amp;IF(AND(OR($AD483="Yes",$AD483="N/A"),$AE483&lt;&gt;"Yes",$AE483&lt;&gt;"N/A"),"Firmware Install, ","")&amp;IF(AND($CB483&lt;&gt;"Yes",$CB483&lt;&gt;"N/A"),"Device ID, ","")&amp;IF(AND($CC483&lt;&gt;"Yes",$CC483&lt;&gt;"N/A"),"Epic Beans Relay, ",""))-2)))</f>
        <v/>
      </c>
      <c r="CE483">
        <f>IF($Y483="","",IF($CD483="","Yes","Blocked"))</f>
        <v/>
      </c>
      <c r="CP483">
        <f>IF($CO483="","",IFERROR(VLOOKUP($CO483,'01_Warehouse_Ledger'!$A:$N,4,FALSE),""))</f>
        <v/>
      </c>
      <c r="CQ483">
        <f>IF($CO483="","",IFERROR(VLOOKUP($CO483,'01_Warehouse_Ledger'!$A:$N,5,FALSE),""))</f>
        <v/>
      </c>
      <c r="CR483">
        <f>IF($CO483="","",IFERROR(VLOOKUP($CO483,'01_Warehouse_Ledger'!$A:$N,13,FALSE),""))</f>
        <v/>
      </c>
      <c r="CW483">
        <f>IF($S483="","",IF(UPPER(TRIM($S483))&lt;&gt;"PASS","",IF(LEN(TRIM($BY483))&gt;0,"NOTES_PRESENT",IF(LEN(TRIM($T483))=0,"SET_NA",IF(OR(LOWER(TRIM($T483))="na",LOWER(TRIM($T483))="n/a"),"OK","MANUAL_OVERRIDE")))))</f>
        <v/>
      </c>
    </row>
    <row r="484">
      <c r="B484" t="inlineStr">
        <is>
          <t>No</t>
        </is>
      </c>
      <c r="C484" t="inlineStr">
        <is>
          <t>No</t>
        </is>
      </c>
      <c r="D484">
        <f>IF($B484&lt;&gt;"Yes","",IF($C484="No","Yes",IF($C484="Yes","No","")))</f>
        <v/>
      </c>
      <c r="E484">
        <f>IF($A484="","",IF(OR(AND($V484&lt;&gt;"",LOWER(TRIM($V484))&lt;&gt;"n/a",LOWER(TRIM($V484))&lt;&gt;"na",SUMPRODUCT(--(UPPER(TRIM($V$2:$V$518))=UPPER(TRIM($V484))),--(TRIM($V$2:$V$518)&lt;&gt;""),--(LOWER(TRIM($V$2:$V$518))&lt;&gt;"n/a"),--(LOWER(TRIM($V$2:$V$518))&lt;&gt;"na"))&gt;1),AND($W484&lt;&gt;"",LOWER(TRIM($W484))&lt;&gt;"n/a",LOWER(TRIM($W484))&lt;&gt;"na",SUMPRODUCT(--(UPPER(TRIM($W$2:$W$518))=UPPER(TRIM($W484))),--(TRIM($W$2:$W$518)&lt;&gt;""),--(LOWER(TRIM($W$2:$W$518))&lt;&gt;"n/a"),--(LOWER(TRIM($W$2:$W$518))&lt;&gt;"na"))&gt;1),AND($X484&lt;&gt;"",LOWER(TRIM($X484))&lt;&gt;"n/a",LOWER(TRIM($X484))&lt;&gt;"na",SUMPRODUCT(--(UPPER(TRIM($X$2:$X$518))=UPPER(TRIM($X484))),--(TRIM($X$2:$X$518)&lt;&gt;""),--(LOWER(TRIM($X$2:$X$518))&lt;&gt;"n/a"),--(LOWER(TRIM($X$2:$X$518))&lt;&gt;"na"))&gt;1),AND($Y484&lt;&gt;"",LOWER(TRIM($Y484))&lt;&gt;"n/a",LOWER(TRIM($Y484))&lt;&gt;"na",SUMPRODUCT(--(UPPER(SUBSTITUTE(SUBSTITUTE(TRIM($Y$2:$Y$518),":",""),"-",""))=UPPER(SUBSTITUTE(SUBSTITUTE(TRIM($Y484),":",""),"-",""))),--(TRIM($Y$2:$Y$518)&lt;&gt;""),--(LOWER(TRIM($Y$2:$Y$518))&lt;&gt;"n/a"),--(LOWER(TRIM($Y$2:$Y$518))&lt;&gt;"na"))&gt;1),AND($AB484&lt;&gt;"",LOWER(TRIM($AB484))&lt;&gt;"n/a",LOWER(TRIM($AB484))&lt;&gt;"na",SUMPRODUCT(--(UPPER(TRIM($AB$2:$AB$518))=UPPER(TRIM($AB484))),--(TRIM($AB$2:$AB$518)&lt;&gt;""),--(LOWER(TRIM($AB$2:$AB$518))&lt;&gt;"n/a"),--(LOWER(TRIM($AB$2:$AB$518))&lt;&gt;"na"))&gt;1),AND($AH484&lt;&gt;"",LOWER(TRIM($AH484))&lt;&gt;"n/a",LOWER(TRIM($AH484))&lt;&gt;"na",SUMPRODUCT(--(UPPER(SUBSTITUTE(SUBSTITUTE(TRIM($AH$2:$AH$518),":",""),"-",""))=UPPER(SUBSTITUTE(SUBSTITUTE(TRIM($AH484),":",""),"-",""))),--(TRIM($AH$2:$AH$518)&lt;&gt;""),--(LOWER(TRIM($AH$2:$AH$518))&lt;&gt;"n/a"),--(LOWER(TRIM($AH$2:$AH$518))&lt;&gt;"na"))&gt;1),AND($AP484&lt;&gt;"",LOWER(TRIM($AP484))&lt;&gt;"n/a",LOWER(TRIM($AP484))&lt;&gt;"na",SUMPRODUCT(--(UPPER(TRIM($AP$2:$AP$518))=UPPER(TRIM($AP484))),--(TRIM($AP$2:$AP$518)&lt;&gt;""),--(LOWER(TRIM($AP$2:$AP$518))&lt;&gt;"n/a"),--(LOWER(TRIM($AP$2:$AP$518))&lt;&gt;"na"))&gt;1),AND($AQ484&lt;&gt;"",LOWER(TRIM($AQ484))&lt;&gt;"n/a",LOWER(TRIM($AQ484))&lt;&gt;"na",SUMPRODUCT(--(UPPER(TRIM($AQ$2:$AQ$518))=UPPER(TRIM($AQ484))),--(TRIM($AQ$2:$AQ$518)&lt;&gt;""),--(LOWER(TRIM($AQ$2:$AQ$518))&lt;&gt;"n/a"),--(LOWER(TRIM($AQ$2:$AQ$518))&lt;&gt;"na"))&gt;1)),"Yes","No"))</f>
        <v/>
      </c>
      <c r="F484">
        <f>IF(UPPER(TRIM($B484))&lt;&gt;"YES","", IF(OR(AND($V484&lt;&gt;"", LOWER(TRIM($V484))&lt;&gt;"n/a", LOWER(TRIM($V484))&lt;&gt;"na", SUMPRODUCT(--(UPPER(TRIM($V$2:$V$518))=UPPER(TRIM($V484))), --(UPPER(TRIM($B$2:$B$518))="YES"), --(UPPER(TRIM($G$2:$G$518)&amp;TRIM($I$2:$I$518)&amp;TRIM($J$2:$J$518))&lt;&gt;UPPER(TRIM($G484)&amp;TRIM($I484)&amp;TRIM($J484))))&gt;0), AND($W484&lt;&gt;"", LOWER(TRIM($W484))&lt;&gt;"n/a", LOWER(TRIM($W484))&lt;&gt;"na", SUMPRODUCT(--(UPPER(TRIM($W$2:$W$518))=UPPER(TRIM($W484))), --(UPPER(TRIM($B$2:$B$518))="YES"), --(UPPER(TRIM($G$2:$G$518)&amp;TRIM($I$2:$I$518)&amp;TRIM($J$2:$J$518))&lt;&gt;UPPER(TRIM($G484)&amp;TRIM($I484)&amp;TRIM($J484))))&gt;0), AND($X484&lt;&gt;"", LOWER(TRIM($X484))&lt;&gt;"n/a", LOWER(TRIM($X484))&lt;&gt;"na", SUMPRODUCT(--(UPPER(TRIM($X$2:$X$518))=UPPER(TRIM($X484))), --(UPPER(TRIM($B$2:$B$518))="YES"), --(UPPER(TRIM($G$2:$G$518)&amp;TRIM($I$2:$I$518)&amp;TRIM($J$2:$J$518))&lt;&gt;UPPER(TRIM($G484)&amp;TRIM($I484)&amp;TRIM($J484))))&gt;0), AND($Y484&lt;&gt;"", LOWER(TRIM($Y484))&lt;&gt;"n/a", LOWER(TRIM($Y484))&lt;&gt;"na", SUMPRODUCT(--(UPPER(SUBSTITUTE(SUBSTITUTE(TRIM($Y$2:$Y$518),":",""),"-",""))=UPPER(SUBSTITUTE(SUBSTITUTE(TRIM($Y484),":",""),"-",""))), --(UPPER(TRIM($B$2:$B$518))="YES"), --(UPPER(TRIM($G$2:$G$518)&amp;TRIM($I$2:$I$518)&amp;TRIM($J$2:$J$518))&lt;&gt;UPPER(TRIM($G484)&amp;TRIM($I484)&amp;TRIM($J484))))&gt;0), AND($AB484&lt;&gt;"", LOWER(TRIM($AB484))&lt;&gt;"n/a", LOWER(TRIM($AB484))&lt;&gt;"na", SUMPRODUCT(--(UPPER(TRIM($AB$2:$AB$518))=UPPER(TRIM($AB484))), --(UPPER(TRIM($B$2:$B$518))="YES"), --(UPPER(TRIM($G$2:$G$518)&amp;TRIM($I$2:$I$518)&amp;TRIM($J$2:$J$518))&lt;&gt;UPPER(TRIM($G484)&amp;TRIM($I484)&amp;TRIM($J484))))&gt;0), AND($AH484&lt;&gt;"", LOWER(TRIM($AH484))&lt;&gt;"n/a", LOWER(TRIM($AH484))&lt;&gt;"na", SUMPRODUCT(--(UPPER(SUBSTITUTE(SUBSTITUTE(TRIM($AH$2:$AH$518),":",""),"-",""))=UPPER(SUBSTITUTE(SUBSTITUTE(TRIM($AH484),":",""),"-",""))), --(UPPER(TRIM($B$2:$B$518))="YES"), --(UPPER(TRIM($G$2:$G$518)&amp;TRIM($I$2:$I$518)&amp;TRIM($J$2:$J$518))&lt;&gt;UPPER(TRIM($G484)&amp;TRIM($I484)&amp;TRIM($J484))))&gt;0), AND($AP484&lt;&gt;"", LOWER(TRIM($AP484))&lt;&gt;"n/a", LOWER(TRIM($AP484))&lt;&gt;"na", SUMPRODUCT(--(UPPER(TRIM($AP$2:$AP$518))=UPPER(TRIM($AP484))), --(UPPER(TRIM($B$2:$B$518))="YES"), --(UPPER(TRIM($G$2:$G$518)&amp;TRIM($I$2:$I$518)&amp;TRIM($J$2:$J$518))&lt;&gt;UPPER(TRIM($G484)&amp;TRIM($I484)&amp;TRIM($J484))))&gt;0), AND($AQ484&lt;&gt;"", LOWER(TRIM($AQ484))&lt;&gt;"n/a", LOWER(TRIM($AQ484))&lt;&gt;"na", SUMPRODUCT(--(UPPER(TRIM($AQ$2:$AQ$518))=UPPER(TRIM($AQ484))), --(UPPER(TRIM($B$2:$B$518))="YES"), --(UPPER(TRIM($G$2:$G$518)&amp;TRIM($I$2:$I$518)&amp;TRIM($J$2:$J$518))&lt;&gt;UPPER(TRIM($G484)&amp;TRIM($I484)&amp;TRIM($J484))))&gt;0)), "Yes", "No"))</f>
        <v/>
      </c>
      <c r="CD484">
        <f>IF($Y484="","",IF((IF(AND($BR484&lt;&gt;"Yes",$BR484&lt;&gt;"N/A"),"Power Cable, ","")&amp;IF(AND($BS484&lt;&gt;"Yes",$BS484&lt;&gt;"N/A"),"Battery, ","")&amp;IF(AND($AD484&lt;&gt;"Yes",$AD484&lt;&gt;"N/A"),"Firmware Download, ","")&amp;IF(AND(OR($AD484="Yes",$AD484="N/A"),$AE484&lt;&gt;"Yes",$AE484&lt;&gt;"N/A"),"Firmware Install, ","")&amp;IF(AND($CB484&lt;&gt;"Yes",$CB484&lt;&gt;"N/A"),"Device ID, ","")&amp;IF(AND($CC484&lt;&gt;"Yes",$CC484&lt;&gt;"N/A"),"Epic Beans Relay, ",""))="","",LEFT(IF(AND($BR484&lt;&gt;"Yes",$BR484&lt;&gt;"N/A"),"Power Cable, ","")&amp;IF(AND($BS484&lt;&gt;"Yes",$BS484&lt;&gt;"N/A"),"Battery, ","")&amp;IF(AND($AD484&lt;&gt;"Yes",$AD484&lt;&gt;"N/A"),"Firmware Download, ","")&amp;IF(AND(OR($AD484="Yes",$AD484="N/A"),$AE484&lt;&gt;"Yes",$AE484&lt;&gt;"N/A"),"Firmware Install, ","")&amp;IF(AND($CB484&lt;&gt;"Yes",$CB484&lt;&gt;"N/A"),"Device ID, ","")&amp;IF(AND($CC484&lt;&gt;"Yes",$CC484&lt;&gt;"N/A"),"Epic Beans Relay, ",""),LEN(IF(AND($BR484&lt;&gt;"Yes",$BR484&lt;&gt;"N/A"),"Power Cable, ","")&amp;IF(AND($BS484&lt;&gt;"Yes",$BS484&lt;&gt;"N/A"),"Battery, ","")&amp;IF(AND($AD484&lt;&gt;"Yes",$AD484&lt;&gt;"N/A"),"Firmware Download, ","")&amp;IF(AND(OR($AD484="Yes",$AD484="N/A"),$AE484&lt;&gt;"Yes",$AE484&lt;&gt;"N/A"),"Firmware Install, ","")&amp;IF(AND($CB484&lt;&gt;"Yes",$CB484&lt;&gt;"N/A"),"Device ID, ","")&amp;IF(AND($CC484&lt;&gt;"Yes",$CC484&lt;&gt;"N/A"),"Epic Beans Relay, ",""))-2)))</f>
        <v/>
      </c>
      <c r="CE484">
        <f>IF($Y484="","",IF($CD484="","Yes","Blocked"))</f>
        <v/>
      </c>
      <c r="CP484">
        <f>IF($CO484="","",IFERROR(VLOOKUP($CO484,'01_Warehouse_Ledger'!$A:$N,4,FALSE),""))</f>
        <v/>
      </c>
      <c r="CQ484">
        <f>IF($CO484="","",IFERROR(VLOOKUP($CO484,'01_Warehouse_Ledger'!$A:$N,5,FALSE),""))</f>
        <v/>
      </c>
      <c r="CR484">
        <f>IF($CO484="","",IFERROR(VLOOKUP($CO484,'01_Warehouse_Ledger'!$A:$N,13,FALSE),""))</f>
        <v/>
      </c>
      <c r="CW484">
        <f>IF($S484="","",IF(UPPER(TRIM($S484))&lt;&gt;"PASS","",IF(LEN(TRIM($BY484))&gt;0,"NOTES_PRESENT",IF(LEN(TRIM($T484))=0,"SET_NA",IF(OR(LOWER(TRIM($T484))="na",LOWER(TRIM($T484))="n/a"),"OK","MANUAL_OVERRIDE")))))</f>
        <v/>
      </c>
    </row>
    <row r="485">
      <c r="B485" t="inlineStr">
        <is>
          <t>No</t>
        </is>
      </c>
      <c r="C485" t="inlineStr">
        <is>
          <t>No</t>
        </is>
      </c>
      <c r="D485">
        <f>IF($B485&lt;&gt;"Yes","",IF($C485="No","Yes",IF($C485="Yes","No","")))</f>
        <v/>
      </c>
      <c r="E485">
        <f>IF($A485="","",IF(OR(AND($V485&lt;&gt;"",LOWER(TRIM($V485))&lt;&gt;"n/a",LOWER(TRIM($V485))&lt;&gt;"na",SUMPRODUCT(--(UPPER(TRIM($V$2:$V$518))=UPPER(TRIM($V485))),--(TRIM($V$2:$V$518)&lt;&gt;""),--(LOWER(TRIM($V$2:$V$518))&lt;&gt;"n/a"),--(LOWER(TRIM($V$2:$V$518))&lt;&gt;"na"))&gt;1),AND($W485&lt;&gt;"",LOWER(TRIM($W485))&lt;&gt;"n/a",LOWER(TRIM($W485))&lt;&gt;"na",SUMPRODUCT(--(UPPER(TRIM($W$2:$W$518))=UPPER(TRIM($W485))),--(TRIM($W$2:$W$518)&lt;&gt;""),--(LOWER(TRIM($W$2:$W$518))&lt;&gt;"n/a"),--(LOWER(TRIM($W$2:$W$518))&lt;&gt;"na"))&gt;1),AND($X485&lt;&gt;"",LOWER(TRIM($X485))&lt;&gt;"n/a",LOWER(TRIM($X485))&lt;&gt;"na",SUMPRODUCT(--(UPPER(TRIM($X$2:$X$518))=UPPER(TRIM($X485))),--(TRIM($X$2:$X$518)&lt;&gt;""),--(LOWER(TRIM($X$2:$X$518))&lt;&gt;"n/a"),--(LOWER(TRIM($X$2:$X$518))&lt;&gt;"na"))&gt;1),AND($Y485&lt;&gt;"",LOWER(TRIM($Y485))&lt;&gt;"n/a",LOWER(TRIM($Y485))&lt;&gt;"na",SUMPRODUCT(--(UPPER(SUBSTITUTE(SUBSTITUTE(TRIM($Y$2:$Y$518),":",""),"-",""))=UPPER(SUBSTITUTE(SUBSTITUTE(TRIM($Y485),":",""),"-",""))),--(TRIM($Y$2:$Y$518)&lt;&gt;""),--(LOWER(TRIM($Y$2:$Y$518))&lt;&gt;"n/a"),--(LOWER(TRIM($Y$2:$Y$518))&lt;&gt;"na"))&gt;1),AND($AB485&lt;&gt;"",LOWER(TRIM($AB485))&lt;&gt;"n/a",LOWER(TRIM($AB485))&lt;&gt;"na",SUMPRODUCT(--(UPPER(TRIM($AB$2:$AB$518))=UPPER(TRIM($AB485))),--(TRIM($AB$2:$AB$518)&lt;&gt;""),--(LOWER(TRIM($AB$2:$AB$518))&lt;&gt;"n/a"),--(LOWER(TRIM($AB$2:$AB$518))&lt;&gt;"na"))&gt;1),AND($AH485&lt;&gt;"",LOWER(TRIM($AH485))&lt;&gt;"n/a",LOWER(TRIM($AH485))&lt;&gt;"na",SUMPRODUCT(--(UPPER(SUBSTITUTE(SUBSTITUTE(TRIM($AH$2:$AH$518),":",""),"-",""))=UPPER(SUBSTITUTE(SUBSTITUTE(TRIM($AH485),":",""),"-",""))),--(TRIM($AH$2:$AH$518)&lt;&gt;""),--(LOWER(TRIM($AH$2:$AH$518))&lt;&gt;"n/a"),--(LOWER(TRIM($AH$2:$AH$518))&lt;&gt;"na"))&gt;1),AND($AP485&lt;&gt;"",LOWER(TRIM($AP485))&lt;&gt;"n/a",LOWER(TRIM($AP485))&lt;&gt;"na",SUMPRODUCT(--(UPPER(TRIM($AP$2:$AP$518))=UPPER(TRIM($AP485))),--(TRIM($AP$2:$AP$518)&lt;&gt;""),--(LOWER(TRIM($AP$2:$AP$518))&lt;&gt;"n/a"),--(LOWER(TRIM($AP$2:$AP$518))&lt;&gt;"na"))&gt;1),AND($AQ485&lt;&gt;"",LOWER(TRIM($AQ485))&lt;&gt;"n/a",LOWER(TRIM($AQ485))&lt;&gt;"na",SUMPRODUCT(--(UPPER(TRIM($AQ$2:$AQ$518))=UPPER(TRIM($AQ485))),--(TRIM($AQ$2:$AQ$518)&lt;&gt;""),--(LOWER(TRIM($AQ$2:$AQ$518))&lt;&gt;"n/a"),--(LOWER(TRIM($AQ$2:$AQ$518))&lt;&gt;"na"))&gt;1)),"Yes","No"))</f>
        <v/>
      </c>
      <c r="F485">
        <f>IF(UPPER(TRIM($B485))&lt;&gt;"YES","", IF(OR(AND($V485&lt;&gt;"", LOWER(TRIM($V485))&lt;&gt;"n/a", LOWER(TRIM($V485))&lt;&gt;"na", SUMPRODUCT(--(UPPER(TRIM($V$2:$V$518))=UPPER(TRIM($V485))), --(UPPER(TRIM($B$2:$B$518))="YES"), --(UPPER(TRIM($G$2:$G$518)&amp;TRIM($I$2:$I$518)&amp;TRIM($J$2:$J$518))&lt;&gt;UPPER(TRIM($G485)&amp;TRIM($I485)&amp;TRIM($J485))))&gt;0), AND($W485&lt;&gt;"", LOWER(TRIM($W485))&lt;&gt;"n/a", LOWER(TRIM($W485))&lt;&gt;"na", SUMPRODUCT(--(UPPER(TRIM($W$2:$W$518))=UPPER(TRIM($W485))), --(UPPER(TRIM($B$2:$B$518))="YES"), --(UPPER(TRIM($G$2:$G$518)&amp;TRIM($I$2:$I$518)&amp;TRIM($J$2:$J$518))&lt;&gt;UPPER(TRIM($G485)&amp;TRIM($I485)&amp;TRIM($J485))))&gt;0), AND($X485&lt;&gt;"", LOWER(TRIM($X485))&lt;&gt;"n/a", LOWER(TRIM($X485))&lt;&gt;"na", SUMPRODUCT(--(UPPER(TRIM($X$2:$X$518))=UPPER(TRIM($X485))), --(UPPER(TRIM($B$2:$B$518))="YES"), --(UPPER(TRIM($G$2:$G$518)&amp;TRIM($I$2:$I$518)&amp;TRIM($J$2:$J$518))&lt;&gt;UPPER(TRIM($G485)&amp;TRIM($I485)&amp;TRIM($J485))))&gt;0), AND($Y485&lt;&gt;"", LOWER(TRIM($Y485))&lt;&gt;"n/a", LOWER(TRIM($Y485))&lt;&gt;"na", SUMPRODUCT(--(UPPER(SUBSTITUTE(SUBSTITUTE(TRIM($Y$2:$Y$518),":",""),"-",""))=UPPER(SUBSTITUTE(SUBSTITUTE(TRIM($Y485),":",""),"-",""))), --(UPPER(TRIM($B$2:$B$518))="YES"), --(UPPER(TRIM($G$2:$G$518)&amp;TRIM($I$2:$I$518)&amp;TRIM($J$2:$J$518))&lt;&gt;UPPER(TRIM($G485)&amp;TRIM($I485)&amp;TRIM($J485))))&gt;0), AND($AB485&lt;&gt;"", LOWER(TRIM($AB485))&lt;&gt;"n/a", LOWER(TRIM($AB485))&lt;&gt;"na", SUMPRODUCT(--(UPPER(TRIM($AB$2:$AB$518))=UPPER(TRIM($AB485))), --(UPPER(TRIM($B$2:$B$518))="YES"), --(UPPER(TRIM($G$2:$G$518)&amp;TRIM($I$2:$I$518)&amp;TRIM($J$2:$J$518))&lt;&gt;UPPER(TRIM($G485)&amp;TRIM($I485)&amp;TRIM($J485))))&gt;0), AND($AH485&lt;&gt;"", LOWER(TRIM($AH485))&lt;&gt;"n/a", LOWER(TRIM($AH485))&lt;&gt;"na", SUMPRODUCT(--(UPPER(SUBSTITUTE(SUBSTITUTE(TRIM($AH$2:$AH$518),":",""),"-",""))=UPPER(SUBSTITUTE(SUBSTITUTE(TRIM($AH485),":",""),"-",""))), --(UPPER(TRIM($B$2:$B$518))="YES"), --(UPPER(TRIM($G$2:$G$518)&amp;TRIM($I$2:$I$518)&amp;TRIM($J$2:$J$518))&lt;&gt;UPPER(TRIM($G485)&amp;TRIM($I485)&amp;TRIM($J485))))&gt;0), AND($AP485&lt;&gt;"", LOWER(TRIM($AP485))&lt;&gt;"n/a", LOWER(TRIM($AP485))&lt;&gt;"na", SUMPRODUCT(--(UPPER(TRIM($AP$2:$AP$518))=UPPER(TRIM($AP485))), --(UPPER(TRIM($B$2:$B$518))="YES"), --(UPPER(TRIM($G$2:$G$518)&amp;TRIM($I$2:$I$518)&amp;TRIM($J$2:$J$518))&lt;&gt;UPPER(TRIM($G485)&amp;TRIM($I485)&amp;TRIM($J485))))&gt;0), AND($AQ485&lt;&gt;"", LOWER(TRIM($AQ485))&lt;&gt;"n/a", LOWER(TRIM($AQ485))&lt;&gt;"na", SUMPRODUCT(--(UPPER(TRIM($AQ$2:$AQ$518))=UPPER(TRIM($AQ485))), --(UPPER(TRIM($B$2:$B$518))="YES"), --(UPPER(TRIM($G$2:$G$518)&amp;TRIM($I$2:$I$518)&amp;TRIM($J$2:$J$518))&lt;&gt;UPPER(TRIM($G485)&amp;TRIM($I485)&amp;TRIM($J485))))&gt;0)), "Yes", "No"))</f>
        <v/>
      </c>
      <c r="CD485">
        <f>IF($Y485="","",IF((IF(AND($BR485&lt;&gt;"Yes",$BR485&lt;&gt;"N/A"),"Power Cable, ","")&amp;IF(AND($BS485&lt;&gt;"Yes",$BS485&lt;&gt;"N/A"),"Battery, ","")&amp;IF(AND($AD485&lt;&gt;"Yes",$AD485&lt;&gt;"N/A"),"Firmware Download, ","")&amp;IF(AND(OR($AD485="Yes",$AD485="N/A"),$AE485&lt;&gt;"Yes",$AE485&lt;&gt;"N/A"),"Firmware Install, ","")&amp;IF(AND($CB485&lt;&gt;"Yes",$CB485&lt;&gt;"N/A"),"Device ID, ","")&amp;IF(AND($CC485&lt;&gt;"Yes",$CC485&lt;&gt;"N/A"),"Epic Beans Relay, ",""))="","",LEFT(IF(AND($BR485&lt;&gt;"Yes",$BR485&lt;&gt;"N/A"),"Power Cable, ","")&amp;IF(AND($BS485&lt;&gt;"Yes",$BS485&lt;&gt;"N/A"),"Battery, ","")&amp;IF(AND($AD485&lt;&gt;"Yes",$AD485&lt;&gt;"N/A"),"Firmware Download, ","")&amp;IF(AND(OR($AD485="Yes",$AD485="N/A"),$AE485&lt;&gt;"Yes",$AE485&lt;&gt;"N/A"),"Firmware Install, ","")&amp;IF(AND($CB485&lt;&gt;"Yes",$CB485&lt;&gt;"N/A"),"Device ID, ","")&amp;IF(AND($CC485&lt;&gt;"Yes",$CC485&lt;&gt;"N/A"),"Epic Beans Relay, ",""),LEN(IF(AND($BR485&lt;&gt;"Yes",$BR485&lt;&gt;"N/A"),"Power Cable, ","")&amp;IF(AND($BS485&lt;&gt;"Yes",$BS485&lt;&gt;"N/A"),"Battery, ","")&amp;IF(AND($AD485&lt;&gt;"Yes",$AD485&lt;&gt;"N/A"),"Firmware Download, ","")&amp;IF(AND(OR($AD485="Yes",$AD485="N/A"),$AE485&lt;&gt;"Yes",$AE485&lt;&gt;"N/A"),"Firmware Install, ","")&amp;IF(AND($CB485&lt;&gt;"Yes",$CB485&lt;&gt;"N/A"),"Device ID, ","")&amp;IF(AND($CC485&lt;&gt;"Yes",$CC485&lt;&gt;"N/A"),"Epic Beans Relay, ",""))-2)))</f>
        <v/>
      </c>
      <c r="CE485">
        <f>IF($Y485="","",IF($CD485="","Yes","Blocked"))</f>
        <v/>
      </c>
      <c r="CP485">
        <f>IF($CO485="","",IFERROR(VLOOKUP($CO485,'01_Warehouse_Ledger'!$A:$N,4,FALSE),""))</f>
        <v/>
      </c>
      <c r="CQ485">
        <f>IF($CO485="","",IFERROR(VLOOKUP($CO485,'01_Warehouse_Ledger'!$A:$N,5,FALSE),""))</f>
        <v/>
      </c>
      <c r="CR485">
        <f>IF($CO485="","",IFERROR(VLOOKUP($CO485,'01_Warehouse_Ledger'!$A:$N,13,FALSE),""))</f>
        <v/>
      </c>
      <c r="CW485">
        <f>IF($S485="","",IF(UPPER(TRIM($S485))&lt;&gt;"PASS","",IF(LEN(TRIM($BY485))&gt;0,"NOTES_PRESENT",IF(LEN(TRIM($T485))=0,"SET_NA",IF(OR(LOWER(TRIM($T485))="na",LOWER(TRIM($T485))="n/a"),"OK","MANUAL_OVERRIDE")))))</f>
        <v/>
      </c>
    </row>
    <row r="486">
      <c r="B486" t="inlineStr">
        <is>
          <t>No</t>
        </is>
      </c>
      <c r="C486" t="inlineStr">
        <is>
          <t>No</t>
        </is>
      </c>
      <c r="D486">
        <f>IF($B486&lt;&gt;"Yes","",IF($C486="No","Yes",IF($C486="Yes","No","")))</f>
        <v/>
      </c>
      <c r="E486">
        <f>IF($A486="","",IF(OR(AND($V486&lt;&gt;"",LOWER(TRIM($V486))&lt;&gt;"n/a",LOWER(TRIM($V486))&lt;&gt;"na",SUMPRODUCT(--(UPPER(TRIM($V$2:$V$518))=UPPER(TRIM($V486))),--(TRIM($V$2:$V$518)&lt;&gt;""),--(LOWER(TRIM($V$2:$V$518))&lt;&gt;"n/a"),--(LOWER(TRIM($V$2:$V$518))&lt;&gt;"na"))&gt;1),AND($W486&lt;&gt;"",LOWER(TRIM($W486))&lt;&gt;"n/a",LOWER(TRIM($W486))&lt;&gt;"na",SUMPRODUCT(--(UPPER(TRIM($W$2:$W$518))=UPPER(TRIM($W486))),--(TRIM($W$2:$W$518)&lt;&gt;""),--(LOWER(TRIM($W$2:$W$518))&lt;&gt;"n/a"),--(LOWER(TRIM($W$2:$W$518))&lt;&gt;"na"))&gt;1),AND($X486&lt;&gt;"",LOWER(TRIM($X486))&lt;&gt;"n/a",LOWER(TRIM($X486))&lt;&gt;"na",SUMPRODUCT(--(UPPER(TRIM($X$2:$X$518))=UPPER(TRIM($X486))),--(TRIM($X$2:$X$518)&lt;&gt;""),--(LOWER(TRIM($X$2:$X$518))&lt;&gt;"n/a"),--(LOWER(TRIM($X$2:$X$518))&lt;&gt;"na"))&gt;1),AND($Y486&lt;&gt;"",LOWER(TRIM($Y486))&lt;&gt;"n/a",LOWER(TRIM($Y486))&lt;&gt;"na",SUMPRODUCT(--(UPPER(SUBSTITUTE(SUBSTITUTE(TRIM($Y$2:$Y$518),":",""),"-",""))=UPPER(SUBSTITUTE(SUBSTITUTE(TRIM($Y486),":",""),"-",""))),--(TRIM($Y$2:$Y$518)&lt;&gt;""),--(LOWER(TRIM($Y$2:$Y$518))&lt;&gt;"n/a"),--(LOWER(TRIM($Y$2:$Y$518))&lt;&gt;"na"))&gt;1),AND($AB486&lt;&gt;"",LOWER(TRIM($AB486))&lt;&gt;"n/a",LOWER(TRIM($AB486))&lt;&gt;"na",SUMPRODUCT(--(UPPER(TRIM($AB$2:$AB$518))=UPPER(TRIM($AB486))),--(TRIM($AB$2:$AB$518)&lt;&gt;""),--(LOWER(TRIM($AB$2:$AB$518))&lt;&gt;"n/a"),--(LOWER(TRIM($AB$2:$AB$518))&lt;&gt;"na"))&gt;1),AND($AH486&lt;&gt;"",LOWER(TRIM($AH486))&lt;&gt;"n/a",LOWER(TRIM($AH486))&lt;&gt;"na",SUMPRODUCT(--(UPPER(SUBSTITUTE(SUBSTITUTE(TRIM($AH$2:$AH$518),":",""),"-",""))=UPPER(SUBSTITUTE(SUBSTITUTE(TRIM($AH486),":",""),"-",""))),--(TRIM($AH$2:$AH$518)&lt;&gt;""),--(LOWER(TRIM($AH$2:$AH$518))&lt;&gt;"n/a"),--(LOWER(TRIM($AH$2:$AH$518))&lt;&gt;"na"))&gt;1),AND($AP486&lt;&gt;"",LOWER(TRIM($AP486))&lt;&gt;"n/a",LOWER(TRIM($AP486))&lt;&gt;"na",SUMPRODUCT(--(UPPER(TRIM($AP$2:$AP$518))=UPPER(TRIM($AP486))),--(TRIM($AP$2:$AP$518)&lt;&gt;""),--(LOWER(TRIM($AP$2:$AP$518))&lt;&gt;"n/a"),--(LOWER(TRIM($AP$2:$AP$518))&lt;&gt;"na"))&gt;1),AND($AQ486&lt;&gt;"",LOWER(TRIM($AQ486))&lt;&gt;"n/a",LOWER(TRIM($AQ486))&lt;&gt;"na",SUMPRODUCT(--(UPPER(TRIM($AQ$2:$AQ$518))=UPPER(TRIM($AQ486))),--(TRIM($AQ$2:$AQ$518)&lt;&gt;""),--(LOWER(TRIM($AQ$2:$AQ$518))&lt;&gt;"n/a"),--(LOWER(TRIM($AQ$2:$AQ$518))&lt;&gt;"na"))&gt;1)),"Yes","No"))</f>
        <v/>
      </c>
      <c r="F486">
        <f>IF(UPPER(TRIM($B486))&lt;&gt;"YES","", IF(OR(AND($V486&lt;&gt;"", LOWER(TRIM($V486))&lt;&gt;"n/a", LOWER(TRIM($V486))&lt;&gt;"na", SUMPRODUCT(--(UPPER(TRIM($V$2:$V$518))=UPPER(TRIM($V486))), --(UPPER(TRIM($B$2:$B$518))="YES"), --(UPPER(TRIM($G$2:$G$518)&amp;TRIM($I$2:$I$518)&amp;TRIM($J$2:$J$518))&lt;&gt;UPPER(TRIM($G486)&amp;TRIM($I486)&amp;TRIM($J486))))&gt;0), AND($W486&lt;&gt;"", LOWER(TRIM($W486))&lt;&gt;"n/a", LOWER(TRIM($W486))&lt;&gt;"na", SUMPRODUCT(--(UPPER(TRIM($W$2:$W$518))=UPPER(TRIM($W486))), --(UPPER(TRIM($B$2:$B$518))="YES"), --(UPPER(TRIM($G$2:$G$518)&amp;TRIM($I$2:$I$518)&amp;TRIM($J$2:$J$518))&lt;&gt;UPPER(TRIM($G486)&amp;TRIM($I486)&amp;TRIM($J486))))&gt;0), AND($X486&lt;&gt;"", LOWER(TRIM($X486))&lt;&gt;"n/a", LOWER(TRIM($X486))&lt;&gt;"na", SUMPRODUCT(--(UPPER(TRIM($X$2:$X$518))=UPPER(TRIM($X486))), --(UPPER(TRIM($B$2:$B$518))="YES"), --(UPPER(TRIM($G$2:$G$518)&amp;TRIM($I$2:$I$518)&amp;TRIM($J$2:$J$518))&lt;&gt;UPPER(TRIM($G486)&amp;TRIM($I486)&amp;TRIM($J486))))&gt;0), AND($Y486&lt;&gt;"", LOWER(TRIM($Y486))&lt;&gt;"n/a", LOWER(TRIM($Y486))&lt;&gt;"na", SUMPRODUCT(--(UPPER(SUBSTITUTE(SUBSTITUTE(TRIM($Y$2:$Y$518),":",""),"-",""))=UPPER(SUBSTITUTE(SUBSTITUTE(TRIM($Y486),":",""),"-",""))), --(UPPER(TRIM($B$2:$B$518))="YES"), --(UPPER(TRIM($G$2:$G$518)&amp;TRIM($I$2:$I$518)&amp;TRIM($J$2:$J$518))&lt;&gt;UPPER(TRIM($G486)&amp;TRIM($I486)&amp;TRIM($J486))))&gt;0), AND($AB486&lt;&gt;"", LOWER(TRIM($AB486))&lt;&gt;"n/a", LOWER(TRIM($AB486))&lt;&gt;"na", SUMPRODUCT(--(UPPER(TRIM($AB$2:$AB$518))=UPPER(TRIM($AB486))), --(UPPER(TRIM($B$2:$B$518))="YES"), --(UPPER(TRIM($G$2:$G$518)&amp;TRIM($I$2:$I$518)&amp;TRIM($J$2:$J$518))&lt;&gt;UPPER(TRIM($G486)&amp;TRIM($I486)&amp;TRIM($J486))))&gt;0), AND($AH486&lt;&gt;"", LOWER(TRIM($AH486))&lt;&gt;"n/a", LOWER(TRIM($AH486))&lt;&gt;"na", SUMPRODUCT(--(UPPER(SUBSTITUTE(SUBSTITUTE(TRIM($AH$2:$AH$518),":",""),"-",""))=UPPER(SUBSTITUTE(SUBSTITUTE(TRIM($AH486),":",""),"-",""))), --(UPPER(TRIM($B$2:$B$518))="YES"), --(UPPER(TRIM($G$2:$G$518)&amp;TRIM($I$2:$I$518)&amp;TRIM($J$2:$J$518))&lt;&gt;UPPER(TRIM($G486)&amp;TRIM($I486)&amp;TRIM($J486))))&gt;0), AND($AP486&lt;&gt;"", LOWER(TRIM($AP486))&lt;&gt;"n/a", LOWER(TRIM($AP486))&lt;&gt;"na", SUMPRODUCT(--(UPPER(TRIM($AP$2:$AP$518))=UPPER(TRIM($AP486))), --(UPPER(TRIM($B$2:$B$518))="YES"), --(UPPER(TRIM($G$2:$G$518)&amp;TRIM($I$2:$I$518)&amp;TRIM($J$2:$J$518))&lt;&gt;UPPER(TRIM($G486)&amp;TRIM($I486)&amp;TRIM($J486))))&gt;0), AND($AQ486&lt;&gt;"", LOWER(TRIM($AQ486))&lt;&gt;"n/a", LOWER(TRIM($AQ486))&lt;&gt;"na", SUMPRODUCT(--(UPPER(TRIM($AQ$2:$AQ$518))=UPPER(TRIM($AQ486))), --(UPPER(TRIM($B$2:$B$518))="YES"), --(UPPER(TRIM($G$2:$G$518)&amp;TRIM($I$2:$I$518)&amp;TRIM($J$2:$J$518))&lt;&gt;UPPER(TRIM($G486)&amp;TRIM($I486)&amp;TRIM($J486))))&gt;0)), "Yes", "No"))</f>
        <v/>
      </c>
      <c r="CD486">
        <f>IF($Y486="","",IF((IF(AND($BR486&lt;&gt;"Yes",$BR486&lt;&gt;"N/A"),"Power Cable, ","")&amp;IF(AND($BS486&lt;&gt;"Yes",$BS486&lt;&gt;"N/A"),"Battery, ","")&amp;IF(AND($AD486&lt;&gt;"Yes",$AD486&lt;&gt;"N/A"),"Firmware Download, ","")&amp;IF(AND(OR($AD486="Yes",$AD486="N/A"),$AE486&lt;&gt;"Yes",$AE486&lt;&gt;"N/A"),"Firmware Install, ","")&amp;IF(AND($CB486&lt;&gt;"Yes",$CB486&lt;&gt;"N/A"),"Device ID, ","")&amp;IF(AND($CC486&lt;&gt;"Yes",$CC486&lt;&gt;"N/A"),"Epic Beans Relay, ",""))="","",LEFT(IF(AND($BR486&lt;&gt;"Yes",$BR486&lt;&gt;"N/A"),"Power Cable, ","")&amp;IF(AND($BS486&lt;&gt;"Yes",$BS486&lt;&gt;"N/A"),"Battery, ","")&amp;IF(AND($AD486&lt;&gt;"Yes",$AD486&lt;&gt;"N/A"),"Firmware Download, ","")&amp;IF(AND(OR($AD486="Yes",$AD486="N/A"),$AE486&lt;&gt;"Yes",$AE486&lt;&gt;"N/A"),"Firmware Install, ","")&amp;IF(AND($CB486&lt;&gt;"Yes",$CB486&lt;&gt;"N/A"),"Device ID, ","")&amp;IF(AND($CC486&lt;&gt;"Yes",$CC486&lt;&gt;"N/A"),"Epic Beans Relay, ",""),LEN(IF(AND($BR486&lt;&gt;"Yes",$BR486&lt;&gt;"N/A"),"Power Cable, ","")&amp;IF(AND($BS486&lt;&gt;"Yes",$BS486&lt;&gt;"N/A"),"Battery, ","")&amp;IF(AND($AD486&lt;&gt;"Yes",$AD486&lt;&gt;"N/A"),"Firmware Download, ","")&amp;IF(AND(OR($AD486="Yes",$AD486="N/A"),$AE486&lt;&gt;"Yes",$AE486&lt;&gt;"N/A"),"Firmware Install, ","")&amp;IF(AND($CB486&lt;&gt;"Yes",$CB486&lt;&gt;"N/A"),"Device ID, ","")&amp;IF(AND($CC486&lt;&gt;"Yes",$CC486&lt;&gt;"N/A"),"Epic Beans Relay, ",""))-2)))</f>
        <v/>
      </c>
      <c r="CE486">
        <f>IF($Y486="","",IF($CD486="","Yes","Blocked"))</f>
        <v/>
      </c>
      <c r="CP486">
        <f>IF($CO486="","",IFERROR(VLOOKUP($CO486,'01_Warehouse_Ledger'!$A:$N,4,FALSE),""))</f>
        <v/>
      </c>
      <c r="CQ486">
        <f>IF($CO486="","",IFERROR(VLOOKUP($CO486,'01_Warehouse_Ledger'!$A:$N,5,FALSE),""))</f>
        <v/>
      </c>
      <c r="CR486">
        <f>IF($CO486="","",IFERROR(VLOOKUP($CO486,'01_Warehouse_Ledger'!$A:$N,13,FALSE),""))</f>
        <v/>
      </c>
      <c r="CW486">
        <f>IF($S486="","",IF(UPPER(TRIM($S486))&lt;&gt;"PASS","",IF(LEN(TRIM($BY486))&gt;0,"NOTES_PRESENT",IF(LEN(TRIM($T486))=0,"SET_NA",IF(OR(LOWER(TRIM($T486))="na",LOWER(TRIM($T486))="n/a"),"OK","MANUAL_OVERRIDE")))))</f>
        <v/>
      </c>
    </row>
    <row r="487">
      <c r="B487" t="inlineStr">
        <is>
          <t>No</t>
        </is>
      </c>
      <c r="C487" t="inlineStr">
        <is>
          <t>No</t>
        </is>
      </c>
      <c r="D487">
        <f>IF($B487&lt;&gt;"Yes","",IF($C487="No","Yes",IF($C487="Yes","No","")))</f>
        <v/>
      </c>
      <c r="E487">
        <f>IF($A487="","",IF(OR(AND($V487&lt;&gt;"",LOWER(TRIM($V487))&lt;&gt;"n/a",LOWER(TRIM($V487))&lt;&gt;"na",SUMPRODUCT(--(UPPER(TRIM($V$2:$V$518))=UPPER(TRIM($V487))),--(TRIM($V$2:$V$518)&lt;&gt;""),--(LOWER(TRIM($V$2:$V$518))&lt;&gt;"n/a"),--(LOWER(TRIM($V$2:$V$518))&lt;&gt;"na"))&gt;1),AND($W487&lt;&gt;"",LOWER(TRIM($W487))&lt;&gt;"n/a",LOWER(TRIM($W487))&lt;&gt;"na",SUMPRODUCT(--(UPPER(TRIM($W$2:$W$518))=UPPER(TRIM($W487))),--(TRIM($W$2:$W$518)&lt;&gt;""),--(LOWER(TRIM($W$2:$W$518))&lt;&gt;"n/a"),--(LOWER(TRIM($W$2:$W$518))&lt;&gt;"na"))&gt;1),AND($X487&lt;&gt;"",LOWER(TRIM($X487))&lt;&gt;"n/a",LOWER(TRIM($X487))&lt;&gt;"na",SUMPRODUCT(--(UPPER(TRIM($X$2:$X$518))=UPPER(TRIM($X487))),--(TRIM($X$2:$X$518)&lt;&gt;""),--(LOWER(TRIM($X$2:$X$518))&lt;&gt;"n/a"),--(LOWER(TRIM($X$2:$X$518))&lt;&gt;"na"))&gt;1),AND($Y487&lt;&gt;"",LOWER(TRIM($Y487))&lt;&gt;"n/a",LOWER(TRIM($Y487))&lt;&gt;"na",SUMPRODUCT(--(UPPER(SUBSTITUTE(SUBSTITUTE(TRIM($Y$2:$Y$518),":",""),"-",""))=UPPER(SUBSTITUTE(SUBSTITUTE(TRIM($Y487),":",""),"-",""))),--(TRIM($Y$2:$Y$518)&lt;&gt;""),--(LOWER(TRIM($Y$2:$Y$518))&lt;&gt;"n/a"),--(LOWER(TRIM($Y$2:$Y$518))&lt;&gt;"na"))&gt;1),AND($AB487&lt;&gt;"",LOWER(TRIM($AB487))&lt;&gt;"n/a",LOWER(TRIM($AB487))&lt;&gt;"na",SUMPRODUCT(--(UPPER(TRIM($AB$2:$AB$518))=UPPER(TRIM($AB487))),--(TRIM($AB$2:$AB$518)&lt;&gt;""),--(LOWER(TRIM($AB$2:$AB$518))&lt;&gt;"n/a"),--(LOWER(TRIM($AB$2:$AB$518))&lt;&gt;"na"))&gt;1),AND($AH487&lt;&gt;"",LOWER(TRIM($AH487))&lt;&gt;"n/a",LOWER(TRIM($AH487))&lt;&gt;"na",SUMPRODUCT(--(UPPER(SUBSTITUTE(SUBSTITUTE(TRIM($AH$2:$AH$518),":",""),"-",""))=UPPER(SUBSTITUTE(SUBSTITUTE(TRIM($AH487),":",""),"-",""))),--(TRIM($AH$2:$AH$518)&lt;&gt;""),--(LOWER(TRIM($AH$2:$AH$518))&lt;&gt;"n/a"),--(LOWER(TRIM($AH$2:$AH$518))&lt;&gt;"na"))&gt;1),AND($AP487&lt;&gt;"",LOWER(TRIM($AP487))&lt;&gt;"n/a",LOWER(TRIM($AP487))&lt;&gt;"na",SUMPRODUCT(--(UPPER(TRIM($AP$2:$AP$518))=UPPER(TRIM($AP487))),--(TRIM($AP$2:$AP$518)&lt;&gt;""),--(LOWER(TRIM($AP$2:$AP$518))&lt;&gt;"n/a"),--(LOWER(TRIM($AP$2:$AP$518))&lt;&gt;"na"))&gt;1),AND($AQ487&lt;&gt;"",LOWER(TRIM($AQ487))&lt;&gt;"n/a",LOWER(TRIM($AQ487))&lt;&gt;"na",SUMPRODUCT(--(UPPER(TRIM($AQ$2:$AQ$518))=UPPER(TRIM($AQ487))),--(TRIM($AQ$2:$AQ$518)&lt;&gt;""),--(LOWER(TRIM($AQ$2:$AQ$518))&lt;&gt;"n/a"),--(LOWER(TRIM($AQ$2:$AQ$518))&lt;&gt;"na"))&gt;1)),"Yes","No"))</f>
        <v/>
      </c>
      <c r="F487">
        <f>IF(UPPER(TRIM($B487))&lt;&gt;"YES","", IF(OR(AND($V487&lt;&gt;"", LOWER(TRIM($V487))&lt;&gt;"n/a", LOWER(TRIM($V487))&lt;&gt;"na", SUMPRODUCT(--(UPPER(TRIM($V$2:$V$518))=UPPER(TRIM($V487))), --(UPPER(TRIM($B$2:$B$518))="YES"), --(UPPER(TRIM($G$2:$G$518)&amp;TRIM($I$2:$I$518)&amp;TRIM($J$2:$J$518))&lt;&gt;UPPER(TRIM($G487)&amp;TRIM($I487)&amp;TRIM($J487))))&gt;0), AND($W487&lt;&gt;"", LOWER(TRIM($W487))&lt;&gt;"n/a", LOWER(TRIM($W487))&lt;&gt;"na", SUMPRODUCT(--(UPPER(TRIM($W$2:$W$518))=UPPER(TRIM($W487))), --(UPPER(TRIM($B$2:$B$518))="YES"), --(UPPER(TRIM($G$2:$G$518)&amp;TRIM($I$2:$I$518)&amp;TRIM($J$2:$J$518))&lt;&gt;UPPER(TRIM($G487)&amp;TRIM($I487)&amp;TRIM($J487))))&gt;0), AND($X487&lt;&gt;"", LOWER(TRIM($X487))&lt;&gt;"n/a", LOWER(TRIM($X487))&lt;&gt;"na", SUMPRODUCT(--(UPPER(TRIM($X$2:$X$518))=UPPER(TRIM($X487))), --(UPPER(TRIM($B$2:$B$518))="YES"), --(UPPER(TRIM($G$2:$G$518)&amp;TRIM($I$2:$I$518)&amp;TRIM($J$2:$J$518))&lt;&gt;UPPER(TRIM($G487)&amp;TRIM($I487)&amp;TRIM($J487))))&gt;0), AND($Y487&lt;&gt;"", LOWER(TRIM($Y487))&lt;&gt;"n/a", LOWER(TRIM($Y487))&lt;&gt;"na", SUMPRODUCT(--(UPPER(SUBSTITUTE(SUBSTITUTE(TRIM($Y$2:$Y$518),":",""),"-",""))=UPPER(SUBSTITUTE(SUBSTITUTE(TRIM($Y487),":",""),"-",""))), --(UPPER(TRIM($B$2:$B$518))="YES"), --(UPPER(TRIM($G$2:$G$518)&amp;TRIM($I$2:$I$518)&amp;TRIM($J$2:$J$518))&lt;&gt;UPPER(TRIM($G487)&amp;TRIM($I487)&amp;TRIM($J487))))&gt;0), AND($AB487&lt;&gt;"", LOWER(TRIM($AB487))&lt;&gt;"n/a", LOWER(TRIM($AB487))&lt;&gt;"na", SUMPRODUCT(--(UPPER(TRIM($AB$2:$AB$518))=UPPER(TRIM($AB487))), --(UPPER(TRIM($B$2:$B$518))="YES"), --(UPPER(TRIM($G$2:$G$518)&amp;TRIM($I$2:$I$518)&amp;TRIM($J$2:$J$518))&lt;&gt;UPPER(TRIM($G487)&amp;TRIM($I487)&amp;TRIM($J487))))&gt;0), AND($AH487&lt;&gt;"", LOWER(TRIM($AH487))&lt;&gt;"n/a", LOWER(TRIM($AH487))&lt;&gt;"na", SUMPRODUCT(--(UPPER(SUBSTITUTE(SUBSTITUTE(TRIM($AH$2:$AH$518),":",""),"-",""))=UPPER(SUBSTITUTE(SUBSTITUTE(TRIM($AH487),":",""),"-",""))), --(UPPER(TRIM($B$2:$B$518))="YES"), --(UPPER(TRIM($G$2:$G$518)&amp;TRIM($I$2:$I$518)&amp;TRIM($J$2:$J$518))&lt;&gt;UPPER(TRIM($G487)&amp;TRIM($I487)&amp;TRIM($J487))))&gt;0), AND($AP487&lt;&gt;"", LOWER(TRIM($AP487))&lt;&gt;"n/a", LOWER(TRIM($AP487))&lt;&gt;"na", SUMPRODUCT(--(UPPER(TRIM($AP$2:$AP$518))=UPPER(TRIM($AP487))), --(UPPER(TRIM($B$2:$B$518))="YES"), --(UPPER(TRIM($G$2:$G$518)&amp;TRIM($I$2:$I$518)&amp;TRIM($J$2:$J$518))&lt;&gt;UPPER(TRIM($G487)&amp;TRIM($I487)&amp;TRIM($J487))))&gt;0), AND($AQ487&lt;&gt;"", LOWER(TRIM($AQ487))&lt;&gt;"n/a", LOWER(TRIM($AQ487))&lt;&gt;"na", SUMPRODUCT(--(UPPER(TRIM($AQ$2:$AQ$518))=UPPER(TRIM($AQ487))), --(UPPER(TRIM($B$2:$B$518))="YES"), --(UPPER(TRIM($G$2:$G$518)&amp;TRIM($I$2:$I$518)&amp;TRIM($J$2:$J$518))&lt;&gt;UPPER(TRIM($G487)&amp;TRIM($I487)&amp;TRIM($J487))))&gt;0)), "Yes", "No"))</f>
        <v/>
      </c>
      <c r="CD487">
        <f>IF($Y487="","",IF((IF(AND($BR487&lt;&gt;"Yes",$BR487&lt;&gt;"N/A"),"Power Cable, ","")&amp;IF(AND($BS487&lt;&gt;"Yes",$BS487&lt;&gt;"N/A"),"Battery, ","")&amp;IF(AND($AD487&lt;&gt;"Yes",$AD487&lt;&gt;"N/A"),"Firmware Download, ","")&amp;IF(AND(OR($AD487="Yes",$AD487="N/A"),$AE487&lt;&gt;"Yes",$AE487&lt;&gt;"N/A"),"Firmware Install, ","")&amp;IF(AND($CB487&lt;&gt;"Yes",$CB487&lt;&gt;"N/A"),"Device ID, ","")&amp;IF(AND($CC487&lt;&gt;"Yes",$CC487&lt;&gt;"N/A"),"Epic Beans Relay, ",""))="","",LEFT(IF(AND($BR487&lt;&gt;"Yes",$BR487&lt;&gt;"N/A"),"Power Cable, ","")&amp;IF(AND($BS487&lt;&gt;"Yes",$BS487&lt;&gt;"N/A"),"Battery, ","")&amp;IF(AND($AD487&lt;&gt;"Yes",$AD487&lt;&gt;"N/A"),"Firmware Download, ","")&amp;IF(AND(OR($AD487="Yes",$AD487="N/A"),$AE487&lt;&gt;"Yes",$AE487&lt;&gt;"N/A"),"Firmware Install, ","")&amp;IF(AND($CB487&lt;&gt;"Yes",$CB487&lt;&gt;"N/A"),"Device ID, ","")&amp;IF(AND($CC487&lt;&gt;"Yes",$CC487&lt;&gt;"N/A"),"Epic Beans Relay, ",""),LEN(IF(AND($BR487&lt;&gt;"Yes",$BR487&lt;&gt;"N/A"),"Power Cable, ","")&amp;IF(AND($BS487&lt;&gt;"Yes",$BS487&lt;&gt;"N/A"),"Battery, ","")&amp;IF(AND($AD487&lt;&gt;"Yes",$AD487&lt;&gt;"N/A"),"Firmware Download, ","")&amp;IF(AND(OR($AD487="Yes",$AD487="N/A"),$AE487&lt;&gt;"Yes",$AE487&lt;&gt;"N/A"),"Firmware Install, ","")&amp;IF(AND($CB487&lt;&gt;"Yes",$CB487&lt;&gt;"N/A"),"Device ID, ","")&amp;IF(AND($CC487&lt;&gt;"Yes",$CC487&lt;&gt;"N/A"),"Epic Beans Relay, ",""))-2)))</f>
        <v/>
      </c>
      <c r="CE487">
        <f>IF($Y487="","",IF($CD487="","Yes","Blocked"))</f>
        <v/>
      </c>
      <c r="CP487">
        <f>IF($CO487="","",IFERROR(VLOOKUP($CO487,'01_Warehouse_Ledger'!$A:$N,4,FALSE),""))</f>
        <v/>
      </c>
      <c r="CQ487">
        <f>IF($CO487="","",IFERROR(VLOOKUP($CO487,'01_Warehouse_Ledger'!$A:$N,5,FALSE),""))</f>
        <v/>
      </c>
      <c r="CR487">
        <f>IF($CO487="","",IFERROR(VLOOKUP($CO487,'01_Warehouse_Ledger'!$A:$N,13,FALSE),""))</f>
        <v/>
      </c>
      <c r="CW487">
        <f>IF($S487="","",IF(UPPER(TRIM($S487))&lt;&gt;"PASS","",IF(LEN(TRIM($BY487))&gt;0,"NOTES_PRESENT",IF(LEN(TRIM($T487))=0,"SET_NA",IF(OR(LOWER(TRIM($T487))="na",LOWER(TRIM($T487))="n/a"),"OK","MANUAL_OVERRIDE")))))</f>
        <v/>
      </c>
    </row>
    <row r="488">
      <c r="B488" t="inlineStr">
        <is>
          <t>No</t>
        </is>
      </c>
      <c r="C488" t="inlineStr">
        <is>
          <t>No</t>
        </is>
      </c>
      <c r="D488">
        <f>IF($B488&lt;&gt;"Yes","",IF($C488="No","Yes",IF($C488="Yes","No","")))</f>
        <v/>
      </c>
      <c r="E488">
        <f>IF($A488="","",IF(OR(AND($V488&lt;&gt;"",LOWER(TRIM($V488))&lt;&gt;"n/a",LOWER(TRIM($V488))&lt;&gt;"na",SUMPRODUCT(--(UPPER(TRIM($V$2:$V$518))=UPPER(TRIM($V488))),--(TRIM($V$2:$V$518)&lt;&gt;""),--(LOWER(TRIM($V$2:$V$518))&lt;&gt;"n/a"),--(LOWER(TRIM($V$2:$V$518))&lt;&gt;"na"))&gt;1),AND($W488&lt;&gt;"",LOWER(TRIM($W488))&lt;&gt;"n/a",LOWER(TRIM($W488))&lt;&gt;"na",SUMPRODUCT(--(UPPER(TRIM($W$2:$W$518))=UPPER(TRIM($W488))),--(TRIM($W$2:$W$518)&lt;&gt;""),--(LOWER(TRIM($W$2:$W$518))&lt;&gt;"n/a"),--(LOWER(TRIM($W$2:$W$518))&lt;&gt;"na"))&gt;1),AND($X488&lt;&gt;"",LOWER(TRIM($X488))&lt;&gt;"n/a",LOWER(TRIM($X488))&lt;&gt;"na",SUMPRODUCT(--(UPPER(TRIM($X$2:$X$518))=UPPER(TRIM($X488))),--(TRIM($X$2:$X$518)&lt;&gt;""),--(LOWER(TRIM($X$2:$X$518))&lt;&gt;"n/a"),--(LOWER(TRIM($X$2:$X$518))&lt;&gt;"na"))&gt;1),AND($Y488&lt;&gt;"",LOWER(TRIM($Y488))&lt;&gt;"n/a",LOWER(TRIM($Y488))&lt;&gt;"na",SUMPRODUCT(--(UPPER(SUBSTITUTE(SUBSTITUTE(TRIM($Y$2:$Y$518),":",""),"-",""))=UPPER(SUBSTITUTE(SUBSTITUTE(TRIM($Y488),":",""),"-",""))),--(TRIM($Y$2:$Y$518)&lt;&gt;""),--(LOWER(TRIM($Y$2:$Y$518))&lt;&gt;"n/a"),--(LOWER(TRIM($Y$2:$Y$518))&lt;&gt;"na"))&gt;1),AND($AB488&lt;&gt;"",LOWER(TRIM($AB488))&lt;&gt;"n/a",LOWER(TRIM($AB488))&lt;&gt;"na",SUMPRODUCT(--(UPPER(TRIM($AB$2:$AB$518))=UPPER(TRIM($AB488))),--(TRIM($AB$2:$AB$518)&lt;&gt;""),--(LOWER(TRIM($AB$2:$AB$518))&lt;&gt;"n/a"),--(LOWER(TRIM($AB$2:$AB$518))&lt;&gt;"na"))&gt;1),AND($AH488&lt;&gt;"",LOWER(TRIM($AH488))&lt;&gt;"n/a",LOWER(TRIM($AH488))&lt;&gt;"na",SUMPRODUCT(--(UPPER(SUBSTITUTE(SUBSTITUTE(TRIM($AH$2:$AH$518),":",""),"-",""))=UPPER(SUBSTITUTE(SUBSTITUTE(TRIM($AH488),":",""),"-",""))),--(TRIM($AH$2:$AH$518)&lt;&gt;""),--(LOWER(TRIM($AH$2:$AH$518))&lt;&gt;"n/a"),--(LOWER(TRIM($AH$2:$AH$518))&lt;&gt;"na"))&gt;1),AND($AP488&lt;&gt;"",LOWER(TRIM($AP488))&lt;&gt;"n/a",LOWER(TRIM($AP488))&lt;&gt;"na",SUMPRODUCT(--(UPPER(TRIM($AP$2:$AP$518))=UPPER(TRIM($AP488))),--(TRIM($AP$2:$AP$518)&lt;&gt;""),--(LOWER(TRIM($AP$2:$AP$518))&lt;&gt;"n/a"),--(LOWER(TRIM($AP$2:$AP$518))&lt;&gt;"na"))&gt;1),AND($AQ488&lt;&gt;"",LOWER(TRIM($AQ488))&lt;&gt;"n/a",LOWER(TRIM($AQ488))&lt;&gt;"na",SUMPRODUCT(--(UPPER(TRIM($AQ$2:$AQ$518))=UPPER(TRIM($AQ488))),--(TRIM($AQ$2:$AQ$518)&lt;&gt;""),--(LOWER(TRIM($AQ$2:$AQ$518))&lt;&gt;"n/a"),--(LOWER(TRIM($AQ$2:$AQ$518))&lt;&gt;"na"))&gt;1)),"Yes","No"))</f>
        <v/>
      </c>
      <c r="F488">
        <f>IF(UPPER(TRIM($B488))&lt;&gt;"YES","", IF(OR(AND($V488&lt;&gt;"", LOWER(TRIM($V488))&lt;&gt;"n/a", LOWER(TRIM($V488))&lt;&gt;"na", SUMPRODUCT(--(UPPER(TRIM($V$2:$V$518))=UPPER(TRIM($V488))), --(UPPER(TRIM($B$2:$B$518))="YES"), --(UPPER(TRIM($G$2:$G$518)&amp;TRIM($I$2:$I$518)&amp;TRIM($J$2:$J$518))&lt;&gt;UPPER(TRIM($G488)&amp;TRIM($I488)&amp;TRIM($J488))))&gt;0), AND($W488&lt;&gt;"", LOWER(TRIM($W488))&lt;&gt;"n/a", LOWER(TRIM($W488))&lt;&gt;"na", SUMPRODUCT(--(UPPER(TRIM($W$2:$W$518))=UPPER(TRIM($W488))), --(UPPER(TRIM($B$2:$B$518))="YES"), --(UPPER(TRIM($G$2:$G$518)&amp;TRIM($I$2:$I$518)&amp;TRIM($J$2:$J$518))&lt;&gt;UPPER(TRIM($G488)&amp;TRIM($I488)&amp;TRIM($J488))))&gt;0), AND($X488&lt;&gt;"", LOWER(TRIM($X488))&lt;&gt;"n/a", LOWER(TRIM($X488))&lt;&gt;"na", SUMPRODUCT(--(UPPER(TRIM($X$2:$X$518))=UPPER(TRIM($X488))), --(UPPER(TRIM($B$2:$B$518))="YES"), --(UPPER(TRIM($G$2:$G$518)&amp;TRIM($I$2:$I$518)&amp;TRIM($J$2:$J$518))&lt;&gt;UPPER(TRIM($G488)&amp;TRIM($I488)&amp;TRIM($J488))))&gt;0), AND($Y488&lt;&gt;"", LOWER(TRIM($Y488))&lt;&gt;"n/a", LOWER(TRIM($Y488))&lt;&gt;"na", SUMPRODUCT(--(UPPER(SUBSTITUTE(SUBSTITUTE(TRIM($Y$2:$Y$518),":",""),"-",""))=UPPER(SUBSTITUTE(SUBSTITUTE(TRIM($Y488),":",""),"-",""))), --(UPPER(TRIM($B$2:$B$518))="YES"), --(UPPER(TRIM($G$2:$G$518)&amp;TRIM($I$2:$I$518)&amp;TRIM($J$2:$J$518))&lt;&gt;UPPER(TRIM($G488)&amp;TRIM($I488)&amp;TRIM($J488))))&gt;0), AND($AB488&lt;&gt;"", LOWER(TRIM($AB488))&lt;&gt;"n/a", LOWER(TRIM($AB488))&lt;&gt;"na", SUMPRODUCT(--(UPPER(TRIM($AB$2:$AB$518))=UPPER(TRIM($AB488))), --(UPPER(TRIM($B$2:$B$518))="YES"), --(UPPER(TRIM($G$2:$G$518)&amp;TRIM($I$2:$I$518)&amp;TRIM($J$2:$J$518))&lt;&gt;UPPER(TRIM($G488)&amp;TRIM($I488)&amp;TRIM($J488))))&gt;0), AND($AH488&lt;&gt;"", LOWER(TRIM($AH488))&lt;&gt;"n/a", LOWER(TRIM($AH488))&lt;&gt;"na", SUMPRODUCT(--(UPPER(SUBSTITUTE(SUBSTITUTE(TRIM($AH$2:$AH$518),":",""),"-",""))=UPPER(SUBSTITUTE(SUBSTITUTE(TRIM($AH488),":",""),"-",""))), --(UPPER(TRIM($B$2:$B$518))="YES"), --(UPPER(TRIM($G$2:$G$518)&amp;TRIM($I$2:$I$518)&amp;TRIM($J$2:$J$518))&lt;&gt;UPPER(TRIM($G488)&amp;TRIM($I488)&amp;TRIM($J488))))&gt;0), AND($AP488&lt;&gt;"", LOWER(TRIM($AP488))&lt;&gt;"n/a", LOWER(TRIM($AP488))&lt;&gt;"na", SUMPRODUCT(--(UPPER(TRIM($AP$2:$AP$518))=UPPER(TRIM($AP488))), --(UPPER(TRIM($B$2:$B$518))="YES"), --(UPPER(TRIM($G$2:$G$518)&amp;TRIM($I$2:$I$518)&amp;TRIM($J$2:$J$518))&lt;&gt;UPPER(TRIM($G488)&amp;TRIM($I488)&amp;TRIM($J488))))&gt;0), AND($AQ488&lt;&gt;"", LOWER(TRIM($AQ488))&lt;&gt;"n/a", LOWER(TRIM($AQ488))&lt;&gt;"na", SUMPRODUCT(--(UPPER(TRIM($AQ$2:$AQ$518))=UPPER(TRIM($AQ488))), --(UPPER(TRIM($B$2:$B$518))="YES"), --(UPPER(TRIM($G$2:$G$518)&amp;TRIM($I$2:$I$518)&amp;TRIM($J$2:$J$518))&lt;&gt;UPPER(TRIM($G488)&amp;TRIM($I488)&amp;TRIM($J488))))&gt;0)), "Yes", "No"))</f>
        <v/>
      </c>
      <c r="CD488">
        <f>IF($Y488="","",IF((IF(AND($BR488&lt;&gt;"Yes",$BR488&lt;&gt;"N/A"),"Power Cable, ","")&amp;IF(AND($BS488&lt;&gt;"Yes",$BS488&lt;&gt;"N/A"),"Battery, ","")&amp;IF(AND($AD488&lt;&gt;"Yes",$AD488&lt;&gt;"N/A"),"Firmware Download, ","")&amp;IF(AND(OR($AD488="Yes",$AD488="N/A"),$AE488&lt;&gt;"Yes",$AE488&lt;&gt;"N/A"),"Firmware Install, ","")&amp;IF(AND($CB488&lt;&gt;"Yes",$CB488&lt;&gt;"N/A"),"Device ID, ","")&amp;IF(AND($CC488&lt;&gt;"Yes",$CC488&lt;&gt;"N/A"),"Epic Beans Relay, ",""))="","",LEFT(IF(AND($BR488&lt;&gt;"Yes",$BR488&lt;&gt;"N/A"),"Power Cable, ","")&amp;IF(AND($BS488&lt;&gt;"Yes",$BS488&lt;&gt;"N/A"),"Battery, ","")&amp;IF(AND($AD488&lt;&gt;"Yes",$AD488&lt;&gt;"N/A"),"Firmware Download, ","")&amp;IF(AND(OR($AD488="Yes",$AD488="N/A"),$AE488&lt;&gt;"Yes",$AE488&lt;&gt;"N/A"),"Firmware Install, ","")&amp;IF(AND($CB488&lt;&gt;"Yes",$CB488&lt;&gt;"N/A"),"Device ID, ","")&amp;IF(AND($CC488&lt;&gt;"Yes",$CC488&lt;&gt;"N/A"),"Epic Beans Relay, ",""),LEN(IF(AND($BR488&lt;&gt;"Yes",$BR488&lt;&gt;"N/A"),"Power Cable, ","")&amp;IF(AND($BS488&lt;&gt;"Yes",$BS488&lt;&gt;"N/A"),"Battery, ","")&amp;IF(AND($AD488&lt;&gt;"Yes",$AD488&lt;&gt;"N/A"),"Firmware Download, ","")&amp;IF(AND(OR($AD488="Yes",$AD488="N/A"),$AE488&lt;&gt;"Yes",$AE488&lt;&gt;"N/A"),"Firmware Install, ","")&amp;IF(AND($CB488&lt;&gt;"Yes",$CB488&lt;&gt;"N/A"),"Device ID, ","")&amp;IF(AND($CC488&lt;&gt;"Yes",$CC488&lt;&gt;"N/A"),"Epic Beans Relay, ",""))-2)))</f>
        <v/>
      </c>
      <c r="CE488">
        <f>IF($Y488="","",IF($CD488="","Yes","Blocked"))</f>
        <v/>
      </c>
      <c r="CP488">
        <f>IF($CO488="","",IFERROR(VLOOKUP($CO488,'01_Warehouse_Ledger'!$A:$N,4,FALSE),""))</f>
        <v/>
      </c>
      <c r="CQ488">
        <f>IF($CO488="","",IFERROR(VLOOKUP($CO488,'01_Warehouse_Ledger'!$A:$N,5,FALSE),""))</f>
        <v/>
      </c>
      <c r="CR488">
        <f>IF($CO488="","",IFERROR(VLOOKUP($CO488,'01_Warehouse_Ledger'!$A:$N,13,FALSE),""))</f>
        <v/>
      </c>
      <c r="CW488">
        <f>IF($S488="","",IF(UPPER(TRIM($S488))&lt;&gt;"PASS","",IF(LEN(TRIM($BY488))&gt;0,"NOTES_PRESENT",IF(LEN(TRIM($T488))=0,"SET_NA",IF(OR(LOWER(TRIM($T488))="na",LOWER(TRIM($T488))="n/a"),"OK","MANUAL_OVERRIDE")))))</f>
        <v/>
      </c>
    </row>
    <row r="489">
      <c r="B489" t="inlineStr">
        <is>
          <t>No</t>
        </is>
      </c>
      <c r="C489" t="inlineStr">
        <is>
          <t>No</t>
        </is>
      </c>
      <c r="D489">
        <f>IF($B489&lt;&gt;"Yes","",IF($C489="No","Yes",IF($C489="Yes","No","")))</f>
        <v/>
      </c>
      <c r="E489">
        <f>IF($A489="","",IF(OR(AND($V489&lt;&gt;"",LOWER(TRIM($V489))&lt;&gt;"n/a",LOWER(TRIM($V489))&lt;&gt;"na",SUMPRODUCT(--(UPPER(TRIM($V$2:$V$518))=UPPER(TRIM($V489))),--(TRIM($V$2:$V$518)&lt;&gt;""),--(LOWER(TRIM($V$2:$V$518))&lt;&gt;"n/a"),--(LOWER(TRIM($V$2:$V$518))&lt;&gt;"na"))&gt;1),AND($W489&lt;&gt;"",LOWER(TRIM($W489))&lt;&gt;"n/a",LOWER(TRIM($W489))&lt;&gt;"na",SUMPRODUCT(--(UPPER(TRIM($W$2:$W$518))=UPPER(TRIM($W489))),--(TRIM($W$2:$W$518)&lt;&gt;""),--(LOWER(TRIM($W$2:$W$518))&lt;&gt;"n/a"),--(LOWER(TRIM($W$2:$W$518))&lt;&gt;"na"))&gt;1),AND($X489&lt;&gt;"",LOWER(TRIM($X489))&lt;&gt;"n/a",LOWER(TRIM($X489))&lt;&gt;"na",SUMPRODUCT(--(UPPER(TRIM($X$2:$X$518))=UPPER(TRIM($X489))),--(TRIM($X$2:$X$518)&lt;&gt;""),--(LOWER(TRIM($X$2:$X$518))&lt;&gt;"n/a"),--(LOWER(TRIM($X$2:$X$518))&lt;&gt;"na"))&gt;1),AND($Y489&lt;&gt;"",LOWER(TRIM($Y489))&lt;&gt;"n/a",LOWER(TRIM($Y489))&lt;&gt;"na",SUMPRODUCT(--(UPPER(SUBSTITUTE(SUBSTITUTE(TRIM($Y$2:$Y$518),":",""),"-",""))=UPPER(SUBSTITUTE(SUBSTITUTE(TRIM($Y489),":",""),"-",""))),--(TRIM($Y$2:$Y$518)&lt;&gt;""),--(LOWER(TRIM($Y$2:$Y$518))&lt;&gt;"n/a"),--(LOWER(TRIM($Y$2:$Y$518))&lt;&gt;"na"))&gt;1),AND($AB489&lt;&gt;"",LOWER(TRIM($AB489))&lt;&gt;"n/a",LOWER(TRIM($AB489))&lt;&gt;"na",SUMPRODUCT(--(UPPER(TRIM($AB$2:$AB$518))=UPPER(TRIM($AB489))),--(TRIM($AB$2:$AB$518)&lt;&gt;""),--(LOWER(TRIM($AB$2:$AB$518))&lt;&gt;"n/a"),--(LOWER(TRIM($AB$2:$AB$518))&lt;&gt;"na"))&gt;1),AND($AH489&lt;&gt;"",LOWER(TRIM($AH489))&lt;&gt;"n/a",LOWER(TRIM($AH489))&lt;&gt;"na",SUMPRODUCT(--(UPPER(SUBSTITUTE(SUBSTITUTE(TRIM($AH$2:$AH$518),":",""),"-",""))=UPPER(SUBSTITUTE(SUBSTITUTE(TRIM($AH489),":",""),"-",""))),--(TRIM($AH$2:$AH$518)&lt;&gt;""),--(LOWER(TRIM($AH$2:$AH$518))&lt;&gt;"n/a"),--(LOWER(TRIM($AH$2:$AH$518))&lt;&gt;"na"))&gt;1),AND($AP489&lt;&gt;"",LOWER(TRIM($AP489))&lt;&gt;"n/a",LOWER(TRIM($AP489))&lt;&gt;"na",SUMPRODUCT(--(UPPER(TRIM($AP$2:$AP$518))=UPPER(TRIM($AP489))),--(TRIM($AP$2:$AP$518)&lt;&gt;""),--(LOWER(TRIM($AP$2:$AP$518))&lt;&gt;"n/a"),--(LOWER(TRIM($AP$2:$AP$518))&lt;&gt;"na"))&gt;1),AND($AQ489&lt;&gt;"",LOWER(TRIM($AQ489))&lt;&gt;"n/a",LOWER(TRIM($AQ489))&lt;&gt;"na",SUMPRODUCT(--(UPPER(TRIM($AQ$2:$AQ$518))=UPPER(TRIM($AQ489))),--(TRIM($AQ$2:$AQ$518)&lt;&gt;""),--(LOWER(TRIM($AQ$2:$AQ$518))&lt;&gt;"n/a"),--(LOWER(TRIM($AQ$2:$AQ$518))&lt;&gt;"na"))&gt;1)),"Yes","No"))</f>
        <v/>
      </c>
      <c r="F489">
        <f>IF(UPPER(TRIM($B489))&lt;&gt;"YES","", IF(OR(AND($V489&lt;&gt;"", LOWER(TRIM($V489))&lt;&gt;"n/a", LOWER(TRIM($V489))&lt;&gt;"na", SUMPRODUCT(--(UPPER(TRIM($V$2:$V$518))=UPPER(TRIM($V489))), --(UPPER(TRIM($B$2:$B$518))="YES"), --(UPPER(TRIM($G$2:$G$518)&amp;TRIM($I$2:$I$518)&amp;TRIM($J$2:$J$518))&lt;&gt;UPPER(TRIM($G489)&amp;TRIM($I489)&amp;TRIM($J489))))&gt;0), AND($W489&lt;&gt;"", LOWER(TRIM($W489))&lt;&gt;"n/a", LOWER(TRIM($W489))&lt;&gt;"na", SUMPRODUCT(--(UPPER(TRIM($W$2:$W$518))=UPPER(TRIM($W489))), --(UPPER(TRIM($B$2:$B$518))="YES"), --(UPPER(TRIM($G$2:$G$518)&amp;TRIM($I$2:$I$518)&amp;TRIM($J$2:$J$518))&lt;&gt;UPPER(TRIM($G489)&amp;TRIM($I489)&amp;TRIM($J489))))&gt;0), AND($X489&lt;&gt;"", LOWER(TRIM($X489))&lt;&gt;"n/a", LOWER(TRIM($X489))&lt;&gt;"na", SUMPRODUCT(--(UPPER(TRIM($X$2:$X$518))=UPPER(TRIM($X489))), --(UPPER(TRIM($B$2:$B$518))="YES"), --(UPPER(TRIM($G$2:$G$518)&amp;TRIM($I$2:$I$518)&amp;TRIM($J$2:$J$518))&lt;&gt;UPPER(TRIM($G489)&amp;TRIM($I489)&amp;TRIM($J489))))&gt;0), AND($Y489&lt;&gt;"", LOWER(TRIM($Y489))&lt;&gt;"n/a", LOWER(TRIM($Y489))&lt;&gt;"na", SUMPRODUCT(--(UPPER(SUBSTITUTE(SUBSTITUTE(TRIM($Y$2:$Y$518),":",""),"-",""))=UPPER(SUBSTITUTE(SUBSTITUTE(TRIM($Y489),":",""),"-",""))), --(UPPER(TRIM($B$2:$B$518))="YES"), --(UPPER(TRIM($G$2:$G$518)&amp;TRIM($I$2:$I$518)&amp;TRIM($J$2:$J$518))&lt;&gt;UPPER(TRIM($G489)&amp;TRIM($I489)&amp;TRIM($J489))))&gt;0), AND($AB489&lt;&gt;"", LOWER(TRIM($AB489))&lt;&gt;"n/a", LOWER(TRIM($AB489))&lt;&gt;"na", SUMPRODUCT(--(UPPER(TRIM($AB$2:$AB$518))=UPPER(TRIM($AB489))), --(UPPER(TRIM($B$2:$B$518))="YES"), --(UPPER(TRIM($G$2:$G$518)&amp;TRIM($I$2:$I$518)&amp;TRIM($J$2:$J$518))&lt;&gt;UPPER(TRIM($G489)&amp;TRIM($I489)&amp;TRIM($J489))))&gt;0), AND($AH489&lt;&gt;"", LOWER(TRIM($AH489))&lt;&gt;"n/a", LOWER(TRIM($AH489))&lt;&gt;"na", SUMPRODUCT(--(UPPER(SUBSTITUTE(SUBSTITUTE(TRIM($AH$2:$AH$518),":",""),"-",""))=UPPER(SUBSTITUTE(SUBSTITUTE(TRIM($AH489),":",""),"-",""))), --(UPPER(TRIM($B$2:$B$518))="YES"), --(UPPER(TRIM($G$2:$G$518)&amp;TRIM($I$2:$I$518)&amp;TRIM($J$2:$J$518))&lt;&gt;UPPER(TRIM($G489)&amp;TRIM($I489)&amp;TRIM($J489))))&gt;0), AND($AP489&lt;&gt;"", LOWER(TRIM($AP489))&lt;&gt;"n/a", LOWER(TRIM($AP489))&lt;&gt;"na", SUMPRODUCT(--(UPPER(TRIM($AP$2:$AP$518))=UPPER(TRIM($AP489))), --(UPPER(TRIM($B$2:$B$518))="YES"), --(UPPER(TRIM($G$2:$G$518)&amp;TRIM($I$2:$I$518)&amp;TRIM($J$2:$J$518))&lt;&gt;UPPER(TRIM($G489)&amp;TRIM($I489)&amp;TRIM($J489))))&gt;0), AND($AQ489&lt;&gt;"", LOWER(TRIM($AQ489))&lt;&gt;"n/a", LOWER(TRIM($AQ489))&lt;&gt;"na", SUMPRODUCT(--(UPPER(TRIM($AQ$2:$AQ$518))=UPPER(TRIM($AQ489))), --(UPPER(TRIM($B$2:$B$518))="YES"), --(UPPER(TRIM($G$2:$G$518)&amp;TRIM($I$2:$I$518)&amp;TRIM($J$2:$J$518))&lt;&gt;UPPER(TRIM($G489)&amp;TRIM($I489)&amp;TRIM($J489))))&gt;0)), "Yes", "No"))</f>
        <v/>
      </c>
      <c r="CD489">
        <f>IF($Y489="","",IF((IF(AND($BR489&lt;&gt;"Yes",$BR489&lt;&gt;"N/A"),"Power Cable, ","")&amp;IF(AND($BS489&lt;&gt;"Yes",$BS489&lt;&gt;"N/A"),"Battery, ","")&amp;IF(AND($AD489&lt;&gt;"Yes",$AD489&lt;&gt;"N/A"),"Firmware Download, ","")&amp;IF(AND(OR($AD489="Yes",$AD489="N/A"),$AE489&lt;&gt;"Yes",$AE489&lt;&gt;"N/A"),"Firmware Install, ","")&amp;IF(AND($CB489&lt;&gt;"Yes",$CB489&lt;&gt;"N/A"),"Device ID, ","")&amp;IF(AND($CC489&lt;&gt;"Yes",$CC489&lt;&gt;"N/A"),"Epic Beans Relay, ",""))="","",LEFT(IF(AND($BR489&lt;&gt;"Yes",$BR489&lt;&gt;"N/A"),"Power Cable, ","")&amp;IF(AND($BS489&lt;&gt;"Yes",$BS489&lt;&gt;"N/A"),"Battery, ","")&amp;IF(AND($AD489&lt;&gt;"Yes",$AD489&lt;&gt;"N/A"),"Firmware Download, ","")&amp;IF(AND(OR($AD489="Yes",$AD489="N/A"),$AE489&lt;&gt;"Yes",$AE489&lt;&gt;"N/A"),"Firmware Install, ","")&amp;IF(AND($CB489&lt;&gt;"Yes",$CB489&lt;&gt;"N/A"),"Device ID, ","")&amp;IF(AND($CC489&lt;&gt;"Yes",$CC489&lt;&gt;"N/A"),"Epic Beans Relay, ",""),LEN(IF(AND($BR489&lt;&gt;"Yes",$BR489&lt;&gt;"N/A"),"Power Cable, ","")&amp;IF(AND($BS489&lt;&gt;"Yes",$BS489&lt;&gt;"N/A"),"Battery, ","")&amp;IF(AND($AD489&lt;&gt;"Yes",$AD489&lt;&gt;"N/A"),"Firmware Download, ","")&amp;IF(AND(OR($AD489="Yes",$AD489="N/A"),$AE489&lt;&gt;"Yes",$AE489&lt;&gt;"N/A"),"Firmware Install, ","")&amp;IF(AND($CB489&lt;&gt;"Yes",$CB489&lt;&gt;"N/A"),"Device ID, ","")&amp;IF(AND($CC489&lt;&gt;"Yes",$CC489&lt;&gt;"N/A"),"Epic Beans Relay, ",""))-2)))</f>
        <v/>
      </c>
      <c r="CE489">
        <f>IF($Y489="","",IF($CD489="","Yes","Blocked"))</f>
        <v/>
      </c>
      <c r="CP489">
        <f>IF($CO489="","",IFERROR(VLOOKUP($CO489,'01_Warehouse_Ledger'!$A:$N,4,FALSE),""))</f>
        <v/>
      </c>
      <c r="CQ489">
        <f>IF($CO489="","",IFERROR(VLOOKUP($CO489,'01_Warehouse_Ledger'!$A:$N,5,FALSE),""))</f>
        <v/>
      </c>
      <c r="CR489">
        <f>IF($CO489="","",IFERROR(VLOOKUP($CO489,'01_Warehouse_Ledger'!$A:$N,13,FALSE),""))</f>
        <v/>
      </c>
      <c r="CW489">
        <f>IF($S489="","",IF(UPPER(TRIM($S489))&lt;&gt;"PASS","",IF(LEN(TRIM($BY489))&gt;0,"NOTES_PRESENT",IF(LEN(TRIM($T489))=0,"SET_NA",IF(OR(LOWER(TRIM($T489))="na",LOWER(TRIM($T489))="n/a"),"OK","MANUAL_OVERRIDE")))))</f>
        <v/>
      </c>
    </row>
    <row r="490">
      <c r="B490" t="inlineStr">
        <is>
          <t>No</t>
        </is>
      </c>
      <c r="C490" t="inlineStr">
        <is>
          <t>No</t>
        </is>
      </c>
      <c r="D490">
        <f>IF($B490&lt;&gt;"Yes","",IF($C490="No","Yes",IF($C490="Yes","No","")))</f>
        <v/>
      </c>
      <c r="E490">
        <f>IF($A490="","",IF(OR(AND($V490&lt;&gt;"",LOWER(TRIM($V490))&lt;&gt;"n/a",LOWER(TRIM($V490))&lt;&gt;"na",SUMPRODUCT(--(UPPER(TRIM($V$2:$V$518))=UPPER(TRIM($V490))),--(TRIM($V$2:$V$518)&lt;&gt;""),--(LOWER(TRIM($V$2:$V$518))&lt;&gt;"n/a"),--(LOWER(TRIM($V$2:$V$518))&lt;&gt;"na"))&gt;1),AND($W490&lt;&gt;"",LOWER(TRIM($W490))&lt;&gt;"n/a",LOWER(TRIM($W490))&lt;&gt;"na",SUMPRODUCT(--(UPPER(TRIM($W$2:$W$518))=UPPER(TRIM($W490))),--(TRIM($W$2:$W$518)&lt;&gt;""),--(LOWER(TRIM($W$2:$W$518))&lt;&gt;"n/a"),--(LOWER(TRIM($W$2:$W$518))&lt;&gt;"na"))&gt;1),AND($X490&lt;&gt;"",LOWER(TRIM($X490))&lt;&gt;"n/a",LOWER(TRIM($X490))&lt;&gt;"na",SUMPRODUCT(--(UPPER(TRIM($X$2:$X$518))=UPPER(TRIM($X490))),--(TRIM($X$2:$X$518)&lt;&gt;""),--(LOWER(TRIM($X$2:$X$518))&lt;&gt;"n/a"),--(LOWER(TRIM($X$2:$X$518))&lt;&gt;"na"))&gt;1),AND($Y490&lt;&gt;"",LOWER(TRIM($Y490))&lt;&gt;"n/a",LOWER(TRIM($Y490))&lt;&gt;"na",SUMPRODUCT(--(UPPER(SUBSTITUTE(SUBSTITUTE(TRIM($Y$2:$Y$518),":",""),"-",""))=UPPER(SUBSTITUTE(SUBSTITUTE(TRIM($Y490),":",""),"-",""))),--(TRIM($Y$2:$Y$518)&lt;&gt;""),--(LOWER(TRIM($Y$2:$Y$518))&lt;&gt;"n/a"),--(LOWER(TRIM($Y$2:$Y$518))&lt;&gt;"na"))&gt;1),AND($AB490&lt;&gt;"",LOWER(TRIM($AB490))&lt;&gt;"n/a",LOWER(TRIM($AB490))&lt;&gt;"na",SUMPRODUCT(--(UPPER(TRIM($AB$2:$AB$518))=UPPER(TRIM($AB490))),--(TRIM($AB$2:$AB$518)&lt;&gt;""),--(LOWER(TRIM($AB$2:$AB$518))&lt;&gt;"n/a"),--(LOWER(TRIM($AB$2:$AB$518))&lt;&gt;"na"))&gt;1),AND($AH490&lt;&gt;"",LOWER(TRIM($AH490))&lt;&gt;"n/a",LOWER(TRIM($AH490))&lt;&gt;"na",SUMPRODUCT(--(UPPER(SUBSTITUTE(SUBSTITUTE(TRIM($AH$2:$AH$518),":",""),"-",""))=UPPER(SUBSTITUTE(SUBSTITUTE(TRIM($AH490),":",""),"-",""))),--(TRIM($AH$2:$AH$518)&lt;&gt;""),--(LOWER(TRIM($AH$2:$AH$518))&lt;&gt;"n/a"),--(LOWER(TRIM($AH$2:$AH$518))&lt;&gt;"na"))&gt;1),AND($AP490&lt;&gt;"",LOWER(TRIM($AP490))&lt;&gt;"n/a",LOWER(TRIM($AP490))&lt;&gt;"na",SUMPRODUCT(--(UPPER(TRIM($AP$2:$AP$518))=UPPER(TRIM($AP490))),--(TRIM($AP$2:$AP$518)&lt;&gt;""),--(LOWER(TRIM($AP$2:$AP$518))&lt;&gt;"n/a"),--(LOWER(TRIM($AP$2:$AP$518))&lt;&gt;"na"))&gt;1),AND($AQ490&lt;&gt;"",LOWER(TRIM($AQ490))&lt;&gt;"n/a",LOWER(TRIM($AQ490))&lt;&gt;"na",SUMPRODUCT(--(UPPER(TRIM($AQ$2:$AQ$518))=UPPER(TRIM($AQ490))),--(TRIM($AQ$2:$AQ$518)&lt;&gt;""),--(LOWER(TRIM($AQ$2:$AQ$518))&lt;&gt;"n/a"),--(LOWER(TRIM($AQ$2:$AQ$518))&lt;&gt;"na"))&gt;1)),"Yes","No"))</f>
        <v/>
      </c>
      <c r="F490">
        <f>IF(UPPER(TRIM($B490))&lt;&gt;"YES","", IF(OR(AND($V490&lt;&gt;"", LOWER(TRIM($V490))&lt;&gt;"n/a", LOWER(TRIM($V490))&lt;&gt;"na", SUMPRODUCT(--(UPPER(TRIM($V$2:$V$518))=UPPER(TRIM($V490))), --(UPPER(TRIM($B$2:$B$518))="YES"), --(UPPER(TRIM($G$2:$G$518)&amp;TRIM($I$2:$I$518)&amp;TRIM($J$2:$J$518))&lt;&gt;UPPER(TRIM($G490)&amp;TRIM($I490)&amp;TRIM($J490))))&gt;0), AND($W490&lt;&gt;"", LOWER(TRIM($W490))&lt;&gt;"n/a", LOWER(TRIM($W490))&lt;&gt;"na", SUMPRODUCT(--(UPPER(TRIM($W$2:$W$518))=UPPER(TRIM($W490))), --(UPPER(TRIM($B$2:$B$518))="YES"), --(UPPER(TRIM($G$2:$G$518)&amp;TRIM($I$2:$I$518)&amp;TRIM($J$2:$J$518))&lt;&gt;UPPER(TRIM($G490)&amp;TRIM($I490)&amp;TRIM($J490))))&gt;0), AND($X490&lt;&gt;"", LOWER(TRIM($X490))&lt;&gt;"n/a", LOWER(TRIM($X490))&lt;&gt;"na", SUMPRODUCT(--(UPPER(TRIM($X$2:$X$518))=UPPER(TRIM($X490))), --(UPPER(TRIM($B$2:$B$518))="YES"), --(UPPER(TRIM($G$2:$G$518)&amp;TRIM($I$2:$I$518)&amp;TRIM($J$2:$J$518))&lt;&gt;UPPER(TRIM($G490)&amp;TRIM($I490)&amp;TRIM($J490))))&gt;0), AND($Y490&lt;&gt;"", LOWER(TRIM($Y490))&lt;&gt;"n/a", LOWER(TRIM($Y490))&lt;&gt;"na", SUMPRODUCT(--(UPPER(SUBSTITUTE(SUBSTITUTE(TRIM($Y$2:$Y$518),":",""),"-",""))=UPPER(SUBSTITUTE(SUBSTITUTE(TRIM($Y490),":",""),"-",""))), --(UPPER(TRIM($B$2:$B$518))="YES"), --(UPPER(TRIM($G$2:$G$518)&amp;TRIM($I$2:$I$518)&amp;TRIM($J$2:$J$518))&lt;&gt;UPPER(TRIM($G490)&amp;TRIM($I490)&amp;TRIM($J490))))&gt;0), AND($AB490&lt;&gt;"", LOWER(TRIM($AB490))&lt;&gt;"n/a", LOWER(TRIM($AB490))&lt;&gt;"na", SUMPRODUCT(--(UPPER(TRIM($AB$2:$AB$518))=UPPER(TRIM($AB490))), --(UPPER(TRIM($B$2:$B$518))="YES"), --(UPPER(TRIM($G$2:$G$518)&amp;TRIM($I$2:$I$518)&amp;TRIM($J$2:$J$518))&lt;&gt;UPPER(TRIM($G490)&amp;TRIM($I490)&amp;TRIM($J490))))&gt;0), AND($AH490&lt;&gt;"", LOWER(TRIM($AH490))&lt;&gt;"n/a", LOWER(TRIM($AH490))&lt;&gt;"na", SUMPRODUCT(--(UPPER(SUBSTITUTE(SUBSTITUTE(TRIM($AH$2:$AH$518),":",""),"-",""))=UPPER(SUBSTITUTE(SUBSTITUTE(TRIM($AH490),":",""),"-",""))), --(UPPER(TRIM($B$2:$B$518))="YES"), --(UPPER(TRIM($G$2:$G$518)&amp;TRIM($I$2:$I$518)&amp;TRIM($J$2:$J$518))&lt;&gt;UPPER(TRIM($G490)&amp;TRIM($I490)&amp;TRIM($J490))))&gt;0), AND($AP490&lt;&gt;"", LOWER(TRIM($AP490))&lt;&gt;"n/a", LOWER(TRIM($AP490))&lt;&gt;"na", SUMPRODUCT(--(UPPER(TRIM($AP$2:$AP$518))=UPPER(TRIM($AP490))), --(UPPER(TRIM($B$2:$B$518))="YES"), --(UPPER(TRIM($G$2:$G$518)&amp;TRIM($I$2:$I$518)&amp;TRIM($J$2:$J$518))&lt;&gt;UPPER(TRIM($G490)&amp;TRIM($I490)&amp;TRIM($J490))))&gt;0), AND($AQ490&lt;&gt;"", LOWER(TRIM($AQ490))&lt;&gt;"n/a", LOWER(TRIM($AQ490))&lt;&gt;"na", SUMPRODUCT(--(UPPER(TRIM($AQ$2:$AQ$518))=UPPER(TRIM($AQ490))), --(UPPER(TRIM($B$2:$B$518))="YES"), --(UPPER(TRIM($G$2:$G$518)&amp;TRIM($I$2:$I$518)&amp;TRIM($J$2:$J$518))&lt;&gt;UPPER(TRIM($G490)&amp;TRIM($I490)&amp;TRIM($J490))))&gt;0)), "Yes", "No"))</f>
        <v/>
      </c>
      <c r="CD490">
        <f>IF($Y490="","",IF((IF(AND($BR490&lt;&gt;"Yes",$BR490&lt;&gt;"N/A"),"Power Cable, ","")&amp;IF(AND($BS490&lt;&gt;"Yes",$BS490&lt;&gt;"N/A"),"Battery, ","")&amp;IF(AND($AD490&lt;&gt;"Yes",$AD490&lt;&gt;"N/A"),"Firmware Download, ","")&amp;IF(AND(OR($AD490="Yes",$AD490="N/A"),$AE490&lt;&gt;"Yes",$AE490&lt;&gt;"N/A"),"Firmware Install, ","")&amp;IF(AND($CB490&lt;&gt;"Yes",$CB490&lt;&gt;"N/A"),"Device ID, ","")&amp;IF(AND($CC490&lt;&gt;"Yes",$CC490&lt;&gt;"N/A"),"Epic Beans Relay, ",""))="","",LEFT(IF(AND($BR490&lt;&gt;"Yes",$BR490&lt;&gt;"N/A"),"Power Cable, ","")&amp;IF(AND($BS490&lt;&gt;"Yes",$BS490&lt;&gt;"N/A"),"Battery, ","")&amp;IF(AND($AD490&lt;&gt;"Yes",$AD490&lt;&gt;"N/A"),"Firmware Download, ","")&amp;IF(AND(OR($AD490="Yes",$AD490="N/A"),$AE490&lt;&gt;"Yes",$AE490&lt;&gt;"N/A"),"Firmware Install, ","")&amp;IF(AND($CB490&lt;&gt;"Yes",$CB490&lt;&gt;"N/A"),"Device ID, ","")&amp;IF(AND($CC490&lt;&gt;"Yes",$CC490&lt;&gt;"N/A"),"Epic Beans Relay, ",""),LEN(IF(AND($BR490&lt;&gt;"Yes",$BR490&lt;&gt;"N/A"),"Power Cable, ","")&amp;IF(AND($BS490&lt;&gt;"Yes",$BS490&lt;&gt;"N/A"),"Battery, ","")&amp;IF(AND($AD490&lt;&gt;"Yes",$AD490&lt;&gt;"N/A"),"Firmware Download, ","")&amp;IF(AND(OR($AD490="Yes",$AD490="N/A"),$AE490&lt;&gt;"Yes",$AE490&lt;&gt;"N/A"),"Firmware Install, ","")&amp;IF(AND($CB490&lt;&gt;"Yes",$CB490&lt;&gt;"N/A"),"Device ID, ","")&amp;IF(AND($CC490&lt;&gt;"Yes",$CC490&lt;&gt;"N/A"),"Epic Beans Relay, ",""))-2)))</f>
        <v/>
      </c>
      <c r="CE490">
        <f>IF($Y490="","",IF($CD490="","Yes","Blocked"))</f>
        <v/>
      </c>
      <c r="CP490">
        <f>IF($CO490="","",IFERROR(VLOOKUP($CO490,'01_Warehouse_Ledger'!$A:$N,4,FALSE),""))</f>
        <v/>
      </c>
      <c r="CQ490">
        <f>IF($CO490="","",IFERROR(VLOOKUP($CO490,'01_Warehouse_Ledger'!$A:$N,5,FALSE),""))</f>
        <v/>
      </c>
      <c r="CR490">
        <f>IF($CO490="","",IFERROR(VLOOKUP($CO490,'01_Warehouse_Ledger'!$A:$N,13,FALSE),""))</f>
        <v/>
      </c>
      <c r="CW490">
        <f>IF($S490="","",IF(UPPER(TRIM($S490))&lt;&gt;"PASS","",IF(LEN(TRIM($BY490))&gt;0,"NOTES_PRESENT",IF(LEN(TRIM($T490))=0,"SET_NA",IF(OR(LOWER(TRIM($T490))="na",LOWER(TRIM($T490))="n/a"),"OK","MANUAL_OVERRIDE")))))</f>
        <v/>
      </c>
    </row>
    <row r="491">
      <c r="B491" t="inlineStr">
        <is>
          <t>No</t>
        </is>
      </c>
      <c r="C491" t="inlineStr">
        <is>
          <t>No</t>
        </is>
      </c>
      <c r="D491">
        <f>IF($B491&lt;&gt;"Yes","",IF($C491="No","Yes",IF($C491="Yes","No","")))</f>
        <v/>
      </c>
      <c r="E491">
        <f>IF($A491="","",IF(OR(AND($V491&lt;&gt;"",LOWER(TRIM($V491))&lt;&gt;"n/a",LOWER(TRIM($V491))&lt;&gt;"na",SUMPRODUCT(--(UPPER(TRIM($V$2:$V$518))=UPPER(TRIM($V491))),--(TRIM($V$2:$V$518)&lt;&gt;""),--(LOWER(TRIM($V$2:$V$518))&lt;&gt;"n/a"),--(LOWER(TRIM($V$2:$V$518))&lt;&gt;"na"))&gt;1),AND($W491&lt;&gt;"",LOWER(TRIM($W491))&lt;&gt;"n/a",LOWER(TRIM($W491))&lt;&gt;"na",SUMPRODUCT(--(UPPER(TRIM($W$2:$W$518))=UPPER(TRIM($W491))),--(TRIM($W$2:$W$518)&lt;&gt;""),--(LOWER(TRIM($W$2:$W$518))&lt;&gt;"n/a"),--(LOWER(TRIM($W$2:$W$518))&lt;&gt;"na"))&gt;1),AND($X491&lt;&gt;"",LOWER(TRIM($X491))&lt;&gt;"n/a",LOWER(TRIM($X491))&lt;&gt;"na",SUMPRODUCT(--(UPPER(TRIM($X$2:$X$518))=UPPER(TRIM($X491))),--(TRIM($X$2:$X$518)&lt;&gt;""),--(LOWER(TRIM($X$2:$X$518))&lt;&gt;"n/a"),--(LOWER(TRIM($X$2:$X$518))&lt;&gt;"na"))&gt;1),AND($Y491&lt;&gt;"",LOWER(TRIM($Y491))&lt;&gt;"n/a",LOWER(TRIM($Y491))&lt;&gt;"na",SUMPRODUCT(--(UPPER(SUBSTITUTE(SUBSTITUTE(TRIM($Y$2:$Y$518),":",""),"-",""))=UPPER(SUBSTITUTE(SUBSTITUTE(TRIM($Y491),":",""),"-",""))),--(TRIM($Y$2:$Y$518)&lt;&gt;""),--(LOWER(TRIM($Y$2:$Y$518))&lt;&gt;"n/a"),--(LOWER(TRIM($Y$2:$Y$518))&lt;&gt;"na"))&gt;1),AND($AB491&lt;&gt;"",LOWER(TRIM($AB491))&lt;&gt;"n/a",LOWER(TRIM($AB491))&lt;&gt;"na",SUMPRODUCT(--(UPPER(TRIM($AB$2:$AB$518))=UPPER(TRIM($AB491))),--(TRIM($AB$2:$AB$518)&lt;&gt;""),--(LOWER(TRIM($AB$2:$AB$518))&lt;&gt;"n/a"),--(LOWER(TRIM($AB$2:$AB$518))&lt;&gt;"na"))&gt;1),AND($AH491&lt;&gt;"",LOWER(TRIM($AH491))&lt;&gt;"n/a",LOWER(TRIM($AH491))&lt;&gt;"na",SUMPRODUCT(--(UPPER(SUBSTITUTE(SUBSTITUTE(TRIM($AH$2:$AH$518),":",""),"-",""))=UPPER(SUBSTITUTE(SUBSTITUTE(TRIM($AH491),":",""),"-",""))),--(TRIM($AH$2:$AH$518)&lt;&gt;""),--(LOWER(TRIM($AH$2:$AH$518))&lt;&gt;"n/a"),--(LOWER(TRIM($AH$2:$AH$518))&lt;&gt;"na"))&gt;1),AND($AP491&lt;&gt;"",LOWER(TRIM($AP491))&lt;&gt;"n/a",LOWER(TRIM($AP491))&lt;&gt;"na",SUMPRODUCT(--(UPPER(TRIM($AP$2:$AP$518))=UPPER(TRIM($AP491))),--(TRIM($AP$2:$AP$518)&lt;&gt;""),--(LOWER(TRIM($AP$2:$AP$518))&lt;&gt;"n/a"),--(LOWER(TRIM($AP$2:$AP$518))&lt;&gt;"na"))&gt;1),AND($AQ491&lt;&gt;"",LOWER(TRIM($AQ491))&lt;&gt;"n/a",LOWER(TRIM($AQ491))&lt;&gt;"na",SUMPRODUCT(--(UPPER(TRIM($AQ$2:$AQ$518))=UPPER(TRIM($AQ491))),--(TRIM($AQ$2:$AQ$518)&lt;&gt;""),--(LOWER(TRIM($AQ$2:$AQ$518))&lt;&gt;"n/a"),--(LOWER(TRIM($AQ$2:$AQ$518))&lt;&gt;"na"))&gt;1)),"Yes","No"))</f>
        <v/>
      </c>
      <c r="F491">
        <f>IF(UPPER(TRIM($B491))&lt;&gt;"YES","", IF(OR(AND($V491&lt;&gt;"", LOWER(TRIM($V491))&lt;&gt;"n/a", LOWER(TRIM($V491))&lt;&gt;"na", SUMPRODUCT(--(UPPER(TRIM($V$2:$V$518))=UPPER(TRIM($V491))), --(UPPER(TRIM($B$2:$B$518))="YES"), --(UPPER(TRIM($G$2:$G$518)&amp;TRIM($I$2:$I$518)&amp;TRIM($J$2:$J$518))&lt;&gt;UPPER(TRIM($G491)&amp;TRIM($I491)&amp;TRIM($J491))))&gt;0), AND($W491&lt;&gt;"", LOWER(TRIM($W491))&lt;&gt;"n/a", LOWER(TRIM($W491))&lt;&gt;"na", SUMPRODUCT(--(UPPER(TRIM($W$2:$W$518))=UPPER(TRIM($W491))), --(UPPER(TRIM($B$2:$B$518))="YES"), --(UPPER(TRIM($G$2:$G$518)&amp;TRIM($I$2:$I$518)&amp;TRIM($J$2:$J$518))&lt;&gt;UPPER(TRIM($G491)&amp;TRIM($I491)&amp;TRIM($J491))))&gt;0), AND($X491&lt;&gt;"", LOWER(TRIM($X491))&lt;&gt;"n/a", LOWER(TRIM($X491))&lt;&gt;"na", SUMPRODUCT(--(UPPER(TRIM($X$2:$X$518))=UPPER(TRIM($X491))), --(UPPER(TRIM($B$2:$B$518))="YES"), --(UPPER(TRIM($G$2:$G$518)&amp;TRIM($I$2:$I$518)&amp;TRIM($J$2:$J$518))&lt;&gt;UPPER(TRIM($G491)&amp;TRIM($I491)&amp;TRIM($J491))))&gt;0), AND($Y491&lt;&gt;"", LOWER(TRIM($Y491))&lt;&gt;"n/a", LOWER(TRIM($Y491))&lt;&gt;"na", SUMPRODUCT(--(UPPER(SUBSTITUTE(SUBSTITUTE(TRIM($Y$2:$Y$518),":",""),"-",""))=UPPER(SUBSTITUTE(SUBSTITUTE(TRIM($Y491),":",""),"-",""))), --(UPPER(TRIM($B$2:$B$518))="YES"), --(UPPER(TRIM($G$2:$G$518)&amp;TRIM($I$2:$I$518)&amp;TRIM($J$2:$J$518))&lt;&gt;UPPER(TRIM($G491)&amp;TRIM($I491)&amp;TRIM($J491))))&gt;0), AND($AB491&lt;&gt;"", LOWER(TRIM($AB491))&lt;&gt;"n/a", LOWER(TRIM($AB491))&lt;&gt;"na", SUMPRODUCT(--(UPPER(TRIM($AB$2:$AB$518))=UPPER(TRIM($AB491))), --(UPPER(TRIM($B$2:$B$518))="YES"), --(UPPER(TRIM($G$2:$G$518)&amp;TRIM($I$2:$I$518)&amp;TRIM($J$2:$J$518))&lt;&gt;UPPER(TRIM($G491)&amp;TRIM($I491)&amp;TRIM($J491))))&gt;0), AND($AH491&lt;&gt;"", LOWER(TRIM($AH491))&lt;&gt;"n/a", LOWER(TRIM($AH491))&lt;&gt;"na", SUMPRODUCT(--(UPPER(SUBSTITUTE(SUBSTITUTE(TRIM($AH$2:$AH$518),":",""),"-",""))=UPPER(SUBSTITUTE(SUBSTITUTE(TRIM($AH491),":",""),"-",""))), --(UPPER(TRIM($B$2:$B$518))="YES"), --(UPPER(TRIM($G$2:$G$518)&amp;TRIM($I$2:$I$518)&amp;TRIM($J$2:$J$518))&lt;&gt;UPPER(TRIM($G491)&amp;TRIM($I491)&amp;TRIM($J491))))&gt;0), AND($AP491&lt;&gt;"", LOWER(TRIM($AP491))&lt;&gt;"n/a", LOWER(TRIM($AP491))&lt;&gt;"na", SUMPRODUCT(--(UPPER(TRIM($AP$2:$AP$518))=UPPER(TRIM($AP491))), --(UPPER(TRIM($B$2:$B$518))="YES"), --(UPPER(TRIM($G$2:$G$518)&amp;TRIM($I$2:$I$518)&amp;TRIM($J$2:$J$518))&lt;&gt;UPPER(TRIM($G491)&amp;TRIM($I491)&amp;TRIM($J491))))&gt;0), AND($AQ491&lt;&gt;"", LOWER(TRIM($AQ491))&lt;&gt;"n/a", LOWER(TRIM($AQ491))&lt;&gt;"na", SUMPRODUCT(--(UPPER(TRIM($AQ$2:$AQ$518))=UPPER(TRIM($AQ491))), --(UPPER(TRIM($B$2:$B$518))="YES"), --(UPPER(TRIM($G$2:$G$518)&amp;TRIM($I$2:$I$518)&amp;TRIM($J$2:$J$518))&lt;&gt;UPPER(TRIM($G491)&amp;TRIM($I491)&amp;TRIM($J491))))&gt;0)), "Yes", "No"))</f>
        <v/>
      </c>
      <c r="CD491">
        <f>IF($Y491="","",IF((IF(AND($BR491&lt;&gt;"Yes",$BR491&lt;&gt;"N/A"),"Power Cable, ","")&amp;IF(AND($BS491&lt;&gt;"Yes",$BS491&lt;&gt;"N/A"),"Battery, ","")&amp;IF(AND($AD491&lt;&gt;"Yes",$AD491&lt;&gt;"N/A"),"Firmware Download, ","")&amp;IF(AND(OR($AD491="Yes",$AD491="N/A"),$AE491&lt;&gt;"Yes",$AE491&lt;&gt;"N/A"),"Firmware Install, ","")&amp;IF(AND($CB491&lt;&gt;"Yes",$CB491&lt;&gt;"N/A"),"Device ID, ","")&amp;IF(AND($CC491&lt;&gt;"Yes",$CC491&lt;&gt;"N/A"),"Epic Beans Relay, ",""))="","",LEFT(IF(AND($BR491&lt;&gt;"Yes",$BR491&lt;&gt;"N/A"),"Power Cable, ","")&amp;IF(AND($BS491&lt;&gt;"Yes",$BS491&lt;&gt;"N/A"),"Battery, ","")&amp;IF(AND($AD491&lt;&gt;"Yes",$AD491&lt;&gt;"N/A"),"Firmware Download, ","")&amp;IF(AND(OR($AD491="Yes",$AD491="N/A"),$AE491&lt;&gt;"Yes",$AE491&lt;&gt;"N/A"),"Firmware Install, ","")&amp;IF(AND($CB491&lt;&gt;"Yes",$CB491&lt;&gt;"N/A"),"Device ID, ","")&amp;IF(AND($CC491&lt;&gt;"Yes",$CC491&lt;&gt;"N/A"),"Epic Beans Relay, ",""),LEN(IF(AND($BR491&lt;&gt;"Yes",$BR491&lt;&gt;"N/A"),"Power Cable, ","")&amp;IF(AND($BS491&lt;&gt;"Yes",$BS491&lt;&gt;"N/A"),"Battery, ","")&amp;IF(AND($AD491&lt;&gt;"Yes",$AD491&lt;&gt;"N/A"),"Firmware Download, ","")&amp;IF(AND(OR($AD491="Yes",$AD491="N/A"),$AE491&lt;&gt;"Yes",$AE491&lt;&gt;"N/A"),"Firmware Install, ","")&amp;IF(AND($CB491&lt;&gt;"Yes",$CB491&lt;&gt;"N/A"),"Device ID, ","")&amp;IF(AND($CC491&lt;&gt;"Yes",$CC491&lt;&gt;"N/A"),"Epic Beans Relay, ",""))-2)))</f>
        <v/>
      </c>
      <c r="CE491">
        <f>IF($Y491="","",IF($CD491="","Yes","Blocked"))</f>
        <v/>
      </c>
      <c r="CP491">
        <f>IF($CO491="","",IFERROR(VLOOKUP($CO491,'01_Warehouse_Ledger'!$A:$N,4,FALSE),""))</f>
        <v/>
      </c>
      <c r="CQ491">
        <f>IF($CO491="","",IFERROR(VLOOKUP($CO491,'01_Warehouse_Ledger'!$A:$N,5,FALSE),""))</f>
        <v/>
      </c>
      <c r="CR491">
        <f>IF($CO491="","",IFERROR(VLOOKUP($CO491,'01_Warehouse_Ledger'!$A:$N,13,FALSE),""))</f>
        <v/>
      </c>
      <c r="CW491">
        <f>IF($S491="","",IF(UPPER(TRIM($S491))&lt;&gt;"PASS","",IF(LEN(TRIM($BY491))&gt;0,"NOTES_PRESENT",IF(LEN(TRIM($T491))=0,"SET_NA",IF(OR(LOWER(TRIM($T491))="na",LOWER(TRIM($T491))="n/a"),"OK","MANUAL_OVERRIDE")))))</f>
        <v/>
      </c>
    </row>
    <row r="492">
      <c r="B492" t="inlineStr">
        <is>
          <t>No</t>
        </is>
      </c>
      <c r="C492" t="inlineStr">
        <is>
          <t>No</t>
        </is>
      </c>
      <c r="D492">
        <f>IF($B492&lt;&gt;"Yes","",IF($C492="No","Yes",IF($C492="Yes","No","")))</f>
        <v/>
      </c>
      <c r="E492">
        <f>IF($A492="","",IF(OR(AND($V492&lt;&gt;"",LOWER(TRIM($V492))&lt;&gt;"n/a",LOWER(TRIM($V492))&lt;&gt;"na",SUMPRODUCT(--(UPPER(TRIM($V$2:$V$518))=UPPER(TRIM($V492))),--(TRIM($V$2:$V$518)&lt;&gt;""),--(LOWER(TRIM($V$2:$V$518))&lt;&gt;"n/a"),--(LOWER(TRIM($V$2:$V$518))&lt;&gt;"na"))&gt;1),AND($W492&lt;&gt;"",LOWER(TRIM($W492))&lt;&gt;"n/a",LOWER(TRIM($W492))&lt;&gt;"na",SUMPRODUCT(--(UPPER(TRIM($W$2:$W$518))=UPPER(TRIM($W492))),--(TRIM($W$2:$W$518)&lt;&gt;""),--(LOWER(TRIM($W$2:$W$518))&lt;&gt;"n/a"),--(LOWER(TRIM($W$2:$W$518))&lt;&gt;"na"))&gt;1),AND($X492&lt;&gt;"",LOWER(TRIM($X492))&lt;&gt;"n/a",LOWER(TRIM($X492))&lt;&gt;"na",SUMPRODUCT(--(UPPER(TRIM($X$2:$X$518))=UPPER(TRIM($X492))),--(TRIM($X$2:$X$518)&lt;&gt;""),--(LOWER(TRIM($X$2:$X$518))&lt;&gt;"n/a"),--(LOWER(TRIM($X$2:$X$518))&lt;&gt;"na"))&gt;1),AND($Y492&lt;&gt;"",LOWER(TRIM($Y492))&lt;&gt;"n/a",LOWER(TRIM($Y492))&lt;&gt;"na",SUMPRODUCT(--(UPPER(SUBSTITUTE(SUBSTITUTE(TRIM($Y$2:$Y$518),":",""),"-",""))=UPPER(SUBSTITUTE(SUBSTITUTE(TRIM($Y492),":",""),"-",""))),--(TRIM($Y$2:$Y$518)&lt;&gt;""),--(LOWER(TRIM($Y$2:$Y$518))&lt;&gt;"n/a"),--(LOWER(TRIM($Y$2:$Y$518))&lt;&gt;"na"))&gt;1),AND($AB492&lt;&gt;"",LOWER(TRIM($AB492))&lt;&gt;"n/a",LOWER(TRIM($AB492))&lt;&gt;"na",SUMPRODUCT(--(UPPER(TRIM($AB$2:$AB$518))=UPPER(TRIM($AB492))),--(TRIM($AB$2:$AB$518)&lt;&gt;""),--(LOWER(TRIM($AB$2:$AB$518))&lt;&gt;"n/a"),--(LOWER(TRIM($AB$2:$AB$518))&lt;&gt;"na"))&gt;1),AND($AH492&lt;&gt;"",LOWER(TRIM($AH492))&lt;&gt;"n/a",LOWER(TRIM($AH492))&lt;&gt;"na",SUMPRODUCT(--(UPPER(SUBSTITUTE(SUBSTITUTE(TRIM($AH$2:$AH$518),":",""),"-",""))=UPPER(SUBSTITUTE(SUBSTITUTE(TRIM($AH492),":",""),"-",""))),--(TRIM($AH$2:$AH$518)&lt;&gt;""),--(LOWER(TRIM($AH$2:$AH$518))&lt;&gt;"n/a"),--(LOWER(TRIM($AH$2:$AH$518))&lt;&gt;"na"))&gt;1),AND($AP492&lt;&gt;"",LOWER(TRIM($AP492))&lt;&gt;"n/a",LOWER(TRIM($AP492))&lt;&gt;"na",SUMPRODUCT(--(UPPER(TRIM($AP$2:$AP$518))=UPPER(TRIM($AP492))),--(TRIM($AP$2:$AP$518)&lt;&gt;""),--(LOWER(TRIM($AP$2:$AP$518))&lt;&gt;"n/a"),--(LOWER(TRIM($AP$2:$AP$518))&lt;&gt;"na"))&gt;1),AND($AQ492&lt;&gt;"",LOWER(TRIM($AQ492))&lt;&gt;"n/a",LOWER(TRIM($AQ492))&lt;&gt;"na",SUMPRODUCT(--(UPPER(TRIM($AQ$2:$AQ$518))=UPPER(TRIM($AQ492))),--(TRIM($AQ$2:$AQ$518)&lt;&gt;""),--(LOWER(TRIM($AQ$2:$AQ$518))&lt;&gt;"n/a"),--(LOWER(TRIM($AQ$2:$AQ$518))&lt;&gt;"na"))&gt;1)),"Yes","No"))</f>
        <v/>
      </c>
      <c r="F492">
        <f>IF(UPPER(TRIM($B492))&lt;&gt;"YES","", IF(OR(AND($V492&lt;&gt;"", LOWER(TRIM($V492))&lt;&gt;"n/a", LOWER(TRIM($V492))&lt;&gt;"na", SUMPRODUCT(--(UPPER(TRIM($V$2:$V$518))=UPPER(TRIM($V492))), --(UPPER(TRIM($B$2:$B$518))="YES"), --(UPPER(TRIM($G$2:$G$518)&amp;TRIM($I$2:$I$518)&amp;TRIM($J$2:$J$518))&lt;&gt;UPPER(TRIM($G492)&amp;TRIM($I492)&amp;TRIM($J492))))&gt;0), AND($W492&lt;&gt;"", LOWER(TRIM($W492))&lt;&gt;"n/a", LOWER(TRIM($W492))&lt;&gt;"na", SUMPRODUCT(--(UPPER(TRIM($W$2:$W$518))=UPPER(TRIM($W492))), --(UPPER(TRIM($B$2:$B$518))="YES"), --(UPPER(TRIM($G$2:$G$518)&amp;TRIM($I$2:$I$518)&amp;TRIM($J$2:$J$518))&lt;&gt;UPPER(TRIM($G492)&amp;TRIM($I492)&amp;TRIM($J492))))&gt;0), AND($X492&lt;&gt;"", LOWER(TRIM($X492))&lt;&gt;"n/a", LOWER(TRIM($X492))&lt;&gt;"na", SUMPRODUCT(--(UPPER(TRIM($X$2:$X$518))=UPPER(TRIM($X492))), --(UPPER(TRIM($B$2:$B$518))="YES"), --(UPPER(TRIM($G$2:$G$518)&amp;TRIM($I$2:$I$518)&amp;TRIM($J$2:$J$518))&lt;&gt;UPPER(TRIM($G492)&amp;TRIM($I492)&amp;TRIM($J492))))&gt;0), AND($Y492&lt;&gt;"", LOWER(TRIM($Y492))&lt;&gt;"n/a", LOWER(TRIM($Y492))&lt;&gt;"na", SUMPRODUCT(--(UPPER(SUBSTITUTE(SUBSTITUTE(TRIM($Y$2:$Y$518),":",""),"-",""))=UPPER(SUBSTITUTE(SUBSTITUTE(TRIM($Y492),":",""),"-",""))), --(UPPER(TRIM($B$2:$B$518))="YES"), --(UPPER(TRIM($G$2:$G$518)&amp;TRIM($I$2:$I$518)&amp;TRIM($J$2:$J$518))&lt;&gt;UPPER(TRIM($G492)&amp;TRIM($I492)&amp;TRIM($J492))))&gt;0), AND($AB492&lt;&gt;"", LOWER(TRIM($AB492))&lt;&gt;"n/a", LOWER(TRIM($AB492))&lt;&gt;"na", SUMPRODUCT(--(UPPER(TRIM($AB$2:$AB$518))=UPPER(TRIM($AB492))), --(UPPER(TRIM($B$2:$B$518))="YES"), --(UPPER(TRIM($G$2:$G$518)&amp;TRIM($I$2:$I$518)&amp;TRIM($J$2:$J$518))&lt;&gt;UPPER(TRIM($G492)&amp;TRIM($I492)&amp;TRIM($J492))))&gt;0), AND($AH492&lt;&gt;"", LOWER(TRIM($AH492))&lt;&gt;"n/a", LOWER(TRIM($AH492))&lt;&gt;"na", SUMPRODUCT(--(UPPER(SUBSTITUTE(SUBSTITUTE(TRIM($AH$2:$AH$518),":",""),"-",""))=UPPER(SUBSTITUTE(SUBSTITUTE(TRIM($AH492),":",""),"-",""))), --(UPPER(TRIM($B$2:$B$518))="YES"), --(UPPER(TRIM($G$2:$G$518)&amp;TRIM($I$2:$I$518)&amp;TRIM($J$2:$J$518))&lt;&gt;UPPER(TRIM($G492)&amp;TRIM($I492)&amp;TRIM($J492))))&gt;0), AND($AP492&lt;&gt;"", LOWER(TRIM($AP492))&lt;&gt;"n/a", LOWER(TRIM($AP492))&lt;&gt;"na", SUMPRODUCT(--(UPPER(TRIM($AP$2:$AP$518))=UPPER(TRIM($AP492))), --(UPPER(TRIM($B$2:$B$518))="YES"), --(UPPER(TRIM($G$2:$G$518)&amp;TRIM($I$2:$I$518)&amp;TRIM($J$2:$J$518))&lt;&gt;UPPER(TRIM($G492)&amp;TRIM($I492)&amp;TRIM($J492))))&gt;0), AND($AQ492&lt;&gt;"", LOWER(TRIM($AQ492))&lt;&gt;"n/a", LOWER(TRIM($AQ492))&lt;&gt;"na", SUMPRODUCT(--(UPPER(TRIM($AQ$2:$AQ$518))=UPPER(TRIM($AQ492))), --(UPPER(TRIM($B$2:$B$518))="YES"), --(UPPER(TRIM($G$2:$G$518)&amp;TRIM($I$2:$I$518)&amp;TRIM($J$2:$J$518))&lt;&gt;UPPER(TRIM($G492)&amp;TRIM($I492)&amp;TRIM($J492))))&gt;0)), "Yes", "No"))</f>
        <v/>
      </c>
      <c r="CD492">
        <f>IF($Y492="","",IF((IF(AND($BR492&lt;&gt;"Yes",$BR492&lt;&gt;"N/A"),"Power Cable, ","")&amp;IF(AND($BS492&lt;&gt;"Yes",$BS492&lt;&gt;"N/A"),"Battery, ","")&amp;IF(AND($AD492&lt;&gt;"Yes",$AD492&lt;&gt;"N/A"),"Firmware Download, ","")&amp;IF(AND(OR($AD492="Yes",$AD492="N/A"),$AE492&lt;&gt;"Yes",$AE492&lt;&gt;"N/A"),"Firmware Install, ","")&amp;IF(AND($CB492&lt;&gt;"Yes",$CB492&lt;&gt;"N/A"),"Device ID, ","")&amp;IF(AND($CC492&lt;&gt;"Yes",$CC492&lt;&gt;"N/A"),"Epic Beans Relay, ",""))="","",LEFT(IF(AND($BR492&lt;&gt;"Yes",$BR492&lt;&gt;"N/A"),"Power Cable, ","")&amp;IF(AND($BS492&lt;&gt;"Yes",$BS492&lt;&gt;"N/A"),"Battery, ","")&amp;IF(AND($AD492&lt;&gt;"Yes",$AD492&lt;&gt;"N/A"),"Firmware Download, ","")&amp;IF(AND(OR($AD492="Yes",$AD492="N/A"),$AE492&lt;&gt;"Yes",$AE492&lt;&gt;"N/A"),"Firmware Install, ","")&amp;IF(AND($CB492&lt;&gt;"Yes",$CB492&lt;&gt;"N/A"),"Device ID, ","")&amp;IF(AND($CC492&lt;&gt;"Yes",$CC492&lt;&gt;"N/A"),"Epic Beans Relay, ",""),LEN(IF(AND($BR492&lt;&gt;"Yes",$BR492&lt;&gt;"N/A"),"Power Cable, ","")&amp;IF(AND($BS492&lt;&gt;"Yes",$BS492&lt;&gt;"N/A"),"Battery, ","")&amp;IF(AND($AD492&lt;&gt;"Yes",$AD492&lt;&gt;"N/A"),"Firmware Download, ","")&amp;IF(AND(OR($AD492="Yes",$AD492="N/A"),$AE492&lt;&gt;"Yes",$AE492&lt;&gt;"N/A"),"Firmware Install, ","")&amp;IF(AND($CB492&lt;&gt;"Yes",$CB492&lt;&gt;"N/A"),"Device ID, ","")&amp;IF(AND($CC492&lt;&gt;"Yes",$CC492&lt;&gt;"N/A"),"Epic Beans Relay, ",""))-2)))</f>
        <v/>
      </c>
      <c r="CE492">
        <f>IF($Y492="","",IF($CD492="","Yes","Blocked"))</f>
        <v/>
      </c>
      <c r="CP492">
        <f>IF($CO492="","",IFERROR(VLOOKUP($CO492,'01_Warehouse_Ledger'!$A:$N,4,FALSE),""))</f>
        <v/>
      </c>
      <c r="CQ492">
        <f>IF($CO492="","",IFERROR(VLOOKUP($CO492,'01_Warehouse_Ledger'!$A:$N,5,FALSE),""))</f>
        <v/>
      </c>
      <c r="CR492">
        <f>IF($CO492="","",IFERROR(VLOOKUP($CO492,'01_Warehouse_Ledger'!$A:$N,13,FALSE),""))</f>
        <v/>
      </c>
      <c r="CW492">
        <f>IF($S492="","",IF(UPPER(TRIM($S492))&lt;&gt;"PASS","",IF(LEN(TRIM($BY492))&gt;0,"NOTES_PRESENT",IF(LEN(TRIM($T492))=0,"SET_NA",IF(OR(LOWER(TRIM($T492))="na",LOWER(TRIM($T492))="n/a"),"OK","MANUAL_OVERRIDE")))))</f>
        <v/>
      </c>
    </row>
    <row r="493">
      <c r="B493" t="inlineStr">
        <is>
          <t>No</t>
        </is>
      </c>
      <c r="C493" t="inlineStr">
        <is>
          <t>No</t>
        </is>
      </c>
      <c r="D493">
        <f>IF($B493&lt;&gt;"Yes","",IF($C493="No","Yes",IF($C493="Yes","No","")))</f>
        <v/>
      </c>
      <c r="E493">
        <f>IF($A493="","",IF(OR(AND($V493&lt;&gt;"",LOWER(TRIM($V493))&lt;&gt;"n/a",LOWER(TRIM($V493))&lt;&gt;"na",SUMPRODUCT(--(UPPER(TRIM($V$2:$V$518))=UPPER(TRIM($V493))),--(TRIM($V$2:$V$518)&lt;&gt;""),--(LOWER(TRIM($V$2:$V$518))&lt;&gt;"n/a"),--(LOWER(TRIM($V$2:$V$518))&lt;&gt;"na"))&gt;1),AND($W493&lt;&gt;"",LOWER(TRIM($W493))&lt;&gt;"n/a",LOWER(TRIM($W493))&lt;&gt;"na",SUMPRODUCT(--(UPPER(TRIM($W$2:$W$518))=UPPER(TRIM($W493))),--(TRIM($W$2:$W$518)&lt;&gt;""),--(LOWER(TRIM($W$2:$W$518))&lt;&gt;"n/a"),--(LOWER(TRIM($W$2:$W$518))&lt;&gt;"na"))&gt;1),AND($X493&lt;&gt;"",LOWER(TRIM($X493))&lt;&gt;"n/a",LOWER(TRIM($X493))&lt;&gt;"na",SUMPRODUCT(--(UPPER(TRIM($X$2:$X$518))=UPPER(TRIM($X493))),--(TRIM($X$2:$X$518)&lt;&gt;""),--(LOWER(TRIM($X$2:$X$518))&lt;&gt;"n/a"),--(LOWER(TRIM($X$2:$X$518))&lt;&gt;"na"))&gt;1),AND($Y493&lt;&gt;"",LOWER(TRIM($Y493))&lt;&gt;"n/a",LOWER(TRIM($Y493))&lt;&gt;"na",SUMPRODUCT(--(UPPER(SUBSTITUTE(SUBSTITUTE(TRIM($Y$2:$Y$518),":",""),"-",""))=UPPER(SUBSTITUTE(SUBSTITUTE(TRIM($Y493),":",""),"-",""))),--(TRIM($Y$2:$Y$518)&lt;&gt;""),--(LOWER(TRIM($Y$2:$Y$518))&lt;&gt;"n/a"),--(LOWER(TRIM($Y$2:$Y$518))&lt;&gt;"na"))&gt;1),AND($AB493&lt;&gt;"",LOWER(TRIM($AB493))&lt;&gt;"n/a",LOWER(TRIM($AB493))&lt;&gt;"na",SUMPRODUCT(--(UPPER(TRIM($AB$2:$AB$518))=UPPER(TRIM($AB493))),--(TRIM($AB$2:$AB$518)&lt;&gt;""),--(LOWER(TRIM($AB$2:$AB$518))&lt;&gt;"n/a"),--(LOWER(TRIM($AB$2:$AB$518))&lt;&gt;"na"))&gt;1),AND($AH493&lt;&gt;"",LOWER(TRIM($AH493))&lt;&gt;"n/a",LOWER(TRIM($AH493))&lt;&gt;"na",SUMPRODUCT(--(UPPER(SUBSTITUTE(SUBSTITUTE(TRIM($AH$2:$AH$518),":",""),"-",""))=UPPER(SUBSTITUTE(SUBSTITUTE(TRIM($AH493),":",""),"-",""))),--(TRIM($AH$2:$AH$518)&lt;&gt;""),--(LOWER(TRIM($AH$2:$AH$518))&lt;&gt;"n/a"),--(LOWER(TRIM($AH$2:$AH$518))&lt;&gt;"na"))&gt;1),AND($AP493&lt;&gt;"",LOWER(TRIM($AP493))&lt;&gt;"n/a",LOWER(TRIM($AP493))&lt;&gt;"na",SUMPRODUCT(--(UPPER(TRIM($AP$2:$AP$518))=UPPER(TRIM($AP493))),--(TRIM($AP$2:$AP$518)&lt;&gt;""),--(LOWER(TRIM($AP$2:$AP$518))&lt;&gt;"n/a"),--(LOWER(TRIM($AP$2:$AP$518))&lt;&gt;"na"))&gt;1),AND($AQ493&lt;&gt;"",LOWER(TRIM($AQ493))&lt;&gt;"n/a",LOWER(TRIM($AQ493))&lt;&gt;"na",SUMPRODUCT(--(UPPER(TRIM($AQ$2:$AQ$518))=UPPER(TRIM($AQ493))),--(TRIM($AQ$2:$AQ$518)&lt;&gt;""),--(LOWER(TRIM($AQ$2:$AQ$518))&lt;&gt;"n/a"),--(LOWER(TRIM($AQ$2:$AQ$518))&lt;&gt;"na"))&gt;1)),"Yes","No"))</f>
        <v/>
      </c>
      <c r="F493">
        <f>IF(UPPER(TRIM($B493))&lt;&gt;"YES","", IF(OR(AND($V493&lt;&gt;"", LOWER(TRIM($V493))&lt;&gt;"n/a", LOWER(TRIM($V493))&lt;&gt;"na", SUMPRODUCT(--(UPPER(TRIM($V$2:$V$518))=UPPER(TRIM($V493))), --(UPPER(TRIM($B$2:$B$518))="YES"), --(UPPER(TRIM($G$2:$G$518)&amp;TRIM($I$2:$I$518)&amp;TRIM($J$2:$J$518))&lt;&gt;UPPER(TRIM($G493)&amp;TRIM($I493)&amp;TRIM($J493))))&gt;0), AND($W493&lt;&gt;"", LOWER(TRIM($W493))&lt;&gt;"n/a", LOWER(TRIM($W493))&lt;&gt;"na", SUMPRODUCT(--(UPPER(TRIM($W$2:$W$518))=UPPER(TRIM($W493))), --(UPPER(TRIM($B$2:$B$518))="YES"), --(UPPER(TRIM($G$2:$G$518)&amp;TRIM($I$2:$I$518)&amp;TRIM($J$2:$J$518))&lt;&gt;UPPER(TRIM($G493)&amp;TRIM($I493)&amp;TRIM($J493))))&gt;0), AND($X493&lt;&gt;"", LOWER(TRIM($X493))&lt;&gt;"n/a", LOWER(TRIM($X493))&lt;&gt;"na", SUMPRODUCT(--(UPPER(TRIM($X$2:$X$518))=UPPER(TRIM($X493))), --(UPPER(TRIM($B$2:$B$518))="YES"), --(UPPER(TRIM($G$2:$G$518)&amp;TRIM($I$2:$I$518)&amp;TRIM($J$2:$J$518))&lt;&gt;UPPER(TRIM($G493)&amp;TRIM($I493)&amp;TRIM($J493))))&gt;0), AND($Y493&lt;&gt;"", LOWER(TRIM($Y493))&lt;&gt;"n/a", LOWER(TRIM($Y493))&lt;&gt;"na", SUMPRODUCT(--(UPPER(SUBSTITUTE(SUBSTITUTE(TRIM($Y$2:$Y$518),":",""),"-",""))=UPPER(SUBSTITUTE(SUBSTITUTE(TRIM($Y493),":",""),"-",""))), --(UPPER(TRIM($B$2:$B$518))="YES"), --(UPPER(TRIM($G$2:$G$518)&amp;TRIM($I$2:$I$518)&amp;TRIM($J$2:$J$518))&lt;&gt;UPPER(TRIM($G493)&amp;TRIM($I493)&amp;TRIM($J493))))&gt;0), AND($AB493&lt;&gt;"", LOWER(TRIM($AB493))&lt;&gt;"n/a", LOWER(TRIM($AB493))&lt;&gt;"na", SUMPRODUCT(--(UPPER(TRIM($AB$2:$AB$518))=UPPER(TRIM($AB493))), --(UPPER(TRIM($B$2:$B$518))="YES"), --(UPPER(TRIM($G$2:$G$518)&amp;TRIM($I$2:$I$518)&amp;TRIM($J$2:$J$518))&lt;&gt;UPPER(TRIM($G493)&amp;TRIM($I493)&amp;TRIM($J493))))&gt;0), AND($AH493&lt;&gt;"", LOWER(TRIM($AH493))&lt;&gt;"n/a", LOWER(TRIM($AH493))&lt;&gt;"na", SUMPRODUCT(--(UPPER(SUBSTITUTE(SUBSTITUTE(TRIM($AH$2:$AH$518),":",""),"-",""))=UPPER(SUBSTITUTE(SUBSTITUTE(TRIM($AH493),":",""),"-",""))), --(UPPER(TRIM($B$2:$B$518))="YES"), --(UPPER(TRIM($G$2:$G$518)&amp;TRIM($I$2:$I$518)&amp;TRIM($J$2:$J$518))&lt;&gt;UPPER(TRIM($G493)&amp;TRIM($I493)&amp;TRIM($J493))))&gt;0), AND($AP493&lt;&gt;"", LOWER(TRIM($AP493))&lt;&gt;"n/a", LOWER(TRIM($AP493))&lt;&gt;"na", SUMPRODUCT(--(UPPER(TRIM($AP$2:$AP$518))=UPPER(TRIM($AP493))), --(UPPER(TRIM($B$2:$B$518))="YES"), --(UPPER(TRIM($G$2:$G$518)&amp;TRIM($I$2:$I$518)&amp;TRIM($J$2:$J$518))&lt;&gt;UPPER(TRIM($G493)&amp;TRIM($I493)&amp;TRIM($J493))))&gt;0), AND($AQ493&lt;&gt;"", LOWER(TRIM($AQ493))&lt;&gt;"n/a", LOWER(TRIM($AQ493))&lt;&gt;"na", SUMPRODUCT(--(UPPER(TRIM($AQ$2:$AQ$518))=UPPER(TRIM($AQ493))), --(UPPER(TRIM($B$2:$B$518))="YES"), --(UPPER(TRIM($G$2:$G$518)&amp;TRIM($I$2:$I$518)&amp;TRIM($J$2:$J$518))&lt;&gt;UPPER(TRIM($G493)&amp;TRIM($I493)&amp;TRIM($J493))))&gt;0)), "Yes", "No"))</f>
        <v/>
      </c>
      <c r="CD493">
        <f>IF($Y493="","",IF((IF(AND($BR493&lt;&gt;"Yes",$BR493&lt;&gt;"N/A"),"Power Cable, ","")&amp;IF(AND($BS493&lt;&gt;"Yes",$BS493&lt;&gt;"N/A"),"Battery, ","")&amp;IF(AND($AD493&lt;&gt;"Yes",$AD493&lt;&gt;"N/A"),"Firmware Download, ","")&amp;IF(AND(OR($AD493="Yes",$AD493="N/A"),$AE493&lt;&gt;"Yes",$AE493&lt;&gt;"N/A"),"Firmware Install, ","")&amp;IF(AND($CB493&lt;&gt;"Yes",$CB493&lt;&gt;"N/A"),"Device ID, ","")&amp;IF(AND($CC493&lt;&gt;"Yes",$CC493&lt;&gt;"N/A"),"Epic Beans Relay, ",""))="","",LEFT(IF(AND($BR493&lt;&gt;"Yes",$BR493&lt;&gt;"N/A"),"Power Cable, ","")&amp;IF(AND($BS493&lt;&gt;"Yes",$BS493&lt;&gt;"N/A"),"Battery, ","")&amp;IF(AND($AD493&lt;&gt;"Yes",$AD493&lt;&gt;"N/A"),"Firmware Download, ","")&amp;IF(AND(OR($AD493="Yes",$AD493="N/A"),$AE493&lt;&gt;"Yes",$AE493&lt;&gt;"N/A"),"Firmware Install, ","")&amp;IF(AND($CB493&lt;&gt;"Yes",$CB493&lt;&gt;"N/A"),"Device ID, ","")&amp;IF(AND($CC493&lt;&gt;"Yes",$CC493&lt;&gt;"N/A"),"Epic Beans Relay, ",""),LEN(IF(AND($BR493&lt;&gt;"Yes",$BR493&lt;&gt;"N/A"),"Power Cable, ","")&amp;IF(AND($BS493&lt;&gt;"Yes",$BS493&lt;&gt;"N/A"),"Battery, ","")&amp;IF(AND($AD493&lt;&gt;"Yes",$AD493&lt;&gt;"N/A"),"Firmware Download, ","")&amp;IF(AND(OR($AD493="Yes",$AD493="N/A"),$AE493&lt;&gt;"Yes",$AE493&lt;&gt;"N/A"),"Firmware Install, ","")&amp;IF(AND($CB493&lt;&gt;"Yes",$CB493&lt;&gt;"N/A"),"Device ID, ","")&amp;IF(AND($CC493&lt;&gt;"Yes",$CC493&lt;&gt;"N/A"),"Epic Beans Relay, ",""))-2)))</f>
        <v/>
      </c>
      <c r="CE493">
        <f>IF($Y493="","",IF($CD493="","Yes","Blocked"))</f>
        <v/>
      </c>
      <c r="CP493">
        <f>IF($CO493="","",IFERROR(VLOOKUP($CO493,'01_Warehouse_Ledger'!$A:$N,4,FALSE),""))</f>
        <v/>
      </c>
      <c r="CQ493">
        <f>IF($CO493="","",IFERROR(VLOOKUP($CO493,'01_Warehouse_Ledger'!$A:$N,5,FALSE),""))</f>
        <v/>
      </c>
      <c r="CR493">
        <f>IF($CO493="","",IFERROR(VLOOKUP($CO493,'01_Warehouse_Ledger'!$A:$N,13,FALSE),""))</f>
        <v/>
      </c>
      <c r="CW493">
        <f>IF($S493="","",IF(UPPER(TRIM($S493))&lt;&gt;"PASS","",IF(LEN(TRIM($BY493))&gt;0,"NOTES_PRESENT",IF(LEN(TRIM($T493))=0,"SET_NA",IF(OR(LOWER(TRIM($T493))="na",LOWER(TRIM($T493))="n/a"),"OK","MANUAL_OVERRIDE")))))</f>
        <v/>
      </c>
    </row>
    <row r="494">
      <c r="B494" t="inlineStr">
        <is>
          <t>No</t>
        </is>
      </c>
      <c r="C494" t="inlineStr">
        <is>
          <t>No</t>
        </is>
      </c>
      <c r="D494">
        <f>IF($B494&lt;&gt;"Yes","",IF($C494="No","Yes",IF($C494="Yes","No","")))</f>
        <v/>
      </c>
      <c r="E494">
        <f>IF($A494="","",IF(OR(AND($V494&lt;&gt;"",LOWER(TRIM($V494))&lt;&gt;"n/a",LOWER(TRIM($V494))&lt;&gt;"na",SUMPRODUCT(--(UPPER(TRIM($V$2:$V$518))=UPPER(TRIM($V494))),--(TRIM($V$2:$V$518)&lt;&gt;""),--(LOWER(TRIM($V$2:$V$518))&lt;&gt;"n/a"),--(LOWER(TRIM($V$2:$V$518))&lt;&gt;"na"))&gt;1),AND($W494&lt;&gt;"",LOWER(TRIM($W494))&lt;&gt;"n/a",LOWER(TRIM($W494))&lt;&gt;"na",SUMPRODUCT(--(UPPER(TRIM($W$2:$W$518))=UPPER(TRIM($W494))),--(TRIM($W$2:$W$518)&lt;&gt;""),--(LOWER(TRIM($W$2:$W$518))&lt;&gt;"n/a"),--(LOWER(TRIM($W$2:$W$518))&lt;&gt;"na"))&gt;1),AND($X494&lt;&gt;"",LOWER(TRIM($X494))&lt;&gt;"n/a",LOWER(TRIM($X494))&lt;&gt;"na",SUMPRODUCT(--(UPPER(TRIM($X$2:$X$518))=UPPER(TRIM($X494))),--(TRIM($X$2:$X$518)&lt;&gt;""),--(LOWER(TRIM($X$2:$X$518))&lt;&gt;"n/a"),--(LOWER(TRIM($X$2:$X$518))&lt;&gt;"na"))&gt;1),AND($Y494&lt;&gt;"",LOWER(TRIM($Y494))&lt;&gt;"n/a",LOWER(TRIM($Y494))&lt;&gt;"na",SUMPRODUCT(--(UPPER(SUBSTITUTE(SUBSTITUTE(TRIM($Y$2:$Y$518),":",""),"-",""))=UPPER(SUBSTITUTE(SUBSTITUTE(TRIM($Y494),":",""),"-",""))),--(TRIM($Y$2:$Y$518)&lt;&gt;""),--(LOWER(TRIM($Y$2:$Y$518))&lt;&gt;"n/a"),--(LOWER(TRIM($Y$2:$Y$518))&lt;&gt;"na"))&gt;1),AND($AB494&lt;&gt;"",LOWER(TRIM($AB494))&lt;&gt;"n/a",LOWER(TRIM($AB494))&lt;&gt;"na",SUMPRODUCT(--(UPPER(TRIM($AB$2:$AB$518))=UPPER(TRIM($AB494))),--(TRIM($AB$2:$AB$518)&lt;&gt;""),--(LOWER(TRIM($AB$2:$AB$518))&lt;&gt;"n/a"),--(LOWER(TRIM($AB$2:$AB$518))&lt;&gt;"na"))&gt;1),AND($AH494&lt;&gt;"",LOWER(TRIM($AH494))&lt;&gt;"n/a",LOWER(TRIM($AH494))&lt;&gt;"na",SUMPRODUCT(--(UPPER(SUBSTITUTE(SUBSTITUTE(TRIM($AH$2:$AH$518),":",""),"-",""))=UPPER(SUBSTITUTE(SUBSTITUTE(TRIM($AH494),":",""),"-",""))),--(TRIM($AH$2:$AH$518)&lt;&gt;""),--(LOWER(TRIM($AH$2:$AH$518))&lt;&gt;"n/a"),--(LOWER(TRIM($AH$2:$AH$518))&lt;&gt;"na"))&gt;1),AND($AP494&lt;&gt;"",LOWER(TRIM($AP494))&lt;&gt;"n/a",LOWER(TRIM($AP494))&lt;&gt;"na",SUMPRODUCT(--(UPPER(TRIM($AP$2:$AP$518))=UPPER(TRIM($AP494))),--(TRIM($AP$2:$AP$518)&lt;&gt;""),--(LOWER(TRIM($AP$2:$AP$518))&lt;&gt;"n/a"),--(LOWER(TRIM($AP$2:$AP$518))&lt;&gt;"na"))&gt;1),AND($AQ494&lt;&gt;"",LOWER(TRIM($AQ494))&lt;&gt;"n/a",LOWER(TRIM($AQ494))&lt;&gt;"na",SUMPRODUCT(--(UPPER(TRIM($AQ$2:$AQ$518))=UPPER(TRIM($AQ494))),--(TRIM($AQ$2:$AQ$518)&lt;&gt;""),--(LOWER(TRIM($AQ$2:$AQ$518))&lt;&gt;"n/a"),--(LOWER(TRIM($AQ$2:$AQ$518))&lt;&gt;"na"))&gt;1)),"Yes","No"))</f>
        <v/>
      </c>
      <c r="F494">
        <f>IF(UPPER(TRIM($B494))&lt;&gt;"YES","", IF(OR(AND($V494&lt;&gt;"", LOWER(TRIM($V494))&lt;&gt;"n/a", LOWER(TRIM($V494))&lt;&gt;"na", SUMPRODUCT(--(UPPER(TRIM($V$2:$V$518))=UPPER(TRIM($V494))), --(UPPER(TRIM($B$2:$B$518))="YES"), --(UPPER(TRIM($G$2:$G$518)&amp;TRIM($I$2:$I$518)&amp;TRIM($J$2:$J$518))&lt;&gt;UPPER(TRIM($G494)&amp;TRIM($I494)&amp;TRIM($J494))))&gt;0), AND($W494&lt;&gt;"", LOWER(TRIM($W494))&lt;&gt;"n/a", LOWER(TRIM($W494))&lt;&gt;"na", SUMPRODUCT(--(UPPER(TRIM($W$2:$W$518))=UPPER(TRIM($W494))), --(UPPER(TRIM($B$2:$B$518))="YES"), --(UPPER(TRIM($G$2:$G$518)&amp;TRIM($I$2:$I$518)&amp;TRIM($J$2:$J$518))&lt;&gt;UPPER(TRIM($G494)&amp;TRIM($I494)&amp;TRIM($J494))))&gt;0), AND($X494&lt;&gt;"", LOWER(TRIM($X494))&lt;&gt;"n/a", LOWER(TRIM($X494))&lt;&gt;"na", SUMPRODUCT(--(UPPER(TRIM($X$2:$X$518))=UPPER(TRIM($X494))), --(UPPER(TRIM($B$2:$B$518))="YES"), --(UPPER(TRIM($G$2:$G$518)&amp;TRIM($I$2:$I$518)&amp;TRIM($J$2:$J$518))&lt;&gt;UPPER(TRIM($G494)&amp;TRIM($I494)&amp;TRIM($J494))))&gt;0), AND($Y494&lt;&gt;"", LOWER(TRIM($Y494))&lt;&gt;"n/a", LOWER(TRIM($Y494))&lt;&gt;"na", SUMPRODUCT(--(UPPER(SUBSTITUTE(SUBSTITUTE(TRIM($Y$2:$Y$518),":",""),"-",""))=UPPER(SUBSTITUTE(SUBSTITUTE(TRIM($Y494),":",""),"-",""))), --(UPPER(TRIM($B$2:$B$518))="YES"), --(UPPER(TRIM($G$2:$G$518)&amp;TRIM($I$2:$I$518)&amp;TRIM($J$2:$J$518))&lt;&gt;UPPER(TRIM($G494)&amp;TRIM($I494)&amp;TRIM($J494))))&gt;0), AND($AB494&lt;&gt;"", LOWER(TRIM($AB494))&lt;&gt;"n/a", LOWER(TRIM($AB494))&lt;&gt;"na", SUMPRODUCT(--(UPPER(TRIM($AB$2:$AB$518))=UPPER(TRIM($AB494))), --(UPPER(TRIM($B$2:$B$518))="YES"), --(UPPER(TRIM($G$2:$G$518)&amp;TRIM($I$2:$I$518)&amp;TRIM($J$2:$J$518))&lt;&gt;UPPER(TRIM($G494)&amp;TRIM($I494)&amp;TRIM($J494))))&gt;0), AND($AH494&lt;&gt;"", LOWER(TRIM($AH494))&lt;&gt;"n/a", LOWER(TRIM($AH494))&lt;&gt;"na", SUMPRODUCT(--(UPPER(SUBSTITUTE(SUBSTITUTE(TRIM($AH$2:$AH$518),":",""),"-",""))=UPPER(SUBSTITUTE(SUBSTITUTE(TRIM($AH494),":",""),"-",""))), --(UPPER(TRIM($B$2:$B$518))="YES"), --(UPPER(TRIM($G$2:$G$518)&amp;TRIM($I$2:$I$518)&amp;TRIM($J$2:$J$518))&lt;&gt;UPPER(TRIM($G494)&amp;TRIM($I494)&amp;TRIM($J494))))&gt;0), AND($AP494&lt;&gt;"", LOWER(TRIM($AP494))&lt;&gt;"n/a", LOWER(TRIM($AP494))&lt;&gt;"na", SUMPRODUCT(--(UPPER(TRIM($AP$2:$AP$518))=UPPER(TRIM($AP494))), --(UPPER(TRIM($B$2:$B$518))="YES"), --(UPPER(TRIM($G$2:$G$518)&amp;TRIM($I$2:$I$518)&amp;TRIM($J$2:$J$518))&lt;&gt;UPPER(TRIM($G494)&amp;TRIM($I494)&amp;TRIM($J494))))&gt;0), AND($AQ494&lt;&gt;"", LOWER(TRIM($AQ494))&lt;&gt;"n/a", LOWER(TRIM($AQ494))&lt;&gt;"na", SUMPRODUCT(--(UPPER(TRIM($AQ$2:$AQ$518))=UPPER(TRIM($AQ494))), --(UPPER(TRIM($B$2:$B$518))="YES"), --(UPPER(TRIM($G$2:$G$518)&amp;TRIM($I$2:$I$518)&amp;TRIM($J$2:$J$518))&lt;&gt;UPPER(TRIM($G494)&amp;TRIM($I494)&amp;TRIM($J494))))&gt;0)), "Yes", "No"))</f>
        <v/>
      </c>
      <c r="CD494">
        <f>IF($Y494="","",IF((IF(AND($BR494&lt;&gt;"Yes",$BR494&lt;&gt;"N/A"),"Power Cable, ","")&amp;IF(AND($BS494&lt;&gt;"Yes",$BS494&lt;&gt;"N/A"),"Battery, ","")&amp;IF(AND($AD494&lt;&gt;"Yes",$AD494&lt;&gt;"N/A"),"Firmware Download, ","")&amp;IF(AND(OR($AD494="Yes",$AD494="N/A"),$AE494&lt;&gt;"Yes",$AE494&lt;&gt;"N/A"),"Firmware Install, ","")&amp;IF(AND($CB494&lt;&gt;"Yes",$CB494&lt;&gt;"N/A"),"Device ID, ","")&amp;IF(AND($CC494&lt;&gt;"Yes",$CC494&lt;&gt;"N/A"),"Epic Beans Relay, ",""))="","",LEFT(IF(AND($BR494&lt;&gt;"Yes",$BR494&lt;&gt;"N/A"),"Power Cable, ","")&amp;IF(AND($BS494&lt;&gt;"Yes",$BS494&lt;&gt;"N/A"),"Battery, ","")&amp;IF(AND($AD494&lt;&gt;"Yes",$AD494&lt;&gt;"N/A"),"Firmware Download, ","")&amp;IF(AND(OR($AD494="Yes",$AD494="N/A"),$AE494&lt;&gt;"Yes",$AE494&lt;&gt;"N/A"),"Firmware Install, ","")&amp;IF(AND($CB494&lt;&gt;"Yes",$CB494&lt;&gt;"N/A"),"Device ID, ","")&amp;IF(AND($CC494&lt;&gt;"Yes",$CC494&lt;&gt;"N/A"),"Epic Beans Relay, ",""),LEN(IF(AND($BR494&lt;&gt;"Yes",$BR494&lt;&gt;"N/A"),"Power Cable, ","")&amp;IF(AND($BS494&lt;&gt;"Yes",$BS494&lt;&gt;"N/A"),"Battery, ","")&amp;IF(AND($AD494&lt;&gt;"Yes",$AD494&lt;&gt;"N/A"),"Firmware Download, ","")&amp;IF(AND(OR($AD494="Yes",$AD494="N/A"),$AE494&lt;&gt;"Yes",$AE494&lt;&gt;"N/A"),"Firmware Install, ","")&amp;IF(AND($CB494&lt;&gt;"Yes",$CB494&lt;&gt;"N/A"),"Device ID, ","")&amp;IF(AND($CC494&lt;&gt;"Yes",$CC494&lt;&gt;"N/A"),"Epic Beans Relay, ",""))-2)))</f>
        <v/>
      </c>
      <c r="CE494">
        <f>IF($Y494="","",IF($CD494="","Yes","Blocked"))</f>
        <v/>
      </c>
      <c r="CP494">
        <f>IF($CO494="","",IFERROR(VLOOKUP($CO494,'01_Warehouse_Ledger'!$A:$N,4,FALSE),""))</f>
        <v/>
      </c>
      <c r="CQ494">
        <f>IF($CO494="","",IFERROR(VLOOKUP($CO494,'01_Warehouse_Ledger'!$A:$N,5,FALSE),""))</f>
        <v/>
      </c>
      <c r="CR494">
        <f>IF($CO494="","",IFERROR(VLOOKUP($CO494,'01_Warehouse_Ledger'!$A:$N,13,FALSE),""))</f>
        <v/>
      </c>
      <c r="CW494">
        <f>IF($S494="","",IF(UPPER(TRIM($S494))&lt;&gt;"PASS","",IF(LEN(TRIM($BY494))&gt;0,"NOTES_PRESENT",IF(LEN(TRIM($T494))=0,"SET_NA",IF(OR(LOWER(TRIM($T494))="na",LOWER(TRIM($T494))="n/a"),"OK","MANUAL_OVERRIDE")))))</f>
        <v/>
      </c>
    </row>
    <row r="495">
      <c r="B495" t="inlineStr">
        <is>
          <t>No</t>
        </is>
      </c>
      <c r="C495" t="inlineStr">
        <is>
          <t>No</t>
        </is>
      </c>
      <c r="D495">
        <f>IF($B495&lt;&gt;"Yes","",IF($C495="No","Yes",IF($C495="Yes","No","")))</f>
        <v/>
      </c>
      <c r="E495">
        <f>IF($A495="","",IF(OR(AND($V495&lt;&gt;"",LOWER(TRIM($V495))&lt;&gt;"n/a",LOWER(TRIM($V495))&lt;&gt;"na",SUMPRODUCT(--(UPPER(TRIM($V$2:$V$518))=UPPER(TRIM($V495))),--(TRIM($V$2:$V$518)&lt;&gt;""),--(LOWER(TRIM($V$2:$V$518))&lt;&gt;"n/a"),--(LOWER(TRIM($V$2:$V$518))&lt;&gt;"na"))&gt;1),AND($W495&lt;&gt;"",LOWER(TRIM($W495))&lt;&gt;"n/a",LOWER(TRIM($W495))&lt;&gt;"na",SUMPRODUCT(--(UPPER(TRIM($W$2:$W$518))=UPPER(TRIM($W495))),--(TRIM($W$2:$W$518)&lt;&gt;""),--(LOWER(TRIM($W$2:$W$518))&lt;&gt;"n/a"),--(LOWER(TRIM($W$2:$W$518))&lt;&gt;"na"))&gt;1),AND($X495&lt;&gt;"",LOWER(TRIM($X495))&lt;&gt;"n/a",LOWER(TRIM($X495))&lt;&gt;"na",SUMPRODUCT(--(UPPER(TRIM($X$2:$X$518))=UPPER(TRIM($X495))),--(TRIM($X$2:$X$518)&lt;&gt;""),--(LOWER(TRIM($X$2:$X$518))&lt;&gt;"n/a"),--(LOWER(TRIM($X$2:$X$518))&lt;&gt;"na"))&gt;1),AND($Y495&lt;&gt;"",LOWER(TRIM($Y495))&lt;&gt;"n/a",LOWER(TRIM($Y495))&lt;&gt;"na",SUMPRODUCT(--(UPPER(SUBSTITUTE(SUBSTITUTE(TRIM($Y$2:$Y$518),":",""),"-",""))=UPPER(SUBSTITUTE(SUBSTITUTE(TRIM($Y495),":",""),"-",""))),--(TRIM($Y$2:$Y$518)&lt;&gt;""),--(LOWER(TRIM($Y$2:$Y$518))&lt;&gt;"n/a"),--(LOWER(TRIM($Y$2:$Y$518))&lt;&gt;"na"))&gt;1),AND($AB495&lt;&gt;"",LOWER(TRIM($AB495))&lt;&gt;"n/a",LOWER(TRIM($AB495))&lt;&gt;"na",SUMPRODUCT(--(UPPER(TRIM($AB$2:$AB$518))=UPPER(TRIM($AB495))),--(TRIM($AB$2:$AB$518)&lt;&gt;""),--(LOWER(TRIM($AB$2:$AB$518))&lt;&gt;"n/a"),--(LOWER(TRIM($AB$2:$AB$518))&lt;&gt;"na"))&gt;1),AND($AH495&lt;&gt;"",LOWER(TRIM($AH495))&lt;&gt;"n/a",LOWER(TRIM($AH495))&lt;&gt;"na",SUMPRODUCT(--(UPPER(SUBSTITUTE(SUBSTITUTE(TRIM($AH$2:$AH$518),":",""),"-",""))=UPPER(SUBSTITUTE(SUBSTITUTE(TRIM($AH495),":",""),"-",""))),--(TRIM($AH$2:$AH$518)&lt;&gt;""),--(LOWER(TRIM($AH$2:$AH$518))&lt;&gt;"n/a"),--(LOWER(TRIM($AH$2:$AH$518))&lt;&gt;"na"))&gt;1),AND($AP495&lt;&gt;"",LOWER(TRIM($AP495))&lt;&gt;"n/a",LOWER(TRIM($AP495))&lt;&gt;"na",SUMPRODUCT(--(UPPER(TRIM($AP$2:$AP$518))=UPPER(TRIM($AP495))),--(TRIM($AP$2:$AP$518)&lt;&gt;""),--(LOWER(TRIM($AP$2:$AP$518))&lt;&gt;"n/a"),--(LOWER(TRIM($AP$2:$AP$518))&lt;&gt;"na"))&gt;1),AND($AQ495&lt;&gt;"",LOWER(TRIM($AQ495))&lt;&gt;"n/a",LOWER(TRIM($AQ495))&lt;&gt;"na",SUMPRODUCT(--(UPPER(TRIM($AQ$2:$AQ$518))=UPPER(TRIM($AQ495))),--(TRIM($AQ$2:$AQ$518)&lt;&gt;""),--(LOWER(TRIM($AQ$2:$AQ$518))&lt;&gt;"n/a"),--(LOWER(TRIM($AQ$2:$AQ$518))&lt;&gt;"na"))&gt;1)),"Yes","No"))</f>
        <v/>
      </c>
      <c r="F495">
        <f>IF(UPPER(TRIM($B495))&lt;&gt;"YES","", IF(OR(AND($V495&lt;&gt;"", LOWER(TRIM($V495))&lt;&gt;"n/a", LOWER(TRIM($V495))&lt;&gt;"na", SUMPRODUCT(--(UPPER(TRIM($V$2:$V$518))=UPPER(TRIM($V495))), --(UPPER(TRIM($B$2:$B$518))="YES"), --(UPPER(TRIM($G$2:$G$518)&amp;TRIM($I$2:$I$518)&amp;TRIM($J$2:$J$518))&lt;&gt;UPPER(TRIM($G495)&amp;TRIM($I495)&amp;TRIM($J495))))&gt;0), AND($W495&lt;&gt;"", LOWER(TRIM($W495))&lt;&gt;"n/a", LOWER(TRIM($W495))&lt;&gt;"na", SUMPRODUCT(--(UPPER(TRIM($W$2:$W$518))=UPPER(TRIM($W495))), --(UPPER(TRIM($B$2:$B$518))="YES"), --(UPPER(TRIM($G$2:$G$518)&amp;TRIM($I$2:$I$518)&amp;TRIM($J$2:$J$518))&lt;&gt;UPPER(TRIM($G495)&amp;TRIM($I495)&amp;TRIM($J495))))&gt;0), AND($X495&lt;&gt;"", LOWER(TRIM($X495))&lt;&gt;"n/a", LOWER(TRIM($X495))&lt;&gt;"na", SUMPRODUCT(--(UPPER(TRIM($X$2:$X$518))=UPPER(TRIM($X495))), --(UPPER(TRIM($B$2:$B$518))="YES"), --(UPPER(TRIM($G$2:$G$518)&amp;TRIM($I$2:$I$518)&amp;TRIM($J$2:$J$518))&lt;&gt;UPPER(TRIM($G495)&amp;TRIM($I495)&amp;TRIM($J495))))&gt;0), AND($Y495&lt;&gt;"", LOWER(TRIM($Y495))&lt;&gt;"n/a", LOWER(TRIM($Y495))&lt;&gt;"na", SUMPRODUCT(--(UPPER(SUBSTITUTE(SUBSTITUTE(TRIM($Y$2:$Y$518),":",""),"-",""))=UPPER(SUBSTITUTE(SUBSTITUTE(TRIM($Y495),":",""),"-",""))), --(UPPER(TRIM($B$2:$B$518))="YES"), --(UPPER(TRIM($G$2:$G$518)&amp;TRIM($I$2:$I$518)&amp;TRIM($J$2:$J$518))&lt;&gt;UPPER(TRIM($G495)&amp;TRIM($I495)&amp;TRIM($J495))))&gt;0), AND($AB495&lt;&gt;"", LOWER(TRIM($AB495))&lt;&gt;"n/a", LOWER(TRIM($AB495))&lt;&gt;"na", SUMPRODUCT(--(UPPER(TRIM($AB$2:$AB$518))=UPPER(TRIM($AB495))), --(UPPER(TRIM($B$2:$B$518))="YES"), --(UPPER(TRIM($G$2:$G$518)&amp;TRIM($I$2:$I$518)&amp;TRIM($J$2:$J$518))&lt;&gt;UPPER(TRIM($G495)&amp;TRIM($I495)&amp;TRIM($J495))))&gt;0), AND($AH495&lt;&gt;"", LOWER(TRIM($AH495))&lt;&gt;"n/a", LOWER(TRIM($AH495))&lt;&gt;"na", SUMPRODUCT(--(UPPER(SUBSTITUTE(SUBSTITUTE(TRIM($AH$2:$AH$518),":",""),"-",""))=UPPER(SUBSTITUTE(SUBSTITUTE(TRIM($AH495),":",""),"-",""))), --(UPPER(TRIM($B$2:$B$518))="YES"), --(UPPER(TRIM($G$2:$G$518)&amp;TRIM($I$2:$I$518)&amp;TRIM($J$2:$J$518))&lt;&gt;UPPER(TRIM($G495)&amp;TRIM($I495)&amp;TRIM($J495))))&gt;0), AND($AP495&lt;&gt;"", LOWER(TRIM($AP495))&lt;&gt;"n/a", LOWER(TRIM($AP495))&lt;&gt;"na", SUMPRODUCT(--(UPPER(TRIM($AP$2:$AP$518))=UPPER(TRIM($AP495))), --(UPPER(TRIM($B$2:$B$518))="YES"), --(UPPER(TRIM($G$2:$G$518)&amp;TRIM($I$2:$I$518)&amp;TRIM($J$2:$J$518))&lt;&gt;UPPER(TRIM($G495)&amp;TRIM($I495)&amp;TRIM($J495))))&gt;0), AND($AQ495&lt;&gt;"", LOWER(TRIM($AQ495))&lt;&gt;"n/a", LOWER(TRIM($AQ495))&lt;&gt;"na", SUMPRODUCT(--(UPPER(TRIM($AQ$2:$AQ$518))=UPPER(TRIM($AQ495))), --(UPPER(TRIM($B$2:$B$518))="YES"), --(UPPER(TRIM($G$2:$G$518)&amp;TRIM($I$2:$I$518)&amp;TRIM($J$2:$J$518))&lt;&gt;UPPER(TRIM($G495)&amp;TRIM($I495)&amp;TRIM($J495))))&gt;0)), "Yes", "No"))</f>
        <v/>
      </c>
      <c r="CD495">
        <f>IF($Y495="","",IF((IF(AND($BR495&lt;&gt;"Yes",$BR495&lt;&gt;"N/A"),"Power Cable, ","")&amp;IF(AND($BS495&lt;&gt;"Yes",$BS495&lt;&gt;"N/A"),"Battery, ","")&amp;IF(AND($AD495&lt;&gt;"Yes",$AD495&lt;&gt;"N/A"),"Firmware Download, ","")&amp;IF(AND(OR($AD495="Yes",$AD495="N/A"),$AE495&lt;&gt;"Yes",$AE495&lt;&gt;"N/A"),"Firmware Install, ","")&amp;IF(AND($CB495&lt;&gt;"Yes",$CB495&lt;&gt;"N/A"),"Device ID, ","")&amp;IF(AND($CC495&lt;&gt;"Yes",$CC495&lt;&gt;"N/A"),"Epic Beans Relay, ",""))="","",LEFT(IF(AND($BR495&lt;&gt;"Yes",$BR495&lt;&gt;"N/A"),"Power Cable, ","")&amp;IF(AND($BS495&lt;&gt;"Yes",$BS495&lt;&gt;"N/A"),"Battery, ","")&amp;IF(AND($AD495&lt;&gt;"Yes",$AD495&lt;&gt;"N/A"),"Firmware Download, ","")&amp;IF(AND(OR($AD495="Yes",$AD495="N/A"),$AE495&lt;&gt;"Yes",$AE495&lt;&gt;"N/A"),"Firmware Install, ","")&amp;IF(AND($CB495&lt;&gt;"Yes",$CB495&lt;&gt;"N/A"),"Device ID, ","")&amp;IF(AND($CC495&lt;&gt;"Yes",$CC495&lt;&gt;"N/A"),"Epic Beans Relay, ",""),LEN(IF(AND($BR495&lt;&gt;"Yes",$BR495&lt;&gt;"N/A"),"Power Cable, ","")&amp;IF(AND($BS495&lt;&gt;"Yes",$BS495&lt;&gt;"N/A"),"Battery, ","")&amp;IF(AND($AD495&lt;&gt;"Yes",$AD495&lt;&gt;"N/A"),"Firmware Download, ","")&amp;IF(AND(OR($AD495="Yes",$AD495="N/A"),$AE495&lt;&gt;"Yes",$AE495&lt;&gt;"N/A"),"Firmware Install, ","")&amp;IF(AND($CB495&lt;&gt;"Yes",$CB495&lt;&gt;"N/A"),"Device ID, ","")&amp;IF(AND($CC495&lt;&gt;"Yes",$CC495&lt;&gt;"N/A"),"Epic Beans Relay, ",""))-2)))</f>
        <v/>
      </c>
      <c r="CE495">
        <f>IF($Y495="","",IF($CD495="","Yes","Blocked"))</f>
        <v/>
      </c>
      <c r="CP495">
        <f>IF($CO495="","",IFERROR(VLOOKUP($CO495,'01_Warehouse_Ledger'!$A:$N,4,FALSE),""))</f>
        <v/>
      </c>
      <c r="CQ495">
        <f>IF($CO495="","",IFERROR(VLOOKUP($CO495,'01_Warehouse_Ledger'!$A:$N,5,FALSE),""))</f>
        <v/>
      </c>
      <c r="CR495">
        <f>IF($CO495="","",IFERROR(VLOOKUP($CO495,'01_Warehouse_Ledger'!$A:$N,13,FALSE),""))</f>
        <v/>
      </c>
      <c r="CW495">
        <f>IF($S495="","",IF(UPPER(TRIM($S495))&lt;&gt;"PASS","",IF(LEN(TRIM($BY495))&gt;0,"NOTES_PRESENT",IF(LEN(TRIM($T495))=0,"SET_NA",IF(OR(LOWER(TRIM($T495))="na",LOWER(TRIM($T495))="n/a"),"OK","MANUAL_OVERRIDE")))))</f>
        <v/>
      </c>
    </row>
    <row r="496">
      <c r="B496" t="inlineStr">
        <is>
          <t>No</t>
        </is>
      </c>
      <c r="C496" t="inlineStr">
        <is>
          <t>No</t>
        </is>
      </c>
      <c r="D496">
        <f>IF($B496&lt;&gt;"Yes","",IF($C496="No","Yes",IF($C496="Yes","No","")))</f>
        <v/>
      </c>
      <c r="E496">
        <f>IF($A496="","",IF(OR(AND($V496&lt;&gt;"",LOWER(TRIM($V496))&lt;&gt;"n/a",LOWER(TRIM($V496))&lt;&gt;"na",SUMPRODUCT(--(UPPER(TRIM($V$2:$V$518))=UPPER(TRIM($V496))),--(TRIM($V$2:$V$518)&lt;&gt;""),--(LOWER(TRIM($V$2:$V$518))&lt;&gt;"n/a"),--(LOWER(TRIM($V$2:$V$518))&lt;&gt;"na"))&gt;1),AND($W496&lt;&gt;"",LOWER(TRIM($W496))&lt;&gt;"n/a",LOWER(TRIM($W496))&lt;&gt;"na",SUMPRODUCT(--(UPPER(TRIM($W$2:$W$518))=UPPER(TRIM($W496))),--(TRIM($W$2:$W$518)&lt;&gt;""),--(LOWER(TRIM($W$2:$W$518))&lt;&gt;"n/a"),--(LOWER(TRIM($W$2:$W$518))&lt;&gt;"na"))&gt;1),AND($X496&lt;&gt;"",LOWER(TRIM($X496))&lt;&gt;"n/a",LOWER(TRIM($X496))&lt;&gt;"na",SUMPRODUCT(--(UPPER(TRIM($X$2:$X$518))=UPPER(TRIM($X496))),--(TRIM($X$2:$X$518)&lt;&gt;""),--(LOWER(TRIM($X$2:$X$518))&lt;&gt;"n/a"),--(LOWER(TRIM($X$2:$X$518))&lt;&gt;"na"))&gt;1),AND($Y496&lt;&gt;"",LOWER(TRIM($Y496))&lt;&gt;"n/a",LOWER(TRIM($Y496))&lt;&gt;"na",SUMPRODUCT(--(UPPER(SUBSTITUTE(SUBSTITUTE(TRIM($Y$2:$Y$518),":",""),"-",""))=UPPER(SUBSTITUTE(SUBSTITUTE(TRIM($Y496),":",""),"-",""))),--(TRIM($Y$2:$Y$518)&lt;&gt;""),--(LOWER(TRIM($Y$2:$Y$518))&lt;&gt;"n/a"),--(LOWER(TRIM($Y$2:$Y$518))&lt;&gt;"na"))&gt;1),AND($AB496&lt;&gt;"",LOWER(TRIM($AB496))&lt;&gt;"n/a",LOWER(TRIM($AB496))&lt;&gt;"na",SUMPRODUCT(--(UPPER(TRIM($AB$2:$AB$518))=UPPER(TRIM($AB496))),--(TRIM($AB$2:$AB$518)&lt;&gt;""),--(LOWER(TRIM($AB$2:$AB$518))&lt;&gt;"n/a"),--(LOWER(TRIM($AB$2:$AB$518))&lt;&gt;"na"))&gt;1),AND($AH496&lt;&gt;"",LOWER(TRIM($AH496))&lt;&gt;"n/a",LOWER(TRIM($AH496))&lt;&gt;"na",SUMPRODUCT(--(UPPER(SUBSTITUTE(SUBSTITUTE(TRIM($AH$2:$AH$518),":",""),"-",""))=UPPER(SUBSTITUTE(SUBSTITUTE(TRIM($AH496),":",""),"-",""))),--(TRIM($AH$2:$AH$518)&lt;&gt;""),--(LOWER(TRIM($AH$2:$AH$518))&lt;&gt;"n/a"),--(LOWER(TRIM($AH$2:$AH$518))&lt;&gt;"na"))&gt;1),AND($AP496&lt;&gt;"",LOWER(TRIM($AP496))&lt;&gt;"n/a",LOWER(TRIM($AP496))&lt;&gt;"na",SUMPRODUCT(--(UPPER(TRIM($AP$2:$AP$518))=UPPER(TRIM($AP496))),--(TRIM($AP$2:$AP$518)&lt;&gt;""),--(LOWER(TRIM($AP$2:$AP$518))&lt;&gt;"n/a"),--(LOWER(TRIM($AP$2:$AP$518))&lt;&gt;"na"))&gt;1),AND($AQ496&lt;&gt;"",LOWER(TRIM($AQ496))&lt;&gt;"n/a",LOWER(TRIM($AQ496))&lt;&gt;"na",SUMPRODUCT(--(UPPER(TRIM($AQ$2:$AQ$518))=UPPER(TRIM($AQ496))),--(TRIM($AQ$2:$AQ$518)&lt;&gt;""),--(LOWER(TRIM($AQ$2:$AQ$518))&lt;&gt;"n/a"),--(LOWER(TRIM($AQ$2:$AQ$518))&lt;&gt;"na"))&gt;1)),"Yes","No"))</f>
        <v/>
      </c>
      <c r="F496">
        <f>IF(UPPER(TRIM($B496))&lt;&gt;"YES","", IF(OR(AND($V496&lt;&gt;"", LOWER(TRIM($V496))&lt;&gt;"n/a", LOWER(TRIM($V496))&lt;&gt;"na", SUMPRODUCT(--(UPPER(TRIM($V$2:$V$518))=UPPER(TRIM($V496))), --(UPPER(TRIM($B$2:$B$518))="YES"), --(UPPER(TRIM($G$2:$G$518)&amp;TRIM($I$2:$I$518)&amp;TRIM($J$2:$J$518))&lt;&gt;UPPER(TRIM($G496)&amp;TRIM($I496)&amp;TRIM($J496))))&gt;0), AND($W496&lt;&gt;"", LOWER(TRIM($W496))&lt;&gt;"n/a", LOWER(TRIM($W496))&lt;&gt;"na", SUMPRODUCT(--(UPPER(TRIM($W$2:$W$518))=UPPER(TRIM($W496))), --(UPPER(TRIM($B$2:$B$518))="YES"), --(UPPER(TRIM($G$2:$G$518)&amp;TRIM($I$2:$I$518)&amp;TRIM($J$2:$J$518))&lt;&gt;UPPER(TRIM($G496)&amp;TRIM($I496)&amp;TRIM($J496))))&gt;0), AND($X496&lt;&gt;"", LOWER(TRIM($X496))&lt;&gt;"n/a", LOWER(TRIM($X496))&lt;&gt;"na", SUMPRODUCT(--(UPPER(TRIM($X$2:$X$518))=UPPER(TRIM($X496))), --(UPPER(TRIM($B$2:$B$518))="YES"), --(UPPER(TRIM($G$2:$G$518)&amp;TRIM($I$2:$I$518)&amp;TRIM($J$2:$J$518))&lt;&gt;UPPER(TRIM($G496)&amp;TRIM($I496)&amp;TRIM($J496))))&gt;0), AND($Y496&lt;&gt;"", LOWER(TRIM($Y496))&lt;&gt;"n/a", LOWER(TRIM($Y496))&lt;&gt;"na", SUMPRODUCT(--(UPPER(SUBSTITUTE(SUBSTITUTE(TRIM($Y$2:$Y$518),":",""),"-",""))=UPPER(SUBSTITUTE(SUBSTITUTE(TRIM($Y496),":",""),"-",""))), --(UPPER(TRIM($B$2:$B$518))="YES"), --(UPPER(TRIM($G$2:$G$518)&amp;TRIM($I$2:$I$518)&amp;TRIM($J$2:$J$518))&lt;&gt;UPPER(TRIM($G496)&amp;TRIM($I496)&amp;TRIM($J496))))&gt;0), AND($AB496&lt;&gt;"", LOWER(TRIM($AB496))&lt;&gt;"n/a", LOWER(TRIM($AB496))&lt;&gt;"na", SUMPRODUCT(--(UPPER(TRIM($AB$2:$AB$518))=UPPER(TRIM($AB496))), --(UPPER(TRIM($B$2:$B$518))="YES"), --(UPPER(TRIM($G$2:$G$518)&amp;TRIM($I$2:$I$518)&amp;TRIM($J$2:$J$518))&lt;&gt;UPPER(TRIM($G496)&amp;TRIM($I496)&amp;TRIM($J496))))&gt;0), AND($AH496&lt;&gt;"", LOWER(TRIM($AH496))&lt;&gt;"n/a", LOWER(TRIM($AH496))&lt;&gt;"na", SUMPRODUCT(--(UPPER(SUBSTITUTE(SUBSTITUTE(TRIM($AH$2:$AH$518),":",""),"-",""))=UPPER(SUBSTITUTE(SUBSTITUTE(TRIM($AH496),":",""),"-",""))), --(UPPER(TRIM($B$2:$B$518))="YES"), --(UPPER(TRIM($G$2:$G$518)&amp;TRIM($I$2:$I$518)&amp;TRIM($J$2:$J$518))&lt;&gt;UPPER(TRIM($G496)&amp;TRIM($I496)&amp;TRIM($J496))))&gt;0), AND($AP496&lt;&gt;"", LOWER(TRIM($AP496))&lt;&gt;"n/a", LOWER(TRIM($AP496))&lt;&gt;"na", SUMPRODUCT(--(UPPER(TRIM($AP$2:$AP$518))=UPPER(TRIM($AP496))), --(UPPER(TRIM($B$2:$B$518))="YES"), --(UPPER(TRIM($G$2:$G$518)&amp;TRIM($I$2:$I$518)&amp;TRIM($J$2:$J$518))&lt;&gt;UPPER(TRIM($G496)&amp;TRIM($I496)&amp;TRIM($J496))))&gt;0), AND($AQ496&lt;&gt;"", LOWER(TRIM($AQ496))&lt;&gt;"n/a", LOWER(TRIM($AQ496))&lt;&gt;"na", SUMPRODUCT(--(UPPER(TRIM($AQ$2:$AQ$518))=UPPER(TRIM($AQ496))), --(UPPER(TRIM($B$2:$B$518))="YES"), --(UPPER(TRIM($G$2:$G$518)&amp;TRIM($I$2:$I$518)&amp;TRIM($J$2:$J$518))&lt;&gt;UPPER(TRIM($G496)&amp;TRIM($I496)&amp;TRIM($J496))))&gt;0)), "Yes", "No"))</f>
        <v/>
      </c>
      <c r="CD496">
        <f>IF($Y496="","",IF((IF(AND($BR496&lt;&gt;"Yes",$BR496&lt;&gt;"N/A"),"Power Cable, ","")&amp;IF(AND($BS496&lt;&gt;"Yes",$BS496&lt;&gt;"N/A"),"Battery, ","")&amp;IF(AND($AD496&lt;&gt;"Yes",$AD496&lt;&gt;"N/A"),"Firmware Download, ","")&amp;IF(AND(OR($AD496="Yes",$AD496="N/A"),$AE496&lt;&gt;"Yes",$AE496&lt;&gt;"N/A"),"Firmware Install, ","")&amp;IF(AND($CB496&lt;&gt;"Yes",$CB496&lt;&gt;"N/A"),"Device ID, ","")&amp;IF(AND($CC496&lt;&gt;"Yes",$CC496&lt;&gt;"N/A"),"Epic Beans Relay, ",""))="","",LEFT(IF(AND($BR496&lt;&gt;"Yes",$BR496&lt;&gt;"N/A"),"Power Cable, ","")&amp;IF(AND($BS496&lt;&gt;"Yes",$BS496&lt;&gt;"N/A"),"Battery, ","")&amp;IF(AND($AD496&lt;&gt;"Yes",$AD496&lt;&gt;"N/A"),"Firmware Download, ","")&amp;IF(AND(OR($AD496="Yes",$AD496="N/A"),$AE496&lt;&gt;"Yes",$AE496&lt;&gt;"N/A"),"Firmware Install, ","")&amp;IF(AND($CB496&lt;&gt;"Yes",$CB496&lt;&gt;"N/A"),"Device ID, ","")&amp;IF(AND($CC496&lt;&gt;"Yes",$CC496&lt;&gt;"N/A"),"Epic Beans Relay, ",""),LEN(IF(AND($BR496&lt;&gt;"Yes",$BR496&lt;&gt;"N/A"),"Power Cable, ","")&amp;IF(AND($BS496&lt;&gt;"Yes",$BS496&lt;&gt;"N/A"),"Battery, ","")&amp;IF(AND($AD496&lt;&gt;"Yes",$AD496&lt;&gt;"N/A"),"Firmware Download, ","")&amp;IF(AND(OR($AD496="Yes",$AD496="N/A"),$AE496&lt;&gt;"Yes",$AE496&lt;&gt;"N/A"),"Firmware Install, ","")&amp;IF(AND($CB496&lt;&gt;"Yes",$CB496&lt;&gt;"N/A"),"Device ID, ","")&amp;IF(AND($CC496&lt;&gt;"Yes",$CC496&lt;&gt;"N/A"),"Epic Beans Relay, ",""))-2)))</f>
        <v/>
      </c>
      <c r="CE496">
        <f>IF($Y496="","",IF($CD496="","Yes","Blocked"))</f>
        <v/>
      </c>
      <c r="CP496">
        <f>IF($CO496="","",IFERROR(VLOOKUP($CO496,'01_Warehouse_Ledger'!$A:$N,4,FALSE),""))</f>
        <v/>
      </c>
      <c r="CQ496">
        <f>IF($CO496="","",IFERROR(VLOOKUP($CO496,'01_Warehouse_Ledger'!$A:$N,5,FALSE),""))</f>
        <v/>
      </c>
      <c r="CR496">
        <f>IF($CO496="","",IFERROR(VLOOKUP($CO496,'01_Warehouse_Ledger'!$A:$N,13,FALSE),""))</f>
        <v/>
      </c>
      <c r="CW496">
        <f>IF($S496="","",IF(UPPER(TRIM($S496))&lt;&gt;"PASS","",IF(LEN(TRIM($BY496))&gt;0,"NOTES_PRESENT",IF(LEN(TRIM($T496))=0,"SET_NA",IF(OR(LOWER(TRIM($T496))="na",LOWER(TRIM($T496))="n/a"),"OK","MANUAL_OVERRIDE")))))</f>
        <v/>
      </c>
    </row>
    <row r="497">
      <c r="B497" t="inlineStr">
        <is>
          <t>No</t>
        </is>
      </c>
      <c r="C497" t="inlineStr">
        <is>
          <t>No</t>
        </is>
      </c>
      <c r="D497">
        <f>IF($B497&lt;&gt;"Yes","",IF($C497="No","Yes",IF($C497="Yes","No","")))</f>
        <v/>
      </c>
      <c r="E497">
        <f>IF($A497="","",IF(OR(AND($V497&lt;&gt;"",LOWER(TRIM($V497))&lt;&gt;"n/a",LOWER(TRIM($V497))&lt;&gt;"na",SUMPRODUCT(--(UPPER(TRIM($V$2:$V$518))=UPPER(TRIM($V497))),--(TRIM($V$2:$V$518)&lt;&gt;""),--(LOWER(TRIM($V$2:$V$518))&lt;&gt;"n/a"),--(LOWER(TRIM($V$2:$V$518))&lt;&gt;"na"))&gt;1),AND($W497&lt;&gt;"",LOWER(TRIM($W497))&lt;&gt;"n/a",LOWER(TRIM($W497))&lt;&gt;"na",SUMPRODUCT(--(UPPER(TRIM($W$2:$W$518))=UPPER(TRIM($W497))),--(TRIM($W$2:$W$518)&lt;&gt;""),--(LOWER(TRIM($W$2:$W$518))&lt;&gt;"n/a"),--(LOWER(TRIM($W$2:$W$518))&lt;&gt;"na"))&gt;1),AND($X497&lt;&gt;"",LOWER(TRIM($X497))&lt;&gt;"n/a",LOWER(TRIM($X497))&lt;&gt;"na",SUMPRODUCT(--(UPPER(TRIM($X$2:$X$518))=UPPER(TRIM($X497))),--(TRIM($X$2:$X$518)&lt;&gt;""),--(LOWER(TRIM($X$2:$X$518))&lt;&gt;"n/a"),--(LOWER(TRIM($X$2:$X$518))&lt;&gt;"na"))&gt;1),AND($Y497&lt;&gt;"",LOWER(TRIM($Y497))&lt;&gt;"n/a",LOWER(TRIM($Y497))&lt;&gt;"na",SUMPRODUCT(--(UPPER(SUBSTITUTE(SUBSTITUTE(TRIM($Y$2:$Y$518),":",""),"-",""))=UPPER(SUBSTITUTE(SUBSTITUTE(TRIM($Y497),":",""),"-",""))),--(TRIM($Y$2:$Y$518)&lt;&gt;""),--(LOWER(TRIM($Y$2:$Y$518))&lt;&gt;"n/a"),--(LOWER(TRIM($Y$2:$Y$518))&lt;&gt;"na"))&gt;1),AND($AB497&lt;&gt;"",LOWER(TRIM($AB497))&lt;&gt;"n/a",LOWER(TRIM($AB497))&lt;&gt;"na",SUMPRODUCT(--(UPPER(TRIM($AB$2:$AB$518))=UPPER(TRIM($AB497))),--(TRIM($AB$2:$AB$518)&lt;&gt;""),--(LOWER(TRIM($AB$2:$AB$518))&lt;&gt;"n/a"),--(LOWER(TRIM($AB$2:$AB$518))&lt;&gt;"na"))&gt;1),AND($AH497&lt;&gt;"",LOWER(TRIM($AH497))&lt;&gt;"n/a",LOWER(TRIM($AH497))&lt;&gt;"na",SUMPRODUCT(--(UPPER(SUBSTITUTE(SUBSTITUTE(TRIM($AH$2:$AH$518),":",""),"-",""))=UPPER(SUBSTITUTE(SUBSTITUTE(TRIM($AH497),":",""),"-",""))),--(TRIM($AH$2:$AH$518)&lt;&gt;""),--(LOWER(TRIM($AH$2:$AH$518))&lt;&gt;"n/a"),--(LOWER(TRIM($AH$2:$AH$518))&lt;&gt;"na"))&gt;1),AND($AP497&lt;&gt;"",LOWER(TRIM($AP497))&lt;&gt;"n/a",LOWER(TRIM($AP497))&lt;&gt;"na",SUMPRODUCT(--(UPPER(TRIM($AP$2:$AP$518))=UPPER(TRIM($AP497))),--(TRIM($AP$2:$AP$518)&lt;&gt;""),--(LOWER(TRIM($AP$2:$AP$518))&lt;&gt;"n/a"),--(LOWER(TRIM($AP$2:$AP$518))&lt;&gt;"na"))&gt;1),AND($AQ497&lt;&gt;"",LOWER(TRIM($AQ497))&lt;&gt;"n/a",LOWER(TRIM($AQ497))&lt;&gt;"na",SUMPRODUCT(--(UPPER(TRIM($AQ$2:$AQ$518))=UPPER(TRIM($AQ497))),--(TRIM($AQ$2:$AQ$518)&lt;&gt;""),--(LOWER(TRIM($AQ$2:$AQ$518))&lt;&gt;"n/a"),--(LOWER(TRIM($AQ$2:$AQ$518))&lt;&gt;"na"))&gt;1)),"Yes","No"))</f>
        <v/>
      </c>
      <c r="F497">
        <f>IF(UPPER(TRIM($B497))&lt;&gt;"YES","", IF(OR(AND($V497&lt;&gt;"", LOWER(TRIM($V497))&lt;&gt;"n/a", LOWER(TRIM($V497))&lt;&gt;"na", SUMPRODUCT(--(UPPER(TRIM($V$2:$V$518))=UPPER(TRIM($V497))), --(UPPER(TRIM($B$2:$B$518))="YES"), --(UPPER(TRIM($G$2:$G$518)&amp;TRIM($I$2:$I$518)&amp;TRIM($J$2:$J$518))&lt;&gt;UPPER(TRIM($G497)&amp;TRIM($I497)&amp;TRIM($J497))))&gt;0), AND($W497&lt;&gt;"", LOWER(TRIM($W497))&lt;&gt;"n/a", LOWER(TRIM($W497))&lt;&gt;"na", SUMPRODUCT(--(UPPER(TRIM($W$2:$W$518))=UPPER(TRIM($W497))), --(UPPER(TRIM($B$2:$B$518))="YES"), --(UPPER(TRIM($G$2:$G$518)&amp;TRIM($I$2:$I$518)&amp;TRIM($J$2:$J$518))&lt;&gt;UPPER(TRIM($G497)&amp;TRIM($I497)&amp;TRIM($J497))))&gt;0), AND($X497&lt;&gt;"", LOWER(TRIM($X497))&lt;&gt;"n/a", LOWER(TRIM($X497))&lt;&gt;"na", SUMPRODUCT(--(UPPER(TRIM($X$2:$X$518))=UPPER(TRIM($X497))), --(UPPER(TRIM($B$2:$B$518))="YES"), --(UPPER(TRIM($G$2:$G$518)&amp;TRIM($I$2:$I$518)&amp;TRIM($J$2:$J$518))&lt;&gt;UPPER(TRIM($G497)&amp;TRIM($I497)&amp;TRIM($J497))))&gt;0), AND($Y497&lt;&gt;"", LOWER(TRIM($Y497))&lt;&gt;"n/a", LOWER(TRIM($Y497))&lt;&gt;"na", SUMPRODUCT(--(UPPER(SUBSTITUTE(SUBSTITUTE(TRIM($Y$2:$Y$518),":",""),"-",""))=UPPER(SUBSTITUTE(SUBSTITUTE(TRIM($Y497),":",""),"-",""))), --(UPPER(TRIM($B$2:$B$518))="YES"), --(UPPER(TRIM($G$2:$G$518)&amp;TRIM($I$2:$I$518)&amp;TRIM($J$2:$J$518))&lt;&gt;UPPER(TRIM($G497)&amp;TRIM($I497)&amp;TRIM($J497))))&gt;0), AND($AB497&lt;&gt;"", LOWER(TRIM($AB497))&lt;&gt;"n/a", LOWER(TRIM($AB497))&lt;&gt;"na", SUMPRODUCT(--(UPPER(TRIM($AB$2:$AB$518))=UPPER(TRIM($AB497))), --(UPPER(TRIM($B$2:$B$518))="YES"), --(UPPER(TRIM($G$2:$G$518)&amp;TRIM($I$2:$I$518)&amp;TRIM($J$2:$J$518))&lt;&gt;UPPER(TRIM($G497)&amp;TRIM($I497)&amp;TRIM($J497))))&gt;0), AND($AH497&lt;&gt;"", LOWER(TRIM($AH497))&lt;&gt;"n/a", LOWER(TRIM($AH497))&lt;&gt;"na", SUMPRODUCT(--(UPPER(SUBSTITUTE(SUBSTITUTE(TRIM($AH$2:$AH$518),":",""),"-",""))=UPPER(SUBSTITUTE(SUBSTITUTE(TRIM($AH497),":",""),"-",""))), --(UPPER(TRIM($B$2:$B$518))="YES"), --(UPPER(TRIM($G$2:$G$518)&amp;TRIM($I$2:$I$518)&amp;TRIM($J$2:$J$518))&lt;&gt;UPPER(TRIM($G497)&amp;TRIM($I497)&amp;TRIM($J497))))&gt;0), AND($AP497&lt;&gt;"", LOWER(TRIM($AP497))&lt;&gt;"n/a", LOWER(TRIM($AP497))&lt;&gt;"na", SUMPRODUCT(--(UPPER(TRIM($AP$2:$AP$518))=UPPER(TRIM($AP497))), --(UPPER(TRIM($B$2:$B$518))="YES"), --(UPPER(TRIM($G$2:$G$518)&amp;TRIM($I$2:$I$518)&amp;TRIM($J$2:$J$518))&lt;&gt;UPPER(TRIM($G497)&amp;TRIM($I497)&amp;TRIM($J497))))&gt;0), AND($AQ497&lt;&gt;"", LOWER(TRIM($AQ497))&lt;&gt;"n/a", LOWER(TRIM($AQ497))&lt;&gt;"na", SUMPRODUCT(--(UPPER(TRIM($AQ$2:$AQ$518))=UPPER(TRIM($AQ497))), --(UPPER(TRIM($B$2:$B$518))="YES"), --(UPPER(TRIM($G$2:$G$518)&amp;TRIM($I$2:$I$518)&amp;TRIM($J$2:$J$518))&lt;&gt;UPPER(TRIM($G497)&amp;TRIM($I497)&amp;TRIM($J497))))&gt;0)), "Yes", "No"))</f>
        <v/>
      </c>
      <c r="CD497">
        <f>IF($Y497="","",IF((IF(AND($BR497&lt;&gt;"Yes",$BR497&lt;&gt;"N/A"),"Power Cable, ","")&amp;IF(AND($BS497&lt;&gt;"Yes",$BS497&lt;&gt;"N/A"),"Battery, ","")&amp;IF(AND($AD497&lt;&gt;"Yes",$AD497&lt;&gt;"N/A"),"Firmware Download, ","")&amp;IF(AND(OR($AD497="Yes",$AD497="N/A"),$AE497&lt;&gt;"Yes",$AE497&lt;&gt;"N/A"),"Firmware Install, ","")&amp;IF(AND($CB497&lt;&gt;"Yes",$CB497&lt;&gt;"N/A"),"Device ID, ","")&amp;IF(AND($CC497&lt;&gt;"Yes",$CC497&lt;&gt;"N/A"),"Epic Beans Relay, ",""))="","",LEFT(IF(AND($BR497&lt;&gt;"Yes",$BR497&lt;&gt;"N/A"),"Power Cable, ","")&amp;IF(AND($BS497&lt;&gt;"Yes",$BS497&lt;&gt;"N/A"),"Battery, ","")&amp;IF(AND($AD497&lt;&gt;"Yes",$AD497&lt;&gt;"N/A"),"Firmware Download, ","")&amp;IF(AND(OR($AD497="Yes",$AD497="N/A"),$AE497&lt;&gt;"Yes",$AE497&lt;&gt;"N/A"),"Firmware Install, ","")&amp;IF(AND($CB497&lt;&gt;"Yes",$CB497&lt;&gt;"N/A"),"Device ID, ","")&amp;IF(AND($CC497&lt;&gt;"Yes",$CC497&lt;&gt;"N/A"),"Epic Beans Relay, ",""),LEN(IF(AND($BR497&lt;&gt;"Yes",$BR497&lt;&gt;"N/A"),"Power Cable, ","")&amp;IF(AND($BS497&lt;&gt;"Yes",$BS497&lt;&gt;"N/A"),"Battery, ","")&amp;IF(AND($AD497&lt;&gt;"Yes",$AD497&lt;&gt;"N/A"),"Firmware Download, ","")&amp;IF(AND(OR($AD497="Yes",$AD497="N/A"),$AE497&lt;&gt;"Yes",$AE497&lt;&gt;"N/A"),"Firmware Install, ","")&amp;IF(AND($CB497&lt;&gt;"Yes",$CB497&lt;&gt;"N/A"),"Device ID, ","")&amp;IF(AND($CC497&lt;&gt;"Yes",$CC497&lt;&gt;"N/A"),"Epic Beans Relay, ",""))-2)))</f>
        <v/>
      </c>
      <c r="CE497">
        <f>IF($Y497="","",IF($CD497="","Yes","Blocked"))</f>
        <v/>
      </c>
      <c r="CW497">
        <f>IF($S497="","",IF(UPPER(TRIM($S497))&lt;&gt;"PASS","",IF(LEN(TRIM($BY497))&gt;0,"NOTES_PRESENT",IF(LEN(TRIM($T497))=0,"SET_NA",IF(OR(LOWER(TRIM($T497))="na",LOWER(TRIM($T497))="n/a"),"OK","MANUAL_OVERRIDE")))))</f>
        <v/>
      </c>
    </row>
    <row r="498">
      <c r="B498" s="25" t="inlineStr">
        <is>
          <t>No</t>
        </is>
      </c>
      <c r="C498" t="inlineStr">
        <is>
          <t>No</t>
        </is>
      </c>
      <c r="D498">
        <f>IF($B498&lt;&gt;"Yes","",IF($C498="No","Yes",IF($C498="Yes","No","")))</f>
        <v/>
      </c>
      <c r="E498">
        <f>IF($A498="","",IF(OR(AND($V498&lt;&gt;"",LOWER(TRIM($V498))&lt;&gt;"n/a",LOWER(TRIM($V498))&lt;&gt;"na",SUMPRODUCT(--(UPPER(TRIM($V$2:$V$518))=UPPER(TRIM($V498))),--(TRIM($V$2:$V$518)&lt;&gt;""),--(LOWER(TRIM($V$2:$V$518))&lt;&gt;"n/a"),--(LOWER(TRIM($V$2:$V$518))&lt;&gt;"na"))&gt;1),AND($W498&lt;&gt;"",LOWER(TRIM($W498))&lt;&gt;"n/a",LOWER(TRIM($W498))&lt;&gt;"na",SUMPRODUCT(--(UPPER(TRIM($W$2:$W$518))=UPPER(TRIM($W498))),--(TRIM($W$2:$W$518)&lt;&gt;""),--(LOWER(TRIM($W$2:$W$518))&lt;&gt;"n/a"),--(LOWER(TRIM($W$2:$W$518))&lt;&gt;"na"))&gt;1),AND($X498&lt;&gt;"",LOWER(TRIM($X498))&lt;&gt;"n/a",LOWER(TRIM($X498))&lt;&gt;"na",SUMPRODUCT(--(UPPER(TRIM($X$2:$X$518))=UPPER(TRIM($X498))),--(TRIM($X$2:$X$518)&lt;&gt;""),--(LOWER(TRIM($X$2:$X$518))&lt;&gt;"n/a"),--(LOWER(TRIM($X$2:$X$518))&lt;&gt;"na"))&gt;1),AND($Y498&lt;&gt;"",LOWER(TRIM($Y498))&lt;&gt;"n/a",LOWER(TRIM($Y498))&lt;&gt;"na",SUMPRODUCT(--(UPPER(SUBSTITUTE(SUBSTITUTE(TRIM($Y$2:$Y$518),":",""),"-",""))=UPPER(SUBSTITUTE(SUBSTITUTE(TRIM($Y498),":",""),"-",""))),--(TRIM($Y$2:$Y$518)&lt;&gt;""),--(LOWER(TRIM($Y$2:$Y$518))&lt;&gt;"n/a"),--(LOWER(TRIM($Y$2:$Y$518))&lt;&gt;"na"))&gt;1),AND($AB498&lt;&gt;"",LOWER(TRIM($AB498))&lt;&gt;"n/a",LOWER(TRIM($AB498))&lt;&gt;"na",SUMPRODUCT(--(UPPER(TRIM($AB$2:$AB$518))=UPPER(TRIM($AB498))),--(TRIM($AB$2:$AB$518)&lt;&gt;""),--(LOWER(TRIM($AB$2:$AB$518))&lt;&gt;"n/a"),--(LOWER(TRIM($AB$2:$AB$518))&lt;&gt;"na"))&gt;1),AND($AH498&lt;&gt;"",LOWER(TRIM($AH498))&lt;&gt;"n/a",LOWER(TRIM($AH498))&lt;&gt;"na",SUMPRODUCT(--(UPPER(SUBSTITUTE(SUBSTITUTE(TRIM($AH$2:$AH$518),":",""),"-",""))=UPPER(SUBSTITUTE(SUBSTITUTE(TRIM($AH498),":",""),"-",""))),--(TRIM($AH$2:$AH$518)&lt;&gt;""),--(LOWER(TRIM($AH$2:$AH$518))&lt;&gt;"n/a"),--(LOWER(TRIM($AH$2:$AH$518))&lt;&gt;"na"))&gt;1),AND($AP498&lt;&gt;"",LOWER(TRIM($AP498))&lt;&gt;"n/a",LOWER(TRIM($AP498))&lt;&gt;"na",SUMPRODUCT(--(UPPER(TRIM($AP$2:$AP$518))=UPPER(TRIM($AP498))),--(TRIM($AP$2:$AP$518)&lt;&gt;""),--(LOWER(TRIM($AP$2:$AP$518))&lt;&gt;"n/a"),--(LOWER(TRIM($AP$2:$AP$518))&lt;&gt;"na"))&gt;1),AND($AQ498&lt;&gt;"",LOWER(TRIM($AQ498))&lt;&gt;"n/a",LOWER(TRIM($AQ498))&lt;&gt;"na",SUMPRODUCT(--(UPPER(TRIM($AQ$2:$AQ$518))=UPPER(TRIM($AQ498))),--(TRIM($AQ$2:$AQ$518)&lt;&gt;""),--(LOWER(TRIM($AQ$2:$AQ$518))&lt;&gt;"n/a"),--(LOWER(TRIM($AQ$2:$AQ$518))&lt;&gt;"na"))&gt;1)),"Yes","No"))</f>
        <v/>
      </c>
      <c r="F498">
        <f>IF(UPPER(TRIM($B498))&lt;&gt;"YES","", IF(OR(AND($V498&lt;&gt;"", LOWER(TRIM($V498))&lt;&gt;"n/a", LOWER(TRIM($V498))&lt;&gt;"na", SUMPRODUCT(--(UPPER(TRIM($V$2:$V$518))=UPPER(TRIM($V498))), --(UPPER(TRIM($B$2:$B$518))="YES"), --(UPPER(TRIM($G$2:$G$518)&amp;TRIM($I$2:$I$518)&amp;TRIM($J$2:$J$518))&lt;&gt;UPPER(TRIM($G498)&amp;TRIM($I498)&amp;TRIM($J498))))&gt;0), AND($W498&lt;&gt;"", LOWER(TRIM($W498))&lt;&gt;"n/a", LOWER(TRIM($W498))&lt;&gt;"na", SUMPRODUCT(--(UPPER(TRIM($W$2:$W$518))=UPPER(TRIM($W498))), --(UPPER(TRIM($B$2:$B$518))="YES"), --(UPPER(TRIM($G$2:$G$518)&amp;TRIM($I$2:$I$518)&amp;TRIM($J$2:$J$518))&lt;&gt;UPPER(TRIM($G498)&amp;TRIM($I498)&amp;TRIM($J498))))&gt;0), AND($X498&lt;&gt;"", LOWER(TRIM($X498))&lt;&gt;"n/a", LOWER(TRIM($X498))&lt;&gt;"na", SUMPRODUCT(--(UPPER(TRIM($X$2:$X$518))=UPPER(TRIM($X498))), --(UPPER(TRIM($B$2:$B$518))="YES"), --(UPPER(TRIM($G$2:$G$518)&amp;TRIM($I$2:$I$518)&amp;TRIM($J$2:$J$518))&lt;&gt;UPPER(TRIM($G498)&amp;TRIM($I498)&amp;TRIM($J498))))&gt;0), AND($Y498&lt;&gt;"", LOWER(TRIM($Y498))&lt;&gt;"n/a", LOWER(TRIM($Y498))&lt;&gt;"na", SUMPRODUCT(--(UPPER(SUBSTITUTE(SUBSTITUTE(TRIM($Y$2:$Y$518),":",""),"-",""))=UPPER(SUBSTITUTE(SUBSTITUTE(TRIM($Y498),":",""),"-",""))), --(UPPER(TRIM($B$2:$B$518))="YES"), --(UPPER(TRIM($G$2:$G$518)&amp;TRIM($I$2:$I$518)&amp;TRIM($J$2:$J$518))&lt;&gt;UPPER(TRIM($G498)&amp;TRIM($I498)&amp;TRIM($J498))))&gt;0), AND($AB498&lt;&gt;"", LOWER(TRIM($AB498))&lt;&gt;"n/a", LOWER(TRIM($AB498))&lt;&gt;"na", SUMPRODUCT(--(UPPER(TRIM($AB$2:$AB$518))=UPPER(TRIM($AB498))), --(UPPER(TRIM($B$2:$B$518))="YES"), --(UPPER(TRIM($G$2:$G$518)&amp;TRIM($I$2:$I$518)&amp;TRIM($J$2:$J$518))&lt;&gt;UPPER(TRIM($G498)&amp;TRIM($I498)&amp;TRIM($J498))))&gt;0), AND($AH498&lt;&gt;"", LOWER(TRIM($AH498))&lt;&gt;"n/a", LOWER(TRIM($AH498))&lt;&gt;"na", SUMPRODUCT(--(UPPER(SUBSTITUTE(SUBSTITUTE(TRIM($AH$2:$AH$518),":",""),"-",""))=UPPER(SUBSTITUTE(SUBSTITUTE(TRIM($AH498),":",""),"-",""))), --(UPPER(TRIM($B$2:$B$518))="YES"), --(UPPER(TRIM($G$2:$G$518)&amp;TRIM($I$2:$I$518)&amp;TRIM($J$2:$J$518))&lt;&gt;UPPER(TRIM($G498)&amp;TRIM($I498)&amp;TRIM($J498))))&gt;0), AND($AP498&lt;&gt;"", LOWER(TRIM($AP498))&lt;&gt;"n/a", LOWER(TRIM($AP498))&lt;&gt;"na", SUMPRODUCT(--(UPPER(TRIM($AP$2:$AP$518))=UPPER(TRIM($AP498))), --(UPPER(TRIM($B$2:$B$518))="YES"), --(UPPER(TRIM($G$2:$G$518)&amp;TRIM($I$2:$I$518)&amp;TRIM($J$2:$J$518))&lt;&gt;UPPER(TRIM($G498)&amp;TRIM($I498)&amp;TRIM($J498))))&gt;0), AND($AQ498&lt;&gt;"", LOWER(TRIM($AQ498))&lt;&gt;"n/a", LOWER(TRIM($AQ498))&lt;&gt;"na", SUMPRODUCT(--(UPPER(TRIM($AQ$2:$AQ$518))=UPPER(TRIM($AQ498))), --(UPPER(TRIM($B$2:$B$518))="YES"), --(UPPER(TRIM($G$2:$G$518)&amp;TRIM($I$2:$I$518)&amp;TRIM($J$2:$J$518))&lt;&gt;UPPER(TRIM($G498)&amp;TRIM($I498)&amp;TRIM($J498))))&gt;0)), "Yes", "No"))</f>
        <v/>
      </c>
      <c r="CD498">
        <f>IF($Y498="","",IF((IF(AND($BR498&lt;&gt;"Yes",$BR498&lt;&gt;"N/A"),"Power Cable, ","")&amp;IF(AND($BS498&lt;&gt;"Yes",$BS498&lt;&gt;"N/A"),"Battery, ","")&amp;IF(AND($AD498&lt;&gt;"Yes",$AD498&lt;&gt;"N/A"),"Firmware Download, ","")&amp;IF(AND(OR($AD498="Yes",$AD498="N/A"),$AE498&lt;&gt;"Yes",$AE498&lt;&gt;"N/A"),"Firmware Install, ","")&amp;IF(AND($CB498&lt;&gt;"Yes",$CB498&lt;&gt;"N/A"),"Device ID, ","")&amp;IF(AND($CC498&lt;&gt;"Yes",$CC498&lt;&gt;"N/A"),"Epic Beans Relay, ",""))="","",LEFT(IF(AND($BR498&lt;&gt;"Yes",$BR498&lt;&gt;"N/A"),"Power Cable, ","")&amp;IF(AND($BS498&lt;&gt;"Yes",$BS498&lt;&gt;"N/A"),"Battery, ","")&amp;IF(AND($AD498&lt;&gt;"Yes",$AD498&lt;&gt;"N/A"),"Firmware Download, ","")&amp;IF(AND(OR($AD498="Yes",$AD498="N/A"),$AE498&lt;&gt;"Yes",$AE498&lt;&gt;"N/A"),"Firmware Install, ","")&amp;IF(AND($CB498&lt;&gt;"Yes",$CB498&lt;&gt;"N/A"),"Device ID, ","")&amp;IF(AND($CC498&lt;&gt;"Yes",$CC498&lt;&gt;"N/A"),"Epic Beans Relay, ",""),LEN(IF(AND($BR498&lt;&gt;"Yes",$BR498&lt;&gt;"N/A"),"Power Cable, ","")&amp;IF(AND($BS498&lt;&gt;"Yes",$BS498&lt;&gt;"N/A"),"Battery, ","")&amp;IF(AND($AD498&lt;&gt;"Yes",$AD498&lt;&gt;"N/A"),"Firmware Download, ","")&amp;IF(AND(OR($AD498="Yes",$AD498="N/A"),$AE498&lt;&gt;"Yes",$AE498&lt;&gt;"N/A"),"Firmware Install, ","")&amp;IF(AND($CB498&lt;&gt;"Yes",$CB498&lt;&gt;"N/A"),"Device ID, ","")&amp;IF(AND($CC498&lt;&gt;"Yes",$CC498&lt;&gt;"N/A"),"Epic Beans Relay, ",""))-2)))</f>
        <v/>
      </c>
      <c r="CE498">
        <f>IF($Y498="","",IF($CD498="","Yes","Blocked"))</f>
        <v/>
      </c>
      <c r="CW498">
        <f>IF($S498="","",IF(UPPER(TRIM($S498))&lt;&gt;"PASS","",IF(LEN(TRIM($BY498))&gt;0,"NOTES_PRESENT",IF(LEN(TRIM($T498))=0,"SET_NA",IF(OR(LOWER(TRIM($T498))="na",LOWER(TRIM($T498))="n/a"),"OK","MANUAL_OVERRIDE")))))</f>
        <v/>
      </c>
    </row>
    <row r="499">
      <c r="B499" t="inlineStr">
        <is>
          <t>No</t>
        </is>
      </c>
      <c r="C499" t="inlineStr">
        <is>
          <t>No</t>
        </is>
      </c>
      <c r="D499">
        <f>IF($B499&lt;&gt;"Yes","",IF($C499="No","Yes",IF($C499="Yes","No","")))</f>
        <v/>
      </c>
      <c r="E499">
        <f>IF($A499="","",IF(OR(AND($V499&lt;&gt;"",LOWER(TRIM($V499))&lt;&gt;"n/a",LOWER(TRIM($V499))&lt;&gt;"na",SUMPRODUCT(--(UPPER(TRIM($V$2:$V$518))=UPPER(TRIM($V499))),--(TRIM($V$2:$V$518)&lt;&gt;""),--(LOWER(TRIM($V$2:$V$518))&lt;&gt;"n/a"),--(LOWER(TRIM($V$2:$V$518))&lt;&gt;"na"))&gt;1),AND($W499&lt;&gt;"",LOWER(TRIM($W499))&lt;&gt;"n/a",LOWER(TRIM($W499))&lt;&gt;"na",SUMPRODUCT(--(UPPER(TRIM($W$2:$W$518))=UPPER(TRIM($W499))),--(TRIM($W$2:$W$518)&lt;&gt;""),--(LOWER(TRIM($W$2:$W$518))&lt;&gt;"n/a"),--(LOWER(TRIM($W$2:$W$518))&lt;&gt;"na"))&gt;1),AND($X499&lt;&gt;"",LOWER(TRIM($X499))&lt;&gt;"n/a",LOWER(TRIM($X499))&lt;&gt;"na",SUMPRODUCT(--(UPPER(TRIM($X$2:$X$518))=UPPER(TRIM($X499))),--(TRIM($X$2:$X$518)&lt;&gt;""),--(LOWER(TRIM($X$2:$X$518))&lt;&gt;"n/a"),--(LOWER(TRIM($X$2:$X$518))&lt;&gt;"na"))&gt;1),AND($Y499&lt;&gt;"",LOWER(TRIM($Y499))&lt;&gt;"n/a",LOWER(TRIM($Y499))&lt;&gt;"na",SUMPRODUCT(--(UPPER(SUBSTITUTE(SUBSTITUTE(TRIM($Y$2:$Y$518),":",""),"-",""))=UPPER(SUBSTITUTE(SUBSTITUTE(TRIM($Y499),":",""),"-",""))),--(TRIM($Y$2:$Y$518)&lt;&gt;""),--(LOWER(TRIM($Y$2:$Y$518))&lt;&gt;"n/a"),--(LOWER(TRIM($Y$2:$Y$518))&lt;&gt;"na"))&gt;1),AND($AB499&lt;&gt;"",LOWER(TRIM($AB499))&lt;&gt;"n/a",LOWER(TRIM($AB499))&lt;&gt;"na",SUMPRODUCT(--(UPPER(TRIM($AB$2:$AB$518))=UPPER(TRIM($AB499))),--(TRIM($AB$2:$AB$518)&lt;&gt;""),--(LOWER(TRIM($AB$2:$AB$518))&lt;&gt;"n/a"),--(LOWER(TRIM($AB$2:$AB$518))&lt;&gt;"na"))&gt;1),AND($AH499&lt;&gt;"",LOWER(TRIM($AH499))&lt;&gt;"n/a",LOWER(TRIM($AH499))&lt;&gt;"na",SUMPRODUCT(--(UPPER(SUBSTITUTE(SUBSTITUTE(TRIM($AH$2:$AH$518),":",""),"-",""))=UPPER(SUBSTITUTE(SUBSTITUTE(TRIM($AH499),":",""),"-",""))),--(TRIM($AH$2:$AH$518)&lt;&gt;""),--(LOWER(TRIM($AH$2:$AH$518))&lt;&gt;"n/a"),--(LOWER(TRIM($AH$2:$AH$518))&lt;&gt;"na"))&gt;1),AND($AP499&lt;&gt;"",LOWER(TRIM($AP499))&lt;&gt;"n/a",LOWER(TRIM($AP499))&lt;&gt;"na",SUMPRODUCT(--(UPPER(TRIM($AP$2:$AP$518))=UPPER(TRIM($AP499))),--(TRIM($AP$2:$AP$518)&lt;&gt;""),--(LOWER(TRIM($AP$2:$AP$518))&lt;&gt;"n/a"),--(LOWER(TRIM($AP$2:$AP$518))&lt;&gt;"na"))&gt;1),AND($AQ499&lt;&gt;"",LOWER(TRIM($AQ499))&lt;&gt;"n/a",LOWER(TRIM($AQ499))&lt;&gt;"na",SUMPRODUCT(--(UPPER(TRIM($AQ$2:$AQ$518))=UPPER(TRIM($AQ499))),--(TRIM($AQ$2:$AQ$518)&lt;&gt;""),--(LOWER(TRIM($AQ$2:$AQ$518))&lt;&gt;"n/a"),--(LOWER(TRIM($AQ$2:$AQ$518))&lt;&gt;"na"))&gt;1)),"Yes","No"))</f>
        <v/>
      </c>
      <c r="F499">
        <f>IF(UPPER(TRIM($B499))&lt;&gt;"YES","", IF(OR(AND($V499&lt;&gt;"", LOWER(TRIM($V499))&lt;&gt;"n/a", LOWER(TRIM($V499))&lt;&gt;"na", SUMPRODUCT(--(UPPER(TRIM($V$2:$V$518))=UPPER(TRIM($V499))), --(UPPER(TRIM($B$2:$B$518))="YES"), --(UPPER(TRIM($G$2:$G$518)&amp;TRIM($I$2:$I$518)&amp;TRIM($J$2:$J$518))&lt;&gt;UPPER(TRIM($G499)&amp;TRIM($I499)&amp;TRIM($J499))))&gt;0), AND($W499&lt;&gt;"", LOWER(TRIM($W499))&lt;&gt;"n/a", LOWER(TRIM($W499))&lt;&gt;"na", SUMPRODUCT(--(UPPER(TRIM($W$2:$W$518))=UPPER(TRIM($W499))), --(UPPER(TRIM($B$2:$B$518))="YES"), --(UPPER(TRIM($G$2:$G$518)&amp;TRIM($I$2:$I$518)&amp;TRIM($J$2:$J$518))&lt;&gt;UPPER(TRIM($G499)&amp;TRIM($I499)&amp;TRIM($J499))))&gt;0), AND($X499&lt;&gt;"", LOWER(TRIM($X499))&lt;&gt;"n/a", LOWER(TRIM($X499))&lt;&gt;"na", SUMPRODUCT(--(UPPER(TRIM($X$2:$X$518))=UPPER(TRIM($X499))), --(UPPER(TRIM($B$2:$B$518))="YES"), --(UPPER(TRIM($G$2:$G$518)&amp;TRIM($I$2:$I$518)&amp;TRIM($J$2:$J$518))&lt;&gt;UPPER(TRIM($G499)&amp;TRIM($I499)&amp;TRIM($J499))))&gt;0), AND($Y499&lt;&gt;"", LOWER(TRIM($Y499))&lt;&gt;"n/a", LOWER(TRIM($Y499))&lt;&gt;"na", SUMPRODUCT(--(UPPER(SUBSTITUTE(SUBSTITUTE(TRIM($Y$2:$Y$518),":",""),"-",""))=UPPER(SUBSTITUTE(SUBSTITUTE(TRIM($Y499),":",""),"-",""))), --(UPPER(TRIM($B$2:$B$518))="YES"), --(UPPER(TRIM($G$2:$G$518)&amp;TRIM($I$2:$I$518)&amp;TRIM($J$2:$J$518))&lt;&gt;UPPER(TRIM($G499)&amp;TRIM($I499)&amp;TRIM($J499))))&gt;0), AND($AB499&lt;&gt;"", LOWER(TRIM($AB499))&lt;&gt;"n/a", LOWER(TRIM($AB499))&lt;&gt;"na", SUMPRODUCT(--(UPPER(TRIM($AB$2:$AB$518))=UPPER(TRIM($AB499))), --(UPPER(TRIM($B$2:$B$518))="YES"), --(UPPER(TRIM($G$2:$G$518)&amp;TRIM($I$2:$I$518)&amp;TRIM($J$2:$J$518))&lt;&gt;UPPER(TRIM($G499)&amp;TRIM($I499)&amp;TRIM($J499))))&gt;0), AND($AH499&lt;&gt;"", LOWER(TRIM($AH499))&lt;&gt;"n/a", LOWER(TRIM($AH499))&lt;&gt;"na", SUMPRODUCT(--(UPPER(SUBSTITUTE(SUBSTITUTE(TRIM($AH$2:$AH$518),":",""),"-",""))=UPPER(SUBSTITUTE(SUBSTITUTE(TRIM($AH499),":",""),"-",""))), --(UPPER(TRIM($B$2:$B$518))="YES"), --(UPPER(TRIM($G$2:$G$518)&amp;TRIM($I$2:$I$518)&amp;TRIM($J$2:$J$518))&lt;&gt;UPPER(TRIM($G499)&amp;TRIM($I499)&amp;TRIM($J499))))&gt;0), AND($AP499&lt;&gt;"", LOWER(TRIM($AP499))&lt;&gt;"n/a", LOWER(TRIM($AP499))&lt;&gt;"na", SUMPRODUCT(--(UPPER(TRIM($AP$2:$AP$518))=UPPER(TRIM($AP499))), --(UPPER(TRIM($B$2:$B$518))="YES"), --(UPPER(TRIM($G$2:$G$518)&amp;TRIM($I$2:$I$518)&amp;TRIM($J$2:$J$518))&lt;&gt;UPPER(TRIM($G499)&amp;TRIM($I499)&amp;TRIM($J499))))&gt;0), AND($AQ499&lt;&gt;"", LOWER(TRIM($AQ499))&lt;&gt;"n/a", LOWER(TRIM($AQ499))&lt;&gt;"na", SUMPRODUCT(--(UPPER(TRIM($AQ$2:$AQ$518))=UPPER(TRIM($AQ499))), --(UPPER(TRIM($B$2:$B$518))="YES"), --(UPPER(TRIM($G$2:$G$518)&amp;TRIM($I$2:$I$518)&amp;TRIM($J$2:$J$518))&lt;&gt;UPPER(TRIM($G499)&amp;TRIM($I499)&amp;TRIM($J499))))&gt;0)), "Yes", "No"))</f>
        <v/>
      </c>
      <c r="CD499">
        <f>IF($Y499="","",IF((IF(AND($BR499&lt;&gt;"Yes",$BR499&lt;&gt;"N/A"),"Power Cable, ","")&amp;IF(AND($BS499&lt;&gt;"Yes",$BS499&lt;&gt;"N/A"),"Battery, ","")&amp;IF(AND($AD499&lt;&gt;"Yes",$AD499&lt;&gt;"N/A"),"Firmware Download, ","")&amp;IF(AND(OR($AD499="Yes",$AD499="N/A"),$AE499&lt;&gt;"Yes",$AE499&lt;&gt;"N/A"),"Firmware Install, ","")&amp;IF(AND($CB499&lt;&gt;"Yes",$CB499&lt;&gt;"N/A"),"Device ID, ","")&amp;IF(AND($CC499&lt;&gt;"Yes",$CC499&lt;&gt;"N/A"),"Epic Beans Relay, ",""))="","",LEFT(IF(AND($BR499&lt;&gt;"Yes",$BR499&lt;&gt;"N/A"),"Power Cable, ","")&amp;IF(AND($BS499&lt;&gt;"Yes",$BS499&lt;&gt;"N/A"),"Battery, ","")&amp;IF(AND($AD499&lt;&gt;"Yes",$AD499&lt;&gt;"N/A"),"Firmware Download, ","")&amp;IF(AND(OR($AD499="Yes",$AD499="N/A"),$AE499&lt;&gt;"Yes",$AE499&lt;&gt;"N/A"),"Firmware Install, ","")&amp;IF(AND($CB499&lt;&gt;"Yes",$CB499&lt;&gt;"N/A"),"Device ID, ","")&amp;IF(AND($CC499&lt;&gt;"Yes",$CC499&lt;&gt;"N/A"),"Epic Beans Relay, ",""),LEN(IF(AND($BR499&lt;&gt;"Yes",$BR499&lt;&gt;"N/A"),"Power Cable, ","")&amp;IF(AND($BS499&lt;&gt;"Yes",$BS499&lt;&gt;"N/A"),"Battery, ","")&amp;IF(AND($AD499&lt;&gt;"Yes",$AD499&lt;&gt;"N/A"),"Firmware Download, ","")&amp;IF(AND(OR($AD499="Yes",$AD499="N/A"),$AE499&lt;&gt;"Yes",$AE499&lt;&gt;"N/A"),"Firmware Install, ","")&amp;IF(AND($CB499&lt;&gt;"Yes",$CB499&lt;&gt;"N/A"),"Device ID, ","")&amp;IF(AND($CC499&lt;&gt;"Yes",$CC499&lt;&gt;"N/A"),"Epic Beans Relay, ",""))-2)))</f>
        <v/>
      </c>
      <c r="CE499">
        <f>IF($Y499="","",IF($CD499="","Yes","Blocked"))</f>
        <v/>
      </c>
      <c r="CW499">
        <f>IF($S499="","",IF(UPPER(TRIM($S499))&lt;&gt;"PASS","",IF(LEN(TRIM($BY499))&gt;0,"NOTES_PRESENT",IF(LEN(TRIM($T499))=0,"SET_NA",IF(OR(LOWER(TRIM($T499))="na",LOWER(TRIM($T499))="n/a"),"OK","MANUAL_OVERRIDE")))))</f>
        <v/>
      </c>
    </row>
    <row r="500">
      <c r="B500" t="inlineStr">
        <is>
          <t>No</t>
        </is>
      </c>
      <c r="C500" t="inlineStr">
        <is>
          <t>No</t>
        </is>
      </c>
      <c r="D500">
        <f>IF($B500&lt;&gt;"Yes","",IF($C500="No","Yes",IF($C500="Yes","No","")))</f>
        <v/>
      </c>
      <c r="E500">
        <f>IF($A500="","",IF(OR(AND($V500&lt;&gt;"",LOWER(TRIM($V500))&lt;&gt;"n/a",LOWER(TRIM($V500))&lt;&gt;"na",SUMPRODUCT(--(UPPER(TRIM($V$2:$V$518))=UPPER(TRIM($V500))),--(TRIM($V$2:$V$518)&lt;&gt;""),--(LOWER(TRIM($V$2:$V$518))&lt;&gt;"n/a"),--(LOWER(TRIM($V$2:$V$518))&lt;&gt;"na"))&gt;1),AND($W500&lt;&gt;"",LOWER(TRIM($W500))&lt;&gt;"n/a",LOWER(TRIM($W500))&lt;&gt;"na",SUMPRODUCT(--(UPPER(TRIM($W$2:$W$518))=UPPER(TRIM($W500))),--(TRIM($W$2:$W$518)&lt;&gt;""),--(LOWER(TRIM($W$2:$W$518))&lt;&gt;"n/a"),--(LOWER(TRIM($W$2:$W$518))&lt;&gt;"na"))&gt;1),AND($X500&lt;&gt;"",LOWER(TRIM($X500))&lt;&gt;"n/a",LOWER(TRIM($X500))&lt;&gt;"na",SUMPRODUCT(--(UPPER(TRIM($X$2:$X$518))=UPPER(TRIM($X500))),--(TRIM($X$2:$X$518)&lt;&gt;""),--(LOWER(TRIM($X$2:$X$518))&lt;&gt;"n/a"),--(LOWER(TRIM($X$2:$X$518))&lt;&gt;"na"))&gt;1),AND($Y500&lt;&gt;"",LOWER(TRIM($Y500))&lt;&gt;"n/a",LOWER(TRIM($Y500))&lt;&gt;"na",SUMPRODUCT(--(UPPER(SUBSTITUTE(SUBSTITUTE(TRIM($Y$2:$Y$518),":",""),"-",""))=UPPER(SUBSTITUTE(SUBSTITUTE(TRIM($Y500),":",""),"-",""))),--(TRIM($Y$2:$Y$518)&lt;&gt;""),--(LOWER(TRIM($Y$2:$Y$518))&lt;&gt;"n/a"),--(LOWER(TRIM($Y$2:$Y$518))&lt;&gt;"na"))&gt;1),AND($AB500&lt;&gt;"",LOWER(TRIM($AB500))&lt;&gt;"n/a",LOWER(TRIM($AB500))&lt;&gt;"na",SUMPRODUCT(--(UPPER(TRIM($AB$2:$AB$518))=UPPER(TRIM($AB500))),--(TRIM($AB$2:$AB$518)&lt;&gt;""),--(LOWER(TRIM($AB$2:$AB$518))&lt;&gt;"n/a"),--(LOWER(TRIM($AB$2:$AB$518))&lt;&gt;"na"))&gt;1),AND($AH500&lt;&gt;"",LOWER(TRIM($AH500))&lt;&gt;"n/a",LOWER(TRIM($AH500))&lt;&gt;"na",SUMPRODUCT(--(UPPER(SUBSTITUTE(SUBSTITUTE(TRIM($AH$2:$AH$518),":",""),"-",""))=UPPER(SUBSTITUTE(SUBSTITUTE(TRIM($AH500),":",""),"-",""))),--(TRIM($AH$2:$AH$518)&lt;&gt;""),--(LOWER(TRIM($AH$2:$AH$518))&lt;&gt;"n/a"),--(LOWER(TRIM($AH$2:$AH$518))&lt;&gt;"na"))&gt;1),AND($AP500&lt;&gt;"",LOWER(TRIM($AP500))&lt;&gt;"n/a",LOWER(TRIM($AP500))&lt;&gt;"na",SUMPRODUCT(--(UPPER(TRIM($AP$2:$AP$518))=UPPER(TRIM($AP500))),--(TRIM($AP$2:$AP$518)&lt;&gt;""),--(LOWER(TRIM($AP$2:$AP$518))&lt;&gt;"n/a"),--(LOWER(TRIM($AP$2:$AP$518))&lt;&gt;"na"))&gt;1),AND($AQ500&lt;&gt;"",LOWER(TRIM($AQ500))&lt;&gt;"n/a",LOWER(TRIM($AQ500))&lt;&gt;"na",SUMPRODUCT(--(UPPER(TRIM($AQ$2:$AQ$518))=UPPER(TRIM($AQ500))),--(TRIM($AQ$2:$AQ$518)&lt;&gt;""),--(LOWER(TRIM($AQ$2:$AQ$518))&lt;&gt;"n/a"),--(LOWER(TRIM($AQ$2:$AQ$518))&lt;&gt;"na"))&gt;1)),"Yes","No"))</f>
        <v/>
      </c>
      <c r="F500">
        <f>IF(UPPER(TRIM($B500))&lt;&gt;"YES","", IF(OR(AND($V500&lt;&gt;"", LOWER(TRIM($V500))&lt;&gt;"n/a", LOWER(TRIM($V500))&lt;&gt;"na", SUMPRODUCT(--(UPPER(TRIM($V$2:$V$518))=UPPER(TRIM($V500))), --(UPPER(TRIM($B$2:$B$518))="YES"), --(UPPER(TRIM($G$2:$G$518)&amp;TRIM($I$2:$I$518)&amp;TRIM($J$2:$J$518))&lt;&gt;UPPER(TRIM($G500)&amp;TRIM($I500)&amp;TRIM($J500))))&gt;0), AND($W500&lt;&gt;"", LOWER(TRIM($W500))&lt;&gt;"n/a", LOWER(TRIM($W500))&lt;&gt;"na", SUMPRODUCT(--(UPPER(TRIM($W$2:$W$518))=UPPER(TRIM($W500))), --(UPPER(TRIM($B$2:$B$518))="YES"), --(UPPER(TRIM($G$2:$G$518)&amp;TRIM($I$2:$I$518)&amp;TRIM($J$2:$J$518))&lt;&gt;UPPER(TRIM($G500)&amp;TRIM($I500)&amp;TRIM($J500))))&gt;0), AND($X500&lt;&gt;"", LOWER(TRIM($X500))&lt;&gt;"n/a", LOWER(TRIM($X500))&lt;&gt;"na", SUMPRODUCT(--(UPPER(TRIM($X$2:$X$518))=UPPER(TRIM($X500))), --(UPPER(TRIM($B$2:$B$518))="YES"), --(UPPER(TRIM($G$2:$G$518)&amp;TRIM($I$2:$I$518)&amp;TRIM($J$2:$J$518))&lt;&gt;UPPER(TRIM($G500)&amp;TRIM($I500)&amp;TRIM($J500))))&gt;0), AND($Y500&lt;&gt;"", LOWER(TRIM($Y500))&lt;&gt;"n/a", LOWER(TRIM($Y500))&lt;&gt;"na", SUMPRODUCT(--(UPPER(SUBSTITUTE(SUBSTITUTE(TRIM($Y$2:$Y$518),":",""),"-",""))=UPPER(SUBSTITUTE(SUBSTITUTE(TRIM($Y500),":",""),"-",""))), --(UPPER(TRIM($B$2:$B$518))="YES"), --(UPPER(TRIM($G$2:$G$518)&amp;TRIM($I$2:$I$518)&amp;TRIM($J$2:$J$518))&lt;&gt;UPPER(TRIM($G500)&amp;TRIM($I500)&amp;TRIM($J500))))&gt;0), AND($AB500&lt;&gt;"", LOWER(TRIM($AB500))&lt;&gt;"n/a", LOWER(TRIM($AB500))&lt;&gt;"na", SUMPRODUCT(--(UPPER(TRIM($AB$2:$AB$518))=UPPER(TRIM($AB500))), --(UPPER(TRIM($B$2:$B$518))="YES"), --(UPPER(TRIM($G$2:$G$518)&amp;TRIM($I$2:$I$518)&amp;TRIM($J$2:$J$518))&lt;&gt;UPPER(TRIM($G500)&amp;TRIM($I500)&amp;TRIM($J500))))&gt;0), AND($AH500&lt;&gt;"", LOWER(TRIM($AH500))&lt;&gt;"n/a", LOWER(TRIM($AH500))&lt;&gt;"na", SUMPRODUCT(--(UPPER(SUBSTITUTE(SUBSTITUTE(TRIM($AH$2:$AH$518),":",""),"-",""))=UPPER(SUBSTITUTE(SUBSTITUTE(TRIM($AH500),":",""),"-",""))), --(UPPER(TRIM($B$2:$B$518))="YES"), --(UPPER(TRIM($G$2:$G$518)&amp;TRIM($I$2:$I$518)&amp;TRIM($J$2:$J$518))&lt;&gt;UPPER(TRIM($G500)&amp;TRIM($I500)&amp;TRIM($J500))))&gt;0), AND($AP500&lt;&gt;"", LOWER(TRIM($AP500))&lt;&gt;"n/a", LOWER(TRIM($AP500))&lt;&gt;"na", SUMPRODUCT(--(UPPER(TRIM($AP$2:$AP$518))=UPPER(TRIM($AP500))), --(UPPER(TRIM($B$2:$B$518))="YES"), --(UPPER(TRIM($G$2:$G$518)&amp;TRIM($I$2:$I$518)&amp;TRIM($J$2:$J$518))&lt;&gt;UPPER(TRIM($G500)&amp;TRIM($I500)&amp;TRIM($J500))))&gt;0), AND($AQ500&lt;&gt;"", LOWER(TRIM($AQ500))&lt;&gt;"n/a", LOWER(TRIM($AQ500))&lt;&gt;"na", SUMPRODUCT(--(UPPER(TRIM($AQ$2:$AQ$518))=UPPER(TRIM($AQ500))), --(UPPER(TRIM($B$2:$B$518))="YES"), --(UPPER(TRIM($G$2:$G$518)&amp;TRIM($I$2:$I$518)&amp;TRIM($J$2:$J$518))&lt;&gt;UPPER(TRIM($G500)&amp;TRIM($I500)&amp;TRIM($J500))))&gt;0)), "Yes", "No"))</f>
        <v/>
      </c>
      <c r="CD500">
        <f>IF($Y500="","",IF((IF(AND($BR500&lt;&gt;"Yes",$BR500&lt;&gt;"N/A"),"Power Cable, ","")&amp;IF(AND($BS500&lt;&gt;"Yes",$BS500&lt;&gt;"N/A"),"Battery, ","")&amp;IF(AND($AD500&lt;&gt;"Yes",$AD500&lt;&gt;"N/A"),"Firmware Download, ","")&amp;IF(AND(OR($AD500="Yes",$AD500="N/A"),$AE500&lt;&gt;"Yes",$AE500&lt;&gt;"N/A"),"Firmware Install, ","")&amp;IF(AND($CB500&lt;&gt;"Yes",$CB500&lt;&gt;"N/A"),"Device ID, ","")&amp;IF(AND($CC500&lt;&gt;"Yes",$CC500&lt;&gt;"N/A"),"Epic Beans Relay, ",""))="","",LEFT(IF(AND($BR500&lt;&gt;"Yes",$BR500&lt;&gt;"N/A"),"Power Cable, ","")&amp;IF(AND($BS500&lt;&gt;"Yes",$BS500&lt;&gt;"N/A"),"Battery, ","")&amp;IF(AND($AD500&lt;&gt;"Yes",$AD500&lt;&gt;"N/A"),"Firmware Download, ","")&amp;IF(AND(OR($AD500="Yes",$AD500="N/A"),$AE500&lt;&gt;"Yes",$AE500&lt;&gt;"N/A"),"Firmware Install, ","")&amp;IF(AND($CB500&lt;&gt;"Yes",$CB500&lt;&gt;"N/A"),"Device ID, ","")&amp;IF(AND($CC500&lt;&gt;"Yes",$CC500&lt;&gt;"N/A"),"Epic Beans Relay, ",""),LEN(IF(AND($BR500&lt;&gt;"Yes",$BR500&lt;&gt;"N/A"),"Power Cable, ","")&amp;IF(AND($BS500&lt;&gt;"Yes",$BS500&lt;&gt;"N/A"),"Battery, ","")&amp;IF(AND($AD500&lt;&gt;"Yes",$AD500&lt;&gt;"N/A"),"Firmware Download, ","")&amp;IF(AND(OR($AD500="Yes",$AD500="N/A"),$AE500&lt;&gt;"Yes",$AE500&lt;&gt;"N/A"),"Firmware Install, ","")&amp;IF(AND($CB500&lt;&gt;"Yes",$CB500&lt;&gt;"N/A"),"Device ID, ","")&amp;IF(AND($CC500&lt;&gt;"Yes",$CC500&lt;&gt;"N/A"),"Epic Beans Relay, ",""))-2)))</f>
        <v/>
      </c>
      <c r="CE500">
        <f>IF($Y500="","",IF($CD500="","Yes","Blocked"))</f>
        <v/>
      </c>
      <c r="CW500">
        <f>IF($S500="","",IF(UPPER(TRIM($S500))&lt;&gt;"PASS","",IF(LEN(TRIM($BY500))&gt;0,"NOTES_PRESENT",IF(LEN(TRIM($T500))=0,"SET_NA",IF(OR(LOWER(TRIM($T500))="na",LOWER(TRIM($T500))="n/a"),"OK","MANUAL_OVERRIDE")))))</f>
        <v/>
      </c>
    </row>
    <row r="501">
      <c r="B501" t="inlineStr">
        <is>
          <t>No</t>
        </is>
      </c>
      <c r="C501" t="inlineStr">
        <is>
          <t>No</t>
        </is>
      </c>
      <c r="D501">
        <f>IF($B501&lt;&gt;"Yes","",IF($C501="No","Yes",IF($C501="Yes","No","")))</f>
        <v/>
      </c>
      <c r="E501">
        <f>IF($A501="","",IF(OR(AND($V501&lt;&gt;"",LOWER(TRIM($V501))&lt;&gt;"n/a",LOWER(TRIM($V501))&lt;&gt;"na",SUMPRODUCT(--(UPPER(TRIM($V$2:$V$518))=UPPER(TRIM($V501))),--(TRIM($V$2:$V$518)&lt;&gt;""),--(LOWER(TRIM($V$2:$V$518))&lt;&gt;"n/a"),--(LOWER(TRIM($V$2:$V$518))&lt;&gt;"na"))&gt;1),AND($W501&lt;&gt;"",LOWER(TRIM($W501))&lt;&gt;"n/a",LOWER(TRIM($W501))&lt;&gt;"na",SUMPRODUCT(--(UPPER(TRIM($W$2:$W$518))=UPPER(TRIM($W501))),--(TRIM($W$2:$W$518)&lt;&gt;""),--(LOWER(TRIM($W$2:$W$518))&lt;&gt;"n/a"),--(LOWER(TRIM($W$2:$W$518))&lt;&gt;"na"))&gt;1),AND($X501&lt;&gt;"",LOWER(TRIM($X501))&lt;&gt;"n/a",LOWER(TRIM($X501))&lt;&gt;"na",SUMPRODUCT(--(UPPER(TRIM($X$2:$X$518))=UPPER(TRIM($X501))),--(TRIM($X$2:$X$518)&lt;&gt;""),--(LOWER(TRIM($X$2:$X$518))&lt;&gt;"n/a"),--(LOWER(TRIM($X$2:$X$518))&lt;&gt;"na"))&gt;1),AND($Y501&lt;&gt;"",LOWER(TRIM($Y501))&lt;&gt;"n/a",LOWER(TRIM($Y501))&lt;&gt;"na",SUMPRODUCT(--(UPPER(SUBSTITUTE(SUBSTITUTE(TRIM($Y$2:$Y$518),":",""),"-",""))=UPPER(SUBSTITUTE(SUBSTITUTE(TRIM($Y501),":",""),"-",""))),--(TRIM($Y$2:$Y$518)&lt;&gt;""),--(LOWER(TRIM($Y$2:$Y$518))&lt;&gt;"n/a"),--(LOWER(TRIM($Y$2:$Y$518))&lt;&gt;"na"))&gt;1),AND($AB501&lt;&gt;"",LOWER(TRIM($AB501))&lt;&gt;"n/a",LOWER(TRIM($AB501))&lt;&gt;"na",SUMPRODUCT(--(UPPER(TRIM($AB$2:$AB$518))=UPPER(TRIM($AB501))),--(TRIM($AB$2:$AB$518)&lt;&gt;""),--(LOWER(TRIM($AB$2:$AB$518))&lt;&gt;"n/a"),--(LOWER(TRIM($AB$2:$AB$518))&lt;&gt;"na"))&gt;1),AND($AH501&lt;&gt;"",LOWER(TRIM($AH501))&lt;&gt;"n/a",LOWER(TRIM($AH501))&lt;&gt;"na",SUMPRODUCT(--(UPPER(SUBSTITUTE(SUBSTITUTE(TRIM($AH$2:$AH$518),":",""),"-",""))=UPPER(SUBSTITUTE(SUBSTITUTE(TRIM($AH501),":",""),"-",""))),--(TRIM($AH$2:$AH$518)&lt;&gt;""),--(LOWER(TRIM($AH$2:$AH$518))&lt;&gt;"n/a"),--(LOWER(TRIM($AH$2:$AH$518))&lt;&gt;"na"))&gt;1),AND($AP501&lt;&gt;"",LOWER(TRIM($AP501))&lt;&gt;"n/a",LOWER(TRIM($AP501))&lt;&gt;"na",SUMPRODUCT(--(UPPER(TRIM($AP$2:$AP$518))=UPPER(TRIM($AP501))),--(TRIM($AP$2:$AP$518)&lt;&gt;""),--(LOWER(TRIM($AP$2:$AP$518))&lt;&gt;"n/a"),--(LOWER(TRIM($AP$2:$AP$518))&lt;&gt;"na"))&gt;1),AND($AQ501&lt;&gt;"",LOWER(TRIM($AQ501))&lt;&gt;"n/a",LOWER(TRIM($AQ501))&lt;&gt;"na",SUMPRODUCT(--(UPPER(TRIM($AQ$2:$AQ$518))=UPPER(TRIM($AQ501))),--(TRIM($AQ$2:$AQ$518)&lt;&gt;""),--(LOWER(TRIM($AQ$2:$AQ$518))&lt;&gt;"n/a"),--(LOWER(TRIM($AQ$2:$AQ$518))&lt;&gt;"na"))&gt;1)),"Yes","No"))</f>
        <v/>
      </c>
      <c r="F501">
        <f>IF(UPPER(TRIM($B501))&lt;&gt;"YES","", IF(OR(AND($V501&lt;&gt;"", LOWER(TRIM($V501))&lt;&gt;"n/a", LOWER(TRIM($V501))&lt;&gt;"na", SUMPRODUCT(--(UPPER(TRIM($V$2:$V$518))=UPPER(TRIM($V501))), --(UPPER(TRIM($B$2:$B$518))="YES"), --(UPPER(TRIM($G$2:$G$518)&amp;TRIM($I$2:$I$518)&amp;TRIM($J$2:$J$518))&lt;&gt;UPPER(TRIM($G501)&amp;TRIM($I501)&amp;TRIM($J501))))&gt;0), AND($W501&lt;&gt;"", LOWER(TRIM($W501))&lt;&gt;"n/a", LOWER(TRIM($W501))&lt;&gt;"na", SUMPRODUCT(--(UPPER(TRIM($W$2:$W$518))=UPPER(TRIM($W501))), --(UPPER(TRIM($B$2:$B$518))="YES"), --(UPPER(TRIM($G$2:$G$518)&amp;TRIM($I$2:$I$518)&amp;TRIM($J$2:$J$518))&lt;&gt;UPPER(TRIM($G501)&amp;TRIM($I501)&amp;TRIM($J501))))&gt;0), AND($X501&lt;&gt;"", LOWER(TRIM($X501))&lt;&gt;"n/a", LOWER(TRIM($X501))&lt;&gt;"na", SUMPRODUCT(--(UPPER(TRIM($X$2:$X$518))=UPPER(TRIM($X501))), --(UPPER(TRIM($B$2:$B$518))="YES"), --(UPPER(TRIM($G$2:$G$518)&amp;TRIM($I$2:$I$518)&amp;TRIM($J$2:$J$518))&lt;&gt;UPPER(TRIM($G501)&amp;TRIM($I501)&amp;TRIM($J501))))&gt;0), AND($Y501&lt;&gt;"", LOWER(TRIM($Y501))&lt;&gt;"n/a", LOWER(TRIM($Y501))&lt;&gt;"na", SUMPRODUCT(--(UPPER(SUBSTITUTE(SUBSTITUTE(TRIM($Y$2:$Y$518),":",""),"-",""))=UPPER(SUBSTITUTE(SUBSTITUTE(TRIM($Y501),":",""),"-",""))), --(UPPER(TRIM($B$2:$B$518))="YES"), --(UPPER(TRIM($G$2:$G$518)&amp;TRIM($I$2:$I$518)&amp;TRIM($J$2:$J$518))&lt;&gt;UPPER(TRIM($G501)&amp;TRIM($I501)&amp;TRIM($J501))))&gt;0), AND($AB501&lt;&gt;"", LOWER(TRIM($AB501))&lt;&gt;"n/a", LOWER(TRIM($AB501))&lt;&gt;"na", SUMPRODUCT(--(UPPER(TRIM($AB$2:$AB$518))=UPPER(TRIM($AB501))), --(UPPER(TRIM($B$2:$B$518))="YES"), --(UPPER(TRIM($G$2:$G$518)&amp;TRIM($I$2:$I$518)&amp;TRIM($J$2:$J$518))&lt;&gt;UPPER(TRIM($G501)&amp;TRIM($I501)&amp;TRIM($J501))))&gt;0), AND($AH501&lt;&gt;"", LOWER(TRIM($AH501))&lt;&gt;"n/a", LOWER(TRIM($AH501))&lt;&gt;"na", SUMPRODUCT(--(UPPER(SUBSTITUTE(SUBSTITUTE(TRIM($AH$2:$AH$518),":",""),"-",""))=UPPER(SUBSTITUTE(SUBSTITUTE(TRIM($AH501),":",""),"-",""))), --(UPPER(TRIM($B$2:$B$518))="YES"), --(UPPER(TRIM($G$2:$G$518)&amp;TRIM($I$2:$I$518)&amp;TRIM($J$2:$J$518))&lt;&gt;UPPER(TRIM($G501)&amp;TRIM($I501)&amp;TRIM($J501))))&gt;0), AND($AP501&lt;&gt;"", LOWER(TRIM($AP501))&lt;&gt;"n/a", LOWER(TRIM($AP501))&lt;&gt;"na", SUMPRODUCT(--(UPPER(TRIM($AP$2:$AP$518))=UPPER(TRIM($AP501))), --(UPPER(TRIM($B$2:$B$518))="YES"), --(UPPER(TRIM($G$2:$G$518)&amp;TRIM($I$2:$I$518)&amp;TRIM($J$2:$J$518))&lt;&gt;UPPER(TRIM($G501)&amp;TRIM($I501)&amp;TRIM($J501))))&gt;0), AND($AQ501&lt;&gt;"", LOWER(TRIM($AQ501))&lt;&gt;"n/a", LOWER(TRIM($AQ501))&lt;&gt;"na", SUMPRODUCT(--(UPPER(TRIM($AQ$2:$AQ$518))=UPPER(TRIM($AQ501))), --(UPPER(TRIM($B$2:$B$518))="YES"), --(UPPER(TRIM($G$2:$G$518)&amp;TRIM($I$2:$I$518)&amp;TRIM($J$2:$J$518))&lt;&gt;UPPER(TRIM($G501)&amp;TRIM($I501)&amp;TRIM($J501))))&gt;0)), "Yes", "No"))</f>
        <v/>
      </c>
      <c r="CD501">
        <f>IF($Y501="","",IF((IF(AND($BR501&lt;&gt;"Yes",$BR501&lt;&gt;"N/A"),"Power Cable, ","")&amp;IF(AND($BS501&lt;&gt;"Yes",$BS501&lt;&gt;"N/A"),"Battery, ","")&amp;IF(AND($AD501&lt;&gt;"Yes",$AD501&lt;&gt;"N/A"),"Firmware Download, ","")&amp;IF(AND(OR($AD501="Yes",$AD501="N/A"),$AE501&lt;&gt;"Yes",$AE501&lt;&gt;"N/A"),"Firmware Install, ","")&amp;IF(AND($CB501&lt;&gt;"Yes",$CB501&lt;&gt;"N/A"),"Device ID, ","")&amp;IF(AND($CC501&lt;&gt;"Yes",$CC501&lt;&gt;"N/A"),"Epic Beans Relay, ",""))="","",LEFT(IF(AND($BR501&lt;&gt;"Yes",$BR501&lt;&gt;"N/A"),"Power Cable, ","")&amp;IF(AND($BS501&lt;&gt;"Yes",$BS501&lt;&gt;"N/A"),"Battery, ","")&amp;IF(AND($AD501&lt;&gt;"Yes",$AD501&lt;&gt;"N/A"),"Firmware Download, ","")&amp;IF(AND(OR($AD501="Yes",$AD501="N/A"),$AE501&lt;&gt;"Yes",$AE501&lt;&gt;"N/A"),"Firmware Install, ","")&amp;IF(AND($CB501&lt;&gt;"Yes",$CB501&lt;&gt;"N/A"),"Device ID, ","")&amp;IF(AND($CC501&lt;&gt;"Yes",$CC501&lt;&gt;"N/A"),"Epic Beans Relay, ",""),LEN(IF(AND($BR501&lt;&gt;"Yes",$BR501&lt;&gt;"N/A"),"Power Cable, ","")&amp;IF(AND($BS501&lt;&gt;"Yes",$BS501&lt;&gt;"N/A"),"Battery, ","")&amp;IF(AND($AD501&lt;&gt;"Yes",$AD501&lt;&gt;"N/A"),"Firmware Download, ","")&amp;IF(AND(OR($AD501="Yes",$AD501="N/A"),$AE501&lt;&gt;"Yes",$AE501&lt;&gt;"N/A"),"Firmware Install, ","")&amp;IF(AND($CB501&lt;&gt;"Yes",$CB501&lt;&gt;"N/A"),"Device ID, ","")&amp;IF(AND($CC501&lt;&gt;"Yes",$CC501&lt;&gt;"N/A"),"Epic Beans Relay, ",""))-2)))</f>
        <v/>
      </c>
      <c r="CE501">
        <f>IF($Y501="","",IF($CD501="","Yes","Blocked"))</f>
        <v/>
      </c>
      <c r="CW501">
        <f>IF($S501="","",IF(UPPER(TRIM($S501))&lt;&gt;"PASS","",IF(LEN(TRIM($BY501))&gt;0,"NOTES_PRESENT",IF(LEN(TRIM($T501))=0,"SET_NA",IF(OR(LOWER(TRIM($T501))="na",LOWER(TRIM($T501))="n/a"),"OK","MANUAL_OVERRIDE")))))</f>
        <v/>
      </c>
    </row>
    <row r="502">
      <c r="B502" t="inlineStr">
        <is>
          <t>No</t>
        </is>
      </c>
      <c r="C502" t="inlineStr">
        <is>
          <t>No</t>
        </is>
      </c>
      <c r="D502">
        <f>IF($B502&lt;&gt;"Yes","",IF($C502="No","Yes",IF($C502="Yes","No","")))</f>
        <v/>
      </c>
      <c r="E502">
        <f>IF($A502="","",IF(OR(AND($V502&lt;&gt;"",LOWER(TRIM($V502))&lt;&gt;"n/a",LOWER(TRIM($V502))&lt;&gt;"na",SUMPRODUCT(--(UPPER(TRIM($V$2:$V$518))=UPPER(TRIM($V502))),--(TRIM($V$2:$V$518)&lt;&gt;""),--(LOWER(TRIM($V$2:$V$518))&lt;&gt;"n/a"),--(LOWER(TRIM($V$2:$V$518))&lt;&gt;"na"))&gt;1),AND($W502&lt;&gt;"",LOWER(TRIM($W502))&lt;&gt;"n/a",LOWER(TRIM($W502))&lt;&gt;"na",SUMPRODUCT(--(UPPER(TRIM($W$2:$W$518))=UPPER(TRIM($W502))),--(TRIM($W$2:$W$518)&lt;&gt;""),--(LOWER(TRIM($W$2:$W$518))&lt;&gt;"n/a"),--(LOWER(TRIM($W$2:$W$518))&lt;&gt;"na"))&gt;1),AND($X502&lt;&gt;"",LOWER(TRIM($X502))&lt;&gt;"n/a",LOWER(TRIM($X502))&lt;&gt;"na",SUMPRODUCT(--(UPPER(TRIM($X$2:$X$518))=UPPER(TRIM($X502))),--(TRIM($X$2:$X$518)&lt;&gt;""),--(LOWER(TRIM($X$2:$X$518))&lt;&gt;"n/a"),--(LOWER(TRIM($X$2:$X$518))&lt;&gt;"na"))&gt;1),AND($Y502&lt;&gt;"",LOWER(TRIM($Y502))&lt;&gt;"n/a",LOWER(TRIM($Y502))&lt;&gt;"na",SUMPRODUCT(--(UPPER(SUBSTITUTE(SUBSTITUTE(TRIM($Y$2:$Y$518),":",""),"-",""))=UPPER(SUBSTITUTE(SUBSTITUTE(TRIM($Y502),":",""),"-",""))),--(TRIM($Y$2:$Y$518)&lt;&gt;""),--(LOWER(TRIM($Y$2:$Y$518))&lt;&gt;"n/a"),--(LOWER(TRIM($Y$2:$Y$518))&lt;&gt;"na"))&gt;1),AND($AB502&lt;&gt;"",LOWER(TRIM($AB502))&lt;&gt;"n/a",LOWER(TRIM($AB502))&lt;&gt;"na",SUMPRODUCT(--(UPPER(TRIM($AB$2:$AB$518))=UPPER(TRIM($AB502))),--(TRIM($AB$2:$AB$518)&lt;&gt;""),--(LOWER(TRIM($AB$2:$AB$518))&lt;&gt;"n/a"),--(LOWER(TRIM($AB$2:$AB$518))&lt;&gt;"na"))&gt;1),AND($AH502&lt;&gt;"",LOWER(TRIM($AH502))&lt;&gt;"n/a",LOWER(TRIM($AH502))&lt;&gt;"na",SUMPRODUCT(--(UPPER(SUBSTITUTE(SUBSTITUTE(TRIM($AH$2:$AH$518),":",""),"-",""))=UPPER(SUBSTITUTE(SUBSTITUTE(TRIM($AH502),":",""),"-",""))),--(TRIM($AH$2:$AH$518)&lt;&gt;""),--(LOWER(TRIM($AH$2:$AH$518))&lt;&gt;"n/a"),--(LOWER(TRIM($AH$2:$AH$518))&lt;&gt;"na"))&gt;1),AND($AP502&lt;&gt;"",LOWER(TRIM($AP502))&lt;&gt;"n/a",LOWER(TRIM($AP502))&lt;&gt;"na",SUMPRODUCT(--(UPPER(TRIM($AP$2:$AP$518))=UPPER(TRIM($AP502))),--(TRIM($AP$2:$AP$518)&lt;&gt;""),--(LOWER(TRIM($AP$2:$AP$518))&lt;&gt;"n/a"),--(LOWER(TRIM($AP$2:$AP$518))&lt;&gt;"na"))&gt;1),AND($AQ502&lt;&gt;"",LOWER(TRIM($AQ502))&lt;&gt;"n/a",LOWER(TRIM($AQ502))&lt;&gt;"na",SUMPRODUCT(--(UPPER(TRIM($AQ$2:$AQ$518))=UPPER(TRIM($AQ502))),--(TRIM($AQ$2:$AQ$518)&lt;&gt;""),--(LOWER(TRIM($AQ$2:$AQ$518))&lt;&gt;"n/a"),--(LOWER(TRIM($AQ$2:$AQ$518))&lt;&gt;"na"))&gt;1)),"Yes","No"))</f>
        <v/>
      </c>
      <c r="F502">
        <f>IF(UPPER(TRIM($B502))&lt;&gt;"YES","", IF(OR(AND($V502&lt;&gt;"", LOWER(TRIM($V502))&lt;&gt;"n/a", LOWER(TRIM($V502))&lt;&gt;"na", SUMPRODUCT(--(UPPER(TRIM($V$2:$V$518))=UPPER(TRIM($V502))), --(UPPER(TRIM($B$2:$B$518))="YES"), --(UPPER(TRIM($G$2:$G$518)&amp;TRIM($I$2:$I$518)&amp;TRIM($J$2:$J$518))&lt;&gt;UPPER(TRIM($G502)&amp;TRIM($I502)&amp;TRIM($J502))))&gt;0), AND($W502&lt;&gt;"", LOWER(TRIM($W502))&lt;&gt;"n/a", LOWER(TRIM($W502))&lt;&gt;"na", SUMPRODUCT(--(UPPER(TRIM($W$2:$W$518))=UPPER(TRIM($W502))), --(UPPER(TRIM($B$2:$B$518))="YES"), --(UPPER(TRIM($G$2:$G$518)&amp;TRIM($I$2:$I$518)&amp;TRIM($J$2:$J$518))&lt;&gt;UPPER(TRIM($G502)&amp;TRIM($I502)&amp;TRIM($J502))))&gt;0), AND($X502&lt;&gt;"", LOWER(TRIM($X502))&lt;&gt;"n/a", LOWER(TRIM($X502))&lt;&gt;"na", SUMPRODUCT(--(UPPER(TRIM($X$2:$X$518))=UPPER(TRIM($X502))), --(UPPER(TRIM($B$2:$B$518))="YES"), --(UPPER(TRIM($G$2:$G$518)&amp;TRIM($I$2:$I$518)&amp;TRIM($J$2:$J$518))&lt;&gt;UPPER(TRIM($G502)&amp;TRIM($I502)&amp;TRIM($J502))))&gt;0), AND($Y502&lt;&gt;"", LOWER(TRIM($Y502))&lt;&gt;"n/a", LOWER(TRIM($Y502))&lt;&gt;"na", SUMPRODUCT(--(UPPER(SUBSTITUTE(SUBSTITUTE(TRIM($Y$2:$Y$518),":",""),"-",""))=UPPER(SUBSTITUTE(SUBSTITUTE(TRIM($Y502),":",""),"-",""))), --(UPPER(TRIM($B$2:$B$518))="YES"), --(UPPER(TRIM($G$2:$G$518)&amp;TRIM($I$2:$I$518)&amp;TRIM($J$2:$J$518))&lt;&gt;UPPER(TRIM($G502)&amp;TRIM($I502)&amp;TRIM($J502))))&gt;0), AND($AB502&lt;&gt;"", LOWER(TRIM($AB502))&lt;&gt;"n/a", LOWER(TRIM($AB502))&lt;&gt;"na", SUMPRODUCT(--(UPPER(TRIM($AB$2:$AB$518))=UPPER(TRIM($AB502))), --(UPPER(TRIM($B$2:$B$518))="YES"), --(UPPER(TRIM($G$2:$G$518)&amp;TRIM($I$2:$I$518)&amp;TRIM($J$2:$J$518))&lt;&gt;UPPER(TRIM($G502)&amp;TRIM($I502)&amp;TRIM($J502))))&gt;0), AND($AH502&lt;&gt;"", LOWER(TRIM($AH502))&lt;&gt;"n/a", LOWER(TRIM($AH502))&lt;&gt;"na", SUMPRODUCT(--(UPPER(SUBSTITUTE(SUBSTITUTE(TRIM($AH$2:$AH$518),":",""),"-",""))=UPPER(SUBSTITUTE(SUBSTITUTE(TRIM($AH502),":",""),"-",""))), --(UPPER(TRIM($B$2:$B$518))="YES"), --(UPPER(TRIM($G$2:$G$518)&amp;TRIM($I$2:$I$518)&amp;TRIM($J$2:$J$518))&lt;&gt;UPPER(TRIM($G502)&amp;TRIM($I502)&amp;TRIM($J502))))&gt;0), AND($AP502&lt;&gt;"", LOWER(TRIM($AP502))&lt;&gt;"n/a", LOWER(TRIM($AP502))&lt;&gt;"na", SUMPRODUCT(--(UPPER(TRIM($AP$2:$AP$518))=UPPER(TRIM($AP502))), --(UPPER(TRIM($B$2:$B$518))="YES"), --(UPPER(TRIM($G$2:$G$518)&amp;TRIM($I$2:$I$518)&amp;TRIM($J$2:$J$518))&lt;&gt;UPPER(TRIM($G502)&amp;TRIM($I502)&amp;TRIM($J502))))&gt;0), AND($AQ502&lt;&gt;"", LOWER(TRIM($AQ502))&lt;&gt;"n/a", LOWER(TRIM($AQ502))&lt;&gt;"na", SUMPRODUCT(--(UPPER(TRIM($AQ$2:$AQ$518))=UPPER(TRIM($AQ502))), --(UPPER(TRIM($B$2:$B$518))="YES"), --(UPPER(TRIM($G$2:$G$518)&amp;TRIM($I$2:$I$518)&amp;TRIM($J$2:$J$518))&lt;&gt;UPPER(TRIM($G502)&amp;TRIM($I502)&amp;TRIM($J502))))&gt;0)), "Yes", "No"))</f>
        <v/>
      </c>
      <c r="CD502">
        <f>IF($Y502="","",IF((IF(AND($BR502&lt;&gt;"Yes",$BR502&lt;&gt;"N/A"),"Power Cable, ","")&amp;IF(AND($BS502&lt;&gt;"Yes",$BS502&lt;&gt;"N/A"),"Battery, ","")&amp;IF(AND($AD502&lt;&gt;"Yes",$AD502&lt;&gt;"N/A"),"Firmware Download, ","")&amp;IF(AND(OR($AD502="Yes",$AD502="N/A"),$AE502&lt;&gt;"Yes",$AE502&lt;&gt;"N/A"),"Firmware Install, ","")&amp;IF(AND($CB502&lt;&gt;"Yes",$CB502&lt;&gt;"N/A"),"Device ID, ","")&amp;IF(AND($CC502&lt;&gt;"Yes",$CC502&lt;&gt;"N/A"),"Epic Beans Relay, ",""))="","",LEFT(IF(AND($BR502&lt;&gt;"Yes",$BR502&lt;&gt;"N/A"),"Power Cable, ","")&amp;IF(AND($BS502&lt;&gt;"Yes",$BS502&lt;&gt;"N/A"),"Battery, ","")&amp;IF(AND($AD502&lt;&gt;"Yes",$AD502&lt;&gt;"N/A"),"Firmware Download, ","")&amp;IF(AND(OR($AD502="Yes",$AD502="N/A"),$AE502&lt;&gt;"Yes",$AE502&lt;&gt;"N/A"),"Firmware Install, ","")&amp;IF(AND($CB502&lt;&gt;"Yes",$CB502&lt;&gt;"N/A"),"Device ID, ","")&amp;IF(AND($CC502&lt;&gt;"Yes",$CC502&lt;&gt;"N/A"),"Epic Beans Relay, ",""),LEN(IF(AND($BR502&lt;&gt;"Yes",$BR502&lt;&gt;"N/A"),"Power Cable, ","")&amp;IF(AND($BS502&lt;&gt;"Yes",$BS502&lt;&gt;"N/A"),"Battery, ","")&amp;IF(AND($AD502&lt;&gt;"Yes",$AD502&lt;&gt;"N/A"),"Firmware Download, ","")&amp;IF(AND(OR($AD502="Yes",$AD502="N/A"),$AE502&lt;&gt;"Yes",$AE502&lt;&gt;"N/A"),"Firmware Install, ","")&amp;IF(AND($CB502&lt;&gt;"Yes",$CB502&lt;&gt;"N/A"),"Device ID, ","")&amp;IF(AND($CC502&lt;&gt;"Yes",$CC502&lt;&gt;"N/A"),"Epic Beans Relay, ",""))-2)))</f>
        <v/>
      </c>
      <c r="CE502">
        <f>IF($Y502="","",IF($CD502="","Yes","Blocked"))</f>
        <v/>
      </c>
      <c r="CW502">
        <f>IF($S502="","",IF(UPPER(TRIM($S502))&lt;&gt;"PASS","",IF(LEN(TRIM($BY502))&gt;0,"NOTES_PRESENT",IF(LEN(TRIM($T502))=0,"SET_NA",IF(OR(LOWER(TRIM($T502))="na",LOWER(TRIM($T502))="n/a"),"OK","MANUAL_OVERRIDE")))))</f>
        <v/>
      </c>
    </row>
    <row r="503">
      <c r="B503" t="inlineStr">
        <is>
          <t>No</t>
        </is>
      </c>
      <c r="C503" t="inlineStr">
        <is>
          <t>No</t>
        </is>
      </c>
      <c r="D503">
        <f>IF($B503&lt;&gt;"Yes","",IF($C503="No","Yes",IF($C503="Yes","No","")))</f>
        <v/>
      </c>
      <c r="E503">
        <f>IF($A503="","",IF(OR(AND($V503&lt;&gt;"",LOWER(TRIM($V503))&lt;&gt;"n/a",LOWER(TRIM($V503))&lt;&gt;"na",SUMPRODUCT(--(UPPER(TRIM($V$2:$V$518))=UPPER(TRIM($V503))),--(TRIM($V$2:$V$518)&lt;&gt;""),--(LOWER(TRIM($V$2:$V$518))&lt;&gt;"n/a"),--(LOWER(TRIM($V$2:$V$518))&lt;&gt;"na"))&gt;1),AND($W503&lt;&gt;"",LOWER(TRIM($W503))&lt;&gt;"n/a",LOWER(TRIM($W503))&lt;&gt;"na",SUMPRODUCT(--(UPPER(TRIM($W$2:$W$518))=UPPER(TRIM($W503))),--(TRIM($W$2:$W$518)&lt;&gt;""),--(LOWER(TRIM($W$2:$W$518))&lt;&gt;"n/a"),--(LOWER(TRIM($W$2:$W$518))&lt;&gt;"na"))&gt;1),AND($X503&lt;&gt;"",LOWER(TRIM($X503))&lt;&gt;"n/a",LOWER(TRIM($X503))&lt;&gt;"na",SUMPRODUCT(--(UPPER(TRIM($X$2:$X$518))=UPPER(TRIM($X503))),--(TRIM($X$2:$X$518)&lt;&gt;""),--(LOWER(TRIM($X$2:$X$518))&lt;&gt;"n/a"),--(LOWER(TRIM($X$2:$X$518))&lt;&gt;"na"))&gt;1),AND($Y503&lt;&gt;"",LOWER(TRIM($Y503))&lt;&gt;"n/a",LOWER(TRIM($Y503))&lt;&gt;"na",SUMPRODUCT(--(UPPER(SUBSTITUTE(SUBSTITUTE(TRIM($Y$2:$Y$518),":",""),"-",""))=UPPER(SUBSTITUTE(SUBSTITUTE(TRIM($Y503),":",""),"-",""))),--(TRIM($Y$2:$Y$518)&lt;&gt;""),--(LOWER(TRIM($Y$2:$Y$518))&lt;&gt;"n/a"),--(LOWER(TRIM($Y$2:$Y$518))&lt;&gt;"na"))&gt;1),AND($AB503&lt;&gt;"",LOWER(TRIM($AB503))&lt;&gt;"n/a",LOWER(TRIM($AB503))&lt;&gt;"na",SUMPRODUCT(--(UPPER(TRIM($AB$2:$AB$518))=UPPER(TRIM($AB503))),--(TRIM($AB$2:$AB$518)&lt;&gt;""),--(LOWER(TRIM($AB$2:$AB$518))&lt;&gt;"n/a"),--(LOWER(TRIM($AB$2:$AB$518))&lt;&gt;"na"))&gt;1),AND($AH503&lt;&gt;"",LOWER(TRIM($AH503))&lt;&gt;"n/a",LOWER(TRIM($AH503))&lt;&gt;"na",SUMPRODUCT(--(UPPER(SUBSTITUTE(SUBSTITUTE(TRIM($AH$2:$AH$518),":",""),"-",""))=UPPER(SUBSTITUTE(SUBSTITUTE(TRIM($AH503),":",""),"-",""))),--(TRIM($AH$2:$AH$518)&lt;&gt;""),--(LOWER(TRIM($AH$2:$AH$518))&lt;&gt;"n/a"),--(LOWER(TRIM($AH$2:$AH$518))&lt;&gt;"na"))&gt;1),AND($AP503&lt;&gt;"",LOWER(TRIM($AP503))&lt;&gt;"n/a",LOWER(TRIM($AP503))&lt;&gt;"na",SUMPRODUCT(--(UPPER(TRIM($AP$2:$AP$518))=UPPER(TRIM($AP503))),--(TRIM($AP$2:$AP$518)&lt;&gt;""),--(LOWER(TRIM($AP$2:$AP$518))&lt;&gt;"n/a"),--(LOWER(TRIM($AP$2:$AP$518))&lt;&gt;"na"))&gt;1),AND($AQ503&lt;&gt;"",LOWER(TRIM($AQ503))&lt;&gt;"n/a",LOWER(TRIM($AQ503))&lt;&gt;"na",SUMPRODUCT(--(UPPER(TRIM($AQ$2:$AQ$518))=UPPER(TRIM($AQ503))),--(TRIM($AQ$2:$AQ$518)&lt;&gt;""),--(LOWER(TRIM($AQ$2:$AQ$518))&lt;&gt;"n/a"),--(LOWER(TRIM($AQ$2:$AQ$518))&lt;&gt;"na"))&gt;1)),"Yes","No"))</f>
        <v/>
      </c>
      <c r="F503">
        <f>IF(UPPER(TRIM($B503))&lt;&gt;"YES","", IF(OR(AND($V503&lt;&gt;"", LOWER(TRIM($V503))&lt;&gt;"n/a", LOWER(TRIM($V503))&lt;&gt;"na", SUMPRODUCT(--(UPPER(TRIM($V$2:$V$518))=UPPER(TRIM($V503))), --(UPPER(TRIM($B$2:$B$518))="YES"), --(UPPER(TRIM($G$2:$G$518)&amp;TRIM($I$2:$I$518)&amp;TRIM($J$2:$J$518))&lt;&gt;UPPER(TRIM($G503)&amp;TRIM($I503)&amp;TRIM($J503))))&gt;0), AND($W503&lt;&gt;"", LOWER(TRIM($W503))&lt;&gt;"n/a", LOWER(TRIM($W503))&lt;&gt;"na", SUMPRODUCT(--(UPPER(TRIM($W$2:$W$518))=UPPER(TRIM($W503))), --(UPPER(TRIM($B$2:$B$518))="YES"), --(UPPER(TRIM($G$2:$G$518)&amp;TRIM($I$2:$I$518)&amp;TRIM($J$2:$J$518))&lt;&gt;UPPER(TRIM($G503)&amp;TRIM($I503)&amp;TRIM($J503))))&gt;0), AND($X503&lt;&gt;"", LOWER(TRIM($X503))&lt;&gt;"n/a", LOWER(TRIM($X503))&lt;&gt;"na", SUMPRODUCT(--(UPPER(TRIM($X$2:$X$518))=UPPER(TRIM($X503))), --(UPPER(TRIM($B$2:$B$518))="YES"), --(UPPER(TRIM($G$2:$G$518)&amp;TRIM($I$2:$I$518)&amp;TRIM($J$2:$J$518))&lt;&gt;UPPER(TRIM($G503)&amp;TRIM($I503)&amp;TRIM($J503))))&gt;0), AND($Y503&lt;&gt;"", LOWER(TRIM($Y503))&lt;&gt;"n/a", LOWER(TRIM($Y503))&lt;&gt;"na", SUMPRODUCT(--(UPPER(SUBSTITUTE(SUBSTITUTE(TRIM($Y$2:$Y$518),":",""),"-",""))=UPPER(SUBSTITUTE(SUBSTITUTE(TRIM($Y503),":",""),"-",""))), --(UPPER(TRIM($B$2:$B$518))="YES"), --(UPPER(TRIM($G$2:$G$518)&amp;TRIM($I$2:$I$518)&amp;TRIM($J$2:$J$518))&lt;&gt;UPPER(TRIM($G503)&amp;TRIM($I503)&amp;TRIM($J503))))&gt;0), AND($AB503&lt;&gt;"", LOWER(TRIM($AB503))&lt;&gt;"n/a", LOWER(TRIM($AB503))&lt;&gt;"na", SUMPRODUCT(--(UPPER(TRIM($AB$2:$AB$518))=UPPER(TRIM($AB503))), --(UPPER(TRIM($B$2:$B$518))="YES"), --(UPPER(TRIM($G$2:$G$518)&amp;TRIM($I$2:$I$518)&amp;TRIM($J$2:$J$518))&lt;&gt;UPPER(TRIM($G503)&amp;TRIM($I503)&amp;TRIM($J503))))&gt;0), AND($AH503&lt;&gt;"", LOWER(TRIM($AH503))&lt;&gt;"n/a", LOWER(TRIM($AH503))&lt;&gt;"na", SUMPRODUCT(--(UPPER(SUBSTITUTE(SUBSTITUTE(TRIM($AH$2:$AH$518),":",""),"-",""))=UPPER(SUBSTITUTE(SUBSTITUTE(TRIM($AH503),":",""),"-",""))), --(UPPER(TRIM($B$2:$B$518))="YES"), --(UPPER(TRIM($G$2:$G$518)&amp;TRIM($I$2:$I$518)&amp;TRIM($J$2:$J$518))&lt;&gt;UPPER(TRIM($G503)&amp;TRIM($I503)&amp;TRIM($J503))))&gt;0), AND($AP503&lt;&gt;"", LOWER(TRIM($AP503))&lt;&gt;"n/a", LOWER(TRIM($AP503))&lt;&gt;"na", SUMPRODUCT(--(UPPER(TRIM($AP$2:$AP$518))=UPPER(TRIM($AP503))), --(UPPER(TRIM($B$2:$B$518))="YES"), --(UPPER(TRIM($G$2:$G$518)&amp;TRIM($I$2:$I$518)&amp;TRIM($J$2:$J$518))&lt;&gt;UPPER(TRIM($G503)&amp;TRIM($I503)&amp;TRIM($J503))))&gt;0), AND($AQ503&lt;&gt;"", LOWER(TRIM($AQ503))&lt;&gt;"n/a", LOWER(TRIM($AQ503))&lt;&gt;"na", SUMPRODUCT(--(UPPER(TRIM($AQ$2:$AQ$518))=UPPER(TRIM($AQ503))), --(UPPER(TRIM($B$2:$B$518))="YES"), --(UPPER(TRIM($G$2:$G$518)&amp;TRIM($I$2:$I$518)&amp;TRIM($J$2:$J$518))&lt;&gt;UPPER(TRIM($G503)&amp;TRIM($I503)&amp;TRIM($J503))))&gt;0)), "Yes", "No"))</f>
        <v/>
      </c>
      <c r="CD503">
        <f>IF($Y503="","",IF((IF(AND($BR503&lt;&gt;"Yes",$BR503&lt;&gt;"N/A"),"Power Cable, ","")&amp;IF(AND($BS503&lt;&gt;"Yes",$BS503&lt;&gt;"N/A"),"Battery, ","")&amp;IF(AND($AD503&lt;&gt;"Yes",$AD503&lt;&gt;"N/A"),"Firmware Download, ","")&amp;IF(AND(OR($AD503="Yes",$AD503="N/A"),$AE503&lt;&gt;"Yes",$AE503&lt;&gt;"N/A"),"Firmware Install, ","")&amp;IF(AND($CB503&lt;&gt;"Yes",$CB503&lt;&gt;"N/A"),"Device ID, ","")&amp;IF(AND($CC503&lt;&gt;"Yes",$CC503&lt;&gt;"N/A"),"Epic Beans Relay, ",""))="","",LEFT(IF(AND($BR503&lt;&gt;"Yes",$BR503&lt;&gt;"N/A"),"Power Cable, ","")&amp;IF(AND($BS503&lt;&gt;"Yes",$BS503&lt;&gt;"N/A"),"Battery, ","")&amp;IF(AND($AD503&lt;&gt;"Yes",$AD503&lt;&gt;"N/A"),"Firmware Download, ","")&amp;IF(AND(OR($AD503="Yes",$AD503="N/A"),$AE503&lt;&gt;"Yes",$AE503&lt;&gt;"N/A"),"Firmware Install, ","")&amp;IF(AND($CB503&lt;&gt;"Yes",$CB503&lt;&gt;"N/A"),"Device ID, ","")&amp;IF(AND($CC503&lt;&gt;"Yes",$CC503&lt;&gt;"N/A"),"Epic Beans Relay, ",""),LEN(IF(AND($BR503&lt;&gt;"Yes",$BR503&lt;&gt;"N/A"),"Power Cable, ","")&amp;IF(AND($BS503&lt;&gt;"Yes",$BS503&lt;&gt;"N/A"),"Battery, ","")&amp;IF(AND($AD503&lt;&gt;"Yes",$AD503&lt;&gt;"N/A"),"Firmware Download, ","")&amp;IF(AND(OR($AD503="Yes",$AD503="N/A"),$AE503&lt;&gt;"Yes",$AE503&lt;&gt;"N/A"),"Firmware Install, ","")&amp;IF(AND($CB503&lt;&gt;"Yes",$CB503&lt;&gt;"N/A"),"Device ID, ","")&amp;IF(AND($CC503&lt;&gt;"Yes",$CC503&lt;&gt;"N/A"),"Epic Beans Relay, ",""))-2)))</f>
        <v/>
      </c>
      <c r="CE503">
        <f>IF($Y503="","",IF($CD503="","Yes","Blocked"))</f>
        <v/>
      </c>
      <c r="CW503">
        <f>IF($S503="","",IF(UPPER(TRIM($S503))&lt;&gt;"PASS","",IF(LEN(TRIM($BY503))&gt;0,"NOTES_PRESENT",IF(LEN(TRIM($T503))=0,"SET_NA",IF(OR(LOWER(TRIM($T503))="na",LOWER(TRIM($T503))="n/a"),"OK","MANUAL_OVERRIDE")))))</f>
        <v/>
      </c>
    </row>
    <row r="504">
      <c r="B504" t="inlineStr">
        <is>
          <t>No</t>
        </is>
      </c>
      <c r="C504" t="inlineStr">
        <is>
          <t>No</t>
        </is>
      </c>
      <c r="D504">
        <f>IF($B504&lt;&gt;"Yes","",IF($C504="No","Yes",IF($C504="Yes","No","")))</f>
        <v/>
      </c>
      <c r="E504">
        <f>IF($A504="","",IF(OR(AND($V504&lt;&gt;"",LOWER(TRIM($V504))&lt;&gt;"n/a",LOWER(TRIM($V504))&lt;&gt;"na",SUMPRODUCT(--(UPPER(TRIM($V$2:$V$518))=UPPER(TRIM($V504))),--(TRIM($V$2:$V$518)&lt;&gt;""),--(LOWER(TRIM($V$2:$V$518))&lt;&gt;"n/a"),--(LOWER(TRIM($V$2:$V$518))&lt;&gt;"na"))&gt;1),AND($W504&lt;&gt;"",LOWER(TRIM($W504))&lt;&gt;"n/a",LOWER(TRIM($W504))&lt;&gt;"na",SUMPRODUCT(--(UPPER(TRIM($W$2:$W$518))=UPPER(TRIM($W504))),--(TRIM($W$2:$W$518)&lt;&gt;""),--(LOWER(TRIM($W$2:$W$518))&lt;&gt;"n/a"),--(LOWER(TRIM($W$2:$W$518))&lt;&gt;"na"))&gt;1),AND($X504&lt;&gt;"",LOWER(TRIM($X504))&lt;&gt;"n/a",LOWER(TRIM($X504))&lt;&gt;"na",SUMPRODUCT(--(UPPER(TRIM($X$2:$X$518))=UPPER(TRIM($X504))),--(TRIM($X$2:$X$518)&lt;&gt;""),--(LOWER(TRIM($X$2:$X$518))&lt;&gt;"n/a"),--(LOWER(TRIM($X$2:$X$518))&lt;&gt;"na"))&gt;1),AND($Y504&lt;&gt;"",LOWER(TRIM($Y504))&lt;&gt;"n/a",LOWER(TRIM($Y504))&lt;&gt;"na",SUMPRODUCT(--(UPPER(SUBSTITUTE(SUBSTITUTE(TRIM($Y$2:$Y$518),":",""),"-",""))=UPPER(SUBSTITUTE(SUBSTITUTE(TRIM($Y504),":",""),"-",""))),--(TRIM($Y$2:$Y$518)&lt;&gt;""),--(LOWER(TRIM($Y$2:$Y$518))&lt;&gt;"n/a"),--(LOWER(TRIM($Y$2:$Y$518))&lt;&gt;"na"))&gt;1),AND($AB504&lt;&gt;"",LOWER(TRIM($AB504))&lt;&gt;"n/a",LOWER(TRIM($AB504))&lt;&gt;"na",SUMPRODUCT(--(UPPER(TRIM($AB$2:$AB$518))=UPPER(TRIM($AB504))),--(TRIM($AB$2:$AB$518)&lt;&gt;""),--(LOWER(TRIM($AB$2:$AB$518))&lt;&gt;"n/a"),--(LOWER(TRIM($AB$2:$AB$518))&lt;&gt;"na"))&gt;1),AND($AH504&lt;&gt;"",LOWER(TRIM($AH504))&lt;&gt;"n/a",LOWER(TRIM($AH504))&lt;&gt;"na",SUMPRODUCT(--(UPPER(SUBSTITUTE(SUBSTITUTE(TRIM($AH$2:$AH$518),":",""),"-",""))=UPPER(SUBSTITUTE(SUBSTITUTE(TRIM($AH504),":",""),"-",""))),--(TRIM($AH$2:$AH$518)&lt;&gt;""),--(LOWER(TRIM($AH$2:$AH$518))&lt;&gt;"n/a"),--(LOWER(TRIM($AH$2:$AH$518))&lt;&gt;"na"))&gt;1),AND($AP504&lt;&gt;"",LOWER(TRIM($AP504))&lt;&gt;"n/a",LOWER(TRIM($AP504))&lt;&gt;"na",SUMPRODUCT(--(UPPER(TRIM($AP$2:$AP$518))=UPPER(TRIM($AP504))),--(TRIM($AP$2:$AP$518)&lt;&gt;""),--(LOWER(TRIM($AP$2:$AP$518))&lt;&gt;"n/a"),--(LOWER(TRIM($AP$2:$AP$518))&lt;&gt;"na"))&gt;1),AND($AQ504&lt;&gt;"",LOWER(TRIM($AQ504))&lt;&gt;"n/a",LOWER(TRIM($AQ504))&lt;&gt;"na",SUMPRODUCT(--(UPPER(TRIM($AQ$2:$AQ$518))=UPPER(TRIM($AQ504))),--(TRIM($AQ$2:$AQ$518)&lt;&gt;""),--(LOWER(TRIM($AQ$2:$AQ$518))&lt;&gt;"n/a"),--(LOWER(TRIM($AQ$2:$AQ$518))&lt;&gt;"na"))&gt;1)),"Yes","No"))</f>
        <v/>
      </c>
      <c r="F504">
        <f>IF(UPPER(TRIM($B504))&lt;&gt;"YES","", IF(OR(AND($V504&lt;&gt;"", LOWER(TRIM($V504))&lt;&gt;"n/a", LOWER(TRIM($V504))&lt;&gt;"na", SUMPRODUCT(--(UPPER(TRIM($V$2:$V$518))=UPPER(TRIM($V504))), --(UPPER(TRIM($B$2:$B$518))="YES"), --(UPPER(TRIM($G$2:$G$518)&amp;TRIM($I$2:$I$518)&amp;TRIM($J$2:$J$518))&lt;&gt;UPPER(TRIM($G504)&amp;TRIM($I504)&amp;TRIM($J504))))&gt;0), AND($W504&lt;&gt;"", LOWER(TRIM($W504))&lt;&gt;"n/a", LOWER(TRIM($W504))&lt;&gt;"na", SUMPRODUCT(--(UPPER(TRIM($W$2:$W$518))=UPPER(TRIM($W504))), --(UPPER(TRIM($B$2:$B$518))="YES"), --(UPPER(TRIM($G$2:$G$518)&amp;TRIM($I$2:$I$518)&amp;TRIM($J$2:$J$518))&lt;&gt;UPPER(TRIM($G504)&amp;TRIM($I504)&amp;TRIM($J504))))&gt;0), AND($X504&lt;&gt;"", LOWER(TRIM($X504))&lt;&gt;"n/a", LOWER(TRIM($X504))&lt;&gt;"na", SUMPRODUCT(--(UPPER(TRIM($X$2:$X$518))=UPPER(TRIM($X504))), --(UPPER(TRIM($B$2:$B$518))="YES"), --(UPPER(TRIM($G$2:$G$518)&amp;TRIM($I$2:$I$518)&amp;TRIM($J$2:$J$518))&lt;&gt;UPPER(TRIM($G504)&amp;TRIM($I504)&amp;TRIM($J504))))&gt;0), AND($Y504&lt;&gt;"", LOWER(TRIM($Y504))&lt;&gt;"n/a", LOWER(TRIM($Y504))&lt;&gt;"na", SUMPRODUCT(--(UPPER(SUBSTITUTE(SUBSTITUTE(TRIM($Y$2:$Y$518),":",""),"-",""))=UPPER(SUBSTITUTE(SUBSTITUTE(TRIM($Y504),":",""),"-",""))), --(UPPER(TRIM($B$2:$B$518))="YES"), --(UPPER(TRIM($G$2:$G$518)&amp;TRIM($I$2:$I$518)&amp;TRIM($J$2:$J$518))&lt;&gt;UPPER(TRIM($G504)&amp;TRIM($I504)&amp;TRIM($J504))))&gt;0), AND($AB504&lt;&gt;"", LOWER(TRIM($AB504))&lt;&gt;"n/a", LOWER(TRIM($AB504))&lt;&gt;"na", SUMPRODUCT(--(UPPER(TRIM($AB$2:$AB$518))=UPPER(TRIM($AB504))), --(UPPER(TRIM($B$2:$B$518))="YES"), --(UPPER(TRIM($G$2:$G$518)&amp;TRIM($I$2:$I$518)&amp;TRIM($J$2:$J$518))&lt;&gt;UPPER(TRIM($G504)&amp;TRIM($I504)&amp;TRIM($J504))))&gt;0), AND($AH504&lt;&gt;"", LOWER(TRIM($AH504))&lt;&gt;"n/a", LOWER(TRIM($AH504))&lt;&gt;"na", SUMPRODUCT(--(UPPER(SUBSTITUTE(SUBSTITUTE(TRIM($AH$2:$AH$518),":",""),"-",""))=UPPER(SUBSTITUTE(SUBSTITUTE(TRIM($AH504),":",""),"-",""))), --(UPPER(TRIM($B$2:$B$518))="YES"), --(UPPER(TRIM($G$2:$G$518)&amp;TRIM($I$2:$I$518)&amp;TRIM($J$2:$J$518))&lt;&gt;UPPER(TRIM($G504)&amp;TRIM($I504)&amp;TRIM($J504))))&gt;0), AND($AP504&lt;&gt;"", LOWER(TRIM($AP504))&lt;&gt;"n/a", LOWER(TRIM($AP504))&lt;&gt;"na", SUMPRODUCT(--(UPPER(TRIM($AP$2:$AP$518))=UPPER(TRIM($AP504))), --(UPPER(TRIM($B$2:$B$518))="YES"), --(UPPER(TRIM($G$2:$G$518)&amp;TRIM($I$2:$I$518)&amp;TRIM($J$2:$J$518))&lt;&gt;UPPER(TRIM($G504)&amp;TRIM($I504)&amp;TRIM($J504))))&gt;0), AND($AQ504&lt;&gt;"", LOWER(TRIM($AQ504))&lt;&gt;"n/a", LOWER(TRIM($AQ504))&lt;&gt;"na", SUMPRODUCT(--(UPPER(TRIM($AQ$2:$AQ$518))=UPPER(TRIM($AQ504))), --(UPPER(TRIM($B$2:$B$518))="YES"), --(UPPER(TRIM($G$2:$G$518)&amp;TRIM($I$2:$I$518)&amp;TRIM($J$2:$J$518))&lt;&gt;UPPER(TRIM($G504)&amp;TRIM($I504)&amp;TRIM($J504))))&gt;0)), "Yes", "No"))</f>
        <v/>
      </c>
      <c r="CD504">
        <f>IF($Y504="","",IF((IF(AND($BR504&lt;&gt;"Yes",$BR504&lt;&gt;"N/A"),"Power Cable, ","")&amp;IF(AND($BS504&lt;&gt;"Yes",$BS504&lt;&gt;"N/A"),"Battery, ","")&amp;IF(AND($AD504&lt;&gt;"Yes",$AD504&lt;&gt;"N/A"),"Firmware Download, ","")&amp;IF(AND(OR($AD504="Yes",$AD504="N/A"),$AE504&lt;&gt;"Yes",$AE504&lt;&gt;"N/A"),"Firmware Install, ","")&amp;IF(AND($CB504&lt;&gt;"Yes",$CB504&lt;&gt;"N/A"),"Device ID, ","")&amp;IF(AND($CC504&lt;&gt;"Yes",$CC504&lt;&gt;"N/A"),"Epic Beans Relay, ",""))="","",LEFT(IF(AND($BR504&lt;&gt;"Yes",$BR504&lt;&gt;"N/A"),"Power Cable, ","")&amp;IF(AND($BS504&lt;&gt;"Yes",$BS504&lt;&gt;"N/A"),"Battery, ","")&amp;IF(AND($AD504&lt;&gt;"Yes",$AD504&lt;&gt;"N/A"),"Firmware Download, ","")&amp;IF(AND(OR($AD504="Yes",$AD504="N/A"),$AE504&lt;&gt;"Yes",$AE504&lt;&gt;"N/A"),"Firmware Install, ","")&amp;IF(AND($CB504&lt;&gt;"Yes",$CB504&lt;&gt;"N/A"),"Device ID, ","")&amp;IF(AND($CC504&lt;&gt;"Yes",$CC504&lt;&gt;"N/A"),"Epic Beans Relay, ",""),LEN(IF(AND($BR504&lt;&gt;"Yes",$BR504&lt;&gt;"N/A"),"Power Cable, ","")&amp;IF(AND($BS504&lt;&gt;"Yes",$BS504&lt;&gt;"N/A"),"Battery, ","")&amp;IF(AND($AD504&lt;&gt;"Yes",$AD504&lt;&gt;"N/A"),"Firmware Download, ","")&amp;IF(AND(OR($AD504="Yes",$AD504="N/A"),$AE504&lt;&gt;"Yes",$AE504&lt;&gt;"N/A"),"Firmware Install, ","")&amp;IF(AND($CB504&lt;&gt;"Yes",$CB504&lt;&gt;"N/A"),"Device ID, ","")&amp;IF(AND($CC504&lt;&gt;"Yes",$CC504&lt;&gt;"N/A"),"Epic Beans Relay, ",""))-2)))</f>
        <v/>
      </c>
      <c r="CE504">
        <f>IF($Y504="","",IF($CD504="","Yes","Blocked"))</f>
        <v/>
      </c>
      <c r="CW504">
        <f>IF($S504="","",IF(UPPER(TRIM($S504))&lt;&gt;"PASS","",IF(LEN(TRIM($BY504))&gt;0,"NOTES_PRESENT",IF(LEN(TRIM($T504))=0,"SET_NA",IF(OR(LOWER(TRIM($T504))="na",LOWER(TRIM($T504))="n/a"),"OK","MANUAL_OVERRIDE")))))</f>
        <v/>
      </c>
    </row>
    <row r="505">
      <c r="B505" t="inlineStr">
        <is>
          <t>No</t>
        </is>
      </c>
      <c r="C505" t="inlineStr">
        <is>
          <t>No</t>
        </is>
      </c>
      <c r="D505">
        <f>IF($B505&lt;&gt;"Yes","",IF($C505="No","Yes",IF($C505="Yes","No","")))</f>
        <v/>
      </c>
      <c r="E505">
        <f>IF($A505="","",IF(OR(AND($V505&lt;&gt;"",LOWER(TRIM($V505))&lt;&gt;"n/a",LOWER(TRIM($V505))&lt;&gt;"na",SUMPRODUCT(--(UPPER(TRIM($V$2:$V$518))=UPPER(TRIM($V505))),--(TRIM($V$2:$V$518)&lt;&gt;""),--(LOWER(TRIM($V$2:$V$518))&lt;&gt;"n/a"),--(LOWER(TRIM($V$2:$V$518))&lt;&gt;"na"))&gt;1),AND($W505&lt;&gt;"",LOWER(TRIM($W505))&lt;&gt;"n/a",LOWER(TRIM($W505))&lt;&gt;"na",SUMPRODUCT(--(UPPER(TRIM($W$2:$W$518))=UPPER(TRIM($W505))),--(TRIM($W$2:$W$518)&lt;&gt;""),--(LOWER(TRIM($W$2:$W$518))&lt;&gt;"n/a"),--(LOWER(TRIM($W$2:$W$518))&lt;&gt;"na"))&gt;1),AND($X505&lt;&gt;"",LOWER(TRIM($X505))&lt;&gt;"n/a",LOWER(TRIM($X505))&lt;&gt;"na",SUMPRODUCT(--(UPPER(TRIM($X$2:$X$518))=UPPER(TRIM($X505))),--(TRIM($X$2:$X$518)&lt;&gt;""),--(LOWER(TRIM($X$2:$X$518))&lt;&gt;"n/a"),--(LOWER(TRIM($X$2:$X$518))&lt;&gt;"na"))&gt;1),AND($Y505&lt;&gt;"",LOWER(TRIM($Y505))&lt;&gt;"n/a",LOWER(TRIM($Y505))&lt;&gt;"na",SUMPRODUCT(--(UPPER(SUBSTITUTE(SUBSTITUTE(TRIM($Y$2:$Y$518),":",""),"-",""))=UPPER(SUBSTITUTE(SUBSTITUTE(TRIM($Y505),":",""),"-",""))),--(TRIM($Y$2:$Y$518)&lt;&gt;""),--(LOWER(TRIM($Y$2:$Y$518))&lt;&gt;"n/a"),--(LOWER(TRIM($Y$2:$Y$518))&lt;&gt;"na"))&gt;1),AND($AB505&lt;&gt;"",LOWER(TRIM($AB505))&lt;&gt;"n/a",LOWER(TRIM($AB505))&lt;&gt;"na",SUMPRODUCT(--(UPPER(TRIM($AB$2:$AB$518))=UPPER(TRIM($AB505))),--(TRIM($AB$2:$AB$518)&lt;&gt;""),--(LOWER(TRIM($AB$2:$AB$518))&lt;&gt;"n/a"),--(LOWER(TRIM($AB$2:$AB$518))&lt;&gt;"na"))&gt;1),AND($AH505&lt;&gt;"",LOWER(TRIM($AH505))&lt;&gt;"n/a",LOWER(TRIM($AH505))&lt;&gt;"na",SUMPRODUCT(--(UPPER(SUBSTITUTE(SUBSTITUTE(TRIM($AH$2:$AH$518),":",""),"-",""))=UPPER(SUBSTITUTE(SUBSTITUTE(TRIM($AH505),":",""),"-",""))),--(TRIM($AH$2:$AH$518)&lt;&gt;""),--(LOWER(TRIM($AH$2:$AH$518))&lt;&gt;"n/a"),--(LOWER(TRIM($AH$2:$AH$518))&lt;&gt;"na"))&gt;1),AND($AP505&lt;&gt;"",LOWER(TRIM($AP505))&lt;&gt;"n/a",LOWER(TRIM($AP505))&lt;&gt;"na",SUMPRODUCT(--(UPPER(TRIM($AP$2:$AP$518))=UPPER(TRIM($AP505))),--(TRIM($AP$2:$AP$518)&lt;&gt;""),--(LOWER(TRIM($AP$2:$AP$518))&lt;&gt;"n/a"),--(LOWER(TRIM($AP$2:$AP$518))&lt;&gt;"na"))&gt;1),AND($AQ505&lt;&gt;"",LOWER(TRIM($AQ505))&lt;&gt;"n/a",LOWER(TRIM($AQ505))&lt;&gt;"na",SUMPRODUCT(--(UPPER(TRIM($AQ$2:$AQ$518))=UPPER(TRIM($AQ505))),--(TRIM($AQ$2:$AQ$518)&lt;&gt;""),--(LOWER(TRIM($AQ$2:$AQ$518))&lt;&gt;"n/a"),--(LOWER(TRIM($AQ$2:$AQ$518))&lt;&gt;"na"))&gt;1)),"Yes","No"))</f>
        <v/>
      </c>
      <c r="F505">
        <f>IF(UPPER(TRIM($B505))&lt;&gt;"YES","", IF(OR(AND($V505&lt;&gt;"", LOWER(TRIM($V505))&lt;&gt;"n/a", LOWER(TRIM($V505))&lt;&gt;"na", SUMPRODUCT(--(UPPER(TRIM($V$2:$V$518))=UPPER(TRIM($V505))), --(UPPER(TRIM($B$2:$B$518))="YES"), --(UPPER(TRIM($G$2:$G$518)&amp;TRIM($I$2:$I$518)&amp;TRIM($J$2:$J$518))&lt;&gt;UPPER(TRIM($G505)&amp;TRIM($I505)&amp;TRIM($J505))))&gt;0), AND($W505&lt;&gt;"", LOWER(TRIM($W505))&lt;&gt;"n/a", LOWER(TRIM($W505))&lt;&gt;"na", SUMPRODUCT(--(UPPER(TRIM($W$2:$W$518))=UPPER(TRIM($W505))), --(UPPER(TRIM($B$2:$B$518))="YES"), --(UPPER(TRIM($G$2:$G$518)&amp;TRIM($I$2:$I$518)&amp;TRIM($J$2:$J$518))&lt;&gt;UPPER(TRIM($G505)&amp;TRIM($I505)&amp;TRIM($J505))))&gt;0), AND($X505&lt;&gt;"", LOWER(TRIM($X505))&lt;&gt;"n/a", LOWER(TRIM($X505))&lt;&gt;"na", SUMPRODUCT(--(UPPER(TRIM($X$2:$X$518))=UPPER(TRIM($X505))), --(UPPER(TRIM($B$2:$B$518))="YES"), --(UPPER(TRIM($G$2:$G$518)&amp;TRIM($I$2:$I$518)&amp;TRIM($J$2:$J$518))&lt;&gt;UPPER(TRIM($G505)&amp;TRIM($I505)&amp;TRIM($J505))))&gt;0), AND($Y505&lt;&gt;"", LOWER(TRIM($Y505))&lt;&gt;"n/a", LOWER(TRIM($Y505))&lt;&gt;"na", SUMPRODUCT(--(UPPER(SUBSTITUTE(SUBSTITUTE(TRIM($Y$2:$Y$518),":",""),"-",""))=UPPER(SUBSTITUTE(SUBSTITUTE(TRIM($Y505),":",""),"-",""))), --(UPPER(TRIM($B$2:$B$518))="YES"), --(UPPER(TRIM($G$2:$G$518)&amp;TRIM($I$2:$I$518)&amp;TRIM($J$2:$J$518))&lt;&gt;UPPER(TRIM($G505)&amp;TRIM($I505)&amp;TRIM($J505))))&gt;0), AND($AB505&lt;&gt;"", LOWER(TRIM($AB505))&lt;&gt;"n/a", LOWER(TRIM($AB505))&lt;&gt;"na", SUMPRODUCT(--(UPPER(TRIM($AB$2:$AB$518))=UPPER(TRIM($AB505))), --(UPPER(TRIM($B$2:$B$518))="YES"), --(UPPER(TRIM($G$2:$G$518)&amp;TRIM($I$2:$I$518)&amp;TRIM($J$2:$J$518))&lt;&gt;UPPER(TRIM($G505)&amp;TRIM($I505)&amp;TRIM($J505))))&gt;0), AND($AH505&lt;&gt;"", LOWER(TRIM($AH505))&lt;&gt;"n/a", LOWER(TRIM($AH505))&lt;&gt;"na", SUMPRODUCT(--(UPPER(SUBSTITUTE(SUBSTITUTE(TRIM($AH$2:$AH$518),":",""),"-",""))=UPPER(SUBSTITUTE(SUBSTITUTE(TRIM($AH505),":",""),"-",""))), --(UPPER(TRIM($B$2:$B$518))="YES"), --(UPPER(TRIM($G$2:$G$518)&amp;TRIM($I$2:$I$518)&amp;TRIM($J$2:$J$518))&lt;&gt;UPPER(TRIM($G505)&amp;TRIM($I505)&amp;TRIM($J505))))&gt;0), AND($AP505&lt;&gt;"", LOWER(TRIM($AP505))&lt;&gt;"n/a", LOWER(TRIM($AP505))&lt;&gt;"na", SUMPRODUCT(--(UPPER(TRIM($AP$2:$AP$518))=UPPER(TRIM($AP505))), --(UPPER(TRIM($B$2:$B$518))="YES"), --(UPPER(TRIM($G$2:$G$518)&amp;TRIM($I$2:$I$518)&amp;TRIM($J$2:$J$518))&lt;&gt;UPPER(TRIM($G505)&amp;TRIM($I505)&amp;TRIM($J505))))&gt;0), AND($AQ505&lt;&gt;"", LOWER(TRIM($AQ505))&lt;&gt;"n/a", LOWER(TRIM($AQ505))&lt;&gt;"na", SUMPRODUCT(--(UPPER(TRIM($AQ$2:$AQ$518))=UPPER(TRIM($AQ505))), --(UPPER(TRIM($B$2:$B$518))="YES"), --(UPPER(TRIM($G$2:$G$518)&amp;TRIM($I$2:$I$518)&amp;TRIM($J$2:$J$518))&lt;&gt;UPPER(TRIM($G505)&amp;TRIM($I505)&amp;TRIM($J505))))&gt;0)), "Yes", "No"))</f>
        <v/>
      </c>
      <c r="CD505">
        <f>IF($Y505="","",IF((IF(AND($BR505&lt;&gt;"Yes",$BR505&lt;&gt;"N/A"),"Power Cable, ","")&amp;IF(AND($BS505&lt;&gt;"Yes",$BS505&lt;&gt;"N/A"),"Battery, ","")&amp;IF(AND($AD505&lt;&gt;"Yes",$AD505&lt;&gt;"N/A"),"Firmware Download, ","")&amp;IF(AND(OR($AD505="Yes",$AD505="N/A"),$AE505&lt;&gt;"Yes",$AE505&lt;&gt;"N/A"),"Firmware Install, ","")&amp;IF(AND($CB505&lt;&gt;"Yes",$CB505&lt;&gt;"N/A"),"Device ID, ","")&amp;IF(AND($CC505&lt;&gt;"Yes",$CC505&lt;&gt;"N/A"),"Epic Beans Relay, ",""))="","",LEFT(IF(AND($BR505&lt;&gt;"Yes",$BR505&lt;&gt;"N/A"),"Power Cable, ","")&amp;IF(AND($BS505&lt;&gt;"Yes",$BS505&lt;&gt;"N/A"),"Battery, ","")&amp;IF(AND($AD505&lt;&gt;"Yes",$AD505&lt;&gt;"N/A"),"Firmware Download, ","")&amp;IF(AND(OR($AD505="Yes",$AD505="N/A"),$AE505&lt;&gt;"Yes",$AE505&lt;&gt;"N/A"),"Firmware Install, ","")&amp;IF(AND($CB505&lt;&gt;"Yes",$CB505&lt;&gt;"N/A"),"Device ID, ","")&amp;IF(AND($CC505&lt;&gt;"Yes",$CC505&lt;&gt;"N/A"),"Epic Beans Relay, ",""),LEN(IF(AND($BR505&lt;&gt;"Yes",$BR505&lt;&gt;"N/A"),"Power Cable, ","")&amp;IF(AND($BS505&lt;&gt;"Yes",$BS505&lt;&gt;"N/A"),"Battery, ","")&amp;IF(AND($AD505&lt;&gt;"Yes",$AD505&lt;&gt;"N/A"),"Firmware Download, ","")&amp;IF(AND(OR($AD505="Yes",$AD505="N/A"),$AE505&lt;&gt;"Yes",$AE505&lt;&gt;"N/A"),"Firmware Install, ","")&amp;IF(AND($CB505&lt;&gt;"Yes",$CB505&lt;&gt;"N/A"),"Device ID, ","")&amp;IF(AND($CC505&lt;&gt;"Yes",$CC505&lt;&gt;"N/A"),"Epic Beans Relay, ",""))-2)))</f>
        <v/>
      </c>
      <c r="CE505">
        <f>IF($Y505="","",IF($CD505="","Yes","Blocked"))</f>
        <v/>
      </c>
      <c r="CW505">
        <f>IF($S505="","",IF(UPPER(TRIM($S505))&lt;&gt;"PASS","",IF(LEN(TRIM($BY505))&gt;0,"NOTES_PRESENT",IF(LEN(TRIM($T505))=0,"SET_NA",IF(OR(LOWER(TRIM($T505))="na",LOWER(TRIM($T505))="n/a"),"OK","MANUAL_OVERRIDE")))))</f>
        <v/>
      </c>
    </row>
    <row r="506">
      <c r="B506" t="inlineStr">
        <is>
          <t>No</t>
        </is>
      </c>
      <c r="C506" t="inlineStr">
        <is>
          <t>No</t>
        </is>
      </c>
      <c r="D506">
        <f>IF($B506&lt;&gt;"Yes","",IF($C506="No","Yes",IF($C506="Yes","No","")))</f>
        <v/>
      </c>
      <c r="E506">
        <f>IF($A506="","",IF(OR(AND($V506&lt;&gt;"",LOWER(TRIM($V506))&lt;&gt;"n/a",LOWER(TRIM($V506))&lt;&gt;"na",SUMPRODUCT(--(UPPER(TRIM($V$2:$V$518))=UPPER(TRIM($V506))),--(TRIM($V$2:$V$518)&lt;&gt;""),--(LOWER(TRIM($V$2:$V$518))&lt;&gt;"n/a"),--(LOWER(TRIM($V$2:$V$518))&lt;&gt;"na"))&gt;1),AND($W506&lt;&gt;"",LOWER(TRIM($W506))&lt;&gt;"n/a",LOWER(TRIM($W506))&lt;&gt;"na",SUMPRODUCT(--(UPPER(TRIM($W$2:$W$518))=UPPER(TRIM($W506))),--(TRIM($W$2:$W$518)&lt;&gt;""),--(LOWER(TRIM($W$2:$W$518))&lt;&gt;"n/a"),--(LOWER(TRIM($W$2:$W$518))&lt;&gt;"na"))&gt;1),AND($X506&lt;&gt;"",LOWER(TRIM($X506))&lt;&gt;"n/a",LOWER(TRIM($X506))&lt;&gt;"na",SUMPRODUCT(--(UPPER(TRIM($X$2:$X$518))=UPPER(TRIM($X506))),--(TRIM($X$2:$X$518)&lt;&gt;""),--(LOWER(TRIM($X$2:$X$518))&lt;&gt;"n/a"),--(LOWER(TRIM($X$2:$X$518))&lt;&gt;"na"))&gt;1),AND($Y506&lt;&gt;"",LOWER(TRIM($Y506))&lt;&gt;"n/a",LOWER(TRIM($Y506))&lt;&gt;"na",SUMPRODUCT(--(UPPER(SUBSTITUTE(SUBSTITUTE(TRIM($Y$2:$Y$518),":",""),"-",""))=UPPER(SUBSTITUTE(SUBSTITUTE(TRIM($Y506),":",""),"-",""))),--(TRIM($Y$2:$Y$518)&lt;&gt;""),--(LOWER(TRIM($Y$2:$Y$518))&lt;&gt;"n/a"),--(LOWER(TRIM($Y$2:$Y$518))&lt;&gt;"na"))&gt;1),AND($AB506&lt;&gt;"",LOWER(TRIM($AB506))&lt;&gt;"n/a",LOWER(TRIM($AB506))&lt;&gt;"na",SUMPRODUCT(--(UPPER(TRIM($AB$2:$AB$518))=UPPER(TRIM($AB506))),--(TRIM($AB$2:$AB$518)&lt;&gt;""),--(LOWER(TRIM($AB$2:$AB$518))&lt;&gt;"n/a"),--(LOWER(TRIM($AB$2:$AB$518))&lt;&gt;"na"))&gt;1),AND($AH506&lt;&gt;"",LOWER(TRIM($AH506))&lt;&gt;"n/a",LOWER(TRIM($AH506))&lt;&gt;"na",SUMPRODUCT(--(UPPER(SUBSTITUTE(SUBSTITUTE(TRIM($AH$2:$AH$518),":",""),"-",""))=UPPER(SUBSTITUTE(SUBSTITUTE(TRIM($AH506),":",""),"-",""))),--(TRIM($AH$2:$AH$518)&lt;&gt;""),--(LOWER(TRIM($AH$2:$AH$518))&lt;&gt;"n/a"),--(LOWER(TRIM($AH$2:$AH$518))&lt;&gt;"na"))&gt;1),AND($AP506&lt;&gt;"",LOWER(TRIM($AP506))&lt;&gt;"n/a",LOWER(TRIM($AP506))&lt;&gt;"na",SUMPRODUCT(--(UPPER(TRIM($AP$2:$AP$518))=UPPER(TRIM($AP506))),--(TRIM($AP$2:$AP$518)&lt;&gt;""),--(LOWER(TRIM($AP$2:$AP$518))&lt;&gt;"n/a"),--(LOWER(TRIM($AP$2:$AP$518))&lt;&gt;"na"))&gt;1),AND($AQ506&lt;&gt;"",LOWER(TRIM($AQ506))&lt;&gt;"n/a",LOWER(TRIM($AQ506))&lt;&gt;"na",SUMPRODUCT(--(UPPER(TRIM($AQ$2:$AQ$518))=UPPER(TRIM($AQ506))),--(TRIM($AQ$2:$AQ$518)&lt;&gt;""),--(LOWER(TRIM($AQ$2:$AQ$518))&lt;&gt;"n/a"),--(LOWER(TRIM($AQ$2:$AQ$518))&lt;&gt;"na"))&gt;1)),"Yes","No"))</f>
        <v/>
      </c>
      <c r="F506">
        <f>IF(UPPER(TRIM($B506))&lt;&gt;"YES","", IF(OR(AND($V506&lt;&gt;"", LOWER(TRIM($V506))&lt;&gt;"n/a", LOWER(TRIM($V506))&lt;&gt;"na", SUMPRODUCT(--(UPPER(TRIM($V$2:$V$518))=UPPER(TRIM($V506))), --(UPPER(TRIM($B$2:$B$518))="YES"), --(UPPER(TRIM($G$2:$G$518)&amp;TRIM($I$2:$I$518)&amp;TRIM($J$2:$J$518))&lt;&gt;UPPER(TRIM($G506)&amp;TRIM($I506)&amp;TRIM($J506))))&gt;0), AND($W506&lt;&gt;"", LOWER(TRIM($W506))&lt;&gt;"n/a", LOWER(TRIM($W506))&lt;&gt;"na", SUMPRODUCT(--(UPPER(TRIM($W$2:$W$518))=UPPER(TRIM($W506))), --(UPPER(TRIM($B$2:$B$518))="YES"), --(UPPER(TRIM($G$2:$G$518)&amp;TRIM($I$2:$I$518)&amp;TRIM($J$2:$J$518))&lt;&gt;UPPER(TRIM($G506)&amp;TRIM($I506)&amp;TRIM($J506))))&gt;0), AND($X506&lt;&gt;"", LOWER(TRIM($X506))&lt;&gt;"n/a", LOWER(TRIM($X506))&lt;&gt;"na", SUMPRODUCT(--(UPPER(TRIM($X$2:$X$518))=UPPER(TRIM($X506))), --(UPPER(TRIM($B$2:$B$518))="YES"), --(UPPER(TRIM($G$2:$G$518)&amp;TRIM($I$2:$I$518)&amp;TRIM($J$2:$J$518))&lt;&gt;UPPER(TRIM($G506)&amp;TRIM($I506)&amp;TRIM($J506))))&gt;0), AND($Y506&lt;&gt;"", LOWER(TRIM($Y506))&lt;&gt;"n/a", LOWER(TRIM($Y506))&lt;&gt;"na", SUMPRODUCT(--(UPPER(SUBSTITUTE(SUBSTITUTE(TRIM($Y$2:$Y$518),":",""),"-",""))=UPPER(SUBSTITUTE(SUBSTITUTE(TRIM($Y506),":",""),"-",""))), --(UPPER(TRIM($B$2:$B$518))="YES"), --(UPPER(TRIM($G$2:$G$518)&amp;TRIM($I$2:$I$518)&amp;TRIM($J$2:$J$518))&lt;&gt;UPPER(TRIM($G506)&amp;TRIM($I506)&amp;TRIM($J506))))&gt;0), AND($AB506&lt;&gt;"", LOWER(TRIM($AB506))&lt;&gt;"n/a", LOWER(TRIM($AB506))&lt;&gt;"na", SUMPRODUCT(--(UPPER(TRIM($AB$2:$AB$518))=UPPER(TRIM($AB506))), --(UPPER(TRIM($B$2:$B$518))="YES"), --(UPPER(TRIM($G$2:$G$518)&amp;TRIM($I$2:$I$518)&amp;TRIM($J$2:$J$518))&lt;&gt;UPPER(TRIM($G506)&amp;TRIM($I506)&amp;TRIM($J506))))&gt;0), AND($AH506&lt;&gt;"", LOWER(TRIM($AH506))&lt;&gt;"n/a", LOWER(TRIM($AH506))&lt;&gt;"na", SUMPRODUCT(--(UPPER(SUBSTITUTE(SUBSTITUTE(TRIM($AH$2:$AH$518),":",""),"-",""))=UPPER(SUBSTITUTE(SUBSTITUTE(TRIM($AH506),":",""),"-",""))), --(UPPER(TRIM($B$2:$B$518))="YES"), --(UPPER(TRIM($G$2:$G$518)&amp;TRIM($I$2:$I$518)&amp;TRIM($J$2:$J$518))&lt;&gt;UPPER(TRIM($G506)&amp;TRIM($I506)&amp;TRIM($J506))))&gt;0), AND($AP506&lt;&gt;"", LOWER(TRIM($AP506))&lt;&gt;"n/a", LOWER(TRIM($AP506))&lt;&gt;"na", SUMPRODUCT(--(UPPER(TRIM($AP$2:$AP$518))=UPPER(TRIM($AP506))), --(UPPER(TRIM($B$2:$B$518))="YES"), --(UPPER(TRIM($G$2:$G$518)&amp;TRIM($I$2:$I$518)&amp;TRIM($J$2:$J$518))&lt;&gt;UPPER(TRIM($G506)&amp;TRIM($I506)&amp;TRIM($J506))))&gt;0), AND($AQ506&lt;&gt;"", LOWER(TRIM($AQ506))&lt;&gt;"n/a", LOWER(TRIM($AQ506))&lt;&gt;"na", SUMPRODUCT(--(UPPER(TRIM($AQ$2:$AQ$518))=UPPER(TRIM($AQ506))), --(UPPER(TRIM($B$2:$B$518))="YES"), --(UPPER(TRIM($G$2:$G$518)&amp;TRIM($I$2:$I$518)&amp;TRIM($J$2:$J$518))&lt;&gt;UPPER(TRIM($G506)&amp;TRIM($I506)&amp;TRIM($J506))))&gt;0)), "Yes", "No"))</f>
        <v/>
      </c>
      <c r="CD506">
        <f>IF($Y506="","",IF((IF(AND($BR506&lt;&gt;"Yes",$BR506&lt;&gt;"N/A"),"Power Cable, ","")&amp;IF(AND($BS506&lt;&gt;"Yes",$BS506&lt;&gt;"N/A"),"Battery, ","")&amp;IF(AND($AD506&lt;&gt;"Yes",$AD506&lt;&gt;"N/A"),"Firmware Download, ","")&amp;IF(AND(OR($AD506="Yes",$AD506="N/A"),$AE506&lt;&gt;"Yes",$AE506&lt;&gt;"N/A"),"Firmware Install, ","")&amp;IF(AND($CB506&lt;&gt;"Yes",$CB506&lt;&gt;"N/A"),"Device ID, ","")&amp;IF(AND($CC506&lt;&gt;"Yes",$CC506&lt;&gt;"N/A"),"Epic Beans Relay, ",""))="","",LEFT(IF(AND($BR506&lt;&gt;"Yes",$BR506&lt;&gt;"N/A"),"Power Cable, ","")&amp;IF(AND($BS506&lt;&gt;"Yes",$BS506&lt;&gt;"N/A"),"Battery, ","")&amp;IF(AND($AD506&lt;&gt;"Yes",$AD506&lt;&gt;"N/A"),"Firmware Download, ","")&amp;IF(AND(OR($AD506="Yes",$AD506="N/A"),$AE506&lt;&gt;"Yes",$AE506&lt;&gt;"N/A"),"Firmware Install, ","")&amp;IF(AND($CB506&lt;&gt;"Yes",$CB506&lt;&gt;"N/A"),"Device ID, ","")&amp;IF(AND($CC506&lt;&gt;"Yes",$CC506&lt;&gt;"N/A"),"Epic Beans Relay, ",""),LEN(IF(AND($BR506&lt;&gt;"Yes",$BR506&lt;&gt;"N/A"),"Power Cable, ","")&amp;IF(AND($BS506&lt;&gt;"Yes",$BS506&lt;&gt;"N/A"),"Battery, ","")&amp;IF(AND($AD506&lt;&gt;"Yes",$AD506&lt;&gt;"N/A"),"Firmware Download, ","")&amp;IF(AND(OR($AD506="Yes",$AD506="N/A"),$AE506&lt;&gt;"Yes",$AE506&lt;&gt;"N/A"),"Firmware Install, ","")&amp;IF(AND($CB506&lt;&gt;"Yes",$CB506&lt;&gt;"N/A"),"Device ID, ","")&amp;IF(AND($CC506&lt;&gt;"Yes",$CC506&lt;&gt;"N/A"),"Epic Beans Relay, ",""))-2)))</f>
        <v/>
      </c>
      <c r="CE506">
        <f>IF($Y506="","",IF($CD506="","Yes","Blocked"))</f>
        <v/>
      </c>
      <c r="CW506">
        <f>IF($S506="","",IF(UPPER(TRIM($S506))&lt;&gt;"PASS","",IF(LEN(TRIM($BY506))&gt;0,"NOTES_PRESENT",IF(LEN(TRIM($T506))=0,"SET_NA",IF(OR(LOWER(TRIM($T506))="na",LOWER(TRIM($T506))="n/a"),"OK","MANUAL_OVERRIDE")))))</f>
        <v/>
      </c>
    </row>
    <row r="507">
      <c r="B507" t="inlineStr">
        <is>
          <t>No</t>
        </is>
      </c>
      <c r="C507" t="inlineStr">
        <is>
          <t>No</t>
        </is>
      </c>
      <c r="D507">
        <f>IF($B507&lt;&gt;"Yes","",IF($C507="No","Yes",IF($C507="Yes","No","")))</f>
        <v/>
      </c>
      <c r="E507">
        <f>IF($A507="","",IF(OR(AND($V507&lt;&gt;"",LOWER(TRIM($V507))&lt;&gt;"n/a",LOWER(TRIM($V507))&lt;&gt;"na",SUMPRODUCT(--(UPPER(TRIM($V$2:$V$518))=UPPER(TRIM($V507))),--(TRIM($V$2:$V$518)&lt;&gt;""),--(LOWER(TRIM($V$2:$V$518))&lt;&gt;"n/a"),--(LOWER(TRIM($V$2:$V$518))&lt;&gt;"na"))&gt;1),AND($W507&lt;&gt;"",LOWER(TRIM($W507))&lt;&gt;"n/a",LOWER(TRIM($W507))&lt;&gt;"na",SUMPRODUCT(--(UPPER(TRIM($W$2:$W$518))=UPPER(TRIM($W507))),--(TRIM($W$2:$W$518)&lt;&gt;""),--(LOWER(TRIM($W$2:$W$518))&lt;&gt;"n/a"),--(LOWER(TRIM($W$2:$W$518))&lt;&gt;"na"))&gt;1),AND($X507&lt;&gt;"",LOWER(TRIM($X507))&lt;&gt;"n/a",LOWER(TRIM($X507))&lt;&gt;"na",SUMPRODUCT(--(UPPER(TRIM($X$2:$X$518))=UPPER(TRIM($X507))),--(TRIM($X$2:$X$518)&lt;&gt;""),--(LOWER(TRIM($X$2:$X$518))&lt;&gt;"n/a"),--(LOWER(TRIM($X$2:$X$518))&lt;&gt;"na"))&gt;1),AND($Y507&lt;&gt;"",LOWER(TRIM($Y507))&lt;&gt;"n/a",LOWER(TRIM($Y507))&lt;&gt;"na",SUMPRODUCT(--(UPPER(SUBSTITUTE(SUBSTITUTE(TRIM($Y$2:$Y$518),":",""),"-",""))=UPPER(SUBSTITUTE(SUBSTITUTE(TRIM($Y507),":",""),"-",""))),--(TRIM($Y$2:$Y$518)&lt;&gt;""),--(LOWER(TRIM($Y$2:$Y$518))&lt;&gt;"n/a"),--(LOWER(TRIM($Y$2:$Y$518))&lt;&gt;"na"))&gt;1),AND($AB507&lt;&gt;"",LOWER(TRIM($AB507))&lt;&gt;"n/a",LOWER(TRIM($AB507))&lt;&gt;"na",SUMPRODUCT(--(UPPER(TRIM($AB$2:$AB$518))=UPPER(TRIM($AB507))),--(TRIM($AB$2:$AB$518)&lt;&gt;""),--(LOWER(TRIM($AB$2:$AB$518))&lt;&gt;"n/a"),--(LOWER(TRIM($AB$2:$AB$518))&lt;&gt;"na"))&gt;1),AND($AH507&lt;&gt;"",LOWER(TRIM($AH507))&lt;&gt;"n/a",LOWER(TRIM($AH507))&lt;&gt;"na",SUMPRODUCT(--(UPPER(SUBSTITUTE(SUBSTITUTE(TRIM($AH$2:$AH$518),":",""),"-",""))=UPPER(SUBSTITUTE(SUBSTITUTE(TRIM($AH507),":",""),"-",""))),--(TRIM($AH$2:$AH$518)&lt;&gt;""),--(LOWER(TRIM($AH$2:$AH$518))&lt;&gt;"n/a"),--(LOWER(TRIM($AH$2:$AH$518))&lt;&gt;"na"))&gt;1),AND($AP507&lt;&gt;"",LOWER(TRIM($AP507))&lt;&gt;"n/a",LOWER(TRIM($AP507))&lt;&gt;"na",SUMPRODUCT(--(UPPER(TRIM($AP$2:$AP$518))=UPPER(TRIM($AP507))),--(TRIM($AP$2:$AP$518)&lt;&gt;""),--(LOWER(TRIM($AP$2:$AP$518))&lt;&gt;"n/a"),--(LOWER(TRIM($AP$2:$AP$518))&lt;&gt;"na"))&gt;1),AND($AQ507&lt;&gt;"",LOWER(TRIM($AQ507))&lt;&gt;"n/a",LOWER(TRIM($AQ507))&lt;&gt;"na",SUMPRODUCT(--(UPPER(TRIM($AQ$2:$AQ$518))=UPPER(TRIM($AQ507))),--(TRIM($AQ$2:$AQ$518)&lt;&gt;""),--(LOWER(TRIM($AQ$2:$AQ$518))&lt;&gt;"n/a"),--(LOWER(TRIM($AQ$2:$AQ$518))&lt;&gt;"na"))&gt;1)),"Yes","No"))</f>
        <v/>
      </c>
      <c r="F507">
        <f>IF(UPPER(TRIM($B507))&lt;&gt;"YES","", IF(OR(AND($V507&lt;&gt;"", LOWER(TRIM($V507))&lt;&gt;"n/a", LOWER(TRIM($V507))&lt;&gt;"na", SUMPRODUCT(--(UPPER(TRIM($V$2:$V$518))=UPPER(TRIM($V507))), --(UPPER(TRIM($B$2:$B$518))="YES"), --(UPPER(TRIM($G$2:$G$518)&amp;TRIM($I$2:$I$518)&amp;TRIM($J$2:$J$518))&lt;&gt;UPPER(TRIM($G507)&amp;TRIM($I507)&amp;TRIM($J507))))&gt;0), AND($W507&lt;&gt;"", LOWER(TRIM($W507))&lt;&gt;"n/a", LOWER(TRIM($W507))&lt;&gt;"na", SUMPRODUCT(--(UPPER(TRIM($W$2:$W$518))=UPPER(TRIM($W507))), --(UPPER(TRIM($B$2:$B$518))="YES"), --(UPPER(TRIM($G$2:$G$518)&amp;TRIM($I$2:$I$518)&amp;TRIM($J$2:$J$518))&lt;&gt;UPPER(TRIM($G507)&amp;TRIM($I507)&amp;TRIM($J507))))&gt;0), AND($X507&lt;&gt;"", LOWER(TRIM($X507))&lt;&gt;"n/a", LOWER(TRIM($X507))&lt;&gt;"na", SUMPRODUCT(--(UPPER(TRIM($X$2:$X$518))=UPPER(TRIM($X507))), --(UPPER(TRIM($B$2:$B$518))="YES"), --(UPPER(TRIM($G$2:$G$518)&amp;TRIM($I$2:$I$518)&amp;TRIM($J$2:$J$518))&lt;&gt;UPPER(TRIM($G507)&amp;TRIM($I507)&amp;TRIM($J507))))&gt;0), AND($Y507&lt;&gt;"", LOWER(TRIM($Y507))&lt;&gt;"n/a", LOWER(TRIM($Y507))&lt;&gt;"na", SUMPRODUCT(--(UPPER(SUBSTITUTE(SUBSTITUTE(TRIM($Y$2:$Y$518),":",""),"-",""))=UPPER(SUBSTITUTE(SUBSTITUTE(TRIM($Y507),":",""),"-",""))), --(UPPER(TRIM($B$2:$B$518))="YES"), --(UPPER(TRIM($G$2:$G$518)&amp;TRIM($I$2:$I$518)&amp;TRIM($J$2:$J$518))&lt;&gt;UPPER(TRIM($G507)&amp;TRIM($I507)&amp;TRIM($J507))))&gt;0), AND($AB507&lt;&gt;"", LOWER(TRIM($AB507))&lt;&gt;"n/a", LOWER(TRIM($AB507))&lt;&gt;"na", SUMPRODUCT(--(UPPER(TRIM($AB$2:$AB$518))=UPPER(TRIM($AB507))), --(UPPER(TRIM($B$2:$B$518))="YES"), --(UPPER(TRIM($G$2:$G$518)&amp;TRIM($I$2:$I$518)&amp;TRIM($J$2:$J$518))&lt;&gt;UPPER(TRIM($G507)&amp;TRIM($I507)&amp;TRIM($J507))))&gt;0), AND($AH507&lt;&gt;"", LOWER(TRIM($AH507))&lt;&gt;"n/a", LOWER(TRIM($AH507))&lt;&gt;"na", SUMPRODUCT(--(UPPER(SUBSTITUTE(SUBSTITUTE(TRIM($AH$2:$AH$518),":",""),"-",""))=UPPER(SUBSTITUTE(SUBSTITUTE(TRIM($AH507),":",""),"-",""))), --(UPPER(TRIM($B$2:$B$518))="YES"), --(UPPER(TRIM($G$2:$G$518)&amp;TRIM($I$2:$I$518)&amp;TRIM($J$2:$J$518))&lt;&gt;UPPER(TRIM($G507)&amp;TRIM($I507)&amp;TRIM($J507))))&gt;0), AND($AP507&lt;&gt;"", LOWER(TRIM($AP507))&lt;&gt;"n/a", LOWER(TRIM($AP507))&lt;&gt;"na", SUMPRODUCT(--(UPPER(TRIM($AP$2:$AP$518))=UPPER(TRIM($AP507))), --(UPPER(TRIM($B$2:$B$518))="YES"), --(UPPER(TRIM($G$2:$G$518)&amp;TRIM($I$2:$I$518)&amp;TRIM($J$2:$J$518))&lt;&gt;UPPER(TRIM($G507)&amp;TRIM($I507)&amp;TRIM($J507))))&gt;0), AND($AQ507&lt;&gt;"", LOWER(TRIM($AQ507))&lt;&gt;"n/a", LOWER(TRIM($AQ507))&lt;&gt;"na", SUMPRODUCT(--(UPPER(TRIM($AQ$2:$AQ$518))=UPPER(TRIM($AQ507))), --(UPPER(TRIM($B$2:$B$518))="YES"), --(UPPER(TRIM($G$2:$G$518)&amp;TRIM($I$2:$I$518)&amp;TRIM($J$2:$J$518))&lt;&gt;UPPER(TRIM($G507)&amp;TRIM($I507)&amp;TRIM($J507))))&gt;0)), "Yes", "No"))</f>
        <v/>
      </c>
      <c r="CD507">
        <f>IF($Y507="","",IF((IF(AND($BR507&lt;&gt;"Yes",$BR507&lt;&gt;"N/A"),"Power Cable, ","")&amp;IF(AND($BS507&lt;&gt;"Yes",$BS507&lt;&gt;"N/A"),"Battery, ","")&amp;IF(AND($AD507&lt;&gt;"Yes",$AD507&lt;&gt;"N/A"),"Firmware Download, ","")&amp;IF(AND(OR($AD507="Yes",$AD507="N/A"),$AE507&lt;&gt;"Yes",$AE507&lt;&gt;"N/A"),"Firmware Install, ","")&amp;IF(AND($CB507&lt;&gt;"Yes",$CB507&lt;&gt;"N/A"),"Device ID, ","")&amp;IF(AND($CC507&lt;&gt;"Yes",$CC507&lt;&gt;"N/A"),"Epic Beans Relay, ",""))="","",LEFT(IF(AND($BR507&lt;&gt;"Yes",$BR507&lt;&gt;"N/A"),"Power Cable, ","")&amp;IF(AND($BS507&lt;&gt;"Yes",$BS507&lt;&gt;"N/A"),"Battery, ","")&amp;IF(AND($AD507&lt;&gt;"Yes",$AD507&lt;&gt;"N/A"),"Firmware Download, ","")&amp;IF(AND(OR($AD507="Yes",$AD507="N/A"),$AE507&lt;&gt;"Yes",$AE507&lt;&gt;"N/A"),"Firmware Install, ","")&amp;IF(AND($CB507&lt;&gt;"Yes",$CB507&lt;&gt;"N/A"),"Device ID, ","")&amp;IF(AND($CC507&lt;&gt;"Yes",$CC507&lt;&gt;"N/A"),"Epic Beans Relay, ",""),LEN(IF(AND($BR507&lt;&gt;"Yes",$BR507&lt;&gt;"N/A"),"Power Cable, ","")&amp;IF(AND($BS507&lt;&gt;"Yes",$BS507&lt;&gt;"N/A"),"Battery, ","")&amp;IF(AND($AD507&lt;&gt;"Yes",$AD507&lt;&gt;"N/A"),"Firmware Download, ","")&amp;IF(AND(OR($AD507="Yes",$AD507="N/A"),$AE507&lt;&gt;"Yes",$AE507&lt;&gt;"N/A"),"Firmware Install, ","")&amp;IF(AND($CB507&lt;&gt;"Yes",$CB507&lt;&gt;"N/A"),"Device ID, ","")&amp;IF(AND($CC507&lt;&gt;"Yes",$CC507&lt;&gt;"N/A"),"Epic Beans Relay, ",""))-2)))</f>
        <v/>
      </c>
      <c r="CE507">
        <f>IF($Y507="","",IF($CD507="","Yes","Blocked"))</f>
        <v/>
      </c>
      <c r="CW507">
        <f>IF($S507="","",IF(UPPER(TRIM($S507))&lt;&gt;"PASS","",IF(LEN(TRIM($BY507))&gt;0,"NOTES_PRESENT",IF(LEN(TRIM($T507))=0,"SET_NA",IF(OR(LOWER(TRIM($T507))="na",LOWER(TRIM($T507))="n/a"),"OK","MANUAL_OVERRIDE")))))</f>
        <v/>
      </c>
    </row>
    <row r="508">
      <c r="B508" t="inlineStr">
        <is>
          <t>No</t>
        </is>
      </c>
      <c r="C508" t="inlineStr">
        <is>
          <t>No</t>
        </is>
      </c>
      <c r="D508">
        <f>IF($B508&lt;&gt;"Yes","",IF($C508="No","Yes",IF($C508="Yes","No","")))</f>
        <v/>
      </c>
      <c r="E508">
        <f>IF($A508="","",IF(OR(AND($V508&lt;&gt;"",LOWER(TRIM($V508))&lt;&gt;"n/a",LOWER(TRIM($V508))&lt;&gt;"na",SUMPRODUCT(--(UPPER(TRIM($V$2:$V$518))=UPPER(TRIM($V508))),--(TRIM($V$2:$V$518)&lt;&gt;""),--(LOWER(TRIM($V$2:$V$518))&lt;&gt;"n/a"),--(LOWER(TRIM($V$2:$V$518))&lt;&gt;"na"))&gt;1),AND($W508&lt;&gt;"",LOWER(TRIM($W508))&lt;&gt;"n/a",LOWER(TRIM($W508))&lt;&gt;"na",SUMPRODUCT(--(UPPER(TRIM($W$2:$W$518))=UPPER(TRIM($W508))),--(TRIM($W$2:$W$518)&lt;&gt;""),--(LOWER(TRIM($W$2:$W$518))&lt;&gt;"n/a"),--(LOWER(TRIM($W$2:$W$518))&lt;&gt;"na"))&gt;1),AND($X508&lt;&gt;"",LOWER(TRIM($X508))&lt;&gt;"n/a",LOWER(TRIM($X508))&lt;&gt;"na",SUMPRODUCT(--(UPPER(TRIM($X$2:$X$518))=UPPER(TRIM($X508))),--(TRIM($X$2:$X$518)&lt;&gt;""),--(LOWER(TRIM($X$2:$X$518))&lt;&gt;"n/a"),--(LOWER(TRIM($X$2:$X$518))&lt;&gt;"na"))&gt;1),AND($Y508&lt;&gt;"",LOWER(TRIM($Y508))&lt;&gt;"n/a",LOWER(TRIM($Y508))&lt;&gt;"na",SUMPRODUCT(--(UPPER(SUBSTITUTE(SUBSTITUTE(TRIM($Y$2:$Y$518),":",""),"-",""))=UPPER(SUBSTITUTE(SUBSTITUTE(TRIM($Y508),":",""),"-",""))),--(TRIM($Y$2:$Y$518)&lt;&gt;""),--(LOWER(TRIM($Y$2:$Y$518))&lt;&gt;"n/a"),--(LOWER(TRIM($Y$2:$Y$518))&lt;&gt;"na"))&gt;1),AND($AB508&lt;&gt;"",LOWER(TRIM($AB508))&lt;&gt;"n/a",LOWER(TRIM($AB508))&lt;&gt;"na",SUMPRODUCT(--(UPPER(TRIM($AB$2:$AB$518))=UPPER(TRIM($AB508))),--(TRIM($AB$2:$AB$518)&lt;&gt;""),--(LOWER(TRIM($AB$2:$AB$518))&lt;&gt;"n/a"),--(LOWER(TRIM($AB$2:$AB$518))&lt;&gt;"na"))&gt;1),AND($AH508&lt;&gt;"",LOWER(TRIM($AH508))&lt;&gt;"n/a",LOWER(TRIM($AH508))&lt;&gt;"na",SUMPRODUCT(--(UPPER(SUBSTITUTE(SUBSTITUTE(TRIM($AH$2:$AH$518),":",""),"-",""))=UPPER(SUBSTITUTE(SUBSTITUTE(TRIM($AH508),":",""),"-",""))),--(TRIM($AH$2:$AH$518)&lt;&gt;""),--(LOWER(TRIM($AH$2:$AH$518))&lt;&gt;"n/a"),--(LOWER(TRIM($AH$2:$AH$518))&lt;&gt;"na"))&gt;1),AND($AP508&lt;&gt;"",LOWER(TRIM($AP508))&lt;&gt;"n/a",LOWER(TRIM($AP508))&lt;&gt;"na",SUMPRODUCT(--(UPPER(TRIM($AP$2:$AP$518))=UPPER(TRIM($AP508))),--(TRIM($AP$2:$AP$518)&lt;&gt;""),--(LOWER(TRIM($AP$2:$AP$518))&lt;&gt;"n/a"),--(LOWER(TRIM($AP$2:$AP$518))&lt;&gt;"na"))&gt;1),AND($AQ508&lt;&gt;"",LOWER(TRIM($AQ508))&lt;&gt;"n/a",LOWER(TRIM($AQ508))&lt;&gt;"na",SUMPRODUCT(--(UPPER(TRIM($AQ$2:$AQ$518))=UPPER(TRIM($AQ508))),--(TRIM($AQ$2:$AQ$518)&lt;&gt;""),--(LOWER(TRIM($AQ$2:$AQ$518))&lt;&gt;"n/a"),--(LOWER(TRIM($AQ$2:$AQ$518))&lt;&gt;"na"))&gt;1)),"Yes","No"))</f>
        <v/>
      </c>
      <c r="F508">
        <f>IF(UPPER(TRIM($B508))&lt;&gt;"YES","", IF(OR(AND($V508&lt;&gt;"", LOWER(TRIM($V508))&lt;&gt;"n/a", LOWER(TRIM($V508))&lt;&gt;"na", SUMPRODUCT(--(UPPER(TRIM($V$2:$V$518))=UPPER(TRIM($V508))), --(UPPER(TRIM($B$2:$B$518))="YES"), --(UPPER(TRIM($G$2:$G$518)&amp;TRIM($I$2:$I$518)&amp;TRIM($J$2:$J$518))&lt;&gt;UPPER(TRIM($G508)&amp;TRIM($I508)&amp;TRIM($J508))))&gt;0), AND($W508&lt;&gt;"", LOWER(TRIM($W508))&lt;&gt;"n/a", LOWER(TRIM($W508))&lt;&gt;"na", SUMPRODUCT(--(UPPER(TRIM($W$2:$W$518))=UPPER(TRIM($W508))), --(UPPER(TRIM($B$2:$B$518))="YES"), --(UPPER(TRIM($G$2:$G$518)&amp;TRIM($I$2:$I$518)&amp;TRIM($J$2:$J$518))&lt;&gt;UPPER(TRIM($G508)&amp;TRIM($I508)&amp;TRIM($J508))))&gt;0), AND($X508&lt;&gt;"", LOWER(TRIM($X508))&lt;&gt;"n/a", LOWER(TRIM($X508))&lt;&gt;"na", SUMPRODUCT(--(UPPER(TRIM($X$2:$X$518))=UPPER(TRIM($X508))), --(UPPER(TRIM($B$2:$B$518))="YES"), --(UPPER(TRIM($G$2:$G$518)&amp;TRIM($I$2:$I$518)&amp;TRIM($J$2:$J$518))&lt;&gt;UPPER(TRIM($G508)&amp;TRIM($I508)&amp;TRIM($J508))))&gt;0), AND($Y508&lt;&gt;"", LOWER(TRIM($Y508))&lt;&gt;"n/a", LOWER(TRIM($Y508))&lt;&gt;"na", SUMPRODUCT(--(UPPER(SUBSTITUTE(SUBSTITUTE(TRIM($Y$2:$Y$518),":",""),"-",""))=UPPER(SUBSTITUTE(SUBSTITUTE(TRIM($Y508),":",""),"-",""))), --(UPPER(TRIM($B$2:$B$518))="YES"), --(UPPER(TRIM($G$2:$G$518)&amp;TRIM($I$2:$I$518)&amp;TRIM($J$2:$J$518))&lt;&gt;UPPER(TRIM($G508)&amp;TRIM($I508)&amp;TRIM($J508))))&gt;0), AND($AB508&lt;&gt;"", LOWER(TRIM($AB508))&lt;&gt;"n/a", LOWER(TRIM($AB508))&lt;&gt;"na", SUMPRODUCT(--(UPPER(TRIM($AB$2:$AB$518))=UPPER(TRIM($AB508))), --(UPPER(TRIM($B$2:$B$518))="YES"), --(UPPER(TRIM($G$2:$G$518)&amp;TRIM($I$2:$I$518)&amp;TRIM($J$2:$J$518))&lt;&gt;UPPER(TRIM($G508)&amp;TRIM($I508)&amp;TRIM($J508))))&gt;0), AND($AH508&lt;&gt;"", LOWER(TRIM($AH508))&lt;&gt;"n/a", LOWER(TRIM($AH508))&lt;&gt;"na", SUMPRODUCT(--(UPPER(SUBSTITUTE(SUBSTITUTE(TRIM($AH$2:$AH$518),":",""),"-",""))=UPPER(SUBSTITUTE(SUBSTITUTE(TRIM($AH508),":",""),"-",""))), --(UPPER(TRIM($B$2:$B$518))="YES"), --(UPPER(TRIM($G$2:$G$518)&amp;TRIM($I$2:$I$518)&amp;TRIM($J$2:$J$518))&lt;&gt;UPPER(TRIM($G508)&amp;TRIM($I508)&amp;TRIM($J508))))&gt;0), AND($AP508&lt;&gt;"", LOWER(TRIM($AP508))&lt;&gt;"n/a", LOWER(TRIM($AP508))&lt;&gt;"na", SUMPRODUCT(--(UPPER(TRIM($AP$2:$AP$518))=UPPER(TRIM($AP508))), --(UPPER(TRIM($B$2:$B$518))="YES"), --(UPPER(TRIM($G$2:$G$518)&amp;TRIM($I$2:$I$518)&amp;TRIM($J$2:$J$518))&lt;&gt;UPPER(TRIM($G508)&amp;TRIM($I508)&amp;TRIM($J508))))&gt;0), AND($AQ508&lt;&gt;"", LOWER(TRIM($AQ508))&lt;&gt;"n/a", LOWER(TRIM($AQ508))&lt;&gt;"na", SUMPRODUCT(--(UPPER(TRIM($AQ$2:$AQ$518))=UPPER(TRIM($AQ508))), --(UPPER(TRIM($B$2:$B$518))="YES"), --(UPPER(TRIM($G$2:$G$518)&amp;TRIM($I$2:$I$518)&amp;TRIM($J$2:$J$518))&lt;&gt;UPPER(TRIM($G508)&amp;TRIM($I508)&amp;TRIM($J508))))&gt;0)), "Yes", "No"))</f>
        <v/>
      </c>
      <c r="CD508">
        <f>IF($Y508="","",IF((IF(AND($BR508&lt;&gt;"Yes",$BR508&lt;&gt;"N/A"),"Power Cable, ","")&amp;IF(AND($BS508&lt;&gt;"Yes",$BS508&lt;&gt;"N/A"),"Battery, ","")&amp;IF(AND($AD508&lt;&gt;"Yes",$AD508&lt;&gt;"N/A"),"Firmware Download, ","")&amp;IF(AND(OR($AD508="Yes",$AD508="N/A"),$AE508&lt;&gt;"Yes",$AE508&lt;&gt;"N/A"),"Firmware Install, ","")&amp;IF(AND($CB508&lt;&gt;"Yes",$CB508&lt;&gt;"N/A"),"Device ID, ","")&amp;IF(AND($CC508&lt;&gt;"Yes",$CC508&lt;&gt;"N/A"),"Epic Beans Relay, ",""))="","",LEFT(IF(AND($BR508&lt;&gt;"Yes",$BR508&lt;&gt;"N/A"),"Power Cable, ","")&amp;IF(AND($BS508&lt;&gt;"Yes",$BS508&lt;&gt;"N/A"),"Battery, ","")&amp;IF(AND($AD508&lt;&gt;"Yes",$AD508&lt;&gt;"N/A"),"Firmware Download, ","")&amp;IF(AND(OR($AD508="Yes",$AD508="N/A"),$AE508&lt;&gt;"Yes",$AE508&lt;&gt;"N/A"),"Firmware Install, ","")&amp;IF(AND($CB508&lt;&gt;"Yes",$CB508&lt;&gt;"N/A"),"Device ID, ","")&amp;IF(AND($CC508&lt;&gt;"Yes",$CC508&lt;&gt;"N/A"),"Epic Beans Relay, ",""),LEN(IF(AND($BR508&lt;&gt;"Yes",$BR508&lt;&gt;"N/A"),"Power Cable, ","")&amp;IF(AND($BS508&lt;&gt;"Yes",$BS508&lt;&gt;"N/A"),"Battery, ","")&amp;IF(AND($AD508&lt;&gt;"Yes",$AD508&lt;&gt;"N/A"),"Firmware Download, ","")&amp;IF(AND(OR($AD508="Yes",$AD508="N/A"),$AE508&lt;&gt;"Yes",$AE508&lt;&gt;"N/A"),"Firmware Install, ","")&amp;IF(AND($CB508&lt;&gt;"Yes",$CB508&lt;&gt;"N/A"),"Device ID, ","")&amp;IF(AND($CC508&lt;&gt;"Yes",$CC508&lt;&gt;"N/A"),"Epic Beans Relay, ",""))-2)))</f>
        <v/>
      </c>
      <c r="CE508">
        <f>IF($Y508="","",IF($CD508="","Yes","Blocked"))</f>
        <v/>
      </c>
      <c r="CW508">
        <f>IF($S508="","",IF(UPPER(TRIM($S508))&lt;&gt;"PASS","",IF(LEN(TRIM($BY508))&gt;0,"NOTES_PRESENT",IF(LEN(TRIM($T508))=0,"SET_NA",IF(OR(LOWER(TRIM($T508))="na",LOWER(TRIM($T508))="n/a"),"OK","MANUAL_OVERRIDE")))))</f>
        <v/>
      </c>
    </row>
    <row r="509">
      <c r="B509" t="inlineStr">
        <is>
          <t>No</t>
        </is>
      </c>
      <c r="C509" t="inlineStr">
        <is>
          <t>No</t>
        </is>
      </c>
      <c r="D509">
        <f>IF($B509&lt;&gt;"Yes","",IF($C509="No","Yes",IF($C509="Yes","No","")))</f>
        <v/>
      </c>
      <c r="E509">
        <f>IF($A509="","",IF(OR(AND($V509&lt;&gt;"",LOWER(TRIM($V509))&lt;&gt;"n/a",LOWER(TRIM($V509))&lt;&gt;"na",SUMPRODUCT(--(UPPER(TRIM($V$2:$V$518))=UPPER(TRIM($V509))),--(TRIM($V$2:$V$518)&lt;&gt;""),--(LOWER(TRIM($V$2:$V$518))&lt;&gt;"n/a"),--(LOWER(TRIM($V$2:$V$518))&lt;&gt;"na"))&gt;1),AND($W509&lt;&gt;"",LOWER(TRIM($W509))&lt;&gt;"n/a",LOWER(TRIM($W509))&lt;&gt;"na",SUMPRODUCT(--(UPPER(TRIM($W$2:$W$518))=UPPER(TRIM($W509))),--(TRIM($W$2:$W$518)&lt;&gt;""),--(LOWER(TRIM($W$2:$W$518))&lt;&gt;"n/a"),--(LOWER(TRIM($W$2:$W$518))&lt;&gt;"na"))&gt;1),AND($X509&lt;&gt;"",LOWER(TRIM($X509))&lt;&gt;"n/a",LOWER(TRIM($X509))&lt;&gt;"na",SUMPRODUCT(--(UPPER(TRIM($X$2:$X$518))=UPPER(TRIM($X509))),--(TRIM($X$2:$X$518)&lt;&gt;""),--(LOWER(TRIM($X$2:$X$518))&lt;&gt;"n/a"),--(LOWER(TRIM($X$2:$X$518))&lt;&gt;"na"))&gt;1),AND($Y509&lt;&gt;"",LOWER(TRIM($Y509))&lt;&gt;"n/a",LOWER(TRIM($Y509))&lt;&gt;"na",SUMPRODUCT(--(UPPER(SUBSTITUTE(SUBSTITUTE(TRIM($Y$2:$Y$518),":",""),"-",""))=UPPER(SUBSTITUTE(SUBSTITUTE(TRIM($Y509),":",""),"-",""))),--(TRIM($Y$2:$Y$518)&lt;&gt;""),--(LOWER(TRIM($Y$2:$Y$518))&lt;&gt;"n/a"),--(LOWER(TRIM($Y$2:$Y$518))&lt;&gt;"na"))&gt;1),AND($AB509&lt;&gt;"",LOWER(TRIM($AB509))&lt;&gt;"n/a",LOWER(TRIM($AB509))&lt;&gt;"na",SUMPRODUCT(--(UPPER(TRIM($AB$2:$AB$518))=UPPER(TRIM($AB509))),--(TRIM($AB$2:$AB$518)&lt;&gt;""),--(LOWER(TRIM($AB$2:$AB$518))&lt;&gt;"n/a"),--(LOWER(TRIM($AB$2:$AB$518))&lt;&gt;"na"))&gt;1),AND($AH509&lt;&gt;"",LOWER(TRIM($AH509))&lt;&gt;"n/a",LOWER(TRIM($AH509))&lt;&gt;"na",SUMPRODUCT(--(UPPER(SUBSTITUTE(SUBSTITUTE(TRIM($AH$2:$AH$518),":",""),"-",""))=UPPER(SUBSTITUTE(SUBSTITUTE(TRIM($AH509),":",""),"-",""))),--(TRIM($AH$2:$AH$518)&lt;&gt;""),--(LOWER(TRIM($AH$2:$AH$518))&lt;&gt;"n/a"),--(LOWER(TRIM($AH$2:$AH$518))&lt;&gt;"na"))&gt;1),AND($AP509&lt;&gt;"",LOWER(TRIM($AP509))&lt;&gt;"n/a",LOWER(TRIM($AP509))&lt;&gt;"na",SUMPRODUCT(--(UPPER(TRIM($AP$2:$AP$518))=UPPER(TRIM($AP509))),--(TRIM($AP$2:$AP$518)&lt;&gt;""),--(LOWER(TRIM($AP$2:$AP$518))&lt;&gt;"n/a"),--(LOWER(TRIM($AP$2:$AP$518))&lt;&gt;"na"))&gt;1),AND($AQ509&lt;&gt;"",LOWER(TRIM($AQ509))&lt;&gt;"n/a",LOWER(TRIM($AQ509))&lt;&gt;"na",SUMPRODUCT(--(UPPER(TRIM($AQ$2:$AQ$518))=UPPER(TRIM($AQ509))),--(TRIM($AQ$2:$AQ$518)&lt;&gt;""),--(LOWER(TRIM($AQ$2:$AQ$518))&lt;&gt;"n/a"),--(LOWER(TRIM($AQ$2:$AQ$518))&lt;&gt;"na"))&gt;1)),"Yes","No"))</f>
        <v/>
      </c>
      <c r="F509">
        <f>IF(UPPER(TRIM($B509))&lt;&gt;"YES","", IF(OR(AND($V509&lt;&gt;"", LOWER(TRIM($V509))&lt;&gt;"n/a", LOWER(TRIM($V509))&lt;&gt;"na", SUMPRODUCT(--(UPPER(TRIM($V$2:$V$518))=UPPER(TRIM($V509))), --(UPPER(TRIM($B$2:$B$518))="YES"), --(UPPER(TRIM($G$2:$G$518)&amp;TRIM($I$2:$I$518)&amp;TRIM($J$2:$J$518))&lt;&gt;UPPER(TRIM($G509)&amp;TRIM($I509)&amp;TRIM($J509))))&gt;0), AND($W509&lt;&gt;"", LOWER(TRIM($W509))&lt;&gt;"n/a", LOWER(TRIM($W509))&lt;&gt;"na", SUMPRODUCT(--(UPPER(TRIM($W$2:$W$518))=UPPER(TRIM($W509))), --(UPPER(TRIM($B$2:$B$518))="YES"), --(UPPER(TRIM($G$2:$G$518)&amp;TRIM($I$2:$I$518)&amp;TRIM($J$2:$J$518))&lt;&gt;UPPER(TRIM($G509)&amp;TRIM($I509)&amp;TRIM($J509))))&gt;0), AND($X509&lt;&gt;"", LOWER(TRIM($X509))&lt;&gt;"n/a", LOWER(TRIM($X509))&lt;&gt;"na", SUMPRODUCT(--(UPPER(TRIM($X$2:$X$518))=UPPER(TRIM($X509))), --(UPPER(TRIM($B$2:$B$518))="YES"), --(UPPER(TRIM($G$2:$G$518)&amp;TRIM($I$2:$I$518)&amp;TRIM($J$2:$J$518))&lt;&gt;UPPER(TRIM($G509)&amp;TRIM($I509)&amp;TRIM($J509))))&gt;0), AND($Y509&lt;&gt;"", LOWER(TRIM($Y509))&lt;&gt;"n/a", LOWER(TRIM($Y509))&lt;&gt;"na", SUMPRODUCT(--(UPPER(SUBSTITUTE(SUBSTITUTE(TRIM($Y$2:$Y$518),":",""),"-",""))=UPPER(SUBSTITUTE(SUBSTITUTE(TRIM($Y509),":",""),"-",""))), --(UPPER(TRIM($B$2:$B$518))="YES"), --(UPPER(TRIM($G$2:$G$518)&amp;TRIM($I$2:$I$518)&amp;TRIM($J$2:$J$518))&lt;&gt;UPPER(TRIM($G509)&amp;TRIM($I509)&amp;TRIM($J509))))&gt;0), AND($AB509&lt;&gt;"", LOWER(TRIM($AB509))&lt;&gt;"n/a", LOWER(TRIM($AB509))&lt;&gt;"na", SUMPRODUCT(--(UPPER(TRIM($AB$2:$AB$518))=UPPER(TRIM($AB509))), --(UPPER(TRIM($B$2:$B$518))="YES"), --(UPPER(TRIM($G$2:$G$518)&amp;TRIM($I$2:$I$518)&amp;TRIM($J$2:$J$518))&lt;&gt;UPPER(TRIM($G509)&amp;TRIM($I509)&amp;TRIM($J509))))&gt;0), AND($AH509&lt;&gt;"", LOWER(TRIM($AH509))&lt;&gt;"n/a", LOWER(TRIM($AH509))&lt;&gt;"na", SUMPRODUCT(--(UPPER(SUBSTITUTE(SUBSTITUTE(TRIM($AH$2:$AH$518),":",""),"-",""))=UPPER(SUBSTITUTE(SUBSTITUTE(TRIM($AH509),":",""),"-",""))), --(UPPER(TRIM($B$2:$B$518))="YES"), --(UPPER(TRIM($G$2:$G$518)&amp;TRIM($I$2:$I$518)&amp;TRIM($J$2:$J$518))&lt;&gt;UPPER(TRIM($G509)&amp;TRIM($I509)&amp;TRIM($J509))))&gt;0), AND($AP509&lt;&gt;"", LOWER(TRIM($AP509))&lt;&gt;"n/a", LOWER(TRIM($AP509))&lt;&gt;"na", SUMPRODUCT(--(UPPER(TRIM($AP$2:$AP$518))=UPPER(TRIM($AP509))), --(UPPER(TRIM($B$2:$B$518))="YES"), --(UPPER(TRIM($G$2:$G$518)&amp;TRIM($I$2:$I$518)&amp;TRIM($J$2:$J$518))&lt;&gt;UPPER(TRIM($G509)&amp;TRIM($I509)&amp;TRIM($J509))))&gt;0), AND($AQ509&lt;&gt;"", LOWER(TRIM($AQ509))&lt;&gt;"n/a", LOWER(TRIM($AQ509))&lt;&gt;"na", SUMPRODUCT(--(UPPER(TRIM($AQ$2:$AQ$518))=UPPER(TRIM($AQ509))), --(UPPER(TRIM($B$2:$B$518))="YES"), --(UPPER(TRIM($G$2:$G$518)&amp;TRIM($I$2:$I$518)&amp;TRIM($J$2:$J$518))&lt;&gt;UPPER(TRIM($G509)&amp;TRIM($I509)&amp;TRIM($J509))))&gt;0)), "Yes", "No"))</f>
        <v/>
      </c>
      <c r="CD509">
        <f>IF($Y509="","",IF((IF(AND($BR509&lt;&gt;"Yes",$BR509&lt;&gt;"N/A"),"Power Cable, ","")&amp;IF(AND($BS509&lt;&gt;"Yes",$BS509&lt;&gt;"N/A"),"Battery, ","")&amp;IF(AND($AD509&lt;&gt;"Yes",$AD509&lt;&gt;"N/A"),"Firmware Download, ","")&amp;IF(AND(OR($AD509="Yes",$AD509="N/A"),$AE509&lt;&gt;"Yes",$AE509&lt;&gt;"N/A"),"Firmware Install, ","")&amp;IF(AND($CB509&lt;&gt;"Yes",$CB509&lt;&gt;"N/A"),"Device ID, ","")&amp;IF(AND($CC509&lt;&gt;"Yes",$CC509&lt;&gt;"N/A"),"Epic Beans Relay, ",""))="","",LEFT(IF(AND($BR509&lt;&gt;"Yes",$BR509&lt;&gt;"N/A"),"Power Cable, ","")&amp;IF(AND($BS509&lt;&gt;"Yes",$BS509&lt;&gt;"N/A"),"Battery, ","")&amp;IF(AND($AD509&lt;&gt;"Yes",$AD509&lt;&gt;"N/A"),"Firmware Download, ","")&amp;IF(AND(OR($AD509="Yes",$AD509="N/A"),$AE509&lt;&gt;"Yes",$AE509&lt;&gt;"N/A"),"Firmware Install, ","")&amp;IF(AND($CB509&lt;&gt;"Yes",$CB509&lt;&gt;"N/A"),"Device ID, ","")&amp;IF(AND($CC509&lt;&gt;"Yes",$CC509&lt;&gt;"N/A"),"Epic Beans Relay, ",""),LEN(IF(AND($BR509&lt;&gt;"Yes",$BR509&lt;&gt;"N/A"),"Power Cable, ","")&amp;IF(AND($BS509&lt;&gt;"Yes",$BS509&lt;&gt;"N/A"),"Battery, ","")&amp;IF(AND($AD509&lt;&gt;"Yes",$AD509&lt;&gt;"N/A"),"Firmware Download, ","")&amp;IF(AND(OR($AD509="Yes",$AD509="N/A"),$AE509&lt;&gt;"Yes",$AE509&lt;&gt;"N/A"),"Firmware Install, ","")&amp;IF(AND($CB509&lt;&gt;"Yes",$CB509&lt;&gt;"N/A"),"Device ID, ","")&amp;IF(AND($CC509&lt;&gt;"Yes",$CC509&lt;&gt;"N/A"),"Epic Beans Relay, ",""))-2)))</f>
        <v/>
      </c>
      <c r="CE509">
        <f>IF($Y509="","",IF($CD509="","Yes","Blocked"))</f>
        <v/>
      </c>
      <c r="CW509">
        <f>IF($S509="","",IF(UPPER(TRIM($S509))&lt;&gt;"PASS","",IF(LEN(TRIM($BY509))&gt;0,"NOTES_PRESENT",IF(LEN(TRIM($T509))=0,"SET_NA",IF(OR(LOWER(TRIM($T509))="na",LOWER(TRIM($T509))="n/a"),"OK","MANUAL_OVERRIDE")))))</f>
        <v/>
      </c>
    </row>
    <row r="510">
      <c r="B510" t="inlineStr">
        <is>
          <t>No</t>
        </is>
      </c>
      <c r="C510" t="inlineStr">
        <is>
          <t>No</t>
        </is>
      </c>
      <c r="D510">
        <f>IF($B510&lt;&gt;"Yes","",IF($C510="No","Yes",IF($C510="Yes","No","")))</f>
        <v/>
      </c>
      <c r="E510">
        <f>IF($A510="","",IF(OR(AND($V510&lt;&gt;"",LOWER(TRIM($V510))&lt;&gt;"n/a",LOWER(TRIM($V510))&lt;&gt;"na",SUMPRODUCT(--(UPPER(TRIM($V$2:$V$518))=UPPER(TRIM($V510))),--(TRIM($V$2:$V$518)&lt;&gt;""),--(LOWER(TRIM($V$2:$V$518))&lt;&gt;"n/a"),--(LOWER(TRIM($V$2:$V$518))&lt;&gt;"na"))&gt;1),AND($W510&lt;&gt;"",LOWER(TRIM($W510))&lt;&gt;"n/a",LOWER(TRIM($W510))&lt;&gt;"na",SUMPRODUCT(--(UPPER(TRIM($W$2:$W$518))=UPPER(TRIM($W510))),--(TRIM($W$2:$W$518)&lt;&gt;""),--(LOWER(TRIM($W$2:$W$518))&lt;&gt;"n/a"),--(LOWER(TRIM($W$2:$W$518))&lt;&gt;"na"))&gt;1),AND($X510&lt;&gt;"",LOWER(TRIM($X510))&lt;&gt;"n/a",LOWER(TRIM($X510))&lt;&gt;"na",SUMPRODUCT(--(UPPER(TRIM($X$2:$X$518))=UPPER(TRIM($X510))),--(TRIM($X$2:$X$518)&lt;&gt;""),--(LOWER(TRIM($X$2:$X$518))&lt;&gt;"n/a"),--(LOWER(TRIM($X$2:$X$518))&lt;&gt;"na"))&gt;1),AND($Y510&lt;&gt;"",LOWER(TRIM($Y510))&lt;&gt;"n/a",LOWER(TRIM($Y510))&lt;&gt;"na",SUMPRODUCT(--(UPPER(SUBSTITUTE(SUBSTITUTE(TRIM($Y$2:$Y$518),":",""),"-",""))=UPPER(SUBSTITUTE(SUBSTITUTE(TRIM($Y510),":",""),"-",""))),--(TRIM($Y$2:$Y$518)&lt;&gt;""),--(LOWER(TRIM($Y$2:$Y$518))&lt;&gt;"n/a"),--(LOWER(TRIM($Y$2:$Y$518))&lt;&gt;"na"))&gt;1),AND($AB510&lt;&gt;"",LOWER(TRIM($AB510))&lt;&gt;"n/a",LOWER(TRIM($AB510))&lt;&gt;"na",SUMPRODUCT(--(UPPER(TRIM($AB$2:$AB$518))=UPPER(TRIM($AB510))),--(TRIM($AB$2:$AB$518)&lt;&gt;""),--(LOWER(TRIM($AB$2:$AB$518))&lt;&gt;"n/a"),--(LOWER(TRIM($AB$2:$AB$518))&lt;&gt;"na"))&gt;1),AND($AH510&lt;&gt;"",LOWER(TRIM($AH510))&lt;&gt;"n/a",LOWER(TRIM($AH510))&lt;&gt;"na",SUMPRODUCT(--(UPPER(SUBSTITUTE(SUBSTITUTE(TRIM($AH$2:$AH$518),":",""),"-",""))=UPPER(SUBSTITUTE(SUBSTITUTE(TRIM($AH510),":",""),"-",""))),--(TRIM($AH$2:$AH$518)&lt;&gt;""),--(LOWER(TRIM($AH$2:$AH$518))&lt;&gt;"n/a"),--(LOWER(TRIM($AH$2:$AH$518))&lt;&gt;"na"))&gt;1),AND($AP510&lt;&gt;"",LOWER(TRIM($AP510))&lt;&gt;"n/a",LOWER(TRIM($AP510))&lt;&gt;"na",SUMPRODUCT(--(UPPER(TRIM($AP$2:$AP$518))=UPPER(TRIM($AP510))),--(TRIM($AP$2:$AP$518)&lt;&gt;""),--(LOWER(TRIM($AP$2:$AP$518))&lt;&gt;"n/a"),--(LOWER(TRIM($AP$2:$AP$518))&lt;&gt;"na"))&gt;1),AND($AQ510&lt;&gt;"",LOWER(TRIM($AQ510))&lt;&gt;"n/a",LOWER(TRIM($AQ510))&lt;&gt;"na",SUMPRODUCT(--(UPPER(TRIM($AQ$2:$AQ$518))=UPPER(TRIM($AQ510))),--(TRIM($AQ$2:$AQ$518)&lt;&gt;""),--(LOWER(TRIM($AQ$2:$AQ$518))&lt;&gt;"n/a"),--(LOWER(TRIM($AQ$2:$AQ$518))&lt;&gt;"na"))&gt;1)),"Yes","No"))</f>
        <v/>
      </c>
      <c r="F510">
        <f>IF(UPPER(TRIM($B510))&lt;&gt;"YES","", IF(OR(AND($V510&lt;&gt;"", LOWER(TRIM($V510))&lt;&gt;"n/a", LOWER(TRIM($V510))&lt;&gt;"na", SUMPRODUCT(--(UPPER(TRIM($V$2:$V$518))=UPPER(TRIM($V510))), --(UPPER(TRIM($B$2:$B$518))="YES"), --(UPPER(TRIM($G$2:$G$518)&amp;TRIM($I$2:$I$518)&amp;TRIM($J$2:$J$518))&lt;&gt;UPPER(TRIM($G510)&amp;TRIM($I510)&amp;TRIM($J510))))&gt;0), AND($W510&lt;&gt;"", LOWER(TRIM($W510))&lt;&gt;"n/a", LOWER(TRIM($W510))&lt;&gt;"na", SUMPRODUCT(--(UPPER(TRIM($W$2:$W$518))=UPPER(TRIM($W510))), --(UPPER(TRIM($B$2:$B$518))="YES"), --(UPPER(TRIM($G$2:$G$518)&amp;TRIM($I$2:$I$518)&amp;TRIM($J$2:$J$518))&lt;&gt;UPPER(TRIM($G510)&amp;TRIM($I510)&amp;TRIM($J510))))&gt;0), AND($X510&lt;&gt;"", LOWER(TRIM($X510))&lt;&gt;"n/a", LOWER(TRIM($X510))&lt;&gt;"na", SUMPRODUCT(--(UPPER(TRIM($X$2:$X$518))=UPPER(TRIM($X510))), --(UPPER(TRIM($B$2:$B$518))="YES"), --(UPPER(TRIM($G$2:$G$518)&amp;TRIM($I$2:$I$518)&amp;TRIM($J$2:$J$518))&lt;&gt;UPPER(TRIM($G510)&amp;TRIM($I510)&amp;TRIM($J510))))&gt;0), AND($Y510&lt;&gt;"", LOWER(TRIM($Y510))&lt;&gt;"n/a", LOWER(TRIM($Y510))&lt;&gt;"na", SUMPRODUCT(--(UPPER(SUBSTITUTE(SUBSTITUTE(TRIM($Y$2:$Y$518),":",""),"-",""))=UPPER(SUBSTITUTE(SUBSTITUTE(TRIM($Y510),":",""),"-",""))), --(UPPER(TRIM($B$2:$B$518))="YES"), --(UPPER(TRIM($G$2:$G$518)&amp;TRIM($I$2:$I$518)&amp;TRIM($J$2:$J$518))&lt;&gt;UPPER(TRIM($G510)&amp;TRIM($I510)&amp;TRIM($J510))))&gt;0), AND($AB510&lt;&gt;"", LOWER(TRIM($AB510))&lt;&gt;"n/a", LOWER(TRIM($AB510))&lt;&gt;"na", SUMPRODUCT(--(UPPER(TRIM($AB$2:$AB$518))=UPPER(TRIM($AB510))), --(UPPER(TRIM($B$2:$B$518))="YES"), --(UPPER(TRIM($G$2:$G$518)&amp;TRIM($I$2:$I$518)&amp;TRIM($J$2:$J$518))&lt;&gt;UPPER(TRIM($G510)&amp;TRIM($I510)&amp;TRIM($J510))))&gt;0), AND($AH510&lt;&gt;"", LOWER(TRIM($AH510))&lt;&gt;"n/a", LOWER(TRIM($AH510))&lt;&gt;"na", SUMPRODUCT(--(UPPER(SUBSTITUTE(SUBSTITUTE(TRIM($AH$2:$AH$518),":",""),"-",""))=UPPER(SUBSTITUTE(SUBSTITUTE(TRIM($AH510),":",""),"-",""))), --(UPPER(TRIM($B$2:$B$518))="YES"), --(UPPER(TRIM($G$2:$G$518)&amp;TRIM($I$2:$I$518)&amp;TRIM($J$2:$J$518))&lt;&gt;UPPER(TRIM($G510)&amp;TRIM($I510)&amp;TRIM($J510))))&gt;0), AND($AP510&lt;&gt;"", LOWER(TRIM($AP510))&lt;&gt;"n/a", LOWER(TRIM($AP510))&lt;&gt;"na", SUMPRODUCT(--(UPPER(TRIM($AP$2:$AP$518))=UPPER(TRIM($AP510))), --(UPPER(TRIM($B$2:$B$518))="YES"), --(UPPER(TRIM($G$2:$G$518)&amp;TRIM($I$2:$I$518)&amp;TRIM($J$2:$J$518))&lt;&gt;UPPER(TRIM($G510)&amp;TRIM($I510)&amp;TRIM($J510))))&gt;0), AND($AQ510&lt;&gt;"", LOWER(TRIM($AQ510))&lt;&gt;"n/a", LOWER(TRIM($AQ510))&lt;&gt;"na", SUMPRODUCT(--(UPPER(TRIM($AQ$2:$AQ$518))=UPPER(TRIM($AQ510))), --(UPPER(TRIM($B$2:$B$518))="YES"), --(UPPER(TRIM($G$2:$G$518)&amp;TRIM($I$2:$I$518)&amp;TRIM($J$2:$J$518))&lt;&gt;UPPER(TRIM($G510)&amp;TRIM($I510)&amp;TRIM($J510))))&gt;0)), "Yes", "No"))</f>
        <v/>
      </c>
      <c r="CD510">
        <f>IF($Y510="","",IF((IF(AND($BR510&lt;&gt;"Yes",$BR510&lt;&gt;"N/A"),"Power Cable, ","")&amp;IF(AND($BS510&lt;&gt;"Yes",$BS510&lt;&gt;"N/A"),"Battery, ","")&amp;IF(AND($AD510&lt;&gt;"Yes",$AD510&lt;&gt;"N/A"),"Firmware Download, ","")&amp;IF(AND(OR($AD510="Yes",$AD510="N/A"),$AE510&lt;&gt;"Yes",$AE510&lt;&gt;"N/A"),"Firmware Install, ","")&amp;IF(AND($CB510&lt;&gt;"Yes",$CB510&lt;&gt;"N/A"),"Device ID, ","")&amp;IF(AND($CC510&lt;&gt;"Yes",$CC510&lt;&gt;"N/A"),"Epic Beans Relay, ",""))="","",LEFT(IF(AND($BR510&lt;&gt;"Yes",$BR510&lt;&gt;"N/A"),"Power Cable, ","")&amp;IF(AND($BS510&lt;&gt;"Yes",$BS510&lt;&gt;"N/A"),"Battery, ","")&amp;IF(AND($AD510&lt;&gt;"Yes",$AD510&lt;&gt;"N/A"),"Firmware Download, ","")&amp;IF(AND(OR($AD510="Yes",$AD510="N/A"),$AE510&lt;&gt;"Yes",$AE510&lt;&gt;"N/A"),"Firmware Install, ","")&amp;IF(AND($CB510&lt;&gt;"Yes",$CB510&lt;&gt;"N/A"),"Device ID, ","")&amp;IF(AND($CC510&lt;&gt;"Yes",$CC510&lt;&gt;"N/A"),"Epic Beans Relay, ",""),LEN(IF(AND($BR510&lt;&gt;"Yes",$BR510&lt;&gt;"N/A"),"Power Cable, ","")&amp;IF(AND($BS510&lt;&gt;"Yes",$BS510&lt;&gt;"N/A"),"Battery, ","")&amp;IF(AND($AD510&lt;&gt;"Yes",$AD510&lt;&gt;"N/A"),"Firmware Download, ","")&amp;IF(AND(OR($AD510="Yes",$AD510="N/A"),$AE510&lt;&gt;"Yes",$AE510&lt;&gt;"N/A"),"Firmware Install, ","")&amp;IF(AND($CB510&lt;&gt;"Yes",$CB510&lt;&gt;"N/A"),"Device ID, ","")&amp;IF(AND($CC510&lt;&gt;"Yes",$CC510&lt;&gt;"N/A"),"Epic Beans Relay, ",""))-2)))</f>
        <v/>
      </c>
      <c r="CE510">
        <f>IF($Y510="","",IF($CD510="","Yes","Blocked"))</f>
        <v/>
      </c>
      <c r="CW510">
        <f>IF($S510="","",IF(UPPER(TRIM($S510))&lt;&gt;"PASS","",IF(LEN(TRIM($BY510))&gt;0,"NOTES_PRESENT",IF(LEN(TRIM($T510))=0,"SET_NA",IF(OR(LOWER(TRIM($T510))="na",LOWER(TRIM($T510))="n/a"),"OK","MANUAL_OVERRIDE")))))</f>
        <v/>
      </c>
    </row>
    <row r="511">
      <c r="B511" t="inlineStr">
        <is>
          <t>No</t>
        </is>
      </c>
      <c r="C511" t="inlineStr">
        <is>
          <t>No</t>
        </is>
      </c>
      <c r="D511">
        <f>IF($B511&lt;&gt;"Yes","",IF($C511="No","Yes",IF($C511="Yes","No","")))</f>
        <v/>
      </c>
      <c r="E511">
        <f>IF($A511="","",IF(OR(AND($V511&lt;&gt;"",LOWER(TRIM($V511))&lt;&gt;"n/a",LOWER(TRIM($V511))&lt;&gt;"na",SUMPRODUCT(--(UPPER(TRIM($V$2:$V$518))=UPPER(TRIM($V511))),--(TRIM($V$2:$V$518)&lt;&gt;""),--(LOWER(TRIM($V$2:$V$518))&lt;&gt;"n/a"),--(LOWER(TRIM($V$2:$V$518))&lt;&gt;"na"))&gt;1),AND($W511&lt;&gt;"",LOWER(TRIM($W511))&lt;&gt;"n/a",LOWER(TRIM($W511))&lt;&gt;"na",SUMPRODUCT(--(UPPER(TRIM($W$2:$W$518))=UPPER(TRIM($W511))),--(TRIM($W$2:$W$518)&lt;&gt;""),--(LOWER(TRIM($W$2:$W$518))&lt;&gt;"n/a"),--(LOWER(TRIM($W$2:$W$518))&lt;&gt;"na"))&gt;1),AND($X511&lt;&gt;"",LOWER(TRIM($X511))&lt;&gt;"n/a",LOWER(TRIM($X511))&lt;&gt;"na",SUMPRODUCT(--(UPPER(TRIM($X$2:$X$518))=UPPER(TRIM($X511))),--(TRIM($X$2:$X$518)&lt;&gt;""),--(LOWER(TRIM($X$2:$X$518))&lt;&gt;"n/a"),--(LOWER(TRIM($X$2:$X$518))&lt;&gt;"na"))&gt;1),AND($Y511&lt;&gt;"",LOWER(TRIM($Y511))&lt;&gt;"n/a",LOWER(TRIM($Y511))&lt;&gt;"na",SUMPRODUCT(--(UPPER(SUBSTITUTE(SUBSTITUTE(TRIM($Y$2:$Y$518),":",""),"-",""))=UPPER(SUBSTITUTE(SUBSTITUTE(TRIM($Y511),":",""),"-",""))),--(TRIM($Y$2:$Y$518)&lt;&gt;""),--(LOWER(TRIM($Y$2:$Y$518))&lt;&gt;"n/a"),--(LOWER(TRIM($Y$2:$Y$518))&lt;&gt;"na"))&gt;1),AND($AB511&lt;&gt;"",LOWER(TRIM($AB511))&lt;&gt;"n/a",LOWER(TRIM($AB511))&lt;&gt;"na",SUMPRODUCT(--(UPPER(TRIM($AB$2:$AB$518))=UPPER(TRIM($AB511))),--(TRIM($AB$2:$AB$518)&lt;&gt;""),--(LOWER(TRIM($AB$2:$AB$518))&lt;&gt;"n/a"),--(LOWER(TRIM($AB$2:$AB$518))&lt;&gt;"na"))&gt;1),AND($AH511&lt;&gt;"",LOWER(TRIM($AH511))&lt;&gt;"n/a",LOWER(TRIM($AH511))&lt;&gt;"na",SUMPRODUCT(--(UPPER(SUBSTITUTE(SUBSTITUTE(TRIM($AH$2:$AH$518),":",""),"-",""))=UPPER(SUBSTITUTE(SUBSTITUTE(TRIM($AH511),":",""),"-",""))),--(TRIM($AH$2:$AH$518)&lt;&gt;""),--(LOWER(TRIM($AH$2:$AH$518))&lt;&gt;"n/a"),--(LOWER(TRIM($AH$2:$AH$518))&lt;&gt;"na"))&gt;1),AND($AP511&lt;&gt;"",LOWER(TRIM($AP511))&lt;&gt;"n/a",LOWER(TRIM($AP511))&lt;&gt;"na",SUMPRODUCT(--(UPPER(TRIM($AP$2:$AP$518))=UPPER(TRIM($AP511))),--(TRIM($AP$2:$AP$518)&lt;&gt;""),--(LOWER(TRIM($AP$2:$AP$518))&lt;&gt;"n/a"),--(LOWER(TRIM($AP$2:$AP$518))&lt;&gt;"na"))&gt;1),AND($AQ511&lt;&gt;"",LOWER(TRIM($AQ511))&lt;&gt;"n/a",LOWER(TRIM($AQ511))&lt;&gt;"na",SUMPRODUCT(--(UPPER(TRIM($AQ$2:$AQ$518))=UPPER(TRIM($AQ511))),--(TRIM($AQ$2:$AQ$518)&lt;&gt;""),--(LOWER(TRIM($AQ$2:$AQ$518))&lt;&gt;"n/a"),--(LOWER(TRIM($AQ$2:$AQ$518))&lt;&gt;"na"))&gt;1)),"Yes","No"))</f>
        <v/>
      </c>
      <c r="F511">
        <f>IF(UPPER(TRIM($B511))&lt;&gt;"YES","", IF(OR(AND($V511&lt;&gt;"", LOWER(TRIM($V511))&lt;&gt;"n/a", LOWER(TRIM($V511))&lt;&gt;"na", SUMPRODUCT(--(UPPER(TRIM($V$2:$V$518))=UPPER(TRIM($V511))), --(UPPER(TRIM($B$2:$B$518))="YES"), --(UPPER(TRIM($G$2:$G$518)&amp;TRIM($I$2:$I$518)&amp;TRIM($J$2:$J$518))&lt;&gt;UPPER(TRIM($G511)&amp;TRIM($I511)&amp;TRIM($J511))))&gt;0), AND($W511&lt;&gt;"", LOWER(TRIM($W511))&lt;&gt;"n/a", LOWER(TRIM($W511))&lt;&gt;"na", SUMPRODUCT(--(UPPER(TRIM($W$2:$W$518))=UPPER(TRIM($W511))), --(UPPER(TRIM($B$2:$B$518))="YES"), --(UPPER(TRIM($G$2:$G$518)&amp;TRIM($I$2:$I$518)&amp;TRIM($J$2:$J$518))&lt;&gt;UPPER(TRIM($G511)&amp;TRIM($I511)&amp;TRIM($J511))))&gt;0), AND($X511&lt;&gt;"", LOWER(TRIM($X511))&lt;&gt;"n/a", LOWER(TRIM($X511))&lt;&gt;"na", SUMPRODUCT(--(UPPER(TRIM($X$2:$X$518))=UPPER(TRIM($X511))), --(UPPER(TRIM($B$2:$B$518))="YES"), --(UPPER(TRIM($G$2:$G$518)&amp;TRIM($I$2:$I$518)&amp;TRIM($J$2:$J$518))&lt;&gt;UPPER(TRIM($G511)&amp;TRIM($I511)&amp;TRIM($J511))))&gt;0), AND($Y511&lt;&gt;"", LOWER(TRIM($Y511))&lt;&gt;"n/a", LOWER(TRIM($Y511))&lt;&gt;"na", SUMPRODUCT(--(UPPER(SUBSTITUTE(SUBSTITUTE(TRIM($Y$2:$Y$518),":",""),"-",""))=UPPER(SUBSTITUTE(SUBSTITUTE(TRIM($Y511),":",""),"-",""))), --(UPPER(TRIM($B$2:$B$518))="YES"), --(UPPER(TRIM($G$2:$G$518)&amp;TRIM($I$2:$I$518)&amp;TRIM($J$2:$J$518))&lt;&gt;UPPER(TRIM($G511)&amp;TRIM($I511)&amp;TRIM($J511))))&gt;0), AND($AB511&lt;&gt;"", LOWER(TRIM($AB511))&lt;&gt;"n/a", LOWER(TRIM($AB511))&lt;&gt;"na", SUMPRODUCT(--(UPPER(TRIM($AB$2:$AB$518))=UPPER(TRIM($AB511))), --(UPPER(TRIM($B$2:$B$518))="YES"), --(UPPER(TRIM($G$2:$G$518)&amp;TRIM($I$2:$I$518)&amp;TRIM($J$2:$J$518))&lt;&gt;UPPER(TRIM($G511)&amp;TRIM($I511)&amp;TRIM($J511))))&gt;0), AND($AH511&lt;&gt;"", LOWER(TRIM($AH511))&lt;&gt;"n/a", LOWER(TRIM($AH511))&lt;&gt;"na", SUMPRODUCT(--(UPPER(SUBSTITUTE(SUBSTITUTE(TRIM($AH$2:$AH$518),":",""),"-",""))=UPPER(SUBSTITUTE(SUBSTITUTE(TRIM($AH511),":",""),"-",""))), --(UPPER(TRIM($B$2:$B$518))="YES"), --(UPPER(TRIM($G$2:$G$518)&amp;TRIM($I$2:$I$518)&amp;TRIM($J$2:$J$518))&lt;&gt;UPPER(TRIM($G511)&amp;TRIM($I511)&amp;TRIM($J511))))&gt;0), AND($AP511&lt;&gt;"", LOWER(TRIM($AP511))&lt;&gt;"n/a", LOWER(TRIM($AP511))&lt;&gt;"na", SUMPRODUCT(--(UPPER(TRIM($AP$2:$AP$518))=UPPER(TRIM($AP511))), --(UPPER(TRIM($B$2:$B$518))="YES"), --(UPPER(TRIM($G$2:$G$518)&amp;TRIM($I$2:$I$518)&amp;TRIM($J$2:$J$518))&lt;&gt;UPPER(TRIM($G511)&amp;TRIM($I511)&amp;TRIM($J511))))&gt;0), AND($AQ511&lt;&gt;"", LOWER(TRIM($AQ511))&lt;&gt;"n/a", LOWER(TRIM($AQ511))&lt;&gt;"na", SUMPRODUCT(--(UPPER(TRIM($AQ$2:$AQ$518))=UPPER(TRIM($AQ511))), --(UPPER(TRIM($B$2:$B$518))="YES"), --(UPPER(TRIM($G$2:$G$518)&amp;TRIM($I$2:$I$518)&amp;TRIM($J$2:$J$518))&lt;&gt;UPPER(TRIM($G511)&amp;TRIM($I511)&amp;TRIM($J511))))&gt;0)), "Yes", "No"))</f>
        <v/>
      </c>
      <c r="CD511">
        <f>IF($Y511="","",IF((IF(AND($BR511&lt;&gt;"Yes",$BR511&lt;&gt;"N/A"),"Power Cable, ","")&amp;IF(AND($BS511&lt;&gt;"Yes",$BS511&lt;&gt;"N/A"),"Battery, ","")&amp;IF(AND($AD511&lt;&gt;"Yes",$AD511&lt;&gt;"N/A"),"Firmware Download, ","")&amp;IF(AND(OR($AD511="Yes",$AD511="N/A"),$AE511&lt;&gt;"Yes",$AE511&lt;&gt;"N/A"),"Firmware Install, ","")&amp;IF(AND($CB511&lt;&gt;"Yes",$CB511&lt;&gt;"N/A"),"Device ID, ","")&amp;IF(AND($CC511&lt;&gt;"Yes",$CC511&lt;&gt;"N/A"),"Epic Beans Relay, ",""))="","",LEFT(IF(AND($BR511&lt;&gt;"Yes",$BR511&lt;&gt;"N/A"),"Power Cable, ","")&amp;IF(AND($BS511&lt;&gt;"Yes",$BS511&lt;&gt;"N/A"),"Battery, ","")&amp;IF(AND($AD511&lt;&gt;"Yes",$AD511&lt;&gt;"N/A"),"Firmware Download, ","")&amp;IF(AND(OR($AD511="Yes",$AD511="N/A"),$AE511&lt;&gt;"Yes",$AE511&lt;&gt;"N/A"),"Firmware Install, ","")&amp;IF(AND($CB511&lt;&gt;"Yes",$CB511&lt;&gt;"N/A"),"Device ID, ","")&amp;IF(AND($CC511&lt;&gt;"Yes",$CC511&lt;&gt;"N/A"),"Epic Beans Relay, ",""),LEN(IF(AND($BR511&lt;&gt;"Yes",$BR511&lt;&gt;"N/A"),"Power Cable, ","")&amp;IF(AND($BS511&lt;&gt;"Yes",$BS511&lt;&gt;"N/A"),"Battery, ","")&amp;IF(AND($AD511&lt;&gt;"Yes",$AD511&lt;&gt;"N/A"),"Firmware Download, ","")&amp;IF(AND(OR($AD511="Yes",$AD511="N/A"),$AE511&lt;&gt;"Yes",$AE511&lt;&gt;"N/A"),"Firmware Install, ","")&amp;IF(AND($CB511&lt;&gt;"Yes",$CB511&lt;&gt;"N/A"),"Device ID, ","")&amp;IF(AND($CC511&lt;&gt;"Yes",$CC511&lt;&gt;"N/A"),"Epic Beans Relay, ",""))-2)))</f>
        <v/>
      </c>
      <c r="CE511">
        <f>IF($Y511="","",IF($CD511="","Yes","Blocked"))</f>
        <v/>
      </c>
      <c r="CW511">
        <f>IF($S511="","",IF(UPPER(TRIM($S511))&lt;&gt;"PASS","",IF(LEN(TRIM($BY511))&gt;0,"NOTES_PRESENT",IF(LEN(TRIM($T511))=0,"SET_NA",IF(OR(LOWER(TRIM($T511))="na",LOWER(TRIM($T511))="n/a"),"OK","MANUAL_OVERRIDE")))))</f>
        <v/>
      </c>
    </row>
    <row r="512">
      <c r="B512" t="inlineStr">
        <is>
          <t>No</t>
        </is>
      </c>
      <c r="C512" t="inlineStr">
        <is>
          <t>No</t>
        </is>
      </c>
      <c r="D512">
        <f>IF($B512&lt;&gt;"Yes","",IF($C512="No","Yes",IF($C512="Yes","No","")))</f>
        <v/>
      </c>
      <c r="E512">
        <f>IF($A512="","",IF(OR(AND($V512&lt;&gt;"",LOWER(TRIM($V512))&lt;&gt;"n/a",LOWER(TRIM($V512))&lt;&gt;"na",SUMPRODUCT(--(UPPER(TRIM($V$2:$V$518))=UPPER(TRIM($V512))),--(TRIM($V$2:$V$518)&lt;&gt;""),--(LOWER(TRIM($V$2:$V$518))&lt;&gt;"n/a"),--(LOWER(TRIM($V$2:$V$518))&lt;&gt;"na"))&gt;1),AND($W512&lt;&gt;"",LOWER(TRIM($W512))&lt;&gt;"n/a",LOWER(TRIM($W512))&lt;&gt;"na",SUMPRODUCT(--(UPPER(TRIM($W$2:$W$518))=UPPER(TRIM($W512))),--(TRIM($W$2:$W$518)&lt;&gt;""),--(LOWER(TRIM($W$2:$W$518))&lt;&gt;"n/a"),--(LOWER(TRIM($W$2:$W$518))&lt;&gt;"na"))&gt;1),AND($X512&lt;&gt;"",LOWER(TRIM($X512))&lt;&gt;"n/a",LOWER(TRIM($X512))&lt;&gt;"na",SUMPRODUCT(--(UPPER(TRIM($X$2:$X$518))=UPPER(TRIM($X512))),--(TRIM($X$2:$X$518)&lt;&gt;""),--(LOWER(TRIM($X$2:$X$518))&lt;&gt;"n/a"),--(LOWER(TRIM($X$2:$X$518))&lt;&gt;"na"))&gt;1),AND($Y512&lt;&gt;"",LOWER(TRIM($Y512))&lt;&gt;"n/a",LOWER(TRIM($Y512))&lt;&gt;"na",SUMPRODUCT(--(UPPER(SUBSTITUTE(SUBSTITUTE(TRIM($Y$2:$Y$518),":",""),"-",""))=UPPER(SUBSTITUTE(SUBSTITUTE(TRIM($Y512),":",""),"-",""))),--(TRIM($Y$2:$Y$518)&lt;&gt;""),--(LOWER(TRIM($Y$2:$Y$518))&lt;&gt;"n/a"),--(LOWER(TRIM($Y$2:$Y$518))&lt;&gt;"na"))&gt;1),AND($AB512&lt;&gt;"",LOWER(TRIM($AB512))&lt;&gt;"n/a",LOWER(TRIM($AB512))&lt;&gt;"na",SUMPRODUCT(--(UPPER(TRIM($AB$2:$AB$518))=UPPER(TRIM($AB512))),--(TRIM($AB$2:$AB$518)&lt;&gt;""),--(LOWER(TRIM($AB$2:$AB$518))&lt;&gt;"n/a"),--(LOWER(TRIM($AB$2:$AB$518))&lt;&gt;"na"))&gt;1),AND($AH512&lt;&gt;"",LOWER(TRIM($AH512))&lt;&gt;"n/a",LOWER(TRIM($AH512))&lt;&gt;"na",SUMPRODUCT(--(UPPER(SUBSTITUTE(SUBSTITUTE(TRIM($AH$2:$AH$518),":",""),"-",""))=UPPER(SUBSTITUTE(SUBSTITUTE(TRIM($AH512),":",""),"-",""))),--(TRIM($AH$2:$AH$518)&lt;&gt;""),--(LOWER(TRIM($AH$2:$AH$518))&lt;&gt;"n/a"),--(LOWER(TRIM($AH$2:$AH$518))&lt;&gt;"na"))&gt;1),AND($AP512&lt;&gt;"",LOWER(TRIM($AP512))&lt;&gt;"n/a",LOWER(TRIM($AP512))&lt;&gt;"na",SUMPRODUCT(--(UPPER(TRIM($AP$2:$AP$518))=UPPER(TRIM($AP512))),--(TRIM($AP$2:$AP$518)&lt;&gt;""),--(LOWER(TRIM($AP$2:$AP$518))&lt;&gt;"n/a"),--(LOWER(TRIM($AP$2:$AP$518))&lt;&gt;"na"))&gt;1),AND($AQ512&lt;&gt;"",LOWER(TRIM($AQ512))&lt;&gt;"n/a",LOWER(TRIM($AQ512))&lt;&gt;"na",SUMPRODUCT(--(UPPER(TRIM($AQ$2:$AQ$518))=UPPER(TRIM($AQ512))),--(TRIM($AQ$2:$AQ$518)&lt;&gt;""),--(LOWER(TRIM($AQ$2:$AQ$518))&lt;&gt;"n/a"),--(LOWER(TRIM($AQ$2:$AQ$518))&lt;&gt;"na"))&gt;1)),"Yes","No"))</f>
        <v/>
      </c>
      <c r="F512">
        <f>IF(UPPER(TRIM($B512))&lt;&gt;"YES","", IF(OR(AND($V512&lt;&gt;"", LOWER(TRIM($V512))&lt;&gt;"n/a", LOWER(TRIM($V512))&lt;&gt;"na", SUMPRODUCT(--(UPPER(TRIM($V$2:$V$518))=UPPER(TRIM($V512))), --(UPPER(TRIM($B$2:$B$518))="YES"), --(UPPER(TRIM($G$2:$G$518)&amp;TRIM($I$2:$I$518)&amp;TRIM($J$2:$J$518))&lt;&gt;UPPER(TRIM($G512)&amp;TRIM($I512)&amp;TRIM($J512))))&gt;0), AND($W512&lt;&gt;"", LOWER(TRIM($W512))&lt;&gt;"n/a", LOWER(TRIM($W512))&lt;&gt;"na", SUMPRODUCT(--(UPPER(TRIM($W$2:$W$518))=UPPER(TRIM($W512))), --(UPPER(TRIM($B$2:$B$518))="YES"), --(UPPER(TRIM($G$2:$G$518)&amp;TRIM($I$2:$I$518)&amp;TRIM($J$2:$J$518))&lt;&gt;UPPER(TRIM($G512)&amp;TRIM($I512)&amp;TRIM($J512))))&gt;0), AND($X512&lt;&gt;"", LOWER(TRIM($X512))&lt;&gt;"n/a", LOWER(TRIM($X512))&lt;&gt;"na", SUMPRODUCT(--(UPPER(TRIM($X$2:$X$518))=UPPER(TRIM($X512))), --(UPPER(TRIM($B$2:$B$518))="YES"), --(UPPER(TRIM($G$2:$G$518)&amp;TRIM($I$2:$I$518)&amp;TRIM($J$2:$J$518))&lt;&gt;UPPER(TRIM($G512)&amp;TRIM($I512)&amp;TRIM($J512))))&gt;0), AND($Y512&lt;&gt;"", LOWER(TRIM($Y512))&lt;&gt;"n/a", LOWER(TRIM($Y512))&lt;&gt;"na", SUMPRODUCT(--(UPPER(SUBSTITUTE(SUBSTITUTE(TRIM($Y$2:$Y$518),":",""),"-",""))=UPPER(SUBSTITUTE(SUBSTITUTE(TRIM($Y512),":",""),"-",""))), --(UPPER(TRIM($B$2:$B$518))="YES"), --(UPPER(TRIM($G$2:$G$518)&amp;TRIM($I$2:$I$518)&amp;TRIM($J$2:$J$518))&lt;&gt;UPPER(TRIM($G512)&amp;TRIM($I512)&amp;TRIM($J512))))&gt;0), AND($AB512&lt;&gt;"", LOWER(TRIM($AB512))&lt;&gt;"n/a", LOWER(TRIM($AB512))&lt;&gt;"na", SUMPRODUCT(--(UPPER(TRIM($AB$2:$AB$518))=UPPER(TRIM($AB512))), --(UPPER(TRIM($B$2:$B$518))="YES"), --(UPPER(TRIM($G$2:$G$518)&amp;TRIM($I$2:$I$518)&amp;TRIM($J$2:$J$518))&lt;&gt;UPPER(TRIM($G512)&amp;TRIM($I512)&amp;TRIM($J512))))&gt;0), AND($AH512&lt;&gt;"", LOWER(TRIM($AH512))&lt;&gt;"n/a", LOWER(TRIM($AH512))&lt;&gt;"na", SUMPRODUCT(--(UPPER(SUBSTITUTE(SUBSTITUTE(TRIM($AH$2:$AH$518),":",""),"-",""))=UPPER(SUBSTITUTE(SUBSTITUTE(TRIM($AH512),":",""),"-",""))), --(UPPER(TRIM($B$2:$B$518))="YES"), --(UPPER(TRIM($G$2:$G$518)&amp;TRIM($I$2:$I$518)&amp;TRIM($J$2:$J$518))&lt;&gt;UPPER(TRIM($G512)&amp;TRIM($I512)&amp;TRIM($J512))))&gt;0), AND($AP512&lt;&gt;"", LOWER(TRIM($AP512))&lt;&gt;"n/a", LOWER(TRIM($AP512))&lt;&gt;"na", SUMPRODUCT(--(UPPER(TRIM($AP$2:$AP$518))=UPPER(TRIM($AP512))), --(UPPER(TRIM($B$2:$B$518))="YES"), --(UPPER(TRIM($G$2:$G$518)&amp;TRIM($I$2:$I$518)&amp;TRIM($J$2:$J$518))&lt;&gt;UPPER(TRIM($G512)&amp;TRIM($I512)&amp;TRIM($J512))))&gt;0), AND($AQ512&lt;&gt;"", LOWER(TRIM($AQ512))&lt;&gt;"n/a", LOWER(TRIM($AQ512))&lt;&gt;"na", SUMPRODUCT(--(UPPER(TRIM($AQ$2:$AQ$518))=UPPER(TRIM($AQ512))), --(UPPER(TRIM($B$2:$B$518))="YES"), --(UPPER(TRIM($G$2:$G$518)&amp;TRIM($I$2:$I$518)&amp;TRIM($J$2:$J$518))&lt;&gt;UPPER(TRIM($G512)&amp;TRIM($I512)&amp;TRIM($J512))))&gt;0)), "Yes", "No"))</f>
        <v/>
      </c>
      <c r="CD512">
        <f>IF($Y512="","",IF((IF(AND($BR512&lt;&gt;"Yes",$BR512&lt;&gt;"N/A"),"Power Cable, ","")&amp;IF(AND($BS512&lt;&gt;"Yes",$BS512&lt;&gt;"N/A"),"Battery, ","")&amp;IF(AND($AD512&lt;&gt;"Yes",$AD512&lt;&gt;"N/A"),"Firmware Download, ","")&amp;IF(AND(OR($AD512="Yes",$AD512="N/A"),$AE512&lt;&gt;"Yes",$AE512&lt;&gt;"N/A"),"Firmware Install, ","")&amp;IF(AND($CB512&lt;&gt;"Yes",$CB512&lt;&gt;"N/A"),"Device ID, ","")&amp;IF(AND($CC512&lt;&gt;"Yes",$CC512&lt;&gt;"N/A"),"Epic Beans Relay, ",""))="","",LEFT(IF(AND($BR512&lt;&gt;"Yes",$BR512&lt;&gt;"N/A"),"Power Cable, ","")&amp;IF(AND($BS512&lt;&gt;"Yes",$BS512&lt;&gt;"N/A"),"Battery, ","")&amp;IF(AND($AD512&lt;&gt;"Yes",$AD512&lt;&gt;"N/A"),"Firmware Download, ","")&amp;IF(AND(OR($AD512="Yes",$AD512="N/A"),$AE512&lt;&gt;"Yes",$AE512&lt;&gt;"N/A"),"Firmware Install, ","")&amp;IF(AND($CB512&lt;&gt;"Yes",$CB512&lt;&gt;"N/A"),"Device ID, ","")&amp;IF(AND($CC512&lt;&gt;"Yes",$CC512&lt;&gt;"N/A"),"Epic Beans Relay, ",""),LEN(IF(AND($BR512&lt;&gt;"Yes",$BR512&lt;&gt;"N/A"),"Power Cable, ","")&amp;IF(AND($BS512&lt;&gt;"Yes",$BS512&lt;&gt;"N/A"),"Battery, ","")&amp;IF(AND($AD512&lt;&gt;"Yes",$AD512&lt;&gt;"N/A"),"Firmware Download, ","")&amp;IF(AND(OR($AD512="Yes",$AD512="N/A"),$AE512&lt;&gt;"Yes",$AE512&lt;&gt;"N/A"),"Firmware Install, ","")&amp;IF(AND($CB512&lt;&gt;"Yes",$CB512&lt;&gt;"N/A"),"Device ID, ","")&amp;IF(AND($CC512&lt;&gt;"Yes",$CC512&lt;&gt;"N/A"),"Epic Beans Relay, ",""))-2)))</f>
        <v/>
      </c>
      <c r="CE512">
        <f>IF($Y512="","",IF($CD512="","Yes","Blocked"))</f>
        <v/>
      </c>
      <c r="CW512">
        <f>IF($S512="","",IF(UPPER(TRIM($S512))&lt;&gt;"PASS","",IF(LEN(TRIM($BY512))&gt;0,"NOTES_PRESENT",IF(LEN(TRIM($T512))=0,"SET_NA",IF(OR(LOWER(TRIM($T512))="na",LOWER(TRIM($T512))="n/a"),"OK","MANUAL_OVERRIDE")))))</f>
        <v/>
      </c>
    </row>
    <row r="513">
      <c r="B513" t="inlineStr">
        <is>
          <t>No</t>
        </is>
      </c>
      <c r="C513" t="inlineStr">
        <is>
          <t>No</t>
        </is>
      </c>
      <c r="D513">
        <f>IF($B513&lt;&gt;"Yes","",IF($C513="No","Yes",IF($C513="Yes","No","")))</f>
        <v/>
      </c>
      <c r="E513">
        <f>IF($A513="","",IF(OR(AND($V513&lt;&gt;"",LOWER(TRIM($V513))&lt;&gt;"n/a",LOWER(TRIM($V513))&lt;&gt;"na",SUMPRODUCT(--(UPPER(TRIM($V$2:$V$518))=UPPER(TRIM($V513))),--(TRIM($V$2:$V$518)&lt;&gt;""),--(LOWER(TRIM($V$2:$V$518))&lt;&gt;"n/a"),--(LOWER(TRIM($V$2:$V$518))&lt;&gt;"na"))&gt;1),AND($W513&lt;&gt;"",LOWER(TRIM($W513))&lt;&gt;"n/a",LOWER(TRIM($W513))&lt;&gt;"na",SUMPRODUCT(--(UPPER(TRIM($W$2:$W$518))=UPPER(TRIM($W513))),--(TRIM($W$2:$W$518)&lt;&gt;""),--(LOWER(TRIM($W$2:$W$518))&lt;&gt;"n/a"),--(LOWER(TRIM($W$2:$W$518))&lt;&gt;"na"))&gt;1),AND($X513&lt;&gt;"",LOWER(TRIM($X513))&lt;&gt;"n/a",LOWER(TRIM($X513))&lt;&gt;"na",SUMPRODUCT(--(UPPER(TRIM($X$2:$X$518))=UPPER(TRIM($X513))),--(TRIM($X$2:$X$518)&lt;&gt;""),--(LOWER(TRIM($X$2:$X$518))&lt;&gt;"n/a"),--(LOWER(TRIM($X$2:$X$518))&lt;&gt;"na"))&gt;1),AND($Y513&lt;&gt;"",LOWER(TRIM($Y513))&lt;&gt;"n/a",LOWER(TRIM($Y513))&lt;&gt;"na",SUMPRODUCT(--(UPPER(SUBSTITUTE(SUBSTITUTE(TRIM($Y$2:$Y$518),":",""),"-",""))=UPPER(SUBSTITUTE(SUBSTITUTE(TRIM($Y513),":",""),"-",""))),--(TRIM($Y$2:$Y$518)&lt;&gt;""),--(LOWER(TRIM($Y$2:$Y$518))&lt;&gt;"n/a"),--(LOWER(TRIM($Y$2:$Y$518))&lt;&gt;"na"))&gt;1),AND($AB513&lt;&gt;"",LOWER(TRIM($AB513))&lt;&gt;"n/a",LOWER(TRIM($AB513))&lt;&gt;"na",SUMPRODUCT(--(UPPER(TRIM($AB$2:$AB$518))=UPPER(TRIM($AB513))),--(TRIM($AB$2:$AB$518)&lt;&gt;""),--(LOWER(TRIM($AB$2:$AB$518))&lt;&gt;"n/a"),--(LOWER(TRIM($AB$2:$AB$518))&lt;&gt;"na"))&gt;1),AND($AH513&lt;&gt;"",LOWER(TRIM($AH513))&lt;&gt;"n/a",LOWER(TRIM($AH513))&lt;&gt;"na",SUMPRODUCT(--(UPPER(SUBSTITUTE(SUBSTITUTE(TRIM($AH$2:$AH$518),":",""),"-",""))=UPPER(SUBSTITUTE(SUBSTITUTE(TRIM($AH513),":",""),"-",""))),--(TRIM($AH$2:$AH$518)&lt;&gt;""),--(LOWER(TRIM($AH$2:$AH$518))&lt;&gt;"n/a"),--(LOWER(TRIM($AH$2:$AH$518))&lt;&gt;"na"))&gt;1),AND($AP513&lt;&gt;"",LOWER(TRIM($AP513))&lt;&gt;"n/a",LOWER(TRIM($AP513))&lt;&gt;"na",SUMPRODUCT(--(UPPER(TRIM($AP$2:$AP$518))=UPPER(TRIM($AP513))),--(TRIM($AP$2:$AP$518)&lt;&gt;""),--(LOWER(TRIM($AP$2:$AP$518))&lt;&gt;"n/a"),--(LOWER(TRIM($AP$2:$AP$518))&lt;&gt;"na"))&gt;1),AND($AQ513&lt;&gt;"",LOWER(TRIM($AQ513))&lt;&gt;"n/a",LOWER(TRIM($AQ513))&lt;&gt;"na",SUMPRODUCT(--(UPPER(TRIM($AQ$2:$AQ$518))=UPPER(TRIM($AQ513))),--(TRIM($AQ$2:$AQ$518)&lt;&gt;""),--(LOWER(TRIM($AQ$2:$AQ$518))&lt;&gt;"n/a"),--(LOWER(TRIM($AQ$2:$AQ$518))&lt;&gt;"na"))&gt;1)),"Yes","No"))</f>
        <v/>
      </c>
      <c r="F513">
        <f>IF(UPPER(TRIM($B513))&lt;&gt;"YES","", IF(OR(AND($V513&lt;&gt;"", LOWER(TRIM($V513))&lt;&gt;"n/a", LOWER(TRIM($V513))&lt;&gt;"na", SUMPRODUCT(--(UPPER(TRIM($V$2:$V$518))=UPPER(TRIM($V513))), --(UPPER(TRIM($B$2:$B$518))="YES"), --(UPPER(TRIM($G$2:$G$518)&amp;TRIM($I$2:$I$518)&amp;TRIM($J$2:$J$518))&lt;&gt;UPPER(TRIM($G513)&amp;TRIM($I513)&amp;TRIM($J513))))&gt;0), AND($W513&lt;&gt;"", LOWER(TRIM($W513))&lt;&gt;"n/a", LOWER(TRIM($W513))&lt;&gt;"na", SUMPRODUCT(--(UPPER(TRIM($W$2:$W$518))=UPPER(TRIM($W513))), --(UPPER(TRIM($B$2:$B$518))="YES"), --(UPPER(TRIM($G$2:$G$518)&amp;TRIM($I$2:$I$518)&amp;TRIM($J$2:$J$518))&lt;&gt;UPPER(TRIM($G513)&amp;TRIM($I513)&amp;TRIM($J513))))&gt;0), AND($X513&lt;&gt;"", LOWER(TRIM($X513))&lt;&gt;"n/a", LOWER(TRIM($X513))&lt;&gt;"na", SUMPRODUCT(--(UPPER(TRIM($X$2:$X$518))=UPPER(TRIM($X513))), --(UPPER(TRIM($B$2:$B$518))="YES"), --(UPPER(TRIM($G$2:$G$518)&amp;TRIM($I$2:$I$518)&amp;TRIM($J$2:$J$518))&lt;&gt;UPPER(TRIM($G513)&amp;TRIM($I513)&amp;TRIM($J513))))&gt;0), AND($Y513&lt;&gt;"", LOWER(TRIM($Y513))&lt;&gt;"n/a", LOWER(TRIM($Y513))&lt;&gt;"na", SUMPRODUCT(--(UPPER(SUBSTITUTE(SUBSTITUTE(TRIM($Y$2:$Y$518),":",""),"-",""))=UPPER(SUBSTITUTE(SUBSTITUTE(TRIM($Y513),":",""),"-",""))), --(UPPER(TRIM($B$2:$B$518))="YES"), --(UPPER(TRIM($G$2:$G$518)&amp;TRIM($I$2:$I$518)&amp;TRIM($J$2:$J$518))&lt;&gt;UPPER(TRIM($G513)&amp;TRIM($I513)&amp;TRIM($J513))))&gt;0), AND($AB513&lt;&gt;"", LOWER(TRIM($AB513))&lt;&gt;"n/a", LOWER(TRIM($AB513))&lt;&gt;"na", SUMPRODUCT(--(UPPER(TRIM($AB$2:$AB$518))=UPPER(TRIM($AB513))), --(UPPER(TRIM($B$2:$B$518))="YES"), --(UPPER(TRIM($G$2:$G$518)&amp;TRIM($I$2:$I$518)&amp;TRIM($J$2:$J$518))&lt;&gt;UPPER(TRIM($G513)&amp;TRIM($I513)&amp;TRIM($J513))))&gt;0), AND($AH513&lt;&gt;"", LOWER(TRIM($AH513))&lt;&gt;"n/a", LOWER(TRIM($AH513))&lt;&gt;"na", SUMPRODUCT(--(UPPER(SUBSTITUTE(SUBSTITUTE(TRIM($AH$2:$AH$518),":",""),"-",""))=UPPER(SUBSTITUTE(SUBSTITUTE(TRIM($AH513),":",""),"-",""))), --(UPPER(TRIM($B$2:$B$518))="YES"), --(UPPER(TRIM($G$2:$G$518)&amp;TRIM($I$2:$I$518)&amp;TRIM($J$2:$J$518))&lt;&gt;UPPER(TRIM($G513)&amp;TRIM($I513)&amp;TRIM($J513))))&gt;0), AND($AP513&lt;&gt;"", LOWER(TRIM($AP513))&lt;&gt;"n/a", LOWER(TRIM($AP513))&lt;&gt;"na", SUMPRODUCT(--(UPPER(TRIM($AP$2:$AP$518))=UPPER(TRIM($AP513))), --(UPPER(TRIM($B$2:$B$518))="YES"), --(UPPER(TRIM($G$2:$G$518)&amp;TRIM($I$2:$I$518)&amp;TRIM($J$2:$J$518))&lt;&gt;UPPER(TRIM($G513)&amp;TRIM($I513)&amp;TRIM($J513))))&gt;0), AND($AQ513&lt;&gt;"", LOWER(TRIM($AQ513))&lt;&gt;"n/a", LOWER(TRIM($AQ513))&lt;&gt;"na", SUMPRODUCT(--(UPPER(TRIM($AQ$2:$AQ$518))=UPPER(TRIM($AQ513))), --(UPPER(TRIM($B$2:$B$518))="YES"), --(UPPER(TRIM($G$2:$G$518)&amp;TRIM($I$2:$I$518)&amp;TRIM($J$2:$J$518))&lt;&gt;UPPER(TRIM($G513)&amp;TRIM($I513)&amp;TRIM($J513))))&gt;0)), "Yes", "No"))</f>
        <v/>
      </c>
      <c r="CD513">
        <f>IF($Y513="","",IF((IF(AND($BR513&lt;&gt;"Yes",$BR513&lt;&gt;"N/A"),"Power Cable, ","")&amp;IF(AND($BS513&lt;&gt;"Yes",$BS513&lt;&gt;"N/A"),"Battery, ","")&amp;IF(AND($AD513&lt;&gt;"Yes",$AD513&lt;&gt;"N/A"),"Firmware Download, ","")&amp;IF(AND(OR($AD513="Yes",$AD513="N/A"),$AE513&lt;&gt;"Yes",$AE513&lt;&gt;"N/A"),"Firmware Install, ","")&amp;IF(AND($CB513&lt;&gt;"Yes",$CB513&lt;&gt;"N/A"),"Device ID, ","")&amp;IF(AND($CC513&lt;&gt;"Yes",$CC513&lt;&gt;"N/A"),"Epic Beans Relay, ",""))="","",LEFT(IF(AND($BR513&lt;&gt;"Yes",$BR513&lt;&gt;"N/A"),"Power Cable, ","")&amp;IF(AND($BS513&lt;&gt;"Yes",$BS513&lt;&gt;"N/A"),"Battery, ","")&amp;IF(AND($AD513&lt;&gt;"Yes",$AD513&lt;&gt;"N/A"),"Firmware Download, ","")&amp;IF(AND(OR($AD513="Yes",$AD513="N/A"),$AE513&lt;&gt;"Yes",$AE513&lt;&gt;"N/A"),"Firmware Install, ","")&amp;IF(AND($CB513&lt;&gt;"Yes",$CB513&lt;&gt;"N/A"),"Device ID, ","")&amp;IF(AND($CC513&lt;&gt;"Yes",$CC513&lt;&gt;"N/A"),"Epic Beans Relay, ",""),LEN(IF(AND($BR513&lt;&gt;"Yes",$BR513&lt;&gt;"N/A"),"Power Cable, ","")&amp;IF(AND($BS513&lt;&gt;"Yes",$BS513&lt;&gt;"N/A"),"Battery, ","")&amp;IF(AND($AD513&lt;&gt;"Yes",$AD513&lt;&gt;"N/A"),"Firmware Download, ","")&amp;IF(AND(OR($AD513="Yes",$AD513="N/A"),$AE513&lt;&gt;"Yes",$AE513&lt;&gt;"N/A"),"Firmware Install, ","")&amp;IF(AND($CB513&lt;&gt;"Yes",$CB513&lt;&gt;"N/A"),"Device ID, ","")&amp;IF(AND($CC513&lt;&gt;"Yes",$CC513&lt;&gt;"N/A"),"Epic Beans Relay, ",""))-2)))</f>
        <v/>
      </c>
      <c r="CE513">
        <f>IF($Y513="","",IF($CD513="","Yes","Blocked"))</f>
        <v/>
      </c>
      <c r="CW513">
        <f>IF($S513="","",IF(UPPER(TRIM($S513))&lt;&gt;"PASS","",IF(LEN(TRIM($BY513))&gt;0,"NOTES_PRESENT",IF(LEN(TRIM($T513))=0,"SET_NA",IF(OR(LOWER(TRIM($T513))="na",LOWER(TRIM($T513))="n/a"),"OK","MANUAL_OVERRIDE")))))</f>
        <v/>
      </c>
    </row>
    <row r="514">
      <c r="B514" t="inlineStr">
        <is>
          <t>No</t>
        </is>
      </c>
      <c r="C514" t="inlineStr">
        <is>
          <t>No</t>
        </is>
      </c>
      <c r="D514">
        <f>IF($B514&lt;&gt;"Yes","",IF($C514="No","Yes",IF($C514="Yes","No","")))</f>
        <v/>
      </c>
      <c r="E514">
        <f>IF($A514="","",IF(OR(AND($V514&lt;&gt;"",LOWER(TRIM($V514))&lt;&gt;"n/a",LOWER(TRIM($V514))&lt;&gt;"na",SUMPRODUCT(--(UPPER(TRIM($V$2:$V$518))=UPPER(TRIM($V514))),--(TRIM($V$2:$V$518)&lt;&gt;""),--(LOWER(TRIM($V$2:$V$518))&lt;&gt;"n/a"),--(LOWER(TRIM($V$2:$V$518))&lt;&gt;"na"))&gt;1),AND($W514&lt;&gt;"",LOWER(TRIM($W514))&lt;&gt;"n/a",LOWER(TRIM($W514))&lt;&gt;"na",SUMPRODUCT(--(UPPER(TRIM($W$2:$W$518))=UPPER(TRIM($W514))),--(TRIM($W$2:$W$518)&lt;&gt;""),--(LOWER(TRIM($W$2:$W$518))&lt;&gt;"n/a"),--(LOWER(TRIM($W$2:$W$518))&lt;&gt;"na"))&gt;1),AND($X514&lt;&gt;"",LOWER(TRIM($X514))&lt;&gt;"n/a",LOWER(TRIM($X514))&lt;&gt;"na",SUMPRODUCT(--(UPPER(TRIM($X$2:$X$518))=UPPER(TRIM($X514))),--(TRIM($X$2:$X$518)&lt;&gt;""),--(LOWER(TRIM($X$2:$X$518))&lt;&gt;"n/a"),--(LOWER(TRIM($X$2:$X$518))&lt;&gt;"na"))&gt;1),AND($Y514&lt;&gt;"",LOWER(TRIM($Y514))&lt;&gt;"n/a",LOWER(TRIM($Y514))&lt;&gt;"na",SUMPRODUCT(--(UPPER(SUBSTITUTE(SUBSTITUTE(TRIM($Y$2:$Y$518),":",""),"-",""))=UPPER(SUBSTITUTE(SUBSTITUTE(TRIM($Y514),":",""),"-",""))),--(TRIM($Y$2:$Y$518)&lt;&gt;""),--(LOWER(TRIM($Y$2:$Y$518))&lt;&gt;"n/a"),--(LOWER(TRIM($Y$2:$Y$518))&lt;&gt;"na"))&gt;1),AND($AB514&lt;&gt;"",LOWER(TRIM($AB514))&lt;&gt;"n/a",LOWER(TRIM($AB514))&lt;&gt;"na",SUMPRODUCT(--(UPPER(TRIM($AB$2:$AB$518))=UPPER(TRIM($AB514))),--(TRIM($AB$2:$AB$518)&lt;&gt;""),--(LOWER(TRIM($AB$2:$AB$518))&lt;&gt;"n/a"),--(LOWER(TRIM($AB$2:$AB$518))&lt;&gt;"na"))&gt;1),AND($AH514&lt;&gt;"",LOWER(TRIM($AH514))&lt;&gt;"n/a",LOWER(TRIM($AH514))&lt;&gt;"na",SUMPRODUCT(--(UPPER(SUBSTITUTE(SUBSTITUTE(TRIM($AH$2:$AH$518),":",""),"-",""))=UPPER(SUBSTITUTE(SUBSTITUTE(TRIM($AH514),":",""),"-",""))),--(TRIM($AH$2:$AH$518)&lt;&gt;""),--(LOWER(TRIM($AH$2:$AH$518))&lt;&gt;"n/a"),--(LOWER(TRIM($AH$2:$AH$518))&lt;&gt;"na"))&gt;1),AND($AP514&lt;&gt;"",LOWER(TRIM($AP514))&lt;&gt;"n/a",LOWER(TRIM($AP514))&lt;&gt;"na",SUMPRODUCT(--(UPPER(TRIM($AP$2:$AP$518))=UPPER(TRIM($AP514))),--(TRIM($AP$2:$AP$518)&lt;&gt;""),--(LOWER(TRIM($AP$2:$AP$518))&lt;&gt;"n/a"),--(LOWER(TRIM($AP$2:$AP$518))&lt;&gt;"na"))&gt;1),AND($AQ514&lt;&gt;"",LOWER(TRIM($AQ514))&lt;&gt;"n/a",LOWER(TRIM($AQ514))&lt;&gt;"na",SUMPRODUCT(--(UPPER(TRIM($AQ$2:$AQ$518))=UPPER(TRIM($AQ514))),--(TRIM($AQ$2:$AQ$518)&lt;&gt;""),--(LOWER(TRIM($AQ$2:$AQ$518))&lt;&gt;"n/a"),--(LOWER(TRIM($AQ$2:$AQ$518))&lt;&gt;"na"))&gt;1)),"Yes","No"))</f>
        <v/>
      </c>
      <c r="F514">
        <f>IF(UPPER(TRIM($B514))&lt;&gt;"YES","", IF(OR(AND($V514&lt;&gt;"", LOWER(TRIM($V514))&lt;&gt;"n/a", LOWER(TRIM($V514))&lt;&gt;"na", SUMPRODUCT(--(UPPER(TRIM($V$2:$V$518))=UPPER(TRIM($V514))), --(UPPER(TRIM($B$2:$B$518))="YES"), --(UPPER(TRIM($G$2:$G$518)&amp;TRIM($I$2:$I$518)&amp;TRIM($J$2:$J$518))&lt;&gt;UPPER(TRIM($G514)&amp;TRIM($I514)&amp;TRIM($J514))))&gt;0), AND($W514&lt;&gt;"", LOWER(TRIM($W514))&lt;&gt;"n/a", LOWER(TRIM($W514))&lt;&gt;"na", SUMPRODUCT(--(UPPER(TRIM($W$2:$W$518))=UPPER(TRIM($W514))), --(UPPER(TRIM($B$2:$B$518))="YES"), --(UPPER(TRIM($G$2:$G$518)&amp;TRIM($I$2:$I$518)&amp;TRIM($J$2:$J$518))&lt;&gt;UPPER(TRIM($G514)&amp;TRIM($I514)&amp;TRIM($J514))))&gt;0), AND($X514&lt;&gt;"", LOWER(TRIM($X514))&lt;&gt;"n/a", LOWER(TRIM($X514))&lt;&gt;"na", SUMPRODUCT(--(UPPER(TRIM($X$2:$X$518))=UPPER(TRIM($X514))), --(UPPER(TRIM($B$2:$B$518))="YES"), --(UPPER(TRIM($G$2:$G$518)&amp;TRIM($I$2:$I$518)&amp;TRIM($J$2:$J$518))&lt;&gt;UPPER(TRIM($G514)&amp;TRIM($I514)&amp;TRIM($J514))))&gt;0), AND($Y514&lt;&gt;"", LOWER(TRIM($Y514))&lt;&gt;"n/a", LOWER(TRIM($Y514))&lt;&gt;"na", SUMPRODUCT(--(UPPER(SUBSTITUTE(SUBSTITUTE(TRIM($Y$2:$Y$518),":",""),"-",""))=UPPER(SUBSTITUTE(SUBSTITUTE(TRIM($Y514),":",""),"-",""))), --(UPPER(TRIM($B$2:$B$518))="YES"), --(UPPER(TRIM($G$2:$G$518)&amp;TRIM($I$2:$I$518)&amp;TRIM($J$2:$J$518))&lt;&gt;UPPER(TRIM($G514)&amp;TRIM($I514)&amp;TRIM($J514))))&gt;0), AND($AB514&lt;&gt;"", LOWER(TRIM($AB514))&lt;&gt;"n/a", LOWER(TRIM($AB514))&lt;&gt;"na", SUMPRODUCT(--(UPPER(TRIM($AB$2:$AB$518))=UPPER(TRIM($AB514))), --(UPPER(TRIM($B$2:$B$518))="YES"), --(UPPER(TRIM($G$2:$G$518)&amp;TRIM($I$2:$I$518)&amp;TRIM($J$2:$J$518))&lt;&gt;UPPER(TRIM($G514)&amp;TRIM($I514)&amp;TRIM($J514))))&gt;0), AND($AH514&lt;&gt;"", LOWER(TRIM($AH514))&lt;&gt;"n/a", LOWER(TRIM($AH514))&lt;&gt;"na", SUMPRODUCT(--(UPPER(SUBSTITUTE(SUBSTITUTE(TRIM($AH$2:$AH$518),":",""),"-",""))=UPPER(SUBSTITUTE(SUBSTITUTE(TRIM($AH514),":",""),"-",""))), --(UPPER(TRIM($B$2:$B$518))="YES"), --(UPPER(TRIM($G$2:$G$518)&amp;TRIM($I$2:$I$518)&amp;TRIM($J$2:$J$518))&lt;&gt;UPPER(TRIM($G514)&amp;TRIM($I514)&amp;TRIM($J514))))&gt;0), AND($AP514&lt;&gt;"", LOWER(TRIM($AP514))&lt;&gt;"n/a", LOWER(TRIM($AP514))&lt;&gt;"na", SUMPRODUCT(--(UPPER(TRIM($AP$2:$AP$518))=UPPER(TRIM($AP514))), --(UPPER(TRIM($B$2:$B$518))="YES"), --(UPPER(TRIM($G$2:$G$518)&amp;TRIM($I$2:$I$518)&amp;TRIM($J$2:$J$518))&lt;&gt;UPPER(TRIM($G514)&amp;TRIM($I514)&amp;TRIM($J514))))&gt;0), AND($AQ514&lt;&gt;"", LOWER(TRIM($AQ514))&lt;&gt;"n/a", LOWER(TRIM($AQ514))&lt;&gt;"na", SUMPRODUCT(--(UPPER(TRIM($AQ$2:$AQ$518))=UPPER(TRIM($AQ514))), --(UPPER(TRIM($B$2:$B$518))="YES"), --(UPPER(TRIM($G$2:$G$518)&amp;TRIM($I$2:$I$518)&amp;TRIM($J$2:$J$518))&lt;&gt;UPPER(TRIM($G514)&amp;TRIM($I514)&amp;TRIM($J514))))&gt;0)), "Yes", "No"))</f>
        <v/>
      </c>
      <c r="CD514">
        <f>IF($Y514="","",IF((IF(AND($BR514&lt;&gt;"Yes",$BR514&lt;&gt;"N/A"),"Power Cable, ","")&amp;IF(AND($BS514&lt;&gt;"Yes",$BS514&lt;&gt;"N/A"),"Battery, ","")&amp;IF(AND($AD514&lt;&gt;"Yes",$AD514&lt;&gt;"N/A"),"Firmware Download, ","")&amp;IF(AND(OR($AD514="Yes",$AD514="N/A"),$AE514&lt;&gt;"Yes",$AE514&lt;&gt;"N/A"),"Firmware Install, ","")&amp;IF(AND($CB514&lt;&gt;"Yes",$CB514&lt;&gt;"N/A"),"Device ID, ","")&amp;IF(AND($CC514&lt;&gt;"Yes",$CC514&lt;&gt;"N/A"),"Epic Beans Relay, ",""))="","",LEFT(IF(AND($BR514&lt;&gt;"Yes",$BR514&lt;&gt;"N/A"),"Power Cable, ","")&amp;IF(AND($BS514&lt;&gt;"Yes",$BS514&lt;&gt;"N/A"),"Battery, ","")&amp;IF(AND($AD514&lt;&gt;"Yes",$AD514&lt;&gt;"N/A"),"Firmware Download, ","")&amp;IF(AND(OR($AD514="Yes",$AD514="N/A"),$AE514&lt;&gt;"Yes",$AE514&lt;&gt;"N/A"),"Firmware Install, ","")&amp;IF(AND($CB514&lt;&gt;"Yes",$CB514&lt;&gt;"N/A"),"Device ID, ","")&amp;IF(AND($CC514&lt;&gt;"Yes",$CC514&lt;&gt;"N/A"),"Epic Beans Relay, ",""),LEN(IF(AND($BR514&lt;&gt;"Yes",$BR514&lt;&gt;"N/A"),"Power Cable, ","")&amp;IF(AND($BS514&lt;&gt;"Yes",$BS514&lt;&gt;"N/A"),"Battery, ","")&amp;IF(AND($AD514&lt;&gt;"Yes",$AD514&lt;&gt;"N/A"),"Firmware Download, ","")&amp;IF(AND(OR($AD514="Yes",$AD514="N/A"),$AE514&lt;&gt;"Yes",$AE514&lt;&gt;"N/A"),"Firmware Install, ","")&amp;IF(AND($CB514&lt;&gt;"Yes",$CB514&lt;&gt;"N/A"),"Device ID, ","")&amp;IF(AND($CC514&lt;&gt;"Yes",$CC514&lt;&gt;"N/A"),"Epic Beans Relay, ",""))-2)))</f>
        <v/>
      </c>
      <c r="CE514">
        <f>IF($Y514="","",IF($CD514="","Yes","Blocked"))</f>
        <v/>
      </c>
      <c r="CW514">
        <f>IF($S514="","",IF(UPPER(TRIM($S514))&lt;&gt;"PASS","",IF(LEN(TRIM($BY514))&gt;0,"NOTES_PRESENT",IF(LEN(TRIM($T514))=0,"SET_NA",IF(OR(LOWER(TRIM($T514))="na",LOWER(TRIM($T514))="n/a"),"OK","MANUAL_OVERRIDE")))))</f>
        <v/>
      </c>
    </row>
    <row r="515">
      <c r="B515" t="inlineStr">
        <is>
          <t>No</t>
        </is>
      </c>
      <c r="C515" t="inlineStr">
        <is>
          <t>No</t>
        </is>
      </c>
      <c r="D515">
        <f>IF($B515&lt;&gt;"Yes","",IF($C515="No","Yes",IF($C515="Yes","No","")))</f>
        <v/>
      </c>
      <c r="E515">
        <f>IF($A515="","",IF(OR(AND($V515&lt;&gt;"",LOWER(TRIM($V515))&lt;&gt;"n/a",LOWER(TRIM($V515))&lt;&gt;"na",SUMPRODUCT(--(UPPER(TRIM($V$2:$V$518))=UPPER(TRIM($V515))),--(TRIM($V$2:$V$518)&lt;&gt;""),--(LOWER(TRIM($V$2:$V$518))&lt;&gt;"n/a"),--(LOWER(TRIM($V$2:$V$518))&lt;&gt;"na"))&gt;1),AND($W515&lt;&gt;"",LOWER(TRIM($W515))&lt;&gt;"n/a",LOWER(TRIM($W515))&lt;&gt;"na",SUMPRODUCT(--(UPPER(TRIM($W$2:$W$518))=UPPER(TRIM($W515))),--(TRIM($W$2:$W$518)&lt;&gt;""),--(LOWER(TRIM($W$2:$W$518))&lt;&gt;"n/a"),--(LOWER(TRIM($W$2:$W$518))&lt;&gt;"na"))&gt;1),AND($X515&lt;&gt;"",LOWER(TRIM($X515))&lt;&gt;"n/a",LOWER(TRIM($X515))&lt;&gt;"na",SUMPRODUCT(--(UPPER(TRIM($X$2:$X$518))=UPPER(TRIM($X515))),--(TRIM($X$2:$X$518)&lt;&gt;""),--(LOWER(TRIM($X$2:$X$518))&lt;&gt;"n/a"),--(LOWER(TRIM($X$2:$X$518))&lt;&gt;"na"))&gt;1),AND($Y515&lt;&gt;"",LOWER(TRIM($Y515))&lt;&gt;"n/a",LOWER(TRIM($Y515))&lt;&gt;"na",SUMPRODUCT(--(UPPER(SUBSTITUTE(SUBSTITUTE(TRIM($Y$2:$Y$518),":",""),"-",""))=UPPER(SUBSTITUTE(SUBSTITUTE(TRIM($Y515),":",""),"-",""))),--(TRIM($Y$2:$Y$518)&lt;&gt;""),--(LOWER(TRIM($Y$2:$Y$518))&lt;&gt;"n/a"),--(LOWER(TRIM($Y$2:$Y$518))&lt;&gt;"na"))&gt;1),AND($AB515&lt;&gt;"",LOWER(TRIM($AB515))&lt;&gt;"n/a",LOWER(TRIM($AB515))&lt;&gt;"na",SUMPRODUCT(--(UPPER(TRIM($AB$2:$AB$518))=UPPER(TRIM($AB515))),--(TRIM($AB$2:$AB$518)&lt;&gt;""),--(LOWER(TRIM($AB$2:$AB$518))&lt;&gt;"n/a"),--(LOWER(TRIM($AB$2:$AB$518))&lt;&gt;"na"))&gt;1),AND($AH515&lt;&gt;"",LOWER(TRIM($AH515))&lt;&gt;"n/a",LOWER(TRIM($AH515))&lt;&gt;"na",SUMPRODUCT(--(UPPER(SUBSTITUTE(SUBSTITUTE(TRIM($AH$2:$AH$518),":",""),"-",""))=UPPER(SUBSTITUTE(SUBSTITUTE(TRIM($AH515),":",""),"-",""))),--(TRIM($AH$2:$AH$518)&lt;&gt;""),--(LOWER(TRIM($AH$2:$AH$518))&lt;&gt;"n/a"),--(LOWER(TRIM($AH$2:$AH$518))&lt;&gt;"na"))&gt;1),AND($AP515&lt;&gt;"",LOWER(TRIM($AP515))&lt;&gt;"n/a",LOWER(TRIM($AP515))&lt;&gt;"na",SUMPRODUCT(--(UPPER(TRIM($AP$2:$AP$518))=UPPER(TRIM($AP515))),--(TRIM($AP$2:$AP$518)&lt;&gt;""),--(LOWER(TRIM($AP$2:$AP$518))&lt;&gt;"n/a"),--(LOWER(TRIM($AP$2:$AP$518))&lt;&gt;"na"))&gt;1),AND($AQ515&lt;&gt;"",LOWER(TRIM($AQ515))&lt;&gt;"n/a",LOWER(TRIM($AQ515))&lt;&gt;"na",SUMPRODUCT(--(UPPER(TRIM($AQ$2:$AQ$518))=UPPER(TRIM($AQ515))),--(TRIM($AQ$2:$AQ$518)&lt;&gt;""),--(LOWER(TRIM($AQ$2:$AQ$518))&lt;&gt;"n/a"),--(LOWER(TRIM($AQ$2:$AQ$518))&lt;&gt;"na"))&gt;1)),"Yes","No"))</f>
        <v/>
      </c>
      <c r="F515">
        <f>IF(UPPER(TRIM($B515))&lt;&gt;"YES","", IF(OR(AND($V515&lt;&gt;"", LOWER(TRIM($V515))&lt;&gt;"n/a", LOWER(TRIM($V515))&lt;&gt;"na", SUMPRODUCT(--(UPPER(TRIM($V$2:$V$518))=UPPER(TRIM($V515))), --(UPPER(TRIM($B$2:$B$518))="YES"), --(UPPER(TRIM($G$2:$G$518)&amp;TRIM($I$2:$I$518)&amp;TRIM($J$2:$J$518))&lt;&gt;UPPER(TRIM($G515)&amp;TRIM($I515)&amp;TRIM($J515))))&gt;0), AND($W515&lt;&gt;"", LOWER(TRIM($W515))&lt;&gt;"n/a", LOWER(TRIM($W515))&lt;&gt;"na", SUMPRODUCT(--(UPPER(TRIM($W$2:$W$518))=UPPER(TRIM($W515))), --(UPPER(TRIM($B$2:$B$518))="YES"), --(UPPER(TRIM($G$2:$G$518)&amp;TRIM($I$2:$I$518)&amp;TRIM($J$2:$J$518))&lt;&gt;UPPER(TRIM($G515)&amp;TRIM($I515)&amp;TRIM($J515))))&gt;0), AND($X515&lt;&gt;"", LOWER(TRIM($X515))&lt;&gt;"n/a", LOWER(TRIM($X515))&lt;&gt;"na", SUMPRODUCT(--(UPPER(TRIM($X$2:$X$518))=UPPER(TRIM($X515))), --(UPPER(TRIM($B$2:$B$518))="YES"), --(UPPER(TRIM($G$2:$G$518)&amp;TRIM($I$2:$I$518)&amp;TRIM($J$2:$J$518))&lt;&gt;UPPER(TRIM($G515)&amp;TRIM($I515)&amp;TRIM($J515))))&gt;0), AND($Y515&lt;&gt;"", LOWER(TRIM($Y515))&lt;&gt;"n/a", LOWER(TRIM($Y515))&lt;&gt;"na", SUMPRODUCT(--(UPPER(SUBSTITUTE(SUBSTITUTE(TRIM($Y$2:$Y$518),":",""),"-",""))=UPPER(SUBSTITUTE(SUBSTITUTE(TRIM($Y515),":",""),"-",""))), --(UPPER(TRIM($B$2:$B$518))="YES"), --(UPPER(TRIM($G$2:$G$518)&amp;TRIM($I$2:$I$518)&amp;TRIM($J$2:$J$518))&lt;&gt;UPPER(TRIM($G515)&amp;TRIM($I515)&amp;TRIM($J515))))&gt;0), AND($AB515&lt;&gt;"", LOWER(TRIM($AB515))&lt;&gt;"n/a", LOWER(TRIM($AB515))&lt;&gt;"na", SUMPRODUCT(--(UPPER(TRIM($AB$2:$AB$518))=UPPER(TRIM($AB515))), --(UPPER(TRIM($B$2:$B$518))="YES"), --(UPPER(TRIM($G$2:$G$518)&amp;TRIM($I$2:$I$518)&amp;TRIM($J$2:$J$518))&lt;&gt;UPPER(TRIM($G515)&amp;TRIM($I515)&amp;TRIM($J515))))&gt;0), AND($AH515&lt;&gt;"", LOWER(TRIM($AH515))&lt;&gt;"n/a", LOWER(TRIM($AH515))&lt;&gt;"na", SUMPRODUCT(--(UPPER(SUBSTITUTE(SUBSTITUTE(TRIM($AH$2:$AH$518),":",""),"-",""))=UPPER(SUBSTITUTE(SUBSTITUTE(TRIM($AH515),":",""),"-",""))), --(UPPER(TRIM($B$2:$B$518))="YES"), --(UPPER(TRIM($G$2:$G$518)&amp;TRIM($I$2:$I$518)&amp;TRIM($J$2:$J$518))&lt;&gt;UPPER(TRIM($G515)&amp;TRIM($I515)&amp;TRIM($J515))))&gt;0), AND($AP515&lt;&gt;"", LOWER(TRIM($AP515))&lt;&gt;"n/a", LOWER(TRIM($AP515))&lt;&gt;"na", SUMPRODUCT(--(UPPER(TRIM($AP$2:$AP$518))=UPPER(TRIM($AP515))), --(UPPER(TRIM($B$2:$B$518))="YES"), --(UPPER(TRIM($G$2:$G$518)&amp;TRIM($I$2:$I$518)&amp;TRIM($J$2:$J$518))&lt;&gt;UPPER(TRIM($G515)&amp;TRIM($I515)&amp;TRIM($J515))))&gt;0), AND($AQ515&lt;&gt;"", LOWER(TRIM($AQ515))&lt;&gt;"n/a", LOWER(TRIM($AQ515))&lt;&gt;"na", SUMPRODUCT(--(UPPER(TRIM($AQ$2:$AQ$518))=UPPER(TRIM($AQ515))), --(UPPER(TRIM($B$2:$B$518))="YES"), --(UPPER(TRIM($G$2:$G$518)&amp;TRIM($I$2:$I$518)&amp;TRIM($J$2:$J$518))&lt;&gt;UPPER(TRIM($G515)&amp;TRIM($I515)&amp;TRIM($J515))))&gt;0)), "Yes", "No"))</f>
        <v/>
      </c>
      <c r="CE515">
        <f>IF($Y515="","",IF($CD515="","Yes","Blocked"))</f>
        <v/>
      </c>
      <c r="CW515">
        <f>IF($S515="","",IF(UPPER(TRIM($S515))&lt;&gt;"PASS","",IF(LEN(TRIM($BY515))&gt;0,"NOTES_PRESENT",IF(LEN(TRIM($T515))=0,"SET_NA",IF(OR(LOWER(TRIM($T515))="na",LOWER(TRIM($T515))="n/a"),"OK","MANUAL_OVERRIDE")))))</f>
        <v/>
      </c>
    </row>
    <row r="516">
      <c r="B516" t="inlineStr">
        <is>
          <t>No</t>
        </is>
      </c>
      <c r="C516" t="inlineStr">
        <is>
          <t>No</t>
        </is>
      </c>
      <c r="D516">
        <f>IF($B516&lt;&gt;"Yes","",IF($C516="No","Yes",IF($C516="Yes","No","")))</f>
        <v/>
      </c>
      <c r="E516">
        <f>IF($A516="","",IF(OR(AND($V516&lt;&gt;"",LOWER(TRIM($V516))&lt;&gt;"n/a",LOWER(TRIM($V516))&lt;&gt;"na",SUMPRODUCT(--(UPPER(TRIM($V$2:$V$518))=UPPER(TRIM($V516))),--(TRIM($V$2:$V$518)&lt;&gt;""),--(LOWER(TRIM($V$2:$V$518))&lt;&gt;"n/a"),--(LOWER(TRIM($V$2:$V$518))&lt;&gt;"na"))&gt;1),AND($W516&lt;&gt;"",LOWER(TRIM($W516))&lt;&gt;"n/a",LOWER(TRIM($W516))&lt;&gt;"na",SUMPRODUCT(--(UPPER(TRIM($W$2:$W$518))=UPPER(TRIM($W516))),--(TRIM($W$2:$W$518)&lt;&gt;""),--(LOWER(TRIM($W$2:$W$518))&lt;&gt;"n/a"),--(LOWER(TRIM($W$2:$W$518))&lt;&gt;"na"))&gt;1),AND($X516&lt;&gt;"",LOWER(TRIM($X516))&lt;&gt;"n/a",LOWER(TRIM($X516))&lt;&gt;"na",SUMPRODUCT(--(UPPER(TRIM($X$2:$X$518))=UPPER(TRIM($X516))),--(TRIM($X$2:$X$518)&lt;&gt;""),--(LOWER(TRIM($X$2:$X$518))&lt;&gt;"n/a"),--(LOWER(TRIM($X$2:$X$518))&lt;&gt;"na"))&gt;1),AND($Y516&lt;&gt;"",LOWER(TRIM($Y516))&lt;&gt;"n/a",LOWER(TRIM($Y516))&lt;&gt;"na",SUMPRODUCT(--(UPPER(SUBSTITUTE(SUBSTITUTE(TRIM($Y$2:$Y$518),":",""),"-",""))=UPPER(SUBSTITUTE(SUBSTITUTE(TRIM($Y516),":",""),"-",""))),--(TRIM($Y$2:$Y$518)&lt;&gt;""),--(LOWER(TRIM($Y$2:$Y$518))&lt;&gt;"n/a"),--(LOWER(TRIM($Y$2:$Y$518))&lt;&gt;"na"))&gt;1),AND($AB516&lt;&gt;"",LOWER(TRIM($AB516))&lt;&gt;"n/a",LOWER(TRIM($AB516))&lt;&gt;"na",SUMPRODUCT(--(UPPER(TRIM($AB$2:$AB$518))=UPPER(TRIM($AB516))),--(TRIM($AB$2:$AB$518)&lt;&gt;""),--(LOWER(TRIM($AB$2:$AB$518))&lt;&gt;"n/a"),--(LOWER(TRIM($AB$2:$AB$518))&lt;&gt;"na"))&gt;1),AND($AH516&lt;&gt;"",LOWER(TRIM($AH516))&lt;&gt;"n/a",LOWER(TRIM($AH516))&lt;&gt;"na",SUMPRODUCT(--(UPPER(SUBSTITUTE(SUBSTITUTE(TRIM($AH$2:$AH$518),":",""),"-",""))=UPPER(SUBSTITUTE(SUBSTITUTE(TRIM($AH516),":",""),"-",""))),--(TRIM($AH$2:$AH$518)&lt;&gt;""),--(LOWER(TRIM($AH$2:$AH$518))&lt;&gt;"n/a"),--(LOWER(TRIM($AH$2:$AH$518))&lt;&gt;"na"))&gt;1),AND($AP516&lt;&gt;"",LOWER(TRIM($AP516))&lt;&gt;"n/a",LOWER(TRIM($AP516))&lt;&gt;"na",SUMPRODUCT(--(UPPER(TRIM($AP$2:$AP$518))=UPPER(TRIM($AP516))),--(TRIM($AP$2:$AP$518)&lt;&gt;""),--(LOWER(TRIM($AP$2:$AP$518))&lt;&gt;"n/a"),--(LOWER(TRIM($AP$2:$AP$518))&lt;&gt;"na"))&gt;1),AND($AQ516&lt;&gt;"",LOWER(TRIM($AQ516))&lt;&gt;"n/a",LOWER(TRIM($AQ516))&lt;&gt;"na",SUMPRODUCT(--(UPPER(TRIM($AQ$2:$AQ$518))=UPPER(TRIM($AQ516))),--(TRIM($AQ$2:$AQ$518)&lt;&gt;""),--(LOWER(TRIM($AQ$2:$AQ$518))&lt;&gt;"n/a"),--(LOWER(TRIM($AQ$2:$AQ$518))&lt;&gt;"na"))&gt;1)),"Yes","No"))</f>
        <v/>
      </c>
      <c r="F516">
        <f>IF(UPPER(TRIM($B516))&lt;&gt;"YES","", IF(OR(AND($V516&lt;&gt;"", LOWER(TRIM($V516))&lt;&gt;"n/a", LOWER(TRIM($V516))&lt;&gt;"na", SUMPRODUCT(--(UPPER(TRIM($V$2:$V$518))=UPPER(TRIM($V516))), --(UPPER(TRIM($B$2:$B$518))="YES"), --(UPPER(TRIM($G$2:$G$518)&amp;TRIM($I$2:$I$518)&amp;TRIM($J$2:$J$518))&lt;&gt;UPPER(TRIM($G516)&amp;TRIM($I516)&amp;TRIM($J516))))&gt;0), AND($W516&lt;&gt;"", LOWER(TRIM($W516))&lt;&gt;"n/a", LOWER(TRIM($W516))&lt;&gt;"na", SUMPRODUCT(--(UPPER(TRIM($W$2:$W$518))=UPPER(TRIM($W516))), --(UPPER(TRIM($B$2:$B$518))="YES"), --(UPPER(TRIM($G$2:$G$518)&amp;TRIM($I$2:$I$518)&amp;TRIM($J$2:$J$518))&lt;&gt;UPPER(TRIM($G516)&amp;TRIM($I516)&amp;TRIM($J516))))&gt;0), AND($X516&lt;&gt;"", LOWER(TRIM($X516))&lt;&gt;"n/a", LOWER(TRIM($X516))&lt;&gt;"na", SUMPRODUCT(--(UPPER(TRIM($X$2:$X$518))=UPPER(TRIM($X516))), --(UPPER(TRIM($B$2:$B$518))="YES"), --(UPPER(TRIM($G$2:$G$518)&amp;TRIM($I$2:$I$518)&amp;TRIM($J$2:$J$518))&lt;&gt;UPPER(TRIM($G516)&amp;TRIM($I516)&amp;TRIM($J516))))&gt;0), AND($Y516&lt;&gt;"", LOWER(TRIM($Y516))&lt;&gt;"n/a", LOWER(TRIM($Y516))&lt;&gt;"na", SUMPRODUCT(--(UPPER(SUBSTITUTE(SUBSTITUTE(TRIM($Y$2:$Y$518),":",""),"-",""))=UPPER(SUBSTITUTE(SUBSTITUTE(TRIM($Y516),":",""),"-",""))), --(UPPER(TRIM($B$2:$B$518))="YES"), --(UPPER(TRIM($G$2:$G$518)&amp;TRIM($I$2:$I$518)&amp;TRIM($J$2:$J$518))&lt;&gt;UPPER(TRIM($G516)&amp;TRIM($I516)&amp;TRIM($J516))))&gt;0), AND($AB516&lt;&gt;"", LOWER(TRIM($AB516))&lt;&gt;"n/a", LOWER(TRIM($AB516))&lt;&gt;"na", SUMPRODUCT(--(UPPER(TRIM($AB$2:$AB$518))=UPPER(TRIM($AB516))), --(UPPER(TRIM($B$2:$B$518))="YES"), --(UPPER(TRIM($G$2:$G$518)&amp;TRIM($I$2:$I$518)&amp;TRIM($J$2:$J$518))&lt;&gt;UPPER(TRIM($G516)&amp;TRIM($I516)&amp;TRIM($J516))))&gt;0), AND($AH516&lt;&gt;"", LOWER(TRIM($AH516))&lt;&gt;"n/a", LOWER(TRIM($AH516))&lt;&gt;"na", SUMPRODUCT(--(UPPER(SUBSTITUTE(SUBSTITUTE(TRIM($AH$2:$AH$518),":",""),"-",""))=UPPER(SUBSTITUTE(SUBSTITUTE(TRIM($AH516),":",""),"-",""))), --(UPPER(TRIM($B$2:$B$518))="YES"), --(UPPER(TRIM($G$2:$G$518)&amp;TRIM($I$2:$I$518)&amp;TRIM($J$2:$J$518))&lt;&gt;UPPER(TRIM($G516)&amp;TRIM($I516)&amp;TRIM($J516))))&gt;0), AND($AP516&lt;&gt;"", LOWER(TRIM($AP516))&lt;&gt;"n/a", LOWER(TRIM($AP516))&lt;&gt;"na", SUMPRODUCT(--(UPPER(TRIM($AP$2:$AP$518))=UPPER(TRIM($AP516))), --(UPPER(TRIM($B$2:$B$518))="YES"), --(UPPER(TRIM($G$2:$G$518)&amp;TRIM($I$2:$I$518)&amp;TRIM($J$2:$J$518))&lt;&gt;UPPER(TRIM($G516)&amp;TRIM($I516)&amp;TRIM($J516))))&gt;0), AND($AQ516&lt;&gt;"", LOWER(TRIM($AQ516))&lt;&gt;"n/a", LOWER(TRIM($AQ516))&lt;&gt;"na", SUMPRODUCT(--(UPPER(TRIM($AQ$2:$AQ$518))=UPPER(TRIM($AQ516))), --(UPPER(TRIM($B$2:$B$518))="YES"), --(UPPER(TRIM($G$2:$G$518)&amp;TRIM($I$2:$I$518)&amp;TRIM($J$2:$J$518))&lt;&gt;UPPER(TRIM($G516)&amp;TRIM($I516)&amp;TRIM($J516))))&gt;0)), "Yes", "No"))</f>
        <v/>
      </c>
      <c r="CE516">
        <f>IF($Y516="","",IF($CD516="","Yes","Blocked"))</f>
        <v/>
      </c>
      <c r="CW516">
        <f>IF($S516="","",IF(UPPER(TRIM($S516))&lt;&gt;"PASS","",IF(LEN(TRIM($BY516))&gt;0,"NOTES_PRESENT",IF(LEN(TRIM($T516))=0,"SET_NA",IF(OR(LOWER(TRIM($T516))="na",LOWER(TRIM($T516))="n/a"),"OK","MANUAL_OVERRIDE")))))</f>
        <v/>
      </c>
    </row>
    <row r="517">
      <c r="B517" t="inlineStr">
        <is>
          <t>No</t>
        </is>
      </c>
      <c r="C517" t="inlineStr">
        <is>
          <t>No</t>
        </is>
      </c>
      <c r="D517">
        <f>IF($B517&lt;&gt;"Yes","",IF($C517="No","Yes",IF($C517="Yes","No","")))</f>
        <v/>
      </c>
      <c r="E517">
        <f>IF($A517="","",IF(OR(AND($V517&lt;&gt;"",LOWER(TRIM($V517))&lt;&gt;"n/a",LOWER(TRIM($V517))&lt;&gt;"na",SUMPRODUCT(--(UPPER(TRIM($V$2:$V$518))=UPPER(TRIM($V517))),--(TRIM($V$2:$V$518)&lt;&gt;""),--(LOWER(TRIM($V$2:$V$518))&lt;&gt;"n/a"),--(LOWER(TRIM($V$2:$V$518))&lt;&gt;"na"))&gt;1),AND($W517&lt;&gt;"",LOWER(TRIM($W517))&lt;&gt;"n/a",LOWER(TRIM($W517))&lt;&gt;"na",SUMPRODUCT(--(UPPER(TRIM($W$2:$W$518))=UPPER(TRIM($W517))),--(TRIM($W$2:$W$518)&lt;&gt;""),--(LOWER(TRIM($W$2:$W$518))&lt;&gt;"n/a"),--(LOWER(TRIM($W$2:$W$518))&lt;&gt;"na"))&gt;1),AND($X517&lt;&gt;"",LOWER(TRIM($X517))&lt;&gt;"n/a",LOWER(TRIM($X517))&lt;&gt;"na",SUMPRODUCT(--(UPPER(TRIM($X$2:$X$518))=UPPER(TRIM($X517))),--(TRIM($X$2:$X$518)&lt;&gt;""),--(LOWER(TRIM($X$2:$X$518))&lt;&gt;"n/a"),--(LOWER(TRIM($X$2:$X$518))&lt;&gt;"na"))&gt;1),AND($Y517&lt;&gt;"",LOWER(TRIM($Y517))&lt;&gt;"n/a",LOWER(TRIM($Y517))&lt;&gt;"na",SUMPRODUCT(--(UPPER(SUBSTITUTE(SUBSTITUTE(TRIM($Y$2:$Y$518),":",""),"-",""))=UPPER(SUBSTITUTE(SUBSTITUTE(TRIM($Y517),":",""),"-",""))),--(TRIM($Y$2:$Y$518)&lt;&gt;""),--(LOWER(TRIM($Y$2:$Y$518))&lt;&gt;"n/a"),--(LOWER(TRIM($Y$2:$Y$518))&lt;&gt;"na"))&gt;1),AND($AB517&lt;&gt;"",LOWER(TRIM($AB517))&lt;&gt;"n/a",LOWER(TRIM($AB517))&lt;&gt;"na",SUMPRODUCT(--(UPPER(TRIM($AB$2:$AB$518))=UPPER(TRIM($AB517))),--(TRIM($AB$2:$AB$518)&lt;&gt;""),--(LOWER(TRIM($AB$2:$AB$518))&lt;&gt;"n/a"),--(LOWER(TRIM($AB$2:$AB$518))&lt;&gt;"na"))&gt;1),AND($AH517&lt;&gt;"",LOWER(TRIM($AH517))&lt;&gt;"n/a",LOWER(TRIM($AH517))&lt;&gt;"na",SUMPRODUCT(--(UPPER(SUBSTITUTE(SUBSTITUTE(TRIM($AH$2:$AH$518),":",""),"-",""))=UPPER(SUBSTITUTE(SUBSTITUTE(TRIM($AH517),":",""),"-",""))),--(TRIM($AH$2:$AH$518)&lt;&gt;""),--(LOWER(TRIM($AH$2:$AH$518))&lt;&gt;"n/a"),--(LOWER(TRIM($AH$2:$AH$518))&lt;&gt;"na"))&gt;1),AND($AP517&lt;&gt;"",LOWER(TRIM($AP517))&lt;&gt;"n/a",LOWER(TRIM($AP517))&lt;&gt;"na",SUMPRODUCT(--(UPPER(TRIM($AP$2:$AP$518))=UPPER(TRIM($AP517))),--(TRIM($AP$2:$AP$518)&lt;&gt;""),--(LOWER(TRIM($AP$2:$AP$518))&lt;&gt;"n/a"),--(LOWER(TRIM($AP$2:$AP$518))&lt;&gt;"na"))&gt;1),AND($AQ517&lt;&gt;"",LOWER(TRIM($AQ517))&lt;&gt;"n/a",LOWER(TRIM($AQ517))&lt;&gt;"na",SUMPRODUCT(--(UPPER(TRIM($AQ$2:$AQ$518))=UPPER(TRIM($AQ517))),--(TRIM($AQ$2:$AQ$518)&lt;&gt;""),--(LOWER(TRIM($AQ$2:$AQ$518))&lt;&gt;"n/a"),--(LOWER(TRIM($AQ$2:$AQ$518))&lt;&gt;"na"))&gt;1)),"Yes","No"))</f>
        <v/>
      </c>
      <c r="F517">
        <f>IF(UPPER(TRIM($B517))&lt;&gt;"YES","", IF(OR(AND($V517&lt;&gt;"", LOWER(TRIM($V517))&lt;&gt;"n/a", LOWER(TRIM($V517))&lt;&gt;"na", SUMPRODUCT(--(UPPER(TRIM($V$2:$V$518))=UPPER(TRIM($V517))), --(UPPER(TRIM($B$2:$B$518))="YES"), --(UPPER(TRIM($G$2:$G$518)&amp;TRIM($I$2:$I$518)&amp;TRIM($J$2:$J$518))&lt;&gt;UPPER(TRIM($G517)&amp;TRIM($I517)&amp;TRIM($J517))))&gt;0), AND($W517&lt;&gt;"", LOWER(TRIM($W517))&lt;&gt;"n/a", LOWER(TRIM($W517))&lt;&gt;"na", SUMPRODUCT(--(UPPER(TRIM($W$2:$W$518))=UPPER(TRIM($W517))), --(UPPER(TRIM($B$2:$B$518))="YES"), --(UPPER(TRIM($G$2:$G$518)&amp;TRIM($I$2:$I$518)&amp;TRIM($J$2:$J$518))&lt;&gt;UPPER(TRIM($G517)&amp;TRIM($I517)&amp;TRIM($J517))))&gt;0), AND($X517&lt;&gt;"", LOWER(TRIM($X517))&lt;&gt;"n/a", LOWER(TRIM($X517))&lt;&gt;"na", SUMPRODUCT(--(UPPER(TRIM($X$2:$X$518))=UPPER(TRIM($X517))), --(UPPER(TRIM($B$2:$B$518))="YES"), --(UPPER(TRIM($G$2:$G$518)&amp;TRIM($I$2:$I$518)&amp;TRIM($J$2:$J$518))&lt;&gt;UPPER(TRIM($G517)&amp;TRIM($I517)&amp;TRIM($J517))))&gt;0), AND($Y517&lt;&gt;"", LOWER(TRIM($Y517))&lt;&gt;"n/a", LOWER(TRIM($Y517))&lt;&gt;"na", SUMPRODUCT(--(UPPER(SUBSTITUTE(SUBSTITUTE(TRIM($Y$2:$Y$518),":",""),"-",""))=UPPER(SUBSTITUTE(SUBSTITUTE(TRIM($Y517),":",""),"-",""))), --(UPPER(TRIM($B$2:$B$518))="YES"), --(UPPER(TRIM($G$2:$G$518)&amp;TRIM($I$2:$I$518)&amp;TRIM($J$2:$J$518))&lt;&gt;UPPER(TRIM($G517)&amp;TRIM($I517)&amp;TRIM($J517))))&gt;0), AND($AB517&lt;&gt;"", LOWER(TRIM($AB517))&lt;&gt;"n/a", LOWER(TRIM($AB517))&lt;&gt;"na", SUMPRODUCT(--(UPPER(TRIM($AB$2:$AB$518))=UPPER(TRIM($AB517))), --(UPPER(TRIM($B$2:$B$518))="YES"), --(UPPER(TRIM($G$2:$G$518)&amp;TRIM($I$2:$I$518)&amp;TRIM($J$2:$J$518))&lt;&gt;UPPER(TRIM($G517)&amp;TRIM($I517)&amp;TRIM($J517))))&gt;0), AND($AH517&lt;&gt;"", LOWER(TRIM($AH517))&lt;&gt;"n/a", LOWER(TRIM($AH517))&lt;&gt;"na", SUMPRODUCT(--(UPPER(SUBSTITUTE(SUBSTITUTE(TRIM($AH$2:$AH$518),":",""),"-",""))=UPPER(SUBSTITUTE(SUBSTITUTE(TRIM($AH517),":",""),"-",""))), --(UPPER(TRIM($B$2:$B$518))="YES"), --(UPPER(TRIM($G$2:$G$518)&amp;TRIM($I$2:$I$518)&amp;TRIM($J$2:$J$518))&lt;&gt;UPPER(TRIM($G517)&amp;TRIM($I517)&amp;TRIM($J517))))&gt;0), AND($AP517&lt;&gt;"", LOWER(TRIM($AP517))&lt;&gt;"n/a", LOWER(TRIM($AP517))&lt;&gt;"na", SUMPRODUCT(--(UPPER(TRIM($AP$2:$AP$518))=UPPER(TRIM($AP517))), --(UPPER(TRIM($B$2:$B$518))="YES"), --(UPPER(TRIM($G$2:$G$518)&amp;TRIM($I$2:$I$518)&amp;TRIM($J$2:$J$518))&lt;&gt;UPPER(TRIM($G517)&amp;TRIM($I517)&amp;TRIM($J517))))&gt;0), AND($AQ517&lt;&gt;"", LOWER(TRIM($AQ517))&lt;&gt;"n/a", LOWER(TRIM($AQ517))&lt;&gt;"na", SUMPRODUCT(--(UPPER(TRIM($AQ$2:$AQ$518))=UPPER(TRIM($AQ517))), --(UPPER(TRIM($B$2:$B$518))="YES"), --(UPPER(TRIM($G$2:$G$518)&amp;TRIM($I$2:$I$518)&amp;TRIM($J$2:$J$518))&lt;&gt;UPPER(TRIM($G517)&amp;TRIM($I517)&amp;TRIM($J517))))&gt;0)), "Yes", "No"))</f>
        <v/>
      </c>
      <c r="CE517">
        <f>IF($Y517="","",IF($CD517="","Yes","Blocked"))</f>
        <v/>
      </c>
      <c r="CW517">
        <f>IF($S517="","",IF(UPPER(TRIM($S517))&lt;&gt;"PASS","",IF(LEN(TRIM($BY517))&gt;0,"NOTES_PRESENT",IF(LEN(TRIM($T517))=0,"SET_NA",IF(OR(LOWER(TRIM($T517))="na",LOWER(TRIM($T517))="n/a"),"OK","MANUAL_OVERRIDE")))))</f>
        <v/>
      </c>
    </row>
    <row r="518">
      <c r="B518" t="inlineStr">
        <is>
          <t>No</t>
        </is>
      </c>
      <c r="C518" t="inlineStr">
        <is>
          <t>No</t>
        </is>
      </c>
      <c r="D518">
        <f>IF($B518&lt;&gt;"Yes","",IF($C518="No","Yes",IF($C518="Yes","No","")))</f>
        <v/>
      </c>
      <c r="E518">
        <f>IF($A518="","",IF(OR(AND($V518&lt;&gt;"",LOWER(TRIM($V518))&lt;&gt;"n/a",LOWER(TRIM($V518))&lt;&gt;"na",SUMPRODUCT(--(UPPER(TRIM($V$2:$V$518))=UPPER(TRIM($V518))),--(TRIM($V$2:$V$518)&lt;&gt;""),--(LOWER(TRIM($V$2:$V$518))&lt;&gt;"n/a"),--(LOWER(TRIM($V$2:$V$518))&lt;&gt;"na"))&gt;1),AND($W518&lt;&gt;"",LOWER(TRIM($W518))&lt;&gt;"n/a",LOWER(TRIM($W518))&lt;&gt;"na",SUMPRODUCT(--(UPPER(TRIM($W$2:$W$518))=UPPER(TRIM($W518))),--(TRIM($W$2:$W$518)&lt;&gt;""),--(LOWER(TRIM($W$2:$W$518))&lt;&gt;"n/a"),--(LOWER(TRIM($W$2:$W$518))&lt;&gt;"na"))&gt;1),AND($X518&lt;&gt;"",LOWER(TRIM($X518))&lt;&gt;"n/a",LOWER(TRIM($X518))&lt;&gt;"na",SUMPRODUCT(--(UPPER(TRIM($X$2:$X$518))=UPPER(TRIM($X518))),--(TRIM($X$2:$X$518)&lt;&gt;""),--(LOWER(TRIM($X$2:$X$518))&lt;&gt;"n/a"),--(LOWER(TRIM($X$2:$X$518))&lt;&gt;"na"))&gt;1),AND($Y518&lt;&gt;"",LOWER(TRIM($Y518))&lt;&gt;"n/a",LOWER(TRIM($Y518))&lt;&gt;"na",SUMPRODUCT(--(UPPER(SUBSTITUTE(SUBSTITUTE(TRIM($Y$2:$Y$518),":",""),"-",""))=UPPER(SUBSTITUTE(SUBSTITUTE(TRIM($Y518),":",""),"-",""))),--(TRIM($Y$2:$Y$518)&lt;&gt;""),--(LOWER(TRIM($Y$2:$Y$518))&lt;&gt;"n/a"),--(LOWER(TRIM($Y$2:$Y$518))&lt;&gt;"na"))&gt;1),AND($AB518&lt;&gt;"",LOWER(TRIM($AB518))&lt;&gt;"n/a",LOWER(TRIM($AB518))&lt;&gt;"na",SUMPRODUCT(--(UPPER(TRIM($AB$2:$AB$518))=UPPER(TRIM($AB518))),--(TRIM($AB$2:$AB$518)&lt;&gt;""),--(LOWER(TRIM($AB$2:$AB$518))&lt;&gt;"n/a"),--(LOWER(TRIM($AB$2:$AB$518))&lt;&gt;"na"))&gt;1),AND($AH518&lt;&gt;"",LOWER(TRIM($AH518))&lt;&gt;"n/a",LOWER(TRIM($AH518))&lt;&gt;"na",SUMPRODUCT(--(UPPER(SUBSTITUTE(SUBSTITUTE(TRIM($AH$2:$AH$518),":",""),"-",""))=UPPER(SUBSTITUTE(SUBSTITUTE(TRIM($AH518),":",""),"-",""))),--(TRIM($AH$2:$AH$518)&lt;&gt;""),--(LOWER(TRIM($AH$2:$AH$518))&lt;&gt;"n/a"),--(LOWER(TRIM($AH$2:$AH$518))&lt;&gt;"na"))&gt;1),AND($AP518&lt;&gt;"",LOWER(TRIM($AP518))&lt;&gt;"n/a",LOWER(TRIM($AP518))&lt;&gt;"na",SUMPRODUCT(--(UPPER(TRIM($AP$2:$AP$518))=UPPER(TRIM($AP518))),--(TRIM($AP$2:$AP$518)&lt;&gt;""),--(LOWER(TRIM($AP$2:$AP$518))&lt;&gt;"n/a"),--(LOWER(TRIM($AP$2:$AP$518))&lt;&gt;"na"))&gt;1),AND($AQ518&lt;&gt;"",LOWER(TRIM($AQ518))&lt;&gt;"n/a",LOWER(TRIM($AQ518))&lt;&gt;"na",SUMPRODUCT(--(UPPER(TRIM($AQ$2:$AQ$518))=UPPER(TRIM($AQ518))),--(TRIM($AQ$2:$AQ$518)&lt;&gt;""),--(LOWER(TRIM($AQ$2:$AQ$518))&lt;&gt;"n/a"),--(LOWER(TRIM($AQ$2:$AQ$518))&lt;&gt;"na"))&gt;1)),"Yes","No"))</f>
        <v/>
      </c>
      <c r="F518">
        <f>IF(UPPER(TRIM($B518))&lt;&gt;"YES","", IF(OR(AND($V518&lt;&gt;"", LOWER(TRIM($V518))&lt;&gt;"n/a", LOWER(TRIM($V518))&lt;&gt;"na", SUMPRODUCT(--(UPPER(TRIM($V$2:$V$518))=UPPER(TRIM($V518))), --(UPPER(TRIM($B$2:$B$518))="YES"), --(UPPER(TRIM($G$2:$G$518)&amp;TRIM($I$2:$I$518)&amp;TRIM($J$2:$J$518))&lt;&gt;UPPER(TRIM($G518)&amp;TRIM($I518)&amp;TRIM($J518))))&gt;0), AND($W518&lt;&gt;"", LOWER(TRIM($W518))&lt;&gt;"n/a", LOWER(TRIM($W518))&lt;&gt;"na", SUMPRODUCT(--(UPPER(TRIM($W$2:$W$518))=UPPER(TRIM($W518))), --(UPPER(TRIM($B$2:$B$518))="YES"), --(UPPER(TRIM($G$2:$G$518)&amp;TRIM($I$2:$I$518)&amp;TRIM($J$2:$J$518))&lt;&gt;UPPER(TRIM($G518)&amp;TRIM($I518)&amp;TRIM($J518))))&gt;0), AND($X518&lt;&gt;"", LOWER(TRIM($X518))&lt;&gt;"n/a", LOWER(TRIM($X518))&lt;&gt;"na", SUMPRODUCT(--(UPPER(TRIM($X$2:$X$518))=UPPER(TRIM($X518))), --(UPPER(TRIM($B$2:$B$518))="YES"), --(UPPER(TRIM($G$2:$G$518)&amp;TRIM($I$2:$I$518)&amp;TRIM($J$2:$J$518))&lt;&gt;UPPER(TRIM($G518)&amp;TRIM($I518)&amp;TRIM($J518))))&gt;0), AND($Y518&lt;&gt;"", LOWER(TRIM($Y518))&lt;&gt;"n/a", LOWER(TRIM($Y518))&lt;&gt;"na", SUMPRODUCT(--(UPPER(SUBSTITUTE(SUBSTITUTE(TRIM($Y$2:$Y$518),":",""),"-",""))=UPPER(SUBSTITUTE(SUBSTITUTE(TRIM($Y518),":",""),"-",""))), --(UPPER(TRIM($B$2:$B$518))="YES"), --(UPPER(TRIM($G$2:$G$518)&amp;TRIM($I$2:$I$518)&amp;TRIM($J$2:$J$518))&lt;&gt;UPPER(TRIM($G518)&amp;TRIM($I518)&amp;TRIM($J518))))&gt;0), AND($AB518&lt;&gt;"", LOWER(TRIM($AB518))&lt;&gt;"n/a", LOWER(TRIM($AB518))&lt;&gt;"na", SUMPRODUCT(--(UPPER(TRIM($AB$2:$AB$518))=UPPER(TRIM($AB518))), --(UPPER(TRIM($B$2:$B$518))="YES"), --(UPPER(TRIM($G$2:$G$518)&amp;TRIM($I$2:$I$518)&amp;TRIM($J$2:$J$518))&lt;&gt;UPPER(TRIM($G518)&amp;TRIM($I518)&amp;TRIM($J518))))&gt;0), AND($AH518&lt;&gt;"", LOWER(TRIM($AH518))&lt;&gt;"n/a", LOWER(TRIM($AH518))&lt;&gt;"na", SUMPRODUCT(--(UPPER(SUBSTITUTE(SUBSTITUTE(TRIM($AH$2:$AH$518),":",""),"-",""))=UPPER(SUBSTITUTE(SUBSTITUTE(TRIM($AH518),":",""),"-",""))), --(UPPER(TRIM($B$2:$B$518))="YES"), --(UPPER(TRIM($G$2:$G$518)&amp;TRIM($I$2:$I$518)&amp;TRIM($J$2:$J$518))&lt;&gt;UPPER(TRIM($G518)&amp;TRIM($I518)&amp;TRIM($J518))))&gt;0), AND($AP518&lt;&gt;"", LOWER(TRIM($AP518))&lt;&gt;"n/a", LOWER(TRIM($AP518))&lt;&gt;"na", SUMPRODUCT(--(UPPER(TRIM($AP$2:$AP$518))=UPPER(TRIM($AP518))), --(UPPER(TRIM($B$2:$B$518))="YES"), --(UPPER(TRIM($G$2:$G$518)&amp;TRIM($I$2:$I$518)&amp;TRIM($J$2:$J$518))&lt;&gt;UPPER(TRIM($G518)&amp;TRIM($I518)&amp;TRIM($J518))))&gt;0), AND($AQ518&lt;&gt;"", LOWER(TRIM($AQ518))&lt;&gt;"n/a", LOWER(TRIM($AQ518))&lt;&gt;"na", SUMPRODUCT(--(UPPER(TRIM($AQ$2:$AQ$518))=UPPER(TRIM($AQ518))), --(UPPER(TRIM($B$2:$B$518))="YES"), --(UPPER(TRIM($G$2:$G$518)&amp;TRIM($I$2:$I$518)&amp;TRIM($J$2:$J$518))&lt;&gt;UPPER(TRIM($G518)&amp;TRIM($I518)&amp;TRIM($J518))))&gt;0)), "Yes", "No"))</f>
        <v/>
      </c>
      <c r="CE518">
        <f>IF($Y518="","",IF($CD518="","Yes","Blocked"))</f>
        <v/>
      </c>
    </row>
  </sheetData>
  <conditionalFormatting sqref="B2:B518">
    <cfRule type="expression" priority="104" dxfId="17">
      <formula>AND(AND(NOT(LOWER(TRIM($B2))="yes"),NOT(LOWER(TRIM($C2))="yes")),NOT(AND(LEN(TRIM($B2))&gt;0,LOWER(TRIM($B2))&lt;&gt;"n/a")))</formula>
    </cfRule>
    <cfRule type="expression" priority="492" dxfId="5" stopIfTrue="1">
      <formula>LOWER(TRIM($B2))="no"</formula>
    </cfRule>
    <cfRule type="expression" priority="708" dxfId="17">
      <formula>AND(LEN(TRIM($A2))&gt;0,LEN(TRIM($B2))=0)</formula>
    </cfRule>
  </conditionalFormatting>
  <conditionalFormatting sqref="C2:C518">
    <cfRule type="expression" priority="88" dxfId="18">
      <formula>AND(LOWER(TRIM($B2))="yes",NOT(AND(LEN(TRIM($C2))&gt;0,LOWER(TRIM($C2))&lt;&gt;"n/a")))</formula>
    </cfRule>
    <cfRule type="expression" priority="704" dxfId="18">
      <formula>AND(UPPER(TRIM($B2))="YES",LEN(TRIM($C2))=0)</formula>
    </cfRule>
    <cfRule type="expression" priority="712" dxfId="17">
      <formula>AND(LEN(TRIM($A2))&gt;0,UPPER(TRIM($B2))&lt;&gt;"YES",LEN(TRIM($C2))=0)</formula>
    </cfRule>
  </conditionalFormatting>
  <conditionalFormatting sqref="D2:E518">
    <cfRule type="expression" priority="2141" dxfId="5">
      <formula>AND($B2="Yes",$CO2="No")</formula>
    </cfRule>
  </conditionalFormatting>
  <conditionalFormatting sqref="G2:G157 G159:G517">
    <cfRule type="expression" priority="85" dxfId="28" stopIfTrue="1">
      <formula>AND(OR(LOWER(TRIM($B2))="yes",LOWER(TRIM($C2))="yes"),AND(LEN(TRIM($G2))&gt;0,LOWER(TRIM($G2))&lt;&gt;"n/a"),AND(LEN(TRIM($H2))&gt;0,LOWER(TRIM($H2))&lt;&gt;"n/a"),$G2&lt;&gt;$H2)</formula>
    </cfRule>
    <cfRule type="expression" priority="89" dxfId="18">
      <formula>AND(LOWER(TRIM($B2))="yes",NOT(AND(LEN(TRIM($G2))&gt;0,LOWER(TRIM($G2))&lt;&gt;"n/a")))</formula>
    </cfRule>
    <cfRule type="expression" priority="105" dxfId="17">
      <formula>AND(AND(NOT(LOWER(TRIM($B2))="yes"),NOT(LOWER(TRIM($C2))="yes")),NOT(AND(LEN(TRIM($G2))&gt;0,LOWER(TRIM($G2))&lt;&gt;"n/a")))</formula>
    </cfRule>
    <cfRule type="expression" priority="297" dxfId="18">
      <formula>AND(LOWER(TRIM($B2))="yes",NOT(AND(LEN(TRIM($G2))&gt;0,LOWER(TRIM($G2))&lt;&gt;"n/a")))</formula>
    </cfRule>
    <cfRule type="expression" priority="335" dxfId="17">
      <formula>AND(AND(NOT(LOWER(TRIM($B2))="yes"),NOT(LOWER(TRIM($C2))="yes")),NOT(AND(LEN(TRIM($G2))&gt;0,LOWER(TRIM($G2))&lt;&gt;"n/a")))</formula>
    </cfRule>
    <cfRule type="expression" priority="705" dxfId="18">
      <formula>AND(UPPER(TRIM($B2))="YES",LEN(TRIM($G2))=0)</formula>
    </cfRule>
    <cfRule type="expression" priority="714" dxfId="17">
      <formula>AND(LEN(TRIM($A2))&gt;0,UPPER(TRIM($B2))&lt;&gt;"YES",LEN(TRIM($G2))=0)</formula>
    </cfRule>
  </conditionalFormatting>
  <conditionalFormatting sqref="G2:H154 G155:G157 G159:H517 H156:H157">
    <cfRule type="expression" priority="595" dxfId="33" stopIfTrue="1">
      <formula>AND($B2="Yes",$G2&lt;&gt;"",$H2&lt;&gt;"",LOWER(TRIM($G2))&lt;&gt;LOWER(TRIM($H2)))</formula>
    </cfRule>
  </conditionalFormatting>
  <conditionalFormatting sqref="G2:H157 G159:H517">
    <cfRule type="expression" priority="285" dxfId="28">
      <formula>AND(OR(LOWER(TRIM($B2))="yes",LOWER(TRIM($C2))="yes"),AND(LEN(TRIM($G2))&gt;0,LOWER(TRIM($G2))&lt;&gt;"n/a"),AND(LEN(TRIM($H2))&gt;0,LOWER(TRIM($H2))&lt;&gt;"n/a"),$G2&lt;&gt;$H2)</formula>
    </cfRule>
  </conditionalFormatting>
  <conditionalFormatting sqref="H2:H157 H159:H517">
    <cfRule type="expression" priority="86" dxfId="28" stopIfTrue="1">
      <formula>AND(OR(LOWER(TRIM($B2))="yes",LOWER(TRIM($C2))="yes"),AND(LEN(TRIM($G2))&gt;0,LOWER(TRIM($G2))&lt;&gt;"n/a"),AND(LEN(TRIM($H2))&gt;0,LOWER(TRIM($H2))&lt;&gt;"n/a"),$G2&lt;&gt;$H2)</formula>
    </cfRule>
    <cfRule type="expression" priority="90" dxfId="18">
      <formula>AND(LOWER(TRIM($B2))="yes",NOT(AND(LEN(TRIM($H2))&gt;0,LOWER(TRIM($H2))&lt;&gt;"n/a")))</formula>
    </cfRule>
    <cfRule type="expression" priority="106" dxfId="17">
      <formula>AND(AND(NOT(LOWER(TRIM($B2))="yes"),NOT(LOWER(TRIM($C2))="yes")),NOT(AND(LEN(TRIM($H2))&gt;0,LOWER(TRIM($H2))&lt;&gt;"n/a")))</formula>
    </cfRule>
    <cfRule type="expression" priority="298" dxfId="18">
      <formula>AND(LOWER(TRIM($B2))="yes",NOT(AND(LEN(TRIM($H2))&gt;0,LOWER(TRIM($H2))&lt;&gt;"n/a")))</formula>
    </cfRule>
    <cfRule type="expression" priority="336" dxfId="17">
      <formula>AND(AND(NOT(LOWER(TRIM($B2))="yes"),NOT(LOWER(TRIM($C2))="yes")),NOT(AND(LEN(TRIM($H2))&gt;0,LOWER(TRIM($H2))&lt;&gt;"n/a")))</formula>
    </cfRule>
    <cfRule type="expression" priority="691" dxfId="18">
      <formula>AND(UPPER(TRIM($B2))="YES",LEN(TRIM($H2))=0)</formula>
    </cfRule>
    <cfRule type="expression" priority="715" dxfId="17">
      <formula>AND(LEN(TRIM($A2))&gt;0,UPPER(TRIM($B2))&lt;&gt;"YES",LEN(TRIM($H2))=0)</formula>
    </cfRule>
  </conditionalFormatting>
  <conditionalFormatting sqref="H155">
    <cfRule type="expression" priority="690" dxfId="33" stopIfTrue="1">
      <formula>AND($B155="Yes",$G157&lt;&gt;"",$H155&lt;&gt;"",LOWER(TRIM($G157))&lt;&gt;LOWER(TRIM($H155)))</formula>
    </cfRule>
  </conditionalFormatting>
  <conditionalFormatting sqref="I2:I518">
    <cfRule type="expression" priority="696" dxfId="18">
      <formula>AND(UPPER(TRIM($B2))="YES",LEN(TRIM($I2))=0)</formula>
    </cfRule>
  </conditionalFormatting>
  <conditionalFormatting sqref="I202 J2:J518">
    <cfRule type="expression" priority="75" dxfId="18">
      <formula>AND(UPPER(TRIM($B2))="YES",LEN(TRIM($J2))=0)</formula>
    </cfRule>
  </conditionalFormatting>
  <conditionalFormatting sqref="K2:K518">
    <cfRule type="expression" priority="713" dxfId="18">
      <formula>AND(UPPER(TRIM($B2))="YES",LEN(TRIM($K2))=0)</formula>
    </cfRule>
  </conditionalFormatting>
  <conditionalFormatting sqref="K193">
    <cfRule type="expression" priority="77" dxfId="18">
      <formula>AND(UPPER(TRIM($B193))="YES",LEN(TRIM($J193))=0)</formula>
    </cfRule>
  </conditionalFormatting>
  <conditionalFormatting sqref="K202">
    <cfRule type="expression" priority="76" dxfId="18">
      <formula>AND(UPPER(TRIM($B202))="YES",LEN(TRIM($J202))=0)</formula>
    </cfRule>
  </conditionalFormatting>
  <conditionalFormatting sqref="L2:L518">
    <cfRule type="expression" priority="87" dxfId="18">
      <formula>AND(LOWER(TRIM($B2))="yes",NOT(AND(LEN(TRIM($L2))&gt;0,LOWER(TRIM($L2))&lt;&gt;"n/a")))</formula>
    </cfRule>
    <cfRule type="expression" priority="695" dxfId="18">
      <formula>AND(UPPER(TRIM($B2))="YES",LEN(TRIM($L2))=0)</formula>
    </cfRule>
  </conditionalFormatting>
  <conditionalFormatting sqref="L2:M518">
    <cfRule type="expression" priority="2142" dxfId="28">
      <formula>AND($CO2="Yes",$A2&lt;&gt;"Neuron",COUNTBLANK($E2:$P2)&gt;0)</formula>
    </cfRule>
  </conditionalFormatting>
  <conditionalFormatting sqref="M2:M518">
    <cfRule type="expression" priority="103" dxfId="282">
      <formula>AND(LOWER(TRIM($B2))="yes",NOT(AND(LEN(TRIM($M2))&gt;0,LOWER(TRIM($M2))&lt;&gt;"n/a")))</formula>
    </cfRule>
    <cfRule type="expression" priority="495" dxfId="5">
      <formula>AND($A2&lt;&gt;"",LEN(TRIM($M2))=0)</formula>
    </cfRule>
    <cfRule type="expression" priority="694" dxfId="153">
      <formula>AND(UPPER(TRIM($B2))="YES",LEN(TRIM($M2))=0)</formula>
    </cfRule>
  </conditionalFormatting>
  <conditionalFormatting sqref="M2:R518">
    <cfRule type="expression" priority="2649" dxfId="279">
      <formula>AND($A2="Cybernet",$Z2&lt;&gt;"",E2="")</formula>
    </cfRule>
  </conditionalFormatting>
  <conditionalFormatting sqref="T2:T518">
    <cfRule type="expression" priority="2300" dxfId="5">
      <formula>$CW2="SET_NA"</formula>
    </cfRule>
  </conditionalFormatting>
  <conditionalFormatting sqref="U2:U518 V344">
    <cfRule type="expression" priority="2132" dxfId="142">
      <formula>AND($AD2&lt;&gt;"",OR($BZ2="Yes",$P2&lt;&gt;""))</formula>
    </cfRule>
    <cfRule type="expression" priority="2133" dxfId="276">
      <formula>AND($AD2&lt;&gt;"",$BZ2&lt;&gt;"Yes",$P2="")</formula>
    </cfRule>
  </conditionalFormatting>
  <conditionalFormatting sqref="V2:V72 V74:V269 V271:V324 V326:V337 V339:W341 V347:V349 V351 V353 V355 V357 V359 V361 V363 V365 V367 V369 V371 V373 V375:V517 W332:W338 W344 W347">
    <cfRule type="expression" priority="2371" dxfId="5" stopIfTrue="1">
      <formula>AND($V2&lt;&gt;"",LOWER(TRIM($V2))&lt;&gt;"n/a",LOWER(TRIM($V2))&lt;&gt;"na",SUMPRODUCT(--(UPPER(TRIM($V$2:$V$518))=UPPER(TRIM($V2))),--(TRIM($V$2:$V$518)&lt;&gt;""),--(LOWER(TRIM($V$2:$V$518))&lt;&gt;"n/a"),--(LOWER(TRIM($V$2:$V$518))&lt;&gt;"na"))&gt;1)</formula>
    </cfRule>
  </conditionalFormatting>
  <conditionalFormatting sqref="B2:C518 V2:V72 V74:V269 V271:V324 V339:W341 V351 V353 V355 V357 V359 V361 V363 V365 V367 V369 V371 V373 V375:V517 W338 X2:X46 X141:X337 X339:X343 X351:X517">
    <cfRule type="expression" priority="2143" dxfId="1">
      <formula>AND($B2="Yes",$CO2="Yes")</formula>
    </cfRule>
    <cfRule type="expression" priority="2148" dxfId="5">
      <formula>AND($B2="Yes",$CO2&lt;&gt;"Yes")</formula>
    </cfRule>
  </conditionalFormatting>
  <conditionalFormatting sqref="V78 W2:W324 W326:W331 W356:W364 W376:W518">
    <cfRule type="expression" priority="2380" dxfId="5" stopIfTrue="1">
      <formula>AND($W2&lt;&gt;"",LOWER(TRIM($W2))&lt;&gt;"n/a",LOWER(TRIM($W2))&lt;&gt;"na",SUMPRODUCT(--(UPPER(TRIM($W$2:$W$518))=UPPER(TRIM($W2))),--(TRIM($W$2:$W$518)&lt;&gt;""),--(LOWER(TRIM($W$2:$W$518))&lt;&gt;"n/a"),--(LOWER(TRIM($W$2:$W$518))&lt;&gt;"na"))&gt;1)</formula>
    </cfRule>
  </conditionalFormatting>
  <conditionalFormatting sqref="V91:V95">
    <cfRule type="expression" priority="2139" dxfId="13" stopIfTrue="1">
      <formula>AND(INDEX($A:$BZ,ROW(),MATCH("Deployed",$A$1:$BZ$1,0))="Yes",LEN(TRIM(S91))=0)</formula>
    </cfRule>
  </conditionalFormatting>
  <conditionalFormatting sqref="V96:V135">
    <cfRule type="expression" priority="2140" dxfId="13" stopIfTrue="1">
      <formula>AND(INDEX($A:$CA,ROW(),MATCH("Deployed",$A$1:$CA$1,0))="Yes",LEN(TRIM(S96))=0)</formula>
    </cfRule>
  </conditionalFormatting>
  <conditionalFormatting sqref="V326:V337 W332:W337">
    <cfRule type="expression" priority="3048" dxfId="1">
      <formula>AND($B325="Yes",$CO325="Yes")</formula>
    </cfRule>
    <cfRule type="expression" priority="3120" dxfId="5">
      <formula>AND($B325="Yes",$CO325&lt;&gt;"Yes")</formula>
    </cfRule>
  </conditionalFormatting>
  <conditionalFormatting sqref="V348">
    <cfRule type="expression" priority="2839" dxfId="21" stopIfTrue="1">
      <formula>AND(LOWER(TRIM($B350))="yes",LEN(TRIM(U350))=0)</formula>
    </cfRule>
    <cfRule type="expression" priority="2856" dxfId="19">
      <formula>AND($B350="Yes",$S350&lt;&gt;"")</formula>
    </cfRule>
    <cfRule type="expression" priority="2922" dxfId="49" stopIfTrue="1">
      <formula>$F350="Yes"</formula>
    </cfRule>
    <cfRule type="expression" priority="3145" dxfId="18">
      <formula>AND(LOWER(TRIM($B350))="yes",ISNUMBER(SEARCH("cybernet",LOWER(TRIM($A350)))),NOT(AND(LEN(TRIM($V348))&gt;0,LOWER(TRIM($V348))&lt;&gt;"n/a")))</formula>
    </cfRule>
    <cfRule type="expression" priority="3146" dxfId="18">
      <formula>AND(LOWER(TRIM($B350))="yes",ISNUMBER(SEARCH("neuron",LOWER(TRIM($A350)))),NOT(AND(LEN(TRIM($V348))&gt;0,LOWER(TRIM($V348))&lt;&gt;"n/a")))</formula>
    </cfRule>
    <cfRule type="expression" priority="3147" dxfId="17">
      <formula>AND(AND(NOT(LOWER(TRIM($B350))="yes"),NOT(LOWER(TRIM($C350))="yes")),ISNUMBER(SEARCH("cybernet",LOWER(TRIM($A350)))),NOT(AND(LEN(TRIM($V348))&gt;0,LOWER(TRIM($V348))&lt;&gt;"n/a")))</formula>
    </cfRule>
    <cfRule type="expression" priority="3148" dxfId="18">
      <formula>AND(LOWER(TRIM($B350))="yes",ISNUMBER(SEARCH("cybernet",LOWER($A350))),NOT(AND(LEN(TRIM($V348))&gt;0,LOWER(TRIM($V348))&lt;&gt;"n/a")))</formula>
    </cfRule>
    <cfRule type="expression" priority="3149" dxfId="18">
      <formula>AND(LOWER(TRIM($B350))="yes",ISNUMBER(SEARCH("neuron",LOWER($A350))),NOT(AND(LEN(TRIM($V348))&gt;0,LOWER(TRIM($V348))&lt;&gt;"n/a")))</formula>
    </cfRule>
    <cfRule type="expression" priority="3150" dxfId="17">
      <formula>AND(AND(NOT(LOWER(TRIM($B350))="yes"),NOT(LOWER(TRIM($C350))="yes")),ISNUMBER(SEARCH("cybernet",LOWER($A350))),NOT(AND(LEN(TRIM($V348))&gt;0,LOWER(TRIM($V348))&lt;&gt;"n/a")))</formula>
    </cfRule>
    <cfRule type="expression" priority="3151" dxfId="18">
      <formula>AND(UPPER(TRIM($B350))="YES",UPPER(TRIM($A350))="CYBERNET",LEN(TRIM(V348))=0)</formula>
    </cfRule>
    <cfRule type="expression" priority="3152" dxfId="17">
      <formula>AND(UPPER(TRIM($B350))&lt;&gt;"YES",UPPER(TRIM($A350))="CYBERNET",LEN(TRIM(V348))=0)</formula>
    </cfRule>
    <cfRule type="expression" priority="3297" dxfId="1">
      <formula>AND($B350="Yes",$CO350="Yes")</formula>
    </cfRule>
    <cfRule type="expression" priority="3298" dxfId="5">
      <formula>AND($B350="Yes",$CO350&lt;&gt;"Yes")</formula>
    </cfRule>
  </conditionalFormatting>
  <conditionalFormatting sqref="V349">
    <cfRule type="expression" priority="1" dxfId="20" stopIfTrue="1">
      <formula>LEN(TRIM(V349))=0</formula>
    </cfRule>
    <cfRule type="expression" priority="3" dxfId="21" stopIfTrue="1">
      <formula>AND(LOWER(TRIM($B344))="yes",LEN(TRIM(U344))=0)</formula>
    </cfRule>
    <cfRule type="expression" priority="4" dxfId="19">
      <formula>AND($B344="Yes",$S344&lt;&gt;"")</formula>
    </cfRule>
    <cfRule type="expression" priority="6" dxfId="49" stopIfTrue="1">
      <formula>$F344="Yes"</formula>
    </cfRule>
  </conditionalFormatting>
  <conditionalFormatting sqref="B2:E518 V2:W72 V74:W269 V271:W324 V326:W337 V339:W341 V347:W348 V351 V353 V355 V357 V359 V361 V363 V365 V367 V369 V371 V373 V375 V376:W517 W73 W270 W338 W344 W356:W364">
    <cfRule type="expression" priority="487" dxfId="20" stopIfTrue="1">
      <formula>LEN(TRIM(B2))=0</formula>
    </cfRule>
  </conditionalFormatting>
  <conditionalFormatting sqref="C2:E518 T2:T518 V2:W72 V74:W269 V271:W324 V339:W341 V351 V353 V355 V357 V359 V361 V363 V365 V367 V369 V371 V373 V375 V376:W517 W73 W270 W338 W356:W364 Y2:Y319 Y321:Y337 Y339:Y517 AQ3:AQ133 AQ135:AQ206 AQ208:AQ219 AQ221:AQ298 AQ300:AQ517 AY2:AY35 AY37:AY137 AY139:AY192 AY196:AY517">
    <cfRule type="expression" priority="485" dxfId="21" stopIfTrue="1">
      <formula>AND(LOWER(TRIM($B2))="yes",LEN(TRIM(B2))=0)</formula>
    </cfRule>
  </conditionalFormatting>
  <conditionalFormatting sqref="V2:W72 V74:W269 V271:W324 V339:W341 V351 V353 V355 V357 V359 V361 V363 V365 V367 V369 V371 V373 V375 V376:W517 W73 W270 W338 W356:W364">
    <cfRule type="expression" priority="91" dxfId="18">
      <formula>AND(LOWER(TRIM($B2))="yes",ISNUMBER(SEARCH("cybernet",LOWER(TRIM($A2)))),NOT(AND(LEN(TRIM($V2))&gt;0,LOWER(TRIM($V2))&lt;&gt;"n/a")))</formula>
    </cfRule>
    <cfRule type="expression" priority="94" dxfId="18">
      <formula>AND(LOWER(TRIM($B2))="yes",ISNUMBER(SEARCH("neuron",LOWER(TRIM($A2)))),NOT(AND(LEN(TRIM($V2))&gt;0,LOWER(TRIM($V2))&lt;&gt;"n/a")))</formula>
    </cfRule>
    <cfRule type="expression" priority="107" dxfId="17">
      <formula>AND(AND(NOT(LOWER(TRIM($B2))="yes"),NOT(LOWER(TRIM($C2))="yes")),ISNUMBER(SEARCH("cybernet",LOWER(TRIM($A2)))),NOT(AND(LEN(TRIM($V2))&gt;0,LOWER(TRIM($V2))&lt;&gt;"n/a")))</formula>
    </cfRule>
    <cfRule type="expression" priority="287" dxfId="18">
      <formula>AND(LOWER(TRIM($B2))="yes",ISNUMBER(SEARCH("cybernet",LOWER($A2))),NOT(AND(LEN(TRIM($V2))&gt;0,LOWER(TRIM($V2))&lt;&gt;"n/a")))</formula>
    </cfRule>
    <cfRule type="expression" priority="290" dxfId="18">
      <formula>AND(LOWER(TRIM($B2))="yes",ISNUMBER(SEARCH("neuron",LOWER($A2))),NOT(AND(LEN(TRIM($V2))&gt;0,LOWER(TRIM($V2))&lt;&gt;"n/a")))</formula>
    </cfRule>
    <cfRule type="expression" priority="337" dxfId="17">
      <formula>AND(AND(NOT(LOWER(TRIM($B2))="yes"),NOT(LOWER(TRIM($C2))="yes")),ISNUMBER(SEARCH("cybernet",LOWER($A2))),NOT(AND(LEN(TRIM($V2))&gt;0,LOWER(TRIM($V2))&lt;&gt;"n/a")))</formula>
    </cfRule>
    <cfRule type="expression" priority="692" dxfId="18">
      <formula>AND(UPPER(TRIM($B2))="YES",UPPER(TRIM($A2))="CYBERNET",LEN(TRIM(V2))=0)</formula>
    </cfRule>
    <cfRule type="expression" priority="716" dxfId="17">
      <formula>AND(UPPER(TRIM($B2))&lt;&gt;"YES",UPPER(TRIM($A2))="CYBERNET",LEN(TRIM(V2))=0)</formula>
    </cfRule>
  </conditionalFormatting>
  <conditionalFormatting sqref="V326:W337 AT254">
    <cfRule type="expression" priority="2648" dxfId="49" stopIfTrue="1">
      <formula>$F253="Yes"</formula>
    </cfRule>
  </conditionalFormatting>
  <conditionalFormatting sqref="V326:W337">
    <cfRule type="expression" priority="3064" dxfId="21" stopIfTrue="1">
      <formula>AND(LOWER(TRIM($B325))="yes",LEN(TRIM(U325))=0)</formula>
    </cfRule>
    <cfRule type="expression" priority="3077" dxfId="18">
      <formula>AND(LOWER(TRIM($B325))="yes",ISNUMBER(SEARCH("cybernet",LOWER(TRIM($A325)))),NOT(AND(LEN(TRIM($V326))&gt;0,LOWER(TRIM($V326))&lt;&gt;"n/a")))</formula>
    </cfRule>
    <cfRule type="expression" priority="3078" dxfId="18">
      <formula>AND(LOWER(TRIM($B325))="yes",ISNUMBER(SEARCH("neuron",LOWER(TRIM($A325)))),NOT(AND(LEN(TRIM($V326))&gt;0,LOWER(TRIM($V326))&lt;&gt;"n/a")))</formula>
    </cfRule>
    <cfRule type="expression" priority="3079" dxfId="17">
      <formula>AND(AND(NOT(LOWER(TRIM($B325))="yes"),NOT(LOWER(TRIM($C325))="yes")),ISNUMBER(SEARCH("cybernet",LOWER(TRIM($A325)))),NOT(AND(LEN(TRIM($V326))&gt;0,LOWER(TRIM($V326))&lt;&gt;"n/a")))</formula>
    </cfRule>
    <cfRule type="expression" priority="3080" dxfId="18">
      <formula>AND(LOWER(TRIM($B325))="yes",ISNUMBER(SEARCH("cybernet",LOWER($A325))),NOT(AND(LEN(TRIM($V326))&gt;0,LOWER(TRIM($V326))&lt;&gt;"n/a")))</formula>
    </cfRule>
    <cfRule type="expression" priority="3081" dxfId="18">
      <formula>AND(LOWER(TRIM($B325))="yes",ISNUMBER(SEARCH("neuron",LOWER($A325))),NOT(AND(LEN(TRIM($V326))&gt;0,LOWER(TRIM($V326))&lt;&gt;"n/a")))</formula>
    </cfRule>
    <cfRule type="expression" priority="3082" dxfId="17">
      <formula>AND(AND(NOT(LOWER(TRIM($B325))="yes"),NOT(LOWER(TRIM($C325))="yes")),ISNUMBER(SEARCH("cybernet",LOWER($A325))),NOT(AND(LEN(TRIM($V326))&gt;0,LOWER(TRIM($V326))&lt;&gt;"n/a")))</formula>
    </cfRule>
    <cfRule type="expression" priority="3083" dxfId="18">
      <formula>AND(UPPER(TRIM($B325))="YES",UPPER(TRIM($A325))="CYBERNET",LEN(TRIM(V326))=0)</formula>
    </cfRule>
    <cfRule type="expression" priority="3084" dxfId="17">
      <formula>AND(UPPER(TRIM($B325))&lt;&gt;"YES",UPPER(TRIM($A325))="CYBERNET",LEN(TRIM(V326))=0)</formula>
    </cfRule>
    <cfRule type="expression" priority="3094" dxfId="19">
      <formula>AND($B325="Yes",$S325&lt;&gt;"")</formula>
    </cfRule>
  </conditionalFormatting>
  <conditionalFormatting sqref="V347:W347 V349">
    <cfRule type="expression" priority="2936" dxfId="1">
      <formula>AND($B342="Yes",$CO342="Yes")</formula>
    </cfRule>
    <cfRule type="expression" priority="2977" dxfId="5">
      <formula>AND($B342="Yes",$CO342&lt;&gt;"Yes")</formula>
    </cfRule>
    <cfRule type="expression" priority="3299" dxfId="18">
      <formula>AND(LOWER(TRIM($B342))="yes",ISNUMBER(SEARCH("cybernet",LOWER(TRIM($A342)))),NOT(AND(LEN(TRIM($V347))&gt;0,LOWER(TRIM($V347))&lt;&gt;"n/a")))</formula>
    </cfRule>
    <cfRule type="expression" priority="3300" dxfId="18">
      <formula>AND(LOWER(TRIM($B342))="yes",ISNUMBER(SEARCH("neuron",LOWER(TRIM($A342)))),NOT(AND(LEN(TRIM($V347))&gt;0,LOWER(TRIM($V347))&lt;&gt;"n/a")))</formula>
    </cfRule>
    <cfRule type="expression" priority="3301" dxfId="17">
      <formula>AND(AND(NOT(LOWER(TRIM($B342))="yes"),NOT(LOWER(TRIM($C342))="yes")),ISNUMBER(SEARCH("cybernet",LOWER(TRIM($A342)))),NOT(AND(LEN(TRIM($V347))&gt;0,LOWER(TRIM($V347))&lt;&gt;"n/a")))</formula>
    </cfRule>
    <cfRule type="expression" priority="3302" dxfId="18">
      <formula>AND(LOWER(TRIM($B342))="yes",ISNUMBER(SEARCH("cybernet",LOWER($A342))),NOT(AND(LEN(TRIM($V347))&gt;0,LOWER(TRIM($V347))&lt;&gt;"n/a")))</formula>
    </cfRule>
    <cfRule type="expression" priority="3303" dxfId="18">
      <formula>AND(LOWER(TRIM($B342))="yes",ISNUMBER(SEARCH("neuron",LOWER($A342))),NOT(AND(LEN(TRIM($V347))&gt;0,LOWER(TRIM($V347))&lt;&gt;"n/a")))</formula>
    </cfRule>
    <cfRule type="expression" priority="3304" dxfId="17">
      <formula>AND(AND(NOT(LOWER(TRIM($B342))="yes"),NOT(LOWER(TRIM($C342))="yes")),ISNUMBER(SEARCH("cybernet",LOWER($A342))),NOT(AND(LEN(TRIM($V347))&gt;0,LOWER(TRIM($V347))&lt;&gt;"n/a")))</formula>
    </cfRule>
    <cfRule type="expression" priority="3305" dxfId="18">
      <formula>AND(UPPER(TRIM($B342))="YES",UPPER(TRIM($A342))="CYBERNET",LEN(TRIM(V347))=0)</formula>
    </cfRule>
    <cfRule type="expression" priority="3306" dxfId="17">
      <formula>AND(UPPER(TRIM($B342))&lt;&gt;"YES",UPPER(TRIM($A342))="CYBERNET",LEN(TRIM(V347))=0)</formula>
    </cfRule>
  </conditionalFormatting>
  <conditionalFormatting sqref="V347:W347">
    <cfRule type="expression" priority="2948" dxfId="21" stopIfTrue="1">
      <formula>AND(LOWER(TRIM($B342))="yes",LEN(TRIM(U342))=0)</formula>
    </cfRule>
  </conditionalFormatting>
  <conditionalFormatting sqref="V347:W348">
    <cfRule type="expression" priority="2969" dxfId="19">
      <formula>AND($B342="Yes",$S342&lt;&gt;"")</formula>
    </cfRule>
    <cfRule type="expression" priority="3034" dxfId="49" stopIfTrue="1">
      <formula>$F342="Yes"</formula>
    </cfRule>
  </conditionalFormatting>
  <conditionalFormatting sqref="V2:X46 V47:W72 V74:W140 V141:X269 V271:X324 V339:W341 V351 V353 V355 V357 V359 V361 V363 V365 V367 V369 V371 V373 V375 V376:X517 W73 W270:X270 W338 W356:X364 X325:X337 X339:X343 X351:X355 X365:X375">
    <cfRule type="expression" priority="591" dxfId="19">
      <formula>AND($B2="Yes",$S2&lt;&gt;"")</formula>
    </cfRule>
  </conditionalFormatting>
  <conditionalFormatting sqref="V78 W2:W324 W356:W364 W376:W518">
    <cfRule type="expression" priority="2023" dxfId="21" stopIfTrue="1">
      <formula>AND(LOWER(TRIM($B2))="yes",LEN(TRIM(AB2))=0)</formula>
    </cfRule>
  </conditionalFormatting>
  <conditionalFormatting sqref="W326:W331">
    <cfRule type="expression" priority="3097" dxfId="21" stopIfTrue="1">
      <formula>AND(LOWER(TRIM($B325))="yes",LEN(TRIM(AC325))=0)</formula>
    </cfRule>
    <cfRule type="expression" priority="3104" dxfId="18">
      <formula>AND(LOWER(TRIM($B325))="yes",ISNUMBER(SEARCH("neuron",LOWER(TRIM($A325)))),NOT(AND(LEN(TRIM($X325))&gt;0,LOWER(TRIM($X325))&lt;&gt;"n/a")))</formula>
    </cfRule>
    <cfRule type="expression" priority="3105" dxfId="18">
      <formula>AND(LOWER(TRIM($B325))="yes",ISNUMBER(SEARCH("cybernet",LOWER(TRIM($A325)))),NOT(AND(LEN(TRIM($X325))&gt;0,LOWER(TRIM($X325))&lt;&gt;"n/a")))</formula>
    </cfRule>
    <cfRule type="expression" priority="3106" dxfId="18">
      <formula>AND(LOWER(TRIM($B325))="yes",ISNUMBER(SEARCH("neuron",LOWER($A325))),NOT(AND(LEN(TRIM($X325))&gt;0,LOWER(TRIM($X325))&lt;&gt;"n/a")))</formula>
    </cfRule>
    <cfRule type="expression" priority="3107" dxfId="18">
      <formula>AND(LOWER(TRIM($B325))="yes",ISNUMBER(SEARCH("cybernet",LOWER($A325))),NOT(AND(LEN(TRIM($X325))&gt;0,LOWER(TRIM($X325))&lt;&gt;"n/a")))</formula>
    </cfRule>
    <cfRule type="expression" priority="3108" dxfId="18">
      <formula>AND(UPPER(TRIM($B325))="YES",UPPER(TRIM($A325))="NEURON",LEN(TRIM(W326))=0)</formula>
    </cfRule>
  </conditionalFormatting>
  <conditionalFormatting sqref="W344">
    <cfRule type="expression" priority="3492" dxfId="21" stopIfTrue="1">
      <formula>AND(LOWER(TRIM($B337))="yes",LEN(TRIM(V337))=0)</formula>
    </cfRule>
    <cfRule type="expression" priority="3624" dxfId="49" stopIfTrue="1">
      <formula>$F337="Yes"</formula>
    </cfRule>
    <cfRule type="expression" priority="3629" dxfId="49" stopIfTrue="1">
      <formula>$F338="Yes"</formula>
    </cfRule>
    <cfRule type="expression" priority="3725" dxfId="1">
      <formula>AND($B337="Yes",$CO337="Yes")</formula>
    </cfRule>
    <cfRule type="expression" priority="3726" dxfId="19">
      <formula>AND($B337="Yes",$S337&lt;&gt;"")</formula>
    </cfRule>
    <cfRule type="expression" priority="3727" dxfId="5">
      <formula>AND($B337="Yes",$CO337&lt;&gt;"Yes")</formula>
    </cfRule>
    <cfRule type="expression" priority="3746" dxfId="18">
      <formula>AND(LOWER(TRIM($B337))="yes",ISNUMBER(SEARCH("cybernet",LOWER(TRIM($A337)))),NOT(AND(LEN(TRIM($V344))&gt;0,LOWER(TRIM($V344))&lt;&gt;"n/a")))</formula>
    </cfRule>
    <cfRule type="expression" priority="3747" dxfId="18">
      <formula>AND(LOWER(TRIM($B337))="yes",ISNUMBER(SEARCH("neuron",LOWER(TRIM($A337)))),NOT(AND(LEN(TRIM($V344))&gt;0,LOWER(TRIM($V344))&lt;&gt;"n/a")))</formula>
    </cfRule>
    <cfRule type="expression" priority="3748" dxfId="17">
      <formula>AND(AND(NOT(LOWER(TRIM($B337))="yes"),NOT(LOWER(TRIM($C337))="yes")),ISNUMBER(SEARCH("cybernet",LOWER(TRIM($A337)))),NOT(AND(LEN(TRIM($V344))&gt;0,LOWER(TRIM($V344))&lt;&gt;"n/a")))</formula>
    </cfRule>
    <cfRule type="expression" priority="3749" dxfId="18">
      <formula>AND(LOWER(TRIM($B337))="yes",ISNUMBER(SEARCH("cybernet",LOWER($A337))),NOT(AND(LEN(TRIM($V344))&gt;0,LOWER(TRIM($V344))&lt;&gt;"n/a")))</formula>
    </cfRule>
    <cfRule type="expression" priority="3750" dxfId="18">
      <formula>AND(LOWER(TRIM($B337))="yes",ISNUMBER(SEARCH("neuron",LOWER($A337))),NOT(AND(LEN(TRIM($V344))&gt;0,LOWER(TRIM($V344))&lt;&gt;"n/a")))</formula>
    </cfRule>
    <cfRule type="expression" priority="3751" dxfId="17">
      <formula>AND(AND(NOT(LOWER(TRIM($B337))="yes"),NOT(LOWER(TRIM($C337))="yes")),ISNUMBER(SEARCH("cybernet",LOWER($A337))),NOT(AND(LEN(TRIM($V344))&gt;0,LOWER(TRIM($V344))&lt;&gt;"n/a")))</formula>
    </cfRule>
    <cfRule type="expression" priority="3752" dxfId="18">
      <formula>AND(UPPER(TRIM($B337))="YES",UPPER(TRIM($A337))="CYBERNET",LEN(TRIM(W344))=0)</formula>
    </cfRule>
    <cfRule type="expression" priority="3753" dxfId="17">
      <formula>AND(UPPER(TRIM($B337))&lt;&gt;"YES",UPPER(TRIM($A337))="CYBERNET",LEN(TRIM(W344))=0)</formula>
    </cfRule>
  </conditionalFormatting>
  <conditionalFormatting sqref="V78 W2:X324 W356:X364 W376:X518 X325:X337 X339:X343 X351:X355 X365:X375">
    <cfRule type="expression" priority="68" dxfId="18">
      <formula>AND(LOWER(TRIM($B2))="yes",ISNUMBER(SEARCH("neuron",LOWER(TRIM($A2)))),NOT(AND(LEN(TRIM($X2))&gt;0,LOWER(TRIM($X2))&lt;&gt;"n/a")))</formula>
    </cfRule>
    <cfRule type="expression" priority="69" dxfId="18">
      <formula>AND(LOWER(TRIM($B2))="yes",ISNUMBER(SEARCH("cybernet",LOWER(TRIM($A2)))),NOT(AND(LEN(TRIM($X2))&gt;0,LOWER(TRIM($X2))&lt;&gt;"n/a")))</formula>
    </cfRule>
    <cfRule type="expression" priority="70" dxfId="18">
      <formula>AND(LOWER(TRIM($B2))="yes",ISNUMBER(SEARCH("neuron",LOWER($A2))),NOT(AND(LEN(TRIM($X2))&gt;0,LOWER(TRIM($X2))&lt;&gt;"n/a")))</formula>
    </cfRule>
    <cfRule type="expression" priority="71" dxfId="18">
      <formula>AND(LOWER(TRIM($B2))="yes",ISNUMBER(SEARCH("cybernet",LOWER($A2))),NOT(AND(LEN(TRIM($X2))&gt;0,LOWER(TRIM($X2))&lt;&gt;"n/a")))</formula>
    </cfRule>
    <cfRule type="expression" priority="72" dxfId="18">
      <formula>AND(UPPER(TRIM($B2))="YES",UPPER(TRIM($A2))="NEURON",LEN(TRIM(V2))=0)</formula>
    </cfRule>
  </conditionalFormatting>
  <conditionalFormatting sqref="X2:X337 X351:X518">
    <cfRule type="expression" priority="2437" dxfId="5" stopIfTrue="1">
      <formula>AND($X2&lt;&gt;"",LOWER(TRIM($X2))&lt;&gt;"n/a",LOWER(TRIM($X2))&lt;&gt;"na",SUMPRODUCT(--(UPPER(TRIM($X$2:$X$518))=UPPER(TRIM($X2))),--(TRIM($X$2:$X$518)&lt;&gt;""),--(LOWER(TRIM($X$2:$X$518))&lt;&gt;"n/a"),--(LOWER(TRIM($X$2:$X$518))&lt;&gt;"na"))&gt;1)</formula>
    </cfRule>
    <cfRule type="expression" priority="2438" dxfId="21" stopIfTrue="1">
      <formula>AND(LOWER(TRIM($B2))="yes",LEN(TRIM(V2))=0)</formula>
    </cfRule>
  </conditionalFormatting>
  <conditionalFormatting sqref="X339:X343">
    <cfRule type="expression" priority="3542" dxfId="5" stopIfTrue="1">
      <formula>AND($X339&lt;&gt;"",LOWER(TRIM($X339))&lt;&gt;"n/a",LOWER(TRIM($X339))&lt;&gt;"na",SUMPRODUCT(--(UPPER(TRIM($X$2:$X$518))=UPPER(TRIM($X339))),--(TRIM($X$2:$X$518)&lt;&gt;""),--(LOWER(TRIM($X$2:$X$518))&lt;&gt;"n/a"),--(LOWER(TRIM($X$2:$X$518))&lt;&gt;"na"))&gt;1)</formula>
    </cfRule>
    <cfRule type="expression" priority="3543" dxfId="21" stopIfTrue="1">
      <formula>AND(LOWER(TRIM($B339))="yes",LEN(TRIM(V338))=0)</formula>
    </cfRule>
  </conditionalFormatting>
  <conditionalFormatting sqref="Y2:Y319 Y321:Y337 Y339:Y517">
    <cfRule type="expression" priority="2441" dxfId="5" stopIfTrue="1">
      <formula>AND($Y2&lt;&gt;"",LOWER(TRIM($Y2))&lt;&gt;"n/a",LOWER(TRIM($Y2))&lt;&gt;"na",SUMPRODUCT(--(UPPER(SUBSTITUTE(SUBSTITUTE(TRIM($Y$2:$Y$518),":",""),"-",""))=UPPER(SUBSTITUTE(SUBSTITUTE(TRIM($Y2),":",""),"-",""))),--(TRIM($Y$2:$Y$518)&lt;&gt;""),--(LOWER(TRIM($Y$2:$Y$518))&lt;&gt;"n/a"),--(LOWER(TRIM($Y$2:$Y$518))&lt;&gt;"na"))&gt;1)</formula>
    </cfRule>
    <cfRule type="expression" priority="2442" dxfId="18">
      <formula>AND(UPPER(TRIM($B2))="YES",UPPER(TRIM($A2))="NEURON",LEN(TRIM(Y2))=0)</formula>
    </cfRule>
    <cfRule type="expression" priority="2443" dxfId="18">
      <formula>AND(LOWER(TRIM($B2))="yes",AND(LEN(TRIM($X2))&gt;0,LOWER(TRIM($X2))&lt;&gt;"n/a"),NOT(AND(LEN(TRIM($Y2))&gt;0,LOWER(TRIM($Y2))&lt;&gt;"n/a")))</formula>
    </cfRule>
  </conditionalFormatting>
  <conditionalFormatting sqref="Z2:Z337 Z339:Z518">
    <cfRule type="expression" priority="95" dxfId="18">
      <formula>AND(LOWER(TRIM($B2))="yes",AND(LEN(TRIM($X2))&gt;0,LOWER(TRIM($X2))&lt;&gt;"n/a"),NOT(AND(LEN(TRIM($Z2))&gt;0,LOWER(TRIM($Z2))&lt;&gt;"n/a")))</formula>
    </cfRule>
  </conditionalFormatting>
  <conditionalFormatting sqref="Z338">
    <cfRule type="expression" priority="3352" dxfId="18">
      <formula>AND(LOWER(TRIM($B338))="yes",AND(LEN(TRIM(#REF!))&gt;0,LOWER(TRIM(#REF!))&lt;&gt;"n/a"),NOT(AND(LEN(TRIM($Z338))&gt;0,LOWER(TRIM($Z338))&lt;&gt;"n/a")))</formula>
    </cfRule>
  </conditionalFormatting>
  <conditionalFormatting sqref="AB2:AB320 AB322:AB517">
    <cfRule type="expression" priority="2452" dxfId="5" stopIfTrue="1">
      <formula>AND($AB2&lt;&gt;"",LOWER(TRIM($AB2))&lt;&gt;"n/a",LOWER(TRIM($AB2))&lt;&gt;"na",SUMPRODUCT(--(UPPER(TRIM($AB$2:$AB$518))=UPPER(TRIM($AB2))),--(TRIM($AB$2:$AB$518)&lt;&gt;""),--(LOWER(TRIM($AB$2:$AB$518))&lt;&gt;"n/a"),--(LOWER(TRIM($AB$2:$AB$518))&lt;&gt;"na"))&gt;1)</formula>
    </cfRule>
  </conditionalFormatting>
  <conditionalFormatting sqref="AH2:AH518">
    <cfRule type="expression" priority="2455" dxfId="5" stopIfTrue="1">
      <formula>AND($AH2&lt;&gt;"",LOWER(TRIM($AH2))&lt;&gt;"n/a",LOWER(TRIM($AH2))&lt;&gt;"na",SUMPRODUCT(--(UPPER(SUBSTITUTE(SUBSTITUTE(TRIM($AH$2:$AH$518),":",""),"-",""))=UPPER(SUBSTITUTE(SUBSTITUTE(TRIM($AH2),":",""),"-",""))),--(TRIM($AH$2:$AH$518)&lt;&gt;""),--(LOWER(TRIM($AH$2:$AH$518))&lt;&gt;"n/a"),--(LOWER(TRIM($AH$2:$AH$518))&lt;&gt;"na"))&gt;1)</formula>
    </cfRule>
  </conditionalFormatting>
  <conditionalFormatting sqref="AI2:AI518">
    <cfRule type="expression" priority="927" dxfId="18">
      <formula>AND(LOWER(TRIM($B2))="yes",OR(ISNUMBER(SEARCH("cybernet",LOWER(TRIM($A2)))),ISNUMBER(SEARCH("neuron",LOWER(TRIM($A2))))),NOT(AND(LEN(TRIM($AI2))&gt;0,LOWER(TRIM($AI2))&lt;&gt;"n/a")))</formula>
    </cfRule>
    <cfRule type="expression" priority="958" dxfId="18">
      <formula>AND(UPPER(TRIM($B2))="YES",LEN(TRIM($AI2))=0)</formula>
    </cfRule>
    <cfRule type="expression" priority="959" dxfId="18">
      <formula>AND(LOWER(TRIM($B2))="yes",OR(ISNUMBER(SEARCH("cybernet",LOWER($A2))),ISNUMBER(SEARCH("neuron",LOWER($A2)))),NOT(AND(LEN(TRIM($AI2))&gt;0,LOWER(TRIM($AI2))&lt;&gt;"n/a")))</formula>
    </cfRule>
  </conditionalFormatting>
  <conditionalFormatting sqref="AN2:AN84 AN86:AN210 AN212:AN517">
    <cfRule type="expression" priority="956" dxfId="153">
      <formula>AND(UPPER(TRIM($B2))="YES",LEN(TRIM($AN2))=0)</formula>
    </cfRule>
  </conditionalFormatting>
  <conditionalFormatting sqref="AN225 AP2:AP192 AP196:AP206 AP208:AP517 AQ225">
    <cfRule type="expression" priority="2067" dxfId="18">
      <formula>AND(LOWER(TRIM($B2))="yes",OR(ISNUMBER(SEARCH("cybernet",LOWER(TRIM($A2)))),ISNUMBER(SEARCH("neuron",LOWER(TRIM($A2))))),AND(LEN(TRIM($AI2))&gt;0,LOWER(TRIM($AI2))&lt;&gt;"n/a"),ISNUMBER(SEARCH("anesthesia",LOWER(TRIM($AI2)))),NOT(AND(LEN(TRIM($AP2))&gt;0,LOWER(TRIM($AP2))&lt;&gt;"n/a")))</formula>
    </cfRule>
    <cfRule type="expression" priority="2068" dxfId="18">
      <formula>AND(LOWER(TRIM($B2))="yes",ISNUMBER(SEARCH("anesthesia",LOWER($AI2))),NOT(AND(LEN(TRIM($AP2))&gt;0,LOWER(TRIM($AP2))&lt;&gt;"n/a")))</formula>
    </cfRule>
    <cfRule type="expression" priority="2069" dxfId="153">
      <formula>AND(UPPER(TRIM($B2))="YES",LEN(TRIM($AP2))=0)</formula>
    </cfRule>
  </conditionalFormatting>
  <conditionalFormatting sqref="AO2:AO518">
    <cfRule type="expression" priority="2467" dxfId="14" stopIfTrue="1">
      <formula>AND($AO2&lt;&gt;"",LOWER(TRIM($AO2))&lt;&gt;"n/a",LOWER(TRIM($AO2))&lt;&gt;"na",COUNTIF($AO$2:$AO$518,$AO2)&gt;1)</formula>
    </cfRule>
    <cfRule type="expression" priority="2468" dxfId="18">
      <formula>AND(LOWER(TRIM($B2))="yes",OR(ISNUMBER(SEARCH("cybernet",LOWER(TRIM($A2)))),ISNUMBER(SEARCH("neuron",LOWER(TRIM($A2))))),AND(LEN(TRIM($AI2))&gt;0,LOWER(TRIM($AI2))&lt;&gt;"n/a"),ISNUMBER(SEARCH("dialysis",LOWER(TRIM($AI2)))),NOT(AND(LEN(TRIM($AO2))&gt;0,LOWER(TRIM($AO2))&lt;&gt;"n/a")))</formula>
    </cfRule>
    <cfRule type="expression" priority="2469" dxfId="18">
      <formula>AND(LOWER(TRIM($B2))="yes",ISNUMBER(SEARCH("dialysis",LOWER($AI2))),NOT(AND(LEN(TRIM($AO2))&gt;0,LOWER(TRIM($AO2))&lt;&gt;"n/a")))</formula>
    </cfRule>
  </conditionalFormatting>
  <conditionalFormatting sqref="AP193:AP194 AX193:BA194">
    <cfRule type="expression" priority="1882" dxfId="49" stopIfTrue="1">
      <formula>$F194="Yes"</formula>
    </cfRule>
  </conditionalFormatting>
  <conditionalFormatting sqref="AP193:AP194">
    <cfRule type="expression" priority="2184" dxfId="18">
      <formula>AND(LOWER(TRIM($B194))="yes",OR(ISNUMBER(SEARCH("cybernet",LOWER(TRIM($A194)))),ISNUMBER(SEARCH("neuron",LOWER(TRIM($A194))))),AND(LEN(TRIM($AI194))&gt;0,LOWER(TRIM($AI194))&lt;&gt;"n/a"),ISNUMBER(SEARCH("anesthesia",LOWER(TRIM($AI194)))),NOT(AND(LEN(TRIM($AP193))&gt;0,LOWER(TRIM($AP193))&lt;&gt;"n/a")))</formula>
    </cfRule>
    <cfRule type="expression" priority="2185" dxfId="18">
      <formula>AND(LOWER(TRIM($B194))="yes",ISNUMBER(SEARCH("anesthesia",LOWER($AI194))),NOT(AND(LEN(TRIM($AP193))&gt;0,LOWER(TRIM($AP193))&lt;&gt;"n/a")))</formula>
    </cfRule>
    <cfRule type="expression" priority="2186" dxfId="153">
      <formula>AND(UPPER(TRIM($B194))="YES",LEN(TRIM($AP193))=0)</formula>
    </cfRule>
  </conditionalFormatting>
  <conditionalFormatting sqref="AN225 AP2:AP194 AP196:AP206 AP208:AP517 AQ225">
    <cfRule type="expression" priority="2479" dxfId="5" stopIfTrue="1">
      <formula>AND($AP2&lt;&gt;"",LOWER(TRIM($AP2))&lt;&gt;"n/a",LOWER(TRIM($AP2))&lt;&gt;"na",SUMPRODUCT(--(UPPER(TRIM($AP$2:$AP$518))=UPPER(TRIM($AP2))),--(TRIM($AP$2:$AP$518)&lt;&gt;""),--(LOWER(TRIM($AP$2:$AP$518))&lt;&gt;"n/a"),--(LOWER(TRIM($AP$2:$AP$518))&lt;&gt;"na"))&gt;1)</formula>
    </cfRule>
  </conditionalFormatting>
  <conditionalFormatting sqref="AJ2:AJ518 AP296:AQ297">
    <cfRule type="expression" priority="2463" dxfId="14" stopIfTrue="1">
      <formula>AND($AJ2&lt;&gt;"",LOWER(TRIM($AJ2))&lt;&gt;"n/a",LOWER(TRIM($AJ2))&lt;&gt;"na",COUNTIF($AJ$2:$AJ$518,$AJ2)&gt;1)</formula>
    </cfRule>
  </conditionalFormatting>
  <conditionalFormatting sqref="AQ3:AQ133 AQ135:AQ206 AQ208:AQ219 AQ221:AQ298 AQ300:AQ517 AY120">
    <cfRule type="expression" priority="2075" dxfId="18">
      <formula>AND(LOWER(TRIM($B3))="yes",OR(ISNUMBER(SEARCH("cybernet",LOWER(TRIM($A3)))),ISNUMBER(SEARCH("neuron",LOWER(TRIM($A3))))),AND(LEN(TRIM($AI3))&gt;0,LOWER(TRIM($AI3))&lt;&gt;"n/a"),NOT(ISNUMBER(SEARCH("anesthesia",LOWER(TRIM($AI3))))),NOT(ISNUMBER(SEARCH("dialysis",LOWER(TRIM($AI3))))),NOT(AND(LEN(TRIM($AQ3))&gt;0,LOWER(TRIM($AQ3))&lt;&gt;"n/a")))</formula>
    </cfRule>
    <cfRule type="expression" priority="2076" dxfId="18">
      <formula>AND(UPPER(TRIM($B3))="YES",LEN(TRIM($AQ3))=0)</formula>
    </cfRule>
    <cfRule type="expression" priority="2077" dxfId="18">
      <formula>AND(LOWER(TRIM($B3))="yes",NOT(ISNUMBER(SEARCH("anesthesia",LOWER($AI3)))),NOT(ISNUMBER(SEARCH("dialysis",LOWER($AI3)))),NOT(AND(LEN(TRIM($AQ3))&gt;0,LOWER(TRIM($AQ3))&lt;&gt;"n/a")))</formula>
    </cfRule>
    <cfRule type="expression" priority="2492" dxfId="5" stopIfTrue="1">
      <formula>AND($AQ3&lt;&gt;"",LOWER(TRIM($AQ3))&lt;&gt;"n/a",LOWER(TRIM($AQ3))&lt;&gt;"na",SUMPRODUCT(--(UPPER(TRIM($AQ$2:$AQ$518))=UPPER(TRIM($AQ3))),--(TRIM($AQ$2:$AQ$518)&lt;&gt;""),--(LOWER(TRIM($AQ$2:$AQ$518))&lt;&gt;"n/a"),--(LOWER(TRIM($AQ$2:$AQ$518))&lt;&gt;"na"))&gt;1)</formula>
    </cfRule>
  </conditionalFormatting>
  <conditionalFormatting sqref="AQ296:AQ297">
    <cfRule type="expression" priority="2499" dxfId="5" stopIfTrue="1">
      <formula>AND($AP296&lt;&gt;"",LOWER(TRIM($AP296))&lt;&gt;"n/a",LOWER(TRIM($AP296))&lt;&gt;"na",SUMPRODUCT(--(UPPER(TRIM($AP$2:$AP$518))=UPPER(TRIM($AP296))),--(TRIM($AP$2:$AP$518)&lt;&gt;""),--(LOWER(TRIM($AP$2:$AP$518))&lt;&gt;"n/a"),--(LOWER(TRIM($AP$2:$AP$518))&lt;&gt;"na"))&gt;1)</formula>
    </cfRule>
    <cfRule type="expression" priority="2500" dxfId="18">
      <formula>AND(LOWER(TRIM($B296))="yes",OR(ISNUMBER(SEARCH("cybernet",LOWER(TRIM($A296)))),ISNUMBER(SEARCH("neuron",LOWER(TRIM($A296))))),AND(LEN(TRIM($AI296))&gt;0,LOWER(TRIM($AI296))&lt;&gt;"n/a"),ISNUMBER(SEARCH("anesthesia",LOWER(TRIM($AI296)))),NOT(AND(LEN(TRIM($AP296))&gt;0,LOWER(TRIM($AP296))&lt;&gt;"n/a")))</formula>
    </cfRule>
    <cfRule type="expression" priority="2501" dxfId="18">
      <formula>AND(LOWER(TRIM($B296))="yes",ISNUMBER(SEARCH("anesthesia",LOWER($AI296))),NOT(AND(LEN(TRIM($AP296))&gt;0,LOWER(TRIM($AP296))&lt;&gt;"n/a")))</formula>
    </cfRule>
    <cfRule type="expression" priority="2502" dxfId="153">
      <formula>AND(UPPER(TRIM($B296))="YES",LEN(TRIM($AP296))=0)</formula>
    </cfRule>
  </conditionalFormatting>
  <conditionalFormatting sqref="AX2:AX37 AX39:AX126 AX128:AX192 AX196:AX219 AX221:AX517">
    <cfRule type="expression" priority="957" dxfId="153">
      <formula>AND(UPPER(TRIM($B2))="YES",LEN(TRIM($AX2))=0)</formula>
    </cfRule>
  </conditionalFormatting>
  <conditionalFormatting sqref="AX193:AX194">
    <cfRule type="expression" priority="1898" dxfId="153">
      <formula>AND(UPPER(TRIM($B194))="YES",LEN(TRIM($AX193))=0)</formula>
    </cfRule>
  </conditionalFormatting>
  <conditionalFormatting sqref="AY2:AY35 AY37:AY137 AY139:AY192 AY196:AY517">
    <cfRule type="expression" priority="932" dxfId="18">
      <formula>AND(LOWER(TRIM($B2))="yes",NOT(AND(LEN(TRIM($AY2))&gt;0,LOWER(TRIM($AY2))&lt;&gt;"n/a")))</formula>
    </cfRule>
    <cfRule type="expression" priority="955" dxfId="18">
      <formula>AND(UPPER(TRIM($B2))="YES",LEN(TRIM($AY2))=0)</formula>
    </cfRule>
  </conditionalFormatting>
  <conditionalFormatting sqref="AY193:AY194">
    <cfRule type="expression" priority="1893" dxfId="21" stopIfTrue="1">
      <formula>AND(LOWER(TRIM($B194))="yes",LEN(TRIM(AX193))=0)</formula>
    </cfRule>
    <cfRule type="expression" priority="1901" dxfId="18">
      <formula>AND(LOWER(TRIM($B194))="yes",NOT(AND(LEN(TRIM($AY193))&gt;0,LOWER(TRIM($AY193))&lt;&gt;"n/a")))</formula>
    </cfRule>
    <cfRule type="expression" priority="1902" dxfId="18">
      <formula>AND(UPPER(TRIM($B194))="YES",LEN(TRIM($AY193))=0)</formula>
    </cfRule>
  </conditionalFormatting>
  <conditionalFormatting sqref="A2:X46 A47:W72 A73:U73 A74:W140 A141:X157 A158:F158 A159:X269 A270:U270 A271:X324 A325:U329 A330:A375 A358:U375 A376:X517 B330:U350 B351:V351 B352:U357 D3:D192 G134:G148 G326:H375 I158:X158 V339:W341 V344 V353 V355 V357 V359 V361 V363 V365 V367 V369 V371 V373 V375 W2:W127 W270:X270 W338 W356:X364 X98:X101 X325:X337 X339:X343 X351:X355 X365:X375 Y2:AP2 Y3:BX35 Y36:AX36 Y37:BX37 Y38:AW38 Y39:BX84 Y85:AM85 Y86:BX97 Y98 Y99:Z99 Y100:Y101 Y102:AG319 Y321:AA321 Y322:AG337 Y339:AG517 Z320:AG320 Z338:AG338 AC321:AG321 AD2:AG518 AH102:AW102 AH103:BX126 AH127:AW127 AH128:BX133 AH134:AP134 AH135:BX137 AH138:AX138 AH139:BX192 AH193:AO195 AH196:BX206 AH207:AO207 AH208:BX210 AH211:AM211 AH212:BX219 AH220:AP220 AH221:BX252 AH253:AS254 AH255:BX298 AH299:AP299 AH300:BX517 AM98:BX100 AM101:AW101 AO85:BX85 AO211:BX211 AQ193:AW195 AR2:BX2 AS134:BX134 AS207:BX207 AS299:BX299 AT220:AW220 AU253:BX254 AY38:BX38 AY101:BX102 AY127:BX127 AY220:BX220 AZ36:BX36 AZ138:BX138 BB193:BX195 BY2:CM218 BY220:CM246 BY249:CM517 BZ219:CM219 BZ247:CM248 CO2:CZ517">
    <cfRule type="expression" priority="489" dxfId="49" stopIfTrue="1">
      <formula>$F2="Yes"</formula>
    </cfRule>
  </conditionalFormatting>
  <conditionalFormatting sqref="BY2:BY518 CA2:CA518">
    <cfRule type="expression" priority="2299" dxfId="5">
      <formula>ISNUMBER(SEARCH("requires a download check",LOWER($BY2)))</formula>
    </cfRule>
  </conditionalFormatting>
  <conditionalFormatting sqref="CA2:CA518">
    <cfRule type="expression" priority="2153" dxfId="18">
      <formula>AND(LOWER(TRIM($B2))="yes",ISNUMBER(SEARCH("cybernet",LOWER(TRIM($A2)))),NOT(AND(LEN(TRIM($CA2))&gt;0,LOWER(TRIM($CA2))&lt;&gt;"n/a")))</formula>
    </cfRule>
    <cfRule type="expression" priority="2154" dxfId="17">
      <formula>AND(AND(NOT(LOWER(TRIM($B2))="yes"),NOT(LOWER(TRIM($C2))="yes")),ISNUMBER(SEARCH("cybernet",LOWER(TRIM($A2)))),NOT(AND(LEN(TRIM($CA2))&gt;0,LOWER(TRIM($CA2))&lt;&gt;"n/a")))</formula>
    </cfRule>
    <cfRule type="expression" priority="2155" dxfId="18">
      <formula>AND(UPPER(TRIM($A2))="CYBERNET",UPPER(TRIM($B2))="YES",LEN(TRIM($CA2))=0)</formula>
    </cfRule>
    <cfRule type="expression" priority="2156" dxfId="142">
      <formula>AND(UPPER(TRIM($A2))="CYBERNET",UPPER(TRIM($B2))="YES",LEN(TRIM($CA2))&gt;0)</formula>
    </cfRule>
    <cfRule type="expression" priority="2157" dxfId="17">
      <formula>AND(UPPER(TRIM($A2))="CYBERNET",UPPER(TRIM($B2))&lt;&gt;"YES",LEN(TRIM($CA2))=0)</formula>
    </cfRule>
    <cfRule type="expression" priority="2158" dxfId="18">
      <formula>AND(LOWER(TRIM($B2))="yes",ISNUMBER(SEARCH("cybernet",LOWER($A2))),NOT(AND(LEN(TRIM($CA2))&gt;0,LOWER(TRIM($CA2))&lt;&gt;"n/a")))</formula>
    </cfRule>
    <cfRule type="expression" priority="2159" dxfId="17">
      <formula>AND(AND(NOT(LOWER(TRIM($B2))="yes"),NOT(LOWER(TRIM($C2))="yes")),ISNUMBER(SEARCH("cybernet",LOWER($A2))),NOT(AND(LEN(TRIM($CA2))&gt;0,LOWER(TRIM($CA2))&lt;&gt;"n/a")))</formula>
    </cfRule>
  </conditionalFormatting>
  <conditionalFormatting sqref="CE2:CE518">
    <cfRule type="expression" priority="513" dxfId="138">
      <formula>CA2="Yes"</formula>
    </cfRule>
    <cfRule type="expression" priority="514" dxfId="137">
      <formula>CA2="Blocked"</formula>
    </cfRule>
  </conditionalFormatting>
  <conditionalFormatting sqref="CG2:CG518">
    <cfRule type="expression" priority="486" dxfId="21" stopIfTrue="1">
      <formula>AND(LOWER(TRIM($B2))="yes",LEN(TRIM(CG2))=0,NOT(ISNUMBER(SEARCH("neuron",LOWER(TRIM($A2))))))</formula>
    </cfRule>
    <cfRule type="expression" priority="488" dxfId="20" stopIfTrue="1">
      <formula>AND(LEN(TRIM(CG2))=0,NOT(ISNUMBER(SEARCH("neuron",LOWER(TRIM($A2))))))</formula>
    </cfRule>
  </conditionalFormatting>
  <conditionalFormatting sqref="CT140:CU140">
    <cfRule type="expression" priority="2735" dxfId="18">
      <formula>AND(LOWER(TRIM($B140))="yes",ISNUMBER(SEARCH("cybernet",LOWER(TRIM($A140)))),NOT(AND(LEN(TRIM($V140))&gt;0,LOWER(TRIM($V140))&lt;&gt;"n/a")))</formula>
    </cfRule>
    <cfRule type="expression" priority="2736" dxfId="18">
      <formula>AND(LOWER(TRIM($B140))="yes",ISNUMBER(SEARCH("neuron",LOWER(TRIM($A140)))),NOT(AND(LEN(TRIM($V140))&gt;0,LOWER(TRIM($V140))&lt;&gt;"n/a")))</formula>
    </cfRule>
    <cfRule type="expression" priority="2737" dxfId="17">
      <formula>AND(AND(NOT(LOWER(TRIM($B140))="yes"),NOT(LOWER(TRIM($C140))="yes")),ISNUMBER(SEARCH("cybernet",LOWER(TRIM($A140)))),NOT(AND(LEN(TRIM($V140))&gt;0,LOWER(TRIM($V140))&lt;&gt;"n/a")))</formula>
    </cfRule>
    <cfRule type="expression" priority="2738" dxfId="18">
      <formula>AND(LOWER(TRIM($B140))="yes",ISNUMBER(SEARCH("cybernet",LOWER($A140))),NOT(AND(LEN(TRIM($V140))&gt;0,LOWER(TRIM($V140))&lt;&gt;"n/a")))</formula>
    </cfRule>
    <cfRule type="expression" priority="2739" dxfId="18">
      <formula>AND(LOWER(TRIM($B140))="yes",ISNUMBER(SEARCH("neuron",LOWER($A140))),NOT(AND(LEN(TRIM($V140))&gt;0,LOWER(TRIM($V140))&lt;&gt;"n/a")))</formula>
    </cfRule>
    <cfRule type="expression" priority="2740" dxfId="17">
      <formula>AND(AND(NOT(LOWER(TRIM($B140))="yes"),NOT(LOWER(TRIM($C140))="yes")),ISNUMBER(SEARCH("cybernet",LOWER($A140))),NOT(AND(LEN(TRIM($V140))&gt;0,LOWER(TRIM($V140))&lt;&gt;"n/a")))</formula>
    </cfRule>
    <cfRule type="expression" priority="2741" dxfId="21" stopIfTrue="1">
      <formula>AND(LOWER(TRIM($B140))="yes",LEN(TRIM(CS140))=0)</formula>
    </cfRule>
    <cfRule type="expression" priority="2742" dxfId="20" stopIfTrue="1">
      <formula>LEN(TRIM(CT140))=0</formula>
    </cfRule>
    <cfRule type="expression" priority="2743" dxfId="19">
      <formula>AND($B140="Yes",$S140&lt;&gt;"")</formula>
    </cfRule>
    <cfRule type="expression" priority="2744" dxfId="18">
      <formula>AND(UPPER(TRIM($B140))="YES",UPPER(TRIM($A140))="CYBERNET",LEN(TRIM(CT140))=0)</formula>
    </cfRule>
    <cfRule type="expression" priority="2745" dxfId="17">
      <formula>AND(UPPER(TRIM($B140))&lt;&gt;"YES",UPPER(TRIM($A140))="CYBERNET",LEN(TRIM(CT140))=0)</formula>
    </cfRule>
    <cfRule type="expression" priority="2746" dxfId="5" stopIfTrue="1">
      <formula>AND($V140&lt;&gt;"",LOWER(TRIM($V140))&lt;&gt;"n/a",LOWER(TRIM($V140))&lt;&gt;"na",SUMPRODUCT(--(UPPER(TRIM($V$2:$V$518))=UPPER(TRIM($V140))),--(TRIM($V$2:$V$518)&lt;&gt;""),--(LOWER(TRIM($V$2:$V$518))&lt;&gt;"n/a"),--(LOWER(TRIM($V$2:$V$518))&lt;&gt;"na"))&gt;1)</formula>
    </cfRule>
    <cfRule type="expression" priority="2747" dxfId="1">
      <formula>AND($B140="Yes",$CO140="Yes")</formula>
    </cfRule>
    <cfRule type="expression" priority="2748" dxfId="5">
      <formula>AND($B140="Yes",$CO140&lt;&gt;"Yes")</formula>
    </cfRule>
    <cfRule type="expression" priority="2749" dxfId="18">
      <formula>AND(LOWER(TRIM($B140))="yes",ISNUMBER(SEARCH("cybernet",LOWER(TRIM($A140)))),NOT(AND(LEN(TRIM($V140))&gt;0,LOWER(TRIM($V140))&lt;&gt;"n/a")))</formula>
    </cfRule>
    <cfRule type="expression" priority="2750" dxfId="18">
      <formula>AND(LOWER(TRIM($B140))="yes",ISNUMBER(SEARCH("neuron",LOWER(TRIM($A140)))),NOT(AND(LEN(TRIM($V140))&gt;0,LOWER(TRIM($V140))&lt;&gt;"n/a")))</formula>
    </cfRule>
    <cfRule type="expression" priority="2751" dxfId="17">
      <formula>AND(AND(NOT(LOWER(TRIM($B140))="yes"),NOT(LOWER(TRIM($C140))="yes")),ISNUMBER(SEARCH("cybernet",LOWER(TRIM($A140)))),NOT(AND(LEN(TRIM($V140))&gt;0,LOWER(TRIM($V140))&lt;&gt;"n/a")))</formula>
    </cfRule>
    <cfRule type="expression" priority="2752" dxfId="18">
      <formula>AND(LOWER(TRIM($B140))="yes",ISNUMBER(SEARCH("cybernet",LOWER($A140))),NOT(AND(LEN(TRIM($V140))&gt;0,LOWER(TRIM($V140))&lt;&gt;"n/a")))</formula>
    </cfRule>
    <cfRule type="expression" priority="2753" dxfId="18">
      <formula>AND(LOWER(TRIM($B140))="yes",ISNUMBER(SEARCH("neuron",LOWER($A140))),NOT(AND(LEN(TRIM($V140))&gt;0,LOWER(TRIM($V140))&lt;&gt;"n/a")))</formula>
    </cfRule>
    <cfRule type="expression" priority="2754" dxfId="17">
      <formula>AND(AND(NOT(LOWER(TRIM($B140))="yes"),NOT(LOWER(TRIM($C140))="yes")),ISNUMBER(SEARCH("cybernet",LOWER($A140))),NOT(AND(LEN(TRIM($V140))&gt;0,LOWER(TRIM($V140))&lt;&gt;"n/a")))</formula>
    </cfRule>
    <cfRule type="expression" priority="2755" dxfId="21" stopIfTrue="1">
      <formula>AND(LOWER(TRIM($B140))="yes",LEN(TRIM(CS140))=0)</formula>
    </cfRule>
    <cfRule type="expression" priority="2756" dxfId="20" stopIfTrue="1">
      <formula>LEN(TRIM(CT140))=0</formula>
    </cfRule>
    <cfRule type="expression" priority="2757" dxfId="19">
      <formula>AND($B140="Yes",$S140&lt;&gt;"")</formula>
    </cfRule>
    <cfRule type="expression" priority="2758" dxfId="18">
      <formula>AND(UPPER(TRIM($B140))="YES",UPPER(TRIM($A140))="CYBERNET",LEN(TRIM(CT140))=0)</formula>
    </cfRule>
    <cfRule type="expression" priority="2759" dxfId="17">
      <formula>AND(UPPER(TRIM($B140))&lt;&gt;"YES",UPPER(TRIM($A140))="CYBERNET",LEN(TRIM(CT140))=0)</formula>
    </cfRule>
    <cfRule type="expression" priority="2760" dxfId="5" stopIfTrue="1">
      <formula>AND($V140&lt;&gt;"",LOWER(TRIM($V140))&lt;&gt;"n/a",LOWER(TRIM($V140))&lt;&gt;"na",SUMPRODUCT(--(UPPER(TRIM($V$2:$V$518))=UPPER(TRIM($V140))),--(TRIM($V$2:$V$518)&lt;&gt;""),--(LOWER(TRIM($V$2:$V$518))&lt;&gt;"n/a"),--(LOWER(TRIM($V$2:$V$518))&lt;&gt;"na"))&gt;1)</formula>
    </cfRule>
    <cfRule type="expression" priority="2761" dxfId="1">
      <formula>AND($B140="Yes",$CO140="Yes")</formula>
    </cfRule>
    <cfRule type="expression" priority="2762" dxfId="5">
      <formula>AND($B140="Yes",$CO140&lt;&gt;"Yes")</formula>
    </cfRule>
  </conditionalFormatting>
  <conditionalFormatting sqref="CV140">
    <cfRule type="expression" priority="2603" dxfId="18">
      <formula>AND(LOWER(TRIM($B140))="yes",ISNUMBER(SEARCH("cybernet",LOWER(TRIM($A140)))),NOT(AND(LEN(TRIM($V140))&gt;0,LOWER(TRIM($V140))&lt;&gt;"n/a")))</formula>
    </cfRule>
    <cfRule type="expression" priority="2604" dxfId="18">
      <formula>AND(LOWER(TRIM($B140))="yes",ISNUMBER(SEARCH("neuron",LOWER(TRIM($A140)))),NOT(AND(LEN(TRIM($V140))&gt;0,LOWER(TRIM($V140))&lt;&gt;"n/a")))</formula>
    </cfRule>
    <cfRule type="expression" priority="2605" dxfId="17">
      <formula>AND(AND(NOT(LOWER(TRIM($B140))="yes"),NOT(LOWER(TRIM($C140))="yes")),ISNUMBER(SEARCH("cybernet",LOWER(TRIM($A140)))),NOT(AND(LEN(TRIM($V140))&gt;0,LOWER(TRIM($V140))&lt;&gt;"n/a")))</formula>
    </cfRule>
    <cfRule type="expression" priority="2606" dxfId="18">
      <formula>AND(LOWER(TRIM($B140))="yes",ISNUMBER(SEARCH("cybernet",LOWER($A140))),NOT(AND(LEN(TRIM($V140))&gt;0,LOWER(TRIM($V140))&lt;&gt;"n/a")))</formula>
    </cfRule>
    <cfRule type="expression" priority="2607" dxfId="18">
      <formula>AND(LOWER(TRIM($B140))="yes",ISNUMBER(SEARCH("neuron",LOWER($A140))),NOT(AND(LEN(TRIM($V140))&gt;0,LOWER(TRIM($V140))&lt;&gt;"n/a")))</formula>
    </cfRule>
    <cfRule type="expression" priority="2608" dxfId="17">
      <formula>AND(AND(NOT(LOWER(TRIM($B140))="yes"),NOT(LOWER(TRIM($C140))="yes")),ISNUMBER(SEARCH("cybernet",LOWER($A140))),NOT(AND(LEN(TRIM($V140))&gt;0,LOWER(TRIM($V140))&lt;&gt;"n/a")))</formula>
    </cfRule>
    <cfRule type="expression" priority="2609" dxfId="21" stopIfTrue="1">
      <formula>AND(LOWER(TRIM($B140))="yes",LEN(TRIM(CT140))=0)</formula>
    </cfRule>
    <cfRule type="expression" priority="2610" dxfId="20" stopIfTrue="1">
      <formula>LEN(TRIM(CV140))=0</formula>
    </cfRule>
    <cfRule type="expression" priority="2611" dxfId="19">
      <formula>AND($B140="Yes",$S140&lt;&gt;"")</formula>
    </cfRule>
    <cfRule type="expression" priority="2612" dxfId="18">
      <formula>AND(UPPER(TRIM($B140))="YES",UPPER(TRIM($A140))="CYBERNET",LEN(TRIM(CV140))=0)</formula>
    </cfRule>
    <cfRule type="expression" priority="2613" dxfId="17">
      <formula>AND(UPPER(TRIM($B140))&lt;&gt;"YES",UPPER(TRIM($A140))="CYBERNET",LEN(TRIM(CV140))=0)</formula>
    </cfRule>
    <cfRule type="expression" priority="2614" dxfId="5" stopIfTrue="1">
      <formula>AND($V140&lt;&gt;"",LOWER(TRIM($V140))&lt;&gt;"n/a",LOWER(TRIM($V140))&lt;&gt;"na",SUMPRODUCT(--(UPPER(TRIM($V$2:$V$518))=UPPER(TRIM($V140))),--(TRIM($V$2:$V$518)&lt;&gt;""),--(LOWER(TRIM($V$2:$V$518))&lt;&gt;"n/a"),--(LOWER(TRIM($V$2:$V$518))&lt;&gt;"na"))&gt;1)</formula>
    </cfRule>
    <cfRule type="expression" priority="2615" dxfId="1">
      <formula>AND($B140="Yes",$CO140="Yes")</formula>
    </cfRule>
    <cfRule type="expression" priority="2616" dxfId="5">
      <formula>AND($B140="Yes",$CO140&lt;&gt;"Yes")</formula>
    </cfRule>
    <cfRule type="expression" priority="2617" dxfId="18">
      <formula>AND(LOWER(TRIM($B140))="yes",ISNUMBER(SEARCH("cybernet",LOWER(TRIM($A140)))),NOT(AND(LEN(TRIM($V140))&gt;0,LOWER(TRIM($V140))&lt;&gt;"n/a")))</formula>
    </cfRule>
    <cfRule type="expression" priority="2618" dxfId="18">
      <formula>AND(LOWER(TRIM($B140))="yes",ISNUMBER(SEARCH("neuron",LOWER(TRIM($A140)))),NOT(AND(LEN(TRIM($V140))&gt;0,LOWER(TRIM($V140))&lt;&gt;"n/a")))</formula>
    </cfRule>
    <cfRule type="expression" priority="2619" dxfId="17">
      <formula>AND(AND(NOT(LOWER(TRIM($B140))="yes"),NOT(LOWER(TRIM($C140))="yes")),ISNUMBER(SEARCH("cybernet",LOWER(TRIM($A140)))),NOT(AND(LEN(TRIM($V140))&gt;0,LOWER(TRIM($V140))&lt;&gt;"n/a")))</formula>
    </cfRule>
    <cfRule type="expression" priority="2620" dxfId="18">
      <formula>AND(LOWER(TRIM($B140))="yes",ISNUMBER(SEARCH("cybernet",LOWER($A140))),NOT(AND(LEN(TRIM($V140))&gt;0,LOWER(TRIM($V140))&lt;&gt;"n/a")))</formula>
    </cfRule>
    <cfRule type="expression" priority="2621" dxfId="18">
      <formula>AND(LOWER(TRIM($B140))="yes",ISNUMBER(SEARCH("neuron",LOWER($A140))),NOT(AND(LEN(TRIM($V140))&gt;0,LOWER(TRIM($V140))&lt;&gt;"n/a")))</formula>
    </cfRule>
    <cfRule type="expression" priority="2622" dxfId="17">
      <formula>AND(AND(NOT(LOWER(TRIM($B140))="yes"),NOT(LOWER(TRIM($C140))="yes")),ISNUMBER(SEARCH("cybernet",LOWER($A140))),NOT(AND(LEN(TRIM($V140))&gt;0,LOWER(TRIM($V140))&lt;&gt;"n/a")))</formula>
    </cfRule>
    <cfRule type="expression" priority="2623" dxfId="21" stopIfTrue="1">
      <formula>AND(LOWER(TRIM($B140))="yes",LEN(TRIM(CT140))=0)</formula>
    </cfRule>
    <cfRule type="expression" priority="2624" dxfId="20" stopIfTrue="1">
      <formula>LEN(TRIM(CV140))=0</formula>
    </cfRule>
    <cfRule type="expression" priority="2625" dxfId="19">
      <formula>AND($B140="Yes",$S140&lt;&gt;"")</formula>
    </cfRule>
    <cfRule type="expression" priority="2626" dxfId="18">
      <formula>AND(UPPER(TRIM($B140))="YES",UPPER(TRIM($A140))="CYBERNET",LEN(TRIM(CV140))=0)</formula>
    </cfRule>
    <cfRule type="expression" priority="2627" dxfId="17">
      <formula>AND(UPPER(TRIM($B140))&lt;&gt;"YES",UPPER(TRIM($A140))="CYBERNET",LEN(TRIM(CV140))=0)</formula>
    </cfRule>
    <cfRule type="expression" priority="2628" dxfId="5" stopIfTrue="1">
      <formula>AND($V140&lt;&gt;"",LOWER(TRIM($V140))&lt;&gt;"n/a",LOWER(TRIM($V140))&lt;&gt;"na",SUMPRODUCT(--(UPPER(TRIM($V$2:$V$518))=UPPER(TRIM($V140))),--(TRIM($V$2:$V$518)&lt;&gt;""),--(LOWER(TRIM($V$2:$V$518))&lt;&gt;"n/a"),--(LOWER(TRIM($V$2:$V$518))&lt;&gt;"na"))&gt;1)</formula>
    </cfRule>
    <cfRule type="expression" priority="2629" dxfId="1">
      <formula>AND($B140="Yes",$CO140="Yes")</formula>
    </cfRule>
    <cfRule type="expression" priority="2630" dxfId="5">
      <formula>AND($B140="Yes",$CO140&lt;&gt;"Yes")</formula>
    </cfRule>
  </conditionalFormatting>
  <conditionalFormatting sqref="CW140">
    <cfRule type="expression" priority="2575" dxfId="18">
      <formula>AND(LOWER(TRIM($B140))="yes",ISNUMBER(SEARCH("cybernet",LOWER(TRIM($A140)))),NOT(AND(LEN(TRIM($V140))&gt;0,LOWER(TRIM($V140))&lt;&gt;"n/a")))</formula>
    </cfRule>
    <cfRule type="expression" priority="2576" dxfId="18">
      <formula>AND(LOWER(TRIM($B140))="yes",ISNUMBER(SEARCH("neuron",LOWER(TRIM($A140)))),NOT(AND(LEN(TRIM($V140))&gt;0,LOWER(TRIM($V140))&lt;&gt;"n/a")))</formula>
    </cfRule>
    <cfRule type="expression" priority="2577" dxfId="17">
      <formula>AND(AND(NOT(LOWER(TRIM($B140))="yes"),NOT(LOWER(TRIM($C140))="yes")),ISNUMBER(SEARCH("cybernet",LOWER(TRIM($A140)))),NOT(AND(LEN(TRIM($V140))&gt;0,LOWER(TRIM($V140))&lt;&gt;"n/a")))</formula>
    </cfRule>
    <cfRule type="expression" priority="2578" dxfId="18">
      <formula>AND(LOWER(TRIM($B140))="yes",ISNUMBER(SEARCH("cybernet",LOWER($A140))),NOT(AND(LEN(TRIM($V140))&gt;0,LOWER(TRIM($V140))&lt;&gt;"n/a")))</formula>
    </cfRule>
    <cfRule type="expression" priority="2579" dxfId="18">
      <formula>AND(LOWER(TRIM($B140))="yes",ISNUMBER(SEARCH("neuron",LOWER($A140))),NOT(AND(LEN(TRIM($V140))&gt;0,LOWER(TRIM($V140))&lt;&gt;"n/a")))</formula>
    </cfRule>
    <cfRule type="expression" priority="2580" dxfId="17">
      <formula>AND(AND(NOT(LOWER(TRIM($B140))="yes"),NOT(LOWER(TRIM($C140))="yes")),ISNUMBER(SEARCH("cybernet",LOWER($A140))),NOT(AND(LEN(TRIM($V140))&gt;0,LOWER(TRIM($V140))&lt;&gt;"n/a")))</formula>
    </cfRule>
    <cfRule type="expression" priority="2581" dxfId="21" stopIfTrue="1">
      <formula>AND(LOWER(TRIM($B140))="yes",LEN(TRIM(CT140))=0)</formula>
    </cfRule>
    <cfRule type="expression" priority="2582" dxfId="20" stopIfTrue="1">
      <formula>LEN(TRIM(CW140))=0</formula>
    </cfRule>
    <cfRule type="expression" priority="2583" dxfId="19">
      <formula>AND($B140="Yes",$S140&lt;&gt;"")</formula>
    </cfRule>
    <cfRule type="expression" priority="2584" dxfId="18">
      <formula>AND(UPPER(TRIM($B140))="YES",UPPER(TRIM($A140))="CYBERNET",LEN(TRIM(CW140))=0)</formula>
    </cfRule>
    <cfRule type="expression" priority="2585" dxfId="17">
      <formula>AND(UPPER(TRIM($B140))&lt;&gt;"YES",UPPER(TRIM($A140))="CYBERNET",LEN(TRIM(CW140))=0)</formula>
    </cfRule>
    <cfRule type="expression" priority="2586" dxfId="5" stopIfTrue="1">
      <formula>AND($V140&lt;&gt;"",LOWER(TRIM($V140))&lt;&gt;"n/a",LOWER(TRIM($V140))&lt;&gt;"na",SUMPRODUCT(--(UPPER(TRIM($V$2:$V$518))=UPPER(TRIM($V140))),--(TRIM($V$2:$V$518)&lt;&gt;""),--(LOWER(TRIM($V$2:$V$518))&lt;&gt;"n/a"),--(LOWER(TRIM($V$2:$V$518))&lt;&gt;"na"))&gt;1)</formula>
    </cfRule>
    <cfRule type="expression" priority="2587" dxfId="1">
      <formula>AND($B140="Yes",$CO140="Yes")</formula>
    </cfRule>
    <cfRule type="expression" priority="2588" dxfId="5">
      <formula>AND($B140="Yes",$CO140&lt;&gt;"Yes")</formula>
    </cfRule>
    <cfRule type="expression" priority="2589" dxfId="18">
      <formula>AND(LOWER(TRIM($B140))="yes",ISNUMBER(SEARCH("cybernet",LOWER(TRIM($A140)))),NOT(AND(LEN(TRIM($V140))&gt;0,LOWER(TRIM($V140))&lt;&gt;"n/a")))</formula>
    </cfRule>
    <cfRule type="expression" priority="2590" dxfId="18">
      <formula>AND(LOWER(TRIM($B140))="yes",ISNUMBER(SEARCH("neuron",LOWER(TRIM($A140)))),NOT(AND(LEN(TRIM($V140))&gt;0,LOWER(TRIM($V140))&lt;&gt;"n/a")))</formula>
    </cfRule>
    <cfRule type="expression" priority="2591" dxfId="17">
      <formula>AND(AND(NOT(LOWER(TRIM($B140))="yes"),NOT(LOWER(TRIM($C140))="yes")),ISNUMBER(SEARCH("cybernet",LOWER(TRIM($A140)))),NOT(AND(LEN(TRIM($V140))&gt;0,LOWER(TRIM($V140))&lt;&gt;"n/a")))</formula>
    </cfRule>
    <cfRule type="expression" priority="2592" dxfId="18">
      <formula>AND(LOWER(TRIM($B140))="yes",ISNUMBER(SEARCH("cybernet",LOWER($A140))),NOT(AND(LEN(TRIM($V140))&gt;0,LOWER(TRIM($V140))&lt;&gt;"n/a")))</formula>
    </cfRule>
    <cfRule type="expression" priority="2593" dxfId="18">
      <formula>AND(LOWER(TRIM($B140))="yes",ISNUMBER(SEARCH("neuron",LOWER($A140))),NOT(AND(LEN(TRIM($V140))&gt;0,LOWER(TRIM($V140))&lt;&gt;"n/a")))</formula>
    </cfRule>
    <cfRule type="expression" priority="2594" dxfId="17">
      <formula>AND(AND(NOT(LOWER(TRIM($B140))="yes"),NOT(LOWER(TRIM($C140))="yes")),ISNUMBER(SEARCH("cybernet",LOWER($A140))),NOT(AND(LEN(TRIM($V140))&gt;0,LOWER(TRIM($V140))&lt;&gt;"n/a")))</formula>
    </cfRule>
    <cfRule type="expression" priority="2595" dxfId="21" stopIfTrue="1">
      <formula>AND(LOWER(TRIM($B140))="yes",LEN(TRIM(CT140))=0)</formula>
    </cfRule>
    <cfRule type="expression" priority="2596" dxfId="20" stopIfTrue="1">
      <formula>LEN(TRIM(CW140))=0</formula>
    </cfRule>
    <cfRule type="expression" priority="2597" dxfId="19">
      <formula>AND($B140="Yes",$S140&lt;&gt;"")</formula>
    </cfRule>
    <cfRule type="expression" priority="2598" dxfId="18">
      <formula>AND(UPPER(TRIM($B140))="YES",UPPER(TRIM($A140))="CYBERNET",LEN(TRIM(CW140))=0)</formula>
    </cfRule>
    <cfRule type="expression" priority="2599" dxfId="17">
      <formula>AND(UPPER(TRIM($B140))&lt;&gt;"YES",UPPER(TRIM($A140))="CYBERNET",LEN(TRIM(CW140))=0)</formula>
    </cfRule>
    <cfRule type="expression" priority="2600" dxfId="5" stopIfTrue="1">
      <formula>AND($V140&lt;&gt;"",LOWER(TRIM($V140))&lt;&gt;"n/a",LOWER(TRIM($V140))&lt;&gt;"na",SUMPRODUCT(--(UPPER(TRIM($V$2:$V$518))=UPPER(TRIM($V140))),--(TRIM($V$2:$V$518)&lt;&gt;""),--(LOWER(TRIM($V$2:$V$518))&lt;&gt;"n/a"),--(LOWER(TRIM($V$2:$V$518))&lt;&gt;"na"))&gt;1)</formula>
    </cfRule>
    <cfRule type="expression" priority="2601" dxfId="1">
      <formula>AND($B140="Yes",$CO140="Yes")</formula>
    </cfRule>
    <cfRule type="expression" priority="2602" dxfId="5">
      <formula>AND($B140="Yes",$CO140&lt;&gt;"Yes")</formula>
    </cfRule>
  </conditionalFormatting>
  <dataValidations count="13">
    <dataValidation sqref="A1 C1:G1 I1:L1 N1:AH1 AJ1:AL1 AN1:BB1 BH1:BL1 BS1:BU1 BW1:CZ1" showDropDown="0" showInputMessage="1" showErrorMessage="1" allowBlank="1" errorTitle="👨‍🚒 Don't edit the headers 🔥" error="Unless you know what you are doing here, please stick to the necessary inputs ℹ️" type="custom">
      <formula1>FALSE</formula1>
    </dataValidation>
    <dataValidation sqref="H1 AM1 BC1:BG1 BV1:BW1" showDropDown="0" showInputMessage="1" showErrorMessage="1" allowBlank="1" errorTitle="👨‍🚒 Don't edit the headers 🔥" error="Unless you know what you are doing here, please stick to the necessary inputs ℹ️"/>
    <dataValidation sqref="D2:F518 M1" showDropDown="0" showInputMessage="1" showErrorMessage="1" allowBlank="1" errorTitle="👨‍🚒 Don't edit the headers 🔥" error="Unless you know what you are doing here, please stick to the necessary inputs ℹ️" type="custom">
      <formula1>"One of my formulas 🧪"</formula1>
    </dataValidation>
    <dataValidation sqref="B1" showDropDown="0" showInputMessage="1" showErrorMessage="1" allowBlank="1" errorTitle="👨‍🚒 Don't edit the headers 🔥" error="Unless you know what you are doing here, please stick to the necessary inputs ℹ️" type="list">
      <formula1>"Yes,No"</formula1>
    </dataValidation>
    <dataValidation sqref="BH2:BH518 BJ2:BK140 BJ142:BK517 BL2:BL518" showDropDown="0" showInputMessage="1" showErrorMessage="1" allowBlank="1" type="list">
      <formula1>"19200,115200"</formula1>
    </dataValidation>
    <dataValidation sqref="BM1:BR1" showDropDown="0" showInputMessage="1" showErrorMessage="1" allowBlank="1" errorTitle="This is a header row" error="don't touch 🫶" type="custom">
      <formula1>"is a header value"</formula1>
    </dataValidation>
    <dataValidation sqref="BJ141:BK141 BO2:BQ1048576" showDropDown="0" showInputMessage="1" showErrorMessage="1" allowBlank="1" type="list">
      <formula1>"E81,N71,O71"</formula1>
    </dataValidation>
    <dataValidation sqref="B2:C518 N2:P518 R2:R518 AD2:AG1048576 BR2:BW518 CF2:CJ518" showDropDown="0" showInputMessage="1" showErrorMessage="1" allowBlank="1" type="list">
      <formula1>"Yes,No"</formula1>
    </dataValidation>
    <dataValidation sqref="AI1:AI1048576" showDropDown="0" showInputMessage="1" showErrorMessage="1" allowBlank="1" errorTitle="👨‍🚒 Don't edit the headers 🔥" error="Unless you know what you are doing here, please stick to the necessary inputs ℹ️" type="list">
      <formula1>"Anesthesia Machine,Dialysis Machine,Other"</formula1>
    </dataValidation>
    <dataValidation sqref="A518:A1048576" showDropDown="0" showInputMessage="1" showErrorMessage="1" allowBlank="1" type="list">
      <formula1>"Neuron Cybernet,Neuron,Cybernet,Peripherals,Big Boards"</formula1>
    </dataValidation>
    <dataValidation sqref="BI2:BI1048576" showDropDown="0" showInputMessage="1" showErrorMessage="1" allowBlank="1" type="list">
      <formula1>"19200,115200,9600"</formula1>
    </dataValidation>
    <dataValidation sqref="BM2:BN1048576" showDropDown="0" showInputMessage="1" showErrorMessage="1" allowBlank="1" type="list">
      <formula1>"E81,N71,O71,N81"</formula1>
    </dataValidation>
    <dataValidation sqref="A2:A517" showDropDown="0" showInputMessage="1" showErrorMessage="1" allowBlank="1" type="list">
      <formula1>"Cybernet-Neuron,Neuron,Cybernet,Peripherals,Big Boards"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5" sqref="A5"/>
    </sheetView>
  </sheetViews>
  <sheetFormatPr baseColWidth="8" defaultRowHeight="15"/>
  <cols>
    <col width="32.140625" customWidth="1" style="91" min="1" max="1"/>
    <col width="28.7109375" customWidth="1" style="91" min="2" max="2"/>
    <col width="28.42578125" customWidth="1" style="91" min="3" max="3"/>
    <col width="33.5703125" customWidth="1" style="91" min="4" max="4"/>
    <col width="12.7109375" customWidth="1" style="91" min="6" max="6"/>
  </cols>
  <sheetData>
    <row r="1">
      <c r="A1" t="inlineStr">
        <is>
          <t>NEW NAME</t>
        </is>
      </c>
      <c r="B1" t="inlineStr">
        <is>
          <t>OLD NAME</t>
        </is>
      </c>
      <c r="C1" t="inlineStr">
        <is>
          <t>ROW IN AKBAR SPREADSHEET</t>
        </is>
      </c>
      <c r="D1" t="inlineStr">
        <is>
          <t>LOCATION</t>
        </is>
      </c>
      <c r="E1" t="inlineStr">
        <is>
          <t>hello</t>
        </is>
      </c>
      <c r="F1" t="inlineStr">
        <is>
          <t>goodbye</t>
        </is>
      </c>
    </row>
    <row r="2">
      <c r="A2" t="inlineStr">
        <is>
          <t xml:space="preserve">WNH269OPR028 </t>
        </is>
      </c>
      <c r="B2" t="inlineStr">
        <is>
          <t>WMH300OPR410</t>
        </is>
      </c>
      <c r="C2" t="n">
        <v>5</v>
      </c>
      <c r="D2" t="inlineStr">
        <is>
          <t>CCMC</t>
        </is>
      </c>
    </row>
    <row r="3">
      <c r="A3" t="inlineStr">
        <is>
          <t xml:space="preserve">WNH269OPR029 </t>
        </is>
      </c>
      <c r="B3" t="inlineStr">
        <is>
          <t>WMH300OPR330</t>
        </is>
      </c>
      <c r="C3" t="n">
        <v>6</v>
      </c>
      <c r="D3" t="inlineStr">
        <is>
          <t>CCMC</t>
        </is>
      </c>
    </row>
    <row r="4">
      <c r="A4" t="inlineStr">
        <is>
          <t xml:space="preserve">wnh269opr027 </t>
        </is>
      </c>
      <c r="B4" t="inlineStr">
        <is>
          <t>wmh300opr415</t>
        </is>
      </c>
      <c r="C4" t="n">
        <v>7</v>
      </c>
      <c r="D4" t="inlineStr">
        <is>
          <t>CCMC</t>
        </is>
      </c>
    </row>
    <row r="5">
      <c r="A5" t="inlineStr">
        <is>
          <t>WFH102OPR071</t>
        </is>
      </c>
      <c r="B5" t="inlineStr">
        <is>
          <t>WMH300OPR412</t>
        </is>
      </c>
      <c r="C5" t="inlineStr">
        <is>
          <t>37 OR 25</t>
        </is>
      </c>
      <c r="D5" t="inlineStr">
        <is>
          <t>LIJFH</t>
        </is>
      </c>
    </row>
    <row r="6">
      <c r="A6" t="inlineStr">
        <is>
          <t>WPV109OPR015</t>
        </is>
      </c>
      <c r="B6" t="inlineStr">
        <is>
          <t>WMH300OPR434</t>
        </is>
      </c>
      <c r="C6" t="n">
        <v>372</v>
      </c>
      <c r="D6" t="inlineStr">
        <is>
          <t>PV</t>
        </is>
      </c>
    </row>
    <row r="7">
      <c r="A7" t="inlineStr">
        <is>
          <t>WPV109OPR012</t>
        </is>
      </c>
      <c r="B7" t="inlineStr">
        <is>
          <t>WMH300OPR422</t>
        </is>
      </c>
      <c r="C7" t="n">
        <v>369</v>
      </c>
      <c r="D7" t="inlineStr">
        <is>
          <t>PV</t>
        </is>
      </c>
    </row>
    <row r="8">
      <c r="A8" t="inlineStr">
        <is>
          <t>WPV109OPR013</t>
        </is>
      </c>
      <c r="B8" t="inlineStr">
        <is>
          <t>WMH300OPR350</t>
        </is>
      </c>
      <c r="C8" t="n">
        <v>370</v>
      </c>
      <c r="D8" t="inlineStr">
        <is>
          <t>PV</t>
        </is>
      </c>
    </row>
    <row r="9">
      <c r="A9" t="inlineStr">
        <is>
          <t>WPV109OPR014</t>
        </is>
      </c>
      <c r="B9" t="inlineStr">
        <is>
          <t>WMH300OPR423</t>
        </is>
      </c>
      <c r="C9" t="n">
        <v>371</v>
      </c>
      <c r="D9" t="inlineStr">
        <is>
          <t>PV</t>
        </is>
      </c>
    </row>
    <row r="10">
      <c r="A10" t="inlineStr">
        <is>
          <t>WVS900OPR034</t>
        </is>
      </c>
      <c r="B10" t="inlineStr">
        <is>
          <t>WMH300OPR421</t>
        </is>
      </c>
      <c r="C10" t="n">
        <v>497</v>
      </c>
      <c r="D10" t="inlineStr">
        <is>
          <t>VALLEY STREAM</t>
        </is>
      </c>
    </row>
    <row r="11">
      <c r="A11" t="inlineStr">
        <is>
          <t>WSY221OPR074</t>
        </is>
      </c>
      <c r="B11" t="inlineStr">
        <is>
          <t>WMH300OPR436</t>
        </is>
      </c>
      <c r="C11" t="n">
        <v>485</v>
      </c>
      <c r="D11" t="inlineStr">
        <is>
          <t xml:space="preserve">SYOSSET </t>
        </is>
      </c>
    </row>
    <row r="12">
      <c r="A12" t="inlineStr">
        <is>
          <t>WGC101OPR035</t>
        </is>
      </c>
      <c r="B12" t="inlineStr">
        <is>
          <t>WMH300OPR435</t>
        </is>
      </c>
      <c r="D12" t="inlineStr">
        <is>
          <t>Glen Cove</t>
        </is>
      </c>
    </row>
    <row r="13">
      <c r="A13" t="inlineStr">
        <is>
          <t>WGC101OPR036</t>
        </is>
      </c>
      <c r="B13" t="inlineStr">
        <is>
          <t>WMH300OPR308</t>
        </is>
      </c>
      <c r="D13" t="inlineStr">
        <is>
          <t xml:space="preserve">Glen cove </t>
        </is>
      </c>
    </row>
    <row r="14">
      <c r="A14" t="inlineStr">
        <is>
          <t>WFH102OPR080</t>
        </is>
      </c>
      <c r="B14" t="inlineStr">
        <is>
          <t>WMH300OPR429</t>
        </is>
      </c>
      <c r="D14" t="inlineStr">
        <is>
          <t xml:space="preserve">Forest Hills 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codeName="Sheet14">
    <tabColor theme="9" tint="0.7999816888943144"/>
    <outlinePr summaryBelow="1" summaryRight="1"/>
    <pageSetUpPr/>
  </sheetPr>
  <dimension ref="A1:G146"/>
  <sheetViews>
    <sheetView topLeftCell="C90" workbookViewId="0">
      <selection activeCell="G99" sqref="G99"/>
    </sheetView>
  </sheetViews>
  <sheetFormatPr baseColWidth="8" defaultColWidth="24.42578125" defaultRowHeight="15"/>
  <sheetData>
    <row r="1">
      <c r="A1" s="52" t="inlineStr">
        <is>
          <t>Device Type</t>
        </is>
      </c>
      <c r="B1" s="55" t="inlineStr">
        <is>
          <t>Current Building</t>
        </is>
      </c>
      <c r="C1" s="55" t="inlineStr">
        <is>
          <t>Install Building</t>
        </is>
      </c>
      <c r="D1" s="55" t="inlineStr">
        <is>
          <t>Area/Unit/Dept</t>
        </is>
      </c>
      <c r="E1" s="55" t="inlineStr">
        <is>
          <t>Room</t>
        </is>
      </c>
      <c r="F1" s="55" t="inlineStr">
        <is>
          <t>PI_Validated_Date</t>
        </is>
      </c>
      <c r="G1" s="55" t="inlineStr">
        <is>
          <t>Cybernet Hostname</t>
        </is>
      </c>
    </row>
    <row r="2">
      <c r="A2" s="53" t="inlineStr">
        <is>
          <t>Neuron, Cybernet</t>
        </is>
      </c>
      <c r="B2" s="56" t="inlineStr">
        <is>
          <t>ZHH</t>
        </is>
      </c>
      <c r="C2" s="56" t="inlineStr">
        <is>
          <t>ZHH</t>
        </is>
      </c>
      <c r="D2" s="56" t="inlineStr">
        <is>
          <t>ECT</t>
        </is>
      </c>
      <c r="E2" s="56" t="inlineStr">
        <is>
          <t>OR B</t>
        </is>
      </c>
      <c r="F2" s="58" t="n">
        <v>46088</v>
      </c>
      <c r="G2" s="56" t="inlineStr">
        <is>
          <t>WNH265OPR002</t>
        </is>
      </c>
    </row>
    <row r="3">
      <c r="A3" s="54" t="inlineStr">
        <is>
          <t>Neuron, Cybernet</t>
        </is>
      </c>
      <c r="B3" s="57" t="inlineStr">
        <is>
          <t>ZHH</t>
        </is>
      </c>
      <c r="C3" s="57" t="inlineStr">
        <is>
          <t>ZHH</t>
        </is>
      </c>
      <c r="D3" s="57" t="inlineStr">
        <is>
          <t>ECT</t>
        </is>
      </c>
      <c r="E3" s="57" t="inlineStr">
        <is>
          <t>OR C</t>
        </is>
      </c>
      <c r="F3" s="59" t="n">
        <v>46088</v>
      </c>
      <c r="G3" s="57" t="inlineStr">
        <is>
          <t>WNH265OPR001</t>
        </is>
      </c>
    </row>
    <row r="4">
      <c r="A4" s="53" t="inlineStr">
        <is>
          <t>Neuron, Cybernet</t>
        </is>
      </c>
      <c r="B4" s="56" t="inlineStr">
        <is>
          <t>ZHH</t>
        </is>
      </c>
      <c r="C4" s="56" t="inlineStr">
        <is>
          <t>ZHH</t>
        </is>
      </c>
      <c r="D4" s="56" t="inlineStr">
        <is>
          <t>ECT</t>
        </is>
      </c>
      <c r="E4" s="56" t="inlineStr">
        <is>
          <t>OR A</t>
        </is>
      </c>
      <c r="F4" s="58" t="n">
        <v>46088</v>
      </c>
      <c r="G4" s="56" t="inlineStr">
        <is>
          <t>WNH265OPR003</t>
        </is>
      </c>
    </row>
    <row r="5">
      <c r="A5" s="54" t="inlineStr">
        <is>
          <t>Cybernet</t>
        </is>
      </c>
      <c r="B5" s="57" t="inlineStr">
        <is>
          <t>CFAM</t>
        </is>
      </c>
      <c r="C5" s="57" t="inlineStr">
        <is>
          <t>CFAM</t>
        </is>
      </c>
      <c r="D5" s="57" t="inlineStr">
        <is>
          <t>Surgery</t>
        </is>
      </c>
      <c r="E5" s="57" t="inlineStr">
        <is>
          <t>OR 2</t>
        </is>
      </c>
      <c r="F5" s="59" t="n">
        <v>46088</v>
      </c>
      <c r="G5" s="57" t="inlineStr">
        <is>
          <t>WLS450OPR001</t>
        </is>
      </c>
    </row>
    <row r="6">
      <c r="A6" s="53" t="inlineStr">
        <is>
          <t>Cybernet</t>
        </is>
      </c>
      <c r="B6" s="56" t="inlineStr">
        <is>
          <t>CFAM</t>
        </is>
      </c>
      <c r="C6" s="56" t="inlineStr">
        <is>
          <t>CFAM</t>
        </is>
      </c>
      <c r="D6" s="56" t="inlineStr">
        <is>
          <t>Surgery</t>
        </is>
      </c>
      <c r="E6" s="56" t="inlineStr">
        <is>
          <t>OR 3</t>
        </is>
      </c>
      <c r="F6" s="58" t="n">
        <v>46088</v>
      </c>
      <c r="G6" s="56" t="inlineStr">
        <is>
          <t>WLS450OPR002</t>
        </is>
      </c>
    </row>
    <row r="7">
      <c r="A7" s="54" t="inlineStr">
        <is>
          <t>Cybernet</t>
        </is>
      </c>
      <c r="B7" s="57" t="inlineStr">
        <is>
          <t>CFAM</t>
        </is>
      </c>
      <c r="C7" s="57" t="inlineStr">
        <is>
          <t>CFAM</t>
        </is>
      </c>
      <c r="D7" s="57" t="inlineStr">
        <is>
          <t>Surgery</t>
        </is>
      </c>
      <c r="E7" s="57" t="inlineStr">
        <is>
          <t>OR 6</t>
        </is>
      </c>
      <c r="F7" s="59" t="n">
        <v>46088</v>
      </c>
      <c r="G7" s="57" t="inlineStr">
        <is>
          <t>WLS450OPR003</t>
        </is>
      </c>
    </row>
    <row r="8">
      <c r="A8" s="53" t="inlineStr">
        <is>
          <t>Cybernet</t>
        </is>
      </c>
      <c r="B8" s="56" t="inlineStr">
        <is>
          <t>CFAM</t>
        </is>
      </c>
      <c r="C8" s="56" t="inlineStr">
        <is>
          <t>CFAM</t>
        </is>
      </c>
      <c r="D8" s="56" t="inlineStr">
        <is>
          <t>Surgery</t>
        </is>
      </c>
      <c r="E8" s="56" t="inlineStr">
        <is>
          <t>OR 1</t>
        </is>
      </c>
      <c r="F8" s="58" t="n">
        <v>46088</v>
      </c>
      <c r="G8" s="56" t="inlineStr">
        <is>
          <t>WLS450OPR004</t>
        </is>
      </c>
    </row>
    <row r="9">
      <c r="A9" s="54" t="inlineStr">
        <is>
          <t>Cybernet</t>
        </is>
      </c>
      <c r="B9" s="57" t="inlineStr">
        <is>
          <t>CFAM</t>
        </is>
      </c>
      <c r="C9" s="57" t="inlineStr">
        <is>
          <t>CFAM</t>
        </is>
      </c>
      <c r="D9" s="57" t="inlineStr">
        <is>
          <t>Surgery</t>
        </is>
      </c>
      <c r="E9" s="57" t="inlineStr">
        <is>
          <t>OR 4</t>
        </is>
      </c>
      <c r="F9" s="59" t="n">
        <v>46088</v>
      </c>
      <c r="G9" s="57" t="inlineStr">
        <is>
          <t>WLS450OPR005</t>
        </is>
      </c>
    </row>
    <row r="10">
      <c r="A10" s="53" t="inlineStr">
        <is>
          <t>Cybernet</t>
        </is>
      </c>
      <c r="B10" s="56" t="inlineStr">
        <is>
          <t>CFAM</t>
        </is>
      </c>
      <c r="C10" s="56" t="inlineStr">
        <is>
          <t>CFAM</t>
        </is>
      </c>
      <c r="D10" s="56" t="inlineStr">
        <is>
          <t>Surgery</t>
        </is>
      </c>
      <c r="E10" s="56" t="inlineStr">
        <is>
          <t>OR 5</t>
        </is>
      </c>
      <c r="F10" s="58" t="n">
        <v>46088</v>
      </c>
      <c r="G10" s="56" t="inlineStr">
        <is>
          <t>WLS450OPR008</t>
        </is>
      </c>
    </row>
    <row r="11">
      <c r="A11" s="54" t="inlineStr">
        <is>
          <t>Cybernet</t>
        </is>
      </c>
      <c r="B11" s="57" t="inlineStr">
        <is>
          <t>CFAM</t>
        </is>
      </c>
      <c r="C11" s="57" t="inlineStr">
        <is>
          <t>CFAM</t>
        </is>
      </c>
      <c r="D11" s="57" t="inlineStr">
        <is>
          <t>Surgery</t>
        </is>
      </c>
      <c r="E11" s="57" t="inlineStr">
        <is>
          <t>SPARE</t>
        </is>
      </c>
      <c r="F11" s="59" t="n">
        <v>46088</v>
      </c>
      <c r="G11" s="57" t="inlineStr">
        <is>
          <t>WLS450OPR007</t>
        </is>
      </c>
    </row>
    <row r="12">
      <c r="A12" s="53" t="inlineStr">
        <is>
          <t>Peripherals</t>
        </is>
      </c>
      <c r="B12" s="56" t="inlineStr">
        <is>
          <t>Syosset Hospital</t>
        </is>
      </c>
      <c r="C12" s="56" t="inlineStr">
        <is>
          <t>Syosset Hospital</t>
        </is>
      </c>
      <c r="D12" s="56" t="inlineStr">
        <is>
          <t>Main ORs - 3rd Floor</t>
        </is>
      </c>
      <c r="E12" s="56" t="inlineStr">
        <is>
          <t>OR 8</t>
        </is>
      </c>
      <c r="F12" s="58" t="n">
        <v>46085</v>
      </c>
      <c r="G12" s="56" t="inlineStr">
        <is>
          <t>WSY221OPR052</t>
        </is>
      </c>
    </row>
    <row r="13">
      <c r="A13" s="54" t="inlineStr">
        <is>
          <t>Peripherals</t>
        </is>
      </c>
      <c r="B13" s="57" t="inlineStr">
        <is>
          <t>Syosset Hospital</t>
        </is>
      </c>
      <c r="C13" s="57" t="inlineStr">
        <is>
          <t>Syosset Hospital</t>
        </is>
      </c>
      <c r="D13" s="57" t="inlineStr">
        <is>
          <t>Main ORs - 3rd Floor</t>
        </is>
      </c>
      <c r="E13" s="57" t="inlineStr">
        <is>
          <t>OR 7</t>
        </is>
      </c>
      <c r="F13" s="59" t="n">
        <v>46085</v>
      </c>
      <c r="G13" s="57" t="inlineStr">
        <is>
          <t>WSY221OPR063</t>
        </is>
      </c>
    </row>
    <row r="14">
      <c r="A14" s="53" t="inlineStr">
        <is>
          <t>Peripherals</t>
        </is>
      </c>
      <c r="B14" s="56" t="inlineStr">
        <is>
          <t>Syosset Hospital</t>
        </is>
      </c>
      <c r="C14" s="56" t="inlineStr">
        <is>
          <t>Syosset Hospital</t>
        </is>
      </c>
      <c r="D14" s="56" t="inlineStr">
        <is>
          <t>Main ORs - 3rd Floor</t>
        </is>
      </c>
      <c r="E14" s="56" t="inlineStr">
        <is>
          <t>OR 3</t>
        </is>
      </c>
      <c r="F14" s="58" t="n">
        <v>46085</v>
      </c>
      <c r="G14" s="56" t="inlineStr">
        <is>
          <t>WSY221OPR058</t>
        </is>
      </c>
    </row>
    <row r="15">
      <c r="A15" s="54" t="inlineStr">
        <is>
          <t>Peripherals</t>
        </is>
      </c>
      <c r="B15" s="57" t="inlineStr">
        <is>
          <t>Syosset Hospital</t>
        </is>
      </c>
      <c r="C15" s="57" t="inlineStr">
        <is>
          <t>Syosset Hospital</t>
        </is>
      </c>
      <c r="D15" s="57" t="inlineStr">
        <is>
          <t>Main ORs - 3rd Floor</t>
        </is>
      </c>
      <c r="E15" s="57" t="inlineStr">
        <is>
          <t>OR 5</t>
        </is>
      </c>
      <c r="F15" s="59" t="n">
        <v>46085</v>
      </c>
      <c r="G15" s="57" t="inlineStr">
        <is>
          <t>WSY221OPR061</t>
        </is>
      </c>
    </row>
    <row r="16">
      <c r="A16" s="53" t="inlineStr">
        <is>
          <t>Peripherals</t>
        </is>
      </c>
      <c r="B16" s="56" t="inlineStr">
        <is>
          <t>Syosset Hospital</t>
        </is>
      </c>
      <c r="C16" s="56" t="inlineStr">
        <is>
          <t>Syosset Hospital</t>
        </is>
      </c>
      <c r="D16" s="56" t="inlineStr">
        <is>
          <t>Main ORs - 3rd Floor</t>
        </is>
      </c>
      <c r="E16" s="56" t="inlineStr">
        <is>
          <t>OR 6</t>
        </is>
      </c>
      <c r="F16" s="58" t="n">
        <v>46085</v>
      </c>
      <c r="G16" s="56" t="inlineStr">
        <is>
          <t>WSY221OPR060</t>
        </is>
      </c>
    </row>
    <row r="17">
      <c r="A17" s="54" t="inlineStr">
        <is>
          <t>Peripherals</t>
        </is>
      </c>
      <c r="B17" s="57" t="inlineStr">
        <is>
          <t>Syosset Hospital</t>
        </is>
      </c>
      <c r="C17" s="57" t="inlineStr">
        <is>
          <t>Syosset Hospital</t>
        </is>
      </c>
      <c r="D17" s="57" t="inlineStr">
        <is>
          <t>Main ORs - 3rd Floor</t>
        </is>
      </c>
      <c r="E17" s="57" t="inlineStr">
        <is>
          <t>OR 1</t>
        </is>
      </c>
      <c r="F17" s="59" t="n">
        <v>46085</v>
      </c>
      <c r="G17" s="57" t="inlineStr">
        <is>
          <t>WSY221OPR055</t>
        </is>
      </c>
    </row>
    <row r="18">
      <c r="A18" s="53" t="inlineStr">
        <is>
          <t>Peripherals</t>
        </is>
      </c>
      <c r="B18" s="56" t="inlineStr">
        <is>
          <t>Syosset Hospital</t>
        </is>
      </c>
      <c r="C18" s="56" t="inlineStr">
        <is>
          <t>Syosset Hospital</t>
        </is>
      </c>
      <c r="D18" s="56" t="inlineStr">
        <is>
          <t>Main ORs - 3rd Floor</t>
        </is>
      </c>
      <c r="E18" s="56" t="inlineStr">
        <is>
          <t>OR 9</t>
        </is>
      </c>
      <c r="F18" s="58" t="n">
        <v>46085</v>
      </c>
      <c r="G18" s="56" t="inlineStr">
        <is>
          <t>WSY221OPR054</t>
        </is>
      </c>
    </row>
    <row r="19">
      <c r="A19" s="54" t="inlineStr">
        <is>
          <t>Peripherals</t>
        </is>
      </c>
      <c r="B19" s="57" t="inlineStr">
        <is>
          <t>Syosset Hospital</t>
        </is>
      </c>
      <c r="C19" s="57" t="inlineStr">
        <is>
          <t>Syosset Hospital</t>
        </is>
      </c>
      <c r="D19" s="57" t="inlineStr">
        <is>
          <t xml:space="preserve">Eye ORs - 2nd Floor </t>
        </is>
      </c>
      <c r="E19" s="57" t="inlineStr">
        <is>
          <t>SYE2</t>
        </is>
      </c>
      <c r="F19" s="59" t="n">
        <v>46085</v>
      </c>
      <c r="G19" s="57" t="inlineStr">
        <is>
          <t>WSY221OPR064</t>
        </is>
      </c>
    </row>
    <row r="20">
      <c r="A20" s="53" t="inlineStr">
        <is>
          <t>Peripherals</t>
        </is>
      </c>
      <c r="B20" s="56" t="inlineStr">
        <is>
          <t>Syosset Hospital</t>
        </is>
      </c>
      <c r="C20" s="56" t="inlineStr">
        <is>
          <t>Syosset Hospital</t>
        </is>
      </c>
      <c r="D20" s="56" t="inlineStr">
        <is>
          <t xml:space="preserve">Eye ORs - 2nd Floor </t>
        </is>
      </c>
      <c r="E20" s="56" t="inlineStr">
        <is>
          <t>SYE1</t>
        </is>
      </c>
      <c r="F20" s="58" t="n">
        <v>46085</v>
      </c>
      <c r="G20" s="56" t="n"/>
    </row>
    <row r="21">
      <c r="A21" s="54" t="inlineStr">
        <is>
          <t>Peripherals</t>
        </is>
      </c>
      <c r="B21" s="57" t="inlineStr">
        <is>
          <t>Syosset Hospital</t>
        </is>
      </c>
      <c r="C21" s="57" t="inlineStr">
        <is>
          <t>Syosset Hospital</t>
        </is>
      </c>
      <c r="D21" s="57" t="inlineStr">
        <is>
          <t>Main ORs - 3rd Floor</t>
        </is>
      </c>
      <c r="E21" s="57" t="inlineStr">
        <is>
          <t>OR 4</t>
        </is>
      </c>
      <c r="F21" s="59" t="n">
        <v>46085</v>
      </c>
      <c r="G21" s="57" t="inlineStr">
        <is>
          <t>WSY221OPR053</t>
        </is>
      </c>
    </row>
    <row r="22">
      <c r="A22" s="53" t="inlineStr">
        <is>
          <t>Peripherals</t>
        </is>
      </c>
      <c r="B22" s="56" t="inlineStr">
        <is>
          <t>Syosset Hospital</t>
        </is>
      </c>
      <c r="C22" s="56" t="inlineStr">
        <is>
          <t>Syosset Hospital</t>
        </is>
      </c>
      <c r="D22" s="56" t="inlineStr">
        <is>
          <t>Pain Management</t>
        </is>
      </c>
      <c r="E22" s="56" t="inlineStr">
        <is>
          <t>Procedure Room 2</t>
        </is>
      </c>
      <c r="F22" s="58" t="n">
        <v>46085</v>
      </c>
      <c r="G22" s="56" t="inlineStr">
        <is>
          <t>WSY221OPR065</t>
        </is>
      </c>
    </row>
    <row r="23">
      <c r="A23" s="54" t="inlineStr">
        <is>
          <t>Peripherals</t>
        </is>
      </c>
      <c r="B23" s="57" t="inlineStr">
        <is>
          <t>Syosset Hospital</t>
        </is>
      </c>
      <c r="C23" s="57" t="inlineStr">
        <is>
          <t>Syosset Hospital</t>
        </is>
      </c>
      <c r="D23" s="57" t="inlineStr">
        <is>
          <t>Pain Management</t>
        </is>
      </c>
      <c r="E23" s="57" t="inlineStr">
        <is>
          <t xml:space="preserve">Procedure Room 1 </t>
        </is>
      </c>
      <c r="F23" s="59" t="n">
        <v>46085</v>
      </c>
      <c r="G23" s="57" t="inlineStr">
        <is>
          <t>WSY221OPR059</t>
        </is>
      </c>
    </row>
    <row r="24">
      <c r="A24" s="53" t="inlineStr">
        <is>
          <t>Peripherals</t>
        </is>
      </c>
      <c r="B24" s="56" t="inlineStr">
        <is>
          <t>Syosset Hospital</t>
        </is>
      </c>
      <c r="C24" s="56" t="inlineStr">
        <is>
          <t>Syosset Hospital</t>
        </is>
      </c>
      <c r="D24" s="56" t="inlineStr">
        <is>
          <t>Isolation Room</t>
        </is>
      </c>
      <c r="E24" s="56" t="inlineStr">
        <is>
          <t>Isolation Room</t>
        </is>
      </c>
      <c r="F24" s="58" t="n">
        <v>46085</v>
      </c>
      <c r="G24" s="56" t="inlineStr">
        <is>
          <t>WSY221OPR056</t>
        </is>
      </c>
    </row>
    <row r="25">
      <c r="A25" s="54" t="inlineStr">
        <is>
          <t>Peripherals</t>
        </is>
      </c>
      <c r="B25" s="57" t="inlineStr">
        <is>
          <t>LIJFH</t>
        </is>
      </c>
      <c r="C25" s="57" t="inlineStr">
        <is>
          <t>LIJFH</t>
        </is>
      </c>
      <c r="D25" s="57" t="n"/>
      <c r="E25" s="57" t="inlineStr">
        <is>
          <t>1OR L&amp;D</t>
        </is>
      </c>
      <c r="F25" s="59" t="n">
        <v>46083</v>
      </c>
      <c r="G25" s="57" t="inlineStr">
        <is>
          <t>WFH102OPR058</t>
        </is>
      </c>
    </row>
    <row r="26">
      <c r="A26" s="53" t="inlineStr">
        <is>
          <t>Peripherals</t>
        </is>
      </c>
      <c r="B26" s="56" t="inlineStr">
        <is>
          <t>LIJFH</t>
        </is>
      </c>
      <c r="C26" s="56" t="inlineStr">
        <is>
          <t>LIJFH</t>
        </is>
      </c>
      <c r="D26" s="56" t="n"/>
      <c r="E26" s="56" t="inlineStr">
        <is>
          <t>7th Floor - OR 4</t>
        </is>
      </c>
      <c r="F26" s="58" t="n">
        <v>46083</v>
      </c>
      <c r="G26" s="56" t="inlineStr">
        <is>
          <t>WHH102OPR054</t>
        </is>
      </c>
    </row>
    <row r="27">
      <c r="A27" s="54" t="inlineStr">
        <is>
          <t>Peripherals</t>
        </is>
      </c>
      <c r="B27" s="57" t="inlineStr">
        <is>
          <t>LIJFH</t>
        </is>
      </c>
      <c r="C27" s="57" t="inlineStr">
        <is>
          <t>LIJFH</t>
        </is>
      </c>
      <c r="D27" s="57" t="n"/>
      <c r="E27" s="57" t="inlineStr">
        <is>
          <t>7th Floor - OR 7</t>
        </is>
      </c>
      <c r="F27" s="59" t="n">
        <v>46083</v>
      </c>
      <c r="G27" s="57" t="inlineStr">
        <is>
          <t>WFH102OPR051</t>
        </is>
      </c>
    </row>
    <row r="28">
      <c r="A28" s="53" t="inlineStr">
        <is>
          <t>Peripherals</t>
        </is>
      </c>
      <c r="B28" s="56" t="inlineStr">
        <is>
          <t>LIJFH</t>
        </is>
      </c>
      <c r="C28" s="56" t="inlineStr">
        <is>
          <t>LIJFH</t>
        </is>
      </c>
      <c r="D28" s="56" t="n"/>
      <c r="E28" s="56" t="inlineStr">
        <is>
          <t>7th Floor - OR 5</t>
        </is>
      </c>
      <c r="F28" s="58" t="n">
        <v>46083</v>
      </c>
      <c r="G28" s="56" t="inlineStr">
        <is>
          <t>WFH102OPR065</t>
        </is>
      </c>
    </row>
    <row r="29">
      <c r="A29" s="54" t="inlineStr">
        <is>
          <t>Peripherals</t>
        </is>
      </c>
      <c r="B29" s="57" t="inlineStr">
        <is>
          <t>LIJFH</t>
        </is>
      </c>
      <c r="C29" s="57" t="inlineStr">
        <is>
          <t>LIJFH</t>
        </is>
      </c>
      <c r="D29" s="57" t="n"/>
      <c r="E29" s="57" t="inlineStr">
        <is>
          <t>7th Floor - OR 6</t>
        </is>
      </c>
      <c r="F29" s="59" t="n">
        <v>46083</v>
      </c>
      <c r="G29" s="57" t="inlineStr">
        <is>
          <t>WFH102OPR055</t>
        </is>
      </c>
    </row>
    <row r="30" hidden="1" s="91">
      <c r="A30" s="53" t="inlineStr">
        <is>
          <t>Cybernet</t>
        </is>
      </c>
      <c r="B30" s="56" t="inlineStr">
        <is>
          <t>LIJ - Proc</t>
        </is>
      </c>
      <c r="C30" s="56" t="inlineStr">
        <is>
          <t>LIJ - Proc</t>
        </is>
      </c>
      <c r="D30" s="56" t="inlineStr">
        <is>
          <t>LIJ ORs</t>
        </is>
      </c>
      <c r="E30" s="56" t="inlineStr">
        <is>
          <t>LIJ - OR21</t>
        </is>
      </c>
      <c r="F30" s="58" t="n">
        <v>46081</v>
      </c>
      <c r="G30" s="56" t="inlineStr">
        <is>
          <t>WNH270OPR403</t>
        </is>
      </c>
    </row>
    <row r="31" hidden="1" s="91">
      <c r="A31" s="54" t="inlineStr">
        <is>
          <t>Cybernet</t>
        </is>
      </c>
      <c r="B31" s="57" t="inlineStr">
        <is>
          <t>LIJ - Proc</t>
        </is>
      </c>
      <c r="C31" s="57" t="inlineStr">
        <is>
          <t>LIJ - Proc</t>
        </is>
      </c>
      <c r="D31" s="57" t="inlineStr">
        <is>
          <t>LIJ ORs</t>
        </is>
      </c>
      <c r="E31" s="57" t="inlineStr">
        <is>
          <t>LIJ - Proc 2</t>
        </is>
      </c>
      <c r="F31" s="59" t="n">
        <v>46081</v>
      </c>
      <c r="G31" s="57" t="inlineStr">
        <is>
          <t>WNH270OPR404</t>
        </is>
      </c>
    </row>
    <row r="32" hidden="1" s="91">
      <c r="A32" s="53" t="inlineStr">
        <is>
          <t>Cybernet</t>
        </is>
      </c>
      <c r="B32" s="56" t="inlineStr">
        <is>
          <t>LIJ - Proc</t>
        </is>
      </c>
      <c r="C32" s="56" t="inlineStr">
        <is>
          <t>LIJ - Proc</t>
        </is>
      </c>
      <c r="D32" s="56" t="n"/>
      <c r="E32" s="56" t="inlineStr">
        <is>
          <t>ROAMING SPARE</t>
        </is>
      </c>
      <c r="F32" s="58" t="n">
        <v>46081</v>
      </c>
      <c r="G32" s="56" t="inlineStr">
        <is>
          <t>WNH270OPR405</t>
        </is>
      </c>
    </row>
    <row r="33" hidden="1" s="91">
      <c r="A33" s="54" t="inlineStr">
        <is>
          <t>Cybernet</t>
        </is>
      </c>
      <c r="B33" s="57" t="inlineStr">
        <is>
          <t>LIJ - Proc</t>
        </is>
      </c>
      <c r="C33" s="57" t="inlineStr">
        <is>
          <t>LIJ - Proc</t>
        </is>
      </c>
      <c r="D33" s="57" t="inlineStr">
        <is>
          <t>LDR ORs</t>
        </is>
      </c>
      <c r="E33" s="57" t="inlineStr">
        <is>
          <t>OB OR 3</t>
        </is>
      </c>
      <c r="F33" s="59" t="n">
        <v>46081</v>
      </c>
      <c r="G33" s="57" t="inlineStr">
        <is>
          <t>WNH270OPR406</t>
        </is>
      </c>
    </row>
    <row r="34">
      <c r="A34" s="53" t="inlineStr">
        <is>
          <t>Cybernet</t>
        </is>
      </c>
      <c r="B34" s="56" t="inlineStr">
        <is>
          <t>LIJ Main / LIJ OR</t>
        </is>
      </c>
      <c r="C34" s="56" t="inlineStr">
        <is>
          <t>LIJ Main / LIJ OR</t>
        </is>
      </c>
      <c r="D34" s="56" t="inlineStr">
        <is>
          <t>ENDO Proc</t>
        </is>
      </c>
      <c r="E34" s="56" t="inlineStr">
        <is>
          <t>PR 2</t>
        </is>
      </c>
      <c r="F34" s="58" t="n">
        <v>46081</v>
      </c>
      <c r="G34" s="56" t="inlineStr">
        <is>
          <t>WNH270OPR407</t>
        </is>
      </c>
    </row>
    <row r="35" hidden="1" s="91">
      <c r="A35" s="54" t="inlineStr">
        <is>
          <t>Cybernet</t>
        </is>
      </c>
      <c r="B35" s="57" t="inlineStr">
        <is>
          <t>LIJ - Proc</t>
        </is>
      </c>
      <c r="C35" s="57" t="inlineStr">
        <is>
          <t>LIJ - Proc</t>
        </is>
      </c>
      <c r="D35" s="57" t="inlineStr">
        <is>
          <t>LDR ORs</t>
        </is>
      </c>
      <c r="E35" s="57" t="inlineStr">
        <is>
          <t>OB OR 4</t>
        </is>
      </c>
      <c r="F35" s="59" t="n">
        <v>46081</v>
      </c>
      <c r="G35" s="57" t="inlineStr">
        <is>
          <t>WNH270OPR408</t>
        </is>
      </c>
    </row>
    <row r="36" hidden="1" s="91">
      <c r="A36" s="53" t="inlineStr">
        <is>
          <t>Cybernet</t>
        </is>
      </c>
      <c r="B36" s="56" t="inlineStr">
        <is>
          <t>LIJ - Proc</t>
        </is>
      </c>
      <c r="C36" s="56" t="inlineStr">
        <is>
          <t>LIJ - Proc</t>
        </is>
      </c>
      <c r="D36" s="56" t="inlineStr">
        <is>
          <t>ENDO Proc</t>
        </is>
      </c>
      <c r="E36" s="56" t="inlineStr">
        <is>
          <t>Motility Room</t>
        </is>
      </c>
      <c r="F36" s="58" t="n">
        <v>46081</v>
      </c>
      <c r="G36" s="56" t="inlineStr">
        <is>
          <t>WNH270OPR410</t>
        </is>
      </c>
    </row>
    <row r="37" hidden="1" s="91">
      <c r="A37" s="54" t="inlineStr">
        <is>
          <t>Cybernet</t>
        </is>
      </c>
      <c r="B37" s="57" t="inlineStr">
        <is>
          <t>LIJ - Proc</t>
        </is>
      </c>
      <c r="C37" s="57" t="inlineStr">
        <is>
          <t>LIJ - Proc</t>
        </is>
      </c>
      <c r="D37" s="57" t="inlineStr">
        <is>
          <t>ENDO Proc</t>
        </is>
      </c>
      <c r="E37" s="57" t="inlineStr">
        <is>
          <t>PR 3</t>
        </is>
      </c>
      <c r="F37" s="59" t="n">
        <v>46081</v>
      </c>
      <c r="G37" s="57" t="inlineStr">
        <is>
          <t>WNH270OPR411</t>
        </is>
      </c>
    </row>
    <row r="38" hidden="1" s="91">
      <c r="A38" s="53" t="inlineStr">
        <is>
          <t>Cybernet</t>
        </is>
      </c>
      <c r="B38" s="56" t="inlineStr">
        <is>
          <t>LIJ - Proc</t>
        </is>
      </c>
      <c r="C38" s="56" t="inlineStr">
        <is>
          <t>LIJ - Proc</t>
        </is>
      </c>
      <c r="D38" s="56" t="inlineStr">
        <is>
          <t>LDR ORs</t>
        </is>
      </c>
      <c r="E38" s="56" t="inlineStr">
        <is>
          <t>OB OR 1</t>
        </is>
      </c>
      <c r="F38" s="58" t="n">
        <v>46081</v>
      </c>
      <c r="G38" s="56" t="inlineStr">
        <is>
          <t>WNH270OPR412</t>
        </is>
      </c>
    </row>
    <row r="39">
      <c r="A39" s="54" t="inlineStr">
        <is>
          <t>Cybernet</t>
        </is>
      </c>
      <c r="B39" s="57" t="inlineStr">
        <is>
          <t>LIJ Main / LIJ OR</t>
        </is>
      </c>
      <c r="C39" s="57" t="inlineStr">
        <is>
          <t>LIJ Main / LIJ OR</t>
        </is>
      </c>
      <c r="D39" s="57" t="inlineStr">
        <is>
          <t>LIJ ORS</t>
        </is>
      </c>
      <c r="E39" s="57" t="inlineStr">
        <is>
          <t>OR 23</t>
        </is>
      </c>
      <c r="F39" s="59" t="n">
        <v>46081</v>
      </c>
      <c r="G39" s="57" t="inlineStr">
        <is>
          <t>WNH270OPR425</t>
        </is>
      </c>
    </row>
    <row r="40">
      <c r="A40" s="53" t="inlineStr">
        <is>
          <t>Cybernet</t>
        </is>
      </c>
      <c r="B40" s="56" t="inlineStr">
        <is>
          <t>LIJ Main / LIJ OR</t>
        </is>
      </c>
      <c r="C40" s="56" t="inlineStr">
        <is>
          <t>LIJ Main / LIJ OR</t>
        </is>
      </c>
      <c r="D40" s="56" t="inlineStr">
        <is>
          <t>LIJ ORs</t>
        </is>
      </c>
      <c r="E40" s="56" t="inlineStr">
        <is>
          <t>OR 8 SPARE???</t>
        </is>
      </c>
      <c r="F40" s="58" t="n">
        <v>46081</v>
      </c>
      <c r="G40" s="56" t="inlineStr">
        <is>
          <t>WNH270OPR427</t>
        </is>
      </c>
    </row>
    <row r="41">
      <c r="A41" s="54" t="inlineStr">
        <is>
          <t>Cybernet</t>
        </is>
      </c>
      <c r="B41" s="57" t="inlineStr">
        <is>
          <t>LIJ Main / LIJ OR</t>
        </is>
      </c>
      <c r="C41" s="57" t="inlineStr">
        <is>
          <t>LIJ Main / LIJ OR</t>
        </is>
      </c>
      <c r="D41" s="57" t="inlineStr">
        <is>
          <t>ANNEX</t>
        </is>
      </c>
      <c r="E41" s="57" t="inlineStr">
        <is>
          <t>OR 1</t>
        </is>
      </c>
      <c r="F41" s="59" t="n">
        <v>46081</v>
      </c>
      <c r="G41" s="57" t="inlineStr">
        <is>
          <t>WNH270OPR426</t>
        </is>
      </c>
    </row>
    <row r="42">
      <c r="A42" s="53" t="inlineStr">
        <is>
          <t>Cybernet</t>
        </is>
      </c>
      <c r="B42" s="56" t="inlineStr">
        <is>
          <t>LIJ Main / LIJ OR</t>
        </is>
      </c>
      <c r="C42" s="56" t="inlineStr">
        <is>
          <t>LIJ Main / LIJ OR</t>
        </is>
      </c>
      <c r="D42" s="56" t="inlineStr">
        <is>
          <t>ANNEX</t>
        </is>
      </c>
      <c r="E42" s="56" t="inlineStr">
        <is>
          <t>OR 2</t>
        </is>
      </c>
      <c r="F42" s="58" t="n">
        <v>46081</v>
      </c>
      <c r="G42" s="56" t="inlineStr">
        <is>
          <t>WNH270OPR428</t>
        </is>
      </c>
    </row>
    <row r="43">
      <c r="A43" s="54" t="inlineStr">
        <is>
          <t>Cybernet</t>
        </is>
      </c>
      <c r="B43" s="57" t="inlineStr">
        <is>
          <t>LIJ Main / LIJ OR</t>
        </is>
      </c>
      <c r="C43" s="57" t="inlineStr">
        <is>
          <t>LIJ Main / LIJ OR</t>
        </is>
      </c>
      <c r="D43" s="57" t="inlineStr">
        <is>
          <t>ENDO Proc</t>
        </is>
      </c>
      <c r="E43" s="57" t="inlineStr">
        <is>
          <t>PR 4</t>
        </is>
      </c>
      <c r="F43" s="59" t="n">
        <v>46081</v>
      </c>
      <c r="G43" s="57" t="inlineStr">
        <is>
          <t>WNH270OPR433</t>
        </is>
      </c>
    </row>
    <row r="44">
      <c r="A44" s="53" t="inlineStr">
        <is>
          <t>Cybernet</t>
        </is>
      </c>
      <c r="B44" s="56" t="inlineStr">
        <is>
          <t>LIJ Main / LIJ OR</t>
        </is>
      </c>
      <c r="C44" s="56" t="inlineStr">
        <is>
          <t>LIJ Main / LIJ OR</t>
        </is>
      </c>
      <c r="D44" s="56" t="inlineStr">
        <is>
          <t>ANNEX</t>
        </is>
      </c>
      <c r="E44" s="56" t="inlineStr">
        <is>
          <t>OR 3</t>
        </is>
      </c>
      <c r="F44" s="58" t="n">
        <v>46081</v>
      </c>
      <c r="G44" s="56" t="inlineStr">
        <is>
          <t>WNH270OPR434</t>
        </is>
      </c>
    </row>
    <row r="45">
      <c r="A45" s="54" t="inlineStr">
        <is>
          <t>Cybernet</t>
        </is>
      </c>
      <c r="B45" s="57" t="inlineStr">
        <is>
          <t>LIJ - Annex</t>
        </is>
      </c>
      <c r="C45" s="57" t="inlineStr">
        <is>
          <t>LIJ - Annex</t>
        </is>
      </c>
      <c r="D45" s="57" t="inlineStr">
        <is>
          <t>ENDO Proc</t>
        </is>
      </c>
      <c r="E45" s="57" t="inlineStr">
        <is>
          <t>PR 1</t>
        </is>
      </c>
      <c r="F45" s="59" t="n">
        <v>46081</v>
      </c>
      <c r="G45" s="57" t="inlineStr">
        <is>
          <t>WNH270OPR452</t>
        </is>
      </c>
    </row>
    <row r="46">
      <c r="A46" s="53" t="inlineStr">
        <is>
          <t>Cybernet</t>
        </is>
      </c>
      <c r="B46" s="56" t="inlineStr">
        <is>
          <t>LIJ Main / LIJ OR</t>
        </is>
      </c>
      <c r="C46" s="56" t="inlineStr">
        <is>
          <t>LIJ Main / LIJ OR</t>
        </is>
      </c>
      <c r="D46" s="56" t="inlineStr">
        <is>
          <t>CATH</t>
        </is>
      </c>
      <c r="E46" s="56" t="inlineStr">
        <is>
          <t>CAT Lab 1</t>
        </is>
      </c>
      <c r="F46" s="58" t="n">
        <v>46081</v>
      </c>
      <c r="G46" s="56" t="inlineStr">
        <is>
          <t>WNH270OPR453</t>
        </is>
      </c>
    </row>
    <row r="47">
      <c r="A47" s="54" t="inlineStr">
        <is>
          <t>Cybernet</t>
        </is>
      </c>
      <c r="B47" s="57" t="inlineStr">
        <is>
          <t>LIJ - Annex</t>
        </is>
      </c>
      <c r="C47" s="57" t="inlineStr">
        <is>
          <t>LIJ - Annex</t>
        </is>
      </c>
      <c r="D47" s="57" t="inlineStr">
        <is>
          <t>LDR ORs</t>
        </is>
      </c>
      <c r="E47" s="57" t="inlineStr">
        <is>
          <t>OB OR 2</t>
        </is>
      </c>
      <c r="F47" s="59" t="n">
        <v>46081</v>
      </c>
      <c r="G47" s="57" t="inlineStr">
        <is>
          <t>WNH270OPR454</t>
        </is>
      </c>
    </row>
    <row r="48">
      <c r="A48" s="53" t="inlineStr">
        <is>
          <t>Cybernet</t>
        </is>
      </c>
      <c r="B48" s="56" t="inlineStr">
        <is>
          <t>LIJ Main / LIJ OR</t>
        </is>
      </c>
      <c r="C48" s="56" t="inlineStr">
        <is>
          <t>LIJ Main / LIJ OR</t>
        </is>
      </c>
      <c r="D48" s="56" t="inlineStr">
        <is>
          <t>CATH</t>
        </is>
      </c>
      <c r="E48" s="56" t="inlineStr">
        <is>
          <t>CAT Lab 2</t>
        </is>
      </c>
      <c r="F48" s="58" t="n">
        <v>46081</v>
      </c>
      <c r="G48" s="56" t="inlineStr">
        <is>
          <t>WNH270OPR457</t>
        </is>
      </c>
    </row>
    <row r="49">
      <c r="A49" s="54" t="inlineStr">
        <is>
          <t>Cybernet</t>
        </is>
      </c>
      <c r="B49" s="57" t="inlineStr">
        <is>
          <t>LIJ Main / LIJ OR</t>
        </is>
      </c>
      <c r="C49" s="57" t="inlineStr">
        <is>
          <t>LIJ Main / LIJ OR</t>
        </is>
      </c>
      <c r="D49" s="57" t="inlineStr">
        <is>
          <t>CATH</t>
        </is>
      </c>
      <c r="E49" s="57" t="inlineStr">
        <is>
          <t>IR 8 / PROCEDURAL ROOM</t>
        </is>
      </c>
      <c r="F49" s="59" t="n">
        <v>46081</v>
      </c>
      <c r="G49" s="57" t="inlineStr">
        <is>
          <t>WNH270OPR459</t>
        </is>
      </c>
    </row>
    <row r="50">
      <c r="A50" s="53" t="inlineStr">
        <is>
          <t>Cybernet</t>
        </is>
      </c>
      <c r="B50" s="56" t="inlineStr">
        <is>
          <t>LIJ - OR</t>
        </is>
      </c>
      <c r="C50" s="56" t="inlineStr">
        <is>
          <t>LIJ - OR</t>
        </is>
      </c>
      <c r="D50" s="56" t="inlineStr">
        <is>
          <t>LIJ ORs</t>
        </is>
      </c>
      <c r="E50" s="56" t="inlineStr">
        <is>
          <t>OR 1</t>
        </is>
      </c>
      <c r="F50" s="58" t="n">
        <v>46075</v>
      </c>
      <c r="G50" s="56" t="inlineStr">
        <is>
          <t>WNH270OPR413</t>
        </is>
      </c>
    </row>
    <row r="51">
      <c r="A51" s="54" t="inlineStr">
        <is>
          <t>Cybernet</t>
        </is>
      </c>
      <c r="B51" s="57" t="inlineStr">
        <is>
          <t>LIJ - OR</t>
        </is>
      </c>
      <c r="C51" s="57" t="inlineStr">
        <is>
          <t>LIJ - OR</t>
        </is>
      </c>
      <c r="D51" s="57" t="inlineStr">
        <is>
          <t>LIJ ORs</t>
        </is>
      </c>
      <c r="E51" s="57" t="inlineStr">
        <is>
          <t>OR 2</t>
        </is>
      </c>
      <c r="F51" s="59" t="n">
        <v>46075</v>
      </c>
      <c r="G51" s="57" t="inlineStr">
        <is>
          <t>WNH270OPR414</t>
        </is>
      </c>
    </row>
    <row r="52">
      <c r="A52" s="53" t="inlineStr">
        <is>
          <t>Cybernet</t>
        </is>
      </c>
      <c r="B52" s="56" t="inlineStr">
        <is>
          <t>LIJ - OR</t>
        </is>
      </c>
      <c r="C52" s="56" t="inlineStr">
        <is>
          <t>LIJ - OR</t>
        </is>
      </c>
      <c r="D52" s="56" t="inlineStr">
        <is>
          <t>LIJ ORs</t>
        </is>
      </c>
      <c r="E52" s="56" t="inlineStr">
        <is>
          <t>OR 3</t>
        </is>
      </c>
      <c r="F52" s="58" t="n">
        <v>46075</v>
      </c>
      <c r="G52" s="56" t="inlineStr">
        <is>
          <t>WNH270OPR415</t>
        </is>
      </c>
    </row>
    <row r="53">
      <c r="A53" s="54" t="inlineStr">
        <is>
          <t>Cybernet</t>
        </is>
      </c>
      <c r="B53" s="57" t="inlineStr">
        <is>
          <t>LIJ - OR</t>
        </is>
      </c>
      <c r="C53" s="57" t="inlineStr">
        <is>
          <t>LIJ - OR</t>
        </is>
      </c>
      <c r="D53" s="57" t="inlineStr">
        <is>
          <t>LIJ ORs</t>
        </is>
      </c>
      <c r="E53" s="57" t="inlineStr">
        <is>
          <t>OR 4</t>
        </is>
      </c>
      <c r="F53" s="59" t="n">
        <v>46075</v>
      </c>
      <c r="G53" s="57" t="inlineStr">
        <is>
          <t>WNH270OPR416</t>
        </is>
      </c>
    </row>
    <row r="54">
      <c r="A54" s="53" t="inlineStr">
        <is>
          <t>Cybernet</t>
        </is>
      </c>
      <c r="B54" s="56" t="inlineStr">
        <is>
          <t>LIJ - OR</t>
        </is>
      </c>
      <c r="C54" s="56" t="inlineStr">
        <is>
          <t>LIJ - OR</t>
        </is>
      </c>
      <c r="D54" s="56" t="inlineStr">
        <is>
          <t>LIJ ORs</t>
        </is>
      </c>
      <c r="E54" s="56" t="inlineStr">
        <is>
          <t>OR 5</t>
        </is>
      </c>
      <c r="F54" s="58" t="n">
        <v>46075</v>
      </c>
      <c r="G54" s="56" t="inlineStr">
        <is>
          <t>WNH270OPR417</t>
        </is>
      </c>
    </row>
    <row r="55">
      <c r="A55" s="54" t="inlineStr">
        <is>
          <t>Cybernet</t>
        </is>
      </c>
      <c r="B55" s="57" t="inlineStr">
        <is>
          <t>LIJ - OR</t>
        </is>
      </c>
      <c r="C55" s="57" t="inlineStr">
        <is>
          <t>LIJ - OR</t>
        </is>
      </c>
      <c r="D55" s="57" t="inlineStr">
        <is>
          <t>LIJ ORs</t>
        </is>
      </c>
      <c r="E55" s="57" t="inlineStr">
        <is>
          <t>OR 16</t>
        </is>
      </c>
      <c r="F55" s="59" t="n">
        <v>46075</v>
      </c>
      <c r="G55" s="57" t="inlineStr">
        <is>
          <t>WNH270OPR418</t>
        </is>
      </c>
    </row>
    <row r="56" hidden="1" s="91">
      <c r="A56" s="53" t="inlineStr">
        <is>
          <t>Cybernet</t>
        </is>
      </c>
      <c r="B56" s="56" t="inlineStr">
        <is>
          <t>LIJ - OR</t>
        </is>
      </c>
      <c r="C56" s="56" t="inlineStr">
        <is>
          <t>LIJ - OR</t>
        </is>
      </c>
      <c r="D56" s="56" t="inlineStr">
        <is>
          <t>LIJ ORs</t>
        </is>
      </c>
      <c r="E56" s="56" t="inlineStr">
        <is>
          <t>OR 6</t>
        </is>
      </c>
      <c r="F56" s="58" t="n">
        <v>46075</v>
      </c>
      <c r="G56" s="56" t="inlineStr">
        <is>
          <t>WNH270OPR419</t>
        </is>
      </c>
    </row>
    <row r="57">
      <c r="A57" s="54" t="inlineStr">
        <is>
          <t>Cybernet</t>
        </is>
      </c>
      <c r="B57" s="57" t="inlineStr">
        <is>
          <t>LIJ - OR</t>
        </is>
      </c>
      <c r="C57" s="57" t="inlineStr">
        <is>
          <t>LIJ - OR</t>
        </is>
      </c>
      <c r="D57" s="57" t="inlineStr">
        <is>
          <t>LIJ ORs</t>
        </is>
      </c>
      <c r="E57" s="57" t="inlineStr">
        <is>
          <t>OR 18</t>
        </is>
      </c>
      <c r="F57" s="59" t="n">
        <v>46075</v>
      </c>
      <c r="G57" s="57" t="inlineStr">
        <is>
          <t>WNH270OPR420</t>
        </is>
      </c>
    </row>
    <row r="58">
      <c r="A58" s="53" t="inlineStr">
        <is>
          <t>Cybernet</t>
        </is>
      </c>
      <c r="B58" s="56" t="inlineStr">
        <is>
          <t>LIJ - OR</t>
        </is>
      </c>
      <c r="C58" s="56" t="inlineStr">
        <is>
          <t>LIJ - OR</t>
        </is>
      </c>
      <c r="D58" s="56" t="inlineStr">
        <is>
          <t>LIJ ORs</t>
        </is>
      </c>
      <c r="E58" s="56" t="inlineStr">
        <is>
          <t>OR 20</t>
        </is>
      </c>
      <c r="F58" s="58" t="n">
        <v>46075</v>
      </c>
      <c r="G58" s="56" t="inlineStr">
        <is>
          <t>WNH270OPR421</t>
        </is>
      </c>
    </row>
    <row r="59">
      <c r="A59" s="54" t="inlineStr">
        <is>
          <t>Cybernet</t>
        </is>
      </c>
      <c r="B59" s="57" t="inlineStr">
        <is>
          <t>LIJ - OR</t>
        </is>
      </c>
      <c r="C59" s="57" t="inlineStr">
        <is>
          <t>LIJ - OR</t>
        </is>
      </c>
      <c r="D59" s="57" t="inlineStr">
        <is>
          <t>LIJ ORs</t>
        </is>
      </c>
      <c r="E59" s="57" t="inlineStr">
        <is>
          <t>OR 7</t>
        </is>
      </c>
      <c r="F59" s="59" t="n">
        <v>46075</v>
      </c>
      <c r="G59" s="57" t="inlineStr">
        <is>
          <t>WNH270OPR422</t>
        </is>
      </c>
    </row>
    <row r="60">
      <c r="A60" s="53" t="inlineStr">
        <is>
          <t>Cybernet</t>
        </is>
      </c>
      <c r="B60" s="56" t="inlineStr">
        <is>
          <t>LIJ - OR</t>
        </is>
      </c>
      <c r="C60" s="56" t="inlineStr">
        <is>
          <t>LIJ - OR</t>
        </is>
      </c>
      <c r="D60" s="56" t="inlineStr">
        <is>
          <t>LIJ ORs</t>
        </is>
      </c>
      <c r="E60" s="56" t="inlineStr">
        <is>
          <t>OR 8</t>
        </is>
      </c>
      <c r="F60" s="58" t="n">
        <v>46075</v>
      </c>
      <c r="G60" s="56" t="inlineStr">
        <is>
          <t>WNH270OPR423</t>
        </is>
      </c>
    </row>
    <row r="61">
      <c r="A61" s="54" t="inlineStr">
        <is>
          <t>Cybernet</t>
        </is>
      </c>
      <c r="B61" s="57" t="inlineStr">
        <is>
          <t>LIJ - OR</t>
        </is>
      </c>
      <c r="C61" s="57" t="inlineStr">
        <is>
          <t>LIJ - OR</t>
        </is>
      </c>
      <c r="D61" s="57" t="inlineStr">
        <is>
          <t>LIJ ORs</t>
        </is>
      </c>
      <c r="E61" s="57" t="inlineStr">
        <is>
          <t>OR 9</t>
        </is>
      </c>
      <c r="F61" s="59" t="n">
        <v>46075</v>
      </c>
      <c r="G61" s="57" t="inlineStr">
        <is>
          <t>WNH270OPR424</t>
        </is>
      </c>
    </row>
    <row r="62">
      <c r="A62" s="53" t="inlineStr">
        <is>
          <t>Cybernet</t>
        </is>
      </c>
      <c r="B62" s="56" t="inlineStr">
        <is>
          <t>LIJ - OR</t>
        </is>
      </c>
      <c r="C62" s="56" t="inlineStr">
        <is>
          <t>LIJ - OR</t>
        </is>
      </c>
      <c r="D62" s="56" t="inlineStr">
        <is>
          <t>LIJ ORs</t>
        </is>
      </c>
      <c r="E62" s="56" t="inlineStr">
        <is>
          <t>OR 17</t>
        </is>
      </c>
      <c r="F62" s="58" t="n">
        <v>46075</v>
      </c>
      <c r="G62" s="56" t="inlineStr">
        <is>
          <t>WNH270OPR429</t>
        </is>
      </c>
    </row>
    <row r="63">
      <c r="A63" s="54" t="inlineStr">
        <is>
          <t>Cybernet</t>
        </is>
      </c>
      <c r="B63" s="57" t="inlineStr">
        <is>
          <t>LIJ - OR</t>
        </is>
      </c>
      <c r="C63" s="57" t="inlineStr">
        <is>
          <t>LIJ - OR</t>
        </is>
      </c>
      <c r="D63" s="57" t="inlineStr">
        <is>
          <t>LIJ ORs</t>
        </is>
      </c>
      <c r="E63" s="57" t="inlineStr">
        <is>
          <t>OR 25 / OR 13</t>
        </is>
      </c>
      <c r="F63" s="59" t="n">
        <v>46075</v>
      </c>
      <c r="G63" s="57" t="inlineStr">
        <is>
          <t>WNH270OPR430</t>
        </is>
      </c>
    </row>
    <row r="64">
      <c r="A64" s="53" t="inlineStr">
        <is>
          <t>Cybernet</t>
        </is>
      </c>
      <c r="B64" s="56" t="inlineStr">
        <is>
          <t>LIJ - OR</t>
        </is>
      </c>
      <c r="C64" s="56" t="inlineStr">
        <is>
          <t>LIJ - OR</t>
        </is>
      </c>
      <c r="D64" s="56" t="inlineStr">
        <is>
          <t>LIJ ORs</t>
        </is>
      </c>
      <c r="E64" s="56" t="inlineStr">
        <is>
          <t>OR 21</t>
        </is>
      </c>
      <c r="F64" s="58" t="n">
        <v>46075</v>
      </c>
      <c r="G64" s="56" t="inlineStr">
        <is>
          <t>WNH270OPR432</t>
        </is>
      </c>
    </row>
    <row r="65">
      <c r="A65" s="54" t="inlineStr">
        <is>
          <t>Cybernet</t>
        </is>
      </c>
      <c r="B65" s="57" t="inlineStr">
        <is>
          <t>LIJ - OR</t>
        </is>
      </c>
      <c r="C65" s="57" t="inlineStr">
        <is>
          <t>LIJ - OR</t>
        </is>
      </c>
      <c r="D65" s="57" t="inlineStr">
        <is>
          <t>LIJ ORs</t>
        </is>
      </c>
      <c r="E65" s="57" t="inlineStr">
        <is>
          <t>OR 22</t>
        </is>
      </c>
      <c r="F65" s="59" t="n">
        <v>46075</v>
      </c>
      <c r="G65" s="57" t="inlineStr">
        <is>
          <t>WNH270OPR435</t>
        </is>
      </c>
    </row>
    <row r="66">
      <c r="A66" s="53" t="inlineStr">
        <is>
          <t>Cybernet</t>
        </is>
      </c>
      <c r="B66" s="56" t="inlineStr">
        <is>
          <t>LIJ - OR</t>
        </is>
      </c>
      <c r="C66" s="56" t="inlineStr">
        <is>
          <t>LIJ - OR</t>
        </is>
      </c>
      <c r="D66" s="56" t="inlineStr">
        <is>
          <t>LIJ ORs</t>
        </is>
      </c>
      <c r="E66" s="56" t="inlineStr">
        <is>
          <t>OR 19</t>
        </is>
      </c>
      <c r="F66" s="58" t="n">
        <v>46075</v>
      </c>
      <c r="G66" s="56" t="inlineStr">
        <is>
          <t>WNH270OPR436</t>
        </is>
      </c>
    </row>
    <row r="67">
      <c r="A67" s="54" t="inlineStr">
        <is>
          <t>Cybernet</t>
        </is>
      </c>
      <c r="B67" s="57" t="inlineStr">
        <is>
          <t>LIJ - OR</t>
        </is>
      </c>
      <c r="C67" s="57" t="inlineStr">
        <is>
          <t>LIJ - OR</t>
        </is>
      </c>
      <c r="D67" s="57" t="inlineStr">
        <is>
          <t>LIJ ORs</t>
        </is>
      </c>
      <c r="E67" s="57" t="inlineStr">
        <is>
          <t>OR 15</t>
        </is>
      </c>
      <c r="F67" s="59" t="n">
        <v>46075</v>
      </c>
      <c r="G67" s="57" t="inlineStr">
        <is>
          <t>WNH270OPR437</t>
        </is>
      </c>
    </row>
    <row r="68">
      <c r="A68" s="53" t="inlineStr">
        <is>
          <t>Cybernet</t>
        </is>
      </c>
      <c r="B68" s="56" t="inlineStr">
        <is>
          <t>LIJ - OR</t>
        </is>
      </c>
      <c r="C68" s="56" t="inlineStr">
        <is>
          <t>LIJ - OR</t>
        </is>
      </c>
      <c r="D68" s="56" t="inlineStr">
        <is>
          <t>LIJ ORs</t>
        </is>
      </c>
      <c r="E68" s="56" t="inlineStr">
        <is>
          <t>OR 12</t>
        </is>
      </c>
      <c r="F68" s="58" t="n">
        <v>46075</v>
      </c>
      <c r="G68" s="56" t="inlineStr">
        <is>
          <t>WNH270OPR438</t>
        </is>
      </c>
    </row>
    <row r="69">
      <c r="A69" s="54" t="inlineStr">
        <is>
          <t>Cybernet</t>
        </is>
      </c>
      <c r="B69" s="57" t="inlineStr">
        <is>
          <t>LIJ - OR</t>
        </is>
      </c>
      <c r="C69" s="57" t="inlineStr">
        <is>
          <t>LIJ - OR</t>
        </is>
      </c>
      <c r="D69" s="57" t="inlineStr">
        <is>
          <t>LIJ ORs</t>
        </is>
      </c>
      <c r="E69" s="57" t="inlineStr">
        <is>
          <t>Procedural Room 1</t>
        </is>
      </c>
      <c r="F69" s="59" t="n">
        <v>46075</v>
      </c>
      <c r="G69" s="57" t="inlineStr">
        <is>
          <t>WNH270OPR439</t>
        </is>
      </c>
    </row>
    <row r="70">
      <c r="A70" s="53" t="inlineStr">
        <is>
          <t>Cybernet</t>
        </is>
      </c>
      <c r="B70" s="56" t="inlineStr">
        <is>
          <t>LIJ - OR</t>
        </is>
      </c>
      <c r="C70" s="56" t="inlineStr">
        <is>
          <t>LIJ - OR</t>
        </is>
      </c>
      <c r="D70" s="56" t="inlineStr">
        <is>
          <t>LIJ ORs</t>
        </is>
      </c>
      <c r="E70" s="56" t="inlineStr">
        <is>
          <t>OR 14</t>
        </is>
      </c>
      <c r="F70" s="58" t="n">
        <v>46075</v>
      </c>
      <c r="G70" s="56" t="inlineStr">
        <is>
          <t>WNH270OPR440</t>
        </is>
      </c>
    </row>
    <row r="71">
      <c r="A71" s="54" t="inlineStr">
        <is>
          <t>Cybernet</t>
        </is>
      </c>
      <c r="B71" s="57" t="inlineStr">
        <is>
          <t>LIJ - OR</t>
        </is>
      </c>
      <c r="C71" s="57" t="inlineStr">
        <is>
          <t>LIJ - OR</t>
        </is>
      </c>
      <c r="D71" s="57" t="inlineStr">
        <is>
          <t>LIJ ORs</t>
        </is>
      </c>
      <c r="E71" s="57" t="inlineStr">
        <is>
          <t>OR 11</t>
        </is>
      </c>
      <c r="F71" s="59" t="n">
        <v>46075</v>
      </c>
      <c r="G71" s="57" t="inlineStr">
        <is>
          <t>WNH270OPR441</t>
        </is>
      </c>
    </row>
    <row r="72">
      <c r="A72" s="53" t="inlineStr">
        <is>
          <t>Cybernet</t>
        </is>
      </c>
      <c r="B72" s="56" t="inlineStr">
        <is>
          <t>LIJ - OR</t>
        </is>
      </c>
      <c r="C72" s="56" t="inlineStr">
        <is>
          <t>LIJ - OR</t>
        </is>
      </c>
      <c r="D72" s="56" t="inlineStr">
        <is>
          <t>LIJ ORs</t>
        </is>
      </c>
      <c r="E72" s="56" t="inlineStr">
        <is>
          <t>OR 10</t>
        </is>
      </c>
      <c r="F72" s="58" t="n">
        <v>46075</v>
      </c>
      <c r="G72" s="56" t="inlineStr">
        <is>
          <t>WNH270OPR442</t>
        </is>
      </c>
    </row>
    <row r="73">
      <c r="A73" s="54" t="inlineStr">
        <is>
          <t>Cybernet</t>
        </is>
      </c>
      <c r="B73" s="57" t="inlineStr">
        <is>
          <t>CCMC</t>
        </is>
      </c>
      <c r="C73" s="57" t="inlineStr">
        <is>
          <t>CCMC</t>
        </is>
      </c>
      <c r="D73" s="57" t="inlineStr">
        <is>
          <t>2nd Floor</t>
        </is>
      </c>
      <c r="E73" s="57" t="inlineStr">
        <is>
          <t>OR 4</t>
        </is>
      </c>
      <c r="F73" s="59" t="n">
        <v>46067</v>
      </c>
      <c r="G73" s="57" t="n"/>
    </row>
    <row r="74">
      <c r="A74" s="53" t="inlineStr">
        <is>
          <t>Cybernet</t>
        </is>
      </c>
      <c r="B74" s="56" t="inlineStr">
        <is>
          <t>CCMC</t>
        </is>
      </c>
      <c r="C74" s="56" t="inlineStr">
        <is>
          <t>CCMC</t>
        </is>
      </c>
      <c r="D74" s="56" t="inlineStr">
        <is>
          <t>2nd Floor</t>
        </is>
      </c>
      <c r="E74" s="56" t="inlineStr">
        <is>
          <t>OR 2</t>
        </is>
      </c>
      <c r="F74" s="58" t="n">
        <v>46067</v>
      </c>
      <c r="G74" s="56" t="n"/>
    </row>
    <row r="75">
      <c r="A75" s="54" t="inlineStr">
        <is>
          <t>Cybernet</t>
        </is>
      </c>
      <c r="B75" s="57" t="inlineStr">
        <is>
          <t>CCMC</t>
        </is>
      </c>
      <c r="C75" s="57" t="inlineStr">
        <is>
          <t>CCMC</t>
        </is>
      </c>
      <c r="D75" s="57" t="inlineStr">
        <is>
          <t>2nd Floor</t>
        </is>
      </c>
      <c r="E75" s="57" t="inlineStr">
        <is>
          <t>OR 5</t>
        </is>
      </c>
      <c r="F75" s="59" t="n">
        <v>46067</v>
      </c>
      <c r="G75" s="57" t="n"/>
    </row>
    <row r="76">
      <c r="A76" s="53" t="inlineStr">
        <is>
          <t>Cybernet</t>
        </is>
      </c>
      <c r="B76" s="56" t="inlineStr">
        <is>
          <t>CCMC</t>
        </is>
      </c>
      <c r="C76" s="56" t="inlineStr">
        <is>
          <t>CCMC</t>
        </is>
      </c>
      <c r="D76" s="56" t="inlineStr">
        <is>
          <t>2nd Floor</t>
        </is>
      </c>
      <c r="E76" s="56" t="inlineStr">
        <is>
          <t>OR 6</t>
        </is>
      </c>
      <c r="F76" s="58" t="n">
        <v>46067</v>
      </c>
      <c r="G76" s="56" t="n"/>
    </row>
    <row r="77">
      <c r="A77" s="54" t="inlineStr">
        <is>
          <t>Cybernet</t>
        </is>
      </c>
      <c r="B77" s="57" t="inlineStr">
        <is>
          <t>CCMC</t>
        </is>
      </c>
      <c r="C77" s="57" t="inlineStr">
        <is>
          <t>CCMC</t>
        </is>
      </c>
      <c r="D77" s="57" t="inlineStr">
        <is>
          <t>2nd Floor</t>
        </is>
      </c>
      <c r="E77" s="57" t="inlineStr">
        <is>
          <t>OR 7</t>
        </is>
      </c>
      <c r="F77" s="59" t="n">
        <v>46067</v>
      </c>
      <c r="G77" s="57" t="n"/>
    </row>
    <row r="78">
      <c r="A78" s="53" t="inlineStr">
        <is>
          <t>Cybernet</t>
        </is>
      </c>
      <c r="B78" s="56" t="inlineStr">
        <is>
          <t>CCMC</t>
        </is>
      </c>
      <c r="C78" s="56" t="inlineStr">
        <is>
          <t>CCMC</t>
        </is>
      </c>
      <c r="D78" s="56" t="inlineStr">
        <is>
          <t>2nd Floor</t>
        </is>
      </c>
      <c r="E78" s="56" t="inlineStr">
        <is>
          <t>OR 1</t>
        </is>
      </c>
      <c r="F78" s="58" t="n">
        <v>46067</v>
      </c>
      <c r="G78" s="56" t="n"/>
    </row>
    <row r="79">
      <c r="A79" s="54" t="inlineStr">
        <is>
          <t>Cybernet</t>
        </is>
      </c>
      <c r="B79" s="57" t="inlineStr">
        <is>
          <t>CCMC</t>
        </is>
      </c>
      <c r="C79" s="57" t="inlineStr">
        <is>
          <t>CCMC</t>
        </is>
      </c>
      <c r="D79" s="57" t="inlineStr">
        <is>
          <t>2nd Floor</t>
        </is>
      </c>
      <c r="E79" s="57" t="inlineStr">
        <is>
          <t>OR 8</t>
        </is>
      </c>
      <c r="F79" s="59" t="n">
        <v>46067</v>
      </c>
      <c r="G79" s="57" t="n"/>
    </row>
    <row r="80">
      <c r="A80" s="53" t="inlineStr">
        <is>
          <t>Cybernet</t>
        </is>
      </c>
      <c r="B80" s="56" t="inlineStr">
        <is>
          <t>CCMC</t>
        </is>
      </c>
      <c r="C80" s="56" t="inlineStr">
        <is>
          <t>CCMC</t>
        </is>
      </c>
      <c r="D80" s="56" t="inlineStr">
        <is>
          <t>2nd Floor</t>
        </is>
      </c>
      <c r="E80" s="56" t="inlineStr">
        <is>
          <t>OR 3</t>
        </is>
      </c>
      <c r="F80" s="58" t="n">
        <v>46067</v>
      </c>
      <c r="G80" s="56" t="n"/>
    </row>
    <row r="81">
      <c r="A81" s="54" t="inlineStr">
        <is>
          <t>Cybernet</t>
        </is>
      </c>
      <c r="B81" s="57" t="inlineStr">
        <is>
          <t>CCMC</t>
        </is>
      </c>
      <c r="C81" s="57" t="inlineStr">
        <is>
          <t>CCMC</t>
        </is>
      </c>
      <c r="D81" s="57" t="inlineStr">
        <is>
          <t>2nd Floor</t>
        </is>
      </c>
      <c r="E81" s="57" t="inlineStr">
        <is>
          <t>IR 11</t>
        </is>
      </c>
      <c r="F81" s="59" t="n">
        <v>46067</v>
      </c>
      <c r="G81" s="57" t="n"/>
    </row>
    <row r="82">
      <c r="A82" s="53" t="inlineStr">
        <is>
          <t>Cybernet</t>
        </is>
      </c>
      <c r="B82" s="56" t="inlineStr">
        <is>
          <t>PBMC</t>
        </is>
      </c>
      <c r="C82" s="56" t="inlineStr">
        <is>
          <t>PBMC</t>
        </is>
      </c>
      <c r="D82" s="56" t="inlineStr">
        <is>
          <t>Third Floor/Cath Lab</t>
        </is>
      </c>
      <c r="E82" s="56" t="inlineStr">
        <is>
          <t>Lab 3/ Neuro BiPlane</t>
        </is>
      </c>
      <c r="F82" s="58" t="n"/>
      <c r="G82" s="56" t="inlineStr">
        <is>
          <t>WRI130OPR045</t>
        </is>
      </c>
    </row>
    <row r="83" hidden="1" s="91">
      <c r="A83" s="54" t="inlineStr">
        <is>
          <t>Cybernet</t>
        </is>
      </c>
      <c r="B83" s="57" t="inlineStr">
        <is>
          <t>100 Commercial St</t>
        </is>
      </c>
      <c r="C83" s="57" t="inlineStr">
        <is>
          <t>LIJ-IR</t>
        </is>
      </c>
      <c r="D83" s="57" t="n"/>
      <c r="E83" s="57" t="n"/>
      <c r="F83" s="59" t="n"/>
      <c r="G83" s="57" t="inlineStr">
        <is>
          <t>WNH270INR001</t>
        </is>
      </c>
    </row>
    <row r="84" hidden="1" s="91">
      <c r="A84" s="53" t="inlineStr">
        <is>
          <t>Cybernet</t>
        </is>
      </c>
      <c r="B84" s="56" t="inlineStr">
        <is>
          <t>100 Commercial St</t>
        </is>
      </c>
      <c r="C84" s="56" t="inlineStr">
        <is>
          <t>LIJ-IR</t>
        </is>
      </c>
      <c r="D84" s="56" t="n"/>
      <c r="E84" s="56" t="n"/>
      <c r="F84" s="58" t="n"/>
      <c r="G84" s="56" t="inlineStr">
        <is>
          <t>WNH270INR002</t>
        </is>
      </c>
    </row>
    <row r="85" hidden="1" s="91">
      <c r="A85" s="54" t="inlineStr">
        <is>
          <t>Cybernet</t>
        </is>
      </c>
      <c r="B85" s="57" t="inlineStr">
        <is>
          <t>100 Commercial St</t>
        </is>
      </c>
      <c r="C85" s="57" t="inlineStr">
        <is>
          <t>MEETH</t>
        </is>
      </c>
      <c r="D85" s="57" t="n"/>
      <c r="E85" s="57" t="n"/>
      <c r="F85" s="59" t="n"/>
      <c r="G85" s="57" t="inlineStr">
        <is>
          <t>WNY210OPR053</t>
        </is>
      </c>
    </row>
    <row r="86" hidden="1" s="91">
      <c r="A86" s="53" t="inlineStr">
        <is>
          <t>Cybernet</t>
        </is>
      </c>
      <c r="B86" s="56" t="inlineStr">
        <is>
          <t>100 Commercial St</t>
        </is>
      </c>
      <c r="C86" s="56" t="inlineStr">
        <is>
          <t>MEETH</t>
        </is>
      </c>
      <c r="D86" s="56" t="n"/>
      <c r="E86" s="56" t="n"/>
      <c r="F86" s="58" t="n"/>
      <c r="G86" s="56" t="inlineStr">
        <is>
          <t>WNY210OPR054</t>
        </is>
      </c>
    </row>
    <row r="87">
      <c r="A87" s="54" t="inlineStr">
        <is>
          <t>Cybernet</t>
        </is>
      </c>
      <c r="B87" s="57" t="inlineStr">
        <is>
          <t>100 Commercial St</t>
        </is>
      </c>
      <c r="C87" s="57" t="inlineStr">
        <is>
          <t>NSUH</t>
        </is>
      </c>
      <c r="D87" s="57" t="n"/>
      <c r="E87" s="57" t="n"/>
      <c r="F87" s="59" t="n"/>
      <c r="G87" s="57" t="inlineStr">
        <is>
          <t>WMH300OPR336</t>
        </is>
      </c>
    </row>
    <row r="88">
      <c r="A88" s="53" t="inlineStr">
        <is>
          <t>Cybernet</t>
        </is>
      </c>
      <c r="B88" s="56" t="inlineStr">
        <is>
          <t>100 Commercial St</t>
        </is>
      </c>
      <c r="C88" s="56" t="inlineStr">
        <is>
          <t>NSUH</t>
        </is>
      </c>
      <c r="D88" s="56" t="n"/>
      <c r="E88" s="56" t="n"/>
      <c r="F88" s="58" t="n"/>
      <c r="G88" s="56" t="inlineStr">
        <is>
          <t>WMH300OPR337</t>
        </is>
      </c>
    </row>
    <row r="89">
      <c r="A89" s="54" t="inlineStr">
        <is>
          <t>Cybernet</t>
        </is>
      </c>
      <c r="B89" s="57" t="inlineStr">
        <is>
          <t>100 Commercial St</t>
        </is>
      </c>
      <c r="C89" s="57" t="inlineStr">
        <is>
          <t>NSUH</t>
        </is>
      </c>
      <c r="D89" s="57" t="n"/>
      <c r="E89" s="57" t="n"/>
      <c r="F89" s="59" t="n"/>
      <c r="G89" s="57" t="inlineStr">
        <is>
          <t>WMH300OPR338</t>
        </is>
      </c>
    </row>
    <row r="90">
      <c r="A90" s="53" t="inlineStr">
        <is>
          <t>Cybernet</t>
        </is>
      </c>
      <c r="B90" s="56" t="inlineStr">
        <is>
          <t>100 Commercial St</t>
        </is>
      </c>
      <c r="C90" s="56" t="inlineStr">
        <is>
          <t>NSUH</t>
        </is>
      </c>
      <c r="D90" s="56" t="n"/>
      <c r="E90" s="56" t="n"/>
      <c r="F90" s="58" t="n"/>
      <c r="G90" s="56" t="inlineStr">
        <is>
          <t>WMH300OPR339</t>
        </is>
      </c>
    </row>
    <row r="91">
      <c r="A91" s="54" t="inlineStr">
        <is>
          <t>Cybernet</t>
        </is>
      </c>
      <c r="B91" s="57" t="inlineStr">
        <is>
          <t>100 Commercial St</t>
        </is>
      </c>
      <c r="C91" s="57" t="inlineStr">
        <is>
          <t>NSUH</t>
        </is>
      </c>
      <c r="D91" s="57" t="n"/>
      <c r="E91" s="57" t="n"/>
      <c r="F91" s="59" t="n"/>
      <c r="G91" s="57" t="inlineStr">
        <is>
          <t>WMH300OPR340</t>
        </is>
      </c>
    </row>
    <row r="92">
      <c r="A92" s="53" t="inlineStr">
        <is>
          <t>Cybernet</t>
        </is>
      </c>
      <c r="B92" s="56" t="inlineStr">
        <is>
          <t>100 Commercial St</t>
        </is>
      </c>
      <c r="C92" s="56" t="inlineStr">
        <is>
          <t>NSUH</t>
        </is>
      </c>
      <c r="D92" s="56" t="n"/>
      <c r="E92" s="56" t="n"/>
      <c r="F92" s="58" t="n"/>
      <c r="G92" s="56" t="inlineStr">
        <is>
          <t>WMH300OPR341</t>
        </is>
      </c>
    </row>
    <row r="93">
      <c r="A93" s="54" t="inlineStr">
        <is>
          <t>Cybernet</t>
        </is>
      </c>
      <c r="B93" s="57" t="inlineStr">
        <is>
          <t>100 Commercial St</t>
        </is>
      </c>
      <c r="C93" s="57" t="inlineStr">
        <is>
          <t>NSUH</t>
        </is>
      </c>
      <c r="D93" s="57" t="n"/>
      <c r="E93" s="57" t="n"/>
      <c r="F93" s="59" t="n"/>
      <c r="G93" s="57" t="inlineStr">
        <is>
          <t>WMH300OPR342</t>
        </is>
      </c>
    </row>
    <row r="94">
      <c r="A94" s="53" t="inlineStr">
        <is>
          <t>Cybernet</t>
        </is>
      </c>
      <c r="B94" s="56" t="inlineStr">
        <is>
          <t>100 Commercial St</t>
        </is>
      </c>
      <c r="C94" s="56" t="inlineStr">
        <is>
          <t>NSUH</t>
        </is>
      </c>
      <c r="D94" s="56" t="n"/>
      <c r="E94" s="56" t="n"/>
      <c r="F94" s="58" t="n"/>
      <c r="G94" s="56" t="inlineStr">
        <is>
          <t>WMH300OPR343</t>
        </is>
      </c>
    </row>
    <row r="95">
      <c r="A95" s="54" t="inlineStr">
        <is>
          <t>Cybernet</t>
        </is>
      </c>
      <c r="B95" s="57" t="inlineStr">
        <is>
          <t>100 Commercial St</t>
        </is>
      </c>
      <c r="C95" s="57" t="inlineStr">
        <is>
          <t>NSUH</t>
        </is>
      </c>
      <c r="D95" s="57" t="n"/>
      <c r="E95" s="57" t="n"/>
      <c r="F95" s="59" t="n"/>
      <c r="G95" s="57" t="inlineStr">
        <is>
          <t>WMH300OPR344</t>
        </is>
      </c>
    </row>
    <row r="96">
      <c r="A96" s="53" t="inlineStr">
        <is>
          <t>Cybernet</t>
        </is>
      </c>
      <c r="B96" s="56" t="inlineStr">
        <is>
          <t>100 Commercial St</t>
        </is>
      </c>
      <c r="C96" s="56" t="inlineStr">
        <is>
          <t>NSUH</t>
        </is>
      </c>
      <c r="D96" s="56" t="n"/>
      <c r="E96" s="56" t="n"/>
      <c r="F96" s="58" t="n"/>
      <c r="G96" s="56" t="inlineStr">
        <is>
          <t>WMH300OPR345</t>
        </is>
      </c>
    </row>
    <row r="97">
      <c r="A97" s="54" t="inlineStr">
        <is>
          <t>Cybernet</t>
        </is>
      </c>
      <c r="B97" s="57" t="inlineStr">
        <is>
          <t>100 Commercial St</t>
        </is>
      </c>
      <c r="C97" s="57" t="inlineStr">
        <is>
          <t>NSUH</t>
        </is>
      </c>
      <c r="D97" s="57" t="n"/>
      <c r="E97" s="57" t="n"/>
      <c r="F97" s="59" t="n"/>
      <c r="G97" s="57" t="inlineStr">
        <is>
          <t>WMH300OPR346</t>
        </is>
      </c>
    </row>
    <row r="98">
      <c r="A98" s="53" t="inlineStr">
        <is>
          <t>Cybernet</t>
        </is>
      </c>
      <c r="B98" s="56" t="inlineStr">
        <is>
          <t>100 Commercial St</t>
        </is>
      </c>
      <c r="C98" s="56" t="inlineStr">
        <is>
          <t>NSUH</t>
        </is>
      </c>
      <c r="D98" s="56" t="n"/>
      <c r="E98" s="56" t="n"/>
      <c r="F98" s="58" t="n"/>
      <c r="G98" s="56" t="inlineStr">
        <is>
          <t>WMH300OPR347</t>
        </is>
      </c>
    </row>
    <row r="99">
      <c r="A99" s="54" t="inlineStr">
        <is>
          <t>Cybernet</t>
        </is>
      </c>
      <c r="B99" s="57" t="inlineStr">
        <is>
          <t>100 Commercial St</t>
        </is>
      </c>
      <c r="C99" s="57" t="inlineStr">
        <is>
          <t>NSUH</t>
        </is>
      </c>
      <c r="D99" s="57" t="n"/>
      <c r="E99" s="57" t="n"/>
      <c r="F99" s="59" t="n"/>
      <c r="G99" s="57" t="inlineStr">
        <is>
          <t>WMH300OPR348</t>
        </is>
      </c>
    </row>
    <row r="100">
      <c r="A100" s="53" t="inlineStr">
        <is>
          <t>Cybernet</t>
        </is>
      </c>
      <c r="B100" s="56" t="inlineStr">
        <is>
          <t>100 Commercial St</t>
        </is>
      </c>
      <c r="C100" s="56" t="inlineStr">
        <is>
          <t>NSUH</t>
        </is>
      </c>
      <c r="D100" s="56" t="n"/>
      <c r="E100" s="56" t="n"/>
      <c r="F100" s="58" t="n"/>
      <c r="G100" s="56" t="inlineStr">
        <is>
          <t>WMH300OPR349</t>
        </is>
      </c>
    </row>
    <row r="101">
      <c r="A101" s="54" t="inlineStr">
        <is>
          <t>Cybernet</t>
        </is>
      </c>
      <c r="B101" s="57" t="inlineStr">
        <is>
          <t>100 Commercial St</t>
        </is>
      </c>
      <c r="C101" s="57" t="inlineStr">
        <is>
          <t>NSUH</t>
        </is>
      </c>
      <c r="D101" s="57" t="n"/>
      <c r="E101" s="57" t="n"/>
      <c r="F101" s="59" t="n"/>
      <c r="G101" s="57" t="inlineStr">
        <is>
          <t>WMH300OPR350</t>
        </is>
      </c>
    </row>
    <row r="102">
      <c r="A102" s="53" t="inlineStr">
        <is>
          <t>Cybernet</t>
        </is>
      </c>
      <c r="B102" s="56" t="inlineStr">
        <is>
          <t>100 Commercial St</t>
        </is>
      </c>
      <c r="C102" s="56" t="inlineStr">
        <is>
          <t>LIJ - CCMC</t>
        </is>
      </c>
      <c r="D102" s="56" t="n"/>
      <c r="E102" s="56" t="n"/>
      <c r="F102" s="58" t="n"/>
      <c r="G102" s="56" t="inlineStr">
        <is>
          <t>WNH269OPR013</t>
        </is>
      </c>
    </row>
    <row r="103">
      <c r="A103" s="54" t="inlineStr">
        <is>
          <t>Cybernet</t>
        </is>
      </c>
      <c r="B103" s="57" t="inlineStr">
        <is>
          <t>LIJ - CCMC</t>
        </is>
      </c>
      <c r="C103" s="57" t="inlineStr">
        <is>
          <t>LIJ - CCMC</t>
        </is>
      </c>
      <c r="D103" s="57" t="n"/>
      <c r="E103" s="57" t="n"/>
      <c r="F103" s="59" t="n"/>
      <c r="G103" s="57" t="inlineStr">
        <is>
          <t>WNH269OPR014</t>
        </is>
      </c>
    </row>
    <row r="104">
      <c r="A104" s="53" t="inlineStr">
        <is>
          <t>Cybernet</t>
        </is>
      </c>
      <c r="B104" s="56" t="inlineStr">
        <is>
          <t>LIJ - CCMC</t>
        </is>
      </c>
      <c r="C104" s="56" t="inlineStr">
        <is>
          <t>LIJ - CCMC</t>
        </is>
      </c>
      <c r="D104" s="56" t="n"/>
      <c r="E104" s="56" t="n"/>
      <c r="F104" s="58" t="n"/>
      <c r="G104" s="56" t="inlineStr">
        <is>
          <t>WNH269OPR015</t>
        </is>
      </c>
    </row>
    <row r="105">
      <c r="A105" s="54" t="inlineStr">
        <is>
          <t>Cybernet</t>
        </is>
      </c>
      <c r="B105" s="57" t="inlineStr">
        <is>
          <t>LIJ - CCMC</t>
        </is>
      </c>
      <c r="C105" s="57" t="inlineStr">
        <is>
          <t>LIJ - CCMC</t>
        </is>
      </c>
      <c r="D105" s="57" t="n"/>
      <c r="E105" s="57" t="n"/>
      <c r="F105" s="59" t="n"/>
      <c r="G105" s="57" t="inlineStr">
        <is>
          <t>WNH269OPR016</t>
        </is>
      </c>
    </row>
    <row r="106">
      <c r="A106" s="53" t="inlineStr">
        <is>
          <t>Cybernet</t>
        </is>
      </c>
      <c r="B106" s="56" t="inlineStr">
        <is>
          <t>LIJ - CCMC</t>
        </is>
      </c>
      <c r="C106" s="56" t="inlineStr">
        <is>
          <t>LIJ - CCMC</t>
        </is>
      </c>
      <c r="D106" s="56" t="inlineStr">
        <is>
          <t>x</t>
        </is>
      </c>
      <c r="E106" s="56" t="inlineStr">
        <is>
          <t>y</t>
        </is>
      </c>
      <c r="F106" s="58" t="n"/>
      <c r="G106" s="56" t="inlineStr">
        <is>
          <t>WNH269OPR017</t>
        </is>
      </c>
    </row>
    <row r="107">
      <c r="A107" s="54" t="inlineStr">
        <is>
          <t>Cybernet</t>
        </is>
      </c>
      <c r="B107" s="57" t="inlineStr">
        <is>
          <t>LIJ - CCMC</t>
        </is>
      </c>
      <c r="C107" s="57" t="inlineStr">
        <is>
          <t>LIJ - CCMC</t>
        </is>
      </c>
      <c r="D107" s="57" t="n"/>
      <c r="E107" s="57" t="n"/>
      <c r="F107" s="59" t="n"/>
      <c r="G107" s="57" t="inlineStr">
        <is>
          <t>WNH269OPR018</t>
        </is>
      </c>
    </row>
    <row r="108">
      <c r="A108" s="53" t="inlineStr">
        <is>
          <t>Cybernet</t>
        </is>
      </c>
      <c r="B108" s="56" t="inlineStr">
        <is>
          <t>LIJ - CCMC</t>
        </is>
      </c>
      <c r="C108" s="56" t="inlineStr">
        <is>
          <t>LIJ - CCMC</t>
        </is>
      </c>
      <c r="D108" s="56" t="n"/>
      <c r="E108" s="56" t="n"/>
      <c r="F108" s="58" t="n"/>
      <c r="G108" s="56" t="inlineStr">
        <is>
          <t>WNH269OPR019</t>
        </is>
      </c>
    </row>
    <row r="109">
      <c r="A109" s="54" t="inlineStr">
        <is>
          <t>Cybernet</t>
        </is>
      </c>
      <c r="B109" s="57" t="inlineStr">
        <is>
          <t>LIJ - CCMC</t>
        </is>
      </c>
      <c r="C109" s="57" t="inlineStr">
        <is>
          <t>LIJ - CCMC</t>
        </is>
      </c>
      <c r="D109" s="57" t="n"/>
      <c r="E109" s="57" t="n"/>
      <c r="F109" s="59" t="n"/>
      <c r="G109" s="57" t="inlineStr">
        <is>
          <t>WNH269OPR020</t>
        </is>
      </c>
    </row>
    <row r="110">
      <c r="A110" s="53" t="inlineStr">
        <is>
          <t>Cybernet</t>
        </is>
      </c>
      <c r="B110" s="56" t="inlineStr">
        <is>
          <t>LIJ - CCMC</t>
        </is>
      </c>
      <c r="C110" s="56" t="inlineStr">
        <is>
          <t>LIJ - CCMC</t>
        </is>
      </c>
      <c r="D110" s="56" t="n"/>
      <c r="E110" s="56" t="n"/>
      <c r="F110" s="58" t="n"/>
      <c r="G110" s="56" t="inlineStr">
        <is>
          <t>WNH269OPR021</t>
        </is>
      </c>
    </row>
    <row r="111">
      <c r="A111" s="54" t="inlineStr">
        <is>
          <t>Cybernet</t>
        </is>
      </c>
      <c r="B111" s="57" t="inlineStr">
        <is>
          <t>100 Commercial St</t>
        </is>
      </c>
      <c r="C111" s="57" t="inlineStr">
        <is>
          <t>LIJ - CCMC</t>
        </is>
      </c>
      <c r="D111" s="57" t="n"/>
      <c r="E111" s="57" t="n"/>
      <c r="F111" s="59" t="n"/>
      <c r="G111" s="57" t="inlineStr">
        <is>
          <t>WNH269OPR022</t>
        </is>
      </c>
    </row>
    <row r="112">
      <c r="A112" s="53" t="inlineStr">
        <is>
          <t>Cybernet</t>
        </is>
      </c>
      <c r="B112" s="56" t="inlineStr">
        <is>
          <t>100 Commercial St</t>
        </is>
      </c>
      <c r="C112" s="56" t="inlineStr">
        <is>
          <t>LIJ - CCMC</t>
        </is>
      </c>
      <c r="D112" s="56" t="n"/>
      <c r="E112" s="56" t="n"/>
      <c r="F112" s="58" t="n"/>
      <c r="G112" s="56" t="inlineStr">
        <is>
          <t>WNH269OPR023</t>
        </is>
      </c>
    </row>
    <row r="113">
      <c r="A113" s="54" t="inlineStr">
        <is>
          <t>Cybernet</t>
        </is>
      </c>
      <c r="B113" s="57" t="inlineStr">
        <is>
          <t>100 Commercial St</t>
        </is>
      </c>
      <c r="C113" s="57" t="inlineStr">
        <is>
          <t>LIJ - CCMC</t>
        </is>
      </c>
      <c r="D113" s="57" t="n"/>
      <c r="E113" s="57" t="n"/>
      <c r="F113" s="59" t="n"/>
      <c r="G113" s="57" t="inlineStr">
        <is>
          <t>WNH269OPR024</t>
        </is>
      </c>
    </row>
    <row r="114">
      <c r="A114" s="53" t="inlineStr">
        <is>
          <t>Cybernet</t>
        </is>
      </c>
      <c r="B114" s="56" t="inlineStr">
        <is>
          <t>100 Commercial St</t>
        </is>
      </c>
      <c r="C114" s="56" t="inlineStr">
        <is>
          <t>LIJ - CCMC</t>
        </is>
      </c>
      <c r="D114" s="56" t="n"/>
      <c r="E114" s="56" t="n"/>
      <c r="F114" s="58" t="n"/>
      <c r="G114" s="56" t="inlineStr">
        <is>
          <t>WNH269OPR025</t>
        </is>
      </c>
    </row>
    <row r="115">
      <c r="A115" s="54" t="inlineStr">
        <is>
          <t>Cybernet</t>
        </is>
      </c>
      <c r="B115" s="57" t="inlineStr">
        <is>
          <t>100 Commercial St</t>
        </is>
      </c>
      <c r="C115" s="57" t="inlineStr">
        <is>
          <t>LIJ - CCMC</t>
        </is>
      </c>
      <c r="D115" s="57" t="n"/>
      <c r="E115" s="57" t="n"/>
      <c r="F115" s="59" t="n"/>
      <c r="G115" s="57" t="inlineStr">
        <is>
          <t>WNH269OPR026</t>
        </is>
      </c>
    </row>
    <row r="116">
      <c r="A116" s="53" t="inlineStr">
        <is>
          <t>Cybernet</t>
        </is>
      </c>
      <c r="B116" s="56" t="inlineStr">
        <is>
          <t>LIJ Main / LIJ OR</t>
        </is>
      </c>
      <c r="C116" s="56" t="inlineStr">
        <is>
          <t>LIJ - Proc</t>
        </is>
      </c>
      <c r="D116" s="56" t="n"/>
      <c r="E116" s="56" t="n"/>
      <c r="F116" s="58" t="n"/>
      <c r="G116" s="56" t="inlineStr">
        <is>
          <t>WNH270OPR409</t>
        </is>
      </c>
    </row>
    <row r="117">
      <c r="A117" s="53" t="inlineStr">
        <is>
          <t>Cybernet</t>
        </is>
      </c>
      <c r="B117" s="56" t="inlineStr">
        <is>
          <t>LIJ - CCMC</t>
        </is>
      </c>
      <c r="C117" s="56" t="inlineStr">
        <is>
          <t>LIJ - CCMC</t>
        </is>
      </c>
      <c r="D117" s="56" t="n"/>
      <c r="E117" s="56" t="n"/>
      <c r="F117" s="58" t="n"/>
      <c r="G117" s="56" t="inlineStr">
        <is>
          <t>WNH270OPR431</t>
        </is>
      </c>
    </row>
    <row r="118">
      <c r="A118" s="54" t="inlineStr">
        <is>
          <t>Cybernet</t>
        </is>
      </c>
      <c r="B118" s="57" t="inlineStr">
        <is>
          <t>LIJ Main / LIJ OR</t>
        </is>
      </c>
      <c r="C118" s="57" t="inlineStr">
        <is>
          <t>LIJ - OR</t>
        </is>
      </c>
      <c r="D118" s="57" t="n"/>
      <c r="E118" s="57" t="n"/>
      <c r="F118" s="59" t="n"/>
      <c r="G118" s="57" t="inlineStr">
        <is>
          <t>WNH270OPR443</t>
        </is>
      </c>
    </row>
    <row r="119">
      <c r="A119" s="53" t="inlineStr">
        <is>
          <t>Cybernet</t>
        </is>
      </c>
      <c r="B119" s="56" t="inlineStr">
        <is>
          <t>LIJ Main / LIJ OR</t>
        </is>
      </c>
      <c r="C119" s="56" t="inlineStr">
        <is>
          <t>LIJ - OR</t>
        </is>
      </c>
      <c r="D119" s="56" t="n"/>
      <c r="E119" s="56" t="n"/>
      <c r="F119" s="58" t="n"/>
      <c r="G119" s="56" t="inlineStr">
        <is>
          <t>WNH270OPR444</t>
        </is>
      </c>
    </row>
    <row r="120">
      <c r="A120" s="54" t="inlineStr">
        <is>
          <t>Cybernet</t>
        </is>
      </c>
      <c r="B120" s="57" t="inlineStr">
        <is>
          <t>LIJ Main / LIJ OR</t>
        </is>
      </c>
      <c r="C120" s="57" t="inlineStr">
        <is>
          <t>LIJ - OR</t>
        </is>
      </c>
      <c r="D120" s="57" t="n"/>
      <c r="E120" s="57" t="n"/>
      <c r="F120" s="59" t="n"/>
      <c r="G120" s="57" t="inlineStr">
        <is>
          <t>WNH270OPR445</t>
        </is>
      </c>
    </row>
    <row r="121">
      <c r="A121" s="53" t="inlineStr">
        <is>
          <t>Cybernet</t>
        </is>
      </c>
      <c r="B121" s="56" t="inlineStr">
        <is>
          <t>LIJ Main / LIJ OR</t>
        </is>
      </c>
      <c r="C121" s="56" t="inlineStr">
        <is>
          <t>LIJ - OR</t>
        </is>
      </c>
      <c r="D121" s="56" t="n"/>
      <c r="E121" s="56" t="n"/>
      <c r="F121" s="58" t="n"/>
      <c r="G121" s="56" t="inlineStr">
        <is>
          <t>WNH270OPR446</t>
        </is>
      </c>
    </row>
    <row r="122">
      <c r="A122" s="54" t="inlineStr">
        <is>
          <t>Cybernet</t>
        </is>
      </c>
      <c r="B122" s="57" t="inlineStr">
        <is>
          <t>LIJ Main / LIJ OR</t>
        </is>
      </c>
      <c r="C122" s="57" t="inlineStr">
        <is>
          <t>LIJ - OR</t>
        </is>
      </c>
      <c r="D122" s="57" t="n"/>
      <c r="E122" s="57" t="n"/>
      <c r="F122" s="59" t="n"/>
      <c r="G122" s="57" t="inlineStr">
        <is>
          <t>WNH270OPR447</t>
        </is>
      </c>
    </row>
    <row r="123">
      <c r="A123" s="53" t="inlineStr">
        <is>
          <t>Cybernet</t>
        </is>
      </c>
      <c r="B123" s="56" t="inlineStr">
        <is>
          <t>LIJ Main / LIJ OR</t>
        </is>
      </c>
      <c r="C123" s="56" t="inlineStr">
        <is>
          <t>LIJ - OR</t>
        </is>
      </c>
      <c r="D123" s="56" t="n"/>
      <c r="E123" s="56" t="n"/>
      <c r="F123" s="58" t="n"/>
      <c r="G123" s="56" t="inlineStr">
        <is>
          <t>WNH270OPR448</t>
        </is>
      </c>
    </row>
    <row r="124">
      <c r="A124" s="54" t="inlineStr">
        <is>
          <t>Cybernet</t>
        </is>
      </c>
      <c r="B124" s="57" t="inlineStr">
        <is>
          <t>LIJ Main / LIJ OR</t>
        </is>
      </c>
      <c r="C124" s="57" t="inlineStr">
        <is>
          <t>LIJ - OR</t>
        </is>
      </c>
      <c r="D124" s="57" t="n"/>
      <c r="E124" s="57" t="n"/>
      <c r="F124" s="59" t="n"/>
      <c r="G124" s="57" t="inlineStr">
        <is>
          <t>WNH270OPR449</t>
        </is>
      </c>
    </row>
    <row r="125">
      <c r="A125" s="53" t="inlineStr">
        <is>
          <t>Cybernet</t>
        </is>
      </c>
      <c r="B125" s="56" t="inlineStr">
        <is>
          <t>LIJ Main / LIJ OR</t>
        </is>
      </c>
      <c r="C125" s="56" t="inlineStr">
        <is>
          <t>LIJ - OR</t>
        </is>
      </c>
      <c r="D125" s="56" t="n"/>
      <c r="E125" s="56" t="n"/>
      <c r="F125" s="58" t="n"/>
      <c r="G125" s="56" t="inlineStr">
        <is>
          <t>WNH270OPR450</t>
        </is>
      </c>
    </row>
    <row r="126">
      <c r="A126" s="54" t="inlineStr">
        <is>
          <t>Cybernet</t>
        </is>
      </c>
      <c r="B126" s="57" t="inlineStr">
        <is>
          <t>LIJ Main / LIJ OR</t>
        </is>
      </c>
      <c r="C126" s="57" t="inlineStr">
        <is>
          <t>LIJ - OR</t>
        </is>
      </c>
      <c r="D126" s="57" t="n"/>
      <c r="E126" s="57" t="n"/>
      <c r="F126" s="59" t="n"/>
      <c r="G126" s="57" t="inlineStr">
        <is>
          <t>WNH270OPR451</t>
        </is>
      </c>
    </row>
    <row r="127">
      <c r="A127" s="53" t="inlineStr">
        <is>
          <t>Peripherals</t>
        </is>
      </c>
      <c r="B127" s="56" t="inlineStr">
        <is>
          <t>LIJVS</t>
        </is>
      </c>
      <c r="C127" s="56" t="inlineStr">
        <is>
          <t>LIJVS</t>
        </is>
      </c>
      <c r="D127" s="56" t="inlineStr">
        <is>
          <t>Endoscopy Suite</t>
        </is>
      </c>
      <c r="E127" s="56" t="inlineStr">
        <is>
          <t>1-C-2</t>
        </is>
      </c>
      <c r="F127" s="58" t="n"/>
      <c r="G127" s="56" t="inlineStr">
        <is>
          <t>WVS900OPR028</t>
        </is>
      </c>
    </row>
    <row r="128">
      <c r="A128" s="54" t="inlineStr">
        <is>
          <t>Peripherals</t>
        </is>
      </c>
      <c r="B128" s="57" t="inlineStr">
        <is>
          <t>LIJVS</t>
        </is>
      </c>
      <c r="C128" s="57" t="inlineStr">
        <is>
          <t>LIJVS</t>
        </is>
      </c>
      <c r="D128" s="57" t="inlineStr">
        <is>
          <t>OR</t>
        </is>
      </c>
      <c r="E128" s="57" t="inlineStr">
        <is>
          <t>OR 7</t>
        </is>
      </c>
      <c r="F128" s="59" t="n"/>
      <c r="G128" s="57" t="inlineStr">
        <is>
          <t>WVS900OPR023</t>
        </is>
      </c>
    </row>
    <row r="129">
      <c r="A129" s="53" t="inlineStr">
        <is>
          <t>Peripherals</t>
        </is>
      </c>
      <c r="B129" s="56" t="inlineStr">
        <is>
          <t>LIJVS</t>
        </is>
      </c>
      <c r="C129" s="56" t="inlineStr">
        <is>
          <t>LIJVS</t>
        </is>
      </c>
      <c r="D129" s="56" t="inlineStr">
        <is>
          <t>OR</t>
        </is>
      </c>
      <c r="E129" s="56" t="inlineStr">
        <is>
          <t>OR 1</t>
        </is>
      </c>
      <c r="F129" s="58" t="n"/>
      <c r="G129" s="56" t="inlineStr">
        <is>
          <t>WVS900OPR026</t>
        </is>
      </c>
    </row>
    <row r="130">
      <c r="A130" s="54" t="inlineStr">
        <is>
          <t>Peripherals</t>
        </is>
      </c>
      <c r="B130" s="57" t="inlineStr">
        <is>
          <t>LIJVS</t>
        </is>
      </c>
      <c r="C130" s="57" t="inlineStr">
        <is>
          <t>LIJVS</t>
        </is>
      </c>
      <c r="D130" s="57" t="inlineStr">
        <is>
          <t>OR</t>
        </is>
      </c>
      <c r="E130" s="57" t="inlineStr">
        <is>
          <t>OR 2</t>
        </is>
      </c>
      <c r="F130" s="59" t="n"/>
      <c r="G130" s="57" t="inlineStr">
        <is>
          <t>WVS900OPR030</t>
        </is>
      </c>
    </row>
    <row r="131">
      <c r="A131" s="53" t="inlineStr">
        <is>
          <t>Peripherals</t>
        </is>
      </c>
      <c r="B131" s="56" t="inlineStr">
        <is>
          <t>LIJVS</t>
        </is>
      </c>
      <c r="C131" s="56" t="inlineStr">
        <is>
          <t>LIJVS</t>
        </is>
      </c>
      <c r="D131" s="56" t="inlineStr">
        <is>
          <t>OR</t>
        </is>
      </c>
      <c r="E131" s="56" t="inlineStr">
        <is>
          <t>OR 5</t>
        </is>
      </c>
      <c r="F131" s="58" t="n"/>
      <c r="G131" s="56" t="inlineStr">
        <is>
          <t>WVS900OPR029</t>
        </is>
      </c>
    </row>
    <row r="132">
      <c r="A132" s="54" t="inlineStr">
        <is>
          <t>Peripherals</t>
        </is>
      </c>
      <c r="B132" s="57" t="inlineStr">
        <is>
          <t>LIJVS</t>
        </is>
      </c>
      <c r="C132" s="57" t="inlineStr">
        <is>
          <t>LIJVS</t>
        </is>
      </c>
      <c r="D132" s="57" t="inlineStr">
        <is>
          <t>OR</t>
        </is>
      </c>
      <c r="E132" s="57" t="inlineStr">
        <is>
          <t>OR 6</t>
        </is>
      </c>
      <c r="F132" s="59" t="n"/>
      <c r="G132" s="57" t="inlineStr">
        <is>
          <t>WVS900OPR024</t>
        </is>
      </c>
    </row>
    <row r="133">
      <c r="A133" s="53" t="inlineStr">
        <is>
          <t>Peripherals</t>
        </is>
      </c>
      <c r="B133" s="56" t="inlineStr">
        <is>
          <t>LIJVS</t>
        </is>
      </c>
      <c r="C133" s="56" t="inlineStr">
        <is>
          <t>LIJVS</t>
        </is>
      </c>
      <c r="D133" s="56" t="inlineStr">
        <is>
          <t>OR</t>
        </is>
      </c>
      <c r="E133" s="56" t="inlineStr">
        <is>
          <t>OR 3</t>
        </is>
      </c>
      <c r="F133" s="58" t="n"/>
      <c r="G133" s="56" t="inlineStr">
        <is>
          <t>WVS900OPR025</t>
        </is>
      </c>
    </row>
    <row r="134">
      <c r="A134" s="54" t="inlineStr">
        <is>
          <t>Peripherals</t>
        </is>
      </c>
      <c r="B134" s="57" t="inlineStr">
        <is>
          <t>LIJVS</t>
        </is>
      </c>
      <c r="C134" s="57" t="inlineStr">
        <is>
          <t>LIJVS</t>
        </is>
      </c>
      <c r="D134" s="57" t="n"/>
      <c r="E134" s="57" t="n"/>
      <c r="F134" s="59" t="n"/>
      <c r="G134" s="57" t="n"/>
    </row>
    <row r="135">
      <c r="A135" s="53" t="inlineStr">
        <is>
          <t>Peripherals</t>
        </is>
      </c>
      <c r="B135" s="56" t="inlineStr">
        <is>
          <t>LIJVS</t>
        </is>
      </c>
      <c r="C135" s="56" t="inlineStr">
        <is>
          <t>LIJVS</t>
        </is>
      </c>
      <c r="D135" s="56" t="n"/>
      <c r="E135" s="56" t="n"/>
      <c r="F135" s="58" t="n"/>
      <c r="G135" s="56" t="n"/>
    </row>
    <row r="136">
      <c r="A136" s="54" t="inlineStr">
        <is>
          <t>Peripherals</t>
        </is>
      </c>
      <c r="B136" s="57" t="inlineStr">
        <is>
          <t>LIJVS</t>
        </is>
      </c>
      <c r="C136" s="57" t="inlineStr">
        <is>
          <t>LIJVS</t>
        </is>
      </c>
      <c r="D136" s="57" t="n"/>
      <c r="E136" s="57" t="n"/>
      <c r="F136" s="59" t="n"/>
      <c r="G136" s="57" t="n"/>
    </row>
    <row r="137">
      <c r="A137" s="53" t="inlineStr">
        <is>
          <t>Cybernet</t>
        </is>
      </c>
      <c r="B137" s="56" t="inlineStr">
        <is>
          <t>LIJ Main / LIJ OR</t>
        </is>
      </c>
      <c r="C137" s="56" t="inlineStr">
        <is>
          <t>LIJ - Proc</t>
        </is>
      </c>
      <c r="D137" s="56" t="n"/>
      <c r="E137" s="56" t="n"/>
      <c r="F137" s="58" t="n"/>
      <c r="G137" s="56" t="inlineStr">
        <is>
          <t>WNH270OPR458</t>
        </is>
      </c>
    </row>
    <row r="138">
      <c r="A138" s="54" t="inlineStr">
        <is>
          <t>Cybernet</t>
        </is>
      </c>
      <c r="B138" s="57" t="inlineStr">
        <is>
          <t>100 Commercial St</t>
        </is>
      </c>
      <c r="C138" s="57" t="n"/>
      <c r="D138" s="57" t="n"/>
      <c r="E138" s="57" t="n"/>
      <c r="F138" s="59" t="n"/>
      <c r="G138" s="57" t="inlineStr">
        <is>
          <t>WNH270OPR460</t>
        </is>
      </c>
    </row>
    <row r="139">
      <c r="A139" s="53" t="inlineStr">
        <is>
          <t>Cybernet</t>
        </is>
      </c>
      <c r="B139" s="56" t="inlineStr">
        <is>
          <t>100 Commercial St</t>
        </is>
      </c>
      <c r="C139" s="56" t="n"/>
      <c r="D139" s="56" t="n"/>
      <c r="E139" s="56" t="n"/>
      <c r="F139" s="58" t="n"/>
      <c r="G139" s="56" t="inlineStr">
        <is>
          <t>WNH270OPR461</t>
        </is>
      </c>
    </row>
    <row r="140">
      <c r="A140" s="54" t="inlineStr">
        <is>
          <t>Peripherals</t>
        </is>
      </c>
      <c r="B140" s="57" t="n"/>
      <c r="C140" s="57" t="n"/>
      <c r="D140" s="57" t="n"/>
      <c r="E140" s="57" t="n"/>
      <c r="F140" s="59" t="n"/>
      <c r="G140" s="57" t="inlineStr">
        <is>
          <t>WFH102OPR062</t>
        </is>
      </c>
    </row>
    <row r="141">
      <c r="A141" s="53" t="inlineStr">
        <is>
          <t>Peripherals</t>
        </is>
      </c>
      <c r="B141" s="56" t="n"/>
      <c r="C141" s="56" t="n"/>
      <c r="D141" s="56" t="n"/>
      <c r="E141" s="56" t="n"/>
      <c r="F141" s="58" t="n"/>
      <c r="G141" s="56" t="n"/>
    </row>
    <row r="142">
      <c r="A142" s="54" t="inlineStr">
        <is>
          <t>Peripherals</t>
        </is>
      </c>
      <c r="B142" s="57" t="n"/>
      <c r="C142" s="57" t="n"/>
      <c r="D142" s="57" t="n"/>
      <c r="E142" s="57" t="n"/>
      <c r="F142" s="59" t="n"/>
      <c r="G142" s="57" t="n"/>
    </row>
    <row r="143">
      <c r="A143" s="53" t="inlineStr">
        <is>
          <t>Cybernet</t>
        </is>
      </c>
      <c r="B143" s="56" t="n"/>
      <c r="C143" s="56" t="n"/>
      <c r="D143" s="56" t="n"/>
      <c r="E143" s="56" t="inlineStr">
        <is>
          <t>IR-LAB 1</t>
        </is>
      </c>
      <c r="F143" s="58" t="n"/>
      <c r="G143" s="56" t="inlineStr">
        <is>
          <t>WNH2650PR001</t>
        </is>
      </c>
    </row>
    <row r="144">
      <c r="A144" s="54" t="inlineStr">
        <is>
          <t>Cybernet</t>
        </is>
      </c>
      <c r="B144" s="57" t="n"/>
      <c r="C144" s="57" t="n"/>
      <c r="D144" s="57" t="n"/>
      <c r="E144" s="57" t="n"/>
      <c r="F144" s="59" t="n"/>
      <c r="G144" s="57" t="inlineStr">
        <is>
          <t>WNH2650PR002</t>
        </is>
      </c>
    </row>
    <row r="145">
      <c r="A145" s="53" t="inlineStr">
        <is>
          <t>Cybernet</t>
        </is>
      </c>
      <c r="B145" s="56" t="n"/>
      <c r="C145" s="56" t="n"/>
      <c r="D145" s="56" t="n"/>
      <c r="E145" s="56" t="n"/>
      <c r="F145" s="58" t="n"/>
      <c r="G145" s="56" t="inlineStr">
        <is>
          <t>WNH2650PR003</t>
        </is>
      </c>
    </row>
    <row r="146">
      <c r="G146" t="inlineStr">
        <is>
          <t>WMH300OPR351</t>
        </is>
      </c>
    </row>
  </sheetData>
  <conditionalFormatting sqref="A2:G145">
    <cfRule type="expression" priority="38" dxfId="49" stopIfTrue="1">
      <formula>$F2="Yes"</formula>
    </cfRule>
  </conditionalFormatting>
  <conditionalFormatting sqref="B2:B145">
    <cfRule type="expression" priority="22" dxfId="18">
      <formula>AND(LOWER(TRIM($B2))="yes",NOT(AND(LEN(TRIM($G2))&gt;0,LOWER(TRIM($G2))&lt;&gt;"n/a")))</formula>
    </cfRule>
    <cfRule type="expression" priority="24" dxfId="17">
      <formula>AND(AND(NOT(LOWER(TRIM($B2))="yes"),NOT(LOWER(TRIM($C2))="yes")),NOT(AND(LEN(TRIM($G2))&gt;0,LOWER(TRIM($G2))&lt;&gt;"n/a")))</formula>
    </cfRule>
    <cfRule type="expression" priority="27" dxfId="18">
      <formula>AND(LOWER(TRIM($B2))="yes",NOT(AND(LEN(TRIM($G2))&gt;0,LOWER(TRIM($G2))&lt;&gt;"n/a")))</formula>
    </cfRule>
    <cfRule type="expression" priority="29" dxfId="17">
      <formula>AND(AND(NOT(LOWER(TRIM($B2))="yes"),NOT(LOWER(TRIM($C2))="yes")),NOT(AND(LEN(TRIM($G2))&gt;0,LOWER(TRIM($G2))&lt;&gt;"n/a")))</formula>
    </cfRule>
    <cfRule type="expression" priority="35" dxfId="18">
      <formula>AND(UPPER(TRIM($B2))="YES",LEN(TRIM($G2))=0)</formula>
    </cfRule>
    <cfRule type="expression" priority="36" dxfId="17">
      <formula>AND(LEN(TRIM($A2))&gt;0,UPPER(TRIM($B2))&lt;&gt;"YES",LEN(TRIM($G2))=0)</formula>
    </cfRule>
  </conditionalFormatting>
  <conditionalFormatting sqref="B2:C107 B108:B110 B111:C145 C109:C110">
    <cfRule type="expression" priority="31" dxfId="33" stopIfTrue="1">
      <formula>AND($B2="Yes",$G2&lt;&gt;"",$H2&lt;&gt;"",LOWER(TRIM($G2))&lt;&gt;LOWER(TRIM($H2)))</formula>
    </cfRule>
  </conditionalFormatting>
  <conditionalFormatting sqref="B2:C145">
    <cfRule type="expression" priority="20" dxfId="28" stopIfTrue="1">
      <formula>AND(OR(LOWER(TRIM($B2))="yes",LOWER(TRIM($C2))="yes"),AND(LEN(TRIM($G2))&gt;0,LOWER(TRIM($G2))&lt;&gt;"n/a"),AND(LEN(TRIM($H2))&gt;0,LOWER(TRIM($H2))&lt;&gt;"n/a"),$G2&lt;&gt;$H2)</formula>
    </cfRule>
    <cfRule type="expression" priority="26" dxfId="28">
      <formula>AND(OR(LOWER(TRIM($B2))="yes",LOWER(TRIM($C2))="yes"),AND(LEN(TRIM($G2))&gt;0,LOWER(TRIM($G2))&lt;&gt;"n/a"),AND(LEN(TRIM($H2))&gt;0,LOWER(TRIM($H2))&lt;&gt;"n/a"),$G2&lt;&gt;$H2)</formula>
    </cfRule>
  </conditionalFormatting>
  <conditionalFormatting sqref="C2:C145">
    <cfRule type="expression" priority="23" dxfId="18">
      <formula>AND(LOWER(TRIM($B2))="yes",NOT(AND(LEN(TRIM($H2))&gt;0,LOWER(TRIM($H2))&lt;&gt;"n/a")))</formula>
    </cfRule>
    <cfRule type="expression" priority="25" dxfId="17">
      <formula>AND(AND(NOT(LOWER(TRIM($B2))="yes"),NOT(LOWER(TRIM($C2))="yes")),NOT(AND(LEN(TRIM($H2))&gt;0,LOWER(TRIM($H2))&lt;&gt;"n/a")))</formula>
    </cfRule>
    <cfRule type="expression" priority="28" dxfId="18">
      <formula>AND(LOWER(TRIM($B2))="yes",NOT(AND(LEN(TRIM($H2))&gt;0,LOWER(TRIM($H2))&lt;&gt;"n/a")))</formula>
    </cfRule>
    <cfRule type="expression" priority="30" dxfId="17">
      <formula>AND(AND(NOT(LOWER(TRIM($B2))="yes"),NOT(LOWER(TRIM($C2))="yes")),NOT(AND(LEN(TRIM($H2))&gt;0,LOWER(TRIM($H2))&lt;&gt;"n/a")))</formula>
    </cfRule>
    <cfRule type="expression" priority="32" dxfId="18">
      <formula>AND(UPPER(TRIM($B2))="YES",LEN(TRIM($H2))=0)</formula>
    </cfRule>
    <cfRule type="expression" priority="37" dxfId="17">
      <formula>AND(LEN(TRIM($A2))&gt;0,UPPER(TRIM($B2))&lt;&gt;"YES",LEN(TRIM($H2))=0)</formula>
    </cfRule>
  </conditionalFormatting>
  <conditionalFormatting sqref="C108">
    <cfRule type="expression" priority="1" dxfId="33" stopIfTrue="1">
      <formula>AND($B108="Yes",$G110&lt;&gt;"",$H108&lt;&gt;"",LOWER(TRIM($G110))&lt;&gt;LOWER(TRIM($H108)))</formula>
    </cfRule>
  </conditionalFormatting>
  <conditionalFormatting sqref="D2:D145">
    <cfRule type="expression" priority="33" dxfId="18">
      <formula>AND(UPPER(TRIM($B2))="YES",LEN(TRIM($I2))=0)</formula>
    </cfRule>
  </conditionalFormatting>
  <conditionalFormatting sqref="E2:E145">
    <cfRule type="expression" priority="34" dxfId="18">
      <formula>AND(UPPER(TRIM($B2))="YES",LEN(TRIM($J2))=0)</formula>
    </cfRule>
  </conditionalFormatting>
  <conditionalFormatting sqref="F2:F145">
    <cfRule type="expression" priority="17" dxfId="18">
      <formula>AND(LOWER(TRIM($B2))="yes",NOT(AND(LEN(TRIM($L2))&gt;0,LOWER(TRIM($L2))&lt;&gt;"n/a")))</formula>
    </cfRule>
    <cfRule type="expression" priority="18" dxfId="18">
      <formula>AND(UPPER(TRIM($B2))="YES",LEN(TRIM($L2))=0)</formula>
    </cfRule>
    <cfRule type="expression" priority="19" dxfId="28">
      <formula>AND($CC2="Yes",$A2&lt;&gt;"Neuron",COUNTBLANK($E2:$P2)&gt;0)</formula>
    </cfRule>
  </conditionalFormatting>
  <conditionalFormatting sqref="G2:G145">
    <cfRule type="expression" priority="3" dxfId="18">
      <formula>AND(LOWER(TRIM($B2))="yes",ISNUMBER(SEARCH("cybernet",LOWER(TRIM($A2)))),NOT(AND(LEN(TRIM($U2))&gt;0,LOWER(TRIM($U2))&lt;&gt;"n/a")))</formula>
    </cfRule>
    <cfRule type="expression" priority="4" dxfId="18">
      <formula>AND(LOWER(TRIM($B2))="yes",ISNUMBER(SEARCH("neuron",LOWER(TRIM($A2)))),NOT(AND(LEN(TRIM($U2))&gt;0,LOWER(TRIM($U2))&lt;&gt;"n/a")))</formula>
    </cfRule>
    <cfRule type="expression" priority="5" dxfId="17">
      <formula>AND(AND(NOT(LOWER(TRIM($B2))="yes"),NOT(LOWER(TRIM($C2))="yes")),ISNUMBER(SEARCH("cybernet",LOWER(TRIM($A2)))),NOT(AND(LEN(TRIM($U2))&gt;0,LOWER(TRIM($U2))&lt;&gt;"n/a")))</formula>
    </cfRule>
    <cfRule type="expression" priority="6" dxfId="18">
      <formula>AND(LOWER(TRIM($B2))="yes",ISNUMBER(SEARCH("cybernet",LOWER($A2))),NOT(AND(LEN(TRIM($U2))&gt;0,LOWER(TRIM($U2))&lt;&gt;"n/a")))</formula>
    </cfRule>
    <cfRule type="expression" priority="7" dxfId="18">
      <formula>AND(LOWER(TRIM($B2))="yes",ISNUMBER(SEARCH("neuron",LOWER($A2))),NOT(AND(LEN(TRIM($U2))&gt;0,LOWER(TRIM($U2))&lt;&gt;"n/a")))</formula>
    </cfRule>
    <cfRule type="expression" priority="8" dxfId="17">
      <formula>AND(AND(NOT(LOWER(TRIM($B2))="yes"),NOT(LOWER(TRIM($C2))="yes")),ISNUMBER(SEARCH("cybernet",LOWER($A2))),NOT(AND(LEN(TRIM($U2))&gt;0,LOWER(TRIM($U2))&lt;&gt;"n/a")))</formula>
    </cfRule>
    <cfRule type="expression" priority="9" dxfId="21" stopIfTrue="1">
      <formula>AND(LOWER(TRIM($B2))="yes",LEN(TRIM(F2))=0)</formula>
    </cfRule>
    <cfRule type="expression" priority="10" dxfId="20" stopIfTrue="1">
      <formula>LEN(TRIM(G2))=0</formula>
    </cfRule>
    <cfRule type="expression" priority="11" dxfId="19">
      <formula>AND($B2="Yes",$R2&lt;&gt;"")</formula>
    </cfRule>
    <cfRule type="expression" priority="12" dxfId="18">
      <formula>AND(UPPER(TRIM($B2))="YES",UPPER(TRIM($A2))="CYBERNET",LEN(TRIM(G2))=0)</formula>
    </cfRule>
    <cfRule type="expression" priority="13" dxfId="17">
      <formula>AND(UPPER(TRIM($B2))&lt;&gt;"YES",UPPER(TRIM($A2))="CYBERNET",LEN(TRIM(G2))=0)</formula>
    </cfRule>
    <cfRule type="expression" priority="14" dxfId="1">
      <formula>AND($B2="Yes",$CC2="Yes")</formula>
    </cfRule>
    <cfRule type="expression" priority="15" dxfId="5">
      <formula>AND($B2="Yes",$CC2&lt;&gt;"Yes")</formula>
    </cfRule>
    <cfRule type="expression" priority="1767" dxfId="14" stopIfTrue="1">
      <formula>AND($U2&lt;&gt;"",LOWER(TRIM($U2))&lt;&gt;"n/a",LOWER(TRIM($U2))&lt;&gt;"na",COUNTIF($U$2:$U$519,$U2)&gt;1)</formula>
    </cfRule>
  </conditionalFormatting>
  <conditionalFormatting sqref="G82:G88">
    <cfRule type="expression" priority="2" dxfId="13" stopIfTrue="1">
      <formula>AND(INDEX($A:$BO,ROW(),MATCH("Deployed",$A$1:$BO$1,0))="Yes",LEN(TRIM(D82))=0)</formula>
    </cfRule>
  </conditionalFormatting>
  <dataValidations count="1">
    <dataValidation sqref="A1:G1" showDropDown="0" showInputMessage="1" showErrorMessage="1" allowBlank="1" errorTitle="👨‍🚒 Don't edit the headers 🔥" error="Unless you know what you are doing here, please stick to the necessary inputs ℹ️" type="custom">
      <formula1>FALSE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5">
    <tabColor theme="6" tint="0.5999938962981048"/>
    <outlinePr summaryBelow="1" summaryRight="1"/>
    <pageSetUpPr/>
  </sheetPr>
  <dimension ref="A1:I18"/>
  <sheetViews>
    <sheetView workbookViewId="0">
      <selection activeCell="B21" sqref="B21"/>
    </sheetView>
  </sheetViews>
  <sheetFormatPr baseColWidth="8" defaultRowHeight="15"/>
  <cols>
    <col width="16.140625" customWidth="1" style="91" min="1" max="1"/>
    <col width="10.140625" customWidth="1" style="91" min="2" max="2"/>
    <col width="11.140625" customWidth="1" style="91" min="3" max="3"/>
    <col width="10.140625" bestFit="1" customWidth="1" style="91" min="4" max="4"/>
    <col width="19.28515625" bestFit="1" customWidth="1" style="91" min="5" max="5"/>
    <col width="12.5703125" bestFit="1" customWidth="1" style="91" min="6" max="6"/>
    <col width="21.28515625" bestFit="1" customWidth="1" style="91" min="7" max="7"/>
    <col width="18.7109375" bestFit="1" customWidth="1" style="91" min="8" max="8"/>
    <col width="52.28515625" customWidth="1" style="91" min="9" max="9"/>
  </cols>
  <sheetData>
    <row r="1">
      <c r="A1" s="17" t="inlineStr">
        <is>
          <t>Location</t>
        </is>
      </c>
      <c r="B1" s="17" t="inlineStr">
        <is>
          <t>Needed</t>
        </is>
      </c>
      <c r="C1" s="17" t="inlineStr">
        <is>
          <t>Completed</t>
        </is>
      </c>
      <c r="D1" s="17" t="inlineStr">
        <is>
          <t>Comp%</t>
        </is>
      </c>
      <c r="E1" s="17" t="inlineStr">
        <is>
          <t>Deployment Date</t>
        </is>
      </c>
      <c r="F1" s="17" t="inlineStr">
        <is>
          <t>Days Until</t>
        </is>
      </c>
      <c r="G1" s="17" t="inlineStr">
        <is>
          <t>Naming Convention</t>
        </is>
      </c>
      <c r="H1" s="17" t="inlineStr">
        <is>
          <t>Ticket Submitted</t>
        </is>
      </c>
      <c r="I1" s="17" t="inlineStr">
        <is>
          <t>Column1</t>
        </is>
      </c>
    </row>
    <row r="2">
      <c r="A2" t="inlineStr">
        <is>
          <t>CFAM</t>
        </is>
      </c>
      <c r="B2" t="n">
        <v>7</v>
      </c>
      <c r="C2" t="n">
        <v>7</v>
      </c>
      <c r="D2" s="48">
        <f>(C2/B2)</f>
        <v/>
      </c>
      <c r="E2" s="18" t="n">
        <v>46088</v>
      </c>
      <c r="F2">
        <f>E2-TODAY()</f>
        <v/>
      </c>
      <c r="G2" t="inlineStr">
        <is>
          <t xml:space="preserve">WLS450OPR001+ </t>
        </is>
      </c>
      <c r="H2" s="15" t="inlineStr">
        <is>
          <t>REQ1310102</t>
        </is>
      </c>
    </row>
    <row r="3">
      <c r="A3" t="inlineStr">
        <is>
          <t>CCMC</t>
        </is>
      </c>
      <c r="B3" t="n">
        <v>14</v>
      </c>
      <c r="C3" t="n">
        <v>14</v>
      </c>
      <c r="D3" s="48">
        <f>(C3/B3)</f>
        <v/>
      </c>
      <c r="E3" s="18" t="n">
        <v>46067</v>
      </c>
      <c r="F3">
        <f>E3-TODAY()</f>
        <v/>
      </c>
      <c r="G3" t="inlineStr">
        <is>
          <t>WNH269OPR013+</t>
        </is>
      </c>
      <c r="H3" t="inlineStr">
        <is>
          <t>REQ1303256</t>
        </is>
      </c>
    </row>
    <row r="4">
      <c r="A4" t="inlineStr">
        <is>
          <t>LIJ Other</t>
        </is>
      </c>
      <c r="B4" t="n">
        <v>19</v>
      </c>
      <c r="C4" t="n">
        <v>19</v>
      </c>
      <c r="D4" s="48">
        <f>(C4/B4)</f>
        <v/>
      </c>
      <c r="E4" s="18" t="n">
        <v>46081</v>
      </c>
      <c r="F4">
        <f>E4-TODAY()</f>
        <v/>
      </c>
      <c r="G4" t="inlineStr">
        <is>
          <t>WNH270OPR403-421</t>
        </is>
      </c>
      <c r="H4" s="15" t="inlineStr">
        <is>
          <t>REQ1303274</t>
        </is>
      </c>
      <c r="I4" t="inlineStr">
        <is>
          <t>Only need 15 now</t>
        </is>
      </c>
    </row>
    <row r="5">
      <c r="A5" t="inlineStr">
        <is>
          <t>LIJ OR</t>
        </is>
      </c>
      <c r="B5" t="n">
        <v>29</v>
      </c>
      <c r="C5" t="n">
        <v>21</v>
      </c>
      <c r="D5" s="48">
        <f>(C5/B5)</f>
        <v/>
      </c>
      <c r="E5" s="18" t="n">
        <v>46074</v>
      </c>
      <c r="F5">
        <f>E5-TODAY()</f>
        <v/>
      </c>
      <c r="G5" t="inlineStr">
        <is>
          <t>WNH270OPR422-450</t>
        </is>
      </c>
      <c r="H5" s="15" t="inlineStr">
        <is>
          <t>REQ1303274</t>
        </is>
      </c>
      <c r="I5" t="inlineStr">
        <is>
          <t>last updated row 130, inclusive</t>
        </is>
      </c>
    </row>
    <row r="6">
      <c r="A6" t="inlineStr">
        <is>
          <t>LIJ Annex</t>
        </is>
      </c>
      <c r="B6" t="n">
        <v>3</v>
      </c>
      <c r="C6" t="n">
        <v>0</v>
      </c>
      <c r="D6" s="48">
        <f>(C6/B6)</f>
        <v/>
      </c>
      <c r="E6" s="18" t="n">
        <v>46081</v>
      </c>
      <c r="F6">
        <f>E6-TODAY()</f>
        <v/>
      </c>
      <c r="G6" t="inlineStr">
        <is>
          <t>WNH270OPR451-453</t>
        </is>
      </c>
      <c r="H6" s="15" t="inlineStr">
        <is>
          <t>REQ1303274</t>
        </is>
      </c>
    </row>
    <row r="7">
      <c r="A7" t="inlineStr">
        <is>
          <t>Zucker</t>
        </is>
      </c>
      <c r="B7" t="n">
        <v>3</v>
      </c>
      <c r="C7" t="n">
        <v>0</v>
      </c>
      <c r="D7" s="48">
        <f>(C7/B7)</f>
        <v/>
      </c>
      <c r="E7" s="18" t="n">
        <v>46088</v>
      </c>
      <c r="F7">
        <f>E7-TODAY()</f>
        <v/>
      </c>
      <c r="G7" t="inlineStr">
        <is>
          <t>WNH265OPRXXX+</t>
        </is>
      </c>
    </row>
    <row r="8">
      <c r="A8" t="inlineStr">
        <is>
          <t>LIJ Perfusion</t>
        </is>
      </c>
      <c r="B8" t="n">
        <v>3</v>
      </c>
      <c r="C8" t="n">
        <v>0</v>
      </c>
      <c r="D8" s="48">
        <f>(C8/B8)</f>
        <v/>
      </c>
      <c r="E8" t="inlineStr">
        <is>
          <t>n/a</t>
        </is>
      </c>
      <c r="F8">
        <f>E8-TODAY()</f>
        <v/>
      </c>
      <c r="G8" t="inlineStr">
        <is>
          <t>WNH270OPR454-456</t>
        </is>
      </c>
    </row>
    <row r="9">
      <c r="A9" t="inlineStr">
        <is>
          <t>NSUH Legacy OR</t>
        </is>
      </c>
      <c r="B9" t="n">
        <v>12</v>
      </c>
      <c r="C9" t="n">
        <v>12</v>
      </c>
      <c r="D9" s="48">
        <f>(C9/B9)</f>
        <v/>
      </c>
      <c r="E9" s="18" t="n">
        <v>46102</v>
      </c>
      <c r="F9">
        <f>E9-TODAY()</f>
        <v/>
      </c>
      <c r="G9" t="inlineStr">
        <is>
          <t>WMH300OPR336+</t>
        </is>
      </c>
    </row>
    <row r="10">
      <c r="A10" t="inlineStr">
        <is>
          <t>NSUH PSP OR</t>
        </is>
      </c>
      <c r="B10" t="n">
        <v>18</v>
      </c>
      <c r="C10" t="n">
        <v>2</v>
      </c>
      <c r="D10" s="48">
        <f>(C10/B10)</f>
        <v/>
      </c>
      <c r="E10" s="18" t="n">
        <v>46103</v>
      </c>
      <c r="F10">
        <f>E10-TODAY()</f>
        <v/>
      </c>
      <c r="G10" t="inlineStr">
        <is>
          <t>WMH300OPR336+</t>
        </is>
      </c>
    </row>
    <row r="11">
      <c r="A11" t="inlineStr">
        <is>
          <t>NSUH Schwartz</t>
        </is>
      </c>
      <c r="B11" t="n">
        <v>10</v>
      </c>
      <c r="C11" t="n">
        <v>0</v>
      </c>
      <c r="D11" s="48">
        <f>(C11/B11)</f>
        <v/>
      </c>
      <c r="E11" s="18" t="n">
        <v>46095</v>
      </c>
      <c r="F11">
        <f>E11-TODAY()</f>
        <v/>
      </c>
      <c r="G11" t="inlineStr">
        <is>
          <t>WMH300OPR336+</t>
        </is>
      </c>
    </row>
    <row r="12">
      <c r="A12" t="inlineStr">
        <is>
          <t>NSUH NSCU 6</t>
        </is>
      </c>
      <c r="B12" t="n">
        <v>13</v>
      </c>
      <c r="C12" t="n">
        <v>0</v>
      </c>
      <c r="D12" s="48">
        <f>(C12/B12)</f>
        <v/>
      </c>
      <c r="E12" s="18" t="n">
        <v>46109</v>
      </c>
      <c r="F12">
        <f>E12-TODAY()</f>
        <v/>
      </c>
      <c r="G12" t="inlineStr">
        <is>
          <t>WMH300OPR336+</t>
        </is>
      </c>
    </row>
    <row r="13">
      <c r="A13" t="inlineStr">
        <is>
          <t>NSUH Other</t>
        </is>
      </c>
      <c r="B13" t="n">
        <v>22</v>
      </c>
      <c r="C13" t="n">
        <v>0</v>
      </c>
      <c r="D13" s="48">
        <f>(C13/B13)</f>
        <v/>
      </c>
      <c r="E13" s="18" t="n">
        <v>46116</v>
      </c>
      <c r="F13">
        <f>E13-TODAY()</f>
        <v/>
      </c>
      <c r="G13" t="inlineStr">
        <is>
          <t>WMH300OPR336+</t>
        </is>
      </c>
    </row>
    <row r="14">
      <c r="A14" t="inlineStr">
        <is>
          <t>NSUH Perfusion</t>
        </is>
      </c>
      <c r="B14" t="n">
        <v>6</v>
      </c>
      <c r="C14" t="n">
        <v>0</v>
      </c>
      <c r="D14" s="48">
        <f>(C14/B14)</f>
        <v/>
      </c>
      <c r="E14" t="inlineStr">
        <is>
          <t>n/a</t>
        </is>
      </c>
      <c r="F14">
        <f>E14-TODAY()</f>
        <v/>
      </c>
      <c r="G14" t="inlineStr">
        <is>
          <t>WMH300OPR336+</t>
        </is>
      </c>
    </row>
    <row r="15">
      <c r="A15" s="16" t="inlineStr">
        <is>
          <t>TOTALS</t>
        </is>
      </c>
      <c r="B15" s="16">
        <f>(SUM(B2:B14))</f>
        <v/>
      </c>
      <c r="C15" s="16">
        <f>(SUM(C2:C14))</f>
        <v/>
      </c>
      <c r="D15" s="49">
        <f>(C15/B15)</f>
        <v/>
      </c>
      <c r="E15" s="18" t="n"/>
      <c r="F15" s="18" t="n"/>
    </row>
    <row r="18">
      <c r="C18">
        <f>(SUM(B2:B7))</f>
        <v/>
      </c>
    </row>
  </sheetData>
  <conditionalFormatting sqref="D1:D1048576">
    <cfRule type="cellIs" priority="1" operator="equal" dxfId="12">
      <formula>100%</formula>
    </cfRule>
  </conditionalFormatting>
  <conditionalFormatting sqref="F2:F14">
    <cfRule type="cellIs" priority="2" operator="greaterThan" dxfId="11">
      <formula>20</formula>
    </cfRule>
    <cfRule type="cellIs" priority="3" operator="lessThan" dxfId="10">
      <formula>2</formula>
    </cfRule>
    <cfRule type="cellIs" priority="4" operator="between" dxfId="9">
      <formula>6</formula>
      <formula>9</formula>
    </cfRule>
    <cfRule type="cellIs" priority="5" operator="between" dxfId="8">
      <formula>3</formula>
      <formula>5</formula>
    </cfRule>
  </conditionalFormatting>
  <conditionalFormatting sqref="F2:F15">
    <cfRule type="cellIs" priority="6" operator="between" dxfId="7">
      <formula>10</formula>
      <formula>20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6">
    <outlinePr summaryBelow="1" summaryRight="1"/>
    <pageSetUpPr/>
  </sheetPr>
  <dimension ref="A1:AC503"/>
  <sheetViews>
    <sheetView topLeftCell="B1" workbookViewId="0">
      <pane ySplit="1" topLeftCell="B58" activePane="bottomLeft" state="frozen"/>
      <selection pane="bottomLeft" activeCell="B1" sqref="B1"/>
      <selection activeCell="B1" sqref="B1"/>
    </sheetView>
  </sheetViews>
  <sheetFormatPr baseColWidth="8" defaultRowHeight="15"/>
  <cols>
    <col width="18" customWidth="1" style="91" min="1" max="1"/>
    <col width="26" customWidth="1" style="91" min="2" max="2"/>
    <col width="18" customWidth="1" style="91" min="3" max="4"/>
    <col width="10" customWidth="1" style="91" min="5" max="7"/>
    <col width="14" customWidth="1" style="91" min="8" max="8"/>
    <col width="18" customWidth="1" style="91" min="9" max="9"/>
    <col width="22" customWidth="1" style="91" min="10" max="10"/>
    <col width="18" customWidth="1" style="91" min="11" max="13"/>
    <col width="16" customWidth="1" style="91" min="14" max="14"/>
    <col width="18" customWidth="1" style="91" min="15" max="15"/>
    <col width="14" customWidth="1" style="91" min="16" max="17"/>
    <col width="16" customWidth="1" style="91" min="18" max="20"/>
    <col width="14" customWidth="1" style="91" min="21" max="21"/>
    <col width="18" customWidth="1" style="91" min="22" max="23"/>
    <col width="28" customWidth="1" style="91" min="24" max="25"/>
    <col width="18" customWidth="1" style="91" min="26" max="26"/>
    <col width="16" customWidth="1" style="91" min="27" max="27"/>
    <col width="13" customWidth="1" style="91" min="28" max="29"/>
  </cols>
  <sheetData>
    <row r="1" ht="45.75" customHeight="1" s="91">
      <c r="A1" s="39" t="inlineStr">
        <is>
          <t>Site (Client)</t>
        </is>
      </c>
      <c r="B1" s="39" t="inlineStr">
        <is>
          <t>Department (ServiceNow name)</t>
        </is>
      </c>
      <c r="C1" s="39" t="inlineStr">
        <is>
          <t>Install Building</t>
        </is>
      </c>
      <c r="D1" s="39" t="inlineStr">
        <is>
          <t>Area/Unit</t>
        </is>
      </c>
      <c r="E1" s="39" t="inlineStr">
        <is>
          <t>Room</t>
        </is>
      </c>
      <c r="F1" s="39" t="inlineStr">
        <is>
          <t>Bay</t>
        </is>
      </c>
      <c r="G1" s="39" t="inlineStr">
        <is>
          <t>Port No.</t>
        </is>
      </c>
      <c r="H1" s="39" t="inlineStr">
        <is>
          <t>Device Type</t>
        </is>
      </c>
      <c r="I1" s="39" t="inlineStr">
        <is>
          <t>Manufacturer</t>
        </is>
      </c>
      <c r="J1" s="39" t="inlineStr">
        <is>
          <t>Medical Device Model</t>
        </is>
      </c>
      <c r="K1" s="39" t="inlineStr">
        <is>
          <t>Medical Device Class</t>
        </is>
      </c>
      <c r="L1" s="39" t="inlineStr">
        <is>
          <t>PI_Use_Case</t>
        </is>
      </c>
      <c r="M1" s="39" t="inlineStr">
        <is>
          <t>Credential Type (Client)</t>
        </is>
      </c>
      <c r="N1" s="39" t="inlineStr">
        <is>
          <t>PI_Config_Shared</t>
        </is>
      </c>
      <c r="O1" s="39" t="inlineStr">
        <is>
          <t>PI_Config_Autologon</t>
        </is>
      </c>
      <c r="P1" s="39" t="inlineStr">
        <is>
          <t>PI_Imprivata</t>
        </is>
      </c>
      <c r="Q1" s="39" t="inlineStr">
        <is>
          <t>Software List (Client Approved)</t>
        </is>
      </c>
      <c r="R1" s="39" t="inlineStr">
        <is>
          <t>Has Badge Scanner</t>
        </is>
      </c>
      <c r="S1" s="39" t="inlineStr">
        <is>
          <t>Has Barcode Scanner</t>
        </is>
      </c>
      <c r="T1" s="39" t="inlineStr">
        <is>
          <t>Power Cable Present</t>
        </is>
      </c>
      <c r="U1" s="39" t="inlineStr">
        <is>
          <t>Battery Present</t>
        </is>
      </c>
      <c r="V1" s="39" t="inlineStr">
        <is>
          <t>Ready for Deployment</t>
        </is>
      </c>
      <c r="W1" s="39" t="inlineStr">
        <is>
          <t>IT Device Status</t>
        </is>
      </c>
      <c r="X1" s="39" t="inlineStr">
        <is>
          <t>Blocker Reason</t>
        </is>
      </c>
      <c r="Y1" s="39" t="inlineStr">
        <is>
          <t>Notes</t>
        </is>
      </c>
      <c r="Z1" s="39" t="inlineStr">
        <is>
          <t>PI_Validated_By</t>
        </is>
      </c>
      <c r="AA1" s="39" t="inlineStr">
        <is>
          <t>PI_Validated_Date</t>
        </is>
      </c>
    </row>
    <row r="2" ht="45.75" customHeight="1" s="91">
      <c r="A2" s="20" t="n"/>
      <c r="B2" s="20" t="n"/>
      <c r="C2" s="19">
        <f>IF(Deployments!H2="","",Deployments!H2)</f>
        <v/>
      </c>
      <c r="D2" s="19">
        <f>IF(Deployments!AM2="","",Deployments!AM2)</f>
        <v/>
      </c>
      <c r="E2" s="19">
        <f>IF(Deployments!I2="","",Deployments!I2)</f>
        <v/>
      </c>
      <c r="F2" s="19">
        <f>IF(Deployments!J2="","",Deployments!J2)</f>
        <v/>
      </c>
      <c r="G2" s="19">
        <f>IF(Deployments!K2="","",Deployments!K2)</f>
        <v/>
      </c>
      <c r="H2" s="19">
        <f>IF(Deployments!A2="","",Deployments!A2)</f>
        <v/>
      </c>
      <c r="I2" s="19">
        <f>IF(Deployments!AN2="","",Deployments!AN2)</f>
        <v/>
      </c>
      <c r="J2" s="19">
        <f>IF(Deployments!AO2="","",Deployments!AO2)</f>
        <v/>
      </c>
      <c r="K2" s="19">
        <f>IF(Deployments!AI2="","",Deployments!AI2)</f>
        <v/>
      </c>
      <c r="L2" s="19">
        <f>IF(Deployments!M2="","",Deployments!M2)</f>
        <v/>
      </c>
      <c r="M2" s="20" t="n"/>
      <c r="N2" s="19">
        <f>IF(Deployments!N2="","",Deployments!N2)</f>
        <v/>
      </c>
      <c r="O2" s="19">
        <f>IF(Deployments!O2="","",Deployments!O2)</f>
        <v/>
      </c>
      <c r="P2" s="19">
        <f>IF(Deployments!P2="","",Deployments!P2)</f>
        <v/>
      </c>
      <c r="Q2" s="20" t="n"/>
      <c r="R2" s="19">
        <f>IF(Deployments!BT2="","",Deployments!BT2)</f>
        <v/>
      </c>
      <c r="S2" s="19">
        <f>IF(Deployments!BS2="","",Deployments!BS2)</f>
        <v/>
      </c>
      <c r="T2" s="19">
        <f>IF(Deployments!BB2="","",Deployments!BB2)</f>
        <v/>
      </c>
      <c r="U2" s="19">
        <f>IF(Deployments!BR2="","",Deployments!BR2)</f>
        <v/>
      </c>
      <c r="V2" s="19">
        <f>IF(Deployments!BX2="","",Deployments!BX2)</f>
        <v/>
      </c>
      <c r="W2" s="19">
        <f>IF(Deployments!BY2="","",Deployments!BY2)</f>
        <v/>
      </c>
      <c r="X2" s="19">
        <f>IF(Deployments!CC2="","",Deployments!CC2)</f>
        <v/>
      </c>
      <c r="Y2" s="19">
        <f>IF(Deployments!BW2="","",Deployments!BW2)</f>
        <v/>
      </c>
      <c r="Z2" s="19">
        <f>IF(Deployments!U2="","",Deployments!U2)</f>
        <v/>
      </c>
      <c r="AA2" s="19">
        <f>IF(Deployments!L2="","",Deployments!L2)</f>
        <v/>
      </c>
      <c r="AC2" t="inlineStr">
        <is>
          <t>Cybernet</t>
        </is>
      </c>
    </row>
    <row r="3" ht="45.75" customHeight="1" s="91">
      <c r="A3" s="20" t="n"/>
      <c r="B3" s="20" t="n"/>
      <c r="C3" s="19">
        <f>IF(Deployments!H3="","",Deployments!H3)</f>
        <v/>
      </c>
      <c r="D3" s="19">
        <f>IF(Deployments!AM3="","",Deployments!AM3)</f>
        <v/>
      </c>
      <c r="E3" s="19">
        <f>IF(Deployments!I3="","",Deployments!I3)</f>
        <v/>
      </c>
      <c r="F3" s="19">
        <f>IF(Deployments!J3="","",Deployments!J3)</f>
        <v/>
      </c>
      <c r="G3" s="19">
        <f>IF(Deployments!K3="","",Deployments!K3)</f>
        <v/>
      </c>
      <c r="H3" s="19">
        <f>IF(Deployments!A3="","",Deployments!A3)</f>
        <v/>
      </c>
      <c r="I3" s="19">
        <f>IF(Deployments!AN3="","",Deployments!AN3)</f>
        <v/>
      </c>
      <c r="J3" s="19">
        <f>IF(Deployments!AO3="","",Deployments!AO3)</f>
        <v/>
      </c>
      <c r="K3" s="19">
        <f>IF(Deployments!AI3="","",Deployments!AI3)</f>
        <v/>
      </c>
      <c r="L3" s="19">
        <f>IF(Deployments!M3="","",Deployments!M3)</f>
        <v/>
      </c>
      <c r="M3" s="20" t="n"/>
      <c r="N3" s="19">
        <f>IF(Deployments!N3="","",Deployments!N3)</f>
        <v/>
      </c>
      <c r="O3" s="19">
        <f>IF(Deployments!O3="","",Deployments!O3)</f>
        <v/>
      </c>
      <c r="P3" s="19">
        <f>IF(Deployments!P3="","",Deployments!P3)</f>
        <v/>
      </c>
      <c r="Q3" s="20" t="n"/>
      <c r="R3" s="19">
        <f>IF(Deployments!BT3="","",Deployments!BT3)</f>
        <v/>
      </c>
      <c r="S3" s="19">
        <f>IF(Deployments!BS3="","",Deployments!BS3)</f>
        <v/>
      </c>
      <c r="T3" s="19">
        <f>IF(Deployments!BB3="","",Deployments!BB3)</f>
        <v/>
      </c>
      <c r="U3" s="19">
        <f>IF(Deployments!BR3="","",Deployments!BR3)</f>
        <v/>
      </c>
      <c r="V3" s="19">
        <f>IF(Deployments!BX3="","",Deployments!BX3)</f>
        <v/>
      </c>
      <c r="W3" s="19">
        <f>IF(Deployments!BY3="","",Deployments!BY3)</f>
        <v/>
      </c>
      <c r="X3" s="19">
        <f>IF(Deployments!CC3="","",Deployments!CC3)</f>
        <v/>
      </c>
      <c r="Y3" s="19">
        <f>IF(Deployments!BW3="","",Deployments!BW3)</f>
        <v/>
      </c>
      <c r="Z3" s="19">
        <f>IF(Deployments!U3="","",Deployments!U3)</f>
        <v/>
      </c>
      <c r="AA3" s="19">
        <f>IF(Deployments!L3="","",Deployments!L3)</f>
        <v/>
      </c>
      <c r="AC3" t="inlineStr">
        <is>
          <t>Neuron</t>
        </is>
      </c>
    </row>
    <row r="4" ht="45.75" customHeight="1" s="91">
      <c r="A4" s="20" t="n"/>
      <c r="B4" s="20" t="n"/>
      <c r="C4" s="19">
        <f>IF(Deployments!H4="","",Deployments!H4)</f>
        <v/>
      </c>
      <c r="D4" s="19">
        <f>IF(Deployments!AM4="","",Deployments!AM4)</f>
        <v/>
      </c>
      <c r="E4" s="19">
        <f>IF(Deployments!I4="","",Deployments!I4)</f>
        <v/>
      </c>
      <c r="F4" s="19">
        <f>IF(Deployments!J4="","",Deployments!J4)</f>
        <v/>
      </c>
      <c r="G4" s="19">
        <f>IF(Deployments!K4="","",Deployments!K4)</f>
        <v/>
      </c>
      <c r="H4" s="19">
        <f>IF(Deployments!A4="","",Deployments!A4)</f>
        <v/>
      </c>
      <c r="I4" s="19">
        <f>IF(Deployments!AN4="","",Deployments!AN4)</f>
        <v/>
      </c>
      <c r="J4" s="19">
        <f>IF(Deployments!AO4="","",Deployments!AO4)</f>
        <v/>
      </c>
      <c r="K4" s="19">
        <f>IF(Deployments!AI4="","",Deployments!AI4)</f>
        <v/>
      </c>
      <c r="L4" s="19">
        <f>IF(Deployments!M4="","",Deployments!M4)</f>
        <v/>
      </c>
      <c r="M4" s="20" t="n"/>
      <c r="N4" s="19">
        <f>IF(Deployments!N4="","",Deployments!N4)</f>
        <v/>
      </c>
      <c r="O4" s="19">
        <f>IF(Deployments!O4="","",Deployments!O4)</f>
        <v/>
      </c>
      <c r="P4" s="19">
        <f>IF(Deployments!P4="","",Deployments!P4)</f>
        <v/>
      </c>
      <c r="Q4" s="20" t="n"/>
      <c r="R4" s="19">
        <f>IF(Deployments!BT4="","",Deployments!BT4)</f>
        <v/>
      </c>
      <c r="S4" s="19">
        <f>IF(Deployments!BS4="","",Deployments!BS4)</f>
        <v/>
      </c>
      <c r="T4" s="19">
        <f>IF(Deployments!BB4="","",Deployments!BB4)</f>
        <v/>
      </c>
      <c r="U4" s="19">
        <f>IF(Deployments!BR4="","",Deployments!BR4)</f>
        <v/>
      </c>
      <c r="V4" s="19">
        <f>IF(Deployments!BX4="","",Deployments!BX4)</f>
        <v/>
      </c>
      <c r="W4" s="19">
        <f>IF(Deployments!BY4="","",Deployments!BY4)</f>
        <v/>
      </c>
      <c r="X4" s="19">
        <f>IF(Deployments!CC4="","",Deployments!CC4)</f>
        <v/>
      </c>
      <c r="Y4" s="19">
        <f>IF(Deployments!BW4="","",Deployments!BW4)</f>
        <v/>
      </c>
      <c r="Z4" s="19">
        <f>IF(Deployments!U4="","",Deployments!U4)</f>
        <v/>
      </c>
      <c r="AA4" s="19">
        <f>IF(Deployments!L4="","",Deployments!L4)</f>
        <v/>
      </c>
    </row>
    <row r="5" ht="45.75" customHeight="1" s="91">
      <c r="A5" s="20" t="n"/>
      <c r="B5" s="20" t="n"/>
      <c r="C5" s="19">
        <f>IF(Deployments!H5="","",Deployments!H5)</f>
        <v/>
      </c>
      <c r="D5" s="19">
        <f>IF(Deployments!AM5="","",Deployments!AM5)</f>
        <v/>
      </c>
      <c r="E5" s="19">
        <f>IF(Deployments!I5="","",Deployments!I5)</f>
        <v/>
      </c>
      <c r="F5" s="19">
        <f>IF(Deployments!J5="","",Deployments!J5)</f>
        <v/>
      </c>
      <c r="G5" s="19">
        <f>IF(Deployments!K5="","",Deployments!K5)</f>
        <v/>
      </c>
      <c r="H5" s="19">
        <f>IF(Deployments!A5="","",Deployments!A5)</f>
        <v/>
      </c>
      <c r="I5" s="19">
        <f>IF(Deployments!AN5="","",Deployments!AN5)</f>
        <v/>
      </c>
      <c r="J5" s="19">
        <f>IF(Deployments!AO5="","",Deployments!AO5)</f>
        <v/>
      </c>
      <c r="K5" s="19">
        <f>IF(Deployments!AI5="","",Deployments!AI5)</f>
        <v/>
      </c>
      <c r="L5" s="19">
        <f>IF(Deployments!M5="","",Deployments!M5)</f>
        <v/>
      </c>
      <c r="M5" s="20" t="n"/>
      <c r="N5" s="19">
        <f>IF(Deployments!N5="","",Deployments!N5)</f>
        <v/>
      </c>
      <c r="O5" s="19">
        <f>IF(Deployments!O5="","",Deployments!O5)</f>
        <v/>
      </c>
      <c r="P5" s="19">
        <f>IF(Deployments!P5="","",Deployments!P5)</f>
        <v/>
      </c>
      <c r="Q5" s="20" t="n"/>
      <c r="R5" s="19">
        <f>IF(Deployments!BT5="","",Deployments!BT5)</f>
        <v/>
      </c>
      <c r="S5" s="19">
        <f>IF(Deployments!BS5="","",Deployments!BS5)</f>
        <v/>
      </c>
      <c r="T5" s="19">
        <f>IF(Deployments!BB5="","",Deployments!BB5)</f>
        <v/>
      </c>
      <c r="U5" s="19">
        <f>IF(Deployments!BR5="","",Deployments!BR5)</f>
        <v/>
      </c>
      <c r="V5" s="19">
        <f>IF(Deployments!BX5="","",Deployments!BX5)</f>
        <v/>
      </c>
      <c r="W5" s="19">
        <f>IF(Deployments!BY5="","",Deployments!BY5)</f>
        <v/>
      </c>
      <c r="X5" s="19">
        <f>IF(Deployments!CC5="","",Deployments!CC5)</f>
        <v/>
      </c>
      <c r="Y5" s="19">
        <f>IF(Deployments!BW5="","",Deployments!BW5)</f>
        <v/>
      </c>
      <c r="Z5" s="19">
        <f>IF(Deployments!U5="","",Deployments!U5)</f>
        <v/>
      </c>
      <c r="AA5" s="19">
        <f>IF(Deployments!L5="","",Deployments!L5)</f>
        <v/>
      </c>
    </row>
    <row r="6" ht="45.75" customHeight="1" s="91">
      <c r="A6" s="20" t="n"/>
      <c r="B6" s="20" t="n"/>
      <c r="C6" s="19">
        <f>IF(Deployments!H6="","",Deployments!H6)</f>
        <v/>
      </c>
      <c r="D6" s="19">
        <f>IF(Deployments!AM6="","",Deployments!AM6)</f>
        <v/>
      </c>
      <c r="E6" s="19">
        <f>IF(Deployments!I6="","",Deployments!I6)</f>
        <v/>
      </c>
      <c r="F6" s="19">
        <f>IF(Deployments!J6="","",Deployments!J6)</f>
        <v/>
      </c>
      <c r="G6" s="19">
        <f>IF(Deployments!K6="","",Deployments!K6)</f>
        <v/>
      </c>
      <c r="H6" s="19">
        <f>IF(Deployments!A6="","",Deployments!A6)</f>
        <v/>
      </c>
      <c r="I6" s="19">
        <f>IF(Deployments!AN6="","",Deployments!AN6)</f>
        <v/>
      </c>
      <c r="J6" s="19">
        <f>IF(Deployments!AO6="","",Deployments!AO6)</f>
        <v/>
      </c>
      <c r="K6" s="19">
        <f>IF(Deployments!AI6="","",Deployments!AI6)</f>
        <v/>
      </c>
      <c r="L6" s="19">
        <f>IF(Deployments!M6="","",Deployments!M6)</f>
        <v/>
      </c>
      <c r="M6" s="20" t="n"/>
      <c r="N6" s="19">
        <f>IF(Deployments!N6="","",Deployments!N6)</f>
        <v/>
      </c>
      <c r="O6" s="19">
        <f>IF(Deployments!O6="","",Deployments!O6)</f>
        <v/>
      </c>
      <c r="P6" s="19">
        <f>IF(Deployments!P6="","",Deployments!P6)</f>
        <v/>
      </c>
      <c r="Q6" s="20" t="n"/>
      <c r="R6" s="19">
        <f>IF(Deployments!BT6="","",Deployments!BT6)</f>
        <v/>
      </c>
      <c r="S6" s="19">
        <f>IF(Deployments!BS6="","",Deployments!BS6)</f>
        <v/>
      </c>
      <c r="T6" s="19">
        <f>IF(Deployments!BB6="","",Deployments!BB6)</f>
        <v/>
      </c>
      <c r="U6" s="19">
        <f>IF(Deployments!BR6="","",Deployments!BR6)</f>
        <v/>
      </c>
      <c r="V6" s="19">
        <f>IF(Deployments!BX6="","",Deployments!BX6)</f>
        <v/>
      </c>
      <c r="W6" s="19">
        <f>IF(Deployments!BY6="","",Deployments!BY6)</f>
        <v/>
      </c>
      <c r="X6" s="19">
        <f>IF(Deployments!CC6="","",Deployments!CC6)</f>
        <v/>
      </c>
      <c r="Y6" s="19">
        <f>IF(Deployments!BW6="","",Deployments!BW6)</f>
        <v/>
      </c>
      <c r="Z6" s="19">
        <f>IF(Deployments!U6="","",Deployments!U6)</f>
        <v/>
      </c>
      <c r="AA6" s="19">
        <f>IF(Deployments!L6="","",Deployments!L6)</f>
        <v/>
      </c>
    </row>
    <row r="7" ht="45.75" customHeight="1" s="91">
      <c r="A7" s="20" t="n"/>
      <c r="B7" s="20" t="n"/>
      <c r="C7" s="19">
        <f>IF(Deployments!H7="","",Deployments!H7)</f>
        <v/>
      </c>
      <c r="D7" s="19">
        <f>IF(Deployments!AM7="","",Deployments!AM7)</f>
        <v/>
      </c>
      <c r="E7" s="19">
        <f>IF(Deployments!I7="","",Deployments!I7)</f>
        <v/>
      </c>
      <c r="F7" s="19">
        <f>IF(Deployments!J7="","",Deployments!J7)</f>
        <v/>
      </c>
      <c r="G7" s="19">
        <f>IF(Deployments!K7="","",Deployments!K7)</f>
        <v/>
      </c>
      <c r="H7" s="19">
        <f>IF(Deployments!A7="","",Deployments!A7)</f>
        <v/>
      </c>
      <c r="I7" s="19">
        <f>IF(Deployments!AN7="","",Deployments!AN7)</f>
        <v/>
      </c>
      <c r="J7" s="19">
        <f>IF(Deployments!AO7="","",Deployments!AO7)</f>
        <v/>
      </c>
      <c r="K7" s="19">
        <f>IF(Deployments!AI7="","",Deployments!AI7)</f>
        <v/>
      </c>
      <c r="L7" s="19">
        <f>IF(Deployments!M7="","",Deployments!M7)</f>
        <v/>
      </c>
      <c r="M7" s="20" t="n"/>
      <c r="N7" s="19">
        <f>IF(Deployments!N7="","",Deployments!N7)</f>
        <v/>
      </c>
      <c r="O7" s="19">
        <f>IF(Deployments!O7="","",Deployments!O7)</f>
        <v/>
      </c>
      <c r="P7" s="19">
        <f>IF(Deployments!P7="","",Deployments!P7)</f>
        <v/>
      </c>
      <c r="Q7" s="20" t="n"/>
      <c r="R7" s="19">
        <f>IF(Deployments!BT7="","",Deployments!BT7)</f>
        <v/>
      </c>
      <c r="S7" s="19">
        <f>IF(Deployments!BS7="","",Deployments!BS7)</f>
        <v/>
      </c>
      <c r="T7" s="19">
        <f>IF(Deployments!BB7="","",Deployments!BB7)</f>
        <v/>
      </c>
      <c r="U7" s="19">
        <f>IF(Deployments!BR7="","",Deployments!BR7)</f>
        <v/>
      </c>
      <c r="V7" s="19">
        <f>IF(Deployments!BX7="","",Deployments!BX7)</f>
        <v/>
      </c>
      <c r="W7" s="19">
        <f>IF(Deployments!BY7="","",Deployments!BY7)</f>
        <v/>
      </c>
      <c r="X7" s="19">
        <f>IF(Deployments!CC7="","",Deployments!CC7)</f>
        <v/>
      </c>
      <c r="Y7" s="19">
        <f>IF(Deployments!BW7="","",Deployments!BW7)</f>
        <v/>
      </c>
      <c r="Z7" s="19">
        <f>IF(Deployments!U7="","",Deployments!U7)</f>
        <v/>
      </c>
      <c r="AA7" s="19">
        <f>IF(Deployments!L7="","",Deployments!L7)</f>
        <v/>
      </c>
    </row>
    <row r="8" ht="45.75" customHeight="1" s="91">
      <c r="A8" s="20" t="n"/>
      <c r="B8" s="20" t="n"/>
      <c r="C8" s="19">
        <f>IF(Deployments!H8="","",Deployments!H8)</f>
        <v/>
      </c>
      <c r="D8" s="19">
        <f>IF(Deployments!AM8="","",Deployments!AM8)</f>
        <v/>
      </c>
      <c r="E8" s="19">
        <f>IF(Deployments!I8="","",Deployments!I8)</f>
        <v/>
      </c>
      <c r="F8" s="19">
        <f>IF(Deployments!J8="","",Deployments!J8)</f>
        <v/>
      </c>
      <c r="G8" s="19">
        <f>IF(Deployments!K8="","",Deployments!K8)</f>
        <v/>
      </c>
      <c r="H8" s="19">
        <f>IF(Deployments!A8="","",Deployments!A8)</f>
        <v/>
      </c>
      <c r="I8" s="19">
        <f>IF(Deployments!AN8="","",Deployments!AN8)</f>
        <v/>
      </c>
      <c r="J8" s="19">
        <f>IF(Deployments!AO8="","",Deployments!AO8)</f>
        <v/>
      </c>
      <c r="K8" s="19">
        <f>IF(Deployments!AI8="","",Deployments!AI8)</f>
        <v/>
      </c>
      <c r="L8" s="19">
        <f>IF(Deployments!M8="","",Deployments!M8)</f>
        <v/>
      </c>
      <c r="M8" s="20" t="n"/>
      <c r="N8" s="19">
        <f>IF(Deployments!N8="","",Deployments!N8)</f>
        <v/>
      </c>
      <c r="O8" s="19">
        <f>IF(Deployments!O8="","",Deployments!O8)</f>
        <v/>
      </c>
      <c r="P8" s="19">
        <f>IF(Deployments!P8="","",Deployments!P8)</f>
        <v/>
      </c>
      <c r="Q8" s="20" t="n"/>
      <c r="R8" s="19">
        <f>IF(Deployments!BT8="","",Deployments!BT8)</f>
        <v/>
      </c>
      <c r="S8" s="19">
        <f>IF(Deployments!BS8="","",Deployments!BS8)</f>
        <v/>
      </c>
      <c r="T8" s="19">
        <f>IF(Deployments!BB8="","",Deployments!BB8)</f>
        <v/>
      </c>
      <c r="U8" s="19">
        <f>IF(Deployments!BR8="","",Deployments!BR8)</f>
        <v/>
      </c>
      <c r="V8" s="19">
        <f>IF(Deployments!BX8="","",Deployments!BX8)</f>
        <v/>
      </c>
      <c r="W8" s="19">
        <f>IF(Deployments!BY8="","",Deployments!BY8)</f>
        <v/>
      </c>
      <c r="X8" s="19">
        <f>IF(Deployments!CC8="","",Deployments!CC8)</f>
        <v/>
      </c>
      <c r="Y8" s="19">
        <f>IF(Deployments!BW8="","",Deployments!BW8)</f>
        <v/>
      </c>
      <c r="Z8" s="19">
        <f>IF(Deployments!U8="","",Deployments!U8)</f>
        <v/>
      </c>
      <c r="AA8" s="19">
        <f>IF(Deployments!L8="","",Deployments!L8)</f>
        <v/>
      </c>
    </row>
    <row r="9" ht="45.75" customHeight="1" s="91">
      <c r="A9" s="20" t="n"/>
      <c r="B9" s="20" t="n"/>
      <c r="C9" s="19">
        <f>IF(Deployments!H9="","",Deployments!H9)</f>
        <v/>
      </c>
      <c r="D9" s="19">
        <f>IF(Deployments!AM9="","",Deployments!AM9)</f>
        <v/>
      </c>
      <c r="E9" s="19">
        <f>IF(Deployments!I9="","",Deployments!I9)</f>
        <v/>
      </c>
      <c r="F9" s="19">
        <f>IF(Deployments!J9="","",Deployments!J9)</f>
        <v/>
      </c>
      <c r="G9" s="19">
        <f>IF(Deployments!K9="","",Deployments!K9)</f>
        <v/>
      </c>
      <c r="H9" s="19">
        <f>IF(Deployments!A9="","",Deployments!A9)</f>
        <v/>
      </c>
      <c r="I9" s="19">
        <f>IF(Deployments!AN9="","",Deployments!AN9)</f>
        <v/>
      </c>
      <c r="J9" s="19">
        <f>IF(Deployments!AO9="","",Deployments!AO9)</f>
        <v/>
      </c>
      <c r="K9" s="19">
        <f>IF(Deployments!AI9="","",Deployments!AI9)</f>
        <v/>
      </c>
      <c r="L9" s="19">
        <f>IF(Deployments!M9="","",Deployments!M9)</f>
        <v/>
      </c>
      <c r="M9" s="20" t="n"/>
      <c r="N9" s="19">
        <f>IF(Deployments!N9="","",Deployments!N9)</f>
        <v/>
      </c>
      <c r="O9" s="19">
        <f>IF(Deployments!O9="","",Deployments!O9)</f>
        <v/>
      </c>
      <c r="P9" s="19">
        <f>IF(Deployments!P9="","",Deployments!P9)</f>
        <v/>
      </c>
      <c r="Q9" s="20" t="n"/>
      <c r="R9" s="19">
        <f>IF(Deployments!BT9="","",Deployments!BT9)</f>
        <v/>
      </c>
      <c r="S9" s="19">
        <f>IF(Deployments!BS9="","",Deployments!BS9)</f>
        <v/>
      </c>
      <c r="T9" s="19">
        <f>IF(Deployments!BB9="","",Deployments!BB9)</f>
        <v/>
      </c>
      <c r="U9" s="19">
        <f>IF(Deployments!BR9="","",Deployments!BR9)</f>
        <v/>
      </c>
      <c r="V9" s="19">
        <f>IF(Deployments!BX9="","",Deployments!BX9)</f>
        <v/>
      </c>
      <c r="W9" s="19">
        <f>IF(Deployments!BY9="","",Deployments!BY9)</f>
        <v/>
      </c>
      <c r="X9" s="19">
        <f>IF(Deployments!CC9="","",Deployments!CC9)</f>
        <v/>
      </c>
      <c r="Y9" s="19">
        <f>IF(Deployments!BW9="","",Deployments!BW9)</f>
        <v/>
      </c>
      <c r="Z9" s="19">
        <f>IF(Deployments!U9="","",Deployments!U9)</f>
        <v/>
      </c>
      <c r="AA9" s="19">
        <f>IF(Deployments!L9="","",Deployments!L9)</f>
        <v/>
      </c>
    </row>
    <row r="10" ht="45.75" customHeight="1" s="91">
      <c r="A10" s="20" t="n"/>
      <c r="B10" s="20" t="n"/>
      <c r="C10" s="19">
        <f>IF(Deployments!H10="","",Deployments!H10)</f>
        <v/>
      </c>
      <c r="D10" s="19">
        <f>IF(Deployments!AM10="","",Deployments!AM10)</f>
        <v/>
      </c>
      <c r="E10" s="19">
        <f>IF(Deployments!I10="","",Deployments!I10)</f>
        <v/>
      </c>
      <c r="F10" s="19">
        <f>IF(Deployments!J10="","",Deployments!J10)</f>
        <v/>
      </c>
      <c r="G10" s="19">
        <f>IF(Deployments!K10="","",Deployments!K10)</f>
        <v/>
      </c>
      <c r="H10" s="19">
        <f>IF(Deployments!A10="","",Deployments!A10)</f>
        <v/>
      </c>
      <c r="I10" s="19">
        <f>IF(Deployments!AN10="","",Deployments!AN10)</f>
        <v/>
      </c>
      <c r="J10" s="19">
        <f>IF(Deployments!AO10="","",Deployments!AO10)</f>
        <v/>
      </c>
      <c r="K10" s="19">
        <f>IF(Deployments!AI10="","",Deployments!AI10)</f>
        <v/>
      </c>
      <c r="L10" s="19">
        <f>IF(Deployments!M10="","",Deployments!M10)</f>
        <v/>
      </c>
      <c r="M10" s="20" t="n"/>
      <c r="N10" s="19">
        <f>IF(Deployments!N10="","",Deployments!N10)</f>
        <v/>
      </c>
      <c r="O10" s="19">
        <f>IF(Deployments!O10="","",Deployments!O10)</f>
        <v/>
      </c>
      <c r="P10" s="19">
        <f>IF(Deployments!P10="","",Deployments!P10)</f>
        <v/>
      </c>
      <c r="Q10" s="20" t="n"/>
      <c r="R10" s="19">
        <f>IF(Deployments!BT10="","",Deployments!BT10)</f>
        <v/>
      </c>
      <c r="S10" s="19">
        <f>IF(Deployments!BS10="","",Deployments!BS10)</f>
        <v/>
      </c>
      <c r="T10" s="19">
        <f>IF(Deployments!BB10="","",Deployments!BB10)</f>
        <v/>
      </c>
      <c r="U10" s="19">
        <f>IF(Deployments!BR10="","",Deployments!BR10)</f>
        <v/>
      </c>
      <c r="V10" s="19">
        <f>IF(Deployments!BX10="","",Deployments!BX10)</f>
        <v/>
      </c>
      <c r="W10" s="19">
        <f>IF(Deployments!BY10="","",Deployments!BY10)</f>
        <v/>
      </c>
      <c r="X10" s="19">
        <f>IF(Deployments!CC10="","",Deployments!CC10)</f>
        <v/>
      </c>
      <c r="Y10" s="19">
        <f>IF(Deployments!BW10="","",Deployments!BW10)</f>
        <v/>
      </c>
      <c r="Z10" s="19">
        <f>IF(Deployments!U10="","",Deployments!U10)</f>
        <v/>
      </c>
      <c r="AA10" s="19">
        <f>IF(Deployments!L10="","",Deployments!L10)</f>
        <v/>
      </c>
    </row>
    <row r="11" ht="45.75" customHeight="1" s="91">
      <c r="A11" s="20" t="n"/>
      <c r="B11" s="20" t="n"/>
      <c r="C11" s="19">
        <f>IF(Deployments!H11="","",Deployments!H11)</f>
        <v/>
      </c>
      <c r="D11" s="19">
        <f>IF(Deployments!AM11="","",Deployments!AM11)</f>
        <v/>
      </c>
      <c r="E11" s="19">
        <f>IF(Deployments!I11="","",Deployments!I11)</f>
        <v/>
      </c>
      <c r="F11" s="19">
        <f>IF(Deployments!J11="","",Deployments!J11)</f>
        <v/>
      </c>
      <c r="G11" s="19">
        <f>IF(Deployments!K11="","",Deployments!K11)</f>
        <v/>
      </c>
      <c r="H11" s="19">
        <f>IF(Deployments!A11="","",Deployments!A11)</f>
        <v/>
      </c>
      <c r="I11" s="19">
        <f>IF(Deployments!AN11="","",Deployments!AN11)</f>
        <v/>
      </c>
      <c r="J11" s="19">
        <f>IF(Deployments!AO11="","",Deployments!AO11)</f>
        <v/>
      </c>
      <c r="K11" s="19">
        <f>IF(Deployments!AI11="","",Deployments!AI11)</f>
        <v/>
      </c>
      <c r="L11" s="19">
        <f>IF(Deployments!M11="","",Deployments!M11)</f>
        <v/>
      </c>
      <c r="M11" s="20" t="n"/>
      <c r="N11" s="19">
        <f>IF(Deployments!N11="","",Deployments!N11)</f>
        <v/>
      </c>
      <c r="O11" s="19">
        <f>IF(Deployments!O11="","",Deployments!O11)</f>
        <v/>
      </c>
      <c r="P11" s="19">
        <f>IF(Deployments!P11="","",Deployments!P11)</f>
        <v/>
      </c>
      <c r="Q11" s="20" t="n"/>
      <c r="R11" s="19">
        <f>IF(Deployments!BT11="","",Deployments!BT11)</f>
        <v/>
      </c>
      <c r="S11" s="19">
        <f>IF(Deployments!BS11="","",Deployments!BS11)</f>
        <v/>
      </c>
      <c r="T11" s="19">
        <f>IF(Deployments!BB11="","",Deployments!BB11)</f>
        <v/>
      </c>
      <c r="U11" s="19">
        <f>IF(Deployments!BR11="","",Deployments!BR11)</f>
        <v/>
      </c>
      <c r="V11" s="19">
        <f>IF(Deployments!BX11="","",Deployments!BX11)</f>
        <v/>
      </c>
      <c r="W11" s="19">
        <f>IF(Deployments!BY11="","",Deployments!BY11)</f>
        <v/>
      </c>
      <c r="X11" s="19">
        <f>IF(Deployments!CC11="","",Deployments!CC11)</f>
        <v/>
      </c>
      <c r="Y11" s="19">
        <f>IF(Deployments!BW11="","",Deployments!BW11)</f>
        <v/>
      </c>
      <c r="Z11" s="19">
        <f>IF(Deployments!U11="","",Deployments!U11)</f>
        <v/>
      </c>
      <c r="AA11" s="19">
        <f>IF(Deployments!L11="","",Deployments!L11)</f>
        <v/>
      </c>
    </row>
    <row r="12" ht="45.75" customHeight="1" s="91">
      <c r="A12" s="20" t="n"/>
      <c r="B12" s="20" t="n"/>
      <c r="C12" s="19">
        <f>IF(Deployments!H12="","",Deployments!H12)</f>
        <v/>
      </c>
      <c r="D12" s="19">
        <f>IF(Deployments!AM12="","",Deployments!AM12)</f>
        <v/>
      </c>
      <c r="E12" s="19">
        <f>IF(Deployments!I12="","",Deployments!I12)</f>
        <v/>
      </c>
      <c r="F12" s="19">
        <f>IF(Deployments!J12="","",Deployments!J12)</f>
        <v/>
      </c>
      <c r="G12" s="19">
        <f>IF(Deployments!K12="","",Deployments!K12)</f>
        <v/>
      </c>
      <c r="H12" s="19">
        <f>IF(Deployments!A12="","",Deployments!A12)</f>
        <v/>
      </c>
      <c r="I12" s="19">
        <f>IF(Deployments!AN12="","",Deployments!AN12)</f>
        <v/>
      </c>
      <c r="J12" s="19">
        <f>IF(Deployments!AO12="","",Deployments!AO12)</f>
        <v/>
      </c>
      <c r="K12" s="19">
        <f>IF(Deployments!AI12="","",Deployments!AI12)</f>
        <v/>
      </c>
      <c r="L12" s="19">
        <f>IF(Deployments!M12="","",Deployments!M12)</f>
        <v/>
      </c>
      <c r="M12" s="20" t="n"/>
      <c r="N12" s="19">
        <f>IF(Deployments!N12="","",Deployments!N12)</f>
        <v/>
      </c>
      <c r="O12" s="19">
        <f>IF(Deployments!O12="","",Deployments!O12)</f>
        <v/>
      </c>
      <c r="P12" s="19">
        <f>IF(Deployments!P12="","",Deployments!P12)</f>
        <v/>
      </c>
      <c r="Q12" s="20" t="n"/>
      <c r="R12" s="19">
        <f>IF(Deployments!BT12="","",Deployments!BT12)</f>
        <v/>
      </c>
      <c r="S12" s="19">
        <f>IF(Deployments!BS12="","",Deployments!BS12)</f>
        <v/>
      </c>
      <c r="T12" s="19">
        <f>IF(Deployments!BB12="","",Deployments!BB12)</f>
        <v/>
      </c>
      <c r="U12" s="19">
        <f>IF(Deployments!BR12="","",Deployments!BR12)</f>
        <v/>
      </c>
      <c r="V12" s="19">
        <f>IF(Deployments!BX12="","",Deployments!BX12)</f>
        <v/>
      </c>
      <c r="W12" s="19">
        <f>IF(Deployments!BY12="","",Deployments!BY12)</f>
        <v/>
      </c>
      <c r="X12" s="19">
        <f>IF(Deployments!CC12="","",Deployments!CC12)</f>
        <v/>
      </c>
      <c r="Y12" s="19">
        <f>IF(Deployments!BW12="","",Deployments!BW12)</f>
        <v/>
      </c>
      <c r="Z12" s="19">
        <f>IF(Deployments!U12="","",Deployments!U12)</f>
        <v/>
      </c>
      <c r="AA12" s="19">
        <f>IF(Deployments!L12="","",Deployments!L12)</f>
        <v/>
      </c>
    </row>
    <row r="13" ht="45.75" customHeight="1" s="91">
      <c r="A13" s="20" t="n"/>
      <c r="B13" s="20" t="n"/>
      <c r="C13" s="19">
        <f>IF(Deployments!H13="","",Deployments!H13)</f>
        <v/>
      </c>
      <c r="D13" s="19">
        <f>IF(Deployments!AM13="","",Deployments!AM13)</f>
        <v/>
      </c>
      <c r="E13" s="19">
        <f>IF(Deployments!I13="","",Deployments!I13)</f>
        <v/>
      </c>
      <c r="F13" s="19">
        <f>IF(Deployments!J13="","",Deployments!J13)</f>
        <v/>
      </c>
      <c r="G13" s="19">
        <f>IF(Deployments!K13="","",Deployments!K13)</f>
        <v/>
      </c>
      <c r="H13" s="19">
        <f>IF(Deployments!A13="","",Deployments!A13)</f>
        <v/>
      </c>
      <c r="I13" s="19">
        <f>IF(Deployments!AN13="","",Deployments!AN13)</f>
        <v/>
      </c>
      <c r="J13" s="19">
        <f>IF(Deployments!AO13="","",Deployments!AO13)</f>
        <v/>
      </c>
      <c r="K13" s="19">
        <f>IF(Deployments!AI13="","",Deployments!AI13)</f>
        <v/>
      </c>
      <c r="L13" s="19">
        <f>IF(Deployments!M13="","",Deployments!M13)</f>
        <v/>
      </c>
      <c r="M13" s="20" t="n"/>
      <c r="N13" s="19">
        <f>IF(Deployments!N13="","",Deployments!N13)</f>
        <v/>
      </c>
      <c r="O13" s="19">
        <f>IF(Deployments!O13="","",Deployments!O13)</f>
        <v/>
      </c>
      <c r="P13" s="19">
        <f>IF(Deployments!P13="","",Deployments!P13)</f>
        <v/>
      </c>
      <c r="Q13" s="20" t="n"/>
      <c r="R13" s="19">
        <f>IF(Deployments!BT13="","",Deployments!BT13)</f>
        <v/>
      </c>
      <c r="S13" s="19">
        <f>IF(Deployments!BS13="","",Deployments!BS13)</f>
        <v/>
      </c>
      <c r="T13" s="19">
        <f>IF(Deployments!BB13="","",Deployments!BB13)</f>
        <v/>
      </c>
      <c r="U13" s="19">
        <f>IF(Deployments!BR13="","",Deployments!BR13)</f>
        <v/>
      </c>
      <c r="V13" s="19">
        <f>IF(Deployments!BX13="","",Deployments!BX13)</f>
        <v/>
      </c>
      <c r="W13" s="19">
        <f>IF(Deployments!BY13="","",Deployments!BY13)</f>
        <v/>
      </c>
      <c r="X13" s="19">
        <f>IF(Deployments!CC13="","",Deployments!CC13)</f>
        <v/>
      </c>
      <c r="Y13" s="19">
        <f>IF(Deployments!BW13="","",Deployments!BW13)</f>
        <v/>
      </c>
      <c r="Z13" s="19">
        <f>IF(Deployments!U13="","",Deployments!U13)</f>
        <v/>
      </c>
      <c r="AA13" s="19">
        <f>IF(Deployments!L13="","",Deployments!L13)</f>
        <v/>
      </c>
    </row>
    <row r="14" ht="45.75" customHeight="1" s="91">
      <c r="A14" s="20" t="n"/>
      <c r="B14" s="20" t="n"/>
      <c r="C14" s="19">
        <f>IF(Deployments!H14="","",Deployments!H14)</f>
        <v/>
      </c>
      <c r="D14" s="19">
        <f>IF(Deployments!AM14="","",Deployments!AM14)</f>
        <v/>
      </c>
      <c r="E14" s="19">
        <f>IF(Deployments!I14="","",Deployments!I14)</f>
        <v/>
      </c>
      <c r="F14" s="19">
        <f>IF(Deployments!J14="","",Deployments!J14)</f>
        <v/>
      </c>
      <c r="G14" s="19">
        <f>IF(Deployments!K14="","",Deployments!K14)</f>
        <v/>
      </c>
      <c r="H14" s="19">
        <f>IF(Deployments!A14="","",Deployments!A14)</f>
        <v/>
      </c>
      <c r="I14" s="19">
        <f>IF(Deployments!AN14="","",Deployments!AN14)</f>
        <v/>
      </c>
      <c r="J14" s="19">
        <f>IF(Deployments!AO14="","",Deployments!AO14)</f>
        <v/>
      </c>
      <c r="K14" s="19">
        <f>IF(Deployments!AI14="","",Deployments!AI14)</f>
        <v/>
      </c>
      <c r="L14" s="19">
        <f>IF(Deployments!M14="","",Deployments!M14)</f>
        <v/>
      </c>
      <c r="M14" s="20" t="n"/>
      <c r="N14" s="19">
        <f>IF(Deployments!N14="","",Deployments!N14)</f>
        <v/>
      </c>
      <c r="O14" s="19">
        <f>IF(Deployments!O14="","",Deployments!O14)</f>
        <v/>
      </c>
      <c r="P14" s="19">
        <f>IF(Deployments!P14="","",Deployments!P14)</f>
        <v/>
      </c>
      <c r="Q14" s="20" t="n"/>
      <c r="R14" s="19">
        <f>IF(Deployments!BT14="","",Deployments!BT14)</f>
        <v/>
      </c>
      <c r="S14" s="19">
        <f>IF(Deployments!BS14="","",Deployments!BS14)</f>
        <v/>
      </c>
      <c r="T14" s="19">
        <f>IF(Deployments!BB14="","",Deployments!BB14)</f>
        <v/>
      </c>
      <c r="U14" s="19">
        <f>IF(Deployments!BR14="","",Deployments!BR14)</f>
        <v/>
      </c>
      <c r="V14" s="19">
        <f>IF(Deployments!BX14="","",Deployments!BX14)</f>
        <v/>
      </c>
      <c r="W14" s="19">
        <f>IF(Deployments!BY14="","",Deployments!BY14)</f>
        <v/>
      </c>
      <c r="X14" s="19">
        <f>IF(Deployments!CC14="","",Deployments!CC14)</f>
        <v/>
      </c>
      <c r="Y14" s="19">
        <f>IF(Deployments!BW14="","",Deployments!BW14)</f>
        <v/>
      </c>
      <c r="Z14" s="19">
        <f>IF(Deployments!U14="","",Deployments!U14)</f>
        <v/>
      </c>
      <c r="AA14" s="19">
        <f>IF(Deployments!L14="","",Deployments!L14)</f>
        <v/>
      </c>
    </row>
    <row r="15" ht="45.75" customHeight="1" s="91">
      <c r="A15" s="20" t="n"/>
      <c r="B15" s="20" t="n"/>
      <c r="C15" s="19">
        <f>IF(Deployments!H15="","",Deployments!H15)</f>
        <v/>
      </c>
      <c r="D15" s="19">
        <f>IF(Deployments!AM15="","",Deployments!AM15)</f>
        <v/>
      </c>
      <c r="E15" s="19">
        <f>IF(Deployments!I15="","",Deployments!I15)</f>
        <v/>
      </c>
      <c r="F15" s="19">
        <f>IF(Deployments!J15="","",Deployments!J15)</f>
        <v/>
      </c>
      <c r="G15" s="19">
        <f>IF(Deployments!K15="","",Deployments!K15)</f>
        <v/>
      </c>
      <c r="H15" s="19">
        <f>IF(Deployments!A15="","",Deployments!A15)</f>
        <v/>
      </c>
      <c r="I15" s="19">
        <f>IF(Deployments!AN15="","",Deployments!AN15)</f>
        <v/>
      </c>
      <c r="J15" s="19">
        <f>IF(Deployments!AO15="","",Deployments!AO15)</f>
        <v/>
      </c>
      <c r="K15" s="19">
        <f>IF(Deployments!AI15="","",Deployments!AI15)</f>
        <v/>
      </c>
      <c r="L15" s="19">
        <f>IF(Deployments!M15="","",Deployments!M15)</f>
        <v/>
      </c>
      <c r="M15" s="20" t="n"/>
      <c r="N15" s="19">
        <f>IF(Deployments!N15="","",Deployments!N15)</f>
        <v/>
      </c>
      <c r="O15" s="19">
        <f>IF(Deployments!O15="","",Deployments!O15)</f>
        <v/>
      </c>
      <c r="P15" s="19">
        <f>IF(Deployments!P15="","",Deployments!P15)</f>
        <v/>
      </c>
      <c r="Q15" s="20" t="n"/>
      <c r="R15" s="19">
        <f>IF(Deployments!BT15="","",Deployments!BT15)</f>
        <v/>
      </c>
      <c r="S15" s="19">
        <f>IF(Deployments!BS15="","",Deployments!BS15)</f>
        <v/>
      </c>
      <c r="T15" s="19">
        <f>IF(Deployments!BB15="","",Deployments!BB15)</f>
        <v/>
      </c>
      <c r="U15" s="19">
        <f>IF(Deployments!BR15="","",Deployments!BR15)</f>
        <v/>
      </c>
      <c r="V15" s="19">
        <f>IF(Deployments!BX15="","",Deployments!BX15)</f>
        <v/>
      </c>
      <c r="W15" s="19">
        <f>IF(Deployments!BY15="","",Deployments!BY15)</f>
        <v/>
      </c>
      <c r="X15" s="19">
        <f>IF(Deployments!CC15="","",Deployments!CC15)</f>
        <v/>
      </c>
      <c r="Y15" s="19">
        <f>IF(Deployments!BW15="","",Deployments!BW15)</f>
        <v/>
      </c>
      <c r="Z15" s="19">
        <f>IF(Deployments!U15="","",Deployments!U15)</f>
        <v/>
      </c>
      <c r="AA15" s="19">
        <f>IF(Deployments!L15="","",Deployments!L15)</f>
        <v/>
      </c>
    </row>
    <row r="16" ht="45.75" customHeight="1" s="91">
      <c r="A16" s="20" t="n"/>
      <c r="B16" s="20" t="n"/>
      <c r="C16" s="19">
        <f>IF(Deployments!H16="","",Deployments!H16)</f>
        <v/>
      </c>
      <c r="D16" s="19">
        <f>IF(Deployments!AM16="","",Deployments!AM16)</f>
        <v/>
      </c>
      <c r="E16" s="19">
        <f>IF(Deployments!I16="","",Deployments!I16)</f>
        <v/>
      </c>
      <c r="F16" s="19">
        <f>IF(Deployments!J16="","",Deployments!J16)</f>
        <v/>
      </c>
      <c r="G16" s="19">
        <f>IF(Deployments!K16="","",Deployments!K16)</f>
        <v/>
      </c>
      <c r="H16" s="19">
        <f>IF(Deployments!A16="","",Deployments!A16)</f>
        <v/>
      </c>
      <c r="I16" s="19">
        <f>IF(Deployments!AN16="","",Deployments!AN16)</f>
        <v/>
      </c>
      <c r="J16" s="19">
        <f>IF(Deployments!AO16="","",Deployments!AO16)</f>
        <v/>
      </c>
      <c r="K16" s="19">
        <f>IF(Deployments!AI16="","",Deployments!AI16)</f>
        <v/>
      </c>
      <c r="L16" s="19">
        <f>IF(Deployments!M16="","",Deployments!M16)</f>
        <v/>
      </c>
      <c r="M16" s="20" t="n"/>
      <c r="N16" s="19">
        <f>IF(Deployments!N16="","",Deployments!N16)</f>
        <v/>
      </c>
      <c r="O16" s="19">
        <f>IF(Deployments!O16="","",Deployments!O16)</f>
        <v/>
      </c>
      <c r="P16" s="19">
        <f>IF(Deployments!P16="","",Deployments!P16)</f>
        <v/>
      </c>
      <c r="Q16" s="20" t="n"/>
      <c r="R16" s="19">
        <f>IF(Deployments!BT16="","",Deployments!BT16)</f>
        <v/>
      </c>
      <c r="S16" s="19">
        <f>IF(Deployments!BS16="","",Deployments!BS16)</f>
        <v/>
      </c>
      <c r="T16" s="19">
        <f>IF(Deployments!BB16="","",Deployments!BB16)</f>
        <v/>
      </c>
      <c r="U16" s="19">
        <f>IF(Deployments!BR16="","",Deployments!BR16)</f>
        <v/>
      </c>
      <c r="V16" s="19">
        <f>IF(Deployments!BX16="","",Deployments!BX16)</f>
        <v/>
      </c>
      <c r="W16" s="19">
        <f>IF(Deployments!BY16="","",Deployments!BY16)</f>
        <v/>
      </c>
      <c r="X16" s="19">
        <f>IF(Deployments!CC16="","",Deployments!CC16)</f>
        <v/>
      </c>
      <c r="Y16" s="19">
        <f>IF(Deployments!BW16="","",Deployments!BW16)</f>
        <v/>
      </c>
      <c r="Z16" s="19">
        <f>IF(Deployments!U16="","",Deployments!U16)</f>
        <v/>
      </c>
      <c r="AA16" s="19">
        <f>IF(Deployments!L16="","",Deployments!L16)</f>
        <v/>
      </c>
    </row>
    <row r="17" ht="45.75" customHeight="1" s="91">
      <c r="A17" s="20" t="n"/>
      <c r="B17" s="20" t="n"/>
      <c r="C17" s="19">
        <f>IF(Deployments!H17="","",Deployments!H17)</f>
        <v/>
      </c>
      <c r="D17" s="19">
        <f>IF(Deployments!AM17="","",Deployments!AM17)</f>
        <v/>
      </c>
      <c r="E17" s="19">
        <f>IF(Deployments!I17="","",Deployments!I17)</f>
        <v/>
      </c>
      <c r="F17" s="19">
        <f>IF(Deployments!J17="","",Deployments!J17)</f>
        <v/>
      </c>
      <c r="G17" s="19">
        <f>IF(Deployments!K17="","",Deployments!K17)</f>
        <v/>
      </c>
      <c r="H17" s="19">
        <f>IF(Deployments!A17="","",Deployments!A17)</f>
        <v/>
      </c>
      <c r="I17" s="19">
        <f>IF(Deployments!AN17="","",Deployments!AN17)</f>
        <v/>
      </c>
      <c r="J17" s="19">
        <f>IF(Deployments!AO17="","",Deployments!AO17)</f>
        <v/>
      </c>
      <c r="K17" s="19">
        <f>IF(Deployments!AI17="","",Deployments!AI17)</f>
        <v/>
      </c>
      <c r="L17" s="19">
        <f>IF(Deployments!M17="","",Deployments!M17)</f>
        <v/>
      </c>
      <c r="M17" s="20" t="n"/>
      <c r="N17" s="19">
        <f>IF(Deployments!N17="","",Deployments!N17)</f>
        <v/>
      </c>
      <c r="O17" s="19">
        <f>IF(Deployments!O17="","",Deployments!O17)</f>
        <v/>
      </c>
      <c r="P17" s="19">
        <f>IF(Deployments!P17="","",Deployments!P17)</f>
        <v/>
      </c>
      <c r="Q17" s="20" t="n"/>
      <c r="R17" s="19">
        <f>IF(Deployments!BT17="","",Deployments!BT17)</f>
        <v/>
      </c>
      <c r="S17" s="19">
        <f>IF(Deployments!BS17="","",Deployments!BS17)</f>
        <v/>
      </c>
      <c r="T17" s="19">
        <f>IF(Deployments!BB17="","",Deployments!BB17)</f>
        <v/>
      </c>
      <c r="U17" s="19">
        <f>IF(Deployments!BR17="","",Deployments!BR17)</f>
        <v/>
      </c>
      <c r="V17" s="19">
        <f>IF(Deployments!BX17="","",Deployments!BX17)</f>
        <v/>
      </c>
      <c r="W17" s="19">
        <f>IF(Deployments!BY17="","",Deployments!BY17)</f>
        <v/>
      </c>
      <c r="X17" s="19">
        <f>IF(Deployments!CC17="","",Deployments!CC17)</f>
        <v/>
      </c>
      <c r="Y17" s="19">
        <f>IF(Deployments!BW17="","",Deployments!BW17)</f>
        <v/>
      </c>
      <c r="Z17" s="19">
        <f>IF(Deployments!U17="","",Deployments!U17)</f>
        <v/>
      </c>
      <c r="AA17" s="19">
        <f>IF(Deployments!L17="","",Deployments!L17)</f>
        <v/>
      </c>
    </row>
    <row r="18" ht="45.75" customHeight="1" s="91">
      <c r="A18" s="20" t="n"/>
      <c r="B18" s="20" t="n"/>
      <c r="C18" s="19">
        <f>IF(Deployments!H18="","",Deployments!H18)</f>
        <v/>
      </c>
      <c r="D18" s="19">
        <f>IF(Deployments!AM18="","",Deployments!AM18)</f>
        <v/>
      </c>
      <c r="E18" s="19">
        <f>IF(Deployments!I18="","",Deployments!I18)</f>
        <v/>
      </c>
      <c r="F18" s="19">
        <f>IF(Deployments!J18="","",Deployments!J18)</f>
        <v/>
      </c>
      <c r="G18" s="19">
        <f>IF(Deployments!K18="","",Deployments!K18)</f>
        <v/>
      </c>
      <c r="H18" s="19">
        <f>IF(Deployments!A18="","",Deployments!A18)</f>
        <v/>
      </c>
      <c r="I18" s="19">
        <f>IF(Deployments!AN18="","",Deployments!AN18)</f>
        <v/>
      </c>
      <c r="J18" s="19">
        <f>IF(Deployments!AO18="","",Deployments!AO18)</f>
        <v/>
      </c>
      <c r="K18" s="19">
        <f>IF(Deployments!AI18="","",Deployments!AI18)</f>
        <v/>
      </c>
      <c r="L18" s="19">
        <f>IF(Deployments!M18="","",Deployments!M18)</f>
        <v/>
      </c>
      <c r="M18" s="20" t="n"/>
      <c r="N18" s="19">
        <f>IF(Deployments!N18="","",Deployments!N18)</f>
        <v/>
      </c>
      <c r="O18" s="19">
        <f>IF(Deployments!O18="","",Deployments!O18)</f>
        <v/>
      </c>
      <c r="P18" s="19">
        <f>IF(Deployments!P18="","",Deployments!P18)</f>
        <v/>
      </c>
      <c r="Q18" s="20" t="n"/>
      <c r="R18" s="19">
        <f>IF(Deployments!BT18="","",Deployments!BT18)</f>
        <v/>
      </c>
      <c r="S18" s="19">
        <f>IF(Deployments!BS18="","",Deployments!BS18)</f>
        <v/>
      </c>
      <c r="T18" s="19">
        <f>IF(Deployments!BB18="","",Deployments!BB18)</f>
        <v/>
      </c>
      <c r="U18" s="19">
        <f>IF(Deployments!BR18="","",Deployments!BR18)</f>
        <v/>
      </c>
      <c r="V18" s="19">
        <f>IF(Deployments!BX18="","",Deployments!BX18)</f>
        <v/>
      </c>
      <c r="W18" s="19">
        <f>IF(Deployments!BY18="","",Deployments!BY18)</f>
        <v/>
      </c>
      <c r="X18" s="19">
        <f>IF(Deployments!CC18="","",Deployments!CC18)</f>
        <v/>
      </c>
      <c r="Y18" s="19">
        <f>IF(Deployments!BW18="","",Deployments!BW18)</f>
        <v/>
      </c>
      <c r="Z18" s="19">
        <f>IF(Deployments!U18="","",Deployments!U18)</f>
        <v/>
      </c>
      <c r="AA18" s="19">
        <f>IF(Deployments!L18="","",Deployments!L18)</f>
        <v/>
      </c>
    </row>
    <row r="19" ht="45.75" customHeight="1" s="91">
      <c r="A19" s="20" t="n"/>
      <c r="B19" s="20" t="n"/>
      <c r="C19" s="19">
        <f>IF(Deployments!H19="","",Deployments!H19)</f>
        <v/>
      </c>
      <c r="D19" s="19">
        <f>IF(Deployments!AM19="","",Deployments!AM19)</f>
        <v/>
      </c>
      <c r="E19" s="19">
        <f>IF(Deployments!I19="","",Deployments!I19)</f>
        <v/>
      </c>
      <c r="F19" s="19">
        <f>IF(Deployments!J19="","",Deployments!J19)</f>
        <v/>
      </c>
      <c r="G19" s="19">
        <f>IF(Deployments!K19="","",Deployments!K19)</f>
        <v/>
      </c>
      <c r="H19" s="19">
        <f>IF(Deployments!A19="","",Deployments!A19)</f>
        <v/>
      </c>
      <c r="I19" s="19">
        <f>IF(Deployments!AN19="","",Deployments!AN19)</f>
        <v/>
      </c>
      <c r="J19" s="19">
        <f>IF(Deployments!AO19="","",Deployments!AO19)</f>
        <v/>
      </c>
      <c r="K19" s="19">
        <f>IF(Deployments!AI19="","",Deployments!AI19)</f>
        <v/>
      </c>
      <c r="L19" s="19">
        <f>IF(Deployments!M19="","",Deployments!M19)</f>
        <v/>
      </c>
      <c r="M19" s="20" t="n"/>
      <c r="N19" s="19">
        <f>IF(Deployments!N19="","",Deployments!N19)</f>
        <v/>
      </c>
      <c r="O19" s="19">
        <f>IF(Deployments!O19="","",Deployments!O19)</f>
        <v/>
      </c>
      <c r="P19" s="19">
        <f>IF(Deployments!P19="","",Deployments!P19)</f>
        <v/>
      </c>
      <c r="Q19" s="20" t="n"/>
      <c r="R19" s="19">
        <f>IF(Deployments!BT19="","",Deployments!BT19)</f>
        <v/>
      </c>
      <c r="S19" s="19">
        <f>IF(Deployments!BS19="","",Deployments!BS19)</f>
        <v/>
      </c>
      <c r="T19" s="19">
        <f>IF(Deployments!BB19="","",Deployments!BB19)</f>
        <v/>
      </c>
      <c r="U19" s="19">
        <f>IF(Deployments!BR19="","",Deployments!BR19)</f>
        <v/>
      </c>
      <c r="V19" s="19">
        <f>IF(Deployments!BX19="","",Deployments!BX19)</f>
        <v/>
      </c>
      <c r="W19" s="19">
        <f>IF(Deployments!BY19="","",Deployments!BY19)</f>
        <v/>
      </c>
      <c r="X19" s="19">
        <f>IF(Deployments!CC19="","",Deployments!CC19)</f>
        <v/>
      </c>
      <c r="Y19" s="19">
        <f>IF(Deployments!BW19="","",Deployments!BW19)</f>
        <v/>
      </c>
      <c r="Z19" s="19">
        <f>IF(Deployments!U19="","",Deployments!U19)</f>
        <v/>
      </c>
      <c r="AA19" s="19">
        <f>IF(Deployments!L19="","",Deployments!L19)</f>
        <v/>
      </c>
    </row>
    <row r="20" ht="45.75" customHeight="1" s="91">
      <c r="A20" s="20" t="n"/>
      <c r="B20" s="20" t="n"/>
      <c r="C20" s="19">
        <f>IF(Deployments!H20="","",Deployments!H20)</f>
        <v/>
      </c>
      <c r="D20" s="19">
        <f>IF(Deployments!AM20="","",Deployments!AM20)</f>
        <v/>
      </c>
      <c r="E20" s="19">
        <f>IF(Deployments!I20="","",Deployments!I20)</f>
        <v/>
      </c>
      <c r="F20" s="19">
        <f>IF(Deployments!J20="","",Deployments!J20)</f>
        <v/>
      </c>
      <c r="G20" s="19">
        <f>IF(Deployments!K20="","",Deployments!K20)</f>
        <v/>
      </c>
      <c r="H20" s="19">
        <f>IF(Deployments!A20="","",Deployments!A20)</f>
        <v/>
      </c>
      <c r="I20" s="19">
        <f>IF(Deployments!AN20="","",Deployments!AN20)</f>
        <v/>
      </c>
      <c r="J20" s="19">
        <f>IF(Deployments!AO20="","",Deployments!AO20)</f>
        <v/>
      </c>
      <c r="K20" s="19">
        <f>IF(Deployments!AI20="","",Deployments!AI20)</f>
        <v/>
      </c>
      <c r="L20" s="19">
        <f>IF(Deployments!M20="","",Deployments!M20)</f>
        <v/>
      </c>
      <c r="M20" s="20" t="n"/>
      <c r="N20" s="19">
        <f>IF(Deployments!N20="","",Deployments!N20)</f>
        <v/>
      </c>
      <c r="O20" s="19">
        <f>IF(Deployments!O20="","",Deployments!O20)</f>
        <v/>
      </c>
      <c r="P20" s="19">
        <f>IF(Deployments!P20="","",Deployments!P20)</f>
        <v/>
      </c>
      <c r="Q20" s="20" t="n"/>
      <c r="R20" s="19">
        <f>IF(Deployments!BT20="","",Deployments!BT20)</f>
        <v/>
      </c>
      <c r="S20" s="19">
        <f>IF(Deployments!BS20="","",Deployments!BS20)</f>
        <v/>
      </c>
      <c r="T20" s="19">
        <f>IF(Deployments!BB20="","",Deployments!BB20)</f>
        <v/>
      </c>
      <c r="U20" s="19">
        <f>IF(Deployments!BR20="","",Deployments!BR20)</f>
        <v/>
      </c>
      <c r="V20" s="19">
        <f>IF(Deployments!BX20="","",Deployments!BX20)</f>
        <v/>
      </c>
      <c r="W20" s="19">
        <f>IF(Deployments!BY20="","",Deployments!BY20)</f>
        <v/>
      </c>
      <c r="X20" s="19">
        <f>IF(Deployments!CC20="","",Deployments!CC20)</f>
        <v/>
      </c>
      <c r="Y20" s="19">
        <f>IF(Deployments!BW20="","",Deployments!BW20)</f>
        <v/>
      </c>
      <c r="Z20" s="19">
        <f>IF(Deployments!U20="","",Deployments!U20)</f>
        <v/>
      </c>
      <c r="AA20" s="19">
        <f>IF(Deployments!L20="","",Deployments!L20)</f>
        <v/>
      </c>
    </row>
    <row r="21" ht="45.75" customHeight="1" s="91">
      <c r="A21" s="20" t="n"/>
      <c r="B21" s="20" t="n"/>
      <c r="C21" s="19">
        <f>IF(Deployments!H21="","",Deployments!H21)</f>
        <v/>
      </c>
      <c r="D21" s="19">
        <f>IF(Deployments!AM21="","",Deployments!AM21)</f>
        <v/>
      </c>
      <c r="E21" s="19">
        <f>IF(Deployments!I21="","",Deployments!I21)</f>
        <v/>
      </c>
      <c r="F21" s="19">
        <f>IF(Deployments!J21="","",Deployments!J21)</f>
        <v/>
      </c>
      <c r="G21" s="19">
        <f>IF(Deployments!K21="","",Deployments!K21)</f>
        <v/>
      </c>
      <c r="H21" s="19">
        <f>IF(Deployments!A21="","",Deployments!A21)</f>
        <v/>
      </c>
      <c r="I21" s="19">
        <f>IF(Deployments!AN21="","",Deployments!AN21)</f>
        <v/>
      </c>
      <c r="J21" s="19">
        <f>IF(Deployments!AO21="","",Deployments!AO21)</f>
        <v/>
      </c>
      <c r="K21" s="19">
        <f>IF(Deployments!AI21="","",Deployments!AI21)</f>
        <v/>
      </c>
      <c r="L21" s="19">
        <f>IF(Deployments!M21="","",Deployments!M21)</f>
        <v/>
      </c>
      <c r="M21" s="20" t="n"/>
      <c r="N21" s="19">
        <f>IF(Deployments!N21="","",Deployments!N21)</f>
        <v/>
      </c>
      <c r="O21" s="19">
        <f>IF(Deployments!O21="","",Deployments!O21)</f>
        <v/>
      </c>
      <c r="P21" s="19">
        <f>IF(Deployments!P21="","",Deployments!P21)</f>
        <v/>
      </c>
      <c r="Q21" s="20" t="n"/>
      <c r="R21" s="19">
        <f>IF(Deployments!BT21="","",Deployments!BT21)</f>
        <v/>
      </c>
      <c r="S21" s="19">
        <f>IF(Deployments!BS21="","",Deployments!BS21)</f>
        <v/>
      </c>
      <c r="T21" s="19">
        <f>IF(Deployments!BB21="","",Deployments!BB21)</f>
        <v/>
      </c>
      <c r="U21" s="19">
        <f>IF(Deployments!BR21="","",Deployments!BR21)</f>
        <v/>
      </c>
      <c r="V21" s="19">
        <f>IF(Deployments!BX21="","",Deployments!BX21)</f>
        <v/>
      </c>
      <c r="W21" s="19">
        <f>IF(Deployments!BY21="","",Deployments!BY21)</f>
        <v/>
      </c>
      <c r="X21" s="19">
        <f>IF(Deployments!CC21="","",Deployments!CC21)</f>
        <v/>
      </c>
      <c r="Y21" s="19">
        <f>IF(Deployments!BW21="","",Deployments!BW21)</f>
        <v/>
      </c>
      <c r="Z21" s="19">
        <f>IF(Deployments!U21="","",Deployments!U21)</f>
        <v/>
      </c>
      <c r="AA21" s="19">
        <f>IF(Deployments!L21="","",Deployments!L21)</f>
        <v/>
      </c>
    </row>
    <row r="22" ht="45.75" customHeight="1" s="91">
      <c r="A22" s="20" t="n"/>
      <c r="B22" s="20" t="n"/>
      <c r="C22" s="19">
        <f>IF(Deployments!H22="","",Deployments!H22)</f>
        <v/>
      </c>
      <c r="D22" s="19">
        <f>IF(Deployments!AM22="","",Deployments!AM22)</f>
        <v/>
      </c>
      <c r="E22" s="19">
        <f>IF(Deployments!I22="","",Deployments!I22)</f>
        <v/>
      </c>
      <c r="F22" s="19">
        <f>IF(Deployments!J22="","",Deployments!J22)</f>
        <v/>
      </c>
      <c r="G22" s="19">
        <f>IF(Deployments!K22="","",Deployments!K22)</f>
        <v/>
      </c>
      <c r="H22" s="19">
        <f>IF(Deployments!A22="","",Deployments!A22)</f>
        <v/>
      </c>
      <c r="I22" s="19">
        <f>IF(Deployments!AN22="","",Deployments!AN22)</f>
        <v/>
      </c>
      <c r="J22" s="19">
        <f>IF(Deployments!AO22="","",Deployments!AO22)</f>
        <v/>
      </c>
      <c r="K22" s="19">
        <f>IF(Deployments!AI22="","",Deployments!AI22)</f>
        <v/>
      </c>
      <c r="L22" s="19">
        <f>IF(Deployments!M22="","",Deployments!M22)</f>
        <v/>
      </c>
      <c r="M22" s="20" t="n"/>
      <c r="N22" s="19">
        <f>IF(Deployments!N22="","",Deployments!N22)</f>
        <v/>
      </c>
      <c r="O22" s="19">
        <f>IF(Deployments!O22="","",Deployments!O22)</f>
        <v/>
      </c>
      <c r="P22" s="19">
        <f>IF(Deployments!P22="","",Deployments!P22)</f>
        <v/>
      </c>
      <c r="Q22" s="20" t="n"/>
      <c r="R22" s="19">
        <f>IF(Deployments!BT22="","",Deployments!BT22)</f>
        <v/>
      </c>
      <c r="S22" s="19">
        <f>IF(Deployments!BS22="","",Deployments!BS22)</f>
        <v/>
      </c>
      <c r="T22" s="19">
        <f>IF(Deployments!BB22="","",Deployments!BB22)</f>
        <v/>
      </c>
      <c r="U22" s="19">
        <f>IF(Deployments!BR22="","",Deployments!BR22)</f>
        <v/>
      </c>
      <c r="V22" s="19">
        <f>IF(Deployments!BX22="","",Deployments!BX22)</f>
        <v/>
      </c>
      <c r="W22" s="19">
        <f>IF(Deployments!BY22="","",Deployments!BY22)</f>
        <v/>
      </c>
      <c r="X22" s="19">
        <f>IF(Deployments!CC22="","",Deployments!CC22)</f>
        <v/>
      </c>
      <c r="Y22" s="19">
        <f>IF(Deployments!BW22="","",Deployments!BW22)</f>
        <v/>
      </c>
      <c r="Z22" s="19">
        <f>IF(Deployments!U22="","",Deployments!U22)</f>
        <v/>
      </c>
      <c r="AA22" s="19">
        <f>IF(Deployments!L22="","",Deployments!L22)</f>
        <v/>
      </c>
    </row>
    <row r="23" ht="45.75" customHeight="1" s="91">
      <c r="A23" s="20" t="n"/>
      <c r="B23" s="20" t="n"/>
      <c r="C23" s="19">
        <f>IF(Deployments!H23="","",Deployments!H23)</f>
        <v/>
      </c>
      <c r="D23" s="19">
        <f>IF(Deployments!AM23="","",Deployments!AM23)</f>
        <v/>
      </c>
      <c r="E23" s="19">
        <f>IF(Deployments!I23="","",Deployments!I23)</f>
        <v/>
      </c>
      <c r="F23" s="19">
        <f>IF(Deployments!J23="","",Deployments!J23)</f>
        <v/>
      </c>
      <c r="G23" s="19">
        <f>IF(Deployments!K23="","",Deployments!K23)</f>
        <v/>
      </c>
      <c r="H23" s="19">
        <f>IF(Deployments!A23="","",Deployments!A23)</f>
        <v/>
      </c>
      <c r="I23" s="19">
        <f>IF(Deployments!AN23="","",Deployments!AN23)</f>
        <v/>
      </c>
      <c r="J23" s="19">
        <f>IF(Deployments!AO23="","",Deployments!AO23)</f>
        <v/>
      </c>
      <c r="K23" s="19">
        <f>IF(Deployments!AI23="","",Deployments!AI23)</f>
        <v/>
      </c>
      <c r="L23" s="19">
        <f>IF(Deployments!M23="","",Deployments!M23)</f>
        <v/>
      </c>
      <c r="M23" s="20" t="n"/>
      <c r="N23" s="19">
        <f>IF(Deployments!N23="","",Deployments!N23)</f>
        <v/>
      </c>
      <c r="O23" s="19">
        <f>IF(Deployments!O23="","",Deployments!O23)</f>
        <v/>
      </c>
      <c r="P23" s="19">
        <f>IF(Deployments!P23="","",Deployments!P23)</f>
        <v/>
      </c>
      <c r="Q23" s="20" t="n"/>
      <c r="R23" s="19">
        <f>IF(Deployments!BT23="","",Deployments!BT23)</f>
        <v/>
      </c>
      <c r="S23" s="19">
        <f>IF(Deployments!BS23="","",Deployments!BS23)</f>
        <v/>
      </c>
      <c r="T23" s="19">
        <f>IF(Deployments!BB23="","",Deployments!BB23)</f>
        <v/>
      </c>
      <c r="U23" s="19">
        <f>IF(Deployments!BR23="","",Deployments!BR23)</f>
        <v/>
      </c>
      <c r="V23" s="19">
        <f>IF(Deployments!BX23="","",Deployments!BX23)</f>
        <v/>
      </c>
      <c r="W23" s="19">
        <f>IF(Deployments!BY23="","",Deployments!BY23)</f>
        <v/>
      </c>
      <c r="X23" s="19">
        <f>IF(Deployments!CC23="","",Deployments!CC23)</f>
        <v/>
      </c>
      <c r="Y23" s="19">
        <f>IF(Deployments!BW23="","",Deployments!BW23)</f>
        <v/>
      </c>
      <c r="Z23" s="19">
        <f>IF(Deployments!U23="","",Deployments!U23)</f>
        <v/>
      </c>
      <c r="AA23" s="19">
        <f>IF(Deployments!L23="","",Deployments!L23)</f>
        <v/>
      </c>
    </row>
    <row r="24" ht="45.75" customHeight="1" s="91">
      <c r="A24" s="20" t="n"/>
      <c r="B24" s="20" t="n"/>
      <c r="C24" s="19">
        <f>IF(Deployments!H24="","",Deployments!H24)</f>
        <v/>
      </c>
      <c r="D24" s="19">
        <f>IF(Deployments!AM24="","",Deployments!AM24)</f>
        <v/>
      </c>
      <c r="E24" s="19">
        <f>IF(Deployments!I24="","",Deployments!I24)</f>
        <v/>
      </c>
      <c r="F24" s="19">
        <f>IF(Deployments!J24="","",Deployments!J24)</f>
        <v/>
      </c>
      <c r="G24" s="19">
        <f>IF(Deployments!K24="","",Deployments!K24)</f>
        <v/>
      </c>
      <c r="H24" s="19">
        <f>IF(Deployments!A24="","",Deployments!A24)</f>
        <v/>
      </c>
      <c r="I24" s="19">
        <f>IF(Deployments!AN24="","",Deployments!AN24)</f>
        <v/>
      </c>
      <c r="J24" s="19">
        <f>IF(Deployments!AO24="","",Deployments!AO24)</f>
        <v/>
      </c>
      <c r="K24" s="19">
        <f>IF(Deployments!AI24="","",Deployments!AI24)</f>
        <v/>
      </c>
      <c r="L24" s="19">
        <f>IF(Deployments!M24="","",Deployments!M24)</f>
        <v/>
      </c>
      <c r="M24" s="20" t="n"/>
      <c r="N24" s="19">
        <f>IF(Deployments!N24="","",Deployments!N24)</f>
        <v/>
      </c>
      <c r="O24" s="19">
        <f>IF(Deployments!O24="","",Deployments!O24)</f>
        <v/>
      </c>
      <c r="P24" s="19">
        <f>IF(Deployments!P24="","",Deployments!P24)</f>
        <v/>
      </c>
      <c r="Q24" s="20" t="n"/>
      <c r="R24" s="19">
        <f>IF(Deployments!BT24="","",Deployments!BT24)</f>
        <v/>
      </c>
      <c r="S24" s="19">
        <f>IF(Deployments!BS24="","",Deployments!BS24)</f>
        <v/>
      </c>
      <c r="T24" s="19">
        <f>IF(Deployments!BB24="","",Deployments!BB24)</f>
        <v/>
      </c>
      <c r="U24" s="19">
        <f>IF(Deployments!BR24="","",Deployments!BR24)</f>
        <v/>
      </c>
      <c r="V24" s="19">
        <f>IF(Deployments!BX24="","",Deployments!BX24)</f>
        <v/>
      </c>
      <c r="W24" s="19">
        <f>IF(Deployments!BY24="","",Deployments!BY24)</f>
        <v/>
      </c>
      <c r="X24" s="19">
        <f>IF(Deployments!CC24="","",Deployments!CC24)</f>
        <v/>
      </c>
      <c r="Y24" s="19">
        <f>IF(Deployments!BW24="","",Deployments!BW24)</f>
        <v/>
      </c>
      <c r="Z24" s="19">
        <f>IF(Deployments!U24="","",Deployments!U24)</f>
        <v/>
      </c>
      <c r="AA24" s="19">
        <f>IF(Deployments!L24="","",Deployments!L24)</f>
        <v/>
      </c>
    </row>
    <row r="25" ht="45.75" customHeight="1" s="91">
      <c r="A25" s="20" t="n"/>
      <c r="B25" s="20" t="n"/>
      <c r="C25" s="19">
        <f>IF(Deployments!#REF!="","",Deployments!#REF!)</f>
        <v/>
      </c>
      <c r="D25" s="19">
        <f>IF(Deployments!#REF!="","",Deployments!#REF!)</f>
        <v/>
      </c>
      <c r="E25" s="19">
        <f>IF(Deployments!#REF!="","",Deployments!#REF!)</f>
        <v/>
      </c>
      <c r="F25" s="19">
        <f>IF(Deployments!#REF!="","",Deployments!#REF!)</f>
        <v/>
      </c>
      <c r="G25" s="19">
        <f>IF(Deployments!#REF!="","",Deployments!#REF!)</f>
        <v/>
      </c>
      <c r="H25" s="19">
        <f>IF(Deployments!#REF!="","",Deployments!#REF!)</f>
        <v/>
      </c>
      <c r="I25" s="19">
        <f>IF(Deployments!#REF!="","",Deployments!#REF!)</f>
        <v/>
      </c>
      <c r="J25" s="19">
        <f>IF(Deployments!#REF!="","",Deployments!#REF!)</f>
        <v/>
      </c>
      <c r="K25" s="19">
        <f>IF(Deployments!#REF!="","",Deployments!#REF!)</f>
        <v/>
      </c>
      <c r="L25" s="19">
        <f>IF(Deployments!#REF!="","",Deployments!#REF!)</f>
        <v/>
      </c>
      <c r="M25" s="20" t="n"/>
      <c r="N25" s="19">
        <f>IF(Deployments!#REF!="","",Deployments!#REF!)</f>
        <v/>
      </c>
      <c r="O25" s="19">
        <f>IF(Deployments!#REF!="","",Deployments!#REF!)</f>
        <v/>
      </c>
      <c r="P25" s="19">
        <f>IF(Deployments!#REF!="","",Deployments!#REF!)</f>
        <v/>
      </c>
      <c r="Q25" s="20" t="n"/>
      <c r="R25" s="19">
        <f>IF(Deployments!#REF!="","",Deployments!#REF!)</f>
        <v/>
      </c>
      <c r="S25" s="19">
        <f>IF(Deployments!#REF!="","",Deployments!#REF!)</f>
        <v/>
      </c>
      <c r="T25" s="19">
        <f>IF(Deployments!#REF!="","",Deployments!#REF!)</f>
        <v/>
      </c>
      <c r="U25" s="19">
        <f>IF(Deployments!#REF!="","",Deployments!#REF!)</f>
        <v/>
      </c>
      <c r="V25" s="19">
        <f>IF(Deployments!#REF!="","",Deployments!#REF!)</f>
        <v/>
      </c>
      <c r="W25" s="19">
        <f>IF(Deployments!#REF!="","",Deployments!#REF!)</f>
        <v/>
      </c>
      <c r="X25" s="19">
        <f>IF(Deployments!#REF!="","",Deployments!#REF!)</f>
        <v/>
      </c>
      <c r="Y25" s="19">
        <f>IF(Deployments!#REF!="","",Deployments!#REF!)</f>
        <v/>
      </c>
      <c r="Z25" s="19">
        <f>IF(Deployments!#REF!="","",Deployments!#REF!)</f>
        <v/>
      </c>
      <c r="AA25" s="19">
        <f>IF(Deployments!#REF!="","",Deployments!#REF!)</f>
        <v/>
      </c>
    </row>
    <row r="26" ht="45.75" customHeight="1" s="91">
      <c r="A26" s="20" t="n"/>
      <c r="B26" s="20" t="n"/>
      <c r="C26" s="19">
        <f>IF(Deployments!#REF!="","",Deployments!#REF!)</f>
        <v/>
      </c>
      <c r="D26" s="19">
        <f>IF(Deployments!#REF!="","",Deployments!#REF!)</f>
        <v/>
      </c>
      <c r="E26" s="19">
        <f>IF(Deployments!#REF!="","",Deployments!#REF!)</f>
        <v/>
      </c>
      <c r="F26" s="19">
        <f>IF(Deployments!#REF!="","",Deployments!#REF!)</f>
        <v/>
      </c>
      <c r="G26" s="19">
        <f>IF(Deployments!#REF!="","",Deployments!#REF!)</f>
        <v/>
      </c>
      <c r="H26" s="19">
        <f>IF(Deployments!#REF!="","",Deployments!#REF!)</f>
        <v/>
      </c>
      <c r="I26" s="19">
        <f>IF(Deployments!#REF!="","",Deployments!#REF!)</f>
        <v/>
      </c>
      <c r="J26" s="19">
        <f>IF(Deployments!#REF!="","",Deployments!#REF!)</f>
        <v/>
      </c>
      <c r="K26" s="19">
        <f>IF(Deployments!#REF!="","",Deployments!#REF!)</f>
        <v/>
      </c>
      <c r="L26" s="19">
        <f>IF(Deployments!#REF!="","",Deployments!#REF!)</f>
        <v/>
      </c>
      <c r="M26" s="20" t="n"/>
      <c r="N26" s="19">
        <f>IF(Deployments!#REF!="","",Deployments!#REF!)</f>
        <v/>
      </c>
      <c r="O26" s="19">
        <f>IF(Deployments!#REF!="","",Deployments!#REF!)</f>
        <v/>
      </c>
      <c r="P26" s="19">
        <f>IF(Deployments!#REF!="","",Deployments!#REF!)</f>
        <v/>
      </c>
      <c r="Q26" s="20" t="n"/>
      <c r="R26" s="19">
        <f>IF(Deployments!#REF!="","",Deployments!#REF!)</f>
        <v/>
      </c>
      <c r="S26" s="19">
        <f>IF(Deployments!#REF!="","",Deployments!#REF!)</f>
        <v/>
      </c>
      <c r="T26" s="19">
        <f>IF(Deployments!#REF!="","",Deployments!#REF!)</f>
        <v/>
      </c>
      <c r="U26" s="19">
        <f>IF(Deployments!#REF!="","",Deployments!#REF!)</f>
        <v/>
      </c>
      <c r="V26" s="19">
        <f>IF(Deployments!#REF!="","",Deployments!#REF!)</f>
        <v/>
      </c>
      <c r="W26" s="19">
        <f>IF(Deployments!#REF!="","",Deployments!#REF!)</f>
        <v/>
      </c>
      <c r="X26" s="19">
        <f>IF(Deployments!#REF!="","",Deployments!#REF!)</f>
        <v/>
      </c>
      <c r="Y26" s="19">
        <f>IF(Deployments!#REF!="","",Deployments!#REF!)</f>
        <v/>
      </c>
      <c r="Z26" s="19">
        <f>IF(Deployments!#REF!="","",Deployments!#REF!)</f>
        <v/>
      </c>
      <c r="AA26" s="19">
        <f>IF(Deployments!#REF!="","",Deployments!#REF!)</f>
        <v/>
      </c>
    </row>
    <row r="27" ht="30" customHeight="1" s="91">
      <c r="A27" s="20" t="n"/>
      <c r="B27" s="20" t="n"/>
      <c r="C27" s="19">
        <f>IF(Deployments!#REF!="","",Deployments!#REF!)</f>
        <v/>
      </c>
      <c r="D27" s="19">
        <f>IF(Deployments!#REF!="","",Deployments!#REF!)</f>
        <v/>
      </c>
      <c r="E27" s="19">
        <f>IF(Deployments!#REF!="","",Deployments!#REF!)</f>
        <v/>
      </c>
      <c r="F27" s="19">
        <f>IF(Deployments!#REF!="","",Deployments!#REF!)</f>
        <v/>
      </c>
      <c r="G27" s="19">
        <f>IF(Deployments!#REF!="","",Deployments!#REF!)</f>
        <v/>
      </c>
      <c r="H27" s="19">
        <f>IF(Deployments!#REF!="","",Deployments!#REF!)</f>
        <v/>
      </c>
      <c r="I27" s="19">
        <f>IF(Deployments!#REF!="","",Deployments!#REF!)</f>
        <v/>
      </c>
      <c r="J27" s="19">
        <f>IF(Deployments!#REF!="","",Deployments!#REF!)</f>
        <v/>
      </c>
      <c r="K27" s="19">
        <f>IF(Deployments!#REF!="","",Deployments!#REF!)</f>
        <v/>
      </c>
      <c r="L27" s="19">
        <f>IF(Deployments!#REF!="","",Deployments!#REF!)</f>
        <v/>
      </c>
      <c r="M27" s="20" t="n"/>
      <c r="N27" s="19">
        <f>IF(Deployments!#REF!="","",Deployments!#REF!)</f>
        <v/>
      </c>
      <c r="O27" s="19">
        <f>IF(Deployments!#REF!="","",Deployments!#REF!)</f>
        <v/>
      </c>
      <c r="P27" s="19">
        <f>IF(Deployments!#REF!="","",Deployments!#REF!)</f>
        <v/>
      </c>
      <c r="Q27" s="20" t="n"/>
      <c r="R27" s="19">
        <f>IF(Deployments!#REF!="","",Deployments!#REF!)</f>
        <v/>
      </c>
      <c r="S27" s="19">
        <f>IF(Deployments!#REF!="","",Deployments!#REF!)</f>
        <v/>
      </c>
      <c r="T27" s="19">
        <f>IF(Deployments!#REF!="","",Deployments!#REF!)</f>
        <v/>
      </c>
      <c r="U27" s="19">
        <f>IF(Deployments!#REF!="","",Deployments!#REF!)</f>
        <v/>
      </c>
      <c r="V27" s="19">
        <f>IF(Deployments!#REF!="","",Deployments!#REF!)</f>
        <v/>
      </c>
      <c r="W27" s="19">
        <f>IF(Deployments!#REF!="","",Deployments!#REF!)</f>
        <v/>
      </c>
      <c r="X27" s="19">
        <f>IF(Deployments!#REF!="","",Deployments!#REF!)</f>
        <v/>
      </c>
      <c r="Y27" s="19">
        <f>IF(Deployments!#REF!="","",Deployments!#REF!)</f>
        <v/>
      </c>
      <c r="Z27" s="19">
        <f>IF(Deployments!#REF!="","",Deployments!#REF!)</f>
        <v/>
      </c>
      <c r="AA27" s="19">
        <f>IF(Deployments!#REF!="","",Deployments!#REF!)</f>
        <v/>
      </c>
    </row>
    <row r="28" ht="30" customHeight="1" s="91">
      <c r="A28" s="20" t="n"/>
      <c r="B28" s="20" t="n"/>
      <c r="C28" s="19">
        <f>IF(Deployments!H25="","",Deployments!H25)</f>
        <v/>
      </c>
      <c r="D28" s="19">
        <f>IF(Deployments!AM25="","",Deployments!AM25)</f>
        <v/>
      </c>
      <c r="E28" s="19">
        <f>IF(Deployments!I25="","",Deployments!I25)</f>
        <v/>
      </c>
      <c r="F28" s="19">
        <f>IF(Deployments!J25="","",Deployments!J25)</f>
        <v/>
      </c>
      <c r="G28" s="19">
        <f>IF(Deployments!K25="","",Deployments!K25)</f>
        <v/>
      </c>
      <c r="H28" s="19">
        <f>IF(Deployments!A25="","",Deployments!A25)</f>
        <v/>
      </c>
      <c r="I28" s="19">
        <f>IF(Deployments!AN25="","",Deployments!AN25)</f>
        <v/>
      </c>
      <c r="J28" s="19">
        <f>IF(Deployments!AO25="","",Deployments!AO25)</f>
        <v/>
      </c>
      <c r="K28" s="19">
        <f>IF(Deployments!AI25="","",Deployments!AI25)</f>
        <v/>
      </c>
      <c r="L28" s="19">
        <f>IF(Deployments!M25="","",Deployments!M25)</f>
        <v/>
      </c>
      <c r="M28" s="20" t="n"/>
      <c r="N28" s="19">
        <f>IF(Deployments!N25="","",Deployments!N25)</f>
        <v/>
      </c>
      <c r="O28" s="19">
        <f>IF(Deployments!O25="","",Deployments!O25)</f>
        <v/>
      </c>
      <c r="P28" s="19">
        <f>IF(Deployments!P25="","",Deployments!P25)</f>
        <v/>
      </c>
      <c r="Q28" s="20" t="n"/>
      <c r="R28" s="19">
        <f>IF(Deployments!BT25="","",Deployments!BT25)</f>
        <v/>
      </c>
      <c r="S28" s="19">
        <f>IF(Deployments!BS25="","",Deployments!BS25)</f>
        <v/>
      </c>
      <c r="T28" s="19">
        <f>IF(Deployments!BB25="","",Deployments!BB25)</f>
        <v/>
      </c>
      <c r="U28" s="19">
        <f>IF(Deployments!BR25="","",Deployments!BR25)</f>
        <v/>
      </c>
      <c r="V28" s="19">
        <f>IF(Deployments!BX25="","",Deployments!BX25)</f>
        <v/>
      </c>
      <c r="W28" s="19">
        <f>IF(Deployments!BY25="","",Deployments!BY25)</f>
        <v/>
      </c>
      <c r="X28" s="19">
        <f>IF(Deployments!CC25="","",Deployments!CC25)</f>
        <v/>
      </c>
      <c r="Y28" s="19">
        <f>IF(Deployments!BW25="","",Deployments!BW25)</f>
        <v/>
      </c>
      <c r="Z28" s="19">
        <f>IF(Deployments!U25="","",Deployments!U25)</f>
        <v/>
      </c>
      <c r="AA28" s="19">
        <f>IF(Deployments!L25="","",Deployments!L25)</f>
        <v/>
      </c>
    </row>
    <row r="29" ht="30" customHeight="1" s="91">
      <c r="A29" s="20" t="n"/>
      <c r="B29" s="20" t="n"/>
      <c r="C29" s="19">
        <f>IF(Deployments!H26="","",Deployments!H26)</f>
        <v/>
      </c>
      <c r="D29" s="19">
        <f>IF(Deployments!AM26="","",Deployments!AM26)</f>
        <v/>
      </c>
      <c r="E29" s="19">
        <f>IF(Deployments!I26="","",Deployments!I26)</f>
        <v/>
      </c>
      <c r="F29" s="19">
        <f>IF(Deployments!J26="","",Deployments!J26)</f>
        <v/>
      </c>
      <c r="G29" s="19">
        <f>IF(Deployments!K26="","",Deployments!K26)</f>
        <v/>
      </c>
      <c r="H29" s="19">
        <f>IF(Deployments!A26="","",Deployments!A26)</f>
        <v/>
      </c>
      <c r="I29" s="19">
        <f>IF(Deployments!AN26="","",Deployments!AN26)</f>
        <v/>
      </c>
      <c r="J29" s="19">
        <f>IF(Deployments!AO26="","",Deployments!AO26)</f>
        <v/>
      </c>
      <c r="K29" s="19">
        <f>IF(Deployments!AI26="","",Deployments!AI26)</f>
        <v/>
      </c>
      <c r="L29" s="19">
        <f>IF(Deployments!M26="","",Deployments!M26)</f>
        <v/>
      </c>
      <c r="M29" s="20" t="n"/>
      <c r="N29" s="19">
        <f>IF(Deployments!N26="","",Deployments!N26)</f>
        <v/>
      </c>
      <c r="O29" s="19">
        <f>IF(Deployments!O26="","",Deployments!O26)</f>
        <v/>
      </c>
      <c r="P29" s="19">
        <f>IF(Deployments!P26="","",Deployments!P26)</f>
        <v/>
      </c>
      <c r="Q29" s="20" t="n"/>
      <c r="R29" s="19">
        <f>IF(Deployments!BT26="","",Deployments!BT26)</f>
        <v/>
      </c>
      <c r="S29" s="19">
        <f>IF(Deployments!BS26="","",Deployments!BS26)</f>
        <v/>
      </c>
      <c r="T29" s="19">
        <f>IF(Deployments!BB26="","",Deployments!BB26)</f>
        <v/>
      </c>
      <c r="U29" s="19">
        <f>IF(Deployments!BR26="","",Deployments!BR26)</f>
        <v/>
      </c>
      <c r="V29" s="19">
        <f>IF(Deployments!BX26="","",Deployments!BX26)</f>
        <v/>
      </c>
      <c r="W29" s="19">
        <f>IF(Deployments!BY26="","",Deployments!BY26)</f>
        <v/>
      </c>
      <c r="X29" s="19">
        <f>IF(Deployments!CC26="","",Deployments!CC26)</f>
        <v/>
      </c>
      <c r="Y29" s="19">
        <f>IF(Deployments!BW26="","",Deployments!BW26)</f>
        <v/>
      </c>
      <c r="Z29" s="19">
        <f>IF(Deployments!U26="","",Deployments!U26)</f>
        <v/>
      </c>
      <c r="AA29" s="19">
        <f>IF(Deployments!L26="","",Deployments!L26)</f>
        <v/>
      </c>
    </row>
    <row r="30" ht="30" customHeight="1" s="91">
      <c r="A30" s="20" t="n"/>
      <c r="B30" s="20" t="n"/>
      <c r="C30" s="19">
        <f>IF(Deployments!H27="","",Deployments!H27)</f>
        <v/>
      </c>
      <c r="D30" s="19">
        <f>IF(Deployments!AM27="","",Deployments!AM27)</f>
        <v/>
      </c>
      <c r="E30" s="19">
        <f>IF(Deployments!I27="","",Deployments!I27)</f>
        <v/>
      </c>
      <c r="F30" s="19">
        <f>IF(Deployments!J27="","",Deployments!J27)</f>
        <v/>
      </c>
      <c r="G30" s="19">
        <f>IF(Deployments!K27="","",Deployments!K27)</f>
        <v/>
      </c>
      <c r="H30" s="19">
        <f>IF(Deployments!A27="","",Deployments!A27)</f>
        <v/>
      </c>
      <c r="I30" s="19">
        <f>IF(Deployments!AN27="","",Deployments!AN27)</f>
        <v/>
      </c>
      <c r="J30" s="19">
        <f>IF(Deployments!AO27="","",Deployments!AO27)</f>
        <v/>
      </c>
      <c r="K30" s="19">
        <f>IF(Deployments!AI27="","",Deployments!AI27)</f>
        <v/>
      </c>
      <c r="L30" s="19">
        <f>IF(Deployments!M27="","",Deployments!M27)</f>
        <v/>
      </c>
      <c r="M30" s="20" t="n"/>
      <c r="N30" s="19">
        <f>IF(Deployments!N27="","",Deployments!N27)</f>
        <v/>
      </c>
      <c r="O30" s="19">
        <f>IF(Deployments!O27="","",Deployments!O27)</f>
        <v/>
      </c>
      <c r="P30" s="19">
        <f>IF(Deployments!P27="","",Deployments!P27)</f>
        <v/>
      </c>
      <c r="Q30" s="20" t="n"/>
      <c r="R30" s="19">
        <f>IF(Deployments!BT27="","",Deployments!BT27)</f>
        <v/>
      </c>
      <c r="S30" s="19">
        <f>IF(Deployments!BS27="","",Deployments!BS27)</f>
        <v/>
      </c>
      <c r="T30" s="19">
        <f>IF(Deployments!BB27="","",Deployments!BB27)</f>
        <v/>
      </c>
      <c r="U30" s="19">
        <f>IF(Deployments!BR27="","",Deployments!BR27)</f>
        <v/>
      </c>
      <c r="V30" s="19">
        <f>IF(Deployments!BX27="","",Deployments!BX27)</f>
        <v/>
      </c>
      <c r="W30" s="19">
        <f>IF(Deployments!BY27="","",Deployments!BY27)</f>
        <v/>
      </c>
      <c r="X30" s="19">
        <f>IF(Deployments!CC27="","",Deployments!CC27)</f>
        <v/>
      </c>
      <c r="Y30" s="19">
        <f>IF(Deployments!BW27="","",Deployments!BW27)</f>
        <v/>
      </c>
      <c r="Z30" s="19">
        <f>IF(Deployments!U27="","",Deployments!U27)</f>
        <v/>
      </c>
      <c r="AA30" s="19">
        <f>IF(Deployments!L27="","",Deployments!L27)</f>
        <v/>
      </c>
    </row>
    <row r="31" ht="30" customHeight="1" s="91">
      <c r="A31" s="20" t="n"/>
      <c r="B31" s="20" t="n"/>
      <c r="C31" s="19">
        <f>IF(Deployments!H28="","",Deployments!H28)</f>
        <v/>
      </c>
      <c r="D31" s="19">
        <f>IF(Deployments!AM28="","",Deployments!AM28)</f>
        <v/>
      </c>
      <c r="E31" s="19">
        <f>IF(Deployments!I28="","",Deployments!I28)</f>
        <v/>
      </c>
      <c r="F31" s="19">
        <f>IF(Deployments!J28="","",Deployments!J28)</f>
        <v/>
      </c>
      <c r="G31" s="19">
        <f>IF(Deployments!K28="","",Deployments!K28)</f>
        <v/>
      </c>
      <c r="H31" s="19">
        <f>IF(Deployments!A28="","",Deployments!A28)</f>
        <v/>
      </c>
      <c r="I31" s="19">
        <f>IF(Deployments!AN28="","",Deployments!AN28)</f>
        <v/>
      </c>
      <c r="J31" s="19">
        <f>IF(Deployments!AO28="","",Deployments!AO28)</f>
        <v/>
      </c>
      <c r="K31" s="19">
        <f>IF(Deployments!AI28="","",Deployments!AI28)</f>
        <v/>
      </c>
      <c r="L31" s="19">
        <f>IF(Deployments!M28="","",Deployments!M28)</f>
        <v/>
      </c>
      <c r="M31" s="20" t="n"/>
      <c r="N31" s="19">
        <f>IF(Deployments!N28="","",Deployments!N28)</f>
        <v/>
      </c>
      <c r="O31" s="19">
        <f>IF(Deployments!O28="","",Deployments!O28)</f>
        <v/>
      </c>
      <c r="P31" s="19">
        <f>IF(Deployments!P28="","",Deployments!P28)</f>
        <v/>
      </c>
      <c r="Q31" s="20" t="n"/>
      <c r="R31" s="19">
        <f>IF(Deployments!BT28="","",Deployments!BT28)</f>
        <v/>
      </c>
      <c r="S31" s="19">
        <f>IF(Deployments!BS28="","",Deployments!BS28)</f>
        <v/>
      </c>
      <c r="T31" s="19">
        <f>IF(Deployments!BB28="","",Deployments!BB28)</f>
        <v/>
      </c>
      <c r="U31" s="19">
        <f>IF(Deployments!BR28="","",Deployments!BR28)</f>
        <v/>
      </c>
      <c r="V31" s="19">
        <f>IF(Deployments!BX28="","",Deployments!BX28)</f>
        <v/>
      </c>
      <c r="W31" s="19">
        <f>IF(Deployments!BY28="","",Deployments!BY28)</f>
        <v/>
      </c>
      <c r="X31" s="19">
        <f>IF(Deployments!CC28="","",Deployments!CC28)</f>
        <v/>
      </c>
      <c r="Y31" s="19">
        <f>IF(Deployments!BW28="","",Deployments!BW28)</f>
        <v/>
      </c>
      <c r="Z31" s="19">
        <f>IF(Deployments!U28="","",Deployments!U28)</f>
        <v/>
      </c>
      <c r="AA31" s="19">
        <f>IF(Deployments!L28="","",Deployments!L28)</f>
        <v/>
      </c>
    </row>
    <row r="32" ht="30" customHeight="1" s="91">
      <c r="A32" s="20" t="n"/>
      <c r="B32" s="20" t="n"/>
      <c r="C32" s="19">
        <f>IF(Deployments!H29="","",Deployments!H29)</f>
        <v/>
      </c>
      <c r="D32" s="19">
        <f>IF(Deployments!AM29="","",Deployments!AM29)</f>
        <v/>
      </c>
      <c r="E32" s="19">
        <f>IF(Deployments!I29="","",Deployments!I29)</f>
        <v/>
      </c>
      <c r="F32" s="19">
        <f>IF(Deployments!J29="","",Deployments!J29)</f>
        <v/>
      </c>
      <c r="G32" s="19">
        <f>IF(Deployments!K29="","",Deployments!K29)</f>
        <v/>
      </c>
      <c r="H32" s="19">
        <f>IF(Deployments!A29="","",Deployments!A29)</f>
        <v/>
      </c>
      <c r="I32" s="19">
        <f>IF(Deployments!AN29="","",Deployments!AN29)</f>
        <v/>
      </c>
      <c r="J32" s="19">
        <f>IF(Deployments!AO29="","",Deployments!AO29)</f>
        <v/>
      </c>
      <c r="K32" s="19">
        <f>IF(Deployments!AI29="","",Deployments!AI29)</f>
        <v/>
      </c>
      <c r="L32" s="19">
        <f>IF(Deployments!M29="","",Deployments!M29)</f>
        <v/>
      </c>
      <c r="M32" s="20" t="n"/>
      <c r="N32" s="19">
        <f>IF(Deployments!N29="","",Deployments!N29)</f>
        <v/>
      </c>
      <c r="O32" s="19">
        <f>IF(Deployments!O29="","",Deployments!O29)</f>
        <v/>
      </c>
      <c r="P32" s="19">
        <f>IF(Deployments!P29="","",Deployments!P29)</f>
        <v/>
      </c>
      <c r="Q32" s="20" t="n"/>
      <c r="R32" s="19">
        <f>IF(Deployments!BT29="","",Deployments!BT29)</f>
        <v/>
      </c>
      <c r="S32" s="19">
        <f>IF(Deployments!BS29="","",Deployments!BS29)</f>
        <v/>
      </c>
      <c r="T32" s="19">
        <f>IF(Deployments!BB29="","",Deployments!BB29)</f>
        <v/>
      </c>
      <c r="U32" s="19">
        <f>IF(Deployments!BR29="","",Deployments!BR29)</f>
        <v/>
      </c>
      <c r="V32" s="19">
        <f>IF(Deployments!BX29="","",Deployments!BX29)</f>
        <v/>
      </c>
      <c r="W32" s="19">
        <f>IF(Deployments!BY29="","",Deployments!BY29)</f>
        <v/>
      </c>
      <c r="X32" s="19">
        <f>IF(Deployments!CC29="","",Deployments!CC29)</f>
        <v/>
      </c>
      <c r="Y32" s="19">
        <f>IF(Deployments!BW29="","",Deployments!BW29)</f>
        <v/>
      </c>
      <c r="Z32" s="19">
        <f>IF(Deployments!U29="","",Deployments!U29)</f>
        <v/>
      </c>
      <c r="AA32" s="19">
        <f>IF(Deployments!L29="","",Deployments!L29)</f>
        <v/>
      </c>
    </row>
    <row r="33" ht="30" customHeight="1" s="91">
      <c r="A33" s="20" t="n"/>
      <c r="B33" s="20" t="n"/>
      <c r="C33" s="19">
        <f>IF(Deployments!H30="","",Deployments!H30)</f>
        <v/>
      </c>
      <c r="D33" s="19">
        <f>IF(Deployments!AM30="","",Deployments!AM30)</f>
        <v/>
      </c>
      <c r="E33" s="19">
        <f>IF(Deployments!I30="","",Deployments!I30)</f>
        <v/>
      </c>
      <c r="F33" s="19">
        <f>IF(Deployments!J30="","",Deployments!J30)</f>
        <v/>
      </c>
      <c r="G33" s="19">
        <f>IF(Deployments!K30="","",Deployments!K30)</f>
        <v/>
      </c>
      <c r="H33" s="19">
        <f>IF(Deployments!A30="","",Deployments!A30)</f>
        <v/>
      </c>
      <c r="I33" s="19">
        <f>IF(Deployments!AN30="","",Deployments!AN30)</f>
        <v/>
      </c>
      <c r="J33" s="19">
        <f>IF(Deployments!AO30="","",Deployments!AO30)</f>
        <v/>
      </c>
      <c r="K33" s="19">
        <f>IF(Deployments!AI30="","",Deployments!AI30)</f>
        <v/>
      </c>
      <c r="L33" s="19">
        <f>IF(Deployments!M30="","",Deployments!M30)</f>
        <v/>
      </c>
      <c r="M33" s="20" t="n"/>
      <c r="N33" s="19">
        <f>IF(Deployments!N30="","",Deployments!N30)</f>
        <v/>
      </c>
      <c r="O33" s="19">
        <f>IF(Deployments!O30="","",Deployments!O30)</f>
        <v/>
      </c>
      <c r="P33" s="19">
        <f>IF(Deployments!P30="","",Deployments!P30)</f>
        <v/>
      </c>
      <c r="Q33" s="20" t="n"/>
      <c r="R33" s="19">
        <f>IF(Deployments!BT30="","",Deployments!BT30)</f>
        <v/>
      </c>
      <c r="S33" s="19">
        <f>IF(Deployments!BS30="","",Deployments!BS30)</f>
        <v/>
      </c>
      <c r="T33" s="19">
        <f>IF(Deployments!BB30="","",Deployments!BB30)</f>
        <v/>
      </c>
      <c r="U33" s="19">
        <f>IF(Deployments!BR30="","",Deployments!BR30)</f>
        <v/>
      </c>
      <c r="V33" s="19">
        <f>IF(Deployments!BX30="","",Deployments!BX30)</f>
        <v/>
      </c>
      <c r="W33" s="19">
        <f>IF(Deployments!BY30="","",Deployments!BY30)</f>
        <v/>
      </c>
      <c r="X33" s="19">
        <f>IF(Deployments!CC30="","",Deployments!CC30)</f>
        <v/>
      </c>
      <c r="Y33" s="19">
        <f>IF(Deployments!BW30="","",Deployments!BW30)</f>
        <v/>
      </c>
      <c r="Z33" s="19">
        <f>IF(Deployments!U30="","",Deployments!U30)</f>
        <v/>
      </c>
      <c r="AA33" s="19">
        <f>IF(Deployments!L30="","",Deployments!L30)</f>
        <v/>
      </c>
    </row>
    <row r="34" ht="45.75" customHeight="1" s="91">
      <c r="A34" s="20" t="n"/>
      <c r="B34" s="20" t="n"/>
      <c r="C34" s="19">
        <f>IF(Deployments!H31="","",Deployments!H31)</f>
        <v/>
      </c>
      <c r="D34" s="19">
        <f>IF(Deployments!AM31="","",Deployments!AM31)</f>
        <v/>
      </c>
      <c r="E34" s="19">
        <f>IF(Deployments!I31="","",Deployments!I31)</f>
        <v/>
      </c>
      <c r="F34" s="19">
        <f>IF(Deployments!J31="","",Deployments!J31)</f>
        <v/>
      </c>
      <c r="G34" s="19">
        <f>IF(Deployments!K31="","",Deployments!K31)</f>
        <v/>
      </c>
      <c r="H34" s="19">
        <f>IF(Deployments!A31="","",Deployments!A31)</f>
        <v/>
      </c>
      <c r="I34" s="19">
        <f>IF(Deployments!AN31="","",Deployments!AN31)</f>
        <v/>
      </c>
      <c r="J34" s="19">
        <f>IF(Deployments!AO31="","",Deployments!AO31)</f>
        <v/>
      </c>
      <c r="K34" s="19">
        <f>IF(Deployments!AI31="","",Deployments!AI31)</f>
        <v/>
      </c>
      <c r="L34" s="19">
        <f>IF(Deployments!M31="","",Deployments!M31)</f>
        <v/>
      </c>
      <c r="M34" s="20" t="n"/>
      <c r="N34" s="19">
        <f>IF(Deployments!N31="","",Deployments!N31)</f>
        <v/>
      </c>
      <c r="O34" s="19">
        <f>IF(Deployments!O31="","",Deployments!O31)</f>
        <v/>
      </c>
      <c r="P34" s="19">
        <f>IF(Deployments!P31="","",Deployments!P31)</f>
        <v/>
      </c>
      <c r="Q34" s="20" t="n"/>
      <c r="R34" s="19">
        <f>IF(Deployments!BT31="","",Deployments!BT31)</f>
        <v/>
      </c>
      <c r="S34" s="19">
        <f>IF(Deployments!BS31="","",Deployments!BS31)</f>
        <v/>
      </c>
      <c r="T34" s="19">
        <f>IF(Deployments!BB31="","",Deployments!BB31)</f>
        <v/>
      </c>
      <c r="U34" s="19">
        <f>IF(Deployments!BR31="","",Deployments!BR31)</f>
        <v/>
      </c>
      <c r="V34" s="19">
        <f>IF(Deployments!BX31="","",Deployments!BX31)</f>
        <v/>
      </c>
      <c r="W34" s="19">
        <f>IF(Deployments!BY31="","",Deployments!BY31)</f>
        <v/>
      </c>
      <c r="X34" s="19">
        <f>IF(Deployments!CC31="","",Deployments!CC31)</f>
        <v/>
      </c>
      <c r="Y34" s="19">
        <f>IF(Deployments!BW31="","",Deployments!BW31)</f>
        <v/>
      </c>
      <c r="Z34" s="19">
        <f>IF(Deployments!U31="","",Deployments!U31)</f>
        <v/>
      </c>
      <c r="AA34" s="19">
        <f>IF(Deployments!L31="","",Deployments!L31)</f>
        <v/>
      </c>
    </row>
    <row r="35" ht="45.75" customHeight="1" s="91">
      <c r="A35" s="20" t="n"/>
      <c r="B35" s="20" t="n"/>
      <c r="C35" s="19">
        <f>IF(Deployments!H32="","",Deployments!H32)</f>
        <v/>
      </c>
      <c r="D35" s="19">
        <f>IF(Deployments!AM32="","",Deployments!AM32)</f>
        <v/>
      </c>
      <c r="E35" s="19">
        <f>IF(Deployments!I32="","",Deployments!I32)</f>
        <v/>
      </c>
      <c r="F35" s="19">
        <f>IF(Deployments!J32="","",Deployments!J32)</f>
        <v/>
      </c>
      <c r="G35" s="19">
        <f>IF(Deployments!K32="","",Deployments!K32)</f>
        <v/>
      </c>
      <c r="H35" s="19">
        <f>IF(Deployments!A32="","",Deployments!A32)</f>
        <v/>
      </c>
      <c r="I35" s="19">
        <f>IF(Deployments!AN32="","",Deployments!AN32)</f>
        <v/>
      </c>
      <c r="J35" s="19">
        <f>IF(Deployments!AO32="","",Deployments!AO32)</f>
        <v/>
      </c>
      <c r="K35" s="19">
        <f>IF(Deployments!AI32="","",Deployments!AI32)</f>
        <v/>
      </c>
      <c r="L35" s="19">
        <f>IF(Deployments!M32="","",Deployments!M32)</f>
        <v/>
      </c>
      <c r="M35" s="20" t="n"/>
      <c r="N35" s="19">
        <f>IF(Deployments!N32="","",Deployments!N32)</f>
        <v/>
      </c>
      <c r="O35" s="19">
        <f>IF(Deployments!O32="","",Deployments!O32)</f>
        <v/>
      </c>
      <c r="P35" s="19">
        <f>IF(Deployments!P32="","",Deployments!P32)</f>
        <v/>
      </c>
      <c r="Q35" s="20" t="n"/>
      <c r="R35" s="19">
        <f>IF(Deployments!BT32="","",Deployments!BT32)</f>
        <v/>
      </c>
      <c r="S35" s="19">
        <f>IF(Deployments!BS32="","",Deployments!BS32)</f>
        <v/>
      </c>
      <c r="T35" s="19">
        <f>IF(Deployments!BB32="","",Deployments!BB32)</f>
        <v/>
      </c>
      <c r="U35" s="19">
        <f>IF(Deployments!BR32="","",Deployments!BR32)</f>
        <v/>
      </c>
      <c r="V35" s="19">
        <f>IF(Deployments!BX32="","",Deployments!BX32)</f>
        <v/>
      </c>
      <c r="W35" s="19">
        <f>IF(Deployments!BY32="","",Deployments!BY32)</f>
        <v/>
      </c>
      <c r="X35" s="19">
        <f>IF(Deployments!CC32="","",Deployments!CC32)</f>
        <v/>
      </c>
      <c r="Y35" s="19">
        <f>IF(Deployments!BW32="","",Deployments!BW32)</f>
        <v/>
      </c>
      <c r="Z35" s="19">
        <f>IF(Deployments!U32="","",Deployments!U32)</f>
        <v/>
      </c>
      <c r="AA35" s="19">
        <f>IF(Deployments!L32="","",Deployments!L32)</f>
        <v/>
      </c>
    </row>
    <row r="36" ht="45.75" customHeight="1" s="91">
      <c r="A36" s="20" t="n"/>
      <c r="B36" s="20" t="n"/>
      <c r="C36" s="19">
        <f>IF(Deployments!H33="","",Deployments!H33)</f>
        <v/>
      </c>
      <c r="D36" s="19">
        <f>IF(Deployments!AM33="","",Deployments!AM33)</f>
        <v/>
      </c>
      <c r="E36" s="19">
        <f>IF(Deployments!I33="","",Deployments!I33)</f>
        <v/>
      </c>
      <c r="F36" s="19">
        <f>IF(Deployments!J33="","",Deployments!J33)</f>
        <v/>
      </c>
      <c r="G36" s="19">
        <f>IF(Deployments!K33="","",Deployments!K33)</f>
        <v/>
      </c>
      <c r="H36" s="19">
        <f>IF(Deployments!A33="","",Deployments!A33)</f>
        <v/>
      </c>
      <c r="I36" s="19">
        <f>IF(Deployments!AN33="","",Deployments!AN33)</f>
        <v/>
      </c>
      <c r="J36" s="19">
        <f>IF(Deployments!AO33="","",Deployments!AO33)</f>
        <v/>
      </c>
      <c r="K36" s="19">
        <f>IF(Deployments!AI33="","",Deployments!AI33)</f>
        <v/>
      </c>
      <c r="L36" s="19">
        <f>IF(Deployments!M33="","",Deployments!M33)</f>
        <v/>
      </c>
      <c r="M36" s="20" t="n"/>
      <c r="N36" s="19">
        <f>IF(Deployments!N33="","",Deployments!N33)</f>
        <v/>
      </c>
      <c r="O36" s="19">
        <f>IF(Deployments!O33="","",Deployments!O33)</f>
        <v/>
      </c>
      <c r="P36" s="19">
        <f>IF(Deployments!P33="","",Deployments!P33)</f>
        <v/>
      </c>
      <c r="Q36" s="20" t="n"/>
      <c r="R36" s="19">
        <f>IF(Deployments!BT33="","",Deployments!BT33)</f>
        <v/>
      </c>
      <c r="S36" s="19">
        <f>IF(Deployments!BS33="","",Deployments!BS33)</f>
        <v/>
      </c>
      <c r="T36" s="19">
        <f>IF(Deployments!BB33="","",Deployments!BB33)</f>
        <v/>
      </c>
      <c r="U36" s="19">
        <f>IF(Deployments!BR33="","",Deployments!BR33)</f>
        <v/>
      </c>
      <c r="V36" s="19">
        <f>IF(Deployments!BX33="","",Deployments!BX33)</f>
        <v/>
      </c>
      <c r="W36" s="19">
        <f>IF(Deployments!BY33="","",Deployments!BY33)</f>
        <v/>
      </c>
      <c r="X36" s="19">
        <f>IF(Deployments!CC33="","",Deployments!CC33)</f>
        <v/>
      </c>
      <c r="Y36" s="19">
        <f>IF(Deployments!BW33="","",Deployments!BW33)</f>
        <v/>
      </c>
      <c r="Z36" s="19">
        <f>IF(Deployments!U33="","",Deployments!U33)</f>
        <v/>
      </c>
      <c r="AA36" s="19">
        <f>IF(Deployments!L33="","",Deployments!L33)</f>
        <v/>
      </c>
    </row>
    <row r="37" ht="45.75" customHeight="1" s="91">
      <c r="A37" s="20" t="n"/>
      <c r="B37" s="20" t="n"/>
      <c r="C37" s="19">
        <f>IF(Deployments!H34="","",Deployments!H34)</f>
        <v/>
      </c>
      <c r="D37" s="19">
        <f>IF(Deployments!AM34="","",Deployments!AM34)</f>
        <v/>
      </c>
      <c r="E37" s="19">
        <f>IF(Deployments!I34="","",Deployments!I34)</f>
        <v/>
      </c>
      <c r="F37" s="19">
        <f>IF(Deployments!J34="","",Deployments!J34)</f>
        <v/>
      </c>
      <c r="G37" s="19">
        <f>IF(Deployments!K34="","",Deployments!K34)</f>
        <v/>
      </c>
      <c r="H37" s="19">
        <f>IF(Deployments!A34="","",Deployments!A34)</f>
        <v/>
      </c>
      <c r="I37" s="19">
        <f>IF(Deployments!AN34="","",Deployments!AN34)</f>
        <v/>
      </c>
      <c r="J37" s="19">
        <f>IF(Deployments!AO34="","",Deployments!AO34)</f>
        <v/>
      </c>
      <c r="K37" s="19">
        <f>IF(Deployments!AI34="","",Deployments!AI34)</f>
        <v/>
      </c>
      <c r="L37" s="19">
        <f>IF(Deployments!M34="","",Deployments!M34)</f>
        <v/>
      </c>
      <c r="M37" s="20" t="n"/>
      <c r="N37" s="19">
        <f>IF(Deployments!N34="","",Deployments!N34)</f>
        <v/>
      </c>
      <c r="O37" s="19">
        <f>IF(Deployments!O34="","",Deployments!O34)</f>
        <v/>
      </c>
      <c r="P37" s="19">
        <f>IF(Deployments!P34="","",Deployments!P34)</f>
        <v/>
      </c>
      <c r="Q37" s="20" t="n"/>
      <c r="R37" s="19">
        <f>IF(Deployments!BT34="","",Deployments!BT34)</f>
        <v/>
      </c>
      <c r="S37" s="19">
        <f>IF(Deployments!BS34="","",Deployments!BS34)</f>
        <v/>
      </c>
      <c r="T37" s="19">
        <f>IF(Deployments!BB34="","",Deployments!BB34)</f>
        <v/>
      </c>
      <c r="U37" s="19">
        <f>IF(Deployments!BR34="","",Deployments!BR34)</f>
        <v/>
      </c>
      <c r="V37" s="19">
        <f>IF(Deployments!BX34="","",Deployments!BX34)</f>
        <v/>
      </c>
      <c r="W37" s="19">
        <f>IF(Deployments!BY34="","",Deployments!BY34)</f>
        <v/>
      </c>
      <c r="X37" s="19">
        <f>IF(Deployments!CC34="","",Deployments!CC34)</f>
        <v/>
      </c>
      <c r="Y37" s="19">
        <f>IF(Deployments!BW34="","",Deployments!BW34)</f>
        <v/>
      </c>
      <c r="Z37" s="19">
        <f>IF(Deployments!U34="","",Deployments!U34)</f>
        <v/>
      </c>
      <c r="AA37" s="19">
        <f>IF(Deployments!L34="","",Deployments!L34)</f>
        <v/>
      </c>
    </row>
    <row r="38" ht="45.75" customHeight="1" s="91">
      <c r="A38" s="20" t="n"/>
      <c r="B38" s="20" t="n"/>
      <c r="C38" s="19">
        <f>IF(Deployments!H35="","",Deployments!H35)</f>
        <v/>
      </c>
      <c r="D38" s="19">
        <f>IF(Deployments!AM35="","",Deployments!AM35)</f>
        <v/>
      </c>
      <c r="E38" s="19">
        <f>IF(Deployments!I35="","",Deployments!I35)</f>
        <v/>
      </c>
      <c r="F38" s="19">
        <f>IF(Deployments!J35="","",Deployments!J35)</f>
        <v/>
      </c>
      <c r="G38" s="19">
        <f>IF(Deployments!K35="","",Deployments!K35)</f>
        <v/>
      </c>
      <c r="H38" s="19">
        <f>IF(Deployments!A35="","",Deployments!A35)</f>
        <v/>
      </c>
      <c r="I38" s="19">
        <f>IF(Deployments!AN35="","",Deployments!AN35)</f>
        <v/>
      </c>
      <c r="J38" s="19">
        <f>IF(Deployments!AO35="","",Deployments!AO35)</f>
        <v/>
      </c>
      <c r="K38" s="19">
        <f>IF(Deployments!AI35="","",Deployments!AI35)</f>
        <v/>
      </c>
      <c r="L38" s="19">
        <f>IF(Deployments!M35="","",Deployments!M35)</f>
        <v/>
      </c>
      <c r="M38" s="20" t="n"/>
      <c r="N38" s="19">
        <f>IF(Deployments!N35="","",Deployments!N35)</f>
        <v/>
      </c>
      <c r="O38" s="19">
        <f>IF(Deployments!O35="","",Deployments!O35)</f>
        <v/>
      </c>
      <c r="P38" s="19">
        <f>IF(Deployments!P35="","",Deployments!P35)</f>
        <v/>
      </c>
      <c r="Q38" s="20" t="n"/>
      <c r="R38" s="19">
        <f>IF(Deployments!BT35="","",Deployments!BT35)</f>
        <v/>
      </c>
      <c r="S38" s="19">
        <f>IF(Deployments!BS35="","",Deployments!BS35)</f>
        <v/>
      </c>
      <c r="T38" s="19">
        <f>IF(Deployments!BB35="","",Deployments!BB35)</f>
        <v/>
      </c>
      <c r="U38" s="19">
        <f>IF(Deployments!BR35="","",Deployments!BR35)</f>
        <v/>
      </c>
      <c r="V38" s="19">
        <f>IF(Deployments!BX35="","",Deployments!BX35)</f>
        <v/>
      </c>
      <c r="W38" s="19">
        <f>IF(Deployments!BY35="","",Deployments!BY35)</f>
        <v/>
      </c>
      <c r="X38" s="19">
        <f>IF(Deployments!CC35="","",Deployments!CC35)</f>
        <v/>
      </c>
      <c r="Y38" s="19">
        <f>IF(Deployments!BW35="","",Deployments!BW35)</f>
        <v/>
      </c>
      <c r="Z38" s="19">
        <f>IF(Deployments!U35="","",Deployments!U35)</f>
        <v/>
      </c>
      <c r="AA38" s="19">
        <f>IF(Deployments!L35="","",Deployments!L35)</f>
        <v/>
      </c>
    </row>
    <row r="39" ht="45.75" customHeight="1" s="91">
      <c r="A39" s="20" t="n"/>
      <c r="B39" s="20" t="n"/>
      <c r="C39" s="19">
        <f>IF(Deployments!H36="","",Deployments!H36)</f>
        <v/>
      </c>
      <c r="D39" s="19">
        <f>IF(Deployments!AM36="","",Deployments!AM36)</f>
        <v/>
      </c>
      <c r="E39" s="19">
        <f>IF(Deployments!I36="","",Deployments!I36)</f>
        <v/>
      </c>
      <c r="F39" s="19">
        <f>IF(Deployments!J36="","",Deployments!J36)</f>
        <v/>
      </c>
      <c r="G39" s="19">
        <f>IF(Deployments!K36="","",Deployments!K36)</f>
        <v/>
      </c>
      <c r="H39" s="19">
        <f>IF(Deployments!A36="","",Deployments!A36)</f>
        <v/>
      </c>
      <c r="I39" s="19">
        <f>IF(Deployments!AN36="","",Deployments!AN36)</f>
        <v/>
      </c>
      <c r="J39" s="19">
        <f>IF(Deployments!AO36="","",Deployments!AO36)</f>
        <v/>
      </c>
      <c r="K39" s="19">
        <f>IF(Deployments!AI36="","",Deployments!AI36)</f>
        <v/>
      </c>
      <c r="L39" s="19">
        <f>IF(Deployments!M36="","",Deployments!M36)</f>
        <v/>
      </c>
      <c r="M39" s="20" t="n"/>
      <c r="N39" s="19">
        <f>IF(Deployments!N36="","",Deployments!N36)</f>
        <v/>
      </c>
      <c r="O39" s="19">
        <f>IF(Deployments!O36="","",Deployments!O36)</f>
        <v/>
      </c>
      <c r="P39" s="19">
        <f>IF(Deployments!P36="","",Deployments!P36)</f>
        <v/>
      </c>
      <c r="Q39" s="20" t="n"/>
      <c r="R39" s="19">
        <f>IF(Deployments!BT36="","",Deployments!BT36)</f>
        <v/>
      </c>
      <c r="S39" s="19">
        <f>IF(Deployments!BS36="","",Deployments!BS36)</f>
        <v/>
      </c>
      <c r="T39" s="19">
        <f>IF(Deployments!BB36="","",Deployments!BB36)</f>
        <v/>
      </c>
      <c r="U39" s="19">
        <f>IF(Deployments!BR36="","",Deployments!BR36)</f>
        <v/>
      </c>
      <c r="V39" s="19">
        <f>IF(Deployments!BX36="","",Deployments!BX36)</f>
        <v/>
      </c>
      <c r="W39" s="19">
        <f>IF(Deployments!BY36="","",Deployments!BY36)</f>
        <v/>
      </c>
      <c r="X39" s="19">
        <f>IF(Deployments!CC36="","",Deployments!CC36)</f>
        <v/>
      </c>
      <c r="Y39" s="19">
        <f>IF(Deployments!BW36="","",Deployments!BW36)</f>
        <v/>
      </c>
      <c r="Z39" s="19">
        <f>IF(Deployments!U36="","",Deployments!U36)</f>
        <v/>
      </c>
      <c r="AA39" s="19">
        <f>IF(Deployments!L36="","",Deployments!L36)</f>
        <v/>
      </c>
    </row>
    <row r="40" ht="45.75" customHeight="1" s="91">
      <c r="A40" s="20" t="n"/>
      <c r="B40" s="20" t="n"/>
      <c r="C40" s="19">
        <f>IF(Deployments!H37="","",Deployments!H37)</f>
        <v/>
      </c>
      <c r="D40" s="19">
        <f>IF(Deployments!AM37="","",Deployments!AM37)</f>
        <v/>
      </c>
      <c r="E40" s="19">
        <f>IF(Deployments!I37="","",Deployments!I37)</f>
        <v/>
      </c>
      <c r="F40" s="19">
        <f>IF(Deployments!J37="","",Deployments!J37)</f>
        <v/>
      </c>
      <c r="G40" s="19">
        <f>IF(Deployments!K37="","",Deployments!K37)</f>
        <v/>
      </c>
      <c r="H40" s="19">
        <f>IF(Deployments!A37="","",Deployments!A37)</f>
        <v/>
      </c>
      <c r="I40" s="19">
        <f>IF(Deployments!AN37="","",Deployments!AN37)</f>
        <v/>
      </c>
      <c r="J40" s="19">
        <f>IF(Deployments!AO37="","",Deployments!AO37)</f>
        <v/>
      </c>
      <c r="K40" s="19">
        <f>IF(Deployments!AI37="","",Deployments!AI37)</f>
        <v/>
      </c>
      <c r="L40" s="19">
        <f>IF(Deployments!M37="","",Deployments!M37)</f>
        <v/>
      </c>
      <c r="M40" s="20" t="n"/>
      <c r="N40" s="19">
        <f>IF(Deployments!N37="","",Deployments!N37)</f>
        <v/>
      </c>
      <c r="O40" s="19">
        <f>IF(Deployments!O37="","",Deployments!O37)</f>
        <v/>
      </c>
      <c r="P40" s="19">
        <f>IF(Deployments!P37="","",Deployments!P37)</f>
        <v/>
      </c>
      <c r="Q40" s="20" t="n"/>
      <c r="R40" s="19">
        <f>IF(Deployments!BT37="","",Deployments!BT37)</f>
        <v/>
      </c>
      <c r="S40" s="19">
        <f>IF(Deployments!BS37="","",Deployments!BS37)</f>
        <v/>
      </c>
      <c r="T40" s="19">
        <f>IF(Deployments!BB37="","",Deployments!BB37)</f>
        <v/>
      </c>
      <c r="U40" s="19">
        <f>IF(Deployments!BR37="","",Deployments!BR37)</f>
        <v/>
      </c>
      <c r="V40" s="19">
        <f>IF(Deployments!BX37="","",Deployments!BX37)</f>
        <v/>
      </c>
      <c r="W40" s="19">
        <f>IF(Deployments!BY37="","",Deployments!BY37)</f>
        <v/>
      </c>
      <c r="X40" s="19">
        <f>IF(Deployments!CC37="","",Deployments!CC37)</f>
        <v/>
      </c>
      <c r="Y40" s="19">
        <f>IF(Deployments!BW37="","",Deployments!BW37)</f>
        <v/>
      </c>
      <c r="Z40" s="19">
        <f>IF(Deployments!U37="","",Deployments!U37)</f>
        <v/>
      </c>
      <c r="AA40" s="19">
        <f>IF(Deployments!L37="","",Deployments!L37)</f>
        <v/>
      </c>
    </row>
    <row r="41" ht="45.75" customHeight="1" s="91">
      <c r="A41" s="20" t="n"/>
      <c r="B41" s="20" t="n"/>
      <c r="C41" s="19">
        <f>IF(Deployments!H38="","",Deployments!H38)</f>
        <v/>
      </c>
      <c r="D41" s="19">
        <f>IF(Deployments!AM38="","",Deployments!AM38)</f>
        <v/>
      </c>
      <c r="E41" s="19">
        <f>IF(Deployments!I38="","",Deployments!I38)</f>
        <v/>
      </c>
      <c r="F41" s="19">
        <f>IF(Deployments!J38="","",Deployments!J38)</f>
        <v/>
      </c>
      <c r="G41" s="19">
        <f>IF(Deployments!K38="","",Deployments!K38)</f>
        <v/>
      </c>
      <c r="H41" s="19">
        <f>IF(Deployments!A38="","",Deployments!A38)</f>
        <v/>
      </c>
      <c r="I41" s="19">
        <f>IF(Deployments!AN38="","",Deployments!AN38)</f>
        <v/>
      </c>
      <c r="J41" s="19">
        <f>IF(Deployments!AO38="","",Deployments!AO38)</f>
        <v/>
      </c>
      <c r="K41" s="19">
        <f>IF(Deployments!AI38="","",Deployments!AI38)</f>
        <v/>
      </c>
      <c r="L41" s="19">
        <f>IF(Deployments!M38="","",Deployments!M38)</f>
        <v/>
      </c>
      <c r="M41" s="20" t="n"/>
      <c r="N41" s="19">
        <f>IF(Deployments!N38="","",Deployments!N38)</f>
        <v/>
      </c>
      <c r="O41" s="19">
        <f>IF(Deployments!O38="","",Deployments!O38)</f>
        <v/>
      </c>
      <c r="P41" s="19">
        <f>IF(Deployments!P38="","",Deployments!P38)</f>
        <v/>
      </c>
      <c r="Q41" s="20" t="n"/>
      <c r="R41" s="19">
        <f>IF(Deployments!BT38="","",Deployments!BT38)</f>
        <v/>
      </c>
      <c r="S41" s="19">
        <f>IF(Deployments!BS38="","",Deployments!BS38)</f>
        <v/>
      </c>
      <c r="T41" s="19">
        <f>IF(Deployments!BB38="","",Deployments!BB38)</f>
        <v/>
      </c>
      <c r="U41" s="19">
        <f>IF(Deployments!BR38="","",Deployments!BR38)</f>
        <v/>
      </c>
      <c r="V41" s="19">
        <f>IF(Deployments!BX38="","",Deployments!BX38)</f>
        <v/>
      </c>
      <c r="W41" s="19">
        <f>IF(Deployments!BY38="","",Deployments!BY38)</f>
        <v/>
      </c>
      <c r="X41" s="19">
        <f>IF(Deployments!CC38="","",Deployments!CC38)</f>
        <v/>
      </c>
      <c r="Y41" s="19">
        <f>IF(Deployments!BW38="","",Deployments!BW38)</f>
        <v/>
      </c>
      <c r="Z41" s="19">
        <f>IF(Deployments!U38="","",Deployments!U38)</f>
        <v/>
      </c>
      <c r="AA41" s="19">
        <f>IF(Deployments!L38="","",Deployments!L38)</f>
        <v/>
      </c>
    </row>
    <row r="42" ht="45.75" customHeight="1" s="91">
      <c r="A42" s="20" t="n"/>
      <c r="B42" s="20" t="n"/>
      <c r="C42" s="19">
        <f>IF(Deployments!H39="","",Deployments!H39)</f>
        <v/>
      </c>
      <c r="D42" s="19">
        <f>IF(Deployments!AM39="","",Deployments!AM39)</f>
        <v/>
      </c>
      <c r="E42" s="19">
        <f>IF(Deployments!I39="","",Deployments!I39)</f>
        <v/>
      </c>
      <c r="F42" s="19">
        <f>IF(Deployments!J39="","",Deployments!J39)</f>
        <v/>
      </c>
      <c r="G42" s="19">
        <f>IF(Deployments!K39="","",Deployments!K39)</f>
        <v/>
      </c>
      <c r="H42" s="19">
        <f>IF(Deployments!A39="","",Deployments!A39)</f>
        <v/>
      </c>
      <c r="I42" s="19">
        <f>IF(Deployments!AN39="","",Deployments!AN39)</f>
        <v/>
      </c>
      <c r="J42" s="19">
        <f>IF(Deployments!AO39="","",Deployments!AO39)</f>
        <v/>
      </c>
      <c r="K42" s="19">
        <f>IF(Deployments!AI39="","",Deployments!AI39)</f>
        <v/>
      </c>
      <c r="L42" s="19">
        <f>IF(Deployments!M39="","",Deployments!M39)</f>
        <v/>
      </c>
      <c r="M42" s="20" t="n"/>
      <c r="N42" s="19">
        <f>IF(Deployments!N39="","",Deployments!N39)</f>
        <v/>
      </c>
      <c r="O42" s="19">
        <f>IF(Deployments!O39="","",Deployments!O39)</f>
        <v/>
      </c>
      <c r="P42" s="19">
        <f>IF(Deployments!P39="","",Deployments!P39)</f>
        <v/>
      </c>
      <c r="Q42" s="20" t="n"/>
      <c r="R42" s="19">
        <f>IF(Deployments!BT39="","",Deployments!BT39)</f>
        <v/>
      </c>
      <c r="S42" s="19">
        <f>IF(Deployments!BS39="","",Deployments!BS39)</f>
        <v/>
      </c>
      <c r="T42" s="19">
        <f>IF(Deployments!BB39="","",Deployments!BB39)</f>
        <v/>
      </c>
      <c r="U42" s="19">
        <f>IF(Deployments!BR39="","",Deployments!BR39)</f>
        <v/>
      </c>
      <c r="V42" s="19">
        <f>IF(Deployments!BX39="","",Deployments!BX39)</f>
        <v/>
      </c>
      <c r="W42" s="19">
        <f>IF(Deployments!BY39="","",Deployments!BY39)</f>
        <v/>
      </c>
      <c r="X42" s="19">
        <f>IF(Deployments!CC39="","",Deployments!CC39)</f>
        <v/>
      </c>
      <c r="Y42" s="19">
        <f>IF(Deployments!BW39="","",Deployments!BW39)</f>
        <v/>
      </c>
      <c r="Z42" s="19">
        <f>IF(Deployments!U39="","",Deployments!U39)</f>
        <v/>
      </c>
      <c r="AA42" s="19">
        <f>IF(Deployments!L39="","",Deployments!L39)</f>
        <v/>
      </c>
    </row>
    <row r="43" ht="45.75" customHeight="1" s="91">
      <c r="A43" s="20" t="n"/>
      <c r="B43" s="20" t="n"/>
      <c r="C43" s="19">
        <f>IF(Deployments!H40="","",Deployments!H40)</f>
        <v/>
      </c>
      <c r="D43" s="19">
        <f>IF(Deployments!AM40="","",Deployments!AM40)</f>
        <v/>
      </c>
      <c r="E43" s="19">
        <f>IF(Deployments!I40="","",Deployments!I40)</f>
        <v/>
      </c>
      <c r="F43" s="19">
        <f>IF(Deployments!J40="","",Deployments!J40)</f>
        <v/>
      </c>
      <c r="G43" s="19">
        <f>IF(Deployments!K40="","",Deployments!K40)</f>
        <v/>
      </c>
      <c r="H43" s="19">
        <f>IF(Deployments!A40="","",Deployments!A40)</f>
        <v/>
      </c>
      <c r="I43" s="19">
        <f>IF(Deployments!AN40="","",Deployments!AN40)</f>
        <v/>
      </c>
      <c r="J43" s="19">
        <f>IF(Deployments!AO40="","",Deployments!AO40)</f>
        <v/>
      </c>
      <c r="K43" s="19">
        <f>IF(Deployments!AI40="","",Deployments!AI40)</f>
        <v/>
      </c>
      <c r="L43" s="19">
        <f>IF(Deployments!M40="","",Deployments!M40)</f>
        <v/>
      </c>
      <c r="M43" s="20" t="n"/>
      <c r="N43" s="19">
        <f>IF(Deployments!N40="","",Deployments!N40)</f>
        <v/>
      </c>
      <c r="O43" s="19">
        <f>IF(Deployments!O40="","",Deployments!O40)</f>
        <v/>
      </c>
      <c r="P43" s="19">
        <f>IF(Deployments!P40="","",Deployments!P40)</f>
        <v/>
      </c>
      <c r="Q43" s="20" t="n"/>
      <c r="R43" s="19">
        <f>IF(Deployments!BT40="","",Deployments!BT40)</f>
        <v/>
      </c>
      <c r="S43" s="19">
        <f>IF(Deployments!BS40="","",Deployments!BS40)</f>
        <v/>
      </c>
      <c r="T43" s="19">
        <f>IF(Deployments!BB40="","",Deployments!BB40)</f>
        <v/>
      </c>
      <c r="U43" s="19">
        <f>IF(Deployments!BR40="","",Deployments!BR40)</f>
        <v/>
      </c>
      <c r="V43" s="19">
        <f>IF(Deployments!BX40="","",Deployments!BX40)</f>
        <v/>
      </c>
      <c r="W43" s="19">
        <f>IF(Deployments!BY40="","",Deployments!BY40)</f>
        <v/>
      </c>
      <c r="X43" s="19">
        <f>IF(Deployments!CC40="","",Deployments!CC40)</f>
        <v/>
      </c>
      <c r="Y43" s="19">
        <f>IF(Deployments!BW40="","",Deployments!BW40)</f>
        <v/>
      </c>
      <c r="Z43" s="19">
        <f>IF(Deployments!U40="","",Deployments!U40)</f>
        <v/>
      </c>
      <c r="AA43" s="19">
        <f>IF(Deployments!L40="","",Deployments!L40)</f>
        <v/>
      </c>
    </row>
    <row r="44" ht="45.75" customHeight="1" s="91">
      <c r="A44" s="20" t="n"/>
      <c r="B44" s="20" t="n"/>
      <c r="C44" s="19">
        <f>IF(Deployments!H41="","",Deployments!H41)</f>
        <v/>
      </c>
      <c r="D44" s="19">
        <f>IF(Deployments!AM41="","",Deployments!AM41)</f>
        <v/>
      </c>
      <c r="E44" s="19">
        <f>IF(Deployments!I41="","",Deployments!I41)</f>
        <v/>
      </c>
      <c r="F44" s="19">
        <f>IF(Deployments!J41="","",Deployments!J41)</f>
        <v/>
      </c>
      <c r="G44" s="19">
        <f>IF(Deployments!K41="","",Deployments!K41)</f>
        <v/>
      </c>
      <c r="H44" s="19">
        <f>IF(Deployments!A41="","",Deployments!A41)</f>
        <v/>
      </c>
      <c r="I44" s="19">
        <f>IF(Deployments!AN41="","",Deployments!AN41)</f>
        <v/>
      </c>
      <c r="J44" s="19">
        <f>IF(Deployments!AO41="","",Deployments!AO41)</f>
        <v/>
      </c>
      <c r="K44" s="19">
        <f>IF(Deployments!AI41="","",Deployments!AI41)</f>
        <v/>
      </c>
      <c r="L44" s="19">
        <f>IF(Deployments!M41="","",Deployments!M41)</f>
        <v/>
      </c>
      <c r="M44" s="20" t="n"/>
      <c r="N44" s="19">
        <f>IF(Deployments!N41="","",Deployments!N41)</f>
        <v/>
      </c>
      <c r="O44" s="19">
        <f>IF(Deployments!O41="","",Deployments!O41)</f>
        <v/>
      </c>
      <c r="P44" s="19">
        <f>IF(Deployments!P41="","",Deployments!P41)</f>
        <v/>
      </c>
      <c r="Q44" s="20" t="n"/>
      <c r="R44" s="19">
        <f>IF(Deployments!BT41="","",Deployments!BT41)</f>
        <v/>
      </c>
      <c r="S44" s="19">
        <f>IF(Deployments!BS41="","",Deployments!BS41)</f>
        <v/>
      </c>
      <c r="T44" s="19">
        <f>IF(Deployments!BB41="","",Deployments!BB41)</f>
        <v/>
      </c>
      <c r="U44" s="19">
        <f>IF(Deployments!BR41="","",Deployments!BR41)</f>
        <v/>
      </c>
      <c r="V44" s="19">
        <f>IF(Deployments!BX41="","",Deployments!BX41)</f>
        <v/>
      </c>
      <c r="W44" s="19">
        <f>IF(Deployments!BY41="","",Deployments!BY41)</f>
        <v/>
      </c>
      <c r="X44" s="19">
        <f>IF(Deployments!CC41="","",Deployments!CC41)</f>
        <v/>
      </c>
      <c r="Y44" s="19">
        <f>IF(Deployments!BW41="","",Deployments!BW41)</f>
        <v/>
      </c>
      <c r="Z44" s="19">
        <f>IF(Deployments!U41="","",Deployments!U41)</f>
        <v/>
      </c>
      <c r="AA44" s="19">
        <f>IF(Deployments!L41="","",Deployments!L41)</f>
        <v/>
      </c>
    </row>
    <row r="45" ht="45.75" customHeight="1" s="91">
      <c r="A45" s="20" t="n"/>
      <c r="B45" s="20" t="n"/>
      <c r="C45" s="19">
        <f>IF(Deployments!H42="","",Deployments!H42)</f>
        <v/>
      </c>
      <c r="D45" s="19">
        <f>IF(Deployments!AM42="","",Deployments!AM42)</f>
        <v/>
      </c>
      <c r="E45" s="19">
        <f>IF(Deployments!I42="","",Deployments!I42)</f>
        <v/>
      </c>
      <c r="F45" s="19">
        <f>IF(Deployments!J42="","",Deployments!J42)</f>
        <v/>
      </c>
      <c r="G45" s="19">
        <f>IF(Deployments!K42="","",Deployments!K42)</f>
        <v/>
      </c>
      <c r="H45" s="19">
        <f>IF(Deployments!A42="","",Deployments!A42)</f>
        <v/>
      </c>
      <c r="I45" s="19">
        <f>IF(Deployments!AN42="","",Deployments!AN42)</f>
        <v/>
      </c>
      <c r="J45" s="19">
        <f>IF(Deployments!AO42="","",Deployments!AO42)</f>
        <v/>
      </c>
      <c r="K45" s="19">
        <f>IF(Deployments!AI42="","",Deployments!AI42)</f>
        <v/>
      </c>
      <c r="L45" s="19">
        <f>IF(Deployments!M42="","",Deployments!M42)</f>
        <v/>
      </c>
      <c r="M45" s="20" t="n"/>
      <c r="N45" s="19">
        <f>IF(Deployments!N42="","",Deployments!N42)</f>
        <v/>
      </c>
      <c r="O45" s="19">
        <f>IF(Deployments!O42="","",Deployments!O42)</f>
        <v/>
      </c>
      <c r="P45" s="19">
        <f>IF(Deployments!P42="","",Deployments!P42)</f>
        <v/>
      </c>
      <c r="Q45" s="20" t="n"/>
      <c r="R45" s="19">
        <f>IF(Deployments!BT42="","",Deployments!BT42)</f>
        <v/>
      </c>
      <c r="S45" s="19">
        <f>IF(Deployments!BS42="","",Deployments!BS42)</f>
        <v/>
      </c>
      <c r="T45" s="19">
        <f>IF(Deployments!BB42="","",Deployments!BB42)</f>
        <v/>
      </c>
      <c r="U45" s="19">
        <f>IF(Deployments!BR42="","",Deployments!BR42)</f>
        <v/>
      </c>
      <c r="V45" s="19">
        <f>IF(Deployments!BX42="","",Deployments!BX42)</f>
        <v/>
      </c>
      <c r="W45" s="19">
        <f>IF(Deployments!BY42="","",Deployments!BY42)</f>
        <v/>
      </c>
      <c r="X45" s="19">
        <f>IF(Deployments!CC42="","",Deployments!CC42)</f>
        <v/>
      </c>
      <c r="Y45" s="19">
        <f>IF(Deployments!BW42="","",Deployments!BW42)</f>
        <v/>
      </c>
      <c r="Z45" s="19">
        <f>IF(Deployments!U42="","",Deployments!U42)</f>
        <v/>
      </c>
      <c r="AA45" s="19">
        <f>IF(Deployments!L42="","",Deployments!L42)</f>
        <v/>
      </c>
    </row>
    <row r="46" ht="41.25" customHeight="1" s="91">
      <c r="A46" s="20" t="n"/>
      <c r="B46" s="20" t="n"/>
      <c r="C46" s="19">
        <f>IF(Deployments!H43="","",Deployments!H43)</f>
        <v/>
      </c>
      <c r="D46" s="19">
        <f>IF(Deployments!AM43="","",Deployments!AM43)</f>
        <v/>
      </c>
      <c r="E46" s="19">
        <f>IF(Deployments!I43="","",Deployments!I43)</f>
        <v/>
      </c>
      <c r="F46" s="19">
        <f>IF(Deployments!J43="","",Deployments!J43)</f>
        <v/>
      </c>
      <c r="G46" s="19">
        <f>IF(Deployments!K43="","",Deployments!K43)</f>
        <v/>
      </c>
      <c r="H46" s="19">
        <f>IF(Deployments!A43="","",Deployments!A43)</f>
        <v/>
      </c>
      <c r="I46" s="19">
        <f>IF(Deployments!AN43="","",Deployments!AN43)</f>
        <v/>
      </c>
      <c r="J46" s="19">
        <f>IF(Deployments!AO43="","",Deployments!AO43)</f>
        <v/>
      </c>
      <c r="K46" s="19">
        <f>IF(Deployments!AI43="","",Deployments!AI43)</f>
        <v/>
      </c>
      <c r="L46" s="19">
        <f>IF(Deployments!M43="","",Deployments!M43)</f>
        <v/>
      </c>
      <c r="M46" s="20" t="n"/>
      <c r="N46" s="19">
        <f>IF(Deployments!N43="","",Deployments!N43)</f>
        <v/>
      </c>
      <c r="O46" s="19">
        <f>IF(Deployments!O43="","",Deployments!O43)</f>
        <v/>
      </c>
      <c r="P46" s="19">
        <f>IF(Deployments!P43="","",Deployments!P43)</f>
        <v/>
      </c>
      <c r="Q46" s="20" t="n"/>
      <c r="R46" s="19">
        <f>IF(Deployments!BT43="","",Deployments!BT43)</f>
        <v/>
      </c>
      <c r="S46" s="19">
        <f>IF(Deployments!BS43="","",Deployments!BS43)</f>
        <v/>
      </c>
      <c r="T46" s="19">
        <f>IF(Deployments!BB43="","",Deployments!BB43)</f>
        <v/>
      </c>
      <c r="U46" s="19">
        <f>IF(Deployments!BR43="","",Deployments!BR43)</f>
        <v/>
      </c>
      <c r="V46" s="19">
        <f>IF(Deployments!BX43="","",Deployments!BX43)</f>
        <v/>
      </c>
      <c r="W46" s="19">
        <f>IF(Deployments!BY43="","",Deployments!BY43)</f>
        <v/>
      </c>
      <c r="X46" s="19">
        <f>IF(Deployments!CC43="","",Deployments!CC43)</f>
        <v/>
      </c>
      <c r="Y46" s="19">
        <f>IF(Deployments!BW43="","",Deployments!BW43)</f>
        <v/>
      </c>
      <c r="Z46" s="19">
        <f>IF(Deployments!U43="","",Deployments!U43)</f>
        <v/>
      </c>
      <c r="AA46" s="19">
        <f>IF(Deployments!L43="","",Deployments!L43)</f>
        <v/>
      </c>
    </row>
    <row r="47" ht="45.75" customHeight="1" s="91">
      <c r="A47" s="20" t="n"/>
      <c r="B47" s="20" t="n"/>
      <c r="C47" s="19">
        <f>IF(Deployments!H44="","",Deployments!H44)</f>
        <v/>
      </c>
      <c r="D47" s="19">
        <f>IF(Deployments!AM44="","",Deployments!AM44)</f>
        <v/>
      </c>
      <c r="E47" s="19">
        <f>IF(Deployments!I44="","",Deployments!I44)</f>
        <v/>
      </c>
      <c r="F47" s="19">
        <f>IF(Deployments!J44="","",Deployments!J44)</f>
        <v/>
      </c>
      <c r="G47" s="19">
        <f>IF(Deployments!K44="","",Deployments!K44)</f>
        <v/>
      </c>
      <c r="H47" s="19">
        <f>IF(Deployments!A44="","",Deployments!A44)</f>
        <v/>
      </c>
      <c r="I47" s="19">
        <f>IF(Deployments!AN44="","",Deployments!AN44)</f>
        <v/>
      </c>
      <c r="J47" s="19">
        <f>IF(Deployments!AO44="","",Deployments!AO44)</f>
        <v/>
      </c>
      <c r="K47" s="19">
        <f>IF(Deployments!AI44="","",Deployments!AI44)</f>
        <v/>
      </c>
      <c r="L47" s="19">
        <f>IF(Deployments!M44="","",Deployments!M44)</f>
        <v/>
      </c>
      <c r="M47" s="20" t="n"/>
      <c r="N47" s="19">
        <f>IF(Deployments!N44="","",Deployments!N44)</f>
        <v/>
      </c>
      <c r="O47" s="19">
        <f>IF(Deployments!O44="","",Deployments!O44)</f>
        <v/>
      </c>
      <c r="P47" s="19">
        <f>IF(Deployments!P44="","",Deployments!P44)</f>
        <v/>
      </c>
      <c r="Q47" s="20" t="n"/>
      <c r="R47" s="19">
        <f>IF(Deployments!BT44="","",Deployments!BT44)</f>
        <v/>
      </c>
      <c r="S47" s="19">
        <f>IF(Deployments!BS44="","",Deployments!BS44)</f>
        <v/>
      </c>
      <c r="T47" s="19">
        <f>IF(Deployments!BB44="","",Deployments!BB44)</f>
        <v/>
      </c>
      <c r="U47" s="19">
        <f>IF(Deployments!BR44="","",Deployments!BR44)</f>
        <v/>
      </c>
      <c r="V47" s="19">
        <f>IF(Deployments!BX44="","",Deployments!BX44)</f>
        <v/>
      </c>
      <c r="W47" s="19">
        <f>IF(Deployments!BY44="","",Deployments!BY44)</f>
        <v/>
      </c>
      <c r="X47" s="19">
        <f>IF(Deployments!CC44="","",Deployments!CC44)</f>
        <v/>
      </c>
      <c r="Y47" s="19">
        <f>IF(Deployments!BW44="","",Deployments!BW44)</f>
        <v/>
      </c>
      <c r="Z47" s="19">
        <f>IF(Deployments!U44="","",Deployments!U44)</f>
        <v/>
      </c>
      <c r="AA47" s="19">
        <f>IF(Deployments!L44="","",Deployments!L44)</f>
        <v/>
      </c>
    </row>
    <row r="48" ht="45.75" customHeight="1" s="91">
      <c r="A48" s="20" t="n"/>
      <c r="B48" s="20" t="n"/>
      <c r="C48" s="19">
        <f>IF(Deployments!H45="","",Deployments!H45)</f>
        <v/>
      </c>
      <c r="D48" s="19">
        <f>IF(Deployments!AM45="","",Deployments!AM45)</f>
        <v/>
      </c>
      <c r="E48" s="19">
        <f>IF(Deployments!I45="","",Deployments!I45)</f>
        <v/>
      </c>
      <c r="F48" s="19">
        <f>IF(Deployments!J45="","",Deployments!J45)</f>
        <v/>
      </c>
      <c r="G48" s="19">
        <f>IF(Deployments!K45="","",Deployments!K45)</f>
        <v/>
      </c>
      <c r="H48" s="19">
        <f>IF(Deployments!A45="","",Deployments!A45)</f>
        <v/>
      </c>
      <c r="I48" s="19">
        <f>IF(Deployments!AN45="","",Deployments!AN45)</f>
        <v/>
      </c>
      <c r="J48" s="19">
        <f>IF(Deployments!AO45="","",Deployments!AO45)</f>
        <v/>
      </c>
      <c r="K48" s="19">
        <f>IF(Deployments!AI45="","",Deployments!AI45)</f>
        <v/>
      </c>
      <c r="L48" s="19">
        <f>IF(Deployments!M45="","",Deployments!M45)</f>
        <v/>
      </c>
      <c r="M48" s="20" t="n"/>
      <c r="N48" s="19">
        <f>IF(Deployments!N45="","",Deployments!N45)</f>
        <v/>
      </c>
      <c r="O48" s="19">
        <f>IF(Deployments!O45="","",Deployments!O45)</f>
        <v/>
      </c>
      <c r="P48" s="19">
        <f>IF(Deployments!P45="","",Deployments!P45)</f>
        <v/>
      </c>
      <c r="Q48" s="20" t="n"/>
      <c r="R48" s="19">
        <f>IF(Deployments!BT45="","",Deployments!BT45)</f>
        <v/>
      </c>
      <c r="S48" s="19">
        <f>IF(Deployments!BS45="","",Deployments!BS45)</f>
        <v/>
      </c>
      <c r="T48" s="19">
        <f>IF(Deployments!BB45="","",Deployments!BB45)</f>
        <v/>
      </c>
      <c r="U48" s="19">
        <f>IF(Deployments!BR45="","",Deployments!BR45)</f>
        <v/>
      </c>
      <c r="V48" s="19">
        <f>IF(Deployments!BX45="","",Deployments!BX45)</f>
        <v/>
      </c>
      <c r="W48" s="19">
        <f>IF(Deployments!BY45="","",Deployments!BY45)</f>
        <v/>
      </c>
      <c r="X48" s="19">
        <f>IF(Deployments!CC45="","",Deployments!CC45)</f>
        <v/>
      </c>
      <c r="Y48" s="19">
        <f>IF(Deployments!BW45="","",Deployments!BW45)</f>
        <v/>
      </c>
      <c r="Z48" s="19">
        <f>IF(Deployments!U45="","",Deployments!U45)</f>
        <v/>
      </c>
      <c r="AA48" s="19">
        <f>IF(Deployments!L45="","",Deployments!L45)</f>
        <v/>
      </c>
    </row>
    <row r="49" ht="45.75" customHeight="1" s="91">
      <c r="A49" s="20" t="n"/>
      <c r="B49" s="20" t="n"/>
      <c r="C49" s="19">
        <f>IF(Deployments!H46="","",Deployments!H46)</f>
        <v/>
      </c>
      <c r="D49" s="19">
        <f>IF(Deployments!AM46="","",Deployments!AM46)</f>
        <v/>
      </c>
      <c r="E49" s="19">
        <f>IF(Deployments!I46="","",Deployments!I46)</f>
        <v/>
      </c>
      <c r="F49" s="19">
        <f>IF(Deployments!J46="","",Deployments!J46)</f>
        <v/>
      </c>
      <c r="G49" s="19">
        <f>IF(Deployments!K46="","",Deployments!K46)</f>
        <v/>
      </c>
      <c r="H49" s="19">
        <f>IF(Deployments!A46="","",Deployments!A46)</f>
        <v/>
      </c>
      <c r="I49" s="19">
        <f>IF(Deployments!AN46="","",Deployments!AN46)</f>
        <v/>
      </c>
      <c r="J49" s="19">
        <f>IF(Deployments!AO46="","",Deployments!AO46)</f>
        <v/>
      </c>
      <c r="K49" s="19">
        <f>IF(Deployments!AI46="","",Deployments!AI46)</f>
        <v/>
      </c>
      <c r="L49" s="19">
        <f>IF(Deployments!M46="","",Deployments!M46)</f>
        <v/>
      </c>
      <c r="M49" s="20" t="n"/>
      <c r="N49" s="19">
        <f>IF(Deployments!N46="","",Deployments!N46)</f>
        <v/>
      </c>
      <c r="O49" s="19">
        <f>IF(Deployments!O46="","",Deployments!O46)</f>
        <v/>
      </c>
      <c r="P49" s="19">
        <f>IF(Deployments!P46="","",Deployments!P46)</f>
        <v/>
      </c>
      <c r="Q49" s="20" t="n"/>
      <c r="R49" s="19">
        <f>IF(Deployments!BT46="","",Deployments!BT46)</f>
        <v/>
      </c>
      <c r="S49" s="19">
        <f>IF(Deployments!BS46="","",Deployments!BS46)</f>
        <v/>
      </c>
      <c r="T49" s="19">
        <f>IF(Deployments!BB46="","",Deployments!BB46)</f>
        <v/>
      </c>
      <c r="U49" s="19">
        <f>IF(Deployments!BR46="","",Deployments!BR46)</f>
        <v/>
      </c>
      <c r="V49" s="19">
        <f>IF(Deployments!BX46="","",Deployments!BX46)</f>
        <v/>
      </c>
      <c r="W49" s="19">
        <f>IF(Deployments!BY46="","",Deployments!BY46)</f>
        <v/>
      </c>
      <c r="X49" s="19">
        <f>IF(Deployments!CC46="","",Deployments!CC46)</f>
        <v/>
      </c>
      <c r="Y49" s="19">
        <f>IF(Deployments!BW46="","",Deployments!BW46)</f>
        <v/>
      </c>
      <c r="Z49" s="19">
        <f>IF(Deployments!U46="","",Deployments!U46)</f>
        <v/>
      </c>
      <c r="AA49" s="19">
        <f>IF(Deployments!L46="","",Deployments!L46)</f>
        <v/>
      </c>
    </row>
    <row r="50" ht="30.75" customHeight="1" s="91">
      <c r="A50" s="20" t="n"/>
      <c r="B50" s="20" t="n"/>
      <c r="C50" s="19">
        <f>IF(Deployments!H47="","",Deployments!H47)</f>
        <v/>
      </c>
      <c r="D50" s="19">
        <f>IF(Deployments!AM47="","",Deployments!AM47)</f>
        <v/>
      </c>
      <c r="E50" s="19">
        <f>IF(Deployments!I47="","",Deployments!I47)</f>
        <v/>
      </c>
      <c r="F50" s="19">
        <f>IF(Deployments!J47="","",Deployments!J47)</f>
        <v/>
      </c>
      <c r="G50" s="19">
        <f>IF(Deployments!K47="","",Deployments!K47)</f>
        <v/>
      </c>
      <c r="H50" s="19">
        <f>IF(Deployments!A47="","",Deployments!A47)</f>
        <v/>
      </c>
      <c r="I50" s="19">
        <f>IF(Deployments!AN47="","",Deployments!AN47)</f>
        <v/>
      </c>
      <c r="J50" s="19">
        <f>IF(Deployments!AO47="","",Deployments!AO47)</f>
        <v/>
      </c>
      <c r="K50" s="19">
        <f>IF(Deployments!AI47="","",Deployments!AI47)</f>
        <v/>
      </c>
      <c r="L50" s="19">
        <f>IF(Deployments!M47="","",Deployments!M47)</f>
        <v/>
      </c>
      <c r="M50" s="20" t="n"/>
      <c r="N50" s="19">
        <f>IF(Deployments!N47="","",Deployments!N47)</f>
        <v/>
      </c>
      <c r="O50" s="19">
        <f>IF(Deployments!O47="","",Deployments!O47)</f>
        <v/>
      </c>
      <c r="P50" s="19">
        <f>IF(Deployments!P47="","",Deployments!P47)</f>
        <v/>
      </c>
      <c r="Q50" s="20" t="n"/>
      <c r="R50" s="19">
        <f>IF(Deployments!BT47="","",Deployments!BT47)</f>
        <v/>
      </c>
      <c r="S50" s="19">
        <f>IF(Deployments!BS47="","",Deployments!BS47)</f>
        <v/>
      </c>
      <c r="T50" s="19">
        <f>IF(Deployments!BB47="","",Deployments!BB47)</f>
        <v/>
      </c>
      <c r="U50" s="19">
        <f>IF(Deployments!BR47="","",Deployments!BR47)</f>
        <v/>
      </c>
      <c r="V50" s="19">
        <f>IF(Deployments!BX47="","",Deployments!BX47)</f>
        <v/>
      </c>
      <c r="W50" s="19">
        <f>IF(Deployments!BY47="","",Deployments!BY47)</f>
        <v/>
      </c>
      <c r="X50" s="19">
        <f>IF(Deployments!CC47="","",Deployments!CC47)</f>
        <v/>
      </c>
      <c r="Y50" s="19">
        <f>IF(Deployments!BW47="","",Deployments!BW47)</f>
        <v/>
      </c>
      <c r="Z50" s="19">
        <f>IF(Deployments!U47="","",Deployments!U47)</f>
        <v/>
      </c>
      <c r="AA50" s="19">
        <f>IF(Deployments!L47="","",Deployments!L47)</f>
        <v/>
      </c>
    </row>
    <row r="51" ht="30.75" customHeight="1" s="91">
      <c r="A51" s="20" t="n"/>
      <c r="B51" s="20" t="n"/>
      <c r="C51" s="19">
        <f>IF(Deployments!H48="","",Deployments!H48)</f>
        <v/>
      </c>
      <c r="D51" s="19">
        <f>IF(Deployments!AM48="","",Deployments!AM48)</f>
        <v/>
      </c>
      <c r="E51" s="19">
        <f>IF(Deployments!I48="","",Deployments!I48)</f>
        <v/>
      </c>
      <c r="F51" s="19">
        <f>IF(Deployments!J48="","",Deployments!J48)</f>
        <v/>
      </c>
      <c r="G51" s="19">
        <f>IF(Deployments!K48="","",Deployments!K48)</f>
        <v/>
      </c>
      <c r="H51" s="19">
        <f>IF(Deployments!A48="","",Deployments!A48)</f>
        <v/>
      </c>
      <c r="I51" s="19">
        <f>IF(Deployments!AN48="","",Deployments!AN48)</f>
        <v/>
      </c>
      <c r="J51" s="19">
        <f>IF(Deployments!AO48="","",Deployments!AO48)</f>
        <v/>
      </c>
      <c r="K51" s="19">
        <f>IF(Deployments!AI48="","",Deployments!AI48)</f>
        <v/>
      </c>
      <c r="L51" s="19">
        <f>IF(Deployments!M48="","",Deployments!M48)</f>
        <v/>
      </c>
      <c r="M51" s="20" t="n"/>
      <c r="N51" s="19">
        <f>IF(Deployments!N48="","",Deployments!N48)</f>
        <v/>
      </c>
      <c r="O51" s="19">
        <f>IF(Deployments!O48="","",Deployments!O48)</f>
        <v/>
      </c>
      <c r="P51" s="19">
        <f>IF(Deployments!P48="","",Deployments!P48)</f>
        <v/>
      </c>
      <c r="Q51" s="20" t="n"/>
      <c r="R51" s="19">
        <f>IF(Deployments!BT48="","",Deployments!BT48)</f>
        <v/>
      </c>
      <c r="S51" s="19">
        <f>IF(Deployments!BS48="","",Deployments!BS48)</f>
        <v/>
      </c>
      <c r="T51" s="19">
        <f>IF(Deployments!BB48="","",Deployments!BB48)</f>
        <v/>
      </c>
      <c r="U51" s="19">
        <f>IF(Deployments!BR48="","",Deployments!BR48)</f>
        <v/>
      </c>
      <c r="V51" s="19">
        <f>IF(Deployments!BX48="","",Deployments!BX48)</f>
        <v/>
      </c>
      <c r="W51" s="19">
        <f>IF(Deployments!BY48="","",Deployments!BY48)</f>
        <v/>
      </c>
      <c r="X51" s="19">
        <f>IF(Deployments!CC48="","",Deployments!CC48)</f>
        <v/>
      </c>
      <c r="Y51" s="19">
        <f>IF(Deployments!BW48="","",Deployments!BW48)</f>
        <v/>
      </c>
      <c r="Z51" s="19">
        <f>IF(Deployments!U48="","",Deployments!U48)</f>
        <v/>
      </c>
      <c r="AA51" s="19">
        <f>IF(Deployments!L48="","",Deployments!L48)</f>
        <v/>
      </c>
    </row>
    <row r="52" ht="41.25" customHeight="1" s="91">
      <c r="A52" s="20" t="n"/>
      <c r="B52" s="20" t="n"/>
      <c r="C52" s="19">
        <f>IF(Deployments!H49="","",Deployments!H49)</f>
        <v/>
      </c>
      <c r="D52" s="19">
        <f>IF(Deployments!AM49="","",Deployments!AM49)</f>
        <v/>
      </c>
      <c r="E52" s="19">
        <f>IF(Deployments!I49="","",Deployments!I49)</f>
        <v/>
      </c>
      <c r="F52" s="19">
        <f>IF(Deployments!J49="","",Deployments!J49)</f>
        <v/>
      </c>
      <c r="G52" s="19">
        <f>IF(Deployments!K49="","",Deployments!K49)</f>
        <v/>
      </c>
      <c r="H52" s="19">
        <f>IF(Deployments!A49="","",Deployments!A49)</f>
        <v/>
      </c>
      <c r="I52" s="19">
        <f>IF(Deployments!AN49="","",Deployments!AN49)</f>
        <v/>
      </c>
      <c r="J52" s="19">
        <f>IF(Deployments!AO49="","",Deployments!AO49)</f>
        <v/>
      </c>
      <c r="K52" s="19">
        <f>IF(Deployments!AI49="","",Deployments!AI49)</f>
        <v/>
      </c>
      <c r="L52" s="19">
        <f>IF(Deployments!M49="","",Deployments!M49)</f>
        <v/>
      </c>
      <c r="M52" s="20" t="n"/>
      <c r="N52" s="19">
        <f>IF(Deployments!N49="","",Deployments!N49)</f>
        <v/>
      </c>
      <c r="O52" s="19">
        <f>IF(Deployments!O49="","",Deployments!O49)</f>
        <v/>
      </c>
      <c r="P52" s="19">
        <f>IF(Deployments!P49="","",Deployments!P49)</f>
        <v/>
      </c>
      <c r="Q52" s="20" t="n"/>
      <c r="R52" s="19">
        <f>IF(Deployments!BT49="","",Deployments!BT49)</f>
        <v/>
      </c>
      <c r="S52" s="19">
        <f>IF(Deployments!BS49="","",Deployments!BS49)</f>
        <v/>
      </c>
      <c r="T52" s="19">
        <f>IF(Deployments!BB49="","",Deployments!BB49)</f>
        <v/>
      </c>
      <c r="U52" s="19">
        <f>IF(Deployments!BR49="","",Deployments!BR49)</f>
        <v/>
      </c>
      <c r="V52" s="19">
        <f>IF(Deployments!BX49="","",Deployments!BX49)</f>
        <v/>
      </c>
      <c r="W52" s="19">
        <f>IF(Deployments!BY49="","",Deployments!BY49)</f>
        <v/>
      </c>
      <c r="X52" s="19">
        <f>IF(Deployments!CC49="","",Deployments!CC49)</f>
        <v/>
      </c>
      <c r="Y52" s="19">
        <f>IF(Deployments!BW49="","",Deployments!BW49)</f>
        <v/>
      </c>
      <c r="Z52" s="19">
        <f>IF(Deployments!U49="","",Deployments!U49)</f>
        <v/>
      </c>
      <c r="AA52" s="19">
        <f>IF(Deployments!L49="","",Deployments!L49)</f>
        <v/>
      </c>
    </row>
    <row r="53" ht="41.25" customHeight="1" s="91">
      <c r="A53" s="20" t="n"/>
      <c r="B53" s="20" t="n"/>
      <c r="C53" s="19">
        <f>IF(Deployments!H50="","",Deployments!H50)</f>
        <v/>
      </c>
      <c r="D53" s="19">
        <f>IF(Deployments!AM50="","",Deployments!AM50)</f>
        <v/>
      </c>
      <c r="E53" s="19">
        <f>IF(Deployments!I50="","",Deployments!I50)</f>
        <v/>
      </c>
      <c r="F53" s="19">
        <f>IF(Deployments!J50="","",Deployments!J50)</f>
        <v/>
      </c>
      <c r="G53" s="19">
        <f>IF(Deployments!K50="","",Deployments!K50)</f>
        <v/>
      </c>
      <c r="H53" s="19">
        <f>IF(Deployments!A50="","",Deployments!A50)</f>
        <v/>
      </c>
      <c r="I53" s="19">
        <f>IF(Deployments!AN50="","",Deployments!AN50)</f>
        <v/>
      </c>
      <c r="J53" s="19">
        <f>IF(Deployments!AO50="","",Deployments!AO50)</f>
        <v/>
      </c>
      <c r="K53" s="19">
        <f>IF(Deployments!AI50="","",Deployments!AI50)</f>
        <v/>
      </c>
      <c r="L53" s="19">
        <f>IF(Deployments!M50="","",Deployments!M50)</f>
        <v/>
      </c>
      <c r="M53" s="20" t="n"/>
      <c r="N53" s="19">
        <f>IF(Deployments!N50="","",Deployments!N50)</f>
        <v/>
      </c>
      <c r="O53" s="19">
        <f>IF(Deployments!O50="","",Deployments!O50)</f>
        <v/>
      </c>
      <c r="P53" s="19">
        <f>IF(Deployments!P50="","",Deployments!P50)</f>
        <v/>
      </c>
      <c r="Q53" s="20" t="n"/>
      <c r="R53" s="19">
        <f>IF(Deployments!BT50="","",Deployments!BT50)</f>
        <v/>
      </c>
      <c r="S53" s="19">
        <f>IF(Deployments!BS50="","",Deployments!BS50)</f>
        <v/>
      </c>
      <c r="T53" s="19">
        <f>IF(Deployments!BB50="","",Deployments!BB50)</f>
        <v/>
      </c>
      <c r="U53" s="19">
        <f>IF(Deployments!BR50="","",Deployments!BR50)</f>
        <v/>
      </c>
      <c r="V53" s="19">
        <f>IF(Deployments!BX50="","",Deployments!BX50)</f>
        <v/>
      </c>
      <c r="W53" s="19">
        <f>IF(Deployments!BY50="","",Deployments!BY50)</f>
        <v/>
      </c>
      <c r="X53" s="19">
        <f>IF(Deployments!CC50="","",Deployments!CC50)</f>
        <v/>
      </c>
      <c r="Y53" s="19">
        <f>IF(Deployments!BW50="","",Deployments!BW50)</f>
        <v/>
      </c>
      <c r="Z53" s="19">
        <f>IF(Deployments!U50="","",Deployments!U50)</f>
        <v/>
      </c>
      <c r="AA53" s="19">
        <f>IF(Deployments!L50="","",Deployments!L50)</f>
        <v/>
      </c>
    </row>
    <row r="54" ht="30.75" customHeight="1" s="91">
      <c r="A54" s="20" t="n"/>
      <c r="B54" s="20" t="n"/>
      <c r="C54" s="19">
        <f>IF(Deployments!H51="","",Deployments!H51)</f>
        <v/>
      </c>
      <c r="D54" s="19">
        <f>IF(Deployments!AM51="","",Deployments!AM51)</f>
        <v/>
      </c>
      <c r="E54" s="19">
        <f>IF(Deployments!I51="","",Deployments!I51)</f>
        <v/>
      </c>
      <c r="F54" s="19">
        <f>IF(Deployments!J51="","",Deployments!J51)</f>
        <v/>
      </c>
      <c r="G54" s="19">
        <f>IF(Deployments!K51="","",Deployments!K51)</f>
        <v/>
      </c>
      <c r="H54" s="19">
        <f>IF(Deployments!A51="","",Deployments!A51)</f>
        <v/>
      </c>
      <c r="I54" s="19">
        <f>IF(Deployments!AN51="","",Deployments!AN51)</f>
        <v/>
      </c>
      <c r="J54" s="19">
        <f>IF(Deployments!AO51="","",Deployments!AO51)</f>
        <v/>
      </c>
      <c r="K54" s="19">
        <f>IF(Deployments!AI51="","",Deployments!AI51)</f>
        <v/>
      </c>
      <c r="L54" s="19">
        <f>IF(Deployments!M51="","",Deployments!M51)</f>
        <v/>
      </c>
      <c r="M54" s="20" t="n"/>
      <c r="N54" s="19">
        <f>IF(Deployments!N51="","",Deployments!N51)</f>
        <v/>
      </c>
      <c r="O54" s="19">
        <f>IF(Deployments!O51="","",Deployments!O51)</f>
        <v/>
      </c>
      <c r="P54" s="19">
        <f>IF(Deployments!P51="","",Deployments!P51)</f>
        <v/>
      </c>
      <c r="Q54" s="20" t="n"/>
      <c r="R54" s="19">
        <f>IF(Deployments!BT51="","",Deployments!BT51)</f>
        <v/>
      </c>
      <c r="S54" s="19">
        <f>IF(Deployments!BS51="","",Deployments!BS51)</f>
        <v/>
      </c>
      <c r="T54" s="19">
        <f>IF(Deployments!BB51="","",Deployments!BB51)</f>
        <v/>
      </c>
      <c r="U54" s="19">
        <f>IF(Deployments!BR51="","",Deployments!BR51)</f>
        <v/>
      </c>
      <c r="V54" s="19">
        <f>IF(Deployments!BX51="","",Deployments!BX51)</f>
        <v/>
      </c>
      <c r="W54" s="19">
        <f>IF(Deployments!BY51="","",Deployments!BY51)</f>
        <v/>
      </c>
      <c r="X54" s="19">
        <f>IF(Deployments!CC51="","",Deployments!CC51)</f>
        <v/>
      </c>
      <c r="Y54" s="19">
        <f>IF(Deployments!BW51="","",Deployments!BW51)</f>
        <v/>
      </c>
      <c r="Z54" s="19">
        <f>IF(Deployments!U51="","",Deployments!U51)</f>
        <v/>
      </c>
      <c r="AA54" s="19">
        <f>IF(Deployments!L51="","",Deployments!L51)</f>
        <v/>
      </c>
    </row>
    <row r="55" ht="30.75" customHeight="1" s="91">
      <c r="A55" s="20" t="n"/>
      <c r="B55" s="20" t="n"/>
      <c r="C55" s="19">
        <f>IF(Deployments!H52="","",Deployments!H52)</f>
        <v/>
      </c>
      <c r="D55" s="19">
        <f>IF(Deployments!AM52="","",Deployments!AM52)</f>
        <v/>
      </c>
      <c r="E55" s="19">
        <f>IF(Deployments!I52="","",Deployments!I52)</f>
        <v/>
      </c>
      <c r="F55" s="19">
        <f>IF(Deployments!J52="","",Deployments!J52)</f>
        <v/>
      </c>
      <c r="G55" s="19">
        <f>IF(Deployments!K52="","",Deployments!K52)</f>
        <v/>
      </c>
      <c r="H55" s="19">
        <f>IF(Deployments!A52="","",Deployments!A52)</f>
        <v/>
      </c>
      <c r="I55" s="19">
        <f>IF(Deployments!AN52="","",Deployments!AN52)</f>
        <v/>
      </c>
      <c r="J55" s="19">
        <f>IF(Deployments!AO52="","",Deployments!AO52)</f>
        <v/>
      </c>
      <c r="K55" s="19">
        <f>IF(Deployments!AI52="","",Deployments!AI52)</f>
        <v/>
      </c>
      <c r="L55" s="19">
        <f>IF(Deployments!M52="","",Deployments!M52)</f>
        <v/>
      </c>
      <c r="M55" s="20" t="n"/>
      <c r="N55" s="19">
        <f>IF(Deployments!N52="","",Deployments!N52)</f>
        <v/>
      </c>
      <c r="O55" s="19">
        <f>IF(Deployments!O52="","",Deployments!O52)</f>
        <v/>
      </c>
      <c r="P55" s="19">
        <f>IF(Deployments!P52="","",Deployments!P52)</f>
        <v/>
      </c>
      <c r="Q55" s="20" t="n"/>
      <c r="R55" s="19">
        <f>IF(Deployments!BT52="","",Deployments!BT52)</f>
        <v/>
      </c>
      <c r="S55" s="19">
        <f>IF(Deployments!BS52="","",Deployments!BS52)</f>
        <v/>
      </c>
      <c r="T55" s="19">
        <f>IF(Deployments!BB52="","",Deployments!BB52)</f>
        <v/>
      </c>
      <c r="U55" s="19">
        <f>IF(Deployments!BR52="","",Deployments!BR52)</f>
        <v/>
      </c>
      <c r="V55" s="19">
        <f>IF(Deployments!BX52="","",Deployments!BX52)</f>
        <v/>
      </c>
      <c r="W55" s="19">
        <f>IF(Deployments!BY52="","",Deployments!BY52)</f>
        <v/>
      </c>
      <c r="X55" s="19">
        <f>IF(Deployments!CC52="","",Deployments!CC52)</f>
        <v/>
      </c>
      <c r="Y55" s="19">
        <f>IF(Deployments!BW52="","",Deployments!BW52)</f>
        <v/>
      </c>
      <c r="Z55" s="19">
        <f>IF(Deployments!U52="","",Deployments!U52)</f>
        <v/>
      </c>
      <c r="AA55" s="19">
        <f>IF(Deployments!L52="","",Deployments!L52)</f>
        <v/>
      </c>
    </row>
    <row r="56" ht="41.25" customHeight="1" s="91">
      <c r="A56" s="20" t="n"/>
      <c r="B56" s="20" t="n"/>
      <c r="C56" s="19">
        <f>IF(Deployments!H53="","",Deployments!H53)</f>
        <v/>
      </c>
      <c r="D56" s="19">
        <f>IF(Deployments!AM53="","",Deployments!AM53)</f>
        <v/>
      </c>
      <c r="E56" s="19">
        <f>IF(Deployments!I53="","",Deployments!I53)</f>
        <v/>
      </c>
      <c r="F56" s="19">
        <f>IF(Deployments!J53="","",Deployments!J53)</f>
        <v/>
      </c>
      <c r="G56" s="19">
        <f>IF(Deployments!K53="","",Deployments!K53)</f>
        <v/>
      </c>
      <c r="H56" s="19">
        <f>IF(Deployments!A53="","",Deployments!A53)</f>
        <v/>
      </c>
      <c r="I56" s="19">
        <f>IF(Deployments!AN53="","",Deployments!AN53)</f>
        <v/>
      </c>
      <c r="J56" s="19">
        <f>IF(Deployments!AO53="","",Deployments!AO53)</f>
        <v/>
      </c>
      <c r="K56" s="19">
        <f>IF(Deployments!AI53="","",Deployments!AI53)</f>
        <v/>
      </c>
      <c r="L56" s="19">
        <f>IF(Deployments!M53="","",Deployments!M53)</f>
        <v/>
      </c>
      <c r="M56" s="20" t="n"/>
      <c r="N56" s="19">
        <f>IF(Deployments!N53="","",Deployments!N53)</f>
        <v/>
      </c>
      <c r="O56" s="19">
        <f>IF(Deployments!O53="","",Deployments!O53)</f>
        <v/>
      </c>
      <c r="P56" s="19">
        <f>IF(Deployments!P53="","",Deployments!P53)</f>
        <v/>
      </c>
      <c r="Q56" s="20" t="n"/>
      <c r="R56" s="19">
        <f>IF(Deployments!BT53="","",Deployments!BT53)</f>
        <v/>
      </c>
      <c r="S56" s="19">
        <f>IF(Deployments!BS53="","",Deployments!BS53)</f>
        <v/>
      </c>
      <c r="T56" s="19">
        <f>IF(Deployments!BB53="","",Deployments!BB53)</f>
        <v/>
      </c>
      <c r="U56" s="19">
        <f>IF(Deployments!BR53="","",Deployments!BR53)</f>
        <v/>
      </c>
      <c r="V56" s="19">
        <f>IF(Deployments!BX53="","",Deployments!BX53)</f>
        <v/>
      </c>
      <c r="W56" s="19">
        <f>IF(Deployments!BY53="","",Deployments!BY53)</f>
        <v/>
      </c>
      <c r="X56" s="19">
        <f>IF(Deployments!CC53="","",Deployments!CC53)</f>
        <v/>
      </c>
      <c r="Y56" s="19">
        <f>IF(Deployments!BW53="","",Deployments!BW53)</f>
        <v/>
      </c>
      <c r="Z56" s="19">
        <f>IF(Deployments!U53="","",Deployments!U53)</f>
        <v/>
      </c>
      <c r="AA56" s="19">
        <f>IF(Deployments!L53="","",Deployments!L53)</f>
        <v/>
      </c>
    </row>
    <row r="57" ht="41.25" customHeight="1" s="91">
      <c r="A57" s="20" t="n"/>
      <c r="B57" s="20" t="n"/>
      <c r="C57" s="19">
        <f>IF(Deployments!H54="","",Deployments!H54)</f>
        <v/>
      </c>
      <c r="D57" s="19">
        <f>IF(Deployments!AM54="","",Deployments!AM54)</f>
        <v/>
      </c>
      <c r="E57" s="19">
        <f>IF(Deployments!I54="","",Deployments!I54)</f>
        <v/>
      </c>
      <c r="F57" s="19">
        <f>IF(Deployments!J54="","",Deployments!J54)</f>
        <v/>
      </c>
      <c r="G57" s="19">
        <f>IF(Deployments!K54="","",Deployments!K54)</f>
        <v/>
      </c>
      <c r="H57" s="19">
        <f>IF(Deployments!A54="","",Deployments!A54)</f>
        <v/>
      </c>
      <c r="I57" s="19">
        <f>IF(Deployments!AN54="","",Deployments!AN54)</f>
        <v/>
      </c>
      <c r="J57" s="19">
        <f>IF(Deployments!AO54="","",Deployments!AO54)</f>
        <v/>
      </c>
      <c r="K57" s="19">
        <f>IF(Deployments!AI54="","",Deployments!AI54)</f>
        <v/>
      </c>
      <c r="L57" s="19">
        <f>IF(Deployments!M54="","",Deployments!M54)</f>
        <v/>
      </c>
      <c r="M57" s="20" t="n"/>
      <c r="N57" s="19">
        <f>IF(Deployments!N54="","",Deployments!N54)</f>
        <v/>
      </c>
      <c r="O57" s="19">
        <f>IF(Deployments!O54="","",Deployments!O54)</f>
        <v/>
      </c>
      <c r="P57" s="19">
        <f>IF(Deployments!P54="","",Deployments!P54)</f>
        <v/>
      </c>
      <c r="Q57" s="20" t="n"/>
      <c r="R57" s="19">
        <f>IF(Deployments!BT54="","",Deployments!BT54)</f>
        <v/>
      </c>
      <c r="S57" s="19">
        <f>IF(Deployments!BS54="","",Deployments!BS54)</f>
        <v/>
      </c>
      <c r="T57" s="19">
        <f>IF(Deployments!BB54="","",Deployments!BB54)</f>
        <v/>
      </c>
      <c r="U57" s="19">
        <f>IF(Deployments!BR54="","",Deployments!BR54)</f>
        <v/>
      </c>
      <c r="V57" s="19">
        <f>IF(Deployments!BX54="","",Deployments!BX54)</f>
        <v/>
      </c>
      <c r="W57" s="19">
        <f>IF(Deployments!BY54="","",Deployments!BY54)</f>
        <v/>
      </c>
      <c r="X57" s="19">
        <f>IF(Deployments!CC54="","",Deployments!CC54)</f>
        <v/>
      </c>
      <c r="Y57" s="19">
        <f>IF(Deployments!BW54="","",Deployments!BW54)</f>
        <v/>
      </c>
      <c r="Z57" s="19">
        <f>IF(Deployments!U54="","",Deployments!U54)</f>
        <v/>
      </c>
      <c r="AA57" s="19">
        <f>IF(Deployments!L54="","",Deployments!L54)</f>
        <v/>
      </c>
    </row>
    <row r="58" ht="41.25" customHeight="1" s="91">
      <c r="A58" s="20" t="n"/>
      <c r="B58" s="20" t="n"/>
      <c r="C58" s="19">
        <f>IF(Deployments!H55="","",Deployments!H55)</f>
        <v/>
      </c>
      <c r="D58" s="19">
        <f>IF(Deployments!AM55="","",Deployments!AM55)</f>
        <v/>
      </c>
      <c r="E58" s="19">
        <f>IF(Deployments!I55="","",Deployments!I55)</f>
        <v/>
      </c>
      <c r="F58" s="19">
        <f>IF(Deployments!J55="","",Deployments!J55)</f>
        <v/>
      </c>
      <c r="G58" s="19">
        <f>IF(Deployments!K55="","",Deployments!K55)</f>
        <v/>
      </c>
      <c r="H58" s="19">
        <f>IF(Deployments!A55="","",Deployments!A55)</f>
        <v/>
      </c>
      <c r="I58" s="19">
        <f>IF(Deployments!AN55="","",Deployments!AN55)</f>
        <v/>
      </c>
      <c r="J58" s="19">
        <f>IF(Deployments!AO55="","",Deployments!AO55)</f>
        <v/>
      </c>
      <c r="K58" s="19">
        <f>IF(Deployments!AI55="","",Deployments!AI55)</f>
        <v/>
      </c>
      <c r="L58" s="19">
        <f>IF(Deployments!M55="","",Deployments!M55)</f>
        <v/>
      </c>
      <c r="M58" s="20" t="n"/>
      <c r="N58" s="19">
        <f>IF(Deployments!N55="","",Deployments!N55)</f>
        <v/>
      </c>
      <c r="O58" s="19">
        <f>IF(Deployments!O55="","",Deployments!O55)</f>
        <v/>
      </c>
      <c r="P58" s="19">
        <f>IF(Deployments!P55="","",Deployments!P55)</f>
        <v/>
      </c>
      <c r="Q58" s="20" t="n"/>
      <c r="R58" s="19">
        <f>IF(Deployments!BT55="","",Deployments!BT55)</f>
        <v/>
      </c>
      <c r="S58" s="19">
        <f>IF(Deployments!BS55="","",Deployments!BS55)</f>
        <v/>
      </c>
      <c r="T58" s="19">
        <f>IF(Deployments!BB55="","",Deployments!BB55)</f>
        <v/>
      </c>
      <c r="U58" s="19">
        <f>IF(Deployments!BR55="","",Deployments!BR55)</f>
        <v/>
      </c>
      <c r="V58" s="19">
        <f>IF(Deployments!BX55="","",Deployments!BX55)</f>
        <v/>
      </c>
      <c r="W58" s="19">
        <f>IF(Deployments!BY55="","",Deployments!BY55)</f>
        <v/>
      </c>
      <c r="X58" s="19">
        <f>IF(Deployments!CC55="","",Deployments!CC55)</f>
        <v/>
      </c>
      <c r="Y58" s="19">
        <f>IF(Deployments!BW55="","",Deployments!BW55)</f>
        <v/>
      </c>
      <c r="Z58" s="19">
        <f>IF(Deployments!U55="","",Deployments!U55)</f>
        <v/>
      </c>
      <c r="AA58" s="19">
        <f>IF(Deployments!L55="","",Deployments!L55)</f>
        <v/>
      </c>
    </row>
    <row r="59" ht="41.25" customHeight="1" s="91">
      <c r="A59" s="20" t="n"/>
      <c r="B59" s="20" t="n"/>
      <c r="C59" s="19">
        <f>IF(Deployments!H56="","",Deployments!H56)</f>
        <v/>
      </c>
      <c r="D59" s="19">
        <f>IF(Deployments!AM56="","",Deployments!AM56)</f>
        <v/>
      </c>
      <c r="E59" s="19">
        <f>IF(Deployments!I56="","",Deployments!I56)</f>
        <v/>
      </c>
      <c r="F59" s="19">
        <f>IF(Deployments!J56="","",Deployments!J56)</f>
        <v/>
      </c>
      <c r="G59" s="19">
        <f>IF(Deployments!K56="","",Deployments!K56)</f>
        <v/>
      </c>
      <c r="H59" s="19">
        <f>IF(Deployments!A56="","",Deployments!A56)</f>
        <v/>
      </c>
      <c r="I59" s="19">
        <f>IF(Deployments!AN56="","",Deployments!AN56)</f>
        <v/>
      </c>
      <c r="J59" s="19">
        <f>IF(Deployments!AO56="","",Deployments!AO56)</f>
        <v/>
      </c>
      <c r="K59" s="19">
        <f>IF(Deployments!AI56="","",Deployments!AI56)</f>
        <v/>
      </c>
      <c r="L59" s="19">
        <f>IF(Deployments!M56="","",Deployments!M56)</f>
        <v/>
      </c>
      <c r="M59" s="20" t="n"/>
      <c r="N59" s="19">
        <f>IF(Deployments!N56="","",Deployments!N56)</f>
        <v/>
      </c>
      <c r="O59" s="19">
        <f>IF(Deployments!O56="","",Deployments!O56)</f>
        <v/>
      </c>
      <c r="P59" s="19">
        <f>IF(Deployments!P56="","",Deployments!P56)</f>
        <v/>
      </c>
      <c r="Q59" s="20" t="n"/>
      <c r="R59" s="19">
        <f>IF(Deployments!BT56="","",Deployments!BT56)</f>
        <v/>
      </c>
      <c r="S59" s="19">
        <f>IF(Deployments!BS56="","",Deployments!BS56)</f>
        <v/>
      </c>
      <c r="T59" s="19">
        <f>IF(Deployments!BB56="","",Deployments!BB56)</f>
        <v/>
      </c>
      <c r="U59" s="19">
        <f>IF(Deployments!BR56="","",Deployments!BR56)</f>
        <v/>
      </c>
      <c r="V59" s="19">
        <f>IF(Deployments!BX56="","",Deployments!BX56)</f>
        <v/>
      </c>
      <c r="W59" s="19">
        <f>IF(Deployments!BY56="","",Deployments!BY56)</f>
        <v/>
      </c>
      <c r="X59" s="19">
        <f>IF(Deployments!CC56="","",Deployments!CC56)</f>
        <v/>
      </c>
      <c r="Y59" s="19">
        <f>IF(Deployments!BW56="","",Deployments!BW56)</f>
        <v/>
      </c>
      <c r="Z59" s="19">
        <f>IF(Deployments!U56="","",Deployments!U56)</f>
        <v/>
      </c>
      <c r="AA59" s="19">
        <f>IF(Deployments!L56="","",Deployments!L56)</f>
        <v/>
      </c>
    </row>
    <row r="60" ht="41.25" customHeight="1" s="91">
      <c r="A60" s="20" t="n"/>
      <c r="B60" s="20" t="n"/>
      <c r="C60" s="19">
        <f>IF(Deployments!H57="","",Deployments!H57)</f>
        <v/>
      </c>
      <c r="D60" s="19">
        <f>IF(Deployments!AM57="","",Deployments!AM57)</f>
        <v/>
      </c>
      <c r="E60" s="19">
        <f>IF(Deployments!I57="","",Deployments!I57)</f>
        <v/>
      </c>
      <c r="F60" s="19">
        <f>IF(Deployments!J57="","",Deployments!J57)</f>
        <v/>
      </c>
      <c r="G60" s="19">
        <f>IF(Deployments!K57="","",Deployments!K57)</f>
        <v/>
      </c>
      <c r="H60" s="19">
        <f>IF(Deployments!A57="","",Deployments!A57)</f>
        <v/>
      </c>
      <c r="I60" s="19">
        <f>IF(Deployments!AN57="","",Deployments!AN57)</f>
        <v/>
      </c>
      <c r="J60" s="19">
        <f>IF(Deployments!AO57="","",Deployments!AO57)</f>
        <v/>
      </c>
      <c r="K60" s="19">
        <f>IF(Deployments!AI57="","",Deployments!AI57)</f>
        <v/>
      </c>
      <c r="L60" s="19">
        <f>IF(Deployments!M57="","",Deployments!M57)</f>
        <v/>
      </c>
      <c r="M60" s="20" t="n"/>
      <c r="N60" s="19">
        <f>IF(Deployments!N57="","",Deployments!N57)</f>
        <v/>
      </c>
      <c r="O60" s="19">
        <f>IF(Deployments!O57="","",Deployments!O57)</f>
        <v/>
      </c>
      <c r="P60" s="19">
        <f>IF(Deployments!P57="","",Deployments!P57)</f>
        <v/>
      </c>
      <c r="Q60" s="20" t="n"/>
      <c r="R60" s="19">
        <f>IF(Deployments!BT57="","",Deployments!BT57)</f>
        <v/>
      </c>
      <c r="S60" s="19">
        <f>IF(Deployments!BS57="","",Deployments!BS57)</f>
        <v/>
      </c>
      <c r="T60" s="19">
        <f>IF(Deployments!BB57="","",Deployments!BB57)</f>
        <v/>
      </c>
      <c r="U60" s="19">
        <f>IF(Deployments!BR57="","",Deployments!BR57)</f>
        <v/>
      </c>
      <c r="V60" s="19">
        <f>IF(Deployments!BX57="","",Deployments!BX57)</f>
        <v/>
      </c>
      <c r="W60" s="19">
        <f>IF(Deployments!BY57="","",Deployments!BY57)</f>
        <v/>
      </c>
      <c r="X60" s="19">
        <f>IF(Deployments!CC57="","",Deployments!CC57)</f>
        <v/>
      </c>
      <c r="Y60" s="19">
        <f>IF(Deployments!BW57="","",Deployments!BW57)</f>
        <v/>
      </c>
      <c r="Z60" s="19">
        <f>IF(Deployments!U57="","",Deployments!U57)</f>
        <v/>
      </c>
      <c r="AA60" s="19">
        <f>IF(Deployments!L57="","",Deployments!L57)</f>
        <v/>
      </c>
    </row>
    <row r="61" ht="41.25" customHeight="1" s="91">
      <c r="A61" s="20" t="n"/>
      <c r="B61" s="20" t="n"/>
      <c r="C61" s="19">
        <f>IF(Deployments!H58="","",Deployments!H58)</f>
        <v/>
      </c>
      <c r="D61" s="19">
        <f>IF(Deployments!AM58="","",Deployments!AM58)</f>
        <v/>
      </c>
      <c r="E61" s="19">
        <f>IF(Deployments!I58="","",Deployments!I58)</f>
        <v/>
      </c>
      <c r="F61" s="19">
        <f>IF(Deployments!J58="","",Deployments!J58)</f>
        <v/>
      </c>
      <c r="G61" s="19">
        <f>IF(Deployments!K58="","",Deployments!K58)</f>
        <v/>
      </c>
      <c r="H61" s="19">
        <f>IF(Deployments!A58="","",Deployments!A58)</f>
        <v/>
      </c>
      <c r="I61" s="19">
        <f>IF(Deployments!AN58="","",Deployments!AN58)</f>
        <v/>
      </c>
      <c r="J61" s="19">
        <f>IF(Deployments!AO58="","",Deployments!AO58)</f>
        <v/>
      </c>
      <c r="K61" s="19">
        <f>IF(Deployments!AI58="","",Deployments!AI58)</f>
        <v/>
      </c>
      <c r="L61" s="19">
        <f>IF(Deployments!M58="","",Deployments!M58)</f>
        <v/>
      </c>
      <c r="M61" s="20" t="n"/>
      <c r="N61" s="19">
        <f>IF(Deployments!N58="","",Deployments!N58)</f>
        <v/>
      </c>
      <c r="O61" s="19">
        <f>IF(Deployments!O58="","",Deployments!O58)</f>
        <v/>
      </c>
      <c r="P61" s="19">
        <f>IF(Deployments!P58="","",Deployments!P58)</f>
        <v/>
      </c>
      <c r="Q61" s="20" t="n"/>
      <c r="R61" s="19">
        <f>IF(Deployments!BT58="","",Deployments!BT58)</f>
        <v/>
      </c>
      <c r="S61" s="19">
        <f>IF(Deployments!BS58="","",Deployments!BS58)</f>
        <v/>
      </c>
      <c r="T61" s="19">
        <f>IF(Deployments!BB58="","",Deployments!BB58)</f>
        <v/>
      </c>
      <c r="U61" s="19">
        <f>IF(Deployments!BR58="","",Deployments!BR58)</f>
        <v/>
      </c>
      <c r="V61" s="19">
        <f>IF(Deployments!BX58="","",Deployments!BX58)</f>
        <v/>
      </c>
      <c r="W61" s="19">
        <f>IF(Deployments!BY58="","",Deployments!BY58)</f>
        <v/>
      </c>
      <c r="X61" s="19">
        <f>IF(Deployments!CC58="","",Deployments!CC58)</f>
        <v/>
      </c>
      <c r="Y61" s="19">
        <f>IF(Deployments!BW58="","",Deployments!BW58)</f>
        <v/>
      </c>
      <c r="Z61" s="19">
        <f>IF(Deployments!U58="","",Deployments!U58)</f>
        <v/>
      </c>
      <c r="AA61" s="19">
        <f>IF(Deployments!L58="","",Deployments!L58)</f>
        <v/>
      </c>
    </row>
    <row r="62" ht="41.25" customHeight="1" s="91">
      <c r="A62" s="20" t="n"/>
      <c r="B62" s="20" t="n"/>
      <c r="C62" s="19">
        <f>IF(Deployments!H59="","",Deployments!H59)</f>
        <v/>
      </c>
      <c r="D62" s="19">
        <f>IF(Deployments!AM59="","",Deployments!AM59)</f>
        <v/>
      </c>
      <c r="E62" s="19">
        <f>IF(Deployments!I59="","",Deployments!I59)</f>
        <v/>
      </c>
      <c r="F62" s="19">
        <f>IF(Deployments!J59="","",Deployments!J59)</f>
        <v/>
      </c>
      <c r="G62" s="19">
        <f>IF(Deployments!K59="","",Deployments!K59)</f>
        <v/>
      </c>
      <c r="H62" s="19">
        <f>IF(Deployments!A59="","",Deployments!A59)</f>
        <v/>
      </c>
      <c r="I62" s="19">
        <f>IF(Deployments!AN59="","",Deployments!AN59)</f>
        <v/>
      </c>
      <c r="J62" s="19">
        <f>IF(Deployments!AO59="","",Deployments!AO59)</f>
        <v/>
      </c>
      <c r="K62" s="19">
        <f>IF(Deployments!AI59="","",Deployments!AI59)</f>
        <v/>
      </c>
      <c r="L62" s="19">
        <f>IF(Deployments!M59="","",Deployments!M59)</f>
        <v/>
      </c>
      <c r="M62" s="20" t="n"/>
      <c r="N62" s="19">
        <f>IF(Deployments!N59="","",Deployments!N59)</f>
        <v/>
      </c>
      <c r="O62" s="19">
        <f>IF(Deployments!O59="","",Deployments!O59)</f>
        <v/>
      </c>
      <c r="P62" s="19">
        <f>IF(Deployments!P59="","",Deployments!P59)</f>
        <v/>
      </c>
      <c r="Q62" s="20" t="n"/>
      <c r="R62" s="19">
        <f>IF(Deployments!BT59="","",Deployments!BT59)</f>
        <v/>
      </c>
      <c r="S62" s="19">
        <f>IF(Deployments!BS59="","",Deployments!BS59)</f>
        <v/>
      </c>
      <c r="T62" s="19">
        <f>IF(Deployments!BB59="","",Deployments!BB59)</f>
        <v/>
      </c>
      <c r="U62" s="19">
        <f>IF(Deployments!BR59="","",Deployments!BR59)</f>
        <v/>
      </c>
      <c r="V62" s="19">
        <f>IF(Deployments!BX59="","",Deployments!BX59)</f>
        <v/>
      </c>
      <c r="W62" s="19">
        <f>IF(Deployments!BY59="","",Deployments!BY59)</f>
        <v/>
      </c>
      <c r="X62" s="19">
        <f>IF(Deployments!CC59="","",Deployments!CC59)</f>
        <v/>
      </c>
      <c r="Y62" s="19">
        <f>IF(Deployments!BW59="","",Deployments!BW59)</f>
        <v/>
      </c>
      <c r="Z62" s="19">
        <f>IF(Deployments!U59="","",Deployments!U59)</f>
        <v/>
      </c>
      <c r="AA62" s="19">
        <f>IF(Deployments!L59="","",Deployments!L59)</f>
        <v/>
      </c>
    </row>
    <row r="63" ht="41.25" customHeight="1" s="91">
      <c r="A63" s="20" t="n"/>
      <c r="B63" s="20" t="n"/>
      <c r="C63" s="19">
        <f>IF(Deployments!H60="","",Deployments!H60)</f>
        <v/>
      </c>
      <c r="D63" s="19">
        <f>IF(Deployments!AM60="","",Deployments!AM60)</f>
        <v/>
      </c>
      <c r="E63" s="19">
        <f>IF(Deployments!I60="","",Deployments!I60)</f>
        <v/>
      </c>
      <c r="F63" s="19">
        <f>IF(Deployments!J60="","",Deployments!J60)</f>
        <v/>
      </c>
      <c r="G63" s="19">
        <f>IF(Deployments!K60="","",Deployments!K60)</f>
        <v/>
      </c>
      <c r="H63" s="19">
        <f>IF(Deployments!A60="","",Deployments!A60)</f>
        <v/>
      </c>
      <c r="I63" s="19">
        <f>IF(Deployments!AN60="","",Deployments!AN60)</f>
        <v/>
      </c>
      <c r="J63" s="19">
        <f>IF(Deployments!AO60="","",Deployments!AO60)</f>
        <v/>
      </c>
      <c r="K63" s="19">
        <f>IF(Deployments!AI60="","",Deployments!AI60)</f>
        <v/>
      </c>
      <c r="L63" s="19">
        <f>IF(Deployments!M60="","",Deployments!M60)</f>
        <v/>
      </c>
      <c r="M63" s="20" t="n"/>
      <c r="N63" s="19">
        <f>IF(Deployments!N60="","",Deployments!N60)</f>
        <v/>
      </c>
      <c r="O63" s="19">
        <f>IF(Deployments!O60="","",Deployments!O60)</f>
        <v/>
      </c>
      <c r="P63" s="19">
        <f>IF(Deployments!P60="","",Deployments!P60)</f>
        <v/>
      </c>
      <c r="Q63" s="20" t="n"/>
      <c r="R63" s="19">
        <f>IF(Deployments!BT60="","",Deployments!BT60)</f>
        <v/>
      </c>
      <c r="S63" s="19">
        <f>IF(Deployments!BS60="","",Deployments!BS60)</f>
        <v/>
      </c>
      <c r="T63" s="19">
        <f>IF(Deployments!BB60="","",Deployments!BB60)</f>
        <v/>
      </c>
      <c r="U63" s="19">
        <f>IF(Deployments!BR60="","",Deployments!BR60)</f>
        <v/>
      </c>
      <c r="V63" s="19">
        <f>IF(Deployments!BX60="","",Deployments!BX60)</f>
        <v/>
      </c>
      <c r="W63" s="19">
        <f>IF(Deployments!BY60="","",Deployments!BY60)</f>
        <v/>
      </c>
      <c r="X63" s="19">
        <f>IF(Deployments!CC60="","",Deployments!CC60)</f>
        <v/>
      </c>
      <c r="Y63" s="19">
        <f>IF(Deployments!BW60="","",Deployments!BW60)</f>
        <v/>
      </c>
      <c r="Z63" s="19">
        <f>IF(Deployments!U60="","",Deployments!U60)</f>
        <v/>
      </c>
      <c r="AA63" s="19">
        <f>IF(Deployments!L60="","",Deployments!L60)</f>
        <v/>
      </c>
    </row>
    <row r="64" ht="27.75" customHeight="1" s="91">
      <c r="A64" s="20" t="n"/>
      <c r="B64" s="20" t="n"/>
      <c r="C64" s="19">
        <f>IF(Deployments!H61="","",Deployments!H61)</f>
        <v/>
      </c>
      <c r="D64" s="19">
        <f>IF(Deployments!AM61="","",Deployments!AM61)</f>
        <v/>
      </c>
      <c r="E64" s="19">
        <f>IF(Deployments!I61="","",Deployments!I61)</f>
        <v/>
      </c>
      <c r="F64" s="19">
        <f>IF(Deployments!J61="","",Deployments!J61)</f>
        <v/>
      </c>
      <c r="G64" s="19">
        <f>IF(Deployments!K61="","",Deployments!K61)</f>
        <v/>
      </c>
      <c r="H64" s="19">
        <f>IF(Deployments!A61="","",Deployments!A61)</f>
        <v/>
      </c>
      <c r="I64" s="19">
        <f>IF(Deployments!AN61="","",Deployments!AN61)</f>
        <v/>
      </c>
      <c r="J64" s="19">
        <f>IF(Deployments!AO61="","",Deployments!AO61)</f>
        <v/>
      </c>
      <c r="K64" s="19">
        <f>IF(Deployments!AI61="","",Deployments!AI61)</f>
        <v/>
      </c>
      <c r="L64" s="19">
        <f>IF(Deployments!M61="","",Deployments!M61)</f>
        <v/>
      </c>
      <c r="M64" s="20" t="n"/>
      <c r="N64" s="19">
        <f>IF(Deployments!N61="","",Deployments!N61)</f>
        <v/>
      </c>
      <c r="O64" s="19">
        <f>IF(Deployments!O61="","",Deployments!O61)</f>
        <v/>
      </c>
      <c r="P64" s="19">
        <f>IF(Deployments!P61="","",Deployments!P61)</f>
        <v/>
      </c>
      <c r="Q64" s="20" t="n"/>
      <c r="R64" s="19">
        <f>IF(Deployments!BT61="","",Deployments!BT61)</f>
        <v/>
      </c>
      <c r="S64" s="19">
        <f>IF(Deployments!BS61="","",Deployments!BS61)</f>
        <v/>
      </c>
      <c r="T64" s="19">
        <f>IF(Deployments!BB61="","",Deployments!BB61)</f>
        <v/>
      </c>
      <c r="U64" s="19">
        <f>IF(Deployments!BR61="","",Deployments!BR61)</f>
        <v/>
      </c>
      <c r="V64" s="19">
        <f>IF(Deployments!BX61="","",Deployments!BX61)</f>
        <v/>
      </c>
      <c r="W64" s="19">
        <f>IF(Deployments!BY61="","",Deployments!BY61)</f>
        <v/>
      </c>
      <c r="X64" s="19">
        <f>IF(Deployments!CC61="","",Deployments!CC61)</f>
        <v/>
      </c>
      <c r="Y64" s="19">
        <f>IF(Deployments!BW61="","",Deployments!BW61)</f>
        <v/>
      </c>
      <c r="Z64" s="19">
        <f>IF(Deployments!U61="","",Deployments!U61)</f>
        <v/>
      </c>
      <c r="AA64" s="19">
        <f>IF(Deployments!L61="","",Deployments!L61)</f>
        <v/>
      </c>
    </row>
    <row r="65" ht="27.75" customHeight="1" s="91">
      <c r="A65" s="20" t="n"/>
      <c r="B65" s="20" t="n"/>
      <c r="C65" s="19">
        <f>IF(Deployments!H62="","",Deployments!H62)</f>
        <v/>
      </c>
      <c r="D65" s="19">
        <f>IF(Deployments!AM62="","",Deployments!AM62)</f>
        <v/>
      </c>
      <c r="E65" s="19">
        <f>IF(Deployments!I62="","",Deployments!I62)</f>
        <v/>
      </c>
      <c r="F65" s="19">
        <f>IF(Deployments!J62="","",Deployments!J62)</f>
        <v/>
      </c>
      <c r="G65" s="19">
        <f>IF(Deployments!K62="","",Deployments!K62)</f>
        <v/>
      </c>
      <c r="H65" s="19">
        <f>IF(Deployments!A62="","",Deployments!A62)</f>
        <v/>
      </c>
      <c r="I65" s="19">
        <f>IF(Deployments!AN62="","",Deployments!AN62)</f>
        <v/>
      </c>
      <c r="J65" s="19">
        <f>IF(Deployments!AO62="","",Deployments!AO62)</f>
        <v/>
      </c>
      <c r="K65" s="19">
        <f>IF(Deployments!AI62="","",Deployments!AI62)</f>
        <v/>
      </c>
      <c r="L65" s="19">
        <f>IF(Deployments!M62="","",Deployments!M62)</f>
        <v/>
      </c>
      <c r="M65" s="20" t="n"/>
      <c r="N65" s="19">
        <f>IF(Deployments!N62="","",Deployments!N62)</f>
        <v/>
      </c>
      <c r="O65" s="19">
        <f>IF(Deployments!O62="","",Deployments!O62)</f>
        <v/>
      </c>
      <c r="P65" s="19">
        <f>IF(Deployments!P62="","",Deployments!P62)</f>
        <v/>
      </c>
      <c r="Q65" s="20" t="n"/>
      <c r="R65" s="19">
        <f>IF(Deployments!BT62="","",Deployments!BT62)</f>
        <v/>
      </c>
      <c r="S65" s="19">
        <f>IF(Deployments!BS62="","",Deployments!BS62)</f>
        <v/>
      </c>
      <c r="T65" s="19">
        <f>IF(Deployments!BB62="","",Deployments!BB62)</f>
        <v/>
      </c>
      <c r="U65" s="19">
        <f>IF(Deployments!BR62="","",Deployments!BR62)</f>
        <v/>
      </c>
      <c r="V65" s="19">
        <f>IF(Deployments!BX62="","",Deployments!BX62)</f>
        <v/>
      </c>
      <c r="W65" s="19">
        <f>IF(Deployments!BY62="","",Deployments!BY62)</f>
        <v/>
      </c>
      <c r="X65" s="19">
        <f>IF(Deployments!CC62="","",Deployments!CC62)</f>
        <v/>
      </c>
      <c r="Y65" s="19">
        <f>IF(Deployments!BW62="","",Deployments!BW62)</f>
        <v/>
      </c>
      <c r="Z65" s="19">
        <f>IF(Deployments!U62="","",Deployments!U62)</f>
        <v/>
      </c>
      <c r="AA65" s="19">
        <f>IF(Deployments!L62="","",Deployments!L62)</f>
        <v/>
      </c>
    </row>
    <row r="66" ht="41.25" customHeight="1" s="91">
      <c r="A66" s="20" t="n"/>
      <c r="B66" s="20" t="n"/>
      <c r="C66" s="19">
        <f>IF(Deployments!H63="","",Deployments!H63)</f>
        <v/>
      </c>
      <c r="D66" s="19">
        <f>IF(Deployments!AM63="","",Deployments!AM63)</f>
        <v/>
      </c>
      <c r="E66" s="19">
        <f>IF(Deployments!I63="","",Deployments!I63)</f>
        <v/>
      </c>
      <c r="F66" s="19">
        <f>IF(Deployments!J63="","",Deployments!J63)</f>
        <v/>
      </c>
      <c r="G66" s="19">
        <f>IF(Deployments!K63="","",Deployments!K63)</f>
        <v/>
      </c>
      <c r="H66" s="19">
        <f>IF(Deployments!A63="","",Deployments!A63)</f>
        <v/>
      </c>
      <c r="I66" s="19">
        <f>IF(Deployments!AN63="","",Deployments!AN63)</f>
        <v/>
      </c>
      <c r="J66" s="19">
        <f>IF(Deployments!AO63="","",Deployments!AO63)</f>
        <v/>
      </c>
      <c r="K66" s="19">
        <f>IF(Deployments!AI63="","",Deployments!AI63)</f>
        <v/>
      </c>
      <c r="L66" s="19">
        <f>IF(Deployments!M63="","",Deployments!M63)</f>
        <v/>
      </c>
      <c r="M66" s="20" t="n"/>
      <c r="N66" s="19">
        <f>IF(Deployments!N63="","",Deployments!N63)</f>
        <v/>
      </c>
      <c r="O66" s="19">
        <f>IF(Deployments!O63="","",Deployments!O63)</f>
        <v/>
      </c>
      <c r="P66" s="19">
        <f>IF(Deployments!P63="","",Deployments!P63)</f>
        <v/>
      </c>
      <c r="Q66" s="20" t="n"/>
      <c r="R66" s="19">
        <f>IF(Deployments!BT63="","",Deployments!BT63)</f>
        <v/>
      </c>
      <c r="S66" s="19">
        <f>IF(Deployments!BS63="","",Deployments!BS63)</f>
        <v/>
      </c>
      <c r="T66" s="19">
        <f>IF(Deployments!BB63="","",Deployments!BB63)</f>
        <v/>
      </c>
      <c r="U66" s="19">
        <f>IF(Deployments!BR63="","",Deployments!BR63)</f>
        <v/>
      </c>
      <c r="V66" s="19">
        <f>IF(Deployments!BX63="","",Deployments!BX63)</f>
        <v/>
      </c>
      <c r="W66" s="19">
        <f>IF(Deployments!BY63="","",Deployments!BY63)</f>
        <v/>
      </c>
      <c r="X66" s="19">
        <f>IF(Deployments!CC63="","",Deployments!CC63)</f>
        <v/>
      </c>
      <c r="Y66" s="19">
        <f>IF(Deployments!BW63="","",Deployments!BW63)</f>
        <v/>
      </c>
      <c r="Z66" s="19">
        <f>IF(Deployments!U63="","",Deployments!U63)</f>
        <v/>
      </c>
      <c r="AA66" s="19">
        <f>IF(Deployments!L63="","",Deployments!L63)</f>
        <v/>
      </c>
    </row>
    <row r="67" ht="41.25" customHeight="1" s="91">
      <c r="A67" s="20" t="n"/>
      <c r="B67" s="20" t="n"/>
      <c r="C67" s="19">
        <f>IF(Deployments!H64="","",Deployments!H64)</f>
        <v/>
      </c>
      <c r="D67" s="19">
        <f>IF(Deployments!AM64="","",Deployments!AM64)</f>
        <v/>
      </c>
      <c r="E67" s="19">
        <f>IF(Deployments!I64="","",Deployments!I64)</f>
        <v/>
      </c>
      <c r="F67" s="19">
        <f>IF(Deployments!J64="","",Deployments!J64)</f>
        <v/>
      </c>
      <c r="G67" s="19">
        <f>IF(Deployments!K64="","",Deployments!K64)</f>
        <v/>
      </c>
      <c r="H67" s="19">
        <f>IF(Deployments!A64="","",Deployments!A64)</f>
        <v/>
      </c>
      <c r="I67" s="19">
        <f>IF(Deployments!AN64="","",Deployments!AN64)</f>
        <v/>
      </c>
      <c r="J67" s="19">
        <f>IF(Deployments!AO64="","",Deployments!AO64)</f>
        <v/>
      </c>
      <c r="K67" s="19">
        <f>IF(Deployments!AI64="","",Deployments!AI64)</f>
        <v/>
      </c>
      <c r="L67" s="19">
        <f>IF(Deployments!M64="","",Deployments!M64)</f>
        <v/>
      </c>
      <c r="M67" s="20" t="n"/>
      <c r="N67" s="19">
        <f>IF(Deployments!N64="","",Deployments!N64)</f>
        <v/>
      </c>
      <c r="O67" s="19">
        <f>IF(Deployments!O64="","",Deployments!O64)</f>
        <v/>
      </c>
      <c r="P67" s="19">
        <f>IF(Deployments!P64="","",Deployments!P64)</f>
        <v/>
      </c>
      <c r="Q67" s="20" t="n"/>
      <c r="R67" s="19">
        <f>IF(Deployments!BT64="","",Deployments!BT64)</f>
        <v/>
      </c>
      <c r="S67" s="19">
        <f>IF(Deployments!BS64="","",Deployments!BS64)</f>
        <v/>
      </c>
      <c r="T67" s="19">
        <f>IF(Deployments!BB64="","",Deployments!BB64)</f>
        <v/>
      </c>
      <c r="U67" s="19">
        <f>IF(Deployments!BR64="","",Deployments!BR64)</f>
        <v/>
      </c>
      <c r="V67" s="19">
        <f>IF(Deployments!BX64="","",Deployments!BX64)</f>
        <v/>
      </c>
      <c r="W67" s="19">
        <f>IF(Deployments!BY64="","",Deployments!BY64)</f>
        <v/>
      </c>
      <c r="X67" s="19">
        <f>IF(Deployments!CC64="","",Deployments!CC64)</f>
        <v/>
      </c>
      <c r="Y67" s="19">
        <f>IF(Deployments!BW64="","",Deployments!BW64)</f>
        <v/>
      </c>
      <c r="Z67" s="19">
        <f>IF(Deployments!U64="","",Deployments!U64)</f>
        <v/>
      </c>
      <c r="AA67" s="19">
        <f>IF(Deployments!L64="","",Deployments!L64)</f>
        <v/>
      </c>
    </row>
    <row r="68" ht="41.25" customHeight="1" s="91">
      <c r="A68" s="20" t="n"/>
      <c r="B68" s="20" t="n"/>
      <c r="C68" s="19">
        <f>IF(Deployments!H65="","",Deployments!H65)</f>
        <v/>
      </c>
      <c r="D68" s="19">
        <f>IF(Deployments!AM65="","",Deployments!AM65)</f>
        <v/>
      </c>
      <c r="E68" s="19">
        <f>IF(Deployments!I65="","",Deployments!I65)</f>
        <v/>
      </c>
      <c r="F68" s="19">
        <f>IF(Deployments!J65="","",Deployments!J65)</f>
        <v/>
      </c>
      <c r="G68" s="19">
        <f>IF(Deployments!K65="","",Deployments!K65)</f>
        <v/>
      </c>
      <c r="H68" s="19">
        <f>IF(Deployments!A65="","",Deployments!A65)</f>
        <v/>
      </c>
      <c r="I68" s="19">
        <f>IF(Deployments!AN65="","",Deployments!AN65)</f>
        <v/>
      </c>
      <c r="J68" s="19">
        <f>IF(Deployments!AO65="","",Deployments!AO65)</f>
        <v/>
      </c>
      <c r="K68" s="19">
        <f>IF(Deployments!AI65="","",Deployments!AI65)</f>
        <v/>
      </c>
      <c r="L68" s="19">
        <f>IF(Deployments!M65="","",Deployments!M65)</f>
        <v/>
      </c>
      <c r="M68" s="20" t="n"/>
      <c r="N68" s="19">
        <f>IF(Deployments!N65="","",Deployments!N65)</f>
        <v/>
      </c>
      <c r="O68" s="19">
        <f>IF(Deployments!O65="","",Deployments!O65)</f>
        <v/>
      </c>
      <c r="P68" s="19">
        <f>IF(Deployments!P65="","",Deployments!P65)</f>
        <v/>
      </c>
      <c r="Q68" s="20" t="n"/>
      <c r="R68" s="19">
        <f>IF(Deployments!BT65="","",Deployments!BT65)</f>
        <v/>
      </c>
      <c r="S68" s="19">
        <f>IF(Deployments!BS65="","",Deployments!BS65)</f>
        <v/>
      </c>
      <c r="T68" s="19">
        <f>IF(Deployments!BB65="","",Deployments!BB65)</f>
        <v/>
      </c>
      <c r="U68" s="19">
        <f>IF(Deployments!BR65="","",Deployments!BR65)</f>
        <v/>
      </c>
      <c r="V68" s="19">
        <f>IF(Deployments!BX65="","",Deployments!BX65)</f>
        <v/>
      </c>
      <c r="W68" s="19">
        <f>IF(Deployments!BY65="","",Deployments!BY65)</f>
        <v/>
      </c>
      <c r="X68" s="19">
        <f>IF(Deployments!CC65="","",Deployments!CC65)</f>
        <v/>
      </c>
      <c r="Y68" s="19">
        <f>IF(Deployments!BW65="","",Deployments!BW65)</f>
        <v/>
      </c>
      <c r="Z68" s="19">
        <f>IF(Deployments!U65="","",Deployments!U65)</f>
        <v/>
      </c>
      <c r="AA68" s="19">
        <f>IF(Deployments!L65="","",Deployments!L65)</f>
        <v/>
      </c>
    </row>
    <row r="69" ht="41.25" customHeight="1" s="91">
      <c r="A69" s="20" t="n"/>
      <c r="B69" s="20" t="n"/>
      <c r="C69" s="19">
        <f>IF(Deployments!H66="","",Deployments!H66)</f>
        <v/>
      </c>
      <c r="D69" s="19">
        <f>IF(Deployments!AM66="","",Deployments!AM66)</f>
        <v/>
      </c>
      <c r="E69" s="19">
        <f>IF(Deployments!I66="","",Deployments!I66)</f>
        <v/>
      </c>
      <c r="F69" s="19">
        <f>IF(Deployments!J66="","",Deployments!J66)</f>
        <v/>
      </c>
      <c r="G69" s="19">
        <f>IF(Deployments!K66="","",Deployments!K66)</f>
        <v/>
      </c>
      <c r="H69" s="19">
        <f>IF(Deployments!A66="","",Deployments!A66)</f>
        <v/>
      </c>
      <c r="I69" s="19">
        <f>IF(Deployments!AN66="","",Deployments!AN66)</f>
        <v/>
      </c>
      <c r="J69" s="19">
        <f>IF(Deployments!AO66="","",Deployments!AO66)</f>
        <v/>
      </c>
      <c r="K69" s="19">
        <f>IF(Deployments!AI66="","",Deployments!AI66)</f>
        <v/>
      </c>
      <c r="L69" s="19">
        <f>IF(Deployments!M66="","",Deployments!M66)</f>
        <v/>
      </c>
      <c r="M69" s="20" t="n"/>
      <c r="N69" s="19">
        <f>IF(Deployments!N66="","",Deployments!N66)</f>
        <v/>
      </c>
      <c r="O69" s="19">
        <f>IF(Deployments!O66="","",Deployments!O66)</f>
        <v/>
      </c>
      <c r="P69" s="19">
        <f>IF(Deployments!P66="","",Deployments!P66)</f>
        <v/>
      </c>
      <c r="Q69" s="20" t="n"/>
      <c r="R69" s="19">
        <f>IF(Deployments!BT66="","",Deployments!BT66)</f>
        <v/>
      </c>
      <c r="S69" s="19">
        <f>IF(Deployments!BS66="","",Deployments!BS66)</f>
        <v/>
      </c>
      <c r="T69" s="19">
        <f>IF(Deployments!BB66="","",Deployments!BB66)</f>
        <v/>
      </c>
      <c r="U69" s="19">
        <f>IF(Deployments!BR66="","",Deployments!BR66)</f>
        <v/>
      </c>
      <c r="V69" s="19">
        <f>IF(Deployments!BX66="","",Deployments!BX66)</f>
        <v/>
      </c>
      <c r="W69" s="19">
        <f>IF(Deployments!BY66="","",Deployments!BY66)</f>
        <v/>
      </c>
      <c r="X69" s="19">
        <f>IF(Deployments!CC66="","",Deployments!CC66)</f>
        <v/>
      </c>
      <c r="Y69" s="19">
        <f>IF(Deployments!BW66="","",Deployments!BW66)</f>
        <v/>
      </c>
      <c r="Z69" s="19">
        <f>IF(Deployments!U66="","",Deployments!U66)</f>
        <v/>
      </c>
      <c r="AA69" s="19">
        <f>IF(Deployments!L66="","",Deployments!L66)</f>
        <v/>
      </c>
    </row>
    <row r="70" ht="41.25" customHeight="1" s="91">
      <c r="A70" s="20" t="n"/>
      <c r="B70" s="20" t="n"/>
      <c r="C70" s="19">
        <f>IF(Deployments!H67="","",Deployments!H67)</f>
        <v/>
      </c>
      <c r="D70" s="19">
        <f>IF(Deployments!AM67="","",Deployments!AM67)</f>
        <v/>
      </c>
      <c r="E70" s="19">
        <f>IF(Deployments!I67="","",Deployments!I67)</f>
        <v/>
      </c>
      <c r="F70" s="19">
        <f>IF(Deployments!J67="","",Deployments!J67)</f>
        <v/>
      </c>
      <c r="G70" s="19">
        <f>IF(Deployments!K67="","",Deployments!K67)</f>
        <v/>
      </c>
      <c r="H70" s="19">
        <f>IF(Deployments!A67="","",Deployments!A67)</f>
        <v/>
      </c>
      <c r="I70" s="19">
        <f>IF(Deployments!AN67="","",Deployments!AN67)</f>
        <v/>
      </c>
      <c r="J70" s="19">
        <f>IF(Deployments!AO67="","",Deployments!AO67)</f>
        <v/>
      </c>
      <c r="K70" s="19">
        <f>IF(Deployments!AI67="","",Deployments!AI67)</f>
        <v/>
      </c>
      <c r="L70" s="19">
        <f>IF(Deployments!M67="","",Deployments!M67)</f>
        <v/>
      </c>
      <c r="M70" s="20" t="n"/>
      <c r="N70" s="19">
        <f>IF(Deployments!N67="","",Deployments!N67)</f>
        <v/>
      </c>
      <c r="O70" s="19">
        <f>IF(Deployments!O67="","",Deployments!O67)</f>
        <v/>
      </c>
      <c r="P70" s="19">
        <f>IF(Deployments!P67="","",Deployments!P67)</f>
        <v/>
      </c>
      <c r="Q70" s="20" t="n"/>
      <c r="R70" s="19">
        <f>IF(Deployments!BT67="","",Deployments!BT67)</f>
        <v/>
      </c>
      <c r="S70" s="19">
        <f>IF(Deployments!BS67="","",Deployments!BS67)</f>
        <v/>
      </c>
      <c r="T70" s="19">
        <f>IF(Deployments!BB67="","",Deployments!BB67)</f>
        <v/>
      </c>
      <c r="U70" s="19">
        <f>IF(Deployments!BR67="","",Deployments!BR67)</f>
        <v/>
      </c>
      <c r="V70" s="19">
        <f>IF(Deployments!BX67="","",Deployments!BX67)</f>
        <v/>
      </c>
      <c r="W70" s="19">
        <f>IF(Deployments!BY67="","",Deployments!BY67)</f>
        <v/>
      </c>
      <c r="X70" s="19">
        <f>IF(Deployments!CC67="","",Deployments!CC67)</f>
        <v/>
      </c>
      <c r="Y70" s="19">
        <f>IF(Deployments!BW67="","",Deployments!BW67)</f>
        <v/>
      </c>
      <c r="Z70" s="19">
        <f>IF(Deployments!U67="","",Deployments!U67)</f>
        <v/>
      </c>
      <c r="AA70" s="19">
        <f>IF(Deployments!L67="","",Deployments!L67)</f>
        <v/>
      </c>
    </row>
    <row r="71" ht="94.5" customHeight="1" s="91">
      <c r="A71" s="20" t="n"/>
      <c r="B71" s="20" t="n"/>
      <c r="C71" s="19">
        <f>IF(Deployments!H68="","",Deployments!H68)</f>
        <v/>
      </c>
      <c r="D71" s="19">
        <f>IF(Deployments!AM68="","",Deployments!AM68)</f>
        <v/>
      </c>
      <c r="E71" s="19">
        <f>IF(Deployments!I68="","",Deployments!I68)</f>
        <v/>
      </c>
      <c r="F71" s="19">
        <f>IF(Deployments!J68="","",Deployments!J68)</f>
        <v/>
      </c>
      <c r="G71" s="19">
        <f>IF(Deployments!K68="","",Deployments!K68)</f>
        <v/>
      </c>
      <c r="H71" s="19">
        <f>IF(Deployments!A68="","",Deployments!A68)</f>
        <v/>
      </c>
      <c r="I71" s="19">
        <f>IF(Deployments!AN68="","",Deployments!AN68)</f>
        <v/>
      </c>
      <c r="J71" s="19">
        <f>IF(Deployments!AO68="","",Deployments!AO68)</f>
        <v/>
      </c>
      <c r="K71" s="19">
        <f>IF(Deployments!AI68="","",Deployments!AI68)</f>
        <v/>
      </c>
      <c r="L71" s="19">
        <f>IF(Deployments!M68="","",Deployments!M68)</f>
        <v/>
      </c>
      <c r="M71" s="20" t="n"/>
      <c r="N71" s="19">
        <f>IF(Deployments!N68="","",Deployments!N68)</f>
        <v/>
      </c>
      <c r="O71" s="19">
        <f>IF(Deployments!O68="","",Deployments!O68)</f>
        <v/>
      </c>
      <c r="P71" s="19">
        <f>IF(Deployments!P68="","",Deployments!P68)</f>
        <v/>
      </c>
      <c r="Q71" s="20" t="n"/>
      <c r="R71" s="19">
        <f>IF(Deployments!BT68="","",Deployments!BT68)</f>
        <v/>
      </c>
      <c r="S71" s="19">
        <f>IF(Deployments!BS68="","",Deployments!BS68)</f>
        <v/>
      </c>
      <c r="T71" s="19">
        <f>IF(Deployments!BB68="","",Deployments!BB68)</f>
        <v/>
      </c>
      <c r="U71" s="19">
        <f>IF(Deployments!BR68="","",Deployments!BR68)</f>
        <v/>
      </c>
      <c r="V71" s="19">
        <f>IF(Deployments!BX68="","",Deployments!BX68)</f>
        <v/>
      </c>
      <c r="W71" s="19">
        <f>IF(Deployments!BY68="","",Deployments!BY68)</f>
        <v/>
      </c>
      <c r="X71" s="19">
        <f>IF(Deployments!CC68="","",Deployments!CC68)</f>
        <v/>
      </c>
      <c r="Y71" s="19">
        <f>IF(Deployments!BW68="","",Deployments!BW68)</f>
        <v/>
      </c>
      <c r="Z71" s="19">
        <f>IF(Deployments!U68="","",Deployments!U68)</f>
        <v/>
      </c>
      <c r="AA71" s="19">
        <f>IF(Deployments!L68="","",Deployments!L68)</f>
        <v/>
      </c>
    </row>
    <row r="72" ht="94.5" customHeight="1" s="91">
      <c r="A72" s="20" t="n"/>
      <c r="B72" s="20" t="n"/>
      <c r="C72" s="19">
        <f>IF(Deployments!H69="","",Deployments!H69)</f>
        <v/>
      </c>
      <c r="D72" s="19">
        <f>IF(Deployments!AM69="","",Deployments!AM69)</f>
        <v/>
      </c>
      <c r="E72" s="19">
        <f>IF(Deployments!I69="","",Deployments!I69)</f>
        <v/>
      </c>
      <c r="F72" s="19">
        <f>IF(Deployments!J69="","",Deployments!J69)</f>
        <v/>
      </c>
      <c r="G72" s="19">
        <f>IF(Deployments!K69="","",Deployments!K69)</f>
        <v/>
      </c>
      <c r="H72" s="19">
        <f>IF(Deployments!A69="","",Deployments!A69)</f>
        <v/>
      </c>
      <c r="I72" s="19">
        <f>IF(Deployments!AN69="","",Deployments!AN69)</f>
        <v/>
      </c>
      <c r="J72" s="19">
        <f>IF(Deployments!AO69="","",Deployments!AO69)</f>
        <v/>
      </c>
      <c r="K72" s="19">
        <f>IF(Deployments!AI69="","",Deployments!AI69)</f>
        <v/>
      </c>
      <c r="L72" s="19">
        <f>IF(Deployments!M69="","",Deployments!M69)</f>
        <v/>
      </c>
      <c r="M72" s="20" t="n"/>
      <c r="N72" s="19">
        <f>IF(Deployments!N69="","",Deployments!N69)</f>
        <v/>
      </c>
      <c r="O72" s="19">
        <f>IF(Deployments!O69="","",Deployments!O69)</f>
        <v/>
      </c>
      <c r="P72" s="19">
        <f>IF(Deployments!P69="","",Deployments!P69)</f>
        <v/>
      </c>
      <c r="Q72" s="20" t="n"/>
      <c r="R72" s="19">
        <f>IF(Deployments!BT69="","",Deployments!BT69)</f>
        <v/>
      </c>
      <c r="S72" s="19">
        <f>IF(Deployments!BS69="","",Deployments!BS69)</f>
        <v/>
      </c>
      <c r="T72" s="19">
        <f>IF(Deployments!BB69="","",Deployments!BB69)</f>
        <v/>
      </c>
      <c r="U72" s="19">
        <f>IF(Deployments!BR69="","",Deployments!BR69)</f>
        <v/>
      </c>
      <c r="V72" s="19">
        <f>IF(Deployments!BX69="","",Deployments!BX69)</f>
        <v/>
      </c>
      <c r="W72" s="19">
        <f>IF(Deployments!BY69="","",Deployments!BY69)</f>
        <v/>
      </c>
      <c r="X72" s="19">
        <f>IF(Deployments!CC69="","",Deployments!CC69)</f>
        <v/>
      </c>
      <c r="Y72" s="19">
        <f>IF(Deployments!BW69="","",Deployments!BW69)</f>
        <v/>
      </c>
      <c r="Z72" s="19">
        <f>IF(Deployments!U69="","",Deployments!U69)</f>
        <v/>
      </c>
      <c r="AA72" s="19">
        <f>IF(Deployments!L69="","",Deployments!L69)</f>
        <v/>
      </c>
    </row>
    <row r="73" ht="94.5" customHeight="1" s="91">
      <c r="A73" s="20" t="n"/>
      <c r="B73" s="20" t="n"/>
      <c r="C73" s="19">
        <f>IF(Deployments!H70="","",Deployments!H70)</f>
        <v/>
      </c>
      <c r="D73" s="19">
        <f>IF(Deployments!AM70="","",Deployments!AM70)</f>
        <v/>
      </c>
      <c r="E73" s="19">
        <f>IF(Deployments!I70="","",Deployments!I70)</f>
        <v/>
      </c>
      <c r="F73" s="19">
        <f>IF(Deployments!J70="","",Deployments!J70)</f>
        <v/>
      </c>
      <c r="G73" s="19">
        <f>IF(Deployments!K70="","",Deployments!K70)</f>
        <v/>
      </c>
      <c r="H73" s="19">
        <f>IF(Deployments!A70="","",Deployments!A70)</f>
        <v/>
      </c>
      <c r="I73" s="19">
        <f>IF(Deployments!AN70="","",Deployments!AN70)</f>
        <v/>
      </c>
      <c r="J73" s="19">
        <f>IF(Deployments!AO70="","",Deployments!AO70)</f>
        <v/>
      </c>
      <c r="K73" s="19">
        <f>IF(Deployments!AI70="","",Deployments!AI70)</f>
        <v/>
      </c>
      <c r="L73" s="19">
        <f>IF(Deployments!M70="","",Deployments!M70)</f>
        <v/>
      </c>
      <c r="M73" s="20" t="n"/>
      <c r="N73" s="19">
        <f>IF(Deployments!N70="","",Deployments!N70)</f>
        <v/>
      </c>
      <c r="O73" s="19">
        <f>IF(Deployments!O70="","",Deployments!O70)</f>
        <v/>
      </c>
      <c r="P73" s="19">
        <f>IF(Deployments!P70="","",Deployments!P70)</f>
        <v/>
      </c>
      <c r="Q73" s="20" t="n"/>
      <c r="R73" s="19">
        <f>IF(Deployments!BT70="","",Deployments!BT70)</f>
        <v/>
      </c>
      <c r="S73" s="19">
        <f>IF(Deployments!BS70="","",Deployments!BS70)</f>
        <v/>
      </c>
      <c r="T73" s="19">
        <f>IF(Deployments!BB70="","",Deployments!BB70)</f>
        <v/>
      </c>
      <c r="U73" s="19">
        <f>IF(Deployments!BR70="","",Deployments!BR70)</f>
        <v/>
      </c>
      <c r="V73" s="19">
        <f>IF(Deployments!BX70="","",Deployments!BX70)</f>
        <v/>
      </c>
      <c r="W73" s="19">
        <f>IF(Deployments!BY70="","",Deployments!BY70)</f>
        <v/>
      </c>
      <c r="X73" s="19">
        <f>IF(Deployments!CC70="","",Deployments!CC70)</f>
        <v/>
      </c>
      <c r="Y73" s="19">
        <f>IF(Deployments!BW70="","",Deployments!BW70)</f>
        <v/>
      </c>
      <c r="Z73" s="19">
        <f>IF(Deployments!U70="","",Deployments!U70)</f>
        <v/>
      </c>
      <c r="AA73" s="19">
        <f>IF(Deployments!L70="","",Deployments!L70)</f>
        <v/>
      </c>
    </row>
    <row r="74" ht="94.5" customHeight="1" s="91">
      <c r="A74" s="20" t="n"/>
      <c r="B74" s="20" t="n"/>
      <c r="C74" s="19">
        <f>IF(Deployments!H71="","",Deployments!H71)</f>
        <v/>
      </c>
      <c r="D74" s="19">
        <f>IF(Deployments!AM71="","",Deployments!AM71)</f>
        <v/>
      </c>
      <c r="E74" s="19">
        <f>IF(Deployments!I71="","",Deployments!I71)</f>
        <v/>
      </c>
      <c r="F74" s="19">
        <f>IF(Deployments!J71="","",Deployments!J71)</f>
        <v/>
      </c>
      <c r="G74" s="19">
        <f>IF(Deployments!K71="","",Deployments!K71)</f>
        <v/>
      </c>
      <c r="H74" s="19">
        <f>IF(Deployments!A71="","",Deployments!A71)</f>
        <v/>
      </c>
      <c r="I74" s="19">
        <f>IF(Deployments!AN71="","",Deployments!AN71)</f>
        <v/>
      </c>
      <c r="J74" s="19">
        <f>IF(Deployments!AO71="","",Deployments!AO71)</f>
        <v/>
      </c>
      <c r="K74" s="19">
        <f>IF(Deployments!AI71="","",Deployments!AI71)</f>
        <v/>
      </c>
      <c r="L74" s="19">
        <f>IF(Deployments!M71="","",Deployments!M71)</f>
        <v/>
      </c>
      <c r="M74" s="20" t="n"/>
      <c r="N74" s="19">
        <f>IF(Deployments!N71="","",Deployments!N71)</f>
        <v/>
      </c>
      <c r="O74" s="19">
        <f>IF(Deployments!O71="","",Deployments!O71)</f>
        <v/>
      </c>
      <c r="P74" s="19">
        <f>IF(Deployments!P71="","",Deployments!P71)</f>
        <v/>
      </c>
      <c r="Q74" s="20" t="n"/>
      <c r="R74" s="19">
        <f>IF(Deployments!BT71="","",Deployments!BT71)</f>
        <v/>
      </c>
      <c r="S74" s="19">
        <f>IF(Deployments!BS71="","",Deployments!BS71)</f>
        <v/>
      </c>
      <c r="T74" s="19">
        <f>IF(Deployments!BB71="","",Deployments!BB71)</f>
        <v/>
      </c>
      <c r="U74" s="19">
        <f>IF(Deployments!BR71="","",Deployments!BR71)</f>
        <v/>
      </c>
      <c r="V74" s="19">
        <f>IF(Deployments!BX71="","",Deployments!BX71)</f>
        <v/>
      </c>
      <c r="W74" s="19">
        <f>IF(Deployments!BY71="","",Deployments!BY71)</f>
        <v/>
      </c>
      <c r="X74" s="19">
        <f>IF(Deployments!CC71="","",Deployments!CC71)</f>
        <v/>
      </c>
      <c r="Y74" s="19">
        <f>IF(Deployments!BW71="","",Deployments!BW71)</f>
        <v/>
      </c>
      <c r="Z74" s="19">
        <f>IF(Deployments!U71="","",Deployments!U71)</f>
        <v/>
      </c>
      <c r="AA74" s="19">
        <f>IF(Deployments!L71="","",Deployments!L71)</f>
        <v/>
      </c>
    </row>
    <row r="75" ht="94.5" customHeight="1" s="91">
      <c r="A75" s="20" t="n"/>
      <c r="B75" s="20" t="n"/>
      <c r="C75" s="19">
        <f>IF(Deployments!H72="","",Deployments!H72)</f>
        <v/>
      </c>
      <c r="D75" s="19">
        <f>IF(Deployments!AM72="","",Deployments!AM72)</f>
        <v/>
      </c>
      <c r="E75" s="19">
        <f>IF(Deployments!I72="","",Deployments!I72)</f>
        <v/>
      </c>
      <c r="F75" s="19">
        <f>IF(Deployments!J72="","",Deployments!J72)</f>
        <v/>
      </c>
      <c r="G75" s="19">
        <f>IF(Deployments!K72="","",Deployments!K72)</f>
        <v/>
      </c>
      <c r="H75" s="19">
        <f>IF(Deployments!A72="","",Deployments!A72)</f>
        <v/>
      </c>
      <c r="I75" s="19">
        <f>IF(Deployments!AN72="","",Deployments!AN72)</f>
        <v/>
      </c>
      <c r="J75" s="19">
        <f>IF(Deployments!AO72="","",Deployments!AO72)</f>
        <v/>
      </c>
      <c r="K75" s="19">
        <f>IF(Deployments!AI72="","",Deployments!AI72)</f>
        <v/>
      </c>
      <c r="L75" s="19">
        <f>IF(Deployments!M72="","",Deployments!M72)</f>
        <v/>
      </c>
      <c r="M75" s="20" t="n"/>
      <c r="N75" s="19">
        <f>IF(Deployments!N72="","",Deployments!N72)</f>
        <v/>
      </c>
      <c r="O75" s="19">
        <f>IF(Deployments!O72="","",Deployments!O72)</f>
        <v/>
      </c>
      <c r="P75" s="19">
        <f>IF(Deployments!P72="","",Deployments!P72)</f>
        <v/>
      </c>
      <c r="Q75" s="20" t="n"/>
      <c r="R75" s="19">
        <f>IF(Deployments!BT72="","",Deployments!BT72)</f>
        <v/>
      </c>
      <c r="S75" s="19">
        <f>IF(Deployments!BS72="","",Deployments!BS72)</f>
        <v/>
      </c>
      <c r="T75" s="19">
        <f>IF(Deployments!BB72="","",Deployments!BB72)</f>
        <v/>
      </c>
      <c r="U75" s="19">
        <f>IF(Deployments!BR72="","",Deployments!BR72)</f>
        <v/>
      </c>
      <c r="V75" s="19">
        <f>IF(Deployments!BX72="","",Deployments!BX72)</f>
        <v/>
      </c>
      <c r="W75" s="19">
        <f>IF(Deployments!BY72="","",Deployments!BY72)</f>
        <v/>
      </c>
      <c r="X75" s="19">
        <f>IF(Deployments!CC72="","",Deployments!CC72)</f>
        <v/>
      </c>
      <c r="Y75" s="19">
        <f>IF(Deployments!BW72="","",Deployments!BW72)</f>
        <v/>
      </c>
      <c r="Z75" s="19">
        <f>IF(Deployments!U72="","",Deployments!U72)</f>
        <v/>
      </c>
      <c r="AA75" s="19">
        <f>IF(Deployments!L72="","",Deployments!L72)</f>
        <v/>
      </c>
    </row>
    <row r="76" ht="94.5" customHeight="1" s="91">
      <c r="A76" s="20" t="n"/>
      <c r="B76" s="20" t="n"/>
      <c r="C76" s="19">
        <f>IF(Deployments!H73="","",Deployments!H73)</f>
        <v/>
      </c>
      <c r="D76" s="19">
        <f>IF(Deployments!AM73="","",Deployments!AM73)</f>
        <v/>
      </c>
      <c r="E76" s="19">
        <f>IF(Deployments!I73="","",Deployments!I73)</f>
        <v/>
      </c>
      <c r="F76" s="19">
        <f>IF(Deployments!J73="","",Deployments!J73)</f>
        <v/>
      </c>
      <c r="G76" s="19">
        <f>IF(Deployments!K73="","",Deployments!K73)</f>
        <v/>
      </c>
      <c r="H76" s="19">
        <f>IF(Deployments!A73="","",Deployments!A73)</f>
        <v/>
      </c>
      <c r="I76" s="19">
        <f>IF(Deployments!AN73="","",Deployments!AN73)</f>
        <v/>
      </c>
      <c r="J76" s="19">
        <f>IF(Deployments!AO73="","",Deployments!AO73)</f>
        <v/>
      </c>
      <c r="K76" s="19">
        <f>IF(Deployments!AI73="","",Deployments!AI73)</f>
        <v/>
      </c>
      <c r="L76" s="19">
        <f>IF(Deployments!M73="","",Deployments!M73)</f>
        <v/>
      </c>
      <c r="M76" s="20" t="n"/>
      <c r="N76" s="19">
        <f>IF(Deployments!N73="","",Deployments!N73)</f>
        <v/>
      </c>
      <c r="O76" s="19">
        <f>IF(Deployments!O73="","",Deployments!O73)</f>
        <v/>
      </c>
      <c r="P76" s="19">
        <f>IF(Deployments!P73="","",Deployments!P73)</f>
        <v/>
      </c>
      <c r="Q76" s="20" t="n"/>
      <c r="R76" s="19">
        <f>IF(Deployments!BT73="","",Deployments!BT73)</f>
        <v/>
      </c>
      <c r="S76" s="19">
        <f>IF(Deployments!BS73="","",Deployments!BS73)</f>
        <v/>
      </c>
      <c r="T76" s="19">
        <f>IF(Deployments!BB73="","",Deployments!BB73)</f>
        <v/>
      </c>
      <c r="U76" s="19">
        <f>IF(Deployments!BR73="","",Deployments!BR73)</f>
        <v/>
      </c>
      <c r="V76" s="19">
        <f>IF(Deployments!BX73="","",Deployments!BX73)</f>
        <v/>
      </c>
      <c r="W76" s="19">
        <f>IF(Deployments!BY73="","",Deployments!BY73)</f>
        <v/>
      </c>
      <c r="X76" s="19">
        <f>IF(Deployments!CC73="","",Deployments!CC73)</f>
        <v/>
      </c>
      <c r="Y76" s="19">
        <f>IF(Deployments!BW73="","",Deployments!BW73)</f>
        <v/>
      </c>
      <c r="Z76" s="19">
        <f>IF(Deployments!U73="","",Deployments!U73)</f>
        <v/>
      </c>
      <c r="AA76" s="19">
        <f>IF(Deployments!L73="","",Deployments!L73)</f>
        <v/>
      </c>
    </row>
    <row r="77" ht="41.25" customHeight="1" s="91">
      <c r="A77" s="20" t="n"/>
      <c r="B77" s="20" t="n"/>
      <c r="C77" s="19">
        <f>IF(Deployments!H74="","",Deployments!H74)</f>
        <v/>
      </c>
      <c r="D77" s="19">
        <f>IF(Deployments!AM74="","",Deployments!AM74)</f>
        <v/>
      </c>
      <c r="E77" s="19">
        <f>IF(Deployments!I74="","",Deployments!I74)</f>
        <v/>
      </c>
      <c r="F77" s="19">
        <f>IF(Deployments!J74="","",Deployments!J74)</f>
        <v/>
      </c>
      <c r="G77" s="19">
        <f>IF(Deployments!K74="","",Deployments!K74)</f>
        <v/>
      </c>
      <c r="H77" s="19">
        <f>IF(Deployments!A74="","",Deployments!A74)</f>
        <v/>
      </c>
      <c r="I77" s="19">
        <f>IF(Deployments!AN74="","",Deployments!AN74)</f>
        <v/>
      </c>
      <c r="J77" s="19">
        <f>IF(Deployments!AO74="","",Deployments!AO74)</f>
        <v/>
      </c>
      <c r="K77" s="19">
        <f>IF(Deployments!AI74="","",Deployments!AI74)</f>
        <v/>
      </c>
      <c r="L77" s="19">
        <f>IF(Deployments!M74="","",Deployments!M74)</f>
        <v/>
      </c>
      <c r="M77" s="20" t="n"/>
      <c r="N77" s="19">
        <f>IF(Deployments!N74="","",Deployments!N74)</f>
        <v/>
      </c>
      <c r="O77" s="19">
        <f>IF(Deployments!O74="","",Deployments!O74)</f>
        <v/>
      </c>
      <c r="P77" s="19">
        <f>IF(Deployments!P74="","",Deployments!P74)</f>
        <v/>
      </c>
      <c r="Q77" s="20" t="n"/>
      <c r="R77" s="19">
        <f>IF(Deployments!BT74="","",Deployments!BT74)</f>
        <v/>
      </c>
      <c r="S77" s="19">
        <f>IF(Deployments!BS74="","",Deployments!BS74)</f>
        <v/>
      </c>
      <c r="T77" s="19">
        <f>IF(Deployments!BB74="","",Deployments!BB74)</f>
        <v/>
      </c>
      <c r="U77" s="19">
        <f>IF(Deployments!BR74="","",Deployments!BR74)</f>
        <v/>
      </c>
      <c r="V77" s="19">
        <f>IF(Deployments!BX74="","",Deployments!BX74)</f>
        <v/>
      </c>
      <c r="W77" s="19">
        <f>IF(Deployments!BY74="","",Deployments!BY74)</f>
        <v/>
      </c>
      <c r="X77" s="19">
        <f>IF(Deployments!CC74="","",Deployments!CC74)</f>
        <v/>
      </c>
      <c r="Y77" s="19">
        <f>IF(Deployments!BW74="","",Deployments!BW74)</f>
        <v/>
      </c>
      <c r="Z77" s="19">
        <f>IF(Deployments!U74="","",Deployments!U74)</f>
        <v/>
      </c>
      <c r="AA77" s="19">
        <f>IF(Deployments!L74="","",Deployments!L74)</f>
        <v/>
      </c>
    </row>
    <row r="78" ht="41.25" customHeight="1" s="91">
      <c r="A78" s="20" t="n"/>
      <c r="B78" s="20" t="n"/>
      <c r="C78" s="19">
        <f>IF(Deployments!H75="","",Deployments!H75)</f>
        <v/>
      </c>
      <c r="D78" s="19">
        <f>IF(Deployments!AM75="","",Deployments!AM75)</f>
        <v/>
      </c>
      <c r="E78" s="19">
        <f>IF(Deployments!I75="","",Deployments!I75)</f>
        <v/>
      </c>
      <c r="F78" s="19">
        <f>IF(Deployments!J75="","",Deployments!J75)</f>
        <v/>
      </c>
      <c r="G78" s="19">
        <f>IF(Deployments!K75="","",Deployments!K75)</f>
        <v/>
      </c>
      <c r="H78" s="19">
        <f>IF(Deployments!A75="","",Deployments!A75)</f>
        <v/>
      </c>
      <c r="I78" s="19">
        <f>IF(Deployments!AN75="","",Deployments!AN75)</f>
        <v/>
      </c>
      <c r="J78" s="19">
        <f>IF(Deployments!AO75="","",Deployments!AO75)</f>
        <v/>
      </c>
      <c r="K78" s="19">
        <f>IF(Deployments!AI75="","",Deployments!AI75)</f>
        <v/>
      </c>
      <c r="L78" s="19">
        <f>IF(Deployments!M75="","",Deployments!M75)</f>
        <v/>
      </c>
      <c r="M78" s="20" t="n"/>
      <c r="N78" s="19">
        <f>IF(Deployments!N75="","",Deployments!N75)</f>
        <v/>
      </c>
      <c r="O78" s="19">
        <f>IF(Deployments!O75="","",Deployments!O75)</f>
        <v/>
      </c>
      <c r="P78" s="19">
        <f>IF(Deployments!P75="","",Deployments!P75)</f>
        <v/>
      </c>
      <c r="Q78" s="20" t="n"/>
      <c r="R78" s="19">
        <f>IF(Deployments!BT75="","",Deployments!BT75)</f>
        <v/>
      </c>
      <c r="S78" s="19">
        <f>IF(Deployments!BS75="","",Deployments!BS75)</f>
        <v/>
      </c>
      <c r="T78" s="19">
        <f>IF(Deployments!BB75="","",Deployments!BB75)</f>
        <v/>
      </c>
      <c r="U78" s="19">
        <f>IF(Deployments!BR75="","",Deployments!BR75)</f>
        <v/>
      </c>
      <c r="V78" s="19">
        <f>IF(Deployments!BX75="","",Deployments!BX75)</f>
        <v/>
      </c>
      <c r="W78" s="19">
        <f>IF(Deployments!BY75="","",Deployments!BY75)</f>
        <v/>
      </c>
      <c r="X78" s="19">
        <f>IF(Deployments!CC75="","",Deployments!CC75)</f>
        <v/>
      </c>
      <c r="Y78" s="19">
        <f>IF(Deployments!BW75="","",Deployments!BW75)</f>
        <v/>
      </c>
      <c r="Z78" s="19">
        <f>IF(Deployments!U75="","",Deployments!U75)</f>
        <v/>
      </c>
      <c r="AA78" s="19">
        <f>IF(Deployments!L75="","",Deployments!L75)</f>
        <v/>
      </c>
    </row>
    <row r="79" ht="41.25" customHeight="1" s="91">
      <c r="A79" s="20" t="n"/>
      <c r="B79" s="20" t="n"/>
      <c r="C79" s="19">
        <f>IF(Deployments!H76="","",Deployments!H76)</f>
        <v/>
      </c>
      <c r="D79" s="19">
        <f>IF(Deployments!AM76="","",Deployments!AM76)</f>
        <v/>
      </c>
      <c r="E79" s="19">
        <f>IF(Deployments!I76="","",Deployments!I76)</f>
        <v/>
      </c>
      <c r="F79" s="19">
        <f>IF(Deployments!J76="","",Deployments!J76)</f>
        <v/>
      </c>
      <c r="G79" s="19">
        <f>IF(Deployments!K76="","",Deployments!K76)</f>
        <v/>
      </c>
      <c r="H79" s="19">
        <f>IF(Deployments!A76="","",Deployments!A76)</f>
        <v/>
      </c>
      <c r="I79" s="19">
        <f>IF(Deployments!AN76="","",Deployments!AN76)</f>
        <v/>
      </c>
      <c r="J79" s="19">
        <f>IF(Deployments!AO76="","",Deployments!AO76)</f>
        <v/>
      </c>
      <c r="K79" s="19">
        <f>IF(Deployments!AI76="","",Deployments!AI76)</f>
        <v/>
      </c>
      <c r="L79" s="19">
        <f>IF(Deployments!M76="","",Deployments!M76)</f>
        <v/>
      </c>
      <c r="M79" s="20" t="n"/>
      <c r="N79" s="19">
        <f>IF(Deployments!N76="","",Deployments!N76)</f>
        <v/>
      </c>
      <c r="O79" s="19">
        <f>IF(Deployments!O76="","",Deployments!O76)</f>
        <v/>
      </c>
      <c r="P79" s="19">
        <f>IF(Deployments!P76="","",Deployments!P76)</f>
        <v/>
      </c>
      <c r="Q79" s="20" t="n"/>
      <c r="R79" s="19">
        <f>IF(Deployments!BT76="","",Deployments!BT76)</f>
        <v/>
      </c>
      <c r="S79" s="19">
        <f>IF(Deployments!BS76="","",Deployments!BS76)</f>
        <v/>
      </c>
      <c r="T79" s="19">
        <f>IF(Deployments!BB76="","",Deployments!BB76)</f>
        <v/>
      </c>
      <c r="U79" s="19">
        <f>IF(Deployments!BR76="","",Deployments!BR76)</f>
        <v/>
      </c>
      <c r="V79" s="19">
        <f>IF(Deployments!BX76="","",Deployments!BX76)</f>
        <v/>
      </c>
      <c r="W79" s="19">
        <f>IF(Deployments!BY76="","",Deployments!BY76)</f>
        <v/>
      </c>
      <c r="X79" s="19">
        <f>IF(Deployments!CC76="","",Deployments!CC76)</f>
        <v/>
      </c>
      <c r="Y79" s="19">
        <f>IF(Deployments!BW76="","",Deployments!BW76)</f>
        <v/>
      </c>
      <c r="Z79" s="19">
        <f>IF(Deployments!U76="","",Deployments!U76)</f>
        <v/>
      </c>
      <c r="AA79" s="19">
        <f>IF(Deployments!L76="","",Deployments!L76)</f>
        <v/>
      </c>
    </row>
    <row r="80" ht="41.25" customHeight="1" s="91">
      <c r="A80" s="20" t="n"/>
      <c r="B80" s="20" t="n"/>
      <c r="C80" s="19">
        <f>IF(Deployments!H77="","",Deployments!H77)</f>
        <v/>
      </c>
      <c r="D80" s="19">
        <f>IF(Deployments!AM77="","",Deployments!AM77)</f>
        <v/>
      </c>
      <c r="E80" s="19">
        <f>IF(Deployments!I77="","",Deployments!I77)</f>
        <v/>
      </c>
      <c r="F80" s="19">
        <f>IF(Deployments!J77="","",Deployments!J77)</f>
        <v/>
      </c>
      <c r="G80" s="19">
        <f>IF(Deployments!K77="","",Deployments!K77)</f>
        <v/>
      </c>
      <c r="H80" s="19">
        <f>IF(Deployments!A77="","",Deployments!A77)</f>
        <v/>
      </c>
      <c r="I80" s="19">
        <f>IF(Deployments!AN77="","",Deployments!AN77)</f>
        <v/>
      </c>
      <c r="J80" s="19">
        <f>IF(Deployments!AO77="","",Deployments!AO77)</f>
        <v/>
      </c>
      <c r="K80" s="19">
        <f>IF(Deployments!AI77="","",Deployments!AI77)</f>
        <v/>
      </c>
      <c r="L80" s="19">
        <f>IF(Deployments!M77="","",Deployments!M77)</f>
        <v/>
      </c>
      <c r="M80" s="20" t="n"/>
      <c r="N80" s="19">
        <f>IF(Deployments!N77="","",Deployments!N77)</f>
        <v/>
      </c>
      <c r="O80" s="19">
        <f>IF(Deployments!O77="","",Deployments!O77)</f>
        <v/>
      </c>
      <c r="P80" s="19">
        <f>IF(Deployments!P77="","",Deployments!P77)</f>
        <v/>
      </c>
      <c r="Q80" s="20" t="n"/>
      <c r="R80" s="19">
        <f>IF(Deployments!BT77="","",Deployments!BT77)</f>
        <v/>
      </c>
      <c r="S80" s="19">
        <f>IF(Deployments!BS77="","",Deployments!BS77)</f>
        <v/>
      </c>
      <c r="T80" s="19">
        <f>IF(Deployments!BB77="","",Deployments!BB77)</f>
        <v/>
      </c>
      <c r="U80" s="19">
        <f>IF(Deployments!BR77="","",Deployments!BR77)</f>
        <v/>
      </c>
      <c r="V80" s="19">
        <f>IF(Deployments!BX77="","",Deployments!BX77)</f>
        <v/>
      </c>
      <c r="W80" s="19">
        <f>IF(Deployments!BY77="","",Deployments!BY77)</f>
        <v/>
      </c>
      <c r="X80" s="19">
        <f>IF(Deployments!CC77="","",Deployments!CC77)</f>
        <v/>
      </c>
      <c r="Y80" s="19">
        <f>IF(Deployments!BW77="","",Deployments!BW77)</f>
        <v/>
      </c>
      <c r="Z80" s="19">
        <f>IF(Deployments!U77="","",Deployments!U77)</f>
        <v/>
      </c>
      <c r="AA80" s="19">
        <f>IF(Deployments!L77="","",Deployments!L77)</f>
        <v/>
      </c>
    </row>
    <row r="81" ht="41.25" customHeight="1" s="91">
      <c r="A81" s="20" t="n"/>
      <c r="B81" s="20" t="n"/>
      <c r="C81" s="19">
        <f>IF(Deployments!H78="","",Deployments!H78)</f>
        <v/>
      </c>
      <c r="D81" s="19">
        <f>IF(Deployments!AM78="","",Deployments!AM78)</f>
        <v/>
      </c>
      <c r="E81" s="19">
        <f>IF(Deployments!I78="","",Deployments!I78)</f>
        <v/>
      </c>
      <c r="F81" s="19">
        <f>IF(Deployments!J78="","",Deployments!J78)</f>
        <v/>
      </c>
      <c r="G81" s="19">
        <f>IF(Deployments!K78="","",Deployments!K78)</f>
        <v/>
      </c>
      <c r="H81" s="19">
        <f>IF(Deployments!A78="","",Deployments!A78)</f>
        <v/>
      </c>
      <c r="I81" s="19">
        <f>IF(Deployments!AN78="","",Deployments!AN78)</f>
        <v/>
      </c>
      <c r="J81" s="19">
        <f>IF(Deployments!AO78="","",Deployments!AO78)</f>
        <v/>
      </c>
      <c r="K81" s="19">
        <f>IF(Deployments!AI78="","",Deployments!AI78)</f>
        <v/>
      </c>
      <c r="L81" s="19">
        <f>IF(Deployments!M78="","",Deployments!M78)</f>
        <v/>
      </c>
      <c r="M81" s="20" t="n"/>
      <c r="N81" s="19">
        <f>IF(Deployments!N78="","",Deployments!N78)</f>
        <v/>
      </c>
      <c r="O81" s="19">
        <f>IF(Deployments!O78="","",Deployments!O78)</f>
        <v/>
      </c>
      <c r="P81" s="19">
        <f>IF(Deployments!P78="","",Deployments!P78)</f>
        <v/>
      </c>
      <c r="Q81" s="20" t="n"/>
      <c r="R81" s="19">
        <f>IF(Deployments!BT78="","",Deployments!BT78)</f>
        <v/>
      </c>
      <c r="S81" s="19">
        <f>IF(Deployments!BS78="","",Deployments!BS78)</f>
        <v/>
      </c>
      <c r="T81" s="19">
        <f>IF(Deployments!BB78="","",Deployments!BB78)</f>
        <v/>
      </c>
      <c r="U81" s="19">
        <f>IF(Deployments!BR78="","",Deployments!BR78)</f>
        <v/>
      </c>
      <c r="V81" s="19">
        <f>IF(Deployments!BX78="","",Deployments!BX78)</f>
        <v/>
      </c>
      <c r="W81" s="19">
        <f>IF(Deployments!BY78="","",Deployments!BY78)</f>
        <v/>
      </c>
      <c r="X81" s="19">
        <f>IF(Deployments!CC78="","",Deployments!CC78)</f>
        <v/>
      </c>
      <c r="Y81" s="19">
        <f>IF(Deployments!BW78="","",Deployments!BW78)</f>
        <v/>
      </c>
      <c r="Z81" s="19">
        <f>IF(Deployments!U78="","",Deployments!U78)</f>
        <v/>
      </c>
      <c r="AA81" s="19">
        <f>IF(Deployments!L78="","",Deployments!L78)</f>
        <v/>
      </c>
    </row>
    <row r="82" ht="41.25" customHeight="1" s="91">
      <c r="A82" s="20" t="n"/>
      <c r="B82" s="20" t="n"/>
      <c r="C82" s="19">
        <f>IF(Deployments!H79="","",Deployments!H79)</f>
        <v/>
      </c>
      <c r="D82" s="19">
        <f>IF(Deployments!AM79="","",Deployments!AM79)</f>
        <v/>
      </c>
      <c r="E82" s="19">
        <f>IF(Deployments!I79="","",Deployments!I79)</f>
        <v/>
      </c>
      <c r="F82" s="19">
        <f>IF(Deployments!J79="","",Deployments!J79)</f>
        <v/>
      </c>
      <c r="G82" s="19">
        <f>IF(Deployments!K79="","",Deployments!K79)</f>
        <v/>
      </c>
      <c r="H82" s="19">
        <f>IF(Deployments!A79="","",Deployments!A79)</f>
        <v/>
      </c>
      <c r="I82" s="19">
        <f>IF(Deployments!AN79="","",Deployments!AN79)</f>
        <v/>
      </c>
      <c r="J82" s="19">
        <f>IF(Deployments!AO79="","",Deployments!AO79)</f>
        <v/>
      </c>
      <c r="K82" s="19">
        <f>IF(Deployments!AI79="","",Deployments!AI79)</f>
        <v/>
      </c>
      <c r="L82" s="19">
        <f>IF(Deployments!M79="","",Deployments!M79)</f>
        <v/>
      </c>
      <c r="M82" s="20" t="n"/>
      <c r="N82" s="19">
        <f>IF(Deployments!N79="","",Deployments!N79)</f>
        <v/>
      </c>
      <c r="O82" s="19">
        <f>IF(Deployments!O79="","",Deployments!O79)</f>
        <v/>
      </c>
      <c r="P82" s="19">
        <f>IF(Deployments!P79="","",Deployments!P79)</f>
        <v/>
      </c>
      <c r="Q82" s="20" t="n"/>
      <c r="R82" s="19">
        <f>IF(Deployments!BT79="","",Deployments!BT79)</f>
        <v/>
      </c>
      <c r="S82" s="19">
        <f>IF(Deployments!BS79="","",Deployments!BS79)</f>
        <v/>
      </c>
      <c r="T82" s="19">
        <f>IF(Deployments!BB79="","",Deployments!BB79)</f>
        <v/>
      </c>
      <c r="U82" s="19">
        <f>IF(Deployments!BR79="","",Deployments!BR79)</f>
        <v/>
      </c>
      <c r="V82" s="19">
        <f>IF(Deployments!BX79="","",Deployments!BX79)</f>
        <v/>
      </c>
      <c r="W82" s="19">
        <f>IF(Deployments!BY79="","",Deployments!BY79)</f>
        <v/>
      </c>
      <c r="X82" s="19">
        <f>IF(Deployments!CC79="","",Deployments!CC79)</f>
        <v/>
      </c>
      <c r="Y82" s="19">
        <f>IF(Deployments!BW79="","",Deployments!BW79)</f>
        <v/>
      </c>
      <c r="Z82" s="19">
        <f>IF(Deployments!U79="","",Deployments!U79)</f>
        <v/>
      </c>
      <c r="AA82" s="19">
        <f>IF(Deployments!L79="","",Deployments!L79)</f>
        <v/>
      </c>
    </row>
    <row r="83" ht="41.25" customHeight="1" s="91">
      <c r="A83" s="20" t="n"/>
      <c r="B83" s="20" t="n"/>
      <c r="C83" s="19">
        <f>IF(Deployments!H80="","",Deployments!H80)</f>
        <v/>
      </c>
      <c r="D83" s="19">
        <f>IF(Deployments!AM80="","",Deployments!AM80)</f>
        <v/>
      </c>
      <c r="E83" s="19">
        <f>IF(Deployments!I80="","",Deployments!I80)</f>
        <v/>
      </c>
      <c r="F83" s="19">
        <f>IF(Deployments!J80="","",Deployments!J80)</f>
        <v/>
      </c>
      <c r="G83" s="19">
        <f>IF(Deployments!K80="","",Deployments!K80)</f>
        <v/>
      </c>
      <c r="H83" s="19">
        <f>IF(Deployments!A80="","",Deployments!A80)</f>
        <v/>
      </c>
      <c r="I83" s="19">
        <f>IF(Deployments!AN80="","",Deployments!AN80)</f>
        <v/>
      </c>
      <c r="J83" s="19">
        <f>IF(Deployments!AO80="","",Deployments!AO80)</f>
        <v/>
      </c>
      <c r="K83" s="19">
        <f>IF(Deployments!AI80="","",Deployments!AI80)</f>
        <v/>
      </c>
      <c r="L83" s="19">
        <f>IF(Deployments!M80="","",Deployments!M80)</f>
        <v/>
      </c>
      <c r="M83" s="20" t="n"/>
      <c r="N83" s="19">
        <f>IF(Deployments!N80="","",Deployments!N80)</f>
        <v/>
      </c>
      <c r="O83" s="19">
        <f>IF(Deployments!O80="","",Deployments!O80)</f>
        <v/>
      </c>
      <c r="P83" s="19">
        <f>IF(Deployments!P80="","",Deployments!P80)</f>
        <v/>
      </c>
      <c r="Q83" s="20" t="n"/>
      <c r="R83" s="19">
        <f>IF(Deployments!BT80="","",Deployments!BT80)</f>
        <v/>
      </c>
      <c r="S83" s="19">
        <f>IF(Deployments!BS80="","",Deployments!BS80)</f>
        <v/>
      </c>
      <c r="T83" s="19">
        <f>IF(Deployments!BB80="","",Deployments!BB80)</f>
        <v/>
      </c>
      <c r="U83" s="19">
        <f>IF(Deployments!BR80="","",Deployments!BR80)</f>
        <v/>
      </c>
      <c r="V83" s="19">
        <f>IF(Deployments!BX80="","",Deployments!BX80)</f>
        <v/>
      </c>
      <c r="W83" s="19">
        <f>IF(Deployments!BY80="","",Deployments!BY80)</f>
        <v/>
      </c>
      <c r="X83" s="19">
        <f>IF(Deployments!CC80="","",Deployments!CC80)</f>
        <v/>
      </c>
      <c r="Y83" s="19">
        <f>IF(Deployments!BW80="","",Deployments!BW80)</f>
        <v/>
      </c>
      <c r="Z83" s="19">
        <f>IF(Deployments!U80="","",Deployments!U80)</f>
        <v/>
      </c>
      <c r="AA83" s="19">
        <f>IF(Deployments!L80="","",Deployments!L80)</f>
        <v/>
      </c>
    </row>
    <row r="84" ht="41.25" customHeight="1" s="91">
      <c r="A84" s="20" t="n"/>
      <c r="B84" s="20" t="n"/>
      <c r="C84" s="19">
        <f>IF(Deployments!H81="","",Deployments!H81)</f>
        <v/>
      </c>
      <c r="D84" s="19">
        <f>IF(Deployments!AM81="","",Deployments!AM81)</f>
        <v/>
      </c>
      <c r="E84" s="19">
        <f>IF(Deployments!I81="","",Deployments!I81)</f>
        <v/>
      </c>
      <c r="F84" s="19">
        <f>IF(Deployments!J81="","",Deployments!J81)</f>
        <v/>
      </c>
      <c r="G84" s="19">
        <f>IF(Deployments!K81="","",Deployments!K81)</f>
        <v/>
      </c>
      <c r="H84" s="19">
        <f>IF(Deployments!A81="","",Deployments!A81)</f>
        <v/>
      </c>
      <c r="I84" s="19">
        <f>IF(Deployments!AN81="","",Deployments!AN81)</f>
        <v/>
      </c>
      <c r="J84" s="19">
        <f>IF(Deployments!AO81="","",Deployments!AO81)</f>
        <v/>
      </c>
      <c r="K84" s="19">
        <f>IF(Deployments!AI81="","",Deployments!AI81)</f>
        <v/>
      </c>
      <c r="L84" s="19">
        <f>IF(Deployments!M81="","",Deployments!M81)</f>
        <v/>
      </c>
      <c r="M84" s="20" t="n"/>
      <c r="N84" s="19">
        <f>IF(Deployments!N81="","",Deployments!N81)</f>
        <v/>
      </c>
      <c r="O84" s="19">
        <f>IF(Deployments!O81="","",Deployments!O81)</f>
        <v/>
      </c>
      <c r="P84" s="19">
        <f>IF(Deployments!P81="","",Deployments!P81)</f>
        <v/>
      </c>
      <c r="Q84" s="20" t="n"/>
      <c r="R84" s="19">
        <f>IF(Deployments!BT81="","",Deployments!BT81)</f>
        <v/>
      </c>
      <c r="S84" s="19">
        <f>IF(Deployments!BS81="","",Deployments!BS81)</f>
        <v/>
      </c>
      <c r="T84" s="19">
        <f>IF(Deployments!BB81="","",Deployments!BB81)</f>
        <v/>
      </c>
      <c r="U84" s="19">
        <f>IF(Deployments!BR81="","",Deployments!BR81)</f>
        <v/>
      </c>
      <c r="V84" s="19">
        <f>IF(Deployments!BX81="","",Deployments!BX81)</f>
        <v/>
      </c>
      <c r="W84" s="19">
        <f>IF(Deployments!BY81="","",Deployments!BY81)</f>
        <v/>
      </c>
      <c r="X84" s="19">
        <f>IF(Deployments!CC81="","",Deployments!CC81)</f>
        <v/>
      </c>
      <c r="Y84" s="19">
        <f>IF(Deployments!BW81="","",Deployments!BW81)</f>
        <v/>
      </c>
      <c r="Z84" s="19">
        <f>IF(Deployments!U81="","",Deployments!U81)</f>
        <v/>
      </c>
      <c r="AA84" s="19">
        <f>IF(Deployments!L81="","",Deployments!L81)</f>
        <v/>
      </c>
    </row>
    <row r="85" ht="41.25" customHeight="1" s="91">
      <c r="A85" s="20" t="n"/>
      <c r="B85" s="20" t="n"/>
      <c r="C85" s="19">
        <f>IF(Deployments!H82="","",Deployments!H82)</f>
        <v/>
      </c>
      <c r="D85" s="19">
        <f>IF(Deployments!AM82="","",Deployments!AM82)</f>
        <v/>
      </c>
      <c r="E85" s="19">
        <f>IF(Deployments!I82="","",Deployments!I82)</f>
        <v/>
      </c>
      <c r="F85" s="19">
        <f>IF(Deployments!J82="","",Deployments!J82)</f>
        <v/>
      </c>
      <c r="G85" s="19">
        <f>IF(Deployments!K82="","",Deployments!K82)</f>
        <v/>
      </c>
      <c r="H85" s="19">
        <f>IF(Deployments!A82="","",Deployments!A82)</f>
        <v/>
      </c>
      <c r="I85" s="19">
        <f>IF(Deployments!AN82="","",Deployments!AN82)</f>
        <v/>
      </c>
      <c r="J85" s="19">
        <f>IF(Deployments!AO82="","",Deployments!AO82)</f>
        <v/>
      </c>
      <c r="K85" s="19">
        <f>IF(Deployments!AI82="","",Deployments!AI82)</f>
        <v/>
      </c>
      <c r="L85" s="19">
        <f>IF(Deployments!M82="","",Deployments!M82)</f>
        <v/>
      </c>
      <c r="M85" s="20" t="n"/>
      <c r="N85" s="19">
        <f>IF(Deployments!N82="","",Deployments!N82)</f>
        <v/>
      </c>
      <c r="O85" s="19">
        <f>IF(Deployments!O82="","",Deployments!O82)</f>
        <v/>
      </c>
      <c r="P85" s="19">
        <f>IF(Deployments!P82="","",Deployments!P82)</f>
        <v/>
      </c>
      <c r="Q85" s="20" t="n"/>
      <c r="R85" s="19">
        <f>IF(Deployments!BT82="","",Deployments!BT82)</f>
        <v/>
      </c>
      <c r="S85" s="19">
        <f>IF(Deployments!BS82="","",Deployments!BS82)</f>
        <v/>
      </c>
      <c r="T85" s="19">
        <f>IF(Deployments!BB82="","",Deployments!BB82)</f>
        <v/>
      </c>
      <c r="U85" s="19">
        <f>IF(Deployments!BR82="","",Deployments!BR82)</f>
        <v/>
      </c>
      <c r="V85" s="19">
        <f>IF(Deployments!BX82="","",Deployments!BX82)</f>
        <v/>
      </c>
      <c r="W85" s="19">
        <f>IF(Deployments!BY82="","",Deployments!BY82)</f>
        <v/>
      </c>
      <c r="X85" s="19">
        <f>IF(Deployments!CC82="","",Deployments!CC82)</f>
        <v/>
      </c>
      <c r="Y85" s="19">
        <f>IF(Deployments!BW82="","",Deployments!BW82)</f>
        <v/>
      </c>
      <c r="Z85" s="19">
        <f>IF(Deployments!U82="","",Deployments!U82)</f>
        <v/>
      </c>
      <c r="AA85" s="19">
        <f>IF(Deployments!L82="","",Deployments!L82)</f>
        <v/>
      </c>
    </row>
    <row r="86" ht="27.75" customHeight="1" s="91">
      <c r="A86" s="20" t="n"/>
      <c r="B86" s="20" t="n"/>
      <c r="C86" s="19">
        <f>IF(Deployments!H83="","",Deployments!H83)</f>
        <v/>
      </c>
      <c r="D86" s="19">
        <f>IF(Deployments!AM83="","",Deployments!AM83)</f>
        <v/>
      </c>
      <c r="E86" s="19">
        <f>IF(Deployments!I83="","",Deployments!I83)</f>
        <v/>
      </c>
      <c r="F86" s="19">
        <f>IF(Deployments!J83="","",Deployments!J83)</f>
        <v/>
      </c>
      <c r="G86" s="19">
        <f>IF(Deployments!K83="","",Deployments!K83)</f>
        <v/>
      </c>
      <c r="H86" s="19">
        <f>IF(Deployments!A83="","",Deployments!A83)</f>
        <v/>
      </c>
      <c r="I86" s="19">
        <f>IF(Deployments!AN83="","",Deployments!AN83)</f>
        <v/>
      </c>
      <c r="J86" s="19">
        <f>IF(Deployments!AO83="","",Deployments!AO83)</f>
        <v/>
      </c>
      <c r="K86" s="19">
        <f>IF(Deployments!AI83="","",Deployments!AI83)</f>
        <v/>
      </c>
      <c r="L86" s="19">
        <f>IF(Deployments!M83="","",Deployments!M83)</f>
        <v/>
      </c>
      <c r="M86" s="20" t="n"/>
      <c r="N86" s="19">
        <f>IF(Deployments!N83="","",Deployments!N83)</f>
        <v/>
      </c>
      <c r="O86" s="19">
        <f>IF(Deployments!O83="","",Deployments!O83)</f>
        <v/>
      </c>
      <c r="P86" s="19">
        <f>IF(Deployments!P83="","",Deployments!P83)</f>
        <v/>
      </c>
      <c r="Q86" s="20" t="n"/>
      <c r="R86" s="19">
        <f>IF(Deployments!BT83="","",Deployments!BT83)</f>
        <v/>
      </c>
      <c r="S86" s="19">
        <f>IF(Deployments!BS83="","",Deployments!BS83)</f>
        <v/>
      </c>
      <c r="T86" s="19">
        <f>IF(Deployments!BB83="","",Deployments!BB83)</f>
        <v/>
      </c>
      <c r="U86" s="19">
        <f>IF(Deployments!BR83="","",Deployments!BR83)</f>
        <v/>
      </c>
      <c r="V86" s="19">
        <f>IF(Deployments!BX83="","",Deployments!BX83)</f>
        <v/>
      </c>
      <c r="W86" s="19">
        <f>IF(Deployments!BY83="","",Deployments!BY83)</f>
        <v/>
      </c>
      <c r="X86" s="19">
        <f>IF(Deployments!CC83="","",Deployments!CC83)</f>
        <v/>
      </c>
      <c r="Y86" s="19">
        <f>IF(Deployments!BW83="","",Deployments!BW83)</f>
        <v/>
      </c>
      <c r="Z86" s="19">
        <f>IF(Deployments!U83="","",Deployments!U83)</f>
        <v/>
      </c>
      <c r="AA86" s="19">
        <f>IF(Deployments!L83="","",Deployments!L83)</f>
        <v/>
      </c>
    </row>
    <row r="87" ht="27.75" customHeight="1" s="91">
      <c r="A87" s="20" t="n"/>
      <c r="B87" s="20" t="n"/>
      <c r="C87" s="19">
        <f>IF(Deployments!H84="","",Deployments!H84)</f>
        <v/>
      </c>
      <c r="D87" s="19">
        <f>IF(Deployments!AM84="","",Deployments!AM84)</f>
        <v/>
      </c>
      <c r="E87" s="19">
        <f>IF(Deployments!I84="","",Deployments!I84)</f>
        <v/>
      </c>
      <c r="F87" s="19">
        <f>IF(Deployments!J84="","",Deployments!J84)</f>
        <v/>
      </c>
      <c r="G87" s="19">
        <f>IF(Deployments!K84="","",Deployments!K84)</f>
        <v/>
      </c>
      <c r="H87" s="19">
        <f>IF(Deployments!A84="","",Deployments!A84)</f>
        <v/>
      </c>
      <c r="I87" s="19">
        <f>IF(Deployments!AN84="","",Deployments!AN84)</f>
        <v/>
      </c>
      <c r="J87" s="19">
        <f>IF(Deployments!AO84="","",Deployments!AO84)</f>
        <v/>
      </c>
      <c r="K87" s="19">
        <f>IF(Deployments!AI84="","",Deployments!AI84)</f>
        <v/>
      </c>
      <c r="L87" s="19">
        <f>IF(Deployments!M84="","",Deployments!M84)</f>
        <v/>
      </c>
      <c r="M87" s="20" t="n"/>
      <c r="N87" s="19">
        <f>IF(Deployments!N84="","",Deployments!N84)</f>
        <v/>
      </c>
      <c r="O87" s="19">
        <f>IF(Deployments!O84="","",Deployments!O84)</f>
        <v/>
      </c>
      <c r="P87" s="19">
        <f>IF(Deployments!P84="","",Deployments!P84)</f>
        <v/>
      </c>
      <c r="Q87" s="20" t="n"/>
      <c r="R87" s="19">
        <f>IF(Deployments!BT84="","",Deployments!BT84)</f>
        <v/>
      </c>
      <c r="S87" s="19">
        <f>IF(Deployments!BS84="","",Deployments!BS84)</f>
        <v/>
      </c>
      <c r="T87" s="19">
        <f>IF(Deployments!BB84="","",Deployments!BB84)</f>
        <v/>
      </c>
      <c r="U87" s="19">
        <f>IF(Deployments!BR84="","",Deployments!BR84)</f>
        <v/>
      </c>
      <c r="V87" s="19">
        <f>IF(Deployments!BX84="","",Deployments!BX84)</f>
        <v/>
      </c>
      <c r="W87" s="19">
        <f>IF(Deployments!BY84="","",Deployments!BY84)</f>
        <v/>
      </c>
      <c r="X87" s="19">
        <f>IF(Deployments!CC84="","",Deployments!CC84)</f>
        <v/>
      </c>
      <c r="Y87" s="19">
        <f>IF(Deployments!BW84="","",Deployments!BW84)</f>
        <v/>
      </c>
      <c r="Z87" s="19">
        <f>IF(Deployments!U84="","",Deployments!U84)</f>
        <v/>
      </c>
      <c r="AA87" s="19">
        <f>IF(Deployments!L84="","",Deployments!L84)</f>
        <v/>
      </c>
    </row>
    <row r="88" ht="41.25" customHeight="1" s="91">
      <c r="A88" s="20" t="n"/>
      <c r="B88" s="20" t="n"/>
      <c r="C88" s="19">
        <f>IF(Deployments!H85="","",Deployments!H85)</f>
        <v/>
      </c>
      <c r="D88" s="19">
        <f>IF(Deployments!AM85="","",Deployments!AM85)</f>
        <v/>
      </c>
      <c r="E88" s="19">
        <f>IF(Deployments!I85="","",Deployments!I85)</f>
        <v/>
      </c>
      <c r="F88" s="19">
        <f>IF(Deployments!J85="","",Deployments!J85)</f>
        <v/>
      </c>
      <c r="G88" s="19">
        <f>IF(Deployments!K85="","",Deployments!K85)</f>
        <v/>
      </c>
      <c r="H88" s="19">
        <f>IF(Deployments!A85="","",Deployments!A85)</f>
        <v/>
      </c>
      <c r="I88" s="19">
        <f>IF(Deployments!AN85="","",Deployments!AN85)</f>
        <v/>
      </c>
      <c r="J88" s="19">
        <f>IF(Deployments!AO85="","",Deployments!AO85)</f>
        <v/>
      </c>
      <c r="K88" s="19">
        <f>IF(Deployments!AI85="","",Deployments!AI85)</f>
        <v/>
      </c>
      <c r="L88" s="19">
        <f>IF(Deployments!M85="","",Deployments!M85)</f>
        <v/>
      </c>
      <c r="M88" s="20" t="n"/>
      <c r="N88" s="19">
        <f>IF(Deployments!N85="","",Deployments!N85)</f>
        <v/>
      </c>
      <c r="O88" s="19">
        <f>IF(Deployments!O85="","",Deployments!O85)</f>
        <v/>
      </c>
      <c r="P88" s="19">
        <f>IF(Deployments!P85="","",Deployments!P85)</f>
        <v/>
      </c>
      <c r="Q88" s="20" t="n"/>
      <c r="R88" s="19">
        <f>IF(Deployments!BT85="","",Deployments!BT85)</f>
        <v/>
      </c>
      <c r="S88" s="19">
        <f>IF(Deployments!BS85="","",Deployments!BS85)</f>
        <v/>
      </c>
      <c r="T88" s="19">
        <f>IF(Deployments!BB85="","",Deployments!BB85)</f>
        <v/>
      </c>
      <c r="U88" s="19">
        <f>IF(Deployments!BR85="","",Deployments!BR85)</f>
        <v/>
      </c>
      <c r="V88" s="19">
        <f>IF(Deployments!BX85="","",Deployments!BX85)</f>
        <v/>
      </c>
      <c r="W88" s="19">
        <f>IF(Deployments!BY85="","",Deployments!BY85)</f>
        <v/>
      </c>
      <c r="X88" s="19">
        <f>IF(Deployments!CC85="","",Deployments!CC85)</f>
        <v/>
      </c>
      <c r="Y88" s="19">
        <f>IF(Deployments!BW85="","",Deployments!BW85)</f>
        <v/>
      </c>
      <c r="Z88" s="19">
        <f>IF(Deployments!U85="","",Deployments!U85)</f>
        <v/>
      </c>
      <c r="AA88" s="19">
        <f>IF(Deployments!L85="","",Deployments!L85)</f>
        <v/>
      </c>
    </row>
    <row r="89" ht="27.75" customHeight="1" s="91">
      <c r="A89" s="20" t="n"/>
      <c r="B89" s="20" t="n"/>
      <c r="C89" s="19">
        <f>IF(Deployments!H86="","",Deployments!H86)</f>
        <v/>
      </c>
      <c r="D89" s="19">
        <f>IF(Deployments!AM86="","",Deployments!AM86)</f>
        <v/>
      </c>
      <c r="E89" s="19">
        <f>IF(Deployments!I86="","",Deployments!I86)</f>
        <v/>
      </c>
      <c r="F89" s="19">
        <f>IF(Deployments!J86="","",Deployments!J86)</f>
        <v/>
      </c>
      <c r="G89" s="19">
        <f>IF(Deployments!K86="","",Deployments!K86)</f>
        <v/>
      </c>
      <c r="H89" s="19">
        <f>IF(Deployments!A86="","",Deployments!A86)</f>
        <v/>
      </c>
      <c r="I89" s="19">
        <f>IF(Deployments!AN86="","",Deployments!AN86)</f>
        <v/>
      </c>
      <c r="J89" s="19">
        <f>IF(Deployments!AO86="","",Deployments!AO86)</f>
        <v/>
      </c>
      <c r="K89" s="19">
        <f>IF(Deployments!AI86="","",Deployments!AI86)</f>
        <v/>
      </c>
      <c r="L89" s="19">
        <f>IF(Deployments!M86="","",Deployments!M86)</f>
        <v/>
      </c>
      <c r="M89" s="20" t="n"/>
      <c r="N89" s="19">
        <f>IF(Deployments!N86="","",Deployments!N86)</f>
        <v/>
      </c>
      <c r="O89" s="19">
        <f>IF(Deployments!O86="","",Deployments!O86)</f>
        <v/>
      </c>
      <c r="P89" s="19">
        <f>IF(Deployments!P86="","",Deployments!P86)</f>
        <v/>
      </c>
      <c r="Q89" s="20" t="n"/>
      <c r="R89" s="19">
        <f>IF(Deployments!BT86="","",Deployments!BT86)</f>
        <v/>
      </c>
      <c r="S89" s="19">
        <f>IF(Deployments!BS86="","",Deployments!BS86)</f>
        <v/>
      </c>
      <c r="T89" s="19">
        <f>IF(Deployments!BB86="","",Deployments!BB86)</f>
        <v/>
      </c>
      <c r="U89" s="19">
        <f>IF(Deployments!BR86="","",Deployments!BR86)</f>
        <v/>
      </c>
      <c r="V89" s="19">
        <f>IF(Deployments!BX86="","",Deployments!BX86)</f>
        <v/>
      </c>
      <c r="W89" s="19">
        <f>IF(Deployments!BY86="","",Deployments!BY86)</f>
        <v/>
      </c>
      <c r="X89" s="19">
        <f>IF(Deployments!CC86="","",Deployments!CC86)</f>
        <v/>
      </c>
      <c r="Y89" s="19">
        <f>IF(Deployments!BW86="","",Deployments!BW86)</f>
        <v/>
      </c>
      <c r="Z89" s="19">
        <f>IF(Deployments!U86="","",Deployments!U86)</f>
        <v/>
      </c>
      <c r="AA89" s="19">
        <f>IF(Deployments!L86="","",Deployments!L86)</f>
        <v/>
      </c>
    </row>
    <row r="90" ht="41.25" customHeight="1" s="91">
      <c r="A90" s="20" t="n"/>
      <c r="B90" s="20" t="n"/>
      <c r="C90" s="19">
        <f>IF(Deployments!H87="","",Deployments!H87)</f>
        <v/>
      </c>
      <c r="D90" s="19">
        <f>IF(Deployments!AM87="","",Deployments!AM87)</f>
        <v/>
      </c>
      <c r="E90" s="19">
        <f>IF(Deployments!I87="","",Deployments!I87)</f>
        <v/>
      </c>
      <c r="F90" s="19">
        <f>IF(Deployments!J87="","",Deployments!J87)</f>
        <v/>
      </c>
      <c r="G90" s="19">
        <f>IF(Deployments!K87="","",Deployments!K87)</f>
        <v/>
      </c>
      <c r="H90" s="19">
        <f>IF(Deployments!A87="","",Deployments!A87)</f>
        <v/>
      </c>
      <c r="I90" s="19">
        <f>IF(Deployments!AN87="","",Deployments!AN87)</f>
        <v/>
      </c>
      <c r="J90" s="19">
        <f>IF(Deployments!AO87="","",Deployments!AO87)</f>
        <v/>
      </c>
      <c r="K90" s="19">
        <f>IF(Deployments!AI87="","",Deployments!AI87)</f>
        <v/>
      </c>
      <c r="L90" s="19">
        <f>IF(Deployments!M87="","",Deployments!M87)</f>
        <v/>
      </c>
      <c r="M90" s="20" t="n"/>
      <c r="N90" s="19">
        <f>IF(Deployments!N87="","",Deployments!N87)</f>
        <v/>
      </c>
      <c r="O90" s="19">
        <f>IF(Deployments!O87="","",Deployments!O87)</f>
        <v/>
      </c>
      <c r="P90" s="19">
        <f>IF(Deployments!P87="","",Deployments!P87)</f>
        <v/>
      </c>
      <c r="Q90" s="20" t="n"/>
      <c r="R90" s="19">
        <f>IF(Deployments!BT87="","",Deployments!BT87)</f>
        <v/>
      </c>
      <c r="S90" s="19">
        <f>IF(Deployments!BS87="","",Deployments!BS87)</f>
        <v/>
      </c>
      <c r="T90" s="19">
        <f>IF(Deployments!BB87="","",Deployments!BB87)</f>
        <v/>
      </c>
      <c r="U90" s="19">
        <f>IF(Deployments!BR87="","",Deployments!BR87)</f>
        <v/>
      </c>
      <c r="V90" s="19">
        <f>IF(Deployments!BX87="","",Deployments!BX87)</f>
        <v/>
      </c>
      <c r="W90" s="19">
        <f>IF(Deployments!BY87="","",Deployments!BY87)</f>
        <v/>
      </c>
      <c r="X90" s="19">
        <f>IF(Deployments!CC87="","",Deployments!CC87)</f>
        <v/>
      </c>
      <c r="Y90" s="19">
        <f>IF(Deployments!BW87="","",Deployments!BW87)</f>
        <v/>
      </c>
      <c r="Z90" s="19">
        <f>IF(Deployments!U87="","",Deployments!U87)</f>
        <v/>
      </c>
      <c r="AA90" s="19">
        <f>IF(Deployments!L87="","",Deployments!L87)</f>
        <v/>
      </c>
    </row>
    <row r="91" ht="41.25" customHeight="1" s="91">
      <c r="A91" s="20" t="n"/>
      <c r="B91" s="20" t="n"/>
      <c r="C91" s="19">
        <f>IF(Deployments!H88="","",Deployments!H88)</f>
        <v/>
      </c>
      <c r="D91" s="19">
        <f>IF(Deployments!AM88="","",Deployments!AM88)</f>
        <v/>
      </c>
      <c r="E91" s="19">
        <f>IF(Deployments!I88="","",Deployments!I88)</f>
        <v/>
      </c>
      <c r="F91" s="19">
        <f>IF(Deployments!J88="","",Deployments!J88)</f>
        <v/>
      </c>
      <c r="G91" s="19">
        <f>IF(Deployments!K88="","",Deployments!K88)</f>
        <v/>
      </c>
      <c r="H91" s="19">
        <f>IF(Deployments!A88="","",Deployments!A88)</f>
        <v/>
      </c>
      <c r="I91" s="19">
        <f>IF(Deployments!AN88="","",Deployments!AN88)</f>
        <v/>
      </c>
      <c r="J91" s="19">
        <f>IF(Deployments!AO88="","",Deployments!AO88)</f>
        <v/>
      </c>
      <c r="K91" s="19">
        <f>IF(Deployments!AI88="","",Deployments!AI88)</f>
        <v/>
      </c>
      <c r="L91" s="19">
        <f>IF(Deployments!M88="","",Deployments!M88)</f>
        <v/>
      </c>
      <c r="M91" s="20" t="n"/>
      <c r="N91" s="19">
        <f>IF(Deployments!N88="","",Deployments!N88)</f>
        <v/>
      </c>
      <c r="O91" s="19">
        <f>IF(Deployments!O88="","",Deployments!O88)</f>
        <v/>
      </c>
      <c r="P91" s="19">
        <f>IF(Deployments!P88="","",Deployments!P88)</f>
        <v/>
      </c>
      <c r="Q91" s="20" t="n"/>
      <c r="R91" s="19">
        <f>IF(Deployments!BT88="","",Deployments!BT88)</f>
        <v/>
      </c>
      <c r="S91" s="19">
        <f>IF(Deployments!BS88="","",Deployments!BS88)</f>
        <v/>
      </c>
      <c r="T91" s="19">
        <f>IF(Deployments!BB88="","",Deployments!BB88)</f>
        <v/>
      </c>
      <c r="U91" s="19">
        <f>IF(Deployments!BR88="","",Deployments!BR88)</f>
        <v/>
      </c>
      <c r="V91" s="19">
        <f>IF(Deployments!BX88="","",Deployments!BX88)</f>
        <v/>
      </c>
      <c r="W91" s="19">
        <f>IF(Deployments!BY88="","",Deployments!BY88)</f>
        <v/>
      </c>
      <c r="X91" s="19">
        <f>IF(Deployments!CC88="","",Deployments!CC88)</f>
        <v/>
      </c>
      <c r="Y91" s="19">
        <f>IF(Deployments!BW88="","",Deployments!BW88)</f>
        <v/>
      </c>
      <c r="Z91" s="19">
        <f>IF(Deployments!U88="","",Deployments!U88)</f>
        <v/>
      </c>
      <c r="AA91" s="19">
        <f>IF(Deployments!L88="","",Deployments!L88)</f>
        <v/>
      </c>
    </row>
    <row r="92" ht="41.25" customHeight="1" s="91">
      <c r="A92" s="20" t="n"/>
      <c r="B92" s="20" t="n"/>
      <c r="C92" s="19">
        <f>IF(Deployments!H89="","",Deployments!H89)</f>
        <v/>
      </c>
      <c r="D92" s="19">
        <f>IF(Deployments!AM89="","",Deployments!AM89)</f>
        <v/>
      </c>
      <c r="E92" s="19">
        <f>IF(Deployments!I89="","",Deployments!I89)</f>
        <v/>
      </c>
      <c r="F92" s="19">
        <f>IF(Deployments!J89="","",Deployments!J89)</f>
        <v/>
      </c>
      <c r="G92" s="19">
        <f>IF(Deployments!K89="","",Deployments!K89)</f>
        <v/>
      </c>
      <c r="H92" s="19">
        <f>IF(Deployments!A89="","",Deployments!A89)</f>
        <v/>
      </c>
      <c r="I92" s="19">
        <f>IF(Deployments!AN89="","",Deployments!AN89)</f>
        <v/>
      </c>
      <c r="J92" s="19">
        <f>IF(Deployments!AO89="","",Deployments!AO89)</f>
        <v/>
      </c>
      <c r="K92" s="19">
        <f>IF(Deployments!AI89="","",Deployments!AI89)</f>
        <v/>
      </c>
      <c r="L92" s="19">
        <f>IF(Deployments!M89="","",Deployments!M89)</f>
        <v/>
      </c>
      <c r="M92" s="20" t="n"/>
      <c r="N92" s="19">
        <f>IF(Deployments!N89="","",Deployments!N89)</f>
        <v/>
      </c>
      <c r="O92" s="19">
        <f>IF(Deployments!O89="","",Deployments!O89)</f>
        <v/>
      </c>
      <c r="P92" s="19">
        <f>IF(Deployments!P89="","",Deployments!P89)</f>
        <v/>
      </c>
      <c r="Q92" s="20" t="n"/>
      <c r="R92" s="19">
        <f>IF(Deployments!BT89="","",Deployments!BT89)</f>
        <v/>
      </c>
      <c r="S92" s="19">
        <f>IF(Deployments!BS89="","",Deployments!BS89)</f>
        <v/>
      </c>
      <c r="T92" s="19">
        <f>IF(Deployments!BB89="","",Deployments!BB89)</f>
        <v/>
      </c>
      <c r="U92" s="19">
        <f>IF(Deployments!BR89="","",Deployments!BR89)</f>
        <v/>
      </c>
      <c r="V92" s="19">
        <f>IF(Deployments!BX89="","",Deployments!BX89)</f>
        <v/>
      </c>
      <c r="W92" s="19">
        <f>IF(Deployments!BY89="","",Deployments!BY89)</f>
        <v/>
      </c>
      <c r="X92" s="19">
        <f>IF(Deployments!CC89="","",Deployments!CC89)</f>
        <v/>
      </c>
      <c r="Y92" s="19">
        <f>IF(Deployments!BW89="","",Deployments!BW89)</f>
        <v/>
      </c>
      <c r="Z92" s="19">
        <f>IF(Deployments!U89="","",Deployments!U89)</f>
        <v/>
      </c>
      <c r="AA92" s="19">
        <f>IF(Deployments!L89="","",Deployments!L89)</f>
        <v/>
      </c>
    </row>
    <row r="93" ht="27.75" customHeight="1" s="91">
      <c r="A93" s="20" t="n"/>
      <c r="B93" s="20" t="n"/>
      <c r="C93" s="19">
        <f>IF(Deployments!H90="","",Deployments!H90)</f>
        <v/>
      </c>
      <c r="D93" s="19">
        <f>IF(Deployments!AM90="","",Deployments!AM90)</f>
        <v/>
      </c>
      <c r="E93" s="19">
        <f>IF(Deployments!I90="","",Deployments!I90)</f>
        <v/>
      </c>
      <c r="F93" s="19">
        <f>IF(Deployments!J90="","",Deployments!J90)</f>
        <v/>
      </c>
      <c r="G93" s="19">
        <f>IF(Deployments!K90="","",Deployments!K90)</f>
        <v/>
      </c>
      <c r="H93" s="19">
        <f>IF(Deployments!A90="","",Deployments!A90)</f>
        <v/>
      </c>
      <c r="I93" s="19">
        <f>IF(Deployments!AN90="","",Deployments!AN90)</f>
        <v/>
      </c>
      <c r="J93" s="19">
        <f>IF(Deployments!AO90="","",Deployments!AO90)</f>
        <v/>
      </c>
      <c r="K93" s="19">
        <f>IF(Deployments!AI90="","",Deployments!AI90)</f>
        <v/>
      </c>
      <c r="L93" s="19">
        <f>IF(Deployments!M90="","",Deployments!M90)</f>
        <v/>
      </c>
      <c r="M93" s="20" t="n"/>
      <c r="N93" s="19">
        <f>IF(Deployments!N90="","",Deployments!N90)</f>
        <v/>
      </c>
      <c r="O93" s="19">
        <f>IF(Deployments!O90="","",Deployments!O90)</f>
        <v/>
      </c>
      <c r="P93" s="19">
        <f>IF(Deployments!P90="","",Deployments!P90)</f>
        <v/>
      </c>
      <c r="Q93" s="20" t="n"/>
      <c r="R93" s="19">
        <f>IF(Deployments!BT90="","",Deployments!BT90)</f>
        <v/>
      </c>
      <c r="S93" s="19">
        <f>IF(Deployments!BS90="","",Deployments!BS90)</f>
        <v/>
      </c>
      <c r="T93" s="19">
        <f>IF(Deployments!BB90="","",Deployments!BB90)</f>
        <v/>
      </c>
      <c r="U93" s="19">
        <f>IF(Deployments!BR90="","",Deployments!BR90)</f>
        <v/>
      </c>
      <c r="V93" s="19">
        <f>IF(Deployments!BX90="","",Deployments!BX90)</f>
        <v/>
      </c>
      <c r="W93" s="19">
        <f>IF(Deployments!BY90="","",Deployments!BY90)</f>
        <v/>
      </c>
      <c r="X93" s="19">
        <f>IF(Deployments!CC90="","",Deployments!CC90)</f>
        <v/>
      </c>
      <c r="Y93" s="19">
        <f>IF(Deployments!BW90="","",Deployments!BW90)</f>
        <v/>
      </c>
      <c r="Z93" s="19">
        <f>IF(Deployments!U90="","",Deployments!U90)</f>
        <v/>
      </c>
      <c r="AA93" s="19">
        <f>IF(Deployments!L90="","",Deployments!L90)</f>
        <v/>
      </c>
    </row>
    <row r="94" ht="27.75" customHeight="1" s="91">
      <c r="A94" s="20" t="n"/>
      <c r="B94" s="20" t="n"/>
      <c r="C94" s="19">
        <f>IF(Deployments!H91="","",Deployments!H91)</f>
        <v/>
      </c>
      <c r="D94" s="19">
        <f>IF(Deployments!AM91="","",Deployments!AM91)</f>
        <v/>
      </c>
      <c r="E94" s="19">
        <f>IF(Deployments!I91="","",Deployments!I91)</f>
        <v/>
      </c>
      <c r="F94" s="19">
        <f>IF(Deployments!J91="","",Deployments!J91)</f>
        <v/>
      </c>
      <c r="G94" s="19">
        <f>IF(Deployments!K91="","",Deployments!K91)</f>
        <v/>
      </c>
      <c r="H94" s="19">
        <f>IF(Deployments!A91="","",Deployments!A91)</f>
        <v/>
      </c>
      <c r="I94" s="19">
        <f>IF(Deployments!AN91="","",Deployments!AN91)</f>
        <v/>
      </c>
      <c r="J94" s="19">
        <f>IF(Deployments!AO91="","",Deployments!AO91)</f>
        <v/>
      </c>
      <c r="K94" s="19">
        <f>IF(Deployments!AI91="","",Deployments!AI91)</f>
        <v/>
      </c>
      <c r="L94" s="19">
        <f>IF(Deployments!M91="","",Deployments!M91)</f>
        <v/>
      </c>
      <c r="M94" s="20" t="n"/>
      <c r="N94" s="19">
        <f>IF(Deployments!N91="","",Deployments!N91)</f>
        <v/>
      </c>
      <c r="O94" s="19">
        <f>IF(Deployments!O91="","",Deployments!O91)</f>
        <v/>
      </c>
      <c r="P94" s="19">
        <f>IF(Deployments!P91="","",Deployments!P91)</f>
        <v/>
      </c>
      <c r="Q94" s="20" t="n"/>
      <c r="R94" s="19">
        <f>IF(Deployments!BT91="","",Deployments!BT91)</f>
        <v/>
      </c>
      <c r="S94" s="19">
        <f>IF(Deployments!BS91="","",Deployments!BS91)</f>
        <v/>
      </c>
      <c r="T94" s="19">
        <f>IF(Deployments!BB91="","",Deployments!BB91)</f>
        <v/>
      </c>
      <c r="U94" s="19">
        <f>IF(Deployments!BR91="","",Deployments!BR91)</f>
        <v/>
      </c>
      <c r="V94" s="19">
        <f>IF(Deployments!BX91="","",Deployments!BX91)</f>
        <v/>
      </c>
      <c r="W94" s="19">
        <f>IF(Deployments!BY91="","",Deployments!BY91)</f>
        <v/>
      </c>
      <c r="X94" s="19">
        <f>IF(Deployments!CC91="","",Deployments!CC91)</f>
        <v/>
      </c>
      <c r="Y94" s="19">
        <f>IF(Deployments!BW91="","",Deployments!BW91)</f>
        <v/>
      </c>
      <c r="Z94" s="19">
        <f>IF(Deployments!U91="","",Deployments!U91)</f>
        <v/>
      </c>
      <c r="AA94" s="19">
        <f>IF(Deployments!L91="","",Deployments!L91)</f>
        <v/>
      </c>
    </row>
    <row r="95" ht="41.25" customHeight="1" s="91">
      <c r="A95" s="20" t="n"/>
      <c r="B95" s="20" t="n"/>
      <c r="C95" s="19">
        <f>IF(Deployments!H92="","",Deployments!H92)</f>
        <v/>
      </c>
      <c r="D95" s="19">
        <f>IF(Deployments!AM92="","",Deployments!AM92)</f>
        <v/>
      </c>
      <c r="E95" s="19">
        <f>IF(Deployments!I92="","",Deployments!I92)</f>
        <v/>
      </c>
      <c r="F95" s="19">
        <f>IF(Deployments!J92="","",Deployments!J92)</f>
        <v/>
      </c>
      <c r="G95" s="19">
        <f>IF(Deployments!K92="","",Deployments!K92)</f>
        <v/>
      </c>
      <c r="H95" s="19">
        <f>IF(Deployments!A92="","",Deployments!A92)</f>
        <v/>
      </c>
      <c r="I95" s="19">
        <f>IF(Deployments!AN92="","",Deployments!AN92)</f>
        <v/>
      </c>
      <c r="J95" s="19">
        <f>IF(Deployments!AO92="","",Deployments!AO92)</f>
        <v/>
      </c>
      <c r="K95" s="19">
        <f>IF(Deployments!AI92="","",Deployments!AI92)</f>
        <v/>
      </c>
      <c r="L95" s="19">
        <f>IF(Deployments!M92="","",Deployments!M92)</f>
        <v/>
      </c>
      <c r="M95" s="20" t="n"/>
      <c r="N95" s="19">
        <f>IF(Deployments!N92="","",Deployments!N92)</f>
        <v/>
      </c>
      <c r="O95" s="19">
        <f>IF(Deployments!O92="","",Deployments!O92)</f>
        <v/>
      </c>
      <c r="P95" s="19">
        <f>IF(Deployments!P92="","",Deployments!P92)</f>
        <v/>
      </c>
      <c r="Q95" s="20" t="n"/>
      <c r="R95" s="19">
        <f>IF(Deployments!BT92="","",Deployments!BT92)</f>
        <v/>
      </c>
      <c r="S95" s="19">
        <f>IF(Deployments!BS92="","",Deployments!BS92)</f>
        <v/>
      </c>
      <c r="T95" s="19">
        <f>IF(Deployments!BB92="","",Deployments!BB92)</f>
        <v/>
      </c>
      <c r="U95" s="19">
        <f>IF(Deployments!BR92="","",Deployments!BR92)</f>
        <v/>
      </c>
      <c r="V95" s="19">
        <f>IF(Deployments!BX92="","",Deployments!BX92)</f>
        <v/>
      </c>
      <c r="W95" s="19">
        <f>IF(Deployments!BY92="","",Deployments!BY92)</f>
        <v/>
      </c>
      <c r="X95" s="19">
        <f>IF(Deployments!CC92="","",Deployments!CC92)</f>
        <v/>
      </c>
      <c r="Y95" s="19">
        <f>IF(Deployments!BW92="","",Deployments!BW92)</f>
        <v/>
      </c>
      <c r="Z95" s="19">
        <f>IF(Deployments!U92="","",Deployments!U92)</f>
        <v/>
      </c>
      <c r="AA95" s="19">
        <f>IF(Deployments!L92="","",Deployments!L92)</f>
        <v/>
      </c>
    </row>
    <row r="96" ht="41.25" customHeight="1" s="91">
      <c r="A96" s="20" t="n"/>
      <c r="B96" s="20" t="n"/>
      <c r="C96" s="19">
        <f>IF(Deployments!H93="","",Deployments!H93)</f>
        <v/>
      </c>
      <c r="D96" s="19">
        <f>IF(Deployments!AM93="","",Deployments!AM93)</f>
        <v/>
      </c>
      <c r="E96" s="19">
        <f>IF(Deployments!I93="","",Deployments!I93)</f>
        <v/>
      </c>
      <c r="F96" s="19">
        <f>IF(Deployments!J93="","",Deployments!J93)</f>
        <v/>
      </c>
      <c r="G96" s="19">
        <f>IF(Deployments!K93="","",Deployments!K93)</f>
        <v/>
      </c>
      <c r="H96" s="19">
        <f>IF(Deployments!A93="","",Deployments!A93)</f>
        <v/>
      </c>
      <c r="I96" s="19">
        <f>IF(Deployments!AN93="","",Deployments!AN93)</f>
        <v/>
      </c>
      <c r="J96" s="19">
        <f>IF(Deployments!AO93="","",Deployments!AO93)</f>
        <v/>
      </c>
      <c r="K96" s="19">
        <f>IF(Deployments!AI93="","",Deployments!AI93)</f>
        <v/>
      </c>
      <c r="L96" s="19">
        <f>IF(Deployments!M93="","",Deployments!M93)</f>
        <v/>
      </c>
      <c r="M96" s="20" t="n"/>
      <c r="N96" s="19">
        <f>IF(Deployments!N93="","",Deployments!N93)</f>
        <v/>
      </c>
      <c r="O96" s="19">
        <f>IF(Deployments!O93="","",Deployments!O93)</f>
        <v/>
      </c>
      <c r="P96" s="19">
        <f>IF(Deployments!P93="","",Deployments!P93)</f>
        <v/>
      </c>
      <c r="Q96" s="20" t="n"/>
      <c r="R96" s="19">
        <f>IF(Deployments!BT93="","",Deployments!BT93)</f>
        <v/>
      </c>
      <c r="S96" s="19">
        <f>IF(Deployments!BS93="","",Deployments!BS93)</f>
        <v/>
      </c>
      <c r="T96" s="19">
        <f>IF(Deployments!BB93="","",Deployments!BB93)</f>
        <v/>
      </c>
      <c r="U96" s="19">
        <f>IF(Deployments!BR93="","",Deployments!BR93)</f>
        <v/>
      </c>
      <c r="V96" s="19">
        <f>IF(Deployments!BX93="","",Deployments!BX93)</f>
        <v/>
      </c>
      <c r="W96" s="19">
        <f>IF(Deployments!BY93="","",Deployments!BY93)</f>
        <v/>
      </c>
      <c r="X96" s="19">
        <f>IF(Deployments!CC93="","",Deployments!CC93)</f>
        <v/>
      </c>
      <c r="Y96" s="19">
        <f>IF(Deployments!BW93="","",Deployments!BW93)</f>
        <v/>
      </c>
      <c r="Z96" s="19">
        <f>IF(Deployments!U93="","",Deployments!U93)</f>
        <v/>
      </c>
      <c r="AA96" s="19">
        <f>IF(Deployments!L93="","",Deployments!L93)</f>
        <v/>
      </c>
    </row>
    <row r="97" ht="27.75" customHeight="1" s="91">
      <c r="A97" s="20" t="n"/>
      <c r="B97" s="20" t="n"/>
      <c r="C97" s="19">
        <f>IF(Deployments!H94="","",Deployments!H94)</f>
        <v/>
      </c>
      <c r="D97" s="19">
        <f>IF(Deployments!AM94="","",Deployments!AM94)</f>
        <v/>
      </c>
      <c r="E97" s="19">
        <f>IF(Deployments!I94="","",Deployments!I94)</f>
        <v/>
      </c>
      <c r="F97" s="19">
        <f>IF(Deployments!J94="","",Deployments!J94)</f>
        <v/>
      </c>
      <c r="G97" s="19">
        <f>IF(Deployments!K94="","",Deployments!K94)</f>
        <v/>
      </c>
      <c r="H97" s="19">
        <f>IF(Deployments!A94="","",Deployments!A94)</f>
        <v/>
      </c>
      <c r="I97" s="19">
        <f>IF(Deployments!AN94="","",Deployments!AN94)</f>
        <v/>
      </c>
      <c r="J97" s="19">
        <f>IF(Deployments!AO94="","",Deployments!AO94)</f>
        <v/>
      </c>
      <c r="K97" s="19">
        <f>IF(Deployments!AI94="","",Deployments!AI94)</f>
        <v/>
      </c>
      <c r="L97" s="19">
        <f>IF(Deployments!M94="","",Deployments!M94)</f>
        <v/>
      </c>
      <c r="M97" s="20" t="n"/>
      <c r="N97" s="19">
        <f>IF(Deployments!N94="","",Deployments!N94)</f>
        <v/>
      </c>
      <c r="O97" s="19">
        <f>IF(Deployments!O94="","",Deployments!O94)</f>
        <v/>
      </c>
      <c r="P97" s="19">
        <f>IF(Deployments!P94="","",Deployments!P94)</f>
        <v/>
      </c>
      <c r="Q97" s="20" t="n"/>
      <c r="R97" s="19">
        <f>IF(Deployments!BT94="","",Deployments!BT94)</f>
        <v/>
      </c>
      <c r="S97" s="19">
        <f>IF(Deployments!BS94="","",Deployments!BS94)</f>
        <v/>
      </c>
      <c r="T97" s="19">
        <f>IF(Deployments!BB94="","",Deployments!BB94)</f>
        <v/>
      </c>
      <c r="U97" s="19">
        <f>IF(Deployments!BR94="","",Deployments!BR94)</f>
        <v/>
      </c>
      <c r="V97" s="19">
        <f>IF(Deployments!BX94="","",Deployments!BX94)</f>
        <v/>
      </c>
      <c r="W97" s="19">
        <f>IF(Deployments!BY94="","",Deployments!BY94)</f>
        <v/>
      </c>
      <c r="X97" s="19">
        <f>IF(Deployments!CC94="","",Deployments!CC94)</f>
        <v/>
      </c>
      <c r="Y97" s="19">
        <f>IF(Deployments!BW94="","",Deployments!BW94)</f>
        <v/>
      </c>
      <c r="Z97" s="19">
        <f>IF(Deployments!U94="","",Deployments!U94)</f>
        <v/>
      </c>
      <c r="AA97" s="19">
        <f>IF(Deployments!L94="","",Deployments!L94)</f>
        <v/>
      </c>
    </row>
    <row r="98" ht="27.75" customHeight="1" s="91">
      <c r="A98" s="20" t="n"/>
      <c r="B98" s="20" t="n"/>
      <c r="C98" s="19">
        <f>IF(Deployments!H95="","",Deployments!H95)</f>
        <v/>
      </c>
      <c r="D98" s="19">
        <f>IF(Deployments!AM95="","",Deployments!AM95)</f>
        <v/>
      </c>
      <c r="E98" s="19">
        <f>IF(Deployments!I95="","",Deployments!I95)</f>
        <v/>
      </c>
      <c r="F98" s="19">
        <f>IF(Deployments!J95="","",Deployments!J95)</f>
        <v/>
      </c>
      <c r="G98" s="19">
        <f>IF(Deployments!K95="","",Deployments!K95)</f>
        <v/>
      </c>
      <c r="H98" s="19">
        <f>IF(Deployments!A95="","",Deployments!A95)</f>
        <v/>
      </c>
      <c r="I98" s="19">
        <f>IF(Deployments!AN95="","",Deployments!AN95)</f>
        <v/>
      </c>
      <c r="J98" s="19">
        <f>IF(Deployments!AO95="","",Deployments!AO95)</f>
        <v/>
      </c>
      <c r="K98" s="19">
        <f>IF(Deployments!AI95="","",Deployments!AI95)</f>
        <v/>
      </c>
      <c r="L98" s="19">
        <f>IF(Deployments!M95="","",Deployments!M95)</f>
        <v/>
      </c>
      <c r="M98" s="20" t="n"/>
      <c r="N98" s="19">
        <f>IF(Deployments!N95="","",Deployments!N95)</f>
        <v/>
      </c>
      <c r="O98" s="19">
        <f>IF(Deployments!O95="","",Deployments!O95)</f>
        <v/>
      </c>
      <c r="P98" s="19">
        <f>IF(Deployments!P95="","",Deployments!P95)</f>
        <v/>
      </c>
      <c r="Q98" s="20" t="n"/>
      <c r="R98" s="19">
        <f>IF(Deployments!BT95="","",Deployments!BT95)</f>
        <v/>
      </c>
      <c r="S98" s="19">
        <f>IF(Deployments!BS95="","",Deployments!BS95)</f>
        <v/>
      </c>
      <c r="T98" s="19">
        <f>IF(Deployments!BB95="","",Deployments!BB95)</f>
        <v/>
      </c>
      <c r="U98" s="19">
        <f>IF(Deployments!BR95="","",Deployments!BR95)</f>
        <v/>
      </c>
      <c r="V98" s="19">
        <f>IF(Deployments!BX95="","",Deployments!BX95)</f>
        <v/>
      </c>
      <c r="W98" s="19">
        <f>IF(Deployments!BY95="","",Deployments!BY95)</f>
        <v/>
      </c>
      <c r="X98" s="19">
        <f>IF(Deployments!CC95="","",Deployments!CC95)</f>
        <v/>
      </c>
      <c r="Y98" s="19">
        <f>IF(Deployments!BW95="","",Deployments!BW95)</f>
        <v/>
      </c>
      <c r="Z98" s="19">
        <f>IF(Deployments!U95="","",Deployments!U95)</f>
        <v/>
      </c>
      <c r="AA98" s="19">
        <f>IF(Deployments!L95="","",Deployments!L95)</f>
        <v/>
      </c>
    </row>
    <row r="99" ht="27.75" customHeight="1" s="91">
      <c r="A99" s="20" t="n"/>
      <c r="B99" s="20" t="n"/>
      <c r="C99" s="19">
        <f>IF(Deployments!H96="","",Deployments!H96)</f>
        <v/>
      </c>
      <c r="D99" s="19">
        <f>IF(Deployments!AM96="","",Deployments!AM96)</f>
        <v/>
      </c>
      <c r="E99" s="19">
        <f>IF(Deployments!I96="","",Deployments!I96)</f>
        <v/>
      </c>
      <c r="F99" s="19">
        <f>IF(Deployments!J96="","",Deployments!J96)</f>
        <v/>
      </c>
      <c r="G99" s="19">
        <f>IF(Deployments!K96="","",Deployments!K96)</f>
        <v/>
      </c>
      <c r="H99" s="19">
        <f>IF(Deployments!A96="","",Deployments!A96)</f>
        <v/>
      </c>
      <c r="I99" s="19">
        <f>IF(Deployments!AN96="","",Deployments!AN96)</f>
        <v/>
      </c>
      <c r="J99" s="19">
        <f>IF(Deployments!AO96="","",Deployments!AO96)</f>
        <v/>
      </c>
      <c r="K99" s="19">
        <f>IF(Deployments!AI96="","",Deployments!AI96)</f>
        <v/>
      </c>
      <c r="L99" s="19">
        <f>IF(Deployments!M96="","",Deployments!M96)</f>
        <v/>
      </c>
      <c r="M99" s="20" t="n"/>
      <c r="N99" s="19">
        <f>IF(Deployments!N96="","",Deployments!N96)</f>
        <v/>
      </c>
      <c r="O99" s="19">
        <f>IF(Deployments!O96="","",Deployments!O96)</f>
        <v/>
      </c>
      <c r="P99" s="19">
        <f>IF(Deployments!P96="","",Deployments!P96)</f>
        <v/>
      </c>
      <c r="Q99" s="20" t="n"/>
      <c r="R99" s="19">
        <f>IF(Deployments!BT96="","",Deployments!BT96)</f>
        <v/>
      </c>
      <c r="S99" s="19">
        <f>IF(Deployments!BS96="","",Deployments!BS96)</f>
        <v/>
      </c>
      <c r="T99" s="19">
        <f>IF(Deployments!BB96="","",Deployments!BB96)</f>
        <v/>
      </c>
      <c r="U99" s="19">
        <f>IF(Deployments!BR96="","",Deployments!BR96)</f>
        <v/>
      </c>
      <c r="V99" s="19">
        <f>IF(Deployments!BX96="","",Deployments!BX96)</f>
        <v/>
      </c>
      <c r="W99" s="19">
        <f>IF(Deployments!BY96="","",Deployments!BY96)</f>
        <v/>
      </c>
      <c r="X99" s="19">
        <f>IF(Deployments!CC96="","",Deployments!CC96)</f>
        <v/>
      </c>
      <c r="Y99" s="19">
        <f>IF(Deployments!BW96="","",Deployments!BW96)</f>
        <v/>
      </c>
      <c r="Z99" s="19">
        <f>IF(Deployments!U96="","",Deployments!U96)</f>
        <v/>
      </c>
      <c r="AA99" s="19">
        <f>IF(Deployments!L96="","",Deployments!L96)</f>
        <v/>
      </c>
    </row>
    <row r="100" ht="41.25" customHeight="1" s="91">
      <c r="A100" s="20" t="n"/>
      <c r="B100" s="20" t="n"/>
      <c r="C100" s="19">
        <f>IF(Deployments!H97="","",Deployments!H97)</f>
        <v/>
      </c>
      <c r="D100" s="19">
        <f>IF(Deployments!AM97="","",Deployments!AM97)</f>
        <v/>
      </c>
      <c r="E100" s="19">
        <f>IF(Deployments!I97="","",Deployments!I97)</f>
        <v/>
      </c>
      <c r="F100" s="19">
        <f>IF(Deployments!J97="","",Deployments!J97)</f>
        <v/>
      </c>
      <c r="G100" s="19">
        <f>IF(Deployments!K97="","",Deployments!K97)</f>
        <v/>
      </c>
      <c r="H100" s="19">
        <f>IF(Deployments!A97="","",Deployments!A97)</f>
        <v/>
      </c>
      <c r="I100" s="19">
        <f>IF(Deployments!AN97="","",Deployments!AN97)</f>
        <v/>
      </c>
      <c r="J100" s="19">
        <f>IF(Deployments!AO97="","",Deployments!AO97)</f>
        <v/>
      </c>
      <c r="K100" s="19">
        <f>IF(Deployments!AI97="","",Deployments!AI97)</f>
        <v/>
      </c>
      <c r="L100" s="19">
        <f>IF(Deployments!M97="","",Deployments!M97)</f>
        <v/>
      </c>
      <c r="M100" s="20" t="n"/>
      <c r="N100" s="19">
        <f>IF(Deployments!N97="","",Deployments!N97)</f>
        <v/>
      </c>
      <c r="O100" s="19">
        <f>IF(Deployments!O97="","",Deployments!O97)</f>
        <v/>
      </c>
      <c r="P100" s="19">
        <f>IF(Deployments!P97="","",Deployments!P97)</f>
        <v/>
      </c>
      <c r="Q100" s="20" t="n"/>
      <c r="R100" s="19">
        <f>IF(Deployments!BT97="","",Deployments!BT97)</f>
        <v/>
      </c>
      <c r="S100" s="19">
        <f>IF(Deployments!BS97="","",Deployments!BS97)</f>
        <v/>
      </c>
      <c r="T100" s="19">
        <f>IF(Deployments!BB97="","",Deployments!BB97)</f>
        <v/>
      </c>
      <c r="U100" s="19">
        <f>IF(Deployments!BR97="","",Deployments!BR97)</f>
        <v/>
      </c>
      <c r="V100" s="19">
        <f>IF(Deployments!BX97="","",Deployments!BX97)</f>
        <v/>
      </c>
      <c r="W100" s="19">
        <f>IF(Deployments!BY97="","",Deployments!BY97)</f>
        <v/>
      </c>
      <c r="X100" s="19">
        <f>IF(Deployments!CC97="","",Deployments!CC97)</f>
        <v/>
      </c>
      <c r="Y100" s="19">
        <f>IF(Deployments!BW97="","",Deployments!BW97)</f>
        <v/>
      </c>
      <c r="Z100" s="19">
        <f>IF(Deployments!U97="","",Deployments!U97)</f>
        <v/>
      </c>
      <c r="AA100" s="19">
        <f>IF(Deployments!L97="","",Deployments!L97)</f>
        <v/>
      </c>
    </row>
    <row r="101" ht="41.25" customHeight="1" s="91">
      <c r="A101" s="20" t="n"/>
      <c r="B101" s="20" t="n"/>
      <c r="C101" s="19">
        <f>IF(Deployments!H98="","",Deployments!H98)</f>
        <v/>
      </c>
      <c r="D101" s="19">
        <f>IF(Deployments!AM98="","",Deployments!AM98)</f>
        <v/>
      </c>
      <c r="E101" s="19">
        <f>IF(Deployments!I98="","",Deployments!I98)</f>
        <v/>
      </c>
      <c r="F101" s="19">
        <f>IF(Deployments!J98="","",Deployments!J98)</f>
        <v/>
      </c>
      <c r="G101" s="19">
        <f>IF(Deployments!K98="","",Deployments!K98)</f>
        <v/>
      </c>
      <c r="H101" s="19">
        <f>IF(Deployments!A98="","",Deployments!A98)</f>
        <v/>
      </c>
      <c r="I101" s="19">
        <f>IF(Deployments!AN98="","",Deployments!AN98)</f>
        <v/>
      </c>
      <c r="J101" s="19">
        <f>IF(Deployments!AO98="","",Deployments!AO98)</f>
        <v/>
      </c>
      <c r="K101" s="19">
        <f>IF(Deployments!AI98="","",Deployments!AI98)</f>
        <v/>
      </c>
      <c r="L101" s="19">
        <f>IF(Deployments!M98="","",Deployments!M98)</f>
        <v/>
      </c>
      <c r="M101" s="20" t="n"/>
      <c r="N101" s="19">
        <f>IF(Deployments!N98="","",Deployments!N98)</f>
        <v/>
      </c>
      <c r="O101" s="19">
        <f>IF(Deployments!O98="","",Deployments!O98)</f>
        <v/>
      </c>
      <c r="P101" s="19">
        <f>IF(Deployments!P98="","",Deployments!P98)</f>
        <v/>
      </c>
      <c r="Q101" s="20" t="n"/>
      <c r="R101" s="19">
        <f>IF(Deployments!BT98="","",Deployments!BT98)</f>
        <v/>
      </c>
      <c r="S101" s="19">
        <f>IF(Deployments!BS98="","",Deployments!BS98)</f>
        <v/>
      </c>
      <c r="T101" s="19">
        <f>IF(Deployments!BB98="","",Deployments!BB98)</f>
        <v/>
      </c>
      <c r="U101" s="19">
        <f>IF(Deployments!BR98="","",Deployments!BR98)</f>
        <v/>
      </c>
      <c r="V101" s="19">
        <f>IF(Deployments!BX98="","",Deployments!BX98)</f>
        <v/>
      </c>
      <c r="W101" s="19">
        <f>IF(Deployments!BY98="","",Deployments!BY98)</f>
        <v/>
      </c>
      <c r="X101" s="19">
        <f>IF(Deployments!CC98="","",Deployments!CC98)</f>
        <v/>
      </c>
      <c r="Y101" s="19">
        <f>IF(Deployments!BW98="","",Deployments!BW98)</f>
        <v/>
      </c>
      <c r="Z101" s="19">
        <f>IF(Deployments!U98="","",Deployments!U98)</f>
        <v/>
      </c>
      <c r="AA101" s="19">
        <f>IF(Deployments!L98="","",Deployments!L98)</f>
        <v/>
      </c>
    </row>
    <row r="102" ht="27.75" customHeight="1" s="91">
      <c r="A102" s="20" t="n"/>
      <c r="B102" s="20" t="n"/>
      <c r="C102" s="19">
        <f>IF(Deployments!H99="","",Deployments!H99)</f>
        <v/>
      </c>
      <c r="D102" s="19">
        <f>IF(Deployments!AM99="","",Deployments!AM99)</f>
        <v/>
      </c>
      <c r="E102" s="19">
        <f>IF(Deployments!I99="","",Deployments!I99)</f>
        <v/>
      </c>
      <c r="F102" s="19">
        <f>IF(Deployments!J99="","",Deployments!J99)</f>
        <v/>
      </c>
      <c r="G102" s="19">
        <f>IF(Deployments!K99="","",Deployments!K99)</f>
        <v/>
      </c>
      <c r="H102" s="19">
        <f>IF(Deployments!A99="","",Deployments!A99)</f>
        <v/>
      </c>
      <c r="I102" s="19">
        <f>IF(Deployments!AN99="","",Deployments!AN99)</f>
        <v/>
      </c>
      <c r="J102" s="19">
        <f>IF(Deployments!AO99="","",Deployments!AO99)</f>
        <v/>
      </c>
      <c r="K102" s="19">
        <f>IF(Deployments!AI99="","",Deployments!AI99)</f>
        <v/>
      </c>
      <c r="L102" s="19">
        <f>IF(Deployments!M99="","",Deployments!M99)</f>
        <v/>
      </c>
      <c r="M102" s="20" t="n"/>
      <c r="N102" s="19">
        <f>IF(Deployments!N99="","",Deployments!N99)</f>
        <v/>
      </c>
      <c r="O102" s="19">
        <f>IF(Deployments!O99="","",Deployments!O99)</f>
        <v/>
      </c>
      <c r="P102" s="19">
        <f>IF(Deployments!P99="","",Deployments!P99)</f>
        <v/>
      </c>
      <c r="Q102" s="20" t="n"/>
      <c r="R102" s="19">
        <f>IF(Deployments!BT99="","",Deployments!BT99)</f>
        <v/>
      </c>
      <c r="S102" s="19">
        <f>IF(Deployments!BS99="","",Deployments!BS99)</f>
        <v/>
      </c>
      <c r="T102" s="19">
        <f>IF(Deployments!BB99="","",Deployments!BB99)</f>
        <v/>
      </c>
      <c r="U102" s="19">
        <f>IF(Deployments!BR99="","",Deployments!BR99)</f>
        <v/>
      </c>
      <c r="V102" s="19">
        <f>IF(Deployments!BX99="","",Deployments!BX99)</f>
        <v/>
      </c>
      <c r="W102" s="19">
        <f>IF(Deployments!BY99="","",Deployments!BY99)</f>
        <v/>
      </c>
      <c r="X102" s="19">
        <f>IF(Deployments!CC99="","",Deployments!CC99)</f>
        <v/>
      </c>
      <c r="Y102" s="19">
        <f>IF(Deployments!BW99="","",Deployments!BW99)</f>
        <v/>
      </c>
      <c r="Z102" s="19">
        <f>IF(Deployments!U99="","",Deployments!U99)</f>
        <v/>
      </c>
      <c r="AA102" s="19">
        <f>IF(Deployments!L99="","",Deployments!L99)</f>
        <v/>
      </c>
    </row>
    <row r="103" ht="27.75" customHeight="1" s="91">
      <c r="A103" s="20" t="n"/>
      <c r="B103" s="20" t="n"/>
      <c r="C103" s="19">
        <f>IF(Deployments!H100="","",Deployments!H100)</f>
        <v/>
      </c>
      <c r="D103" s="19">
        <f>IF(Deployments!AM100="","",Deployments!AM100)</f>
        <v/>
      </c>
      <c r="E103" s="19">
        <f>IF(Deployments!I100="","",Deployments!I100)</f>
        <v/>
      </c>
      <c r="F103" s="19">
        <f>IF(Deployments!J100="","",Deployments!J100)</f>
        <v/>
      </c>
      <c r="G103" s="19">
        <f>IF(Deployments!K100="","",Deployments!K100)</f>
        <v/>
      </c>
      <c r="H103" s="19">
        <f>IF(Deployments!A100="","",Deployments!A100)</f>
        <v/>
      </c>
      <c r="I103" s="19">
        <f>IF(Deployments!AN100="","",Deployments!AN100)</f>
        <v/>
      </c>
      <c r="J103" s="19">
        <f>IF(Deployments!AO100="","",Deployments!AO100)</f>
        <v/>
      </c>
      <c r="K103" s="19">
        <f>IF(Deployments!AI100="","",Deployments!AI100)</f>
        <v/>
      </c>
      <c r="L103" s="19">
        <f>IF(Deployments!M100="","",Deployments!M100)</f>
        <v/>
      </c>
      <c r="M103" s="20" t="n"/>
      <c r="N103" s="19">
        <f>IF(Deployments!N100="","",Deployments!N100)</f>
        <v/>
      </c>
      <c r="O103" s="19">
        <f>IF(Deployments!O100="","",Deployments!O100)</f>
        <v/>
      </c>
      <c r="P103" s="19">
        <f>IF(Deployments!P100="","",Deployments!P100)</f>
        <v/>
      </c>
      <c r="Q103" s="20" t="n"/>
      <c r="R103" s="19">
        <f>IF(Deployments!BT100="","",Deployments!BT100)</f>
        <v/>
      </c>
      <c r="S103" s="19">
        <f>IF(Deployments!BS100="","",Deployments!BS100)</f>
        <v/>
      </c>
      <c r="T103" s="19">
        <f>IF(Deployments!BB100="","",Deployments!BB100)</f>
        <v/>
      </c>
      <c r="U103" s="19">
        <f>IF(Deployments!BR100="","",Deployments!BR100)</f>
        <v/>
      </c>
      <c r="V103" s="19">
        <f>IF(Deployments!BX100="","",Deployments!BX100)</f>
        <v/>
      </c>
      <c r="W103" s="19">
        <f>IF(Deployments!BY100="","",Deployments!BY100)</f>
        <v/>
      </c>
      <c r="X103" s="19">
        <f>IF(Deployments!CC100="","",Deployments!CC100)</f>
        <v/>
      </c>
      <c r="Y103" s="19">
        <f>IF(Deployments!BW100="","",Deployments!BW100)</f>
        <v/>
      </c>
      <c r="Z103" s="19">
        <f>IF(Deployments!U100="","",Deployments!U100)</f>
        <v/>
      </c>
      <c r="AA103" s="19">
        <f>IF(Deployments!L100="","",Deployments!L100)</f>
        <v/>
      </c>
    </row>
    <row r="104" ht="27.75" customHeight="1" s="91">
      <c r="A104" s="20" t="n"/>
      <c r="B104" s="20" t="n"/>
      <c r="C104" s="19">
        <f>IF(Deployments!H101="","",Deployments!H101)</f>
        <v/>
      </c>
      <c r="D104" s="19">
        <f>IF(Deployments!AM101="","",Deployments!AM101)</f>
        <v/>
      </c>
      <c r="E104" s="19">
        <f>IF(Deployments!I101="","",Deployments!I101)</f>
        <v/>
      </c>
      <c r="F104" s="19">
        <f>IF(Deployments!J101="","",Deployments!J101)</f>
        <v/>
      </c>
      <c r="G104" s="19">
        <f>IF(Deployments!K101="","",Deployments!K101)</f>
        <v/>
      </c>
      <c r="H104" s="19">
        <f>IF(Deployments!A101="","",Deployments!A101)</f>
        <v/>
      </c>
      <c r="I104" s="19">
        <f>IF(Deployments!AN101="","",Deployments!AN101)</f>
        <v/>
      </c>
      <c r="J104" s="19">
        <f>IF(Deployments!AO101="","",Deployments!AO101)</f>
        <v/>
      </c>
      <c r="K104" s="19">
        <f>IF(Deployments!AI101="","",Deployments!AI101)</f>
        <v/>
      </c>
      <c r="L104" s="19">
        <f>IF(Deployments!M101="","",Deployments!M101)</f>
        <v/>
      </c>
      <c r="M104" s="20" t="n"/>
      <c r="N104" s="19">
        <f>IF(Deployments!N101="","",Deployments!N101)</f>
        <v/>
      </c>
      <c r="O104" s="19">
        <f>IF(Deployments!O101="","",Deployments!O101)</f>
        <v/>
      </c>
      <c r="P104" s="19">
        <f>IF(Deployments!P101="","",Deployments!P101)</f>
        <v/>
      </c>
      <c r="Q104" s="20" t="n"/>
      <c r="R104" s="19">
        <f>IF(Deployments!BT101="","",Deployments!BT101)</f>
        <v/>
      </c>
      <c r="S104" s="19">
        <f>IF(Deployments!BS101="","",Deployments!BS101)</f>
        <v/>
      </c>
      <c r="T104" s="19">
        <f>IF(Deployments!BB101="","",Deployments!BB101)</f>
        <v/>
      </c>
      <c r="U104" s="19">
        <f>IF(Deployments!BR101="","",Deployments!BR101)</f>
        <v/>
      </c>
      <c r="V104" s="19">
        <f>IF(Deployments!BX101="","",Deployments!BX101)</f>
        <v/>
      </c>
      <c r="W104" s="19">
        <f>IF(Deployments!BY101="","",Deployments!BY101)</f>
        <v/>
      </c>
      <c r="X104" s="19">
        <f>IF(Deployments!CC101="","",Deployments!CC101)</f>
        <v/>
      </c>
      <c r="Y104" s="19">
        <f>IF(Deployments!BW101="","",Deployments!BW101)</f>
        <v/>
      </c>
      <c r="Z104" s="19">
        <f>IF(Deployments!U101="","",Deployments!U101)</f>
        <v/>
      </c>
      <c r="AA104" s="19">
        <f>IF(Deployments!L101="","",Deployments!L101)</f>
        <v/>
      </c>
    </row>
    <row r="105" ht="27.75" customHeight="1" s="91">
      <c r="A105" s="20" t="n"/>
      <c r="B105" s="20" t="n"/>
      <c r="C105" s="19">
        <f>IF(Deployments!H102="","",Deployments!H102)</f>
        <v/>
      </c>
      <c r="D105" s="19">
        <f>IF(Deployments!AM102="","",Deployments!AM102)</f>
        <v/>
      </c>
      <c r="E105" s="19">
        <f>IF(Deployments!I102="","",Deployments!I102)</f>
        <v/>
      </c>
      <c r="F105" s="19">
        <f>IF(Deployments!J102="","",Deployments!J102)</f>
        <v/>
      </c>
      <c r="G105" s="19">
        <f>IF(Deployments!K102="","",Deployments!K102)</f>
        <v/>
      </c>
      <c r="H105" s="19">
        <f>IF(Deployments!A102="","",Deployments!A102)</f>
        <v/>
      </c>
      <c r="I105" s="19">
        <f>IF(Deployments!AN102="","",Deployments!AN102)</f>
        <v/>
      </c>
      <c r="J105" s="19">
        <f>IF(Deployments!AO102="","",Deployments!AO102)</f>
        <v/>
      </c>
      <c r="K105" s="19">
        <f>IF(Deployments!AI102="","",Deployments!AI102)</f>
        <v/>
      </c>
      <c r="L105" s="19">
        <f>IF(Deployments!M102="","",Deployments!M102)</f>
        <v/>
      </c>
      <c r="M105" s="20" t="n"/>
      <c r="N105" s="19">
        <f>IF(Deployments!N102="","",Deployments!N102)</f>
        <v/>
      </c>
      <c r="O105" s="19">
        <f>IF(Deployments!O102="","",Deployments!O102)</f>
        <v/>
      </c>
      <c r="P105" s="19">
        <f>IF(Deployments!P102="","",Deployments!P102)</f>
        <v/>
      </c>
      <c r="Q105" s="20" t="n"/>
      <c r="R105" s="19">
        <f>IF(Deployments!BT102="","",Deployments!BT102)</f>
        <v/>
      </c>
      <c r="S105" s="19">
        <f>IF(Deployments!BS102="","",Deployments!BS102)</f>
        <v/>
      </c>
      <c r="T105" s="19">
        <f>IF(Deployments!BB102="","",Deployments!BB102)</f>
        <v/>
      </c>
      <c r="U105" s="19">
        <f>IF(Deployments!BR102="","",Deployments!BR102)</f>
        <v/>
      </c>
      <c r="V105" s="19">
        <f>IF(Deployments!BX102="","",Deployments!BX102)</f>
        <v/>
      </c>
      <c r="W105" s="19">
        <f>IF(Deployments!BY102="","",Deployments!BY102)</f>
        <v/>
      </c>
      <c r="X105" s="19">
        <f>IF(Deployments!CC102="","",Deployments!CC102)</f>
        <v/>
      </c>
      <c r="Y105" s="19">
        <f>IF(Deployments!BW102="","",Deployments!BW102)</f>
        <v/>
      </c>
      <c r="Z105" s="19">
        <f>IF(Deployments!U102="","",Deployments!U102)</f>
        <v/>
      </c>
      <c r="AA105" s="19">
        <f>IF(Deployments!L102="","",Deployments!L102)</f>
        <v/>
      </c>
    </row>
    <row r="106" ht="27.75" customHeight="1" s="91">
      <c r="A106" s="20" t="n"/>
      <c r="B106" s="20" t="n"/>
      <c r="C106" s="19">
        <f>IF(Deployments!H103="","",Deployments!H103)</f>
        <v/>
      </c>
      <c r="D106" s="19">
        <f>IF(Deployments!AM103="","",Deployments!AM103)</f>
        <v/>
      </c>
      <c r="E106" s="19">
        <f>IF(Deployments!I103="","",Deployments!I103)</f>
        <v/>
      </c>
      <c r="F106" s="19">
        <f>IF(Deployments!J103="","",Deployments!J103)</f>
        <v/>
      </c>
      <c r="G106" s="19">
        <f>IF(Deployments!K103="","",Deployments!K103)</f>
        <v/>
      </c>
      <c r="H106" s="19">
        <f>IF(Deployments!A103="","",Deployments!A103)</f>
        <v/>
      </c>
      <c r="I106" s="19">
        <f>IF(Deployments!AN103="","",Deployments!AN103)</f>
        <v/>
      </c>
      <c r="J106" s="19">
        <f>IF(Deployments!AO103="","",Deployments!AO103)</f>
        <v/>
      </c>
      <c r="K106" s="19">
        <f>IF(Deployments!AI103="","",Deployments!AI103)</f>
        <v/>
      </c>
      <c r="L106" s="19">
        <f>IF(Deployments!M103="","",Deployments!M103)</f>
        <v/>
      </c>
      <c r="M106" s="20" t="n"/>
      <c r="N106" s="19">
        <f>IF(Deployments!N103="","",Deployments!N103)</f>
        <v/>
      </c>
      <c r="O106" s="19">
        <f>IF(Deployments!O103="","",Deployments!O103)</f>
        <v/>
      </c>
      <c r="P106" s="19">
        <f>IF(Deployments!P103="","",Deployments!P103)</f>
        <v/>
      </c>
      <c r="Q106" s="20" t="n"/>
      <c r="R106" s="19">
        <f>IF(Deployments!BT103="","",Deployments!BT103)</f>
        <v/>
      </c>
      <c r="S106" s="19">
        <f>IF(Deployments!BS103="","",Deployments!BS103)</f>
        <v/>
      </c>
      <c r="T106" s="19">
        <f>IF(Deployments!BB103="","",Deployments!BB103)</f>
        <v/>
      </c>
      <c r="U106" s="19">
        <f>IF(Deployments!BR103="","",Deployments!BR103)</f>
        <v/>
      </c>
      <c r="V106" s="19">
        <f>IF(Deployments!BX103="","",Deployments!BX103)</f>
        <v/>
      </c>
      <c r="W106" s="19">
        <f>IF(Deployments!BY103="","",Deployments!BY103)</f>
        <v/>
      </c>
      <c r="X106" s="19">
        <f>IF(Deployments!CC103="","",Deployments!CC103)</f>
        <v/>
      </c>
      <c r="Y106" s="19">
        <f>IF(Deployments!BW103="","",Deployments!BW103)</f>
        <v/>
      </c>
      <c r="Z106" s="19">
        <f>IF(Deployments!U103="","",Deployments!U103)</f>
        <v/>
      </c>
      <c r="AA106" s="19">
        <f>IF(Deployments!L103="","",Deployments!L103)</f>
        <v/>
      </c>
    </row>
    <row r="107" ht="27.75" customHeight="1" s="91">
      <c r="A107" s="20" t="n"/>
      <c r="B107" s="20" t="n"/>
      <c r="C107" s="19">
        <f>IF(Deployments!H104="","",Deployments!H104)</f>
        <v/>
      </c>
      <c r="D107" s="19">
        <f>IF(Deployments!AM104="","",Deployments!AM104)</f>
        <v/>
      </c>
      <c r="E107" s="19">
        <f>IF(Deployments!I104="","",Deployments!I104)</f>
        <v/>
      </c>
      <c r="F107" s="19">
        <f>IF(Deployments!J104="","",Deployments!J104)</f>
        <v/>
      </c>
      <c r="G107" s="19">
        <f>IF(Deployments!K104="","",Deployments!K104)</f>
        <v/>
      </c>
      <c r="H107" s="19">
        <f>IF(Deployments!A104="","",Deployments!A104)</f>
        <v/>
      </c>
      <c r="I107" s="19">
        <f>IF(Deployments!AN104="","",Deployments!AN104)</f>
        <v/>
      </c>
      <c r="J107" s="19">
        <f>IF(Deployments!AO104="","",Deployments!AO104)</f>
        <v/>
      </c>
      <c r="K107" s="19">
        <f>IF(Deployments!AI104="","",Deployments!AI104)</f>
        <v/>
      </c>
      <c r="L107" s="19">
        <f>IF(Deployments!M104="","",Deployments!M104)</f>
        <v/>
      </c>
      <c r="M107" s="20" t="n"/>
      <c r="N107" s="19">
        <f>IF(Deployments!N104="","",Deployments!N104)</f>
        <v/>
      </c>
      <c r="O107" s="19">
        <f>IF(Deployments!O104="","",Deployments!O104)</f>
        <v/>
      </c>
      <c r="P107" s="19">
        <f>IF(Deployments!P104="","",Deployments!P104)</f>
        <v/>
      </c>
      <c r="Q107" s="20" t="n"/>
      <c r="R107" s="19">
        <f>IF(Deployments!BT104="","",Deployments!BT104)</f>
        <v/>
      </c>
      <c r="S107" s="19">
        <f>IF(Deployments!BS104="","",Deployments!BS104)</f>
        <v/>
      </c>
      <c r="T107" s="19">
        <f>IF(Deployments!BB104="","",Deployments!BB104)</f>
        <v/>
      </c>
      <c r="U107" s="19">
        <f>IF(Deployments!BR104="","",Deployments!BR104)</f>
        <v/>
      </c>
      <c r="V107" s="19">
        <f>IF(Deployments!BX104="","",Deployments!BX104)</f>
        <v/>
      </c>
      <c r="W107" s="19">
        <f>IF(Deployments!BY104="","",Deployments!BY104)</f>
        <v/>
      </c>
      <c r="X107" s="19">
        <f>IF(Deployments!CC104="","",Deployments!CC104)</f>
        <v/>
      </c>
      <c r="Y107" s="19">
        <f>IF(Deployments!BW104="","",Deployments!BW104)</f>
        <v/>
      </c>
      <c r="Z107" s="19">
        <f>IF(Deployments!U104="","",Deployments!U104)</f>
        <v/>
      </c>
      <c r="AA107" s="19">
        <f>IF(Deployments!L104="","",Deployments!L104)</f>
        <v/>
      </c>
    </row>
    <row r="108" ht="27.75" customHeight="1" s="91">
      <c r="A108" s="20" t="n"/>
      <c r="B108" s="20" t="n"/>
      <c r="C108" s="19">
        <f>IF(Deployments!H105="","",Deployments!H105)</f>
        <v/>
      </c>
      <c r="D108" s="19">
        <f>IF(Deployments!AM105="","",Deployments!AM105)</f>
        <v/>
      </c>
      <c r="E108" s="19">
        <f>IF(Deployments!I105="","",Deployments!I105)</f>
        <v/>
      </c>
      <c r="F108" s="19">
        <f>IF(Deployments!J105="","",Deployments!J105)</f>
        <v/>
      </c>
      <c r="G108" s="19">
        <f>IF(Deployments!K105="","",Deployments!K105)</f>
        <v/>
      </c>
      <c r="H108" s="19">
        <f>IF(Deployments!A105="","",Deployments!A105)</f>
        <v/>
      </c>
      <c r="I108" s="19">
        <f>IF(Deployments!AN105="","",Deployments!AN105)</f>
        <v/>
      </c>
      <c r="J108" s="19">
        <f>IF(Deployments!AO105="","",Deployments!AO105)</f>
        <v/>
      </c>
      <c r="K108" s="19">
        <f>IF(Deployments!AI105="","",Deployments!AI105)</f>
        <v/>
      </c>
      <c r="L108" s="19">
        <f>IF(Deployments!M105="","",Deployments!M105)</f>
        <v/>
      </c>
      <c r="M108" s="20" t="n"/>
      <c r="N108" s="19">
        <f>IF(Deployments!N105="","",Deployments!N105)</f>
        <v/>
      </c>
      <c r="O108" s="19">
        <f>IF(Deployments!O105="","",Deployments!O105)</f>
        <v/>
      </c>
      <c r="P108" s="19">
        <f>IF(Deployments!P105="","",Deployments!P105)</f>
        <v/>
      </c>
      <c r="Q108" s="20" t="n"/>
      <c r="R108" s="19">
        <f>IF(Deployments!BT105="","",Deployments!BT105)</f>
        <v/>
      </c>
      <c r="S108" s="19">
        <f>IF(Deployments!BS105="","",Deployments!BS105)</f>
        <v/>
      </c>
      <c r="T108" s="19">
        <f>IF(Deployments!BB105="","",Deployments!BB105)</f>
        <v/>
      </c>
      <c r="U108" s="19">
        <f>IF(Deployments!BR105="","",Deployments!BR105)</f>
        <v/>
      </c>
      <c r="V108" s="19">
        <f>IF(Deployments!BX105="","",Deployments!BX105)</f>
        <v/>
      </c>
      <c r="W108" s="19">
        <f>IF(Deployments!BY105="","",Deployments!BY105)</f>
        <v/>
      </c>
      <c r="X108" s="19">
        <f>IF(Deployments!CC105="","",Deployments!CC105)</f>
        <v/>
      </c>
      <c r="Y108" s="19">
        <f>IF(Deployments!BW105="","",Deployments!BW105)</f>
        <v/>
      </c>
      <c r="Z108" s="19">
        <f>IF(Deployments!U105="","",Deployments!U105)</f>
        <v/>
      </c>
      <c r="AA108" s="19">
        <f>IF(Deployments!L105="","",Deployments!L105)</f>
        <v/>
      </c>
    </row>
    <row r="109" ht="94.5" customHeight="1" s="91">
      <c r="A109" s="20" t="n"/>
      <c r="B109" s="20" t="n"/>
      <c r="C109" s="19">
        <f>IF(Deployments!H106="","",Deployments!H106)</f>
        <v/>
      </c>
      <c r="D109" s="19">
        <f>IF(Deployments!AM106="","",Deployments!AM106)</f>
        <v/>
      </c>
      <c r="E109" s="19">
        <f>IF(Deployments!I106="","",Deployments!I106)</f>
        <v/>
      </c>
      <c r="F109" s="19">
        <f>IF(Deployments!J106="","",Deployments!J106)</f>
        <v/>
      </c>
      <c r="G109" s="19">
        <f>IF(Deployments!K106="","",Deployments!K106)</f>
        <v/>
      </c>
      <c r="H109" s="19">
        <f>IF(Deployments!A106="","",Deployments!A106)</f>
        <v/>
      </c>
      <c r="I109" s="19">
        <f>IF(Deployments!AN106="","",Deployments!AN106)</f>
        <v/>
      </c>
      <c r="J109" s="19">
        <f>IF(Deployments!AO106="","",Deployments!AO106)</f>
        <v/>
      </c>
      <c r="K109" s="19">
        <f>IF(Deployments!AI106="","",Deployments!AI106)</f>
        <v/>
      </c>
      <c r="L109" s="19">
        <f>IF(Deployments!M106="","",Deployments!M106)</f>
        <v/>
      </c>
      <c r="M109" s="20" t="n"/>
      <c r="N109" s="19">
        <f>IF(Deployments!N106="","",Deployments!N106)</f>
        <v/>
      </c>
      <c r="O109" s="19">
        <f>IF(Deployments!O106="","",Deployments!O106)</f>
        <v/>
      </c>
      <c r="P109" s="19">
        <f>IF(Deployments!P106="","",Deployments!P106)</f>
        <v/>
      </c>
      <c r="Q109" s="20" t="n"/>
      <c r="R109" s="19">
        <f>IF(Deployments!BT106="","",Deployments!BT106)</f>
        <v/>
      </c>
      <c r="S109" s="19">
        <f>IF(Deployments!BS106="","",Deployments!BS106)</f>
        <v/>
      </c>
      <c r="T109" s="19">
        <f>IF(Deployments!BB106="","",Deployments!BB106)</f>
        <v/>
      </c>
      <c r="U109" s="19">
        <f>IF(Deployments!BR106="","",Deployments!BR106)</f>
        <v/>
      </c>
      <c r="V109" s="19">
        <f>IF(Deployments!BX106="","",Deployments!BX106)</f>
        <v/>
      </c>
      <c r="W109" s="19">
        <f>IF(Deployments!BY106="","",Deployments!BY106)</f>
        <v/>
      </c>
      <c r="X109" s="19">
        <f>IF(Deployments!CC106="","",Deployments!CC106)</f>
        <v/>
      </c>
      <c r="Y109" s="19">
        <f>IF(Deployments!BW106="","",Deployments!BW106)</f>
        <v/>
      </c>
      <c r="Z109" s="19">
        <f>IF(Deployments!U106="","",Deployments!U106)</f>
        <v/>
      </c>
      <c r="AA109" s="19">
        <f>IF(Deployments!L106="","",Deployments!L106)</f>
        <v/>
      </c>
    </row>
    <row r="110" ht="94.5" customHeight="1" s="91">
      <c r="A110" s="20" t="n"/>
      <c r="B110" s="20" t="n"/>
      <c r="C110" s="19">
        <f>IF(Deployments!H107="","",Deployments!H107)</f>
        <v/>
      </c>
      <c r="D110" s="19">
        <f>IF(Deployments!AM107="","",Deployments!AM107)</f>
        <v/>
      </c>
      <c r="E110" s="19">
        <f>IF(Deployments!I107="","",Deployments!I107)</f>
        <v/>
      </c>
      <c r="F110" s="19">
        <f>IF(Deployments!J107="","",Deployments!J107)</f>
        <v/>
      </c>
      <c r="G110" s="19">
        <f>IF(Deployments!K107="","",Deployments!K107)</f>
        <v/>
      </c>
      <c r="H110" s="19">
        <f>IF(Deployments!A107="","",Deployments!A107)</f>
        <v/>
      </c>
      <c r="I110" s="19">
        <f>IF(Deployments!AN107="","",Deployments!AN107)</f>
        <v/>
      </c>
      <c r="J110" s="19">
        <f>IF(Deployments!AO107="","",Deployments!AO107)</f>
        <v/>
      </c>
      <c r="K110" s="19">
        <f>IF(Deployments!AI107="","",Deployments!AI107)</f>
        <v/>
      </c>
      <c r="L110" s="19">
        <f>IF(Deployments!M107="","",Deployments!M107)</f>
        <v/>
      </c>
      <c r="M110" s="20" t="n"/>
      <c r="N110" s="19">
        <f>IF(Deployments!N107="","",Deployments!N107)</f>
        <v/>
      </c>
      <c r="O110" s="19">
        <f>IF(Deployments!O107="","",Deployments!O107)</f>
        <v/>
      </c>
      <c r="P110" s="19">
        <f>IF(Deployments!P107="","",Deployments!P107)</f>
        <v/>
      </c>
      <c r="Q110" s="20" t="n"/>
      <c r="R110" s="19">
        <f>IF(Deployments!BT107="","",Deployments!BT107)</f>
        <v/>
      </c>
      <c r="S110" s="19">
        <f>IF(Deployments!BS107="","",Deployments!BS107)</f>
        <v/>
      </c>
      <c r="T110" s="19">
        <f>IF(Deployments!BB107="","",Deployments!BB107)</f>
        <v/>
      </c>
      <c r="U110" s="19">
        <f>IF(Deployments!BR107="","",Deployments!BR107)</f>
        <v/>
      </c>
      <c r="V110" s="19">
        <f>IF(Deployments!BX107="","",Deployments!BX107)</f>
        <v/>
      </c>
      <c r="W110" s="19">
        <f>IF(Deployments!BY107="","",Deployments!BY107)</f>
        <v/>
      </c>
      <c r="X110" s="19">
        <f>IF(Deployments!CC107="","",Deployments!CC107)</f>
        <v/>
      </c>
      <c r="Y110" s="19">
        <f>IF(Deployments!BW107="","",Deployments!BW107)</f>
        <v/>
      </c>
      <c r="Z110" s="19">
        <f>IF(Deployments!U107="","",Deployments!U107)</f>
        <v/>
      </c>
      <c r="AA110" s="19">
        <f>IF(Deployments!L107="","",Deployments!L107)</f>
        <v/>
      </c>
    </row>
    <row r="111" ht="94.5" customHeight="1" s="91">
      <c r="A111" s="20" t="n"/>
      <c r="B111" s="20" t="n"/>
      <c r="C111" s="19">
        <f>IF(Deployments!H108="","",Deployments!H108)</f>
        <v/>
      </c>
      <c r="D111" s="19">
        <f>IF(Deployments!AM108="","",Deployments!AM108)</f>
        <v/>
      </c>
      <c r="E111" s="19">
        <f>IF(Deployments!I108="","",Deployments!I108)</f>
        <v/>
      </c>
      <c r="F111" s="19">
        <f>IF(Deployments!J108="","",Deployments!J108)</f>
        <v/>
      </c>
      <c r="G111" s="19">
        <f>IF(Deployments!K108="","",Deployments!K108)</f>
        <v/>
      </c>
      <c r="H111" s="19">
        <f>IF(Deployments!A108="","",Deployments!A108)</f>
        <v/>
      </c>
      <c r="I111" s="19">
        <f>IF(Deployments!AN108="","",Deployments!AN108)</f>
        <v/>
      </c>
      <c r="J111" s="19">
        <f>IF(Deployments!AO108="","",Deployments!AO108)</f>
        <v/>
      </c>
      <c r="K111" s="19">
        <f>IF(Deployments!AI108="","",Deployments!AI108)</f>
        <v/>
      </c>
      <c r="L111" s="19">
        <f>IF(Deployments!M108="","",Deployments!M108)</f>
        <v/>
      </c>
      <c r="M111" s="20" t="n"/>
      <c r="N111" s="19">
        <f>IF(Deployments!N108="","",Deployments!N108)</f>
        <v/>
      </c>
      <c r="O111" s="19">
        <f>IF(Deployments!O108="","",Deployments!O108)</f>
        <v/>
      </c>
      <c r="P111" s="19">
        <f>IF(Deployments!P108="","",Deployments!P108)</f>
        <v/>
      </c>
      <c r="Q111" s="20" t="n"/>
      <c r="R111" s="19">
        <f>IF(Deployments!BT108="","",Deployments!BT108)</f>
        <v/>
      </c>
      <c r="S111" s="19">
        <f>IF(Deployments!BS108="","",Deployments!BS108)</f>
        <v/>
      </c>
      <c r="T111" s="19">
        <f>IF(Deployments!BB108="","",Deployments!BB108)</f>
        <v/>
      </c>
      <c r="U111" s="19">
        <f>IF(Deployments!BR108="","",Deployments!BR108)</f>
        <v/>
      </c>
      <c r="V111" s="19">
        <f>IF(Deployments!BX108="","",Deployments!BX108)</f>
        <v/>
      </c>
      <c r="W111" s="19">
        <f>IF(Deployments!BY108="","",Deployments!BY108)</f>
        <v/>
      </c>
      <c r="X111" s="19">
        <f>IF(Deployments!CC108="","",Deployments!CC108)</f>
        <v/>
      </c>
      <c r="Y111" s="19">
        <f>IF(Deployments!BW108="","",Deployments!BW108)</f>
        <v/>
      </c>
      <c r="Z111" s="19">
        <f>IF(Deployments!U108="","",Deployments!U108)</f>
        <v/>
      </c>
      <c r="AA111" s="19">
        <f>IF(Deployments!L108="","",Deployments!L108)</f>
        <v/>
      </c>
    </row>
    <row r="112" ht="94.5" customHeight="1" s="91">
      <c r="A112" s="20" t="n"/>
      <c r="B112" s="20" t="n"/>
      <c r="C112" s="19">
        <f>IF(Deployments!H109="","",Deployments!H109)</f>
        <v/>
      </c>
      <c r="D112" s="19">
        <f>IF(Deployments!AM109="","",Deployments!AM109)</f>
        <v/>
      </c>
      <c r="E112" s="19">
        <f>IF(Deployments!I109="","",Deployments!I109)</f>
        <v/>
      </c>
      <c r="F112" s="19">
        <f>IF(Deployments!J109="","",Deployments!J109)</f>
        <v/>
      </c>
      <c r="G112" s="19">
        <f>IF(Deployments!K109="","",Deployments!K109)</f>
        <v/>
      </c>
      <c r="H112" s="19">
        <f>IF(Deployments!A109="","",Deployments!A109)</f>
        <v/>
      </c>
      <c r="I112" s="19">
        <f>IF(Deployments!AN109="","",Deployments!AN109)</f>
        <v/>
      </c>
      <c r="J112" s="19">
        <f>IF(Deployments!AO109="","",Deployments!AO109)</f>
        <v/>
      </c>
      <c r="K112" s="19">
        <f>IF(Deployments!AI109="","",Deployments!AI109)</f>
        <v/>
      </c>
      <c r="L112" s="19">
        <f>IF(Deployments!M109="","",Deployments!M109)</f>
        <v/>
      </c>
      <c r="M112" s="20" t="n"/>
      <c r="N112" s="19">
        <f>IF(Deployments!N109="","",Deployments!N109)</f>
        <v/>
      </c>
      <c r="O112" s="19">
        <f>IF(Deployments!O109="","",Deployments!O109)</f>
        <v/>
      </c>
      <c r="P112" s="19">
        <f>IF(Deployments!P109="","",Deployments!P109)</f>
        <v/>
      </c>
      <c r="Q112" s="20" t="n"/>
      <c r="R112" s="19">
        <f>IF(Deployments!BT109="","",Deployments!BT109)</f>
        <v/>
      </c>
      <c r="S112" s="19">
        <f>IF(Deployments!BS109="","",Deployments!BS109)</f>
        <v/>
      </c>
      <c r="T112" s="19">
        <f>IF(Deployments!BB109="","",Deployments!BB109)</f>
        <v/>
      </c>
      <c r="U112" s="19">
        <f>IF(Deployments!BR109="","",Deployments!BR109)</f>
        <v/>
      </c>
      <c r="V112" s="19">
        <f>IF(Deployments!BX109="","",Deployments!BX109)</f>
        <v/>
      </c>
      <c r="W112" s="19">
        <f>IF(Deployments!BY109="","",Deployments!BY109)</f>
        <v/>
      </c>
      <c r="X112" s="19">
        <f>IF(Deployments!CC109="","",Deployments!CC109)</f>
        <v/>
      </c>
      <c r="Y112" s="19">
        <f>IF(Deployments!BW109="","",Deployments!BW109)</f>
        <v/>
      </c>
      <c r="Z112" s="19">
        <f>IF(Deployments!U109="","",Deployments!U109)</f>
        <v/>
      </c>
      <c r="AA112" s="19">
        <f>IF(Deployments!L109="","",Deployments!L109)</f>
        <v/>
      </c>
    </row>
    <row r="113" ht="94.5" customHeight="1" s="91">
      <c r="A113" s="20" t="n"/>
      <c r="B113" s="20" t="n"/>
      <c r="C113" s="19">
        <f>IF(Deployments!H110="","",Deployments!H110)</f>
        <v/>
      </c>
      <c r="D113" s="19">
        <f>IF(Deployments!AM110="","",Deployments!AM110)</f>
        <v/>
      </c>
      <c r="E113" s="19">
        <f>IF(Deployments!I110="","",Deployments!I110)</f>
        <v/>
      </c>
      <c r="F113" s="19">
        <f>IF(Deployments!J110="","",Deployments!J110)</f>
        <v/>
      </c>
      <c r="G113" s="19">
        <f>IF(Deployments!K110="","",Deployments!K110)</f>
        <v/>
      </c>
      <c r="H113" s="19">
        <f>IF(Deployments!A110="","",Deployments!A110)</f>
        <v/>
      </c>
      <c r="I113" s="19">
        <f>IF(Deployments!AN110="","",Deployments!AN110)</f>
        <v/>
      </c>
      <c r="J113" s="19">
        <f>IF(Deployments!AO110="","",Deployments!AO110)</f>
        <v/>
      </c>
      <c r="K113" s="19">
        <f>IF(Deployments!AI110="","",Deployments!AI110)</f>
        <v/>
      </c>
      <c r="L113" s="19">
        <f>IF(Deployments!M110="","",Deployments!M110)</f>
        <v/>
      </c>
      <c r="M113" s="20" t="n"/>
      <c r="N113" s="19">
        <f>IF(Deployments!N110="","",Deployments!N110)</f>
        <v/>
      </c>
      <c r="O113" s="19">
        <f>IF(Deployments!O110="","",Deployments!O110)</f>
        <v/>
      </c>
      <c r="P113" s="19">
        <f>IF(Deployments!P110="","",Deployments!P110)</f>
        <v/>
      </c>
      <c r="Q113" s="20" t="n"/>
      <c r="R113" s="19">
        <f>IF(Deployments!BT110="","",Deployments!BT110)</f>
        <v/>
      </c>
      <c r="S113" s="19">
        <f>IF(Deployments!BS110="","",Deployments!BS110)</f>
        <v/>
      </c>
      <c r="T113" s="19">
        <f>IF(Deployments!BB110="","",Deployments!BB110)</f>
        <v/>
      </c>
      <c r="U113" s="19">
        <f>IF(Deployments!BR110="","",Deployments!BR110)</f>
        <v/>
      </c>
      <c r="V113" s="19">
        <f>IF(Deployments!BX110="","",Deployments!BX110)</f>
        <v/>
      </c>
      <c r="W113" s="19">
        <f>IF(Deployments!BY110="","",Deployments!BY110)</f>
        <v/>
      </c>
      <c r="X113" s="19">
        <f>IF(Deployments!CC110="","",Deployments!CC110)</f>
        <v/>
      </c>
      <c r="Y113" s="19">
        <f>IF(Deployments!BW110="","",Deployments!BW110)</f>
        <v/>
      </c>
      <c r="Z113" s="19">
        <f>IF(Deployments!U110="","",Deployments!U110)</f>
        <v/>
      </c>
      <c r="AA113" s="19">
        <f>IF(Deployments!L110="","",Deployments!L110)</f>
        <v/>
      </c>
    </row>
    <row r="114" ht="94.5" customHeight="1" s="91">
      <c r="A114" s="20" t="n"/>
      <c r="B114" s="20" t="n"/>
      <c r="C114" s="19">
        <f>IF(Deployments!H111="","",Deployments!H111)</f>
        <v/>
      </c>
      <c r="D114" s="19">
        <f>IF(Deployments!AM111="","",Deployments!AM111)</f>
        <v/>
      </c>
      <c r="E114" s="19">
        <f>IF(Deployments!I111="","",Deployments!I111)</f>
        <v/>
      </c>
      <c r="F114" s="19">
        <f>IF(Deployments!J111="","",Deployments!J111)</f>
        <v/>
      </c>
      <c r="G114" s="19">
        <f>IF(Deployments!K111="","",Deployments!K111)</f>
        <v/>
      </c>
      <c r="H114" s="19">
        <f>IF(Deployments!A111="","",Deployments!A111)</f>
        <v/>
      </c>
      <c r="I114" s="19">
        <f>IF(Deployments!AN111="","",Deployments!AN111)</f>
        <v/>
      </c>
      <c r="J114" s="19">
        <f>IF(Deployments!AO111="","",Deployments!AO111)</f>
        <v/>
      </c>
      <c r="K114" s="19">
        <f>IF(Deployments!AI111="","",Deployments!AI111)</f>
        <v/>
      </c>
      <c r="L114" s="19">
        <f>IF(Deployments!M111="","",Deployments!M111)</f>
        <v/>
      </c>
      <c r="M114" s="20" t="n"/>
      <c r="N114" s="19">
        <f>IF(Deployments!N111="","",Deployments!N111)</f>
        <v/>
      </c>
      <c r="O114" s="19">
        <f>IF(Deployments!O111="","",Deployments!O111)</f>
        <v/>
      </c>
      <c r="P114" s="19">
        <f>IF(Deployments!P111="","",Deployments!P111)</f>
        <v/>
      </c>
      <c r="Q114" s="20" t="n"/>
      <c r="R114" s="19">
        <f>IF(Deployments!BT111="","",Deployments!BT111)</f>
        <v/>
      </c>
      <c r="S114" s="19">
        <f>IF(Deployments!BS111="","",Deployments!BS111)</f>
        <v/>
      </c>
      <c r="T114" s="19">
        <f>IF(Deployments!BB111="","",Deployments!BB111)</f>
        <v/>
      </c>
      <c r="U114" s="19">
        <f>IF(Deployments!BR111="","",Deployments!BR111)</f>
        <v/>
      </c>
      <c r="V114" s="19">
        <f>IF(Deployments!BX111="","",Deployments!BX111)</f>
        <v/>
      </c>
      <c r="W114" s="19">
        <f>IF(Deployments!BY111="","",Deployments!BY111)</f>
        <v/>
      </c>
      <c r="X114" s="19">
        <f>IF(Deployments!CC111="","",Deployments!CC111)</f>
        <v/>
      </c>
      <c r="Y114" s="19">
        <f>IF(Deployments!BW111="","",Deployments!BW111)</f>
        <v/>
      </c>
      <c r="Z114" s="19">
        <f>IF(Deployments!U111="","",Deployments!U111)</f>
        <v/>
      </c>
      <c r="AA114" s="19">
        <f>IF(Deployments!L111="","",Deployments!L111)</f>
        <v/>
      </c>
    </row>
    <row r="115" ht="94.5" customHeight="1" s="91">
      <c r="A115" s="20" t="n"/>
      <c r="B115" s="20" t="n"/>
      <c r="C115" s="19">
        <f>IF(Deployments!H112="","",Deployments!H112)</f>
        <v/>
      </c>
      <c r="D115" s="19">
        <f>IF(Deployments!AM112="","",Deployments!AM112)</f>
        <v/>
      </c>
      <c r="E115" s="19">
        <f>IF(Deployments!I112="","",Deployments!I112)</f>
        <v/>
      </c>
      <c r="F115" s="19">
        <f>IF(Deployments!J112="","",Deployments!J112)</f>
        <v/>
      </c>
      <c r="G115" s="19">
        <f>IF(Deployments!K112="","",Deployments!K112)</f>
        <v/>
      </c>
      <c r="H115" s="19">
        <f>IF(Deployments!A112="","",Deployments!A112)</f>
        <v/>
      </c>
      <c r="I115" s="19">
        <f>IF(Deployments!AN112="","",Deployments!AN112)</f>
        <v/>
      </c>
      <c r="J115" s="19">
        <f>IF(Deployments!AO112="","",Deployments!AO112)</f>
        <v/>
      </c>
      <c r="K115" s="19">
        <f>IF(Deployments!AI112="","",Deployments!AI112)</f>
        <v/>
      </c>
      <c r="L115" s="19">
        <f>IF(Deployments!M112="","",Deployments!M112)</f>
        <v/>
      </c>
      <c r="M115" s="20" t="n"/>
      <c r="N115" s="19">
        <f>IF(Deployments!N112="","",Deployments!N112)</f>
        <v/>
      </c>
      <c r="O115" s="19">
        <f>IF(Deployments!O112="","",Deployments!O112)</f>
        <v/>
      </c>
      <c r="P115" s="19">
        <f>IF(Deployments!P112="","",Deployments!P112)</f>
        <v/>
      </c>
      <c r="Q115" s="20" t="n"/>
      <c r="R115" s="19">
        <f>IF(Deployments!BT112="","",Deployments!BT112)</f>
        <v/>
      </c>
      <c r="S115" s="19">
        <f>IF(Deployments!BS112="","",Deployments!BS112)</f>
        <v/>
      </c>
      <c r="T115" s="19">
        <f>IF(Deployments!BB112="","",Deployments!BB112)</f>
        <v/>
      </c>
      <c r="U115" s="19">
        <f>IF(Deployments!BR112="","",Deployments!BR112)</f>
        <v/>
      </c>
      <c r="V115" s="19">
        <f>IF(Deployments!BX112="","",Deployments!BX112)</f>
        <v/>
      </c>
      <c r="W115" s="19">
        <f>IF(Deployments!BY112="","",Deployments!BY112)</f>
        <v/>
      </c>
      <c r="X115" s="19">
        <f>IF(Deployments!CC112="","",Deployments!CC112)</f>
        <v/>
      </c>
      <c r="Y115" s="19">
        <f>IF(Deployments!BW112="","",Deployments!BW112)</f>
        <v/>
      </c>
      <c r="Z115" s="19">
        <f>IF(Deployments!U112="","",Deployments!U112)</f>
        <v/>
      </c>
      <c r="AA115" s="19">
        <f>IF(Deployments!L112="","",Deployments!L112)</f>
        <v/>
      </c>
    </row>
    <row r="116" ht="94.5" customHeight="1" s="91">
      <c r="A116" s="20" t="n"/>
      <c r="B116" s="20" t="n"/>
      <c r="C116" s="19">
        <f>IF(Deployments!H113="","",Deployments!H113)</f>
        <v/>
      </c>
      <c r="D116" s="19">
        <f>IF(Deployments!AM113="","",Deployments!AM113)</f>
        <v/>
      </c>
      <c r="E116" s="19">
        <f>IF(Deployments!I113="","",Deployments!I113)</f>
        <v/>
      </c>
      <c r="F116" s="19">
        <f>IF(Deployments!J113="","",Deployments!J113)</f>
        <v/>
      </c>
      <c r="G116" s="19">
        <f>IF(Deployments!K113="","",Deployments!K113)</f>
        <v/>
      </c>
      <c r="H116" s="19">
        <f>IF(Deployments!A113="","",Deployments!A113)</f>
        <v/>
      </c>
      <c r="I116" s="19">
        <f>IF(Deployments!AN113="","",Deployments!AN113)</f>
        <v/>
      </c>
      <c r="J116" s="19">
        <f>IF(Deployments!AO113="","",Deployments!AO113)</f>
        <v/>
      </c>
      <c r="K116" s="19">
        <f>IF(Deployments!AI113="","",Deployments!AI113)</f>
        <v/>
      </c>
      <c r="L116" s="19">
        <f>IF(Deployments!M113="","",Deployments!M113)</f>
        <v/>
      </c>
      <c r="M116" s="20" t="n"/>
      <c r="N116" s="19">
        <f>IF(Deployments!N113="","",Deployments!N113)</f>
        <v/>
      </c>
      <c r="O116" s="19">
        <f>IF(Deployments!O113="","",Deployments!O113)</f>
        <v/>
      </c>
      <c r="P116" s="19">
        <f>IF(Deployments!P113="","",Deployments!P113)</f>
        <v/>
      </c>
      <c r="Q116" s="20" t="n"/>
      <c r="R116" s="19">
        <f>IF(Deployments!BT113="","",Deployments!BT113)</f>
        <v/>
      </c>
      <c r="S116" s="19">
        <f>IF(Deployments!BS113="","",Deployments!BS113)</f>
        <v/>
      </c>
      <c r="T116" s="19">
        <f>IF(Deployments!BB113="","",Deployments!BB113)</f>
        <v/>
      </c>
      <c r="U116" s="19">
        <f>IF(Deployments!BR113="","",Deployments!BR113)</f>
        <v/>
      </c>
      <c r="V116" s="19">
        <f>IF(Deployments!BX113="","",Deployments!BX113)</f>
        <v/>
      </c>
      <c r="W116" s="19">
        <f>IF(Deployments!BY113="","",Deployments!BY113)</f>
        <v/>
      </c>
      <c r="X116" s="19">
        <f>IF(Deployments!CC113="","",Deployments!CC113)</f>
        <v/>
      </c>
      <c r="Y116" s="19">
        <f>IF(Deployments!BW113="","",Deployments!BW113)</f>
        <v/>
      </c>
      <c r="Z116" s="19">
        <f>IF(Deployments!U113="","",Deployments!U113)</f>
        <v/>
      </c>
      <c r="AA116" s="19">
        <f>IF(Deployments!L113="","",Deployments!L113)</f>
        <v/>
      </c>
    </row>
    <row r="117" ht="94.5" customHeight="1" s="91">
      <c r="A117" s="20" t="n"/>
      <c r="B117" s="20" t="n"/>
      <c r="C117" s="19">
        <f>IF(Deployments!H114="","",Deployments!H114)</f>
        <v/>
      </c>
      <c r="D117" s="19">
        <f>IF(Deployments!AM114="","",Deployments!AM114)</f>
        <v/>
      </c>
      <c r="E117" s="19">
        <f>IF(Deployments!I114="","",Deployments!I114)</f>
        <v/>
      </c>
      <c r="F117" s="19">
        <f>IF(Deployments!J114="","",Deployments!J114)</f>
        <v/>
      </c>
      <c r="G117" s="19">
        <f>IF(Deployments!K114="","",Deployments!K114)</f>
        <v/>
      </c>
      <c r="H117" s="19">
        <f>IF(Deployments!A114="","",Deployments!A114)</f>
        <v/>
      </c>
      <c r="I117" s="19">
        <f>IF(Deployments!AN114="","",Deployments!AN114)</f>
        <v/>
      </c>
      <c r="J117" s="19">
        <f>IF(Deployments!AO114="","",Deployments!AO114)</f>
        <v/>
      </c>
      <c r="K117" s="19">
        <f>IF(Deployments!AI114="","",Deployments!AI114)</f>
        <v/>
      </c>
      <c r="L117" s="19">
        <f>IF(Deployments!M114="","",Deployments!M114)</f>
        <v/>
      </c>
      <c r="M117" s="20" t="n"/>
      <c r="N117" s="19">
        <f>IF(Deployments!N114="","",Deployments!N114)</f>
        <v/>
      </c>
      <c r="O117" s="19">
        <f>IF(Deployments!O114="","",Deployments!O114)</f>
        <v/>
      </c>
      <c r="P117" s="19">
        <f>IF(Deployments!P114="","",Deployments!P114)</f>
        <v/>
      </c>
      <c r="Q117" s="20" t="n"/>
      <c r="R117" s="19">
        <f>IF(Deployments!BT114="","",Deployments!BT114)</f>
        <v/>
      </c>
      <c r="S117" s="19">
        <f>IF(Deployments!BS114="","",Deployments!BS114)</f>
        <v/>
      </c>
      <c r="T117" s="19">
        <f>IF(Deployments!BB114="","",Deployments!BB114)</f>
        <v/>
      </c>
      <c r="U117" s="19">
        <f>IF(Deployments!BR114="","",Deployments!BR114)</f>
        <v/>
      </c>
      <c r="V117" s="19">
        <f>IF(Deployments!BX114="","",Deployments!BX114)</f>
        <v/>
      </c>
      <c r="W117" s="19">
        <f>IF(Deployments!BY114="","",Deployments!BY114)</f>
        <v/>
      </c>
      <c r="X117" s="19">
        <f>IF(Deployments!CC114="","",Deployments!CC114)</f>
        <v/>
      </c>
      <c r="Y117" s="19">
        <f>IF(Deployments!BW114="","",Deployments!BW114)</f>
        <v/>
      </c>
      <c r="Z117" s="19">
        <f>IF(Deployments!U114="","",Deployments!U114)</f>
        <v/>
      </c>
      <c r="AA117" s="19">
        <f>IF(Deployments!L114="","",Deployments!L114)</f>
        <v/>
      </c>
    </row>
    <row r="118" ht="94.5" customHeight="1" s="91">
      <c r="A118" s="20" t="n"/>
      <c r="B118" s="20" t="n"/>
      <c r="C118" s="19">
        <f>IF(Deployments!H115="","",Deployments!H115)</f>
        <v/>
      </c>
      <c r="D118" s="19">
        <f>IF(Deployments!AM115="","",Deployments!AM115)</f>
        <v/>
      </c>
      <c r="E118" s="19">
        <f>IF(Deployments!I115="","",Deployments!I115)</f>
        <v/>
      </c>
      <c r="F118" s="19">
        <f>IF(Deployments!J115="","",Deployments!J115)</f>
        <v/>
      </c>
      <c r="G118" s="19">
        <f>IF(Deployments!K115="","",Deployments!K115)</f>
        <v/>
      </c>
      <c r="H118" s="19">
        <f>IF(Deployments!A115="","",Deployments!A115)</f>
        <v/>
      </c>
      <c r="I118" s="19">
        <f>IF(Deployments!AN115="","",Deployments!AN115)</f>
        <v/>
      </c>
      <c r="J118" s="19">
        <f>IF(Deployments!AO115="","",Deployments!AO115)</f>
        <v/>
      </c>
      <c r="K118" s="19">
        <f>IF(Deployments!AI115="","",Deployments!AI115)</f>
        <v/>
      </c>
      <c r="L118" s="19">
        <f>IF(Deployments!M115="","",Deployments!M115)</f>
        <v/>
      </c>
      <c r="M118" s="20" t="n"/>
      <c r="N118" s="19">
        <f>IF(Deployments!N115="","",Deployments!N115)</f>
        <v/>
      </c>
      <c r="O118" s="19">
        <f>IF(Deployments!O115="","",Deployments!O115)</f>
        <v/>
      </c>
      <c r="P118" s="19">
        <f>IF(Deployments!P115="","",Deployments!P115)</f>
        <v/>
      </c>
      <c r="Q118" s="20" t="n"/>
      <c r="R118" s="19">
        <f>IF(Deployments!BT115="","",Deployments!BT115)</f>
        <v/>
      </c>
      <c r="S118" s="19">
        <f>IF(Deployments!BS115="","",Deployments!BS115)</f>
        <v/>
      </c>
      <c r="T118" s="19">
        <f>IF(Deployments!BB115="","",Deployments!BB115)</f>
        <v/>
      </c>
      <c r="U118" s="19">
        <f>IF(Deployments!BR115="","",Deployments!BR115)</f>
        <v/>
      </c>
      <c r="V118" s="19">
        <f>IF(Deployments!BX115="","",Deployments!BX115)</f>
        <v/>
      </c>
      <c r="W118" s="19">
        <f>IF(Deployments!BY115="","",Deployments!BY115)</f>
        <v/>
      </c>
      <c r="X118" s="19">
        <f>IF(Deployments!CC115="","",Deployments!CC115)</f>
        <v/>
      </c>
      <c r="Y118" s="19">
        <f>IF(Deployments!BW115="","",Deployments!BW115)</f>
        <v/>
      </c>
      <c r="Z118" s="19">
        <f>IF(Deployments!U115="","",Deployments!U115)</f>
        <v/>
      </c>
      <c r="AA118" s="19">
        <f>IF(Deployments!L115="","",Deployments!L115)</f>
        <v/>
      </c>
    </row>
    <row r="119" ht="108" customHeight="1" s="91">
      <c r="A119" s="20" t="n"/>
      <c r="B119" s="20" t="n"/>
      <c r="C119" s="19">
        <f>IF(Deployments!H116="","",Deployments!H116)</f>
        <v/>
      </c>
      <c r="D119" s="19">
        <f>IF(Deployments!AM116="","",Deployments!AM116)</f>
        <v/>
      </c>
      <c r="E119" s="19">
        <f>IF(Deployments!I116="","",Deployments!I116)</f>
        <v/>
      </c>
      <c r="F119" s="19">
        <f>IF(Deployments!J116="","",Deployments!J116)</f>
        <v/>
      </c>
      <c r="G119" s="19">
        <f>IF(Deployments!K116="","",Deployments!K116)</f>
        <v/>
      </c>
      <c r="H119" s="19">
        <f>IF(Deployments!A116="","",Deployments!A116)</f>
        <v/>
      </c>
      <c r="I119" s="19">
        <f>IF(Deployments!AN116="","",Deployments!AN116)</f>
        <v/>
      </c>
      <c r="J119" s="19">
        <f>IF(Deployments!AO116="","",Deployments!AO116)</f>
        <v/>
      </c>
      <c r="K119" s="19">
        <f>IF(Deployments!AI116="","",Deployments!AI116)</f>
        <v/>
      </c>
      <c r="L119" s="19">
        <f>IF(Deployments!M116="","",Deployments!M116)</f>
        <v/>
      </c>
      <c r="M119" s="20" t="n"/>
      <c r="N119" s="19">
        <f>IF(Deployments!N116="","",Deployments!N116)</f>
        <v/>
      </c>
      <c r="O119" s="19">
        <f>IF(Deployments!O116="","",Deployments!O116)</f>
        <v/>
      </c>
      <c r="P119" s="19">
        <f>IF(Deployments!P116="","",Deployments!P116)</f>
        <v/>
      </c>
      <c r="Q119" s="20" t="n"/>
      <c r="R119" s="19">
        <f>IF(Deployments!BT116="","",Deployments!BT116)</f>
        <v/>
      </c>
      <c r="S119" s="19">
        <f>IF(Deployments!BS116="","",Deployments!BS116)</f>
        <v/>
      </c>
      <c r="T119" s="19">
        <f>IF(Deployments!BB116="","",Deployments!BB116)</f>
        <v/>
      </c>
      <c r="U119" s="19">
        <f>IF(Deployments!BR116="","",Deployments!BR116)</f>
        <v/>
      </c>
      <c r="V119" s="19">
        <f>IF(Deployments!BX116="","",Deployments!BX116)</f>
        <v/>
      </c>
      <c r="W119" s="19">
        <f>IF(Deployments!BY116="","",Deployments!BY116)</f>
        <v/>
      </c>
      <c r="X119" s="19">
        <f>IF(Deployments!CC116="","",Deployments!CC116)</f>
        <v/>
      </c>
      <c r="Y119" s="19">
        <f>IF(Deployments!BW116="","",Deployments!BW116)</f>
        <v/>
      </c>
      <c r="Z119" s="19">
        <f>IF(Deployments!U116="","",Deployments!U116)</f>
        <v/>
      </c>
      <c r="AA119" s="19">
        <f>IF(Deployments!L116="","",Deployments!L116)</f>
        <v/>
      </c>
    </row>
    <row r="120" ht="108" customHeight="1" s="91">
      <c r="A120" s="20" t="n"/>
      <c r="B120" s="20" t="n"/>
      <c r="C120" s="19">
        <f>IF(Deployments!H117="","",Deployments!H117)</f>
        <v/>
      </c>
      <c r="D120" s="19">
        <f>IF(Deployments!AM117="","",Deployments!AM117)</f>
        <v/>
      </c>
      <c r="E120" s="19">
        <f>IF(Deployments!I117="","",Deployments!I117)</f>
        <v/>
      </c>
      <c r="F120" s="19">
        <f>IF(Deployments!J117="","",Deployments!J117)</f>
        <v/>
      </c>
      <c r="G120" s="19">
        <f>IF(Deployments!K117="","",Deployments!K117)</f>
        <v/>
      </c>
      <c r="H120" s="19">
        <f>IF(Deployments!A117="","",Deployments!A117)</f>
        <v/>
      </c>
      <c r="I120" s="19">
        <f>IF(Deployments!AN117="","",Deployments!AN117)</f>
        <v/>
      </c>
      <c r="J120" s="19">
        <f>IF(Deployments!AO117="","",Deployments!AO117)</f>
        <v/>
      </c>
      <c r="K120" s="19">
        <f>IF(Deployments!AI117="","",Deployments!AI117)</f>
        <v/>
      </c>
      <c r="L120" s="19">
        <f>IF(Deployments!M117="","",Deployments!M117)</f>
        <v/>
      </c>
      <c r="M120" s="20" t="n"/>
      <c r="N120" s="19">
        <f>IF(Deployments!N117="","",Deployments!N117)</f>
        <v/>
      </c>
      <c r="O120" s="19">
        <f>IF(Deployments!O117="","",Deployments!O117)</f>
        <v/>
      </c>
      <c r="P120" s="19">
        <f>IF(Deployments!P117="","",Deployments!P117)</f>
        <v/>
      </c>
      <c r="Q120" s="20" t="n"/>
      <c r="R120" s="19">
        <f>IF(Deployments!BT117="","",Deployments!BT117)</f>
        <v/>
      </c>
      <c r="S120" s="19">
        <f>IF(Deployments!BS117="","",Deployments!BS117)</f>
        <v/>
      </c>
      <c r="T120" s="19">
        <f>IF(Deployments!BB117="","",Deployments!BB117)</f>
        <v/>
      </c>
      <c r="U120" s="19">
        <f>IF(Deployments!BR117="","",Deployments!BR117)</f>
        <v/>
      </c>
      <c r="V120" s="19">
        <f>IF(Deployments!BX117="","",Deployments!BX117)</f>
        <v/>
      </c>
      <c r="W120" s="19">
        <f>IF(Deployments!BY117="","",Deployments!BY117)</f>
        <v/>
      </c>
      <c r="X120" s="19">
        <f>IF(Deployments!CC117="","",Deployments!CC117)</f>
        <v/>
      </c>
      <c r="Y120" s="19">
        <f>IF(Deployments!BW117="","",Deployments!BW117)</f>
        <v/>
      </c>
      <c r="Z120" s="19">
        <f>IF(Deployments!U117="","",Deployments!U117)</f>
        <v/>
      </c>
      <c r="AA120" s="19">
        <f>IF(Deployments!L117="","",Deployments!L117)</f>
        <v/>
      </c>
    </row>
    <row r="121" ht="108" customHeight="1" s="91">
      <c r="A121" s="20" t="n"/>
      <c r="B121" s="20" t="n"/>
      <c r="C121" s="19">
        <f>IF(Deployments!H118="","",Deployments!H118)</f>
        <v/>
      </c>
      <c r="D121" s="19">
        <f>IF(Deployments!AM118="","",Deployments!AM118)</f>
        <v/>
      </c>
      <c r="E121" s="19">
        <f>IF(Deployments!I118="","",Deployments!I118)</f>
        <v/>
      </c>
      <c r="F121" s="19">
        <f>IF(Deployments!J118="","",Deployments!J118)</f>
        <v/>
      </c>
      <c r="G121" s="19">
        <f>IF(Deployments!K118="","",Deployments!K118)</f>
        <v/>
      </c>
      <c r="H121" s="19">
        <f>IF(Deployments!A118="","",Deployments!A118)</f>
        <v/>
      </c>
      <c r="I121" s="19">
        <f>IF(Deployments!AN118="","",Deployments!AN118)</f>
        <v/>
      </c>
      <c r="J121" s="19">
        <f>IF(Deployments!AO118="","",Deployments!AO118)</f>
        <v/>
      </c>
      <c r="K121" s="19">
        <f>IF(Deployments!AI118="","",Deployments!AI118)</f>
        <v/>
      </c>
      <c r="L121" s="19">
        <f>IF(Deployments!M118="","",Deployments!M118)</f>
        <v/>
      </c>
      <c r="M121" s="20" t="n"/>
      <c r="N121" s="19">
        <f>IF(Deployments!N118="","",Deployments!N118)</f>
        <v/>
      </c>
      <c r="O121" s="19">
        <f>IF(Deployments!O118="","",Deployments!O118)</f>
        <v/>
      </c>
      <c r="P121" s="19">
        <f>IF(Deployments!P118="","",Deployments!P118)</f>
        <v/>
      </c>
      <c r="Q121" s="20" t="n"/>
      <c r="R121" s="19">
        <f>IF(Deployments!BT118="","",Deployments!BT118)</f>
        <v/>
      </c>
      <c r="S121" s="19">
        <f>IF(Deployments!BS118="","",Deployments!BS118)</f>
        <v/>
      </c>
      <c r="T121" s="19">
        <f>IF(Deployments!BB118="","",Deployments!BB118)</f>
        <v/>
      </c>
      <c r="U121" s="19">
        <f>IF(Deployments!BR118="","",Deployments!BR118)</f>
        <v/>
      </c>
      <c r="V121" s="19">
        <f>IF(Deployments!BX118="","",Deployments!BX118)</f>
        <v/>
      </c>
      <c r="W121" s="19">
        <f>IF(Deployments!BY118="","",Deployments!BY118)</f>
        <v/>
      </c>
      <c r="X121" s="19">
        <f>IF(Deployments!CC118="","",Deployments!CC118)</f>
        <v/>
      </c>
      <c r="Y121" s="19">
        <f>IF(Deployments!BW118="","",Deployments!BW118)</f>
        <v/>
      </c>
      <c r="Z121" s="19">
        <f>IF(Deployments!U118="","",Deployments!U118)</f>
        <v/>
      </c>
      <c r="AA121" s="19">
        <f>IF(Deployments!L118="","",Deployments!L118)</f>
        <v/>
      </c>
    </row>
    <row r="122" ht="108" customHeight="1" s="91">
      <c r="A122" s="20" t="n"/>
      <c r="B122" s="20" t="n"/>
      <c r="C122" s="19">
        <f>IF(Deployments!H119="","",Deployments!H119)</f>
        <v/>
      </c>
      <c r="D122" s="19">
        <f>IF(Deployments!AM119="","",Deployments!AM119)</f>
        <v/>
      </c>
      <c r="E122" s="19">
        <f>IF(Deployments!I119="","",Deployments!I119)</f>
        <v/>
      </c>
      <c r="F122" s="19">
        <f>IF(Deployments!J119="","",Deployments!J119)</f>
        <v/>
      </c>
      <c r="G122" s="19">
        <f>IF(Deployments!K119="","",Deployments!K119)</f>
        <v/>
      </c>
      <c r="H122" s="19">
        <f>IF(Deployments!A119="","",Deployments!A119)</f>
        <v/>
      </c>
      <c r="I122" s="19">
        <f>IF(Deployments!AN119="","",Deployments!AN119)</f>
        <v/>
      </c>
      <c r="J122" s="19">
        <f>IF(Deployments!AO119="","",Deployments!AO119)</f>
        <v/>
      </c>
      <c r="K122" s="19">
        <f>IF(Deployments!AI119="","",Deployments!AI119)</f>
        <v/>
      </c>
      <c r="L122" s="19">
        <f>IF(Deployments!M119="","",Deployments!M119)</f>
        <v/>
      </c>
      <c r="M122" s="20" t="n"/>
      <c r="N122" s="19">
        <f>IF(Deployments!N119="","",Deployments!N119)</f>
        <v/>
      </c>
      <c r="O122" s="19">
        <f>IF(Deployments!O119="","",Deployments!O119)</f>
        <v/>
      </c>
      <c r="P122" s="19">
        <f>IF(Deployments!P119="","",Deployments!P119)</f>
        <v/>
      </c>
      <c r="Q122" s="20" t="n"/>
      <c r="R122" s="19">
        <f>IF(Deployments!BT119="","",Deployments!BT119)</f>
        <v/>
      </c>
      <c r="S122" s="19">
        <f>IF(Deployments!BS119="","",Deployments!BS119)</f>
        <v/>
      </c>
      <c r="T122" s="19">
        <f>IF(Deployments!BB119="","",Deployments!BB119)</f>
        <v/>
      </c>
      <c r="U122" s="19">
        <f>IF(Deployments!BR119="","",Deployments!BR119)</f>
        <v/>
      </c>
      <c r="V122" s="19">
        <f>IF(Deployments!BX119="","",Deployments!BX119)</f>
        <v/>
      </c>
      <c r="W122" s="19">
        <f>IF(Deployments!BY119="","",Deployments!BY119)</f>
        <v/>
      </c>
      <c r="X122" s="19">
        <f>IF(Deployments!CC119="","",Deployments!CC119)</f>
        <v/>
      </c>
      <c r="Y122" s="19">
        <f>IF(Deployments!BW119="","",Deployments!BW119)</f>
        <v/>
      </c>
      <c r="Z122" s="19">
        <f>IF(Deployments!U119="","",Deployments!U119)</f>
        <v/>
      </c>
      <c r="AA122" s="19">
        <f>IF(Deployments!L119="","",Deployments!L119)</f>
        <v/>
      </c>
    </row>
    <row r="123" ht="108" customHeight="1" s="91">
      <c r="A123" s="20" t="n"/>
      <c r="B123" s="20" t="n"/>
      <c r="C123" s="19">
        <f>IF(Deployments!H120="","",Deployments!H120)</f>
        <v/>
      </c>
      <c r="D123" s="19">
        <f>IF(Deployments!AM120="","",Deployments!AM120)</f>
        <v/>
      </c>
      <c r="E123" s="19">
        <f>IF(Deployments!I120="","",Deployments!I120)</f>
        <v/>
      </c>
      <c r="F123" s="19">
        <f>IF(Deployments!J120="","",Deployments!J120)</f>
        <v/>
      </c>
      <c r="G123" s="19">
        <f>IF(Deployments!K120="","",Deployments!K120)</f>
        <v/>
      </c>
      <c r="H123" s="19">
        <f>IF(Deployments!A120="","",Deployments!A120)</f>
        <v/>
      </c>
      <c r="I123" s="19">
        <f>IF(Deployments!AN120="","",Deployments!AN120)</f>
        <v/>
      </c>
      <c r="J123" s="19">
        <f>IF(Deployments!AO120="","",Deployments!AO120)</f>
        <v/>
      </c>
      <c r="K123" s="19">
        <f>IF(Deployments!AI120="","",Deployments!AI120)</f>
        <v/>
      </c>
      <c r="L123" s="19">
        <f>IF(Deployments!M120="","",Deployments!M120)</f>
        <v/>
      </c>
      <c r="M123" s="20" t="n"/>
      <c r="N123" s="19">
        <f>IF(Deployments!N120="","",Deployments!N120)</f>
        <v/>
      </c>
      <c r="O123" s="19">
        <f>IF(Deployments!O120="","",Deployments!O120)</f>
        <v/>
      </c>
      <c r="P123" s="19">
        <f>IF(Deployments!P120="","",Deployments!P120)</f>
        <v/>
      </c>
      <c r="Q123" s="20" t="n"/>
      <c r="R123" s="19">
        <f>IF(Deployments!BT120="","",Deployments!BT120)</f>
        <v/>
      </c>
      <c r="S123" s="19">
        <f>IF(Deployments!BS120="","",Deployments!BS120)</f>
        <v/>
      </c>
      <c r="T123" s="19">
        <f>IF(Deployments!BB120="","",Deployments!BB120)</f>
        <v/>
      </c>
      <c r="U123" s="19">
        <f>IF(Deployments!BR120="","",Deployments!BR120)</f>
        <v/>
      </c>
      <c r="V123" s="19">
        <f>IF(Deployments!BX120="","",Deployments!BX120)</f>
        <v/>
      </c>
      <c r="W123" s="19">
        <f>IF(Deployments!BY120="","",Deployments!BY120)</f>
        <v/>
      </c>
      <c r="X123" s="19">
        <f>IF(Deployments!CC120="","",Deployments!CC120)</f>
        <v/>
      </c>
      <c r="Y123" s="19">
        <f>IF(Deployments!BW120="","",Deployments!BW120)</f>
        <v/>
      </c>
      <c r="Z123" s="19">
        <f>IF(Deployments!U120="","",Deployments!U120)</f>
        <v/>
      </c>
      <c r="AA123" s="19">
        <f>IF(Deployments!L120="","",Deployments!L120)</f>
        <v/>
      </c>
    </row>
    <row r="124" ht="108" customHeight="1" s="91">
      <c r="A124" s="20" t="n"/>
      <c r="B124" s="20" t="n"/>
      <c r="C124" s="19">
        <f>IF(Deployments!H121="","",Deployments!H121)</f>
        <v/>
      </c>
      <c r="D124" s="19">
        <f>IF(Deployments!AM121="","",Deployments!AM121)</f>
        <v/>
      </c>
      <c r="E124" s="19">
        <f>IF(Deployments!I121="","",Deployments!I121)</f>
        <v/>
      </c>
      <c r="F124" s="19">
        <f>IF(Deployments!J121="","",Deployments!J121)</f>
        <v/>
      </c>
      <c r="G124" s="19">
        <f>IF(Deployments!K121="","",Deployments!K121)</f>
        <v/>
      </c>
      <c r="H124" s="19">
        <f>IF(Deployments!A121="","",Deployments!A121)</f>
        <v/>
      </c>
      <c r="I124" s="19">
        <f>IF(Deployments!AN121="","",Deployments!AN121)</f>
        <v/>
      </c>
      <c r="J124" s="19">
        <f>IF(Deployments!AO121="","",Deployments!AO121)</f>
        <v/>
      </c>
      <c r="K124" s="19">
        <f>IF(Deployments!AI121="","",Deployments!AI121)</f>
        <v/>
      </c>
      <c r="L124" s="19">
        <f>IF(Deployments!M121="","",Deployments!M121)</f>
        <v/>
      </c>
      <c r="M124" s="20" t="n"/>
      <c r="N124" s="19">
        <f>IF(Deployments!N121="","",Deployments!N121)</f>
        <v/>
      </c>
      <c r="O124" s="19">
        <f>IF(Deployments!O121="","",Deployments!O121)</f>
        <v/>
      </c>
      <c r="P124" s="19">
        <f>IF(Deployments!P121="","",Deployments!P121)</f>
        <v/>
      </c>
      <c r="Q124" s="20" t="n"/>
      <c r="R124" s="19">
        <f>IF(Deployments!BT121="","",Deployments!BT121)</f>
        <v/>
      </c>
      <c r="S124" s="19">
        <f>IF(Deployments!BS121="","",Deployments!BS121)</f>
        <v/>
      </c>
      <c r="T124" s="19">
        <f>IF(Deployments!BB121="","",Deployments!BB121)</f>
        <v/>
      </c>
      <c r="U124" s="19">
        <f>IF(Deployments!BR121="","",Deployments!BR121)</f>
        <v/>
      </c>
      <c r="V124" s="19">
        <f>IF(Deployments!BX121="","",Deployments!BX121)</f>
        <v/>
      </c>
      <c r="W124" s="19">
        <f>IF(Deployments!BY121="","",Deployments!BY121)</f>
        <v/>
      </c>
      <c r="X124" s="19">
        <f>IF(Deployments!CC121="","",Deployments!CC121)</f>
        <v/>
      </c>
      <c r="Y124" s="19">
        <f>IF(Deployments!BW121="","",Deployments!BW121)</f>
        <v/>
      </c>
      <c r="Z124" s="19">
        <f>IF(Deployments!U121="","",Deployments!U121)</f>
        <v/>
      </c>
      <c r="AA124" s="19">
        <f>IF(Deployments!L121="","",Deployments!L121)</f>
        <v/>
      </c>
    </row>
    <row r="125" ht="108" customHeight="1" s="91">
      <c r="A125" s="20" t="n"/>
      <c r="B125" s="20" t="n"/>
      <c r="C125" s="19">
        <f>IF(Deployments!H122="","",Deployments!H122)</f>
        <v/>
      </c>
      <c r="D125" s="19">
        <f>IF(Deployments!AM122="","",Deployments!AM122)</f>
        <v/>
      </c>
      <c r="E125" s="19">
        <f>IF(Deployments!I122="","",Deployments!I122)</f>
        <v/>
      </c>
      <c r="F125" s="19">
        <f>IF(Deployments!J122="","",Deployments!J122)</f>
        <v/>
      </c>
      <c r="G125" s="19">
        <f>IF(Deployments!K122="","",Deployments!K122)</f>
        <v/>
      </c>
      <c r="H125" s="19">
        <f>IF(Deployments!A122="","",Deployments!A122)</f>
        <v/>
      </c>
      <c r="I125" s="19">
        <f>IF(Deployments!AN122="","",Deployments!AN122)</f>
        <v/>
      </c>
      <c r="J125" s="19">
        <f>IF(Deployments!AO122="","",Deployments!AO122)</f>
        <v/>
      </c>
      <c r="K125" s="19">
        <f>IF(Deployments!AI122="","",Deployments!AI122)</f>
        <v/>
      </c>
      <c r="L125" s="19">
        <f>IF(Deployments!M122="","",Deployments!M122)</f>
        <v/>
      </c>
      <c r="M125" s="20" t="n"/>
      <c r="N125" s="19">
        <f>IF(Deployments!N122="","",Deployments!N122)</f>
        <v/>
      </c>
      <c r="O125" s="19">
        <f>IF(Deployments!O122="","",Deployments!O122)</f>
        <v/>
      </c>
      <c r="P125" s="19">
        <f>IF(Deployments!P122="","",Deployments!P122)</f>
        <v/>
      </c>
      <c r="Q125" s="20" t="n"/>
      <c r="R125" s="19">
        <f>IF(Deployments!BT122="","",Deployments!BT122)</f>
        <v/>
      </c>
      <c r="S125" s="19">
        <f>IF(Deployments!BS122="","",Deployments!BS122)</f>
        <v/>
      </c>
      <c r="T125" s="19">
        <f>IF(Deployments!BB122="","",Deployments!BB122)</f>
        <v/>
      </c>
      <c r="U125" s="19">
        <f>IF(Deployments!BR122="","",Deployments!BR122)</f>
        <v/>
      </c>
      <c r="V125" s="19">
        <f>IF(Deployments!BX122="","",Deployments!BX122)</f>
        <v/>
      </c>
      <c r="W125" s="19">
        <f>IF(Deployments!BY122="","",Deployments!BY122)</f>
        <v/>
      </c>
      <c r="X125" s="19">
        <f>IF(Deployments!CC122="","",Deployments!CC122)</f>
        <v/>
      </c>
      <c r="Y125" s="19">
        <f>IF(Deployments!BW122="","",Deployments!BW122)</f>
        <v/>
      </c>
      <c r="Z125" s="19">
        <f>IF(Deployments!U122="","",Deployments!U122)</f>
        <v/>
      </c>
      <c r="AA125" s="19">
        <f>IF(Deployments!L122="","",Deployments!L122)</f>
        <v/>
      </c>
    </row>
    <row r="126" ht="108" customHeight="1" s="91">
      <c r="A126" s="20" t="n"/>
      <c r="B126" s="20" t="n"/>
      <c r="C126" s="19">
        <f>IF(Deployments!H123="","",Deployments!H123)</f>
        <v/>
      </c>
      <c r="D126" s="19">
        <f>IF(Deployments!AM123="","",Deployments!AM123)</f>
        <v/>
      </c>
      <c r="E126" s="19">
        <f>IF(Deployments!I123="","",Deployments!I123)</f>
        <v/>
      </c>
      <c r="F126" s="19">
        <f>IF(Deployments!J123="","",Deployments!J123)</f>
        <v/>
      </c>
      <c r="G126" s="19">
        <f>IF(Deployments!K123="","",Deployments!K123)</f>
        <v/>
      </c>
      <c r="H126" s="19">
        <f>IF(Deployments!A123="","",Deployments!A123)</f>
        <v/>
      </c>
      <c r="I126" s="19">
        <f>IF(Deployments!AN123="","",Deployments!AN123)</f>
        <v/>
      </c>
      <c r="J126" s="19">
        <f>IF(Deployments!AO123="","",Deployments!AO123)</f>
        <v/>
      </c>
      <c r="K126" s="19">
        <f>IF(Deployments!AI123="","",Deployments!AI123)</f>
        <v/>
      </c>
      <c r="L126" s="19">
        <f>IF(Deployments!M123="","",Deployments!M123)</f>
        <v/>
      </c>
      <c r="M126" s="20" t="n"/>
      <c r="N126" s="19">
        <f>IF(Deployments!N123="","",Deployments!N123)</f>
        <v/>
      </c>
      <c r="O126" s="19">
        <f>IF(Deployments!O123="","",Deployments!O123)</f>
        <v/>
      </c>
      <c r="P126" s="19">
        <f>IF(Deployments!P123="","",Deployments!P123)</f>
        <v/>
      </c>
      <c r="Q126" s="20" t="n"/>
      <c r="R126" s="19">
        <f>IF(Deployments!BT123="","",Deployments!BT123)</f>
        <v/>
      </c>
      <c r="S126" s="19">
        <f>IF(Deployments!BS123="","",Deployments!BS123)</f>
        <v/>
      </c>
      <c r="T126" s="19">
        <f>IF(Deployments!BB123="","",Deployments!BB123)</f>
        <v/>
      </c>
      <c r="U126" s="19">
        <f>IF(Deployments!BR123="","",Deployments!BR123)</f>
        <v/>
      </c>
      <c r="V126" s="19">
        <f>IF(Deployments!BX123="","",Deployments!BX123)</f>
        <v/>
      </c>
      <c r="W126" s="19">
        <f>IF(Deployments!BY123="","",Deployments!BY123)</f>
        <v/>
      </c>
      <c r="X126" s="19">
        <f>IF(Deployments!CC123="","",Deployments!CC123)</f>
        <v/>
      </c>
      <c r="Y126" s="19">
        <f>IF(Deployments!BW123="","",Deployments!BW123)</f>
        <v/>
      </c>
      <c r="Z126" s="19">
        <f>IF(Deployments!U123="","",Deployments!U123)</f>
        <v/>
      </c>
      <c r="AA126" s="19">
        <f>IF(Deployments!L123="","",Deployments!L123)</f>
        <v/>
      </c>
    </row>
    <row r="127" ht="108" customHeight="1" s="91">
      <c r="A127" s="20" t="n"/>
      <c r="B127" s="20" t="n"/>
      <c r="C127" s="19">
        <f>IF(Deployments!H124="","",Deployments!H124)</f>
        <v/>
      </c>
      <c r="D127" s="19">
        <f>IF(Deployments!AM124="","",Deployments!AM124)</f>
        <v/>
      </c>
      <c r="E127" s="19">
        <f>IF(Deployments!I124="","",Deployments!I124)</f>
        <v/>
      </c>
      <c r="F127" s="19">
        <f>IF(Deployments!J124="","",Deployments!J124)</f>
        <v/>
      </c>
      <c r="G127" s="19">
        <f>IF(Deployments!K124="","",Deployments!K124)</f>
        <v/>
      </c>
      <c r="H127" s="19">
        <f>IF(Deployments!A124="","",Deployments!A124)</f>
        <v/>
      </c>
      <c r="I127" s="19">
        <f>IF(Deployments!AN124="","",Deployments!AN124)</f>
        <v/>
      </c>
      <c r="J127" s="19">
        <f>IF(Deployments!AO124="","",Deployments!AO124)</f>
        <v/>
      </c>
      <c r="K127" s="19">
        <f>IF(Deployments!AI124="","",Deployments!AI124)</f>
        <v/>
      </c>
      <c r="L127" s="19">
        <f>IF(Deployments!M124="","",Deployments!M124)</f>
        <v/>
      </c>
      <c r="M127" s="20" t="n"/>
      <c r="N127" s="19">
        <f>IF(Deployments!N124="","",Deployments!N124)</f>
        <v/>
      </c>
      <c r="O127" s="19">
        <f>IF(Deployments!O124="","",Deployments!O124)</f>
        <v/>
      </c>
      <c r="P127" s="19">
        <f>IF(Deployments!P124="","",Deployments!P124)</f>
        <v/>
      </c>
      <c r="Q127" s="20" t="n"/>
      <c r="R127" s="19">
        <f>IF(Deployments!BT124="","",Deployments!BT124)</f>
        <v/>
      </c>
      <c r="S127" s="19">
        <f>IF(Deployments!BS124="","",Deployments!BS124)</f>
        <v/>
      </c>
      <c r="T127" s="19">
        <f>IF(Deployments!BB124="","",Deployments!BB124)</f>
        <v/>
      </c>
      <c r="U127" s="19">
        <f>IF(Deployments!BR124="","",Deployments!BR124)</f>
        <v/>
      </c>
      <c r="V127" s="19">
        <f>IF(Deployments!BX124="","",Deployments!BX124)</f>
        <v/>
      </c>
      <c r="W127" s="19">
        <f>IF(Deployments!BY124="","",Deployments!BY124)</f>
        <v/>
      </c>
      <c r="X127" s="19">
        <f>IF(Deployments!CC124="","",Deployments!CC124)</f>
        <v/>
      </c>
      <c r="Y127" s="19">
        <f>IF(Deployments!BW124="","",Deployments!BW124)</f>
        <v/>
      </c>
      <c r="Z127" s="19">
        <f>IF(Deployments!U124="","",Deployments!U124)</f>
        <v/>
      </c>
      <c r="AA127" s="19">
        <f>IF(Deployments!L124="","",Deployments!L124)</f>
        <v/>
      </c>
    </row>
    <row r="128" ht="108" customHeight="1" s="91">
      <c r="A128" s="20" t="n"/>
      <c r="B128" s="20" t="n"/>
      <c r="C128" s="19">
        <f>IF(Deployments!H125="","",Deployments!H125)</f>
        <v/>
      </c>
      <c r="D128" s="19">
        <f>IF(Deployments!AM125="","",Deployments!AM125)</f>
        <v/>
      </c>
      <c r="E128" s="19">
        <f>IF(Deployments!I125="","",Deployments!I125)</f>
        <v/>
      </c>
      <c r="F128" s="19">
        <f>IF(Deployments!J125="","",Deployments!J125)</f>
        <v/>
      </c>
      <c r="G128" s="19">
        <f>IF(Deployments!K125="","",Deployments!K125)</f>
        <v/>
      </c>
      <c r="H128" s="19">
        <f>IF(Deployments!A125="","",Deployments!A125)</f>
        <v/>
      </c>
      <c r="I128" s="19">
        <f>IF(Deployments!AN125="","",Deployments!AN125)</f>
        <v/>
      </c>
      <c r="J128" s="19">
        <f>IF(Deployments!AO125="","",Deployments!AO125)</f>
        <v/>
      </c>
      <c r="K128" s="19">
        <f>IF(Deployments!AI125="","",Deployments!AI125)</f>
        <v/>
      </c>
      <c r="L128" s="19">
        <f>IF(Deployments!M125="","",Deployments!M125)</f>
        <v/>
      </c>
      <c r="M128" s="20" t="n"/>
      <c r="N128" s="19">
        <f>IF(Deployments!N125="","",Deployments!N125)</f>
        <v/>
      </c>
      <c r="O128" s="19">
        <f>IF(Deployments!O125="","",Deployments!O125)</f>
        <v/>
      </c>
      <c r="P128" s="19">
        <f>IF(Deployments!P125="","",Deployments!P125)</f>
        <v/>
      </c>
      <c r="Q128" s="20" t="n"/>
      <c r="R128" s="19">
        <f>IF(Deployments!BT125="","",Deployments!BT125)</f>
        <v/>
      </c>
      <c r="S128" s="19">
        <f>IF(Deployments!BS125="","",Deployments!BS125)</f>
        <v/>
      </c>
      <c r="T128" s="19">
        <f>IF(Deployments!BB125="","",Deployments!BB125)</f>
        <v/>
      </c>
      <c r="U128" s="19">
        <f>IF(Deployments!BR125="","",Deployments!BR125)</f>
        <v/>
      </c>
      <c r="V128" s="19">
        <f>IF(Deployments!BX125="","",Deployments!BX125)</f>
        <v/>
      </c>
      <c r="W128" s="19">
        <f>IF(Deployments!BY125="","",Deployments!BY125)</f>
        <v/>
      </c>
      <c r="X128" s="19">
        <f>IF(Deployments!CC125="","",Deployments!CC125)</f>
        <v/>
      </c>
      <c r="Y128" s="19">
        <f>IF(Deployments!BW125="","",Deployments!BW125)</f>
        <v/>
      </c>
      <c r="Z128" s="19">
        <f>IF(Deployments!U125="","",Deployments!U125)</f>
        <v/>
      </c>
      <c r="AA128" s="19">
        <f>IF(Deployments!L125="","",Deployments!L125)</f>
        <v/>
      </c>
    </row>
    <row r="129" ht="108" customHeight="1" s="91">
      <c r="A129" s="20" t="n"/>
      <c r="B129" s="20" t="n"/>
      <c r="C129" s="19">
        <f>IF(Deployments!H126="","",Deployments!H126)</f>
        <v/>
      </c>
      <c r="D129" s="19">
        <f>IF(Deployments!AM126="","",Deployments!AM126)</f>
        <v/>
      </c>
      <c r="E129" s="19">
        <f>IF(Deployments!I126="","",Deployments!I126)</f>
        <v/>
      </c>
      <c r="F129" s="19">
        <f>IF(Deployments!J126="","",Deployments!J126)</f>
        <v/>
      </c>
      <c r="G129" s="19">
        <f>IF(Deployments!K126="","",Deployments!K126)</f>
        <v/>
      </c>
      <c r="H129" s="19">
        <f>IF(Deployments!A126="","",Deployments!A126)</f>
        <v/>
      </c>
      <c r="I129" s="19">
        <f>IF(Deployments!AN126="","",Deployments!AN126)</f>
        <v/>
      </c>
      <c r="J129" s="19">
        <f>IF(Deployments!AO126="","",Deployments!AO126)</f>
        <v/>
      </c>
      <c r="K129" s="19">
        <f>IF(Deployments!AI126="","",Deployments!AI126)</f>
        <v/>
      </c>
      <c r="L129" s="19">
        <f>IF(Deployments!M126="","",Deployments!M126)</f>
        <v/>
      </c>
      <c r="M129" s="20" t="n"/>
      <c r="N129" s="19">
        <f>IF(Deployments!N126="","",Deployments!N126)</f>
        <v/>
      </c>
      <c r="O129" s="19">
        <f>IF(Deployments!O126="","",Deployments!O126)</f>
        <v/>
      </c>
      <c r="P129" s="19">
        <f>IF(Deployments!P126="","",Deployments!P126)</f>
        <v/>
      </c>
      <c r="Q129" s="20" t="n"/>
      <c r="R129" s="19">
        <f>IF(Deployments!BT126="","",Deployments!BT126)</f>
        <v/>
      </c>
      <c r="S129" s="19">
        <f>IF(Deployments!BS126="","",Deployments!BS126)</f>
        <v/>
      </c>
      <c r="T129" s="19">
        <f>IF(Deployments!BB126="","",Deployments!BB126)</f>
        <v/>
      </c>
      <c r="U129" s="19">
        <f>IF(Deployments!BR126="","",Deployments!BR126)</f>
        <v/>
      </c>
      <c r="V129" s="19">
        <f>IF(Deployments!BX126="","",Deployments!BX126)</f>
        <v/>
      </c>
      <c r="W129" s="19">
        <f>IF(Deployments!BY126="","",Deployments!BY126)</f>
        <v/>
      </c>
      <c r="X129" s="19">
        <f>IF(Deployments!CC126="","",Deployments!CC126)</f>
        <v/>
      </c>
      <c r="Y129" s="19">
        <f>IF(Deployments!BW126="","",Deployments!BW126)</f>
        <v/>
      </c>
      <c r="Z129" s="19">
        <f>IF(Deployments!U126="","",Deployments!U126)</f>
        <v/>
      </c>
      <c r="AA129" s="19">
        <f>IF(Deployments!L126="","",Deployments!L126)</f>
        <v/>
      </c>
    </row>
    <row r="130" ht="108" customHeight="1" s="91">
      <c r="A130" s="20" t="n"/>
      <c r="B130" s="20" t="n"/>
      <c r="C130" s="19">
        <f>IF(Deployments!H127="","",Deployments!H127)</f>
        <v/>
      </c>
      <c r="D130" s="19">
        <f>IF(Deployments!AM127="","",Deployments!AM127)</f>
        <v/>
      </c>
      <c r="E130" s="19">
        <f>IF(Deployments!I127="","",Deployments!I127)</f>
        <v/>
      </c>
      <c r="F130" s="19">
        <f>IF(Deployments!J127="","",Deployments!J127)</f>
        <v/>
      </c>
      <c r="G130" s="19">
        <f>IF(Deployments!K127="","",Deployments!K127)</f>
        <v/>
      </c>
      <c r="H130" s="19">
        <f>IF(Deployments!A127="","",Deployments!A127)</f>
        <v/>
      </c>
      <c r="I130" s="19">
        <f>IF(Deployments!AN127="","",Deployments!AN127)</f>
        <v/>
      </c>
      <c r="J130" s="19">
        <f>IF(Deployments!AO127="","",Deployments!AO127)</f>
        <v/>
      </c>
      <c r="K130" s="19">
        <f>IF(Deployments!AI127="","",Deployments!AI127)</f>
        <v/>
      </c>
      <c r="L130" s="19">
        <f>IF(Deployments!M127="","",Deployments!M127)</f>
        <v/>
      </c>
      <c r="M130" s="20" t="n"/>
      <c r="N130" s="19">
        <f>IF(Deployments!N127="","",Deployments!N127)</f>
        <v/>
      </c>
      <c r="O130" s="19">
        <f>IF(Deployments!O127="","",Deployments!O127)</f>
        <v/>
      </c>
      <c r="P130" s="19">
        <f>IF(Deployments!P127="","",Deployments!P127)</f>
        <v/>
      </c>
      <c r="Q130" s="20" t="n"/>
      <c r="R130" s="19">
        <f>IF(Deployments!BT127="","",Deployments!BT127)</f>
        <v/>
      </c>
      <c r="S130" s="19">
        <f>IF(Deployments!BS127="","",Deployments!BS127)</f>
        <v/>
      </c>
      <c r="T130" s="19">
        <f>IF(Deployments!BB127="","",Deployments!BB127)</f>
        <v/>
      </c>
      <c r="U130" s="19">
        <f>IF(Deployments!BR127="","",Deployments!BR127)</f>
        <v/>
      </c>
      <c r="V130" s="19">
        <f>IF(Deployments!BX127="","",Deployments!BX127)</f>
        <v/>
      </c>
      <c r="W130" s="19">
        <f>IF(Deployments!BY127="","",Deployments!BY127)</f>
        <v/>
      </c>
      <c r="X130" s="19">
        <f>IF(Deployments!CC127="","",Deployments!CC127)</f>
        <v/>
      </c>
      <c r="Y130" s="19">
        <f>IF(Deployments!BW127="","",Deployments!BW127)</f>
        <v/>
      </c>
      <c r="Z130" s="19">
        <f>IF(Deployments!U127="","",Deployments!U127)</f>
        <v/>
      </c>
      <c r="AA130" s="19">
        <f>IF(Deployments!L127="","",Deployments!L127)</f>
        <v/>
      </c>
    </row>
    <row r="131">
      <c r="A131" s="20" t="n"/>
      <c r="B131" s="20" t="n"/>
      <c r="C131" s="19">
        <f>IF(Deployments!#REF!="","",Deployments!#REF!)</f>
        <v/>
      </c>
      <c r="D131" s="19">
        <f>IF(Deployments!#REF!="","",Deployments!#REF!)</f>
        <v/>
      </c>
      <c r="E131" s="19">
        <f>IF(Deployments!#REF!="","",Deployments!#REF!)</f>
        <v/>
      </c>
      <c r="F131" s="19">
        <f>IF(Deployments!#REF!="","",Deployments!#REF!)</f>
        <v/>
      </c>
      <c r="G131" s="19">
        <f>IF(Deployments!#REF!="","",Deployments!#REF!)</f>
        <v/>
      </c>
      <c r="H131" s="19">
        <f>IF(Deployments!#REF!="","",Deployments!#REF!)</f>
        <v/>
      </c>
      <c r="I131" s="19">
        <f>IF(Deployments!#REF!="","",Deployments!#REF!)</f>
        <v/>
      </c>
      <c r="J131" s="19">
        <f>IF(Deployments!#REF!="","",Deployments!#REF!)</f>
        <v/>
      </c>
      <c r="K131" s="19">
        <f>IF(Deployments!#REF!="","",Deployments!#REF!)</f>
        <v/>
      </c>
      <c r="L131" s="19">
        <f>IF(Deployments!#REF!="","",Deployments!#REF!)</f>
        <v/>
      </c>
      <c r="M131" s="20" t="n"/>
      <c r="N131" s="19">
        <f>IF(Deployments!#REF!="","",Deployments!#REF!)</f>
        <v/>
      </c>
      <c r="O131" s="19">
        <f>IF(Deployments!#REF!="","",Deployments!#REF!)</f>
        <v/>
      </c>
      <c r="P131" s="19">
        <f>IF(Deployments!#REF!="","",Deployments!#REF!)</f>
        <v/>
      </c>
      <c r="Q131" s="20" t="n"/>
      <c r="R131" s="19">
        <f>IF(Deployments!#REF!="","",Deployments!#REF!)</f>
        <v/>
      </c>
      <c r="S131" s="19">
        <f>IF(Deployments!#REF!="","",Deployments!#REF!)</f>
        <v/>
      </c>
      <c r="T131" s="19">
        <f>IF(Deployments!#REF!="","",Deployments!#REF!)</f>
        <v/>
      </c>
      <c r="U131" s="19">
        <f>IF(Deployments!#REF!="","",Deployments!#REF!)</f>
        <v/>
      </c>
      <c r="V131" s="19">
        <f>IF(Deployments!#REF!="","",Deployments!#REF!)</f>
        <v/>
      </c>
      <c r="W131" s="19">
        <f>IF(Deployments!#REF!="","",Deployments!#REF!)</f>
        <v/>
      </c>
      <c r="X131" s="19">
        <f>IF(Deployments!#REF!="","",Deployments!#REF!)</f>
        <v/>
      </c>
      <c r="Y131" s="19">
        <f>IF(Deployments!#REF!="","",Deployments!#REF!)</f>
        <v/>
      </c>
      <c r="Z131" s="19">
        <f>IF(Deployments!#REF!="","",Deployments!#REF!)</f>
        <v/>
      </c>
      <c r="AA131" s="19">
        <f>IF(Deployments!#REF!="","",Deployments!#REF!)</f>
        <v/>
      </c>
    </row>
    <row r="132">
      <c r="A132" s="20" t="n"/>
      <c r="B132" s="20" t="n"/>
      <c r="C132" s="19">
        <f>IF(Deployments!#REF!="","",Deployments!#REF!)</f>
        <v/>
      </c>
      <c r="D132" s="19">
        <f>IF(Deployments!#REF!="","",Deployments!#REF!)</f>
        <v/>
      </c>
      <c r="E132" s="19">
        <f>IF(Deployments!#REF!="","",Deployments!#REF!)</f>
        <v/>
      </c>
      <c r="F132" s="19">
        <f>IF(Deployments!#REF!="","",Deployments!#REF!)</f>
        <v/>
      </c>
      <c r="G132" s="19">
        <f>IF(Deployments!#REF!="","",Deployments!#REF!)</f>
        <v/>
      </c>
      <c r="H132" s="19">
        <f>IF(Deployments!#REF!="","",Deployments!#REF!)</f>
        <v/>
      </c>
      <c r="I132" s="19">
        <f>IF(Deployments!#REF!="","",Deployments!#REF!)</f>
        <v/>
      </c>
      <c r="J132" s="19">
        <f>IF(Deployments!#REF!="","",Deployments!#REF!)</f>
        <v/>
      </c>
      <c r="K132" s="19">
        <f>IF(Deployments!#REF!="","",Deployments!#REF!)</f>
        <v/>
      </c>
      <c r="L132" s="19">
        <f>IF(Deployments!#REF!="","",Deployments!#REF!)</f>
        <v/>
      </c>
      <c r="M132" s="20" t="n"/>
      <c r="N132" s="19">
        <f>IF(Deployments!#REF!="","",Deployments!#REF!)</f>
        <v/>
      </c>
      <c r="O132" s="19">
        <f>IF(Deployments!#REF!="","",Deployments!#REF!)</f>
        <v/>
      </c>
      <c r="P132" s="19">
        <f>IF(Deployments!#REF!="","",Deployments!#REF!)</f>
        <v/>
      </c>
      <c r="Q132" s="20" t="n"/>
      <c r="R132" s="19">
        <f>IF(Deployments!#REF!="","",Deployments!#REF!)</f>
        <v/>
      </c>
      <c r="S132" s="19">
        <f>IF(Deployments!#REF!="","",Deployments!#REF!)</f>
        <v/>
      </c>
      <c r="T132" s="19">
        <f>IF(Deployments!#REF!="","",Deployments!#REF!)</f>
        <v/>
      </c>
      <c r="U132" s="19">
        <f>IF(Deployments!#REF!="","",Deployments!#REF!)</f>
        <v/>
      </c>
      <c r="V132" s="19">
        <f>IF(Deployments!#REF!="","",Deployments!#REF!)</f>
        <v/>
      </c>
      <c r="W132" s="19">
        <f>IF(Deployments!#REF!="","",Deployments!#REF!)</f>
        <v/>
      </c>
      <c r="X132" s="19">
        <f>IF(Deployments!#REF!="","",Deployments!#REF!)</f>
        <v/>
      </c>
      <c r="Y132" s="19">
        <f>IF(Deployments!#REF!="","",Deployments!#REF!)</f>
        <v/>
      </c>
      <c r="Z132" s="19">
        <f>IF(Deployments!#REF!="","",Deployments!#REF!)</f>
        <v/>
      </c>
      <c r="AA132" s="19">
        <f>IF(Deployments!#REF!="","",Deployments!#REF!)</f>
        <v/>
      </c>
    </row>
    <row r="133">
      <c r="A133" s="20" t="n"/>
      <c r="B133" s="20" t="n"/>
      <c r="C133" s="19">
        <f>IF(Deployments!#REF!="","",Deployments!#REF!)</f>
        <v/>
      </c>
      <c r="D133" s="19">
        <f>IF(Deployments!#REF!="","",Deployments!#REF!)</f>
        <v/>
      </c>
      <c r="E133" s="19">
        <f>IF(Deployments!#REF!="","",Deployments!#REF!)</f>
        <v/>
      </c>
      <c r="F133" s="19">
        <f>IF(Deployments!#REF!="","",Deployments!#REF!)</f>
        <v/>
      </c>
      <c r="G133" s="19">
        <f>IF(Deployments!#REF!="","",Deployments!#REF!)</f>
        <v/>
      </c>
      <c r="H133" s="19">
        <f>IF(Deployments!#REF!="","",Deployments!#REF!)</f>
        <v/>
      </c>
      <c r="I133" s="19">
        <f>IF(Deployments!#REF!="","",Deployments!#REF!)</f>
        <v/>
      </c>
      <c r="J133" s="19">
        <f>IF(Deployments!#REF!="","",Deployments!#REF!)</f>
        <v/>
      </c>
      <c r="K133" s="19">
        <f>IF(Deployments!#REF!="","",Deployments!#REF!)</f>
        <v/>
      </c>
      <c r="L133" s="19">
        <f>IF(Deployments!#REF!="","",Deployments!#REF!)</f>
        <v/>
      </c>
      <c r="M133" s="20" t="n"/>
      <c r="N133" s="19">
        <f>IF(Deployments!#REF!="","",Deployments!#REF!)</f>
        <v/>
      </c>
      <c r="O133" s="19">
        <f>IF(Deployments!#REF!="","",Deployments!#REF!)</f>
        <v/>
      </c>
      <c r="P133" s="19">
        <f>IF(Deployments!#REF!="","",Deployments!#REF!)</f>
        <v/>
      </c>
      <c r="Q133" s="20" t="n"/>
      <c r="R133" s="19">
        <f>IF(Deployments!#REF!="","",Deployments!#REF!)</f>
        <v/>
      </c>
      <c r="S133" s="19">
        <f>IF(Deployments!#REF!="","",Deployments!#REF!)</f>
        <v/>
      </c>
      <c r="T133" s="19">
        <f>IF(Deployments!#REF!="","",Deployments!#REF!)</f>
        <v/>
      </c>
      <c r="U133" s="19">
        <f>IF(Deployments!#REF!="","",Deployments!#REF!)</f>
        <v/>
      </c>
      <c r="V133" s="19">
        <f>IF(Deployments!#REF!="","",Deployments!#REF!)</f>
        <v/>
      </c>
      <c r="W133" s="19">
        <f>IF(Deployments!#REF!="","",Deployments!#REF!)</f>
        <v/>
      </c>
      <c r="X133" s="19">
        <f>IF(Deployments!#REF!="","",Deployments!#REF!)</f>
        <v/>
      </c>
      <c r="Y133" s="19">
        <f>IF(Deployments!#REF!="","",Deployments!#REF!)</f>
        <v/>
      </c>
      <c r="Z133" s="19">
        <f>IF(Deployments!#REF!="","",Deployments!#REF!)</f>
        <v/>
      </c>
      <c r="AA133" s="19">
        <f>IF(Deployments!#REF!="","",Deployments!#REF!)</f>
        <v/>
      </c>
    </row>
    <row r="134">
      <c r="A134" s="20" t="n"/>
      <c r="B134" s="20" t="n"/>
      <c r="C134" s="19">
        <f>IF(Deployments!#REF!="","",Deployments!#REF!)</f>
        <v/>
      </c>
      <c r="D134" s="19">
        <f>IF(Deployments!#REF!="","",Deployments!#REF!)</f>
        <v/>
      </c>
      <c r="E134" s="19">
        <f>IF(Deployments!#REF!="","",Deployments!#REF!)</f>
        <v/>
      </c>
      <c r="F134" s="19">
        <f>IF(Deployments!#REF!="","",Deployments!#REF!)</f>
        <v/>
      </c>
      <c r="G134" s="19">
        <f>IF(Deployments!#REF!="","",Deployments!#REF!)</f>
        <v/>
      </c>
      <c r="H134" s="19">
        <f>IF(Deployments!#REF!="","",Deployments!#REF!)</f>
        <v/>
      </c>
      <c r="I134" s="19">
        <f>IF(Deployments!#REF!="","",Deployments!#REF!)</f>
        <v/>
      </c>
      <c r="J134" s="19">
        <f>IF(Deployments!#REF!="","",Deployments!#REF!)</f>
        <v/>
      </c>
      <c r="K134" s="19">
        <f>IF(Deployments!#REF!="","",Deployments!#REF!)</f>
        <v/>
      </c>
      <c r="L134" s="19">
        <f>IF(Deployments!#REF!="","",Deployments!#REF!)</f>
        <v/>
      </c>
      <c r="M134" s="20" t="n"/>
      <c r="N134" s="19">
        <f>IF(Deployments!#REF!="","",Deployments!#REF!)</f>
        <v/>
      </c>
      <c r="O134" s="19">
        <f>IF(Deployments!#REF!="","",Deployments!#REF!)</f>
        <v/>
      </c>
      <c r="P134" s="19">
        <f>IF(Deployments!#REF!="","",Deployments!#REF!)</f>
        <v/>
      </c>
      <c r="Q134" s="20" t="n"/>
      <c r="R134" s="19">
        <f>IF(Deployments!#REF!="","",Deployments!#REF!)</f>
        <v/>
      </c>
      <c r="S134" s="19">
        <f>IF(Deployments!#REF!="","",Deployments!#REF!)</f>
        <v/>
      </c>
      <c r="T134" s="19">
        <f>IF(Deployments!#REF!="","",Deployments!#REF!)</f>
        <v/>
      </c>
      <c r="U134" s="19">
        <f>IF(Deployments!#REF!="","",Deployments!#REF!)</f>
        <v/>
      </c>
      <c r="V134" s="19">
        <f>IF(Deployments!#REF!="","",Deployments!#REF!)</f>
        <v/>
      </c>
      <c r="W134" s="19">
        <f>IF(Deployments!#REF!="","",Deployments!#REF!)</f>
        <v/>
      </c>
      <c r="X134" s="19">
        <f>IF(Deployments!#REF!="","",Deployments!#REF!)</f>
        <v/>
      </c>
      <c r="Y134" s="19">
        <f>IF(Deployments!#REF!="","",Deployments!#REF!)</f>
        <v/>
      </c>
      <c r="Z134" s="19">
        <f>IF(Deployments!#REF!="","",Deployments!#REF!)</f>
        <v/>
      </c>
      <c r="AA134" s="19">
        <f>IF(Deployments!#REF!="","",Deployments!#REF!)</f>
        <v/>
      </c>
    </row>
    <row r="135">
      <c r="A135" s="20" t="n"/>
      <c r="B135" s="20" t="n"/>
      <c r="C135" s="19">
        <f>IF(Deployments!#REF!="","",Deployments!#REF!)</f>
        <v/>
      </c>
      <c r="D135" s="19">
        <f>IF(Deployments!#REF!="","",Deployments!#REF!)</f>
        <v/>
      </c>
      <c r="E135" s="19">
        <f>IF(Deployments!#REF!="","",Deployments!#REF!)</f>
        <v/>
      </c>
      <c r="F135" s="19">
        <f>IF(Deployments!#REF!="","",Deployments!#REF!)</f>
        <v/>
      </c>
      <c r="G135" s="19">
        <f>IF(Deployments!#REF!="","",Deployments!#REF!)</f>
        <v/>
      </c>
      <c r="H135" s="19">
        <f>IF(Deployments!#REF!="","",Deployments!#REF!)</f>
        <v/>
      </c>
      <c r="I135" s="19">
        <f>IF(Deployments!#REF!="","",Deployments!#REF!)</f>
        <v/>
      </c>
      <c r="J135" s="19">
        <f>IF(Deployments!#REF!="","",Deployments!#REF!)</f>
        <v/>
      </c>
      <c r="K135" s="19">
        <f>IF(Deployments!#REF!="","",Deployments!#REF!)</f>
        <v/>
      </c>
      <c r="L135" s="19">
        <f>IF(Deployments!#REF!="","",Deployments!#REF!)</f>
        <v/>
      </c>
      <c r="M135" s="20" t="n"/>
      <c r="N135" s="19">
        <f>IF(Deployments!#REF!="","",Deployments!#REF!)</f>
        <v/>
      </c>
      <c r="O135" s="19">
        <f>IF(Deployments!#REF!="","",Deployments!#REF!)</f>
        <v/>
      </c>
      <c r="P135" s="19">
        <f>IF(Deployments!#REF!="","",Deployments!#REF!)</f>
        <v/>
      </c>
      <c r="Q135" s="20" t="n"/>
      <c r="R135" s="19">
        <f>IF(Deployments!#REF!="","",Deployments!#REF!)</f>
        <v/>
      </c>
      <c r="S135" s="19">
        <f>IF(Deployments!#REF!="","",Deployments!#REF!)</f>
        <v/>
      </c>
      <c r="T135" s="19">
        <f>IF(Deployments!#REF!="","",Deployments!#REF!)</f>
        <v/>
      </c>
      <c r="U135" s="19">
        <f>IF(Deployments!#REF!="","",Deployments!#REF!)</f>
        <v/>
      </c>
      <c r="V135" s="19">
        <f>IF(Deployments!#REF!="","",Deployments!#REF!)</f>
        <v/>
      </c>
      <c r="W135" s="19">
        <f>IF(Deployments!#REF!="","",Deployments!#REF!)</f>
        <v/>
      </c>
      <c r="X135" s="19">
        <f>IF(Deployments!#REF!="","",Deployments!#REF!)</f>
        <v/>
      </c>
      <c r="Y135" s="19">
        <f>IF(Deployments!#REF!="","",Deployments!#REF!)</f>
        <v/>
      </c>
      <c r="Z135" s="19">
        <f>IF(Deployments!#REF!="","",Deployments!#REF!)</f>
        <v/>
      </c>
      <c r="AA135" s="19">
        <f>IF(Deployments!#REF!="","",Deployments!#REF!)</f>
        <v/>
      </c>
    </row>
    <row r="136">
      <c r="A136" s="20" t="n"/>
      <c r="B136" s="20" t="n"/>
      <c r="C136" s="19">
        <f>IF(Deployments!#REF!="","",Deployments!#REF!)</f>
        <v/>
      </c>
      <c r="D136" s="19">
        <f>IF(Deployments!#REF!="","",Deployments!#REF!)</f>
        <v/>
      </c>
      <c r="E136" s="19">
        <f>IF(Deployments!#REF!="","",Deployments!#REF!)</f>
        <v/>
      </c>
      <c r="F136" s="19">
        <f>IF(Deployments!#REF!="","",Deployments!#REF!)</f>
        <v/>
      </c>
      <c r="G136" s="19">
        <f>IF(Deployments!#REF!="","",Deployments!#REF!)</f>
        <v/>
      </c>
      <c r="H136" s="19">
        <f>IF(Deployments!#REF!="","",Deployments!#REF!)</f>
        <v/>
      </c>
      <c r="I136" s="19">
        <f>IF(Deployments!#REF!="","",Deployments!#REF!)</f>
        <v/>
      </c>
      <c r="J136" s="19">
        <f>IF(Deployments!#REF!="","",Deployments!#REF!)</f>
        <v/>
      </c>
      <c r="K136" s="19">
        <f>IF(Deployments!#REF!="","",Deployments!#REF!)</f>
        <v/>
      </c>
      <c r="L136" s="19">
        <f>IF(Deployments!#REF!="","",Deployments!#REF!)</f>
        <v/>
      </c>
      <c r="M136" s="20" t="n"/>
      <c r="N136" s="19">
        <f>IF(Deployments!#REF!="","",Deployments!#REF!)</f>
        <v/>
      </c>
      <c r="O136" s="19">
        <f>IF(Deployments!#REF!="","",Deployments!#REF!)</f>
        <v/>
      </c>
      <c r="P136" s="19">
        <f>IF(Deployments!#REF!="","",Deployments!#REF!)</f>
        <v/>
      </c>
      <c r="Q136" s="20" t="n"/>
      <c r="R136" s="19">
        <f>IF(Deployments!#REF!="","",Deployments!#REF!)</f>
        <v/>
      </c>
      <c r="S136" s="19">
        <f>IF(Deployments!#REF!="","",Deployments!#REF!)</f>
        <v/>
      </c>
      <c r="T136" s="19">
        <f>IF(Deployments!#REF!="","",Deployments!#REF!)</f>
        <v/>
      </c>
      <c r="U136" s="19">
        <f>IF(Deployments!#REF!="","",Deployments!#REF!)</f>
        <v/>
      </c>
      <c r="V136" s="19">
        <f>IF(Deployments!#REF!="","",Deployments!#REF!)</f>
        <v/>
      </c>
      <c r="W136" s="19">
        <f>IF(Deployments!#REF!="","",Deployments!#REF!)</f>
        <v/>
      </c>
      <c r="X136" s="19">
        <f>IF(Deployments!#REF!="","",Deployments!#REF!)</f>
        <v/>
      </c>
      <c r="Y136" s="19">
        <f>IF(Deployments!#REF!="","",Deployments!#REF!)</f>
        <v/>
      </c>
      <c r="Z136" s="19">
        <f>IF(Deployments!#REF!="","",Deployments!#REF!)</f>
        <v/>
      </c>
      <c r="AA136" s="19">
        <f>IF(Deployments!#REF!="","",Deployments!#REF!)</f>
        <v/>
      </c>
    </row>
    <row r="137" ht="108" customHeight="1" s="91">
      <c r="A137" s="20" t="n"/>
      <c r="B137" s="20" t="n"/>
      <c r="C137" s="19">
        <f>IF(Deployments!H128="","",Deployments!H128)</f>
        <v/>
      </c>
      <c r="D137" s="19">
        <f>IF(Deployments!AM128="","",Deployments!AM128)</f>
        <v/>
      </c>
      <c r="E137" s="19">
        <f>IF(Deployments!I128="","",Deployments!I128)</f>
        <v/>
      </c>
      <c r="F137" s="19">
        <f>IF(Deployments!J128="","",Deployments!J128)</f>
        <v/>
      </c>
      <c r="G137" s="19">
        <f>IF(Deployments!K128="","",Deployments!K128)</f>
        <v/>
      </c>
      <c r="H137" s="19">
        <f>IF(Deployments!A128="","",Deployments!A128)</f>
        <v/>
      </c>
      <c r="I137" s="19">
        <f>IF(Deployments!AN128="","",Deployments!AN128)</f>
        <v/>
      </c>
      <c r="J137" s="19">
        <f>IF(Deployments!AO128="","",Deployments!AO128)</f>
        <v/>
      </c>
      <c r="K137" s="19">
        <f>IF(Deployments!AI128="","",Deployments!AI128)</f>
        <v/>
      </c>
      <c r="L137" s="19">
        <f>IF(Deployments!M128="","",Deployments!M128)</f>
        <v/>
      </c>
      <c r="M137" s="20" t="n"/>
      <c r="N137" s="19">
        <f>IF(Deployments!N128="","",Deployments!N128)</f>
        <v/>
      </c>
      <c r="O137" s="19">
        <f>IF(Deployments!O128="","",Deployments!O128)</f>
        <v/>
      </c>
      <c r="P137" s="19">
        <f>IF(Deployments!P128="","",Deployments!P128)</f>
        <v/>
      </c>
      <c r="Q137" s="20" t="n"/>
      <c r="R137" s="19">
        <f>IF(Deployments!BT128="","",Deployments!BT128)</f>
        <v/>
      </c>
      <c r="S137" s="19">
        <f>IF(Deployments!BS128="","",Deployments!BS128)</f>
        <v/>
      </c>
      <c r="T137" s="19">
        <f>IF(Deployments!BB128="","",Deployments!BB128)</f>
        <v/>
      </c>
      <c r="U137" s="19">
        <f>IF(Deployments!BR128="","",Deployments!BR128)</f>
        <v/>
      </c>
      <c r="V137" s="19">
        <f>IF(Deployments!BX128="","",Deployments!BX128)</f>
        <v/>
      </c>
      <c r="W137" s="19">
        <f>IF(Deployments!BY128="","",Deployments!BY128)</f>
        <v/>
      </c>
      <c r="X137" s="19">
        <f>IF(Deployments!CC128="","",Deployments!CC128)</f>
        <v/>
      </c>
      <c r="Y137" s="19">
        <f>IF(Deployments!BW128="","",Deployments!BW128)</f>
        <v/>
      </c>
      <c r="Z137" s="19">
        <f>IF(Deployments!U128="","",Deployments!U128)</f>
        <v/>
      </c>
      <c r="AA137" s="19">
        <f>IF(Deployments!L128="","",Deployments!L128)</f>
        <v/>
      </c>
    </row>
    <row r="138" ht="45" customHeight="1" s="91">
      <c r="A138" s="20" t="n"/>
      <c r="B138" s="20" t="n"/>
      <c r="C138" s="19">
        <f>IF(Deployments!H130="","",Deployments!H130)</f>
        <v/>
      </c>
      <c r="D138" s="19">
        <f>IF(Deployments!AM130="","",Deployments!AM130)</f>
        <v/>
      </c>
      <c r="E138" s="19">
        <f>IF(Deployments!I130="","",Deployments!I130)</f>
        <v/>
      </c>
      <c r="F138" s="19">
        <f>IF(Deployments!J130="","",Deployments!J130)</f>
        <v/>
      </c>
      <c r="G138" s="19">
        <f>IF(Deployments!K130="","",Deployments!K130)</f>
        <v/>
      </c>
      <c r="H138" s="19">
        <f>IF(Deployments!A130="","",Deployments!A130)</f>
        <v/>
      </c>
      <c r="I138" s="19">
        <f>IF(Deployments!AN130="","",Deployments!AN130)</f>
        <v/>
      </c>
      <c r="J138" s="19">
        <f>IF(Deployments!AO130="","",Deployments!AO130)</f>
        <v/>
      </c>
      <c r="K138" s="19">
        <f>IF(Deployments!AI130="","",Deployments!AI130)</f>
        <v/>
      </c>
      <c r="L138" s="19">
        <f>IF(Deployments!M130="","",Deployments!M130)</f>
        <v/>
      </c>
      <c r="M138" s="20" t="n"/>
      <c r="N138" s="19">
        <f>IF(Deployments!N130="","",Deployments!N130)</f>
        <v/>
      </c>
      <c r="O138" s="19">
        <f>IF(Deployments!O130="","",Deployments!O130)</f>
        <v/>
      </c>
      <c r="P138" s="19">
        <f>IF(Deployments!P130="","",Deployments!P130)</f>
        <v/>
      </c>
      <c r="Q138" s="20" t="n"/>
      <c r="R138" s="19">
        <f>IF(Deployments!BT130="","",Deployments!BT130)</f>
        <v/>
      </c>
      <c r="S138" s="19">
        <f>IF(Deployments!BS130="","",Deployments!BS130)</f>
        <v/>
      </c>
      <c r="T138" s="19">
        <f>IF(Deployments!BB130="","",Deployments!BB130)</f>
        <v/>
      </c>
      <c r="U138" s="19">
        <f>IF(Deployments!BR130="","",Deployments!BR130)</f>
        <v/>
      </c>
      <c r="V138" s="19">
        <f>IF(Deployments!BX130="","",Deployments!BX130)</f>
        <v/>
      </c>
      <c r="W138" s="19">
        <f>IF(Deployments!BY130="","",Deployments!BY130)</f>
        <v/>
      </c>
      <c r="X138" s="19">
        <f>IF(Deployments!CC130="","",Deployments!CC130)</f>
        <v/>
      </c>
      <c r="Y138" s="19">
        <f>IF(Deployments!BW130="","",Deployments!BW130)</f>
        <v/>
      </c>
      <c r="Z138" s="19">
        <f>IF(Deployments!U130="","",Deployments!U130)</f>
        <v/>
      </c>
      <c r="AA138" s="19">
        <f>IF(Deployments!L130="","",Deployments!L130)</f>
        <v/>
      </c>
    </row>
    <row r="139" ht="45" customHeight="1" s="91">
      <c r="A139" s="20" t="n"/>
      <c r="B139" s="20" t="n"/>
      <c r="C139" s="19">
        <f>IF(Deployments!H131="","",Deployments!H131)</f>
        <v/>
      </c>
      <c r="D139" s="19">
        <f>IF(Deployments!AM131="","",Deployments!AM131)</f>
        <v/>
      </c>
      <c r="E139" s="19">
        <f>IF(Deployments!I131="","",Deployments!I131)</f>
        <v/>
      </c>
      <c r="F139" s="19">
        <f>IF(Deployments!J131="","",Deployments!J131)</f>
        <v/>
      </c>
      <c r="G139" s="19">
        <f>IF(Deployments!K131="","",Deployments!K131)</f>
        <v/>
      </c>
      <c r="H139" s="19">
        <f>IF(Deployments!A131="","",Deployments!A131)</f>
        <v/>
      </c>
      <c r="I139" s="19">
        <f>IF(Deployments!AN131="","",Deployments!AN131)</f>
        <v/>
      </c>
      <c r="J139" s="19">
        <f>IF(Deployments!AO131="","",Deployments!AO131)</f>
        <v/>
      </c>
      <c r="K139" s="19">
        <f>IF(Deployments!AI131="","",Deployments!AI131)</f>
        <v/>
      </c>
      <c r="L139" s="19">
        <f>IF(Deployments!M131="","",Deployments!M131)</f>
        <v/>
      </c>
      <c r="M139" s="20" t="n"/>
      <c r="N139" s="19">
        <f>IF(Deployments!N131="","",Deployments!N131)</f>
        <v/>
      </c>
      <c r="O139" s="19">
        <f>IF(Deployments!O131="","",Deployments!O131)</f>
        <v/>
      </c>
      <c r="P139" s="19">
        <f>IF(Deployments!P131="","",Deployments!P131)</f>
        <v/>
      </c>
      <c r="Q139" s="20" t="n"/>
      <c r="R139" s="19">
        <f>IF(Deployments!BT131="","",Deployments!BT131)</f>
        <v/>
      </c>
      <c r="S139" s="19">
        <f>IF(Deployments!BS131="","",Deployments!BS131)</f>
        <v/>
      </c>
      <c r="T139" s="19">
        <f>IF(Deployments!BB131="","",Deployments!BB131)</f>
        <v/>
      </c>
      <c r="U139" s="19">
        <f>IF(Deployments!BR131="","",Deployments!BR131)</f>
        <v/>
      </c>
      <c r="V139" s="19">
        <f>IF(Deployments!BX131="","",Deployments!BX131)</f>
        <v/>
      </c>
      <c r="W139" s="19">
        <f>IF(Deployments!BY131="","",Deployments!BY131)</f>
        <v/>
      </c>
      <c r="X139" s="19">
        <f>IF(Deployments!CC131="","",Deployments!CC131)</f>
        <v/>
      </c>
      <c r="Y139" s="19">
        <f>IF(Deployments!BW131="","",Deployments!BW131)</f>
        <v/>
      </c>
      <c r="Z139" s="19">
        <f>IF(Deployments!U131="","",Deployments!U131)</f>
        <v/>
      </c>
      <c r="AA139" s="19">
        <f>IF(Deployments!L131="","",Deployments!L131)</f>
        <v/>
      </c>
    </row>
    <row r="140" ht="45" customHeight="1" s="91">
      <c r="A140" s="20" t="n"/>
      <c r="B140" s="20" t="n"/>
      <c r="C140" s="19">
        <f>IF(Deployments!H132="","",Deployments!H132)</f>
        <v/>
      </c>
      <c r="D140" s="19">
        <f>IF(Deployments!AM132="","",Deployments!AM132)</f>
        <v/>
      </c>
      <c r="E140" s="19">
        <f>IF(Deployments!I132="","",Deployments!I132)</f>
        <v/>
      </c>
      <c r="F140" s="19">
        <f>IF(Deployments!J132="","",Deployments!J132)</f>
        <v/>
      </c>
      <c r="G140" s="19">
        <f>IF(Deployments!K132="","",Deployments!K132)</f>
        <v/>
      </c>
      <c r="H140" s="19">
        <f>IF(Deployments!A132="","",Deployments!A132)</f>
        <v/>
      </c>
      <c r="I140" s="19">
        <f>IF(Deployments!AN132="","",Deployments!AN132)</f>
        <v/>
      </c>
      <c r="J140" s="19">
        <f>IF(Deployments!AO132="","",Deployments!AO132)</f>
        <v/>
      </c>
      <c r="K140" s="19">
        <f>IF(Deployments!AI132="","",Deployments!AI132)</f>
        <v/>
      </c>
      <c r="L140" s="19">
        <f>IF(Deployments!M132="","",Deployments!M132)</f>
        <v/>
      </c>
      <c r="M140" s="20" t="n"/>
      <c r="N140" s="19">
        <f>IF(Deployments!N132="","",Deployments!N132)</f>
        <v/>
      </c>
      <c r="O140" s="19">
        <f>IF(Deployments!O132="","",Deployments!O132)</f>
        <v/>
      </c>
      <c r="P140" s="19">
        <f>IF(Deployments!P132="","",Deployments!P132)</f>
        <v/>
      </c>
      <c r="Q140" s="20" t="n"/>
      <c r="R140" s="19">
        <f>IF(Deployments!BT132="","",Deployments!BT132)</f>
        <v/>
      </c>
      <c r="S140" s="19">
        <f>IF(Deployments!BS132="","",Deployments!BS132)</f>
        <v/>
      </c>
      <c r="T140" s="19">
        <f>IF(Deployments!BB132="","",Deployments!BB132)</f>
        <v/>
      </c>
      <c r="U140" s="19">
        <f>IF(Deployments!BR132="","",Deployments!BR132)</f>
        <v/>
      </c>
      <c r="V140" s="19">
        <f>IF(Deployments!BX132="","",Deployments!BX132)</f>
        <v/>
      </c>
      <c r="W140" s="19">
        <f>IF(Deployments!BY132="","",Deployments!BY132)</f>
        <v/>
      </c>
      <c r="X140" s="19">
        <f>IF(Deployments!CC132="","",Deployments!CC132)</f>
        <v/>
      </c>
      <c r="Y140" s="19">
        <f>IF(Deployments!BW132="","",Deployments!BW132)</f>
        <v/>
      </c>
      <c r="Z140" s="19">
        <f>IF(Deployments!U132="","",Deployments!U132)</f>
        <v/>
      </c>
      <c r="AA140" s="19">
        <f>IF(Deployments!L132="","",Deployments!L132)</f>
        <v/>
      </c>
    </row>
    <row r="141" ht="75" customHeight="1" s="91">
      <c r="A141" s="20" t="n"/>
      <c r="B141" s="20" t="n"/>
      <c r="C141" s="19">
        <f>IF(Deployments!H133="","",Deployments!H133)</f>
        <v/>
      </c>
      <c r="D141" s="19">
        <f>IF(Deployments!AM133="","",Deployments!AM133)</f>
        <v/>
      </c>
      <c r="E141" s="19">
        <f>IF(Deployments!I133="","",Deployments!I133)</f>
        <v/>
      </c>
      <c r="F141" s="19">
        <f>IF(Deployments!J133="","",Deployments!J133)</f>
        <v/>
      </c>
      <c r="G141" s="19">
        <f>IF(Deployments!K133="","",Deployments!K133)</f>
        <v/>
      </c>
      <c r="H141" s="19">
        <f>IF(Deployments!A133="","",Deployments!A133)</f>
        <v/>
      </c>
      <c r="I141" s="19">
        <f>IF(Deployments!AN133="","",Deployments!AN133)</f>
        <v/>
      </c>
      <c r="J141" s="19">
        <f>IF(Deployments!AO133="","",Deployments!AO133)</f>
        <v/>
      </c>
      <c r="K141" s="19">
        <f>IF(Deployments!AI133="","",Deployments!AI133)</f>
        <v/>
      </c>
      <c r="L141" s="19">
        <f>IF(Deployments!M133="","",Deployments!M133)</f>
        <v/>
      </c>
      <c r="M141" s="20" t="n"/>
      <c r="N141" s="19">
        <f>IF(Deployments!N133="","",Deployments!N133)</f>
        <v/>
      </c>
      <c r="O141" s="19">
        <f>IF(Deployments!O133="","",Deployments!O133)</f>
        <v/>
      </c>
      <c r="P141" s="19">
        <f>IF(Deployments!P133="","",Deployments!P133)</f>
        <v/>
      </c>
      <c r="Q141" s="20" t="n"/>
      <c r="R141" s="19">
        <f>IF(Deployments!BT133="","",Deployments!BT133)</f>
        <v/>
      </c>
      <c r="S141" s="19">
        <f>IF(Deployments!BS133="","",Deployments!BS133)</f>
        <v/>
      </c>
      <c r="T141" s="19">
        <f>IF(Deployments!BB133="","",Deployments!BB133)</f>
        <v/>
      </c>
      <c r="U141" s="19">
        <f>IF(Deployments!BR133="","",Deployments!BR133)</f>
        <v/>
      </c>
      <c r="V141" s="19">
        <f>IF(Deployments!BX133="","",Deployments!BX133)</f>
        <v/>
      </c>
      <c r="W141" s="19">
        <f>IF(Deployments!BY133="","",Deployments!BY133)</f>
        <v/>
      </c>
      <c r="X141" s="19">
        <f>IF(Deployments!CC133="","",Deployments!CC133)</f>
        <v/>
      </c>
      <c r="Y141" s="19">
        <f>IF(Deployments!BW133="","",Deployments!BW133)</f>
        <v/>
      </c>
      <c r="Z141" s="19">
        <f>IF(Deployments!U133="","",Deployments!U133)</f>
        <v/>
      </c>
      <c r="AA141" s="19">
        <f>IF(Deployments!L133="","",Deployments!L133)</f>
        <v/>
      </c>
    </row>
    <row r="142" ht="45" customHeight="1" s="91">
      <c r="A142" s="20" t="n"/>
      <c r="B142" s="20" t="n"/>
      <c r="C142" s="19">
        <f>IF(Deployments!H134="","",Deployments!H134)</f>
        <v/>
      </c>
      <c r="D142" s="19">
        <f>IF(Deployments!AM134="","",Deployments!AM134)</f>
        <v/>
      </c>
      <c r="E142" s="19">
        <f>IF(Deployments!I134="","",Deployments!I134)</f>
        <v/>
      </c>
      <c r="F142" s="19">
        <f>IF(Deployments!J134="","",Deployments!J134)</f>
        <v/>
      </c>
      <c r="G142" s="19">
        <f>IF(Deployments!K134="","",Deployments!K134)</f>
        <v/>
      </c>
      <c r="H142" s="19">
        <f>IF(Deployments!A134="","",Deployments!A134)</f>
        <v/>
      </c>
      <c r="I142" s="19">
        <f>IF(Deployments!AN134="","",Deployments!AN134)</f>
        <v/>
      </c>
      <c r="J142" s="19">
        <f>IF(Deployments!AO134="","",Deployments!AO134)</f>
        <v/>
      </c>
      <c r="K142" s="19">
        <f>IF(Deployments!AI134="","",Deployments!AI134)</f>
        <v/>
      </c>
      <c r="L142" s="19">
        <f>IF(Deployments!M134="","",Deployments!M134)</f>
        <v/>
      </c>
      <c r="M142" s="20" t="n"/>
      <c r="N142" s="19">
        <f>IF(Deployments!N134="","",Deployments!N134)</f>
        <v/>
      </c>
      <c r="O142" s="19">
        <f>IF(Deployments!O134="","",Deployments!O134)</f>
        <v/>
      </c>
      <c r="P142" s="19">
        <f>IF(Deployments!P134="","",Deployments!P134)</f>
        <v/>
      </c>
      <c r="Q142" s="20" t="n"/>
      <c r="R142" s="19">
        <f>IF(Deployments!BT134="","",Deployments!BT134)</f>
        <v/>
      </c>
      <c r="S142" s="19">
        <f>IF(Deployments!BS134="","",Deployments!BS134)</f>
        <v/>
      </c>
      <c r="T142" s="19">
        <f>IF(Deployments!BB134="","",Deployments!BB134)</f>
        <v/>
      </c>
      <c r="U142" s="19">
        <f>IF(Deployments!BR134="","",Deployments!BR134)</f>
        <v/>
      </c>
      <c r="V142" s="19">
        <f>IF(Deployments!BX134="","",Deployments!BX134)</f>
        <v/>
      </c>
      <c r="W142" s="19">
        <f>IF(Deployments!BY134="","",Deployments!BY134)</f>
        <v/>
      </c>
      <c r="X142" s="19">
        <f>IF(Deployments!CC134="","",Deployments!CC134)</f>
        <v/>
      </c>
      <c r="Y142" s="19">
        <f>IF(Deployments!BW134="","",Deployments!BW134)</f>
        <v/>
      </c>
      <c r="Z142" s="19">
        <f>IF(Deployments!U134="","",Deployments!U134)</f>
        <v/>
      </c>
      <c r="AA142" s="19">
        <f>IF(Deployments!L134="","",Deployments!L134)</f>
        <v/>
      </c>
    </row>
    <row r="143" ht="45" customHeight="1" s="91">
      <c r="A143" s="20" t="n"/>
      <c r="B143" s="20" t="n"/>
      <c r="C143" s="19">
        <f>IF(Deployments!H135="","",Deployments!H135)</f>
        <v/>
      </c>
      <c r="D143" s="19">
        <f>IF(Deployments!AM135="","",Deployments!AM135)</f>
        <v/>
      </c>
      <c r="E143" s="19">
        <f>IF(Deployments!I135="","",Deployments!I135)</f>
        <v/>
      </c>
      <c r="F143" s="19">
        <f>IF(Deployments!J135="","",Deployments!J135)</f>
        <v/>
      </c>
      <c r="G143" s="19">
        <f>IF(Deployments!K135="","",Deployments!K135)</f>
        <v/>
      </c>
      <c r="H143" s="19">
        <f>IF(Deployments!A135="","",Deployments!A135)</f>
        <v/>
      </c>
      <c r="I143" s="19">
        <f>IF(Deployments!AN135="","",Deployments!AN135)</f>
        <v/>
      </c>
      <c r="J143" s="19">
        <f>IF(Deployments!AO135="","",Deployments!AO135)</f>
        <v/>
      </c>
      <c r="K143" s="19">
        <f>IF(Deployments!AI135="","",Deployments!AI135)</f>
        <v/>
      </c>
      <c r="L143" s="19">
        <f>IF(Deployments!M135="","",Deployments!M135)</f>
        <v/>
      </c>
      <c r="M143" s="20" t="n"/>
      <c r="N143" s="19">
        <f>IF(Deployments!N135="","",Deployments!N135)</f>
        <v/>
      </c>
      <c r="O143" s="19">
        <f>IF(Deployments!O135="","",Deployments!O135)</f>
        <v/>
      </c>
      <c r="P143" s="19">
        <f>IF(Deployments!P135="","",Deployments!P135)</f>
        <v/>
      </c>
      <c r="Q143" s="20" t="n"/>
      <c r="R143" s="19">
        <f>IF(Deployments!BT135="","",Deployments!BT135)</f>
        <v/>
      </c>
      <c r="S143" s="19">
        <f>IF(Deployments!BS135="","",Deployments!BS135)</f>
        <v/>
      </c>
      <c r="T143" s="19">
        <f>IF(Deployments!BB135="","",Deployments!BB135)</f>
        <v/>
      </c>
      <c r="U143" s="19">
        <f>IF(Deployments!BR135="","",Deployments!BR135)</f>
        <v/>
      </c>
      <c r="V143" s="19">
        <f>IF(Deployments!BX135="","",Deployments!BX135)</f>
        <v/>
      </c>
      <c r="W143" s="19">
        <f>IF(Deployments!BY135="","",Deployments!BY135)</f>
        <v/>
      </c>
      <c r="X143" s="19">
        <f>IF(Deployments!CC135="","",Deployments!CC135)</f>
        <v/>
      </c>
      <c r="Y143" s="19">
        <f>IF(Deployments!BW135="","",Deployments!BW135)</f>
        <v/>
      </c>
      <c r="Z143" s="19">
        <f>IF(Deployments!U135="","",Deployments!U135)</f>
        <v/>
      </c>
      <c r="AA143" s="19">
        <f>IF(Deployments!L135="","",Deployments!L135)</f>
        <v/>
      </c>
    </row>
    <row r="144" ht="45" customHeight="1" s="91">
      <c r="A144" s="20" t="n"/>
      <c r="B144" s="20" t="n"/>
      <c r="C144" s="19">
        <f>IF(Deployments!H136="","",Deployments!H136)</f>
        <v/>
      </c>
      <c r="D144" s="19">
        <f>IF(Deployments!AM136="","",Deployments!AM136)</f>
        <v/>
      </c>
      <c r="E144" s="19">
        <f>IF(Deployments!I136="","",Deployments!I136)</f>
        <v/>
      </c>
      <c r="F144" s="19">
        <f>IF(Deployments!J136="","",Deployments!J136)</f>
        <v/>
      </c>
      <c r="G144" s="19">
        <f>IF(Deployments!K136="","",Deployments!K136)</f>
        <v/>
      </c>
      <c r="H144" s="19">
        <f>IF(Deployments!A136="","",Deployments!A136)</f>
        <v/>
      </c>
      <c r="I144" s="19">
        <f>IF(Deployments!AN136="","",Deployments!AN136)</f>
        <v/>
      </c>
      <c r="J144" s="19">
        <f>IF(Deployments!AO136="","",Deployments!AO136)</f>
        <v/>
      </c>
      <c r="K144" s="19">
        <f>IF(Deployments!AI136="","",Deployments!AI136)</f>
        <v/>
      </c>
      <c r="L144" s="19">
        <f>IF(Deployments!M136="","",Deployments!M136)</f>
        <v/>
      </c>
      <c r="M144" s="20" t="n"/>
      <c r="N144" s="19">
        <f>IF(Deployments!N136="","",Deployments!N136)</f>
        <v/>
      </c>
      <c r="O144" s="19">
        <f>IF(Deployments!O136="","",Deployments!O136)</f>
        <v/>
      </c>
      <c r="P144" s="19">
        <f>IF(Deployments!P136="","",Deployments!P136)</f>
        <v/>
      </c>
      <c r="Q144" s="20" t="n"/>
      <c r="R144" s="19">
        <f>IF(Deployments!BT136="","",Deployments!BT136)</f>
        <v/>
      </c>
      <c r="S144" s="19">
        <f>IF(Deployments!BS136="","",Deployments!BS136)</f>
        <v/>
      </c>
      <c r="T144" s="19">
        <f>IF(Deployments!BB136="","",Deployments!BB136)</f>
        <v/>
      </c>
      <c r="U144" s="19">
        <f>IF(Deployments!BR136="","",Deployments!BR136)</f>
        <v/>
      </c>
      <c r="V144" s="19">
        <f>IF(Deployments!BX136="","",Deployments!BX136)</f>
        <v/>
      </c>
      <c r="W144" s="19">
        <f>IF(Deployments!BY136="","",Deployments!BY136)</f>
        <v/>
      </c>
      <c r="X144" s="19">
        <f>IF(Deployments!CC136="","",Deployments!CC136)</f>
        <v/>
      </c>
      <c r="Y144" s="19">
        <f>IF(Deployments!BW136="","",Deployments!BW136)</f>
        <v/>
      </c>
      <c r="Z144" s="19">
        <f>IF(Deployments!U136="","",Deployments!U136)</f>
        <v/>
      </c>
      <c r="AA144" s="19">
        <f>IF(Deployments!L136="","",Deployments!L136)</f>
        <v/>
      </c>
    </row>
    <row r="145" ht="30" customHeight="1" s="91">
      <c r="A145" s="20" t="n"/>
      <c r="B145" s="20" t="n"/>
      <c r="C145" s="19">
        <f>IF(Deployments!H137="","",Deployments!H137)</f>
        <v/>
      </c>
      <c r="D145" s="19">
        <f>IF(Deployments!AM137="","",Deployments!AM137)</f>
        <v/>
      </c>
      <c r="E145" s="19">
        <f>IF(Deployments!I137="","",Deployments!I137)</f>
        <v/>
      </c>
      <c r="F145" s="19">
        <f>IF(Deployments!J137="","",Deployments!J137)</f>
        <v/>
      </c>
      <c r="G145" s="19">
        <f>IF(Deployments!K137="","",Deployments!K137)</f>
        <v/>
      </c>
      <c r="H145" s="19">
        <f>IF(Deployments!A137="","",Deployments!A137)</f>
        <v/>
      </c>
      <c r="I145" s="19">
        <f>IF(Deployments!AN137="","",Deployments!AN137)</f>
        <v/>
      </c>
      <c r="J145" s="19">
        <f>IF(Deployments!AO137="","",Deployments!AO137)</f>
        <v/>
      </c>
      <c r="K145" s="19">
        <f>IF(Deployments!AI137="","",Deployments!AI137)</f>
        <v/>
      </c>
      <c r="L145" s="19">
        <f>IF(Deployments!M137="","",Deployments!M137)</f>
        <v/>
      </c>
      <c r="M145" s="20" t="n"/>
      <c r="N145" s="19">
        <f>IF(Deployments!N137="","",Deployments!N137)</f>
        <v/>
      </c>
      <c r="O145" s="19">
        <f>IF(Deployments!O137="","",Deployments!O137)</f>
        <v/>
      </c>
      <c r="P145" s="19">
        <f>IF(Deployments!P137="","",Deployments!P137)</f>
        <v/>
      </c>
      <c r="Q145" s="20" t="n"/>
      <c r="R145" s="19">
        <f>IF(Deployments!BT137="","",Deployments!BT137)</f>
        <v/>
      </c>
      <c r="S145" s="19">
        <f>IF(Deployments!BS137="","",Deployments!BS137)</f>
        <v/>
      </c>
      <c r="T145" s="19">
        <f>IF(Deployments!BB137="","",Deployments!BB137)</f>
        <v/>
      </c>
      <c r="U145" s="19">
        <f>IF(Deployments!BR137="","",Deployments!BR137)</f>
        <v/>
      </c>
      <c r="V145" s="19">
        <f>IF(Deployments!BX137="","",Deployments!BX137)</f>
        <v/>
      </c>
      <c r="W145" s="19">
        <f>IF(Deployments!BY137="","",Deployments!BY137)</f>
        <v/>
      </c>
      <c r="X145" s="19">
        <f>IF(Deployments!CC137="","",Deployments!CC137)</f>
        <v/>
      </c>
      <c r="Y145" s="19">
        <f>IF(Deployments!BW137="","",Deployments!BW137)</f>
        <v/>
      </c>
      <c r="Z145" s="19">
        <f>IF(Deployments!U137="","",Deployments!U137)</f>
        <v/>
      </c>
      <c r="AA145" s="19">
        <f>IF(Deployments!L137="","",Deployments!L137)</f>
        <v/>
      </c>
    </row>
    <row r="146" ht="30" customHeight="1" s="91">
      <c r="A146" s="20" t="n"/>
      <c r="B146" s="20" t="n"/>
      <c r="C146" s="19">
        <f>IF(Deployments!H138="","",Deployments!H138)</f>
        <v/>
      </c>
      <c r="D146" s="19">
        <f>IF(Deployments!AM138="","",Deployments!AM138)</f>
        <v/>
      </c>
      <c r="E146" s="19">
        <f>IF(Deployments!I138="","",Deployments!I138)</f>
        <v/>
      </c>
      <c r="F146" s="19">
        <f>IF(Deployments!J138="","",Deployments!J138)</f>
        <v/>
      </c>
      <c r="G146" s="19">
        <f>IF(Deployments!K138="","",Deployments!K138)</f>
        <v/>
      </c>
      <c r="H146" s="19">
        <f>IF(Deployments!A138="","",Deployments!A138)</f>
        <v/>
      </c>
      <c r="I146" s="19">
        <f>IF(Deployments!AN138="","",Deployments!AN138)</f>
        <v/>
      </c>
      <c r="J146" s="19">
        <f>IF(Deployments!AO138="","",Deployments!AO138)</f>
        <v/>
      </c>
      <c r="K146" s="19">
        <f>IF(Deployments!AI138="","",Deployments!AI138)</f>
        <v/>
      </c>
      <c r="L146" s="19">
        <f>IF(Deployments!M138="","",Deployments!M138)</f>
        <v/>
      </c>
      <c r="M146" s="20" t="n"/>
      <c r="N146" s="19">
        <f>IF(Deployments!N138="","",Deployments!N138)</f>
        <v/>
      </c>
      <c r="O146" s="19">
        <f>IF(Deployments!O138="","",Deployments!O138)</f>
        <v/>
      </c>
      <c r="P146" s="19">
        <f>IF(Deployments!P138="","",Deployments!P138)</f>
        <v/>
      </c>
      <c r="Q146" s="20" t="n"/>
      <c r="R146" s="19">
        <f>IF(Deployments!BT138="","",Deployments!BT138)</f>
        <v/>
      </c>
      <c r="S146" s="19">
        <f>IF(Deployments!BS138="","",Deployments!BS138)</f>
        <v/>
      </c>
      <c r="T146" s="19">
        <f>IF(Deployments!BB138="","",Deployments!BB138)</f>
        <v/>
      </c>
      <c r="U146" s="19">
        <f>IF(Deployments!BR138="","",Deployments!BR138)</f>
        <v/>
      </c>
      <c r="V146" s="19">
        <f>IF(Deployments!BX138="","",Deployments!BX138)</f>
        <v/>
      </c>
      <c r="W146" s="19">
        <f>IF(Deployments!BY138="","",Deployments!BY138)</f>
        <v/>
      </c>
      <c r="X146" s="19">
        <f>IF(Deployments!CC138="","",Deployments!CC138)</f>
        <v/>
      </c>
      <c r="Y146" s="19">
        <f>IF(Deployments!BW138="","",Deployments!BW138)</f>
        <v/>
      </c>
      <c r="Z146" s="19">
        <f>IF(Deployments!U138="","",Deployments!U138)</f>
        <v/>
      </c>
      <c r="AA146" s="19">
        <f>IF(Deployments!L138="","",Deployments!L138)</f>
        <v/>
      </c>
    </row>
    <row r="147" ht="30" customHeight="1" s="91">
      <c r="A147" s="20" t="n"/>
      <c r="B147" s="20" t="n"/>
      <c r="C147" s="19">
        <f>IF(Deployments!H139="","",Deployments!H139)</f>
        <v/>
      </c>
      <c r="D147" s="19">
        <f>IF(Deployments!AM139="","",Deployments!AM139)</f>
        <v/>
      </c>
      <c r="E147" s="19">
        <f>IF(Deployments!I139="","",Deployments!I139)</f>
        <v/>
      </c>
      <c r="F147" s="19">
        <f>IF(Deployments!J139="","",Deployments!J139)</f>
        <v/>
      </c>
      <c r="G147" s="19">
        <f>IF(Deployments!K139="","",Deployments!K139)</f>
        <v/>
      </c>
      <c r="H147" s="19">
        <f>IF(Deployments!A139="","",Deployments!A139)</f>
        <v/>
      </c>
      <c r="I147" s="19">
        <f>IF(Deployments!AN139="","",Deployments!AN139)</f>
        <v/>
      </c>
      <c r="J147" s="19">
        <f>IF(Deployments!AO139="","",Deployments!AO139)</f>
        <v/>
      </c>
      <c r="K147" s="19">
        <f>IF(Deployments!AI139="","",Deployments!AI139)</f>
        <v/>
      </c>
      <c r="L147" s="19">
        <f>IF(Deployments!M139="","",Deployments!M139)</f>
        <v/>
      </c>
      <c r="M147" s="20" t="n"/>
      <c r="N147" s="19">
        <f>IF(Deployments!N139="","",Deployments!N139)</f>
        <v/>
      </c>
      <c r="O147" s="19">
        <f>IF(Deployments!O139="","",Deployments!O139)</f>
        <v/>
      </c>
      <c r="P147" s="19">
        <f>IF(Deployments!P139="","",Deployments!P139)</f>
        <v/>
      </c>
      <c r="Q147" s="20" t="n"/>
      <c r="R147" s="19">
        <f>IF(Deployments!BT139="","",Deployments!BT139)</f>
        <v/>
      </c>
      <c r="S147" s="19">
        <f>IF(Deployments!BS139="","",Deployments!BS139)</f>
        <v/>
      </c>
      <c r="T147" s="19">
        <f>IF(Deployments!BB139="","",Deployments!BB139)</f>
        <v/>
      </c>
      <c r="U147" s="19">
        <f>IF(Deployments!BR139="","",Deployments!BR139)</f>
        <v/>
      </c>
      <c r="V147" s="19">
        <f>IF(Deployments!BX139="","",Deployments!BX139)</f>
        <v/>
      </c>
      <c r="W147" s="19">
        <f>IF(Deployments!BY139="","",Deployments!BY139)</f>
        <v/>
      </c>
      <c r="X147" s="19">
        <f>IF(Deployments!CC139="","",Deployments!CC139)</f>
        <v/>
      </c>
      <c r="Y147" s="19">
        <f>IF(Deployments!BW139="","",Deployments!BW139)</f>
        <v/>
      </c>
      <c r="Z147" s="19">
        <f>IF(Deployments!U139="","",Deployments!U139)</f>
        <v/>
      </c>
      <c r="AA147" s="19">
        <f>IF(Deployments!L139="","",Deployments!L139)</f>
        <v/>
      </c>
    </row>
    <row r="148" ht="94.5" customHeight="1" s="91">
      <c r="A148" s="20" t="n"/>
      <c r="B148" s="20" t="n"/>
      <c r="C148" s="19">
        <f>IF(Deployments!H140="","",Deployments!H140)</f>
        <v/>
      </c>
      <c r="D148" s="19">
        <f>IF(Deployments!AM140="","",Deployments!AM140)</f>
        <v/>
      </c>
      <c r="E148" s="19">
        <f>IF(Deployments!I140="","",Deployments!I140)</f>
        <v/>
      </c>
      <c r="F148" s="19">
        <f>IF(Deployments!J140="","",Deployments!J140)</f>
        <v/>
      </c>
      <c r="G148" s="19">
        <f>IF(Deployments!K140="","",Deployments!K140)</f>
        <v/>
      </c>
      <c r="H148" s="19">
        <f>IF(Deployments!A140="","",Deployments!A140)</f>
        <v/>
      </c>
      <c r="I148" s="19">
        <f>IF(Deployments!AN140="","",Deployments!AN140)</f>
        <v/>
      </c>
      <c r="J148" s="19">
        <f>IF(Deployments!AO140="","",Deployments!AO140)</f>
        <v/>
      </c>
      <c r="K148" s="19">
        <f>IF(Deployments!AI140="","",Deployments!AI140)</f>
        <v/>
      </c>
      <c r="L148" s="19">
        <f>IF(Deployments!M140="","",Deployments!M140)</f>
        <v/>
      </c>
      <c r="M148" s="20" t="n"/>
      <c r="N148" s="19">
        <f>IF(Deployments!N140="","",Deployments!N140)</f>
        <v/>
      </c>
      <c r="O148" s="19">
        <f>IF(Deployments!O140="","",Deployments!O140)</f>
        <v/>
      </c>
      <c r="P148" s="19">
        <f>IF(Deployments!P140="","",Deployments!P140)</f>
        <v/>
      </c>
      <c r="Q148" s="20" t="n"/>
      <c r="R148" s="19">
        <f>IF(Deployments!BT140="","",Deployments!BT140)</f>
        <v/>
      </c>
      <c r="S148" s="19">
        <f>IF(Deployments!BS140="","",Deployments!BS140)</f>
        <v/>
      </c>
      <c r="T148" s="19">
        <f>IF(Deployments!BB140="","",Deployments!BB140)</f>
        <v/>
      </c>
      <c r="U148" s="19">
        <f>IF(Deployments!BR140="","",Deployments!BR140)</f>
        <v/>
      </c>
      <c r="V148" s="19">
        <f>IF(Deployments!BX140="","",Deployments!BX140)</f>
        <v/>
      </c>
      <c r="W148" s="19">
        <f>IF(Deployments!BY140="","",Deployments!BY140)</f>
        <v/>
      </c>
      <c r="X148" s="19">
        <f>IF(Deployments!CC140="","",Deployments!CC140)</f>
        <v/>
      </c>
      <c r="Y148" s="19">
        <f>IF(Deployments!BW140="","",Deployments!BW140)</f>
        <v/>
      </c>
      <c r="Z148" s="19">
        <f>IF(Deployments!U140="","",Deployments!U140)</f>
        <v/>
      </c>
      <c r="AA148" s="19">
        <f>IF(Deployments!L140="","",Deployments!L140)</f>
        <v/>
      </c>
    </row>
    <row r="149" ht="94.5" customHeight="1" s="91">
      <c r="A149" s="20" t="n"/>
      <c r="B149" s="20" t="n"/>
      <c r="C149" s="19">
        <f>IF(Deployments!H141="","",Deployments!H141)</f>
        <v/>
      </c>
      <c r="D149" s="19">
        <f>IF(Deployments!AM141="","",Deployments!AM141)</f>
        <v/>
      </c>
      <c r="E149" s="19">
        <f>IF(Deployments!I141="","",Deployments!I141)</f>
        <v/>
      </c>
      <c r="F149" s="19">
        <f>IF(Deployments!J141="","",Deployments!J141)</f>
        <v/>
      </c>
      <c r="G149" s="19">
        <f>IF(Deployments!K141="","",Deployments!K141)</f>
        <v/>
      </c>
      <c r="H149" s="19">
        <f>IF(Deployments!A141="","",Deployments!A141)</f>
        <v/>
      </c>
      <c r="I149" s="19">
        <f>IF(Deployments!AN141="","",Deployments!AN141)</f>
        <v/>
      </c>
      <c r="J149" s="19">
        <f>IF(Deployments!AO141="","",Deployments!AO141)</f>
        <v/>
      </c>
      <c r="K149" s="19">
        <f>IF(Deployments!AI141="","",Deployments!AI141)</f>
        <v/>
      </c>
      <c r="L149" s="19">
        <f>IF(Deployments!M141="","",Deployments!M141)</f>
        <v/>
      </c>
      <c r="M149" s="20" t="n"/>
      <c r="N149" s="19">
        <f>IF(Deployments!N141="","",Deployments!N141)</f>
        <v/>
      </c>
      <c r="O149" s="19">
        <f>IF(Deployments!O141="","",Deployments!O141)</f>
        <v/>
      </c>
      <c r="P149" s="19">
        <f>IF(Deployments!P141="","",Deployments!P141)</f>
        <v/>
      </c>
      <c r="Q149" s="20" t="n"/>
      <c r="R149" s="19">
        <f>IF(Deployments!BT141="","",Deployments!BT141)</f>
        <v/>
      </c>
      <c r="S149" s="19">
        <f>IF(Deployments!BS141="","",Deployments!BS141)</f>
        <v/>
      </c>
      <c r="T149" s="19">
        <f>IF(Deployments!BB141="","",Deployments!BB141)</f>
        <v/>
      </c>
      <c r="U149" s="19">
        <f>IF(Deployments!BR141="","",Deployments!BR141)</f>
        <v/>
      </c>
      <c r="V149" s="19">
        <f>IF(Deployments!BX141="","",Deployments!BX141)</f>
        <v/>
      </c>
      <c r="W149" s="19">
        <f>IF(Deployments!BY141="","",Deployments!BY141)</f>
        <v/>
      </c>
      <c r="X149" s="19">
        <f>IF(Deployments!CC141="","",Deployments!CC141)</f>
        <v/>
      </c>
      <c r="Y149" s="19">
        <f>IF(Deployments!BW141="","",Deployments!BW141)</f>
        <v/>
      </c>
      <c r="Z149" s="19">
        <f>IF(Deployments!U141="","",Deployments!U141)</f>
        <v/>
      </c>
      <c r="AA149" s="19">
        <f>IF(Deployments!L141="","",Deployments!L141)</f>
        <v/>
      </c>
    </row>
    <row r="150" ht="94.5" customHeight="1" s="91">
      <c r="A150" s="20" t="n"/>
      <c r="B150" s="20" t="n"/>
      <c r="C150" s="19">
        <f>IF(Deployments!H142="","",Deployments!H142)</f>
        <v/>
      </c>
      <c r="D150" s="19">
        <f>IF(Deployments!AM142="","",Deployments!AM142)</f>
        <v/>
      </c>
      <c r="E150" s="19">
        <f>IF(Deployments!I142="","",Deployments!I142)</f>
        <v/>
      </c>
      <c r="F150" s="19">
        <f>IF(Deployments!J142="","",Deployments!J142)</f>
        <v/>
      </c>
      <c r="G150" s="19">
        <f>IF(Deployments!K142="","",Deployments!K142)</f>
        <v/>
      </c>
      <c r="H150" s="19">
        <f>IF(Deployments!A142="","",Deployments!A142)</f>
        <v/>
      </c>
      <c r="I150" s="19">
        <f>IF(Deployments!AN142="","",Deployments!AN142)</f>
        <v/>
      </c>
      <c r="J150" s="19">
        <f>IF(Deployments!AO142="","",Deployments!AO142)</f>
        <v/>
      </c>
      <c r="K150" s="19">
        <f>IF(Deployments!AI142="","",Deployments!AI142)</f>
        <v/>
      </c>
      <c r="L150" s="19">
        <f>IF(Deployments!M142="","",Deployments!M142)</f>
        <v/>
      </c>
      <c r="M150" s="20" t="n"/>
      <c r="N150" s="19">
        <f>IF(Deployments!N142="","",Deployments!N142)</f>
        <v/>
      </c>
      <c r="O150" s="19">
        <f>IF(Deployments!O142="","",Deployments!O142)</f>
        <v/>
      </c>
      <c r="P150" s="19">
        <f>IF(Deployments!P142="","",Deployments!P142)</f>
        <v/>
      </c>
      <c r="Q150" s="20" t="n"/>
      <c r="R150" s="19">
        <f>IF(Deployments!BT142="","",Deployments!BT142)</f>
        <v/>
      </c>
      <c r="S150" s="19">
        <f>IF(Deployments!BS142="","",Deployments!BS142)</f>
        <v/>
      </c>
      <c r="T150" s="19">
        <f>IF(Deployments!BB142="","",Deployments!BB142)</f>
        <v/>
      </c>
      <c r="U150" s="19">
        <f>IF(Deployments!BR142="","",Deployments!BR142)</f>
        <v/>
      </c>
      <c r="V150" s="19">
        <f>IF(Deployments!BX142="","",Deployments!BX142)</f>
        <v/>
      </c>
      <c r="W150" s="19">
        <f>IF(Deployments!BY142="","",Deployments!BY142)</f>
        <v/>
      </c>
      <c r="X150" s="19">
        <f>IF(Deployments!CC142="","",Deployments!CC142)</f>
        <v/>
      </c>
      <c r="Y150" s="19">
        <f>IF(Deployments!BW142="","",Deployments!BW142)</f>
        <v/>
      </c>
      <c r="Z150" s="19">
        <f>IF(Deployments!U142="","",Deployments!U142)</f>
        <v/>
      </c>
      <c r="AA150" s="19">
        <f>IF(Deployments!L142="","",Deployments!L142)</f>
        <v/>
      </c>
    </row>
    <row r="151" ht="94.5" customHeight="1" s="91">
      <c r="A151" s="20" t="n"/>
      <c r="B151" s="20" t="n"/>
      <c r="C151" s="19">
        <f>IF(Deployments!H143="","",Deployments!H143)</f>
        <v/>
      </c>
      <c r="D151" s="19">
        <f>IF(Deployments!AM143="","",Deployments!AM143)</f>
        <v/>
      </c>
      <c r="E151" s="19">
        <f>IF(Deployments!I143="","",Deployments!I143)</f>
        <v/>
      </c>
      <c r="F151" s="19">
        <f>IF(Deployments!J143="","",Deployments!J143)</f>
        <v/>
      </c>
      <c r="G151" s="19">
        <f>IF(Deployments!K143="","",Deployments!K143)</f>
        <v/>
      </c>
      <c r="H151" s="19">
        <f>IF(Deployments!A143="","",Deployments!A143)</f>
        <v/>
      </c>
      <c r="I151" s="19">
        <f>IF(Deployments!AN143="","",Deployments!AN143)</f>
        <v/>
      </c>
      <c r="J151" s="19">
        <f>IF(Deployments!AO143="","",Deployments!AO143)</f>
        <v/>
      </c>
      <c r="K151" s="19">
        <f>IF(Deployments!AI143="","",Deployments!AI143)</f>
        <v/>
      </c>
      <c r="L151" s="19">
        <f>IF(Deployments!M143="","",Deployments!M143)</f>
        <v/>
      </c>
      <c r="M151" s="20" t="n"/>
      <c r="N151" s="19">
        <f>IF(Deployments!N143="","",Deployments!N143)</f>
        <v/>
      </c>
      <c r="O151" s="19">
        <f>IF(Deployments!O143="","",Deployments!O143)</f>
        <v/>
      </c>
      <c r="P151" s="19">
        <f>IF(Deployments!P143="","",Deployments!P143)</f>
        <v/>
      </c>
      <c r="Q151" s="20" t="n"/>
      <c r="R151" s="19">
        <f>IF(Deployments!BT143="","",Deployments!BT143)</f>
        <v/>
      </c>
      <c r="S151" s="19">
        <f>IF(Deployments!BS143="","",Deployments!BS143)</f>
        <v/>
      </c>
      <c r="T151" s="19">
        <f>IF(Deployments!BB143="","",Deployments!BB143)</f>
        <v/>
      </c>
      <c r="U151" s="19">
        <f>IF(Deployments!BR143="","",Deployments!BR143)</f>
        <v/>
      </c>
      <c r="V151" s="19">
        <f>IF(Deployments!BX143="","",Deployments!BX143)</f>
        <v/>
      </c>
      <c r="W151" s="19">
        <f>IF(Deployments!BY143="","",Deployments!BY143)</f>
        <v/>
      </c>
      <c r="X151" s="19">
        <f>IF(Deployments!CC143="","",Deployments!CC143)</f>
        <v/>
      </c>
      <c r="Y151" s="19">
        <f>IF(Deployments!BW143="","",Deployments!BW143)</f>
        <v/>
      </c>
      <c r="Z151" s="19">
        <f>IF(Deployments!U143="","",Deployments!U143)</f>
        <v/>
      </c>
      <c r="AA151" s="19">
        <f>IF(Deployments!L143="","",Deployments!L143)</f>
        <v/>
      </c>
    </row>
    <row r="152" ht="94.5" customHeight="1" s="91">
      <c r="A152" s="20" t="n"/>
      <c r="B152" s="20" t="n"/>
      <c r="C152" s="19">
        <f>IF(Deployments!H144="","",Deployments!H144)</f>
        <v/>
      </c>
      <c r="D152" s="19">
        <f>IF(Deployments!AM144="","",Deployments!AM144)</f>
        <v/>
      </c>
      <c r="E152" s="19">
        <f>IF(Deployments!I144="","",Deployments!I144)</f>
        <v/>
      </c>
      <c r="F152" s="19">
        <f>IF(Deployments!J144="","",Deployments!J144)</f>
        <v/>
      </c>
      <c r="G152" s="19">
        <f>IF(Deployments!K144="","",Deployments!K144)</f>
        <v/>
      </c>
      <c r="H152" s="19">
        <f>IF(Deployments!A144="","",Deployments!A144)</f>
        <v/>
      </c>
      <c r="I152" s="19">
        <f>IF(Deployments!AN144="","",Deployments!AN144)</f>
        <v/>
      </c>
      <c r="J152" s="19">
        <f>IF(Deployments!AO144="","",Deployments!AO144)</f>
        <v/>
      </c>
      <c r="K152" s="19">
        <f>IF(Deployments!AI144="","",Deployments!AI144)</f>
        <v/>
      </c>
      <c r="L152" s="19">
        <f>IF(Deployments!M144="","",Deployments!M144)</f>
        <v/>
      </c>
      <c r="M152" s="20" t="n"/>
      <c r="N152" s="19">
        <f>IF(Deployments!N144="","",Deployments!N144)</f>
        <v/>
      </c>
      <c r="O152" s="19">
        <f>IF(Deployments!O144="","",Deployments!O144)</f>
        <v/>
      </c>
      <c r="P152" s="19">
        <f>IF(Deployments!P144="","",Deployments!P144)</f>
        <v/>
      </c>
      <c r="Q152" s="20" t="n"/>
      <c r="R152" s="19">
        <f>IF(Deployments!BT144="","",Deployments!BT144)</f>
        <v/>
      </c>
      <c r="S152" s="19">
        <f>IF(Deployments!BS144="","",Deployments!BS144)</f>
        <v/>
      </c>
      <c r="T152" s="19">
        <f>IF(Deployments!BB144="","",Deployments!BB144)</f>
        <v/>
      </c>
      <c r="U152" s="19">
        <f>IF(Deployments!BR144="","",Deployments!BR144)</f>
        <v/>
      </c>
      <c r="V152" s="19">
        <f>IF(Deployments!BX144="","",Deployments!BX144)</f>
        <v/>
      </c>
      <c r="W152" s="19">
        <f>IF(Deployments!BY144="","",Deployments!BY144)</f>
        <v/>
      </c>
      <c r="X152" s="19">
        <f>IF(Deployments!CC144="","",Deployments!CC144)</f>
        <v/>
      </c>
      <c r="Y152" s="19">
        <f>IF(Deployments!BW144="","",Deployments!BW144)</f>
        <v/>
      </c>
      <c r="Z152" s="19">
        <f>IF(Deployments!U144="","",Deployments!U144)</f>
        <v/>
      </c>
      <c r="AA152" s="19">
        <f>IF(Deployments!L144="","",Deployments!L144)</f>
        <v/>
      </c>
    </row>
    <row r="153" ht="94.5" customHeight="1" s="91">
      <c r="A153" s="20" t="n"/>
      <c r="B153" s="20" t="n"/>
      <c r="C153" s="19">
        <f>IF(Deployments!H145="","",Deployments!H145)</f>
        <v/>
      </c>
      <c r="D153" s="19">
        <f>IF(Deployments!AM145="","",Deployments!AM145)</f>
        <v/>
      </c>
      <c r="E153" s="19">
        <f>IF(Deployments!I145="","",Deployments!I145)</f>
        <v/>
      </c>
      <c r="F153" s="19">
        <f>IF(Deployments!J145="","",Deployments!J145)</f>
        <v/>
      </c>
      <c r="G153" s="19">
        <f>IF(Deployments!K145="","",Deployments!K145)</f>
        <v/>
      </c>
      <c r="H153" s="19">
        <f>IF(Deployments!A145="","",Deployments!A145)</f>
        <v/>
      </c>
      <c r="I153" s="19">
        <f>IF(Deployments!AN145="","",Deployments!AN145)</f>
        <v/>
      </c>
      <c r="J153" s="19">
        <f>IF(Deployments!AO145="","",Deployments!AO145)</f>
        <v/>
      </c>
      <c r="K153" s="19">
        <f>IF(Deployments!AI145="","",Deployments!AI145)</f>
        <v/>
      </c>
      <c r="L153" s="19">
        <f>IF(Deployments!M145="","",Deployments!M145)</f>
        <v/>
      </c>
      <c r="M153" s="20" t="n"/>
      <c r="N153" s="19">
        <f>IF(Deployments!N145="","",Deployments!N145)</f>
        <v/>
      </c>
      <c r="O153" s="19">
        <f>IF(Deployments!O145="","",Deployments!O145)</f>
        <v/>
      </c>
      <c r="P153" s="19">
        <f>IF(Deployments!P145="","",Deployments!P145)</f>
        <v/>
      </c>
      <c r="Q153" s="20" t="n"/>
      <c r="R153" s="19">
        <f>IF(Deployments!BT145="","",Deployments!BT145)</f>
        <v/>
      </c>
      <c r="S153" s="19">
        <f>IF(Deployments!BS145="","",Deployments!BS145)</f>
        <v/>
      </c>
      <c r="T153" s="19">
        <f>IF(Deployments!BB145="","",Deployments!BB145)</f>
        <v/>
      </c>
      <c r="U153" s="19">
        <f>IF(Deployments!BR145="","",Deployments!BR145)</f>
        <v/>
      </c>
      <c r="V153" s="19">
        <f>IF(Deployments!BX145="","",Deployments!BX145)</f>
        <v/>
      </c>
      <c r="W153" s="19">
        <f>IF(Deployments!BY145="","",Deployments!BY145)</f>
        <v/>
      </c>
      <c r="X153" s="19">
        <f>IF(Deployments!CC145="","",Deployments!CC145)</f>
        <v/>
      </c>
      <c r="Y153" s="19">
        <f>IF(Deployments!BW145="","",Deployments!BW145)</f>
        <v/>
      </c>
      <c r="Z153" s="19">
        <f>IF(Deployments!U145="","",Deployments!U145)</f>
        <v/>
      </c>
      <c r="AA153" s="19">
        <f>IF(Deployments!L145="","",Deployments!L145)</f>
        <v/>
      </c>
    </row>
    <row r="154" ht="94.5" customHeight="1" s="91">
      <c r="A154" s="20" t="n"/>
      <c r="B154" s="20" t="n"/>
      <c r="C154" s="19">
        <f>IF(Deployments!H146="","",Deployments!H146)</f>
        <v/>
      </c>
      <c r="D154" s="19">
        <f>IF(Deployments!AM146="","",Deployments!AM146)</f>
        <v/>
      </c>
      <c r="E154" s="19">
        <f>IF(Deployments!I146="","",Deployments!I146)</f>
        <v/>
      </c>
      <c r="F154" s="19">
        <f>IF(Deployments!J146="","",Deployments!J146)</f>
        <v/>
      </c>
      <c r="G154" s="19">
        <f>IF(Deployments!K146="","",Deployments!K146)</f>
        <v/>
      </c>
      <c r="H154" s="19">
        <f>IF(Deployments!A146="","",Deployments!A146)</f>
        <v/>
      </c>
      <c r="I154" s="19">
        <f>IF(Deployments!AN146="","",Deployments!AN146)</f>
        <v/>
      </c>
      <c r="J154" s="19">
        <f>IF(Deployments!AO146="","",Deployments!AO146)</f>
        <v/>
      </c>
      <c r="K154" s="19">
        <f>IF(Deployments!AI146="","",Deployments!AI146)</f>
        <v/>
      </c>
      <c r="L154" s="19">
        <f>IF(Deployments!M146="","",Deployments!M146)</f>
        <v/>
      </c>
      <c r="M154" s="20" t="n"/>
      <c r="N154" s="19">
        <f>IF(Deployments!N146="","",Deployments!N146)</f>
        <v/>
      </c>
      <c r="O154" s="19">
        <f>IF(Deployments!O146="","",Deployments!O146)</f>
        <v/>
      </c>
      <c r="P154" s="19">
        <f>IF(Deployments!P146="","",Deployments!P146)</f>
        <v/>
      </c>
      <c r="Q154" s="20" t="n"/>
      <c r="R154" s="19">
        <f>IF(Deployments!BT146="","",Deployments!BT146)</f>
        <v/>
      </c>
      <c r="S154" s="19">
        <f>IF(Deployments!BS146="","",Deployments!BS146)</f>
        <v/>
      </c>
      <c r="T154" s="19">
        <f>IF(Deployments!BB146="","",Deployments!BB146)</f>
        <v/>
      </c>
      <c r="U154" s="19">
        <f>IF(Deployments!BR146="","",Deployments!BR146)</f>
        <v/>
      </c>
      <c r="V154" s="19">
        <f>IF(Deployments!BX146="","",Deployments!BX146)</f>
        <v/>
      </c>
      <c r="W154" s="19">
        <f>IF(Deployments!BY146="","",Deployments!BY146)</f>
        <v/>
      </c>
      <c r="X154" s="19">
        <f>IF(Deployments!CC146="","",Deployments!CC146)</f>
        <v/>
      </c>
      <c r="Y154" s="19">
        <f>IF(Deployments!BW146="","",Deployments!BW146)</f>
        <v/>
      </c>
      <c r="Z154" s="19">
        <f>IF(Deployments!U146="","",Deployments!U146)</f>
        <v/>
      </c>
      <c r="AA154" s="19">
        <f>IF(Deployments!L146="","",Deployments!L146)</f>
        <v/>
      </c>
    </row>
    <row r="155" ht="94.5" customHeight="1" s="91">
      <c r="A155" s="20" t="n"/>
      <c r="B155" s="20" t="n"/>
      <c r="C155" s="19">
        <f>IF(Deployments!H147="","",Deployments!H147)</f>
        <v/>
      </c>
      <c r="D155" s="19">
        <f>IF(Deployments!AM147="","",Deployments!AM147)</f>
        <v/>
      </c>
      <c r="E155" s="19">
        <f>IF(Deployments!I147="","",Deployments!I147)</f>
        <v/>
      </c>
      <c r="F155" s="19">
        <f>IF(Deployments!J147="","",Deployments!J147)</f>
        <v/>
      </c>
      <c r="G155" s="19">
        <f>IF(Deployments!K147="","",Deployments!K147)</f>
        <v/>
      </c>
      <c r="H155" s="19">
        <f>IF(Deployments!A147="","",Deployments!A147)</f>
        <v/>
      </c>
      <c r="I155" s="19">
        <f>IF(Deployments!AN147="","",Deployments!AN147)</f>
        <v/>
      </c>
      <c r="J155" s="19">
        <f>IF(Deployments!AO147="","",Deployments!AO147)</f>
        <v/>
      </c>
      <c r="K155" s="19">
        <f>IF(Deployments!AI147="","",Deployments!AI147)</f>
        <v/>
      </c>
      <c r="L155" s="19">
        <f>IF(Deployments!M147="","",Deployments!M147)</f>
        <v/>
      </c>
      <c r="M155" s="20" t="n"/>
      <c r="N155" s="19">
        <f>IF(Deployments!N147="","",Deployments!N147)</f>
        <v/>
      </c>
      <c r="O155" s="19">
        <f>IF(Deployments!O147="","",Deployments!O147)</f>
        <v/>
      </c>
      <c r="P155" s="19">
        <f>IF(Deployments!P147="","",Deployments!P147)</f>
        <v/>
      </c>
      <c r="Q155" s="20" t="n"/>
      <c r="R155" s="19">
        <f>IF(Deployments!BT147="","",Deployments!BT147)</f>
        <v/>
      </c>
      <c r="S155" s="19">
        <f>IF(Deployments!BS147="","",Deployments!BS147)</f>
        <v/>
      </c>
      <c r="T155" s="19">
        <f>IF(Deployments!BB147="","",Deployments!BB147)</f>
        <v/>
      </c>
      <c r="U155" s="19">
        <f>IF(Deployments!BR147="","",Deployments!BR147)</f>
        <v/>
      </c>
      <c r="V155" s="19">
        <f>IF(Deployments!BX147="","",Deployments!BX147)</f>
        <v/>
      </c>
      <c r="W155" s="19">
        <f>IF(Deployments!BY147="","",Deployments!BY147)</f>
        <v/>
      </c>
      <c r="X155" s="19">
        <f>IF(Deployments!CC147="","",Deployments!CC147)</f>
        <v/>
      </c>
      <c r="Y155" s="19">
        <f>IF(Deployments!BW147="","",Deployments!BW147)</f>
        <v/>
      </c>
      <c r="Z155" s="19">
        <f>IF(Deployments!U147="","",Deployments!U147)</f>
        <v/>
      </c>
      <c r="AA155" s="19">
        <f>IF(Deployments!L147="","",Deployments!L147)</f>
        <v/>
      </c>
    </row>
    <row r="156" ht="94.5" customHeight="1" s="91">
      <c r="A156" s="20" t="n"/>
      <c r="B156" s="20" t="n"/>
      <c r="C156" s="19">
        <f>IF(Deployments!H148="","",Deployments!H148)</f>
        <v/>
      </c>
      <c r="D156" s="19">
        <f>IF(Deployments!AM148="","",Deployments!AM148)</f>
        <v/>
      </c>
      <c r="E156" s="19">
        <f>IF(Deployments!I148="","",Deployments!I148)</f>
        <v/>
      </c>
      <c r="F156" s="19">
        <f>IF(Deployments!J148="","",Deployments!J148)</f>
        <v/>
      </c>
      <c r="G156" s="19">
        <f>IF(Deployments!K148="","",Deployments!K148)</f>
        <v/>
      </c>
      <c r="H156" s="19">
        <f>IF(Deployments!A148="","",Deployments!A148)</f>
        <v/>
      </c>
      <c r="I156" s="19">
        <f>IF(Deployments!AN148="","",Deployments!AN148)</f>
        <v/>
      </c>
      <c r="J156" s="19">
        <f>IF(Deployments!AO148="","",Deployments!AO148)</f>
        <v/>
      </c>
      <c r="K156" s="19">
        <f>IF(Deployments!AI148="","",Deployments!AI148)</f>
        <v/>
      </c>
      <c r="L156" s="19">
        <f>IF(Deployments!M148="","",Deployments!M148)</f>
        <v/>
      </c>
      <c r="M156" s="20" t="n"/>
      <c r="N156" s="19">
        <f>IF(Deployments!N148="","",Deployments!N148)</f>
        <v/>
      </c>
      <c r="O156" s="19">
        <f>IF(Deployments!O148="","",Deployments!O148)</f>
        <v/>
      </c>
      <c r="P156" s="19">
        <f>IF(Deployments!P148="","",Deployments!P148)</f>
        <v/>
      </c>
      <c r="Q156" s="20" t="n"/>
      <c r="R156" s="19">
        <f>IF(Deployments!BT148="","",Deployments!BT148)</f>
        <v/>
      </c>
      <c r="S156" s="19">
        <f>IF(Deployments!BS148="","",Deployments!BS148)</f>
        <v/>
      </c>
      <c r="T156" s="19">
        <f>IF(Deployments!BB148="","",Deployments!BB148)</f>
        <v/>
      </c>
      <c r="U156" s="19">
        <f>IF(Deployments!BR148="","",Deployments!BR148)</f>
        <v/>
      </c>
      <c r="V156" s="19">
        <f>IF(Deployments!BX148="","",Deployments!BX148)</f>
        <v/>
      </c>
      <c r="W156" s="19">
        <f>IF(Deployments!BY148="","",Deployments!BY148)</f>
        <v/>
      </c>
      <c r="X156" s="19">
        <f>IF(Deployments!CC148="","",Deployments!CC148)</f>
        <v/>
      </c>
      <c r="Y156" s="19">
        <f>IF(Deployments!BW148="","",Deployments!BW148)</f>
        <v/>
      </c>
      <c r="Z156" s="19">
        <f>IF(Deployments!U148="","",Deployments!U148)</f>
        <v/>
      </c>
      <c r="AA156" s="19">
        <f>IF(Deployments!L148="","",Deployments!L148)</f>
        <v/>
      </c>
    </row>
    <row r="157" ht="94.5" customHeight="1" s="91">
      <c r="A157" s="20" t="n"/>
      <c r="B157" s="20" t="n"/>
      <c r="C157" s="19">
        <f>IF(Deployments!H149="","",Deployments!H149)</f>
        <v/>
      </c>
      <c r="D157" s="19">
        <f>IF(Deployments!AM149="","",Deployments!AM149)</f>
        <v/>
      </c>
      <c r="E157" s="19">
        <f>IF(Deployments!I149="","",Deployments!I149)</f>
        <v/>
      </c>
      <c r="F157" s="19">
        <f>IF(Deployments!J149="","",Deployments!J149)</f>
        <v/>
      </c>
      <c r="G157" s="19">
        <f>IF(Deployments!K149="","",Deployments!K149)</f>
        <v/>
      </c>
      <c r="H157" s="19">
        <f>IF(Deployments!A149="","",Deployments!A149)</f>
        <v/>
      </c>
      <c r="I157" s="19">
        <f>IF(Deployments!AN149="","",Deployments!AN149)</f>
        <v/>
      </c>
      <c r="J157" s="19">
        <f>IF(Deployments!AO149="","",Deployments!AO149)</f>
        <v/>
      </c>
      <c r="K157" s="19">
        <f>IF(Deployments!AI149="","",Deployments!AI149)</f>
        <v/>
      </c>
      <c r="L157" s="19">
        <f>IF(Deployments!M149="","",Deployments!M149)</f>
        <v/>
      </c>
      <c r="M157" s="20" t="n"/>
      <c r="N157" s="19">
        <f>IF(Deployments!N149="","",Deployments!N149)</f>
        <v/>
      </c>
      <c r="O157" s="19">
        <f>IF(Deployments!O149="","",Deployments!O149)</f>
        <v/>
      </c>
      <c r="P157" s="19">
        <f>IF(Deployments!P149="","",Deployments!P149)</f>
        <v/>
      </c>
      <c r="Q157" s="20" t="n"/>
      <c r="R157" s="19">
        <f>IF(Deployments!BT149="","",Deployments!BT149)</f>
        <v/>
      </c>
      <c r="S157" s="19">
        <f>IF(Deployments!BS149="","",Deployments!BS149)</f>
        <v/>
      </c>
      <c r="T157" s="19">
        <f>IF(Deployments!BB149="","",Deployments!BB149)</f>
        <v/>
      </c>
      <c r="U157" s="19">
        <f>IF(Deployments!BR149="","",Deployments!BR149)</f>
        <v/>
      </c>
      <c r="V157" s="19">
        <f>IF(Deployments!BX149="","",Deployments!BX149)</f>
        <v/>
      </c>
      <c r="W157" s="19">
        <f>IF(Deployments!BY149="","",Deployments!BY149)</f>
        <v/>
      </c>
      <c r="X157" s="19">
        <f>IF(Deployments!CC149="","",Deployments!CC149)</f>
        <v/>
      </c>
      <c r="Y157" s="19">
        <f>IF(Deployments!BW149="","",Deployments!BW149)</f>
        <v/>
      </c>
      <c r="Z157" s="19">
        <f>IF(Deployments!U149="","",Deployments!U149)</f>
        <v/>
      </c>
      <c r="AA157" s="19">
        <f>IF(Deployments!L149="","",Deployments!L149)</f>
        <v/>
      </c>
    </row>
    <row r="158" ht="94.5" customHeight="1" s="91">
      <c r="A158" s="20" t="n"/>
      <c r="B158" s="20" t="n"/>
      <c r="C158" s="19">
        <f>IF(Deployments!H150="","",Deployments!H150)</f>
        <v/>
      </c>
      <c r="D158" s="19">
        <f>IF(Deployments!AM150="","",Deployments!AM150)</f>
        <v/>
      </c>
      <c r="E158" s="19">
        <f>IF(Deployments!I150="","",Deployments!I150)</f>
        <v/>
      </c>
      <c r="F158" s="19">
        <f>IF(Deployments!J150="","",Deployments!J150)</f>
        <v/>
      </c>
      <c r="G158" s="19">
        <f>IF(Deployments!K150="","",Deployments!K150)</f>
        <v/>
      </c>
      <c r="H158" s="19">
        <f>IF(Deployments!A150="","",Deployments!A150)</f>
        <v/>
      </c>
      <c r="I158" s="19">
        <f>IF(Deployments!AN150="","",Deployments!AN150)</f>
        <v/>
      </c>
      <c r="J158" s="19">
        <f>IF(Deployments!AO150="","",Deployments!AO150)</f>
        <v/>
      </c>
      <c r="K158" s="19">
        <f>IF(Deployments!AI150="","",Deployments!AI150)</f>
        <v/>
      </c>
      <c r="L158" s="19">
        <f>IF(Deployments!M150="","",Deployments!M150)</f>
        <v/>
      </c>
      <c r="M158" s="20" t="n"/>
      <c r="N158" s="19">
        <f>IF(Deployments!N150="","",Deployments!N150)</f>
        <v/>
      </c>
      <c r="O158" s="19">
        <f>IF(Deployments!O150="","",Deployments!O150)</f>
        <v/>
      </c>
      <c r="P158" s="19">
        <f>IF(Deployments!P150="","",Deployments!P150)</f>
        <v/>
      </c>
      <c r="Q158" s="20" t="n"/>
      <c r="R158" s="19">
        <f>IF(Deployments!BT150="","",Deployments!BT150)</f>
        <v/>
      </c>
      <c r="S158" s="19">
        <f>IF(Deployments!BS150="","",Deployments!BS150)</f>
        <v/>
      </c>
      <c r="T158" s="19">
        <f>IF(Deployments!BB150="","",Deployments!BB150)</f>
        <v/>
      </c>
      <c r="U158" s="19">
        <f>IF(Deployments!BR150="","",Deployments!BR150)</f>
        <v/>
      </c>
      <c r="V158" s="19">
        <f>IF(Deployments!BX150="","",Deployments!BX150)</f>
        <v/>
      </c>
      <c r="W158" s="19">
        <f>IF(Deployments!BY150="","",Deployments!BY150)</f>
        <v/>
      </c>
      <c r="X158" s="19">
        <f>IF(Deployments!CC150="","",Deployments!CC150)</f>
        <v/>
      </c>
      <c r="Y158" s="19">
        <f>IF(Deployments!BW150="","",Deployments!BW150)</f>
        <v/>
      </c>
      <c r="Z158" s="19">
        <f>IF(Deployments!U150="","",Deployments!U150)</f>
        <v/>
      </c>
      <c r="AA158" s="19">
        <f>IF(Deployments!L150="","",Deployments!L150)</f>
        <v/>
      </c>
    </row>
    <row r="159" ht="94.5" customHeight="1" s="91">
      <c r="A159" s="20" t="n"/>
      <c r="B159" s="20" t="n"/>
      <c r="C159" s="19">
        <f>IF(Deployments!H151="","",Deployments!H151)</f>
        <v/>
      </c>
      <c r="D159" s="19">
        <f>IF(Deployments!AM151="","",Deployments!AM151)</f>
        <v/>
      </c>
      <c r="E159" s="19">
        <f>IF(Deployments!I151="","",Deployments!I151)</f>
        <v/>
      </c>
      <c r="F159" s="19">
        <f>IF(Deployments!J151="","",Deployments!J151)</f>
        <v/>
      </c>
      <c r="G159" s="19">
        <f>IF(Deployments!K151="","",Deployments!K151)</f>
        <v/>
      </c>
      <c r="H159" s="19">
        <f>IF(Deployments!A151="","",Deployments!A151)</f>
        <v/>
      </c>
      <c r="I159" s="19">
        <f>IF(Deployments!AN151="","",Deployments!AN151)</f>
        <v/>
      </c>
      <c r="J159" s="19">
        <f>IF(Deployments!AO151="","",Deployments!AO151)</f>
        <v/>
      </c>
      <c r="K159" s="19">
        <f>IF(Deployments!AI151="","",Deployments!AI151)</f>
        <v/>
      </c>
      <c r="L159" s="19">
        <f>IF(Deployments!M151="","",Deployments!M151)</f>
        <v/>
      </c>
      <c r="M159" s="20" t="n"/>
      <c r="N159" s="19">
        <f>IF(Deployments!N151="","",Deployments!N151)</f>
        <v/>
      </c>
      <c r="O159" s="19">
        <f>IF(Deployments!O151="","",Deployments!O151)</f>
        <v/>
      </c>
      <c r="P159" s="19">
        <f>IF(Deployments!P151="","",Deployments!P151)</f>
        <v/>
      </c>
      <c r="Q159" s="20" t="n"/>
      <c r="R159" s="19">
        <f>IF(Deployments!BT151="","",Deployments!BT151)</f>
        <v/>
      </c>
      <c r="S159" s="19">
        <f>IF(Deployments!BS151="","",Deployments!BS151)</f>
        <v/>
      </c>
      <c r="T159" s="19">
        <f>IF(Deployments!BB151="","",Deployments!BB151)</f>
        <v/>
      </c>
      <c r="U159" s="19">
        <f>IF(Deployments!BR151="","",Deployments!BR151)</f>
        <v/>
      </c>
      <c r="V159" s="19">
        <f>IF(Deployments!BX151="","",Deployments!BX151)</f>
        <v/>
      </c>
      <c r="W159" s="19">
        <f>IF(Deployments!BY151="","",Deployments!BY151)</f>
        <v/>
      </c>
      <c r="X159" s="19">
        <f>IF(Deployments!CC151="","",Deployments!CC151)</f>
        <v/>
      </c>
      <c r="Y159" s="19">
        <f>IF(Deployments!BW151="","",Deployments!BW151)</f>
        <v/>
      </c>
      <c r="Z159" s="19">
        <f>IF(Deployments!U151="","",Deployments!U151)</f>
        <v/>
      </c>
      <c r="AA159" s="19">
        <f>IF(Deployments!L151="","",Deployments!L151)</f>
        <v/>
      </c>
    </row>
    <row r="160" ht="94.5" customHeight="1" s="91">
      <c r="A160" s="20" t="n"/>
      <c r="B160" s="20" t="n"/>
      <c r="C160" s="19">
        <f>IF(Deployments!H152="","",Deployments!H152)</f>
        <v/>
      </c>
      <c r="D160" s="19">
        <f>IF(Deployments!AM152="","",Deployments!AM152)</f>
        <v/>
      </c>
      <c r="E160" s="19">
        <f>IF(Deployments!I152="","",Deployments!I152)</f>
        <v/>
      </c>
      <c r="F160" s="19">
        <f>IF(Deployments!J152="","",Deployments!J152)</f>
        <v/>
      </c>
      <c r="G160" s="19">
        <f>IF(Deployments!K152="","",Deployments!K152)</f>
        <v/>
      </c>
      <c r="H160" s="19">
        <f>IF(Deployments!A152="","",Deployments!A152)</f>
        <v/>
      </c>
      <c r="I160" s="19">
        <f>IF(Deployments!AN152="","",Deployments!AN152)</f>
        <v/>
      </c>
      <c r="J160" s="19">
        <f>IF(Deployments!AO152="","",Deployments!AO152)</f>
        <v/>
      </c>
      <c r="K160" s="19">
        <f>IF(Deployments!AI152="","",Deployments!AI152)</f>
        <v/>
      </c>
      <c r="L160" s="19">
        <f>IF(Deployments!M152="","",Deployments!M152)</f>
        <v/>
      </c>
      <c r="M160" s="20" t="n"/>
      <c r="N160" s="19">
        <f>IF(Deployments!N152="","",Deployments!N152)</f>
        <v/>
      </c>
      <c r="O160" s="19">
        <f>IF(Deployments!O152="","",Deployments!O152)</f>
        <v/>
      </c>
      <c r="P160" s="19">
        <f>IF(Deployments!P152="","",Deployments!P152)</f>
        <v/>
      </c>
      <c r="Q160" s="20" t="n"/>
      <c r="R160" s="19">
        <f>IF(Deployments!BT152="","",Deployments!BT152)</f>
        <v/>
      </c>
      <c r="S160" s="19">
        <f>IF(Deployments!BS152="","",Deployments!BS152)</f>
        <v/>
      </c>
      <c r="T160" s="19">
        <f>IF(Deployments!BB152="","",Deployments!BB152)</f>
        <v/>
      </c>
      <c r="U160" s="19">
        <f>IF(Deployments!BR152="","",Deployments!BR152)</f>
        <v/>
      </c>
      <c r="V160" s="19">
        <f>IF(Deployments!BX152="","",Deployments!BX152)</f>
        <v/>
      </c>
      <c r="W160" s="19">
        <f>IF(Deployments!BY152="","",Deployments!BY152)</f>
        <v/>
      </c>
      <c r="X160" s="19">
        <f>IF(Deployments!CC152="","",Deployments!CC152)</f>
        <v/>
      </c>
      <c r="Y160" s="19">
        <f>IF(Deployments!BW152="","",Deployments!BW152)</f>
        <v/>
      </c>
      <c r="Z160" s="19">
        <f>IF(Deployments!U152="","",Deployments!U152)</f>
        <v/>
      </c>
      <c r="AA160" s="19">
        <f>IF(Deployments!L152="","",Deployments!L152)</f>
        <v/>
      </c>
    </row>
    <row r="161" ht="94.5" customHeight="1" s="91">
      <c r="A161" s="20" t="n"/>
      <c r="B161" s="20" t="n"/>
      <c r="C161" s="19">
        <f>IF(Deployments!H153="","",Deployments!H153)</f>
        <v/>
      </c>
      <c r="D161" s="19">
        <f>IF(Deployments!AM153="","",Deployments!AM153)</f>
        <v/>
      </c>
      <c r="E161" s="19">
        <f>IF(Deployments!I153="","",Deployments!I153)</f>
        <v/>
      </c>
      <c r="F161" s="19">
        <f>IF(Deployments!J153="","",Deployments!J153)</f>
        <v/>
      </c>
      <c r="G161" s="19">
        <f>IF(Deployments!K153="","",Deployments!K153)</f>
        <v/>
      </c>
      <c r="H161" s="19">
        <f>IF(Deployments!A153="","",Deployments!A153)</f>
        <v/>
      </c>
      <c r="I161" s="19">
        <f>IF(Deployments!AN153="","",Deployments!AN153)</f>
        <v/>
      </c>
      <c r="J161" s="19">
        <f>IF(Deployments!AO153="","",Deployments!AO153)</f>
        <v/>
      </c>
      <c r="K161" s="19">
        <f>IF(Deployments!AI153="","",Deployments!AI153)</f>
        <v/>
      </c>
      <c r="L161" s="19">
        <f>IF(Deployments!M153="","",Deployments!M153)</f>
        <v/>
      </c>
      <c r="M161" s="20" t="n"/>
      <c r="N161" s="19">
        <f>IF(Deployments!N153="","",Deployments!N153)</f>
        <v/>
      </c>
      <c r="O161" s="19">
        <f>IF(Deployments!O153="","",Deployments!O153)</f>
        <v/>
      </c>
      <c r="P161" s="19">
        <f>IF(Deployments!P153="","",Deployments!P153)</f>
        <v/>
      </c>
      <c r="Q161" s="20" t="n"/>
      <c r="R161" s="19">
        <f>IF(Deployments!BT153="","",Deployments!BT153)</f>
        <v/>
      </c>
      <c r="S161" s="19">
        <f>IF(Deployments!BS153="","",Deployments!BS153)</f>
        <v/>
      </c>
      <c r="T161" s="19">
        <f>IF(Deployments!BB153="","",Deployments!BB153)</f>
        <v/>
      </c>
      <c r="U161" s="19">
        <f>IF(Deployments!BR153="","",Deployments!BR153)</f>
        <v/>
      </c>
      <c r="V161" s="19">
        <f>IF(Deployments!BX153="","",Deployments!BX153)</f>
        <v/>
      </c>
      <c r="W161" s="19">
        <f>IF(Deployments!BY153="","",Deployments!BY153)</f>
        <v/>
      </c>
      <c r="X161" s="19">
        <f>IF(Deployments!CC153="","",Deployments!CC153)</f>
        <v/>
      </c>
      <c r="Y161" s="19">
        <f>IF(Deployments!BW153="","",Deployments!BW153)</f>
        <v/>
      </c>
      <c r="Z161" s="19">
        <f>IF(Deployments!U153="","",Deployments!U153)</f>
        <v/>
      </c>
      <c r="AA161" s="19">
        <f>IF(Deployments!L153="","",Deployments!L153)</f>
        <v/>
      </c>
    </row>
    <row r="162" ht="94.5" customHeight="1" s="91">
      <c r="A162" s="20" t="n"/>
      <c r="B162" s="20" t="n"/>
      <c r="C162" s="19">
        <f>IF(Deployments!H154="","",Deployments!H154)</f>
        <v/>
      </c>
      <c r="D162" s="19">
        <f>IF(Deployments!AM154="","",Deployments!AM154)</f>
        <v/>
      </c>
      <c r="E162" s="19">
        <f>IF(Deployments!I154="","",Deployments!I154)</f>
        <v/>
      </c>
      <c r="F162" s="19">
        <f>IF(Deployments!J154="","",Deployments!J154)</f>
        <v/>
      </c>
      <c r="G162" s="19">
        <f>IF(Deployments!K154="","",Deployments!K154)</f>
        <v/>
      </c>
      <c r="H162" s="19">
        <f>IF(Deployments!A154="","",Deployments!A154)</f>
        <v/>
      </c>
      <c r="I162" s="19">
        <f>IF(Deployments!AN154="","",Deployments!AN154)</f>
        <v/>
      </c>
      <c r="J162" s="19">
        <f>IF(Deployments!AO154="","",Deployments!AO154)</f>
        <v/>
      </c>
      <c r="K162" s="19">
        <f>IF(Deployments!AI154="","",Deployments!AI154)</f>
        <v/>
      </c>
      <c r="L162" s="19">
        <f>IF(Deployments!M154="","",Deployments!M154)</f>
        <v/>
      </c>
      <c r="M162" s="20" t="n"/>
      <c r="N162" s="19">
        <f>IF(Deployments!N154="","",Deployments!N154)</f>
        <v/>
      </c>
      <c r="O162" s="19">
        <f>IF(Deployments!O154="","",Deployments!O154)</f>
        <v/>
      </c>
      <c r="P162" s="19">
        <f>IF(Deployments!P154="","",Deployments!P154)</f>
        <v/>
      </c>
      <c r="Q162" s="20" t="n"/>
      <c r="R162" s="19">
        <f>IF(Deployments!BT154="","",Deployments!BT154)</f>
        <v/>
      </c>
      <c r="S162" s="19">
        <f>IF(Deployments!BS154="","",Deployments!BS154)</f>
        <v/>
      </c>
      <c r="T162" s="19">
        <f>IF(Deployments!BB154="","",Deployments!BB154)</f>
        <v/>
      </c>
      <c r="U162" s="19">
        <f>IF(Deployments!BR154="","",Deployments!BR154)</f>
        <v/>
      </c>
      <c r="V162" s="19">
        <f>IF(Deployments!BX154="","",Deployments!BX154)</f>
        <v/>
      </c>
      <c r="W162" s="19">
        <f>IF(Deployments!BY154="","",Deployments!BY154)</f>
        <v/>
      </c>
      <c r="X162" s="19">
        <f>IF(Deployments!CC154="","",Deployments!CC154)</f>
        <v/>
      </c>
      <c r="Y162" s="19">
        <f>IF(Deployments!BW154="","",Deployments!BW154)</f>
        <v/>
      </c>
      <c r="Z162" s="19">
        <f>IF(Deployments!U154="","",Deployments!U154)</f>
        <v/>
      </c>
      <c r="AA162" s="19">
        <f>IF(Deployments!L154="","",Deployments!L154)</f>
        <v/>
      </c>
    </row>
    <row r="163" ht="94.5" customHeight="1" s="91">
      <c r="A163" s="20" t="n"/>
      <c r="B163" s="20" t="n"/>
      <c r="C163" s="19">
        <f>IF(Deployments!H155="","",Deployments!H155)</f>
        <v/>
      </c>
      <c r="D163" s="19">
        <f>IF(Deployments!AM155="","",Deployments!AM155)</f>
        <v/>
      </c>
      <c r="E163" s="19">
        <f>IF(Deployments!I155="","",Deployments!I155)</f>
        <v/>
      </c>
      <c r="F163" s="19">
        <f>IF(Deployments!J155="","",Deployments!J155)</f>
        <v/>
      </c>
      <c r="G163" s="19">
        <f>IF(Deployments!K155="","",Deployments!K155)</f>
        <v/>
      </c>
      <c r="H163" s="19">
        <f>IF(Deployments!A155="","",Deployments!A155)</f>
        <v/>
      </c>
      <c r="I163" s="19">
        <f>IF(Deployments!AN155="","",Deployments!AN155)</f>
        <v/>
      </c>
      <c r="J163" s="19">
        <f>IF(Deployments!AO155="","",Deployments!AO155)</f>
        <v/>
      </c>
      <c r="K163" s="19">
        <f>IF(Deployments!AI155="","",Deployments!AI155)</f>
        <v/>
      </c>
      <c r="L163" s="19">
        <f>IF(Deployments!M155="","",Deployments!M155)</f>
        <v/>
      </c>
      <c r="M163" s="20" t="n"/>
      <c r="N163" s="19">
        <f>IF(Deployments!N155="","",Deployments!N155)</f>
        <v/>
      </c>
      <c r="O163" s="19">
        <f>IF(Deployments!O155="","",Deployments!O155)</f>
        <v/>
      </c>
      <c r="P163" s="19">
        <f>IF(Deployments!P155="","",Deployments!P155)</f>
        <v/>
      </c>
      <c r="Q163" s="20" t="n"/>
      <c r="R163" s="19">
        <f>IF(Deployments!BT155="","",Deployments!BT155)</f>
        <v/>
      </c>
      <c r="S163" s="19">
        <f>IF(Deployments!BS155="","",Deployments!BS155)</f>
        <v/>
      </c>
      <c r="T163" s="19">
        <f>IF(Deployments!BB155="","",Deployments!BB155)</f>
        <v/>
      </c>
      <c r="U163" s="19">
        <f>IF(Deployments!BR155="","",Deployments!BR155)</f>
        <v/>
      </c>
      <c r="V163" s="19">
        <f>IF(Deployments!BX155="","",Deployments!BX155)</f>
        <v/>
      </c>
      <c r="W163" s="19">
        <f>IF(Deployments!BY155="","",Deployments!BY155)</f>
        <v/>
      </c>
      <c r="X163" s="19">
        <f>IF(Deployments!CC155="","",Deployments!CC155)</f>
        <v/>
      </c>
      <c r="Y163" s="19">
        <f>IF(Deployments!BW155="","",Deployments!BW155)</f>
        <v/>
      </c>
      <c r="Z163" s="19">
        <f>IF(Deployments!U155="","",Deployments!U155)</f>
        <v/>
      </c>
      <c r="AA163" s="19">
        <f>IF(Deployments!L155="","",Deployments!L155)</f>
        <v/>
      </c>
    </row>
    <row r="164" ht="94.5" customHeight="1" s="91">
      <c r="A164" s="20" t="n"/>
      <c r="B164" s="20" t="n"/>
      <c r="C164" s="19">
        <f>IF(Deployments!H156="","",Deployments!H156)</f>
        <v/>
      </c>
      <c r="D164" s="19">
        <f>IF(Deployments!AM156="","",Deployments!AM156)</f>
        <v/>
      </c>
      <c r="E164" s="19">
        <f>IF(Deployments!I156="","",Deployments!I156)</f>
        <v/>
      </c>
      <c r="F164" s="19">
        <f>IF(Deployments!J156="","",Deployments!J156)</f>
        <v/>
      </c>
      <c r="G164" s="19">
        <f>IF(Deployments!K156="","",Deployments!K156)</f>
        <v/>
      </c>
      <c r="H164" s="19">
        <f>IF(Deployments!A156="","",Deployments!A156)</f>
        <v/>
      </c>
      <c r="I164" s="19">
        <f>IF(Deployments!AN156="","",Deployments!AN156)</f>
        <v/>
      </c>
      <c r="J164" s="19">
        <f>IF(Deployments!AO156="","",Deployments!AO156)</f>
        <v/>
      </c>
      <c r="K164" s="19">
        <f>IF(Deployments!AI156="","",Deployments!AI156)</f>
        <v/>
      </c>
      <c r="L164" s="19">
        <f>IF(Deployments!M156="","",Deployments!M156)</f>
        <v/>
      </c>
      <c r="M164" s="20" t="n"/>
      <c r="N164" s="19">
        <f>IF(Deployments!N156="","",Deployments!N156)</f>
        <v/>
      </c>
      <c r="O164" s="19">
        <f>IF(Deployments!O156="","",Deployments!O156)</f>
        <v/>
      </c>
      <c r="P164" s="19">
        <f>IF(Deployments!P156="","",Deployments!P156)</f>
        <v/>
      </c>
      <c r="Q164" s="20" t="n"/>
      <c r="R164" s="19">
        <f>IF(Deployments!BT156="","",Deployments!BT156)</f>
        <v/>
      </c>
      <c r="S164" s="19">
        <f>IF(Deployments!BS156="","",Deployments!BS156)</f>
        <v/>
      </c>
      <c r="T164" s="19">
        <f>IF(Deployments!BB156="","",Deployments!BB156)</f>
        <v/>
      </c>
      <c r="U164" s="19">
        <f>IF(Deployments!BR156="","",Deployments!BR156)</f>
        <v/>
      </c>
      <c r="V164" s="19">
        <f>IF(Deployments!BX156="","",Deployments!BX156)</f>
        <v/>
      </c>
      <c r="W164" s="19">
        <f>IF(Deployments!BY156="","",Deployments!BY156)</f>
        <v/>
      </c>
      <c r="X164" s="19">
        <f>IF(Deployments!CC156="","",Deployments!CC156)</f>
        <v/>
      </c>
      <c r="Y164" s="19">
        <f>IF(Deployments!BW156="","",Deployments!BW156)</f>
        <v/>
      </c>
      <c r="Z164" s="19">
        <f>IF(Deployments!U156="","",Deployments!U156)</f>
        <v/>
      </c>
      <c r="AA164" s="19">
        <f>IF(Deployments!L156="","",Deployments!L156)</f>
        <v/>
      </c>
    </row>
    <row r="165" ht="94.5" customHeight="1" s="91">
      <c r="A165" s="20" t="n"/>
      <c r="B165" s="20" t="n"/>
      <c r="C165" s="19">
        <f>IF(Deployments!H157="","",Deployments!H157)</f>
        <v/>
      </c>
      <c r="D165" s="19">
        <f>IF(Deployments!AM157="","",Deployments!AM157)</f>
        <v/>
      </c>
      <c r="E165" s="19">
        <f>IF(Deployments!I157="","",Deployments!I157)</f>
        <v/>
      </c>
      <c r="F165" s="19">
        <f>IF(Deployments!J157="","",Deployments!J157)</f>
        <v/>
      </c>
      <c r="G165" s="19">
        <f>IF(Deployments!K157="","",Deployments!K157)</f>
        <v/>
      </c>
      <c r="H165" s="19">
        <f>IF(Deployments!A157="","",Deployments!A157)</f>
        <v/>
      </c>
      <c r="I165" s="19">
        <f>IF(Deployments!AN157="","",Deployments!AN157)</f>
        <v/>
      </c>
      <c r="J165" s="19">
        <f>IF(Deployments!AO157="","",Deployments!AO157)</f>
        <v/>
      </c>
      <c r="K165" s="19">
        <f>IF(Deployments!AI157="","",Deployments!AI157)</f>
        <v/>
      </c>
      <c r="L165" s="19">
        <f>IF(Deployments!M157="","",Deployments!M157)</f>
        <v/>
      </c>
      <c r="M165" s="20" t="n"/>
      <c r="N165" s="19">
        <f>IF(Deployments!N157="","",Deployments!N157)</f>
        <v/>
      </c>
      <c r="O165" s="19">
        <f>IF(Deployments!O157="","",Deployments!O157)</f>
        <v/>
      </c>
      <c r="P165" s="19">
        <f>IF(Deployments!P157="","",Deployments!P157)</f>
        <v/>
      </c>
      <c r="Q165" s="20" t="n"/>
      <c r="R165" s="19">
        <f>IF(Deployments!BT157="","",Deployments!BT157)</f>
        <v/>
      </c>
      <c r="S165" s="19">
        <f>IF(Deployments!BS157="","",Deployments!BS157)</f>
        <v/>
      </c>
      <c r="T165" s="19">
        <f>IF(Deployments!BB157="","",Deployments!BB157)</f>
        <v/>
      </c>
      <c r="U165" s="19">
        <f>IF(Deployments!BR157="","",Deployments!BR157)</f>
        <v/>
      </c>
      <c r="V165" s="19">
        <f>IF(Deployments!BX157="","",Deployments!BX157)</f>
        <v/>
      </c>
      <c r="W165" s="19">
        <f>IF(Deployments!BY157="","",Deployments!BY157)</f>
        <v/>
      </c>
      <c r="X165" s="19">
        <f>IF(Deployments!CC157="","",Deployments!CC157)</f>
        <v/>
      </c>
      <c r="Y165" s="19">
        <f>IF(Deployments!BW157="","",Deployments!BW157)</f>
        <v/>
      </c>
      <c r="Z165" s="19">
        <f>IF(Deployments!U157="","",Deployments!U157)</f>
        <v/>
      </c>
      <c r="AA165" s="19">
        <f>IF(Deployments!L157="","",Deployments!L157)</f>
        <v/>
      </c>
    </row>
    <row r="166" ht="94.5" customHeight="1" s="91">
      <c r="A166" s="20" t="n"/>
      <c r="B166" s="20" t="n"/>
      <c r="C166" s="19">
        <f>IF(Deployments!H158="","",Deployments!H158)</f>
        <v/>
      </c>
      <c r="D166" s="19">
        <f>IF(Deployments!AM158="","",Deployments!AM158)</f>
        <v/>
      </c>
      <c r="E166" s="19">
        <f>IF(Deployments!I158="","",Deployments!I158)</f>
        <v/>
      </c>
      <c r="F166" s="19">
        <f>IF(Deployments!J158="","",Deployments!J158)</f>
        <v/>
      </c>
      <c r="G166" s="19">
        <f>IF(Deployments!K158="","",Deployments!K158)</f>
        <v/>
      </c>
      <c r="H166" s="19">
        <f>IF(Deployments!A158="","",Deployments!A158)</f>
        <v/>
      </c>
      <c r="I166" s="19">
        <f>IF(Deployments!AN158="","",Deployments!AN158)</f>
        <v/>
      </c>
      <c r="J166" s="19">
        <f>IF(Deployments!AO158="","",Deployments!AO158)</f>
        <v/>
      </c>
      <c r="K166" s="19">
        <f>IF(Deployments!AI158="","",Deployments!AI158)</f>
        <v/>
      </c>
      <c r="L166" s="19">
        <f>IF(Deployments!M158="","",Deployments!M158)</f>
        <v/>
      </c>
      <c r="M166" s="20" t="n"/>
      <c r="N166" s="19">
        <f>IF(Deployments!N158="","",Deployments!N158)</f>
        <v/>
      </c>
      <c r="O166" s="19">
        <f>IF(Deployments!O158="","",Deployments!O158)</f>
        <v/>
      </c>
      <c r="P166" s="19">
        <f>IF(Deployments!P158="","",Deployments!P158)</f>
        <v/>
      </c>
      <c r="Q166" s="20" t="n"/>
      <c r="R166" s="19">
        <f>IF(Deployments!BT158="","",Deployments!BT158)</f>
        <v/>
      </c>
      <c r="S166" s="19">
        <f>IF(Deployments!BS158="","",Deployments!BS158)</f>
        <v/>
      </c>
      <c r="T166" s="19">
        <f>IF(Deployments!BB158="","",Deployments!BB158)</f>
        <v/>
      </c>
      <c r="U166" s="19">
        <f>IF(Deployments!BR158="","",Deployments!BR158)</f>
        <v/>
      </c>
      <c r="V166" s="19">
        <f>IF(Deployments!BX158="","",Deployments!BX158)</f>
        <v/>
      </c>
      <c r="W166" s="19">
        <f>IF(Deployments!BY158="","",Deployments!BY158)</f>
        <v/>
      </c>
      <c r="X166" s="19">
        <f>IF(Deployments!CC158="","",Deployments!CC158)</f>
        <v/>
      </c>
      <c r="Y166" s="19">
        <f>IF(Deployments!BW158="","",Deployments!BW158)</f>
        <v/>
      </c>
      <c r="Z166" s="19">
        <f>IF(Deployments!U158="","",Deployments!U158)</f>
        <v/>
      </c>
      <c r="AA166" s="19">
        <f>IF(Deployments!L158="","",Deployments!L158)</f>
        <v/>
      </c>
    </row>
    <row r="167" ht="94.5" customHeight="1" s="91">
      <c r="A167" s="20" t="n"/>
      <c r="B167" s="20" t="n"/>
      <c r="C167" s="19">
        <f>IF(Deployments!H159="","",Deployments!H159)</f>
        <v/>
      </c>
      <c r="D167" s="19">
        <f>IF(Deployments!AM159="","",Deployments!AM159)</f>
        <v/>
      </c>
      <c r="E167" s="19">
        <f>IF(Deployments!I159="","",Deployments!I159)</f>
        <v/>
      </c>
      <c r="F167" s="19">
        <f>IF(Deployments!J159="","",Deployments!J159)</f>
        <v/>
      </c>
      <c r="G167" s="19">
        <f>IF(Deployments!K159="","",Deployments!K159)</f>
        <v/>
      </c>
      <c r="H167" s="19">
        <f>IF(Deployments!A159="","",Deployments!A159)</f>
        <v/>
      </c>
      <c r="I167" s="19">
        <f>IF(Deployments!AN159="","",Deployments!AN159)</f>
        <v/>
      </c>
      <c r="J167" s="19">
        <f>IF(Deployments!AO159="","",Deployments!AO159)</f>
        <v/>
      </c>
      <c r="K167" s="19">
        <f>IF(Deployments!AI159="","",Deployments!AI159)</f>
        <v/>
      </c>
      <c r="L167" s="19">
        <f>IF(Deployments!M159="","",Deployments!M159)</f>
        <v/>
      </c>
      <c r="M167" s="20" t="n"/>
      <c r="N167" s="19">
        <f>IF(Deployments!N159="","",Deployments!N159)</f>
        <v/>
      </c>
      <c r="O167" s="19">
        <f>IF(Deployments!O159="","",Deployments!O159)</f>
        <v/>
      </c>
      <c r="P167" s="19">
        <f>IF(Deployments!P159="","",Deployments!P159)</f>
        <v/>
      </c>
      <c r="Q167" s="20" t="n"/>
      <c r="R167" s="19">
        <f>IF(Deployments!BT159="","",Deployments!BT159)</f>
        <v/>
      </c>
      <c r="S167" s="19">
        <f>IF(Deployments!BS159="","",Deployments!BS159)</f>
        <v/>
      </c>
      <c r="T167" s="19">
        <f>IF(Deployments!BB159="","",Deployments!BB159)</f>
        <v/>
      </c>
      <c r="U167" s="19">
        <f>IF(Deployments!BR159="","",Deployments!BR159)</f>
        <v/>
      </c>
      <c r="V167" s="19">
        <f>IF(Deployments!BX159="","",Deployments!BX159)</f>
        <v/>
      </c>
      <c r="W167" s="19">
        <f>IF(Deployments!BY159="","",Deployments!BY159)</f>
        <v/>
      </c>
      <c r="X167" s="19">
        <f>IF(Deployments!CC159="","",Deployments!CC159)</f>
        <v/>
      </c>
      <c r="Y167" s="19">
        <f>IF(Deployments!BW159="","",Deployments!BW159)</f>
        <v/>
      </c>
      <c r="Z167" s="19">
        <f>IF(Deployments!U159="","",Deployments!U159)</f>
        <v/>
      </c>
      <c r="AA167" s="19">
        <f>IF(Deployments!L159="","",Deployments!L159)</f>
        <v/>
      </c>
    </row>
    <row r="168" ht="94.5" customHeight="1" s="91">
      <c r="A168" s="20" t="n"/>
      <c r="B168" s="20" t="n"/>
      <c r="C168" s="19">
        <f>IF(Deployments!H160="","",Deployments!H160)</f>
        <v/>
      </c>
      <c r="D168" s="19">
        <f>IF(Deployments!AM160="","",Deployments!AM160)</f>
        <v/>
      </c>
      <c r="E168" s="19">
        <f>IF(Deployments!I160="","",Deployments!I160)</f>
        <v/>
      </c>
      <c r="F168" s="19">
        <f>IF(Deployments!J160="","",Deployments!J160)</f>
        <v/>
      </c>
      <c r="G168" s="19">
        <f>IF(Deployments!K160="","",Deployments!K160)</f>
        <v/>
      </c>
      <c r="H168" s="19">
        <f>IF(Deployments!A160="","",Deployments!A160)</f>
        <v/>
      </c>
      <c r="I168" s="19">
        <f>IF(Deployments!AN160="","",Deployments!AN160)</f>
        <v/>
      </c>
      <c r="J168" s="19">
        <f>IF(Deployments!AO160="","",Deployments!AO160)</f>
        <v/>
      </c>
      <c r="K168" s="19">
        <f>IF(Deployments!AI160="","",Deployments!AI160)</f>
        <v/>
      </c>
      <c r="L168" s="19">
        <f>IF(Deployments!M160="","",Deployments!M160)</f>
        <v/>
      </c>
      <c r="M168" s="20" t="n"/>
      <c r="N168" s="19">
        <f>IF(Deployments!N160="","",Deployments!N160)</f>
        <v/>
      </c>
      <c r="O168" s="19">
        <f>IF(Deployments!O160="","",Deployments!O160)</f>
        <v/>
      </c>
      <c r="P168" s="19">
        <f>IF(Deployments!P160="","",Deployments!P160)</f>
        <v/>
      </c>
      <c r="Q168" s="20" t="n"/>
      <c r="R168" s="19">
        <f>IF(Deployments!BT160="","",Deployments!BT160)</f>
        <v/>
      </c>
      <c r="S168" s="19">
        <f>IF(Deployments!BS160="","",Deployments!BS160)</f>
        <v/>
      </c>
      <c r="T168" s="19">
        <f>IF(Deployments!BB160="","",Deployments!BB160)</f>
        <v/>
      </c>
      <c r="U168" s="19">
        <f>IF(Deployments!BR160="","",Deployments!BR160)</f>
        <v/>
      </c>
      <c r="V168" s="19">
        <f>IF(Deployments!BX160="","",Deployments!BX160)</f>
        <v/>
      </c>
      <c r="W168" s="19">
        <f>IF(Deployments!BY160="","",Deployments!BY160)</f>
        <v/>
      </c>
      <c r="X168" s="19">
        <f>IF(Deployments!CC160="","",Deployments!CC160)</f>
        <v/>
      </c>
      <c r="Y168" s="19">
        <f>IF(Deployments!BW160="","",Deployments!BW160)</f>
        <v/>
      </c>
      <c r="Z168" s="19">
        <f>IF(Deployments!U160="","",Deployments!U160)</f>
        <v/>
      </c>
      <c r="AA168" s="19">
        <f>IF(Deployments!L160="","",Deployments!L160)</f>
        <v/>
      </c>
    </row>
    <row r="169" ht="94.5" customHeight="1" s="91">
      <c r="A169" s="20" t="n"/>
      <c r="B169" s="20" t="n"/>
      <c r="C169" s="19">
        <f>IF(Deployments!H161="","",Deployments!H161)</f>
        <v/>
      </c>
      <c r="D169" s="19">
        <f>IF(Deployments!AM161="","",Deployments!AM161)</f>
        <v/>
      </c>
      <c r="E169" s="19">
        <f>IF(Deployments!I161="","",Deployments!I161)</f>
        <v/>
      </c>
      <c r="F169" s="19">
        <f>IF(Deployments!J161="","",Deployments!J161)</f>
        <v/>
      </c>
      <c r="G169" s="19">
        <f>IF(Deployments!K161="","",Deployments!K161)</f>
        <v/>
      </c>
      <c r="H169" s="19">
        <f>IF(Deployments!A161="","",Deployments!A161)</f>
        <v/>
      </c>
      <c r="I169" s="19">
        <f>IF(Deployments!AN161="","",Deployments!AN161)</f>
        <v/>
      </c>
      <c r="J169" s="19">
        <f>IF(Deployments!AO161="","",Deployments!AO161)</f>
        <v/>
      </c>
      <c r="K169" s="19">
        <f>IF(Deployments!AI161="","",Deployments!AI161)</f>
        <v/>
      </c>
      <c r="L169" s="19">
        <f>IF(Deployments!M161="","",Deployments!M161)</f>
        <v/>
      </c>
      <c r="M169" s="20" t="n"/>
      <c r="N169" s="19">
        <f>IF(Deployments!N161="","",Deployments!N161)</f>
        <v/>
      </c>
      <c r="O169" s="19">
        <f>IF(Deployments!O161="","",Deployments!O161)</f>
        <v/>
      </c>
      <c r="P169" s="19">
        <f>IF(Deployments!P161="","",Deployments!P161)</f>
        <v/>
      </c>
      <c r="Q169" s="20" t="n"/>
      <c r="R169" s="19">
        <f>IF(Deployments!BT161="","",Deployments!BT161)</f>
        <v/>
      </c>
      <c r="S169" s="19">
        <f>IF(Deployments!BS161="","",Deployments!BS161)</f>
        <v/>
      </c>
      <c r="T169" s="19">
        <f>IF(Deployments!BB161="","",Deployments!BB161)</f>
        <v/>
      </c>
      <c r="U169" s="19">
        <f>IF(Deployments!BR161="","",Deployments!BR161)</f>
        <v/>
      </c>
      <c r="V169" s="19">
        <f>IF(Deployments!BX161="","",Deployments!BX161)</f>
        <v/>
      </c>
      <c r="W169" s="19">
        <f>IF(Deployments!BY161="","",Deployments!BY161)</f>
        <v/>
      </c>
      <c r="X169" s="19">
        <f>IF(Deployments!CC161="","",Deployments!CC161)</f>
        <v/>
      </c>
      <c r="Y169" s="19">
        <f>IF(Deployments!BW161="","",Deployments!BW161)</f>
        <v/>
      </c>
      <c r="Z169" s="19">
        <f>IF(Deployments!U161="","",Deployments!U161)</f>
        <v/>
      </c>
      <c r="AA169" s="19">
        <f>IF(Deployments!L161="","",Deployments!L161)</f>
        <v/>
      </c>
    </row>
    <row r="170" ht="94.5" customHeight="1" s="91">
      <c r="A170" s="20" t="n"/>
      <c r="B170" s="20" t="n"/>
      <c r="C170" s="19">
        <f>IF(Deployments!H162="","",Deployments!H162)</f>
        <v/>
      </c>
      <c r="D170" s="19">
        <f>IF(Deployments!AM162="","",Deployments!AM162)</f>
        <v/>
      </c>
      <c r="E170" s="19">
        <f>IF(Deployments!I162="","",Deployments!I162)</f>
        <v/>
      </c>
      <c r="F170" s="19">
        <f>IF(Deployments!J162="","",Deployments!J162)</f>
        <v/>
      </c>
      <c r="G170" s="19">
        <f>IF(Deployments!K162="","",Deployments!K162)</f>
        <v/>
      </c>
      <c r="H170" s="19">
        <f>IF(Deployments!A162="","",Deployments!A162)</f>
        <v/>
      </c>
      <c r="I170" s="19">
        <f>IF(Deployments!AN162="","",Deployments!AN162)</f>
        <v/>
      </c>
      <c r="J170" s="19">
        <f>IF(Deployments!AO162="","",Deployments!AO162)</f>
        <v/>
      </c>
      <c r="K170" s="19">
        <f>IF(Deployments!AI162="","",Deployments!AI162)</f>
        <v/>
      </c>
      <c r="L170" s="19">
        <f>IF(Deployments!M162="","",Deployments!M162)</f>
        <v/>
      </c>
      <c r="M170" s="20" t="n"/>
      <c r="N170" s="19">
        <f>IF(Deployments!N162="","",Deployments!N162)</f>
        <v/>
      </c>
      <c r="O170" s="19">
        <f>IF(Deployments!O162="","",Deployments!O162)</f>
        <v/>
      </c>
      <c r="P170" s="19">
        <f>IF(Deployments!P162="","",Deployments!P162)</f>
        <v/>
      </c>
      <c r="Q170" s="20" t="n"/>
      <c r="R170" s="19">
        <f>IF(Deployments!BT162="","",Deployments!BT162)</f>
        <v/>
      </c>
      <c r="S170" s="19">
        <f>IF(Deployments!BS162="","",Deployments!BS162)</f>
        <v/>
      </c>
      <c r="T170" s="19">
        <f>IF(Deployments!BB162="","",Deployments!BB162)</f>
        <v/>
      </c>
      <c r="U170" s="19">
        <f>IF(Deployments!BR162="","",Deployments!BR162)</f>
        <v/>
      </c>
      <c r="V170" s="19">
        <f>IF(Deployments!BX162="","",Deployments!BX162)</f>
        <v/>
      </c>
      <c r="W170" s="19">
        <f>IF(Deployments!BY162="","",Deployments!BY162)</f>
        <v/>
      </c>
      <c r="X170" s="19">
        <f>IF(Deployments!CC162="","",Deployments!CC162)</f>
        <v/>
      </c>
      <c r="Y170" s="19">
        <f>IF(Deployments!BW162="","",Deployments!BW162)</f>
        <v/>
      </c>
      <c r="Z170" s="19">
        <f>IF(Deployments!U162="","",Deployments!U162)</f>
        <v/>
      </c>
      <c r="AA170" s="19">
        <f>IF(Deployments!L162="","",Deployments!L162)</f>
        <v/>
      </c>
    </row>
    <row r="171" ht="94.5" customHeight="1" s="91">
      <c r="A171" s="20" t="n"/>
      <c r="B171" s="20" t="n"/>
      <c r="C171" s="19">
        <f>IF(Deployments!H163="","",Deployments!H163)</f>
        <v/>
      </c>
      <c r="D171" s="19">
        <f>IF(Deployments!AM163="","",Deployments!AM163)</f>
        <v/>
      </c>
      <c r="E171" s="19">
        <f>IF(Deployments!I163="","",Deployments!I163)</f>
        <v/>
      </c>
      <c r="F171" s="19">
        <f>IF(Deployments!J163="","",Deployments!J163)</f>
        <v/>
      </c>
      <c r="G171" s="19">
        <f>IF(Deployments!K163="","",Deployments!K163)</f>
        <v/>
      </c>
      <c r="H171" s="19">
        <f>IF(Deployments!A163="","",Deployments!A163)</f>
        <v/>
      </c>
      <c r="I171" s="19">
        <f>IF(Deployments!AN163="","",Deployments!AN163)</f>
        <v/>
      </c>
      <c r="J171" s="19">
        <f>IF(Deployments!AO163="","",Deployments!AO163)</f>
        <v/>
      </c>
      <c r="K171" s="19">
        <f>IF(Deployments!AI163="","",Deployments!AI163)</f>
        <v/>
      </c>
      <c r="L171" s="19">
        <f>IF(Deployments!M163="","",Deployments!M163)</f>
        <v/>
      </c>
      <c r="M171" s="20" t="n"/>
      <c r="N171" s="19">
        <f>IF(Deployments!N163="","",Deployments!N163)</f>
        <v/>
      </c>
      <c r="O171" s="19">
        <f>IF(Deployments!O163="","",Deployments!O163)</f>
        <v/>
      </c>
      <c r="P171" s="19">
        <f>IF(Deployments!P163="","",Deployments!P163)</f>
        <v/>
      </c>
      <c r="Q171" s="20" t="n"/>
      <c r="R171" s="19">
        <f>IF(Deployments!BT163="","",Deployments!BT163)</f>
        <v/>
      </c>
      <c r="S171" s="19">
        <f>IF(Deployments!BS163="","",Deployments!BS163)</f>
        <v/>
      </c>
      <c r="T171" s="19">
        <f>IF(Deployments!BB163="","",Deployments!BB163)</f>
        <v/>
      </c>
      <c r="U171" s="19">
        <f>IF(Deployments!BR163="","",Deployments!BR163)</f>
        <v/>
      </c>
      <c r="V171" s="19">
        <f>IF(Deployments!BX163="","",Deployments!BX163)</f>
        <v/>
      </c>
      <c r="W171" s="19">
        <f>IF(Deployments!BY163="","",Deployments!BY163)</f>
        <v/>
      </c>
      <c r="X171" s="19">
        <f>IF(Deployments!CC163="","",Deployments!CC163)</f>
        <v/>
      </c>
      <c r="Y171" s="19">
        <f>IF(Deployments!BW163="","",Deployments!BW163)</f>
        <v/>
      </c>
      <c r="Z171" s="19">
        <f>IF(Deployments!U163="","",Deployments!U163)</f>
        <v/>
      </c>
      <c r="AA171" s="19">
        <f>IF(Deployments!L163="","",Deployments!L163)</f>
        <v/>
      </c>
    </row>
    <row r="172" ht="94.5" customHeight="1" s="91">
      <c r="A172" s="20" t="n"/>
      <c r="B172" s="20" t="n"/>
      <c r="C172" s="19">
        <f>IF(Deployments!H164="","",Deployments!H164)</f>
        <v/>
      </c>
      <c r="D172" s="19">
        <f>IF(Deployments!AM164="","",Deployments!AM164)</f>
        <v/>
      </c>
      <c r="E172" s="19">
        <f>IF(Deployments!I164="","",Deployments!I164)</f>
        <v/>
      </c>
      <c r="F172" s="19">
        <f>IF(Deployments!J164="","",Deployments!J164)</f>
        <v/>
      </c>
      <c r="G172" s="19">
        <f>IF(Deployments!K164="","",Deployments!K164)</f>
        <v/>
      </c>
      <c r="H172" s="19">
        <f>IF(Deployments!A164="","",Deployments!A164)</f>
        <v/>
      </c>
      <c r="I172" s="19">
        <f>IF(Deployments!AN164="","",Deployments!AN164)</f>
        <v/>
      </c>
      <c r="J172" s="19">
        <f>IF(Deployments!AO164="","",Deployments!AO164)</f>
        <v/>
      </c>
      <c r="K172" s="19">
        <f>IF(Deployments!AI164="","",Deployments!AI164)</f>
        <v/>
      </c>
      <c r="L172" s="19">
        <f>IF(Deployments!M164="","",Deployments!M164)</f>
        <v/>
      </c>
      <c r="M172" s="20" t="n"/>
      <c r="N172" s="19">
        <f>IF(Deployments!N164="","",Deployments!N164)</f>
        <v/>
      </c>
      <c r="O172" s="19">
        <f>IF(Deployments!O164="","",Deployments!O164)</f>
        <v/>
      </c>
      <c r="P172" s="19">
        <f>IF(Deployments!P164="","",Deployments!P164)</f>
        <v/>
      </c>
      <c r="Q172" s="20" t="n"/>
      <c r="R172" s="19">
        <f>IF(Deployments!BT164="","",Deployments!BT164)</f>
        <v/>
      </c>
      <c r="S172" s="19">
        <f>IF(Deployments!BS164="","",Deployments!BS164)</f>
        <v/>
      </c>
      <c r="T172" s="19">
        <f>IF(Deployments!BB164="","",Deployments!BB164)</f>
        <v/>
      </c>
      <c r="U172" s="19">
        <f>IF(Deployments!BR164="","",Deployments!BR164)</f>
        <v/>
      </c>
      <c r="V172" s="19">
        <f>IF(Deployments!BX164="","",Deployments!BX164)</f>
        <v/>
      </c>
      <c r="W172" s="19">
        <f>IF(Deployments!BY164="","",Deployments!BY164)</f>
        <v/>
      </c>
      <c r="X172" s="19">
        <f>IF(Deployments!CC164="","",Deployments!CC164)</f>
        <v/>
      </c>
      <c r="Y172" s="19">
        <f>IF(Deployments!BW164="","",Deployments!BW164)</f>
        <v/>
      </c>
      <c r="Z172" s="19">
        <f>IF(Deployments!U164="","",Deployments!U164)</f>
        <v/>
      </c>
      <c r="AA172" s="19">
        <f>IF(Deployments!L164="","",Deployments!L164)</f>
        <v/>
      </c>
    </row>
    <row r="173" ht="94.5" customHeight="1" s="91">
      <c r="A173" s="20" t="n"/>
      <c r="B173" s="20" t="n"/>
      <c r="C173" s="19">
        <f>IF(Deployments!H165="","",Deployments!H165)</f>
        <v/>
      </c>
      <c r="D173" s="19">
        <f>IF(Deployments!AM165="","",Deployments!AM165)</f>
        <v/>
      </c>
      <c r="E173" s="19">
        <f>IF(Deployments!I165="","",Deployments!I165)</f>
        <v/>
      </c>
      <c r="F173" s="19">
        <f>IF(Deployments!J165="","",Deployments!J165)</f>
        <v/>
      </c>
      <c r="G173" s="19">
        <f>IF(Deployments!K165="","",Deployments!K165)</f>
        <v/>
      </c>
      <c r="H173" s="19">
        <f>IF(Deployments!A165="","",Deployments!A165)</f>
        <v/>
      </c>
      <c r="I173" s="19">
        <f>IF(Deployments!AN165="","",Deployments!AN165)</f>
        <v/>
      </c>
      <c r="J173" s="19">
        <f>IF(Deployments!AO165="","",Deployments!AO165)</f>
        <v/>
      </c>
      <c r="K173" s="19">
        <f>IF(Deployments!AI165="","",Deployments!AI165)</f>
        <v/>
      </c>
      <c r="L173" s="19">
        <f>IF(Deployments!M165="","",Deployments!M165)</f>
        <v/>
      </c>
      <c r="M173" s="20" t="n"/>
      <c r="N173" s="19">
        <f>IF(Deployments!N165="","",Deployments!N165)</f>
        <v/>
      </c>
      <c r="O173" s="19">
        <f>IF(Deployments!O165="","",Deployments!O165)</f>
        <v/>
      </c>
      <c r="P173" s="19">
        <f>IF(Deployments!P165="","",Deployments!P165)</f>
        <v/>
      </c>
      <c r="Q173" s="20" t="n"/>
      <c r="R173" s="19">
        <f>IF(Deployments!BT165="","",Deployments!BT165)</f>
        <v/>
      </c>
      <c r="S173" s="19">
        <f>IF(Deployments!BS165="","",Deployments!BS165)</f>
        <v/>
      </c>
      <c r="T173" s="19">
        <f>IF(Deployments!BB165="","",Deployments!BB165)</f>
        <v/>
      </c>
      <c r="U173" s="19">
        <f>IF(Deployments!BR165="","",Deployments!BR165)</f>
        <v/>
      </c>
      <c r="V173" s="19">
        <f>IF(Deployments!BX165="","",Deployments!BX165)</f>
        <v/>
      </c>
      <c r="W173" s="19">
        <f>IF(Deployments!BY165="","",Deployments!BY165)</f>
        <v/>
      </c>
      <c r="X173" s="19">
        <f>IF(Deployments!CC165="","",Deployments!CC165)</f>
        <v/>
      </c>
      <c r="Y173" s="19">
        <f>IF(Deployments!BW165="","",Deployments!BW165)</f>
        <v/>
      </c>
      <c r="Z173" s="19">
        <f>IF(Deployments!U165="","",Deployments!U165)</f>
        <v/>
      </c>
      <c r="AA173" s="19">
        <f>IF(Deployments!L165="","",Deployments!L165)</f>
        <v/>
      </c>
    </row>
    <row r="174" ht="94.5" customHeight="1" s="91">
      <c r="A174" s="20" t="n"/>
      <c r="B174" s="20" t="n"/>
      <c r="C174" s="19">
        <f>IF(Deployments!H166="","",Deployments!H166)</f>
        <v/>
      </c>
      <c r="D174" s="19">
        <f>IF(Deployments!AM166="","",Deployments!AM166)</f>
        <v/>
      </c>
      <c r="E174" s="19">
        <f>IF(Deployments!I166="","",Deployments!I166)</f>
        <v/>
      </c>
      <c r="F174" s="19">
        <f>IF(Deployments!J166="","",Deployments!J166)</f>
        <v/>
      </c>
      <c r="G174" s="19">
        <f>IF(Deployments!K166="","",Deployments!K166)</f>
        <v/>
      </c>
      <c r="H174" s="19">
        <f>IF(Deployments!A166="","",Deployments!A166)</f>
        <v/>
      </c>
      <c r="I174" s="19">
        <f>IF(Deployments!AN166="","",Deployments!AN166)</f>
        <v/>
      </c>
      <c r="J174" s="19">
        <f>IF(Deployments!AO166="","",Deployments!AO166)</f>
        <v/>
      </c>
      <c r="K174" s="19">
        <f>IF(Deployments!AI166="","",Deployments!AI166)</f>
        <v/>
      </c>
      <c r="L174" s="19">
        <f>IF(Deployments!M166="","",Deployments!M166)</f>
        <v/>
      </c>
      <c r="M174" s="20" t="n"/>
      <c r="N174" s="19">
        <f>IF(Deployments!N166="","",Deployments!N166)</f>
        <v/>
      </c>
      <c r="O174" s="19">
        <f>IF(Deployments!O166="","",Deployments!O166)</f>
        <v/>
      </c>
      <c r="P174" s="19">
        <f>IF(Deployments!P166="","",Deployments!P166)</f>
        <v/>
      </c>
      <c r="Q174" s="20" t="n"/>
      <c r="R174" s="19">
        <f>IF(Deployments!BT166="","",Deployments!BT166)</f>
        <v/>
      </c>
      <c r="S174" s="19">
        <f>IF(Deployments!BS166="","",Deployments!BS166)</f>
        <v/>
      </c>
      <c r="T174" s="19">
        <f>IF(Deployments!BB166="","",Deployments!BB166)</f>
        <v/>
      </c>
      <c r="U174" s="19">
        <f>IF(Deployments!BR166="","",Deployments!BR166)</f>
        <v/>
      </c>
      <c r="V174" s="19">
        <f>IF(Deployments!BX166="","",Deployments!BX166)</f>
        <v/>
      </c>
      <c r="W174" s="19">
        <f>IF(Deployments!BY166="","",Deployments!BY166)</f>
        <v/>
      </c>
      <c r="X174" s="19">
        <f>IF(Deployments!CC166="","",Deployments!CC166)</f>
        <v/>
      </c>
      <c r="Y174" s="19">
        <f>IF(Deployments!BW166="","",Deployments!BW166)</f>
        <v/>
      </c>
      <c r="Z174" s="19">
        <f>IF(Deployments!U166="","",Deployments!U166)</f>
        <v/>
      </c>
      <c r="AA174" s="19">
        <f>IF(Deployments!L166="","",Deployments!L166)</f>
        <v/>
      </c>
    </row>
    <row r="175" ht="94.5" customHeight="1" s="91">
      <c r="A175" s="20" t="n"/>
      <c r="B175" s="20" t="n"/>
      <c r="C175" s="19">
        <f>IF(Deployments!H167="","",Deployments!H167)</f>
        <v/>
      </c>
      <c r="D175" s="19">
        <f>IF(Deployments!AM167="","",Deployments!AM167)</f>
        <v/>
      </c>
      <c r="E175" s="19">
        <f>IF(Deployments!I167="","",Deployments!I167)</f>
        <v/>
      </c>
      <c r="F175" s="19">
        <f>IF(Deployments!J167="","",Deployments!J167)</f>
        <v/>
      </c>
      <c r="G175" s="19">
        <f>IF(Deployments!K167="","",Deployments!K167)</f>
        <v/>
      </c>
      <c r="H175" s="19">
        <f>IF(Deployments!A167="","",Deployments!A167)</f>
        <v/>
      </c>
      <c r="I175" s="19">
        <f>IF(Deployments!AN167="","",Deployments!AN167)</f>
        <v/>
      </c>
      <c r="J175" s="19">
        <f>IF(Deployments!AO167="","",Deployments!AO167)</f>
        <v/>
      </c>
      <c r="K175" s="19">
        <f>IF(Deployments!AI167="","",Deployments!AI167)</f>
        <v/>
      </c>
      <c r="L175" s="19">
        <f>IF(Deployments!M167="","",Deployments!M167)</f>
        <v/>
      </c>
      <c r="M175" s="20" t="n"/>
      <c r="N175" s="19">
        <f>IF(Deployments!N167="","",Deployments!N167)</f>
        <v/>
      </c>
      <c r="O175" s="19">
        <f>IF(Deployments!O167="","",Deployments!O167)</f>
        <v/>
      </c>
      <c r="P175" s="19">
        <f>IF(Deployments!P167="","",Deployments!P167)</f>
        <v/>
      </c>
      <c r="Q175" s="20" t="n"/>
      <c r="R175" s="19">
        <f>IF(Deployments!BT167="","",Deployments!BT167)</f>
        <v/>
      </c>
      <c r="S175" s="19">
        <f>IF(Deployments!BS167="","",Deployments!BS167)</f>
        <v/>
      </c>
      <c r="T175" s="19">
        <f>IF(Deployments!BB167="","",Deployments!BB167)</f>
        <v/>
      </c>
      <c r="U175" s="19">
        <f>IF(Deployments!BR167="","",Deployments!BR167)</f>
        <v/>
      </c>
      <c r="V175" s="19">
        <f>IF(Deployments!BX167="","",Deployments!BX167)</f>
        <v/>
      </c>
      <c r="W175" s="19">
        <f>IF(Deployments!BY167="","",Deployments!BY167)</f>
        <v/>
      </c>
      <c r="X175" s="19">
        <f>IF(Deployments!CC167="","",Deployments!CC167)</f>
        <v/>
      </c>
      <c r="Y175" s="19">
        <f>IF(Deployments!BW167="","",Deployments!BW167)</f>
        <v/>
      </c>
      <c r="Z175" s="19">
        <f>IF(Deployments!U167="","",Deployments!U167)</f>
        <v/>
      </c>
      <c r="AA175" s="19">
        <f>IF(Deployments!L167="","",Deployments!L167)</f>
        <v/>
      </c>
    </row>
    <row r="176" ht="94.5" customHeight="1" s="91">
      <c r="A176" s="20" t="n"/>
      <c r="B176" s="20" t="n"/>
      <c r="C176" s="19">
        <f>IF(Deployments!H168="","",Deployments!H168)</f>
        <v/>
      </c>
      <c r="D176" s="19">
        <f>IF(Deployments!AM168="","",Deployments!AM168)</f>
        <v/>
      </c>
      <c r="E176" s="19">
        <f>IF(Deployments!I168="","",Deployments!I168)</f>
        <v/>
      </c>
      <c r="F176" s="19">
        <f>IF(Deployments!J168="","",Deployments!J168)</f>
        <v/>
      </c>
      <c r="G176" s="19">
        <f>IF(Deployments!K168="","",Deployments!K168)</f>
        <v/>
      </c>
      <c r="H176" s="19">
        <f>IF(Deployments!A168="","",Deployments!A168)</f>
        <v/>
      </c>
      <c r="I176" s="19">
        <f>IF(Deployments!AN168="","",Deployments!AN168)</f>
        <v/>
      </c>
      <c r="J176" s="19">
        <f>IF(Deployments!AO168="","",Deployments!AO168)</f>
        <v/>
      </c>
      <c r="K176" s="19">
        <f>IF(Deployments!AI168="","",Deployments!AI168)</f>
        <v/>
      </c>
      <c r="L176" s="19">
        <f>IF(Deployments!M168="","",Deployments!M168)</f>
        <v/>
      </c>
      <c r="M176" s="20" t="n"/>
      <c r="N176" s="19">
        <f>IF(Deployments!N168="","",Deployments!N168)</f>
        <v/>
      </c>
      <c r="O176" s="19">
        <f>IF(Deployments!O168="","",Deployments!O168)</f>
        <v/>
      </c>
      <c r="P176" s="19">
        <f>IF(Deployments!P168="","",Deployments!P168)</f>
        <v/>
      </c>
      <c r="Q176" s="20" t="n"/>
      <c r="R176" s="19">
        <f>IF(Deployments!BT168="","",Deployments!BT168)</f>
        <v/>
      </c>
      <c r="S176" s="19">
        <f>IF(Deployments!BS168="","",Deployments!BS168)</f>
        <v/>
      </c>
      <c r="T176" s="19">
        <f>IF(Deployments!BB168="","",Deployments!BB168)</f>
        <v/>
      </c>
      <c r="U176" s="19">
        <f>IF(Deployments!BR168="","",Deployments!BR168)</f>
        <v/>
      </c>
      <c r="V176" s="19">
        <f>IF(Deployments!BX168="","",Deployments!BX168)</f>
        <v/>
      </c>
      <c r="W176" s="19">
        <f>IF(Deployments!BY168="","",Deployments!BY168)</f>
        <v/>
      </c>
      <c r="X176" s="19">
        <f>IF(Deployments!CC168="","",Deployments!CC168)</f>
        <v/>
      </c>
      <c r="Y176" s="19">
        <f>IF(Deployments!BW168="","",Deployments!BW168)</f>
        <v/>
      </c>
      <c r="Z176" s="19">
        <f>IF(Deployments!U168="","",Deployments!U168)</f>
        <v/>
      </c>
      <c r="AA176" s="19">
        <f>IF(Deployments!L168="","",Deployments!L168)</f>
        <v/>
      </c>
    </row>
    <row r="177" ht="94.5" customHeight="1" s="91">
      <c r="A177" s="20" t="n"/>
      <c r="B177" s="20" t="n"/>
      <c r="C177" s="19">
        <f>IF(Deployments!H169="","",Deployments!H169)</f>
        <v/>
      </c>
      <c r="D177" s="19">
        <f>IF(Deployments!AM169="","",Deployments!AM169)</f>
        <v/>
      </c>
      <c r="E177" s="19">
        <f>IF(Deployments!I169="","",Deployments!I169)</f>
        <v/>
      </c>
      <c r="F177" s="19">
        <f>IF(Deployments!J169="","",Deployments!J169)</f>
        <v/>
      </c>
      <c r="G177" s="19">
        <f>IF(Deployments!K169="","",Deployments!K169)</f>
        <v/>
      </c>
      <c r="H177" s="19">
        <f>IF(Deployments!A169="","",Deployments!A169)</f>
        <v/>
      </c>
      <c r="I177" s="19">
        <f>IF(Deployments!AN169="","",Deployments!AN169)</f>
        <v/>
      </c>
      <c r="J177" s="19">
        <f>IF(Deployments!AO169="","",Deployments!AO169)</f>
        <v/>
      </c>
      <c r="K177" s="19">
        <f>IF(Deployments!AI169="","",Deployments!AI169)</f>
        <v/>
      </c>
      <c r="L177" s="19">
        <f>IF(Deployments!M169="","",Deployments!M169)</f>
        <v/>
      </c>
      <c r="M177" s="20" t="n"/>
      <c r="N177" s="19">
        <f>IF(Deployments!N169="","",Deployments!N169)</f>
        <v/>
      </c>
      <c r="O177" s="19">
        <f>IF(Deployments!O169="","",Deployments!O169)</f>
        <v/>
      </c>
      <c r="P177" s="19">
        <f>IF(Deployments!P169="","",Deployments!P169)</f>
        <v/>
      </c>
      <c r="Q177" s="20" t="n"/>
      <c r="R177" s="19">
        <f>IF(Deployments!BT169="","",Deployments!BT169)</f>
        <v/>
      </c>
      <c r="S177" s="19">
        <f>IF(Deployments!BS169="","",Deployments!BS169)</f>
        <v/>
      </c>
      <c r="T177" s="19">
        <f>IF(Deployments!BB169="","",Deployments!BB169)</f>
        <v/>
      </c>
      <c r="U177" s="19">
        <f>IF(Deployments!BR169="","",Deployments!BR169)</f>
        <v/>
      </c>
      <c r="V177" s="19">
        <f>IF(Deployments!BX169="","",Deployments!BX169)</f>
        <v/>
      </c>
      <c r="W177" s="19">
        <f>IF(Deployments!BY169="","",Deployments!BY169)</f>
        <v/>
      </c>
      <c r="X177" s="19">
        <f>IF(Deployments!CC169="","",Deployments!CC169)</f>
        <v/>
      </c>
      <c r="Y177" s="19">
        <f>IF(Deployments!BW169="","",Deployments!BW169)</f>
        <v/>
      </c>
      <c r="Z177" s="19">
        <f>IF(Deployments!U169="","",Deployments!U169)</f>
        <v/>
      </c>
      <c r="AA177" s="19">
        <f>IF(Deployments!L169="","",Deployments!L169)</f>
        <v/>
      </c>
    </row>
    <row r="178" ht="94.5" customHeight="1" s="91">
      <c r="A178" s="20" t="n"/>
      <c r="B178" s="20" t="n"/>
      <c r="C178" s="19">
        <f>IF(Deployments!H170="","",Deployments!H170)</f>
        <v/>
      </c>
      <c r="D178" s="19">
        <f>IF(Deployments!AM170="","",Deployments!AM170)</f>
        <v/>
      </c>
      <c r="E178" s="19">
        <f>IF(Deployments!I170="","",Deployments!I170)</f>
        <v/>
      </c>
      <c r="F178" s="19">
        <f>IF(Deployments!J170="","",Deployments!J170)</f>
        <v/>
      </c>
      <c r="G178" s="19">
        <f>IF(Deployments!K170="","",Deployments!K170)</f>
        <v/>
      </c>
      <c r="H178" s="19">
        <f>IF(Deployments!A170="","",Deployments!A170)</f>
        <v/>
      </c>
      <c r="I178" s="19">
        <f>IF(Deployments!AN170="","",Deployments!AN170)</f>
        <v/>
      </c>
      <c r="J178" s="19">
        <f>IF(Deployments!AO170="","",Deployments!AO170)</f>
        <v/>
      </c>
      <c r="K178" s="19">
        <f>IF(Deployments!AI170="","",Deployments!AI170)</f>
        <v/>
      </c>
      <c r="L178" s="19">
        <f>IF(Deployments!M170="","",Deployments!M170)</f>
        <v/>
      </c>
      <c r="M178" s="20" t="n"/>
      <c r="N178" s="19">
        <f>IF(Deployments!N170="","",Deployments!N170)</f>
        <v/>
      </c>
      <c r="O178" s="19">
        <f>IF(Deployments!O170="","",Deployments!O170)</f>
        <v/>
      </c>
      <c r="P178" s="19">
        <f>IF(Deployments!P170="","",Deployments!P170)</f>
        <v/>
      </c>
      <c r="Q178" s="20" t="n"/>
      <c r="R178" s="19">
        <f>IF(Deployments!BT170="","",Deployments!BT170)</f>
        <v/>
      </c>
      <c r="S178" s="19">
        <f>IF(Deployments!BS170="","",Deployments!BS170)</f>
        <v/>
      </c>
      <c r="T178" s="19">
        <f>IF(Deployments!BB170="","",Deployments!BB170)</f>
        <v/>
      </c>
      <c r="U178" s="19">
        <f>IF(Deployments!BR170="","",Deployments!BR170)</f>
        <v/>
      </c>
      <c r="V178" s="19">
        <f>IF(Deployments!BX170="","",Deployments!BX170)</f>
        <v/>
      </c>
      <c r="W178" s="19">
        <f>IF(Deployments!BY170="","",Deployments!BY170)</f>
        <v/>
      </c>
      <c r="X178" s="19">
        <f>IF(Deployments!CC170="","",Deployments!CC170)</f>
        <v/>
      </c>
      <c r="Y178" s="19">
        <f>IF(Deployments!BW170="","",Deployments!BW170)</f>
        <v/>
      </c>
      <c r="Z178" s="19">
        <f>IF(Deployments!U170="","",Deployments!U170)</f>
        <v/>
      </c>
      <c r="AA178" s="19">
        <f>IF(Deployments!L170="","",Deployments!L170)</f>
        <v/>
      </c>
    </row>
    <row r="179" ht="94.5" customHeight="1" s="91">
      <c r="A179" s="20" t="n"/>
      <c r="B179" s="20" t="n"/>
      <c r="C179" s="19">
        <f>IF(Deployments!H171="","",Deployments!H171)</f>
        <v/>
      </c>
      <c r="D179" s="19">
        <f>IF(Deployments!AM171="","",Deployments!AM171)</f>
        <v/>
      </c>
      <c r="E179" s="19">
        <f>IF(Deployments!I171="","",Deployments!I171)</f>
        <v/>
      </c>
      <c r="F179" s="19">
        <f>IF(Deployments!J171="","",Deployments!J171)</f>
        <v/>
      </c>
      <c r="G179" s="19">
        <f>IF(Deployments!K171="","",Deployments!K171)</f>
        <v/>
      </c>
      <c r="H179" s="19">
        <f>IF(Deployments!A171="","",Deployments!A171)</f>
        <v/>
      </c>
      <c r="I179" s="19">
        <f>IF(Deployments!AN171="","",Deployments!AN171)</f>
        <v/>
      </c>
      <c r="J179" s="19">
        <f>IF(Deployments!AO171="","",Deployments!AO171)</f>
        <v/>
      </c>
      <c r="K179" s="19">
        <f>IF(Deployments!AI171="","",Deployments!AI171)</f>
        <v/>
      </c>
      <c r="L179" s="19">
        <f>IF(Deployments!M171="","",Deployments!M171)</f>
        <v/>
      </c>
      <c r="M179" s="20" t="n"/>
      <c r="N179" s="19">
        <f>IF(Deployments!N171="","",Deployments!N171)</f>
        <v/>
      </c>
      <c r="O179" s="19">
        <f>IF(Deployments!O171="","",Deployments!O171)</f>
        <v/>
      </c>
      <c r="P179" s="19">
        <f>IF(Deployments!P171="","",Deployments!P171)</f>
        <v/>
      </c>
      <c r="Q179" s="20" t="n"/>
      <c r="R179" s="19">
        <f>IF(Deployments!BT171="","",Deployments!BT171)</f>
        <v/>
      </c>
      <c r="S179" s="19">
        <f>IF(Deployments!BS171="","",Deployments!BS171)</f>
        <v/>
      </c>
      <c r="T179" s="19">
        <f>IF(Deployments!BB171="","",Deployments!BB171)</f>
        <v/>
      </c>
      <c r="U179" s="19">
        <f>IF(Deployments!BR171="","",Deployments!BR171)</f>
        <v/>
      </c>
      <c r="V179" s="19">
        <f>IF(Deployments!BX171="","",Deployments!BX171)</f>
        <v/>
      </c>
      <c r="W179" s="19">
        <f>IF(Deployments!BY171="","",Deployments!BY171)</f>
        <v/>
      </c>
      <c r="X179" s="19">
        <f>IF(Deployments!CC171="","",Deployments!CC171)</f>
        <v/>
      </c>
      <c r="Y179" s="19">
        <f>IF(Deployments!BW171="","",Deployments!BW171)</f>
        <v/>
      </c>
      <c r="Z179" s="19">
        <f>IF(Deployments!U171="","",Deployments!U171)</f>
        <v/>
      </c>
      <c r="AA179" s="19">
        <f>IF(Deployments!L171="","",Deployments!L171)</f>
        <v/>
      </c>
    </row>
    <row r="180" ht="94.5" customHeight="1" s="91">
      <c r="A180" s="20" t="n"/>
      <c r="B180" s="20" t="n"/>
      <c r="C180" s="19">
        <f>IF(Deployments!H172="","",Deployments!H172)</f>
        <v/>
      </c>
      <c r="D180" s="19">
        <f>IF(Deployments!AM172="","",Deployments!AM172)</f>
        <v/>
      </c>
      <c r="E180" s="19">
        <f>IF(Deployments!I172="","",Deployments!I172)</f>
        <v/>
      </c>
      <c r="F180" s="19">
        <f>IF(Deployments!J172="","",Deployments!J172)</f>
        <v/>
      </c>
      <c r="G180" s="19">
        <f>IF(Deployments!K172="","",Deployments!K172)</f>
        <v/>
      </c>
      <c r="H180" s="19">
        <f>IF(Deployments!A172="","",Deployments!A172)</f>
        <v/>
      </c>
      <c r="I180" s="19">
        <f>IF(Deployments!AN172="","",Deployments!AN172)</f>
        <v/>
      </c>
      <c r="J180" s="19">
        <f>IF(Deployments!AO172="","",Deployments!AO172)</f>
        <v/>
      </c>
      <c r="K180" s="19">
        <f>IF(Deployments!AI172="","",Deployments!AI172)</f>
        <v/>
      </c>
      <c r="L180" s="19">
        <f>IF(Deployments!M172="","",Deployments!M172)</f>
        <v/>
      </c>
      <c r="M180" s="20" t="n"/>
      <c r="N180" s="19">
        <f>IF(Deployments!N172="","",Deployments!N172)</f>
        <v/>
      </c>
      <c r="O180" s="19">
        <f>IF(Deployments!O172="","",Deployments!O172)</f>
        <v/>
      </c>
      <c r="P180" s="19">
        <f>IF(Deployments!P172="","",Deployments!P172)</f>
        <v/>
      </c>
      <c r="Q180" s="20" t="n"/>
      <c r="R180" s="19">
        <f>IF(Deployments!BT172="","",Deployments!BT172)</f>
        <v/>
      </c>
      <c r="S180" s="19">
        <f>IF(Deployments!BS172="","",Deployments!BS172)</f>
        <v/>
      </c>
      <c r="T180" s="19">
        <f>IF(Deployments!BB172="","",Deployments!BB172)</f>
        <v/>
      </c>
      <c r="U180" s="19">
        <f>IF(Deployments!BR172="","",Deployments!BR172)</f>
        <v/>
      </c>
      <c r="V180" s="19">
        <f>IF(Deployments!BX172="","",Deployments!BX172)</f>
        <v/>
      </c>
      <c r="W180" s="19">
        <f>IF(Deployments!BY172="","",Deployments!BY172)</f>
        <v/>
      </c>
      <c r="X180" s="19">
        <f>IF(Deployments!CC172="","",Deployments!CC172)</f>
        <v/>
      </c>
      <c r="Y180" s="19">
        <f>IF(Deployments!BW172="","",Deployments!BW172)</f>
        <v/>
      </c>
      <c r="Z180" s="19">
        <f>IF(Deployments!U172="","",Deployments!U172)</f>
        <v/>
      </c>
      <c r="AA180" s="19">
        <f>IF(Deployments!L172="","",Deployments!L172)</f>
        <v/>
      </c>
    </row>
    <row r="181" ht="94.5" customHeight="1" s="91">
      <c r="A181" s="20" t="n"/>
      <c r="B181" s="20" t="n"/>
      <c r="C181" s="19">
        <f>IF(Deployments!H173="","",Deployments!H173)</f>
        <v/>
      </c>
      <c r="D181" s="19">
        <f>IF(Deployments!AM173="","",Deployments!AM173)</f>
        <v/>
      </c>
      <c r="E181" s="19">
        <f>IF(Deployments!I173="","",Deployments!I173)</f>
        <v/>
      </c>
      <c r="F181" s="19">
        <f>IF(Deployments!J173="","",Deployments!J173)</f>
        <v/>
      </c>
      <c r="G181" s="19">
        <f>IF(Deployments!K173="","",Deployments!K173)</f>
        <v/>
      </c>
      <c r="H181" s="19">
        <f>IF(Deployments!A173="","",Deployments!A173)</f>
        <v/>
      </c>
      <c r="I181" s="19">
        <f>IF(Deployments!AN173="","",Deployments!AN173)</f>
        <v/>
      </c>
      <c r="J181" s="19">
        <f>IF(Deployments!AO173="","",Deployments!AO173)</f>
        <v/>
      </c>
      <c r="K181" s="19">
        <f>IF(Deployments!AI173="","",Deployments!AI173)</f>
        <v/>
      </c>
      <c r="L181" s="19">
        <f>IF(Deployments!M173="","",Deployments!M173)</f>
        <v/>
      </c>
      <c r="M181" s="20" t="n"/>
      <c r="N181" s="19">
        <f>IF(Deployments!N173="","",Deployments!N173)</f>
        <v/>
      </c>
      <c r="O181" s="19">
        <f>IF(Deployments!O173="","",Deployments!O173)</f>
        <v/>
      </c>
      <c r="P181" s="19">
        <f>IF(Deployments!P173="","",Deployments!P173)</f>
        <v/>
      </c>
      <c r="Q181" s="20" t="n"/>
      <c r="R181" s="19">
        <f>IF(Deployments!BT173="","",Deployments!BT173)</f>
        <v/>
      </c>
      <c r="S181" s="19">
        <f>IF(Deployments!BS173="","",Deployments!BS173)</f>
        <v/>
      </c>
      <c r="T181" s="19">
        <f>IF(Deployments!BB173="","",Deployments!BB173)</f>
        <v/>
      </c>
      <c r="U181" s="19">
        <f>IF(Deployments!BR173="","",Deployments!BR173)</f>
        <v/>
      </c>
      <c r="V181" s="19">
        <f>IF(Deployments!BX173="","",Deployments!BX173)</f>
        <v/>
      </c>
      <c r="W181" s="19">
        <f>IF(Deployments!BY173="","",Deployments!BY173)</f>
        <v/>
      </c>
      <c r="X181" s="19">
        <f>IF(Deployments!CC173="","",Deployments!CC173)</f>
        <v/>
      </c>
      <c r="Y181" s="19">
        <f>IF(Deployments!BW173="","",Deployments!BW173)</f>
        <v/>
      </c>
      <c r="Z181" s="19">
        <f>IF(Deployments!U173="","",Deployments!U173)</f>
        <v/>
      </c>
      <c r="AA181" s="19">
        <f>IF(Deployments!L173="","",Deployments!L173)</f>
        <v/>
      </c>
    </row>
    <row r="182" ht="94.5" customHeight="1" s="91">
      <c r="A182" s="20" t="n"/>
      <c r="B182" s="20" t="n"/>
      <c r="C182" s="19">
        <f>IF(Deployments!H174="","",Deployments!H174)</f>
        <v/>
      </c>
      <c r="D182" s="19">
        <f>IF(Deployments!AM174="","",Deployments!AM174)</f>
        <v/>
      </c>
      <c r="E182" s="19">
        <f>IF(Deployments!I174="","",Deployments!I174)</f>
        <v/>
      </c>
      <c r="F182" s="19">
        <f>IF(Deployments!J174="","",Deployments!J174)</f>
        <v/>
      </c>
      <c r="G182" s="19">
        <f>IF(Deployments!K174="","",Deployments!K174)</f>
        <v/>
      </c>
      <c r="H182" s="19">
        <f>IF(Deployments!A174="","",Deployments!A174)</f>
        <v/>
      </c>
      <c r="I182" s="19">
        <f>IF(Deployments!AN174="","",Deployments!AN174)</f>
        <v/>
      </c>
      <c r="J182" s="19">
        <f>IF(Deployments!AO174="","",Deployments!AO174)</f>
        <v/>
      </c>
      <c r="K182" s="19">
        <f>IF(Deployments!AI174="","",Deployments!AI174)</f>
        <v/>
      </c>
      <c r="L182" s="19">
        <f>IF(Deployments!M174="","",Deployments!M174)</f>
        <v/>
      </c>
      <c r="M182" s="20" t="n"/>
      <c r="N182" s="19">
        <f>IF(Deployments!N174="","",Deployments!N174)</f>
        <v/>
      </c>
      <c r="O182" s="19">
        <f>IF(Deployments!O174="","",Deployments!O174)</f>
        <v/>
      </c>
      <c r="P182" s="19">
        <f>IF(Deployments!P174="","",Deployments!P174)</f>
        <v/>
      </c>
      <c r="Q182" s="20" t="n"/>
      <c r="R182" s="19">
        <f>IF(Deployments!BT174="","",Deployments!BT174)</f>
        <v/>
      </c>
      <c r="S182" s="19">
        <f>IF(Deployments!BS174="","",Deployments!BS174)</f>
        <v/>
      </c>
      <c r="T182" s="19">
        <f>IF(Deployments!BB174="","",Deployments!BB174)</f>
        <v/>
      </c>
      <c r="U182" s="19">
        <f>IF(Deployments!BR174="","",Deployments!BR174)</f>
        <v/>
      </c>
      <c r="V182" s="19">
        <f>IF(Deployments!BX174="","",Deployments!BX174)</f>
        <v/>
      </c>
      <c r="W182" s="19">
        <f>IF(Deployments!BY174="","",Deployments!BY174)</f>
        <v/>
      </c>
      <c r="X182" s="19">
        <f>IF(Deployments!CC174="","",Deployments!CC174)</f>
        <v/>
      </c>
      <c r="Y182" s="19">
        <f>IF(Deployments!BW174="","",Deployments!BW174)</f>
        <v/>
      </c>
      <c r="Z182" s="19">
        <f>IF(Deployments!U174="","",Deployments!U174)</f>
        <v/>
      </c>
      <c r="AA182" s="19">
        <f>IF(Deployments!L174="","",Deployments!L174)</f>
        <v/>
      </c>
    </row>
    <row r="183" ht="94.5" customHeight="1" s="91">
      <c r="A183" s="20" t="n"/>
      <c r="B183" s="20" t="n"/>
      <c r="C183" s="19">
        <f>IF(Deployments!H175="","",Deployments!H175)</f>
        <v/>
      </c>
      <c r="D183" s="19">
        <f>IF(Deployments!AM175="","",Deployments!AM175)</f>
        <v/>
      </c>
      <c r="E183" s="19">
        <f>IF(Deployments!I175="","",Deployments!I175)</f>
        <v/>
      </c>
      <c r="F183" s="19">
        <f>IF(Deployments!J175="","",Deployments!J175)</f>
        <v/>
      </c>
      <c r="G183" s="19">
        <f>IF(Deployments!K175="","",Deployments!K175)</f>
        <v/>
      </c>
      <c r="H183" s="19">
        <f>IF(Deployments!A175="","",Deployments!A175)</f>
        <v/>
      </c>
      <c r="I183" s="19">
        <f>IF(Deployments!AN175="","",Deployments!AN175)</f>
        <v/>
      </c>
      <c r="J183" s="19">
        <f>IF(Deployments!AO175="","",Deployments!AO175)</f>
        <v/>
      </c>
      <c r="K183" s="19">
        <f>IF(Deployments!AI175="","",Deployments!AI175)</f>
        <v/>
      </c>
      <c r="L183" s="19">
        <f>IF(Deployments!M175="","",Deployments!M175)</f>
        <v/>
      </c>
      <c r="M183" s="20" t="n"/>
      <c r="N183" s="19">
        <f>IF(Deployments!N175="","",Deployments!N175)</f>
        <v/>
      </c>
      <c r="O183" s="19">
        <f>IF(Deployments!O175="","",Deployments!O175)</f>
        <v/>
      </c>
      <c r="P183" s="19">
        <f>IF(Deployments!P175="","",Deployments!P175)</f>
        <v/>
      </c>
      <c r="Q183" s="20" t="n"/>
      <c r="R183" s="19">
        <f>IF(Deployments!BT175="","",Deployments!BT175)</f>
        <v/>
      </c>
      <c r="S183" s="19">
        <f>IF(Deployments!BS175="","",Deployments!BS175)</f>
        <v/>
      </c>
      <c r="T183" s="19">
        <f>IF(Deployments!BB175="","",Deployments!BB175)</f>
        <v/>
      </c>
      <c r="U183" s="19">
        <f>IF(Deployments!BR175="","",Deployments!BR175)</f>
        <v/>
      </c>
      <c r="V183" s="19">
        <f>IF(Deployments!BX175="","",Deployments!BX175)</f>
        <v/>
      </c>
      <c r="W183" s="19">
        <f>IF(Deployments!BY175="","",Deployments!BY175)</f>
        <v/>
      </c>
      <c r="X183" s="19">
        <f>IF(Deployments!CC175="","",Deployments!CC175)</f>
        <v/>
      </c>
      <c r="Y183" s="19">
        <f>IF(Deployments!BW175="","",Deployments!BW175)</f>
        <v/>
      </c>
      <c r="Z183" s="19">
        <f>IF(Deployments!U175="","",Deployments!U175)</f>
        <v/>
      </c>
      <c r="AA183" s="19">
        <f>IF(Deployments!L175="","",Deployments!L175)</f>
        <v/>
      </c>
    </row>
    <row r="184" ht="94.5" customHeight="1" s="91">
      <c r="A184" s="20" t="n"/>
      <c r="B184" s="20" t="n"/>
      <c r="C184" s="19">
        <f>IF(Deployments!H176="","",Deployments!H176)</f>
        <v/>
      </c>
      <c r="D184" s="19">
        <f>IF(Deployments!AM176="","",Deployments!AM176)</f>
        <v/>
      </c>
      <c r="E184" s="19">
        <f>IF(Deployments!I176="","",Deployments!I176)</f>
        <v/>
      </c>
      <c r="F184" s="19">
        <f>IF(Deployments!J176="","",Deployments!J176)</f>
        <v/>
      </c>
      <c r="G184" s="19">
        <f>IF(Deployments!K176="","",Deployments!K176)</f>
        <v/>
      </c>
      <c r="H184" s="19">
        <f>IF(Deployments!A176="","",Deployments!A176)</f>
        <v/>
      </c>
      <c r="I184" s="19">
        <f>IF(Deployments!AN176="","",Deployments!AN176)</f>
        <v/>
      </c>
      <c r="J184" s="19">
        <f>IF(Deployments!AO176="","",Deployments!AO176)</f>
        <v/>
      </c>
      <c r="K184" s="19">
        <f>IF(Deployments!AI176="","",Deployments!AI176)</f>
        <v/>
      </c>
      <c r="L184" s="19">
        <f>IF(Deployments!M176="","",Deployments!M176)</f>
        <v/>
      </c>
      <c r="M184" s="20" t="n"/>
      <c r="N184" s="19">
        <f>IF(Deployments!N176="","",Deployments!N176)</f>
        <v/>
      </c>
      <c r="O184" s="19">
        <f>IF(Deployments!O176="","",Deployments!O176)</f>
        <v/>
      </c>
      <c r="P184" s="19">
        <f>IF(Deployments!P176="","",Deployments!P176)</f>
        <v/>
      </c>
      <c r="Q184" s="20" t="n"/>
      <c r="R184" s="19">
        <f>IF(Deployments!BT176="","",Deployments!BT176)</f>
        <v/>
      </c>
      <c r="S184" s="19">
        <f>IF(Deployments!BS176="","",Deployments!BS176)</f>
        <v/>
      </c>
      <c r="T184" s="19">
        <f>IF(Deployments!BB176="","",Deployments!BB176)</f>
        <v/>
      </c>
      <c r="U184" s="19">
        <f>IF(Deployments!BR176="","",Deployments!BR176)</f>
        <v/>
      </c>
      <c r="V184" s="19">
        <f>IF(Deployments!BX176="","",Deployments!BX176)</f>
        <v/>
      </c>
      <c r="W184" s="19">
        <f>IF(Deployments!BY176="","",Deployments!BY176)</f>
        <v/>
      </c>
      <c r="X184" s="19">
        <f>IF(Deployments!CC176="","",Deployments!CC176)</f>
        <v/>
      </c>
      <c r="Y184" s="19">
        <f>IF(Deployments!BW176="","",Deployments!BW176)</f>
        <v/>
      </c>
      <c r="Z184" s="19">
        <f>IF(Deployments!U176="","",Deployments!U176)</f>
        <v/>
      </c>
      <c r="AA184" s="19">
        <f>IF(Deployments!L176="","",Deployments!L176)</f>
        <v/>
      </c>
    </row>
    <row r="185">
      <c r="A185" s="20" t="n"/>
      <c r="B185" s="20" t="n"/>
      <c r="C185" s="19">
        <f>IF(Deployments!H177="","",Deployments!H177)</f>
        <v/>
      </c>
      <c r="D185" s="19">
        <f>IF(Deployments!AM177="","",Deployments!AM177)</f>
        <v/>
      </c>
      <c r="E185" s="19">
        <f>IF(Deployments!I177="","",Deployments!I177)</f>
        <v/>
      </c>
      <c r="F185" s="19">
        <f>IF(Deployments!J177="","",Deployments!J177)</f>
        <v/>
      </c>
      <c r="G185" s="19">
        <f>IF(Deployments!K177="","",Deployments!K177)</f>
        <v/>
      </c>
      <c r="H185" s="19">
        <f>IF(Deployments!A177="","",Deployments!A177)</f>
        <v/>
      </c>
      <c r="I185" s="19">
        <f>IF(Deployments!AN177="","",Deployments!AN177)</f>
        <v/>
      </c>
      <c r="J185" s="19">
        <f>IF(Deployments!AO177="","",Deployments!AO177)</f>
        <v/>
      </c>
      <c r="K185" s="19">
        <f>IF(Deployments!AI177="","",Deployments!AI177)</f>
        <v/>
      </c>
      <c r="L185" s="19">
        <f>IF(Deployments!M177="","",Deployments!M177)</f>
        <v/>
      </c>
      <c r="M185" s="20" t="n"/>
      <c r="N185" s="19">
        <f>IF(Deployments!N177="","",Deployments!N177)</f>
        <v/>
      </c>
      <c r="O185" s="19">
        <f>IF(Deployments!O177="","",Deployments!O177)</f>
        <v/>
      </c>
      <c r="P185" s="19">
        <f>IF(Deployments!P177="","",Deployments!P177)</f>
        <v/>
      </c>
      <c r="Q185" s="20" t="n"/>
      <c r="R185" s="19">
        <f>IF(Deployments!BT177="","",Deployments!BT177)</f>
        <v/>
      </c>
      <c r="S185" s="19">
        <f>IF(Deployments!BS177="","",Deployments!BS177)</f>
        <v/>
      </c>
      <c r="T185" s="19">
        <f>IF(Deployments!BB177="","",Deployments!BB177)</f>
        <v/>
      </c>
      <c r="U185" s="19">
        <f>IF(Deployments!BR177="","",Deployments!BR177)</f>
        <v/>
      </c>
      <c r="V185" s="19">
        <f>IF(Deployments!BX177="","",Deployments!BX177)</f>
        <v/>
      </c>
      <c r="W185" s="19">
        <f>IF(Deployments!BY177="","",Deployments!BY177)</f>
        <v/>
      </c>
      <c r="X185" s="19">
        <f>IF(Deployments!CC177="","",Deployments!CC177)</f>
        <v/>
      </c>
      <c r="Y185" s="19">
        <f>IF(Deployments!BW177="","",Deployments!BW177)</f>
        <v/>
      </c>
      <c r="Z185" s="19">
        <f>IF(Deployments!U177="","",Deployments!U177)</f>
        <v/>
      </c>
      <c r="AA185" s="19">
        <f>IF(Deployments!L177="","",Deployments!L177)</f>
        <v/>
      </c>
    </row>
    <row r="186">
      <c r="A186" s="20" t="n"/>
      <c r="B186" s="20" t="n"/>
      <c r="C186" s="19">
        <f>IF(Deployments!H178="","",Deployments!H178)</f>
        <v/>
      </c>
      <c r="D186" s="19">
        <f>IF(Deployments!AM178="","",Deployments!AM178)</f>
        <v/>
      </c>
      <c r="E186" s="19">
        <f>IF(Deployments!I178="","",Deployments!I178)</f>
        <v/>
      </c>
      <c r="F186" s="19">
        <f>IF(Deployments!J178="","",Deployments!J178)</f>
        <v/>
      </c>
      <c r="G186" s="19">
        <f>IF(Deployments!K178="","",Deployments!K178)</f>
        <v/>
      </c>
      <c r="H186" s="19">
        <f>IF(Deployments!A178="","",Deployments!A178)</f>
        <v/>
      </c>
      <c r="I186" s="19">
        <f>IF(Deployments!AN178="","",Deployments!AN178)</f>
        <v/>
      </c>
      <c r="J186" s="19">
        <f>IF(Deployments!AO178="","",Deployments!AO178)</f>
        <v/>
      </c>
      <c r="K186" s="19">
        <f>IF(Deployments!AI178="","",Deployments!AI178)</f>
        <v/>
      </c>
      <c r="L186" s="19">
        <f>IF(Deployments!M178="","",Deployments!M178)</f>
        <v/>
      </c>
      <c r="M186" s="20" t="n"/>
      <c r="N186" s="19">
        <f>IF(Deployments!N178="","",Deployments!N178)</f>
        <v/>
      </c>
      <c r="O186" s="19">
        <f>IF(Deployments!O178="","",Deployments!O178)</f>
        <v/>
      </c>
      <c r="P186" s="19">
        <f>IF(Deployments!P178="","",Deployments!P178)</f>
        <v/>
      </c>
      <c r="Q186" s="20" t="n"/>
      <c r="R186" s="19">
        <f>IF(Deployments!BT178="","",Deployments!BT178)</f>
        <v/>
      </c>
      <c r="S186" s="19">
        <f>IF(Deployments!BS178="","",Deployments!BS178)</f>
        <v/>
      </c>
      <c r="T186" s="19">
        <f>IF(Deployments!BB178="","",Deployments!BB178)</f>
        <v/>
      </c>
      <c r="U186" s="19">
        <f>IF(Deployments!BR178="","",Deployments!BR178)</f>
        <v/>
      </c>
      <c r="V186" s="19">
        <f>IF(Deployments!BX178="","",Deployments!BX178)</f>
        <v/>
      </c>
      <c r="W186" s="19">
        <f>IF(Deployments!BY178="","",Deployments!BY178)</f>
        <v/>
      </c>
      <c r="X186" s="19">
        <f>IF(Deployments!CC178="","",Deployments!CC178)</f>
        <v/>
      </c>
      <c r="Y186" s="19">
        <f>IF(Deployments!BW178="","",Deployments!BW178)</f>
        <v/>
      </c>
      <c r="Z186" s="19">
        <f>IF(Deployments!U178="","",Deployments!U178)</f>
        <v/>
      </c>
      <c r="AA186" s="19">
        <f>IF(Deployments!L178="","",Deployments!L178)</f>
        <v/>
      </c>
    </row>
    <row r="187">
      <c r="A187" s="20" t="n"/>
      <c r="B187" s="20" t="n"/>
      <c r="C187" s="19">
        <f>IF(Deployments!H179="","",Deployments!H179)</f>
        <v/>
      </c>
      <c r="D187" s="19">
        <f>IF(Deployments!AM179="","",Deployments!AM179)</f>
        <v/>
      </c>
      <c r="E187" s="19">
        <f>IF(Deployments!I179="","",Deployments!I179)</f>
        <v/>
      </c>
      <c r="F187" s="19">
        <f>IF(Deployments!J179="","",Deployments!J179)</f>
        <v/>
      </c>
      <c r="G187" s="19">
        <f>IF(Deployments!K179="","",Deployments!K179)</f>
        <v/>
      </c>
      <c r="H187" s="19">
        <f>IF(Deployments!A179="","",Deployments!A179)</f>
        <v/>
      </c>
      <c r="I187" s="19">
        <f>IF(Deployments!AN179="","",Deployments!AN179)</f>
        <v/>
      </c>
      <c r="J187" s="19">
        <f>IF(Deployments!AO179="","",Deployments!AO179)</f>
        <v/>
      </c>
      <c r="K187" s="19">
        <f>IF(Deployments!AI179="","",Deployments!AI179)</f>
        <v/>
      </c>
      <c r="L187" s="19">
        <f>IF(Deployments!M179="","",Deployments!M179)</f>
        <v/>
      </c>
      <c r="M187" s="20" t="n"/>
      <c r="N187" s="19">
        <f>IF(Deployments!N179="","",Deployments!N179)</f>
        <v/>
      </c>
      <c r="O187" s="19">
        <f>IF(Deployments!O179="","",Deployments!O179)</f>
        <v/>
      </c>
      <c r="P187" s="19">
        <f>IF(Deployments!P179="","",Deployments!P179)</f>
        <v/>
      </c>
      <c r="Q187" s="20" t="n"/>
      <c r="R187" s="19">
        <f>IF(Deployments!BT179="","",Deployments!BT179)</f>
        <v/>
      </c>
      <c r="S187" s="19">
        <f>IF(Deployments!BS179="","",Deployments!BS179)</f>
        <v/>
      </c>
      <c r="T187" s="19">
        <f>IF(Deployments!BB179="","",Deployments!BB179)</f>
        <v/>
      </c>
      <c r="U187" s="19">
        <f>IF(Deployments!BR179="","",Deployments!BR179)</f>
        <v/>
      </c>
      <c r="V187" s="19">
        <f>IF(Deployments!BX179="","",Deployments!BX179)</f>
        <v/>
      </c>
      <c r="W187" s="19">
        <f>IF(Deployments!BY179="","",Deployments!BY179)</f>
        <v/>
      </c>
      <c r="X187" s="19">
        <f>IF(Deployments!CC179="","",Deployments!CC179)</f>
        <v/>
      </c>
      <c r="Y187" s="19">
        <f>IF(Deployments!BW179="","",Deployments!BW179)</f>
        <v/>
      </c>
      <c r="Z187" s="19">
        <f>IF(Deployments!U179="","",Deployments!U179)</f>
        <v/>
      </c>
      <c r="AA187" s="19">
        <f>IF(Deployments!L179="","",Deployments!L179)</f>
        <v/>
      </c>
    </row>
    <row r="188">
      <c r="A188" s="20" t="n"/>
      <c r="B188" s="20" t="n"/>
      <c r="C188" s="19">
        <f>IF(Deployments!H180="","",Deployments!H180)</f>
        <v/>
      </c>
      <c r="D188" s="19">
        <f>IF(Deployments!AM180="","",Deployments!AM180)</f>
        <v/>
      </c>
      <c r="E188" s="19">
        <f>IF(Deployments!I180="","",Deployments!I180)</f>
        <v/>
      </c>
      <c r="F188" s="19">
        <f>IF(Deployments!J180="","",Deployments!J180)</f>
        <v/>
      </c>
      <c r="G188" s="19">
        <f>IF(Deployments!K180="","",Deployments!K180)</f>
        <v/>
      </c>
      <c r="H188" s="19">
        <f>IF(Deployments!A180="","",Deployments!A180)</f>
        <v/>
      </c>
      <c r="I188" s="19">
        <f>IF(Deployments!AN180="","",Deployments!AN180)</f>
        <v/>
      </c>
      <c r="J188" s="19">
        <f>IF(Deployments!AO180="","",Deployments!AO180)</f>
        <v/>
      </c>
      <c r="K188" s="19">
        <f>IF(Deployments!AI180="","",Deployments!AI180)</f>
        <v/>
      </c>
      <c r="L188" s="19">
        <f>IF(Deployments!M180="","",Deployments!M180)</f>
        <v/>
      </c>
      <c r="M188" s="20" t="n"/>
      <c r="N188" s="19">
        <f>IF(Deployments!N180="","",Deployments!N180)</f>
        <v/>
      </c>
      <c r="O188" s="19">
        <f>IF(Deployments!O180="","",Deployments!O180)</f>
        <v/>
      </c>
      <c r="P188" s="19">
        <f>IF(Deployments!P180="","",Deployments!P180)</f>
        <v/>
      </c>
      <c r="Q188" s="20" t="n"/>
      <c r="R188" s="19">
        <f>IF(Deployments!BT180="","",Deployments!BT180)</f>
        <v/>
      </c>
      <c r="S188" s="19">
        <f>IF(Deployments!BS180="","",Deployments!BS180)</f>
        <v/>
      </c>
      <c r="T188" s="19">
        <f>IF(Deployments!BB180="","",Deployments!BB180)</f>
        <v/>
      </c>
      <c r="U188" s="19">
        <f>IF(Deployments!BR180="","",Deployments!BR180)</f>
        <v/>
      </c>
      <c r="V188" s="19">
        <f>IF(Deployments!BX180="","",Deployments!BX180)</f>
        <v/>
      </c>
      <c r="W188" s="19">
        <f>IF(Deployments!BY180="","",Deployments!BY180)</f>
        <v/>
      </c>
      <c r="X188" s="19">
        <f>IF(Deployments!CC180="","",Deployments!CC180)</f>
        <v/>
      </c>
      <c r="Y188" s="19">
        <f>IF(Deployments!BW180="","",Deployments!BW180)</f>
        <v/>
      </c>
      <c r="Z188" s="19">
        <f>IF(Deployments!U180="","",Deployments!U180)</f>
        <v/>
      </c>
      <c r="AA188" s="19">
        <f>IF(Deployments!L180="","",Deployments!L180)</f>
        <v/>
      </c>
    </row>
    <row r="189">
      <c r="A189" s="20" t="n"/>
      <c r="B189" s="20" t="n"/>
      <c r="C189" s="19">
        <f>IF(Deployments!H181="","",Deployments!H181)</f>
        <v/>
      </c>
      <c r="D189" s="19">
        <f>IF(Deployments!AM181="","",Deployments!AM181)</f>
        <v/>
      </c>
      <c r="E189" s="19">
        <f>IF(Deployments!I181="","",Deployments!I181)</f>
        <v/>
      </c>
      <c r="F189" s="19">
        <f>IF(Deployments!J181="","",Deployments!J181)</f>
        <v/>
      </c>
      <c r="G189" s="19">
        <f>IF(Deployments!K181="","",Deployments!K181)</f>
        <v/>
      </c>
      <c r="H189" s="19">
        <f>IF(Deployments!A181="","",Deployments!A181)</f>
        <v/>
      </c>
      <c r="I189" s="19">
        <f>IF(Deployments!AN181="","",Deployments!AN181)</f>
        <v/>
      </c>
      <c r="J189" s="19">
        <f>IF(Deployments!AO181="","",Deployments!AO181)</f>
        <v/>
      </c>
      <c r="K189" s="19">
        <f>IF(Deployments!AI181="","",Deployments!AI181)</f>
        <v/>
      </c>
      <c r="L189" s="19">
        <f>IF(Deployments!M181="","",Deployments!M181)</f>
        <v/>
      </c>
      <c r="M189" s="20" t="n"/>
      <c r="N189" s="19">
        <f>IF(Deployments!N181="","",Deployments!N181)</f>
        <v/>
      </c>
      <c r="O189" s="19">
        <f>IF(Deployments!O181="","",Deployments!O181)</f>
        <v/>
      </c>
      <c r="P189" s="19">
        <f>IF(Deployments!P181="","",Deployments!P181)</f>
        <v/>
      </c>
      <c r="Q189" s="20" t="n"/>
      <c r="R189" s="19">
        <f>IF(Deployments!BT181="","",Deployments!BT181)</f>
        <v/>
      </c>
      <c r="S189" s="19">
        <f>IF(Deployments!BS181="","",Deployments!BS181)</f>
        <v/>
      </c>
      <c r="T189" s="19">
        <f>IF(Deployments!BB181="","",Deployments!BB181)</f>
        <v/>
      </c>
      <c r="U189" s="19">
        <f>IF(Deployments!BR181="","",Deployments!BR181)</f>
        <v/>
      </c>
      <c r="V189" s="19">
        <f>IF(Deployments!BX181="","",Deployments!BX181)</f>
        <v/>
      </c>
      <c r="W189" s="19">
        <f>IF(Deployments!BY181="","",Deployments!BY181)</f>
        <v/>
      </c>
      <c r="X189" s="19">
        <f>IF(Deployments!CC181="","",Deployments!CC181)</f>
        <v/>
      </c>
      <c r="Y189" s="19">
        <f>IF(Deployments!BW181="","",Deployments!BW181)</f>
        <v/>
      </c>
      <c r="Z189" s="19">
        <f>IF(Deployments!U181="","",Deployments!U181)</f>
        <v/>
      </c>
      <c r="AA189" s="19">
        <f>IF(Deployments!L181="","",Deployments!L181)</f>
        <v/>
      </c>
    </row>
    <row r="190">
      <c r="A190" s="20" t="n"/>
      <c r="B190" s="20" t="n"/>
      <c r="C190" s="19">
        <f>IF(Deployments!H182="","",Deployments!H182)</f>
        <v/>
      </c>
      <c r="D190" s="19">
        <f>IF(Deployments!AM182="","",Deployments!AM182)</f>
        <v/>
      </c>
      <c r="E190" s="19">
        <f>IF(Deployments!I182="","",Deployments!I182)</f>
        <v/>
      </c>
      <c r="F190" s="19">
        <f>IF(Deployments!J182="","",Deployments!J182)</f>
        <v/>
      </c>
      <c r="G190" s="19">
        <f>IF(Deployments!K182="","",Deployments!K182)</f>
        <v/>
      </c>
      <c r="H190" s="19">
        <f>IF(Deployments!A182="","",Deployments!A182)</f>
        <v/>
      </c>
      <c r="I190" s="19">
        <f>IF(Deployments!AN182="","",Deployments!AN182)</f>
        <v/>
      </c>
      <c r="J190" s="19">
        <f>IF(Deployments!AO182="","",Deployments!AO182)</f>
        <v/>
      </c>
      <c r="K190" s="19">
        <f>IF(Deployments!AI182="","",Deployments!AI182)</f>
        <v/>
      </c>
      <c r="L190" s="19">
        <f>IF(Deployments!M182="","",Deployments!M182)</f>
        <v/>
      </c>
      <c r="M190" s="20" t="n"/>
      <c r="N190" s="19">
        <f>IF(Deployments!N182="","",Deployments!N182)</f>
        <v/>
      </c>
      <c r="O190" s="19">
        <f>IF(Deployments!O182="","",Deployments!O182)</f>
        <v/>
      </c>
      <c r="P190" s="19">
        <f>IF(Deployments!P182="","",Deployments!P182)</f>
        <v/>
      </c>
      <c r="Q190" s="20" t="n"/>
      <c r="R190" s="19">
        <f>IF(Deployments!BT182="","",Deployments!BT182)</f>
        <v/>
      </c>
      <c r="S190" s="19">
        <f>IF(Deployments!BS182="","",Deployments!BS182)</f>
        <v/>
      </c>
      <c r="T190" s="19">
        <f>IF(Deployments!BB182="","",Deployments!BB182)</f>
        <v/>
      </c>
      <c r="U190" s="19">
        <f>IF(Deployments!BR182="","",Deployments!BR182)</f>
        <v/>
      </c>
      <c r="V190" s="19">
        <f>IF(Deployments!BX182="","",Deployments!BX182)</f>
        <v/>
      </c>
      <c r="W190" s="19">
        <f>IF(Deployments!BY182="","",Deployments!BY182)</f>
        <v/>
      </c>
      <c r="X190" s="19">
        <f>IF(Deployments!CC182="","",Deployments!CC182)</f>
        <v/>
      </c>
      <c r="Y190" s="19">
        <f>IF(Deployments!BW182="","",Deployments!BW182)</f>
        <v/>
      </c>
      <c r="Z190" s="19">
        <f>IF(Deployments!U182="","",Deployments!U182)</f>
        <v/>
      </c>
      <c r="AA190" s="19">
        <f>IF(Deployments!L182="","",Deployments!L182)</f>
        <v/>
      </c>
    </row>
    <row r="191">
      <c r="A191" s="20" t="n"/>
      <c r="B191" s="20" t="n"/>
      <c r="C191" s="19">
        <f>IF(Deployments!H183="","",Deployments!H183)</f>
        <v/>
      </c>
      <c r="D191" s="19">
        <f>IF(Deployments!AM183="","",Deployments!AM183)</f>
        <v/>
      </c>
      <c r="E191" s="19">
        <f>IF(Deployments!I183="","",Deployments!I183)</f>
        <v/>
      </c>
      <c r="F191" s="19">
        <f>IF(Deployments!J183="","",Deployments!J183)</f>
        <v/>
      </c>
      <c r="G191" s="19">
        <f>IF(Deployments!K183="","",Deployments!K183)</f>
        <v/>
      </c>
      <c r="H191" s="19">
        <f>IF(Deployments!A183="","",Deployments!A183)</f>
        <v/>
      </c>
      <c r="I191" s="19">
        <f>IF(Deployments!AN183="","",Deployments!AN183)</f>
        <v/>
      </c>
      <c r="J191" s="19">
        <f>IF(Deployments!AO183="","",Deployments!AO183)</f>
        <v/>
      </c>
      <c r="K191" s="19">
        <f>IF(Deployments!AI183="","",Deployments!AI183)</f>
        <v/>
      </c>
      <c r="L191" s="19">
        <f>IF(Deployments!M183="","",Deployments!M183)</f>
        <v/>
      </c>
      <c r="M191" s="20" t="n"/>
      <c r="N191" s="19">
        <f>IF(Deployments!N183="","",Deployments!N183)</f>
        <v/>
      </c>
      <c r="O191" s="19">
        <f>IF(Deployments!O183="","",Deployments!O183)</f>
        <v/>
      </c>
      <c r="P191" s="19">
        <f>IF(Deployments!P183="","",Deployments!P183)</f>
        <v/>
      </c>
      <c r="Q191" s="20" t="n"/>
      <c r="R191" s="19">
        <f>IF(Deployments!BT183="","",Deployments!BT183)</f>
        <v/>
      </c>
      <c r="S191" s="19">
        <f>IF(Deployments!BS183="","",Deployments!BS183)</f>
        <v/>
      </c>
      <c r="T191" s="19">
        <f>IF(Deployments!BB183="","",Deployments!BB183)</f>
        <v/>
      </c>
      <c r="U191" s="19">
        <f>IF(Deployments!BR183="","",Deployments!BR183)</f>
        <v/>
      </c>
      <c r="V191" s="19">
        <f>IF(Deployments!BX183="","",Deployments!BX183)</f>
        <v/>
      </c>
      <c r="W191" s="19">
        <f>IF(Deployments!BY183="","",Deployments!BY183)</f>
        <v/>
      </c>
      <c r="X191" s="19">
        <f>IF(Deployments!CC183="","",Deployments!CC183)</f>
        <v/>
      </c>
      <c r="Y191" s="19">
        <f>IF(Deployments!BW183="","",Deployments!BW183)</f>
        <v/>
      </c>
      <c r="Z191" s="19">
        <f>IF(Deployments!U183="","",Deployments!U183)</f>
        <v/>
      </c>
      <c r="AA191" s="19">
        <f>IF(Deployments!L183="","",Deployments!L183)</f>
        <v/>
      </c>
    </row>
    <row r="192">
      <c r="A192" s="20" t="n"/>
      <c r="B192" s="20" t="n"/>
      <c r="C192" s="19">
        <f>IF(Deployments!H184="","",Deployments!H184)</f>
        <v/>
      </c>
      <c r="D192" s="19">
        <f>IF(Deployments!AM184="","",Deployments!AM184)</f>
        <v/>
      </c>
      <c r="E192" s="19">
        <f>IF(Deployments!I184="","",Deployments!I184)</f>
        <v/>
      </c>
      <c r="F192" s="19">
        <f>IF(Deployments!J184="","",Deployments!J184)</f>
        <v/>
      </c>
      <c r="G192" s="19">
        <f>IF(Deployments!K184="","",Deployments!K184)</f>
        <v/>
      </c>
      <c r="H192" s="19">
        <f>IF(Deployments!A184="","",Deployments!A184)</f>
        <v/>
      </c>
      <c r="I192" s="19">
        <f>IF(Deployments!AN184="","",Deployments!AN184)</f>
        <v/>
      </c>
      <c r="J192" s="19">
        <f>IF(Deployments!AO184="","",Deployments!AO184)</f>
        <v/>
      </c>
      <c r="K192" s="19">
        <f>IF(Deployments!AI184="","",Deployments!AI184)</f>
        <v/>
      </c>
      <c r="L192" s="19">
        <f>IF(Deployments!M184="","",Deployments!M184)</f>
        <v/>
      </c>
      <c r="M192" s="20" t="n"/>
      <c r="N192" s="19">
        <f>IF(Deployments!N184="","",Deployments!N184)</f>
        <v/>
      </c>
      <c r="O192" s="19">
        <f>IF(Deployments!O184="","",Deployments!O184)</f>
        <v/>
      </c>
      <c r="P192" s="19">
        <f>IF(Deployments!P184="","",Deployments!P184)</f>
        <v/>
      </c>
      <c r="Q192" s="20" t="n"/>
      <c r="R192" s="19">
        <f>IF(Deployments!BT184="","",Deployments!BT184)</f>
        <v/>
      </c>
      <c r="S192" s="19">
        <f>IF(Deployments!BS184="","",Deployments!BS184)</f>
        <v/>
      </c>
      <c r="T192" s="19">
        <f>IF(Deployments!BB184="","",Deployments!BB184)</f>
        <v/>
      </c>
      <c r="U192" s="19">
        <f>IF(Deployments!BR184="","",Deployments!BR184)</f>
        <v/>
      </c>
      <c r="V192" s="19">
        <f>IF(Deployments!BX184="","",Deployments!BX184)</f>
        <v/>
      </c>
      <c r="W192" s="19">
        <f>IF(Deployments!BY184="","",Deployments!BY184)</f>
        <v/>
      </c>
      <c r="X192" s="19">
        <f>IF(Deployments!CC184="","",Deployments!CC184)</f>
        <v/>
      </c>
      <c r="Y192" s="19">
        <f>IF(Deployments!BW184="","",Deployments!BW184)</f>
        <v/>
      </c>
      <c r="Z192" s="19">
        <f>IF(Deployments!U184="","",Deployments!U184)</f>
        <v/>
      </c>
      <c r="AA192" s="19">
        <f>IF(Deployments!L184="","",Deployments!L184)</f>
        <v/>
      </c>
    </row>
    <row r="193">
      <c r="A193" s="20" t="n"/>
      <c r="B193" s="20" t="n"/>
      <c r="C193" s="19">
        <f>IF(Deployments!H185="","",Deployments!H185)</f>
        <v/>
      </c>
      <c r="D193" s="19">
        <f>IF(Deployments!AM185="","",Deployments!AM185)</f>
        <v/>
      </c>
      <c r="E193" s="19">
        <f>IF(Deployments!I185="","",Deployments!I185)</f>
        <v/>
      </c>
      <c r="F193" s="19">
        <f>IF(Deployments!J185="","",Deployments!J185)</f>
        <v/>
      </c>
      <c r="G193" s="19">
        <f>IF(Deployments!K185="","",Deployments!K185)</f>
        <v/>
      </c>
      <c r="H193" s="19">
        <f>IF(Deployments!A185="","",Deployments!A185)</f>
        <v/>
      </c>
      <c r="I193" s="19">
        <f>IF(Deployments!AN185="","",Deployments!AN185)</f>
        <v/>
      </c>
      <c r="J193" s="19">
        <f>IF(Deployments!AO185="","",Deployments!AO185)</f>
        <v/>
      </c>
      <c r="K193" s="19">
        <f>IF(Deployments!AI185="","",Deployments!AI185)</f>
        <v/>
      </c>
      <c r="L193" s="19">
        <f>IF(Deployments!M185="","",Deployments!M185)</f>
        <v/>
      </c>
      <c r="M193" s="20" t="n"/>
      <c r="N193" s="19">
        <f>IF(Deployments!N185="","",Deployments!N185)</f>
        <v/>
      </c>
      <c r="O193" s="19">
        <f>IF(Deployments!O185="","",Deployments!O185)</f>
        <v/>
      </c>
      <c r="P193" s="19">
        <f>IF(Deployments!P185="","",Deployments!P185)</f>
        <v/>
      </c>
      <c r="Q193" s="20" t="n"/>
      <c r="R193" s="19">
        <f>IF(Deployments!BT185="","",Deployments!BT185)</f>
        <v/>
      </c>
      <c r="S193" s="19">
        <f>IF(Deployments!BS185="","",Deployments!BS185)</f>
        <v/>
      </c>
      <c r="T193" s="19">
        <f>IF(Deployments!BB185="","",Deployments!BB185)</f>
        <v/>
      </c>
      <c r="U193" s="19">
        <f>IF(Deployments!BR185="","",Deployments!BR185)</f>
        <v/>
      </c>
      <c r="V193" s="19">
        <f>IF(Deployments!BX185="","",Deployments!BX185)</f>
        <v/>
      </c>
      <c r="W193" s="19">
        <f>IF(Deployments!BY185="","",Deployments!BY185)</f>
        <v/>
      </c>
      <c r="X193" s="19">
        <f>IF(Deployments!CC185="","",Deployments!CC185)</f>
        <v/>
      </c>
      <c r="Y193" s="19">
        <f>IF(Deployments!BW185="","",Deployments!BW185)</f>
        <v/>
      </c>
      <c r="Z193" s="19">
        <f>IF(Deployments!U185="","",Deployments!U185)</f>
        <v/>
      </c>
      <c r="AA193" s="19">
        <f>IF(Deployments!L185="","",Deployments!L185)</f>
        <v/>
      </c>
    </row>
    <row r="194" ht="41.25" customHeight="1" s="91">
      <c r="A194" s="20" t="n"/>
      <c r="B194" s="20" t="n"/>
      <c r="C194" s="19">
        <f>IF(Deployments!H186="","",Deployments!H186)</f>
        <v/>
      </c>
      <c r="D194" s="19">
        <f>IF(Deployments!AM186="","",Deployments!AM186)</f>
        <v/>
      </c>
      <c r="E194" s="19">
        <f>IF(Deployments!I186="","",Deployments!I186)</f>
        <v/>
      </c>
      <c r="F194" s="19">
        <f>IF(Deployments!J186="","",Deployments!J186)</f>
        <v/>
      </c>
      <c r="G194" s="19">
        <f>IF(Deployments!K186="","",Deployments!K186)</f>
        <v/>
      </c>
      <c r="H194" s="19">
        <f>IF(Deployments!A186="","",Deployments!A186)</f>
        <v/>
      </c>
      <c r="I194" s="19">
        <f>IF(Deployments!AN186="","",Deployments!AN186)</f>
        <v/>
      </c>
      <c r="J194" s="19">
        <f>IF(Deployments!AO186="","",Deployments!AO186)</f>
        <v/>
      </c>
      <c r="K194" s="19">
        <f>IF(Deployments!AI186="","",Deployments!AI186)</f>
        <v/>
      </c>
      <c r="L194" s="19">
        <f>IF(Deployments!M186="","",Deployments!M186)</f>
        <v/>
      </c>
      <c r="M194" s="20" t="n"/>
      <c r="N194" s="19">
        <f>IF(Deployments!N186="","",Deployments!N186)</f>
        <v/>
      </c>
      <c r="O194" s="19">
        <f>IF(Deployments!O186="","",Deployments!O186)</f>
        <v/>
      </c>
      <c r="P194" s="19">
        <f>IF(Deployments!P186="","",Deployments!P186)</f>
        <v/>
      </c>
      <c r="Q194" s="20" t="n"/>
      <c r="R194" s="19">
        <f>IF(Deployments!BT186="","",Deployments!BT186)</f>
        <v/>
      </c>
      <c r="S194" s="19">
        <f>IF(Deployments!BS186="","",Deployments!BS186)</f>
        <v/>
      </c>
      <c r="T194" s="19">
        <f>IF(Deployments!BB186="","",Deployments!BB186)</f>
        <v/>
      </c>
      <c r="U194" s="19">
        <f>IF(Deployments!BR186="","",Deployments!BR186)</f>
        <v/>
      </c>
      <c r="V194" s="19">
        <f>IF(Deployments!BX186="","",Deployments!BX186)</f>
        <v/>
      </c>
      <c r="W194" s="19">
        <f>IF(Deployments!BY186="","",Deployments!BY186)</f>
        <v/>
      </c>
      <c r="X194" s="19">
        <f>IF(Deployments!CC186="","",Deployments!CC186)</f>
        <v/>
      </c>
      <c r="Y194" s="19">
        <f>IF(Deployments!BW186="","",Deployments!BW186)</f>
        <v/>
      </c>
      <c r="Z194" s="19">
        <f>IF(Deployments!U186="","",Deployments!U186)</f>
        <v/>
      </c>
      <c r="AA194" s="19">
        <f>IF(Deployments!L186="","",Deployments!L186)</f>
        <v/>
      </c>
    </row>
    <row r="195" ht="41.25" customHeight="1" s="91">
      <c r="A195" s="20" t="n"/>
      <c r="B195" s="20" t="n"/>
      <c r="C195" s="19">
        <f>IF(Deployments!H187="","",Deployments!H187)</f>
        <v/>
      </c>
      <c r="D195" s="19">
        <f>IF(Deployments!AM187="","",Deployments!AM187)</f>
        <v/>
      </c>
      <c r="E195" s="19">
        <f>IF(Deployments!I187="","",Deployments!I187)</f>
        <v/>
      </c>
      <c r="F195" s="19">
        <f>IF(Deployments!J187="","",Deployments!J187)</f>
        <v/>
      </c>
      <c r="G195" s="19">
        <f>IF(Deployments!K187="","",Deployments!K187)</f>
        <v/>
      </c>
      <c r="H195" s="19">
        <f>IF(Deployments!A187="","",Deployments!A187)</f>
        <v/>
      </c>
      <c r="I195" s="19">
        <f>IF(Deployments!AN187="","",Deployments!AN187)</f>
        <v/>
      </c>
      <c r="J195" s="19">
        <f>IF(Deployments!AO187="","",Deployments!AO187)</f>
        <v/>
      </c>
      <c r="K195" s="19">
        <f>IF(Deployments!AI187="","",Deployments!AI187)</f>
        <v/>
      </c>
      <c r="L195" s="19">
        <f>IF(Deployments!M187="","",Deployments!M187)</f>
        <v/>
      </c>
      <c r="M195" s="20" t="n"/>
      <c r="N195" s="19">
        <f>IF(Deployments!N187="","",Deployments!N187)</f>
        <v/>
      </c>
      <c r="O195" s="19">
        <f>IF(Deployments!O187="","",Deployments!O187)</f>
        <v/>
      </c>
      <c r="P195" s="19">
        <f>IF(Deployments!P187="","",Deployments!P187)</f>
        <v/>
      </c>
      <c r="Q195" s="20" t="n"/>
      <c r="R195" s="19">
        <f>IF(Deployments!BT187="","",Deployments!BT187)</f>
        <v/>
      </c>
      <c r="S195" s="19">
        <f>IF(Deployments!BS187="","",Deployments!BS187)</f>
        <v/>
      </c>
      <c r="T195" s="19">
        <f>IF(Deployments!BB187="","",Deployments!BB187)</f>
        <v/>
      </c>
      <c r="U195" s="19">
        <f>IF(Deployments!BR187="","",Deployments!BR187)</f>
        <v/>
      </c>
      <c r="V195" s="19">
        <f>IF(Deployments!BX187="","",Deployments!BX187)</f>
        <v/>
      </c>
      <c r="W195" s="19">
        <f>IF(Deployments!BY187="","",Deployments!BY187)</f>
        <v/>
      </c>
      <c r="X195" s="19">
        <f>IF(Deployments!CC187="","",Deployments!CC187)</f>
        <v/>
      </c>
      <c r="Y195" s="19">
        <f>IF(Deployments!BW187="","",Deployments!BW187)</f>
        <v/>
      </c>
      <c r="Z195" s="19">
        <f>IF(Deployments!U187="","",Deployments!U187)</f>
        <v/>
      </c>
      <c r="AA195" s="19">
        <f>IF(Deployments!L187="","",Deployments!L187)</f>
        <v/>
      </c>
    </row>
    <row r="196" ht="41.25" customHeight="1" s="91">
      <c r="A196" s="20" t="n"/>
      <c r="B196" s="20" t="n"/>
      <c r="C196" s="19">
        <f>IF(Deployments!H188="","",Deployments!H188)</f>
        <v/>
      </c>
      <c r="D196" s="19">
        <f>IF(Deployments!AM188="","",Deployments!AM188)</f>
        <v/>
      </c>
      <c r="E196" s="19">
        <f>IF(Deployments!I188="","",Deployments!I188)</f>
        <v/>
      </c>
      <c r="F196" s="19">
        <f>IF(Deployments!J188="","",Deployments!J188)</f>
        <v/>
      </c>
      <c r="G196" s="19">
        <f>IF(Deployments!K188="","",Deployments!K188)</f>
        <v/>
      </c>
      <c r="H196" s="19">
        <f>IF(Deployments!A188="","",Deployments!A188)</f>
        <v/>
      </c>
      <c r="I196" s="19">
        <f>IF(Deployments!AN188="","",Deployments!AN188)</f>
        <v/>
      </c>
      <c r="J196" s="19">
        <f>IF(Deployments!AO188="","",Deployments!AO188)</f>
        <v/>
      </c>
      <c r="K196" s="19">
        <f>IF(Deployments!AI188="","",Deployments!AI188)</f>
        <v/>
      </c>
      <c r="L196" s="19">
        <f>IF(Deployments!M188="","",Deployments!M188)</f>
        <v/>
      </c>
      <c r="M196" s="20" t="n"/>
      <c r="N196" s="19">
        <f>IF(Deployments!N188="","",Deployments!N188)</f>
        <v/>
      </c>
      <c r="O196" s="19">
        <f>IF(Deployments!O188="","",Deployments!O188)</f>
        <v/>
      </c>
      <c r="P196" s="19">
        <f>IF(Deployments!P188="","",Deployments!P188)</f>
        <v/>
      </c>
      <c r="Q196" s="20" t="n"/>
      <c r="R196" s="19">
        <f>IF(Deployments!BT188="","",Deployments!BT188)</f>
        <v/>
      </c>
      <c r="S196" s="19">
        <f>IF(Deployments!BS188="","",Deployments!BS188)</f>
        <v/>
      </c>
      <c r="T196" s="19">
        <f>IF(Deployments!BB188="","",Deployments!BB188)</f>
        <v/>
      </c>
      <c r="U196" s="19">
        <f>IF(Deployments!BR188="","",Deployments!BR188)</f>
        <v/>
      </c>
      <c r="V196" s="19">
        <f>IF(Deployments!BX188="","",Deployments!BX188)</f>
        <v/>
      </c>
      <c r="W196" s="19">
        <f>IF(Deployments!BY188="","",Deployments!BY188)</f>
        <v/>
      </c>
      <c r="X196" s="19">
        <f>IF(Deployments!CC188="","",Deployments!CC188)</f>
        <v/>
      </c>
      <c r="Y196" s="19">
        <f>IF(Deployments!BW188="","",Deployments!BW188)</f>
        <v/>
      </c>
      <c r="Z196" s="19">
        <f>IF(Deployments!U188="","",Deployments!U188)</f>
        <v/>
      </c>
      <c r="AA196" s="19">
        <f>IF(Deployments!L188="","",Deployments!L188)</f>
        <v/>
      </c>
    </row>
    <row r="197" ht="41.25" customHeight="1" s="91">
      <c r="A197" s="20" t="n"/>
      <c r="B197" s="20" t="n"/>
      <c r="C197" s="19">
        <f>IF(Deployments!H189="","",Deployments!H189)</f>
        <v/>
      </c>
      <c r="D197" s="19">
        <f>IF(Deployments!AM189="","",Deployments!AM189)</f>
        <v/>
      </c>
      <c r="E197" s="19">
        <f>IF(Deployments!I189="","",Deployments!I189)</f>
        <v/>
      </c>
      <c r="F197" s="19">
        <f>IF(Deployments!J189="","",Deployments!J189)</f>
        <v/>
      </c>
      <c r="G197" s="19">
        <f>IF(Deployments!K189="","",Deployments!K189)</f>
        <v/>
      </c>
      <c r="H197" s="19">
        <f>IF(Deployments!A189="","",Deployments!A189)</f>
        <v/>
      </c>
      <c r="I197" s="19">
        <f>IF(Deployments!AN189="","",Deployments!AN189)</f>
        <v/>
      </c>
      <c r="J197" s="19">
        <f>IF(Deployments!AO189="","",Deployments!AO189)</f>
        <v/>
      </c>
      <c r="K197" s="19">
        <f>IF(Deployments!AI189="","",Deployments!AI189)</f>
        <v/>
      </c>
      <c r="L197" s="19">
        <f>IF(Deployments!M189="","",Deployments!M189)</f>
        <v/>
      </c>
      <c r="M197" s="20" t="n"/>
      <c r="N197" s="19">
        <f>IF(Deployments!N189="","",Deployments!N189)</f>
        <v/>
      </c>
      <c r="O197" s="19">
        <f>IF(Deployments!O189="","",Deployments!O189)</f>
        <v/>
      </c>
      <c r="P197" s="19">
        <f>IF(Deployments!P189="","",Deployments!P189)</f>
        <v/>
      </c>
      <c r="Q197" s="20" t="n"/>
      <c r="R197" s="19">
        <f>IF(Deployments!BT189="","",Deployments!BT189)</f>
        <v/>
      </c>
      <c r="S197" s="19">
        <f>IF(Deployments!BS189="","",Deployments!BS189)</f>
        <v/>
      </c>
      <c r="T197" s="19">
        <f>IF(Deployments!BB189="","",Deployments!BB189)</f>
        <v/>
      </c>
      <c r="U197" s="19">
        <f>IF(Deployments!BR189="","",Deployments!BR189)</f>
        <v/>
      </c>
      <c r="V197" s="19">
        <f>IF(Deployments!BX189="","",Deployments!BX189)</f>
        <v/>
      </c>
      <c r="W197" s="19">
        <f>IF(Deployments!BY189="","",Deployments!BY189)</f>
        <v/>
      </c>
      <c r="X197" s="19">
        <f>IF(Deployments!CC189="","",Deployments!CC189)</f>
        <v/>
      </c>
      <c r="Y197" s="19">
        <f>IF(Deployments!BW189="","",Deployments!BW189)</f>
        <v/>
      </c>
      <c r="Z197" s="19">
        <f>IF(Deployments!U189="","",Deployments!U189)</f>
        <v/>
      </c>
      <c r="AA197" s="19">
        <f>IF(Deployments!L189="","",Deployments!L189)</f>
        <v/>
      </c>
    </row>
    <row r="198" ht="41.25" customHeight="1" s="91">
      <c r="A198" s="20" t="n"/>
      <c r="B198" s="20" t="n"/>
      <c r="C198" s="19">
        <f>IF(Deployments!H190="","",Deployments!H190)</f>
        <v/>
      </c>
      <c r="D198" s="19">
        <f>IF(Deployments!AM190="","",Deployments!AM190)</f>
        <v/>
      </c>
      <c r="E198" s="19">
        <f>IF(Deployments!I190="","",Deployments!I190)</f>
        <v/>
      </c>
      <c r="F198" s="19">
        <f>IF(Deployments!J190="","",Deployments!J190)</f>
        <v/>
      </c>
      <c r="G198" s="19">
        <f>IF(Deployments!K190="","",Deployments!K190)</f>
        <v/>
      </c>
      <c r="H198" s="19">
        <f>IF(Deployments!A190="","",Deployments!A190)</f>
        <v/>
      </c>
      <c r="I198" s="19">
        <f>IF(Deployments!AN190="","",Deployments!AN190)</f>
        <v/>
      </c>
      <c r="J198" s="19">
        <f>IF(Deployments!AO190="","",Deployments!AO190)</f>
        <v/>
      </c>
      <c r="K198" s="19">
        <f>IF(Deployments!AI190="","",Deployments!AI190)</f>
        <v/>
      </c>
      <c r="L198" s="19">
        <f>IF(Deployments!M190="","",Deployments!M190)</f>
        <v/>
      </c>
      <c r="M198" s="20" t="n"/>
      <c r="N198" s="19">
        <f>IF(Deployments!N190="","",Deployments!N190)</f>
        <v/>
      </c>
      <c r="O198" s="19">
        <f>IF(Deployments!O190="","",Deployments!O190)</f>
        <v/>
      </c>
      <c r="P198" s="19">
        <f>IF(Deployments!P190="","",Deployments!P190)</f>
        <v/>
      </c>
      <c r="Q198" s="20" t="n"/>
      <c r="R198" s="19">
        <f>IF(Deployments!BT190="","",Deployments!BT190)</f>
        <v/>
      </c>
      <c r="S198" s="19">
        <f>IF(Deployments!BS190="","",Deployments!BS190)</f>
        <v/>
      </c>
      <c r="T198" s="19">
        <f>IF(Deployments!BB190="","",Deployments!BB190)</f>
        <v/>
      </c>
      <c r="U198" s="19">
        <f>IF(Deployments!BR190="","",Deployments!BR190)</f>
        <v/>
      </c>
      <c r="V198" s="19">
        <f>IF(Deployments!BX190="","",Deployments!BX190)</f>
        <v/>
      </c>
      <c r="W198" s="19">
        <f>IF(Deployments!BY190="","",Deployments!BY190)</f>
        <v/>
      </c>
      <c r="X198" s="19">
        <f>IF(Deployments!CC190="","",Deployments!CC190)</f>
        <v/>
      </c>
      <c r="Y198" s="19">
        <f>IF(Deployments!BW190="","",Deployments!BW190)</f>
        <v/>
      </c>
      <c r="Z198" s="19">
        <f>IF(Deployments!U190="","",Deployments!U190)</f>
        <v/>
      </c>
      <c r="AA198" s="19">
        <f>IF(Deployments!L190="","",Deployments!L190)</f>
        <v/>
      </c>
    </row>
    <row r="199" ht="41.25" customHeight="1" s="91">
      <c r="A199" s="20" t="n"/>
      <c r="B199" s="20" t="n"/>
      <c r="C199" s="19">
        <f>IF(Deployments!H191="","",Deployments!H191)</f>
        <v/>
      </c>
      <c r="D199" s="19">
        <f>IF(Deployments!AM191="","",Deployments!AM191)</f>
        <v/>
      </c>
      <c r="E199" s="19">
        <f>IF(Deployments!I191="","",Deployments!I191)</f>
        <v/>
      </c>
      <c r="F199" s="19">
        <f>IF(Deployments!J191="","",Deployments!J191)</f>
        <v/>
      </c>
      <c r="G199" s="19">
        <f>IF(Deployments!K191="","",Deployments!K191)</f>
        <v/>
      </c>
      <c r="H199" s="19">
        <f>IF(Deployments!A191="","",Deployments!A191)</f>
        <v/>
      </c>
      <c r="I199" s="19">
        <f>IF(Deployments!AN191="","",Deployments!AN191)</f>
        <v/>
      </c>
      <c r="J199" s="19">
        <f>IF(Deployments!AO191="","",Deployments!AO191)</f>
        <v/>
      </c>
      <c r="K199" s="19">
        <f>IF(Deployments!AI191="","",Deployments!AI191)</f>
        <v/>
      </c>
      <c r="L199" s="19">
        <f>IF(Deployments!M191="","",Deployments!M191)</f>
        <v/>
      </c>
      <c r="M199" s="20" t="n"/>
      <c r="N199" s="19">
        <f>IF(Deployments!N191="","",Deployments!N191)</f>
        <v/>
      </c>
      <c r="O199" s="19">
        <f>IF(Deployments!O191="","",Deployments!O191)</f>
        <v/>
      </c>
      <c r="P199" s="19">
        <f>IF(Deployments!P191="","",Deployments!P191)</f>
        <v/>
      </c>
      <c r="Q199" s="20" t="n"/>
      <c r="R199" s="19">
        <f>IF(Deployments!BT191="","",Deployments!BT191)</f>
        <v/>
      </c>
      <c r="S199" s="19">
        <f>IF(Deployments!BS191="","",Deployments!BS191)</f>
        <v/>
      </c>
      <c r="T199" s="19">
        <f>IF(Deployments!BB191="","",Deployments!BB191)</f>
        <v/>
      </c>
      <c r="U199" s="19">
        <f>IF(Deployments!BR191="","",Deployments!BR191)</f>
        <v/>
      </c>
      <c r="V199" s="19">
        <f>IF(Deployments!BX191="","",Deployments!BX191)</f>
        <v/>
      </c>
      <c r="W199" s="19">
        <f>IF(Deployments!BY191="","",Deployments!BY191)</f>
        <v/>
      </c>
      <c r="X199" s="19">
        <f>IF(Deployments!CC191="","",Deployments!CC191)</f>
        <v/>
      </c>
      <c r="Y199" s="19">
        <f>IF(Deployments!BW191="","",Deployments!BW191)</f>
        <v/>
      </c>
      <c r="Z199" s="19">
        <f>IF(Deployments!U191="","",Deployments!U191)</f>
        <v/>
      </c>
      <c r="AA199" s="19">
        <f>IF(Deployments!L191="","",Deployments!L191)</f>
        <v/>
      </c>
    </row>
    <row r="200" ht="41.25" customHeight="1" s="91">
      <c r="A200" s="20" t="n"/>
      <c r="B200" s="20" t="n"/>
      <c r="C200" s="19">
        <f>IF(Deployments!H192="","",Deployments!H192)</f>
        <v/>
      </c>
      <c r="D200" s="19">
        <f>IF(Deployments!AM192="","",Deployments!AM192)</f>
        <v/>
      </c>
      <c r="E200" s="19">
        <f>IF(Deployments!I192="","",Deployments!I192)</f>
        <v/>
      </c>
      <c r="F200" s="19">
        <f>IF(Deployments!J192="","",Deployments!J192)</f>
        <v/>
      </c>
      <c r="G200" s="19">
        <f>IF(Deployments!K192="","",Deployments!K192)</f>
        <v/>
      </c>
      <c r="H200" s="19">
        <f>IF(Deployments!A192="","",Deployments!A192)</f>
        <v/>
      </c>
      <c r="I200" s="19">
        <f>IF(Deployments!AN192="","",Deployments!AN192)</f>
        <v/>
      </c>
      <c r="J200" s="19">
        <f>IF(Deployments!AO192="","",Deployments!AO192)</f>
        <v/>
      </c>
      <c r="K200" s="19">
        <f>IF(Deployments!AI192="","",Deployments!AI192)</f>
        <v/>
      </c>
      <c r="L200" s="19">
        <f>IF(Deployments!M192="","",Deployments!M192)</f>
        <v/>
      </c>
      <c r="M200" s="20" t="n"/>
      <c r="N200" s="19">
        <f>IF(Deployments!N192="","",Deployments!N192)</f>
        <v/>
      </c>
      <c r="O200" s="19">
        <f>IF(Deployments!O192="","",Deployments!O192)</f>
        <v/>
      </c>
      <c r="P200" s="19">
        <f>IF(Deployments!P192="","",Deployments!P192)</f>
        <v/>
      </c>
      <c r="Q200" s="20" t="n"/>
      <c r="R200" s="19">
        <f>IF(Deployments!BT192="","",Deployments!BT192)</f>
        <v/>
      </c>
      <c r="S200" s="19">
        <f>IF(Deployments!BS192="","",Deployments!BS192)</f>
        <v/>
      </c>
      <c r="T200" s="19">
        <f>IF(Deployments!BB192="","",Deployments!BB192)</f>
        <v/>
      </c>
      <c r="U200" s="19">
        <f>IF(Deployments!BR192="","",Deployments!BR192)</f>
        <v/>
      </c>
      <c r="V200" s="19">
        <f>IF(Deployments!BX192="","",Deployments!BX192)</f>
        <v/>
      </c>
      <c r="W200" s="19">
        <f>IF(Deployments!BY192="","",Deployments!BY192)</f>
        <v/>
      </c>
      <c r="X200" s="19">
        <f>IF(Deployments!CC192="","",Deployments!CC192)</f>
        <v/>
      </c>
      <c r="Y200" s="19">
        <f>IF(Deployments!BW192="","",Deployments!BW192)</f>
        <v/>
      </c>
      <c r="Z200" s="19">
        <f>IF(Deployments!U192="","",Deployments!U192)</f>
        <v/>
      </c>
      <c r="AA200" s="19">
        <f>IF(Deployments!L192="","",Deployments!L192)</f>
        <v/>
      </c>
    </row>
    <row r="201">
      <c r="A201" s="20" t="n"/>
      <c r="B201" s="20" t="n"/>
      <c r="C201" s="19">
        <f>IF(Deployments!#REF!="","",Deployments!#REF!)</f>
        <v/>
      </c>
      <c r="D201" s="19">
        <f>IF(Deployments!#REF!="","",Deployments!#REF!)</f>
        <v/>
      </c>
      <c r="E201" s="19">
        <f>IF(Deployments!#REF!="","",Deployments!#REF!)</f>
        <v/>
      </c>
      <c r="F201" s="19">
        <f>IF(Deployments!#REF!="","",Deployments!#REF!)</f>
        <v/>
      </c>
      <c r="G201" s="19">
        <f>IF(Deployments!#REF!="","",Deployments!#REF!)</f>
        <v/>
      </c>
      <c r="H201" s="19">
        <f>IF(Deployments!#REF!="","",Deployments!#REF!)</f>
        <v/>
      </c>
      <c r="I201" s="19">
        <f>IF(Deployments!#REF!="","",Deployments!#REF!)</f>
        <v/>
      </c>
      <c r="J201" s="19">
        <f>IF(Deployments!#REF!="","",Deployments!#REF!)</f>
        <v/>
      </c>
      <c r="K201" s="19">
        <f>IF(Deployments!#REF!="","",Deployments!#REF!)</f>
        <v/>
      </c>
      <c r="L201" s="19">
        <f>IF(Deployments!#REF!="","",Deployments!#REF!)</f>
        <v/>
      </c>
      <c r="M201" s="20" t="n"/>
      <c r="N201" s="19">
        <f>IF(Deployments!#REF!="","",Deployments!#REF!)</f>
        <v/>
      </c>
      <c r="O201" s="19">
        <f>IF(Deployments!#REF!="","",Deployments!#REF!)</f>
        <v/>
      </c>
      <c r="P201" s="19">
        <f>IF(Deployments!#REF!="","",Deployments!#REF!)</f>
        <v/>
      </c>
      <c r="Q201" s="20" t="n"/>
      <c r="R201" s="19">
        <f>IF(Deployments!#REF!="","",Deployments!#REF!)</f>
        <v/>
      </c>
      <c r="S201" s="19">
        <f>IF(Deployments!#REF!="","",Deployments!#REF!)</f>
        <v/>
      </c>
      <c r="T201" s="19">
        <f>IF(Deployments!#REF!="","",Deployments!#REF!)</f>
        <v/>
      </c>
      <c r="U201" s="19">
        <f>IF(Deployments!#REF!="","",Deployments!#REF!)</f>
        <v/>
      </c>
      <c r="V201" s="19">
        <f>IF(Deployments!#REF!="","",Deployments!#REF!)</f>
        <v/>
      </c>
      <c r="W201" s="19">
        <f>IF(Deployments!#REF!="","",Deployments!#REF!)</f>
        <v/>
      </c>
      <c r="X201" s="19">
        <f>IF(Deployments!#REF!="","",Deployments!#REF!)</f>
        <v/>
      </c>
      <c r="Y201" s="19">
        <f>IF(Deployments!#REF!="","",Deployments!#REF!)</f>
        <v/>
      </c>
      <c r="Z201" s="19">
        <f>IF(Deployments!#REF!="","",Deployments!#REF!)</f>
        <v/>
      </c>
      <c r="AA201" s="19">
        <f>IF(Deployments!#REF!="","",Deployments!#REF!)</f>
        <v/>
      </c>
    </row>
    <row r="202">
      <c r="A202" s="20" t="n"/>
      <c r="B202" s="20" t="n"/>
      <c r="C202" s="19">
        <f>IF(Deployments!#REF!="","",Deployments!#REF!)</f>
        <v/>
      </c>
      <c r="D202" s="19">
        <f>IF(Deployments!#REF!="","",Deployments!#REF!)</f>
        <v/>
      </c>
      <c r="E202" s="19">
        <f>IF(Deployments!#REF!="","",Deployments!#REF!)</f>
        <v/>
      </c>
      <c r="F202" s="19">
        <f>IF(Deployments!#REF!="","",Deployments!#REF!)</f>
        <v/>
      </c>
      <c r="G202" s="19">
        <f>IF(Deployments!#REF!="","",Deployments!#REF!)</f>
        <v/>
      </c>
      <c r="H202" s="19">
        <f>IF(Deployments!#REF!="","",Deployments!#REF!)</f>
        <v/>
      </c>
      <c r="I202" s="19">
        <f>IF(Deployments!#REF!="","",Deployments!#REF!)</f>
        <v/>
      </c>
      <c r="J202" s="19">
        <f>IF(Deployments!#REF!="","",Deployments!#REF!)</f>
        <v/>
      </c>
      <c r="K202" s="19">
        <f>IF(Deployments!#REF!="","",Deployments!#REF!)</f>
        <v/>
      </c>
      <c r="L202" s="19">
        <f>IF(Deployments!#REF!="","",Deployments!#REF!)</f>
        <v/>
      </c>
      <c r="M202" s="20" t="n"/>
      <c r="N202" s="19">
        <f>IF(Deployments!#REF!="","",Deployments!#REF!)</f>
        <v/>
      </c>
      <c r="O202" s="19">
        <f>IF(Deployments!#REF!="","",Deployments!#REF!)</f>
        <v/>
      </c>
      <c r="P202" s="19">
        <f>IF(Deployments!#REF!="","",Deployments!#REF!)</f>
        <v/>
      </c>
      <c r="Q202" s="20" t="n"/>
      <c r="R202" s="19">
        <f>IF(Deployments!#REF!="","",Deployments!#REF!)</f>
        <v/>
      </c>
      <c r="S202" s="19">
        <f>IF(Deployments!#REF!="","",Deployments!#REF!)</f>
        <v/>
      </c>
      <c r="T202" s="19">
        <f>IF(Deployments!#REF!="","",Deployments!#REF!)</f>
        <v/>
      </c>
      <c r="U202" s="19">
        <f>IF(Deployments!#REF!="","",Deployments!#REF!)</f>
        <v/>
      </c>
      <c r="V202" s="19">
        <f>IF(Deployments!#REF!="","",Deployments!#REF!)</f>
        <v/>
      </c>
      <c r="W202" s="19">
        <f>IF(Deployments!#REF!="","",Deployments!#REF!)</f>
        <v/>
      </c>
      <c r="X202" s="19">
        <f>IF(Deployments!#REF!="","",Deployments!#REF!)</f>
        <v/>
      </c>
      <c r="Y202" s="19">
        <f>IF(Deployments!#REF!="","",Deployments!#REF!)</f>
        <v/>
      </c>
      <c r="Z202" s="19">
        <f>IF(Deployments!#REF!="","",Deployments!#REF!)</f>
        <v/>
      </c>
      <c r="AA202" s="19">
        <f>IF(Deployments!#REF!="","",Deployments!#REF!)</f>
        <v/>
      </c>
    </row>
    <row r="203">
      <c r="A203" s="20" t="n"/>
      <c r="B203" s="20" t="n"/>
      <c r="C203" s="19">
        <f>IF(Deployments!#REF!="","",Deployments!#REF!)</f>
        <v/>
      </c>
      <c r="D203" s="19">
        <f>IF(Deployments!#REF!="","",Deployments!#REF!)</f>
        <v/>
      </c>
      <c r="E203" s="19">
        <f>IF(Deployments!#REF!="","",Deployments!#REF!)</f>
        <v/>
      </c>
      <c r="F203" s="19">
        <f>IF(Deployments!#REF!="","",Deployments!#REF!)</f>
        <v/>
      </c>
      <c r="G203" s="19">
        <f>IF(Deployments!#REF!="","",Deployments!#REF!)</f>
        <v/>
      </c>
      <c r="H203" s="19">
        <f>IF(Deployments!#REF!="","",Deployments!#REF!)</f>
        <v/>
      </c>
      <c r="I203" s="19">
        <f>IF(Deployments!#REF!="","",Deployments!#REF!)</f>
        <v/>
      </c>
      <c r="J203" s="19">
        <f>IF(Deployments!#REF!="","",Deployments!#REF!)</f>
        <v/>
      </c>
      <c r="K203" s="19">
        <f>IF(Deployments!#REF!="","",Deployments!#REF!)</f>
        <v/>
      </c>
      <c r="L203" s="19">
        <f>IF(Deployments!#REF!="","",Deployments!#REF!)</f>
        <v/>
      </c>
      <c r="M203" s="20" t="n"/>
      <c r="N203" s="19">
        <f>IF(Deployments!#REF!="","",Deployments!#REF!)</f>
        <v/>
      </c>
      <c r="O203" s="19">
        <f>IF(Deployments!#REF!="","",Deployments!#REF!)</f>
        <v/>
      </c>
      <c r="P203" s="19">
        <f>IF(Deployments!#REF!="","",Deployments!#REF!)</f>
        <v/>
      </c>
      <c r="Q203" s="20" t="n"/>
      <c r="R203" s="19">
        <f>IF(Deployments!#REF!="","",Deployments!#REF!)</f>
        <v/>
      </c>
      <c r="S203" s="19">
        <f>IF(Deployments!#REF!="","",Deployments!#REF!)</f>
        <v/>
      </c>
      <c r="T203" s="19">
        <f>IF(Deployments!#REF!="","",Deployments!#REF!)</f>
        <v/>
      </c>
      <c r="U203" s="19">
        <f>IF(Deployments!#REF!="","",Deployments!#REF!)</f>
        <v/>
      </c>
      <c r="V203" s="19">
        <f>IF(Deployments!#REF!="","",Deployments!#REF!)</f>
        <v/>
      </c>
      <c r="W203" s="19">
        <f>IF(Deployments!#REF!="","",Deployments!#REF!)</f>
        <v/>
      </c>
      <c r="X203" s="19">
        <f>IF(Deployments!#REF!="","",Deployments!#REF!)</f>
        <v/>
      </c>
      <c r="Y203" s="19">
        <f>IF(Deployments!#REF!="","",Deployments!#REF!)</f>
        <v/>
      </c>
      <c r="Z203" s="19">
        <f>IF(Deployments!#REF!="","",Deployments!#REF!)</f>
        <v/>
      </c>
      <c r="AA203" s="19">
        <f>IF(Deployments!#REF!="","",Deployments!#REF!)</f>
        <v/>
      </c>
    </row>
    <row r="204">
      <c r="A204" s="20" t="n"/>
      <c r="B204" s="20" t="n"/>
      <c r="C204" s="19">
        <f>IF(Deployments!#REF!="","",Deployments!#REF!)</f>
        <v/>
      </c>
      <c r="D204" s="19">
        <f>IF(Deployments!#REF!="","",Deployments!#REF!)</f>
        <v/>
      </c>
      <c r="E204" s="19">
        <f>IF(Deployments!#REF!="","",Deployments!#REF!)</f>
        <v/>
      </c>
      <c r="F204" s="19">
        <f>IF(Deployments!#REF!="","",Deployments!#REF!)</f>
        <v/>
      </c>
      <c r="G204" s="19">
        <f>IF(Deployments!#REF!="","",Deployments!#REF!)</f>
        <v/>
      </c>
      <c r="H204" s="19">
        <f>IF(Deployments!#REF!="","",Deployments!#REF!)</f>
        <v/>
      </c>
      <c r="I204" s="19">
        <f>IF(Deployments!#REF!="","",Deployments!#REF!)</f>
        <v/>
      </c>
      <c r="J204" s="19">
        <f>IF(Deployments!#REF!="","",Deployments!#REF!)</f>
        <v/>
      </c>
      <c r="K204" s="19">
        <f>IF(Deployments!#REF!="","",Deployments!#REF!)</f>
        <v/>
      </c>
      <c r="L204" s="19">
        <f>IF(Deployments!#REF!="","",Deployments!#REF!)</f>
        <v/>
      </c>
      <c r="M204" s="20" t="n"/>
      <c r="N204" s="19">
        <f>IF(Deployments!#REF!="","",Deployments!#REF!)</f>
        <v/>
      </c>
      <c r="O204" s="19">
        <f>IF(Deployments!#REF!="","",Deployments!#REF!)</f>
        <v/>
      </c>
      <c r="P204" s="19">
        <f>IF(Deployments!#REF!="","",Deployments!#REF!)</f>
        <v/>
      </c>
      <c r="Q204" s="20" t="n"/>
      <c r="R204" s="19">
        <f>IF(Deployments!#REF!="","",Deployments!#REF!)</f>
        <v/>
      </c>
      <c r="S204" s="19">
        <f>IF(Deployments!#REF!="","",Deployments!#REF!)</f>
        <v/>
      </c>
      <c r="T204" s="19">
        <f>IF(Deployments!#REF!="","",Deployments!#REF!)</f>
        <v/>
      </c>
      <c r="U204" s="19">
        <f>IF(Deployments!#REF!="","",Deployments!#REF!)</f>
        <v/>
      </c>
      <c r="V204" s="19">
        <f>IF(Deployments!#REF!="","",Deployments!#REF!)</f>
        <v/>
      </c>
      <c r="W204" s="19">
        <f>IF(Deployments!#REF!="","",Deployments!#REF!)</f>
        <v/>
      </c>
      <c r="X204" s="19">
        <f>IF(Deployments!#REF!="","",Deployments!#REF!)</f>
        <v/>
      </c>
      <c r="Y204" s="19">
        <f>IF(Deployments!#REF!="","",Deployments!#REF!)</f>
        <v/>
      </c>
      <c r="Z204" s="19">
        <f>IF(Deployments!#REF!="","",Deployments!#REF!)</f>
        <v/>
      </c>
      <c r="AA204" s="19">
        <f>IF(Deployments!#REF!="","",Deployments!#REF!)</f>
        <v/>
      </c>
    </row>
    <row r="205" ht="41.25" customHeight="1" s="91">
      <c r="A205" s="20" t="n"/>
      <c r="B205" s="20" t="n"/>
      <c r="C205" s="19">
        <f>IF(Deployments!H193="","",Deployments!H193)</f>
        <v/>
      </c>
      <c r="D205" s="19">
        <f>IF(Deployments!AM193="","",Deployments!AM193)</f>
        <v/>
      </c>
      <c r="E205" s="19">
        <f>IF(Deployments!I193="","",Deployments!I193)</f>
        <v/>
      </c>
      <c r="F205" s="19">
        <f>IF(Deployments!J193="","",Deployments!J193)</f>
        <v/>
      </c>
      <c r="G205" s="19">
        <f>IF(Deployments!K193="","",Deployments!K193)</f>
        <v/>
      </c>
      <c r="H205" s="19">
        <f>IF(Deployments!A193="","",Deployments!A193)</f>
        <v/>
      </c>
      <c r="I205" s="19">
        <f>IF(Deployments!AN193="","",Deployments!AN193)</f>
        <v/>
      </c>
      <c r="J205" s="19">
        <f>IF(Deployments!AO193="","",Deployments!AO193)</f>
        <v/>
      </c>
      <c r="K205" s="19">
        <f>IF(Deployments!AI193="","",Deployments!AI193)</f>
        <v/>
      </c>
      <c r="L205" s="19">
        <f>IF(Deployments!M193="","",Deployments!M193)</f>
        <v/>
      </c>
      <c r="M205" s="20" t="n"/>
      <c r="N205" s="19">
        <f>IF(Deployments!N193="","",Deployments!N193)</f>
        <v/>
      </c>
      <c r="O205" s="19">
        <f>IF(Deployments!O193="","",Deployments!O193)</f>
        <v/>
      </c>
      <c r="P205" s="19">
        <f>IF(Deployments!P193="","",Deployments!P193)</f>
        <v/>
      </c>
      <c r="Q205" s="20" t="n"/>
      <c r="R205" s="19">
        <f>IF(Deployments!BT193="","",Deployments!BT193)</f>
        <v/>
      </c>
      <c r="S205" s="19">
        <f>IF(Deployments!BS193="","",Deployments!BS193)</f>
        <v/>
      </c>
      <c r="T205" s="19">
        <f>IF(Deployments!BB193="","",Deployments!BB193)</f>
        <v/>
      </c>
      <c r="U205" s="19">
        <f>IF(Deployments!BR193="","",Deployments!BR193)</f>
        <v/>
      </c>
      <c r="V205" s="19">
        <f>IF(Deployments!BX193="","",Deployments!BX193)</f>
        <v/>
      </c>
      <c r="W205" s="19">
        <f>IF(Deployments!BY193="","",Deployments!BY193)</f>
        <v/>
      </c>
      <c r="X205" s="19">
        <f>IF(Deployments!CC193="","",Deployments!CC193)</f>
        <v/>
      </c>
      <c r="Y205" s="19">
        <f>IF(Deployments!BW193="","",Deployments!BW193)</f>
        <v/>
      </c>
      <c r="Z205" s="19">
        <f>IF(Deployments!U193="","",Deployments!U193)</f>
        <v/>
      </c>
      <c r="AA205" s="19">
        <f>IF(Deployments!L193="","",Deployments!L193)</f>
        <v/>
      </c>
    </row>
    <row r="206" ht="41.25" customHeight="1" s="91">
      <c r="A206" s="20" t="n"/>
      <c r="B206" s="20" t="n"/>
      <c r="C206" s="19">
        <f>IF(Deployments!H194="","",Deployments!H194)</f>
        <v/>
      </c>
      <c r="D206" s="19">
        <f>IF(Deployments!AM194="","",Deployments!AM194)</f>
        <v/>
      </c>
      <c r="E206" s="19">
        <f>IF(Deployments!I194="","",Deployments!I194)</f>
        <v/>
      </c>
      <c r="F206" s="19">
        <f>IF(Deployments!J194="","",Deployments!J194)</f>
        <v/>
      </c>
      <c r="G206" s="19">
        <f>IF(Deployments!K194="","",Deployments!K194)</f>
        <v/>
      </c>
      <c r="H206" s="19">
        <f>IF(Deployments!A194="","",Deployments!A194)</f>
        <v/>
      </c>
      <c r="I206" s="19">
        <f>IF(Deployments!AN194="","",Deployments!AN194)</f>
        <v/>
      </c>
      <c r="J206" s="19">
        <f>IF(Deployments!AO194="","",Deployments!AO194)</f>
        <v/>
      </c>
      <c r="K206" s="19">
        <f>IF(Deployments!AI194="","",Deployments!AI194)</f>
        <v/>
      </c>
      <c r="L206" s="19">
        <f>IF(Deployments!M194="","",Deployments!M194)</f>
        <v/>
      </c>
      <c r="M206" s="20" t="n"/>
      <c r="N206" s="19">
        <f>IF(Deployments!N194="","",Deployments!N194)</f>
        <v/>
      </c>
      <c r="O206" s="19">
        <f>IF(Deployments!O194="","",Deployments!O194)</f>
        <v/>
      </c>
      <c r="P206" s="19">
        <f>IF(Deployments!P194="","",Deployments!P194)</f>
        <v/>
      </c>
      <c r="Q206" s="20" t="n"/>
      <c r="R206" s="19">
        <f>IF(Deployments!BT194="","",Deployments!BT194)</f>
        <v/>
      </c>
      <c r="S206" s="19">
        <f>IF(Deployments!BS194="","",Deployments!BS194)</f>
        <v/>
      </c>
      <c r="T206" s="19">
        <f>IF(Deployments!BB194="","",Deployments!BB194)</f>
        <v/>
      </c>
      <c r="U206" s="19">
        <f>IF(Deployments!BR194="","",Deployments!BR194)</f>
        <v/>
      </c>
      <c r="V206" s="19">
        <f>IF(Deployments!BX194="","",Deployments!BX194)</f>
        <v/>
      </c>
      <c r="W206" s="19">
        <f>IF(Deployments!BY194="","",Deployments!BY194)</f>
        <v/>
      </c>
      <c r="X206" s="19">
        <f>IF(Deployments!CC194="","",Deployments!CC194)</f>
        <v/>
      </c>
      <c r="Y206" s="19">
        <f>IF(Deployments!BW194="","",Deployments!BW194)</f>
        <v/>
      </c>
      <c r="Z206" s="19">
        <f>IF(Deployments!U194="","",Deployments!U194)</f>
        <v/>
      </c>
      <c r="AA206" s="19">
        <f>IF(Deployments!L194="","",Deployments!L194)</f>
        <v/>
      </c>
    </row>
    <row r="207" ht="41.25" customHeight="1" s="91">
      <c r="A207" s="20" t="n"/>
      <c r="B207" s="20" t="n"/>
      <c r="C207" s="19">
        <f>IF(Deployments!H195="","",Deployments!H195)</f>
        <v/>
      </c>
      <c r="D207" s="19">
        <f>IF(Deployments!AM195="","",Deployments!AM195)</f>
        <v/>
      </c>
      <c r="E207" s="19">
        <f>IF(Deployments!I195="","",Deployments!I195)</f>
        <v/>
      </c>
      <c r="F207" s="19">
        <f>IF(Deployments!J195="","",Deployments!J195)</f>
        <v/>
      </c>
      <c r="G207" s="19">
        <f>IF(Deployments!K195="","",Deployments!K195)</f>
        <v/>
      </c>
      <c r="H207" s="19">
        <f>IF(Deployments!A195="","",Deployments!A195)</f>
        <v/>
      </c>
      <c r="I207" s="19">
        <f>IF(Deployments!AN195="","",Deployments!AN195)</f>
        <v/>
      </c>
      <c r="J207" s="19">
        <f>IF(Deployments!AO195="","",Deployments!AO195)</f>
        <v/>
      </c>
      <c r="K207" s="19">
        <f>IF(Deployments!AI195="","",Deployments!AI195)</f>
        <v/>
      </c>
      <c r="L207" s="19">
        <f>IF(Deployments!M195="","",Deployments!M195)</f>
        <v/>
      </c>
      <c r="M207" s="20" t="n"/>
      <c r="N207" s="19">
        <f>IF(Deployments!N195="","",Deployments!N195)</f>
        <v/>
      </c>
      <c r="O207" s="19">
        <f>IF(Deployments!O195="","",Deployments!O195)</f>
        <v/>
      </c>
      <c r="P207" s="19">
        <f>IF(Deployments!P195="","",Deployments!P195)</f>
        <v/>
      </c>
      <c r="Q207" s="20" t="n"/>
      <c r="R207" s="19">
        <f>IF(Deployments!BT195="","",Deployments!BT195)</f>
        <v/>
      </c>
      <c r="S207" s="19">
        <f>IF(Deployments!BS195="","",Deployments!BS195)</f>
        <v/>
      </c>
      <c r="T207" s="19">
        <f>IF(Deployments!BB195="","",Deployments!BB195)</f>
        <v/>
      </c>
      <c r="U207" s="19">
        <f>IF(Deployments!BR195="","",Deployments!BR195)</f>
        <v/>
      </c>
      <c r="V207" s="19">
        <f>IF(Deployments!BX195="","",Deployments!BX195)</f>
        <v/>
      </c>
      <c r="W207" s="19">
        <f>IF(Deployments!BY195="","",Deployments!BY195)</f>
        <v/>
      </c>
      <c r="X207" s="19">
        <f>IF(Deployments!CC195="","",Deployments!CC195)</f>
        <v/>
      </c>
      <c r="Y207" s="19">
        <f>IF(Deployments!BW195="","",Deployments!BW195)</f>
        <v/>
      </c>
      <c r="Z207" s="19">
        <f>IF(Deployments!U195="","",Deployments!U195)</f>
        <v/>
      </c>
      <c r="AA207" s="19">
        <f>IF(Deployments!L195="","",Deployments!L195)</f>
        <v/>
      </c>
    </row>
    <row r="208" ht="41.25" customHeight="1" s="91">
      <c r="A208" s="20" t="n"/>
      <c r="B208" s="20" t="n"/>
      <c r="C208" s="19">
        <f>IF(Deployments!H196="","",Deployments!H196)</f>
        <v/>
      </c>
      <c r="D208" s="19">
        <f>IF(Deployments!AM196="","",Deployments!AM196)</f>
        <v/>
      </c>
      <c r="E208" s="19">
        <f>IF(Deployments!I196="","",Deployments!I196)</f>
        <v/>
      </c>
      <c r="F208" s="19">
        <f>IF(Deployments!J196="","",Deployments!J196)</f>
        <v/>
      </c>
      <c r="G208" s="19">
        <f>IF(Deployments!K196="","",Deployments!K196)</f>
        <v/>
      </c>
      <c r="H208" s="19">
        <f>IF(Deployments!A196="","",Deployments!A196)</f>
        <v/>
      </c>
      <c r="I208" s="19">
        <f>IF(Deployments!AN196="","",Deployments!AN196)</f>
        <v/>
      </c>
      <c r="J208" s="19">
        <f>IF(Deployments!AO196="","",Deployments!AO196)</f>
        <v/>
      </c>
      <c r="K208" s="19">
        <f>IF(Deployments!AI196="","",Deployments!AI196)</f>
        <v/>
      </c>
      <c r="L208" s="19">
        <f>IF(Deployments!M196="","",Deployments!M196)</f>
        <v/>
      </c>
      <c r="M208" s="20" t="n"/>
      <c r="N208" s="19">
        <f>IF(Deployments!N196="","",Deployments!N196)</f>
        <v/>
      </c>
      <c r="O208" s="19">
        <f>IF(Deployments!O196="","",Deployments!O196)</f>
        <v/>
      </c>
      <c r="P208" s="19">
        <f>IF(Deployments!P196="","",Deployments!P196)</f>
        <v/>
      </c>
      <c r="Q208" s="20" t="n"/>
      <c r="R208" s="19">
        <f>IF(Deployments!BT196="","",Deployments!BT196)</f>
        <v/>
      </c>
      <c r="S208" s="19">
        <f>IF(Deployments!BS196="","",Deployments!BS196)</f>
        <v/>
      </c>
      <c r="T208" s="19">
        <f>IF(Deployments!BB196="","",Deployments!BB196)</f>
        <v/>
      </c>
      <c r="U208" s="19">
        <f>IF(Deployments!BR196="","",Deployments!BR196)</f>
        <v/>
      </c>
      <c r="V208" s="19">
        <f>IF(Deployments!BX196="","",Deployments!BX196)</f>
        <v/>
      </c>
      <c r="W208" s="19">
        <f>IF(Deployments!BY196="","",Deployments!BY196)</f>
        <v/>
      </c>
      <c r="X208" s="19">
        <f>IF(Deployments!CC196="","",Deployments!CC196)</f>
        <v/>
      </c>
      <c r="Y208" s="19">
        <f>IF(Deployments!BW196="","",Deployments!BW196)</f>
        <v/>
      </c>
      <c r="Z208" s="19">
        <f>IF(Deployments!U196="","",Deployments!U196)</f>
        <v/>
      </c>
      <c r="AA208" s="19">
        <f>IF(Deployments!L196="","",Deployments!L196)</f>
        <v/>
      </c>
    </row>
    <row r="209" ht="41.25" customHeight="1" s="91">
      <c r="A209" s="20" t="n"/>
      <c r="B209" s="20" t="n"/>
      <c r="C209" s="19">
        <f>IF(Deployments!H197="","",Deployments!H197)</f>
        <v/>
      </c>
      <c r="D209" s="19">
        <f>IF(Deployments!AM197="","",Deployments!AM197)</f>
        <v/>
      </c>
      <c r="E209" s="19">
        <f>IF(Deployments!I197="","",Deployments!I197)</f>
        <v/>
      </c>
      <c r="F209" s="19">
        <f>IF(Deployments!J197="","",Deployments!J197)</f>
        <v/>
      </c>
      <c r="G209" s="19">
        <f>IF(Deployments!K197="","",Deployments!K197)</f>
        <v/>
      </c>
      <c r="H209" s="19">
        <f>IF(Deployments!A197="","",Deployments!A197)</f>
        <v/>
      </c>
      <c r="I209" s="19">
        <f>IF(Deployments!AN197="","",Deployments!AN197)</f>
        <v/>
      </c>
      <c r="J209" s="19">
        <f>IF(Deployments!AO197="","",Deployments!AO197)</f>
        <v/>
      </c>
      <c r="K209" s="19">
        <f>IF(Deployments!AI197="","",Deployments!AI197)</f>
        <v/>
      </c>
      <c r="L209" s="19">
        <f>IF(Deployments!M197="","",Deployments!M197)</f>
        <v/>
      </c>
      <c r="M209" s="20" t="n"/>
      <c r="N209" s="19">
        <f>IF(Deployments!N197="","",Deployments!N197)</f>
        <v/>
      </c>
      <c r="O209" s="19">
        <f>IF(Deployments!O197="","",Deployments!O197)</f>
        <v/>
      </c>
      <c r="P209" s="19">
        <f>IF(Deployments!P197="","",Deployments!P197)</f>
        <v/>
      </c>
      <c r="Q209" s="20" t="n"/>
      <c r="R209" s="19">
        <f>IF(Deployments!BT197="","",Deployments!BT197)</f>
        <v/>
      </c>
      <c r="S209" s="19">
        <f>IF(Deployments!BS197="","",Deployments!BS197)</f>
        <v/>
      </c>
      <c r="T209" s="19">
        <f>IF(Deployments!BB197="","",Deployments!BB197)</f>
        <v/>
      </c>
      <c r="U209" s="19">
        <f>IF(Deployments!BR197="","",Deployments!BR197)</f>
        <v/>
      </c>
      <c r="V209" s="19">
        <f>IF(Deployments!BX197="","",Deployments!BX197)</f>
        <v/>
      </c>
      <c r="W209" s="19">
        <f>IF(Deployments!BY197="","",Deployments!BY197)</f>
        <v/>
      </c>
      <c r="X209" s="19">
        <f>IF(Deployments!CC197="","",Deployments!CC197)</f>
        <v/>
      </c>
      <c r="Y209" s="19">
        <f>IF(Deployments!BW197="","",Deployments!BW197)</f>
        <v/>
      </c>
      <c r="Z209" s="19">
        <f>IF(Deployments!U197="","",Deployments!U197)</f>
        <v/>
      </c>
      <c r="AA209" s="19">
        <f>IF(Deployments!L197="","",Deployments!L197)</f>
        <v/>
      </c>
    </row>
    <row r="210" ht="41.25" customHeight="1" s="91">
      <c r="A210" s="20" t="n"/>
      <c r="B210" s="20" t="n"/>
      <c r="C210" s="19">
        <f>IF(Deployments!H198="","",Deployments!H198)</f>
        <v/>
      </c>
      <c r="D210" s="19">
        <f>IF(Deployments!AM198="","",Deployments!AM198)</f>
        <v/>
      </c>
      <c r="E210" s="19">
        <f>IF(Deployments!I198="","",Deployments!I198)</f>
        <v/>
      </c>
      <c r="F210" s="19">
        <f>IF(Deployments!J198="","",Deployments!J198)</f>
        <v/>
      </c>
      <c r="G210" s="19">
        <f>IF(Deployments!K198="","",Deployments!K198)</f>
        <v/>
      </c>
      <c r="H210" s="19">
        <f>IF(Deployments!A198="","",Deployments!A198)</f>
        <v/>
      </c>
      <c r="I210" s="19">
        <f>IF(Deployments!AN198="","",Deployments!AN198)</f>
        <v/>
      </c>
      <c r="J210" s="19">
        <f>IF(Deployments!AO198="","",Deployments!AO198)</f>
        <v/>
      </c>
      <c r="K210" s="19">
        <f>IF(Deployments!AI198="","",Deployments!AI198)</f>
        <v/>
      </c>
      <c r="L210" s="19">
        <f>IF(Deployments!M198="","",Deployments!M198)</f>
        <v/>
      </c>
      <c r="M210" s="20" t="n"/>
      <c r="N210" s="19">
        <f>IF(Deployments!N198="","",Deployments!N198)</f>
        <v/>
      </c>
      <c r="O210" s="19">
        <f>IF(Deployments!O198="","",Deployments!O198)</f>
        <v/>
      </c>
      <c r="P210" s="19">
        <f>IF(Deployments!P198="","",Deployments!P198)</f>
        <v/>
      </c>
      <c r="Q210" s="20" t="n"/>
      <c r="R210" s="19">
        <f>IF(Deployments!BT198="","",Deployments!BT198)</f>
        <v/>
      </c>
      <c r="S210" s="19">
        <f>IF(Deployments!BS198="","",Deployments!BS198)</f>
        <v/>
      </c>
      <c r="T210" s="19">
        <f>IF(Deployments!BB198="","",Deployments!BB198)</f>
        <v/>
      </c>
      <c r="U210" s="19">
        <f>IF(Deployments!BR198="","",Deployments!BR198)</f>
        <v/>
      </c>
      <c r="V210" s="19">
        <f>IF(Deployments!BX198="","",Deployments!BX198)</f>
        <v/>
      </c>
      <c r="W210" s="19">
        <f>IF(Deployments!BY198="","",Deployments!BY198)</f>
        <v/>
      </c>
      <c r="X210" s="19">
        <f>IF(Deployments!CC198="","",Deployments!CC198)</f>
        <v/>
      </c>
      <c r="Y210" s="19">
        <f>IF(Deployments!BW198="","",Deployments!BW198)</f>
        <v/>
      </c>
      <c r="Z210" s="19">
        <f>IF(Deployments!U198="","",Deployments!U198)</f>
        <v/>
      </c>
      <c r="AA210" s="19">
        <f>IF(Deployments!L198="","",Deployments!L198)</f>
        <v/>
      </c>
    </row>
    <row r="211" ht="41.25" customHeight="1" s="91">
      <c r="A211" s="20" t="n"/>
      <c r="B211" s="20" t="n"/>
      <c r="C211" s="19">
        <f>IF(Deployments!H199="","",Deployments!H199)</f>
        <v/>
      </c>
      <c r="D211" s="19">
        <f>IF(Deployments!AM199="","",Deployments!AM199)</f>
        <v/>
      </c>
      <c r="E211" s="19">
        <f>IF(Deployments!I199="","",Deployments!I199)</f>
        <v/>
      </c>
      <c r="F211" s="19">
        <f>IF(Deployments!J199="","",Deployments!J199)</f>
        <v/>
      </c>
      <c r="G211" s="19">
        <f>IF(Deployments!K199="","",Deployments!K199)</f>
        <v/>
      </c>
      <c r="H211" s="19">
        <f>IF(Deployments!A199="","",Deployments!A199)</f>
        <v/>
      </c>
      <c r="I211" s="19">
        <f>IF(Deployments!AN199="","",Deployments!AN199)</f>
        <v/>
      </c>
      <c r="J211" s="19">
        <f>IF(Deployments!AO199="","",Deployments!AO199)</f>
        <v/>
      </c>
      <c r="K211" s="19">
        <f>IF(Deployments!AI199="","",Deployments!AI199)</f>
        <v/>
      </c>
      <c r="L211" s="19">
        <f>IF(Deployments!M199="","",Deployments!M199)</f>
        <v/>
      </c>
      <c r="M211" s="20" t="n"/>
      <c r="N211" s="19">
        <f>IF(Deployments!N199="","",Deployments!N199)</f>
        <v/>
      </c>
      <c r="O211" s="19">
        <f>IF(Deployments!O199="","",Deployments!O199)</f>
        <v/>
      </c>
      <c r="P211" s="19">
        <f>IF(Deployments!P199="","",Deployments!P199)</f>
        <v/>
      </c>
      <c r="Q211" s="20" t="n"/>
      <c r="R211" s="19">
        <f>IF(Deployments!BT199="","",Deployments!BT199)</f>
        <v/>
      </c>
      <c r="S211" s="19">
        <f>IF(Deployments!BS199="","",Deployments!BS199)</f>
        <v/>
      </c>
      <c r="T211" s="19">
        <f>IF(Deployments!BB199="","",Deployments!BB199)</f>
        <v/>
      </c>
      <c r="U211" s="19">
        <f>IF(Deployments!BR199="","",Deployments!BR199)</f>
        <v/>
      </c>
      <c r="V211" s="19">
        <f>IF(Deployments!BX199="","",Deployments!BX199)</f>
        <v/>
      </c>
      <c r="W211" s="19">
        <f>IF(Deployments!BY199="","",Deployments!BY199)</f>
        <v/>
      </c>
      <c r="X211" s="19">
        <f>IF(Deployments!CC199="","",Deployments!CC199)</f>
        <v/>
      </c>
      <c r="Y211" s="19">
        <f>IF(Deployments!BW199="","",Deployments!BW199)</f>
        <v/>
      </c>
      <c r="Z211" s="19">
        <f>IF(Deployments!U199="","",Deployments!U199)</f>
        <v/>
      </c>
      <c r="AA211" s="19">
        <f>IF(Deployments!L199="","",Deployments!L199)</f>
        <v/>
      </c>
    </row>
    <row r="212" ht="41.25" customHeight="1" s="91">
      <c r="A212" s="20" t="n"/>
      <c r="B212" s="20" t="n"/>
      <c r="C212" s="19">
        <f>IF(Deployments!H200="","",Deployments!H200)</f>
        <v/>
      </c>
      <c r="D212" s="19">
        <f>IF(Deployments!AM200="","",Deployments!AM200)</f>
        <v/>
      </c>
      <c r="E212" s="19">
        <f>IF(Deployments!I200="","",Deployments!I200)</f>
        <v/>
      </c>
      <c r="F212" s="19">
        <f>IF(Deployments!J200="","",Deployments!J200)</f>
        <v/>
      </c>
      <c r="G212" s="19">
        <f>IF(Deployments!K200="","",Deployments!K200)</f>
        <v/>
      </c>
      <c r="H212" s="19">
        <f>IF(Deployments!A200="","",Deployments!A200)</f>
        <v/>
      </c>
      <c r="I212" s="19">
        <f>IF(Deployments!AN200="","",Deployments!AN200)</f>
        <v/>
      </c>
      <c r="J212" s="19">
        <f>IF(Deployments!AO200="","",Deployments!AO200)</f>
        <v/>
      </c>
      <c r="K212" s="19">
        <f>IF(Deployments!AI200="","",Deployments!AI200)</f>
        <v/>
      </c>
      <c r="L212" s="19">
        <f>IF(Deployments!M200="","",Deployments!M200)</f>
        <v/>
      </c>
      <c r="M212" s="20" t="n"/>
      <c r="N212" s="19">
        <f>IF(Deployments!N200="","",Deployments!N200)</f>
        <v/>
      </c>
      <c r="O212" s="19">
        <f>IF(Deployments!O200="","",Deployments!O200)</f>
        <v/>
      </c>
      <c r="P212" s="19">
        <f>IF(Deployments!P200="","",Deployments!P200)</f>
        <v/>
      </c>
      <c r="Q212" s="20" t="n"/>
      <c r="R212" s="19">
        <f>IF(Deployments!BT200="","",Deployments!BT200)</f>
        <v/>
      </c>
      <c r="S212" s="19">
        <f>IF(Deployments!BS200="","",Deployments!BS200)</f>
        <v/>
      </c>
      <c r="T212" s="19">
        <f>IF(Deployments!BB200="","",Deployments!BB200)</f>
        <v/>
      </c>
      <c r="U212" s="19">
        <f>IF(Deployments!BR200="","",Deployments!BR200)</f>
        <v/>
      </c>
      <c r="V212" s="19">
        <f>IF(Deployments!BX200="","",Deployments!BX200)</f>
        <v/>
      </c>
      <c r="W212" s="19">
        <f>IF(Deployments!BY200="","",Deployments!BY200)</f>
        <v/>
      </c>
      <c r="X212" s="19">
        <f>IF(Deployments!CC200="","",Deployments!CC200)</f>
        <v/>
      </c>
      <c r="Y212" s="19">
        <f>IF(Deployments!BW200="","",Deployments!BW200)</f>
        <v/>
      </c>
      <c r="Z212" s="19">
        <f>IF(Deployments!U200="","",Deployments!U200)</f>
        <v/>
      </c>
      <c r="AA212" s="19">
        <f>IF(Deployments!L200="","",Deployments!L200)</f>
        <v/>
      </c>
    </row>
    <row r="213" ht="41.25" customHeight="1" s="91">
      <c r="A213" s="20" t="n"/>
      <c r="B213" s="20" t="n"/>
      <c r="C213" s="19">
        <f>IF(Deployments!H201="","",Deployments!H201)</f>
        <v/>
      </c>
      <c r="D213" s="19">
        <f>IF(Deployments!AM201="","",Deployments!AM201)</f>
        <v/>
      </c>
      <c r="E213" s="19">
        <f>IF(Deployments!I201="","",Deployments!I201)</f>
        <v/>
      </c>
      <c r="F213" s="19">
        <f>IF(Deployments!J201="","",Deployments!J201)</f>
        <v/>
      </c>
      <c r="G213" s="19">
        <f>IF(Deployments!K201="","",Deployments!K201)</f>
        <v/>
      </c>
      <c r="H213" s="19">
        <f>IF(Deployments!A201="","",Deployments!A201)</f>
        <v/>
      </c>
      <c r="I213" s="19">
        <f>IF(Deployments!AN201="","",Deployments!AN201)</f>
        <v/>
      </c>
      <c r="J213" s="19">
        <f>IF(Deployments!AO201="","",Deployments!AO201)</f>
        <v/>
      </c>
      <c r="K213" s="19">
        <f>IF(Deployments!AI201="","",Deployments!AI201)</f>
        <v/>
      </c>
      <c r="L213" s="19">
        <f>IF(Deployments!M201="","",Deployments!M201)</f>
        <v/>
      </c>
      <c r="M213" s="20" t="n"/>
      <c r="N213" s="19">
        <f>IF(Deployments!N201="","",Deployments!N201)</f>
        <v/>
      </c>
      <c r="O213" s="19">
        <f>IF(Deployments!O201="","",Deployments!O201)</f>
        <v/>
      </c>
      <c r="P213" s="19">
        <f>IF(Deployments!P201="","",Deployments!P201)</f>
        <v/>
      </c>
      <c r="Q213" s="20" t="n"/>
      <c r="R213" s="19">
        <f>IF(Deployments!BT201="","",Deployments!BT201)</f>
        <v/>
      </c>
      <c r="S213" s="19">
        <f>IF(Deployments!BS201="","",Deployments!BS201)</f>
        <v/>
      </c>
      <c r="T213" s="19">
        <f>IF(Deployments!BB201="","",Deployments!BB201)</f>
        <v/>
      </c>
      <c r="U213" s="19">
        <f>IF(Deployments!BR201="","",Deployments!BR201)</f>
        <v/>
      </c>
      <c r="V213" s="19">
        <f>IF(Deployments!BX201="","",Deployments!BX201)</f>
        <v/>
      </c>
      <c r="W213" s="19">
        <f>IF(Deployments!BY201="","",Deployments!BY201)</f>
        <v/>
      </c>
      <c r="X213" s="19">
        <f>IF(Deployments!CC201="","",Deployments!CC201)</f>
        <v/>
      </c>
      <c r="Y213" s="19">
        <f>IF(Deployments!BW201="","",Deployments!BW201)</f>
        <v/>
      </c>
      <c r="Z213" s="19">
        <f>IF(Deployments!U201="","",Deployments!U201)</f>
        <v/>
      </c>
      <c r="AA213" s="19">
        <f>IF(Deployments!L201="","",Deployments!L201)</f>
        <v/>
      </c>
    </row>
    <row r="214" ht="41.25" customHeight="1" s="91">
      <c r="A214" s="20" t="n"/>
      <c r="B214" s="20" t="n"/>
      <c r="C214" s="19">
        <f>IF(Deployments!H202="","",Deployments!H202)</f>
        <v/>
      </c>
      <c r="D214" s="19">
        <f>IF(Deployments!AM202="","",Deployments!AM202)</f>
        <v/>
      </c>
      <c r="E214" s="19">
        <f>IF(Deployments!I202="","",Deployments!I202)</f>
        <v/>
      </c>
      <c r="F214" s="19">
        <f>IF(Deployments!J202="","",Deployments!J202)</f>
        <v/>
      </c>
      <c r="G214" s="19">
        <f>IF(Deployments!K202="","",Deployments!K202)</f>
        <v/>
      </c>
      <c r="H214" s="19">
        <f>IF(Deployments!A202="","",Deployments!A202)</f>
        <v/>
      </c>
      <c r="I214" s="19">
        <f>IF(Deployments!AN202="","",Deployments!AN202)</f>
        <v/>
      </c>
      <c r="J214" s="19">
        <f>IF(Deployments!AO202="","",Deployments!AO202)</f>
        <v/>
      </c>
      <c r="K214" s="19">
        <f>IF(Deployments!AI202="","",Deployments!AI202)</f>
        <v/>
      </c>
      <c r="L214" s="19">
        <f>IF(Deployments!M202="","",Deployments!M202)</f>
        <v/>
      </c>
      <c r="M214" s="20" t="n"/>
      <c r="N214" s="19">
        <f>IF(Deployments!N202="","",Deployments!N202)</f>
        <v/>
      </c>
      <c r="O214" s="19">
        <f>IF(Deployments!O202="","",Deployments!O202)</f>
        <v/>
      </c>
      <c r="P214" s="19">
        <f>IF(Deployments!P202="","",Deployments!P202)</f>
        <v/>
      </c>
      <c r="Q214" s="20" t="n"/>
      <c r="R214" s="19">
        <f>IF(Deployments!BT202="","",Deployments!BT202)</f>
        <v/>
      </c>
      <c r="S214" s="19">
        <f>IF(Deployments!BS202="","",Deployments!BS202)</f>
        <v/>
      </c>
      <c r="T214" s="19">
        <f>IF(Deployments!BB202="","",Deployments!BB202)</f>
        <v/>
      </c>
      <c r="U214" s="19">
        <f>IF(Deployments!BR202="","",Deployments!BR202)</f>
        <v/>
      </c>
      <c r="V214" s="19">
        <f>IF(Deployments!BX202="","",Deployments!BX202)</f>
        <v/>
      </c>
      <c r="W214" s="19">
        <f>IF(Deployments!BY202="","",Deployments!BY202)</f>
        <v/>
      </c>
      <c r="X214" s="19">
        <f>IF(Deployments!CC202="","",Deployments!CC202)</f>
        <v/>
      </c>
      <c r="Y214" s="19">
        <f>IF(Deployments!BW202="","",Deployments!BW202)</f>
        <v/>
      </c>
      <c r="Z214" s="19">
        <f>IF(Deployments!U202="","",Deployments!U202)</f>
        <v/>
      </c>
      <c r="AA214" s="19">
        <f>IF(Deployments!L202="","",Deployments!L202)</f>
        <v/>
      </c>
    </row>
    <row r="215" ht="41.25" customHeight="1" s="91">
      <c r="A215" s="20" t="n"/>
      <c r="B215" s="20" t="n"/>
      <c r="C215" s="19">
        <f>IF(Deployments!H203="","",Deployments!H203)</f>
        <v/>
      </c>
      <c r="D215" s="19">
        <f>IF(Deployments!AM203="","",Deployments!AM203)</f>
        <v/>
      </c>
      <c r="E215" s="19">
        <f>IF(Deployments!I203="","",Deployments!I203)</f>
        <v/>
      </c>
      <c r="F215" s="19">
        <f>IF(Deployments!J203="","",Deployments!J203)</f>
        <v/>
      </c>
      <c r="G215" s="19">
        <f>IF(Deployments!K203="","",Deployments!K203)</f>
        <v/>
      </c>
      <c r="H215" s="19">
        <f>IF(Deployments!A203="","",Deployments!A203)</f>
        <v/>
      </c>
      <c r="I215" s="19">
        <f>IF(Deployments!AN203="","",Deployments!AN203)</f>
        <v/>
      </c>
      <c r="J215" s="19">
        <f>IF(Deployments!AO203="","",Deployments!AO203)</f>
        <v/>
      </c>
      <c r="K215" s="19">
        <f>IF(Deployments!AI203="","",Deployments!AI203)</f>
        <v/>
      </c>
      <c r="L215" s="19">
        <f>IF(Deployments!M203="","",Deployments!M203)</f>
        <v/>
      </c>
      <c r="M215" s="20" t="n"/>
      <c r="N215" s="19">
        <f>IF(Deployments!N203="","",Deployments!N203)</f>
        <v/>
      </c>
      <c r="O215" s="19">
        <f>IF(Deployments!O203="","",Deployments!O203)</f>
        <v/>
      </c>
      <c r="P215" s="19">
        <f>IF(Deployments!P203="","",Deployments!P203)</f>
        <v/>
      </c>
      <c r="Q215" s="20" t="n"/>
      <c r="R215" s="19">
        <f>IF(Deployments!BT203="","",Deployments!BT203)</f>
        <v/>
      </c>
      <c r="S215" s="19">
        <f>IF(Deployments!BS203="","",Deployments!BS203)</f>
        <v/>
      </c>
      <c r="T215" s="19">
        <f>IF(Deployments!BB203="","",Deployments!BB203)</f>
        <v/>
      </c>
      <c r="U215" s="19">
        <f>IF(Deployments!BR203="","",Deployments!BR203)</f>
        <v/>
      </c>
      <c r="V215" s="19">
        <f>IF(Deployments!BX203="","",Deployments!BX203)</f>
        <v/>
      </c>
      <c r="W215" s="19">
        <f>IF(Deployments!BY203="","",Deployments!BY203)</f>
        <v/>
      </c>
      <c r="X215" s="19">
        <f>IF(Deployments!CC203="","",Deployments!CC203)</f>
        <v/>
      </c>
      <c r="Y215" s="19">
        <f>IF(Deployments!BW203="","",Deployments!BW203)</f>
        <v/>
      </c>
      <c r="Z215" s="19">
        <f>IF(Deployments!U203="","",Deployments!U203)</f>
        <v/>
      </c>
      <c r="AA215" s="19">
        <f>IF(Deployments!L203="","",Deployments!L203)</f>
        <v/>
      </c>
    </row>
    <row r="216" ht="41.25" customHeight="1" s="91">
      <c r="A216" s="20" t="n"/>
      <c r="B216" s="20" t="n"/>
      <c r="C216" s="19">
        <f>IF(Deployments!H204="","",Deployments!H204)</f>
        <v/>
      </c>
      <c r="D216" s="19">
        <f>IF(Deployments!AM204="","",Deployments!AM204)</f>
        <v/>
      </c>
      <c r="E216" s="19">
        <f>IF(Deployments!I204="","",Deployments!I204)</f>
        <v/>
      </c>
      <c r="F216" s="19">
        <f>IF(Deployments!J204="","",Deployments!J204)</f>
        <v/>
      </c>
      <c r="G216" s="19">
        <f>IF(Deployments!K204="","",Deployments!K204)</f>
        <v/>
      </c>
      <c r="H216" s="19">
        <f>IF(Deployments!A204="","",Deployments!A204)</f>
        <v/>
      </c>
      <c r="I216" s="19">
        <f>IF(Deployments!AN204="","",Deployments!AN204)</f>
        <v/>
      </c>
      <c r="J216" s="19">
        <f>IF(Deployments!AO204="","",Deployments!AO204)</f>
        <v/>
      </c>
      <c r="K216" s="19">
        <f>IF(Deployments!AI204="","",Deployments!AI204)</f>
        <v/>
      </c>
      <c r="L216" s="19">
        <f>IF(Deployments!M204="","",Deployments!M204)</f>
        <v/>
      </c>
      <c r="M216" s="20" t="n"/>
      <c r="N216" s="19">
        <f>IF(Deployments!N204="","",Deployments!N204)</f>
        <v/>
      </c>
      <c r="O216" s="19">
        <f>IF(Deployments!O204="","",Deployments!O204)</f>
        <v/>
      </c>
      <c r="P216" s="19">
        <f>IF(Deployments!P204="","",Deployments!P204)</f>
        <v/>
      </c>
      <c r="Q216" s="20" t="n"/>
      <c r="R216" s="19">
        <f>IF(Deployments!BT204="","",Deployments!BT204)</f>
        <v/>
      </c>
      <c r="S216" s="19">
        <f>IF(Deployments!BS204="","",Deployments!BS204)</f>
        <v/>
      </c>
      <c r="T216" s="19">
        <f>IF(Deployments!BB204="","",Deployments!BB204)</f>
        <v/>
      </c>
      <c r="U216" s="19">
        <f>IF(Deployments!BR204="","",Deployments!BR204)</f>
        <v/>
      </c>
      <c r="V216" s="19">
        <f>IF(Deployments!BX204="","",Deployments!BX204)</f>
        <v/>
      </c>
      <c r="W216" s="19">
        <f>IF(Deployments!BY204="","",Deployments!BY204)</f>
        <v/>
      </c>
      <c r="X216" s="19">
        <f>IF(Deployments!CC204="","",Deployments!CC204)</f>
        <v/>
      </c>
      <c r="Y216" s="19">
        <f>IF(Deployments!BW204="","",Deployments!BW204)</f>
        <v/>
      </c>
      <c r="Z216" s="19">
        <f>IF(Deployments!U204="","",Deployments!U204)</f>
        <v/>
      </c>
      <c r="AA216" s="19">
        <f>IF(Deployments!L204="","",Deployments!L204)</f>
        <v/>
      </c>
    </row>
    <row r="217" ht="41.25" customHeight="1" s="91">
      <c r="A217" s="20" t="n"/>
      <c r="B217" s="20" t="n"/>
      <c r="C217" s="19">
        <f>IF(Deployments!H205="","",Deployments!H205)</f>
        <v/>
      </c>
      <c r="D217" s="19">
        <f>IF(Deployments!AM205="","",Deployments!AM205)</f>
        <v/>
      </c>
      <c r="E217" s="19">
        <f>IF(Deployments!I205="","",Deployments!I205)</f>
        <v/>
      </c>
      <c r="F217" s="19">
        <f>IF(Deployments!J205="","",Deployments!J205)</f>
        <v/>
      </c>
      <c r="G217" s="19">
        <f>IF(Deployments!K205="","",Deployments!K205)</f>
        <v/>
      </c>
      <c r="H217" s="19">
        <f>IF(Deployments!A205="","",Deployments!A205)</f>
        <v/>
      </c>
      <c r="I217" s="19">
        <f>IF(Deployments!AN205="","",Deployments!AN205)</f>
        <v/>
      </c>
      <c r="J217" s="19">
        <f>IF(Deployments!AO205="","",Deployments!AO205)</f>
        <v/>
      </c>
      <c r="K217" s="19">
        <f>IF(Deployments!AI205="","",Deployments!AI205)</f>
        <v/>
      </c>
      <c r="L217" s="19">
        <f>IF(Deployments!M205="","",Deployments!M205)</f>
        <v/>
      </c>
      <c r="M217" s="20" t="n"/>
      <c r="N217" s="19">
        <f>IF(Deployments!N205="","",Deployments!N205)</f>
        <v/>
      </c>
      <c r="O217" s="19">
        <f>IF(Deployments!O205="","",Deployments!O205)</f>
        <v/>
      </c>
      <c r="P217" s="19">
        <f>IF(Deployments!P205="","",Deployments!P205)</f>
        <v/>
      </c>
      <c r="Q217" s="20" t="n"/>
      <c r="R217" s="19">
        <f>IF(Deployments!BT205="","",Deployments!BT205)</f>
        <v/>
      </c>
      <c r="S217" s="19">
        <f>IF(Deployments!BS205="","",Deployments!BS205)</f>
        <v/>
      </c>
      <c r="T217" s="19">
        <f>IF(Deployments!BB205="","",Deployments!BB205)</f>
        <v/>
      </c>
      <c r="U217" s="19">
        <f>IF(Deployments!BR205="","",Deployments!BR205)</f>
        <v/>
      </c>
      <c r="V217" s="19">
        <f>IF(Deployments!BX205="","",Deployments!BX205)</f>
        <v/>
      </c>
      <c r="W217" s="19">
        <f>IF(Deployments!BY205="","",Deployments!BY205)</f>
        <v/>
      </c>
      <c r="X217" s="19">
        <f>IF(Deployments!CC205="","",Deployments!CC205)</f>
        <v/>
      </c>
      <c r="Y217" s="19">
        <f>IF(Deployments!BW205="","",Deployments!BW205)</f>
        <v/>
      </c>
      <c r="Z217" s="19">
        <f>IF(Deployments!U205="","",Deployments!U205)</f>
        <v/>
      </c>
      <c r="AA217" s="19">
        <f>IF(Deployments!L205="","",Deployments!L205)</f>
        <v/>
      </c>
    </row>
    <row r="218" ht="41.25" customHeight="1" s="91">
      <c r="A218" s="20" t="n"/>
      <c r="B218" s="20" t="n"/>
      <c r="C218" s="19">
        <f>IF(Deployments!H206="","",Deployments!H206)</f>
        <v/>
      </c>
      <c r="D218" s="19">
        <f>IF(Deployments!AM206="","",Deployments!AM206)</f>
        <v/>
      </c>
      <c r="E218" s="19">
        <f>IF(Deployments!I206="","",Deployments!I206)</f>
        <v/>
      </c>
      <c r="F218" s="19">
        <f>IF(Deployments!J206="","",Deployments!J206)</f>
        <v/>
      </c>
      <c r="G218" s="19">
        <f>IF(Deployments!K206="","",Deployments!K206)</f>
        <v/>
      </c>
      <c r="H218" s="19">
        <f>IF(Deployments!A206="","",Deployments!A206)</f>
        <v/>
      </c>
      <c r="I218" s="19">
        <f>IF(Deployments!AN206="","",Deployments!AN206)</f>
        <v/>
      </c>
      <c r="J218" s="19">
        <f>IF(Deployments!AO206="","",Deployments!AO206)</f>
        <v/>
      </c>
      <c r="K218" s="19">
        <f>IF(Deployments!AI206="","",Deployments!AI206)</f>
        <v/>
      </c>
      <c r="L218" s="19">
        <f>IF(Deployments!M206="","",Deployments!M206)</f>
        <v/>
      </c>
      <c r="M218" s="20" t="n"/>
      <c r="N218" s="19">
        <f>IF(Deployments!N206="","",Deployments!N206)</f>
        <v/>
      </c>
      <c r="O218" s="19">
        <f>IF(Deployments!O206="","",Deployments!O206)</f>
        <v/>
      </c>
      <c r="P218" s="19">
        <f>IF(Deployments!P206="","",Deployments!P206)</f>
        <v/>
      </c>
      <c r="Q218" s="20" t="n"/>
      <c r="R218" s="19">
        <f>IF(Deployments!BT206="","",Deployments!BT206)</f>
        <v/>
      </c>
      <c r="S218" s="19">
        <f>IF(Deployments!BS206="","",Deployments!BS206)</f>
        <v/>
      </c>
      <c r="T218" s="19">
        <f>IF(Deployments!BB206="","",Deployments!BB206)</f>
        <v/>
      </c>
      <c r="U218" s="19">
        <f>IF(Deployments!BR206="","",Deployments!BR206)</f>
        <v/>
      </c>
      <c r="V218" s="19">
        <f>IF(Deployments!BX206="","",Deployments!BX206)</f>
        <v/>
      </c>
      <c r="W218" s="19">
        <f>IF(Deployments!BY206="","",Deployments!BY206)</f>
        <v/>
      </c>
      <c r="X218" s="19">
        <f>IF(Deployments!CC206="","",Deployments!CC206)</f>
        <v/>
      </c>
      <c r="Y218" s="19">
        <f>IF(Deployments!BW206="","",Deployments!BW206)</f>
        <v/>
      </c>
      <c r="Z218" s="19">
        <f>IF(Deployments!U206="","",Deployments!U206)</f>
        <v/>
      </c>
      <c r="AA218" s="19">
        <f>IF(Deployments!L206="","",Deployments!L206)</f>
        <v/>
      </c>
    </row>
    <row r="219" ht="41.25" customHeight="1" s="91">
      <c r="A219" s="20" t="n"/>
      <c r="B219" s="20" t="n"/>
      <c r="C219" s="19">
        <f>IF(Deployments!H207="","",Deployments!H207)</f>
        <v/>
      </c>
      <c r="D219" s="19">
        <f>IF(Deployments!AM207="","",Deployments!AM207)</f>
        <v/>
      </c>
      <c r="E219" s="19">
        <f>IF(Deployments!I207="","",Deployments!I207)</f>
        <v/>
      </c>
      <c r="F219" s="19">
        <f>IF(Deployments!J207="","",Deployments!J207)</f>
        <v/>
      </c>
      <c r="G219" s="19">
        <f>IF(Deployments!K207="","",Deployments!K207)</f>
        <v/>
      </c>
      <c r="H219" s="19">
        <f>IF(Deployments!A207="","",Deployments!A207)</f>
        <v/>
      </c>
      <c r="I219" s="19">
        <f>IF(Deployments!AN207="","",Deployments!AN207)</f>
        <v/>
      </c>
      <c r="J219" s="19">
        <f>IF(Deployments!AO207="","",Deployments!AO207)</f>
        <v/>
      </c>
      <c r="K219" s="19">
        <f>IF(Deployments!AI207="","",Deployments!AI207)</f>
        <v/>
      </c>
      <c r="L219" s="19">
        <f>IF(Deployments!M207="","",Deployments!M207)</f>
        <v/>
      </c>
      <c r="M219" s="20" t="n"/>
      <c r="N219" s="19">
        <f>IF(Deployments!N207="","",Deployments!N207)</f>
        <v/>
      </c>
      <c r="O219" s="19">
        <f>IF(Deployments!O207="","",Deployments!O207)</f>
        <v/>
      </c>
      <c r="P219" s="19">
        <f>IF(Deployments!P207="","",Deployments!P207)</f>
        <v/>
      </c>
      <c r="Q219" s="20" t="n"/>
      <c r="R219" s="19">
        <f>IF(Deployments!BT207="","",Deployments!BT207)</f>
        <v/>
      </c>
      <c r="S219" s="19">
        <f>IF(Deployments!BS207="","",Deployments!BS207)</f>
        <v/>
      </c>
      <c r="T219" s="19">
        <f>IF(Deployments!BB207="","",Deployments!BB207)</f>
        <v/>
      </c>
      <c r="U219" s="19">
        <f>IF(Deployments!BR207="","",Deployments!BR207)</f>
        <v/>
      </c>
      <c r="V219" s="19">
        <f>IF(Deployments!BX207="","",Deployments!BX207)</f>
        <v/>
      </c>
      <c r="W219" s="19">
        <f>IF(Deployments!BY207="","",Deployments!BY207)</f>
        <v/>
      </c>
      <c r="X219" s="19">
        <f>IF(Deployments!CC207="","",Deployments!CC207)</f>
        <v/>
      </c>
      <c r="Y219" s="19">
        <f>IF(Deployments!BW207="","",Deployments!BW207)</f>
        <v/>
      </c>
      <c r="Z219" s="19">
        <f>IF(Deployments!U207="","",Deployments!U207)</f>
        <v/>
      </c>
      <c r="AA219" s="19">
        <f>IF(Deployments!L207="","",Deployments!L207)</f>
        <v/>
      </c>
    </row>
    <row r="220" ht="41.25" customHeight="1" s="91">
      <c r="A220" s="20" t="n"/>
      <c r="B220" s="20" t="n"/>
      <c r="C220" s="19">
        <f>IF(Deployments!H208="","",Deployments!H208)</f>
        <v/>
      </c>
      <c r="D220" s="19">
        <f>IF(Deployments!AM208="","",Deployments!AM208)</f>
        <v/>
      </c>
      <c r="E220" s="19">
        <f>IF(Deployments!I208="","",Deployments!I208)</f>
        <v/>
      </c>
      <c r="F220" s="19">
        <f>IF(Deployments!J208="","",Deployments!J208)</f>
        <v/>
      </c>
      <c r="G220" s="19">
        <f>IF(Deployments!K208="","",Deployments!K208)</f>
        <v/>
      </c>
      <c r="H220" s="19">
        <f>IF(Deployments!A208="","",Deployments!A208)</f>
        <v/>
      </c>
      <c r="I220" s="19">
        <f>IF(Deployments!AN208="","",Deployments!AN208)</f>
        <v/>
      </c>
      <c r="J220" s="19">
        <f>IF(Deployments!AO208="","",Deployments!AO208)</f>
        <v/>
      </c>
      <c r="K220" s="19">
        <f>IF(Deployments!AI208="","",Deployments!AI208)</f>
        <v/>
      </c>
      <c r="L220" s="19">
        <f>IF(Deployments!M208="","",Deployments!M208)</f>
        <v/>
      </c>
      <c r="M220" s="20" t="n"/>
      <c r="N220" s="19">
        <f>IF(Deployments!N208="","",Deployments!N208)</f>
        <v/>
      </c>
      <c r="O220" s="19">
        <f>IF(Deployments!O208="","",Deployments!O208)</f>
        <v/>
      </c>
      <c r="P220" s="19">
        <f>IF(Deployments!P208="","",Deployments!P208)</f>
        <v/>
      </c>
      <c r="Q220" s="20" t="n"/>
      <c r="R220" s="19">
        <f>IF(Deployments!BT208="","",Deployments!BT208)</f>
        <v/>
      </c>
      <c r="S220" s="19">
        <f>IF(Deployments!BS208="","",Deployments!BS208)</f>
        <v/>
      </c>
      <c r="T220" s="19">
        <f>IF(Deployments!BB208="","",Deployments!BB208)</f>
        <v/>
      </c>
      <c r="U220" s="19">
        <f>IF(Deployments!BR208="","",Deployments!BR208)</f>
        <v/>
      </c>
      <c r="V220" s="19">
        <f>IF(Deployments!BX208="","",Deployments!BX208)</f>
        <v/>
      </c>
      <c r="W220" s="19">
        <f>IF(Deployments!BY208="","",Deployments!BY208)</f>
        <v/>
      </c>
      <c r="X220" s="19">
        <f>IF(Deployments!CC208="","",Deployments!CC208)</f>
        <v/>
      </c>
      <c r="Y220" s="19">
        <f>IF(Deployments!BW208="","",Deployments!BW208)</f>
        <v/>
      </c>
      <c r="Z220" s="19">
        <f>IF(Deployments!U208="","",Deployments!U208)</f>
        <v/>
      </c>
      <c r="AA220" s="19">
        <f>IF(Deployments!L208="","",Deployments!L208)</f>
        <v/>
      </c>
    </row>
    <row r="221" ht="41.25" customHeight="1" s="91">
      <c r="A221" s="20" t="n"/>
      <c r="B221" s="20" t="n"/>
      <c r="C221" s="19">
        <f>IF(Deployments!H209="","",Deployments!H209)</f>
        <v/>
      </c>
      <c r="D221" s="19">
        <f>IF(Deployments!AM209="","",Deployments!AM209)</f>
        <v/>
      </c>
      <c r="E221" s="19">
        <f>IF(Deployments!I209="","",Deployments!I209)</f>
        <v/>
      </c>
      <c r="F221" s="19">
        <f>IF(Deployments!J209="","",Deployments!J209)</f>
        <v/>
      </c>
      <c r="G221" s="19">
        <f>IF(Deployments!K209="","",Deployments!K209)</f>
        <v/>
      </c>
      <c r="H221" s="19">
        <f>IF(Deployments!A209="","",Deployments!A209)</f>
        <v/>
      </c>
      <c r="I221" s="19">
        <f>IF(Deployments!AN209="","",Deployments!AN209)</f>
        <v/>
      </c>
      <c r="J221" s="19">
        <f>IF(Deployments!AO209="","",Deployments!AO209)</f>
        <v/>
      </c>
      <c r="K221" s="19">
        <f>IF(Deployments!AI209="","",Deployments!AI209)</f>
        <v/>
      </c>
      <c r="L221" s="19">
        <f>IF(Deployments!M209="","",Deployments!M209)</f>
        <v/>
      </c>
      <c r="M221" s="20" t="n"/>
      <c r="N221" s="19">
        <f>IF(Deployments!N209="","",Deployments!N209)</f>
        <v/>
      </c>
      <c r="O221" s="19">
        <f>IF(Deployments!O209="","",Deployments!O209)</f>
        <v/>
      </c>
      <c r="P221" s="19">
        <f>IF(Deployments!P209="","",Deployments!P209)</f>
        <v/>
      </c>
      <c r="Q221" s="20" t="n"/>
      <c r="R221" s="19">
        <f>IF(Deployments!BT209="","",Deployments!BT209)</f>
        <v/>
      </c>
      <c r="S221" s="19">
        <f>IF(Deployments!BS209="","",Deployments!BS209)</f>
        <v/>
      </c>
      <c r="T221" s="19">
        <f>IF(Deployments!BB209="","",Deployments!BB209)</f>
        <v/>
      </c>
      <c r="U221" s="19">
        <f>IF(Deployments!BR209="","",Deployments!BR209)</f>
        <v/>
      </c>
      <c r="V221" s="19">
        <f>IF(Deployments!BX209="","",Deployments!BX209)</f>
        <v/>
      </c>
      <c r="W221" s="19">
        <f>IF(Deployments!BY209="","",Deployments!BY209)</f>
        <v/>
      </c>
      <c r="X221" s="19">
        <f>IF(Deployments!CC209="","",Deployments!CC209)</f>
        <v/>
      </c>
      <c r="Y221" s="19">
        <f>IF(Deployments!BW209="","",Deployments!BW209)</f>
        <v/>
      </c>
      <c r="Z221" s="19">
        <f>IF(Deployments!U209="","",Deployments!U209)</f>
        <v/>
      </c>
      <c r="AA221" s="19">
        <f>IF(Deployments!L209="","",Deployments!L209)</f>
        <v/>
      </c>
    </row>
    <row r="222" ht="41.25" customHeight="1" s="91">
      <c r="A222" s="20" t="n"/>
      <c r="B222" s="20" t="n"/>
      <c r="C222" s="19">
        <f>IF(Deployments!H210="","",Deployments!H210)</f>
        <v/>
      </c>
      <c r="D222" s="19">
        <f>IF(Deployments!AM210="","",Deployments!AM210)</f>
        <v/>
      </c>
      <c r="E222" s="19">
        <f>IF(Deployments!I210="","",Deployments!I210)</f>
        <v/>
      </c>
      <c r="F222" s="19">
        <f>IF(Deployments!J210="","",Deployments!J210)</f>
        <v/>
      </c>
      <c r="G222" s="19">
        <f>IF(Deployments!K210="","",Deployments!K210)</f>
        <v/>
      </c>
      <c r="H222" s="19">
        <f>IF(Deployments!A210="","",Deployments!A210)</f>
        <v/>
      </c>
      <c r="I222" s="19">
        <f>IF(Deployments!AN210="","",Deployments!AN210)</f>
        <v/>
      </c>
      <c r="J222" s="19">
        <f>IF(Deployments!AO210="","",Deployments!AO210)</f>
        <v/>
      </c>
      <c r="K222" s="19">
        <f>IF(Deployments!AI210="","",Deployments!AI210)</f>
        <v/>
      </c>
      <c r="L222" s="19">
        <f>IF(Deployments!M210="","",Deployments!M210)</f>
        <v/>
      </c>
      <c r="M222" s="20" t="n"/>
      <c r="N222" s="19">
        <f>IF(Deployments!N210="","",Deployments!N210)</f>
        <v/>
      </c>
      <c r="O222" s="19">
        <f>IF(Deployments!O210="","",Deployments!O210)</f>
        <v/>
      </c>
      <c r="P222" s="19">
        <f>IF(Deployments!P210="","",Deployments!P210)</f>
        <v/>
      </c>
      <c r="Q222" s="20" t="n"/>
      <c r="R222" s="19">
        <f>IF(Deployments!BT210="","",Deployments!BT210)</f>
        <v/>
      </c>
      <c r="S222" s="19">
        <f>IF(Deployments!BS210="","",Deployments!BS210)</f>
        <v/>
      </c>
      <c r="T222" s="19">
        <f>IF(Deployments!BB210="","",Deployments!BB210)</f>
        <v/>
      </c>
      <c r="U222" s="19">
        <f>IF(Deployments!BR210="","",Deployments!BR210)</f>
        <v/>
      </c>
      <c r="V222" s="19">
        <f>IF(Deployments!BX210="","",Deployments!BX210)</f>
        <v/>
      </c>
      <c r="W222" s="19">
        <f>IF(Deployments!BY210="","",Deployments!BY210)</f>
        <v/>
      </c>
      <c r="X222" s="19">
        <f>IF(Deployments!CC210="","",Deployments!CC210)</f>
        <v/>
      </c>
      <c r="Y222" s="19">
        <f>IF(Deployments!BW210="","",Deployments!BW210)</f>
        <v/>
      </c>
      <c r="Z222" s="19">
        <f>IF(Deployments!U210="","",Deployments!U210)</f>
        <v/>
      </c>
      <c r="AA222" s="19">
        <f>IF(Deployments!L210="","",Deployments!L210)</f>
        <v/>
      </c>
    </row>
    <row r="223">
      <c r="A223" s="20" t="n"/>
      <c r="B223" s="20" t="n"/>
      <c r="C223" s="19">
        <f>IF(Deployments!H211="","",Deployments!H211)</f>
        <v/>
      </c>
      <c r="D223" s="19">
        <f>IF(Deployments!AM211="","",Deployments!AM211)</f>
        <v/>
      </c>
      <c r="E223" s="19">
        <f>IF(Deployments!I211="","",Deployments!I211)</f>
        <v/>
      </c>
      <c r="F223" s="19">
        <f>IF(Deployments!J211="","",Deployments!J211)</f>
        <v/>
      </c>
      <c r="G223" s="19">
        <f>IF(Deployments!K211="","",Deployments!K211)</f>
        <v/>
      </c>
      <c r="H223" s="19">
        <f>IF(Deployments!A211="","",Deployments!A211)</f>
        <v/>
      </c>
      <c r="I223" s="19">
        <f>IF(Deployments!AN211="","",Deployments!AN211)</f>
        <v/>
      </c>
      <c r="J223" s="19">
        <f>IF(Deployments!AO211="","",Deployments!AO211)</f>
        <v/>
      </c>
      <c r="K223" s="19">
        <f>IF(Deployments!AI211="","",Deployments!AI211)</f>
        <v/>
      </c>
      <c r="L223" s="19">
        <f>IF(Deployments!M211="","",Deployments!M211)</f>
        <v/>
      </c>
      <c r="M223" s="20" t="n"/>
      <c r="N223" s="19">
        <f>IF(Deployments!N211="","",Deployments!N211)</f>
        <v/>
      </c>
      <c r="O223" s="19">
        <f>IF(Deployments!O211="","",Deployments!O211)</f>
        <v/>
      </c>
      <c r="P223" s="19">
        <f>IF(Deployments!P211="","",Deployments!P211)</f>
        <v/>
      </c>
      <c r="Q223" s="20" t="n"/>
      <c r="R223" s="19">
        <f>IF(Deployments!BT211="","",Deployments!BT211)</f>
        <v/>
      </c>
      <c r="S223" s="19">
        <f>IF(Deployments!BS211="","",Deployments!BS211)</f>
        <v/>
      </c>
      <c r="T223" s="19">
        <f>IF(Deployments!BB211="","",Deployments!BB211)</f>
        <v/>
      </c>
      <c r="U223" s="19">
        <f>IF(Deployments!BR211="","",Deployments!BR211)</f>
        <v/>
      </c>
      <c r="V223" s="19">
        <f>IF(Deployments!BX211="","",Deployments!BX211)</f>
        <v/>
      </c>
      <c r="W223" s="19">
        <f>IF(Deployments!BY211="","",Deployments!BY211)</f>
        <v/>
      </c>
      <c r="X223" s="19">
        <f>IF(Deployments!CC211="","",Deployments!CC211)</f>
        <v/>
      </c>
      <c r="Y223" s="19">
        <f>IF(Deployments!BW211="","",Deployments!BW211)</f>
        <v/>
      </c>
      <c r="Z223" s="19">
        <f>IF(Deployments!U211="","",Deployments!U211)</f>
        <v/>
      </c>
      <c r="AA223" s="19">
        <f>IF(Deployments!L211="","",Deployments!L211)</f>
        <v/>
      </c>
    </row>
    <row r="224">
      <c r="A224" s="20" t="n"/>
      <c r="B224" s="20" t="n"/>
      <c r="C224" s="19">
        <f>IF(Deployments!H212="","",Deployments!H212)</f>
        <v/>
      </c>
      <c r="D224" s="19">
        <f>IF(Deployments!AM212="","",Deployments!AM212)</f>
        <v/>
      </c>
      <c r="E224" s="19">
        <f>IF(Deployments!I212="","",Deployments!I212)</f>
        <v/>
      </c>
      <c r="F224" s="19">
        <f>IF(Deployments!J212="","",Deployments!J212)</f>
        <v/>
      </c>
      <c r="G224" s="19">
        <f>IF(Deployments!K212="","",Deployments!K212)</f>
        <v/>
      </c>
      <c r="H224" s="19">
        <f>IF(Deployments!A212="","",Deployments!A212)</f>
        <v/>
      </c>
      <c r="I224" s="19">
        <f>IF(Deployments!AN212="","",Deployments!AN212)</f>
        <v/>
      </c>
      <c r="J224" s="19">
        <f>IF(Deployments!AO212="","",Deployments!AO212)</f>
        <v/>
      </c>
      <c r="K224" s="19">
        <f>IF(Deployments!AI212="","",Deployments!AI212)</f>
        <v/>
      </c>
      <c r="L224" s="19">
        <f>IF(Deployments!M212="","",Deployments!M212)</f>
        <v/>
      </c>
      <c r="M224" s="20" t="n"/>
      <c r="N224" s="19">
        <f>IF(Deployments!N212="","",Deployments!N212)</f>
        <v/>
      </c>
      <c r="O224" s="19">
        <f>IF(Deployments!O212="","",Deployments!O212)</f>
        <v/>
      </c>
      <c r="P224" s="19">
        <f>IF(Deployments!P212="","",Deployments!P212)</f>
        <v/>
      </c>
      <c r="Q224" s="20" t="n"/>
      <c r="R224" s="19">
        <f>IF(Deployments!BT212="","",Deployments!BT212)</f>
        <v/>
      </c>
      <c r="S224" s="19">
        <f>IF(Deployments!BS212="","",Deployments!BS212)</f>
        <v/>
      </c>
      <c r="T224" s="19">
        <f>IF(Deployments!BB212="","",Deployments!BB212)</f>
        <v/>
      </c>
      <c r="U224" s="19">
        <f>IF(Deployments!BR212="","",Deployments!BR212)</f>
        <v/>
      </c>
      <c r="V224" s="19">
        <f>IF(Deployments!BX212="","",Deployments!BX212)</f>
        <v/>
      </c>
      <c r="W224" s="19">
        <f>IF(Deployments!BY212="","",Deployments!BY212)</f>
        <v/>
      </c>
      <c r="X224" s="19">
        <f>IF(Deployments!CC212="","",Deployments!CC212)</f>
        <v/>
      </c>
      <c r="Y224" s="19">
        <f>IF(Deployments!BW212="","",Deployments!BW212)</f>
        <v/>
      </c>
      <c r="Z224" s="19">
        <f>IF(Deployments!U212="","",Deployments!U212)</f>
        <v/>
      </c>
      <c r="AA224" s="19">
        <f>IF(Deployments!L212="","",Deployments!L212)</f>
        <v/>
      </c>
    </row>
    <row r="225">
      <c r="A225" s="20" t="n"/>
      <c r="B225" s="20" t="n"/>
      <c r="C225" s="19">
        <f>IF(Deployments!H213="","",Deployments!H213)</f>
        <v/>
      </c>
      <c r="D225" s="19">
        <f>IF(Deployments!AM213="","",Deployments!AM213)</f>
        <v/>
      </c>
      <c r="E225" s="19">
        <f>IF(Deployments!I213="","",Deployments!I213)</f>
        <v/>
      </c>
      <c r="F225" s="19">
        <f>IF(Deployments!J213="","",Deployments!J213)</f>
        <v/>
      </c>
      <c r="G225" s="19">
        <f>IF(Deployments!K213="","",Deployments!K213)</f>
        <v/>
      </c>
      <c r="H225" s="19">
        <f>IF(Deployments!A213="","",Deployments!A213)</f>
        <v/>
      </c>
      <c r="I225" s="19">
        <f>IF(Deployments!AN213="","",Deployments!AN213)</f>
        <v/>
      </c>
      <c r="J225" s="19">
        <f>IF(Deployments!AO213="","",Deployments!AO213)</f>
        <v/>
      </c>
      <c r="K225" s="19">
        <f>IF(Deployments!AI213="","",Deployments!AI213)</f>
        <v/>
      </c>
      <c r="L225" s="19">
        <f>IF(Deployments!M213="","",Deployments!M213)</f>
        <v/>
      </c>
      <c r="M225" s="20" t="n"/>
      <c r="N225" s="19">
        <f>IF(Deployments!N213="","",Deployments!N213)</f>
        <v/>
      </c>
      <c r="O225" s="19">
        <f>IF(Deployments!O213="","",Deployments!O213)</f>
        <v/>
      </c>
      <c r="P225" s="19">
        <f>IF(Deployments!P213="","",Deployments!P213)</f>
        <v/>
      </c>
      <c r="Q225" s="20" t="n"/>
      <c r="R225" s="19">
        <f>IF(Deployments!BT213="","",Deployments!BT213)</f>
        <v/>
      </c>
      <c r="S225" s="19">
        <f>IF(Deployments!BS213="","",Deployments!BS213)</f>
        <v/>
      </c>
      <c r="T225" s="19">
        <f>IF(Deployments!BB213="","",Deployments!BB213)</f>
        <v/>
      </c>
      <c r="U225" s="19">
        <f>IF(Deployments!BR213="","",Deployments!BR213)</f>
        <v/>
      </c>
      <c r="V225" s="19">
        <f>IF(Deployments!BX213="","",Deployments!BX213)</f>
        <v/>
      </c>
      <c r="W225" s="19">
        <f>IF(Deployments!BY213="","",Deployments!BY213)</f>
        <v/>
      </c>
      <c r="X225" s="19">
        <f>IF(Deployments!CC213="","",Deployments!CC213)</f>
        <v/>
      </c>
      <c r="Y225" s="19">
        <f>IF(Deployments!BW213="","",Deployments!BW213)</f>
        <v/>
      </c>
      <c r="Z225" s="19">
        <f>IF(Deployments!U213="","",Deployments!U213)</f>
        <v/>
      </c>
      <c r="AA225" s="19">
        <f>IF(Deployments!L213="","",Deployments!L213)</f>
        <v/>
      </c>
    </row>
    <row r="226">
      <c r="A226" s="20" t="n"/>
      <c r="B226" s="20" t="n"/>
      <c r="C226" s="19">
        <f>IF(Deployments!H214="","",Deployments!H214)</f>
        <v/>
      </c>
      <c r="D226" s="19">
        <f>IF(Deployments!AM214="","",Deployments!AM214)</f>
        <v/>
      </c>
      <c r="E226" s="19">
        <f>IF(Deployments!I214="","",Deployments!I214)</f>
        <v/>
      </c>
      <c r="F226" s="19">
        <f>IF(Deployments!J214="","",Deployments!J214)</f>
        <v/>
      </c>
      <c r="G226" s="19">
        <f>IF(Deployments!K214="","",Deployments!K214)</f>
        <v/>
      </c>
      <c r="H226" s="19">
        <f>IF(Deployments!A214="","",Deployments!A214)</f>
        <v/>
      </c>
      <c r="I226" s="19">
        <f>IF(Deployments!AN214="","",Deployments!AN214)</f>
        <v/>
      </c>
      <c r="J226" s="19">
        <f>IF(Deployments!AO214="","",Deployments!AO214)</f>
        <v/>
      </c>
      <c r="K226" s="19">
        <f>IF(Deployments!AI214="","",Deployments!AI214)</f>
        <v/>
      </c>
      <c r="L226" s="19">
        <f>IF(Deployments!M214="","",Deployments!M214)</f>
        <v/>
      </c>
      <c r="M226" s="20" t="n"/>
      <c r="N226" s="19">
        <f>IF(Deployments!N214="","",Deployments!N214)</f>
        <v/>
      </c>
      <c r="O226" s="19">
        <f>IF(Deployments!O214="","",Deployments!O214)</f>
        <v/>
      </c>
      <c r="P226" s="19">
        <f>IF(Deployments!P214="","",Deployments!P214)</f>
        <v/>
      </c>
      <c r="Q226" s="20" t="n"/>
      <c r="R226" s="19">
        <f>IF(Deployments!BT214="","",Deployments!BT214)</f>
        <v/>
      </c>
      <c r="S226" s="19">
        <f>IF(Deployments!BS214="","",Deployments!BS214)</f>
        <v/>
      </c>
      <c r="T226" s="19">
        <f>IF(Deployments!BB214="","",Deployments!BB214)</f>
        <v/>
      </c>
      <c r="U226" s="19">
        <f>IF(Deployments!BR214="","",Deployments!BR214)</f>
        <v/>
      </c>
      <c r="V226" s="19">
        <f>IF(Deployments!BX214="","",Deployments!BX214)</f>
        <v/>
      </c>
      <c r="W226" s="19">
        <f>IF(Deployments!BY214="","",Deployments!BY214)</f>
        <v/>
      </c>
      <c r="X226" s="19">
        <f>IF(Deployments!CC214="","",Deployments!CC214)</f>
        <v/>
      </c>
      <c r="Y226" s="19">
        <f>IF(Deployments!BW214="","",Deployments!BW214)</f>
        <v/>
      </c>
      <c r="Z226" s="19">
        <f>IF(Deployments!U214="","",Deployments!U214)</f>
        <v/>
      </c>
      <c r="AA226" s="19">
        <f>IF(Deployments!L214="","",Deployments!L214)</f>
        <v/>
      </c>
    </row>
    <row r="227">
      <c r="A227" s="20" t="n"/>
      <c r="B227" s="20" t="n"/>
      <c r="C227" s="19">
        <f>IF(Deployments!H215="","",Deployments!H215)</f>
        <v/>
      </c>
      <c r="D227" s="19">
        <f>IF(Deployments!AM215="","",Deployments!AM215)</f>
        <v/>
      </c>
      <c r="E227" s="19">
        <f>IF(Deployments!I215="","",Deployments!I215)</f>
        <v/>
      </c>
      <c r="F227" s="19">
        <f>IF(Deployments!J215="","",Deployments!J215)</f>
        <v/>
      </c>
      <c r="G227" s="19">
        <f>IF(Deployments!K215="","",Deployments!K215)</f>
        <v/>
      </c>
      <c r="H227" s="19">
        <f>IF(Deployments!A215="","",Deployments!A215)</f>
        <v/>
      </c>
      <c r="I227" s="19">
        <f>IF(Deployments!AN215="","",Deployments!AN215)</f>
        <v/>
      </c>
      <c r="J227" s="19">
        <f>IF(Deployments!AO215="","",Deployments!AO215)</f>
        <v/>
      </c>
      <c r="K227" s="19">
        <f>IF(Deployments!AI215="","",Deployments!AI215)</f>
        <v/>
      </c>
      <c r="L227" s="19">
        <f>IF(Deployments!M215="","",Deployments!M215)</f>
        <v/>
      </c>
      <c r="M227" s="20" t="n"/>
      <c r="N227" s="19">
        <f>IF(Deployments!N215="","",Deployments!N215)</f>
        <v/>
      </c>
      <c r="O227" s="19">
        <f>IF(Deployments!O215="","",Deployments!O215)</f>
        <v/>
      </c>
      <c r="P227" s="19">
        <f>IF(Deployments!P215="","",Deployments!P215)</f>
        <v/>
      </c>
      <c r="Q227" s="20" t="n"/>
      <c r="R227" s="19">
        <f>IF(Deployments!BT215="","",Deployments!BT215)</f>
        <v/>
      </c>
      <c r="S227" s="19">
        <f>IF(Deployments!BS215="","",Deployments!BS215)</f>
        <v/>
      </c>
      <c r="T227" s="19">
        <f>IF(Deployments!BB215="","",Deployments!BB215)</f>
        <v/>
      </c>
      <c r="U227" s="19">
        <f>IF(Deployments!BR215="","",Deployments!BR215)</f>
        <v/>
      </c>
      <c r="V227" s="19">
        <f>IF(Deployments!BX215="","",Deployments!BX215)</f>
        <v/>
      </c>
      <c r="W227" s="19">
        <f>IF(Deployments!BY215="","",Deployments!BY215)</f>
        <v/>
      </c>
      <c r="X227" s="19">
        <f>IF(Deployments!CC215="","",Deployments!CC215)</f>
        <v/>
      </c>
      <c r="Y227" s="19">
        <f>IF(Deployments!BW215="","",Deployments!BW215)</f>
        <v/>
      </c>
      <c r="Z227" s="19">
        <f>IF(Deployments!U215="","",Deployments!U215)</f>
        <v/>
      </c>
      <c r="AA227" s="19">
        <f>IF(Deployments!L215="","",Deployments!L215)</f>
        <v/>
      </c>
    </row>
    <row r="228">
      <c r="A228" s="20" t="n"/>
      <c r="B228" s="20" t="n"/>
      <c r="C228" s="19">
        <f>IF(Deployments!H216="","",Deployments!H216)</f>
        <v/>
      </c>
      <c r="D228" s="19">
        <f>IF(Deployments!AM216="","",Deployments!AM216)</f>
        <v/>
      </c>
      <c r="E228" s="19">
        <f>IF(Deployments!I216="","",Deployments!I216)</f>
        <v/>
      </c>
      <c r="F228" s="19">
        <f>IF(Deployments!J216="","",Deployments!J216)</f>
        <v/>
      </c>
      <c r="G228" s="19">
        <f>IF(Deployments!K216="","",Deployments!K216)</f>
        <v/>
      </c>
      <c r="H228" s="19">
        <f>IF(Deployments!A216="","",Deployments!A216)</f>
        <v/>
      </c>
      <c r="I228" s="19">
        <f>IF(Deployments!AN216="","",Deployments!AN216)</f>
        <v/>
      </c>
      <c r="J228" s="19">
        <f>IF(Deployments!AO216="","",Deployments!AO216)</f>
        <v/>
      </c>
      <c r="K228" s="19">
        <f>IF(Deployments!AI216="","",Deployments!AI216)</f>
        <v/>
      </c>
      <c r="L228" s="19">
        <f>IF(Deployments!M216="","",Deployments!M216)</f>
        <v/>
      </c>
      <c r="M228" s="20" t="n"/>
      <c r="N228" s="19">
        <f>IF(Deployments!N216="","",Deployments!N216)</f>
        <v/>
      </c>
      <c r="O228" s="19">
        <f>IF(Deployments!O216="","",Deployments!O216)</f>
        <v/>
      </c>
      <c r="P228" s="19">
        <f>IF(Deployments!P216="","",Deployments!P216)</f>
        <v/>
      </c>
      <c r="Q228" s="20" t="n"/>
      <c r="R228" s="19">
        <f>IF(Deployments!BT216="","",Deployments!BT216)</f>
        <v/>
      </c>
      <c r="S228" s="19">
        <f>IF(Deployments!BS216="","",Deployments!BS216)</f>
        <v/>
      </c>
      <c r="T228" s="19">
        <f>IF(Deployments!BB216="","",Deployments!BB216)</f>
        <v/>
      </c>
      <c r="U228" s="19">
        <f>IF(Deployments!BR216="","",Deployments!BR216)</f>
        <v/>
      </c>
      <c r="V228" s="19">
        <f>IF(Deployments!BX216="","",Deployments!BX216)</f>
        <v/>
      </c>
      <c r="W228" s="19">
        <f>IF(Deployments!BY216="","",Deployments!BY216)</f>
        <v/>
      </c>
      <c r="X228" s="19">
        <f>IF(Deployments!CC216="","",Deployments!CC216)</f>
        <v/>
      </c>
      <c r="Y228" s="19">
        <f>IF(Deployments!BW216="","",Deployments!BW216)</f>
        <v/>
      </c>
      <c r="Z228" s="19">
        <f>IF(Deployments!U216="","",Deployments!U216)</f>
        <v/>
      </c>
      <c r="AA228" s="19">
        <f>IF(Deployments!L216="","",Deployments!L216)</f>
        <v/>
      </c>
    </row>
    <row r="229">
      <c r="A229" s="20" t="n"/>
      <c r="B229" s="20" t="n"/>
      <c r="C229" s="19">
        <f>IF(Deployments!H217="","",Deployments!H217)</f>
        <v/>
      </c>
      <c r="D229" s="19">
        <f>IF(Deployments!AM217="","",Deployments!AM217)</f>
        <v/>
      </c>
      <c r="E229" s="19">
        <f>IF(Deployments!I217="","",Deployments!I217)</f>
        <v/>
      </c>
      <c r="F229" s="19">
        <f>IF(Deployments!J217="","",Deployments!J217)</f>
        <v/>
      </c>
      <c r="G229" s="19">
        <f>IF(Deployments!K217="","",Deployments!K217)</f>
        <v/>
      </c>
      <c r="H229" s="19">
        <f>IF(Deployments!A217="","",Deployments!A217)</f>
        <v/>
      </c>
      <c r="I229" s="19">
        <f>IF(Deployments!AN217="","",Deployments!AN217)</f>
        <v/>
      </c>
      <c r="J229" s="19">
        <f>IF(Deployments!AO217="","",Deployments!AO217)</f>
        <v/>
      </c>
      <c r="K229" s="19">
        <f>IF(Deployments!AI217="","",Deployments!AI217)</f>
        <v/>
      </c>
      <c r="L229" s="19">
        <f>IF(Deployments!M217="","",Deployments!M217)</f>
        <v/>
      </c>
      <c r="M229" s="20" t="n"/>
      <c r="N229" s="19">
        <f>IF(Deployments!N217="","",Deployments!N217)</f>
        <v/>
      </c>
      <c r="O229" s="19">
        <f>IF(Deployments!O217="","",Deployments!O217)</f>
        <v/>
      </c>
      <c r="P229" s="19">
        <f>IF(Deployments!P217="","",Deployments!P217)</f>
        <v/>
      </c>
      <c r="Q229" s="20" t="n"/>
      <c r="R229" s="19">
        <f>IF(Deployments!BT217="","",Deployments!BT217)</f>
        <v/>
      </c>
      <c r="S229" s="19">
        <f>IF(Deployments!BS217="","",Deployments!BS217)</f>
        <v/>
      </c>
      <c r="T229" s="19">
        <f>IF(Deployments!BB217="","",Deployments!BB217)</f>
        <v/>
      </c>
      <c r="U229" s="19">
        <f>IF(Deployments!BR217="","",Deployments!BR217)</f>
        <v/>
      </c>
      <c r="V229" s="19">
        <f>IF(Deployments!BX217="","",Deployments!BX217)</f>
        <v/>
      </c>
      <c r="W229" s="19">
        <f>IF(Deployments!BY217="","",Deployments!BY217)</f>
        <v/>
      </c>
      <c r="X229" s="19">
        <f>IF(Deployments!CC217="","",Deployments!CC217)</f>
        <v/>
      </c>
      <c r="Y229" s="19">
        <f>IF(Deployments!BW217="","",Deployments!BW217)</f>
        <v/>
      </c>
      <c r="Z229" s="19">
        <f>IF(Deployments!U217="","",Deployments!U217)</f>
        <v/>
      </c>
      <c r="AA229" s="19">
        <f>IF(Deployments!L217="","",Deployments!L217)</f>
        <v/>
      </c>
    </row>
    <row r="230" ht="41.25" customHeight="1" s="91">
      <c r="A230" s="20" t="n"/>
      <c r="B230" s="20" t="n"/>
      <c r="C230" s="19">
        <f>IF(Deployments!H218="","",Deployments!H218)</f>
        <v/>
      </c>
      <c r="D230" s="19">
        <f>IF(Deployments!AM218="","",Deployments!AM218)</f>
        <v/>
      </c>
      <c r="E230" s="19">
        <f>IF(Deployments!I218="","",Deployments!I218)</f>
        <v/>
      </c>
      <c r="F230" s="19">
        <f>IF(Deployments!J218="","",Deployments!J218)</f>
        <v/>
      </c>
      <c r="G230" s="19">
        <f>IF(Deployments!K218="","",Deployments!K218)</f>
        <v/>
      </c>
      <c r="H230" s="19">
        <f>IF(Deployments!A218="","",Deployments!A218)</f>
        <v/>
      </c>
      <c r="I230" s="19">
        <f>IF(Deployments!AN218="","",Deployments!AN218)</f>
        <v/>
      </c>
      <c r="J230" s="19">
        <f>IF(Deployments!AO218="","",Deployments!AO218)</f>
        <v/>
      </c>
      <c r="K230" s="19">
        <f>IF(Deployments!AI218="","",Deployments!AI218)</f>
        <v/>
      </c>
      <c r="L230" s="19">
        <f>IF(Deployments!M218="","",Deployments!M218)</f>
        <v/>
      </c>
      <c r="M230" s="20" t="n"/>
      <c r="N230" s="19">
        <f>IF(Deployments!N218="","",Deployments!N218)</f>
        <v/>
      </c>
      <c r="O230" s="19">
        <f>IF(Deployments!O218="","",Deployments!O218)</f>
        <v/>
      </c>
      <c r="P230" s="19">
        <f>IF(Deployments!P218="","",Deployments!P218)</f>
        <v/>
      </c>
      <c r="Q230" s="20" t="n"/>
      <c r="R230" s="19">
        <f>IF(Deployments!BT218="","",Deployments!BT218)</f>
        <v/>
      </c>
      <c r="S230" s="19">
        <f>IF(Deployments!BS218="","",Deployments!BS218)</f>
        <v/>
      </c>
      <c r="T230" s="19">
        <f>IF(Deployments!BB218="","",Deployments!BB218)</f>
        <v/>
      </c>
      <c r="U230" s="19">
        <f>IF(Deployments!BR218="","",Deployments!BR218)</f>
        <v/>
      </c>
      <c r="V230" s="19">
        <f>IF(Deployments!BX218="","",Deployments!BX218)</f>
        <v/>
      </c>
      <c r="W230" s="19">
        <f>IF(Deployments!BY218="","",Deployments!BY218)</f>
        <v/>
      </c>
      <c r="X230" s="19">
        <f>IF(Deployments!CC218="","",Deployments!CC218)</f>
        <v/>
      </c>
      <c r="Y230" s="19">
        <f>IF(Deployments!BW218="","",Deployments!BW218)</f>
        <v/>
      </c>
      <c r="Z230" s="19">
        <f>IF(Deployments!U218="","",Deployments!U218)</f>
        <v/>
      </c>
      <c r="AA230" s="19">
        <f>IF(Deployments!L218="","",Deployments!L218)</f>
        <v/>
      </c>
    </row>
    <row r="231" ht="41.25" customHeight="1" s="91">
      <c r="A231" s="20" t="n"/>
      <c r="B231" s="20" t="n"/>
      <c r="C231" s="19">
        <f>IF(Deployments!H219="","",Deployments!H219)</f>
        <v/>
      </c>
      <c r="D231" s="19">
        <f>IF(Deployments!AM219="","",Deployments!AM219)</f>
        <v/>
      </c>
      <c r="E231" s="19">
        <f>IF(Deployments!I219="","",Deployments!I219)</f>
        <v/>
      </c>
      <c r="F231" s="19">
        <f>IF(Deployments!J219="","",Deployments!J219)</f>
        <v/>
      </c>
      <c r="G231" s="19">
        <f>IF(Deployments!K219="","",Deployments!K219)</f>
        <v/>
      </c>
      <c r="H231" s="19">
        <f>IF(Deployments!A219="","",Deployments!A219)</f>
        <v/>
      </c>
      <c r="I231" s="19">
        <f>IF(Deployments!AN219="","",Deployments!AN219)</f>
        <v/>
      </c>
      <c r="J231" s="19">
        <f>IF(Deployments!AO219="","",Deployments!AO219)</f>
        <v/>
      </c>
      <c r="K231" s="19">
        <f>IF(Deployments!AI219="","",Deployments!AI219)</f>
        <v/>
      </c>
      <c r="L231" s="19">
        <f>IF(Deployments!M219="","",Deployments!M219)</f>
        <v/>
      </c>
      <c r="M231" s="20" t="n"/>
      <c r="N231" s="19">
        <f>IF(Deployments!N219="","",Deployments!N219)</f>
        <v/>
      </c>
      <c r="O231" s="19">
        <f>IF(Deployments!O219="","",Deployments!O219)</f>
        <v/>
      </c>
      <c r="P231" s="19">
        <f>IF(Deployments!P219="","",Deployments!P219)</f>
        <v/>
      </c>
      <c r="Q231" s="20" t="n"/>
      <c r="R231" s="19">
        <f>IF(Deployments!BT219="","",Deployments!BT219)</f>
        <v/>
      </c>
      <c r="S231" s="19">
        <f>IF(Deployments!BS219="","",Deployments!BS219)</f>
        <v/>
      </c>
      <c r="T231" s="19">
        <f>IF(Deployments!BB219="","",Deployments!BB219)</f>
        <v/>
      </c>
      <c r="U231" s="19">
        <f>IF(Deployments!BR219="","",Deployments!BR219)</f>
        <v/>
      </c>
      <c r="V231" s="19">
        <f>IF(Deployments!BX219="","",Deployments!BX219)</f>
        <v/>
      </c>
      <c r="W231" s="19">
        <f>IF(Deployments!BY219="","",Deployments!BY219)</f>
        <v/>
      </c>
      <c r="X231" s="19">
        <f>IF(Deployments!CC219="","",Deployments!CC219)</f>
        <v/>
      </c>
      <c r="Y231" s="19">
        <f>IF(Deployments!BW219="","",Deployments!BW219)</f>
        <v/>
      </c>
      <c r="Z231" s="19">
        <f>IF(Deployments!U219="","",Deployments!U219)</f>
        <v/>
      </c>
      <c r="AA231" s="19">
        <f>IF(Deployments!L219="","",Deployments!L219)</f>
        <v/>
      </c>
    </row>
    <row r="232">
      <c r="A232" s="20" t="n"/>
      <c r="B232" s="20" t="n"/>
      <c r="C232" s="19">
        <f>IF(Deployments!H220="","",Deployments!H220)</f>
        <v/>
      </c>
      <c r="D232" s="19">
        <f>IF(Deployments!AM220="","",Deployments!AM220)</f>
        <v/>
      </c>
      <c r="E232" s="19">
        <f>IF(Deployments!I220="","",Deployments!I220)</f>
        <v/>
      </c>
      <c r="F232" s="19">
        <f>IF(Deployments!J220="","",Deployments!J220)</f>
        <v/>
      </c>
      <c r="G232" s="19">
        <f>IF(Deployments!K220="","",Deployments!K220)</f>
        <v/>
      </c>
      <c r="H232" s="19">
        <f>IF(Deployments!A220="","",Deployments!A220)</f>
        <v/>
      </c>
      <c r="I232" s="19">
        <f>IF(Deployments!AN220="","",Deployments!AN220)</f>
        <v/>
      </c>
      <c r="J232" s="19">
        <f>IF(Deployments!AO220="","",Deployments!AO220)</f>
        <v/>
      </c>
      <c r="K232" s="19">
        <f>IF(Deployments!AI220="","",Deployments!AI220)</f>
        <v/>
      </c>
      <c r="L232" s="19">
        <f>IF(Deployments!M220="","",Deployments!M220)</f>
        <v/>
      </c>
      <c r="M232" s="20" t="n"/>
      <c r="N232" s="19">
        <f>IF(Deployments!N220="","",Deployments!N220)</f>
        <v/>
      </c>
      <c r="O232" s="19">
        <f>IF(Deployments!O220="","",Deployments!O220)</f>
        <v/>
      </c>
      <c r="P232" s="19">
        <f>IF(Deployments!P220="","",Deployments!P220)</f>
        <v/>
      </c>
      <c r="Q232" s="20" t="n"/>
      <c r="R232" s="19">
        <f>IF(Deployments!BT220="","",Deployments!BT220)</f>
        <v/>
      </c>
      <c r="S232" s="19">
        <f>IF(Deployments!BS220="","",Deployments!BS220)</f>
        <v/>
      </c>
      <c r="T232" s="19">
        <f>IF(Deployments!BB220="","",Deployments!BB220)</f>
        <v/>
      </c>
      <c r="U232" s="19">
        <f>IF(Deployments!BR220="","",Deployments!BR220)</f>
        <v/>
      </c>
      <c r="V232" s="19">
        <f>IF(Deployments!BX220="","",Deployments!BX220)</f>
        <v/>
      </c>
      <c r="W232" s="19">
        <f>IF(Deployments!BY220="","",Deployments!BY220)</f>
        <v/>
      </c>
      <c r="X232" s="19">
        <f>IF(Deployments!CC220="","",Deployments!CC220)</f>
        <v/>
      </c>
      <c r="Y232" s="19">
        <f>IF(Deployments!BW220="","",Deployments!BW220)</f>
        <v/>
      </c>
      <c r="Z232" s="19">
        <f>IF(Deployments!U220="","",Deployments!U220)</f>
        <v/>
      </c>
      <c r="AA232" s="19">
        <f>IF(Deployments!L220="","",Deployments!L220)</f>
        <v/>
      </c>
    </row>
    <row r="233">
      <c r="A233" s="20" t="n"/>
      <c r="B233" s="20" t="n"/>
      <c r="C233" s="19">
        <f>IF(Deployments!H221="","",Deployments!H221)</f>
        <v/>
      </c>
      <c r="D233" s="19">
        <f>IF(Deployments!AM221="","",Deployments!AM221)</f>
        <v/>
      </c>
      <c r="E233" s="19">
        <f>IF(Deployments!I221="","",Deployments!I221)</f>
        <v/>
      </c>
      <c r="F233" s="19">
        <f>IF(Deployments!J221="","",Deployments!J221)</f>
        <v/>
      </c>
      <c r="G233" s="19">
        <f>IF(Deployments!K221="","",Deployments!K221)</f>
        <v/>
      </c>
      <c r="H233" s="19">
        <f>IF(Deployments!A221="","",Deployments!A221)</f>
        <v/>
      </c>
      <c r="I233" s="19">
        <f>IF(Deployments!AN221="","",Deployments!AN221)</f>
        <v/>
      </c>
      <c r="J233" s="19">
        <f>IF(Deployments!AO221="","",Deployments!AO221)</f>
        <v/>
      </c>
      <c r="K233" s="19">
        <f>IF(Deployments!AI221="","",Deployments!AI221)</f>
        <v/>
      </c>
      <c r="L233" s="19">
        <f>IF(Deployments!M221="","",Deployments!M221)</f>
        <v/>
      </c>
      <c r="M233" s="20" t="n"/>
      <c r="N233" s="19">
        <f>IF(Deployments!N221="","",Deployments!N221)</f>
        <v/>
      </c>
      <c r="O233" s="19">
        <f>IF(Deployments!O221="","",Deployments!O221)</f>
        <v/>
      </c>
      <c r="P233" s="19">
        <f>IF(Deployments!P221="","",Deployments!P221)</f>
        <v/>
      </c>
      <c r="Q233" s="20" t="n"/>
      <c r="R233" s="19">
        <f>IF(Deployments!BT221="","",Deployments!BT221)</f>
        <v/>
      </c>
      <c r="S233" s="19">
        <f>IF(Deployments!BS221="","",Deployments!BS221)</f>
        <v/>
      </c>
      <c r="T233" s="19">
        <f>IF(Deployments!BB221="","",Deployments!BB221)</f>
        <v/>
      </c>
      <c r="U233" s="19">
        <f>IF(Deployments!BR221="","",Deployments!BR221)</f>
        <v/>
      </c>
      <c r="V233" s="19">
        <f>IF(Deployments!BX221="","",Deployments!BX221)</f>
        <v/>
      </c>
      <c r="W233" s="19">
        <f>IF(Deployments!BY221="","",Deployments!BY221)</f>
        <v/>
      </c>
      <c r="X233" s="19">
        <f>IF(Deployments!CC221="","",Deployments!CC221)</f>
        <v/>
      </c>
      <c r="Y233" s="19">
        <f>IF(Deployments!BW221="","",Deployments!BW221)</f>
        <v/>
      </c>
      <c r="Z233" s="19">
        <f>IF(Deployments!U221="","",Deployments!U221)</f>
        <v/>
      </c>
      <c r="AA233" s="19">
        <f>IF(Deployments!L221="","",Deployments!L221)</f>
        <v/>
      </c>
    </row>
    <row r="234">
      <c r="A234" s="20" t="n"/>
      <c r="B234" s="20" t="n"/>
      <c r="C234" s="19">
        <f>IF(Deployments!H222="","",Deployments!H222)</f>
        <v/>
      </c>
      <c r="D234" s="19">
        <f>IF(Deployments!AM222="","",Deployments!AM222)</f>
        <v/>
      </c>
      <c r="E234" s="19">
        <f>IF(Deployments!I222="","",Deployments!I222)</f>
        <v/>
      </c>
      <c r="F234" s="19">
        <f>IF(Deployments!J222="","",Deployments!J222)</f>
        <v/>
      </c>
      <c r="G234" s="19">
        <f>IF(Deployments!K222="","",Deployments!K222)</f>
        <v/>
      </c>
      <c r="H234" s="19">
        <f>IF(Deployments!A222="","",Deployments!A222)</f>
        <v/>
      </c>
      <c r="I234" s="19">
        <f>IF(Deployments!AN222="","",Deployments!AN222)</f>
        <v/>
      </c>
      <c r="J234" s="19">
        <f>IF(Deployments!AO222="","",Deployments!AO222)</f>
        <v/>
      </c>
      <c r="K234" s="19">
        <f>IF(Deployments!AI222="","",Deployments!AI222)</f>
        <v/>
      </c>
      <c r="L234" s="19">
        <f>IF(Deployments!M222="","",Deployments!M222)</f>
        <v/>
      </c>
      <c r="M234" s="20" t="n"/>
      <c r="N234" s="19">
        <f>IF(Deployments!N222="","",Deployments!N222)</f>
        <v/>
      </c>
      <c r="O234" s="19">
        <f>IF(Deployments!O222="","",Deployments!O222)</f>
        <v/>
      </c>
      <c r="P234" s="19">
        <f>IF(Deployments!P222="","",Deployments!P222)</f>
        <v/>
      </c>
      <c r="Q234" s="20" t="n"/>
      <c r="R234" s="19">
        <f>IF(Deployments!BT222="","",Deployments!BT222)</f>
        <v/>
      </c>
      <c r="S234" s="19">
        <f>IF(Deployments!BS222="","",Deployments!BS222)</f>
        <v/>
      </c>
      <c r="T234" s="19">
        <f>IF(Deployments!BB222="","",Deployments!BB222)</f>
        <v/>
      </c>
      <c r="U234" s="19">
        <f>IF(Deployments!BR222="","",Deployments!BR222)</f>
        <v/>
      </c>
      <c r="V234" s="19">
        <f>IF(Deployments!BX222="","",Deployments!BX222)</f>
        <v/>
      </c>
      <c r="W234" s="19">
        <f>IF(Deployments!BY222="","",Deployments!BY222)</f>
        <v/>
      </c>
      <c r="X234" s="19">
        <f>IF(Deployments!CC222="","",Deployments!CC222)</f>
        <v/>
      </c>
      <c r="Y234" s="19">
        <f>IF(Deployments!BW222="","",Deployments!BW222)</f>
        <v/>
      </c>
      <c r="Z234" s="19">
        <f>IF(Deployments!U222="","",Deployments!U222)</f>
        <v/>
      </c>
      <c r="AA234" s="19">
        <f>IF(Deployments!L222="","",Deployments!L222)</f>
        <v/>
      </c>
    </row>
    <row r="235">
      <c r="A235" s="20" t="n"/>
      <c r="B235" s="20" t="n"/>
      <c r="C235" s="19">
        <f>IF(Deployments!H223="","",Deployments!H223)</f>
        <v/>
      </c>
      <c r="D235" s="19">
        <f>IF(Deployments!AM223="","",Deployments!AM223)</f>
        <v/>
      </c>
      <c r="E235" s="19">
        <f>IF(Deployments!I223="","",Deployments!I223)</f>
        <v/>
      </c>
      <c r="F235" s="19">
        <f>IF(Deployments!J223="","",Deployments!J223)</f>
        <v/>
      </c>
      <c r="G235" s="19">
        <f>IF(Deployments!K223="","",Deployments!K223)</f>
        <v/>
      </c>
      <c r="H235" s="19">
        <f>IF(Deployments!A223="","",Deployments!A223)</f>
        <v/>
      </c>
      <c r="I235" s="19">
        <f>IF(Deployments!AN223="","",Deployments!AN223)</f>
        <v/>
      </c>
      <c r="J235" s="19">
        <f>IF(Deployments!AO223="","",Deployments!AO223)</f>
        <v/>
      </c>
      <c r="K235" s="19">
        <f>IF(Deployments!AI223="","",Deployments!AI223)</f>
        <v/>
      </c>
      <c r="L235" s="19">
        <f>IF(Deployments!M223="","",Deployments!M223)</f>
        <v/>
      </c>
      <c r="M235" s="20" t="n"/>
      <c r="N235" s="19">
        <f>IF(Deployments!N223="","",Deployments!N223)</f>
        <v/>
      </c>
      <c r="O235" s="19">
        <f>IF(Deployments!O223="","",Deployments!O223)</f>
        <v/>
      </c>
      <c r="P235" s="19">
        <f>IF(Deployments!P223="","",Deployments!P223)</f>
        <v/>
      </c>
      <c r="Q235" s="20" t="n"/>
      <c r="R235" s="19">
        <f>IF(Deployments!BT223="","",Deployments!BT223)</f>
        <v/>
      </c>
      <c r="S235" s="19">
        <f>IF(Deployments!BS223="","",Deployments!BS223)</f>
        <v/>
      </c>
      <c r="T235" s="19">
        <f>IF(Deployments!BB223="","",Deployments!BB223)</f>
        <v/>
      </c>
      <c r="U235" s="19">
        <f>IF(Deployments!BR223="","",Deployments!BR223)</f>
        <v/>
      </c>
      <c r="V235" s="19">
        <f>IF(Deployments!BX223="","",Deployments!BX223)</f>
        <v/>
      </c>
      <c r="W235" s="19">
        <f>IF(Deployments!BY223="","",Deployments!BY223)</f>
        <v/>
      </c>
      <c r="X235" s="19">
        <f>IF(Deployments!CC223="","",Deployments!CC223)</f>
        <v/>
      </c>
      <c r="Y235" s="19">
        <f>IF(Deployments!BW223="","",Deployments!BW223)</f>
        <v/>
      </c>
      <c r="Z235" s="19">
        <f>IF(Deployments!U223="","",Deployments!U223)</f>
        <v/>
      </c>
      <c r="AA235" s="19">
        <f>IF(Deployments!L223="","",Deployments!L223)</f>
        <v/>
      </c>
    </row>
    <row r="236">
      <c r="A236" s="20" t="n"/>
      <c r="B236" s="20" t="n"/>
      <c r="C236" s="19">
        <f>IF(Deployments!H224="","",Deployments!H224)</f>
        <v/>
      </c>
      <c r="D236" s="19">
        <f>IF(Deployments!AM224="","",Deployments!AM224)</f>
        <v/>
      </c>
      <c r="E236" s="19">
        <f>IF(Deployments!I224="","",Deployments!I224)</f>
        <v/>
      </c>
      <c r="F236" s="19">
        <f>IF(Deployments!J224="","",Deployments!J224)</f>
        <v/>
      </c>
      <c r="G236" s="19">
        <f>IF(Deployments!K224="","",Deployments!K224)</f>
        <v/>
      </c>
      <c r="H236" s="19">
        <f>IF(Deployments!A224="","",Deployments!A224)</f>
        <v/>
      </c>
      <c r="I236" s="19">
        <f>IF(Deployments!AN224="","",Deployments!AN224)</f>
        <v/>
      </c>
      <c r="J236" s="19">
        <f>IF(Deployments!AO224="","",Deployments!AO224)</f>
        <v/>
      </c>
      <c r="K236" s="19">
        <f>IF(Deployments!AI224="","",Deployments!AI224)</f>
        <v/>
      </c>
      <c r="L236" s="19">
        <f>IF(Deployments!M224="","",Deployments!M224)</f>
        <v/>
      </c>
      <c r="M236" s="20" t="n"/>
      <c r="N236" s="19">
        <f>IF(Deployments!N224="","",Deployments!N224)</f>
        <v/>
      </c>
      <c r="O236" s="19">
        <f>IF(Deployments!O224="","",Deployments!O224)</f>
        <v/>
      </c>
      <c r="P236" s="19">
        <f>IF(Deployments!P224="","",Deployments!P224)</f>
        <v/>
      </c>
      <c r="Q236" s="20" t="n"/>
      <c r="R236" s="19">
        <f>IF(Deployments!BT224="","",Deployments!BT224)</f>
        <v/>
      </c>
      <c r="S236" s="19">
        <f>IF(Deployments!BS224="","",Deployments!BS224)</f>
        <v/>
      </c>
      <c r="T236" s="19">
        <f>IF(Deployments!BB224="","",Deployments!BB224)</f>
        <v/>
      </c>
      <c r="U236" s="19">
        <f>IF(Deployments!BR224="","",Deployments!BR224)</f>
        <v/>
      </c>
      <c r="V236" s="19">
        <f>IF(Deployments!BX224="","",Deployments!BX224)</f>
        <v/>
      </c>
      <c r="W236" s="19">
        <f>IF(Deployments!BY224="","",Deployments!BY224)</f>
        <v/>
      </c>
      <c r="X236" s="19">
        <f>IF(Deployments!CC224="","",Deployments!CC224)</f>
        <v/>
      </c>
      <c r="Y236" s="19">
        <f>IF(Deployments!BW224="","",Deployments!BW224)</f>
        <v/>
      </c>
      <c r="Z236" s="19">
        <f>IF(Deployments!U224="","",Deployments!U224)</f>
        <v/>
      </c>
      <c r="AA236" s="19">
        <f>IF(Deployments!L224="","",Deployments!L224)</f>
        <v/>
      </c>
    </row>
    <row r="237">
      <c r="A237" s="20" t="n"/>
      <c r="B237" s="20" t="n"/>
      <c r="C237" s="19">
        <f>IF(Deployments!H225="","",Deployments!H225)</f>
        <v/>
      </c>
      <c r="D237" s="19">
        <f>IF(Deployments!AM225="","",Deployments!AM225)</f>
        <v/>
      </c>
      <c r="E237" s="19">
        <f>IF(Deployments!I225="","",Deployments!I225)</f>
        <v/>
      </c>
      <c r="F237" s="19">
        <f>IF(Deployments!J225="","",Deployments!J225)</f>
        <v/>
      </c>
      <c r="G237" s="19">
        <f>IF(Deployments!K225="","",Deployments!K225)</f>
        <v/>
      </c>
      <c r="H237" s="19">
        <f>IF(Deployments!A225="","",Deployments!A225)</f>
        <v/>
      </c>
      <c r="I237" s="19">
        <f>IF(Deployments!AN225="","",Deployments!AN225)</f>
        <v/>
      </c>
      <c r="J237" s="19">
        <f>IF(Deployments!AO225="","",Deployments!AO225)</f>
        <v/>
      </c>
      <c r="K237" s="19">
        <f>IF(Deployments!AI225="","",Deployments!AI225)</f>
        <v/>
      </c>
      <c r="L237" s="19">
        <f>IF(Deployments!M225="","",Deployments!M225)</f>
        <v/>
      </c>
      <c r="M237" s="20" t="n"/>
      <c r="N237" s="19">
        <f>IF(Deployments!N225="","",Deployments!N225)</f>
        <v/>
      </c>
      <c r="O237" s="19">
        <f>IF(Deployments!O225="","",Deployments!O225)</f>
        <v/>
      </c>
      <c r="P237" s="19">
        <f>IF(Deployments!P225="","",Deployments!P225)</f>
        <v/>
      </c>
      <c r="Q237" s="20" t="n"/>
      <c r="R237" s="19">
        <f>IF(Deployments!BT225="","",Deployments!BT225)</f>
        <v/>
      </c>
      <c r="S237" s="19">
        <f>IF(Deployments!BS225="","",Deployments!BS225)</f>
        <v/>
      </c>
      <c r="T237" s="19">
        <f>IF(Deployments!BB225="","",Deployments!BB225)</f>
        <v/>
      </c>
      <c r="U237" s="19">
        <f>IF(Deployments!BR225="","",Deployments!BR225)</f>
        <v/>
      </c>
      <c r="V237" s="19">
        <f>IF(Deployments!BX225="","",Deployments!BX225)</f>
        <v/>
      </c>
      <c r="W237" s="19">
        <f>IF(Deployments!BY225="","",Deployments!BY225)</f>
        <v/>
      </c>
      <c r="X237" s="19">
        <f>IF(Deployments!CC225="","",Deployments!CC225)</f>
        <v/>
      </c>
      <c r="Y237" s="19">
        <f>IF(Deployments!BW225="","",Deployments!BW225)</f>
        <v/>
      </c>
      <c r="Z237" s="19">
        <f>IF(Deployments!U225="","",Deployments!U225)</f>
        <v/>
      </c>
      <c r="AA237" s="19">
        <f>IF(Deployments!L225="","",Deployments!L225)</f>
        <v/>
      </c>
    </row>
    <row r="238">
      <c r="A238" s="20" t="n"/>
      <c r="B238" s="20" t="n"/>
      <c r="C238" s="19">
        <f>IF(Deployments!H226="","",Deployments!H226)</f>
        <v/>
      </c>
      <c r="D238" s="19">
        <f>IF(Deployments!AM226="","",Deployments!AM226)</f>
        <v/>
      </c>
      <c r="E238" s="19">
        <f>IF(Deployments!I226="","",Deployments!I226)</f>
        <v/>
      </c>
      <c r="F238" s="19">
        <f>IF(Deployments!J226="","",Deployments!J226)</f>
        <v/>
      </c>
      <c r="G238" s="19">
        <f>IF(Deployments!K226="","",Deployments!K226)</f>
        <v/>
      </c>
      <c r="H238" s="19">
        <f>IF(Deployments!A226="","",Deployments!A226)</f>
        <v/>
      </c>
      <c r="I238" s="19">
        <f>IF(Deployments!AN226="","",Deployments!AN226)</f>
        <v/>
      </c>
      <c r="J238" s="19">
        <f>IF(Deployments!AO226="","",Deployments!AO226)</f>
        <v/>
      </c>
      <c r="K238" s="19">
        <f>IF(Deployments!AI226="","",Deployments!AI226)</f>
        <v/>
      </c>
      <c r="L238" s="19">
        <f>IF(Deployments!M226="","",Deployments!M226)</f>
        <v/>
      </c>
      <c r="M238" s="20" t="n"/>
      <c r="N238" s="19">
        <f>IF(Deployments!N226="","",Deployments!N226)</f>
        <v/>
      </c>
      <c r="O238" s="19">
        <f>IF(Deployments!O226="","",Deployments!O226)</f>
        <v/>
      </c>
      <c r="P238" s="19">
        <f>IF(Deployments!P226="","",Deployments!P226)</f>
        <v/>
      </c>
      <c r="Q238" s="20" t="n"/>
      <c r="R238" s="19">
        <f>IF(Deployments!BT226="","",Deployments!BT226)</f>
        <v/>
      </c>
      <c r="S238" s="19">
        <f>IF(Deployments!BS226="","",Deployments!BS226)</f>
        <v/>
      </c>
      <c r="T238" s="19">
        <f>IF(Deployments!BB226="","",Deployments!BB226)</f>
        <v/>
      </c>
      <c r="U238" s="19">
        <f>IF(Deployments!BR226="","",Deployments!BR226)</f>
        <v/>
      </c>
      <c r="V238" s="19">
        <f>IF(Deployments!BX226="","",Deployments!BX226)</f>
        <v/>
      </c>
      <c r="W238" s="19">
        <f>IF(Deployments!BY226="","",Deployments!BY226)</f>
        <v/>
      </c>
      <c r="X238" s="19">
        <f>IF(Deployments!CC226="","",Deployments!CC226)</f>
        <v/>
      </c>
      <c r="Y238" s="19">
        <f>IF(Deployments!BW226="","",Deployments!BW226)</f>
        <v/>
      </c>
      <c r="Z238" s="19">
        <f>IF(Deployments!U226="","",Deployments!U226)</f>
        <v/>
      </c>
      <c r="AA238" s="19">
        <f>IF(Deployments!L226="","",Deployments!L226)</f>
        <v/>
      </c>
    </row>
    <row r="239">
      <c r="A239" s="20" t="n"/>
      <c r="B239" s="20" t="n"/>
      <c r="C239" s="19">
        <f>IF(Deployments!H227="","",Deployments!H227)</f>
        <v/>
      </c>
      <c r="D239" s="19">
        <f>IF(Deployments!AM227="","",Deployments!AM227)</f>
        <v/>
      </c>
      <c r="E239" s="19">
        <f>IF(Deployments!I227="","",Deployments!I227)</f>
        <v/>
      </c>
      <c r="F239" s="19">
        <f>IF(Deployments!J227="","",Deployments!J227)</f>
        <v/>
      </c>
      <c r="G239" s="19">
        <f>IF(Deployments!K227="","",Deployments!K227)</f>
        <v/>
      </c>
      <c r="H239" s="19">
        <f>IF(Deployments!A227="","",Deployments!A227)</f>
        <v/>
      </c>
      <c r="I239" s="19">
        <f>IF(Deployments!AN227="","",Deployments!AN227)</f>
        <v/>
      </c>
      <c r="J239" s="19">
        <f>IF(Deployments!AO227="","",Deployments!AO227)</f>
        <v/>
      </c>
      <c r="K239" s="19">
        <f>IF(Deployments!AI227="","",Deployments!AI227)</f>
        <v/>
      </c>
      <c r="L239" s="19">
        <f>IF(Deployments!M227="","",Deployments!M227)</f>
        <v/>
      </c>
      <c r="M239" s="20" t="n"/>
      <c r="N239" s="19">
        <f>IF(Deployments!N227="","",Deployments!N227)</f>
        <v/>
      </c>
      <c r="O239" s="19">
        <f>IF(Deployments!O227="","",Deployments!O227)</f>
        <v/>
      </c>
      <c r="P239" s="19">
        <f>IF(Deployments!P227="","",Deployments!P227)</f>
        <v/>
      </c>
      <c r="Q239" s="20" t="n"/>
      <c r="R239" s="19">
        <f>IF(Deployments!BT227="","",Deployments!BT227)</f>
        <v/>
      </c>
      <c r="S239" s="19">
        <f>IF(Deployments!BS227="","",Deployments!BS227)</f>
        <v/>
      </c>
      <c r="T239" s="19">
        <f>IF(Deployments!BB227="","",Deployments!BB227)</f>
        <v/>
      </c>
      <c r="U239" s="19">
        <f>IF(Deployments!BR227="","",Deployments!BR227)</f>
        <v/>
      </c>
      <c r="V239" s="19">
        <f>IF(Deployments!BX227="","",Deployments!BX227)</f>
        <v/>
      </c>
      <c r="W239" s="19">
        <f>IF(Deployments!BY227="","",Deployments!BY227)</f>
        <v/>
      </c>
      <c r="X239" s="19">
        <f>IF(Deployments!CC227="","",Deployments!CC227)</f>
        <v/>
      </c>
      <c r="Y239" s="19">
        <f>IF(Deployments!BW227="","",Deployments!BW227)</f>
        <v/>
      </c>
      <c r="Z239" s="19">
        <f>IF(Deployments!U227="","",Deployments!U227)</f>
        <v/>
      </c>
      <c r="AA239" s="19">
        <f>IF(Deployments!L227="","",Deployments!L227)</f>
        <v/>
      </c>
    </row>
    <row r="240">
      <c r="A240" s="20" t="n"/>
      <c r="B240" s="20" t="n"/>
      <c r="C240" s="19">
        <f>IF(Deployments!H228="","",Deployments!H228)</f>
        <v/>
      </c>
      <c r="D240" s="19">
        <f>IF(Deployments!AM228="","",Deployments!AM228)</f>
        <v/>
      </c>
      <c r="E240" s="19">
        <f>IF(Deployments!I228="","",Deployments!I228)</f>
        <v/>
      </c>
      <c r="F240" s="19">
        <f>IF(Deployments!J228="","",Deployments!J228)</f>
        <v/>
      </c>
      <c r="G240" s="19">
        <f>IF(Deployments!K228="","",Deployments!K228)</f>
        <v/>
      </c>
      <c r="H240" s="19">
        <f>IF(Deployments!A228="","",Deployments!A228)</f>
        <v/>
      </c>
      <c r="I240" s="19">
        <f>IF(Deployments!AN228="","",Deployments!AN228)</f>
        <v/>
      </c>
      <c r="J240" s="19">
        <f>IF(Deployments!AO228="","",Deployments!AO228)</f>
        <v/>
      </c>
      <c r="K240" s="19">
        <f>IF(Deployments!AI228="","",Deployments!AI228)</f>
        <v/>
      </c>
      <c r="L240" s="19">
        <f>IF(Deployments!M228="","",Deployments!M228)</f>
        <v/>
      </c>
      <c r="M240" s="20" t="n"/>
      <c r="N240" s="19">
        <f>IF(Deployments!N228="","",Deployments!N228)</f>
        <v/>
      </c>
      <c r="O240" s="19">
        <f>IF(Deployments!O228="","",Deployments!O228)</f>
        <v/>
      </c>
      <c r="P240" s="19">
        <f>IF(Deployments!P228="","",Deployments!P228)</f>
        <v/>
      </c>
      <c r="Q240" s="20" t="n"/>
      <c r="R240" s="19">
        <f>IF(Deployments!BT228="","",Deployments!BT228)</f>
        <v/>
      </c>
      <c r="S240" s="19">
        <f>IF(Deployments!BS228="","",Deployments!BS228)</f>
        <v/>
      </c>
      <c r="T240" s="19">
        <f>IF(Deployments!BB228="","",Deployments!BB228)</f>
        <v/>
      </c>
      <c r="U240" s="19">
        <f>IF(Deployments!BR228="","",Deployments!BR228)</f>
        <v/>
      </c>
      <c r="V240" s="19">
        <f>IF(Deployments!BX228="","",Deployments!BX228)</f>
        <v/>
      </c>
      <c r="W240" s="19">
        <f>IF(Deployments!BY228="","",Deployments!BY228)</f>
        <v/>
      </c>
      <c r="X240" s="19">
        <f>IF(Deployments!CC228="","",Deployments!CC228)</f>
        <v/>
      </c>
      <c r="Y240" s="19">
        <f>IF(Deployments!BW228="","",Deployments!BW228)</f>
        <v/>
      </c>
      <c r="Z240" s="19">
        <f>IF(Deployments!U228="","",Deployments!U228)</f>
        <v/>
      </c>
      <c r="AA240" s="19">
        <f>IF(Deployments!L228="","",Deployments!L228)</f>
        <v/>
      </c>
    </row>
    <row r="241">
      <c r="A241" s="20" t="n"/>
      <c r="B241" s="20" t="n"/>
      <c r="C241" s="19">
        <f>IF(Deployments!H229="","",Deployments!H229)</f>
        <v/>
      </c>
      <c r="D241" s="19">
        <f>IF(Deployments!AM229="","",Deployments!AM229)</f>
        <v/>
      </c>
      <c r="E241" s="19">
        <f>IF(Deployments!I229="","",Deployments!I229)</f>
        <v/>
      </c>
      <c r="F241" s="19">
        <f>IF(Deployments!J229="","",Deployments!J229)</f>
        <v/>
      </c>
      <c r="G241" s="19">
        <f>IF(Deployments!K229="","",Deployments!K229)</f>
        <v/>
      </c>
      <c r="H241" s="19">
        <f>IF(Deployments!A229="","",Deployments!A229)</f>
        <v/>
      </c>
      <c r="I241" s="19">
        <f>IF(Deployments!AN229="","",Deployments!AN229)</f>
        <v/>
      </c>
      <c r="J241" s="19">
        <f>IF(Deployments!AO229="","",Deployments!AO229)</f>
        <v/>
      </c>
      <c r="K241" s="19">
        <f>IF(Deployments!AI229="","",Deployments!AI229)</f>
        <v/>
      </c>
      <c r="L241" s="19">
        <f>IF(Deployments!M229="","",Deployments!M229)</f>
        <v/>
      </c>
      <c r="M241" s="20" t="n"/>
      <c r="N241" s="19">
        <f>IF(Deployments!N229="","",Deployments!N229)</f>
        <v/>
      </c>
      <c r="O241" s="19">
        <f>IF(Deployments!O229="","",Deployments!O229)</f>
        <v/>
      </c>
      <c r="P241" s="19">
        <f>IF(Deployments!P229="","",Deployments!P229)</f>
        <v/>
      </c>
      <c r="Q241" s="20" t="n"/>
      <c r="R241" s="19">
        <f>IF(Deployments!BT229="","",Deployments!BT229)</f>
        <v/>
      </c>
      <c r="S241" s="19">
        <f>IF(Deployments!BS229="","",Deployments!BS229)</f>
        <v/>
      </c>
      <c r="T241" s="19">
        <f>IF(Deployments!BB229="","",Deployments!BB229)</f>
        <v/>
      </c>
      <c r="U241" s="19">
        <f>IF(Deployments!BR229="","",Deployments!BR229)</f>
        <v/>
      </c>
      <c r="V241" s="19">
        <f>IF(Deployments!BX229="","",Deployments!BX229)</f>
        <v/>
      </c>
      <c r="W241" s="19">
        <f>IF(Deployments!BY229="","",Deployments!BY229)</f>
        <v/>
      </c>
      <c r="X241" s="19">
        <f>IF(Deployments!CC229="","",Deployments!CC229)</f>
        <v/>
      </c>
      <c r="Y241" s="19">
        <f>IF(Deployments!BW229="","",Deployments!BW229)</f>
        <v/>
      </c>
      <c r="Z241" s="19">
        <f>IF(Deployments!U229="","",Deployments!U229)</f>
        <v/>
      </c>
      <c r="AA241" s="19">
        <f>IF(Deployments!L229="","",Deployments!L229)</f>
        <v/>
      </c>
    </row>
    <row r="242" ht="27.75" customHeight="1" s="91">
      <c r="A242" s="20" t="n"/>
      <c r="B242" s="20" t="n"/>
      <c r="C242" s="19">
        <f>IF(Deployments!H230="","",Deployments!H230)</f>
        <v/>
      </c>
      <c r="D242" s="19">
        <f>IF(Deployments!AM230="","",Deployments!AM230)</f>
        <v/>
      </c>
      <c r="E242" s="19">
        <f>IF(Deployments!I230="","",Deployments!I230)</f>
        <v/>
      </c>
      <c r="F242" s="19">
        <f>IF(Deployments!J230="","",Deployments!J230)</f>
        <v/>
      </c>
      <c r="G242" s="19">
        <f>IF(Deployments!K230="","",Deployments!K230)</f>
        <v/>
      </c>
      <c r="H242" s="19">
        <f>IF(Deployments!A230="","",Deployments!A230)</f>
        <v/>
      </c>
      <c r="I242" s="19">
        <f>IF(Deployments!AN230="","",Deployments!AN230)</f>
        <v/>
      </c>
      <c r="J242" s="19">
        <f>IF(Deployments!AO230="","",Deployments!AO230)</f>
        <v/>
      </c>
      <c r="K242" s="19">
        <f>IF(Deployments!AI230="","",Deployments!AI230)</f>
        <v/>
      </c>
      <c r="L242" s="19">
        <f>IF(Deployments!M230="","",Deployments!M230)</f>
        <v/>
      </c>
      <c r="M242" s="20" t="n"/>
      <c r="N242" s="19">
        <f>IF(Deployments!N230="","",Deployments!N230)</f>
        <v/>
      </c>
      <c r="O242" s="19">
        <f>IF(Deployments!O230="","",Deployments!O230)</f>
        <v/>
      </c>
      <c r="P242" s="19">
        <f>IF(Deployments!P230="","",Deployments!P230)</f>
        <v/>
      </c>
      <c r="Q242" s="20" t="n"/>
      <c r="R242" s="19">
        <f>IF(Deployments!BT230="","",Deployments!BT230)</f>
        <v/>
      </c>
      <c r="S242" s="19">
        <f>IF(Deployments!BS230="","",Deployments!BS230)</f>
        <v/>
      </c>
      <c r="T242" s="19">
        <f>IF(Deployments!BB230="","",Deployments!BB230)</f>
        <v/>
      </c>
      <c r="U242" s="19">
        <f>IF(Deployments!BR230="","",Deployments!BR230)</f>
        <v/>
      </c>
      <c r="V242" s="19">
        <f>IF(Deployments!BX230="","",Deployments!BX230)</f>
        <v/>
      </c>
      <c r="W242" s="19">
        <f>IF(Deployments!BY230="","",Deployments!BY230)</f>
        <v/>
      </c>
      <c r="X242" s="19">
        <f>IF(Deployments!CC230="","",Deployments!CC230)</f>
        <v/>
      </c>
      <c r="Y242" s="19">
        <f>IF(Deployments!BW230="","",Deployments!BW230)</f>
        <v/>
      </c>
      <c r="Z242" s="19">
        <f>IF(Deployments!U230="","",Deployments!U230)</f>
        <v/>
      </c>
      <c r="AA242" s="19">
        <f>IF(Deployments!L230="","",Deployments!L230)</f>
        <v/>
      </c>
    </row>
    <row r="243" ht="27.75" customHeight="1" s="91">
      <c r="A243" s="20" t="n"/>
      <c r="B243" s="20" t="n"/>
      <c r="C243" s="19">
        <f>IF(Deployments!H231="","",Deployments!H231)</f>
        <v/>
      </c>
      <c r="D243" s="19">
        <f>IF(Deployments!AM231="","",Deployments!AM231)</f>
        <v/>
      </c>
      <c r="E243" s="19">
        <f>IF(Deployments!I231="","",Deployments!I231)</f>
        <v/>
      </c>
      <c r="F243" s="19">
        <f>IF(Deployments!J231="","",Deployments!J231)</f>
        <v/>
      </c>
      <c r="G243" s="19">
        <f>IF(Deployments!K231="","",Deployments!K231)</f>
        <v/>
      </c>
      <c r="H243" s="19">
        <f>IF(Deployments!A231="","",Deployments!A231)</f>
        <v/>
      </c>
      <c r="I243" s="19">
        <f>IF(Deployments!AN231="","",Deployments!AN231)</f>
        <v/>
      </c>
      <c r="J243" s="19">
        <f>IF(Deployments!AO231="","",Deployments!AO231)</f>
        <v/>
      </c>
      <c r="K243" s="19">
        <f>IF(Deployments!AI231="","",Deployments!AI231)</f>
        <v/>
      </c>
      <c r="L243" s="19">
        <f>IF(Deployments!M231="","",Deployments!M231)</f>
        <v/>
      </c>
      <c r="M243" s="20" t="n"/>
      <c r="N243" s="19">
        <f>IF(Deployments!N231="","",Deployments!N231)</f>
        <v/>
      </c>
      <c r="O243" s="19">
        <f>IF(Deployments!O231="","",Deployments!O231)</f>
        <v/>
      </c>
      <c r="P243" s="19">
        <f>IF(Deployments!P231="","",Deployments!P231)</f>
        <v/>
      </c>
      <c r="Q243" s="20" t="n"/>
      <c r="R243" s="19">
        <f>IF(Deployments!BT231="","",Deployments!BT231)</f>
        <v/>
      </c>
      <c r="S243" s="19">
        <f>IF(Deployments!BS231="","",Deployments!BS231)</f>
        <v/>
      </c>
      <c r="T243" s="19">
        <f>IF(Deployments!BB231="","",Deployments!BB231)</f>
        <v/>
      </c>
      <c r="U243" s="19">
        <f>IF(Deployments!BR231="","",Deployments!BR231)</f>
        <v/>
      </c>
      <c r="V243" s="19">
        <f>IF(Deployments!BX231="","",Deployments!BX231)</f>
        <v/>
      </c>
      <c r="W243" s="19">
        <f>IF(Deployments!BY231="","",Deployments!BY231)</f>
        <v/>
      </c>
      <c r="X243" s="19">
        <f>IF(Deployments!CC231="","",Deployments!CC231)</f>
        <v/>
      </c>
      <c r="Y243" s="19">
        <f>IF(Deployments!BW231="","",Deployments!BW231)</f>
        <v/>
      </c>
      <c r="Z243" s="19">
        <f>IF(Deployments!U231="","",Deployments!U231)</f>
        <v/>
      </c>
      <c r="AA243" s="19">
        <f>IF(Deployments!L231="","",Deployments!L231)</f>
        <v/>
      </c>
    </row>
    <row r="244" ht="27.75" customHeight="1" s="91">
      <c r="A244" s="20" t="n"/>
      <c r="B244" s="20" t="n"/>
      <c r="C244" s="19">
        <f>IF(Deployments!H232="","",Deployments!H232)</f>
        <v/>
      </c>
      <c r="D244" s="19">
        <f>IF(Deployments!AM232="","",Deployments!AM232)</f>
        <v/>
      </c>
      <c r="E244" s="19">
        <f>IF(Deployments!I232="","",Deployments!I232)</f>
        <v/>
      </c>
      <c r="F244" s="19">
        <f>IF(Deployments!J232="","",Deployments!J232)</f>
        <v/>
      </c>
      <c r="G244" s="19">
        <f>IF(Deployments!K232="","",Deployments!K232)</f>
        <v/>
      </c>
      <c r="H244" s="19">
        <f>IF(Deployments!A232="","",Deployments!A232)</f>
        <v/>
      </c>
      <c r="I244" s="19">
        <f>IF(Deployments!AN232="","",Deployments!AN232)</f>
        <v/>
      </c>
      <c r="J244" s="19">
        <f>IF(Deployments!AO232="","",Deployments!AO232)</f>
        <v/>
      </c>
      <c r="K244" s="19">
        <f>IF(Deployments!AI232="","",Deployments!AI232)</f>
        <v/>
      </c>
      <c r="L244" s="19">
        <f>IF(Deployments!M232="","",Deployments!M232)</f>
        <v/>
      </c>
      <c r="M244" s="20" t="n"/>
      <c r="N244" s="19">
        <f>IF(Deployments!N232="","",Deployments!N232)</f>
        <v/>
      </c>
      <c r="O244" s="19">
        <f>IF(Deployments!O232="","",Deployments!O232)</f>
        <v/>
      </c>
      <c r="P244" s="19">
        <f>IF(Deployments!P232="","",Deployments!P232)</f>
        <v/>
      </c>
      <c r="Q244" s="20" t="n"/>
      <c r="R244" s="19">
        <f>IF(Deployments!BT232="","",Deployments!BT232)</f>
        <v/>
      </c>
      <c r="S244" s="19">
        <f>IF(Deployments!BS232="","",Deployments!BS232)</f>
        <v/>
      </c>
      <c r="T244" s="19">
        <f>IF(Deployments!BB232="","",Deployments!BB232)</f>
        <v/>
      </c>
      <c r="U244" s="19">
        <f>IF(Deployments!BR232="","",Deployments!BR232)</f>
        <v/>
      </c>
      <c r="V244" s="19">
        <f>IF(Deployments!BX232="","",Deployments!BX232)</f>
        <v/>
      </c>
      <c r="W244" s="19">
        <f>IF(Deployments!BY232="","",Deployments!BY232)</f>
        <v/>
      </c>
      <c r="X244" s="19">
        <f>IF(Deployments!CC232="","",Deployments!CC232)</f>
        <v/>
      </c>
      <c r="Y244" s="19">
        <f>IF(Deployments!BW232="","",Deployments!BW232)</f>
        <v/>
      </c>
      <c r="Z244" s="19">
        <f>IF(Deployments!U232="","",Deployments!U232)</f>
        <v/>
      </c>
      <c r="AA244" s="19">
        <f>IF(Deployments!L232="","",Deployments!L232)</f>
        <v/>
      </c>
    </row>
    <row r="245" ht="27.75" customHeight="1" s="91">
      <c r="A245" s="20" t="n"/>
      <c r="B245" s="20" t="n"/>
      <c r="C245" s="19">
        <f>IF(Deployments!H233="","",Deployments!H233)</f>
        <v/>
      </c>
      <c r="D245" s="19">
        <f>IF(Deployments!AM233="","",Deployments!AM233)</f>
        <v/>
      </c>
      <c r="E245" s="19">
        <f>IF(Deployments!I233="","",Deployments!I233)</f>
        <v/>
      </c>
      <c r="F245" s="19">
        <f>IF(Deployments!J233="","",Deployments!J233)</f>
        <v/>
      </c>
      <c r="G245" s="19">
        <f>IF(Deployments!K233="","",Deployments!K233)</f>
        <v/>
      </c>
      <c r="H245" s="19">
        <f>IF(Deployments!A233="","",Deployments!A233)</f>
        <v/>
      </c>
      <c r="I245" s="19">
        <f>IF(Deployments!AN233="","",Deployments!AN233)</f>
        <v/>
      </c>
      <c r="J245" s="19">
        <f>IF(Deployments!AO233="","",Deployments!AO233)</f>
        <v/>
      </c>
      <c r="K245" s="19">
        <f>IF(Deployments!AI233="","",Deployments!AI233)</f>
        <v/>
      </c>
      <c r="L245" s="19">
        <f>IF(Deployments!M233="","",Deployments!M233)</f>
        <v/>
      </c>
      <c r="M245" s="20" t="n"/>
      <c r="N245" s="19">
        <f>IF(Deployments!N233="","",Deployments!N233)</f>
        <v/>
      </c>
      <c r="O245" s="19">
        <f>IF(Deployments!O233="","",Deployments!O233)</f>
        <v/>
      </c>
      <c r="P245" s="19">
        <f>IF(Deployments!P233="","",Deployments!P233)</f>
        <v/>
      </c>
      <c r="Q245" s="20" t="n"/>
      <c r="R245" s="19">
        <f>IF(Deployments!BT233="","",Deployments!BT233)</f>
        <v/>
      </c>
      <c r="S245" s="19">
        <f>IF(Deployments!BS233="","",Deployments!BS233)</f>
        <v/>
      </c>
      <c r="T245" s="19">
        <f>IF(Deployments!BB233="","",Deployments!BB233)</f>
        <v/>
      </c>
      <c r="U245" s="19">
        <f>IF(Deployments!BR233="","",Deployments!BR233)</f>
        <v/>
      </c>
      <c r="V245" s="19">
        <f>IF(Deployments!BX233="","",Deployments!BX233)</f>
        <v/>
      </c>
      <c r="W245" s="19">
        <f>IF(Deployments!BY233="","",Deployments!BY233)</f>
        <v/>
      </c>
      <c r="X245" s="19">
        <f>IF(Deployments!CC233="","",Deployments!CC233)</f>
        <v/>
      </c>
      <c r="Y245" s="19">
        <f>IF(Deployments!BW233="","",Deployments!BW233)</f>
        <v/>
      </c>
      <c r="Z245" s="19">
        <f>IF(Deployments!U233="","",Deployments!U233)</f>
        <v/>
      </c>
      <c r="AA245" s="19">
        <f>IF(Deployments!L233="","",Deployments!L233)</f>
        <v/>
      </c>
    </row>
    <row r="246" ht="27.75" customHeight="1" s="91">
      <c r="A246" s="20" t="n"/>
      <c r="B246" s="20" t="n"/>
      <c r="C246" s="19">
        <f>IF(Deployments!H234="","",Deployments!H234)</f>
        <v/>
      </c>
      <c r="D246" s="19">
        <f>IF(Deployments!AM234="","",Deployments!AM234)</f>
        <v/>
      </c>
      <c r="E246" s="19">
        <f>IF(Deployments!I234="","",Deployments!I234)</f>
        <v/>
      </c>
      <c r="F246" s="19">
        <f>IF(Deployments!J234="","",Deployments!J234)</f>
        <v/>
      </c>
      <c r="G246" s="19">
        <f>IF(Deployments!K234="","",Deployments!K234)</f>
        <v/>
      </c>
      <c r="H246" s="19">
        <f>IF(Deployments!A234="","",Deployments!A234)</f>
        <v/>
      </c>
      <c r="I246" s="19">
        <f>IF(Deployments!AN234="","",Deployments!AN234)</f>
        <v/>
      </c>
      <c r="J246" s="19">
        <f>IF(Deployments!AO234="","",Deployments!AO234)</f>
        <v/>
      </c>
      <c r="K246" s="19">
        <f>IF(Deployments!AI234="","",Deployments!AI234)</f>
        <v/>
      </c>
      <c r="L246" s="19">
        <f>IF(Deployments!M234="","",Deployments!M234)</f>
        <v/>
      </c>
      <c r="M246" s="20" t="n"/>
      <c r="N246" s="19">
        <f>IF(Deployments!N234="","",Deployments!N234)</f>
        <v/>
      </c>
      <c r="O246" s="19">
        <f>IF(Deployments!O234="","",Deployments!O234)</f>
        <v/>
      </c>
      <c r="P246" s="19">
        <f>IF(Deployments!P234="","",Deployments!P234)</f>
        <v/>
      </c>
      <c r="Q246" s="20" t="n"/>
      <c r="R246" s="19">
        <f>IF(Deployments!BT234="","",Deployments!BT234)</f>
        <v/>
      </c>
      <c r="S246" s="19">
        <f>IF(Deployments!BS234="","",Deployments!BS234)</f>
        <v/>
      </c>
      <c r="T246" s="19">
        <f>IF(Deployments!BB234="","",Deployments!BB234)</f>
        <v/>
      </c>
      <c r="U246" s="19">
        <f>IF(Deployments!BR234="","",Deployments!BR234)</f>
        <v/>
      </c>
      <c r="V246" s="19">
        <f>IF(Deployments!BX234="","",Deployments!BX234)</f>
        <v/>
      </c>
      <c r="W246" s="19">
        <f>IF(Deployments!BY234="","",Deployments!BY234)</f>
        <v/>
      </c>
      <c r="X246" s="19">
        <f>IF(Deployments!CC234="","",Deployments!CC234)</f>
        <v/>
      </c>
      <c r="Y246" s="19">
        <f>IF(Deployments!BW234="","",Deployments!BW234)</f>
        <v/>
      </c>
      <c r="Z246" s="19">
        <f>IF(Deployments!U234="","",Deployments!U234)</f>
        <v/>
      </c>
      <c r="AA246" s="19">
        <f>IF(Deployments!L234="","",Deployments!L234)</f>
        <v/>
      </c>
    </row>
    <row r="247" ht="27.75" customHeight="1" s="91">
      <c r="A247" s="20" t="n"/>
      <c r="B247" s="20" t="n"/>
      <c r="C247" s="19">
        <f>IF(Deployments!H235="","",Deployments!H235)</f>
        <v/>
      </c>
      <c r="D247" s="19">
        <f>IF(Deployments!AM235="","",Deployments!AM235)</f>
        <v/>
      </c>
      <c r="E247" s="19">
        <f>IF(Deployments!I235="","",Deployments!I235)</f>
        <v/>
      </c>
      <c r="F247" s="19">
        <f>IF(Deployments!J235="","",Deployments!J235)</f>
        <v/>
      </c>
      <c r="G247" s="19">
        <f>IF(Deployments!K235="","",Deployments!K235)</f>
        <v/>
      </c>
      <c r="H247" s="19">
        <f>IF(Deployments!A235="","",Deployments!A235)</f>
        <v/>
      </c>
      <c r="I247" s="19">
        <f>IF(Deployments!AN235="","",Deployments!AN235)</f>
        <v/>
      </c>
      <c r="J247" s="19">
        <f>IF(Deployments!AO235="","",Deployments!AO235)</f>
        <v/>
      </c>
      <c r="K247" s="19">
        <f>IF(Deployments!AI235="","",Deployments!AI235)</f>
        <v/>
      </c>
      <c r="L247" s="19">
        <f>IF(Deployments!M235="","",Deployments!M235)</f>
        <v/>
      </c>
      <c r="M247" s="20" t="n"/>
      <c r="N247" s="19">
        <f>IF(Deployments!N235="","",Deployments!N235)</f>
        <v/>
      </c>
      <c r="O247" s="19">
        <f>IF(Deployments!O235="","",Deployments!O235)</f>
        <v/>
      </c>
      <c r="P247" s="19">
        <f>IF(Deployments!P235="","",Deployments!P235)</f>
        <v/>
      </c>
      <c r="Q247" s="20" t="n"/>
      <c r="R247" s="19">
        <f>IF(Deployments!BT235="","",Deployments!BT235)</f>
        <v/>
      </c>
      <c r="S247" s="19">
        <f>IF(Deployments!BS235="","",Deployments!BS235)</f>
        <v/>
      </c>
      <c r="T247" s="19">
        <f>IF(Deployments!BB235="","",Deployments!BB235)</f>
        <v/>
      </c>
      <c r="U247" s="19">
        <f>IF(Deployments!BR235="","",Deployments!BR235)</f>
        <v/>
      </c>
      <c r="V247" s="19">
        <f>IF(Deployments!BX235="","",Deployments!BX235)</f>
        <v/>
      </c>
      <c r="W247" s="19">
        <f>IF(Deployments!BY235="","",Deployments!BY235)</f>
        <v/>
      </c>
      <c r="X247" s="19">
        <f>IF(Deployments!CC235="","",Deployments!CC235)</f>
        <v/>
      </c>
      <c r="Y247" s="19">
        <f>IF(Deployments!BW235="","",Deployments!BW235)</f>
        <v/>
      </c>
      <c r="Z247" s="19">
        <f>IF(Deployments!U235="","",Deployments!U235)</f>
        <v/>
      </c>
      <c r="AA247" s="19">
        <f>IF(Deployments!L235="","",Deployments!L235)</f>
        <v/>
      </c>
    </row>
    <row r="248" ht="27.75" customHeight="1" s="91">
      <c r="A248" s="20" t="n"/>
      <c r="B248" s="20" t="n"/>
      <c r="C248" s="19">
        <f>IF(Deployments!H236="","",Deployments!H236)</f>
        <v/>
      </c>
      <c r="D248" s="19">
        <f>IF(Deployments!AM236="","",Deployments!AM236)</f>
        <v/>
      </c>
      <c r="E248" s="19">
        <f>IF(Deployments!I236="","",Deployments!I236)</f>
        <v/>
      </c>
      <c r="F248" s="19">
        <f>IF(Deployments!J236="","",Deployments!J236)</f>
        <v/>
      </c>
      <c r="G248" s="19">
        <f>IF(Deployments!K236="","",Deployments!K236)</f>
        <v/>
      </c>
      <c r="H248" s="19">
        <f>IF(Deployments!A236="","",Deployments!A236)</f>
        <v/>
      </c>
      <c r="I248" s="19">
        <f>IF(Deployments!AN236="","",Deployments!AN236)</f>
        <v/>
      </c>
      <c r="J248" s="19">
        <f>IF(Deployments!AO236="","",Deployments!AO236)</f>
        <v/>
      </c>
      <c r="K248" s="19">
        <f>IF(Deployments!AI236="","",Deployments!AI236)</f>
        <v/>
      </c>
      <c r="L248" s="19">
        <f>IF(Deployments!M236="","",Deployments!M236)</f>
        <v/>
      </c>
      <c r="M248" s="20" t="n"/>
      <c r="N248" s="19">
        <f>IF(Deployments!N236="","",Deployments!N236)</f>
        <v/>
      </c>
      <c r="O248" s="19">
        <f>IF(Deployments!O236="","",Deployments!O236)</f>
        <v/>
      </c>
      <c r="P248" s="19">
        <f>IF(Deployments!P236="","",Deployments!P236)</f>
        <v/>
      </c>
      <c r="Q248" s="20" t="n"/>
      <c r="R248" s="19">
        <f>IF(Deployments!BT236="","",Deployments!BT236)</f>
        <v/>
      </c>
      <c r="S248" s="19">
        <f>IF(Deployments!BS236="","",Deployments!BS236)</f>
        <v/>
      </c>
      <c r="T248" s="19">
        <f>IF(Deployments!BB236="","",Deployments!BB236)</f>
        <v/>
      </c>
      <c r="U248" s="19">
        <f>IF(Deployments!BR236="","",Deployments!BR236)</f>
        <v/>
      </c>
      <c r="V248" s="19">
        <f>IF(Deployments!BX236="","",Deployments!BX236)</f>
        <v/>
      </c>
      <c r="W248" s="19">
        <f>IF(Deployments!BY236="","",Deployments!BY236)</f>
        <v/>
      </c>
      <c r="X248" s="19">
        <f>IF(Deployments!CC236="","",Deployments!CC236)</f>
        <v/>
      </c>
      <c r="Y248" s="19">
        <f>IF(Deployments!BW236="","",Deployments!BW236)</f>
        <v/>
      </c>
      <c r="Z248" s="19">
        <f>IF(Deployments!U236="","",Deployments!U236)</f>
        <v/>
      </c>
      <c r="AA248" s="19">
        <f>IF(Deployments!L236="","",Deployments!L236)</f>
        <v/>
      </c>
    </row>
    <row r="249" ht="27.75" customHeight="1" s="91">
      <c r="A249" s="20" t="n"/>
      <c r="B249" s="20" t="n"/>
      <c r="C249" s="19">
        <f>IF(Deployments!H237="","",Deployments!H237)</f>
        <v/>
      </c>
      <c r="D249" s="19">
        <f>IF(Deployments!AM237="","",Deployments!AM237)</f>
        <v/>
      </c>
      <c r="E249" s="19">
        <f>IF(Deployments!I237="","",Deployments!I237)</f>
        <v/>
      </c>
      <c r="F249" s="19">
        <f>IF(Deployments!J237="","",Deployments!J237)</f>
        <v/>
      </c>
      <c r="G249" s="19">
        <f>IF(Deployments!K237="","",Deployments!K237)</f>
        <v/>
      </c>
      <c r="H249" s="19">
        <f>IF(Deployments!A237="","",Deployments!A237)</f>
        <v/>
      </c>
      <c r="I249" s="19">
        <f>IF(Deployments!AN237="","",Deployments!AN237)</f>
        <v/>
      </c>
      <c r="J249" s="19">
        <f>IF(Deployments!AO237="","",Deployments!AO237)</f>
        <v/>
      </c>
      <c r="K249" s="19">
        <f>IF(Deployments!AI237="","",Deployments!AI237)</f>
        <v/>
      </c>
      <c r="L249" s="19">
        <f>IF(Deployments!M237="","",Deployments!M237)</f>
        <v/>
      </c>
      <c r="M249" s="20" t="n"/>
      <c r="N249" s="19">
        <f>IF(Deployments!N237="","",Deployments!N237)</f>
        <v/>
      </c>
      <c r="O249" s="19">
        <f>IF(Deployments!O237="","",Deployments!O237)</f>
        <v/>
      </c>
      <c r="P249" s="19">
        <f>IF(Deployments!P237="","",Deployments!P237)</f>
        <v/>
      </c>
      <c r="Q249" s="20" t="n"/>
      <c r="R249" s="19">
        <f>IF(Deployments!BT237="","",Deployments!BT237)</f>
        <v/>
      </c>
      <c r="S249" s="19">
        <f>IF(Deployments!BS237="","",Deployments!BS237)</f>
        <v/>
      </c>
      <c r="T249" s="19">
        <f>IF(Deployments!BB237="","",Deployments!BB237)</f>
        <v/>
      </c>
      <c r="U249" s="19">
        <f>IF(Deployments!BR237="","",Deployments!BR237)</f>
        <v/>
      </c>
      <c r="V249" s="19">
        <f>IF(Deployments!BX237="","",Deployments!BX237)</f>
        <v/>
      </c>
      <c r="W249" s="19">
        <f>IF(Deployments!BY237="","",Deployments!BY237)</f>
        <v/>
      </c>
      <c r="X249" s="19">
        <f>IF(Deployments!CC237="","",Deployments!CC237)</f>
        <v/>
      </c>
      <c r="Y249" s="19">
        <f>IF(Deployments!BW237="","",Deployments!BW237)</f>
        <v/>
      </c>
      <c r="Z249" s="19">
        <f>IF(Deployments!U237="","",Deployments!U237)</f>
        <v/>
      </c>
      <c r="AA249" s="19">
        <f>IF(Deployments!L237="","",Deployments!L237)</f>
        <v/>
      </c>
    </row>
    <row r="250" ht="27.75" customHeight="1" s="91">
      <c r="A250" s="20" t="n"/>
      <c r="B250" s="20" t="n"/>
      <c r="C250" s="19">
        <f>IF(Deployments!H238="","",Deployments!H238)</f>
        <v/>
      </c>
      <c r="D250" s="19">
        <f>IF(Deployments!AM238="","",Deployments!AM238)</f>
        <v/>
      </c>
      <c r="E250" s="19">
        <f>IF(Deployments!I238="","",Deployments!I238)</f>
        <v/>
      </c>
      <c r="F250" s="19">
        <f>IF(Deployments!J238="","",Deployments!J238)</f>
        <v/>
      </c>
      <c r="G250" s="19">
        <f>IF(Deployments!K238="","",Deployments!K238)</f>
        <v/>
      </c>
      <c r="H250" s="19">
        <f>IF(Deployments!A238="","",Deployments!A238)</f>
        <v/>
      </c>
      <c r="I250" s="19">
        <f>IF(Deployments!AN238="","",Deployments!AN238)</f>
        <v/>
      </c>
      <c r="J250" s="19">
        <f>IF(Deployments!AO238="","",Deployments!AO238)</f>
        <v/>
      </c>
      <c r="K250" s="19">
        <f>IF(Deployments!AI238="","",Deployments!AI238)</f>
        <v/>
      </c>
      <c r="L250" s="19">
        <f>IF(Deployments!M238="","",Deployments!M238)</f>
        <v/>
      </c>
      <c r="M250" s="20" t="n"/>
      <c r="N250" s="19">
        <f>IF(Deployments!N238="","",Deployments!N238)</f>
        <v/>
      </c>
      <c r="O250" s="19">
        <f>IF(Deployments!O238="","",Deployments!O238)</f>
        <v/>
      </c>
      <c r="P250" s="19">
        <f>IF(Deployments!P238="","",Deployments!P238)</f>
        <v/>
      </c>
      <c r="Q250" s="20" t="n"/>
      <c r="R250" s="19">
        <f>IF(Deployments!BT238="","",Deployments!BT238)</f>
        <v/>
      </c>
      <c r="S250" s="19">
        <f>IF(Deployments!BS238="","",Deployments!BS238)</f>
        <v/>
      </c>
      <c r="T250" s="19">
        <f>IF(Deployments!BB238="","",Deployments!BB238)</f>
        <v/>
      </c>
      <c r="U250" s="19">
        <f>IF(Deployments!BR238="","",Deployments!BR238)</f>
        <v/>
      </c>
      <c r="V250" s="19">
        <f>IF(Deployments!BX238="","",Deployments!BX238)</f>
        <v/>
      </c>
      <c r="W250" s="19">
        <f>IF(Deployments!BY238="","",Deployments!BY238)</f>
        <v/>
      </c>
      <c r="X250" s="19">
        <f>IF(Deployments!CC238="","",Deployments!CC238)</f>
        <v/>
      </c>
      <c r="Y250" s="19">
        <f>IF(Deployments!BW238="","",Deployments!BW238)</f>
        <v/>
      </c>
      <c r="Z250" s="19">
        <f>IF(Deployments!U238="","",Deployments!U238)</f>
        <v/>
      </c>
      <c r="AA250" s="19">
        <f>IF(Deployments!L238="","",Deployments!L238)</f>
        <v/>
      </c>
    </row>
    <row r="251" ht="27.75" customHeight="1" s="91">
      <c r="A251" s="20" t="n"/>
      <c r="B251" s="20" t="n"/>
      <c r="C251" s="19">
        <f>IF(Deployments!H239="","",Deployments!H239)</f>
        <v/>
      </c>
      <c r="D251" s="19">
        <f>IF(Deployments!AM239="","",Deployments!AM239)</f>
        <v/>
      </c>
      <c r="E251" s="19">
        <f>IF(Deployments!I239="","",Deployments!I239)</f>
        <v/>
      </c>
      <c r="F251" s="19">
        <f>IF(Deployments!J239="","",Deployments!J239)</f>
        <v/>
      </c>
      <c r="G251" s="19">
        <f>IF(Deployments!K239="","",Deployments!K239)</f>
        <v/>
      </c>
      <c r="H251" s="19">
        <f>IF(Deployments!A239="","",Deployments!A239)</f>
        <v/>
      </c>
      <c r="I251" s="19">
        <f>IF(Deployments!AN239="","",Deployments!AN239)</f>
        <v/>
      </c>
      <c r="J251" s="19">
        <f>IF(Deployments!AO239="","",Deployments!AO239)</f>
        <v/>
      </c>
      <c r="K251" s="19">
        <f>IF(Deployments!AI239="","",Deployments!AI239)</f>
        <v/>
      </c>
      <c r="L251" s="19">
        <f>IF(Deployments!M239="","",Deployments!M239)</f>
        <v/>
      </c>
      <c r="M251" s="20" t="n"/>
      <c r="N251" s="19">
        <f>IF(Deployments!N239="","",Deployments!N239)</f>
        <v/>
      </c>
      <c r="O251" s="19">
        <f>IF(Deployments!O239="","",Deployments!O239)</f>
        <v/>
      </c>
      <c r="P251" s="19">
        <f>IF(Deployments!P239="","",Deployments!P239)</f>
        <v/>
      </c>
      <c r="Q251" s="20" t="n"/>
      <c r="R251" s="19">
        <f>IF(Deployments!BT239="","",Deployments!BT239)</f>
        <v/>
      </c>
      <c r="S251" s="19">
        <f>IF(Deployments!BS239="","",Deployments!BS239)</f>
        <v/>
      </c>
      <c r="T251" s="19">
        <f>IF(Deployments!BB239="","",Deployments!BB239)</f>
        <v/>
      </c>
      <c r="U251" s="19">
        <f>IF(Deployments!BR239="","",Deployments!BR239)</f>
        <v/>
      </c>
      <c r="V251" s="19">
        <f>IF(Deployments!BX239="","",Deployments!BX239)</f>
        <v/>
      </c>
      <c r="W251" s="19">
        <f>IF(Deployments!BY239="","",Deployments!BY239)</f>
        <v/>
      </c>
      <c r="X251" s="19">
        <f>IF(Deployments!CC239="","",Deployments!CC239)</f>
        <v/>
      </c>
      <c r="Y251" s="19">
        <f>IF(Deployments!BW239="","",Deployments!BW239)</f>
        <v/>
      </c>
      <c r="Z251" s="19">
        <f>IF(Deployments!U239="","",Deployments!U239)</f>
        <v/>
      </c>
      <c r="AA251" s="19">
        <f>IF(Deployments!L239="","",Deployments!L239)</f>
        <v/>
      </c>
    </row>
    <row r="252" ht="27.75" customHeight="1" s="91">
      <c r="A252" s="20" t="n"/>
      <c r="B252" s="20" t="n"/>
      <c r="C252" s="19">
        <f>IF(Deployments!H240="","",Deployments!H240)</f>
        <v/>
      </c>
      <c r="D252" s="19">
        <f>IF(Deployments!AM240="","",Deployments!AM240)</f>
        <v/>
      </c>
      <c r="E252" s="19">
        <f>IF(Deployments!I240="","",Deployments!I240)</f>
        <v/>
      </c>
      <c r="F252" s="19">
        <f>IF(Deployments!J240="","",Deployments!J240)</f>
        <v/>
      </c>
      <c r="G252" s="19">
        <f>IF(Deployments!K240="","",Deployments!K240)</f>
        <v/>
      </c>
      <c r="H252" s="19">
        <f>IF(Deployments!A240="","",Deployments!A240)</f>
        <v/>
      </c>
      <c r="I252" s="19">
        <f>IF(Deployments!AN240="","",Deployments!AN240)</f>
        <v/>
      </c>
      <c r="J252" s="19">
        <f>IF(Deployments!AO240="","",Deployments!AO240)</f>
        <v/>
      </c>
      <c r="K252" s="19">
        <f>IF(Deployments!AI240="","",Deployments!AI240)</f>
        <v/>
      </c>
      <c r="L252" s="19">
        <f>IF(Deployments!M240="","",Deployments!M240)</f>
        <v/>
      </c>
      <c r="M252" s="20" t="n"/>
      <c r="N252" s="19">
        <f>IF(Deployments!N240="","",Deployments!N240)</f>
        <v/>
      </c>
      <c r="O252" s="19">
        <f>IF(Deployments!O240="","",Deployments!O240)</f>
        <v/>
      </c>
      <c r="P252" s="19">
        <f>IF(Deployments!P240="","",Deployments!P240)</f>
        <v/>
      </c>
      <c r="Q252" s="20" t="n"/>
      <c r="R252" s="19">
        <f>IF(Deployments!BT240="","",Deployments!BT240)</f>
        <v/>
      </c>
      <c r="S252" s="19">
        <f>IF(Deployments!BS240="","",Deployments!BS240)</f>
        <v/>
      </c>
      <c r="T252" s="19">
        <f>IF(Deployments!BB240="","",Deployments!BB240)</f>
        <v/>
      </c>
      <c r="U252" s="19">
        <f>IF(Deployments!BR240="","",Deployments!BR240)</f>
        <v/>
      </c>
      <c r="V252" s="19">
        <f>IF(Deployments!BX240="","",Deployments!BX240)</f>
        <v/>
      </c>
      <c r="W252" s="19">
        <f>IF(Deployments!BY240="","",Deployments!BY240)</f>
        <v/>
      </c>
      <c r="X252" s="19">
        <f>IF(Deployments!CC240="","",Deployments!CC240)</f>
        <v/>
      </c>
      <c r="Y252" s="19">
        <f>IF(Deployments!BW240="","",Deployments!BW240)</f>
        <v/>
      </c>
      <c r="Z252" s="19">
        <f>IF(Deployments!U240="","",Deployments!U240)</f>
        <v/>
      </c>
      <c r="AA252" s="19">
        <f>IF(Deployments!L240="","",Deployments!L240)</f>
        <v/>
      </c>
    </row>
    <row r="253" ht="27.75" customHeight="1" s="91">
      <c r="A253" s="20" t="n"/>
      <c r="B253" s="20" t="n"/>
      <c r="C253" s="19">
        <f>IF(Deployments!H241="","",Deployments!H241)</f>
        <v/>
      </c>
      <c r="D253" s="19">
        <f>IF(Deployments!AM241="","",Deployments!AM241)</f>
        <v/>
      </c>
      <c r="E253" s="19">
        <f>IF(Deployments!I241="","",Deployments!I241)</f>
        <v/>
      </c>
      <c r="F253" s="19">
        <f>IF(Deployments!J241="","",Deployments!J241)</f>
        <v/>
      </c>
      <c r="G253" s="19">
        <f>IF(Deployments!K241="","",Deployments!K241)</f>
        <v/>
      </c>
      <c r="H253" s="19">
        <f>IF(Deployments!A241="","",Deployments!A241)</f>
        <v/>
      </c>
      <c r="I253" s="19">
        <f>IF(Deployments!AN241="","",Deployments!AN241)</f>
        <v/>
      </c>
      <c r="J253" s="19">
        <f>IF(Deployments!AO241="","",Deployments!AO241)</f>
        <v/>
      </c>
      <c r="K253" s="19">
        <f>IF(Deployments!AI241="","",Deployments!AI241)</f>
        <v/>
      </c>
      <c r="L253" s="19">
        <f>IF(Deployments!M241="","",Deployments!M241)</f>
        <v/>
      </c>
      <c r="M253" s="20" t="n"/>
      <c r="N253" s="19">
        <f>IF(Deployments!N241="","",Deployments!N241)</f>
        <v/>
      </c>
      <c r="O253" s="19">
        <f>IF(Deployments!O241="","",Deployments!O241)</f>
        <v/>
      </c>
      <c r="P253" s="19">
        <f>IF(Deployments!P241="","",Deployments!P241)</f>
        <v/>
      </c>
      <c r="Q253" s="20" t="n"/>
      <c r="R253" s="19">
        <f>IF(Deployments!BT241="","",Deployments!BT241)</f>
        <v/>
      </c>
      <c r="S253" s="19">
        <f>IF(Deployments!BS241="","",Deployments!BS241)</f>
        <v/>
      </c>
      <c r="T253" s="19">
        <f>IF(Deployments!BB241="","",Deployments!BB241)</f>
        <v/>
      </c>
      <c r="U253" s="19">
        <f>IF(Deployments!BR241="","",Deployments!BR241)</f>
        <v/>
      </c>
      <c r="V253" s="19">
        <f>IF(Deployments!BX241="","",Deployments!BX241)</f>
        <v/>
      </c>
      <c r="W253" s="19">
        <f>IF(Deployments!BY241="","",Deployments!BY241)</f>
        <v/>
      </c>
      <c r="X253" s="19">
        <f>IF(Deployments!CC241="","",Deployments!CC241)</f>
        <v/>
      </c>
      <c r="Y253" s="19">
        <f>IF(Deployments!BW241="","",Deployments!BW241)</f>
        <v/>
      </c>
      <c r="Z253" s="19">
        <f>IF(Deployments!U241="","",Deployments!U241)</f>
        <v/>
      </c>
      <c r="AA253" s="19">
        <f>IF(Deployments!L241="","",Deployments!L241)</f>
        <v/>
      </c>
    </row>
    <row r="254" ht="27.75" customHeight="1" s="91">
      <c r="A254" s="20" t="n"/>
      <c r="B254" s="20" t="n"/>
      <c r="C254" s="19">
        <f>IF(Deployments!H242="","",Deployments!H242)</f>
        <v/>
      </c>
      <c r="D254" s="19">
        <f>IF(Deployments!AM242="","",Deployments!AM242)</f>
        <v/>
      </c>
      <c r="E254" s="19">
        <f>IF(Deployments!I242="","",Deployments!I242)</f>
        <v/>
      </c>
      <c r="F254" s="19">
        <f>IF(Deployments!J242="","",Deployments!J242)</f>
        <v/>
      </c>
      <c r="G254" s="19">
        <f>IF(Deployments!K242="","",Deployments!K242)</f>
        <v/>
      </c>
      <c r="H254" s="19">
        <f>IF(Deployments!A242="","",Deployments!A242)</f>
        <v/>
      </c>
      <c r="I254" s="19">
        <f>IF(Deployments!AN242="","",Deployments!AN242)</f>
        <v/>
      </c>
      <c r="J254" s="19">
        <f>IF(Deployments!AO242="","",Deployments!AO242)</f>
        <v/>
      </c>
      <c r="K254" s="19">
        <f>IF(Deployments!AI242="","",Deployments!AI242)</f>
        <v/>
      </c>
      <c r="L254" s="19">
        <f>IF(Deployments!M242="","",Deployments!M242)</f>
        <v/>
      </c>
      <c r="M254" s="20" t="n"/>
      <c r="N254" s="19">
        <f>IF(Deployments!N242="","",Deployments!N242)</f>
        <v/>
      </c>
      <c r="O254" s="19">
        <f>IF(Deployments!O242="","",Deployments!O242)</f>
        <v/>
      </c>
      <c r="P254" s="19">
        <f>IF(Deployments!P242="","",Deployments!P242)</f>
        <v/>
      </c>
      <c r="Q254" s="20" t="n"/>
      <c r="R254" s="19">
        <f>IF(Deployments!BT242="","",Deployments!BT242)</f>
        <v/>
      </c>
      <c r="S254" s="19">
        <f>IF(Deployments!BS242="","",Deployments!BS242)</f>
        <v/>
      </c>
      <c r="T254" s="19">
        <f>IF(Deployments!BB242="","",Deployments!BB242)</f>
        <v/>
      </c>
      <c r="U254" s="19">
        <f>IF(Deployments!BR242="","",Deployments!BR242)</f>
        <v/>
      </c>
      <c r="V254" s="19">
        <f>IF(Deployments!BX242="","",Deployments!BX242)</f>
        <v/>
      </c>
      <c r="W254" s="19">
        <f>IF(Deployments!BY242="","",Deployments!BY242)</f>
        <v/>
      </c>
      <c r="X254" s="19">
        <f>IF(Deployments!CC242="","",Deployments!CC242)</f>
        <v/>
      </c>
      <c r="Y254" s="19">
        <f>IF(Deployments!BW242="","",Deployments!BW242)</f>
        <v/>
      </c>
      <c r="Z254" s="19">
        <f>IF(Deployments!U242="","",Deployments!U242)</f>
        <v/>
      </c>
      <c r="AA254" s="19">
        <f>IF(Deployments!L242="","",Deployments!L242)</f>
        <v/>
      </c>
    </row>
    <row r="255" ht="27.75" customHeight="1" s="91">
      <c r="A255" s="20" t="n"/>
      <c r="B255" s="20" t="n"/>
      <c r="C255" s="19">
        <f>IF(Deployments!H243="","",Deployments!H243)</f>
        <v/>
      </c>
      <c r="D255" s="19">
        <f>IF(Deployments!AM243="","",Deployments!AM243)</f>
        <v/>
      </c>
      <c r="E255" s="19">
        <f>IF(Deployments!I243="","",Deployments!I243)</f>
        <v/>
      </c>
      <c r="F255" s="19">
        <f>IF(Deployments!J243="","",Deployments!J243)</f>
        <v/>
      </c>
      <c r="G255" s="19">
        <f>IF(Deployments!K243="","",Deployments!K243)</f>
        <v/>
      </c>
      <c r="H255" s="19">
        <f>IF(Deployments!A243="","",Deployments!A243)</f>
        <v/>
      </c>
      <c r="I255" s="19">
        <f>IF(Deployments!AN243="","",Deployments!AN243)</f>
        <v/>
      </c>
      <c r="J255" s="19">
        <f>IF(Deployments!AO243="","",Deployments!AO243)</f>
        <v/>
      </c>
      <c r="K255" s="19">
        <f>IF(Deployments!AI243="","",Deployments!AI243)</f>
        <v/>
      </c>
      <c r="L255" s="19">
        <f>IF(Deployments!M243="","",Deployments!M243)</f>
        <v/>
      </c>
      <c r="M255" s="20" t="n"/>
      <c r="N255" s="19">
        <f>IF(Deployments!N243="","",Deployments!N243)</f>
        <v/>
      </c>
      <c r="O255" s="19">
        <f>IF(Deployments!O243="","",Deployments!O243)</f>
        <v/>
      </c>
      <c r="P255" s="19">
        <f>IF(Deployments!P243="","",Deployments!P243)</f>
        <v/>
      </c>
      <c r="Q255" s="20" t="n"/>
      <c r="R255" s="19">
        <f>IF(Deployments!BT243="","",Deployments!BT243)</f>
        <v/>
      </c>
      <c r="S255" s="19">
        <f>IF(Deployments!BS243="","",Deployments!BS243)</f>
        <v/>
      </c>
      <c r="T255" s="19">
        <f>IF(Deployments!BB243="","",Deployments!BB243)</f>
        <v/>
      </c>
      <c r="U255" s="19">
        <f>IF(Deployments!BR243="","",Deployments!BR243)</f>
        <v/>
      </c>
      <c r="V255" s="19">
        <f>IF(Deployments!BX243="","",Deployments!BX243)</f>
        <v/>
      </c>
      <c r="W255" s="19">
        <f>IF(Deployments!BY243="","",Deployments!BY243)</f>
        <v/>
      </c>
      <c r="X255" s="19">
        <f>IF(Deployments!CC243="","",Deployments!CC243)</f>
        <v/>
      </c>
      <c r="Y255" s="19">
        <f>IF(Deployments!BW243="","",Deployments!BW243)</f>
        <v/>
      </c>
      <c r="Z255" s="19">
        <f>IF(Deployments!U243="","",Deployments!U243)</f>
        <v/>
      </c>
      <c r="AA255" s="19">
        <f>IF(Deployments!L243="","",Deployments!L243)</f>
        <v/>
      </c>
    </row>
    <row r="256" ht="27.75" customHeight="1" s="91">
      <c r="A256" s="20" t="n"/>
      <c r="B256" s="20" t="n"/>
      <c r="C256" s="19">
        <f>IF(Deployments!H244="","",Deployments!H244)</f>
        <v/>
      </c>
      <c r="D256" s="19">
        <f>IF(Deployments!AM244="","",Deployments!AM244)</f>
        <v/>
      </c>
      <c r="E256" s="19">
        <f>IF(Deployments!I244="","",Deployments!I244)</f>
        <v/>
      </c>
      <c r="F256" s="19">
        <f>IF(Deployments!J244="","",Deployments!J244)</f>
        <v/>
      </c>
      <c r="G256" s="19">
        <f>IF(Deployments!K244="","",Deployments!K244)</f>
        <v/>
      </c>
      <c r="H256" s="19">
        <f>IF(Deployments!A244="","",Deployments!A244)</f>
        <v/>
      </c>
      <c r="I256" s="19">
        <f>IF(Deployments!AN244="","",Deployments!AN244)</f>
        <v/>
      </c>
      <c r="J256" s="19">
        <f>IF(Deployments!AO244="","",Deployments!AO244)</f>
        <v/>
      </c>
      <c r="K256" s="19">
        <f>IF(Deployments!AI244="","",Deployments!AI244)</f>
        <v/>
      </c>
      <c r="L256" s="19">
        <f>IF(Deployments!M244="","",Deployments!M244)</f>
        <v/>
      </c>
      <c r="M256" s="20" t="n"/>
      <c r="N256" s="19">
        <f>IF(Deployments!N244="","",Deployments!N244)</f>
        <v/>
      </c>
      <c r="O256" s="19">
        <f>IF(Deployments!O244="","",Deployments!O244)</f>
        <v/>
      </c>
      <c r="P256" s="19">
        <f>IF(Deployments!P244="","",Deployments!P244)</f>
        <v/>
      </c>
      <c r="Q256" s="20" t="n"/>
      <c r="R256" s="19">
        <f>IF(Deployments!BT244="","",Deployments!BT244)</f>
        <v/>
      </c>
      <c r="S256" s="19">
        <f>IF(Deployments!BS244="","",Deployments!BS244)</f>
        <v/>
      </c>
      <c r="T256" s="19">
        <f>IF(Deployments!BB244="","",Deployments!BB244)</f>
        <v/>
      </c>
      <c r="U256" s="19">
        <f>IF(Deployments!BR244="","",Deployments!BR244)</f>
        <v/>
      </c>
      <c r="V256" s="19">
        <f>IF(Deployments!BX244="","",Deployments!BX244)</f>
        <v/>
      </c>
      <c r="W256" s="19">
        <f>IF(Deployments!BY244="","",Deployments!BY244)</f>
        <v/>
      </c>
      <c r="X256" s="19">
        <f>IF(Deployments!CC244="","",Deployments!CC244)</f>
        <v/>
      </c>
      <c r="Y256" s="19">
        <f>IF(Deployments!BW244="","",Deployments!BW244)</f>
        <v/>
      </c>
      <c r="Z256" s="19">
        <f>IF(Deployments!U244="","",Deployments!U244)</f>
        <v/>
      </c>
      <c r="AA256" s="19">
        <f>IF(Deployments!L244="","",Deployments!L244)</f>
        <v/>
      </c>
    </row>
    <row r="257" ht="27.75" customHeight="1" s="91">
      <c r="A257" s="20" t="n"/>
      <c r="B257" s="20" t="n"/>
      <c r="C257" s="19">
        <f>IF(Deployments!H245="","",Deployments!H245)</f>
        <v/>
      </c>
      <c r="D257" s="19">
        <f>IF(Deployments!AM245="","",Deployments!AM245)</f>
        <v/>
      </c>
      <c r="E257" s="19">
        <f>IF(Deployments!I245="","",Deployments!I245)</f>
        <v/>
      </c>
      <c r="F257" s="19">
        <f>IF(Deployments!J245="","",Deployments!J245)</f>
        <v/>
      </c>
      <c r="G257" s="19">
        <f>IF(Deployments!K245="","",Deployments!K245)</f>
        <v/>
      </c>
      <c r="H257" s="19">
        <f>IF(Deployments!A245="","",Deployments!A245)</f>
        <v/>
      </c>
      <c r="I257" s="19">
        <f>IF(Deployments!AN245="","",Deployments!AN245)</f>
        <v/>
      </c>
      <c r="J257" s="19">
        <f>IF(Deployments!AO245="","",Deployments!AO245)</f>
        <v/>
      </c>
      <c r="K257" s="19">
        <f>IF(Deployments!AI245="","",Deployments!AI245)</f>
        <v/>
      </c>
      <c r="L257" s="19">
        <f>IF(Deployments!M245="","",Deployments!M245)</f>
        <v/>
      </c>
      <c r="M257" s="20" t="n"/>
      <c r="N257" s="19">
        <f>IF(Deployments!N245="","",Deployments!N245)</f>
        <v/>
      </c>
      <c r="O257" s="19">
        <f>IF(Deployments!O245="","",Deployments!O245)</f>
        <v/>
      </c>
      <c r="P257" s="19">
        <f>IF(Deployments!P245="","",Deployments!P245)</f>
        <v/>
      </c>
      <c r="Q257" s="20" t="n"/>
      <c r="R257" s="19">
        <f>IF(Deployments!BT245="","",Deployments!BT245)</f>
        <v/>
      </c>
      <c r="S257" s="19">
        <f>IF(Deployments!BS245="","",Deployments!BS245)</f>
        <v/>
      </c>
      <c r="T257" s="19">
        <f>IF(Deployments!BB245="","",Deployments!BB245)</f>
        <v/>
      </c>
      <c r="U257" s="19">
        <f>IF(Deployments!BR245="","",Deployments!BR245)</f>
        <v/>
      </c>
      <c r="V257" s="19">
        <f>IF(Deployments!BX245="","",Deployments!BX245)</f>
        <v/>
      </c>
      <c r="W257" s="19">
        <f>IF(Deployments!BY245="","",Deployments!BY245)</f>
        <v/>
      </c>
      <c r="X257" s="19">
        <f>IF(Deployments!CC245="","",Deployments!CC245)</f>
        <v/>
      </c>
      <c r="Y257" s="19">
        <f>IF(Deployments!BW245="","",Deployments!BW245)</f>
        <v/>
      </c>
      <c r="Z257" s="19">
        <f>IF(Deployments!U245="","",Deployments!U245)</f>
        <v/>
      </c>
      <c r="AA257" s="19">
        <f>IF(Deployments!L245="","",Deployments!L245)</f>
        <v/>
      </c>
    </row>
    <row r="258" ht="27.75" customHeight="1" s="91">
      <c r="A258" s="20" t="n"/>
      <c r="B258" s="20" t="n"/>
      <c r="C258" s="19">
        <f>IF(Deployments!H246="","",Deployments!H246)</f>
        <v/>
      </c>
      <c r="D258" s="19">
        <f>IF(Deployments!AM246="","",Deployments!AM246)</f>
        <v/>
      </c>
      <c r="E258" s="19">
        <f>IF(Deployments!I246="","",Deployments!I246)</f>
        <v/>
      </c>
      <c r="F258" s="19">
        <f>IF(Deployments!J246="","",Deployments!J246)</f>
        <v/>
      </c>
      <c r="G258" s="19">
        <f>IF(Deployments!K246="","",Deployments!K246)</f>
        <v/>
      </c>
      <c r="H258" s="19">
        <f>IF(Deployments!A246="","",Deployments!A246)</f>
        <v/>
      </c>
      <c r="I258" s="19">
        <f>IF(Deployments!AN246="","",Deployments!AN246)</f>
        <v/>
      </c>
      <c r="J258" s="19">
        <f>IF(Deployments!AO246="","",Deployments!AO246)</f>
        <v/>
      </c>
      <c r="K258" s="19">
        <f>IF(Deployments!AI246="","",Deployments!AI246)</f>
        <v/>
      </c>
      <c r="L258" s="19">
        <f>IF(Deployments!M246="","",Deployments!M246)</f>
        <v/>
      </c>
      <c r="M258" s="20" t="n"/>
      <c r="N258" s="19">
        <f>IF(Deployments!N246="","",Deployments!N246)</f>
        <v/>
      </c>
      <c r="O258" s="19">
        <f>IF(Deployments!O246="","",Deployments!O246)</f>
        <v/>
      </c>
      <c r="P258" s="19">
        <f>IF(Deployments!P246="","",Deployments!P246)</f>
        <v/>
      </c>
      <c r="Q258" s="20" t="n"/>
      <c r="R258" s="19">
        <f>IF(Deployments!BT246="","",Deployments!BT246)</f>
        <v/>
      </c>
      <c r="S258" s="19">
        <f>IF(Deployments!BS246="","",Deployments!BS246)</f>
        <v/>
      </c>
      <c r="T258" s="19">
        <f>IF(Deployments!BB246="","",Deployments!BB246)</f>
        <v/>
      </c>
      <c r="U258" s="19">
        <f>IF(Deployments!BR246="","",Deployments!BR246)</f>
        <v/>
      </c>
      <c r="V258" s="19">
        <f>IF(Deployments!BX246="","",Deployments!BX246)</f>
        <v/>
      </c>
      <c r="W258" s="19">
        <f>IF(Deployments!BY246="","",Deployments!BY246)</f>
        <v/>
      </c>
      <c r="X258" s="19">
        <f>IF(Deployments!CC246="","",Deployments!CC246)</f>
        <v/>
      </c>
      <c r="Y258" s="19">
        <f>IF(Deployments!BW246="","",Deployments!BW246)</f>
        <v/>
      </c>
      <c r="Z258" s="19">
        <f>IF(Deployments!U246="","",Deployments!U246)</f>
        <v/>
      </c>
      <c r="AA258" s="19">
        <f>IF(Deployments!L246="","",Deployments!L246)</f>
        <v/>
      </c>
    </row>
    <row r="259" ht="27.75" customHeight="1" s="91">
      <c r="A259" s="20" t="n"/>
      <c r="B259" s="20" t="n"/>
      <c r="C259" s="19">
        <f>IF(Deployments!H247="","",Deployments!H247)</f>
        <v/>
      </c>
      <c r="D259" s="19">
        <f>IF(Deployments!AM247="","",Deployments!AM247)</f>
        <v/>
      </c>
      <c r="E259" s="19">
        <f>IF(Deployments!I247="","",Deployments!I247)</f>
        <v/>
      </c>
      <c r="F259" s="19">
        <f>IF(Deployments!J247="","",Deployments!J247)</f>
        <v/>
      </c>
      <c r="G259" s="19">
        <f>IF(Deployments!K247="","",Deployments!K247)</f>
        <v/>
      </c>
      <c r="H259" s="19">
        <f>IF(Deployments!A247="","",Deployments!A247)</f>
        <v/>
      </c>
      <c r="I259" s="19">
        <f>IF(Deployments!AN247="","",Deployments!AN247)</f>
        <v/>
      </c>
      <c r="J259" s="19">
        <f>IF(Deployments!AO247="","",Deployments!AO247)</f>
        <v/>
      </c>
      <c r="K259" s="19">
        <f>IF(Deployments!AI247="","",Deployments!AI247)</f>
        <v/>
      </c>
      <c r="L259" s="19">
        <f>IF(Deployments!M247="","",Deployments!M247)</f>
        <v/>
      </c>
      <c r="M259" s="20" t="n"/>
      <c r="N259" s="19">
        <f>IF(Deployments!N247="","",Deployments!N247)</f>
        <v/>
      </c>
      <c r="O259" s="19">
        <f>IF(Deployments!O247="","",Deployments!O247)</f>
        <v/>
      </c>
      <c r="P259" s="19">
        <f>IF(Deployments!P247="","",Deployments!P247)</f>
        <v/>
      </c>
      <c r="Q259" s="20" t="n"/>
      <c r="R259" s="19">
        <f>IF(Deployments!BT247="","",Deployments!BT247)</f>
        <v/>
      </c>
      <c r="S259" s="19">
        <f>IF(Deployments!BS247="","",Deployments!BS247)</f>
        <v/>
      </c>
      <c r="T259" s="19">
        <f>IF(Deployments!BB247="","",Deployments!BB247)</f>
        <v/>
      </c>
      <c r="U259" s="19">
        <f>IF(Deployments!BR247="","",Deployments!BR247)</f>
        <v/>
      </c>
      <c r="V259" s="19">
        <f>IF(Deployments!BX247="","",Deployments!BX247)</f>
        <v/>
      </c>
      <c r="W259" s="19">
        <f>IF(Deployments!BY247="","",Deployments!BY247)</f>
        <v/>
      </c>
      <c r="X259" s="19">
        <f>IF(Deployments!CC247="","",Deployments!CC247)</f>
        <v/>
      </c>
      <c r="Y259" s="19">
        <f>IF(Deployments!BW247="","",Deployments!BW247)</f>
        <v/>
      </c>
      <c r="Z259" s="19">
        <f>IF(Deployments!U247="","",Deployments!U247)</f>
        <v/>
      </c>
      <c r="AA259" s="19">
        <f>IF(Deployments!L247="","",Deployments!L247)</f>
        <v/>
      </c>
    </row>
    <row r="260" ht="27.75" customHeight="1" s="91">
      <c r="A260" s="20" t="n"/>
      <c r="B260" s="20" t="n"/>
      <c r="C260" s="19">
        <f>IF(Deployments!H248="","",Deployments!H248)</f>
        <v/>
      </c>
      <c r="D260" s="19">
        <f>IF(Deployments!AM248="","",Deployments!AM248)</f>
        <v/>
      </c>
      <c r="E260" s="19">
        <f>IF(Deployments!I248="","",Deployments!I248)</f>
        <v/>
      </c>
      <c r="F260" s="19">
        <f>IF(Deployments!J248="","",Deployments!J248)</f>
        <v/>
      </c>
      <c r="G260" s="19">
        <f>IF(Deployments!K248="","",Deployments!K248)</f>
        <v/>
      </c>
      <c r="H260" s="19">
        <f>IF(Deployments!A248="","",Deployments!A248)</f>
        <v/>
      </c>
      <c r="I260" s="19">
        <f>IF(Deployments!AN248="","",Deployments!AN248)</f>
        <v/>
      </c>
      <c r="J260" s="19">
        <f>IF(Deployments!AO248="","",Deployments!AO248)</f>
        <v/>
      </c>
      <c r="K260" s="19">
        <f>IF(Deployments!AI248="","",Deployments!AI248)</f>
        <v/>
      </c>
      <c r="L260" s="19">
        <f>IF(Deployments!M248="","",Deployments!M248)</f>
        <v/>
      </c>
      <c r="M260" s="20" t="n"/>
      <c r="N260" s="19">
        <f>IF(Deployments!N248="","",Deployments!N248)</f>
        <v/>
      </c>
      <c r="O260" s="19">
        <f>IF(Deployments!O248="","",Deployments!O248)</f>
        <v/>
      </c>
      <c r="P260" s="19">
        <f>IF(Deployments!P248="","",Deployments!P248)</f>
        <v/>
      </c>
      <c r="Q260" s="20" t="n"/>
      <c r="R260" s="19">
        <f>IF(Deployments!BT248="","",Deployments!BT248)</f>
        <v/>
      </c>
      <c r="S260" s="19">
        <f>IF(Deployments!BS248="","",Deployments!BS248)</f>
        <v/>
      </c>
      <c r="T260" s="19">
        <f>IF(Deployments!BB248="","",Deployments!BB248)</f>
        <v/>
      </c>
      <c r="U260" s="19">
        <f>IF(Deployments!BR248="","",Deployments!BR248)</f>
        <v/>
      </c>
      <c r="V260" s="19">
        <f>IF(Deployments!BX248="","",Deployments!BX248)</f>
        <v/>
      </c>
      <c r="W260" s="19">
        <f>IF(Deployments!BY248="","",Deployments!BY248)</f>
        <v/>
      </c>
      <c r="X260" s="19">
        <f>IF(Deployments!CC248="","",Deployments!CC248)</f>
        <v/>
      </c>
      <c r="Y260" s="19">
        <f>IF(Deployments!BW248="","",Deployments!BW248)</f>
        <v/>
      </c>
      <c r="Z260" s="19">
        <f>IF(Deployments!U248="","",Deployments!U248)</f>
        <v/>
      </c>
      <c r="AA260" s="19">
        <f>IF(Deployments!L248="","",Deployments!L248)</f>
        <v/>
      </c>
    </row>
    <row r="261" ht="27.75" customHeight="1" s="91">
      <c r="A261" s="20" t="n"/>
      <c r="B261" s="20" t="n"/>
      <c r="C261" s="19">
        <f>IF(Deployments!H249="","",Deployments!H249)</f>
        <v/>
      </c>
      <c r="D261" s="19">
        <f>IF(Deployments!AM249="","",Deployments!AM249)</f>
        <v/>
      </c>
      <c r="E261" s="19">
        <f>IF(Deployments!I249="","",Deployments!I249)</f>
        <v/>
      </c>
      <c r="F261" s="19">
        <f>IF(Deployments!J249="","",Deployments!J249)</f>
        <v/>
      </c>
      <c r="G261" s="19">
        <f>IF(Deployments!K249="","",Deployments!K249)</f>
        <v/>
      </c>
      <c r="H261" s="19">
        <f>IF(Deployments!A249="","",Deployments!A249)</f>
        <v/>
      </c>
      <c r="I261" s="19">
        <f>IF(Deployments!AN249="","",Deployments!AN249)</f>
        <v/>
      </c>
      <c r="J261" s="19">
        <f>IF(Deployments!AO249="","",Deployments!AO249)</f>
        <v/>
      </c>
      <c r="K261" s="19">
        <f>IF(Deployments!AI249="","",Deployments!AI249)</f>
        <v/>
      </c>
      <c r="L261" s="19">
        <f>IF(Deployments!M249="","",Deployments!M249)</f>
        <v/>
      </c>
      <c r="M261" s="20" t="n"/>
      <c r="N261" s="19">
        <f>IF(Deployments!N249="","",Deployments!N249)</f>
        <v/>
      </c>
      <c r="O261" s="19">
        <f>IF(Deployments!O249="","",Deployments!O249)</f>
        <v/>
      </c>
      <c r="P261" s="19">
        <f>IF(Deployments!P249="","",Deployments!P249)</f>
        <v/>
      </c>
      <c r="Q261" s="20" t="n"/>
      <c r="R261" s="19">
        <f>IF(Deployments!BT249="","",Deployments!BT249)</f>
        <v/>
      </c>
      <c r="S261" s="19">
        <f>IF(Deployments!BS249="","",Deployments!BS249)</f>
        <v/>
      </c>
      <c r="T261" s="19">
        <f>IF(Deployments!BB249="","",Deployments!BB249)</f>
        <v/>
      </c>
      <c r="U261" s="19">
        <f>IF(Deployments!BR249="","",Deployments!BR249)</f>
        <v/>
      </c>
      <c r="V261" s="19">
        <f>IF(Deployments!BX249="","",Deployments!BX249)</f>
        <v/>
      </c>
      <c r="W261" s="19">
        <f>IF(Deployments!BY249="","",Deployments!BY249)</f>
        <v/>
      </c>
      <c r="X261" s="19">
        <f>IF(Deployments!CC249="","",Deployments!CC249)</f>
        <v/>
      </c>
      <c r="Y261" s="19">
        <f>IF(Deployments!BW249="","",Deployments!BW249)</f>
        <v/>
      </c>
      <c r="Z261" s="19">
        <f>IF(Deployments!U249="","",Deployments!U249)</f>
        <v/>
      </c>
      <c r="AA261" s="19">
        <f>IF(Deployments!L249="","",Deployments!L249)</f>
        <v/>
      </c>
    </row>
    <row r="262" ht="27.75" customHeight="1" s="91">
      <c r="A262" s="20" t="n"/>
      <c r="B262" s="20" t="n"/>
      <c r="C262" s="19">
        <f>IF(Deployments!H250="","",Deployments!H250)</f>
        <v/>
      </c>
      <c r="D262" s="19">
        <f>IF(Deployments!AM250="","",Deployments!AM250)</f>
        <v/>
      </c>
      <c r="E262" s="19">
        <f>IF(Deployments!I250="","",Deployments!I250)</f>
        <v/>
      </c>
      <c r="F262" s="19">
        <f>IF(Deployments!J250="","",Deployments!J250)</f>
        <v/>
      </c>
      <c r="G262" s="19">
        <f>IF(Deployments!K250="","",Deployments!K250)</f>
        <v/>
      </c>
      <c r="H262" s="19">
        <f>IF(Deployments!A250="","",Deployments!A250)</f>
        <v/>
      </c>
      <c r="I262" s="19">
        <f>IF(Deployments!AN250="","",Deployments!AN250)</f>
        <v/>
      </c>
      <c r="J262" s="19">
        <f>IF(Deployments!AO250="","",Deployments!AO250)</f>
        <v/>
      </c>
      <c r="K262" s="19">
        <f>IF(Deployments!AI250="","",Deployments!AI250)</f>
        <v/>
      </c>
      <c r="L262" s="19">
        <f>IF(Deployments!M250="","",Deployments!M250)</f>
        <v/>
      </c>
      <c r="M262" s="20" t="n"/>
      <c r="N262" s="19">
        <f>IF(Deployments!N250="","",Deployments!N250)</f>
        <v/>
      </c>
      <c r="O262" s="19">
        <f>IF(Deployments!O250="","",Deployments!O250)</f>
        <v/>
      </c>
      <c r="P262" s="19">
        <f>IF(Deployments!P250="","",Deployments!P250)</f>
        <v/>
      </c>
      <c r="Q262" s="20" t="n"/>
      <c r="R262" s="19">
        <f>IF(Deployments!BT250="","",Deployments!BT250)</f>
        <v/>
      </c>
      <c r="S262" s="19">
        <f>IF(Deployments!BS250="","",Deployments!BS250)</f>
        <v/>
      </c>
      <c r="T262" s="19">
        <f>IF(Deployments!BB250="","",Deployments!BB250)</f>
        <v/>
      </c>
      <c r="U262" s="19">
        <f>IF(Deployments!BR250="","",Deployments!BR250)</f>
        <v/>
      </c>
      <c r="V262" s="19">
        <f>IF(Deployments!BX250="","",Deployments!BX250)</f>
        <v/>
      </c>
      <c r="W262" s="19">
        <f>IF(Deployments!BY250="","",Deployments!BY250)</f>
        <v/>
      </c>
      <c r="X262" s="19">
        <f>IF(Deployments!CC250="","",Deployments!CC250)</f>
        <v/>
      </c>
      <c r="Y262" s="19">
        <f>IF(Deployments!BW250="","",Deployments!BW250)</f>
        <v/>
      </c>
      <c r="Z262" s="19">
        <f>IF(Deployments!U250="","",Deployments!U250)</f>
        <v/>
      </c>
      <c r="AA262" s="19">
        <f>IF(Deployments!L250="","",Deployments!L250)</f>
        <v/>
      </c>
    </row>
    <row r="263" ht="27.75" customHeight="1" s="91">
      <c r="A263" s="20" t="n"/>
      <c r="B263" s="20" t="n"/>
      <c r="C263" s="19">
        <f>IF(Deployments!H251="","",Deployments!H251)</f>
        <v/>
      </c>
      <c r="D263" s="19">
        <f>IF(Deployments!AM251="","",Deployments!AM251)</f>
        <v/>
      </c>
      <c r="E263" s="19">
        <f>IF(Deployments!I251="","",Deployments!I251)</f>
        <v/>
      </c>
      <c r="F263" s="19">
        <f>IF(Deployments!J251="","",Deployments!J251)</f>
        <v/>
      </c>
      <c r="G263" s="19">
        <f>IF(Deployments!K251="","",Deployments!K251)</f>
        <v/>
      </c>
      <c r="H263" s="19">
        <f>IF(Deployments!A251="","",Deployments!A251)</f>
        <v/>
      </c>
      <c r="I263" s="19">
        <f>IF(Deployments!AN251="","",Deployments!AN251)</f>
        <v/>
      </c>
      <c r="J263" s="19">
        <f>IF(Deployments!AO251="","",Deployments!AO251)</f>
        <v/>
      </c>
      <c r="K263" s="19">
        <f>IF(Deployments!AI251="","",Deployments!AI251)</f>
        <v/>
      </c>
      <c r="L263" s="19">
        <f>IF(Deployments!M251="","",Deployments!M251)</f>
        <v/>
      </c>
      <c r="M263" s="20" t="n"/>
      <c r="N263" s="19">
        <f>IF(Deployments!N251="","",Deployments!N251)</f>
        <v/>
      </c>
      <c r="O263" s="19">
        <f>IF(Deployments!O251="","",Deployments!O251)</f>
        <v/>
      </c>
      <c r="P263" s="19">
        <f>IF(Deployments!P251="","",Deployments!P251)</f>
        <v/>
      </c>
      <c r="Q263" s="20" t="n"/>
      <c r="R263" s="19">
        <f>IF(Deployments!BT251="","",Deployments!BT251)</f>
        <v/>
      </c>
      <c r="S263" s="19">
        <f>IF(Deployments!BS251="","",Deployments!BS251)</f>
        <v/>
      </c>
      <c r="T263" s="19">
        <f>IF(Deployments!BB251="","",Deployments!BB251)</f>
        <v/>
      </c>
      <c r="U263" s="19">
        <f>IF(Deployments!BR251="","",Deployments!BR251)</f>
        <v/>
      </c>
      <c r="V263" s="19">
        <f>IF(Deployments!BX251="","",Deployments!BX251)</f>
        <v/>
      </c>
      <c r="W263" s="19">
        <f>IF(Deployments!BY251="","",Deployments!BY251)</f>
        <v/>
      </c>
      <c r="X263" s="19">
        <f>IF(Deployments!CC251="","",Deployments!CC251)</f>
        <v/>
      </c>
      <c r="Y263" s="19">
        <f>IF(Deployments!BW251="","",Deployments!BW251)</f>
        <v/>
      </c>
      <c r="Z263" s="19">
        <f>IF(Deployments!U251="","",Deployments!U251)</f>
        <v/>
      </c>
      <c r="AA263" s="19">
        <f>IF(Deployments!L251="","",Deployments!L251)</f>
        <v/>
      </c>
    </row>
    <row r="264" ht="27.75" customHeight="1" s="91">
      <c r="A264" s="20" t="n"/>
      <c r="B264" s="20" t="n"/>
      <c r="C264" s="19">
        <f>IF(Deployments!H252="","",Deployments!H252)</f>
        <v/>
      </c>
      <c r="D264" s="19">
        <f>IF(Deployments!AM252="","",Deployments!AM252)</f>
        <v/>
      </c>
      <c r="E264" s="19">
        <f>IF(Deployments!I252="","",Deployments!I252)</f>
        <v/>
      </c>
      <c r="F264" s="19">
        <f>IF(Deployments!J252="","",Deployments!J252)</f>
        <v/>
      </c>
      <c r="G264" s="19">
        <f>IF(Deployments!K252="","",Deployments!K252)</f>
        <v/>
      </c>
      <c r="H264" s="19">
        <f>IF(Deployments!A252="","",Deployments!A252)</f>
        <v/>
      </c>
      <c r="I264" s="19">
        <f>IF(Deployments!AN252="","",Deployments!AN252)</f>
        <v/>
      </c>
      <c r="J264" s="19">
        <f>IF(Deployments!AO252="","",Deployments!AO252)</f>
        <v/>
      </c>
      <c r="K264" s="19">
        <f>IF(Deployments!AI252="","",Deployments!AI252)</f>
        <v/>
      </c>
      <c r="L264" s="19">
        <f>IF(Deployments!M252="","",Deployments!M252)</f>
        <v/>
      </c>
      <c r="M264" s="20" t="n"/>
      <c r="N264" s="19">
        <f>IF(Deployments!N252="","",Deployments!N252)</f>
        <v/>
      </c>
      <c r="O264" s="19">
        <f>IF(Deployments!O252="","",Deployments!O252)</f>
        <v/>
      </c>
      <c r="P264" s="19">
        <f>IF(Deployments!P252="","",Deployments!P252)</f>
        <v/>
      </c>
      <c r="Q264" s="20" t="n"/>
      <c r="R264" s="19">
        <f>IF(Deployments!BT252="","",Deployments!BT252)</f>
        <v/>
      </c>
      <c r="S264" s="19">
        <f>IF(Deployments!BS252="","",Deployments!BS252)</f>
        <v/>
      </c>
      <c r="T264" s="19">
        <f>IF(Deployments!BB252="","",Deployments!BB252)</f>
        <v/>
      </c>
      <c r="U264" s="19">
        <f>IF(Deployments!BR252="","",Deployments!BR252)</f>
        <v/>
      </c>
      <c r="V264" s="19">
        <f>IF(Deployments!BX252="","",Deployments!BX252)</f>
        <v/>
      </c>
      <c r="W264" s="19">
        <f>IF(Deployments!BY252="","",Deployments!BY252)</f>
        <v/>
      </c>
      <c r="X264" s="19">
        <f>IF(Deployments!CC252="","",Deployments!CC252)</f>
        <v/>
      </c>
      <c r="Y264" s="19">
        <f>IF(Deployments!BW252="","",Deployments!BW252)</f>
        <v/>
      </c>
      <c r="Z264" s="19">
        <f>IF(Deployments!U252="","",Deployments!U252)</f>
        <v/>
      </c>
      <c r="AA264" s="19">
        <f>IF(Deployments!L252="","",Deployments!L252)</f>
        <v/>
      </c>
    </row>
    <row r="265" ht="27.75" customHeight="1" s="91">
      <c r="A265" s="20" t="n"/>
      <c r="B265" s="20" t="n"/>
      <c r="C265" s="19">
        <f>IF(Deployments!H253="","",Deployments!H253)</f>
        <v/>
      </c>
      <c r="D265" s="19">
        <f>IF(Deployments!AM253="","",Deployments!AM253)</f>
        <v/>
      </c>
      <c r="E265" s="19">
        <f>IF(Deployments!I253="","",Deployments!I253)</f>
        <v/>
      </c>
      <c r="F265" s="19">
        <f>IF(Deployments!J253="","",Deployments!J253)</f>
        <v/>
      </c>
      <c r="G265" s="19">
        <f>IF(Deployments!K253="","",Deployments!K253)</f>
        <v/>
      </c>
      <c r="H265" s="19">
        <f>IF(Deployments!A253="","",Deployments!A253)</f>
        <v/>
      </c>
      <c r="I265" s="19">
        <f>IF(Deployments!AN253="","",Deployments!AN253)</f>
        <v/>
      </c>
      <c r="J265" s="19">
        <f>IF(Deployments!AO253="","",Deployments!AO253)</f>
        <v/>
      </c>
      <c r="K265" s="19">
        <f>IF(Deployments!AI253="","",Deployments!AI253)</f>
        <v/>
      </c>
      <c r="L265" s="19">
        <f>IF(Deployments!M253="","",Deployments!M253)</f>
        <v/>
      </c>
      <c r="M265" s="20" t="n"/>
      <c r="N265" s="19">
        <f>IF(Deployments!N253="","",Deployments!N253)</f>
        <v/>
      </c>
      <c r="O265" s="19">
        <f>IF(Deployments!O253="","",Deployments!O253)</f>
        <v/>
      </c>
      <c r="P265" s="19">
        <f>IF(Deployments!P253="","",Deployments!P253)</f>
        <v/>
      </c>
      <c r="Q265" s="20" t="n"/>
      <c r="R265" s="19">
        <f>IF(Deployments!BT253="","",Deployments!BT253)</f>
        <v/>
      </c>
      <c r="S265" s="19">
        <f>IF(Deployments!BS253="","",Deployments!BS253)</f>
        <v/>
      </c>
      <c r="T265" s="19">
        <f>IF(Deployments!BB253="","",Deployments!BB253)</f>
        <v/>
      </c>
      <c r="U265" s="19">
        <f>IF(Deployments!BR253="","",Deployments!BR253)</f>
        <v/>
      </c>
      <c r="V265" s="19">
        <f>IF(Deployments!BX253="","",Deployments!BX253)</f>
        <v/>
      </c>
      <c r="W265" s="19">
        <f>IF(Deployments!BY253="","",Deployments!BY253)</f>
        <v/>
      </c>
      <c r="X265" s="19">
        <f>IF(Deployments!CC253="","",Deployments!CC253)</f>
        <v/>
      </c>
      <c r="Y265" s="19">
        <f>IF(Deployments!BW253="","",Deployments!BW253)</f>
        <v/>
      </c>
      <c r="Z265" s="19">
        <f>IF(Deployments!U253="","",Deployments!U253)</f>
        <v/>
      </c>
      <c r="AA265" s="19">
        <f>IF(Deployments!L253="","",Deployments!L253)</f>
        <v/>
      </c>
    </row>
    <row r="266" ht="27.75" customHeight="1" s="91">
      <c r="A266" s="20" t="n"/>
      <c r="B266" s="20" t="n"/>
      <c r="C266" s="19">
        <f>IF(Deployments!H254="","",Deployments!H254)</f>
        <v/>
      </c>
      <c r="D266" s="19">
        <f>IF(Deployments!AM254="","",Deployments!AM254)</f>
        <v/>
      </c>
      <c r="E266" s="19">
        <f>IF(Deployments!I254="","",Deployments!I254)</f>
        <v/>
      </c>
      <c r="F266" s="19">
        <f>IF(Deployments!J254="","",Deployments!J254)</f>
        <v/>
      </c>
      <c r="G266" s="19">
        <f>IF(Deployments!K254="","",Deployments!K254)</f>
        <v/>
      </c>
      <c r="H266" s="19">
        <f>IF(Deployments!A254="","",Deployments!A254)</f>
        <v/>
      </c>
      <c r="I266" s="19">
        <f>IF(Deployments!AN254="","",Deployments!AN254)</f>
        <v/>
      </c>
      <c r="J266" s="19">
        <f>IF(Deployments!AO254="","",Deployments!AO254)</f>
        <v/>
      </c>
      <c r="K266" s="19">
        <f>IF(Deployments!AI254="","",Deployments!AI254)</f>
        <v/>
      </c>
      <c r="L266" s="19">
        <f>IF(Deployments!M254="","",Deployments!M254)</f>
        <v/>
      </c>
      <c r="M266" s="20" t="n"/>
      <c r="N266" s="19">
        <f>IF(Deployments!N254="","",Deployments!N254)</f>
        <v/>
      </c>
      <c r="O266" s="19">
        <f>IF(Deployments!O254="","",Deployments!O254)</f>
        <v/>
      </c>
      <c r="P266" s="19">
        <f>IF(Deployments!P254="","",Deployments!P254)</f>
        <v/>
      </c>
      <c r="Q266" s="20" t="n"/>
      <c r="R266" s="19">
        <f>IF(Deployments!BT254="","",Deployments!BT254)</f>
        <v/>
      </c>
      <c r="S266" s="19">
        <f>IF(Deployments!BS254="","",Deployments!BS254)</f>
        <v/>
      </c>
      <c r="T266" s="19">
        <f>IF(Deployments!BB254="","",Deployments!BB254)</f>
        <v/>
      </c>
      <c r="U266" s="19">
        <f>IF(Deployments!BR254="","",Deployments!BR254)</f>
        <v/>
      </c>
      <c r="V266" s="19">
        <f>IF(Deployments!BX254="","",Deployments!BX254)</f>
        <v/>
      </c>
      <c r="W266" s="19">
        <f>IF(Deployments!BY254="","",Deployments!BY254)</f>
        <v/>
      </c>
      <c r="X266" s="19">
        <f>IF(Deployments!CC254="","",Deployments!CC254)</f>
        <v/>
      </c>
      <c r="Y266" s="19">
        <f>IF(Deployments!BW254="","",Deployments!BW254)</f>
        <v/>
      </c>
      <c r="Z266" s="19">
        <f>IF(Deployments!U254="","",Deployments!U254)</f>
        <v/>
      </c>
      <c r="AA266" s="19">
        <f>IF(Deployments!L254="","",Deployments!L254)</f>
        <v/>
      </c>
    </row>
    <row r="267" ht="27.75" customHeight="1" s="91">
      <c r="A267" s="20" t="n"/>
      <c r="B267" s="20" t="n"/>
      <c r="C267" s="19">
        <f>IF(Deployments!H255="","",Deployments!H255)</f>
        <v/>
      </c>
      <c r="D267" s="19">
        <f>IF(Deployments!AM255="","",Deployments!AM255)</f>
        <v/>
      </c>
      <c r="E267" s="19">
        <f>IF(Deployments!I255="","",Deployments!I255)</f>
        <v/>
      </c>
      <c r="F267" s="19">
        <f>IF(Deployments!J255="","",Deployments!J255)</f>
        <v/>
      </c>
      <c r="G267" s="19">
        <f>IF(Deployments!K255="","",Deployments!K255)</f>
        <v/>
      </c>
      <c r="H267" s="19">
        <f>IF(Deployments!A255="","",Deployments!A255)</f>
        <v/>
      </c>
      <c r="I267" s="19">
        <f>IF(Deployments!AN255="","",Deployments!AN255)</f>
        <v/>
      </c>
      <c r="J267" s="19">
        <f>IF(Deployments!AO255="","",Deployments!AO255)</f>
        <v/>
      </c>
      <c r="K267" s="19">
        <f>IF(Deployments!AI255="","",Deployments!AI255)</f>
        <v/>
      </c>
      <c r="L267" s="19">
        <f>IF(Deployments!M255="","",Deployments!M255)</f>
        <v/>
      </c>
      <c r="M267" s="20" t="n"/>
      <c r="N267" s="19">
        <f>IF(Deployments!N255="","",Deployments!N255)</f>
        <v/>
      </c>
      <c r="O267" s="19">
        <f>IF(Deployments!O255="","",Deployments!O255)</f>
        <v/>
      </c>
      <c r="P267" s="19">
        <f>IF(Deployments!P255="","",Deployments!P255)</f>
        <v/>
      </c>
      <c r="Q267" s="20" t="n"/>
      <c r="R267" s="19">
        <f>IF(Deployments!BT255="","",Deployments!BT255)</f>
        <v/>
      </c>
      <c r="S267" s="19">
        <f>IF(Deployments!BS255="","",Deployments!BS255)</f>
        <v/>
      </c>
      <c r="T267" s="19">
        <f>IF(Deployments!BB255="","",Deployments!BB255)</f>
        <v/>
      </c>
      <c r="U267" s="19">
        <f>IF(Deployments!BR255="","",Deployments!BR255)</f>
        <v/>
      </c>
      <c r="V267" s="19">
        <f>IF(Deployments!BX255="","",Deployments!BX255)</f>
        <v/>
      </c>
      <c r="W267" s="19">
        <f>IF(Deployments!BY255="","",Deployments!BY255)</f>
        <v/>
      </c>
      <c r="X267" s="19">
        <f>IF(Deployments!CC255="","",Deployments!CC255)</f>
        <v/>
      </c>
      <c r="Y267" s="19">
        <f>IF(Deployments!BW255="","",Deployments!BW255)</f>
        <v/>
      </c>
      <c r="Z267" s="19">
        <f>IF(Deployments!U255="","",Deployments!U255)</f>
        <v/>
      </c>
      <c r="AA267" s="19">
        <f>IF(Deployments!L255="","",Deployments!L255)</f>
        <v/>
      </c>
    </row>
    <row r="268" ht="27.75" customHeight="1" s="91">
      <c r="A268" s="20" t="n"/>
      <c r="B268" s="20" t="n"/>
      <c r="C268" s="19">
        <f>IF(Deployments!H256="","",Deployments!H256)</f>
        <v/>
      </c>
      <c r="D268" s="19">
        <f>IF(Deployments!AM256="","",Deployments!AM256)</f>
        <v/>
      </c>
      <c r="E268" s="19">
        <f>IF(Deployments!I256="","",Deployments!I256)</f>
        <v/>
      </c>
      <c r="F268" s="19">
        <f>IF(Deployments!J256="","",Deployments!J256)</f>
        <v/>
      </c>
      <c r="G268" s="19">
        <f>IF(Deployments!K256="","",Deployments!K256)</f>
        <v/>
      </c>
      <c r="H268" s="19">
        <f>IF(Deployments!A256="","",Deployments!A256)</f>
        <v/>
      </c>
      <c r="I268" s="19">
        <f>IF(Deployments!AN256="","",Deployments!AN256)</f>
        <v/>
      </c>
      <c r="J268" s="19">
        <f>IF(Deployments!AO256="","",Deployments!AO256)</f>
        <v/>
      </c>
      <c r="K268" s="19">
        <f>IF(Deployments!AI256="","",Deployments!AI256)</f>
        <v/>
      </c>
      <c r="L268" s="19">
        <f>IF(Deployments!M256="","",Deployments!M256)</f>
        <v/>
      </c>
      <c r="M268" s="20" t="n"/>
      <c r="N268" s="19">
        <f>IF(Deployments!N256="","",Deployments!N256)</f>
        <v/>
      </c>
      <c r="O268" s="19">
        <f>IF(Deployments!O256="","",Deployments!O256)</f>
        <v/>
      </c>
      <c r="P268" s="19">
        <f>IF(Deployments!P256="","",Deployments!P256)</f>
        <v/>
      </c>
      <c r="Q268" s="20" t="n"/>
      <c r="R268" s="19">
        <f>IF(Deployments!BT256="","",Deployments!BT256)</f>
        <v/>
      </c>
      <c r="S268" s="19">
        <f>IF(Deployments!BS256="","",Deployments!BS256)</f>
        <v/>
      </c>
      <c r="T268" s="19">
        <f>IF(Deployments!BB256="","",Deployments!BB256)</f>
        <v/>
      </c>
      <c r="U268" s="19">
        <f>IF(Deployments!BR256="","",Deployments!BR256)</f>
        <v/>
      </c>
      <c r="V268" s="19">
        <f>IF(Deployments!BX256="","",Deployments!BX256)</f>
        <v/>
      </c>
      <c r="W268" s="19">
        <f>IF(Deployments!BY256="","",Deployments!BY256)</f>
        <v/>
      </c>
      <c r="X268" s="19">
        <f>IF(Deployments!CC256="","",Deployments!CC256)</f>
        <v/>
      </c>
      <c r="Y268" s="19">
        <f>IF(Deployments!BW256="","",Deployments!BW256)</f>
        <v/>
      </c>
      <c r="Z268" s="19">
        <f>IF(Deployments!U256="","",Deployments!U256)</f>
        <v/>
      </c>
      <c r="AA268" s="19">
        <f>IF(Deployments!L256="","",Deployments!L256)</f>
        <v/>
      </c>
    </row>
    <row r="269" ht="27.75" customHeight="1" s="91">
      <c r="A269" s="20" t="n"/>
      <c r="B269" s="20" t="n"/>
      <c r="C269" s="19">
        <f>IF(Deployments!H257="","",Deployments!H257)</f>
        <v/>
      </c>
      <c r="D269" s="19">
        <f>IF(Deployments!AM257="","",Deployments!AM257)</f>
        <v/>
      </c>
      <c r="E269" s="19">
        <f>IF(Deployments!I257="","",Deployments!I257)</f>
        <v/>
      </c>
      <c r="F269" s="19">
        <f>IF(Deployments!J257="","",Deployments!J257)</f>
        <v/>
      </c>
      <c r="G269" s="19">
        <f>IF(Deployments!K257="","",Deployments!K257)</f>
        <v/>
      </c>
      <c r="H269" s="19">
        <f>IF(Deployments!A257="","",Deployments!A257)</f>
        <v/>
      </c>
      <c r="I269" s="19">
        <f>IF(Deployments!AN257="","",Deployments!AN257)</f>
        <v/>
      </c>
      <c r="J269" s="19">
        <f>IF(Deployments!AO257="","",Deployments!AO257)</f>
        <v/>
      </c>
      <c r="K269" s="19">
        <f>IF(Deployments!AI257="","",Deployments!AI257)</f>
        <v/>
      </c>
      <c r="L269" s="19">
        <f>IF(Deployments!M257="","",Deployments!M257)</f>
        <v/>
      </c>
      <c r="M269" s="20" t="n"/>
      <c r="N269" s="19">
        <f>IF(Deployments!N257="","",Deployments!N257)</f>
        <v/>
      </c>
      <c r="O269" s="19">
        <f>IF(Deployments!O257="","",Deployments!O257)</f>
        <v/>
      </c>
      <c r="P269" s="19">
        <f>IF(Deployments!P257="","",Deployments!P257)</f>
        <v/>
      </c>
      <c r="Q269" s="20" t="n"/>
      <c r="R269" s="19">
        <f>IF(Deployments!BT257="","",Deployments!BT257)</f>
        <v/>
      </c>
      <c r="S269" s="19">
        <f>IF(Deployments!BS257="","",Deployments!BS257)</f>
        <v/>
      </c>
      <c r="T269" s="19">
        <f>IF(Deployments!BB257="","",Deployments!BB257)</f>
        <v/>
      </c>
      <c r="U269" s="19">
        <f>IF(Deployments!BR257="","",Deployments!BR257)</f>
        <v/>
      </c>
      <c r="V269" s="19">
        <f>IF(Deployments!BX257="","",Deployments!BX257)</f>
        <v/>
      </c>
      <c r="W269" s="19">
        <f>IF(Deployments!BY257="","",Deployments!BY257)</f>
        <v/>
      </c>
      <c r="X269" s="19">
        <f>IF(Deployments!CC257="","",Deployments!CC257)</f>
        <v/>
      </c>
      <c r="Y269" s="19">
        <f>IF(Deployments!BW257="","",Deployments!BW257)</f>
        <v/>
      </c>
      <c r="Z269" s="19">
        <f>IF(Deployments!U257="","",Deployments!U257)</f>
        <v/>
      </c>
      <c r="AA269" s="19">
        <f>IF(Deployments!L257="","",Deployments!L257)</f>
        <v/>
      </c>
    </row>
    <row r="270" ht="27.75" customHeight="1" s="91">
      <c r="A270" s="20" t="n"/>
      <c r="B270" s="20" t="n"/>
      <c r="C270" s="19">
        <f>IF(Deployments!H258="","",Deployments!H258)</f>
        <v/>
      </c>
      <c r="D270" s="19">
        <f>IF(Deployments!AM258="","",Deployments!AM258)</f>
        <v/>
      </c>
      <c r="E270" s="19">
        <f>IF(Deployments!I258="","",Deployments!I258)</f>
        <v/>
      </c>
      <c r="F270" s="19">
        <f>IF(Deployments!J258="","",Deployments!J258)</f>
        <v/>
      </c>
      <c r="G270" s="19">
        <f>IF(Deployments!K258="","",Deployments!K258)</f>
        <v/>
      </c>
      <c r="H270" s="19">
        <f>IF(Deployments!A258="","",Deployments!A258)</f>
        <v/>
      </c>
      <c r="I270" s="19">
        <f>IF(Deployments!AN258="","",Deployments!AN258)</f>
        <v/>
      </c>
      <c r="J270" s="19">
        <f>IF(Deployments!AO258="","",Deployments!AO258)</f>
        <v/>
      </c>
      <c r="K270" s="19">
        <f>IF(Deployments!AI258="","",Deployments!AI258)</f>
        <v/>
      </c>
      <c r="L270" s="19">
        <f>IF(Deployments!M258="","",Deployments!M258)</f>
        <v/>
      </c>
      <c r="M270" s="20" t="n"/>
      <c r="N270" s="19">
        <f>IF(Deployments!N258="","",Deployments!N258)</f>
        <v/>
      </c>
      <c r="O270" s="19">
        <f>IF(Deployments!O258="","",Deployments!O258)</f>
        <v/>
      </c>
      <c r="P270" s="19">
        <f>IF(Deployments!P258="","",Deployments!P258)</f>
        <v/>
      </c>
      <c r="Q270" s="20" t="n"/>
      <c r="R270" s="19">
        <f>IF(Deployments!BT258="","",Deployments!BT258)</f>
        <v/>
      </c>
      <c r="S270" s="19">
        <f>IF(Deployments!BS258="","",Deployments!BS258)</f>
        <v/>
      </c>
      <c r="T270" s="19">
        <f>IF(Deployments!BB258="","",Deployments!BB258)</f>
        <v/>
      </c>
      <c r="U270" s="19">
        <f>IF(Deployments!BR258="","",Deployments!BR258)</f>
        <v/>
      </c>
      <c r="V270" s="19">
        <f>IF(Deployments!BX258="","",Deployments!BX258)</f>
        <v/>
      </c>
      <c r="W270" s="19">
        <f>IF(Deployments!BY258="","",Deployments!BY258)</f>
        <v/>
      </c>
      <c r="X270" s="19">
        <f>IF(Deployments!CC258="","",Deployments!CC258)</f>
        <v/>
      </c>
      <c r="Y270" s="19">
        <f>IF(Deployments!BW258="","",Deployments!BW258)</f>
        <v/>
      </c>
      <c r="Z270" s="19">
        <f>IF(Deployments!U258="","",Deployments!U258)</f>
        <v/>
      </c>
      <c r="AA270" s="19">
        <f>IF(Deployments!L258="","",Deployments!L258)</f>
        <v/>
      </c>
    </row>
    <row r="271" ht="27.75" customHeight="1" s="91">
      <c r="A271" s="20" t="n"/>
      <c r="B271" s="20" t="n"/>
      <c r="C271" s="19">
        <f>IF(Deployments!H259="","",Deployments!H259)</f>
        <v/>
      </c>
      <c r="D271" s="19">
        <f>IF(Deployments!AM259="","",Deployments!AM259)</f>
        <v/>
      </c>
      <c r="E271" s="19">
        <f>IF(Deployments!I259="","",Deployments!I259)</f>
        <v/>
      </c>
      <c r="F271" s="19">
        <f>IF(Deployments!J259="","",Deployments!J259)</f>
        <v/>
      </c>
      <c r="G271" s="19">
        <f>IF(Deployments!K259="","",Deployments!K259)</f>
        <v/>
      </c>
      <c r="H271" s="19">
        <f>IF(Deployments!A259="","",Deployments!A259)</f>
        <v/>
      </c>
      <c r="I271" s="19">
        <f>IF(Deployments!AN259="","",Deployments!AN259)</f>
        <v/>
      </c>
      <c r="J271" s="19">
        <f>IF(Deployments!AO259="","",Deployments!AO259)</f>
        <v/>
      </c>
      <c r="K271" s="19">
        <f>IF(Deployments!AI259="","",Deployments!AI259)</f>
        <v/>
      </c>
      <c r="L271" s="19">
        <f>IF(Deployments!M259="","",Deployments!M259)</f>
        <v/>
      </c>
      <c r="M271" s="20" t="n"/>
      <c r="N271" s="19">
        <f>IF(Deployments!N259="","",Deployments!N259)</f>
        <v/>
      </c>
      <c r="O271" s="19">
        <f>IF(Deployments!O259="","",Deployments!O259)</f>
        <v/>
      </c>
      <c r="P271" s="19">
        <f>IF(Deployments!P259="","",Deployments!P259)</f>
        <v/>
      </c>
      <c r="Q271" s="20" t="n"/>
      <c r="R271" s="19">
        <f>IF(Deployments!BT259="","",Deployments!BT259)</f>
        <v/>
      </c>
      <c r="S271" s="19">
        <f>IF(Deployments!BS259="","",Deployments!BS259)</f>
        <v/>
      </c>
      <c r="T271" s="19">
        <f>IF(Deployments!BB259="","",Deployments!BB259)</f>
        <v/>
      </c>
      <c r="U271" s="19">
        <f>IF(Deployments!BR259="","",Deployments!BR259)</f>
        <v/>
      </c>
      <c r="V271" s="19">
        <f>IF(Deployments!BX259="","",Deployments!BX259)</f>
        <v/>
      </c>
      <c r="W271" s="19">
        <f>IF(Deployments!BY259="","",Deployments!BY259)</f>
        <v/>
      </c>
      <c r="X271" s="19">
        <f>IF(Deployments!CC259="","",Deployments!CC259)</f>
        <v/>
      </c>
      <c r="Y271" s="19">
        <f>IF(Deployments!BW259="","",Deployments!BW259)</f>
        <v/>
      </c>
      <c r="Z271" s="19">
        <f>IF(Deployments!U259="","",Deployments!U259)</f>
        <v/>
      </c>
      <c r="AA271" s="19">
        <f>IF(Deployments!L259="","",Deployments!L259)</f>
        <v/>
      </c>
    </row>
    <row r="272" ht="27.75" customHeight="1" s="91">
      <c r="A272" s="20" t="n"/>
      <c r="B272" s="20" t="n"/>
      <c r="C272" s="19">
        <f>IF(Deployments!H260="","",Deployments!H260)</f>
        <v/>
      </c>
      <c r="D272" s="19">
        <f>IF(Deployments!AM260="","",Deployments!AM260)</f>
        <v/>
      </c>
      <c r="E272" s="19">
        <f>IF(Deployments!I260="","",Deployments!I260)</f>
        <v/>
      </c>
      <c r="F272" s="19">
        <f>IF(Deployments!J260="","",Deployments!J260)</f>
        <v/>
      </c>
      <c r="G272" s="19">
        <f>IF(Deployments!K260="","",Deployments!K260)</f>
        <v/>
      </c>
      <c r="H272" s="19">
        <f>IF(Deployments!A260="","",Deployments!A260)</f>
        <v/>
      </c>
      <c r="I272" s="19">
        <f>IF(Deployments!AN260="","",Deployments!AN260)</f>
        <v/>
      </c>
      <c r="J272" s="19">
        <f>IF(Deployments!AO260="","",Deployments!AO260)</f>
        <v/>
      </c>
      <c r="K272" s="19">
        <f>IF(Deployments!AI260="","",Deployments!AI260)</f>
        <v/>
      </c>
      <c r="L272" s="19">
        <f>IF(Deployments!M260="","",Deployments!M260)</f>
        <v/>
      </c>
      <c r="M272" s="20" t="n"/>
      <c r="N272" s="19">
        <f>IF(Deployments!N260="","",Deployments!N260)</f>
        <v/>
      </c>
      <c r="O272" s="19">
        <f>IF(Deployments!O260="","",Deployments!O260)</f>
        <v/>
      </c>
      <c r="P272" s="19">
        <f>IF(Deployments!P260="","",Deployments!P260)</f>
        <v/>
      </c>
      <c r="Q272" s="20" t="n"/>
      <c r="R272" s="19">
        <f>IF(Deployments!BT260="","",Deployments!BT260)</f>
        <v/>
      </c>
      <c r="S272" s="19">
        <f>IF(Deployments!BS260="","",Deployments!BS260)</f>
        <v/>
      </c>
      <c r="T272" s="19">
        <f>IF(Deployments!BB260="","",Deployments!BB260)</f>
        <v/>
      </c>
      <c r="U272" s="19">
        <f>IF(Deployments!BR260="","",Deployments!BR260)</f>
        <v/>
      </c>
      <c r="V272" s="19">
        <f>IF(Deployments!BX260="","",Deployments!BX260)</f>
        <v/>
      </c>
      <c r="W272" s="19">
        <f>IF(Deployments!BY260="","",Deployments!BY260)</f>
        <v/>
      </c>
      <c r="X272" s="19">
        <f>IF(Deployments!CC260="","",Deployments!CC260)</f>
        <v/>
      </c>
      <c r="Y272" s="19">
        <f>IF(Deployments!BW260="","",Deployments!BW260)</f>
        <v/>
      </c>
      <c r="Z272" s="19">
        <f>IF(Deployments!U260="","",Deployments!U260)</f>
        <v/>
      </c>
      <c r="AA272" s="19">
        <f>IF(Deployments!L260="","",Deployments!L260)</f>
        <v/>
      </c>
    </row>
    <row r="273">
      <c r="A273" s="20" t="n"/>
      <c r="B273" s="20" t="n"/>
      <c r="C273" s="19">
        <f>IF(Deployments!H261="","",Deployments!H261)</f>
        <v/>
      </c>
      <c r="D273" s="19">
        <f>IF(Deployments!AM261="","",Deployments!AM261)</f>
        <v/>
      </c>
      <c r="E273" s="19">
        <f>IF(Deployments!I261="","",Deployments!I261)</f>
        <v/>
      </c>
      <c r="F273" s="19">
        <f>IF(Deployments!J261="","",Deployments!J261)</f>
        <v/>
      </c>
      <c r="G273" s="19">
        <f>IF(Deployments!K261="","",Deployments!K261)</f>
        <v/>
      </c>
      <c r="H273" s="19">
        <f>IF(Deployments!A261="","",Deployments!A261)</f>
        <v/>
      </c>
      <c r="I273" s="19">
        <f>IF(Deployments!AN261="","",Deployments!AN261)</f>
        <v/>
      </c>
      <c r="J273" s="19">
        <f>IF(Deployments!AO261="","",Deployments!AO261)</f>
        <v/>
      </c>
      <c r="K273" s="19">
        <f>IF(Deployments!AI261="","",Deployments!AI261)</f>
        <v/>
      </c>
      <c r="L273" s="19">
        <f>IF(Deployments!M261="","",Deployments!M261)</f>
        <v/>
      </c>
      <c r="M273" s="20" t="n"/>
      <c r="N273" s="19">
        <f>IF(Deployments!N261="","",Deployments!N261)</f>
        <v/>
      </c>
      <c r="O273" s="19">
        <f>IF(Deployments!O261="","",Deployments!O261)</f>
        <v/>
      </c>
      <c r="P273" s="19">
        <f>IF(Deployments!P261="","",Deployments!P261)</f>
        <v/>
      </c>
      <c r="Q273" s="20" t="n"/>
      <c r="R273" s="19">
        <f>IF(Deployments!BT261="","",Deployments!BT261)</f>
        <v/>
      </c>
      <c r="S273" s="19">
        <f>IF(Deployments!BS261="","",Deployments!BS261)</f>
        <v/>
      </c>
      <c r="T273" s="19">
        <f>IF(Deployments!BB261="","",Deployments!BB261)</f>
        <v/>
      </c>
      <c r="U273" s="19">
        <f>IF(Deployments!BR261="","",Deployments!BR261)</f>
        <v/>
      </c>
      <c r="V273" s="19">
        <f>IF(Deployments!BX261="","",Deployments!BX261)</f>
        <v/>
      </c>
      <c r="W273" s="19">
        <f>IF(Deployments!BY261="","",Deployments!BY261)</f>
        <v/>
      </c>
      <c r="X273" s="19">
        <f>IF(Deployments!CC261="","",Deployments!CC261)</f>
        <v/>
      </c>
      <c r="Y273" s="19">
        <f>IF(Deployments!BW261="","",Deployments!BW261)</f>
        <v/>
      </c>
      <c r="Z273" s="19">
        <f>IF(Deployments!U261="","",Deployments!U261)</f>
        <v/>
      </c>
      <c r="AA273" s="19">
        <f>IF(Deployments!L261="","",Deployments!L261)</f>
        <v/>
      </c>
    </row>
    <row r="274" ht="41.25" customHeight="1" s="91">
      <c r="A274" s="20" t="n"/>
      <c r="B274" s="20" t="n"/>
      <c r="C274" s="19">
        <f>IF(Deployments!H262="","",Deployments!H262)</f>
        <v/>
      </c>
      <c r="D274" s="19">
        <f>IF(Deployments!AM262="","",Deployments!AM262)</f>
        <v/>
      </c>
      <c r="E274" s="19">
        <f>IF(Deployments!I262="","",Deployments!I262)</f>
        <v/>
      </c>
      <c r="F274" s="19">
        <f>IF(Deployments!J262="","",Deployments!J262)</f>
        <v/>
      </c>
      <c r="G274" s="19">
        <f>IF(Deployments!K262="","",Deployments!K262)</f>
        <v/>
      </c>
      <c r="H274" s="19">
        <f>IF(Deployments!A262="","",Deployments!A262)</f>
        <v/>
      </c>
      <c r="I274" s="19">
        <f>IF(Deployments!AN262="","",Deployments!AN262)</f>
        <v/>
      </c>
      <c r="J274" s="19">
        <f>IF(Deployments!AO262="","",Deployments!AO262)</f>
        <v/>
      </c>
      <c r="K274" s="19">
        <f>IF(Deployments!AI262="","",Deployments!AI262)</f>
        <v/>
      </c>
      <c r="L274" s="19">
        <f>IF(Deployments!M262="","",Deployments!M262)</f>
        <v/>
      </c>
      <c r="M274" s="20" t="n"/>
      <c r="N274" s="19">
        <f>IF(Deployments!N262="","",Deployments!N262)</f>
        <v/>
      </c>
      <c r="O274" s="19">
        <f>IF(Deployments!O262="","",Deployments!O262)</f>
        <v/>
      </c>
      <c r="P274" s="19">
        <f>IF(Deployments!P262="","",Deployments!P262)</f>
        <v/>
      </c>
      <c r="Q274" s="20" t="n"/>
      <c r="R274" s="19">
        <f>IF(Deployments!BT262="","",Deployments!BT262)</f>
        <v/>
      </c>
      <c r="S274" s="19">
        <f>IF(Deployments!BS262="","",Deployments!BS262)</f>
        <v/>
      </c>
      <c r="T274" s="19">
        <f>IF(Deployments!BB262="","",Deployments!BB262)</f>
        <v/>
      </c>
      <c r="U274" s="19">
        <f>IF(Deployments!BR262="","",Deployments!BR262)</f>
        <v/>
      </c>
      <c r="V274" s="19">
        <f>IF(Deployments!BX262="","",Deployments!BX262)</f>
        <v/>
      </c>
      <c r="W274" s="19">
        <f>IF(Deployments!BY262="","",Deployments!BY262)</f>
        <v/>
      </c>
      <c r="X274" s="19">
        <f>IF(Deployments!CC262="","",Deployments!CC262)</f>
        <v/>
      </c>
      <c r="Y274" s="19">
        <f>IF(Deployments!BW262="","",Deployments!BW262)</f>
        <v/>
      </c>
      <c r="Z274" s="19">
        <f>IF(Deployments!U262="","",Deployments!U262)</f>
        <v/>
      </c>
      <c r="AA274" s="19">
        <f>IF(Deployments!L262="","",Deployments!L262)</f>
        <v/>
      </c>
    </row>
    <row r="275" ht="94.5" customHeight="1" s="91">
      <c r="A275" s="20" t="n"/>
      <c r="B275" s="20" t="n"/>
      <c r="C275" s="19">
        <f>IF(Deployments!H263="","",Deployments!H263)</f>
        <v/>
      </c>
      <c r="D275" s="19">
        <f>IF(Deployments!AM263="","",Deployments!AM263)</f>
        <v/>
      </c>
      <c r="E275" s="19">
        <f>IF(Deployments!I263="","",Deployments!I263)</f>
        <v/>
      </c>
      <c r="F275" s="19">
        <f>IF(Deployments!J263="","",Deployments!J263)</f>
        <v/>
      </c>
      <c r="G275" s="19">
        <f>IF(Deployments!K263="","",Deployments!K263)</f>
        <v/>
      </c>
      <c r="H275" s="19">
        <f>IF(Deployments!A263="","",Deployments!A263)</f>
        <v/>
      </c>
      <c r="I275" s="19">
        <f>IF(Deployments!AN263="","",Deployments!AN263)</f>
        <v/>
      </c>
      <c r="J275" s="19">
        <f>IF(Deployments!AO263="","",Deployments!AO263)</f>
        <v/>
      </c>
      <c r="K275" s="19">
        <f>IF(Deployments!AI263="","",Deployments!AI263)</f>
        <v/>
      </c>
      <c r="L275" s="19">
        <f>IF(Deployments!M263="","",Deployments!M263)</f>
        <v/>
      </c>
      <c r="M275" s="20" t="n"/>
      <c r="N275" s="19">
        <f>IF(Deployments!N263="","",Deployments!N263)</f>
        <v/>
      </c>
      <c r="O275" s="19">
        <f>IF(Deployments!O263="","",Deployments!O263)</f>
        <v/>
      </c>
      <c r="P275" s="19">
        <f>IF(Deployments!P263="","",Deployments!P263)</f>
        <v/>
      </c>
      <c r="Q275" s="20" t="n"/>
      <c r="R275" s="19">
        <f>IF(Deployments!BT263="","",Deployments!BT263)</f>
        <v/>
      </c>
      <c r="S275" s="19">
        <f>IF(Deployments!BS263="","",Deployments!BS263)</f>
        <v/>
      </c>
      <c r="T275" s="19">
        <f>IF(Deployments!BB263="","",Deployments!BB263)</f>
        <v/>
      </c>
      <c r="U275" s="19">
        <f>IF(Deployments!BR263="","",Deployments!BR263)</f>
        <v/>
      </c>
      <c r="V275" s="19">
        <f>IF(Deployments!BX263="","",Deployments!BX263)</f>
        <v/>
      </c>
      <c r="W275" s="19">
        <f>IF(Deployments!BY263="","",Deployments!BY263)</f>
        <v/>
      </c>
      <c r="X275" s="19">
        <f>IF(Deployments!CC263="","",Deployments!CC263)</f>
        <v/>
      </c>
      <c r="Y275" s="19">
        <f>IF(Deployments!BW263="","",Deployments!BW263)</f>
        <v/>
      </c>
      <c r="Z275" s="19">
        <f>IF(Deployments!U263="","",Deployments!U263)</f>
        <v/>
      </c>
      <c r="AA275" s="19">
        <f>IF(Deployments!L263="","",Deployments!L263)</f>
        <v/>
      </c>
    </row>
    <row r="276" ht="27.75" customHeight="1" s="91">
      <c r="A276" s="20" t="n"/>
      <c r="B276" s="20" t="n"/>
      <c r="C276" s="19">
        <f>IF(Deployments!H264="","",Deployments!H264)</f>
        <v/>
      </c>
      <c r="D276" s="19">
        <f>IF(Deployments!AM264="","",Deployments!AM264)</f>
        <v/>
      </c>
      <c r="E276" s="19">
        <f>IF(Deployments!I264="","",Deployments!I264)</f>
        <v/>
      </c>
      <c r="F276" s="19">
        <f>IF(Deployments!J264="","",Deployments!J264)</f>
        <v/>
      </c>
      <c r="G276" s="19">
        <f>IF(Deployments!K264="","",Deployments!K264)</f>
        <v/>
      </c>
      <c r="H276" s="19">
        <f>IF(Deployments!A264="","",Deployments!A264)</f>
        <v/>
      </c>
      <c r="I276" s="19">
        <f>IF(Deployments!AN264="","",Deployments!AN264)</f>
        <v/>
      </c>
      <c r="J276" s="19">
        <f>IF(Deployments!AO264="","",Deployments!AO264)</f>
        <v/>
      </c>
      <c r="K276" s="19">
        <f>IF(Deployments!AI264="","",Deployments!AI264)</f>
        <v/>
      </c>
      <c r="L276" s="19">
        <f>IF(Deployments!M264="","",Deployments!M264)</f>
        <v/>
      </c>
      <c r="M276" s="20" t="n"/>
      <c r="N276" s="19">
        <f>IF(Deployments!N264="","",Deployments!N264)</f>
        <v/>
      </c>
      <c r="O276" s="19">
        <f>IF(Deployments!O264="","",Deployments!O264)</f>
        <v/>
      </c>
      <c r="P276" s="19">
        <f>IF(Deployments!P264="","",Deployments!P264)</f>
        <v/>
      </c>
      <c r="Q276" s="20" t="n"/>
      <c r="R276" s="19">
        <f>IF(Deployments!BT264="","",Deployments!BT264)</f>
        <v/>
      </c>
      <c r="S276" s="19">
        <f>IF(Deployments!BS264="","",Deployments!BS264)</f>
        <v/>
      </c>
      <c r="T276" s="19">
        <f>IF(Deployments!BB264="","",Deployments!BB264)</f>
        <v/>
      </c>
      <c r="U276" s="19">
        <f>IF(Deployments!BR264="","",Deployments!BR264)</f>
        <v/>
      </c>
      <c r="V276" s="19">
        <f>IF(Deployments!BX264="","",Deployments!BX264)</f>
        <v/>
      </c>
      <c r="W276" s="19">
        <f>IF(Deployments!BY264="","",Deployments!BY264)</f>
        <v/>
      </c>
      <c r="X276" s="19">
        <f>IF(Deployments!CC264="","",Deployments!CC264)</f>
        <v/>
      </c>
      <c r="Y276" s="19">
        <f>IF(Deployments!BW264="","",Deployments!BW264)</f>
        <v/>
      </c>
      <c r="Z276" s="19">
        <f>IF(Deployments!U264="","",Deployments!U264)</f>
        <v/>
      </c>
      <c r="AA276" s="19">
        <f>IF(Deployments!L264="","",Deployments!L264)</f>
        <v/>
      </c>
    </row>
    <row r="277" ht="54.75" customHeight="1" s="91">
      <c r="A277" s="20" t="n"/>
      <c r="B277" s="20" t="n"/>
      <c r="C277" s="19">
        <f>IF(Deployments!H265="","",Deployments!H265)</f>
        <v/>
      </c>
      <c r="D277" s="19">
        <f>IF(Deployments!AM265="","",Deployments!AM265)</f>
        <v/>
      </c>
      <c r="E277" s="19">
        <f>IF(Deployments!I265="","",Deployments!I265)</f>
        <v/>
      </c>
      <c r="F277" s="19">
        <f>IF(Deployments!J265="","",Deployments!J265)</f>
        <v/>
      </c>
      <c r="G277" s="19">
        <f>IF(Deployments!K265="","",Deployments!K265)</f>
        <v/>
      </c>
      <c r="H277" s="19">
        <f>IF(Deployments!A265="","",Deployments!A265)</f>
        <v/>
      </c>
      <c r="I277" s="19">
        <f>IF(Deployments!AN265="","",Deployments!AN265)</f>
        <v/>
      </c>
      <c r="J277" s="19">
        <f>IF(Deployments!AO265="","",Deployments!AO265)</f>
        <v/>
      </c>
      <c r="K277" s="19">
        <f>IF(Deployments!AI265="","",Deployments!AI265)</f>
        <v/>
      </c>
      <c r="L277" s="19">
        <f>IF(Deployments!M265="","",Deployments!M265)</f>
        <v/>
      </c>
      <c r="M277" s="20" t="n"/>
      <c r="N277" s="19">
        <f>IF(Deployments!N265="","",Deployments!N265)</f>
        <v/>
      </c>
      <c r="O277" s="19">
        <f>IF(Deployments!O265="","",Deployments!O265)</f>
        <v/>
      </c>
      <c r="P277" s="19">
        <f>IF(Deployments!P265="","",Deployments!P265)</f>
        <v/>
      </c>
      <c r="Q277" s="20" t="n"/>
      <c r="R277" s="19">
        <f>IF(Deployments!BT265="","",Deployments!BT265)</f>
        <v/>
      </c>
      <c r="S277" s="19">
        <f>IF(Deployments!BS265="","",Deployments!BS265)</f>
        <v/>
      </c>
      <c r="T277" s="19">
        <f>IF(Deployments!BB265="","",Deployments!BB265)</f>
        <v/>
      </c>
      <c r="U277" s="19">
        <f>IF(Deployments!BR265="","",Deployments!BR265)</f>
        <v/>
      </c>
      <c r="V277" s="19">
        <f>IF(Deployments!BX265="","",Deployments!BX265)</f>
        <v/>
      </c>
      <c r="W277" s="19">
        <f>IF(Deployments!BY265="","",Deployments!BY265)</f>
        <v/>
      </c>
      <c r="X277" s="19">
        <f>IF(Deployments!CC265="","",Deployments!CC265)</f>
        <v/>
      </c>
      <c r="Y277" s="19">
        <f>IF(Deployments!BW265="","",Deployments!BW265)</f>
        <v/>
      </c>
      <c r="Z277" s="19">
        <f>IF(Deployments!U265="","",Deployments!U265)</f>
        <v/>
      </c>
      <c r="AA277" s="19">
        <f>IF(Deployments!L265="","",Deployments!L265)</f>
        <v/>
      </c>
    </row>
    <row r="278" ht="27.75" customHeight="1" s="91">
      <c r="A278" s="20" t="n"/>
      <c r="B278" s="20" t="n"/>
      <c r="C278" s="19">
        <f>IF(Deployments!H266="","",Deployments!H266)</f>
        <v/>
      </c>
      <c r="D278" s="19">
        <f>IF(Deployments!AM266="","",Deployments!AM266)</f>
        <v/>
      </c>
      <c r="E278" s="19">
        <f>IF(Deployments!I266="","",Deployments!I266)</f>
        <v/>
      </c>
      <c r="F278" s="19">
        <f>IF(Deployments!J266="","",Deployments!J266)</f>
        <v/>
      </c>
      <c r="G278" s="19">
        <f>IF(Deployments!K266="","",Deployments!K266)</f>
        <v/>
      </c>
      <c r="H278" s="19">
        <f>IF(Deployments!A266="","",Deployments!A266)</f>
        <v/>
      </c>
      <c r="I278" s="19">
        <f>IF(Deployments!AN266="","",Deployments!AN266)</f>
        <v/>
      </c>
      <c r="J278" s="19">
        <f>IF(Deployments!AO266="","",Deployments!AO266)</f>
        <v/>
      </c>
      <c r="K278" s="19">
        <f>IF(Deployments!AI266="","",Deployments!AI266)</f>
        <v/>
      </c>
      <c r="L278" s="19">
        <f>IF(Deployments!M266="","",Deployments!M266)</f>
        <v/>
      </c>
      <c r="M278" s="20" t="n"/>
      <c r="N278" s="19">
        <f>IF(Deployments!N266="","",Deployments!N266)</f>
        <v/>
      </c>
      <c r="O278" s="19">
        <f>IF(Deployments!O266="","",Deployments!O266)</f>
        <v/>
      </c>
      <c r="P278" s="19">
        <f>IF(Deployments!P266="","",Deployments!P266)</f>
        <v/>
      </c>
      <c r="Q278" s="20" t="n"/>
      <c r="R278" s="19">
        <f>IF(Deployments!BT266="","",Deployments!BT266)</f>
        <v/>
      </c>
      <c r="S278" s="19">
        <f>IF(Deployments!BS266="","",Deployments!BS266)</f>
        <v/>
      </c>
      <c r="T278" s="19">
        <f>IF(Deployments!BB266="","",Deployments!BB266)</f>
        <v/>
      </c>
      <c r="U278" s="19">
        <f>IF(Deployments!BR266="","",Deployments!BR266)</f>
        <v/>
      </c>
      <c r="V278" s="19">
        <f>IF(Deployments!BX266="","",Deployments!BX266)</f>
        <v/>
      </c>
      <c r="W278" s="19">
        <f>IF(Deployments!BY266="","",Deployments!BY266)</f>
        <v/>
      </c>
      <c r="X278" s="19">
        <f>IF(Deployments!CC266="","",Deployments!CC266)</f>
        <v/>
      </c>
      <c r="Y278" s="19">
        <f>IF(Deployments!BW266="","",Deployments!BW266)</f>
        <v/>
      </c>
      <c r="Z278" s="19">
        <f>IF(Deployments!U266="","",Deployments!U266)</f>
        <v/>
      </c>
      <c r="AA278" s="19">
        <f>IF(Deployments!L266="","",Deployments!L266)</f>
        <v/>
      </c>
    </row>
    <row r="279">
      <c r="A279" s="20" t="n"/>
      <c r="B279" s="20" t="n"/>
      <c r="C279" s="19">
        <f>IF(Deployments!H267="","",Deployments!H267)</f>
        <v/>
      </c>
      <c r="D279" s="19">
        <f>IF(Deployments!AM267="","",Deployments!AM267)</f>
        <v/>
      </c>
      <c r="E279" s="19">
        <f>IF(Deployments!I267="","",Deployments!I267)</f>
        <v/>
      </c>
      <c r="F279" s="19">
        <f>IF(Deployments!J267="","",Deployments!J267)</f>
        <v/>
      </c>
      <c r="G279" s="19">
        <f>IF(Deployments!K267="","",Deployments!K267)</f>
        <v/>
      </c>
      <c r="H279" s="19">
        <f>IF(Deployments!A267="","",Deployments!A267)</f>
        <v/>
      </c>
      <c r="I279" s="19">
        <f>IF(Deployments!AN267="","",Deployments!AN267)</f>
        <v/>
      </c>
      <c r="J279" s="19">
        <f>IF(Deployments!AO267="","",Deployments!AO267)</f>
        <v/>
      </c>
      <c r="K279" s="19">
        <f>IF(Deployments!AI267="","",Deployments!AI267)</f>
        <v/>
      </c>
      <c r="L279" s="19">
        <f>IF(Deployments!M267="","",Deployments!M267)</f>
        <v/>
      </c>
      <c r="M279" s="20" t="n"/>
      <c r="N279" s="19">
        <f>IF(Deployments!N267="","",Deployments!N267)</f>
        <v/>
      </c>
      <c r="O279" s="19">
        <f>IF(Deployments!O267="","",Deployments!O267)</f>
        <v/>
      </c>
      <c r="P279" s="19">
        <f>IF(Deployments!P267="","",Deployments!P267)</f>
        <v/>
      </c>
      <c r="Q279" s="20" t="n"/>
      <c r="R279" s="19">
        <f>IF(Deployments!BT267="","",Deployments!BT267)</f>
        <v/>
      </c>
      <c r="S279" s="19">
        <f>IF(Deployments!BS267="","",Deployments!BS267)</f>
        <v/>
      </c>
      <c r="T279" s="19">
        <f>IF(Deployments!BB267="","",Deployments!BB267)</f>
        <v/>
      </c>
      <c r="U279" s="19">
        <f>IF(Deployments!BR267="","",Deployments!BR267)</f>
        <v/>
      </c>
      <c r="V279" s="19">
        <f>IF(Deployments!BX267="","",Deployments!BX267)</f>
        <v/>
      </c>
      <c r="W279" s="19">
        <f>IF(Deployments!BY267="","",Deployments!BY267)</f>
        <v/>
      </c>
      <c r="X279" s="19">
        <f>IF(Deployments!CC267="","",Deployments!CC267)</f>
        <v/>
      </c>
      <c r="Y279" s="19">
        <f>IF(Deployments!BW267="","",Deployments!BW267)</f>
        <v/>
      </c>
      <c r="Z279" s="19">
        <f>IF(Deployments!U267="","",Deployments!U267)</f>
        <v/>
      </c>
      <c r="AA279" s="19">
        <f>IF(Deployments!L267="","",Deployments!L267)</f>
        <v/>
      </c>
    </row>
    <row r="280">
      <c r="A280" s="20" t="n"/>
      <c r="B280" s="20" t="n"/>
      <c r="C280" s="19">
        <f>IF(Deployments!H268="","",Deployments!H268)</f>
        <v/>
      </c>
      <c r="D280" s="19">
        <f>IF(Deployments!AM268="","",Deployments!AM268)</f>
        <v/>
      </c>
      <c r="E280" s="19">
        <f>IF(Deployments!I268="","",Deployments!I268)</f>
        <v/>
      </c>
      <c r="F280" s="19">
        <f>IF(Deployments!J268="","",Deployments!J268)</f>
        <v/>
      </c>
      <c r="G280" s="19">
        <f>IF(Deployments!K268="","",Deployments!K268)</f>
        <v/>
      </c>
      <c r="H280" s="19">
        <f>IF(Deployments!A268="","",Deployments!A268)</f>
        <v/>
      </c>
      <c r="I280" s="19">
        <f>IF(Deployments!AN268="","",Deployments!AN268)</f>
        <v/>
      </c>
      <c r="J280" s="19">
        <f>IF(Deployments!AO268="","",Deployments!AO268)</f>
        <v/>
      </c>
      <c r="K280" s="19">
        <f>IF(Deployments!AI268="","",Deployments!AI268)</f>
        <v/>
      </c>
      <c r="L280" s="19">
        <f>IF(Deployments!M268="","",Deployments!M268)</f>
        <v/>
      </c>
      <c r="M280" s="20" t="n"/>
      <c r="N280" s="19">
        <f>IF(Deployments!N268="","",Deployments!N268)</f>
        <v/>
      </c>
      <c r="O280" s="19">
        <f>IF(Deployments!O268="","",Deployments!O268)</f>
        <v/>
      </c>
      <c r="P280" s="19">
        <f>IF(Deployments!P268="","",Deployments!P268)</f>
        <v/>
      </c>
      <c r="Q280" s="20" t="n"/>
      <c r="R280" s="19">
        <f>IF(Deployments!BT268="","",Deployments!BT268)</f>
        <v/>
      </c>
      <c r="S280" s="19">
        <f>IF(Deployments!BS268="","",Deployments!BS268)</f>
        <v/>
      </c>
      <c r="T280" s="19">
        <f>IF(Deployments!BB268="","",Deployments!BB268)</f>
        <v/>
      </c>
      <c r="U280" s="19">
        <f>IF(Deployments!BR268="","",Deployments!BR268)</f>
        <v/>
      </c>
      <c r="V280" s="19">
        <f>IF(Deployments!BX268="","",Deployments!BX268)</f>
        <v/>
      </c>
      <c r="W280" s="19">
        <f>IF(Deployments!BY268="","",Deployments!BY268)</f>
        <v/>
      </c>
      <c r="X280" s="19">
        <f>IF(Deployments!CC268="","",Deployments!CC268)</f>
        <v/>
      </c>
      <c r="Y280" s="19">
        <f>IF(Deployments!BW268="","",Deployments!BW268)</f>
        <v/>
      </c>
      <c r="Z280" s="19">
        <f>IF(Deployments!U268="","",Deployments!U268)</f>
        <v/>
      </c>
      <c r="AA280" s="19">
        <f>IF(Deployments!L268="","",Deployments!L268)</f>
        <v/>
      </c>
    </row>
    <row r="281">
      <c r="A281" s="20" t="n"/>
      <c r="B281" s="20" t="n"/>
      <c r="C281" s="19">
        <f>IF(Deployments!H269="","",Deployments!H269)</f>
        <v/>
      </c>
      <c r="D281" s="19">
        <f>IF(Deployments!AM269="","",Deployments!AM269)</f>
        <v/>
      </c>
      <c r="E281" s="19">
        <f>IF(Deployments!I269="","",Deployments!I269)</f>
        <v/>
      </c>
      <c r="F281" s="19">
        <f>IF(Deployments!J269="","",Deployments!J269)</f>
        <v/>
      </c>
      <c r="G281" s="19">
        <f>IF(Deployments!K269="","",Deployments!K269)</f>
        <v/>
      </c>
      <c r="H281" s="19">
        <f>IF(Deployments!A269="","",Deployments!A269)</f>
        <v/>
      </c>
      <c r="I281" s="19">
        <f>IF(Deployments!AN269="","",Deployments!AN269)</f>
        <v/>
      </c>
      <c r="J281" s="19">
        <f>IF(Deployments!AO269="","",Deployments!AO269)</f>
        <v/>
      </c>
      <c r="K281" s="19">
        <f>IF(Deployments!AI269="","",Deployments!AI269)</f>
        <v/>
      </c>
      <c r="L281" s="19">
        <f>IF(Deployments!M269="","",Deployments!M269)</f>
        <v/>
      </c>
      <c r="M281" s="20" t="n"/>
      <c r="N281" s="19">
        <f>IF(Deployments!N269="","",Deployments!N269)</f>
        <v/>
      </c>
      <c r="O281" s="19">
        <f>IF(Deployments!O269="","",Deployments!O269)</f>
        <v/>
      </c>
      <c r="P281" s="19">
        <f>IF(Deployments!P269="","",Deployments!P269)</f>
        <v/>
      </c>
      <c r="Q281" s="20" t="n"/>
      <c r="R281" s="19">
        <f>IF(Deployments!BT269="","",Deployments!BT269)</f>
        <v/>
      </c>
      <c r="S281" s="19">
        <f>IF(Deployments!BS269="","",Deployments!BS269)</f>
        <v/>
      </c>
      <c r="T281" s="19">
        <f>IF(Deployments!BB269="","",Deployments!BB269)</f>
        <v/>
      </c>
      <c r="U281" s="19">
        <f>IF(Deployments!BR269="","",Deployments!BR269)</f>
        <v/>
      </c>
      <c r="V281" s="19">
        <f>IF(Deployments!BX269="","",Deployments!BX269)</f>
        <v/>
      </c>
      <c r="W281" s="19">
        <f>IF(Deployments!BY269="","",Deployments!BY269)</f>
        <v/>
      </c>
      <c r="X281" s="19">
        <f>IF(Deployments!CC269="","",Deployments!CC269)</f>
        <v/>
      </c>
      <c r="Y281" s="19">
        <f>IF(Deployments!BW269="","",Deployments!BW269)</f>
        <v/>
      </c>
      <c r="Z281" s="19">
        <f>IF(Deployments!U269="","",Deployments!U269)</f>
        <v/>
      </c>
      <c r="AA281" s="19">
        <f>IF(Deployments!L269="","",Deployments!L269)</f>
        <v/>
      </c>
    </row>
    <row r="282" ht="27.75" customHeight="1" s="91">
      <c r="A282" s="20" t="n"/>
      <c r="B282" s="20" t="n"/>
      <c r="C282" s="19">
        <f>IF(Deployments!H270="","",Deployments!H270)</f>
        <v/>
      </c>
      <c r="D282" s="19">
        <f>IF(Deployments!AM270="","",Deployments!AM270)</f>
        <v/>
      </c>
      <c r="E282" s="19">
        <f>IF(Deployments!I270="","",Deployments!I270)</f>
        <v/>
      </c>
      <c r="F282" s="19">
        <f>IF(Deployments!J270="","",Deployments!J270)</f>
        <v/>
      </c>
      <c r="G282" s="19">
        <f>IF(Deployments!K270="","",Deployments!K270)</f>
        <v/>
      </c>
      <c r="H282" s="19">
        <f>IF(Deployments!A270="","",Deployments!A270)</f>
        <v/>
      </c>
      <c r="I282" s="19">
        <f>IF(Deployments!AN270="","",Deployments!AN270)</f>
        <v/>
      </c>
      <c r="J282" s="19">
        <f>IF(Deployments!AO270="","",Deployments!AO270)</f>
        <v/>
      </c>
      <c r="K282" s="19">
        <f>IF(Deployments!AI270="","",Deployments!AI270)</f>
        <v/>
      </c>
      <c r="L282" s="19">
        <f>IF(Deployments!M270="","",Deployments!M270)</f>
        <v/>
      </c>
      <c r="M282" s="20" t="n"/>
      <c r="N282" s="19">
        <f>IF(Deployments!N270="","",Deployments!N270)</f>
        <v/>
      </c>
      <c r="O282" s="19">
        <f>IF(Deployments!O270="","",Deployments!O270)</f>
        <v/>
      </c>
      <c r="P282" s="19">
        <f>IF(Deployments!P270="","",Deployments!P270)</f>
        <v/>
      </c>
      <c r="Q282" s="20" t="n"/>
      <c r="R282" s="19">
        <f>IF(Deployments!BT270="","",Deployments!BT270)</f>
        <v/>
      </c>
      <c r="S282" s="19">
        <f>IF(Deployments!BS270="","",Deployments!BS270)</f>
        <v/>
      </c>
      <c r="T282" s="19">
        <f>IF(Deployments!BB270="","",Deployments!BB270)</f>
        <v/>
      </c>
      <c r="U282" s="19">
        <f>IF(Deployments!BR270="","",Deployments!BR270)</f>
        <v/>
      </c>
      <c r="V282" s="19">
        <f>IF(Deployments!BX270="","",Deployments!BX270)</f>
        <v/>
      </c>
      <c r="W282" s="19">
        <f>IF(Deployments!BY270="","",Deployments!BY270)</f>
        <v/>
      </c>
      <c r="X282" s="19">
        <f>IF(Deployments!CC270="","",Deployments!CC270)</f>
        <v/>
      </c>
      <c r="Y282" s="19">
        <f>IF(Deployments!BW270="","",Deployments!BW270)</f>
        <v/>
      </c>
      <c r="Z282" s="19">
        <f>IF(Deployments!U270="","",Deployments!U270)</f>
        <v/>
      </c>
      <c r="AA282" s="19">
        <f>IF(Deployments!L270="","",Deployments!L270)</f>
        <v/>
      </c>
    </row>
    <row r="283" ht="27.75" customHeight="1" s="91">
      <c r="A283" s="20" t="n"/>
      <c r="B283" s="20" t="n"/>
      <c r="C283" s="19">
        <f>IF(Deployments!H271="","",Deployments!H271)</f>
        <v/>
      </c>
      <c r="D283" s="19">
        <f>IF(Deployments!AM271="","",Deployments!AM271)</f>
        <v/>
      </c>
      <c r="E283" s="19">
        <f>IF(Deployments!I271="","",Deployments!I271)</f>
        <v/>
      </c>
      <c r="F283" s="19">
        <f>IF(Deployments!J271="","",Deployments!J271)</f>
        <v/>
      </c>
      <c r="G283" s="19">
        <f>IF(Deployments!K271="","",Deployments!K271)</f>
        <v/>
      </c>
      <c r="H283" s="19">
        <f>IF(Deployments!A271="","",Deployments!A271)</f>
        <v/>
      </c>
      <c r="I283" s="19">
        <f>IF(Deployments!AN271="","",Deployments!AN271)</f>
        <v/>
      </c>
      <c r="J283" s="19">
        <f>IF(Deployments!AO271="","",Deployments!AO271)</f>
        <v/>
      </c>
      <c r="K283" s="19">
        <f>IF(Deployments!AI271="","",Deployments!AI271)</f>
        <v/>
      </c>
      <c r="L283" s="19">
        <f>IF(Deployments!M271="","",Deployments!M271)</f>
        <v/>
      </c>
      <c r="M283" s="20" t="n"/>
      <c r="N283" s="19">
        <f>IF(Deployments!N271="","",Deployments!N271)</f>
        <v/>
      </c>
      <c r="O283" s="19">
        <f>IF(Deployments!O271="","",Deployments!O271)</f>
        <v/>
      </c>
      <c r="P283" s="19">
        <f>IF(Deployments!P271="","",Deployments!P271)</f>
        <v/>
      </c>
      <c r="Q283" s="20" t="n"/>
      <c r="R283" s="19">
        <f>IF(Deployments!BT271="","",Deployments!BT271)</f>
        <v/>
      </c>
      <c r="S283" s="19">
        <f>IF(Deployments!BS271="","",Deployments!BS271)</f>
        <v/>
      </c>
      <c r="T283" s="19">
        <f>IF(Deployments!BB271="","",Deployments!BB271)</f>
        <v/>
      </c>
      <c r="U283" s="19">
        <f>IF(Deployments!BR271="","",Deployments!BR271)</f>
        <v/>
      </c>
      <c r="V283" s="19">
        <f>IF(Deployments!BX271="","",Deployments!BX271)</f>
        <v/>
      </c>
      <c r="W283" s="19">
        <f>IF(Deployments!BY271="","",Deployments!BY271)</f>
        <v/>
      </c>
      <c r="X283" s="19">
        <f>IF(Deployments!CC271="","",Deployments!CC271)</f>
        <v/>
      </c>
      <c r="Y283" s="19">
        <f>IF(Deployments!BW271="","",Deployments!BW271)</f>
        <v/>
      </c>
      <c r="Z283" s="19">
        <f>IF(Deployments!U271="","",Deployments!U271)</f>
        <v/>
      </c>
      <c r="AA283" s="19">
        <f>IF(Deployments!L271="","",Deployments!L271)</f>
        <v/>
      </c>
    </row>
    <row r="284" ht="27.75" customHeight="1" s="91">
      <c r="A284" s="20" t="n"/>
      <c r="B284" s="20" t="n"/>
      <c r="C284" s="19">
        <f>IF(Deployments!H272="","",Deployments!H272)</f>
        <v/>
      </c>
      <c r="D284" s="19">
        <f>IF(Deployments!AM272="","",Deployments!AM272)</f>
        <v/>
      </c>
      <c r="E284" s="19">
        <f>IF(Deployments!I272="","",Deployments!I272)</f>
        <v/>
      </c>
      <c r="F284" s="19">
        <f>IF(Deployments!J272="","",Deployments!J272)</f>
        <v/>
      </c>
      <c r="G284" s="19">
        <f>IF(Deployments!K272="","",Deployments!K272)</f>
        <v/>
      </c>
      <c r="H284" s="19">
        <f>IF(Deployments!A272="","",Deployments!A272)</f>
        <v/>
      </c>
      <c r="I284" s="19">
        <f>IF(Deployments!AN272="","",Deployments!AN272)</f>
        <v/>
      </c>
      <c r="J284" s="19">
        <f>IF(Deployments!AO272="","",Deployments!AO272)</f>
        <v/>
      </c>
      <c r="K284" s="19">
        <f>IF(Deployments!AI272="","",Deployments!AI272)</f>
        <v/>
      </c>
      <c r="L284" s="19">
        <f>IF(Deployments!M272="","",Deployments!M272)</f>
        <v/>
      </c>
      <c r="M284" s="20" t="n"/>
      <c r="N284" s="19">
        <f>IF(Deployments!N272="","",Deployments!N272)</f>
        <v/>
      </c>
      <c r="O284" s="19">
        <f>IF(Deployments!O272="","",Deployments!O272)</f>
        <v/>
      </c>
      <c r="P284" s="19">
        <f>IF(Deployments!P272="","",Deployments!P272)</f>
        <v/>
      </c>
      <c r="Q284" s="20" t="n"/>
      <c r="R284" s="19">
        <f>IF(Deployments!BT272="","",Deployments!BT272)</f>
        <v/>
      </c>
      <c r="S284" s="19">
        <f>IF(Deployments!BS272="","",Deployments!BS272)</f>
        <v/>
      </c>
      <c r="T284" s="19">
        <f>IF(Deployments!BB272="","",Deployments!BB272)</f>
        <v/>
      </c>
      <c r="U284" s="19">
        <f>IF(Deployments!BR272="","",Deployments!BR272)</f>
        <v/>
      </c>
      <c r="V284" s="19">
        <f>IF(Deployments!BX272="","",Deployments!BX272)</f>
        <v/>
      </c>
      <c r="W284" s="19">
        <f>IF(Deployments!BY272="","",Deployments!BY272)</f>
        <v/>
      </c>
      <c r="X284" s="19">
        <f>IF(Deployments!CC272="","",Deployments!CC272)</f>
        <v/>
      </c>
      <c r="Y284" s="19">
        <f>IF(Deployments!BW272="","",Deployments!BW272)</f>
        <v/>
      </c>
      <c r="Z284" s="19">
        <f>IF(Deployments!U272="","",Deployments!U272)</f>
        <v/>
      </c>
      <c r="AA284" s="19">
        <f>IF(Deployments!L272="","",Deployments!L272)</f>
        <v/>
      </c>
    </row>
    <row r="285" ht="27.75" customHeight="1" s="91">
      <c r="A285" s="20" t="n"/>
      <c r="B285" s="20" t="n"/>
      <c r="C285" s="19">
        <f>IF(Deployments!H273="","",Deployments!H273)</f>
        <v/>
      </c>
      <c r="D285" s="19">
        <f>IF(Deployments!AM273="","",Deployments!AM273)</f>
        <v/>
      </c>
      <c r="E285" s="19">
        <f>IF(Deployments!I273="","",Deployments!I273)</f>
        <v/>
      </c>
      <c r="F285" s="19">
        <f>IF(Deployments!J273="","",Deployments!J273)</f>
        <v/>
      </c>
      <c r="G285" s="19">
        <f>IF(Deployments!K273="","",Deployments!K273)</f>
        <v/>
      </c>
      <c r="H285" s="19">
        <f>IF(Deployments!A273="","",Deployments!A273)</f>
        <v/>
      </c>
      <c r="I285" s="19">
        <f>IF(Deployments!AN273="","",Deployments!AN273)</f>
        <v/>
      </c>
      <c r="J285" s="19">
        <f>IF(Deployments!AO273="","",Deployments!AO273)</f>
        <v/>
      </c>
      <c r="K285" s="19">
        <f>IF(Deployments!AI273="","",Deployments!AI273)</f>
        <v/>
      </c>
      <c r="L285" s="19">
        <f>IF(Deployments!M273="","",Deployments!M273)</f>
        <v/>
      </c>
      <c r="M285" s="20" t="n"/>
      <c r="N285" s="19">
        <f>IF(Deployments!N273="","",Deployments!N273)</f>
        <v/>
      </c>
      <c r="O285" s="19">
        <f>IF(Deployments!O273="","",Deployments!O273)</f>
        <v/>
      </c>
      <c r="P285" s="19">
        <f>IF(Deployments!P273="","",Deployments!P273)</f>
        <v/>
      </c>
      <c r="Q285" s="20" t="n"/>
      <c r="R285" s="19">
        <f>IF(Deployments!BT273="","",Deployments!BT273)</f>
        <v/>
      </c>
      <c r="S285" s="19">
        <f>IF(Deployments!BS273="","",Deployments!BS273)</f>
        <v/>
      </c>
      <c r="T285" s="19">
        <f>IF(Deployments!BB273="","",Deployments!BB273)</f>
        <v/>
      </c>
      <c r="U285" s="19">
        <f>IF(Deployments!BR273="","",Deployments!BR273)</f>
        <v/>
      </c>
      <c r="V285" s="19">
        <f>IF(Deployments!BX273="","",Deployments!BX273)</f>
        <v/>
      </c>
      <c r="W285" s="19">
        <f>IF(Deployments!BY273="","",Deployments!BY273)</f>
        <v/>
      </c>
      <c r="X285" s="19">
        <f>IF(Deployments!CC273="","",Deployments!CC273)</f>
        <v/>
      </c>
      <c r="Y285" s="19">
        <f>IF(Deployments!BW273="","",Deployments!BW273)</f>
        <v/>
      </c>
      <c r="Z285" s="19">
        <f>IF(Deployments!U273="","",Deployments!U273)</f>
        <v/>
      </c>
      <c r="AA285" s="19">
        <f>IF(Deployments!L273="","",Deployments!L273)</f>
        <v/>
      </c>
    </row>
    <row r="286">
      <c r="A286" s="20" t="n"/>
      <c r="B286" s="20" t="n"/>
      <c r="C286" s="19">
        <f>IF(Deployments!H274="","",Deployments!H274)</f>
        <v/>
      </c>
      <c r="D286" s="19">
        <f>IF(Deployments!AM274="","",Deployments!AM274)</f>
        <v/>
      </c>
      <c r="E286" s="19">
        <f>IF(Deployments!I274="","",Deployments!I274)</f>
        <v/>
      </c>
      <c r="F286" s="19">
        <f>IF(Deployments!J274="","",Deployments!J274)</f>
        <v/>
      </c>
      <c r="G286" s="19">
        <f>IF(Deployments!K274="","",Deployments!K274)</f>
        <v/>
      </c>
      <c r="H286" s="19">
        <f>IF(Deployments!A274="","",Deployments!A274)</f>
        <v/>
      </c>
      <c r="I286" s="19">
        <f>IF(Deployments!AN274="","",Deployments!AN274)</f>
        <v/>
      </c>
      <c r="J286" s="19">
        <f>IF(Deployments!AO274="","",Deployments!AO274)</f>
        <v/>
      </c>
      <c r="K286" s="19">
        <f>IF(Deployments!AI274="","",Deployments!AI274)</f>
        <v/>
      </c>
      <c r="L286" s="19">
        <f>IF(Deployments!M274="","",Deployments!M274)</f>
        <v/>
      </c>
      <c r="M286" s="20" t="n"/>
      <c r="N286" s="19">
        <f>IF(Deployments!N274="","",Deployments!N274)</f>
        <v/>
      </c>
      <c r="O286" s="19">
        <f>IF(Deployments!O274="","",Deployments!O274)</f>
        <v/>
      </c>
      <c r="P286" s="19">
        <f>IF(Deployments!P274="","",Deployments!P274)</f>
        <v/>
      </c>
      <c r="Q286" s="20" t="n"/>
      <c r="R286" s="19">
        <f>IF(Deployments!BT274="","",Deployments!BT274)</f>
        <v/>
      </c>
      <c r="S286" s="19">
        <f>IF(Deployments!BS274="","",Deployments!BS274)</f>
        <v/>
      </c>
      <c r="T286" s="19">
        <f>IF(Deployments!BB274="","",Deployments!BB274)</f>
        <v/>
      </c>
      <c r="U286" s="19">
        <f>IF(Deployments!BR274="","",Deployments!BR274)</f>
        <v/>
      </c>
      <c r="V286" s="19">
        <f>IF(Deployments!BX274="","",Deployments!BX274)</f>
        <v/>
      </c>
      <c r="W286" s="19">
        <f>IF(Deployments!BY274="","",Deployments!BY274)</f>
        <v/>
      </c>
      <c r="X286" s="19">
        <f>IF(Deployments!CC274="","",Deployments!CC274)</f>
        <v/>
      </c>
      <c r="Y286" s="19">
        <f>IF(Deployments!BW274="","",Deployments!BW274)</f>
        <v/>
      </c>
      <c r="Z286" s="19">
        <f>IF(Deployments!U274="","",Deployments!U274)</f>
        <v/>
      </c>
      <c r="AA286" s="19">
        <f>IF(Deployments!L274="","",Deployments!L274)</f>
        <v/>
      </c>
    </row>
    <row r="287">
      <c r="A287" s="20" t="n"/>
      <c r="B287" s="20" t="n"/>
      <c r="C287" s="19">
        <f>IF(Deployments!H275="","",Deployments!H275)</f>
        <v/>
      </c>
      <c r="D287" s="19">
        <f>IF(Deployments!AM275="","",Deployments!AM275)</f>
        <v/>
      </c>
      <c r="E287" s="19">
        <f>IF(Deployments!I275="","",Deployments!I275)</f>
        <v/>
      </c>
      <c r="F287" s="19">
        <f>IF(Deployments!J275="","",Deployments!J275)</f>
        <v/>
      </c>
      <c r="G287" s="19">
        <f>IF(Deployments!K275="","",Deployments!K275)</f>
        <v/>
      </c>
      <c r="H287" s="19">
        <f>IF(Deployments!A275="","",Deployments!A275)</f>
        <v/>
      </c>
      <c r="I287" s="19">
        <f>IF(Deployments!AN275="","",Deployments!AN275)</f>
        <v/>
      </c>
      <c r="J287" s="19">
        <f>IF(Deployments!AO275="","",Deployments!AO275)</f>
        <v/>
      </c>
      <c r="K287" s="19">
        <f>IF(Deployments!AI275="","",Deployments!AI275)</f>
        <v/>
      </c>
      <c r="L287" s="19">
        <f>IF(Deployments!M275="","",Deployments!M275)</f>
        <v/>
      </c>
      <c r="M287" s="20" t="n"/>
      <c r="N287" s="19">
        <f>IF(Deployments!N275="","",Deployments!N275)</f>
        <v/>
      </c>
      <c r="O287" s="19">
        <f>IF(Deployments!O275="","",Deployments!O275)</f>
        <v/>
      </c>
      <c r="P287" s="19">
        <f>IF(Deployments!P275="","",Deployments!P275)</f>
        <v/>
      </c>
      <c r="Q287" s="20" t="n"/>
      <c r="R287" s="19">
        <f>IF(Deployments!BT275="","",Deployments!BT275)</f>
        <v/>
      </c>
      <c r="S287" s="19">
        <f>IF(Deployments!BS275="","",Deployments!BS275)</f>
        <v/>
      </c>
      <c r="T287" s="19">
        <f>IF(Deployments!BB275="","",Deployments!BB275)</f>
        <v/>
      </c>
      <c r="U287" s="19">
        <f>IF(Deployments!BR275="","",Deployments!BR275)</f>
        <v/>
      </c>
      <c r="V287" s="19">
        <f>IF(Deployments!BX275="","",Deployments!BX275)</f>
        <v/>
      </c>
      <c r="W287" s="19">
        <f>IF(Deployments!BY275="","",Deployments!BY275)</f>
        <v/>
      </c>
      <c r="X287" s="19">
        <f>IF(Deployments!CC275="","",Deployments!CC275)</f>
        <v/>
      </c>
      <c r="Y287" s="19">
        <f>IF(Deployments!BW275="","",Deployments!BW275)</f>
        <v/>
      </c>
      <c r="Z287" s="19">
        <f>IF(Deployments!U275="","",Deployments!U275)</f>
        <v/>
      </c>
      <c r="AA287" s="19">
        <f>IF(Deployments!L275="","",Deployments!L275)</f>
        <v/>
      </c>
    </row>
    <row r="288">
      <c r="A288" s="20" t="n"/>
      <c r="B288" s="20" t="n"/>
      <c r="C288" s="19">
        <f>IF(Deployments!H276="","",Deployments!H276)</f>
        <v/>
      </c>
      <c r="D288" s="19">
        <f>IF(Deployments!AM276="","",Deployments!AM276)</f>
        <v/>
      </c>
      <c r="E288" s="19">
        <f>IF(Deployments!I276="","",Deployments!I276)</f>
        <v/>
      </c>
      <c r="F288" s="19">
        <f>IF(Deployments!J276="","",Deployments!J276)</f>
        <v/>
      </c>
      <c r="G288" s="19">
        <f>IF(Deployments!K276="","",Deployments!K276)</f>
        <v/>
      </c>
      <c r="H288" s="19">
        <f>IF(Deployments!A276="","",Deployments!A276)</f>
        <v/>
      </c>
      <c r="I288" s="19">
        <f>IF(Deployments!AN276="","",Deployments!AN276)</f>
        <v/>
      </c>
      <c r="J288" s="19">
        <f>IF(Deployments!AO276="","",Deployments!AO276)</f>
        <v/>
      </c>
      <c r="K288" s="19">
        <f>IF(Deployments!AI276="","",Deployments!AI276)</f>
        <v/>
      </c>
      <c r="L288" s="19">
        <f>IF(Deployments!M276="","",Deployments!M276)</f>
        <v/>
      </c>
      <c r="M288" s="20" t="n"/>
      <c r="N288" s="19">
        <f>IF(Deployments!N276="","",Deployments!N276)</f>
        <v/>
      </c>
      <c r="O288" s="19">
        <f>IF(Deployments!O276="","",Deployments!O276)</f>
        <v/>
      </c>
      <c r="P288" s="19">
        <f>IF(Deployments!P276="","",Deployments!P276)</f>
        <v/>
      </c>
      <c r="Q288" s="20" t="n"/>
      <c r="R288" s="19">
        <f>IF(Deployments!BT276="","",Deployments!BT276)</f>
        <v/>
      </c>
      <c r="S288" s="19">
        <f>IF(Deployments!BS276="","",Deployments!BS276)</f>
        <v/>
      </c>
      <c r="T288" s="19">
        <f>IF(Deployments!BB276="","",Deployments!BB276)</f>
        <v/>
      </c>
      <c r="U288" s="19">
        <f>IF(Deployments!BR276="","",Deployments!BR276)</f>
        <v/>
      </c>
      <c r="V288" s="19">
        <f>IF(Deployments!BX276="","",Deployments!BX276)</f>
        <v/>
      </c>
      <c r="W288" s="19">
        <f>IF(Deployments!BY276="","",Deployments!BY276)</f>
        <v/>
      </c>
      <c r="X288" s="19">
        <f>IF(Deployments!CC276="","",Deployments!CC276)</f>
        <v/>
      </c>
      <c r="Y288" s="19">
        <f>IF(Deployments!BW276="","",Deployments!BW276)</f>
        <v/>
      </c>
      <c r="Z288" s="19">
        <f>IF(Deployments!U276="","",Deployments!U276)</f>
        <v/>
      </c>
      <c r="AA288" s="19">
        <f>IF(Deployments!L276="","",Deployments!L276)</f>
        <v/>
      </c>
    </row>
    <row r="289">
      <c r="A289" s="20" t="n"/>
      <c r="B289" s="20" t="n"/>
      <c r="C289" s="19">
        <f>IF(Deployments!H277="","",Deployments!H277)</f>
        <v/>
      </c>
      <c r="D289" s="19">
        <f>IF(Deployments!AM277="","",Deployments!AM277)</f>
        <v/>
      </c>
      <c r="E289" s="19">
        <f>IF(Deployments!I277="","",Deployments!I277)</f>
        <v/>
      </c>
      <c r="F289" s="19">
        <f>IF(Deployments!J277="","",Deployments!J277)</f>
        <v/>
      </c>
      <c r="G289" s="19">
        <f>IF(Deployments!K277="","",Deployments!K277)</f>
        <v/>
      </c>
      <c r="H289" s="19">
        <f>IF(Deployments!A277="","",Deployments!A277)</f>
        <v/>
      </c>
      <c r="I289" s="19">
        <f>IF(Deployments!AN277="","",Deployments!AN277)</f>
        <v/>
      </c>
      <c r="J289" s="19">
        <f>IF(Deployments!AO277="","",Deployments!AO277)</f>
        <v/>
      </c>
      <c r="K289" s="19">
        <f>IF(Deployments!AI277="","",Deployments!AI277)</f>
        <v/>
      </c>
      <c r="L289" s="19">
        <f>IF(Deployments!M277="","",Deployments!M277)</f>
        <v/>
      </c>
      <c r="M289" s="20" t="n"/>
      <c r="N289" s="19">
        <f>IF(Deployments!N277="","",Deployments!N277)</f>
        <v/>
      </c>
      <c r="O289" s="19">
        <f>IF(Deployments!O277="","",Deployments!O277)</f>
        <v/>
      </c>
      <c r="P289" s="19">
        <f>IF(Deployments!P277="","",Deployments!P277)</f>
        <v/>
      </c>
      <c r="Q289" s="20" t="n"/>
      <c r="R289" s="19">
        <f>IF(Deployments!BT277="","",Deployments!BT277)</f>
        <v/>
      </c>
      <c r="S289" s="19">
        <f>IF(Deployments!BS277="","",Deployments!BS277)</f>
        <v/>
      </c>
      <c r="T289" s="19">
        <f>IF(Deployments!BB277="","",Deployments!BB277)</f>
        <v/>
      </c>
      <c r="U289" s="19">
        <f>IF(Deployments!BR277="","",Deployments!BR277)</f>
        <v/>
      </c>
      <c r="V289" s="19">
        <f>IF(Deployments!BX277="","",Deployments!BX277)</f>
        <v/>
      </c>
      <c r="W289" s="19">
        <f>IF(Deployments!BY277="","",Deployments!BY277)</f>
        <v/>
      </c>
      <c r="X289" s="19">
        <f>IF(Deployments!CC277="","",Deployments!CC277)</f>
        <v/>
      </c>
      <c r="Y289" s="19">
        <f>IF(Deployments!BW277="","",Deployments!BW277)</f>
        <v/>
      </c>
      <c r="Z289" s="19">
        <f>IF(Deployments!U277="","",Deployments!U277)</f>
        <v/>
      </c>
      <c r="AA289" s="19">
        <f>IF(Deployments!L277="","",Deployments!L277)</f>
        <v/>
      </c>
    </row>
    <row r="290" ht="41.25" customHeight="1" s="91">
      <c r="A290" s="20" t="n"/>
      <c r="B290" s="20" t="n"/>
      <c r="C290" s="19">
        <f>IF(Deployments!H278="","",Deployments!H278)</f>
        <v/>
      </c>
      <c r="D290" s="19">
        <f>IF(Deployments!AM278="","",Deployments!AM278)</f>
        <v/>
      </c>
      <c r="E290" s="19">
        <f>IF(Deployments!I278="","",Deployments!I278)</f>
        <v/>
      </c>
      <c r="F290" s="19">
        <f>IF(Deployments!J278="","",Deployments!J278)</f>
        <v/>
      </c>
      <c r="G290" s="19">
        <f>IF(Deployments!K278="","",Deployments!K278)</f>
        <v/>
      </c>
      <c r="H290" s="19">
        <f>IF(Deployments!A278="","",Deployments!A278)</f>
        <v/>
      </c>
      <c r="I290" s="19">
        <f>IF(Deployments!AN278="","",Deployments!AN278)</f>
        <v/>
      </c>
      <c r="J290" s="19">
        <f>IF(Deployments!AO278="","",Deployments!AO278)</f>
        <v/>
      </c>
      <c r="K290" s="19">
        <f>IF(Deployments!AI278="","",Deployments!AI278)</f>
        <v/>
      </c>
      <c r="L290" s="19">
        <f>IF(Deployments!M278="","",Deployments!M278)</f>
        <v/>
      </c>
      <c r="M290" s="20" t="n"/>
      <c r="N290" s="19">
        <f>IF(Deployments!N278="","",Deployments!N278)</f>
        <v/>
      </c>
      <c r="O290" s="19">
        <f>IF(Deployments!O278="","",Deployments!O278)</f>
        <v/>
      </c>
      <c r="P290" s="19">
        <f>IF(Deployments!P278="","",Deployments!P278)</f>
        <v/>
      </c>
      <c r="Q290" s="20" t="n"/>
      <c r="R290" s="19">
        <f>IF(Deployments!BT278="","",Deployments!BT278)</f>
        <v/>
      </c>
      <c r="S290" s="19">
        <f>IF(Deployments!BS278="","",Deployments!BS278)</f>
        <v/>
      </c>
      <c r="T290" s="19">
        <f>IF(Deployments!BB278="","",Deployments!BB278)</f>
        <v/>
      </c>
      <c r="U290" s="19">
        <f>IF(Deployments!BR278="","",Deployments!BR278)</f>
        <v/>
      </c>
      <c r="V290" s="19">
        <f>IF(Deployments!BX278="","",Deployments!BX278)</f>
        <v/>
      </c>
      <c r="W290" s="19">
        <f>IF(Deployments!BY278="","",Deployments!BY278)</f>
        <v/>
      </c>
      <c r="X290" s="19">
        <f>IF(Deployments!CC278="","",Deployments!CC278)</f>
        <v/>
      </c>
      <c r="Y290" s="19">
        <f>IF(Deployments!BW278="","",Deployments!BW278)</f>
        <v/>
      </c>
      <c r="Z290" s="19">
        <f>IF(Deployments!U278="","",Deployments!U278)</f>
        <v/>
      </c>
      <c r="AA290" s="19">
        <f>IF(Deployments!L278="","",Deployments!L278)</f>
        <v/>
      </c>
    </row>
    <row r="291" ht="41.25" customHeight="1" s="91">
      <c r="A291" s="20" t="n"/>
      <c r="B291" s="20" t="n"/>
      <c r="C291" s="19">
        <f>IF(Deployments!H279="","",Deployments!H279)</f>
        <v/>
      </c>
      <c r="D291" s="19">
        <f>IF(Deployments!AM279="","",Deployments!AM279)</f>
        <v/>
      </c>
      <c r="E291" s="19">
        <f>IF(Deployments!I279="","",Deployments!I279)</f>
        <v/>
      </c>
      <c r="F291" s="19">
        <f>IF(Deployments!J279="","",Deployments!J279)</f>
        <v/>
      </c>
      <c r="G291" s="19">
        <f>IF(Deployments!K279="","",Deployments!K279)</f>
        <v/>
      </c>
      <c r="H291" s="19">
        <f>IF(Deployments!A279="","",Deployments!A279)</f>
        <v/>
      </c>
      <c r="I291" s="19">
        <f>IF(Deployments!AN279="","",Deployments!AN279)</f>
        <v/>
      </c>
      <c r="J291" s="19">
        <f>IF(Deployments!AO279="","",Deployments!AO279)</f>
        <v/>
      </c>
      <c r="K291" s="19">
        <f>IF(Deployments!AI279="","",Deployments!AI279)</f>
        <v/>
      </c>
      <c r="L291" s="19">
        <f>IF(Deployments!M279="","",Deployments!M279)</f>
        <v/>
      </c>
      <c r="M291" s="20" t="n"/>
      <c r="N291" s="19">
        <f>IF(Deployments!N279="","",Deployments!N279)</f>
        <v/>
      </c>
      <c r="O291" s="19">
        <f>IF(Deployments!O279="","",Deployments!O279)</f>
        <v/>
      </c>
      <c r="P291" s="19">
        <f>IF(Deployments!P279="","",Deployments!P279)</f>
        <v/>
      </c>
      <c r="Q291" s="20" t="n"/>
      <c r="R291" s="19">
        <f>IF(Deployments!BT279="","",Deployments!BT279)</f>
        <v/>
      </c>
      <c r="S291" s="19">
        <f>IF(Deployments!BS279="","",Deployments!BS279)</f>
        <v/>
      </c>
      <c r="T291" s="19">
        <f>IF(Deployments!BB279="","",Deployments!BB279)</f>
        <v/>
      </c>
      <c r="U291" s="19">
        <f>IF(Deployments!BR279="","",Deployments!BR279)</f>
        <v/>
      </c>
      <c r="V291" s="19">
        <f>IF(Deployments!BX279="","",Deployments!BX279)</f>
        <v/>
      </c>
      <c r="W291" s="19">
        <f>IF(Deployments!BY279="","",Deployments!BY279)</f>
        <v/>
      </c>
      <c r="X291" s="19">
        <f>IF(Deployments!CC279="","",Deployments!CC279)</f>
        <v/>
      </c>
      <c r="Y291" s="19">
        <f>IF(Deployments!BW279="","",Deployments!BW279)</f>
        <v/>
      </c>
      <c r="Z291" s="19">
        <f>IF(Deployments!U279="","",Deployments!U279)</f>
        <v/>
      </c>
      <c r="AA291" s="19">
        <f>IF(Deployments!L279="","",Deployments!L279)</f>
        <v/>
      </c>
    </row>
    <row r="292" ht="41.25" customHeight="1" s="91">
      <c r="A292" s="20" t="n"/>
      <c r="B292" s="20" t="n"/>
      <c r="C292" s="19">
        <f>IF(Deployments!H280="","",Deployments!H280)</f>
        <v/>
      </c>
      <c r="D292" s="19">
        <f>IF(Deployments!AM280="","",Deployments!AM280)</f>
        <v/>
      </c>
      <c r="E292" s="19">
        <f>IF(Deployments!I280="","",Deployments!I280)</f>
        <v/>
      </c>
      <c r="F292" s="19">
        <f>IF(Deployments!J280="","",Deployments!J280)</f>
        <v/>
      </c>
      <c r="G292" s="19">
        <f>IF(Deployments!K280="","",Deployments!K280)</f>
        <v/>
      </c>
      <c r="H292" s="19">
        <f>IF(Deployments!A280="","",Deployments!A280)</f>
        <v/>
      </c>
      <c r="I292" s="19">
        <f>IF(Deployments!AN280="","",Deployments!AN280)</f>
        <v/>
      </c>
      <c r="J292" s="19">
        <f>IF(Deployments!AO280="","",Deployments!AO280)</f>
        <v/>
      </c>
      <c r="K292" s="19">
        <f>IF(Deployments!AI280="","",Deployments!AI280)</f>
        <v/>
      </c>
      <c r="L292" s="19">
        <f>IF(Deployments!M280="","",Deployments!M280)</f>
        <v/>
      </c>
      <c r="M292" s="20" t="n"/>
      <c r="N292" s="19">
        <f>IF(Deployments!N280="","",Deployments!N280)</f>
        <v/>
      </c>
      <c r="O292" s="19">
        <f>IF(Deployments!O280="","",Deployments!O280)</f>
        <v/>
      </c>
      <c r="P292" s="19">
        <f>IF(Deployments!P280="","",Deployments!P280)</f>
        <v/>
      </c>
      <c r="Q292" s="20" t="n"/>
      <c r="R292" s="19">
        <f>IF(Deployments!BT280="","",Deployments!BT280)</f>
        <v/>
      </c>
      <c r="S292" s="19">
        <f>IF(Deployments!BS280="","",Deployments!BS280)</f>
        <v/>
      </c>
      <c r="T292" s="19">
        <f>IF(Deployments!BB280="","",Deployments!BB280)</f>
        <v/>
      </c>
      <c r="U292" s="19">
        <f>IF(Deployments!BR280="","",Deployments!BR280)</f>
        <v/>
      </c>
      <c r="V292" s="19">
        <f>IF(Deployments!BX280="","",Deployments!BX280)</f>
        <v/>
      </c>
      <c r="W292" s="19">
        <f>IF(Deployments!BY280="","",Deployments!BY280)</f>
        <v/>
      </c>
      <c r="X292" s="19">
        <f>IF(Deployments!CC280="","",Deployments!CC280)</f>
        <v/>
      </c>
      <c r="Y292" s="19">
        <f>IF(Deployments!BW280="","",Deployments!BW280)</f>
        <v/>
      </c>
      <c r="Z292" s="19">
        <f>IF(Deployments!U280="","",Deployments!U280)</f>
        <v/>
      </c>
      <c r="AA292" s="19">
        <f>IF(Deployments!L280="","",Deployments!L280)</f>
        <v/>
      </c>
    </row>
    <row r="293" ht="41.25" customHeight="1" s="91">
      <c r="A293" s="20" t="n"/>
      <c r="B293" s="20" t="n"/>
      <c r="C293" s="19">
        <f>IF(Deployments!H281="","",Deployments!H281)</f>
        <v/>
      </c>
      <c r="D293" s="19">
        <f>IF(Deployments!AM281="","",Deployments!AM281)</f>
        <v/>
      </c>
      <c r="E293" s="19">
        <f>IF(Deployments!I281="","",Deployments!I281)</f>
        <v/>
      </c>
      <c r="F293" s="19">
        <f>IF(Deployments!J281="","",Deployments!J281)</f>
        <v/>
      </c>
      <c r="G293" s="19">
        <f>IF(Deployments!K281="","",Deployments!K281)</f>
        <v/>
      </c>
      <c r="H293" s="19">
        <f>IF(Deployments!A281="","",Deployments!A281)</f>
        <v/>
      </c>
      <c r="I293" s="19">
        <f>IF(Deployments!AN281="","",Deployments!AN281)</f>
        <v/>
      </c>
      <c r="J293" s="19">
        <f>IF(Deployments!AO281="","",Deployments!AO281)</f>
        <v/>
      </c>
      <c r="K293" s="19">
        <f>IF(Deployments!AI281="","",Deployments!AI281)</f>
        <v/>
      </c>
      <c r="L293" s="19">
        <f>IF(Deployments!M281="","",Deployments!M281)</f>
        <v/>
      </c>
      <c r="M293" s="20" t="n"/>
      <c r="N293" s="19">
        <f>IF(Deployments!N281="","",Deployments!N281)</f>
        <v/>
      </c>
      <c r="O293" s="19">
        <f>IF(Deployments!O281="","",Deployments!O281)</f>
        <v/>
      </c>
      <c r="P293" s="19">
        <f>IF(Deployments!P281="","",Deployments!P281)</f>
        <v/>
      </c>
      <c r="Q293" s="20" t="n"/>
      <c r="R293" s="19">
        <f>IF(Deployments!BT281="","",Deployments!BT281)</f>
        <v/>
      </c>
      <c r="S293" s="19">
        <f>IF(Deployments!BS281="","",Deployments!BS281)</f>
        <v/>
      </c>
      <c r="T293" s="19">
        <f>IF(Deployments!BB281="","",Deployments!BB281)</f>
        <v/>
      </c>
      <c r="U293" s="19">
        <f>IF(Deployments!BR281="","",Deployments!BR281)</f>
        <v/>
      </c>
      <c r="V293" s="19">
        <f>IF(Deployments!BX281="","",Deployments!BX281)</f>
        <v/>
      </c>
      <c r="W293" s="19">
        <f>IF(Deployments!BY281="","",Deployments!BY281)</f>
        <v/>
      </c>
      <c r="X293" s="19">
        <f>IF(Deployments!CC281="","",Deployments!CC281)</f>
        <v/>
      </c>
      <c r="Y293" s="19">
        <f>IF(Deployments!BW281="","",Deployments!BW281)</f>
        <v/>
      </c>
      <c r="Z293" s="19">
        <f>IF(Deployments!U281="","",Deployments!U281)</f>
        <v/>
      </c>
      <c r="AA293" s="19">
        <f>IF(Deployments!L281="","",Deployments!L281)</f>
        <v/>
      </c>
    </row>
    <row r="294" ht="41.25" customHeight="1" s="91">
      <c r="A294" s="20" t="n"/>
      <c r="B294" s="20" t="n"/>
      <c r="C294" s="19">
        <f>IF(Deployments!H282="","",Deployments!H282)</f>
        <v/>
      </c>
      <c r="D294" s="19">
        <f>IF(Deployments!AM282="","",Deployments!AM282)</f>
        <v/>
      </c>
      <c r="E294" s="19">
        <f>IF(Deployments!I282="","",Deployments!I282)</f>
        <v/>
      </c>
      <c r="F294" s="19">
        <f>IF(Deployments!J282="","",Deployments!J282)</f>
        <v/>
      </c>
      <c r="G294" s="19">
        <f>IF(Deployments!K282="","",Deployments!K282)</f>
        <v/>
      </c>
      <c r="H294" s="19">
        <f>IF(Deployments!A282="","",Deployments!A282)</f>
        <v/>
      </c>
      <c r="I294" s="19">
        <f>IF(Deployments!AN282="","",Deployments!AN282)</f>
        <v/>
      </c>
      <c r="J294" s="19">
        <f>IF(Deployments!AO282="","",Deployments!AO282)</f>
        <v/>
      </c>
      <c r="K294" s="19">
        <f>IF(Deployments!AI282="","",Deployments!AI282)</f>
        <v/>
      </c>
      <c r="L294" s="19">
        <f>IF(Deployments!M282="","",Deployments!M282)</f>
        <v/>
      </c>
      <c r="M294" s="20" t="n"/>
      <c r="N294" s="19">
        <f>IF(Deployments!N282="","",Deployments!N282)</f>
        <v/>
      </c>
      <c r="O294" s="19">
        <f>IF(Deployments!O282="","",Deployments!O282)</f>
        <v/>
      </c>
      <c r="P294" s="19">
        <f>IF(Deployments!P282="","",Deployments!P282)</f>
        <v/>
      </c>
      <c r="Q294" s="20" t="n"/>
      <c r="R294" s="19">
        <f>IF(Deployments!BT282="","",Deployments!BT282)</f>
        <v/>
      </c>
      <c r="S294" s="19">
        <f>IF(Deployments!BS282="","",Deployments!BS282)</f>
        <v/>
      </c>
      <c r="T294" s="19">
        <f>IF(Deployments!BB282="","",Deployments!BB282)</f>
        <v/>
      </c>
      <c r="U294" s="19">
        <f>IF(Deployments!BR282="","",Deployments!BR282)</f>
        <v/>
      </c>
      <c r="V294" s="19">
        <f>IF(Deployments!BX282="","",Deployments!BX282)</f>
        <v/>
      </c>
      <c r="W294" s="19">
        <f>IF(Deployments!BY282="","",Deployments!BY282)</f>
        <v/>
      </c>
      <c r="X294" s="19">
        <f>IF(Deployments!CC282="","",Deployments!CC282)</f>
        <v/>
      </c>
      <c r="Y294" s="19">
        <f>IF(Deployments!BW282="","",Deployments!BW282)</f>
        <v/>
      </c>
      <c r="Z294" s="19">
        <f>IF(Deployments!U282="","",Deployments!U282)</f>
        <v/>
      </c>
      <c r="AA294" s="19">
        <f>IF(Deployments!L282="","",Deployments!L282)</f>
        <v/>
      </c>
    </row>
    <row r="295" ht="41.25" customHeight="1" s="91">
      <c r="A295" s="20" t="n"/>
      <c r="B295" s="20" t="n"/>
      <c r="C295" s="19">
        <f>IF(Deployments!H283="","",Deployments!H283)</f>
        <v/>
      </c>
      <c r="D295" s="19">
        <f>IF(Deployments!AM283="","",Deployments!AM283)</f>
        <v/>
      </c>
      <c r="E295" s="19">
        <f>IF(Deployments!I283="","",Deployments!I283)</f>
        <v/>
      </c>
      <c r="F295" s="19">
        <f>IF(Deployments!J283="","",Deployments!J283)</f>
        <v/>
      </c>
      <c r="G295" s="19">
        <f>IF(Deployments!K283="","",Deployments!K283)</f>
        <v/>
      </c>
      <c r="H295" s="19">
        <f>IF(Deployments!A283="","",Deployments!A283)</f>
        <v/>
      </c>
      <c r="I295" s="19">
        <f>IF(Deployments!AN283="","",Deployments!AN283)</f>
        <v/>
      </c>
      <c r="J295" s="19">
        <f>IF(Deployments!AO283="","",Deployments!AO283)</f>
        <v/>
      </c>
      <c r="K295" s="19">
        <f>IF(Deployments!AI283="","",Deployments!AI283)</f>
        <v/>
      </c>
      <c r="L295" s="19">
        <f>IF(Deployments!M283="","",Deployments!M283)</f>
        <v/>
      </c>
      <c r="M295" s="20" t="n"/>
      <c r="N295" s="19">
        <f>IF(Deployments!N283="","",Deployments!N283)</f>
        <v/>
      </c>
      <c r="O295" s="19">
        <f>IF(Deployments!O283="","",Deployments!O283)</f>
        <v/>
      </c>
      <c r="P295" s="19">
        <f>IF(Deployments!P283="","",Deployments!P283)</f>
        <v/>
      </c>
      <c r="Q295" s="20" t="n"/>
      <c r="R295" s="19">
        <f>IF(Deployments!BT283="","",Deployments!BT283)</f>
        <v/>
      </c>
      <c r="S295" s="19">
        <f>IF(Deployments!BS283="","",Deployments!BS283)</f>
        <v/>
      </c>
      <c r="T295" s="19">
        <f>IF(Deployments!BB283="","",Deployments!BB283)</f>
        <v/>
      </c>
      <c r="U295" s="19">
        <f>IF(Deployments!BR283="","",Deployments!BR283)</f>
        <v/>
      </c>
      <c r="V295" s="19">
        <f>IF(Deployments!BX283="","",Deployments!BX283)</f>
        <v/>
      </c>
      <c r="W295" s="19">
        <f>IF(Deployments!BY283="","",Deployments!BY283)</f>
        <v/>
      </c>
      <c r="X295" s="19">
        <f>IF(Deployments!CC283="","",Deployments!CC283)</f>
        <v/>
      </c>
      <c r="Y295" s="19">
        <f>IF(Deployments!BW283="","",Deployments!BW283)</f>
        <v/>
      </c>
      <c r="Z295" s="19">
        <f>IF(Deployments!U283="","",Deployments!U283)</f>
        <v/>
      </c>
      <c r="AA295" s="19">
        <f>IF(Deployments!L283="","",Deployments!L283)</f>
        <v/>
      </c>
    </row>
    <row r="296" ht="41.25" customHeight="1" s="91">
      <c r="A296" s="20" t="n"/>
      <c r="B296" s="20" t="n"/>
      <c r="C296" s="19">
        <f>IF(Deployments!H284="","",Deployments!H284)</f>
        <v/>
      </c>
      <c r="D296" s="19">
        <f>IF(Deployments!AM284="","",Deployments!AM284)</f>
        <v/>
      </c>
      <c r="E296" s="19">
        <f>IF(Deployments!I284="","",Deployments!I284)</f>
        <v/>
      </c>
      <c r="F296" s="19">
        <f>IF(Deployments!J284="","",Deployments!J284)</f>
        <v/>
      </c>
      <c r="G296" s="19">
        <f>IF(Deployments!K284="","",Deployments!K284)</f>
        <v/>
      </c>
      <c r="H296" s="19">
        <f>IF(Deployments!A284="","",Deployments!A284)</f>
        <v/>
      </c>
      <c r="I296" s="19">
        <f>IF(Deployments!AN284="","",Deployments!AN284)</f>
        <v/>
      </c>
      <c r="J296" s="19">
        <f>IF(Deployments!AO284="","",Deployments!AO284)</f>
        <v/>
      </c>
      <c r="K296" s="19">
        <f>IF(Deployments!AI284="","",Deployments!AI284)</f>
        <v/>
      </c>
      <c r="L296" s="19">
        <f>IF(Deployments!M284="","",Deployments!M284)</f>
        <v/>
      </c>
      <c r="M296" s="20" t="n"/>
      <c r="N296" s="19">
        <f>IF(Deployments!N284="","",Deployments!N284)</f>
        <v/>
      </c>
      <c r="O296" s="19">
        <f>IF(Deployments!O284="","",Deployments!O284)</f>
        <v/>
      </c>
      <c r="P296" s="19">
        <f>IF(Deployments!P284="","",Deployments!P284)</f>
        <v/>
      </c>
      <c r="Q296" s="20" t="n"/>
      <c r="R296" s="19">
        <f>IF(Deployments!BT284="","",Deployments!BT284)</f>
        <v/>
      </c>
      <c r="S296" s="19">
        <f>IF(Deployments!BS284="","",Deployments!BS284)</f>
        <v/>
      </c>
      <c r="T296" s="19">
        <f>IF(Deployments!BB284="","",Deployments!BB284)</f>
        <v/>
      </c>
      <c r="U296" s="19">
        <f>IF(Deployments!BR284="","",Deployments!BR284)</f>
        <v/>
      </c>
      <c r="V296" s="19">
        <f>IF(Deployments!BX284="","",Deployments!BX284)</f>
        <v/>
      </c>
      <c r="W296" s="19">
        <f>IF(Deployments!BY284="","",Deployments!BY284)</f>
        <v/>
      </c>
      <c r="X296" s="19">
        <f>IF(Deployments!CC284="","",Deployments!CC284)</f>
        <v/>
      </c>
      <c r="Y296" s="19">
        <f>IF(Deployments!BW284="","",Deployments!BW284)</f>
        <v/>
      </c>
      <c r="Z296" s="19">
        <f>IF(Deployments!U284="","",Deployments!U284)</f>
        <v/>
      </c>
      <c r="AA296" s="19">
        <f>IF(Deployments!L284="","",Deployments!L284)</f>
        <v/>
      </c>
    </row>
    <row r="297" ht="41.25" customHeight="1" s="91">
      <c r="A297" s="20" t="n"/>
      <c r="B297" s="20" t="n"/>
      <c r="C297" s="19">
        <f>IF(Deployments!H285="","",Deployments!H285)</f>
        <v/>
      </c>
      <c r="D297" s="19">
        <f>IF(Deployments!AM285="","",Deployments!AM285)</f>
        <v/>
      </c>
      <c r="E297" s="19">
        <f>IF(Deployments!I285="","",Deployments!I285)</f>
        <v/>
      </c>
      <c r="F297" s="19">
        <f>IF(Deployments!J285="","",Deployments!J285)</f>
        <v/>
      </c>
      <c r="G297" s="19">
        <f>IF(Deployments!K285="","",Deployments!K285)</f>
        <v/>
      </c>
      <c r="H297" s="19">
        <f>IF(Deployments!A285="","",Deployments!A285)</f>
        <v/>
      </c>
      <c r="I297" s="19">
        <f>IF(Deployments!AN285="","",Deployments!AN285)</f>
        <v/>
      </c>
      <c r="J297" s="19">
        <f>IF(Deployments!AO285="","",Deployments!AO285)</f>
        <v/>
      </c>
      <c r="K297" s="19">
        <f>IF(Deployments!AI285="","",Deployments!AI285)</f>
        <v/>
      </c>
      <c r="L297" s="19">
        <f>IF(Deployments!M285="","",Deployments!M285)</f>
        <v/>
      </c>
      <c r="M297" s="20" t="n"/>
      <c r="N297" s="19">
        <f>IF(Deployments!N285="","",Deployments!N285)</f>
        <v/>
      </c>
      <c r="O297" s="19">
        <f>IF(Deployments!O285="","",Deployments!O285)</f>
        <v/>
      </c>
      <c r="P297" s="19">
        <f>IF(Deployments!P285="","",Deployments!P285)</f>
        <v/>
      </c>
      <c r="Q297" s="20" t="n"/>
      <c r="R297" s="19">
        <f>IF(Deployments!BT285="","",Deployments!BT285)</f>
        <v/>
      </c>
      <c r="S297" s="19">
        <f>IF(Deployments!BS285="","",Deployments!BS285)</f>
        <v/>
      </c>
      <c r="T297" s="19">
        <f>IF(Deployments!BB285="","",Deployments!BB285)</f>
        <v/>
      </c>
      <c r="U297" s="19">
        <f>IF(Deployments!BR285="","",Deployments!BR285)</f>
        <v/>
      </c>
      <c r="V297" s="19">
        <f>IF(Deployments!BX285="","",Deployments!BX285)</f>
        <v/>
      </c>
      <c r="W297" s="19">
        <f>IF(Deployments!BY285="","",Deployments!BY285)</f>
        <v/>
      </c>
      <c r="X297" s="19">
        <f>IF(Deployments!CC285="","",Deployments!CC285)</f>
        <v/>
      </c>
      <c r="Y297" s="19">
        <f>IF(Deployments!BW285="","",Deployments!BW285)</f>
        <v/>
      </c>
      <c r="Z297" s="19">
        <f>IF(Deployments!U285="","",Deployments!U285)</f>
        <v/>
      </c>
      <c r="AA297" s="19">
        <f>IF(Deployments!L285="","",Deployments!L285)</f>
        <v/>
      </c>
    </row>
    <row r="298" ht="41.25" customHeight="1" s="91">
      <c r="A298" s="20" t="n"/>
      <c r="B298" s="20" t="n"/>
      <c r="C298" s="19">
        <f>IF(Deployments!H286="","",Deployments!H286)</f>
        <v/>
      </c>
      <c r="D298" s="19">
        <f>IF(Deployments!AM286="","",Deployments!AM286)</f>
        <v/>
      </c>
      <c r="E298" s="19">
        <f>IF(Deployments!I286="","",Deployments!I286)</f>
        <v/>
      </c>
      <c r="F298" s="19">
        <f>IF(Deployments!J286="","",Deployments!J286)</f>
        <v/>
      </c>
      <c r="G298" s="19">
        <f>IF(Deployments!K286="","",Deployments!K286)</f>
        <v/>
      </c>
      <c r="H298" s="19">
        <f>IF(Deployments!A286="","",Deployments!A286)</f>
        <v/>
      </c>
      <c r="I298" s="19">
        <f>IF(Deployments!AN286="","",Deployments!AN286)</f>
        <v/>
      </c>
      <c r="J298" s="19">
        <f>IF(Deployments!AO286="","",Deployments!AO286)</f>
        <v/>
      </c>
      <c r="K298" s="19">
        <f>IF(Deployments!AI286="","",Deployments!AI286)</f>
        <v/>
      </c>
      <c r="L298" s="19">
        <f>IF(Deployments!M286="","",Deployments!M286)</f>
        <v/>
      </c>
      <c r="M298" s="20" t="n"/>
      <c r="N298" s="19">
        <f>IF(Deployments!N286="","",Deployments!N286)</f>
        <v/>
      </c>
      <c r="O298" s="19">
        <f>IF(Deployments!O286="","",Deployments!O286)</f>
        <v/>
      </c>
      <c r="P298" s="19">
        <f>IF(Deployments!P286="","",Deployments!P286)</f>
        <v/>
      </c>
      <c r="Q298" s="20" t="n"/>
      <c r="R298" s="19">
        <f>IF(Deployments!BT286="","",Deployments!BT286)</f>
        <v/>
      </c>
      <c r="S298" s="19">
        <f>IF(Deployments!BS286="","",Deployments!BS286)</f>
        <v/>
      </c>
      <c r="T298" s="19">
        <f>IF(Deployments!BB286="","",Deployments!BB286)</f>
        <v/>
      </c>
      <c r="U298" s="19">
        <f>IF(Deployments!BR286="","",Deployments!BR286)</f>
        <v/>
      </c>
      <c r="V298" s="19">
        <f>IF(Deployments!BX286="","",Deployments!BX286)</f>
        <v/>
      </c>
      <c r="W298" s="19">
        <f>IF(Deployments!BY286="","",Deployments!BY286)</f>
        <v/>
      </c>
      <c r="X298" s="19">
        <f>IF(Deployments!CC286="","",Deployments!CC286)</f>
        <v/>
      </c>
      <c r="Y298" s="19">
        <f>IF(Deployments!BW286="","",Deployments!BW286)</f>
        <v/>
      </c>
      <c r="Z298" s="19">
        <f>IF(Deployments!U286="","",Deployments!U286)</f>
        <v/>
      </c>
      <c r="AA298" s="19">
        <f>IF(Deployments!L286="","",Deployments!L286)</f>
        <v/>
      </c>
    </row>
    <row r="299" ht="41.25" customHeight="1" s="91">
      <c r="A299" s="20" t="n"/>
      <c r="B299" s="20" t="n"/>
      <c r="C299" s="19">
        <f>IF(Deployments!H287="","",Deployments!H287)</f>
        <v/>
      </c>
      <c r="D299" s="19">
        <f>IF(Deployments!AM287="","",Deployments!AM287)</f>
        <v/>
      </c>
      <c r="E299" s="19">
        <f>IF(Deployments!I287="","",Deployments!I287)</f>
        <v/>
      </c>
      <c r="F299" s="19">
        <f>IF(Deployments!J287="","",Deployments!J287)</f>
        <v/>
      </c>
      <c r="G299" s="19">
        <f>IF(Deployments!K287="","",Deployments!K287)</f>
        <v/>
      </c>
      <c r="H299" s="19">
        <f>IF(Deployments!A287="","",Deployments!A287)</f>
        <v/>
      </c>
      <c r="I299" s="19">
        <f>IF(Deployments!AN287="","",Deployments!AN287)</f>
        <v/>
      </c>
      <c r="J299" s="19">
        <f>IF(Deployments!AO287="","",Deployments!AO287)</f>
        <v/>
      </c>
      <c r="K299" s="19">
        <f>IF(Deployments!AI287="","",Deployments!AI287)</f>
        <v/>
      </c>
      <c r="L299" s="19">
        <f>IF(Deployments!M287="","",Deployments!M287)</f>
        <v/>
      </c>
      <c r="M299" s="20" t="n"/>
      <c r="N299" s="19">
        <f>IF(Deployments!N287="","",Deployments!N287)</f>
        <v/>
      </c>
      <c r="O299" s="19">
        <f>IF(Deployments!O287="","",Deployments!O287)</f>
        <v/>
      </c>
      <c r="P299" s="19">
        <f>IF(Deployments!P287="","",Deployments!P287)</f>
        <v/>
      </c>
      <c r="Q299" s="20" t="n"/>
      <c r="R299" s="19">
        <f>IF(Deployments!BT287="","",Deployments!BT287)</f>
        <v/>
      </c>
      <c r="S299" s="19">
        <f>IF(Deployments!BS287="","",Deployments!BS287)</f>
        <v/>
      </c>
      <c r="T299" s="19">
        <f>IF(Deployments!BB287="","",Deployments!BB287)</f>
        <v/>
      </c>
      <c r="U299" s="19">
        <f>IF(Deployments!BR287="","",Deployments!BR287)</f>
        <v/>
      </c>
      <c r="V299" s="19">
        <f>IF(Deployments!BX287="","",Deployments!BX287)</f>
        <v/>
      </c>
      <c r="W299" s="19">
        <f>IF(Deployments!BY287="","",Deployments!BY287)</f>
        <v/>
      </c>
      <c r="X299" s="19">
        <f>IF(Deployments!CC287="","",Deployments!CC287)</f>
        <v/>
      </c>
      <c r="Y299" s="19">
        <f>IF(Deployments!BW287="","",Deployments!BW287)</f>
        <v/>
      </c>
      <c r="Z299" s="19">
        <f>IF(Deployments!U287="","",Deployments!U287)</f>
        <v/>
      </c>
      <c r="AA299" s="19">
        <f>IF(Deployments!L287="","",Deployments!L287)</f>
        <v/>
      </c>
    </row>
    <row r="300" ht="41.25" customHeight="1" s="91">
      <c r="A300" s="20" t="n"/>
      <c r="B300" s="20" t="n"/>
      <c r="C300" s="19">
        <f>IF(Deployments!H288="","",Deployments!H288)</f>
        <v/>
      </c>
      <c r="D300" s="19">
        <f>IF(Deployments!AM288="","",Deployments!AM288)</f>
        <v/>
      </c>
      <c r="E300" s="19">
        <f>IF(Deployments!I288="","",Deployments!I288)</f>
        <v/>
      </c>
      <c r="F300" s="19">
        <f>IF(Deployments!J288="","",Deployments!J288)</f>
        <v/>
      </c>
      <c r="G300" s="19">
        <f>IF(Deployments!K288="","",Deployments!K288)</f>
        <v/>
      </c>
      <c r="H300" s="19">
        <f>IF(Deployments!A288="","",Deployments!A288)</f>
        <v/>
      </c>
      <c r="I300" s="19">
        <f>IF(Deployments!AN288="","",Deployments!AN288)</f>
        <v/>
      </c>
      <c r="J300" s="19">
        <f>IF(Deployments!AO288="","",Deployments!AO288)</f>
        <v/>
      </c>
      <c r="K300" s="19">
        <f>IF(Deployments!AI288="","",Deployments!AI288)</f>
        <v/>
      </c>
      <c r="L300" s="19">
        <f>IF(Deployments!M288="","",Deployments!M288)</f>
        <v/>
      </c>
      <c r="M300" s="20" t="n"/>
      <c r="N300" s="19">
        <f>IF(Deployments!N288="","",Deployments!N288)</f>
        <v/>
      </c>
      <c r="O300" s="19">
        <f>IF(Deployments!O288="","",Deployments!O288)</f>
        <v/>
      </c>
      <c r="P300" s="19">
        <f>IF(Deployments!P288="","",Deployments!P288)</f>
        <v/>
      </c>
      <c r="Q300" s="20" t="n"/>
      <c r="R300" s="19">
        <f>IF(Deployments!BT288="","",Deployments!BT288)</f>
        <v/>
      </c>
      <c r="S300" s="19">
        <f>IF(Deployments!BS288="","",Deployments!BS288)</f>
        <v/>
      </c>
      <c r="T300" s="19">
        <f>IF(Deployments!BB288="","",Deployments!BB288)</f>
        <v/>
      </c>
      <c r="U300" s="19">
        <f>IF(Deployments!BR288="","",Deployments!BR288)</f>
        <v/>
      </c>
      <c r="V300" s="19">
        <f>IF(Deployments!BX288="","",Deployments!BX288)</f>
        <v/>
      </c>
      <c r="W300" s="19">
        <f>IF(Deployments!BY288="","",Deployments!BY288)</f>
        <v/>
      </c>
      <c r="X300" s="19">
        <f>IF(Deployments!CC288="","",Deployments!CC288)</f>
        <v/>
      </c>
      <c r="Y300" s="19">
        <f>IF(Deployments!BW288="","",Deployments!BW288)</f>
        <v/>
      </c>
      <c r="Z300" s="19">
        <f>IF(Deployments!U288="","",Deployments!U288)</f>
        <v/>
      </c>
      <c r="AA300" s="19">
        <f>IF(Deployments!L288="","",Deployments!L288)</f>
        <v/>
      </c>
    </row>
    <row r="301" ht="41.25" customHeight="1" s="91">
      <c r="A301" s="20" t="n"/>
      <c r="B301" s="20" t="n"/>
      <c r="C301" s="19">
        <f>IF(Deployments!H289="","",Deployments!H289)</f>
        <v/>
      </c>
      <c r="D301" s="19">
        <f>IF(Deployments!AM289="","",Deployments!AM289)</f>
        <v/>
      </c>
      <c r="E301" s="19">
        <f>IF(Deployments!I289="","",Deployments!I289)</f>
        <v/>
      </c>
      <c r="F301" s="19">
        <f>IF(Deployments!J289="","",Deployments!J289)</f>
        <v/>
      </c>
      <c r="G301" s="19">
        <f>IF(Deployments!K289="","",Deployments!K289)</f>
        <v/>
      </c>
      <c r="H301" s="19">
        <f>IF(Deployments!A289="","",Deployments!A289)</f>
        <v/>
      </c>
      <c r="I301" s="19">
        <f>IF(Deployments!AN289="","",Deployments!AN289)</f>
        <v/>
      </c>
      <c r="J301" s="19">
        <f>IF(Deployments!AO289="","",Deployments!AO289)</f>
        <v/>
      </c>
      <c r="K301" s="19">
        <f>IF(Deployments!AI289="","",Deployments!AI289)</f>
        <v/>
      </c>
      <c r="L301" s="19">
        <f>IF(Deployments!M289="","",Deployments!M289)</f>
        <v/>
      </c>
      <c r="M301" s="20" t="n"/>
      <c r="N301" s="19">
        <f>IF(Deployments!N289="","",Deployments!N289)</f>
        <v/>
      </c>
      <c r="O301" s="19">
        <f>IF(Deployments!O289="","",Deployments!O289)</f>
        <v/>
      </c>
      <c r="P301" s="19">
        <f>IF(Deployments!P289="","",Deployments!P289)</f>
        <v/>
      </c>
      <c r="Q301" s="20" t="n"/>
      <c r="R301" s="19">
        <f>IF(Deployments!BT289="","",Deployments!BT289)</f>
        <v/>
      </c>
      <c r="S301" s="19">
        <f>IF(Deployments!BS289="","",Deployments!BS289)</f>
        <v/>
      </c>
      <c r="T301" s="19">
        <f>IF(Deployments!BB289="","",Deployments!BB289)</f>
        <v/>
      </c>
      <c r="U301" s="19">
        <f>IF(Deployments!BR289="","",Deployments!BR289)</f>
        <v/>
      </c>
      <c r="V301" s="19">
        <f>IF(Deployments!BX289="","",Deployments!BX289)</f>
        <v/>
      </c>
      <c r="W301" s="19">
        <f>IF(Deployments!BY289="","",Deployments!BY289)</f>
        <v/>
      </c>
      <c r="X301" s="19">
        <f>IF(Deployments!CC289="","",Deployments!CC289)</f>
        <v/>
      </c>
      <c r="Y301" s="19">
        <f>IF(Deployments!BW289="","",Deployments!BW289)</f>
        <v/>
      </c>
      <c r="Z301" s="19">
        <f>IF(Deployments!U289="","",Deployments!U289)</f>
        <v/>
      </c>
      <c r="AA301" s="19">
        <f>IF(Deployments!L289="","",Deployments!L289)</f>
        <v/>
      </c>
    </row>
    <row r="302">
      <c r="A302" s="20" t="n"/>
      <c r="B302" s="20" t="n"/>
      <c r="C302" s="19">
        <f>IF(Deployments!#REF!="","",Deployments!#REF!)</f>
        <v/>
      </c>
      <c r="D302" s="19">
        <f>IF(Deployments!#REF!="","",Deployments!#REF!)</f>
        <v/>
      </c>
      <c r="E302" s="19">
        <f>IF(Deployments!#REF!="","",Deployments!#REF!)</f>
        <v/>
      </c>
      <c r="F302" s="19">
        <f>IF(Deployments!#REF!="","",Deployments!#REF!)</f>
        <v/>
      </c>
      <c r="G302" s="19">
        <f>IF(Deployments!#REF!="","",Deployments!#REF!)</f>
        <v/>
      </c>
      <c r="H302" s="19">
        <f>IF(Deployments!#REF!="","",Deployments!#REF!)</f>
        <v/>
      </c>
      <c r="I302" s="19">
        <f>IF(Deployments!#REF!="","",Deployments!#REF!)</f>
        <v/>
      </c>
      <c r="J302" s="19">
        <f>IF(Deployments!#REF!="","",Deployments!#REF!)</f>
        <v/>
      </c>
      <c r="K302" s="19">
        <f>IF(Deployments!#REF!="","",Deployments!#REF!)</f>
        <v/>
      </c>
      <c r="L302" s="19">
        <f>IF(Deployments!#REF!="","",Deployments!#REF!)</f>
        <v/>
      </c>
      <c r="M302" s="20" t="n"/>
      <c r="N302" s="19">
        <f>IF(Deployments!#REF!="","",Deployments!#REF!)</f>
        <v/>
      </c>
      <c r="O302" s="19">
        <f>IF(Deployments!#REF!="","",Deployments!#REF!)</f>
        <v/>
      </c>
      <c r="P302" s="19">
        <f>IF(Deployments!#REF!="","",Deployments!#REF!)</f>
        <v/>
      </c>
      <c r="Q302" s="20" t="n"/>
      <c r="R302" s="19">
        <f>IF(Deployments!#REF!="","",Deployments!#REF!)</f>
        <v/>
      </c>
      <c r="S302" s="19">
        <f>IF(Deployments!#REF!="","",Deployments!#REF!)</f>
        <v/>
      </c>
      <c r="T302" s="19">
        <f>IF(Deployments!#REF!="","",Deployments!#REF!)</f>
        <v/>
      </c>
      <c r="U302" s="19">
        <f>IF(Deployments!#REF!="","",Deployments!#REF!)</f>
        <v/>
      </c>
      <c r="V302" s="19">
        <f>IF(Deployments!#REF!="","",Deployments!#REF!)</f>
        <v/>
      </c>
      <c r="W302" s="19">
        <f>IF(Deployments!#REF!="","",Deployments!#REF!)</f>
        <v/>
      </c>
      <c r="X302" s="19">
        <f>IF(Deployments!#REF!="","",Deployments!#REF!)</f>
        <v/>
      </c>
      <c r="Y302" s="19">
        <f>IF(Deployments!#REF!="","",Deployments!#REF!)</f>
        <v/>
      </c>
      <c r="Z302" s="19">
        <f>IF(Deployments!#REF!="","",Deployments!#REF!)</f>
        <v/>
      </c>
      <c r="AA302" s="19">
        <f>IF(Deployments!#REF!="","",Deployments!#REF!)</f>
        <v/>
      </c>
    </row>
    <row r="303" ht="41.25" customHeight="1" s="91">
      <c r="A303" s="20" t="n"/>
      <c r="B303" s="20" t="n"/>
      <c r="C303" s="19">
        <f>IF(Deployments!H290="","",Deployments!H290)</f>
        <v/>
      </c>
      <c r="D303" s="19">
        <f>IF(Deployments!AM290="","",Deployments!AM290)</f>
        <v/>
      </c>
      <c r="E303" s="19">
        <f>IF(Deployments!I290="","",Deployments!I290)</f>
        <v/>
      </c>
      <c r="F303" s="19">
        <f>IF(Deployments!J290="","",Deployments!J290)</f>
        <v/>
      </c>
      <c r="G303" s="19">
        <f>IF(Deployments!K290="","",Deployments!K290)</f>
        <v/>
      </c>
      <c r="H303" s="19">
        <f>IF(Deployments!A290="","",Deployments!A290)</f>
        <v/>
      </c>
      <c r="I303" s="19">
        <f>IF(Deployments!AN290="","",Deployments!AN290)</f>
        <v/>
      </c>
      <c r="J303" s="19">
        <f>IF(Deployments!AO290="","",Deployments!AO290)</f>
        <v/>
      </c>
      <c r="K303" s="19">
        <f>IF(Deployments!AI290="","",Deployments!AI290)</f>
        <v/>
      </c>
      <c r="L303" s="19">
        <f>IF(Deployments!M290="","",Deployments!M290)</f>
        <v/>
      </c>
      <c r="M303" s="20" t="n"/>
      <c r="N303" s="19">
        <f>IF(Deployments!N290="","",Deployments!N290)</f>
        <v/>
      </c>
      <c r="O303" s="19">
        <f>IF(Deployments!O290="","",Deployments!O290)</f>
        <v/>
      </c>
      <c r="P303" s="19">
        <f>IF(Deployments!P290="","",Deployments!P290)</f>
        <v/>
      </c>
      <c r="Q303" s="20" t="n"/>
      <c r="R303" s="19">
        <f>IF(Deployments!BT290="","",Deployments!BT290)</f>
        <v/>
      </c>
      <c r="S303" s="19">
        <f>IF(Deployments!BS290="","",Deployments!BS290)</f>
        <v/>
      </c>
      <c r="T303" s="19">
        <f>IF(Deployments!BB290="","",Deployments!BB290)</f>
        <v/>
      </c>
      <c r="U303" s="19">
        <f>IF(Deployments!BR290="","",Deployments!BR290)</f>
        <v/>
      </c>
      <c r="V303" s="19">
        <f>IF(Deployments!BX290="","",Deployments!BX290)</f>
        <v/>
      </c>
      <c r="W303" s="19">
        <f>IF(Deployments!BY290="","",Deployments!BY290)</f>
        <v/>
      </c>
      <c r="X303" s="19">
        <f>IF(Deployments!CC290="","",Deployments!CC290)</f>
        <v/>
      </c>
      <c r="Y303" s="19">
        <f>IF(Deployments!BW290="","",Deployments!BW290)</f>
        <v/>
      </c>
      <c r="Z303" s="19">
        <f>IF(Deployments!U290="","",Deployments!U290)</f>
        <v/>
      </c>
      <c r="AA303" s="19">
        <f>IF(Deployments!L290="","",Deployments!L290)</f>
        <v/>
      </c>
    </row>
    <row r="304" ht="41.25" customHeight="1" s="91">
      <c r="A304" s="20" t="n"/>
      <c r="B304" s="20" t="n"/>
      <c r="C304" s="19">
        <f>IF(Deployments!H291="","",Deployments!H291)</f>
        <v/>
      </c>
      <c r="D304" s="19">
        <f>IF(Deployments!AM291="","",Deployments!AM291)</f>
        <v/>
      </c>
      <c r="E304" s="19">
        <f>IF(Deployments!I291="","",Deployments!I291)</f>
        <v/>
      </c>
      <c r="F304" s="19">
        <f>IF(Deployments!J291="","",Deployments!J291)</f>
        <v/>
      </c>
      <c r="G304" s="19">
        <f>IF(Deployments!K291="","",Deployments!K291)</f>
        <v/>
      </c>
      <c r="H304" s="19">
        <f>IF(Deployments!A291="","",Deployments!A291)</f>
        <v/>
      </c>
      <c r="I304" s="19">
        <f>IF(Deployments!AN291="","",Deployments!AN291)</f>
        <v/>
      </c>
      <c r="J304" s="19">
        <f>IF(Deployments!AO291="","",Deployments!AO291)</f>
        <v/>
      </c>
      <c r="K304" s="19">
        <f>IF(Deployments!AI291="","",Deployments!AI291)</f>
        <v/>
      </c>
      <c r="L304" s="19">
        <f>IF(Deployments!M291="","",Deployments!M291)</f>
        <v/>
      </c>
      <c r="M304" s="20" t="n"/>
      <c r="N304" s="19">
        <f>IF(Deployments!N291="","",Deployments!N291)</f>
        <v/>
      </c>
      <c r="O304" s="19">
        <f>IF(Deployments!O291="","",Deployments!O291)</f>
        <v/>
      </c>
      <c r="P304" s="19">
        <f>IF(Deployments!P291="","",Deployments!P291)</f>
        <v/>
      </c>
      <c r="Q304" s="20" t="n"/>
      <c r="R304" s="19">
        <f>IF(Deployments!BT291="","",Deployments!BT291)</f>
        <v/>
      </c>
      <c r="S304" s="19">
        <f>IF(Deployments!BS291="","",Deployments!BS291)</f>
        <v/>
      </c>
      <c r="T304" s="19">
        <f>IF(Deployments!BB291="","",Deployments!BB291)</f>
        <v/>
      </c>
      <c r="U304" s="19">
        <f>IF(Deployments!BR291="","",Deployments!BR291)</f>
        <v/>
      </c>
      <c r="V304" s="19">
        <f>IF(Deployments!BX291="","",Deployments!BX291)</f>
        <v/>
      </c>
      <c r="W304" s="19">
        <f>IF(Deployments!BY291="","",Deployments!BY291)</f>
        <v/>
      </c>
      <c r="X304" s="19">
        <f>IF(Deployments!CC291="","",Deployments!CC291)</f>
        <v/>
      </c>
      <c r="Y304" s="19">
        <f>IF(Deployments!BW291="","",Deployments!BW291)</f>
        <v/>
      </c>
      <c r="Z304" s="19">
        <f>IF(Deployments!U291="","",Deployments!U291)</f>
        <v/>
      </c>
      <c r="AA304" s="19">
        <f>IF(Deployments!L291="","",Deployments!L291)</f>
        <v/>
      </c>
    </row>
    <row r="305" ht="41.25" customHeight="1" s="91">
      <c r="A305" s="20" t="n"/>
      <c r="B305" s="20" t="n"/>
      <c r="C305" s="19">
        <f>IF(Deployments!H292="","",Deployments!H292)</f>
        <v/>
      </c>
      <c r="D305" s="19">
        <f>IF(Deployments!AM292="","",Deployments!AM292)</f>
        <v/>
      </c>
      <c r="E305" s="19">
        <f>IF(Deployments!I292="","",Deployments!I292)</f>
        <v/>
      </c>
      <c r="F305" s="19">
        <f>IF(Deployments!J292="","",Deployments!J292)</f>
        <v/>
      </c>
      <c r="G305" s="19">
        <f>IF(Deployments!K292="","",Deployments!K292)</f>
        <v/>
      </c>
      <c r="H305" s="19">
        <f>IF(Deployments!A292="","",Deployments!A292)</f>
        <v/>
      </c>
      <c r="I305" s="19">
        <f>IF(Deployments!AN292="","",Deployments!AN292)</f>
        <v/>
      </c>
      <c r="J305" s="19">
        <f>IF(Deployments!AO292="","",Deployments!AO292)</f>
        <v/>
      </c>
      <c r="K305" s="19">
        <f>IF(Deployments!AI292="","",Deployments!AI292)</f>
        <v/>
      </c>
      <c r="L305" s="19">
        <f>IF(Deployments!M292="","",Deployments!M292)</f>
        <v/>
      </c>
      <c r="M305" s="20" t="n"/>
      <c r="N305" s="19">
        <f>IF(Deployments!N292="","",Deployments!N292)</f>
        <v/>
      </c>
      <c r="O305" s="19">
        <f>IF(Deployments!O292="","",Deployments!O292)</f>
        <v/>
      </c>
      <c r="P305" s="19">
        <f>IF(Deployments!P292="","",Deployments!P292)</f>
        <v/>
      </c>
      <c r="Q305" s="20" t="n"/>
      <c r="R305" s="19">
        <f>IF(Deployments!BT292="","",Deployments!BT292)</f>
        <v/>
      </c>
      <c r="S305" s="19">
        <f>IF(Deployments!BS292="","",Deployments!BS292)</f>
        <v/>
      </c>
      <c r="T305" s="19">
        <f>IF(Deployments!BB292="","",Deployments!BB292)</f>
        <v/>
      </c>
      <c r="U305" s="19">
        <f>IF(Deployments!BR292="","",Deployments!BR292)</f>
        <v/>
      </c>
      <c r="V305" s="19">
        <f>IF(Deployments!BX292="","",Deployments!BX292)</f>
        <v/>
      </c>
      <c r="W305" s="19">
        <f>IF(Deployments!BY292="","",Deployments!BY292)</f>
        <v/>
      </c>
      <c r="X305" s="19">
        <f>IF(Deployments!CC292="","",Deployments!CC292)</f>
        <v/>
      </c>
      <c r="Y305" s="19">
        <f>IF(Deployments!BW292="","",Deployments!BW292)</f>
        <v/>
      </c>
      <c r="Z305" s="19">
        <f>IF(Deployments!U292="","",Deployments!U292)</f>
        <v/>
      </c>
      <c r="AA305" s="19">
        <f>IF(Deployments!L292="","",Deployments!L292)</f>
        <v/>
      </c>
    </row>
    <row r="306" ht="41.25" customHeight="1" s="91">
      <c r="A306" s="20" t="n"/>
      <c r="B306" s="20" t="n"/>
      <c r="C306" s="19">
        <f>IF(Deployments!H293="","",Deployments!H293)</f>
        <v/>
      </c>
      <c r="D306" s="19">
        <f>IF(Deployments!AM293="","",Deployments!AM293)</f>
        <v/>
      </c>
      <c r="E306" s="19">
        <f>IF(Deployments!I293="","",Deployments!I293)</f>
        <v/>
      </c>
      <c r="F306" s="19">
        <f>IF(Deployments!J293="","",Deployments!J293)</f>
        <v/>
      </c>
      <c r="G306" s="19">
        <f>IF(Deployments!K293="","",Deployments!K293)</f>
        <v/>
      </c>
      <c r="H306" s="19">
        <f>IF(Deployments!A293="","",Deployments!A293)</f>
        <v/>
      </c>
      <c r="I306" s="19">
        <f>IF(Deployments!AN293="","",Deployments!AN293)</f>
        <v/>
      </c>
      <c r="J306" s="19">
        <f>IF(Deployments!AO293="","",Deployments!AO293)</f>
        <v/>
      </c>
      <c r="K306" s="19">
        <f>IF(Deployments!AI293="","",Deployments!AI293)</f>
        <v/>
      </c>
      <c r="L306" s="19">
        <f>IF(Deployments!M293="","",Deployments!M293)</f>
        <v/>
      </c>
      <c r="M306" s="20" t="n"/>
      <c r="N306" s="19">
        <f>IF(Deployments!N293="","",Deployments!N293)</f>
        <v/>
      </c>
      <c r="O306" s="19">
        <f>IF(Deployments!O293="","",Deployments!O293)</f>
        <v/>
      </c>
      <c r="P306" s="19">
        <f>IF(Deployments!P293="","",Deployments!P293)</f>
        <v/>
      </c>
      <c r="Q306" s="20" t="n"/>
      <c r="R306" s="19">
        <f>IF(Deployments!BT293="","",Deployments!BT293)</f>
        <v/>
      </c>
      <c r="S306" s="19">
        <f>IF(Deployments!BS293="","",Deployments!BS293)</f>
        <v/>
      </c>
      <c r="T306" s="19">
        <f>IF(Deployments!BB293="","",Deployments!BB293)</f>
        <v/>
      </c>
      <c r="U306" s="19">
        <f>IF(Deployments!BR293="","",Deployments!BR293)</f>
        <v/>
      </c>
      <c r="V306" s="19">
        <f>IF(Deployments!BX293="","",Deployments!BX293)</f>
        <v/>
      </c>
      <c r="W306" s="19">
        <f>IF(Deployments!BY293="","",Deployments!BY293)</f>
        <v/>
      </c>
      <c r="X306" s="19">
        <f>IF(Deployments!CC293="","",Deployments!CC293)</f>
        <v/>
      </c>
      <c r="Y306" s="19">
        <f>IF(Deployments!BW293="","",Deployments!BW293)</f>
        <v/>
      </c>
      <c r="Z306" s="19">
        <f>IF(Deployments!U293="","",Deployments!U293)</f>
        <v/>
      </c>
      <c r="AA306" s="19">
        <f>IF(Deployments!L293="","",Deployments!L293)</f>
        <v/>
      </c>
    </row>
    <row r="307">
      <c r="A307" s="20" t="n"/>
      <c r="B307" s="20" t="n"/>
      <c r="C307" s="19">
        <f>IF(Deployments!H294="","",Deployments!H294)</f>
        <v/>
      </c>
      <c r="D307" s="19">
        <f>IF(Deployments!AM294="","",Deployments!AM294)</f>
        <v/>
      </c>
      <c r="E307" s="19">
        <f>IF(Deployments!I294="","",Deployments!I294)</f>
        <v/>
      </c>
      <c r="F307" s="19">
        <f>IF(Deployments!J294="","",Deployments!J294)</f>
        <v/>
      </c>
      <c r="G307" s="19">
        <f>IF(Deployments!K294="","",Deployments!K294)</f>
        <v/>
      </c>
      <c r="H307" s="19">
        <f>IF(Deployments!A294="","",Deployments!A294)</f>
        <v/>
      </c>
      <c r="I307" s="19">
        <f>IF(Deployments!AN294="","",Deployments!AN294)</f>
        <v/>
      </c>
      <c r="J307" s="19">
        <f>IF(Deployments!AO294="","",Deployments!AO294)</f>
        <v/>
      </c>
      <c r="K307" s="19">
        <f>IF(Deployments!AI294="","",Deployments!AI294)</f>
        <v/>
      </c>
      <c r="L307" s="19">
        <f>IF(Deployments!M294="","",Deployments!M294)</f>
        <v/>
      </c>
      <c r="M307" s="20" t="n"/>
      <c r="N307" s="19">
        <f>IF(Deployments!N294="","",Deployments!N294)</f>
        <v/>
      </c>
      <c r="O307" s="19">
        <f>IF(Deployments!O294="","",Deployments!O294)</f>
        <v/>
      </c>
      <c r="P307" s="19">
        <f>IF(Deployments!P294="","",Deployments!P294)</f>
        <v/>
      </c>
      <c r="Q307" s="20" t="n"/>
      <c r="R307" s="19">
        <f>IF(Deployments!BT294="","",Deployments!BT294)</f>
        <v/>
      </c>
      <c r="S307" s="19">
        <f>IF(Deployments!BS294="","",Deployments!BS294)</f>
        <v/>
      </c>
      <c r="T307" s="19">
        <f>IF(Deployments!BB294="","",Deployments!BB294)</f>
        <v/>
      </c>
      <c r="U307" s="19">
        <f>IF(Deployments!BR294="","",Deployments!BR294)</f>
        <v/>
      </c>
      <c r="V307" s="19">
        <f>IF(Deployments!BX294="","",Deployments!BX294)</f>
        <v/>
      </c>
      <c r="W307" s="19">
        <f>IF(Deployments!BY294="","",Deployments!BY294)</f>
        <v/>
      </c>
      <c r="X307" s="19">
        <f>IF(Deployments!CC294="","",Deployments!CC294)</f>
        <v/>
      </c>
      <c r="Y307" s="19">
        <f>IF(Deployments!BW294="","",Deployments!BW294)</f>
        <v/>
      </c>
      <c r="Z307" s="19">
        <f>IF(Deployments!U294="","",Deployments!U294)</f>
        <v/>
      </c>
      <c r="AA307" s="19">
        <f>IF(Deployments!L294="","",Deployments!L294)</f>
        <v/>
      </c>
    </row>
    <row r="308">
      <c r="A308" s="20" t="n"/>
      <c r="B308" s="20" t="n"/>
      <c r="C308" s="19">
        <f>IF(Deployments!H295="","",Deployments!H295)</f>
        <v/>
      </c>
      <c r="D308" s="19">
        <f>IF(Deployments!AM295="","",Deployments!AM295)</f>
        <v/>
      </c>
      <c r="E308" s="19">
        <f>IF(Deployments!I295="","",Deployments!I295)</f>
        <v/>
      </c>
      <c r="F308" s="19">
        <f>IF(Deployments!J295="","",Deployments!J295)</f>
        <v/>
      </c>
      <c r="G308" s="19">
        <f>IF(Deployments!K295="","",Deployments!K295)</f>
        <v/>
      </c>
      <c r="H308" s="19">
        <f>IF(Deployments!A295="","",Deployments!A295)</f>
        <v/>
      </c>
      <c r="I308" s="19">
        <f>IF(Deployments!AN295="","",Deployments!AN295)</f>
        <v/>
      </c>
      <c r="J308" s="19">
        <f>IF(Deployments!AO295="","",Deployments!AO295)</f>
        <v/>
      </c>
      <c r="K308" s="19">
        <f>IF(Deployments!AI295="","",Deployments!AI295)</f>
        <v/>
      </c>
      <c r="L308" s="19">
        <f>IF(Deployments!M295="","",Deployments!M295)</f>
        <v/>
      </c>
      <c r="M308" s="20" t="n"/>
      <c r="N308" s="19">
        <f>IF(Deployments!N295="","",Deployments!N295)</f>
        <v/>
      </c>
      <c r="O308" s="19">
        <f>IF(Deployments!O295="","",Deployments!O295)</f>
        <v/>
      </c>
      <c r="P308" s="19">
        <f>IF(Deployments!P295="","",Deployments!P295)</f>
        <v/>
      </c>
      <c r="Q308" s="20" t="n"/>
      <c r="R308" s="19">
        <f>IF(Deployments!BT295="","",Deployments!BT295)</f>
        <v/>
      </c>
      <c r="S308" s="19">
        <f>IF(Deployments!BS295="","",Deployments!BS295)</f>
        <v/>
      </c>
      <c r="T308" s="19">
        <f>IF(Deployments!BB295="","",Deployments!BB295)</f>
        <v/>
      </c>
      <c r="U308" s="19">
        <f>IF(Deployments!BR295="","",Deployments!BR295)</f>
        <v/>
      </c>
      <c r="V308" s="19">
        <f>IF(Deployments!BX295="","",Deployments!BX295)</f>
        <v/>
      </c>
      <c r="W308" s="19">
        <f>IF(Deployments!BY295="","",Deployments!BY295)</f>
        <v/>
      </c>
      <c r="X308" s="19">
        <f>IF(Deployments!CC295="","",Deployments!CC295)</f>
        <v/>
      </c>
      <c r="Y308" s="19">
        <f>IF(Deployments!BW295="","",Deployments!BW295)</f>
        <v/>
      </c>
      <c r="Z308" s="19">
        <f>IF(Deployments!U295="","",Deployments!U295)</f>
        <v/>
      </c>
      <c r="AA308" s="19">
        <f>IF(Deployments!L295="","",Deployments!L295)</f>
        <v/>
      </c>
    </row>
    <row r="309">
      <c r="A309" s="20" t="n"/>
      <c r="B309" s="20" t="n"/>
      <c r="C309" s="19">
        <f>IF(Deployments!H296="","",Deployments!H296)</f>
        <v/>
      </c>
      <c r="D309" s="19">
        <f>IF(Deployments!AM296="","",Deployments!AM296)</f>
        <v/>
      </c>
      <c r="E309" s="19">
        <f>IF(Deployments!I296="","",Deployments!I296)</f>
        <v/>
      </c>
      <c r="F309" s="19">
        <f>IF(Deployments!J296="","",Deployments!J296)</f>
        <v/>
      </c>
      <c r="G309" s="19">
        <f>IF(Deployments!K296="","",Deployments!K296)</f>
        <v/>
      </c>
      <c r="H309" s="19">
        <f>IF(Deployments!A296="","",Deployments!A296)</f>
        <v/>
      </c>
      <c r="I309" s="19">
        <f>IF(Deployments!AN296="","",Deployments!AN296)</f>
        <v/>
      </c>
      <c r="J309" s="19">
        <f>IF(Deployments!AO296="","",Deployments!AO296)</f>
        <v/>
      </c>
      <c r="K309" s="19">
        <f>IF(Deployments!AI296="","",Deployments!AI296)</f>
        <v/>
      </c>
      <c r="L309" s="19">
        <f>IF(Deployments!M296="","",Deployments!M296)</f>
        <v/>
      </c>
      <c r="M309" s="20" t="n"/>
      <c r="N309" s="19">
        <f>IF(Deployments!N296="","",Deployments!N296)</f>
        <v/>
      </c>
      <c r="O309" s="19">
        <f>IF(Deployments!O296="","",Deployments!O296)</f>
        <v/>
      </c>
      <c r="P309" s="19">
        <f>IF(Deployments!P296="","",Deployments!P296)</f>
        <v/>
      </c>
      <c r="Q309" s="20" t="n"/>
      <c r="R309" s="19">
        <f>IF(Deployments!BT296="","",Deployments!BT296)</f>
        <v/>
      </c>
      <c r="S309" s="19">
        <f>IF(Deployments!BS296="","",Deployments!BS296)</f>
        <v/>
      </c>
      <c r="T309" s="19">
        <f>IF(Deployments!BB296="","",Deployments!BB296)</f>
        <v/>
      </c>
      <c r="U309" s="19">
        <f>IF(Deployments!BR296="","",Deployments!BR296)</f>
        <v/>
      </c>
      <c r="V309" s="19">
        <f>IF(Deployments!BX296="","",Deployments!BX296)</f>
        <v/>
      </c>
      <c r="W309" s="19">
        <f>IF(Deployments!BY296="","",Deployments!BY296)</f>
        <v/>
      </c>
      <c r="X309" s="19">
        <f>IF(Deployments!CC296="","",Deployments!CC296)</f>
        <v/>
      </c>
      <c r="Y309" s="19">
        <f>IF(Deployments!BW296="","",Deployments!BW296)</f>
        <v/>
      </c>
      <c r="Z309" s="19">
        <f>IF(Deployments!U296="","",Deployments!U296)</f>
        <v/>
      </c>
      <c r="AA309" s="19">
        <f>IF(Deployments!L296="","",Deployments!L296)</f>
        <v/>
      </c>
    </row>
    <row r="310">
      <c r="A310" s="20" t="n"/>
      <c r="B310" s="20" t="n"/>
      <c r="C310" s="19">
        <f>IF(Deployments!H298="","",Deployments!H298)</f>
        <v/>
      </c>
      <c r="D310" s="19">
        <f>IF(Deployments!AM298="","",Deployments!AM298)</f>
        <v/>
      </c>
      <c r="E310" s="19">
        <f>IF(Deployments!I298="","",Deployments!I298)</f>
        <v/>
      </c>
      <c r="F310" s="19">
        <f>IF(Deployments!J298="","",Deployments!J298)</f>
        <v/>
      </c>
      <c r="G310" s="19">
        <f>IF(Deployments!K298="","",Deployments!K298)</f>
        <v/>
      </c>
      <c r="H310" s="19">
        <f>IF(Deployments!A298="","",Deployments!A298)</f>
        <v/>
      </c>
      <c r="I310" s="19">
        <f>IF(Deployments!AN298="","",Deployments!AN298)</f>
        <v/>
      </c>
      <c r="J310" s="19">
        <f>IF(Deployments!AO298="","",Deployments!AO298)</f>
        <v/>
      </c>
      <c r="K310" s="19">
        <f>IF(Deployments!AI298="","",Deployments!AI298)</f>
        <v/>
      </c>
      <c r="L310" s="19">
        <f>IF(Deployments!M298="","",Deployments!M298)</f>
        <v/>
      </c>
      <c r="M310" s="20" t="n"/>
      <c r="N310" s="19">
        <f>IF(Deployments!N298="","",Deployments!N298)</f>
        <v/>
      </c>
      <c r="O310" s="19">
        <f>IF(Deployments!O298="","",Deployments!O298)</f>
        <v/>
      </c>
      <c r="P310" s="19">
        <f>IF(Deployments!P298="","",Deployments!P298)</f>
        <v/>
      </c>
      <c r="Q310" s="20" t="n"/>
      <c r="R310" s="19">
        <f>IF(Deployments!BT298="","",Deployments!BT298)</f>
        <v/>
      </c>
      <c r="S310" s="19">
        <f>IF(Deployments!BS298="","",Deployments!BS298)</f>
        <v/>
      </c>
      <c r="T310" s="19">
        <f>IF(Deployments!BB298="","",Deployments!BB298)</f>
        <v/>
      </c>
      <c r="U310" s="19">
        <f>IF(Deployments!BR298="","",Deployments!BR298)</f>
        <v/>
      </c>
      <c r="V310" s="19">
        <f>IF(Deployments!BX298="","",Deployments!BX298)</f>
        <v/>
      </c>
      <c r="W310" s="19">
        <f>IF(Deployments!BY298="","",Deployments!BY298)</f>
        <v/>
      </c>
      <c r="X310" s="19">
        <f>IF(Deployments!CC298="","",Deployments!CC298)</f>
        <v/>
      </c>
      <c r="Y310" s="19">
        <f>IF(Deployments!BW298="","",Deployments!BW298)</f>
        <v/>
      </c>
      <c r="Z310" s="19">
        <f>IF(Deployments!U298="","",Deployments!U298)</f>
        <v/>
      </c>
      <c r="AA310" s="19">
        <f>IF(Deployments!L298="","",Deployments!L298)</f>
        <v/>
      </c>
    </row>
    <row r="311">
      <c r="A311" s="20" t="n"/>
      <c r="B311" s="20" t="n"/>
      <c r="C311" s="19">
        <f>IF(Deployments!H299="","",Deployments!H299)</f>
        <v/>
      </c>
      <c r="D311" s="19">
        <f>IF(Deployments!AM299="","",Deployments!AM299)</f>
        <v/>
      </c>
      <c r="E311" s="19">
        <f>IF(Deployments!I299="","",Deployments!I299)</f>
        <v/>
      </c>
      <c r="F311" s="19">
        <f>IF(Deployments!J299="","",Deployments!J299)</f>
        <v/>
      </c>
      <c r="G311" s="19">
        <f>IF(Deployments!K299="","",Deployments!K299)</f>
        <v/>
      </c>
      <c r="H311" s="19">
        <f>IF(Deployments!A299="","",Deployments!A299)</f>
        <v/>
      </c>
      <c r="I311" s="19">
        <f>IF(Deployments!AN299="","",Deployments!AN299)</f>
        <v/>
      </c>
      <c r="J311" s="19">
        <f>IF(Deployments!AO299="","",Deployments!AO299)</f>
        <v/>
      </c>
      <c r="K311" s="19">
        <f>IF(Deployments!AI299="","",Deployments!AI299)</f>
        <v/>
      </c>
      <c r="L311" s="19">
        <f>IF(Deployments!M299="","",Deployments!M299)</f>
        <v/>
      </c>
      <c r="M311" s="20" t="n"/>
      <c r="N311" s="19">
        <f>IF(Deployments!N299="","",Deployments!N299)</f>
        <v/>
      </c>
      <c r="O311" s="19">
        <f>IF(Deployments!O299="","",Deployments!O299)</f>
        <v/>
      </c>
      <c r="P311" s="19">
        <f>IF(Deployments!P299="","",Deployments!P299)</f>
        <v/>
      </c>
      <c r="Q311" s="20" t="n"/>
      <c r="R311" s="19">
        <f>IF(Deployments!BT299="","",Deployments!BT299)</f>
        <v/>
      </c>
      <c r="S311" s="19">
        <f>IF(Deployments!BS299="","",Deployments!BS299)</f>
        <v/>
      </c>
      <c r="T311" s="19">
        <f>IF(Deployments!BB299="","",Deployments!BB299)</f>
        <v/>
      </c>
      <c r="U311" s="19">
        <f>IF(Deployments!BR299="","",Deployments!BR299)</f>
        <v/>
      </c>
      <c r="V311" s="19">
        <f>IF(Deployments!BX299="","",Deployments!BX299)</f>
        <v/>
      </c>
      <c r="W311" s="19">
        <f>IF(Deployments!BY299="","",Deployments!BY299)</f>
        <v/>
      </c>
      <c r="X311" s="19">
        <f>IF(Deployments!CC299="","",Deployments!CC299)</f>
        <v/>
      </c>
      <c r="Y311" s="19">
        <f>IF(Deployments!BW299="","",Deployments!BW299)</f>
        <v/>
      </c>
      <c r="Z311" s="19">
        <f>IF(Deployments!U299="","",Deployments!U299)</f>
        <v/>
      </c>
      <c r="AA311" s="19">
        <f>IF(Deployments!L299="","",Deployments!L299)</f>
        <v/>
      </c>
    </row>
    <row r="312">
      <c r="A312" s="20" t="n"/>
      <c r="B312" s="20" t="n"/>
      <c r="C312" s="19">
        <f>IF(Deployments!H300="","",Deployments!H300)</f>
        <v/>
      </c>
      <c r="D312" s="19">
        <f>IF(Deployments!AM300="","",Deployments!AM300)</f>
        <v/>
      </c>
      <c r="E312" s="19">
        <f>IF(Deployments!I300="","",Deployments!I300)</f>
        <v/>
      </c>
      <c r="F312" s="19">
        <f>IF(Deployments!J300="","",Deployments!J300)</f>
        <v/>
      </c>
      <c r="G312" s="19">
        <f>IF(Deployments!K300="","",Deployments!K300)</f>
        <v/>
      </c>
      <c r="H312" s="19">
        <f>IF(Deployments!A300="","",Deployments!A300)</f>
        <v/>
      </c>
      <c r="I312" s="19">
        <f>IF(Deployments!AN300="","",Deployments!AN300)</f>
        <v/>
      </c>
      <c r="J312" s="19">
        <f>IF(Deployments!AO300="","",Deployments!AO300)</f>
        <v/>
      </c>
      <c r="K312" s="19">
        <f>IF(Deployments!AI300="","",Deployments!AI300)</f>
        <v/>
      </c>
      <c r="L312" s="19">
        <f>IF(Deployments!M300="","",Deployments!M300)</f>
        <v/>
      </c>
      <c r="M312" s="20" t="n"/>
      <c r="N312" s="19">
        <f>IF(Deployments!N300="","",Deployments!N300)</f>
        <v/>
      </c>
      <c r="O312" s="19">
        <f>IF(Deployments!O300="","",Deployments!O300)</f>
        <v/>
      </c>
      <c r="P312" s="19">
        <f>IF(Deployments!P300="","",Deployments!P300)</f>
        <v/>
      </c>
      <c r="Q312" s="20" t="n"/>
      <c r="R312" s="19">
        <f>IF(Deployments!BT300="","",Deployments!BT300)</f>
        <v/>
      </c>
      <c r="S312" s="19">
        <f>IF(Deployments!BS300="","",Deployments!BS300)</f>
        <v/>
      </c>
      <c r="T312" s="19">
        <f>IF(Deployments!BB300="","",Deployments!BB300)</f>
        <v/>
      </c>
      <c r="U312" s="19">
        <f>IF(Deployments!BR300="","",Deployments!BR300)</f>
        <v/>
      </c>
      <c r="V312" s="19">
        <f>IF(Deployments!BX300="","",Deployments!BX300)</f>
        <v/>
      </c>
      <c r="W312" s="19">
        <f>IF(Deployments!BY300="","",Deployments!BY300)</f>
        <v/>
      </c>
      <c r="X312" s="19">
        <f>IF(Deployments!CC300="","",Deployments!CC300)</f>
        <v/>
      </c>
      <c r="Y312" s="19">
        <f>IF(Deployments!BW300="","",Deployments!BW300)</f>
        <v/>
      </c>
      <c r="Z312" s="19">
        <f>IF(Deployments!U300="","",Deployments!U300)</f>
        <v/>
      </c>
      <c r="AA312" s="19">
        <f>IF(Deployments!L300="","",Deployments!L300)</f>
        <v/>
      </c>
    </row>
    <row r="313">
      <c r="A313" s="20" t="n"/>
      <c r="B313" s="20" t="n"/>
      <c r="C313" s="19">
        <f>IF(Deployments!H301="","",Deployments!H301)</f>
        <v/>
      </c>
      <c r="D313" s="19">
        <f>IF(Deployments!AM301="","",Deployments!AM301)</f>
        <v/>
      </c>
      <c r="E313" s="19">
        <f>IF(Deployments!I301="","",Deployments!I301)</f>
        <v/>
      </c>
      <c r="F313" s="19">
        <f>IF(Deployments!J301="","",Deployments!J301)</f>
        <v/>
      </c>
      <c r="G313" s="19">
        <f>IF(Deployments!K301="","",Deployments!K301)</f>
        <v/>
      </c>
      <c r="H313" s="19">
        <f>IF(Deployments!A301="","",Deployments!A301)</f>
        <v/>
      </c>
      <c r="I313" s="19">
        <f>IF(Deployments!AN301="","",Deployments!AN301)</f>
        <v/>
      </c>
      <c r="J313" s="19">
        <f>IF(Deployments!AO301="","",Deployments!AO301)</f>
        <v/>
      </c>
      <c r="K313" s="19">
        <f>IF(Deployments!AI301="","",Deployments!AI301)</f>
        <v/>
      </c>
      <c r="L313" s="19">
        <f>IF(Deployments!M301="","",Deployments!M301)</f>
        <v/>
      </c>
      <c r="M313" s="20" t="n"/>
      <c r="N313" s="19">
        <f>IF(Deployments!N301="","",Deployments!N301)</f>
        <v/>
      </c>
      <c r="O313" s="19">
        <f>IF(Deployments!O301="","",Deployments!O301)</f>
        <v/>
      </c>
      <c r="P313" s="19">
        <f>IF(Deployments!P301="","",Deployments!P301)</f>
        <v/>
      </c>
      <c r="Q313" s="20" t="n"/>
      <c r="R313" s="19">
        <f>IF(Deployments!BT301="","",Deployments!BT301)</f>
        <v/>
      </c>
      <c r="S313" s="19">
        <f>IF(Deployments!BS301="","",Deployments!BS301)</f>
        <v/>
      </c>
      <c r="T313" s="19">
        <f>IF(Deployments!BB301="","",Deployments!BB301)</f>
        <v/>
      </c>
      <c r="U313" s="19">
        <f>IF(Deployments!BR301="","",Deployments!BR301)</f>
        <v/>
      </c>
      <c r="V313" s="19">
        <f>IF(Deployments!BX301="","",Deployments!BX301)</f>
        <v/>
      </c>
      <c r="W313" s="19">
        <f>IF(Deployments!BY301="","",Deployments!BY301)</f>
        <v/>
      </c>
      <c r="X313" s="19">
        <f>IF(Deployments!CC301="","",Deployments!CC301)</f>
        <v/>
      </c>
      <c r="Y313" s="19">
        <f>IF(Deployments!BW301="","",Deployments!BW301)</f>
        <v/>
      </c>
      <c r="Z313" s="19">
        <f>IF(Deployments!U301="","",Deployments!U301)</f>
        <v/>
      </c>
      <c r="AA313" s="19">
        <f>IF(Deployments!L301="","",Deployments!L301)</f>
        <v/>
      </c>
    </row>
    <row r="314">
      <c r="A314" s="20" t="n"/>
      <c r="B314" s="20" t="n"/>
      <c r="C314" s="19">
        <f>IF(Deployments!H302="","",Deployments!H302)</f>
        <v/>
      </c>
      <c r="D314" s="19">
        <f>IF(Deployments!AM302="","",Deployments!AM302)</f>
        <v/>
      </c>
      <c r="E314" s="19">
        <f>IF(Deployments!I302="","",Deployments!I302)</f>
        <v/>
      </c>
      <c r="F314" s="19">
        <f>IF(Deployments!J302="","",Deployments!J302)</f>
        <v/>
      </c>
      <c r="G314" s="19">
        <f>IF(Deployments!K302="","",Deployments!K302)</f>
        <v/>
      </c>
      <c r="H314" s="19">
        <f>IF(Deployments!A302="","",Deployments!A302)</f>
        <v/>
      </c>
      <c r="I314" s="19">
        <f>IF(Deployments!AN302="","",Deployments!AN302)</f>
        <v/>
      </c>
      <c r="J314" s="19">
        <f>IF(Deployments!AO302="","",Deployments!AO302)</f>
        <v/>
      </c>
      <c r="K314" s="19">
        <f>IF(Deployments!AI302="","",Deployments!AI302)</f>
        <v/>
      </c>
      <c r="L314" s="19">
        <f>IF(Deployments!M302="","",Deployments!M302)</f>
        <v/>
      </c>
      <c r="M314" s="20" t="n"/>
      <c r="N314" s="19">
        <f>IF(Deployments!N302="","",Deployments!N302)</f>
        <v/>
      </c>
      <c r="O314" s="19">
        <f>IF(Deployments!O302="","",Deployments!O302)</f>
        <v/>
      </c>
      <c r="P314" s="19">
        <f>IF(Deployments!P302="","",Deployments!P302)</f>
        <v/>
      </c>
      <c r="Q314" s="20" t="n"/>
      <c r="R314" s="19">
        <f>IF(Deployments!BT302="","",Deployments!BT302)</f>
        <v/>
      </c>
      <c r="S314" s="19">
        <f>IF(Deployments!BS302="","",Deployments!BS302)</f>
        <v/>
      </c>
      <c r="T314" s="19">
        <f>IF(Deployments!BB302="","",Deployments!BB302)</f>
        <v/>
      </c>
      <c r="U314" s="19">
        <f>IF(Deployments!BR302="","",Deployments!BR302)</f>
        <v/>
      </c>
      <c r="V314" s="19">
        <f>IF(Deployments!BX302="","",Deployments!BX302)</f>
        <v/>
      </c>
      <c r="W314" s="19">
        <f>IF(Deployments!BY302="","",Deployments!BY302)</f>
        <v/>
      </c>
      <c r="X314" s="19">
        <f>IF(Deployments!CC302="","",Deployments!CC302)</f>
        <v/>
      </c>
      <c r="Y314" s="19">
        <f>IF(Deployments!BW302="","",Deployments!BW302)</f>
        <v/>
      </c>
      <c r="Z314" s="19">
        <f>IF(Deployments!U302="","",Deployments!U302)</f>
        <v/>
      </c>
      <c r="AA314" s="19">
        <f>IF(Deployments!L302="","",Deployments!L302)</f>
        <v/>
      </c>
    </row>
    <row r="315">
      <c r="A315" s="20" t="n"/>
      <c r="B315" s="20" t="n"/>
      <c r="C315" s="19">
        <f>IF(Deployments!H303="","",Deployments!H303)</f>
        <v/>
      </c>
      <c r="D315" s="19">
        <f>IF(Deployments!AM303="","",Deployments!AM303)</f>
        <v/>
      </c>
      <c r="E315" s="19">
        <f>IF(Deployments!I303="","",Deployments!I303)</f>
        <v/>
      </c>
      <c r="F315" s="19">
        <f>IF(Deployments!J303="","",Deployments!J303)</f>
        <v/>
      </c>
      <c r="G315" s="19">
        <f>IF(Deployments!K303="","",Deployments!K303)</f>
        <v/>
      </c>
      <c r="H315" s="19">
        <f>IF(Deployments!A303="","",Deployments!A303)</f>
        <v/>
      </c>
      <c r="I315" s="19">
        <f>IF(Deployments!AN303="","",Deployments!AN303)</f>
        <v/>
      </c>
      <c r="J315" s="19">
        <f>IF(Deployments!AO303="","",Deployments!AO303)</f>
        <v/>
      </c>
      <c r="K315" s="19">
        <f>IF(Deployments!AI303="","",Deployments!AI303)</f>
        <v/>
      </c>
      <c r="L315" s="19">
        <f>IF(Deployments!M303="","",Deployments!M303)</f>
        <v/>
      </c>
      <c r="M315" s="20" t="n"/>
      <c r="N315" s="19">
        <f>IF(Deployments!N303="","",Deployments!N303)</f>
        <v/>
      </c>
      <c r="O315" s="19">
        <f>IF(Deployments!O303="","",Deployments!O303)</f>
        <v/>
      </c>
      <c r="P315" s="19">
        <f>IF(Deployments!P303="","",Deployments!P303)</f>
        <v/>
      </c>
      <c r="Q315" s="20" t="n"/>
      <c r="R315" s="19">
        <f>IF(Deployments!BT303="","",Deployments!BT303)</f>
        <v/>
      </c>
      <c r="S315" s="19">
        <f>IF(Deployments!BS303="","",Deployments!BS303)</f>
        <v/>
      </c>
      <c r="T315" s="19">
        <f>IF(Deployments!BB303="","",Deployments!BB303)</f>
        <v/>
      </c>
      <c r="U315" s="19">
        <f>IF(Deployments!BR303="","",Deployments!BR303)</f>
        <v/>
      </c>
      <c r="V315" s="19">
        <f>IF(Deployments!BX303="","",Deployments!BX303)</f>
        <v/>
      </c>
      <c r="W315" s="19">
        <f>IF(Deployments!BY303="","",Deployments!BY303)</f>
        <v/>
      </c>
      <c r="X315" s="19">
        <f>IF(Deployments!CC303="","",Deployments!CC303)</f>
        <v/>
      </c>
      <c r="Y315" s="19">
        <f>IF(Deployments!BW303="","",Deployments!BW303)</f>
        <v/>
      </c>
      <c r="Z315" s="19">
        <f>IF(Deployments!U303="","",Deployments!U303)</f>
        <v/>
      </c>
      <c r="AA315" s="19">
        <f>IF(Deployments!L303="","",Deployments!L303)</f>
        <v/>
      </c>
    </row>
    <row r="316">
      <c r="A316" s="20" t="n"/>
      <c r="B316" s="20" t="n"/>
      <c r="C316" s="19">
        <f>IF(Deployments!H304="","",Deployments!H304)</f>
        <v/>
      </c>
      <c r="D316" s="19">
        <f>IF(Deployments!AM304="","",Deployments!AM304)</f>
        <v/>
      </c>
      <c r="E316" s="19">
        <f>IF(Deployments!I304="","",Deployments!I304)</f>
        <v/>
      </c>
      <c r="F316" s="19">
        <f>IF(Deployments!J304="","",Deployments!J304)</f>
        <v/>
      </c>
      <c r="G316" s="19">
        <f>IF(Deployments!K304="","",Deployments!K304)</f>
        <v/>
      </c>
      <c r="H316" s="19">
        <f>IF(Deployments!A304="","",Deployments!A304)</f>
        <v/>
      </c>
      <c r="I316" s="19">
        <f>IF(Deployments!AN304="","",Deployments!AN304)</f>
        <v/>
      </c>
      <c r="J316" s="19">
        <f>IF(Deployments!AO304="","",Deployments!AO304)</f>
        <v/>
      </c>
      <c r="K316" s="19">
        <f>IF(Deployments!AI304="","",Deployments!AI304)</f>
        <v/>
      </c>
      <c r="L316" s="19">
        <f>IF(Deployments!M304="","",Deployments!M304)</f>
        <v/>
      </c>
      <c r="M316" s="20" t="n"/>
      <c r="N316" s="19">
        <f>IF(Deployments!N304="","",Deployments!N304)</f>
        <v/>
      </c>
      <c r="O316" s="19">
        <f>IF(Deployments!O304="","",Deployments!O304)</f>
        <v/>
      </c>
      <c r="P316" s="19">
        <f>IF(Deployments!P304="","",Deployments!P304)</f>
        <v/>
      </c>
      <c r="Q316" s="20" t="n"/>
      <c r="R316" s="19">
        <f>IF(Deployments!BT304="","",Deployments!BT304)</f>
        <v/>
      </c>
      <c r="S316" s="19">
        <f>IF(Deployments!BS304="","",Deployments!BS304)</f>
        <v/>
      </c>
      <c r="T316" s="19">
        <f>IF(Deployments!BB304="","",Deployments!BB304)</f>
        <v/>
      </c>
      <c r="U316" s="19">
        <f>IF(Deployments!BR304="","",Deployments!BR304)</f>
        <v/>
      </c>
      <c r="V316" s="19">
        <f>IF(Deployments!BX304="","",Deployments!BX304)</f>
        <v/>
      </c>
      <c r="W316" s="19">
        <f>IF(Deployments!BY304="","",Deployments!BY304)</f>
        <v/>
      </c>
      <c r="X316" s="19">
        <f>IF(Deployments!CC304="","",Deployments!CC304)</f>
        <v/>
      </c>
      <c r="Y316" s="19">
        <f>IF(Deployments!BW304="","",Deployments!BW304)</f>
        <v/>
      </c>
      <c r="Z316" s="19">
        <f>IF(Deployments!U304="","",Deployments!U304)</f>
        <v/>
      </c>
      <c r="AA316" s="19">
        <f>IF(Deployments!L304="","",Deployments!L304)</f>
        <v/>
      </c>
    </row>
    <row r="317">
      <c r="A317" s="20" t="n"/>
      <c r="B317" s="20" t="n"/>
      <c r="C317" s="19">
        <f>IF(Deployments!H305="","",Deployments!H305)</f>
        <v/>
      </c>
      <c r="D317" s="19">
        <f>IF(Deployments!AM305="","",Deployments!AM305)</f>
        <v/>
      </c>
      <c r="E317" s="19">
        <f>IF(Deployments!I305="","",Deployments!I305)</f>
        <v/>
      </c>
      <c r="F317" s="19">
        <f>IF(Deployments!J305="","",Deployments!J305)</f>
        <v/>
      </c>
      <c r="G317" s="19">
        <f>IF(Deployments!K305="","",Deployments!K305)</f>
        <v/>
      </c>
      <c r="H317" s="19">
        <f>IF(Deployments!A305="","",Deployments!A305)</f>
        <v/>
      </c>
      <c r="I317" s="19">
        <f>IF(Deployments!AN305="","",Deployments!AN305)</f>
        <v/>
      </c>
      <c r="J317" s="19">
        <f>IF(Deployments!AO305="","",Deployments!AO305)</f>
        <v/>
      </c>
      <c r="K317" s="19">
        <f>IF(Deployments!AI305="","",Deployments!AI305)</f>
        <v/>
      </c>
      <c r="L317" s="19">
        <f>IF(Deployments!M305="","",Deployments!M305)</f>
        <v/>
      </c>
      <c r="M317" s="20" t="n"/>
      <c r="N317" s="19">
        <f>IF(Deployments!N305="","",Deployments!N305)</f>
        <v/>
      </c>
      <c r="O317" s="19">
        <f>IF(Deployments!O305="","",Deployments!O305)</f>
        <v/>
      </c>
      <c r="P317" s="19">
        <f>IF(Deployments!P305="","",Deployments!P305)</f>
        <v/>
      </c>
      <c r="Q317" s="20" t="n"/>
      <c r="R317" s="19">
        <f>IF(Deployments!BT305="","",Deployments!BT305)</f>
        <v/>
      </c>
      <c r="S317" s="19">
        <f>IF(Deployments!BS305="","",Deployments!BS305)</f>
        <v/>
      </c>
      <c r="T317" s="19">
        <f>IF(Deployments!BB305="","",Deployments!BB305)</f>
        <v/>
      </c>
      <c r="U317" s="19">
        <f>IF(Deployments!BR305="","",Deployments!BR305)</f>
        <v/>
      </c>
      <c r="V317" s="19">
        <f>IF(Deployments!BX305="","",Deployments!BX305)</f>
        <v/>
      </c>
      <c r="W317" s="19">
        <f>IF(Deployments!BY305="","",Deployments!BY305)</f>
        <v/>
      </c>
      <c r="X317" s="19">
        <f>IF(Deployments!CC305="","",Deployments!CC305)</f>
        <v/>
      </c>
      <c r="Y317" s="19">
        <f>IF(Deployments!BW305="","",Deployments!BW305)</f>
        <v/>
      </c>
      <c r="Z317" s="19">
        <f>IF(Deployments!U305="","",Deployments!U305)</f>
        <v/>
      </c>
      <c r="AA317" s="19">
        <f>IF(Deployments!L305="","",Deployments!L305)</f>
        <v/>
      </c>
    </row>
    <row r="318">
      <c r="A318" s="20" t="n"/>
      <c r="B318" s="20" t="n"/>
      <c r="C318" s="19">
        <f>IF(Deployments!H306="","",Deployments!H306)</f>
        <v/>
      </c>
      <c r="D318" s="19">
        <f>IF(Deployments!AM306="","",Deployments!AM306)</f>
        <v/>
      </c>
      <c r="E318" s="19">
        <f>IF(Deployments!I306="","",Deployments!I306)</f>
        <v/>
      </c>
      <c r="F318" s="19">
        <f>IF(Deployments!J306="","",Deployments!J306)</f>
        <v/>
      </c>
      <c r="G318" s="19">
        <f>IF(Deployments!K306="","",Deployments!K306)</f>
        <v/>
      </c>
      <c r="H318" s="19">
        <f>IF(Deployments!A306="","",Deployments!A306)</f>
        <v/>
      </c>
      <c r="I318" s="19">
        <f>IF(Deployments!AN306="","",Deployments!AN306)</f>
        <v/>
      </c>
      <c r="J318" s="19">
        <f>IF(Deployments!AO306="","",Deployments!AO306)</f>
        <v/>
      </c>
      <c r="K318" s="19">
        <f>IF(Deployments!AI306="","",Deployments!AI306)</f>
        <v/>
      </c>
      <c r="L318" s="19">
        <f>IF(Deployments!M306="","",Deployments!M306)</f>
        <v/>
      </c>
      <c r="M318" s="20" t="n"/>
      <c r="N318" s="19">
        <f>IF(Deployments!N306="","",Deployments!N306)</f>
        <v/>
      </c>
      <c r="O318" s="19">
        <f>IF(Deployments!O306="","",Deployments!O306)</f>
        <v/>
      </c>
      <c r="P318" s="19">
        <f>IF(Deployments!P306="","",Deployments!P306)</f>
        <v/>
      </c>
      <c r="Q318" s="20" t="n"/>
      <c r="R318" s="19">
        <f>IF(Deployments!BT306="","",Deployments!BT306)</f>
        <v/>
      </c>
      <c r="S318" s="19">
        <f>IF(Deployments!BS306="","",Deployments!BS306)</f>
        <v/>
      </c>
      <c r="T318" s="19">
        <f>IF(Deployments!BB306="","",Deployments!BB306)</f>
        <v/>
      </c>
      <c r="U318" s="19">
        <f>IF(Deployments!BR306="","",Deployments!BR306)</f>
        <v/>
      </c>
      <c r="V318" s="19">
        <f>IF(Deployments!BX306="","",Deployments!BX306)</f>
        <v/>
      </c>
      <c r="W318" s="19">
        <f>IF(Deployments!BY306="","",Deployments!BY306)</f>
        <v/>
      </c>
      <c r="X318" s="19">
        <f>IF(Deployments!CC306="","",Deployments!CC306)</f>
        <v/>
      </c>
      <c r="Y318" s="19">
        <f>IF(Deployments!BW306="","",Deployments!BW306)</f>
        <v/>
      </c>
      <c r="Z318" s="19">
        <f>IF(Deployments!U306="","",Deployments!U306)</f>
        <v/>
      </c>
      <c r="AA318" s="19">
        <f>IF(Deployments!L306="","",Deployments!L306)</f>
        <v/>
      </c>
    </row>
    <row r="319">
      <c r="A319" s="20" t="n"/>
      <c r="B319" s="20" t="n"/>
      <c r="C319" s="19">
        <f>IF(Deployments!H307="","",Deployments!H307)</f>
        <v/>
      </c>
      <c r="D319" s="19">
        <f>IF(Deployments!AM307="","",Deployments!AM307)</f>
        <v/>
      </c>
      <c r="E319" s="19">
        <f>IF(Deployments!I307="","",Deployments!I307)</f>
        <v/>
      </c>
      <c r="F319" s="19">
        <f>IF(Deployments!J307="","",Deployments!J307)</f>
        <v/>
      </c>
      <c r="G319" s="19">
        <f>IF(Deployments!K307="","",Deployments!K307)</f>
        <v/>
      </c>
      <c r="H319" s="19">
        <f>IF(Deployments!A307="","",Deployments!A307)</f>
        <v/>
      </c>
      <c r="I319" s="19">
        <f>IF(Deployments!AN307="","",Deployments!AN307)</f>
        <v/>
      </c>
      <c r="J319" s="19">
        <f>IF(Deployments!AO307="","",Deployments!AO307)</f>
        <v/>
      </c>
      <c r="K319" s="19">
        <f>IF(Deployments!AI307="","",Deployments!AI307)</f>
        <v/>
      </c>
      <c r="L319" s="19">
        <f>IF(Deployments!M307="","",Deployments!M307)</f>
        <v/>
      </c>
      <c r="M319" s="20" t="n"/>
      <c r="N319" s="19">
        <f>IF(Deployments!N307="","",Deployments!N307)</f>
        <v/>
      </c>
      <c r="O319" s="19">
        <f>IF(Deployments!O307="","",Deployments!O307)</f>
        <v/>
      </c>
      <c r="P319" s="19">
        <f>IF(Deployments!P307="","",Deployments!P307)</f>
        <v/>
      </c>
      <c r="Q319" s="20" t="n"/>
      <c r="R319" s="19">
        <f>IF(Deployments!BT307="","",Deployments!BT307)</f>
        <v/>
      </c>
      <c r="S319" s="19">
        <f>IF(Deployments!BS307="","",Deployments!BS307)</f>
        <v/>
      </c>
      <c r="T319" s="19">
        <f>IF(Deployments!BB307="","",Deployments!BB307)</f>
        <v/>
      </c>
      <c r="U319" s="19">
        <f>IF(Deployments!BR307="","",Deployments!BR307)</f>
        <v/>
      </c>
      <c r="V319" s="19">
        <f>IF(Deployments!BX307="","",Deployments!BX307)</f>
        <v/>
      </c>
      <c r="W319" s="19">
        <f>IF(Deployments!BY307="","",Deployments!BY307)</f>
        <v/>
      </c>
      <c r="X319" s="19">
        <f>IF(Deployments!CC307="","",Deployments!CC307)</f>
        <v/>
      </c>
      <c r="Y319" s="19">
        <f>IF(Deployments!BW307="","",Deployments!BW307)</f>
        <v/>
      </c>
      <c r="Z319" s="19">
        <f>IF(Deployments!U307="","",Deployments!U307)</f>
        <v/>
      </c>
      <c r="AA319" s="19">
        <f>IF(Deployments!L307="","",Deployments!L307)</f>
        <v/>
      </c>
    </row>
    <row r="320" ht="68.25" customHeight="1" s="91">
      <c r="A320" s="20" t="n"/>
      <c r="B320" s="20" t="n"/>
      <c r="C320" s="19">
        <f>IF(Deployments!H308="","",Deployments!H308)</f>
        <v/>
      </c>
      <c r="D320" s="19">
        <f>IF(Deployments!AM308="","",Deployments!AM308)</f>
        <v/>
      </c>
      <c r="E320" s="19">
        <f>IF(Deployments!I308="","",Deployments!I308)</f>
        <v/>
      </c>
      <c r="F320" s="19">
        <f>IF(Deployments!J308="","",Deployments!J308)</f>
        <v/>
      </c>
      <c r="G320" s="19">
        <f>IF(Deployments!K308="","",Deployments!K308)</f>
        <v/>
      </c>
      <c r="H320" s="19">
        <f>IF(Deployments!A308="","",Deployments!A308)</f>
        <v/>
      </c>
      <c r="I320" s="19">
        <f>IF(Deployments!AN308="","",Deployments!AN308)</f>
        <v/>
      </c>
      <c r="J320" s="19">
        <f>IF(Deployments!AO308="","",Deployments!AO308)</f>
        <v/>
      </c>
      <c r="K320" s="19">
        <f>IF(Deployments!AI308="","",Deployments!AI308)</f>
        <v/>
      </c>
      <c r="L320" s="19">
        <f>IF(Deployments!M308="","",Deployments!M308)</f>
        <v/>
      </c>
      <c r="M320" s="20" t="n"/>
      <c r="N320" s="19">
        <f>IF(Deployments!N308="","",Deployments!N308)</f>
        <v/>
      </c>
      <c r="O320" s="19">
        <f>IF(Deployments!O308="","",Deployments!O308)</f>
        <v/>
      </c>
      <c r="P320" s="19">
        <f>IF(Deployments!P308="","",Deployments!P308)</f>
        <v/>
      </c>
      <c r="Q320" s="20" t="n"/>
      <c r="R320" s="19">
        <f>IF(Deployments!BT308="","",Deployments!BT308)</f>
        <v/>
      </c>
      <c r="S320" s="19">
        <f>IF(Deployments!BS308="","",Deployments!BS308)</f>
        <v/>
      </c>
      <c r="T320" s="19">
        <f>IF(Deployments!BB308="","",Deployments!BB308)</f>
        <v/>
      </c>
      <c r="U320" s="19">
        <f>IF(Deployments!BR308="","",Deployments!BR308)</f>
        <v/>
      </c>
      <c r="V320" s="19">
        <f>IF(Deployments!BX308="","",Deployments!BX308)</f>
        <v/>
      </c>
      <c r="W320" s="19">
        <f>IF(Deployments!BY308="","",Deployments!BY308)</f>
        <v/>
      </c>
      <c r="X320" s="19">
        <f>IF(Deployments!CC308="","",Deployments!CC308)</f>
        <v/>
      </c>
      <c r="Y320" s="19">
        <f>IF(Deployments!BW308="","",Deployments!BW308)</f>
        <v/>
      </c>
      <c r="Z320" s="19">
        <f>IF(Deployments!U308="","",Deployments!U308)</f>
        <v/>
      </c>
      <c r="AA320" s="19">
        <f>IF(Deployments!L308="","",Deployments!L308)</f>
        <v/>
      </c>
    </row>
    <row r="321">
      <c r="A321" s="20" t="n"/>
      <c r="B321" s="20" t="n"/>
      <c r="C321" s="19">
        <f>IF(Deployments!H309="","",Deployments!H309)</f>
        <v/>
      </c>
      <c r="D321" s="19">
        <f>IF(Deployments!AM309="","",Deployments!AM309)</f>
        <v/>
      </c>
      <c r="E321" s="19">
        <f>IF(Deployments!I309="","",Deployments!I309)</f>
        <v/>
      </c>
      <c r="F321" s="19">
        <f>IF(Deployments!J309="","",Deployments!J309)</f>
        <v/>
      </c>
      <c r="G321" s="19">
        <f>IF(Deployments!K309="","",Deployments!K309)</f>
        <v/>
      </c>
      <c r="H321" s="19">
        <f>IF(Deployments!A309="","",Deployments!A309)</f>
        <v/>
      </c>
      <c r="I321" s="19">
        <f>IF(Deployments!AN309="","",Deployments!AN309)</f>
        <v/>
      </c>
      <c r="J321" s="19">
        <f>IF(Deployments!AO309="","",Deployments!AO309)</f>
        <v/>
      </c>
      <c r="K321" s="19">
        <f>IF(Deployments!AI309="","",Deployments!AI309)</f>
        <v/>
      </c>
      <c r="L321" s="19">
        <f>IF(Deployments!M309="","",Deployments!M309)</f>
        <v/>
      </c>
      <c r="M321" s="20" t="n"/>
      <c r="N321" s="19">
        <f>IF(Deployments!N309="","",Deployments!N309)</f>
        <v/>
      </c>
      <c r="O321" s="19">
        <f>IF(Deployments!O309="","",Deployments!O309)</f>
        <v/>
      </c>
      <c r="P321" s="19">
        <f>IF(Deployments!P309="","",Deployments!P309)</f>
        <v/>
      </c>
      <c r="Q321" s="20" t="n"/>
      <c r="R321" s="19">
        <f>IF(Deployments!BT309="","",Deployments!BT309)</f>
        <v/>
      </c>
      <c r="S321" s="19">
        <f>IF(Deployments!BS309="","",Deployments!BS309)</f>
        <v/>
      </c>
      <c r="T321" s="19">
        <f>IF(Deployments!BB309="","",Deployments!BB309)</f>
        <v/>
      </c>
      <c r="U321" s="19">
        <f>IF(Deployments!BR309="","",Deployments!BR309)</f>
        <v/>
      </c>
      <c r="V321" s="19">
        <f>IF(Deployments!BX309="","",Deployments!BX309)</f>
        <v/>
      </c>
      <c r="W321" s="19">
        <f>IF(Deployments!BY309="","",Deployments!BY309)</f>
        <v/>
      </c>
      <c r="X321" s="19">
        <f>IF(Deployments!CC309="","",Deployments!CC309)</f>
        <v/>
      </c>
      <c r="Y321" s="19">
        <f>IF(Deployments!BW309="","",Deployments!BW309)</f>
        <v/>
      </c>
      <c r="Z321" s="19">
        <f>IF(Deployments!U309="","",Deployments!U309)</f>
        <v/>
      </c>
      <c r="AA321" s="19">
        <f>IF(Deployments!L309="","",Deployments!L309)</f>
        <v/>
      </c>
    </row>
    <row r="322">
      <c r="A322" s="20" t="n"/>
      <c r="B322" s="20" t="n"/>
      <c r="C322" s="19">
        <f>IF(Deployments!H310="","",Deployments!H310)</f>
        <v/>
      </c>
      <c r="D322" s="19">
        <f>IF(Deployments!AM310="","",Deployments!AM310)</f>
        <v/>
      </c>
      <c r="E322" s="19">
        <f>IF(Deployments!I310="","",Deployments!I310)</f>
        <v/>
      </c>
      <c r="F322" s="19">
        <f>IF(Deployments!J310="","",Deployments!J310)</f>
        <v/>
      </c>
      <c r="G322" s="19">
        <f>IF(Deployments!K310="","",Deployments!K310)</f>
        <v/>
      </c>
      <c r="H322" s="19">
        <f>IF(Deployments!A310="","",Deployments!A310)</f>
        <v/>
      </c>
      <c r="I322" s="19">
        <f>IF(Deployments!AN310="","",Deployments!AN310)</f>
        <v/>
      </c>
      <c r="J322" s="19">
        <f>IF(Deployments!AO310="","",Deployments!AO310)</f>
        <v/>
      </c>
      <c r="K322" s="19">
        <f>IF(Deployments!AI310="","",Deployments!AI310)</f>
        <v/>
      </c>
      <c r="L322" s="19">
        <f>IF(Deployments!M310="","",Deployments!M310)</f>
        <v/>
      </c>
      <c r="M322" s="20" t="n"/>
      <c r="N322" s="19">
        <f>IF(Deployments!N310="","",Deployments!N310)</f>
        <v/>
      </c>
      <c r="O322" s="19">
        <f>IF(Deployments!O310="","",Deployments!O310)</f>
        <v/>
      </c>
      <c r="P322" s="19">
        <f>IF(Deployments!P310="","",Deployments!P310)</f>
        <v/>
      </c>
      <c r="Q322" s="20" t="n"/>
      <c r="R322" s="19">
        <f>IF(Deployments!BT310="","",Deployments!BT310)</f>
        <v/>
      </c>
      <c r="S322" s="19">
        <f>IF(Deployments!BS310="","",Deployments!BS310)</f>
        <v/>
      </c>
      <c r="T322" s="19">
        <f>IF(Deployments!BB310="","",Deployments!BB310)</f>
        <v/>
      </c>
      <c r="U322" s="19">
        <f>IF(Deployments!BR310="","",Deployments!BR310)</f>
        <v/>
      </c>
      <c r="V322" s="19">
        <f>IF(Deployments!BX310="","",Deployments!BX310)</f>
        <v/>
      </c>
      <c r="W322" s="19">
        <f>IF(Deployments!BY310="","",Deployments!BY310)</f>
        <v/>
      </c>
      <c r="X322" s="19">
        <f>IF(Deployments!CC310="","",Deployments!CC310)</f>
        <v/>
      </c>
      <c r="Y322" s="19">
        <f>IF(Deployments!BW310="","",Deployments!BW310)</f>
        <v/>
      </c>
      <c r="Z322" s="19">
        <f>IF(Deployments!U310="","",Deployments!U310)</f>
        <v/>
      </c>
      <c r="AA322" s="19">
        <f>IF(Deployments!L310="","",Deployments!L310)</f>
        <v/>
      </c>
    </row>
    <row r="323">
      <c r="A323" s="20" t="n"/>
      <c r="B323" s="20" t="n"/>
      <c r="C323" s="19">
        <f>IF(Deployments!H311="","",Deployments!H311)</f>
        <v/>
      </c>
      <c r="D323" s="19">
        <f>IF(Deployments!AM311="","",Deployments!AM311)</f>
        <v/>
      </c>
      <c r="E323" s="19">
        <f>IF(Deployments!I311="","",Deployments!I311)</f>
        <v/>
      </c>
      <c r="F323" s="19">
        <f>IF(Deployments!J311="","",Deployments!J311)</f>
        <v/>
      </c>
      <c r="G323" s="19">
        <f>IF(Deployments!K311="","",Deployments!K311)</f>
        <v/>
      </c>
      <c r="H323" s="19">
        <f>IF(Deployments!A311="","",Deployments!A311)</f>
        <v/>
      </c>
      <c r="I323" s="19">
        <f>IF(Deployments!AN311="","",Deployments!AN311)</f>
        <v/>
      </c>
      <c r="J323" s="19">
        <f>IF(Deployments!AO311="","",Deployments!AO311)</f>
        <v/>
      </c>
      <c r="K323" s="19">
        <f>IF(Deployments!AI311="","",Deployments!AI311)</f>
        <v/>
      </c>
      <c r="L323" s="19">
        <f>IF(Deployments!M311="","",Deployments!M311)</f>
        <v/>
      </c>
      <c r="M323" s="20" t="n"/>
      <c r="N323" s="19">
        <f>IF(Deployments!N311="","",Deployments!N311)</f>
        <v/>
      </c>
      <c r="O323" s="19">
        <f>IF(Deployments!O311="","",Deployments!O311)</f>
        <v/>
      </c>
      <c r="P323" s="19">
        <f>IF(Deployments!P311="","",Deployments!P311)</f>
        <v/>
      </c>
      <c r="Q323" s="20" t="n"/>
      <c r="R323" s="19">
        <f>IF(Deployments!BT311="","",Deployments!BT311)</f>
        <v/>
      </c>
      <c r="S323" s="19">
        <f>IF(Deployments!BS311="","",Deployments!BS311)</f>
        <v/>
      </c>
      <c r="T323" s="19">
        <f>IF(Deployments!BB311="","",Deployments!BB311)</f>
        <v/>
      </c>
      <c r="U323" s="19">
        <f>IF(Deployments!BR311="","",Deployments!BR311)</f>
        <v/>
      </c>
      <c r="V323" s="19">
        <f>IF(Deployments!BX311="","",Deployments!BX311)</f>
        <v/>
      </c>
      <c r="W323" s="19">
        <f>IF(Deployments!BY311="","",Deployments!BY311)</f>
        <v/>
      </c>
      <c r="X323" s="19">
        <f>IF(Deployments!CC311="","",Deployments!CC311)</f>
        <v/>
      </c>
      <c r="Y323" s="19">
        <f>IF(Deployments!BW311="","",Deployments!BW311)</f>
        <v/>
      </c>
      <c r="Z323" s="19">
        <f>IF(Deployments!U311="","",Deployments!U311)</f>
        <v/>
      </c>
      <c r="AA323" s="19">
        <f>IF(Deployments!L311="","",Deployments!L311)</f>
        <v/>
      </c>
    </row>
    <row r="324">
      <c r="A324" s="20" t="n"/>
      <c r="B324" s="20" t="n"/>
      <c r="C324" s="19">
        <f>IF(Deployments!H312="","",Deployments!H312)</f>
        <v/>
      </c>
      <c r="D324" s="19">
        <f>IF(Deployments!AM312="","",Deployments!AM312)</f>
        <v/>
      </c>
      <c r="E324" s="19">
        <f>IF(Deployments!I312="","",Deployments!I312)</f>
        <v/>
      </c>
      <c r="F324" s="19">
        <f>IF(Deployments!J312="","",Deployments!J312)</f>
        <v/>
      </c>
      <c r="G324" s="19">
        <f>IF(Deployments!K312="","",Deployments!K312)</f>
        <v/>
      </c>
      <c r="H324" s="19">
        <f>IF(Deployments!A312="","",Deployments!A312)</f>
        <v/>
      </c>
      <c r="I324" s="19">
        <f>IF(Deployments!AN312="","",Deployments!AN312)</f>
        <v/>
      </c>
      <c r="J324" s="19">
        <f>IF(Deployments!AO312="","",Deployments!AO312)</f>
        <v/>
      </c>
      <c r="K324" s="19">
        <f>IF(Deployments!AI312="","",Deployments!AI312)</f>
        <v/>
      </c>
      <c r="L324" s="19">
        <f>IF(Deployments!M312="","",Deployments!M312)</f>
        <v/>
      </c>
      <c r="M324" s="20" t="n"/>
      <c r="N324" s="19">
        <f>IF(Deployments!N312="","",Deployments!N312)</f>
        <v/>
      </c>
      <c r="O324" s="19">
        <f>IF(Deployments!O312="","",Deployments!O312)</f>
        <v/>
      </c>
      <c r="P324" s="19">
        <f>IF(Deployments!P312="","",Deployments!P312)</f>
        <v/>
      </c>
      <c r="Q324" s="20" t="n"/>
      <c r="R324" s="19">
        <f>IF(Deployments!BT312="","",Deployments!BT312)</f>
        <v/>
      </c>
      <c r="S324" s="19">
        <f>IF(Deployments!BS312="","",Deployments!BS312)</f>
        <v/>
      </c>
      <c r="T324" s="19">
        <f>IF(Deployments!BB312="","",Deployments!BB312)</f>
        <v/>
      </c>
      <c r="U324" s="19">
        <f>IF(Deployments!BR312="","",Deployments!BR312)</f>
        <v/>
      </c>
      <c r="V324" s="19">
        <f>IF(Deployments!BX312="","",Deployments!BX312)</f>
        <v/>
      </c>
      <c r="W324" s="19">
        <f>IF(Deployments!BY312="","",Deployments!BY312)</f>
        <v/>
      </c>
      <c r="X324" s="19">
        <f>IF(Deployments!CC312="","",Deployments!CC312)</f>
        <v/>
      </c>
      <c r="Y324" s="19">
        <f>IF(Deployments!BW312="","",Deployments!BW312)</f>
        <v/>
      </c>
      <c r="Z324" s="19">
        <f>IF(Deployments!U312="","",Deployments!U312)</f>
        <v/>
      </c>
      <c r="AA324" s="19">
        <f>IF(Deployments!L312="","",Deployments!L312)</f>
        <v/>
      </c>
    </row>
    <row r="325">
      <c r="A325" s="20" t="n"/>
      <c r="B325" s="20" t="n"/>
      <c r="C325" s="19">
        <f>IF(Deployments!H313="","",Deployments!H313)</f>
        <v/>
      </c>
      <c r="D325" s="19">
        <f>IF(Deployments!AM313="","",Deployments!AM313)</f>
        <v/>
      </c>
      <c r="E325" s="19">
        <f>IF(Deployments!I313="","",Deployments!I313)</f>
        <v/>
      </c>
      <c r="F325" s="19">
        <f>IF(Deployments!J313="","",Deployments!J313)</f>
        <v/>
      </c>
      <c r="G325" s="19">
        <f>IF(Deployments!K313="","",Deployments!K313)</f>
        <v/>
      </c>
      <c r="H325" s="19">
        <f>IF(Deployments!A313="","",Deployments!A313)</f>
        <v/>
      </c>
      <c r="I325" s="19">
        <f>IF(Deployments!AN313="","",Deployments!AN313)</f>
        <v/>
      </c>
      <c r="J325" s="19">
        <f>IF(Deployments!AO313="","",Deployments!AO313)</f>
        <v/>
      </c>
      <c r="K325" s="19">
        <f>IF(Deployments!AI313="","",Deployments!AI313)</f>
        <v/>
      </c>
      <c r="L325" s="19">
        <f>IF(Deployments!M313="","",Deployments!M313)</f>
        <v/>
      </c>
      <c r="M325" s="20" t="n"/>
      <c r="N325" s="19">
        <f>IF(Deployments!N313="","",Deployments!N313)</f>
        <v/>
      </c>
      <c r="O325" s="19">
        <f>IF(Deployments!O313="","",Deployments!O313)</f>
        <v/>
      </c>
      <c r="P325" s="19">
        <f>IF(Deployments!P313="","",Deployments!P313)</f>
        <v/>
      </c>
      <c r="Q325" s="20" t="n"/>
      <c r="R325" s="19">
        <f>IF(Deployments!BT313="","",Deployments!BT313)</f>
        <v/>
      </c>
      <c r="S325" s="19">
        <f>IF(Deployments!BS313="","",Deployments!BS313)</f>
        <v/>
      </c>
      <c r="T325" s="19">
        <f>IF(Deployments!BB313="","",Deployments!BB313)</f>
        <v/>
      </c>
      <c r="U325" s="19">
        <f>IF(Deployments!BR313="","",Deployments!BR313)</f>
        <v/>
      </c>
      <c r="V325" s="19">
        <f>IF(Deployments!BX313="","",Deployments!BX313)</f>
        <v/>
      </c>
      <c r="W325" s="19">
        <f>IF(Deployments!BY313="","",Deployments!BY313)</f>
        <v/>
      </c>
      <c r="X325" s="19">
        <f>IF(Deployments!CC313="","",Deployments!CC313)</f>
        <v/>
      </c>
      <c r="Y325" s="19">
        <f>IF(Deployments!BW313="","",Deployments!BW313)</f>
        <v/>
      </c>
      <c r="Z325" s="19">
        <f>IF(Deployments!U313="","",Deployments!U313)</f>
        <v/>
      </c>
      <c r="AA325" s="19">
        <f>IF(Deployments!L313="","",Deployments!L313)</f>
        <v/>
      </c>
    </row>
    <row r="326">
      <c r="A326" s="20" t="n"/>
      <c r="B326" s="20" t="n"/>
      <c r="C326" s="19">
        <f>IF(Deployments!H314="","",Deployments!H314)</f>
        <v/>
      </c>
      <c r="D326" s="19">
        <f>IF(Deployments!AM314="","",Deployments!AM314)</f>
        <v/>
      </c>
      <c r="E326" s="19">
        <f>IF(Deployments!I314="","",Deployments!I314)</f>
        <v/>
      </c>
      <c r="F326" s="19">
        <f>IF(Deployments!J314="","",Deployments!J314)</f>
        <v/>
      </c>
      <c r="G326" s="19">
        <f>IF(Deployments!K314="","",Deployments!K314)</f>
        <v/>
      </c>
      <c r="H326" s="19">
        <f>IF(Deployments!A314="","",Deployments!A314)</f>
        <v/>
      </c>
      <c r="I326" s="19">
        <f>IF(Deployments!AN314="","",Deployments!AN314)</f>
        <v/>
      </c>
      <c r="J326" s="19">
        <f>IF(Deployments!AO314="","",Deployments!AO314)</f>
        <v/>
      </c>
      <c r="K326" s="19">
        <f>IF(Deployments!AI314="","",Deployments!AI314)</f>
        <v/>
      </c>
      <c r="L326" s="19">
        <f>IF(Deployments!M314="","",Deployments!M314)</f>
        <v/>
      </c>
      <c r="M326" s="20" t="n"/>
      <c r="N326" s="19">
        <f>IF(Deployments!N314="","",Deployments!N314)</f>
        <v/>
      </c>
      <c r="O326" s="19">
        <f>IF(Deployments!O314="","",Deployments!O314)</f>
        <v/>
      </c>
      <c r="P326" s="19">
        <f>IF(Deployments!P314="","",Deployments!P314)</f>
        <v/>
      </c>
      <c r="Q326" s="20" t="n"/>
      <c r="R326" s="19">
        <f>IF(Deployments!BT314="","",Deployments!BT314)</f>
        <v/>
      </c>
      <c r="S326" s="19">
        <f>IF(Deployments!BS314="","",Deployments!BS314)</f>
        <v/>
      </c>
      <c r="T326" s="19">
        <f>IF(Deployments!BB314="","",Deployments!BB314)</f>
        <v/>
      </c>
      <c r="U326" s="19">
        <f>IF(Deployments!BR314="","",Deployments!BR314)</f>
        <v/>
      </c>
      <c r="V326" s="19">
        <f>IF(Deployments!BX314="","",Deployments!BX314)</f>
        <v/>
      </c>
      <c r="W326" s="19">
        <f>IF(Deployments!BY314="","",Deployments!BY314)</f>
        <v/>
      </c>
      <c r="X326" s="19">
        <f>IF(Deployments!CC314="","",Deployments!CC314)</f>
        <v/>
      </c>
      <c r="Y326" s="19">
        <f>IF(Deployments!BW314="","",Deployments!BW314)</f>
        <v/>
      </c>
      <c r="Z326" s="19">
        <f>IF(Deployments!U314="","",Deployments!U314)</f>
        <v/>
      </c>
      <c r="AA326" s="19">
        <f>IF(Deployments!L314="","",Deployments!L314)</f>
        <v/>
      </c>
    </row>
    <row r="327">
      <c r="A327" s="20" t="n"/>
      <c r="B327" s="20" t="n"/>
      <c r="C327" s="19">
        <f>IF(Deployments!H315="","",Deployments!H315)</f>
        <v/>
      </c>
      <c r="D327" s="19">
        <f>IF(Deployments!AM315="","",Deployments!AM315)</f>
        <v/>
      </c>
      <c r="E327" s="19">
        <f>IF(Deployments!I315="","",Deployments!I315)</f>
        <v/>
      </c>
      <c r="F327" s="19">
        <f>IF(Deployments!J315="","",Deployments!J315)</f>
        <v/>
      </c>
      <c r="G327" s="19">
        <f>IF(Deployments!K315="","",Deployments!K315)</f>
        <v/>
      </c>
      <c r="H327" s="19">
        <f>IF(Deployments!A315="","",Deployments!A315)</f>
        <v/>
      </c>
      <c r="I327" s="19">
        <f>IF(Deployments!AN315="","",Deployments!AN315)</f>
        <v/>
      </c>
      <c r="J327" s="19">
        <f>IF(Deployments!AO315="","",Deployments!AO315)</f>
        <v/>
      </c>
      <c r="K327" s="19">
        <f>IF(Deployments!AI315="","",Deployments!AI315)</f>
        <v/>
      </c>
      <c r="L327" s="19">
        <f>IF(Deployments!M315="","",Deployments!M315)</f>
        <v/>
      </c>
      <c r="M327" s="20" t="n"/>
      <c r="N327" s="19">
        <f>IF(Deployments!N315="","",Deployments!N315)</f>
        <v/>
      </c>
      <c r="O327" s="19">
        <f>IF(Deployments!O315="","",Deployments!O315)</f>
        <v/>
      </c>
      <c r="P327" s="19">
        <f>IF(Deployments!P315="","",Deployments!P315)</f>
        <v/>
      </c>
      <c r="Q327" s="20" t="n"/>
      <c r="R327" s="19">
        <f>IF(Deployments!BT315="","",Deployments!BT315)</f>
        <v/>
      </c>
      <c r="S327" s="19">
        <f>IF(Deployments!BS315="","",Deployments!BS315)</f>
        <v/>
      </c>
      <c r="T327" s="19">
        <f>IF(Deployments!BB315="","",Deployments!BB315)</f>
        <v/>
      </c>
      <c r="U327" s="19">
        <f>IF(Deployments!BR315="","",Deployments!BR315)</f>
        <v/>
      </c>
      <c r="V327" s="19">
        <f>IF(Deployments!BX315="","",Deployments!BX315)</f>
        <v/>
      </c>
      <c r="W327" s="19">
        <f>IF(Deployments!BY315="","",Deployments!BY315)</f>
        <v/>
      </c>
      <c r="X327" s="19">
        <f>IF(Deployments!CC315="","",Deployments!CC315)</f>
        <v/>
      </c>
      <c r="Y327" s="19">
        <f>IF(Deployments!BW315="","",Deployments!BW315)</f>
        <v/>
      </c>
      <c r="Z327" s="19">
        <f>IF(Deployments!U315="","",Deployments!U315)</f>
        <v/>
      </c>
      <c r="AA327" s="19">
        <f>IF(Deployments!L315="","",Deployments!L315)</f>
        <v/>
      </c>
    </row>
    <row r="328">
      <c r="A328" s="20" t="n"/>
      <c r="B328" s="20" t="n"/>
      <c r="C328" s="19">
        <f>IF(Deployments!H316="","",Deployments!H316)</f>
        <v/>
      </c>
      <c r="D328" s="19">
        <f>IF(Deployments!AM316="","",Deployments!AM316)</f>
        <v/>
      </c>
      <c r="E328" s="19">
        <f>IF(Deployments!I316="","",Deployments!I316)</f>
        <v/>
      </c>
      <c r="F328" s="19">
        <f>IF(Deployments!J316="","",Deployments!J316)</f>
        <v/>
      </c>
      <c r="G328" s="19">
        <f>IF(Deployments!K316="","",Deployments!K316)</f>
        <v/>
      </c>
      <c r="H328" s="19">
        <f>IF(Deployments!A316="","",Deployments!A316)</f>
        <v/>
      </c>
      <c r="I328" s="19">
        <f>IF(Deployments!AN316="","",Deployments!AN316)</f>
        <v/>
      </c>
      <c r="J328" s="19">
        <f>IF(Deployments!AO316="","",Deployments!AO316)</f>
        <v/>
      </c>
      <c r="K328" s="19">
        <f>IF(Deployments!AI316="","",Deployments!AI316)</f>
        <v/>
      </c>
      <c r="L328" s="19">
        <f>IF(Deployments!M316="","",Deployments!M316)</f>
        <v/>
      </c>
      <c r="M328" s="20" t="n"/>
      <c r="N328" s="19">
        <f>IF(Deployments!N316="","",Deployments!N316)</f>
        <v/>
      </c>
      <c r="O328" s="19">
        <f>IF(Deployments!O316="","",Deployments!O316)</f>
        <v/>
      </c>
      <c r="P328" s="19">
        <f>IF(Deployments!P316="","",Deployments!P316)</f>
        <v/>
      </c>
      <c r="Q328" s="20" t="n"/>
      <c r="R328" s="19">
        <f>IF(Deployments!BT316="","",Deployments!BT316)</f>
        <v/>
      </c>
      <c r="S328" s="19">
        <f>IF(Deployments!BS316="","",Deployments!BS316)</f>
        <v/>
      </c>
      <c r="T328" s="19">
        <f>IF(Deployments!BB316="","",Deployments!BB316)</f>
        <v/>
      </c>
      <c r="U328" s="19">
        <f>IF(Deployments!BR316="","",Deployments!BR316)</f>
        <v/>
      </c>
      <c r="V328" s="19">
        <f>IF(Deployments!BX316="","",Deployments!BX316)</f>
        <v/>
      </c>
      <c r="W328" s="19">
        <f>IF(Deployments!BY316="","",Deployments!BY316)</f>
        <v/>
      </c>
      <c r="X328" s="19">
        <f>IF(Deployments!CC316="","",Deployments!CC316)</f>
        <v/>
      </c>
      <c r="Y328" s="19">
        <f>IF(Deployments!BW316="","",Deployments!BW316)</f>
        <v/>
      </c>
      <c r="Z328" s="19">
        <f>IF(Deployments!U316="","",Deployments!U316)</f>
        <v/>
      </c>
      <c r="AA328" s="19">
        <f>IF(Deployments!L316="","",Deployments!L316)</f>
        <v/>
      </c>
    </row>
    <row r="329">
      <c r="A329" s="20" t="n"/>
      <c r="B329" s="20" t="n"/>
      <c r="C329" s="19">
        <f>IF(Deployments!H317="","",Deployments!H317)</f>
        <v/>
      </c>
      <c r="D329" s="19">
        <f>IF(Deployments!AM317="","",Deployments!AM317)</f>
        <v/>
      </c>
      <c r="E329" s="19">
        <f>IF(Deployments!I317="","",Deployments!I317)</f>
        <v/>
      </c>
      <c r="F329" s="19">
        <f>IF(Deployments!J317="","",Deployments!J317)</f>
        <v/>
      </c>
      <c r="G329" s="19">
        <f>IF(Deployments!K317="","",Deployments!K317)</f>
        <v/>
      </c>
      <c r="H329" s="19">
        <f>IF(Deployments!A317="","",Deployments!A317)</f>
        <v/>
      </c>
      <c r="I329" s="19">
        <f>IF(Deployments!AN317="","",Deployments!AN317)</f>
        <v/>
      </c>
      <c r="J329" s="19">
        <f>IF(Deployments!AO317="","",Deployments!AO317)</f>
        <v/>
      </c>
      <c r="K329" s="19">
        <f>IF(Deployments!AI317="","",Deployments!AI317)</f>
        <v/>
      </c>
      <c r="L329" s="19">
        <f>IF(Deployments!M317="","",Deployments!M317)</f>
        <v/>
      </c>
      <c r="M329" s="20" t="n"/>
      <c r="N329" s="19">
        <f>IF(Deployments!N317="","",Deployments!N317)</f>
        <v/>
      </c>
      <c r="O329" s="19">
        <f>IF(Deployments!O317="","",Deployments!O317)</f>
        <v/>
      </c>
      <c r="P329" s="19">
        <f>IF(Deployments!P317="","",Deployments!P317)</f>
        <v/>
      </c>
      <c r="Q329" s="20" t="n"/>
      <c r="R329" s="19">
        <f>IF(Deployments!BT317="","",Deployments!BT317)</f>
        <v/>
      </c>
      <c r="S329" s="19">
        <f>IF(Deployments!BS317="","",Deployments!BS317)</f>
        <v/>
      </c>
      <c r="T329" s="19">
        <f>IF(Deployments!BB317="","",Deployments!BB317)</f>
        <v/>
      </c>
      <c r="U329" s="19">
        <f>IF(Deployments!BR317="","",Deployments!BR317)</f>
        <v/>
      </c>
      <c r="V329" s="19">
        <f>IF(Deployments!BX317="","",Deployments!BX317)</f>
        <v/>
      </c>
      <c r="W329" s="19">
        <f>IF(Deployments!BY317="","",Deployments!BY317)</f>
        <v/>
      </c>
      <c r="X329" s="19">
        <f>IF(Deployments!CC317="","",Deployments!CC317)</f>
        <v/>
      </c>
      <c r="Y329" s="19">
        <f>IF(Deployments!BW317="","",Deployments!BW317)</f>
        <v/>
      </c>
      <c r="Z329" s="19">
        <f>IF(Deployments!U317="","",Deployments!U317)</f>
        <v/>
      </c>
      <c r="AA329" s="19">
        <f>IF(Deployments!L317="","",Deployments!L317)</f>
        <v/>
      </c>
    </row>
    <row r="330">
      <c r="A330" s="20" t="n"/>
      <c r="B330" s="20" t="n"/>
      <c r="C330" s="19">
        <f>IF(Deployments!H318="","",Deployments!H318)</f>
        <v/>
      </c>
      <c r="D330" s="19">
        <f>IF(Deployments!AM318="","",Deployments!AM318)</f>
        <v/>
      </c>
      <c r="E330" s="19">
        <f>IF(Deployments!I318="","",Deployments!I318)</f>
        <v/>
      </c>
      <c r="F330" s="19">
        <f>IF(Deployments!J318="","",Deployments!J318)</f>
        <v/>
      </c>
      <c r="G330" s="19">
        <f>IF(Deployments!K318="","",Deployments!K318)</f>
        <v/>
      </c>
      <c r="H330" s="19">
        <f>IF(Deployments!A318="","",Deployments!A318)</f>
        <v/>
      </c>
      <c r="I330" s="19">
        <f>IF(Deployments!AN318="","",Deployments!AN318)</f>
        <v/>
      </c>
      <c r="J330" s="19">
        <f>IF(Deployments!AO318="","",Deployments!AO318)</f>
        <v/>
      </c>
      <c r="K330" s="19">
        <f>IF(Deployments!AI318="","",Deployments!AI318)</f>
        <v/>
      </c>
      <c r="L330" s="19">
        <f>IF(Deployments!M318="","",Deployments!M318)</f>
        <v/>
      </c>
      <c r="M330" s="20" t="n"/>
      <c r="N330" s="19">
        <f>IF(Deployments!N318="","",Deployments!N318)</f>
        <v/>
      </c>
      <c r="O330" s="19">
        <f>IF(Deployments!O318="","",Deployments!O318)</f>
        <v/>
      </c>
      <c r="P330" s="19">
        <f>IF(Deployments!P318="","",Deployments!P318)</f>
        <v/>
      </c>
      <c r="Q330" s="20" t="n"/>
      <c r="R330" s="19">
        <f>IF(Deployments!BT318="","",Deployments!BT318)</f>
        <v/>
      </c>
      <c r="S330" s="19">
        <f>IF(Deployments!BS318="","",Deployments!BS318)</f>
        <v/>
      </c>
      <c r="T330" s="19">
        <f>IF(Deployments!BB318="","",Deployments!BB318)</f>
        <v/>
      </c>
      <c r="U330" s="19">
        <f>IF(Deployments!BR318="","",Deployments!BR318)</f>
        <v/>
      </c>
      <c r="V330" s="19">
        <f>IF(Deployments!BX318="","",Deployments!BX318)</f>
        <v/>
      </c>
      <c r="W330" s="19">
        <f>IF(Deployments!BY318="","",Deployments!BY318)</f>
        <v/>
      </c>
      <c r="X330" s="19">
        <f>IF(Deployments!CC318="","",Deployments!CC318)</f>
        <v/>
      </c>
      <c r="Y330" s="19">
        <f>IF(Deployments!BW318="","",Deployments!BW318)</f>
        <v/>
      </c>
      <c r="Z330" s="19">
        <f>IF(Deployments!U318="","",Deployments!U318)</f>
        <v/>
      </c>
      <c r="AA330" s="19">
        <f>IF(Deployments!L318="","",Deployments!L318)</f>
        <v/>
      </c>
    </row>
    <row r="331">
      <c r="A331" s="20" t="n"/>
      <c r="B331" s="20" t="n"/>
      <c r="C331" s="19">
        <f>IF(Deployments!H319="","",Deployments!H319)</f>
        <v/>
      </c>
      <c r="D331" s="19">
        <f>IF(Deployments!AM319="","",Deployments!AM319)</f>
        <v/>
      </c>
      <c r="E331" s="19">
        <f>IF(Deployments!I319="","",Deployments!I319)</f>
        <v/>
      </c>
      <c r="F331" s="19">
        <f>IF(Deployments!J319="","",Deployments!J319)</f>
        <v/>
      </c>
      <c r="G331" s="19">
        <f>IF(Deployments!K319="","",Deployments!K319)</f>
        <v/>
      </c>
      <c r="H331" s="19">
        <f>IF(Deployments!A319="","",Deployments!A319)</f>
        <v/>
      </c>
      <c r="I331" s="19">
        <f>IF(Deployments!AN319="","",Deployments!AN319)</f>
        <v/>
      </c>
      <c r="J331" s="19">
        <f>IF(Deployments!AO319="","",Deployments!AO319)</f>
        <v/>
      </c>
      <c r="K331" s="19">
        <f>IF(Deployments!AI319="","",Deployments!AI319)</f>
        <v/>
      </c>
      <c r="L331" s="19">
        <f>IF(Deployments!M319="","",Deployments!M319)</f>
        <v/>
      </c>
      <c r="M331" s="20" t="n"/>
      <c r="N331" s="19">
        <f>IF(Deployments!N319="","",Deployments!N319)</f>
        <v/>
      </c>
      <c r="O331" s="19">
        <f>IF(Deployments!O319="","",Deployments!O319)</f>
        <v/>
      </c>
      <c r="P331" s="19">
        <f>IF(Deployments!P319="","",Deployments!P319)</f>
        <v/>
      </c>
      <c r="Q331" s="20" t="n"/>
      <c r="R331" s="19">
        <f>IF(Deployments!BT319="","",Deployments!BT319)</f>
        <v/>
      </c>
      <c r="S331" s="19">
        <f>IF(Deployments!BS319="","",Deployments!BS319)</f>
        <v/>
      </c>
      <c r="T331" s="19">
        <f>IF(Deployments!BB319="","",Deployments!BB319)</f>
        <v/>
      </c>
      <c r="U331" s="19">
        <f>IF(Deployments!BR319="","",Deployments!BR319)</f>
        <v/>
      </c>
      <c r="V331" s="19">
        <f>IF(Deployments!BX319="","",Deployments!BX319)</f>
        <v/>
      </c>
      <c r="W331" s="19">
        <f>IF(Deployments!BY319="","",Deployments!BY319)</f>
        <v/>
      </c>
      <c r="X331" s="19">
        <f>IF(Deployments!CC319="","",Deployments!CC319)</f>
        <v/>
      </c>
      <c r="Y331" s="19">
        <f>IF(Deployments!BW319="","",Deployments!BW319)</f>
        <v/>
      </c>
      <c r="Z331" s="19">
        <f>IF(Deployments!U319="","",Deployments!U319)</f>
        <v/>
      </c>
      <c r="AA331" s="19">
        <f>IF(Deployments!L319="","",Deployments!L319)</f>
        <v/>
      </c>
    </row>
    <row r="332">
      <c r="A332" s="20" t="n"/>
      <c r="B332" s="20" t="n"/>
      <c r="C332" s="19">
        <f>IF(Deployments!H320="","",Deployments!H320)</f>
        <v/>
      </c>
      <c r="D332" s="19">
        <f>IF(Deployments!AM320="","",Deployments!AM320)</f>
        <v/>
      </c>
      <c r="E332" s="19">
        <f>IF(Deployments!I320="","",Deployments!I320)</f>
        <v/>
      </c>
      <c r="F332" s="19">
        <f>IF(Deployments!J320="","",Deployments!J320)</f>
        <v/>
      </c>
      <c r="G332" s="19">
        <f>IF(Deployments!K320="","",Deployments!K320)</f>
        <v/>
      </c>
      <c r="H332" s="19">
        <f>IF(Deployments!A320="","",Deployments!A320)</f>
        <v/>
      </c>
      <c r="I332" s="19">
        <f>IF(Deployments!AN320="","",Deployments!AN320)</f>
        <v/>
      </c>
      <c r="J332" s="19">
        <f>IF(Deployments!AO320="","",Deployments!AO320)</f>
        <v/>
      </c>
      <c r="K332" s="19">
        <f>IF(Deployments!AI320="","",Deployments!AI320)</f>
        <v/>
      </c>
      <c r="L332" s="19">
        <f>IF(Deployments!M320="","",Deployments!M320)</f>
        <v/>
      </c>
      <c r="M332" s="20" t="n"/>
      <c r="N332" s="19">
        <f>IF(Deployments!N320="","",Deployments!N320)</f>
        <v/>
      </c>
      <c r="O332" s="19">
        <f>IF(Deployments!O320="","",Deployments!O320)</f>
        <v/>
      </c>
      <c r="P332" s="19">
        <f>IF(Deployments!P320="","",Deployments!P320)</f>
        <v/>
      </c>
      <c r="Q332" s="20" t="n"/>
      <c r="R332" s="19">
        <f>IF(Deployments!BT320="","",Deployments!BT320)</f>
        <v/>
      </c>
      <c r="S332" s="19">
        <f>IF(Deployments!BS320="","",Deployments!BS320)</f>
        <v/>
      </c>
      <c r="T332" s="19">
        <f>IF(Deployments!BB320="","",Deployments!BB320)</f>
        <v/>
      </c>
      <c r="U332" s="19">
        <f>IF(Deployments!BR320="","",Deployments!BR320)</f>
        <v/>
      </c>
      <c r="V332" s="19">
        <f>IF(Deployments!BX320="","",Deployments!BX320)</f>
        <v/>
      </c>
      <c r="W332" s="19">
        <f>IF(Deployments!BY320="","",Deployments!BY320)</f>
        <v/>
      </c>
      <c r="X332" s="19">
        <f>IF(Deployments!CC320="","",Deployments!CC320)</f>
        <v/>
      </c>
      <c r="Y332" s="19">
        <f>IF(Deployments!BW320="","",Deployments!BW320)</f>
        <v/>
      </c>
      <c r="Z332" s="19">
        <f>IF(Deployments!U320="","",Deployments!U320)</f>
        <v/>
      </c>
      <c r="AA332" s="19">
        <f>IF(Deployments!L320="","",Deployments!L320)</f>
        <v/>
      </c>
    </row>
    <row r="333">
      <c r="A333" s="20" t="n"/>
      <c r="B333" s="20" t="n"/>
      <c r="C333" s="19">
        <f>IF(Deployments!H321="","",Deployments!H321)</f>
        <v/>
      </c>
      <c r="D333" s="19">
        <f>IF(Deployments!AM321="","",Deployments!AM321)</f>
        <v/>
      </c>
      <c r="E333" s="19">
        <f>IF(Deployments!I321="","",Deployments!I321)</f>
        <v/>
      </c>
      <c r="F333" s="19">
        <f>IF(Deployments!J321="","",Deployments!J321)</f>
        <v/>
      </c>
      <c r="G333" s="19">
        <f>IF(Deployments!K321="","",Deployments!K321)</f>
        <v/>
      </c>
      <c r="H333" s="19">
        <f>IF(Deployments!A321="","",Deployments!A321)</f>
        <v/>
      </c>
      <c r="I333" s="19">
        <f>IF(Deployments!AN321="","",Deployments!AN321)</f>
        <v/>
      </c>
      <c r="J333" s="19">
        <f>IF(Deployments!AO321="","",Deployments!AO321)</f>
        <v/>
      </c>
      <c r="K333" s="19">
        <f>IF(Deployments!AI321="","",Deployments!AI321)</f>
        <v/>
      </c>
      <c r="L333" s="19">
        <f>IF(Deployments!M321="","",Deployments!M321)</f>
        <v/>
      </c>
      <c r="M333" s="20" t="n"/>
      <c r="N333" s="19">
        <f>IF(Deployments!N321="","",Deployments!N321)</f>
        <v/>
      </c>
      <c r="O333" s="19">
        <f>IF(Deployments!O321="","",Deployments!O321)</f>
        <v/>
      </c>
      <c r="P333" s="19">
        <f>IF(Deployments!P321="","",Deployments!P321)</f>
        <v/>
      </c>
      <c r="Q333" s="20" t="n"/>
      <c r="R333" s="19">
        <f>IF(Deployments!BT321="","",Deployments!BT321)</f>
        <v/>
      </c>
      <c r="S333" s="19">
        <f>IF(Deployments!BS321="","",Deployments!BS321)</f>
        <v/>
      </c>
      <c r="T333" s="19">
        <f>IF(Deployments!BB321="","",Deployments!BB321)</f>
        <v/>
      </c>
      <c r="U333" s="19">
        <f>IF(Deployments!BR321="","",Deployments!BR321)</f>
        <v/>
      </c>
      <c r="V333" s="19">
        <f>IF(Deployments!BX321="","",Deployments!BX321)</f>
        <v/>
      </c>
      <c r="W333" s="19">
        <f>IF(Deployments!BY321="","",Deployments!BY321)</f>
        <v/>
      </c>
      <c r="X333" s="19">
        <f>IF(Deployments!CC321="","",Deployments!CC321)</f>
        <v/>
      </c>
      <c r="Y333" s="19">
        <f>IF(Deployments!BW321="","",Deployments!BW321)</f>
        <v/>
      </c>
      <c r="Z333" s="19">
        <f>IF(Deployments!U321="","",Deployments!U321)</f>
        <v/>
      </c>
      <c r="AA333" s="19">
        <f>IF(Deployments!L321="","",Deployments!L321)</f>
        <v/>
      </c>
    </row>
    <row r="334">
      <c r="A334" s="20" t="n"/>
      <c r="B334" s="20" t="n"/>
      <c r="C334" s="19">
        <f>IF(Deployments!H322="","",Deployments!H322)</f>
        <v/>
      </c>
      <c r="D334" s="19">
        <f>IF(Deployments!AM322="","",Deployments!AM322)</f>
        <v/>
      </c>
      <c r="E334" s="19">
        <f>IF(Deployments!I322="","",Deployments!I322)</f>
        <v/>
      </c>
      <c r="F334" s="19">
        <f>IF(Deployments!J322="","",Deployments!J322)</f>
        <v/>
      </c>
      <c r="G334" s="19">
        <f>IF(Deployments!K322="","",Deployments!K322)</f>
        <v/>
      </c>
      <c r="H334" s="19">
        <f>IF(Deployments!A322="","",Deployments!A322)</f>
        <v/>
      </c>
      <c r="I334" s="19">
        <f>IF(Deployments!AN322="","",Deployments!AN322)</f>
        <v/>
      </c>
      <c r="J334" s="19">
        <f>IF(Deployments!AO322="","",Deployments!AO322)</f>
        <v/>
      </c>
      <c r="K334" s="19">
        <f>IF(Deployments!AI322="","",Deployments!AI322)</f>
        <v/>
      </c>
      <c r="L334" s="19">
        <f>IF(Deployments!M322="","",Deployments!M322)</f>
        <v/>
      </c>
      <c r="M334" s="20" t="n"/>
      <c r="N334" s="19">
        <f>IF(Deployments!N322="","",Deployments!N322)</f>
        <v/>
      </c>
      <c r="O334" s="19">
        <f>IF(Deployments!O322="","",Deployments!O322)</f>
        <v/>
      </c>
      <c r="P334" s="19">
        <f>IF(Deployments!P322="","",Deployments!P322)</f>
        <v/>
      </c>
      <c r="Q334" s="20" t="n"/>
      <c r="R334" s="19">
        <f>IF(Deployments!BT322="","",Deployments!BT322)</f>
        <v/>
      </c>
      <c r="S334" s="19">
        <f>IF(Deployments!BS322="","",Deployments!BS322)</f>
        <v/>
      </c>
      <c r="T334" s="19">
        <f>IF(Deployments!BB322="","",Deployments!BB322)</f>
        <v/>
      </c>
      <c r="U334" s="19">
        <f>IF(Deployments!BR322="","",Deployments!BR322)</f>
        <v/>
      </c>
      <c r="V334" s="19">
        <f>IF(Deployments!BX322="","",Deployments!BX322)</f>
        <v/>
      </c>
      <c r="W334" s="19">
        <f>IF(Deployments!BY322="","",Deployments!BY322)</f>
        <v/>
      </c>
      <c r="X334" s="19">
        <f>IF(Deployments!CC322="","",Deployments!CC322)</f>
        <v/>
      </c>
      <c r="Y334" s="19">
        <f>IF(Deployments!BW322="","",Deployments!BW322)</f>
        <v/>
      </c>
      <c r="Z334" s="19">
        <f>IF(Deployments!U322="","",Deployments!U322)</f>
        <v/>
      </c>
      <c r="AA334" s="19">
        <f>IF(Deployments!L322="","",Deployments!L322)</f>
        <v/>
      </c>
    </row>
    <row r="335">
      <c r="A335" s="20" t="n"/>
      <c r="B335" s="20" t="n"/>
      <c r="C335" s="19">
        <f>IF(Deployments!H323="","",Deployments!H323)</f>
        <v/>
      </c>
      <c r="D335" s="19">
        <f>IF(Deployments!AM323="","",Deployments!AM323)</f>
        <v/>
      </c>
      <c r="E335" s="19">
        <f>IF(Deployments!I323="","",Deployments!I323)</f>
        <v/>
      </c>
      <c r="F335" s="19">
        <f>IF(Deployments!J323="","",Deployments!J323)</f>
        <v/>
      </c>
      <c r="G335" s="19">
        <f>IF(Deployments!K323="","",Deployments!K323)</f>
        <v/>
      </c>
      <c r="H335" s="19">
        <f>IF(Deployments!A323="","",Deployments!A323)</f>
        <v/>
      </c>
      <c r="I335" s="19">
        <f>IF(Deployments!AN323="","",Deployments!AN323)</f>
        <v/>
      </c>
      <c r="J335" s="19">
        <f>IF(Deployments!AO323="","",Deployments!AO323)</f>
        <v/>
      </c>
      <c r="K335" s="19">
        <f>IF(Deployments!AI323="","",Deployments!AI323)</f>
        <v/>
      </c>
      <c r="L335" s="19">
        <f>IF(Deployments!M323="","",Deployments!M323)</f>
        <v/>
      </c>
      <c r="M335" s="20" t="n"/>
      <c r="N335" s="19">
        <f>IF(Deployments!N323="","",Deployments!N323)</f>
        <v/>
      </c>
      <c r="O335" s="19">
        <f>IF(Deployments!O323="","",Deployments!O323)</f>
        <v/>
      </c>
      <c r="P335" s="19">
        <f>IF(Deployments!P323="","",Deployments!P323)</f>
        <v/>
      </c>
      <c r="Q335" s="20" t="n"/>
      <c r="R335" s="19">
        <f>IF(Deployments!BT323="","",Deployments!BT323)</f>
        <v/>
      </c>
      <c r="S335" s="19">
        <f>IF(Deployments!BS323="","",Deployments!BS323)</f>
        <v/>
      </c>
      <c r="T335" s="19">
        <f>IF(Deployments!BB323="","",Deployments!BB323)</f>
        <v/>
      </c>
      <c r="U335" s="19">
        <f>IF(Deployments!BR323="","",Deployments!BR323)</f>
        <v/>
      </c>
      <c r="V335" s="19">
        <f>IF(Deployments!BX323="","",Deployments!BX323)</f>
        <v/>
      </c>
      <c r="W335" s="19">
        <f>IF(Deployments!BY323="","",Deployments!BY323)</f>
        <v/>
      </c>
      <c r="X335" s="19">
        <f>IF(Deployments!CC323="","",Deployments!CC323)</f>
        <v/>
      </c>
      <c r="Y335" s="19">
        <f>IF(Deployments!BW323="","",Deployments!BW323)</f>
        <v/>
      </c>
      <c r="Z335" s="19">
        <f>IF(Deployments!U323="","",Deployments!U323)</f>
        <v/>
      </c>
      <c r="AA335" s="19">
        <f>IF(Deployments!L323="","",Deployments!L323)</f>
        <v/>
      </c>
    </row>
    <row r="336" ht="27.75" customHeight="1" s="91">
      <c r="A336" s="20" t="n"/>
      <c r="B336" s="20" t="n"/>
      <c r="C336" s="19">
        <f>IF(Deployments!H324="","",Deployments!H324)</f>
        <v/>
      </c>
      <c r="D336" s="19">
        <f>IF(Deployments!AM324="","",Deployments!AM324)</f>
        <v/>
      </c>
      <c r="E336" s="19">
        <f>IF(Deployments!I324="","",Deployments!I324)</f>
        <v/>
      </c>
      <c r="F336" s="19">
        <f>IF(Deployments!J324="","",Deployments!J324)</f>
        <v/>
      </c>
      <c r="G336" s="19">
        <f>IF(Deployments!K324="","",Deployments!K324)</f>
        <v/>
      </c>
      <c r="H336" s="19">
        <f>IF(Deployments!A324="","",Deployments!A324)</f>
        <v/>
      </c>
      <c r="I336" s="19">
        <f>IF(Deployments!AN324="","",Deployments!AN324)</f>
        <v/>
      </c>
      <c r="J336" s="19">
        <f>IF(Deployments!AO324="","",Deployments!AO324)</f>
        <v/>
      </c>
      <c r="K336" s="19">
        <f>IF(Deployments!AI324="","",Deployments!AI324)</f>
        <v/>
      </c>
      <c r="L336" s="19">
        <f>IF(Deployments!M324="","",Deployments!M324)</f>
        <v/>
      </c>
      <c r="M336" s="20" t="n"/>
      <c r="N336" s="19">
        <f>IF(Deployments!N324="","",Deployments!N324)</f>
        <v/>
      </c>
      <c r="O336" s="19">
        <f>IF(Deployments!O324="","",Deployments!O324)</f>
        <v/>
      </c>
      <c r="P336" s="19">
        <f>IF(Deployments!P324="","",Deployments!P324)</f>
        <v/>
      </c>
      <c r="Q336" s="20" t="n"/>
      <c r="R336" s="19">
        <f>IF(Deployments!BT324="","",Deployments!BT324)</f>
        <v/>
      </c>
      <c r="S336" s="19">
        <f>IF(Deployments!BS324="","",Deployments!BS324)</f>
        <v/>
      </c>
      <c r="T336" s="19">
        <f>IF(Deployments!BB324="","",Deployments!BB324)</f>
        <v/>
      </c>
      <c r="U336" s="19">
        <f>IF(Deployments!BR324="","",Deployments!BR324)</f>
        <v/>
      </c>
      <c r="V336" s="19">
        <f>IF(Deployments!BX324="","",Deployments!BX324)</f>
        <v/>
      </c>
      <c r="W336" s="19">
        <f>IF(Deployments!BY324="","",Deployments!BY324)</f>
        <v/>
      </c>
      <c r="X336" s="19">
        <f>IF(Deployments!CC324="","",Deployments!CC324)</f>
        <v/>
      </c>
      <c r="Y336" s="19">
        <f>IF(Deployments!BW324="","",Deployments!BW324)</f>
        <v/>
      </c>
      <c r="Z336" s="19">
        <f>IF(Deployments!U324="","",Deployments!U324)</f>
        <v/>
      </c>
      <c r="AA336" s="19">
        <f>IF(Deployments!L324="","",Deployments!L324)</f>
        <v/>
      </c>
    </row>
    <row r="337">
      <c r="A337" s="20" t="n"/>
      <c r="B337" s="20" t="n"/>
      <c r="C337" s="19">
        <f>IF(Deployments!H325="","",Deployments!H325)</f>
        <v/>
      </c>
      <c r="D337" s="19">
        <f>IF(Deployments!AM325="","",Deployments!AM325)</f>
        <v/>
      </c>
      <c r="E337" s="19">
        <f>IF(Deployments!I325="","",Deployments!I325)</f>
        <v/>
      </c>
      <c r="F337" s="19">
        <f>IF(Deployments!J325="","",Deployments!J325)</f>
        <v/>
      </c>
      <c r="G337" s="19">
        <f>IF(Deployments!K325="","",Deployments!K325)</f>
        <v/>
      </c>
      <c r="H337" s="19">
        <f>IF(Deployments!A325="","",Deployments!A325)</f>
        <v/>
      </c>
      <c r="I337" s="19">
        <f>IF(Deployments!AN325="","",Deployments!AN325)</f>
        <v/>
      </c>
      <c r="J337" s="19">
        <f>IF(Deployments!AO325="","",Deployments!AO325)</f>
        <v/>
      </c>
      <c r="K337" s="19">
        <f>IF(Deployments!AI325="","",Deployments!AI325)</f>
        <v/>
      </c>
      <c r="L337" s="19">
        <f>IF(Deployments!M325="","",Deployments!M325)</f>
        <v/>
      </c>
      <c r="M337" s="20" t="n"/>
      <c r="N337" s="19">
        <f>IF(Deployments!N325="","",Deployments!N325)</f>
        <v/>
      </c>
      <c r="O337" s="19">
        <f>IF(Deployments!O325="","",Deployments!O325)</f>
        <v/>
      </c>
      <c r="P337" s="19">
        <f>IF(Deployments!P325="","",Deployments!P325)</f>
        <v/>
      </c>
      <c r="Q337" s="20" t="n"/>
      <c r="R337" s="19">
        <f>IF(Deployments!BT325="","",Deployments!BT325)</f>
        <v/>
      </c>
      <c r="S337" s="19">
        <f>IF(Deployments!BS325="","",Deployments!BS325)</f>
        <v/>
      </c>
      <c r="T337" s="19">
        <f>IF(Deployments!BB325="","",Deployments!BB325)</f>
        <v/>
      </c>
      <c r="U337" s="19">
        <f>IF(Deployments!BR325="","",Deployments!BR325)</f>
        <v/>
      </c>
      <c r="V337" s="19">
        <f>IF(Deployments!BX325="","",Deployments!BX325)</f>
        <v/>
      </c>
      <c r="W337" s="19">
        <f>IF(Deployments!BY325="","",Deployments!BY325)</f>
        <v/>
      </c>
      <c r="X337" s="19">
        <f>IF(Deployments!CC325="","",Deployments!CC325)</f>
        <v/>
      </c>
      <c r="Y337" s="19">
        <f>IF(Deployments!BW325="","",Deployments!BW325)</f>
        <v/>
      </c>
      <c r="Z337" s="19">
        <f>IF(Deployments!U325="","",Deployments!U325)</f>
        <v/>
      </c>
      <c r="AA337" s="19">
        <f>IF(Deployments!L325="","",Deployments!L325)</f>
        <v/>
      </c>
    </row>
    <row r="338">
      <c r="A338" s="20" t="n"/>
      <c r="B338" s="20" t="n"/>
      <c r="C338" s="19">
        <f>IF(Deployments!H326="","",Deployments!H326)</f>
        <v/>
      </c>
      <c r="D338" s="19">
        <f>IF(Deployments!AM326="","",Deployments!AM326)</f>
        <v/>
      </c>
      <c r="E338" s="19">
        <f>IF(Deployments!I326="","",Deployments!I326)</f>
        <v/>
      </c>
      <c r="F338" s="19">
        <f>IF(Deployments!J326="","",Deployments!J326)</f>
        <v/>
      </c>
      <c r="G338" s="19">
        <f>IF(Deployments!K326="","",Deployments!K326)</f>
        <v/>
      </c>
      <c r="H338" s="19">
        <f>IF(Deployments!A326="","",Deployments!A326)</f>
        <v/>
      </c>
      <c r="I338" s="19">
        <f>IF(Deployments!AN326="","",Deployments!AN326)</f>
        <v/>
      </c>
      <c r="J338" s="19">
        <f>IF(Deployments!AO326="","",Deployments!AO326)</f>
        <v/>
      </c>
      <c r="K338" s="19">
        <f>IF(Deployments!AI326="","",Deployments!AI326)</f>
        <v/>
      </c>
      <c r="L338" s="19">
        <f>IF(Deployments!M326="","",Deployments!M326)</f>
        <v/>
      </c>
      <c r="M338" s="20" t="n"/>
      <c r="N338" s="19">
        <f>IF(Deployments!N326="","",Deployments!N326)</f>
        <v/>
      </c>
      <c r="O338" s="19">
        <f>IF(Deployments!O326="","",Deployments!O326)</f>
        <v/>
      </c>
      <c r="P338" s="19">
        <f>IF(Deployments!P326="","",Deployments!P326)</f>
        <v/>
      </c>
      <c r="Q338" s="20" t="n"/>
      <c r="R338" s="19">
        <f>IF(Deployments!BT326="","",Deployments!BT326)</f>
        <v/>
      </c>
      <c r="S338" s="19">
        <f>IF(Deployments!BS326="","",Deployments!BS326)</f>
        <v/>
      </c>
      <c r="T338" s="19">
        <f>IF(Deployments!BB326="","",Deployments!BB326)</f>
        <v/>
      </c>
      <c r="U338" s="19">
        <f>IF(Deployments!BR326="","",Deployments!BR326)</f>
        <v/>
      </c>
      <c r="V338" s="19">
        <f>IF(Deployments!BX326="","",Deployments!BX326)</f>
        <v/>
      </c>
      <c r="W338" s="19">
        <f>IF(Deployments!BY326="","",Deployments!BY326)</f>
        <v/>
      </c>
      <c r="X338" s="19">
        <f>IF(Deployments!CC326="","",Deployments!CC326)</f>
        <v/>
      </c>
      <c r="Y338" s="19">
        <f>IF(Deployments!BW326="","",Deployments!BW326)</f>
        <v/>
      </c>
      <c r="Z338" s="19">
        <f>IF(Deployments!U326="","",Deployments!U326)</f>
        <v/>
      </c>
      <c r="AA338" s="19">
        <f>IF(Deployments!L326="","",Deployments!L326)</f>
        <v/>
      </c>
    </row>
    <row r="339">
      <c r="A339" s="20" t="n"/>
      <c r="B339" s="20" t="n"/>
      <c r="C339" s="19">
        <f>IF(Deployments!H327="","",Deployments!H327)</f>
        <v/>
      </c>
      <c r="D339" s="19">
        <f>IF(Deployments!AM327="","",Deployments!AM327)</f>
        <v/>
      </c>
      <c r="E339" s="19">
        <f>IF(Deployments!I327="","",Deployments!I327)</f>
        <v/>
      </c>
      <c r="F339" s="19">
        <f>IF(Deployments!J327="","",Deployments!J327)</f>
        <v/>
      </c>
      <c r="G339" s="19">
        <f>IF(Deployments!K327="","",Deployments!K327)</f>
        <v/>
      </c>
      <c r="H339" s="19">
        <f>IF(Deployments!A327="","",Deployments!A327)</f>
        <v/>
      </c>
      <c r="I339" s="19">
        <f>IF(Deployments!AN327="","",Deployments!AN327)</f>
        <v/>
      </c>
      <c r="J339" s="19">
        <f>IF(Deployments!AO327="","",Deployments!AO327)</f>
        <v/>
      </c>
      <c r="K339" s="19">
        <f>IF(Deployments!AI327="","",Deployments!AI327)</f>
        <v/>
      </c>
      <c r="L339" s="19">
        <f>IF(Deployments!M327="","",Deployments!M327)</f>
        <v/>
      </c>
      <c r="M339" s="20" t="n"/>
      <c r="N339" s="19">
        <f>IF(Deployments!N327="","",Deployments!N327)</f>
        <v/>
      </c>
      <c r="O339" s="19">
        <f>IF(Deployments!O327="","",Deployments!O327)</f>
        <v/>
      </c>
      <c r="P339" s="19">
        <f>IF(Deployments!P327="","",Deployments!P327)</f>
        <v/>
      </c>
      <c r="Q339" s="20" t="n"/>
      <c r="R339" s="19">
        <f>IF(Deployments!BT327="","",Deployments!BT327)</f>
        <v/>
      </c>
      <c r="S339" s="19">
        <f>IF(Deployments!BS327="","",Deployments!BS327)</f>
        <v/>
      </c>
      <c r="T339" s="19">
        <f>IF(Deployments!BB327="","",Deployments!BB327)</f>
        <v/>
      </c>
      <c r="U339" s="19">
        <f>IF(Deployments!BR327="","",Deployments!BR327)</f>
        <v/>
      </c>
      <c r="V339" s="19">
        <f>IF(Deployments!BX327="","",Deployments!BX327)</f>
        <v/>
      </c>
      <c r="W339" s="19">
        <f>IF(Deployments!BY327="","",Deployments!BY327)</f>
        <v/>
      </c>
      <c r="X339" s="19">
        <f>IF(Deployments!CC327="","",Deployments!CC327)</f>
        <v/>
      </c>
      <c r="Y339" s="19">
        <f>IF(Deployments!BW327="","",Deployments!BW327)</f>
        <v/>
      </c>
      <c r="Z339" s="19">
        <f>IF(Deployments!U327="","",Deployments!U327)</f>
        <v/>
      </c>
      <c r="AA339" s="19">
        <f>IF(Deployments!L327="","",Deployments!L327)</f>
        <v/>
      </c>
    </row>
    <row r="340">
      <c r="A340" s="20" t="n"/>
      <c r="B340" s="20" t="n"/>
      <c r="C340" s="19">
        <f>IF(Deployments!H328="","",Deployments!H328)</f>
        <v/>
      </c>
      <c r="D340" s="19">
        <f>IF(Deployments!AM328="","",Deployments!AM328)</f>
        <v/>
      </c>
      <c r="E340" s="19">
        <f>IF(Deployments!I328="","",Deployments!I328)</f>
        <v/>
      </c>
      <c r="F340" s="19">
        <f>IF(Deployments!J328="","",Deployments!J328)</f>
        <v/>
      </c>
      <c r="G340" s="19">
        <f>IF(Deployments!K328="","",Deployments!K328)</f>
        <v/>
      </c>
      <c r="H340" s="19">
        <f>IF(Deployments!A328="","",Deployments!A328)</f>
        <v/>
      </c>
      <c r="I340" s="19">
        <f>IF(Deployments!AN328="","",Deployments!AN328)</f>
        <v/>
      </c>
      <c r="J340" s="19">
        <f>IF(Deployments!AO328="","",Deployments!AO328)</f>
        <v/>
      </c>
      <c r="K340" s="19">
        <f>IF(Deployments!AI328="","",Deployments!AI328)</f>
        <v/>
      </c>
      <c r="L340" s="19">
        <f>IF(Deployments!M328="","",Deployments!M328)</f>
        <v/>
      </c>
      <c r="M340" s="20" t="n"/>
      <c r="N340" s="19">
        <f>IF(Deployments!N328="","",Deployments!N328)</f>
        <v/>
      </c>
      <c r="O340" s="19">
        <f>IF(Deployments!O328="","",Deployments!O328)</f>
        <v/>
      </c>
      <c r="P340" s="19">
        <f>IF(Deployments!P328="","",Deployments!P328)</f>
        <v/>
      </c>
      <c r="Q340" s="20" t="n"/>
      <c r="R340" s="19">
        <f>IF(Deployments!BT328="","",Deployments!BT328)</f>
        <v/>
      </c>
      <c r="S340" s="19">
        <f>IF(Deployments!BS328="","",Deployments!BS328)</f>
        <v/>
      </c>
      <c r="T340" s="19">
        <f>IF(Deployments!BB328="","",Deployments!BB328)</f>
        <v/>
      </c>
      <c r="U340" s="19">
        <f>IF(Deployments!BR328="","",Deployments!BR328)</f>
        <v/>
      </c>
      <c r="V340" s="19">
        <f>IF(Deployments!BX328="","",Deployments!BX328)</f>
        <v/>
      </c>
      <c r="W340" s="19">
        <f>IF(Deployments!BY328="","",Deployments!BY328)</f>
        <v/>
      </c>
      <c r="X340" s="19">
        <f>IF(Deployments!CC328="","",Deployments!CC328)</f>
        <v/>
      </c>
      <c r="Y340" s="19">
        <f>IF(Deployments!BW328="","",Deployments!BW328)</f>
        <v/>
      </c>
      <c r="Z340" s="19">
        <f>IF(Deployments!U328="","",Deployments!U328)</f>
        <v/>
      </c>
      <c r="AA340" s="19">
        <f>IF(Deployments!L328="","",Deployments!L328)</f>
        <v/>
      </c>
    </row>
    <row r="341">
      <c r="A341" s="20" t="n"/>
      <c r="B341" s="20" t="n"/>
      <c r="C341" s="19">
        <f>IF(Deployments!H329="","",Deployments!H329)</f>
        <v/>
      </c>
      <c r="D341" s="19">
        <f>IF(Deployments!AM329="","",Deployments!AM329)</f>
        <v/>
      </c>
      <c r="E341" s="19">
        <f>IF(Deployments!I329="","",Deployments!I329)</f>
        <v/>
      </c>
      <c r="F341" s="19">
        <f>IF(Deployments!J329="","",Deployments!J329)</f>
        <v/>
      </c>
      <c r="G341" s="19">
        <f>IF(Deployments!K329="","",Deployments!K329)</f>
        <v/>
      </c>
      <c r="H341" s="19">
        <f>IF(Deployments!A329="","",Deployments!A329)</f>
        <v/>
      </c>
      <c r="I341" s="19">
        <f>IF(Deployments!AN329="","",Deployments!AN329)</f>
        <v/>
      </c>
      <c r="J341" s="19">
        <f>IF(Deployments!AO329="","",Deployments!AO329)</f>
        <v/>
      </c>
      <c r="K341" s="19">
        <f>IF(Deployments!AI329="","",Deployments!AI329)</f>
        <v/>
      </c>
      <c r="L341" s="19">
        <f>IF(Deployments!M329="","",Deployments!M329)</f>
        <v/>
      </c>
      <c r="M341" s="20" t="n"/>
      <c r="N341" s="19">
        <f>IF(Deployments!N329="","",Deployments!N329)</f>
        <v/>
      </c>
      <c r="O341" s="19">
        <f>IF(Deployments!O329="","",Deployments!O329)</f>
        <v/>
      </c>
      <c r="P341" s="19">
        <f>IF(Deployments!P329="","",Deployments!P329)</f>
        <v/>
      </c>
      <c r="Q341" s="20" t="n"/>
      <c r="R341" s="19">
        <f>IF(Deployments!BT329="","",Deployments!BT329)</f>
        <v/>
      </c>
      <c r="S341" s="19">
        <f>IF(Deployments!BS329="","",Deployments!BS329)</f>
        <v/>
      </c>
      <c r="T341" s="19">
        <f>IF(Deployments!BB329="","",Deployments!BB329)</f>
        <v/>
      </c>
      <c r="U341" s="19">
        <f>IF(Deployments!BR329="","",Deployments!BR329)</f>
        <v/>
      </c>
      <c r="V341" s="19">
        <f>IF(Deployments!BX329="","",Deployments!BX329)</f>
        <v/>
      </c>
      <c r="W341" s="19">
        <f>IF(Deployments!BY329="","",Deployments!BY329)</f>
        <v/>
      </c>
      <c r="X341" s="19">
        <f>IF(Deployments!CC329="","",Deployments!CC329)</f>
        <v/>
      </c>
      <c r="Y341" s="19">
        <f>IF(Deployments!BW329="","",Deployments!BW329)</f>
        <v/>
      </c>
      <c r="Z341" s="19">
        <f>IF(Deployments!U329="","",Deployments!U329)</f>
        <v/>
      </c>
      <c r="AA341" s="19">
        <f>IF(Deployments!L329="","",Deployments!L329)</f>
        <v/>
      </c>
    </row>
    <row r="342">
      <c r="A342" s="20" t="n"/>
      <c r="B342" s="20" t="n"/>
      <c r="C342" s="19">
        <f>IF(Deployments!H330="","",Deployments!H330)</f>
        <v/>
      </c>
      <c r="D342" s="19">
        <f>IF(Deployments!AM330="","",Deployments!AM330)</f>
        <v/>
      </c>
      <c r="E342" s="19">
        <f>IF(Deployments!I330="","",Deployments!I330)</f>
        <v/>
      </c>
      <c r="F342" s="19">
        <f>IF(Deployments!J330="","",Deployments!J330)</f>
        <v/>
      </c>
      <c r="G342" s="19">
        <f>IF(Deployments!K330="","",Deployments!K330)</f>
        <v/>
      </c>
      <c r="H342" s="19">
        <f>IF(Deployments!A330="","",Deployments!A330)</f>
        <v/>
      </c>
      <c r="I342" s="19">
        <f>IF(Deployments!AN330="","",Deployments!AN330)</f>
        <v/>
      </c>
      <c r="J342" s="19">
        <f>IF(Deployments!AO330="","",Deployments!AO330)</f>
        <v/>
      </c>
      <c r="K342" s="19">
        <f>IF(Deployments!AI330="","",Deployments!AI330)</f>
        <v/>
      </c>
      <c r="L342" s="19">
        <f>IF(Deployments!M330="","",Deployments!M330)</f>
        <v/>
      </c>
      <c r="M342" s="20" t="n"/>
      <c r="N342" s="19">
        <f>IF(Deployments!N330="","",Deployments!N330)</f>
        <v/>
      </c>
      <c r="O342" s="19">
        <f>IF(Deployments!O330="","",Deployments!O330)</f>
        <v/>
      </c>
      <c r="P342" s="19">
        <f>IF(Deployments!P330="","",Deployments!P330)</f>
        <v/>
      </c>
      <c r="Q342" s="20" t="n"/>
      <c r="R342" s="19">
        <f>IF(Deployments!BT330="","",Deployments!BT330)</f>
        <v/>
      </c>
      <c r="S342" s="19">
        <f>IF(Deployments!BS330="","",Deployments!BS330)</f>
        <v/>
      </c>
      <c r="T342" s="19">
        <f>IF(Deployments!BB330="","",Deployments!BB330)</f>
        <v/>
      </c>
      <c r="U342" s="19">
        <f>IF(Deployments!BR330="","",Deployments!BR330)</f>
        <v/>
      </c>
      <c r="V342" s="19">
        <f>IF(Deployments!BX330="","",Deployments!BX330)</f>
        <v/>
      </c>
      <c r="W342" s="19">
        <f>IF(Deployments!BY330="","",Deployments!BY330)</f>
        <v/>
      </c>
      <c r="X342" s="19">
        <f>IF(Deployments!CC330="","",Deployments!CC330)</f>
        <v/>
      </c>
      <c r="Y342" s="19">
        <f>IF(Deployments!BW330="","",Deployments!BW330)</f>
        <v/>
      </c>
      <c r="Z342" s="19">
        <f>IF(Deployments!U330="","",Deployments!U330)</f>
        <v/>
      </c>
      <c r="AA342" s="19">
        <f>IF(Deployments!L330="","",Deployments!L330)</f>
        <v/>
      </c>
    </row>
    <row r="343">
      <c r="A343" s="20" t="n"/>
      <c r="B343" s="20" t="n"/>
      <c r="C343" s="19">
        <f>IF(Deployments!H331="","",Deployments!H331)</f>
        <v/>
      </c>
      <c r="D343" s="19">
        <f>IF(Deployments!AM331="","",Deployments!AM331)</f>
        <v/>
      </c>
      <c r="E343" s="19">
        <f>IF(Deployments!I331="","",Deployments!I331)</f>
        <v/>
      </c>
      <c r="F343" s="19">
        <f>IF(Deployments!J331="","",Deployments!J331)</f>
        <v/>
      </c>
      <c r="G343" s="19">
        <f>IF(Deployments!K331="","",Deployments!K331)</f>
        <v/>
      </c>
      <c r="H343" s="19">
        <f>IF(Deployments!A331="","",Deployments!A331)</f>
        <v/>
      </c>
      <c r="I343" s="19">
        <f>IF(Deployments!AN331="","",Deployments!AN331)</f>
        <v/>
      </c>
      <c r="J343" s="19">
        <f>IF(Deployments!AO331="","",Deployments!AO331)</f>
        <v/>
      </c>
      <c r="K343" s="19">
        <f>IF(Deployments!AI331="","",Deployments!AI331)</f>
        <v/>
      </c>
      <c r="L343" s="19">
        <f>IF(Deployments!M331="","",Deployments!M331)</f>
        <v/>
      </c>
      <c r="M343" s="20" t="n"/>
      <c r="N343" s="19">
        <f>IF(Deployments!N331="","",Deployments!N331)</f>
        <v/>
      </c>
      <c r="O343" s="19">
        <f>IF(Deployments!O331="","",Deployments!O331)</f>
        <v/>
      </c>
      <c r="P343" s="19">
        <f>IF(Deployments!P331="","",Deployments!P331)</f>
        <v/>
      </c>
      <c r="Q343" s="20" t="n"/>
      <c r="R343" s="19">
        <f>IF(Deployments!BT331="","",Deployments!BT331)</f>
        <v/>
      </c>
      <c r="S343" s="19">
        <f>IF(Deployments!BS331="","",Deployments!BS331)</f>
        <v/>
      </c>
      <c r="T343" s="19">
        <f>IF(Deployments!BB331="","",Deployments!BB331)</f>
        <v/>
      </c>
      <c r="U343" s="19">
        <f>IF(Deployments!BR331="","",Deployments!BR331)</f>
        <v/>
      </c>
      <c r="V343" s="19">
        <f>IF(Deployments!BX331="","",Deployments!BX331)</f>
        <v/>
      </c>
      <c r="W343" s="19">
        <f>IF(Deployments!BY331="","",Deployments!BY331)</f>
        <v/>
      </c>
      <c r="X343" s="19">
        <f>IF(Deployments!CC331="","",Deployments!CC331)</f>
        <v/>
      </c>
      <c r="Y343" s="19">
        <f>IF(Deployments!BW331="","",Deployments!BW331)</f>
        <v/>
      </c>
      <c r="Z343" s="19">
        <f>IF(Deployments!U331="","",Deployments!U331)</f>
        <v/>
      </c>
      <c r="AA343" s="19">
        <f>IF(Deployments!L331="","",Deployments!L331)</f>
        <v/>
      </c>
    </row>
    <row r="344">
      <c r="A344" s="20" t="n"/>
      <c r="B344" s="20" t="n"/>
      <c r="C344" s="19">
        <f>IF(Deployments!H332="","",Deployments!H332)</f>
        <v/>
      </c>
      <c r="D344" s="19">
        <f>IF(Deployments!AM332="","",Deployments!AM332)</f>
        <v/>
      </c>
      <c r="E344" s="19">
        <f>IF(Deployments!I332="","",Deployments!I332)</f>
        <v/>
      </c>
      <c r="F344" s="19">
        <f>IF(Deployments!J332="","",Deployments!J332)</f>
        <v/>
      </c>
      <c r="G344" s="19">
        <f>IF(Deployments!K332="","",Deployments!K332)</f>
        <v/>
      </c>
      <c r="H344" s="19">
        <f>IF(Deployments!A332="","",Deployments!A332)</f>
        <v/>
      </c>
      <c r="I344" s="19">
        <f>IF(Deployments!AN332="","",Deployments!AN332)</f>
        <v/>
      </c>
      <c r="J344" s="19">
        <f>IF(Deployments!AO332="","",Deployments!AO332)</f>
        <v/>
      </c>
      <c r="K344" s="19">
        <f>IF(Deployments!AI332="","",Deployments!AI332)</f>
        <v/>
      </c>
      <c r="L344" s="19">
        <f>IF(Deployments!M332="","",Deployments!M332)</f>
        <v/>
      </c>
      <c r="M344" s="20" t="n"/>
      <c r="N344" s="19">
        <f>IF(Deployments!N332="","",Deployments!N332)</f>
        <v/>
      </c>
      <c r="O344" s="19">
        <f>IF(Deployments!O332="","",Deployments!O332)</f>
        <v/>
      </c>
      <c r="P344" s="19">
        <f>IF(Deployments!P332="","",Deployments!P332)</f>
        <v/>
      </c>
      <c r="Q344" s="20" t="n"/>
      <c r="R344" s="19">
        <f>IF(Deployments!BT332="","",Deployments!BT332)</f>
        <v/>
      </c>
      <c r="S344" s="19">
        <f>IF(Deployments!BS332="","",Deployments!BS332)</f>
        <v/>
      </c>
      <c r="T344" s="19">
        <f>IF(Deployments!BB332="","",Deployments!BB332)</f>
        <v/>
      </c>
      <c r="U344" s="19">
        <f>IF(Deployments!BR332="","",Deployments!BR332)</f>
        <v/>
      </c>
      <c r="V344" s="19">
        <f>IF(Deployments!BX332="","",Deployments!BX332)</f>
        <v/>
      </c>
      <c r="W344" s="19">
        <f>IF(Deployments!BY332="","",Deployments!BY332)</f>
        <v/>
      </c>
      <c r="X344" s="19">
        <f>IF(Deployments!CC332="","",Deployments!CC332)</f>
        <v/>
      </c>
      <c r="Y344" s="19">
        <f>IF(Deployments!BW332="","",Deployments!BW332)</f>
        <v/>
      </c>
      <c r="Z344" s="19">
        <f>IF(Deployments!U332="","",Deployments!U332)</f>
        <v/>
      </c>
      <c r="AA344" s="19">
        <f>IF(Deployments!L332="","",Deployments!L332)</f>
        <v/>
      </c>
    </row>
    <row r="345">
      <c r="A345" s="20" t="n"/>
      <c r="B345" s="20" t="n"/>
      <c r="C345" s="19">
        <f>IF(Deployments!H333="","",Deployments!H333)</f>
        <v/>
      </c>
      <c r="D345" s="19">
        <f>IF(Deployments!AM333="","",Deployments!AM333)</f>
        <v/>
      </c>
      <c r="E345" s="19">
        <f>IF(Deployments!I333="","",Deployments!I333)</f>
        <v/>
      </c>
      <c r="F345" s="19">
        <f>IF(Deployments!J333="","",Deployments!J333)</f>
        <v/>
      </c>
      <c r="G345" s="19">
        <f>IF(Deployments!K333="","",Deployments!K333)</f>
        <v/>
      </c>
      <c r="H345" s="19">
        <f>IF(Deployments!A333="","",Deployments!A333)</f>
        <v/>
      </c>
      <c r="I345" s="19">
        <f>IF(Deployments!AN333="","",Deployments!AN333)</f>
        <v/>
      </c>
      <c r="J345" s="19">
        <f>IF(Deployments!AO333="","",Deployments!AO333)</f>
        <v/>
      </c>
      <c r="K345" s="19">
        <f>IF(Deployments!AI333="","",Deployments!AI333)</f>
        <v/>
      </c>
      <c r="L345" s="19">
        <f>IF(Deployments!M333="","",Deployments!M333)</f>
        <v/>
      </c>
      <c r="M345" s="20" t="n"/>
      <c r="N345" s="19">
        <f>IF(Deployments!N333="","",Deployments!N333)</f>
        <v/>
      </c>
      <c r="O345" s="19">
        <f>IF(Deployments!O333="","",Deployments!O333)</f>
        <v/>
      </c>
      <c r="P345" s="19">
        <f>IF(Deployments!P333="","",Deployments!P333)</f>
        <v/>
      </c>
      <c r="Q345" s="20" t="n"/>
      <c r="R345" s="19">
        <f>IF(Deployments!BT333="","",Deployments!BT333)</f>
        <v/>
      </c>
      <c r="S345" s="19">
        <f>IF(Deployments!BS333="","",Deployments!BS333)</f>
        <v/>
      </c>
      <c r="T345" s="19">
        <f>IF(Deployments!BB333="","",Deployments!BB333)</f>
        <v/>
      </c>
      <c r="U345" s="19">
        <f>IF(Deployments!BR333="","",Deployments!BR333)</f>
        <v/>
      </c>
      <c r="V345" s="19">
        <f>IF(Deployments!BX333="","",Deployments!BX333)</f>
        <v/>
      </c>
      <c r="W345" s="19">
        <f>IF(Deployments!BY333="","",Deployments!BY333)</f>
        <v/>
      </c>
      <c r="X345" s="19">
        <f>IF(Deployments!CC333="","",Deployments!CC333)</f>
        <v/>
      </c>
      <c r="Y345" s="19">
        <f>IF(Deployments!BW333="","",Deployments!BW333)</f>
        <v/>
      </c>
      <c r="Z345" s="19">
        <f>IF(Deployments!U333="","",Deployments!U333)</f>
        <v/>
      </c>
      <c r="AA345" s="19">
        <f>IF(Deployments!L333="","",Deployments!L333)</f>
        <v/>
      </c>
    </row>
    <row r="346">
      <c r="A346" s="20" t="n"/>
      <c r="B346" s="20" t="n"/>
      <c r="C346" s="19">
        <f>IF(Deployments!H334="","",Deployments!H334)</f>
        <v/>
      </c>
      <c r="D346" s="19">
        <f>IF(Deployments!AM334="","",Deployments!AM334)</f>
        <v/>
      </c>
      <c r="E346" s="19">
        <f>IF(Deployments!I334="","",Deployments!I334)</f>
        <v/>
      </c>
      <c r="F346" s="19">
        <f>IF(Deployments!J334="","",Deployments!J334)</f>
        <v/>
      </c>
      <c r="G346" s="19">
        <f>IF(Deployments!K334="","",Deployments!K334)</f>
        <v/>
      </c>
      <c r="H346" s="19">
        <f>IF(Deployments!A334="","",Deployments!A334)</f>
        <v/>
      </c>
      <c r="I346" s="19">
        <f>IF(Deployments!AN334="","",Deployments!AN334)</f>
        <v/>
      </c>
      <c r="J346" s="19">
        <f>IF(Deployments!AO334="","",Deployments!AO334)</f>
        <v/>
      </c>
      <c r="K346" s="19">
        <f>IF(Deployments!AI334="","",Deployments!AI334)</f>
        <v/>
      </c>
      <c r="L346" s="19">
        <f>IF(Deployments!M334="","",Deployments!M334)</f>
        <v/>
      </c>
      <c r="M346" s="20" t="n"/>
      <c r="N346" s="19">
        <f>IF(Deployments!N334="","",Deployments!N334)</f>
        <v/>
      </c>
      <c r="O346" s="19">
        <f>IF(Deployments!O334="","",Deployments!O334)</f>
        <v/>
      </c>
      <c r="P346" s="19">
        <f>IF(Deployments!P334="","",Deployments!P334)</f>
        <v/>
      </c>
      <c r="Q346" s="20" t="n"/>
      <c r="R346" s="19">
        <f>IF(Deployments!BT334="","",Deployments!BT334)</f>
        <v/>
      </c>
      <c r="S346" s="19">
        <f>IF(Deployments!BS334="","",Deployments!BS334)</f>
        <v/>
      </c>
      <c r="T346" s="19">
        <f>IF(Deployments!BB334="","",Deployments!BB334)</f>
        <v/>
      </c>
      <c r="U346" s="19">
        <f>IF(Deployments!BR334="","",Deployments!BR334)</f>
        <v/>
      </c>
      <c r="V346" s="19">
        <f>IF(Deployments!BX334="","",Deployments!BX334)</f>
        <v/>
      </c>
      <c r="W346" s="19">
        <f>IF(Deployments!BY334="","",Deployments!BY334)</f>
        <v/>
      </c>
      <c r="X346" s="19">
        <f>IF(Deployments!CC334="","",Deployments!CC334)</f>
        <v/>
      </c>
      <c r="Y346" s="19">
        <f>IF(Deployments!BW334="","",Deployments!BW334)</f>
        <v/>
      </c>
      <c r="Z346" s="19">
        <f>IF(Deployments!U334="","",Deployments!U334)</f>
        <v/>
      </c>
      <c r="AA346" s="19">
        <f>IF(Deployments!L334="","",Deployments!L334)</f>
        <v/>
      </c>
    </row>
    <row r="347">
      <c r="A347" s="20" t="n"/>
      <c r="B347" s="20" t="n"/>
      <c r="C347" s="19">
        <f>IF(Deployments!H335="","",Deployments!H335)</f>
        <v/>
      </c>
      <c r="D347" s="19">
        <f>IF(Deployments!AM335="","",Deployments!AM335)</f>
        <v/>
      </c>
      <c r="E347" s="19">
        <f>IF(Deployments!I335="","",Deployments!I335)</f>
        <v/>
      </c>
      <c r="F347" s="19">
        <f>IF(Deployments!J335="","",Deployments!J335)</f>
        <v/>
      </c>
      <c r="G347" s="19">
        <f>IF(Deployments!K335="","",Deployments!K335)</f>
        <v/>
      </c>
      <c r="H347" s="19">
        <f>IF(Deployments!A335="","",Deployments!A335)</f>
        <v/>
      </c>
      <c r="I347" s="19">
        <f>IF(Deployments!AN335="","",Deployments!AN335)</f>
        <v/>
      </c>
      <c r="J347" s="19">
        <f>IF(Deployments!AO335="","",Deployments!AO335)</f>
        <v/>
      </c>
      <c r="K347" s="19">
        <f>IF(Deployments!AI335="","",Deployments!AI335)</f>
        <v/>
      </c>
      <c r="L347" s="19">
        <f>IF(Deployments!M335="","",Deployments!M335)</f>
        <v/>
      </c>
      <c r="M347" s="20" t="n"/>
      <c r="N347" s="19">
        <f>IF(Deployments!N335="","",Deployments!N335)</f>
        <v/>
      </c>
      <c r="O347" s="19">
        <f>IF(Deployments!O335="","",Deployments!O335)</f>
        <v/>
      </c>
      <c r="P347" s="19">
        <f>IF(Deployments!P335="","",Deployments!P335)</f>
        <v/>
      </c>
      <c r="Q347" s="20" t="n"/>
      <c r="R347" s="19">
        <f>IF(Deployments!BT335="","",Deployments!BT335)</f>
        <v/>
      </c>
      <c r="S347" s="19">
        <f>IF(Deployments!BS335="","",Deployments!BS335)</f>
        <v/>
      </c>
      <c r="T347" s="19">
        <f>IF(Deployments!BB335="","",Deployments!BB335)</f>
        <v/>
      </c>
      <c r="U347" s="19">
        <f>IF(Deployments!BR335="","",Deployments!BR335)</f>
        <v/>
      </c>
      <c r="V347" s="19">
        <f>IF(Deployments!BX335="","",Deployments!BX335)</f>
        <v/>
      </c>
      <c r="W347" s="19">
        <f>IF(Deployments!BY335="","",Deployments!BY335)</f>
        <v/>
      </c>
      <c r="X347" s="19">
        <f>IF(Deployments!CC335="","",Deployments!CC335)</f>
        <v/>
      </c>
      <c r="Y347" s="19">
        <f>IF(Deployments!BW335="","",Deployments!BW335)</f>
        <v/>
      </c>
      <c r="Z347" s="19">
        <f>IF(Deployments!U335="","",Deployments!U335)</f>
        <v/>
      </c>
      <c r="AA347" s="19">
        <f>IF(Deployments!L335="","",Deployments!L335)</f>
        <v/>
      </c>
    </row>
    <row r="348">
      <c r="A348" s="20" t="n"/>
      <c r="B348" s="20" t="n"/>
      <c r="C348" s="19">
        <f>IF(Deployments!H336="","",Deployments!H336)</f>
        <v/>
      </c>
      <c r="D348" s="19">
        <f>IF(Deployments!AM336="","",Deployments!AM336)</f>
        <v/>
      </c>
      <c r="E348" s="19">
        <f>IF(Deployments!I336="","",Deployments!I336)</f>
        <v/>
      </c>
      <c r="F348" s="19">
        <f>IF(Deployments!J336="","",Deployments!J336)</f>
        <v/>
      </c>
      <c r="G348" s="19">
        <f>IF(Deployments!K336="","",Deployments!K336)</f>
        <v/>
      </c>
      <c r="H348" s="19">
        <f>IF(Deployments!A336="","",Deployments!A336)</f>
        <v/>
      </c>
      <c r="I348" s="19">
        <f>IF(Deployments!AN336="","",Deployments!AN336)</f>
        <v/>
      </c>
      <c r="J348" s="19">
        <f>IF(Deployments!AO336="","",Deployments!AO336)</f>
        <v/>
      </c>
      <c r="K348" s="19">
        <f>IF(Deployments!AI336="","",Deployments!AI336)</f>
        <v/>
      </c>
      <c r="L348" s="19">
        <f>IF(Deployments!M336="","",Deployments!M336)</f>
        <v/>
      </c>
      <c r="M348" s="20" t="n"/>
      <c r="N348" s="19">
        <f>IF(Deployments!N336="","",Deployments!N336)</f>
        <v/>
      </c>
      <c r="O348" s="19">
        <f>IF(Deployments!O336="","",Deployments!O336)</f>
        <v/>
      </c>
      <c r="P348" s="19">
        <f>IF(Deployments!P336="","",Deployments!P336)</f>
        <v/>
      </c>
      <c r="Q348" s="20" t="n"/>
      <c r="R348" s="19">
        <f>IF(Deployments!BT336="","",Deployments!BT336)</f>
        <v/>
      </c>
      <c r="S348" s="19">
        <f>IF(Deployments!BS336="","",Deployments!BS336)</f>
        <v/>
      </c>
      <c r="T348" s="19">
        <f>IF(Deployments!BB336="","",Deployments!BB336)</f>
        <v/>
      </c>
      <c r="U348" s="19">
        <f>IF(Deployments!BR336="","",Deployments!BR336)</f>
        <v/>
      </c>
      <c r="V348" s="19">
        <f>IF(Deployments!BX336="","",Deployments!BX336)</f>
        <v/>
      </c>
      <c r="W348" s="19">
        <f>IF(Deployments!BY336="","",Deployments!BY336)</f>
        <v/>
      </c>
      <c r="X348" s="19">
        <f>IF(Deployments!CC336="","",Deployments!CC336)</f>
        <v/>
      </c>
      <c r="Y348" s="19">
        <f>IF(Deployments!BW336="","",Deployments!BW336)</f>
        <v/>
      </c>
      <c r="Z348" s="19">
        <f>IF(Deployments!U336="","",Deployments!U336)</f>
        <v/>
      </c>
      <c r="AA348" s="19">
        <f>IF(Deployments!L336="","",Deployments!L336)</f>
        <v/>
      </c>
    </row>
    <row r="349">
      <c r="A349" s="20" t="n"/>
      <c r="B349" s="20" t="n"/>
      <c r="C349" s="19">
        <f>IF(Deployments!H337="","",Deployments!H337)</f>
        <v/>
      </c>
      <c r="D349" s="19">
        <f>IF(Deployments!AM337="","",Deployments!AM337)</f>
        <v/>
      </c>
      <c r="E349" s="19">
        <f>IF(Deployments!I337="","",Deployments!I337)</f>
        <v/>
      </c>
      <c r="F349" s="19">
        <f>IF(Deployments!J337="","",Deployments!J337)</f>
        <v/>
      </c>
      <c r="G349" s="19">
        <f>IF(Deployments!K337="","",Deployments!K337)</f>
        <v/>
      </c>
      <c r="H349" s="19">
        <f>IF(Deployments!A337="","",Deployments!A337)</f>
        <v/>
      </c>
      <c r="I349" s="19">
        <f>IF(Deployments!AN337="","",Deployments!AN337)</f>
        <v/>
      </c>
      <c r="J349" s="19">
        <f>IF(Deployments!AO337="","",Deployments!AO337)</f>
        <v/>
      </c>
      <c r="K349" s="19">
        <f>IF(Deployments!AI337="","",Deployments!AI337)</f>
        <v/>
      </c>
      <c r="L349" s="19">
        <f>IF(Deployments!M337="","",Deployments!M337)</f>
        <v/>
      </c>
      <c r="M349" s="20" t="n"/>
      <c r="N349" s="19">
        <f>IF(Deployments!N337="","",Deployments!N337)</f>
        <v/>
      </c>
      <c r="O349" s="19">
        <f>IF(Deployments!O337="","",Deployments!O337)</f>
        <v/>
      </c>
      <c r="P349" s="19">
        <f>IF(Deployments!P337="","",Deployments!P337)</f>
        <v/>
      </c>
      <c r="Q349" s="20" t="n"/>
      <c r="R349" s="19">
        <f>IF(Deployments!BT337="","",Deployments!BT337)</f>
        <v/>
      </c>
      <c r="S349" s="19">
        <f>IF(Deployments!BS337="","",Deployments!BS337)</f>
        <v/>
      </c>
      <c r="T349" s="19">
        <f>IF(Deployments!BB337="","",Deployments!BB337)</f>
        <v/>
      </c>
      <c r="U349" s="19">
        <f>IF(Deployments!BR337="","",Deployments!BR337)</f>
        <v/>
      </c>
      <c r="V349" s="19">
        <f>IF(Deployments!BX337="","",Deployments!BX337)</f>
        <v/>
      </c>
      <c r="W349" s="19">
        <f>IF(Deployments!BY337="","",Deployments!BY337)</f>
        <v/>
      </c>
      <c r="X349" s="19">
        <f>IF(Deployments!CC337="","",Deployments!CC337)</f>
        <v/>
      </c>
      <c r="Y349" s="19">
        <f>IF(Deployments!BW337="","",Deployments!BW337)</f>
        <v/>
      </c>
      <c r="Z349" s="19">
        <f>IF(Deployments!U337="","",Deployments!U337)</f>
        <v/>
      </c>
      <c r="AA349" s="19">
        <f>IF(Deployments!L337="","",Deployments!L337)</f>
        <v/>
      </c>
    </row>
    <row r="350">
      <c r="A350" s="20" t="n"/>
      <c r="B350" s="20" t="n"/>
      <c r="C350" s="19">
        <f>IF(Deployments!H338="","",Deployments!H338)</f>
        <v/>
      </c>
      <c r="D350" s="19">
        <f>IF(Deployments!AM338="","",Deployments!AM338)</f>
        <v/>
      </c>
      <c r="E350" s="19">
        <f>IF(Deployments!I338="","",Deployments!I338)</f>
        <v/>
      </c>
      <c r="F350" s="19">
        <f>IF(Deployments!J338="","",Deployments!J338)</f>
        <v/>
      </c>
      <c r="G350" s="19">
        <f>IF(Deployments!K338="","",Deployments!K338)</f>
        <v/>
      </c>
      <c r="H350" s="19">
        <f>IF(Deployments!A338="","",Deployments!A338)</f>
        <v/>
      </c>
      <c r="I350" s="19">
        <f>IF(Deployments!AN338="","",Deployments!AN338)</f>
        <v/>
      </c>
      <c r="J350" s="19">
        <f>IF(Deployments!AO338="","",Deployments!AO338)</f>
        <v/>
      </c>
      <c r="K350" s="19">
        <f>IF(Deployments!AI338="","",Deployments!AI338)</f>
        <v/>
      </c>
      <c r="L350" s="19">
        <f>IF(Deployments!M338="","",Deployments!M338)</f>
        <v/>
      </c>
      <c r="M350" s="20" t="n"/>
      <c r="N350" s="19">
        <f>IF(Deployments!N338="","",Deployments!N338)</f>
        <v/>
      </c>
      <c r="O350" s="19">
        <f>IF(Deployments!O338="","",Deployments!O338)</f>
        <v/>
      </c>
      <c r="P350" s="19">
        <f>IF(Deployments!P338="","",Deployments!P338)</f>
        <v/>
      </c>
      <c r="Q350" s="20" t="n"/>
      <c r="R350" s="19">
        <f>IF(Deployments!BT338="","",Deployments!BT338)</f>
        <v/>
      </c>
      <c r="S350" s="19">
        <f>IF(Deployments!BS338="","",Deployments!BS338)</f>
        <v/>
      </c>
      <c r="T350" s="19">
        <f>IF(Deployments!BB338="","",Deployments!BB338)</f>
        <v/>
      </c>
      <c r="U350" s="19">
        <f>IF(Deployments!BR338="","",Deployments!BR338)</f>
        <v/>
      </c>
      <c r="V350" s="19">
        <f>IF(Deployments!BX338="","",Deployments!BX338)</f>
        <v/>
      </c>
      <c r="W350" s="19">
        <f>IF(Deployments!BY338="","",Deployments!BY338)</f>
        <v/>
      </c>
      <c r="X350" s="19">
        <f>IF(Deployments!CC338="","",Deployments!CC338)</f>
        <v/>
      </c>
      <c r="Y350" s="19">
        <f>IF(Deployments!BW338="","",Deployments!BW338)</f>
        <v/>
      </c>
      <c r="Z350" s="19">
        <f>IF(Deployments!U338="","",Deployments!U338)</f>
        <v/>
      </c>
      <c r="AA350" s="19">
        <f>IF(Deployments!L338="","",Deployments!L338)</f>
        <v/>
      </c>
    </row>
    <row r="351">
      <c r="A351" s="20" t="n"/>
      <c r="B351" s="20" t="n"/>
      <c r="C351" s="19">
        <f>IF(Deployments!H339="","",Deployments!H339)</f>
        <v/>
      </c>
      <c r="D351" s="19">
        <f>IF(Deployments!AM339="","",Deployments!AM339)</f>
        <v/>
      </c>
      <c r="E351" s="19">
        <f>IF(Deployments!I339="","",Deployments!I339)</f>
        <v/>
      </c>
      <c r="F351" s="19">
        <f>IF(Deployments!J339="","",Deployments!J339)</f>
        <v/>
      </c>
      <c r="G351" s="19">
        <f>IF(Deployments!K339="","",Deployments!K339)</f>
        <v/>
      </c>
      <c r="H351" s="19">
        <f>IF(Deployments!A339="","",Deployments!A339)</f>
        <v/>
      </c>
      <c r="I351" s="19">
        <f>IF(Deployments!AN339="","",Deployments!AN339)</f>
        <v/>
      </c>
      <c r="J351" s="19">
        <f>IF(Deployments!AO339="","",Deployments!AO339)</f>
        <v/>
      </c>
      <c r="K351" s="19">
        <f>IF(Deployments!AI339="","",Deployments!AI339)</f>
        <v/>
      </c>
      <c r="L351" s="19">
        <f>IF(Deployments!M339="","",Deployments!M339)</f>
        <v/>
      </c>
      <c r="M351" s="20" t="n"/>
      <c r="N351" s="19">
        <f>IF(Deployments!N339="","",Deployments!N339)</f>
        <v/>
      </c>
      <c r="O351" s="19">
        <f>IF(Deployments!O339="","",Deployments!O339)</f>
        <v/>
      </c>
      <c r="P351" s="19">
        <f>IF(Deployments!P339="","",Deployments!P339)</f>
        <v/>
      </c>
      <c r="Q351" s="20" t="n"/>
      <c r="R351" s="19">
        <f>IF(Deployments!BT339="","",Deployments!BT339)</f>
        <v/>
      </c>
      <c r="S351" s="19">
        <f>IF(Deployments!BS339="","",Deployments!BS339)</f>
        <v/>
      </c>
      <c r="T351" s="19">
        <f>IF(Deployments!BB339="","",Deployments!BB339)</f>
        <v/>
      </c>
      <c r="U351" s="19">
        <f>IF(Deployments!BR339="","",Deployments!BR339)</f>
        <v/>
      </c>
      <c r="V351" s="19">
        <f>IF(Deployments!BX339="","",Deployments!BX339)</f>
        <v/>
      </c>
      <c r="W351" s="19">
        <f>IF(Deployments!BY339="","",Deployments!BY339)</f>
        <v/>
      </c>
      <c r="X351" s="19">
        <f>IF(Deployments!CC339="","",Deployments!CC339)</f>
        <v/>
      </c>
      <c r="Y351" s="19">
        <f>IF(Deployments!BW339="","",Deployments!BW339)</f>
        <v/>
      </c>
      <c r="Z351" s="19">
        <f>IF(Deployments!U339="","",Deployments!U339)</f>
        <v/>
      </c>
      <c r="AA351" s="19">
        <f>IF(Deployments!L339="","",Deployments!L339)</f>
        <v/>
      </c>
    </row>
    <row r="352">
      <c r="A352" s="20" t="n"/>
      <c r="B352" s="20" t="n"/>
      <c r="C352" s="19">
        <f>IF(Deployments!H340="","",Deployments!H340)</f>
        <v/>
      </c>
      <c r="D352" s="19">
        <f>IF(Deployments!AM340="","",Deployments!AM340)</f>
        <v/>
      </c>
      <c r="E352" s="19">
        <f>IF(Deployments!I340="","",Deployments!I340)</f>
        <v/>
      </c>
      <c r="F352" s="19">
        <f>IF(Deployments!J340="","",Deployments!J340)</f>
        <v/>
      </c>
      <c r="G352" s="19">
        <f>IF(Deployments!K340="","",Deployments!K340)</f>
        <v/>
      </c>
      <c r="H352" s="19">
        <f>IF(Deployments!A340="","",Deployments!A340)</f>
        <v/>
      </c>
      <c r="I352" s="19">
        <f>IF(Deployments!AN340="","",Deployments!AN340)</f>
        <v/>
      </c>
      <c r="J352" s="19">
        <f>IF(Deployments!AO340="","",Deployments!AO340)</f>
        <v/>
      </c>
      <c r="K352" s="19">
        <f>IF(Deployments!AI340="","",Deployments!AI340)</f>
        <v/>
      </c>
      <c r="L352" s="19">
        <f>IF(Deployments!M340="","",Deployments!M340)</f>
        <v/>
      </c>
      <c r="M352" s="20" t="n"/>
      <c r="N352" s="19">
        <f>IF(Deployments!N340="","",Deployments!N340)</f>
        <v/>
      </c>
      <c r="O352" s="19">
        <f>IF(Deployments!O340="","",Deployments!O340)</f>
        <v/>
      </c>
      <c r="P352" s="19">
        <f>IF(Deployments!P340="","",Deployments!P340)</f>
        <v/>
      </c>
      <c r="Q352" s="20" t="n"/>
      <c r="R352" s="19">
        <f>IF(Deployments!BT340="","",Deployments!BT340)</f>
        <v/>
      </c>
      <c r="S352" s="19">
        <f>IF(Deployments!BS340="","",Deployments!BS340)</f>
        <v/>
      </c>
      <c r="T352" s="19">
        <f>IF(Deployments!BB340="","",Deployments!BB340)</f>
        <v/>
      </c>
      <c r="U352" s="19">
        <f>IF(Deployments!BR340="","",Deployments!BR340)</f>
        <v/>
      </c>
      <c r="V352" s="19">
        <f>IF(Deployments!BX340="","",Deployments!BX340)</f>
        <v/>
      </c>
      <c r="W352" s="19">
        <f>IF(Deployments!BY340="","",Deployments!BY340)</f>
        <v/>
      </c>
      <c r="X352" s="19">
        <f>IF(Deployments!CC340="","",Deployments!CC340)</f>
        <v/>
      </c>
      <c r="Y352" s="19">
        <f>IF(Deployments!BW340="","",Deployments!BW340)</f>
        <v/>
      </c>
      <c r="Z352" s="19">
        <f>IF(Deployments!U340="","",Deployments!U340)</f>
        <v/>
      </c>
      <c r="AA352" s="19">
        <f>IF(Deployments!L340="","",Deployments!L340)</f>
        <v/>
      </c>
    </row>
    <row r="353">
      <c r="A353" s="20" t="n"/>
      <c r="B353" s="20" t="n"/>
      <c r="C353" s="19">
        <f>IF(Deployments!H341="","",Deployments!H341)</f>
        <v/>
      </c>
      <c r="D353" s="19">
        <f>IF(Deployments!AM341="","",Deployments!AM341)</f>
        <v/>
      </c>
      <c r="E353" s="19">
        <f>IF(Deployments!I341="","",Deployments!I341)</f>
        <v/>
      </c>
      <c r="F353" s="19">
        <f>IF(Deployments!J341="","",Deployments!J341)</f>
        <v/>
      </c>
      <c r="G353" s="19">
        <f>IF(Deployments!K341="","",Deployments!K341)</f>
        <v/>
      </c>
      <c r="H353" s="19">
        <f>IF(Deployments!A341="","",Deployments!A341)</f>
        <v/>
      </c>
      <c r="I353" s="19">
        <f>IF(Deployments!AN341="","",Deployments!AN341)</f>
        <v/>
      </c>
      <c r="J353" s="19">
        <f>IF(Deployments!AO341="","",Deployments!AO341)</f>
        <v/>
      </c>
      <c r="K353" s="19">
        <f>IF(Deployments!AI341="","",Deployments!AI341)</f>
        <v/>
      </c>
      <c r="L353" s="19">
        <f>IF(Deployments!M341="","",Deployments!M341)</f>
        <v/>
      </c>
      <c r="M353" s="20" t="n"/>
      <c r="N353" s="19">
        <f>IF(Deployments!N341="","",Deployments!N341)</f>
        <v/>
      </c>
      <c r="O353" s="19">
        <f>IF(Deployments!O341="","",Deployments!O341)</f>
        <v/>
      </c>
      <c r="P353" s="19">
        <f>IF(Deployments!P341="","",Deployments!P341)</f>
        <v/>
      </c>
      <c r="Q353" s="20" t="n"/>
      <c r="R353" s="19">
        <f>IF(Deployments!BT341="","",Deployments!BT341)</f>
        <v/>
      </c>
      <c r="S353" s="19">
        <f>IF(Deployments!BS341="","",Deployments!BS341)</f>
        <v/>
      </c>
      <c r="T353" s="19">
        <f>IF(Deployments!BB341="","",Deployments!BB341)</f>
        <v/>
      </c>
      <c r="U353" s="19">
        <f>IF(Deployments!BR341="","",Deployments!BR341)</f>
        <v/>
      </c>
      <c r="V353" s="19">
        <f>IF(Deployments!BX341="","",Deployments!BX341)</f>
        <v/>
      </c>
      <c r="W353" s="19">
        <f>IF(Deployments!BY341="","",Deployments!BY341)</f>
        <v/>
      </c>
      <c r="X353" s="19">
        <f>IF(Deployments!CC341="","",Deployments!CC341)</f>
        <v/>
      </c>
      <c r="Y353" s="19">
        <f>IF(Deployments!BW341="","",Deployments!BW341)</f>
        <v/>
      </c>
      <c r="Z353" s="19">
        <f>IF(Deployments!U341="","",Deployments!U341)</f>
        <v/>
      </c>
      <c r="AA353" s="19">
        <f>IF(Deployments!L341="","",Deployments!L341)</f>
        <v/>
      </c>
    </row>
    <row r="354">
      <c r="A354" s="20" t="n"/>
      <c r="B354" s="20" t="n"/>
      <c r="C354" s="19">
        <f>IF(Deployments!H342="","",Deployments!H342)</f>
        <v/>
      </c>
      <c r="D354" s="19">
        <f>IF(Deployments!AM342="","",Deployments!AM342)</f>
        <v/>
      </c>
      <c r="E354" s="19">
        <f>IF(Deployments!I342="","",Deployments!I342)</f>
        <v/>
      </c>
      <c r="F354" s="19">
        <f>IF(Deployments!J342="","",Deployments!J342)</f>
        <v/>
      </c>
      <c r="G354" s="19">
        <f>IF(Deployments!K342="","",Deployments!K342)</f>
        <v/>
      </c>
      <c r="H354" s="19">
        <f>IF(Deployments!A342="","",Deployments!A342)</f>
        <v/>
      </c>
      <c r="I354" s="19">
        <f>IF(Deployments!AN342="","",Deployments!AN342)</f>
        <v/>
      </c>
      <c r="J354" s="19">
        <f>IF(Deployments!AO342="","",Deployments!AO342)</f>
        <v/>
      </c>
      <c r="K354" s="19">
        <f>IF(Deployments!AI342="","",Deployments!AI342)</f>
        <v/>
      </c>
      <c r="L354" s="19">
        <f>IF(Deployments!M342="","",Deployments!M342)</f>
        <v/>
      </c>
      <c r="M354" s="20" t="n"/>
      <c r="N354" s="19">
        <f>IF(Deployments!N342="","",Deployments!N342)</f>
        <v/>
      </c>
      <c r="O354" s="19">
        <f>IF(Deployments!O342="","",Deployments!O342)</f>
        <v/>
      </c>
      <c r="P354" s="19">
        <f>IF(Deployments!P342="","",Deployments!P342)</f>
        <v/>
      </c>
      <c r="Q354" s="20" t="n"/>
      <c r="R354" s="19">
        <f>IF(Deployments!BT342="","",Deployments!BT342)</f>
        <v/>
      </c>
      <c r="S354" s="19">
        <f>IF(Deployments!BS342="","",Deployments!BS342)</f>
        <v/>
      </c>
      <c r="T354" s="19">
        <f>IF(Deployments!BB342="","",Deployments!BB342)</f>
        <v/>
      </c>
      <c r="U354" s="19">
        <f>IF(Deployments!BR342="","",Deployments!BR342)</f>
        <v/>
      </c>
      <c r="V354" s="19">
        <f>IF(Deployments!BX342="","",Deployments!BX342)</f>
        <v/>
      </c>
      <c r="W354" s="19">
        <f>IF(Deployments!BY342="","",Deployments!BY342)</f>
        <v/>
      </c>
      <c r="X354" s="19">
        <f>IF(Deployments!CC342="","",Deployments!CC342)</f>
        <v/>
      </c>
      <c r="Y354" s="19">
        <f>IF(Deployments!BW342="","",Deployments!BW342)</f>
        <v/>
      </c>
      <c r="Z354" s="19">
        <f>IF(Deployments!U342="","",Deployments!U342)</f>
        <v/>
      </c>
      <c r="AA354" s="19">
        <f>IF(Deployments!L342="","",Deployments!L342)</f>
        <v/>
      </c>
    </row>
    <row r="355">
      <c r="A355" s="20" t="n"/>
      <c r="B355" s="20" t="n"/>
      <c r="C355" s="19">
        <f>IF(Deployments!H343="","",Deployments!H343)</f>
        <v/>
      </c>
      <c r="D355" s="19">
        <f>IF(Deployments!AM343="","",Deployments!AM343)</f>
        <v/>
      </c>
      <c r="E355" s="19">
        <f>IF(Deployments!I343="","",Deployments!I343)</f>
        <v/>
      </c>
      <c r="F355" s="19">
        <f>IF(Deployments!J343="","",Deployments!J343)</f>
        <v/>
      </c>
      <c r="G355" s="19">
        <f>IF(Deployments!K343="","",Deployments!K343)</f>
        <v/>
      </c>
      <c r="H355" s="19">
        <f>IF(Deployments!A343="","",Deployments!A343)</f>
        <v/>
      </c>
      <c r="I355" s="19">
        <f>IF(Deployments!AN343="","",Deployments!AN343)</f>
        <v/>
      </c>
      <c r="J355" s="19">
        <f>IF(Deployments!AO343="","",Deployments!AO343)</f>
        <v/>
      </c>
      <c r="K355" s="19">
        <f>IF(Deployments!AI343="","",Deployments!AI343)</f>
        <v/>
      </c>
      <c r="L355" s="19">
        <f>IF(Deployments!M343="","",Deployments!M343)</f>
        <v/>
      </c>
      <c r="M355" s="20" t="n"/>
      <c r="N355" s="19">
        <f>IF(Deployments!N343="","",Deployments!N343)</f>
        <v/>
      </c>
      <c r="O355" s="19">
        <f>IF(Deployments!O343="","",Deployments!O343)</f>
        <v/>
      </c>
      <c r="P355" s="19">
        <f>IF(Deployments!P343="","",Deployments!P343)</f>
        <v/>
      </c>
      <c r="Q355" s="20" t="n"/>
      <c r="R355" s="19">
        <f>IF(Deployments!BT343="","",Deployments!BT343)</f>
        <v/>
      </c>
      <c r="S355" s="19">
        <f>IF(Deployments!BS343="","",Deployments!BS343)</f>
        <v/>
      </c>
      <c r="T355" s="19">
        <f>IF(Deployments!BB343="","",Deployments!BB343)</f>
        <v/>
      </c>
      <c r="U355" s="19">
        <f>IF(Deployments!BR343="","",Deployments!BR343)</f>
        <v/>
      </c>
      <c r="V355" s="19">
        <f>IF(Deployments!BX343="","",Deployments!BX343)</f>
        <v/>
      </c>
      <c r="W355" s="19">
        <f>IF(Deployments!BY343="","",Deployments!BY343)</f>
        <v/>
      </c>
      <c r="X355" s="19">
        <f>IF(Deployments!CC343="","",Deployments!CC343)</f>
        <v/>
      </c>
      <c r="Y355" s="19">
        <f>IF(Deployments!BW343="","",Deployments!BW343)</f>
        <v/>
      </c>
      <c r="Z355" s="19">
        <f>IF(Deployments!U343="","",Deployments!U343)</f>
        <v/>
      </c>
      <c r="AA355" s="19">
        <f>IF(Deployments!L343="","",Deployments!L343)</f>
        <v/>
      </c>
    </row>
    <row r="356">
      <c r="A356" s="20" t="n"/>
      <c r="B356" s="20" t="n"/>
      <c r="C356" s="19">
        <f>IF(Deployments!H344="","",Deployments!H344)</f>
        <v/>
      </c>
      <c r="D356" s="19">
        <f>IF(Deployments!AM344="","",Deployments!AM344)</f>
        <v/>
      </c>
      <c r="E356" s="19">
        <f>IF(Deployments!I344="","",Deployments!I344)</f>
        <v/>
      </c>
      <c r="F356" s="19">
        <f>IF(Deployments!J344="","",Deployments!J344)</f>
        <v/>
      </c>
      <c r="G356" s="19">
        <f>IF(Deployments!K344="","",Deployments!K344)</f>
        <v/>
      </c>
      <c r="H356" s="19">
        <f>IF(Deployments!A344="","",Deployments!A344)</f>
        <v/>
      </c>
      <c r="I356" s="19">
        <f>IF(Deployments!AN344="","",Deployments!AN344)</f>
        <v/>
      </c>
      <c r="J356" s="19">
        <f>IF(Deployments!AO344="","",Deployments!AO344)</f>
        <v/>
      </c>
      <c r="K356" s="19">
        <f>IF(Deployments!AI344="","",Deployments!AI344)</f>
        <v/>
      </c>
      <c r="L356" s="19">
        <f>IF(Deployments!M344="","",Deployments!M344)</f>
        <v/>
      </c>
      <c r="M356" s="20" t="n"/>
      <c r="N356" s="19">
        <f>IF(Deployments!N344="","",Deployments!N344)</f>
        <v/>
      </c>
      <c r="O356" s="19">
        <f>IF(Deployments!O344="","",Deployments!O344)</f>
        <v/>
      </c>
      <c r="P356" s="19">
        <f>IF(Deployments!P344="","",Deployments!P344)</f>
        <v/>
      </c>
      <c r="Q356" s="20" t="n"/>
      <c r="R356" s="19">
        <f>IF(Deployments!BT344="","",Deployments!BT344)</f>
        <v/>
      </c>
      <c r="S356" s="19">
        <f>IF(Deployments!BS344="","",Deployments!BS344)</f>
        <v/>
      </c>
      <c r="T356" s="19">
        <f>IF(Deployments!BB344="","",Deployments!BB344)</f>
        <v/>
      </c>
      <c r="U356" s="19">
        <f>IF(Deployments!BR344="","",Deployments!BR344)</f>
        <v/>
      </c>
      <c r="V356" s="19">
        <f>IF(Deployments!BX344="","",Deployments!BX344)</f>
        <v/>
      </c>
      <c r="W356" s="19">
        <f>IF(Deployments!BY344="","",Deployments!BY344)</f>
        <v/>
      </c>
      <c r="X356" s="19">
        <f>IF(Deployments!CC344="","",Deployments!CC344)</f>
        <v/>
      </c>
      <c r="Y356" s="19">
        <f>IF(Deployments!BW344="","",Deployments!BW344)</f>
        <v/>
      </c>
      <c r="Z356" s="19">
        <f>IF(Deployments!U344="","",Deployments!U344)</f>
        <v/>
      </c>
      <c r="AA356" s="19">
        <f>IF(Deployments!L344="","",Deployments!L344)</f>
        <v/>
      </c>
    </row>
    <row r="357">
      <c r="A357" s="20" t="n"/>
      <c r="B357" s="20" t="n"/>
      <c r="C357" s="19">
        <f>IF(Deployments!H345="","",Deployments!H345)</f>
        <v/>
      </c>
      <c r="D357" s="19">
        <f>IF(Deployments!AM345="","",Deployments!AM345)</f>
        <v/>
      </c>
      <c r="E357" s="19">
        <f>IF(Deployments!I345="","",Deployments!I345)</f>
        <v/>
      </c>
      <c r="F357" s="19">
        <f>IF(Deployments!J345="","",Deployments!J345)</f>
        <v/>
      </c>
      <c r="G357" s="19">
        <f>IF(Deployments!K345="","",Deployments!K345)</f>
        <v/>
      </c>
      <c r="H357" s="19">
        <f>IF(Deployments!A345="","",Deployments!A345)</f>
        <v/>
      </c>
      <c r="I357" s="19">
        <f>IF(Deployments!AN345="","",Deployments!AN345)</f>
        <v/>
      </c>
      <c r="J357" s="19">
        <f>IF(Deployments!AO345="","",Deployments!AO345)</f>
        <v/>
      </c>
      <c r="K357" s="19">
        <f>IF(Deployments!AI345="","",Deployments!AI345)</f>
        <v/>
      </c>
      <c r="L357" s="19">
        <f>IF(Deployments!M345="","",Deployments!M345)</f>
        <v/>
      </c>
      <c r="M357" s="20" t="n"/>
      <c r="N357" s="19">
        <f>IF(Deployments!N345="","",Deployments!N345)</f>
        <v/>
      </c>
      <c r="O357" s="19">
        <f>IF(Deployments!O345="","",Deployments!O345)</f>
        <v/>
      </c>
      <c r="P357" s="19">
        <f>IF(Deployments!P345="","",Deployments!P345)</f>
        <v/>
      </c>
      <c r="Q357" s="20" t="n"/>
      <c r="R357" s="19">
        <f>IF(Deployments!BT345="","",Deployments!BT345)</f>
        <v/>
      </c>
      <c r="S357" s="19">
        <f>IF(Deployments!BS345="","",Deployments!BS345)</f>
        <v/>
      </c>
      <c r="T357" s="19">
        <f>IF(Deployments!BB345="","",Deployments!BB345)</f>
        <v/>
      </c>
      <c r="U357" s="19">
        <f>IF(Deployments!BR345="","",Deployments!BR345)</f>
        <v/>
      </c>
      <c r="V357" s="19">
        <f>IF(Deployments!BX345="","",Deployments!BX345)</f>
        <v/>
      </c>
      <c r="W357" s="19">
        <f>IF(Deployments!BY345="","",Deployments!BY345)</f>
        <v/>
      </c>
      <c r="X357" s="19">
        <f>IF(Deployments!CC345="","",Deployments!CC345)</f>
        <v/>
      </c>
      <c r="Y357" s="19">
        <f>IF(Deployments!BW345="","",Deployments!BW345)</f>
        <v/>
      </c>
      <c r="Z357" s="19">
        <f>IF(Deployments!U345="","",Deployments!U345)</f>
        <v/>
      </c>
      <c r="AA357" s="19">
        <f>IF(Deployments!L345="","",Deployments!L345)</f>
        <v/>
      </c>
    </row>
    <row r="358">
      <c r="A358" s="20" t="n"/>
      <c r="B358" s="20" t="n"/>
      <c r="C358" s="19">
        <f>IF(Deployments!H346="","",Deployments!H346)</f>
        <v/>
      </c>
      <c r="D358" s="19">
        <f>IF(Deployments!AM346="","",Deployments!AM346)</f>
        <v/>
      </c>
      <c r="E358" s="19">
        <f>IF(Deployments!I346="","",Deployments!I346)</f>
        <v/>
      </c>
      <c r="F358" s="19">
        <f>IF(Deployments!J346="","",Deployments!J346)</f>
        <v/>
      </c>
      <c r="G358" s="19">
        <f>IF(Deployments!K346="","",Deployments!K346)</f>
        <v/>
      </c>
      <c r="H358" s="19">
        <f>IF(Deployments!A346="","",Deployments!A346)</f>
        <v/>
      </c>
      <c r="I358" s="19">
        <f>IF(Deployments!AN346="","",Deployments!AN346)</f>
        <v/>
      </c>
      <c r="J358" s="19">
        <f>IF(Deployments!AO346="","",Deployments!AO346)</f>
        <v/>
      </c>
      <c r="K358" s="19">
        <f>IF(Deployments!AI346="","",Deployments!AI346)</f>
        <v/>
      </c>
      <c r="L358" s="19">
        <f>IF(Deployments!M346="","",Deployments!M346)</f>
        <v/>
      </c>
      <c r="M358" s="20" t="n"/>
      <c r="N358" s="19">
        <f>IF(Deployments!N346="","",Deployments!N346)</f>
        <v/>
      </c>
      <c r="O358" s="19">
        <f>IF(Deployments!O346="","",Deployments!O346)</f>
        <v/>
      </c>
      <c r="P358" s="19">
        <f>IF(Deployments!P346="","",Deployments!P346)</f>
        <v/>
      </c>
      <c r="Q358" s="20" t="n"/>
      <c r="R358" s="19">
        <f>IF(Deployments!BT346="","",Deployments!BT346)</f>
        <v/>
      </c>
      <c r="S358" s="19">
        <f>IF(Deployments!BS346="","",Deployments!BS346)</f>
        <v/>
      </c>
      <c r="T358" s="19">
        <f>IF(Deployments!BB346="","",Deployments!BB346)</f>
        <v/>
      </c>
      <c r="U358" s="19">
        <f>IF(Deployments!BR346="","",Deployments!BR346)</f>
        <v/>
      </c>
      <c r="V358" s="19">
        <f>IF(Deployments!BX346="","",Deployments!BX346)</f>
        <v/>
      </c>
      <c r="W358" s="19">
        <f>IF(Deployments!BY346="","",Deployments!BY346)</f>
        <v/>
      </c>
      <c r="X358" s="19">
        <f>IF(Deployments!CC346="","",Deployments!CC346)</f>
        <v/>
      </c>
      <c r="Y358" s="19">
        <f>IF(Deployments!BW346="","",Deployments!BW346)</f>
        <v/>
      </c>
      <c r="Z358" s="19">
        <f>IF(Deployments!U346="","",Deployments!U346)</f>
        <v/>
      </c>
      <c r="AA358" s="19">
        <f>IF(Deployments!L346="","",Deployments!L346)</f>
        <v/>
      </c>
    </row>
    <row r="359">
      <c r="A359" s="20" t="n"/>
      <c r="B359" s="20" t="n"/>
      <c r="C359" s="19">
        <f>IF(Deployments!H347="","",Deployments!H347)</f>
        <v/>
      </c>
      <c r="D359" s="19">
        <f>IF(Deployments!AM347="","",Deployments!AM347)</f>
        <v/>
      </c>
      <c r="E359" s="19">
        <f>IF(Deployments!I347="","",Deployments!I347)</f>
        <v/>
      </c>
      <c r="F359" s="19">
        <f>IF(Deployments!J347="","",Deployments!J347)</f>
        <v/>
      </c>
      <c r="G359" s="19">
        <f>IF(Deployments!K347="","",Deployments!K347)</f>
        <v/>
      </c>
      <c r="H359" s="19">
        <f>IF(Deployments!A347="","",Deployments!A347)</f>
        <v/>
      </c>
      <c r="I359" s="19">
        <f>IF(Deployments!AN347="","",Deployments!AN347)</f>
        <v/>
      </c>
      <c r="J359" s="19">
        <f>IF(Deployments!AO347="","",Deployments!AO347)</f>
        <v/>
      </c>
      <c r="K359" s="19">
        <f>IF(Deployments!AI347="","",Deployments!AI347)</f>
        <v/>
      </c>
      <c r="L359" s="19">
        <f>IF(Deployments!M347="","",Deployments!M347)</f>
        <v/>
      </c>
      <c r="M359" s="20" t="n"/>
      <c r="N359" s="19">
        <f>IF(Deployments!N347="","",Deployments!N347)</f>
        <v/>
      </c>
      <c r="O359" s="19">
        <f>IF(Deployments!O347="","",Deployments!O347)</f>
        <v/>
      </c>
      <c r="P359" s="19">
        <f>IF(Deployments!P347="","",Deployments!P347)</f>
        <v/>
      </c>
      <c r="Q359" s="20" t="n"/>
      <c r="R359" s="19">
        <f>IF(Deployments!BT347="","",Deployments!BT347)</f>
        <v/>
      </c>
      <c r="S359" s="19">
        <f>IF(Deployments!BS347="","",Deployments!BS347)</f>
        <v/>
      </c>
      <c r="T359" s="19">
        <f>IF(Deployments!BB347="","",Deployments!BB347)</f>
        <v/>
      </c>
      <c r="U359" s="19">
        <f>IF(Deployments!BR347="","",Deployments!BR347)</f>
        <v/>
      </c>
      <c r="V359" s="19">
        <f>IF(Deployments!BX347="","",Deployments!BX347)</f>
        <v/>
      </c>
      <c r="W359" s="19">
        <f>IF(Deployments!BY347="","",Deployments!BY347)</f>
        <v/>
      </c>
      <c r="X359" s="19">
        <f>IF(Deployments!CC347="","",Deployments!CC347)</f>
        <v/>
      </c>
      <c r="Y359" s="19">
        <f>IF(Deployments!BW347="","",Deployments!BW347)</f>
        <v/>
      </c>
      <c r="Z359" s="19">
        <f>IF(Deployments!U347="","",Deployments!U347)</f>
        <v/>
      </c>
      <c r="AA359" s="19">
        <f>IF(Deployments!L347="","",Deployments!L347)</f>
        <v/>
      </c>
    </row>
    <row r="360">
      <c r="A360" s="20" t="n"/>
      <c r="B360" s="20" t="n"/>
      <c r="C360" s="19">
        <f>IF(Deployments!H348="","",Deployments!H348)</f>
        <v/>
      </c>
      <c r="D360" s="19">
        <f>IF(Deployments!AM348="","",Deployments!AM348)</f>
        <v/>
      </c>
      <c r="E360" s="19">
        <f>IF(Deployments!I348="","",Deployments!I348)</f>
        <v/>
      </c>
      <c r="F360" s="19">
        <f>IF(Deployments!J348="","",Deployments!J348)</f>
        <v/>
      </c>
      <c r="G360" s="19">
        <f>IF(Deployments!K348="","",Deployments!K348)</f>
        <v/>
      </c>
      <c r="H360" s="19">
        <f>IF(Deployments!A348="","",Deployments!A348)</f>
        <v/>
      </c>
      <c r="I360" s="19">
        <f>IF(Deployments!AN348="","",Deployments!AN348)</f>
        <v/>
      </c>
      <c r="J360" s="19">
        <f>IF(Deployments!AO348="","",Deployments!AO348)</f>
        <v/>
      </c>
      <c r="K360" s="19">
        <f>IF(Deployments!AI348="","",Deployments!AI348)</f>
        <v/>
      </c>
      <c r="L360" s="19">
        <f>IF(Deployments!M348="","",Deployments!M348)</f>
        <v/>
      </c>
      <c r="M360" s="20" t="n"/>
      <c r="N360" s="19">
        <f>IF(Deployments!N348="","",Deployments!N348)</f>
        <v/>
      </c>
      <c r="O360" s="19">
        <f>IF(Deployments!O348="","",Deployments!O348)</f>
        <v/>
      </c>
      <c r="P360" s="19">
        <f>IF(Deployments!P348="","",Deployments!P348)</f>
        <v/>
      </c>
      <c r="Q360" s="20" t="n"/>
      <c r="R360" s="19">
        <f>IF(Deployments!BT348="","",Deployments!BT348)</f>
        <v/>
      </c>
      <c r="S360" s="19">
        <f>IF(Deployments!BS348="","",Deployments!BS348)</f>
        <v/>
      </c>
      <c r="T360" s="19">
        <f>IF(Deployments!BB348="","",Deployments!BB348)</f>
        <v/>
      </c>
      <c r="U360" s="19">
        <f>IF(Deployments!BR348="","",Deployments!BR348)</f>
        <v/>
      </c>
      <c r="V360" s="19">
        <f>IF(Deployments!BX348="","",Deployments!BX348)</f>
        <v/>
      </c>
      <c r="W360" s="19">
        <f>IF(Deployments!BY348="","",Deployments!BY348)</f>
        <v/>
      </c>
      <c r="X360" s="19">
        <f>IF(Deployments!CC348="","",Deployments!CC348)</f>
        <v/>
      </c>
      <c r="Y360" s="19">
        <f>IF(Deployments!BW348="","",Deployments!BW348)</f>
        <v/>
      </c>
      <c r="Z360" s="19">
        <f>IF(Deployments!U348="","",Deployments!U348)</f>
        <v/>
      </c>
      <c r="AA360" s="19">
        <f>IF(Deployments!L348="","",Deployments!L348)</f>
        <v/>
      </c>
    </row>
    <row r="361">
      <c r="A361" s="20" t="n"/>
      <c r="B361" s="20" t="n"/>
      <c r="C361" s="19">
        <f>IF(Deployments!H349="","",Deployments!H349)</f>
        <v/>
      </c>
      <c r="D361" s="19">
        <f>IF(Deployments!AM349="","",Deployments!AM349)</f>
        <v/>
      </c>
      <c r="E361" s="19">
        <f>IF(Deployments!I349="","",Deployments!I349)</f>
        <v/>
      </c>
      <c r="F361" s="19">
        <f>IF(Deployments!J349="","",Deployments!J349)</f>
        <v/>
      </c>
      <c r="G361" s="19">
        <f>IF(Deployments!K349="","",Deployments!K349)</f>
        <v/>
      </c>
      <c r="H361" s="19">
        <f>IF(Deployments!A349="","",Deployments!A349)</f>
        <v/>
      </c>
      <c r="I361" s="19">
        <f>IF(Deployments!AN349="","",Deployments!AN349)</f>
        <v/>
      </c>
      <c r="J361" s="19">
        <f>IF(Deployments!AO349="","",Deployments!AO349)</f>
        <v/>
      </c>
      <c r="K361" s="19">
        <f>IF(Deployments!AI349="","",Deployments!AI349)</f>
        <v/>
      </c>
      <c r="L361" s="19">
        <f>IF(Deployments!M349="","",Deployments!M349)</f>
        <v/>
      </c>
      <c r="M361" s="20" t="n"/>
      <c r="N361" s="19">
        <f>IF(Deployments!N349="","",Deployments!N349)</f>
        <v/>
      </c>
      <c r="O361" s="19">
        <f>IF(Deployments!O349="","",Deployments!O349)</f>
        <v/>
      </c>
      <c r="P361" s="19">
        <f>IF(Deployments!P349="","",Deployments!P349)</f>
        <v/>
      </c>
      <c r="Q361" s="20" t="n"/>
      <c r="R361" s="19">
        <f>IF(Deployments!BT349="","",Deployments!BT349)</f>
        <v/>
      </c>
      <c r="S361" s="19">
        <f>IF(Deployments!BS349="","",Deployments!BS349)</f>
        <v/>
      </c>
      <c r="T361" s="19">
        <f>IF(Deployments!BB349="","",Deployments!BB349)</f>
        <v/>
      </c>
      <c r="U361" s="19">
        <f>IF(Deployments!BR349="","",Deployments!BR349)</f>
        <v/>
      </c>
      <c r="V361" s="19">
        <f>IF(Deployments!BX349="","",Deployments!BX349)</f>
        <v/>
      </c>
      <c r="W361" s="19">
        <f>IF(Deployments!BY349="","",Deployments!BY349)</f>
        <v/>
      </c>
      <c r="X361" s="19">
        <f>IF(Deployments!CC349="","",Deployments!CC349)</f>
        <v/>
      </c>
      <c r="Y361" s="19">
        <f>IF(Deployments!BW349="","",Deployments!BW349)</f>
        <v/>
      </c>
      <c r="Z361" s="19">
        <f>IF(Deployments!U349="","",Deployments!U349)</f>
        <v/>
      </c>
      <c r="AA361" s="19">
        <f>IF(Deployments!L349="","",Deployments!L349)</f>
        <v/>
      </c>
    </row>
    <row r="362">
      <c r="A362" s="20" t="n"/>
      <c r="B362" s="20" t="n"/>
      <c r="C362" s="19">
        <f>IF(Deployments!H350="","",Deployments!H350)</f>
        <v/>
      </c>
      <c r="D362" s="19">
        <f>IF(Deployments!AM350="","",Deployments!AM350)</f>
        <v/>
      </c>
      <c r="E362" s="19">
        <f>IF(Deployments!I350="","",Deployments!I350)</f>
        <v/>
      </c>
      <c r="F362" s="19">
        <f>IF(Deployments!J350="","",Deployments!J350)</f>
        <v/>
      </c>
      <c r="G362" s="19">
        <f>IF(Deployments!K350="","",Deployments!K350)</f>
        <v/>
      </c>
      <c r="H362" s="19">
        <f>IF(Deployments!A350="","",Deployments!A350)</f>
        <v/>
      </c>
      <c r="I362" s="19">
        <f>IF(Deployments!AN350="","",Deployments!AN350)</f>
        <v/>
      </c>
      <c r="J362" s="19">
        <f>IF(Deployments!AO350="","",Deployments!AO350)</f>
        <v/>
      </c>
      <c r="K362" s="19">
        <f>IF(Deployments!AI350="","",Deployments!AI350)</f>
        <v/>
      </c>
      <c r="L362" s="19">
        <f>IF(Deployments!M350="","",Deployments!M350)</f>
        <v/>
      </c>
      <c r="M362" s="20" t="n"/>
      <c r="N362" s="19">
        <f>IF(Deployments!N350="","",Deployments!N350)</f>
        <v/>
      </c>
      <c r="O362" s="19">
        <f>IF(Deployments!O350="","",Deployments!O350)</f>
        <v/>
      </c>
      <c r="P362" s="19">
        <f>IF(Deployments!P350="","",Deployments!P350)</f>
        <v/>
      </c>
      <c r="Q362" s="20" t="n"/>
      <c r="R362" s="19">
        <f>IF(Deployments!BT350="","",Deployments!BT350)</f>
        <v/>
      </c>
      <c r="S362" s="19">
        <f>IF(Deployments!BS350="","",Deployments!BS350)</f>
        <v/>
      </c>
      <c r="T362" s="19">
        <f>IF(Deployments!BB350="","",Deployments!BB350)</f>
        <v/>
      </c>
      <c r="U362" s="19">
        <f>IF(Deployments!BR350="","",Deployments!BR350)</f>
        <v/>
      </c>
      <c r="V362" s="19">
        <f>IF(Deployments!BX350="","",Deployments!BX350)</f>
        <v/>
      </c>
      <c r="W362" s="19">
        <f>IF(Deployments!BY350="","",Deployments!BY350)</f>
        <v/>
      </c>
      <c r="X362" s="19">
        <f>IF(Deployments!CC350="","",Deployments!CC350)</f>
        <v/>
      </c>
      <c r="Y362" s="19">
        <f>IF(Deployments!BW350="","",Deployments!BW350)</f>
        <v/>
      </c>
      <c r="Z362" s="19">
        <f>IF(Deployments!U350="","",Deployments!U350)</f>
        <v/>
      </c>
      <c r="AA362" s="19">
        <f>IF(Deployments!L350="","",Deployments!L350)</f>
        <v/>
      </c>
    </row>
    <row r="363">
      <c r="A363" s="20" t="n"/>
      <c r="B363" s="20" t="n"/>
      <c r="C363" s="19">
        <f>IF(Deployments!H351="","",Deployments!H351)</f>
        <v/>
      </c>
      <c r="D363" s="19">
        <f>IF(Deployments!AM351="","",Deployments!AM351)</f>
        <v/>
      </c>
      <c r="E363" s="19">
        <f>IF(Deployments!I351="","",Deployments!I351)</f>
        <v/>
      </c>
      <c r="F363" s="19">
        <f>IF(Deployments!J351="","",Deployments!J351)</f>
        <v/>
      </c>
      <c r="G363" s="19">
        <f>IF(Deployments!K351="","",Deployments!K351)</f>
        <v/>
      </c>
      <c r="H363" s="19">
        <f>IF(Deployments!A351="","",Deployments!A351)</f>
        <v/>
      </c>
      <c r="I363" s="19">
        <f>IF(Deployments!AN351="","",Deployments!AN351)</f>
        <v/>
      </c>
      <c r="J363" s="19">
        <f>IF(Deployments!AO351="","",Deployments!AO351)</f>
        <v/>
      </c>
      <c r="K363" s="19">
        <f>IF(Deployments!AI351="","",Deployments!AI351)</f>
        <v/>
      </c>
      <c r="L363" s="19">
        <f>IF(Deployments!M351="","",Deployments!M351)</f>
        <v/>
      </c>
      <c r="M363" s="20" t="n"/>
      <c r="N363" s="19">
        <f>IF(Deployments!N351="","",Deployments!N351)</f>
        <v/>
      </c>
      <c r="O363" s="19">
        <f>IF(Deployments!O351="","",Deployments!O351)</f>
        <v/>
      </c>
      <c r="P363" s="19">
        <f>IF(Deployments!P351="","",Deployments!P351)</f>
        <v/>
      </c>
      <c r="Q363" s="20" t="n"/>
      <c r="R363" s="19">
        <f>IF(Deployments!BT351="","",Deployments!BT351)</f>
        <v/>
      </c>
      <c r="S363" s="19">
        <f>IF(Deployments!BS351="","",Deployments!BS351)</f>
        <v/>
      </c>
      <c r="T363" s="19">
        <f>IF(Deployments!BB351="","",Deployments!BB351)</f>
        <v/>
      </c>
      <c r="U363" s="19">
        <f>IF(Deployments!BR351="","",Deployments!BR351)</f>
        <v/>
      </c>
      <c r="V363" s="19">
        <f>IF(Deployments!BX351="","",Deployments!BX351)</f>
        <v/>
      </c>
      <c r="W363" s="19">
        <f>IF(Deployments!BY351="","",Deployments!BY351)</f>
        <v/>
      </c>
      <c r="X363" s="19">
        <f>IF(Deployments!CC351="","",Deployments!CC351)</f>
        <v/>
      </c>
      <c r="Y363" s="19">
        <f>IF(Deployments!BW351="","",Deployments!BW351)</f>
        <v/>
      </c>
      <c r="Z363" s="19">
        <f>IF(Deployments!U351="","",Deployments!U351)</f>
        <v/>
      </c>
      <c r="AA363" s="19">
        <f>IF(Deployments!L351="","",Deployments!L351)</f>
        <v/>
      </c>
    </row>
    <row r="364">
      <c r="A364" s="20" t="n"/>
      <c r="B364" s="20" t="n"/>
      <c r="C364" s="19">
        <f>IF(Deployments!H352="","",Deployments!H352)</f>
        <v/>
      </c>
      <c r="D364" s="19">
        <f>IF(Deployments!AM352="","",Deployments!AM352)</f>
        <v/>
      </c>
      <c r="E364" s="19">
        <f>IF(Deployments!I352="","",Deployments!I352)</f>
        <v/>
      </c>
      <c r="F364" s="19">
        <f>IF(Deployments!J352="","",Deployments!J352)</f>
        <v/>
      </c>
      <c r="G364" s="19">
        <f>IF(Deployments!K352="","",Deployments!K352)</f>
        <v/>
      </c>
      <c r="H364" s="19">
        <f>IF(Deployments!A352="","",Deployments!A352)</f>
        <v/>
      </c>
      <c r="I364" s="19">
        <f>IF(Deployments!AN352="","",Deployments!AN352)</f>
        <v/>
      </c>
      <c r="J364" s="19">
        <f>IF(Deployments!AO352="","",Deployments!AO352)</f>
        <v/>
      </c>
      <c r="K364" s="19">
        <f>IF(Deployments!AI352="","",Deployments!AI352)</f>
        <v/>
      </c>
      <c r="L364" s="19">
        <f>IF(Deployments!M352="","",Deployments!M352)</f>
        <v/>
      </c>
      <c r="M364" s="20" t="n"/>
      <c r="N364" s="19">
        <f>IF(Deployments!N352="","",Deployments!N352)</f>
        <v/>
      </c>
      <c r="O364" s="19">
        <f>IF(Deployments!O352="","",Deployments!O352)</f>
        <v/>
      </c>
      <c r="P364" s="19">
        <f>IF(Deployments!P352="","",Deployments!P352)</f>
        <v/>
      </c>
      <c r="Q364" s="20" t="n"/>
      <c r="R364" s="19">
        <f>IF(Deployments!BT352="","",Deployments!BT352)</f>
        <v/>
      </c>
      <c r="S364" s="19">
        <f>IF(Deployments!BS352="","",Deployments!BS352)</f>
        <v/>
      </c>
      <c r="T364" s="19">
        <f>IF(Deployments!BB352="","",Deployments!BB352)</f>
        <v/>
      </c>
      <c r="U364" s="19">
        <f>IF(Deployments!BR352="","",Deployments!BR352)</f>
        <v/>
      </c>
      <c r="V364" s="19">
        <f>IF(Deployments!BX352="","",Deployments!BX352)</f>
        <v/>
      </c>
      <c r="W364" s="19">
        <f>IF(Deployments!BY352="","",Deployments!BY352)</f>
        <v/>
      </c>
      <c r="X364" s="19">
        <f>IF(Deployments!CC352="","",Deployments!CC352)</f>
        <v/>
      </c>
      <c r="Y364" s="19">
        <f>IF(Deployments!BW352="","",Deployments!BW352)</f>
        <v/>
      </c>
      <c r="Z364" s="19">
        <f>IF(Deployments!U352="","",Deployments!U352)</f>
        <v/>
      </c>
      <c r="AA364" s="19">
        <f>IF(Deployments!L352="","",Deployments!L352)</f>
        <v/>
      </c>
    </row>
    <row r="365">
      <c r="A365" s="20" t="n"/>
      <c r="B365" s="20" t="n"/>
      <c r="C365" s="19">
        <f>IF(Deployments!H353="","",Deployments!H353)</f>
        <v/>
      </c>
      <c r="D365" s="19">
        <f>IF(Deployments!AM353="","",Deployments!AM353)</f>
        <v/>
      </c>
      <c r="E365" s="19">
        <f>IF(Deployments!I353="","",Deployments!I353)</f>
        <v/>
      </c>
      <c r="F365" s="19">
        <f>IF(Deployments!J353="","",Deployments!J353)</f>
        <v/>
      </c>
      <c r="G365" s="19">
        <f>IF(Deployments!K353="","",Deployments!K353)</f>
        <v/>
      </c>
      <c r="H365" s="19">
        <f>IF(Deployments!A353="","",Deployments!A353)</f>
        <v/>
      </c>
      <c r="I365" s="19">
        <f>IF(Deployments!AN353="","",Deployments!AN353)</f>
        <v/>
      </c>
      <c r="J365" s="19">
        <f>IF(Deployments!AO353="","",Deployments!AO353)</f>
        <v/>
      </c>
      <c r="K365" s="19">
        <f>IF(Deployments!AI353="","",Deployments!AI353)</f>
        <v/>
      </c>
      <c r="L365" s="19">
        <f>IF(Deployments!M353="","",Deployments!M353)</f>
        <v/>
      </c>
      <c r="M365" s="20" t="n"/>
      <c r="N365" s="19">
        <f>IF(Deployments!N353="","",Deployments!N353)</f>
        <v/>
      </c>
      <c r="O365" s="19">
        <f>IF(Deployments!O353="","",Deployments!O353)</f>
        <v/>
      </c>
      <c r="P365" s="19">
        <f>IF(Deployments!P353="","",Deployments!P353)</f>
        <v/>
      </c>
      <c r="Q365" s="20" t="n"/>
      <c r="R365" s="19">
        <f>IF(Deployments!BT353="","",Deployments!BT353)</f>
        <v/>
      </c>
      <c r="S365" s="19">
        <f>IF(Deployments!BS353="","",Deployments!BS353)</f>
        <v/>
      </c>
      <c r="T365" s="19">
        <f>IF(Deployments!BB353="","",Deployments!BB353)</f>
        <v/>
      </c>
      <c r="U365" s="19">
        <f>IF(Deployments!BR353="","",Deployments!BR353)</f>
        <v/>
      </c>
      <c r="V365" s="19">
        <f>IF(Deployments!BX353="","",Deployments!BX353)</f>
        <v/>
      </c>
      <c r="W365" s="19">
        <f>IF(Deployments!BY353="","",Deployments!BY353)</f>
        <v/>
      </c>
      <c r="X365" s="19">
        <f>IF(Deployments!CC353="","",Deployments!CC353)</f>
        <v/>
      </c>
      <c r="Y365" s="19">
        <f>IF(Deployments!BW353="","",Deployments!BW353)</f>
        <v/>
      </c>
      <c r="Z365" s="19">
        <f>IF(Deployments!U353="","",Deployments!U353)</f>
        <v/>
      </c>
      <c r="AA365" s="19">
        <f>IF(Deployments!L353="","",Deployments!L353)</f>
        <v/>
      </c>
    </row>
    <row r="366">
      <c r="A366" s="20" t="n"/>
      <c r="B366" s="20" t="n"/>
      <c r="C366" s="19">
        <f>IF(Deployments!H354="","",Deployments!H354)</f>
        <v/>
      </c>
      <c r="D366" s="19">
        <f>IF(Deployments!AM354="","",Deployments!AM354)</f>
        <v/>
      </c>
      <c r="E366" s="19">
        <f>IF(Deployments!I354="","",Deployments!I354)</f>
        <v/>
      </c>
      <c r="F366" s="19">
        <f>IF(Deployments!J354="","",Deployments!J354)</f>
        <v/>
      </c>
      <c r="G366" s="19">
        <f>IF(Deployments!K354="","",Deployments!K354)</f>
        <v/>
      </c>
      <c r="H366" s="19">
        <f>IF(Deployments!A354="","",Deployments!A354)</f>
        <v/>
      </c>
      <c r="I366" s="19">
        <f>IF(Deployments!AN354="","",Deployments!AN354)</f>
        <v/>
      </c>
      <c r="J366" s="19">
        <f>IF(Deployments!AO354="","",Deployments!AO354)</f>
        <v/>
      </c>
      <c r="K366" s="19">
        <f>IF(Deployments!AI354="","",Deployments!AI354)</f>
        <v/>
      </c>
      <c r="L366" s="19">
        <f>IF(Deployments!M354="","",Deployments!M354)</f>
        <v/>
      </c>
      <c r="M366" s="20" t="n"/>
      <c r="N366" s="19">
        <f>IF(Deployments!N354="","",Deployments!N354)</f>
        <v/>
      </c>
      <c r="O366" s="19">
        <f>IF(Deployments!O354="","",Deployments!O354)</f>
        <v/>
      </c>
      <c r="P366" s="19">
        <f>IF(Deployments!P354="","",Deployments!P354)</f>
        <v/>
      </c>
      <c r="Q366" s="20" t="n"/>
      <c r="R366" s="19">
        <f>IF(Deployments!BT354="","",Deployments!BT354)</f>
        <v/>
      </c>
      <c r="S366" s="19">
        <f>IF(Deployments!BS354="","",Deployments!BS354)</f>
        <v/>
      </c>
      <c r="T366" s="19">
        <f>IF(Deployments!BB354="","",Deployments!BB354)</f>
        <v/>
      </c>
      <c r="U366" s="19">
        <f>IF(Deployments!BR354="","",Deployments!BR354)</f>
        <v/>
      </c>
      <c r="V366" s="19">
        <f>IF(Deployments!BX354="","",Deployments!BX354)</f>
        <v/>
      </c>
      <c r="W366" s="19">
        <f>IF(Deployments!BY354="","",Deployments!BY354)</f>
        <v/>
      </c>
      <c r="X366" s="19">
        <f>IF(Deployments!CC354="","",Deployments!CC354)</f>
        <v/>
      </c>
      <c r="Y366" s="19">
        <f>IF(Deployments!BW354="","",Deployments!BW354)</f>
        <v/>
      </c>
      <c r="Z366" s="19">
        <f>IF(Deployments!U354="","",Deployments!U354)</f>
        <v/>
      </c>
      <c r="AA366" s="19">
        <f>IF(Deployments!L354="","",Deployments!L354)</f>
        <v/>
      </c>
    </row>
    <row r="367">
      <c r="A367" s="20" t="n"/>
      <c r="B367" s="20" t="n"/>
      <c r="C367" s="19">
        <f>IF(Deployments!H355="","",Deployments!H355)</f>
        <v/>
      </c>
      <c r="D367" s="19">
        <f>IF(Deployments!AM355="","",Deployments!AM355)</f>
        <v/>
      </c>
      <c r="E367" s="19">
        <f>IF(Deployments!I355="","",Deployments!I355)</f>
        <v/>
      </c>
      <c r="F367" s="19">
        <f>IF(Deployments!J355="","",Deployments!J355)</f>
        <v/>
      </c>
      <c r="G367" s="19">
        <f>IF(Deployments!K355="","",Deployments!K355)</f>
        <v/>
      </c>
      <c r="H367" s="19">
        <f>IF(Deployments!A355="","",Deployments!A355)</f>
        <v/>
      </c>
      <c r="I367" s="19">
        <f>IF(Deployments!AN355="","",Deployments!AN355)</f>
        <v/>
      </c>
      <c r="J367" s="19">
        <f>IF(Deployments!AO355="","",Deployments!AO355)</f>
        <v/>
      </c>
      <c r="K367" s="19">
        <f>IF(Deployments!AI355="","",Deployments!AI355)</f>
        <v/>
      </c>
      <c r="L367" s="19">
        <f>IF(Deployments!M355="","",Deployments!M355)</f>
        <v/>
      </c>
      <c r="M367" s="20" t="n"/>
      <c r="N367" s="19">
        <f>IF(Deployments!N355="","",Deployments!N355)</f>
        <v/>
      </c>
      <c r="O367" s="19">
        <f>IF(Deployments!O355="","",Deployments!O355)</f>
        <v/>
      </c>
      <c r="P367" s="19">
        <f>IF(Deployments!P355="","",Deployments!P355)</f>
        <v/>
      </c>
      <c r="Q367" s="20" t="n"/>
      <c r="R367" s="19">
        <f>IF(Deployments!BT355="","",Deployments!BT355)</f>
        <v/>
      </c>
      <c r="S367" s="19">
        <f>IF(Deployments!BS355="","",Deployments!BS355)</f>
        <v/>
      </c>
      <c r="T367" s="19">
        <f>IF(Deployments!BB355="","",Deployments!BB355)</f>
        <v/>
      </c>
      <c r="U367" s="19">
        <f>IF(Deployments!BR355="","",Deployments!BR355)</f>
        <v/>
      </c>
      <c r="V367" s="19">
        <f>IF(Deployments!BX355="","",Deployments!BX355)</f>
        <v/>
      </c>
      <c r="W367" s="19">
        <f>IF(Deployments!BY355="","",Deployments!BY355)</f>
        <v/>
      </c>
      <c r="X367" s="19">
        <f>IF(Deployments!CC355="","",Deployments!CC355)</f>
        <v/>
      </c>
      <c r="Y367" s="19">
        <f>IF(Deployments!BW355="","",Deployments!BW355)</f>
        <v/>
      </c>
      <c r="Z367" s="19">
        <f>IF(Deployments!U355="","",Deployments!U355)</f>
        <v/>
      </c>
      <c r="AA367" s="19">
        <f>IF(Deployments!L355="","",Deployments!L355)</f>
        <v/>
      </c>
    </row>
    <row r="368">
      <c r="A368" s="20" t="n"/>
      <c r="B368" s="20" t="n"/>
      <c r="C368" s="19">
        <f>IF(Deployments!H356="","",Deployments!H356)</f>
        <v/>
      </c>
      <c r="D368" s="19">
        <f>IF(Deployments!AM356="","",Deployments!AM356)</f>
        <v/>
      </c>
      <c r="E368" s="19">
        <f>IF(Deployments!I356="","",Deployments!I356)</f>
        <v/>
      </c>
      <c r="F368" s="19">
        <f>IF(Deployments!J356="","",Deployments!J356)</f>
        <v/>
      </c>
      <c r="G368" s="19">
        <f>IF(Deployments!K356="","",Deployments!K356)</f>
        <v/>
      </c>
      <c r="H368" s="19">
        <f>IF(Deployments!A356="","",Deployments!A356)</f>
        <v/>
      </c>
      <c r="I368" s="19">
        <f>IF(Deployments!AN356="","",Deployments!AN356)</f>
        <v/>
      </c>
      <c r="J368" s="19">
        <f>IF(Deployments!AO356="","",Deployments!AO356)</f>
        <v/>
      </c>
      <c r="K368" s="19">
        <f>IF(Deployments!AI356="","",Deployments!AI356)</f>
        <v/>
      </c>
      <c r="L368" s="19">
        <f>IF(Deployments!M356="","",Deployments!M356)</f>
        <v/>
      </c>
      <c r="M368" s="20" t="n"/>
      <c r="N368" s="19">
        <f>IF(Deployments!N356="","",Deployments!N356)</f>
        <v/>
      </c>
      <c r="O368" s="19">
        <f>IF(Deployments!O356="","",Deployments!O356)</f>
        <v/>
      </c>
      <c r="P368" s="19">
        <f>IF(Deployments!P356="","",Deployments!P356)</f>
        <v/>
      </c>
      <c r="Q368" s="20" t="n"/>
      <c r="R368" s="19">
        <f>IF(Deployments!BT356="","",Deployments!BT356)</f>
        <v/>
      </c>
      <c r="S368" s="19">
        <f>IF(Deployments!BS356="","",Deployments!BS356)</f>
        <v/>
      </c>
      <c r="T368" s="19">
        <f>IF(Deployments!BB356="","",Deployments!BB356)</f>
        <v/>
      </c>
      <c r="U368" s="19">
        <f>IF(Deployments!BR356="","",Deployments!BR356)</f>
        <v/>
      </c>
      <c r="V368" s="19">
        <f>IF(Deployments!BX356="","",Deployments!BX356)</f>
        <v/>
      </c>
      <c r="W368" s="19">
        <f>IF(Deployments!BY356="","",Deployments!BY356)</f>
        <v/>
      </c>
      <c r="X368" s="19">
        <f>IF(Deployments!CC356="","",Deployments!CC356)</f>
        <v/>
      </c>
      <c r="Y368" s="19">
        <f>IF(Deployments!BW356="","",Deployments!BW356)</f>
        <v/>
      </c>
      <c r="Z368" s="19">
        <f>IF(Deployments!U356="","",Deployments!U356)</f>
        <v/>
      </c>
      <c r="AA368" s="19">
        <f>IF(Deployments!L356="","",Deployments!L356)</f>
        <v/>
      </c>
    </row>
    <row r="369">
      <c r="A369" s="20" t="n"/>
      <c r="B369" s="20" t="n"/>
      <c r="C369" s="19">
        <f>IF(Deployments!H357="","",Deployments!H357)</f>
        <v/>
      </c>
      <c r="D369" s="19">
        <f>IF(Deployments!AM357="","",Deployments!AM357)</f>
        <v/>
      </c>
      <c r="E369" s="19">
        <f>IF(Deployments!I357="","",Deployments!I357)</f>
        <v/>
      </c>
      <c r="F369" s="19">
        <f>IF(Deployments!J357="","",Deployments!J357)</f>
        <v/>
      </c>
      <c r="G369" s="19">
        <f>IF(Deployments!K357="","",Deployments!K357)</f>
        <v/>
      </c>
      <c r="H369" s="19">
        <f>IF(Deployments!A357="","",Deployments!A357)</f>
        <v/>
      </c>
      <c r="I369" s="19">
        <f>IF(Deployments!AN357="","",Deployments!AN357)</f>
        <v/>
      </c>
      <c r="J369" s="19">
        <f>IF(Deployments!AO357="","",Deployments!AO357)</f>
        <v/>
      </c>
      <c r="K369" s="19">
        <f>IF(Deployments!AI357="","",Deployments!AI357)</f>
        <v/>
      </c>
      <c r="L369" s="19">
        <f>IF(Deployments!M357="","",Deployments!M357)</f>
        <v/>
      </c>
      <c r="M369" s="20" t="n"/>
      <c r="N369" s="19">
        <f>IF(Deployments!N357="","",Deployments!N357)</f>
        <v/>
      </c>
      <c r="O369" s="19">
        <f>IF(Deployments!O357="","",Deployments!O357)</f>
        <v/>
      </c>
      <c r="P369" s="19">
        <f>IF(Deployments!P357="","",Deployments!P357)</f>
        <v/>
      </c>
      <c r="Q369" s="20" t="n"/>
      <c r="R369" s="19">
        <f>IF(Deployments!BT357="","",Deployments!BT357)</f>
        <v/>
      </c>
      <c r="S369" s="19">
        <f>IF(Deployments!BS357="","",Deployments!BS357)</f>
        <v/>
      </c>
      <c r="T369" s="19">
        <f>IF(Deployments!BB357="","",Deployments!BB357)</f>
        <v/>
      </c>
      <c r="U369" s="19">
        <f>IF(Deployments!BR357="","",Deployments!BR357)</f>
        <v/>
      </c>
      <c r="V369" s="19">
        <f>IF(Deployments!BX357="","",Deployments!BX357)</f>
        <v/>
      </c>
      <c r="W369" s="19">
        <f>IF(Deployments!BY357="","",Deployments!BY357)</f>
        <v/>
      </c>
      <c r="X369" s="19">
        <f>IF(Deployments!CC357="","",Deployments!CC357)</f>
        <v/>
      </c>
      <c r="Y369" s="19">
        <f>IF(Deployments!BW357="","",Deployments!BW357)</f>
        <v/>
      </c>
      <c r="Z369" s="19">
        <f>IF(Deployments!U357="","",Deployments!U357)</f>
        <v/>
      </c>
      <c r="AA369" s="19">
        <f>IF(Deployments!L357="","",Deployments!L357)</f>
        <v/>
      </c>
    </row>
    <row r="370">
      <c r="A370" s="20" t="n"/>
      <c r="B370" s="20" t="n"/>
      <c r="C370" s="19">
        <f>IF(Deployments!H358="","",Deployments!H358)</f>
        <v/>
      </c>
      <c r="D370" s="19">
        <f>IF(Deployments!AM358="","",Deployments!AM358)</f>
        <v/>
      </c>
      <c r="E370" s="19">
        <f>IF(Deployments!I358="","",Deployments!I358)</f>
        <v/>
      </c>
      <c r="F370" s="19">
        <f>IF(Deployments!J358="","",Deployments!J358)</f>
        <v/>
      </c>
      <c r="G370" s="19">
        <f>IF(Deployments!K358="","",Deployments!K358)</f>
        <v/>
      </c>
      <c r="H370" s="19">
        <f>IF(Deployments!A358="","",Deployments!A358)</f>
        <v/>
      </c>
      <c r="I370" s="19">
        <f>IF(Deployments!AN358="","",Deployments!AN358)</f>
        <v/>
      </c>
      <c r="J370" s="19">
        <f>IF(Deployments!AO358="","",Deployments!AO358)</f>
        <v/>
      </c>
      <c r="K370" s="19">
        <f>IF(Deployments!AI358="","",Deployments!AI358)</f>
        <v/>
      </c>
      <c r="L370" s="19">
        <f>IF(Deployments!M358="","",Deployments!M358)</f>
        <v/>
      </c>
      <c r="M370" s="20" t="n"/>
      <c r="N370" s="19">
        <f>IF(Deployments!N358="","",Deployments!N358)</f>
        <v/>
      </c>
      <c r="O370" s="19">
        <f>IF(Deployments!O358="","",Deployments!O358)</f>
        <v/>
      </c>
      <c r="P370" s="19">
        <f>IF(Deployments!P358="","",Deployments!P358)</f>
        <v/>
      </c>
      <c r="Q370" s="20" t="n"/>
      <c r="R370" s="19">
        <f>IF(Deployments!BT358="","",Deployments!BT358)</f>
        <v/>
      </c>
      <c r="S370" s="19">
        <f>IF(Deployments!BS358="","",Deployments!BS358)</f>
        <v/>
      </c>
      <c r="T370" s="19">
        <f>IF(Deployments!BB358="","",Deployments!BB358)</f>
        <v/>
      </c>
      <c r="U370" s="19">
        <f>IF(Deployments!BR358="","",Deployments!BR358)</f>
        <v/>
      </c>
      <c r="V370" s="19">
        <f>IF(Deployments!BX358="","",Deployments!BX358)</f>
        <v/>
      </c>
      <c r="W370" s="19">
        <f>IF(Deployments!BY358="","",Deployments!BY358)</f>
        <v/>
      </c>
      <c r="X370" s="19">
        <f>IF(Deployments!CC358="","",Deployments!CC358)</f>
        <v/>
      </c>
      <c r="Y370" s="19">
        <f>IF(Deployments!BW358="","",Deployments!BW358)</f>
        <v/>
      </c>
      <c r="Z370" s="19">
        <f>IF(Deployments!U358="","",Deployments!U358)</f>
        <v/>
      </c>
      <c r="AA370" s="19">
        <f>IF(Deployments!L358="","",Deployments!L358)</f>
        <v/>
      </c>
    </row>
    <row r="371">
      <c r="A371" s="20" t="n"/>
      <c r="B371" s="20" t="n"/>
      <c r="C371" s="19">
        <f>IF(Deployments!H359="","",Deployments!H359)</f>
        <v/>
      </c>
      <c r="D371" s="19">
        <f>IF(Deployments!AM359="","",Deployments!AM359)</f>
        <v/>
      </c>
      <c r="E371" s="19">
        <f>IF(Deployments!I359="","",Deployments!I359)</f>
        <v/>
      </c>
      <c r="F371" s="19">
        <f>IF(Deployments!J359="","",Deployments!J359)</f>
        <v/>
      </c>
      <c r="G371" s="19">
        <f>IF(Deployments!K359="","",Deployments!K359)</f>
        <v/>
      </c>
      <c r="H371" s="19">
        <f>IF(Deployments!A359="","",Deployments!A359)</f>
        <v/>
      </c>
      <c r="I371" s="19">
        <f>IF(Deployments!AN359="","",Deployments!AN359)</f>
        <v/>
      </c>
      <c r="J371" s="19">
        <f>IF(Deployments!AO359="","",Deployments!AO359)</f>
        <v/>
      </c>
      <c r="K371" s="19">
        <f>IF(Deployments!AI359="","",Deployments!AI359)</f>
        <v/>
      </c>
      <c r="L371" s="19">
        <f>IF(Deployments!M359="","",Deployments!M359)</f>
        <v/>
      </c>
      <c r="M371" s="20" t="n"/>
      <c r="N371" s="19">
        <f>IF(Deployments!N359="","",Deployments!N359)</f>
        <v/>
      </c>
      <c r="O371" s="19">
        <f>IF(Deployments!O359="","",Deployments!O359)</f>
        <v/>
      </c>
      <c r="P371" s="19">
        <f>IF(Deployments!P359="","",Deployments!P359)</f>
        <v/>
      </c>
      <c r="Q371" s="20" t="n"/>
      <c r="R371" s="19">
        <f>IF(Deployments!BT359="","",Deployments!BT359)</f>
        <v/>
      </c>
      <c r="S371" s="19">
        <f>IF(Deployments!BS359="","",Deployments!BS359)</f>
        <v/>
      </c>
      <c r="T371" s="19">
        <f>IF(Deployments!BB359="","",Deployments!BB359)</f>
        <v/>
      </c>
      <c r="U371" s="19">
        <f>IF(Deployments!BR359="","",Deployments!BR359)</f>
        <v/>
      </c>
      <c r="V371" s="19">
        <f>IF(Deployments!BX359="","",Deployments!BX359)</f>
        <v/>
      </c>
      <c r="W371" s="19">
        <f>IF(Deployments!BY359="","",Deployments!BY359)</f>
        <v/>
      </c>
      <c r="X371" s="19">
        <f>IF(Deployments!CC359="","",Deployments!CC359)</f>
        <v/>
      </c>
      <c r="Y371" s="19">
        <f>IF(Deployments!BW359="","",Deployments!BW359)</f>
        <v/>
      </c>
      <c r="Z371" s="19">
        <f>IF(Deployments!U359="","",Deployments!U359)</f>
        <v/>
      </c>
      <c r="AA371" s="19">
        <f>IF(Deployments!L359="","",Deployments!L359)</f>
        <v/>
      </c>
    </row>
    <row r="372">
      <c r="A372" s="20" t="n"/>
      <c r="B372" s="20" t="n"/>
      <c r="C372" s="19">
        <f>IF(Deployments!H360="","",Deployments!H360)</f>
        <v/>
      </c>
      <c r="D372" s="19">
        <f>IF(Deployments!AM360="","",Deployments!AM360)</f>
        <v/>
      </c>
      <c r="E372" s="19">
        <f>IF(Deployments!I360="","",Deployments!I360)</f>
        <v/>
      </c>
      <c r="F372" s="19">
        <f>IF(Deployments!J360="","",Deployments!J360)</f>
        <v/>
      </c>
      <c r="G372" s="19">
        <f>IF(Deployments!K360="","",Deployments!K360)</f>
        <v/>
      </c>
      <c r="H372" s="19">
        <f>IF(Deployments!A360="","",Deployments!A360)</f>
        <v/>
      </c>
      <c r="I372" s="19">
        <f>IF(Deployments!AN360="","",Deployments!AN360)</f>
        <v/>
      </c>
      <c r="J372" s="19">
        <f>IF(Deployments!AO360="","",Deployments!AO360)</f>
        <v/>
      </c>
      <c r="K372" s="19">
        <f>IF(Deployments!AI360="","",Deployments!AI360)</f>
        <v/>
      </c>
      <c r="L372" s="19">
        <f>IF(Deployments!M360="","",Deployments!M360)</f>
        <v/>
      </c>
      <c r="M372" s="20" t="n"/>
      <c r="N372" s="19">
        <f>IF(Deployments!N360="","",Deployments!N360)</f>
        <v/>
      </c>
      <c r="O372" s="19">
        <f>IF(Deployments!O360="","",Deployments!O360)</f>
        <v/>
      </c>
      <c r="P372" s="19">
        <f>IF(Deployments!P360="","",Deployments!P360)</f>
        <v/>
      </c>
      <c r="Q372" s="20" t="n"/>
      <c r="R372" s="19">
        <f>IF(Deployments!BT360="","",Deployments!BT360)</f>
        <v/>
      </c>
      <c r="S372" s="19">
        <f>IF(Deployments!BS360="","",Deployments!BS360)</f>
        <v/>
      </c>
      <c r="T372" s="19">
        <f>IF(Deployments!BB360="","",Deployments!BB360)</f>
        <v/>
      </c>
      <c r="U372" s="19">
        <f>IF(Deployments!BR360="","",Deployments!BR360)</f>
        <v/>
      </c>
      <c r="V372" s="19">
        <f>IF(Deployments!BX360="","",Deployments!BX360)</f>
        <v/>
      </c>
      <c r="W372" s="19">
        <f>IF(Deployments!BY360="","",Deployments!BY360)</f>
        <v/>
      </c>
      <c r="X372" s="19">
        <f>IF(Deployments!CC360="","",Deployments!CC360)</f>
        <v/>
      </c>
      <c r="Y372" s="19">
        <f>IF(Deployments!BW360="","",Deployments!BW360)</f>
        <v/>
      </c>
      <c r="Z372" s="19">
        <f>IF(Deployments!U360="","",Deployments!U360)</f>
        <v/>
      </c>
      <c r="AA372" s="19">
        <f>IF(Deployments!L360="","",Deployments!L360)</f>
        <v/>
      </c>
    </row>
    <row r="373">
      <c r="A373" s="20" t="n"/>
      <c r="B373" s="20" t="n"/>
      <c r="C373" s="19">
        <f>IF(Deployments!H361="","",Deployments!H361)</f>
        <v/>
      </c>
      <c r="D373" s="19">
        <f>IF(Deployments!AM361="","",Deployments!AM361)</f>
        <v/>
      </c>
      <c r="E373" s="19">
        <f>IF(Deployments!I361="","",Deployments!I361)</f>
        <v/>
      </c>
      <c r="F373" s="19">
        <f>IF(Deployments!J361="","",Deployments!J361)</f>
        <v/>
      </c>
      <c r="G373" s="19">
        <f>IF(Deployments!K361="","",Deployments!K361)</f>
        <v/>
      </c>
      <c r="H373" s="19">
        <f>IF(Deployments!A361="","",Deployments!A361)</f>
        <v/>
      </c>
      <c r="I373" s="19">
        <f>IF(Deployments!AN361="","",Deployments!AN361)</f>
        <v/>
      </c>
      <c r="J373" s="19">
        <f>IF(Deployments!AO361="","",Deployments!AO361)</f>
        <v/>
      </c>
      <c r="K373" s="19">
        <f>IF(Deployments!AI361="","",Deployments!AI361)</f>
        <v/>
      </c>
      <c r="L373" s="19">
        <f>IF(Deployments!M361="","",Deployments!M361)</f>
        <v/>
      </c>
      <c r="M373" s="20" t="n"/>
      <c r="N373" s="19">
        <f>IF(Deployments!N361="","",Deployments!N361)</f>
        <v/>
      </c>
      <c r="O373" s="19">
        <f>IF(Deployments!O361="","",Deployments!O361)</f>
        <v/>
      </c>
      <c r="P373" s="19">
        <f>IF(Deployments!P361="","",Deployments!P361)</f>
        <v/>
      </c>
      <c r="Q373" s="20" t="n"/>
      <c r="R373" s="19">
        <f>IF(Deployments!BT361="","",Deployments!BT361)</f>
        <v/>
      </c>
      <c r="S373" s="19">
        <f>IF(Deployments!BS361="","",Deployments!BS361)</f>
        <v/>
      </c>
      <c r="T373" s="19">
        <f>IF(Deployments!BB361="","",Deployments!BB361)</f>
        <v/>
      </c>
      <c r="U373" s="19">
        <f>IF(Deployments!BR361="","",Deployments!BR361)</f>
        <v/>
      </c>
      <c r="V373" s="19">
        <f>IF(Deployments!BX361="","",Deployments!BX361)</f>
        <v/>
      </c>
      <c r="W373" s="19">
        <f>IF(Deployments!BY361="","",Deployments!BY361)</f>
        <v/>
      </c>
      <c r="X373" s="19">
        <f>IF(Deployments!CC361="","",Deployments!CC361)</f>
        <v/>
      </c>
      <c r="Y373" s="19">
        <f>IF(Deployments!BW361="","",Deployments!BW361)</f>
        <v/>
      </c>
      <c r="Z373" s="19">
        <f>IF(Deployments!U361="","",Deployments!U361)</f>
        <v/>
      </c>
      <c r="AA373" s="19">
        <f>IF(Deployments!L361="","",Deployments!L361)</f>
        <v/>
      </c>
    </row>
    <row r="374">
      <c r="A374" s="20" t="n"/>
      <c r="B374" s="20" t="n"/>
      <c r="C374" s="19">
        <f>IF(Deployments!H362="","",Deployments!H362)</f>
        <v/>
      </c>
      <c r="D374" s="19">
        <f>IF(Deployments!AM362="","",Deployments!AM362)</f>
        <v/>
      </c>
      <c r="E374" s="19">
        <f>IF(Deployments!I362="","",Deployments!I362)</f>
        <v/>
      </c>
      <c r="F374" s="19">
        <f>IF(Deployments!J362="","",Deployments!J362)</f>
        <v/>
      </c>
      <c r="G374" s="19">
        <f>IF(Deployments!K362="","",Deployments!K362)</f>
        <v/>
      </c>
      <c r="H374" s="19">
        <f>IF(Deployments!A362="","",Deployments!A362)</f>
        <v/>
      </c>
      <c r="I374" s="19">
        <f>IF(Deployments!AN362="","",Deployments!AN362)</f>
        <v/>
      </c>
      <c r="J374" s="19">
        <f>IF(Deployments!AO362="","",Deployments!AO362)</f>
        <v/>
      </c>
      <c r="K374" s="19">
        <f>IF(Deployments!AI362="","",Deployments!AI362)</f>
        <v/>
      </c>
      <c r="L374" s="19">
        <f>IF(Deployments!M362="","",Deployments!M362)</f>
        <v/>
      </c>
      <c r="M374" s="20" t="n"/>
      <c r="N374" s="19">
        <f>IF(Deployments!N362="","",Deployments!N362)</f>
        <v/>
      </c>
      <c r="O374" s="19">
        <f>IF(Deployments!O362="","",Deployments!O362)</f>
        <v/>
      </c>
      <c r="P374" s="19">
        <f>IF(Deployments!P362="","",Deployments!P362)</f>
        <v/>
      </c>
      <c r="Q374" s="20" t="n"/>
      <c r="R374" s="19">
        <f>IF(Deployments!BT362="","",Deployments!BT362)</f>
        <v/>
      </c>
      <c r="S374" s="19">
        <f>IF(Deployments!BS362="","",Deployments!BS362)</f>
        <v/>
      </c>
      <c r="T374" s="19">
        <f>IF(Deployments!BB362="","",Deployments!BB362)</f>
        <v/>
      </c>
      <c r="U374" s="19">
        <f>IF(Deployments!BR362="","",Deployments!BR362)</f>
        <v/>
      </c>
      <c r="V374" s="19">
        <f>IF(Deployments!BX362="","",Deployments!BX362)</f>
        <v/>
      </c>
      <c r="W374" s="19">
        <f>IF(Deployments!BY362="","",Deployments!BY362)</f>
        <v/>
      </c>
      <c r="X374" s="19">
        <f>IF(Deployments!CC362="","",Deployments!CC362)</f>
        <v/>
      </c>
      <c r="Y374" s="19">
        <f>IF(Deployments!BW362="","",Deployments!BW362)</f>
        <v/>
      </c>
      <c r="Z374" s="19">
        <f>IF(Deployments!U362="","",Deployments!U362)</f>
        <v/>
      </c>
      <c r="AA374" s="19">
        <f>IF(Deployments!L362="","",Deployments!L362)</f>
        <v/>
      </c>
    </row>
    <row r="375">
      <c r="A375" s="20" t="n"/>
      <c r="B375" s="20" t="n"/>
      <c r="C375" s="19">
        <f>IF(Deployments!H363="","",Deployments!H363)</f>
        <v/>
      </c>
      <c r="D375" s="19">
        <f>IF(Deployments!AM363="","",Deployments!AM363)</f>
        <v/>
      </c>
      <c r="E375" s="19">
        <f>IF(Deployments!I363="","",Deployments!I363)</f>
        <v/>
      </c>
      <c r="F375" s="19">
        <f>IF(Deployments!J363="","",Deployments!J363)</f>
        <v/>
      </c>
      <c r="G375" s="19">
        <f>IF(Deployments!K363="","",Deployments!K363)</f>
        <v/>
      </c>
      <c r="H375" s="19">
        <f>IF(Deployments!A363="","",Deployments!A363)</f>
        <v/>
      </c>
      <c r="I375" s="19">
        <f>IF(Deployments!AN363="","",Deployments!AN363)</f>
        <v/>
      </c>
      <c r="J375" s="19">
        <f>IF(Deployments!AO363="","",Deployments!AO363)</f>
        <v/>
      </c>
      <c r="K375" s="19">
        <f>IF(Deployments!AI363="","",Deployments!AI363)</f>
        <v/>
      </c>
      <c r="L375" s="19">
        <f>IF(Deployments!M363="","",Deployments!M363)</f>
        <v/>
      </c>
      <c r="M375" s="20" t="n"/>
      <c r="N375" s="19">
        <f>IF(Deployments!N363="","",Deployments!N363)</f>
        <v/>
      </c>
      <c r="O375" s="19">
        <f>IF(Deployments!O363="","",Deployments!O363)</f>
        <v/>
      </c>
      <c r="P375" s="19">
        <f>IF(Deployments!P363="","",Deployments!P363)</f>
        <v/>
      </c>
      <c r="Q375" s="20" t="n"/>
      <c r="R375" s="19">
        <f>IF(Deployments!BT363="","",Deployments!BT363)</f>
        <v/>
      </c>
      <c r="S375" s="19">
        <f>IF(Deployments!BS363="","",Deployments!BS363)</f>
        <v/>
      </c>
      <c r="T375" s="19">
        <f>IF(Deployments!BB363="","",Deployments!BB363)</f>
        <v/>
      </c>
      <c r="U375" s="19">
        <f>IF(Deployments!BR363="","",Deployments!BR363)</f>
        <v/>
      </c>
      <c r="V375" s="19">
        <f>IF(Deployments!BX363="","",Deployments!BX363)</f>
        <v/>
      </c>
      <c r="W375" s="19">
        <f>IF(Deployments!BY363="","",Deployments!BY363)</f>
        <v/>
      </c>
      <c r="X375" s="19">
        <f>IF(Deployments!CC363="","",Deployments!CC363)</f>
        <v/>
      </c>
      <c r="Y375" s="19">
        <f>IF(Deployments!BW363="","",Deployments!BW363)</f>
        <v/>
      </c>
      <c r="Z375" s="19">
        <f>IF(Deployments!U363="","",Deployments!U363)</f>
        <v/>
      </c>
      <c r="AA375" s="19">
        <f>IF(Deployments!L363="","",Deployments!L363)</f>
        <v/>
      </c>
    </row>
    <row r="376">
      <c r="A376" s="20" t="n"/>
      <c r="B376" s="20" t="n"/>
      <c r="C376" s="19">
        <f>IF(Deployments!H364="","",Deployments!H364)</f>
        <v/>
      </c>
      <c r="D376" s="19">
        <f>IF(Deployments!AM364="","",Deployments!AM364)</f>
        <v/>
      </c>
      <c r="E376" s="19">
        <f>IF(Deployments!I364="","",Deployments!I364)</f>
        <v/>
      </c>
      <c r="F376" s="19">
        <f>IF(Deployments!J364="","",Deployments!J364)</f>
        <v/>
      </c>
      <c r="G376" s="19">
        <f>IF(Deployments!K364="","",Deployments!K364)</f>
        <v/>
      </c>
      <c r="H376" s="19">
        <f>IF(Deployments!A364="","",Deployments!A364)</f>
        <v/>
      </c>
      <c r="I376" s="19">
        <f>IF(Deployments!AN364="","",Deployments!AN364)</f>
        <v/>
      </c>
      <c r="J376" s="19">
        <f>IF(Deployments!AO364="","",Deployments!AO364)</f>
        <v/>
      </c>
      <c r="K376" s="19">
        <f>IF(Deployments!AI364="","",Deployments!AI364)</f>
        <v/>
      </c>
      <c r="L376" s="19">
        <f>IF(Deployments!M364="","",Deployments!M364)</f>
        <v/>
      </c>
      <c r="M376" s="20" t="n"/>
      <c r="N376" s="19">
        <f>IF(Deployments!N364="","",Deployments!N364)</f>
        <v/>
      </c>
      <c r="O376" s="19">
        <f>IF(Deployments!O364="","",Deployments!O364)</f>
        <v/>
      </c>
      <c r="P376" s="19">
        <f>IF(Deployments!P364="","",Deployments!P364)</f>
        <v/>
      </c>
      <c r="Q376" s="20" t="n"/>
      <c r="R376" s="19">
        <f>IF(Deployments!BT364="","",Deployments!BT364)</f>
        <v/>
      </c>
      <c r="S376" s="19">
        <f>IF(Deployments!BS364="","",Deployments!BS364)</f>
        <v/>
      </c>
      <c r="T376" s="19">
        <f>IF(Deployments!BB364="","",Deployments!BB364)</f>
        <v/>
      </c>
      <c r="U376" s="19">
        <f>IF(Deployments!BR364="","",Deployments!BR364)</f>
        <v/>
      </c>
      <c r="V376" s="19">
        <f>IF(Deployments!BX364="","",Deployments!BX364)</f>
        <v/>
      </c>
      <c r="W376" s="19">
        <f>IF(Deployments!BY364="","",Deployments!BY364)</f>
        <v/>
      </c>
      <c r="X376" s="19">
        <f>IF(Deployments!CC364="","",Deployments!CC364)</f>
        <v/>
      </c>
      <c r="Y376" s="19">
        <f>IF(Deployments!BW364="","",Deployments!BW364)</f>
        <v/>
      </c>
      <c r="Z376" s="19">
        <f>IF(Deployments!U364="","",Deployments!U364)</f>
        <v/>
      </c>
      <c r="AA376" s="19">
        <f>IF(Deployments!L364="","",Deployments!L364)</f>
        <v/>
      </c>
    </row>
    <row r="377">
      <c r="A377" s="20" t="n"/>
      <c r="B377" s="20" t="n"/>
      <c r="C377" s="19">
        <f>IF(Deployments!H365="","",Deployments!H365)</f>
        <v/>
      </c>
      <c r="D377" s="19">
        <f>IF(Deployments!AM365="","",Deployments!AM365)</f>
        <v/>
      </c>
      <c r="E377" s="19">
        <f>IF(Deployments!I365="","",Deployments!I365)</f>
        <v/>
      </c>
      <c r="F377" s="19">
        <f>IF(Deployments!J365="","",Deployments!J365)</f>
        <v/>
      </c>
      <c r="G377" s="19">
        <f>IF(Deployments!K365="","",Deployments!K365)</f>
        <v/>
      </c>
      <c r="H377" s="19">
        <f>IF(Deployments!A365="","",Deployments!A365)</f>
        <v/>
      </c>
      <c r="I377" s="19">
        <f>IF(Deployments!AN365="","",Deployments!AN365)</f>
        <v/>
      </c>
      <c r="J377" s="19">
        <f>IF(Deployments!AO365="","",Deployments!AO365)</f>
        <v/>
      </c>
      <c r="K377" s="19">
        <f>IF(Deployments!AI365="","",Deployments!AI365)</f>
        <v/>
      </c>
      <c r="L377" s="19">
        <f>IF(Deployments!M365="","",Deployments!M365)</f>
        <v/>
      </c>
      <c r="M377" s="20" t="n"/>
      <c r="N377" s="19">
        <f>IF(Deployments!N365="","",Deployments!N365)</f>
        <v/>
      </c>
      <c r="O377" s="19">
        <f>IF(Deployments!O365="","",Deployments!O365)</f>
        <v/>
      </c>
      <c r="P377" s="19">
        <f>IF(Deployments!P365="","",Deployments!P365)</f>
        <v/>
      </c>
      <c r="Q377" s="20" t="n"/>
      <c r="R377" s="19">
        <f>IF(Deployments!BT365="","",Deployments!BT365)</f>
        <v/>
      </c>
      <c r="S377" s="19">
        <f>IF(Deployments!BS365="","",Deployments!BS365)</f>
        <v/>
      </c>
      <c r="T377" s="19">
        <f>IF(Deployments!BB365="","",Deployments!BB365)</f>
        <v/>
      </c>
      <c r="U377" s="19">
        <f>IF(Deployments!BR365="","",Deployments!BR365)</f>
        <v/>
      </c>
      <c r="V377" s="19">
        <f>IF(Deployments!BX365="","",Deployments!BX365)</f>
        <v/>
      </c>
      <c r="W377" s="19">
        <f>IF(Deployments!BY365="","",Deployments!BY365)</f>
        <v/>
      </c>
      <c r="X377" s="19">
        <f>IF(Deployments!CC365="","",Deployments!CC365)</f>
        <v/>
      </c>
      <c r="Y377" s="19">
        <f>IF(Deployments!BW365="","",Deployments!BW365)</f>
        <v/>
      </c>
      <c r="Z377" s="19">
        <f>IF(Deployments!U365="","",Deployments!U365)</f>
        <v/>
      </c>
      <c r="AA377" s="19">
        <f>IF(Deployments!L365="","",Deployments!L365)</f>
        <v/>
      </c>
    </row>
    <row r="378">
      <c r="A378" s="20" t="n"/>
      <c r="B378" s="20" t="n"/>
      <c r="C378" s="19">
        <f>IF(Deployments!H366="","",Deployments!H366)</f>
        <v/>
      </c>
      <c r="D378" s="19">
        <f>IF(Deployments!AM366="","",Deployments!AM366)</f>
        <v/>
      </c>
      <c r="E378" s="19">
        <f>IF(Deployments!I366="","",Deployments!I366)</f>
        <v/>
      </c>
      <c r="F378" s="19">
        <f>IF(Deployments!J366="","",Deployments!J366)</f>
        <v/>
      </c>
      <c r="G378" s="19">
        <f>IF(Deployments!K366="","",Deployments!K366)</f>
        <v/>
      </c>
      <c r="H378" s="19">
        <f>IF(Deployments!A366="","",Deployments!A366)</f>
        <v/>
      </c>
      <c r="I378" s="19">
        <f>IF(Deployments!AN366="","",Deployments!AN366)</f>
        <v/>
      </c>
      <c r="J378" s="19">
        <f>IF(Deployments!AO366="","",Deployments!AO366)</f>
        <v/>
      </c>
      <c r="K378" s="19">
        <f>IF(Deployments!AI366="","",Deployments!AI366)</f>
        <v/>
      </c>
      <c r="L378" s="19">
        <f>IF(Deployments!M366="","",Deployments!M366)</f>
        <v/>
      </c>
      <c r="M378" s="20" t="n"/>
      <c r="N378" s="19">
        <f>IF(Deployments!N366="","",Deployments!N366)</f>
        <v/>
      </c>
      <c r="O378" s="19">
        <f>IF(Deployments!O366="","",Deployments!O366)</f>
        <v/>
      </c>
      <c r="P378" s="19">
        <f>IF(Deployments!P366="","",Deployments!P366)</f>
        <v/>
      </c>
      <c r="Q378" s="20" t="n"/>
      <c r="R378" s="19">
        <f>IF(Deployments!BT366="","",Deployments!BT366)</f>
        <v/>
      </c>
      <c r="S378" s="19">
        <f>IF(Deployments!BS366="","",Deployments!BS366)</f>
        <v/>
      </c>
      <c r="T378" s="19">
        <f>IF(Deployments!BB366="","",Deployments!BB366)</f>
        <v/>
      </c>
      <c r="U378" s="19">
        <f>IF(Deployments!BR366="","",Deployments!BR366)</f>
        <v/>
      </c>
      <c r="V378" s="19">
        <f>IF(Deployments!BX366="","",Deployments!BX366)</f>
        <v/>
      </c>
      <c r="W378" s="19">
        <f>IF(Deployments!BY366="","",Deployments!BY366)</f>
        <v/>
      </c>
      <c r="X378" s="19">
        <f>IF(Deployments!CC366="","",Deployments!CC366)</f>
        <v/>
      </c>
      <c r="Y378" s="19">
        <f>IF(Deployments!BW366="","",Deployments!BW366)</f>
        <v/>
      </c>
      <c r="Z378" s="19">
        <f>IF(Deployments!U366="","",Deployments!U366)</f>
        <v/>
      </c>
      <c r="AA378" s="19">
        <f>IF(Deployments!L366="","",Deployments!L366)</f>
        <v/>
      </c>
    </row>
    <row r="379">
      <c r="A379" s="20" t="n"/>
      <c r="B379" s="20" t="n"/>
      <c r="C379" s="19">
        <f>IF(Deployments!H367="","",Deployments!H367)</f>
        <v/>
      </c>
      <c r="D379" s="19">
        <f>IF(Deployments!AM367="","",Deployments!AM367)</f>
        <v/>
      </c>
      <c r="E379" s="19">
        <f>IF(Deployments!I367="","",Deployments!I367)</f>
        <v/>
      </c>
      <c r="F379" s="19">
        <f>IF(Deployments!J367="","",Deployments!J367)</f>
        <v/>
      </c>
      <c r="G379" s="19">
        <f>IF(Deployments!K367="","",Deployments!K367)</f>
        <v/>
      </c>
      <c r="H379" s="19">
        <f>IF(Deployments!A367="","",Deployments!A367)</f>
        <v/>
      </c>
      <c r="I379" s="19">
        <f>IF(Deployments!AN367="","",Deployments!AN367)</f>
        <v/>
      </c>
      <c r="J379" s="19">
        <f>IF(Deployments!AO367="","",Deployments!AO367)</f>
        <v/>
      </c>
      <c r="K379" s="19">
        <f>IF(Deployments!AI367="","",Deployments!AI367)</f>
        <v/>
      </c>
      <c r="L379" s="19">
        <f>IF(Deployments!M367="","",Deployments!M367)</f>
        <v/>
      </c>
      <c r="M379" s="20" t="n"/>
      <c r="N379" s="19">
        <f>IF(Deployments!N367="","",Deployments!N367)</f>
        <v/>
      </c>
      <c r="O379" s="19">
        <f>IF(Deployments!O367="","",Deployments!O367)</f>
        <v/>
      </c>
      <c r="P379" s="19">
        <f>IF(Deployments!P367="","",Deployments!P367)</f>
        <v/>
      </c>
      <c r="Q379" s="20" t="n"/>
      <c r="R379" s="19">
        <f>IF(Deployments!BT367="","",Deployments!BT367)</f>
        <v/>
      </c>
      <c r="S379" s="19">
        <f>IF(Deployments!BS367="","",Deployments!BS367)</f>
        <v/>
      </c>
      <c r="T379" s="19">
        <f>IF(Deployments!BB367="","",Deployments!BB367)</f>
        <v/>
      </c>
      <c r="U379" s="19">
        <f>IF(Deployments!BR367="","",Deployments!BR367)</f>
        <v/>
      </c>
      <c r="V379" s="19">
        <f>IF(Deployments!BX367="","",Deployments!BX367)</f>
        <v/>
      </c>
      <c r="W379" s="19">
        <f>IF(Deployments!BY367="","",Deployments!BY367)</f>
        <v/>
      </c>
      <c r="X379" s="19">
        <f>IF(Deployments!CC367="","",Deployments!CC367)</f>
        <v/>
      </c>
      <c r="Y379" s="19">
        <f>IF(Deployments!BW367="","",Deployments!BW367)</f>
        <v/>
      </c>
      <c r="Z379" s="19">
        <f>IF(Deployments!U367="","",Deployments!U367)</f>
        <v/>
      </c>
      <c r="AA379" s="19">
        <f>IF(Deployments!L367="","",Deployments!L367)</f>
        <v/>
      </c>
    </row>
    <row r="380">
      <c r="A380" s="20" t="n"/>
      <c r="B380" s="20" t="n"/>
      <c r="C380" s="19">
        <f>IF(Deployments!H368="","",Deployments!H368)</f>
        <v/>
      </c>
      <c r="D380" s="19">
        <f>IF(Deployments!AM368="","",Deployments!AM368)</f>
        <v/>
      </c>
      <c r="E380" s="19">
        <f>IF(Deployments!I368="","",Deployments!I368)</f>
        <v/>
      </c>
      <c r="F380" s="19">
        <f>IF(Deployments!J368="","",Deployments!J368)</f>
        <v/>
      </c>
      <c r="G380" s="19">
        <f>IF(Deployments!K368="","",Deployments!K368)</f>
        <v/>
      </c>
      <c r="H380" s="19">
        <f>IF(Deployments!A368="","",Deployments!A368)</f>
        <v/>
      </c>
      <c r="I380" s="19">
        <f>IF(Deployments!AN368="","",Deployments!AN368)</f>
        <v/>
      </c>
      <c r="J380" s="19">
        <f>IF(Deployments!AO368="","",Deployments!AO368)</f>
        <v/>
      </c>
      <c r="K380" s="19">
        <f>IF(Deployments!AI368="","",Deployments!AI368)</f>
        <v/>
      </c>
      <c r="L380" s="19">
        <f>IF(Deployments!M368="","",Deployments!M368)</f>
        <v/>
      </c>
      <c r="M380" s="20" t="n"/>
      <c r="N380" s="19">
        <f>IF(Deployments!N368="","",Deployments!N368)</f>
        <v/>
      </c>
      <c r="O380" s="19">
        <f>IF(Deployments!O368="","",Deployments!O368)</f>
        <v/>
      </c>
      <c r="P380" s="19">
        <f>IF(Deployments!P368="","",Deployments!P368)</f>
        <v/>
      </c>
      <c r="Q380" s="20" t="n"/>
      <c r="R380" s="19">
        <f>IF(Deployments!BT368="","",Deployments!BT368)</f>
        <v/>
      </c>
      <c r="S380" s="19">
        <f>IF(Deployments!BS368="","",Deployments!BS368)</f>
        <v/>
      </c>
      <c r="T380" s="19">
        <f>IF(Deployments!BB368="","",Deployments!BB368)</f>
        <v/>
      </c>
      <c r="U380" s="19">
        <f>IF(Deployments!BR368="","",Deployments!BR368)</f>
        <v/>
      </c>
      <c r="V380" s="19">
        <f>IF(Deployments!BX368="","",Deployments!BX368)</f>
        <v/>
      </c>
      <c r="W380" s="19">
        <f>IF(Deployments!BY368="","",Deployments!BY368)</f>
        <v/>
      </c>
      <c r="X380" s="19">
        <f>IF(Deployments!CC368="","",Deployments!CC368)</f>
        <v/>
      </c>
      <c r="Y380" s="19">
        <f>IF(Deployments!BW368="","",Deployments!BW368)</f>
        <v/>
      </c>
      <c r="Z380" s="19">
        <f>IF(Deployments!U368="","",Deployments!U368)</f>
        <v/>
      </c>
      <c r="AA380" s="19">
        <f>IF(Deployments!L368="","",Deployments!L368)</f>
        <v/>
      </c>
    </row>
    <row r="381">
      <c r="A381" s="20" t="n"/>
      <c r="B381" s="20" t="n"/>
      <c r="C381" s="19">
        <f>IF(Deployments!H369="","",Deployments!H369)</f>
        <v/>
      </c>
      <c r="D381" s="19">
        <f>IF(Deployments!AM369="","",Deployments!AM369)</f>
        <v/>
      </c>
      <c r="E381" s="19">
        <f>IF(Deployments!I369="","",Deployments!I369)</f>
        <v/>
      </c>
      <c r="F381" s="19">
        <f>IF(Deployments!J369="","",Deployments!J369)</f>
        <v/>
      </c>
      <c r="G381" s="19">
        <f>IF(Deployments!K369="","",Deployments!K369)</f>
        <v/>
      </c>
      <c r="H381" s="19">
        <f>IF(Deployments!A369="","",Deployments!A369)</f>
        <v/>
      </c>
      <c r="I381" s="19">
        <f>IF(Deployments!AN369="","",Deployments!AN369)</f>
        <v/>
      </c>
      <c r="J381" s="19">
        <f>IF(Deployments!AO369="","",Deployments!AO369)</f>
        <v/>
      </c>
      <c r="K381" s="19">
        <f>IF(Deployments!AI369="","",Deployments!AI369)</f>
        <v/>
      </c>
      <c r="L381" s="19">
        <f>IF(Deployments!M369="","",Deployments!M369)</f>
        <v/>
      </c>
      <c r="M381" s="20" t="n"/>
      <c r="N381" s="19">
        <f>IF(Deployments!N369="","",Deployments!N369)</f>
        <v/>
      </c>
      <c r="O381" s="19">
        <f>IF(Deployments!O369="","",Deployments!O369)</f>
        <v/>
      </c>
      <c r="P381" s="19">
        <f>IF(Deployments!P369="","",Deployments!P369)</f>
        <v/>
      </c>
      <c r="Q381" s="20" t="n"/>
      <c r="R381" s="19">
        <f>IF(Deployments!BT369="","",Deployments!BT369)</f>
        <v/>
      </c>
      <c r="S381" s="19">
        <f>IF(Deployments!BS369="","",Deployments!BS369)</f>
        <v/>
      </c>
      <c r="T381" s="19">
        <f>IF(Deployments!BB369="","",Deployments!BB369)</f>
        <v/>
      </c>
      <c r="U381" s="19">
        <f>IF(Deployments!BR369="","",Deployments!BR369)</f>
        <v/>
      </c>
      <c r="V381" s="19">
        <f>IF(Deployments!BX369="","",Deployments!BX369)</f>
        <v/>
      </c>
      <c r="W381" s="19">
        <f>IF(Deployments!BY369="","",Deployments!BY369)</f>
        <v/>
      </c>
      <c r="X381" s="19">
        <f>IF(Deployments!CC369="","",Deployments!CC369)</f>
        <v/>
      </c>
      <c r="Y381" s="19">
        <f>IF(Deployments!BW369="","",Deployments!BW369)</f>
        <v/>
      </c>
      <c r="Z381" s="19">
        <f>IF(Deployments!U369="","",Deployments!U369)</f>
        <v/>
      </c>
      <c r="AA381" s="19">
        <f>IF(Deployments!L369="","",Deployments!L369)</f>
        <v/>
      </c>
    </row>
    <row r="382">
      <c r="A382" s="20" t="n"/>
      <c r="B382" s="20" t="n"/>
      <c r="C382" s="19">
        <f>IF(Deployments!H370="","",Deployments!H370)</f>
        <v/>
      </c>
      <c r="D382" s="19">
        <f>IF(Deployments!AM370="","",Deployments!AM370)</f>
        <v/>
      </c>
      <c r="E382" s="19">
        <f>IF(Deployments!I370="","",Deployments!I370)</f>
        <v/>
      </c>
      <c r="F382" s="19">
        <f>IF(Deployments!J370="","",Deployments!J370)</f>
        <v/>
      </c>
      <c r="G382" s="19">
        <f>IF(Deployments!K370="","",Deployments!K370)</f>
        <v/>
      </c>
      <c r="H382" s="19">
        <f>IF(Deployments!A370="","",Deployments!A370)</f>
        <v/>
      </c>
      <c r="I382" s="19">
        <f>IF(Deployments!AN370="","",Deployments!AN370)</f>
        <v/>
      </c>
      <c r="J382" s="19">
        <f>IF(Deployments!AO370="","",Deployments!AO370)</f>
        <v/>
      </c>
      <c r="K382" s="19">
        <f>IF(Deployments!AI370="","",Deployments!AI370)</f>
        <v/>
      </c>
      <c r="L382" s="19">
        <f>IF(Deployments!M370="","",Deployments!M370)</f>
        <v/>
      </c>
      <c r="M382" s="20" t="n"/>
      <c r="N382" s="19">
        <f>IF(Deployments!N370="","",Deployments!N370)</f>
        <v/>
      </c>
      <c r="O382" s="19">
        <f>IF(Deployments!O370="","",Deployments!O370)</f>
        <v/>
      </c>
      <c r="P382" s="19">
        <f>IF(Deployments!P370="","",Deployments!P370)</f>
        <v/>
      </c>
      <c r="Q382" s="20" t="n"/>
      <c r="R382" s="19">
        <f>IF(Deployments!BT370="","",Deployments!BT370)</f>
        <v/>
      </c>
      <c r="S382" s="19">
        <f>IF(Deployments!BS370="","",Deployments!BS370)</f>
        <v/>
      </c>
      <c r="T382" s="19">
        <f>IF(Deployments!BB370="","",Deployments!BB370)</f>
        <v/>
      </c>
      <c r="U382" s="19">
        <f>IF(Deployments!BR370="","",Deployments!BR370)</f>
        <v/>
      </c>
      <c r="V382" s="19">
        <f>IF(Deployments!BX370="","",Deployments!BX370)</f>
        <v/>
      </c>
      <c r="W382" s="19">
        <f>IF(Deployments!BY370="","",Deployments!BY370)</f>
        <v/>
      </c>
      <c r="X382" s="19">
        <f>IF(Deployments!CC370="","",Deployments!CC370)</f>
        <v/>
      </c>
      <c r="Y382" s="19">
        <f>IF(Deployments!BW370="","",Deployments!BW370)</f>
        <v/>
      </c>
      <c r="Z382" s="19">
        <f>IF(Deployments!U370="","",Deployments!U370)</f>
        <v/>
      </c>
      <c r="AA382" s="19">
        <f>IF(Deployments!L370="","",Deployments!L370)</f>
        <v/>
      </c>
    </row>
    <row r="383">
      <c r="A383" s="20" t="n"/>
      <c r="B383" s="20" t="n"/>
      <c r="C383" s="19">
        <f>IF(Deployments!H371="","",Deployments!H371)</f>
        <v/>
      </c>
      <c r="D383" s="19">
        <f>IF(Deployments!AM371="","",Deployments!AM371)</f>
        <v/>
      </c>
      <c r="E383" s="19">
        <f>IF(Deployments!I371="","",Deployments!I371)</f>
        <v/>
      </c>
      <c r="F383" s="19">
        <f>IF(Deployments!J371="","",Deployments!J371)</f>
        <v/>
      </c>
      <c r="G383" s="19">
        <f>IF(Deployments!K371="","",Deployments!K371)</f>
        <v/>
      </c>
      <c r="H383" s="19">
        <f>IF(Deployments!A371="","",Deployments!A371)</f>
        <v/>
      </c>
      <c r="I383" s="19">
        <f>IF(Deployments!AN371="","",Deployments!AN371)</f>
        <v/>
      </c>
      <c r="J383" s="19">
        <f>IF(Deployments!AO371="","",Deployments!AO371)</f>
        <v/>
      </c>
      <c r="K383" s="19">
        <f>IF(Deployments!AI371="","",Deployments!AI371)</f>
        <v/>
      </c>
      <c r="L383" s="19">
        <f>IF(Deployments!M371="","",Deployments!M371)</f>
        <v/>
      </c>
      <c r="M383" s="20" t="n"/>
      <c r="N383" s="19">
        <f>IF(Deployments!N371="","",Deployments!N371)</f>
        <v/>
      </c>
      <c r="O383" s="19">
        <f>IF(Deployments!O371="","",Deployments!O371)</f>
        <v/>
      </c>
      <c r="P383" s="19">
        <f>IF(Deployments!P371="","",Deployments!P371)</f>
        <v/>
      </c>
      <c r="Q383" s="20" t="n"/>
      <c r="R383" s="19">
        <f>IF(Deployments!BT371="","",Deployments!BT371)</f>
        <v/>
      </c>
      <c r="S383" s="19">
        <f>IF(Deployments!BS371="","",Deployments!BS371)</f>
        <v/>
      </c>
      <c r="T383" s="19">
        <f>IF(Deployments!BB371="","",Deployments!BB371)</f>
        <v/>
      </c>
      <c r="U383" s="19">
        <f>IF(Deployments!BR371="","",Deployments!BR371)</f>
        <v/>
      </c>
      <c r="V383" s="19">
        <f>IF(Deployments!BX371="","",Deployments!BX371)</f>
        <v/>
      </c>
      <c r="W383" s="19">
        <f>IF(Deployments!BY371="","",Deployments!BY371)</f>
        <v/>
      </c>
      <c r="X383" s="19">
        <f>IF(Deployments!CC371="","",Deployments!CC371)</f>
        <v/>
      </c>
      <c r="Y383" s="19">
        <f>IF(Deployments!BW371="","",Deployments!BW371)</f>
        <v/>
      </c>
      <c r="Z383" s="19">
        <f>IF(Deployments!U371="","",Deployments!U371)</f>
        <v/>
      </c>
      <c r="AA383" s="19">
        <f>IF(Deployments!L371="","",Deployments!L371)</f>
        <v/>
      </c>
    </row>
    <row r="384">
      <c r="A384" s="20" t="n"/>
      <c r="B384" s="20" t="n"/>
      <c r="C384" s="19">
        <f>IF(Deployments!H372="","",Deployments!H372)</f>
        <v/>
      </c>
      <c r="D384" s="19">
        <f>IF(Deployments!AM372="","",Deployments!AM372)</f>
        <v/>
      </c>
      <c r="E384" s="19">
        <f>IF(Deployments!I372="","",Deployments!I372)</f>
        <v/>
      </c>
      <c r="F384" s="19">
        <f>IF(Deployments!J372="","",Deployments!J372)</f>
        <v/>
      </c>
      <c r="G384" s="19">
        <f>IF(Deployments!K372="","",Deployments!K372)</f>
        <v/>
      </c>
      <c r="H384" s="19">
        <f>IF(Deployments!A372="","",Deployments!A372)</f>
        <v/>
      </c>
      <c r="I384" s="19">
        <f>IF(Deployments!AN372="","",Deployments!AN372)</f>
        <v/>
      </c>
      <c r="J384" s="19">
        <f>IF(Deployments!AO372="","",Deployments!AO372)</f>
        <v/>
      </c>
      <c r="K384" s="19">
        <f>IF(Deployments!AI372="","",Deployments!AI372)</f>
        <v/>
      </c>
      <c r="L384" s="19">
        <f>IF(Deployments!M372="","",Deployments!M372)</f>
        <v/>
      </c>
      <c r="M384" s="20" t="n"/>
      <c r="N384" s="19">
        <f>IF(Deployments!N372="","",Deployments!N372)</f>
        <v/>
      </c>
      <c r="O384" s="19">
        <f>IF(Deployments!O372="","",Deployments!O372)</f>
        <v/>
      </c>
      <c r="P384" s="19">
        <f>IF(Deployments!P372="","",Deployments!P372)</f>
        <v/>
      </c>
      <c r="Q384" s="20" t="n"/>
      <c r="R384" s="19">
        <f>IF(Deployments!BT372="","",Deployments!BT372)</f>
        <v/>
      </c>
      <c r="S384" s="19">
        <f>IF(Deployments!BS372="","",Deployments!BS372)</f>
        <v/>
      </c>
      <c r="T384" s="19">
        <f>IF(Deployments!BB372="","",Deployments!BB372)</f>
        <v/>
      </c>
      <c r="U384" s="19">
        <f>IF(Deployments!BR372="","",Deployments!BR372)</f>
        <v/>
      </c>
      <c r="V384" s="19">
        <f>IF(Deployments!BX372="","",Deployments!BX372)</f>
        <v/>
      </c>
      <c r="W384" s="19">
        <f>IF(Deployments!BY372="","",Deployments!BY372)</f>
        <v/>
      </c>
      <c r="X384" s="19">
        <f>IF(Deployments!CC372="","",Deployments!CC372)</f>
        <v/>
      </c>
      <c r="Y384" s="19">
        <f>IF(Deployments!BW372="","",Deployments!BW372)</f>
        <v/>
      </c>
      <c r="Z384" s="19">
        <f>IF(Deployments!U372="","",Deployments!U372)</f>
        <v/>
      </c>
      <c r="AA384" s="19">
        <f>IF(Deployments!L372="","",Deployments!L372)</f>
        <v/>
      </c>
    </row>
    <row r="385">
      <c r="A385" s="20" t="n"/>
      <c r="B385" s="20" t="n"/>
      <c r="C385" s="19">
        <f>IF(Deployments!H373="","",Deployments!H373)</f>
        <v/>
      </c>
      <c r="D385" s="19">
        <f>IF(Deployments!AM373="","",Deployments!AM373)</f>
        <v/>
      </c>
      <c r="E385" s="19">
        <f>IF(Deployments!I373="","",Deployments!I373)</f>
        <v/>
      </c>
      <c r="F385" s="19">
        <f>IF(Deployments!J373="","",Deployments!J373)</f>
        <v/>
      </c>
      <c r="G385" s="19">
        <f>IF(Deployments!K373="","",Deployments!K373)</f>
        <v/>
      </c>
      <c r="H385" s="19">
        <f>IF(Deployments!A373="","",Deployments!A373)</f>
        <v/>
      </c>
      <c r="I385" s="19">
        <f>IF(Deployments!AN373="","",Deployments!AN373)</f>
        <v/>
      </c>
      <c r="J385" s="19">
        <f>IF(Deployments!AO373="","",Deployments!AO373)</f>
        <v/>
      </c>
      <c r="K385" s="19">
        <f>IF(Deployments!AI373="","",Deployments!AI373)</f>
        <v/>
      </c>
      <c r="L385" s="19">
        <f>IF(Deployments!M373="","",Deployments!M373)</f>
        <v/>
      </c>
      <c r="M385" s="20" t="n"/>
      <c r="N385" s="19">
        <f>IF(Deployments!N373="","",Deployments!N373)</f>
        <v/>
      </c>
      <c r="O385" s="19">
        <f>IF(Deployments!O373="","",Deployments!O373)</f>
        <v/>
      </c>
      <c r="P385" s="19">
        <f>IF(Deployments!P373="","",Deployments!P373)</f>
        <v/>
      </c>
      <c r="Q385" s="20" t="n"/>
      <c r="R385" s="19">
        <f>IF(Deployments!BT373="","",Deployments!BT373)</f>
        <v/>
      </c>
      <c r="S385" s="19">
        <f>IF(Deployments!BS373="","",Deployments!BS373)</f>
        <v/>
      </c>
      <c r="T385" s="19">
        <f>IF(Deployments!BB373="","",Deployments!BB373)</f>
        <v/>
      </c>
      <c r="U385" s="19">
        <f>IF(Deployments!BR373="","",Deployments!BR373)</f>
        <v/>
      </c>
      <c r="V385" s="19">
        <f>IF(Deployments!BX373="","",Deployments!BX373)</f>
        <v/>
      </c>
      <c r="W385" s="19">
        <f>IF(Deployments!BY373="","",Deployments!BY373)</f>
        <v/>
      </c>
      <c r="X385" s="19">
        <f>IF(Deployments!CC373="","",Deployments!CC373)</f>
        <v/>
      </c>
      <c r="Y385" s="19">
        <f>IF(Deployments!BW373="","",Deployments!BW373)</f>
        <v/>
      </c>
      <c r="Z385" s="19">
        <f>IF(Deployments!U373="","",Deployments!U373)</f>
        <v/>
      </c>
      <c r="AA385" s="19">
        <f>IF(Deployments!L373="","",Deployments!L373)</f>
        <v/>
      </c>
    </row>
    <row r="386">
      <c r="A386" s="20" t="n"/>
      <c r="B386" s="20" t="n"/>
      <c r="C386" s="19">
        <f>IF(Deployments!H374="","",Deployments!H374)</f>
        <v/>
      </c>
      <c r="D386" s="19">
        <f>IF(Deployments!AM374="","",Deployments!AM374)</f>
        <v/>
      </c>
      <c r="E386" s="19">
        <f>IF(Deployments!I374="","",Deployments!I374)</f>
        <v/>
      </c>
      <c r="F386" s="19">
        <f>IF(Deployments!J374="","",Deployments!J374)</f>
        <v/>
      </c>
      <c r="G386" s="19">
        <f>IF(Deployments!K374="","",Deployments!K374)</f>
        <v/>
      </c>
      <c r="H386" s="19">
        <f>IF(Deployments!A374="","",Deployments!A374)</f>
        <v/>
      </c>
      <c r="I386" s="19">
        <f>IF(Deployments!AN374="","",Deployments!AN374)</f>
        <v/>
      </c>
      <c r="J386" s="19">
        <f>IF(Deployments!AO374="","",Deployments!AO374)</f>
        <v/>
      </c>
      <c r="K386" s="19">
        <f>IF(Deployments!AI374="","",Deployments!AI374)</f>
        <v/>
      </c>
      <c r="L386" s="19">
        <f>IF(Deployments!M374="","",Deployments!M374)</f>
        <v/>
      </c>
      <c r="M386" s="20" t="n"/>
      <c r="N386" s="19">
        <f>IF(Deployments!N374="","",Deployments!N374)</f>
        <v/>
      </c>
      <c r="O386" s="19">
        <f>IF(Deployments!O374="","",Deployments!O374)</f>
        <v/>
      </c>
      <c r="P386" s="19">
        <f>IF(Deployments!P374="","",Deployments!P374)</f>
        <v/>
      </c>
      <c r="Q386" s="20" t="n"/>
      <c r="R386" s="19">
        <f>IF(Deployments!BT374="","",Deployments!BT374)</f>
        <v/>
      </c>
      <c r="S386" s="19">
        <f>IF(Deployments!BS374="","",Deployments!BS374)</f>
        <v/>
      </c>
      <c r="T386" s="19">
        <f>IF(Deployments!BB374="","",Deployments!BB374)</f>
        <v/>
      </c>
      <c r="U386" s="19">
        <f>IF(Deployments!BR374="","",Deployments!BR374)</f>
        <v/>
      </c>
      <c r="V386" s="19">
        <f>IF(Deployments!BX374="","",Deployments!BX374)</f>
        <v/>
      </c>
      <c r="W386" s="19">
        <f>IF(Deployments!BY374="","",Deployments!BY374)</f>
        <v/>
      </c>
      <c r="X386" s="19">
        <f>IF(Deployments!CC374="","",Deployments!CC374)</f>
        <v/>
      </c>
      <c r="Y386" s="19">
        <f>IF(Deployments!BW374="","",Deployments!BW374)</f>
        <v/>
      </c>
      <c r="Z386" s="19">
        <f>IF(Deployments!U374="","",Deployments!U374)</f>
        <v/>
      </c>
      <c r="AA386" s="19">
        <f>IF(Deployments!L374="","",Deployments!L374)</f>
        <v/>
      </c>
    </row>
    <row r="387">
      <c r="A387" s="20" t="n"/>
      <c r="B387" s="20" t="n"/>
      <c r="C387" s="19">
        <f>IF(Deployments!H375="","",Deployments!H375)</f>
        <v/>
      </c>
      <c r="D387" s="19">
        <f>IF(Deployments!AM375="","",Deployments!AM375)</f>
        <v/>
      </c>
      <c r="E387" s="19">
        <f>IF(Deployments!I375="","",Deployments!I375)</f>
        <v/>
      </c>
      <c r="F387" s="19">
        <f>IF(Deployments!J375="","",Deployments!J375)</f>
        <v/>
      </c>
      <c r="G387" s="19">
        <f>IF(Deployments!K375="","",Deployments!K375)</f>
        <v/>
      </c>
      <c r="H387" s="19">
        <f>IF(Deployments!A375="","",Deployments!A375)</f>
        <v/>
      </c>
      <c r="I387" s="19">
        <f>IF(Deployments!AN375="","",Deployments!AN375)</f>
        <v/>
      </c>
      <c r="J387" s="19">
        <f>IF(Deployments!AO375="","",Deployments!AO375)</f>
        <v/>
      </c>
      <c r="K387" s="19">
        <f>IF(Deployments!AI375="","",Deployments!AI375)</f>
        <v/>
      </c>
      <c r="L387" s="19">
        <f>IF(Deployments!M375="","",Deployments!M375)</f>
        <v/>
      </c>
      <c r="M387" s="20" t="n"/>
      <c r="N387" s="19">
        <f>IF(Deployments!N375="","",Deployments!N375)</f>
        <v/>
      </c>
      <c r="O387" s="19">
        <f>IF(Deployments!O375="","",Deployments!O375)</f>
        <v/>
      </c>
      <c r="P387" s="19">
        <f>IF(Deployments!P375="","",Deployments!P375)</f>
        <v/>
      </c>
      <c r="Q387" s="20" t="n"/>
      <c r="R387" s="19">
        <f>IF(Deployments!BT375="","",Deployments!BT375)</f>
        <v/>
      </c>
      <c r="S387" s="19">
        <f>IF(Deployments!BS375="","",Deployments!BS375)</f>
        <v/>
      </c>
      <c r="T387" s="19">
        <f>IF(Deployments!BB375="","",Deployments!BB375)</f>
        <v/>
      </c>
      <c r="U387" s="19">
        <f>IF(Deployments!BR375="","",Deployments!BR375)</f>
        <v/>
      </c>
      <c r="V387" s="19">
        <f>IF(Deployments!BX375="","",Deployments!BX375)</f>
        <v/>
      </c>
      <c r="W387" s="19">
        <f>IF(Deployments!BY375="","",Deployments!BY375)</f>
        <v/>
      </c>
      <c r="X387" s="19">
        <f>IF(Deployments!CC375="","",Deployments!CC375)</f>
        <v/>
      </c>
      <c r="Y387" s="19">
        <f>IF(Deployments!BW375="","",Deployments!BW375)</f>
        <v/>
      </c>
      <c r="Z387" s="19">
        <f>IF(Deployments!U375="","",Deployments!U375)</f>
        <v/>
      </c>
      <c r="AA387" s="19">
        <f>IF(Deployments!L375="","",Deployments!L375)</f>
        <v/>
      </c>
    </row>
    <row r="388">
      <c r="A388" s="20" t="n"/>
      <c r="B388" s="20" t="n"/>
      <c r="C388" s="19">
        <f>IF(Deployments!H376="","",Deployments!H376)</f>
        <v/>
      </c>
      <c r="D388" s="19">
        <f>IF(Deployments!AM376="","",Deployments!AM376)</f>
        <v/>
      </c>
      <c r="E388" s="19">
        <f>IF(Deployments!I376="","",Deployments!I376)</f>
        <v/>
      </c>
      <c r="F388" s="19">
        <f>IF(Deployments!J376="","",Deployments!J376)</f>
        <v/>
      </c>
      <c r="G388" s="19">
        <f>IF(Deployments!K376="","",Deployments!K376)</f>
        <v/>
      </c>
      <c r="H388" s="19">
        <f>IF(Deployments!A376="","",Deployments!A376)</f>
        <v/>
      </c>
      <c r="I388" s="19">
        <f>IF(Deployments!AN376="","",Deployments!AN376)</f>
        <v/>
      </c>
      <c r="J388" s="19">
        <f>IF(Deployments!AO376="","",Deployments!AO376)</f>
        <v/>
      </c>
      <c r="K388" s="19">
        <f>IF(Deployments!AI376="","",Deployments!AI376)</f>
        <v/>
      </c>
      <c r="L388" s="19">
        <f>IF(Deployments!M376="","",Deployments!M376)</f>
        <v/>
      </c>
      <c r="M388" s="20" t="n"/>
      <c r="N388" s="19">
        <f>IF(Deployments!N376="","",Deployments!N376)</f>
        <v/>
      </c>
      <c r="O388" s="19">
        <f>IF(Deployments!O376="","",Deployments!O376)</f>
        <v/>
      </c>
      <c r="P388" s="19">
        <f>IF(Deployments!P376="","",Deployments!P376)</f>
        <v/>
      </c>
      <c r="Q388" s="20" t="n"/>
      <c r="R388" s="19">
        <f>IF(Deployments!BT376="","",Deployments!BT376)</f>
        <v/>
      </c>
      <c r="S388" s="19">
        <f>IF(Deployments!BS376="","",Deployments!BS376)</f>
        <v/>
      </c>
      <c r="T388" s="19">
        <f>IF(Deployments!BB376="","",Deployments!BB376)</f>
        <v/>
      </c>
      <c r="U388" s="19">
        <f>IF(Deployments!BR376="","",Deployments!BR376)</f>
        <v/>
      </c>
      <c r="V388" s="19">
        <f>IF(Deployments!BX376="","",Deployments!BX376)</f>
        <v/>
      </c>
      <c r="W388" s="19">
        <f>IF(Deployments!BY376="","",Deployments!BY376)</f>
        <v/>
      </c>
      <c r="X388" s="19">
        <f>IF(Deployments!CC376="","",Deployments!CC376)</f>
        <v/>
      </c>
      <c r="Y388" s="19">
        <f>IF(Deployments!BW376="","",Deployments!BW376)</f>
        <v/>
      </c>
      <c r="Z388" s="19">
        <f>IF(Deployments!U376="","",Deployments!U376)</f>
        <v/>
      </c>
      <c r="AA388" s="19">
        <f>IF(Deployments!L376="","",Deployments!L376)</f>
        <v/>
      </c>
    </row>
    <row r="389">
      <c r="A389" s="20" t="n"/>
      <c r="B389" s="20" t="n"/>
      <c r="C389" s="19">
        <f>IF(Deployments!H377="","",Deployments!H377)</f>
        <v/>
      </c>
      <c r="D389" s="19">
        <f>IF(Deployments!AM377="","",Deployments!AM377)</f>
        <v/>
      </c>
      <c r="E389" s="19">
        <f>IF(Deployments!I377="","",Deployments!I377)</f>
        <v/>
      </c>
      <c r="F389" s="19">
        <f>IF(Deployments!J377="","",Deployments!J377)</f>
        <v/>
      </c>
      <c r="G389" s="19">
        <f>IF(Deployments!K377="","",Deployments!K377)</f>
        <v/>
      </c>
      <c r="H389" s="19">
        <f>IF(Deployments!A377="","",Deployments!A377)</f>
        <v/>
      </c>
      <c r="I389" s="19">
        <f>IF(Deployments!AN377="","",Deployments!AN377)</f>
        <v/>
      </c>
      <c r="J389" s="19">
        <f>IF(Deployments!AO377="","",Deployments!AO377)</f>
        <v/>
      </c>
      <c r="K389" s="19">
        <f>IF(Deployments!AI377="","",Deployments!AI377)</f>
        <v/>
      </c>
      <c r="L389" s="19">
        <f>IF(Deployments!M377="","",Deployments!M377)</f>
        <v/>
      </c>
      <c r="M389" s="20" t="n"/>
      <c r="N389" s="19">
        <f>IF(Deployments!N377="","",Deployments!N377)</f>
        <v/>
      </c>
      <c r="O389" s="19">
        <f>IF(Deployments!O377="","",Deployments!O377)</f>
        <v/>
      </c>
      <c r="P389" s="19">
        <f>IF(Deployments!P377="","",Deployments!P377)</f>
        <v/>
      </c>
      <c r="Q389" s="20" t="n"/>
      <c r="R389" s="19">
        <f>IF(Deployments!BT377="","",Deployments!BT377)</f>
        <v/>
      </c>
      <c r="S389" s="19">
        <f>IF(Deployments!BS377="","",Deployments!BS377)</f>
        <v/>
      </c>
      <c r="T389" s="19">
        <f>IF(Deployments!BB377="","",Deployments!BB377)</f>
        <v/>
      </c>
      <c r="U389" s="19">
        <f>IF(Deployments!BR377="","",Deployments!BR377)</f>
        <v/>
      </c>
      <c r="V389" s="19">
        <f>IF(Deployments!BX377="","",Deployments!BX377)</f>
        <v/>
      </c>
      <c r="W389" s="19">
        <f>IF(Deployments!BY377="","",Deployments!BY377)</f>
        <v/>
      </c>
      <c r="X389" s="19">
        <f>IF(Deployments!CC377="","",Deployments!CC377)</f>
        <v/>
      </c>
      <c r="Y389" s="19">
        <f>IF(Deployments!BW377="","",Deployments!BW377)</f>
        <v/>
      </c>
      <c r="Z389" s="19">
        <f>IF(Deployments!U377="","",Deployments!U377)</f>
        <v/>
      </c>
      <c r="AA389" s="19">
        <f>IF(Deployments!L377="","",Deployments!L377)</f>
        <v/>
      </c>
    </row>
    <row r="390">
      <c r="A390" s="20" t="n"/>
      <c r="B390" s="20" t="n"/>
      <c r="C390" s="19">
        <f>IF(Deployments!H378="","",Deployments!H378)</f>
        <v/>
      </c>
      <c r="D390" s="19">
        <f>IF(Deployments!AM378="","",Deployments!AM378)</f>
        <v/>
      </c>
      <c r="E390" s="19">
        <f>IF(Deployments!I378="","",Deployments!I378)</f>
        <v/>
      </c>
      <c r="F390" s="19">
        <f>IF(Deployments!J378="","",Deployments!J378)</f>
        <v/>
      </c>
      <c r="G390" s="19">
        <f>IF(Deployments!K378="","",Deployments!K378)</f>
        <v/>
      </c>
      <c r="H390" s="19">
        <f>IF(Deployments!A378="","",Deployments!A378)</f>
        <v/>
      </c>
      <c r="I390" s="19">
        <f>IF(Deployments!AN378="","",Deployments!AN378)</f>
        <v/>
      </c>
      <c r="J390" s="19">
        <f>IF(Deployments!AO378="","",Deployments!AO378)</f>
        <v/>
      </c>
      <c r="K390" s="19">
        <f>IF(Deployments!AI378="","",Deployments!AI378)</f>
        <v/>
      </c>
      <c r="L390" s="19">
        <f>IF(Deployments!M378="","",Deployments!M378)</f>
        <v/>
      </c>
      <c r="M390" s="20" t="n"/>
      <c r="N390" s="19">
        <f>IF(Deployments!N378="","",Deployments!N378)</f>
        <v/>
      </c>
      <c r="O390" s="19">
        <f>IF(Deployments!O378="","",Deployments!O378)</f>
        <v/>
      </c>
      <c r="P390" s="19">
        <f>IF(Deployments!P378="","",Deployments!P378)</f>
        <v/>
      </c>
      <c r="Q390" s="20" t="n"/>
      <c r="R390" s="19">
        <f>IF(Deployments!BT378="","",Deployments!BT378)</f>
        <v/>
      </c>
      <c r="S390" s="19">
        <f>IF(Deployments!BS378="","",Deployments!BS378)</f>
        <v/>
      </c>
      <c r="T390" s="19">
        <f>IF(Deployments!BB378="","",Deployments!BB378)</f>
        <v/>
      </c>
      <c r="U390" s="19">
        <f>IF(Deployments!BR378="","",Deployments!BR378)</f>
        <v/>
      </c>
      <c r="V390" s="19">
        <f>IF(Deployments!BX378="","",Deployments!BX378)</f>
        <v/>
      </c>
      <c r="W390" s="19">
        <f>IF(Deployments!BY378="","",Deployments!BY378)</f>
        <v/>
      </c>
      <c r="X390" s="19">
        <f>IF(Deployments!CC378="","",Deployments!CC378)</f>
        <v/>
      </c>
      <c r="Y390" s="19">
        <f>IF(Deployments!BW378="","",Deployments!BW378)</f>
        <v/>
      </c>
      <c r="Z390" s="19">
        <f>IF(Deployments!U378="","",Deployments!U378)</f>
        <v/>
      </c>
      <c r="AA390" s="19">
        <f>IF(Deployments!L378="","",Deployments!L378)</f>
        <v/>
      </c>
    </row>
    <row r="391">
      <c r="A391" s="20" t="n"/>
      <c r="B391" s="20" t="n"/>
      <c r="C391" s="19">
        <f>IF(Deployments!H379="","",Deployments!H379)</f>
        <v/>
      </c>
      <c r="D391" s="19">
        <f>IF(Deployments!AM379="","",Deployments!AM379)</f>
        <v/>
      </c>
      <c r="E391" s="19">
        <f>IF(Deployments!I379="","",Deployments!I379)</f>
        <v/>
      </c>
      <c r="F391" s="19">
        <f>IF(Deployments!J379="","",Deployments!J379)</f>
        <v/>
      </c>
      <c r="G391" s="19">
        <f>IF(Deployments!K379="","",Deployments!K379)</f>
        <v/>
      </c>
      <c r="H391" s="19">
        <f>IF(Deployments!A379="","",Deployments!A379)</f>
        <v/>
      </c>
      <c r="I391" s="19">
        <f>IF(Deployments!AN379="","",Deployments!AN379)</f>
        <v/>
      </c>
      <c r="J391" s="19">
        <f>IF(Deployments!AO379="","",Deployments!AO379)</f>
        <v/>
      </c>
      <c r="K391" s="19">
        <f>IF(Deployments!AI379="","",Deployments!AI379)</f>
        <v/>
      </c>
      <c r="L391" s="19">
        <f>IF(Deployments!M379="","",Deployments!M379)</f>
        <v/>
      </c>
      <c r="M391" s="20" t="n"/>
      <c r="N391" s="19">
        <f>IF(Deployments!N379="","",Deployments!N379)</f>
        <v/>
      </c>
      <c r="O391" s="19">
        <f>IF(Deployments!O379="","",Deployments!O379)</f>
        <v/>
      </c>
      <c r="P391" s="19">
        <f>IF(Deployments!P379="","",Deployments!P379)</f>
        <v/>
      </c>
      <c r="Q391" s="20" t="n"/>
      <c r="R391" s="19">
        <f>IF(Deployments!BT379="","",Deployments!BT379)</f>
        <v/>
      </c>
      <c r="S391" s="19">
        <f>IF(Deployments!BS379="","",Deployments!BS379)</f>
        <v/>
      </c>
      <c r="T391" s="19">
        <f>IF(Deployments!BB379="","",Deployments!BB379)</f>
        <v/>
      </c>
      <c r="U391" s="19">
        <f>IF(Deployments!BR379="","",Deployments!BR379)</f>
        <v/>
      </c>
      <c r="V391" s="19">
        <f>IF(Deployments!BX379="","",Deployments!BX379)</f>
        <v/>
      </c>
      <c r="W391" s="19">
        <f>IF(Deployments!BY379="","",Deployments!BY379)</f>
        <v/>
      </c>
      <c r="X391" s="19">
        <f>IF(Deployments!CC379="","",Deployments!CC379)</f>
        <v/>
      </c>
      <c r="Y391" s="19">
        <f>IF(Deployments!BW379="","",Deployments!BW379)</f>
        <v/>
      </c>
      <c r="Z391" s="19">
        <f>IF(Deployments!U379="","",Deployments!U379)</f>
        <v/>
      </c>
      <c r="AA391" s="19">
        <f>IF(Deployments!L379="","",Deployments!L379)</f>
        <v/>
      </c>
    </row>
    <row r="392">
      <c r="A392" s="20" t="n"/>
      <c r="B392" s="20" t="n"/>
      <c r="C392" s="19">
        <f>IF(Deployments!H380="","",Deployments!H380)</f>
        <v/>
      </c>
      <c r="D392" s="19">
        <f>IF(Deployments!AM380="","",Deployments!AM380)</f>
        <v/>
      </c>
      <c r="E392" s="19">
        <f>IF(Deployments!I380="","",Deployments!I380)</f>
        <v/>
      </c>
      <c r="F392" s="19">
        <f>IF(Deployments!J380="","",Deployments!J380)</f>
        <v/>
      </c>
      <c r="G392" s="19">
        <f>IF(Deployments!K380="","",Deployments!K380)</f>
        <v/>
      </c>
      <c r="H392" s="19">
        <f>IF(Deployments!A380="","",Deployments!A380)</f>
        <v/>
      </c>
      <c r="I392" s="19">
        <f>IF(Deployments!AN380="","",Deployments!AN380)</f>
        <v/>
      </c>
      <c r="J392" s="19">
        <f>IF(Deployments!AO380="","",Deployments!AO380)</f>
        <v/>
      </c>
      <c r="K392" s="19">
        <f>IF(Deployments!AI380="","",Deployments!AI380)</f>
        <v/>
      </c>
      <c r="L392" s="19">
        <f>IF(Deployments!M380="","",Deployments!M380)</f>
        <v/>
      </c>
      <c r="M392" s="20" t="n"/>
      <c r="N392" s="19">
        <f>IF(Deployments!N380="","",Deployments!N380)</f>
        <v/>
      </c>
      <c r="O392" s="19">
        <f>IF(Deployments!O380="","",Deployments!O380)</f>
        <v/>
      </c>
      <c r="P392" s="19">
        <f>IF(Deployments!P380="","",Deployments!P380)</f>
        <v/>
      </c>
      <c r="Q392" s="20" t="n"/>
      <c r="R392" s="19">
        <f>IF(Deployments!BT380="","",Deployments!BT380)</f>
        <v/>
      </c>
      <c r="S392" s="19">
        <f>IF(Deployments!BS380="","",Deployments!BS380)</f>
        <v/>
      </c>
      <c r="T392" s="19">
        <f>IF(Deployments!BB380="","",Deployments!BB380)</f>
        <v/>
      </c>
      <c r="U392" s="19">
        <f>IF(Deployments!BR380="","",Deployments!BR380)</f>
        <v/>
      </c>
      <c r="V392" s="19">
        <f>IF(Deployments!BX380="","",Deployments!BX380)</f>
        <v/>
      </c>
      <c r="W392" s="19">
        <f>IF(Deployments!BY380="","",Deployments!BY380)</f>
        <v/>
      </c>
      <c r="X392" s="19">
        <f>IF(Deployments!CC380="","",Deployments!CC380)</f>
        <v/>
      </c>
      <c r="Y392" s="19">
        <f>IF(Deployments!BW380="","",Deployments!BW380)</f>
        <v/>
      </c>
      <c r="Z392" s="19">
        <f>IF(Deployments!U380="","",Deployments!U380)</f>
        <v/>
      </c>
      <c r="AA392" s="19">
        <f>IF(Deployments!L380="","",Deployments!L380)</f>
        <v/>
      </c>
    </row>
    <row r="393">
      <c r="A393" s="20" t="n"/>
      <c r="B393" s="20" t="n"/>
      <c r="C393" s="19">
        <f>IF(Deployments!H381="","",Deployments!H381)</f>
        <v/>
      </c>
      <c r="D393" s="19">
        <f>IF(Deployments!AM381="","",Deployments!AM381)</f>
        <v/>
      </c>
      <c r="E393" s="19">
        <f>IF(Deployments!I381="","",Deployments!I381)</f>
        <v/>
      </c>
      <c r="F393" s="19">
        <f>IF(Deployments!J381="","",Deployments!J381)</f>
        <v/>
      </c>
      <c r="G393" s="19">
        <f>IF(Deployments!K381="","",Deployments!K381)</f>
        <v/>
      </c>
      <c r="H393" s="19">
        <f>IF(Deployments!A381="","",Deployments!A381)</f>
        <v/>
      </c>
      <c r="I393" s="19">
        <f>IF(Deployments!AN381="","",Deployments!AN381)</f>
        <v/>
      </c>
      <c r="J393" s="19">
        <f>IF(Deployments!AO381="","",Deployments!AO381)</f>
        <v/>
      </c>
      <c r="K393" s="19">
        <f>IF(Deployments!AI381="","",Deployments!AI381)</f>
        <v/>
      </c>
      <c r="L393" s="19">
        <f>IF(Deployments!M381="","",Deployments!M381)</f>
        <v/>
      </c>
      <c r="M393" s="20" t="n"/>
      <c r="N393" s="19">
        <f>IF(Deployments!N381="","",Deployments!N381)</f>
        <v/>
      </c>
      <c r="O393" s="19">
        <f>IF(Deployments!O381="","",Deployments!O381)</f>
        <v/>
      </c>
      <c r="P393" s="19">
        <f>IF(Deployments!P381="","",Deployments!P381)</f>
        <v/>
      </c>
      <c r="Q393" s="20" t="n"/>
      <c r="R393" s="19">
        <f>IF(Deployments!BT381="","",Deployments!BT381)</f>
        <v/>
      </c>
      <c r="S393" s="19">
        <f>IF(Deployments!BS381="","",Deployments!BS381)</f>
        <v/>
      </c>
      <c r="T393" s="19">
        <f>IF(Deployments!BB381="","",Deployments!BB381)</f>
        <v/>
      </c>
      <c r="U393" s="19">
        <f>IF(Deployments!BR381="","",Deployments!BR381)</f>
        <v/>
      </c>
      <c r="V393" s="19">
        <f>IF(Deployments!BX381="","",Deployments!BX381)</f>
        <v/>
      </c>
      <c r="W393" s="19">
        <f>IF(Deployments!BY381="","",Deployments!BY381)</f>
        <v/>
      </c>
      <c r="X393" s="19">
        <f>IF(Deployments!CC381="","",Deployments!CC381)</f>
        <v/>
      </c>
      <c r="Y393" s="19">
        <f>IF(Deployments!BW381="","",Deployments!BW381)</f>
        <v/>
      </c>
      <c r="Z393" s="19">
        <f>IF(Deployments!U381="","",Deployments!U381)</f>
        <v/>
      </c>
      <c r="AA393" s="19">
        <f>IF(Deployments!L381="","",Deployments!L381)</f>
        <v/>
      </c>
    </row>
    <row r="394">
      <c r="A394" s="20" t="n"/>
      <c r="B394" s="20" t="n"/>
      <c r="C394" s="19">
        <f>IF(Deployments!H382="","",Deployments!H382)</f>
        <v/>
      </c>
      <c r="D394" s="19">
        <f>IF(Deployments!AM382="","",Deployments!AM382)</f>
        <v/>
      </c>
      <c r="E394" s="19">
        <f>IF(Deployments!I382="","",Deployments!I382)</f>
        <v/>
      </c>
      <c r="F394" s="19">
        <f>IF(Deployments!J382="","",Deployments!J382)</f>
        <v/>
      </c>
      <c r="G394" s="19">
        <f>IF(Deployments!K382="","",Deployments!K382)</f>
        <v/>
      </c>
      <c r="H394" s="19">
        <f>IF(Deployments!A382="","",Deployments!A382)</f>
        <v/>
      </c>
      <c r="I394" s="19">
        <f>IF(Deployments!AN382="","",Deployments!AN382)</f>
        <v/>
      </c>
      <c r="J394" s="19">
        <f>IF(Deployments!AO382="","",Deployments!AO382)</f>
        <v/>
      </c>
      <c r="K394" s="19">
        <f>IF(Deployments!AI382="","",Deployments!AI382)</f>
        <v/>
      </c>
      <c r="L394" s="19">
        <f>IF(Deployments!M382="","",Deployments!M382)</f>
        <v/>
      </c>
      <c r="M394" s="20" t="n"/>
      <c r="N394" s="19">
        <f>IF(Deployments!N382="","",Deployments!N382)</f>
        <v/>
      </c>
      <c r="O394" s="19">
        <f>IF(Deployments!O382="","",Deployments!O382)</f>
        <v/>
      </c>
      <c r="P394" s="19">
        <f>IF(Deployments!P382="","",Deployments!P382)</f>
        <v/>
      </c>
      <c r="Q394" s="20" t="n"/>
      <c r="R394" s="19">
        <f>IF(Deployments!BT382="","",Deployments!BT382)</f>
        <v/>
      </c>
      <c r="S394" s="19">
        <f>IF(Deployments!BS382="","",Deployments!BS382)</f>
        <v/>
      </c>
      <c r="T394" s="19">
        <f>IF(Deployments!BB382="","",Deployments!BB382)</f>
        <v/>
      </c>
      <c r="U394" s="19">
        <f>IF(Deployments!BR382="","",Deployments!BR382)</f>
        <v/>
      </c>
      <c r="V394" s="19">
        <f>IF(Deployments!BX382="","",Deployments!BX382)</f>
        <v/>
      </c>
      <c r="W394" s="19">
        <f>IF(Deployments!BY382="","",Deployments!BY382)</f>
        <v/>
      </c>
      <c r="X394" s="19">
        <f>IF(Deployments!CC382="","",Deployments!CC382)</f>
        <v/>
      </c>
      <c r="Y394" s="19">
        <f>IF(Deployments!BW382="","",Deployments!BW382)</f>
        <v/>
      </c>
      <c r="Z394" s="19">
        <f>IF(Deployments!U382="","",Deployments!U382)</f>
        <v/>
      </c>
      <c r="AA394" s="19">
        <f>IF(Deployments!L382="","",Deployments!L382)</f>
        <v/>
      </c>
    </row>
    <row r="395">
      <c r="A395" s="20" t="n"/>
      <c r="B395" s="20" t="n"/>
      <c r="C395" s="19">
        <f>IF(Deployments!H383="","",Deployments!H383)</f>
        <v/>
      </c>
      <c r="D395" s="19">
        <f>IF(Deployments!AM383="","",Deployments!AM383)</f>
        <v/>
      </c>
      <c r="E395" s="19">
        <f>IF(Deployments!I383="","",Deployments!I383)</f>
        <v/>
      </c>
      <c r="F395" s="19">
        <f>IF(Deployments!J383="","",Deployments!J383)</f>
        <v/>
      </c>
      <c r="G395" s="19">
        <f>IF(Deployments!K383="","",Deployments!K383)</f>
        <v/>
      </c>
      <c r="H395" s="19">
        <f>IF(Deployments!A383="","",Deployments!A383)</f>
        <v/>
      </c>
      <c r="I395" s="19">
        <f>IF(Deployments!AN383="","",Deployments!AN383)</f>
        <v/>
      </c>
      <c r="J395" s="19">
        <f>IF(Deployments!AO383="","",Deployments!AO383)</f>
        <v/>
      </c>
      <c r="K395" s="19">
        <f>IF(Deployments!AI383="","",Deployments!AI383)</f>
        <v/>
      </c>
      <c r="L395" s="19">
        <f>IF(Deployments!M383="","",Deployments!M383)</f>
        <v/>
      </c>
      <c r="M395" s="20" t="n"/>
      <c r="N395" s="19">
        <f>IF(Deployments!N383="","",Deployments!N383)</f>
        <v/>
      </c>
      <c r="O395" s="19">
        <f>IF(Deployments!O383="","",Deployments!O383)</f>
        <v/>
      </c>
      <c r="P395" s="19">
        <f>IF(Deployments!P383="","",Deployments!P383)</f>
        <v/>
      </c>
      <c r="Q395" s="20" t="n"/>
      <c r="R395" s="19">
        <f>IF(Deployments!BT383="","",Deployments!BT383)</f>
        <v/>
      </c>
      <c r="S395" s="19">
        <f>IF(Deployments!BS383="","",Deployments!BS383)</f>
        <v/>
      </c>
      <c r="T395" s="19">
        <f>IF(Deployments!BB383="","",Deployments!BB383)</f>
        <v/>
      </c>
      <c r="U395" s="19">
        <f>IF(Deployments!BR383="","",Deployments!BR383)</f>
        <v/>
      </c>
      <c r="V395" s="19">
        <f>IF(Deployments!BX383="","",Deployments!BX383)</f>
        <v/>
      </c>
      <c r="W395" s="19">
        <f>IF(Deployments!BY383="","",Deployments!BY383)</f>
        <v/>
      </c>
      <c r="X395" s="19">
        <f>IF(Deployments!CC383="","",Deployments!CC383)</f>
        <v/>
      </c>
      <c r="Y395" s="19">
        <f>IF(Deployments!BW383="","",Deployments!BW383)</f>
        <v/>
      </c>
      <c r="Z395" s="19">
        <f>IF(Deployments!U383="","",Deployments!U383)</f>
        <v/>
      </c>
      <c r="AA395" s="19">
        <f>IF(Deployments!L383="","",Deployments!L383)</f>
        <v/>
      </c>
    </row>
    <row r="396">
      <c r="A396" s="20" t="n"/>
      <c r="B396" s="20" t="n"/>
      <c r="C396" s="19">
        <f>IF(Deployments!H384="","",Deployments!H384)</f>
        <v/>
      </c>
      <c r="D396" s="19">
        <f>IF(Deployments!AM384="","",Deployments!AM384)</f>
        <v/>
      </c>
      <c r="E396" s="19">
        <f>IF(Deployments!I384="","",Deployments!I384)</f>
        <v/>
      </c>
      <c r="F396" s="19">
        <f>IF(Deployments!J384="","",Deployments!J384)</f>
        <v/>
      </c>
      <c r="G396" s="19">
        <f>IF(Deployments!K384="","",Deployments!K384)</f>
        <v/>
      </c>
      <c r="H396" s="19">
        <f>IF(Deployments!A384="","",Deployments!A384)</f>
        <v/>
      </c>
      <c r="I396" s="19">
        <f>IF(Deployments!AN384="","",Deployments!AN384)</f>
        <v/>
      </c>
      <c r="J396" s="19">
        <f>IF(Deployments!AO384="","",Deployments!AO384)</f>
        <v/>
      </c>
      <c r="K396" s="19">
        <f>IF(Deployments!AI384="","",Deployments!AI384)</f>
        <v/>
      </c>
      <c r="L396" s="19">
        <f>IF(Deployments!M384="","",Deployments!M384)</f>
        <v/>
      </c>
      <c r="M396" s="20" t="n"/>
      <c r="N396" s="19">
        <f>IF(Deployments!N384="","",Deployments!N384)</f>
        <v/>
      </c>
      <c r="O396" s="19">
        <f>IF(Deployments!O384="","",Deployments!O384)</f>
        <v/>
      </c>
      <c r="P396" s="19">
        <f>IF(Deployments!P384="","",Deployments!P384)</f>
        <v/>
      </c>
      <c r="Q396" s="20" t="n"/>
      <c r="R396" s="19">
        <f>IF(Deployments!BT384="","",Deployments!BT384)</f>
        <v/>
      </c>
      <c r="S396" s="19">
        <f>IF(Deployments!BS384="","",Deployments!BS384)</f>
        <v/>
      </c>
      <c r="T396" s="19">
        <f>IF(Deployments!BB384="","",Deployments!BB384)</f>
        <v/>
      </c>
      <c r="U396" s="19">
        <f>IF(Deployments!BR384="","",Deployments!BR384)</f>
        <v/>
      </c>
      <c r="V396" s="19">
        <f>IF(Deployments!BX384="","",Deployments!BX384)</f>
        <v/>
      </c>
      <c r="W396" s="19">
        <f>IF(Deployments!BY384="","",Deployments!BY384)</f>
        <v/>
      </c>
      <c r="X396" s="19">
        <f>IF(Deployments!CC384="","",Deployments!CC384)</f>
        <v/>
      </c>
      <c r="Y396" s="19">
        <f>IF(Deployments!BW384="","",Deployments!BW384)</f>
        <v/>
      </c>
      <c r="Z396" s="19">
        <f>IF(Deployments!U384="","",Deployments!U384)</f>
        <v/>
      </c>
      <c r="AA396" s="19">
        <f>IF(Deployments!L384="","",Deployments!L384)</f>
        <v/>
      </c>
    </row>
    <row r="397">
      <c r="A397" s="20" t="n"/>
      <c r="B397" s="20" t="n"/>
      <c r="C397" s="19">
        <f>IF(Deployments!H385="","",Deployments!H385)</f>
        <v/>
      </c>
      <c r="D397" s="19">
        <f>IF(Deployments!AM385="","",Deployments!AM385)</f>
        <v/>
      </c>
      <c r="E397" s="19">
        <f>IF(Deployments!I385="","",Deployments!I385)</f>
        <v/>
      </c>
      <c r="F397" s="19">
        <f>IF(Deployments!J385="","",Deployments!J385)</f>
        <v/>
      </c>
      <c r="G397" s="19">
        <f>IF(Deployments!K385="","",Deployments!K385)</f>
        <v/>
      </c>
      <c r="H397" s="19">
        <f>IF(Deployments!A385="","",Deployments!A385)</f>
        <v/>
      </c>
      <c r="I397" s="19">
        <f>IF(Deployments!AN385="","",Deployments!AN385)</f>
        <v/>
      </c>
      <c r="J397" s="19">
        <f>IF(Deployments!AO385="","",Deployments!AO385)</f>
        <v/>
      </c>
      <c r="K397" s="19">
        <f>IF(Deployments!AI385="","",Deployments!AI385)</f>
        <v/>
      </c>
      <c r="L397" s="19">
        <f>IF(Deployments!M385="","",Deployments!M385)</f>
        <v/>
      </c>
      <c r="M397" s="20" t="n"/>
      <c r="N397" s="19">
        <f>IF(Deployments!N385="","",Deployments!N385)</f>
        <v/>
      </c>
      <c r="O397" s="19">
        <f>IF(Deployments!O385="","",Deployments!O385)</f>
        <v/>
      </c>
      <c r="P397" s="19">
        <f>IF(Deployments!P385="","",Deployments!P385)</f>
        <v/>
      </c>
      <c r="Q397" s="20" t="n"/>
      <c r="R397" s="19">
        <f>IF(Deployments!BT385="","",Deployments!BT385)</f>
        <v/>
      </c>
      <c r="S397" s="19">
        <f>IF(Deployments!BS385="","",Deployments!BS385)</f>
        <v/>
      </c>
      <c r="T397" s="19">
        <f>IF(Deployments!BB385="","",Deployments!BB385)</f>
        <v/>
      </c>
      <c r="U397" s="19">
        <f>IF(Deployments!BR385="","",Deployments!BR385)</f>
        <v/>
      </c>
      <c r="V397" s="19">
        <f>IF(Deployments!BX385="","",Deployments!BX385)</f>
        <v/>
      </c>
      <c r="W397" s="19">
        <f>IF(Deployments!BY385="","",Deployments!BY385)</f>
        <v/>
      </c>
      <c r="X397" s="19">
        <f>IF(Deployments!CC385="","",Deployments!CC385)</f>
        <v/>
      </c>
      <c r="Y397" s="19">
        <f>IF(Deployments!BW385="","",Deployments!BW385)</f>
        <v/>
      </c>
      <c r="Z397" s="19">
        <f>IF(Deployments!U385="","",Deployments!U385)</f>
        <v/>
      </c>
      <c r="AA397" s="19">
        <f>IF(Deployments!L385="","",Deployments!L385)</f>
        <v/>
      </c>
    </row>
    <row r="398">
      <c r="A398" s="20" t="n"/>
      <c r="B398" s="20" t="n"/>
      <c r="C398" s="19">
        <f>IF(Deployments!H386="","",Deployments!H386)</f>
        <v/>
      </c>
      <c r="D398" s="19">
        <f>IF(Deployments!AM386="","",Deployments!AM386)</f>
        <v/>
      </c>
      <c r="E398" s="19">
        <f>IF(Deployments!I386="","",Deployments!I386)</f>
        <v/>
      </c>
      <c r="F398" s="19">
        <f>IF(Deployments!J386="","",Deployments!J386)</f>
        <v/>
      </c>
      <c r="G398" s="19">
        <f>IF(Deployments!K386="","",Deployments!K386)</f>
        <v/>
      </c>
      <c r="H398" s="19">
        <f>IF(Deployments!A386="","",Deployments!A386)</f>
        <v/>
      </c>
      <c r="I398" s="19">
        <f>IF(Deployments!AN386="","",Deployments!AN386)</f>
        <v/>
      </c>
      <c r="J398" s="19">
        <f>IF(Deployments!AO386="","",Deployments!AO386)</f>
        <v/>
      </c>
      <c r="K398" s="19">
        <f>IF(Deployments!AI386="","",Deployments!AI386)</f>
        <v/>
      </c>
      <c r="L398" s="19">
        <f>IF(Deployments!M386="","",Deployments!M386)</f>
        <v/>
      </c>
      <c r="M398" s="20" t="n"/>
      <c r="N398" s="19">
        <f>IF(Deployments!N386="","",Deployments!N386)</f>
        <v/>
      </c>
      <c r="O398" s="19">
        <f>IF(Deployments!O386="","",Deployments!O386)</f>
        <v/>
      </c>
      <c r="P398" s="19">
        <f>IF(Deployments!P386="","",Deployments!P386)</f>
        <v/>
      </c>
      <c r="Q398" s="20" t="n"/>
      <c r="R398" s="19">
        <f>IF(Deployments!BT386="","",Deployments!BT386)</f>
        <v/>
      </c>
      <c r="S398" s="19">
        <f>IF(Deployments!BS386="","",Deployments!BS386)</f>
        <v/>
      </c>
      <c r="T398" s="19">
        <f>IF(Deployments!BB386="","",Deployments!BB386)</f>
        <v/>
      </c>
      <c r="U398" s="19">
        <f>IF(Deployments!BR386="","",Deployments!BR386)</f>
        <v/>
      </c>
      <c r="V398" s="19">
        <f>IF(Deployments!BX386="","",Deployments!BX386)</f>
        <v/>
      </c>
      <c r="W398" s="19">
        <f>IF(Deployments!BY386="","",Deployments!BY386)</f>
        <v/>
      </c>
      <c r="X398" s="19">
        <f>IF(Deployments!CC386="","",Deployments!CC386)</f>
        <v/>
      </c>
      <c r="Y398" s="19">
        <f>IF(Deployments!BW386="","",Deployments!BW386)</f>
        <v/>
      </c>
      <c r="Z398" s="19">
        <f>IF(Deployments!U386="","",Deployments!U386)</f>
        <v/>
      </c>
      <c r="AA398" s="19">
        <f>IF(Deployments!L386="","",Deployments!L386)</f>
        <v/>
      </c>
    </row>
    <row r="399">
      <c r="A399" s="20" t="n"/>
      <c r="B399" s="20" t="n"/>
      <c r="C399" s="19">
        <f>IF(Deployments!H387="","",Deployments!H387)</f>
        <v/>
      </c>
      <c r="D399" s="19">
        <f>IF(Deployments!AM387="","",Deployments!AM387)</f>
        <v/>
      </c>
      <c r="E399" s="19">
        <f>IF(Deployments!I387="","",Deployments!I387)</f>
        <v/>
      </c>
      <c r="F399" s="19">
        <f>IF(Deployments!J387="","",Deployments!J387)</f>
        <v/>
      </c>
      <c r="G399" s="19">
        <f>IF(Deployments!K387="","",Deployments!K387)</f>
        <v/>
      </c>
      <c r="H399" s="19">
        <f>IF(Deployments!A387="","",Deployments!A387)</f>
        <v/>
      </c>
      <c r="I399" s="19">
        <f>IF(Deployments!AN387="","",Deployments!AN387)</f>
        <v/>
      </c>
      <c r="J399" s="19">
        <f>IF(Deployments!AO387="","",Deployments!AO387)</f>
        <v/>
      </c>
      <c r="K399" s="19">
        <f>IF(Deployments!AI387="","",Deployments!AI387)</f>
        <v/>
      </c>
      <c r="L399" s="19">
        <f>IF(Deployments!M387="","",Deployments!M387)</f>
        <v/>
      </c>
      <c r="M399" s="20" t="n"/>
      <c r="N399" s="19">
        <f>IF(Deployments!N387="","",Deployments!N387)</f>
        <v/>
      </c>
      <c r="O399" s="19">
        <f>IF(Deployments!O387="","",Deployments!O387)</f>
        <v/>
      </c>
      <c r="P399" s="19">
        <f>IF(Deployments!P387="","",Deployments!P387)</f>
        <v/>
      </c>
      <c r="Q399" s="20" t="n"/>
      <c r="R399" s="19">
        <f>IF(Deployments!BT387="","",Deployments!BT387)</f>
        <v/>
      </c>
      <c r="S399" s="19">
        <f>IF(Deployments!BS387="","",Deployments!BS387)</f>
        <v/>
      </c>
      <c r="T399" s="19">
        <f>IF(Deployments!BB387="","",Deployments!BB387)</f>
        <v/>
      </c>
      <c r="U399" s="19">
        <f>IF(Deployments!BR387="","",Deployments!BR387)</f>
        <v/>
      </c>
      <c r="V399" s="19">
        <f>IF(Deployments!BX387="","",Deployments!BX387)</f>
        <v/>
      </c>
      <c r="W399" s="19">
        <f>IF(Deployments!BY387="","",Deployments!BY387)</f>
        <v/>
      </c>
      <c r="X399" s="19">
        <f>IF(Deployments!CC387="","",Deployments!CC387)</f>
        <v/>
      </c>
      <c r="Y399" s="19">
        <f>IF(Deployments!BW387="","",Deployments!BW387)</f>
        <v/>
      </c>
      <c r="Z399" s="19">
        <f>IF(Deployments!U387="","",Deployments!U387)</f>
        <v/>
      </c>
      <c r="AA399" s="19">
        <f>IF(Deployments!L387="","",Deployments!L387)</f>
        <v/>
      </c>
    </row>
    <row r="400">
      <c r="A400" s="20" t="n"/>
      <c r="B400" s="20" t="n"/>
      <c r="C400" s="19">
        <f>IF(Deployments!H388="","",Deployments!H388)</f>
        <v/>
      </c>
      <c r="D400" s="19">
        <f>IF(Deployments!AM388="","",Deployments!AM388)</f>
        <v/>
      </c>
      <c r="E400" s="19">
        <f>IF(Deployments!I388="","",Deployments!I388)</f>
        <v/>
      </c>
      <c r="F400" s="19">
        <f>IF(Deployments!J388="","",Deployments!J388)</f>
        <v/>
      </c>
      <c r="G400" s="19">
        <f>IF(Deployments!K388="","",Deployments!K388)</f>
        <v/>
      </c>
      <c r="H400" s="19">
        <f>IF(Deployments!A388="","",Deployments!A388)</f>
        <v/>
      </c>
      <c r="I400" s="19">
        <f>IF(Deployments!AN388="","",Deployments!AN388)</f>
        <v/>
      </c>
      <c r="J400" s="19">
        <f>IF(Deployments!AO388="","",Deployments!AO388)</f>
        <v/>
      </c>
      <c r="K400" s="19">
        <f>IF(Deployments!AI388="","",Deployments!AI388)</f>
        <v/>
      </c>
      <c r="L400" s="19">
        <f>IF(Deployments!M388="","",Deployments!M388)</f>
        <v/>
      </c>
      <c r="M400" s="20" t="n"/>
      <c r="N400" s="19">
        <f>IF(Deployments!N388="","",Deployments!N388)</f>
        <v/>
      </c>
      <c r="O400" s="19">
        <f>IF(Deployments!O388="","",Deployments!O388)</f>
        <v/>
      </c>
      <c r="P400" s="19">
        <f>IF(Deployments!P388="","",Deployments!P388)</f>
        <v/>
      </c>
      <c r="Q400" s="20" t="n"/>
      <c r="R400" s="19">
        <f>IF(Deployments!BT388="","",Deployments!BT388)</f>
        <v/>
      </c>
      <c r="S400" s="19">
        <f>IF(Deployments!BS388="","",Deployments!BS388)</f>
        <v/>
      </c>
      <c r="T400" s="19">
        <f>IF(Deployments!BB388="","",Deployments!BB388)</f>
        <v/>
      </c>
      <c r="U400" s="19">
        <f>IF(Deployments!BR388="","",Deployments!BR388)</f>
        <v/>
      </c>
      <c r="V400" s="19">
        <f>IF(Deployments!BX388="","",Deployments!BX388)</f>
        <v/>
      </c>
      <c r="W400" s="19">
        <f>IF(Deployments!BY388="","",Deployments!BY388)</f>
        <v/>
      </c>
      <c r="X400" s="19">
        <f>IF(Deployments!CC388="","",Deployments!CC388)</f>
        <v/>
      </c>
      <c r="Y400" s="19">
        <f>IF(Deployments!BW388="","",Deployments!BW388)</f>
        <v/>
      </c>
      <c r="Z400" s="19">
        <f>IF(Deployments!U388="","",Deployments!U388)</f>
        <v/>
      </c>
      <c r="AA400" s="19">
        <f>IF(Deployments!L388="","",Deployments!L388)</f>
        <v/>
      </c>
    </row>
    <row r="401">
      <c r="A401" s="20" t="n"/>
      <c r="B401" s="20" t="n"/>
      <c r="C401" s="19">
        <f>IF(Deployments!H389="","",Deployments!H389)</f>
        <v/>
      </c>
      <c r="D401" s="19">
        <f>IF(Deployments!AM389="","",Deployments!AM389)</f>
        <v/>
      </c>
      <c r="E401" s="19">
        <f>IF(Deployments!I389="","",Deployments!I389)</f>
        <v/>
      </c>
      <c r="F401" s="19">
        <f>IF(Deployments!J389="","",Deployments!J389)</f>
        <v/>
      </c>
      <c r="G401" s="19">
        <f>IF(Deployments!K389="","",Deployments!K389)</f>
        <v/>
      </c>
      <c r="H401" s="19">
        <f>IF(Deployments!A389="","",Deployments!A389)</f>
        <v/>
      </c>
      <c r="I401" s="19">
        <f>IF(Deployments!AN389="","",Deployments!AN389)</f>
        <v/>
      </c>
      <c r="J401" s="19">
        <f>IF(Deployments!AO389="","",Deployments!AO389)</f>
        <v/>
      </c>
      <c r="K401" s="19">
        <f>IF(Deployments!AI389="","",Deployments!AI389)</f>
        <v/>
      </c>
      <c r="L401" s="19">
        <f>IF(Deployments!M389="","",Deployments!M389)</f>
        <v/>
      </c>
      <c r="M401" s="20" t="n"/>
      <c r="N401" s="19">
        <f>IF(Deployments!N389="","",Deployments!N389)</f>
        <v/>
      </c>
      <c r="O401" s="19">
        <f>IF(Deployments!O389="","",Deployments!O389)</f>
        <v/>
      </c>
      <c r="P401" s="19">
        <f>IF(Deployments!P389="","",Deployments!P389)</f>
        <v/>
      </c>
      <c r="Q401" s="20" t="n"/>
      <c r="R401" s="19">
        <f>IF(Deployments!BT389="","",Deployments!BT389)</f>
        <v/>
      </c>
      <c r="S401" s="19">
        <f>IF(Deployments!BS389="","",Deployments!BS389)</f>
        <v/>
      </c>
      <c r="T401" s="19">
        <f>IF(Deployments!BB389="","",Deployments!BB389)</f>
        <v/>
      </c>
      <c r="U401" s="19">
        <f>IF(Deployments!BR389="","",Deployments!BR389)</f>
        <v/>
      </c>
      <c r="V401" s="19">
        <f>IF(Deployments!BX389="","",Deployments!BX389)</f>
        <v/>
      </c>
      <c r="W401" s="19">
        <f>IF(Deployments!BY389="","",Deployments!BY389)</f>
        <v/>
      </c>
      <c r="X401" s="19">
        <f>IF(Deployments!CC389="","",Deployments!CC389)</f>
        <v/>
      </c>
      <c r="Y401" s="19">
        <f>IF(Deployments!BW389="","",Deployments!BW389)</f>
        <v/>
      </c>
      <c r="Z401" s="19">
        <f>IF(Deployments!U389="","",Deployments!U389)</f>
        <v/>
      </c>
      <c r="AA401" s="19">
        <f>IF(Deployments!L389="","",Deployments!L389)</f>
        <v/>
      </c>
    </row>
    <row r="402">
      <c r="A402" s="20" t="n"/>
      <c r="B402" s="20" t="n"/>
      <c r="C402" s="19">
        <f>IF(Deployments!H390="","",Deployments!H390)</f>
        <v/>
      </c>
      <c r="D402" s="19">
        <f>IF(Deployments!AM390="","",Deployments!AM390)</f>
        <v/>
      </c>
      <c r="E402" s="19">
        <f>IF(Deployments!I390="","",Deployments!I390)</f>
        <v/>
      </c>
      <c r="F402" s="19">
        <f>IF(Deployments!J390="","",Deployments!J390)</f>
        <v/>
      </c>
      <c r="G402" s="19">
        <f>IF(Deployments!K390="","",Deployments!K390)</f>
        <v/>
      </c>
      <c r="H402" s="19">
        <f>IF(Deployments!A390="","",Deployments!A390)</f>
        <v/>
      </c>
      <c r="I402" s="19">
        <f>IF(Deployments!AN390="","",Deployments!AN390)</f>
        <v/>
      </c>
      <c r="J402" s="19">
        <f>IF(Deployments!AO390="","",Deployments!AO390)</f>
        <v/>
      </c>
      <c r="K402" s="19">
        <f>IF(Deployments!AI390="","",Deployments!AI390)</f>
        <v/>
      </c>
      <c r="L402" s="19">
        <f>IF(Deployments!M390="","",Deployments!M390)</f>
        <v/>
      </c>
      <c r="M402" s="20" t="n"/>
      <c r="N402" s="19">
        <f>IF(Deployments!N390="","",Deployments!N390)</f>
        <v/>
      </c>
      <c r="O402" s="19">
        <f>IF(Deployments!O390="","",Deployments!O390)</f>
        <v/>
      </c>
      <c r="P402" s="19">
        <f>IF(Deployments!P390="","",Deployments!P390)</f>
        <v/>
      </c>
      <c r="Q402" s="20" t="n"/>
      <c r="R402" s="19">
        <f>IF(Deployments!BT390="","",Deployments!BT390)</f>
        <v/>
      </c>
      <c r="S402" s="19">
        <f>IF(Deployments!BS390="","",Deployments!BS390)</f>
        <v/>
      </c>
      <c r="T402" s="19">
        <f>IF(Deployments!BB390="","",Deployments!BB390)</f>
        <v/>
      </c>
      <c r="U402" s="19">
        <f>IF(Deployments!BR390="","",Deployments!BR390)</f>
        <v/>
      </c>
      <c r="V402" s="19">
        <f>IF(Deployments!BX390="","",Deployments!BX390)</f>
        <v/>
      </c>
      <c r="W402" s="19">
        <f>IF(Deployments!BY390="","",Deployments!BY390)</f>
        <v/>
      </c>
      <c r="X402" s="19">
        <f>IF(Deployments!CC390="","",Deployments!CC390)</f>
        <v/>
      </c>
      <c r="Y402" s="19">
        <f>IF(Deployments!BW390="","",Deployments!BW390)</f>
        <v/>
      </c>
      <c r="Z402" s="19">
        <f>IF(Deployments!U390="","",Deployments!U390)</f>
        <v/>
      </c>
      <c r="AA402" s="19">
        <f>IF(Deployments!L390="","",Deployments!L390)</f>
        <v/>
      </c>
    </row>
    <row r="403">
      <c r="A403" s="20" t="n"/>
      <c r="B403" s="20" t="n"/>
      <c r="C403" s="19">
        <f>IF(Deployments!H391="","",Deployments!H391)</f>
        <v/>
      </c>
      <c r="D403" s="19">
        <f>IF(Deployments!AM391="","",Deployments!AM391)</f>
        <v/>
      </c>
      <c r="E403" s="19">
        <f>IF(Deployments!I391="","",Deployments!I391)</f>
        <v/>
      </c>
      <c r="F403" s="19">
        <f>IF(Deployments!J391="","",Deployments!J391)</f>
        <v/>
      </c>
      <c r="G403" s="19">
        <f>IF(Deployments!K391="","",Deployments!K391)</f>
        <v/>
      </c>
      <c r="H403" s="19">
        <f>IF(Deployments!A391="","",Deployments!A391)</f>
        <v/>
      </c>
      <c r="I403" s="19">
        <f>IF(Deployments!AN391="","",Deployments!AN391)</f>
        <v/>
      </c>
      <c r="J403" s="19">
        <f>IF(Deployments!AO391="","",Deployments!AO391)</f>
        <v/>
      </c>
      <c r="K403" s="19">
        <f>IF(Deployments!AI391="","",Deployments!AI391)</f>
        <v/>
      </c>
      <c r="L403" s="19">
        <f>IF(Deployments!M391="","",Deployments!M391)</f>
        <v/>
      </c>
      <c r="M403" s="20" t="n"/>
      <c r="N403" s="19">
        <f>IF(Deployments!N391="","",Deployments!N391)</f>
        <v/>
      </c>
      <c r="O403" s="19">
        <f>IF(Deployments!O391="","",Deployments!O391)</f>
        <v/>
      </c>
      <c r="P403" s="19">
        <f>IF(Deployments!P391="","",Deployments!P391)</f>
        <v/>
      </c>
      <c r="Q403" s="20" t="n"/>
      <c r="R403" s="19">
        <f>IF(Deployments!BT391="","",Deployments!BT391)</f>
        <v/>
      </c>
      <c r="S403" s="19">
        <f>IF(Deployments!BS391="","",Deployments!BS391)</f>
        <v/>
      </c>
      <c r="T403" s="19">
        <f>IF(Deployments!BB391="","",Deployments!BB391)</f>
        <v/>
      </c>
      <c r="U403" s="19">
        <f>IF(Deployments!BR391="","",Deployments!BR391)</f>
        <v/>
      </c>
      <c r="V403" s="19">
        <f>IF(Deployments!BX391="","",Deployments!BX391)</f>
        <v/>
      </c>
      <c r="W403" s="19">
        <f>IF(Deployments!BY391="","",Deployments!BY391)</f>
        <v/>
      </c>
      <c r="X403" s="19">
        <f>IF(Deployments!CC391="","",Deployments!CC391)</f>
        <v/>
      </c>
      <c r="Y403" s="19">
        <f>IF(Deployments!BW391="","",Deployments!BW391)</f>
        <v/>
      </c>
      <c r="Z403" s="19">
        <f>IF(Deployments!U391="","",Deployments!U391)</f>
        <v/>
      </c>
      <c r="AA403" s="19">
        <f>IF(Deployments!L391="","",Deployments!L391)</f>
        <v/>
      </c>
    </row>
    <row r="404">
      <c r="A404" s="20" t="n"/>
      <c r="B404" s="20" t="n"/>
      <c r="C404" s="19">
        <f>IF(Deployments!H392="","",Deployments!H392)</f>
        <v/>
      </c>
      <c r="D404" s="19">
        <f>IF(Deployments!AM392="","",Deployments!AM392)</f>
        <v/>
      </c>
      <c r="E404" s="19">
        <f>IF(Deployments!I392="","",Deployments!I392)</f>
        <v/>
      </c>
      <c r="F404" s="19">
        <f>IF(Deployments!J392="","",Deployments!J392)</f>
        <v/>
      </c>
      <c r="G404" s="19">
        <f>IF(Deployments!K392="","",Deployments!K392)</f>
        <v/>
      </c>
      <c r="H404" s="19">
        <f>IF(Deployments!A392="","",Deployments!A392)</f>
        <v/>
      </c>
      <c r="I404" s="19">
        <f>IF(Deployments!AN392="","",Deployments!AN392)</f>
        <v/>
      </c>
      <c r="J404" s="19">
        <f>IF(Deployments!AO392="","",Deployments!AO392)</f>
        <v/>
      </c>
      <c r="K404" s="19">
        <f>IF(Deployments!AI392="","",Deployments!AI392)</f>
        <v/>
      </c>
      <c r="L404" s="19">
        <f>IF(Deployments!M392="","",Deployments!M392)</f>
        <v/>
      </c>
      <c r="M404" s="20" t="n"/>
      <c r="N404" s="19">
        <f>IF(Deployments!N392="","",Deployments!N392)</f>
        <v/>
      </c>
      <c r="O404" s="19">
        <f>IF(Deployments!O392="","",Deployments!O392)</f>
        <v/>
      </c>
      <c r="P404" s="19">
        <f>IF(Deployments!P392="","",Deployments!P392)</f>
        <v/>
      </c>
      <c r="Q404" s="20" t="n"/>
      <c r="R404" s="19">
        <f>IF(Deployments!BT392="","",Deployments!BT392)</f>
        <v/>
      </c>
      <c r="S404" s="19">
        <f>IF(Deployments!BS392="","",Deployments!BS392)</f>
        <v/>
      </c>
      <c r="T404" s="19">
        <f>IF(Deployments!BB392="","",Deployments!BB392)</f>
        <v/>
      </c>
      <c r="U404" s="19">
        <f>IF(Deployments!BR392="","",Deployments!BR392)</f>
        <v/>
      </c>
      <c r="V404" s="19">
        <f>IF(Deployments!BX392="","",Deployments!BX392)</f>
        <v/>
      </c>
      <c r="W404" s="19">
        <f>IF(Deployments!BY392="","",Deployments!BY392)</f>
        <v/>
      </c>
      <c r="X404" s="19">
        <f>IF(Deployments!CC392="","",Deployments!CC392)</f>
        <v/>
      </c>
      <c r="Y404" s="19">
        <f>IF(Deployments!BW392="","",Deployments!BW392)</f>
        <v/>
      </c>
      <c r="Z404" s="19">
        <f>IF(Deployments!U392="","",Deployments!U392)</f>
        <v/>
      </c>
      <c r="AA404" s="19">
        <f>IF(Deployments!L392="","",Deployments!L392)</f>
        <v/>
      </c>
    </row>
    <row r="405">
      <c r="A405" s="20" t="n"/>
      <c r="B405" s="20" t="n"/>
      <c r="C405" s="19">
        <f>IF(Deployments!H393="","",Deployments!H393)</f>
        <v/>
      </c>
      <c r="D405" s="19">
        <f>IF(Deployments!AM393="","",Deployments!AM393)</f>
        <v/>
      </c>
      <c r="E405" s="19">
        <f>IF(Deployments!I393="","",Deployments!I393)</f>
        <v/>
      </c>
      <c r="F405" s="19">
        <f>IF(Deployments!J393="","",Deployments!J393)</f>
        <v/>
      </c>
      <c r="G405" s="19">
        <f>IF(Deployments!K393="","",Deployments!K393)</f>
        <v/>
      </c>
      <c r="H405" s="19">
        <f>IF(Deployments!A393="","",Deployments!A393)</f>
        <v/>
      </c>
      <c r="I405" s="19">
        <f>IF(Deployments!AN393="","",Deployments!AN393)</f>
        <v/>
      </c>
      <c r="J405" s="19">
        <f>IF(Deployments!AO393="","",Deployments!AO393)</f>
        <v/>
      </c>
      <c r="K405" s="19">
        <f>IF(Deployments!AI393="","",Deployments!AI393)</f>
        <v/>
      </c>
      <c r="L405" s="19">
        <f>IF(Deployments!M393="","",Deployments!M393)</f>
        <v/>
      </c>
      <c r="M405" s="20" t="n"/>
      <c r="N405" s="19">
        <f>IF(Deployments!N393="","",Deployments!N393)</f>
        <v/>
      </c>
      <c r="O405" s="19">
        <f>IF(Deployments!O393="","",Deployments!O393)</f>
        <v/>
      </c>
      <c r="P405" s="19">
        <f>IF(Deployments!P393="","",Deployments!P393)</f>
        <v/>
      </c>
      <c r="Q405" s="20" t="n"/>
      <c r="R405" s="19">
        <f>IF(Deployments!BT393="","",Deployments!BT393)</f>
        <v/>
      </c>
      <c r="S405" s="19">
        <f>IF(Deployments!BS393="","",Deployments!BS393)</f>
        <v/>
      </c>
      <c r="T405" s="19">
        <f>IF(Deployments!BB393="","",Deployments!BB393)</f>
        <v/>
      </c>
      <c r="U405" s="19">
        <f>IF(Deployments!BR393="","",Deployments!BR393)</f>
        <v/>
      </c>
      <c r="V405" s="19">
        <f>IF(Deployments!BX393="","",Deployments!BX393)</f>
        <v/>
      </c>
      <c r="W405" s="19">
        <f>IF(Deployments!BY393="","",Deployments!BY393)</f>
        <v/>
      </c>
      <c r="X405" s="19">
        <f>IF(Deployments!CC393="","",Deployments!CC393)</f>
        <v/>
      </c>
      <c r="Y405" s="19">
        <f>IF(Deployments!BW393="","",Deployments!BW393)</f>
        <v/>
      </c>
      <c r="Z405" s="19">
        <f>IF(Deployments!U393="","",Deployments!U393)</f>
        <v/>
      </c>
      <c r="AA405" s="19">
        <f>IF(Deployments!L393="","",Deployments!L393)</f>
        <v/>
      </c>
    </row>
    <row r="406">
      <c r="A406" s="20" t="n"/>
      <c r="B406" s="20" t="n"/>
      <c r="C406" s="19">
        <f>IF(Deployments!H394="","",Deployments!H394)</f>
        <v/>
      </c>
      <c r="D406" s="19">
        <f>IF(Deployments!AM394="","",Deployments!AM394)</f>
        <v/>
      </c>
      <c r="E406" s="19">
        <f>IF(Deployments!I394="","",Deployments!I394)</f>
        <v/>
      </c>
      <c r="F406" s="19">
        <f>IF(Deployments!J394="","",Deployments!J394)</f>
        <v/>
      </c>
      <c r="G406" s="19">
        <f>IF(Deployments!K394="","",Deployments!K394)</f>
        <v/>
      </c>
      <c r="H406" s="19">
        <f>IF(Deployments!A394="","",Deployments!A394)</f>
        <v/>
      </c>
      <c r="I406" s="19">
        <f>IF(Deployments!AN394="","",Deployments!AN394)</f>
        <v/>
      </c>
      <c r="J406" s="19">
        <f>IF(Deployments!AO394="","",Deployments!AO394)</f>
        <v/>
      </c>
      <c r="K406" s="19">
        <f>IF(Deployments!AI394="","",Deployments!AI394)</f>
        <v/>
      </c>
      <c r="L406" s="19">
        <f>IF(Deployments!M394="","",Deployments!M394)</f>
        <v/>
      </c>
      <c r="M406" s="20" t="n"/>
      <c r="N406" s="19">
        <f>IF(Deployments!N394="","",Deployments!N394)</f>
        <v/>
      </c>
      <c r="O406" s="19">
        <f>IF(Deployments!O394="","",Deployments!O394)</f>
        <v/>
      </c>
      <c r="P406" s="19">
        <f>IF(Deployments!P394="","",Deployments!P394)</f>
        <v/>
      </c>
      <c r="Q406" s="20" t="n"/>
      <c r="R406" s="19">
        <f>IF(Deployments!BT394="","",Deployments!BT394)</f>
        <v/>
      </c>
      <c r="S406" s="19">
        <f>IF(Deployments!BS394="","",Deployments!BS394)</f>
        <v/>
      </c>
      <c r="T406" s="19">
        <f>IF(Deployments!BB394="","",Deployments!BB394)</f>
        <v/>
      </c>
      <c r="U406" s="19">
        <f>IF(Deployments!BR394="","",Deployments!BR394)</f>
        <v/>
      </c>
      <c r="V406" s="19">
        <f>IF(Deployments!BX394="","",Deployments!BX394)</f>
        <v/>
      </c>
      <c r="W406" s="19">
        <f>IF(Deployments!BY394="","",Deployments!BY394)</f>
        <v/>
      </c>
      <c r="X406" s="19">
        <f>IF(Deployments!CC394="","",Deployments!CC394)</f>
        <v/>
      </c>
      <c r="Y406" s="19">
        <f>IF(Deployments!BW394="","",Deployments!BW394)</f>
        <v/>
      </c>
      <c r="Z406" s="19">
        <f>IF(Deployments!U394="","",Deployments!U394)</f>
        <v/>
      </c>
      <c r="AA406" s="19">
        <f>IF(Deployments!L394="","",Deployments!L394)</f>
        <v/>
      </c>
    </row>
    <row r="407">
      <c r="A407" s="20" t="n"/>
      <c r="B407" s="20" t="n"/>
      <c r="C407" s="19">
        <f>IF(Deployments!H395="","",Deployments!H395)</f>
        <v/>
      </c>
      <c r="D407" s="19">
        <f>IF(Deployments!AM395="","",Deployments!AM395)</f>
        <v/>
      </c>
      <c r="E407" s="19">
        <f>IF(Deployments!I395="","",Deployments!I395)</f>
        <v/>
      </c>
      <c r="F407" s="19">
        <f>IF(Deployments!J395="","",Deployments!J395)</f>
        <v/>
      </c>
      <c r="G407" s="19">
        <f>IF(Deployments!K395="","",Deployments!K395)</f>
        <v/>
      </c>
      <c r="H407" s="19">
        <f>IF(Deployments!A395="","",Deployments!A395)</f>
        <v/>
      </c>
      <c r="I407" s="19">
        <f>IF(Deployments!AN395="","",Deployments!AN395)</f>
        <v/>
      </c>
      <c r="J407" s="19">
        <f>IF(Deployments!AO395="","",Deployments!AO395)</f>
        <v/>
      </c>
      <c r="K407" s="19">
        <f>IF(Deployments!AI395="","",Deployments!AI395)</f>
        <v/>
      </c>
      <c r="L407" s="19">
        <f>IF(Deployments!M395="","",Deployments!M395)</f>
        <v/>
      </c>
      <c r="M407" s="20" t="n"/>
      <c r="N407" s="19">
        <f>IF(Deployments!N395="","",Deployments!N395)</f>
        <v/>
      </c>
      <c r="O407" s="19">
        <f>IF(Deployments!O395="","",Deployments!O395)</f>
        <v/>
      </c>
      <c r="P407" s="19">
        <f>IF(Deployments!P395="","",Deployments!P395)</f>
        <v/>
      </c>
      <c r="Q407" s="20" t="n"/>
      <c r="R407" s="19">
        <f>IF(Deployments!BT395="","",Deployments!BT395)</f>
        <v/>
      </c>
      <c r="S407" s="19">
        <f>IF(Deployments!BS395="","",Deployments!BS395)</f>
        <v/>
      </c>
      <c r="T407" s="19">
        <f>IF(Deployments!BB395="","",Deployments!BB395)</f>
        <v/>
      </c>
      <c r="U407" s="19">
        <f>IF(Deployments!BR395="","",Deployments!BR395)</f>
        <v/>
      </c>
      <c r="V407" s="19">
        <f>IF(Deployments!BX395="","",Deployments!BX395)</f>
        <v/>
      </c>
      <c r="W407" s="19">
        <f>IF(Deployments!BY395="","",Deployments!BY395)</f>
        <v/>
      </c>
      <c r="X407" s="19">
        <f>IF(Deployments!CC395="","",Deployments!CC395)</f>
        <v/>
      </c>
      <c r="Y407" s="19">
        <f>IF(Deployments!BW395="","",Deployments!BW395)</f>
        <v/>
      </c>
      <c r="Z407" s="19">
        <f>IF(Deployments!U395="","",Deployments!U395)</f>
        <v/>
      </c>
      <c r="AA407" s="19">
        <f>IF(Deployments!L395="","",Deployments!L395)</f>
        <v/>
      </c>
    </row>
    <row r="408">
      <c r="A408" s="20" t="n"/>
      <c r="B408" s="20" t="n"/>
      <c r="C408" s="19">
        <f>IF(Deployments!H396="","",Deployments!H396)</f>
        <v/>
      </c>
      <c r="D408" s="19">
        <f>IF(Deployments!AM396="","",Deployments!AM396)</f>
        <v/>
      </c>
      <c r="E408" s="19">
        <f>IF(Deployments!I396="","",Deployments!I396)</f>
        <v/>
      </c>
      <c r="F408" s="19">
        <f>IF(Deployments!J396="","",Deployments!J396)</f>
        <v/>
      </c>
      <c r="G408" s="19">
        <f>IF(Deployments!K396="","",Deployments!K396)</f>
        <v/>
      </c>
      <c r="H408" s="19">
        <f>IF(Deployments!A396="","",Deployments!A396)</f>
        <v/>
      </c>
      <c r="I408" s="19">
        <f>IF(Deployments!AN396="","",Deployments!AN396)</f>
        <v/>
      </c>
      <c r="J408" s="19">
        <f>IF(Deployments!AO396="","",Deployments!AO396)</f>
        <v/>
      </c>
      <c r="K408" s="19">
        <f>IF(Deployments!AI396="","",Deployments!AI396)</f>
        <v/>
      </c>
      <c r="L408" s="19">
        <f>IF(Deployments!M396="","",Deployments!M396)</f>
        <v/>
      </c>
      <c r="M408" s="20" t="n"/>
      <c r="N408" s="19">
        <f>IF(Deployments!N396="","",Deployments!N396)</f>
        <v/>
      </c>
      <c r="O408" s="19">
        <f>IF(Deployments!O396="","",Deployments!O396)</f>
        <v/>
      </c>
      <c r="P408" s="19">
        <f>IF(Deployments!P396="","",Deployments!P396)</f>
        <v/>
      </c>
      <c r="Q408" s="20" t="n"/>
      <c r="R408" s="19">
        <f>IF(Deployments!BT396="","",Deployments!BT396)</f>
        <v/>
      </c>
      <c r="S408" s="19">
        <f>IF(Deployments!BS396="","",Deployments!BS396)</f>
        <v/>
      </c>
      <c r="T408" s="19">
        <f>IF(Deployments!BB396="","",Deployments!BB396)</f>
        <v/>
      </c>
      <c r="U408" s="19">
        <f>IF(Deployments!BR396="","",Deployments!BR396)</f>
        <v/>
      </c>
      <c r="V408" s="19">
        <f>IF(Deployments!BX396="","",Deployments!BX396)</f>
        <v/>
      </c>
      <c r="W408" s="19">
        <f>IF(Deployments!BY396="","",Deployments!BY396)</f>
        <v/>
      </c>
      <c r="X408" s="19">
        <f>IF(Deployments!CC396="","",Deployments!CC396)</f>
        <v/>
      </c>
      <c r="Y408" s="19">
        <f>IF(Deployments!BW396="","",Deployments!BW396)</f>
        <v/>
      </c>
      <c r="Z408" s="19">
        <f>IF(Deployments!U396="","",Deployments!U396)</f>
        <v/>
      </c>
      <c r="AA408" s="19">
        <f>IF(Deployments!L396="","",Deployments!L396)</f>
        <v/>
      </c>
    </row>
    <row r="409">
      <c r="A409" s="20" t="n"/>
      <c r="B409" s="20" t="n"/>
      <c r="C409" s="19">
        <f>IF(Deployments!H397="","",Deployments!H397)</f>
        <v/>
      </c>
      <c r="D409" s="19">
        <f>IF(Deployments!AM397="","",Deployments!AM397)</f>
        <v/>
      </c>
      <c r="E409" s="19">
        <f>IF(Deployments!I397="","",Deployments!I397)</f>
        <v/>
      </c>
      <c r="F409" s="19">
        <f>IF(Deployments!J397="","",Deployments!J397)</f>
        <v/>
      </c>
      <c r="G409" s="19">
        <f>IF(Deployments!K397="","",Deployments!K397)</f>
        <v/>
      </c>
      <c r="H409" s="19">
        <f>IF(Deployments!A397="","",Deployments!A397)</f>
        <v/>
      </c>
      <c r="I409" s="19">
        <f>IF(Deployments!AN397="","",Deployments!AN397)</f>
        <v/>
      </c>
      <c r="J409" s="19">
        <f>IF(Deployments!AO397="","",Deployments!AO397)</f>
        <v/>
      </c>
      <c r="K409" s="19">
        <f>IF(Deployments!AI397="","",Deployments!AI397)</f>
        <v/>
      </c>
      <c r="L409" s="19">
        <f>IF(Deployments!M397="","",Deployments!M397)</f>
        <v/>
      </c>
      <c r="M409" s="20" t="n"/>
      <c r="N409" s="19">
        <f>IF(Deployments!N397="","",Deployments!N397)</f>
        <v/>
      </c>
      <c r="O409" s="19">
        <f>IF(Deployments!O397="","",Deployments!O397)</f>
        <v/>
      </c>
      <c r="P409" s="19">
        <f>IF(Deployments!P397="","",Deployments!P397)</f>
        <v/>
      </c>
      <c r="Q409" s="20" t="n"/>
      <c r="R409" s="19">
        <f>IF(Deployments!BT397="","",Deployments!BT397)</f>
        <v/>
      </c>
      <c r="S409" s="19">
        <f>IF(Deployments!BS397="","",Deployments!BS397)</f>
        <v/>
      </c>
      <c r="T409" s="19">
        <f>IF(Deployments!BB397="","",Deployments!BB397)</f>
        <v/>
      </c>
      <c r="U409" s="19">
        <f>IF(Deployments!BR397="","",Deployments!BR397)</f>
        <v/>
      </c>
      <c r="V409" s="19">
        <f>IF(Deployments!BX397="","",Deployments!BX397)</f>
        <v/>
      </c>
      <c r="W409" s="19">
        <f>IF(Deployments!BY397="","",Deployments!BY397)</f>
        <v/>
      </c>
      <c r="X409" s="19">
        <f>IF(Deployments!CC397="","",Deployments!CC397)</f>
        <v/>
      </c>
      <c r="Y409" s="19">
        <f>IF(Deployments!BW397="","",Deployments!BW397)</f>
        <v/>
      </c>
      <c r="Z409" s="19">
        <f>IF(Deployments!U397="","",Deployments!U397)</f>
        <v/>
      </c>
      <c r="AA409" s="19">
        <f>IF(Deployments!L397="","",Deployments!L397)</f>
        <v/>
      </c>
    </row>
    <row r="410">
      <c r="A410" s="20" t="n"/>
      <c r="B410" s="20" t="n"/>
      <c r="C410" s="19">
        <f>IF(Deployments!H398="","",Deployments!H398)</f>
        <v/>
      </c>
      <c r="D410" s="19">
        <f>IF(Deployments!AM398="","",Deployments!AM398)</f>
        <v/>
      </c>
      <c r="E410" s="19">
        <f>IF(Deployments!I398="","",Deployments!I398)</f>
        <v/>
      </c>
      <c r="F410" s="19">
        <f>IF(Deployments!J398="","",Deployments!J398)</f>
        <v/>
      </c>
      <c r="G410" s="19">
        <f>IF(Deployments!K398="","",Deployments!K398)</f>
        <v/>
      </c>
      <c r="H410" s="19">
        <f>IF(Deployments!A398="","",Deployments!A398)</f>
        <v/>
      </c>
      <c r="I410" s="19">
        <f>IF(Deployments!AN398="","",Deployments!AN398)</f>
        <v/>
      </c>
      <c r="J410" s="19">
        <f>IF(Deployments!AO398="","",Deployments!AO398)</f>
        <v/>
      </c>
      <c r="K410" s="19">
        <f>IF(Deployments!AI398="","",Deployments!AI398)</f>
        <v/>
      </c>
      <c r="L410" s="19">
        <f>IF(Deployments!M398="","",Deployments!M398)</f>
        <v/>
      </c>
      <c r="M410" s="20" t="n"/>
      <c r="N410" s="19">
        <f>IF(Deployments!N398="","",Deployments!N398)</f>
        <v/>
      </c>
      <c r="O410" s="19">
        <f>IF(Deployments!O398="","",Deployments!O398)</f>
        <v/>
      </c>
      <c r="P410" s="19">
        <f>IF(Deployments!P398="","",Deployments!P398)</f>
        <v/>
      </c>
      <c r="Q410" s="20" t="n"/>
      <c r="R410" s="19">
        <f>IF(Deployments!BT398="","",Deployments!BT398)</f>
        <v/>
      </c>
      <c r="S410" s="19">
        <f>IF(Deployments!BS398="","",Deployments!BS398)</f>
        <v/>
      </c>
      <c r="T410" s="19">
        <f>IF(Deployments!BB398="","",Deployments!BB398)</f>
        <v/>
      </c>
      <c r="U410" s="19">
        <f>IF(Deployments!BR398="","",Deployments!BR398)</f>
        <v/>
      </c>
      <c r="V410" s="19">
        <f>IF(Deployments!BX398="","",Deployments!BX398)</f>
        <v/>
      </c>
      <c r="W410" s="19">
        <f>IF(Deployments!BY398="","",Deployments!BY398)</f>
        <v/>
      </c>
      <c r="X410" s="19">
        <f>IF(Deployments!CC398="","",Deployments!CC398)</f>
        <v/>
      </c>
      <c r="Y410" s="19">
        <f>IF(Deployments!BW398="","",Deployments!BW398)</f>
        <v/>
      </c>
      <c r="Z410" s="19">
        <f>IF(Deployments!U398="","",Deployments!U398)</f>
        <v/>
      </c>
      <c r="AA410" s="19">
        <f>IF(Deployments!L398="","",Deployments!L398)</f>
        <v/>
      </c>
    </row>
    <row r="411">
      <c r="A411" s="20" t="n"/>
      <c r="B411" s="20" t="n"/>
      <c r="C411" s="19">
        <f>IF(Deployments!H399="","",Deployments!H399)</f>
        <v/>
      </c>
      <c r="D411" s="19">
        <f>IF(Deployments!AM399="","",Deployments!AM399)</f>
        <v/>
      </c>
      <c r="E411" s="19">
        <f>IF(Deployments!I399="","",Deployments!I399)</f>
        <v/>
      </c>
      <c r="F411" s="19">
        <f>IF(Deployments!J399="","",Deployments!J399)</f>
        <v/>
      </c>
      <c r="G411" s="19">
        <f>IF(Deployments!K399="","",Deployments!K399)</f>
        <v/>
      </c>
      <c r="H411" s="19">
        <f>IF(Deployments!A399="","",Deployments!A399)</f>
        <v/>
      </c>
      <c r="I411" s="19">
        <f>IF(Deployments!AN399="","",Deployments!AN399)</f>
        <v/>
      </c>
      <c r="J411" s="19">
        <f>IF(Deployments!AO399="","",Deployments!AO399)</f>
        <v/>
      </c>
      <c r="K411" s="19">
        <f>IF(Deployments!AI399="","",Deployments!AI399)</f>
        <v/>
      </c>
      <c r="L411" s="19">
        <f>IF(Deployments!M399="","",Deployments!M399)</f>
        <v/>
      </c>
      <c r="M411" s="20" t="n"/>
      <c r="N411" s="19">
        <f>IF(Deployments!N399="","",Deployments!N399)</f>
        <v/>
      </c>
      <c r="O411" s="19">
        <f>IF(Deployments!O399="","",Deployments!O399)</f>
        <v/>
      </c>
      <c r="P411" s="19">
        <f>IF(Deployments!P399="","",Deployments!P399)</f>
        <v/>
      </c>
      <c r="Q411" s="20" t="n"/>
      <c r="R411" s="19">
        <f>IF(Deployments!BT399="","",Deployments!BT399)</f>
        <v/>
      </c>
      <c r="S411" s="19">
        <f>IF(Deployments!BS399="","",Deployments!BS399)</f>
        <v/>
      </c>
      <c r="T411" s="19">
        <f>IF(Deployments!BB399="","",Deployments!BB399)</f>
        <v/>
      </c>
      <c r="U411" s="19">
        <f>IF(Deployments!BR399="","",Deployments!BR399)</f>
        <v/>
      </c>
      <c r="V411" s="19">
        <f>IF(Deployments!BX399="","",Deployments!BX399)</f>
        <v/>
      </c>
      <c r="W411" s="19">
        <f>IF(Deployments!BY399="","",Deployments!BY399)</f>
        <v/>
      </c>
      <c r="X411" s="19">
        <f>IF(Deployments!CC399="","",Deployments!CC399)</f>
        <v/>
      </c>
      <c r="Y411" s="19">
        <f>IF(Deployments!BW399="","",Deployments!BW399)</f>
        <v/>
      </c>
      <c r="Z411" s="19">
        <f>IF(Deployments!U399="","",Deployments!U399)</f>
        <v/>
      </c>
      <c r="AA411" s="19">
        <f>IF(Deployments!L399="","",Deployments!L399)</f>
        <v/>
      </c>
    </row>
    <row r="412">
      <c r="A412" s="20" t="n"/>
      <c r="B412" s="20" t="n"/>
      <c r="C412" s="19">
        <f>IF(Deployments!H400="","",Deployments!H400)</f>
        <v/>
      </c>
      <c r="D412" s="19">
        <f>IF(Deployments!AM400="","",Deployments!AM400)</f>
        <v/>
      </c>
      <c r="E412" s="19">
        <f>IF(Deployments!I400="","",Deployments!I400)</f>
        <v/>
      </c>
      <c r="F412" s="19">
        <f>IF(Deployments!J400="","",Deployments!J400)</f>
        <v/>
      </c>
      <c r="G412" s="19">
        <f>IF(Deployments!K400="","",Deployments!K400)</f>
        <v/>
      </c>
      <c r="H412" s="19">
        <f>IF(Deployments!A400="","",Deployments!A400)</f>
        <v/>
      </c>
      <c r="I412" s="19">
        <f>IF(Deployments!AN400="","",Deployments!AN400)</f>
        <v/>
      </c>
      <c r="J412" s="19">
        <f>IF(Deployments!AO400="","",Deployments!AO400)</f>
        <v/>
      </c>
      <c r="K412" s="19">
        <f>IF(Deployments!AI400="","",Deployments!AI400)</f>
        <v/>
      </c>
      <c r="L412" s="19">
        <f>IF(Deployments!M400="","",Deployments!M400)</f>
        <v/>
      </c>
      <c r="M412" s="20" t="n"/>
      <c r="N412" s="19">
        <f>IF(Deployments!N400="","",Deployments!N400)</f>
        <v/>
      </c>
      <c r="O412" s="19">
        <f>IF(Deployments!O400="","",Deployments!O400)</f>
        <v/>
      </c>
      <c r="P412" s="19">
        <f>IF(Deployments!P400="","",Deployments!P400)</f>
        <v/>
      </c>
      <c r="Q412" s="20" t="n"/>
      <c r="R412" s="19">
        <f>IF(Deployments!BT400="","",Deployments!BT400)</f>
        <v/>
      </c>
      <c r="S412" s="19">
        <f>IF(Deployments!BS400="","",Deployments!BS400)</f>
        <v/>
      </c>
      <c r="T412" s="19">
        <f>IF(Deployments!BB400="","",Deployments!BB400)</f>
        <v/>
      </c>
      <c r="U412" s="19">
        <f>IF(Deployments!BR400="","",Deployments!BR400)</f>
        <v/>
      </c>
      <c r="V412" s="19">
        <f>IF(Deployments!BX400="","",Deployments!BX400)</f>
        <v/>
      </c>
      <c r="W412" s="19">
        <f>IF(Deployments!BY400="","",Deployments!BY400)</f>
        <v/>
      </c>
      <c r="X412" s="19">
        <f>IF(Deployments!CC400="","",Deployments!CC400)</f>
        <v/>
      </c>
      <c r="Y412" s="19">
        <f>IF(Deployments!BW400="","",Deployments!BW400)</f>
        <v/>
      </c>
      <c r="Z412" s="19">
        <f>IF(Deployments!U400="","",Deployments!U400)</f>
        <v/>
      </c>
      <c r="AA412" s="19">
        <f>IF(Deployments!L400="","",Deployments!L400)</f>
        <v/>
      </c>
    </row>
    <row r="413">
      <c r="A413" s="20" t="n"/>
      <c r="B413" s="20" t="n"/>
      <c r="C413" s="19">
        <f>IF(Deployments!H401="","",Deployments!H401)</f>
        <v/>
      </c>
      <c r="D413" s="19">
        <f>IF(Deployments!AM401="","",Deployments!AM401)</f>
        <v/>
      </c>
      <c r="E413" s="19">
        <f>IF(Deployments!I401="","",Deployments!I401)</f>
        <v/>
      </c>
      <c r="F413" s="19">
        <f>IF(Deployments!J401="","",Deployments!J401)</f>
        <v/>
      </c>
      <c r="G413" s="19">
        <f>IF(Deployments!K401="","",Deployments!K401)</f>
        <v/>
      </c>
      <c r="H413" s="19">
        <f>IF(Deployments!A401="","",Deployments!A401)</f>
        <v/>
      </c>
      <c r="I413" s="19">
        <f>IF(Deployments!AN401="","",Deployments!AN401)</f>
        <v/>
      </c>
      <c r="J413" s="19">
        <f>IF(Deployments!AO401="","",Deployments!AO401)</f>
        <v/>
      </c>
      <c r="K413" s="19">
        <f>IF(Deployments!AI401="","",Deployments!AI401)</f>
        <v/>
      </c>
      <c r="L413" s="19">
        <f>IF(Deployments!M401="","",Deployments!M401)</f>
        <v/>
      </c>
      <c r="M413" s="20" t="n"/>
      <c r="N413" s="19">
        <f>IF(Deployments!N401="","",Deployments!N401)</f>
        <v/>
      </c>
      <c r="O413" s="19">
        <f>IF(Deployments!O401="","",Deployments!O401)</f>
        <v/>
      </c>
      <c r="P413" s="19">
        <f>IF(Deployments!P401="","",Deployments!P401)</f>
        <v/>
      </c>
      <c r="Q413" s="20" t="n"/>
      <c r="R413" s="19">
        <f>IF(Deployments!BT401="","",Deployments!BT401)</f>
        <v/>
      </c>
      <c r="S413" s="19">
        <f>IF(Deployments!BS401="","",Deployments!BS401)</f>
        <v/>
      </c>
      <c r="T413" s="19">
        <f>IF(Deployments!BB401="","",Deployments!BB401)</f>
        <v/>
      </c>
      <c r="U413" s="19">
        <f>IF(Deployments!BR401="","",Deployments!BR401)</f>
        <v/>
      </c>
      <c r="V413" s="19">
        <f>IF(Deployments!BX401="","",Deployments!BX401)</f>
        <v/>
      </c>
      <c r="W413" s="19">
        <f>IF(Deployments!BY401="","",Deployments!BY401)</f>
        <v/>
      </c>
      <c r="X413" s="19">
        <f>IF(Deployments!CC401="","",Deployments!CC401)</f>
        <v/>
      </c>
      <c r="Y413" s="19">
        <f>IF(Deployments!BW401="","",Deployments!BW401)</f>
        <v/>
      </c>
      <c r="Z413" s="19">
        <f>IF(Deployments!U401="","",Deployments!U401)</f>
        <v/>
      </c>
      <c r="AA413" s="19">
        <f>IF(Deployments!L401="","",Deployments!L401)</f>
        <v/>
      </c>
    </row>
    <row r="414">
      <c r="A414" s="20" t="n"/>
      <c r="B414" s="20" t="n"/>
      <c r="C414" s="19">
        <f>IF(Deployments!H402="","",Deployments!H402)</f>
        <v/>
      </c>
      <c r="D414" s="19">
        <f>IF(Deployments!AM402="","",Deployments!AM402)</f>
        <v/>
      </c>
      <c r="E414" s="19">
        <f>IF(Deployments!I402="","",Deployments!I402)</f>
        <v/>
      </c>
      <c r="F414" s="19">
        <f>IF(Deployments!J402="","",Deployments!J402)</f>
        <v/>
      </c>
      <c r="G414" s="19">
        <f>IF(Deployments!K402="","",Deployments!K402)</f>
        <v/>
      </c>
      <c r="H414" s="19">
        <f>IF(Deployments!A402="","",Deployments!A402)</f>
        <v/>
      </c>
      <c r="I414" s="19">
        <f>IF(Deployments!AN402="","",Deployments!AN402)</f>
        <v/>
      </c>
      <c r="J414" s="19">
        <f>IF(Deployments!AO402="","",Deployments!AO402)</f>
        <v/>
      </c>
      <c r="K414" s="19">
        <f>IF(Deployments!AI402="","",Deployments!AI402)</f>
        <v/>
      </c>
      <c r="L414" s="19">
        <f>IF(Deployments!M402="","",Deployments!M402)</f>
        <v/>
      </c>
      <c r="M414" s="20" t="n"/>
      <c r="N414" s="19">
        <f>IF(Deployments!N402="","",Deployments!N402)</f>
        <v/>
      </c>
      <c r="O414" s="19">
        <f>IF(Deployments!O402="","",Deployments!O402)</f>
        <v/>
      </c>
      <c r="P414" s="19">
        <f>IF(Deployments!P402="","",Deployments!P402)</f>
        <v/>
      </c>
      <c r="Q414" s="20" t="n"/>
      <c r="R414" s="19">
        <f>IF(Deployments!BT402="","",Deployments!BT402)</f>
        <v/>
      </c>
      <c r="S414" s="19">
        <f>IF(Deployments!BS402="","",Deployments!BS402)</f>
        <v/>
      </c>
      <c r="T414" s="19">
        <f>IF(Deployments!BB402="","",Deployments!BB402)</f>
        <v/>
      </c>
      <c r="U414" s="19">
        <f>IF(Deployments!BR402="","",Deployments!BR402)</f>
        <v/>
      </c>
      <c r="V414" s="19">
        <f>IF(Deployments!BX402="","",Deployments!BX402)</f>
        <v/>
      </c>
      <c r="W414" s="19">
        <f>IF(Deployments!BY402="","",Deployments!BY402)</f>
        <v/>
      </c>
      <c r="X414" s="19">
        <f>IF(Deployments!CC402="","",Deployments!CC402)</f>
        <v/>
      </c>
      <c r="Y414" s="19">
        <f>IF(Deployments!BW402="","",Deployments!BW402)</f>
        <v/>
      </c>
      <c r="Z414" s="19">
        <f>IF(Deployments!U402="","",Deployments!U402)</f>
        <v/>
      </c>
      <c r="AA414" s="19">
        <f>IF(Deployments!L402="","",Deployments!L402)</f>
        <v/>
      </c>
    </row>
    <row r="415">
      <c r="A415" s="20" t="n"/>
      <c r="B415" s="20" t="n"/>
      <c r="C415" s="19">
        <f>IF(Deployments!H403="","",Deployments!H403)</f>
        <v/>
      </c>
      <c r="D415" s="19">
        <f>IF(Deployments!AM403="","",Deployments!AM403)</f>
        <v/>
      </c>
      <c r="E415" s="19">
        <f>IF(Deployments!I403="","",Deployments!I403)</f>
        <v/>
      </c>
      <c r="F415" s="19">
        <f>IF(Deployments!J403="","",Deployments!J403)</f>
        <v/>
      </c>
      <c r="G415" s="19">
        <f>IF(Deployments!K403="","",Deployments!K403)</f>
        <v/>
      </c>
      <c r="H415" s="19">
        <f>IF(Deployments!A403="","",Deployments!A403)</f>
        <v/>
      </c>
      <c r="I415" s="19">
        <f>IF(Deployments!AN403="","",Deployments!AN403)</f>
        <v/>
      </c>
      <c r="J415" s="19">
        <f>IF(Deployments!AO403="","",Deployments!AO403)</f>
        <v/>
      </c>
      <c r="K415" s="19">
        <f>IF(Deployments!AI403="","",Deployments!AI403)</f>
        <v/>
      </c>
      <c r="L415" s="19">
        <f>IF(Deployments!M403="","",Deployments!M403)</f>
        <v/>
      </c>
      <c r="M415" s="20" t="n"/>
      <c r="N415" s="19">
        <f>IF(Deployments!N403="","",Deployments!N403)</f>
        <v/>
      </c>
      <c r="O415" s="19">
        <f>IF(Deployments!O403="","",Deployments!O403)</f>
        <v/>
      </c>
      <c r="P415" s="19">
        <f>IF(Deployments!P403="","",Deployments!P403)</f>
        <v/>
      </c>
      <c r="Q415" s="20" t="n"/>
      <c r="R415" s="19">
        <f>IF(Deployments!BT403="","",Deployments!BT403)</f>
        <v/>
      </c>
      <c r="S415" s="19">
        <f>IF(Deployments!BS403="","",Deployments!BS403)</f>
        <v/>
      </c>
      <c r="T415" s="19">
        <f>IF(Deployments!BB403="","",Deployments!BB403)</f>
        <v/>
      </c>
      <c r="U415" s="19">
        <f>IF(Deployments!BR403="","",Deployments!BR403)</f>
        <v/>
      </c>
      <c r="V415" s="19">
        <f>IF(Deployments!BX403="","",Deployments!BX403)</f>
        <v/>
      </c>
      <c r="W415" s="19">
        <f>IF(Deployments!BY403="","",Deployments!BY403)</f>
        <v/>
      </c>
      <c r="X415" s="19">
        <f>IF(Deployments!CC403="","",Deployments!CC403)</f>
        <v/>
      </c>
      <c r="Y415" s="19">
        <f>IF(Deployments!BW403="","",Deployments!BW403)</f>
        <v/>
      </c>
      <c r="Z415" s="19">
        <f>IF(Deployments!U403="","",Deployments!U403)</f>
        <v/>
      </c>
      <c r="AA415" s="19">
        <f>IF(Deployments!L403="","",Deployments!L403)</f>
        <v/>
      </c>
    </row>
    <row r="416">
      <c r="A416" s="20" t="n"/>
      <c r="B416" s="20" t="n"/>
      <c r="C416" s="19">
        <f>IF(Deployments!H404="","",Deployments!H404)</f>
        <v/>
      </c>
      <c r="D416" s="19">
        <f>IF(Deployments!AM404="","",Deployments!AM404)</f>
        <v/>
      </c>
      <c r="E416" s="19">
        <f>IF(Deployments!I404="","",Deployments!I404)</f>
        <v/>
      </c>
      <c r="F416" s="19">
        <f>IF(Deployments!J404="","",Deployments!J404)</f>
        <v/>
      </c>
      <c r="G416" s="19">
        <f>IF(Deployments!K404="","",Deployments!K404)</f>
        <v/>
      </c>
      <c r="H416" s="19">
        <f>IF(Deployments!A404="","",Deployments!A404)</f>
        <v/>
      </c>
      <c r="I416" s="19">
        <f>IF(Deployments!AN404="","",Deployments!AN404)</f>
        <v/>
      </c>
      <c r="J416" s="19">
        <f>IF(Deployments!AO404="","",Deployments!AO404)</f>
        <v/>
      </c>
      <c r="K416" s="19">
        <f>IF(Deployments!AI404="","",Deployments!AI404)</f>
        <v/>
      </c>
      <c r="L416" s="19">
        <f>IF(Deployments!M404="","",Deployments!M404)</f>
        <v/>
      </c>
      <c r="M416" s="20" t="n"/>
      <c r="N416" s="19">
        <f>IF(Deployments!N404="","",Deployments!N404)</f>
        <v/>
      </c>
      <c r="O416" s="19">
        <f>IF(Deployments!O404="","",Deployments!O404)</f>
        <v/>
      </c>
      <c r="P416" s="19">
        <f>IF(Deployments!P404="","",Deployments!P404)</f>
        <v/>
      </c>
      <c r="Q416" s="20" t="n"/>
      <c r="R416" s="19">
        <f>IF(Deployments!BT404="","",Deployments!BT404)</f>
        <v/>
      </c>
      <c r="S416" s="19">
        <f>IF(Deployments!BS404="","",Deployments!BS404)</f>
        <v/>
      </c>
      <c r="T416" s="19">
        <f>IF(Deployments!BB404="","",Deployments!BB404)</f>
        <v/>
      </c>
      <c r="U416" s="19">
        <f>IF(Deployments!BR404="","",Deployments!BR404)</f>
        <v/>
      </c>
      <c r="V416" s="19">
        <f>IF(Deployments!BX404="","",Deployments!BX404)</f>
        <v/>
      </c>
      <c r="W416" s="19">
        <f>IF(Deployments!BY404="","",Deployments!BY404)</f>
        <v/>
      </c>
      <c r="X416" s="19">
        <f>IF(Deployments!CC404="","",Deployments!CC404)</f>
        <v/>
      </c>
      <c r="Y416" s="19">
        <f>IF(Deployments!BW404="","",Deployments!BW404)</f>
        <v/>
      </c>
      <c r="Z416" s="19">
        <f>IF(Deployments!U404="","",Deployments!U404)</f>
        <v/>
      </c>
      <c r="AA416" s="19">
        <f>IF(Deployments!L404="","",Deployments!L404)</f>
        <v/>
      </c>
    </row>
    <row r="417">
      <c r="A417" s="20" t="n"/>
      <c r="B417" s="20" t="n"/>
      <c r="C417" s="19">
        <f>IF(Deployments!H405="","",Deployments!H405)</f>
        <v/>
      </c>
      <c r="D417" s="19">
        <f>IF(Deployments!AM405="","",Deployments!AM405)</f>
        <v/>
      </c>
      <c r="E417" s="19">
        <f>IF(Deployments!I405="","",Deployments!I405)</f>
        <v/>
      </c>
      <c r="F417" s="19">
        <f>IF(Deployments!J405="","",Deployments!J405)</f>
        <v/>
      </c>
      <c r="G417" s="19">
        <f>IF(Deployments!K405="","",Deployments!K405)</f>
        <v/>
      </c>
      <c r="H417" s="19">
        <f>IF(Deployments!A405="","",Deployments!A405)</f>
        <v/>
      </c>
      <c r="I417" s="19">
        <f>IF(Deployments!AN405="","",Deployments!AN405)</f>
        <v/>
      </c>
      <c r="J417" s="19">
        <f>IF(Deployments!AO405="","",Deployments!AO405)</f>
        <v/>
      </c>
      <c r="K417" s="19">
        <f>IF(Deployments!AI405="","",Deployments!AI405)</f>
        <v/>
      </c>
      <c r="L417" s="19">
        <f>IF(Deployments!M405="","",Deployments!M405)</f>
        <v/>
      </c>
      <c r="M417" s="20" t="n"/>
      <c r="N417" s="19">
        <f>IF(Deployments!N405="","",Deployments!N405)</f>
        <v/>
      </c>
      <c r="O417" s="19">
        <f>IF(Deployments!O405="","",Deployments!O405)</f>
        <v/>
      </c>
      <c r="P417" s="19">
        <f>IF(Deployments!P405="","",Deployments!P405)</f>
        <v/>
      </c>
      <c r="Q417" s="20" t="n"/>
      <c r="R417" s="19">
        <f>IF(Deployments!BT405="","",Deployments!BT405)</f>
        <v/>
      </c>
      <c r="S417" s="19">
        <f>IF(Deployments!BS405="","",Deployments!BS405)</f>
        <v/>
      </c>
      <c r="T417" s="19">
        <f>IF(Deployments!BB405="","",Deployments!BB405)</f>
        <v/>
      </c>
      <c r="U417" s="19">
        <f>IF(Deployments!BR405="","",Deployments!BR405)</f>
        <v/>
      </c>
      <c r="V417" s="19">
        <f>IF(Deployments!BX405="","",Deployments!BX405)</f>
        <v/>
      </c>
      <c r="W417" s="19">
        <f>IF(Deployments!BY405="","",Deployments!BY405)</f>
        <v/>
      </c>
      <c r="X417" s="19">
        <f>IF(Deployments!CC405="","",Deployments!CC405)</f>
        <v/>
      </c>
      <c r="Y417" s="19">
        <f>IF(Deployments!BW405="","",Deployments!BW405)</f>
        <v/>
      </c>
      <c r="Z417" s="19">
        <f>IF(Deployments!U405="","",Deployments!U405)</f>
        <v/>
      </c>
      <c r="AA417" s="19">
        <f>IF(Deployments!L405="","",Deployments!L405)</f>
        <v/>
      </c>
    </row>
    <row r="418">
      <c r="A418" s="20" t="n"/>
      <c r="B418" s="20" t="n"/>
      <c r="C418" s="19">
        <f>IF(Deployments!H406="","",Deployments!H406)</f>
        <v/>
      </c>
      <c r="D418" s="19">
        <f>IF(Deployments!AM406="","",Deployments!AM406)</f>
        <v/>
      </c>
      <c r="E418" s="19">
        <f>IF(Deployments!I406="","",Deployments!I406)</f>
        <v/>
      </c>
      <c r="F418" s="19">
        <f>IF(Deployments!J406="","",Deployments!J406)</f>
        <v/>
      </c>
      <c r="G418" s="19">
        <f>IF(Deployments!K406="","",Deployments!K406)</f>
        <v/>
      </c>
      <c r="H418" s="19">
        <f>IF(Deployments!A406="","",Deployments!A406)</f>
        <v/>
      </c>
      <c r="I418" s="19">
        <f>IF(Deployments!AN406="","",Deployments!AN406)</f>
        <v/>
      </c>
      <c r="J418" s="19">
        <f>IF(Deployments!AO406="","",Deployments!AO406)</f>
        <v/>
      </c>
      <c r="K418" s="19">
        <f>IF(Deployments!AI406="","",Deployments!AI406)</f>
        <v/>
      </c>
      <c r="L418" s="19">
        <f>IF(Deployments!M406="","",Deployments!M406)</f>
        <v/>
      </c>
      <c r="M418" s="20" t="n"/>
      <c r="N418" s="19">
        <f>IF(Deployments!N406="","",Deployments!N406)</f>
        <v/>
      </c>
      <c r="O418" s="19">
        <f>IF(Deployments!O406="","",Deployments!O406)</f>
        <v/>
      </c>
      <c r="P418" s="19">
        <f>IF(Deployments!P406="","",Deployments!P406)</f>
        <v/>
      </c>
      <c r="Q418" s="20" t="n"/>
      <c r="R418" s="19">
        <f>IF(Deployments!BT406="","",Deployments!BT406)</f>
        <v/>
      </c>
      <c r="S418" s="19">
        <f>IF(Deployments!BS406="","",Deployments!BS406)</f>
        <v/>
      </c>
      <c r="T418" s="19">
        <f>IF(Deployments!BB406="","",Deployments!BB406)</f>
        <v/>
      </c>
      <c r="U418" s="19">
        <f>IF(Deployments!BR406="","",Deployments!BR406)</f>
        <v/>
      </c>
      <c r="V418" s="19">
        <f>IF(Deployments!BX406="","",Deployments!BX406)</f>
        <v/>
      </c>
      <c r="W418" s="19">
        <f>IF(Deployments!BY406="","",Deployments!BY406)</f>
        <v/>
      </c>
      <c r="X418" s="19">
        <f>IF(Deployments!CC406="","",Deployments!CC406)</f>
        <v/>
      </c>
      <c r="Y418" s="19">
        <f>IF(Deployments!BW406="","",Deployments!BW406)</f>
        <v/>
      </c>
      <c r="Z418" s="19">
        <f>IF(Deployments!U406="","",Deployments!U406)</f>
        <v/>
      </c>
      <c r="AA418" s="19">
        <f>IF(Deployments!L406="","",Deployments!L406)</f>
        <v/>
      </c>
    </row>
    <row r="419">
      <c r="A419" s="20" t="n"/>
      <c r="B419" s="20" t="n"/>
      <c r="C419" s="19">
        <f>IF(Deployments!H407="","",Deployments!H407)</f>
        <v/>
      </c>
      <c r="D419" s="19">
        <f>IF(Deployments!AM407="","",Deployments!AM407)</f>
        <v/>
      </c>
      <c r="E419" s="19">
        <f>IF(Deployments!I407="","",Deployments!I407)</f>
        <v/>
      </c>
      <c r="F419" s="19">
        <f>IF(Deployments!J407="","",Deployments!J407)</f>
        <v/>
      </c>
      <c r="G419" s="19">
        <f>IF(Deployments!K407="","",Deployments!K407)</f>
        <v/>
      </c>
      <c r="H419" s="19">
        <f>IF(Deployments!A407="","",Deployments!A407)</f>
        <v/>
      </c>
      <c r="I419" s="19">
        <f>IF(Deployments!AN407="","",Deployments!AN407)</f>
        <v/>
      </c>
      <c r="J419" s="19">
        <f>IF(Deployments!AO407="","",Deployments!AO407)</f>
        <v/>
      </c>
      <c r="K419" s="19">
        <f>IF(Deployments!AI407="","",Deployments!AI407)</f>
        <v/>
      </c>
      <c r="L419" s="19">
        <f>IF(Deployments!M407="","",Deployments!M407)</f>
        <v/>
      </c>
      <c r="M419" s="20" t="n"/>
      <c r="N419" s="19">
        <f>IF(Deployments!N407="","",Deployments!N407)</f>
        <v/>
      </c>
      <c r="O419" s="19">
        <f>IF(Deployments!O407="","",Deployments!O407)</f>
        <v/>
      </c>
      <c r="P419" s="19">
        <f>IF(Deployments!P407="","",Deployments!P407)</f>
        <v/>
      </c>
      <c r="Q419" s="20" t="n"/>
      <c r="R419" s="19">
        <f>IF(Deployments!BT407="","",Deployments!BT407)</f>
        <v/>
      </c>
      <c r="S419" s="19">
        <f>IF(Deployments!BS407="","",Deployments!BS407)</f>
        <v/>
      </c>
      <c r="T419" s="19">
        <f>IF(Deployments!BB407="","",Deployments!BB407)</f>
        <v/>
      </c>
      <c r="U419" s="19">
        <f>IF(Deployments!BR407="","",Deployments!BR407)</f>
        <v/>
      </c>
      <c r="V419" s="19">
        <f>IF(Deployments!BX407="","",Deployments!BX407)</f>
        <v/>
      </c>
      <c r="W419" s="19">
        <f>IF(Deployments!BY407="","",Deployments!BY407)</f>
        <v/>
      </c>
      <c r="X419" s="19">
        <f>IF(Deployments!CC407="","",Deployments!CC407)</f>
        <v/>
      </c>
      <c r="Y419" s="19">
        <f>IF(Deployments!BW407="","",Deployments!BW407)</f>
        <v/>
      </c>
      <c r="Z419" s="19">
        <f>IF(Deployments!U407="","",Deployments!U407)</f>
        <v/>
      </c>
      <c r="AA419" s="19">
        <f>IF(Deployments!L407="","",Deployments!L407)</f>
        <v/>
      </c>
    </row>
    <row r="420">
      <c r="A420" s="20" t="n"/>
      <c r="B420" s="20" t="n"/>
      <c r="C420" s="19">
        <f>IF(Deployments!H408="","",Deployments!H408)</f>
        <v/>
      </c>
      <c r="D420" s="19">
        <f>IF(Deployments!AM408="","",Deployments!AM408)</f>
        <v/>
      </c>
      <c r="E420" s="19">
        <f>IF(Deployments!I408="","",Deployments!I408)</f>
        <v/>
      </c>
      <c r="F420" s="19">
        <f>IF(Deployments!J408="","",Deployments!J408)</f>
        <v/>
      </c>
      <c r="G420" s="19">
        <f>IF(Deployments!K408="","",Deployments!K408)</f>
        <v/>
      </c>
      <c r="H420" s="19">
        <f>IF(Deployments!A408="","",Deployments!A408)</f>
        <v/>
      </c>
      <c r="I420" s="19">
        <f>IF(Deployments!AN408="","",Deployments!AN408)</f>
        <v/>
      </c>
      <c r="J420" s="19">
        <f>IF(Deployments!AO408="","",Deployments!AO408)</f>
        <v/>
      </c>
      <c r="K420" s="19">
        <f>IF(Deployments!AI408="","",Deployments!AI408)</f>
        <v/>
      </c>
      <c r="L420" s="19">
        <f>IF(Deployments!M408="","",Deployments!M408)</f>
        <v/>
      </c>
      <c r="M420" s="20" t="n"/>
      <c r="N420" s="19">
        <f>IF(Deployments!N408="","",Deployments!N408)</f>
        <v/>
      </c>
      <c r="O420" s="19">
        <f>IF(Deployments!O408="","",Deployments!O408)</f>
        <v/>
      </c>
      <c r="P420" s="19">
        <f>IF(Deployments!P408="","",Deployments!P408)</f>
        <v/>
      </c>
      <c r="Q420" s="20" t="n"/>
      <c r="R420" s="19">
        <f>IF(Deployments!BT408="","",Deployments!BT408)</f>
        <v/>
      </c>
      <c r="S420" s="19">
        <f>IF(Deployments!BS408="","",Deployments!BS408)</f>
        <v/>
      </c>
      <c r="T420" s="19">
        <f>IF(Deployments!BB408="","",Deployments!BB408)</f>
        <v/>
      </c>
      <c r="U420" s="19">
        <f>IF(Deployments!BR408="","",Deployments!BR408)</f>
        <v/>
      </c>
      <c r="V420" s="19">
        <f>IF(Deployments!BX408="","",Deployments!BX408)</f>
        <v/>
      </c>
      <c r="W420" s="19">
        <f>IF(Deployments!BY408="","",Deployments!BY408)</f>
        <v/>
      </c>
      <c r="X420" s="19">
        <f>IF(Deployments!CC408="","",Deployments!CC408)</f>
        <v/>
      </c>
      <c r="Y420" s="19">
        <f>IF(Deployments!BW408="","",Deployments!BW408)</f>
        <v/>
      </c>
      <c r="Z420" s="19">
        <f>IF(Deployments!U408="","",Deployments!U408)</f>
        <v/>
      </c>
      <c r="AA420" s="19">
        <f>IF(Deployments!L408="","",Deployments!L408)</f>
        <v/>
      </c>
    </row>
    <row r="421">
      <c r="A421" s="20" t="n"/>
      <c r="B421" s="20" t="n"/>
      <c r="C421" s="19">
        <f>IF(Deployments!H409="","",Deployments!H409)</f>
        <v/>
      </c>
      <c r="D421" s="19">
        <f>IF(Deployments!AM409="","",Deployments!AM409)</f>
        <v/>
      </c>
      <c r="E421" s="19">
        <f>IF(Deployments!I409="","",Deployments!I409)</f>
        <v/>
      </c>
      <c r="F421" s="19">
        <f>IF(Deployments!J409="","",Deployments!J409)</f>
        <v/>
      </c>
      <c r="G421" s="19">
        <f>IF(Deployments!K409="","",Deployments!K409)</f>
        <v/>
      </c>
      <c r="H421" s="19">
        <f>IF(Deployments!A409="","",Deployments!A409)</f>
        <v/>
      </c>
      <c r="I421" s="19">
        <f>IF(Deployments!AN409="","",Deployments!AN409)</f>
        <v/>
      </c>
      <c r="J421" s="19">
        <f>IF(Deployments!AO409="","",Deployments!AO409)</f>
        <v/>
      </c>
      <c r="K421" s="19">
        <f>IF(Deployments!AI409="","",Deployments!AI409)</f>
        <v/>
      </c>
      <c r="L421" s="19">
        <f>IF(Deployments!M409="","",Deployments!M409)</f>
        <v/>
      </c>
      <c r="M421" s="20" t="n"/>
      <c r="N421" s="19">
        <f>IF(Deployments!N409="","",Deployments!N409)</f>
        <v/>
      </c>
      <c r="O421" s="19">
        <f>IF(Deployments!O409="","",Deployments!O409)</f>
        <v/>
      </c>
      <c r="P421" s="19">
        <f>IF(Deployments!P409="","",Deployments!P409)</f>
        <v/>
      </c>
      <c r="Q421" s="20" t="n"/>
      <c r="R421" s="19">
        <f>IF(Deployments!BT409="","",Deployments!BT409)</f>
        <v/>
      </c>
      <c r="S421" s="19">
        <f>IF(Deployments!BS409="","",Deployments!BS409)</f>
        <v/>
      </c>
      <c r="T421" s="19">
        <f>IF(Deployments!BB409="","",Deployments!BB409)</f>
        <v/>
      </c>
      <c r="U421" s="19">
        <f>IF(Deployments!BR409="","",Deployments!BR409)</f>
        <v/>
      </c>
      <c r="V421" s="19">
        <f>IF(Deployments!BX409="","",Deployments!BX409)</f>
        <v/>
      </c>
      <c r="W421" s="19">
        <f>IF(Deployments!BY409="","",Deployments!BY409)</f>
        <v/>
      </c>
      <c r="X421" s="19">
        <f>IF(Deployments!CC409="","",Deployments!CC409)</f>
        <v/>
      </c>
      <c r="Y421" s="19">
        <f>IF(Deployments!BW409="","",Deployments!BW409)</f>
        <v/>
      </c>
      <c r="Z421" s="19">
        <f>IF(Deployments!U409="","",Deployments!U409)</f>
        <v/>
      </c>
      <c r="AA421" s="19">
        <f>IF(Deployments!L409="","",Deployments!L409)</f>
        <v/>
      </c>
    </row>
    <row r="422">
      <c r="A422" s="20" t="n"/>
      <c r="B422" s="20" t="n"/>
      <c r="C422" s="19">
        <f>IF(Deployments!H410="","",Deployments!H410)</f>
        <v/>
      </c>
      <c r="D422" s="19">
        <f>IF(Deployments!AM410="","",Deployments!AM410)</f>
        <v/>
      </c>
      <c r="E422" s="19">
        <f>IF(Deployments!I410="","",Deployments!I410)</f>
        <v/>
      </c>
      <c r="F422" s="19">
        <f>IF(Deployments!J410="","",Deployments!J410)</f>
        <v/>
      </c>
      <c r="G422" s="19">
        <f>IF(Deployments!K410="","",Deployments!K410)</f>
        <v/>
      </c>
      <c r="H422" s="19">
        <f>IF(Deployments!A410="","",Deployments!A410)</f>
        <v/>
      </c>
      <c r="I422" s="19">
        <f>IF(Deployments!AN410="","",Deployments!AN410)</f>
        <v/>
      </c>
      <c r="J422" s="19">
        <f>IF(Deployments!AO410="","",Deployments!AO410)</f>
        <v/>
      </c>
      <c r="K422" s="19">
        <f>IF(Deployments!AI410="","",Deployments!AI410)</f>
        <v/>
      </c>
      <c r="L422" s="19">
        <f>IF(Deployments!M410="","",Deployments!M410)</f>
        <v/>
      </c>
      <c r="M422" s="20" t="n"/>
      <c r="N422" s="19">
        <f>IF(Deployments!N410="","",Deployments!N410)</f>
        <v/>
      </c>
      <c r="O422" s="19">
        <f>IF(Deployments!O410="","",Deployments!O410)</f>
        <v/>
      </c>
      <c r="P422" s="19">
        <f>IF(Deployments!P410="","",Deployments!P410)</f>
        <v/>
      </c>
      <c r="Q422" s="20" t="n"/>
      <c r="R422" s="19">
        <f>IF(Deployments!BT410="","",Deployments!BT410)</f>
        <v/>
      </c>
      <c r="S422" s="19">
        <f>IF(Deployments!BS410="","",Deployments!BS410)</f>
        <v/>
      </c>
      <c r="T422" s="19">
        <f>IF(Deployments!BB410="","",Deployments!BB410)</f>
        <v/>
      </c>
      <c r="U422" s="19">
        <f>IF(Deployments!BR410="","",Deployments!BR410)</f>
        <v/>
      </c>
      <c r="V422" s="19">
        <f>IF(Deployments!BX410="","",Deployments!BX410)</f>
        <v/>
      </c>
      <c r="W422" s="19">
        <f>IF(Deployments!BY410="","",Deployments!BY410)</f>
        <v/>
      </c>
      <c r="X422" s="19">
        <f>IF(Deployments!CC410="","",Deployments!CC410)</f>
        <v/>
      </c>
      <c r="Y422" s="19">
        <f>IF(Deployments!BW410="","",Deployments!BW410)</f>
        <v/>
      </c>
      <c r="Z422" s="19">
        <f>IF(Deployments!U410="","",Deployments!U410)</f>
        <v/>
      </c>
      <c r="AA422" s="19">
        <f>IF(Deployments!L410="","",Deployments!L410)</f>
        <v/>
      </c>
    </row>
    <row r="423">
      <c r="A423" s="20" t="n"/>
      <c r="B423" s="20" t="n"/>
      <c r="C423" s="19">
        <f>IF(Deployments!H411="","",Deployments!H411)</f>
        <v/>
      </c>
      <c r="D423" s="19">
        <f>IF(Deployments!AM411="","",Deployments!AM411)</f>
        <v/>
      </c>
      <c r="E423" s="19">
        <f>IF(Deployments!I411="","",Deployments!I411)</f>
        <v/>
      </c>
      <c r="F423" s="19">
        <f>IF(Deployments!J411="","",Deployments!J411)</f>
        <v/>
      </c>
      <c r="G423" s="19">
        <f>IF(Deployments!K411="","",Deployments!K411)</f>
        <v/>
      </c>
      <c r="H423" s="19">
        <f>IF(Deployments!A411="","",Deployments!A411)</f>
        <v/>
      </c>
      <c r="I423" s="19">
        <f>IF(Deployments!AN411="","",Deployments!AN411)</f>
        <v/>
      </c>
      <c r="J423" s="19">
        <f>IF(Deployments!AO411="","",Deployments!AO411)</f>
        <v/>
      </c>
      <c r="K423" s="19">
        <f>IF(Deployments!AI411="","",Deployments!AI411)</f>
        <v/>
      </c>
      <c r="L423" s="19">
        <f>IF(Deployments!M411="","",Deployments!M411)</f>
        <v/>
      </c>
      <c r="M423" s="20" t="n"/>
      <c r="N423" s="19">
        <f>IF(Deployments!N411="","",Deployments!N411)</f>
        <v/>
      </c>
      <c r="O423" s="19">
        <f>IF(Deployments!O411="","",Deployments!O411)</f>
        <v/>
      </c>
      <c r="P423" s="19">
        <f>IF(Deployments!P411="","",Deployments!P411)</f>
        <v/>
      </c>
      <c r="Q423" s="20" t="n"/>
      <c r="R423" s="19">
        <f>IF(Deployments!BT411="","",Deployments!BT411)</f>
        <v/>
      </c>
      <c r="S423" s="19">
        <f>IF(Deployments!BS411="","",Deployments!BS411)</f>
        <v/>
      </c>
      <c r="T423" s="19">
        <f>IF(Deployments!BB411="","",Deployments!BB411)</f>
        <v/>
      </c>
      <c r="U423" s="19">
        <f>IF(Deployments!BR411="","",Deployments!BR411)</f>
        <v/>
      </c>
      <c r="V423" s="19">
        <f>IF(Deployments!BX411="","",Deployments!BX411)</f>
        <v/>
      </c>
      <c r="W423" s="19">
        <f>IF(Deployments!BY411="","",Deployments!BY411)</f>
        <v/>
      </c>
      <c r="X423" s="19">
        <f>IF(Deployments!CC411="","",Deployments!CC411)</f>
        <v/>
      </c>
      <c r="Y423" s="19">
        <f>IF(Deployments!BW411="","",Deployments!BW411)</f>
        <v/>
      </c>
      <c r="Z423" s="19">
        <f>IF(Deployments!U411="","",Deployments!U411)</f>
        <v/>
      </c>
      <c r="AA423" s="19">
        <f>IF(Deployments!L411="","",Deployments!L411)</f>
        <v/>
      </c>
    </row>
    <row r="424">
      <c r="A424" s="20" t="n"/>
      <c r="B424" s="20" t="n"/>
      <c r="C424" s="19">
        <f>IF(Deployments!H412="","",Deployments!H412)</f>
        <v/>
      </c>
      <c r="D424" s="19">
        <f>IF(Deployments!AM412="","",Deployments!AM412)</f>
        <v/>
      </c>
      <c r="E424" s="19">
        <f>IF(Deployments!I412="","",Deployments!I412)</f>
        <v/>
      </c>
      <c r="F424" s="19">
        <f>IF(Deployments!J412="","",Deployments!J412)</f>
        <v/>
      </c>
      <c r="G424" s="19">
        <f>IF(Deployments!K412="","",Deployments!K412)</f>
        <v/>
      </c>
      <c r="H424" s="19">
        <f>IF(Deployments!A412="","",Deployments!A412)</f>
        <v/>
      </c>
      <c r="I424" s="19">
        <f>IF(Deployments!AN412="","",Deployments!AN412)</f>
        <v/>
      </c>
      <c r="J424" s="19">
        <f>IF(Deployments!AO412="","",Deployments!AO412)</f>
        <v/>
      </c>
      <c r="K424" s="19">
        <f>IF(Deployments!AI412="","",Deployments!AI412)</f>
        <v/>
      </c>
      <c r="L424" s="19">
        <f>IF(Deployments!M412="","",Deployments!M412)</f>
        <v/>
      </c>
      <c r="M424" s="20" t="n"/>
      <c r="N424" s="19">
        <f>IF(Deployments!N412="","",Deployments!N412)</f>
        <v/>
      </c>
      <c r="O424" s="19">
        <f>IF(Deployments!O412="","",Deployments!O412)</f>
        <v/>
      </c>
      <c r="P424" s="19">
        <f>IF(Deployments!P412="","",Deployments!P412)</f>
        <v/>
      </c>
      <c r="Q424" s="20" t="n"/>
      <c r="R424" s="19">
        <f>IF(Deployments!BT412="","",Deployments!BT412)</f>
        <v/>
      </c>
      <c r="S424" s="19">
        <f>IF(Deployments!BS412="","",Deployments!BS412)</f>
        <v/>
      </c>
      <c r="T424" s="19">
        <f>IF(Deployments!BB412="","",Deployments!BB412)</f>
        <v/>
      </c>
      <c r="U424" s="19">
        <f>IF(Deployments!BR412="","",Deployments!BR412)</f>
        <v/>
      </c>
      <c r="V424" s="19">
        <f>IF(Deployments!BX412="","",Deployments!BX412)</f>
        <v/>
      </c>
      <c r="W424" s="19">
        <f>IF(Deployments!BY412="","",Deployments!BY412)</f>
        <v/>
      </c>
      <c r="X424" s="19">
        <f>IF(Deployments!CC412="","",Deployments!CC412)</f>
        <v/>
      </c>
      <c r="Y424" s="19">
        <f>IF(Deployments!BW412="","",Deployments!BW412)</f>
        <v/>
      </c>
      <c r="Z424" s="19">
        <f>IF(Deployments!U412="","",Deployments!U412)</f>
        <v/>
      </c>
      <c r="AA424" s="19">
        <f>IF(Deployments!L412="","",Deployments!L412)</f>
        <v/>
      </c>
    </row>
    <row r="425">
      <c r="A425" s="20" t="n"/>
      <c r="B425" s="20" t="n"/>
      <c r="C425" s="19">
        <f>IF(Deployments!H413="","",Deployments!H413)</f>
        <v/>
      </c>
      <c r="D425" s="19">
        <f>IF(Deployments!AM413="","",Deployments!AM413)</f>
        <v/>
      </c>
      <c r="E425" s="19">
        <f>IF(Deployments!I413="","",Deployments!I413)</f>
        <v/>
      </c>
      <c r="F425" s="19">
        <f>IF(Deployments!J413="","",Deployments!J413)</f>
        <v/>
      </c>
      <c r="G425" s="19">
        <f>IF(Deployments!K413="","",Deployments!K413)</f>
        <v/>
      </c>
      <c r="H425" s="19">
        <f>IF(Deployments!A413="","",Deployments!A413)</f>
        <v/>
      </c>
      <c r="I425" s="19">
        <f>IF(Deployments!AN413="","",Deployments!AN413)</f>
        <v/>
      </c>
      <c r="J425" s="19">
        <f>IF(Deployments!AO413="","",Deployments!AO413)</f>
        <v/>
      </c>
      <c r="K425" s="19">
        <f>IF(Deployments!AI413="","",Deployments!AI413)</f>
        <v/>
      </c>
      <c r="L425" s="19">
        <f>IF(Deployments!M413="","",Deployments!M413)</f>
        <v/>
      </c>
      <c r="M425" s="20" t="n"/>
      <c r="N425" s="19">
        <f>IF(Deployments!N413="","",Deployments!N413)</f>
        <v/>
      </c>
      <c r="O425" s="19">
        <f>IF(Deployments!O413="","",Deployments!O413)</f>
        <v/>
      </c>
      <c r="P425" s="19">
        <f>IF(Deployments!P413="","",Deployments!P413)</f>
        <v/>
      </c>
      <c r="Q425" s="20" t="n"/>
      <c r="R425" s="19">
        <f>IF(Deployments!BT413="","",Deployments!BT413)</f>
        <v/>
      </c>
      <c r="S425" s="19">
        <f>IF(Deployments!BS413="","",Deployments!BS413)</f>
        <v/>
      </c>
      <c r="T425" s="19">
        <f>IF(Deployments!BB413="","",Deployments!BB413)</f>
        <v/>
      </c>
      <c r="U425" s="19">
        <f>IF(Deployments!BR413="","",Deployments!BR413)</f>
        <v/>
      </c>
      <c r="V425" s="19">
        <f>IF(Deployments!BX413="","",Deployments!BX413)</f>
        <v/>
      </c>
      <c r="W425" s="19">
        <f>IF(Deployments!BY413="","",Deployments!BY413)</f>
        <v/>
      </c>
      <c r="X425" s="19">
        <f>IF(Deployments!CC413="","",Deployments!CC413)</f>
        <v/>
      </c>
      <c r="Y425" s="19">
        <f>IF(Deployments!BW413="","",Deployments!BW413)</f>
        <v/>
      </c>
      <c r="Z425" s="19">
        <f>IF(Deployments!U413="","",Deployments!U413)</f>
        <v/>
      </c>
      <c r="AA425" s="19">
        <f>IF(Deployments!L413="","",Deployments!L413)</f>
        <v/>
      </c>
    </row>
    <row r="426">
      <c r="A426" s="20" t="n"/>
      <c r="B426" s="20" t="n"/>
      <c r="C426" s="19">
        <f>IF(Deployments!H414="","",Deployments!H414)</f>
        <v/>
      </c>
      <c r="D426" s="19">
        <f>IF(Deployments!AM414="","",Deployments!AM414)</f>
        <v/>
      </c>
      <c r="E426" s="19">
        <f>IF(Deployments!I414="","",Deployments!I414)</f>
        <v/>
      </c>
      <c r="F426" s="19">
        <f>IF(Deployments!J414="","",Deployments!J414)</f>
        <v/>
      </c>
      <c r="G426" s="19">
        <f>IF(Deployments!K414="","",Deployments!K414)</f>
        <v/>
      </c>
      <c r="H426" s="19">
        <f>IF(Deployments!A414="","",Deployments!A414)</f>
        <v/>
      </c>
      <c r="I426" s="19">
        <f>IF(Deployments!AN414="","",Deployments!AN414)</f>
        <v/>
      </c>
      <c r="J426" s="19">
        <f>IF(Deployments!AO414="","",Deployments!AO414)</f>
        <v/>
      </c>
      <c r="K426" s="19">
        <f>IF(Deployments!AI414="","",Deployments!AI414)</f>
        <v/>
      </c>
      <c r="L426" s="19">
        <f>IF(Deployments!M414="","",Deployments!M414)</f>
        <v/>
      </c>
      <c r="M426" s="20" t="n"/>
      <c r="N426" s="19">
        <f>IF(Deployments!N414="","",Deployments!N414)</f>
        <v/>
      </c>
      <c r="O426" s="19">
        <f>IF(Deployments!O414="","",Deployments!O414)</f>
        <v/>
      </c>
      <c r="P426" s="19">
        <f>IF(Deployments!P414="","",Deployments!P414)</f>
        <v/>
      </c>
      <c r="Q426" s="20" t="n"/>
      <c r="R426" s="19">
        <f>IF(Deployments!BT414="","",Deployments!BT414)</f>
        <v/>
      </c>
      <c r="S426" s="19">
        <f>IF(Deployments!BS414="","",Deployments!BS414)</f>
        <v/>
      </c>
      <c r="T426" s="19">
        <f>IF(Deployments!BB414="","",Deployments!BB414)</f>
        <v/>
      </c>
      <c r="U426" s="19">
        <f>IF(Deployments!BR414="","",Deployments!BR414)</f>
        <v/>
      </c>
      <c r="V426" s="19">
        <f>IF(Deployments!BX414="","",Deployments!BX414)</f>
        <v/>
      </c>
      <c r="W426" s="19">
        <f>IF(Deployments!BY414="","",Deployments!BY414)</f>
        <v/>
      </c>
      <c r="X426" s="19">
        <f>IF(Deployments!CC414="","",Deployments!CC414)</f>
        <v/>
      </c>
      <c r="Y426" s="19">
        <f>IF(Deployments!BW414="","",Deployments!BW414)</f>
        <v/>
      </c>
      <c r="Z426" s="19">
        <f>IF(Deployments!U414="","",Deployments!U414)</f>
        <v/>
      </c>
      <c r="AA426" s="19">
        <f>IF(Deployments!L414="","",Deployments!L414)</f>
        <v/>
      </c>
    </row>
    <row r="427">
      <c r="A427" s="20" t="n"/>
      <c r="B427" s="20" t="n"/>
      <c r="C427" s="19">
        <f>IF(Deployments!H415="","",Deployments!H415)</f>
        <v/>
      </c>
      <c r="D427" s="19">
        <f>IF(Deployments!AM415="","",Deployments!AM415)</f>
        <v/>
      </c>
      <c r="E427" s="19">
        <f>IF(Deployments!I415="","",Deployments!I415)</f>
        <v/>
      </c>
      <c r="F427" s="19">
        <f>IF(Deployments!J415="","",Deployments!J415)</f>
        <v/>
      </c>
      <c r="G427" s="19">
        <f>IF(Deployments!K415="","",Deployments!K415)</f>
        <v/>
      </c>
      <c r="H427" s="19">
        <f>IF(Deployments!A415="","",Deployments!A415)</f>
        <v/>
      </c>
      <c r="I427" s="19">
        <f>IF(Deployments!AN415="","",Deployments!AN415)</f>
        <v/>
      </c>
      <c r="J427" s="19">
        <f>IF(Deployments!AO415="","",Deployments!AO415)</f>
        <v/>
      </c>
      <c r="K427" s="19">
        <f>IF(Deployments!AI415="","",Deployments!AI415)</f>
        <v/>
      </c>
      <c r="L427" s="19">
        <f>IF(Deployments!M415="","",Deployments!M415)</f>
        <v/>
      </c>
      <c r="M427" s="20" t="n"/>
      <c r="N427" s="19">
        <f>IF(Deployments!N415="","",Deployments!N415)</f>
        <v/>
      </c>
      <c r="O427" s="19">
        <f>IF(Deployments!O415="","",Deployments!O415)</f>
        <v/>
      </c>
      <c r="P427" s="19">
        <f>IF(Deployments!P415="","",Deployments!P415)</f>
        <v/>
      </c>
      <c r="Q427" s="20" t="n"/>
      <c r="R427" s="19">
        <f>IF(Deployments!BT415="","",Deployments!BT415)</f>
        <v/>
      </c>
      <c r="S427" s="19">
        <f>IF(Deployments!BS415="","",Deployments!BS415)</f>
        <v/>
      </c>
      <c r="T427" s="19">
        <f>IF(Deployments!BB415="","",Deployments!BB415)</f>
        <v/>
      </c>
      <c r="U427" s="19">
        <f>IF(Deployments!BR415="","",Deployments!BR415)</f>
        <v/>
      </c>
      <c r="V427" s="19">
        <f>IF(Deployments!BX415="","",Deployments!BX415)</f>
        <v/>
      </c>
      <c r="W427" s="19">
        <f>IF(Deployments!BY415="","",Deployments!BY415)</f>
        <v/>
      </c>
      <c r="X427" s="19">
        <f>IF(Deployments!CC415="","",Deployments!CC415)</f>
        <v/>
      </c>
      <c r="Y427" s="19">
        <f>IF(Deployments!BW415="","",Deployments!BW415)</f>
        <v/>
      </c>
      <c r="Z427" s="19">
        <f>IF(Deployments!U415="","",Deployments!U415)</f>
        <v/>
      </c>
      <c r="AA427" s="19">
        <f>IF(Deployments!L415="","",Deployments!L415)</f>
        <v/>
      </c>
    </row>
    <row r="428">
      <c r="A428" s="20" t="n"/>
      <c r="B428" s="20" t="n"/>
      <c r="C428" s="19">
        <f>IF(Deployments!H416="","",Deployments!H416)</f>
        <v/>
      </c>
      <c r="D428" s="19">
        <f>IF(Deployments!AM416="","",Deployments!AM416)</f>
        <v/>
      </c>
      <c r="E428" s="19">
        <f>IF(Deployments!I416="","",Deployments!I416)</f>
        <v/>
      </c>
      <c r="F428" s="19">
        <f>IF(Deployments!J416="","",Deployments!J416)</f>
        <v/>
      </c>
      <c r="G428" s="19">
        <f>IF(Deployments!K416="","",Deployments!K416)</f>
        <v/>
      </c>
      <c r="H428" s="19">
        <f>IF(Deployments!A416="","",Deployments!A416)</f>
        <v/>
      </c>
      <c r="I428" s="19">
        <f>IF(Deployments!AN416="","",Deployments!AN416)</f>
        <v/>
      </c>
      <c r="J428" s="19">
        <f>IF(Deployments!AO416="","",Deployments!AO416)</f>
        <v/>
      </c>
      <c r="K428" s="19">
        <f>IF(Deployments!AI416="","",Deployments!AI416)</f>
        <v/>
      </c>
      <c r="L428" s="19">
        <f>IF(Deployments!M416="","",Deployments!M416)</f>
        <v/>
      </c>
      <c r="M428" s="20" t="n"/>
      <c r="N428" s="19">
        <f>IF(Deployments!N416="","",Deployments!N416)</f>
        <v/>
      </c>
      <c r="O428" s="19">
        <f>IF(Deployments!O416="","",Deployments!O416)</f>
        <v/>
      </c>
      <c r="P428" s="19">
        <f>IF(Deployments!P416="","",Deployments!P416)</f>
        <v/>
      </c>
      <c r="Q428" s="20" t="n"/>
      <c r="R428" s="19">
        <f>IF(Deployments!BT416="","",Deployments!BT416)</f>
        <v/>
      </c>
      <c r="S428" s="19">
        <f>IF(Deployments!BS416="","",Deployments!BS416)</f>
        <v/>
      </c>
      <c r="T428" s="19">
        <f>IF(Deployments!BB416="","",Deployments!BB416)</f>
        <v/>
      </c>
      <c r="U428" s="19">
        <f>IF(Deployments!BR416="","",Deployments!BR416)</f>
        <v/>
      </c>
      <c r="V428" s="19">
        <f>IF(Deployments!BX416="","",Deployments!BX416)</f>
        <v/>
      </c>
      <c r="W428" s="19">
        <f>IF(Deployments!BY416="","",Deployments!BY416)</f>
        <v/>
      </c>
      <c r="X428" s="19">
        <f>IF(Deployments!CC416="","",Deployments!CC416)</f>
        <v/>
      </c>
      <c r="Y428" s="19">
        <f>IF(Deployments!BW416="","",Deployments!BW416)</f>
        <v/>
      </c>
      <c r="Z428" s="19">
        <f>IF(Deployments!U416="","",Deployments!U416)</f>
        <v/>
      </c>
      <c r="AA428" s="19">
        <f>IF(Deployments!L416="","",Deployments!L416)</f>
        <v/>
      </c>
    </row>
    <row r="429">
      <c r="A429" s="20" t="n"/>
      <c r="B429" s="20" t="n"/>
      <c r="C429" s="19">
        <f>IF(Deployments!H417="","",Deployments!H417)</f>
        <v/>
      </c>
      <c r="D429" s="19">
        <f>IF(Deployments!AM417="","",Deployments!AM417)</f>
        <v/>
      </c>
      <c r="E429" s="19">
        <f>IF(Deployments!I417="","",Deployments!I417)</f>
        <v/>
      </c>
      <c r="F429" s="19">
        <f>IF(Deployments!J417="","",Deployments!J417)</f>
        <v/>
      </c>
      <c r="G429" s="19">
        <f>IF(Deployments!K417="","",Deployments!K417)</f>
        <v/>
      </c>
      <c r="H429" s="19">
        <f>IF(Deployments!A417="","",Deployments!A417)</f>
        <v/>
      </c>
      <c r="I429" s="19">
        <f>IF(Deployments!AN417="","",Deployments!AN417)</f>
        <v/>
      </c>
      <c r="J429" s="19">
        <f>IF(Deployments!AO417="","",Deployments!AO417)</f>
        <v/>
      </c>
      <c r="K429" s="19">
        <f>IF(Deployments!AI417="","",Deployments!AI417)</f>
        <v/>
      </c>
      <c r="L429" s="19">
        <f>IF(Deployments!M417="","",Deployments!M417)</f>
        <v/>
      </c>
      <c r="M429" s="20" t="n"/>
      <c r="N429" s="19">
        <f>IF(Deployments!N417="","",Deployments!N417)</f>
        <v/>
      </c>
      <c r="O429" s="19">
        <f>IF(Deployments!O417="","",Deployments!O417)</f>
        <v/>
      </c>
      <c r="P429" s="19">
        <f>IF(Deployments!P417="","",Deployments!P417)</f>
        <v/>
      </c>
      <c r="Q429" s="20" t="n"/>
      <c r="R429" s="19">
        <f>IF(Deployments!BT417="","",Deployments!BT417)</f>
        <v/>
      </c>
      <c r="S429" s="19">
        <f>IF(Deployments!BS417="","",Deployments!BS417)</f>
        <v/>
      </c>
      <c r="T429" s="19">
        <f>IF(Deployments!BB417="","",Deployments!BB417)</f>
        <v/>
      </c>
      <c r="U429" s="19">
        <f>IF(Deployments!BR417="","",Deployments!BR417)</f>
        <v/>
      </c>
      <c r="V429" s="19">
        <f>IF(Deployments!BX417="","",Deployments!BX417)</f>
        <v/>
      </c>
      <c r="W429" s="19">
        <f>IF(Deployments!BY417="","",Deployments!BY417)</f>
        <v/>
      </c>
      <c r="X429" s="19">
        <f>IF(Deployments!CC417="","",Deployments!CC417)</f>
        <v/>
      </c>
      <c r="Y429" s="19">
        <f>IF(Deployments!BW417="","",Deployments!BW417)</f>
        <v/>
      </c>
      <c r="Z429" s="19">
        <f>IF(Deployments!U417="","",Deployments!U417)</f>
        <v/>
      </c>
      <c r="AA429" s="19">
        <f>IF(Deployments!L417="","",Deployments!L417)</f>
        <v/>
      </c>
    </row>
    <row r="430">
      <c r="A430" s="20" t="n"/>
      <c r="B430" s="20" t="n"/>
      <c r="C430" s="19">
        <f>IF(Deployments!H418="","",Deployments!H418)</f>
        <v/>
      </c>
      <c r="D430" s="19">
        <f>IF(Deployments!AM418="","",Deployments!AM418)</f>
        <v/>
      </c>
      <c r="E430" s="19">
        <f>IF(Deployments!I418="","",Deployments!I418)</f>
        <v/>
      </c>
      <c r="F430" s="19">
        <f>IF(Deployments!J418="","",Deployments!J418)</f>
        <v/>
      </c>
      <c r="G430" s="19">
        <f>IF(Deployments!K418="","",Deployments!K418)</f>
        <v/>
      </c>
      <c r="H430" s="19">
        <f>IF(Deployments!A418="","",Deployments!A418)</f>
        <v/>
      </c>
      <c r="I430" s="19">
        <f>IF(Deployments!AN418="","",Deployments!AN418)</f>
        <v/>
      </c>
      <c r="J430" s="19">
        <f>IF(Deployments!AO418="","",Deployments!AO418)</f>
        <v/>
      </c>
      <c r="K430" s="19">
        <f>IF(Deployments!AI418="","",Deployments!AI418)</f>
        <v/>
      </c>
      <c r="L430" s="19">
        <f>IF(Deployments!M418="","",Deployments!M418)</f>
        <v/>
      </c>
      <c r="M430" s="20" t="n"/>
      <c r="N430" s="19">
        <f>IF(Deployments!N418="","",Deployments!N418)</f>
        <v/>
      </c>
      <c r="O430" s="19">
        <f>IF(Deployments!O418="","",Deployments!O418)</f>
        <v/>
      </c>
      <c r="P430" s="19">
        <f>IF(Deployments!P418="","",Deployments!P418)</f>
        <v/>
      </c>
      <c r="Q430" s="20" t="n"/>
      <c r="R430" s="19">
        <f>IF(Deployments!BT418="","",Deployments!BT418)</f>
        <v/>
      </c>
      <c r="S430" s="19">
        <f>IF(Deployments!BS418="","",Deployments!BS418)</f>
        <v/>
      </c>
      <c r="T430" s="19">
        <f>IF(Deployments!BB418="","",Deployments!BB418)</f>
        <v/>
      </c>
      <c r="U430" s="19">
        <f>IF(Deployments!BR418="","",Deployments!BR418)</f>
        <v/>
      </c>
      <c r="V430" s="19">
        <f>IF(Deployments!BX418="","",Deployments!BX418)</f>
        <v/>
      </c>
      <c r="W430" s="19">
        <f>IF(Deployments!BY418="","",Deployments!BY418)</f>
        <v/>
      </c>
      <c r="X430" s="19">
        <f>IF(Deployments!CC418="","",Deployments!CC418)</f>
        <v/>
      </c>
      <c r="Y430" s="19">
        <f>IF(Deployments!BW418="","",Deployments!BW418)</f>
        <v/>
      </c>
      <c r="Z430" s="19">
        <f>IF(Deployments!U418="","",Deployments!U418)</f>
        <v/>
      </c>
      <c r="AA430" s="19">
        <f>IF(Deployments!L418="","",Deployments!L418)</f>
        <v/>
      </c>
    </row>
    <row r="431">
      <c r="A431" s="20" t="n"/>
      <c r="B431" s="20" t="n"/>
      <c r="C431" s="19">
        <f>IF(Deployments!H419="","",Deployments!H419)</f>
        <v/>
      </c>
      <c r="D431" s="19">
        <f>IF(Deployments!AM419="","",Deployments!AM419)</f>
        <v/>
      </c>
      <c r="E431" s="19">
        <f>IF(Deployments!I419="","",Deployments!I419)</f>
        <v/>
      </c>
      <c r="F431" s="19">
        <f>IF(Deployments!J419="","",Deployments!J419)</f>
        <v/>
      </c>
      <c r="G431" s="19">
        <f>IF(Deployments!K419="","",Deployments!K419)</f>
        <v/>
      </c>
      <c r="H431" s="19">
        <f>IF(Deployments!A419="","",Deployments!A419)</f>
        <v/>
      </c>
      <c r="I431" s="19">
        <f>IF(Deployments!AN419="","",Deployments!AN419)</f>
        <v/>
      </c>
      <c r="J431" s="19">
        <f>IF(Deployments!AO419="","",Deployments!AO419)</f>
        <v/>
      </c>
      <c r="K431" s="19">
        <f>IF(Deployments!AI419="","",Deployments!AI419)</f>
        <v/>
      </c>
      <c r="L431" s="19">
        <f>IF(Deployments!M419="","",Deployments!M419)</f>
        <v/>
      </c>
      <c r="M431" s="20" t="n"/>
      <c r="N431" s="19">
        <f>IF(Deployments!N419="","",Deployments!N419)</f>
        <v/>
      </c>
      <c r="O431" s="19">
        <f>IF(Deployments!O419="","",Deployments!O419)</f>
        <v/>
      </c>
      <c r="P431" s="19">
        <f>IF(Deployments!P419="","",Deployments!P419)</f>
        <v/>
      </c>
      <c r="Q431" s="20" t="n"/>
      <c r="R431" s="19">
        <f>IF(Deployments!BT419="","",Deployments!BT419)</f>
        <v/>
      </c>
      <c r="S431" s="19">
        <f>IF(Deployments!BS419="","",Deployments!BS419)</f>
        <v/>
      </c>
      <c r="T431" s="19">
        <f>IF(Deployments!BB419="","",Deployments!BB419)</f>
        <v/>
      </c>
      <c r="U431" s="19">
        <f>IF(Deployments!BR419="","",Deployments!BR419)</f>
        <v/>
      </c>
      <c r="V431" s="19">
        <f>IF(Deployments!BX419="","",Deployments!BX419)</f>
        <v/>
      </c>
      <c r="W431" s="19">
        <f>IF(Deployments!BY419="","",Deployments!BY419)</f>
        <v/>
      </c>
      <c r="X431" s="19">
        <f>IF(Deployments!CC419="","",Deployments!CC419)</f>
        <v/>
      </c>
      <c r="Y431" s="19">
        <f>IF(Deployments!BW419="","",Deployments!BW419)</f>
        <v/>
      </c>
      <c r="Z431" s="19">
        <f>IF(Deployments!U419="","",Deployments!U419)</f>
        <v/>
      </c>
      <c r="AA431" s="19">
        <f>IF(Deployments!L419="","",Deployments!L419)</f>
        <v/>
      </c>
    </row>
    <row r="432">
      <c r="A432" s="20" t="n"/>
      <c r="B432" s="20" t="n"/>
      <c r="C432" s="19">
        <f>IF(Deployments!H420="","",Deployments!H420)</f>
        <v/>
      </c>
      <c r="D432" s="19">
        <f>IF(Deployments!AM420="","",Deployments!AM420)</f>
        <v/>
      </c>
      <c r="E432" s="19">
        <f>IF(Deployments!I420="","",Deployments!I420)</f>
        <v/>
      </c>
      <c r="F432" s="19">
        <f>IF(Deployments!J420="","",Deployments!J420)</f>
        <v/>
      </c>
      <c r="G432" s="19">
        <f>IF(Deployments!K420="","",Deployments!K420)</f>
        <v/>
      </c>
      <c r="H432" s="19">
        <f>IF(Deployments!A420="","",Deployments!A420)</f>
        <v/>
      </c>
      <c r="I432" s="19">
        <f>IF(Deployments!AN420="","",Deployments!AN420)</f>
        <v/>
      </c>
      <c r="J432" s="19">
        <f>IF(Deployments!AO420="","",Deployments!AO420)</f>
        <v/>
      </c>
      <c r="K432" s="19">
        <f>IF(Deployments!AI420="","",Deployments!AI420)</f>
        <v/>
      </c>
      <c r="L432" s="19">
        <f>IF(Deployments!M420="","",Deployments!M420)</f>
        <v/>
      </c>
      <c r="M432" s="20" t="n"/>
      <c r="N432" s="19">
        <f>IF(Deployments!N420="","",Deployments!N420)</f>
        <v/>
      </c>
      <c r="O432" s="19">
        <f>IF(Deployments!O420="","",Deployments!O420)</f>
        <v/>
      </c>
      <c r="P432" s="19">
        <f>IF(Deployments!P420="","",Deployments!P420)</f>
        <v/>
      </c>
      <c r="Q432" s="20" t="n"/>
      <c r="R432" s="19">
        <f>IF(Deployments!BT420="","",Deployments!BT420)</f>
        <v/>
      </c>
      <c r="S432" s="19">
        <f>IF(Deployments!BS420="","",Deployments!BS420)</f>
        <v/>
      </c>
      <c r="T432" s="19">
        <f>IF(Deployments!BB420="","",Deployments!BB420)</f>
        <v/>
      </c>
      <c r="U432" s="19">
        <f>IF(Deployments!BR420="","",Deployments!BR420)</f>
        <v/>
      </c>
      <c r="V432" s="19">
        <f>IF(Deployments!BX420="","",Deployments!BX420)</f>
        <v/>
      </c>
      <c r="W432" s="19">
        <f>IF(Deployments!BY420="","",Deployments!BY420)</f>
        <v/>
      </c>
      <c r="X432" s="19">
        <f>IF(Deployments!CC420="","",Deployments!CC420)</f>
        <v/>
      </c>
      <c r="Y432" s="19">
        <f>IF(Deployments!BW420="","",Deployments!BW420)</f>
        <v/>
      </c>
      <c r="Z432" s="19">
        <f>IF(Deployments!U420="","",Deployments!U420)</f>
        <v/>
      </c>
      <c r="AA432" s="19">
        <f>IF(Deployments!L420="","",Deployments!L420)</f>
        <v/>
      </c>
    </row>
    <row r="433">
      <c r="A433" s="20" t="n"/>
      <c r="B433" s="20" t="n"/>
      <c r="C433" s="19">
        <f>IF(Deployments!H421="","",Deployments!H421)</f>
        <v/>
      </c>
      <c r="D433" s="19">
        <f>IF(Deployments!AM421="","",Deployments!AM421)</f>
        <v/>
      </c>
      <c r="E433" s="19">
        <f>IF(Deployments!I421="","",Deployments!I421)</f>
        <v/>
      </c>
      <c r="F433" s="19">
        <f>IF(Deployments!J421="","",Deployments!J421)</f>
        <v/>
      </c>
      <c r="G433" s="19">
        <f>IF(Deployments!K421="","",Deployments!K421)</f>
        <v/>
      </c>
      <c r="H433" s="19">
        <f>IF(Deployments!A421="","",Deployments!A421)</f>
        <v/>
      </c>
      <c r="I433" s="19">
        <f>IF(Deployments!AN421="","",Deployments!AN421)</f>
        <v/>
      </c>
      <c r="J433" s="19">
        <f>IF(Deployments!AO421="","",Deployments!AO421)</f>
        <v/>
      </c>
      <c r="K433" s="19">
        <f>IF(Deployments!AI421="","",Deployments!AI421)</f>
        <v/>
      </c>
      <c r="L433" s="19">
        <f>IF(Deployments!M421="","",Deployments!M421)</f>
        <v/>
      </c>
      <c r="M433" s="20" t="n"/>
      <c r="N433" s="19">
        <f>IF(Deployments!N421="","",Deployments!N421)</f>
        <v/>
      </c>
      <c r="O433" s="19">
        <f>IF(Deployments!O421="","",Deployments!O421)</f>
        <v/>
      </c>
      <c r="P433" s="19">
        <f>IF(Deployments!P421="","",Deployments!P421)</f>
        <v/>
      </c>
      <c r="Q433" s="20" t="n"/>
      <c r="R433" s="19">
        <f>IF(Deployments!BT421="","",Deployments!BT421)</f>
        <v/>
      </c>
      <c r="S433" s="19">
        <f>IF(Deployments!BS421="","",Deployments!BS421)</f>
        <v/>
      </c>
      <c r="T433" s="19">
        <f>IF(Deployments!BB421="","",Deployments!BB421)</f>
        <v/>
      </c>
      <c r="U433" s="19">
        <f>IF(Deployments!BR421="","",Deployments!BR421)</f>
        <v/>
      </c>
      <c r="V433" s="19">
        <f>IF(Deployments!BX421="","",Deployments!BX421)</f>
        <v/>
      </c>
      <c r="W433" s="19">
        <f>IF(Deployments!BY421="","",Deployments!BY421)</f>
        <v/>
      </c>
      <c r="X433" s="19">
        <f>IF(Deployments!CC421="","",Deployments!CC421)</f>
        <v/>
      </c>
      <c r="Y433" s="19">
        <f>IF(Deployments!BW421="","",Deployments!BW421)</f>
        <v/>
      </c>
      <c r="Z433" s="19">
        <f>IF(Deployments!U421="","",Deployments!U421)</f>
        <v/>
      </c>
      <c r="AA433" s="19">
        <f>IF(Deployments!L421="","",Deployments!L421)</f>
        <v/>
      </c>
    </row>
    <row r="434">
      <c r="A434" s="20" t="n"/>
      <c r="B434" s="20" t="n"/>
      <c r="C434" s="19">
        <f>IF(Deployments!H422="","",Deployments!H422)</f>
        <v/>
      </c>
      <c r="D434" s="19">
        <f>IF(Deployments!AM422="","",Deployments!AM422)</f>
        <v/>
      </c>
      <c r="E434" s="19">
        <f>IF(Deployments!I422="","",Deployments!I422)</f>
        <v/>
      </c>
      <c r="F434" s="19">
        <f>IF(Deployments!J422="","",Deployments!J422)</f>
        <v/>
      </c>
      <c r="G434" s="19">
        <f>IF(Deployments!K422="","",Deployments!K422)</f>
        <v/>
      </c>
      <c r="H434" s="19">
        <f>IF(Deployments!A422="","",Deployments!A422)</f>
        <v/>
      </c>
      <c r="I434" s="19">
        <f>IF(Deployments!AN422="","",Deployments!AN422)</f>
        <v/>
      </c>
      <c r="J434" s="19">
        <f>IF(Deployments!AO422="","",Deployments!AO422)</f>
        <v/>
      </c>
      <c r="K434" s="19">
        <f>IF(Deployments!AI422="","",Deployments!AI422)</f>
        <v/>
      </c>
      <c r="L434" s="19">
        <f>IF(Deployments!M422="","",Deployments!M422)</f>
        <v/>
      </c>
      <c r="M434" s="20" t="n"/>
      <c r="N434" s="19">
        <f>IF(Deployments!N422="","",Deployments!N422)</f>
        <v/>
      </c>
      <c r="O434" s="19">
        <f>IF(Deployments!O422="","",Deployments!O422)</f>
        <v/>
      </c>
      <c r="P434" s="19">
        <f>IF(Deployments!P422="","",Deployments!P422)</f>
        <v/>
      </c>
      <c r="Q434" s="20" t="n"/>
      <c r="R434" s="19">
        <f>IF(Deployments!BT422="","",Deployments!BT422)</f>
        <v/>
      </c>
      <c r="S434" s="19">
        <f>IF(Deployments!BS422="","",Deployments!BS422)</f>
        <v/>
      </c>
      <c r="T434" s="19">
        <f>IF(Deployments!BB422="","",Deployments!BB422)</f>
        <v/>
      </c>
      <c r="U434" s="19">
        <f>IF(Deployments!BR422="","",Deployments!BR422)</f>
        <v/>
      </c>
      <c r="V434" s="19">
        <f>IF(Deployments!BX422="","",Deployments!BX422)</f>
        <v/>
      </c>
      <c r="W434" s="19">
        <f>IF(Deployments!BY422="","",Deployments!BY422)</f>
        <v/>
      </c>
      <c r="X434" s="19">
        <f>IF(Deployments!CC422="","",Deployments!CC422)</f>
        <v/>
      </c>
      <c r="Y434" s="19">
        <f>IF(Deployments!BW422="","",Deployments!BW422)</f>
        <v/>
      </c>
      <c r="Z434" s="19">
        <f>IF(Deployments!U422="","",Deployments!U422)</f>
        <v/>
      </c>
      <c r="AA434" s="19">
        <f>IF(Deployments!L422="","",Deployments!L422)</f>
        <v/>
      </c>
    </row>
    <row r="435">
      <c r="A435" s="20" t="n"/>
      <c r="B435" s="20" t="n"/>
      <c r="C435" s="19">
        <f>IF(Deployments!H423="","",Deployments!H423)</f>
        <v/>
      </c>
      <c r="D435" s="19">
        <f>IF(Deployments!AM423="","",Deployments!AM423)</f>
        <v/>
      </c>
      <c r="E435" s="19">
        <f>IF(Deployments!I423="","",Deployments!I423)</f>
        <v/>
      </c>
      <c r="F435" s="19">
        <f>IF(Deployments!J423="","",Deployments!J423)</f>
        <v/>
      </c>
      <c r="G435" s="19">
        <f>IF(Deployments!K423="","",Deployments!K423)</f>
        <v/>
      </c>
      <c r="H435" s="19">
        <f>IF(Deployments!A423="","",Deployments!A423)</f>
        <v/>
      </c>
      <c r="I435" s="19">
        <f>IF(Deployments!AN423="","",Deployments!AN423)</f>
        <v/>
      </c>
      <c r="J435" s="19">
        <f>IF(Deployments!AO423="","",Deployments!AO423)</f>
        <v/>
      </c>
      <c r="K435" s="19">
        <f>IF(Deployments!AI423="","",Deployments!AI423)</f>
        <v/>
      </c>
      <c r="L435" s="19">
        <f>IF(Deployments!M423="","",Deployments!M423)</f>
        <v/>
      </c>
      <c r="M435" s="20" t="n"/>
      <c r="N435" s="19">
        <f>IF(Deployments!N423="","",Deployments!N423)</f>
        <v/>
      </c>
      <c r="O435" s="19">
        <f>IF(Deployments!O423="","",Deployments!O423)</f>
        <v/>
      </c>
      <c r="P435" s="19">
        <f>IF(Deployments!P423="","",Deployments!P423)</f>
        <v/>
      </c>
      <c r="Q435" s="20" t="n"/>
      <c r="R435" s="19">
        <f>IF(Deployments!BT423="","",Deployments!BT423)</f>
        <v/>
      </c>
      <c r="S435" s="19">
        <f>IF(Deployments!BS423="","",Deployments!BS423)</f>
        <v/>
      </c>
      <c r="T435" s="19">
        <f>IF(Deployments!BB423="","",Deployments!BB423)</f>
        <v/>
      </c>
      <c r="U435" s="19">
        <f>IF(Deployments!BR423="","",Deployments!BR423)</f>
        <v/>
      </c>
      <c r="V435" s="19">
        <f>IF(Deployments!BX423="","",Deployments!BX423)</f>
        <v/>
      </c>
      <c r="W435" s="19">
        <f>IF(Deployments!BY423="","",Deployments!BY423)</f>
        <v/>
      </c>
      <c r="X435" s="19">
        <f>IF(Deployments!CC423="","",Deployments!CC423)</f>
        <v/>
      </c>
      <c r="Y435" s="19">
        <f>IF(Deployments!BW423="","",Deployments!BW423)</f>
        <v/>
      </c>
      <c r="Z435" s="19">
        <f>IF(Deployments!U423="","",Deployments!U423)</f>
        <v/>
      </c>
      <c r="AA435" s="19">
        <f>IF(Deployments!L423="","",Deployments!L423)</f>
        <v/>
      </c>
    </row>
    <row r="436">
      <c r="A436" s="20" t="n"/>
      <c r="B436" s="20" t="n"/>
      <c r="C436" s="19">
        <f>IF(Deployments!H424="","",Deployments!H424)</f>
        <v/>
      </c>
      <c r="D436" s="19">
        <f>IF(Deployments!AM424="","",Deployments!AM424)</f>
        <v/>
      </c>
      <c r="E436" s="19">
        <f>IF(Deployments!I424="","",Deployments!I424)</f>
        <v/>
      </c>
      <c r="F436" s="19">
        <f>IF(Deployments!J424="","",Deployments!J424)</f>
        <v/>
      </c>
      <c r="G436" s="19">
        <f>IF(Deployments!K424="","",Deployments!K424)</f>
        <v/>
      </c>
      <c r="H436" s="19">
        <f>IF(Deployments!A424="","",Deployments!A424)</f>
        <v/>
      </c>
      <c r="I436" s="19">
        <f>IF(Deployments!AN424="","",Deployments!AN424)</f>
        <v/>
      </c>
      <c r="J436" s="19">
        <f>IF(Deployments!AO424="","",Deployments!AO424)</f>
        <v/>
      </c>
      <c r="K436" s="19">
        <f>IF(Deployments!AI424="","",Deployments!AI424)</f>
        <v/>
      </c>
      <c r="L436" s="19">
        <f>IF(Deployments!M424="","",Deployments!M424)</f>
        <v/>
      </c>
      <c r="M436" s="20" t="n"/>
      <c r="N436" s="19">
        <f>IF(Deployments!N424="","",Deployments!N424)</f>
        <v/>
      </c>
      <c r="O436" s="19">
        <f>IF(Deployments!O424="","",Deployments!O424)</f>
        <v/>
      </c>
      <c r="P436" s="19">
        <f>IF(Deployments!P424="","",Deployments!P424)</f>
        <v/>
      </c>
      <c r="Q436" s="20" t="n"/>
      <c r="R436" s="19">
        <f>IF(Deployments!BT424="","",Deployments!BT424)</f>
        <v/>
      </c>
      <c r="S436" s="19">
        <f>IF(Deployments!BS424="","",Deployments!BS424)</f>
        <v/>
      </c>
      <c r="T436" s="19">
        <f>IF(Deployments!BB424="","",Deployments!BB424)</f>
        <v/>
      </c>
      <c r="U436" s="19">
        <f>IF(Deployments!BR424="","",Deployments!BR424)</f>
        <v/>
      </c>
      <c r="V436" s="19">
        <f>IF(Deployments!BX424="","",Deployments!BX424)</f>
        <v/>
      </c>
      <c r="W436" s="19">
        <f>IF(Deployments!BY424="","",Deployments!BY424)</f>
        <v/>
      </c>
      <c r="X436" s="19">
        <f>IF(Deployments!CC424="","",Deployments!CC424)</f>
        <v/>
      </c>
      <c r="Y436" s="19">
        <f>IF(Deployments!BW424="","",Deployments!BW424)</f>
        <v/>
      </c>
      <c r="Z436" s="19">
        <f>IF(Deployments!U424="","",Deployments!U424)</f>
        <v/>
      </c>
      <c r="AA436" s="19">
        <f>IF(Deployments!L424="","",Deployments!L424)</f>
        <v/>
      </c>
    </row>
    <row r="437">
      <c r="A437" s="20" t="n"/>
      <c r="B437" s="20" t="n"/>
      <c r="C437" s="19">
        <f>IF(Deployments!H425="","",Deployments!H425)</f>
        <v/>
      </c>
      <c r="D437" s="19">
        <f>IF(Deployments!AM425="","",Deployments!AM425)</f>
        <v/>
      </c>
      <c r="E437" s="19">
        <f>IF(Deployments!I425="","",Deployments!I425)</f>
        <v/>
      </c>
      <c r="F437" s="19">
        <f>IF(Deployments!J425="","",Deployments!J425)</f>
        <v/>
      </c>
      <c r="G437" s="19">
        <f>IF(Deployments!K425="","",Deployments!K425)</f>
        <v/>
      </c>
      <c r="H437" s="19">
        <f>IF(Deployments!A425="","",Deployments!A425)</f>
        <v/>
      </c>
      <c r="I437" s="19">
        <f>IF(Deployments!AN425="","",Deployments!AN425)</f>
        <v/>
      </c>
      <c r="J437" s="19">
        <f>IF(Deployments!AO425="","",Deployments!AO425)</f>
        <v/>
      </c>
      <c r="K437" s="19">
        <f>IF(Deployments!AI425="","",Deployments!AI425)</f>
        <v/>
      </c>
      <c r="L437" s="19">
        <f>IF(Deployments!M425="","",Deployments!M425)</f>
        <v/>
      </c>
      <c r="M437" s="20" t="n"/>
      <c r="N437" s="19">
        <f>IF(Deployments!N425="","",Deployments!N425)</f>
        <v/>
      </c>
      <c r="O437" s="19">
        <f>IF(Deployments!O425="","",Deployments!O425)</f>
        <v/>
      </c>
      <c r="P437" s="19">
        <f>IF(Deployments!P425="","",Deployments!P425)</f>
        <v/>
      </c>
      <c r="Q437" s="20" t="n"/>
      <c r="R437" s="19">
        <f>IF(Deployments!BT425="","",Deployments!BT425)</f>
        <v/>
      </c>
      <c r="S437" s="19">
        <f>IF(Deployments!BS425="","",Deployments!BS425)</f>
        <v/>
      </c>
      <c r="T437" s="19">
        <f>IF(Deployments!BB425="","",Deployments!BB425)</f>
        <v/>
      </c>
      <c r="U437" s="19">
        <f>IF(Deployments!BR425="","",Deployments!BR425)</f>
        <v/>
      </c>
      <c r="V437" s="19">
        <f>IF(Deployments!BX425="","",Deployments!BX425)</f>
        <v/>
      </c>
      <c r="W437" s="19">
        <f>IF(Deployments!BY425="","",Deployments!BY425)</f>
        <v/>
      </c>
      <c r="X437" s="19">
        <f>IF(Deployments!CC425="","",Deployments!CC425)</f>
        <v/>
      </c>
      <c r="Y437" s="19">
        <f>IF(Deployments!BW425="","",Deployments!BW425)</f>
        <v/>
      </c>
      <c r="Z437" s="19">
        <f>IF(Deployments!U425="","",Deployments!U425)</f>
        <v/>
      </c>
      <c r="AA437" s="19">
        <f>IF(Deployments!L425="","",Deployments!L425)</f>
        <v/>
      </c>
    </row>
    <row r="438">
      <c r="A438" s="20" t="n"/>
      <c r="B438" s="20" t="n"/>
      <c r="C438" s="19">
        <f>IF(Deployments!H426="","",Deployments!H426)</f>
        <v/>
      </c>
      <c r="D438" s="19">
        <f>IF(Deployments!AM426="","",Deployments!AM426)</f>
        <v/>
      </c>
      <c r="E438" s="19">
        <f>IF(Deployments!I426="","",Deployments!I426)</f>
        <v/>
      </c>
      <c r="F438" s="19">
        <f>IF(Deployments!J426="","",Deployments!J426)</f>
        <v/>
      </c>
      <c r="G438" s="19">
        <f>IF(Deployments!K426="","",Deployments!K426)</f>
        <v/>
      </c>
      <c r="H438" s="19">
        <f>IF(Deployments!A426="","",Deployments!A426)</f>
        <v/>
      </c>
      <c r="I438" s="19">
        <f>IF(Deployments!AN426="","",Deployments!AN426)</f>
        <v/>
      </c>
      <c r="J438" s="19">
        <f>IF(Deployments!AO426="","",Deployments!AO426)</f>
        <v/>
      </c>
      <c r="K438" s="19">
        <f>IF(Deployments!AI426="","",Deployments!AI426)</f>
        <v/>
      </c>
      <c r="L438" s="19">
        <f>IF(Deployments!M426="","",Deployments!M426)</f>
        <v/>
      </c>
      <c r="M438" s="20" t="n"/>
      <c r="N438" s="19">
        <f>IF(Deployments!N426="","",Deployments!N426)</f>
        <v/>
      </c>
      <c r="O438" s="19">
        <f>IF(Deployments!O426="","",Deployments!O426)</f>
        <v/>
      </c>
      <c r="P438" s="19">
        <f>IF(Deployments!P426="","",Deployments!P426)</f>
        <v/>
      </c>
      <c r="Q438" s="20" t="n"/>
      <c r="R438" s="19">
        <f>IF(Deployments!BT426="","",Deployments!BT426)</f>
        <v/>
      </c>
      <c r="S438" s="19">
        <f>IF(Deployments!BS426="","",Deployments!BS426)</f>
        <v/>
      </c>
      <c r="T438" s="19">
        <f>IF(Deployments!BB426="","",Deployments!BB426)</f>
        <v/>
      </c>
      <c r="U438" s="19">
        <f>IF(Deployments!BR426="","",Deployments!BR426)</f>
        <v/>
      </c>
      <c r="V438" s="19">
        <f>IF(Deployments!BX426="","",Deployments!BX426)</f>
        <v/>
      </c>
      <c r="W438" s="19">
        <f>IF(Deployments!BY426="","",Deployments!BY426)</f>
        <v/>
      </c>
      <c r="X438" s="19">
        <f>IF(Deployments!CC426="","",Deployments!CC426)</f>
        <v/>
      </c>
      <c r="Y438" s="19">
        <f>IF(Deployments!BW426="","",Deployments!BW426)</f>
        <v/>
      </c>
      <c r="Z438" s="19">
        <f>IF(Deployments!U426="","",Deployments!U426)</f>
        <v/>
      </c>
      <c r="AA438" s="19">
        <f>IF(Deployments!L426="","",Deployments!L426)</f>
        <v/>
      </c>
    </row>
    <row r="439">
      <c r="A439" s="20" t="n"/>
      <c r="B439" s="20" t="n"/>
      <c r="C439" s="19">
        <f>IF(Deployments!H427="","",Deployments!H427)</f>
        <v/>
      </c>
      <c r="D439" s="19">
        <f>IF(Deployments!AM427="","",Deployments!AM427)</f>
        <v/>
      </c>
      <c r="E439" s="19">
        <f>IF(Deployments!I427="","",Deployments!I427)</f>
        <v/>
      </c>
      <c r="F439" s="19">
        <f>IF(Deployments!J427="","",Deployments!J427)</f>
        <v/>
      </c>
      <c r="G439" s="19">
        <f>IF(Deployments!K427="","",Deployments!K427)</f>
        <v/>
      </c>
      <c r="H439" s="19">
        <f>IF(Deployments!A427="","",Deployments!A427)</f>
        <v/>
      </c>
      <c r="I439" s="19">
        <f>IF(Deployments!AN427="","",Deployments!AN427)</f>
        <v/>
      </c>
      <c r="J439" s="19">
        <f>IF(Deployments!AO427="","",Deployments!AO427)</f>
        <v/>
      </c>
      <c r="K439" s="19">
        <f>IF(Deployments!AI427="","",Deployments!AI427)</f>
        <v/>
      </c>
      <c r="L439" s="19">
        <f>IF(Deployments!M427="","",Deployments!M427)</f>
        <v/>
      </c>
      <c r="M439" s="20" t="n"/>
      <c r="N439" s="19">
        <f>IF(Deployments!N427="","",Deployments!N427)</f>
        <v/>
      </c>
      <c r="O439" s="19">
        <f>IF(Deployments!O427="","",Deployments!O427)</f>
        <v/>
      </c>
      <c r="P439" s="19">
        <f>IF(Deployments!P427="","",Deployments!P427)</f>
        <v/>
      </c>
      <c r="Q439" s="20" t="n"/>
      <c r="R439" s="19">
        <f>IF(Deployments!BT427="","",Deployments!BT427)</f>
        <v/>
      </c>
      <c r="S439" s="19">
        <f>IF(Deployments!BS427="","",Deployments!BS427)</f>
        <v/>
      </c>
      <c r="T439" s="19">
        <f>IF(Deployments!BB427="","",Deployments!BB427)</f>
        <v/>
      </c>
      <c r="U439" s="19">
        <f>IF(Deployments!BR427="","",Deployments!BR427)</f>
        <v/>
      </c>
      <c r="V439" s="19">
        <f>IF(Deployments!BX427="","",Deployments!BX427)</f>
        <v/>
      </c>
      <c r="W439" s="19">
        <f>IF(Deployments!BY427="","",Deployments!BY427)</f>
        <v/>
      </c>
      <c r="X439" s="19">
        <f>IF(Deployments!CC427="","",Deployments!CC427)</f>
        <v/>
      </c>
      <c r="Y439" s="19">
        <f>IF(Deployments!BW427="","",Deployments!BW427)</f>
        <v/>
      </c>
      <c r="Z439" s="19">
        <f>IF(Deployments!U427="","",Deployments!U427)</f>
        <v/>
      </c>
      <c r="AA439" s="19">
        <f>IF(Deployments!L427="","",Deployments!L427)</f>
        <v/>
      </c>
    </row>
    <row r="440">
      <c r="A440" s="20" t="n"/>
      <c r="B440" s="20" t="n"/>
      <c r="C440" s="19">
        <f>IF(Deployments!H428="","",Deployments!H428)</f>
        <v/>
      </c>
      <c r="D440" s="19">
        <f>IF(Deployments!AM428="","",Deployments!AM428)</f>
        <v/>
      </c>
      <c r="E440" s="19">
        <f>IF(Deployments!I428="","",Deployments!I428)</f>
        <v/>
      </c>
      <c r="F440" s="19">
        <f>IF(Deployments!J428="","",Deployments!J428)</f>
        <v/>
      </c>
      <c r="G440" s="19">
        <f>IF(Deployments!K428="","",Deployments!K428)</f>
        <v/>
      </c>
      <c r="H440" s="19">
        <f>IF(Deployments!A428="","",Deployments!A428)</f>
        <v/>
      </c>
      <c r="I440" s="19">
        <f>IF(Deployments!AN428="","",Deployments!AN428)</f>
        <v/>
      </c>
      <c r="J440" s="19">
        <f>IF(Deployments!AO428="","",Deployments!AO428)</f>
        <v/>
      </c>
      <c r="K440" s="19">
        <f>IF(Deployments!AI428="","",Deployments!AI428)</f>
        <v/>
      </c>
      <c r="L440" s="19">
        <f>IF(Deployments!M428="","",Deployments!M428)</f>
        <v/>
      </c>
      <c r="M440" s="20" t="n"/>
      <c r="N440" s="19">
        <f>IF(Deployments!N428="","",Deployments!N428)</f>
        <v/>
      </c>
      <c r="O440" s="19">
        <f>IF(Deployments!O428="","",Deployments!O428)</f>
        <v/>
      </c>
      <c r="P440" s="19">
        <f>IF(Deployments!P428="","",Deployments!P428)</f>
        <v/>
      </c>
      <c r="Q440" s="20" t="n"/>
      <c r="R440" s="19">
        <f>IF(Deployments!BT428="","",Deployments!BT428)</f>
        <v/>
      </c>
      <c r="S440" s="19">
        <f>IF(Deployments!BS428="","",Deployments!BS428)</f>
        <v/>
      </c>
      <c r="T440" s="19">
        <f>IF(Deployments!BB428="","",Deployments!BB428)</f>
        <v/>
      </c>
      <c r="U440" s="19">
        <f>IF(Deployments!BR428="","",Deployments!BR428)</f>
        <v/>
      </c>
      <c r="V440" s="19">
        <f>IF(Deployments!BX428="","",Deployments!BX428)</f>
        <v/>
      </c>
      <c r="W440" s="19">
        <f>IF(Deployments!BY428="","",Deployments!BY428)</f>
        <v/>
      </c>
      <c r="X440" s="19">
        <f>IF(Deployments!CC428="","",Deployments!CC428)</f>
        <v/>
      </c>
      <c r="Y440" s="19">
        <f>IF(Deployments!BW428="","",Deployments!BW428)</f>
        <v/>
      </c>
      <c r="Z440" s="19">
        <f>IF(Deployments!U428="","",Deployments!U428)</f>
        <v/>
      </c>
      <c r="AA440" s="19">
        <f>IF(Deployments!L428="","",Deployments!L428)</f>
        <v/>
      </c>
    </row>
    <row r="441">
      <c r="A441" s="20" t="n"/>
      <c r="B441" s="20" t="n"/>
      <c r="C441" s="19">
        <f>IF(Deployments!H429="","",Deployments!H429)</f>
        <v/>
      </c>
      <c r="D441" s="19">
        <f>IF(Deployments!AM429="","",Deployments!AM429)</f>
        <v/>
      </c>
      <c r="E441" s="19">
        <f>IF(Deployments!I429="","",Deployments!I429)</f>
        <v/>
      </c>
      <c r="F441" s="19">
        <f>IF(Deployments!J429="","",Deployments!J429)</f>
        <v/>
      </c>
      <c r="G441" s="19">
        <f>IF(Deployments!K429="","",Deployments!K429)</f>
        <v/>
      </c>
      <c r="H441" s="19">
        <f>IF(Deployments!A429="","",Deployments!A429)</f>
        <v/>
      </c>
      <c r="I441" s="19">
        <f>IF(Deployments!AN429="","",Deployments!AN429)</f>
        <v/>
      </c>
      <c r="J441" s="19">
        <f>IF(Deployments!AO429="","",Deployments!AO429)</f>
        <v/>
      </c>
      <c r="K441" s="19">
        <f>IF(Deployments!AI429="","",Deployments!AI429)</f>
        <v/>
      </c>
      <c r="L441" s="19">
        <f>IF(Deployments!M429="","",Deployments!M429)</f>
        <v/>
      </c>
      <c r="M441" s="20" t="n"/>
      <c r="N441" s="19">
        <f>IF(Deployments!N429="","",Deployments!N429)</f>
        <v/>
      </c>
      <c r="O441" s="19">
        <f>IF(Deployments!O429="","",Deployments!O429)</f>
        <v/>
      </c>
      <c r="P441" s="19">
        <f>IF(Deployments!P429="","",Deployments!P429)</f>
        <v/>
      </c>
      <c r="Q441" s="20" t="n"/>
      <c r="R441" s="19">
        <f>IF(Deployments!BT429="","",Deployments!BT429)</f>
        <v/>
      </c>
      <c r="S441" s="19">
        <f>IF(Deployments!BS429="","",Deployments!BS429)</f>
        <v/>
      </c>
      <c r="T441" s="19">
        <f>IF(Deployments!BB429="","",Deployments!BB429)</f>
        <v/>
      </c>
      <c r="U441" s="19">
        <f>IF(Deployments!BR429="","",Deployments!BR429)</f>
        <v/>
      </c>
      <c r="V441" s="19">
        <f>IF(Deployments!BX429="","",Deployments!BX429)</f>
        <v/>
      </c>
      <c r="W441" s="19">
        <f>IF(Deployments!BY429="","",Deployments!BY429)</f>
        <v/>
      </c>
      <c r="X441" s="19">
        <f>IF(Deployments!CC429="","",Deployments!CC429)</f>
        <v/>
      </c>
      <c r="Y441" s="19">
        <f>IF(Deployments!BW429="","",Deployments!BW429)</f>
        <v/>
      </c>
      <c r="Z441" s="19">
        <f>IF(Deployments!U429="","",Deployments!U429)</f>
        <v/>
      </c>
      <c r="AA441" s="19">
        <f>IF(Deployments!L429="","",Deployments!L429)</f>
        <v/>
      </c>
    </row>
    <row r="442">
      <c r="A442" s="20" t="n"/>
      <c r="B442" s="20" t="n"/>
      <c r="C442" s="19">
        <f>IF(Deployments!H430="","",Deployments!H430)</f>
        <v/>
      </c>
      <c r="D442" s="19">
        <f>IF(Deployments!AM430="","",Deployments!AM430)</f>
        <v/>
      </c>
      <c r="E442" s="19">
        <f>IF(Deployments!I430="","",Deployments!I430)</f>
        <v/>
      </c>
      <c r="F442" s="19">
        <f>IF(Deployments!J430="","",Deployments!J430)</f>
        <v/>
      </c>
      <c r="G442" s="19">
        <f>IF(Deployments!K430="","",Deployments!K430)</f>
        <v/>
      </c>
      <c r="H442" s="19">
        <f>IF(Deployments!A430="","",Deployments!A430)</f>
        <v/>
      </c>
      <c r="I442" s="19">
        <f>IF(Deployments!AN430="","",Deployments!AN430)</f>
        <v/>
      </c>
      <c r="J442" s="19">
        <f>IF(Deployments!AO430="","",Deployments!AO430)</f>
        <v/>
      </c>
      <c r="K442" s="19">
        <f>IF(Deployments!AI430="","",Deployments!AI430)</f>
        <v/>
      </c>
      <c r="L442" s="19">
        <f>IF(Deployments!M430="","",Deployments!M430)</f>
        <v/>
      </c>
      <c r="M442" s="20" t="n"/>
      <c r="N442" s="19">
        <f>IF(Deployments!N430="","",Deployments!N430)</f>
        <v/>
      </c>
      <c r="O442" s="19">
        <f>IF(Deployments!O430="","",Deployments!O430)</f>
        <v/>
      </c>
      <c r="P442" s="19">
        <f>IF(Deployments!P430="","",Deployments!P430)</f>
        <v/>
      </c>
      <c r="Q442" s="20" t="n"/>
      <c r="R442" s="19">
        <f>IF(Deployments!BT430="","",Deployments!BT430)</f>
        <v/>
      </c>
      <c r="S442" s="19">
        <f>IF(Deployments!BS430="","",Deployments!BS430)</f>
        <v/>
      </c>
      <c r="T442" s="19">
        <f>IF(Deployments!BB430="","",Deployments!BB430)</f>
        <v/>
      </c>
      <c r="U442" s="19">
        <f>IF(Deployments!BR430="","",Deployments!BR430)</f>
        <v/>
      </c>
      <c r="V442" s="19">
        <f>IF(Deployments!BX430="","",Deployments!BX430)</f>
        <v/>
      </c>
      <c r="W442" s="19">
        <f>IF(Deployments!BY430="","",Deployments!BY430)</f>
        <v/>
      </c>
      <c r="X442" s="19">
        <f>IF(Deployments!CC430="","",Deployments!CC430)</f>
        <v/>
      </c>
      <c r="Y442" s="19">
        <f>IF(Deployments!BW430="","",Deployments!BW430)</f>
        <v/>
      </c>
      <c r="Z442" s="19">
        <f>IF(Deployments!U430="","",Deployments!U430)</f>
        <v/>
      </c>
      <c r="AA442" s="19">
        <f>IF(Deployments!L430="","",Deployments!L430)</f>
        <v/>
      </c>
    </row>
    <row r="443">
      <c r="A443" s="20" t="n"/>
      <c r="B443" s="20" t="n"/>
      <c r="C443" s="19">
        <f>IF(Deployments!H431="","",Deployments!H431)</f>
        <v/>
      </c>
      <c r="D443" s="19">
        <f>IF(Deployments!AM431="","",Deployments!AM431)</f>
        <v/>
      </c>
      <c r="E443" s="19">
        <f>IF(Deployments!I431="","",Deployments!I431)</f>
        <v/>
      </c>
      <c r="F443" s="19">
        <f>IF(Deployments!J431="","",Deployments!J431)</f>
        <v/>
      </c>
      <c r="G443" s="19">
        <f>IF(Deployments!K431="","",Deployments!K431)</f>
        <v/>
      </c>
      <c r="H443" s="19">
        <f>IF(Deployments!A431="","",Deployments!A431)</f>
        <v/>
      </c>
      <c r="I443" s="19">
        <f>IF(Deployments!AN431="","",Deployments!AN431)</f>
        <v/>
      </c>
      <c r="J443" s="19">
        <f>IF(Deployments!AO431="","",Deployments!AO431)</f>
        <v/>
      </c>
      <c r="K443" s="19">
        <f>IF(Deployments!AI431="","",Deployments!AI431)</f>
        <v/>
      </c>
      <c r="L443" s="19">
        <f>IF(Deployments!M431="","",Deployments!M431)</f>
        <v/>
      </c>
      <c r="M443" s="20" t="n"/>
      <c r="N443" s="19">
        <f>IF(Deployments!N431="","",Deployments!N431)</f>
        <v/>
      </c>
      <c r="O443" s="19">
        <f>IF(Deployments!O431="","",Deployments!O431)</f>
        <v/>
      </c>
      <c r="P443" s="19">
        <f>IF(Deployments!P431="","",Deployments!P431)</f>
        <v/>
      </c>
      <c r="Q443" s="20" t="n"/>
      <c r="R443" s="19">
        <f>IF(Deployments!BT431="","",Deployments!BT431)</f>
        <v/>
      </c>
      <c r="S443" s="19">
        <f>IF(Deployments!BS431="","",Deployments!BS431)</f>
        <v/>
      </c>
      <c r="T443" s="19">
        <f>IF(Deployments!BB431="","",Deployments!BB431)</f>
        <v/>
      </c>
      <c r="U443" s="19">
        <f>IF(Deployments!BR431="","",Deployments!BR431)</f>
        <v/>
      </c>
      <c r="V443" s="19">
        <f>IF(Deployments!BX431="","",Deployments!BX431)</f>
        <v/>
      </c>
      <c r="W443" s="19">
        <f>IF(Deployments!BY431="","",Deployments!BY431)</f>
        <v/>
      </c>
      <c r="X443" s="19">
        <f>IF(Deployments!CC431="","",Deployments!CC431)</f>
        <v/>
      </c>
      <c r="Y443" s="19">
        <f>IF(Deployments!BW431="","",Deployments!BW431)</f>
        <v/>
      </c>
      <c r="Z443" s="19">
        <f>IF(Deployments!U431="","",Deployments!U431)</f>
        <v/>
      </c>
      <c r="AA443" s="19">
        <f>IF(Deployments!L431="","",Deployments!L431)</f>
        <v/>
      </c>
    </row>
    <row r="444">
      <c r="A444" s="20" t="n"/>
      <c r="B444" s="20" t="n"/>
      <c r="C444" s="19">
        <f>IF(Deployments!H432="","",Deployments!H432)</f>
        <v/>
      </c>
      <c r="D444" s="19">
        <f>IF(Deployments!AM432="","",Deployments!AM432)</f>
        <v/>
      </c>
      <c r="E444" s="19">
        <f>IF(Deployments!I432="","",Deployments!I432)</f>
        <v/>
      </c>
      <c r="F444" s="19">
        <f>IF(Deployments!J432="","",Deployments!J432)</f>
        <v/>
      </c>
      <c r="G444" s="19">
        <f>IF(Deployments!K432="","",Deployments!K432)</f>
        <v/>
      </c>
      <c r="H444" s="19">
        <f>IF(Deployments!A432="","",Deployments!A432)</f>
        <v/>
      </c>
      <c r="I444" s="19">
        <f>IF(Deployments!AN432="","",Deployments!AN432)</f>
        <v/>
      </c>
      <c r="J444" s="19">
        <f>IF(Deployments!AO432="","",Deployments!AO432)</f>
        <v/>
      </c>
      <c r="K444" s="19">
        <f>IF(Deployments!AI432="","",Deployments!AI432)</f>
        <v/>
      </c>
      <c r="L444" s="19">
        <f>IF(Deployments!M432="","",Deployments!M432)</f>
        <v/>
      </c>
      <c r="M444" s="20" t="n"/>
      <c r="N444" s="19">
        <f>IF(Deployments!N432="","",Deployments!N432)</f>
        <v/>
      </c>
      <c r="O444" s="19">
        <f>IF(Deployments!O432="","",Deployments!O432)</f>
        <v/>
      </c>
      <c r="P444" s="19">
        <f>IF(Deployments!P432="","",Deployments!P432)</f>
        <v/>
      </c>
      <c r="Q444" s="20" t="n"/>
      <c r="R444" s="19">
        <f>IF(Deployments!BT432="","",Deployments!BT432)</f>
        <v/>
      </c>
      <c r="S444" s="19">
        <f>IF(Deployments!BS432="","",Deployments!BS432)</f>
        <v/>
      </c>
      <c r="T444" s="19">
        <f>IF(Deployments!BB432="","",Deployments!BB432)</f>
        <v/>
      </c>
      <c r="U444" s="19">
        <f>IF(Deployments!BR432="","",Deployments!BR432)</f>
        <v/>
      </c>
      <c r="V444" s="19">
        <f>IF(Deployments!BX432="","",Deployments!BX432)</f>
        <v/>
      </c>
      <c r="W444" s="19">
        <f>IF(Deployments!BY432="","",Deployments!BY432)</f>
        <v/>
      </c>
      <c r="X444" s="19">
        <f>IF(Deployments!CC432="","",Deployments!CC432)</f>
        <v/>
      </c>
      <c r="Y444" s="19">
        <f>IF(Deployments!BW432="","",Deployments!BW432)</f>
        <v/>
      </c>
      <c r="Z444" s="19">
        <f>IF(Deployments!U432="","",Deployments!U432)</f>
        <v/>
      </c>
      <c r="AA444" s="19">
        <f>IF(Deployments!L432="","",Deployments!L432)</f>
        <v/>
      </c>
    </row>
    <row r="445">
      <c r="A445" s="20" t="n"/>
      <c r="B445" s="20" t="n"/>
      <c r="C445" s="19">
        <f>IF(Deployments!H433="","",Deployments!H433)</f>
        <v/>
      </c>
      <c r="D445" s="19">
        <f>IF(Deployments!AM433="","",Deployments!AM433)</f>
        <v/>
      </c>
      <c r="E445" s="19">
        <f>IF(Deployments!I433="","",Deployments!I433)</f>
        <v/>
      </c>
      <c r="F445" s="19">
        <f>IF(Deployments!J433="","",Deployments!J433)</f>
        <v/>
      </c>
      <c r="G445" s="19">
        <f>IF(Deployments!K433="","",Deployments!K433)</f>
        <v/>
      </c>
      <c r="H445" s="19">
        <f>IF(Deployments!A433="","",Deployments!A433)</f>
        <v/>
      </c>
      <c r="I445" s="19">
        <f>IF(Deployments!AN433="","",Deployments!AN433)</f>
        <v/>
      </c>
      <c r="J445" s="19">
        <f>IF(Deployments!AO433="","",Deployments!AO433)</f>
        <v/>
      </c>
      <c r="K445" s="19">
        <f>IF(Deployments!AI433="","",Deployments!AI433)</f>
        <v/>
      </c>
      <c r="L445" s="19">
        <f>IF(Deployments!M433="","",Deployments!M433)</f>
        <v/>
      </c>
      <c r="M445" s="20" t="n"/>
      <c r="N445" s="19">
        <f>IF(Deployments!N433="","",Deployments!N433)</f>
        <v/>
      </c>
      <c r="O445" s="19">
        <f>IF(Deployments!O433="","",Deployments!O433)</f>
        <v/>
      </c>
      <c r="P445" s="19">
        <f>IF(Deployments!P433="","",Deployments!P433)</f>
        <v/>
      </c>
      <c r="Q445" s="20" t="n"/>
      <c r="R445" s="19">
        <f>IF(Deployments!BT433="","",Deployments!BT433)</f>
        <v/>
      </c>
      <c r="S445" s="19">
        <f>IF(Deployments!BS433="","",Deployments!BS433)</f>
        <v/>
      </c>
      <c r="T445" s="19">
        <f>IF(Deployments!BB433="","",Deployments!BB433)</f>
        <v/>
      </c>
      <c r="U445" s="19">
        <f>IF(Deployments!BR433="","",Deployments!BR433)</f>
        <v/>
      </c>
      <c r="V445" s="19">
        <f>IF(Deployments!BX433="","",Deployments!BX433)</f>
        <v/>
      </c>
      <c r="W445" s="19">
        <f>IF(Deployments!BY433="","",Deployments!BY433)</f>
        <v/>
      </c>
      <c r="X445" s="19">
        <f>IF(Deployments!CC433="","",Deployments!CC433)</f>
        <v/>
      </c>
      <c r="Y445" s="19">
        <f>IF(Deployments!BW433="","",Deployments!BW433)</f>
        <v/>
      </c>
      <c r="Z445" s="19">
        <f>IF(Deployments!U433="","",Deployments!U433)</f>
        <v/>
      </c>
      <c r="AA445" s="19">
        <f>IF(Deployments!L433="","",Deployments!L433)</f>
        <v/>
      </c>
    </row>
    <row r="446">
      <c r="A446" s="20" t="n"/>
      <c r="B446" s="20" t="n"/>
      <c r="C446" s="19">
        <f>IF(Deployments!H434="","",Deployments!H434)</f>
        <v/>
      </c>
      <c r="D446" s="19">
        <f>IF(Deployments!AM434="","",Deployments!AM434)</f>
        <v/>
      </c>
      <c r="E446" s="19">
        <f>IF(Deployments!I434="","",Deployments!I434)</f>
        <v/>
      </c>
      <c r="F446" s="19">
        <f>IF(Deployments!J434="","",Deployments!J434)</f>
        <v/>
      </c>
      <c r="G446" s="19">
        <f>IF(Deployments!K434="","",Deployments!K434)</f>
        <v/>
      </c>
      <c r="H446" s="19">
        <f>IF(Deployments!A434="","",Deployments!A434)</f>
        <v/>
      </c>
      <c r="I446" s="19">
        <f>IF(Deployments!AN434="","",Deployments!AN434)</f>
        <v/>
      </c>
      <c r="J446" s="19">
        <f>IF(Deployments!AO434="","",Deployments!AO434)</f>
        <v/>
      </c>
      <c r="K446" s="19">
        <f>IF(Deployments!AI434="","",Deployments!AI434)</f>
        <v/>
      </c>
      <c r="L446" s="19">
        <f>IF(Deployments!M434="","",Deployments!M434)</f>
        <v/>
      </c>
      <c r="M446" s="20" t="n"/>
      <c r="N446" s="19">
        <f>IF(Deployments!N434="","",Deployments!N434)</f>
        <v/>
      </c>
      <c r="O446" s="19">
        <f>IF(Deployments!O434="","",Deployments!O434)</f>
        <v/>
      </c>
      <c r="P446" s="19">
        <f>IF(Deployments!P434="","",Deployments!P434)</f>
        <v/>
      </c>
      <c r="Q446" s="20" t="n"/>
      <c r="R446" s="19">
        <f>IF(Deployments!BT434="","",Deployments!BT434)</f>
        <v/>
      </c>
      <c r="S446" s="19">
        <f>IF(Deployments!BS434="","",Deployments!BS434)</f>
        <v/>
      </c>
      <c r="T446" s="19">
        <f>IF(Deployments!BB434="","",Deployments!BB434)</f>
        <v/>
      </c>
      <c r="U446" s="19">
        <f>IF(Deployments!BR434="","",Deployments!BR434)</f>
        <v/>
      </c>
      <c r="V446" s="19">
        <f>IF(Deployments!BX434="","",Deployments!BX434)</f>
        <v/>
      </c>
      <c r="W446" s="19">
        <f>IF(Deployments!BY434="","",Deployments!BY434)</f>
        <v/>
      </c>
      <c r="X446" s="19">
        <f>IF(Deployments!CC434="","",Deployments!CC434)</f>
        <v/>
      </c>
      <c r="Y446" s="19">
        <f>IF(Deployments!BW434="","",Deployments!BW434)</f>
        <v/>
      </c>
      <c r="Z446" s="19">
        <f>IF(Deployments!U434="","",Deployments!U434)</f>
        <v/>
      </c>
      <c r="AA446" s="19">
        <f>IF(Deployments!L434="","",Deployments!L434)</f>
        <v/>
      </c>
    </row>
    <row r="447">
      <c r="A447" s="20" t="n"/>
      <c r="B447" s="20" t="n"/>
      <c r="C447" s="19">
        <f>IF(Deployments!H435="","",Deployments!H435)</f>
        <v/>
      </c>
      <c r="D447" s="19">
        <f>IF(Deployments!AM435="","",Deployments!AM435)</f>
        <v/>
      </c>
      <c r="E447" s="19">
        <f>IF(Deployments!I435="","",Deployments!I435)</f>
        <v/>
      </c>
      <c r="F447" s="19">
        <f>IF(Deployments!J435="","",Deployments!J435)</f>
        <v/>
      </c>
      <c r="G447" s="19">
        <f>IF(Deployments!K435="","",Deployments!K435)</f>
        <v/>
      </c>
      <c r="H447" s="19">
        <f>IF(Deployments!A435="","",Deployments!A435)</f>
        <v/>
      </c>
      <c r="I447" s="19">
        <f>IF(Deployments!AN435="","",Deployments!AN435)</f>
        <v/>
      </c>
      <c r="J447" s="19">
        <f>IF(Deployments!AO435="","",Deployments!AO435)</f>
        <v/>
      </c>
      <c r="K447" s="19">
        <f>IF(Deployments!AI435="","",Deployments!AI435)</f>
        <v/>
      </c>
      <c r="L447" s="19">
        <f>IF(Deployments!M435="","",Deployments!M435)</f>
        <v/>
      </c>
      <c r="M447" s="20" t="n"/>
      <c r="N447" s="19">
        <f>IF(Deployments!N435="","",Deployments!N435)</f>
        <v/>
      </c>
      <c r="O447" s="19">
        <f>IF(Deployments!O435="","",Deployments!O435)</f>
        <v/>
      </c>
      <c r="P447" s="19">
        <f>IF(Deployments!P435="","",Deployments!P435)</f>
        <v/>
      </c>
      <c r="Q447" s="20" t="n"/>
      <c r="R447" s="19">
        <f>IF(Deployments!BT435="","",Deployments!BT435)</f>
        <v/>
      </c>
      <c r="S447" s="19">
        <f>IF(Deployments!BS435="","",Deployments!BS435)</f>
        <v/>
      </c>
      <c r="T447" s="19">
        <f>IF(Deployments!BB435="","",Deployments!BB435)</f>
        <v/>
      </c>
      <c r="U447" s="19">
        <f>IF(Deployments!BR435="","",Deployments!BR435)</f>
        <v/>
      </c>
      <c r="V447" s="19">
        <f>IF(Deployments!BX435="","",Deployments!BX435)</f>
        <v/>
      </c>
      <c r="W447" s="19">
        <f>IF(Deployments!BY435="","",Deployments!BY435)</f>
        <v/>
      </c>
      <c r="X447" s="19">
        <f>IF(Deployments!CC435="","",Deployments!CC435)</f>
        <v/>
      </c>
      <c r="Y447" s="19">
        <f>IF(Deployments!BW435="","",Deployments!BW435)</f>
        <v/>
      </c>
      <c r="Z447" s="19">
        <f>IF(Deployments!U435="","",Deployments!U435)</f>
        <v/>
      </c>
      <c r="AA447" s="19">
        <f>IF(Deployments!L435="","",Deployments!L435)</f>
        <v/>
      </c>
    </row>
    <row r="448">
      <c r="A448" s="20" t="n"/>
      <c r="B448" s="20" t="n"/>
      <c r="C448" s="19">
        <f>IF(Deployments!H436="","",Deployments!H436)</f>
        <v/>
      </c>
      <c r="D448" s="19">
        <f>IF(Deployments!AM436="","",Deployments!AM436)</f>
        <v/>
      </c>
      <c r="E448" s="19">
        <f>IF(Deployments!I436="","",Deployments!I436)</f>
        <v/>
      </c>
      <c r="F448" s="19">
        <f>IF(Deployments!J436="","",Deployments!J436)</f>
        <v/>
      </c>
      <c r="G448" s="19">
        <f>IF(Deployments!K436="","",Deployments!K436)</f>
        <v/>
      </c>
      <c r="H448" s="19">
        <f>IF(Deployments!A436="","",Deployments!A436)</f>
        <v/>
      </c>
      <c r="I448" s="19">
        <f>IF(Deployments!AN436="","",Deployments!AN436)</f>
        <v/>
      </c>
      <c r="J448" s="19">
        <f>IF(Deployments!AO436="","",Deployments!AO436)</f>
        <v/>
      </c>
      <c r="K448" s="19">
        <f>IF(Deployments!AI436="","",Deployments!AI436)</f>
        <v/>
      </c>
      <c r="L448" s="19">
        <f>IF(Deployments!M436="","",Deployments!M436)</f>
        <v/>
      </c>
      <c r="M448" s="20" t="n"/>
      <c r="N448" s="19">
        <f>IF(Deployments!N436="","",Deployments!N436)</f>
        <v/>
      </c>
      <c r="O448" s="19">
        <f>IF(Deployments!O436="","",Deployments!O436)</f>
        <v/>
      </c>
      <c r="P448" s="19">
        <f>IF(Deployments!P436="","",Deployments!P436)</f>
        <v/>
      </c>
      <c r="Q448" s="20" t="n"/>
      <c r="R448" s="19">
        <f>IF(Deployments!BT436="","",Deployments!BT436)</f>
        <v/>
      </c>
      <c r="S448" s="19">
        <f>IF(Deployments!BS436="","",Deployments!BS436)</f>
        <v/>
      </c>
      <c r="T448" s="19">
        <f>IF(Deployments!BB436="","",Deployments!BB436)</f>
        <v/>
      </c>
      <c r="U448" s="19">
        <f>IF(Deployments!BR436="","",Deployments!BR436)</f>
        <v/>
      </c>
      <c r="V448" s="19">
        <f>IF(Deployments!BX436="","",Deployments!BX436)</f>
        <v/>
      </c>
      <c r="W448" s="19">
        <f>IF(Deployments!BY436="","",Deployments!BY436)</f>
        <v/>
      </c>
      <c r="X448" s="19">
        <f>IF(Deployments!CC436="","",Deployments!CC436)</f>
        <v/>
      </c>
      <c r="Y448" s="19">
        <f>IF(Deployments!BW436="","",Deployments!BW436)</f>
        <v/>
      </c>
      <c r="Z448" s="19">
        <f>IF(Deployments!U436="","",Deployments!U436)</f>
        <v/>
      </c>
      <c r="AA448" s="19">
        <f>IF(Deployments!L436="","",Deployments!L436)</f>
        <v/>
      </c>
    </row>
    <row r="449">
      <c r="A449" s="20" t="n"/>
      <c r="B449" s="20" t="n"/>
      <c r="C449" s="19">
        <f>IF(Deployments!H437="","",Deployments!H437)</f>
        <v/>
      </c>
      <c r="D449" s="19">
        <f>IF(Deployments!AM437="","",Deployments!AM437)</f>
        <v/>
      </c>
      <c r="E449" s="19">
        <f>IF(Deployments!I437="","",Deployments!I437)</f>
        <v/>
      </c>
      <c r="F449" s="19">
        <f>IF(Deployments!J437="","",Deployments!J437)</f>
        <v/>
      </c>
      <c r="G449" s="19">
        <f>IF(Deployments!K437="","",Deployments!K437)</f>
        <v/>
      </c>
      <c r="H449" s="19">
        <f>IF(Deployments!A437="","",Deployments!A437)</f>
        <v/>
      </c>
      <c r="I449" s="19">
        <f>IF(Deployments!AN437="","",Deployments!AN437)</f>
        <v/>
      </c>
      <c r="J449" s="19">
        <f>IF(Deployments!AO437="","",Deployments!AO437)</f>
        <v/>
      </c>
      <c r="K449" s="19">
        <f>IF(Deployments!AI437="","",Deployments!AI437)</f>
        <v/>
      </c>
      <c r="L449" s="19">
        <f>IF(Deployments!M437="","",Deployments!M437)</f>
        <v/>
      </c>
      <c r="M449" s="20" t="n"/>
      <c r="N449" s="19">
        <f>IF(Deployments!N437="","",Deployments!N437)</f>
        <v/>
      </c>
      <c r="O449" s="19">
        <f>IF(Deployments!O437="","",Deployments!O437)</f>
        <v/>
      </c>
      <c r="P449" s="19">
        <f>IF(Deployments!P437="","",Deployments!P437)</f>
        <v/>
      </c>
      <c r="Q449" s="20" t="n"/>
      <c r="R449" s="19">
        <f>IF(Deployments!BT437="","",Deployments!BT437)</f>
        <v/>
      </c>
      <c r="S449" s="19">
        <f>IF(Deployments!BS437="","",Deployments!BS437)</f>
        <v/>
      </c>
      <c r="T449" s="19">
        <f>IF(Deployments!BB437="","",Deployments!BB437)</f>
        <v/>
      </c>
      <c r="U449" s="19">
        <f>IF(Deployments!BR437="","",Deployments!BR437)</f>
        <v/>
      </c>
      <c r="V449" s="19">
        <f>IF(Deployments!BX437="","",Deployments!BX437)</f>
        <v/>
      </c>
      <c r="W449" s="19">
        <f>IF(Deployments!BY437="","",Deployments!BY437)</f>
        <v/>
      </c>
      <c r="X449" s="19">
        <f>IF(Deployments!CC437="","",Deployments!CC437)</f>
        <v/>
      </c>
      <c r="Y449" s="19">
        <f>IF(Deployments!BW437="","",Deployments!BW437)</f>
        <v/>
      </c>
      <c r="Z449" s="19">
        <f>IF(Deployments!U437="","",Deployments!U437)</f>
        <v/>
      </c>
      <c r="AA449" s="19">
        <f>IF(Deployments!L437="","",Deployments!L437)</f>
        <v/>
      </c>
    </row>
    <row r="450">
      <c r="A450" s="20" t="n"/>
      <c r="B450" s="20" t="n"/>
      <c r="C450" s="19">
        <f>IF(Deployments!H438="","",Deployments!H438)</f>
        <v/>
      </c>
      <c r="D450" s="19">
        <f>IF(Deployments!AM438="","",Deployments!AM438)</f>
        <v/>
      </c>
      <c r="E450" s="19">
        <f>IF(Deployments!I438="","",Deployments!I438)</f>
        <v/>
      </c>
      <c r="F450" s="19">
        <f>IF(Deployments!J438="","",Deployments!J438)</f>
        <v/>
      </c>
      <c r="G450" s="19">
        <f>IF(Deployments!K438="","",Deployments!K438)</f>
        <v/>
      </c>
      <c r="H450" s="19">
        <f>IF(Deployments!A438="","",Deployments!A438)</f>
        <v/>
      </c>
      <c r="I450" s="19">
        <f>IF(Deployments!AN438="","",Deployments!AN438)</f>
        <v/>
      </c>
      <c r="J450" s="19">
        <f>IF(Deployments!AO438="","",Deployments!AO438)</f>
        <v/>
      </c>
      <c r="K450" s="19">
        <f>IF(Deployments!AI438="","",Deployments!AI438)</f>
        <v/>
      </c>
      <c r="L450" s="19">
        <f>IF(Deployments!M438="","",Deployments!M438)</f>
        <v/>
      </c>
      <c r="M450" s="20" t="n"/>
      <c r="N450" s="19">
        <f>IF(Deployments!N438="","",Deployments!N438)</f>
        <v/>
      </c>
      <c r="O450" s="19">
        <f>IF(Deployments!O438="","",Deployments!O438)</f>
        <v/>
      </c>
      <c r="P450" s="19">
        <f>IF(Deployments!P438="","",Deployments!P438)</f>
        <v/>
      </c>
      <c r="Q450" s="20" t="n"/>
      <c r="R450" s="19">
        <f>IF(Deployments!BT438="","",Deployments!BT438)</f>
        <v/>
      </c>
      <c r="S450" s="19">
        <f>IF(Deployments!BS438="","",Deployments!BS438)</f>
        <v/>
      </c>
      <c r="T450" s="19">
        <f>IF(Deployments!BB438="","",Deployments!BB438)</f>
        <v/>
      </c>
      <c r="U450" s="19">
        <f>IF(Deployments!BR438="","",Deployments!BR438)</f>
        <v/>
      </c>
      <c r="V450" s="19">
        <f>IF(Deployments!BX438="","",Deployments!BX438)</f>
        <v/>
      </c>
      <c r="W450" s="19">
        <f>IF(Deployments!BY438="","",Deployments!BY438)</f>
        <v/>
      </c>
      <c r="X450" s="19">
        <f>IF(Deployments!CC438="","",Deployments!CC438)</f>
        <v/>
      </c>
      <c r="Y450" s="19">
        <f>IF(Deployments!BW438="","",Deployments!BW438)</f>
        <v/>
      </c>
      <c r="Z450" s="19">
        <f>IF(Deployments!U438="","",Deployments!U438)</f>
        <v/>
      </c>
      <c r="AA450" s="19">
        <f>IF(Deployments!L438="","",Deployments!L438)</f>
        <v/>
      </c>
    </row>
    <row r="451">
      <c r="A451" s="20" t="n"/>
      <c r="B451" s="20" t="n"/>
      <c r="C451" s="19">
        <f>IF(Deployments!H439="","",Deployments!H439)</f>
        <v/>
      </c>
      <c r="D451" s="19">
        <f>IF(Deployments!AM439="","",Deployments!AM439)</f>
        <v/>
      </c>
      <c r="E451" s="19">
        <f>IF(Deployments!I439="","",Deployments!I439)</f>
        <v/>
      </c>
      <c r="F451" s="19">
        <f>IF(Deployments!J439="","",Deployments!J439)</f>
        <v/>
      </c>
      <c r="G451" s="19">
        <f>IF(Deployments!K439="","",Deployments!K439)</f>
        <v/>
      </c>
      <c r="H451" s="19">
        <f>IF(Deployments!A439="","",Deployments!A439)</f>
        <v/>
      </c>
      <c r="I451" s="19">
        <f>IF(Deployments!AN439="","",Deployments!AN439)</f>
        <v/>
      </c>
      <c r="J451" s="19">
        <f>IF(Deployments!AO439="","",Deployments!AO439)</f>
        <v/>
      </c>
      <c r="K451" s="19">
        <f>IF(Deployments!AI439="","",Deployments!AI439)</f>
        <v/>
      </c>
      <c r="L451" s="19">
        <f>IF(Deployments!M439="","",Deployments!M439)</f>
        <v/>
      </c>
      <c r="M451" s="20" t="n"/>
      <c r="N451" s="19">
        <f>IF(Deployments!N439="","",Deployments!N439)</f>
        <v/>
      </c>
      <c r="O451" s="19">
        <f>IF(Deployments!O439="","",Deployments!O439)</f>
        <v/>
      </c>
      <c r="P451" s="19">
        <f>IF(Deployments!P439="","",Deployments!P439)</f>
        <v/>
      </c>
      <c r="Q451" s="20" t="n"/>
      <c r="R451" s="19">
        <f>IF(Deployments!BT439="","",Deployments!BT439)</f>
        <v/>
      </c>
      <c r="S451" s="19">
        <f>IF(Deployments!BS439="","",Deployments!BS439)</f>
        <v/>
      </c>
      <c r="T451" s="19">
        <f>IF(Deployments!BB439="","",Deployments!BB439)</f>
        <v/>
      </c>
      <c r="U451" s="19">
        <f>IF(Deployments!BR439="","",Deployments!BR439)</f>
        <v/>
      </c>
      <c r="V451" s="19">
        <f>IF(Deployments!BX439="","",Deployments!BX439)</f>
        <v/>
      </c>
      <c r="W451" s="19">
        <f>IF(Deployments!BY439="","",Deployments!BY439)</f>
        <v/>
      </c>
      <c r="X451" s="19">
        <f>IF(Deployments!CC439="","",Deployments!CC439)</f>
        <v/>
      </c>
      <c r="Y451" s="19">
        <f>IF(Deployments!BW439="","",Deployments!BW439)</f>
        <v/>
      </c>
      <c r="Z451" s="19">
        <f>IF(Deployments!U439="","",Deployments!U439)</f>
        <v/>
      </c>
      <c r="AA451" s="19">
        <f>IF(Deployments!L439="","",Deployments!L439)</f>
        <v/>
      </c>
    </row>
    <row r="452">
      <c r="A452" s="20" t="n"/>
      <c r="B452" s="20" t="n"/>
      <c r="C452" s="19">
        <f>IF(Deployments!H440="","",Deployments!H440)</f>
        <v/>
      </c>
      <c r="D452" s="19">
        <f>IF(Deployments!AM440="","",Deployments!AM440)</f>
        <v/>
      </c>
      <c r="E452" s="19">
        <f>IF(Deployments!I440="","",Deployments!I440)</f>
        <v/>
      </c>
      <c r="F452" s="19">
        <f>IF(Deployments!J440="","",Deployments!J440)</f>
        <v/>
      </c>
      <c r="G452" s="19">
        <f>IF(Deployments!K440="","",Deployments!K440)</f>
        <v/>
      </c>
      <c r="H452" s="19">
        <f>IF(Deployments!A440="","",Deployments!A440)</f>
        <v/>
      </c>
      <c r="I452" s="19">
        <f>IF(Deployments!AN440="","",Deployments!AN440)</f>
        <v/>
      </c>
      <c r="J452" s="19">
        <f>IF(Deployments!AO440="","",Deployments!AO440)</f>
        <v/>
      </c>
      <c r="K452" s="19">
        <f>IF(Deployments!AI440="","",Deployments!AI440)</f>
        <v/>
      </c>
      <c r="L452" s="19">
        <f>IF(Deployments!M440="","",Deployments!M440)</f>
        <v/>
      </c>
      <c r="M452" s="20" t="n"/>
      <c r="N452" s="19">
        <f>IF(Deployments!N440="","",Deployments!N440)</f>
        <v/>
      </c>
      <c r="O452" s="19">
        <f>IF(Deployments!O440="","",Deployments!O440)</f>
        <v/>
      </c>
      <c r="P452" s="19">
        <f>IF(Deployments!P440="","",Deployments!P440)</f>
        <v/>
      </c>
      <c r="Q452" s="20" t="n"/>
      <c r="R452" s="19">
        <f>IF(Deployments!BT440="","",Deployments!BT440)</f>
        <v/>
      </c>
      <c r="S452" s="19">
        <f>IF(Deployments!BS440="","",Deployments!BS440)</f>
        <v/>
      </c>
      <c r="T452" s="19">
        <f>IF(Deployments!BB440="","",Deployments!BB440)</f>
        <v/>
      </c>
      <c r="U452" s="19">
        <f>IF(Deployments!BR440="","",Deployments!BR440)</f>
        <v/>
      </c>
      <c r="V452" s="19">
        <f>IF(Deployments!BX440="","",Deployments!BX440)</f>
        <v/>
      </c>
      <c r="W452" s="19">
        <f>IF(Deployments!BY440="","",Deployments!BY440)</f>
        <v/>
      </c>
      <c r="X452" s="19">
        <f>IF(Deployments!CC440="","",Deployments!CC440)</f>
        <v/>
      </c>
      <c r="Y452" s="19">
        <f>IF(Deployments!BW440="","",Deployments!BW440)</f>
        <v/>
      </c>
      <c r="Z452" s="19">
        <f>IF(Deployments!U440="","",Deployments!U440)</f>
        <v/>
      </c>
      <c r="AA452" s="19">
        <f>IF(Deployments!L440="","",Deployments!L440)</f>
        <v/>
      </c>
    </row>
    <row r="453">
      <c r="A453" s="20" t="n"/>
      <c r="B453" s="20" t="n"/>
      <c r="C453" s="19">
        <f>IF(Deployments!H441="","",Deployments!H441)</f>
        <v/>
      </c>
      <c r="D453" s="19">
        <f>IF(Deployments!AM441="","",Deployments!AM441)</f>
        <v/>
      </c>
      <c r="E453" s="19">
        <f>IF(Deployments!I441="","",Deployments!I441)</f>
        <v/>
      </c>
      <c r="F453" s="19">
        <f>IF(Deployments!J441="","",Deployments!J441)</f>
        <v/>
      </c>
      <c r="G453" s="19">
        <f>IF(Deployments!K441="","",Deployments!K441)</f>
        <v/>
      </c>
      <c r="H453" s="19">
        <f>IF(Deployments!A441="","",Deployments!A441)</f>
        <v/>
      </c>
      <c r="I453" s="19">
        <f>IF(Deployments!AN441="","",Deployments!AN441)</f>
        <v/>
      </c>
      <c r="J453" s="19">
        <f>IF(Deployments!AO441="","",Deployments!AO441)</f>
        <v/>
      </c>
      <c r="K453" s="19">
        <f>IF(Deployments!AI441="","",Deployments!AI441)</f>
        <v/>
      </c>
      <c r="L453" s="19">
        <f>IF(Deployments!M441="","",Deployments!M441)</f>
        <v/>
      </c>
      <c r="M453" s="20" t="n"/>
      <c r="N453" s="19">
        <f>IF(Deployments!N441="","",Deployments!N441)</f>
        <v/>
      </c>
      <c r="O453" s="19">
        <f>IF(Deployments!O441="","",Deployments!O441)</f>
        <v/>
      </c>
      <c r="P453" s="19">
        <f>IF(Deployments!P441="","",Deployments!P441)</f>
        <v/>
      </c>
      <c r="Q453" s="20" t="n"/>
      <c r="R453" s="19">
        <f>IF(Deployments!BT441="","",Deployments!BT441)</f>
        <v/>
      </c>
      <c r="S453" s="19">
        <f>IF(Deployments!BS441="","",Deployments!BS441)</f>
        <v/>
      </c>
      <c r="T453" s="19">
        <f>IF(Deployments!BB441="","",Deployments!BB441)</f>
        <v/>
      </c>
      <c r="U453" s="19">
        <f>IF(Deployments!BR441="","",Deployments!BR441)</f>
        <v/>
      </c>
      <c r="V453" s="19">
        <f>IF(Deployments!BX441="","",Deployments!BX441)</f>
        <v/>
      </c>
      <c r="W453" s="19">
        <f>IF(Deployments!BY441="","",Deployments!BY441)</f>
        <v/>
      </c>
      <c r="X453" s="19">
        <f>IF(Deployments!CC441="","",Deployments!CC441)</f>
        <v/>
      </c>
      <c r="Y453" s="19">
        <f>IF(Deployments!BW441="","",Deployments!BW441)</f>
        <v/>
      </c>
      <c r="Z453" s="19">
        <f>IF(Deployments!U441="","",Deployments!U441)</f>
        <v/>
      </c>
      <c r="AA453" s="19">
        <f>IF(Deployments!L441="","",Deployments!L441)</f>
        <v/>
      </c>
    </row>
    <row r="454">
      <c r="A454" s="20" t="n"/>
      <c r="B454" s="20" t="n"/>
      <c r="C454" s="19">
        <f>IF(Deployments!H442="","",Deployments!H442)</f>
        <v/>
      </c>
      <c r="D454" s="19">
        <f>IF(Deployments!AM442="","",Deployments!AM442)</f>
        <v/>
      </c>
      <c r="E454" s="19">
        <f>IF(Deployments!I442="","",Deployments!I442)</f>
        <v/>
      </c>
      <c r="F454" s="19">
        <f>IF(Deployments!J442="","",Deployments!J442)</f>
        <v/>
      </c>
      <c r="G454" s="19">
        <f>IF(Deployments!K442="","",Deployments!K442)</f>
        <v/>
      </c>
      <c r="H454" s="19">
        <f>IF(Deployments!A442="","",Deployments!A442)</f>
        <v/>
      </c>
      <c r="I454" s="19">
        <f>IF(Deployments!AN442="","",Deployments!AN442)</f>
        <v/>
      </c>
      <c r="J454" s="19">
        <f>IF(Deployments!AO442="","",Deployments!AO442)</f>
        <v/>
      </c>
      <c r="K454" s="19">
        <f>IF(Deployments!AI442="","",Deployments!AI442)</f>
        <v/>
      </c>
      <c r="L454" s="19">
        <f>IF(Deployments!M442="","",Deployments!M442)</f>
        <v/>
      </c>
      <c r="M454" s="20" t="n"/>
      <c r="N454" s="19">
        <f>IF(Deployments!N442="","",Deployments!N442)</f>
        <v/>
      </c>
      <c r="O454" s="19">
        <f>IF(Deployments!O442="","",Deployments!O442)</f>
        <v/>
      </c>
      <c r="P454" s="19">
        <f>IF(Deployments!P442="","",Deployments!P442)</f>
        <v/>
      </c>
      <c r="Q454" s="20" t="n"/>
      <c r="R454" s="19">
        <f>IF(Deployments!BT442="","",Deployments!BT442)</f>
        <v/>
      </c>
      <c r="S454" s="19">
        <f>IF(Deployments!BS442="","",Deployments!BS442)</f>
        <v/>
      </c>
      <c r="T454" s="19">
        <f>IF(Deployments!BB442="","",Deployments!BB442)</f>
        <v/>
      </c>
      <c r="U454" s="19">
        <f>IF(Deployments!BR442="","",Deployments!BR442)</f>
        <v/>
      </c>
      <c r="V454" s="19">
        <f>IF(Deployments!BX442="","",Deployments!BX442)</f>
        <v/>
      </c>
      <c r="W454" s="19">
        <f>IF(Deployments!BY442="","",Deployments!BY442)</f>
        <v/>
      </c>
      <c r="X454" s="19">
        <f>IF(Deployments!CC442="","",Deployments!CC442)</f>
        <v/>
      </c>
      <c r="Y454" s="19">
        <f>IF(Deployments!BW442="","",Deployments!BW442)</f>
        <v/>
      </c>
      <c r="Z454" s="19">
        <f>IF(Deployments!U442="","",Deployments!U442)</f>
        <v/>
      </c>
      <c r="AA454" s="19">
        <f>IF(Deployments!L442="","",Deployments!L442)</f>
        <v/>
      </c>
    </row>
    <row r="455">
      <c r="A455" s="20" t="n"/>
      <c r="B455" s="20" t="n"/>
      <c r="C455" s="19">
        <f>IF(Deployments!H443="","",Deployments!H443)</f>
        <v/>
      </c>
      <c r="D455" s="19">
        <f>IF(Deployments!AM443="","",Deployments!AM443)</f>
        <v/>
      </c>
      <c r="E455" s="19">
        <f>IF(Deployments!I443="","",Deployments!I443)</f>
        <v/>
      </c>
      <c r="F455" s="19">
        <f>IF(Deployments!J443="","",Deployments!J443)</f>
        <v/>
      </c>
      <c r="G455" s="19">
        <f>IF(Deployments!K443="","",Deployments!K443)</f>
        <v/>
      </c>
      <c r="H455" s="19">
        <f>IF(Deployments!A443="","",Deployments!A443)</f>
        <v/>
      </c>
      <c r="I455" s="19">
        <f>IF(Deployments!AN443="","",Deployments!AN443)</f>
        <v/>
      </c>
      <c r="J455" s="19">
        <f>IF(Deployments!AO443="","",Deployments!AO443)</f>
        <v/>
      </c>
      <c r="K455" s="19">
        <f>IF(Deployments!AI443="","",Deployments!AI443)</f>
        <v/>
      </c>
      <c r="L455" s="19">
        <f>IF(Deployments!M443="","",Deployments!M443)</f>
        <v/>
      </c>
      <c r="M455" s="20" t="n"/>
      <c r="N455" s="19">
        <f>IF(Deployments!N443="","",Deployments!N443)</f>
        <v/>
      </c>
      <c r="O455" s="19">
        <f>IF(Deployments!O443="","",Deployments!O443)</f>
        <v/>
      </c>
      <c r="P455" s="19">
        <f>IF(Deployments!P443="","",Deployments!P443)</f>
        <v/>
      </c>
      <c r="Q455" s="20" t="n"/>
      <c r="R455" s="19">
        <f>IF(Deployments!BT443="","",Deployments!BT443)</f>
        <v/>
      </c>
      <c r="S455" s="19">
        <f>IF(Deployments!BS443="","",Deployments!BS443)</f>
        <v/>
      </c>
      <c r="T455" s="19">
        <f>IF(Deployments!BB443="","",Deployments!BB443)</f>
        <v/>
      </c>
      <c r="U455" s="19">
        <f>IF(Deployments!BR443="","",Deployments!BR443)</f>
        <v/>
      </c>
      <c r="V455" s="19">
        <f>IF(Deployments!BX443="","",Deployments!BX443)</f>
        <v/>
      </c>
      <c r="W455" s="19">
        <f>IF(Deployments!BY443="","",Deployments!BY443)</f>
        <v/>
      </c>
      <c r="X455" s="19">
        <f>IF(Deployments!CC443="","",Deployments!CC443)</f>
        <v/>
      </c>
      <c r="Y455" s="19">
        <f>IF(Deployments!BW443="","",Deployments!BW443)</f>
        <v/>
      </c>
      <c r="Z455" s="19">
        <f>IF(Deployments!U443="","",Deployments!U443)</f>
        <v/>
      </c>
      <c r="AA455" s="19">
        <f>IF(Deployments!L443="","",Deployments!L443)</f>
        <v/>
      </c>
    </row>
    <row r="456">
      <c r="A456" s="20" t="n"/>
      <c r="B456" s="20" t="n"/>
      <c r="C456" s="19">
        <f>IF(Deployments!H444="","",Deployments!H444)</f>
        <v/>
      </c>
      <c r="D456" s="19">
        <f>IF(Deployments!AM444="","",Deployments!AM444)</f>
        <v/>
      </c>
      <c r="E456" s="19">
        <f>IF(Deployments!I444="","",Deployments!I444)</f>
        <v/>
      </c>
      <c r="F456" s="19">
        <f>IF(Deployments!J444="","",Deployments!J444)</f>
        <v/>
      </c>
      <c r="G456" s="19">
        <f>IF(Deployments!K444="","",Deployments!K444)</f>
        <v/>
      </c>
      <c r="H456" s="19">
        <f>IF(Deployments!A444="","",Deployments!A444)</f>
        <v/>
      </c>
      <c r="I456" s="19">
        <f>IF(Deployments!AN444="","",Deployments!AN444)</f>
        <v/>
      </c>
      <c r="J456" s="19">
        <f>IF(Deployments!AO444="","",Deployments!AO444)</f>
        <v/>
      </c>
      <c r="K456" s="19">
        <f>IF(Deployments!AI444="","",Deployments!AI444)</f>
        <v/>
      </c>
      <c r="L456" s="19">
        <f>IF(Deployments!M444="","",Deployments!M444)</f>
        <v/>
      </c>
      <c r="M456" s="20" t="n"/>
      <c r="N456" s="19">
        <f>IF(Deployments!N444="","",Deployments!N444)</f>
        <v/>
      </c>
      <c r="O456" s="19">
        <f>IF(Deployments!O444="","",Deployments!O444)</f>
        <v/>
      </c>
      <c r="P456" s="19">
        <f>IF(Deployments!P444="","",Deployments!P444)</f>
        <v/>
      </c>
      <c r="Q456" s="20" t="n"/>
      <c r="R456" s="19">
        <f>IF(Deployments!BT444="","",Deployments!BT444)</f>
        <v/>
      </c>
      <c r="S456" s="19">
        <f>IF(Deployments!BS444="","",Deployments!BS444)</f>
        <v/>
      </c>
      <c r="T456" s="19">
        <f>IF(Deployments!BB444="","",Deployments!BB444)</f>
        <v/>
      </c>
      <c r="U456" s="19">
        <f>IF(Deployments!BR444="","",Deployments!BR444)</f>
        <v/>
      </c>
      <c r="V456" s="19">
        <f>IF(Deployments!BX444="","",Deployments!BX444)</f>
        <v/>
      </c>
      <c r="W456" s="19">
        <f>IF(Deployments!BY444="","",Deployments!BY444)</f>
        <v/>
      </c>
      <c r="X456" s="19">
        <f>IF(Deployments!CC444="","",Deployments!CC444)</f>
        <v/>
      </c>
      <c r="Y456" s="19">
        <f>IF(Deployments!BW444="","",Deployments!BW444)</f>
        <v/>
      </c>
      <c r="Z456" s="19">
        <f>IF(Deployments!U444="","",Deployments!U444)</f>
        <v/>
      </c>
      <c r="AA456" s="19">
        <f>IF(Deployments!L444="","",Deployments!L444)</f>
        <v/>
      </c>
    </row>
    <row r="457">
      <c r="A457" s="20" t="n"/>
      <c r="B457" s="20" t="n"/>
      <c r="C457" s="19">
        <f>IF(Deployments!H445="","",Deployments!H445)</f>
        <v/>
      </c>
      <c r="D457" s="19">
        <f>IF(Deployments!AM445="","",Deployments!AM445)</f>
        <v/>
      </c>
      <c r="E457" s="19">
        <f>IF(Deployments!I445="","",Deployments!I445)</f>
        <v/>
      </c>
      <c r="F457" s="19">
        <f>IF(Deployments!J445="","",Deployments!J445)</f>
        <v/>
      </c>
      <c r="G457" s="19">
        <f>IF(Deployments!K445="","",Deployments!K445)</f>
        <v/>
      </c>
      <c r="H457" s="19">
        <f>IF(Deployments!A445="","",Deployments!A445)</f>
        <v/>
      </c>
      <c r="I457" s="19">
        <f>IF(Deployments!AN445="","",Deployments!AN445)</f>
        <v/>
      </c>
      <c r="J457" s="19">
        <f>IF(Deployments!AO445="","",Deployments!AO445)</f>
        <v/>
      </c>
      <c r="K457" s="19">
        <f>IF(Deployments!AI445="","",Deployments!AI445)</f>
        <v/>
      </c>
      <c r="L457" s="19">
        <f>IF(Deployments!M445="","",Deployments!M445)</f>
        <v/>
      </c>
      <c r="M457" s="20" t="n"/>
      <c r="N457" s="19">
        <f>IF(Deployments!N445="","",Deployments!N445)</f>
        <v/>
      </c>
      <c r="O457" s="19">
        <f>IF(Deployments!O445="","",Deployments!O445)</f>
        <v/>
      </c>
      <c r="P457" s="19">
        <f>IF(Deployments!P445="","",Deployments!P445)</f>
        <v/>
      </c>
      <c r="Q457" s="20" t="n"/>
      <c r="R457" s="19">
        <f>IF(Deployments!BT445="","",Deployments!BT445)</f>
        <v/>
      </c>
      <c r="S457" s="19">
        <f>IF(Deployments!BS445="","",Deployments!BS445)</f>
        <v/>
      </c>
      <c r="T457" s="19">
        <f>IF(Deployments!BB445="","",Deployments!BB445)</f>
        <v/>
      </c>
      <c r="U457" s="19">
        <f>IF(Deployments!BR445="","",Deployments!BR445)</f>
        <v/>
      </c>
      <c r="V457" s="19">
        <f>IF(Deployments!BX445="","",Deployments!BX445)</f>
        <v/>
      </c>
      <c r="W457" s="19">
        <f>IF(Deployments!BY445="","",Deployments!BY445)</f>
        <v/>
      </c>
      <c r="X457" s="19">
        <f>IF(Deployments!CC445="","",Deployments!CC445)</f>
        <v/>
      </c>
      <c r="Y457" s="19">
        <f>IF(Deployments!BW445="","",Deployments!BW445)</f>
        <v/>
      </c>
      <c r="Z457" s="19">
        <f>IF(Deployments!U445="","",Deployments!U445)</f>
        <v/>
      </c>
      <c r="AA457" s="19">
        <f>IF(Deployments!L445="","",Deployments!L445)</f>
        <v/>
      </c>
    </row>
    <row r="458">
      <c r="A458" s="20" t="n"/>
      <c r="B458" s="20" t="n"/>
      <c r="C458" s="19">
        <f>IF(Deployments!H446="","",Deployments!H446)</f>
        <v/>
      </c>
      <c r="D458" s="19">
        <f>IF(Deployments!AM446="","",Deployments!AM446)</f>
        <v/>
      </c>
      <c r="E458" s="19">
        <f>IF(Deployments!I446="","",Deployments!I446)</f>
        <v/>
      </c>
      <c r="F458" s="19">
        <f>IF(Deployments!J446="","",Deployments!J446)</f>
        <v/>
      </c>
      <c r="G458" s="19">
        <f>IF(Deployments!K446="","",Deployments!K446)</f>
        <v/>
      </c>
      <c r="H458" s="19">
        <f>IF(Deployments!A446="","",Deployments!A446)</f>
        <v/>
      </c>
      <c r="I458" s="19">
        <f>IF(Deployments!AN446="","",Deployments!AN446)</f>
        <v/>
      </c>
      <c r="J458" s="19">
        <f>IF(Deployments!AO446="","",Deployments!AO446)</f>
        <v/>
      </c>
      <c r="K458" s="19">
        <f>IF(Deployments!AI446="","",Deployments!AI446)</f>
        <v/>
      </c>
      <c r="L458" s="19">
        <f>IF(Deployments!M446="","",Deployments!M446)</f>
        <v/>
      </c>
      <c r="M458" s="20" t="n"/>
      <c r="N458" s="19">
        <f>IF(Deployments!N446="","",Deployments!N446)</f>
        <v/>
      </c>
      <c r="O458" s="19">
        <f>IF(Deployments!O446="","",Deployments!O446)</f>
        <v/>
      </c>
      <c r="P458" s="19">
        <f>IF(Deployments!P446="","",Deployments!P446)</f>
        <v/>
      </c>
      <c r="Q458" s="20" t="n"/>
      <c r="R458" s="19">
        <f>IF(Deployments!BT446="","",Deployments!BT446)</f>
        <v/>
      </c>
      <c r="S458" s="19">
        <f>IF(Deployments!BS446="","",Deployments!BS446)</f>
        <v/>
      </c>
      <c r="T458" s="19">
        <f>IF(Deployments!BB446="","",Deployments!BB446)</f>
        <v/>
      </c>
      <c r="U458" s="19">
        <f>IF(Deployments!BR446="","",Deployments!BR446)</f>
        <v/>
      </c>
      <c r="V458" s="19">
        <f>IF(Deployments!BX446="","",Deployments!BX446)</f>
        <v/>
      </c>
      <c r="W458" s="19">
        <f>IF(Deployments!BY446="","",Deployments!BY446)</f>
        <v/>
      </c>
      <c r="X458" s="19">
        <f>IF(Deployments!CC446="","",Deployments!CC446)</f>
        <v/>
      </c>
      <c r="Y458" s="19">
        <f>IF(Deployments!BW446="","",Deployments!BW446)</f>
        <v/>
      </c>
      <c r="Z458" s="19">
        <f>IF(Deployments!U446="","",Deployments!U446)</f>
        <v/>
      </c>
      <c r="AA458" s="19">
        <f>IF(Deployments!L446="","",Deployments!L446)</f>
        <v/>
      </c>
    </row>
    <row r="459">
      <c r="A459" s="20" t="n"/>
      <c r="B459" s="20" t="n"/>
      <c r="C459" s="19">
        <f>IF(Deployments!H447="","",Deployments!H447)</f>
        <v/>
      </c>
      <c r="D459" s="19">
        <f>IF(Deployments!AM447="","",Deployments!AM447)</f>
        <v/>
      </c>
      <c r="E459" s="19">
        <f>IF(Deployments!I447="","",Deployments!I447)</f>
        <v/>
      </c>
      <c r="F459" s="19">
        <f>IF(Deployments!J447="","",Deployments!J447)</f>
        <v/>
      </c>
      <c r="G459" s="19">
        <f>IF(Deployments!K447="","",Deployments!K447)</f>
        <v/>
      </c>
      <c r="H459" s="19">
        <f>IF(Deployments!A447="","",Deployments!A447)</f>
        <v/>
      </c>
      <c r="I459" s="19">
        <f>IF(Deployments!AN447="","",Deployments!AN447)</f>
        <v/>
      </c>
      <c r="J459" s="19">
        <f>IF(Deployments!AO447="","",Deployments!AO447)</f>
        <v/>
      </c>
      <c r="K459" s="19">
        <f>IF(Deployments!AI447="","",Deployments!AI447)</f>
        <v/>
      </c>
      <c r="L459" s="19">
        <f>IF(Deployments!M447="","",Deployments!M447)</f>
        <v/>
      </c>
      <c r="M459" s="20" t="n"/>
      <c r="N459" s="19">
        <f>IF(Deployments!N447="","",Deployments!N447)</f>
        <v/>
      </c>
      <c r="O459" s="19">
        <f>IF(Deployments!O447="","",Deployments!O447)</f>
        <v/>
      </c>
      <c r="P459" s="19">
        <f>IF(Deployments!P447="","",Deployments!P447)</f>
        <v/>
      </c>
      <c r="Q459" s="20" t="n"/>
      <c r="R459" s="19">
        <f>IF(Deployments!BT447="","",Deployments!BT447)</f>
        <v/>
      </c>
      <c r="S459" s="19">
        <f>IF(Deployments!BS447="","",Deployments!BS447)</f>
        <v/>
      </c>
      <c r="T459" s="19">
        <f>IF(Deployments!BB447="","",Deployments!BB447)</f>
        <v/>
      </c>
      <c r="U459" s="19">
        <f>IF(Deployments!BR447="","",Deployments!BR447)</f>
        <v/>
      </c>
      <c r="V459" s="19">
        <f>IF(Deployments!BX447="","",Deployments!BX447)</f>
        <v/>
      </c>
      <c r="W459" s="19">
        <f>IF(Deployments!BY447="","",Deployments!BY447)</f>
        <v/>
      </c>
      <c r="X459" s="19">
        <f>IF(Deployments!CC447="","",Deployments!CC447)</f>
        <v/>
      </c>
      <c r="Y459" s="19">
        <f>IF(Deployments!BW447="","",Deployments!BW447)</f>
        <v/>
      </c>
      <c r="Z459" s="19">
        <f>IF(Deployments!U447="","",Deployments!U447)</f>
        <v/>
      </c>
      <c r="AA459" s="19">
        <f>IF(Deployments!L447="","",Deployments!L447)</f>
        <v/>
      </c>
    </row>
    <row r="460">
      <c r="A460" s="20" t="n"/>
      <c r="B460" s="20" t="n"/>
      <c r="C460" s="19">
        <f>IF(Deployments!H448="","",Deployments!H448)</f>
        <v/>
      </c>
      <c r="D460" s="19">
        <f>IF(Deployments!AM448="","",Deployments!AM448)</f>
        <v/>
      </c>
      <c r="E460" s="19">
        <f>IF(Deployments!I448="","",Deployments!I448)</f>
        <v/>
      </c>
      <c r="F460" s="19">
        <f>IF(Deployments!J448="","",Deployments!J448)</f>
        <v/>
      </c>
      <c r="G460" s="19">
        <f>IF(Deployments!K448="","",Deployments!K448)</f>
        <v/>
      </c>
      <c r="H460" s="19">
        <f>IF(Deployments!A448="","",Deployments!A448)</f>
        <v/>
      </c>
      <c r="I460" s="19">
        <f>IF(Deployments!AN448="","",Deployments!AN448)</f>
        <v/>
      </c>
      <c r="J460" s="19">
        <f>IF(Deployments!AO448="","",Deployments!AO448)</f>
        <v/>
      </c>
      <c r="K460" s="19">
        <f>IF(Deployments!AI448="","",Deployments!AI448)</f>
        <v/>
      </c>
      <c r="L460" s="19">
        <f>IF(Deployments!M448="","",Deployments!M448)</f>
        <v/>
      </c>
      <c r="M460" s="20" t="n"/>
      <c r="N460" s="19">
        <f>IF(Deployments!N448="","",Deployments!N448)</f>
        <v/>
      </c>
      <c r="O460" s="19">
        <f>IF(Deployments!O448="","",Deployments!O448)</f>
        <v/>
      </c>
      <c r="P460" s="19">
        <f>IF(Deployments!P448="","",Deployments!P448)</f>
        <v/>
      </c>
      <c r="Q460" s="20" t="n"/>
      <c r="R460" s="19">
        <f>IF(Deployments!BT448="","",Deployments!BT448)</f>
        <v/>
      </c>
      <c r="S460" s="19">
        <f>IF(Deployments!BS448="","",Deployments!BS448)</f>
        <v/>
      </c>
      <c r="T460" s="19">
        <f>IF(Deployments!BB448="","",Deployments!BB448)</f>
        <v/>
      </c>
      <c r="U460" s="19">
        <f>IF(Deployments!BR448="","",Deployments!BR448)</f>
        <v/>
      </c>
      <c r="V460" s="19">
        <f>IF(Deployments!BX448="","",Deployments!BX448)</f>
        <v/>
      </c>
      <c r="W460" s="19">
        <f>IF(Deployments!BY448="","",Deployments!BY448)</f>
        <v/>
      </c>
      <c r="X460" s="19">
        <f>IF(Deployments!CC448="","",Deployments!CC448)</f>
        <v/>
      </c>
      <c r="Y460" s="19">
        <f>IF(Deployments!BW448="","",Deployments!BW448)</f>
        <v/>
      </c>
      <c r="Z460" s="19">
        <f>IF(Deployments!U448="","",Deployments!U448)</f>
        <v/>
      </c>
      <c r="AA460" s="19">
        <f>IF(Deployments!L448="","",Deployments!L448)</f>
        <v/>
      </c>
    </row>
    <row r="461">
      <c r="A461" s="20" t="n"/>
      <c r="B461" s="20" t="n"/>
      <c r="C461" s="19">
        <f>IF(Deployments!H449="","",Deployments!H449)</f>
        <v/>
      </c>
      <c r="D461" s="19">
        <f>IF(Deployments!AM449="","",Deployments!AM449)</f>
        <v/>
      </c>
      <c r="E461" s="19">
        <f>IF(Deployments!I449="","",Deployments!I449)</f>
        <v/>
      </c>
      <c r="F461" s="19">
        <f>IF(Deployments!J449="","",Deployments!J449)</f>
        <v/>
      </c>
      <c r="G461" s="19">
        <f>IF(Deployments!K449="","",Deployments!K449)</f>
        <v/>
      </c>
      <c r="H461" s="19">
        <f>IF(Deployments!A449="","",Deployments!A449)</f>
        <v/>
      </c>
      <c r="I461" s="19">
        <f>IF(Deployments!AN449="","",Deployments!AN449)</f>
        <v/>
      </c>
      <c r="J461" s="19">
        <f>IF(Deployments!AO449="","",Deployments!AO449)</f>
        <v/>
      </c>
      <c r="K461" s="19">
        <f>IF(Deployments!AI449="","",Deployments!AI449)</f>
        <v/>
      </c>
      <c r="L461" s="19">
        <f>IF(Deployments!M449="","",Deployments!M449)</f>
        <v/>
      </c>
      <c r="M461" s="20" t="n"/>
      <c r="N461" s="19">
        <f>IF(Deployments!N449="","",Deployments!N449)</f>
        <v/>
      </c>
      <c r="O461" s="19">
        <f>IF(Deployments!O449="","",Deployments!O449)</f>
        <v/>
      </c>
      <c r="P461" s="19">
        <f>IF(Deployments!P449="","",Deployments!P449)</f>
        <v/>
      </c>
      <c r="Q461" s="20" t="n"/>
      <c r="R461" s="19">
        <f>IF(Deployments!BT449="","",Deployments!BT449)</f>
        <v/>
      </c>
      <c r="S461" s="19">
        <f>IF(Deployments!BS449="","",Deployments!BS449)</f>
        <v/>
      </c>
      <c r="T461" s="19">
        <f>IF(Deployments!BB449="","",Deployments!BB449)</f>
        <v/>
      </c>
      <c r="U461" s="19">
        <f>IF(Deployments!BR449="","",Deployments!BR449)</f>
        <v/>
      </c>
      <c r="V461" s="19">
        <f>IF(Deployments!BX449="","",Deployments!BX449)</f>
        <v/>
      </c>
      <c r="W461" s="19">
        <f>IF(Deployments!BY449="","",Deployments!BY449)</f>
        <v/>
      </c>
      <c r="X461" s="19">
        <f>IF(Deployments!CC449="","",Deployments!CC449)</f>
        <v/>
      </c>
      <c r="Y461" s="19">
        <f>IF(Deployments!BW449="","",Deployments!BW449)</f>
        <v/>
      </c>
      <c r="Z461" s="19">
        <f>IF(Deployments!U449="","",Deployments!U449)</f>
        <v/>
      </c>
      <c r="AA461" s="19">
        <f>IF(Deployments!L449="","",Deployments!L449)</f>
        <v/>
      </c>
    </row>
    <row r="462">
      <c r="A462" s="20" t="n"/>
      <c r="B462" s="20" t="n"/>
      <c r="C462" s="19">
        <f>IF(Deployments!H450="","",Deployments!H450)</f>
        <v/>
      </c>
      <c r="D462" s="19">
        <f>IF(Deployments!AM450="","",Deployments!AM450)</f>
        <v/>
      </c>
      <c r="E462" s="19">
        <f>IF(Deployments!I450="","",Deployments!I450)</f>
        <v/>
      </c>
      <c r="F462" s="19">
        <f>IF(Deployments!J450="","",Deployments!J450)</f>
        <v/>
      </c>
      <c r="G462" s="19">
        <f>IF(Deployments!K450="","",Deployments!K450)</f>
        <v/>
      </c>
      <c r="H462" s="19">
        <f>IF(Deployments!A450="","",Deployments!A450)</f>
        <v/>
      </c>
      <c r="I462" s="19">
        <f>IF(Deployments!AN450="","",Deployments!AN450)</f>
        <v/>
      </c>
      <c r="J462" s="19">
        <f>IF(Deployments!AO450="","",Deployments!AO450)</f>
        <v/>
      </c>
      <c r="K462" s="19">
        <f>IF(Deployments!AI450="","",Deployments!AI450)</f>
        <v/>
      </c>
      <c r="L462" s="19">
        <f>IF(Deployments!M450="","",Deployments!M450)</f>
        <v/>
      </c>
      <c r="M462" s="20" t="n"/>
      <c r="N462" s="19">
        <f>IF(Deployments!N450="","",Deployments!N450)</f>
        <v/>
      </c>
      <c r="O462" s="19">
        <f>IF(Deployments!O450="","",Deployments!O450)</f>
        <v/>
      </c>
      <c r="P462" s="19">
        <f>IF(Deployments!P450="","",Deployments!P450)</f>
        <v/>
      </c>
      <c r="Q462" s="20" t="n"/>
      <c r="R462" s="19">
        <f>IF(Deployments!BT450="","",Deployments!BT450)</f>
        <v/>
      </c>
      <c r="S462" s="19">
        <f>IF(Deployments!BS450="","",Deployments!BS450)</f>
        <v/>
      </c>
      <c r="T462" s="19">
        <f>IF(Deployments!BB450="","",Deployments!BB450)</f>
        <v/>
      </c>
      <c r="U462" s="19">
        <f>IF(Deployments!BR450="","",Deployments!BR450)</f>
        <v/>
      </c>
      <c r="V462" s="19">
        <f>IF(Deployments!BX450="","",Deployments!BX450)</f>
        <v/>
      </c>
      <c r="W462" s="19">
        <f>IF(Deployments!BY450="","",Deployments!BY450)</f>
        <v/>
      </c>
      <c r="X462" s="19">
        <f>IF(Deployments!CC450="","",Deployments!CC450)</f>
        <v/>
      </c>
      <c r="Y462" s="19">
        <f>IF(Deployments!BW450="","",Deployments!BW450)</f>
        <v/>
      </c>
      <c r="Z462" s="19">
        <f>IF(Deployments!U450="","",Deployments!U450)</f>
        <v/>
      </c>
      <c r="AA462" s="19">
        <f>IF(Deployments!L450="","",Deployments!L450)</f>
        <v/>
      </c>
    </row>
    <row r="463">
      <c r="A463" s="20" t="n"/>
      <c r="B463" s="20" t="n"/>
      <c r="C463" s="19">
        <f>IF(Deployments!H451="","",Deployments!H451)</f>
        <v/>
      </c>
      <c r="D463" s="19">
        <f>IF(Deployments!AM451="","",Deployments!AM451)</f>
        <v/>
      </c>
      <c r="E463" s="19">
        <f>IF(Deployments!I451="","",Deployments!I451)</f>
        <v/>
      </c>
      <c r="F463" s="19">
        <f>IF(Deployments!J451="","",Deployments!J451)</f>
        <v/>
      </c>
      <c r="G463" s="19">
        <f>IF(Deployments!K451="","",Deployments!K451)</f>
        <v/>
      </c>
      <c r="H463" s="19">
        <f>IF(Deployments!A451="","",Deployments!A451)</f>
        <v/>
      </c>
      <c r="I463" s="19">
        <f>IF(Deployments!AN451="","",Deployments!AN451)</f>
        <v/>
      </c>
      <c r="J463" s="19">
        <f>IF(Deployments!AO451="","",Deployments!AO451)</f>
        <v/>
      </c>
      <c r="K463" s="19">
        <f>IF(Deployments!AI451="","",Deployments!AI451)</f>
        <v/>
      </c>
      <c r="L463" s="19">
        <f>IF(Deployments!M451="","",Deployments!M451)</f>
        <v/>
      </c>
      <c r="M463" s="20" t="n"/>
      <c r="N463" s="19">
        <f>IF(Deployments!N451="","",Deployments!N451)</f>
        <v/>
      </c>
      <c r="O463" s="19">
        <f>IF(Deployments!O451="","",Deployments!O451)</f>
        <v/>
      </c>
      <c r="P463" s="19">
        <f>IF(Deployments!P451="","",Deployments!P451)</f>
        <v/>
      </c>
      <c r="Q463" s="20" t="n"/>
      <c r="R463" s="19">
        <f>IF(Deployments!BT451="","",Deployments!BT451)</f>
        <v/>
      </c>
      <c r="S463" s="19">
        <f>IF(Deployments!BS451="","",Deployments!BS451)</f>
        <v/>
      </c>
      <c r="T463" s="19">
        <f>IF(Deployments!BB451="","",Deployments!BB451)</f>
        <v/>
      </c>
      <c r="U463" s="19">
        <f>IF(Deployments!BR451="","",Deployments!BR451)</f>
        <v/>
      </c>
      <c r="V463" s="19">
        <f>IF(Deployments!BX451="","",Deployments!BX451)</f>
        <v/>
      </c>
      <c r="W463" s="19">
        <f>IF(Deployments!BY451="","",Deployments!BY451)</f>
        <v/>
      </c>
      <c r="X463" s="19">
        <f>IF(Deployments!CC451="","",Deployments!CC451)</f>
        <v/>
      </c>
      <c r="Y463" s="19">
        <f>IF(Deployments!BW451="","",Deployments!BW451)</f>
        <v/>
      </c>
      <c r="Z463" s="19">
        <f>IF(Deployments!U451="","",Deployments!U451)</f>
        <v/>
      </c>
      <c r="AA463" s="19">
        <f>IF(Deployments!L451="","",Deployments!L451)</f>
        <v/>
      </c>
    </row>
    <row r="464">
      <c r="A464" s="20" t="n"/>
      <c r="B464" s="20" t="n"/>
      <c r="C464" s="19">
        <f>IF(Deployments!H452="","",Deployments!H452)</f>
        <v/>
      </c>
      <c r="D464" s="19">
        <f>IF(Deployments!AM452="","",Deployments!AM452)</f>
        <v/>
      </c>
      <c r="E464" s="19">
        <f>IF(Deployments!I452="","",Deployments!I452)</f>
        <v/>
      </c>
      <c r="F464" s="19">
        <f>IF(Deployments!J452="","",Deployments!J452)</f>
        <v/>
      </c>
      <c r="G464" s="19">
        <f>IF(Deployments!K452="","",Deployments!K452)</f>
        <v/>
      </c>
      <c r="H464" s="19">
        <f>IF(Deployments!A452="","",Deployments!A452)</f>
        <v/>
      </c>
      <c r="I464" s="19">
        <f>IF(Deployments!AN452="","",Deployments!AN452)</f>
        <v/>
      </c>
      <c r="J464" s="19">
        <f>IF(Deployments!AO452="","",Deployments!AO452)</f>
        <v/>
      </c>
      <c r="K464" s="19">
        <f>IF(Deployments!AI452="","",Deployments!AI452)</f>
        <v/>
      </c>
      <c r="L464" s="19">
        <f>IF(Deployments!M452="","",Deployments!M452)</f>
        <v/>
      </c>
      <c r="M464" s="20" t="n"/>
      <c r="N464" s="19">
        <f>IF(Deployments!N452="","",Deployments!N452)</f>
        <v/>
      </c>
      <c r="O464" s="19">
        <f>IF(Deployments!O452="","",Deployments!O452)</f>
        <v/>
      </c>
      <c r="P464" s="19">
        <f>IF(Deployments!P452="","",Deployments!P452)</f>
        <v/>
      </c>
      <c r="Q464" s="20" t="n"/>
      <c r="R464" s="19">
        <f>IF(Deployments!BT452="","",Deployments!BT452)</f>
        <v/>
      </c>
      <c r="S464" s="19">
        <f>IF(Deployments!BS452="","",Deployments!BS452)</f>
        <v/>
      </c>
      <c r="T464" s="19">
        <f>IF(Deployments!BB452="","",Deployments!BB452)</f>
        <v/>
      </c>
      <c r="U464" s="19">
        <f>IF(Deployments!BR452="","",Deployments!BR452)</f>
        <v/>
      </c>
      <c r="V464" s="19">
        <f>IF(Deployments!BX452="","",Deployments!BX452)</f>
        <v/>
      </c>
      <c r="W464" s="19">
        <f>IF(Deployments!BY452="","",Deployments!BY452)</f>
        <v/>
      </c>
      <c r="X464" s="19">
        <f>IF(Deployments!CC452="","",Deployments!CC452)</f>
        <v/>
      </c>
      <c r="Y464" s="19">
        <f>IF(Deployments!BW452="","",Deployments!BW452)</f>
        <v/>
      </c>
      <c r="Z464" s="19">
        <f>IF(Deployments!U452="","",Deployments!U452)</f>
        <v/>
      </c>
      <c r="AA464" s="19">
        <f>IF(Deployments!L452="","",Deployments!L452)</f>
        <v/>
      </c>
    </row>
    <row r="465">
      <c r="A465" s="20" t="n"/>
      <c r="B465" s="20" t="n"/>
      <c r="C465" s="19">
        <f>IF(Deployments!H453="","",Deployments!H453)</f>
        <v/>
      </c>
      <c r="D465" s="19">
        <f>IF(Deployments!AM453="","",Deployments!AM453)</f>
        <v/>
      </c>
      <c r="E465" s="19">
        <f>IF(Deployments!I453="","",Deployments!I453)</f>
        <v/>
      </c>
      <c r="F465" s="19">
        <f>IF(Deployments!J453="","",Deployments!J453)</f>
        <v/>
      </c>
      <c r="G465" s="19">
        <f>IF(Deployments!K453="","",Deployments!K453)</f>
        <v/>
      </c>
      <c r="H465" s="19">
        <f>IF(Deployments!A453="","",Deployments!A453)</f>
        <v/>
      </c>
      <c r="I465" s="19">
        <f>IF(Deployments!AN453="","",Deployments!AN453)</f>
        <v/>
      </c>
      <c r="J465" s="19">
        <f>IF(Deployments!AO453="","",Deployments!AO453)</f>
        <v/>
      </c>
      <c r="K465" s="19">
        <f>IF(Deployments!AI453="","",Deployments!AI453)</f>
        <v/>
      </c>
      <c r="L465" s="19">
        <f>IF(Deployments!M453="","",Deployments!M453)</f>
        <v/>
      </c>
      <c r="M465" s="20" t="n"/>
      <c r="N465" s="19">
        <f>IF(Deployments!N453="","",Deployments!N453)</f>
        <v/>
      </c>
      <c r="O465" s="19">
        <f>IF(Deployments!O453="","",Deployments!O453)</f>
        <v/>
      </c>
      <c r="P465" s="19">
        <f>IF(Deployments!P453="","",Deployments!P453)</f>
        <v/>
      </c>
      <c r="Q465" s="20" t="n"/>
      <c r="R465" s="19">
        <f>IF(Deployments!BT453="","",Deployments!BT453)</f>
        <v/>
      </c>
      <c r="S465" s="19">
        <f>IF(Deployments!BS453="","",Deployments!BS453)</f>
        <v/>
      </c>
      <c r="T465" s="19">
        <f>IF(Deployments!BB453="","",Deployments!BB453)</f>
        <v/>
      </c>
      <c r="U465" s="19">
        <f>IF(Deployments!BR453="","",Deployments!BR453)</f>
        <v/>
      </c>
      <c r="V465" s="19">
        <f>IF(Deployments!BX453="","",Deployments!BX453)</f>
        <v/>
      </c>
      <c r="W465" s="19">
        <f>IF(Deployments!BY453="","",Deployments!BY453)</f>
        <v/>
      </c>
      <c r="X465" s="19">
        <f>IF(Deployments!CC453="","",Deployments!CC453)</f>
        <v/>
      </c>
      <c r="Y465" s="19">
        <f>IF(Deployments!BW453="","",Deployments!BW453)</f>
        <v/>
      </c>
      <c r="Z465" s="19">
        <f>IF(Deployments!U453="","",Deployments!U453)</f>
        <v/>
      </c>
      <c r="AA465" s="19">
        <f>IF(Deployments!L453="","",Deployments!L453)</f>
        <v/>
      </c>
    </row>
    <row r="466">
      <c r="A466" s="20" t="n"/>
      <c r="B466" s="20" t="n"/>
      <c r="C466" s="19">
        <f>IF(Deployments!H454="","",Deployments!H454)</f>
        <v/>
      </c>
      <c r="D466" s="19">
        <f>IF(Deployments!AM454="","",Deployments!AM454)</f>
        <v/>
      </c>
      <c r="E466" s="19">
        <f>IF(Deployments!I454="","",Deployments!I454)</f>
        <v/>
      </c>
      <c r="F466" s="19">
        <f>IF(Deployments!J454="","",Deployments!J454)</f>
        <v/>
      </c>
      <c r="G466" s="19">
        <f>IF(Deployments!K454="","",Deployments!K454)</f>
        <v/>
      </c>
      <c r="H466" s="19">
        <f>IF(Deployments!A454="","",Deployments!A454)</f>
        <v/>
      </c>
      <c r="I466" s="19">
        <f>IF(Deployments!AN454="","",Deployments!AN454)</f>
        <v/>
      </c>
      <c r="J466" s="19">
        <f>IF(Deployments!AO454="","",Deployments!AO454)</f>
        <v/>
      </c>
      <c r="K466" s="19">
        <f>IF(Deployments!AI454="","",Deployments!AI454)</f>
        <v/>
      </c>
      <c r="L466" s="19">
        <f>IF(Deployments!M454="","",Deployments!M454)</f>
        <v/>
      </c>
      <c r="M466" s="20" t="n"/>
      <c r="N466" s="19">
        <f>IF(Deployments!N454="","",Deployments!N454)</f>
        <v/>
      </c>
      <c r="O466" s="19">
        <f>IF(Deployments!O454="","",Deployments!O454)</f>
        <v/>
      </c>
      <c r="P466" s="19">
        <f>IF(Deployments!P454="","",Deployments!P454)</f>
        <v/>
      </c>
      <c r="Q466" s="20" t="n"/>
      <c r="R466" s="19">
        <f>IF(Deployments!BT454="","",Deployments!BT454)</f>
        <v/>
      </c>
      <c r="S466" s="19">
        <f>IF(Deployments!BS454="","",Deployments!BS454)</f>
        <v/>
      </c>
      <c r="T466" s="19">
        <f>IF(Deployments!BB454="","",Deployments!BB454)</f>
        <v/>
      </c>
      <c r="U466" s="19">
        <f>IF(Deployments!BR454="","",Deployments!BR454)</f>
        <v/>
      </c>
      <c r="V466" s="19">
        <f>IF(Deployments!BX454="","",Deployments!BX454)</f>
        <v/>
      </c>
      <c r="W466" s="19">
        <f>IF(Deployments!BY454="","",Deployments!BY454)</f>
        <v/>
      </c>
      <c r="X466" s="19">
        <f>IF(Deployments!CC454="","",Deployments!CC454)</f>
        <v/>
      </c>
      <c r="Y466" s="19">
        <f>IF(Deployments!BW454="","",Deployments!BW454)</f>
        <v/>
      </c>
      <c r="Z466" s="19">
        <f>IF(Deployments!U454="","",Deployments!U454)</f>
        <v/>
      </c>
      <c r="AA466" s="19">
        <f>IF(Deployments!L454="","",Deployments!L454)</f>
        <v/>
      </c>
    </row>
    <row r="467">
      <c r="A467" s="20" t="n"/>
      <c r="B467" s="20" t="n"/>
      <c r="C467" s="19">
        <f>IF(Deployments!H455="","",Deployments!H455)</f>
        <v/>
      </c>
      <c r="D467" s="19">
        <f>IF(Deployments!AM455="","",Deployments!AM455)</f>
        <v/>
      </c>
      <c r="E467" s="19">
        <f>IF(Deployments!I455="","",Deployments!I455)</f>
        <v/>
      </c>
      <c r="F467" s="19">
        <f>IF(Deployments!J455="","",Deployments!J455)</f>
        <v/>
      </c>
      <c r="G467" s="19">
        <f>IF(Deployments!K455="","",Deployments!K455)</f>
        <v/>
      </c>
      <c r="H467" s="19">
        <f>IF(Deployments!A455="","",Deployments!A455)</f>
        <v/>
      </c>
      <c r="I467" s="19">
        <f>IF(Deployments!AN455="","",Deployments!AN455)</f>
        <v/>
      </c>
      <c r="J467" s="19">
        <f>IF(Deployments!AO455="","",Deployments!AO455)</f>
        <v/>
      </c>
      <c r="K467" s="19">
        <f>IF(Deployments!AI455="","",Deployments!AI455)</f>
        <v/>
      </c>
      <c r="L467" s="19">
        <f>IF(Deployments!M455="","",Deployments!M455)</f>
        <v/>
      </c>
      <c r="M467" s="20" t="n"/>
      <c r="N467" s="19">
        <f>IF(Deployments!N455="","",Deployments!N455)</f>
        <v/>
      </c>
      <c r="O467" s="19">
        <f>IF(Deployments!O455="","",Deployments!O455)</f>
        <v/>
      </c>
      <c r="P467" s="19">
        <f>IF(Deployments!P455="","",Deployments!P455)</f>
        <v/>
      </c>
      <c r="Q467" s="20" t="n"/>
      <c r="R467" s="19">
        <f>IF(Deployments!BT455="","",Deployments!BT455)</f>
        <v/>
      </c>
      <c r="S467" s="19">
        <f>IF(Deployments!BS455="","",Deployments!BS455)</f>
        <v/>
      </c>
      <c r="T467" s="19">
        <f>IF(Deployments!BB455="","",Deployments!BB455)</f>
        <v/>
      </c>
      <c r="U467" s="19">
        <f>IF(Deployments!BR455="","",Deployments!BR455)</f>
        <v/>
      </c>
      <c r="V467" s="19">
        <f>IF(Deployments!BX455="","",Deployments!BX455)</f>
        <v/>
      </c>
      <c r="W467" s="19">
        <f>IF(Deployments!BY455="","",Deployments!BY455)</f>
        <v/>
      </c>
      <c r="X467" s="19">
        <f>IF(Deployments!CC455="","",Deployments!CC455)</f>
        <v/>
      </c>
      <c r="Y467" s="19">
        <f>IF(Deployments!BW455="","",Deployments!BW455)</f>
        <v/>
      </c>
      <c r="Z467" s="19">
        <f>IF(Deployments!U455="","",Deployments!U455)</f>
        <v/>
      </c>
      <c r="AA467" s="19">
        <f>IF(Deployments!L455="","",Deployments!L455)</f>
        <v/>
      </c>
    </row>
    <row r="468">
      <c r="A468" s="20" t="n"/>
      <c r="B468" s="20" t="n"/>
      <c r="C468" s="19">
        <f>IF(Deployments!H456="","",Deployments!H456)</f>
        <v/>
      </c>
      <c r="D468" s="19">
        <f>IF(Deployments!AM456="","",Deployments!AM456)</f>
        <v/>
      </c>
      <c r="E468" s="19">
        <f>IF(Deployments!I456="","",Deployments!I456)</f>
        <v/>
      </c>
      <c r="F468" s="19">
        <f>IF(Deployments!J456="","",Deployments!J456)</f>
        <v/>
      </c>
      <c r="G468" s="19">
        <f>IF(Deployments!K456="","",Deployments!K456)</f>
        <v/>
      </c>
      <c r="H468" s="19">
        <f>IF(Deployments!A456="","",Deployments!A456)</f>
        <v/>
      </c>
      <c r="I468" s="19">
        <f>IF(Deployments!AN456="","",Deployments!AN456)</f>
        <v/>
      </c>
      <c r="J468" s="19">
        <f>IF(Deployments!AO456="","",Deployments!AO456)</f>
        <v/>
      </c>
      <c r="K468" s="19">
        <f>IF(Deployments!AI456="","",Deployments!AI456)</f>
        <v/>
      </c>
      <c r="L468" s="19">
        <f>IF(Deployments!M456="","",Deployments!M456)</f>
        <v/>
      </c>
      <c r="M468" s="20" t="n"/>
      <c r="N468" s="19">
        <f>IF(Deployments!N456="","",Deployments!N456)</f>
        <v/>
      </c>
      <c r="O468" s="19">
        <f>IF(Deployments!O456="","",Deployments!O456)</f>
        <v/>
      </c>
      <c r="P468" s="19">
        <f>IF(Deployments!P456="","",Deployments!P456)</f>
        <v/>
      </c>
      <c r="Q468" s="20" t="n"/>
      <c r="R468" s="19">
        <f>IF(Deployments!BT456="","",Deployments!BT456)</f>
        <v/>
      </c>
      <c r="S468" s="19">
        <f>IF(Deployments!BS456="","",Deployments!BS456)</f>
        <v/>
      </c>
      <c r="T468" s="19">
        <f>IF(Deployments!BB456="","",Deployments!BB456)</f>
        <v/>
      </c>
      <c r="U468" s="19">
        <f>IF(Deployments!BR456="","",Deployments!BR456)</f>
        <v/>
      </c>
      <c r="V468" s="19">
        <f>IF(Deployments!BX456="","",Deployments!BX456)</f>
        <v/>
      </c>
      <c r="W468" s="19">
        <f>IF(Deployments!BY456="","",Deployments!BY456)</f>
        <v/>
      </c>
      <c r="X468" s="19">
        <f>IF(Deployments!CC456="","",Deployments!CC456)</f>
        <v/>
      </c>
      <c r="Y468" s="19">
        <f>IF(Deployments!BW456="","",Deployments!BW456)</f>
        <v/>
      </c>
      <c r="Z468" s="19">
        <f>IF(Deployments!U456="","",Deployments!U456)</f>
        <v/>
      </c>
      <c r="AA468" s="19">
        <f>IF(Deployments!L456="","",Deployments!L456)</f>
        <v/>
      </c>
    </row>
    <row r="469">
      <c r="A469" s="20" t="n"/>
      <c r="B469" s="20" t="n"/>
      <c r="C469" s="19">
        <f>IF(Deployments!H457="","",Deployments!H457)</f>
        <v/>
      </c>
      <c r="D469" s="19">
        <f>IF(Deployments!AM457="","",Deployments!AM457)</f>
        <v/>
      </c>
      <c r="E469" s="19">
        <f>IF(Deployments!I457="","",Deployments!I457)</f>
        <v/>
      </c>
      <c r="F469" s="19">
        <f>IF(Deployments!J457="","",Deployments!J457)</f>
        <v/>
      </c>
      <c r="G469" s="19">
        <f>IF(Deployments!K457="","",Deployments!K457)</f>
        <v/>
      </c>
      <c r="H469" s="19">
        <f>IF(Deployments!A457="","",Deployments!A457)</f>
        <v/>
      </c>
      <c r="I469" s="19">
        <f>IF(Deployments!AN457="","",Deployments!AN457)</f>
        <v/>
      </c>
      <c r="J469" s="19">
        <f>IF(Deployments!AO457="","",Deployments!AO457)</f>
        <v/>
      </c>
      <c r="K469" s="19">
        <f>IF(Deployments!AI457="","",Deployments!AI457)</f>
        <v/>
      </c>
      <c r="L469" s="19">
        <f>IF(Deployments!M457="","",Deployments!M457)</f>
        <v/>
      </c>
      <c r="M469" s="20" t="n"/>
      <c r="N469" s="19">
        <f>IF(Deployments!N457="","",Deployments!N457)</f>
        <v/>
      </c>
      <c r="O469" s="19">
        <f>IF(Deployments!O457="","",Deployments!O457)</f>
        <v/>
      </c>
      <c r="P469" s="19">
        <f>IF(Deployments!P457="","",Deployments!P457)</f>
        <v/>
      </c>
      <c r="Q469" s="20" t="n"/>
      <c r="R469" s="19">
        <f>IF(Deployments!BT457="","",Deployments!BT457)</f>
        <v/>
      </c>
      <c r="S469" s="19">
        <f>IF(Deployments!BS457="","",Deployments!BS457)</f>
        <v/>
      </c>
      <c r="T469" s="19">
        <f>IF(Deployments!BB457="","",Deployments!BB457)</f>
        <v/>
      </c>
      <c r="U469" s="19">
        <f>IF(Deployments!BR457="","",Deployments!BR457)</f>
        <v/>
      </c>
      <c r="V469" s="19">
        <f>IF(Deployments!BX457="","",Deployments!BX457)</f>
        <v/>
      </c>
      <c r="W469" s="19">
        <f>IF(Deployments!BY457="","",Deployments!BY457)</f>
        <v/>
      </c>
      <c r="X469" s="19">
        <f>IF(Deployments!CC457="","",Deployments!CC457)</f>
        <v/>
      </c>
      <c r="Y469" s="19">
        <f>IF(Deployments!BW457="","",Deployments!BW457)</f>
        <v/>
      </c>
      <c r="Z469" s="19">
        <f>IF(Deployments!U457="","",Deployments!U457)</f>
        <v/>
      </c>
      <c r="AA469" s="19">
        <f>IF(Deployments!L457="","",Deployments!L457)</f>
        <v/>
      </c>
    </row>
    <row r="470">
      <c r="A470" s="20" t="n"/>
      <c r="B470" s="20" t="n"/>
      <c r="C470" s="19">
        <f>IF(Deployments!H458="","",Deployments!H458)</f>
        <v/>
      </c>
      <c r="D470" s="19">
        <f>IF(Deployments!AM458="","",Deployments!AM458)</f>
        <v/>
      </c>
      <c r="E470" s="19">
        <f>IF(Deployments!I458="","",Deployments!I458)</f>
        <v/>
      </c>
      <c r="F470" s="19">
        <f>IF(Deployments!J458="","",Deployments!J458)</f>
        <v/>
      </c>
      <c r="G470" s="19">
        <f>IF(Deployments!K458="","",Deployments!K458)</f>
        <v/>
      </c>
      <c r="H470" s="19">
        <f>IF(Deployments!A458="","",Deployments!A458)</f>
        <v/>
      </c>
      <c r="I470" s="19">
        <f>IF(Deployments!AN458="","",Deployments!AN458)</f>
        <v/>
      </c>
      <c r="J470" s="19">
        <f>IF(Deployments!AO458="","",Deployments!AO458)</f>
        <v/>
      </c>
      <c r="K470" s="19">
        <f>IF(Deployments!AI458="","",Deployments!AI458)</f>
        <v/>
      </c>
      <c r="L470" s="19">
        <f>IF(Deployments!M458="","",Deployments!M458)</f>
        <v/>
      </c>
      <c r="M470" s="20" t="n"/>
      <c r="N470" s="19">
        <f>IF(Deployments!N458="","",Deployments!N458)</f>
        <v/>
      </c>
      <c r="O470" s="19">
        <f>IF(Deployments!O458="","",Deployments!O458)</f>
        <v/>
      </c>
      <c r="P470" s="19">
        <f>IF(Deployments!P458="","",Deployments!P458)</f>
        <v/>
      </c>
      <c r="Q470" s="20" t="n"/>
      <c r="R470" s="19">
        <f>IF(Deployments!BT458="","",Deployments!BT458)</f>
        <v/>
      </c>
      <c r="S470" s="19">
        <f>IF(Deployments!BS458="","",Deployments!BS458)</f>
        <v/>
      </c>
      <c r="T470" s="19">
        <f>IF(Deployments!BB458="","",Deployments!BB458)</f>
        <v/>
      </c>
      <c r="U470" s="19">
        <f>IF(Deployments!BR458="","",Deployments!BR458)</f>
        <v/>
      </c>
      <c r="V470" s="19">
        <f>IF(Deployments!BX458="","",Deployments!BX458)</f>
        <v/>
      </c>
      <c r="W470" s="19">
        <f>IF(Deployments!BY458="","",Deployments!BY458)</f>
        <v/>
      </c>
      <c r="X470" s="19">
        <f>IF(Deployments!CC458="","",Deployments!CC458)</f>
        <v/>
      </c>
      <c r="Y470" s="19">
        <f>IF(Deployments!BW458="","",Deployments!BW458)</f>
        <v/>
      </c>
      <c r="Z470" s="19">
        <f>IF(Deployments!U458="","",Deployments!U458)</f>
        <v/>
      </c>
      <c r="AA470" s="19">
        <f>IF(Deployments!L458="","",Deployments!L458)</f>
        <v/>
      </c>
    </row>
    <row r="471">
      <c r="A471" s="20" t="n"/>
      <c r="B471" s="20" t="n"/>
      <c r="C471" s="19">
        <f>IF(Deployments!H459="","",Deployments!H459)</f>
        <v/>
      </c>
      <c r="D471" s="19">
        <f>IF(Deployments!AM459="","",Deployments!AM459)</f>
        <v/>
      </c>
      <c r="E471" s="19">
        <f>IF(Deployments!I459="","",Deployments!I459)</f>
        <v/>
      </c>
      <c r="F471" s="19">
        <f>IF(Deployments!J459="","",Deployments!J459)</f>
        <v/>
      </c>
      <c r="G471" s="19">
        <f>IF(Deployments!K459="","",Deployments!K459)</f>
        <v/>
      </c>
      <c r="H471" s="19">
        <f>IF(Deployments!A459="","",Deployments!A459)</f>
        <v/>
      </c>
      <c r="I471" s="19">
        <f>IF(Deployments!AN459="","",Deployments!AN459)</f>
        <v/>
      </c>
      <c r="J471" s="19">
        <f>IF(Deployments!AO459="","",Deployments!AO459)</f>
        <v/>
      </c>
      <c r="K471" s="19">
        <f>IF(Deployments!AI459="","",Deployments!AI459)</f>
        <v/>
      </c>
      <c r="L471" s="19">
        <f>IF(Deployments!M459="","",Deployments!M459)</f>
        <v/>
      </c>
      <c r="M471" s="20" t="n"/>
      <c r="N471" s="19">
        <f>IF(Deployments!N459="","",Deployments!N459)</f>
        <v/>
      </c>
      <c r="O471" s="19">
        <f>IF(Deployments!O459="","",Deployments!O459)</f>
        <v/>
      </c>
      <c r="P471" s="19">
        <f>IF(Deployments!P459="","",Deployments!P459)</f>
        <v/>
      </c>
      <c r="Q471" s="20" t="n"/>
      <c r="R471" s="19">
        <f>IF(Deployments!BT459="","",Deployments!BT459)</f>
        <v/>
      </c>
      <c r="S471" s="19">
        <f>IF(Deployments!BS459="","",Deployments!BS459)</f>
        <v/>
      </c>
      <c r="T471" s="19">
        <f>IF(Deployments!BB459="","",Deployments!BB459)</f>
        <v/>
      </c>
      <c r="U471" s="19">
        <f>IF(Deployments!BR459="","",Deployments!BR459)</f>
        <v/>
      </c>
      <c r="V471" s="19">
        <f>IF(Deployments!BX459="","",Deployments!BX459)</f>
        <v/>
      </c>
      <c r="W471" s="19">
        <f>IF(Deployments!BY459="","",Deployments!BY459)</f>
        <v/>
      </c>
      <c r="X471" s="19">
        <f>IF(Deployments!CC459="","",Deployments!CC459)</f>
        <v/>
      </c>
      <c r="Y471" s="19">
        <f>IF(Deployments!BW459="","",Deployments!BW459)</f>
        <v/>
      </c>
      <c r="Z471" s="19">
        <f>IF(Deployments!U459="","",Deployments!U459)</f>
        <v/>
      </c>
      <c r="AA471" s="19">
        <f>IF(Deployments!L459="","",Deployments!L459)</f>
        <v/>
      </c>
    </row>
    <row r="472">
      <c r="A472" s="20" t="n"/>
      <c r="B472" s="20" t="n"/>
      <c r="C472" s="19">
        <f>IF(Deployments!H460="","",Deployments!H460)</f>
        <v/>
      </c>
      <c r="D472" s="19">
        <f>IF(Deployments!AM460="","",Deployments!AM460)</f>
        <v/>
      </c>
      <c r="E472" s="19">
        <f>IF(Deployments!I460="","",Deployments!I460)</f>
        <v/>
      </c>
      <c r="F472" s="19">
        <f>IF(Deployments!J460="","",Deployments!J460)</f>
        <v/>
      </c>
      <c r="G472" s="19">
        <f>IF(Deployments!K460="","",Deployments!K460)</f>
        <v/>
      </c>
      <c r="H472" s="19">
        <f>IF(Deployments!A460="","",Deployments!A460)</f>
        <v/>
      </c>
      <c r="I472" s="19">
        <f>IF(Deployments!AN460="","",Deployments!AN460)</f>
        <v/>
      </c>
      <c r="J472" s="19">
        <f>IF(Deployments!AO460="","",Deployments!AO460)</f>
        <v/>
      </c>
      <c r="K472" s="19">
        <f>IF(Deployments!AI460="","",Deployments!AI460)</f>
        <v/>
      </c>
      <c r="L472" s="19">
        <f>IF(Deployments!M460="","",Deployments!M460)</f>
        <v/>
      </c>
      <c r="M472" s="20" t="n"/>
      <c r="N472" s="19">
        <f>IF(Deployments!N460="","",Deployments!N460)</f>
        <v/>
      </c>
      <c r="O472" s="19">
        <f>IF(Deployments!O460="","",Deployments!O460)</f>
        <v/>
      </c>
      <c r="P472" s="19">
        <f>IF(Deployments!P460="","",Deployments!P460)</f>
        <v/>
      </c>
      <c r="Q472" s="20" t="n"/>
      <c r="R472" s="19">
        <f>IF(Deployments!BT460="","",Deployments!BT460)</f>
        <v/>
      </c>
      <c r="S472" s="19">
        <f>IF(Deployments!BS460="","",Deployments!BS460)</f>
        <v/>
      </c>
      <c r="T472" s="19">
        <f>IF(Deployments!BB460="","",Deployments!BB460)</f>
        <v/>
      </c>
      <c r="U472" s="19">
        <f>IF(Deployments!BR460="","",Deployments!BR460)</f>
        <v/>
      </c>
      <c r="V472" s="19">
        <f>IF(Deployments!BX460="","",Deployments!BX460)</f>
        <v/>
      </c>
      <c r="W472" s="19">
        <f>IF(Deployments!BY460="","",Deployments!BY460)</f>
        <v/>
      </c>
      <c r="X472" s="19">
        <f>IF(Deployments!CC460="","",Deployments!CC460)</f>
        <v/>
      </c>
      <c r="Y472" s="19">
        <f>IF(Deployments!BW460="","",Deployments!BW460)</f>
        <v/>
      </c>
      <c r="Z472" s="19">
        <f>IF(Deployments!U460="","",Deployments!U460)</f>
        <v/>
      </c>
      <c r="AA472" s="19">
        <f>IF(Deployments!L460="","",Deployments!L460)</f>
        <v/>
      </c>
    </row>
    <row r="473">
      <c r="A473" s="20" t="n"/>
      <c r="B473" s="20" t="n"/>
      <c r="C473" s="19">
        <f>IF(Deployments!H461="","",Deployments!H461)</f>
        <v/>
      </c>
      <c r="D473" s="19">
        <f>IF(Deployments!AM461="","",Deployments!AM461)</f>
        <v/>
      </c>
      <c r="E473" s="19">
        <f>IF(Deployments!I461="","",Deployments!I461)</f>
        <v/>
      </c>
      <c r="F473" s="19">
        <f>IF(Deployments!J461="","",Deployments!J461)</f>
        <v/>
      </c>
      <c r="G473" s="19">
        <f>IF(Deployments!K461="","",Deployments!K461)</f>
        <v/>
      </c>
      <c r="H473" s="19">
        <f>IF(Deployments!A461="","",Deployments!A461)</f>
        <v/>
      </c>
      <c r="I473" s="19">
        <f>IF(Deployments!AN461="","",Deployments!AN461)</f>
        <v/>
      </c>
      <c r="J473" s="19">
        <f>IF(Deployments!AO461="","",Deployments!AO461)</f>
        <v/>
      </c>
      <c r="K473" s="19">
        <f>IF(Deployments!AI461="","",Deployments!AI461)</f>
        <v/>
      </c>
      <c r="L473" s="19">
        <f>IF(Deployments!M461="","",Deployments!M461)</f>
        <v/>
      </c>
      <c r="M473" s="20" t="n"/>
      <c r="N473" s="19">
        <f>IF(Deployments!N461="","",Deployments!N461)</f>
        <v/>
      </c>
      <c r="O473" s="19">
        <f>IF(Deployments!O461="","",Deployments!O461)</f>
        <v/>
      </c>
      <c r="P473" s="19">
        <f>IF(Deployments!P461="","",Deployments!P461)</f>
        <v/>
      </c>
      <c r="Q473" s="20" t="n"/>
      <c r="R473" s="19">
        <f>IF(Deployments!BT461="","",Deployments!BT461)</f>
        <v/>
      </c>
      <c r="S473" s="19">
        <f>IF(Deployments!BS461="","",Deployments!BS461)</f>
        <v/>
      </c>
      <c r="T473" s="19">
        <f>IF(Deployments!BB461="","",Deployments!BB461)</f>
        <v/>
      </c>
      <c r="U473" s="19">
        <f>IF(Deployments!BR461="","",Deployments!BR461)</f>
        <v/>
      </c>
      <c r="V473" s="19">
        <f>IF(Deployments!BX461="","",Deployments!BX461)</f>
        <v/>
      </c>
      <c r="W473" s="19">
        <f>IF(Deployments!BY461="","",Deployments!BY461)</f>
        <v/>
      </c>
      <c r="X473" s="19">
        <f>IF(Deployments!CC461="","",Deployments!CC461)</f>
        <v/>
      </c>
      <c r="Y473" s="19">
        <f>IF(Deployments!BW461="","",Deployments!BW461)</f>
        <v/>
      </c>
      <c r="Z473" s="19">
        <f>IF(Deployments!U461="","",Deployments!U461)</f>
        <v/>
      </c>
      <c r="AA473" s="19">
        <f>IF(Deployments!L461="","",Deployments!L461)</f>
        <v/>
      </c>
    </row>
    <row r="474">
      <c r="A474" s="20" t="n"/>
      <c r="B474" s="20" t="n"/>
      <c r="C474" s="19">
        <f>IF(Deployments!H462="","",Deployments!H462)</f>
        <v/>
      </c>
      <c r="D474" s="19">
        <f>IF(Deployments!AM462="","",Deployments!AM462)</f>
        <v/>
      </c>
      <c r="E474" s="19">
        <f>IF(Deployments!I462="","",Deployments!I462)</f>
        <v/>
      </c>
      <c r="F474" s="19">
        <f>IF(Deployments!J462="","",Deployments!J462)</f>
        <v/>
      </c>
      <c r="G474" s="19">
        <f>IF(Deployments!K462="","",Deployments!K462)</f>
        <v/>
      </c>
      <c r="H474" s="19">
        <f>IF(Deployments!A462="","",Deployments!A462)</f>
        <v/>
      </c>
      <c r="I474" s="19">
        <f>IF(Deployments!AN462="","",Deployments!AN462)</f>
        <v/>
      </c>
      <c r="J474" s="19">
        <f>IF(Deployments!AO462="","",Deployments!AO462)</f>
        <v/>
      </c>
      <c r="K474" s="19">
        <f>IF(Deployments!AI462="","",Deployments!AI462)</f>
        <v/>
      </c>
      <c r="L474" s="19">
        <f>IF(Deployments!M462="","",Deployments!M462)</f>
        <v/>
      </c>
      <c r="M474" s="20" t="n"/>
      <c r="N474" s="19">
        <f>IF(Deployments!N462="","",Deployments!N462)</f>
        <v/>
      </c>
      <c r="O474" s="19">
        <f>IF(Deployments!O462="","",Deployments!O462)</f>
        <v/>
      </c>
      <c r="P474" s="19">
        <f>IF(Deployments!P462="","",Deployments!P462)</f>
        <v/>
      </c>
      <c r="Q474" s="20" t="n"/>
      <c r="R474" s="19">
        <f>IF(Deployments!BT462="","",Deployments!BT462)</f>
        <v/>
      </c>
      <c r="S474" s="19">
        <f>IF(Deployments!BS462="","",Deployments!BS462)</f>
        <v/>
      </c>
      <c r="T474" s="19">
        <f>IF(Deployments!BB462="","",Deployments!BB462)</f>
        <v/>
      </c>
      <c r="U474" s="19">
        <f>IF(Deployments!BR462="","",Deployments!BR462)</f>
        <v/>
      </c>
      <c r="V474" s="19">
        <f>IF(Deployments!BX462="","",Deployments!BX462)</f>
        <v/>
      </c>
      <c r="W474" s="19">
        <f>IF(Deployments!BY462="","",Deployments!BY462)</f>
        <v/>
      </c>
      <c r="X474" s="19">
        <f>IF(Deployments!CC462="","",Deployments!CC462)</f>
        <v/>
      </c>
      <c r="Y474" s="19">
        <f>IF(Deployments!BW462="","",Deployments!BW462)</f>
        <v/>
      </c>
      <c r="Z474" s="19">
        <f>IF(Deployments!U462="","",Deployments!U462)</f>
        <v/>
      </c>
      <c r="AA474" s="19">
        <f>IF(Deployments!L462="","",Deployments!L462)</f>
        <v/>
      </c>
    </row>
    <row r="475">
      <c r="A475" s="20" t="n"/>
      <c r="B475" s="20" t="n"/>
      <c r="C475" s="19">
        <f>IF(Deployments!H463="","",Deployments!H463)</f>
        <v/>
      </c>
      <c r="D475" s="19">
        <f>IF(Deployments!AM463="","",Deployments!AM463)</f>
        <v/>
      </c>
      <c r="E475" s="19">
        <f>IF(Deployments!I463="","",Deployments!I463)</f>
        <v/>
      </c>
      <c r="F475" s="19">
        <f>IF(Deployments!J463="","",Deployments!J463)</f>
        <v/>
      </c>
      <c r="G475" s="19">
        <f>IF(Deployments!K463="","",Deployments!K463)</f>
        <v/>
      </c>
      <c r="H475" s="19">
        <f>IF(Deployments!A463="","",Deployments!A463)</f>
        <v/>
      </c>
      <c r="I475" s="19">
        <f>IF(Deployments!AN463="","",Deployments!AN463)</f>
        <v/>
      </c>
      <c r="J475" s="19">
        <f>IF(Deployments!AO463="","",Deployments!AO463)</f>
        <v/>
      </c>
      <c r="K475" s="19">
        <f>IF(Deployments!AI463="","",Deployments!AI463)</f>
        <v/>
      </c>
      <c r="L475" s="19">
        <f>IF(Deployments!M463="","",Deployments!M463)</f>
        <v/>
      </c>
      <c r="M475" s="20" t="n"/>
      <c r="N475" s="19">
        <f>IF(Deployments!N463="","",Deployments!N463)</f>
        <v/>
      </c>
      <c r="O475" s="19">
        <f>IF(Deployments!O463="","",Deployments!O463)</f>
        <v/>
      </c>
      <c r="P475" s="19">
        <f>IF(Deployments!P463="","",Deployments!P463)</f>
        <v/>
      </c>
      <c r="Q475" s="20" t="n"/>
      <c r="R475" s="19">
        <f>IF(Deployments!BT463="","",Deployments!BT463)</f>
        <v/>
      </c>
      <c r="S475" s="19">
        <f>IF(Deployments!BS463="","",Deployments!BS463)</f>
        <v/>
      </c>
      <c r="T475" s="19">
        <f>IF(Deployments!BB463="","",Deployments!BB463)</f>
        <v/>
      </c>
      <c r="U475" s="19">
        <f>IF(Deployments!BR463="","",Deployments!BR463)</f>
        <v/>
      </c>
      <c r="V475" s="19">
        <f>IF(Deployments!BX463="","",Deployments!BX463)</f>
        <v/>
      </c>
      <c r="W475" s="19">
        <f>IF(Deployments!BY463="","",Deployments!BY463)</f>
        <v/>
      </c>
      <c r="X475" s="19">
        <f>IF(Deployments!CC463="","",Deployments!CC463)</f>
        <v/>
      </c>
      <c r="Y475" s="19">
        <f>IF(Deployments!BW463="","",Deployments!BW463)</f>
        <v/>
      </c>
      <c r="Z475" s="19">
        <f>IF(Deployments!U463="","",Deployments!U463)</f>
        <v/>
      </c>
      <c r="AA475" s="19">
        <f>IF(Deployments!L463="","",Deployments!L463)</f>
        <v/>
      </c>
    </row>
    <row r="476">
      <c r="A476" s="20" t="n"/>
      <c r="B476" s="20" t="n"/>
      <c r="C476" s="19">
        <f>IF(Deployments!H464="","",Deployments!H464)</f>
        <v/>
      </c>
      <c r="D476" s="19">
        <f>IF(Deployments!AM464="","",Deployments!AM464)</f>
        <v/>
      </c>
      <c r="E476" s="19">
        <f>IF(Deployments!I464="","",Deployments!I464)</f>
        <v/>
      </c>
      <c r="F476" s="19">
        <f>IF(Deployments!J464="","",Deployments!J464)</f>
        <v/>
      </c>
      <c r="G476" s="19">
        <f>IF(Deployments!K464="","",Deployments!K464)</f>
        <v/>
      </c>
      <c r="H476" s="19">
        <f>IF(Deployments!A464="","",Deployments!A464)</f>
        <v/>
      </c>
      <c r="I476" s="19">
        <f>IF(Deployments!AN464="","",Deployments!AN464)</f>
        <v/>
      </c>
      <c r="J476" s="19">
        <f>IF(Deployments!AO464="","",Deployments!AO464)</f>
        <v/>
      </c>
      <c r="K476" s="19">
        <f>IF(Deployments!AI464="","",Deployments!AI464)</f>
        <v/>
      </c>
      <c r="L476" s="19">
        <f>IF(Deployments!M464="","",Deployments!M464)</f>
        <v/>
      </c>
      <c r="M476" s="20" t="n"/>
      <c r="N476" s="19">
        <f>IF(Deployments!N464="","",Deployments!N464)</f>
        <v/>
      </c>
      <c r="O476" s="19">
        <f>IF(Deployments!O464="","",Deployments!O464)</f>
        <v/>
      </c>
      <c r="P476" s="19">
        <f>IF(Deployments!P464="","",Deployments!P464)</f>
        <v/>
      </c>
      <c r="Q476" s="20" t="n"/>
      <c r="R476" s="19">
        <f>IF(Deployments!BT464="","",Deployments!BT464)</f>
        <v/>
      </c>
      <c r="S476" s="19">
        <f>IF(Deployments!BS464="","",Deployments!BS464)</f>
        <v/>
      </c>
      <c r="T476" s="19">
        <f>IF(Deployments!BB464="","",Deployments!BB464)</f>
        <v/>
      </c>
      <c r="U476" s="19">
        <f>IF(Deployments!BR464="","",Deployments!BR464)</f>
        <v/>
      </c>
      <c r="V476" s="19">
        <f>IF(Deployments!BX464="","",Deployments!BX464)</f>
        <v/>
      </c>
      <c r="W476" s="19">
        <f>IF(Deployments!BY464="","",Deployments!BY464)</f>
        <v/>
      </c>
      <c r="X476" s="19">
        <f>IF(Deployments!CC464="","",Deployments!CC464)</f>
        <v/>
      </c>
      <c r="Y476" s="19">
        <f>IF(Deployments!BW464="","",Deployments!BW464)</f>
        <v/>
      </c>
      <c r="Z476" s="19">
        <f>IF(Deployments!U464="","",Deployments!U464)</f>
        <v/>
      </c>
      <c r="AA476" s="19">
        <f>IF(Deployments!L464="","",Deployments!L464)</f>
        <v/>
      </c>
    </row>
    <row r="477">
      <c r="A477" s="20" t="n"/>
      <c r="B477" s="20" t="n"/>
      <c r="C477" s="19">
        <f>IF(Deployments!H465="","",Deployments!H465)</f>
        <v/>
      </c>
      <c r="D477" s="19">
        <f>IF(Deployments!AM465="","",Deployments!AM465)</f>
        <v/>
      </c>
      <c r="E477" s="19">
        <f>IF(Deployments!I465="","",Deployments!I465)</f>
        <v/>
      </c>
      <c r="F477" s="19">
        <f>IF(Deployments!J465="","",Deployments!J465)</f>
        <v/>
      </c>
      <c r="G477" s="19">
        <f>IF(Deployments!K465="","",Deployments!K465)</f>
        <v/>
      </c>
      <c r="H477" s="19">
        <f>IF(Deployments!A465="","",Deployments!A465)</f>
        <v/>
      </c>
      <c r="I477" s="19">
        <f>IF(Deployments!AN465="","",Deployments!AN465)</f>
        <v/>
      </c>
      <c r="J477" s="19">
        <f>IF(Deployments!AO465="","",Deployments!AO465)</f>
        <v/>
      </c>
      <c r="K477" s="19">
        <f>IF(Deployments!AI465="","",Deployments!AI465)</f>
        <v/>
      </c>
      <c r="L477" s="19">
        <f>IF(Deployments!M465="","",Deployments!M465)</f>
        <v/>
      </c>
      <c r="M477" s="20" t="n"/>
      <c r="N477" s="19">
        <f>IF(Deployments!N465="","",Deployments!N465)</f>
        <v/>
      </c>
      <c r="O477" s="19">
        <f>IF(Deployments!O465="","",Deployments!O465)</f>
        <v/>
      </c>
      <c r="P477" s="19">
        <f>IF(Deployments!P465="","",Deployments!P465)</f>
        <v/>
      </c>
      <c r="Q477" s="20" t="n"/>
      <c r="R477" s="19">
        <f>IF(Deployments!BT465="","",Deployments!BT465)</f>
        <v/>
      </c>
      <c r="S477" s="19">
        <f>IF(Deployments!BS465="","",Deployments!BS465)</f>
        <v/>
      </c>
      <c r="T477" s="19">
        <f>IF(Deployments!BB465="","",Deployments!BB465)</f>
        <v/>
      </c>
      <c r="U477" s="19">
        <f>IF(Deployments!BR465="","",Deployments!BR465)</f>
        <v/>
      </c>
      <c r="V477" s="19">
        <f>IF(Deployments!BX465="","",Deployments!BX465)</f>
        <v/>
      </c>
      <c r="W477" s="19">
        <f>IF(Deployments!BY465="","",Deployments!BY465)</f>
        <v/>
      </c>
      <c r="X477" s="19">
        <f>IF(Deployments!CC465="","",Deployments!CC465)</f>
        <v/>
      </c>
      <c r="Y477" s="19">
        <f>IF(Deployments!BW465="","",Deployments!BW465)</f>
        <v/>
      </c>
      <c r="Z477" s="19">
        <f>IF(Deployments!U465="","",Deployments!U465)</f>
        <v/>
      </c>
      <c r="AA477" s="19">
        <f>IF(Deployments!L465="","",Deployments!L465)</f>
        <v/>
      </c>
    </row>
    <row r="478">
      <c r="A478" s="20" t="n"/>
      <c r="B478" s="20" t="n"/>
      <c r="C478" s="19">
        <f>IF(Deployments!H466="","",Deployments!H466)</f>
        <v/>
      </c>
      <c r="D478" s="19">
        <f>IF(Deployments!AM466="","",Deployments!AM466)</f>
        <v/>
      </c>
      <c r="E478" s="19">
        <f>IF(Deployments!I466="","",Deployments!I466)</f>
        <v/>
      </c>
      <c r="F478" s="19">
        <f>IF(Deployments!J466="","",Deployments!J466)</f>
        <v/>
      </c>
      <c r="G478" s="19">
        <f>IF(Deployments!K466="","",Deployments!K466)</f>
        <v/>
      </c>
      <c r="H478" s="19">
        <f>IF(Deployments!A466="","",Deployments!A466)</f>
        <v/>
      </c>
      <c r="I478" s="19">
        <f>IF(Deployments!AN466="","",Deployments!AN466)</f>
        <v/>
      </c>
      <c r="J478" s="19">
        <f>IF(Deployments!AO466="","",Deployments!AO466)</f>
        <v/>
      </c>
      <c r="K478" s="19">
        <f>IF(Deployments!AI466="","",Deployments!AI466)</f>
        <v/>
      </c>
      <c r="L478" s="19">
        <f>IF(Deployments!M466="","",Deployments!M466)</f>
        <v/>
      </c>
      <c r="M478" s="20" t="n"/>
      <c r="N478" s="19">
        <f>IF(Deployments!N466="","",Deployments!N466)</f>
        <v/>
      </c>
      <c r="O478" s="19">
        <f>IF(Deployments!O466="","",Deployments!O466)</f>
        <v/>
      </c>
      <c r="P478" s="19">
        <f>IF(Deployments!P466="","",Deployments!P466)</f>
        <v/>
      </c>
      <c r="Q478" s="20" t="n"/>
      <c r="R478" s="19">
        <f>IF(Deployments!BT466="","",Deployments!BT466)</f>
        <v/>
      </c>
      <c r="S478" s="19">
        <f>IF(Deployments!BS466="","",Deployments!BS466)</f>
        <v/>
      </c>
      <c r="T478" s="19">
        <f>IF(Deployments!BB466="","",Deployments!BB466)</f>
        <v/>
      </c>
      <c r="U478" s="19">
        <f>IF(Deployments!BR466="","",Deployments!BR466)</f>
        <v/>
      </c>
      <c r="V478" s="19">
        <f>IF(Deployments!BX466="","",Deployments!BX466)</f>
        <v/>
      </c>
      <c r="W478" s="19">
        <f>IF(Deployments!BY466="","",Deployments!BY466)</f>
        <v/>
      </c>
      <c r="X478" s="19">
        <f>IF(Deployments!CC466="","",Deployments!CC466)</f>
        <v/>
      </c>
      <c r="Y478" s="19">
        <f>IF(Deployments!BW466="","",Deployments!BW466)</f>
        <v/>
      </c>
      <c r="Z478" s="19">
        <f>IF(Deployments!U466="","",Deployments!U466)</f>
        <v/>
      </c>
      <c r="AA478" s="19">
        <f>IF(Deployments!L466="","",Deployments!L466)</f>
        <v/>
      </c>
    </row>
    <row r="479">
      <c r="A479" s="20" t="n"/>
      <c r="B479" s="20" t="n"/>
      <c r="C479" s="19">
        <f>IF(Deployments!H467="","",Deployments!H467)</f>
        <v/>
      </c>
      <c r="D479" s="19">
        <f>IF(Deployments!AM467="","",Deployments!AM467)</f>
        <v/>
      </c>
      <c r="E479" s="19">
        <f>IF(Deployments!I467="","",Deployments!I467)</f>
        <v/>
      </c>
      <c r="F479" s="19">
        <f>IF(Deployments!J467="","",Deployments!J467)</f>
        <v/>
      </c>
      <c r="G479" s="19">
        <f>IF(Deployments!K467="","",Deployments!K467)</f>
        <v/>
      </c>
      <c r="H479" s="19">
        <f>IF(Deployments!A467="","",Deployments!A467)</f>
        <v/>
      </c>
      <c r="I479" s="19">
        <f>IF(Deployments!AN467="","",Deployments!AN467)</f>
        <v/>
      </c>
      <c r="J479" s="19">
        <f>IF(Deployments!AO467="","",Deployments!AO467)</f>
        <v/>
      </c>
      <c r="K479" s="19">
        <f>IF(Deployments!AI467="","",Deployments!AI467)</f>
        <v/>
      </c>
      <c r="L479" s="19">
        <f>IF(Deployments!M467="","",Deployments!M467)</f>
        <v/>
      </c>
      <c r="M479" s="20" t="n"/>
      <c r="N479" s="19">
        <f>IF(Deployments!N467="","",Deployments!N467)</f>
        <v/>
      </c>
      <c r="O479" s="19">
        <f>IF(Deployments!O467="","",Deployments!O467)</f>
        <v/>
      </c>
      <c r="P479" s="19">
        <f>IF(Deployments!P467="","",Deployments!P467)</f>
        <v/>
      </c>
      <c r="Q479" s="20" t="n"/>
      <c r="R479" s="19">
        <f>IF(Deployments!BT467="","",Deployments!BT467)</f>
        <v/>
      </c>
      <c r="S479" s="19">
        <f>IF(Deployments!BS467="","",Deployments!BS467)</f>
        <v/>
      </c>
      <c r="T479" s="19">
        <f>IF(Deployments!BB467="","",Deployments!BB467)</f>
        <v/>
      </c>
      <c r="U479" s="19">
        <f>IF(Deployments!BR467="","",Deployments!BR467)</f>
        <v/>
      </c>
      <c r="V479" s="19">
        <f>IF(Deployments!BX467="","",Deployments!BX467)</f>
        <v/>
      </c>
      <c r="W479" s="19">
        <f>IF(Deployments!BY467="","",Deployments!BY467)</f>
        <v/>
      </c>
      <c r="X479" s="19">
        <f>IF(Deployments!CC467="","",Deployments!CC467)</f>
        <v/>
      </c>
      <c r="Y479" s="19">
        <f>IF(Deployments!BW467="","",Deployments!BW467)</f>
        <v/>
      </c>
      <c r="Z479" s="19">
        <f>IF(Deployments!U467="","",Deployments!U467)</f>
        <v/>
      </c>
      <c r="AA479" s="19">
        <f>IF(Deployments!L467="","",Deployments!L467)</f>
        <v/>
      </c>
    </row>
    <row r="480">
      <c r="A480" s="20" t="n"/>
      <c r="B480" s="20" t="n"/>
      <c r="C480" s="19">
        <f>IF(Deployments!H468="","",Deployments!H468)</f>
        <v/>
      </c>
      <c r="D480" s="19">
        <f>IF(Deployments!AM468="","",Deployments!AM468)</f>
        <v/>
      </c>
      <c r="E480" s="19">
        <f>IF(Deployments!I468="","",Deployments!I468)</f>
        <v/>
      </c>
      <c r="F480" s="19">
        <f>IF(Deployments!J468="","",Deployments!J468)</f>
        <v/>
      </c>
      <c r="G480" s="19">
        <f>IF(Deployments!K468="","",Deployments!K468)</f>
        <v/>
      </c>
      <c r="H480" s="19">
        <f>IF(Deployments!A468="","",Deployments!A468)</f>
        <v/>
      </c>
      <c r="I480" s="19">
        <f>IF(Deployments!AN468="","",Deployments!AN468)</f>
        <v/>
      </c>
      <c r="J480" s="19">
        <f>IF(Deployments!AO468="","",Deployments!AO468)</f>
        <v/>
      </c>
      <c r="K480" s="19">
        <f>IF(Deployments!AI468="","",Deployments!AI468)</f>
        <v/>
      </c>
      <c r="L480" s="19">
        <f>IF(Deployments!M468="","",Deployments!M468)</f>
        <v/>
      </c>
      <c r="M480" s="20" t="n"/>
      <c r="N480" s="19">
        <f>IF(Deployments!N468="","",Deployments!N468)</f>
        <v/>
      </c>
      <c r="O480" s="19">
        <f>IF(Deployments!O468="","",Deployments!O468)</f>
        <v/>
      </c>
      <c r="P480" s="19">
        <f>IF(Deployments!P468="","",Deployments!P468)</f>
        <v/>
      </c>
      <c r="Q480" s="20" t="n"/>
      <c r="R480" s="19">
        <f>IF(Deployments!BT468="","",Deployments!BT468)</f>
        <v/>
      </c>
      <c r="S480" s="19">
        <f>IF(Deployments!BS468="","",Deployments!BS468)</f>
        <v/>
      </c>
      <c r="T480" s="19">
        <f>IF(Deployments!BB468="","",Deployments!BB468)</f>
        <v/>
      </c>
      <c r="U480" s="19">
        <f>IF(Deployments!BR468="","",Deployments!BR468)</f>
        <v/>
      </c>
      <c r="V480" s="19">
        <f>IF(Deployments!BX468="","",Deployments!BX468)</f>
        <v/>
      </c>
      <c r="W480" s="19">
        <f>IF(Deployments!BY468="","",Deployments!BY468)</f>
        <v/>
      </c>
      <c r="X480" s="19">
        <f>IF(Deployments!CC468="","",Deployments!CC468)</f>
        <v/>
      </c>
      <c r="Y480" s="19">
        <f>IF(Deployments!BW468="","",Deployments!BW468)</f>
        <v/>
      </c>
      <c r="Z480" s="19">
        <f>IF(Deployments!U468="","",Deployments!U468)</f>
        <v/>
      </c>
      <c r="AA480" s="19">
        <f>IF(Deployments!L468="","",Deployments!L468)</f>
        <v/>
      </c>
    </row>
    <row r="481">
      <c r="A481" s="20" t="n"/>
      <c r="B481" s="20" t="n"/>
      <c r="C481" s="19">
        <f>IF(Deployments!H469="","",Deployments!H469)</f>
        <v/>
      </c>
      <c r="D481" s="19">
        <f>IF(Deployments!AM469="","",Deployments!AM469)</f>
        <v/>
      </c>
      <c r="E481" s="19">
        <f>IF(Deployments!I469="","",Deployments!I469)</f>
        <v/>
      </c>
      <c r="F481" s="19">
        <f>IF(Deployments!J469="","",Deployments!J469)</f>
        <v/>
      </c>
      <c r="G481" s="19">
        <f>IF(Deployments!K469="","",Deployments!K469)</f>
        <v/>
      </c>
      <c r="H481" s="19">
        <f>IF(Deployments!A469="","",Deployments!A469)</f>
        <v/>
      </c>
      <c r="I481" s="19">
        <f>IF(Deployments!AN469="","",Deployments!AN469)</f>
        <v/>
      </c>
      <c r="J481" s="19">
        <f>IF(Deployments!AO469="","",Deployments!AO469)</f>
        <v/>
      </c>
      <c r="K481" s="19">
        <f>IF(Deployments!AI469="","",Deployments!AI469)</f>
        <v/>
      </c>
      <c r="L481" s="19">
        <f>IF(Deployments!M469="","",Deployments!M469)</f>
        <v/>
      </c>
      <c r="M481" s="20" t="n"/>
      <c r="N481" s="19">
        <f>IF(Deployments!N469="","",Deployments!N469)</f>
        <v/>
      </c>
      <c r="O481" s="19">
        <f>IF(Deployments!O469="","",Deployments!O469)</f>
        <v/>
      </c>
      <c r="P481" s="19">
        <f>IF(Deployments!P469="","",Deployments!P469)</f>
        <v/>
      </c>
      <c r="Q481" s="20" t="n"/>
      <c r="R481" s="19">
        <f>IF(Deployments!BT469="","",Deployments!BT469)</f>
        <v/>
      </c>
      <c r="S481" s="19">
        <f>IF(Deployments!BS469="","",Deployments!BS469)</f>
        <v/>
      </c>
      <c r="T481" s="19">
        <f>IF(Deployments!BB469="","",Deployments!BB469)</f>
        <v/>
      </c>
      <c r="U481" s="19">
        <f>IF(Deployments!BR469="","",Deployments!BR469)</f>
        <v/>
      </c>
      <c r="V481" s="19">
        <f>IF(Deployments!BX469="","",Deployments!BX469)</f>
        <v/>
      </c>
      <c r="W481" s="19">
        <f>IF(Deployments!BY469="","",Deployments!BY469)</f>
        <v/>
      </c>
      <c r="X481" s="19">
        <f>IF(Deployments!CC469="","",Deployments!CC469)</f>
        <v/>
      </c>
      <c r="Y481" s="19">
        <f>IF(Deployments!BW469="","",Deployments!BW469)</f>
        <v/>
      </c>
      <c r="Z481" s="19">
        <f>IF(Deployments!U469="","",Deployments!U469)</f>
        <v/>
      </c>
      <c r="AA481" s="19">
        <f>IF(Deployments!L469="","",Deployments!L469)</f>
        <v/>
      </c>
    </row>
    <row r="482">
      <c r="A482" s="20" t="n"/>
      <c r="B482" s="20" t="n"/>
      <c r="C482" s="19">
        <f>IF(Deployments!H470="","",Deployments!H470)</f>
        <v/>
      </c>
      <c r="D482" s="19">
        <f>IF(Deployments!AM470="","",Deployments!AM470)</f>
        <v/>
      </c>
      <c r="E482" s="19">
        <f>IF(Deployments!I470="","",Deployments!I470)</f>
        <v/>
      </c>
      <c r="F482" s="19">
        <f>IF(Deployments!J470="","",Deployments!J470)</f>
        <v/>
      </c>
      <c r="G482" s="19">
        <f>IF(Deployments!K470="","",Deployments!K470)</f>
        <v/>
      </c>
      <c r="H482" s="19">
        <f>IF(Deployments!A470="","",Deployments!A470)</f>
        <v/>
      </c>
      <c r="I482" s="19">
        <f>IF(Deployments!AN470="","",Deployments!AN470)</f>
        <v/>
      </c>
      <c r="J482" s="19">
        <f>IF(Deployments!AO470="","",Deployments!AO470)</f>
        <v/>
      </c>
      <c r="K482" s="19">
        <f>IF(Deployments!AI470="","",Deployments!AI470)</f>
        <v/>
      </c>
      <c r="L482" s="19">
        <f>IF(Deployments!M470="","",Deployments!M470)</f>
        <v/>
      </c>
      <c r="M482" s="20" t="n"/>
      <c r="N482" s="19">
        <f>IF(Deployments!N470="","",Deployments!N470)</f>
        <v/>
      </c>
      <c r="O482" s="19">
        <f>IF(Deployments!O470="","",Deployments!O470)</f>
        <v/>
      </c>
      <c r="P482" s="19">
        <f>IF(Deployments!P470="","",Deployments!P470)</f>
        <v/>
      </c>
      <c r="Q482" s="20" t="n"/>
      <c r="R482" s="19">
        <f>IF(Deployments!BT470="","",Deployments!BT470)</f>
        <v/>
      </c>
      <c r="S482" s="19">
        <f>IF(Deployments!BS470="","",Deployments!BS470)</f>
        <v/>
      </c>
      <c r="T482" s="19">
        <f>IF(Deployments!BB470="","",Deployments!BB470)</f>
        <v/>
      </c>
      <c r="U482" s="19">
        <f>IF(Deployments!BR470="","",Deployments!BR470)</f>
        <v/>
      </c>
      <c r="V482" s="19">
        <f>IF(Deployments!BX470="","",Deployments!BX470)</f>
        <v/>
      </c>
      <c r="W482" s="19">
        <f>IF(Deployments!BY470="","",Deployments!BY470)</f>
        <v/>
      </c>
      <c r="X482" s="19">
        <f>IF(Deployments!CC470="","",Deployments!CC470)</f>
        <v/>
      </c>
      <c r="Y482" s="19">
        <f>IF(Deployments!BW470="","",Deployments!BW470)</f>
        <v/>
      </c>
      <c r="Z482" s="19">
        <f>IF(Deployments!U470="","",Deployments!U470)</f>
        <v/>
      </c>
      <c r="AA482" s="19">
        <f>IF(Deployments!L470="","",Deployments!L470)</f>
        <v/>
      </c>
    </row>
    <row r="483">
      <c r="A483" s="20" t="n"/>
      <c r="B483" s="20" t="n"/>
      <c r="C483" s="19">
        <f>IF(Deployments!H471="","",Deployments!H471)</f>
        <v/>
      </c>
      <c r="D483" s="19">
        <f>IF(Deployments!AM471="","",Deployments!AM471)</f>
        <v/>
      </c>
      <c r="E483" s="19">
        <f>IF(Deployments!I471="","",Deployments!I471)</f>
        <v/>
      </c>
      <c r="F483" s="19">
        <f>IF(Deployments!J471="","",Deployments!J471)</f>
        <v/>
      </c>
      <c r="G483" s="19">
        <f>IF(Deployments!K471="","",Deployments!K471)</f>
        <v/>
      </c>
      <c r="H483" s="19">
        <f>IF(Deployments!A471="","",Deployments!A471)</f>
        <v/>
      </c>
      <c r="I483" s="19">
        <f>IF(Deployments!AN471="","",Deployments!AN471)</f>
        <v/>
      </c>
      <c r="J483" s="19">
        <f>IF(Deployments!AO471="","",Deployments!AO471)</f>
        <v/>
      </c>
      <c r="K483" s="19">
        <f>IF(Deployments!AI471="","",Deployments!AI471)</f>
        <v/>
      </c>
      <c r="L483" s="19">
        <f>IF(Deployments!M471="","",Deployments!M471)</f>
        <v/>
      </c>
      <c r="M483" s="20" t="n"/>
      <c r="N483" s="19">
        <f>IF(Deployments!N471="","",Deployments!N471)</f>
        <v/>
      </c>
      <c r="O483" s="19">
        <f>IF(Deployments!O471="","",Deployments!O471)</f>
        <v/>
      </c>
      <c r="P483" s="19">
        <f>IF(Deployments!P471="","",Deployments!P471)</f>
        <v/>
      </c>
      <c r="Q483" s="20" t="n"/>
      <c r="R483" s="19">
        <f>IF(Deployments!BT471="","",Deployments!BT471)</f>
        <v/>
      </c>
      <c r="S483" s="19">
        <f>IF(Deployments!BS471="","",Deployments!BS471)</f>
        <v/>
      </c>
      <c r="T483" s="19">
        <f>IF(Deployments!BB471="","",Deployments!BB471)</f>
        <v/>
      </c>
      <c r="U483" s="19">
        <f>IF(Deployments!BR471="","",Deployments!BR471)</f>
        <v/>
      </c>
      <c r="V483" s="19">
        <f>IF(Deployments!BX471="","",Deployments!BX471)</f>
        <v/>
      </c>
      <c r="W483" s="19">
        <f>IF(Deployments!BY471="","",Deployments!BY471)</f>
        <v/>
      </c>
      <c r="X483" s="19">
        <f>IF(Deployments!CC471="","",Deployments!CC471)</f>
        <v/>
      </c>
      <c r="Y483" s="19">
        <f>IF(Deployments!BW471="","",Deployments!BW471)</f>
        <v/>
      </c>
      <c r="Z483" s="19">
        <f>IF(Deployments!U471="","",Deployments!U471)</f>
        <v/>
      </c>
      <c r="AA483" s="19">
        <f>IF(Deployments!L471="","",Deployments!L471)</f>
        <v/>
      </c>
    </row>
    <row r="484">
      <c r="A484" s="20" t="n"/>
      <c r="B484" s="20" t="n"/>
      <c r="C484" s="19">
        <f>IF(Deployments!H472="","",Deployments!H472)</f>
        <v/>
      </c>
      <c r="D484" s="19">
        <f>IF(Deployments!AM472="","",Deployments!AM472)</f>
        <v/>
      </c>
      <c r="E484" s="19">
        <f>IF(Deployments!I472="","",Deployments!I472)</f>
        <v/>
      </c>
      <c r="F484" s="19">
        <f>IF(Deployments!J472="","",Deployments!J472)</f>
        <v/>
      </c>
      <c r="G484" s="19">
        <f>IF(Deployments!K472="","",Deployments!K472)</f>
        <v/>
      </c>
      <c r="H484" s="19">
        <f>IF(Deployments!A472="","",Deployments!A472)</f>
        <v/>
      </c>
      <c r="I484" s="19">
        <f>IF(Deployments!AN472="","",Deployments!AN472)</f>
        <v/>
      </c>
      <c r="J484" s="19">
        <f>IF(Deployments!AO472="","",Deployments!AO472)</f>
        <v/>
      </c>
      <c r="K484" s="19">
        <f>IF(Deployments!AI472="","",Deployments!AI472)</f>
        <v/>
      </c>
      <c r="L484" s="19">
        <f>IF(Deployments!M472="","",Deployments!M472)</f>
        <v/>
      </c>
      <c r="M484" s="20" t="n"/>
      <c r="N484" s="19">
        <f>IF(Deployments!N472="","",Deployments!N472)</f>
        <v/>
      </c>
      <c r="O484" s="19">
        <f>IF(Deployments!O472="","",Deployments!O472)</f>
        <v/>
      </c>
      <c r="P484" s="19">
        <f>IF(Deployments!P472="","",Deployments!P472)</f>
        <v/>
      </c>
      <c r="Q484" s="20" t="n"/>
      <c r="R484" s="19">
        <f>IF(Deployments!BT472="","",Deployments!BT472)</f>
        <v/>
      </c>
      <c r="S484" s="19">
        <f>IF(Deployments!BS472="","",Deployments!BS472)</f>
        <v/>
      </c>
      <c r="T484" s="19">
        <f>IF(Deployments!BB472="","",Deployments!BB472)</f>
        <v/>
      </c>
      <c r="U484" s="19">
        <f>IF(Deployments!BR472="","",Deployments!BR472)</f>
        <v/>
      </c>
      <c r="V484" s="19">
        <f>IF(Deployments!BX472="","",Deployments!BX472)</f>
        <v/>
      </c>
      <c r="W484" s="19">
        <f>IF(Deployments!BY472="","",Deployments!BY472)</f>
        <v/>
      </c>
      <c r="X484" s="19">
        <f>IF(Deployments!CC472="","",Deployments!CC472)</f>
        <v/>
      </c>
      <c r="Y484" s="19">
        <f>IF(Deployments!BW472="","",Deployments!BW472)</f>
        <v/>
      </c>
      <c r="Z484" s="19">
        <f>IF(Deployments!U472="","",Deployments!U472)</f>
        <v/>
      </c>
      <c r="AA484" s="19">
        <f>IF(Deployments!L472="","",Deployments!L472)</f>
        <v/>
      </c>
    </row>
    <row r="485">
      <c r="A485" s="20" t="n"/>
      <c r="B485" s="20" t="n"/>
      <c r="C485" s="19">
        <f>IF(Deployments!H473="","",Deployments!H473)</f>
        <v/>
      </c>
      <c r="D485" s="19">
        <f>IF(Deployments!AM473="","",Deployments!AM473)</f>
        <v/>
      </c>
      <c r="E485" s="19">
        <f>IF(Deployments!I473="","",Deployments!I473)</f>
        <v/>
      </c>
      <c r="F485" s="19">
        <f>IF(Deployments!J473="","",Deployments!J473)</f>
        <v/>
      </c>
      <c r="G485" s="19">
        <f>IF(Deployments!K473="","",Deployments!K473)</f>
        <v/>
      </c>
      <c r="H485" s="19">
        <f>IF(Deployments!A473="","",Deployments!A473)</f>
        <v/>
      </c>
      <c r="I485" s="19">
        <f>IF(Deployments!AN473="","",Deployments!AN473)</f>
        <v/>
      </c>
      <c r="J485" s="19">
        <f>IF(Deployments!AO473="","",Deployments!AO473)</f>
        <v/>
      </c>
      <c r="K485" s="19">
        <f>IF(Deployments!AI473="","",Deployments!AI473)</f>
        <v/>
      </c>
      <c r="L485" s="19">
        <f>IF(Deployments!M473="","",Deployments!M473)</f>
        <v/>
      </c>
      <c r="M485" s="20" t="n"/>
      <c r="N485" s="19">
        <f>IF(Deployments!N473="","",Deployments!N473)</f>
        <v/>
      </c>
      <c r="O485" s="19">
        <f>IF(Deployments!O473="","",Deployments!O473)</f>
        <v/>
      </c>
      <c r="P485" s="19">
        <f>IF(Deployments!P473="","",Deployments!P473)</f>
        <v/>
      </c>
      <c r="Q485" s="20" t="n"/>
      <c r="R485" s="19">
        <f>IF(Deployments!BT473="","",Deployments!BT473)</f>
        <v/>
      </c>
      <c r="S485" s="19">
        <f>IF(Deployments!BS473="","",Deployments!BS473)</f>
        <v/>
      </c>
      <c r="T485" s="19">
        <f>IF(Deployments!BB473="","",Deployments!BB473)</f>
        <v/>
      </c>
      <c r="U485" s="19">
        <f>IF(Deployments!BR473="","",Deployments!BR473)</f>
        <v/>
      </c>
      <c r="V485" s="19">
        <f>IF(Deployments!BX473="","",Deployments!BX473)</f>
        <v/>
      </c>
      <c r="W485" s="19">
        <f>IF(Deployments!BY473="","",Deployments!BY473)</f>
        <v/>
      </c>
      <c r="X485" s="19">
        <f>IF(Deployments!CC473="","",Deployments!CC473)</f>
        <v/>
      </c>
      <c r="Y485" s="19">
        <f>IF(Deployments!BW473="","",Deployments!BW473)</f>
        <v/>
      </c>
      <c r="Z485" s="19">
        <f>IF(Deployments!U473="","",Deployments!U473)</f>
        <v/>
      </c>
      <c r="AA485" s="19">
        <f>IF(Deployments!L473="","",Deployments!L473)</f>
        <v/>
      </c>
    </row>
    <row r="486">
      <c r="A486" s="20" t="n"/>
      <c r="B486" s="20" t="n"/>
      <c r="C486" s="19">
        <f>IF(Deployments!H474="","",Deployments!H474)</f>
        <v/>
      </c>
      <c r="D486" s="19">
        <f>IF(Deployments!AM474="","",Deployments!AM474)</f>
        <v/>
      </c>
      <c r="E486" s="19">
        <f>IF(Deployments!I474="","",Deployments!I474)</f>
        <v/>
      </c>
      <c r="F486" s="19">
        <f>IF(Deployments!J474="","",Deployments!J474)</f>
        <v/>
      </c>
      <c r="G486" s="19">
        <f>IF(Deployments!K474="","",Deployments!K474)</f>
        <v/>
      </c>
      <c r="H486" s="19">
        <f>IF(Deployments!A474="","",Deployments!A474)</f>
        <v/>
      </c>
      <c r="I486" s="19">
        <f>IF(Deployments!AN474="","",Deployments!AN474)</f>
        <v/>
      </c>
      <c r="J486" s="19">
        <f>IF(Deployments!AO474="","",Deployments!AO474)</f>
        <v/>
      </c>
      <c r="K486" s="19">
        <f>IF(Deployments!AI474="","",Deployments!AI474)</f>
        <v/>
      </c>
      <c r="L486" s="19">
        <f>IF(Deployments!M474="","",Deployments!M474)</f>
        <v/>
      </c>
      <c r="M486" s="20" t="n"/>
      <c r="N486" s="19">
        <f>IF(Deployments!N474="","",Deployments!N474)</f>
        <v/>
      </c>
      <c r="O486" s="19">
        <f>IF(Deployments!O474="","",Deployments!O474)</f>
        <v/>
      </c>
      <c r="P486" s="19">
        <f>IF(Deployments!P474="","",Deployments!P474)</f>
        <v/>
      </c>
      <c r="Q486" s="20" t="n"/>
      <c r="R486" s="19">
        <f>IF(Deployments!BT474="","",Deployments!BT474)</f>
        <v/>
      </c>
      <c r="S486" s="19">
        <f>IF(Deployments!BS474="","",Deployments!BS474)</f>
        <v/>
      </c>
      <c r="T486" s="19">
        <f>IF(Deployments!BB474="","",Deployments!BB474)</f>
        <v/>
      </c>
      <c r="U486" s="19">
        <f>IF(Deployments!BR474="","",Deployments!BR474)</f>
        <v/>
      </c>
      <c r="V486" s="19">
        <f>IF(Deployments!BX474="","",Deployments!BX474)</f>
        <v/>
      </c>
      <c r="W486" s="19">
        <f>IF(Deployments!BY474="","",Deployments!BY474)</f>
        <v/>
      </c>
      <c r="X486" s="19">
        <f>IF(Deployments!CC474="","",Deployments!CC474)</f>
        <v/>
      </c>
      <c r="Y486" s="19">
        <f>IF(Deployments!BW474="","",Deployments!BW474)</f>
        <v/>
      </c>
      <c r="Z486" s="19">
        <f>IF(Deployments!U474="","",Deployments!U474)</f>
        <v/>
      </c>
      <c r="AA486" s="19">
        <f>IF(Deployments!L474="","",Deployments!L474)</f>
        <v/>
      </c>
    </row>
    <row r="487">
      <c r="A487" s="20" t="n"/>
      <c r="B487" s="20" t="n"/>
      <c r="C487" s="19">
        <f>IF(Deployments!H475="","",Deployments!H475)</f>
        <v/>
      </c>
      <c r="D487" s="19">
        <f>IF(Deployments!AM475="","",Deployments!AM475)</f>
        <v/>
      </c>
      <c r="E487" s="19">
        <f>IF(Deployments!I475="","",Deployments!I475)</f>
        <v/>
      </c>
      <c r="F487" s="19">
        <f>IF(Deployments!J475="","",Deployments!J475)</f>
        <v/>
      </c>
      <c r="G487" s="19">
        <f>IF(Deployments!K475="","",Deployments!K475)</f>
        <v/>
      </c>
      <c r="H487" s="19">
        <f>IF(Deployments!A475="","",Deployments!A475)</f>
        <v/>
      </c>
      <c r="I487" s="19">
        <f>IF(Deployments!AN475="","",Deployments!AN475)</f>
        <v/>
      </c>
      <c r="J487" s="19">
        <f>IF(Deployments!AO475="","",Deployments!AO475)</f>
        <v/>
      </c>
      <c r="K487" s="19">
        <f>IF(Deployments!AI475="","",Deployments!AI475)</f>
        <v/>
      </c>
      <c r="L487" s="19">
        <f>IF(Deployments!M475="","",Deployments!M475)</f>
        <v/>
      </c>
      <c r="M487" s="20" t="n"/>
      <c r="N487" s="19">
        <f>IF(Deployments!N475="","",Deployments!N475)</f>
        <v/>
      </c>
      <c r="O487" s="19">
        <f>IF(Deployments!O475="","",Deployments!O475)</f>
        <v/>
      </c>
      <c r="P487" s="19">
        <f>IF(Deployments!P475="","",Deployments!P475)</f>
        <v/>
      </c>
      <c r="Q487" s="20" t="n"/>
      <c r="R487" s="19">
        <f>IF(Deployments!BT475="","",Deployments!BT475)</f>
        <v/>
      </c>
      <c r="S487" s="19">
        <f>IF(Deployments!BS475="","",Deployments!BS475)</f>
        <v/>
      </c>
      <c r="T487" s="19">
        <f>IF(Deployments!BB475="","",Deployments!BB475)</f>
        <v/>
      </c>
      <c r="U487" s="19">
        <f>IF(Deployments!BR475="","",Deployments!BR475)</f>
        <v/>
      </c>
      <c r="V487" s="19">
        <f>IF(Deployments!BX475="","",Deployments!BX475)</f>
        <v/>
      </c>
      <c r="W487" s="19">
        <f>IF(Deployments!BY475="","",Deployments!BY475)</f>
        <v/>
      </c>
      <c r="X487" s="19">
        <f>IF(Deployments!CC475="","",Deployments!CC475)</f>
        <v/>
      </c>
      <c r="Y487" s="19">
        <f>IF(Deployments!BW475="","",Deployments!BW475)</f>
        <v/>
      </c>
      <c r="Z487" s="19">
        <f>IF(Deployments!U475="","",Deployments!U475)</f>
        <v/>
      </c>
      <c r="AA487" s="19">
        <f>IF(Deployments!L475="","",Deployments!L475)</f>
        <v/>
      </c>
    </row>
    <row r="488">
      <c r="A488" s="20" t="n"/>
      <c r="B488" s="20" t="n"/>
      <c r="C488" s="19">
        <f>IF(Deployments!H476="","",Deployments!H476)</f>
        <v/>
      </c>
      <c r="D488" s="19">
        <f>IF(Deployments!AM476="","",Deployments!AM476)</f>
        <v/>
      </c>
      <c r="E488" s="19">
        <f>IF(Deployments!I476="","",Deployments!I476)</f>
        <v/>
      </c>
      <c r="F488" s="19">
        <f>IF(Deployments!J476="","",Deployments!J476)</f>
        <v/>
      </c>
      <c r="G488" s="19">
        <f>IF(Deployments!K476="","",Deployments!K476)</f>
        <v/>
      </c>
      <c r="H488" s="19">
        <f>IF(Deployments!A476="","",Deployments!A476)</f>
        <v/>
      </c>
      <c r="I488" s="19">
        <f>IF(Deployments!AN476="","",Deployments!AN476)</f>
        <v/>
      </c>
      <c r="J488" s="19">
        <f>IF(Deployments!AO476="","",Deployments!AO476)</f>
        <v/>
      </c>
      <c r="K488" s="19">
        <f>IF(Deployments!AI476="","",Deployments!AI476)</f>
        <v/>
      </c>
      <c r="L488" s="19">
        <f>IF(Deployments!M476="","",Deployments!M476)</f>
        <v/>
      </c>
      <c r="M488" s="20" t="n"/>
      <c r="N488" s="19">
        <f>IF(Deployments!N476="","",Deployments!N476)</f>
        <v/>
      </c>
      <c r="O488" s="19">
        <f>IF(Deployments!O476="","",Deployments!O476)</f>
        <v/>
      </c>
      <c r="P488" s="19">
        <f>IF(Deployments!P476="","",Deployments!P476)</f>
        <v/>
      </c>
      <c r="Q488" s="20" t="n"/>
      <c r="R488" s="19">
        <f>IF(Deployments!BT476="","",Deployments!BT476)</f>
        <v/>
      </c>
      <c r="S488" s="19">
        <f>IF(Deployments!BS476="","",Deployments!BS476)</f>
        <v/>
      </c>
      <c r="T488" s="19">
        <f>IF(Deployments!BB476="","",Deployments!BB476)</f>
        <v/>
      </c>
      <c r="U488" s="19">
        <f>IF(Deployments!BR476="","",Deployments!BR476)</f>
        <v/>
      </c>
      <c r="V488" s="19">
        <f>IF(Deployments!BX476="","",Deployments!BX476)</f>
        <v/>
      </c>
      <c r="W488" s="19">
        <f>IF(Deployments!BY476="","",Deployments!BY476)</f>
        <v/>
      </c>
      <c r="X488" s="19">
        <f>IF(Deployments!CC476="","",Deployments!CC476)</f>
        <v/>
      </c>
      <c r="Y488" s="19">
        <f>IF(Deployments!BW476="","",Deployments!BW476)</f>
        <v/>
      </c>
      <c r="Z488" s="19">
        <f>IF(Deployments!U476="","",Deployments!U476)</f>
        <v/>
      </c>
      <c r="AA488" s="19">
        <f>IF(Deployments!L476="","",Deployments!L476)</f>
        <v/>
      </c>
    </row>
    <row r="489">
      <c r="A489" s="20" t="n"/>
      <c r="B489" s="20" t="n"/>
      <c r="C489" s="19">
        <f>IF(Deployments!H477="","",Deployments!H477)</f>
        <v/>
      </c>
      <c r="D489" s="19">
        <f>IF(Deployments!AM477="","",Deployments!AM477)</f>
        <v/>
      </c>
      <c r="E489" s="19">
        <f>IF(Deployments!I477="","",Deployments!I477)</f>
        <v/>
      </c>
      <c r="F489" s="19">
        <f>IF(Deployments!J477="","",Deployments!J477)</f>
        <v/>
      </c>
      <c r="G489" s="19">
        <f>IF(Deployments!K477="","",Deployments!K477)</f>
        <v/>
      </c>
      <c r="H489" s="19">
        <f>IF(Deployments!A477="","",Deployments!A477)</f>
        <v/>
      </c>
      <c r="I489" s="19">
        <f>IF(Deployments!AN477="","",Deployments!AN477)</f>
        <v/>
      </c>
      <c r="J489" s="19">
        <f>IF(Deployments!AO477="","",Deployments!AO477)</f>
        <v/>
      </c>
      <c r="K489" s="19">
        <f>IF(Deployments!AI477="","",Deployments!AI477)</f>
        <v/>
      </c>
      <c r="L489" s="19">
        <f>IF(Deployments!M477="","",Deployments!M477)</f>
        <v/>
      </c>
      <c r="M489" s="20" t="n"/>
      <c r="N489" s="19">
        <f>IF(Deployments!N477="","",Deployments!N477)</f>
        <v/>
      </c>
      <c r="O489" s="19">
        <f>IF(Deployments!O477="","",Deployments!O477)</f>
        <v/>
      </c>
      <c r="P489" s="19">
        <f>IF(Deployments!P477="","",Deployments!P477)</f>
        <v/>
      </c>
      <c r="Q489" s="20" t="n"/>
      <c r="R489" s="19">
        <f>IF(Deployments!BT477="","",Deployments!BT477)</f>
        <v/>
      </c>
      <c r="S489" s="19">
        <f>IF(Deployments!BS477="","",Deployments!BS477)</f>
        <v/>
      </c>
      <c r="T489" s="19">
        <f>IF(Deployments!BB477="","",Deployments!BB477)</f>
        <v/>
      </c>
      <c r="U489" s="19">
        <f>IF(Deployments!BR477="","",Deployments!BR477)</f>
        <v/>
      </c>
      <c r="V489" s="19">
        <f>IF(Deployments!BX477="","",Deployments!BX477)</f>
        <v/>
      </c>
      <c r="W489" s="19">
        <f>IF(Deployments!BY477="","",Deployments!BY477)</f>
        <v/>
      </c>
      <c r="X489" s="19">
        <f>IF(Deployments!CC477="","",Deployments!CC477)</f>
        <v/>
      </c>
      <c r="Y489" s="19">
        <f>IF(Deployments!BW477="","",Deployments!BW477)</f>
        <v/>
      </c>
      <c r="Z489" s="19">
        <f>IF(Deployments!U477="","",Deployments!U477)</f>
        <v/>
      </c>
      <c r="AA489" s="19">
        <f>IF(Deployments!L477="","",Deployments!L477)</f>
        <v/>
      </c>
    </row>
    <row r="490">
      <c r="A490" s="20" t="n"/>
      <c r="B490" s="20" t="n"/>
      <c r="C490" s="19">
        <f>IF(Deployments!H478="","",Deployments!H478)</f>
        <v/>
      </c>
      <c r="D490" s="19">
        <f>IF(Deployments!AM478="","",Deployments!AM478)</f>
        <v/>
      </c>
      <c r="E490" s="19">
        <f>IF(Deployments!I478="","",Deployments!I478)</f>
        <v/>
      </c>
      <c r="F490" s="19">
        <f>IF(Deployments!J478="","",Deployments!J478)</f>
        <v/>
      </c>
      <c r="G490" s="19">
        <f>IF(Deployments!K478="","",Deployments!K478)</f>
        <v/>
      </c>
      <c r="H490" s="19">
        <f>IF(Deployments!A478="","",Deployments!A478)</f>
        <v/>
      </c>
      <c r="I490" s="19">
        <f>IF(Deployments!AN478="","",Deployments!AN478)</f>
        <v/>
      </c>
      <c r="J490" s="19">
        <f>IF(Deployments!AO478="","",Deployments!AO478)</f>
        <v/>
      </c>
      <c r="K490" s="19">
        <f>IF(Deployments!AI478="","",Deployments!AI478)</f>
        <v/>
      </c>
      <c r="L490" s="19">
        <f>IF(Deployments!M478="","",Deployments!M478)</f>
        <v/>
      </c>
      <c r="M490" s="20" t="n"/>
      <c r="N490" s="19">
        <f>IF(Deployments!N478="","",Deployments!N478)</f>
        <v/>
      </c>
      <c r="O490" s="19">
        <f>IF(Deployments!O478="","",Deployments!O478)</f>
        <v/>
      </c>
      <c r="P490" s="19">
        <f>IF(Deployments!P478="","",Deployments!P478)</f>
        <v/>
      </c>
      <c r="Q490" s="20" t="n"/>
      <c r="R490" s="19">
        <f>IF(Deployments!BT478="","",Deployments!BT478)</f>
        <v/>
      </c>
      <c r="S490" s="19">
        <f>IF(Deployments!BS478="","",Deployments!BS478)</f>
        <v/>
      </c>
      <c r="T490" s="19">
        <f>IF(Deployments!BB478="","",Deployments!BB478)</f>
        <v/>
      </c>
      <c r="U490" s="19">
        <f>IF(Deployments!BR478="","",Deployments!BR478)</f>
        <v/>
      </c>
      <c r="V490" s="19">
        <f>IF(Deployments!BX478="","",Deployments!BX478)</f>
        <v/>
      </c>
      <c r="W490" s="19">
        <f>IF(Deployments!BY478="","",Deployments!BY478)</f>
        <v/>
      </c>
      <c r="X490" s="19">
        <f>IF(Deployments!CC478="","",Deployments!CC478)</f>
        <v/>
      </c>
      <c r="Y490" s="19">
        <f>IF(Deployments!BW478="","",Deployments!BW478)</f>
        <v/>
      </c>
      <c r="Z490" s="19">
        <f>IF(Deployments!U478="","",Deployments!U478)</f>
        <v/>
      </c>
      <c r="AA490" s="19">
        <f>IF(Deployments!L478="","",Deployments!L478)</f>
        <v/>
      </c>
    </row>
    <row r="491">
      <c r="A491" s="20" t="n"/>
      <c r="B491" s="20" t="n"/>
      <c r="C491" s="19">
        <f>IF(Deployments!H479="","",Deployments!H479)</f>
        <v/>
      </c>
      <c r="D491" s="19">
        <f>IF(Deployments!AM479="","",Deployments!AM479)</f>
        <v/>
      </c>
      <c r="E491" s="19">
        <f>IF(Deployments!I479="","",Deployments!I479)</f>
        <v/>
      </c>
      <c r="F491" s="19">
        <f>IF(Deployments!J479="","",Deployments!J479)</f>
        <v/>
      </c>
      <c r="G491" s="19">
        <f>IF(Deployments!K479="","",Deployments!K479)</f>
        <v/>
      </c>
      <c r="H491" s="19">
        <f>IF(Deployments!A479="","",Deployments!A479)</f>
        <v/>
      </c>
      <c r="I491" s="19">
        <f>IF(Deployments!AN479="","",Deployments!AN479)</f>
        <v/>
      </c>
      <c r="J491" s="19">
        <f>IF(Deployments!AO479="","",Deployments!AO479)</f>
        <v/>
      </c>
      <c r="K491" s="19">
        <f>IF(Deployments!AI479="","",Deployments!AI479)</f>
        <v/>
      </c>
      <c r="L491" s="19">
        <f>IF(Deployments!M479="","",Deployments!M479)</f>
        <v/>
      </c>
      <c r="M491" s="20" t="n"/>
      <c r="N491" s="19">
        <f>IF(Deployments!N479="","",Deployments!N479)</f>
        <v/>
      </c>
      <c r="O491" s="19">
        <f>IF(Deployments!O479="","",Deployments!O479)</f>
        <v/>
      </c>
      <c r="P491" s="19">
        <f>IF(Deployments!P479="","",Deployments!P479)</f>
        <v/>
      </c>
      <c r="Q491" s="20" t="n"/>
      <c r="R491" s="19">
        <f>IF(Deployments!BT479="","",Deployments!BT479)</f>
        <v/>
      </c>
      <c r="S491" s="19">
        <f>IF(Deployments!BS479="","",Deployments!BS479)</f>
        <v/>
      </c>
      <c r="T491" s="19">
        <f>IF(Deployments!BB479="","",Deployments!BB479)</f>
        <v/>
      </c>
      <c r="U491" s="19">
        <f>IF(Deployments!BR479="","",Deployments!BR479)</f>
        <v/>
      </c>
      <c r="V491" s="19">
        <f>IF(Deployments!BX479="","",Deployments!BX479)</f>
        <v/>
      </c>
      <c r="W491" s="19">
        <f>IF(Deployments!BY479="","",Deployments!BY479)</f>
        <v/>
      </c>
      <c r="X491" s="19">
        <f>IF(Deployments!CC479="","",Deployments!CC479)</f>
        <v/>
      </c>
      <c r="Y491" s="19">
        <f>IF(Deployments!BW479="","",Deployments!BW479)</f>
        <v/>
      </c>
      <c r="Z491" s="19">
        <f>IF(Deployments!U479="","",Deployments!U479)</f>
        <v/>
      </c>
      <c r="AA491" s="19">
        <f>IF(Deployments!L479="","",Deployments!L479)</f>
        <v/>
      </c>
    </row>
    <row r="492">
      <c r="A492" s="20" t="n"/>
      <c r="B492" s="20" t="n"/>
      <c r="C492" s="19">
        <f>IF(Deployments!H480="","",Deployments!H480)</f>
        <v/>
      </c>
      <c r="D492" s="19">
        <f>IF(Deployments!AM480="","",Deployments!AM480)</f>
        <v/>
      </c>
      <c r="E492" s="19">
        <f>IF(Deployments!I480="","",Deployments!I480)</f>
        <v/>
      </c>
      <c r="F492" s="19">
        <f>IF(Deployments!J480="","",Deployments!J480)</f>
        <v/>
      </c>
      <c r="G492" s="19">
        <f>IF(Deployments!K480="","",Deployments!K480)</f>
        <v/>
      </c>
      <c r="H492" s="19">
        <f>IF(Deployments!A480="","",Deployments!A480)</f>
        <v/>
      </c>
      <c r="I492" s="19">
        <f>IF(Deployments!AN480="","",Deployments!AN480)</f>
        <v/>
      </c>
      <c r="J492" s="19">
        <f>IF(Deployments!AO480="","",Deployments!AO480)</f>
        <v/>
      </c>
      <c r="K492" s="19">
        <f>IF(Deployments!AI480="","",Deployments!AI480)</f>
        <v/>
      </c>
      <c r="L492" s="19">
        <f>IF(Deployments!M480="","",Deployments!M480)</f>
        <v/>
      </c>
      <c r="M492" s="20" t="n"/>
      <c r="N492" s="19">
        <f>IF(Deployments!N480="","",Deployments!N480)</f>
        <v/>
      </c>
      <c r="O492" s="19">
        <f>IF(Deployments!O480="","",Deployments!O480)</f>
        <v/>
      </c>
      <c r="P492" s="19">
        <f>IF(Deployments!P480="","",Deployments!P480)</f>
        <v/>
      </c>
      <c r="Q492" s="20" t="n"/>
      <c r="R492" s="19">
        <f>IF(Deployments!BT480="","",Deployments!BT480)</f>
        <v/>
      </c>
      <c r="S492" s="19">
        <f>IF(Deployments!BS480="","",Deployments!BS480)</f>
        <v/>
      </c>
      <c r="T492" s="19">
        <f>IF(Deployments!BB480="","",Deployments!BB480)</f>
        <v/>
      </c>
      <c r="U492" s="19">
        <f>IF(Deployments!BR480="","",Deployments!BR480)</f>
        <v/>
      </c>
      <c r="V492" s="19">
        <f>IF(Deployments!BX480="","",Deployments!BX480)</f>
        <v/>
      </c>
      <c r="W492" s="19">
        <f>IF(Deployments!BY480="","",Deployments!BY480)</f>
        <v/>
      </c>
      <c r="X492" s="19">
        <f>IF(Deployments!CC480="","",Deployments!CC480)</f>
        <v/>
      </c>
      <c r="Y492" s="19">
        <f>IF(Deployments!BW480="","",Deployments!BW480)</f>
        <v/>
      </c>
      <c r="Z492" s="19">
        <f>IF(Deployments!U480="","",Deployments!U480)</f>
        <v/>
      </c>
      <c r="AA492" s="19">
        <f>IF(Deployments!L480="","",Deployments!L480)</f>
        <v/>
      </c>
    </row>
    <row r="493">
      <c r="A493" s="20" t="n"/>
      <c r="B493" s="20" t="n"/>
      <c r="C493" s="19">
        <f>IF(Deployments!H481="","",Deployments!H481)</f>
        <v/>
      </c>
      <c r="D493" s="19">
        <f>IF(Deployments!AM481="","",Deployments!AM481)</f>
        <v/>
      </c>
      <c r="E493" s="19">
        <f>IF(Deployments!I481="","",Deployments!I481)</f>
        <v/>
      </c>
      <c r="F493" s="19">
        <f>IF(Deployments!J481="","",Deployments!J481)</f>
        <v/>
      </c>
      <c r="G493" s="19">
        <f>IF(Deployments!K481="","",Deployments!K481)</f>
        <v/>
      </c>
      <c r="H493" s="19">
        <f>IF(Deployments!A481="","",Deployments!A481)</f>
        <v/>
      </c>
      <c r="I493" s="19">
        <f>IF(Deployments!AN481="","",Deployments!AN481)</f>
        <v/>
      </c>
      <c r="J493" s="19">
        <f>IF(Deployments!AO481="","",Deployments!AO481)</f>
        <v/>
      </c>
      <c r="K493" s="19">
        <f>IF(Deployments!AI481="","",Deployments!AI481)</f>
        <v/>
      </c>
      <c r="L493" s="19">
        <f>IF(Deployments!M481="","",Deployments!M481)</f>
        <v/>
      </c>
      <c r="M493" s="20" t="n"/>
      <c r="N493" s="19">
        <f>IF(Deployments!N481="","",Deployments!N481)</f>
        <v/>
      </c>
      <c r="O493" s="19">
        <f>IF(Deployments!O481="","",Deployments!O481)</f>
        <v/>
      </c>
      <c r="P493" s="19">
        <f>IF(Deployments!P481="","",Deployments!P481)</f>
        <v/>
      </c>
      <c r="Q493" s="20" t="n"/>
      <c r="R493" s="19">
        <f>IF(Deployments!BT481="","",Deployments!BT481)</f>
        <v/>
      </c>
      <c r="S493" s="19">
        <f>IF(Deployments!BS481="","",Deployments!BS481)</f>
        <v/>
      </c>
      <c r="T493" s="19">
        <f>IF(Deployments!BB481="","",Deployments!BB481)</f>
        <v/>
      </c>
      <c r="U493" s="19">
        <f>IF(Deployments!BR481="","",Deployments!BR481)</f>
        <v/>
      </c>
      <c r="V493" s="19">
        <f>IF(Deployments!BX481="","",Deployments!BX481)</f>
        <v/>
      </c>
      <c r="W493" s="19">
        <f>IF(Deployments!BY481="","",Deployments!BY481)</f>
        <v/>
      </c>
      <c r="X493" s="19">
        <f>IF(Deployments!CC481="","",Deployments!CC481)</f>
        <v/>
      </c>
      <c r="Y493" s="19">
        <f>IF(Deployments!BW481="","",Deployments!BW481)</f>
        <v/>
      </c>
      <c r="Z493" s="19">
        <f>IF(Deployments!U481="","",Deployments!U481)</f>
        <v/>
      </c>
      <c r="AA493" s="19">
        <f>IF(Deployments!L481="","",Deployments!L481)</f>
        <v/>
      </c>
    </row>
    <row r="494">
      <c r="A494" s="20" t="n"/>
      <c r="B494" s="20" t="n"/>
      <c r="C494" s="19">
        <f>IF(Deployments!H482="","",Deployments!H482)</f>
        <v/>
      </c>
      <c r="D494" s="19">
        <f>IF(Deployments!AM482="","",Deployments!AM482)</f>
        <v/>
      </c>
      <c r="E494" s="19">
        <f>IF(Deployments!I482="","",Deployments!I482)</f>
        <v/>
      </c>
      <c r="F494" s="19">
        <f>IF(Deployments!J482="","",Deployments!J482)</f>
        <v/>
      </c>
      <c r="G494" s="19">
        <f>IF(Deployments!K482="","",Deployments!K482)</f>
        <v/>
      </c>
      <c r="H494" s="19">
        <f>IF(Deployments!A482="","",Deployments!A482)</f>
        <v/>
      </c>
      <c r="I494" s="19">
        <f>IF(Deployments!AN482="","",Deployments!AN482)</f>
        <v/>
      </c>
      <c r="J494" s="19">
        <f>IF(Deployments!AO482="","",Deployments!AO482)</f>
        <v/>
      </c>
      <c r="K494" s="19">
        <f>IF(Deployments!AI482="","",Deployments!AI482)</f>
        <v/>
      </c>
      <c r="L494" s="19">
        <f>IF(Deployments!M482="","",Deployments!M482)</f>
        <v/>
      </c>
      <c r="M494" s="20" t="n"/>
      <c r="N494" s="19">
        <f>IF(Deployments!N482="","",Deployments!N482)</f>
        <v/>
      </c>
      <c r="O494" s="19">
        <f>IF(Deployments!O482="","",Deployments!O482)</f>
        <v/>
      </c>
      <c r="P494" s="19">
        <f>IF(Deployments!P482="","",Deployments!P482)</f>
        <v/>
      </c>
      <c r="Q494" s="20" t="n"/>
      <c r="R494" s="19">
        <f>IF(Deployments!BT482="","",Deployments!BT482)</f>
        <v/>
      </c>
      <c r="S494" s="19">
        <f>IF(Deployments!BS482="","",Deployments!BS482)</f>
        <v/>
      </c>
      <c r="T494" s="19">
        <f>IF(Deployments!BB482="","",Deployments!BB482)</f>
        <v/>
      </c>
      <c r="U494" s="19">
        <f>IF(Deployments!BR482="","",Deployments!BR482)</f>
        <v/>
      </c>
      <c r="V494" s="19">
        <f>IF(Deployments!BX482="","",Deployments!BX482)</f>
        <v/>
      </c>
      <c r="W494" s="19">
        <f>IF(Deployments!BY482="","",Deployments!BY482)</f>
        <v/>
      </c>
      <c r="X494" s="19">
        <f>IF(Deployments!CC482="","",Deployments!CC482)</f>
        <v/>
      </c>
      <c r="Y494" s="19">
        <f>IF(Deployments!BW482="","",Deployments!BW482)</f>
        <v/>
      </c>
      <c r="Z494" s="19">
        <f>IF(Deployments!U482="","",Deployments!U482)</f>
        <v/>
      </c>
      <c r="AA494" s="19">
        <f>IF(Deployments!L482="","",Deployments!L482)</f>
        <v/>
      </c>
    </row>
    <row r="495">
      <c r="A495" s="20" t="n"/>
      <c r="B495" s="20" t="n"/>
      <c r="C495" s="19">
        <f>IF(Deployments!H483="","",Deployments!H483)</f>
        <v/>
      </c>
      <c r="D495" s="19">
        <f>IF(Deployments!AM483="","",Deployments!AM483)</f>
        <v/>
      </c>
      <c r="E495" s="19">
        <f>IF(Deployments!I483="","",Deployments!I483)</f>
        <v/>
      </c>
      <c r="F495" s="19">
        <f>IF(Deployments!J483="","",Deployments!J483)</f>
        <v/>
      </c>
      <c r="G495" s="19">
        <f>IF(Deployments!K483="","",Deployments!K483)</f>
        <v/>
      </c>
      <c r="H495" s="19">
        <f>IF(Deployments!A483="","",Deployments!A483)</f>
        <v/>
      </c>
      <c r="I495" s="19">
        <f>IF(Deployments!AN483="","",Deployments!AN483)</f>
        <v/>
      </c>
      <c r="J495" s="19">
        <f>IF(Deployments!AO483="","",Deployments!AO483)</f>
        <v/>
      </c>
      <c r="K495" s="19">
        <f>IF(Deployments!AI483="","",Deployments!AI483)</f>
        <v/>
      </c>
      <c r="L495" s="19">
        <f>IF(Deployments!M483="","",Deployments!M483)</f>
        <v/>
      </c>
      <c r="M495" s="20" t="n"/>
      <c r="N495" s="19">
        <f>IF(Deployments!N483="","",Deployments!N483)</f>
        <v/>
      </c>
      <c r="O495" s="19">
        <f>IF(Deployments!O483="","",Deployments!O483)</f>
        <v/>
      </c>
      <c r="P495" s="19">
        <f>IF(Deployments!P483="","",Deployments!P483)</f>
        <v/>
      </c>
      <c r="Q495" s="20" t="n"/>
      <c r="R495" s="19">
        <f>IF(Deployments!BT483="","",Deployments!BT483)</f>
        <v/>
      </c>
      <c r="S495" s="19">
        <f>IF(Deployments!BS483="","",Deployments!BS483)</f>
        <v/>
      </c>
      <c r="T495" s="19">
        <f>IF(Deployments!BB483="","",Deployments!BB483)</f>
        <v/>
      </c>
      <c r="U495" s="19">
        <f>IF(Deployments!BR483="","",Deployments!BR483)</f>
        <v/>
      </c>
      <c r="V495" s="19">
        <f>IF(Deployments!BX483="","",Deployments!BX483)</f>
        <v/>
      </c>
      <c r="W495" s="19">
        <f>IF(Deployments!BY483="","",Deployments!BY483)</f>
        <v/>
      </c>
      <c r="X495" s="19">
        <f>IF(Deployments!CC483="","",Deployments!CC483)</f>
        <v/>
      </c>
      <c r="Y495" s="19">
        <f>IF(Deployments!BW483="","",Deployments!BW483)</f>
        <v/>
      </c>
      <c r="Z495" s="19">
        <f>IF(Deployments!U483="","",Deployments!U483)</f>
        <v/>
      </c>
      <c r="AA495" s="19">
        <f>IF(Deployments!L483="","",Deployments!L483)</f>
        <v/>
      </c>
    </row>
    <row r="496">
      <c r="A496" s="20" t="n"/>
      <c r="B496" s="20" t="n"/>
      <c r="C496" s="19">
        <f>IF(Deployments!H484="","",Deployments!H484)</f>
        <v/>
      </c>
      <c r="D496" s="19">
        <f>IF(Deployments!AM484="","",Deployments!AM484)</f>
        <v/>
      </c>
      <c r="E496" s="19">
        <f>IF(Deployments!I484="","",Deployments!I484)</f>
        <v/>
      </c>
      <c r="F496" s="19">
        <f>IF(Deployments!J484="","",Deployments!J484)</f>
        <v/>
      </c>
      <c r="G496" s="19">
        <f>IF(Deployments!K484="","",Deployments!K484)</f>
        <v/>
      </c>
      <c r="H496" s="19">
        <f>IF(Deployments!A484="","",Deployments!A484)</f>
        <v/>
      </c>
      <c r="I496" s="19">
        <f>IF(Deployments!AN484="","",Deployments!AN484)</f>
        <v/>
      </c>
      <c r="J496" s="19">
        <f>IF(Deployments!AO484="","",Deployments!AO484)</f>
        <v/>
      </c>
      <c r="K496" s="19">
        <f>IF(Deployments!AI484="","",Deployments!AI484)</f>
        <v/>
      </c>
      <c r="L496" s="19">
        <f>IF(Deployments!M484="","",Deployments!M484)</f>
        <v/>
      </c>
      <c r="M496" s="20" t="n"/>
      <c r="N496" s="19">
        <f>IF(Deployments!N484="","",Deployments!N484)</f>
        <v/>
      </c>
      <c r="O496" s="19">
        <f>IF(Deployments!O484="","",Deployments!O484)</f>
        <v/>
      </c>
      <c r="P496" s="19">
        <f>IF(Deployments!P484="","",Deployments!P484)</f>
        <v/>
      </c>
      <c r="Q496" s="20" t="n"/>
      <c r="R496" s="19">
        <f>IF(Deployments!BT484="","",Deployments!BT484)</f>
        <v/>
      </c>
      <c r="S496" s="19">
        <f>IF(Deployments!BS484="","",Deployments!BS484)</f>
        <v/>
      </c>
      <c r="T496" s="19">
        <f>IF(Deployments!BB484="","",Deployments!BB484)</f>
        <v/>
      </c>
      <c r="U496" s="19">
        <f>IF(Deployments!BR484="","",Deployments!BR484)</f>
        <v/>
      </c>
      <c r="V496" s="19">
        <f>IF(Deployments!BX484="","",Deployments!BX484)</f>
        <v/>
      </c>
      <c r="W496" s="19">
        <f>IF(Deployments!BY484="","",Deployments!BY484)</f>
        <v/>
      </c>
      <c r="X496" s="19">
        <f>IF(Deployments!CC484="","",Deployments!CC484)</f>
        <v/>
      </c>
      <c r="Y496" s="19">
        <f>IF(Deployments!BW484="","",Deployments!BW484)</f>
        <v/>
      </c>
      <c r="Z496" s="19">
        <f>IF(Deployments!U484="","",Deployments!U484)</f>
        <v/>
      </c>
      <c r="AA496" s="19">
        <f>IF(Deployments!L484="","",Deployments!L484)</f>
        <v/>
      </c>
    </row>
    <row r="497">
      <c r="A497" s="20" t="n"/>
      <c r="B497" s="20" t="n"/>
      <c r="C497" s="19">
        <f>IF(Deployments!H485="","",Deployments!H485)</f>
        <v/>
      </c>
      <c r="D497" s="19">
        <f>IF(Deployments!AM485="","",Deployments!AM485)</f>
        <v/>
      </c>
      <c r="E497" s="19">
        <f>IF(Deployments!I485="","",Deployments!I485)</f>
        <v/>
      </c>
      <c r="F497" s="19">
        <f>IF(Deployments!J485="","",Deployments!J485)</f>
        <v/>
      </c>
      <c r="G497" s="19">
        <f>IF(Deployments!K485="","",Deployments!K485)</f>
        <v/>
      </c>
      <c r="H497" s="19">
        <f>IF(Deployments!A485="","",Deployments!A485)</f>
        <v/>
      </c>
      <c r="I497" s="19">
        <f>IF(Deployments!AN485="","",Deployments!AN485)</f>
        <v/>
      </c>
      <c r="J497" s="19">
        <f>IF(Deployments!AO485="","",Deployments!AO485)</f>
        <v/>
      </c>
      <c r="K497" s="19">
        <f>IF(Deployments!AI485="","",Deployments!AI485)</f>
        <v/>
      </c>
      <c r="L497" s="19">
        <f>IF(Deployments!M485="","",Deployments!M485)</f>
        <v/>
      </c>
      <c r="M497" s="20" t="n"/>
      <c r="N497" s="19">
        <f>IF(Deployments!N485="","",Deployments!N485)</f>
        <v/>
      </c>
      <c r="O497" s="19">
        <f>IF(Deployments!O485="","",Deployments!O485)</f>
        <v/>
      </c>
      <c r="P497" s="19">
        <f>IF(Deployments!P485="","",Deployments!P485)</f>
        <v/>
      </c>
      <c r="Q497" s="20" t="n"/>
      <c r="R497" s="19">
        <f>IF(Deployments!BT485="","",Deployments!BT485)</f>
        <v/>
      </c>
      <c r="S497" s="19">
        <f>IF(Deployments!BS485="","",Deployments!BS485)</f>
        <v/>
      </c>
      <c r="T497" s="19">
        <f>IF(Deployments!BB485="","",Deployments!BB485)</f>
        <v/>
      </c>
      <c r="U497" s="19">
        <f>IF(Deployments!BR485="","",Deployments!BR485)</f>
        <v/>
      </c>
      <c r="V497" s="19">
        <f>IF(Deployments!BX485="","",Deployments!BX485)</f>
        <v/>
      </c>
      <c r="W497" s="19">
        <f>IF(Deployments!BY485="","",Deployments!BY485)</f>
        <v/>
      </c>
      <c r="X497" s="19">
        <f>IF(Deployments!CC485="","",Deployments!CC485)</f>
        <v/>
      </c>
      <c r="Y497" s="19">
        <f>IF(Deployments!BW485="","",Deployments!BW485)</f>
        <v/>
      </c>
      <c r="Z497" s="19">
        <f>IF(Deployments!U485="","",Deployments!U485)</f>
        <v/>
      </c>
      <c r="AA497" s="19">
        <f>IF(Deployments!L485="","",Deployments!L485)</f>
        <v/>
      </c>
    </row>
    <row r="498">
      <c r="A498" s="20" t="n"/>
      <c r="B498" s="20" t="n"/>
      <c r="C498" s="19">
        <f>IF(Deployments!H486="","",Deployments!H486)</f>
        <v/>
      </c>
      <c r="D498" s="19">
        <f>IF(Deployments!AM486="","",Deployments!AM486)</f>
        <v/>
      </c>
      <c r="E498" s="19">
        <f>IF(Deployments!I486="","",Deployments!I486)</f>
        <v/>
      </c>
      <c r="F498" s="19">
        <f>IF(Deployments!J486="","",Deployments!J486)</f>
        <v/>
      </c>
      <c r="G498" s="19">
        <f>IF(Deployments!K486="","",Deployments!K486)</f>
        <v/>
      </c>
      <c r="H498" s="19">
        <f>IF(Deployments!A486="","",Deployments!A486)</f>
        <v/>
      </c>
      <c r="I498" s="19">
        <f>IF(Deployments!AN486="","",Deployments!AN486)</f>
        <v/>
      </c>
      <c r="J498" s="19">
        <f>IF(Deployments!AO486="","",Deployments!AO486)</f>
        <v/>
      </c>
      <c r="K498" s="19">
        <f>IF(Deployments!AI486="","",Deployments!AI486)</f>
        <v/>
      </c>
      <c r="L498" s="19">
        <f>IF(Deployments!M486="","",Deployments!M486)</f>
        <v/>
      </c>
      <c r="M498" s="20" t="n"/>
      <c r="N498" s="19">
        <f>IF(Deployments!N486="","",Deployments!N486)</f>
        <v/>
      </c>
      <c r="O498" s="19">
        <f>IF(Deployments!O486="","",Deployments!O486)</f>
        <v/>
      </c>
      <c r="P498" s="19">
        <f>IF(Deployments!P486="","",Deployments!P486)</f>
        <v/>
      </c>
      <c r="Q498" s="20" t="n"/>
      <c r="R498" s="19">
        <f>IF(Deployments!BT486="","",Deployments!BT486)</f>
        <v/>
      </c>
      <c r="S498" s="19">
        <f>IF(Deployments!BS486="","",Deployments!BS486)</f>
        <v/>
      </c>
      <c r="T498" s="19">
        <f>IF(Deployments!BB486="","",Deployments!BB486)</f>
        <v/>
      </c>
      <c r="U498" s="19">
        <f>IF(Deployments!BR486="","",Deployments!BR486)</f>
        <v/>
      </c>
      <c r="V498" s="19">
        <f>IF(Deployments!BX486="","",Deployments!BX486)</f>
        <v/>
      </c>
      <c r="W498" s="19">
        <f>IF(Deployments!BY486="","",Deployments!BY486)</f>
        <v/>
      </c>
      <c r="X498" s="19">
        <f>IF(Deployments!CC486="","",Deployments!CC486)</f>
        <v/>
      </c>
      <c r="Y498" s="19">
        <f>IF(Deployments!BW486="","",Deployments!BW486)</f>
        <v/>
      </c>
      <c r="Z498" s="19">
        <f>IF(Deployments!U486="","",Deployments!U486)</f>
        <v/>
      </c>
      <c r="AA498" s="19">
        <f>IF(Deployments!L486="","",Deployments!L486)</f>
        <v/>
      </c>
    </row>
    <row r="499">
      <c r="A499" s="20" t="n"/>
      <c r="B499" s="20" t="n"/>
      <c r="C499" s="19">
        <f>IF(Deployments!H487="","",Deployments!H487)</f>
        <v/>
      </c>
      <c r="D499" s="19">
        <f>IF(Deployments!AM487="","",Deployments!AM487)</f>
        <v/>
      </c>
      <c r="E499" s="19">
        <f>IF(Deployments!I487="","",Deployments!I487)</f>
        <v/>
      </c>
      <c r="F499" s="19">
        <f>IF(Deployments!J487="","",Deployments!J487)</f>
        <v/>
      </c>
      <c r="G499" s="19">
        <f>IF(Deployments!K487="","",Deployments!K487)</f>
        <v/>
      </c>
      <c r="H499" s="19">
        <f>IF(Deployments!A487="","",Deployments!A487)</f>
        <v/>
      </c>
      <c r="I499" s="19">
        <f>IF(Deployments!AN487="","",Deployments!AN487)</f>
        <v/>
      </c>
      <c r="J499" s="19">
        <f>IF(Deployments!AO487="","",Deployments!AO487)</f>
        <v/>
      </c>
      <c r="K499" s="19">
        <f>IF(Deployments!AI487="","",Deployments!AI487)</f>
        <v/>
      </c>
      <c r="L499" s="19">
        <f>IF(Deployments!M487="","",Deployments!M487)</f>
        <v/>
      </c>
      <c r="M499" s="20" t="n"/>
      <c r="N499" s="19">
        <f>IF(Deployments!N487="","",Deployments!N487)</f>
        <v/>
      </c>
      <c r="O499" s="19">
        <f>IF(Deployments!O487="","",Deployments!O487)</f>
        <v/>
      </c>
      <c r="P499" s="19">
        <f>IF(Deployments!P487="","",Deployments!P487)</f>
        <v/>
      </c>
      <c r="Q499" s="20" t="n"/>
      <c r="R499" s="19">
        <f>IF(Deployments!BT487="","",Deployments!BT487)</f>
        <v/>
      </c>
      <c r="S499" s="19">
        <f>IF(Deployments!BS487="","",Deployments!BS487)</f>
        <v/>
      </c>
      <c r="T499" s="19">
        <f>IF(Deployments!BB487="","",Deployments!BB487)</f>
        <v/>
      </c>
      <c r="U499" s="19">
        <f>IF(Deployments!BR487="","",Deployments!BR487)</f>
        <v/>
      </c>
      <c r="V499" s="19">
        <f>IF(Deployments!BX487="","",Deployments!BX487)</f>
        <v/>
      </c>
      <c r="W499" s="19">
        <f>IF(Deployments!BY487="","",Deployments!BY487)</f>
        <v/>
      </c>
      <c r="X499" s="19">
        <f>IF(Deployments!CC487="","",Deployments!CC487)</f>
        <v/>
      </c>
      <c r="Y499" s="19">
        <f>IF(Deployments!BW487="","",Deployments!BW487)</f>
        <v/>
      </c>
      <c r="Z499" s="19">
        <f>IF(Deployments!U487="","",Deployments!U487)</f>
        <v/>
      </c>
      <c r="AA499" s="19">
        <f>IF(Deployments!L487="","",Deployments!L487)</f>
        <v/>
      </c>
    </row>
    <row r="500">
      <c r="A500" s="20" t="n"/>
      <c r="B500" s="20" t="n"/>
      <c r="C500" s="19">
        <f>IF(Deployments!H488="","",Deployments!H488)</f>
        <v/>
      </c>
      <c r="D500" s="19">
        <f>IF(Deployments!AM488="","",Deployments!AM488)</f>
        <v/>
      </c>
      <c r="E500" s="19">
        <f>IF(Deployments!I488="","",Deployments!I488)</f>
        <v/>
      </c>
      <c r="F500" s="19">
        <f>IF(Deployments!J488="","",Deployments!J488)</f>
        <v/>
      </c>
      <c r="G500" s="19">
        <f>IF(Deployments!K488="","",Deployments!K488)</f>
        <v/>
      </c>
      <c r="H500" s="19">
        <f>IF(Deployments!A488="","",Deployments!A488)</f>
        <v/>
      </c>
      <c r="I500" s="19">
        <f>IF(Deployments!AN488="","",Deployments!AN488)</f>
        <v/>
      </c>
      <c r="J500" s="19">
        <f>IF(Deployments!AO488="","",Deployments!AO488)</f>
        <v/>
      </c>
      <c r="K500" s="19">
        <f>IF(Deployments!AI488="","",Deployments!AI488)</f>
        <v/>
      </c>
      <c r="L500" s="19">
        <f>IF(Deployments!M488="","",Deployments!M488)</f>
        <v/>
      </c>
      <c r="M500" s="20" t="n"/>
      <c r="N500" s="19">
        <f>IF(Deployments!N488="","",Deployments!N488)</f>
        <v/>
      </c>
      <c r="O500" s="19">
        <f>IF(Deployments!O488="","",Deployments!O488)</f>
        <v/>
      </c>
      <c r="P500" s="19">
        <f>IF(Deployments!P488="","",Deployments!P488)</f>
        <v/>
      </c>
      <c r="Q500" s="20" t="n"/>
      <c r="R500" s="19">
        <f>IF(Deployments!BT488="","",Deployments!BT488)</f>
        <v/>
      </c>
      <c r="S500" s="19">
        <f>IF(Deployments!BS488="","",Deployments!BS488)</f>
        <v/>
      </c>
      <c r="T500" s="19">
        <f>IF(Deployments!BB488="","",Deployments!BB488)</f>
        <v/>
      </c>
      <c r="U500" s="19">
        <f>IF(Deployments!BR488="","",Deployments!BR488)</f>
        <v/>
      </c>
      <c r="V500" s="19">
        <f>IF(Deployments!BX488="","",Deployments!BX488)</f>
        <v/>
      </c>
      <c r="W500" s="19">
        <f>IF(Deployments!BY488="","",Deployments!BY488)</f>
        <v/>
      </c>
      <c r="X500" s="19">
        <f>IF(Deployments!CC488="","",Deployments!CC488)</f>
        <v/>
      </c>
      <c r="Y500" s="19">
        <f>IF(Deployments!BW488="","",Deployments!BW488)</f>
        <v/>
      </c>
      <c r="Z500" s="19">
        <f>IF(Deployments!U488="","",Deployments!U488)</f>
        <v/>
      </c>
      <c r="AA500" s="19">
        <f>IF(Deployments!L488="","",Deployments!L488)</f>
        <v/>
      </c>
    </row>
    <row r="501">
      <c r="A501" s="20" t="n"/>
      <c r="B501" s="20" t="n"/>
      <c r="C501" s="19">
        <f>IF(Deployments!H489="","",Deployments!H489)</f>
        <v/>
      </c>
      <c r="D501" s="19">
        <f>IF(Deployments!AM489="","",Deployments!AM489)</f>
        <v/>
      </c>
      <c r="E501" s="19">
        <f>IF(Deployments!I489="","",Deployments!I489)</f>
        <v/>
      </c>
      <c r="F501" s="19">
        <f>IF(Deployments!J489="","",Deployments!J489)</f>
        <v/>
      </c>
      <c r="G501" s="19">
        <f>IF(Deployments!K489="","",Deployments!K489)</f>
        <v/>
      </c>
      <c r="H501" s="19">
        <f>IF(Deployments!A489="","",Deployments!A489)</f>
        <v/>
      </c>
      <c r="I501" s="19">
        <f>IF(Deployments!AN489="","",Deployments!AN489)</f>
        <v/>
      </c>
      <c r="J501" s="19">
        <f>IF(Deployments!AO489="","",Deployments!AO489)</f>
        <v/>
      </c>
      <c r="K501" s="19">
        <f>IF(Deployments!AI489="","",Deployments!AI489)</f>
        <v/>
      </c>
      <c r="L501" s="19">
        <f>IF(Deployments!M489="","",Deployments!M489)</f>
        <v/>
      </c>
      <c r="M501" s="20" t="n"/>
      <c r="N501" s="19">
        <f>IF(Deployments!N489="","",Deployments!N489)</f>
        <v/>
      </c>
      <c r="O501" s="19">
        <f>IF(Deployments!O489="","",Deployments!O489)</f>
        <v/>
      </c>
      <c r="P501" s="19">
        <f>IF(Deployments!P489="","",Deployments!P489)</f>
        <v/>
      </c>
      <c r="Q501" s="20" t="n"/>
      <c r="R501" s="19">
        <f>IF(Deployments!BT489="","",Deployments!BT489)</f>
        <v/>
      </c>
      <c r="S501" s="19">
        <f>IF(Deployments!BS489="","",Deployments!BS489)</f>
        <v/>
      </c>
      <c r="T501" s="19">
        <f>IF(Deployments!BB489="","",Deployments!BB489)</f>
        <v/>
      </c>
      <c r="U501" s="19">
        <f>IF(Deployments!BR489="","",Deployments!BR489)</f>
        <v/>
      </c>
      <c r="V501" s="19">
        <f>IF(Deployments!BX489="","",Deployments!BX489)</f>
        <v/>
      </c>
      <c r="W501" s="19">
        <f>IF(Deployments!BY489="","",Deployments!BY489)</f>
        <v/>
      </c>
      <c r="X501" s="19">
        <f>IF(Deployments!CC489="","",Deployments!CC489)</f>
        <v/>
      </c>
      <c r="Y501" s="19">
        <f>IF(Deployments!BW489="","",Deployments!BW489)</f>
        <v/>
      </c>
      <c r="Z501" s="19">
        <f>IF(Deployments!U489="","",Deployments!U489)</f>
        <v/>
      </c>
      <c r="AA501" s="19">
        <f>IF(Deployments!L489="","",Deployments!L489)</f>
        <v/>
      </c>
    </row>
    <row r="502">
      <c r="A502" s="20" t="n"/>
      <c r="B502" s="20" t="n"/>
      <c r="C502" s="19">
        <f>IF(Deployments!H490="","",Deployments!H490)</f>
        <v/>
      </c>
      <c r="D502" s="19">
        <f>IF(Deployments!AM490="","",Deployments!AM490)</f>
        <v/>
      </c>
      <c r="E502" s="19">
        <f>IF(Deployments!I490="","",Deployments!I490)</f>
        <v/>
      </c>
      <c r="F502" s="19">
        <f>IF(Deployments!J490="","",Deployments!J490)</f>
        <v/>
      </c>
      <c r="G502" s="19">
        <f>IF(Deployments!K490="","",Deployments!K490)</f>
        <v/>
      </c>
      <c r="H502" s="19">
        <f>IF(Deployments!A490="","",Deployments!A490)</f>
        <v/>
      </c>
      <c r="I502" s="19">
        <f>IF(Deployments!AN490="","",Deployments!AN490)</f>
        <v/>
      </c>
      <c r="J502" s="19">
        <f>IF(Deployments!AO490="","",Deployments!AO490)</f>
        <v/>
      </c>
      <c r="K502" s="19">
        <f>IF(Deployments!AI490="","",Deployments!AI490)</f>
        <v/>
      </c>
      <c r="L502" s="19">
        <f>IF(Deployments!M490="","",Deployments!M490)</f>
        <v/>
      </c>
      <c r="M502" s="20" t="n"/>
      <c r="N502" s="19">
        <f>IF(Deployments!N490="","",Deployments!N490)</f>
        <v/>
      </c>
      <c r="O502" s="19">
        <f>IF(Deployments!O490="","",Deployments!O490)</f>
        <v/>
      </c>
      <c r="P502" s="19">
        <f>IF(Deployments!P490="","",Deployments!P490)</f>
        <v/>
      </c>
      <c r="Q502" s="20" t="n"/>
      <c r="R502" s="19">
        <f>IF(Deployments!BT490="","",Deployments!BT490)</f>
        <v/>
      </c>
      <c r="S502" s="19">
        <f>IF(Deployments!BS490="","",Deployments!BS490)</f>
        <v/>
      </c>
      <c r="T502" s="19">
        <f>IF(Deployments!BB490="","",Deployments!BB490)</f>
        <v/>
      </c>
      <c r="U502" s="19">
        <f>IF(Deployments!BR490="","",Deployments!BR490)</f>
        <v/>
      </c>
      <c r="V502" s="19">
        <f>IF(Deployments!BX490="","",Deployments!BX490)</f>
        <v/>
      </c>
      <c r="W502" s="19">
        <f>IF(Deployments!BY490="","",Deployments!BY490)</f>
        <v/>
      </c>
      <c r="X502" s="19">
        <f>IF(Deployments!CC490="","",Deployments!CC490)</f>
        <v/>
      </c>
      <c r="Y502" s="19">
        <f>IF(Deployments!BW490="","",Deployments!BW490)</f>
        <v/>
      </c>
      <c r="Z502" s="19">
        <f>IF(Deployments!U490="","",Deployments!U490)</f>
        <v/>
      </c>
      <c r="AA502" s="19">
        <f>IF(Deployments!L490="","",Deployments!L490)</f>
        <v/>
      </c>
    </row>
    <row r="503">
      <c r="A503" s="20" t="n"/>
      <c r="B503" s="20" t="n"/>
      <c r="C503" s="19">
        <f>IF(Deployments!H491="","",Deployments!H491)</f>
        <v/>
      </c>
      <c r="D503" s="19">
        <f>IF(Deployments!AM491="","",Deployments!AM491)</f>
        <v/>
      </c>
      <c r="E503" s="19">
        <f>IF(Deployments!I491="","",Deployments!I491)</f>
        <v/>
      </c>
      <c r="F503" s="19">
        <f>IF(Deployments!J491="","",Deployments!J491)</f>
        <v/>
      </c>
      <c r="G503" s="19">
        <f>IF(Deployments!K491="","",Deployments!K491)</f>
        <v/>
      </c>
      <c r="H503" s="19">
        <f>IF(Deployments!A491="","",Deployments!A491)</f>
        <v/>
      </c>
      <c r="I503" s="19">
        <f>IF(Deployments!AN491="","",Deployments!AN491)</f>
        <v/>
      </c>
      <c r="J503" s="19">
        <f>IF(Deployments!AO491="","",Deployments!AO491)</f>
        <v/>
      </c>
      <c r="K503" s="19">
        <f>IF(Deployments!AI491="","",Deployments!AI491)</f>
        <v/>
      </c>
      <c r="L503" s="19">
        <f>IF(Deployments!M491="","",Deployments!M491)</f>
        <v/>
      </c>
      <c r="M503" s="20" t="n"/>
      <c r="N503" s="19">
        <f>IF(Deployments!N491="","",Deployments!N491)</f>
        <v/>
      </c>
      <c r="O503" s="19">
        <f>IF(Deployments!O491="","",Deployments!O491)</f>
        <v/>
      </c>
      <c r="P503" s="19">
        <f>IF(Deployments!P491="","",Deployments!P491)</f>
        <v/>
      </c>
      <c r="Q503" s="20" t="n"/>
      <c r="R503" s="19">
        <f>IF(Deployments!BT491="","",Deployments!BT491)</f>
        <v/>
      </c>
      <c r="S503" s="19">
        <f>IF(Deployments!BS491="","",Deployments!BS491)</f>
        <v/>
      </c>
      <c r="T503" s="19">
        <f>IF(Deployments!BB491="","",Deployments!BB491)</f>
        <v/>
      </c>
      <c r="U503" s="19">
        <f>IF(Deployments!BR491="","",Deployments!BR491)</f>
        <v/>
      </c>
      <c r="V503" s="19">
        <f>IF(Deployments!BX491="","",Deployments!BX491)</f>
        <v/>
      </c>
      <c r="W503" s="19">
        <f>IF(Deployments!BY491="","",Deployments!BY491)</f>
        <v/>
      </c>
      <c r="X503" s="19">
        <f>IF(Deployments!CC491="","",Deployments!CC491)</f>
        <v/>
      </c>
      <c r="Y503" s="19">
        <f>IF(Deployments!BW491="","",Deployments!BW491)</f>
        <v/>
      </c>
      <c r="Z503" s="19">
        <f>IF(Deployments!U491="","",Deployments!U491)</f>
        <v/>
      </c>
      <c r="AA503" s="19">
        <f>IF(Deployments!L491="","",Deployments!L491)</f>
        <v/>
      </c>
    </row>
  </sheetData>
  <autoFilter ref="A1:AA1"/>
  <dataValidations count="3">
    <dataValidation sqref="M2:M503" showDropDown="0" showInputMessage="0" showErrorMessage="0" allowBlank="1" type="list">
      <formula1>"Shared,Autologon,Named User,Unknown"</formula1>
    </dataValidation>
    <dataValidation sqref="H2:H503" showDropDown="0" showInputMessage="0" showErrorMessage="0" allowBlank="1" type="list">
      <formula1>AC2:AC3</formula1>
    </dataValidation>
    <dataValidation sqref="A5:A503 D2:D503 E2:E503 F2:F503 G2:G503 I2:I503 J2:J503 K2:K503 L2:L503 O2:O503 P2:P503 Q2:Q503 S2:S503 T2:T503 U2:U503 V2:V503 W2:W503 X2:X503 Y2:Y503 Z2:Z503 AA2:AA503 AC2:AC3" showDropDown="0" showInputMessage="1" showErrorMessage="1" allowBlank="1" errorTitle="Automated field, foo 🤡" error="Skedaddle 💨. Don't overwrite formulas 😄" type="custom">
      <formula1>FALSE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17">
    <outlinePr summaryBelow="1" summaryRight="1"/>
    <pageSetUpPr/>
  </sheetPr>
  <dimension ref="A1:T503"/>
  <sheetViews>
    <sheetView showGridLines="0" workbookViewId="0">
      <pane xSplit="1" ySplit="1" topLeftCell="B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91" min="1" max="1"/>
    <col width="14" customWidth="1" style="91" min="2" max="2"/>
    <col width="18" customWidth="1" style="91" min="3" max="3"/>
    <col width="22" customWidth="1" style="91" min="4" max="4"/>
    <col width="16" customWidth="1" style="91" min="5" max="5"/>
    <col width="18" customWidth="1" style="91" min="6" max="6"/>
    <col width="14" customWidth="1" style="91" min="7" max="7"/>
    <col width="22" customWidth="1" style="91" min="8" max="8"/>
    <col width="34" customWidth="1" style="91" min="9" max="9"/>
    <col width="14" customWidth="1" style="91" min="10" max="10"/>
    <col width="16" customWidth="1" style="91" min="11" max="13"/>
    <col width="22" customWidth="1" style="91" min="14" max="14"/>
    <col width="16" customWidth="1" style="91" min="15" max="15"/>
    <col width="18" customWidth="1" style="91" min="16" max="16"/>
    <col width="20" customWidth="1" style="91" min="17" max="17"/>
    <col width="16" customWidth="1" style="91" min="18" max="18"/>
    <col width="18" customWidth="1" style="91" min="19" max="19"/>
    <col width="16" customWidth="1" style="91" min="20" max="20"/>
    <col width="36" customWidth="1" style="91" min="21" max="21"/>
    <col width="18" customWidth="1" style="91" min="22" max="23"/>
    <col width="20" customWidth="1" style="91" min="24" max="24"/>
    <col width="18" customWidth="1" style="91" min="25" max="25"/>
    <col width="20" customWidth="1" style="91" min="26" max="26"/>
    <col width="18" customWidth="1" style="91" min="27" max="27"/>
  </cols>
  <sheetData>
    <row r="1" ht="24" customHeight="1" s="91">
      <c r="A1" s="40" t="inlineStr">
        <is>
          <t>Install Building</t>
        </is>
      </c>
      <c r="B1" s="40" t="inlineStr">
        <is>
          <t>Neuron ID</t>
        </is>
      </c>
      <c r="C1" s="40" t="inlineStr">
        <is>
          <t>Neuron MAC</t>
        </is>
      </c>
      <c r="D1" s="40" t="inlineStr">
        <is>
          <t>Medical Device Model</t>
        </is>
      </c>
      <c r="E1" s="40" t="inlineStr">
        <is>
          <t>PI_Config_Shared</t>
        </is>
      </c>
      <c r="F1" s="40" t="inlineStr">
        <is>
          <t>PI_Config_Autologon</t>
        </is>
      </c>
      <c r="G1" s="40" t="inlineStr">
        <is>
          <t>PI_Imprivata</t>
        </is>
      </c>
      <c r="H1" s="40" t="inlineStr">
        <is>
          <t>Credential Type (Client)</t>
        </is>
      </c>
      <c r="I1" s="40" t="inlineStr">
        <is>
          <t>Software List (Operational)</t>
        </is>
      </c>
      <c r="J1" s="40" t="inlineStr">
        <is>
          <t>Software Source</t>
        </is>
      </c>
      <c r="K1" s="40" t="inlineStr">
        <is>
          <t>Software Installed</t>
        </is>
      </c>
      <c r="L1" s="40" t="inlineStr">
        <is>
          <t>PI_Validated_By</t>
        </is>
      </c>
      <c r="M1" s="40" t="inlineStr">
        <is>
          <t>PI_Validated_Date</t>
        </is>
      </c>
      <c r="N1" s="40" t="inlineStr">
        <is>
          <t>Blocker Reason</t>
        </is>
      </c>
      <c r="O1" s="40" t="inlineStr">
        <is>
          <t>Readiness (Auto)</t>
        </is>
      </c>
      <c r="P1" s="40" t="inlineStr">
        <is>
          <t>Ready for Deployment</t>
        </is>
      </c>
      <c r="Q1" s="40" t="inlineStr">
        <is>
          <t>Flag - Critical Missing</t>
        </is>
      </c>
      <c r="R1" s="40" t="inlineStr">
        <is>
          <t>Flag - Software</t>
        </is>
      </c>
      <c r="S1" s="40" t="inlineStr">
        <is>
          <t>Flag - Autologon</t>
        </is>
      </c>
      <c r="T1" s="40" t="inlineStr">
        <is>
          <t>Overall Status</t>
        </is>
      </c>
    </row>
    <row r="2">
      <c r="A2" s="21">
        <f>Deployments!H2</f>
        <v/>
      </c>
      <c r="B2" s="21">
        <f>Deployments!X2</f>
        <v/>
      </c>
      <c r="C2" s="21">
        <f>Deployments!Y2</f>
        <v/>
      </c>
      <c r="D2" s="14">
        <f>Deployments!AO2</f>
        <v/>
      </c>
      <c r="E2" s="14">
        <f>Deployments!N2</f>
        <v/>
      </c>
      <c r="F2" s="21">
        <f>Deployments!O2</f>
        <v/>
      </c>
      <c r="G2" s="14">
        <f>Deployments!P2</f>
        <v/>
      </c>
      <c r="H2" s="14">
        <f>'13 - Config_Intake_View'!M2</f>
        <v/>
      </c>
      <c r="I2" s="21">
        <f>IF('13 - Config_Intake_View'!Q2&lt;&gt;"",'13 - Config_Intake_View'!Q2,Deployments!AG2)</f>
        <v/>
      </c>
      <c r="J2" s="14">
        <f>IF('13 - Config_Intake_View'!Q2&lt;&gt;"","PM Approved",IF(Deployments!AG2&lt;&gt;"","Assumed",""))</f>
        <v/>
      </c>
      <c r="K2" s="21">
        <f>Deployments!AF2</f>
        <v/>
      </c>
      <c r="L2" s="14">
        <f>Deployments!U2</f>
        <v/>
      </c>
      <c r="M2" s="14">
        <f>Deployments!L2</f>
        <v/>
      </c>
      <c r="N2" s="14">
        <f>Deployments!CC2</f>
        <v/>
      </c>
      <c r="O2" s="21">
        <f>Deployments!CD2</f>
        <v/>
      </c>
      <c r="P2" s="2">
        <f>Deployments!BX2</f>
        <v/>
      </c>
      <c r="Q2" s="21">
        <f>IF(OR($A2="",$B2="",$D2=""),"MISSING CORE FIELDS","")</f>
        <v/>
      </c>
      <c r="R2" s="14">
        <f>IF(AND($I2&lt;&gt;"",$K2&lt;&gt;"Yes"),"SW NOT INSTALLED","")</f>
        <v/>
      </c>
      <c r="S2" s="14">
        <f>IF(AND($H2&lt;&gt;"",ISNUMBER(SEARCH("auto",LOWER($H2))),$F2=""),"AUTOLOGON REQUIRED","")</f>
        <v/>
      </c>
      <c r="T2" s="14">
        <f>IF($Q2&lt;&gt;"",$Q2,IF($S2&lt;&gt;"",$S2,IF($R2&lt;&gt;"",$R2,IF(OR($N2&lt;&gt;"",$O2="Blocked"),"BLOCKED","OK"))))</f>
        <v/>
      </c>
    </row>
    <row r="3">
      <c r="A3" s="21">
        <f>Deployments!H3</f>
        <v/>
      </c>
      <c r="B3" s="21">
        <f>Deployments!X3</f>
        <v/>
      </c>
      <c r="C3" s="21">
        <f>Deployments!Y3</f>
        <v/>
      </c>
      <c r="D3" s="14">
        <f>Deployments!AO3</f>
        <v/>
      </c>
      <c r="E3" s="14">
        <f>Deployments!N3</f>
        <v/>
      </c>
      <c r="F3" s="21">
        <f>Deployments!O3</f>
        <v/>
      </c>
      <c r="G3" s="14">
        <f>Deployments!P3</f>
        <v/>
      </c>
      <c r="H3" s="14">
        <f>'13 - Config_Intake_View'!M3</f>
        <v/>
      </c>
      <c r="I3" s="21">
        <f>IF('13 - Config_Intake_View'!Q3&lt;&gt;"",'13 - Config_Intake_View'!Q3,Deployments!AG3)</f>
        <v/>
      </c>
      <c r="J3" s="14">
        <f>IF('13 - Config_Intake_View'!Q3&lt;&gt;"","PM Approved",IF(Deployments!AG3&lt;&gt;"","Assumed",""))</f>
        <v/>
      </c>
      <c r="K3" s="21">
        <f>Deployments!AF3</f>
        <v/>
      </c>
      <c r="L3" s="14">
        <f>Deployments!U3</f>
        <v/>
      </c>
      <c r="M3" s="14">
        <f>Deployments!L3</f>
        <v/>
      </c>
      <c r="N3" s="14">
        <f>Deployments!CC3</f>
        <v/>
      </c>
      <c r="O3" s="21">
        <f>Deployments!CD3</f>
        <v/>
      </c>
      <c r="P3" s="2">
        <f>Deployments!BX3</f>
        <v/>
      </c>
      <c r="Q3" s="21">
        <f>IF(OR($A3="",$B3="",$D3=""),"MISSING CORE FIELDS","")</f>
        <v/>
      </c>
      <c r="R3" s="14">
        <f>IF(AND($I3&lt;&gt;"",$K3&lt;&gt;"Yes"),"SW NOT INSTALLED","")</f>
        <v/>
      </c>
      <c r="S3" s="14">
        <f>IF(AND($H3&lt;&gt;"",ISNUMBER(SEARCH("auto",LOWER($H3))),$F3=""),"AUTOLOGON REQUIRED","")</f>
        <v/>
      </c>
      <c r="T3" s="14">
        <f>IF($Q3&lt;&gt;"",$Q3,IF($S3&lt;&gt;"",$S3,IF($R3&lt;&gt;"",$R3,IF(OR($N3&lt;&gt;"",$O3="Blocked"),"BLOCKED","OK"))))</f>
        <v/>
      </c>
    </row>
    <row r="4">
      <c r="A4" s="21">
        <f>Deployments!H4</f>
        <v/>
      </c>
      <c r="B4" s="21">
        <f>Deployments!X4</f>
        <v/>
      </c>
      <c r="C4" s="21">
        <f>Deployments!Y4</f>
        <v/>
      </c>
      <c r="D4" s="14">
        <f>Deployments!AO4</f>
        <v/>
      </c>
      <c r="E4" s="14">
        <f>Deployments!N4</f>
        <v/>
      </c>
      <c r="F4" s="21">
        <f>Deployments!O4</f>
        <v/>
      </c>
      <c r="G4" s="14">
        <f>Deployments!P4</f>
        <v/>
      </c>
      <c r="H4" s="14">
        <f>'13 - Config_Intake_View'!M4</f>
        <v/>
      </c>
      <c r="I4" s="21">
        <f>IF('13 - Config_Intake_View'!Q4&lt;&gt;"",'13 - Config_Intake_View'!Q4,Deployments!AG4)</f>
        <v/>
      </c>
      <c r="J4" s="14">
        <f>IF('13 - Config_Intake_View'!Q4&lt;&gt;"","PM Approved",IF(Deployments!AG4&lt;&gt;"","Assumed",""))</f>
        <v/>
      </c>
      <c r="K4" s="21">
        <f>Deployments!AF4</f>
        <v/>
      </c>
      <c r="L4" s="14">
        <f>Deployments!U4</f>
        <v/>
      </c>
      <c r="M4" s="14">
        <f>Deployments!L4</f>
        <v/>
      </c>
      <c r="N4" s="14">
        <f>Deployments!CC4</f>
        <v/>
      </c>
      <c r="O4" s="21">
        <f>Deployments!CD4</f>
        <v/>
      </c>
      <c r="P4" s="2">
        <f>Deployments!BX4</f>
        <v/>
      </c>
      <c r="Q4" s="21">
        <f>IF(OR($A4="",$B4="",$D4=""),"MISSING CORE FIELDS","")</f>
        <v/>
      </c>
      <c r="R4" s="14">
        <f>IF(AND($I4&lt;&gt;"",$K4&lt;&gt;"Yes"),"SW NOT INSTALLED","")</f>
        <v/>
      </c>
      <c r="S4" s="14">
        <f>IF(AND($H4&lt;&gt;"",ISNUMBER(SEARCH("auto",LOWER($H4))),$F4=""),"AUTOLOGON REQUIRED","")</f>
        <v/>
      </c>
      <c r="T4" s="14">
        <f>IF($Q4&lt;&gt;"",$Q4,IF($S4&lt;&gt;"",$S4,IF($R4&lt;&gt;"",$R4,IF(OR($N4&lt;&gt;"",$O4="Blocked"),"BLOCKED","OK"))))</f>
        <v/>
      </c>
    </row>
    <row r="5">
      <c r="A5" s="21">
        <f>Deployments!H5</f>
        <v/>
      </c>
      <c r="B5" s="21">
        <f>Deployments!X5</f>
        <v/>
      </c>
      <c r="C5" s="21">
        <f>Deployments!Y5</f>
        <v/>
      </c>
      <c r="D5" s="14">
        <f>Deployments!AO5</f>
        <v/>
      </c>
      <c r="E5" s="14">
        <f>Deployments!N5</f>
        <v/>
      </c>
      <c r="F5" s="21">
        <f>Deployments!O5</f>
        <v/>
      </c>
      <c r="G5" s="14">
        <f>Deployments!P5</f>
        <v/>
      </c>
      <c r="H5" s="14">
        <f>'13 - Config_Intake_View'!M5</f>
        <v/>
      </c>
      <c r="I5" s="21">
        <f>IF('13 - Config_Intake_View'!Q5&lt;&gt;"",'13 - Config_Intake_View'!Q5,Deployments!AG5)</f>
        <v/>
      </c>
      <c r="J5" s="14">
        <f>IF('13 - Config_Intake_View'!Q5&lt;&gt;"","PM Approved",IF(Deployments!AG5&lt;&gt;"","Assumed",""))</f>
        <v/>
      </c>
      <c r="K5" s="21">
        <f>Deployments!AF5</f>
        <v/>
      </c>
      <c r="L5" s="14">
        <f>Deployments!U5</f>
        <v/>
      </c>
      <c r="M5" s="14">
        <f>Deployments!L5</f>
        <v/>
      </c>
      <c r="N5" s="14">
        <f>Deployments!CC5</f>
        <v/>
      </c>
      <c r="O5" s="21">
        <f>Deployments!CD5</f>
        <v/>
      </c>
      <c r="P5" s="2">
        <f>Deployments!BX5</f>
        <v/>
      </c>
      <c r="Q5" s="21">
        <f>IF(OR($A5="",$B5="",$D5=""),"MISSING CORE FIELDS","")</f>
        <v/>
      </c>
      <c r="R5" s="14">
        <f>IF(AND($I5&lt;&gt;"",$K5&lt;&gt;"Yes"),"SW NOT INSTALLED","")</f>
        <v/>
      </c>
      <c r="S5" s="14">
        <f>IF(AND($H5&lt;&gt;"",ISNUMBER(SEARCH("auto",LOWER($H5))),$F5=""),"AUTOLOGON REQUIRED","")</f>
        <v/>
      </c>
      <c r="T5" s="14">
        <f>IF($Q5&lt;&gt;"",$Q5,IF($S5&lt;&gt;"",$S5,IF($R5&lt;&gt;"",$R5,IF(OR($N5&lt;&gt;"",$O5="Blocked"),"BLOCKED","OK"))))</f>
        <v/>
      </c>
    </row>
    <row r="6">
      <c r="A6" s="21">
        <f>Deployments!H6</f>
        <v/>
      </c>
      <c r="B6" s="21">
        <f>Deployments!X6</f>
        <v/>
      </c>
      <c r="C6" s="21">
        <f>Deployments!Y6</f>
        <v/>
      </c>
      <c r="D6" s="14">
        <f>Deployments!AO6</f>
        <v/>
      </c>
      <c r="E6" s="14">
        <f>Deployments!N6</f>
        <v/>
      </c>
      <c r="F6" s="21">
        <f>Deployments!O6</f>
        <v/>
      </c>
      <c r="G6" s="14">
        <f>Deployments!P6</f>
        <v/>
      </c>
      <c r="H6" s="14">
        <f>'13 - Config_Intake_View'!M6</f>
        <v/>
      </c>
      <c r="I6" s="21">
        <f>IF('13 - Config_Intake_View'!Q6&lt;&gt;"",'13 - Config_Intake_View'!Q6,Deployments!AG6)</f>
        <v/>
      </c>
      <c r="J6" s="14">
        <f>IF('13 - Config_Intake_View'!Q6&lt;&gt;"","PM Approved",IF(Deployments!AG6&lt;&gt;"","Assumed",""))</f>
        <v/>
      </c>
      <c r="K6" s="21">
        <f>Deployments!AF6</f>
        <v/>
      </c>
      <c r="L6" s="14">
        <f>Deployments!U6</f>
        <v/>
      </c>
      <c r="M6" s="14">
        <f>Deployments!L6</f>
        <v/>
      </c>
      <c r="N6" s="14">
        <f>Deployments!CC6</f>
        <v/>
      </c>
      <c r="O6" s="21">
        <f>Deployments!CD6</f>
        <v/>
      </c>
      <c r="P6" s="2">
        <f>Deployments!BX6</f>
        <v/>
      </c>
      <c r="Q6" s="21">
        <f>IF(OR($A6="",$B6="",$D6=""),"MISSING CORE FIELDS","")</f>
        <v/>
      </c>
      <c r="R6" s="14">
        <f>IF(AND($I6&lt;&gt;"",$K6&lt;&gt;"Yes"),"SW NOT INSTALLED","")</f>
        <v/>
      </c>
      <c r="S6" s="14">
        <f>IF(AND($H6&lt;&gt;"",ISNUMBER(SEARCH("auto",LOWER($H6))),$F6=""),"AUTOLOGON REQUIRED","")</f>
        <v/>
      </c>
      <c r="T6" s="14">
        <f>IF($Q6&lt;&gt;"",$Q6,IF($S6&lt;&gt;"",$S6,IF($R6&lt;&gt;"",$R6,IF(OR($N6&lt;&gt;"",$O6="Blocked"),"BLOCKED","OK"))))</f>
        <v/>
      </c>
    </row>
    <row r="7">
      <c r="A7" s="21">
        <f>Deployments!H7</f>
        <v/>
      </c>
      <c r="B7" s="21">
        <f>Deployments!X7</f>
        <v/>
      </c>
      <c r="C7" s="21">
        <f>Deployments!Y7</f>
        <v/>
      </c>
      <c r="D7" s="14">
        <f>Deployments!AO7</f>
        <v/>
      </c>
      <c r="E7" s="14">
        <f>Deployments!N7</f>
        <v/>
      </c>
      <c r="F7" s="21">
        <f>Deployments!O7</f>
        <v/>
      </c>
      <c r="G7" s="14">
        <f>Deployments!P7</f>
        <v/>
      </c>
      <c r="H7" s="14">
        <f>'13 - Config_Intake_View'!M7</f>
        <v/>
      </c>
      <c r="I7" s="21">
        <f>IF('13 - Config_Intake_View'!Q7&lt;&gt;"",'13 - Config_Intake_View'!Q7,Deployments!AG7)</f>
        <v/>
      </c>
      <c r="J7" s="14">
        <f>IF('13 - Config_Intake_View'!Q7&lt;&gt;"","PM Approved",IF(Deployments!AG7&lt;&gt;"","Assumed",""))</f>
        <v/>
      </c>
      <c r="K7" s="21">
        <f>Deployments!AF7</f>
        <v/>
      </c>
      <c r="L7" s="14">
        <f>Deployments!U7</f>
        <v/>
      </c>
      <c r="M7" s="14">
        <f>Deployments!L7</f>
        <v/>
      </c>
      <c r="N7" s="14">
        <f>Deployments!CC7</f>
        <v/>
      </c>
      <c r="O7" s="21">
        <f>Deployments!CD7</f>
        <v/>
      </c>
      <c r="P7" s="2">
        <f>Deployments!BX7</f>
        <v/>
      </c>
      <c r="Q7" s="21">
        <f>IF(OR($A7="",$B7="",$D7=""),"MISSING CORE FIELDS","")</f>
        <v/>
      </c>
      <c r="R7" s="14">
        <f>IF(AND($I7&lt;&gt;"",$K7&lt;&gt;"Yes"),"SW NOT INSTALLED","")</f>
        <v/>
      </c>
      <c r="S7" s="14">
        <f>IF(AND($H7&lt;&gt;"",ISNUMBER(SEARCH("auto",LOWER($H7))),$F7=""),"AUTOLOGON REQUIRED","")</f>
        <v/>
      </c>
      <c r="T7" s="14">
        <f>IF($Q7&lt;&gt;"",$Q7,IF($S7&lt;&gt;"",$S7,IF($R7&lt;&gt;"",$R7,IF(OR($N7&lt;&gt;"",$O7="Blocked"),"BLOCKED","OK"))))</f>
        <v/>
      </c>
    </row>
    <row r="8">
      <c r="A8" s="21">
        <f>Deployments!H8</f>
        <v/>
      </c>
      <c r="B8" s="21">
        <f>Deployments!X8</f>
        <v/>
      </c>
      <c r="C8" s="21">
        <f>Deployments!Y8</f>
        <v/>
      </c>
      <c r="D8" s="14">
        <f>Deployments!AO8</f>
        <v/>
      </c>
      <c r="E8" s="14">
        <f>Deployments!N8</f>
        <v/>
      </c>
      <c r="F8" s="21">
        <f>Deployments!O8</f>
        <v/>
      </c>
      <c r="G8" s="14">
        <f>Deployments!P8</f>
        <v/>
      </c>
      <c r="H8" s="14">
        <f>'13 - Config_Intake_View'!M8</f>
        <v/>
      </c>
      <c r="I8" s="21">
        <f>IF('13 - Config_Intake_View'!Q8&lt;&gt;"",'13 - Config_Intake_View'!Q8,Deployments!AG8)</f>
        <v/>
      </c>
      <c r="J8" s="14">
        <f>IF('13 - Config_Intake_View'!Q8&lt;&gt;"","PM Approved",IF(Deployments!AG8&lt;&gt;"","Assumed",""))</f>
        <v/>
      </c>
      <c r="K8" s="21">
        <f>Deployments!AF8</f>
        <v/>
      </c>
      <c r="L8" s="14">
        <f>Deployments!U8</f>
        <v/>
      </c>
      <c r="M8" s="14">
        <f>Deployments!L8</f>
        <v/>
      </c>
      <c r="N8" s="14">
        <f>Deployments!CC8</f>
        <v/>
      </c>
      <c r="O8" s="21">
        <f>Deployments!CD8</f>
        <v/>
      </c>
      <c r="P8" s="2">
        <f>Deployments!BX8</f>
        <v/>
      </c>
      <c r="Q8" s="21">
        <f>IF(OR($A8="",$B8="",$D8=""),"MISSING CORE FIELDS","")</f>
        <v/>
      </c>
      <c r="R8" s="14">
        <f>IF(AND($I8&lt;&gt;"",$K8&lt;&gt;"Yes"),"SW NOT INSTALLED","")</f>
        <v/>
      </c>
      <c r="S8" s="14">
        <f>IF(AND($H8&lt;&gt;"",ISNUMBER(SEARCH("auto",LOWER($H8))),$F8=""),"AUTOLOGON REQUIRED","")</f>
        <v/>
      </c>
      <c r="T8" s="14">
        <f>IF($Q8&lt;&gt;"",$Q8,IF($S8&lt;&gt;"",$S8,IF($R8&lt;&gt;"",$R8,IF(OR($N8&lt;&gt;"",$O8="Blocked"),"BLOCKED","OK"))))</f>
        <v/>
      </c>
    </row>
    <row r="9">
      <c r="A9" s="21">
        <f>Deployments!H9</f>
        <v/>
      </c>
      <c r="B9" s="21">
        <f>Deployments!X9</f>
        <v/>
      </c>
      <c r="C9" s="21">
        <f>Deployments!Y9</f>
        <v/>
      </c>
      <c r="D9" s="14">
        <f>Deployments!AO9</f>
        <v/>
      </c>
      <c r="E9" s="14">
        <f>Deployments!N9</f>
        <v/>
      </c>
      <c r="F9" s="21">
        <f>Deployments!O9</f>
        <v/>
      </c>
      <c r="G9" s="14">
        <f>Deployments!P9</f>
        <v/>
      </c>
      <c r="H9" s="14">
        <f>'13 - Config_Intake_View'!M9</f>
        <v/>
      </c>
      <c r="I9" s="21">
        <f>IF('13 - Config_Intake_View'!Q9&lt;&gt;"",'13 - Config_Intake_View'!Q9,Deployments!AG9)</f>
        <v/>
      </c>
      <c r="J9" s="14">
        <f>IF('13 - Config_Intake_View'!Q9&lt;&gt;"","PM Approved",IF(Deployments!AG9&lt;&gt;"","Assumed",""))</f>
        <v/>
      </c>
      <c r="K9" s="21">
        <f>Deployments!AF9</f>
        <v/>
      </c>
      <c r="L9" s="14">
        <f>Deployments!U9</f>
        <v/>
      </c>
      <c r="M9" s="14">
        <f>Deployments!L9</f>
        <v/>
      </c>
      <c r="N9" s="14">
        <f>Deployments!CC9</f>
        <v/>
      </c>
      <c r="O9" s="21">
        <f>Deployments!CD9</f>
        <v/>
      </c>
      <c r="P9" s="2">
        <f>Deployments!BX9</f>
        <v/>
      </c>
      <c r="Q9" s="21">
        <f>IF(OR($A9="",$B9="",$D9=""),"MISSING CORE FIELDS","")</f>
        <v/>
      </c>
      <c r="R9" s="14">
        <f>IF(AND($I9&lt;&gt;"",$K9&lt;&gt;"Yes"),"SW NOT INSTALLED","")</f>
        <v/>
      </c>
      <c r="S9" s="14">
        <f>IF(AND($H9&lt;&gt;"",ISNUMBER(SEARCH("auto",LOWER($H9))),$F9=""),"AUTOLOGON REQUIRED","")</f>
        <v/>
      </c>
      <c r="T9" s="14">
        <f>IF($Q9&lt;&gt;"",$Q9,IF($S9&lt;&gt;"",$S9,IF($R9&lt;&gt;"",$R9,IF(OR($N9&lt;&gt;"",$O9="Blocked"),"BLOCKED","OK"))))</f>
        <v/>
      </c>
    </row>
    <row r="10">
      <c r="A10" s="21">
        <f>Deployments!H10</f>
        <v/>
      </c>
      <c r="B10" s="21">
        <f>Deployments!X10</f>
        <v/>
      </c>
      <c r="C10" s="21">
        <f>Deployments!Y10</f>
        <v/>
      </c>
      <c r="D10" s="14">
        <f>Deployments!AO10</f>
        <v/>
      </c>
      <c r="E10" s="14">
        <f>Deployments!N10</f>
        <v/>
      </c>
      <c r="F10" s="21">
        <f>Deployments!O10</f>
        <v/>
      </c>
      <c r="G10" s="14">
        <f>Deployments!P10</f>
        <v/>
      </c>
      <c r="H10" s="14">
        <f>'13 - Config_Intake_View'!M10</f>
        <v/>
      </c>
      <c r="I10" s="21">
        <f>IF('13 - Config_Intake_View'!Q10&lt;&gt;"",'13 - Config_Intake_View'!Q10,Deployments!AG10)</f>
        <v/>
      </c>
      <c r="J10" s="14">
        <f>IF('13 - Config_Intake_View'!Q10&lt;&gt;"","PM Approved",IF(Deployments!AG10&lt;&gt;"","Assumed",""))</f>
        <v/>
      </c>
      <c r="K10" s="21">
        <f>Deployments!AF10</f>
        <v/>
      </c>
      <c r="L10" s="14">
        <f>Deployments!U10</f>
        <v/>
      </c>
      <c r="M10" s="14">
        <f>Deployments!L10</f>
        <v/>
      </c>
      <c r="N10" s="14">
        <f>Deployments!CC10</f>
        <v/>
      </c>
      <c r="O10" s="21">
        <f>Deployments!CD10</f>
        <v/>
      </c>
      <c r="P10" s="2">
        <f>Deployments!BX10</f>
        <v/>
      </c>
      <c r="Q10" s="21">
        <f>IF(OR($A10="",$B10="",$D10=""),"MISSING CORE FIELDS","")</f>
        <v/>
      </c>
      <c r="R10" s="14">
        <f>IF(AND($I10&lt;&gt;"",$K10&lt;&gt;"Yes"),"SW NOT INSTALLED","")</f>
        <v/>
      </c>
      <c r="S10" s="14">
        <f>IF(AND($H10&lt;&gt;"",ISNUMBER(SEARCH("auto",LOWER($H10))),$F10=""),"AUTOLOGON REQUIRED","")</f>
        <v/>
      </c>
      <c r="T10" s="14">
        <f>IF($Q10&lt;&gt;"",$Q10,IF($S10&lt;&gt;"",$S10,IF($R10&lt;&gt;"",$R10,IF(OR($N10&lt;&gt;"",$O10="Blocked"),"BLOCKED","OK"))))</f>
        <v/>
      </c>
    </row>
    <row r="11">
      <c r="A11" s="21">
        <f>Deployments!H11</f>
        <v/>
      </c>
      <c r="B11" s="21">
        <f>Deployments!X11</f>
        <v/>
      </c>
      <c r="C11" s="21">
        <f>Deployments!Y11</f>
        <v/>
      </c>
      <c r="D11" s="14">
        <f>Deployments!AO11</f>
        <v/>
      </c>
      <c r="E11" s="14">
        <f>Deployments!N11</f>
        <v/>
      </c>
      <c r="F11" s="21">
        <f>Deployments!O11</f>
        <v/>
      </c>
      <c r="G11" s="14">
        <f>Deployments!P11</f>
        <v/>
      </c>
      <c r="H11" s="14">
        <f>'13 - Config_Intake_View'!M11</f>
        <v/>
      </c>
      <c r="I11" s="21">
        <f>IF('13 - Config_Intake_View'!Q11&lt;&gt;"",'13 - Config_Intake_View'!Q11,Deployments!AG11)</f>
        <v/>
      </c>
      <c r="J11" s="14">
        <f>IF('13 - Config_Intake_View'!Q11&lt;&gt;"","PM Approved",IF(Deployments!AG11&lt;&gt;"","Assumed",""))</f>
        <v/>
      </c>
      <c r="K11" s="21">
        <f>Deployments!AF11</f>
        <v/>
      </c>
      <c r="L11" s="14">
        <f>Deployments!U11</f>
        <v/>
      </c>
      <c r="M11" s="14">
        <f>Deployments!L11</f>
        <v/>
      </c>
      <c r="N11" s="14">
        <f>Deployments!CC11</f>
        <v/>
      </c>
      <c r="O11" s="21">
        <f>Deployments!CD11</f>
        <v/>
      </c>
      <c r="P11" s="2">
        <f>Deployments!BX11</f>
        <v/>
      </c>
      <c r="Q11" s="21">
        <f>IF(OR($A11="",$B11="",$D11=""),"MISSING CORE FIELDS","")</f>
        <v/>
      </c>
      <c r="R11" s="14">
        <f>IF(AND($I11&lt;&gt;"",$K11&lt;&gt;"Yes"),"SW NOT INSTALLED","")</f>
        <v/>
      </c>
      <c r="S11" s="14">
        <f>IF(AND($H11&lt;&gt;"",ISNUMBER(SEARCH("auto",LOWER($H11))),$F11=""),"AUTOLOGON REQUIRED","")</f>
        <v/>
      </c>
      <c r="T11" s="14">
        <f>IF($Q11&lt;&gt;"",$Q11,IF($S11&lt;&gt;"",$S11,IF($R11&lt;&gt;"",$R11,IF(OR($N11&lt;&gt;"",$O11="Blocked"),"BLOCKED","OK"))))</f>
        <v/>
      </c>
    </row>
    <row r="12">
      <c r="A12" s="21">
        <f>Deployments!H12</f>
        <v/>
      </c>
      <c r="B12" s="21">
        <f>Deployments!X12</f>
        <v/>
      </c>
      <c r="C12" s="21">
        <f>Deployments!Y12</f>
        <v/>
      </c>
      <c r="D12" s="14">
        <f>Deployments!AO12</f>
        <v/>
      </c>
      <c r="E12" s="14">
        <f>Deployments!N12</f>
        <v/>
      </c>
      <c r="F12" s="21">
        <f>Deployments!O12</f>
        <v/>
      </c>
      <c r="G12" s="14">
        <f>Deployments!P12</f>
        <v/>
      </c>
      <c r="H12" s="14">
        <f>'13 - Config_Intake_View'!M12</f>
        <v/>
      </c>
      <c r="I12" s="21">
        <f>IF('13 - Config_Intake_View'!Q12&lt;&gt;"",'13 - Config_Intake_View'!Q12,Deployments!AG12)</f>
        <v/>
      </c>
      <c r="J12" s="14">
        <f>IF('13 - Config_Intake_View'!Q12&lt;&gt;"","PM Approved",IF(Deployments!AG12&lt;&gt;"","Assumed",""))</f>
        <v/>
      </c>
      <c r="K12" s="21">
        <f>Deployments!AF12</f>
        <v/>
      </c>
      <c r="L12" s="14">
        <f>Deployments!U12</f>
        <v/>
      </c>
      <c r="M12" s="14">
        <f>Deployments!L12</f>
        <v/>
      </c>
      <c r="N12" s="14">
        <f>Deployments!CC12</f>
        <v/>
      </c>
      <c r="O12" s="21">
        <f>Deployments!CD12</f>
        <v/>
      </c>
      <c r="P12" s="2">
        <f>Deployments!BX12</f>
        <v/>
      </c>
      <c r="Q12" s="21">
        <f>IF(OR($A12="",$B12="",$D12=""),"MISSING CORE FIELDS","")</f>
        <v/>
      </c>
      <c r="R12" s="14">
        <f>IF(AND($I12&lt;&gt;"",$K12&lt;&gt;"Yes"),"SW NOT INSTALLED","")</f>
        <v/>
      </c>
      <c r="S12" s="14">
        <f>IF(AND($H12&lt;&gt;"",ISNUMBER(SEARCH("auto",LOWER($H12))),$F12=""),"AUTOLOGON REQUIRED","")</f>
        <v/>
      </c>
      <c r="T12" s="14">
        <f>IF($Q12&lt;&gt;"",$Q12,IF($S12&lt;&gt;"",$S12,IF($R12&lt;&gt;"",$R12,IF(OR($N12&lt;&gt;"",$O12="Blocked"),"BLOCKED","OK"))))</f>
        <v/>
      </c>
    </row>
    <row r="13">
      <c r="A13" s="21">
        <f>Deployments!H13</f>
        <v/>
      </c>
      <c r="B13" s="21">
        <f>Deployments!X13</f>
        <v/>
      </c>
      <c r="C13" s="21">
        <f>Deployments!Y13</f>
        <v/>
      </c>
      <c r="D13" s="14">
        <f>Deployments!AO13</f>
        <v/>
      </c>
      <c r="E13" s="14">
        <f>Deployments!N13</f>
        <v/>
      </c>
      <c r="F13" s="21">
        <f>Deployments!O13</f>
        <v/>
      </c>
      <c r="G13" s="14">
        <f>Deployments!P13</f>
        <v/>
      </c>
      <c r="H13" s="14">
        <f>'13 - Config_Intake_View'!M13</f>
        <v/>
      </c>
      <c r="I13" s="21">
        <f>IF('13 - Config_Intake_View'!Q13&lt;&gt;"",'13 - Config_Intake_View'!Q13,Deployments!AG13)</f>
        <v/>
      </c>
      <c r="J13" s="14">
        <f>IF('13 - Config_Intake_View'!Q13&lt;&gt;"","PM Approved",IF(Deployments!AG13&lt;&gt;"","Assumed",""))</f>
        <v/>
      </c>
      <c r="K13" s="21">
        <f>Deployments!AF13</f>
        <v/>
      </c>
      <c r="L13" s="14">
        <f>Deployments!U13</f>
        <v/>
      </c>
      <c r="M13" s="14">
        <f>Deployments!L13</f>
        <v/>
      </c>
      <c r="N13" s="14">
        <f>Deployments!CC13</f>
        <v/>
      </c>
      <c r="O13" s="21">
        <f>Deployments!CD13</f>
        <v/>
      </c>
      <c r="P13" s="2">
        <f>Deployments!BX13</f>
        <v/>
      </c>
      <c r="Q13" s="21">
        <f>IF(OR($A13="",$B13="",$D13=""),"MISSING CORE FIELDS","")</f>
        <v/>
      </c>
      <c r="R13" s="14">
        <f>IF(AND($I13&lt;&gt;"",$K13&lt;&gt;"Yes"),"SW NOT INSTALLED","")</f>
        <v/>
      </c>
      <c r="S13" s="14">
        <f>IF(AND($H13&lt;&gt;"",ISNUMBER(SEARCH("auto",LOWER($H13))),$F13=""),"AUTOLOGON REQUIRED","")</f>
        <v/>
      </c>
      <c r="T13" s="14">
        <f>IF($Q13&lt;&gt;"",$Q13,IF($S13&lt;&gt;"",$S13,IF($R13&lt;&gt;"",$R13,IF(OR($N13&lt;&gt;"",$O13="Blocked"),"BLOCKED","OK"))))</f>
        <v/>
      </c>
    </row>
    <row r="14">
      <c r="A14" s="21">
        <f>Deployments!H14</f>
        <v/>
      </c>
      <c r="B14" s="21">
        <f>Deployments!X14</f>
        <v/>
      </c>
      <c r="C14" s="21">
        <f>Deployments!Y14</f>
        <v/>
      </c>
      <c r="D14" s="14">
        <f>Deployments!AO14</f>
        <v/>
      </c>
      <c r="E14" s="14">
        <f>Deployments!N14</f>
        <v/>
      </c>
      <c r="F14" s="21">
        <f>Deployments!O14</f>
        <v/>
      </c>
      <c r="G14" s="14">
        <f>Deployments!P14</f>
        <v/>
      </c>
      <c r="H14" s="14">
        <f>'13 - Config_Intake_View'!M14</f>
        <v/>
      </c>
      <c r="I14" s="21">
        <f>IF('13 - Config_Intake_View'!Q14&lt;&gt;"",'13 - Config_Intake_View'!Q14,Deployments!AG14)</f>
        <v/>
      </c>
      <c r="J14" s="14">
        <f>IF('13 - Config_Intake_View'!Q14&lt;&gt;"","PM Approved",IF(Deployments!AG14&lt;&gt;"","Assumed",""))</f>
        <v/>
      </c>
      <c r="K14" s="21">
        <f>Deployments!AF14</f>
        <v/>
      </c>
      <c r="L14" s="14">
        <f>Deployments!U14</f>
        <v/>
      </c>
      <c r="M14" s="14">
        <f>Deployments!L14</f>
        <v/>
      </c>
      <c r="N14" s="14">
        <f>Deployments!CC14</f>
        <v/>
      </c>
      <c r="O14" s="21">
        <f>Deployments!CD14</f>
        <v/>
      </c>
      <c r="P14" s="2">
        <f>Deployments!BX14</f>
        <v/>
      </c>
      <c r="Q14" s="21">
        <f>IF(OR($A14="",$B14="",$D14=""),"MISSING CORE FIELDS","")</f>
        <v/>
      </c>
      <c r="R14" s="14">
        <f>IF(AND($I14&lt;&gt;"",$K14&lt;&gt;"Yes"),"SW NOT INSTALLED","")</f>
        <v/>
      </c>
      <c r="S14" s="14">
        <f>IF(AND($H14&lt;&gt;"",ISNUMBER(SEARCH("auto",LOWER($H14))),$F14=""),"AUTOLOGON REQUIRED","")</f>
        <v/>
      </c>
      <c r="T14" s="14">
        <f>IF($Q14&lt;&gt;"",$Q14,IF($S14&lt;&gt;"",$S14,IF($R14&lt;&gt;"",$R14,IF(OR($N14&lt;&gt;"",$O14="Blocked"),"BLOCKED","OK"))))</f>
        <v/>
      </c>
    </row>
    <row r="15">
      <c r="A15" s="21">
        <f>Deployments!H15</f>
        <v/>
      </c>
      <c r="B15" s="21">
        <f>Deployments!X15</f>
        <v/>
      </c>
      <c r="C15" s="21">
        <f>Deployments!Y15</f>
        <v/>
      </c>
      <c r="D15" s="14">
        <f>Deployments!AO15</f>
        <v/>
      </c>
      <c r="E15" s="14">
        <f>Deployments!N15</f>
        <v/>
      </c>
      <c r="F15" s="21">
        <f>Deployments!O15</f>
        <v/>
      </c>
      <c r="G15" s="14">
        <f>Deployments!P15</f>
        <v/>
      </c>
      <c r="H15" s="14">
        <f>'13 - Config_Intake_View'!M15</f>
        <v/>
      </c>
      <c r="I15" s="21">
        <f>IF('13 - Config_Intake_View'!Q15&lt;&gt;"",'13 - Config_Intake_View'!Q15,Deployments!AG15)</f>
        <v/>
      </c>
      <c r="J15" s="14">
        <f>IF('13 - Config_Intake_View'!Q15&lt;&gt;"","PM Approved",IF(Deployments!AG15&lt;&gt;"","Assumed",""))</f>
        <v/>
      </c>
      <c r="K15" s="21">
        <f>Deployments!AF15</f>
        <v/>
      </c>
      <c r="L15" s="14">
        <f>Deployments!U15</f>
        <v/>
      </c>
      <c r="M15" s="14">
        <f>Deployments!L15</f>
        <v/>
      </c>
      <c r="N15" s="14">
        <f>Deployments!CC15</f>
        <v/>
      </c>
      <c r="O15" s="21">
        <f>Deployments!CD15</f>
        <v/>
      </c>
      <c r="P15" s="2">
        <f>Deployments!BX15</f>
        <v/>
      </c>
      <c r="Q15" s="21">
        <f>IF(OR($A15="",$B15="",$D15=""),"MISSING CORE FIELDS","")</f>
        <v/>
      </c>
      <c r="R15" s="14">
        <f>IF(AND($I15&lt;&gt;"",$K15&lt;&gt;"Yes"),"SW NOT INSTALLED","")</f>
        <v/>
      </c>
      <c r="S15" s="14">
        <f>IF(AND($H15&lt;&gt;"",ISNUMBER(SEARCH("auto",LOWER($H15))),$F15=""),"AUTOLOGON REQUIRED","")</f>
        <v/>
      </c>
      <c r="T15" s="14">
        <f>IF($Q15&lt;&gt;"",$Q15,IF($S15&lt;&gt;"",$S15,IF($R15&lt;&gt;"",$R15,IF(OR($N15&lt;&gt;"",$O15="Blocked"),"BLOCKED","OK"))))</f>
        <v/>
      </c>
    </row>
    <row r="16">
      <c r="A16" s="21">
        <f>Deployments!H16</f>
        <v/>
      </c>
      <c r="B16" s="21">
        <f>Deployments!X16</f>
        <v/>
      </c>
      <c r="C16" s="21">
        <f>Deployments!Y16</f>
        <v/>
      </c>
      <c r="D16" s="14">
        <f>Deployments!AO16</f>
        <v/>
      </c>
      <c r="E16" s="14">
        <f>Deployments!N16</f>
        <v/>
      </c>
      <c r="F16" s="21">
        <f>Deployments!O16</f>
        <v/>
      </c>
      <c r="G16" s="14">
        <f>Deployments!P16</f>
        <v/>
      </c>
      <c r="H16" s="14">
        <f>'13 - Config_Intake_View'!M16</f>
        <v/>
      </c>
      <c r="I16" s="21">
        <f>IF('13 - Config_Intake_View'!Q16&lt;&gt;"",'13 - Config_Intake_View'!Q16,Deployments!AG16)</f>
        <v/>
      </c>
      <c r="J16" s="14">
        <f>IF('13 - Config_Intake_View'!Q16&lt;&gt;"","PM Approved",IF(Deployments!AG16&lt;&gt;"","Assumed",""))</f>
        <v/>
      </c>
      <c r="K16" s="21">
        <f>Deployments!AF16</f>
        <v/>
      </c>
      <c r="L16" s="14">
        <f>Deployments!U16</f>
        <v/>
      </c>
      <c r="M16" s="14">
        <f>Deployments!L16</f>
        <v/>
      </c>
      <c r="N16" s="14">
        <f>Deployments!CC16</f>
        <v/>
      </c>
      <c r="O16" s="21">
        <f>Deployments!CD16</f>
        <v/>
      </c>
      <c r="P16" s="2">
        <f>Deployments!BX16</f>
        <v/>
      </c>
      <c r="Q16" s="21">
        <f>IF(OR($A16="",$B16="",$D16=""),"MISSING CORE FIELDS","")</f>
        <v/>
      </c>
      <c r="R16" s="14">
        <f>IF(AND($I16&lt;&gt;"",$K16&lt;&gt;"Yes"),"SW NOT INSTALLED","")</f>
        <v/>
      </c>
      <c r="S16" s="14">
        <f>IF(AND($H16&lt;&gt;"",ISNUMBER(SEARCH("auto",LOWER($H16))),$F16=""),"AUTOLOGON REQUIRED","")</f>
        <v/>
      </c>
      <c r="T16" s="14">
        <f>IF($Q16&lt;&gt;"",$Q16,IF($S16&lt;&gt;"",$S16,IF($R16&lt;&gt;"",$R16,IF(OR($N16&lt;&gt;"",$O16="Blocked"),"BLOCKED","OK"))))</f>
        <v/>
      </c>
    </row>
    <row r="17">
      <c r="A17" s="21">
        <f>Deployments!H17</f>
        <v/>
      </c>
      <c r="B17" s="21">
        <f>Deployments!X17</f>
        <v/>
      </c>
      <c r="C17" s="21">
        <f>Deployments!Y17</f>
        <v/>
      </c>
      <c r="D17" s="14">
        <f>Deployments!AO17</f>
        <v/>
      </c>
      <c r="E17" s="14">
        <f>Deployments!N17</f>
        <v/>
      </c>
      <c r="F17" s="21">
        <f>Deployments!O17</f>
        <v/>
      </c>
      <c r="G17" s="14">
        <f>Deployments!P17</f>
        <v/>
      </c>
      <c r="H17" s="14">
        <f>'13 - Config_Intake_View'!M17</f>
        <v/>
      </c>
      <c r="I17" s="21">
        <f>IF('13 - Config_Intake_View'!Q17&lt;&gt;"",'13 - Config_Intake_View'!Q17,Deployments!AG17)</f>
        <v/>
      </c>
      <c r="J17" s="14">
        <f>IF('13 - Config_Intake_View'!Q17&lt;&gt;"","PM Approved",IF(Deployments!AG17&lt;&gt;"","Assumed",""))</f>
        <v/>
      </c>
      <c r="K17" s="21">
        <f>Deployments!AF17</f>
        <v/>
      </c>
      <c r="L17" s="14">
        <f>Deployments!U17</f>
        <v/>
      </c>
      <c r="M17" s="14">
        <f>Deployments!L17</f>
        <v/>
      </c>
      <c r="N17" s="14">
        <f>Deployments!CC17</f>
        <v/>
      </c>
      <c r="O17" s="21">
        <f>Deployments!CD17</f>
        <v/>
      </c>
      <c r="P17" s="2">
        <f>Deployments!BX17</f>
        <v/>
      </c>
      <c r="Q17" s="21">
        <f>IF(OR($A17="",$B17="",$D17=""),"MISSING CORE FIELDS","")</f>
        <v/>
      </c>
      <c r="R17" s="14">
        <f>IF(AND($I17&lt;&gt;"",$K17&lt;&gt;"Yes"),"SW NOT INSTALLED","")</f>
        <v/>
      </c>
      <c r="S17" s="14">
        <f>IF(AND($H17&lt;&gt;"",ISNUMBER(SEARCH("auto",LOWER($H17))),$F17=""),"AUTOLOGON REQUIRED","")</f>
        <v/>
      </c>
      <c r="T17" s="14">
        <f>IF($Q17&lt;&gt;"",$Q17,IF($S17&lt;&gt;"",$S17,IF($R17&lt;&gt;"",$R17,IF(OR($N17&lt;&gt;"",$O17="Blocked"),"BLOCKED","OK"))))</f>
        <v/>
      </c>
    </row>
    <row r="18">
      <c r="A18" s="21">
        <f>Deployments!H18</f>
        <v/>
      </c>
      <c r="B18" s="21">
        <f>Deployments!X18</f>
        <v/>
      </c>
      <c r="C18" s="21">
        <f>Deployments!Y18</f>
        <v/>
      </c>
      <c r="D18" s="14">
        <f>Deployments!AO18</f>
        <v/>
      </c>
      <c r="E18" s="14">
        <f>Deployments!N18</f>
        <v/>
      </c>
      <c r="F18" s="21">
        <f>Deployments!O18</f>
        <v/>
      </c>
      <c r="G18" s="14">
        <f>Deployments!P18</f>
        <v/>
      </c>
      <c r="H18" s="14">
        <f>'13 - Config_Intake_View'!M18</f>
        <v/>
      </c>
      <c r="I18" s="21">
        <f>IF('13 - Config_Intake_View'!Q18&lt;&gt;"",'13 - Config_Intake_View'!Q18,Deployments!AG18)</f>
        <v/>
      </c>
      <c r="J18" s="14">
        <f>IF('13 - Config_Intake_View'!Q18&lt;&gt;"","PM Approved",IF(Deployments!AG18&lt;&gt;"","Assumed",""))</f>
        <v/>
      </c>
      <c r="K18" s="21">
        <f>Deployments!AF18</f>
        <v/>
      </c>
      <c r="L18" s="14">
        <f>Deployments!U18</f>
        <v/>
      </c>
      <c r="M18" s="14">
        <f>Deployments!L18</f>
        <v/>
      </c>
      <c r="N18" s="14">
        <f>Deployments!CC18</f>
        <v/>
      </c>
      <c r="O18" s="21">
        <f>Deployments!CD18</f>
        <v/>
      </c>
      <c r="P18" s="2">
        <f>Deployments!BX18</f>
        <v/>
      </c>
      <c r="Q18" s="21">
        <f>IF(OR($A18="",$B18="",$D18=""),"MISSING CORE FIELDS","")</f>
        <v/>
      </c>
      <c r="R18" s="14">
        <f>IF(AND($I18&lt;&gt;"",$K18&lt;&gt;"Yes"),"SW NOT INSTALLED","")</f>
        <v/>
      </c>
      <c r="S18" s="14">
        <f>IF(AND($H18&lt;&gt;"",ISNUMBER(SEARCH("auto",LOWER($H18))),$F18=""),"AUTOLOGON REQUIRED","")</f>
        <v/>
      </c>
      <c r="T18" s="14">
        <f>IF($Q18&lt;&gt;"",$Q18,IF($S18&lt;&gt;"",$S18,IF($R18&lt;&gt;"",$R18,IF(OR($N18&lt;&gt;"",$O18="Blocked"),"BLOCKED","OK"))))</f>
        <v/>
      </c>
    </row>
    <row r="19">
      <c r="A19" s="21">
        <f>Deployments!H19</f>
        <v/>
      </c>
      <c r="B19" s="21">
        <f>Deployments!X19</f>
        <v/>
      </c>
      <c r="C19" s="21">
        <f>Deployments!Y19</f>
        <v/>
      </c>
      <c r="D19" s="14">
        <f>Deployments!AO19</f>
        <v/>
      </c>
      <c r="E19" s="14">
        <f>Deployments!N19</f>
        <v/>
      </c>
      <c r="F19" s="21">
        <f>Deployments!O19</f>
        <v/>
      </c>
      <c r="G19" s="14">
        <f>Deployments!P19</f>
        <v/>
      </c>
      <c r="H19" s="14">
        <f>'13 - Config_Intake_View'!M19</f>
        <v/>
      </c>
      <c r="I19" s="21">
        <f>IF('13 - Config_Intake_View'!Q19&lt;&gt;"",'13 - Config_Intake_View'!Q19,Deployments!AG19)</f>
        <v/>
      </c>
      <c r="J19" s="14">
        <f>IF('13 - Config_Intake_View'!Q19&lt;&gt;"","PM Approved",IF(Deployments!AG19&lt;&gt;"","Assumed",""))</f>
        <v/>
      </c>
      <c r="K19" s="21">
        <f>Deployments!AF19</f>
        <v/>
      </c>
      <c r="L19" s="14">
        <f>Deployments!U19</f>
        <v/>
      </c>
      <c r="M19" s="14">
        <f>Deployments!L19</f>
        <v/>
      </c>
      <c r="N19" s="14">
        <f>Deployments!CC19</f>
        <v/>
      </c>
      <c r="O19" s="21">
        <f>Deployments!CD19</f>
        <v/>
      </c>
      <c r="P19" s="2">
        <f>Deployments!BX19</f>
        <v/>
      </c>
      <c r="Q19" s="21">
        <f>IF(OR($A19="",$B19="",$D19=""),"MISSING CORE FIELDS","")</f>
        <v/>
      </c>
      <c r="R19" s="14">
        <f>IF(AND($I19&lt;&gt;"",$K19&lt;&gt;"Yes"),"SW NOT INSTALLED","")</f>
        <v/>
      </c>
      <c r="S19" s="14">
        <f>IF(AND($H19&lt;&gt;"",ISNUMBER(SEARCH("auto",LOWER($H19))),$F19=""),"AUTOLOGON REQUIRED","")</f>
        <v/>
      </c>
      <c r="T19" s="14">
        <f>IF($Q19&lt;&gt;"",$Q19,IF($S19&lt;&gt;"",$S19,IF($R19&lt;&gt;"",$R19,IF(OR($N19&lt;&gt;"",$O19="Blocked"),"BLOCKED","OK"))))</f>
        <v/>
      </c>
    </row>
    <row r="20">
      <c r="A20" s="21">
        <f>Deployments!H20</f>
        <v/>
      </c>
      <c r="B20" s="21">
        <f>Deployments!X20</f>
        <v/>
      </c>
      <c r="C20" s="21">
        <f>Deployments!Y20</f>
        <v/>
      </c>
      <c r="D20" s="14">
        <f>Deployments!AO20</f>
        <v/>
      </c>
      <c r="E20" s="14">
        <f>Deployments!N20</f>
        <v/>
      </c>
      <c r="F20" s="21">
        <f>Deployments!O20</f>
        <v/>
      </c>
      <c r="G20" s="14">
        <f>Deployments!P20</f>
        <v/>
      </c>
      <c r="H20" s="14">
        <f>'13 - Config_Intake_View'!M20</f>
        <v/>
      </c>
      <c r="I20" s="21">
        <f>IF('13 - Config_Intake_View'!Q20&lt;&gt;"",'13 - Config_Intake_View'!Q20,Deployments!AG20)</f>
        <v/>
      </c>
      <c r="J20" s="14">
        <f>IF('13 - Config_Intake_View'!Q20&lt;&gt;"","PM Approved",IF(Deployments!AG20&lt;&gt;"","Assumed",""))</f>
        <v/>
      </c>
      <c r="K20" s="21">
        <f>Deployments!AF20</f>
        <v/>
      </c>
      <c r="L20" s="14">
        <f>Deployments!U20</f>
        <v/>
      </c>
      <c r="M20" s="14">
        <f>Deployments!L20</f>
        <v/>
      </c>
      <c r="N20" s="14">
        <f>Deployments!CC20</f>
        <v/>
      </c>
      <c r="O20" s="21">
        <f>Deployments!CD20</f>
        <v/>
      </c>
      <c r="P20" s="2">
        <f>Deployments!BX20</f>
        <v/>
      </c>
      <c r="Q20" s="21">
        <f>IF(OR($A20="",$B20="",$D20=""),"MISSING CORE FIELDS","")</f>
        <v/>
      </c>
      <c r="R20" s="14">
        <f>IF(AND($I20&lt;&gt;"",$K20&lt;&gt;"Yes"),"SW NOT INSTALLED","")</f>
        <v/>
      </c>
      <c r="S20" s="14">
        <f>IF(AND($H20&lt;&gt;"",ISNUMBER(SEARCH("auto",LOWER($H20))),$F20=""),"AUTOLOGON REQUIRED","")</f>
        <v/>
      </c>
      <c r="T20" s="14">
        <f>IF($Q20&lt;&gt;"",$Q20,IF($S20&lt;&gt;"",$S20,IF($R20&lt;&gt;"",$R20,IF(OR($N20&lt;&gt;"",$O20="Blocked"),"BLOCKED","OK"))))</f>
        <v/>
      </c>
    </row>
    <row r="21">
      <c r="A21" s="21">
        <f>Deployments!H21</f>
        <v/>
      </c>
      <c r="B21" s="21">
        <f>Deployments!X21</f>
        <v/>
      </c>
      <c r="C21" s="21">
        <f>Deployments!Y21</f>
        <v/>
      </c>
      <c r="D21" s="14">
        <f>Deployments!AO21</f>
        <v/>
      </c>
      <c r="E21" s="14">
        <f>Deployments!N21</f>
        <v/>
      </c>
      <c r="F21" s="21">
        <f>Deployments!O21</f>
        <v/>
      </c>
      <c r="G21" s="14">
        <f>Deployments!P21</f>
        <v/>
      </c>
      <c r="H21" s="14">
        <f>'13 - Config_Intake_View'!M21</f>
        <v/>
      </c>
      <c r="I21" s="21">
        <f>IF('13 - Config_Intake_View'!Q21&lt;&gt;"",'13 - Config_Intake_View'!Q21,Deployments!AG21)</f>
        <v/>
      </c>
      <c r="J21" s="14">
        <f>IF('13 - Config_Intake_View'!Q21&lt;&gt;"","PM Approved",IF(Deployments!AG21&lt;&gt;"","Assumed",""))</f>
        <v/>
      </c>
      <c r="K21" s="21">
        <f>Deployments!AF21</f>
        <v/>
      </c>
      <c r="L21" s="14">
        <f>Deployments!U21</f>
        <v/>
      </c>
      <c r="M21" s="14">
        <f>Deployments!L21</f>
        <v/>
      </c>
      <c r="N21" s="14">
        <f>Deployments!CC21</f>
        <v/>
      </c>
      <c r="O21" s="21">
        <f>Deployments!CD21</f>
        <v/>
      </c>
      <c r="P21" s="2">
        <f>Deployments!BX21</f>
        <v/>
      </c>
      <c r="Q21" s="21">
        <f>IF(OR($A21="",$B21="",$D21=""),"MISSING CORE FIELDS","")</f>
        <v/>
      </c>
      <c r="R21" s="14">
        <f>IF(AND($I21&lt;&gt;"",$K21&lt;&gt;"Yes"),"SW NOT INSTALLED","")</f>
        <v/>
      </c>
      <c r="S21" s="14">
        <f>IF(AND($H21&lt;&gt;"",ISNUMBER(SEARCH("auto",LOWER($H21))),$F21=""),"AUTOLOGON REQUIRED","")</f>
        <v/>
      </c>
      <c r="T21" s="14">
        <f>IF($Q21&lt;&gt;"",$Q21,IF($S21&lt;&gt;"",$S21,IF($R21&lt;&gt;"",$R21,IF(OR($N21&lt;&gt;"",$O21="Blocked"),"BLOCKED","OK"))))</f>
        <v/>
      </c>
    </row>
    <row r="22">
      <c r="A22" s="21">
        <f>Deployments!H22</f>
        <v/>
      </c>
      <c r="B22" s="21">
        <f>Deployments!X22</f>
        <v/>
      </c>
      <c r="C22" s="21">
        <f>Deployments!Y22</f>
        <v/>
      </c>
      <c r="D22" s="14">
        <f>Deployments!AO22</f>
        <v/>
      </c>
      <c r="E22" s="14">
        <f>Deployments!N22</f>
        <v/>
      </c>
      <c r="F22" s="21">
        <f>Deployments!O22</f>
        <v/>
      </c>
      <c r="G22" s="14">
        <f>Deployments!P22</f>
        <v/>
      </c>
      <c r="H22" s="14">
        <f>'13 - Config_Intake_View'!M22</f>
        <v/>
      </c>
      <c r="I22" s="21">
        <f>IF('13 - Config_Intake_View'!Q22&lt;&gt;"",'13 - Config_Intake_View'!Q22,Deployments!AG22)</f>
        <v/>
      </c>
      <c r="J22" s="14">
        <f>IF('13 - Config_Intake_View'!Q22&lt;&gt;"","PM Approved",IF(Deployments!AG22&lt;&gt;"","Assumed",""))</f>
        <v/>
      </c>
      <c r="K22" s="21">
        <f>Deployments!AF22</f>
        <v/>
      </c>
      <c r="L22" s="14">
        <f>Deployments!U22</f>
        <v/>
      </c>
      <c r="M22" s="14">
        <f>Deployments!L22</f>
        <v/>
      </c>
      <c r="N22" s="14">
        <f>Deployments!CC22</f>
        <v/>
      </c>
      <c r="O22" s="21">
        <f>Deployments!CD22</f>
        <v/>
      </c>
      <c r="P22" s="2">
        <f>Deployments!BX22</f>
        <v/>
      </c>
      <c r="Q22" s="21">
        <f>IF(OR($A22="",$B22="",$D22=""),"MISSING CORE FIELDS","")</f>
        <v/>
      </c>
      <c r="R22" s="14">
        <f>IF(AND($I22&lt;&gt;"",$K22&lt;&gt;"Yes"),"SW NOT INSTALLED","")</f>
        <v/>
      </c>
      <c r="S22" s="14">
        <f>IF(AND($H22&lt;&gt;"",ISNUMBER(SEARCH("auto",LOWER($H22))),$F22=""),"AUTOLOGON REQUIRED","")</f>
        <v/>
      </c>
      <c r="T22" s="14">
        <f>IF($Q22&lt;&gt;"",$Q22,IF($S22&lt;&gt;"",$S22,IF($R22&lt;&gt;"",$R22,IF(OR($N22&lt;&gt;"",$O22="Blocked"),"BLOCKED","OK"))))</f>
        <v/>
      </c>
    </row>
    <row r="23">
      <c r="A23" s="21">
        <f>Deployments!H23</f>
        <v/>
      </c>
      <c r="B23" s="21">
        <f>Deployments!X23</f>
        <v/>
      </c>
      <c r="C23" s="21">
        <f>Deployments!Y23</f>
        <v/>
      </c>
      <c r="D23" s="14">
        <f>Deployments!AO23</f>
        <v/>
      </c>
      <c r="E23" s="14">
        <f>Deployments!N23</f>
        <v/>
      </c>
      <c r="F23" s="21">
        <f>Deployments!O23</f>
        <v/>
      </c>
      <c r="G23" s="14">
        <f>Deployments!P23</f>
        <v/>
      </c>
      <c r="H23" s="14">
        <f>'13 - Config_Intake_View'!M23</f>
        <v/>
      </c>
      <c r="I23" s="21">
        <f>IF('13 - Config_Intake_View'!Q23&lt;&gt;"",'13 - Config_Intake_View'!Q23,Deployments!AG23)</f>
        <v/>
      </c>
      <c r="J23" s="14">
        <f>IF('13 - Config_Intake_View'!Q23&lt;&gt;"","PM Approved",IF(Deployments!AG23&lt;&gt;"","Assumed",""))</f>
        <v/>
      </c>
      <c r="K23" s="21">
        <f>Deployments!AF23</f>
        <v/>
      </c>
      <c r="L23" s="14">
        <f>Deployments!U23</f>
        <v/>
      </c>
      <c r="M23" s="14">
        <f>Deployments!L23</f>
        <v/>
      </c>
      <c r="N23" s="14">
        <f>Deployments!CC23</f>
        <v/>
      </c>
      <c r="O23" s="21">
        <f>Deployments!CD23</f>
        <v/>
      </c>
      <c r="P23" s="2">
        <f>Deployments!BX23</f>
        <v/>
      </c>
      <c r="Q23" s="21">
        <f>IF(OR($A23="",$B23="",$D23=""),"MISSING CORE FIELDS","")</f>
        <v/>
      </c>
      <c r="R23" s="14">
        <f>IF(AND($I23&lt;&gt;"",$K23&lt;&gt;"Yes"),"SW NOT INSTALLED","")</f>
        <v/>
      </c>
      <c r="S23" s="14">
        <f>IF(AND($H23&lt;&gt;"",ISNUMBER(SEARCH("auto",LOWER($H23))),$F23=""),"AUTOLOGON REQUIRED","")</f>
        <v/>
      </c>
      <c r="T23" s="14">
        <f>IF($Q23&lt;&gt;"",$Q23,IF($S23&lt;&gt;"",$S23,IF($R23&lt;&gt;"",$R23,IF(OR($N23&lt;&gt;"",$O23="Blocked"),"BLOCKED","OK"))))</f>
        <v/>
      </c>
    </row>
    <row r="24">
      <c r="A24" s="21">
        <f>Deployments!H24</f>
        <v/>
      </c>
      <c r="B24" s="21">
        <f>Deployments!X24</f>
        <v/>
      </c>
      <c r="C24" s="21">
        <f>Deployments!Y24</f>
        <v/>
      </c>
      <c r="D24" s="14">
        <f>Deployments!AO24</f>
        <v/>
      </c>
      <c r="E24" s="14">
        <f>Deployments!N24</f>
        <v/>
      </c>
      <c r="F24" s="21">
        <f>Deployments!O24</f>
        <v/>
      </c>
      <c r="G24" s="14">
        <f>Deployments!P24</f>
        <v/>
      </c>
      <c r="H24" s="14">
        <f>'13 - Config_Intake_View'!M24</f>
        <v/>
      </c>
      <c r="I24" s="21">
        <f>IF('13 - Config_Intake_View'!Q24&lt;&gt;"",'13 - Config_Intake_View'!Q24,Deployments!AG24)</f>
        <v/>
      </c>
      <c r="J24" s="14">
        <f>IF('13 - Config_Intake_View'!Q24&lt;&gt;"","PM Approved",IF(Deployments!AG24&lt;&gt;"","Assumed",""))</f>
        <v/>
      </c>
      <c r="K24" s="21">
        <f>Deployments!AF24</f>
        <v/>
      </c>
      <c r="L24" s="14">
        <f>Deployments!U24</f>
        <v/>
      </c>
      <c r="M24" s="14">
        <f>Deployments!L24</f>
        <v/>
      </c>
      <c r="N24" s="14">
        <f>Deployments!CC24</f>
        <v/>
      </c>
      <c r="O24" s="21">
        <f>Deployments!CD24</f>
        <v/>
      </c>
      <c r="P24" s="2">
        <f>Deployments!BX24</f>
        <v/>
      </c>
      <c r="Q24" s="21">
        <f>IF(OR($A24="",$B24="",$D24=""),"MISSING CORE FIELDS","")</f>
        <v/>
      </c>
      <c r="R24" s="14">
        <f>IF(AND($I24&lt;&gt;"",$K24&lt;&gt;"Yes"),"SW NOT INSTALLED","")</f>
        <v/>
      </c>
      <c r="S24" s="14">
        <f>IF(AND($H24&lt;&gt;"",ISNUMBER(SEARCH("auto",LOWER($H24))),$F24=""),"AUTOLOGON REQUIRED","")</f>
        <v/>
      </c>
      <c r="T24" s="14">
        <f>IF($Q24&lt;&gt;"",$Q24,IF($S24&lt;&gt;"",$S24,IF($R24&lt;&gt;"",$R24,IF(OR($N24&lt;&gt;"",$O24="Blocked"),"BLOCKED","OK"))))</f>
        <v/>
      </c>
    </row>
    <row r="25">
      <c r="A25" s="21">
        <f>Deployments!#REF!</f>
        <v/>
      </c>
      <c r="B25" s="21">
        <f>Deployments!#REF!</f>
        <v/>
      </c>
      <c r="C25" s="21">
        <f>Deployments!#REF!</f>
        <v/>
      </c>
      <c r="D25" s="14">
        <f>Deployments!#REF!</f>
        <v/>
      </c>
      <c r="E25" s="14">
        <f>Deployments!#REF!</f>
        <v/>
      </c>
      <c r="F25" s="21">
        <f>Deployments!#REF!</f>
        <v/>
      </c>
      <c r="G25" s="14">
        <f>Deployments!#REF!</f>
        <v/>
      </c>
      <c r="H25" s="14">
        <f>'13 - Config_Intake_View'!M25</f>
        <v/>
      </c>
      <c r="I25" s="21">
        <f>IF('13 - Config_Intake_View'!Q25&lt;&gt;"",'13 - Config_Intake_View'!Q25,Deployments!#REF!)</f>
        <v/>
      </c>
      <c r="J25" s="14">
        <f>IF('13 - Config_Intake_View'!Q25&lt;&gt;"","PM Approved",IF(Deployments!#REF!&lt;&gt;"","Assumed",""))</f>
        <v/>
      </c>
      <c r="K25" s="21">
        <f>Deployments!#REF!</f>
        <v/>
      </c>
      <c r="L25" s="14">
        <f>Deployments!#REF!</f>
        <v/>
      </c>
      <c r="M25" s="14">
        <f>Deployments!#REF!</f>
        <v/>
      </c>
      <c r="N25" s="14">
        <f>Deployments!#REF!</f>
        <v/>
      </c>
      <c r="O25" s="21">
        <f>Deployments!#REF!</f>
        <v/>
      </c>
      <c r="P25" s="2">
        <f>Deployments!#REF!</f>
        <v/>
      </c>
      <c r="Q25" s="21">
        <f>IF(OR($A25="",$B25="",$D25=""),"MISSING CORE FIELDS","")</f>
        <v/>
      </c>
      <c r="R25" s="14">
        <f>IF(AND($I25&lt;&gt;"",$K25&lt;&gt;"Yes"),"SW NOT INSTALLED","")</f>
        <v/>
      </c>
      <c r="S25" s="14">
        <f>IF(AND($H25&lt;&gt;"",ISNUMBER(SEARCH("auto",LOWER($H25))),$F25=""),"AUTOLOGON REQUIRED","")</f>
        <v/>
      </c>
      <c r="T25" s="14">
        <f>IF($Q25&lt;&gt;"",$Q25,IF($S25&lt;&gt;"",$S25,IF($R25&lt;&gt;"",$R25,IF(OR($N25&lt;&gt;"",$O25="Blocked"),"BLOCKED","OK"))))</f>
        <v/>
      </c>
    </row>
    <row r="26">
      <c r="A26" s="21">
        <f>Deployments!#REF!</f>
        <v/>
      </c>
      <c r="B26" s="21">
        <f>Deployments!#REF!</f>
        <v/>
      </c>
      <c r="C26" s="21">
        <f>Deployments!#REF!</f>
        <v/>
      </c>
      <c r="D26" s="14">
        <f>Deployments!#REF!</f>
        <v/>
      </c>
      <c r="E26" s="14">
        <f>Deployments!#REF!</f>
        <v/>
      </c>
      <c r="F26" s="21">
        <f>Deployments!#REF!</f>
        <v/>
      </c>
      <c r="G26" s="14">
        <f>Deployments!#REF!</f>
        <v/>
      </c>
      <c r="H26" s="14">
        <f>'13 - Config_Intake_View'!M26</f>
        <v/>
      </c>
      <c r="I26" s="21">
        <f>IF('13 - Config_Intake_View'!Q26&lt;&gt;"",'13 - Config_Intake_View'!Q26,Deployments!#REF!)</f>
        <v/>
      </c>
      <c r="J26" s="14">
        <f>IF('13 - Config_Intake_View'!Q26&lt;&gt;"","PM Approved",IF(Deployments!#REF!&lt;&gt;"","Assumed",""))</f>
        <v/>
      </c>
      <c r="K26" s="21">
        <f>Deployments!#REF!</f>
        <v/>
      </c>
      <c r="L26" s="14">
        <f>Deployments!#REF!</f>
        <v/>
      </c>
      <c r="M26" s="14">
        <f>Deployments!#REF!</f>
        <v/>
      </c>
      <c r="N26" s="14">
        <f>Deployments!#REF!</f>
        <v/>
      </c>
      <c r="O26" s="21">
        <f>Deployments!#REF!</f>
        <v/>
      </c>
      <c r="P26" s="2">
        <f>Deployments!#REF!</f>
        <v/>
      </c>
      <c r="Q26" s="21">
        <f>IF(OR($A26="",$B26="",$D26=""),"MISSING CORE FIELDS","")</f>
        <v/>
      </c>
      <c r="R26" s="14">
        <f>IF(AND($I26&lt;&gt;"",$K26&lt;&gt;"Yes"),"SW NOT INSTALLED","")</f>
        <v/>
      </c>
      <c r="S26" s="14">
        <f>IF(AND($H26&lt;&gt;"",ISNUMBER(SEARCH("auto",LOWER($H26))),$F26=""),"AUTOLOGON REQUIRED","")</f>
        <v/>
      </c>
      <c r="T26" s="14">
        <f>IF($Q26&lt;&gt;"",$Q26,IF($S26&lt;&gt;"",$S26,IF($R26&lt;&gt;"",$R26,IF(OR($N26&lt;&gt;"",$O26="Blocked"),"BLOCKED","OK"))))</f>
        <v/>
      </c>
    </row>
    <row r="27">
      <c r="A27" s="21">
        <f>Deployments!#REF!</f>
        <v/>
      </c>
      <c r="B27" s="21">
        <f>Deployments!#REF!</f>
        <v/>
      </c>
      <c r="C27" s="21">
        <f>Deployments!#REF!</f>
        <v/>
      </c>
      <c r="D27" s="14">
        <f>Deployments!#REF!</f>
        <v/>
      </c>
      <c r="E27" s="14">
        <f>Deployments!#REF!</f>
        <v/>
      </c>
      <c r="F27" s="21">
        <f>Deployments!#REF!</f>
        <v/>
      </c>
      <c r="G27" s="14">
        <f>Deployments!#REF!</f>
        <v/>
      </c>
      <c r="H27" s="14">
        <f>'13 - Config_Intake_View'!M27</f>
        <v/>
      </c>
      <c r="I27" s="21">
        <f>IF('13 - Config_Intake_View'!Q27&lt;&gt;"",'13 - Config_Intake_View'!Q27,Deployments!#REF!)</f>
        <v/>
      </c>
      <c r="J27" s="14">
        <f>IF('13 - Config_Intake_View'!Q27&lt;&gt;"","PM Approved",IF(Deployments!#REF!&lt;&gt;"","Assumed",""))</f>
        <v/>
      </c>
      <c r="K27" s="21">
        <f>Deployments!#REF!</f>
        <v/>
      </c>
      <c r="L27" s="14">
        <f>Deployments!#REF!</f>
        <v/>
      </c>
      <c r="M27" s="14">
        <f>Deployments!#REF!</f>
        <v/>
      </c>
      <c r="N27" s="14">
        <f>Deployments!#REF!</f>
        <v/>
      </c>
      <c r="O27" s="21">
        <f>Deployments!#REF!</f>
        <v/>
      </c>
      <c r="P27" s="2">
        <f>Deployments!#REF!</f>
        <v/>
      </c>
      <c r="Q27" s="21">
        <f>IF(OR($A27="",$B27="",$D27=""),"MISSING CORE FIELDS","")</f>
        <v/>
      </c>
      <c r="R27" s="14">
        <f>IF(AND($I27&lt;&gt;"",$K27&lt;&gt;"Yes"),"SW NOT INSTALLED","")</f>
        <v/>
      </c>
      <c r="S27" s="14">
        <f>IF(AND($H27&lt;&gt;"",ISNUMBER(SEARCH("auto",LOWER($H27))),$F27=""),"AUTOLOGON REQUIRED","")</f>
        <v/>
      </c>
      <c r="T27" s="14">
        <f>IF($Q27&lt;&gt;"",$Q27,IF($S27&lt;&gt;"",$S27,IF($R27&lt;&gt;"",$R27,IF(OR($N27&lt;&gt;"",$O27="Blocked"),"BLOCKED","OK"))))</f>
        <v/>
      </c>
    </row>
    <row r="28">
      <c r="A28" s="21">
        <f>Deployments!H25</f>
        <v/>
      </c>
      <c r="B28" s="21">
        <f>Deployments!X25</f>
        <v/>
      </c>
      <c r="C28" s="21">
        <f>Deployments!Y25</f>
        <v/>
      </c>
      <c r="D28" s="14">
        <f>Deployments!AO25</f>
        <v/>
      </c>
      <c r="E28" s="14">
        <f>Deployments!N25</f>
        <v/>
      </c>
      <c r="F28" s="21">
        <f>Deployments!O25</f>
        <v/>
      </c>
      <c r="G28" s="14">
        <f>Deployments!P25</f>
        <v/>
      </c>
      <c r="H28" s="14">
        <f>'13 - Config_Intake_View'!M28</f>
        <v/>
      </c>
      <c r="I28" s="21">
        <f>IF('13 - Config_Intake_View'!Q28&lt;&gt;"",'13 - Config_Intake_View'!Q28,Deployments!AG25)</f>
        <v/>
      </c>
      <c r="J28" s="14">
        <f>IF('13 - Config_Intake_View'!Q28&lt;&gt;"","PM Approved",IF(Deployments!AG25&lt;&gt;"","Assumed",""))</f>
        <v/>
      </c>
      <c r="K28" s="21">
        <f>Deployments!AF25</f>
        <v/>
      </c>
      <c r="L28" s="14">
        <f>Deployments!U25</f>
        <v/>
      </c>
      <c r="M28" s="14">
        <f>Deployments!L25</f>
        <v/>
      </c>
      <c r="N28" s="14">
        <f>Deployments!CC25</f>
        <v/>
      </c>
      <c r="O28" s="21">
        <f>Deployments!CD25</f>
        <v/>
      </c>
      <c r="P28" s="2">
        <f>Deployments!BX25</f>
        <v/>
      </c>
      <c r="Q28" s="21">
        <f>IF(OR($A28="",$B28="",$D28=""),"MISSING CORE FIELDS","")</f>
        <v/>
      </c>
      <c r="R28" s="14">
        <f>IF(AND($I28&lt;&gt;"",$K28&lt;&gt;"Yes"),"SW NOT INSTALLED","")</f>
        <v/>
      </c>
      <c r="S28" s="14">
        <f>IF(AND($H28&lt;&gt;"",ISNUMBER(SEARCH("auto",LOWER($H28))),$F28=""),"AUTOLOGON REQUIRED","")</f>
        <v/>
      </c>
      <c r="T28" s="14">
        <f>IF($Q28&lt;&gt;"",$Q28,IF($S28&lt;&gt;"",$S28,IF($R28&lt;&gt;"",$R28,IF(OR($N28&lt;&gt;"",$O28="Blocked"),"BLOCKED","OK"))))</f>
        <v/>
      </c>
    </row>
    <row r="29">
      <c r="A29" s="21">
        <f>Deployments!H26</f>
        <v/>
      </c>
      <c r="B29" s="21">
        <f>Deployments!X26</f>
        <v/>
      </c>
      <c r="C29" s="21">
        <f>Deployments!Y26</f>
        <v/>
      </c>
      <c r="D29" s="14">
        <f>Deployments!AO26</f>
        <v/>
      </c>
      <c r="E29" s="14">
        <f>Deployments!N26</f>
        <v/>
      </c>
      <c r="F29" s="21">
        <f>Deployments!O26</f>
        <v/>
      </c>
      <c r="G29" s="14">
        <f>Deployments!P26</f>
        <v/>
      </c>
      <c r="H29" s="14">
        <f>'13 - Config_Intake_View'!M29</f>
        <v/>
      </c>
      <c r="I29" s="21">
        <f>IF('13 - Config_Intake_View'!Q29&lt;&gt;"",'13 - Config_Intake_View'!Q29,Deployments!AG26)</f>
        <v/>
      </c>
      <c r="J29" s="14">
        <f>IF('13 - Config_Intake_View'!Q29&lt;&gt;"","PM Approved",IF(Deployments!AG26&lt;&gt;"","Assumed",""))</f>
        <v/>
      </c>
      <c r="K29" s="21">
        <f>Deployments!AF26</f>
        <v/>
      </c>
      <c r="L29" s="14">
        <f>Deployments!U26</f>
        <v/>
      </c>
      <c r="M29" s="14">
        <f>Deployments!L26</f>
        <v/>
      </c>
      <c r="N29" s="14">
        <f>Deployments!CC26</f>
        <v/>
      </c>
      <c r="O29" s="21">
        <f>Deployments!CD26</f>
        <v/>
      </c>
      <c r="P29" s="2">
        <f>Deployments!BX26</f>
        <v/>
      </c>
      <c r="Q29" s="21">
        <f>IF(OR($A29="",$B29="",$D29=""),"MISSING CORE FIELDS","")</f>
        <v/>
      </c>
      <c r="R29" s="14">
        <f>IF(AND($I29&lt;&gt;"",$K29&lt;&gt;"Yes"),"SW NOT INSTALLED","")</f>
        <v/>
      </c>
      <c r="S29" s="14">
        <f>IF(AND($H29&lt;&gt;"",ISNUMBER(SEARCH("auto",LOWER($H29))),$F29=""),"AUTOLOGON REQUIRED","")</f>
        <v/>
      </c>
      <c r="T29" s="14">
        <f>IF($Q29&lt;&gt;"",$Q29,IF($S29&lt;&gt;"",$S29,IF($R29&lt;&gt;"",$R29,IF(OR($N29&lt;&gt;"",$O29="Blocked"),"BLOCKED","OK"))))</f>
        <v/>
      </c>
    </row>
    <row r="30">
      <c r="A30" s="21">
        <f>Deployments!H27</f>
        <v/>
      </c>
      <c r="B30" s="21">
        <f>Deployments!X27</f>
        <v/>
      </c>
      <c r="C30" s="21">
        <f>Deployments!Y27</f>
        <v/>
      </c>
      <c r="D30" s="14">
        <f>Deployments!AO27</f>
        <v/>
      </c>
      <c r="E30" s="14">
        <f>Deployments!N27</f>
        <v/>
      </c>
      <c r="F30" s="21">
        <f>Deployments!O27</f>
        <v/>
      </c>
      <c r="G30" s="14">
        <f>Deployments!P27</f>
        <v/>
      </c>
      <c r="H30" s="14">
        <f>'13 - Config_Intake_View'!M30</f>
        <v/>
      </c>
      <c r="I30" s="21">
        <f>IF('13 - Config_Intake_View'!Q30&lt;&gt;"",'13 - Config_Intake_View'!Q30,Deployments!AG27)</f>
        <v/>
      </c>
      <c r="J30" s="14">
        <f>IF('13 - Config_Intake_View'!Q30&lt;&gt;"","PM Approved",IF(Deployments!AG27&lt;&gt;"","Assumed",""))</f>
        <v/>
      </c>
      <c r="K30" s="21">
        <f>Deployments!AF27</f>
        <v/>
      </c>
      <c r="L30" s="14">
        <f>Deployments!U27</f>
        <v/>
      </c>
      <c r="M30" s="14">
        <f>Deployments!L27</f>
        <v/>
      </c>
      <c r="N30" s="14">
        <f>Deployments!CC27</f>
        <v/>
      </c>
      <c r="O30" s="21">
        <f>Deployments!CD27</f>
        <v/>
      </c>
      <c r="P30" s="2">
        <f>Deployments!BX27</f>
        <v/>
      </c>
      <c r="Q30" s="21">
        <f>IF(OR($A30="",$B30="",$D30=""),"MISSING CORE FIELDS","")</f>
        <v/>
      </c>
      <c r="R30" s="14">
        <f>IF(AND($I30&lt;&gt;"",$K30&lt;&gt;"Yes"),"SW NOT INSTALLED","")</f>
        <v/>
      </c>
      <c r="S30" s="14">
        <f>IF(AND($H30&lt;&gt;"",ISNUMBER(SEARCH("auto",LOWER($H30))),$F30=""),"AUTOLOGON REQUIRED","")</f>
        <v/>
      </c>
      <c r="T30" s="14">
        <f>IF($Q30&lt;&gt;"",$Q30,IF($S30&lt;&gt;"",$S30,IF($R30&lt;&gt;"",$R30,IF(OR($N30&lt;&gt;"",$O30="Blocked"),"BLOCKED","OK"))))</f>
        <v/>
      </c>
    </row>
    <row r="31">
      <c r="A31" s="21">
        <f>Deployments!H28</f>
        <v/>
      </c>
      <c r="B31" s="21">
        <f>Deployments!X28</f>
        <v/>
      </c>
      <c r="C31" s="21">
        <f>Deployments!Y28</f>
        <v/>
      </c>
      <c r="D31" s="14">
        <f>Deployments!AO28</f>
        <v/>
      </c>
      <c r="E31" s="14">
        <f>Deployments!N28</f>
        <v/>
      </c>
      <c r="F31" s="21">
        <f>Deployments!O28</f>
        <v/>
      </c>
      <c r="G31" s="14">
        <f>Deployments!P28</f>
        <v/>
      </c>
      <c r="H31" s="14">
        <f>'13 - Config_Intake_View'!M31</f>
        <v/>
      </c>
      <c r="I31" s="21">
        <f>IF('13 - Config_Intake_View'!Q31&lt;&gt;"",'13 - Config_Intake_View'!Q31,Deployments!AG28)</f>
        <v/>
      </c>
      <c r="J31" s="14">
        <f>IF('13 - Config_Intake_View'!Q31&lt;&gt;"","PM Approved",IF(Deployments!AG28&lt;&gt;"","Assumed",""))</f>
        <v/>
      </c>
      <c r="K31" s="21">
        <f>Deployments!AF28</f>
        <v/>
      </c>
      <c r="L31" s="14">
        <f>Deployments!U28</f>
        <v/>
      </c>
      <c r="M31" s="14">
        <f>Deployments!L28</f>
        <v/>
      </c>
      <c r="N31" s="14">
        <f>Deployments!CC28</f>
        <v/>
      </c>
      <c r="O31" s="21">
        <f>Deployments!CD28</f>
        <v/>
      </c>
      <c r="P31" s="2">
        <f>Deployments!BX28</f>
        <v/>
      </c>
      <c r="Q31" s="21">
        <f>IF(OR($A31="",$B31="",$D31=""),"MISSING CORE FIELDS","")</f>
        <v/>
      </c>
      <c r="R31" s="14">
        <f>IF(AND($I31&lt;&gt;"",$K31&lt;&gt;"Yes"),"SW NOT INSTALLED","")</f>
        <v/>
      </c>
      <c r="S31" s="14">
        <f>IF(AND($H31&lt;&gt;"",ISNUMBER(SEARCH("auto",LOWER($H31))),$F31=""),"AUTOLOGON REQUIRED","")</f>
        <v/>
      </c>
      <c r="T31" s="14">
        <f>IF($Q31&lt;&gt;"",$Q31,IF($S31&lt;&gt;"",$S31,IF($R31&lt;&gt;"",$R31,IF(OR($N31&lt;&gt;"",$O31="Blocked"),"BLOCKED","OK"))))</f>
        <v/>
      </c>
    </row>
    <row r="32">
      <c r="A32" s="21">
        <f>Deployments!H29</f>
        <v/>
      </c>
      <c r="B32" s="21">
        <f>Deployments!X29</f>
        <v/>
      </c>
      <c r="C32" s="21">
        <f>Deployments!Y29</f>
        <v/>
      </c>
      <c r="D32" s="14">
        <f>Deployments!AO29</f>
        <v/>
      </c>
      <c r="E32" s="14">
        <f>Deployments!N29</f>
        <v/>
      </c>
      <c r="F32" s="21">
        <f>Deployments!O29</f>
        <v/>
      </c>
      <c r="G32" s="14">
        <f>Deployments!P29</f>
        <v/>
      </c>
      <c r="H32" s="14">
        <f>'13 - Config_Intake_View'!M32</f>
        <v/>
      </c>
      <c r="I32" s="21">
        <f>IF('13 - Config_Intake_View'!Q32&lt;&gt;"",'13 - Config_Intake_View'!Q32,Deployments!AG29)</f>
        <v/>
      </c>
      <c r="J32" s="14">
        <f>IF('13 - Config_Intake_View'!Q32&lt;&gt;"","PM Approved",IF(Deployments!AG29&lt;&gt;"","Assumed",""))</f>
        <v/>
      </c>
      <c r="K32" s="21">
        <f>Deployments!AF29</f>
        <v/>
      </c>
      <c r="L32" s="14">
        <f>Deployments!U29</f>
        <v/>
      </c>
      <c r="M32" s="14">
        <f>Deployments!L29</f>
        <v/>
      </c>
      <c r="N32" s="14">
        <f>Deployments!CC29</f>
        <v/>
      </c>
      <c r="O32" s="21">
        <f>Deployments!CD29</f>
        <v/>
      </c>
      <c r="P32" s="2">
        <f>Deployments!BX29</f>
        <v/>
      </c>
      <c r="Q32" s="21">
        <f>IF(OR($A32="",$B32="",$D32=""),"MISSING CORE FIELDS","")</f>
        <v/>
      </c>
      <c r="R32" s="14">
        <f>IF(AND($I32&lt;&gt;"",$K32&lt;&gt;"Yes"),"SW NOT INSTALLED","")</f>
        <v/>
      </c>
      <c r="S32" s="14">
        <f>IF(AND($H32&lt;&gt;"",ISNUMBER(SEARCH("auto",LOWER($H32))),$F32=""),"AUTOLOGON REQUIRED","")</f>
        <v/>
      </c>
      <c r="T32" s="14">
        <f>IF($Q32&lt;&gt;"",$Q32,IF($S32&lt;&gt;"",$S32,IF($R32&lt;&gt;"",$R32,IF(OR($N32&lt;&gt;"",$O32="Blocked"),"BLOCKED","OK"))))</f>
        <v/>
      </c>
    </row>
    <row r="33">
      <c r="A33" s="21">
        <f>Deployments!H30</f>
        <v/>
      </c>
      <c r="B33" s="21">
        <f>Deployments!X30</f>
        <v/>
      </c>
      <c r="C33" s="21">
        <f>Deployments!Y30</f>
        <v/>
      </c>
      <c r="D33" s="14">
        <f>Deployments!AO30</f>
        <v/>
      </c>
      <c r="E33" s="14">
        <f>Deployments!N30</f>
        <v/>
      </c>
      <c r="F33" s="21">
        <f>Deployments!O30</f>
        <v/>
      </c>
      <c r="G33" s="14">
        <f>Deployments!P30</f>
        <v/>
      </c>
      <c r="H33" s="14">
        <f>'13 - Config_Intake_View'!M33</f>
        <v/>
      </c>
      <c r="I33" s="21">
        <f>IF('13 - Config_Intake_View'!Q33&lt;&gt;"",'13 - Config_Intake_View'!Q33,Deployments!AG30)</f>
        <v/>
      </c>
      <c r="J33" s="14">
        <f>IF('13 - Config_Intake_View'!Q33&lt;&gt;"","PM Approved",IF(Deployments!AG30&lt;&gt;"","Assumed",""))</f>
        <v/>
      </c>
      <c r="K33" s="21">
        <f>Deployments!AF30</f>
        <v/>
      </c>
      <c r="L33" s="14">
        <f>Deployments!U30</f>
        <v/>
      </c>
      <c r="M33" s="14">
        <f>Deployments!L30</f>
        <v/>
      </c>
      <c r="N33" s="14">
        <f>Deployments!CC30</f>
        <v/>
      </c>
      <c r="O33" s="21">
        <f>Deployments!CD30</f>
        <v/>
      </c>
      <c r="P33" s="2">
        <f>Deployments!BX30</f>
        <v/>
      </c>
      <c r="Q33" s="21">
        <f>IF(OR($A33="",$B33="",$D33=""),"MISSING CORE FIELDS","")</f>
        <v/>
      </c>
      <c r="R33" s="14">
        <f>IF(AND($I33&lt;&gt;"",$K33&lt;&gt;"Yes"),"SW NOT INSTALLED","")</f>
        <v/>
      </c>
      <c r="S33" s="14">
        <f>IF(AND($H33&lt;&gt;"",ISNUMBER(SEARCH("auto",LOWER($H33))),$F33=""),"AUTOLOGON REQUIRED","")</f>
        <v/>
      </c>
      <c r="T33" s="14">
        <f>IF($Q33&lt;&gt;"",$Q33,IF($S33&lt;&gt;"",$S33,IF($R33&lt;&gt;"",$R33,IF(OR($N33&lt;&gt;"",$O33="Blocked"),"BLOCKED","OK"))))</f>
        <v/>
      </c>
    </row>
    <row r="34">
      <c r="A34" s="21">
        <f>Deployments!H31</f>
        <v/>
      </c>
      <c r="B34" s="21">
        <f>Deployments!X31</f>
        <v/>
      </c>
      <c r="C34" s="21">
        <f>Deployments!Y31</f>
        <v/>
      </c>
      <c r="D34" s="14">
        <f>Deployments!AO31</f>
        <v/>
      </c>
      <c r="E34" s="14">
        <f>Deployments!N31</f>
        <v/>
      </c>
      <c r="F34" s="21">
        <f>Deployments!O31</f>
        <v/>
      </c>
      <c r="G34" s="14">
        <f>Deployments!P31</f>
        <v/>
      </c>
      <c r="H34" s="14">
        <f>'13 - Config_Intake_View'!M34</f>
        <v/>
      </c>
      <c r="I34" s="21">
        <f>IF('13 - Config_Intake_View'!Q34&lt;&gt;"",'13 - Config_Intake_View'!Q34,Deployments!AG31)</f>
        <v/>
      </c>
      <c r="J34" s="14">
        <f>IF('13 - Config_Intake_View'!Q34&lt;&gt;"","PM Approved",IF(Deployments!AG31&lt;&gt;"","Assumed",""))</f>
        <v/>
      </c>
      <c r="K34" s="21">
        <f>Deployments!AF31</f>
        <v/>
      </c>
      <c r="L34" s="14">
        <f>Deployments!U31</f>
        <v/>
      </c>
      <c r="M34" s="14">
        <f>Deployments!L31</f>
        <v/>
      </c>
      <c r="N34" s="14">
        <f>Deployments!CC31</f>
        <v/>
      </c>
      <c r="O34" s="21">
        <f>Deployments!CD31</f>
        <v/>
      </c>
      <c r="P34" s="2">
        <f>Deployments!BX31</f>
        <v/>
      </c>
      <c r="Q34" s="21">
        <f>IF(OR($A34="",$B34="",$D34=""),"MISSING CORE FIELDS","")</f>
        <v/>
      </c>
      <c r="R34" s="14">
        <f>IF(AND($I34&lt;&gt;"",$K34&lt;&gt;"Yes"),"SW NOT INSTALLED","")</f>
        <v/>
      </c>
      <c r="S34" s="14">
        <f>IF(AND($H34&lt;&gt;"",ISNUMBER(SEARCH("auto",LOWER($H34))),$F34=""),"AUTOLOGON REQUIRED","")</f>
        <v/>
      </c>
      <c r="T34" s="14">
        <f>IF($Q34&lt;&gt;"",$Q34,IF($S34&lt;&gt;"",$S34,IF($R34&lt;&gt;"",$R34,IF(OR($N34&lt;&gt;"",$O34="Blocked"),"BLOCKED","OK"))))</f>
        <v/>
      </c>
    </row>
    <row r="35">
      <c r="A35" s="21">
        <f>Deployments!H32</f>
        <v/>
      </c>
      <c r="B35" s="21">
        <f>Deployments!X32</f>
        <v/>
      </c>
      <c r="C35" s="21">
        <f>Deployments!Y32</f>
        <v/>
      </c>
      <c r="D35" s="14">
        <f>Deployments!AO32</f>
        <v/>
      </c>
      <c r="E35" s="14">
        <f>Deployments!N32</f>
        <v/>
      </c>
      <c r="F35" s="21">
        <f>Deployments!O32</f>
        <v/>
      </c>
      <c r="G35" s="14">
        <f>Deployments!P32</f>
        <v/>
      </c>
      <c r="H35" s="14">
        <f>'13 - Config_Intake_View'!M35</f>
        <v/>
      </c>
      <c r="I35" s="21">
        <f>IF('13 - Config_Intake_View'!Q35&lt;&gt;"",'13 - Config_Intake_View'!Q35,Deployments!AG32)</f>
        <v/>
      </c>
      <c r="J35" s="14">
        <f>IF('13 - Config_Intake_View'!Q35&lt;&gt;"","PM Approved",IF(Deployments!AG32&lt;&gt;"","Assumed",""))</f>
        <v/>
      </c>
      <c r="K35" s="21">
        <f>Deployments!AF32</f>
        <v/>
      </c>
      <c r="L35" s="14">
        <f>Deployments!U32</f>
        <v/>
      </c>
      <c r="M35" s="14">
        <f>Deployments!L32</f>
        <v/>
      </c>
      <c r="N35" s="14">
        <f>Deployments!CC32</f>
        <v/>
      </c>
      <c r="O35" s="21">
        <f>Deployments!CD32</f>
        <v/>
      </c>
      <c r="P35" s="2">
        <f>Deployments!BX32</f>
        <v/>
      </c>
      <c r="Q35" s="21">
        <f>IF(OR($A35="",$B35="",$D35=""),"MISSING CORE FIELDS","")</f>
        <v/>
      </c>
      <c r="R35" s="14">
        <f>IF(AND($I35&lt;&gt;"",$K35&lt;&gt;"Yes"),"SW NOT INSTALLED","")</f>
        <v/>
      </c>
      <c r="S35" s="14">
        <f>IF(AND($H35&lt;&gt;"",ISNUMBER(SEARCH("auto",LOWER($H35))),$F35=""),"AUTOLOGON REQUIRED","")</f>
        <v/>
      </c>
      <c r="T35" s="14">
        <f>IF($Q35&lt;&gt;"",$Q35,IF($S35&lt;&gt;"",$S35,IF($R35&lt;&gt;"",$R35,IF(OR($N35&lt;&gt;"",$O35="Blocked"),"BLOCKED","OK"))))</f>
        <v/>
      </c>
    </row>
    <row r="36">
      <c r="A36" s="21">
        <f>Deployments!H33</f>
        <v/>
      </c>
      <c r="B36" s="21">
        <f>Deployments!X33</f>
        <v/>
      </c>
      <c r="C36" s="21">
        <f>Deployments!Y33</f>
        <v/>
      </c>
      <c r="D36" s="14">
        <f>Deployments!AO33</f>
        <v/>
      </c>
      <c r="E36" s="14">
        <f>Deployments!N33</f>
        <v/>
      </c>
      <c r="F36" s="21">
        <f>Deployments!O33</f>
        <v/>
      </c>
      <c r="G36" s="14">
        <f>Deployments!P33</f>
        <v/>
      </c>
      <c r="H36" s="14">
        <f>'13 - Config_Intake_View'!M36</f>
        <v/>
      </c>
      <c r="I36" s="21">
        <f>IF('13 - Config_Intake_View'!Q36&lt;&gt;"",'13 - Config_Intake_View'!Q36,Deployments!AG33)</f>
        <v/>
      </c>
      <c r="J36" s="14">
        <f>IF('13 - Config_Intake_View'!Q36&lt;&gt;"","PM Approved",IF(Deployments!AG33&lt;&gt;"","Assumed",""))</f>
        <v/>
      </c>
      <c r="K36" s="21">
        <f>Deployments!AF33</f>
        <v/>
      </c>
      <c r="L36" s="14">
        <f>Deployments!U33</f>
        <v/>
      </c>
      <c r="M36" s="14">
        <f>Deployments!L33</f>
        <v/>
      </c>
      <c r="N36" s="14">
        <f>Deployments!CC33</f>
        <v/>
      </c>
      <c r="O36" s="21">
        <f>Deployments!CD33</f>
        <v/>
      </c>
      <c r="P36" s="2">
        <f>Deployments!BX33</f>
        <v/>
      </c>
      <c r="Q36" s="21">
        <f>IF(OR($A36="",$B36="",$D36=""),"MISSING CORE FIELDS","")</f>
        <v/>
      </c>
      <c r="R36" s="14">
        <f>IF(AND($I36&lt;&gt;"",$K36&lt;&gt;"Yes"),"SW NOT INSTALLED","")</f>
        <v/>
      </c>
      <c r="S36" s="14">
        <f>IF(AND($H36&lt;&gt;"",ISNUMBER(SEARCH("auto",LOWER($H36))),$F36=""),"AUTOLOGON REQUIRED","")</f>
        <v/>
      </c>
      <c r="T36" s="14">
        <f>IF($Q36&lt;&gt;"",$Q36,IF($S36&lt;&gt;"",$S36,IF($R36&lt;&gt;"",$R36,IF(OR($N36&lt;&gt;"",$O36="Blocked"),"BLOCKED","OK"))))</f>
        <v/>
      </c>
    </row>
    <row r="37">
      <c r="A37" s="21">
        <f>Deployments!H34</f>
        <v/>
      </c>
      <c r="B37" s="21">
        <f>Deployments!X34</f>
        <v/>
      </c>
      <c r="C37" s="21">
        <f>Deployments!Y34</f>
        <v/>
      </c>
      <c r="D37" s="14">
        <f>Deployments!AO34</f>
        <v/>
      </c>
      <c r="E37" s="14">
        <f>Deployments!N34</f>
        <v/>
      </c>
      <c r="F37" s="21">
        <f>Deployments!O34</f>
        <v/>
      </c>
      <c r="G37" s="14">
        <f>Deployments!P34</f>
        <v/>
      </c>
      <c r="H37" s="14">
        <f>'13 - Config_Intake_View'!M37</f>
        <v/>
      </c>
      <c r="I37" s="21">
        <f>IF('13 - Config_Intake_View'!Q37&lt;&gt;"",'13 - Config_Intake_View'!Q37,Deployments!AG34)</f>
        <v/>
      </c>
      <c r="J37" s="14">
        <f>IF('13 - Config_Intake_View'!Q37&lt;&gt;"","PM Approved",IF(Deployments!AG34&lt;&gt;"","Assumed",""))</f>
        <v/>
      </c>
      <c r="K37" s="21">
        <f>Deployments!AF34</f>
        <v/>
      </c>
      <c r="L37" s="14">
        <f>Deployments!U34</f>
        <v/>
      </c>
      <c r="M37" s="14">
        <f>Deployments!L34</f>
        <v/>
      </c>
      <c r="N37" s="14">
        <f>Deployments!CC34</f>
        <v/>
      </c>
      <c r="O37" s="21">
        <f>Deployments!CD34</f>
        <v/>
      </c>
      <c r="P37" s="2">
        <f>Deployments!BX34</f>
        <v/>
      </c>
      <c r="Q37" s="21">
        <f>IF(OR($A37="",$B37="",$D37=""),"MISSING CORE FIELDS","")</f>
        <v/>
      </c>
      <c r="R37" s="14">
        <f>IF(AND($I37&lt;&gt;"",$K37&lt;&gt;"Yes"),"SW NOT INSTALLED","")</f>
        <v/>
      </c>
      <c r="S37" s="14">
        <f>IF(AND($H37&lt;&gt;"",ISNUMBER(SEARCH("auto",LOWER($H37))),$F37=""),"AUTOLOGON REQUIRED","")</f>
        <v/>
      </c>
      <c r="T37" s="14">
        <f>IF($Q37&lt;&gt;"",$Q37,IF($S37&lt;&gt;"",$S37,IF($R37&lt;&gt;"",$R37,IF(OR($N37&lt;&gt;"",$O37="Blocked"),"BLOCKED","OK"))))</f>
        <v/>
      </c>
    </row>
    <row r="38">
      <c r="A38" s="21">
        <f>Deployments!H35</f>
        <v/>
      </c>
      <c r="B38" s="21">
        <f>Deployments!X35</f>
        <v/>
      </c>
      <c r="C38" s="21">
        <f>Deployments!Y35</f>
        <v/>
      </c>
      <c r="D38" s="14">
        <f>Deployments!AO35</f>
        <v/>
      </c>
      <c r="E38" s="14">
        <f>Deployments!N35</f>
        <v/>
      </c>
      <c r="F38" s="21">
        <f>Deployments!O35</f>
        <v/>
      </c>
      <c r="G38" s="14">
        <f>Deployments!P35</f>
        <v/>
      </c>
      <c r="H38" s="14">
        <f>'13 - Config_Intake_View'!M38</f>
        <v/>
      </c>
      <c r="I38" s="21">
        <f>IF('13 - Config_Intake_View'!Q38&lt;&gt;"",'13 - Config_Intake_View'!Q38,Deployments!AG35)</f>
        <v/>
      </c>
      <c r="J38" s="14">
        <f>IF('13 - Config_Intake_View'!Q38&lt;&gt;"","PM Approved",IF(Deployments!AG35&lt;&gt;"","Assumed",""))</f>
        <v/>
      </c>
      <c r="K38" s="21">
        <f>Deployments!AF35</f>
        <v/>
      </c>
      <c r="L38" s="14">
        <f>Deployments!U35</f>
        <v/>
      </c>
      <c r="M38" s="14">
        <f>Deployments!L35</f>
        <v/>
      </c>
      <c r="N38" s="14">
        <f>Deployments!CC35</f>
        <v/>
      </c>
      <c r="O38" s="21">
        <f>Deployments!CD35</f>
        <v/>
      </c>
      <c r="P38" s="2">
        <f>Deployments!BX35</f>
        <v/>
      </c>
      <c r="Q38" s="21">
        <f>IF(OR($A38="",$B38="",$D38=""),"MISSING CORE FIELDS","")</f>
        <v/>
      </c>
      <c r="R38" s="14">
        <f>IF(AND($I38&lt;&gt;"",$K38&lt;&gt;"Yes"),"SW NOT INSTALLED","")</f>
        <v/>
      </c>
      <c r="S38" s="14">
        <f>IF(AND($H38&lt;&gt;"",ISNUMBER(SEARCH("auto",LOWER($H38))),$F38=""),"AUTOLOGON REQUIRED","")</f>
        <v/>
      </c>
      <c r="T38" s="14">
        <f>IF($Q38&lt;&gt;"",$Q38,IF($S38&lt;&gt;"",$S38,IF($R38&lt;&gt;"",$R38,IF(OR($N38&lt;&gt;"",$O38="Blocked"),"BLOCKED","OK"))))</f>
        <v/>
      </c>
    </row>
    <row r="39">
      <c r="A39" s="21">
        <f>Deployments!H36</f>
        <v/>
      </c>
      <c r="B39" s="21">
        <f>Deployments!X36</f>
        <v/>
      </c>
      <c r="C39" s="21">
        <f>Deployments!Y36</f>
        <v/>
      </c>
      <c r="D39" s="14">
        <f>Deployments!AO36</f>
        <v/>
      </c>
      <c r="E39" s="14">
        <f>Deployments!N36</f>
        <v/>
      </c>
      <c r="F39" s="21">
        <f>Deployments!O36</f>
        <v/>
      </c>
      <c r="G39" s="14">
        <f>Deployments!P36</f>
        <v/>
      </c>
      <c r="H39" s="14">
        <f>'13 - Config_Intake_View'!M39</f>
        <v/>
      </c>
      <c r="I39" s="21">
        <f>IF('13 - Config_Intake_View'!Q39&lt;&gt;"",'13 - Config_Intake_View'!Q39,Deployments!AG36)</f>
        <v/>
      </c>
      <c r="J39" s="14">
        <f>IF('13 - Config_Intake_View'!Q39&lt;&gt;"","PM Approved",IF(Deployments!AG36&lt;&gt;"","Assumed",""))</f>
        <v/>
      </c>
      <c r="K39" s="21">
        <f>Deployments!AF36</f>
        <v/>
      </c>
      <c r="L39" s="14">
        <f>Deployments!U36</f>
        <v/>
      </c>
      <c r="M39" s="14">
        <f>Deployments!L36</f>
        <v/>
      </c>
      <c r="N39" s="14">
        <f>Deployments!CC36</f>
        <v/>
      </c>
      <c r="O39" s="21">
        <f>Deployments!CD36</f>
        <v/>
      </c>
      <c r="P39" s="2">
        <f>Deployments!BX36</f>
        <v/>
      </c>
      <c r="Q39" s="21">
        <f>IF(OR($A39="",$B39="",$D39=""),"MISSING CORE FIELDS","")</f>
        <v/>
      </c>
      <c r="R39" s="14">
        <f>IF(AND($I39&lt;&gt;"",$K39&lt;&gt;"Yes"),"SW NOT INSTALLED","")</f>
        <v/>
      </c>
      <c r="S39" s="14">
        <f>IF(AND($H39&lt;&gt;"",ISNUMBER(SEARCH("auto",LOWER($H39))),$F39=""),"AUTOLOGON REQUIRED","")</f>
        <v/>
      </c>
      <c r="T39" s="14">
        <f>IF($Q39&lt;&gt;"",$Q39,IF($S39&lt;&gt;"",$S39,IF($R39&lt;&gt;"",$R39,IF(OR($N39&lt;&gt;"",$O39="Blocked"),"BLOCKED","OK"))))</f>
        <v/>
      </c>
    </row>
    <row r="40">
      <c r="A40" s="21">
        <f>Deployments!H37</f>
        <v/>
      </c>
      <c r="B40" s="21">
        <f>Deployments!X37</f>
        <v/>
      </c>
      <c r="C40" s="21">
        <f>Deployments!Y37</f>
        <v/>
      </c>
      <c r="D40" s="14">
        <f>Deployments!AO37</f>
        <v/>
      </c>
      <c r="E40" s="14">
        <f>Deployments!N37</f>
        <v/>
      </c>
      <c r="F40" s="21">
        <f>Deployments!O37</f>
        <v/>
      </c>
      <c r="G40" s="14">
        <f>Deployments!P37</f>
        <v/>
      </c>
      <c r="H40" s="14">
        <f>'13 - Config_Intake_View'!M40</f>
        <v/>
      </c>
      <c r="I40" s="21">
        <f>IF('13 - Config_Intake_View'!Q40&lt;&gt;"",'13 - Config_Intake_View'!Q40,Deployments!AG37)</f>
        <v/>
      </c>
      <c r="J40" s="14">
        <f>IF('13 - Config_Intake_View'!Q40&lt;&gt;"","PM Approved",IF(Deployments!AG37&lt;&gt;"","Assumed",""))</f>
        <v/>
      </c>
      <c r="K40" s="21">
        <f>Deployments!AF37</f>
        <v/>
      </c>
      <c r="L40" s="14">
        <f>Deployments!U37</f>
        <v/>
      </c>
      <c r="M40" s="14">
        <f>Deployments!L37</f>
        <v/>
      </c>
      <c r="N40" s="14">
        <f>Deployments!CC37</f>
        <v/>
      </c>
      <c r="O40" s="21">
        <f>Deployments!CD37</f>
        <v/>
      </c>
      <c r="P40" s="2">
        <f>Deployments!BX37</f>
        <v/>
      </c>
      <c r="Q40" s="21">
        <f>IF(OR($A40="",$B40="",$D40=""),"MISSING CORE FIELDS","")</f>
        <v/>
      </c>
      <c r="R40" s="14">
        <f>IF(AND($I40&lt;&gt;"",$K40&lt;&gt;"Yes"),"SW NOT INSTALLED","")</f>
        <v/>
      </c>
      <c r="S40" s="14">
        <f>IF(AND($H40&lt;&gt;"",ISNUMBER(SEARCH("auto",LOWER($H40))),$F40=""),"AUTOLOGON REQUIRED","")</f>
        <v/>
      </c>
      <c r="T40" s="14">
        <f>IF($Q40&lt;&gt;"",$Q40,IF($S40&lt;&gt;"",$S40,IF($R40&lt;&gt;"",$R40,IF(OR($N40&lt;&gt;"",$O40="Blocked"),"BLOCKED","OK"))))</f>
        <v/>
      </c>
    </row>
    <row r="41">
      <c r="A41" s="21">
        <f>Deployments!H38</f>
        <v/>
      </c>
      <c r="B41" s="21">
        <f>Deployments!X38</f>
        <v/>
      </c>
      <c r="C41" s="21">
        <f>Deployments!Y38</f>
        <v/>
      </c>
      <c r="D41" s="14">
        <f>Deployments!AO38</f>
        <v/>
      </c>
      <c r="E41" s="14">
        <f>Deployments!N38</f>
        <v/>
      </c>
      <c r="F41" s="21">
        <f>Deployments!O38</f>
        <v/>
      </c>
      <c r="G41" s="14">
        <f>Deployments!P38</f>
        <v/>
      </c>
      <c r="H41" s="14">
        <f>'13 - Config_Intake_View'!M41</f>
        <v/>
      </c>
      <c r="I41" s="21">
        <f>IF('13 - Config_Intake_View'!Q41&lt;&gt;"",'13 - Config_Intake_View'!Q41,Deployments!AG38)</f>
        <v/>
      </c>
      <c r="J41" s="14">
        <f>IF('13 - Config_Intake_View'!Q41&lt;&gt;"","PM Approved",IF(Deployments!AG38&lt;&gt;"","Assumed",""))</f>
        <v/>
      </c>
      <c r="K41" s="21">
        <f>Deployments!AF38</f>
        <v/>
      </c>
      <c r="L41" s="14">
        <f>Deployments!U38</f>
        <v/>
      </c>
      <c r="M41" s="14">
        <f>Deployments!L38</f>
        <v/>
      </c>
      <c r="N41" s="14">
        <f>Deployments!CC38</f>
        <v/>
      </c>
      <c r="O41" s="21">
        <f>Deployments!CD38</f>
        <v/>
      </c>
      <c r="P41" s="2">
        <f>Deployments!BX38</f>
        <v/>
      </c>
      <c r="Q41" s="21">
        <f>IF(OR($A41="",$B41="",$D41=""),"MISSING CORE FIELDS","")</f>
        <v/>
      </c>
      <c r="R41" s="14">
        <f>IF(AND($I41&lt;&gt;"",$K41&lt;&gt;"Yes"),"SW NOT INSTALLED","")</f>
        <v/>
      </c>
      <c r="S41" s="14">
        <f>IF(AND($H41&lt;&gt;"",ISNUMBER(SEARCH("auto",LOWER($H41))),$F41=""),"AUTOLOGON REQUIRED","")</f>
        <v/>
      </c>
      <c r="T41" s="14">
        <f>IF($Q41&lt;&gt;"",$Q41,IF($S41&lt;&gt;"",$S41,IF($R41&lt;&gt;"",$R41,IF(OR($N41&lt;&gt;"",$O41="Blocked"),"BLOCKED","OK"))))</f>
        <v/>
      </c>
    </row>
    <row r="42">
      <c r="A42" s="21">
        <f>Deployments!H39</f>
        <v/>
      </c>
      <c r="B42" s="21">
        <f>Deployments!X39</f>
        <v/>
      </c>
      <c r="C42" s="21">
        <f>Deployments!Y39</f>
        <v/>
      </c>
      <c r="D42" s="14">
        <f>Deployments!AO39</f>
        <v/>
      </c>
      <c r="E42" s="14">
        <f>Deployments!N39</f>
        <v/>
      </c>
      <c r="F42" s="21">
        <f>Deployments!O39</f>
        <v/>
      </c>
      <c r="G42" s="14">
        <f>Deployments!P39</f>
        <v/>
      </c>
      <c r="H42" s="14">
        <f>'13 - Config_Intake_View'!M42</f>
        <v/>
      </c>
      <c r="I42" s="21">
        <f>IF('13 - Config_Intake_View'!Q42&lt;&gt;"",'13 - Config_Intake_View'!Q42,Deployments!AG39)</f>
        <v/>
      </c>
      <c r="J42" s="14">
        <f>IF('13 - Config_Intake_View'!Q42&lt;&gt;"","PM Approved",IF(Deployments!AG39&lt;&gt;"","Assumed",""))</f>
        <v/>
      </c>
      <c r="K42" s="21">
        <f>Deployments!AF39</f>
        <v/>
      </c>
      <c r="L42" s="14">
        <f>Deployments!U39</f>
        <v/>
      </c>
      <c r="M42" s="14">
        <f>Deployments!L39</f>
        <v/>
      </c>
      <c r="N42" s="14">
        <f>Deployments!CC39</f>
        <v/>
      </c>
      <c r="O42" s="21">
        <f>Deployments!CD39</f>
        <v/>
      </c>
      <c r="P42" s="2">
        <f>Deployments!BX39</f>
        <v/>
      </c>
      <c r="Q42" s="21">
        <f>IF(OR($A42="",$B42="",$D42=""),"MISSING CORE FIELDS","")</f>
        <v/>
      </c>
      <c r="R42" s="14">
        <f>IF(AND($I42&lt;&gt;"",$K42&lt;&gt;"Yes"),"SW NOT INSTALLED","")</f>
        <v/>
      </c>
      <c r="S42" s="14">
        <f>IF(AND($H42&lt;&gt;"",ISNUMBER(SEARCH("auto",LOWER($H42))),$F42=""),"AUTOLOGON REQUIRED","")</f>
        <v/>
      </c>
      <c r="T42" s="14">
        <f>IF($Q42&lt;&gt;"",$Q42,IF($S42&lt;&gt;"",$S42,IF($R42&lt;&gt;"",$R42,IF(OR($N42&lt;&gt;"",$O42="Blocked"),"BLOCKED","OK"))))</f>
        <v/>
      </c>
    </row>
    <row r="43">
      <c r="A43" s="21">
        <f>Deployments!H40</f>
        <v/>
      </c>
      <c r="B43" s="21">
        <f>Deployments!X40</f>
        <v/>
      </c>
      <c r="C43" s="21">
        <f>Deployments!Y40</f>
        <v/>
      </c>
      <c r="D43" s="14">
        <f>Deployments!AO40</f>
        <v/>
      </c>
      <c r="E43" s="14">
        <f>Deployments!N40</f>
        <v/>
      </c>
      <c r="F43" s="21">
        <f>Deployments!O40</f>
        <v/>
      </c>
      <c r="G43" s="14">
        <f>Deployments!P40</f>
        <v/>
      </c>
      <c r="H43" s="14">
        <f>'13 - Config_Intake_View'!M43</f>
        <v/>
      </c>
      <c r="I43" s="21">
        <f>IF('13 - Config_Intake_View'!Q43&lt;&gt;"",'13 - Config_Intake_View'!Q43,Deployments!AG40)</f>
        <v/>
      </c>
      <c r="J43" s="14">
        <f>IF('13 - Config_Intake_View'!Q43&lt;&gt;"","PM Approved",IF(Deployments!AG40&lt;&gt;"","Assumed",""))</f>
        <v/>
      </c>
      <c r="K43" s="21">
        <f>Deployments!AF40</f>
        <v/>
      </c>
      <c r="L43" s="14">
        <f>Deployments!U40</f>
        <v/>
      </c>
      <c r="M43" s="14">
        <f>Deployments!L40</f>
        <v/>
      </c>
      <c r="N43" s="14">
        <f>Deployments!CC40</f>
        <v/>
      </c>
      <c r="O43" s="21">
        <f>Deployments!CD40</f>
        <v/>
      </c>
      <c r="P43" s="2">
        <f>Deployments!BX40</f>
        <v/>
      </c>
      <c r="Q43" s="21">
        <f>IF(OR($A43="",$B43="",$D43=""),"MISSING CORE FIELDS","")</f>
        <v/>
      </c>
      <c r="R43" s="14">
        <f>IF(AND($I43&lt;&gt;"",$K43&lt;&gt;"Yes"),"SW NOT INSTALLED","")</f>
        <v/>
      </c>
      <c r="S43" s="14">
        <f>IF(AND($H43&lt;&gt;"",ISNUMBER(SEARCH("auto",LOWER($H43))),$F43=""),"AUTOLOGON REQUIRED","")</f>
        <v/>
      </c>
      <c r="T43" s="14">
        <f>IF($Q43&lt;&gt;"",$Q43,IF($S43&lt;&gt;"",$S43,IF($R43&lt;&gt;"",$R43,IF(OR($N43&lt;&gt;"",$O43="Blocked"),"BLOCKED","OK"))))</f>
        <v/>
      </c>
    </row>
    <row r="44">
      <c r="A44" s="21">
        <f>Deployments!H41</f>
        <v/>
      </c>
      <c r="B44" s="21">
        <f>Deployments!X41</f>
        <v/>
      </c>
      <c r="C44" s="21">
        <f>Deployments!Y41</f>
        <v/>
      </c>
      <c r="D44" s="14">
        <f>Deployments!AO41</f>
        <v/>
      </c>
      <c r="E44" s="14">
        <f>Deployments!N41</f>
        <v/>
      </c>
      <c r="F44" s="21">
        <f>Deployments!O41</f>
        <v/>
      </c>
      <c r="G44" s="14">
        <f>Deployments!P41</f>
        <v/>
      </c>
      <c r="H44" s="14">
        <f>'13 - Config_Intake_View'!M44</f>
        <v/>
      </c>
      <c r="I44" s="21">
        <f>IF('13 - Config_Intake_View'!Q44&lt;&gt;"",'13 - Config_Intake_View'!Q44,Deployments!AG41)</f>
        <v/>
      </c>
      <c r="J44" s="14">
        <f>IF('13 - Config_Intake_View'!Q44&lt;&gt;"","PM Approved",IF(Deployments!AG41&lt;&gt;"","Assumed",""))</f>
        <v/>
      </c>
      <c r="K44" s="21">
        <f>Deployments!AF41</f>
        <v/>
      </c>
      <c r="L44" s="14">
        <f>Deployments!U41</f>
        <v/>
      </c>
      <c r="M44" s="14">
        <f>Deployments!L41</f>
        <v/>
      </c>
      <c r="N44" s="14">
        <f>Deployments!CC41</f>
        <v/>
      </c>
      <c r="O44" s="21">
        <f>Deployments!CD41</f>
        <v/>
      </c>
      <c r="P44" s="2">
        <f>Deployments!BX41</f>
        <v/>
      </c>
      <c r="Q44" s="21">
        <f>IF(OR($A44="",$B44="",$D44=""),"MISSING CORE FIELDS","")</f>
        <v/>
      </c>
      <c r="R44" s="14">
        <f>IF(AND($I44&lt;&gt;"",$K44&lt;&gt;"Yes"),"SW NOT INSTALLED","")</f>
        <v/>
      </c>
      <c r="S44" s="14">
        <f>IF(AND($H44&lt;&gt;"",ISNUMBER(SEARCH("auto",LOWER($H44))),$F44=""),"AUTOLOGON REQUIRED","")</f>
        <v/>
      </c>
      <c r="T44" s="14">
        <f>IF($Q44&lt;&gt;"",$Q44,IF($S44&lt;&gt;"",$S44,IF($R44&lt;&gt;"",$R44,IF(OR($N44&lt;&gt;"",$O44="Blocked"),"BLOCKED","OK"))))</f>
        <v/>
      </c>
    </row>
    <row r="45">
      <c r="A45" s="21">
        <f>Deployments!H42</f>
        <v/>
      </c>
      <c r="B45" s="21">
        <f>Deployments!X42</f>
        <v/>
      </c>
      <c r="C45" s="21">
        <f>Deployments!Y42</f>
        <v/>
      </c>
      <c r="D45" s="14">
        <f>Deployments!AO42</f>
        <v/>
      </c>
      <c r="E45" s="14">
        <f>Deployments!N42</f>
        <v/>
      </c>
      <c r="F45" s="21">
        <f>Deployments!O42</f>
        <v/>
      </c>
      <c r="G45" s="14">
        <f>Deployments!P42</f>
        <v/>
      </c>
      <c r="H45" s="14">
        <f>'13 - Config_Intake_View'!M45</f>
        <v/>
      </c>
      <c r="I45" s="21">
        <f>IF('13 - Config_Intake_View'!Q45&lt;&gt;"",'13 - Config_Intake_View'!Q45,Deployments!AG42)</f>
        <v/>
      </c>
      <c r="J45" s="14">
        <f>IF('13 - Config_Intake_View'!Q45&lt;&gt;"","PM Approved",IF(Deployments!AG42&lt;&gt;"","Assumed",""))</f>
        <v/>
      </c>
      <c r="K45" s="21">
        <f>Deployments!AF42</f>
        <v/>
      </c>
      <c r="L45" s="14">
        <f>Deployments!U42</f>
        <v/>
      </c>
      <c r="M45" s="14">
        <f>Deployments!L42</f>
        <v/>
      </c>
      <c r="N45" s="14">
        <f>Deployments!CC42</f>
        <v/>
      </c>
      <c r="O45" s="21">
        <f>Deployments!CD42</f>
        <v/>
      </c>
      <c r="P45" s="2">
        <f>Deployments!BX42</f>
        <v/>
      </c>
      <c r="Q45" s="21">
        <f>IF(OR($A45="",$B45="",$D45=""),"MISSING CORE FIELDS","")</f>
        <v/>
      </c>
      <c r="R45" s="14">
        <f>IF(AND($I45&lt;&gt;"",$K45&lt;&gt;"Yes"),"SW NOT INSTALLED","")</f>
        <v/>
      </c>
      <c r="S45" s="14">
        <f>IF(AND($H45&lt;&gt;"",ISNUMBER(SEARCH("auto",LOWER($H45))),$F45=""),"AUTOLOGON REQUIRED","")</f>
        <v/>
      </c>
      <c r="T45" s="14">
        <f>IF($Q45&lt;&gt;"",$Q45,IF($S45&lt;&gt;"",$S45,IF($R45&lt;&gt;"",$R45,IF(OR($N45&lt;&gt;"",$O45="Blocked"),"BLOCKED","OK"))))</f>
        <v/>
      </c>
    </row>
    <row r="46">
      <c r="A46" s="21">
        <f>Deployments!H43</f>
        <v/>
      </c>
      <c r="B46" s="21">
        <f>Deployments!X43</f>
        <v/>
      </c>
      <c r="C46" s="21">
        <f>Deployments!Y43</f>
        <v/>
      </c>
      <c r="D46" s="14">
        <f>Deployments!AO43</f>
        <v/>
      </c>
      <c r="E46" s="14">
        <f>Deployments!N43</f>
        <v/>
      </c>
      <c r="F46" s="21">
        <f>Deployments!O43</f>
        <v/>
      </c>
      <c r="G46" s="14">
        <f>Deployments!P43</f>
        <v/>
      </c>
      <c r="H46" s="14">
        <f>'13 - Config_Intake_View'!M46</f>
        <v/>
      </c>
      <c r="I46" s="21">
        <f>IF('13 - Config_Intake_View'!Q46&lt;&gt;"",'13 - Config_Intake_View'!Q46,Deployments!AG43)</f>
        <v/>
      </c>
      <c r="J46" s="14">
        <f>IF('13 - Config_Intake_View'!Q46&lt;&gt;"","PM Approved",IF(Deployments!AG43&lt;&gt;"","Assumed",""))</f>
        <v/>
      </c>
      <c r="K46" s="21">
        <f>Deployments!AF43</f>
        <v/>
      </c>
      <c r="L46" s="14">
        <f>Deployments!U43</f>
        <v/>
      </c>
      <c r="M46" s="14">
        <f>Deployments!L43</f>
        <v/>
      </c>
      <c r="N46" s="14">
        <f>Deployments!CC43</f>
        <v/>
      </c>
      <c r="O46" s="21">
        <f>Deployments!CD43</f>
        <v/>
      </c>
      <c r="P46" s="2">
        <f>Deployments!BX43</f>
        <v/>
      </c>
      <c r="Q46" s="21">
        <f>IF(OR($A46="",$B46="",$D46=""),"MISSING CORE FIELDS","")</f>
        <v/>
      </c>
      <c r="R46" s="14">
        <f>IF(AND($I46&lt;&gt;"",$K46&lt;&gt;"Yes"),"SW NOT INSTALLED","")</f>
        <v/>
      </c>
      <c r="S46" s="14">
        <f>IF(AND($H46&lt;&gt;"",ISNUMBER(SEARCH("auto",LOWER($H46))),$F46=""),"AUTOLOGON REQUIRED","")</f>
        <v/>
      </c>
      <c r="T46" s="14">
        <f>IF($Q46&lt;&gt;"",$Q46,IF($S46&lt;&gt;"",$S46,IF($R46&lt;&gt;"",$R46,IF(OR($N46&lt;&gt;"",$O46="Blocked"),"BLOCKED","OK"))))</f>
        <v/>
      </c>
    </row>
    <row r="47">
      <c r="A47" s="21">
        <f>Deployments!H44</f>
        <v/>
      </c>
      <c r="B47" s="21">
        <f>Deployments!X44</f>
        <v/>
      </c>
      <c r="C47" s="21">
        <f>Deployments!Y44</f>
        <v/>
      </c>
      <c r="D47" s="14">
        <f>Deployments!AO44</f>
        <v/>
      </c>
      <c r="E47" s="14">
        <f>Deployments!N44</f>
        <v/>
      </c>
      <c r="F47" s="21">
        <f>Deployments!O44</f>
        <v/>
      </c>
      <c r="G47" s="14">
        <f>Deployments!P44</f>
        <v/>
      </c>
      <c r="H47" s="14">
        <f>'13 - Config_Intake_View'!M47</f>
        <v/>
      </c>
      <c r="I47" s="21">
        <f>IF('13 - Config_Intake_View'!Q47&lt;&gt;"",'13 - Config_Intake_View'!Q47,Deployments!AG44)</f>
        <v/>
      </c>
      <c r="J47" s="14">
        <f>IF('13 - Config_Intake_View'!Q47&lt;&gt;"","PM Approved",IF(Deployments!AG44&lt;&gt;"","Assumed",""))</f>
        <v/>
      </c>
      <c r="K47" s="21">
        <f>Deployments!AF44</f>
        <v/>
      </c>
      <c r="L47" s="14">
        <f>Deployments!U44</f>
        <v/>
      </c>
      <c r="M47" s="14">
        <f>Deployments!L44</f>
        <v/>
      </c>
      <c r="N47" s="14">
        <f>Deployments!CC44</f>
        <v/>
      </c>
      <c r="O47" s="21">
        <f>Deployments!CD44</f>
        <v/>
      </c>
      <c r="P47" s="2">
        <f>Deployments!BX44</f>
        <v/>
      </c>
      <c r="Q47" s="21">
        <f>IF(OR($A47="",$B47="",$D47=""),"MISSING CORE FIELDS","")</f>
        <v/>
      </c>
      <c r="R47" s="14">
        <f>IF(AND($I47&lt;&gt;"",$K47&lt;&gt;"Yes"),"SW NOT INSTALLED","")</f>
        <v/>
      </c>
      <c r="S47" s="14">
        <f>IF(AND($H47&lt;&gt;"",ISNUMBER(SEARCH("auto",LOWER($H47))),$F47=""),"AUTOLOGON REQUIRED","")</f>
        <v/>
      </c>
      <c r="T47" s="14">
        <f>IF($Q47&lt;&gt;"",$Q47,IF($S47&lt;&gt;"",$S47,IF($R47&lt;&gt;"",$R47,IF(OR($N47&lt;&gt;"",$O47="Blocked"),"BLOCKED","OK"))))</f>
        <v/>
      </c>
    </row>
    <row r="48">
      <c r="A48" s="21">
        <f>Deployments!H45</f>
        <v/>
      </c>
      <c r="B48" s="21">
        <f>Deployments!X45</f>
        <v/>
      </c>
      <c r="C48" s="21">
        <f>Deployments!Y45</f>
        <v/>
      </c>
      <c r="D48" s="14">
        <f>Deployments!AO45</f>
        <v/>
      </c>
      <c r="E48" s="14">
        <f>Deployments!N45</f>
        <v/>
      </c>
      <c r="F48" s="21">
        <f>Deployments!O45</f>
        <v/>
      </c>
      <c r="G48" s="14">
        <f>Deployments!P45</f>
        <v/>
      </c>
      <c r="H48" s="14">
        <f>'13 - Config_Intake_View'!M48</f>
        <v/>
      </c>
      <c r="I48" s="21">
        <f>IF('13 - Config_Intake_View'!Q48&lt;&gt;"",'13 - Config_Intake_View'!Q48,Deployments!AG45)</f>
        <v/>
      </c>
      <c r="J48" s="14">
        <f>IF('13 - Config_Intake_View'!Q48&lt;&gt;"","PM Approved",IF(Deployments!AG45&lt;&gt;"","Assumed",""))</f>
        <v/>
      </c>
      <c r="K48" s="21">
        <f>Deployments!AF45</f>
        <v/>
      </c>
      <c r="L48" s="14">
        <f>Deployments!U45</f>
        <v/>
      </c>
      <c r="M48" s="14">
        <f>Deployments!L45</f>
        <v/>
      </c>
      <c r="N48" s="14">
        <f>Deployments!CC45</f>
        <v/>
      </c>
      <c r="O48" s="21">
        <f>Deployments!CD45</f>
        <v/>
      </c>
      <c r="P48" s="2">
        <f>Deployments!BX45</f>
        <v/>
      </c>
      <c r="Q48" s="21">
        <f>IF(OR($A48="",$B48="",$D48=""),"MISSING CORE FIELDS","")</f>
        <v/>
      </c>
      <c r="R48" s="14">
        <f>IF(AND($I48&lt;&gt;"",$K48&lt;&gt;"Yes"),"SW NOT INSTALLED","")</f>
        <v/>
      </c>
      <c r="S48" s="14">
        <f>IF(AND($H48&lt;&gt;"",ISNUMBER(SEARCH("auto",LOWER($H48))),$F48=""),"AUTOLOGON REQUIRED","")</f>
        <v/>
      </c>
      <c r="T48" s="14">
        <f>IF($Q48&lt;&gt;"",$Q48,IF($S48&lt;&gt;"",$S48,IF($R48&lt;&gt;"",$R48,IF(OR($N48&lt;&gt;"",$O48="Blocked"),"BLOCKED","OK"))))</f>
        <v/>
      </c>
    </row>
    <row r="49">
      <c r="A49" s="21">
        <f>Deployments!H46</f>
        <v/>
      </c>
      <c r="B49" s="21">
        <f>Deployments!X46</f>
        <v/>
      </c>
      <c r="C49" s="21">
        <f>Deployments!Y46</f>
        <v/>
      </c>
      <c r="D49" s="14">
        <f>Deployments!AO46</f>
        <v/>
      </c>
      <c r="E49" s="14">
        <f>Deployments!N46</f>
        <v/>
      </c>
      <c r="F49" s="21">
        <f>Deployments!O46</f>
        <v/>
      </c>
      <c r="G49" s="14">
        <f>Deployments!P46</f>
        <v/>
      </c>
      <c r="H49" s="14">
        <f>'13 - Config_Intake_View'!M49</f>
        <v/>
      </c>
      <c r="I49" s="21">
        <f>IF('13 - Config_Intake_View'!Q49&lt;&gt;"",'13 - Config_Intake_View'!Q49,Deployments!AG46)</f>
        <v/>
      </c>
      <c r="J49" s="14">
        <f>IF('13 - Config_Intake_View'!Q49&lt;&gt;"","PM Approved",IF(Deployments!AG46&lt;&gt;"","Assumed",""))</f>
        <v/>
      </c>
      <c r="K49" s="21">
        <f>Deployments!AF46</f>
        <v/>
      </c>
      <c r="L49" s="14">
        <f>Deployments!U46</f>
        <v/>
      </c>
      <c r="M49" s="14">
        <f>Deployments!L46</f>
        <v/>
      </c>
      <c r="N49" s="14">
        <f>Deployments!CC46</f>
        <v/>
      </c>
      <c r="O49" s="21">
        <f>Deployments!CD46</f>
        <v/>
      </c>
      <c r="P49" s="2">
        <f>Deployments!BX46</f>
        <v/>
      </c>
      <c r="Q49" s="21">
        <f>IF(OR($A49="",$B49="",$D49=""),"MISSING CORE FIELDS","")</f>
        <v/>
      </c>
      <c r="R49" s="14">
        <f>IF(AND($I49&lt;&gt;"",$K49&lt;&gt;"Yes"),"SW NOT INSTALLED","")</f>
        <v/>
      </c>
      <c r="S49" s="14">
        <f>IF(AND($H49&lt;&gt;"",ISNUMBER(SEARCH("auto",LOWER($H49))),$F49=""),"AUTOLOGON REQUIRED","")</f>
        <v/>
      </c>
      <c r="T49" s="14">
        <f>IF($Q49&lt;&gt;"",$Q49,IF($S49&lt;&gt;"",$S49,IF($R49&lt;&gt;"",$R49,IF(OR($N49&lt;&gt;"",$O49="Blocked"),"BLOCKED","OK"))))</f>
        <v/>
      </c>
    </row>
    <row r="50">
      <c r="A50" s="21">
        <f>Deployments!H47</f>
        <v/>
      </c>
      <c r="B50" s="21">
        <f>Deployments!X47</f>
        <v/>
      </c>
      <c r="C50" s="21">
        <f>Deployments!Y47</f>
        <v/>
      </c>
      <c r="D50" s="14">
        <f>Deployments!AO47</f>
        <v/>
      </c>
      <c r="E50" s="14">
        <f>Deployments!N47</f>
        <v/>
      </c>
      <c r="F50" s="21">
        <f>Deployments!O47</f>
        <v/>
      </c>
      <c r="G50" s="14">
        <f>Deployments!P47</f>
        <v/>
      </c>
      <c r="H50" s="14">
        <f>'13 - Config_Intake_View'!M50</f>
        <v/>
      </c>
      <c r="I50" s="21">
        <f>IF('13 - Config_Intake_View'!Q50&lt;&gt;"",'13 - Config_Intake_View'!Q50,Deployments!AG47)</f>
        <v/>
      </c>
      <c r="J50" s="14">
        <f>IF('13 - Config_Intake_View'!Q50&lt;&gt;"","PM Approved",IF(Deployments!AG47&lt;&gt;"","Assumed",""))</f>
        <v/>
      </c>
      <c r="K50" s="21">
        <f>Deployments!AF47</f>
        <v/>
      </c>
      <c r="L50" s="14">
        <f>Deployments!U47</f>
        <v/>
      </c>
      <c r="M50" s="14">
        <f>Deployments!L47</f>
        <v/>
      </c>
      <c r="N50" s="14">
        <f>Deployments!CC47</f>
        <v/>
      </c>
      <c r="O50" s="21">
        <f>Deployments!CD47</f>
        <v/>
      </c>
      <c r="P50" s="2">
        <f>Deployments!BX47</f>
        <v/>
      </c>
      <c r="Q50" s="21">
        <f>IF(OR($A50="",$B50="",$D50=""),"MISSING CORE FIELDS","")</f>
        <v/>
      </c>
      <c r="R50" s="14">
        <f>IF(AND($I50&lt;&gt;"",$K50&lt;&gt;"Yes"),"SW NOT INSTALLED","")</f>
        <v/>
      </c>
      <c r="S50" s="14">
        <f>IF(AND($H50&lt;&gt;"",ISNUMBER(SEARCH("auto",LOWER($H50))),$F50=""),"AUTOLOGON REQUIRED","")</f>
        <v/>
      </c>
      <c r="T50" s="14">
        <f>IF($Q50&lt;&gt;"",$Q50,IF($S50&lt;&gt;"",$S50,IF($R50&lt;&gt;"",$R50,IF(OR($N50&lt;&gt;"",$O50="Blocked"),"BLOCKED","OK"))))</f>
        <v/>
      </c>
    </row>
    <row r="51">
      <c r="A51" s="21">
        <f>Deployments!H48</f>
        <v/>
      </c>
      <c r="B51" s="21">
        <f>Deployments!X48</f>
        <v/>
      </c>
      <c r="C51" s="21">
        <f>Deployments!Y48</f>
        <v/>
      </c>
      <c r="D51" s="14">
        <f>Deployments!AO48</f>
        <v/>
      </c>
      <c r="E51" s="14">
        <f>Deployments!N48</f>
        <v/>
      </c>
      <c r="F51" s="21">
        <f>Deployments!O48</f>
        <v/>
      </c>
      <c r="G51" s="14">
        <f>Deployments!P48</f>
        <v/>
      </c>
      <c r="H51" s="14">
        <f>'13 - Config_Intake_View'!M51</f>
        <v/>
      </c>
      <c r="I51" s="21">
        <f>IF('13 - Config_Intake_View'!Q51&lt;&gt;"",'13 - Config_Intake_View'!Q51,Deployments!AG48)</f>
        <v/>
      </c>
      <c r="J51" s="14">
        <f>IF('13 - Config_Intake_View'!Q51&lt;&gt;"","PM Approved",IF(Deployments!AG48&lt;&gt;"","Assumed",""))</f>
        <v/>
      </c>
      <c r="K51" s="21">
        <f>Deployments!AF48</f>
        <v/>
      </c>
      <c r="L51" s="14">
        <f>Deployments!U48</f>
        <v/>
      </c>
      <c r="M51" s="14">
        <f>Deployments!L48</f>
        <v/>
      </c>
      <c r="N51" s="14">
        <f>Deployments!CC48</f>
        <v/>
      </c>
      <c r="O51" s="21">
        <f>Deployments!CD48</f>
        <v/>
      </c>
      <c r="P51" s="2">
        <f>Deployments!BX48</f>
        <v/>
      </c>
      <c r="Q51" s="21">
        <f>IF(OR($A51="",$B51="",$D51=""),"MISSING CORE FIELDS","")</f>
        <v/>
      </c>
      <c r="R51" s="14">
        <f>IF(AND($I51&lt;&gt;"",$K51&lt;&gt;"Yes"),"SW NOT INSTALLED","")</f>
        <v/>
      </c>
      <c r="S51" s="14">
        <f>IF(AND($H51&lt;&gt;"",ISNUMBER(SEARCH("auto",LOWER($H51))),$F51=""),"AUTOLOGON REQUIRED","")</f>
        <v/>
      </c>
      <c r="T51" s="14">
        <f>IF($Q51&lt;&gt;"",$Q51,IF($S51&lt;&gt;"",$S51,IF($R51&lt;&gt;"",$R51,IF(OR($N51&lt;&gt;"",$O51="Blocked"),"BLOCKED","OK"))))</f>
        <v/>
      </c>
    </row>
    <row r="52">
      <c r="A52" s="21">
        <f>Deployments!H49</f>
        <v/>
      </c>
      <c r="B52" s="21">
        <f>Deployments!X49</f>
        <v/>
      </c>
      <c r="C52" s="21">
        <f>Deployments!Y49</f>
        <v/>
      </c>
      <c r="D52" s="14">
        <f>Deployments!AO49</f>
        <v/>
      </c>
      <c r="E52" s="14">
        <f>Deployments!N49</f>
        <v/>
      </c>
      <c r="F52" s="21">
        <f>Deployments!O49</f>
        <v/>
      </c>
      <c r="G52" s="14">
        <f>Deployments!P49</f>
        <v/>
      </c>
      <c r="H52" s="14">
        <f>'13 - Config_Intake_View'!M52</f>
        <v/>
      </c>
      <c r="I52" s="21">
        <f>IF('13 - Config_Intake_View'!Q52&lt;&gt;"",'13 - Config_Intake_View'!Q52,Deployments!AG49)</f>
        <v/>
      </c>
      <c r="J52" s="14">
        <f>IF('13 - Config_Intake_View'!Q52&lt;&gt;"","PM Approved",IF(Deployments!AG49&lt;&gt;"","Assumed",""))</f>
        <v/>
      </c>
      <c r="K52" s="21">
        <f>Deployments!AF49</f>
        <v/>
      </c>
      <c r="L52" s="14">
        <f>Deployments!U49</f>
        <v/>
      </c>
      <c r="M52" s="14">
        <f>Deployments!L49</f>
        <v/>
      </c>
      <c r="N52" s="14">
        <f>Deployments!CC49</f>
        <v/>
      </c>
      <c r="O52" s="21">
        <f>Deployments!CD49</f>
        <v/>
      </c>
      <c r="P52" s="2">
        <f>Deployments!BX49</f>
        <v/>
      </c>
      <c r="Q52" s="21">
        <f>IF(OR($A52="",$B52="",$D52=""),"MISSING CORE FIELDS","")</f>
        <v/>
      </c>
      <c r="R52" s="14">
        <f>IF(AND($I52&lt;&gt;"",$K52&lt;&gt;"Yes"),"SW NOT INSTALLED","")</f>
        <v/>
      </c>
      <c r="S52" s="14">
        <f>IF(AND($H52&lt;&gt;"",ISNUMBER(SEARCH("auto",LOWER($H52))),$F52=""),"AUTOLOGON REQUIRED","")</f>
        <v/>
      </c>
      <c r="T52" s="14">
        <f>IF($Q52&lt;&gt;"",$Q52,IF($S52&lt;&gt;"",$S52,IF($R52&lt;&gt;"",$R52,IF(OR($N52&lt;&gt;"",$O52="Blocked"),"BLOCKED","OK"))))</f>
        <v/>
      </c>
    </row>
    <row r="53">
      <c r="A53" s="21">
        <f>Deployments!H50</f>
        <v/>
      </c>
      <c r="B53" s="21">
        <f>Deployments!X50</f>
        <v/>
      </c>
      <c r="C53" s="21">
        <f>Deployments!Y50</f>
        <v/>
      </c>
      <c r="D53" s="14">
        <f>Deployments!AO50</f>
        <v/>
      </c>
      <c r="E53" s="14">
        <f>Deployments!N50</f>
        <v/>
      </c>
      <c r="F53" s="21">
        <f>Deployments!O50</f>
        <v/>
      </c>
      <c r="G53" s="14">
        <f>Deployments!P50</f>
        <v/>
      </c>
      <c r="H53" s="14">
        <f>'13 - Config_Intake_View'!M53</f>
        <v/>
      </c>
      <c r="I53" s="21">
        <f>IF('13 - Config_Intake_View'!Q53&lt;&gt;"",'13 - Config_Intake_View'!Q53,Deployments!AG50)</f>
        <v/>
      </c>
      <c r="J53" s="14">
        <f>IF('13 - Config_Intake_View'!Q53&lt;&gt;"","PM Approved",IF(Deployments!AG50&lt;&gt;"","Assumed",""))</f>
        <v/>
      </c>
      <c r="K53" s="21">
        <f>Deployments!AF50</f>
        <v/>
      </c>
      <c r="L53" s="14">
        <f>Deployments!U50</f>
        <v/>
      </c>
      <c r="M53" s="14">
        <f>Deployments!L50</f>
        <v/>
      </c>
      <c r="N53" s="14">
        <f>Deployments!CC50</f>
        <v/>
      </c>
      <c r="O53" s="21">
        <f>Deployments!CD50</f>
        <v/>
      </c>
      <c r="P53" s="2">
        <f>Deployments!BX50</f>
        <v/>
      </c>
      <c r="Q53" s="21">
        <f>IF(OR($A53="",$B53="",$D53=""),"MISSING CORE FIELDS","")</f>
        <v/>
      </c>
      <c r="R53" s="14">
        <f>IF(AND($I53&lt;&gt;"",$K53&lt;&gt;"Yes"),"SW NOT INSTALLED","")</f>
        <v/>
      </c>
      <c r="S53" s="14">
        <f>IF(AND($H53&lt;&gt;"",ISNUMBER(SEARCH("auto",LOWER($H53))),$F53=""),"AUTOLOGON REQUIRED","")</f>
        <v/>
      </c>
      <c r="T53" s="14">
        <f>IF($Q53&lt;&gt;"",$Q53,IF($S53&lt;&gt;"",$S53,IF($R53&lt;&gt;"",$R53,IF(OR($N53&lt;&gt;"",$O53="Blocked"),"BLOCKED","OK"))))</f>
        <v/>
      </c>
    </row>
    <row r="54">
      <c r="A54" s="21">
        <f>Deployments!H51</f>
        <v/>
      </c>
      <c r="B54" s="21">
        <f>Deployments!X51</f>
        <v/>
      </c>
      <c r="C54" s="21">
        <f>Deployments!Y51</f>
        <v/>
      </c>
      <c r="D54" s="14">
        <f>Deployments!AO51</f>
        <v/>
      </c>
      <c r="E54" s="14">
        <f>Deployments!N51</f>
        <v/>
      </c>
      <c r="F54" s="21">
        <f>Deployments!O51</f>
        <v/>
      </c>
      <c r="G54" s="14">
        <f>Deployments!P51</f>
        <v/>
      </c>
      <c r="H54" s="14">
        <f>'13 - Config_Intake_View'!M54</f>
        <v/>
      </c>
      <c r="I54" s="21">
        <f>IF('13 - Config_Intake_View'!Q54&lt;&gt;"",'13 - Config_Intake_View'!Q54,Deployments!AG51)</f>
        <v/>
      </c>
      <c r="J54" s="14">
        <f>IF('13 - Config_Intake_View'!Q54&lt;&gt;"","PM Approved",IF(Deployments!AG51&lt;&gt;"","Assumed",""))</f>
        <v/>
      </c>
      <c r="K54" s="21">
        <f>Deployments!AF51</f>
        <v/>
      </c>
      <c r="L54" s="14">
        <f>Deployments!U51</f>
        <v/>
      </c>
      <c r="M54" s="14">
        <f>Deployments!L51</f>
        <v/>
      </c>
      <c r="N54" s="14">
        <f>Deployments!CC51</f>
        <v/>
      </c>
      <c r="O54" s="21">
        <f>Deployments!CD51</f>
        <v/>
      </c>
      <c r="P54" s="2">
        <f>Deployments!BX51</f>
        <v/>
      </c>
      <c r="Q54" s="21">
        <f>IF(OR($A54="",$B54="",$D54=""),"MISSING CORE FIELDS","")</f>
        <v/>
      </c>
      <c r="R54" s="14">
        <f>IF(AND($I54&lt;&gt;"",$K54&lt;&gt;"Yes"),"SW NOT INSTALLED","")</f>
        <v/>
      </c>
      <c r="S54" s="14">
        <f>IF(AND($H54&lt;&gt;"",ISNUMBER(SEARCH("auto",LOWER($H54))),$F54=""),"AUTOLOGON REQUIRED","")</f>
        <v/>
      </c>
      <c r="T54" s="14">
        <f>IF($Q54&lt;&gt;"",$Q54,IF($S54&lt;&gt;"",$S54,IF($R54&lt;&gt;"",$R54,IF(OR($N54&lt;&gt;"",$O54="Blocked"),"BLOCKED","OK"))))</f>
        <v/>
      </c>
    </row>
    <row r="55">
      <c r="A55" s="21">
        <f>Deployments!H52</f>
        <v/>
      </c>
      <c r="B55" s="21">
        <f>Deployments!X52</f>
        <v/>
      </c>
      <c r="C55" s="21">
        <f>Deployments!Y52</f>
        <v/>
      </c>
      <c r="D55" s="14">
        <f>Deployments!AO52</f>
        <v/>
      </c>
      <c r="E55" s="14">
        <f>Deployments!N52</f>
        <v/>
      </c>
      <c r="F55" s="21">
        <f>Deployments!O52</f>
        <v/>
      </c>
      <c r="G55" s="14">
        <f>Deployments!P52</f>
        <v/>
      </c>
      <c r="H55" s="14">
        <f>'13 - Config_Intake_View'!M55</f>
        <v/>
      </c>
      <c r="I55" s="21">
        <f>IF('13 - Config_Intake_View'!Q55&lt;&gt;"",'13 - Config_Intake_View'!Q55,Deployments!AG52)</f>
        <v/>
      </c>
      <c r="J55" s="14">
        <f>IF('13 - Config_Intake_View'!Q55&lt;&gt;"","PM Approved",IF(Deployments!AG52&lt;&gt;"","Assumed",""))</f>
        <v/>
      </c>
      <c r="K55" s="21">
        <f>Deployments!AF52</f>
        <v/>
      </c>
      <c r="L55" s="14">
        <f>Deployments!U52</f>
        <v/>
      </c>
      <c r="M55" s="14">
        <f>Deployments!L52</f>
        <v/>
      </c>
      <c r="N55" s="14">
        <f>Deployments!CC52</f>
        <v/>
      </c>
      <c r="O55" s="21">
        <f>Deployments!CD52</f>
        <v/>
      </c>
      <c r="P55" s="2">
        <f>Deployments!BX52</f>
        <v/>
      </c>
      <c r="Q55" s="21">
        <f>IF(OR($A55="",$B55="",$D55=""),"MISSING CORE FIELDS","")</f>
        <v/>
      </c>
      <c r="R55" s="14">
        <f>IF(AND($I55&lt;&gt;"",$K55&lt;&gt;"Yes"),"SW NOT INSTALLED","")</f>
        <v/>
      </c>
      <c r="S55" s="14">
        <f>IF(AND($H55&lt;&gt;"",ISNUMBER(SEARCH("auto",LOWER($H55))),$F55=""),"AUTOLOGON REQUIRED","")</f>
        <v/>
      </c>
      <c r="T55" s="14">
        <f>IF($Q55&lt;&gt;"",$Q55,IF($S55&lt;&gt;"",$S55,IF($R55&lt;&gt;"",$R55,IF(OR($N55&lt;&gt;"",$O55="Blocked"),"BLOCKED","OK"))))</f>
        <v/>
      </c>
    </row>
    <row r="56">
      <c r="A56" s="21">
        <f>Deployments!H53</f>
        <v/>
      </c>
      <c r="B56" s="21">
        <f>Deployments!X53</f>
        <v/>
      </c>
      <c r="C56" s="21">
        <f>Deployments!Y53</f>
        <v/>
      </c>
      <c r="D56" s="14">
        <f>Deployments!AO53</f>
        <v/>
      </c>
      <c r="E56" s="14">
        <f>Deployments!N53</f>
        <v/>
      </c>
      <c r="F56" s="21">
        <f>Deployments!O53</f>
        <v/>
      </c>
      <c r="G56" s="14">
        <f>Deployments!P53</f>
        <v/>
      </c>
      <c r="H56" s="14">
        <f>'13 - Config_Intake_View'!M56</f>
        <v/>
      </c>
      <c r="I56" s="21">
        <f>IF('13 - Config_Intake_View'!Q56&lt;&gt;"",'13 - Config_Intake_View'!Q56,Deployments!AG53)</f>
        <v/>
      </c>
      <c r="J56" s="14">
        <f>IF('13 - Config_Intake_View'!Q56&lt;&gt;"","PM Approved",IF(Deployments!AG53&lt;&gt;"","Assumed",""))</f>
        <v/>
      </c>
      <c r="K56" s="21">
        <f>Deployments!AF53</f>
        <v/>
      </c>
      <c r="L56" s="14">
        <f>Deployments!U53</f>
        <v/>
      </c>
      <c r="M56" s="14">
        <f>Deployments!L53</f>
        <v/>
      </c>
      <c r="N56" s="14">
        <f>Deployments!CC53</f>
        <v/>
      </c>
      <c r="O56" s="21">
        <f>Deployments!CD53</f>
        <v/>
      </c>
      <c r="P56" s="2">
        <f>Deployments!BX53</f>
        <v/>
      </c>
      <c r="Q56" s="21">
        <f>IF(OR($A56="",$B56="",$D56=""),"MISSING CORE FIELDS","")</f>
        <v/>
      </c>
      <c r="R56" s="14">
        <f>IF(AND($I56&lt;&gt;"",$K56&lt;&gt;"Yes"),"SW NOT INSTALLED","")</f>
        <v/>
      </c>
      <c r="S56" s="14">
        <f>IF(AND($H56&lt;&gt;"",ISNUMBER(SEARCH("auto",LOWER($H56))),$F56=""),"AUTOLOGON REQUIRED","")</f>
        <v/>
      </c>
      <c r="T56" s="14">
        <f>IF($Q56&lt;&gt;"",$Q56,IF($S56&lt;&gt;"",$S56,IF($R56&lt;&gt;"",$R56,IF(OR($N56&lt;&gt;"",$O56="Blocked"),"BLOCKED","OK"))))</f>
        <v/>
      </c>
    </row>
    <row r="57">
      <c r="A57" s="21">
        <f>Deployments!H54</f>
        <v/>
      </c>
      <c r="B57" s="21">
        <f>Deployments!X54</f>
        <v/>
      </c>
      <c r="C57" s="21">
        <f>Deployments!Y54</f>
        <v/>
      </c>
      <c r="D57" s="14">
        <f>Deployments!AO54</f>
        <v/>
      </c>
      <c r="E57" s="14">
        <f>Deployments!N54</f>
        <v/>
      </c>
      <c r="F57" s="21">
        <f>Deployments!O54</f>
        <v/>
      </c>
      <c r="G57" s="14">
        <f>Deployments!P54</f>
        <v/>
      </c>
      <c r="H57" s="14">
        <f>'13 - Config_Intake_View'!M57</f>
        <v/>
      </c>
      <c r="I57" s="21">
        <f>IF('13 - Config_Intake_View'!Q57&lt;&gt;"",'13 - Config_Intake_View'!Q57,Deployments!AG54)</f>
        <v/>
      </c>
      <c r="J57" s="14">
        <f>IF('13 - Config_Intake_View'!Q57&lt;&gt;"","PM Approved",IF(Deployments!AG54&lt;&gt;"","Assumed",""))</f>
        <v/>
      </c>
      <c r="K57" s="21">
        <f>Deployments!AF54</f>
        <v/>
      </c>
      <c r="L57" s="14">
        <f>Deployments!U54</f>
        <v/>
      </c>
      <c r="M57" s="14">
        <f>Deployments!L54</f>
        <v/>
      </c>
      <c r="N57" s="14">
        <f>Deployments!CC54</f>
        <v/>
      </c>
      <c r="O57" s="21">
        <f>Deployments!CD54</f>
        <v/>
      </c>
      <c r="P57" s="2">
        <f>Deployments!BX54</f>
        <v/>
      </c>
      <c r="Q57" s="21">
        <f>IF(OR($A57="",$B57="",$D57=""),"MISSING CORE FIELDS","")</f>
        <v/>
      </c>
      <c r="R57" s="14">
        <f>IF(AND($I57&lt;&gt;"",$K57&lt;&gt;"Yes"),"SW NOT INSTALLED","")</f>
        <v/>
      </c>
      <c r="S57" s="14">
        <f>IF(AND($H57&lt;&gt;"",ISNUMBER(SEARCH("auto",LOWER($H57))),$F57=""),"AUTOLOGON REQUIRED","")</f>
        <v/>
      </c>
      <c r="T57" s="14">
        <f>IF($Q57&lt;&gt;"",$Q57,IF($S57&lt;&gt;"",$S57,IF($R57&lt;&gt;"",$R57,IF(OR($N57&lt;&gt;"",$O57="Blocked"),"BLOCKED","OK"))))</f>
        <v/>
      </c>
    </row>
    <row r="58">
      <c r="A58" s="21">
        <f>Deployments!H55</f>
        <v/>
      </c>
      <c r="B58" s="21">
        <f>Deployments!X55</f>
        <v/>
      </c>
      <c r="C58" s="21">
        <f>Deployments!Y55</f>
        <v/>
      </c>
      <c r="D58" s="14">
        <f>Deployments!AO55</f>
        <v/>
      </c>
      <c r="E58" s="14">
        <f>Deployments!N55</f>
        <v/>
      </c>
      <c r="F58" s="21">
        <f>Deployments!O55</f>
        <v/>
      </c>
      <c r="G58" s="14">
        <f>Deployments!P55</f>
        <v/>
      </c>
      <c r="H58" s="14">
        <f>'13 - Config_Intake_View'!M58</f>
        <v/>
      </c>
      <c r="I58" s="21">
        <f>IF('13 - Config_Intake_View'!Q58&lt;&gt;"",'13 - Config_Intake_View'!Q58,Deployments!AG55)</f>
        <v/>
      </c>
      <c r="J58" s="14">
        <f>IF('13 - Config_Intake_View'!Q58&lt;&gt;"","PM Approved",IF(Deployments!AG55&lt;&gt;"","Assumed",""))</f>
        <v/>
      </c>
      <c r="K58" s="21">
        <f>Deployments!AF55</f>
        <v/>
      </c>
      <c r="L58" s="14">
        <f>Deployments!U55</f>
        <v/>
      </c>
      <c r="M58" s="14">
        <f>Deployments!L55</f>
        <v/>
      </c>
      <c r="N58" s="14">
        <f>Deployments!CC55</f>
        <v/>
      </c>
      <c r="O58" s="21">
        <f>Deployments!CD55</f>
        <v/>
      </c>
      <c r="P58" s="2">
        <f>Deployments!BX55</f>
        <v/>
      </c>
      <c r="Q58" s="21">
        <f>IF(OR($A58="",$B58="",$D58=""),"MISSING CORE FIELDS","")</f>
        <v/>
      </c>
      <c r="R58" s="14">
        <f>IF(AND($I58&lt;&gt;"",$K58&lt;&gt;"Yes"),"SW NOT INSTALLED","")</f>
        <v/>
      </c>
      <c r="S58" s="14">
        <f>IF(AND($H58&lt;&gt;"",ISNUMBER(SEARCH("auto",LOWER($H58))),$F58=""),"AUTOLOGON REQUIRED","")</f>
        <v/>
      </c>
      <c r="T58" s="14">
        <f>IF($Q58&lt;&gt;"",$Q58,IF($S58&lt;&gt;"",$S58,IF($R58&lt;&gt;"",$R58,IF(OR($N58&lt;&gt;"",$O58="Blocked"),"BLOCKED","OK"))))</f>
        <v/>
      </c>
    </row>
    <row r="59">
      <c r="A59" s="21">
        <f>Deployments!H56</f>
        <v/>
      </c>
      <c r="B59" s="21">
        <f>Deployments!X56</f>
        <v/>
      </c>
      <c r="C59" s="21">
        <f>Deployments!Y56</f>
        <v/>
      </c>
      <c r="D59" s="14">
        <f>Deployments!AO56</f>
        <v/>
      </c>
      <c r="E59" s="14">
        <f>Deployments!N56</f>
        <v/>
      </c>
      <c r="F59" s="21">
        <f>Deployments!O56</f>
        <v/>
      </c>
      <c r="G59" s="14">
        <f>Deployments!P56</f>
        <v/>
      </c>
      <c r="H59" s="14">
        <f>'13 - Config_Intake_View'!M59</f>
        <v/>
      </c>
      <c r="I59" s="21">
        <f>IF('13 - Config_Intake_View'!Q59&lt;&gt;"",'13 - Config_Intake_View'!Q59,Deployments!AG56)</f>
        <v/>
      </c>
      <c r="J59" s="14">
        <f>IF('13 - Config_Intake_View'!Q59&lt;&gt;"","PM Approved",IF(Deployments!AG56&lt;&gt;"","Assumed",""))</f>
        <v/>
      </c>
      <c r="K59" s="21">
        <f>Deployments!AF56</f>
        <v/>
      </c>
      <c r="L59" s="14">
        <f>Deployments!U56</f>
        <v/>
      </c>
      <c r="M59" s="14">
        <f>Deployments!L56</f>
        <v/>
      </c>
      <c r="N59" s="14">
        <f>Deployments!CC56</f>
        <v/>
      </c>
      <c r="O59" s="21">
        <f>Deployments!CD56</f>
        <v/>
      </c>
      <c r="P59" s="2">
        <f>Deployments!BX56</f>
        <v/>
      </c>
      <c r="Q59" s="21">
        <f>IF(OR($A59="",$B59="",$D59=""),"MISSING CORE FIELDS","")</f>
        <v/>
      </c>
      <c r="R59" s="14">
        <f>IF(AND($I59&lt;&gt;"",$K59&lt;&gt;"Yes"),"SW NOT INSTALLED","")</f>
        <v/>
      </c>
      <c r="S59" s="14">
        <f>IF(AND($H59&lt;&gt;"",ISNUMBER(SEARCH("auto",LOWER($H59))),$F59=""),"AUTOLOGON REQUIRED","")</f>
        <v/>
      </c>
      <c r="T59" s="14">
        <f>IF($Q59&lt;&gt;"",$Q59,IF($S59&lt;&gt;"",$S59,IF($R59&lt;&gt;"",$R59,IF(OR($N59&lt;&gt;"",$O59="Blocked"),"BLOCKED","OK"))))</f>
        <v/>
      </c>
    </row>
    <row r="60">
      <c r="A60" s="21">
        <f>Deployments!H57</f>
        <v/>
      </c>
      <c r="B60" s="21">
        <f>Deployments!X57</f>
        <v/>
      </c>
      <c r="C60" s="21">
        <f>Deployments!Y57</f>
        <v/>
      </c>
      <c r="D60" s="14">
        <f>Deployments!AO57</f>
        <v/>
      </c>
      <c r="E60" s="14">
        <f>Deployments!N57</f>
        <v/>
      </c>
      <c r="F60" s="21">
        <f>Deployments!O57</f>
        <v/>
      </c>
      <c r="G60" s="14">
        <f>Deployments!P57</f>
        <v/>
      </c>
      <c r="H60" s="14">
        <f>'13 - Config_Intake_View'!M60</f>
        <v/>
      </c>
      <c r="I60" s="21">
        <f>IF('13 - Config_Intake_View'!Q60&lt;&gt;"",'13 - Config_Intake_View'!Q60,Deployments!AG57)</f>
        <v/>
      </c>
      <c r="J60" s="14">
        <f>IF('13 - Config_Intake_View'!Q60&lt;&gt;"","PM Approved",IF(Deployments!AG57&lt;&gt;"","Assumed",""))</f>
        <v/>
      </c>
      <c r="K60" s="21">
        <f>Deployments!AF57</f>
        <v/>
      </c>
      <c r="L60" s="14">
        <f>Deployments!U57</f>
        <v/>
      </c>
      <c r="M60" s="14">
        <f>Deployments!L57</f>
        <v/>
      </c>
      <c r="N60" s="14">
        <f>Deployments!CC57</f>
        <v/>
      </c>
      <c r="O60" s="21">
        <f>Deployments!CD57</f>
        <v/>
      </c>
      <c r="P60" s="2">
        <f>Deployments!BX57</f>
        <v/>
      </c>
      <c r="Q60" s="21">
        <f>IF(OR($A60="",$B60="",$D60=""),"MISSING CORE FIELDS","")</f>
        <v/>
      </c>
      <c r="R60" s="14">
        <f>IF(AND($I60&lt;&gt;"",$K60&lt;&gt;"Yes"),"SW NOT INSTALLED","")</f>
        <v/>
      </c>
      <c r="S60" s="14">
        <f>IF(AND($H60&lt;&gt;"",ISNUMBER(SEARCH("auto",LOWER($H60))),$F60=""),"AUTOLOGON REQUIRED","")</f>
        <v/>
      </c>
      <c r="T60" s="14">
        <f>IF($Q60&lt;&gt;"",$Q60,IF($S60&lt;&gt;"",$S60,IF($R60&lt;&gt;"",$R60,IF(OR($N60&lt;&gt;"",$O60="Blocked"),"BLOCKED","OK"))))</f>
        <v/>
      </c>
    </row>
    <row r="61">
      <c r="A61" s="21">
        <f>Deployments!H58</f>
        <v/>
      </c>
      <c r="B61" s="21">
        <f>Deployments!X58</f>
        <v/>
      </c>
      <c r="C61" s="21">
        <f>Deployments!Y58</f>
        <v/>
      </c>
      <c r="D61" s="14">
        <f>Deployments!AO58</f>
        <v/>
      </c>
      <c r="E61" s="14">
        <f>Deployments!N58</f>
        <v/>
      </c>
      <c r="F61" s="21">
        <f>Deployments!O58</f>
        <v/>
      </c>
      <c r="G61" s="14">
        <f>Deployments!P58</f>
        <v/>
      </c>
      <c r="H61" s="14">
        <f>'13 - Config_Intake_View'!M61</f>
        <v/>
      </c>
      <c r="I61" s="21">
        <f>IF('13 - Config_Intake_View'!Q61&lt;&gt;"",'13 - Config_Intake_View'!Q61,Deployments!AG58)</f>
        <v/>
      </c>
      <c r="J61" s="14">
        <f>IF('13 - Config_Intake_View'!Q61&lt;&gt;"","PM Approved",IF(Deployments!AG58&lt;&gt;"","Assumed",""))</f>
        <v/>
      </c>
      <c r="K61" s="21">
        <f>Deployments!AF58</f>
        <v/>
      </c>
      <c r="L61" s="14">
        <f>Deployments!U58</f>
        <v/>
      </c>
      <c r="M61" s="14">
        <f>Deployments!L58</f>
        <v/>
      </c>
      <c r="N61" s="14">
        <f>Deployments!CC58</f>
        <v/>
      </c>
      <c r="O61" s="21">
        <f>Deployments!CD58</f>
        <v/>
      </c>
      <c r="P61" s="2">
        <f>Deployments!BX58</f>
        <v/>
      </c>
      <c r="Q61" s="21">
        <f>IF(OR($A61="",$B61="",$D61=""),"MISSING CORE FIELDS","")</f>
        <v/>
      </c>
      <c r="R61" s="14">
        <f>IF(AND($I61&lt;&gt;"",$K61&lt;&gt;"Yes"),"SW NOT INSTALLED","")</f>
        <v/>
      </c>
      <c r="S61" s="14">
        <f>IF(AND($H61&lt;&gt;"",ISNUMBER(SEARCH("auto",LOWER($H61))),$F61=""),"AUTOLOGON REQUIRED","")</f>
        <v/>
      </c>
      <c r="T61" s="14">
        <f>IF($Q61&lt;&gt;"",$Q61,IF($S61&lt;&gt;"",$S61,IF($R61&lt;&gt;"",$R61,IF(OR($N61&lt;&gt;"",$O61="Blocked"),"BLOCKED","OK"))))</f>
        <v/>
      </c>
    </row>
    <row r="62">
      <c r="A62" s="21">
        <f>Deployments!H59</f>
        <v/>
      </c>
      <c r="B62" s="21">
        <f>Deployments!X59</f>
        <v/>
      </c>
      <c r="C62" s="21">
        <f>Deployments!Y59</f>
        <v/>
      </c>
      <c r="D62" s="14">
        <f>Deployments!AO59</f>
        <v/>
      </c>
      <c r="E62" s="14">
        <f>Deployments!N59</f>
        <v/>
      </c>
      <c r="F62" s="21">
        <f>Deployments!O59</f>
        <v/>
      </c>
      <c r="G62" s="14">
        <f>Deployments!P59</f>
        <v/>
      </c>
      <c r="H62" s="14">
        <f>'13 - Config_Intake_View'!M62</f>
        <v/>
      </c>
      <c r="I62" s="21">
        <f>IF('13 - Config_Intake_View'!Q62&lt;&gt;"",'13 - Config_Intake_View'!Q62,Deployments!AG59)</f>
        <v/>
      </c>
      <c r="J62" s="14">
        <f>IF('13 - Config_Intake_View'!Q62&lt;&gt;"","PM Approved",IF(Deployments!AG59&lt;&gt;"","Assumed",""))</f>
        <v/>
      </c>
      <c r="K62" s="21">
        <f>Deployments!AF59</f>
        <v/>
      </c>
      <c r="L62" s="14">
        <f>Deployments!U59</f>
        <v/>
      </c>
      <c r="M62" s="14">
        <f>Deployments!L59</f>
        <v/>
      </c>
      <c r="N62" s="14">
        <f>Deployments!CC59</f>
        <v/>
      </c>
      <c r="O62" s="21">
        <f>Deployments!CD59</f>
        <v/>
      </c>
      <c r="P62" s="2">
        <f>Deployments!BX59</f>
        <v/>
      </c>
      <c r="Q62" s="21">
        <f>IF(OR($A62="",$B62="",$D62=""),"MISSING CORE FIELDS","")</f>
        <v/>
      </c>
      <c r="R62" s="14">
        <f>IF(AND($I62&lt;&gt;"",$K62&lt;&gt;"Yes"),"SW NOT INSTALLED","")</f>
        <v/>
      </c>
      <c r="S62" s="14">
        <f>IF(AND($H62&lt;&gt;"",ISNUMBER(SEARCH("auto",LOWER($H62))),$F62=""),"AUTOLOGON REQUIRED","")</f>
        <v/>
      </c>
      <c r="T62" s="14">
        <f>IF($Q62&lt;&gt;"",$Q62,IF($S62&lt;&gt;"",$S62,IF($R62&lt;&gt;"",$R62,IF(OR($N62&lt;&gt;"",$O62="Blocked"),"BLOCKED","OK"))))</f>
        <v/>
      </c>
    </row>
    <row r="63">
      <c r="A63" s="21">
        <f>Deployments!H60</f>
        <v/>
      </c>
      <c r="B63" s="21">
        <f>Deployments!X60</f>
        <v/>
      </c>
      <c r="C63" s="21">
        <f>Deployments!Y60</f>
        <v/>
      </c>
      <c r="D63" s="14">
        <f>Deployments!AO60</f>
        <v/>
      </c>
      <c r="E63" s="14">
        <f>Deployments!N60</f>
        <v/>
      </c>
      <c r="F63" s="21">
        <f>Deployments!O60</f>
        <v/>
      </c>
      <c r="G63" s="14">
        <f>Deployments!P60</f>
        <v/>
      </c>
      <c r="H63" s="14">
        <f>'13 - Config_Intake_View'!M63</f>
        <v/>
      </c>
      <c r="I63" s="21">
        <f>IF('13 - Config_Intake_View'!Q63&lt;&gt;"",'13 - Config_Intake_View'!Q63,Deployments!AG60)</f>
        <v/>
      </c>
      <c r="J63" s="14">
        <f>IF('13 - Config_Intake_View'!Q63&lt;&gt;"","PM Approved",IF(Deployments!AG60&lt;&gt;"","Assumed",""))</f>
        <v/>
      </c>
      <c r="K63" s="21">
        <f>Deployments!AF60</f>
        <v/>
      </c>
      <c r="L63" s="14">
        <f>Deployments!U60</f>
        <v/>
      </c>
      <c r="M63" s="14">
        <f>Deployments!L60</f>
        <v/>
      </c>
      <c r="N63" s="14">
        <f>Deployments!CC60</f>
        <v/>
      </c>
      <c r="O63" s="21">
        <f>Deployments!CD60</f>
        <v/>
      </c>
      <c r="P63" s="2">
        <f>Deployments!BX60</f>
        <v/>
      </c>
      <c r="Q63" s="21">
        <f>IF(OR($A63="",$B63="",$D63=""),"MISSING CORE FIELDS","")</f>
        <v/>
      </c>
      <c r="R63" s="14">
        <f>IF(AND($I63&lt;&gt;"",$K63&lt;&gt;"Yes"),"SW NOT INSTALLED","")</f>
        <v/>
      </c>
      <c r="S63" s="14">
        <f>IF(AND($H63&lt;&gt;"",ISNUMBER(SEARCH("auto",LOWER($H63))),$F63=""),"AUTOLOGON REQUIRED","")</f>
        <v/>
      </c>
      <c r="T63" s="14">
        <f>IF($Q63&lt;&gt;"",$Q63,IF($S63&lt;&gt;"",$S63,IF($R63&lt;&gt;"",$R63,IF(OR($N63&lt;&gt;"",$O63="Blocked"),"BLOCKED","OK"))))</f>
        <v/>
      </c>
    </row>
    <row r="64">
      <c r="A64" s="21">
        <f>Deployments!H61</f>
        <v/>
      </c>
      <c r="B64" s="21">
        <f>Deployments!X61</f>
        <v/>
      </c>
      <c r="C64" s="21">
        <f>Deployments!Y61</f>
        <v/>
      </c>
      <c r="D64" s="14">
        <f>Deployments!AO61</f>
        <v/>
      </c>
      <c r="E64" s="14">
        <f>Deployments!N61</f>
        <v/>
      </c>
      <c r="F64" s="21">
        <f>Deployments!O61</f>
        <v/>
      </c>
      <c r="G64" s="14">
        <f>Deployments!P61</f>
        <v/>
      </c>
      <c r="H64" s="14">
        <f>'13 - Config_Intake_View'!M64</f>
        <v/>
      </c>
      <c r="I64" s="21">
        <f>IF('13 - Config_Intake_View'!Q64&lt;&gt;"",'13 - Config_Intake_View'!Q64,Deployments!AG61)</f>
        <v/>
      </c>
      <c r="J64" s="14">
        <f>IF('13 - Config_Intake_View'!Q64&lt;&gt;"","PM Approved",IF(Deployments!AG61&lt;&gt;"","Assumed",""))</f>
        <v/>
      </c>
      <c r="K64" s="21">
        <f>Deployments!AF61</f>
        <v/>
      </c>
      <c r="L64" s="14">
        <f>Deployments!U61</f>
        <v/>
      </c>
      <c r="M64" s="14">
        <f>Deployments!L61</f>
        <v/>
      </c>
      <c r="N64" s="14">
        <f>Deployments!CC61</f>
        <v/>
      </c>
      <c r="O64" s="21">
        <f>Deployments!CD61</f>
        <v/>
      </c>
      <c r="P64" s="2">
        <f>Deployments!BX61</f>
        <v/>
      </c>
      <c r="Q64" s="21">
        <f>IF(OR($A64="",$B64="",$D64=""),"MISSING CORE FIELDS","")</f>
        <v/>
      </c>
      <c r="R64" s="14">
        <f>IF(AND($I64&lt;&gt;"",$K64&lt;&gt;"Yes"),"SW NOT INSTALLED","")</f>
        <v/>
      </c>
      <c r="S64" s="14">
        <f>IF(AND($H64&lt;&gt;"",ISNUMBER(SEARCH("auto",LOWER($H64))),$F64=""),"AUTOLOGON REQUIRED","")</f>
        <v/>
      </c>
      <c r="T64" s="14">
        <f>IF($Q64&lt;&gt;"",$Q64,IF($S64&lt;&gt;"",$S64,IF($R64&lt;&gt;"",$R64,IF(OR($N64&lt;&gt;"",$O64="Blocked"),"BLOCKED","OK"))))</f>
        <v/>
      </c>
    </row>
    <row r="65">
      <c r="A65" s="21">
        <f>Deployments!H62</f>
        <v/>
      </c>
      <c r="B65" s="21">
        <f>Deployments!X62</f>
        <v/>
      </c>
      <c r="C65" s="21">
        <f>Deployments!Y62</f>
        <v/>
      </c>
      <c r="D65" s="14">
        <f>Deployments!AO62</f>
        <v/>
      </c>
      <c r="E65" s="14">
        <f>Deployments!N62</f>
        <v/>
      </c>
      <c r="F65" s="21">
        <f>Deployments!O62</f>
        <v/>
      </c>
      <c r="G65" s="14">
        <f>Deployments!P62</f>
        <v/>
      </c>
      <c r="H65" s="14">
        <f>'13 - Config_Intake_View'!M65</f>
        <v/>
      </c>
      <c r="I65" s="21">
        <f>IF('13 - Config_Intake_View'!Q65&lt;&gt;"",'13 - Config_Intake_View'!Q65,Deployments!AG62)</f>
        <v/>
      </c>
      <c r="J65" s="14">
        <f>IF('13 - Config_Intake_View'!Q65&lt;&gt;"","PM Approved",IF(Deployments!AG62&lt;&gt;"","Assumed",""))</f>
        <v/>
      </c>
      <c r="K65" s="21">
        <f>Deployments!AF62</f>
        <v/>
      </c>
      <c r="L65" s="14">
        <f>Deployments!U62</f>
        <v/>
      </c>
      <c r="M65" s="14">
        <f>Deployments!L62</f>
        <v/>
      </c>
      <c r="N65" s="14">
        <f>Deployments!CC62</f>
        <v/>
      </c>
      <c r="O65" s="21">
        <f>Deployments!CD62</f>
        <v/>
      </c>
      <c r="P65" s="2">
        <f>Deployments!BX62</f>
        <v/>
      </c>
      <c r="Q65" s="21">
        <f>IF(OR($A65="",$B65="",$D65=""),"MISSING CORE FIELDS","")</f>
        <v/>
      </c>
      <c r="R65" s="14">
        <f>IF(AND($I65&lt;&gt;"",$K65&lt;&gt;"Yes"),"SW NOT INSTALLED","")</f>
        <v/>
      </c>
      <c r="S65" s="14">
        <f>IF(AND($H65&lt;&gt;"",ISNUMBER(SEARCH("auto",LOWER($H65))),$F65=""),"AUTOLOGON REQUIRED","")</f>
        <v/>
      </c>
      <c r="T65" s="14">
        <f>IF($Q65&lt;&gt;"",$Q65,IF($S65&lt;&gt;"",$S65,IF($R65&lt;&gt;"",$R65,IF(OR($N65&lt;&gt;"",$O65="Blocked"),"BLOCKED","OK"))))</f>
        <v/>
      </c>
    </row>
    <row r="66">
      <c r="A66" s="21">
        <f>Deployments!H63</f>
        <v/>
      </c>
      <c r="B66" s="21">
        <f>Deployments!X63</f>
        <v/>
      </c>
      <c r="C66" s="21">
        <f>Deployments!Y63</f>
        <v/>
      </c>
      <c r="D66" s="14">
        <f>Deployments!AO63</f>
        <v/>
      </c>
      <c r="E66" s="14">
        <f>Deployments!N63</f>
        <v/>
      </c>
      <c r="F66" s="21">
        <f>Deployments!O63</f>
        <v/>
      </c>
      <c r="G66" s="14">
        <f>Deployments!P63</f>
        <v/>
      </c>
      <c r="H66" s="14">
        <f>'13 - Config_Intake_View'!M66</f>
        <v/>
      </c>
      <c r="I66" s="21">
        <f>IF('13 - Config_Intake_View'!Q66&lt;&gt;"",'13 - Config_Intake_View'!Q66,Deployments!AG63)</f>
        <v/>
      </c>
      <c r="J66" s="14">
        <f>IF('13 - Config_Intake_View'!Q66&lt;&gt;"","PM Approved",IF(Deployments!AG63&lt;&gt;"","Assumed",""))</f>
        <v/>
      </c>
      <c r="K66" s="21">
        <f>Deployments!AF63</f>
        <v/>
      </c>
      <c r="L66" s="14">
        <f>Deployments!U63</f>
        <v/>
      </c>
      <c r="M66" s="14">
        <f>Deployments!L63</f>
        <v/>
      </c>
      <c r="N66" s="14">
        <f>Deployments!CC63</f>
        <v/>
      </c>
      <c r="O66" s="21">
        <f>Deployments!CD63</f>
        <v/>
      </c>
      <c r="P66" s="2">
        <f>Deployments!BX63</f>
        <v/>
      </c>
      <c r="Q66" s="21">
        <f>IF(OR($A66="",$B66="",$D66=""),"MISSING CORE FIELDS","")</f>
        <v/>
      </c>
      <c r="R66" s="14">
        <f>IF(AND($I66&lt;&gt;"",$K66&lt;&gt;"Yes"),"SW NOT INSTALLED","")</f>
        <v/>
      </c>
      <c r="S66" s="14">
        <f>IF(AND($H66&lt;&gt;"",ISNUMBER(SEARCH("auto",LOWER($H66))),$F66=""),"AUTOLOGON REQUIRED","")</f>
        <v/>
      </c>
      <c r="T66" s="14">
        <f>IF($Q66&lt;&gt;"",$Q66,IF($S66&lt;&gt;"",$S66,IF($R66&lt;&gt;"",$R66,IF(OR($N66&lt;&gt;"",$O66="Blocked"),"BLOCKED","OK"))))</f>
        <v/>
      </c>
    </row>
    <row r="67">
      <c r="A67" s="21">
        <f>Deployments!H64</f>
        <v/>
      </c>
      <c r="B67" s="21">
        <f>Deployments!X64</f>
        <v/>
      </c>
      <c r="C67" s="21">
        <f>Deployments!Y64</f>
        <v/>
      </c>
      <c r="D67" s="14">
        <f>Deployments!AO64</f>
        <v/>
      </c>
      <c r="E67" s="14">
        <f>Deployments!N64</f>
        <v/>
      </c>
      <c r="F67" s="21">
        <f>Deployments!O64</f>
        <v/>
      </c>
      <c r="G67" s="14">
        <f>Deployments!P64</f>
        <v/>
      </c>
      <c r="H67" s="14">
        <f>'13 - Config_Intake_View'!M67</f>
        <v/>
      </c>
      <c r="I67" s="21">
        <f>IF('13 - Config_Intake_View'!Q67&lt;&gt;"",'13 - Config_Intake_View'!Q67,Deployments!AG64)</f>
        <v/>
      </c>
      <c r="J67" s="14">
        <f>IF('13 - Config_Intake_View'!Q67&lt;&gt;"","PM Approved",IF(Deployments!AG64&lt;&gt;"","Assumed",""))</f>
        <v/>
      </c>
      <c r="K67" s="21">
        <f>Deployments!AF64</f>
        <v/>
      </c>
      <c r="L67" s="14">
        <f>Deployments!U64</f>
        <v/>
      </c>
      <c r="M67" s="14">
        <f>Deployments!L64</f>
        <v/>
      </c>
      <c r="N67" s="14">
        <f>Deployments!CC64</f>
        <v/>
      </c>
      <c r="O67" s="21">
        <f>Deployments!CD64</f>
        <v/>
      </c>
      <c r="P67" s="2">
        <f>Deployments!BX64</f>
        <v/>
      </c>
      <c r="Q67" s="21">
        <f>IF(OR($A67="",$B67="",$D67=""),"MISSING CORE FIELDS","")</f>
        <v/>
      </c>
      <c r="R67" s="14">
        <f>IF(AND($I67&lt;&gt;"",$K67&lt;&gt;"Yes"),"SW NOT INSTALLED","")</f>
        <v/>
      </c>
      <c r="S67" s="14">
        <f>IF(AND($H67&lt;&gt;"",ISNUMBER(SEARCH("auto",LOWER($H67))),$F67=""),"AUTOLOGON REQUIRED","")</f>
        <v/>
      </c>
      <c r="T67" s="14">
        <f>IF($Q67&lt;&gt;"",$Q67,IF($S67&lt;&gt;"",$S67,IF($R67&lt;&gt;"",$R67,IF(OR($N67&lt;&gt;"",$O67="Blocked"),"BLOCKED","OK"))))</f>
        <v/>
      </c>
    </row>
    <row r="68">
      <c r="A68" s="21">
        <f>Deployments!H65</f>
        <v/>
      </c>
      <c r="B68" s="21">
        <f>Deployments!X65</f>
        <v/>
      </c>
      <c r="C68" s="21">
        <f>Deployments!Y65</f>
        <v/>
      </c>
      <c r="D68" s="14">
        <f>Deployments!AO65</f>
        <v/>
      </c>
      <c r="E68" s="14">
        <f>Deployments!N65</f>
        <v/>
      </c>
      <c r="F68" s="21">
        <f>Deployments!O65</f>
        <v/>
      </c>
      <c r="G68" s="14">
        <f>Deployments!P65</f>
        <v/>
      </c>
      <c r="H68" s="14">
        <f>'13 - Config_Intake_View'!M68</f>
        <v/>
      </c>
      <c r="I68" s="21">
        <f>IF('13 - Config_Intake_View'!Q68&lt;&gt;"",'13 - Config_Intake_View'!Q68,Deployments!AG65)</f>
        <v/>
      </c>
      <c r="J68" s="14">
        <f>IF('13 - Config_Intake_View'!Q68&lt;&gt;"","PM Approved",IF(Deployments!AG65&lt;&gt;"","Assumed",""))</f>
        <v/>
      </c>
      <c r="K68" s="21">
        <f>Deployments!AF65</f>
        <v/>
      </c>
      <c r="L68" s="14">
        <f>Deployments!U65</f>
        <v/>
      </c>
      <c r="M68" s="14">
        <f>Deployments!L65</f>
        <v/>
      </c>
      <c r="N68" s="14">
        <f>Deployments!CC65</f>
        <v/>
      </c>
      <c r="O68" s="21">
        <f>Deployments!CD65</f>
        <v/>
      </c>
      <c r="P68" s="2">
        <f>Deployments!BX65</f>
        <v/>
      </c>
      <c r="Q68" s="21">
        <f>IF(OR($A68="",$B68="",$D68=""),"MISSING CORE FIELDS","")</f>
        <v/>
      </c>
      <c r="R68" s="14">
        <f>IF(AND($I68&lt;&gt;"",$K68&lt;&gt;"Yes"),"SW NOT INSTALLED","")</f>
        <v/>
      </c>
      <c r="S68" s="14">
        <f>IF(AND($H68&lt;&gt;"",ISNUMBER(SEARCH("auto",LOWER($H68))),$F68=""),"AUTOLOGON REQUIRED","")</f>
        <v/>
      </c>
      <c r="T68" s="14">
        <f>IF($Q68&lt;&gt;"",$Q68,IF($S68&lt;&gt;"",$S68,IF($R68&lt;&gt;"",$R68,IF(OR($N68&lt;&gt;"",$O68="Blocked"),"BLOCKED","OK"))))</f>
        <v/>
      </c>
    </row>
    <row r="69">
      <c r="A69" s="21">
        <f>Deployments!H66</f>
        <v/>
      </c>
      <c r="B69" s="21">
        <f>Deployments!X66</f>
        <v/>
      </c>
      <c r="C69" s="21">
        <f>Deployments!Y66</f>
        <v/>
      </c>
      <c r="D69" s="14">
        <f>Deployments!AO66</f>
        <v/>
      </c>
      <c r="E69" s="14">
        <f>Deployments!N66</f>
        <v/>
      </c>
      <c r="F69" s="21">
        <f>Deployments!O66</f>
        <v/>
      </c>
      <c r="G69" s="14">
        <f>Deployments!P66</f>
        <v/>
      </c>
      <c r="H69" s="14">
        <f>'13 - Config_Intake_View'!M69</f>
        <v/>
      </c>
      <c r="I69" s="21">
        <f>IF('13 - Config_Intake_View'!Q69&lt;&gt;"",'13 - Config_Intake_View'!Q69,Deployments!AG66)</f>
        <v/>
      </c>
      <c r="J69" s="14">
        <f>IF('13 - Config_Intake_View'!Q69&lt;&gt;"","PM Approved",IF(Deployments!AG66&lt;&gt;"","Assumed",""))</f>
        <v/>
      </c>
      <c r="K69" s="21">
        <f>Deployments!AF66</f>
        <v/>
      </c>
      <c r="L69" s="14">
        <f>Deployments!U66</f>
        <v/>
      </c>
      <c r="M69" s="14">
        <f>Deployments!L66</f>
        <v/>
      </c>
      <c r="N69" s="14">
        <f>Deployments!CC66</f>
        <v/>
      </c>
      <c r="O69" s="21">
        <f>Deployments!CD66</f>
        <v/>
      </c>
      <c r="P69" s="2">
        <f>Deployments!BX66</f>
        <v/>
      </c>
      <c r="Q69" s="21">
        <f>IF(OR($A69="",$B69="",$D69=""),"MISSING CORE FIELDS","")</f>
        <v/>
      </c>
      <c r="R69" s="14">
        <f>IF(AND($I69&lt;&gt;"",$K69&lt;&gt;"Yes"),"SW NOT INSTALLED","")</f>
        <v/>
      </c>
      <c r="S69" s="14">
        <f>IF(AND($H69&lt;&gt;"",ISNUMBER(SEARCH("auto",LOWER($H69))),$F69=""),"AUTOLOGON REQUIRED","")</f>
        <v/>
      </c>
      <c r="T69" s="14">
        <f>IF($Q69&lt;&gt;"",$Q69,IF($S69&lt;&gt;"",$S69,IF($R69&lt;&gt;"",$R69,IF(OR($N69&lt;&gt;"",$O69="Blocked"),"BLOCKED","OK"))))</f>
        <v/>
      </c>
    </row>
    <row r="70">
      <c r="A70" s="21">
        <f>Deployments!H67</f>
        <v/>
      </c>
      <c r="B70" s="21">
        <f>Deployments!X67</f>
        <v/>
      </c>
      <c r="C70" s="21">
        <f>Deployments!Y67</f>
        <v/>
      </c>
      <c r="D70" s="14">
        <f>Deployments!AO67</f>
        <v/>
      </c>
      <c r="E70" s="14">
        <f>Deployments!N67</f>
        <v/>
      </c>
      <c r="F70" s="21">
        <f>Deployments!O67</f>
        <v/>
      </c>
      <c r="G70" s="14">
        <f>Deployments!P67</f>
        <v/>
      </c>
      <c r="H70" s="14">
        <f>'13 - Config_Intake_View'!M70</f>
        <v/>
      </c>
      <c r="I70" s="21">
        <f>IF('13 - Config_Intake_View'!Q70&lt;&gt;"",'13 - Config_Intake_View'!Q70,Deployments!AG67)</f>
        <v/>
      </c>
      <c r="J70" s="14">
        <f>IF('13 - Config_Intake_View'!Q70&lt;&gt;"","PM Approved",IF(Deployments!AG67&lt;&gt;"","Assumed",""))</f>
        <v/>
      </c>
      <c r="K70" s="21">
        <f>Deployments!AF67</f>
        <v/>
      </c>
      <c r="L70" s="14">
        <f>Deployments!U67</f>
        <v/>
      </c>
      <c r="M70" s="14">
        <f>Deployments!L67</f>
        <v/>
      </c>
      <c r="N70" s="14">
        <f>Deployments!CC67</f>
        <v/>
      </c>
      <c r="O70" s="21">
        <f>Deployments!CD67</f>
        <v/>
      </c>
      <c r="P70" s="2">
        <f>Deployments!BX67</f>
        <v/>
      </c>
      <c r="Q70" s="21">
        <f>IF(OR($A70="",$B70="",$D70=""),"MISSING CORE FIELDS","")</f>
        <v/>
      </c>
      <c r="R70" s="14">
        <f>IF(AND($I70&lt;&gt;"",$K70&lt;&gt;"Yes"),"SW NOT INSTALLED","")</f>
        <v/>
      </c>
      <c r="S70" s="14">
        <f>IF(AND($H70&lt;&gt;"",ISNUMBER(SEARCH("auto",LOWER($H70))),$F70=""),"AUTOLOGON REQUIRED","")</f>
        <v/>
      </c>
      <c r="T70" s="14">
        <f>IF($Q70&lt;&gt;"",$Q70,IF($S70&lt;&gt;"",$S70,IF($R70&lt;&gt;"",$R70,IF(OR($N70&lt;&gt;"",$O70="Blocked"),"BLOCKED","OK"))))</f>
        <v/>
      </c>
    </row>
    <row r="71">
      <c r="A71" s="21">
        <f>Deployments!H68</f>
        <v/>
      </c>
      <c r="B71" s="21">
        <f>Deployments!X68</f>
        <v/>
      </c>
      <c r="C71" s="21">
        <f>Deployments!Y68</f>
        <v/>
      </c>
      <c r="D71" s="14">
        <f>Deployments!AO68</f>
        <v/>
      </c>
      <c r="E71" s="14">
        <f>Deployments!N68</f>
        <v/>
      </c>
      <c r="F71" s="21">
        <f>Deployments!O68</f>
        <v/>
      </c>
      <c r="G71" s="14">
        <f>Deployments!P68</f>
        <v/>
      </c>
      <c r="H71" s="14">
        <f>'13 - Config_Intake_View'!M71</f>
        <v/>
      </c>
      <c r="I71" s="21">
        <f>IF('13 - Config_Intake_View'!Q71&lt;&gt;"",'13 - Config_Intake_View'!Q71,Deployments!AG68)</f>
        <v/>
      </c>
      <c r="J71" s="14">
        <f>IF('13 - Config_Intake_View'!Q71&lt;&gt;"","PM Approved",IF(Deployments!AG68&lt;&gt;"","Assumed",""))</f>
        <v/>
      </c>
      <c r="K71" s="21">
        <f>Deployments!AF68</f>
        <v/>
      </c>
      <c r="L71" s="14">
        <f>Deployments!U68</f>
        <v/>
      </c>
      <c r="M71" s="14">
        <f>Deployments!L68</f>
        <v/>
      </c>
      <c r="N71" s="14">
        <f>Deployments!CC68</f>
        <v/>
      </c>
      <c r="O71" s="21">
        <f>Deployments!CD68</f>
        <v/>
      </c>
      <c r="P71" s="2">
        <f>Deployments!BX68</f>
        <v/>
      </c>
      <c r="Q71" s="21">
        <f>IF(OR($A71="",$B71="",$D71=""),"MISSING CORE FIELDS","")</f>
        <v/>
      </c>
      <c r="R71" s="14">
        <f>IF(AND($I71&lt;&gt;"",$K71&lt;&gt;"Yes"),"SW NOT INSTALLED","")</f>
        <v/>
      </c>
      <c r="S71" s="14">
        <f>IF(AND($H71&lt;&gt;"",ISNUMBER(SEARCH("auto",LOWER($H71))),$F71=""),"AUTOLOGON REQUIRED","")</f>
        <v/>
      </c>
      <c r="T71" s="14">
        <f>IF($Q71&lt;&gt;"",$Q71,IF($S71&lt;&gt;"",$S71,IF($R71&lt;&gt;"",$R71,IF(OR($N71&lt;&gt;"",$O71="Blocked"),"BLOCKED","OK"))))</f>
        <v/>
      </c>
    </row>
    <row r="72">
      <c r="A72" s="21">
        <f>Deployments!H69</f>
        <v/>
      </c>
      <c r="B72" s="21">
        <f>Deployments!X69</f>
        <v/>
      </c>
      <c r="C72" s="21">
        <f>Deployments!Y69</f>
        <v/>
      </c>
      <c r="D72" s="14">
        <f>Deployments!AO69</f>
        <v/>
      </c>
      <c r="E72" s="14">
        <f>Deployments!N69</f>
        <v/>
      </c>
      <c r="F72" s="21">
        <f>Deployments!O69</f>
        <v/>
      </c>
      <c r="G72" s="14">
        <f>Deployments!P69</f>
        <v/>
      </c>
      <c r="H72" s="14">
        <f>'13 - Config_Intake_View'!M72</f>
        <v/>
      </c>
      <c r="I72" s="21">
        <f>IF('13 - Config_Intake_View'!Q72&lt;&gt;"",'13 - Config_Intake_View'!Q72,Deployments!AG69)</f>
        <v/>
      </c>
      <c r="J72" s="14">
        <f>IF('13 - Config_Intake_View'!Q72&lt;&gt;"","PM Approved",IF(Deployments!AG69&lt;&gt;"","Assumed",""))</f>
        <v/>
      </c>
      <c r="K72" s="21">
        <f>Deployments!AF69</f>
        <v/>
      </c>
      <c r="L72" s="14">
        <f>Deployments!U69</f>
        <v/>
      </c>
      <c r="M72" s="14">
        <f>Deployments!L69</f>
        <v/>
      </c>
      <c r="N72" s="14">
        <f>Deployments!CC69</f>
        <v/>
      </c>
      <c r="O72" s="21">
        <f>Deployments!CD69</f>
        <v/>
      </c>
      <c r="P72" s="2">
        <f>Deployments!BX69</f>
        <v/>
      </c>
      <c r="Q72" s="21">
        <f>IF(OR($A72="",$B72="",$D72=""),"MISSING CORE FIELDS","")</f>
        <v/>
      </c>
      <c r="R72" s="14">
        <f>IF(AND($I72&lt;&gt;"",$K72&lt;&gt;"Yes"),"SW NOT INSTALLED","")</f>
        <v/>
      </c>
      <c r="S72" s="14">
        <f>IF(AND($H72&lt;&gt;"",ISNUMBER(SEARCH("auto",LOWER($H72))),$F72=""),"AUTOLOGON REQUIRED","")</f>
        <v/>
      </c>
      <c r="T72" s="14">
        <f>IF($Q72&lt;&gt;"",$Q72,IF($S72&lt;&gt;"",$S72,IF($R72&lt;&gt;"",$R72,IF(OR($N72&lt;&gt;"",$O72="Blocked"),"BLOCKED","OK"))))</f>
        <v/>
      </c>
    </row>
    <row r="73">
      <c r="A73" s="21">
        <f>Deployments!H70</f>
        <v/>
      </c>
      <c r="B73" s="21">
        <f>Deployments!X70</f>
        <v/>
      </c>
      <c r="C73" s="21">
        <f>Deployments!Y70</f>
        <v/>
      </c>
      <c r="D73" s="14">
        <f>Deployments!AO70</f>
        <v/>
      </c>
      <c r="E73" s="14">
        <f>Deployments!N70</f>
        <v/>
      </c>
      <c r="F73" s="21">
        <f>Deployments!O70</f>
        <v/>
      </c>
      <c r="G73" s="14">
        <f>Deployments!P70</f>
        <v/>
      </c>
      <c r="H73" s="14">
        <f>'13 - Config_Intake_View'!M73</f>
        <v/>
      </c>
      <c r="I73" s="21">
        <f>IF('13 - Config_Intake_View'!Q73&lt;&gt;"",'13 - Config_Intake_View'!Q73,Deployments!AG70)</f>
        <v/>
      </c>
      <c r="J73" s="14">
        <f>IF('13 - Config_Intake_View'!Q73&lt;&gt;"","PM Approved",IF(Deployments!AG70&lt;&gt;"","Assumed",""))</f>
        <v/>
      </c>
      <c r="K73" s="21">
        <f>Deployments!AF70</f>
        <v/>
      </c>
      <c r="L73" s="14">
        <f>Deployments!U70</f>
        <v/>
      </c>
      <c r="M73" s="14">
        <f>Deployments!L70</f>
        <v/>
      </c>
      <c r="N73" s="14">
        <f>Deployments!CC70</f>
        <v/>
      </c>
      <c r="O73" s="21">
        <f>Deployments!CD70</f>
        <v/>
      </c>
      <c r="P73" s="2">
        <f>Deployments!BX70</f>
        <v/>
      </c>
      <c r="Q73" s="21">
        <f>IF(OR($A73="",$B73="",$D73=""),"MISSING CORE FIELDS","")</f>
        <v/>
      </c>
      <c r="R73" s="14">
        <f>IF(AND($I73&lt;&gt;"",$K73&lt;&gt;"Yes"),"SW NOT INSTALLED","")</f>
        <v/>
      </c>
      <c r="S73" s="14">
        <f>IF(AND($H73&lt;&gt;"",ISNUMBER(SEARCH("auto",LOWER($H73))),$F73=""),"AUTOLOGON REQUIRED","")</f>
        <v/>
      </c>
      <c r="T73" s="14">
        <f>IF($Q73&lt;&gt;"",$Q73,IF($S73&lt;&gt;"",$S73,IF($R73&lt;&gt;"",$R73,IF(OR($N73&lt;&gt;"",$O73="Blocked"),"BLOCKED","OK"))))</f>
        <v/>
      </c>
    </row>
    <row r="74">
      <c r="A74" s="21">
        <f>Deployments!H71</f>
        <v/>
      </c>
      <c r="B74" s="21">
        <f>Deployments!X71</f>
        <v/>
      </c>
      <c r="C74" s="21">
        <f>Deployments!Y71</f>
        <v/>
      </c>
      <c r="D74" s="14">
        <f>Deployments!AO71</f>
        <v/>
      </c>
      <c r="E74" s="14">
        <f>Deployments!N71</f>
        <v/>
      </c>
      <c r="F74" s="21">
        <f>Deployments!O71</f>
        <v/>
      </c>
      <c r="G74" s="14">
        <f>Deployments!P71</f>
        <v/>
      </c>
      <c r="H74" s="14">
        <f>'13 - Config_Intake_View'!M74</f>
        <v/>
      </c>
      <c r="I74" s="21">
        <f>IF('13 - Config_Intake_View'!Q74&lt;&gt;"",'13 - Config_Intake_View'!Q74,Deployments!AG71)</f>
        <v/>
      </c>
      <c r="J74" s="14">
        <f>IF('13 - Config_Intake_View'!Q74&lt;&gt;"","PM Approved",IF(Deployments!AG71&lt;&gt;"","Assumed",""))</f>
        <v/>
      </c>
      <c r="K74" s="21">
        <f>Deployments!AF71</f>
        <v/>
      </c>
      <c r="L74" s="14">
        <f>Deployments!U71</f>
        <v/>
      </c>
      <c r="M74" s="14">
        <f>Deployments!L71</f>
        <v/>
      </c>
      <c r="N74" s="14">
        <f>Deployments!CC71</f>
        <v/>
      </c>
      <c r="O74" s="21">
        <f>Deployments!CD71</f>
        <v/>
      </c>
      <c r="P74" s="2">
        <f>Deployments!BX71</f>
        <v/>
      </c>
      <c r="Q74" s="21">
        <f>IF(OR($A74="",$B74="",$D74=""),"MISSING CORE FIELDS","")</f>
        <v/>
      </c>
      <c r="R74" s="14">
        <f>IF(AND($I74&lt;&gt;"",$K74&lt;&gt;"Yes"),"SW NOT INSTALLED","")</f>
        <v/>
      </c>
      <c r="S74" s="14">
        <f>IF(AND($H74&lt;&gt;"",ISNUMBER(SEARCH("auto",LOWER($H74))),$F74=""),"AUTOLOGON REQUIRED","")</f>
        <v/>
      </c>
      <c r="T74" s="14">
        <f>IF($Q74&lt;&gt;"",$Q74,IF($S74&lt;&gt;"",$S74,IF($R74&lt;&gt;"",$R74,IF(OR($N74&lt;&gt;"",$O74="Blocked"),"BLOCKED","OK"))))</f>
        <v/>
      </c>
    </row>
    <row r="75">
      <c r="A75" s="21">
        <f>Deployments!H72</f>
        <v/>
      </c>
      <c r="B75" s="21">
        <f>Deployments!X72</f>
        <v/>
      </c>
      <c r="C75" s="21">
        <f>Deployments!Y72</f>
        <v/>
      </c>
      <c r="D75" s="14">
        <f>Deployments!AO72</f>
        <v/>
      </c>
      <c r="E75" s="14">
        <f>Deployments!N72</f>
        <v/>
      </c>
      <c r="F75" s="21">
        <f>Deployments!O72</f>
        <v/>
      </c>
      <c r="G75" s="14">
        <f>Deployments!P72</f>
        <v/>
      </c>
      <c r="H75" s="14">
        <f>'13 - Config_Intake_View'!M75</f>
        <v/>
      </c>
      <c r="I75" s="21">
        <f>IF('13 - Config_Intake_View'!Q75&lt;&gt;"",'13 - Config_Intake_View'!Q75,Deployments!AG72)</f>
        <v/>
      </c>
      <c r="J75" s="14">
        <f>IF('13 - Config_Intake_View'!Q75&lt;&gt;"","PM Approved",IF(Deployments!AG72&lt;&gt;"","Assumed",""))</f>
        <v/>
      </c>
      <c r="K75" s="21">
        <f>Deployments!AF72</f>
        <v/>
      </c>
      <c r="L75" s="14">
        <f>Deployments!U72</f>
        <v/>
      </c>
      <c r="M75" s="14">
        <f>Deployments!L72</f>
        <v/>
      </c>
      <c r="N75" s="14">
        <f>Deployments!CC72</f>
        <v/>
      </c>
      <c r="O75" s="21">
        <f>Deployments!CD72</f>
        <v/>
      </c>
      <c r="P75" s="2">
        <f>Deployments!BX72</f>
        <v/>
      </c>
      <c r="Q75" s="21">
        <f>IF(OR($A75="",$B75="",$D75=""),"MISSING CORE FIELDS","")</f>
        <v/>
      </c>
      <c r="R75" s="14">
        <f>IF(AND($I75&lt;&gt;"",$K75&lt;&gt;"Yes"),"SW NOT INSTALLED","")</f>
        <v/>
      </c>
      <c r="S75" s="14">
        <f>IF(AND($H75&lt;&gt;"",ISNUMBER(SEARCH("auto",LOWER($H75))),$F75=""),"AUTOLOGON REQUIRED","")</f>
        <v/>
      </c>
      <c r="T75" s="14">
        <f>IF($Q75&lt;&gt;"",$Q75,IF($S75&lt;&gt;"",$S75,IF($R75&lt;&gt;"",$R75,IF(OR($N75&lt;&gt;"",$O75="Blocked"),"BLOCKED","OK"))))</f>
        <v/>
      </c>
    </row>
    <row r="76">
      <c r="A76" s="21">
        <f>Deployments!H73</f>
        <v/>
      </c>
      <c r="B76" s="21">
        <f>Deployments!X73</f>
        <v/>
      </c>
      <c r="C76" s="21">
        <f>Deployments!Y73</f>
        <v/>
      </c>
      <c r="D76" s="14">
        <f>Deployments!AO73</f>
        <v/>
      </c>
      <c r="E76" s="14">
        <f>Deployments!N73</f>
        <v/>
      </c>
      <c r="F76" s="21">
        <f>Deployments!O73</f>
        <v/>
      </c>
      <c r="G76" s="14">
        <f>Deployments!P73</f>
        <v/>
      </c>
      <c r="H76" s="14">
        <f>'13 - Config_Intake_View'!M76</f>
        <v/>
      </c>
      <c r="I76" s="21">
        <f>IF('13 - Config_Intake_View'!Q76&lt;&gt;"",'13 - Config_Intake_View'!Q76,Deployments!AG73)</f>
        <v/>
      </c>
      <c r="J76" s="14">
        <f>IF('13 - Config_Intake_View'!Q76&lt;&gt;"","PM Approved",IF(Deployments!AG73&lt;&gt;"","Assumed",""))</f>
        <v/>
      </c>
      <c r="K76" s="21">
        <f>Deployments!AF73</f>
        <v/>
      </c>
      <c r="L76" s="14">
        <f>Deployments!U73</f>
        <v/>
      </c>
      <c r="M76" s="14">
        <f>Deployments!L73</f>
        <v/>
      </c>
      <c r="N76" s="14">
        <f>Deployments!CC73</f>
        <v/>
      </c>
      <c r="O76" s="21">
        <f>Deployments!CD73</f>
        <v/>
      </c>
      <c r="P76" s="2">
        <f>Deployments!BX73</f>
        <v/>
      </c>
      <c r="Q76" s="21">
        <f>IF(OR($A76="",$B76="",$D76=""),"MISSING CORE FIELDS","")</f>
        <v/>
      </c>
      <c r="R76" s="14">
        <f>IF(AND($I76&lt;&gt;"",$K76&lt;&gt;"Yes"),"SW NOT INSTALLED","")</f>
        <v/>
      </c>
      <c r="S76" s="14">
        <f>IF(AND($H76&lt;&gt;"",ISNUMBER(SEARCH("auto",LOWER($H76))),$F76=""),"AUTOLOGON REQUIRED","")</f>
        <v/>
      </c>
      <c r="T76" s="14">
        <f>IF($Q76&lt;&gt;"",$Q76,IF($S76&lt;&gt;"",$S76,IF($R76&lt;&gt;"",$R76,IF(OR($N76&lt;&gt;"",$O76="Blocked"),"BLOCKED","OK"))))</f>
        <v/>
      </c>
    </row>
    <row r="77">
      <c r="A77" s="21">
        <f>Deployments!H74</f>
        <v/>
      </c>
      <c r="B77" s="21">
        <f>Deployments!X74</f>
        <v/>
      </c>
      <c r="C77" s="21">
        <f>Deployments!Y74</f>
        <v/>
      </c>
      <c r="D77" s="14">
        <f>Deployments!AO74</f>
        <v/>
      </c>
      <c r="E77" s="14">
        <f>Deployments!N74</f>
        <v/>
      </c>
      <c r="F77" s="21">
        <f>Deployments!O74</f>
        <v/>
      </c>
      <c r="G77" s="14">
        <f>Deployments!P74</f>
        <v/>
      </c>
      <c r="H77" s="14">
        <f>'13 - Config_Intake_View'!M77</f>
        <v/>
      </c>
      <c r="I77" s="21">
        <f>IF('13 - Config_Intake_View'!Q77&lt;&gt;"",'13 - Config_Intake_View'!Q77,Deployments!AG74)</f>
        <v/>
      </c>
      <c r="J77" s="14">
        <f>IF('13 - Config_Intake_View'!Q77&lt;&gt;"","PM Approved",IF(Deployments!AG74&lt;&gt;"","Assumed",""))</f>
        <v/>
      </c>
      <c r="K77" s="21">
        <f>Deployments!AF74</f>
        <v/>
      </c>
      <c r="L77" s="14">
        <f>Deployments!U74</f>
        <v/>
      </c>
      <c r="M77" s="14">
        <f>Deployments!L74</f>
        <v/>
      </c>
      <c r="N77" s="14">
        <f>Deployments!CC74</f>
        <v/>
      </c>
      <c r="O77" s="21">
        <f>Deployments!CD74</f>
        <v/>
      </c>
      <c r="P77" s="2">
        <f>Deployments!BX74</f>
        <v/>
      </c>
      <c r="Q77" s="21">
        <f>IF(OR($A77="",$B77="",$D77=""),"MISSING CORE FIELDS","")</f>
        <v/>
      </c>
      <c r="R77" s="14">
        <f>IF(AND($I77&lt;&gt;"",$K77&lt;&gt;"Yes"),"SW NOT INSTALLED","")</f>
        <v/>
      </c>
      <c r="S77" s="14">
        <f>IF(AND($H77&lt;&gt;"",ISNUMBER(SEARCH("auto",LOWER($H77))),$F77=""),"AUTOLOGON REQUIRED","")</f>
        <v/>
      </c>
      <c r="T77" s="14">
        <f>IF($Q77&lt;&gt;"",$Q77,IF($S77&lt;&gt;"",$S77,IF($R77&lt;&gt;"",$R77,IF(OR($N77&lt;&gt;"",$O77="Blocked"),"BLOCKED","OK"))))</f>
        <v/>
      </c>
    </row>
    <row r="78">
      <c r="A78" s="21">
        <f>Deployments!H75</f>
        <v/>
      </c>
      <c r="B78" s="21">
        <f>Deployments!X75</f>
        <v/>
      </c>
      <c r="C78" s="21">
        <f>Deployments!Y75</f>
        <v/>
      </c>
      <c r="D78" s="14">
        <f>Deployments!AO75</f>
        <v/>
      </c>
      <c r="E78" s="14">
        <f>Deployments!N75</f>
        <v/>
      </c>
      <c r="F78" s="21">
        <f>Deployments!O75</f>
        <v/>
      </c>
      <c r="G78" s="14">
        <f>Deployments!P75</f>
        <v/>
      </c>
      <c r="H78" s="14">
        <f>'13 - Config_Intake_View'!M78</f>
        <v/>
      </c>
      <c r="I78" s="21">
        <f>IF('13 - Config_Intake_View'!Q78&lt;&gt;"",'13 - Config_Intake_View'!Q78,Deployments!AG75)</f>
        <v/>
      </c>
      <c r="J78" s="14">
        <f>IF('13 - Config_Intake_View'!Q78&lt;&gt;"","PM Approved",IF(Deployments!AG75&lt;&gt;"","Assumed",""))</f>
        <v/>
      </c>
      <c r="K78" s="21">
        <f>Deployments!AF75</f>
        <v/>
      </c>
      <c r="L78" s="14">
        <f>Deployments!U75</f>
        <v/>
      </c>
      <c r="M78" s="14">
        <f>Deployments!L75</f>
        <v/>
      </c>
      <c r="N78" s="14">
        <f>Deployments!CC75</f>
        <v/>
      </c>
      <c r="O78" s="21">
        <f>Deployments!CD75</f>
        <v/>
      </c>
      <c r="P78" s="2">
        <f>Deployments!BX75</f>
        <v/>
      </c>
      <c r="Q78" s="21">
        <f>IF(OR($A78="",$B78="",$D78=""),"MISSING CORE FIELDS","")</f>
        <v/>
      </c>
      <c r="R78" s="14">
        <f>IF(AND($I78&lt;&gt;"",$K78&lt;&gt;"Yes"),"SW NOT INSTALLED","")</f>
        <v/>
      </c>
      <c r="S78" s="14">
        <f>IF(AND($H78&lt;&gt;"",ISNUMBER(SEARCH("auto",LOWER($H78))),$F78=""),"AUTOLOGON REQUIRED","")</f>
        <v/>
      </c>
      <c r="T78" s="14">
        <f>IF($Q78&lt;&gt;"",$Q78,IF($S78&lt;&gt;"",$S78,IF($R78&lt;&gt;"",$R78,IF(OR($N78&lt;&gt;"",$O78="Blocked"),"BLOCKED","OK"))))</f>
        <v/>
      </c>
    </row>
    <row r="79">
      <c r="A79" s="21">
        <f>Deployments!H76</f>
        <v/>
      </c>
      <c r="B79" s="21">
        <f>Deployments!X76</f>
        <v/>
      </c>
      <c r="C79" s="21">
        <f>Deployments!Y76</f>
        <v/>
      </c>
      <c r="D79" s="14">
        <f>Deployments!AO76</f>
        <v/>
      </c>
      <c r="E79" s="14">
        <f>Deployments!N76</f>
        <v/>
      </c>
      <c r="F79" s="21">
        <f>Deployments!O76</f>
        <v/>
      </c>
      <c r="G79" s="14">
        <f>Deployments!P76</f>
        <v/>
      </c>
      <c r="H79" s="14">
        <f>'13 - Config_Intake_View'!M79</f>
        <v/>
      </c>
      <c r="I79" s="21">
        <f>IF('13 - Config_Intake_View'!Q79&lt;&gt;"",'13 - Config_Intake_View'!Q79,Deployments!AG76)</f>
        <v/>
      </c>
      <c r="J79" s="14">
        <f>IF('13 - Config_Intake_View'!Q79&lt;&gt;"","PM Approved",IF(Deployments!AG76&lt;&gt;"","Assumed",""))</f>
        <v/>
      </c>
      <c r="K79" s="21">
        <f>Deployments!AF76</f>
        <v/>
      </c>
      <c r="L79" s="14">
        <f>Deployments!U76</f>
        <v/>
      </c>
      <c r="M79" s="14">
        <f>Deployments!L76</f>
        <v/>
      </c>
      <c r="N79" s="14">
        <f>Deployments!CC76</f>
        <v/>
      </c>
      <c r="O79" s="21">
        <f>Deployments!CD76</f>
        <v/>
      </c>
      <c r="P79" s="2">
        <f>Deployments!BX76</f>
        <v/>
      </c>
      <c r="Q79" s="21">
        <f>IF(OR($A79="",$B79="",$D79=""),"MISSING CORE FIELDS","")</f>
        <v/>
      </c>
      <c r="R79" s="14">
        <f>IF(AND($I79&lt;&gt;"",$K79&lt;&gt;"Yes"),"SW NOT INSTALLED","")</f>
        <v/>
      </c>
      <c r="S79" s="14">
        <f>IF(AND($H79&lt;&gt;"",ISNUMBER(SEARCH("auto",LOWER($H79))),$F79=""),"AUTOLOGON REQUIRED","")</f>
        <v/>
      </c>
      <c r="T79" s="14">
        <f>IF($Q79&lt;&gt;"",$Q79,IF($S79&lt;&gt;"",$S79,IF($R79&lt;&gt;"",$R79,IF(OR($N79&lt;&gt;"",$O79="Blocked"),"BLOCKED","OK"))))</f>
        <v/>
      </c>
    </row>
    <row r="80">
      <c r="A80" s="21">
        <f>Deployments!H77</f>
        <v/>
      </c>
      <c r="B80" s="21">
        <f>Deployments!X77</f>
        <v/>
      </c>
      <c r="C80" s="21">
        <f>Deployments!Y77</f>
        <v/>
      </c>
      <c r="D80" s="14">
        <f>Deployments!AO77</f>
        <v/>
      </c>
      <c r="E80" s="14">
        <f>Deployments!N77</f>
        <v/>
      </c>
      <c r="F80" s="21">
        <f>Deployments!O77</f>
        <v/>
      </c>
      <c r="G80" s="14">
        <f>Deployments!P77</f>
        <v/>
      </c>
      <c r="H80" s="14">
        <f>'13 - Config_Intake_View'!M80</f>
        <v/>
      </c>
      <c r="I80" s="21">
        <f>IF('13 - Config_Intake_View'!Q80&lt;&gt;"",'13 - Config_Intake_View'!Q80,Deployments!AG77)</f>
        <v/>
      </c>
      <c r="J80" s="14">
        <f>IF('13 - Config_Intake_View'!Q80&lt;&gt;"","PM Approved",IF(Deployments!AG77&lt;&gt;"","Assumed",""))</f>
        <v/>
      </c>
      <c r="K80" s="21">
        <f>Deployments!AF77</f>
        <v/>
      </c>
      <c r="L80" s="14">
        <f>Deployments!U77</f>
        <v/>
      </c>
      <c r="M80" s="14">
        <f>Deployments!L77</f>
        <v/>
      </c>
      <c r="N80" s="14">
        <f>Deployments!CC77</f>
        <v/>
      </c>
      <c r="O80" s="21">
        <f>Deployments!CD77</f>
        <v/>
      </c>
      <c r="P80" s="2">
        <f>Deployments!BX77</f>
        <v/>
      </c>
      <c r="Q80" s="21">
        <f>IF(OR($A80="",$B80="",$D80=""),"MISSING CORE FIELDS","")</f>
        <v/>
      </c>
      <c r="R80" s="14">
        <f>IF(AND($I80&lt;&gt;"",$K80&lt;&gt;"Yes"),"SW NOT INSTALLED","")</f>
        <v/>
      </c>
      <c r="S80" s="14">
        <f>IF(AND($H80&lt;&gt;"",ISNUMBER(SEARCH("auto",LOWER($H80))),$F80=""),"AUTOLOGON REQUIRED","")</f>
        <v/>
      </c>
      <c r="T80" s="14">
        <f>IF($Q80&lt;&gt;"",$Q80,IF($S80&lt;&gt;"",$S80,IF($R80&lt;&gt;"",$R80,IF(OR($N80&lt;&gt;"",$O80="Blocked"),"BLOCKED","OK"))))</f>
        <v/>
      </c>
    </row>
    <row r="81">
      <c r="A81" s="21">
        <f>Deployments!H78</f>
        <v/>
      </c>
      <c r="B81" s="21">
        <f>Deployments!X78</f>
        <v/>
      </c>
      <c r="C81" s="21">
        <f>Deployments!Y78</f>
        <v/>
      </c>
      <c r="D81" s="14">
        <f>Deployments!AO78</f>
        <v/>
      </c>
      <c r="E81" s="14">
        <f>Deployments!N78</f>
        <v/>
      </c>
      <c r="F81" s="21">
        <f>Deployments!O78</f>
        <v/>
      </c>
      <c r="G81" s="14">
        <f>Deployments!P78</f>
        <v/>
      </c>
      <c r="H81" s="14">
        <f>'13 - Config_Intake_View'!M81</f>
        <v/>
      </c>
      <c r="I81" s="21">
        <f>IF('13 - Config_Intake_View'!Q81&lt;&gt;"",'13 - Config_Intake_View'!Q81,Deployments!AG78)</f>
        <v/>
      </c>
      <c r="J81" s="14">
        <f>IF('13 - Config_Intake_View'!Q81&lt;&gt;"","PM Approved",IF(Deployments!AG78&lt;&gt;"","Assumed",""))</f>
        <v/>
      </c>
      <c r="K81" s="21">
        <f>Deployments!AF78</f>
        <v/>
      </c>
      <c r="L81" s="14">
        <f>Deployments!U78</f>
        <v/>
      </c>
      <c r="M81" s="14">
        <f>Deployments!L78</f>
        <v/>
      </c>
      <c r="N81" s="14">
        <f>Deployments!CC78</f>
        <v/>
      </c>
      <c r="O81" s="21">
        <f>Deployments!CD78</f>
        <v/>
      </c>
      <c r="P81" s="2">
        <f>Deployments!BX78</f>
        <v/>
      </c>
      <c r="Q81" s="21">
        <f>IF(OR($A81="",$B81="",$D81=""),"MISSING CORE FIELDS","")</f>
        <v/>
      </c>
      <c r="R81" s="14">
        <f>IF(AND($I81&lt;&gt;"",$K81&lt;&gt;"Yes"),"SW NOT INSTALLED","")</f>
        <v/>
      </c>
      <c r="S81" s="14">
        <f>IF(AND($H81&lt;&gt;"",ISNUMBER(SEARCH("auto",LOWER($H81))),$F81=""),"AUTOLOGON REQUIRED","")</f>
        <v/>
      </c>
      <c r="T81" s="14">
        <f>IF($Q81&lt;&gt;"",$Q81,IF($S81&lt;&gt;"",$S81,IF($R81&lt;&gt;"",$R81,IF(OR($N81&lt;&gt;"",$O81="Blocked"),"BLOCKED","OK"))))</f>
        <v/>
      </c>
    </row>
    <row r="82">
      <c r="A82" s="21">
        <f>Deployments!H79</f>
        <v/>
      </c>
      <c r="B82" s="21">
        <f>Deployments!X79</f>
        <v/>
      </c>
      <c r="C82" s="21">
        <f>Deployments!Y79</f>
        <v/>
      </c>
      <c r="D82" s="14">
        <f>Deployments!AO79</f>
        <v/>
      </c>
      <c r="E82" s="14">
        <f>Deployments!N79</f>
        <v/>
      </c>
      <c r="F82" s="21">
        <f>Deployments!O79</f>
        <v/>
      </c>
      <c r="G82" s="14">
        <f>Deployments!P79</f>
        <v/>
      </c>
      <c r="H82" s="14">
        <f>'13 - Config_Intake_View'!M82</f>
        <v/>
      </c>
      <c r="I82" s="21">
        <f>IF('13 - Config_Intake_View'!Q82&lt;&gt;"",'13 - Config_Intake_View'!Q82,Deployments!AG79)</f>
        <v/>
      </c>
      <c r="J82" s="14">
        <f>IF('13 - Config_Intake_View'!Q82&lt;&gt;"","PM Approved",IF(Deployments!AG79&lt;&gt;"","Assumed",""))</f>
        <v/>
      </c>
      <c r="K82" s="21">
        <f>Deployments!AF79</f>
        <v/>
      </c>
      <c r="L82" s="14">
        <f>Deployments!U79</f>
        <v/>
      </c>
      <c r="M82" s="14">
        <f>Deployments!L79</f>
        <v/>
      </c>
      <c r="N82" s="14">
        <f>Deployments!CC79</f>
        <v/>
      </c>
      <c r="O82" s="21">
        <f>Deployments!CD79</f>
        <v/>
      </c>
      <c r="P82" s="2">
        <f>Deployments!BX79</f>
        <v/>
      </c>
      <c r="Q82" s="21">
        <f>IF(OR($A82="",$B82="",$D82=""),"MISSING CORE FIELDS","")</f>
        <v/>
      </c>
      <c r="R82" s="14">
        <f>IF(AND($I82&lt;&gt;"",$K82&lt;&gt;"Yes"),"SW NOT INSTALLED","")</f>
        <v/>
      </c>
      <c r="S82" s="14">
        <f>IF(AND($H82&lt;&gt;"",ISNUMBER(SEARCH("auto",LOWER($H82))),$F82=""),"AUTOLOGON REQUIRED","")</f>
        <v/>
      </c>
      <c r="T82" s="14">
        <f>IF($Q82&lt;&gt;"",$Q82,IF($S82&lt;&gt;"",$S82,IF($R82&lt;&gt;"",$R82,IF(OR($N82&lt;&gt;"",$O82="Blocked"),"BLOCKED","OK"))))</f>
        <v/>
      </c>
    </row>
    <row r="83">
      <c r="A83" s="21">
        <f>Deployments!H80</f>
        <v/>
      </c>
      <c r="B83" s="21">
        <f>Deployments!X80</f>
        <v/>
      </c>
      <c r="C83" s="21">
        <f>Deployments!Y80</f>
        <v/>
      </c>
      <c r="D83" s="14">
        <f>Deployments!AO80</f>
        <v/>
      </c>
      <c r="E83" s="14">
        <f>Deployments!N80</f>
        <v/>
      </c>
      <c r="F83" s="21">
        <f>Deployments!O80</f>
        <v/>
      </c>
      <c r="G83" s="14">
        <f>Deployments!P80</f>
        <v/>
      </c>
      <c r="H83" s="14">
        <f>'13 - Config_Intake_View'!M83</f>
        <v/>
      </c>
      <c r="I83" s="21">
        <f>IF('13 - Config_Intake_View'!Q83&lt;&gt;"",'13 - Config_Intake_View'!Q83,Deployments!AG80)</f>
        <v/>
      </c>
      <c r="J83" s="14">
        <f>IF('13 - Config_Intake_View'!Q83&lt;&gt;"","PM Approved",IF(Deployments!AG80&lt;&gt;"","Assumed",""))</f>
        <v/>
      </c>
      <c r="K83" s="21">
        <f>Deployments!AF80</f>
        <v/>
      </c>
      <c r="L83" s="14">
        <f>Deployments!U80</f>
        <v/>
      </c>
      <c r="M83" s="14">
        <f>Deployments!L80</f>
        <v/>
      </c>
      <c r="N83" s="14">
        <f>Deployments!CC80</f>
        <v/>
      </c>
      <c r="O83" s="21">
        <f>Deployments!CD80</f>
        <v/>
      </c>
      <c r="P83" s="2">
        <f>Deployments!BX80</f>
        <v/>
      </c>
      <c r="Q83" s="21">
        <f>IF(OR($A83="",$B83="",$D83=""),"MISSING CORE FIELDS","")</f>
        <v/>
      </c>
      <c r="R83" s="14">
        <f>IF(AND($I83&lt;&gt;"",$K83&lt;&gt;"Yes"),"SW NOT INSTALLED","")</f>
        <v/>
      </c>
      <c r="S83" s="14">
        <f>IF(AND($H83&lt;&gt;"",ISNUMBER(SEARCH("auto",LOWER($H83))),$F83=""),"AUTOLOGON REQUIRED","")</f>
        <v/>
      </c>
      <c r="T83" s="14">
        <f>IF($Q83&lt;&gt;"",$Q83,IF($S83&lt;&gt;"",$S83,IF($R83&lt;&gt;"",$R83,IF(OR($N83&lt;&gt;"",$O83="Blocked"),"BLOCKED","OK"))))</f>
        <v/>
      </c>
    </row>
    <row r="84">
      <c r="A84" s="21">
        <f>Deployments!H81</f>
        <v/>
      </c>
      <c r="B84" s="21">
        <f>Deployments!X81</f>
        <v/>
      </c>
      <c r="C84" s="21">
        <f>Deployments!Y81</f>
        <v/>
      </c>
      <c r="D84" s="14">
        <f>Deployments!AO81</f>
        <v/>
      </c>
      <c r="E84" s="14">
        <f>Deployments!N81</f>
        <v/>
      </c>
      <c r="F84" s="21">
        <f>Deployments!O81</f>
        <v/>
      </c>
      <c r="G84" s="14">
        <f>Deployments!P81</f>
        <v/>
      </c>
      <c r="H84" s="14">
        <f>'13 - Config_Intake_View'!M84</f>
        <v/>
      </c>
      <c r="I84" s="21">
        <f>IF('13 - Config_Intake_View'!Q84&lt;&gt;"",'13 - Config_Intake_View'!Q84,Deployments!AG81)</f>
        <v/>
      </c>
      <c r="J84" s="14">
        <f>IF('13 - Config_Intake_View'!Q84&lt;&gt;"","PM Approved",IF(Deployments!AG81&lt;&gt;"","Assumed",""))</f>
        <v/>
      </c>
      <c r="K84" s="21">
        <f>Deployments!AF81</f>
        <v/>
      </c>
      <c r="L84" s="14">
        <f>Deployments!U81</f>
        <v/>
      </c>
      <c r="M84" s="14">
        <f>Deployments!L81</f>
        <v/>
      </c>
      <c r="N84" s="14">
        <f>Deployments!CC81</f>
        <v/>
      </c>
      <c r="O84" s="21">
        <f>Deployments!CD81</f>
        <v/>
      </c>
      <c r="P84" s="2">
        <f>Deployments!BX81</f>
        <v/>
      </c>
      <c r="Q84" s="21">
        <f>IF(OR($A84="",$B84="",$D84=""),"MISSING CORE FIELDS","")</f>
        <v/>
      </c>
      <c r="R84" s="14">
        <f>IF(AND($I84&lt;&gt;"",$K84&lt;&gt;"Yes"),"SW NOT INSTALLED","")</f>
        <v/>
      </c>
      <c r="S84" s="14">
        <f>IF(AND($H84&lt;&gt;"",ISNUMBER(SEARCH("auto",LOWER($H84))),$F84=""),"AUTOLOGON REQUIRED","")</f>
        <v/>
      </c>
      <c r="T84" s="14">
        <f>IF($Q84&lt;&gt;"",$Q84,IF($S84&lt;&gt;"",$S84,IF($R84&lt;&gt;"",$R84,IF(OR($N84&lt;&gt;"",$O84="Blocked"),"BLOCKED","OK"))))</f>
        <v/>
      </c>
    </row>
    <row r="85">
      <c r="A85" s="21">
        <f>Deployments!H82</f>
        <v/>
      </c>
      <c r="B85" s="21">
        <f>Deployments!X82</f>
        <v/>
      </c>
      <c r="C85" s="21">
        <f>Deployments!Y82</f>
        <v/>
      </c>
      <c r="D85" s="14">
        <f>Deployments!AO82</f>
        <v/>
      </c>
      <c r="E85" s="14">
        <f>Deployments!N82</f>
        <v/>
      </c>
      <c r="F85" s="21">
        <f>Deployments!O82</f>
        <v/>
      </c>
      <c r="G85" s="14">
        <f>Deployments!P82</f>
        <v/>
      </c>
      <c r="H85" s="14">
        <f>'13 - Config_Intake_View'!M85</f>
        <v/>
      </c>
      <c r="I85" s="21">
        <f>IF('13 - Config_Intake_View'!Q85&lt;&gt;"",'13 - Config_Intake_View'!Q85,Deployments!AG82)</f>
        <v/>
      </c>
      <c r="J85" s="14">
        <f>IF('13 - Config_Intake_View'!Q85&lt;&gt;"","PM Approved",IF(Deployments!AG82&lt;&gt;"","Assumed",""))</f>
        <v/>
      </c>
      <c r="K85" s="21">
        <f>Deployments!AF82</f>
        <v/>
      </c>
      <c r="L85" s="14">
        <f>Deployments!U82</f>
        <v/>
      </c>
      <c r="M85" s="14">
        <f>Deployments!L82</f>
        <v/>
      </c>
      <c r="N85" s="14">
        <f>Deployments!CC82</f>
        <v/>
      </c>
      <c r="O85" s="21">
        <f>Deployments!CD82</f>
        <v/>
      </c>
      <c r="P85" s="2">
        <f>Deployments!BX82</f>
        <v/>
      </c>
      <c r="Q85" s="21">
        <f>IF(OR($A85="",$B85="",$D85=""),"MISSING CORE FIELDS","")</f>
        <v/>
      </c>
      <c r="R85" s="14">
        <f>IF(AND($I85&lt;&gt;"",$K85&lt;&gt;"Yes"),"SW NOT INSTALLED","")</f>
        <v/>
      </c>
      <c r="S85" s="14">
        <f>IF(AND($H85&lt;&gt;"",ISNUMBER(SEARCH("auto",LOWER($H85))),$F85=""),"AUTOLOGON REQUIRED","")</f>
        <v/>
      </c>
      <c r="T85" s="14">
        <f>IF($Q85&lt;&gt;"",$Q85,IF($S85&lt;&gt;"",$S85,IF($R85&lt;&gt;"",$R85,IF(OR($N85&lt;&gt;"",$O85="Blocked"),"BLOCKED","OK"))))</f>
        <v/>
      </c>
    </row>
    <row r="86">
      <c r="A86" s="21">
        <f>Deployments!H83</f>
        <v/>
      </c>
      <c r="B86" s="21">
        <f>Deployments!X83</f>
        <v/>
      </c>
      <c r="C86" s="21">
        <f>Deployments!Y83</f>
        <v/>
      </c>
      <c r="D86" s="14">
        <f>Deployments!AO83</f>
        <v/>
      </c>
      <c r="E86" s="14">
        <f>Deployments!N83</f>
        <v/>
      </c>
      <c r="F86" s="21">
        <f>Deployments!O83</f>
        <v/>
      </c>
      <c r="G86" s="14">
        <f>Deployments!P83</f>
        <v/>
      </c>
      <c r="H86" s="14">
        <f>'13 - Config_Intake_View'!M86</f>
        <v/>
      </c>
      <c r="I86" s="21">
        <f>IF('13 - Config_Intake_View'!Q86&lt;&gt;"",'13 - Config_Intake_View'!Q86,Deployments!AG83)</f>
        <v/>
      </c>
      <c r="J86" s="14">
        <f>IF('13 - Config_Intake_View'!Q86&lt;&gt;"","PM Approved",IF(Deployments!AG83&lt;&gt;"","Assumed",""))</f>
        <v/>
      </c>
      <c r="K86" s="21">
        <f>Deployments!AF83</f>
        <v/>
      </c>
      <c r="L86" s="14">
        <f>Deployments!U83</f>
        <v/>
      </c>
      <c r="M86" s="14">
        <f>Deployments!L83</f>
        <v/>
      </c>
      <c r="N86" s="14">
        <f>Deployments!CC83</f>
        <v/>
      </c>
      <c r="O86" s="21">
        <f>Deployments!CD83</f>
        <v/>
      </c>
      <c r="P86" s="2">
        <f>Deployments!BX83</f>
        <v/>
      </c>
      <c r="Q86" s="21">
        <f>IF(OR($A86="",$B86="",$D86=""),"MISSING CORE FIELDS","")</f>
        <v/>
      </c>
      <c r="R86" s="14">
        <f>IF(AND($I86&lt;&gt;"",$K86&lt;&gt;"Yes"),"SW NOT INSTALLED","")</f>
        <v/>
      </c>
      <c r="S86" s="14">
        <f>IF(AND($H86&lt;&gt;"",ISNUMBER(SEARCH("auto",LOWER($H86))),$F86=""),"AUTOLOGON REQUIRED","")</f>
        <v/>
      </c>
      <c r="T86" s="14">
        <f>IF($Q86&lt;&gt;"",$Q86,IF($S86&lt;&gt;"",$S86,IF($R86&lt;&gt;"",$R86,IF(OR($N86&lt;&gt;"",$O86="Blocked"),"BLOCKED","OK"))))</f>
        <v/>
      </c>
    </row>
    <row r="87">
      <c r="A87" s="21">
        <f>Deployments!H84</f>
        <v/>
      </c>
      <c r="B87" s="21">
        <f>Deployments!X84</f>
        <v/>
      </c>
      <c r="C87" s="21">
        <f>Deployments!Y84</f>
        <v/>
      </c>
      <c r="D87" s="14">
        <f>Deployments!AO84</f>
        <v/>
      </c>
      <c r="E87" s="14">
        <f>Deployments!N84</f>
        <v/>
      </c>
      <c r="F87" s="21">
        <f>Deployments!O84</f>
        <v/>
      </c>
      <c r="G87" s="14">
        <f>Deployments!P84</f>
        <v/>
      </c>
      <c r="H87" s="14">
        <f>'13 - Config_Intake_View'!M87</f>
        <v/>
      </c>
      <c r="I87" s="21">
        <f>IF('13 - Config_Intake_View'!Q87&lt;&gt;"",'13 - Config_Intake_View'!Q87,Deployments!AG84)</f>
        <v/>
      </c>
      <c r="J87" s="14">
        <f>IF('13 - Config_Intake_View'!Q87&lt;&gt;"","PM Approved",IF(Deployments!AG84&lt;&gt;"","Assumed",""))</f>
        <v/>
      </c>
      <c r="K87" s="21">
        <f>Deployments!AF84</f>
        <v/>
      </c>
      <c r="L87" s="14">
        <f>Deployments!U84</f>
        <v/>
      </c>
      <c r="M87" s="14">
        <f>Deployments!L84</f>
        <v/>
      </c>
      <c r="N87" s="14">
        <f>Deployments!CC84</f>
        <v/>
      </c>
      <c r="O87" s="21">
        <f>Deployments!CD84</f>
        <v/>
      </c>
      <c r="P87" s="2">
        <f>Deployments!BX84</f>
        <v/>
      </c>
      <c r="Q87" s="21">
        <f>IF(OR($A87="",$B87="",$D87=""),"MISSING CORE FIELDS","")</f>
        <v/>
      </c>
      <c r="R87" s="14">
        <f>IF(AND($I87&lt;&gt;"",$K87&lt;&gt;"Yes"),"SW NOT INSTALLED","")</f>
        <v/>
      </c>
      <c r="S87" s="14">
        <f>IF(AND($H87&lt;&gt;"",ISNUMBER(SEARCH("auto",LOWER($H87))),$F87=""),"AUTOLOGON REQUIRED","")</f>
        <v/>
      </c>
      <c r="T87" s="14">
        <f>IF($Q87&lt;&gt;"",$Q87,IF($S87&lt;&gt;"",$S87,IF($R87&lt;&gt;"",$R87,IF(OR($N87&lt;&gt;"",$O87="Blocked"),"BLOCKED","OK"))))</f>
        <v/>
      </c>
    </row>
    <row r="88">
      <c r="A88" s="21">
        <f>Deployments!H85</f>
        <v/>
      </c>
      <c r="B88" s="21">
        <f>Deployments!X85</f>
        <v/>
      </c>
      <c r="C88" s="21">
        <f>Deployments!Y85</f>
        <v/>
      </c>
      <c r="D88" s="14">
        <f>Deployments!AO85</f>
        <v/>
      </c>
      <c r="E88" s="14">
        <f>Deployments!N85</f>
        <v/>
      </c>
      <c r="F88" s="21">
        <f>Deployments!O85</f>
        <v/>
      </c>
      <c r="G88" s="14">
        <f>Deployments!P85</f>
        <v/>
      </c>
      <c r="H88" s="14">
        <f>'13 - Config_Intake_View'!M88</f>
        <v/>
      </c>
      <c r="I88" s="21">
        <f>IF('13 - Config_Intake_View'!Q88&lt;&gt;"",'13 - Config_Intake_View'!Q88,Deployments!AG85)</f>
        <v/>
      </c>
      <c r="J88" s="14">
        <f>IF('13 - Config_Intake_View'!Q88&lt;&gt;"","PM Approved",IF(Deployments!AG85&lt;&gt;"","Assumed",""))</f>
        <v/>
      </c>
      <c r="K88" s="21">
        <f>Deployments!AF85</f>
        <v/>
      </c>
      <c r="L88" s="14">
        <f>Deployments!U85</f>
        <v/>
      </c>
      <c r="M88" s="14">
        <f>Deployments!L85</f>
        <v/>
      </c>
      <c r="N88" s="14">
        <f>Deployments!CC85</f>
        <v/>
      </c>
      <c r="O88" s="21">
        <f>Deployments!CD85</f>
        <v/>
      </c>
      <c r="P88" s="2">
        <f>Deployments!BX85</f>
        <v/>
      </c>
      <c r="Q88" s="21">
        <f>IF(OR($A88="",$B88="",$D88=""),"MISSING CORE FIELDS","")</f>
        <v/>
      </c>
      <c r="R88" s="14">
        <f>IF(AND($I88&lt;&gt;"",$K88&lt;&gt;"Yes"),"SW NOT INSTALLED","")</f>
        <v/>
      </c>
      <c r="S88" s="14">
        <f>IF(AND($H88&lt;&gt;"",ISNUMBER(SEARCH("auto",LOWER($H88))),$F88=""),"AUTOLOGON REQUIRED","")</f>
        <v/>
      </c>
      <c r="T88" s="14">
        <f>IF($Q88&lt;&gt;"",$Q88,IF($S88&lt;&gt;"",$S88,IF($R88&lt;&gt;"",$R88,IF(OR($N88&lt;&gt;"",$O88="Blocked"),"BLOCKED","OK"))))</f>
        <v/>
      </c>
    </row>
    <row r="89">
      <c r="A89" s="21">
        <f>Deployments!H86</f>
        <v/>
      </c>
      <c r="B89" s="21">
        <f>Deployments!X86</f>
        <v/>
      </c>
      <c r="C89" s="21">
        <f>Deployments!Y86</f>
        <v/>
      </c>
      <c r="D89" s="14">
        <f>Deployments!AO86</f>
        <v/>
      </c>
      <c r="E89" s="14">
        <f>Deployments!N86</f>
        <v/>
      </c>
      <c r="F89" s="21">
        <f>Deployments!O86</f>
        <v/>
      </c>
      <c r="G89" s="14">
        <f>Deployments!P86</f>
        <v/>
      </c>
      <c r="H89" s="14">
        <f>'13 - Config_Intake_View'!M89</f>
        <v/>
      </c>
      <c r="I89" s="21">
        <f>IF('13 - Config_Intake_View'!Q89&lt;&gt;"",'13 - Config_Intake_View'!Q89,Deployments!AG86)</f>
        <v/>
      </c>
      <c r="J89" s="14">
        <f>IF('13 - Config_Intake_View'!Q89&lt;&gt;"","PM Approved",IF(Deployments!AG86&lt;&gt;"","Assumed",""))</f>
        <v/>
      </c>
      <c r="K89" s="21">
        <f>Deployments!AF86</f>
        <v/>
      </c>
      <c r="L89" s="14">
        <f>Deployments!U86</f>
        <v/>
      </c>
      <c r="M89" s="14">
        <f>Deployments!L86</f>
        <v/>
      </c>
      <c r="N89" s="14">
        <f>Deployments!CC86</f>
        <v/>
      </c>
      <c r="O89" s="21">
        <f>Deployments!CD86</f>
        <v/>
      </c>
      <c r="P89" s="2">
        <f>Deployments!BX86</f>
        <v/>
      </c>
      <c r="Q89" s="21">
        <f>IF(OR($A89="",$B89="",$D89=""),"MISSING CORE FIELDS","")</f>
        <v/>
      </c>
      <c r="R89" s="14">
        <f>IF(AND($I89&lt;&gt;"",$K89&lt;&gt;"Yes"),"SW NOT INSTALLED","")</f>
        <v/>
      </c>
      <c r="S89" s="14">
        <f>IF(AND($H89&lt;&gt;"",ISNUMBER(SEARCH("auto",LOWER($H89))),$F89=""),"AUTOLOGON REQUIRED","")</f>
        <v/>
      </c>
      <c r="T89" s="14">
        <f>IF($Q89&lt;&gt;"",$Q89,IF($S89&lt;&gt;"",$S89,IF($R89&lt;&gt;"",$R89,IF(OR($N89&lt;&gt;"",$O89="Blocked"),"BLOCKED","OK"))))</f>
        <v/>
      </c>
    </row>
    <row r="90">
      <c r="A90" s="21">
        <f>Deployments!H87</f>
        <v/>
      </c>
      <c r="B90" s="21">
        <f>Deployments!X87</f>
        <v/>
      </c>
      <c r="C90" s="21">
        <f>Deployments!Y87</f>
        <v/>
      </c>
      <c r="D90" s="14">
        <f>Deployments!AO87</f>
        <v/>
      </c>
      <c r="E90" s="14">
        <f>Deployments!N87</f>
        <v/>
      </c>
      <c r="F90" s="21">
        <f>Deployments!O87</f>
        <v/>
      </c>
      <c r="G90" s="14">
        <f>Deployments!P87</f>
        <v/>
      </c>
      <c r="H90" s="14">
        <f>'13 - Config_Intake_View'!M90</f>
        <v/>
      </c>
      <c r="I90" s="21">
        <f>IF('13 - Config_Intake_View'!Q90&lt;&gt;"",'13 - Config_Intake_View'!Q90,Deployments!AG87)</f>
        <v/>
      </c>
      <c r="J90" s="14">
        <f>IF('13 - Config_Intake_View'!Q90&lt;&gt;"","PM Approved",IF(Deployments!AG87&lt;&gt;"","Assumed",""))</f>
        <v/>
      </c>
      <c r="K90" s="21">
        <f>Deployments!AF87</f>
        <v/>
      </c>
      <c r="L90" s="14">
        <f>Deployments!U87</f>
        <v/>
      </c>
      <c r="M90" s="14">
        <f>Deployments!L87</f>
        <v/>
      </c>
      <c r="N90" s="14">
        <f>Deployments!CC87</f>
        <v/>
      </c>
      <c r="O90" s="21">
        <f>Deployments!CD87</f>
        <v/>
      </c>
      <c r="P90" s="2">
        <f>Deployments!BX87</f>
        <v/>
      </c>
      <c r="Q90" s="21">
        <f>IF(OR($A90="",$B90="",$D90=""),"MISSING CORE FIELDS","")</f>
        <v/>
      </c>
      <c r="R90" s="14">
        <f>IF(AND($I90&lt;&gt;"",$K90&lt;&gt;"Yes"),"SW NOT INSTALLED","")</f>
        <v/>
      </c>
      <c r="S90" s="14">
        <f>IF(AND($H90&lt;&gt;"",ISNUMBER(SEARCH("auto",LOWER($H90))),$F90=""),"AUTOLOGON REQUIRED","")</f>
        <v/>
      </c>
      <c r="T90" s="14">
        <f>IF($Q90&lt;&gt;"",$Q90,IF($S90&lt;&gt;"",$S90,IF($R90&lt;&gt;"",$R90,IF(OR($N90&lt;&gt;"",$O90="Blocked"),"BLOCKED","OK"))))</f>
        <v/>
      </c>
    </row>
    <row r="91">
      <c r="A91" s="21">
        <f>Deployments!H88</f>
        <v/>
      </c>
      <c r="B91" s="21">
        <f>Deployments!X88</f>
        <v/>
      </c>
      <c r="C91" s="21">
        <f>Deployments!Y88</f>
        <v/>
      </c>
      <c r="D91" s="14">
        <f>Deployments!AO88</f>
        <v/>
      </c>
      <c r="E91" s="14">
        <f>Deployments!N88</f>
        <v/>
      </c>
      <c r="F91" s="21">
        <f>Deployments!O88</f>
        <v/>
      </c>
      <c r="G91" s="14">
        <f>Deployments!P88</f>
        <v/>
      </c>
      <c r="H91" s="14">
        <f>'13 - Config_Intake_View'!M91</f>
        <v/>
      </c>
      <c r="I91" s="21">
        <f>IF('13 - Config_Intake_View'!Q91&lt;&gt;"",'13 - Config_Intake_View'!Q91,Deployments!AG88)</f>
        <v/>
      </c>
      <c r="J91" s="14">
        <f>IF('13 - Config_Intake_View'!Q91&lt;&gt;"","PM Approved",IF(Deployments!AG88&lt;&gt;"","Assumed",""))</f>
        <v/>
      </c>
      <c r="K91" s="21">
        <f>Deployments!AF88</f>
        <v/>
      </c>
      <c r="L91" s="14">
        <f>Deployments!U88</f>
        <v/>
      </c>
      <c r="M91" s="14">
        <f>Deployments!L88</f>
        <v/>
      </c>
      <c r="N91" s="14">
        <f>Deployments!CC88</f>
        <v/>
      </c>
      <c r="O91" s="21">
        <f>Deployments!CD88</f>
        <v/>
      </c>
      <c r="P91" s="2">
        <f>Deployments!BX88</f>
        <v/>
      </c>
      <c r="Q91" s="21">
        <f>IF(OR($A91="",$B91="",$D91=""),"MISSING CORE FIELDS","")</f>
        <v/>
      </c>
      <c r="R91" s="14">
        <f>IF(AND($I91&lt;&gt;"",$K91&lt;&gt;"Yes"),"SW NOT INSTALLED","")</f>
        <v/>
      </c>
      <c r="S91" s="14">
        <f>IF(AND($H91&lt;&gt;"",ISNUMBER(SEARCH("auto",LOWER($H91))),$F91=""),"AUTOLOGON REQUIRED","")</f>
        <v/>
      </c>
      <c r="T91" s="14">
        <f>IF($Q91&lt;&gt;"",$Q91,IF($S91&lt;&gt;"",$S91,IF($R91&lt;&gt;"",$R91,IF(OR($N91&lt;&gt;"",$O91="Blocked"),"BLOCKED","OK"))))</f>
        <v/>
      </c>
    </row>
    <row r="92">
      <c r="A92" s="21">
        <f>Deployments!H89</f>
        <v/>
      </c>
      <c r="B92" s="21">
        <f>Deployments!X89</f>
        <v/>
      </c>
      <c r="C92" s="21">
        <f>Deployments!Y89</f>
        <v/>
      </c>
      <c r="D92" s="14">
        <f>Deployments!AO89</f>
        <v/>
      </c>
      <c r="E92" s="14">
        <f>Deployments!N89</f>
        <v/>
      </c>
      <c r="F92" s="21">
        <f>Deployments!O89</f>
        <v/>
      </c>
      <c r="G92" s="14">
        <f>Deployments!P89</f>
        <v/>
      </c>
      <c r="H92" s="14">
        <f>'13 - Config_Intake_View'!M92</f>
        <v/>
      </c>
      <c r="I92" s="21">
        <f>IF('13 - Config_Intake_View'!Q92&lt;&gt;"",'13 - Config_Intake_View'!Q92,Deployments!AG89)</f>
        <v/>
      </c>
      <c r="J92" s="14">
        <f>IF('13 - Config_Intake_View'!Q92&lt;&gt;"","PM Approved",IF(Deployments!AG89&lt;&gt;"","Assumed",""))</f>
        <v/>
      </c>
      <c r="K92" s="21">
        <f>Deployments!AF89</f>
        <v/>
      </c>
      <c r="L92" s="14">
        <f>Deployments!U89</f>
        <v/>
      </c>
      <c r="M92" s="14">
        <f>Deployments!L89</f>
        <v/>
      </c>
      <c r="N92" s="14">
        <f>Deployments!CC89</f>
        <v/>
      </c>
      <c r="O92" s="21">
        <f>Deployments!CD89</f>
        <v/>
      </c>
      <c r="P92" s="2">
        <f>Deployments!BX89</f>
        <v/>
      </c>
      <c r="Q92" s="21">
        <f>IF(OR($A92="",$B92="",$D92=""),"MISSING CORE FIELDS","")</f>
        <v/>
      </c>
      <c r="R92" s="14">
        <f>IF(AND($I92&lt;&gt;"",$K92&lt;&gt;"Yes"),"SW NOT INSTALLED","")</f>
        <v/>
      </c>
      <c r="S92" s="14">
        <f>IF(AND($H92&lt;&gt;"",ISNUMBER(SEARCH("auto",LOWER($H92))),$F92=""),"AUTOLOGON REQUIRED","")</f>
        <v/>
      </c>
      <c r="T92" s="14">
        <f>IF($Q92&lt;&gt;"",$Q92,IF($S92&lt;&gt;"",$S92,IF($R92&lt;&gt;"",$R92,IF(OR($N92&lt;&gt;"",$O92="Blocked"),"BLOCKED","OK"))))</f>
        <v/>
      </c>
    </row>
    <row r="93">
      <c r="A93" s="21">
        <f>Deployments!H90</f>
        <v/>
      </c>
      <c r="B93" s="21">
        <f>Deployments!X90</f>
        <v/>
      </c>
      <c r="C93" s="21">
        <f>Deployments!Y90</f>
        <v/>
      </c>
      <c r="D93" s="14">
        <f>Deployments!AO90</f>
        <v/>
      </c>
      <c r="E93" s="14">
        <f>Deployments!N90</f>
        <v/>
      </c>
      <c r="F93" s="21">
        <f>Deployments!O90</f>
        <v/>
      </c>
      <c r="G93" s="14">
        <f>Deployments!P90</f>
        <v/>
      </c>
      <c r="H93" s="14">
        <f>'13 - Config_Intake_View'!M93</f>
        <v/>
      </c>
      <c r="I93" s="21">
        <f>IF('13 - Config_Intake_View'!Q93&lt;&gt;"",'13 - Config_Intake_View'!Q93,Deployments!AG90)</f>
        <v/>
      </c>
      <c r="J93" s="14">
        <f>IF('13 - Config_Intake_View'!Q93&lt;&gt;"","PM Approved",IF(Deployments!AG90&lt;&gt;"","Assumed",""))</f>
        <v/>
      </c>
      <c r="K93" s="21">
        <f>Deployments!AF90</f>
        <v/>
      </c>
      <c r="L93" s="14">
        <f>Deployments!U90</f>
        <v/>
      </c>
      <c r="M93" s="14">
        <f>Deployments!L90</f>
        <v/>
      </c>
      <c r="N93" s="14">
        <f>Deployments!CC90</f>
        <v/>
      </c>
      <c r="O93" s="21">
        <f>Deployments!CD90</f>
        <v/>
      </c>
      <c r="P93" s="2">
        <f>Deployments!BX90</f>
        <v/>
      </c>
      <c r="Q93" s="21">
        <f>IF(OR($A93="",$B93="",$D93=""),"MISSING CORE FIELDS","")</f>
        <v/>
      </c>
      <c r="R93" s="14">
        <f>IF(AND($I93&lt;&gt;"",$K93&lt;&gt;"Yes"),"SW NOT INSTALLED","")</f>
        <v/>
      </c>
      <c r="S93" s="14">
        <f>IF(AND($H93&lt;&gt;"",ISNUMBER(SEARCH("auto",LOWER($H93))),$F93=""),"AUTOLOGON REQUIRED","")</f>
        <v/>
      </c>
      <c r="T93" s="14">
        <f>IF($Q93&lt;&gt;"",$Q93,IF($S93&lt;&gt;"",$S93,IF($R93&lt;&gt;"",$R93,IF(OR($N93&lt;&gt;"",$O93="Blocked"),"BLOCKED","OK"))))</f>
        <v/>
      </c>
    </row>
    <row r="94">
      <c r="A94" s="21">
        <f>Deployments!H91</f>
        <v/>
      </c>
      <c r="B94" s="21">
        <f>Deployments!X91</f>
        <v/>
      </c>
      <c r="C94" s="21">
        <f>Deployments!Y91</f>
        <v/>
      </c>
      <c r="D94" s="14">
        <f>Deployments!AO91</f>
        <v/>
      </c>
      <c r="E94" s="14">
        <f>Deployments!N91</f>
        <v/>
      </c>
      <c r="F94" s="21">
        <f>Deployments!O91</f>
        <v/>
      </c>
      <c r="G94" s="14">
        <f>Deployments!P91</f>
        <v/>
      </c>
      <c r="H94" s="14">
        <f>'13 - Config_Intake_View'!M94</f>
        <v/>
      </c>
      <c r="I94" s="21">
        <f>IF('13 - Config_Intake_View'!Q94&lt;&gt;"",'13 - Config_Intake_View'!Q94,Deployments!AG91)</f>
        <v/>
      </c>
      <c r="J94" s="14">
        <f>IF('13 - Config_Intake_View'!Q94&lt;&gt;"","PM Approved",IF(Deployments!AG91&lt;&gt;"","Assumed",""))</f>
        <v/>
      </c>
      <c r="K94" s="21">
        <f>Deployments!AF91</f>
        <v/>
      </c>
      <c r="L94" s="14">
        <f>Deployments!U91</f>
        <v/>
      </c>
      <c r="M94" s="14">
        <f>Deployments!L91</f>
        <v/>
      </c>
      <c r="N94" s="14">
        <f>Deployments!CC91</f>
        <v/>
      </c>
      <c r="O94" s="21">
        <f>Deployments!CD91</f>
        <v/>
      </c>
      <c r="P94" s="2">
        <f>Deployments!BX91</f>
        <v/>
      </c>
      <c r="Q94" s="21">
        <f>IF(OR($A94="",$B94="",$D94=""),"MISSING CORE FIELDS","")</f>
        <v/>
      </c>
      <c r="R94" s="14">
        <f>IF(AND($I94&lt;&gt;"",$K94&lt;&gt;"Yes"),"SW NOT INSTALLED","")</f>
        <v/>
      </c>
      <c r="S94" s="14">
        <f>IF(AND($H94&lt;&gt;"",ISNUMBER(SEARCH("auto",LOWER($H94))),$F94=""),"AUTOLOGON REQUIRED","")</f>
        <v/>
      </c>
      <c r="T94" s="14">
        <f>IF($Q94&lt;&gt;"",$Q94,IF($S94&lt;&gt;"",$S94,IF($R94&lt;&gt;"",$R94,IF(OR($N94&lt;&gt;"",$O94="Blocked"),"BLOCKED","OK"))))</f>
        <v/>
      </c>
    </row>
    <row r="95">
      <c r="A95" s="21">
        <f>Deployments!H92</f>
        <v/>
      </c>
      <c r="B95" s="21">
        <f>Deployments!X92</f>
        <v/>
      </c>
      <c r="C95" s="21">
        <f>Deployments!Y92</f>
        <v/>
      </c>
      <c r="D95" s="14">
        <f>Deployments!AO92</f>
        <v/>
      </c>
      <c r="E95" s="14">
        <f>Deployments!N92</f>
        <v/>
      </c>
      <c r="F95" s="21">
        <f>Deployments!O92</f>
        <v/>
      </c>
      <c r="G95" s="14">
        <f>Deployments!P92</f>
        <v/>
      </c>
      <c r="H95" s="14">
        <f>'13 - Config_Intake_View'!M95</f>
        <v/>
      </c>
      <c r="I95" s="21">
        <f>IF('13 - Config_Intake_View'!Q95&lt;&gt;"",'13 - Config_Intake_View'!Q95,Deployments!AG92)</f>
        <v/>
      </c>
      <c r="J95" s="14">
        <f>IF('13 - Config_Intake_View'!Q95&lt;&gt;"","PM Approved",IF(Deployments!AG92&lt;&gt;"","Assumed",""))</f>
        <v/>
      </c>
      <c r="K95" s="21">
        <f>Deployments!AF92</f>
        <v/>
      </c>
      <c r="L95" s="14">
        <f>Deployments!U92</f>
        <v/>
      </c>
      <c r="M95" s="14">
        <f>Deployments!L92</f>
        <v/>
      </c>
      <c r="N95" s="14">
        <f>Deployments!CC92</f>
        <v/>
      </c>
      <c r="O95" s="21">
        <f>Deployments!CD92</f>
        <v/>
      </c>
      <c r="P95" s="2">
        <f>Deployments!BX92</f>
        <v/>
      </c>
      <c r="Q95" s="21">
        <f>IF(OR($A95="",$B95="",$D95=""),"MISSING CORE FIELDS","")</f>
        <v/>
      </c>
      <c r="R95" s="14">
        <f>IF(AND($I95&lt;&gt;"",$K95&lt;&gt;"Yes"),"SW NOT INSTALLED","")</f>
        <v/>
      </c>
      <c r="S95" s="14">
        <f>IF(AND($H95&lt;&gt;"",ISNUMBER(SEARCH("auto",LOWER($H95))),$F95=""),"AUTOLOGON REQUIRED","")</f>
        <v/>
      </c>
      <c r="T95" s="14">
        <f>IF($Q95&lt;&gt;"",$Q95,IF($S95&lt;&gt;"",$S95,IF($R95&lt;&gt;"",$R95,IF(OR($N95&lt;&gt;"",$O95="Blocked"),"BLOCKED","OK"))))</f>
        <v/>
      </c>
    </row>
    <row r="96">
      <c r="A96" s="21">
        <f>Deployments!H93</f>
        <v/>
      </c>
      <c r="B96" s="21">
        <f>Deployments!X93</f>
        <v/>
      </c>
      <c r="C96" s="21">
        <f>Deployments!Y93</f>
        <v/>
      </c>
      <c r="D96" s="14">
        <f>Deployments!AO93</f>
        <v/>
      </c>
      <c r="E96" s="14">
        <f>Deployments!N93</f>
        <v/>
      </c>
      <c r="F96" s="21">
        <f>Deployments!O93</f>
        <v/>
      </c>
      <c r="G96" s="14">
        <f>Deployments!P93</f>
        <v/>
      </c>
      <c r="H96" s="14">
        <f>'13 - Config_Intake_View'!M96</f>
        <v/>
      </c>
      <c r="I96" s="21">
        <f>IF('13 - Config_Intake_View'!Q96&lt;&gt;"",'13 - Config_Intake_View'!Q96,Deployments!AG93)</f>
        <v/>
      </c>
      <c r="J96" s="14">
        <f>IF('13 - Config_Intake_View'!Q96&lt;&gt;"","PM Approved",IF(Deployments!AG93&lt;&gt;"","Assumed",""))</f>
        <v/>
      </c>
      <c r="K96" s="21">
        <f>Deployments!AF93</f>
        <v/>
      </c>
      <c r="L96" s="14">
        <f>Deployments!U93</f>
        <v/>
      </c>
      <c r="M96" s="14">
        <f>Deployments!L93</f>
        <v/>
      </c>
      <c r="N96" s="14">
        <f>Deployments!CC93</f>
        <v/>
      </c>
      <c r="O96" s="21">
        <f>Deployments!CD93</f>
        <v/>
      </c>
      <c r="P96" s="2">
        <f>Deployments!BX93</f>
        <v/>
      </c>
      <c r="Q96" s="21">
        <f>IF(OR($A96="",$B96="",$D96=""),"MISSING CORE FIELDS","")</f>
        <v/>
      </c>
      <c r="R96" s="14">
        <f>IF(AND($I96&lt;&gt;"",$K96&lt;&gt;"Yes"),"SW NOT INSTALLED","")</f>
        <v/>
      </c>
      <c r="S96" s="14">
        <f>IF(AND($H96&lt;&gt;"",ISNUMBER(SEARCH("auto",LOWER($H96))),$F96=""),"AUTOLOGON REQUIRED","")</f>
        <v/>
      </c>
      <c r="T96" s="14">
        <f>IF($Q96&lt;&gt;"",$Q96,IF($S96&lt;&gt;"",$S96,IF($R96&lt;&gt;"",$R96,IF(OR($N96&lt;&gt;"",$O96="Blocked"),"BLOCKED","OK"))))</f>
        <v/>
      </c>
    </row>
    <row r="97">
      <c r="A97" s="21">
        <f>Deployments!H94</f>
        <v/>
      </c>
      <c r="B97" s="21">
        <f>Deployments!X94</f>
        <v/>
      </c>
      <c r="C97" s="21">
        <f>Deployments!Y94</f>
        <v/>
      </c>
      <c r="D97" s="14">
        <f>Deployments!AO94</f>
        <v/>
      </c>
      <c r="E97" s="14">
        <f>Deployments!N94</f>
        <v/>
      </c>
      <c r="F97" s="21">
        <f>Deployments!O94</f>
        <v/>
      </c>
      <c r="G97" s="14">
        <f>Deployments!P94</f>
        <v/>
      </c>
      <c r="H97" s="14">
        <f>'13 - Config_Intake_View'!M97</f>
        <v/>
      </c>
      <c r="I97" s="21">
        <f>IF('13 - Config_Intake_View'!Q97&lt;&gt;"",'13 - Config_Intake_View'!Q97,Deployments!AG94)</f>
        <v/>
      </c>
      <c r="J97" s="14">
        <f>IF('13 - Config_Intake_View'!Q97&lt;&gt;"","PM Approved",IF(Deployments!AG94&lt;&gt;"","Assumed",""))</f>
        <v/>
      </c>
      <c r="K97" s="21">
        <f>Deployments!AF94</f>
        <v/>
      </c>
      <c r="L97" s="14">
        <f>Deployments!U94</f>
        <v/>
      </c>
      <c r="M97" s="14">
        <f>Deployments!L94</f>
        <v/>
      </c>
      <c r="N97" s="14">
        <f>Deployments!CC94</f>
        <v/>
      </c>
      <c r="O97" s="21">
        <f>Deployments!CD94</f>
        <v/>
      </c>
      <c r="P97" s="2">
        <f>Deployments!BX94</f>
        <v/>
      </c>
      <c r="Q97" s="21">
        <f>IF(OR($A97="",$B97="",$D97=""),"MISSING CORE FIELDS","")</f>
        <v/>
      </c>
      <c r="R97" s="14">
        <f>IF(AND($I97&lt;&gt;"",$K97&lt;&gt;"Yes"),"SW NOT INSTALLED","")</f>
        <v/>
      </c>
      <c r="S97" s="14">
        <f>IF(AND($H97&lt;&gt;"",ISNUMBER(SEARCH("auto",LOWER($H97))),$F97=""),"AUTOLOGON REQUIRED","")</f>
        <v/>
      </c>
      <c r="T97" s="14">
        <f>IF($Q97&lt;&gt;"",$Q97,IF($S97&lt;&gt;"",$S97,IF($R97&lt;&gt;"",$R97,IF(OR($N97&lt;&gt;"",$O97="Blocked"),"BLOCKED","OK"))))</f>
        <v/>
      </c>
    </row>
    <row r="98">
      <c r="A98" s="21">
        <f>Deployments!H95</f>
        <v/>
      </c>
      <c r="B98" s="21">
        <f>Deployments!X95</f>
        <v/>
      </c>
      <c r="C98" s="21">
        <f>Deployments!Y95</f>
        <v/>
      </c>
      <c r="D98" s="14">
        <f>Deployments!AO95</f>
        <v/>
      </c>
      <c r="E98" s="14">
        <f>Deployments!N95</f>
        <v/>
      </c>
      <c r="F98" s="21">
        <f>Deployments!O95</f>
        <v/>
      </c>
      <c r="G98" s="14">
        <f>Deployments!P95</f>
        <v/>
      </c>
      <c r="H98" s="14">
        <f>'13 - Config_Intake_View'!M98</f>
        <v/>
      </c>
      <c r="I98" s="21">
        <f>IF('13 - Config_Intake_View'!Q98&lt;&gt;"",'13 - Config_Intake_View'!Q98,Deployments!AG95)</f>
        <v/>
      </c>
      <c r="J98" s="14">
        <f>IF('13 - Config_Intake_View'!Q98&lt;&gt;"","PM Approved",IF(Deployments!AG95&lt;&gt;"","Assumed",""))</f>
        <v/>
      </c>
      <c r="K98" s="21">
        <f>Deployments!AF95</f>
        <v/>
      </c>
      <c r="L98" s="14">
        <f>Deployments!U95</f>
        <v/>
      </c>
      <c r="M98" s="14">
        <f>Deployments!L95</f>
        <v/>
      </c>
      <c r="N98" s="14">
        <f>Deployments!CC95</f>
        <v/>
      </c>
      <c r="O98" s="21">
        <f>Deployments!CD95</f>
        <v/>
      </c>
      <c r="P98" s="2">
        <f>Deployments!BX95</f>
        <v/>
      </c>
      <c r="Q98" s="21">
        <f>IF(OR($A98="",$B98="",$D98=""),"MISSING CORE FIELDS","")</f>
        <v/>
      </c>
      <c r="R98" s="14">
        <f>IF(AND($I98&lt;&gt;"",$K98&lt;&gt;"Yes"),"SW NOT INSTALLED","")</f>
        <v/>
      </c>
      <c r="S98" s="14">
        <f>IF(AND($H98&lt;&gt;"",ISNUMBER(SEARCH("auto",LOWER($H98))),$F98=""),"AUTOLOGON REQUIRED","")</f>
        <v/>
      </c>
      <c r="T98" s="14">
        <f>IF($Q98&lt;&gt;"",$Q98,IF($S98&lt;&gt;"",$S98,IF($R98&lt;&gt;"",$R98,IF(OR($N98&lt;&gt;"",$O98="Blocked"),"BLOCKED","OK"))))</f>
        <v/>
      </c>
    </row>
    <row r="99">
      <c r="A99" s="21">
        <f>Deployments!H96</f>
        <v/>
      </c>
      <c r="B99" s="21">
        <f>Deployments!X96</f>
        <v/>
      </c>
      <c r="C99" s="21">
        <f>Deployments!Y96</f>
        <v/>
      </c>
      <c r="D99" s="14">
        <f>Deployments!AO96</f>
        <v/>
      </c>
      <c r="E99" s="14">
        <f>Deployments!N96</f>
        <v/>
      </c>
      <c r="F99" s="21">
        <f>Deployments!O96</f>
        <v/>
      </c>
      <c r="G99" s="14">
        <f>Deployments!P96</f>
        <v/>
      </c>
      <c r="H99" s="14">
        <f>'13 - Config_Intake_View'!M99</f>
        <v/>
      </c>
      <c r="I99" s="21">
        <f>IF('13 - Config_Intake_View'!Q99&lt;&gt;"",'13 - Config_Intake_View'!Q99,Deployments!AG96)</f>
        <v/>
      </c>
      <c r="J99" s="14">
        <f>IF('13 - Config_Intake_View'!Q99&lt;&gt;"","PM Approved",IF(Deployments!AG96&lt;&gt;"","Assumed",""))</f>
        <v/>
      </c>
      <c r="K99" s="21">
        <f>Deployments!AF96</f>
        <v/>
      </c>
      <c r="L99" s="14">
        <f>Deployments!U96</f>
        <v/>
      </c>
      <c r="M99" s="14">
        <f>Deployments!L96</f>
        <v/>
      </c>
      <c r="N99" s="14">
        <f>Deployments!CC96</f>
        <v/>
      </c>
      <c r="O99" s="21">
        <f>Deployments!CD96</f>
        <v/>
      </c>
      <c r="P99" s="2">
        <f>Deployments!BX96</f>
        <v/>
      </c>
      <c r="Q99" s="21">
        <f>IF(OR($A99="",$B99="",$D99=""),"MISSING CORE FIELDS","")</f>
        <v/>
      </c>
      <c r="R99" s="14">
        <f>IF(AND($I99&lt;&gt;"",$K99&lt;&gt;"Yes"),"SW NOT INSTALLED","")</f>
        <v/>
      </c>
      <c r="S99" s="14">
        <f>IF(AND($H99&lt;&gt;"",ISNUMBER(SEARCH("auto",LOWER($H99))),$F99=""),"AUTOLOGON REQUIRED","")</f>
        <v/>
      </c>
      <c r="T99" s="14">
        <f>IF($Q99&lt;&gt;"",$Q99,IF($S99&lt;&gt;"",$S99,IF($R99&lt;&gt;"",$R99,IF(OR($N99&lt;&gt;"",$O99="Blocked"),"BLOCKED","OK"))))</f>
        <v/>
      </c>
    </row>
    <row r="100">
      <c r="A100" s="21">
        <f>Deployments!H97</f>
        <v/>
      </c>
      <c r="B100" s="21">
        <f>Deployments!X97</f>
        <v/>
      </c>
      <c r="C100" s="21">
        <f>Deployments!Y97</f>
        <v/>
      </c>
      <c r="D100" s="14">
        <f>Deployments!AO97</f>
        <v/>
      </c>
      <c r="E100" s="14">
        <f>Deployments!N97</f>
        <v/>
      </c>
      <c r="F100" s="21">
        <f>Deployments!O97</f>
        <v/>
      </c>
      <c r="G100" s="14">
        <f>Deployments!P97</f>
        <v/>
      </c>
      <c r="H100" s="14">
        <f>'13 - Config_Intake_View'!M100</f>
        <v/>
      </c>
      <c r="I100" s="21">
        <f>IF('13 - Config_Intake_View'!Q100&lt;&gt;"",'13 - Config_Intake_View'!Q100,Deployments!AG97)</f>
        <v/>
      </c>
      <c r="J100" s="14">
        <f>IF('13 - Config_Intake_View'!Q100&lt;&gt;"","PM Approved",IF(Deployments!AG97&lt;&gt;"","Assumed",""))</f>
        <v/>
      </c>
      <c r="K100" s="21">
        <f>Deployments!AF97</f>
        <v/>
      </c>
      <c r="L100" s="14">
        <f>Deployments!U97</f>
        <v/>
      </c>
      <c r="M100" s="14">
        <f>Deployments!L97</f>
        <v/>
      </c>
      <c r="N100" s="14">
        <f>Deployments!CC97</f>
        <v/>
      </c>
      <c r="O100" s="21">
        <f>Deployments!CD97</f>
        <v/>
      </c>
      <c r="P100" s="2">
        <f>Deployments!BX97</f>
        <v/>
      </c>
      <c r="Q100" s="21">
        <f>IF(OR($A100="",$B100="",$D100=""),"MISSING CORE FIELDS","")</f>
        <v/>
      </c>
      <c r="R100" s="14">
        <f>IF(AND($I100&lt;&gt;"",$K100&lt;&gt;"Yes"),"SW NOT INSTALLED","")</f>
        <v/>
      </c>
      <c r="S100" s="14">
        <f>IF(AND($H100&lt;&gt;"",ISNUMBER(SEARCH("auto",LOWER($H100))),$F100=""),"AUTOLOGON REQUIRED","")</f>
        <v/>
      </c>
      <c r="T100" s="14">
        <f>IF($Q100&lt;&gt;"",$Q100,IF($S100&lt;&gt;"",$S100,IF($R100&lt;&gt;"",$R100,IF(OR($N100&lt;&gt;"",$O100="Blocked"),"BLOCKED","OK"))))</f>
        <v/>
      </c>
    </row>
    <row r="101">
      <c r="A101" s="21">
        <f>Deployments!H98</f>
        <v/>
      </c>
      <c r="B101" s="21">
        <f>Deployments!X98</f>
        <v/>
      </c>
      <c r="C101" s="21">
        <f>Deployments!Y98</f>
        <v/>
      </c>
      <c r="D101" s="14">
        <f>Deployments!AO98</f>
        <v/>
      </c>
      <c r="E101" s="14">
        <f>Deployments!N98</f>
        <v/>
      </c>
      <c r="F101" s="21">
        <f>Deployments!O98</f>
        <v/>
      </c>
      <c r="G101" s="14">
        <f>Deployments!P98</f>
        <v/>
      </c>
      <c r="H101" s="14">
        <f>'13 - Config_Intake_View'!M101</f>
        <v/>
      </c>
      <c r="I101" s="21">
        <f>IF('13 - Config_Intake_View'!Q101&lt;&gt;"",'13 - Config_Intake_View'!Q101,Deployments!AG98)</f>
        <v/>
      </c>
      <c r="J101" s="14">
        <f>IF('13 - Config_Intake_View'!Q101&lt;&gt;"","PM Approved",IF(Deployments!AG98&lt;&gt;"","Assumed",""))</f>
        <v/>
      </c>
      <c r="K101" s="21">
        <f>Deployments!AF98</f>
        <v/>
      </c>
      <c r="L101" s="14">
        <f>Deployments!U98</f>
        <v/>
      </c>
      <c r="M101" s="14">
        <f>Deployments!L98</f>
        <v/>
      </c>
      <c r="N101" s="14">
        <f>Deployments!CC98</f>
        <v/>
      </c>
      <c r="O101" s="21">
        <f>Deployments!CD98</f>
        <v/>
      </c>
      <c r="P101" s="2">
        <f>Deployments!BX98</f>
        <v/>
      </c>
      <c r="Q101" s="21">
        <f>IF(OR($A101="",$B101="",$D101=""),"MISSING CORE FIELDS","")</f>
        <v/>
      </c>
      <c r="R101" s="14">
        <f>IF(AND($I101&lt;&gt;"",$K101&lt;&gt;"Yes"),"SW NOT INSTALLED","")</f>
        <v/>
      </c>
      <c r="S101" s="14">
        <f>IF(AND($H101&lt;&gt;"",ISNUMBER(SEARCH("auto",LOWER($H101))),$F101=""),"AUTOLOGON REQUIRED","")</f>
        <v/>
      </c>
      <c r="T101" s="14">
        <f>IF($Q101&lt;&gt;"",$Q101,IF($S101&lt;&gt;"",$S101,IF($R101&lt;&gt;"",$R101,IF(OR($N101&lt;&gt;"",$O101="Blocked"),"BLOCKED","OK"))))</f>
        <v/>
      </c>
    </row>
    <row r="102">
      <c r="A102" s="21">
        <f>Deployments!H99</f>
        <v/>
      </c>
      <c r="B102" s="21">
        <f>Deployments!X99</f>
        <v/>
      </c>
      <c r="C102" s="21">
        <f>Deployments!Y99</f>
        <v/>
      </c>
      <c r="D102" s="14">
        <f>Deployments!AO99</f>
        <v/>
      </c>
      <c r="E102" s="14">
        <f>Deployments!N99</f>
        <v/>
      </c>
      <c r="F102" s="21">
        <f>Deployments!O99</f>
        <v/>
      </c>
      <c r="G102" s="14">
        <f>Deployments!P99</f>
        <v/>
      </c>
      <c r="H102" s="14">
        <f>'13 - Config_Intake_View'!M102</f>
        <v/>
      </c>
      <c r="I102" s="21">
        <f>IF('13 - Config_Intake_View'!Q102&lt;&gt;"",'13 - Config_Intake_View'!Q102,Deployments!AG99)</f>
        <v/>
      </c>
      <c r="J102" s="14">
        <f>IF('13 - Config_Intake_View'!Q102&lt;&gt;"","PM Approved",IF(Deployments!AG99&lt;&gt;"","Assumed",""))</f>
        <v/>
      </c>
      <c r="K102" s="21">
        <f>Deployments!AF99</f>
        <v/>
      </c>
      <c r="L102" s="14">
        <f>Deployments!U99</f>
        <v/>
      </c>
      <c r="M102" s="14">
        <f>Deployments!L99</f>
        <v/>
      </c>
      <c r="N102" s="14">
        <f>Deployments!CC99</f>
        <v/>
      </c>
      <c r="O102" s="21">
        <f>Deployments!CD99</f>
        <v/>
      </c>
      <c r="P102" s="2">
        <f>Deployments!BX99</f>
        <v/>
      </c>
      <c r="Q102" s="21">
        <f>IF(OR($A102="",$B102="",$D102=""),"MISSING CORE FIELDS","")</f>
        <v/>
      </c>
      <c r="R102" s="14">
        <f>IF(AND($I102&lt;&gt;"",$K102&lt;&gt;"Yes"),"SW NOT INSTALLED","")</f>
        <v/>
      </c>
      <c r="S102" s="14">
        <f>IF(AND($H102&lt;&gt;"",ISNUMBER(SEARCH("auto",LOWER($H102))),$F102=""),"AUTOLOGON REQUIRED","")</f>
        <v/>
      </c>
      <c r="T102" s="14">
        <f>IF($Q102&lt;&gt;"",$Q102,IF($S102&lt;&gt;"",$S102,IF($R102&lt;&gt;"",$R102,IF(OR($N102&lt;&gt;"",$O102="Blocked"),"BLOCKED","OK"))))</f>
        <v/>
      </c>
    </row>
    <row r="103">
      <c r="A103" s="21">
        <f>Deployments!H100</f>
        <v/>
      </c>
      <c r="B103" s="21">
        <f>Deployments!X100</f>
        <v/>
      </c>
      <c r="C103" s="21">
        <f>Deployments!Y100</f>
        <v/>
      </c>
      <c r="D103" s="14">
        <f>Deployments!AO100</f>
        <v/>
      </c>
      <c r="E103" s="14">
        <f>Deployments!N100</f>
        <v/>
      </c>
      <c r="F103" s="21">
        <f>Deployments!O100</f>
        <v/>
      </c>
      <c r="G103" s="14">
        <f>Deployments!P100</f>
        <v/>
      </c>
      <c r="H103" s="14">
        <f>'13 - Config_Intake_View'!M103</f>
        <v/>
      </c>
      <c r="I103" s="21">
        <f>IF('13 - Config_Intake_View'!Q103&lt;&gt;"",'13 - Config_Intake_View'!Q103,Deployments!AG100)</f>
        <v/>
      </c>
      <c r="J103" s="14">
        <f>IF('13 - Config_Intake_View'!Q103&lt;&gt;"","PM Approved",IF(Deployments!AG100&lt;&gt;"","Assumed",""))</f>
        <v/>
      </c>
      <c r="K103" s="21">
        <f>Deployments!AF100</f>
        <v/>
      </c>
      <c r="L103" s="14">
        <f>Deployments!U100</f>
        <v/>
      </c>
      <c r="M103" s="14">
        <f>Deployments!L100</f>
        <v/>
      </c>
      <c r="N103" s="14">
        <f>Deployments!CC100</f>
        <v/>
      </c>
      <c r="O103" s="21">
        <f>Deployments!CD100</f>
        <v/>
      </c>
      <c r="P103" s="2">
        <f>Deployments!BX100</f>
        <v/>
      </c>
      <c r="Q103" s="21">
        <f>IF(OR($A103="",$B103="",$D103=""),"MISSING CORE FIELDS","")</f>
        <v/>
      </c>
      <c r="R103" s="14">
        <f>IF(AND($I103&lt;&gt;"",$K103&lt;&gt;"Yes"),"SW NOT INSTALLED","")</f>
        <v/>
      </c>
      <c r="S103" s="14">
        <f>IF(AND($H103&lt;&gt;"",ISNUMBER(SEARCH("auto",LOWER($H103))),$F103=""),"AUTOLOGON REQUIRED","")</f>
        <v/>
      </c>
      <c r="T103" s="14">
        <f>IF($Q103&lt;&gt;"",$Q103,IF($S103&lt;&gt;"",$S103,IF($R103&lt;&gt;"",$R103,IF(OR($N103&lt;&gt;"",$O103="Blocked"),"BLOCKED","OK"))))</f>
        <v/>
      </c>
    </row>
    <row r="104">
      <c r="A104" s="21">
        <f>Deployments!H101</f>
        <v/>
      </c>
      <c r="B104" s="21">
        <f>Deployments!X101</f>
        <v/>
      </c>
      <c r="C104" s="21">
        <f>Deployments!Y101</f>
        <v/>
      </c>
      <c r="D104" s="14">
        <f>Deployments!AO101</f>
        <v/>
      </c>
      <c r="E104" s="14">
        <f>Deployments!N101</f>
        <v/>
      </c>
      <c r="F104" s="21">
        <f>Deployments!O101</f>
        <v/>
      </c>
      <c r="G104" s="14">
        <f>Deployments!P101</f>
        <v/>
      </c>
      <c r="H104" s="14">
        <f>'13 - Config_Intake_View'!M104</f>
        <v/>
      </c>
      <c r="I104" s="21">
        <f>IF('13 - Config_Intake_View'!Q104&lt;&gt;"",'13 - Config_Intake_View'!Q104,Deployments!AG101)</f>
        <v/>
      </c>
      <c r="J104" s="14">
        <f>IF('13 - Config_Intake_View'!Q104&lt;&gt;"","PM Approved",IF(Deployments!AG101&lt;&gt;"","Assumed",""))</f>
        <v/>
      </c>
      <c r="K104" s="21">
        <f>Deployments!AF101</f>
        <v/>
      </c>
      <c r="L104" s="14">
        <f>Deployments!U101</f>
        <v/>
      </c>
      <c r="M104" s="14">
        <f>Deployments!L101</f>
        <v/>
      </c>
      <c r="N104" s="14">
        <f>Deployments!CC101</f>
        <v/>
      </c>
      <c r="O104" s="21">
        <f>Deployments!CD101</f>
        <v/>
      </c>
      <c r="P104" s="2">
        <f>Deployments!BX101</f>
        <v/>
      </c>
      <c r="Q104" s="21">
        <f>IF(OR($A104="",$B104="",$D104=""),"MISSING CORE FIELDS","")</f>
        <v/>
      </c>
      <c r="R104" s="14">
        <f>IF(AND($I104&lt;&gt;"",$K104&lt;&gt;"Yes"),"SW NOT INSTALLED","")</f>
        <v/>
      </c>
      <c r="S104" s="14">
        <f>IF(AND($H104&lt;&gt;"",ISNUMBER(SEARCH("auto",LOWER($H104))),$F104=""),"AUTOLOGON REQUIRED","")</f>
        <v/>
      </c>
      <c r="T104" s="14">
        <f>IF($Q104&lt;&gt;"",$Q104,IF($S104&lt;&gt;"",$S104,IF($R104&lt;&gt;"",$R104,IF(OR($N104&lt;&gt;"",$O104="Blocked"),"BLOCKED","OK"))))</f>
        <v/>
      </c>
    </row>
    <row r="105">
      <c r="A105" s="21">
        <f>Deployments!H102</f>
        <v/>
      </c>
      <c r="B105" s="21">
        <f>Deployments!X102</f>
        <v/>
      </c>
      <c r="C105" s="21">
        <f>Deployments!Y102</f>
        <v/>
      </c>
      <c r="D105" s="14">
        <f>Deployments!AO102</f>
        <v/>
      </c>
      <c r="E105" s="14">
        <f>Deployments!N102</f>
        <v/>
      </c>
      <c r="F105" s="21">
        <f>Deployments!O102</f>
        <v/>
      </c>
      <c r="G105" s="14">
        <f>Deployments!P102</f>
        <v/>
      </c>
      <c r="H105" s="14">
        <f>'13 - Config_Intake_View'!M105</f>
        <v/>
      </c>
      <c r="I105" s="21">
        <f>IF('13 - Config_Intake_View'!Q105&lt;&gt;"",'13 - Config_Intake_View'!Q105,Deployments!AG102)</f>
        <v/>
      </c>
      <c r="J105" s="14">
        <f>IF('13 - Config_Intake_View'!Q105&lt;&gt;"","PM Approved",IF(Deployments!AG102&lt;&gt;"","Assumed",""))</f>
        <v/>
      </c>
      <c r="K105" s="21">
        <f>Deployments!AF102</f>
        <v/>
      </c>
      <c r="L105" s="14">
        <f>Deployments!U102</f>
        <v/>
      </c>
      <c r="M105" s="14">
        <f>Deployments!L102</f>
        <v/>
      </c>
      <c r="N105" s="14">
        <f>Deployments!CC102</f>
        <v/>
      </c>
      <c r="O105" s="21">
        <f>Deployments!CD102</f>
        <v/>
      </c>
      <c r="P105" s="2">
        <f>Deployments!BX102</f>
        <v/>
      </c>
      <c r="Q105" s="21">
        <f>IF(OR($A105="",$B105="",$D105=""),"MISSING CORE FIELDS","")</f>
        <v/>
      </c>
      <c r="R105" s="14">
        <f>IF(AND($I105&lt;&gt;"",$K105&lt;&gt;"Yes"),"SW NOT INSTALLED","")</f>
        <v/>
      </c>
      <c r="S105" s="14">
        <f>IF(AND($H105&lt;&gt;"",ISNUMBER(SEARCH("auto",LOWER($H105))),$F105=""),"AUTOLOGON REQUIRED","")</f>
        <v/>
      </c>
      <c r="T105" s="14">
        <f>IF($Q105&lt;&gt;"",$Q105,IF($S105&lt;&gt;"",$S105,IF($R105&lt;&gt;"",$R105,IF(OR($N105&lt;&gt;"",$O105="Blocked"),"BLOCKED","OK"))))</f>
        <v/>
      </c>
    </row>
    <row r="106">
      <c r="A106" s="21">
        <f>Deployments!H103</f>
        <v/>
      </c>
      <c r="B106" s="21">
        <f>Deployments!X103</f>
        <v/>
      </c>
      <c r="C106" s="21">
        <f>Deployments!Y103</f>
        <v/>
      </c>
      <c r="D106" s="14">
        <f>Deployments!AO103</f>
        <v/>
      </c>
      <c r="E106" s="14">
        <f>Deployments!N103</f>
        <v/>
      </c>
      <c r="F106" s="21">
        <f>Deployments!O103</f>
        <v/>
      </c>
      <c r="G106" s="14">
        <f>Deployments!P103</f>
        <v/>
      </c>
      <c r="H106" s="14">
        <f>'13 - Config_Intake_View'!M106</f>
        <v/>
      </c>
      <c r="I106" s="21">
        <f>IF('13 - Config_Intake_View'!Q106&lt;&gt;"",'13 - Config_Intake_View'!Q106,Deployments!AG103)</f>
        <v/>
      </c>
      <c r="J106" s="14">
        <f>IF('13 - Config_Intake_View'!Q106&lt;&gt;"","PM Approved",IF(Deployments!AG103&lt;&gt;"","Assumed",""))</f>
        <v/>
      </c>
      <c r="K106" s="21">
        <f>Deployments!AF103</f>
        <v/>
      </c>
      <c r="L106" s="14">
        <f>Deployments!U103</f>
        <v/>
      </c>
      <c r="M106" s="14">
        <f>Deployments!L103</f>
        <v/>
      </c>
      <c r="N106" s="14">
        <f>Deployments!CC103</f>
        <v/>
      </c>
      <c r="O106" s="21">
        <f>Deployments!CD103</f>
        <v/>
      </c>
      <c r="P106" s="2">
        <f>Deployments!BX103</f>
        <v/>
      </c>
      <c r="Q106" s="21">
        <f>IF(OR($A106="",$B106="",$D106=""),"MISSING CORE FIELDS","")</f>
        <v/>
      </c>
      <c r="R106" s="14">
        <f>IF(AND($I106&lt;&gt;"",$K106&lt;&gt;"Yes"),"SW NOT INSTALLED","")</f>
        <v/>
      </c>
      <c r="S106" s="14">
        <f>IF(AND($H106&lt;&gt;"",ISNUMBER(SEARCH("auto",LOWER($H106))),$F106=""),"AUTOLOGON REQUIRED","")</f>
        <v/>
      </c>
      <c r="T106" s="14">
        <f>IF($Q106&lt;&gt;"",$Q106,IF($S106&lt;&gt;"",$S106,IF($R106&lt;&gt;"",$R106,IF(OR($N106&lt;&gt;"",$O106="Blocked"),"BLOCKED","OK"))))</f>
        <v/>
      </c>
    </row>
    <row r="107">
      <c r="A107" s="21">
        <f>Deployments!H104</f>
        <v/>
      </c>
      <c r="B107" s="21">
        <f>Deployments!X104</f>
        <v/>
      </c>
      <c r="C107" s="21">
        <f>Deployments!Y104</f>
        <v/>
      </c>
      <c r="D107" s="14">
        <f>Deployments!AO104</f>
        <v/>
      </c>
      <c r="E107" s="14">
        <f>Deployments!N104</f>
        <v/>
      </c>
      <c r="F107" s="21">
        <f>Deployments!O104</f>
        <v/>
      </c>
      <c r="G107" s="14">
        <f>Deployments!P104</f>
        <v/>
      </c>
      <c r="H107" s="14">
        <f>'13 - Config_Intake_View'!M107</f>
        <v/>
      </c>
      <c r="I107" s="21">
        <f>IF('13 - Config_Intake_View'!Q107&lt;&gt;"",'13 - Config_Intake_View'!Q107,Deployments!AG104)</f>
        <v/>
      </c>
      <c r="J107" s="14">
        <f>IF('13 - Config_Intake_View'!Q107&lt;&gt;"","PM Approved",IF(Deployments!AG104&lt;&gt;"","Assumed",""))</f>
        <v/>
      </c>
      <c r="K107" s="21">
        <f>Deployments!AF104</f>
        <v/>
      </c>
      <c r="L107" s="14">
        <f>Deployments!U104</f>
        <v/>
      </c>
      <c r="M107" s="14">
        <f>Deployments!L104</f>
        <v/>
      </c>
      <c r="N107" s="14">
        <f>Deployments!CC104</f>
        <v/>
      </c>
      <c r="O107" s="21">
        <f>Deployments!CD104</f>
        <v/>
      </c>
      <c r="P107" s="2">
        <f>Deployments!BX104</f>
        <v/>
      </c>
      <c r="Q107" s="21">
        <f>IF(OR($A107="",$B107="",$D107=""),"MISSING CORE FIELDS","")</f>
        <v/>
      </c>
      <c r="R107" s="14">
        <f>IF(AND($I107&lt;&gt;"",$K107&lt;&gt;"Yes"),"SW NOT INSTALLED","")</f>
        <v/>
      </c>
      <c r="S107" s="14">
        <f>IF(AND($H107&lt;&gt;"",ISNUMBER(SEARCH("auto",LOWER($H107))),$F107=""),"AUTOLOGON REQUIRED","")</f>
        <v/>
      </c>
      <c r="T107" s="14">
        <f>IF($Q107&lt;&gt;"",$Q107,IF($S107&lt;&gt;"",$S107,IF($R107&lt;&gt;"",$R107,IF(OR($N107&lt;&gt;"",$O107="Blocked"),"BLOCKED","OK"))))</f>
        <v/>
      </c>
    </row>
    <row r="108">
      <c r="A108" s="21">
        <f>Deployments!H105</f>
        <v/>
      </c>
      <c r="B108" s="21">
        <f>Deployments!X105</f>
        <v/>
      </c>
      <c r="C108" s="21">
        <f>Deployments!Y105</f>
        <v/>
      </c>
      <c r="D108" s="14">
        <f>Deployments!AO105</f>
        <v/>
      </c>
      <c r="E108" s="14">
        <f>Deployments!N105</f>
        <v/>
      </c>
      <c r="F108" s="21">
        <f>Deployments!O105</f>
        <v/>
      </c>
      <c r="G108" s="14">
        <f>Deployments!P105</f>
        <v/>
      </c>
      <c r="H108" s="14">
        <f>'13 - Config_Intake_View'!M108</f>
        <v/>
      </c>
      <c r="I108" s="21">
        <f>IF('13 - Config_Intake_View'!Q108&lt;&gt;"",'13 - Config_Intake_View'!Q108,Deployments!AG105)</f>
        <v/>
      </c>
      <c r="J108" s="14">
        <f>IF('13 - Config_Intake_View'!Q108&lt;&gt;"","PM Approved",IF(Deployments!AG105&lt;&gt;"","Assumed",""))</f>
        <v/>
      </c>
      <c r="K108" s="21">
        <f>Deployments!AF105</f>
        <v/>
      </c>
      <c r="L108" s="14">
        <f>Deployments!U105</f>
        <v/>
      </c>
      <c r="M108" s="14">
        <f>Deployments!L105</f>
        <v/>
      </c>
      <c r="N108" s="14">
        <f>Deployments!CC105</f>
        <v/>
      </c>
      <c r="O108" s="21">
        <f>Deployments!CD105</f>
        <v/>
      </c>
      <c r="P108" s="2">
        <f>Deployments!BX105</f>
        <v/>
      </c>
      <c r="Q108" s="21">
        <f>IF(OR($A108="",$B108="",$D108=""),"MISSING CORE FIELDS","")</f>
        <v/>
      </c>
      <c r="R108" s="14">
        <f>IF(AND($I108&lt;&gt;"",$K108&lt;&gt;"Yes"),"SW NOT INSTALLED","")</f>
        <v/>
      </c>
      <c r="S108" s="14">
        <f>IF(AND($H108&lt;&gt;"",ISNUMBER(SEARCH("auto",LOWER($H108))),$F108=""),"AUTOLOGON REQUIRED","")</f>
        <v/>
      </c>
      <c r="T108" s="14">
        <f>IF($Q108&lt;&gt;"",$Q108,IF($S108&lt;&gt;"",$S108,IF($R108&lt;&gt;"",$R108,IF(OR($N108&lt;&gt;"",$O108="Blocked"),"BLOCKED","OK"))))</f>
        <v/>
      </c>
    </row>
    <row r="109">
      <c r="A109" s="21">
        <f>Deployments!H106</f>
        <v/>
      </c>
      <c r="B109" s="21">
        <f>Deployments!X106</f>
        <v/>
      </c>
      <c r="C109" s="21">
        <f>Deployments!Y106</f>
        <v/>
      </c>
      <c r="D109" s="14">
        <f>Deployments!AO106</f>
        <v/>
      </c>
      <c r="E109" s="14">
        <f>Deployments!N106</f>
        <v/>
      </c>
      <c r="F109" s="21">
        <f>Deployments!O106</f>
        <v/>
      </c>
      <c r="G109" s="14">
        <f>Deployments!P106</f>
        <v/>
      </c>
      <c r="H109" s="14">
        <f>'13 - Config_Intake_View'!M109</f>
        <v/>
      </c>
      <c r="I109" s="21">
        <f>IF('13 - Config_Intake_View'!Q109&lt;&gt;"",'13 - Config_Intake_View'!Q109,Deployments!AG106)</f>
        <v/>
      </c>
      <c r="J109" s="14">
        <f>IF('13 - Config_Intake_View'!Q109&lt;&gt;"","PM Approved",IF(Deployments!AG106&lt;&gt;"","Assumed",""))</f>
        <v/>
      </c>
      <c r="K109" s="21">
        <f>Deployments!AF106</f>
        <v/>
      </c>
      <c r="L109" s="14">
        <f>Deployments!U106</f>
        <v/>
      </c>
      <c r="M109" s="14">
        <f>Deployments!L106</f>
        <v/>
      </c>
      <c r="N109" s="14">
        <f>Deployments!CC106</f>
        <v/>
      </c>
      <c r="O109" s="21">
        <f>Deployments!CD106</f>
        <v/>
      </c>
      <c r="P109" s="2">
        <f>Deployments!BX106</f>
        <v/>
      </c>
      <c r="Q109" s="21">
        <f>IF(OR($A109="",$B109="",$D109=""),"MISSING CORE FIELDS","")</f>
        <v/>
      </c>
      <c r="R109" s="14">
        <f>IF(AND($I109&lt;&gt;"",$K109&lt;&gt;"Yes"),"SW NOT INSTALLED","")</f>
        <v/>
      </c>
      <c r="S109" s="14">
        <f>IF(AND($H109&lt;&gt;"",ISNUMBER(SEARCH("auto",LOWER($H109))),$F109=""),"AUTOLOGON REQUIRED","")</f>
        <v/>
      </c>
      <c r="T109" s="14">
        <f>IF($Q109&lt;&gt;"",$Q109,IF($S109&lt;&gt;"",$S109,IF($R109&lt;&gt;"",$R109,IF(OR($N109&lt;&gt;"",$O109="Blocked"),"BLOCKED","OK"))))</f>
        <v/>
      </c>
    </row>
    <row r="110">
      <c r="A110" s="21">
        <f>Deployments!H107</f>
        <v/>
      </c>
      <c r="B110" s="21">
        <f>Deployments!X107</f>
        <v/>
      </c>
      <c r="C110" s="21">
        <f>Deployments!Y107</f>
        <v/>
      </c>
      <c r="D110" s="14">
        <f>Deployments!AO107</f>
        <v/>
      </c>
      <c r="E110" s="14">
        <f>Deployments!N107</f>
        <v/>
      </c>
      <c r="F110" s="21">
        <f>Deployments!O107</f>
        <v/>
      </c>
      <c r="G110" s="14">
        <f>Deployments!P107</f>
        <v/>
      </c>
      <c r="H110" s="14">
        <f>'13 - Config_Intake_View'!M110</f>
        <v/>
      </c>
      <c r="I110" s="21">
        <f>IF('13 - Config_Intake_View'!Q110&lt;&gt;"",'13 - Config_Intake_View'!Q110,Deployments!AG107)</f>
        <v/>
      </c>
      <c r="J110" s="14">
        <f>IF('13 - Config_Intake_View'!Q110&lt;&gt;"","PM Approved",IF(Deployments!AG107&lt;&gt;"","Assumed",""))</f>
        <v/>
      </c>
      <c r="K110" s="21">
        <f>Deployments!AF107</f>
        <v/>
      </c>
      <c r="L110" s="14">
        <f>Deployments!U107</f>
        <v/>
      </c>
      <c r="M110" s="14">
        <f>Deployments!L107</f>
        <v/>
      </c>
      <c r="N110" s="14">
        <f>Deployments!CC107</f>
        <v/>
      </c>
      <c r="O110" s="21">
        <f>Deployments!CD107</f>
        <v/>
      </c>
      <c r="P110" s="2">
        <f>Deployments!BX107</f>
        <v/>
      </c>
      <c r="Q110" s="21">
        <f>IF(OR($A110="",$B110="",$D110=""),"MISSING CORE FIELDS","")</f>
        <v/>
      </c>
      <c r="R110" s="14">
        <f>IF(AND($I110&lt;&gt;"",$K110&lt;&gt;"Yes"),"SW NOT INSTALLED","")</f>
        <v/>
      </c>
      <c r="S110" s="14">
        <f>IF(AND($H110&lt;&gt;"",ISNUMBER(SEARCH("auto",LOWER($H110))),$F110=""),"AUTOLOGON REQUIRED","")</f>
        <v/>
      </c>
      <c r="T110" s="14">
        <f>IF($Q110&lt;&gt;"",$Q110,IF($S110&lt;&gt;"",$S110,IF($R110&lt;&gt;"",$R110,IF(OR($N110&lt;&gt;"",$O110="Blocked"),"BLOCKED","OK"))))</f>
        <v/>
      </c>
    </row>
    <row r="111">
      <c r="A111" s="21">
        <f>Deployments!H108</f>
        <v/>
      </c>
      <c r="B111" s="21">
        <f>Deployments!X108</f>
        <v/>
      </c>
      <c r="C111" s="21">
        <f>Deployments!Y108</f>
        <v/>
      </c>
      <c r="D111" s="14">
        <f>Deployments!AO108</f>
        <v/>
      </c>
      <c r="E111" s="14">
        <f>Deployments!N108</f>
        <v/>
      </c>
      <c r="F111" s="21">
        <f>Deployments!O108</f>
        <v/>
      </c>
      <c r="G111" s="14">
        <f>Deployments!P108</f>
        <v/>
      </c>
      <c r="H111" s="14">
        <f>'13 - Config_Intake_View'!M111</f>
        <v/>
      </c>
      <c r="I111" s="21">
        <f>IF('13 - Config_Intake_View'!Q111&lt;&gt;"",'13 - Config_Intake_View'!Q111,Deployments!AG108)</f>
        <v/>
      </c>
      <c r="J111" s="14">
        <f>IF('13 - Config_Intake_View'!Q111&lt;&gt;"","PM Approved",IF(Deployments!AG108&lt;&gt;"","Assumed",""))</f>
        <v/>
      </c>
      <c r="K111" s="21">
        <f>Deployments!AF108</f>
        <v/>
      </c>
      <c r="L111" s="14">
        <f>Deployments!U108</f>
        <v/>
      </c>
      <c r="M111" s="14">
        <f>Deployments!L108</f>
        <v/>
      </c>
      <c r="N111" s="14">
        <f>Deployments!CC108</f>
        <v/>
      </c>
      <c r="O111" s="21">
        <f>Deployments!CD108</f>
        <v/>
      </c>
      <c r="P111" s="2">
        <f>Deployments!BX108</f>
        <v/>
      </c>
      <c r="Q111" s="21">
        <f>IF(OR($A111="",$B111="",$D111=""),"MISSING CORE FIELDS","")</f>
        <v/>
      </c>
      <c r="R111" s="14">
        <f>IF(AND($I111&lt;&gt;"",$K111&lt;&gt;"Yes"),"SW NOT INSTALLED","")</f>
        <v/>
      </c>
      <c r="S111" s="14">
        <f>IF(AND($H111&lt;&gt;"",ISNUMBER(SEARCH("auto",LOWER($H111))),$F111=""),"AUTOLOGON REQUIRED","")</f>
        <v/>
      </c>
      <c r="T111" s="14">
        <f>IF($Q111&lt;&gt;"",$Q111,IF($S111&lt;&gt;"",$S111,IF($R111&lt;&gt;"",$R111,IF(OR($N111&lt;&gt;"",$O111="Blocked"),"BLOCKED","OK"))))</f>
        <v/>
      </c>
    </row>
    <row r="112">
      <c r="A112" s="21">
        <f>Deployments!H109</f>
        <v/>
      </c>
      <c r="B112" s="21">
        <f>Deployments!X109</f>
        <v/>
      </c>
      <c r="C112" s="21">
        <f>Deployments!Y109</f>
        <v/>
      </c>
      <c r="D112" s="14">
        <f>Deployments!AO109</f>
        <v/>
      </c>
      <c r="E112" s="14">
        <f>Deployments!N109</f>
        <v/>
      </c>
      <c r="F112" s="21">
        <f>Deployments!O109</f>
        <v/>
      </c>
      <c r="G112" s="14">
        <f>Deployments!P109</f>
        <v/>
      </c>
      <c r="H112" s="14">
        <f>'13 - Config_Intake_View'!M112</f>
        <v/>
      </c>
      <c r="I112" s="21">
        <f>IF('13 - Config_Intake_View'!Q112&lt;&gt;"",'13 - Config_Intake_View'!Q112,Deployments!AG109)</f>
        <v/>
      </c>
      <c r="J112" s="14">
        <f>IF('13 - Config_Intake_View'!Q112&lt;&gt;"","PM Approved",IF(Deployments!AG109&lt;&gt;"","Assumed",""))</f>
        <v/>
      </c>
      <c r="K112" s="21">
        <f>Deployments!AF109</f>
        <v/>
      </c>
      <c r="L112" s="14">
        <f>Deployments!U109</f>
        <v/>
      </c>
      <c r="M112" s="14">
        <f>Deployments!L109</f>
        <v/>
      </c>
      <c r="N112" s="14">
        <f>Deployments!CC109</f>
        <v/>
      </c>
      <c r="O112" s="21">
        <f>Deployments!CD109</f>
        <v/>
      </c>
      <c r="P112" s="2">
        <f>Deployments!BX109</f>
        <v/>
      </c>
      <c r="Q112" s="21">
        <f>IF(OR($A112="",$B112="",$D112=""),"MISSING CORE FIELDS","")</f>
        <v/>
      </c>
      <c r="R112" s="14">
        <f>IF(AND($I112&lt;&gt;"",$K112&lt;&gt;"Yes"),"SW NOT INSTALLED","")</f>
        <v/>
      </c>
      <c r="S112" s="14">
        <f>IF(AND($H112&lt;&gt;"",ISNUMBER(SEARCH("auto",LOWER($H112))),$F112=""),"AUTOLOGON REQUIRED","")</f>
        <v/>
      </c>
      <c r="T112" s="14">
        <f>IF($Q112&lt;&gt;"",$Q112,IF($S112&lt;&gt;"",$S112,IF($R112&lt;&gt;"",$R112,IF(OR($N112&lt;&gt;"",$O112="Blocked"),"BLOCKED","OK"))))</f>
        <v/>
      </c>
    </row>
    <row r="113">
      <c r="A113" s="21">
        <f>Deployments!H110</f>
        <v/>
      </c>
      <c r="B113" s="21">
        <f>Deployments!X110</f>
        <v/>
      </c>
      <c r="C113" s="21">
        <f>Deployments!Y110</f>
        <v/>
      </c>
      <c r="D113" s="14">
        <f>Deployments!AO110</f>
        <v/>
      </c>
      <c r="E113" s="14">
        <f>Deployments!N110</f>
        <v/>
      </c>
      <c r="F113" s="21">
        <f>Deployments!O110</f>
        <v/>
      </c>
      <c r="G113" s="14">
        <f>Deployments!P110</f>
        <v/>
      </c>
      <c r="H113" s="14">
        <f>'13 - Config_Intake_View'!M113</f>
        <v/>
      </c>
      <c r="I113" s="21">
        <f>IF('13 - Config_Intake_View'!Q113&lt;&gt;"",'13 - Config_Intake_View'!Q113,Deployments!AG110)</f>
        <v/>
      </c>
      <c r="J113" s="14">
        <f>IF('13 - Config_Intake_View'!Q113&lt;&gt;"","PM Approved",IF(Deployments!AG110&lt;&gt;"","Assumed",""))</f>
        <v/>
      </c>
      <c r="K113" s="21">
        <f>Deployments!AF110</f>
        <v/>
      </c>
      <c r="L113" s="14">
        <f>Deployments!U110</f>
        <v/>
      </c>
      <c r="M113" s="14">
        <f>Deployments!L110</f>
        <v/>
      </c>
      <c r="N113" s="14">
        <f>Deployments!CC110</f>
        <v/>
      </c>
      <c r="O113" s="21">
        <f>Deployments!CD110</f>
        <v/>
      </c>
      <c r="P113" s="2">
        <f>Deployments!BX110</f>
        <v/>
      </c>
      <c r="Q113" s="21">
        <f>IF(OR($A113="",$B113="",$D113=""),"MISSING CORE FIELDS","")</f>
        <v/>
      </c>
      <c r="R113" s="14">
        <f>IF(AND($I113&lt;&gt;"",$K113&lt;&gt;"Yes"),"SW NOT INSTALLED","")</f>
        <v/>
      </c>
      <c r="S113" s="14">
        <f>IF(AND($H113&lt;&gt;"",ISNUMBER(SEARCH("auto",LOWER($H113))),$F113=""),"AUTOLOGON REQUIRED","")</f>
        <v/>
      </c>
      <c r="T113" s="14">
        <f>IF($Q113&lt;&gt;"",$Q113,IF($S113&lt;&gt;"",$S113,IF($R113&lt;&gt;"",$R113,IF(OR($N113&lt;&gt;"",$O113="Blocked"),"BLOCKED","OK"))))</f>
        <v/>
      </c>
    </row>
    <row r="114">
      <c r="A114" s="21">
        <f>Deployments!H111</f>
        <v/>
      </c>
      <c r="B114" s="21">
        <f>Deployments!X111</f>
        <v/>
      </c>
      <c r="C114" s="21">
        <f>Deployments!Y111</f>
        <v/>
      </c>
      <c r="D114" s="14">
        <f>Deployments!AO111</f>
        <v/>
      </c>
      <c r="E114" s="14">
        <f>Deployments!N111</f>
        <v/>
      </c>
      <c r="F114" s="21">
        <f>Deployments!O111</f>
        <v/>
      </c>
      <c r="G114" s="14">
        <f>Deployments!P111</f>
        <v/>
      </c>
      <c r="H114" s="14">
        <f>'13 - Config_Intake_View'!M114</f>
        <v/>
      </c>
      <c r="I114" s="21">
        <f>IF('13 - Config_Intake_View'!Q114&lt;&gt;"",'13 - Config_Intake_View'!Q114,Deployments!AG111)</f>
        <v/>
      </c>
      <c r="J114" s="14">
        <f>IF('13 - Config_Intake_View'!Q114&lt;&gt;"","PM Approved",IF(Deployments!AG111&lt;&gt;"","Assumed",""))</f>
        <v/>
      </c>
      <c r="K114" s="21">
        <f>Deployments!AF111</f>
        <v/>
      </c>
      <c r="L114" s="14">
        <f>Deployments!U111</f>
        <v/>
      </c>
      <c r="M114" s="14">
        <f>Deployments!L111</f>
        <v/>
      </c>
      <c r="N114" s="14">
        <f>Deployments!CC111</f>
        <v/>
      </c>
      <c r="O114" s="21">
        <f>Deployments!CD111</f>
        <v/>
      </c>
      <c r="P114" s="2">
        <f>Deployments!BX111</f>
        <v/>
      </c>
      <c r="Q114" s="21">
        <f>IF(OR($A114="",$B114="",$D114=""),"MISSING CORE FIELDS","")</f>
        <v/>
      </c>
      <c r="R114" s="14">
        <f>IF(AND($I114&lt;&gt;"",$K114&lt;&gt;"Yes"),"SW NOT INSTALLED","")</f>
        <v/>
      </c>
      <c r="S114" s="14">
        <f>IF(AND($H114&lt;&gt;"",ISNUMBER(SEARCH("auto",LOWER($H114))),$F114=""),"AUTOLOGON REQUIRED","")</f>
        <v/>
      </c>
      <c r="T114" s="14">
        <f>IF($Q114&lt;&gt;"",$Q114,IF($S114&lt;&gt;"",$S114,IF($R114&lt;&gt;"",$R114,IF(OR($N114&lt;&gt;"",$O114="Blocked"),"BLOCKED","OK"))))</f>
        <v/>
      </c>
    </row>
    <row r="115">
      <c r="A115" s="21">
        <f>Deployments!H112</f>
        <v/>
      </c>
      <c r="B115" s="21">
        <f>Deployments!X112</f>
        <v/>
      </c>
      <c r="C115" s="21">
        <f>Deployments!Y112</f>
        <v/>
      </c>
      <c r="D115" s="14">
        <f>Deployments!AO112</f>
        <v/>
      </c>
      <c r="E115" s="14">
        <f>Deployments!N112</f>
        <v/>
      </c>
      <c r="F115" s="21">
        <f>Deployments!O112</f>
        <v/>
      </c>
      <c r="G115" s="14">
        <f>Deployments!P112</f>
        <v/>
      </c>
      <c r="H115" s="14">
        <f>'13 - Config_Intake_View'!M115</f>
        <v/>
      </c>
      <c r="I115" s="21">
        <f>IF('13 - Config_Intake_View'!Q115&lt;&gt;"",'13 - Config_Intake_View'!Q115,Deployments!AG112)</f>
        <v/>
      </c>
      <c r="J115" s="14">
        <f>IF('13 - Config_Intake_View'!Q115&lt;&gt;"","PM Approved",IF(Deployments!AG112&lt;&gt;"","Assumed",""))</f>
        <v/>
      </c>
      <c r="K115" s="21">
        <f>Deployments!AF112</f>
        <v/>
      </c>
      <c r="L115" s="14">
        <f>Deployments!U112</f>
        <v/>
      </c>
      <c r="M115" s="14">
        <f>Deployments!L112</f>
        <v/>
      </c>
      <c r="N115" s="14">
        <f>Deployments!CC112</f>
        <v/>
      </c>
      <c r="O115" s="21">
        <f>Deployments!CD112</f>
        <v/>
      </c>
      <c r="P115" s="2">
        <f>Deployments!BX112</f>
        <v/>
      </c>
      <c r="Q115" s="21">
        <f>IF(OR($A115="",$B115="",$D115=""),"MISSING CORE FIELDS","")</f>
        <v/>
      </c>
      <c r="R115" s="14">
        <f>IF(AND($I115&lt;&gt;"",$K115&lt;&gt;"Yes"),"SW NOT INSTALLED","")</f>
        <v/>
      </c>
      <c r="S115" s="14">
        <f>IF(AND($H115&lt;&gt;"",ISNUMBER(SEARCH("auto",LOWER($H115))),$F115=""),"AUTOLOGON REQUIRED","")</f>
        <v/>
      </c>
      <c r="T115" s="14">
        <f>IF($Q115&lt;&gt;"",$Q115,IF($S115&lt;&gt;"",$S115,IF($R115&lt;&gt;"",$R115,IF(OR($N115&lt;&gt;"",$O115="Blocked"),"BLOCKED","OK"))))</f>
        <v/>
      </c>
    </row>
    <row r="116">
      <c r="A116" s="21">
        <f>Deployments!H113</f>
        <v/>
      </c>
      <c r="B116" s="21">
        <f>Deployments!X113</f>
        <v/>
      </c>
      <c r="C116" s="21">
        <f>Deployments!Y113</f>
        <v/>
      </c>
      <c r="D116" s="14">
        <f>Deployments!AO113</f>
        <v/>
      </c>
      <c r="E116" s="14">
        <f>Deployments!N113</f>
        <v/>
      </c>
      <c r="F116" s="21">
        <f>Deployments!O113</f>
        <v/>
      </c>
      <c r="G116" s="14">
        <f>Deployments!P113</f>
        <v/>
      </c>
      <c r="H116" s="14">
        <f>'13 - Config_Intake_View'!M116</f>
        <v/>
      </c>
      <c r="I116" s="21">
        <f>IF('13 - Config_Intake_View'!Q116&lt;&gt;"",'13 - Config_Intake_View'!Q116,Deployments!AG113)</f>
        <v/>
      </c>
      <c r="J116" s="14">
        <f>IF('13 - Config_Intake_View'!Q116&lt;&gt;"","PM Approved",IF(Deployments!AG113&lt;&gt;"","Assumed",""))</f>
        <v/>
      </c>
      <c r="K116" s="21">
        <f>Deployments!AF113</f>
        <v/>
      </c>
      <c r="L116" s="14">
        <f>Deployments!U113</f>
        <v/>
      </c>
      <c r="M116" s="14">
        <f>Deployments!L113</f>
        <v/>
      </c>
      <c r="N116" s="14">
        <f>Deployments!CC113</f>
        <v/>
      </c>
      <c r="O116" s="21">
        <f>Deployments!CD113</f>
        <v/>
      </c>
      <c r="P116" s="2">
        <f>Deployments!BX113</f>
        <v/>
      </c>
      <c r="Q116" s="21">
        <f>IF(OR($A116="",$B116="",$D116=""),"MISSING CORE FIELDS","")</f>
        <v/>
      </c>
      <c r="R116" s="14">
        <f>IF(AND($I116&lt;&gt;"",$K116&lt;&gt;"Yes"),"SW NOT INSTALLED","")</f>
        <v/>
      </c>
      <c r="S116" s="14">
        <f>IF(AND($H116&lt;&gt;"",ISNUMBER(SEARCH("auto",LOWER($H116))),$F116=""),"AUTOLOGON REQUIRED","")</f>
        <v/>
      </c>
      <c r="T116" s="14">
        <f>IF($Q116&lt;&gt;"",$Q116,IF($S116&lt;&gt;"",$S116,IF($R116&lt;&gt;"",$R116,IF(OR($N116&lt;&gt;"",$O116="Blocked"),"BLOCKED","OK"))))</f>
        <v/>
      </c>
    </row>
    <row r="117">
      <c r="A117" s="21">
        <f>Deployments!H114</f>
        <v/>
      </c>
      <c r="B117" s="21">
        <f>Deployments!X114</f>
        <v/>
      </c>
      <c r="C117" s="21">
        <f>Deployments!Y114</f>
        <v/>
      </c>
      <c r="D117" s="14">
        <f>Deployments!AO114</f>
        <v/>
      </c>
      <c r="E117" s="14">
        <f>Deployments!N114</f>
        <v/>
      </c>
      <c r="F117" s="21">
        <f>Deployments!O114</f>
        <v/>
      </c>
      <c r="G117" s="14">
        <f>Deployments!P114</f>
        <v/>
      </c>
      <c r="H117" s="14">
        <f>'13 - Config_Intake_View'!M117</f>
        <v/>
      </c>
      <c r="I117" s="21">
        <f>IF('13 - Config_Intake_View'!Q117&lt;&gt;"",'13 - Config_Intake_View'!Q117,Deployments!AG114)</f>
        <v/>
      </c>
      <c r="J117" s="14">
        <f>IF('13 - Config_Intake_View'!Q117&lt;&gt;"","PM Approved",IF(Deployments!AG114&lt;&gt;"","Assumed",""))</f>
        <v/>
      </c>
      <c r="K117" s="21">
        <f>Deployments!AF114</f>
        <v/>
      </c>
      <c r="L117" s="14">
        <f>Deployments!U114</f>
        <v/>
      </c>
      <c r="M117" s="14">
        <f>Deployments!L114</f>
        <v/>
      </c>
      <c r="N117" s="14">
        <f>Deployments!CC114</f>
        <v/>
      </c>
      <c r="O117" s="21">
        <f>Deployments!CD114</f>
        <v/>
      </c>
      <c r="P117" s="2">
        <f>Deployments!BX114</f>
        <v/>
      </c>
      <c r="Q117" s="21">
        <f>IF(OR($A117="",$B117="",$D117=""),"MISSING CORE FIELDS","")</f>
        <v/>
      </c>
      <c r="R117" s="14">
        <f>IF(AND($I117&lt;&gt;"",$K117&lt;&gt;"Yes"),"SW NOT INSTALLED","")</f>
        <v/>
      </c>
      <c r="S117" s="14">
        <f>IF(AND($H117&lt;&gt;"",ISNUMBER(SEARCH("auto",LOWER($H117))),$F117=""),"AUTOLOGON REQUIRED","")</f>
        <v/>
      </c>
      <c r="T117" s="14">
        <f>IF($Q117&lt;&gt;"",$Q117,IF($S117&lt;&gt;"",$S117,IF($R117&lt;&gt;"",$R117,IF(OR($N117&lt;&gt;"",$O117="Blocked"),"BLOCKED","OK"))))</f>
        <v/>
      </c>
    </row>
    <row r="118">
      <c r="A118" s="21">
        <f>Deployments!H115</f>
        <v/>
      </c>
      <c r="B118" s="21">
        <f>Deployments!X115</f>
        <v/>
      </c>
      <c r="C118" s="21">
        <f>Deployments!Y115</f>
        <v/>
      </c>
      <c r="D118" s="14">
        <f>Deployments!AO115</f>
        <v/>
      </c>
      <c r="E118" s="14">
        <f>Deployments!N115</f>
        <v/>
      </c>
      <c r="F118" s="21">
        <f>Deployments!O115</f>
        <v/>
      </c>
      <c r="G118" s="14">
        <f>Deployments!P115</f>
        <v/>
      </c>
      <c r="H118" s="14">
        <f>'13 - Config_Intake_View'!M118</f>
        <v/>
      </c>
      <c r="I118" s="21">
        <f>IF('13 - Config_Intake_View'!Q118&lt;&gt;"",'13 - Config_Intake_View'!Q118,Deployments!AG115)</f>
        <v/>
      </c>
      <c r="J118" s="14">
        <f>IF('13 - Config_Intake_View'!Q118&lt;&gt;"","PM Approved",IF(Deployments!AG115&lt;&gt;"","Assumed",""))</f>
        <v/>
      </c>
      <c r="K118" s="21">
        <f>Deployments!AF115</f>
        <v/>
      </c>
      <c r="L118" s="14">
        <f>Deployments!U115</f>
        <v/>
      </c>
      <c r="M118" s="14">
        <f>Deployments!L115</f>
        <v/>
      </c>
      <c r="N118" s="14">
        <f>Deployments!CC115</f>
        <v/>
      </c>
      <c r="O118" s="21">
        <f>Deployments!CD115</f>
        <v/>
      </c>
      <c r="P118" s="2">
        <f>Deployments!BX115</f>
        <v/>
      </c>
      <c r="Q118" s="21">
        <f>IF(OR($A118="",$B118="",$D118=""),"MISSING CORE FIELDS","")</f>
        <v/>
      </c>
      <c r="R118" s="14">
        <f>IF(AND($I118&lt;&gt;"",$K118&lt;&gt;"Yes"),"SW NOT INSTALLED","")</f>
        <v/>
      </c>
      <c r="S118" s="14">
        <f>IF(AND($H118&lt;&gt;"",ISNUMBER(SEARCH("auto",LOWER($H118))),$F118=""),"AUTOLOGON REQUIRED","")</f>
        <v/>
      </c>
      <c r="T118" s="14">
        <f>IF($Q118&lt;&gt;"",$Q118,IF($S118&lt;&gt;"",$S118,IF($R118&lt;&gt;"",$R118,IF(OR($N118&lt;&gt;"",$O118="Blocked"),"BLOCKED","OK"))))</f>
        <v/>
      </c>
    </row>
    <row r="119">
      <c r="A119" s="21">
        <f>Deployments!H116</f>
        <v/>
      </c>
      <c r="B119" s="21">
        <f>Deployments!X116</f>
        <v/>
      </c>
      <c r="C119" s="21">
        <f>Deployments!Y116</f>
        <v/>
      </c>
      <c r="D119" s="14">
        <f>Deployments!AO116</f>
        <v/>
      </c>
      <c r="E119" s="14">
        <f>Deployments!N116</f>
        <v/>
      </c>
      <c r="F119" s="21">
        <f>Deployments!O116</f>
        <v/>
      </c>
      <c r="G119" s="14">
        <f>Deployments!P116</f>
        <v/>
      </c>
      <c r="H119" s="14">
        <f>'13 - Config_Intake_View'!M119</f>
        <v/>
      </c>
      <c r="I119" s="21">
        <f>IF('13 - Config_Intake_View'!Q119&lt;&gt;"",'13 - Config_Intake_View'!Q119,Deployments!AG116)</f>
        <v/>
      </c>
      <c r="J119" s="14">
        <f>IF('13 - Config_Intake_View'!Q119&lt;&gt;"","PM Approved",IF(Deployments!AG116&lt;&gt;"","Assumed",""))</f>
        <v/>
      </c>
      <c r="K119" s="21">
        <f>Deployments!AF116</f>
        <v/>
      </c>
      <c r="L119" s="14">
        <f>Deployments!U116</f>
        <v/>
      </c>
      <c r="M119" s="14">
        <f>Deployments!L116</f>
        <v/>
      </c>
      <c r="N119" s="14">
        <f>Deployments!CC116</f>
        <v/>
      </c>
      <c r="O119" s="21">
        <f>Deployments!CD116</f>
        <v/>
      </c>
      <c r="P119" s="2">
        <f>Deployments!BX116</f>
        <v/>
      </c>
      <c r="Q119" s="21">
        <f>IF(OR($A119="",$B119="",$D119=""),"MISSING CORE FIELDS","")</f>
        <v/>
      </c>
      <c r="R119" s="14">
        <f>IF(AND($I119&lt;&gt;"",$K119&lt;&gt;"Yes"),"SW NOT INSTALLED","")</f>
        <v/>
      </c>
      <c r="S119" s="14">
        <f>IF(AND($H119&lt;&gt;"",ISNUMBER(SEARCH("auto",LOWER($H119))),$F119=""),"AUTOLOGON REQUIRED","")</f>
        <v/>
      </c>
      <c r="T119" s="14">
        <f>IF($Q119&lt;&gt;"",$Q119,IF($S119&lt;&gt;"",$S119,IF($R119&lt;&gt;"",$R119,IF(OR($N119&lt;&gt;"",$O119="Blocked"),"BLOCKED","OK"))))</f>
        <v/>
      </c>
    </row>
    <row r="120">
      <c r="A120" s="21">
        <f>Deployments!H117</f>
        <v/>
      </c>
      <c r="B120" s="21">
        <f>Deployments!X117</f>
        <v/>
      </c>
      <c r="C120" s="21">
        <f>Deployments!Y117</f>
        <v/>
      </c>
      <c r="D120" s="14">
        <f>Deployments!AO117</f>
        <v/>
      </c>
      <c r="E120" s="14">
        <f>Deployments!N117</f>
        <v/>
      </c>
      <c r="F120" s="21">
        <f>Deployments!O117</f>
        <v/>
      </c>
      <c r="G120" s="14">
        <f>Deployments!P117</f>
        <v/>
      </c>
      <c r="H120" s="14">
        <f>'13 - Config_Intake_View'!M120</f>
        <v/>
      </c>
      <c r="I120" s="21">
        <f>IF('13 - Config_Intake_View'!Q120&lt;&gt;"",'13 - Config_Intake_View'!Q120,Deployments!AG117)</f>
        <v/>
      </c>
      <c r="J120" s="14">
        <f>IF('13 - Config_Intake_View'!Q120&lt;&gt;"","PM Approved",IF(Deployments!AG117&lt;&gt;"","Assumed",""))</f>
        <v/>
      </c>
      <c r="K120" s="21">
        <f>Deployments!AF117</f>
        <v/>
      </c>
      <c r="L120" s="14">
        <f>Deployments!U117</f>
        <v/>
      </c>
      <c r="M120" s="14">
        <f>Deployments!L117</f>
        <v/>
      </c>
      <c r="N120" s="14">
        <f>Deployments!CC117</f>
        <v/>
      </c>
      <c r="O120" s="21">
        <f>Deployments!CD117</f>
        <v/>
      </c>
      <c r="P120" s="2">
        <f>Deployments!BX117</f>
        <v/>
      </c>
      <c r="Q120" s="21">
        <f>IF(OR($A120="",$B120="",$D120=""),"MISSING CORE FIELDS","")</f>
        <v/>
      </c>
      <c r="R120" s="14">
        <f>IF(AND($I120&lt;&gt;"",$K120&lt;&gt;"Yes"),"SW NOT INSTALLED","")</f>
        <v/>
      </c>
      <c r="S120" s="14">
        <f>IF(AND($H120&lt;&gt;"",ISNUMBER(SEARCH("auto",LOWER($H120))),$F120=""),"AUTOLOGON REQUIRED","")</f>
        <v/>
      </c>
      <c r="T120" s="14">
        <f>IF($Q120&lt;&gt;"",$Q120,IF($S120&lt;&gt;"",$S120,IF($R120&lt;&gt;"",$R120,IF(OR($N120&lt;&gt;"",$O120="Blocked"),"BLOCKED","OK"))))</f>
        <v/>
      </c>
    </row>
    <row r="121">
      <c r="A121" s="21">
        <f>Deployments!H118</f>
        <v/>
      </c>
      <c r="B121" s="21">
        <f>Deployments!X118</f>
        <v/>
      </c>
      <c r="C121" s="21">
        <f>Deployments!Y118</f>
        <v/>
      </c>
      <c r="D121" s="14">
        <f>Deployments!AO118</f>
        <v/>
      </c>
      <c r="E121" s="14">
        <f>Deployments!N118</f>
        <v/>
      </c>
      <c r="F121" s="21">
        <f>Deployments!O118</f>
        <v/>
      </c>
      <c r="G121" s="14">
        <f>Deployments!P118</f>
        <v/>
      </c>
      <c r="H121" s="14">
        <f>'13 - Config_Intake_View'!M121</f>
        <v/>
      </c>
      <c r="I121" s="21">
        <f>IF('13 - Config_Intake_View'!Q121&lt;&gt;"",'13 - Config_Intake_View'!Q121,Deployments!AG118)</f>
        <v/>
      </c>
      <c r="J121" s="14">
        <f>IF('13 - Config_Intake_View'!Q121&lt;&gt;"","PM Approved",IF(Deployments!AG118&lt;&gt;"","Assumed",""))</f>
        <v/>
      </c>
      <c r="K121" s="21">
        <f>Deployments!AF118</f>
        <v/>
      </c>
      <c r="L121" s="14">
        <f>Deployments!U118</f>
        <v/>
      </c>
      <c r="M121" s="14">
        <f>Deployments!L118</f>
        <v/>
      </c>
      <c r="N121" s="14">
        <f>Deployments!CC118</f>
        <v/>
      </c>
      <c r="O121" s="21">
        <f>Deployments!CD118</f>
        <v/>
      </c>
      <c r="P121" s="2">
        <f>Deployments!BX118</f>
        <v/>
      </c>
      <c r="Q121" s="21">
        <f>IF(OR($A121="",$B121="",$D121=""),"MISSING CORE FIELDS","")</f>
        <v/>
      </c>
      <c r="R121" s="14">
        <f>IF(AND($I121&lt;&gt;"",$K121&lt;&gt;"Yes"),"SW NOT INSTALLED","")</f>
        <v/>
      </c>
      <c r="S121" s="14">
        <f>IF(AND($H121&lt;&gt;"",ISNUMBER(SEARCH("auto",LOWER($H121))),$F121=""),"AUTOLOGON REQUIRED","")</f>
        <v/>
      </c>
      <c r="T121" s="14">
        <f>IF($Q121&lt;&gt;"",$Q121,IF($S121&lt;&gt;"",$S121,IF($R121&lt;&gt;"",$R121,IF(OR($N121&lt;&gt;"",$O121="Blocked"),"BLOCKED","OK"))))</f>
        <v/>
      </c>
    </row>
    <row r="122">
      <c r="A122" s="21">
        <f>Deployments!H119</f>
        <v/>
      </c>
      <c r="B122" s="21">
        <f>Deployments!X119</f>
        <v/>
      </c>
      <c r="C122" s="21">
        <f>Deployments!Y119</f>
        <v/>
      </c>
      <c r="D122" s="14">
        <f>Deployments!AO119</f>
        <v/>
      </c>
      <c r="E122" s="14">
        <f>Deployments!N119</f>
        <v/>
      </c>
      <c r="F122" s="21">
        <f>Deployments!O119</f>
        <v/>
      </c>
      <c r="G122" s="14">
        <f>Deployments!P119</f>
        <v/>
      </c>
      <c r="H122" s="14">
        <f>'13 - Config_Intake_View'!M122</f>
        <v/>
      </c>
      <c r="I122" s="21">
        <f>IF('13 - Config_Intake_View'!Q122&lt;&gt;"",'13 - Config_Intake_View'!Q122,Deployments!AG119)</f>
        <v/>
      </c>
      <c r="J122" s="14">
        <f>IF('13 - Config_Intake_View'!Q122&lt;&gt;"","PM Approved",IF(Deployments!AG119&lt;&gt;"","Assumed",""))</f>
        <v/>
      </c>
      <c r="K122" s="21">
        <f>Deployments!AF119</f>
        <v/>
      </c>
      <c r="L122" s="14">
        <f>Deployments!U119</f>
        <v/>
      </c>
      <c r="M122" s="14">
        <f>Deployments!L119</f>
        <v/>
      </c>
      <c r="N122" s="14">
        <f>Deployments!CC119</f>
        <v/>
      </c>
      <c r="O122" s="21">
        <f>Deployments!CD119</f>
        <v/>
      </c>
      <c r="P122" s="2">
        <f>Deployments!BX119</f>
        <v/>
      </c>
      <c r="Q122" s="21">
        <f>IF(OR($A122="",$B122="",$D122=""),"MISSING CORE FIELDS","")</f>
        <v/>
      </c>
      <c r="R122" s="14">
        <f>IF(AND($I122&lt;&gt;"",$K122&lt;&gt;"Yes"),"SW NOT INSTALLED","")</f>
        <v/>
      </c>
      <c r="S122" s="14">
        <f>IF(AND($H122&lt;&gt;"",ISNUMBER(SEARCH("auto",LOWER($H122))),$F122=""),"AUTOLOGON REQUIRED","")</f>
        <v/>
      </c>
      <c r="T122" s="14">
        <f>IF($Q122&lt;&gt;"",$Q122,IF($S122&lt;&gt;"",$S122,IF($R122&lt;&gt;"",$R122,IF(OR($N122&lt;&gt;"",$O122="Blocked"),"BLOCKED","OK"))))</f>
        <v/>
      </c>
    </row>
    <row r="123">
      <c r="A123" s="21">
        <f>Deployments!H120</f>
        <v/>
      </c>
      <c r="B123" s="21">
        <f>Deployments!X120</f>
        <v/>
      </c>
      <c r="C123" s="21">
        <f>Deployments!Y120</f>
        <v/>
      </c>
      <c r="D123" s="14">
        <f>Deployments!AO120</f>
        <v/>
      </c>
      <c r="E123" s="14">
        <f>Deployments!N120</f>
        <v/>
      </c>
      <c r="F123" s="21">
        <f>Deployments!O120</f>
        <v/>
      </c>
      <c r="G123" s="14">
        <f>Deployments!P120</f>
        <v/>
      </c>
      <c r="H123" s="14">
        <f>'13 - Config_Intake_View'!M123</f>
        <v/>
      </c>
      <c r="I123" s="21">
        <f>IF('13 - Config_Intake_View'!Q123&lt;&gt;"",'13 - Config_Intake_View'!Q123,Deployments!AG120)</f>
        <v/>
      </c>
      <c r="J123" s="14">
        <f>IF('13 - Config_Intake_View'!Q123&lt;&gt;"","PM Approved",IF(Deployments!AG120&lt;&gt;"","Assumed",""))</f>
        <v/>
      </c>
      <c r="K123" s="21">
        <f>Deployments!AF120</f>
        <v/>
      </c>
      <c r="L123" s="14">
        <f>Deployments!U120</f>
        <v/>
      </c>
      <c r="M123" s="14">
        <f>Deployments!L120</f>
        <v/>
      </c>
      <c r="N123" s="14">
        <f>Deployments!CC120</f>
        <v/>
      </c>
      <c r="O123" s="21">
        <f>Deployments!CD120</f>
        <v/>
      </c>
      <c r="P123" s="2">
        <f>Deployments!BX120</f>
        <v/>
      </c>
      <c r="Q123" s="21">
        <f>IF(OR($A123="",$B123="",$D123=""),"MISSING CORE FIELDS","")</f>
        <v/>
      </c>
      <c r="R123" s="14">
        <f>IF(AND($I123&lt;&gt;"",$K123&lt;&gt;"Yes"),"SW NOT INSTALLED","")</f>
        <v/>
      </c>
      <c r="S123" s="14">
        <f>IF(AND($H123&lt;&gt;"",ISNUMBER(SEARCH("auto",LOWER($H123))),$F123=""),"AUTOLOGON REQUIRED","")</f>
        <v/>
      </c>
      <c r="T123" s="14">
        <f>IF($Q123&lt;&gt;"",$Q123,IF($S123&lt;&gt;"",$S123,IF($R123&lt;&gt;"",$R123,IF(OR($N123&lt;&gt;"",$O123="Blocked"),"BLOCKED","OK"))))</f>
        <v/>
      </c>
    </row>
    <row r="124">
      <c r="A124" s="21">
        <f>Deployments!H121</f>
        <v/>
      </c>
      <c r="B124" s="21">
        <f>Deployments!X121</f>
        <v/>
      </c>
      <c r="C124" s="21">
        <f>Deployments!Y121</f>
        <v/>
      </c>
      <c r="D124" s="14">
        <f>Deployments!AO121</f>
        <v/>
      </c>
      <c r="E124" s="14">
        <f>Deployments!N121</f>
        <v/>
      </c>
      <c r="F124" s="21">
        <f>Deployments!O121</f>
        <v/>
      </c>
      <c r="G124" s="14">
        <f>Deployments!P121</f>
        <v/>
      </c>
      <c r="H124" s="14">
        <f>'13 - Config_Intake_View'!M124</f>
        <v/>
      </c>
      <c r="I124" s="21">
        <f>IF('13 - Config_Intake_View'!Q124&lt;&gt;"",'13 - Config_Intake_View'!Q124,Deployments!AG121)</f>
        <v/>
      </c>
      <c r="J124" s="14">
        <f>IF('13 - Config_Intake_View'!Q124&lt;&gt;"","PM Approved",IF(Deployments!AG121&lt;&gt;"","Assumed",""))</f>
        <v/>
      </c>
      <c r="K124" s="21">
        <f>Deployments!AF121</f>
        <v/>
      </c>
      <c r="L124" s="14">
        <f>Deployments!U121</f>
        <v/>
      </c>
      <c r="M124" s="14">
        <f>Deployments!L121</f>
        <v/>
      </c>
      <c r="N124" s="14">
        <f>Deployments!CC121</f>
        <v/>
      </c>
      <c r="O124" s="21">
        <f>Deployments!CD121</f>
        <v/>
      </c>
      <c r="P124" s="2">
        <f>Deployments!BX121</f>
        <v/>
      </c>
      <c r="Q124" s="21">
        <f>IF(OR($A124="",$B124="",$D124=""),"MISSING CORE FIELDS","")</f>
        <v/>
      </c>
      <c r="R124" s="14">
        <f>IF(AND($I124&lt;&gt;"",$K124&lt;&gt;"Yes"),"SW NOT INSTALLED","")</f>
        <v/>
      </c>
      <c r="S124" s="14">
        <f>IF(AND($H124&lt;&gt;"",ISNUMBER(SEARCH("auto",LOWER($H124))),$F124=""),"AUTOLOGON REQUIRED","")</f>
        <v/>
      </c>
      <c r="T124" s="14">
        <f>IF($Q124&lt;&gt;"",$Q124,IF($S124&lt;&gt;"",$S124,IF($R124&lt;&gt;"",$R124,IF(OR($N124&lt;&gt;"",$O124="Blocked"),"BLOCKED","OK"))))</f>
        <v/>
      </c>
    </row>
    <row r="125">
      <c r="A125" s="21">
        <f>Deployments!H122</f>
        <v/>
      </c>
      <c r="B125" s="21">
        <f>Deployments!X122</f>
        <v/>
      </c>
      <c r="C125" s="21">
        <f>Deployments!Y122</f>
        <v/>
      </c>
      <c r="D125" s="14">
        <f>Deployments!AO122</f>
        <v/>
      </c>
      <c r="E125" s="14">
        <f>Deployments!N122</f>
        <v/>
      </c>
      <c r="F125" s="21">
        <f>Deployments!O122</f>
        <v/>
      </c>
      <c r="G125" s="14">
        <f>Deployments!P122</f>
        <v/>
      </c>
      <c r="H125" s="14">
        <f>'13 - Config_Intake_View'!M125</f>
        <v/>
      </c>
      <c r="I125" s="21">
        <f>IF('13 - Config_Intake_View'!Q125&lt;&gt;"",'13 - Config_Intake_View'!Q125,Deployments!AG122)</f>
        <v/>
      </c>
      <c r="J125" s="14">
        <f>IF('13 - Config_Intake_View'!Q125&lt;&gt;"","PM Approved",IF(Deployments!AG122&lt;&gt;"","Assumed",""))</f>
        <v/>
      </c>
      <c r="K125" s="21">
        <f>Deployments!AF122</f>
        <v/>
      </c>
      <c r="L125" s="14">
        <f>Deployments!U122</f>
        <v/>
      </c>
      <c r="M125" s="14">
        <f>Deployments!L122</f>
        <v/>
      </c>
      <c r="N125" s="14">
        <f>Deployments!CC122</f>
        <v/>
      </c>
      <c r="O125" s="21">
        <f>Deployments!CD122</f>
        <v/>
      </c>
      <c r="P125" s="2">
        <f>Deployments!BX122</f>
        <v/>
      </c>
      <c r="Q125" s="21">
        <f>IF(OR($A125="",$B125="",$D125=""),"MISSING CORE FIELDS","")</f>
        <v/>
      </c>
      <c r="R125" s="14">
        <f>IF(AND($I125&lt;&gt;"",$K125&lt;&gt;"Yes"),"SW NOT INSTALLED","")</f>
        <v/>
      </c>
      <c r="S125" s="14">
        <f>IF(AND($H125&lt;&gt;"",ISNUMBER(SEARCH("auto",LOWER($H125))),$F125=""),"AUTOLOGON REQUIRED","")</f>
        <v/>
      </c>
      <c r="T125" s="14">
        <f>IF($Q125&lt;&gt;"",$Q125,IF($S125&lt;&gt;"",$S125,IF($R125&lt;&gt;"",$R125,IF(OR($N125&lt;&gt;"",$O125="Blocked"),"BLOCKED","OK"))))</f>
        <v/>
      </c>
    </row>
    <row r="126">
      <c r="A126" s="21">
        <f>Deployments!H123</f>
        <v/>
      </c>
      <c r="B126" s="21">
        <f>Deployments!X123</f>
        <v/>
      </c>
      <c r="C126" s="21">
        <f>Deployments!Y123</f>
        <v/>
      </c>
      <c r="D126" s="14">
        <f>Deployments!AO123</f>
        <v/>
      </c>
      <c r="E126" s="14">
        <f>Deployments!N123</f>
        <v/>
      </c>
      <c r="F126" s="21">
        <f>Deployments!O123</f>
        <v/>
      </c>
      <c r="G126" s="14">
        <f>Deployments!P123</f>
        <v/>
      </c>
      <c r="H126" s="14">
        <f>'13 - Config_Intake_View'!M126</f>
        <v/>
      </c>
      <c r="I126" s="21">
        <f>IF('13 - Config_Intake_View'!Q126&lt;&gt;"",'13 - Config_Intake_View'!Q126,Deployments!AG123)</f>
        <v/>
      </c>
      <c r="J126" s="14">
        <f>IF('13 - Config_Intake_View'!Q126&lt;&gt;"","PM Approved",IF(Deployments!AG123&lt;&gt;"","Assumed",""))</f>
        <v/>
      </c>
      <c r="K126" s="21">
        <f>Deployments!AF123</f>
        <v/>
      </c>
      <c r="L126" s="14">
        <f>Deployments!U123</f>
        <v/>
      </c>
      <c r="M126" s="14">
        <f>Deployments!L123</f>
        <v/>
      </c>
      <c r="N126" s="14">
        <f>Deployments!CC123</f>
        <v/>
      </c>
      <c r="O126" s="21">
        <f>Deployments!CD123</f>
        <v/>
      </c>
      <c r="P126" s="2">
        <f>Deployments!BX123</f>
        <v/>
      </c>
      <c r="Q126" s="21">
        <f>IF(OR($A126="",$B126="",$D126=""),"MISSING CORE FIELDS","")</f>
        <v/>
      </c>
      <c r="R126" s="14">
        <f>IF(AND($I126&lt;&gt;"",$K126&lt;&gt;"Yes"),"SW NOT INSTALLED","")</f>
        <v/>
      </c>
      <c r="S126" s="14">
        <f>IF(AND($H126&lt;&gt;"",ISNUMBER(SEARCH("auto",LOWER($H126))),$F126=""),"AUTOLOGON REQUIRED","")</f>
        <v/>
      </c>
      <c r="T126" s="14">
        <f>IF($Q126&lt;&gt;"",$Q126,IF($S126&lt;&gt;"",$S126,IF($R126&lt;&gt;"",$R126,IF(OR($N126&lt;&gt;"",$O126="Blocked"),"BLOCKED","OK"))))</f>
        <v/>
      </c>
    </row>
    <row r="127">
      <c r="A127" s="21">
        <f>Deployments!H124</f>
        <v/>
      </c>
      <c r="B127" s="21">
        <f>Deployments!X124</f>
        <v/>
      </c>
      <c r="C127" s="21">
        <f>Deployments!Y124</f>
        <v/>
      </c>
      <c r="D127" s="14">
        <f>Deployments!AO124</f>
        <v/>
      </c>
      <c r="E127" s="14">
        <f>Deployments!N124</f>
        <v/>
      </c>
      <c r="F127" s="21">
        <f>Deployments!O124</f>
        <v/>
      </c>
      <c r="G127" s="14">
        <f>Deployments!P124</f>
        <v/>
      </c>
      <c r="H127" s="14">
        <f>'13 - Config_Intake_View'!M127</f>
        <v/>
      </c>
      <c r="I127" s="21">
        <f>IF('13 - Config_Intake_View'!Q127&lt;&gt;"",'13 - Config_Intake_View'!Q127,Deployments!AG124)</f>
        <v/>
      </c>
      <c r="J127" s="14">
        <f>IF('13 - Config_Intake_View'!Q127&lt;&gt;"","PM Approved",IF(Deployments!AG124&lt;&gt;"","Assumed",""))</f>
        <v/>
      </c>
      <c r="K127" s="21">
        <f>Deployments!AF124</f>
        <v/>
      </c>
      <c r="L127" s="14">
        <f>Deployments!U124</f>
        <v/>
      </c>
      <c r="M127" s="14">
        <f>Deployments!L124</f>
        <v/>
      </c>
      <c r="N127" s="14">
        <f>Deployments!CC124</f>
        <v/>
      </c>
      <c r="O127" s="21">
        <f>Deployments!CD124</f>
        <v/>
      </c>
      <c r="P127" s="2">
        <f>Deployments!BX124</f>
        <v/>
      </c>
      <c r="Q127" s="21">
        <f>IF(OR($A127="",$B127="",$D127=""),"MISSING CORE FIELDS","")</f>
        <v/>
      </c>
      <c r="R127" s="14">
        <f>IF(AND($I127&lt;&gt;"",$K127&lt;&gt;"Yes"),"SW NOT INSTALLED","")</f>
        <v/>
      </c>
      <c r="S127" s="14">
        <f>IF(AND($H127&lt;&gt;"",ISNUMBER(SEARCH("auto",LOWER($H127))),$F127=""),"AUTOLOGON REQUIRED","")</f>
        <v/>
      </c>
      <c r="T127" s="14">
        <f>IF($Q127&lt;&gt;"",$Q127,IF($S127&lt;&gt;"",$S127,IF($R127&lt;&gt;"",$R127,IF(OR($N127&lt;&gt;"",$O127="Blocked"),"BLOCKED","OK"))))</f>
        <v/>
      </c>
    </row>
    <row r="128">
      <c r="A128" s="21">
        <f>Deployments!H125</f>
        <v/>
      </c>
      <c r="B128" s="21">
        <f>Deployments!X125</f>
        <v/>
      </c>
      <c r="C128" s="21">
        <f>Deployments!Y125</f>
        <v/>
      </c>
      <c r="D128" s="14">
        <f>Deployments!AO125</f>
        <v/>
      </c>
      <c r="E128" s="14">
        <f>Deployments!N125</f>
        <v/>
      </c>
      <c r="F128" s="21">
        <f>Deployments!O125</f>
        <v/>
      </c>
      <c r="G128" s="14">
        <f>Deployments!P125</f>
        <v/>
      </c>
      <c r="H128" s="14">
        <f>'13 - Config_Intake_View'!M128</f>
        <v/>
      </c>
      <c r="I128" s="21">
        <f>IF('13 - Config_Intake_View'!Q128&lt;&gt;"",'13 - Config_Intake_View'!Q128,Deployments!AG125)</f>
        <v/>
      </c>
      <c r="J128" s="14">
        <f>IF('13 - Config_Intake_View'!Q128&lt;&gt;"","PM Approved",IF(Deployments!AG125&lt;&gt;"","Assumed",""))</f>
        <v/>
      </c>
      <c r="K128" s="21">
        <f>Deployments!AF125</f>
        <v/>
      </c>
      <c r="L128" s="14">
        <f>Deployments!U125</f>
        <v/>
      </c>
      <c r="M128" s="14">
        <f>Deployments!L125</f>
        <v/>
      </c>
      <c r="N128" s="14">
        <f>Deployments!CC125</f>
        <v/>
      </c>
      <c r="O128" s="21">
        <f>Deployments!CD125</f>
        <v/>
      </c>
      <c r="P128" s="2">
        <f>Deployments!BX125</f>
        <v/>
      </c>
      <c r="Q128" s="21">
        <f>IF(OR($A128="",$B128="",$D128=""),"MISSING CORE FIELDS","")</f>
        <v/>
      </c>
      <c r="R128" s="14">
        <f>IF(AND($I128&lt;&gt;"",$K128&lt;&gt;"Yes"),"SW NOT INSTALLED","")</f>
        <v/>
      </c>
      <c r="S128" s="14">
        <f>IF(AND($H128&lt;&gt;"",ISNUMBER(SEARCH("auto",LOWER($H128))),$F128=""),"AUTOLOGON REQUIRED","")</f>
        <v/>
      </c>
      <c r="T128" s="14">
        <f>IF($Q128&lt;&gt;"",$Q128,IF($S128&lt;&gt;"",$S128,IF($R128&lt;&gt;"",$R128,IF(OR($N128&lt;&gt;"",$O128="Blocked"),"BLOCKED","OK"))))</f>
        <v/>
      </c>
    </row>
    <row r="129">
      <c r="A129" s="21">
        <f>Deployments!H126</f>
        <v/>
      </c>
      <c r="B129" s="21">
        <f>Deployments!X126</f>
        <v/>
      </c>
      <c r="C129" s="21">
        <f>Deployments!Y126</f>
        <v/>
      </c>
      <c r="D129" s="14">
        <f>Deployments!AO126</f>
        <v/>
      </c>
      <c r="E129" s="14">
        <f>Deployments!N126</f>
        <v/>
      </c>
      <c r="F129" s="21">
        <f>Deployments!O126</f>
        <v/>
      </c>
      <c r="G129" s="14">
        <f>Deployments!P126</f>
        <v/>
      </c>
      <c r="H129" s="14">
        <f>'13 - Config_Intake_View'!M129</f>
        <v/>
      </c>
      <c r="I129" s="21">
        <f>IF('13 - Config_Intake_View'!Q129&lt;&gt;"",'13 - Config_Intake_View'!Q129,Deployments!AG126)</f>
        <v/>
      </c>
      <c r="J129" s="14">
        <f>IF('13 - Config_Intake_View'!Q129&lt;&gt;"","PM Approved",IF(Deployments!AG126&lt;&gt;"","Assumed",""))</f>
        <v/>
      </c>
      <c r="K129" s="21">
        <f>Deployments!AF126</f>
        <v/>
      </c>
      <c r="L129" s="14">
        <f>Deployments!U126</f>
        <v/>
      </c>
      <c r="M129" s="14">
        <f>Deployments!L126</f>
        <v/>
      </c>
      <c r="N129" s="14">
        <f>Deployments!CC126</f>
        <v/>
      </c>
      <c r="O129" s="21">
        <f>Deployments!CD126</f>
        <v/>
      </c>
      <c r="P129" s="2">
        <f>Deployments!BX126</f>
        <v/>
      </c>
      <c r="Q129" s="21">
        <f>IF(OR($A129="",$B129="",$D129=""),"MISSING CORE FIELDS","")</f>
        <v/>
      </c>
      <c r="R129" s="14">
        <f>IF(AND($I129&lt;&gt;"",$K129&lt;&gt;"Yes"),"SW NOT INSTALLED","")</f>
        <v/>
      </c>
      <c r="S129" s="14">
        <f>IF(AND($H129&lt;&gt;"",ISNUMBER(SEARCH("auto",LOWER($H129))),$F129=""),"AUTOLOGON REQUIRED","")</f>
        <v/>
      </c>
      <c r="T129" s="14">
        <f>IF($Q129&lt;&gt;"",$Q129,IF($S129&lt;&gt;"",$S129,IF($R129&lt;&gt;"",$R129,IF(OR($N129&lt;&gt;"",$O129="Blocked"),"BLOCKED","OK"))))</f>
        <v/>
      </c>
    </row>
    <row r="130">
      <c r="A130" s="21">
        <f>Deployments!H127</f>
        <v/>
      </c>
      <c r="B130" s="21">
        <f>Deployments!X127</f>
        <v/>
      </c>
      <c r="C130" s="21">
        <f>Deployments!Y127</f>
        <v/>
      </c>
      <c r="D130" s="14">
        <f>Deployments!AO127</f>
        <v/>
      </c>
      <c r="E130" s="14">
        <f>Deployments!N127</f>
        <v/>
      </c>
      <c r="F130" s="21">
        <f>Deployments!O127</f>
        <v/>
      </c>
      <c r="G130" s="14">
        <f>Deployments!P127</f>
        <v/>
      </c>
      <c r="H130" s="14">
        <f>'13 - Config_Intake_View'!M130</f>
        <v/>
      </c>
      <c r="I130" s="21">
        <f>IF('13 - Config_Intake_View'!Q130&lt;&gt;"",'13 - Config_Intake_View'!Q130,Deployments!AG127)</f>
        <v/>
      </c>
      <c r="J130" s="14">
        <f>IF('13 - Config_Intake_View'!Q130&lt;&gt;"","PM Approved",IF(Deployments!AG127&lt;&gt;"","Assumed",""))</f>
        <v/>
      </c>
      <c r="K130" s="21">
        <f>Deployments!AF127</f>
        <v/>
      </c>
      <c r="L130" s="14">
        <f>Deployments!U127</f>
        <v/>
      </c>
      <c r="M130" s="14">
        <f>Deployments!L127</f>
        <v/>
      </c>
      <c r="N130" s="14">
        <f>Deployments!CC127</f>
        <v/>
      </c>
      <c r="O130" s="21">
        <f>Deployments!CD127</f>
        <v/>
      </c>
      <c r="P130" s="2">
        <f>Deployments!BX127</f>
        <v/>
      </c>
      <c r="Q130" s="21">
        <f>IF(OR($A130="",$B130="",$D130=""),"MISSING CORE FIELDS","")</f>
        <v/>
      </c>
      <c r="R130" s="14">
        <f>IF(AND($I130&lt;&gt;"",$K130&lt;&gt;"Yes"),"SW NOT INSTALLED","")</f>
        <v/>
      </c>
      <c r="S130" s="14">
        <f>IF(AND($H130&lt;&gt;"",ISNUMBER(SEARCH("auto",LOWER($H130))),$F130=""),"AUTOLOGON REQUIRED","")</f>
        <v/>
      </c>
      <c r="T130" s="14">
        <f>IF($Q130&lt;&gt;"",$Q130,IF($S130&lt;&gt;"",$S130,IF($R130&lt;&gt;"",$R130,IF(OR($N130&lt;&gt;"",$O130="Blocked"),"BLOCKED","OK"))))</f>
        <v/>
      </c>
    </row>
    <row r="131">
      <c r="A131" s="21">
        <f>Deployments!#REF!</f>
        <v/>
      </c>
      <c r="B131" s="21">
        <f>Deployments!#REF!</f>
        <v/>
      </c>
      <c r="C131" s="21">
        <f>Deployments!#REF!</f>
        <v/>
      </c>
      <c r="D131" s="14">
        <f>Deployments!#REF!</f>
        <v/>
      </c>
      <c r="E131" s="14">
        <f>Deployments!#REF!</f>
        <v/>
      </c>
      <c r="F131" s="21">
        <f>Deployments!#REF!</f>
        <v/>
      </c>
      <c r="G131" s="14">
        <f>Deployments!#REF!</f>
        <v/>
      </c>
      <c r="H131" s="14">
        <f>'13 - Config_Intake_View'!M131</f>
        <v/>
      </c>
      <c r="I131" s="21">
        <f>IF('13 - Config_Intake_View'!Q131&lt;&gt;"",'13 - Config_Intake_View'!Q131,Deployments!#REF!)</f>
        <v/>
      </c>
      <c r="J131" s="14">
        <f>IF('13 - Config_Intake_View'!Q131&lt;&gt;"","PM Approved",IF(Deployments!#REF!&lt;&gt;"","Assumed",""))</f>
        <v/>
      </c>
      <c r="K131" s="21">
        <f>Deployments!#REF!</f>
        <v/>
      </c>
      <c r="L131" s="14">
        <f>Deployments!#REF!</f>
        <v/>
      </c>
      <c r="M131" s="14">
        <f>Deployments!#REF!</f>
        <v/>
      </c>
      <c r="N131" s="14">
        <f>Deployments!#REF!</f>
        <v/>
      </c>
      <c r="O131" s="21">
        <f>Deployments!#REF!</f>
        <v/>
      </c>
      <c r="P131" s="2">
        <f>Deployments!#REF!</f>
        <v/>
      </c>
      <c r="Q131" s="21">
        <f>IF(OR($A131="",$B131="",$D131=""),"MISSING CORE FIELDS","")</f>
        <v/>
      </c>
      <c r="R131" s="14">
        <f>IF(AND($I131&lt;&gt;"",$K131&lt;&gt;"Yes"),"SW NOT INSTALLED","")</f>
        <v/>
      </c>
      <c r="S131" s="14">
        <f>IF(AND($H131&lt;&gt;"",ISNUMBER(SEARCH("auto",LOWER($H131))),$F131=""),"AUTOLOGON REQUIRED","")</f>
        <v/>
      </c>
      <c r="T131" s="14">
        <f>IF($Q131&lt;&gt;"",$Q131,IF($S131&lt;&gt;"",$S131,IF($R131&lt;&gt;"",$R131,IF(OR($N131&lt;&gt;"",$O131="Blocked"),"BLOCKED","OK"))))</f>
        <v/>
      </c>
    </row>
    <row r="132">
      <c r="A132" s="21">
        <f>Deployments!#REF!</f>
        <v/>
      </c>
      <c r="B132" s="21">
        <f>Deployments!#REF!</f>
        <v/>
      </c>
      <c r="C132" s="21">
        <f>Deployments!#REF!</f>
        <v/>
      </c>
      <c r="D132" s="14">
        <f>Deployments!#REF!</f>
        <v/>
      </c>
      <c r="E132" s="14">
        <f>Deployments!#REF!</f>
        <v/>
      </c>
      <c r="F132" s="21">
        <f>Deployments!#REF!</f>
        <v/>
      </c>
      <c r="G132" s="14">
        <f>Deployments!#REF!</f>
        <v/>
      </c>
      <c r="H132" s="14">
        <f>'13 - Config_Intake_View'!M132</f>
        <v/>
      </c>
      <c r="I132" s="21">
        <f>IF('13 - Config_Intake_View'!Q132&lt;&gt;"",'13 - Config_Intake_View'!Q132,Deployments!#REF!)</f>
        <v/>
      </c>
      <c r="J132" s="14">
        <f>IF('13 - Config_Intake_View'!Q132&lt;&gt;"","PM Approved",IF(Deployments!#REF!&lt;&gt;"","Assumed",""))</f>
        <v/>
      </c>
      <c r="K132" s="21">
        <f>Deployments!#REF!</f>
        <v/>
      </c>
      <c r="L132" s="14">
        <f>Deployments!#REF!</f>
        <v/>
      </c>
      <c r="M132" s="14">
        <f>Deployments!#REF!</f>
        <v/>
      </c>
      <c r="N132" s="14">
        <f>Deployments!#REF!</f>
        <v/>
      </c>
      <c r="O132" s="21">
        <f>Deployments!#REF!</f>
        <v/>
      </c>
      <c r="P132" s="2">
        <f>Deployments!#REF!</f>
        <v/>
      </c>
      <c r="Q132" s="21">
        <f>IF(OR($A132="",$B132="",$D132=""),"MISSING CORE FIELDS","")</f>
        <v/>
      </c>
      <c r="R132" s="14">
        <f>IF(AND($I132&lt;&gt;"",$K132&lt;&gt;"Yes"),"SW NOT INSTALLED","")</f>
        <v/>
      </c>
      <c r="S132" s="14">
        <f>IF(AND($H132&lt;&gt;"",ISNUMBER(SEARCH("auto",LOWER($H132))),$F132=""),"AUTOLOGON REQUIRED","")</f>
        <v/>
      </c>
      <c r="T132" s="14">
        <f>IF($Q132&lt;&gt;"",$Q132,IF($S132&lt;&gt;"",$S132,IF($R132&lt;&gt;"",$R132,IF(OR($N132&lt;&gt;"",$O132="Blocked"),"BLOCKED","OK"))))</f>
        <v/>
      </c>
    </row>
    <row r="133">
      <c r="A133" s="21">
        <f>Deployments!#REF!</f>
        <v/>
      </c>
      <c r="B133" s="21">
        <f>Deployments!#REF!</f>
        <v/>
      </c>
      <c r="C133" s="21">
        <f>Deployments!#REF!</f>
        <v/>
      </c>
      <c r="D133" s="14">
        <f>Deployments!#REF!</f>
        <v/>
      </c>
      <c r="E133" s="14">
        <f>Deployments!#REF!</f>
        <v/>
      </c>
      <c r="F133" s="21">
        <f>Deployments!#REF!</f>
        <v/>
      </c>
      <c r="G133" s="14">
        <f>Deployments!#REF!</f>
        <v/>
      </c>
      <c r="H133" s="14">
        <f>'13 - Config_Intake_View'!M133</f>
        <v/>
      </c>
      <c r="I133" s="21">
        <f>IF('13 - Config_Intake_View'!Q133&lt;&gt;"",'13 - Config_Intake_View'!Q133,Deployments!#REF!)</f>
        <v/>
      </c>
      <c r="J133" s="14">
        <f>IF('13 - Config_Intake_View'!Q133&lt;&gt;"","PM Approved",IF(Deployments!#REF!&lt;&gt;"","Assumed",""))</f>
        <v/>
      </c>
      <c r="K133" s="21">
        <f>Deployments!#REF!</f>
        <v/>
      </c>
      <c r="L133" s="14">
        <f>Deployments!#REF!</f>
        <v/>
      </c>
      <c r="M133" s="14">
        <f>Deployments!#REF!</f>
        <v/>
      </c>
      <c r="N133" s="14">
        <f>Deployments!#REF!</f>
        <v/>
      </c>
      <c r="O133" s="21">
        <f>Deployments!#REF!</f>
        <v/>
      </c>
      <c r="P133" s="2">
        <f>Deployments!#REF!</f>
        <v/>
      </c>
      <c r="Q133" s="21">
        <f>IF(OR($A133="",$B133="",$D133=""),"MISSING CORE FIELDS","")</f>
        <v/>
      </c>
      <c r="R133" s="14">
        <f>IF(AND($I133&lt;&gt;"",$K133&lt;&gt;"Yes"),"SW NOT INSTALLED","")</f>
        <v/>
      </c>
      <c r="S133" s="14">
        <f>IF(AND($H133&lt;&gt;"",ISNUMBER(SEARCH("auto",LOWER($H133))),$F133=""),"AUTOLOGON REQUIRED","")</f>
        <v/>
      </c>
      <c r="T133" s="14">
        <f>IF($Q133&lt;&gt;"",$Q133,IF($S133&lt;&gt;"",$S133,IF($R133&lt;&gt;"",$R133,IF(OR($N133&lt;&gt;"",$O133="Blocked"),"BLOCKED","OK"))))</f>
        <v/>
      </c>
    </row>
    <row r="134">
      <c r="A134" s="21">
        <f>Deployments!#REF!</f>
        <v/>
      </c>
      <c r="B134" s="21">
        <f>Deployments!#REF!</f>
        <v/>
      </c>
      <c r="C134" s="21">
        <f>Deployments!#REF!</f>
        <v/>
      </c>
      <c r="D134" s="14">
        <f>Deployments!#REF!</f>
        <v/>
      </c>
      <c r="E134" s="14">
        <f>Deployments!#REF!</f>
        <v/>
      </c>
      <c r="F134" s="21">
        <f>Deployments!#REF!</f>
        <v/>
      </c>
      <c r="G134" s="14">
        <f>Deployments!#REF!</f>
        <v/>
      </c>
      <c r="H134" s="14">
        <f>'13 - Config_Intake_View'!M134</f>
        <v/>
      </c>
      <c r="I134" s="21">
        <f>IF('13 - Config_Intake_View'!Q134&lt;&gt;"",'13 - Config_Intake_View'!Q134,Deployments!#REF!)</f>
        <v/>
      </c>
      <c r="J134" s="14">
        <f>IF('13 - Config_Intake_View'!Q134&lt;&gt;"","PM Approved",IF(Deployments!#REF!&lt;&gt;"","Assumed",""))</f>
        <v/>
      </c>
      <c r="K134" s="21">
        <f>Deployments!#REF!</f>
        <v/>
      </c>
      <c r="L134" s="14">
        <f>Deployments!#REF!</f>
        <v/>
      </c>
      <c r="M134" s="14">
        <f>Deployments!#REF!</f>
        <v/>
      </c>
      <c r="N134" s="14">
        <f>Deployments!#REF!</f>
        <v/>
      </c>
      <c r="O134" s="21">
        <f>Deployments!#REF!</f>
        <v/>
      </c>
      <c r="P134" s="2">
        <f>Deployments!#REF!</f>
        <v/>
      </c>
      <c r="Q134" s="21">
        <f>IF(OR($A134="",$B134="",$D134=""),"MISSING CORE FIELDS","")</f>
        <v/>
      </c>
      <c r="R134" s="14">
        <f>IF(AND($I134&lt;&gt;"",$K134&lt;&gt;"Yes"),"SW NOT INSTALLED","")</f>
        <v/>
      </c>
      <c r="S134" s="14">
        <f>IF(AND($H134&lt;&gt;"",ISNUMBER(SEARCH("auto",LOWER($H134))),$F134=""),"AUTOLOGON REQUIRED","")</f>
        <v/>
      </c>
      <c r="T134" s="14">
        <f>IF($Q134&lt;&gt;"",$Q134,IF($S134&lt;&gt;"",$S134,IF($R134&lt;&gt;"",$R134,IF(OR($N134&lt;&gt;"",$O134="Blocked"),"BLOCKED","OK"))))</f>
        <v/>
      </c>
    </row>
    <row r="135">
      <c r="A135" s="21">
        <f>Deployments!#REF!</f>
        <v/>
      </c>
      <c r="B135" s="21">
        <f>Deployments!#REF!</f>
        <v/>
      </c>
      <c r="C135" s="21">
        <f>Deployments!#REF!</f>
        <v/>
      </c>
      <c r="D135" s="14">
        <f>Deployments!#REF!</f>
        <v/>
      </c>
      <c r="E135" s="14">
        <f>Deployments!#REF!</f>
        <v/>
      </c>
      <c r="F135" s="21">
        <f>Deployments!#REF!</f>
        <v/>
      </c>
      <c r="G135" s="14">
        <f>Deployments!#REF!</f>
        <v/>
      </c>
      <c r="H135" s="14">
        <f>'13 - Config_Intake_View'!M135</f>
        <v/>
      </c>
      <c r="I135" s="21">
        <f>IF('13 - Config_Intake_View'!Q135&lt;&gt;"",'13 - Config_Intake_View'!Q135,Deployments!#REF!)</f>
        <v/>
      </c>
      <c r="J135" s="14">
        <f>IF('13 - Config_Intake_View'!Q135&lt;&gt;"","PM Approved",IF(Deployments!#REF!&lt;&gt;"","Assumed",""))</f>
        <v/>
      </c>
      <c r="K135" s="21">
        <f>Deployments!#REF!</f>
        <v/>
      </c>
      <c r="L135" s="14">
        <f>Deployments!#REF!</f>
        <v/>
      </c>
      <c r="M135" s="14">
        <f>Deployments!#REF!</f>
        <v/>
      </c>
      <c r="N135" s="14">
        <f>Deployments!#REF!</f>
        <v/>
      </c>
      <c r="O135" s="21">
        <f>Deployments!#REF!</f>
        <v/>
      </c>
      <c r="P135" s="2">
        <f>Deployments!#REF!</f>
        <v/>
      </c>
      <c r="Q135" s="21">
        <f>IF(OR($A135="",$B135="",$D135=""),"MISSING CORE FIELDS","")</f>
        <v/>
      </c>
      <c r="R135" s="14">
        <f>IF(AND($I135&lt;&gt;"",$K135&lt;&gt;"Yes"),"SW NOT INSTALLED","")</f>
        <v/>
      </c>
      <c r="S135" s="14">
        <f>IF(AND($H135&lt;&gt;"",ISNUMBER(SEARCH("auto",LOWER($H135))),$F135=""),"AUTOLOGON REQUIRED","")</f>
        <v/>
      </c>
      <c r="T135" s="14">
        <f>IF($Q135&lt;&gt;"",$Q135,IF($S135&lt;&gt;"",$S135,IF($R135&lt;&gt;"",$R135,IF(OR($N135&lt;&gt;"",$O135="Blocked"),"BLOCKED","OK"))))</f>
        <v/>
      </c>
    </row>
    <row r="136">
      <c r="A136" s="21">
        <f>Deployments!#REF!</f>
        <v/>
      </c>
      <c r="B136" s="21">
        <f>Deployments!#REF!</f>
        <v/>
      </c>
      <c r="C136" s="21">
        <f>Deployments!#REF!</f>
        <v/>
      </c>
      <c r="D136" s="14">
        <f>Deployments!#REF!</f>
        <v/>
      </c>
      <c r="E136" s="14">
        <f>Deployments!#REF!</f>
        <v/>
      </c>
      <c r="F136" s="21">
        <f>Deployments!#REF!</f>
        <v/>
      </c>
      <c r="G136" s="14">
        <f>Deployments!#REF!</f>
        <v/>
      </c>
      <c r="H136" s="14">
        <f>'13 - Config_Intake_View'!M136</f>
        <v/>
      </c>
      <c r="I136" s="21">
        <f>IF('13 - Config_Intake_View'!Q136&lt;&gt;"",'13 - Config_Intake_View'!Q136,Deployments!#REF!)</f>
        <v/>
      </c>
      <c r="J136" s="14">
        <f>IF('13 - Config_Intake_View'!Q136&lt;&gt;"","PM Approved",IF(Deployments!#REF!&lt;&gt;"","Assumed",""))</f>
        <v/>
      </c>
      <c r="K136" s="21">
        <f>Deployments!#REF!</f>
        <v/>
      </c>
      <c r="L136" s="14">
        <f>Deployments!#REF!</f>
        <v/>
      </c>
      <c r="M136" s="14">
        <f>Deployments!#REF!</f>
        <v/>
      </c>
      <c r="N136" s="14">
        <f>Deployments!#REF!</f>
        <v/>
      </c>
      <c r="O136" s="21">
        <f>Deployments!#REF!</f>
        <v/>
      </c>
      <c r="P136" s="2">
        <f>Deployments!#REF!</f>
        <v/>
      </c>
      <c r="Q136" s="21">
        <f>IF(OR($A136="",$B136="",$D136=""),"MISSING CORE FIELDS","")</f>
        <v/>
      </c>
      <c r="R136" s="14">
        <f>IF(AND($I136&lt;&gt;"",$K136&lt;&gt;"Yes"),"SW NOT INSTALLED","")</f>
        <v/>
      </c>
      <c r="S136" s="14">
        <f>IF(AND($H136&lt;&gt;"",ISNUMBER(SEARCH("auto",LOWER($H136))),$F136=""),"AUTOLOGON REQUIRED","")</f>
        <v/>
      </c>
      <c r="T136" s="14">
        <f>IF($Q136&lt;&gt;"",$Q136,IF($S136&lt;&gt;"",$S136,IF($R136&lt;&gt;"",$R136,IF(OR($N136&lt;&gt;"",$O136="Blocked"),"BLOCKED","OK"))))</f>
        <v/>
      </c>
    </row>
    <row r="137">
      <c r="A137" s="21">
        <f>Deployments!H128</f>
        <v/>
      </c>
      <c r="B137" s="21">
        <f>Deployments!X128</f>
        <v/>
      </c>
      <c r="C137" s="21">
        <f>Deployments!Y128</f>
        <v/>
      </c>
      <c r="D137" s="14">
        <f>Deployments!AO128</f>
        <v/>
      </c>
      <c r="E137" s="14">
        <f>Deployments!N128</f>
        <v/>
      </c>
      <c r="F137" s="21">
        <f>Deployments!O128</f>
        <v/>
      </c>
      <c r="G137" s="14">
        <f>Deployments!P128</f>
        <v/>
      </c>
      <c r="H137" s="14">
        <f>'13 - Config_Intake_View'!M137</f>
        <v/>
      </c>
      <c r="I137" s="21">
        <f>IF('13 - Config_Intake_View'!Q137&lt;&gt;"",'13 - Config_Intake_View'!Q137,Deployments!AG128)</f>
        <v/>
      </c>
      <c r="J137" s="14">
        <f>IF('13 - Config_Intake_View'!Q137&lt;&gt;"","PM Approved",IF(Deployments!AG128&lt;&gt;"","Assumed",""))</f>
        <v/>
      </c>
      <c r="K137" s="21">
        <f>Deployments!AF128</f>
        <v/>
      </c>
      <c r="L137" s="14">
        <f>Deployments!U128</f>
        <v/>
      </c>
      <c r="M137" s="14">
        <f>Deployments!L128</f>
        <v/>
      </c>
      <c r="N137" s="14">
        <f>Deployments!CC128</f>
        <v/>
      </c>
      <c r="O137" s="21">
        <f>Deployments!CD128</f>
        <v/>
      </c>
      <c r="P137" s="2">
        <f>Deployments!BX128</f>
        <v/>
      </c>
      <c r="Q137" s="21">
        <f>IF(OR($A137="",$B137="",$D137=""),"MISSING CORE FIELDS","")</f>
        <v/>
      </c>
      <c r="R137" s="14">
        <f>IF(AND($I137&lt;&gt;"",$K137&lt;&gt;"Yes"),"SW NOT INSTALLED","")</f>
        <v/>
      </c>
      <c r="S137" s="14">
        <f>IF(AND($H137&lt;&gt;"",ISNUMBER(SEARCH("auto",LOWER($H137))),$F137=""),"AUTOLOGON REQUIRED","")</f>
        <v/>
      </c>
      <c r="T137" s="14">
        <f>IF($Q137&lt;&gt;"",$Q137,IF($S137&lt;&gt;"",$S137,IF($R137&lt;&gt;"",$R137,IF(OR($N137&lt;&gt;"",$O137="Blocked"),"BLOCKED","OK"))))</f>
        <v/>
      </c>
    </row>
    <row r="138">
      <c r="A138" s="21">
        <f>Deployments!H130</f>
        <v/>
      </c>
      <c r="B138" s="21">
        <f>Deployments!X130</f>
        <v/>
      </c>
      <c r="C138" s="21">
        <f>Deployments!Y130</f>
        <v/>
      </c>
      <c r="D138" s="14">
        <f>Deployments!AO130</f>
        <v/>
      </c>
      <c r="E138" s="14">
        <f>Deployments!N130</f>
        <v/>
      </c>
      <c r="F138" s="21">
        <f>Deployments!O130</f>
        <v/>
      </c>
      <c r="G138" s="14">
        <f>Deployments!P130</f>
        <v/>
      </c>
      <c r="H138" s="14">
        <f>'13 - Config_Intake_View'!M138</f>
        <v/>
      </c>
      <c r="I138" s="21">
        <f>IF('13 - Config_Intake_View'!Q138&lt;&gt;"",'13 - Config_Intake_View'!Q138,Deployments!AG130)</f>
        <v/>
      </c>
      <c r="J138" s="14">
        <f>IF('13 - Config_Intake_View'!Q138&lt;&gt;"","PM Approved",IF(Deployments!AG130&lt;&gt;"","Assumed",""))</f>
        <v/>
      </c>
      <c r="K138" s="21">
        <f>Deployments!AF130</f>
        <v/>
      </c>
      <c r="L138" s="14">
        <f>Deployments!U130</f>
        <v/>
      </c>
      <c r="M138" s="14">
        <f>Deployments!L130</f>
        <v/>
      </c>
      <c r="N138" s="14">
        <f>Deployments!CC130</f>
        <v/>
      </c>
      <c r="O138" s="21">
        <f>Deployments!CD130</f>
        <v/>
      </c>
      <c r="P138" s="2">
        <f>Deployments!BX130</f>
        <v/>
      </c>
      <c r="Q138" s="21">
        <f>IF(OR($A138="",$B138="",$D138=""),"MISSING CORE FIELDS","")</f>
        <v/>
      </c>
      <c r="R138" s="14">
        <f>IF(AND($I138&lt;&gt;"",$K138&lt;&gt;"Yes"),"SW NOT INSTALLED","")</f>
        <v/>
      </c>
      <c r="S138" s="14">
        <f>IF(AND($H138&lt;&gt;"",ISNUMBER(SEARCH("auto",LOWER($H138))),$F138=""),"AUTOLOGON REQUIRED","")</f>
        <v/>
      </c>
      <c r="T138" s="14">
        <f>IF($Q138&lt;&gt;"",$Q138,IF($S138&lt;&gt;"",$S138,IF($R138&lt;&gt;"",$R138,IF(OR($N138&lt;&gt;"",$O138="Blocked"),"BLOCKED","OK"))))</f>
        <v/>
      </c>
    </row>
    <row r="139">
      <c r="A139" s="21">
        <f>Deployments!H131</f>
        <v/>
      </c>
      <c r="B139" s="21">
        <f>Deployments!X131</f>
        <v/>
      </c>
      <c r="C139" s="21">
        <f>Deployments!Y131</f>
        <v/>
      </c>
      <c r="D139" s="14">
        <f>Deployments!AO131</f>
        <v/>
      </c>
      <c r="E139" s="14">
        <f>Deployments!N131</f>
        <v/>
      </c>
      <c r="F139" s="21">
        <f>Deployments!O131</f>
        <v/>
      </c>
      <c r="G139" s="14">
        <f>Deployments!P131</f>
        <v/>
      </c>
      <c r="H139" s="14">
        <f>'13 - Config_Intake_View'!M139</f>
        <v/>
      </c>
      <c r="I139" s="21">
        <f>IF('13 - Config_Intake_View'!Q139&lt;&gt;"",'13 - Config_Intake_View'!Q139,Deployments!AG131)</f>
        <v/>
      </c>
      <c r="J139" s="14">
        <f>IF('13 - Config_Intake_View'!Q139&lt;&gt;"","PM Approved",IF(Deployments!AG131&lt;&gt;"","Assumed",""))</f>
        <v/>
      </c>
      <c r="K139" s="21">
        <f>Deployments!AF131</f>
        <v/>
      </c>
      <c r="L139" s="14">
        <f>Deployments!U131</f>
        <v/>
      </c>
      <c r="M139" s="14">
        <f>Deployments!L131</f>
        <v/>
      </c>
      <c r="N139" s="14">
        <f>Deployments!CC131</f>
        <v/>
      </c>
      <c r="O139" s="21">
        <f>Deployments!CD131</f>
        <v/>
      </c>
      <c r="P139" s="2">
        <f>Deployments!BX131</f>
        <v/>
      </c>
      <c r="Q139" s="21">
        <f>IF(OR($A139="",$B139="",$D139=""),"MISSING CORE FIELDS","")</f>
        <v/>
      </c>
      <c r="R139" s="14">
        <f>IF(AND($I139&lt;&gt;"",$K139&lt;&gt;"Yes"),"SW NOT INSTALLED","")</f>
        <v/>
      </c>
      <c r="S139" s="14">
        <f>IF(AND($H139&lt;&gt;"",ISNUMBER(SEARCH("auto",LOWER($H139))),$F139=""),"AUTOLOGON REQUIRED","")</f>
        <v/>
      </c>
      <c r="T139" s="14">
        <f>IF($Q139&lt;&gt;"",$Q139,IF($S139&lt;&gt;"",$S139,IF($R139&lt;&gt;"",$R139,IF(OR($N139&lt;&gt;"",$O139="Blocked"),"BLOCKED","OK"))))</f>
        <v/>
      </c>
    </row>
    <row r="140">
      <c r="A140" s="21">
        <f>Deployments!H132</f>
        <v/>
      </c>
      <c r="B140" s="21">
        <f>Deployments!X132</f>
        <v/>
      </c>
      <c r="C140" s="21">
        <f>Deployments!Y132</f>
        <v/>
      </c>
      <c r="D140" s="14">
        <f>Deployments!AO132</f>
        <v/>
      </c>
      <c r="E140" s="14">
        <f>Deployments!N132</f>
        <v/>
      </c>
      <c r="F140" s="21">
        <f>Deployments!O132</f>
        <v/>
      </c>
      <c r="G140" s="14">
        <f>Deployments!P132</f>
        <v/>
      </c>
      <c r="H140" s="14">
        <f>'13 - Config_Intake_View'!M140</f>
        <v/>
      </c>
      <c r="I140" s="21">
        <f>IF('13 - Config_Intake_View'!Q140&lt;&gt;"",'13 - Config_Intake_View'!Q140,Deployments!AG132)</f>
        <v/>
      </c>
      <c r="J140" s="14">
        <f>IF('13 - Config_Intake_View'!Q140&lt;&gt;"","PM Approved",IF(Deployments!AG132&lt;&gt;"","Assumed",""))</f>
        <v/>
      </c>
      <c r="K140" s="21">
        <f>Deployments!AF132</f>
        <v/>
      </c>
      <c r="L140" s="14">
        <f>Deployments!U132</f>
        <v/>
      </c>
      <c r="M140" s="14">
        <f>Deployments!L132</f>
        <v/>
      </c>
      <c r="N140" s="14">
        <f>Deployments!CC132</f>
        <v/>
      </c>
      <c r="O140" s="21">
        <f>Deployments!CD132</f>
        <v/>
      </c>
      <c r="P140" s="2">
        <f>Deployments!BX132</f>
        <v/>
      </c>
      <c r="Q140" s="21">
        <f>IF(OR($A140="",$B140="",$D140=""),"MISSING CORE FIELDS","")</f>
        <v/>
      </c>
      <c r="R140" s="14">
        <f>IF(AND($I140&lt;&gt;"",$K140&lt;&gt;"Yes"),"SW NOT INSTALLED","")</f>
        <v/>
      </c>
      <c r="S140" s="14">
        <f>IF(AND($H140&lt;&gt;"",ISNUMBER(SEARCH("auto",LOWER($H140))),$F140=""),"AUTOLOGON REQUIRED","")</f>
        <v/>
      </c>
      <c r="T140" s="14">
        <f>IF($Q140&lt;&gt;"",$Q140,IF($S140&lt;&gt;"",$S140,IF($R140&lt;&gt;"",$R140,IF(OR($N140&lt;&gt;"",$O140="Blocked"),"BLOCKED","OK"))))</f>
        <v/>
      </c>
    </row>
    <row r="141">
      <c r="A141" s="21">
        <f>Deployments!H133</f>
        <v/>
      </c>
      <c r="B141" s="21">
        <f>Deployments!X133</f>
        <v/>
      </c>
      <c r="C141" s="21">
        <f>Deployments!Y133</f>
        <v/>
      </c>
      <c r="D141" s="14">
        <f>Deployments!AO133</f>
        <v/>
      </c>
      <c r="E141" s="14">
        <f>Deployments!N133</f>
        <v/>
      </c>
      <c r="F141" s="21">
        <f>Deployments!O133</f>
        <v/>
      </c>
      <c r="G141" s="14">
        <f>Deployments!P133</f>
        <v/>
      </c>
      <c r="H141" s="14">
        <f>'13 - Config_Intake_View'!M141</f>
        <v/>
      </c>
      <c r="I141" s="21">
        <f>IF('13 - Config_Intake_View'!Q141&lt;&gt;"",'13 - Config_Intake_View'!Q141,Deployments!AG133)</f>
        <v/>
      </c>
      <c r="J141" s="14">
        <f>IF('13 - Config_Intake_View'!Q141&lt;&gt;"","PM Approved",IF(Deployments!AG133&lt;&gt;"","Assumed",""))</f>
        <v/>
      </c>
      <c r="K141" s="21">
        <f>Deployments!AF133</f>
        <v/>
      </c>
      <c r="L141" s="14">
        <f>Deployments!U133</f>
        <v/>
      </c>
      <c r="M141" s="14">
        <f>Deployments!L133</f>
        <v/>
      </c>
      <c r="N141" s="14">
        <f>Deployments!CC133</f>
        <v/>
      </c>
      <c r="O141" s="21">
        <f>Deployments!CD133</f>
        <v/>
      </c>
      <c r="P141" s="2">
        <f>Deployments!BX133</f>
        <v/>
      </c>
      <c r="Q141" s="21">
        <f>IF(OR($A141="",$B141="",$D141=""),"MISSING CORE FIELDS","")</f>
        <v/>
      </c>
      <c r="R141" s="14">
        <f>IF(AND($I141&lt;&gt;"",$K141&lt;&gt;"Yes"),"SW NOT INSTALLED","")</f>
        <v/>
      </c>
      <c r="S141" s="14">
        <f>IF(AND($H141&lt;&gt;"",ISNUMBER(SEARCH("auto",LOWER($H141))),$F141=""),"AUTOLOGON REQUIRED","")</f>
        <v/>
      </c>
      <c r="T141" s="14">
        <f>IF($Q141&lt;&gt;"",$Q141,IF($S141&lt;&gt;"",$S141,IF($R141&lt;&gt;"",$R141,IF(OR($N141&lt;&gt;"",$O141="Blocked"),"BLOCKED","OK"))))</f>
        <v/>
      </c>
    </row>
    <row r="142">
      <c r="A142" s="21">
        <f>Deployments!H134</f>
        <v/>
      </c>
      <c r="B142" s="21">
        <f>Deployments!X134</f>
        <v/>
      </c>
      <c r="C142" s="21">
        <f>Deployments!Y134</f>
        <v/>
      </c>
      <c r="D142" s="14">
        <f>Deployments!AO134</f>
        <v/>
      </c>
      <c r="E142" s="14">
        <f>Deployments!N134</f>
        <v/>
      </c>
      <c r="F142" s="21">
        <f>Deployments!O134</f>
        <v/>
      </c>
      <c r="G142" s="14">
        <f>Deployments!P134</f>
        <v/>
      </c>
      <c r="H142" s="14">
        <f>'13 - Config_Intake_View'!M142</f>
        <v/>
      </c>
      <c r="I142" s="21">
        <f>IF('13 - Config_Intake_View'!Q142&lt;&gt;"",'13 - Config_Intake_View'!Q142,Deployments!AG134)</f>
        <v/>
      </c>
      <c r="J142" s="14">
        <f>IF('13 - Config_Intake_View'!Q142&lt;&gt;"","PM Approved",IF(Deployments!AG134&lt;&gt;"","Assumed",""))</f>
        <v/>
      </c>
      <c r="K142" s="21">
        <f>Deployments!AF134</f>
        <v/>
      </c>
      <c r="L142" s="14">
        <f>Deployments!U134</f>
        <v/>
      </c>
      <c r="M142" s="14">
        <f>Deployments!L134</f>
        <v/>
      </c>
      <c r="N142" s="14">
        <f>Deployments!CC134</f>
        <v/>
      </c>
      <c r="O142" s="21">
        <f>Deployments!CD134</f>
        <v/>
      </c>
      <c r="P142" s="2">
        <f>Deployments!BX134</f>
        <v/>
      </c>
      <c r="Q142" s="21">
        <f>IF(OR($A142="",$B142="",$D142=""),"MISSING CORE FIELDS","")</f>
        <v/>
      </c>
      <c r="R142" s="14">
        <f>IF(AND($I142&lt;&gt;"",$K142&lt;&gt;"Yes"),"SW NOT INSTALLED","")</f>
        <v/>
      </c>
      <c r="S142" s="14">
        <f>IF(AND($H142&lt;&gt;"",ISNUMBER(SEARCH("auto",LOWER($H142))),$F142=""),"AUTOLOGON REQUIRED","")</f>
        <v/>
      </c>
      <c r="T142" s="14">
        <f>IF($Q142&lt;&gt;"",$Q142,IF($S142&lt;&gt;"",$S142,IF($R142&lt;&gt;"",$R142,IF(OR($N142&lt;&gt;"",$O142="Blocked"),"BLOCKED","OK"))))</f>
        <v/>
      </c>
    </row>
    <row r="143">
      <c r="A143" s="21">
        <f>Deployments!H135</f>
        <v/>
      </c>
      <c r="B143" s="21">
        <f>Deployments!X135</f>
        <v/>
      </c>
      <c r="C143" s="21">
        <f>Deployments!Y135</f>
        <v/>
      </c>
      <c r="D143" s="14">
        <f>Deployments!AO135</f>
        <v/>
      </c>
      <c r="E143" s="14">
        <f>Deployments!N135</f>
        <v/>
      </c>
      <c r="F143" s="21">
        <f>Deployments!O135</f>
        <v/>
      </c>
      <c r="G143" s="14">
        <f>Deployments!P135</f>
        <v/>
      </c>
      <c r="H143" s="14">
        <f>'13 - Config_Intake_View'!M143</f>
        <v/>
      </c>
      <c r="I143" s="21">
        <f>IF('13 - Config_Intake_View'!Q143&lt;&gt;"",'13 - Config_Intake_View'!Q143,Deployments!AG135)</f>
        <v/>
      </c>
      <c r="J143" s="14">
        <f>IF('13 - Config_Intake_View'!Q143&lt;&gt;"","PM Approved",IF(Deployments!AG135&lt;&gt;"","Assumed",""))</f>
        <v/>
      </c>
      <c r="K143" s="21">
        <f>Deployments!AF135</f>
        <v/>
      </c>
      <c r="L143" s="14">
        <f>Deployments!U135</f>
        <v/>
      </c>
      <c r="M143" s="14">
        <f>Deployments!L135</f>
        <v/>
      </c>
      <c r="N143" s="14">
        <f>Deployments!CC135</f>
        <v/>
      </c>
      <c r="O143" s="21">
        <f>Deployments!CD135</f>
        <v/>
      </c>
      <c r="P143" s="2">
        <f>Deployments!BX135</f>
        <v/>
      </c>
      <c r="Q143" s="21">
        <f>IF(OR($A143="",$B143="",$D143=""),"MISSING CORE FIELDS","")</f>
        <v/>
      </c>
      <c r="R143" s="14">
        <f>IF(AND($I143&lt;&gt;"",$K143&lt;&gt;"Yes"),"SW NOT INSTALLED","")</f>
        <v/>
      </c>
      <c r="S143" s="14">
        <f>IF(AND($H143&lt;&gt;"",ISNUMBER(SEARCH("auto",LOWER($H143))),$F143=""),"AUTOLOGON REQUIRED","")</f>
        <v/>
      </c>
      <c r="T143" s="14">
        <f>IF($Q143&lt;&gt;"",$Q143,IF($S143&lt;&gt;"",$S143,IF($R143&lt;&gt;"",$R143,IF(OR($N143&lt;&gt;"",$O143="Blocked"),"BLOCKED","OK"))))</f>
        <v/>
      </c>
    </row>
    <row r="144">
      <c r="A144" s="21">
        <f>Deployments!H136</f>
        <v/>
      </c>
      <c r="B144" s="21">
        <f>Deployments!X136</f>
        <v/>
      </c>
      <c r="C144" s="21">
        <f>Deployments!Y136</f>
        <v/>
      </c>
      <c r="D144" s="14">
        <f>Deployments!AO136</f>
        <v/>
      </c>
      <c r="E144" s="14">
        <f>Deployments!N136</f>
        <v/>
      </c>
      <c r="F144" s="21">
        <f>Deployments!O136</f>
        <v/>
      </c>
      <c r="G144" s="14">
        <f>Deployments!P136</f>
        <v/>
      </c>
      <c r="H144" s="14">
        <f>'13 - Config_Intake_View'!M144</f>
        <v/>
      </c>
      <c r="I144" s="21">
        <f>IF('13 - Config_Intake_View'!Q144&lt;&gt;"",'13 - Config_Intake_View'!Q144,Deployments!AG136)</f>
        <v/>
      </c>
      <c r="J144" s="14">
        <f>IF('13 - Config_Intake_View'!Q144&lt;&gt;"","PM Approved",IF(Deployments!AG136&lt;&gt;"","Assumed",""))</f>
        <v/>
      </c>
      <c r="K144" s="21">
        <f>Deployments!AF136</f>
        <v/>
      </c>
      <c r="L144" s="14">
        <f>Deployments!U136</f>
        <v/>
      </c>
      <c r="M144" s="14">
        <f>Deployments!L136</f>
        <v/>
      </c>
      <c r="N144" s="14">
        <f>Deployments!CC136</f>
        <v/>
      </c>
      <c r="O144" s="21">
        <f>Deployments!CD136</f>
        <v/>
      </c>
      <c r="P144" s="2">
        <f>Deployments!BX136</f>
        <v/>
      </c>
      <c r="Q144" s="21">
        <f>IF(OR($A144="",$B144="",$D144=""),"MISSING CORE FIELDS","")</f>
        <v/>
      </c>
      <c r="R144" s="14">
        <f>IF(AND($I144&lt;&gt;"",$K144&lt;&gt;"Yes"),"SW NOT INSTALLED","")</f>
        <v/>
      </c>
      <c r="S144" s="14">
        <f>IF(AND($H144&lt;&gt;"",ISNUMBER(SEARCH("auto",LOWER($H144))),$F144=""),"AUTOLOGON REQUIRED","")</f>
        <v/>
      </c>
      <c r="T144" s="14">
        <f>IF($Q144&lt;&gt;"",$Q144,IF($S144&lt;&gt;"",$S144,IF($R144&lt;&gt;"",$R144,IF(OR($N144&lt;&gt;"",$O144="Blocked"),"BLOCKED","OK"))))</f>
        <v/>
      </c>
    </row>
    <row r="145">
      <c r="A145" s="21">
        <f>Deployments!H137</f>
        <v/>
      </c>
      <c r="B145" s="21">
        <f>Deployments!X137</f>
        <v/>
      </c>
      <c r="C145" s="21">
        <f>Deployments!Y137</f>
        <v/>
      </c>
      <c r="D145" s="14">
        <f>Deployments!AO137</f>
        <v/>
      </c>
      <c r="E145" s="14">
        <f>Deployments!N137</f>
        <v/>
      </c>
      <c r="F145" s="21">
        <f>Deployments!O137</f>
        <v/>
      </c>
      <c r="G145" s="14">
        <f>Deployments!P137</f>
        <v/>
      </c>
      <c r="H145" s="14">
        <f>'13 - Config_Intake_View'!M145</f>
        <v/>
      </c>
      <c r="I145" s="21">
        <f>IF('13 - Config_Intake_View'!Q145&lt;&gt;"",'13 - Config_Intake_View'!Q145,Deployments!AG137)</f>
        <v/>
      </c>
      <c r="J145" s="14">
        <f>IF('13 - Config_Intake_View'!Q145&lt;&gt;"","PM Approved",IF(Deployments!AG137&lt;&gt;"","Assumed",""))</f>
        <v/>
      </c>
      <c r="K145" s="21">
        <f>Deployments!AF137</f>
        <v/>
      </c>
      <c r="L145" s="14">
        <f>Deployments!U137</f>
        <v/>
      </c>
      <c r="M145" s="14">
        <f>Deployments!L137</f>
        <v/>
      </c>
      <c r="N145" s="14">
        <f>Deployments!CC137</f>
        <v/>
      </c>
      <c r="O145" s="21">
        <f>Deployments!CD137</f>
        <v/>
      </c>
      <c r="P145" s="2">
        <f>Deployments!BX137</f>
        <v/>
      </c>
      <c r="Q145" s="21">
        <f>IF(OR($A145="",$B145="",$D145=""),"MISSING CORE FIELDS","")</f>
        <v/>
      </c>
      <c r="R145" s="14">
        <f>IF(AND($I145&lt;&gt;"",$K145&lt;&gt;"Yes"),"SW NOT INSTALLED","")</f>
        <v/>
      </c>
      <c r="S145" s="14">
        <f>IF(AND($H145&lt;&gt;"",ISNUMBER(SEARCH("auto",LOWER($H145))),$F145=""),"AUTOLOGON REQUIRED","")</f>
        <v/>
      </c>
      <c r="T145" s="14">
        <f>IF($Q145&lt;&gt;"",$Q145,IF($S145&lt;&gt;"",$S145,IF($R145&lt;&gt;"",$R145,IF(OR($N145&lt;&gt;"",$O145="Blocked"),"BLOCKED","OK"))))</f>
        <v/>
      </c>
    </row>
    <row r="146">
      <c r="A146" s="21">
        <f>Deployments!H138</f>
        <v/>
      </c>
      <c r="B146" s="21">
        <f>Deployments!X138</f>
        <v/>
      </c>
      <c r="C146" s="21">
        <f>Deployments!Y138</f>
        <v/>
      </c>
      <c r="D146" s="14">
        <f>Deployments!AO138</f>
        <v/>
      </c>
      <c r="E146" s="14">
        <f>Deployments!N138</f>
        <v/>
      </c>
      <c r="F146" s="21">
        <f>Deployments!O138</f>
        <v/>
      </c>
      <c r="G146" s="14">
        <f>Deployments!P138</f>
        <v/>
      </c>
      <c r="H146" s="14">
        <f>'13 - Config_Intake_View'!M146</f>
        <v/>
      </c>
      <c r="I146" s="21">
        <f>IF('13 - Config_Intake_View'!Q146&lt;&gt;"",'13 - Config_Intake_View'!Q146,Deployments!AG138)</f>
        <v/>
      </c>
      <c r="J146" s="14">
        <f>IF('13 - Config_Intake_View'!Q146&lt;&gt;"","PM Approved",IF(Deployments!AG138&lt;&gt;"","Assumed",""))</f>
        <v/>
      </c>
      <c r="K146" s="21">
        <f>Deployments!AF138</f>
        <v/>
      </c>
      <c r="L146" s="14">
        <f>Deployments!U138</f>
        <v/>
      </c>
      <c r="M146" s="14">
        <f>Deployments!L138</f>
        <v/>
      </c>
      <c r="N146" s="14">
        <f>Deployments!CC138</f>
        <v/>
      </c>
      <c r="O146" s="21">
        <f>Deployments!CD138</f>
        <v/>
      </c>
      <c r="P146" s="2">
        <f>Deployments!BX138</f>
        <v/>
      </c>
      <c r="Q146" s="21">
        <f>IF(OR($A146="",$B146="",$D146=""),"MISSING CORE FIELDS","")</f>
        <v/>
      </c>
      <c r="R146" s="14">
        <f>IF(AND($I146&lt;&gt;"",$K146&lt;&gt;"Yes"),"SW NOT INSTALLED","")</f>
        <v/>
      </c>
      <c r="S146" s="14">
        <f>IF(AND($H146&lt;&gt;"",ISNUMBER(SEARCH("auto",LOWER($H146))),$F146=""),"AUTOLOGON REQUIRED","")</f>
        <v/>
      </c>
      <c r="T146" s="14">
        <f>IF($Q146&lt;&gt;"",$Q146,IF($S146&lt;&gt;"",$S146,IF($R146&lt;&gt;"",$R146,IF(OR($N146&lt;&gt;"",$O146="Blocked"),"BLOCKED","OK"))))</f>
        <v/>
      </c>
    </row>
    <row r="147">
      <c r="A147" s="21">
        <f>Deployments!H139</f>
        <v/>
      </c>
      <c r="B147" s="21">
        <f>Deployments!X139</f>
        <v/>
      </c>
      <c r="C147" s="21">
        <f>Deployments!Y139</f>
        <v/>
      </c>
      <c r="D147" s="14">
        <f>Deployments!AO139</f>
        <v/>
      </c>
      <c r="E147" s="14">
        <f>Deployments!N139</f>
        <v/>
      </c>
      <c r="F147" s="21">
        <f>Deployments!O139</f>
        <v/>
      </c>
      <c r="G147" s="14">
        <f>Deployments!P139</f>
        <v/>
      </c>
      <c r="H147" s="14">
        <f>'13 - Config_Intake_View'!M147</f>
        <v/>
      </c>
      <c r="I147" s="21">
        <f>IF('13 - Config_Intake_View'!Q147&lt;&gt;"",'13 - Config_Intake_View'!Q147,Deployments!AG139)</f>
        <v/>
      </c>
      <c r="J147" s="14">
        <f>IF('13 - Config_Intake_View'!Q147&lt;&gt;"","PM Approved",IF(Deployments!AG139&lt;&gt;"","Assumed",""))</f>
        <v/>
      </c>
      <c r="K147" s="21">
        <f>Deployments!AF139</f>
        <v/>
      </c>
      <c r="L147" s="14">
        <f>Deployments!U139</f>
        <v/>
      </c>
      <c r="M147" s="14">
        <f>Deployments!L139</f>
        <v/>
      </c>
      <c r="N147" s="14">
        <f>Deployments!CC139</f>
        <v/>
      </c>
      <c r="O147" s="21">
        <f>Deployments!CD139</f>
        <v/>
      </c>
      <c r="P147" s="2">
        <f>Deployments!BX139</f>
        <v/>
      </c>
      <c r="Q147" s="21">
        <f>IF(OR($A147="",$B147="",$D147=""),"MISSING CORE FIELDS","")</f>
        <v/>
      </c>
      <c r="R147" s="14">
        <f>IF(AND($I147&lt;&gt;"",$K147&lt;&gt;"Yes"),"SW NOT INSTALLED","")</f>
        <v/>
      </c>
      <c r="S147" s="14">
        <f>IF(AND($H147&lt;&gt;"",ISNUMBER(SEARCH("auto",LOWER($H147))),$F147=""),"AUTOLOGON REQUIRED","")</f>
        <v/>
      </c>
      <c r="T147" s="14">
        <f>IF($Q147&lt;&gt;"",$Q147,IF($S147&lt;&gt;"",$S147,IF($R147&lt;&gt;"",$R147,IF(OR($N147&lt;&gt;"",$O147="Blocked"),"BLOCKED","OK"))))</f>
        <v/>
      </c>
    </row>
    <row r="148">
      <c r="A148" s="21">
        <f>Deployments!H140</f>
        <v/>
      </c>
      <c r="B148" s="21">
        <f>Deployments!X140</f>
        <v/>
      </c>
      <c r="C148" s="21">
        <f>Deployments!Y140</f>
        <v/>
      </c>
      <c r="D148" s="14">
        <f>Deployments!AO140</f>
        <v/>
      </c>
      <c r="E148" s="14">
        <f>Deployments!N140</f>
        <v/>
      </c>
      <c r="F148" s="21">
        <f>Deployments!O140</f>
        <v/>
      </c>
      <c r="G148" s="14">
        <f>Deployments!P140</f>
        <v/>
      </c>
      <c r="H148" s="14">
        <f>'13 - Config_Intake_View'!M148</f>
        <v/>
      </c>
      <c r="I148" s="21">
        <f>IF('13 - Config_Intake_View'!Q148&lt;&gt;"",'13 - Config_Intake_View'!Q148,Deployments!AG140)</f>
        <v/>
      </c>
      <c r="J148" s="14">
        <f>IF('13 - Config_Intake_View'!Q148&lt;&gt;"","PM Approved",IF(Deployments!AG140&lt;&gt;"","Assumed",""))</f>
        <v/>
      </c>
      <c r="K148" s="21">
        <f>Deployments!AF140</f>
        <v/>
      </c>
      <c r="L148" s="14">
        <f>Deployments!U140</f>
        <v/>
      </c>
      <c r="M148" s="14">
        <f>Deployments!L140</f>
        <v/>
      </c>
      <c r="N148" s="14">
        <f>Deployments!CC140</f>
        <v/>
      </c>
      <c r="O148" s="21">
        <f>Deployments!CD140</f>
        <v/>
      </c>
      <c r="P148" s="2">
        <f>Deployments!BX140</f>
        <v/>
      </c>
      <c r="Q148" s="21">
        <f>IF(OR($A148="",$B148="",$D148=""),"MISSING CORE FIELDS","")</f>
        <v/>
      </c>
      <c r="R148" s="14">
        <f>IF(AND($I148&lt;&gt;"",$K148&lt;&gt;"Yes"),"SW NOT INSTALLED","")</f>
        <v/>
      </c>
      <c r="S148" s="14">
        <f>IF(AND($H148&lt;&gt;"",ISNUMBER(SEARCH("auto",LOWER($H148))),$F148=""),"AUTOLOGON REQUIRED","")</f>
        <v/>
      </c>
      <c r="T148" s="14">
        <f>IF($Q148&lt;&gt;"",$Q148,IF($S148&lt;&gt;"",$S148,IF($R148&lt;&gt;"",$R148,IF(OR($N148&lt;&gt;"",$O148="Blocked"),"BLOCKED","OK"))))</f>
        <v/>
      </c>
    </row>
    <row r="149">
      <c r="A149" s="21">
        <f>Deployments!H141</f>
        <v/>
      </c>
      <c r="B149" s="21">
        <f>Deployments!X141</f>
        <v/>
      </c>
      <c r="C149" s="21">
        <f>Deployments!Y141</f>
        <v/>
      </c>
      <c r="D149" s="14">
        <f>Deployments!AO141</f>
        <v/>
      </c>
      <c r="E149" s="14">
        <f>Deployments!N141</f>
        <v/>
      </c>
      <c r="F149" s="21">
        <f>Deployments!O141</f>
        <v/>
      </c>
      <c r="G149" s="14">
        <f>Deployments!P141</f>
        <v/>
      </c>
      <c r="H149" s="14">
        <f>'13 - Config_Intake_View'!M149</f>
        <v/>
      </c>
      <c r="I149" s="21">
        <f>IF('13 - Config_Intake_View'!Q149&lt;&gt;"",'13 - Config_Intake_View'!Q149,Deployments!AG141)</f>
        <v/>
      </c>
      <c r="J149" s="14">
        <f>IF('13 - Config_Intake_View'!Q149&lt;&gt;"","PM Approved",IF(Deployments!AG141&lt;&gt;"","Assumed",""))</f>
        <v/>
      </c>
      <c r="K149" s="21">
        <f>Deployments!AF141</f>
        <v/>
      </c>
      <c r="L149" s="14">
        <f>Deployments!U141</f>
        <v/>
      </c>
      <c r="M149" s="14">
        <f>Deployments!L141</f>
        <v/>
      </c>
      <c r="N149" s="14">
        <f>Deployments!CC141</f>
        <v/>
      </c>
      <c r="O149" s="21">
        <f>Deployments!CD141</f>
        <v/>
      </c>
      <c r="P149" s="2">
        <f>Deployments!BX141</f>
        <v/>
      </c>
      <c r="Q149" s="21">
        <f>IF(OR($A149="",$B149="",$D149=""),"MISSING CORE FIELDS","")</f>
        <v/>
      </c>
      <c r="R149" s="14">
        <f>IF(AND($I149&lt;&gt;"",$K149&lt;&gt;"Yes"),"SW NOT INSTALLED","")</f>
        <v/>
      </c>
      <c r="S149" s="14">
        <f>IF(AND($H149&lt;&gt;"",ISNUMBER(SEARCH("auto",LOWER($H149))),$F149=""),"AUTOLOGON REQUIRED","")</f>
        <v/>
      </c>
      <c r="T149" s="14">
        <f>IF($Q149&lt;&gt;"",$Q149,IF($S149&lt;&gt;"",$S149,IF($R149&lt;&gt;"",$R149,IF(OR($N149&lt;&gt;"",$O149="Blocked"),"BLOCKED","OK"))))</f>
        <v/>
      </c>
    </row>
    <row r="150">
      <c r="A150" s="21">
        <f>Deployments!H142</f>
        <v/>
      </c>
      <c r="B150" s="21">
        <f>Deployments!X142</f>
        <v/>
      </c>
      <c r="C150" s="21">
        <f>Deployments!Y142</f>
        <v/>
      </c>
      <c r="D150" s="14">
        <f>Deployments!AO142</f>
        <v/>
      </c>
      <c r="E150" s="14">
        <f>Deployments!N142</f>
        <v/>
      </c>
      <c r="F150" s="21">
        <f>Deployments!O142</f>
        <v/>
      </c>
      <c r="G150" s="14">
        <f>Deployments!P142</f>
        <v/>
      </c>
      <c r="H150" s="14">
        <f>'13 - Config_Intake_View'!M150</f>
        <v/>
      </c>
      <c r="I150" s="21">
        <f>IF('13 - Config_Intake_View'!Q150&lt;&gt;"",'13 - Config_Intake_View'!Q150,Deployments!AG142)</f>
        <v/>
      </c>
      <c r="J150" s="14">
        <f>IF('13 - Config_Intake_View'!Q150&lt;&gt;"","PM Approved",IF(Deployments!AG142&lt;&gt;"","Assumed",""))</f>
        <v/>
      </c>
      <c r="K150" s="21">
        <f>Deployments!AF142</f>
        <v/>
      </c>
      <c r="L150" s="14">
        <f>Deployments!U142</f>
        <v/>
      </c>
      <c r="M150" s="14">
        <f>Deployments!L142</f>
        <v/>
      </c>
      <c r="N150" s="14">
        <f>Deployments!CC142</f>
        <v/>
      </c>
      <c r="O150" s="21">
        <f>Deployments!CD142</f>
        <v/>
      </c>
      <c r="P150" s="2">
        <f>Deployments!BX142</f>
        <v/>
      </c>
      <c r="Q150" s="21">
        <f>IF(OR($A150="",$B150="",$D150=""),"MISSING CORE FIELDS","")</f>
        <v/>
      </c>
      <c r="R150" s="14">
        <f>IF(AND($I150&lt;&gt;"",$K150&lt;&gt;"Yes"),"SW NOT INSTALLED","")</f>
        <v/>
      </c>
      <c r="S150" s="14">
        <f>IF(AND($H150&lt;&gt;"",ISNUMBER(SEARCH("auto",LOWER($H150))),$F150=""),"AUTOLOGON REQUIRED","")</f>
        <v/>
      </c>
      <c r="T150" s="14">
        <f>IF($Q150&lt;&gt;"",$Q150,IF($S150&lt;&gt;"",$S150,IF($R150&lt;&gt;"",$R150,IF(OR($N150&lt;&gt;"",$O150="Blocked"),"BLOCKED","OK"))))</f>
        <v/>
      </c>
    </row>
    <row r="151">
      <c r="A151" s="21">
        <f>Deployments!H143</f>
        <v/>
      </c>
      <c r="B151" s="21">
        <f>Deployments!X143</f>
        <v/>
      </c>
      <c r="C151" s="21">
        <f>Deployments!Y143</f>
        <v/>
      </c>
      <c r="D151" s="14">
        <f>Deployments!AO143</f>
        <v/>
      </c>
      <c r="E151" s="14">
        <f>Deployments!N143</f>
        <v/>
      </c>
      <c r="F151" s="21">
        <f>Deployments!O143</f>
        <v/>
      </c>
      <c r="G151" s="14">
        <f>Deployments!P143</f>
        <v/>
      </c>
      <c r="H151" s="14">
        <f>'13 - Config_Intake_View'!M151</f>
        <v/>
      </c>
      <c r="I151" s="21">
        <f>IF('13 - Config_Intake_View'!Q151&lt;&gt;"",'13 - Config_Intake_View'!Q151,Deployments!AG143)</f>
        <v/>
      </c>
      <c r="J151" s="14">
        <f>IF('13 - Config_Intake_View'!Q151&lt;&gt;"","PM Approved",IF(Deployments!AG143&lt;&gt;"","Assumed",""))</f>
        <v/>
      </c>
      <c r="K151" s="21">
        <f>Deployments!AF143</f>
        <v/>
      </c>
      <c r="L151" s="14">
        <f>Deployments!U143</f>
        <v/>
      </c>
      <c r="M151" s="14">
        <f>Deployments!L143</f>
        <v/>
      </c>
      <c r="N151" s="14">
        <f>Deployments!CC143</f>
        <v/>
      </c>
      <c r="O151" s="21">
        <f>Deployments!CD143</f>
        <v/>
      </c>
      <c r="P151" s="2">
        <f>Deployments!BX143</f>
        <v/>
      </c>
      <c r="Q151" s="21">
        <f>IF(OR($A151="",$B151="",$D151=""),"MISSING CORE FIELDS","")</f>
        <v/>
      </c>
      <c r="R151" s="14">
        <f>IF(AND($I151&lt;&gt;"",$K151&lt;&gt;"Yes"),"SW NOT INSTALLED","")</f>
        <v/>
      </c>
      <c r="S151" s="14">
        <f>IF(AND($H151&lt;&gt;"",ISNUMBER(SEARCH("auto",LOWER($H151))),$F151=""),"AUTOLOGON REQUIRED","")</f>
        <v/>
      </c>
      <c r="T151" s="14">
        <f>IF($Q151&lt;&gt;"",$Q151,IF($S151&lt;&gt;"",$S151,IF($R151&lt;&gt;"",$R151,IF(OR($N151&lt;&gt;"",$O151="Blocked"),"BLOCKED","OK"))))</f>
        <v/>
      </c>
    </row>
    <row r="152">
      <c r="A152" s="21">
        <f>Deployments!H144</f>
        <v/>
      </c>
      <c r="B152" s="21">
        <f>Deployments!X144</f>
        <v/>
      </c>
      <c r="C152" s="21">
        <f>Deployments!Y144</f>
        <v/>
      </c>
      <c r="D152" s="14">
        <f>Deployments!AO144</f>
        <v/>
      </c>
      <c r="E152" s="14">
        <f>Deployments!N144</f>
        <v/>
      </c>
      <c r="F152" s="21">
        <f>Deployments!O144</f>
        <v/>
      </c>
      <c r="G152" s="14">
        <f>Deployments!P144</f>
        <v/>
      </c>
      <c r="H152" s="14">
        <f>'13 - Config_Intake_View'!M152</f>
        <v/>
      </c>
      <c r="I152" s="21">
        <f>IF('13 - Config_Intake_View'!Q152&lt;&gt;"",'13 - Config_Intake_View'!Q152,Deployments!AG144)</f>
        <v/>
      </c>
      <c r="J152" s="14">
        <f>IF('13 - Config_Intake_View'!Q152&lt;&gt;"","PM Approved",IF(Deployments!AG144&lt;&gt;"","Assumed",""))</f>
        <v/>
      </c>
      <c r="K152" s="21">
        <f>Deployments!AF144</f>
        <v/>
      </c>
      <c r="L152" s="14">
        <f>Deployments!U144</f>
        <v/>
      </c>
      <c r="M152" s="14">
        <f>Deployments!L144</f>
        <v/>
      </c>
      <c r="N152" s="14">
        <f>Deployments!CC144</f>
        <v/>
      </c>
      <c r="O152" s="21">
        <f>Deployments!CD144</f>
        <v/>
      </c>
      <c r="P152" s="2">
        <f>Deployments!BX144</f>
        <v/>
      </c>
      <c r="Q152" s="21">
        <f>IF(OR($A152="",$B152="",$D152=""),"MISSING CORE FIELDS","")</f>
        <v/>
      </c>
      <c r="R152" s="14">
        <f>IF(AND($I152&lt;&gt;"",$K152&lt;&gt;"Yes"),"SW NOT INSTALLED","")</f>
        <v/>
      </c>
      <c r="S152" s="14">
        <f>IF(AND($H152&lt;&gt;"",ISNUMBER(SEARCH("auto",LOWER($H152))),$F152=""),"AUTOLOGON REQUIRED","")</f>
        <v/>
      </c>
      <c r="T152" s="14">
        <f>IF($Q152&lt;&gt;"",$Q152,IF($S152&lt;&gt;"",$S152,IF($R152&lt;&gt;"",$R152,IF(OR($N152&lt;&gt;"",$O152="Blocked"),"BLOCKED","OK"))))</f>
        <v/>
      </c>
    </row>
    <row r="153">
      <c r="A153" s="21">
        <f>Deployments!H145</f>
        <v/>
      </c>
      <c r="B153" s="21">
        <f>Deployments!X145</f>
        <v/>
      </c>
      <c r="C153" s="21">
        <f>Deployments!Y145</f>
        <v/>
      </c>
      <c r="D153" s="14">
        <f>Deployments!AO145</f>
        <v/>
      </c>
      <c r="E153" s="14">
        <f>Deployments!N145</f>
        <v/>
      </c>
      <c r="F153" s="21">
        <f>Deployments!O145</f>
        <v/>
      </c>
      <c r="G153" s="14">
        <f>Deployments!P145</f>
        <v/>
      </c>
      <c r="H153" s="14">
        <f>'13 - Config_Intake_View'!M153</f>
        <v/>
      </c>
      <c r="I153" s="21">
        <f>IF('13 - Config_Intake_View'!Q153&lt;&gt;"",'13 - Config_Intake_View'!Q153,Deployments!AG145)</f>
        <v/>
      </c>
      <c r="J153" s="14">
        <f>IF('13 - Config_Intake_View'!Q153&lt;&gt;"","PM Approved",IF(Deployments!AG145&lt;&gt;"","Assumed",""))</f>
        <v/>
      </c>
      <c r="K153" s="21">
        <f>Deployments!AF145</f>
        <v/>
      </c>
      <c r="L153" s="14">
        <f>Deployments!U145</f>
        <v/>
      </c>
      <c r="M153" s="14">
        <f>Deployments!L145</f>
        <v/>
      </c>
      <c r="N153" s="14">
        <f>Deployments!CC145</f>
        <v/>
      </c>
      <c r="O153" s="21">
        <f>Deployments!CD145</f>
        <v/>
      </c>
      <c r="P153" s="2">
        <f>Deployments!BX145</f>
        <v/>
      </c>
      <c r="Q153" s="21">
        <f>IF(OR($A153="",$B153="",$D153=""),"MISSING CORE FIELDS","")</f>
        <v/>
      </c>
      <c r="R153" s="14">
        <f>IF(AND($I153&lt;&gt;"",$K153&lt;&gt;"Yes"),"SW NOT INSTALLED","")</f>
        <v/>
      </c>
      <c r="S153" s="14">
        <f>IF(AND($H153&lt;&gt;"",ISNUMBER(SEARCH("auto",LOWER($H153))),$F153=""),"AUTOLOGON REQUIRED","")</f>
        <v/>
      </c>
      <c r="T153" s="14">
        <f>IF($Q153&lt;&gt;"",$Q153,IF($S153&lt;&gt;"",$S153,IF($R153&lt;&gt;"",$R153,IF(OR($N153&lt;&gt;"",$O153="Blocked"),"BLOCKED","OK"))))</f>
        <v/>
      </c>
    </row>
    <row r="154">
      <c r="A154" s="21">
        <f>Deployments!H146</f>
        <v/>
      </c>
      <c r="B154" s="21">
        <f>Deployments!X146</f>
        <v/>
      </c>
      <c r="C154" s="21">
        <f>Deployments!Y146</f>
        <v/>
      </c>
      <c r="D154" s="14">
        <f>Deployments!AO146</f>
        <v/>
      </c>
      <c r="E154" s="14">
        <f>Deployments!N146</f>
        <v/>
      </c>
      <c r="F154" s="21">
        <f>Deployments!O146</f>
        <v/>
      </c>
      <c r="G154" s="14">
        <f>Deployments!P146</f>
        <v/>
      </c>
      <c r="H154" s="14">
        <f>'13 - Config_Intake_View'!M154</f>
        <v/>
      </c>
      <c r="I154" s="21">
        <f>IF('13 - Config_Intake_View'!Q154&lt;&gt;"",'13 - Config_Intake_View'!Q154,Deployments!AG146)</f>
        <v/>
      </c>
      <c r="J154" s="14">
        <f>IF('13 - Config_Intake_View'!Q154&lt;&gt;"","PM Approved",IF(Deployments!AG146&lt;&gt;"","Assumed",""))</f>
        <v/>
      </c>
      <c r="K154" s="21">
        <f>Deployments!AF146</f>
        <v/>
      </c>
      <c r="L154" s="14">
        <f>Deployments!U146</f>
        <v/>
      </c>
      <c r="M154" s="14">
        <f>Deployments!L146</f>
        <v/>
      </c>
      <c r="N154" s="14">
        <f>Deployments!CC146</f>
        <v/>
      </c>
      <c r="O154" s="21">
        <f>Deployments!CD146</f>
        <v/>
      </c>
      <c r="P154" s="2">
        <f>Deployments!BX146</f>
        <v/>
      </c>
      <c r="Q154" s="21">
        <f>IF(OR($A154="",$B154="",$D154=""),"MISSING CORE FIELDS","")</f>
        <v/>
      </c>
      <c r="R154" s="14">
        <f>IF(AND($I154&lt;&gt;"",$K154&lt;&gt;"Yes"),"SW NOT INSTALLED","")</f>
        <v/>
      </c>
      <c r="S154" s="14">
        <f>IF(AND($H154&lt;&gt;"",ISNUMBER(SEARCH("auto",LOWER($H154))),$F154=""),"AUTOLOGON REQUIRED","")</f>
        <v/>
      </c>
      <c r="T154" s="14">
        <f>IF($Q154&lt;&gt;"",$Q154,IF($S154&lt;&gt;"",$S154,IF($R154&lt;&gt;"",$R154,IF(OR($N154&lt;&gt;"",$O154="Blocked"),"BLOCKED","OK"))))</f>
        <v/>
      </c>
    </row>
    <row r="155">
      <c r="A155" s="21">
        <f>Deployments!H147</f>
        <v/>
      </c>
      <c r="B155" s="21">
        <f>Deployments!X147</f>
        <v/>
      </c>
      <c r="C155" s="21">
        <f>Deployments!Y147</f>
        <v/>
      </c>
      <c r="D155" s="14">
        <f>Deployments!AO147</f>
        <v/>
      </c>
      <c r="E155" s="14">
        <f>Deployments!N147</f>
        <v/>
      </c>
      <c r="F155" s="21">
        <f>Deployments!O147</f>
        <v/>
      </c>
      <c r="G155" s="14">
        <f>Deployments!P147</f>
        <v/>
      </c>
      <c r="H155" s="14">
        <f>'13 - Config_Intake_View'!M155</f>
        <v/>
      </c>
      <c r="I155" s="21">
        <f>IF('13 - Config_Intake_View'!Q155&lt;&gt;"",'13 - Config_Intake_View'!Q155,Deployments!AG147)</f>
        <v/>
      </c>
      <c r="J155" s="14">
        <f>IF('13 - Config_Intake_View'!Q155&lt;&gt;"","PM Approved",IF(Deployments!AG147&lt;&gt;"","Assumed",""))</f>
        <v/>
      </c>
      <c r="K155" s="21">
        <f>Deployments!AF147</f>
        <v/>
      </c>
      <c r="L155" s="14">
        <f>Deployments!U147</f>
        <v/>
      </c>
      <c r="M155" s="14">
        <f>Deployments!L147</f>
        <v/>
      </c>
      <c r="N155" s="14">
        <f>Deployments!CC147</f>
        <v/>
      </c>
      <c r="O155" s="21">
        <f>Deployments!CD147</f>
        <v/>
      </c>
      <c r="P155" s="2">
        <f>Deployments!BX147</f>
        <v/>
      </c>
      <c r="Q155" s="21">
        <f>IF(OR($A155="",$B155="",$D155=""),"MISSING CORE FIELDS","")</f>
        <v/>
      </c>
      <c r="R155" s="14">
        <f>IF(AND($I155&lt;&gt;"",$K155&lt;&gt;"Yes"),"SW NOT INSTALLED","")</f>
        <v/>
      </c>
      <c r="S155" s="14">
        <f>IF(AND($H155&lt;&gt;"",ISNUMBER(SEARCH("auto",LOWER($H155))),$F155=""),"AUTOLOGON REQUIRED","")</f>
        <v/>
      </c>
      <c r="T155" s="14">
        <f>IF($Q155&lt;&gt;"",$Q155,IF($S155&lt;&gt;"",$S155,IF($R155&lt;&gt;"",$R155,IF(OR($N155&lt;&gt;"",$O155="Blocked"),"BLOCKED","OK"))))</f>
        <v/>
      </c>
    </row>
    <row r="156">
      <c r="A156" s="21">
        <f>Deployments!H148</f>
        <v/>
      </c>
      <c r="B156" s="21">
        <f>Deployments!X148</f>
        <v/>
      </c>
      <c r="C156" s="21">
        <f>Deployments!Y148</f>
        <v/>
      </c>
      <c r="D156" s="14">
        <f>Deployments!AO148</f>
        <v/>
      </c>
      <c r="E156" s="14">
        <f>Deployments!N148</f>
        <v/>
      </c>
      <c r="F156" s="21">
        <f>Deployments!O148</f>
        <v/>
      </c>
      <c r="G156" s="14">
        <f>Deployments!P148</f>
        <v/>
      </c>
      <c r="H156" s="14">
        <f>'13 - Config_Intake_View'!M156</f>
        <v/>
      </c>
      <c r="I156" s="21">
        <f>IF('13 - Config_Intake_View'!Q156&lt;&gt;"",'13 - Config_Intake_View'!Q156,Deployments!AG148)</f>
        <v/>
      </c>
      <c r="J156" s="14">
        <f>IF('13 - Config_Intake_View'!Q156&lt;&gt;"","PM Approved",IF(Deployments!AG148&lt;&gt;"","Assumed",""))</f>
        <v/>
      </c>
      <c r="K156" s="21">
        <f>Deployments!AF148</f>
        <v/>
      </c>
      <c r="L156" s="14">
        <f>Deployments!U148</f>
        <v/>
      </c>
      <c r="M156" s="14">
        <f>Deployments!L148</f>
        <v/>
      </c>
      <c r="N156" s="14">
        <f>Deployments!CC148</f>
        <v/>
      </c>
      <c r="O156" s="21">
        <f>Deployments!CD148</f>
        <v/>
      </c>
      <c r="P156" s="2">
        <f>Deployments!BX148</f>
        <v/>
      </c>
      <c r="Q156" s="21">
        <f>IF(OR($A156="",$B156="",$D156=""),"MISSING CORE FIELDS","")</f>
        <v/>
      </c>
      <c r="R156" s="14">
        <f>IF(AND($I156&lt;&gt;"",$K156&lt;&gt;"Yes"),"SW NOT INSTALLED","")</f>
        <v/>
      </c>
      <c r="S156" s="14">
        <f>IF(AND($H156&lt;&gt;"",ISNUMBER(SEARCH("auto",LOWER($H156))),$F156=""),"AUTOLOGON REQUIRED","")</f>
        <v/>
      </c>
      <c r="T156" s="14">
        <f>IF($Q156&lt;&gt;"",$Q156,IF($S156&lt;&gt;"",$S156,IF($R156&lt;&gt;"",$R156,IF(OR($N156&lt;&gt;"",$O156="Blocked"),"BLOCKED","OK"))))</f>
        <v/>
      </c>
    </row>
    <row r="157">
      <c r="A157" s="21">
        <f>Deployments!H149</f>
        <v/>
      </c>
      <c r="B157" s="21">
        <f>Deployments!X149</f>
        <v/>
      </c>
      <c r="C157" s="21">
        <f>Deployments!Y149</f>
        <v/>
      </c>
      <c r="D157" s="14">
        <f>Deployments!AO149</f>
        <v/>
      </c>
      <c r="E157" s="14">
        <f>Deployments!N149</f>
        <v/>
      </c>
      <c r="F157" s="21">
        <f>Deployments!O149</f>
        <v/>
      </c>
      <c r="G157" s="14">
        <f>Deployments!P149</f>
        <v/>
      </c>
      <c r="H157" s="14">
        <f>'13 - Config_Intake_View'!M157</f>
        <v/>
      </c>
      <c r="I157" s="21">
        <f>IF('13 - Config_Intake_View'!Q157&lt;&gt;"",'13 - Config_Intake_View'!Q157,Deployments!AG149)</f>
        <v/>
      </c>
      <c r="J157" s="14">
        <f>IF('13 - Config_Intake_View'!Q157&lt;&gt;"","PM Approved",IF(Deployments!AG149&lt;&gt;"","Assumed",""))</f>
        <v/>
      </c>
      <c r="K157" s="21">
        <f>Deployments!AF149</f>
        <v/>
      </c>
      <c r="L157" s="14">
        <f>Deployments!U149</f>
        <v/>
      </c>
      <c r="M157" s="14">
        <f>Deployments!L149</f>
        <v/>
      </c>
      <c r="N157" s="14">
        <f>Deployments!CC149</f>
        <v/>
      </c>
      <c r="O157" s="21">
        <f>Deployments!CD149</f>
        <v/>
      </c>
      <c r="P157" s="2">
        <f>Deployments!BX149</f>
        <v/>
      </c>
      <c r="Q157" s="21">
        <f>IF(OR($A157="",$B157="",$D157=""),"MISSING CORE FIELDS","")</f>
        <v/>
      </c>
      <c r="R157" s="14">
        <f>IF(AND($I157&lt;&gt;"",$K157&lt;&gt;"Yes"),"SW NOT INSTALLED","")</f>
        <v/>
      </c>
      <c r="S157" s="14">
        <f>IF(AND($H157&lt;&gt;"",ISNUMBER(SEARCH("auto",LOWER($H157))),$F157=""),"AUTOLOGON REQUIRED","")</f>
        <v/>
      </c>
      <c r="T157" s="14">
        <f>IF($Q157&lt;&gt;"",$Q157,IF($S157&lt;&gt;"",$S157,IF($R157&lt;&gt;"",$R157,IF(OR($N157&lt;&gt;"",$O157="Blocked"),"BLOCKED","OK"))))</f>
        <v/>
      </c>
    </row>
    <row r="158">
      <c r="A158" s="21">
        <f>Deployments!H150</f>
        <v/>
      </c>
      <c r="B158" s="21">
        <f>Deployments!X150</f>
        <v/>
      </c>
      <c r="C158" s="21">
        <f>Deployments!Y150</f>
        <v/>
      </c>
      <c r="D158" s="14">
        <f>Deployments!AO150</f>
        <v/>
      </c>
      <c r="E158" s="14">
        <f>Deployments!N150</f>
        <v/>
      </c>
      <c r="F158" s="21">
        <f>Deployments!O150</f>
        <v/>
      </c>
      <c r="G158" s="14">
        <f>Deployments!P150</f>
        <v/>
      </c>
      <c r="H158" s="14">
        <f>'13 - Config_Intake_View'!M158</f>
        <v/>
      </c>
      <c r="I158" s="21">
        <f>IF('13 - Config_Intake_View'!Q158&lt;&gt;"",'13 - Config_Intake_View'!Q158,Deployments!AG150)</f>
        <v/>
      </c>
      <c r="J158" s="14">
        <f>IF('13 - Config_Intake_View'!Q158&lt;&gt;"","PM Approved",IF(Deployments!AG150&lt;&gt;"","Assumed",""))</f>
        <v/>
      </c>
      <c r="K158" s="21">
        <f>Deployments!AF150</f>
        <v/>
      </c>
      <c r="L158" s="14">
        <f>Deployments!U150</f>
        <v/>
      </c>
      <c r="M158" s="14">
        <f>Deployments!L150</f>
        <v/>
      </c>
      <c r="N158" s="14">
        <f>Deployments!CC150</f>
        <v/>
      </c>
      <c r="O158" s="21">
        <f>Deployments!CD150</f>
        <v/>
      </c>
      <c r="P158" s="2">
        <f>Deployments!BX150</f>
        <v/>
      </c>
      <c r="Q158" s="21">
        <f>IF(OR($A158="",$B158="",$D158=""),"MISSING CORE FIELDS","")</f>
        <v/>
      </c>
      <c r="R158" s="14">
        <f>IF(AND($I158&lt;&gt;"",$K158&lt;&gt;"Yes"),"SW NOT INSTALLED","")</f>
        <v/>
      </c>
      <c r="S158" s="14">
        <f>IF(AND($H158&lt;&gt;"",ISNUMBER(SEARCH("auto",LOWER($H158))),$F158=""),"AUTOLOGON REQUIRED","")</f>
        <v/>
      </c>
      <c r="T158" s="14">
        <f>IF($Q158&lt;&gt;"",$Q158,IF($S158&lt;&gt;"",$S158,IF($R158&lt;&gt;"",$R158,IF(OR($N158&lt;&gt;"",$O158="Blocked"),"BLOCKED","OK"))))</f>
        <v/>
      </c>
    </row>
    <row r="159">
      <c r="A159" s="21">
        <f>Deployments!H151</f>
        <v/>
      </c>
      <c r="B159" s="21">
        <f>Deployments!X151</f>
        <v/>
      </c>
      <c r="C159" s="21">
        <f>Deployments!Y151</f>
        <v/>
      </c>
      <c r="D159" s="14">
        <f>Deployments!AO151</f>
        <v/>
      </c>
      <c r="E159" s="14">
        <f>Deployments!N151</f>
        <v/>
      </c>
      <c r="F159" s="21">
        <f>Deployments!O151</f>
        <v/>
      </c>
      <c r="G159" s="14">
        <f>Deployments!P151</f>
        <v/>
      </c>
      <c r="H159" s="14">
        <f>'13 - Config_Intake_View'!M159</f>
        <v/>
      </c>
      <c r="I159" s="21">
        <f>IF('13 - Config_Intake_View'!Q159&lt;&gt;"",'13 - Config_Intake_View'!Q159,Deployments!AG151)</f>
        <v/>
      </c>
      <c r="J159" s="14">
        <f>IF('13 - Config_Intake_View'!Q159&lt;&gt;"","PM Approved",IF(Deployments!AG151&lt;&gt;"","Assumed",""))</f>
        <v/>
      </c>
      <c r="K159" s="21">
        <f>Deployments!AF151</f>
        <v/>
      </c>
      <c r="L159" s="14">
        <f>Deployments!U151</f>
        <v/>
      </c>
      <c r="M159" s="14">
        <f>Deployments!L151</f>
        <v/>
      </c>
      <c r="N159" s="14">
        <f>Deployments!CC151</f>
        <v/>
      </c>
      <c r="O159" s="21">
        <f>Deployments!CD151</f>
        <v/>
      </c>
      <c r="P159" s="2">
        <f>Deployments!BX151</f>
        <v/>
      </c>
      <c r="Q159" s="21">
        <f>IF(OR($A159="",$B159="",$D159=""),"MISSING CORE FIELDS","")</f>
        <v/>
      </c>
      <c r="R159" s="14">
        <f>IF(AND($I159&lt;&gt;"",$K159&lt;&gt;"Yes"),"SW NOT INSTALLED","")</f>
        <v/>
      </c>
      <c r="S159" s="14">
        <f>IF(AND($H159&lt;&gt;"",ISNUMBER(SEARCH("auto",LOWER($H159))),$F159=""),"AUTOLOGON REQUIRED","")</f>
        <v/>
      </c>
      <c r="T159" s="14">
        <f>IF($Q159&lt;&gt;"",$Q159,IF($S159&lt;&gt;"",$S159,IF($R159&lt;&gt;"",$R159,IF(OR($N159&lt;&gt;"",$O159="Blocked"),"BLOCKED","OK"))))</f>
        <v/>
      </c>
    </row>
    <row r="160">
      <c r="A160" s="21">
        <f>Deployments!H152</f>
        <v/>
      </c>
      <c r="B160" s="21">
        <f>Deployments!X152</f>
        <v/>
      </c>
      <c r="C160" s="21">
        <f>Deployments!Y152</f>
        <v/>
      </c>
      <c r="D160" s="14">
        <f>Deployments!AO152</f>
        <v/>
      </c>
      <c r="E160" s="14">
        <f>Deployments!N152</f>
        <v/>
      </c>
      <c r="F160" s="21">
        <f>Deployments!O152</f>
        <v/>
      </c>
      <c r="G160" s="14">
        <f>Deployments!P152</f>
        <v/>
      </c>
      <c r="H160" s="14">
        <f>'13 - Config_Intake_View'!M160</f>
        <v/>
      </c>
      <c r="I160" s="21">
        <f>IF('13 - Config_Intake_View'!Q160&lt;&gt;"",'13 - Config_Intake_View'!Q160,Deployments!AG152)</f>
        <v/>
      </c>
      <c r="J160" s="14">
        <f>IF('13 - Config_Intake_View'!Q160&lt;&gt;"","PM Approved",IF(Deployments!AG152&lt;&gt;"","Assumed",""))</f>
        <v/>
      </c>
      <c r="K160" s="21">
        <f>Deployments!AF152</f>
        <v/>
      </c>
      <c r="L160" s="14">
        <f>Deployments!U152</f>
        <v/>
      </c>
      <c r="M160" s="14">
        <f>Deployments!L152</f>
        <v/>
      </c>
      <c r="N160" s="14">
        <f>Deployments!CC152</f>
        <v/>
      </c>
      <c r="O160" s="21">
        <f>Deployments!CD152</f>
        <v/>
      </c>
      <c r="P160" s="2">
        <f>Deployments!BX152</f>
        <v/>
      </c>
      <c r="Q160" s="21">
        <f>IF(OR($A160="",$B160="",$D160=""),"MISSING CORE FIELDS","")</f>
        <v/>
      </c>
      <c r="R160" s="14">
        <f>IF(AND($I160&lt;&gt;"",$K160&lt;&gt;"Yes"),"SW NOT INSTALLED","")</f>
        <v/>
      </c>
      <c r="S160" s="14">
        <f>IF(AND($H160&lt;&gt;"",ISNUMBER(SEARCH("auto",LOWER($H160))),$F160=""),"AUTOLOGON REQUIRED","")</f>
        <v/>
      </c>
      <c r="T160" s="14">
        <f>IF($Q160&lt;&gt;"",$Q160,IF($S160&lt;&gt;"",$S160,IF($R160&lt;&gt;"",$R160,IF(OR($N160&lt;&gt;"",$O160="Blocked"),"BLOCKED","OK"))))</f>
        <v/>
      </c>
    </row>
    <row r="161">
      <c r="A161" s="21">
        <f>Deployments!H153</f>
        <v/>
      </c>
      <c r="B161" s="21">
        <f>Deployments!X153</f>
        <v/>
      </c>
      <c r="C161" s="21">
        <f>Deployments!Y153</f>
        <v/>
      </c>
      <c r="D161" s="14">
        <f>Deployments!AO153</f>
        <v/>
      </c>
      <c r="E161" s="14">
        <f>Deployments!N153</f>
        <v/>
      </c>
      <c r="F161" s="21">
        <f>Deployments!O153</f>
        <v/>
      </c>
      <c r="G161" s="14">
        <f>Deployments!P153</f>
        <v/>
      </c>
      <c r="H161" s="14">
        <f>'13 - Config_Intake_View'!M161</f>
        <v/>
      </c>
      <c r="I161" s="21">
        <f>IF('13 - Config_Intake_View'!Q161&lt;&gt;"",'13 - Config_Intake_View'!Q161,Deployments!AG153)</f>
        <v/>
      </c>
      <c r="J161" s="14">
        <f>IF('13 - Config_Intake_View'!Q161&lt;&gt;"","PM Approved",IF(Deployments!AG153&lt;&gt;"","Assumed",""))</f>
        <v/>
      </c>
      <c r="K161" s="21">
        <f>Deployments!AF153</f>
        <v/>
      </c>
      <c r="L161" s="14">
        <f>Deployments!U153</f>
        <v/>
      </c>
      <c r="M161" s="14">
        <f>Deployments!L153</f>
        <v/>
      </c>
      <c r="N161" s="14">
        <f>Deployments!CC153</f>
        <v/>
      </c>
      <c r="O161" s="21">
        <f>Deployments!CD153</f>
        <v/>
      </c>
      <c r="P161" s="2">
        <f>Deployments!BX153</f>
        <v/>
      </c>
      <c r="Q161" s="21">
        <f>IF(OR($A161="",$B161="",$D161=""),"MISSING CORE FIELDS","")</f>
        <v/>
      </c>
      <c r="R161" s="14">
        <f>IF(AND($I161&lt;&gt;"",$K161&lt;&gt;"Yes"),"SW NOT INSTALLED","")</f>
        <v/>
      </c>
      <c r="S161" s="14">
        <f>IF(AND($H161&lt;&gt;"",ISNUMBER(SEARCH("auto",LOWER($H161))),$F161=""),"AUTOLOGON REQUIRED","")</f>
        <v/>
      </c>
      <c r="T161" s="14">
        <f>IF($Q161&lt;&gt;"",$Q161,IF($S161&lt;&gt;"",$S161,IF($R161&lt;&gt;"",$R161,IF(OR($N161&lt;&gt;"",$O161="Blocked"),"BLOCKED","OK"))))</f>
        <v/>
      </c>
    </row>
    <row r="162">
      <c r="A162" s="21">
        <f>Deployments!H154</f>
        <v/>
      </c>
      <c r="B162" s="21">
        <f>Deployments!X154</f>
        <v/>
      </c>
      <c r="C162" s="21">
        <f>Deployments!Y154</f>
        <v/>
      </c>
      <c r="D162" s="14">
        <f>Deployments!AO154</f>
        <v/>
      </c>
      <c r="E162" s="14">
        <f>Deployments!N154</f>
        <v/>
      </c>
      <c r="F162" s="21">
        <f>Deployments!O154</f>
        <v/>
      </c>
      <c r="G162" s="14">
        <f>Deployments!P154</f>
        <v/>
      </c>
      <c r="H162" s="14">
        <f>'13 - Config_Intake_View'!M162</f>
        <v/>
      </c>
      <c r="I162" s="21">
        <f>IF('13 - Config_Intake_View'!Q162&lt;&gt;"",'13 - Config_Intake_View'!Q162,Deployments!AG154)</f>
        <v/>
      </c>
      <c r="J162" s="14">
        <f>IF('13 - Config_Intake_View'!Q162&lt;&gt;"","PM Approved",IF(Deployments!AG154&lt;&gt;"","Assumed",""))</f>
        <v/>
      </c>
      <c r="K162" s="21">
        <f>Deployments!AF154</f>
        <v/>
      </c>
      <c r="L162" s="14">
        <f>Deployments!U154</f>
        <v/>
      </c>
      <c r="M162" s="14">
        <f>Deployments!L154</f>
        <v/>
      </c>
      <c r="N162" s="14">
        <f>Deployments!CC154</f>
        <v/>
      </c>
      <c r="O162" s="21">
        <f>Deployments!CD154</f>
        <v/>
      </c>
      <c r="P162" s="2">
        <f>Deployments!BX154</f>
        <v/>
      </c>
      <c r="Q162" s="21">
        <f>IF(OR($A162="",$B162="",$D162=""),"MISSING CORE FIELDS","")</f>
        <v/>
      </c>
      <c r="R162" s="14">
        <f>IF(AND($I162&lt;&gt;"",$K162&lt;&gt;"Yes"),"SW NOT INSTALLED","")</f>
        <v/>
      </c>
      <c r="S162" s="14">
        <f>IF(AND($H162&lt;&gt;"",ISNUMBER(SEARCH("auto",LOWER($H162))),$F162=""),"AUTOLOGON REQUIRED","")</f>
        <v/>
      </c>
      <c r="T162" s="14">
        <f>IF($Q162&lt;&gt;"",$Q162,IF($S162&lt;&gt;"",$S162,IF($R162&lt;&gt;"",$R162,IF(OR($N162&lt;&gt;"",$O162="Blocked"),"BLOCKED","OK"))))</f>
        <v/>
      </c>
    </row>
    <row r="163">
      <c r="A163" s="21">
        <f>Deployments!H155</f>
        <v/>
      </c>
      <c r="B163" s="21">
        <f>Deployments!X155</f>
        <v/>
      </c>
      <c r="C163" s="21">
        <f>Deployments!Y155</f>
        <v/>
      </c>
      <c r="D163" s="14">
        <f>Deployments!AO155</f>
        <v/>
      </c>
      <c r="E163" s="14">
        <f>Deployments!N155</f>
        <v/>
      </c>
      <c r="F163" s="21">
        <f>Deployments!O155</f>
        <v/>
      </c>
      <c r="G163" s="14">
        <f>Deployments!P155</f>
        <v/>
      </c>
      <c r="H163" s="14">
        <f>'13 - Config_Intake_View'!M163</f>
        <v/>
      </c>
      <c r="I163" s="21">
        <f>IF('13 - Config_Intake_View'!Q163&lt;&gt;"",'13 - Config_Intake_View'!Q163,Deployments!AG155)</f>
        <v/>
      </c>
      <c r="J163" s="14">
        <f>IF('13 - Config_Intake_View'!Q163&lt;&gt;"","PM Approved",IF(Deployments!AG155&lt;&gt;"","Assumed",""))</f>
        <v/>
      </c>
      <c r="K163" s="21">
        <f>Deployments!AF155</f>
        <v/>
      </c>
      <c r="L163" s="14">
        <f>Deployments!U155</f>
        <v/>
      </c>
      <c r="M163" s="14">
        <f>Deployments!L155</f>
        <v/>
      </c>
      <c r="N163" s="14">
        <f>Deployments!CC155</f>
        <v/>
      </c>
      <c r="O163" s="21">
        <f>Deployments!CD155</f>
        <v/>
      </c>
      <c r="P163" s="2">
        <f>Deployments!BX155</f>
        <v/>
      </c>
      <c r="Q163" s="21">
        <f>IF(OR($A163="",$B163="",$D163=""),"MISSING CORE FIELDS","")</f>
        <v/>
      </c>
      <c r="R163" s="14">
        <f>IF(AND($I163&lt;&gt;"",$K163&lt;&gt;"Yes"),"SW NOT INSTALLED","")</f>
        <v/>
      </c>
      <c r="S163" s="14">
        <f>IF(AND($H163&lt;&gt;"",ISNUMBER(SEARCH("auto",LOWER($H163))),$F163=""),"AUTOLOGON REQUIRED","")</f>
        <v/>
      </c>
      <c r="T163" s="14">
        <f>IF($Q163&lt;&gt;"",$Q163,IF($S163&lt;&gt;"",$S163,IF($R163&lt;&gt;"",$R163,IF(OR($N163&lt;&gt;"",$O163="Blocked"),"BLOCKED","OK"))))</f>
        <v/>
      </c>
    </row>
    <row r="164">
      <c r="A164" s="21">
        <f>Deployments!H156</f>
        <v/>
      </c>
      <c r="B164" s="21">
        <f>Deployments!X156</f>
        <v/>
      </c>
      <c r="C164" s="21">
        <f>Deployments!Y156</f>
        <v/>
      </c>
      <c r="D164" s="14">
        <f>Deployments!AO156</f>
        <v/>
      </c>
      <c r="E164" s="14">
        <f>Deployments!N156</f>
        <v/>
      </c>
      <c r="F164" s="21">
        <f>Deployments!O156</f>
        <v/>
      </c>
      <c r="G164" s="14">
        <f>Deployments!P156</f>
        <v/>
      </c>
      <c r="H164" s="14">
        <f>'13 - Config_Intake_View'!M164</f>
        <v/>
      </c>
      <c r="I164" s="21">
        <f>IF('13 - Config_Intake_View'!Q164&lt;&gt;"",'13 - Config_Intake_View'!Q164,Deployments!AG156)</f>
        <v/>
      </c>
      <c r="J164" s="14">
        <f>IF('13 - Config_Intake_View'!Q164&lt;&gt;"","PM Approved",IF(Deployments!AG156&lt;&gt;"","Assumed",""))</f>
        <v/>
      </c>
      <c r="K164" s="21">
        <f>Deployments!AF156</f>
        <v/>
      </c>
      <c r="L164" s="14">
        <f>Deployments!U156</f>
        <v/>
      </c>
      <c r="M164" s="14">
        <f>Deployments!L156</f>
        <v/>
      </c>
      <c r="N164" s="14">
        <f>Deployments!CC156</f>
        <v/>
      </c>
      <c r="O164" s="21">
        <f>Deployments!CD156</f>
        <v/>
      </c>
      <c r="P164" s="2">
        <f>Deployments!BX156</f>
        <v/>
      </c>
      <c r="Q164" s="21">
        <f>IF(OR($A164="",$B164="",$D164=""),"MISSING CORE FIELDS","")</f>
        <v/>
      </c>
      <c r="R164" s="14">
        <f>IF(AND($I164&lt;&gt;"",$K164&lt;&gt;"Yes"),"SW NOT INSTALLED","")</f>
        <v/>
      </c>
      <c r="S164" s="14">
        <f>IF(AND($H164&lt;&gt;"",ISNUMBER(SEARCH("auto",LOWER($H164))),$F164=""),"AUTOLOGON REQUIRED","")</f>
        <v/>
      </c>
      <c r="T164" s="14">
        <f>IF($Q164&lt;&gt;"",$Q164,IF($S164&lt;&gt;"",$S164,IF($R164&lt;&gt;"",$R164,IF(OR($N164&lt;&gt;"",$O164="Blocked"),"BLOCKED","OK"))))</f>
        <v/>
      </c>
    </row>
    <row r="165">
      <c r="A165" s="21">
        <f>Deployments!H157</f>
        <v/>
      </c>
      <c r="B165" s="21">
        <f>Deployments!X157</f>
        <v/>
      </c>
      <c r="C165" s="21">
        <f>Deployments!Y157</f>
        <v/>
      </c>
      <c r="D165" s="14">
        <f>Deployments!AO157</f>
        <v/>
      </c>
      <c r="E165" s="14">
        <f>Deployments!N157</f>
        <v/>
      </c>
      <c r="F165" s="21">
        <f>Deployments!O157</f>
        <v/>
      </c>
      <c r="G165" s="14">
        <f>Deployments!P157</f>
        <v/>
      </c>
      <c r="H165" s="14">
        <f>'13 - Config_Intake_View'!M165</f>
        <v/>
      </c>
      <c r="I165" s="21">
        <f>IF('13 - Config_Intake_View'!Q165&lt;&gt;"",'13 - Config_Intake_View'!Q165,Deployments!AG157)</f>
        <v/>
      </c>
      <c r="J165" s="14">
        <f>IF('13 - Config_Intake_View'!Q165&lt;&gt;"","PM Approved",IF(Deployments!AG157&lt;&gt;"","Assumed",""))</f>
        <v/>
      </c>
      <c r="K165" s="21">
        <f>Deployments!AF157</f>
        <v/>
      </c>
      <c r="L165" s="14">
        <f>Deployments!U157</f>
        <v/>
      </c>
      <c r="M165" s="14">
        <f>Deployments!L157</f>
        <v/>
      </c>
      <c r="N165" s="14">
        <f>Deployments!CC157</f>
        <v/>
      </c>
      <c r="O165" s="21">
        <f>Deployments!CD157</f>
        <v/>
      </c>
      <c r="P165" s="2">
        <f>Deployments!BX157</f>
        <v/>
      </c>
      <c r="Q165" s="21">
        <f>IF(OR($A165="",$B165="",$D165=""),"MISSING CORE FIELDS","")</f>
        <v/>
      </c>
      <c r="R165" s="14">
        <f>IF(AND($I165&lt;&gt;"",$K165&lt;&gt;"Yes"),"SW NOT INSTALLED","")</f>
        <v/>
      </c>
      <c r="S165" s="14">
        <f>IF(AND($H165&lt;&gt;"",ISNUMBER(SEARCH("auto",LOWER($H165))),$F165=""),"AUTOLOGON REQUIRED","")</f>
        <v/>
      </c>
      <c r="T165" s="14">
        <f>IF($Q165&lt;&gt;"",$Q165,IF($S165&lt;&gt;"",$S165,IF($R165&lt;&gt;"",$R165,IF(OR($N165&lt;&gt;"",$O165="Blocked"),"BLOCKED","OK"))))</f>
        <v/>
      </c>
    </row>
    <row r="166">
      <c r="A166" s="21">
        <f>Deployments!H158</f>
        <v/>
      </c>
      <c r="B166" s="21">
        <f>Deployments!X158</f>
        <v/>
      </c>
      <c r="C166" s="21">
        <f>Deployments!Y158</f>
        <v/>
      </c>
      <c r="D166" s="14">
        <f>Deployments!AO158</f>
        <v/>
      </c>
      <c r="E166" s="14">
        <f>Deployments!N158</f>
        <v/>
      </c>
      <c r="F166" s="21">
        <f>Deployments!O158</f>
        <v/>
      </c>
      <c r="G166" s="14">
        <f>Deployments!P158</f>
        <v/>
      </c>
      <c r="H166" s="14">
        <f>'13 - Config_Intake_View'!M166</f>
        <v/>
      </c>
      <c r="I166" s="21">
        <f>IF('13 - Config_Intake_View'!Q166&lt;&gt;"",'13 - Config_Intake_View'!Q166,Deployments!AG158)</f>
        <v/>
      </c>
      <c r="J166" s="14">
        <f>IF('13 - Config_Intake_View'!Q166&lt;&gt;"","PM Approved",IF(Deployments!AG158&lt;&gt;"","Assumed",""))</f>
        <v/>
      </c>
      <c r="K166" s="21">
        <f>Deployments!AF158</f>
        <v/>
      </c>
      <c r="L166" s="14">
        <f>Deployments!U158</f>
        <v/>
      </c>
      <c r="M166" s="14">
        <f>Deployments!L158</f>
        <v/>
      </c>
      <c r="N166" s="14">
        <f>Deployments!CC158</f>
        <v/>
      </c>
      <c r="O166" s="21">
        <f>Deployments!CD158</f>
        <v/>
      </c>
      <c r="P166" s="2">
        <f>Deployments!BX158</f>
        <v/>
      </c>
      <c r="Q166" s="21">
        <f>IF(OR($A166="",$B166="",$D166=""),"MISSING CORE FIELDS","")</f>
        <v/>
      </c>
      <c r="R166" s="14">
        <f>IF(AND($I166&lt;&gt;"",$K166&lt;&gt;"Yes"),"SW NOT INSTALLED","")</f>
        <v/>
      </c>
      <c r="S166" s="14">
        <f>IF(AND($H166&lt;&gt;"",ISNUMBER(SEARCH("auto",LOWER($H166))),$F166=""),"AUTOLOGON REQUIRED","")</f>
        <v/>
      </c>
      <c r="T166" s="14">
        <f>IF($Q166&lt;&gt;"",$Q166,IF($S166&lt;&gt;"",$S166,IF($R166&lt;&gt;"",$R166,IF(OR($N166&lt;&gt;"",$O166="Blocked"),"BLOCKED","OK"))))</f>
        <v/>
      </c>
    </row>
    <row r="167">
      <c r="A167" s="21">
        <f>Deployments!H159</f>
        <v/>
      </c>
      <c r="B167" s="21">
        <f>Deployments!X159</f>
        <v/>
      </c>
      <c r="C167" s="21">
        <f>Deployments!Y159</f>
        <v/>
      </c>
      <c r="D167" s="14">
        <f>Deployments!AO159</f>
        <v/>
      </c>
      <c r="E167" s="14">
        <f>Deployments!N159</f>
        <v/>
      </c>
      <c r="F167" s="21">
        <f>Deployments!O159</f>
        <v/>
      </c>
      <c r="G167" s="14">
        <f>Deployments!P159</f>
        <v/>
      </c>
      <c r="H167" s="14">
        <f>'13 - Config_Intake_View'!M167</f>
        <v/>
      </c>
      <c r="I167" s="21">
        <f>IF('13 - Config_Intake_View'!Q167&lt;&gt;"",'13 - Config_Intake_View'!Q167,Deployments!AG159)</f>
        <v/>
      </c>
      <c r="J167" s="14">
        <f>IF('13 - Config_Intake_View'!Q167&lt;&gt;"","PM Approved",IF(Deployments!AG159&lt;&gt;"","Assumed",""))</f>
        <v/>
      </c>
      <c r="K167" s="21">
        <f>Deployments!AF159</f>
        <v/>
      </c>
      <c r="L167" s="14">
        <f>Deployments!U159</f>
        <v/>
      </c>
      <c r="M167" s="14">
        <f>Deployments!L159</f>
        <v/>
      </c>
      <c r="N167" s="14">
        <f>Deployments!CC159</f>
        <v/>
      </c>
      <c r="O167" s="21">
        <f>Deployments!CD159</f>
        <v/>
      </c>
      <c r="P167" s="2">
        <f>Deployments!BX159</f>
        <v/>
      </c>
      <c r="Q167" s="21">
        <f>IF(OR($A167="",$B167="",$D167=""),"MISSING CORE FIELDS","")</f>
        <v/>
      </c>
      <c r="R167" s="14">
        <f>IF(AND($I167&lt;&gt;"",$K167&lt;&gt;"Yes"),"SW NOT INSTALLED","")</f>
        <v/>
      </c>
      <c r="S167" s="14">
        <f>IF(AND($H167&lt;&gt;"",ISNUMBER(SEARCH("auto",LOWER($H167))),$F167=""),"AUTOLOGON REQUIRED","")</f>
        <v/>
      </c>
      <c r="T167" s="14">
        <f>IF($Q167&lt;&gt;"",$Q167,IF($S167&lt;&gt;"",$S167,IF($R167&lt;&gt;"",$R167,IF(OR($N167&lt;&gt;"",$O167="Blocked"),"BLOCKED","OK"))))</f>
        <v/>
      </c>
    </row>
    <row r="168">
      <c r="A168" s="21">
        <f>Deployments!H160</f>
        <v/>
      </c>
      <c r="B168" s="21">
        <f>Deployments!X160</f>
        <v/>
      </c>
      <c r="C168" s="21">
        <f>Deployments!Y160</f>
        <v/>
      </c>
      <c r="D168" s="14">
        <f>Deployments!AO160</f>
        <v/>
      </c>
      <c r="E168" s="14">
        <f>Deployments!N160</f>
        <v/>
      </c>
      <c r="F168" s="21">
        <f>Deployments!O160</f>
        <v/>
      </c>
      <c r="G168" s="14">
        <f>Deployments!P160</f>
        <v/>
      </c>
      <c r="H168" s="14">
        <f>'13 - Config_Intake_View'!M168</f>
        <v/>
      </c>
      <c r="I168" s="21">
        <f>IF('13 - Config_Intake_View'!Q168&lt;&gt;"",'13 - Config_Intake_View'!Q168,Deployments!AG160)</f>
        <v/>
      </c>
      <c r="J168" s="14">
        <f>IF('13 - Config_Intake_View'!Q168&lt;&gt;"","PM Approved",IF(Deployments!AG160&lt;&gt;"","Assumed",""))</f>
        <v/>
      </c>
      <c r="K168" s="21">
        <f>Deployments!AF160</f>
        <v/>
      </c>
      <c r="L168" s="14">
        <f>Deployments!U160</f>
        <v/>
      </c>
      <c r="M168" s="14">
        <f>Deployments!L160</f>
        <v/>
      </c>
      <c r="N168" s="14">
        <f>Deployments!CC160</f>
        <v/>
      </c>
      <c r="O168" s="21">
        <f>Deployments!CD160</f>
        <v/>
      </c>
      <c r="P168" s="2">
        <f>Deployments!BX160</f>
        <v/>
      </c>
      <c r="Q168" s="21">
        <f>IF(OR($A168="",$B168="",$D168=""),"MISSING CORE FIELDS","")</f>
        <v/>
      </c>
      <c r="R168" s="14">
        <f>IF(AND($I168&lt;&gt;"",$K168&lt;&gt;"Yes"),"SW NOT INSTALLED","")</f>
        <v/>
      </c>
      <c r="S168" s="14">
        <f>IF(AND($H168&lt;&gt;"",ISNUMBER(SEARCH("auto",LOWER($H168))),$F168=""),"AUTOLOGON REQUIRED","")</f>
        <v/>
      </c>
      <c r="T168" s="14">
        <f>IF($Q168&lt;&gt;"",$Q168,IF($S168&lt;&gt;"",$S168,IF($R168&lt;&gt;"",$R168,IF(OR($N168&lt;&gt;"",$O168="Blocked"),"BLOCKED","OK"))))</f>
        <v/>
      </c>
    </row>
    <row r="169">
      <c r="A169" s="21">
        <f>Deployments!H161</f>
        <v/>
      </c>
      <c r="B169" s="21">
        <f>Deployments!X161</f>
        <v/>
      </c>
      <c r="C169" s="21">
        <f>Deployments!Y161</f>
        <v/>
      </c>
      <c r="D169" s="14">
        <f>Deployments!AO161</f>
        <v/>
      </c>
      <c r="E169" s="14">
        <f>Deployments!N161</f>
        <v/>
      </c>
      <c r="F169" s="21">
        <f>Deployments!O161</f>
        <v/>
      </c>
      <c r="G169" s="14">
        <f>Deployments!P161</f>
        <v/>
      </c>
      <c r="H169" s="14">
        <f>'13 - Config_Intake_View'!M169</f>
        <v/>
      </c>
      <c r="I169" s="21">
        <f>IF('13 - Config_Intake_View'!Q169&lt;&gt;"",'13 - Config_Intake_View'!Q169,Deployments!AG161)</f>
        <v/>
      </c>
      <c r="J169" s="14">
        <f>IF('13 - Config_Intake_View'!Q169&lt;&gt;"","PM Approved",IF(Deployments!AG161&lt;&gt;"","Assumed",""))</f>
        <v/>
      </c>
      <c r="K169" s="21">
        <f>Deployments!AF161</f>
        <v/>
      </c>
      <c r="L169" s="14">
        <f>Deployments!U161</f>
        <v/>
      </c>
      <c r="M169" s="14">
        <f>Deployments!L161</f>
        <v/>
      </c>
      <c r="N169" s="14">
        <f>Deployments!CC161</f>
        <v/>
      </c>
      <c r="O169" s="21">
        <f>Deployments!CD161</f>
        <v/>
      </c>
      <c r="P169" s="2">
        <f>Deployments!BX161</f>
        <v/>
      </c>
      <c r="Q169" s="21">
        <f>IF(OR($A169="",$B169="",$D169=""),"MISSING CORE FIELDS","")</f>
        <v/>
      </c>
      <c r="R169" s="14">
        <f>IF(AND($I169&lt;&gt;"",$K169&lt;&gt;"Yes"),"SW NOT INSTALLED","")</f>
        <v/>
      </c>
      <c r="S169" s="14">
        <f>IF(AND($H169&lt;&gt;"",ISNUMBER(SEARCH("auto",LOWER($H169))),$F169=""),"AUTOLOGON REQUIRED","")</f>
        <v/>
      </c>
      <c r="T169" s="14">
        <f>IF($Q169&lt;&gt;"",$Q169,IF($S169&lt;&gt;"",$S169,IF($R169&lt;&gt;"",$R169,IF(OR($N169&lt;&gt;"",$O169="Blocked"),"BLOCKED","OK"))))</f>
        <v/>
      </c>
    </row>
    <row r="170">
      <c r="A170" s="21">
        <f>Deployments!H162</f>
        <v/>
      </c>
      <c r="B170" s="21">
        <f>Deployments!X162</f>
        <v/>
      </c>
      <c r="C170" s="21">
        <f>Deployments!Y162</f>
        <v/>
      </c>
      <c r="D170" s="14">
        <f>Deployments!AO162</f>
        <v/>
      </c>
      <c r="E170" s="14">
        <f>Deployments!N162</f>
        <v/>
      </c>
      <c r="F170" s="21">
        <f>Deployments!O162</f>
        <v/>
      </c>
      <c r="G170" s="14">
        <f>Deployments!P162</f>
        <v/>
      </c>
      <c r="H170" s="14">
        <f>'13 - Config_Intake_View'!M170</f>
        <v/>
      </c>
      <c r="I170" s="21">
        <f>IF('13 - Config_Intake_View'!Q170&lt;&gt;"",'13 - Config_Intake_View'!Q170,Deployments!AG162)</f>
        <v/>
      </c>
      <c r="J170" s="14">
        <f>IF('13 - Config_Intake_View'!Q170&lt;&gt;"","PM Approved",IF(Deployments!AG162&lt;&gt;"","Assumed",""))</f>
        <v/>
      </c>
      <c r="K170" s="21">
        <f>Deployments!AF162</f>
        <v/>
      </c>
      <c r="L170" s="14">
        <f>Deployments!U162</f>
        <v/>
      </c>
      <c r="M170" s="14">
        <f>Deployments!L162</f>
        <v/>
      </c>
      <c r="N170" s="14">
        <f>Deployments!CC162</f>
        <v/>
      </c>
      <c r="O170" s="21">
        <f>Deployments!CD162</f>
        <v/>
      </c>
      <c r="P170" s="2">
        <f>Deployments!BX162</f>
        <v/>
      </c>
      <c r="Q170" s="21">
        <f>IF(OR($A170="",$B170="",$D170=""),"MISSING CORE FIELDS","")</f>
        <v/>
      </c>
      <c r="R170" s="14">
        <f>IF(AND($I170&lt;&gt;"",$K170&lt;&gt;"Yes"),"SW NOT INSTALLED","")</f>
        <v/>
      </c>
      <c r="S170" s="14">
        <f>IF(AND($H170&lt;&gt;"",ISNUMBER(SEARCH("auto",LOWER($H170))),$F170=""),"AUTOLOGON REQUIRED","")</f>
        <v/>
      </c>
      <c r="T170" s="14">
        <f>IF($Q170&lt;&gt;"",$Q170,IF($S170&lt;&gt;"",$S170,IF($R170&lt;&gt;"",$R170,IF(OR($N170&lt;&gt;"",$O170="Blocked"),"BLOCKED","OK"))))</f>
        <v/>
      </c>
    </row>
    <row r="171">
      <c r="A171" s="21">
        <f>Deployments!H163</f>
        <v/>
      </c>
      <c r="B171" s="21">
        <f>Deployments!X163</f>
        <v/>
      </c>
      <c r="C171" s="21">
        <f>Deployments!Y163</f>
        <v/>
      </c>
      <c r="D171" s="14">
        <f>Deployments!AO163</f>
        <v/>
      </c>
      <c r="E171" s="14">
        <f>Deployments!N163</f>
        <v/>
      </c>
      <c r="F171" s="21">
        <f>Deployments!O163</f>
        <v/>
      </c>
      <c r="G171" s="14">
        <f>Deployments!P163</f>
        <v/>
      </c>
      <c r="H171" s="14">
        <f>'13 - Config_Intake_View'!M171</f>
        <v/>
      </c>
      <c r="I171" s="21">
        <f>IF('13 - Config_Intake_View'!Q171&lt;&gt;"",'13 - Config_Intake_View'!Q171,Deployments!AG163)</f>
        <v/>
      </c>
      <c r="J171" s="14">
        <f>IF('13 - Config_Intake_View'!Q171&lt;&gt;"","PM Approved",IF(Deployments!AG163&lt;&gt;"","Assumed",""))</f>
        <v/>
      </c>
      <c r="K171" s="21">
        <f>Deployments!AF163</f>
        <v/>
      </c>
      <c r="L171" s="14">
        <f>Deployments!U163</f>
        <v/>
      </c>
      <c r="M171" s="14">
        <f>Deployments!L163</f>
        <v/>
      </c>
      <c r="N171" s="14">
        <f>Deployments!CC163</f>
        <v/>
      </c>
      <c r="O171" s="21">
        <f>Deployments!CD163</f>
        <v/>
      </c>
      <c r="P171" s="2">
        <f>Deployments!BX163</f>
        <v/>
      </c>
      <c r="Q171" s="21">
        <f>IF(OR($A171="",$B171="",$D171=""),"MISSING CORE FIELDS","")</f>
        <v/>
      </c>
      <c r="R171" s="14">
        <f>IF(AND($I171&lt;&gt;"",$K171&lt;&gt;"Yes"),"SW NOT INSTALLED","")</f>
        <v/>
      </c>
      <c r="S171" s="14">
        <f>IF(AND($H171&lt;&gt;"",ISNUMBER(SEARCH("auto",LOWER($H171))),$F171=""),"AUTOLOGON REQUIRED","")</f>
        <v/>
      </c>
      <c r="T171" s="14">
        <f>IF($Q171&lt;&gt;"",$Q171,IF($S171&lt;&gt;"",$S171,IF($R171&lt;&gt;"",$R171,IF(OR($N171&lt;&gt;"",$O171="Blocked"),"BLOCKED","OK"))))</f>
        <v/>
      </c>
    </row>
    <row r="172">
      <c r="A172" s="21">
        <f>Deployments!H164</f>
        <v/>
      </c>
      <c r="B172" s="21">
        <f>Deployments!X164</f>
        <v/>
      </c>
      <c r="C172" s="21">
        <f>Deployments!Y164</f>
        <v/>
      </c>
      <c r="D172" s="14">
        <f>Deployments!AO164</f>
        <v/>
      </c>
      <c r="E172" s="14">
        <f>Deployments!N164</f>
        <v/>
      </c>
      <c r="F172" s="21">
        <f>Deployments!O164</f>
        <v/>
      </c>
      <c r="G172" s="14">
        <f>Deployments!P164</f>
        <v/>
      </c>
      <c r="H172" s="14">
        <f>'13 - Config_Intake_View'!M172</f>
        <v/>
      </c>
      <c r="I172" s="21">
        <f>IF('13 - Config_Intake_View'!Q172&lt;&gt;"",'13 - Config_Intake_View'!Q172,Deployments!AG164)</f>
        <v/>
      </c>
      <c r="J172" s="14">
        <f>IF('13 - Config_Intake_View'!Q172&lt;&gt;"","PM Approved",IF(Deployments!AG164&lt;&gt;"","Assumed",""))</f>
        <v/>
      </c>
      <c r="K172" s="21">
        <f>Deployments!AF164</f>
        <v/>
      </c>
      <c r="L172" s="14">
        <f>Deployments!U164</f>
        <v/>
      </c>
      <c r="M172" s="14">
        <f>Deployments!L164</f>
        <v/>
      </c>
      <c r="N172" s="14">
        <f>Deployments!CC164</f>
        <v/>
      </c>
      <c r="O172" s="21">
        <f>Deployments!CD164</f>
        <v/>
      </c>
      <c r="P172" s="2">
        <f>Deployments!BX164</f>
        <v/>
      </c>
      <c r="Q172" s="21">
        <f>IF(OR($A172="",$B172="",$D172=""),"MISSING CORE FIELDS","")</f>
        <v/>
      </c>
      <c r="R172" s="14">
        <f>IF(AND($I172&lt;&gt;"",$K172&lt;&gt;"Yes"),"SW NOT INSTALLED","")</f>
        <v/>
      </c>
      <c r="S172" s="14">
        <f>IF(AND($H172&lt;&gt;"",ISNUMBER(SEARCH("auto",LOWER($H172))),$F172=""),"AUTOLOGON REQUIRED","")</f>
        <v/>
      </c>
      <c r="T172" s="14">
        <f>IF($Q172&lt;&gt;"",$Q172,IF($S172&lt;&gt;"",$S172,IF($R172&lt;&gt;"",$R172,IF(OR($N172&lt;&gt;"",$O172="Blocked"),"BLOCKED","OK"))))</f>
        <v/>
      </c>
    </row>
    <row r="173">
      <c r="A173" s="21">
        <f>Deployments!H165</f>
        <v/>
      </c>
      <c r="B173" s="21">
        <f>Deployments!X165</f>
        <v/>
      </c>
      <c r="C173" s="21">
        <f>Deployments!Y165</f>
        <v/>
      </c>
      <c r="D173" s="14">
        <f>Deployments!AO165</f>
        <v/>
      </c>
      <c r="E173" s="14">
        <f>Deployments!N165</f>
        <v/>
      </c>
      <c r="F173" s="21">
        <f>Deployments!O165</f>
        <v/>
      </c>
      <c r="G173" s="14">
        <f>Deployments!P165</f>
        <v/>
      </c>
      <c r="H173" s="14">
        <f>'13 - Config_Intake_View'!M173</f>
        <v/>
      </c>
      <c r="I173" s="21">
        <f>IF('13 - Config_Intake_View'!Q173&lt;&gt;"",'13 - Config_Intake_View'!Q173,Deployments!AG165)</f>
        <v/>
      </c>
      <c r="J173" s="14">
        <f>IF('13 - Config_Intake_View'!Q173&lt;&gt;"","PM Approved",IF(Deployments!AG165&lt;&gt;"","Assumed",""))</f>
        <v/>
      </c>
      <c r="K173" s="21">
        <f>Deployments!AF165</f>
        <v/>
      </c>
      <c r="L173" s="14">
        <f>Deployments!U165</f>
        <v/>
      </c>
      <c r="M173" s="14">
        <f>Deployments!L165</f>
        <v/>
      </c>
      <c r="N173" s="14">
        <f>Deployments!CC165</f>
        <v/>
      </c>
      <c r="O173" s="21">
        <f>Deployments!CD165</f>
        <v/>
      </c>
      <c r="P173" s="2">
        <f>Deployments!BX165</f>
        <v/>
      </c>
      <c r="Q173" s="21">
        <f>IF(OR($A173="",$B173="",$D173=""),"MISSING CORE FIELDS","")</f>
        <v/>
      </c>
      <c r="R173" s="14">
        <f>IF(AND($I173&lt;&gt;"",$K173&lt;&gt;"Yes"),"SW NOT INSTALLED","")</f>
        <v/>
      </c>
      <c r="S173" s="14">
        <f>IF(AND($H173&lt;&gt;"",ISNUMBER(SEARCH("auto",LOWER($H173))),$F173=""),"AUTOLOGON REQUIRED","")</f>
        <v/>
      </c>
      <c r="T173" s="14">
        <f>IF($Q173&lt;&gt;"",$Q173,IF($S173&lt;&gt;"",$S173,IF($R173&lt;&gt;"",$R173,IF(OR($N173&lt;&gt;"",$O173="Blocked"),"BLOCKED","OK"))))</f>
        <v/>
      </c>
    </row>
    <row r="174">
      <c r="A174" s="21">
        <f>Deployments!H166</f>
        <v/>
      </c>
      <c r="B174" s="21">
        <f>Deployments!X166</f>
        <v/>
      </c>
      <c r="C174" s="21">
        <f>Deployments!Y166</f>
        <v/>
      </c>
      <c r="D174" s="14">
        <f>Deployments!AO166</f>
        <v/>
      </c>
      <c r="E174" s="14">
        <f>Deployments!N166</f>
        <v/>
      </c>
      <c r="F174" s="21">
        <f>Deployments!O166</f>
        <v/>
      </c>
      <c r="G174" s="14">
        <f>Deployments!P166</f>
        <v/>
      </c>
      <c r="H174" s="14">
        <f>'13 - Config_Intake_View'!M174</f>
        <v/>
      </c>
      <c r="I174" s="21">
        <f>IF('13 - Config_Intake_View'!Q174&lt;&gt;"",'13 - Config_Intake_View'!Q174,Deployments!AG166)</f>
        <v/>
      </c>
      <c r="J174" s="14">
        <f>IF('13 - Config_Intake_View'!Q174&lt;&gt;"","PM Approved",IF(Deployments!AG166&lt;&gt;"","Assumed",""))</f>
        <v/>
      </c>
      <c r="K174" s="21">
        <f>Deployments!AF166</f>
        <v/>
      </c>
      <c r="L174" s="14">
        <f>Deployments!U166</f>
        <v/>
      </c>
      <c r="M174" s="14">
        <f>Deployments!L166</f>
        <v/>
      </c>
      <c r="N174" s="14">
        <f>Deployments!CC166</f>
        <v/>
      </c>
      <c r="O174" s="21">
        <f>Deployments!CD166</f>
        <v/>
      </c>
      <c r="P174" s="2">
        <f>Deployments!BX166</f>
        <v/>
      </c>
      <c r="Q174" s="21">
        <f>IF(OR($A174="",$B174="",$D174=""),"MISSING CORE FIELDS","")</f>
        <v/>
      </c>
      <c r="R174" s="14">
        <f>IF(AND($I174&lt;&gt;"",$K174&lt;&gt;"Yes"),"SW NOT INSTALLED","")</f>
        <v/>
      </c>
      <c r="S174" s="14">
        <f>IF(AND($H174&lt;&gt;"",ISNUMBER(SEARCH("auto",LOWER($H174))),$F174=""),"AUTOLOGON REQUIRED","")</f>
        <v/>
      </c>
      <c r="T174" s="14">
        <f>IF($Q174&lt;&gt;"",$Q174,IF($S174&lt;&gt;"",$S174,IF($R174&lt;&gt;"",$R174,IF(OR($N174&lt;&gt;"",$O174="Blocked"),"BLOCKED","OK"))))</f>
        <v/>
      </c>
    </row>
    <row r="175">
      <c r="A175" s="21">
        <f>Deployments!H167</f>
        <v/>
      </c>
      <c r="B175" s="21">
        <f>Deployments!X167</f>
        <v/>
      </c>
      <c r="C175" s="21">
        <f>Deployments!Y167</f>
        <v/>
      </c>
      <c r="D175" s="14">
        <f>Deployments!AO167</f>
        <v/>
      </c>
      <c r="E175" s="14">
        <f>Deployments!N167</f>
        <v/>
      </c>
      <c r="F175" s="21">
        <f>Deployments!O167</f>
        <v/>
      </c>
      <c r="G175" s="14">
        <f>Deployments!P167</f>
        <v/>
      </c>
      <c r="H175" s="14">
        <f>'13 - Config_Intake_View'!M175</f>
        <v/>
      </c>
      <c r="I175" s="21">
        <f>IF('13 - Config_Intake_View'!Q175&lt;&gt;"",'13 - Config_Intake_View'!Q175,Deployments!AG167)</f>
        <v/>
      </c>
      <c r="J175" s="14">
        <f>IF('13 - Config_Intake_View'!Q175&lt;&gt;"","PM Approved",IF(Deployments!AG167&lt;&gt;"","Assumed",""))</f>
        <v/>
      </c>
      <c r="K175" s="21">
        <f>Deployments!AF167</f>
        <v/>
      </c>
      <c r="L175" s="14">
        <f>Deployments!U167</f>
        <v/>
      </c>
      <c r="M175" s="14">
        <f>Deployments!L167</f>
        <v/>
      </c>
      <c r="N175" s="14">
        <f>Deployments!CC167</f>
        <v/>
      </c>
      <c r="O175" s="21">
        <f>Deployments!CD167</f>
        <v/>
      </c>
      <c r="P175" s="2">
        <f>Deployments!BX167</f>
        <v/>
      </c>
      <c r="Q175" s="21">
        <f>IF(OR($A175="",$B175="",$D175=""),"MISSING CORE FIELDS","")</f>
        <v/>
      </c>
      <c r="R175" s="14">
        <f>IF(AND($I175&lt;&gt;"",$K175&lt;&gt;"Yes"),"SW NOT INSTALLED","")</f>
        <v/>
      </c>
      <c r="S175" s="14">
        <f>IF(AND($H175&lt;&gt;"",ISNUMBER(SEARCH("auto",LOWER($H175))),$F175=""),"AUTOLOGON REQUIRED","")</f>
        <v/>
      </c>
      <c r="T175" s="14">
        <f>IF($Q175&lt;&gt;"",$Q175,IF($S175&lt;&gt;"",$S175,IF($R175&lt;&gt;"",$R175,IF(OR($N175&lt;&gt;"",$O175="Blocked"),"BLOCKED","OK"))))</f>
        <v/>
      </c>
    </row>
    <row r="176">
      <c r="A176" s="21">
        <f>Deployments!H168</f>
        <v/>
      </c>
      <c r="B176" s="21">
        <f>Deployments!X168</f>
        <v/>
      </c>
      <c r="C176" s="21">
        <f>Deployments!Y168</f>
        <v/>
      </c>
      <c r="D176" s="14">
        <f>Deployments!AO168</f>
        <v/>
      </c>
      <c r="E176" s="14">
        <f>Deployments!N168</f>
        <v/>
      </c>
      <c r="F176" s="21">
        <f>Deployments!O168</f>
        <v/>
      </c>
      <c r="G176" s="14">
        <f>Deployments!P168</f>
        <v/>
      </c>
      <c r="H176" s="14">
        <f>'13 - Config_Intake_View'!M176</f>
        <v/>
      </c>
      <c r="I176" s="21">
        <f>IF('13 - Config_Intake_View'!Q176&lt;&gt;"",'13 - Config_Intake_View'!Q176,Deployments!AG168)</f>
        <v/>
      </c>
      <c r="J176" s="14">
        <f>IF('13 - Config_Intake_View'!Q176&lt;&gt;"","PM Approved",IF(Deployments!AG168&lt;&gt;"","Assumed",""))</f>
        <v/>
      </c>
      <c r="K176" s="21">
        <f>Deployments!AF168</f>
        <v/>
      </c>
      <c r="L176" s="14">
        <f>Deployments!U168</f>
        <v/>
      </c>
      <c r="M176" s="14">
        <f>Deployments!L168</f>
        <v/>
      </c>
      <c r="N176" s="14">
        <f>Deployments!CC168</f>
        <v/>
      </c>
      <c r="O176" s="21">
        <f>Deployments!CD168</f>
        <v/>
      </c>
      <c r="P176" s="2">
        <f>Deployments!BX168</f>
        <v/>
      </c>
      <c r="Q176" s="21">
        <f>IF(OR($A176="",$B176="",$D176=""),"MISSING CORE FIELDS","")</f>
        <v/>
      </c>
      <c r="R176" s="14">
        <f>IF(AND($I176&lt;&gt;"",$K176&lt;&gt;"Yes"),"SW NOT INSTALLED","")</f>
        <v/>
      </c>
      <c r="S176" s="14">
        <f>IF(AND($H176&lt;&gt;"",ISNUMBER(SEARCH("auto",LOWER($H176))),$F176=""),"AUTOLOGON REQUIRED","")</f>
        <v/>
      </c>
      <c r="T176" s="14">
        <f>IF($Q176&lt;&gt;"",$Q176,IF($S176&lt;&gt;"",$S176,IF($R176&lt;&gt;"",$R176,IF(OR($N176&lt;&gt;"",$O176="Blocked"),"BLOCKED","OK"))))</f>
        <v/>
      </c>
    </row>
    <row r="177">
      <c r="A177" s="21">
        <f>Deployments!H169</f>
        <v/>
      </c>
      <c r="B177" s="21">
        <f>Deployments!X169</f>
        <v/>
      </c>
      <c r="C177" s="21">
        <f>Deployments!Y169</f>
        <v/>
      </c>
      <c r="D177" s="14">
        <f>Deployments!AO169</f>
        <v/>
      </c>
      <c r="E177" s="14">
        <f>Deployments!N169</f>
        <v/>
      </c>
      <c r="F177" s="21">
        <f>Deployments!O169</f>
        <v/>
      </c>
      <c r="G177" s="14">
        <f>Deployments!P169</f>
        <v/>
      </c>
      <c r="H177" s="14">
        <f>'13 - Config_Intake_View'!M177</f>
        <v/>
      </c>
      <c r="I177" s="21">
        <f>IF('13 - Config_Intake_View'!Q177&lt;&gt;"",'13 - Config_Intake_View'!Q177,Deployments!AG169)</f>
        <v/>
      </c>
      <c r="J177" s="14">
        <f>IF('13 - Config_Intake_View'!Q177&lt;&gt;"","PM Approved",IF(Deployments!AG169&lt;&gt;"","Assumed",""))</f>
        <v/>
      </c>
      <c r="K177" s="21">
        <f>Deployments!AF169</f>
        <v/>
      </c>
      <c r="L177" s="14">
        <f>Deployments!U169</f>
        <v/>
      </c>
      <c r="M177" s="14">
        <f>Deployments!L169</f>
        <v/>
      </c>
      <c r="N177" s="14">
        <f>Deployments!CC169</f>
        <v/>
      </c>
      <c r="O177" s="21">
        <f>Deployments!CD169</f>
        <v/>
      </c>
      <c r="P177" s="2">
        <f>Deployments!BX169</f>
        <v/>
      </c>
      <c r="Q177" s="21">
        <f>IF(OR($A177="",$B177="",$D177=""),"MISSING CORE FIELDS","")</f>
        <v/>
      </c>
      <c r="R177" s="14">
        <f>IF(AND($I177&lt;&gt;"",$K177&lt;&gt;"Yes"),"SW NOT INSTALLED","")</f>
        <v/>
      </c>
      <c r="S177" s="14">
        <f>IF(AND($H177&lt;&gt;"",ISNUMBER(SEARCH("auto",LOWER($H177))),$F177=""),"AUTOLOGON REQUIRED","")</f>
        <v/>
      </c>
      <c r="T177" s="14">
        <f>IF($Q177&lt;&gt;"",$Q177,IF($S177&lt;&gt;"",$S177,IF($R177&lt;&gt;"",$R177,IF(OR($N177&lt;&gt;"",$O177="Blocked"),"BLOCKED","OK"))))</f>
        <v/>
      </c>
    </row>
    <row r="178">
      <c r="A178" s="21">
        <f>Deployments!H170</f>
        <v/>
      </c>
      <c r="B178" s="21">
        <f>Deployments!X170</f>
        <v/>
      </c>
      <c r="C178" s="21">
        <f>Deployments!Y170</f>
        <v/>
      </c>
      <c r="D178" s="14">
        <f>Deployments!AO170</f>
        <v/>
      </c>
      <c r="E178" s="14">
        <f>Deployments!N170</f>
        <v/>
      </c>
      <c r="F178" s="21">
        <f>Deployments!O170</f>
        <v/>
      </c>
      <c r="G178" s="14">
        <f>Deployments!P170</f>
        <v/>
      </c>
      <c r="H178" s="14">
        <f>'13 - Config_Intake_View'!M178</f>
        <v/>
      </c>
      <c r="I178" s="21">
        <f>IF('13 - Config_Intake_View'!Q178&lt;&gt;"",'13 - Config_Intake_View'!Q178,Deployments!AG170)</f>
        <v/>
      </c>
      <c r="J178" s="14">
        <f>IF('13 - Config_Intake_View'!Q178&lt;&gt;"","PM Approved",IF(Deployments!AG170&lt;&gt;"","Assumed",""))</f>
        <v/>
      </c>
      <c r="K178" s="21">
        <f>Deployments!AF170</f>
        <v/>
      </c>
      <c r="L178" s="14">
        <f>Deployments!U170</f>
        <v/>
      </c>
      <c r="M178" s="14">
        <f>Deployments!L170</f>
        <v/>
      </c>
      <c r="N178" s="14">
        <f>Deployments!CC170</f>
        <v/>
      </c>
      <c r="O178" s="21">
        <f>Deployments!CD170</f>
        <v/>
      </c>
      <c r="P178" s="2">
        <f>Deployments!BX170</f>
        <v/>
      </c>
      <c r="Q178" s="21">
        <f>IF(OR($A178="",$B178="",$D178=""),"MISSING CORE FIELDS","")</f>
        <v/>
      </c>
      <c r="R178" s="14">
        <f>IF(AND($I178&lt;&gt;"",$K178&lt;&gt;"Yes"),"SW NOT INSTALLED","")</f>
        <v/>
      </c>
      <c r="S178" s="14">
        <f>IF(AND($H178&lt;&gt;"",ISNUMBER(SEARCH("auto",LOWER($H178))),$F178=""),"AUTOLOGON REQUIRED","")</f>
        <v/>
      </c>
      <c r="T178" s="14">
        <f>IF($Q178&lt;&gt;"",$Q178,IF($S178&lt;&gt;"",$S178,IF($R178&lt;&gt;"",$R178,IF(OR($N178&lt;&gt;"",$O178="Blocked"),"BLOCKED","OK"))))</f>
        <v/>
      </c>
    </row>
    <row r="179">
      <c r="A179" s="21">
        <f>Deployments!H171</f>
        <v/>
      </c>
      <c r="B179" s="21">
        <f>Deployments!X171</f>
        <v/>
      </c>
      <c r="C179" s="21">
        <f>Deployments!Y171</f>
        <v/>
      </c>
      <c r="D179" s="14">
        <f>Deployments!AO171</f>
        <v/>
      </c>
      <c r="E179" s="14">
        <f>Deployments!N171</f>
        <v/>
      </c>
      <c r="F179" s="21">
        <f>Deployments!O171</f>
        <v/>
      </c>
      <c r="G179" s="14">
        <f>Deployments!P171</f>
        <v/>
      </c>
      <c r="H179" s="14">
        <f>'13 - Config_Intake_View'!M179</f>
        <v/>
      </c>
      <c r="I179" s="21">
        <f>IF('13 - Config_Intake_View'!Q179&lt;&gt;"",'13 - Config_Intake_View'!Q179,Deployments!AG171)</f>
        <v/>
      </c>
      <c r="J179" s="14">
        <f>IF('13 - Config_Intake_View'!Q179&lt;&gt;"","PM Approved",IF(Deployments!AG171&lt;&gt;"","Assumed",""))</f>
        <v/>
      </c>
      <c r="K179" s="21">
        <f>Deployments!AF171</f>
        <v/>
      </c>
      <c r="L179" s="14">
        <f>Deployments!U171</f>
        <v/>
      </c>
      <c r="M179" s="14">
        <f>Deployments!L171</f>
        <v/>
      </c>
      <c r="N179" s="14">
        <f>Deployments!CC171</f>
        <v/>
      </c>
      <c r="O179" s="21">
        <f>Deployments!CD171</f>
        <v/>
      </c>
      <c r="P179" s="2">
        <f>Deployments!BX171</f>
        <v/>
      </c>
      <c r="Q179" s="21">
        <f>IF(OR($A179="",$B179="",$D179=""),"MISSING CORE FIELDS","")</f>
        <v/>
      </c>
      <c r="R179" s="14">
        <f>IF(AND($I179&lt;&gt;"",$K179&lt;&gt;"Yes"),"SW NOT INSTALLED","")</f>
        <v/>
      </c>
      <c r="S179" s="14">
        <f>IF(AND($H179&lt;&gt;"",ISNUMBER(SEARCH("auto",LOWER($H179))),$F179=""),"AUTOLOGON REQUIRED","")</f>
        <v/>
      </c>
      <c r="T179" s="14">
        <f>IF($Q179&lt;&gt;"",$Q179,IF($S179&lt;&gt;"",$S179,IF($R179&lt;&gt;"",$R179,IF(OR($N179&lt;&gt;"",$O179="Blocked"),"BLOCKED","OK"))))</f>
        <v/>
      </c>
    </row>
    <row r="180">
      <c r="A180" s="21">
        <f>Deployments!H172</f>
        <v/>
      </c>
      <c r="B180" s="21">
        <f>Deployments!X172</f>
        <v/>
      </c>
      <c r="C180" s="21">
        <f>Deployments!Y172</f>
        <v/>
      </c>
      <c r="D180" s="14">
        <f>Deployments!AO172</f>
        <v/>
      </c>
      <c r="E180" s="14">
        <f>Deployments!N172</f>
        <v/>
      </c>
      <c r="F180" s="21">
        <f>Deployments!O172</f>
        <v/>
      </c>
      <c r="G180" s="14">
        <f>Deployments!P172</f>
        <v/>
      </c>
      <c r="H180" s="14">
        <f>'13 - Config_Intake_View'!M180</f>
        <v/>
      </c>
      <c r="I180" s="21">
        <f>IF('13 - Config_Intake_View'!Q180&lt;&gt;"",'13 - Config_Intake_View'!Q180,Deployments!AG172)</f>
        <v/>
      </c>
      <c r="J180" s="14">
        <f>IF('13 - Config_Intake_View'!Q180&lt;&gt;"","PM Approved",IF(Deployments!AG172&lt;&gt;"","Assumed",""))</f>
        <v/>
      </c>
      <c r="K180" s="21">
        <f>Deployments!AF172</f>
        <v/>
      </c>
      <c r="L180" s="14">
        <f>Deployments!U172</f>
        <v/>
      </c>
      <c r="M180" s="14">
        <f>Deployments!L172</f>
        <v/>
      </c>
      <c r="N180" s="14">
        <f>Deployments!CC172</f>
        <v/>
      </c>
      <c r="O180" s="21">
        <f>Deployments!CD172</f>
        <v/>
      </c>
      <c r="P180" s="2">
        <f>Deployments!BX172</f>
        <v/>
      </c>
      <c r="Q180" s="21">
        <f>IF(OR($A180="",$B180="",$D180=""),"MISSING CORE FIELDS","")</f>
        <v/>
      </c>
      <c r="R180" s="14">
        <f>IF(AND($I180&lt;&gt;"",$K180&lt;&gt;"Yes"),"SW NOT INSTALLED","")</f>
        <v/>
      </c>
      <c r="S180" s="14">
        <f>IF(AND($H180&lt;&gt;"",ISNUMBER(SEARCH("auto",LOWER($H180))),$F180=""),"AUTOLOGON REQUIRED","")</f>
        <v/>
      </c>
      <c r="T180" s="14">
        <f>IF($Q180&lt;&gt;"",$Q180,IF($S180&lt;&gt;"",$S180,IF($R180&lt;&gt;"",$R180,IF(OR($N180&lt;&gt;"",$O180="Blocked"),"BLOCKED","OK"))))</f>
        <v/>
      </c>
    </row>
    <row r="181">
      <c r="A181" s="21">
        <f>Deployments!H173</f>
        <v/>
      </c>
      <c r="B181" s="21">
        <f>Deployments!X173</f>
        <v/>
      </c>
      <c r="C181" s="21">
        <f>Deployments!Y173</f>
        <v/>
      </c>
      <c r="D181" s="14">
        <f>Deployments!AO173</f>
        <v/>
      </c>
      <c r="E181" s="14">
        <f>Deployments!N173</f>
        <v/>
      </c>
      <c r="F181" s="21">
        <f>Deployments!O173</f>
        <v/>
      </c>
      <c r="G181" s="14">
        <f>Deployments!P173</f>
        <v/>
      </c>
      <c r="H181" s="14">
        <f>'13 - Config_Intake_View'!M181</f>
        <v/>
      </c>
      <c r="I181" s="21">
        <f>IF('13 - Config_Intake_View'!Q181&lt;&gt;"",'13 - Config_Intake_View'!Q181,Deployments!AG173)</f>
        <v/>
      </c>
      <c r="J181" s="14">
        <f>IF('13 - Config_Intake_View'!Q181&lt;&gt;"","PM Approved",IF(Deployments!AG173&lt;&gt;"","Assumed",""))</f>
        <v/>
      </c>
      <c r="K181" s="21">
        <f>Deployments!AF173</f>
        <v/>
      </c>
      <c r="L181" s="14">
        <f>Deployments!U173</f>
        <v/>
      </c>
      <c r="M181" s="14">
        <f>Deployments!L173</f>
        <v/>
      </c>
      <c r="N181" s="14">
        <f>Deployments!CC173</f>
        <v/>
      </c>
      <c r="O181" s="21">
        <f>Deployments!CD173</f>
        <v/>
      </c>
      <c r="P181" s="2">
        <f>Deployments!BX173</f>
        <v/>
      </c>
      <c r="Q181" s="21">
        <f>IF(OR($A181="",$B181="",$D181=""),"MISSING CORE FIELDS","")</f>
        <v/>
      </c>
      <c r="R181" s="14">
        <f>IF(AND($I181&lt;&gt;"",$K181&lt;&gt;"Yes"),"SW NOT INSTALLED","")</f>
        <v/>
      </c>
      <c r="S181" s="14">
        <f>IF(AND($H181&lt;&gt;"",ISNUMBER(SEARCH("auto",LOWER($H181))),$F181=""),"AUTOLOGON REQUIRED","")</f>
        <v/>
      </c>
      <c r="T181" s="14">
        <f>IF($Q181&lt;&gt;"",$Q181,IF($S181&lt;&gt;"",$S181,IF($R181&lt;&gt;"",$R181,IF(OR($N181&lt;&gt;"",$O181="Blocked"),"BLOCKED","OK"))))</f>
        <v/>
      </c>
    </row>
    <row r="182">
      <c r="A182" s="21">
        <f>Deployments!H174</f>
        <v/>
      </c>
      <c r="B182" s="21">
        <f>Deployments!X174</f>
        <v/>
      </c>
      <c r="C182" s="21">
        <f>Deployments!Y174</f>
        <v/>
      </c>
      <c r="D182" s="14">
        <f>Deployments!AO174</f>
        <v/>
      </c>
      <c r="E182" s="14">
        <f>Deployments!N174</f>
        <v/>
      </c>
      <c r="F182" s="21">
        <f>Deployments!O174</f>
        <v/>
      </c>
      <c r="G182" s="14">
        <f>Deployments!P174</f>
        <v/>
      </c>
      <c r="H182" s="14">
        <f>'13 - Config_Intake_View'!M182</f>
        <v/>
      </c>
      <c r="I182" s="21">
        <f>IF('13 - Config_Intake_View'!Q182&lt;&gt;"",'13 - Config_Intake_View'!Q182,Deployments!AG174)</f>
        <v/>
      </c>
      <c r="J182" s="14">
        <f>IF('13 - Config_Intake_View'!Q182&lt;&gt;"","PM Approved",IF(Deployments!AG174&lt;&gt;"","Assumed",""))</f>
        <v/>
      </c>
      <c r="K182" s="21">
        <f>Deployments!AF174</f>
        <v/>
      </c>
      <c r="L182" s="14">
        <f>Deployments!U174</f>
        <v/>
      </c>
      <c r="M182" s="14">
        <f>Deployments!L174</f>
        <v/>
      </c>
      <c r="N182" s="14">
        <f>Deployments!CC174</f>
        <v/>
      </c>
      <c r="O182" s="21">
        <f>Deployments!CD174</f>
        <v/>
      </c>
      <c r="P182" s="2">
        <f>Deployments!BX174</f>
        <v/>
      </c>
      <c r="Q182" s="21">
        <f>IF(OR($A182="",$B182="",$D182=""),"MISSING CORE FIELDS","")</f>
        <v/>
      </c>
      <c r="R182" s="14">
        <f>IF(AND($I182&lt;&gt;"",$K182&lt;&gt;"Yes"),"SW NOT INSTALLED","")</f>
        <v/>
      </c>
      <c r="S182" s="14">
        <f>IF(AND($H182&lt;&gt;"",ISNUMBER(SEARCH("auto",LOWER($H182))),$F182=""),"AUTOLOGON REQUIRED","")</f>
        <v/>
      </c>
      <c r="T182" s="14">
        <f>IF($Q182&lt;&gt;"",$Q182,IF($S182&lt;&gt;"",$S182,IF($R182&lt;&gt;"",$R182,IF(OR($N182&lt;&gt;"",$O182="Blocked"),"BLOCKED","OK"))))</f>
        <v/>
      </c>
    </row>
    <row r="183">
      <c r="A183" s="21">
        <f>Deployments!H175</f>
        <v/>
      </c>
      <c r="B183" s="21">
        <f>Deployments!X175</f>
        <v/>
      </c>
      <c r="C183" s="21">
        <f>Deployments!Y175</f>
        <v/>
      </c>
      <c r="D183" s="14">
        <f>Deployments!AO175</f>
        <v/>
      </c>
      <c r="E183" s="14">
        <f>Deployments!N175</f>
        <v/>
      </c>
      <c r="F183" s="21">
        <f>Deployments!O175</f>
        <v/>
      </c>
      <c r="G183" s="14">
        <f>Deployments!P175</f>
        <v/>
      </c>
      <c r="H183" s="14">
        <f>'13 - Config_Intake_View'!M183</f>
        <v/>
      </c>
      <c r="I183" s="21">
        <f>IF('13 - Config_Intake_View'!Q183&lt;&gt;"",'13 - Config_Intake_View'!Q183,Deployments!AG175)</f>
        <v/>
      </c>
      <c r="J183" s="14">
        <f>IF('13 - Config_Intake_View'!Q183&lt;&gt;"","PM Approved",IF(Deployments!AG175&lt;&gt;"","Assumed",""))</f>
        <v/>
      </c>
      <c r="K183" s="21">
        <f>Deployments!AF175</f>
        <v/>
      </c>
      <c r="L183" s="14">
        <f>Deployments!U175</f>
        <v/>
      </c>
      <c r="M183" s="14">
        <f>Deployments!L175</f>
        <v/>
      </c>
      <c r="N183" s="14">
        <f>Deployments!CC175</f>
        <v/>
      </c>
      <c r="O183" s="21">
        <f>Deployments!CD175</f>
        <v/>
      </c>
      <c r="P183" s="2">
        <f>Deployments!BX175</f>
        <v/>
      </c>
      <c r="Q183" s="21">
        <f>IF(OR($A183="",$B183="",$D183=""),"MISSING CORE FIELDS","")</f>
        <v/>
      </c>
      <c r="R183" s="14">
        <f>IF(AND($I183&lt;&gt;"",$K183&lt;&gt;"Yes"),"SW NOT INSTALLED","")</f>
        <v/>
      </c>
      <c r="S183" s="14">
        <f>IF(AND($H183&lt;&gt;"",ISNUMBER(SEARCH("auto",LOWER($H183))),$F183=""),"AUTOLOGON REQUIRED","")</f>
        <v/>
      </c>
      <c r="T183" s="14">
        <f>IF($Q183&lt;&gt;"",$Q183,IF($S183&lt;&gt;"",$S183,IF($R183&lt;&gt;"",$R183,IF(OR($N183&lt;&gt;"",$O183="Blocked"),"BLOCKED","OK"))))</f>
        <v/>
      </c>
    </row>
    <row r="184">
      <c r="A184" s="21">
        <f>Deployments!H176</f>
        <v/>
      </c>
      <c r="B184" s="21">
        <f>Deployments!X176</f>
        <v/>
      </c>
      <c r="C184" s="21">
        <f>Deployments!Y176</f>
        <v/>
      </c>
      <c r="D184" s="14">
        <f>Deployments!AO176</f>
        <v/>
      </c>
      <c r="E184" s="14">
        <f>Deployments!N176</f>
        <v/>
      </c>
      <c r="F184" s="21">
        <f>Deployments!O176</f>
        <v/>
      </c>
      <c r="G184" s="14">
        <f>Deployments!P176</f>
        <v/>
      </c>
      <c r="H184" s="14">
        <f>'13 - Config_Intake_View'!M184</f>
        <v/>
      </c>
      <c r="I184" s="21">
        <f>IF('13 - Config_Intake_View'!Q184&lt;&gt;"",'13 - Config_Intake_View'!Q184,Deployments!AG176)</f>
        <v/>
      </c>
      <c r="J184" s="14">
        <f>IF('13 - Config_Intake_View'!Q184&lt;&gt;"","PM Approved",IF(Deployments!AG176&lt;&gt;"","Assumed",""))</f>
        <v/>
      </c>
      <c r="K184" s="21">
        <f>Deployments!AF176</f>
        <v/>
      </c>
      <c r="L184" s="14">
        <f>Deployments!U176</f>
        <v/>
      </c>
      <c r="M184" s="14">
        <f>Deployments!L176</f>
        <v/>
      </c>
      <c r="N184" s="14">
        <f>Deployments!CC176</f>
        <v/>
      </c>
      <c r="O184" s="21">
        <f>Deployments!CD176</f>
        <v/>
      </c>
      <c r="P184" s="2">
        <f>Deployments!BX176</f>
        <v/>
      </c>
      <c r="Q184" s="21">
        <f>IF(OR($A184="",$B184="",$D184=""),"MISSING CORE FIELDS","")</f>
        <v/>
      </c>
      <c r="R184" s="14">
        <f>IF(AND($I184&lt;&gt;"",$K184&lt;&gt;"Yes"),"SW NOT INSTALLED","")</f>
        <v/>
      </c>
      <c r="S184" s="14">
        <f>IF(AND($H184&lt;&gt;"",ISNUMBER(SEARCH("auto",LOWER($H184))),$F184=""),"AUTOLOGON REQUIRED","")</f>
        <v/>
      </c>
      <c r="T184" s="14">
        <f>IF($Q184&lt;&gt;"",$Q184,IF($S184&lt;&gt;"",$S184,IF($R184&lt;&gt;"",$R184,IF(OR($N184&lt;&gt;"",$O184="Blocked"),"BLOCKED","OK"))))</f>
        <v/>
      </c>
    </row>
    <row r="185">
      <c r="A185" s="21">
        <f>Deployments!H177</f>
        <v/>
      </c>
      <c r="B185" s="21">
        <f>Deployments!X177</f>
        <v/>
      </c>
      <c r="C185" s="21">
        <f>Deployments!Y177</f>
        <v/>
      </c>
      <c r="D185" s="14">
        <f>Deployments!AO177</f>
        <v/>
      </c>
      <c r="E185" s="14">
        <f>Deployments!N177</f>
        <v/>
      </c>
      <c r="F185" s="21">
        <f>Deployments!O177</f>
        <v/>
      </c>
      <c r="G185" s="14">
        <f>Deployments!P177</f>
        <v/>
      </c>
      <c r="H185" s="14">
        <f>'13 - Config_Intake_View'!M185</f>
        <v/>
      </c>
      <c r="I185" s="21">
        <f>IF('13 - Config_Intake_View'!Q185&lt;&gt;"",'13 - Config_Intake_View'!Q185,Deployments!AG177)</f>
        <v/>
      </c>
      <c r="J185" s="14">
        <f>IF('13 - Config_Intake_View'!Q185&lt;&gt;"","PM Approved",IF(Deployments!AG177&lt;&gt;"","Assumed",""))</f>
        <v/>
      </c>
      <c r="K185" s="21">
        <f>Deployments!AF177</f>
        <v/>
      </c>
      <c r="L185" s="14">
        <f>Deployments!U177</f>
        <v/>
      </c>
      <c r="M185" s="14">
        <f>Deployments!L177</f>
        <v/>
      </c>
      <c r="N185" s="14">
        <f>Deployments!CC177</f>
        <v/>
      </c>
      <c r="O185" s="21">
        <f>Deployments!CD177</f>
        <v/>
      </c>
      <c r="P185" s="2">
        <f>Deployments!BX177</f>
        <v/>
      </c>
      <c r="Q185" s="21">
        <f>IF(OR($A185="",$B185="",$D185=""),"MISSING CORE FIELDS","")</f>
        <v/>
      </c>
      <c r="R185" s="14">
        <f>IF(AND($I185&lt;&gt;"",$K185&lt;&gt;"Yes"),"SW NOT INSTALLED","")</f>
        <v/>
      </c>
      <c r="S185" s="14">
        <f>IF(AND($H185&lt;&gt;"",ISNUMBER(SEARCH("auto",LOWER($H185))),$F185=""),"AUTOLOGON REQUIRED","")</f>
        <v/>
      </c>
      <c r="T185" s="14">
        <f>IF($Q185&lt;&gt;"",$Q185,IF($S185&lt;&gt;"",$S185,IF($R185&lt;&gt;"",$R185,IF(OR($N185&lt;&gt;"",$O185="Blocked"),"BLOCKED","OK"))))</f>
        <v/>
      </c>
    </row>
    <row r="186">
      <c r="A186" s="21">
        <f>Deployments!H178</f>
        <v/>
      </c>
      <c r="B186" s="21">
        <f>Deployments!X178</f>
        <v/>
      </c>
      <c r="C186" s="21">
        <f>Deployments!Y178</f>
        <v/>
      </c>
      <c r="D186" s="14">
        <f>Deployments!AO178</f>
        <v/>
      </c>
      <c r="E186" s="14">
        <f>Deployments!N178</f>
        <v/>
      </c>
      <c r="F186" s="21">
        <f>Deployments!O178</f>
        <v/>
      </c>
      <c r="G186" s="14">
        <f>Deployments!P178</f>
        <v/>
      </c>
      <c r="H186" s="14">
        <f>'13 - Config_Intake_View'!M186</f>
        <v/>
      </c>
      <c r="I186" s="21">
        <f>IF('13 - Config_Intake_View'!Q186&lt;&gt;"",'13 - Config_Intake_View'!Q186,Deployments!AG178)</f>
        <v/>
      </c>
      <c r="J186" s="14">
        <f>IF('13 - Config_Intake_View'!Q186&lt;&gt;"","PM Approved",IF(Deployments!AG178&lt;&gt;"","Assumed",""))</f>
        <v/>
      </c>
      <c r="K186" s="21">
        <f>Deployments!AF178</f>
        <v/>
      </c>
      <c r="L186" s="14">
        <f>Deployments!U178</f>
        <v/>
      </c>
      <c r="M186" s="14">
        <f>Deployments!L178</f>
        <v/>
      </c>
      <c r="N186" s="14">
        <f>Deployments!CC178</f>
        <v/>
      </c>
      <c r="O186" s="21">
        <f>Deployments!CD178</f>
        <v/>
      </c>
      <c r="P186" s="2">
        <f>Deployments!BX178</f>
        <v/>
      </c>
      <c r="Q186" s="21">
        <f>IF(OR($A186="",$B186="",$D186=""),"MISSING CORE FIELDS","")</f>
        <v/>
      </c>
      <c r="R186" s="14">
        <f>IF(AND($I186&lt;&gt;"",$K186&lt;&gt;"Yes"),"SW NOT INSTALLED","")</f>
        <v/>
      </c>
      <c r="S186" s="14">
        <f>IF(AND($H186&lt;&gt;"",ISNUMBER(SEARCH("auto",LOWER($H186))),$F186=""),"AUTOLOGON REQUIRED","")</f>
        <v/>
      </c>
      <c r="T186" s="14">
        <f>IF($Q186&lt;&gt;"",$Q186,IF($S186&lt;&gt;"",$S186,IF($R186&lt;&gt;"",$R186,IF(OR($N186&lt;&gt;"",$O186="Blocked"),"BLOCKED","OK"))))</f>
        <v/>
      </c>
    </row>
    <row r="187">
      <c r="A187" s="21">
        <f>Deployments!H179</f>
        <v/>
      </c>
      <c r="B187" s="21">
        <f>Deployments!X179</f>
        <v/>
      </c>
      <c r="C187" s="21">
        <f>Deployments!Y179</f>
        <v/>
      </c>
      <c r="D187" s="14">
        <f>Deployments!AO179</f>
        <v/>
      </c>
      <c r="E187" s="14">
        <f>Deployments!N179</f>
        <v/>
      </c>
      <c r="F187" s="21">
        <f>Deployments!O179</f>
        <v/>
      </c>
      <c r="G187" s="14">
        <f>Deployments!P179</f>
        <v/>
      </c>
      <c r="H187" s="14">
        <f>'13 - Config_Intake_View'!M187</f>
        <v/>
      </c>
      <c r="I187" s="21">
        <f>IF('13 - Config_Intake_View'!Q187&lt;&gt;"",'13 - Config_Intake_View'!Q187,Deployments!AG179)</f>
        <v/>
      </c>
      <c r="J187" s="14">
        <f>IF('13 - Config_Intake_View'!Q187&lt;&gt;"","PM Approved",IF(Deployments!AG179&lt;&gt;"","Assumed",""))</f>
        <v/>
      </c>
      <c r="K187" s="21">
        <f>Deployments!AF179</f>
        <v/>
      </c>
      <c r="L187" s="14">
        <f>Deployments!U179</f>
        <v/>
      </c>
      <c r="M187" s="14">
        <f>Deployments!L179</f>
        <v/>
      </c>
      <c r="N187" s="14">
        <f>Deployments!CC179</f>
        <v/>
      </c>
      <c r="O187" s="21">
        <f>Deployments!CD179</f>
        <v/>
      </c>
      <c r="P187" s="2">
        <f>Deployments!BX179</f>
        <v/>
      </c>
      <c r="Q187" s="21">
        <f>IF(OR($A187="",$B187="",$D187=""),"MISSING CORE FIELDS","")</f>
        <v/>
      </c>
      <c r="R187" s="14">
        <f>IF(AND($I187&lt;&gt;"",$K187&lt;&gt;"Yes"),"SW NOT INSTALLED","")</f>
        <v/>
      </c>
      <c r="S187" s="14">
        <f>IF(AND($H187&lt;&gt;"",ISNUMBER(SEARCH("auto",LOWER($H187))),$F187=""),"AUTOLOGON REQUIRED","")</f>
        <v/>
      </c>
      <c r="T187" s="14">
        <f>IF($Q187&lt;&gt;"",$Q187,IF($S187&lt;&gt;"",$S187,IF($R187&lt;&gt;"",$R187,IF(OR($N187&lt;&gt;"",$O187="Blocked"),"BLOCKED","OK"))))</f>
        <v/>
      </c>
    </row>
    <row r="188">
      <c r="A188" s="21">
        <f>Deployments!H180</f>
        <v/>
      </c>
      <c r="B188" s="21">
        <f>Deployments!X180</f>
        <v/>
      </c>
      <c r="C188" s="21">
        <f>Deployments!Y180</f>
        <v/>
      </c>
      <c r="D188" s="14">
        <f>Deployments!AO180</f>
        <v/>
      </c>
      <c r="E188" s="14">
        <f>Deployments!N180</f>
        <v/>
      </c>
      <c r="F188" s="21">
        <f>Deployments!O180</f>
        <v/>
      </c>
      <c r="G188" s="14">
        <f>Deployments!P180</f>
        <v/>
      </c>
      <c r="H188" s="14">
        <f>'13 - Config_Intake_View'!M188</f>
        <v/>
      </c>
      <c r="I188" s="21">
        <f>IF('13 - Config_Intake_View'!Q188&lt;&gt;"",'13 - Config_Intake_View'!Q188,Deployments!AG180)</f>
        <v/>
      </c>
      <c r="J188" s="14">
        <f>IF('13 - Config_Intake_View'!Q188&lt;&gt;"","PM Approved",IF(Deployments!AG180&lt;&gt;"","Assumed",""))</f>
        <v/>
      </c>
      <c r="K188" s="21">
        <f>Deployments!AF180</f>
        <v/>
      </c>
      <c r="L188" s="14">
        <f>Deployments!U180</f>
        <v/>
      </c>
      <c r="M188" s="14">
        <f>Deployments!L180</f>
        <v/>
      </c>
      <c r="N188" s="14">
        <f>Deployments!CC180</f>
        <v/>
      </c>
      <c r="O188" s="21">
        <f>Deployments!CD180</f>
        <v/>
      </c>
      <c r="P188" s="2">
        <f>Deployments!BX180</f>
        <v/>
      </c>
      <c r="Q188" s="21">
        <f>IF(OR($A188="",$B188="",$D188=""),"MISSING CORE FIELDS","")</f>
        <v/>
      </c>
      <c r="R188" s="14">
        <f>IF(AND($I188&lt;&gt;"",$K188&lt;&gt;"Yes"),"SW NOT INSTALLED","")</f>
        <v/>
      </c>
      <c r="S188" s="14">
        <f>IF(AND($H188&lt;&gt;"",ISNUMBER(SEARCH("auto",LOWER($H188))),$F188=""),"AUTOLOGON REQUIRED","")</f>
        <v/>
      </c>
      <c r="T188" s="14">
        <f>IF($Q188&lt;&gt;"",$Q188,IF($S188&lt;&gt;"",$S188,IF($R188&lt;&gt;"",$R188,IF(OR($N188&lt;&gt;"",$O188="Blocked"),"BLOCKED","OK"))))</f>
        <v/>
      </c>
    </row>
    <row r="189">
      <c r="A189" s="21">
        <f>Deployments!H181</f>
        <v/>
      </c>
      <c r="B189" s="21">
        <f>Deployments!X181</f>
        <v/>
      </c>
      <c r="C189" s="21">
        <f>Deployments!Y181</f>
        <v/>
      </c>
      <c r="D189" s="14">
        <f>Deployments!AO181</f>
        <v/>
      </c>
      <c r="E189" s="14">
        <f>Deployments!N181</f>
        <v/>
      </c>
      <c r="F189" s="21">
        <f>Deployments!O181</f>
        <v/>
      </c>
      <c r="G189" s="14">
        <f>Deployments!P181</f>
        <v/>
      </c>
      <c r="H189" s="14">
        <f>'13 - Config_Intake_View'!M189</f>
        <v/>
      </c>
      <c r="I189" s="21">
        <f>IF('13 - Config_Intake_View'!Q189&lt;&gt;"",'13 - Config_Intake_View'!Q189,Deployments!AG181)</f>
        <v/>
      </c>
      <c r="J189" s="14">
        <f>IF('13 - Config_Intake_View'!Q189&lt;&gt;"","PM Approved",IF(Deployments!AG181&lt;&gt;"","Assumed",""))</f>
        <v/>
      </c>
      <c r="K189" s="21">
        <f>Deployments!AF181</f>
        <v/>
      </c>
      <c r="L189" s="14">
        <f>Deployments!U181</f>
        <v/>
      </c>
      <c r="M189" s="14">
        <f>Deployments!L181</f>
        <v/>
      </c>
      <c r="N189" s="14">
        <f>Deployments!CC181</f>
        <v/>
      </c>
      <c r="O189" s="21">
        <f>Deployments!CD181</f>
        <v/>
      </c>
      <c r="P189" s="2">
        <f>Deployments!BX181</f>
        <v/>
      </c>
      <c r="Q189" s="21">
        <f>IF(OR($A189="",$B189="",$D189=""),"MISSING CORE FIELDS","")</f>
        <v/>
      </c>
      <c r="R189" s="14">
        <f>IF(AND($I189&lt;&gt;"",$K189&lt;&gt;"Yes"),"SW NOT INSTALLED","")</f>
        <v/>
      </c>
      <c r="S189" s="14">
        <f>IF(AND($H189&lt;&gt;"",ISNUMBER(SEARCH("auto",LOWER($H189))),$F189=""),"AUTOLOGON REQUIRED","")</f>
        <v/>
      </c>
      <c r="T189" s="14">
        <f>IF($Q189&lt;&gt;"",$Q189,IF($S189&lt;&gt;"",$S189,IF($R189&lt;&gt;"",$R189,IF(OR($N189&lt;&gt;"",$O189="Blocked"),"BLOCKED","OK"))))</f>
        <v/>
      </c>
    </row>
    <row r="190">
      <c r="A190" s="21">
        <f>Deployments!H182</f>
        <v/>
      </c>
      <c r="B190" s="21">
        <f>Deployments!X182</f>
        <v/>
      </c>
      <c r="C190" s="21">
        <f>Deployments!Y182</f>
        <v/>
      </c>
      <c r="D190" s="14">
        <f>Deployments!AO182</f>
        <v/>
      </c>
      <c r="E190" s="14">
        <f>Deployments!N182</f>
        <v/>
      </c>
      <c r="F190" s="21">
        <f>Deployments!O182</f>
        <v/>
      </c>
      <c r="G190" s="14">
        <f>Deployments!P182</f>
        <v/>
      </c>
      <c r="H190" s="14">
        <f>'13 - Config_Intake_View'!M190</f>
        <v/>
      </c>
      <c r="I190" s="21">
        <f>IF('13 - Config_Intake_View'!Q190&lt;&gt;"",'13 - Config_Intake_View'!Q190,Deployments!AG182)</f>
        <v/>
      </c>
      <c r="J190" s="14">
        <f>IF('13 - Config_Intake_View'!Q190&lt;&gt;"","PM Approved",IF(Deployments!AG182&lt;&gt;"","Assumed",""))</f>
        <v/>
      </c>
      <c r="K190" s="21">
        <f>Deployments!AF182</f>
        <v/>
      </c>
      <c r="L190" s="14">
        <f>Deployments!U182</f>
        <v/>
      </c>
      <c r="M190" s="14">
        <f>Deployments!L182</f>
        <v/>
      </c>
      <c r="N190" s="14">
        <f>Deployments!CC182</f>
        <v/>
      </c>
      <c r="O190" s="21">
        <f>Deployments!CD182</f>
        <v/>
      </c>
      <c r="P190" s="2">
        <f>Deployments!BX182</f>
        <v/>
      </c>
      <c r="Q190" s="21">
        <f>IF(OR($A190="",$B190="",$D190=""),"MISSING CORE FIELDS","")</f>
        <v/>
      </c>
      <c r="R190" s="14">
        <f>IF(AND($I190&lt;&gt;"",$K190&lt;&gt;"Yes"),"SW NOT INSTALLED","")</f>
        <v/>
      </c>
      <c r="S190" s="14">
        <f>IF(AND($H190&lt;&gt;"",ISNUMBER(SEARCH("auto",LOWER($H190))),$F190=""),"AUTOLOGON REQUIRED","")</f>
        <v/>
      </c>
      <c r="T190" s="14">
        <f>IF($Q190&lt;&gt;"",$Q190,IF($S190&lt;&gt;"",$S190,IF($R190&lt;&gt;"",$R190,IF(OR($N190&lt;&gt;"",$O190="Blocked"),"BLOCKED","OK"))))</f>
        <v/>
      </c>
    </row>
    <row r="191">
      <c r="A191" s="21">
        <f>Deployments!H183</f>
        <v/>
      </c>
      <c r="B191" s="21">
        <f>Deployments!X183</f>
        <v/>
      </c>
      <c r="C191" s="21">
        <f>Deployments!Y183</f>
        <v/>
      </c>
      <c r="D191" s="14">
        <f>Deployments!AO183</f>
        <v/>
      </c>
      <c r="E191" s="14">
        <f>Deployments!N183</f>
        <v/>
      </c>
      <c r="F191" s="21">
        <f>Deployments!O183</f>
        <v/>
      </c>
      <c r="G191" s="14">
        <f>Deployments!P183</f>
        <v/>
      </c>
      <c r="H191" s="14">
        <f>'13 - Config_Intake_View'!M191</f>
        <v/>
      </c>
      <c r="I191" s="21">
        <f>IF('13 - Config_Intake_View'!Q191&lt;&gt;"",'13 - Config_Intake_View'!Q191,Deployments!AG183)</f>
        <v/>
      </c>
      <c r="J191" s="14">
        <f>IF('13 - Config_Intake_View'!Q191&lt;&gt;"","PM Approved",IF(Deployments!AG183&lt;&gt;"","Assumed",""))</f>
        <v/>
      </c>
      <c r="K191" s="21">
        <f>Deployments!AF183</f>
        <v/>
      </c>
      <c r="L191" s="14">
        <f>Deployments!U183</f>
        <v/>
      </c>
      <c r="M191" s="14">
        <f>Deployments!L183</f>
        <v/>
      </c>
      <c r="N191" s="14">
        <f>Deployments!CC183</f>
        <v/>
      </c>
      <c r="O191" s="21">
        <f>Deployments!CD183</f>
        <v/>
      </c>
      <c r="P191" s="2">
        <f>Deployments!BX183</f>
        <v/>
      </c>
      <c r="Q191" s="21">
        <f>IF(OR($A191="",$B191="",$D191=""),"MISSING CORE FIELDS","")</f>
        <v/>
      </c>
      <c r="R191" s="14">
        <f>IF(AND($I191&lt;&gt;"",$K191&lt;&gt;"Yes"),"SW NOT INSTALLED","")</f>
        <v/>
      </c>
      <c r="S191" s="14">
        <f>IF(AND($H191&lt;&gt;"",ISNUMBER(SEARCH("auto",LOWER($H191))),$F191=""),"AUTOLOGON REQUIRED","")</f>
        <v/>
      </c>
      <c r="T191" s="14">
        <f>IF($Q191&lt;&gt;"",$Q191,IF($S191&lt;&gt;"",$S191,IF($R191&lt;&gt;"",$R191,IF(OR($N191&lt;&gt;"",$O191="Blocked"),"BLOCKED","OK"))))</f>
        <v/>
      </c>
    </row>
    <row r="192">
      <c r="A192" s="21">
        <f>Deployments!H184</f>
        <v/>
      </c>
      <c r="B192" s="21">
        <f>Deployments!X184</f>
        <v/>
      </c>
      <c r="C192" s="21">
        <f>Deployments!Y184</f>
        <v/>
      </c>
      <c r="D192" s="14">
        <f>Deployments!AO184</f>
        <v/>
      </c>
      <c r="E192" s="14">
        <f>Deployments!N184</f>
        <v/>
      </c>
      <c r="F192" s="21">
        <f>Deployments!O184</f>
        <v/>
      </c>
      <c r="G192" s="14">
        <f>Deployments!P184</f>
        <v/>
      </c>
      <c r="H192" s="14">
        <f>'13 - Config_Intake_View'!M192</f>
        <v/>
      </c>
      <c r="I192" s="21">
        <f>IF('13 - Config_Intake_View'!Q192&lt;&gt;"",'13 - Config_Intake_View'!Q192,Deployments!AG184)</f>
        <v/>
      </c>
      <c r="J192" s="14">
        <f>IF('13 - Config_Intake_View'!Q192&lt;&gt;"","PM Approved",IF(Deployments!AG184&lt;&gt;"","Assumed",""))</f>
        <v/>
      </c>
      <c r="K192" s="21">
        <f>Deployments!AF184</f>
        <v/>
      </c>
      <c r="L192" s="14">
        <f>Deployments!U184</f>
        <v/>
      </c>
      <c r="M192" s="14">
        <f>Deployments!L184</f>
        <v/>
      </c>
      <c r="N192" s="14">
        <f>Deployments!CC184</f>
        <v/>
      </c>
      <c r="O192" s="21">
        <f>Deployments!CD184</f>
        <v/>
      </c>
      <c r="P192" s="2">
        <f>Deployments!BX184</f>
        <v/>
      </c>
      <c r="Q192" s="21">
        <f>IF(OR($A192="",$B192="",$D192=""),"MISSING CORE FIELDS","")</f>
        <v/>
      </c>
      <c r="R192" s="14">
        <f>IF(AND($I192&lt;&gt;"",$K192&lt;&gt;"Yes"),"SW NOT INSTALLED","")</f>
        <v/>
      </c>
      <c r="S192" s="14">
        <f>IF(AND($H192&lt;&gt;"",ISNUMBER(SEARCH("auto",LOWER($H192))),$F192=""),"AUTOLOGON REQUIRED","")</f>
        <v/>
      </c>
      <c r="T192" s="14">
        <f>IF($Q192&lt;&gt;"",$Q192,IF($S192&lt;&gt;"",$S192,IF($R192&lt;&gt;"",$R192,IF(OR($N192&lt;&gt;"",$O192="Blocked"),"BLOCKED","OK"))))</f>
        <v/>
      </c>
    </row>
    <row r="193">
      <c r="A193" s="21">
        <f>Deployments!H185</f>
        <v/>
      </c>
      <c r="B193" s="21">
        <f>Deployments!X185</f>
        <v/>
      </c>
      <c r="C193" s="21">
        <f>Deployments!Y185</f>
        <v/>
      </c>
      <c r="D193" s="14">
        <f>Deployments!AO185</f>
        <v/>
      </c>
      <c r="E193" s="14">
        <f>Deployments!N185</f>
        <v/>
      </c>
      <c r="F193" s="21">
        <f>Deployments!O185</f>
        <v/>
      </c>
      <c r="G193" s="14">
        <f>Deployments!P185</f>
        <v/>
      </c>
      <c r="H193" s="14">
        <f>'13 - Config_Intake_View'!M193</f>
        <v/>
      </c>
      <c r="I193" s="21">
        <f>IF('13 - Config_Intake_View'!Q193&lt;&gt;"",'13 - Config_Intake_View'!Q193,Deployments!AG185)</f>
        <v/>
      </c>
      <c r="J193" s="14">
        <f>IF('13 - Config_Intake_View'!Q193&lt;&gt;"","PM Approved",IF(Deployments!AG185&lt;&gt;"","Assumed",""))</f>
        <v/>
      </c>
      <c r="K193" s="21">
        <f>Deployments!AF185</f>
        <v/>
      </c>
      <c r="L193" s="14">
        <f>Deployments!U185</f>
        <v/>
      </c>
      <c r="M193" s="14">
        <f>Deployments!L185</f>
        <v/>
      </c>
      <c r="N193" s="14">
        <f>Deployments!CC185</f>
        <v/>
      </c>
      <c r="O193" s="21">
        <f>Deployments!CD185</f>
        <v/>
      </c>
      <c r="P193" s="2">
        <f>Deployments!BX185</f>
        <v/>
      </c>
      <c r="Q193" s="21">
        <f>IF(OR($A193="",$B193="",$D193=""),"MISSING CORE FIELDS","")</f>
        <v/>
      </c>
      <c r="R193" s="14">
        <f>IF(AND($I193&lt;&gt;"",$K193&lt;&gt;"Yes"),"SW NOT INSTALLED","")</f>
        <v/>
      </c>
      <c r="S193" s="14">
        <f>IF(AND($H193&lt;&gt;"",ISNUMBER(SEARCH("auto",LOWER($H193))),$F193=""),"AUTOLOGON REQUIRED","")</f>
        <v/>
      </c>
      <c r="T193" s="14">
        <f>IF($Q193&lt;&gt;"",$Q193,IF($S193&lt;&gt;"",$S193,IF($R193&lt;&gt;"",$R193,IF(OR($N193&lt;&gt;"",$O193="Blocked"),"BLOCKED","OK"))))</f>
        <v/>
      </c>
    </row>
    <row r="194">
      <c r="A194" s="21">
        <f>Deployments!H186</f>
        <v/>
      </c>
      <c r="B194" s="21">
        <f>Deployments!X186</f>
        <v/>
      </c>
      <c r="C194" s="21">
        <f>Deployments!Y186</f>
        <v/>
      </c>
      <c r="D194" s="14">
        <f>Deployments!AO186</f>
        <v/>
      </c>
      <c r="E194" s="14">
        <f>Deployments!N186</f>
        <v/>
      </c>
      <c r="F194" s="21">
        <f>Deployments!O186</f>
        <v/>
      </c>
      <c r="G194" s="14">
        <f>Deployments!P186</f>
        <v/>
      </c>
      <c r="H194" s="14">
        <f>'13 - Config_Intake_View'!M194</f>
        <v/>
      </c>
      <c r="I194" s="21">
        <f>IF('13 - Config_Intake_View'!Q194&lt;&gt;"",'13 - Config_Intake_View'!Q194,Deployments!AG186)</f>
        <v/>
      </c>
      <c r="J194" s="14">
        <f>IF('13 - Config_Intake_View'!Q194&lt;&gt;"","PM Approved",IF(Deployments!AG186&lt;&gt;"","Assumed",""))</f>
        <v/>
      </c>
      <c r="K194" s="21">
        <f>Deployments!AF186</f>
        <v/>
      </c>
      <c r="L194" s="14">
        <f>Deployments!U186</f>
        <v/>
      </c>
      <c r="M194" s="14">
        <f>Deployments!L186</f>
        <v/>
      </c>
      <c r="N194" s="14">
        <f>Deployments!CC186</f>
        <v/>
      </c>
      <c r="O194" s="21">
        <f>Deployments!CD186</f>
        <v/>
      </c>
      <c r="P194" s="2">
        <f>Deployments!BX186</f>
        <v/>
      </c>
      <c r="Q194" s="21">
        <f>IF(OR($A194="",$B194="",$D194=""),"MISSING CORE FIELDS","")</f>
        <v/>
      </c>
      <c r="R194" s="14">
        <f>IF(AND($I194&lt;&gt;"",$K194&lt;&gt;"Yes"),"SW NOT INSTALLED","")</f>
        <v/>
      </c>
      <c r="S194" s="14">
        <f>IF(AND($H194&lt;&gt;"",ISNUMBER(SEARCH("auto",LOWER($H194))),$F194=""),"AUTOLOGON REQUIRED","")</f>
        <v/>
      </c>
      <c r="T194" s="14">
        <f>IF($Q194&lt;&gt;"",$Q194,IF($S194&lt;&gt;"",$S194,IF($R194&lt;&gt;"",$R194,IF(OR($N194&lt;&gt;"",$O194="Blocked"),"BLOCKED","OK"))))</f>
        <v/>
      </c>
    </row>
    <row r="195">
      <c r="A195" s="21">
        <f>Deployments!H187</f>
        <v/>
      </c>
      <c r="B195" s="21">
        <f>Deployments!X187</f>
        <v/>
      </c>
      <c r="C195" s="21">
        <f>Deployments!Y187</f>
        <v/>
      </c>
      <c r="D195" s="14">
        <f>Deployments!AO187</f>
        <v/>
      </c>
      <c r="E195" s="14">
        <f>Deployments!N187</f>
        <v/>
      </c>
      <c r="F195" s="21">
        <f>Deployments!O187</f>
        <v/>
      </c>
      <c r="G195" s="14">
        <f>Deployments!P187</f>
        <v/>
      </c>
      <c r="H195" s="14">
        <f>'13 - Config_Intake_View'!M195</f>
        <v/>
      </c>
      <c r="I195" s="21">
        <f>IF('13 - Config_Intake_View'!Q195&lt;&gt;"",'13 - Config_Intake_View'!Q195,Deployments!AG187)</f>
        <v/>
      </c>
      <c r="J195" s="14">
        <f>IF('13 - Config_Intake_View'!Q195&lt;&gt;"","PM Approved",IF(Deployments!AG187&lt;&gt;"","Assumed",""))</f>
        <v/>
      </c>
      <c r="K195" s="21">
        <f>Deployments!AF187</f>
        <v/>
      </c>
      <c r="L195" s="14">
        <f>Deployments!U187</f>
        <v/>
      </c>
      <c r="M195" s="14">
        <f>Deployments!L187</f>
        <v/>
      </c>
      <c r="N195" s="14">
        <f>Deployments!CC187</f>
        <v/>
      </c>
      <c r="O195" s="21">
        <f>Deployments!CD187</f>
        <v/>
      </c>
      <c r="P195" s="2">
        <f>Deployments!BX187</f>
        <v/>
      </c>
      <c r="Q195" s="21">
        <f>IF(OR($A195="",$B195="",$D195=""),"MISSING CORE FIELDS","")</f>
        <v/>
      </c>
      <c r="R195" s="14">
        <f>IF(AND($I195&lt;&gt;"",$K195&lt;&gt;"Yes"),"SW NOT INSTALLED","")</f>
        <v/>
      </c>
      <c r="S195" s="14">
        <f>IF(AND($H195&lt;&gt;"",ISNUMBER(SEARCH("auto",LOWER($H195))),$F195=""),"AUTOLOGON REQUIRED","")</f>
        <v/>
      </c>
      <c r="T195" s="14">
        <f>IF($Q195&lt;&gt;"",$Q195,IF($S195&lt;&gt;"",$S195,IF($R195&lt;&gt;"",$R195,IF(OR($N195&lt;&gt;"",$O195="Blocked"),"BLOCKED","OK"))))</f>
        <v/>
      </c>
    </row>
    <row r="196">
      <c r="A196" s="21">
        <f>Deployments!H188</f>
        <v/>
      </c>
      <c r="B196" s="21">
        <f>Deployments!X188</f>
        <v/>
      </c>
      <c r="C196" s="21">
        <f>Deployments!Y188</f>
        <v/>
      </c>
      <c r="D196" s="14">
        <f>Deployments!AO188</f>
        <v/>
      </c>
      <c r="E196" s="14">
        <f>Deployments!N188</f>
        <v/>
      </c>
      <c r="F196" s="21">
        <f>Deployments!O188</f>
        <v/>
      </c>
      <c r="G196" s="14">
        <f>Deployments!P188</f>
        <v/>
      </c>
      <c r="H196" s="14">
        <f>'13 - Config_Intake_View'!M196</f>
        <v/>
      </c>
      <c r="I196" s="21">
        <f>IF('13 - Config_Intake_View'!Q196&lt;&gt;"",'13 - Config_Intake_View'!Q196,Deployments!AG188)</f>
        <v/>
      </c>
      <c r="J196" s="14">
        <f>IF('13 - Config_Intake_View'!Q196&lt;&gt;"","PM Approved",IF(Deployments!AG188&lt;&gt;"","Assumed",""))</f>
        <v/>
      </c>
      <c r="K196" s="21">
        <f>Deployments!AF188</f>
        <v/>
      </c>
      <c r="L196" s="14">
        <f>Deployments!U188</f>
        <v/>
      </c>
      <c r="M196" s="14">
        <f>Deployments!L188</f>
        <v/>
      </c>
      <c r="N196" s="14">
        <f>Deployments!CC188</f>
        <v/>
      </c>
      <c r="O196" s="21">
        <f>Deployments!CD188</f>
        <v/>
      </c>
      <c r="P196" s="2">
        <f>Deployments!BX188</f>
        <v/>
      </c>
      <c r="Q196" s="21">
        <f>IF(OR($A196="",$B196="",$D196=""),"MISSING CORE FIELDS","")</f>
        <v/>
      </c>
      <c r="R196" s="14">
        <f>IF(AND($I196&lt;&gt;"",$K196&lt;&gt;"Yes"),"SW NOT INSTALLED","")</f>
        <v/>
      </c>
      <c r="S196" s="14">
        <f>IF(AND($H196&lt;&gt;"",ISNUMBER(SEARCH("auto",LOWER($H196))),$F196=""),"AUTOLOGON REQUIRED","")</f>
        <v/>
      </c>
      <c r="T196" s="14">
        <f>IF($Q196&lt;&gt;"",$Q196,IF($S196&lt;&gt;"",$S196,IF($R196&lt;&gt;"",$R196,IF(OR($N196&lt;&gt;"",$O196="Blocked"),"BLOCKED","OK"))))</f>
        <v/>
      </c>
    </row>
    <row r="197">
      <c r="A197" s="21">
        <f>Deployments!H189</f>
        <v/>
      </c>
      <c r="B197" s="21">
        <f>Deployments!X189</f>
        <v/>
      </c>
      <c r="C197" s="21">
        <f>Deployments!Y189</f>
        <v/>
      </c>
      <c r="D197" s="14">
        <f>Deployments!AO189</f>
        <v/>
      </c>
      <c r="E197" s="14">
        <f>Deployments!N189</f>
        <v/>
      </c>
      <c r="F197" s="21">
        <f>Deployments!O189</f>
        <v/>
      </c>
      <c r="G197" s="14">
        <f>Deployments!P189</f>
        <v/>
      </c>
      <c r="H197" s="14">
        <f>'13 - Config_Intake_View'!M197</f>
        <v/>
      </c>
      <c r="I197" s="21">
        <f>IF('13 - Config_Intake_View'!Q197&lt;&gt;"",'13 - Config_Intake_View'!Q197,Deployments!AG189)</f>
        <v/>
      </c>
      <c r="J197" s="14">
        <f>IF('13 - Config_Intake_View'!Q197&lt;&gt;"","PM Approved",IF(Deployments!AG189&lt;&gt;"","Assumed",""))</f>
        <v/>
      </c>
      <c r="K197" s="21">
        <f>Deployments!AF189</f>
        <v/>
      </c>
      <c r="L197" s="14">
        <f>Deployments!U189</f>
        <v/>
      </c>
      <c r="M197" s="14">
        <f>Deployments!L189</f>
        <v/>
      </c>
      <c r="N197" s="14">
        <f>Deployments!CC189</f>
        <v/>
      </c>
      <c r="O197" s="21">
        <f>Deployments!CD189</f>
        <v/>
      </c>
      <c r="P197" s="2">
        <f>Deployments!BX189</f>
        <v/>
      </c>
      <c r="Q197" s="21">
        <f>IF(OR($A197="",$B197="",$D197=""),"MISSING CORE FIELDS","")</f>
        <v/>
      </c>
      <c r="R197" s="14">
        <f>IF(AND($I197&lt;&gt;"",$K197&lt;&gt;"Yes"),"SW NOT INSTALLED","")</f>
        <v/>
      </c>
      <c r="S197" s="14">
        <f>IF(AND($H197&lt;&gt;"",ISNUMBER(SEARCH("auto",LOWER($H197))),$F197=""),"AUTOLOGON REQUIRED","")</f>
        <v/>
      </c>
      <c r="T197" s="14">
        <f>IF($Q197&lt;&gt;"",$Q197,IF($S197&lt;&gt;"",$S197,IF($R197&lt;&gt;"",$R197,IF(OR($N197&lt;&gt;"",$O197="Blocked"),"BLOCKED","OK"))))</f>
        <v/>
      </c>
    </row>
    <row r="198">
      <c r="A198" s="21">
        <f>Deployments!H190</f>
        <v/>
      </c>
      <c r="B198" s="21">
        <f>Deployments!X190</f>
        <v/>
      </c>
      <c r="C198" s="21">
        <f>Deployments!Y190</f>
        <v/>
      </c>
      <c r="D198" s="14">
        <f>Deployments!AO190</f>
        <v/>
      </c>
      <c r="E198" s="14">
        <f>Deployments!N190</f>
        <v/>
      </c>
      <c r="F198" s="21">
        <f>Deployments!O190</f>
        <v/>
      </c>
      <c r="G198" s="14">
        <f>Deployments!P190</f>
        <v/>
      </c>
      <c r="H198" s="14">
        <f>'13 - Config_Intake_View'!M198</f>
        <v/>
      </c>
      <c r="I198" s="21">
        <f>IF('13 - Config_Intake_View'!Q198&lt;&gt;"",'13 - Config_Intake_View'!Q198,Deployments!AG190)</f>
        <v/>
      </c>
      <c r="J198" s="14">
        <f>IF('13 - Config_Intake_View'!Q198&lt;&gt;"","PM Approved",IF(Deployments!AG190&lt;&gt;"","Assumed",""))</f>
        <v/>
      </c>
      <c r="K198" s="21">
        <f>Deployments!AF190</f>
        <v/>
      </c>
      <c r="L198" s="14">
        <f>Deployments!U190</f>
        <v/>
      </c>
      <c r="M198" s="14">
        <f>Deployments!L190</f>
        <v/>
      </c>
      <c r="N198" s="14">
        <f>Deployments!CC190</f>
        <v/>
      </c>
      <c r="O198" s="21">
        <f>Deployments!CD190</f>
        <v/>
      </c>
      <c r="P198" s="2">
        <f>Deployments!BX190</f>
        <v/>
      </c>
      <c r="Q198" s="21">
        <f>IF(OR($A198="",$B198="",$D198=""),"MISSING CORE FIELDS","")</f>
        <v/>
      </c>
      <c r="R198" s="14">
        <f>IF(AND($I198&lt;&gt;"",$K198&lt;&gt;"Yes"),"SW NOT INSTALLED","")</f>
        <v/>
      </c>
      <c r="S198" s="14">
        <f>IF(AND($H198&lt;&gt;"",ISNUMBER(SEARCH("auto",LOWER($H198))),$F198=""),"AUTOLOGON REQUIRED","")</f>
        <v/>
      </c>
      <c r="T198" s="14">
        <f>IF($Q198&lt;&gt;"",$Q198,IF($S198&lt;&gt;"",$S198,IF($R198&lt;&gt;"",$R198,IF(OR($N198&lt;&gt;"",$O198="Blocked"),"BLOCKED","OK"))))</f>
        <v/>
      </c>
    </row>
    <row r="199">
      <c r="A199" s="21">
        <f>Deployments!H191</f>
        <v/>
      </c>
      <c r="B199" s="21">
        <f>Deployments!X191</f>
        <v/>
      </c>
      <c r="C199" s="21">
        <f>Deployments!Y191</f>
        <v/>
      </c>
      <c r="D199" s="14">
        <f>Deployments!AO191</f>
        <v/>
      </c>
      <c r="E199" s="14">
        <f>Deployments!N191</f>
        <v/>
      </c>
      <c r="F199" s="21">
        <f>Deployments!O191</f>
        <v/>
      </c>
      <c r="G199" s="14">
        <f>Deployments!P191</f>
        <v/>
      </c>
      <c r="H199" s="14">
        <f>'13 - Config_Intake_View'!M199</f>
        <v/>
      </c>
      <c r="I199" s="21">
        <f>IF('13 - Config_Intake_View'!Q199&lt;&gt;"",'13 - Config_Intake_View'!Q199,Deployments!AG191)</f>
        <v/>
      </c>
      <c r="J199" s="14">
        <f>IF('13 - Config_Intake_View'!Q199&lt;&gt;"","PM Approved",IF(Deployments!AG191&lt;&gt;"","Assumed",""))</f>
        <v/>
      </c>
      <c r="K199" s="21">
        <f>Deployments!AF191</f>
        <v/>
      </c>
      <c r="L199" s="14">
        <f>Deployments!U191</f>
        <v/>
      </c>
      <c r="M199" s="14">
        <f>Deployments!L191</f>
        <v/>
      </c>
      <c r="N199" s="14">
        <f>Deployments!CC191</f>
        <v/>
      </c>
      <c r="O199" s="21">
        <f>Deployments!CD191</f>
        <v/>
      </c>
      <c r="P199" s="2">
        <f>Deployments!BX191</f>
        <v/>
      </c>
      <c r="Q199" s="21">
        <f>IF(OR($A199="",$B199="",$D199=""),"MISSING CORE FIELDS","")</f>
        <v/>
      </c>
      <c r="R199" s="14">
        <f>IF(AND($I199&lt;&gt;"",$K199&lt;&gt;"Yes"),"SW NOT INSTALLED","")</f>
        <v/>
      </c>
      <c r="S199" s="14">
        <f>IF(AND($H199&lt;&gt;"",ISNUMBER(SEARCH("auto",LOWER($H199))),$F199=""),"AUTOLOGON REQUIRED","")</f>
        <v/>
      </c>
      <c r="T199" s="14">
        <f>IF($Q199&lt;&gt;"",$Q199,IF($S199&lt;&gt;"",$S199,IF($R199&lt;&gt;"",$R199,IF(OR($N199&lt;&gt;"",$O199="Blocked"),"BLOCKED","OK"))))</f>
        <v/>
      </c>
    </row>
    <row r="200">
      <c r="A200" s="21">
        <f>Deployments!H192</f>
        <v/>
      </c>
      <c r="B200" s="21">
        <f>Deployments!X192</f>
        <v/>
      </c>
      <c r="C200" s="21">
        <f>Deployments!Y192</f>
        <v/>
      </c>
      <c r="D200" s="14">
        <f>Deployments!AO192</f>
        <v/>
      </c>
      <c r="E200" s="14">
        <f>Deployments!N192</f>
        <v/>
      </c>
      <c r="F200" s="21">
        <f>Deployments!O192</f>
        <v/>
      </c>
      <c r="G200" s="14">
        <f>Deployments!P192</f>
        <v/>
      </c>
      <c r="H200" s="14">
        <f>'13 - Config_Intake_View'!M200</f>
        <v/>
      </c>
      <c r="I200" s="21">
        <f>IF('13 - Config_Intake_View'!Q200&lt;&gt;"",'13 - Config_Intake_View'!Q200,Deployments!AG192)</f>
        <v/>
      </c>
      <c r="J200" s="14">
        <f>IF('13 - Config_Intake_View'!Q200&lt;&gt;"","PM Approved",IF(Deployments!AG192&lt;&gt;"","Assumed",""))</f>
        <v/>
      </c>
      <c r="K200" s="21">
        <f>Deployments!AF192</f>
        <v/>
      </c>
      <c r="L200" s="14">
        <f>Deployments!U192</f>
        <v/>
      </c>
      <c r="M200" s="14">
        <f>Deployments!L192</f>
        <v/>
      </c>
      <c r="N200" s="14">
        <f>Deployments!CC192</f>
        <v/>
      </c>
      <c r="O200" s="21">
        <f>Deployments!CD192</f>
        <v/>
      </c>
      <c r="P200" s="2">
        <f>Deployments!BX192</f>
        <v/>
      </c>
      <c r="Q200" s="21">
        <f>IF(OR($A200="",$B200="",$D200=""),"MISSING CORE FIELDS","")</f>
        <v/>
      </c>
      <c r="R200" s="14">
        <f>IF(AND($I200&lt;&gt;"",$K200&lt;&gt;"Yes"),"SW NOT INSTALLED","")</f>
        <v/>
      </c>
      <c r="S200" s="14">
        <f>IF(AND($H200&lt;&gt;"",ISNUMBER(SEARCH("auto",LOWER($H200))),$F200=""),"AUTOLOGON REQUIRED","")</f>
        <v/>
      </c>
      <c r="T200" s="14">
        <f>IF($Q200&lt;&gt;"",$Q200,IF($S200&lt;&gt;"",$S200,IF($R200&lt;&gt;"",$R200,IF(OR($N200&lt;&gt;"",$O200="Blocked"),"BLOCKED","OK"))))</f>
        <v/>
      </c>
    </row>
    <row r="201">
      <c r="A201" s="21">
        <f>Deployments!#REF!</f>
        <v/>
      </c>
      <c r="B201" s="21">
        <f>Deployments!#REF!</f>
        <v/>
      </c>
      <c r="C201" s="21">
        <f>Deployments!#REF!</f>
        <v/>
      </c>
      <c r="D201" s="14">
        <f>Deployments!#REF!</f>
        <v/>
      </c>
      <c r="E201" s="14">
        <f>Deployments!#REF!</f>
        <v/>
      </c>
      <c r="F201" s="21">
        <f>Deployments!#REF!</f>
        <v/>
      </c>
      <c r="G201" s="14">
        <f>Deployments!#REF!</f>
        <v/>
      </c>
      <c r="H201" s="14">
        <f>'13 - Config_Intake_View'!M201</f>
        <v/>
      </c>
      <c r="I201" s="21">
        <f>IF('13 - Config_Intake_View'!Q201&lt;&gt;"",'13 - Config_Intake_View'!Q201,Deployments!#REF!)</f>
        <v/>
      </c>
      <c r="J201" s="14">
        <f>IF('13 - Config_Intake_View'!Q201&lt;&gt;"","PM Approved",IF(Deployments!#REF!&lt;&gt;"","Assumed",""))</f>
        <v/>
      </c>
      <c r="K201" s="21">
        <f>Deployments!#REF!</f>
        <v/>
      </c>
      <c r="L201" s="14">
        <f>Deployments!#REF!</f>
        <v/>
      </c>
      <c r="M201" s="14">
        <f>Deployments!#REF!</f>
        <v/>
      </c>
      <c r="N201" s="14">
        <f>Deployments!#REF!</f>
        <v/>
      </c>
      <c r="O201" s="21">
        <f>Deployments!#REF!</f>
        <v/>
      </c>
      <c r="P201" s="2">
        <f>Deployments!#REF!</f>
        <v/>
      </c>
      <c r="Q201" s="21">
        <f>IF(OR($A201="",$B201="",$D201=""),"MISSING CORE FIELDS","")</f>
        <v/>
      </c>
      <c r="R201" s="14">
        <f>IF(AND($I201&lt;&gt;"",$K201&lt;&gt;"Yes"),"SW NOT INSTALLED","")</f>
        <v/>
      </c>
      <c r="S201" s="14">
        <f>IF(AND($H201&lt;&gt;"",ISNUMBER(SEARCH("auto",LOWER($H201))),$F201=""),"AUTOLOGON REQUIRED","")</f>
        <v/>
      </c>
      <c r="T201" s="14">
        <f>IF($Q201&lt;&gt;"",$Q201,IF($S201&lt;&gt;"",$S201,IF($R201&lt;&gt;"",$R201,IF(OR($N201&lt;&gt;"",$O201="Blocked"),"BLOCKED","OK"))))</f>
        <v/>
      </c>
    </row>
    <row r="202">
      <c r="A202" s="21">
        <f>Deployments!#REF!</f>
        <v/>
      </c>
      <c r="B202" s="21">
        <f>Deployments!#REF!</f>
        <v/>
      </c>
      <c r="C202" s="21">
        <f>Deployments!#REF!</f>
        <v/>
      </c>
      <c r="D202" s="14">
        <f>Deployments!#REF!</f>
        <v/>
      </c>
      <c r="E202" s="14">
        <f>Deployments!#REF!</f>
        <v/>
      </c>
      <c r="F202" s="21">
        <f>Deployments!#REF!</f>
        <v/>
      </c>
      <c r="G202" s="14">
        <f>Deployments!#REF!</f>
        <v/>
      </c>
      <c r="H202" s="14">
        <f>'13 - Config_Intake_View'!M202</f>
        <v/>
      </c>
      <c r="I202" s="21">
        <f>IF('13 - Config_Intake_View'!Q202&lt;&gt;"",'13 - Config_Intake_View'!Q202,Deployments!#REF!)</f>
        <v/>
      </c>
      <c r="J202" s="14">
        <f>IF('13 - Config_Intake_View'!Q202&lt;&gt;"","PM Approved",IF(Deployments!#REF!&lt;&gt;"","Assumed",""))</f>
        <v/>
      </c>
      <c r="K202" s="21">
        <f>Deployments!#REF!</f>
        <v/>
      </c>
      <c r="L202" s="14">
        <f>Deployments!#REF!</f>
        <v/>
      </c>
      <c r="M202" s="14">
        <f>Deployments!#REF!</f>
        <v/>
      </c>
      <c r="N202" s="14">
        <f>Deployments!#REF!</f>
        <v/>
      </c>
      <c r="O202" s="21">
        <f>Deployments!#REF!</f>
        <v/>
      </c>
      <c r="P202" s="2">
        <f>Deployments!#REF!</f>
        <v/>
      </c>
      <c r="Q202" s="21">
        <f>IF(OR($A202="",$B202="",$D202=""),"MISSING CORE FIELDS","")</f>
        <v/>
      </c>
      <c r="R202" s="14">
        <f>IF(AND($I202&lt;&gt;"",$K202&lt;&gt;"Yes"),"SW NOT INSTALLED","")</f>
        <v/>
      </c>
      <c r="S202" s="14">
        <f>IF(AND($H202&lt;&gt;"",ISNUMBER(SEARCH("auto",LOWER($H202))),$F202=""),"AUTOLOGON REQUIRED","")</f>
        <v/>
      </c>
      <c r="T202" s="14">
        <f>IF($Q202&lt;&gt;"",$Q202,IF($S202&lt;&gt;"",$S202,IF($R202&lt;&gt;"",$R202,IF(OR($N202&lt;&gt;"",$O202="Blocked"),"BLOCKED","OK"))))</f>
        <v/>
      </c>
    </row>
    <row r="203">
      <c r="A203" s="21">
        <f>Deployments!#REF!</f>
        <v/>
      </c>
      <c r="B203" s="21">
        <f>Deployments!#REF!</f>
        <v/>
      </c>
      <c r="C203" s="21">
        <f>Deployments!#REF!</f>
        <v/>
      </c>
      <c r="D203" s="14">
        <f>Deployments!#REF!</f>
        <v/>
      </c>
      <c r="E203" s="14">
        <f>Deployments!#REF!</f>
        <v/>
      </c>
      <c r="F203" s="21">
        <f>Deployments!#REF!</f>
        <v/>
      </c>
      <c r="G203" s="14">
        <f>Deployments!#REF!</f>
        <v/>
      </c>
      <c r="H203" s="14">
        <f>'13 - Config_Intake_View'!M203</f>
        <v/>
      </c>
      <c r="I203" s="21">
        <f>IF('13 - Config_Intake_View'!Q203&lt;&gt;"",'13 - Config_Intake_View'!Q203,Deployments!#REF!)</f>
        <v/>
      </c>
      <c r="J203" s="14">
        <f>IF('13 - Config_Intake_View'!Q203&lt;&gt;"","PM Approved",IF(Deployments!#REF!&lt;&gt;"","Assumed",""))</f>
        <v/>
      </c>
      <c r="K203" s="21">
        <f>Deployments!#REF!</f>
        <v/>
      </c>
      <c r="L203" s="14">
        <f>Deployments!#REF!</f>
        <v/>
      </c>
      <c r="M203" s="14">
        <f>Deployments!#REF!</f>
        <v/>
      </c>
      <c r="N203" s="14">
        <f>Deployments!#REF!</f>
        <v/>
      </c>
      <c r="O203" s="21">
        <f>Deployments!#REF!</f>
        <v/>
      </c>
      <c r="P203" s="2">
        <f>Deployments!#REF!</f>
        <v/>
      </c>
      <c r="Q203" s="21">
        <f>IF(OR($A203="",$B203="",$D203=""),"MISSING CORE FIELDS","")</f>
        <v/>
      </c>
      <c r="R203" s="14">
        <f>IF(AND($I203&lt;&gt;"",$K203&lt;&gt;"Yes"),"SW NOT INSTALLED","")</f>
        <v/>
      </c>
      <c r="S203" s="14">
        <f>IF(AND($H203&lt;&gt;"",ISNUMBER(SEARCH("auto",LOWER($H203))),$F203=""),"AUTOLOGON REQUIRED","")</f>
        <v/>
      </c>
      <c r="T203" s="14">
        <f>IF($Q203&lt;&gt;"",$Q203,IF($S203&lt;&gt;"",$S203,IF($R203&lt;&gt;"",$R203,IF(OR($N203&lt;&gt;"",$O203="Blocked"),"BLOCKED","OK"))))</f>
        <v/>
      </c>
    </row>
    <row r="204">
      <c r="A204" s="21">
        <f>Deployments!#REF!</f>
        <v/>
      </c>
      <c r="B204" s="21">
        <f>Deployments!#REF!</f>
        <v/>
      </c>
      <c r="C204" s="21">
        <f>Deployments!#REF!</f>
        <v/>
      </c>
      <c r="D204" s="14">
        <f>Deployments!#REF!</f>
        <v/>
      </c>
      <c r="E204" s="14">
        <f>Deployments!#REF!</f>
        <v/>
      </c>
      <c r="F204" s="21">
        <f>Deployments!#REF!</f>
        <v/>
      </c>
      <c r="G204" s="14">
        <f>Deployments!#REF!</f>
        <v/>
      </c>
      <c r="H204" s="14">
        <f>'13 - Config_Intake_View'!M204</f>
        <v/>
      </c>
      <c r="I204" s="21">
        <f>IF('13 - Config_Intake_View'!Q204&lt;&gt;"",'13 - Config_Intake_View'!Q204,Deployments!#REF!)</f>
        <v/>
      </c>
      <c r="J204" s="14">
        <f>IF('13 - Config_Intake_View'!Q204&lt;&gt;"","PM Approved",IF(Deployments!#REF!&lt;&gt;"","Assumed",""))</f>
        <v/>
      </c>
      <c r="K204" s="21">
        <f>Deployments!#REF!</f>
        <v/>
      </c>
      <c r="L204" s="14">
        <f>Deployments!#REF!</f>
        <v/>
      </c>
      <c r="M204" s="14">
        <f>Deployments!#REF!</f>
        <v/>
      </c>
      <c r="N204" s="14">
        <f>Deployments!#REF!</f>
        <v/>
      </c>
      <c r="O204" s="21">
        <f>Deployments!#REF!</f>
        <v/>
      </c>
      <c r="P204" s="2">
        <f>Deployments!#REF!</f>
        <v/>
      </c>
      <c r="Q204" s="21">
        <f>IF(OR($A204="",$B204="",$D204=""),"MISSING CORE FIELDS","")</f>
        <v/>
      </c>
      <c r="R204" s="14">
        <f>IF(AND($I204&lt;&gt;"",$K204&lt;&gt;"Yes"),"SW NOT INSTALLED","")</f>
        <v/>
      </c>
      <c r="S204" s="14">
        <f>IF(AND($H204&lt;&gt;"",ISNUMBER(SEARCH("auto",LOWER($H204))),$F204=""),"AUTOLOGON REQUIRED","")</f>
        <v/>
      </c>
      <c r="T204" s="14">
        <f>IF($Q204&lt;&gt;"",$Q204,IF($S204&lt;&gt;"",$S204,IF($R204&lt;&gt;"",$R204,IF(OR($N204&lt;&gt;"",$O204="Blocked"),"BLOCKED","OK"))))</f>
        <v/>
      </c>
    </row>
    <row r="205">
      <c r="A205" s="21">
        <f>Deployments!H193</f>
        <v/>
      </c>
      <c r="B205" s="21">
        <f>Deployments!X193</f>
        <v/>
      </c>
      <c r="C205" s="21">
        <f>Deployments!Y193</f>
        <v/>
      </c>
      <c r="D205" s="14">
        <f>Deployments!AO193</f>
        <v/>
      </c>
      <c r="E205" s="14">
        <f>Deployments!N193</f>
        <v/>
      </c>
      <c r="F205" s="21">
        <f>Deployments!O193</f>
        <v/>
      </c>
      <c r="G205" s="14">
        <f>Deployments!P193</f>
        <v/>
      </c>
      <c r="H205" s="14">
        <f>'13 - Config_Intake_View'!M205</f>
        <v/>
      </c>
      <c r="I205" s="21">
        <f>IF('13 - Config_Intake_View'!Q205&lt;&gt;"",'13 - Config_Intake_View'!Q205,Deployments!AG193)</f>
        <v/>
      </c>
      <c r="J205" s="14">
        <f>IF('13 - Config_Intake_View'!Q205&lt;&gt;"","PM Approved",IF(Deployments!AG193&lt;&gt;"","Assumed",""))</f>
        <v/>
      </c>
      <c r="K205" s="21">
        <f>Deployments!AF193</f>
        <v/>
      </c>
      <c r="L205" s="14">
        <f>Deployments!U193</f>
        <v/>
      </c>
      <c r="M205" s="14">
        <f>Deployments!L193</f>
        <v/>
      </c>
      <c r="N205" s="14">
        <f>Deployments!CC193</f>
        <v/>
      </c>
      <c r="O205" s="21">
        <f>Deployments!CD193</f>
        <v/>
      </c>
      <c r="P205" s="2">
        <f>Deployments!BX193</f>
        <v/>
      </c>
      <c r="Q205" s="21">
        <f>IF(OR($A205="",$B205="",$D205=""),"MISSING CORE FIELDS","")</f>
        <v/>
      </c>
      <c r="R205" s="14">
        <f>IF(AND($I205&lt;&gt;"",$K205&lt;&gt;"Yes"),"SW NOT INSTALLED","")</f>
        <v/>
      </c>
      <c r="S205" s="14">
        <f>IF(AND($H205&lt;&gt;"",ISNUMBER(SEARCH("auto",LOWER($H205))),$F205=""),"AUTOLOGON REQUIRED","")</f>
        <v/>
      </c>
      <c r="T205" s="14">
        <f>IF($Q205&lt;&gt;"",$Q205,IF($S205&lt;&gt;"",$S205,IF($R205&lt;&gt;"",$R205,IF(OR($N205&lt;&gt;"",$O205="Blocked"),"BLOCKED","OK"))))</f>
        <v/>
      </c>
    </row>
    <row r="206">
      <c r="A206" s="21">
        <f>Deployments!H194</f>
        <v/>
      </c>
      <c r="B206" s="21">
        <f>Deployments!X194</f>
        <v/>
      </c>
      <c r="C206" s="21">
        <f>Deployments!Y194</f>
        <v/>
      </c>
      <c r="D206" s="14">
        <f>Deployments!AO194</f>
        <v/>
      </c>
      <c r="E206" s="14">
        <f>Deployments!N194</f>
        <v/>
      </c>
      <c r="F206" s="21">
        <f>Deployments!O194</f>
        <v/>
      </c>
      <c r="G206" s="14">
        <f>Deployments!P194</f>
        <v/>
      </c>
      <c r="H206" s="14">
        <f>'13 - Config_Intake_View'!M206</f>
        <v/>
      </c>
      <c r="I206" s="21">
        <f>IF('13 - Config_Intake_View'!Q206&lt;&gt;"",'13 - Config_Intake_View'!Q206,Deployments!AG194)</f>
        <v/>
      </c>
      <c r="J206" s="14">
        <f>IF('13 - Config_Intake_View'!Q206&lt;&gt;"","PM Approved",IF(Deployments!AG194&lt;&gt;"","Assumed",""))</f>
        <v/>
      </c>
      <c r="K206" s="21">
        <f>Deployments!AF194</f>
        <v/>
      </c>
      <c r="L206" s="14">
        <f>Deployments!U194</f>
        <v/>
      </c>
      <c r="M206" s="14">
        <f>Deployments!L194</f>
        <v/>
      </c>
      <c r="N206" s="14">
        <f>Deployments!CC194</f>
        <v/>
      </c>
      <c r="O206" s="21">
        <f>Deployments!CD194</f>
        <v/>
      </c>
      <c r="P206" s="2">
        <f>Deployments!BX194</f>
        <v/>
      </c>
      <c r="Q206" s="21">
        <f>IF(OR($A206="",$B206="",$D206=""),"MISSING CORE FIELDS","")</f>
        <v/>
      </c>
      <c r="R206" s="14">
        <f>IF(AND($I206&lt;&gt;"",$K206&lt;&gt;"Yes"),"SW NOT INSTALLED","")</f>
        <v/>
      </c>
      <c r="S206" s="14">
        <f>IF(AND($H206&lt;&gt;"",ISNUMBER(SEARCH("auto",LOWER($H206))),$F206=""),"AUTOLOGON REQUIRED","")</f>
        <v/>
      </c>
      <c r="T206" s="14">
        <f>IF($Q206&lt;&gt;"",$Q206,IF($S206&lt;&gt;"",$S206,IF($R206&lt;&gt;"",$R206,IF(OR($N206&lt;&gt;"",$O206="Blocked"),"BLOCKED","OK"))))</f>
        <v/>
      </c>
    </row>
    <row r="207">
      <c r="A207" s="21">
        <f>Deployments!H195</f>
        <v/>
      </c>
      <c r="B207" s="21">
        <f>Deployments!X195</f>
        <v/>
      </c>
      <c r="C207" s="21">
        <f>Deployments!Y195</f>
        <v/>
      </c>
      <c r="D207" s="14">
        <f>Deployments!AO195</f>
        <v/>
      </c>
      <c r="E207" s="14">
        <f>Deployments!N195</f>
        <v/>
      </c>
      <c r="F207" s="21">
        <f>Deployments!O195</f>
        <v/>
      </c>
      <c r="G207" s="14">
        <f>Deployments!P195</f>
        <v/>
      </c>
      <c r="H207" s="14">
        <f>'13 - Config_Intake_View'!M207</f>
        <v/>
      </c>
      <c r="I207" s="21">
        <f>IF('13 - Config_Intake_View'!Q207&lt;&gt;"",'13 - Config_Intake_View'!Q207,Deployments!AG195)</f>
        <v/>
      </c>
      <c r="J207" s="14">
        <f>IF('13 - Config_Intake_View'!Q207&lt;&gt;"","PM Approved",IF(Deployments!AG195&lt;&gt;"","Assumed",""))</f>
        <v/>
      </c>
      <c r="K207" s="21">
        <f>Deployments!AF195</f>
        <v/>
      </c>
      <c r="L207" s="14">
        <f>Deployments!U195</f>
        <v/>
      </c>
      <c r="M207" s="14">
        <f>Deployments!L195</f>
        <v/>
      </c>
      <c r="N207" s="14">
        <f>Deployments!CC195</f>
        <v/>
      </c>
      <c r="O207" s="21">
        <f>Deployments!CD195</f>
        <v/>
      </c>
      <c r="P207" s="2">
        <f>Deployments!BX195</f>
        <v/>
      </c>
      <c r="Q207" s="21">
        <f>IF(OR($A207="",$B207="",$D207=""),"MISSING CORE FIELDS","")</f>
        <v/>
      </c>
      <c r="R207" s="14">
        <f>IF(AND($I207&lt;&gt;"",$K207&lt;&gt;"Yes"),"SW NOT INSTALLED","")</f>
        <v/>
      </c>
      <c r="S207" s="14">
        <f>IF(AND($H207&lt;&gt;"",ISNUMBER(SEARCH("auto",LOWER($H207))),$F207=""),"AUTOLOGON REQUIRED","")</f>
        <v/>
      </c>
      <c r="T207" s="14">
        <f>IF($Q207&lt;&gt;"",$Q207,IF($S207&lt;&gt;"",$S207,IF($R207&lt;&gt;"",$R207,IF(OR($N207&lt;&gt;"",$O207="Blocked"),"BLOCKED","OK"))))</f>
        <v/>
      </c>
    </row>
    <row r="208">
      <c r="A208" s="21">
        <f>Deployments!H196</f>
        <v/>
      </c>
      <c r="B208" s="21">
        <f>Deployments!X196</f>
        <v/>
      </c>
      <c r="C208" s="21">
        <f>Deployments!Y196</f>
        <v/>
      </c>
      <c r="D208" s="14">
        <f>Deployments!AO196</f>
        <v/>
      </c>
      <c r="E208" s="14">
        <f>Deployments!N196</f>
        <v/>
      </c>
      <c r="F208" s="21">
        <f>Deployments!O196</f>
        <v/>
      </c>
      <c r="G208" s="14">
        <f>Deployments!P196</f>
        <v/>
      </c>
      <c r="H208" s="14">
        <f>'13 - Config_Intake_View'!M208</f>
        <v/>
      </c>
      <c r="I208" s="21">
        <f>IF('13 - Config_Intake_View'!Q208&lt;&gt;"",'13 - Config_Intake_View'!Q208,Deployments!AG196)</f>
        <v/>
      </c>
      <c r="J208" s="14">
        <f>IF('13 - Config_Intake_View'!Q208&lt;&gt;"","PM Approved",IF(Deployments!AG196&lt;&gt;"","Assumed",""))</f>
        <v/>
      </c>
      <c r="K208" s="21">
        <f>Deployments!AF196</f>
        <v/>
      </c>
      <c r="L208" s="14">
        <f>Deployments!U196</f>
        <v/>
      </c>
      <c r="M208" s="14">
        <f>Deployments!L196</f>
        <v/>
      </c>
      <c r="N208" s="14">
        <f>Deployments!CC196</f>
        <v/>
      </c>
      <c r="O208" s="21">
        <f>Deployments!CD196</f>
        <v/>
      </c>
      <c r="P208" s="2">
        <f>Deployments!BX196</f>
        <v/>
      </c>
      <c r="Q208" s="21">
        <f>IF(OR($A208="",$B208="",$D208=""),"MISSING CORE FIELDS","")</f>
        <v/>
      </c>
      <c r="R208" s="14">
        <f>IF(AND($I208&lt;&gt;"",$K208&lt;&gt;"Yes"),"SW NOT INSTALLED","")</f>
        <v/>
      </c>
      <c r="S208" s="14">
        <f>IF(AND($H208&lt;&gt;"",ISNUMBER(SEARCH("auto",LOWER($H208))),$F208=""),"AUTOLOGON REQUIRED","")</f>
        <v/>
      </c>
      <c r="T208" s="14">
        <f>IF($Q208&lt;&gt;"",$Q208,IF($S208&lt;&gt;"",$S208,IF($R208&lt;&gt;"",$R208,IF(OR($N208&lt;&gt;"",$O208="Blocked"),"BLOCKED","OK"))))</f>
        <v/>
      </c>
    </row>
    <row r="209">
      <c r="A209" s="21">
        <f>Deployments!H197</f>
        <v/>
      </c>
      <c r="B209" s="21">
        <f>Deployments!X197</f>
        <v/>
      </c>
      <c r="C209" s="21">
        <f>Deployments!Y197</f>
        <v/>
      </c>
      <c r="D209" s="14">
        <f>Deployments!AO197</f>
        <v/>
      </c>
      <c r="E209" s="14">
        <f>Deployments!N197</f>
        <v/>
      </c>
      <c r="F209" s="21">
        <f>Deployments!O197</f>
        <v/>
      </c>
      <c r="G209" s="14">
        <f>Deployments!P197</f>
        <v/>
      </c>
      <c r="H209" s="14">
        <f>'13 - Config_Intake_View'!M209</f>
        <v/>
      </c>
      <c r="I209" s="21">
        <f>IF('13 - Config_Intake_View'!Q209&lt;&gt;"",'13 - Config_Intake_View'!Q209,Deployments!AG197)</f>
        <v/>
      </c>
      <c r="J209" s="14">
        <f>IF('13 - Config_Intake_View'!Q209&lt;&gt;"","PM Approved",IF(Deployments!AG197&lt;&gt;"","Assumed",""))</f>
        <v/>
      </c>
      <c r="K209" s="21">
        <f>Deployments!AF197</f>
        <v/>
      </c>
      <c r="L209" s="14">
        <f>Deployments!U197</f>
        <v/>
      </c>
      <c r="M209" s="14">
        <f>Deployments!L197</f>
        <v/>
      </c>
      <c r="N209" s="14">
        <f>Deployments!CC197</f>
        <v/>
      </c>
      <c r="O209" s="21">
        <f>Deployments!CD197</f>
        <v/>
      </c>
      <c r="P209" s="2">
        <f>Deployments!BX197</f>
        <v/>
      </c>
      <c r="Q209" s="21">
        <f>IF(OR($A209="",$B209="",$D209=""),"MISSING CORE FIELDS","")</f>
        <v/>
      </c>
      <c r="R209" s="14">
        <f>IF(AND($I209&lt;&gt;"",$K209&lt;&gt;"Yes"),"SW NOT INSTALLED","")</f>
        <v/>
      </c>
      <c r="S209" s="14">
        <f>IF(AND($H209&lt;&gt;"",ISNUMBER(SEARCH("auto",LOWER($H209))),$F209=""),"AUTOLOGON REQUIRED","")</f>
        <v/>
      </c>
      <c r="T209" s="14">
        <f>IF($Q209&lt;&gt;"",$Q209,IF($S209&lt;&gt;"",$S209,IF($R209&lt;&gt;"",$R209,IF(OR($N209&lt;&gt;"",$O209="Blocked"),"BLOCKED","OK"))))</f>
        <v/>
      </c>
    </row>
    <row r="210">
      <c r="A210" s="21">
        <f>Deployments!H198</f>
        <v/>
      </c>
      <c r="B210" s="21">
        <f>Deployments!X198</f>
        <v/>
      </c>
      <c r="C210" s="21">
        <f>Deployments!Y198</f>
        <v/>
      </c>
      <c r="D210" s="14">
        <f>Deployments!AO198</f>
        <v/>
      </c>
      <c r="E210" s="14">
        <f>Deployments!N198</f>
        <v/>
      </c>
      <c r="F210" s="21">
        <f>Deployments!O198</f>
        <v/>
      </c>
      <c r="G210" s="14">
        <f>Deployments!P198</f>
        <v/>
      </c>
      <c r="H210" s="14">
        <f>'13 - Config_Intake_View'!M210</f>
        <v/>
      </c>
      <c r="I210" s="21">
        <f>IF('13 - Config_Intake_View'!Q210&lt;&gt;"",'13 - Config_Intake_View'!Q210,Deployments!AG198)</f>
        <v/>
      </c>
      <c r="J210" s="14">
        <f>IF('13 - Config_Intake_View'!Q210&lt;&gt;"","PM Approved",IF(Deployments!AG198&lt;&gt;"","Assumed",""))</f>
        <v/>
      </c>
      <c r="K210" s="21">
        <f>Deployments!AF198</f>
        <v/>
      </c>
      <c r="L210" s="14">
        <f>Deployments!U198</f>
        <v/>
      </c>
      <c r="M210" s="14">
        <f>Deployments!L198</f>
        <v/>
      </c>
      <c r="N210" s="14">
        <f>Deployments!CC198</f>
        <v/>
      </c>
      <c r="O210" s="21">
        <f>Deployments!CD198</f>
        <v/>
      </c>
      <c r="P210" s="2">
        <f>Deployments!BX198</f>
        <v/>
      </c>
      <c r="Q210" s="21">
        <f>IF(OR($A210="",$B210="",$D210=""),"MISSING CORE FIELDS","")</f>
        <v/>
      </c>
      <c r="R210" s="14">
        <f>IF(AND($I210&lt;&gt;"",$K210&lt;&gt;"Yes"),"SW NOT INSTALLED","")</f>
        <v/>
      </c>
      <c r="S210" s="14">
        <f>IF(AND($H210&lt;&gt;"",ISNUMBER(SEARCH("auto",LOWER($H210))),$F210=""),"AUTOLOGON REQUIRED","")</f>
        <v/>
      </c>
      <c r="T210" s="14">
        <f>IF($Q210&lt;&gt;"",$Q210,IF($S210&lt;&gt;"",$S210,IF($R210&lt;&gt;"",$R210,IF(OR($N210&lt;&gt;"",$O210="Blocked"),"BLOCKED","OK"))))</f>
        <v/>
      </c>
    </row>
    <row r="211">
      <c r="A211" s="21">
        <f>Deployments!H199</f>
        <v/>
      </c>
      <c r="B211" s="21">
        <f>Deployments!X199</f>
        <v/>
      </c>
      <c r="C211" s="21">
        <f>Deployments!Y199</f>
        <v/>
      </c>
      <c r="D211" s="14">
        <f>Deployments!AO199</f>
        <v/>
      </c>
      <c r="E211" s="14">
        <f>Deployments!N199</f>
        <v/>
      </c>
      <c r="F211" s="21">
        <f>Deployments!O199</f>
        <v/>
      </c>
      <c r="G211" s="14">
        <f>Deployments!P199</f>
        <v/>
      </c>
      <c r="H211" s="14">
        <f>'13 - Config_Intake_View'!M211</f>
        <v/>
      </c>
      <c r="I211" s="21">
        <f>IF('13 - Config_Intake_View'!Q211&lt;&gt;"",'13 - Config_Intake_View'!Q211,Deployments!AG199)</f>
        <v/>
      </c>
      <c r="J211" s="14">
        <f>IF('13 - Config_Intake_View'!Q211&lt;&gt;"","PM Approved",IF(Deployments!AG199&lt;&gt;"","Assumed",""))</f>
        <v/>
      </c>
      <c r="K211" s="21">
        <f>Deployments!AF199</f>
        <v/>
      </c>
      <c r="L211" s="14">
        <f>Deployments!U199</f>
        <v/>
      </c>
      <c r="M211" s="14">
        <f>Deployments!L199</f>
        <v/>
      </c>
      <c r="N211" s="14">
        <f>Deployments!CC199</f>
        <v/>
      </c>
      <c r="O211" s="21">
        <f>Deployments!CD199</f>
        <v/>
      </c>
      <c r="P211" s="2">
        <f>Deployments!BX199</f>
        <v/>
      </c>
      <c r="Q211" s="21">
        <f>IF(OR($A211="",$B211="",$D211=""),"MISSING CORE FIELDS","")</f>
        <v/>
      </c>
      <c r="R211" s="14">
        <f>IF(AND($I211&lt;&gt;"",$K211&lt;&gt;"Yes"),"SW NOT INSTALLED","")</f>
        <v/>
      </c>
      <c r="S211" s="14">
        <f>IF(AND($H211&lt;&gt;"",ISNUMBER(SEARCH("auto",LOWER($H211))),$F211=""),"AUTOLOGON REQUIRED","")</f>
        <v/>
      </c>
      <c r="T211" s="14">
        <f>IF($Q211&lt;&gt;"",$Q211,IF($S211&lt;&gt;"",$S211,IF($R211&lt;&gt;"",$R211,IF(OR($N211&lt;&gt;"",$O211="Blocked"),"BLOCKED","OK"))))</f>
        <v/>
      </c>
    </row>
    <row r="212">
      <c r="A212" s="21">
        <f>Deployments!H200</f>
        <v/>
      </c>
      <c r="B212" s="21">
        <f>Deployments!X200</f>
        <v/>
      </c>
      <c r="C212" s="21">
        <f>Deployments!Y200</f>
        <v/>
      </c>
      <c r="D212" s="14">
        <f>Deployments!AO200</f>
        <v/>
      </c>
      <c r="E212" s="14">
        <f>Deployments!N200</f>
        <v/>
      </c>
      <c r="F212" s="21">
        <f>Deployments!O200</f>
        <v/>
      </c>
      <c r="G212" s="14">
        <f>Deployments!P200</f>
        <v/>
      </c>
      <c r="H212" s="14">
        <f>'13 - Config_Intake_View'!M212</f>
        <v/>
      </c>
      <c r="I212" s="21">
        <f>IF('13 - Config_Intake_View'!Q212&lt;&gt;"",'13 - Config_Intake_View'!Q212,Deployments!AG200)</f>
        <v/>
      </c>
      <c r="J212" s="14">
        <f>IF('13 - Config_Intake_View'!Q212&lt;&gt;"","PM Approved",IF(Deployments!AG200&lt;&gt;"","Assumed",""))</f>
        <v/>
      </c>
      <c r="K212" s="21">
        <f>Deployments!AF200</f>
        <v/>
      </c>
      <c r="L212" s="14">
        <f>Deployments!U200</f>
        <v/>
      </c>
      <c r="M212" s="14">
        <f>Deployments!L200</f>
        <v/>
      </c>
      <c r="N212" s="14">
        <f>Deployments!CC200</f>
        <v/>
      </c>
      <c r="O212" s="21">
        <f>Deployments!CD200</f>
        <v/>
      </c>
      <c r="P212" s="2">
        <f>Deployments!BX200</f>
        <v/>
      </c>
      <c r="Q212" s="21">
        <f>IF(OR($A212="",$B212="",$D212=""),"MISSING CORE FIELDS","")</f>
        <v/>
      </c>
      <c r="R212" s="14">
        <f>IF(AND($I212&lt;&gt;"",$K212&lt;&gt;"Yes"),"SW NOT INSTALLED","")</f>
        <v/>
      </c>
      <c r="S212" s="14">
        <f>IF(AND($H212&lt;&gt;"",ISNUMBER(SEARCH("auto",LOWER($H212))),$F212=""),"AUTOLOGON REQUIRED","")</f>
        <v/>
      </c>
      <c r="T212" s="14">
        <f>IF($Q212&lt;&gt;"",$Q212,IF($S212&lt;&gt;"",$S212,IF($R212&lt;&gt;"",$R212,IF(OR($N212&lt;&gt;"",$O212="Blocked"),"BLOCKED","OK"))))</f>
        <v/>
      </c>
    </row>
    <row r="213">
      <c r="A213" s="21">
        <f>Deployments!H201</f>
        <v/>
      </c>
      <c r="B213" s="21">
        <f>Deployments!X201</f>
        <v/>
      </c>
      <c r="C213" s="21">
        <f>Deployments!Y201</f>
        <v/>
      </c>
      <c r="D213" s="14">
        <f>Deployments!AO201</f>
        <v/>
      </c>
      <c r="E213" s="14">
        <f>Deployments!N201</f>
        <v/>
      </c>
      <c r="F213" s="21">
        <f>Deployments!O201</f>
        <v/>
      </c>
      <c r="G213" s="14">
        <f>Deployments!P201</f>
        <v/>
      </c>
      <c r="H213" s="14">
        <f>'13 - Config_Intake_View'!M213</f>
        <v/>
      </c>
      <c r="I213" s="21">
        <f>IF('13 - Config_Intake_View'!Q213&lt;&gt;"",'13 - Config_Intake_View'!Q213,Deployments!AG201)</f>
        <v/>
      </c>
      <c r="J213" s="14">
        <f>IF('13 - Config_Intake_View'!Q213&lt;&gt;"","PM Approved",IF(Deployments!AG201&lt;&gt;"","Assumed",""))</f>
        <v/>
      </c>
      <c r="K213" s="21">
        <f>Deployments!AF201</f>
        <v/>
      </c>
      <c r="L213" s="14">
        <f>Deployments!U201</f>
        <v/>
      </c>
      <c r="M213" s="14">
        <f>Deployments!L201</f>
        <v/>
      </c>
      <c r="N213" s="14">
        <f>Deployments!CC201</f>
        <v/>
      </c>
      <c r="O213" s="21">
        <f>Deployments!CD201</f>
        <v/>
      </c>
      <c r="P213" s="2">
        <f>Deployments!BX201</f>
        <v/>
      </c>
      <c r="Q213" s="21">
        <f>IF(OR($A213="",$B213="",$D213=""),"MISSING CORE FIELDS","")</f>
        <v/>
      </c>
      <c r="R213" s="14">
        <f>IF(AND($I213&lt;&gt;"",$K213&lt;&gt;"Yes"),"SW NOT INSTALLED","")</f>
        <v/>
      </c>
      <c r="S213" s="14">
        <f>IF(AND($H213&lt;&gt;"",ISNUMBER(SEARCH("auto",LOWER($H213))),$F213=""),"AUTOLOGON REQUIRED","")</f>
        <v/>
      </c>
      <c r="T213" s="14">
        <f>IF($Q213&lt;&gt;"",$Q213,IF($S213&lt;&gt;"",$S213,IF($R213&lt;&gt;"",$R213,IF(OR($N213&lt;&gt;"",$O213="Blocked"),"BLOCKED","OK"))))</f>
        <v/>
      </c>
    </row>
    <row r="214">
      <c r="A214" s="21">
        <f>Deployments!H202</f>
        <v/>
      </c>
      <c r="B214" s="21">
        <f>Deployments!X202</f>
        <v/>
      </c>
      <c r="C214" s="21">
        <f>Deployments!Y202</f>
        <v/>
      </c>
      <c r="D214" s="14">
        <f>Deployments!AO202</f>
        <v/>
      </c>
      <c r="E214" s="14">
        <f>Deployments!N202</f>
        <v/>
      </c>
      <c r="F214" s="21">
        <f>Deployments!O202</f>
        <v/>
      </c>
      <c r="G214" s="14">
        <f>Deployments!P202</f>
        <v/>
      </c>
      <c r="H214" s="14">
        <f>'13 - Config_Intake_View'!M214</f>
        <v/>
      </c>
      <c r="I214" s="21">
        <f>IF('13 - Config_Intake_View'!Q214&lt;&gt;"",'13 - Config_Intake_View'!Q214,Deployments!AG202)</f>
        <v/>
      </c>
      <c r="J214" s="14">
        <f>IF('13 - Config_Intake_View'!Q214&lt;&gt;"","PM Approved",IF(Deployments!AG202&lt;&gt;"","Assumed",""))</f>
        <v/>
      </c>
      <c r="K214" s="21">
        <f>Deployments!AF202</f>
        <v/>
      </c>
      <c r="L214" s="14">
        <f>Deployments!U202</f>
        <v/>
      </c>
      <c r="M214" s="14">
        <f>Deployments!L202</f>
        <v/>
      </c>
      <c r="N214" s="14">
        <f>Deployments!CC202</f>
        <v/>
      </c>
      <c r="O214" s="21">
        <f>Deployments!CD202</f>
        <v/>
      </c>
      <c r="P214" s="2">
        <f>Deployments!BX202</f>
        <v/>
      </c>
      <c r="Q214" s="21">
        <f>IF(OR($A214="",$B214="",$D214=""),"MISSING CORE FIELDS","")</f>
        <v/>
      </c>
      <c r="R214" s="14">
        <f>IF(AND($I214&lt;&gt;"",$K214&lt;&gt;"Yes"),"SW NOT INSTALLED","")</f>
        <v/>
      </c>
      <c r="S214" s="14">
        <f>IF(AND($H214&lt;&gt;"",ISNUMBER(SEARCH("auto",LOWER($H214))),$F214=""),"AUTOLOGON REQUIRED","")</f>
        <v/>
      </c>
      <c r="T214" s="14">
        <f>IF($Q214&lt;&gt;"",$Q214,IF($S214&lt;&gt;"",$S214,IF($R214&lt;&gt;"",$R214,IF(OR($N214&lt;&gt;"",$O214="Blocked"),"BLOCKED","OK"))))</f>
        <v/>
      </c>
    </row>
    <row r="215">
      <c r="A215" s="21">
        <f>Deployments!H203</f>
        <v/>
      </c>
      <c r="B215" s="21">
        <f>Deployments!X203</f>
        <v/>
      </c>
      <c r="C215" s="21">
        <f>Deployments!Y203</f>
        <v/>
      </c>
      <c r="D215" s="14">
        <f>Deployments!AO203</f>
        <v/>
      </c>
      <c r="E215" s="14">
        <f>Deployments!N203</f>
        <v/>
      </c>
      <c r="F215" s="21">
        <f>Deployments!O203</f>
        <v/>
      </c>
      <c r="G215" s="14">
        <f>Deployments!P203</f>
        <v/>
      </c>
      <c r="H215" s="14">
        <f>'13 - Config_Intake_View'!M215</f>
        <v/>
      </c>
      <c r="I215" s="21">
        <f>IF('13 - Config_Intake_View'!Q215&lt;&gt;"",'13 - Config_Intake_View'!Q215,Deployments!AG203)</f>
        <v/>
      </c>
      <c r="J215" s="14">
        <f>IF('13 - Config_Intake_View'!Q215&lt;&gt;"","PM Approved",IF(Deployments!AG203&lt;&gt;"","Assumed",""))</f>
        <v/>
      </c>
      <c r="K215" s="21">
        <f>Deployments!AF203</f>
        <v/>
      </c>
      <c r="L215" s="14">
        <f>Deployments!U203</f>
        <v/>
      </c>
      <c r="M215" s="14">
        <f>Deployments!L203</f>
        <v/>
      </c>
      <c r="N215" s="14">
        <f>Deployments!CC203</f>
        <v/>
      </c>
      <c r="O215" s="21">
        <f>Deployments!CD203</f>
        <v/>
      </c>
      <c r="P215" s="2">
        <f>Deployments!BX203</f>
        <v/>
      </c>
      <c r="Q215" s="21">
        <f>IF(OR($A215="",$B215="",$D215=""),"MISSING CORE FIELDS","")</f>
        <v/>
      </c>
      <c r="R215" s="14">
        <f>IF(AND($I215&lt;&gt;"",$K215&lt;&gt;"Yes"),"SW NOT INSTALLED","")</f>
        <v/>
      </c>
      <c r="S215" s="14">
        <f>IF(AND($H215&lt;&gt;"",ISNUMBER(SEARCH("auto",LOWER($H215))),$F215=""),"AUTOLOGON REQUIRED","")</f>
        <v/>
      </c>
      <c r="T215" s="14">
        <f>IF($Q215&lt;&gt;"",$Q215,IF($S215&lt;&gt;"",$S215,IF($R215&lt;&gt;"",$R215,IF(OR($N215&lt;&gt;"",$O215="Blocked"),"BLOCKED","OK"))))</f>
        <v/>
      </c>
    </row>
    <row r="216">
      <c r="A216" s="21">
        <f>Deployments!H204</f>
        <v/>
      </c>
      <c r="B216" s="21">
        <f>Deployments!X204</f>
        <v/>
      </c>
      <c r="C216" s="21">
        <f>Deployments!Y204</f>
        <v/>
      </c>
      <c r="D216" s="14">
        <f>Deployments!AO204</f>
        <v/>
      </c>
      <c r="E216" s="14">
        <f>Deployments!N204</f>
        <v/>
      </c>
      <c r="F216" s="21">
        <f>Deployments!O204</f>
        <v/>
      </c>
      <c r="G216" s="14">
        <f>Deployments!P204</f>
        <v/>
      </c>
      <c r="H216" s="14">
        <f>'13 - Config_Intake_View'!M216</f>
        <v/>
      </c>
      <c r="I216" s="21">
        <f>IF('13 - Config_Intake_View'!Q216&lt;&gt;"",'13 - Config_Intake_View'!Q216,Deployments!AG204)</f>
        <v/>
      </c>
      <c r="J216" s="14">
        <f>IF('13 - Config_Intake_View'!Q216&lt;&gt;"","PM Approved",IF(Deployments!AG204&lt;&gt;"","Assumed",""))</f>
        <v/>
      </c>
      <c r="K216" s="21">
        <f>Deployments!AF204</f>
        <v/>
      </c>
      <c r="L216" s="14">
        <f>Deployments!U204</f>
        <v/>
      </c>
      <c r="M216" s="14">
        <f>Deployments!L204</f>
        <v/>
      </c>
      <c r="N216" s="14">
        <f>Deployments!CC204</f>
        <v/>
      </c>
      <c r="O216" s="21">
        <f>Deployments!CD204</f>
        <v/>
      </c>
      <c r="P216" s="2">
        <f>Deployments!BX204</f>
        <v/>
      </c>
      <c r="Q216" s="21">
        <f>IF(OR($A216="",$B216="",$D216=""),"MISSING CORE FIELDS","")</f>
        <v/>
      </c>
      <c r="R216" s="14">
        <f>IF(AND($I216&lt;&gt;"",$K216&lt;&gt;"Yes"),"SW NOT INSTALLED","")</f>
        <v/>
      </c>
      <c r="S216" s="14">
        <f>IF(AND($H216&lt;&gt;"",ISNUMBER(SEARCH("auto",LOWER($H216))),$F216=""),"AUTOLOGON REQUIRED","")</f>
        <v/>
      </c>
      <c r="T216" s="14">
        <f>IF($Q216&lt;&gt;"",$Q216,IF($S216&lt;&gt;"",$S216,IF($R216&lt;&gt;"",$R216,IF(OR($N216&lt;&gt;"",$O216="Blocked"),"BLOCKED","OK"))))</f>
        <v/>
      </c>
    </row>
    <row r="217">
      <c r="A217" s="21">
        <f>Deployments!H205</f>
        <v/>
      </c>
      <c r="B217" s="21">
        <f>Deployments!X205</f>
        <v/>
      </c>
      <c r="C217" s="21">
        <f>Deployments!Y205</f>
        <v/>
      </c>
      <c r="D217" s="14">
        <f>Deployments!AO205</f>
        <v/>
      </c>
      <c r="E217" s="14">
        <f>Deployments!N205</f>
        <v/>
      </c>
      <c r="F217" s="21">
        <f>Deployments!O205</f>
        <v/>
      </c>
      <c r="G217" s="14">
        <f>Deployments!P205</f>
        <v/>
      </c>
      <c r="H217" s="14">
        <f>'13 - Config_Intake_View'!M217</f>
        <v/>
      </c>
      <c r="I217" s="21">
        <f>IF('13 - Config_Intake_View'!Q217&lt;&gt;"",'13 - Config_Intake_View'!Q217,Deployments!AG205)</f>
        <v/>
      </c>
      <c r="J217" s="14">
        <f>IF('13 - Config_Intake_View'!Q217&lt;&gt;"","PM Approved",IF(Deployments!AG205&lt;&gt;"","Assumed",""))</f>
        <v/>
      </c>
      <c r="K217" s="21">
        <f>Deployments!AF205</f>
        <v/>
      </c>
      <c r="L217" s="14">
        <f>Deployments!U205</f>
        <v/>
      </c>
      <c r="M217" s="14">
        <f>Deployments!L205</f>
        <v/>
      </c>
      <c r="N217" s="14">
        <f>Deployments!CC205</f>
        <v/>
      </c>
      <c r="O217" s="21">
        <f>Deployments!CD205</f>
        <v/>
      </c>
      <c r="P217" s="2">
        <f>Deployments!BX205</f>
        <v/>
      </c>
      <c r="Q217" s="21">
        <f>IF(OR($A217="",$B217="",$D217=""),"MISSING CORE FIELDS","")</f>
        <v/>
      </c>
      <c r="R217" s="14">
        <f>IF(AND($I217&lt;&gt;"",$K217&lt;&gt;"Yes"),"SW NOT INSTALLED","")</f>
        <v/>
      </c>
      <c r="S217" s="14">
        <f>IF(AND($H217&lt;&gt;"",ISNUMBER(SEARCH("auto",LOWER($H217))),$F217=""),"AUTOLOGON REQUIRED","")</f>
        <v/>
      </c>
      <c r="T217" s="14">
        <f>IF($Q217&lt;&gt;"",$Q217,IF($S217&lt;&gt;"",$S217,IF($R217&lt;&gt;"",$R217,IF(OR($N217&lt;&gt;"",$O217="Blocked"),"BLOCKED","OK"))))</f>
        <v/>
      </c>
    </row>
    <row r="218">
      <c r="A218" s="21">
        <f>Deployments!H206</f>
        <v/>
      </c>
      <c r="B218" s="21">
        <f>Deployments!X206</f>
        <v/>
      </c>
      <c r="C218" s="21">
        <f>Deployments!Y206</f>
        <v/>
      </c>
      <c r="D218" s="14">
        <f>Deployments!AO206</f>
        <v/>
      </c>
      <c r="E218" s="14">
        <f>Deployments!N206</f>
        <v/>
      </c>
      <c r="F218" s="21">
        <f>Deployments!O206</f>
        <v/>
      </c>
      <c r="G218" s="14">
        <f>Deployments!P206</f>
        <v/>
      </c>
      <c r="H218" s="14">
        <f>'13 - Config_Intake_View'!M218</f>
        <v/>
      </c>
      <c r="I218" s="21">
        <f>IF('13 - Config_Intake_View'!Q218&lt;&gt;"",'13 - Config_Intake_View'!Q218,Deployments!AG206)</f>
        <v/>
      </c>
      <c r="J218" s="14">
        <f>IF('13 - Config_Intake_View'!Q218&lt;&gt;"","PM Approved",IF(Deployments!AG206&lt;&gt;"","Assumed",""))</f>
        <v/>
      </c>
      <c r="K218" s="21">
        <f>Deployments!AF206</f>
        <v/>
      </c>
      <c r="L218" s="14">
        <f>Deployments!U206</f>
        <v/>
      </c>
      <c r="M218" s="14">
        <f>Deployments!L206</f>
        <v/>
      </c>
      <c r="N218" s="14">
        <f>Deployments!CC206</f>
        <v/>
      </c>
      <c r="O218" s="21">
        <f>Deployments!CD206</f>
        <v/>
      </c>
      <c r="P218" s="2">
        <f>Deployments!BX206</f>
        <v/>
      </c>
      <c r="Q218" s="21">
        <f>IF(OR($A218="",$B218="",$D218=""),"MISSING CORE FIELDS","")</f>
        <v/>
      </c>
      <c r="R218" s="14">
        <f>IF(AND($I218&lt;&gt;"",$K218&lt;&gt;"Yes"),"SW NOT INSTALLED","")</f>
        <v/>
      </c>
      <c r="S218" s="14">
        <f>IF(AND($H218&lt;&gt;"",ISNUMBER(SEARCH("auto",LOWER($H218))),$F218=""),"AUTOLOGON REQUIRED","")</f>
        <v/>
      </c>
      <c r="T218" s="14">
        <f>IF($Q218&lt;&gt;"",$Q218,IF($S218&lt;&gt;"",$S218,IF($R218&lt;&gt;"",$R218,IF(OR($N218&lt;&gt;"",$O218="Blocked"),"BLOCKED","OK"))))</f>
        <v/>
      </c>
    </row>
    <row r="219">
      <c r="A219" s="21">
        <f>Deployments!H207</f>
        <v/>
      </c>
      <c r="B219" s="21">
        <f>Deployments!X207</f>
        <v/>
      </c>
      <c r="C219" s="21">
        <f>Deployments!Y207</f>
        <v/>
      </c>
      <c r="D219" s="14">
        <f>Deployments!AO207</f>
        <v/>
      </c>
      <c r="E219" s="14">
        <f>Deployments!N207</f>
        <v/>
      </c>
      <c r="F219" s="21">
        <f>Deployments!O207</f>
        <v/>
      </c>
      <c r="G219" s="14">
        <f>Deployments!P207</f>
        <v/>
      </c>
      <c r="H219" s="14">
        <f>'13 - Config_Intake_View'!M219</f>
        <v/>
      </c>
      <c r="I219" s="21">
        <f>IF('13 - Config_Intake_View'!Q219&lt;&gt;"",'13 - Config_Intake_View'!Q219,Deployments!AG207)</f>
        <v/>
      </c>
      <c r="J219" s="14">
        <f>IF('13 - Config_Intake_View'!Q219&lt;&gt;"","PM Approved",IF(Deployments!AG207&lt;&gt;"","Assumed",""))</f>
        <v/>
      </c>
      <c r="K219" s="21">
        <f>Deployments!AF207</f>
        <v/>
      </c>
      <c r="L219" s="14">
        <f>Deployments!U207</f>
        <v/>
      </c>
      <c r="M219" s="14">
        <f>Deployments!L207</f>
        <v/>
      </c>
      <c r="N219" s="14">
        <f>Deployments!CC207</f>
        <v/>
      </c>
      <c r="O219" s="21">
        <f>Deployments!CD207</f>
        <v/>
      </c>
      <c r="P219" s="2">
        <f>Deployments!BX207</f>
        <v/>
      </c>
      <c r="Q219" s="21">
        <f>IF(OR($A219="",$B219="",$D219=""),"MISSING CORE FIELDS","")</f>
        <v/>
      </c>
      <c r="R219" s="14">
        <f>IF(AND($I219&lt;&gt;"",$K219&lt;&gt;"Yes"),"SW NOT INSTALLED","")</f>
        <v/>
      </c>
      <c r="S219" s="14">
        <f>IF(AND($H219&lt;&gt;"",ISNUMBER(SEARCH("auto",LOWER($H219))),$F219=""),"AUTOLOGON REQUIRED","")</f>
        <v/>
      </c>
      <c r="T219" s="14">
        <f>IF($Q219&lt;&gt;"",$Q219,IF($S219&lt;&gt;"",$S219,IF($R219&lt;&gt;"",$R219,IF(OR($N219&lt;&gt;"",$O219="Blocked"),"BLOCKED","OK"))))</f>
        <v/>
      </c>
    </row>
    <row r="220">
      <c r="A220" s="21">
        <f>Deployments!H208</f>
        <v/>
      </c>
      <c r="B220" s="21">
        <f>Deployments!X208</f>
        <v/>
      </c>
      <c r="C220" s="21">
        <f>Deployments!Y208</f>
        <v/>
      </c>
      <c r="D220" s="14">
        <f>Deployments!AO208</f>
        <v/>
      </c>
      <c r="E220" s="14">
        <f>Deployments!N208</f>
        <v/>
      </c>
      <c r="F220" s="21">
        <f>Deployments!O208</f>
        <v/>
      </c>
      <c r="G220" s="14">
        <f>Deployments!P208</f>
        <v/>
      </c>
      <c r="H220" s="14">
        <f>'13 - Config_Intake_View'!M220</f>
        <v/>
      </c>
      <c r="I220" s="21">
        <f>IF('13 - Config_Intake_View'!Q220&lt;&gt;"",'13 - Config_Intake_View'!Q220,Deployments!AG208)</f>
        <v/>
      </c>
      <c r="J220" s="14">
        <f>IF('13 - Config_Intake_View'!Q220&lt;&gt;"","PM Approved",IF(Deployments!AG208&lt;&gt;"","Assumed",""))</f>
        <v/>
      </c>
      <c r="K220" s="21">
        <f>Deployments!AF208</f>
        <v/>
      </c>
      <c r="L220" s="14">
        <f>Deployments!U208</f>
        <v/>
      </c>
      <c r="M220" s="14">
        <f>Deployments!L208</f>
        <v/>
      </c>
      <c r="N220" s="14">
        <f>Deployments!CC208</f>
        <v/>
      </c>
      <c r="O220" s="21">
        <f>Deployments!CD208</f>
        <v/>
      </c>
      <c r="P220" s="2">
        <f>Deployments!BX208</f>
        <v/>
      </c>
      <c r="Q220" s="21">
        <f>IF(OR($A220="",$B220="",$D220=""),"MISSING CORE FIELDS","")</f>
        <v/>
      </c>
      <c r="R220" s="14">
        <f>IF(AND($I220&lt;&gt;"",$K220&lt;&gt;"Yes"),"SW NOT INSTALLED","")</f>
        <v/>
      </c>
      <c r="S220" s="14">
        <f>IF(AND($H220&lt;&gt;"",ISNUMBER(SEARCH("auto",LOWER($H220))),$F220=""),"AUTOLOGON REQUIRED","")</f>
        <v/>
      </c>
      <c r="T220" s="14">
        <f>IF($Q220&lt;&gt;"",$Q220,IF($S220&lt;&gt;"",$S220,IF($R220&lt;&gt;"",$R220,IF(OR($N220&lt;&gt;"",$O220="Blocked"),"BLOCKED","OK"))))</f>
        <v/>
      </c>
    </row>
    <row r="221">
      <c r="A221" s="21">
        <f>Deployments!H209</f>
        <v/>
      </c>
      <c r="B221" s="21">
        <f>Deployments!X209</f>
        <v/>
      </c>
      <c r="C221" s="21">
        <f>Deployments!Y209</f>
        <v/>
      </c>
      <c r="D221" s="14">
        <f>Deployments!AO209</f>
        <v/>
      </c>
      <c r="E221" s="14">
        <f>Deployments!N209</f>
        <v/>
      </c>
      <c r="F221" s="21">
        <f>Deployments!O209</f>
        <v/>
      </c>
      <c r="G221" s="14">
        <f>Deployments!P209</f>
        <v/>
      </c>
      <c r="H221" s="14">
        <f>'13 - Config_Intake_View'!M221</f>
        <v/>
      </c>
      <c r="I221" s="21">
        <f>IF('13 - Config_Intake_View'!Q221&lt;&gt;"",'13 - Config_Intake_View'!Q221,Deployments!AG209)</f>
        <v/>
      </c>
      <c r="J221" s="14">
        <f>IF('13 - Config_Intake_View'!Q221&lt;&gt;"","PM Approved",IF(Deployments!AG209&lt;&gt;"","Assumed",""))</f>
        <v/>
      </c>
      <c r="K221" s="21">
        <f>Deployments!AF209</f>
        <v/>
      </c>
      <c r="L221" s="14">
        <f>Deployments!U209</f>
        <v/>
      </c>
      <c r="M221" s="14">
        <f>Deployments!L209</f>
        <v/>
      </c>
      <c r="N221" s="14">
        <f>Deployments!CC209</f>
        <v/>
      </c>
      <c r="O221" s="21">
        <f>Deployments!CD209</f>
        <v/>
      </c>
      <c r="P221" s="2">
        <f>Deployments!BX209</f>
        <v/>
      </c>
      <c r="Q221" s="21">
        <f>IF(OR($A221="",$B221="",$D221=""),"MISSING CORE FIELDS","")</f>
        <v/>
      </c>
      <c r="R221" s="14">
        <f>IF(AND($I221&lt;&gt;"",$K221&lt;&gt;"Yes"),"SW NOT INSTALLED","")</f>
        <v/>
      </c>
      <c r="S221" s="14">
        <f>IF(AND($H221&lt;&gt;"",ISNUMBER(SEARCH("auto",LOWER($H221))),$F221=""),"AUTOLOGON REQUIRED","")</f>
        <v/>
      </c>
      <c r="T221" s="14">
        <f>IF($Q221&lt;&gt;"",$Q221,IF($S221&lt;&gt;"",$S221,IF($R221&lt;&gt;"",$R221,IF(OR($N221&lt;&gt;"",$O221="Blocked"),"BLOCKED","OK"))))</f>
        <v/>
      </c>
    </row>
    <row r="222">
      <c r="A222" s="21">
        <f>Deployments!H210</f>
        <v/>
      </c>
      <c r="B222" s="21">
        <f>Deployments!X210</f>
        <v/>
      </c>
      <c r="C222" s="21">
        <f>Deployments!Y210</f>
        <v/>
      </c>
      <c r="D222" s="14">
        <f>Deployments!AO210</f>
        <v/>
      </c>
      <c r="E222" s="14">
        <f>Deployments!N210</f>
        <v/>
      </c>
      <c r="F222" s="21">
        <f>Deployments!O210</f>
        <v/>
      </c>
      <c r="G222" s="14">
        <f>Deployments!P210</f>
        <v/>
      </c>
      <c r="H222" s="14">
        <f>'13 - Config_Intake_View'!M222</f>
        <v/>
      </c>
      <c r="I222" s="21">
        <f>IF('13 - Config_Intake_View'!Q222&lt;&gt;"",'13 - Config_Intake_View'!Q222,Deployments!AG210)</f>
        <v/>
      </c>
      <c r="J222" s="14">
        <f>IF('13 - Config_Intake_View'!Q222&lt;&gt;"","PM Approved",IF(Deployments!AG210&lt;&gt;"","Assumed",""))</f>
        <v/>
      </c>
      <c r="K222" s="21">
        <f>Deployments!AF210</f>
        <v/>
      </c>
      <c r="L222" s="14">
        <f>Deployments!U210</f>
        <v/>
      </c>
      <c r="M222" s="14">
        <f>Deployments!L210</f>
        <v/>
      </c>
      <c r="N222" s="14">
        <f>Deployments!CC210</f>
        <v/>
      </c>
      <c r="O222" s="21">
        <f>Deployments!CD210</f>
        <v/>
      </c>
      <c r="P222" s="2">
        <f>Deployments!BX210</f>
        <v/>
      </c>
      <c r="Q222" s="21">
        <f>IF(OR($A222="",$B222="",$D222=""),"MISSING CORE FIELDS","")</f>
        <v/>
      </c>
      <c r="R222" s="14">
        <f>IF(AND($I222&lt;&gt;"",$K222&lt;&gt;"Yes"),"SW NOT INSTALLED","")</f>
        <v/>
      </c>
      <c r="S222" s="14">
        <f>IF(AND($H222&lt;&gt;"",ISNUMBER(SEARCH("auto",LOWER($H222))),$F222=""),"AUTOLOGON REQUIRED","")</f>
        <v/>
      </c>
      <c r="T222" s="14">
        <f>IF($Q222&lt;&gt;"",$Q222,IF($S222&lt;&gt;"",$S222,IF($R222&lt;&gt;"",$R222,IF(OR($N222&lt;&gt;"",$O222="Blocked"),"BLOCKED","OK"))))</f>
        <v/>
      </c>
    </row>
    <row r="223">
      <c r="A223" s="21">
        <f>Deployments!H211</f>
        <v/>
      </c>
      <c r="B223" s="21">
        <f>Deployments!X211</f>
        <v/>
      </c>
      <c r="C223" s="21">
        <f>Deployments!Y211</f>
        <v/>
      </c>
      <c r="D223" s="14">
        <f>Deployments!AO211</f>
        <v/>
      </c>
      <c r="E223" s="14">
        <f>Deployments!N211</f>
        <v/>
      </c>
      <c r="F223" s="21">
        <f>Deployments!O211</f>
        <v/>
      </c>
      <c r="G223" s="14">
        <f>Deployments!P211</f>
        <v/>
      </c>
      <c r="H223" s="14">
        <f>'13 - Config_Intake_View'!M223</f>
        <v/>
      </c>
      <c r="I223" s="21">
        <f>IF('13 - Config_Intake_View'!Q223&lt;&gt;"",'13 - Config_Intake_View'!Q223,Deployments!AG211)</f>
        <v/>
      </c>
      <c r="J223" s="14">
        <f>IF('13 - Config_Intake_View'!Q223&lt;&gt;"","PM Approved",IF(Deployments!AG211&lt;&gt;"","Assumed",""))</f>
        <v/>
      </c>
      <c r="K223" s="21">
        <f>Deployments!AF211</f>
        <v/>
      </c>
      <c r="L223" s="14">
        <f>Deployments!U211</f>
        <v/>
      </c>
      <c r="M223" s="14">
        <f>Deployments!L211</f>
        <v/>
      </c>
      <c r="N223" s="14">
        <f>Deployments!CC211</f>
        <v/>
      </c>
      <c r="O223" s="21">
        <f>Deployments!CD211</f>
        <v/>
      </c>
      <c r="P223" s="2">
        <f>Deployments!BX211</f>
        <v/>
      </c>
      <c r="Q223" s="21">
        <f>IF(OR($A223="",$B223="",$D223=""),"MISSING CORE FIELDS","")</f>
        <v/>
      </c>
      <c r="R223" s="14">
        <f>IF(AND($I223&lt;&gt;"",$K223&lt;&gt;"Yes"),"SW NOT INSTALLED","")</f>
        <v/>
      </c>
      <c r="S223" s="14">
        <f>IF(AND($H223&lt;&gt;"",ISNUMBER(SEARCH("auto",LOWER($H223))),$F223=""),"AUTOLOGON REQUIRED","")</f>
        <v/>
      </c>
      <c r="T223" s="14">
        <f>IF($Q223&lt;&gt;"",$Q223,IF($S223&lt;&gt;"",$S223,IF($R223&lt;&gt;"",$R223,IF(OR($N223&lt;&gt;"",$O223="Blocked"),"BLOCKED","OK"))))</f>
        <v/>
      </c>
    </row>
    <row r="224">
      <c r="A224" s="21">
        <f>Deployments!H212</f>
        <v/>
      </c>
      <c r="B224" s="21">
        <f>Deployments!X212</f>
        <v/>
      </c>
      <c r="C224" s="21">
        <f>Deployments!Y212</f>
        <v/>
      </c>
      <c r="D224" s="14">
        <f>Deployments!AO212</f>
        <v/>
      </c>
      <c r="E224" s="14">
        <f>Deployments!N212</f>
        <v/>
      </c>
      <c r="F224" s="21">
        <f>Deployments!O212</f>
        <v/>
      </c>
      <c r="G224" s="14">
        <f>Deployments!P212</f>
        <v/>
      </c>
      <c r="H224" s="14">
        <f>'13 - Config_Intake_View'!M224</f>
        <v/>
      </c>
      <c r="I224" s="21">
        <f>IF('13 - Config_Intake_View'!Q224&lt;&gt;"",'13 - Config_Intake_View'!Q224,Deployments!AG212)</f>
        <v/>
      </c>
      <c r="J224" s="14">
        <f>IF('13 - Config_Intake_View'!Q224&lt;&gt;"","PM Approved",IF(Deployments!AG212&lt;&gt;"","Assumed",""))</f>
        <v/>
      </c>
      <c r="K224" s="21">
        <f>Deployments!AF212</f>
        <v/>
      </c>
      <c r="L224" s="14">
        <f>Deployments!U212</f>
        <v/>
      </c>
      <c r="M224" s="14">
        <f>Deployments!L212</f>
        <v/>
      </c>
      <c r="N224" s="14">
        <f>Deployments!CC212</f>
        <v/>
      </c>
      <c r="O224" s="21">
        <f>Deployments!CD212</f>
        <v/>
      </c>
      <c r="P224" s="2">
        <f>Deployments!BX212</f>
        <v/>
      </c>
      <c r="Q224" s="21">
        <f>IF(OR($A224="",$B224="",$D224=""),"MISSING CORE FIELDS","")</f>
        <v/>
      </c>
      <c r="R224" s="14">
        <f>IF(AND($I224&lt;&gt;"",$K224&lt;&gt;"Yes"),"SW NOT INSTALLED","")</f>
        <v/>
      </c>
      <c r="S224" s="14">
        <f>IF(AND($H224&lt;&gt;"",ISNUMBER(SEARCH("auto",LOWER($H224))),$F224=""),"AUTOLOGON REQUIRED","")</f>
        <v/>
      </c>
      <c r="T224" s="14">
        <f>IF($Q224&lt;&gt;"",$Q224,IF($S224&lt;&gt;"",$S224,IF($R224&lt;&gt;"",$R224,IF(OR($N224&lt;&gt;"",$O224="Blocked"),"BLOCKED","OK"))))</f>
        <v/>
      </c>
    </row>
    <row r="225">
      <c r="A225" s="21">
        <f>Deployments!H213</f>
        <v/>
      </c>
      <c r="B225" s="21">
        <f>Deployments!X213</f>
        <v/>
      </c>
      <c r="C225" s="21">
        <f>Deployments!Y213</f>
        <v/>
      </c>
      <c r="D225" s="14">
        <f>Deployments!AO213</f>
        <v/>
      </c>
      <c r="E225" s="14">
        <f>Deployments!N213</f>
        <v/>
      </c>
      <c r="F225" s="21">
        <f>Deployments!O213</f>
        <v/>
      </c>
      <c r="G225" s="14">
        <f>Deployments!P213</f>
        <v/>
      </c>
      <c r="H225" s="14">
        <f>'13 - Config_Intake_View'!M225</f>
        <v/>
      </c>
      <c r="I225" s="21">
        <f>IF('13 - Config_Intake_View'!Q225&lt;&gt;"",'13 - Config_Intake_View'!Q225,Deployments!AG213)</f>
        <v/>
      </c>
      <c r="J225" s="14">
        <f>IF('13 - Config_Intake_View'!Q225&lt;&gt;"","PM Approved",IF(Deployments!AG213&lt;&gt;"","Assumed",""))</f>
        <v/>
      </c>
      <c r="K225" s="21">
        <f>Deployments!AF213</f>
        <v/>
      </c>
      <c r="L225" s="14">
        <f>Deployments!U213</f>
        <v/>
      </c>
      <c r="M225" s="14">
        <f>Deployments!L213</f>
        <v/>
      </c>
      <c r="N225" s="14">
        <f>Deployments!CC213</f>
        <v/>
      </c>
      <c r="O225" s="21">
        <f>Deployments!CD213</f>
        <v/>
      </c>
      <c r="P225" s="2">
        <f>Deployments!BX213</f>
        <v/>
      </c>
      <c r="Q225" s="21">
        <f>IF(OR($A225="",$B225="",$D225=""),"MISSING CORE FIELDS","")</f>
        <v/>
      </c>
      <c r="R225" s="14">
        <f>IF(AND($I225&lt;&gt;"",$K225&lt;&gt;"Yes"),"SW NOT INSTALLED","")</f>
        <v/>
      </c>
      <c r="S225" s="14">
        <f>IF(AND($H225&lt;&gt;"",ISNUMBER(SEARCH("auto",LOWER($H225))),$F225=""),"AUTOLOGON REQUIRED","")</f>
        <v/>
      </c>
      <c r="T225" s="14">
        <f>IF($Q225&lt;&gt;"",$Q225,IF($S225&lt;&gt;"",$S225,IF($R225&lt;&gt;"",$R225,IF(OR($N225&lt;&gt;"",$O225="Blocked"),"BLOCKED","OK"))))</f>
        <v/>
      </c>
    </row>
    <row r="226">
      <c r="A226" s="21">
        <f>Deployments!H214</f>
        <v/>
      </c>
      <c r="B226" s="21">
        <f>Deployments!X214</f>
        <v/>
      </c>
      <c r="C226" s="21">
        <f>Deployments!Y214</f>
        <v/>
      </c>
      <c r="D226" s="14">
        <f>Deployments!AO214</f>
        <v/>
      </c>
      <c r="E226" s="14">
        <f>Deployments!N214</f>
        <v/>
      </c>
      <c r="F226" s="21">
        <f>Deployments!O214</f>
        <v/>
      </c>
      <c r="G226" s="14">
        <f>Deployments!P214</f>
        <v/>
      </c>
      <c r="H226" s="14">
        <f>'13 - Config_Intake_View'!M226</f>
        <v/>
      </c>
      <c r="I226" s="21">
        <f>IF('13 - Config_Intake_View'!Q226&lt;&gt;"",'13 - Config_Intake_View'!Q226,Deployments!AG214)</f>
        <v/>
      </c>
      <c r="J226" s="14">
        <f>IF('13 - Config_Intake_View'!Q226&lt;&gt;"","PM Approved",IF(Deployments!AG214&lt;&gt;"","Assumed",""))</f>
        <v/>
      </c>
      <c r="K226" s="21">
        <f>Deployments!AF214</f>
        <v/>
      </c>
      <c r="L226" s="14">
        <f>Deployments!U214</f>
        <v/>
      </c>
      <c r="M226" s="14">
        <f>Deployments!L214</f>
        <v/>
      </c>
      <c r="N226" s="14">
        <f>Deployments!CC214</f>
        <v/>
      </c>
      <c r="O226" s="21">
        <f>Deployments!CD214</f>
        <v/>
      </c>
      <c r="P226" s="2">
        <f>Deployments!BX214</f>
        <v/>
      </c>
      <c r="Q226" s="21">
        <f>IF(OR($A226="",$B226="",$D226=""),"MISSING CORE FIELDS","")</f>
        <v/>
      </c>
      <c r="R226" s="14">
        <f>IF(AND($I226&lt;&gt;"",$K226&lt;&gt;"Yes"),"SW NOT INSTALLED","")</f>
        <v/>
      </c>
      <c r="S226" s="14">
        <f>IF(AND($H226&lt;&gt;"",ISNUMBER(SEARCH("auto",LOWER($H226))),$F226=""),"AUTOLOGON REQUIRED","")</f>
        <v/>
      </c>
      <c r="T226" s="14">
        <f>IF($Q226&lt;&gt;"",$Q226,IF($S226&lt;&gt;"",$S226,IF($R226&lt;&gt;"",$R226,IF(OR($N226&lt;&gt;"",$O226="Blocked"),"BLOCKED","OK"))))</f>
        <v/>
      </c>
    </row>
    <row r="227">
      <c r="A227" s="21">
        <f>Deployments!H215</f>
        <v/>
      </c>
      <c r="B227" s="21">
        <f>Deployments!X215</f>
        <v/>
      </c>
      <c r="C227" s="21">
        <f>Deployments!Y215</f>
        <v/>
      </c>
      <c r="D227" s="14">
        <f>Deployments!AO215</f>
        <v/>
      </c>
      <c r="E227" s="14">
        <f>Deployments!N215</f>
        <v/>
      </c>
      <c r="F227" s="21">
        <f>Deployments!O215</f>
        <v/>
      </c>
      <c r="G227" s="14">
        <f>Deployments!P215</f>
        <v/>
      </c>
      <c r="H227" s="14">
        <f>'13 - Config_Intake_View'!M227</f>
        <v/>
      </c>
      <c r="I227" s="21">
        <f>IF('13 - Config_Intake_View'!Q227&lt;&gt;"",'13 - Config_Intake_View'!Q227,Deployments!AG215)</f>
        <v/>
      </c>
      <c r="J227" s="14">
        <f>IF('13 - Config_Intake_View'!Q227&lt;&gt;"","PM Approved",IF(Deployments!AG215&lt;&gt;"","Assumed",""))</f>
        <v/>
      </c>
      <c r="K227" s="21">
        <f>Deployments!AF215</f>
        <v/>
      </c>
      <c r="L227" s="14">
        <f>Deployments!U215</f>
        <v/>
      </c>
      <c r="M227" s="14">
        <f>Deployments!L215</f>
        <v/>
      </c>
      <c r="N227" s="14">
        <f>Deployments!CC215</f>
        <v/>
      </c>
      <c r="O227" s="21">
        <f>Deployments!CD215</f>
        <v/>
      </c>
      <c r="P227" s="2">
        <f>Deployments!BX215</f>
        <v/>
      </c>
      <c r="Q227" s="21">
        <f>IF(OR($A227="",$B227="",$D227=""),"MISSING CORE FIELDS","")</f>
        <v/>
      </c>
      <c r="R227" s="14">
        <f>IF(AND($I227&lt;&gt;"",$K227&lt;&gt;"Yes"),"SW NOT INSTALLED","")</f>
        <v/>
      </c>
      <c r="S227" s="14">
        <f>IF(AND($H227&lt;&gt;"",ISNUMBER(SEARCH("auto",LOWER($H227))),$F227=""),"AUTOLOGON REQUIRED","")</f>
        <v/>
      </c>
      <c r="T227" s="14">
        <f>IF($Q227&lt;&gt;"",$Q227,IF($S227&lt;&gt;"",$S227,IF($R227&lt;&gt;"",$R227,IF(OR($N227&lt;&gt;"",$O227="Blocked"),"BLOCKED","OK"))))</f>
        <v/>
      </c>
    </row>
    <row r="228">
      <c r="A228" s="21">
        <f>Deployments!H216</f>
        <v/>
      </c>
      <c r="B228" s="21">
        <f>Deployments!X216</f>
        <v/>
      </c>
      <c r="C228" s="21">
        <f>Deployments!Y216</f>
        <v/>
      </c>
      <c r="D228" s="14">
        <f>Deployments!AO216</f>
        <v/>
      </c>
      <c r="E228" s="14">
        <f>Deployments!N216</f>
        <v/>
      </c>
      <c r="F228" s="21">
        <f>Deployments!O216</f>
        <v/>
      </c>
      <c r="G228" s="14">
        <f>Deployments!P216</f>
        <v/>
      </c>
      <c r="H228" s="14">
        <f>'13 - Config_Intake_View'!M228</f>
        <v/>
      </c>
      <c r="I228" s="21">
        <f>IF('13 - Config_Intake_View'!Q228&lt;&gt;"",'13 - Config_Intake_View'!Q228,Deployments!AG216)</f>
        <v/>
      </c>
      <c r="J228" s="14">
        <f>IF('13 - Config_Intake_View'!Q228&lt;&gt;"","PM Approved",IF(Deployments!AG216&lt;&gt;"","Assumed",""))</f>
        <v/>
      </c>
      <c r="K228" s="21">
        <f>Deployments!AF216</f>
        <v/>
      </c>
      <c r="L228" s="14">
        <f>Deployments!U216</f>
        <v/>
      </c>
      <c r="M228" s="14">
        <f>Deployments!L216</f>
        <v/>
      </c>
      <c r="N228" s="14">
        <f>Deployments!CC216</f>
        <v/>
      </c>
      <c r="O228" s="21">
        <f>Deployments!CD216</f>
        <v/>
      </c>
      <c r="P228" s="2">
        <f>Deployments!BX216</f>
        <v/>
      </c>
      <c r="Q228" s="21">
        <f>IF(OR($A228="",$B228="",$D228=""),"MISSING CORE FIELDS","")</f>
        <v/>
      </c>
      <c r="R228" s="14">
        <f>IF(AND($I228&lt;&gt;"",$K228&lt;&gt;"Yes"),"SW NOT INSTALLED","")</f>
        <v/>
      </c>
      <c r="S228" s="14">
        <f>IF(AND($H228&lt;&gt;"",ISNUMBER(SEARCH("auto",LOWER($H228))),$F228=""),"AUTOLOGON REQUIRED","")</f>
        <v/>
      </c>
      <c r="T228" s="14">
        <f>IF($Q228&lt;&gt;"",$Q228,IF($S228&lt;&gt;"",$S228,IF($R228&lt;&gt;"",$R228,IF(OR($N228&lt;&gt;"",$O228="Blocked"),"BLOCKED","OK"))))</f>
        <v/>
      </c>
    </row>
    <row r="229">
      <c r="A229" s="21">
        <f>Deployments!H217</f>
        <v/>
      </c>
      <c r="B229" s="21">
        <f>Deployments!X217</f>
        <v/>
      </c>
      <c r="C229" s="21">
        <f>Deployments!Y217</f>
        <v/>
      </c>
      <c r="D229" s="14">
        <f>Deployments!AO217</f>
        <v/>
      </c>
      <c r="E229" s="14">
        <f>Deployments!N217</f>
        <v/>
      </c>
      <c r="F229" s="21">
        <f>Deployments!O217</f>
        <v/>
      </c>
      <c r="G229" s="14">
        <f>Deployments!P217</f>
        <v/>
      </c>
      <c r="H229" s="14">
        <f>'13 - Config_Intake_View'!M229</f>
        <v/>
      </c>
      <c r="I229" s="21">
        <f>IF('13 - Config_Intake_View'!Q229&lt;&gt;"",'13 - Config_Intake_View'!Q229,Deployments!AG217)</f>
        <v/>
      </c>
      <c r="J229" s="14">
        <f>IF('13 - Config_Intake_View'!Q229&lt;&gt;"","PM Approved",IF(Deployments!AG217&lt;&gt;"","Assumed",""))</f>
        <v/>
      </c>
      <c r="K229" s="21">
        <f>Deployments!AF217</f>
        <v/>
      </c>
      <c r="L229" s="14">
        <f>Deployments!U217</f>
        <v/>
      </c>
      <c r="M229" s="14">
        <f>Deployments!L217</f>
        <v/>
      </c>
      <c r="N229" s="14">
        <f>Deployments!CC217</f>
        <v/>
      </c>
      <c r="O229" s="21">
        <f>Deployments!CD217</f>
        <v/>
      </c>
      <c r="P229" s="2">
        <f>Deployments!BX217</f>
        <v/>
      </c>
      <c r="Q229" s="21">
        <f>IF(OR($A229="",$B229="",$D229=""),"MISSING CORE FIELDS","")</f>
        <v/>
      </c>
      <c r="R229" s="14">
        <f>IF(AND($I229&lt;&gt;"",$K229&lt;&gt;"Yes"),"SW NOT INSTALLED","")</f>
        <v/>
      </c>
      <c r="S229" s="14">
        <f>IF(AND($H229&lt;&gt;"",ISNUMBER(SEARCH("auto",LOWER($H229))),$F229=""),"AUTOLOGON REQUIRED","")</f>
        <v/>
      </c>
      <c r="T229" s="14">
        <f>IF($Q229&lt;&gt;"",$Q229,IF($S229&lt;&gt;"",$S229,IF($R229&lt;&gt;"",$R229,IF(OR($N229&lt;&gt;"",$O229="Blocked"),"BLOCKED","OK"))))</f>
        <v/>
      </c>
    </row>
    <row r="230">
      <c r="A230" s="21">
        <f>Deployments!H218</f>
        <v/>
      </c>
      <c r="B230" s="21">
        <f>Deployments!X218</f>
        <v/>
      </c>
      <c r="C230" s="21">
        <f>Deployments!Y218</f>
        <v/>
      </c>
      <c r="D230" s="14">
        <f>Deployments!AO218</f>
        <v/>
      </c>
      <c r="E230" s="14">
        <f>Deployments!N218</f>
        <v/>
      </c>
      <c r="F230" s="21">
        <f>Deployments!O218</f>
        <v/>
      </c>
      <c r="G230" s="14">
        <f>Deployments!P218</f>
        <v/>
      </c>
      <c r="H230" s="14">
        <f>'13 - Config_Intake_View'!M230</f>
        <v/>
      </c>
      <c r="I230" s="21">
        <f>IF('13 - Config_Intake_View'!Q230&lt;&gt;"",'13 - Config_Intake_View'!Q230,Deployments!AG218)</f>
        <v/>
      </c>
      <c r="J230" s="14">
        <f>IF('13 - Config_Intake_View'!Q230&lt;&gt;"","PM Approved",IF(Deployments!AG218&lt;&gt;"","Assumed",""))</f>
        <v/>
      </c>
      <c r="K230" s="21">
        <f>Deployments!AF218</f>
        <v/>
      </c>
      <c r="L230" s="14">
        <f>Deployments!U218</f>
        <v/>
      </c>
      <c r="M230" s="14">
        <f>Deployments!L218</f>
        <v/>
      </c>
      <c r="N230" s="14">
        <f>Deployments!CC218</f>
        <v/>
      </c>
      <c r="O230" s="21">
        <f>Deployments!CD218</f>
        <v/>
      </c>
      <c r="P230" s="2">
        <f>Deployments!BX218</f>
        <v/>
      </c>
      <c r="Q230" s="21">
        <f>IF(OR($A230="",$B230="",$D230=""),"MISSING CORE FIELDS","")</f>
        <v/>
      </c>
      <c r="R230" s="14">
        <f>IF(AND($I230&lt;&gt;"",$K230&lt;&gt;"Yes"),"SW NOT INSTALLED","")</f>
        <v/>
      </c>
      <c r="S230" s="14">
        <f>IF(AND($H230&lt;&gt;"",ISNUMBER(SEARCH("auto",LOWER($H230))),$F230=""),"AUTOLOGON REQUIRED","")</f>
        <v/>
      </c>
      <c r="T230" s="14">
        <f>IF($Q230&lt;&gt;"",$Q230,IF($S230&lt;&gt;"",$S230,IF($R230&lt;&gt;"",$R230,IF(OR($N230&lt;&gt;"",$O230="Blocked"),"BLOCKED","OK"))))</f>
        <v/>
      </c>
    </row>
    <row r="231">
      <c r="A231" s="21">
        <f>Deployments!H219</f>
        <v/>
      </c>
      <c r="B231" s="21">
        <f>Deployments!X219</f>
        <v/>
      </c>
      <c r="C231" s="21">
        <f>Deployments!Y219</f>
        <v/>
      </c>
      <c r="D231" s="14">
        <f>Deployments!AO219</f>
        <v/>
      </c>
      <c r="E231" s="14">
        <f>Deployments!N219</f>
        <v/>
      </c>
      <c r="F231" s="21">
        <f>Deployments!O219</f>
        <v/>
      </c>
      <c r="G231" s="14">
        <f>Deployments!P219</f>
        <v/>
      </c>
      <c r="H231" s="14">
        <f>'13 - Config_Intake_View'!M231</f>
        <v/>
      </c>
      <c r="I231" s="21">
        <f>IF('13 - Config_Intake_View'!Q231&lt;&gt;"",'13 - Config_Intake_View'!Q231,Deployments!AG219)</f>
        <v/>
      </c>
      <c r="J231" s="14">
        <f>IF('13 - Config_Intake_View'!Q231&lt;&gt;"","PM Approved",IF(Deployments!AG219&lt;&gt;"","Assumed",""))</f>
        <v/>
      </c>
      <c r="K231" s="21">
        <f>Deployments!AF219</f>
        <v/>
      </c>
      <c r="L231" s="14">
        <f>Deployments!U219</f>
        <v/>
      </c>
      <c r="M231" s="14">
        <f>Deployments!L219</f>
        <v/>
      </c>
      <c r="N231" s="14">
        <f>Deployments!CC219</f>
        <v/>
      </c>
      <c r="O231" s="21">
        <f>Deployments!CD219</f>
        <v/>
      </c>
      <c r="P231" s="2">
        <f>Deployments!BX219</f>
        <v/>
      </c>
      <c r="Q231" s="21">
        <f>IF(OR($A231="",$B231="",$D231=""),"MISSING CORE FIELDS","")</f>
        <v/>
      </c>
      <c r="R231" s="14">
        <f>IF(AND($I231&lt;&gt;"",$K231&lt;&gt;"Yes"),"SW NOT INSTALLED","")</f>
        <v/>
      </c>
      <c r="S231" s="14">
        <f>IF(AND($H231&lt;&gt;"",ISNUMBER(SEARCH("auto",LOWER($H231))),$F231=""),"AUTOLOGON REQUIRED","")</f>
        <v/>
      </c>
      <c r="T231" s="14">
        <f>IF($Q231&lt;&gt;"",$Q231,IF($S231&lt;&gt;"",$S231,IF($R231&lt;&gt;"",$R231,IF(OR($N231&lt;&gt;"",$O231="Blocked"),"BLOCKED","OK"))))</f>
        <v/>
      </c>
    </row>
    <row r="232">
      <c r="A232" s="21">
        <f>Deployments!H220</f>
        <v/>
      </c>
      <c r="B232" s="21">
        <f>Deployments!X220</f>
        <v/>
      </c>
      <c r="C232" s="21">
        <f>Deployments!Y220</f>
        <v/>
      </c>
      <c r="D232" s="14">
        <f>Deployments!AO220</f>
        <v/>
      </c>
      <c r="E232" s="14">
        <f>Deployments!N220</f>
        <v/>
      </c>
      <c r="F232" s="21">
        <f>Deployments!O220</f>
        <v/>
      </c>
      <c r="G232" s="14">
        <f>Deployments!P220</f>
        <v/>
      </c>
      <c r="H232" s="14">
        <f>'13 - Config_Intake_View'!M232</f>
        <v/>
      </c>
      <c r="I232" s="21">
        <f>IF('13 - Config_Intake_View'!Q232&lt;&gt;"",'13 - Config_Intake_View'!Q232,Deployments!AG220)</f>
        <v/>
      </c>
      <c r="J232" s="14">
        <f>IF('13 - Config_Intake_View'!Q232&lt;&gt;"","PM Approved",IF(Deployments!AG220&lt;&gt;"","Assumed",""))</f>
        <v/>
      </c>
      <c r="K232" s="21">
        <f>Deployments!AF220</f>
        <v/>
      </c>
      <c r="L232" s="14">
        <f>Deployments!U220</f>
        <v/>
      </c>
      <c r="M232" s="14">
        <f>Deployments!L220</f>
        <v/>
      </c>
      <c r="N232" s="14">
        <f>Deployments!CC220</f>
        <v/>
      </c>
      <c r="O232" s="21">
        <f>Deployments!CD220</f>
        <v/>
      </c>
      <c r="P232" s="2">
        <f>Deployments!BX220</f>
        <v/>
      </c>
      <c r="Q232" s="21">
        <f>IF(OR($A232="",$B232="",$D232=""),"MISSING CORE FIELDS","")</f>
        <v/>
      </c>
      <c r="R232" s="14">
        <f>IF(AND($I232&lt;&gt;"",$K232&lt;&gt;"Yes"),"SW NOT INSTALLED","")</f>
        <v/>
      </c>
      <c r="S232" s="14">
        <f>IF(AND($H232&lt;&gt;"",ISNUMBER(SEARCH("auto",LOWER($H232))),$F232=""),"AUTOLOGON REQUIRED","")</f>
        <v/>
      </c>
      <c r="T232" s="14">
        <f>IF($Q232&lt;&gt;"",$Q232,IF($S232&lt;&gt;"",$S232,IF($R232&lt;&gt;"",$R232,IF(OR($N232&lt;&gt;"",$O232="Blocked"),"BLOCKED","OK"))))</f>
        <v/>
      </c>
    </row>
    <row r="233">
      <c r="A233" s="21">
        <f>Deployments!H221</f>
        <v/>
      </c>
      <c r="B233" s="21">
        <f>Deployments!X221</f>
        <v/>
      </c>
      <c r="C233" s="21">
        <f>Deployments!Y221</f>
        <v/>
      </c>
      <c r="D233" s="14">
        <f>Deployments!AO221</f>
        <v/>
      </c>
      <c r="E233" s="14">
        <f>Deployments!N221</f>
        <v/>
      </c>
      <c r="F233" s="21">
        <f>Deployments!O221</f>
        <v/>
      </c>
      <c r="G233" s="14">
        <f>Deployments!P221</f>
        <v/>
      </c>
      <c r="H233" s="14">
        <f>'13 - Config_Intake_View'!M233</f>
        <v/>
      </c>
      <c r="I233" s="21">
        <f>IF('13 - Config_Intake_View'!Q233&lt;&gt;"",'13 - Config_Intake_View'!Q233,Deployments!AG221)</f>
        <v/>
      </c>
      <c r="J233" s="14">
        <f>IF('13 - Config_Intake_View'!Q233&lt;&gt;"","PM Approved",IF(Deployments!AG221&lt;&gt;"","Assumed",""))</f>
        <v/>
      </c>
      <c r="K233" s="21">
        <f>Deployments!AF221</f>
        <v/>
      </c>
      <c r="L233" s="14">
        <f>Deployments!U221</f>
        <v/>
      </c>
      <c r="M233" s="14">
        <f>Deployments!L221</f>
        <v/>
      </c>
      <c r="N233" s="14">
        <f>Deployments!CC221</f>
        <v/>
      </c>
      <c r="O233" s="21">
        <f>Deployments!CD221</f>
        <v/>
      </c>
      <c r="P233" s="2">
        <f>Deployments!BX221</f>
        <v/>
      </c>
      <c r="Q233" s="21">
        <f>IF(OR($A233="",$B233="",$D233=""),"MISSING CORE FIELDS","")</f>
        <v/>
      </c>
      <c r="R233" s="14">
        <f>IF(AND($I233&lt;&gt;"",$K233&lt;&gt;"Yes"),"SW NOT INSTALLED","")</f>
        <v/>
      </c>
      <c r="S233" s="14">
        <f>IF(AND($H233&lt;&gt;"",ISNUMBER(SEARCH("auto",LOWER($H233))),$F233=""),"AUTOLOGON REQUIRED","")</f>
        <v/>
      </c>
      <c r="T233" s="14">
        <f>IF($Q233&lt;&gt;"",$Q233,IF($S233&lt;&gt;"",$S233,IF($R233&lt;&gt;"",$R233,IF(OR($N233&lt;&gt;"",$O233="Blocked"),"BLOCKED","OK"))))</f>
        <v/>
      </c>
    </row>
    <row r="234">
      <c r="A234" s="21">
        <f>Deployments!H222</f>
        <v/>
      </c>
      <c r="B234" s="21">
        <f>Deployments!X222</f>
        <v/>
      </c>
      <c r="C234" s="21">
        <f>Deployments!Y222</f>
        <v/>
      </c>
      <c r="D234" s="14">
        <f>Deployments!AO222</f>
        <v/>
      </c>
      <c r="E234" s="14">
        <f>Deployments!N222</f>
        <v/>
      </c>
      <c r="F234" s="21">
        <f>Deployments!O222</f>
        <v/>
      </c>
      <c r="G234" s="14">
        <f>Deployments!P222</f>
        <v/>
      </c>
      <c r="H234" s="14">
        <f>'13 - Config_Intake_View'!M234</f>
        <v/>
      </c>
      <c r="I234" s="21">
        <f>IF('13 - Config_Intake_View'!Q234&lt;&gt;"",'13 - Config_Intake_View'!Q234,Deployments!AG222)</f>
        <v/>
      </c>
      <c r="J234" s="14">
        <f>IF('13 - Config_Intake_View'!Q234&lt;&gt;"","PM Approved",IF(Deployments!AG222&lt;&gt;"","Assumed",""))</f>
        <v/>
      </c>
      <c r="K234" s="21">
        <f>Deployments!AF222</f>
        <v/>
      </c>
      <c r="L234" s="14">
        <f>Deployments!U222</f>
        <v/>
      </c>
      <c r="M234" s="14">
        <f>Deployments!L222</f>
        <v/>
      </c>
      <c r="N234" s="14">
        <f>Deployments!CC222</f>
        <v/>
      </c>
      <c r="O234" s="21">
        <f>Deployments!CD222</f>
        <v/>
      </c>
      <c r="P234" s="2">
        <f>Deployments!BX222</f>
        <v/>
      </c>
      <c r="Q234" s="21">
        <f>IF(OR($A234="",$B234="",$D234=""),"MISSING CORE FIELDS","")</f>
        <v/>
      </c>
      <c r="R234" s="14">
        <f>IF(AND($I234&lt;&gt;"",$K234&lt;&gt;"Yes"),"SW NOT INSTALLED","")</f>
        <v/>
      </c>
      <c r="S234" s="14">
        <f>IF(AND($H234&lt;&gt;"",ISNUMBER(SEARCH("auto",LOWER($H234))),$F234=""),"AUTOLOGON REQUIRED","")</f>
        <v/>
      </c>
      <c r="T234" s="14">
        <f>IF($Q234&lt;&gt;"",$Q234,IF($S234&lt;&gt;"",$S234,IF($R234&lt;&gt;"",$R234,IF(OR($N234&lt;&gt;"",$O234="Blocked"),"BLOCKED","OK"))))</f>
        <v/>
      </c>
    </row>
    <row r="235">
      <c r="A235" s="21">
        <f>Deployments!H223</f>
        <v/>
      </c>
      <c r="B235" s="21">
        <f>Deployments!X223</f>
        <v/>
      </c>
      <c r="C235" s="21">
        <f>Deployments!Y223</f>
        <v/>
      </c>
      <c r="D235" s="14">
        <f>Deployments!AO223</f>
        <v/>
      </c>
      <c r="E235" s="14">
        <f>Deployments!N223</f>
        <v/>
      </c>
      <c r="F235" s="21">
        <f>Deployments!O223</f>
        <v/>
      </c>
      <c r="G235" s="14">
        <f>Deployments!P223</f>
        <v/>
      </c>
      <c r="H235" s="14">
        <f>'13 - Config_Intake_View'!M235</f>
        <v/>
      </c>
      <c r="I235" s="21">
        <f>IF('13 - Config_Intake_View'!Q235&lt;&gt;"",'13 - Config_Intake_View'!Q235,Deployments!AG223)</f>
        <v/>
      </c>
      <c r="J235" s="14">
        <f>IF('13 - Config_Intake_View'!Q235&lt;&gt;"","PM Approved",IF(Deployments!AG223&lt;&gt;"","Assumed",""))</f>
        <v/>
      </c>
      <c r="K235" s="21">
        <f>Deployments!AF223</f>
        <v/>
      </c>
      <c r="L235" s="14">
        <f>Deployments!U223</f>
        <v/>
      </c>
      <c r="M235" s="14">
        <f>Deployments!L223</f>
        <v/>
      </c>
      <c r="N235" s="14">
        <f>Deployments!CC223</f>
        <v/>
      </c>
      <c r="O235" s="21">
        <f>Deployments!CD223</f>
        <v/>
      </c>
      <c r="P235" s="2">
        <f>Deployments!BX223</f>
        <v/>
      </c>
      <c r="Q235" s="21">
        <f>IF(OR($A235="",$B235="",$D235=""),"MISSING CORE FIELDS","")</f>
        <v/>
      </c>
      <c r="R235" s="14">
        <f>IF(AND($I235&lt;&gt;"",$K235&lt;&gt;"Yes"),"SW NOT INSTALLED","")</f>
        <v/>
      </c>
      <c r="S235" s="14">
        <f>IF(AND($H235&lt;&gt;"",ISNUMBER(SEARCH("auto",LOWER($H235))),$F235=""),"AUTOLOGON REQUIRED","")</f>
        <v/>
      </c>
      <c r="T235" s="14">
        <f>IF($Q235&lt;&gt;"",$Q235,IF($S235&lt;&gt;"",$S235,IF($R235&lt;&gt;"",$R235,IF(OR($N235&lt;&gt;"",$O235="Blocked"),"BLOCKED","OK"))))</f>
        <v/>
      </c>
    </row>
    <row r="236">
      <c r="A236" s="21">
        <f>Deployments!H224</f>
        <v/>
      </c>
      <c r="B236" s="21">
        <f>Deployments!X224</f>
        <v/>
      </c>
      <c r="C236" s="21">
        <f>Deployments!Y224</f>
        <v/>
      </c>
      <c r="D236" s="14">
        <f>Deployments!AO224</f>
        <v/>
      </c>
      <c r="E236" s="14">
        <f>Deployments!N224</f>
        <v/>
      </c>
      <c r="F236" s="21">
        <f>Deployments!O224</f>
        <v/>
      </c>
      <c r="G236" s="14">
        <f>Deployments!P224</f>
        <v/>
      </c>
      <c r="H236" s="14">
        <f>'13 - Config_Intake_View'!M236</f>
        <v/>
      </c>
      <c r="I236" s="21">
        <f>IF('13 - Config_Intake_View'!Q236&lt;&gt;"",'13 - Config_Intake_View'!Q236,Deployments!AG224)</f>
        <v/>
      </c>
      <c r="J236" s="14">
        <f>IF('13 - Config_Intake_View'!Q236&lt;&gt;"","PM Approved",IF(Deployments!AG224&lt;&gt;"","Assumed",""))</f>
        <v/>
      </c>
      <c r="K236" s="21">
        <f>Deployments!AF224</f>
        <v/>
      </c>
      <c r="L236" s="14">
        <f>Deployments!U224</f>
        <v/>
      </c>
      <c r="M236" s="14">
        <f>Deployments!L224</f>
        <v/>
      </c>
      <c r="N236" s="14">
        <f>Deployments!CC224</f>
        <v/>
      </c>
      <c r="O236" s="21">
        <f>Deployments!CD224</f>
        <v/>
      </c>
      <c r="P236" s="2">
        <f>Deployments!BX224</f>
        <v/>
      </c>
      <c r="Q236" s="21">
        <f>IF(OR($A236="",$B236="",$D236=""),"MISSING CORE FIELDS","")</f>
        <v/>
      </c>
      <c r="R236" s="14">
        <f>IF(AND($I236&lt;&gt;"",$K236&lt;&gt;"Yes"),"SW NOT INSTALLED","")</f>
        <v/>
      </c>
      <c r="S236" s="14">
        <f>IF(AND($H236&lt;&gt;"",ISNUMBER(SEARCH("auto",LOWER($H236))),$F236=""),"AUTOLOGON REQUIRED","")</f>
        <v/>
      </c>
      <c r="T236" s="14">
        <f>IF($Q236&lt;&gt;"",$Q236,IF($S236&lt;&gt;"",$S236,IF($R236&lt;&gt;"",$R236,IF(OR($N236&lt;&gt;"",$O236="Blocked"),"BLOCKED","OK"))))</f>
        <v/>
      </c>
    </row>
    <row r="237">
      <c r="A237" s="21">
        <f>Deployments!H225</f>
        <v/>
      </c>
      <c r="B237" s="21">
        <f>Deployments!X225</f>
        <v/>
      </c>
      <c r="C237" s="21">
        <f>Deployments!Y225</f>
        <v/>
      </c>
      <c r="D237" s="14">
        <f>Deployments!AO225</f>
        <v/>
      </c>
      <c r="E237" s="14">
        <f>Deployments!N225</f>
        <v/>
      </c>
      <c r="F237" s="21">
        <f>Deployments!O225</f>
        <v/>
      </c>
      <c r="G237" s="14">
        <f>Deployments!P225</f>
        <v/>
      </c>
      <c r="H237" s="14">
        <f>'13 - Config_Intake_View'!M237</f>
        <v/>
      </c>
      <c r="I237" s="21">
        <f>IF('13 - Config_Intake_View'!Q237&lt;&gt;"",'13 - Config_Intake_View'!Q237,Deployments!AG225)</f>
        <v/>
      </c>
      <c r="J237" s="14">
        <f>IF('13 - Config_Intake_View'!Q237&lt;&gt;"","PM Approved",IF(Deployments!AG225&lt;&gt;"","Assumed",""))</f>
        <v/>
      </c>
      <c r="K237" s="21">
        <f>Deployments!AF225</f>
        <v/>
      </c>
      <c r="L237" s="14">
        <f>Deployments!U225</f>
        <v/>
      </c>
      <c r="M237" s="14">
        <f>Deployments!L225</f>
        <v/>
      </c>
      <c r="N237" s="14">
        <f>Deployments!CC225</f>
        <v/>
      </c>
      <c r="O237" s="21">
        <f>Deployments!CD225</f>
        <v/>
      </c>
      <c r="P237" s="2">
        <f>Deployments!BX225</f>
        <v/>
      </c>
      <c r="Q237" s="21">
        <f>IF(OR($A237="",$B237="",$D237=""),"MISSING CORE FIELDS","")</f>
        <v/>
      </c>
      <c r="R237" s="14">
        <f>IF(AND($I237&lt;&gt;"",$K237&lt;&gt;"Yes"),"SW NOT INSTALLED","")</f>
        <v/>
      </c>
      <c r="S237" s="14">
        <f>IF(AND($H237&lt;&gt;"",ISNUMBER(SEARCH("auto",LOWER($H237))),$F237=""),"AUTOLOGON REQUIRED","")</f>
        <v/>
      </c>
      <c r="T237" s="14">
        <f>IF($Q237&lt;&gt;"",$Q237,IF($S237&lt;&gt;"",$S237,IF($R237&lt;&gt;"",$R237,IF(OR($N237&lt;&gt;"",$O237="Blocked"),"BLOCKED","OK"))))</f>
        <v/>
      </c>
    </row>
    <row r="238">
      <c r="A238" s="21">
        <f>Deployments!H226</f>
        <v/>
      </c>
      <c r="B238" s="21">
        <f>Deployments!X226</f>
        <v/>
      </c>
      <c r="C238" s="21">
        <f>Deployments!Y226</f>
        <v/>
      </c>
      <c r="D238" s="14">
        <f>Deployments!AO226</f>
        <v/>
      </c>
      <c r="E238" s="14">
        <f>Deployments!N226</f>
        <v/>
      </c>
      <c r="F238" s="21">
        <f>Deployments!O226</f>
        <v/>
      </c>
      <c r="G238" s="14">
        <f>Deployments!P226</f>
        <v/>
      </c>
      <c r="H238" s="14">
        <f>'13 - Config_Intake_View'!M238</f>
        <v/>
      </c>
      <c r="I238" s="21">
        <f>IF('13 - Config_Intake_View'!Q238&lt;&gt;"",'13 - Config_Intake_View'!Q238,Deployments!AG226)</f>
        <v/>
      </c>
      <c r="J238" s="14">
        <f>IF('13 - Config_Intake_View'!Q238&lt;&gt;"","PM Approved",IF(Deployments!AG226&lt;&gt;"","Assumed",""))</f>
        <v/>
      </c>
      <c r="K238" s="21">
        <f>Deployments!AF226</f>
        <v/>
      </c>
      <c r="L238" s="14">
        <f>Deployments!U226</f>
        <v/>
      </c>
      <c r="M238" s="14">
        <f>Deployments!L226</f>
        <v/>
      </c>
      <c r="N238" s="14">
        <f>Deployments!CC226</f>
        <v/>
      </c>
      <c r="O238" s="21">
        <f>Deployments!CD226</f>
        <v/>
      </c>
      <c r="P238" s="2">
        <f>Deployments!BX226</f>
        <v/>
      </c>
      <c r="Q238" s="21">
        <f>IF(OR($A238="",$B238="",$D238=""),"MISSING CORE FIELDS","")</f>
        <v/>
      </c>
      <c r="R238" s="14">
        <f>IF(AND($I238&lt;&gt;"",$K238&lt;&gt;"Yes"),"SW NOT INSTALLED","")</f>
        <v/>
      </c>
      <c r="S238" s="14">
        <f>IF(AND($H238&lt;&gt;"",ISNUMBER(SEARCH("auto",LOWER($H238))),$F238=""),"AUTOLOGON REQUIRED","")</f>
        <v/>
      </c>
      <c r="T238" s="14">
        <f>IF($Q238&lt;&gt;"",$Q238,IF($S238&lt;&gt;"",$S238,IF($R238&lt;&gt;"",$R238,IF(OR($N238&lt;&gt;"",$O238="Blocked"),"BLOCKED","OK"))))</f>
        <v/>
      </c>
    </row>
    <row r="239">
      <c r="A239" s="21">
        <f>Deployments!H227</f>
        <v/>
      </c>
      <c r="B239" s="21">
        <f>Deployments!X227</f>
        <v/>
      </c>
      <c r="C239" s="21">
        <f>Deployments!Y227</f>
        <v/>
      </c>
      <c r="D239" s="14">
        <f>Deployments!AO227</f>
        <v/>
      </c>
      <c r="E239" s="14">
        <f>Deployments!N227</f>
        <v/>
      </c>
      <c r="F239" s="21">
        <f>Deployments!O227</f>
        <v/>
      </c>
      <c r="G239" s="14">
        <f>Deployments!P227</f>
        <v/>
      </c>
      <c r="H239" s="14">
        <f>'13 - Config_Intake_View'!M239</f>
        <v/>
      </c>
      <c r="I239" s="21">
        <f>IF('13 - Config_Intake_View'!Q239&lt;&gt;"",'13 - Config_Intake_View'!Q239,Deployments!AG227)</f>
        <v/>
      </c>
      <c r="J239" s="14">
        <f>IF('13 - Config_Intake_View'!Q239&lt;&gt;"","PM Approved",IF(Deployments!AG227&lt;&gt;"","Assumed",""))</f>
        <v/>
      </c>
      <c r="K239" s="21">
        <f>Deployments!AF227</f>
        <v/>
      </c>
      <c r="L239" s="14">
        <f>Deployments!U227</f>
        <v/>
      </c>
      <c r="M239" s="14">
        <f>Deployments!L227</f>
        <v/>
      </c>
      <c r="N239" s="14">
        <f>Deployments!CC227</f>
        <v/>
      </c>
      <c r="O239" s="21">
        <f>Deployments!CD227</f>
        <v/>
      </c>
      <c r="P239" s="2">
        <f>Deployments!BX227</f>
        <v/>
      </c>
      <c r="Q239" s="21">
        <f>IF(OR($A239="",$B239="",$D239=""),"MISSING CORE FIELDS","")</f>
        <v/>
      </c>
      <c r="R239" s="14">
        <f>IF(AND($I239&lt;&gt;"",$K239&lt;&gt;"Yes"),"SW NOT INSTALLED","")</f>
        <v/>
      </c>
      <c r="S239" s="14">
        <f>IF(AND($H239&lt;&gt;"",ISNUMBER(SEARCH("auto",LOWER($H239))),$F239=""),"AUTOLOGON REQUIRED","")</f>
        <v/>
      </c>
      <c r="T239" s="14">
        <f>IF($Q239&lt;&gt;"",$Q239,IF($S239&lt;&gt;"",$S239,IF($R239&lt;&gt;"",$R239,IF(OR($N239&lt;&gt;"",$O239="Blocked"),"BLOCKED","OK"))))</f>
        <v/>
      </c>
    </row>
    <row r="240">
      <c r="A240" s="21">
        <f>Deployments!H228</f>
        <v/>
      </c>
      <c r="B240" s="21">
        <f>Deployments!X228</f>
        <v/>
      </c>
      <c r="C240" s="21">
        <f>Deployments!Y228</f>
        <v/>
      </c>
      <c r="D240" s="14">
        <f>Deployments!AO228</f>
        <v/>
      </c>
      <c r="E240" s="14">
        <f>Deployments!N228</f>
        <v/>
      </c>
      <c r="F240" s="21">
        <f>Deployments!O228</f>
        <v/>
      </c>
      <c r="G240" s="14">
        <f>Deployments!P228</f>
        <v/>
      </c>
      <c r="H240" s="14">
        <f>'13 - Config_Intake_View'!M240</f>
        <v/>
      </c>
      <c r="I240" s="21">
        <f>IF('13 - Config_Intake_View'!Q240&lt;&gt;"",'13 - Config_Intake_View'!Q240,Deployments!AG228)</f>
        <v/>
      </c>
      <c r="J240" s="14">
        <f>IF('13 - Config_Intake_View'!Q240&lt;&gt;"","PM Approved",IF(Deployments!AG228&lt;&gt;"","Assumed",""))</f>
        <v/>
      </c>
      <c r="K240" s="21">
        <f>Deployments!AF228</f>
        <v/>
      </c>
      <c r="L240" s="14">
        <f>Deployments!U228</f>
        <v/>
      </c>
      <c r="M240" s="14">
        <f>Deployments!L228</f>
        <v/>
      </c>
      <c r="N240" s="14">
        <f>Deployments!CC228</f>
        <v/>
      </c>
      <c r="O240" s="21">
        <f>Deployments!CD228</f>
        <v/>
      </c>
      <c r="P240" s="2">
        <f>Deployments!BX228</f>
        <v/>
      </c>
      <c r="Q240" s="21">
        <f>IF(OR($A240="",$B240="",$D240=""),"MISSING CORE FIELDS","")</f>
        <v/>
      </c>
      <c r="R240" s="14">
        <f>IF(AND($I240&lt;&gt;"",$K240&lt;&gt;"Yes"),"SW NOT INSTALLED","")</f>
        <v/>
      </c>
      <c r="S240" s="14">
        <f>IF(AND($H240&lt;&gt;"",ISNUMBER(SEARCH("auto",LOWER($H240))),$F240=""),"AUTOLOGON REQUIRED","")</f>
        <v/>
      </c>
      <c r="T240" s="14">
        <f>IF($Q240&lt;&gt;"",$Q240,IF($S240&lt;&gt;"",$S240,IF($R240&lt;&gt;"",$R240,IF(OR($N240&lt;&gt;"",$O240="Blocked"),"BLOCKED","OK"))))</f>
        <v/>
      </c>
    </row>
    <row r="241">
      <c r="A241" s="21">
        <f>Deployments!H229</f>
        <v/>
      </c>
      <c r="B241" s="21">
        <f>Deployments!X229</f>
        <v/>
      </c>
      <c r="C241" s="21">
        <f>Deployments!Y229</f>
        <v/>
      </c>
      <c r="D241" s="14">
        <f>Deployments!AO229</f>
        <v/>
      </c>
      <c r="E241" s="14">
        <f>Deployments!N229</f>
        <v/>
      </c>
      <c r="F241" s="21">
        <f>Deployments!O229</f>
        <v/>
      </c>
      <c r="G241" s="14">
        <f>Deployments!P229</f>
        <v/>
      </c>
      <c r="H241" s="14">
        <f>'13 - Config_Intake_View'!M241</f>
        <v/>
      </c>
      <c r="I241" s="21">
        <f>IF('13 - Config_Intake_View'!Q241&lt;&gt;"",'13 - Config_Intake_View'!Q241,Deployments!AG229)</f>
        <v/>
      </c>
      <c r="J241" s="14">
        <f>IF('13 - Config_Intake_View'!Q241&lt;&gt;"","PM Approved",IF(Deployments!AG229&lt;&gt;"","Assumed",""))</f>
        <v/>
      </c>
      <c r="K241" s="21">
        <f>Deployments!AF229</f>
        <v/>
      </c>
      <c r="L241" s="14">
        <f>Deployments!U229</f>
        <v/>
      </c>
      <c r="M241" s="14">
        <f>Deployments!L229</f>
        <v/>
      </c>
      <c r="N241" s="14">
        <f>Deployments!CC229</f>
        <v/>
      </c>
      <c r="O241" s="21">
        <f>Deployments!CD229</f>
        <v/>
      </c>
      <c r="P241" s="2">
        <f>Deployments!BX229</f>
        <v/>
      </c>
      <c r="Q241" s="21">
        <f>IF(OR($A241="",$B241="",$D241=""),"MISSING CORE FIELDS","")</f>
        <v/>
      </c>
      <c r="R241" s="14">
        <f>IF(AND($I241&lt;&gt;"",$K241&lt;&gt;"Yes"),"SW NOT INSTALLED","")</f>
        <v/>
      </c>
      <c r="S241" s="14">
        <f>IF(AND($H241&lt;&gt;"",ISNUMBER(SEARCH("auto",LOWER($H241))),$F241=""),"AUTOLOGON REQUIRED","")</f>
        <v/>
      </c>
      <c r="T241" s="14">
        <f>IF($Q241&lt;&gt;"",$Q241,IF($S241&lt;&gt;"",$S241,IF($R241&lt;&gt;"",$R241,IF(OR($N241&lt;&gt;"",$O241="Blocked"),"BLOCKED","OK"))))</f>
        <v/>
      </c>
    </row>
    <row r="242">
      <c r="A242" s="21">
        <f>Deployments!H230</f>
        <v/>
      </c>
      <c r="B242" s="21">
        <f>Deployments!X230</f>
        <v/>
      </c>
      <c r="C242" s="21">
        <f>Deployments!Y230</f>
        <v/>
      </c>
      <c r="D242" s="14">
        <f>Deployments!AO230</f>
        <v/>
      </c>
      <c r="E242" s="14">
        <f>Deployments!N230</f>
        <v/>
      </c>
      <c r="F242" s="21">
        <f>Deployments!O230</f>
        <v/>
      </c>
      <c r="G242" s="14">
        <f>Deployments!P230</f>
        <v/>
      </c>
      <c r="H242" s="14">
        <f>'13 - Config_Intake_View'!M242</f>
        <v/>
      </c>
      <c r="I242" s="21">
        <f>IF('13 - Config_Intake_View'!Q242&lt;&gt;"",'13 - Config_Intake_View'!Q242,Deployments!AG230)</f>
        <v/>
      </c>
      <c r="J242" s="14">
        <f>IF('13 - Config_Intake_View'!Q242&lt;&gt;"","PM Approved",IF(Deployments!AG230&lt;&gt;"","Assumed",""))</f>
        <v/>
      </c>
      <c r="K242" s="21">
        <f>Deployments!AF230</f>
        <v/>
      </c>
      <c r="L242" s="14">
        <f>Deployments!U230</f>
        <v/>
      </c>
      <c r="M242" s="14">
        <f>Deployments!L230</f>
        <v/>
      </c>
      <c r="N242" s="14">
        <f>Deployments!CC230</f>
        <v/>
      </c>
      <c r="O242" s="21">
        <f>Deployments!CD230</f>
        <v/>
      </c>
      <c r="P242" s="2">
        <f>Deployments!BX230</f>
        <v/>
      </c>
      <c r="Q242" s="21">
        <f>IF(OR($A242="",$B242="",$D242=""),"MISSING CORE FIELDS","")</f>
        <v/>
      </c>
      <c r="R242" s="14">
        <f>IF(AND($I242&lt;&gt;"",$K242&lt;&gt;"Yes"),"SW NOT INSTALLED","")</f>
        <v/>
      </c>
      <c r="S242" s="14">
        <f>IF(AND($H242&lt;&gt;"",ISNUMBER(SEARCH("auto",LOWER($H242))),$F242=""),"AUTOLOGON REQUIRED","")</f>
        <v/>
      </c>
      <c r="T242" s="14">
        <f>IF($Q242&lt;&gt;"",$Q242,IF($S242&lt;&gt;"",$S242,IF($R242&lt;&gt;"",$R242,IF(OR($N242&lt;&gt;"",$O242="Blocked"),"BLOCKED","OK"))))</f>
        <v/>
      </c>
    </row>
    <row r="243">
      <c r="A243" s="21">
        <f>Deployments!H231</f>
        <v/>
      </c>
      <c r="B243" s="21">
        <f>Deployments!X231</f>
        <v/>
      </c>
      <c r="C243" s="21">
        <f>Deployments!Y231</f>
        <v/>
      </c>
      <c r="D243" s="14">
        <f>Deployments!AO231</f>
        <v/>
      </c>
      <c r="E243" s="14">
        <f>Deployments!N231</f>
        <v/>
      </c>
      <c r="F243" s="21">
        <f>Deployments!O231</f>
        <v/>
      </c>
      <c r="G243" s="14">
        <f>Deployments!P231</f>
        <v/>
      </c>
      <c r="H243" s="14">
        <f>'13 - Config_Intake_View'!M243</f>
        <v/>
      </c>
      <c r="I243" s="21">
        <f>IF('13 - Config_Intake_View'!Q243&lt;&gt;"",'13 - Config_Intake_View'!Q243,Deployments!AG231)</f>
        <v/>
      </c>
      <c r="J243" s="14">
        <f>IF('13 - Config_Intake_View'!Q243&lt;&gt;"","PM Approved",IF(Deployments!AG231&lt;&gt;"","Assumed",""))</f>
        <v/>
      </c>
      <c r="K243" s="21">
        <f>Deployments!AF231</f>
        <v/>
      </c>
      <c r="L243" s="14">
        <f>Deployments!U231</f>
        <v/>
      </c>
      <c r="M243" s="14">
        <f>Deployments!L231</f>
        <v/>
      </c>
      <c r="N243" s="14">
        <f>Deployments!CC231</f>
        <v/>
      </c>
      <c r="O243" s="21">
        <f>Deployments!CD231</f>
        <v/>
      </c>
      <c r="P243" s="2">
        <f>Deployments!BX231</f>
        <v/>
      </c>
      <c r="Q243" s="21">
        <f>IF(OR($A243="",$B243="",$D243=""),"MISSING CORE FIELDS","")</f>
        <v/>
      </c>
      <c r="R243" s="14">
        <f>IF(AND($I243&lt;&gt;"",$K243&lt;&gt;"Yes"),"SW NOT INSTALLED","")</f>
        <v/>
      </c>
      <c r="S243" s="14">
        <f>IF(AND($H243&lt;&gt;"",ISNUMBER(SEARCH("auto",LOWER($H243))),$F243=""),"AUTOLOGON REQUIRED","")</f>
        <v/>
      </c>
      <c r="T243" s="14">
        <f>IF($Q243&lt;&gt;"",$Q243,IF($S243&lt;&gt;"",$S243,IF($R243&lt;&gt;"",$R243,IF(OR($N243&lt;&gt;"",$O243="Blocked"),"BLOCKED","OK"))))</f>
        <v/>
      </c>
    </row>
    <row r="244">
      <c r="A244" s="21">
        <f>Deployments!H232</f>
        <v/>
      </c>
      <c r="B244" s="21">
        <f>Deployments!X232</f>
        <v/>
      </c>
      <c r="C244" s="21">
        <f>Deployments!Y232</f>
        <v/>
      </c>
      <c r="D244" s="14">
        <f>Deployments!AO232</f>
        <v/>
      </c>
      <c r="E244" s="14">
        <f>Deployments!N232</f>
        <v/>
      </c>
      <c r="F244" s="21">
        <f>Deployments!O232</f>
        <v/>
      </c>
      <c r="G244" s="14">
        <f>Deployments!P232</f>
        <v/>
      </c>
      <c r="H244" s="14">
        <f>'13 - Config_Intake_View'!M244</f>
        <v/>
      </c>
      <c r="I244" s="21">
        <f>IF('13 - Config_Intake_View'!Q244&lt;&gt;"",'13 - Config_Intake_View'!Q244,Deployments!AG232)</f>
        <v/>
      </c>
      <c r="J244" s="14">
        <f>IF('13 - Config_Intake_View'!Q244&lt;&gt;"","PM Approved",IF(Deployments!AG232&lt;&gt;"","Assumed",""))</f>
        <v/>
      </c>
      <c r="K244" s="21">
        <f>Deployments!AF232</f>
        <v/>
      </c>
      <c r="L244" s="14">
        <f>Deployments!U232</f>
        <v/>
      </c>
      <c r="M244" s="14">
        <f>Deployments!L232</f>
        <v/>
      </c>
      <c r="N244" s="14">
        <f>Deployments!CC232</f>
        <v/>
      </c>
      <c r="O244" s="21">
        <f>Deployments!CD232</f>
        <v/>
      </c>
      <c r="P244" s="2">
        <f>Deployments!BX232</f>
        <v/>
      </c>
      <c r="Q244" s="21">
        <f>IF(OR($A244="",$B244="",$D244=""),"MISSING CORE FIELDS","")</f>
        <v/>
      </c>
      <c r="R244" s="14">
        <f>IF(AND($I244&lt;&gt;"",$K244&lt;&gt;"Yes"),"SW NOT INSTALLED","")</f>
        <v/>
      </c>
      <c r="S244" s="14">
        <f>IF(AND($H244&lt;&gt;"",ISNUMBER(SEARCH("auto",LOWER($H244))),$F244=""),"AUTOLOGON REQUIRED","")</f>
        <v/>
      </c>
      <c r="T244" s="14">
        <f>IF($Q244&lt;&gt;"",$Q244,IF($S244&lt;&gt;"",$S244,IF($R244&lt;&gt;"",$R244,IF(OR($N244&lt;&gt;"",$O244="Blocked"),"BLOCKED","OK"))))</f>
        <v/>
      </c>
    </row>
    <row r="245">
      <c r="A245" s="21">
        <f>Deployments!H233</f>
        <v/>
      </c>
      <c r="B245" s="21">
        <f>Deployments!X233</f>
        <v/>
      </c>
      <c r="C245" s="21">
        <f>Deployments!Y233</f>
        <v/>
      </c>
      <c r="D245" s="14">
        <f>Deployments!AO233</f>
        <v/>
      </c>
      <c r="E245" s="14">
        <f>Deployments!N233</f>
        <v/>
      </c>
      <c r="F245" s="21">
        <f>Deployments!O233</f>
        <v/>
      </c>
      <c r="G245" s="14">
        <f>Deployments!P233</f>
        <v/>
      </c>
      <c r="H245" s="14">
        <f>'13 - Config_Intake_View'!M245</f>
        <v/>
      </c>
      <c r="I245" s="21">
        <f>IF('13 - Config_Intake_View'!Q245&lt;&gt;"",'13 - Config_Intake_View'!Q245,Deployments!AG233)</f>
        <v/>
      </c>
      <c r="J245" s="14">
        <f>IF('13 - Config_Intake_View'!Q245&lt;&gt;"","PM Approved",IF(Deployments!AG233&lt;&gt;"","Assumed",""))</f>
        <v/>
      </c>
      <c r="K245" s="21">
        <f>Deployments!AF233</f>
        <v/>
      </c>
      <c r="L245" s="14">
        <f>Deployments!U233</f>
        <v/>
      </c>
      <c r="M245" s="14">
        <f>Deployments!L233</f>
        <v/>
      </c>
      <c r="N245" s="14">
        <f>Deployments!CC233</f>
        <v/>
      </c>
      <c r="O245" s="21">
        <f>Deployments!CD233</f>
        <v/>
      </c>
      <c r="P245" s="2">
        <f>Deployments!BX233</f>
        <v/>
      </c>
      <c r="Q245" s="21">
        <f>IF(OR($A245="",$B245="",$D245=""),"MISSING CORE FIELDS","")</f>
        <v/>
      </c>
      <c r="R245" s="14">
        <f>IF(AND($I245&lt;&gt;"",$K245&lt;&gt;"Yes"),"SW NOT INSTALLED","")</f>
        <v/>
      </c>
      <c r="S245" s="14">
        <f>IF(AND($H245&lt;&gt;"",ISNUMBER(SEARCH("auto",LOWER($H245))),$F245=""),"AUTOLOGON REQUIRED","")</f>
        <v/>
      </c>
      <c r="T245" s="14">
        <f>IF($Q245&lt;&gt;"",$Q245,IF($S245&lt;&gt;"",$S245,IF($R245&lt;&gt;"",$R245,IF(OR($N245&lt;&gt;"",$O245="Blocked"),"BLOCKED","OK"))))</f>
        <v/>
      </c>
    </row>
    <row r="246">
      <c r="A246" s="21">
        <f>Deployments!H234</f>
        <v/>
      </c>
      <c r="B246" s="21">
        <f>Deployments!X234</f>
        <v/>
      </c>
      <c r="C246" s="21">
        <f>Deployments!Y234</f>
        <v/>
      </c>
      <c r="D246" s="14">
        <f>Deployments!AO234</f>
        <v/>
      </c>
      <c r="E246" s="14">
        <f>Deployments!N234</f>
        <v/>
      </c>
      <c r="F246" s="21">
        <f>Deployments!O234</f>
        <v/>
      </c>
      <c r="G246" s="14">
        <f>Deployments!P234</f>
        <v/>
      </c>
      <c r="H246" s="14">
        <f>'13 - Config_Intake_View'!M246</f>
        <v/>
      </c>
      <c r="I246" s="21">
        <f>IF('13 - Config_Intake_View'!Q246&lt;&gt;"",'13 - Config_Intake_View'!Q246,Deployments!AG234)</f>
        <v/>
      </c>
      <c r="J246" s="14">
        <f>IF('13 - Config_Intake_View'!Q246&lt;&gt;"","PM Approved",IF(Deployments!AG234&lt;&gt;"","Assumed",""))</f>
        <v/>
      </c>
      <c r="K246" s="21">
        <f>Deployments!AF234</f>
        <v/>
      </c>
      <c r="L246" s="14">
        <f>Deployments!U234</f>
        <v/>
      </c>
      <c r="M246" s="14">
        <f>Deployments!L234</f>
        <v/>
      </c>
      <c r="N246" s="14">
        <f>Deployments!CC234</f>
        <v/>
      </c>
      <c r="O246" s="21">
        <f>Deployments!CD234</f>
        <v/>
      </c>
      <c r="P246" s="2">
        <f>Deployments!BX234</f>
        <v/>
      </c>
      <c r="Q246" s="21">
        <f>IF(OR($A246="",$B246="",$D246=""),"MISSING CORE FIELDS","")</f>
        <v/>
      </c>
      <c r="R246" s="14">
        <f>IF(AND($I246&lt;&gt;"",$K246&lt;&gt;"Yes"),"SW NOT INSTALLED","")</f>
        <v/>
      </c>
      <c r="S246" s="14">
        <f>IF(AND($H246&lt;&gt;"",ISNUMBER(SEARCH("auto",LOWER($H246))),$F246=""),"AUTOLOGON REQUIRED","")</f>
        <v/>
      </c>
      <c r="T246" s="14">
        <f>IF($Q246&lt;&gt;"",$Q246,IF($S246&lt;&gt;"",$S246,IF($R246&lt;&gt;"",$R246,IF(OR($N246&lt;&gt;"",$O246="Blocked"),"BLOCKED","OK"))))</f>
        <v/>
      </c>
    </row>
    <row r="247">
      <c r="A247" s="21">
        <f>Deployments!H235</f>
        <v/>
      </c>
      <c r="B247" s="21">
        <f>Deployments!X235</f>
        <v/>
      </c>
      <c r="C247" s="21">
        <f>Deployments!Y235</f>
        <v/>
      </c>
      <c r="D247" s="14">
        <f>Deployments!AO235</f>
        <v/>
      </c>
      <c r="E247" s="14">
        <f>Deployments!N235</f>
        <v/>
      </c>
      <c r="F247" s="21">
        <f>Deployments!O235</f>
        <v/>
      </c>
      <c r="G247" s="14">
        <f>Deployments!P235</f>
        <v/>
      </c>
      <c r="H247" s="14">
        <f>'13 - Config_Intake_View'!M247</f>
        <v/>
      </c>
      <c r="I247" s="21">
        <f>IF('13 - Config_Intake_View'!Q247&lt;&gt;"",'13 - Config_Intake_View'!Q247,Deployments!AG235)</f>
        <v/>
      </c>
      <c r="J247" s="14">
        <f>IF('13 - Config_Intake_View'!Q247&lt;&gt;"","PM Approved",IF(Deployments!AG235&lt;&gt;"","Assumed",""))</f>
        <v/>
      </c>
      <c r="K247" s="21">
        <f>Deployments!AF235</f>
        <v/>
      </c>
      <c r="L247" s="14">
        <f>Deployments!U235</f>
        <v/>
      </c>
      <c r="M247" s="14">
        <f>Deployments!L235</f>
        <v/>
      </c>
      <c r="N247" s="14">
        <f>Deployments!CC235</f>
        <v/>
      </c>
      <c r="O247" s="21">
        <f>Deployments!CD235</f>
        <v/>
      </c>
      <c r="P247" s="2">
        <f>Deployments!BX235</f>
        <v/>
      </c>
      <c r="Q247" s="21">
        <f>IF(OR($A247="",$B247="",$D247=""),"MISSING CORE FIELDS","")</f>
        <v/>
      </c>
      <c r="R247" s="14">
        <f>IF(AND($I247&lt;&gt;"",$K247&lt;&gt;"Yes"),"SW NOT INSTALLED","")</f>
        <v/>
      </c>
      <c r="S247" s="14">
        <f>IF(AND($H247&lt;&gt;"",ISNUMBER(SEARCH("auto",LOWER($H247))),$F247=""),"AUTOLOGON REQUIRED","")</f>
        <v/>
      </c>
      <c r="T247" s="14">
        <f>IF($Q247&lt;&gt;"",$Q247,IF($S247&lt;&gt;"",$S247,IF($R247&lt;&gt;"",$R247,IF(OR($N247&lt;&gt;"",$O247="Blocked"),"BLOCKED","OK"))))</f>
        <v/>
      </c>
    </row>
    <row r="248">
      <c r="A248" s="21">
        <f>Deployments!H236</f>
        <v/>
      </c>
      <c r="B248" s="21">
        <f>Deployments!X236</f>
        <v/>
      </c>
      <c r="C248" s="21">
        <f>Deployments!Y236</f>
        <v/>
      </c>
      <c r="D248" s="14">
        <f>Deployments!AO236</f>
        <v/>
      </c>
      <c r="E248" s="14">
        <f>Deployments!N236</f>
        <v/>
      </c>
      <c r="F248" s="21">
        <f>Deployments!O236</f>
        <v/>
      </c>
      <c r="G248" s="14">
        <f>Deployments!P236</f>
        <v/>
      </c>
      <c r="H248" s="14">
        <f>'13 - Config_Intake_View'!M248</f>
        <v/>
      </c>
      <c r="I248" s="21">
        <f>IF('13 - Config_Intake_View'!Q248&lt;&gt;"",'13 - Config_Intake_View'!Q248,Deployments!AG236)</f>
        <v/>
      </c>
      <c r="J248" s="14">
        <f>IF('13 - Config_Intake_View'!Q248&lt;&gt;"","PM Approved",IF(Deployments!AG236&lt;&gt;"","Assumed",""))</f>
        <v/>
      </c>
      <c r="K248" s="21">
        <f>Deployments!AF236</f>
        <v/>
      </c>
      <c r="L248" s="14">
        <f>Deployments!U236</f>
        <v/>
      </c>
      <c r="M248" s="14">
        <f>Deployments!L236</f>
        <v/>
      </c>
      <c r="N248" s="14">
        <f>Deployments!CC236</f>
        <v/>
      </c>
      <c r="O248" s="21">
        <f>Deployments!CD236</f>
        <v/>
      </c>
      <c r="P248" s="2">
        <f>Deployments!BX236</f>
        <v/>
      </c>
      <c r="Q248" s="21">
        <f>IF(OR($A248="",$B248="",$D248=""),"MISSING CORE FIELDS","")</f>
        <v/>
      </c>
      <c r="R248" s="14">
        <f>IF(AND($I248&lt;&gt;"",$K248&lt;&gt;"Yes"),"SW NOT INSTALLED","")</f>
        <v/>
      </c>
      <c r="S248" s="14">
        <f>IF(AND($H248&lt;&gt;"",ISNUMBER(SEARCH("auto",LOWER($H248))),$F248=""),"AUTOLOGON REQUIRED","")</f>
        <v/>
      </c>
      <c r="T248" s="14">
        <f>IF($Q248&lt;&gt;"",$Q248,IF($S248&lt;&gt;"",$S248,IF($R248&lt;&gt;"",$R248,IF(OR($N248&lt;&gt;"",$O248="Blocked"),"BLOCKED","OK"))))</f>
        <v/>
      </c>
    </row>
    <row r="249">
      <c r="A249" s="21">
        <f>Deployments!H237</f>
        <v/>
      </c>
      <c r="B249" s="21">
        <f>Deployments!X237</f>
        <v/>
      </c>
      <c r="C249" s="21">
        <f>Deployments!Y237</f>
        <v/>
      </c>
      <c r="D249" s="14">
        <f>Deployments!AO237</f>
        <v/>
      </c>
      <c r="E249" s="14">
        <f>Deployments!N237</f>
        <v/>
      </c>
      <c r="F249" s="21">
        <f>Deployments!O237</f>
        <v/>
      </c>
      <c r="G249" s="14">
        <f>Deployments!P237</f>
        <v/>
      </c>
      <c r="H249" s="14">
        <f>'13 - Config_Intake_View'!M249</f>
        <v/>
      </c>
      <c r="I249" s="21">
        <f>IF('13 - Config_Intake_View'!Q249&lt;&gt;"",'13 - Config_Intake_View'!Q249,Deployments!AG237)</f>
        <v/>
      </c>
      <c r="J249" s="14">
        <f>IF('13 - Config_Intake_View'!Q249&lt;&gt;"","PM Approved",IF(Deployments!AG237&lt;&gt;"","Assumed",""))</f>
        <v/>
      </c>
      <c r="K249" s="21">
        <f>Deployments!AF237</f>
        <v/>
      </c>
      <c r="L249" s="14">
        <f>Deployments!U237</f>
        <v/>
      </c>
      <c r="M249" s="14">
        <f>Deployments!L237</f>
        <v/>
      </c>
      <c r="N249" s="14">
        <f>Deployments!CC237</f>
        <v/>
      </c>
      <c r="O249" s="21">
        <f>Deployments!CD237</f>
        <v/>
      </c>
      <c r="P249" s="2">
        <f>Deployments!BX237</f>
        <v/>
      </c>
      <c r="Q249" s="21">
        <f>IF(OR($A249="",$B249="",$D249=""),"MISSING CORE FIELDS","")</f>
        <v/>
      </c>
      <c r="R249" s="14">
        <f>IF(AND($I249&lt;&gt;"",$K249&lt;&gt;"Yes"),"SW NOT INSTALLED","")</f>
        <v/>
      </c>
      <c r="S249" s="14">
        <f>IF(AND($H249&lt;&gt;"",ISNUMBER(SEARCH("auto",LOWER($H249))),$F249=""),"AUTOLOGON REQUIRED","")</f>
        <v/>
      </c>
      <c r="T249" s="14">
        <f>IF($Q249&lt;&gt;"",$Q249,IF($S249&lt;&gt;"",$S249,IF($R249&lt;&gt;"",$R249,IF(OR($N249&lt;&gt;"",$O249="Blocked"),"BLOCKED","OK"))))</f>
        <v/>
      </c>
    </row>
    <row r="250">
      <c r="A250" s="21">
        <f>Deployments!H238</f>
        <v/>
      </c>
      <c r="B250" s="21">
        <f>Deployments!X238</f>
        <v/>
      </c>
      <c r="C250" s="21">
        <f>Deployments!Y238</f>
        <v/>
      </c>
      <c r="D250" s="14">
        <f>Deployments!AO238</f>
        <v/>
      </c>
      <c r="E250" s="14">
        <f>Deployments!N238</f>
        <v/>
      </c>
      <c r="F250" s="21">
        <f>Deployments!O238</f>
        <v/>
      </c>
      <c r="G250" s="14">
        <f>Deployments!P238</f>
        <v/>
      </c>
      <c r="H250" s="14">
        <f>'13 - Config_Intake_View'!M250</f>
        <v/>
      </c>
      <c r="I250" s="21">
        <f>IF('13 - Config_Intake_View'!Q250&lt;&gt;"",'13 - Config_Intake_View'!Q250,Deployments!AG238)</f>
        <v/>
      </c>
      <c r="J250" s="14">
        <f>IF('13 - Config_Intake_View'!Q250&lt;&gt;"","PM Approved",IF(Deployments!AG238&lt;&gt;"","Assumed",""))</f>
        <v/>
      </c>
      <c r="K250" s="21">
        <f>Deployments!AF238</f>
        <v/>
      </c>
      <c r="L250" s="14">
        <f>Deployments!U238</f>
        <v/>
      </c>
      <c r="M250" s="14">
        <f>Deployments!L238</f>
        <v/>
      </c>
      <c r="N250" s="14">
        <f>Deployments!CC238</f>
        <v/>
      </c>
      <c r="O250" s="21">
        <f>Deployments!CD238</f>
        <v/>
      </c>
      <c r="P250" s="2">
        <f>Deployments!BX238</f>
        <v/>
      </c>
      <c r="Q250" s="21">
        <f>IF(OR($A250="",$B250="",$D250=""),"MISSING CORE FIELDS","")</f>
        <v/>
      </c>
      <c r="R250" s="14">
        <f>IF(AND($I250&lt;&gt;"",$K250&lt;&gt;"Yes"),"SW NOT INSTALLED","")</f>
        <v/>
      </c>
      <c r="S250" s="14">
        <f>IF(AND($H250&lt;&gt;"",ISNUMBER(SEARCH("auto",LOWER($H250))),$F250=""),"AUTOLOGON REQUIRED","")</f>
        <v/>
      </c>
      <c r="T250" s="14">
        <f>IF($Q250&lt;&gt;"",$Q250,IF($S250&lt;&gt;"",$S250,IF($R250&lt;&gt;"",$R250,IF(OR($N250&lt;&gt;"",$O250="Blocked"),"BLOCKED","OK"))))</f>
        <v/>
      </c>
    </row>
    <row r="251">
      <c r="A251" s="21">
        <f>Deployments!H239</f>
        <v/>
      </c>
      <c r="B251" s="21">
        <f>Deployments!X239</f>
        <v/>
      </c>
      <c r="C251" s="21">
        <f>Deployments!Y239</f>
        <v/>
      </c>
      <c r="D251" s="14">
        <f>Deployments!AO239</f>
        <v/>
      </c>
      <c r="E251" s="14">
        <f>Deployments!N239</f>
        <v/>
      </c>
      <c r="F251" s="21">
        <f>Deployments!O239</f>
        <v/>
      </c>
      <c r="G251" s="14">
        <f>Deployments!P239</f>
        <v/>
      </c>
      <c r="H251" s="14">
        <f>'13 - Config_Intake_View'!M251</f>
        <v/>
      </c>
      <c r="I251" s="21">
        <f>IF('13 - Config_Intake_View'!Q251&lt;&gt;"",'13 - Config_Intake_View'!Q251,Deployments!AG239)</f>
        <v/>
      </c>
      <c r="J251" s="14">
        <f>IF('13 - Config_Intake_View'!Q251&lt;&gt;"","PM Approved",IF(Deployments!AG239&lt;&gt;"","Assumed",""))</f>
        <v/>
      </c>
      <c r="K251" s="21">
        <f>Deployments!AF239</f>
        <v/>
      </c>
      <c r="L251" s="14">
        <f>Deployments!U239</f>
        <v/>
      </c>
      <c r="M251" s="14">
        <f>Deployments!L239</f>
        <v/>
      </c>
      <c r="N251" s="14">
        <f>Deployments!CC239</f>
        <v/>
      </c>
      <c r="O251" s="21">
        <f>Deployments!CD239</f>
        <v/>
      </c>
      <c r="P251" s="2">
        <f>Deployments!BX239</f>
        <v/>
      </c>
      <c r="Q251" s="21">
        <f>IF(OR($A251="",$B251="",$D251=""),"MISSING CORE FIELDS","")</f>
        <v/>
      </c>
      <c r="R251" s="14">
        <f>IF(AND($I251&lt;&gt;"",$K251&lt;&gt;"Yes"),"SW NOT INSTALLED","")</f>
        <v/>
      </c>
      <c r="S251" s="14">
        <f>IF(AND($H251&lt;&gt;"",ISNUMBER(SEARCH("auto",LOWER($H251))),$F251=""),"AUTOLOGON REQUIRED","")</f>
        <v/>
      </c>
      <c r="T251" s="14">
        <f>IF($Q251&lt;&gt;"",$Q251,IF($S251&lt;&gt;"",$S251,IF($R251&lt;&gt;"",$R251,IF(OR($N251&lt;&gt;"",$O251="Blocked"),"BLOCKED","OK"))))</f>
        <v/>
      </c>
    </row>
    <row r="252">
      <c r="A252" s="21">
        <f>Deployments!H240</f>
        <v/>
      </c>
      <c r="B252" s="21">
        <f>Deployments!X240</f>
        <v/>
      </c>
      <c r="C252" s="21">
        <f>Deployments!Y240</f>
        <v/>
      </c>
      <c r="D252" s="14">
        <f>Deployments!AO240</f>
        <v/>
      </c>
      <c r="E252" s="14">
        <f>Deployments!N240</f>
        <v/>
      </c>
      <c r="F252" s="21">
        <f>Deployments!O240</f>
        <v/>
      </c>
      <c r="G252" s="14">
        <f>Deployments!P240</f>
        <v/>
      </c>
      <c r="H252" s="14">
        <f>'13 - Config_Intake_View'!M252</f>
        <v/>
      </c>
      <c r="I252" s="21">
        <f>IF('13 - Config_Intake_View'!Q252&lt;&gt;"",'13 - Config_Intake_View'!Q252,Deployments!AG240)</f>
        <v/>
      </c>
      <c r="J252" s="14">
        <f>IF('13 - Config_Intake_View'!Q252&lt;&gt;"","PM Approved",IF(Deployments!AG240&lt;&gt;"","Assumed",""))</f>
        <v/>
      </c>
      <c r="K252" s="21">
        <f>Deployments!AF240</f>
        <v/>
      </c>
      <c r="L252" s="14">
        <f>Deployments!U240</f>
        <v/>
      </c>
      <c r="M252" s="14">
        <f>Deployments!L240</f>
        <v/>
      </c>
      <c r="N252" s="14">
        <f>Deployments!CC240</f>
        <v/>
      </c>
      <c r="O252" s="21">
        <f>Deployments!CD240</f>
        <v/>
      </c>
      <c r="P252" s="2">
        <f>Deployments!BX240</f>
        <v/>
      </c>
      <c r="Q252" s="21">
        <f>IF(OR($A252="",$B252="",$D252=""),"MISSING CORE FIELDS","")</f>
        <v/>
      </c>
      <c r="R252" s="14">
        <f>IF(AND($I252&lt;&gt;"",$K252&lt;&gt;"Yes"),"SW NOT INSTALLED","")</f>
        <v/>
      </c>
      <c r="S252" s="14">
        <f>IF(AND($H252&lt;&gt;"",ISNUMBER(SEARCH("auto",LOWER($H252))),$F252=""),"AUTOLOGON REQUIRED","")</f>
        <v/>
      </c>
      <c r="T252" s="14">
        <f>IF($Q252&lt;&gt;"",$Q252,IF($S252&lt;&gt;"",$S252,IF($R252&lt;&gt;"",$R252,IF(OR($N252&lt;&gt;"",$O252="Blocked"),"BLOCKED","OK"))))</f>
        <v/>
      </c>
    </row>
    <row r="253">
      <c r="A253" s="21">
        <f>Deployments!H241</f>
        <v/>
      </c>
      <c r="B253" s="21">
        <f>Deployments!X241</f>
        <v/>
      </c>
      <c r="C253" s="21">
        <f>Deployments!Y241</f>
        <v/>
      </c>
      <c r="D253" s="14">
        <f>Deployments!AO241</f>
        <v/>
      </c>
      <c r="E253" s="14">
        <f>Deployments!N241</f>
        <v/>
      </c>
      <c r="F253" s="21">
        <f>Deployments!O241</f>
        <v/>
      </c>
      <c r="G253" s="14">
        <f>Deployments!P241</f>
        <v/>
      </c>
      <c r="H253" s="14">
        <f>'13 - Config_Intake_View'!M253</f>
        <v/>
      </c>
      <c r="I253" s="21">
        <f>IF('13 - Config_Intake_View'!Q253&lt;&gt;"",'13 - Config_Intake_View'!Q253,Deployments!AG241)</f>
        <v/>
      </c>
      <c r="J253" s="14">
        <f>IF('13 - Config_Intake_View'!Q253&lt;&gt;"","PM Approved",IF(Deployments!AG241&lt;&gt;"","Assumed",""))</f>
        <v/>
      </c>
      <c r="K253" s="21">
        <f>Deployments!AF241</f>
        <v/>
      </c>
      <c r="L253" s="14">
        <f>Deployments!U241</f>
        <v/>
      </c>
      <c r="M253" s="14">
        <f>Deployments!L241</f>
        <v/>
      </c>
      <c r="N253" s="14">
        <f>Deployments!CC241</f>
        <v/>
      </c>
      <c r="O253" s="21">
        <f>Deployments!CD241</f>
        <v/>
      </c>
      <c r="P253" s="2">
        <f>Deployments!BX241</f>
        <v/>
      </c>
      <c r="Q253" s="21">
        <f>IF(OR($A253="",$B253="",$D253=""),"MISSING CORE FIELDS","")</f>
        <v/>
      </c>
      <c r="R253" s="14">
        <f>IF(AND($I253&lt;&gt;"",$K253&lt;&gt;"Yes"),"SW NOT INSTALLED","")</f>
        <v/>
      </c>
      <c r="S253" s="14">
        <f>IF(AND($H253&lt;&gt;"",ISNUMBER(SEARCH("auto",LOWER($H253))),$F253=""),"AUTOLOGON REQUIRED","")</f>
        <v/>
      </c>
      <c r="T253" s="14">
        <f>IF($Q253&lt;&gt;"",$Q253,IF($S253&lt;&gt;"",$S253,IF($R253&lt;&gt;"",$R253,IF(OR($N253&lt;&gt;"",$O253="Blocked"),"BLOCKED","OK"))))</f>
        <v/>
      </c>
    </row>
    <row r="254">
      <c r="A254" s="21">
        <f>Deployments!H242</f>
        <v/>
      </c>
      <c r="B254" s="21">
        <f>Deployments!X242</f>
        <v/>
      </c>
      <c r="C254" s="21">
        <f>Deployments!Y242</f>
        <v/>
      </c>
      <c r="D254" s="14">
        <f>Deployments!AO242</f>
        <v/>
      </c>
      <c r="E254" s="14">
        <f>Deployments!N242</f>
        <v/>
      </c>
      <c r="F254" s="21">
        <f>Deployments!O242</f>
        <v/>
      </c>
      <c r="G254" s="14">
        <f>Deployments!P242</f>
        <v/>
      </c>
      <c r="H254" s="14">
        <f>'13 - Config_Intake_View'!M254</f>
        <v/>
      </c>
      <c r="I254" s="21">
        <f>IF('13 - Config_Intake_View'!Q254&lt;&gt;"",'13 - Config_Intake_View'!Q254,Deployments!AG242)</f>
        <v/>
      </c>
      <c r="J254" s="14">
        <f>IF('13 - Config_Intake_View'!Q254&lt;&gt;"","PM Approved",IF(Deployments!AG242&lt;&gt;"","Assumed",""))</f>
        <v/>
      </c>
      <c r="K254" s="21">
        <f>Deployments!AF242</f>
        <v/>
      </c>
      <c r="L254" s="14">
        <f>Deployments!U242</f>
        <v/>
      </c>
      <c r="M254" s="14">
        <f>Deployments!L242</f>
        <v/>
      </c>
      <c r="N254" s="14">
        <f>Deployments!CC242</f>
        <v/>
      </c>
      <c r="O254" s="21">
        <f>Deployments!CD242</f>
        <v/>
      </c>
      <c r="P254" s="2">
        <f>Deployments!BX242</f>
        <v/>
      </c>
      <c r="Q254" s="21">
        <f>IF(OR($A254="",$B254="",$D254=""),"MISSING CORE FIELDS","")</f>
        <v/>
      </c>
      <c r="R254" s="14">
        <f>IF(AND($I254&lt;&gt;"",$K254&lt;&gt;"Yes"),"SW NOT INSTALLED","")</f>
        <v/>
      </c>
      <c r="S254" s="14">
        <f>IF(AND($H254&lt;&gt;"",ISNUMBER(SEARCH("auto",LOWER($H254))),$F254=""),"AUTOLOGON REQUIRED","")</f>
        <v/>
      </c>
      <c r="T254" s="14">
        <f>IF($Q254&lt;&gt;"",$Q254,IF($S254&lt;&gt;"",$S254,IF($R254&lt;&gt;"",$R254,IF(OR($N254&lt;&gt;"",$O254="Blocked"),"BLOCKED","OK"))))</f>
        <v/>
      </c>
    </row>
    <row r="255">
      <c r="A255" s="21">
        <f>Deployments!H243</f>
        <v/>
      </c>
      <c r="B255" s="21">
        <f>Deployments!X243</f>
        <v/>
      </c>
      <c r="C255" s="21">
        <f>Deployments!Y243</f>
        <v/>
      </c>
      <c r="D255" s="14">
        <f>Deployments!AO243</f>
        <v/>
      </c>
      <c r="E255" s="14">
        <f>Deployments!N243</f>
        <v/>
      </c>
      <c r="F255" s="21">
        <f>Deployments!O243</f>
        <v/>
      </c>
      <c r="G255" s="14">
        <f>Deployments!P243</f>
        <v/>
      </c>
      <c r="H255" s="14">
        <f>'13 - Config_Intake_View'!M255</f>
        <v/>
      </c>
      <c r="I255" s="21">
        <f>IF('13 - Config_Intake_View'!Q255&lt;&gt;"",'13 - Config_Intake_View'!Q255,Deployments!AG243)</f>
        <v/>
      </c>
      <c r="J255" s="14">
        <f>IF('13 - Config_Intake_View'!Q255&lt;&gt;"","PM Approved",IF(Deployments!AG243&lt;&gt;"","Assumed",""))</f>
        <v/>
      </c>
      <c r="K255" s="21">
        <f>Deployments!AF243</f>
        <v/>
      </c>
      <c r="L255" s="14">
        <f>Deployments!U243</f>
        <v/>
      </c>
      <c r="M255" s="14">
        <f>Deployments!L243</f>
        <v/>
      </c>
      <c r="N255" s="14">
        <f>Deployments!CC243</f>
        <v/>
      </c>
      <c r="O255" s="21">
        <f>Deployments!CD243</f>
        <v/>
      </c>
      <c r="P255" s="2">
        <f>Deployments!BX243</f>
        <v/>
      </c>
      <c r="Q255" s="21">
        <f>IF(OR($A255="",$B255="",$D255=""),"MISSING CORE FIELDS","")</f>
        <v/>
      </c>
      <c r="R255" s="14">
        <f>IF(AND($I255&lt;&gt;"",$K255&lt;&gt;"Yes"),"SW NOT INSTALLED","")</f>
        <v/>
      </c>
      <c r="S255" s="14">
        <f>IF(AND($H255&lt;&gt;"",ISNUMBER(SEARCH("auto",LOWER($H255))),$F255=""),"AUTOLOGON REQUIRED","")</f>
        <v/>
      </c>
      <c r="T255" s="14">
        <f>IF($Q255&lt;&gt;"",$Q255,IF($S255&lt;&gt;"",$S255,IF($R255&lt;&gt;"",$R255,IF(OR($N255&lt;&gt;"",$O255="Blocked"),"BLOCKED","OK"))))</f>
        <v/>
      </c>
    </row>
    <row r="256">
      <c r="A256" s="21">
        <f>Deployments!H244</f>
        <v/>
      </c>
      <c r="B256" s="21">
        <f>Deployments!X244</f>
        <v/>
      </c>
      <c r="C256" s="21">
        <f>Deployments!Y244</f>
        <v/>
      </c>
      <c r="D256" s="14">
        <f>Deployments!AO244</f>
        <v/>
      </c>
      <c r="E256" s="14">
        <f>Deployments!N244</f>
        <v/>
      </c>
      <c r="F256" s="21">
        <f>Deployments!O244</f>
        <v/>
      </c>
      <c r="G256" s="14">
        <f>Deployments!P244</f>
        <v/>
      </c>
      <c r="H256" s="14">
        <f>'13 - Config_Intake_View'!M256</f>
        <v/>
      </c>
      <c r="I256" s="21">
        <f>IF('13 - Config_Intake_View'!Q256&lt;&gt;"",'13 - Config_Intake_View'!Q256,Deployments!AG244)</f>
        <v/>
      </c>
      <c r="J256" s="14">
        <f>IF('13 - Config_Intake_View'!Q256&lt;&gt;"","PM Approved",IF(Deployments!AG244&lt;&gt;"","Assumed",""))</f>
        <v/>
      </c>
      <c r="K256" s="21">
        <f>Deployments!AF244</f>
        <v/>
      </c>
      <c r="L256" s="14">
        <f>Deployments!U244</f>
        <v/>
      </c>
      <c r="M256" s="14">
        <f>Deployments!L244</f>
        <v/>
      </c>
      <c r="N256" s="14">
        <f>Deployments!CC244</f>
        <v/>
      </c>
      <c r="O256" s="21">
        <f>Deployments!CD244</f>
        <v/>
      </c>
      <c r="P256" s="2">
        <f>Deployments!BX244</f>
        <v/>
      </c>
      <c r="Q256" s="21">
        <f>IF(OR($A256="",$B256="",$D256=""),"MISSING CORE FIELDS","")</f>
        <v/>
      </c>
      <c r="R256" s="14">
        <f>IF(AND($I256&lt;&gt;"",$K256&lt;&gt;"Yes"),"SW NOT INSTALLED","")</f>
        <v/>
      </c>
      <c r="S256" s="14">
        <f>IF(AND($H256&lt;&gt;"",ISNUMBER(SEARCH("auto",LOWER($H256))),$F256=""),"AUTOLOGON REQUIRED","")</f>
        <v/>
      </c>
      <c r="T256" s="14">
        <f>IF($Q256&lt;&gt;"",$Q256,IF($S256&lt;&gt;"",$S256,IF($R256&lt;&gt;"",$R256,IF(OR($N256&lt;&gt;"",$O256="Blocked"),"BLOCKED","OK"))))</f>
        <v/>
      </c>
    </row>
    <row r="257">
      <c r="A257" s="21">
        <f>Deployments!H245</f>
        <v/>
      </c>
      <c r="B257" s="21">
        <f>Deployments!X245</f>
        <v/>
      </c>
      <c r="C257" s="21">
        <f>Deployments!Y245</f>
        <v/>
      </c>
      <c r="D257" s="14">
        <f>Deployments!AO245</f>
        <v/>
      </c>
      <c r="E257" s="14">
        <f>Deployments!N245</f>
        <v/>
      </c>
      <c r="F257" s="21">
        <f>Deployments!O245</f>
        <v/>
      </c>
      <c r="G257" s="14">
        <f>Deployments!P245</f>
        <v/>
      </c>
      <c r="H257" s="14">
        <f>'13 - Config_Intake_View'!M257</f>
        <v/>
      </c>
      <c r="I257" s="21">
        <f>IF('13 - Config_Intake_View'!Q257&lt;&gt;"",'13 - Config_Intake_View'!Q257,Deployments!AG245)</f>
        <v/>
      </c>
      <c r="J257" s="14">
        <f>IF('13 - Config_Intake_View'!Q257&lt;&gt;"","PM Approved",IF(Deployments!AG245&lt;&gt;"","Assumed",""))</f>
        <v/>
      </c>
      <c r="K257" s="21">
        <f>Deployments!AF245</f>
        <v/>
      </c>
      <c r="L257" s="14">
        <f>Deployments!U245</f>
        <v/>
      </c>
      <c r="M257" s="14">
        <f>Deployments!L245</f>
        <v/>
      </c>
      <c r="N257" s="14">
        <f>Deployments!CC245</f>
        <v/>
      </c>
      <c r="O257" s="21">
        <f>Deployments!CD245</f>
        <v/>
      </c>
      <c r="P257" s="2">
        <f>Deployments!BX245</f>
        <v/>
      </c>
      <c r="Q257" s="21">
        <f>IF(OR($A257="",$B257="",$D257=""),"MISSING CORE FIELDS","")</f>
        <v/>
      </c>
      <c r="R257" s="14">
        <f>IF(AND($I257&lt;&gt;"",$K257&lt;&gt;"Yes"),"SW NOT INSTALLED","")</f>
        <v/>
      </c>
      <c r="S257" s="14">
        <f>IF(AND($H257&lt;&gt;"",ISNUMBER(SEARCH("auto",LOWER($H257))),$F257=""),"AUTOLOGON REQUIRED","")</f>
        <v/>
      </c>
      <c r="T257" s="14">
        <f>IF($Q257&lt;&gt;"",$Q257,IF($S257&lt;&gt;"",$S257,IF($R257&lt;&gt;"",$R257,IF(OR($N257&lt;&gt;"",$O257="Blocked"),"BLOCKED","OK"))))</f>
        <v/>
      </c>
    </row>
    <row r="258">
      <c r="A258" s="21">
        <f>Deployments!H246</f>
        <v/>
      </c>
      <c r="B258" s="21">
        <f>Deployments!X246</f>
        <v/>
      </c>
      <c r="C258" s="21">
        <f>Deployments!Y246</f>
        <v/>
      </c>
      <c r="D258" s="14">
        <f>Deployments!AO246</f>
        <v/>
      </c>
      <c r="E258" s="14">
        <f>Deployments!N246</f>
        <v/>
      </c>
      <c r="F258" s="21">
        <f>Deployments!O246</f>
        <v/>
      </c>
      <c r="G258" s="14">
        <f>Deployments!P246</f>
        <v/>
      </c>
      <c r="H258" s="14">
        <f>'13 - Config_Intake_View'!M258</f>
        <v/>
      </c>
      <c r="I258" s="21">
        <f>IF('13 - Config_Intake_View'!Q258&lt;&gt;"",'13 - Config_Intake_View'!Q258,Deployments!AG246)</f>
        <v/>
      </c>
      <c r="J258" s="14">
        <f>IF('13 - Config_Intake_View'!Q258&lt;&gt;"","PM Approved",IF(Deployments!AG246&lt;&gt;"","Assumed",""))</f>
        <v/>
      </c>
      <c r="K258" s="21">
        <f>Deployments!AF246</f>
        <v/>
      </c>
      <c r="L258" s="14">
        <f>Deployments!U246</f>
        <v/>
      </c>
      <c r="M258" s="14">
        <f>Deployments!L246</f>
        <v/>
      </c>
      <c r="N258" s="14">
        <f>Deployments!CC246</f>
        <v/>
      </c>
      <c r="O258" s="21">
        <f>Deployments!CD246</f>
        <v/>
      </c>
      <c r="P258" s="2">
        <f>Deployments!BX246</f>
        <v/>
      </c>
      <c r="Q258" s="21">
        <f>IF(OR($A258="",$B258="",$D258=""),"MISSING CORE FIELDS","")</f>
        <v/>
      </c>
      <c r="R258" s="14">
        <f>IF(AND($I258&lt;&gt;"",$K258&lt;&gt;"Yes"),"SW NOT INSTALLED","")</f>
        <v/>
      </c>
      <c r="S258" s="14">
        <f>IF(AND($H258&lt;&gt;"",ISNUMBER(SEARCH("auto",LOWER($H258))),$F258=""),"AUTOLOGON REQUIRED","")</f>
        <v/>
      </c>
      <c r="T258" s="14">
        <f>IF($Q258&lt;&gt;"",$Q258,IF($S258&lt;&gt;"",$S258,IF($R258&lt;&gt;"",$R258,IF(OR($N258&lt;&gt;"",$O258="Blocked"),"BLOCKED","OK"))))</f>
        <v/>
      </c>
    </row>
    <row r="259">
      <c r="A259" s="21">
        <f>Deployments!H247</f>
        <v/>
      </c>
      <c r="B259" s="21">
        <f>Deployments!X247</f>
        <v/>
      </c>
      <c r="C259" s="21">
        <f>Deployments!Y247</f>
        <v/>
      </c>
      <c r="D259" s="14">
        <f>Deployments!AO247</f>
        <v/>
      </c>
      <c r="E259" s="14">
        <f>Deployments!N247</f>
        <v/>
      </c>
      <c r="F259" s="21">
        <f>Deployments!O247</f>
        <v/>
      </c>
      <c r="G259" s="14">
        <f>Deployments!P247</f>
        <v/>
      </c>
      <c r="H259" s="14">
        <f>'13 - Config_Intake_View'!M259</f>
        <v/>
      </c>
      <c r="I259" s="21">
        <f>IF('13 - Config_Intake_View'!Q259&lt;&gt;"",'13 - Config_Intake_View'!Q259,Deployments!AG247)</f>
        <v/>
      </c>
      <c r="J259" s="14">
        <f>IF('13 - Config_Intake_View'!Q259&lt;&gt;"","PM Approved",IF(Deployments!AG247&lt;&gt;"","Assumed",""))</f>
        <v/>
      </c>
      <c r="K259" s="21">
        <f>Deployments!AF247</f>
        <v/>
      </c>
      <c r="L259" s="14">
        <f>Deployments!U247</f>
        <v/>
      </c>
      <c r="M259" s="14">
        <f>Deployments!L247</f>
        <v/>
      </c>
      <c r="N259" s="14">
        <f>Deployments!CC247</f>
        <v/>
      </c>
      <c r="O259" s="21">
        <f>Deployments!CD247</f>
        <v/>
      </c>
      <c r="P259" s="2">
        <f>Deployments!BX247</f>
        <v/>
      </c>
      <c r="Q259" s="21">
        <f>IF(OR($A259="",$B259="",$D259=""),"MISSING CORE FIELDS","")</f>
        <v/>
      </c>
      <c r="R259" s="14">
        <f>IF(AND($I259&lt;&gt;"",$K259&lt;&gt;"Yes"),"SW NOT INSTALLED","")</f>
        <v/>
      </c>
      <c r="S259" s="14">
        <f>IF(AND($H259&lt;&gt;"",ISNUMBER(SEARCH("auto",LOWER($H259))),$F259=""),"AUTOLOGON REQUIRED","")</f>
        <v/>
      </c>
      <c r="T259" s="14">
        <f>IF($Q259&lt;&gt;"",$Q259,IF($S259&lt;&gt;"",$S259,IF($R259&lt;&gt;"",$R259,IF(OR($N259&lt;&gt;"",$O259="Blocked"),"BLOCKED","OK"))))</f>
        <v/>
      </c>
    </row>
    <row r="260">
      <c r="A260" s="21">
        <f>Deployments!H248</f>
        <v/>
      </c>
      <c r="B260" s="21">
        <f>Deployments!X248</f>
        <v/>
      </c>
      <c r="C260" s="21">
        <f>Deployments!Y248</f>
        <v/>
      </c>
      <c r="D260" s="14">
        <f>Deployments!AO248</f>
        <v/>
      </c>
      <c r="E260" s="14">
        <f>Deployments!N248</f>
        <v/>
      </c>
      <c r="F260" s="21">
        <f>Deployments!O248</f>
        <v/>
      </c>
      <c r="G260" s="14">
        <f>Deployments!P248</f>
        <v/>
      </c>
      <c r="H260" s="14">
        <f>'13 - Config_Intake_View'!M260</f>
        <v/>
      </c>
      <c r="I260" s="21">
        <f>IF('13 - Config_Intake_View'!Q260&lt;&gt;"",'13 - Config_Intake_View'!Q260,Deployments!AG248)</f>
        <v/>
      </c>
      <c r="J260" s="14">
        <f>IF('13 - Config_Intake_View'!Q260&lt;&gt;"","PM Approved",IF(Deployments!AG248&lt;&gt;"","Assumed",""))</f>
        <v/>
      </c>
      <c r="K260" s="21">
        <f>Deployments!AF248</f>
        <v/>
      </c>
      <c r="L260" s="14">
        <f>Deployments!U248</f>
        <v/>
      </c>
      <c r="M260" s="14">
        <f>Deployments!L248</f>
        <v/>
      </c>
      <c r="N260" s="14">
        <f>Deployments!CC248</f>
        <v/>
      </c>
      <c r="O260" s="21">
        <f>Deployments!CD248</f>
        <v/>
      </c>
      <c r="P260" s="2">
        <f>Deployments!BX248</f>
        <v/>
      </c>
      <c r="Q260" s="21">
        <f>IF(OR($A260="",$B260="",$D260=""),"MISSING CORE FIELDS","")</f>
        <v/>
      </c>
      <c r="R260" s="14">
        <f>IF(AND($I260&lt;&gt;"",$K260&lt;&gt;"Yes"),"SW NOT INSTALLED","")</f>
        <v/>
      </c>
      <c r="S260" s="14">
        <f>IF(AND($H260&lt;&gt;"",ISNUMBER(SEARCH("auto",LOWER($H260))),$F260=""),"AUTOLOGON REQUIRED","")</f>
        <v/>
      </c>
      <c r="T260" s="14">
        <f>IF($Q260&lt;&gt;"",$Q260,IF($S260&lt;&gt;"",$S260,IF($R260&lt;&gt;"",$R260,IF(OR($N260&lt;&gt;"",$O260="Blocked"),"BLOCKED","OK"))))</f>
        <v/>
      </c>
    </row>
    <row r="261">
      <c r="A261" s="21">
        <f>Deployments!H249</f>
        <v/>
      </c>
      <c r="B261" s="21">
        <f>Deployments!X249</f>
        <v/>
      </c>
      <c r="C261" s="21">
        <f>Deployments!Y249</f>
        <v/>
      </c>
      <c r="D261" s="14">
        <f>Deployments!AO249</f>
        <v/>
      </c>
      <c r="E261" s="14">
        <f>Deployments!N249</f>
        <v/>
      </c>
      <c r="F261" s="21">
        <f>Deployments!O249</f>
        <v/>
      </c>
      <c r="G261" s="14">
        <f>Deployments!P249</f>
        <v/>
      </c>
      <c r="H261" s="14">
        <f>'13 - Config_Intake_View'!M261</f>
        <v/>
      </c>
      <c r="I261" s="21">
        <f>IF('13 - Config_Intake_View'!Q261&lt;&gt;"",'13 - Config_Intake_View'!Q261,Deployments!AG249)</f>
        <v/>
      </c>
      <c r="J261" s="14">
        <f>IF('13 - Config_Intake_View'!Q261&lt;&gt;"","PM Approved",IF(Deployments!AG249&lt;&gt;"","Assumed",""))</f>
        <v/>
      </c>
      <c r="K261" s="21">
        <f>Deployments!AF249</f>
        <v/>
      </c>
      <c r="L261" s="14">
        <f>Deployments!U249</f>
        <v/>
      </c>
      <c r="M261" s="14">
        <f>Deployments!L249</f>
        <v/>
      </c>
      <c r="N261" s="14">
        <f>Deployments!CC249</f>
        <v/>
      </c>
      <c r="O261" s="21">
        <f>Deployments!CD249</f>
        <v/>
      </c>
      <c r="P261" s="2">
        <f>Deployments!BX249</f>
        <v/>
      </c>
      <c r="Q261" s="21">
        <f>IF(OR($A261="",$B261="",$D261=""),"MISSING CORE FIELDS","")</f>
        <v/>
      </c>
      <c r="R261" s="14">
        <f>IF(AND($I261&lt;&gt;"",$K261&lt;&gt;"Yes"),"SW NOT INSTALLED","")</f>
        <v/>
      </c>
      <c r="S261" s="14">
        <f>IF(AND($H261&lt;&gt;"",ISNUMBER(SEARCH("auto",LOWER($H261))),$F261=""),"AUTOLOGON REQUIRED","")</f>
        <v/>
      </c>
      <c r="T261" s="14">
        <f>IF($Q261&lt;&gt;"",$Q261,IF($S261&lt;&gt;"",$S261,IF($R261&lt;&gt;"",$R261,IF(OR($N261&lt;&gt;"",$O261="Blocked"),"BLOCKED","OK"))))</f>
        <v/>
      </c>
    </row>
    <row r="262">
      <c r="A262" s="21">
        <f>Deployments!H250</f>
        <v/>
      </c>
      <c r="B262" s="21">
        <f>Deployments!X250</f>
        <v/>
      </c>
      <c r="C262" s="21">
        <f>Deployments!Y250</f>
        <v/>
      </c>
      <c r="D262" s="14">
        <f>Deployments!AO250</f>
        <v/>
      </c>
      <c r="E262" s="14">
        <f>Deployments!N250</f>
        <v/>
      </c>
      <c r="F262" s="21">
        <f>Deployments!O250</f>
        <v/>
      </c>
      <c r="G262" s="14">
        <f>Deployments!P250</f>
        <v/>
      </c>
      <c r="H262" s="14">
        <f>'13 - Config_Intake_View'!M262</f>
        <v/>
      </c>
      <c r="I262" s="21">
        <f>IF('13 - Config_Intake_View'!Q262&lt;&gt;"",'13 - Config_Intake_View'!Q262,Deployments!AG250)</f>
        <v/>
      </c>
      <c r="J262" s="14">
        <f>IF('13 - Config_Intake_View'!Q262&lt;&gt;"","PM Approved",IF(Deployments!AG250&lt;&gt;"","Assumed",""))</f>
        <v/>
      </c>
      <c r="K262" s="21">
        <f>Deployments!AF250</f>
        <v/>
      </c>
      <c r="L262" s="14">
        <f>Deployments!U250</f>
        <v/>
      </c>
      <c r="M262" s="14">
        <f>Deployments!L250</f>
        <v/>
      </c>
      <c r="N262" s="14">
        <f>Deployments!CC250</f>
        <v/>
      </c>
      <c r="O262" s="21">
        <f>Deployments!CD250</f>
        <v/>
      </c>
      <c r="P262" s="2">
        <f>Deployments!BX250</f>
        <v/>
      </c>
      <c r="Q262" s="21">
        <f>IF(OR($A262="",$B262="",$D262=""),"MISSING CORE FIELDS","")</f>
        <v/>
      </c>
      <c r="R262" s="14">
        <f>IF(AND($I262&lt;&gt;"",$K262&lt;&gt;"Yes"),"SW NOT INSTALLED","")</f>
        <v/>
      </c>
      <c r="S262" s="14">
        <f>IF(AND($H262&lt;&gt;"",ISNUMBER(SEARCH("auto",LOWER($H262))),$F262=""),"AUTOLOGON REQUIRED","")</f>
        <v/>
      </c>
      <c r="T262" s="14">
        <f>IF($Q262&lt;&gt;"",$Q262,IF($S262&lt;&gt;"",$S262,IF($R262&lt;&gt;"",$R262,IF(OR($N262&lt;&gt;"",$O262="Blocked"),"BLOCKED","OK"))))</f>
        <v/>
      </c>
    </row>
    <row r="263">
      <c r="A263" s="21">
        <f>Deployments!H251</f>
        <v/>
      </c>
      <c r="B263" s="21">
        <f>Deployments!X251</f>
        <v/>
      </c>
      <c r="C263" s="21">
        <f>Deployments!Y251</f>
        <v/>
      </c>
      <c r="D263" s="14">
        <f>Deployments!AO251</f>
        <v/>
      </c>
      <c r="E263" s="14">
        <f>Deployments!N251</f>
        <v/>
      </c>
      <c r="F263" s="21">
        <f>Deployments!O251</f>
        <v/>
      </c>
      <c r="G263" s="14">
        <f>Deployments!P251</f>
        <v/>
      </c>
      <c r="H263" s="14">
        <f>'13 - Config_Intake_View'!M263</f>
        <v/>
      </c>
      <c r="I263" s="21">
        <f>IF('13 - Config_Intake_View'!Q263&lt;&gt;"",'13 - Config_Intake_View'!Q263,Deployments!AG251)</f>
        <v/>
      </c>
      <c r="J263" s="14">
        <f>IF('13 - Config_Intake_View'!Q263&lt;&gt;"","PM Approved",IF(Deployments!AG251&lt;&gt;"","Assumed",""))</f>
        <v/>
      </c>
      <c r="K263" s="21">
        <f>Deployments!AF251</f>
        <v/>
      </c>
      <c r="L263" s="14">
        <f>Deployments!U251</f>
        <v/>
      </c>
      <c r="M263" s="14">
        <f>Deployments!L251</f>
        <v/>
      </c>
      <c r="N263" s="14">
        <f>Deployments!CC251</f>
        <v/>
      </c>
      <c r="O263" s="21">
        <f>Deployments!CD251</f>
        <v/>
      </c>
      <c r="P263" s="2">
        <f>Deployments!BX251</f>
        <v/>
      </c>
      <c r="Q263" s="21">
        <f>IF(OR($A263="",$B263="",$D263=""),"MISSING CORE FIELDS","")</f>
        <v/>
      </c>
      <c r="R263" s="14">
        <f>IF(AND($I263&lt;&gt;"",$K263&lt;&gt;"Yes"),"SW NOT INSTALLED","")</f>
        <v/>
      </c>
      <c r="S263" s="14">
        <f>IF(AND($H263&lt;&gt;"",ISNUMBER(SEARCH("auto",LOWER($H263))),$F263=""),"AUTOLOGON REQUIRED","")</f>
        <v/>
      </c>
      <c r="T263" s="14">
        <f>IF($Q263&lt;&gt;"",$Q263,IF($S263&lt;&gt;"",$S263,IF($R263&lt;&gt;"",$R263,IF(OR($N263&lt;&gt;"",$O263="Blocked"),"BLOCKED","OK"))))</f>
        <v/>
      </c>
    </row>
    <row r="264">
      <c r="A264" s="21">
        <f>Deployments!H252</f>
        <v/>
      </c>
      <c r="B264" s="21">
        <f>Deployments!X252</f>
        <v/>
      </c>
      <c r="C264" s="21">
        <f>Deployments!Y252</f>
        <v/>
      </c>
      <c r="D264" s="14">
        <f>Deployments!AO252</f>
        <v/>
      </c>
      <c r="E264" s="14">
        <f>Deployments!N252</f>
        <v/>
      </c>
      <c r="F264" s="21">
        <f>Deployments!O252</f>
        <v/>
      </c>
      <c r="G264" s="14">
        <f>Deployments!P252</f>
        <v/>
      </c>
      <c r="H264" s="14">
        <f>'13 - Config_Intake_View'!M264</f>
        <v/>
      </c>
      <c r="I264" s="21">
        <f>IF('13 - Config_Intake_View'!Q264&lt;&gt;"",'13 - Config_Intake_View'!Q264,Deployments!AG252)</f>
        <v/>
      </c>
      <c r="J264" s="14">
        <f>IF('13 - Config_Intake_View'!Q264&lt;&gt;"","PM Approved",IF(Deployments!AG252&lt;&gt;"","Assumed",""))</f>
        <v/>
      </c>
      <c r="K264" s="21">
        <f>Deployments!AF252</f>
        <v/>
      </c>
      <c r="L264" s="14">
        <f>Deployments!U252</f>
        <v/>
      </c>
      <c r="M264" s="14">
        <f>Deployments!L252</f>
        <v/>
      </c>
      <c r="N264" s="14">
        <f>Deployments!CC252</f>
        <v/>
      </c>
      <c r="O264" s="21">
        <f>Deployments!CD252</f>
        <v/>
      </c>
      <c r="P264" s="2">
        <f>Deployments!BX252</f>
        <v/>
      </c>
      <c r="Q264" s="21">
        <f>IF(OR($A264="",$B264="",$D264=""),"MISSING CORE FIELDS","")</f>
        <v/>
      </c>
      <c r="R264" s="14">
        <f>IF(AND($I264&lt;&gt;"",$K264&lt;&gt;"Yes"),"SW NOT INSTALLED","")</f>
        <v/>
      </c>
      <c r="S264" s="14">
        <f>IF(AND($H264&lt;&gt;"",ISNUMBER(SEARCH("auto",LOWER($H264))),$F264=""),"AUTOLOGON REQUIRED","")</f>
        <v/>
      </c>
      <c r="T264" s="14">
        <f>IF($Q264&lt;&gt;"",$Q264,IF($S264&lt;&gt;"",$S264,IF($R264&lt;&gt;"",$R264,IF(OR($N264&lt;&gt;"",$O264="Blocked"),"BLOCKED","OK"))))</f>
        <v/>
      </c>
    </row>
    <row r="265">
      <c r="A265" s="21">
        <f>Deployments!H253</f>
        <v/>
      </c>
      <c r="B265" s="21">
        <f>Deployments!X253</f>
        <v/>
      </c>
      <c r="C265" s="21">
        <f>Deployments!Y253</f>
        <v/>
      </c>
      <c r="D265" s="14">
        <f>Deployments!AO253</f>
        <v/>
      </c>
      <c r="E265" s="14">
        <f>Deployments!N253</f>
        <v/>
      </c>
      <c r="F265" s="21">
        <f>Deployments!O253</f>
        <v/>
      </c>
      <c r="G265" s="14">
        <f>Deployments!P253</f>
        <v/>
      </c>
      <c r="H265" s="14">
        <f>'13 - Config_Intake_View'!M265</f>
        <v/>
      </c>
      <c r="I265" s="21">
        <f>IF('13 - Config_Intake_View'!Q265&lt;&gt;"",'13 - Config_Intake_View'!Q265,Deployments!AG253)</f>
        <v/>
      </c>
      <c r="J265" s="14">
        <f>IF('13 - Config_Intake_View'!Q265&lt;&gt;"","PM Approved",IF(Deployments!AG253&lt;&gt;"","Assumed",""))</f>
        <v/>
      </c>
      <c r="K265" s="21">
        <f>Deployments!AF253</f>
        <v/>
      </c>
      <c r="L265" s="14">
        <f>Deployments!U253</f>
        <v/>
      </c>
      <c r="M265" s="14">
        <f>Deployments!L253</f>
        <v/>
      </c>
      <c r="N265" s="14">
        <f>Deployments!CC253</f>
        <v/>
      </c>
      <c r="O265" s="21">
        <f>Deployments!CD253</f>
        <v/>
      </c>
      <c r="P265" s="2">
        <f>Deployments!BX253</f>
        <v/>
      </c>
      <c r="Q265" s="21">
        <f>IF(OR($A265="",$B265="",$D265=""),"MISSING CORE FIELDS","")</f>
        <v/>
      </c>
      <c r="R265" s="14">
        <f>IF(AND($I265&lt;&gt;"",$K265&lt;&gt;"Yes"),"SW NOT INSTALLED","")</f>
        <v/>
      </c>
      <c r="S265" s="14">
        <f>IF(AND($H265&lt;&gt;"",ISNUMBER(SEARCH("auto",LOWER($H265))),$F265=""),"AUTOLOGON REQUIRED","")</f>
        <v/>
      </c>
      <c r="T265" s="14">
        <f>IF($Q265&lt;&gt;"",$Q265,IF($S265&lt;&gt;"",$S265,IF($R265&lt;&gt;"",$R265,IF(OR($N265&lt;&gt;"",$O265="Blocked"),"BLOCKED","OK"))))</f>
        <v/>
      </c>
    </row>
    <row r="266">
      <c r="A266" s="21">
        <f>Deployments!H254</f>
        <v/>
      </c>
      <c r="B266" s="21">
        <f>Deployments!X254</f>
        <v/>
      </c>
      <c r="C266" s="21">
        <f>Deployments!Y254</f>
        <v/>
      </c>
      <c r="D266" s="14">
        <f>Deployments!AO254</f>
        <v/>
      </c>
      <c r="E266" s="14">
        <f>Deployments!N254</f>
        <v/>
      </c>
      <c r="F266" s="21">
        <f>Deployments!O254</f>
        <v/>
      </c>
      <c r="G266" s="14">
        <f>Deployments!P254</f>
        <v/>
      </c>
      <c r="H266" s="14">
        <f>'13 - Config_Intake_View'!M266</f>
        <v/>
      </c>
      <c r="I266" s="21">
        <f>IF('13 - Config_Intake_View'!Q266&lt;&gt;"",'13 - Config_Intake_View'!Q266,Deployments!AG254)</f>
        <v/>
      </c>
      <c r="J266" s="14">
        <f>IF('13 - Config_Intake_View'!Q266&lt;&gt;"","PM Approved",IF(Deployments!AG254&lt;&gt;"","Assumed",""))</f>
        <v/>
      </c>
      <c r="K266" s="21">
        <f>Deployments!AF254</f>
        <v/>
      </c>
      <c r="L266" s="14">
        <f>Deployments!U254</f>
        <v/>
      </c>
      <c r="M266" s="14">
        <f>Deployments!L254</f>
        <v/>
      </c>
      <c r="N266" s="14">
        <f>Deployments!CC254</f>
        <v/>
      </c>
      <c r="O266" s="21">
        <f>Deployments!CD254</f>
        <v/>
      </c>
      <c r="P266" s="2">
        <f>Deployments!BX254</f>
        <v/>
      </c>
      <c r="Q266" s="21">
        <f>IF(OR($A266="",$B266="",$D266=""),"MISSING CORE FIELDS","")</f>
        <v/>
      </c>
      <c r="R266" s="14">
        <f>IF(AND($I266&lt;&gt;"",$K266&lt;&gt;"Yes"),"SW NOT INSTALLED","")</f>
        <v/>
      </c>
      <c r="S266" s="14">
        <f>IF(AND($H266&lt;&gt;"",ISNUMBER(SEARCH("auto",LOWER($H266))),$F266=""),"AUTOLOGON REQUIRED","")</f>
        <v/>
      </c>
      <c r="T266" s="14">
        <f>IF($Q266&lt;&gt;"",$Q266,IF($S266&lt;&gt;"",$S266,IF($R266&lt;&gt;"",$R266,IF(OR($N266&lt;&gt;"",$O266="Blocked"),"BLOCKED","OK"))))</f>
        <v/>
      </c>
    </row>
    <row r="267">
      <c r="A267" s="21">
        <f>Deployments!H255</f>
        <v/>
      </c>
      <c r="B267" s="21">
        <f>Deployments!X255</f>
        <v/>
      </c>
      <c r="C267" s="21">
        <f>Deployments!Y255</f>
        <v/>
      </c>
      <c r="D267" s="14">
        <f>Deployments!AO255</f>
        <v/>
      </c>
      <c r="E267" s="14">
        <f>Deployments!N255</f>
        <v/>
      </c>
      <c r="F267" s="21">
        <f>Deployments!O255</f>
        <v/>
      </c>
      <c r="G267" s="14">
        <f>Deployments!P255</f>
        <v/>
      </c>
      <c r="H267" s="14">
        <f>'13 - Config_Intake_View'!M267</f>
        <v/>
      </c>
      <c r="I267" s="21">
        <f>IF('13 - Config_Intake_View'!Q267&lt;&gt;"",'13 - Config_Intake_View'!Q267,Deployments!AG255)</f>
        <v/>
      </c>
      <c r="J267" s="14">
        <f>IF('13 - Config_Intake_View'!Q267&lt;&gt;"","PM Approved",IF(Deployments!AG255&lt;&gt;"","Assumed",""))</f>
        <v/>
      </c>
      <c r="K267" s="21">
        <f>Deployments!AF255</f>
        <v/>
      </c>
      <c r="L267" s="14">
        <f>Deployments!U255</f>
        <v/>
      </c>
      <c r="M267" s="14">
        <f>Deployments!L255</f>
        <v/>
      </c>
      <c r="N267" s="14">
        <f>Deployments!CC255</f>
        <v/>
      </c>
      <c r="O267" s="21">
        <f>Deployments!CD255</f>
        <v/>
      </c>
      <c r="P267" s="2">
        <f>Deployments!BX255</f>
        <v/>
      </c>
      <c r="Q267" s="21">
        <f>IF(OR($A267="",$B267="",$D267=""),"MISSING CORE FIELDS","")</f>
        <v/>
      </c>
      <c r="R267" s="14">
        <f>IF(AND($I267&lt;&gt;"",$K267&lt;&gt;"Yes"),"SW NOT INSTALLED","")</f>
        <v/>
      </c>
      <c r="S267" s="14">
        <f>IF(AND($H267&lt;&gt;"",ISNUMBER(SEARCH("auto",LOWER($H267))),$F267=""),"AUTOLOGON REQUIRED","")</f>
        <v/>
      </c>
      <c r="T267" s="14">
        <f>IF($Q267&lt;&gt;"",$Q267,IF($S267&lt;&gt;"",$S267,IF($R267&lt;&gt;"",$R267,IF(OR($N267&lt;&gt;"",$O267="Blocked"),"BLOCKED","OK"))))</f>
        <v/>
      </c>
    </row>
    <row r="268">
      <c r="A268" s="21">
        <f>Deployments!H256</f>
        <v/>
      </c>
      <c r="B268" s="21">
        <f>Deployments!X256</f>
        <v/>
      </c>
      <c r="C268" s="21">
        <f>Deployments!Y256</f>
        <v/>
      </c>
      <c r="D268" s="14">
        <f>Deployments!AO256</f>
        <v/>
      </c>
      <c r="E268" s="14">
        <f>Deployments!N256</f>
        <v/>
      </c>
      <c r="F268" s="21">
        <f>Deployments!O256</f>
        <v/>
      </c>
      <c r="G268" s="14">
        <f>Deployments!P256</f>
        <v/>
      </c>
      <c r="H268" s="14">
        <f>'13 - Config_Intake_View'!M268</f>
        <v/>
      </c>
      <c r="I268" s="21">
        <f>IF('13 - Config_Intake_View'!Q268&lt;&gt;"",'13 - Config_Intake_View'!Q268,Deployments!AG256)</f>
        <v/>
      </c>
      <c r="J268" s="14">
        <f>IF('13 - Config_Intake_View'!Q268&lt;&gt;"","PM Approved",IF(Deployments!AG256&lt;&gt;"","Assumed",""))</f>
        <v/>
      </c>
      <c r="K268" s="21">
        <f>Deployments!AF256</f>
        <v/>
      </c>
      <c r="L268" s="14">
        <f>Deployments!U256</f>
        <v/>
      </c>
      <c r="M268" s="14">
        <f>Deployments!L256</f>
        <v/>
      </c>
      <c r="N268" s="14">
        <f>Deployments!CC256</f>
        <v/>
      </c>
      <c r="O268" s="21">
        <f>Deployments!CD256</f>
        <v/>
      </c>
      <c r="P268" s="2">
        <f>Deployments!BX256</f>
        <v/>
      </c>
      <c r="Q268" s="21">
        <f>IF(OR($A268="",$B268="",$D268=""),"MISSING CORE FIELDS","")</f>
        <v/>
      </c>
      <c r="R268" s="14">
        <f>IF(AND($I268&lt;&gt;"",$K268&lt;&gt;"Yes"),"SW NOT INSTALLED","")</f>
        <v/>
      </c>
      <c r="S268" s="14">
        <f>IF(AND($H268&lt;&gt;"",ISNUMBER(SEARCH("auto",LOWER($H268))),$F268=""),"AUTOLOGON REQUIRED","")</f>
        <v/>
      </c>
      <c r="T268" s="14">
        <f>IF($Q268&lt;&gt;"",$Q268,IF($S268&lt;&gt;"",$S268,IF($R268&lt;&gt;"",$R268,IF(OR($N268&lt;&gt;"",$O268="Blocked"),"BLOCKED","OK"))))</f>
        <v/>
      </c>
    </row>
    <row r="269">
      <c r="A269" s="21">
        <f>Deployments!H257</f>
        <v/>
      </c>
      <c r="B269" s="21">
        <f>Deployments!X257</f>
        <v/>
      </c>
      <c r="C269" s="21">
        <f>Deployments!Y257</f>
        <v/>
      </c>
      <c r="D269" s="14">
        <f>Deployments!AO257</f>
        <v/>
      </c>
      <c r="E269" s="14">
        <f>Deployments!N257</f>
        <v/>
      </c>
      <c r="F269" s="21">
        <f>Deployments!O257</f>
        <v/>
      </c>
      <c r="G269" s="14">
        <f>Deployments!P257</f>
        <v/>
      </c>
      <c r="H269" s="14">
        <f>'13 - Config_Intake_View'!M269</f>
        <v/>
      </c>
      <c r="I269" s="21">
        <f>IF('13 - Config_Intake_View'!Q269&lt;&gt;"",'13 - Config_Intake_View'!Q269,Deployments!AG257)</f>
        <v/>
      </c>
      <c r="J269" s="14">
        <f>IF('13 - Config_Intake_View'!Q269&lt;&gt;"","PM Approved",IF(Deployments!AG257&lt;&gt;"","Assumed",""))</f>
        <v/>
      </c>
      <c r="K269" s="21">
        <f>Deployments!AF257</f>
        <v/>
      </c>
      <c r="L269" s="14">
        <f>Deployments!U257</f>
        <v/>
      </c>
      <c r="M269" s="14">
        <f>Deployments!L257</f>
        <v/>
      </c>
      <c r="N269" s="14">
        <f>Deployments!CC257</f>
        <v/>
      </c>
      <c r="O269" s="21">
        <f>Deployments!CD257</f>
        <v/>
      </c>
      <c r="P269" s="2">
        <f>Deployments!BX257</f>
        <v/>
      </c>
      <c r="Q269" s="21">
        <f>IF(OR($A269="",$B269="",$D269=""),"MISSING CORE FIELDS","")</f>
        <v/>
      </c>
      <c r="R269" s="14">
        <f>IF(AND($I269&lt;&gt;"",$K269&lt;&gt;"Yes"),"SW NOT INSTALLED","")</f>
        <v/>
      </c>
      <c r="S269" s="14">
        <f>IF(AND($H269&lt;&gt;"",ISNUMBER(SEARCH("auto",LOWER($H269))),$F269=""),"AUTOLOGON REQUIRED","")</f>
        <v/>
      </c>
      <c r="T269" s="14">
        <f>IF($Q269&lt;&gt;"",$Q269,IF($S269&lt;&gt;"",$S269,IF($R269&lt;&gt;"",$R269,IF(OR($N269&lt;&gt;"",$O269="Blocked"),"BLOCKED","OK"))))</f>
        <v/>
      </c>
    </row>
    <row r="270">
      <c r="A270" s="21">
        <f>Deployments!H258</f>
        <v/>
      </c>
      <c r="B270" s="21">
        <f>Deployments!X258</f>
        <v/>
      </c>
      <c r="C270" s="21">
        <f>Deployments!Y258</f>
        <v/>
      </c>
      <c r="D270" s="14">
        <f>Deployments!AO258</f>
        <v/>
      </c>
      <c r="E270" s="14">
        <f>Deployments!N258</f>
        <v/>
      </c>
      <c r="F270" s="21">
        <f>Deployments!O258</f>
        <v/>
      </c>
      <c r="G270" s="14">
        <f>Deployments!P258</f>
        <v/>
      </c>
      <c r="H270" s="14">
        <f>'13 - Config_Intake_View'!M270</f>
        <v/>
      </c>
      <c r="I270" s="21">
        <f>IF('13 - Config_Intake_View'!Q270&lt;&gt;"",'13 - Config_Intake_View'!Q270,Deployments!AG258)</f>
        <v/>
      </c>
      <c r="J270" s="14">
        <f>IF('13 - Config_Intake_View'!Q270&lt;&gt;"","PM Approved",IF(Deployments!AG258&lt;&gt;"","Assumed",""))</f>
        <v/>
      </c>
      <c r="K270" s="21">
        <f>Deployments!AF258</f>
        <v/>
      </c>
      <c r="L270" s="14">
        <f>Deployments!U258</f>
        <v/>
      </c>
      <c r="M270" s="14">
        <f>Deployments!L258</f>
        <v/>
      </c>
      <c r="N270" s="14">
        <f>Deployments!CC258</f>
        <v/>
      </c>
      <c r="O270" s="21">
        <f>Deployments!CD258</f>
        <v/>
      </c>
      <c r="P270" s="2">
        <f>Deployments!BX258</f>
        <v/>
      </c>
      <c r="Q270" s="21">
        <f>IF(OR($A270="",$B270="",$D270=""),"MISSING CORE FIELDS","")</f>
        <v/>
      </c>
      <c r="R270" s="14">
        <f>IF(AND($I270&lt;&gt;"",$K270&lt;&gt;"Yes"),"SW NOT INSTALLED","")</f>
        <v/>
      </c>
      <c r="S270" s="14">
        <f>IF(AND($H270&lt;&gt;"",ISNUMBER(SEARCH("auto",LOWER($H270))),$F270=""),"AUTOLOGON REQUIRED","")</f>
        <v/>
      </c>
      <c r="T270" s="14">
        <f>IF($Q270&lt;&gt;"",$Q270,IF($S270&lt;&gt;"",$S270,IF($R270&lt;&gt;"",$R270,IF(OR($N270&lt;&gt;"",$O270="Blocked"),"BLOCKED","OK"))))</f>
        <v/>
      </c>
    </row>
    <row r="271">
      <c r="A271" s="21">
        <f>Deployments!H259</f>
        <v/>
      </c>
      <c r="B271" s="21">
        <f>Deployments!X259</f>
        <v/>
      </c>
      <c r="C271" s="21">
        <f>Deployments!Y259</f>
        <v/>
      </c>
      <c r="D271" s="14">
        <f>Deployments!AO259</f>
        <v/>
      </c>
      <c r="E271" s="14">
        <f>Deployments!N259</f>
        <v/>
      </c>
      <c r="F271" s="21">
        <f>Deployments!O259</f>
        <v/>
      </c>
      <c r="G271" s="14">
        <f>Deployments!P259</f>
        <v/>
      </c>
      <c r="H271" s="14">
        <f>'13 - Config_Intake_View'!M271</f>
        <v/>
      </c>
      <c r="I271" s="21">
        <f>IF('13 - Config_Intake_View'!Q271&lt;&gt;"",'13 - Config_Intake_View'!Q271,Deployments!AG259)</f>
        <v/>
      </c>
      <c r="J271" s="14">
        <f>IF('13 - Config_Intake_View'!Q271&lt;&gt;"","PM Approved",IF(Deployments!AG259&lt;&gt;"","Assumed",""))</f>
        <v/>
      </c>
      <c r="K271" s="21">
        <f>Deployments!AF259</f>
        <v/>
      </c>
      <c r="L271" s="14">
        <f>Deployments!U259</f>
        <v/>
      </c>
      <c r="M271" s="14">
        <f>Deployments!L259</f>
        <v/>
      </c>
      <c r="N271" s="14">
        <f>Deployments!CC259</f>
        <v/>
      </c>
      <c r="O271" s="21">
        <f>Deployments!CD259</f>
        <v/>
      </c>
      <c r="P271" s="2">
        <f>Deployments!BX259</f>
        <v/>
      </c>
      <c r="Q271" s="21">
        <f>IF(OR($A271="",$B271="",$D271=""),"MISSING CORE FIELDS","")</f>
        <v/>
      </c>
      <c r="R271" s="14">
        <f>IF(AND($I271&lt;&gt;"",$K271&lt;&gt;"Yes"),"SW NOT INSTALLED","")</f>
        <v/>
      </c>
      <c r="S271" s="14">
        <f>IF(AND($H271&lt;&gt;"",ISNUMBER(SEARCH("auto",LOWER($H271))),$F271=""),"AUTOLOGON REQUIRED","")</f>
        <v/>
      </c>
      <c r="T271" s="14">
        <f>IF($Q271&lt;&gt;"",$Q271,IF($S271&lt;&gt;"",$S271,IF($R271&lt;&gt;"",$R271,IF(OR($N271&lt;&gt;"",$O271="Blocked"),"BLOCKED","OK"))))</f>
        <v/>
      </c>
    </row>
    <row r="272">
      <c r="A272" s="21">
        <f>Deployments!H260</f>
        <v/>
      </c>
      <c r="B272" s="21">
        <f>Deployments!X260</f>
        <v/>
      </c>
      <c r="C272" s="21">
        <f>Deployments!Y260</f>
        <v/>
      </c>
      <c r="D272" s="14">
        <f>Deployments!AO260</f>
        <v/>
      </c>
      <c r="E272" s="14">
        <f>Deployments!N260</f>
        <v/>
      </c>
      <c r="F272" s="21">
        <f>Deployments!O260</f>
        <v/>
      </c>
      <c r="G272" s="14">
        <f>Deployments!P260</f>
        <v/>
      </c>
      <c r="H272" s="14">
        <f>'13 - Config_Intake_View'!M272</f>
        <v/>
      </c>
      <c r="I272" s="21">
        <f>IF('13 - Config_Intake_View'!Q272&lt;&gt;"",'13 - Config_Intake_View'!Q272,Deployments!AG260)</f>
        <v/>
      </c>
      <c r="J272" s="14">
        <f>IF('13 - Config_Intake_View'!Q272&lt;&gt;"","PM Approved",IF(Deployments!AG260&lt;&gt;"","Assumed",""))</f>
        <v/>
      </c>
      <c r="K272" s="21">
        <f>Deployments!AF260</f>
        <v/>
      </c>
      <c r="L272" s="14">
        <f>Deployments!U260</f>
        <v/>
      </c>
      <c r="M272" s="14">
        <f>Deployments!L260</f>
        <v/>
      </c>
      <c r="N272" s="14">
        <f>Deployments!CC260</f>
        <v/>
      </c>
      <c r="O272" s="21">
        <f>Deployments!CD260</f>
        <v/>
      </c>
      <c r="P272" s="2">
        <f>Deployments!BX260</f>
        <v/>
      </c>
      <c r="Q272" s="21">
        <f>IF(OR($A272="",$B272="",$D272=""),"MISSING CORE FIELDS","")</f>
        <v/>
      </c>
      <c r="R272" s="14">
        <f>IF(AND($I272&lt;&gt;"",$K272&lt;&gt;"Yes"),"SW NOT INSTALLED","")</f>
        <v/>
      </c>
      <c r="S272" s="14">
        <f>IF(AND($H272&lt;&gt;"",ISNUMBER(SEARCH("auto",LOWER($H272))),$F272=""),"AUTOLOGON REQUIRED","")</f>
        <v/>
      </c>
      <c r="T272" s="14">
        <f>IF($Q272&lt;&gt;"",$Q272,IF($S272&lt;&gt;"",$S272,IF($R272&lt;&gt;"",$R272,IF(OR($N272&lt;&gt;"",$O272="Blocked"),"BLOCKED","OK"))))</f>
        <v/>
      </c>
    </row>
    <row r="273">
      <c r="A273" s="21">
        <f>Deployments!H261</f>
        <v/>
      </c>
      <c r="B273" s="21">
        <f>Deployments!X261</f>
        <v/>
      </c>
      <c r="C273" s="21">
        <f>Deployments!Y261</f>
        <v/>
      </c>
      <c r="D273" s="14">
        <f>Deployments!AO261</f>
        <v/>
      </c>
      <c r="E273" s="14">
        <f>Deployments!N261</f>
        <v/>
      </c>
      <c r="F273" s="21">
        <f>Deployments!O261</f>
        <v/>
      </c>
      <c r="G273" s="14">
        <f>Deployments!P261</f>
        <v/>
      </c>
      <c r="H273" s="14">
        <f>'13 - Config_Intake_View'!M273</f>
        <v/>
      </c>
      <c r="I273" s="21">
        <f>IF('13 - Config_Intake_View'!Q273&lt;&gt;"",'13 - Config_Intake_View'!Q273,Deployments!AG261)</f>
        <v/>
      </c>
      <c r="J273" s="14">
        <f>IF('13 - Config_Intake_View'!Q273&lt;&gt;"","PM Approved",IF(Deployments!AG261&lt;&gt;"","Assumed",""))</f>
        <v/>
      </c>
      <c r="K273" s="21">
        <f>Deployments!AF261</f>
        <v/>
      </c>
      <c r="L273" s="14">
        <f>Deployments!U261</f>
        <v/>
      </c>
      <c r="M273" s="14">
        <f>Deployments!L261</f>
        <v/>
      </c>
      <c r="N273" s="14">
        <f>Deployments!CC261</f>
        <v/>
      </c>
      <c r="O273" s="21">
        <f>Deployments!CD261</f>
        <v/>
      </c>
      <c r="P273" s="2">
        <f>Deployments!BX261</f>
        <v/>
      </c>
      <c r="Q273" s="21">
        <f>IF(OR($A273="",$B273="",$D273=""),"MISSING CORE FIELDS","")</f>
        <v/>
      </c>
      <c r="R273" s="14">
        <f>IF(AND($I273&lt;&gt;"",$K273&lt;&gt;"Yes"),"SW NOT INSTALLED","")</f>
        <v/>
      </c>
      <c r="S273" s="14">
        <f>IF(AND($H273&lt;&gt;"",ISNUMBER(SEARCH("auto",LOWER($H273))),$F273=""),"AUTOLOGON REQUIRED","")</f>
        <v/>
      </c>
      <c r="T273" s="14">
        <f>IF($Q273&lt;&gt;"",$Q273,IF($S273&lt;&gt;"",$S273,IF($R273&lt;&gt;"",$R273,IF(OR($N273&lt;&gt;"",$O273="Blocked"),"BLOCKED","OK"))))</f>
        <v/>
      </c>
    </row>
    <row r="274">
      <c r="A274" s="21">
        <f>Deployments!H262</f>
        <v/>
      </c>
      <c r="B274" s="21">
        <f>Deployments!X262</f>
        <v/>
      </c>
      <c r="C274" s="21">
        <f>Deployments!Y262</f>
        <v/>
      </c>
      <c r="D274" s="14">
        <f>Deployments!AO262</f>
        <v/>
      </c>
      <c r="E274" s="14">
        <f>Deployments!N262</f>
        <v/>
      </c>
      <c r="F274" s="21">
        <f>Deployments!O262</f>
        <v/>
      </c>
      <c r="G274" s="14">
        <f>Deployments!P262</f>
        <v/>
      </c>
      <c r="H274" s="14">
        <f>'13 - Config_Intake_View'!M274</f>
        <v/>
      </c>
      <c r="I274" s="21">
        <f>IF('13 - Config_Intake_View'!Q274&lt;&gt;"",'13 - Config_Intake_View'!Q274,Deployments!AG262)</f>
        <v/>
      </c>
      <c r="J274" s="14">
        <f>IF('13 - Config_Intake_View'!Q274&lt;&gt;"","PM Approved",IF(Deployments!AG262&lt;&gt;"","Assumed",""))</f>
        <v/>
      </c>
      <c r="K274" s="21">
        <f>Deployments!AF262</f>
        <v/>
      </c>
      <c r="L274" s="14">
        <f>Deployments!U262</f>
        <v/>
      </c>
      <c r="M274" s="14">
        <f>Deployments!L262</f>
        <v/>
      </c>
      <c r="N274" s="14">
        <f>Deployments!CC262</f>
        <v/>
      </c>
      <c r="O274" s="21">
        <f>Deployments!CD262</f>
        <v/>
      </c>
      <c r="P274" s="2">
        <f>Deployments!BX262</f>
        <v/>
      </c>
      <c r="Q274" s="21">
        <f>IF(OR($A274="",$B274="",$D274=""),"MISSING CORE FIELDS","")</f>
        <v/>
      </c>
      <c r="R274" s="14">
        <f>IF(AND($I274&lt;&gt;"",$K274&lt;&gt;"Yes"),"SW NOT INSTALLED","")</f>
        <v/>
      </c>
      <c r="S274" s="14">
        <f>IF(AND($H274&lt;&gt;"",ISNUMBER(SEARCH("auto",LOWER($H274))),$F274=""),"AUTOLOGON REQUIRED","")</f>
        <v/>
      </c>
      <c r="T274" s="14">
        <f>IF($Q274&lt;&gt;"",$Q274,IF($S274&lt;&gt;"",$S274,IF($R274&lt;&gt;"",$R274,IF(OR($N274&lt;&gt;"",$O274="Blocked"),"BLOCKED","OK"))))</f>
        <v/>
      </c>
    </row>
    <row r="275">
      <c r="A275" s="21">
        <f>Deployments!H263</f>
        <v/>
      </c>
      <c r="B275" s="21">
        <f>Deployments!X263</f>
        <v/>
      </c>
      <c r="C275" s="21">
        <f>Deployments!Y263</f>
        <v/>
      </c>
      <c r="D275" s="14">
        <f>Deployments!AO263</f>
        <v/>
      </c>
      <c r="E275" s="14">
        <f>Deployments!N263</f>
        <v/>
      </c>
      <c r="F275" s="21">
        <f>Deployments!O263</f>
        <v/>
      </c>
      <c r="G275" s="14">
        <f>Deployments!P263</f>
        <v/>
      </c>
      <c r="H275" s="14">
        <f>'13 - Config_Intake_View'!M275</f>
        <v/>
      </c>
      <c r="I275" s="21">
        <f>IF('13 - Config_Intake_View'!Q275&lt;&gt;"",'13 - Config_Intake_View'!Q275,Deployments!AG263)</f>
        <v/>
      </c>
      <c r="J275" s="14">
        <f>IF('13 - Config_Intake_View'!Q275&lt;&gt;"","PM Approved",IF(Deployments!AG263&lt;&gt;"","Assumed",""))</f>
        <v/>
      </c>
      <c r="K275" s="21">
        <f>Deployments!AF263</f>
        <v/>
      </c>
      <c r="L275" s="14">
        <f>Deployments!U263</f>
        <v/>
      </c>
      <c r="M275" s="14">
        <f>Deployments!L263</f>
        <v/>
      </c>
      <c r="N275" s="14">
        <f>Deployments!CC263</f>
        <v/>
      </c>
      <c r="O275" s="21">
        <f>Deployments!CD263</f>
        <v/>
      </c>
      <c r="P275" s="2">
        <f>Deployments!BX263</f>
        <v/>
      </c>
      <c r="Q275" s="21">
        <f>IF(OR($A275="",$B275="",$D275=""),"MISSING CORE FIELDS","")</f>
        <v/>
      </c>
      <c r="R275" s="14">
        <f>IF(AND($I275&lt;&gt;"",$K275&lt;&gt;"Yes"),"SW NOT INSTALLED","")</f>
        <v/>
      </c>
      <c r="S275" s="14">
        <f>IF(AND($H275&lt;&gt;"",ISNUMBER(SEARCH("auto",LOWER($H275))),$F275=""),"AUTOLOGON REQUIRED","")</f>
        <v/>
      </c>
      <c r="T275" s="14">
        <f>IF($Q275&lt;&gt;"",$Q275,IF($S275&lt;&gt;"",$S275,IF($R275&lt;&gt;"",$R275,IF(OR($N275&lt;&gt;"",$O275="Blocked"),"BLOCKED","OK"))))</f>
        <v/>
      </c>
    </row>
    <row r="276">
      <c r="A276" s="21">
        <f>Deployments!H264</f>
        <v/>
      </c>
      <c r="B276" s="21">
        <f>Deployments!X264</f>
        <v/>
      </c>
      <c r="C276" s="21">
        <f>Deployments!Y264</f>
        <v/>
      </c>
      <c r="D276" s="14">
        <f>Deployments!AO264</f>
        <v/>
      </c>
      <c r="E276" s="14">
        <f>Deployments!N264</f>
        <v/>
      </c>
      <c r="F276" s="21">
        <f>Deployments!O264</f>
        <v/>
      </c>
      <c r="G276" s="14">
        <f>Deployments!P264</f>
        <v/>
      </c>
      <c r="H276" s="14">
        <f>'13 - Config_Intake_View'!M276</f>
        <v/>
      </c>
      <c r="I276" s="21">
        <f>IF('13 - Config_Intake_View'!Q276&lt;&gt;"",'13 - Config_Intake_View'!Q276,Deployments!AG264)</f>
        <v/>
      </c>
      <c r="J276" s="14">
        <f>IF('13 - Config_Intake_View'!Q276&lt;&gt;"","PM Approved",IF(Deployments!AG264&lt;&gt;"","Assumed",""))</f>
        <v/>
      </c>
      <c r="K276" s="21">
        <f>Deployments!AF264</f>
        <v/>
      </c>
      <c r="L276" s="14">
        <f>Deployments!U264</f>
        <v/>
      </c>
      <c r="M276" s="14">
        <f>Deployments!L264</f>
        <v/>
      </c>
      <c r="N276" s="14">
        <f>Deployments!CC264</f>
        <v/>
      </c>
      <c r="O276" s="21">
        <f>Deployments!CD264</f>
        <v/>
      </c>
      <c r="P276" s="2">
        <f>Deployments!BX264</f>
        <v/>
      </c>
      <c r="Q276" s="21">
        <f>IF(OR($A276="",$B276="",$D276=""),"MISSING CORE FIELDS","")</f>
        <v/>
      </c>
      <c r="R276" s="14">
        <f>IF(AND($I276&lt;&gt;"",$K276&lt;&gt;"Yes"),"SW NOT INSTALLED","")</f>
        <v/>
      </c>
      <c r="S276" s="14">
        <f>IF(AND($H276&lt;&gt;"",ISNUMBER(SEARCH("auto",LOWER($H276))),$F276=""),"AUTOLOGON REQUIRED","")</f>
        <v/>
      </c>
      <c r="T276" s="14">
        <f>IF($Q276&lt;&gt;"",$Q276,IF($S276&lt;&gt;"",$S276,IF($R276&lt;&gt;"",$R276,IF(OR($N276&lt;&gt;"",$O276="Blocked"),"BLOCKED","OK"))))</f>
        <v/>
      </c>
    </row>
    <row r="277">
      <c r="A277" s="21">
        <f>Deployments!H265</f>
        <v/>
      </c>
      <c r="B277" s="21">
        <f>Deployments!X265</f>
        <v/>
      </c>
      <c r="C277" s="21">
        <f>Deployments!Y265</f>
        <v/>
      </c>
      <c r="D277" s="14">
        <f>Deployments!AO265</f>
        <v/>
      </c>
      <c r="E277" s="14">
        <f>Deployments!N265</f>
        <v/>
      </c>
      <c r="F277" s="21">
        <f>Deployments!O265</f>
        <v/>
      </c>
      <c r="G277" s="14">
        <f>Deployments!P265</f>
        <v/>
      </c>
      <c r="H277" s="14">
        <f>'13 - Config_Intake_View'!M277</f>
        <v/>
      </c>
      <c r="I277" s="21">
        <f>IF('13 - Config_Intake_View'!Q277&lt;&gt;"",'13 - Config_Intake_View'!Q277,Deployments!AG265)</f>
        <v/>
      </c>
      <c r="J277" s="14">
        <f>IF('13 - Config_Intake_View'!Q277&lt;&gt;"","PM Approved",IF(Deployments!AG265&lt;&gt;"","Assumed",""))</f>
        <v/>
      </c>
      <c r="K277" s="21">
        <f>Deployments!AF265</f>
        <v/>
      </c>
      <c r="L277" s="14">
        <f>Deployments!U265</f>
        <v/>
      </c>
      <c r="M277" s="14">
        <f>Deployments!L265</f>
        <v/>
      </c>
      <c r="N277" s="14">
        <f>Deployments!CC265</f>
        <v/>
      </c>
      <c r="O277" s="21">
        <f>Deployments!CD265</f>
        <v/>
      </c>
      <c r="P277" s="2">
        <f>Deployments!BX265</f>
        <v/>
      </c>
      <c r="Q277" s="21">
        <f>IF(OR($A277="",$B277="",$D277=""),"MISSING CORE FIELDS","")</f>
        <v/>
      </c>
      <c r="R277" s="14">
        <f>IF(AND($I277&lt;&gt;"",$K277&lt;&gt;"Yes"),"SW NOT INSTALLED","")</f>
        <v/>
      </c>
      <c r="S277" s="14">
        <f>IF(AND($H277&lt;&gt;"",ISNUMBER(SEARCH("auto",LOWER($H277))),$F277=""),"AUTOLOGON REQUIRED","")</f>
        <v/>
      </c>
      <c r="T277" s="14">
        <f>IF($Q277&lt;&gt;"",$Q277,IF($S277&lt;&gt;"",$S277,IF($R277&lt;&gt;"",$R277,IF(OR($N277&lt;&gt;"",$O277="Blocked"),"BLOCKED","OK"))))</f>
        <v/>
      </c>
    </row>
    <row r="278">
      <c r="A278" s="21">
        <f>Deployments!H266</f>
        <v/>
      </c>
      <c r="B278" s="21">
        <f>Deployments!X266</f>
        <v/>
      </c>
      <c r="C278" s="21">
        <f>Deployments!Y266</f>
        <v/>
      </c>
      <c r="D278" s="14">
        <f>Deployments!AO266</f>
        <v/>
      </c>
      <c r="E278" s="14">
        <f>Deployments!N266</f>
        <v/>
      </c>
      <c r="F278" s="21">
        <f>Deployments!O266</f>
        <v/>
      </c>
      <c r="G278" s="14">
        <f>Deployments!P266</f>
        <v/>
      </c>
      <c r="H278" s="14">
        <f>'13 - Config_Intake_View'!M278</f>
        <v/>
      </c>
      <c r="I278" s="21">
        <f>IF('13 - Config_Intake_View'!Q278&lt;&gt;"",'13 - Config_Intake_View'!Q278,Deployments!AG266)</f>
        <v/>
      </c>
      <c r="J278" s="14">
        <f>IF('13 - Config_Intake_View'!Q278&lt;&gt;"","PM Approved",IF(Deployments!AG266&lt;&gt;"","Assumed",""))</f>
        <v/>
      </c>
      <c r="K278" s="21">
        <f>Deployments!AF266</f>
        <v/>
      </c>
      <c r="L278" s="14">
        <f>Deployments!U266</f>
        <v/>
      </c>
      <c r="M278" s="14">
        <f>Deployments!L266</f>
        <v/>
      </c>
      <c r="N278" s="14">
        <f>Deployments!CC266</f>
        <v/>
      </c>
      <c r="O278" s="21">
        <f>Deployments!CD266</f>
        <v/>
      </c>
      <c r="P278" s="2">
        <f>Deployments!BX266</f>
        <v/>
      </c>
      <c r="Q278" s="21">
        <f>IF(OR($A278="",$B278="",$D278=""),"MISSING CORE FIELDS","")</f>
        <v/>
      </c>
      <c r="R278" s="14">
        <f>IF(AND($I278&lt;&gt;"",$K278&lt;&gt;"Yes"),"SW NOT INSTALLED","")</f>
        <v/>
      </c>
      <c r="S278" s="14">
        <f>IF(AND($H278&lt;&gt;"",ISNUMBER(SEARCH("auto",LOWER($H278))),$F278=""),"AUTOLOGON REQUIRED","")</f>
        <v/>
      </c>
      <c r="T278" s="14">
        <f>IF($Q278&lt;&gt;"",$Q278,IF($S278&lt;&gt;"",$S278,IF($R278&lt;&gt;"",$R278,IF(OR($N278&lt;&gt;"",$O278="Blocked"),"BLOCKED","OK"))))</f>
        <v/>
      </c>
    </row>
    <row r="279">
      <c r="A279" s="21">
        <f>Deployments!H267</f>
        <v/>
      </c>
      <c r="B279" s="21">
        <f>Deployments!X267</f>
        <v/>
      </c>
      <c r="C279" s="21">
        <f>Deployments!Y267</f>
        <v/>
      </c>
      <c r="D279" s="14">
        <f>Deployments!AO267</f>
        <v/>
      </c>
      <c r="E279" s="14">
        <f>Deployments!N267</f>
        <v/>
      </c>
      <c r="F279" s="21">
        <f>Deployments!O267</f>
        <v/>
      </c>
      <c r="G279" s="14">
        <f>Deployments!P267</f>
        <v/>
      </c>
      <c r="H279" s="14">
        <f>'13 - Config_Intake_View'!M279</f>
        <v/>
      </c>
      <c r="I279" s="21">
        <f>IF('13 - Config_Intake_View'!Q279&lt;&gt;"",'13 - Config_Intake_View'!Q279,Deployments!AG267)</f>
        <v/>
      </c>
      <c r="J279" s="14">
        <f>IF('13 - Config_Intake_View'!Q279&lt;&gt;"","PM Approved",IF(Deployments!AG267&lt;&gt;"","Assumed",""))</f>
        <v/>
      </c>
      <c r="K279" s="21">
        <f>Deployments!AF267</f>
        <v/>
      </c>
      <c r="L279" s="14">
        <f>Deployments!U267</f>
        <v/>
      </c>
      <c r="M279" s="14">
        <f>Deployments!L267</f>
        <v/>
      </c>
      <c r="N279" s="14">
        <f>Deployments!CC267</f>
        <v/>
      </c>
      <c r="O279" s="21">
        <f>Deployments!CD267</f>
        <v/>
      </c>
      <c r="P279" s="2">
        <f>Deployments!BX267</f>
        <v/>
      </c>
      <c r="Q279" s="21">
        <f>IF(OR($A279="",$B279="",$D279=""),"MISSING CORE FIELDS","")</f>
        <v/>
      </c>
      <c r="R279" s="14">
        <f>IF(AND($I279&lt;&gt;"",$K279&lt;&gt;"Yes"),"SW NOT INSTALLED","")</f>
        <v/>
      </c>
      <c r="S279" s="14">
        <f>IF(AND($H279&lt;&gt;"",ISNUMBER(SEARCH("auto",LOWER($H279))),$F279=""),"AUTOLOGON REQUIRED","")</f>
        <v/>
      </c>
      <c r="T279" s="14">
        <f>IF($Q279&lt;&gt;"",$Q279,IF($S279&lt;&gt;"",$S279,IF($R279&lt;&gt;"",$R279,IF(OR($N279&lt;&gt;"",$O279="Blocked"),"BLOCKED","OK"))))</f>
        <v/>
      </c>
    </row>
    <row r="280">
      <c r="A280" s="21">
        <f>Deployments!H268</f>
        <v/>
      </c>
      <c r="B280" s="21">
        <f>Deployments!X268</f>
        <v/>
      </c>
      <c r="C280" s="21">
        <f>Deployments!Y268</f>
        <v/>
      </c>
      <c r="D280" s="14">
        <f>Deployments!AO268</f>
        <v/>
      </c>
      <c r="E280" s="14">
        <f>Deployments!N268</f>
        <v/>
      </c>
      <c r="F280" s="21">
        <f>Deployments!O268</f>
        <v/>
      </c>
      <c r="G280" s="14">
        <f>Deployments!P268</f>
        <v/>
      </c>
      <c r="H280" s="14">
        <f>'13 - Config_Intake_View'!M280</f>
        <v/>
      </c>
      <c r="I280" s="21">
        <f>IF('13 - Config_Intake_View'!Q280&lt;&gt;"",'13 - Config_Intake_View'!Q280,Deployments!AG268)</f>
        <v/>
      </c>
      <c r="J280" s="14">
        <f>IF('13 - Config_Intake_View'!Q280&lt;&gt;"","PM Approved",IF(Deployments!AG268&lt;&gt;"","Assumed",""))</f>
        <v/>
      </c>
      <c r="K280" s="21">
        <f>Deployments!AF268</f>
        <v/>
      </c>
      <c r="L280" s="14">
        <f>Deployments!U268</f>
        <v/>
      </c>
      <c r="M280" s="14">
        <f>Deployments!L268</f>
        <v/>
      </c>
      <c r="N280" s="14">
        <f>Deployments!CC268</f>
        <v/>
      </c>
      <c r="O280" s="21">
        <f>Deployments!CD268</f>
        <v/>
      </c>
      <c r="P280" s="2">
        <f>Deployments!BX268</f>
        <v/>
      </c>
      <c r="Q280" s="21">
        <f>IF(OR($A280="",$B280="",$D280=""),"MISSING CORE FIELDS","")</f>
        <v/>
      </c>
      <c r="R280" s="14">
        <f>IF(AND($I280&lt;&gt;"",$K280&lt;&gt;"Yes"),"SW NOT INSTALLED","")</f>
        <v/>
      </c>
      <c r="S280" s="14">
        <f>IF(AND($H280&lt;&gt;"",ISNUMBER(SEARCH("auto",LOWER($H280))),$F280=""),"AUTOLOGON REQUIRED","")</f>
        <v/>
      </c>
      <c r="T280" s="14">
        <f>IF($Q280&lt;&gt;"",$Q280,IF($S280&lt;&gt;"",$S280,IF($R280&lt;&gt;"",$R280,IF(OR($N280&lt;&gt;"",$O280="Blocked"),"BLOCKED","OK"))))</f>
        <v/>
      </c>
    </row>
    <row r="281">
      <c r="A281" s="21">
        <f>Deployments!H269</f>
        <v/>
      </c>
      <c r="B281" s="21">
        <f>Deployments!X269</f>
        <v/>
      </c>
      <c r="C281" s="21">
        <f>Deployments!Y269</f>
        <v/>
      </c>
      <c r="D281" s="14">
        <f>Deployments!AO269</f>
        <v/>
      </c>
      <c r="E281" s="14">
        <f>Deployments!N269</f>
        <v/>
      </c>
      <c r="F281" s="21">
        <f>Deployments!O269</f>
        <v/>
      </c>
      <c r="G281" s="14">
        <f>Deployments!P269</f>
        <v/>
      </c>
      <c r="H281" s="14">
        <f>'13 - Config_Intake_View'!M281</f>
        <v/>
      </c>
      <c r="I281" s="21">
        <f>IF('13 - Config_Intake_View'!Q281&lt;&gt;"",'13 - Config_Intake_View'!Q281,Deployments!AG269)</f>
        <v/>
      </c>
      <c r="J281" s="14">
        <f>IF('13 - Config_Intake_View'!Q281&lt;&gt;"","PM Approved",IF(Deployments!AG269&lt;&gt;"","Assumed",""))</f>
        <v/>
      </c>
      <c r="K281" s="21">
        <f>Deployments!AF269</f>
        <v/>
      </c>
      <c r="L281" s="14">
        <f>Deployments!U269</f>
        <v/>
      </c>
      <c r="M281" s="14">
        <f>Deployments!L269</f>
        <v/>
      </c>
      <c r="N281" s="14">
        <f>Deployments!CC269</f>
        <v/>
      </c>
      <c r="O281" s="21">
        <f>Deployments!CD269</f>
        <v/>
      </c>
      <c r="P281" s="2">
        <f>Deployments!BX269</f>
        <v/>
      </c>
      <c r="Q281" s="21">
        <f>IF(OR($A281="",$B281="",$D281=""),"MISSING CORE FIELDS","")</f>
        <v/>
      </c>
      <c r="R281" s="14">
        <f>IF(AND($I281&lt;&gt;"",$K281&lt;&gt;"Yes"),"SW NOT INSTALLED","")</f>
        <v/>
      </c>
      <c r="S281" s="14">
        <f>IF(AND($H281&lt;&gt;"",ISNUMBER(SEARCH("auto",LOWER($H281))),$F281=""),"AUTOLOGON REQUIRED","")</f>
        <v/>
      </c>
      <c r="T281" s="14">
        <f>IF($Q281&lt;&gt;"",$Q281,IF($S281&lt;&gt;"",$S281,IF($R281&lt;&gt;"",$R281,IF(OR($N281&lt;&gt;"",$O281="Blocked"),"BLOCKED","OK"))))</f>
        <v/>
      </c>
    </row>
    <row r="282">
      <c r="A282" s="21">
        <f>Deployments!H270</f>
        <v/>
      </c>
      <c r="B282" s="21">
        <f>Deployments!X270</f>
        <v/>
      </c>
      <c r="C282" s="21">
        <f>Deployments!Y270</f>
        <v/>
      </c>
      <c r="D282" s="14">
        <f>Deployments!AO270</f>
        <v/>
      </c>
      <c r="E282" s="14">
        <f>Deployments!N270</f>
        <v/>
      </c>
      <c r="F282" s="21">
        <f>Deployments!O270</f>
        <v/>
      </c>
      <c r="G282" s="14">
        <f>Deployments!P270</f>
        <v/>
      </c>
      <c r="H282" s="14">
        <f>'13 - Config_Intake_View'!M282</f>
        <v/>
      </c>
      <c r="I282" s="21">
        <f>IF('13 - Config_Intake_View'!Q282&lt;&gt;"",'13 - Config_Intake_View'!Q282,Deployments!AG270)</f>
        <v/>
      </c>
      <c r="J282" s="14">
        <f>IF('13 - Config_Intake_View'!Q282&lt;&gt;"","PM Approved",IF(Deployments!AG270&lt;&gt;"","Assumed",""))</f>
        <v/>
      </c>
      <c r="K282" s="21">
        <f>Deployments!AF270</f>
        <v/>
      </c>
      <c r="L282" s="14">
        <f>Deployments!U270</f>
        <v/>
      </c>
      <c r="M282" s="14">
        <f>Deployments!L270</f>
        <v/>
      </c>
      <c r="N282" s="14">
        <f>Deployments!CC270</f>
        <v/>
      </c>
      <c r="O282" s="21">
        <f>Deployments!CD270</f>
        <v/>
      </c>
      <c r="P282" s="2">
        <f>Deployments!BX270</f>
        <v/>
      </c>
      <c r="Q282" s="21">
        <f>IF(OR($A282="",$B282="",$D282=""),"MISSING CORE FIELDS","")</f>
        <v/>
      </c>
      <c r="R282" s="14">
        <f>IF(AND($I282&lt;&gt;"",$K282&lt;&gt;"Yes"),"SW NOT INSTALLED","")</f>
        <v/>
      </c>
      <c r="S282" s="14">
        <f>IF(AND($H282&lt;&gt;"",ISNUMBER(SEARCH("auto",LOWER($H282))),$F282=""),"AUTOLOGON REQUIRED","")</f>
        <v/>
      </c>
      <c r="T282" s="14">
        <f>IF($Q282&lt;&gt;"",$Q282,IF($S282&lt;&gt;"",$S282,IF($R282&lt;&gt;"",$R282,IF(OR($N282&lt;&gt;"",$O282="Blocked"),"BLOCKED","OK"))))</f>
        <v/>
      </c>
    </row>
    <row r="283">
      <c r="A283" s="21">
        <f>Deployments!H271</f>
        <v/>
      </c>
      <c r="B283" s="21">
        <f>Deployments!X271</f>
        <v/>
      </c>
      <c r="C283" s="21">
        <f>Deployments!Y271</f>
        <v/>
      </c>
      <c r="D283" s="14">
        <f>Deployments!AO271</f>
        <v/>
      </c>
      <c r="E283" s="14">
        <f>Deployments!N271</f>
        <v/>
      </c>
      <c r="F283" s="21">
        <f>Deployments!O271</f>
        <v/>
      </c>
      <c r="G283" s="14">
        <f>Deployments!P271</f>
        <v/>
      </c>
      <c r="H283" s="14">
        <f>'13 - Config_Intake_View'!M283</f>
        <v/>
      </c>
      <c r="I283" s="21">
        <f>IF('13 - Config_Intake_View'!Q283&lt;&gt;"",'13 - Config_Intake_View'!Q283,Deployments!AG271)</f>
        <v/>
      </c>
      <c r="J283" s="14">
        <f>IF('13 - Config_Intake_View'!Q283&lt;&gt;"","PM Approved",IF(Deployments!AG271&lt;&gt;"","Assumed",""))</f>
        <v/>
      </c>
      <c r="K283" s="21">
        <f>Deployments!AF271</f>
        <v/>
      </c>
      <c r="L283" s="14">
        <f>Deployments!U271</f>
        <v/>
      </c>
      <c r="M283" s="14">
        <f>Deployments!L271</f>
        <v/>
      </c>
      <c r="N283" s="14">
        <f>Deployments!CC271</f>
        <v/>
      </c>
      <c r="O283" s="21">
        <f>Deployments!CD271</f>
        <v/>
      </c>
      <c r="P283" s="2">
        <f>Deployments!BX271</f>
        <v/>
      </c>
      <c r="Q283" s="21">
        <f>IF(OR($A283="",$B283="",$D283=""),"MISSING CORE FIELDS","")</f>
        <v/>
      </c>
      <c r="R283" s="14">
        <f>IF(AND($I283&lt;&gt;"",$K283&lt;&gt;"Yes"),"SW NOT INSTALLED","")</f>
        <v/>
      </c>
      <c r="S283" s="14">
        <f>IF(AND($H283&lt;&gt;"",ISNUMBER(SEARCH("auto",LOWER($H283))),$F283=""),"AUTOLOGON REQUIRED","")</f>
        <v/>
      </c>
      <c r="T283" s="14">
        <f>IF($Q283&lt;&gt;"",$Q283,IF($S283&lt;&gt;"",$S283,IF($R283&lt;&gt;"",$R283,IF(OR($N283&lt;&gt;"",$O283="Blocked"),"BLOCKED","OK"))))</f>
        <v/>
      </c>
    </row>
    <row r="284">
      <c r="A284" s="21">
        <f>Deployments!H272</f>
        <v/>
      </c>
      <c r="B284" s="21">
        <f>Deployments!X272</f>
        <v/>
      </c>
      <c r="C284" s="21">
        <f>Deployments!Y272</f>
        <v/>
      </c>
      <c r="D284" s="14">
        <f>Deployments!AO272</f>
        <v/>
      </c>
      <c r="E284" s="14">
        <f>Deployments!N272</f>
        <v/>
      </c>
      <c r="F284" s="21">
        <f>Deployments!O272</f>
        <v/>
      </c>
      <c r="G284" s="14">
        <f>Deployments!P272</f>
        <v/>
      </c>
      <c r="H284" s="14">
        <f>'13 - Config_Intake_View'!M284</f>
        <v/>
      </c>
      <c r="I284" s="21">
        <f>IF('13 - Config_Intake_View'!Q284&lt;&gt;"",'13 - Config_Intake_View'!Q284,Deployments!AG272)</f>
        <v/>
      </c>
      <c r="J284" s="14">
        <f>IF('13 - Config_Intake_View'!Q284&lt;&gt;"","PM Approved",IF(Deployments!AG272&lt;&gt;"","Assumed",""))</f>
        <v/>
      </c>
      <c r="K284" s="21">
        <f>Deployments!AF272</f>
        <v/>
      </c>
      <c r="L284" s="14">
        <f>Deployments!U272</f>
        <v/>
      </c>
      <c r="M284" s="14">
        <f>Deployments!L272</f>
        <v/>
      </c>
      <c r="N284" s="14">
        <f>Deployments!CC272</f>
        <v/>
      </c>
      <c r="O284" s="21">
        <f>Deployments!CD272</f>
        <v/>
      </c>
      <c r="P284" s="2">
        <f>Deployments!BX272</f>
        <v/>
      </c>
      <c r="Q284" s="21">
        <f>IF(OR($A284="",$B284="",$D284=""),"MISSING CORE FIELDS","")</f>
        <v/>
      </c>
      <c r="R284" s="14">
        <f>IF(AND($I284&lt;&gt;"",$K284&lt;&gt;"Yes"),"SW NOT INSTALLED","")</f>
        <v/>
      </c>
      <c r="S284" s="14">
        <f>IF(AND($H284&lt;&gt;"",ISNUMBER(SEARCH("auto",LOWER($H284))),$F284=""),"AUTOLOGON REQUIRED","")</f>
        <v/>
      </c>
      <c r="T284" s="14">
        <f>IF($Q284&lt;&gt;"",$Q284,IF($S284&lt;&gt;"",$S284,IF($R284&lt;&gt;"",$R284,IF(OR($N284&lt;&gt;"",$O284="Blocked"),"BLOCKED","OK"))))</f>
        <v/>
      </c>
    </row>
    <row r="285">
      <c r="A285" s="21">
        <f>Deployments!H273</f>
        <v/>
      </c>
      <c r="B285" s="21">
        <f>Deployments!X273</f>
        <v/>
      </c>
      <c r="C285" s="21">
        <f>Deployments!Y273</f>
        <v/>
      </c>
      <c r="D285" s="14">
        <f>Deployments!AO273</f>
        <v/>
      </c>
      <c r="E285" s="14">
        <f>Deployments!N273</f>
        <v/>
      </c>
      <c r="F285" s="21">
        <f>Deployments!O273</f>
        <v/>
      </c>
      <c r="G285" s="14">
        <f>Deployments!P273</f>
        <v/>
      </c>
      <c r="H285" s="14">
        <f>'13 - Config_Intake_View'!M285</f>
        <v/>
      </c>
      <c r="I285" s="21">
        <f>IF('13 - Config_Intake_View'!Q285&lt;&gt;"",'13 - Config_Intake_View'!Q285,Deployments!AG273)</f>
        <v/>
      </c>
      <c r="J285" s="14">
        <f>IF('13 - Config_Intake_View'!Q285&lt;&gt;"","PM Approved",IF(Deployments!AG273&lt;&gt;"","Assumed",""))</f>
        <v/>
      </c>
      <c r="K285" s="21">
        <f>Deployments!AF273</f>
        <v/>
      </c>
      <c r="L285" s="14">
        <f>Deployments!U273</f>
        <v/>
      </c>
      <c r="M285" s="14">
        <f>Deployments!L273</f>
        <v/>
      </c>
      <c r="N285" s="14">
        <f>Deployments!CC273</f>
        <v/>
      </c>
      <c r="O285" s="21">
        <f>Deployments!CD273</f>
        <v/>
      </c>
      <c r="P285" s="2">
        <f>Deployments!BX273</f>
        <v/>
      </c>
      <c r="Q285" s="21">
        <f>IF(OR($A285="",$B285="",$D285=""),"MISSING CORE FIELDS","")</f>
        <v/>
      </c>
      <c r="R285" s="14">
        <f>IF(AND($I285&lt;&gt;"",$K285&lt;&gt;"Yes"),"SW NOT INSTALLED","")</f>
        <v/>
      </c>
      <c r="S285" s="14">
        <f>IF(AND($H285&lt;&gt;"",ISNUMBER(SEARCH("auto",LOWER($H285))),$F285=""),"AUTOLOGON REQUIRED","")</f>
        <v/>
      </c>
      <c r="T285" s="14">
        <f>IF($Q285&lt;&gt;"",$Q285,IF($S285&lt;&gt;"",$S285,IF($R285&lt;&gt;"",$R285,IF(OR($N285&lt;&gt;"",$O285="Blocked"),"BLOCKED","OK"))))</f>
        <v/>
      </c>
    </row>
    <row r="286">
      <c r="A286" s="21">
        <f>Deployments!H274</f>
        <v/>
      </c>
      <c r="B286" s="21">
        <f>Deployments!X274</f>
        <v/>
      </c>
      <c r="C286" s="21">
        <f>Deployments!Y274</f>
        <v/>
      </c>
      <c r="D286" s="14">
        <f>Deployments!AO274</f>
        <v/>
      </c>
      <c r="E286" s="14">
        <f>Deployments!N274</f>
        <v/>
      </c>
      <c r="F286" s="21">
        <f>Deployments!O274</f>
        <v/>
      </c>
      <c r="G286" s="14">
        <f>Deployments!P274</f>
        <v/>
      </c>
      <c r="H286" s="14">
        <f>'13 - Config_Intake_View'!M286</f>
        <v/>
      </c>
      <c r="I286" s="21">
        <f>IF('13 - Config_Intake_View'!Q286&lt;&gt;"",'13 - Config_Intake_View'!Q286,Deployments!AG274)</f>
        <v/>
      </c>
      <c r="J286" s="14">
        <f>IF('13 - Config_Intake_View'!Q286&lt;&gt;"","PM Approved",IF(Deployments!AG274&lt;&gt;"","Assumed",""))</f>
        <v/>
      </c>
      <c r="K286" s="21">
        <f>Deployments!AF274</f>
        <v/>
      </c>
      <c r="L286" s="14">
        <f>Deployments!U274</f>
        <v/>
      </c>
      <c r="M286" s="14">
        <f>Deployments!L274</f>
        <v/>
      </c>
      <c r="N286" s="14">
        <f>Deployments!CC274</f>
        <v/>
      </c>
      <c r="O286" s="21">
        <f>Deployments!CD274</f>
        <v/>
      </c>
      <c r="P286" s="2">
        <f>Deployments!BX274</f>
        <v/>
      </c>
      <c r="Q286" s="21">
        <f>IF(OR($A286="",$B286="",$D286=""),"MISSING CORE FIELDS","")</f>
        <v/>
      </c>
      <c r="R286" s="14">
        <f>IF(AND($I286&lt;&gt;"",$K286&lt;&gt;"Yes"),"SW NOT INSTALLED","")</f>
        <v/>
      </c>
      <c r="S286" s="14">
        <f>IF(AND($H286&lt;&gt;"",ISNUMBER(SEARCH("auto",LOWER($H286))),$F286=""),"AUTOLOGON REQUIRED","")</f>
        <v/>
      </c>
      <c r="T286" s="14">
        <f>IF($Q286&lt;&gt;"",$Q286,IF($S286&lt;&gt;"",$S286,IF($R286&lt;&gt;"",$R286,IF(OR($N286&lt;&gt;"",$O286="Blocked"),"BLOCKED","OK"))))</f>
        <v/>
      </c>
    </row>
    <row r="287">
      <c r="A287" s="21">
        <f>Deployments!H275</f>
        <v/>
      </c>
      <c r="B287" s="21">
        <f>Deployments!X275</f>
        <v/>
      </c>
      <c r="C287" s="21">
        <f>Deployments!Y275</f>
        <v/>
      </c>
      <c r="D287" s="14">
        <f>Deployments!AO275</f>
        <v/>
      </c>
      <c r="E287" s="14">
        <f>Deployments!N275</f>
        <v/>
      </c>
      <c r="F287" s="21">
        <f>Deployments!O275</f>
        <v/>
      </c>
      <c r="G287" s="14">
        <f>Deployments!P275</f>
        <v/>
      </c>
      <c r="H287" s="14">
        <f>'13 - Config_Intake_View'!M287</f>
        <v/>
      </c>
      <c r="I287" s="21">
        <f>IF('13 - Config_Intake_View'!Q287&lt;&gt;"",'13 - Config_Intake_View'!Q287,Deployments!AG275)</f>
        <v/>
      </c>
      <c r="J287" s="14">
        <f>IF('13 - Config_Intake_View'!Q287&lt;&gt;"","PM Approved",IF(Deployments!AG275&lt;&gt;"","Assumed",""))</f>
        <v/>
      </c>
      <c r="K287" s="21">
        <f>Deployments!AF275</f>
        <v/>
      </c>
      <c r="L287" s="14">
        <f>Deployments!U275</f>
        <v/>
      </c>
      <c r="M287" s="14">
        <f>Deployments!L275</f>
        <v/>
      </c>
      <c r="N287" s="14">
        <f>Deployments!CC275</f>
        <v/>
      </c>
      <c r="O287" s="21">
        <f>Deployments!CD275</f>
        <v/>
      </c>
      <c r="P287" s="2">
        <f>Deployments!BX275</f>
        <v/>
      </c>
      <c r="Q287" s="21">
        <f>IF(OR($A287="",$B287="",$D287=""),"MISSING CORE FIELDS","")</f>
        <v/>
      </c>
      <c r="R287" s="14">
        <f>IF(AND($I287&lt;&gt;"",$K287&lt;&gt;"Yes"),"SW NOT INSTALLED","")</f>
        <v/>
      </c>
      <c r="S287" s="14">
        <f>IF(AND($H287&lt;&gt;"",ISNUMBER(SEARCH("auto",LOWER($H287))),$F287=""),"AUTOLOGON REQUIRED","")</f>
        <v/>
      </c>
      <c r="T287" s="14">
        <f>IF($Q287&lt;&gt;"",$Q287,IF($S287&lt;&gt;"",$S287,IF($R287&lt;&gt;"",$R287,IF(OR($N287&lt;&gt;"",$O287="Blocked"),"BLOCKED","OK"))))</f>
        <v/>
      </c>
    </row>
    <row r="288">
      <c r="A288" s="21">
        <f>Deployments!H276</f>
        <v/>
      </c>
      <c r="B288" s="21">
        <f>Deployments!X276</f>
        <v/>
      </c>
      <c r="C288" s="21">
        <f>Deployments!Y276</f>
        <v/>
      </c>
      <c r="D288" s="14">
        <f>Deployments!AO276</f>
        <v/>
      </c>
      <c r="E288" s="14">
        <f>Deployments!N276</f>
        <v/>
      </c>
      <c r="F288" s="21">
        <f>Deployments!O276</f>
        <v/>
      </c>
      <c r="G288" s="14">
        <f>Deployments!P276</f>
        <v/>
      </c>
      <c r="H288" s="14">
        <f>'13 - Config_Intake_View'!M288</f>
        <v/>
      </c>
      <c r="I288" s="21">
        <f>IF('13 - Config_Intake_View'!Q288&lt;&gt;"",'13 - Config_Intake_View'!Q288,Deployments!AG276)</f>
        <v/>
      </c>
      <c r="J288" s="14">
        <f>IF('13 - Config_Intake_View'!Q288&lt;&gt;"","PM Approved",IF(Deployments!AG276&lt;&gt;"","Assumed",""))</f>
        <v/>
      </c>
      <c r="K288" s="21">
        <f>Deployments!AF276</f>
        <v/>
      </c>
      <c r="L288" s="14">
        <f>Deployments!U276</f>
        <v/>
      </c>
      <c r="M288" s="14">
        <f>Deployments!L276</f>
        <v/>
      </c>
      <c r="N288" s="14">
        <f>Deployments!CC276</f>
        <v/>
      </c>
      <c r="O288" s="21">
        <f>Deployments!CD276</f>
        <v/>
      </c>
      <c r="P288" s="2">
        <f>Deployments!BX276</f>
        <v/>
      </c>
      <c r="Q288" s="21">
        <f>IF(OR($A288="",$B288="",$D288=""),"MISSING CORE FIELDS","")</f>
        <v/>
      </c>
      <c r="R288" s="14">
        <f>IF(AND($I288&lt;&gt;"",$K288&lt;&gt;"Yes"),"SW NOT INSTALLED","")</f>
        <v/>
      </c>
      <c r="S288" s="14">
        <f>IF(AND($H288&lt;&gt;"",ISNUMBER(SEARCH("auto",LOWER($H288))),$F288=""),"AUTOLOGON REQUIRED","")</f>
        <v/>
      </c>
      <c r="T288" s="14">
        <f>IF($Q288&lt;&gt;"",$Q288,IF($S288&lt;&gt;"",$S288,IF($R288&lt;&gt;"",$R288,IF(OR($N288&lt;&gt;"",$O288="Blocked"),"BLOCKED","OK"))))</f>
        <v/>
      </c>
    </row>
    <row r="289">
      <c r="A289" s="21">
        <f>Deployments!H277</f>
        <v/>
      </c>
      <c r="B289" s="21">
        <f>Deployments!X277</f>
        <v/>
      </c>
      <c r="C289" s="21">
        <f>Deployments!Y277</f>
        <v/>
      </c>
      <c r="D289" s="14">
        <f>Deployments!AO277</f>
        <v/>
      </c>
      <c r="E289" s="14">
        <f>Deployments!N277</f>
        <v/>
      </c>
      <c r="F289" s="21">
        <f>Deployments!O277</f>
        <v/>
      </c>
      <c r="G289" s="14">
        <f>Deployments!P277</f>
        <v/>
      </c>
      <c r="H289" s="14">
        <f>'13 - Config_Intake_View'!M289</f>
        <v/>
      </c>
      <c r="I289" s="21">
        <f>IF('13 - Config_Intake_View'!Q289&lt;&gt;"",'13 - Config_Intake_View'!Q289,Deployments!AG277)</f>
        <v/>
      </c>
      <c r="J289" s="14">
        <f>IF('13 - Config_Intake_View'!Q289&lt;&gt;"","PM Approved",IF(Deployments!AG277&lt;&gt;"","Assumed",""))</f>
        <v/>
      </c>
      <c r="K289" s="21">
        <f>Deployments!AF277</f>
        <v/>
      </c>
      <c r="L289" s="14">
        <f>Deployments!U277</f>
        <v/>
      </c>
      <c r="M289" s="14">
        <f>Deployments!L277</f>
        <v/>
      </c>
      <c r="N289" s="14">
        <f>Deployments!CC277</f>
        <v/>
      </c>
      <c r="O289" s="21">
        <f>Deployments!CD277</f>
        <v/>
      </c>
      <c r="P289" s="2">
        <f>Deployments!BX277</f>
        <v/>
      </c>
      <c r="Q289" s="21">
        <f>IF(OR($A289="",$B289="",$D289=""),"MISSING CORE FIELDS","")</f>
        <v/>
      </c>
      <c r="R289" s="14">
        <f>IF(AND($I289&lt;&gt;"",$K289&lt;&gt;"Yes"),"SW NOT INSTALLED","")</f>
        <v/>
      </c>
      <c r="S289" s="14">
        <f>IF(AND($H289&lt;&gt;"",ISNUMBER(SEARCH("auto",LOWER($H289))),$F289=""),"AUTOLOGON REQUIRED","")</f>
        <v/>
      </c>
      <c r="T289" s="14">
        <f>IF($Q289&lt;&gt;"",$Q289,IF($S289&lt;&gt;"",$S289,IF($R289&lt;&gt;"",$R289,IF(OR($N289&lt;&gt;"",$O289="Blocked"),"BLOCKED","OK"))))</f>
        <v/>
      </c>
    </row>
    <row r="290">
      <c r="A290" s="21">
        <f>Deployments!H278</f>
        <v/>
      </c>
      <c r="B290" s="21">
        <f>Deployments!X278</f>
        <v/>
      </c>
      <c r="C290" s="21">
        <f>Deployments!Y278</f>
        <v/>
      </c>
      <c r="D290" s="14">
        <f>Deployments!AO278</f>
        <v/>
      </c>
      <c r="E290" s="14">
        <f>Deployments!N278</f>
        <v/>
      </c>
      <c r="F290" s="21">
        <f>Deployments!O278</f>
        <v/>
      </c>
      <c r="G290" s="14">
        <f>Deployments!P278</f>
        <v/>
      </c>
      <c r="H290" s="14">
        <f>'13 - Config_Intake_View'!M290</f>
        <v/>
      </c>
      <c r="I290" s="21">
        <f>IF('13 - Config_Intake_View'!Q290&lt;&gt;"",'13 - Config_Intake_View'!Q290,Deployments!AG278)</f>
        <v/>
      </c>
      <c r="J290" s="14">
        <f>IF('13 - Config_Intake_View'!Q290&lt;&gt;"","PM Approved",IF(Deployments!AG278&lt;&gt;"","Assumed",""))</f>
        <v/>
      </c>
      <c r="K290" s="21">
        <f>Deployments!AF278</f>
        <v/>
      </c>
      <c r="L290" s="14">
        <f>Deployments!U278</f>
        <v/>
      </c>
      <c r="M290" s="14">
        <f>Deployments!L278</f>
        <v/>
      </c>
      <c r="N290" s="14">
        <f>Deployments!CC278</f>
        <v/>
      </c>
      <c r="O290" s="21">
        <f>Deployments!CD278</f>
        <v/>
      </c>
      <c r="P290" s="2">
        <f>Deployments!BX278</f>
        <v/>
      </c>
      <c r="Q290" s="21">
        <f>IF(OR($A290="",$B290="",$D290=""),"MISSING CORE FIELDS","")</f>
        <v/>
      </c>
      <c r="R290" s="14">
        <f>IF(AND($I290&lt;&gt;"",$K290&lt;&gt;"Yes"),"SW NOT INSTALLED","")</f>
        <v/>
      </c>
      <c r="S290" s="14">
        <f>IF(AND($H290&lt;&gt;"",ISNUMBER(SEARCH("auto",LOWER($H290))),$F290=""),"AUTOLOGON REQUIRED","")</f>
        <v/>
      </c>
      <c r="T290" s="14">
        <f>IF($Q290&lt;&gt;"",$Q290,IF($S290&lt;&gt;"",$S290,IF($R290&lt;&gt;"",$R290,IF(OR($N290&lt;&gt;"",$O290="Blocked"),"BLOCKED","OK"))))</f>
        <v/>
      </c>
    </row>
    <row r="291">
      <c r="A291" s="21">
        <f>Deployments!H279</f>
        <v/>
      </c>
      <c r="B291" s="21">
        <f>Deployments!X279</f>
        <v/>
      </c>
      <c r="C291" s="21">
        <f>Deployments!Y279</f>
        <v/>
      </c>
      <c r="D291" s="14">
        <f>Deployments!AO279</f>
        <v/>
      </c>
      <c r="E291" s="14">
        <f>Deployments!N279</f>
        <v/>
      </c>
      <c r="F291" s="21">
        <f>Deployments!O279</f>
        <v/>
      </c>
      <c r="G291" s="14">
        <f>Deployments!P279</f>
        <v/>
      </c>
      <c r="H291" s="14">
        <f>'13 - Config_Intake_View'!M291</f>
        <v/>
      </c>
      <c r="I291" s="21">
        <f>IF('13 - Config_Intake_View'!Q291&lt;&gt;"",'13 - Config_Intake_View'!Q291,Deployments!AG279)</f>
        <v/>
      </c>
      <c r="J291" s="14">
        <f>IF('13 - Config_Intake_View'!Q291&lt;&gt;"","PM Approved",IF(Deployments!AG279&lt;&gt;"","Assumed",""))</f>
        <v/>
      </c>
      <c r="K291" s="21">
        <f>Deployments!AF279</f>
        <v/>
      </c>
      <c r="L291" s="14">
        <f>Deployments!U279</f>
        <v/>
      </c>
      <c r="M291" s="14">
        <f>Deployments!L279</f>
        <v/>
      </c>
      <c r="N291" s="14">
        <f>Deployments!CC279</f>
        <v/>
      </c>
      <c r="O291" s="21">
        <f>Deployments!CD279</f>
        <v/>
      </c>
      <c r="P291" s="2">
        <f>Deployments!BX279</f>
        <v/>
      </c>
      <c r="Q291" s="21">
        <f>IF(OR($A291="",$B291="",$D291=""),"MISSING CORE FIELDS","")</f>
        <v/>
      </c>
      <c r="R291" s="14">
        <f>IF(AND($I291&lt;&gt;"",$K291&lt;&gt;"Yes"),"SW NOT INSTALLED","")</f>
        <v/>
      </c>
      <c r="S291" s="14">
        <f>IF(AND($H291&lt;&gt;"",ISNUMBER(SEARCH("auto",LOWER($H291))),$F291=""),"AUTOLOGON REQUIRED","")</f>
        <v/>
      </c>
      <c r="T291" s="14">
        <f>IF($Q291&lt;&gt;"",$Q291,IF($S291&lt;&gt;"",$S291,IF($R291&lt;&gt;"",$R291,IF(OR($N291&lt;&gt;"",$O291="Blocked"),"BLOCKED","OK"))))</f>
        <v/>
      </c>
    </row>
    <row r="292">
      <c r="A292" s="21">
        <f>Deployments!H280</f>
        <v/>
      </c>
      <c r="B292" s="21">
        <f>Deployments!X280</f>
        <v/>
      </c>
      <c r="C292" s="21">
        <f>Deployments!Y280</f>
        <v/>
      </c>
      <c r="D292" s="14">
        <f>Deployments!AO280</f>
        <v/>
      </c>
      <c r="E292" s="14">
        <f>Deployments!N280</f>
        <v/>
      </c>
      <c r="F292" s="21">
        <f>Deployments!O280</f>
        <v/>
      </c>
      <c r="G292" s="14">
        <f>Deployments!P280</f>
        <v/>
      </c>
      <c r="H292" s="14">
        <f>'13 - Config_Intake_View'!M292</f>
        <v/>
      </c>
      <c r="I292" s="21">
        <f>IF('13 - Config_Intake_View'!Q292&lt;&gt;"",'13 - Config_Intake_View'!Q292,Deployments!AG280)</f>
        <v/>
      </c>
      <c r="J292" s="14">
        <f>IF('13 - Config_Intake_View'!Q292&lt;&gt;"","PM Approved",IF(Deployments!AG280&lt;&gt;"","Assumed",""))</f>
        <v/>
      </c>
      <c r="K292" s="21">
        <f>Deployments!AF280</f>
        <v/>
      </c>
      <c r="L292" s="14">
        <f>Deployments!U280</f>
        <v/>
      </c>
      <c r="M292" s="14">
        <f>Deployments!L280</f>
        <v/>
      </c>
      <c r="N292" s="14">
        <f>Deployments!CC280</f>
        <v/>
      </c>
      <c r="O292" s="21">
        <f>Deployments!CD280</f>
        <v/>
      </c>
      <c r="P292" s="2">
        <f>Deployments!BX280</f>
        <v/>
      </c>
      <c r="Q292" s="21">
        <f>IF(OR($A292="",$B292="",$D292=""),"MISSING CORE FIELDS","")</f>
        <v/>
      </c>
      <c r="R292" s="14">
        <f>IF(AND($I292&lt;&gt;"",$K292&lt;&gt;"Yes"),"SW NOT INSTALLED","")</f>
        <v/>
      </c>
      <c r="S292" s="14">
        <f>IF(AND($H292&lt;&gt;"",ISNUMBER(SEARCH("auto",LOWER($H292))),$F292=""),"AUTOLOGON REQUIRED","")</f>
        <v/>
      </c>
      <c r="T292" s="14">
        <f>IF($Q292&lt;&gt;"",$Q292,IF($S292&lt;&gt;"",$S292,IF($R292&lt;&gt;"",$R292,IF(OR($N292&lt;&gt;"",$O292="Blocked"),"BLOCKED","OK"))))</f>
        <v/>
      </c>
    </row>
    <row r="293">
      <c r="A293" s="21">
        <f>Deployments!H281</f>
        <v/>
      </c>
      <c r="B293" s="21">
        <f>Deployments!X281</f>
        <v/>
      </c>
      <c r="C293" s="21">
        <f>Deployments!Y281</f>
        <v/>
      </c>
      <c r="D293" s="14">
        <f>Deployments!AO281</f>
        <v/>
      </c>
      <c r="E293" s="14">
        <f>Deployments!N281</f>
        <v/>
      </c>
      <c r="F293" s="21">
        <f>Deployments!O281</f>
        <v/>
      </c>
      <c r="G293" s="14">
        <f>Deployments!P281</f>
        <v/>
      </c>
      <c r="H293" s="14">
        <f>'13 - Config_Intake_View'!M293</f>
        <v/>
      </c>
      <c r="I293" s="21">
        <f>IF('13 - Config_Intake_View'!Q293&lt;&gt;"",'13 - Config_Intake_View'!Q293,Deployments!AG281)</f>
        <v/>
      </c>
      <c r="J293" s="14">
        <f>IF('13 - Config_Intake_View'!Q293&lt;&gt;"","PM Approved",IF(Deployments!AG281&lt;&gt;"","Assumed",""))</f>
        <v/>
      </c>
      <c r="K293" s="21">
        <f>Deployments!AF281</f>
        <v/>
      </c>
      <c r="L293" s="14">
        <f>Deployments!U281</f>
        <v/>
      </c>
      <c r="M293" s="14">
        <f>Deployments!L281</f>
        <v/>
      </c>
      <c r="N293" s="14">
        <f>Deployments!CC281</f>
        <v/>
      </c>
      <c r="O293" s="21">
        <f>Deployments!CD281</f>
        <v/>
      </c>
      <c r="P293" s="2">
        <f>Deployments!BX281</f>
        <v/>
      </c>
      <c r="Q293" s="21">
        <f>IF(OR($A293="",$B293="",$D293=""),"MISSING CORE FIELDS","")</f>
        <v/>
      </c>
      <c r="R293" s="14">
        <f>IF(AND($I293&lt;&gt;"",$K293&lt;&gt;"Yes"),"SW NOT INSTALLED","")</f>
        <v/>
      </c>
      <c r="S293" s="14">
        <f>IF(AND($H293&lt;&gt;"",ISNUMBER(SEARCH("auto",LOWER($H293))),$F293=""),"AUTOLOGON REQUIRED","")</f>
        <v/>
      </c>
      <c r="T293" s="14">
        <f>IF($Q293&lt;&gt;"",$Q293,IF($S293&lt;&gt;"",$S293,IF($R293&lt;&gt;"",$R293,IF(OR($N293&lt;&gt;"",$O293="Blocked"),"BLOCKED","OK"))))</f>
        <v/>
      </c>
    </row>
    <row r="294">
      <c r="A294" s="21">
        <f>Deployments!H282</f>
        <v/>
      </c>
      <c r="B294" s="21">
        <f>Deployments!X282</f>
        <v/>
      </c>
      <c r="C294" s="21">
        <f>Deployments!Y282</f>
        <v/>
      </c>
      <c r="D294" s="14">
        <f>Deployments!AO282</f>
        <v/>
      </c>
      <c r="E294" s="14">
        <f>Deployments!N282</f>
        <v/>
      </c>
      <c r="F294" s="21">
        <f>Deployments!O282</f>
        <v/>
      </c>
      <c r="G294" s="14">
        <f>Deployments!P282</f>
        <v/>
      </c>
      <c r="H294" s="14">
        <f>'13 - Config_Intake_View'!M294</f>
        <v/>
      </c>
      <c r="I294" s="21">
        <f>IF('13 - Config_Intake_View'!Q294&lt;&gt;"",'13 - Config_Intake_View'!Q294,Deployments!AG282)</f>
        <v/>
      </c>
      <c r="J294" s="14">
        <f>IF('13 - Config_Intake_View'!Q294&lt;&gt;"","PM Approved",IF(Deployments!AG282&lt;&gt;"","Assumed",""))</f>
        <v/>
      </c>
      <c r="K294" s="21">
        <f>Deployments!AF282</f>
        <v/>
      </c>
      <c r="L294" s="14">
        <f>Deployments!U282</f>
        <v/>
      </c>
      <c r="M294" s="14">
        <f>Deployments!L282</f>
        <v/>
      </c>
      <c r="N294" s="14">
        <f>Deployments!CC282</f>
        <v/>
      </c>
      <c r="O294" s="21">
        <f>Deployments!CD282</f>
        <v/>
      </c>
      <c r="P294" s="2">
        <f>Deployments!BX282</f>
        <v/>
      </c>
      <c r="Q294" s="21">
        <f>IF(OR($A294="",$B294="",$D294=""),"MISSING CORE FIELDS","")</f>
        <v/>
      </c>
      <c r="R294" s="14">
        <f>IF(AND($I294&lt;&gt;"",$K294&lt;&gt;"Yes"),"SW NOT INSTALLED","")</f>
        <v/>
      </c>
      <c r="S294" s="14">
        <f>IF(AND($H294&lt;&gt;"",ISNUMBER(SEARCH("auto",LOWER($H294))),$F294=""),"AUTOLOGON REQUIRED","")</f>
        <v/>
      </c>
      <c r="T294" s="14">
        <f>IF($Q294&lt;&gt;"",$Q294,IF($S294&lt;&gt;"",$S294,IF($R294&lt;&gt;"",$R294,IF(OR($N294&lt;&gt;"",$O294="Blocked"),"BLOCKED","OK"))))</f>
        <v/>
      </c>
    </row>
    <row r="295">
      <c r="A295" s="21">
        <f>Deployments!H283</f>
        <v/>
      </c>
      <c r="B295" s="21">
        <f>Deployments!X283</f>
        <v/>
      </c>
      <c r="C295" s="21">
        <f>Deployments!Y283</f>
        <v/>
      </c>
      <c r="D295" s="14">
        <f>Deployments!AO283</f>
        <v/>
      </c>
      <c r="E295" s="14">
        <f>Deployments!N283</f>
        <v/>
      </c>
      <c r="F295" s="21">
        <f>Deployments!O283</f>
        <v/>
      </c>
      <c r="G295" s="14">
        <f>Deployments!P283</f>
        <v/>
      </c>
      <c r="H295" s="14">
        <f>'13 - Config_Intake_View'!M295</f>
        <v/>
      </c>
      <c r="I295" s="21">
        <f>IF('13 - Config_Intake_View'!Q295&lt;&gt;"",'13 - Config_Intake_View'!Q295,Deployments!AG283)</f>
        <v/>
      </c>
      <c r="J295" s="14">
        <f>IF('13 - Config_Intake_View'!Q295&lt;&gt;"","PM Approved",IF(Deployments!AG283&lt;&gt;"","Assumed",""))</f>
        <v/>
      </c>
      <c r="K295" s="21">
        <f>Deployments!AF283</f>
        <v/>
      </c>
      <c r="L295" s="14">
        <f>Deployments!U283</f>
        <v/>
      </c>
      <c r="M295" s="14">
        <f>Deployments!L283</f>
        <v/>
      </c>
      <c r="N295" s="14">
        <f>Deployments!CC283</f>
        <v/>
      </c>
      <c r="O295" s="21">
        <f>Deployments!CD283</f>
        <v/>
      </c>
      <c r="P295" s="2">
        <f>Deployments!BX283</f>
        <v/>
      </c>
      <c r="Q295" s="21">
        <f>IF(OR($A295="",$B295="",$D295=""),"MISSING CORE FIELDS","")</f>
        <v/>
      </c>
      <c r="R295" s="14">
        <f>IF(AND($I295&lt;&gt;"",$K295&lt;&gt;"Yes"),"SW NOT INSTALLED","")</f>
        <v/>
      </c>
      <c r="S295" s="14">
        <f>IF(AND($H295&lt;&gt;"",ISNUMBER(SEARCH("auto",LOWER($H295))),$F295=""),"AUTOLOGON REQUIRED","")</f>
        <v/>
      </c>
      <c r="T295" s="14">
        <f>IF($Q295&lt;&gt;"",$Q295,IF($S295&lt;&gt;"",$S295,IF($R295&lt;&gt;"",$R295,IF(OR($N295&lt;&gt;"",$O295="Blocked"),"BLOCKED","OK"))))</f>
        <v/>
      </c>
    </row>
    <row r="296">
      <c r="A296" s="21">
        <f>Deployments!H284</f>
        <v/>
      </c>
      <c r="B296" s="21">
        <f>Deployments!X284</f>
        <v/>
      </c>
      <c r="C296" s="21">
        <f>Deployments!Y284</f>
        <v/>
      </c>
      <c r="D296" s="14">
        <f>Deployments!AO284</f>
        <v/>
      </c>
      <c r="E296" s="14">
        <f>Deployments!N284</f>
        <v/>
      </c>
      <c r="F296" s="21">
        <f>Deployments!O284</f>
        <v/>
      </c>
      <c r="G296" s="14">
        <f>Deployments!P284</f>
        <v/>
      </c>
      <c r="H296" s="14">
        <f>'13 - Config_Intake_View'!M296</f>
        <v/>
      </c>
      <c r="I296" s="21">
        <f>IF('13 - Config_Intake_View'!Q296&lt;&gt;"",'13 - Config_Intake_View'!Q296,Deployments!AG284)</f>
        <v/>
      </c>
      <c r="J296" s="14">
        <f>IF('13 - Config_Intake_View'!Q296&lt;&gt;"","PM Approved",IF(Deployments!AG284&lt;&gt;"","Assumed",""))</f>
        <v/>
      </c>
      <c r="K296" s="21">
        <f>Deployments!AF284</f>
        <v/>
      </c>
      <c r="L296" s="14">
        <f>Deployments!U284</f>
        <v/>
      </c>
      <c r="M296" s="14">
        <f>Deployments!L284</f>
        <v/>
      </c>
      <c r="N296" s="14">
        <f>Deployments!CC284</f>
        <v/>
      </c>
      <c r="O296" s="21">
        <f>Deployments!CD284</f>
        <v/>
      </c>
      <c r="P296" s="2">
        <f>Deployments!BX284</f>
        <v/>
      </c>
      <c r="Q296" s="21">
        <f>IF(OR($A296="",$B296="",$D296=""),"MISSING CORE FIELDS","")</f>
        <v/>
      </c>
      <c r="R296" s="14">
        <f>IF(AND($I296&lt;&gt;"",$K296&lt;&gt;"Yes"),"SW NOT INSTALLED","")</f>
        <v/>
      </c>
      <c r="S296" s="14">
        <f>IF(AND($H296&lt;&gt;"",ISNUMBER(SEARCH("auto",LOWER($H296))),$F296=""),"AUTOLOGON REQUIRED","")</f>
        <v/>
      </c>
      <c r="T296" s="14">
        <f>IF($Q296&lt;&gt;"",$Q296,IF($S296&lt;&gt;"",$S296,IF($R296&lt;&gt;"",$R296,IF(OR($N296&lt;&gt;"",$O296="Blocked"),"BLOCKED","OK"))))</f>
        <v/>
      </c>
    </row>
    <row r="297">
      <c r="A297" s="21">
        <f>Deployments!H285</f>
        <v/>
      </c>
      <c r="B297" s="21">
        <f>Deployments!X285</f>
        <v/>
      </c>
      <c r="C297" s="21">
        <f>Deployments!Y285</f>
        <v/>
      </c>
      <c r="D297" s="14">
        <f>Deployments!AO285</f>
        <v/>
      </c>
      <c r="E297" s="14">
        <f>Deployments!N285</f>
        <v/>
      </c>
      <c r="F297" s="21">
        <f>Deployments!O285</f>
        <v/>
      </c>
      <c r="G297" s="14">
        <f>Deployments!P285</f>
        <v/>
      </c>
      <c r="H297" s="14">
        <f>'13 - Config_Intake_View'!M297</f>
        <v/>
      </c>
      <c r="I297" s="21">
        <f>IF('13 - Config_Intake_View'!Q297&lt;&gt;"",'13 - Config_Intake_View'!Q297,Deployments!AG285)</f>
        <v/>
      </c>
      <c r="J297" s="14">
        <f>IF('13 - Config_Intake_View'!Q297&lt;&gt;"","PM Approved",IF(Deployments!AG285&lt;&gt;"","Assumed",""))</f>
        <v/>
      </c>
      <c r="K297" s="21">
        <f>Deployments!AF285</f>
        <v/>
      </c>
      <c r="L297" s="14">
        <f>Deployments!U285</f>
        <v/>
      </c>
      <c r="M297" s="14">
        <f>Deployments!L285</f>
        <v/>
      </c>
      <c r="N297" s="14">
        <f>Deployments!CC285</f>
        <v/>
      </c>
      <c r="O297" s="21">
        <f>Deployments!CD285</f>
        <v/>
      </c>
      <c r="P297" s="2">
        <f>Deployments!BX285</f>
        <v/>
      </c>
      <c r="Q297" s="21">
        <f>IF(OR($A297="",$B297="",$D297=""),"MISSING CORE FIELDS","")</f>
        <v/>
      </c>
      <c r="R297" s="14">
        <f>IF(AND($I297&lt;&gt;"",$K297&lt;&gt;"Yes"),"SW NOT INSTALLED","")</f>
        <v/>
      </c>
      <c r="S297" s="14">
        <f>IF(AND($H297&lt;&gt;"",ISNUMBER(SEARCH("auto",LOWER($H297))),$F297=""),"AUTOLOGON REQUIRED","")</f>
        <v/>
      </c>
      <c r="T297" s="14">
        <f>IF($Q297&lt;&gt;"",$Q297,IF($S297&lt;&gt;"",$S297,IF($R297&lt;&gt;"",$R297,IF(OR($N297&lt;&gt;"",$O297="Blocked"),"BLOCKED","OK"))))</f>
        <v/>
      </c>
    </row>
    <row r="298">
      <c r="A298" s="21">
        <f>Deployments!H286</f>
        <v/>
      </c>
      <c r="B298" s="21">
        <f>Deployments!X286</f>
        <v/>
      </c>
      <c r="C298" s="21">
        <f>Deployments!Y286</f>
        <v/>
      </c>
      <c r="D298" s="14">
        <f>Deployments!AO286</f>
        <v/>
      </c>
      <c r="E298" s="14">
        <f>Deployments!N286</f>
        <v/>
      </c>
      <c r="F298" s="21">
        <f>Deployments!O286</f>
        <v/>
      </c>
      <c r="G298" s="14">
        <f>Deployments!P286</f>
        <v/>
      </c>
      <c r="H298" s="14">
        <f>'13 - Config_Intake_View'!M298</f>
        <v/>
      </c>
      <c r="I298" s="21">
        <f>IF('13 - Config_Intake_View'!Q298&lt;&gt;"",'13 - Config_Intake_View'!Q298,Deployments!AG286)</f>
        <v/>
      </c>
      <c r="J298" s="14">
        <f>IF('13 - Config_Intake_View'!Q298&lt;&gt;"","PM Approved",IF(Deployments!AG286&lt;&gt;"","Assumed",""))</f>
        <v/>
      </c>
      <c r="K298" s="21">
        <f>Deployments!AF286</f>
        <v/>
      </c>
      <c r="L298" s="14">
        <f>Deployments!U286</f>
        <v/>
      </c>
      <c r="M298" s="14">
        <f>Deployments!L286</f>
        <v/>
      </c>
      <c r="N298" s="14">
        <f>Deployments!CC286</f>
        <v/>
      </c>
      <c r="O298" s="21">
        <f>Deployments!CD286</f>
        <v/>
      </c>
      <c r="P298" s="2">
        <f>Deployments!BX286</f>
        <v/>
      </c>
      <c r="Q298" s="21">
        <f>IF(OR($A298="",$B298="",$D298=""),"MISSING CORE FIELDS","")</f>
        <v/>
      </c>
      <c r="R298" s="14">
        <f>IF(AND($I298&lt;&gt;"",$K298&lt;&gt;"Yes"),"SW NOT INSTALLED","")</f>
        <v/>
      </c>
      <c r="S298" s="14">
        <f>IF(AND($H298&lt;&gt;"",ISNUMBER(SEARCH("auto",LOWER($H298))),$F298=""),"AUTOLOGON REQUIRED","")</f>
        <v/>
      </c>
      <c r="T298" s="14">
        <f>IF($Q298&lt;&gt;"",$Q298,IF($S298&lt;&gt;"",$S298,IF($R298&lt;&gt;"",$R298,IF(OR($N298&lt;&gt;"",$O298="Blocked"),"BLOCKED","OK"))))</f>
        <v/>
      </c>
    </row>
    <row r="299">
      <c r="A299" s="21">
        <f>Deployments!H287</f>
        <v/>
      </c>
      <c r="B299" s="21">
        <f>Deployments!X287</f>
        <v/>
      </c>
      <c r="C299" s="21">
        <f>Deployments!Y287</f>
        <v/>
      </c>
      <c r="D299" s="14">
        <f>Deployments!AO287</f>
        <v/>
      </c>
      <c r="E299" s="14">
        <f>Deployments!N287</f>
        <v/>
      </c>
      <c r="F299" s="21">
        <f>Deployments!O287</f>
        <v/>
      </c>
      <c r="G299" s="14">
        <f>Deployments!P287</f>
        <v/>
      </c>
      <c r="H299" s="14">
        <f>'13 - Config_Intake_View'!M299</f>
        <v/>
      </c>
      <c r="I299" s="21">
        <f>IF('13 - Config_Intake_View'!Q299&lt;&gt;"",'13 - Config_Intake_View'!Q299,Deployments!AG287)</f>
        <v/>
      </c>
      <c r="J299" s="14">
        <f>IF('13 - Config_Intake_View'!Q299&lt;&gt;"","PM Approved",IF(Deployments!AG287&lt;&gt;"","Assumed",""))</f>
        <v/>
      </c>
      <c r="K299" s="21">
        <f>Deployments!AF287</f>
        <v/>
      </c>
      <c r="L299" s="14">
        <f>Deployments!U287</f>
        <v/>
      </c>
      <c r="M299" s="14">
        <f>Deployments!L287</f>
        <v/>
      </c>
      <c r="N299" s="14">
        <f>Deployments!CC287</f>
        <v/>
      </c>
      <c r="O299" s="21">
        <f>Deployments!CD287</f>
        <v/>
      </c>
      <c r="P299" s="2">
        <f>Deployments!BX287</f>
        <v/>
      </c>
      <c r="Q299" s="21">
        <f>IF(OR($A299="",$B299="",$D299=""),"MISSING CORE FIELDS","")</f>
        <v/>
      </c>
      <c r="R299" s="14">
        <f>IF(AND($I299&lt;&gt;"",$K299&lt;&gt;"Yes"),"SW NOT INSTALLED","")</f>
        <v/>
      </c>
      <c r="S299" s="14">
        <f>IF(AND($H299&lt;&gt;"",ISNUMBER(SEARCH("auto",LOWER($H299))),$F299=""),"AUTOLOGON REQUIRED","")</f>
        <v/>
      </c>
      <c r="T299" s="14">
        <f>IF($Q299&lt;&gt;"",$Q299,IF($S299&lt;&gt;"",$S299,IF($R299&lt;&gt;"",$R299,IF(OR($N299&lt;&gt;"",$O299="Blocked"),"BLOCKED","OK"))))</f>
        <v/>
      </c>
    </row>
    <row r="300">
      <c r="A300" s="21">
        <f>Deployments!H288</f>
        <v/>
      </c>
      <c r="B300" s="21">
        <f>Deployments!X288</f>
        <v/>
      </c>
      <c r="C300" s="21">
        <f>Deployments!Y288</f>
        <v/>
      </c>
      <c r="D300" s="14">
        <f>Deployments!AO288</f>
        <v/>
      </c>
      <c r="E300" s="14">
        <f>Deployments!N288</f>
        <v/>
      </c>
      <c r="F300" s="21">
        <f>Deployments!O288</f>
        <v/>
      </c>
      <c r="G300" s="14">
        <f>Deployments!P288</f>
        <v/>
      </c>
      <c r="H300" s="14">
        <f>'13 - Config_Intake_View'!M300</f>
        <v/>
      </c>
      <c r="I300" s="21">
        <f>IF('13 - Config_Intake_View'!Q300&lt;&gt;"",'13 - Config_Intake_View'!Q300,Deployments!AG288)</f>
        <v/>
      </c>
      <c r="J300" s="14">
        <f>IF('13 - Config_Intake_View'!Q300&lt;&gt;"","PM Approved",IF(Deployments!AG288&lt;&gt;"","Assumed",""))</f>
        <v/>
      </c>
      <c r="K300" s="21">
        <f>Deployments!AF288</f>
        <v/>
      </c>
      <c r="L300" s="14">
        <f>Deployments!U288</f>
        <v/>
      </c>
      <c r="M300" s="14">
        <f>Deployments!L288</f>
        <v/>
      </c>
      <c r="N300" s="14">
        <f>Deployments!CC288</f>
        <v/>
      </c>
      <c r="O300" s="21">
        <f>Deployments!CD288</f>
        <v/>
      </c>
      <c r="P300" s="2">
        <f>Deployments!BX288</f>
        <v/>
      </c>
      <c r="Q300" s="21">
        <f>IF(OR($A300="",$B300="",$D300=""),"MISSING CORE FIELDS","")</f>
        <v/>
      </c>
      <c r="R300" s="14">
        <f>IF(AND($I300&lt;&gt;"",$K300&lt;&gt;"Yes"),"SW NOT INSTALLED","")</f>
        <v/>
      </c>
      <c r="S300" s="14">
        <f>IF(AND($H300&lt;&gt;"",ISNUMBER(SEARCH("auto",LOWER($H300))),$F300=""),"AUTOLOGON REQUIRED","")</f>
        <v/>
      </c>
      <c r="T300" s="14">
        <f>IF($Q300&lt;&gt;"",$Q300,IF($S300&lt;&gt;"",$S300,IF($R300&lt;&gt;"",$R300,IF(OR($N300&lt;&gt;"",$O300="Blocked"),"BLOCKED","OK"))))</f>
        <v/>
      </c>
    </row>
    <row r="301">
      <c r="A301" s="21">
        <f>Deployments!H289</f>
        <v/>
      </c>
      <c r="B301" s="21">
        <f>Deployments!X289</f>
        <v/>
      </c>
      <c r="C301" s="21">
        <f>Deployments!Y289</f>
        <v/>
      </c>
      <c r="D301" s="14">
        <f>Deployments!AO289</f>
        <v/>
      </c>
      <c r="E301" s="14">
        <f>Deployments!N289</f>
        <v/>
      </c>
      <c r="F301" s="21">
        <f>Deployments!O289</f>
        <v/>
      </c>
      <c r="G301" s="14">
        <f>Deployments!P289</f>
        <v/>
      </c>
      <c r="H301" s="14">
        <f>'13 - Config_Intake_View'!M301</f>
        <v/>
      </c>
      <c r="I301" s="21">
        <f>IF('13 - Config_Intake_View'!Q301&lt;&gt;"",'13 - Config_Intake_View'!Q301,Deployments!AG289)</f>
        <v/>
      </c>
      <c r="J301" s="14">
        <f>IF('13 - Config_Intake_View'!Q301&lt;&gt;"","PM Approved",IF(Deployments!AG289&lt;&gt;"","Assumed",""))</f>
        <v/>
      </c>
      <c r="K301" s="21">
        <f>Deployments!AF289</f>
        <v/>
      </c>
      <c r="L301" s="14">
        <f>Deployments!U289</f>
        <v/>
      </c>
      <c r="M301" s="14">
        <f>Deployments!L289</f>
        <v/>
      </c>
      <c r="N301" s="14">
        <f>Deployments!CC289</f>
        <v/>
      </c>
      <c r="O301" s="21">
        <f>Deployments!CD289</f>
        <v/>
      </c>
      <c r="P301" s="2">
        <f>Deployments!BX289</f>
        <v/>
      </c>
      <c r="Q301" s="21">
        <f>IF(OR($A301="",$B301="",$D301=""),"MISSING CORE FIELDS","")</f>
        <v/>
      </c>
      <c r="R301" s="14">
        <f>IF(AND($I301&lt;&gt;"",$K301&lt;&gt;"Yes"),"SW NOT INSTALLED","")</f>
        <v/>
      </c>
      <c r="S301" s="14">
        <f>IF(AND($H301&lt;&gt;"",ISNUMBER(SEARCH("auto",LOWER($H301))),$F301=""),"AUTOLOGON REQUIRED","")</f>
        <v/>
      </c>
      <c r="T301" s="14">
        <f>IF($Q301&lt;&gt;"",$Q301,IF($S301&lt;&gt;"",$S301,IF($R301&lt;&gt;"",$R301,IF(OR($N301&lt;&gt;"",$O301="Blocked"),"BLOCKED","OK"))))</f>
        <v/>
      </c>
    </row>
    <row r="302">
      <c r="A302" s="21">
        <f>Deployments!#REF!</f>
        <v/>
      </c>
      <c r="B302" s="21">
        <f>Deployments!#REF!</f>
        <v/>
      </c>
      <c r="C302" s="21">
        <f>Deployments!#REF!</f>
        <v/>
      </c>
      <c r="D302" s="14">
        <f>Deployments!#REF!</f>
        <v/>
      </c>
      <c r="E302" s="14">
        <f>Deployments!#REF!</f>
        <v/>
      </c>
      <c r="F302" s="21">
        <f>Deployments!#REF!</f>
        <v/>
      </c>
      <c r="G302" s="14">
        <f>Deployments!#REF!</f>
        <v/>
      </c>
      <c r="H302" s="14">
        <f>'13 - Config_Intake_View'!M302</f>
        <v/>
      </c>
      <c r="I302" s="21">
        <f>IF('13 - Config_Intake_View'!Q302&lt;&gt;"",'13 - Config_Intake_View'!Q302,Deployments!#REF!)</f>
        <v/>
      </c>
      <c r="J302" s="14">
        <f>IF('13 - Config_Intake_View'!Q302&lt;&gt;"","PM Approved",IF(Deployments!#REF!&lt;&gt;"","Assumed",""))</f>
        <v/>
      </c>
      <c r="K302" s="21">
        <f>Deployments!#REF!</f>
        <v/>
      </c>
      <c r="L302" s="14">
        <f>Deployments!#REF!</f>
        <v/>
      </c>
      <c r="M302" s="14">
        <f>Deployments!#REF!</f>
        <v/>
      </c>
      <c r="N302" s="14">
        <f>Deployments!#REF!</f>
        <v/>
      </c>
      <c r="O302" s="21">
        <f>Deployments!#REF!</f>
        <v/>
      </c>
      <c r="P302" s="2">
        <f>Deployments!#REF!</f>
        <v/>
      </c>
      <c r="Q302" s="21">
        <f>IF(OR($A302="",$B302="",$D302=""),"MISSING CORE FIELDS","")</f>
        <v/>
      </c>
      <c r="R302" s="14">
        <f>IF(AND($I302&lt;&gt;"",$K302&lt;&gt;"Yes"),"SW NOT INSTALLED","")</f>
        <v/>
      </c>
      <c r="S302" s="14">
        <f>IF(AND($H302&lt;&gt;"",ISNUMBER(SEARCH("auto",LOWER($H302))),$F302=""),"AUTOLOGON REQUIRED","")</f>
        <v/>
      </c>
      <c r="T302" s="14">
        <f>IF($Q302&lt;&gt;"",$Q302,IF($S302&lt;&gt;"",$S302,IF($R302&lt;&gt;"",$R302,IF(OR($N302&lt;&gt;"",$O302="Blocked"),"BLOCKED","OK"))))</f>
        <v/>
      </c>
    </row>
    <row r="303">
      <c r="A303" s="21">
        <f>Deployments!H290</f>
        <v/>
      </c>
      <c r="B303" s="21">
        <f>Deployments!X290</f>
        <v/>
      </c>
      <c r="C303" s="21">
        <f>Deployments!Y290</f>
        <v/>
      </c>
      <c r="D303" s="14">
        <f>Deployments!AO290</f>
        <v/>
      </c>
      <c r="E303" s="14">
        <f>Deployments!N290</f>
        <v/>
      </c>
      <c r="F303" s="21">
        <f>Deployments!O290</f>
        <v/>
      </c>
      <c r="G303" s="14">
        <f>Deployments!P290</f>
        <v/>
      </c>
      <c r="H303" s="14">
        <f>'13 - Config_Intake_View'!M303</f>
        <v/>
      </c>
      <c r="I303" s="21">
        <f>IF('13 - Config_Intake_View'!Q303&lt;&gt;"",'13 - Config_Intake_View'!Q303,Deployments!AG290)</f>
        <v/>
      </c>
      <c r="J303" s="14">
        <f>IF('13 - Config_Intake_View'!Q303&lt;&gt;"","PM Approved",IF(Deployments!AG290&lt;&gt;"","Assumed",""))</f>
        <v/>
      </c>
      <c r="K303" s="21">
        <f>Deployments!AF290</f>
        <v/>
      </c>
      <c r="L303" s="14">
        <f>Deployments!U290</f>
        <v/>
      </c>
      <c r="M303" s="14">
        <f>Deployments!L290</f>
        <v/>
      </c>
      <c r="N303" s="14">
        <f>Deployments!CC290</f>
        <v/>
      </c>
      <c r="O303" s="21">
        <f>Deployments!CD290</f>
        <v/>
      </c>
      <c r="P303" s="2">
        <f>Deployments!BX290</f>
        <v/>
      </c>
      <c r="Q303" s="21">
        <f>IF(OR($A303="",$B303="",$D303=""),"MISSING CORE FIELDS","")</f>
        <v/>
      </c>
      <c r="R303" s="14">
        <f>IF(AND($I303&lt;&gt;"",$K303&lt;&gt;"Yes"),"SW NOT INSTALLED","")</f>
        <v/>
      </c>
      <c r="S303" s="14">
        <f>IF(AND($H303&lt;&gt;"",ISNUMBER(SEARCH("auto",LOWER($H303))),$F303=""),"AUTOLOGON REQUIRED","")</f>
        <v/>
      </c>
      <c r="T303" s="14">
        <f>IF($Q303&lt;&gt;"",$Q303,IF($S303&lt;&gt;"",$S303,IF($R303&lt;&gt;"",$R303,IF(OR($N303&lt;&gt;"",$O303="Blocked"),"BLOCKED","OK"))))</f>
        <v/>
      </c>
    </row>
    <row r="304">
      <c r="A304" s="21">
        <f>Deployments!H291</f>
        <v/>
      </c>
      <c r="B304" s="21">
        <f>Deployments!X291</f>
        <v/>
      </c>
      <c r="C304" s="21">
        <f>Deployments!Y291</f>
        <v/>
      </c>
      <c r="D304" s="14">
        <f>Deployments!AO291</f>
        <v/>
      </c>
      <c r="E304" s="14">
        <f>Deployments!N291</f>
        <v/>
      </c>
      <c r="F304" s="21">
        <f>Deployments!O291</f>
        <v/>
      </c>
      <c r="G304" s="14">
        <f>Deployments!P291</f>
        <v/>
      </c>
      <c r="H304" s="14">
        <f>'13 - Config_Intake_View'!M304</f>
        <v/>
      </c>
      <c r="I304" s="21">
        <f>IF('13 - Config_Intake_View'!Q304&lt;&gt;"",'13 - Config_Intake_View'!Q304,Deployments!AG291)</f>
        <v/>
      </c>
      <c r="J304" s="14">
        <f>IF('13 - Config_Intake_View'!Q304&lt;&gt;"","PM Approved",IF(Deployments!AG291&lt;&gt;"","Assumed",""))</f>
        <v/>
      </c>
      <c r="K304" s="21">
        <f>Deployments!AF291</f>
        <v/>
      </c>
      <c r="L304" s="14">
        <f>Deployments!U291</f>
        <v/>
      </c>
      <c r="M304" s="14">
        <f>Deployments!L291</f>
        <v/>
      </c>
      <c r="N304" s="14">
        <f>Deployments!CC291</f>
        <v/>
      </c>
      <c r="O304" s="21">
        <f>Deployments!CD291</f>
        <v/>
      </c>
      <c r="P304" s="2">
        <f>Deployments!BX291</f>
        <v/>
      </c>
      <c r="Q304" s="21">
        <f>IF(OR($A304="",$B304="",$D304=""),"MISSING CORE FIELDS","")</f>
        <v/>
      </c>
      <c r="R304" s="14">
        <f>IF(AND($I304&lt;&gt;"",$K304&lt;&gt;"Yes"),"SW NOT INSTALLED","")</f>
        <v/>
      </c>
      <c r="S304" s="14">
        <f>IF(AND($H304&lt;&gt;"",ISNUMBER(SEARCH("auto",LOWER($H304))),$F304=""),"AUTOLOGON REQUIRED","")</f>
        <v/>
      </c>
      <c r="T304" s="14">
        <f>IF($Q304&lt;&gt;"",$Q304,IF($S304&lt;&gt;"",$S304,IF($R304&lt;&gt;"",$R304,IF(OR($N304&lt;&gt;"",$O304="Blocked"),"BLOCKED","OK"))))</f>
        <v/>
      </c>
    </row>
    <row r="305">
      <c r="A305" s="21">
        <f>Deployments!H292</f>
        <v/>
      </c>
      <c r="B305" s="21">
        <f>Deployments!X292</f>
        <v/>
      </c>
      <c r="C305" s="21">
        <f>Deployments!Y292</f>
        <v/>
      </c>
      <c r="D305" s="14">
        <f>Deployments!AO292</f>
        <v/>
      </c>
      <c r="E305" s="14">
        <f>Deployments!N292</f>
        <v/>
      </c>
      <c r="F305" s="21">
        <f>Deployments!O292</f>
        <v/>
      </c>
      <c r="G305" s="14">
        <f>Deployments!P292</f>
        <v/>
      </c>
      <c r="H305" s="14">
        <f>'13 - Config_Intake_View'!M305</f>
        <v/>
      </c>
      <c r="I305" s="21">
        <f>IF('13 - Config_Intake_View'!Q305&lt;&gt;"",'13 - Config_Intake_View'!Q305,Deployments!AG292)</f>
        <v/>
      </c>
      <c r="J305" s="14">
        <f>IF('13 - Config_Intake_View'!Q305&lt;&gt;"","PM Approved",IF(Deployments!AG292&lt;&gt;"","Assumed",""))</f>
        <v/>
      </c>
      <c r="K305" s="21">
        <f>Deployments!AF292</f>
        <v/>
      </c>
      <c r="L305" s="14">
        <f>Deployments!U292</f>
        <v/>
      </c>
      <c r="M305" s="14">
        <f>Deployments!L292</f>
        <v/>
      </c>
      <c r="N305" s="14">
        <f>Deployments!CC292</f>
        <v/>
      </c>
      <c r="O305" s="21">
        <f>Deployments!CD292</f>
        <v/>
      </c>
      <c r="P305" s="2">
        <f>Deployments!BX292</f>
        <v/>
      </c>
      <c r="Q305" s="21">
        <f>IF(OR($A305="",$B305="",$D305=""),"MISSING CORE FIELDS","")</f>
        <v/>
      </c>
      <c r="R305" s="14">
        <f>IF(AND($I305&lt;&gt;"",$K305&lt;&gt;"Yes"),"SW NOT INSTALLED","")</f>
        <v/>
      </c>
      <c r="S305" s="14">
        <f>IF(AND($H305&lt;&gt;"",ISNUMBER(SEARCH("auto",LOWER($H305))),$F305=""),"AUTOLOGON REQUIRED","")</f>
        <v/>
      </c>
      <c r="T305" s="14">
        <f>IF($Q305&lt;&gt;"",$Q305,IF($S305&lt;&gt;"",$S305,IF($R305&lt;&gt;"",$R305,IF(OR($N305&lt;&gt;"",$O305="Blocked"),"BLOCKED","OK"))))</f>
        <v/>
      </c>
    </row>
    <row r="306">
      <c r="A306" s="21">
        <f>Deployments!H293</f>
        <v/>
      </c>
      <c r="B306" s="21">
        <f>Deployments!X293</f>
        <v/>
      </c>
      <c r="C306" s="21">
        <f>Deployments!Y293</f>
        <v/>
      </c>
      <c r="D306" s="14">
        <f>Deployments!AO293</f>
        <v/>
      </c>
      <c r="E306" s="14">
        <f>Deployments!N293</f>
        <v/>
      </c>
      <c r="F306" s="21">
        <f>Deployments!O293</f>
        <v/>
      </c>
      <c r="G306" s="14">
        <f>Deployments!P293</f>
        <v/>
      </c>
      <c r="H306" s="14">
        <f>'13 - Config_Intake_View'!M306</f>
        <v/>
      </c>
      <c r="I306" s="21">
        <f>IF('13 - Config_Intake_View'!Q306&lt;&gt;"",'13 - Config_Intake_View'!Q306,Deployments!AG293)</f>
        <v/>
      </c>
      <c r="J306" s="14">
        <f>IF('13 - Config_Intake_View'!Q306&lt;&gt;"","PM Approved",IF(Deployments!AG293&lt;&gt;"","Assumed",""))</f>
        <v/>
      </c>
      <c r="K306" s="21">
        <f>Deployments!AF293</f>
        <v/>
      </c>
      <c r="L306" s="14">
        <f>Deployments!U293</f>
        <v/>
      </c>
      <c r="M306" s="14">
        <f>Deployments!L293</f>
        <v/>
      </c>
      <c r="N306" s="14">
        <f>Deployments!CC293</f>
        <v/>
      </c>
      <c r="O306" s="21">
        <f>Deployments!CD293</f>
        <v/>
      </c>
      <c r="P306" s="2">
        <f>Deployments!BX293</f>
        <v/>
      </c>
      <c r="Q306" s="21">
        <f>IF(OR($A306="",$B306="",$D306=""),"MISSING CORE FIELDS","")</f>
        <v/>
      </c>
      <c r="R306" s="14">
        <f>IF(AND($I306&lt;&gt;"",$K306&lt;&gt;"Yes"),"SW NOT INSTALLED","")</f>
        <v/>
      </c>
      <c r="S306" s="14">
        <f>IF(AND($H306&lt;&gt;"",ISNUMBER(SEARCH("auto",LOWER($H306))),$F306=""),"AUTOLOGON REQUIRED","")</f>
        <v/>
      </c>
      <c r="T306" s="14">
        <f>IF($Q306&lt;&gt;"",$Q306,IF($S306&lt;&gt;"",$S306,IF($R306&lt;&gt;"",$R306,IF(OR($N306&lt;&gt;"",$O306="Blocked"),"BLOCKED","OK"))))</f>
        <v/>
      </c>
    </row>
    <row r="307">
      <c r="A307" s="21">
        <f>Deployments!H294</f>
        <v/>
      </c>
      <c r="B307" s="21">
        <f>Deployments!X294</f>
        <v/>
      </c>
      <c r="C307" s="21">
        <f>Deployments!Y294</f>
        <v/>
      </c>
      <c r="D307" s="14">
        <f>Deployments!AO294</f>
        <v/>
      </c>
      <c r="E307" s="14">
        <f>Deployments!N294</f>
        <v/>
      </c>
      <c r="F307" s="21">
        <f>Deployments!O294</f>
        <v/>
      </c>
      <c r="G307" s="14">
        <f>Deployments!P294</f>
        <v/>
      </c>
      <c r="H307" s="14">
        <f>'13 - Config_Intake_View'!M307</f>
        <v/>
      </c>
      <c r="I307" s="21">
        <f>IF('13 - Config_Intake_View'!Q307&lt;&gt;"",'13 - Config_Intake_View'!Q307,Deployments!AG294)</f>
        <v/>
      </c>
      <c r="J307" s="14">
        <f>IF('13 - Config_Intake_View'!Q307&lt;&gt;"","PM Approved",IF(Deployments!AG294&lt;&gt;"","Assumed",""))</f>
        <v/>
      </c>
      <c r="K307" s="21">
        <f>Deployments!AF294</f>
        <v/>
      </c>
      <c r="L307" s="14">
        <f>Deployments!U294</f>
        <v/>
      </c>
      <c r="M307" s="14">
        <f>Deployments!L294</f>
        <v/>
      </c>
      <c r="N307" s="14">
        <f>Deployments!CC294</f>
        <v/>
      </c>
      <c r="O307" s="21">
        <f>Deployments!CD294</f>
        <v/>
      </c>
      <c r="P307" s="2">
        <f>Deployments!BX294</f>
        <v/>
      </c>
      <c r="Q307" s="21">
        <f>IF(OR($A307="",$B307="",$D307=""),"MISSING CORE FIELDS","")</f>
        <v/>
      </c>
      <c r="R307" s="14">
        <f>IF(AND($I307&lt;&gt;"",$K307&lt;&gt;"Yes"),"SW NOT INSTALLED","")</f>
        <v/>
      </c>
      <c r="S307" s="14">
        <f>IF(AND($H307&lt;&gt;"",ISNUMBER(SEARCH("auto",LOWER($H307))),$F307=""),"AUTOLOGON REQUIRED","")</f>
        <v/>
      </c>
      <c r="T307" s="14">
        <f>IF($Q307&lt;&gt;"",$Q307,IF($S307&lt;&gt;"",$S307,IF($R307&lt;&gt;"",$R307,IF(OR($N307&lt;&gt;"",$O307="Blocked"),"BLOCKED","OK"))))</f>
        <v/>
      </c>
    </row>
    <row r="308">
      <c r="A308" s="21">
        <f>Deployments!H295</f>
        <v/>
      </c>
      <c r="B308" s="21">
        <f>Deployments!X295</f>
        <v/>
      </c>
      <c r="C308" s="21">
        <f>Deployments!Y295</f>
        <v/>
      </c>
      <c r="D308" s="14">
        <f>Deployments!AO295</f>
        <v/>
      </c>
      <c r="E308" s="14">
        <f>Deployments!N295</f>
        <v/>
      </c>
      <c r="F308" s="21">
        <f>Deployments!O295</f>
        <v/>
      </c>
      <c r="G308" s="14">
        <f>Deployments!P295</f>
        <v/>
      </c>
      <c r="H308" s="14">
        <f>'13 - Config_Intake_View'!M308</f>
        <v/>
      </c>
      <c r="I308" s="21">
        <f>IF('13 - Config_Intake_View'!Q308&lt;&gt;"",'13 - Config_Intake_View'!Q308,Deployments!AG295)</f>
        <v/>
      </c>
      <c r="J308" s="14">
        <f>IF('13 - Config_Intake_View'!Q308&lt;&gt;"","PM Approved",IF(Deployments!AG295&lt;&gt;"","Assumed",""))</f>
        <v/>
      </c>
      <c r="K308" s="21">
        <f>Deployments!AF295</f>
        <v/>
      </c>
      <c r="L308" s="14">
        <f>Deployments!U295</f>
        <v/>
      </c>
      <c r="M308" s="14">
        <f>Deployments!L295</f>
        <v/>
      </c>
      <c r="N308" s="14">
        <f>Deployments!CC295</f>
        <v/>
      </c>
      <c r="O308" s="21">
        <f>Deployments!CD295</f>
        <v/>
      </c>
      <c r="P308" s="2">
        <f>Deployments!BX295</f>
        <v/>
      </c>
      <c r="Q308" s="21">
        <f>IF(OR($A308="",$B308="",$D308=""),"MISSING CORE FIELDS","")</f>
        <v/>
      </c>
      <c r="R308" s="14">
        <f>IF(AND($I308&lt;&gt;"",$K308&lt;&gt;"Yes"),"SW NOT INSTALLED","")</f>
        <v/>
      </c>
      <c r="S308" s="14">
        <f>IF(AND($H308&lt;&gt;"",ISNUMBER(SEARCH("auto",LOWER($H308))),$F308=""),"AUTOLOGON REQUIRED","")</f>
        <v/>
      </c>
      <c r="T308" s="14">
        <f>IF($Q308&lt;&gt;"",$Q308,IF($S308&lt;&gt;"",$S308,IF($R308&lt;&gt;"",$R308,IF(OR($N308&lt;&gt;"",$O308="Blocked"),"BLOCKED","OK"))))</f>
        <v/>
      </c>
    </row>
    <row r="309">
      <c r="A309" s="21">
        <f>Deployments!H296</f>
        <v/>
      </c>
      <c r="B309" s="21">
        <f>Deployments!X296</f>
        <v/>
      </c>
      <c r="C309" s="21">
        <f>Deployments!Y296</f>
        <v/>
      </c>
      <c r="D309" s="14">
        <f>Deployments!AO296</f>
        <v/>
      </c>
      <c r="E309" s="14">
        <f>Deployments!N296</f>
        <v/>
      </c>
      <c r="F309" s="21">
        <f>Deployments!O296</f>
        <v/>
      </c>
      <c r="G309" s="14">
        <f>Deployments!P296</f>
        <v/>
      </c>
      <c r="H309" s="14">
        <f>'13 - Config_Intake_View'!M309</f>
        <v/>
      </c>
      <c r="I309" s="21">
        <f>IF('13 - Config_Intake_View'!Q309&lt;&gt;"",'13 - Config_Intake_View'!Q309,Deployments!AG296)</f>
        <v/>
      </c>
      <c r="J309" s="14">
        <f>IF('13 - Config_Intake_View'!Q309&lt;&gt;"","PM Approved",IF(Deployments!AG296&lt;&gt;"","Assumed",""))</f>
        <v/>
      </c>
      <c r="K309" s="21">
        <f>Deployments!AF296</f>
        <v/>
      </c>
      <c r="L309" s="14">
        <f>Deployments!U296</f>
        <v/>
      </c>
      <c r="M309" s="14">
        <f>Deployments!L296</f>
        <v/>
      </c>
      <c r="N309" s="14">
        <f>Deployments!CC296</f>
        <v/>
      </c>
      <c r="O309" s="21">
        <f>Deployments!CD296</f>
        <v/>
      </c>
      <c r="P309" s="2">
        <f>Deployments!BX296</f>
        <v/>
      </c>
      <c r="Q309" s="21">
        <f>IF(OR($A309="",$B309="",$D309=""),"MISSING CORE FIELDS","")</f>
        <v/>
      </c>
      <c r="R309" s="14">
        <f>IF(AND($I309&lt;&gt;"",$K309&lt;&gt;"Yes"),"SW NOT INSTALLED","")</f>
        <v/>
      </c>
      <c r="S309" s="14">
        <f>IF(AND($H309&lt;&gt;"",ISNUMBER(SEARCH("auto",LOWER($H309))),$F309=""),"AUTOLOGON REQUIRED","")</f>
        <v/>
      </c>
      <c r="T309" s="14">
        <f>IF($Q309&lt;&gt;"",$Q309,IF($S309&lt;&gt;"",$S309,IF($R309&lt;&gt;"",$R309,IF(OR($N309&lt;&gt;"",$O309="Blocked"),"BLOCKED","OK"))))</f>
        <v/>
      </c>
    </row>
    <row r="310">
      <c r="A310" s="21">
        <f>Deployments!H298</f>
        <v/>
      </c>
      <c r="B310" s="21">
        <f>Deployments!X298</f>
        <v/>
      </c>
      <c r="C310" s="21">
        <f>Deployments!Y298</f>
        <v/>
      </c>
      <c r="D310" s="14">
        <f>Deployments!AO298</f>
        <v/>
      </c>
      <c r="E310" s="14">
        <f>Deployments!N298</f>
        <v/>
      </c>
      <c r="F310" s="21">
        <f>Deployments!O298</f>
        <v/>
      </c>
      <c r="G310" s="14">
        <f>Deployments!P298</f>
        <v/>
      </c>
      <c r="H310" s="14">
        <f>'13 - Config_Intake_View'!M310</f>
        <v/>
      </c>
      <c r="I310" s="21">
        <f>IF('13 - Config_Intake_View'!Q310&lt;&gt;"",'13 - Config_Intake_View'!Q310,Deployments!AG298)</f>
        <v/>
      </c>
      <c r="J310" s="14">
        <f>IF('13 - Config_Intake_View'!Q310&lt;&gt;"","PM Approved",IF(Deployments!AG298&lt;&gt;"","Assumed",""))</f>
        <v/>
      </c>
      <c r="K310" s="21">
        <f>Deployments!AF298</f>
        <v/>
      </c>
      <c r="L310" s="14">
        <f>Deployments!U298</f>
        <v/>
      </c>
      <c r="M310" s="14">
        <f>Deployments!L298</f>
        <v/>
      </c>
      <c r="N310" s="14">
        <f>Deployments!CC298</f>
        <v/>
      </c>
      <c r="O310" s="21">
        <f>Deployments!CD298</f>
        <v/>
      </c>
      <c r="P310" s="2">
        <f>Deployments!BX298</f>
        <v/>
      </c>
      <c r="Q310" s="21">
        <f>IF(OR($A310="",$B310="",$D310=""),"MISSING CORE FIELDS","")</f>
        <v/>
      </c>
      <c r="R310" s="14">
        <f>IF(AND($I310&lt;&gt;"",$K310&lt;&gt;"Yes"),"SW NOT INSTALLED","")</f>
        <v/>
      </c>
      <c r="S310" s="14">
        <f>IF(AND($H310&lt;&gt;"",ISNUMBER(SEARCH("auto",LOWER($H310))),$F310=""),"AUTOLOGON REQUIRED","")</f>
        <v/>
      </c>
      <c r="T310" s="14">
        <f>IF($Q310&lt;&gt;"",$Q310,IF($S310&lt;&gt;"",$S310,IF($R310&lt;&gt;"",$R310,IF(OR($N310&lt;&gt;"",$O310="Blocked"),"BLOCKED","OK"))))</f>
        <v/>
      </c>
    </row>
    <row r="311">
      <c r="A311" s="21">
        <f>Deployments!H299</f>
        <v/>
      </c>
      <c r="B311" s="21">
        <f>Deployments!X299</f>
        <v/>
      </c>
      <c r="C311" s="21">
        <f>Deployments!Y299</f>
        <v/>
      </c>
      <c r="D311" s="14">
        <f>Deployments!AO299</f>
        <v/>
      </c>
      <c r="E311" s="14">
        <f>Deployments!N299</f>
        <v/>
      </c>
      <c r="F311" s="21">
        <f>Deployments!O299</f>
        <v/>
      </c>
      <c r="G311" s="14">
        <f>Deployments!P299</f>
        <v/>
      </c>
      <c r="H311" s="14">
        <f>'13 - Config_Intake_View'!M311</f>
        <v/>
      </c>
      <c r="I311" s="21">
        <f>IF('13 - Config_Intake_View'!Q311&lt;&gt;"",'13 - Config_Intake_View'!Q311,Deployments!AG299)</f>
        <v/>
      </c>
      <c r="J311" s="14">
        <f>IF('13 - Config_Intake_View'!Q311&lt;&gt;"","PM Approved",IF(Deployments!AG299&lt;&gt;"","Assumed",""))</f>
        <v/>
      </c>
      <c r="K311" s="21">
        <f>Deployments!AF299</f>
        <v/>
      </c>
      <c r="L311" s="14">
        <f>Deployments!U299</f>
        <v/>
      </c>
      <c r="M311" s="14">
        <f>Deployments!L299</f>
        <v/>
      </c>
      <c r="N311" s="14">
        <f>Deployments!CC299</f>
        <v/>
      </c>
      <c r="O311" s="21">
        <f>Deployments!CD299</f>
        <v/>
      </c>
      <c r="P311" s="2">
        <f>Deployments!BX299</f>
        <v/>
      </c>
      <c r="Q311" s="21">
        <f>IF(OR($A311="",$B311="",$D311=""),"MISSING CORE FIELDS","")</f>
        <v/>
      </c>
      <c r="R311" s="14">
        <f>IF(AND($I311&lt;&gt;"",$K311&lt;&gt;"Yes"),"SW NOT INSTALLED","")</f>
        <v/>
      </c>
      <c r="S311" s="14">
        <f>IF(AND($H311&lt;&gt;"",ISNUMBER(SEARCH("auto",LOWER($H311))),$F311=""),"AUTOLOGON REQUIRED","")</f>
        <v/>
      </c>
      <c r="T311" s="14">
        <f>IF($Q311&lt;&gt;"",$Q311,IF($S311&lt;&gt;"",$S311,IF($R311&lt;&gt;"",$R311,IF(OR($N311&lt;&gt;"",$O311="Blocked"),"BLOCKED","OK"))))</f>
        <v/>
      </c>
    </row>
    <row r="312">
      <c r="A312" s="21">
        <f>Deployments!H300</f>
        <v/>
      </c>
      <c r="B312" s="21">
        <f>Deployments!X300</f>
        <v/>
      </c>
      <c r="C312" s="21">
        <f>Deployments!Y300</f>
        <v/>
      </c>
      <c r="D312" s="14">
        <f>Deployments!AO300</f>
        <v/>
      </c>
      <c r="E312" s="14">
        <f>Deployments!N300</f>
        <v/>
      </c>
      <c r="F312" s="21">
        <f>Deployments!O300</f>
        <v/>
      </c>
      <c r="G312" s="14">
        <f>Deployments!P300</f>
        <v/>
      </c>
      <c r="H312" s="14">
        <f>'13 - Config_Intake_View'!M312</f>
        <v/>
      </c>
      <c r="I312" s="21">
        <f>IF('13 - Config_Intake_View'!Q312&lt;&gt;"",'13 - Config_Intake_View'!Q312,Deployments!AG300)</f>
        <v/>
      </c>
      <c r="J312" s="14">
        <f>IF('13 - Config_Intake_View'!Q312&lt;&gt;"","PM Approved",IF(Deployments!AG300&lt;&gt;"","Assumed",""))</f>
        <v/>
      </c>
      <c r="K312" s="21">
        <f>Deployments!AF300</f>
        <v/>
      </c>
      <c r="L312" s="14">
        <f>Deployments!U300</f>
        <v/>
      </c>
      <c r="M312" s="14">
        <f>Deployments!L300</f>
        <v/>
      </c>
      <c r="N312" s="14">
        <f>Deployments!CC300</f>
        <v/>
      </c>
      <c r="O312" s="21">
        <f>Deployments!CD300</f>
        <v/>
      </c>
      <c r="P312" s="2">
        <f>Deployments!BX300</f>
        <v/>
      </c>
      <c r="Q312" s="21">
        <f>IF(OR($A312="",$B312="",$D312=""),"MISSING CORE FIELDS","")</f>
        <v/>
      </c>
      <c r="R312" s="14">
        <f>IF(AND($I312&lt;&gt;"",$K312&lt;&gt;"Yes"),"SW NOT INSTALLED","")</f>
        <v/>
      </c>
      <c r="S312" s="14">
        <f>IF(AND($H312&lt;&gt;"",ISNUMBER(SEARCH("auto",LOWER($H312))),$F312=""),"AUTOLOGON REQUIRED","")</f>
        <v/>
      </c>
      <c r="T312" s="14">
        <f>IF($Q312&lt;&gt;"",$Q312,IF($S312&lt;&gt;"",$S312,IF($R312&lt;&gt;"",$R312,IF(OR($N312&lt;&gt;"",$O312="Blocked"),"BLOCKED","OK"))))</f>
        <v/>
      </c>
    </row>
    <row r="313">
      <c r="A313" s="21">
        <f>Deployments!H301</f>
        <v/>
      </c>
      <c r="B313" s="21">
        <f>Deployments!X301</f>
        <v/>
      </c>
      <c r="C313" s="21">
        <f>Deployments!Y301</f>
        <v/>
      </c>
      <c r="D313" s="14">
        <f>Deployments!AO301</f>
        <v/>
      </c>
      <c r="E313" s="14">
        <f>Deployments!N301</f>
        <v/>
      </c>
      <c r="F313" s="21">
        <f>Deployments!O301</f>
        <v/>
      </c>
      <c r="G313" s="14">
        <f>Deployments!P301</f>
        <v/>
      </c>
      <c r="H313" s="14">
        <f>'13 - Config_Intake_View'!M313</f>
        <v/>
      </c>
      <c r="I313" s="21">
        <f>IF('13 - Config_Intake_View'!Q313&lt;&gt;"",'13 - Config_Intake_View'!Q313,Deployments!AG301)</f>
        <v/>
      </c>
      <c r="J313" s="14">
        <f>IF('13 - Config_Intake_View'!Q313&lt;&gt;"","PM Approved",IF(Deployments!AG301&lt;&gt;"","Assumed",""))</f>
        <v/>
      </c>
      <c r="K313" s="21">
        <f>Deployments!AF301</f>
        <v/>
      </c>
      <c r="L313" s="14">
        <f>Deployments!U301</f>
        <v/>
      </c>
      <c r="M313" s="14">
        <f>Deployments!L301</f>
        <v/>
      </c>
      <c r="N313" s="14">
        <f>Deployments!CC301</f>
        <v/>
      </c>
      <c r="O313" s="21">
        <f>Deployments!CD301</f>
        <v/>
      </c>
      <c r="P313" s="2">
        <f>Deployments!BX301</f>
        <v/>
      </c>
      <c r="Q313" s="21">
        <f>IF(OR($A313="",$B313="",$D313=""),"MISSING CORE FIELDS","")</f>
        <v/>
      </c>
      <c r="R313" s="14">
        <f>IF(AND($I313&lt;&gt;"",$K313&lt;&gt;"Yes"),"SW NOT INSTALLED","")</f>
        <v/>
      </c>
      <c r="S313" s="14">
        <f>IF(AND($H313&lt;&gt;"",ISNUMBER(SEARCH("auto",LOWER($H313))),$F313=""),"AUTOLOGON REQUIRED","")</f>
        <v/>
      </c>
      <c r="T313" s="14">
        <f>IF($Q313&lt;&gt;"",$Q313,IF($S313&lt;&gt;"",$S313,IF($R313&lt;&gt;"",$R313,IF(OR($N313&lt;&gt;"",$O313="Blocked"),"BLOCKED","OK"))))</f>
        <v/>
      </c>
    </row>
    <row r="314">
      <c r="A314" s="21">
        <f>Deployments!H302</f>
        <v/>
      </c>
      <c r="B314" s="21">
        <f>Deployments!X302</f>
        <v/>
      </c>
      <c r="C314" s="21">
        <f>Deployments!Y302</f>
        <v/>
      </c>
      <c r="D314" s="14">
        <f>Deployments!AO302</f>
        <v/>
      </c>
      <c r="E314" s="14">
        <f>Deployments!N302</f>
        <v/>
      </c>
      <c r="F314" s="21">
        <f>Deployments!O302</f>
        <v/>
      </c>
      <c r="G314" s="14">
        <f>Deployments!P302</f>
        <v/>
      </c>
      <c r="H314" s="14">
        <f>'13 - Config_Intake_View'!M314</f>
        <v/>
      </c>
      <c r="I314" s="21">
        <f>IF('13 - Config_Intake_View'!Q314&lt;&gt;"",'13 - Config_Intake_View'!Q314,Deployments!AG302)</f>
        <v/>
      </c>
      <c r="J314" s="14">
        <f>IF('13 - Config_Intake_View'!Q314&lt;&gt;"","PM Approved",IF(Deployments!AG302&lt;&gt;"","Assumed",""))</f>
        <v/>
      </c>
      <c r="K314" s="21">
        <f>Deployments!AF302</f>
        <v/>
      </c>
      <c r="L314" s="14">
        <f>Deployments!U302</f>
        <v/>
      </c>
      <c r="M314" s="14">
        <f>Deployments!L302</f>
        <v/>
      </c>
      <c r="N314" s="14">
        <f>Deployments!CC302</f>
        <v/>
      </c>
      <c r="O314" s="21">
        <f>Deployments!CD302</f>
        <v/>
      </c>
      <c r="P314" s="2">
        <f>Deployments!BX302</f>
        <v/>
      </c>
      <c r="Q314" s="21">
        <f>IF(OR($A314="",$B314="",$D314=""),"MISSING CORE FIELDS","")</f>
        <v/>
      </c>
      <c r="R314" s="14">
        <f>IF(AND($I314&lt;&gt;"",$K314&lt;&gt;"Yes"),"SW NOT INSTALLED","")</f>
        <v/>
      </c>
      <c r="S314" s="14">
        <f>IF(AND($H314&lt;&gt;"",ISNUMBER(SEARCH("auto",LOWER($H314))),$F314=""),"AUTOLOGON REQUIRED","")</f>
        <v/>
      </c>
      <c r="T314" s="14">
        <f>IF($Q314&lt;&gt;"",$Q314,IF($S314&lt;&gt;"",$S314,IF($R314&lt;&gt;"",$R314,IF(OR($N314&lt;&gt;"",$O314="Blocked"),"BLOCKED","OK"))))</f>
        <v/>
      </c>
    </row>
    <row r="315">
      <c r="A315" s="21">
        <f>Deployments!H303</f>
        <v/>
      </c>
      <c r="B315" s="21">
        <f>Deployments!X303</f>
        <v/>
      </c>
      <c r="C315" s="21">
        <f>Deployments!Y303</f>
        <v/>
      </c>
      <c r="D315" s="14">
        <f>Deployments!AO303</f>
        <v/>
      </c>
      <c r="E315" s="14">
        <f>Deployments!N303</f>
        <v/>
      </c>
      <c r="F315" s="21">
        <f>Deployments!O303</f>
        <v/>
      </c>
      <c r="G315" s="14">
        <f>Deployments!P303</f>
        <v/>
      </c>
      <c r="H315" s="14">
        <f>'13 - Config_Intake_View'!M315</f>
        <v/>
      </c>
      <c r="I315" s="21">
        <f>IF('13 - Config_Intake_View'!Q315&lt;&gt;"",'13 - Config_Intake_View'!Q315,Deployments!AG303)</f>
        <v/>
      </c>
      <c r="J315" s="14">
        <f>IF('13 - Config_Intake_View'!Q315&lt;&gt;"","PM Approved",IF(Deployments!AG303&lt;&gt;"","Assumed",""))</f>
        <v/>
      </c>
      <c r="K315" s="21">
        <f>Deployments!AF303</f>
        <v/>
      </c>
      <c r="L315" s="14">
        <f>Deployments!U303</f>
        <v/>
      </c>
      <c r="M315" s="14">
        <f>Deployments!L303</f>
        <v/>
      </c>
      <c r="N315" s="14">
        <f>Deployments!CC303</f>
        <v/>
      </c>
      <c r="O315" s="21">
        <f>Deployments!CD303</f>
        <v/>
      </c>
      <c r="P315" s="2">
        <f>Deployments!BX303</f>
        <v/>
      </c>
      <c r="Q315" s="21">
        <f>IF(OR($A315="",$B315="",$D315=""),"MISSING CORE FIELDS","")</f>
        <v/>
      </c>
      <c r="R315" s="14">
        <f>IF(AND($I315&lt;&gt;"",$K315&lt;&gt;"Yes"),"SW NOT INSTALLED","")</f>
        <v/>
      </c>
      <c r="S315" s="14">
        <f>IF(AND($H315&lt;&gt;"",ISNUMBER(SEARCH("auto",LOWER($H315))),$F315=""),"AUTOLOGON REQUIRED","")</f>
        <v/>
      </c>
      <c r="T315" s="14">
        <f>IF($Q315&lt;&gt;"",$Q315,IF($S315&lt;&gt;"",$S315,IF($R315&lt;&gt;"",$R315,IF(OR($N315&lt;&gt;"",$O315="Blocked"),"BLOCKED","OK"))))</f>
        <v/>
      </c>
    </row>
    <row r="316">
      <c r="A316" s="21">
        <f>Deployments!H304</f>
        <v/>
      </c>
      <c r="B316" s="21">
        <f>Deployments!X304</f>
        <v/>
      </c>
      <c r="C316" s="21">
        <f>Deployments!Y304</f>
        <v/>
      </c>
      <c r="D316" s="14">
        <f>Deployments!AO304</f>
        <v/>
      </c>
      <c r="E316" s="14">
        <f>Deployments!N304</f>
        <v/>
      </c>
      <c r="F316" s="21">
        <f>Deployments!O304</f>
        <v/>
      </c>
      <c r="G316" s="14">
        <f>Deployments!P304</f>
        <v/>
      </c>
      <c r="H316" s="14">
        <f>'13 - Config_Intake_View'!M316</f>
        <v/>
      </c>
      <c r="I316" s="21">
        <f>IF('13 - Config_Intake_View'!Q316&lt;&gt;"",'13 - Config_Intake_View'!Q316,Deployments!AG304)</f>
        <v/>
      </c>
      <c r="J316" s="14">
        <f>IF('13 - Config_Intake_View'!Q316&lt;&gt;"","PM Approved",IF(Deployments!AG304&lt;&gt;"","Assumed",""))</f>
        <v/>
      </c>
      <c r="K316" s="21">
        <f>Deployments!AF304</f>
        <v/>
      </c>
      <c r="L316" s="14">
        <f>Deployments!U304</f>
        <v/>
      </c>
      <c r="M316" s="14">
        <f>Deployments!L304</f>
        <v/>
      </c>
      <c r="N316" s="14">
        <f>Deployments!CC304</f>
        <v/>
      </c>
      <c r="O316" s="21">
        <f>Deployments!CD304</f>
        <v/>
      </c>
      <c r="P316" s="2">
        <f>Deployments!BX304</f>
        <v/>
      </c>
      <c r="Q316" s="21">
        <f>IF(OR($A316="",$B316="",$D316=""),"MISSING CORE FIELDS","")</f>
        <v/>
      </c>
      <c r="R316" s="14">
        <f>IF(AND($I316&lt;&gt;"",$K316&lt;&gt;"Yes"),"SW NOT INSTALLED","")</f>
        <v/>
      </c>
      <c r="S316" s="14">
        <f>IF(AND($H316&lt;&gt;"",ISNUMBER(SEARCH("auto",LOWER($H316))),$F316=""),"AUTOLOGON REQUIRED","")</f>
        <v/>
      </c>
      <c r="T316" s="14">
        <f>IF($Q316&lt;&gt;"",$Q316,IF($S316&lt;&gt;"",$S316,IF($R316&lt;&gt;"",$R316,IF(OR($N316&lt;&gt;"",$O316="Blocked"),"BLOCKED","OK"))))</f>
        <v/>
      </c>
    </row>
    <row r="317">
      <c r="A317" s="21">
        <f>Deployments!H305</f>
        <v/>
      </c>
      <c r="B317" s="21">
        <f>Deployments!X305</f>
        <v/>
      </c>
      <c r="C317" s="21">
        <f>Deployments!Y305</f>
        <v/>
      </c>
      <c r="D317" s="14">
        <f>Deployments!AO305</f>
        <v/>
      </c>
      <c r="E317" s="14">
        <f>Deployments!N305</f>
        <v/>
      </c>
      <c r="F317" s="21">
        <f>Deployments!O305</f>
        <v/>
      </c>
      <c r="G317" s="14">
        <f>Deployments!P305</f>
        <v/>
      </c>
      <c r="H317" s="14">
        <f>'13 - Config_Intake_View'!M317</f>
        <v/>
      </c>
      <c r="I317" s="21">
        <f>IF('13 - Config_Intake_View'!Q317&lt;&gt;"",'13 - Config_Intake_View'!Q317,Deployments!AG305)</f>
        <v/>
      </c>
      <c r="J317" s="14">
        <f>IF('13 - Config_Intake_View'!Q317&lt;&gt;"","PM Approved",IF(Deployments!AG305&lt;&gt;"","Assumed",""))</f>
        <v/>
      </c>
      <c r="K317" s="21">
        <f>Deployments!AF305</f>
        <v/>
      </c>
      <c r="L317" s="14">
        <f>Deployments!U305</f>
        <v/>
      </c>
      <c r="M317" s="14">
        <f>Deployments!L305</f>
        <v/>
      </c>
      <c r="N317" s="14">
        <f>Deployments!CC305</f>
        <v/>
      </c>
      <c r="O317" s="21">
        <f>Deployments!CD305</f>
        <v/>
      </c>
      <c r="P317" s="2">
        <f>Deployments!BX305</f>
        <v/>
      </c>
      <c r="Q317" s="21">
        <f>IF(OR($A317="",$B317="",$D317=""),"MISSING CORE FIELDS","")</f>
        <v/>
      </c>
      <c r="R317" s="14">
        <f>IF(AND($I317&lt;&gt;"",$K317&lt;&gt;"Yes"),"SW NOT INSTALLED","")</f>
        <v/>
      </c>
      <c r="S317" s="14">
        <f>IF(AND($H317&lt;&gt;"",ISNUMBER(SEARCH("auto",LOWER($H317))),$F317=""),"AUTOLOGON REQUIRED","")</f>
        <v/>
      </c>
      <c r="T317" s="14">
        <f>IF($Q317&lt;&gt;"",$Q317,IF($S317&lt;&gt;"",$S317,IF($R317&lt;&gt;"",$R317,IF(OR($N317&lt;&gt;"",$O317="Blocked"),"BLOCKED","OK"))))</f>
        <v/>
      </c>
    </row>
    <row r="318">
      <c r="A318" s="21">
        <f>Deployments!H306</f>
        <v/>
      </c>
      <c r="B318" s="21">
        <f>Deployments!X306</f>
        <v/>
      </c>
      <c r="C318" s="21">
        <f>Deployments!Y306</f>
        <v/>
      </c>
      <c r="D318" s="14">
        <f>Deployments!AO306</f>
        <v/>
      </c>
      <c r="E318" s="14">
        <f>Deployments!N306</f>
        <v/>
      </c>
      <c r="F318" s="21">
        <f>Deployments!O306</f>
        <v/>
      </c>
      <c r="G318" s="14">
        <f>Deployments!P306</f>
        <v/>
      </c>
      <c r="H318" s="14">
        <f>'13 - Config_Intake_View'!M318</f>
        <v/>
      </c>
      <c r="I318" s="21">
        <f>IF('13 - Config_Intake_View'!Q318&lt;&gt;"",'13 - Config_Intake_View'!Q318,Deployments!AG306)</f>
        <v/>
      </c>
      <c r="J318" s="14">
        <f>IF('13 - Config_Intake_View'!Q318&lt;&gt;"","PM Approved",IF(Deployments!AG306&lt;&gt;"","Assumed",""))</f>
        <v/>
      </c>
      <c r="K318" s="21">
        <f>Deployments!AF306</f>
        <v/>
      </c>
      <c r="L318" s="14">
        <f>Deployments!U306</f>
        <v/>
      </c>
      <c r="M318" s="14">
        <f>Deployments!L306</f>
        <v/>
      </c>
      <c r="N318" s="14">
        <f>Deployments!CC306</f>
        <v/>
      </c>
      <c r="O318" s="21">
        <f>Deployments!CD306</f>
        <v/>
      </c>
      <c r="P318" s="2">
        <f>Deployments!BX306</f>
        <v/>
      </c>
      <c r="Q318" s="21">
        <f>IF(OR($A318="",$B318="",$D318=""),"MISSING CORE FIELDS","")</f>
        <v/>
      </c>
      <c r="R318" s="14">
        <f>IF(AND($I318&lt;&gt;"",$K318&lt;&gt;"Yes"),"SW NOT INSTALLED","")</f>
        <v/>
      </c>
      <c r="S318" s="14">
        <f>IF(AND($H318&lt;&gt;"",ISNUMBER(SEARCH("auto",LOWER($H318))),$F318=""),"AUTOLOGON REQUIRED","")</f>
        <v/>
      </c>
      <c r="T318" s="14">
        <f>IF($Q318&lt;&gt;"",$Q318,IF($S318&lt;&gt;"",$S318,IF($R318&lt;&gt;"",$R318,IF(OR($N318&lt;&gt;"",$O318="Blocked"),"BLOCKED","OK"))))</f>
        <v/>
      </c>
    </row>
    <row r="319">
      <c r="A319" s="21">
        <f>Deployments!H307</f>
        <v/>
      </c>
      <c r="B319" s="21">
        <f>Deployments!X307</f>
        <v/>
      </c>
      <c r="C319" s="21">
        <f>Deployments!Y307</f>
        <v/>
      </c>
      <c r="D319" s="14">
        <f>Deployments!AO307</f>
        <v/>
      </c>
      <c r="E319" s="14">
        <f>Deployments!N307</f>
        <v/>
      </c>
      <c r="F319" s="21">
        <f>Deployments!O307</f>
        <v/>
      </c>
      <c r="G319" s="14">
        <f>Deployments!P307</f>
        <v/>
      </c>
      <c r="H319" s="14">
        <f>'13 - Config_Intake_View'!M319</f>
        <v/>
      </c>
      <c r="I319" s="21">
        <f>IF('13 - Config_Intake_View'!Q319&lt;&gt;"",'13 - Config_Intake_View'!Q319,Deployments!AG307)</f>
        <v/>
      </c>
      <c r="J319" s="14">
        <f>IF('13 - Config_Intake_View'!Q319&lt;&gt;"","PM Approved",IF(Deployments!AG307&lt;&gt;"","Assumed",""))</f>
        <v/>
      </c>
      <c r="K319" s="21">
        <f>Deployments!AF307</f>
        <v/>
      </c>
      <c r="L319" s="14">
        <f>Deployments!U307</f>
        <v/>
      </c>
      <c r="M319" s="14">
        <f>Deployments!L307</f>
        <v/>
      </c>
      <c r="N319" s="14">
        <f>Deployments!CC307</f>
        <v/>
      </c>
      <c r="O319" s="21">
        <f>Deployments!CD307</f>
        <v/>
      </c>
      <c r="P319" s="2">
        <f>Deployments!BX307</f>
        <v/>
      </c>
      <c r="Q319" s="21">
        <f>IF(OR($A319="",$B319="",$D319=""),"MISSING CORE FIELDS","")</f>
        <v/>
      </c>
      <c r="R319" s="14">
        <f>IF(AND($I319&lt;&gt;"",$K319&lt;&gt;"Yes"),"SW NOT INSTALLED","")</f>
        <v/>
      </c>
      <c r="S319" s="14">
        <f>IF(AND($H319&lt;&gt;"",ISNUMBER(SEARCH("auto",LOWER($H319))),$F319=""),"AUTOLOGON REQUIRED","")</f>
        <v/>
      </c>
      <c r="T319" s="14">
        <f>IF($Q319&lt;&gt;"",$Q319,IF($S319&lt;&gt;"",$S319,IF($R319&lt;&gt;"",$R319,IF(OR($N319&lt;&gt;"",$O319="Blocked"),"BLOCKED","OK"))))</f>
        <v/>
      </c>
    </row>
    <row r="320">
      <c r="A320" s="21">
        <f>Deployments!H308</f>
        <v/>
      </c>
      <c r="B320" s="21">
        <f>Deployments!X308</f>
        <v/>
      </c>
      <c r="C320" s="21">
        <f>Deployments!Y308</f>
        <v/>
      </c>
      <c r="D320" s="14">
        <f>Deployments!AO308</f>
        <v/>
      </c>
      <c r="E320" s="14">
        <f>Deployments!N308</f>
        <v/>
      </c>
      <c r="F320" s="21">
        <f>Deployments!O308</f>
        <v/>
      </c>
      <c r="G320" s="14">
        <f>Deployments!P308</f>
        <v/>
      </c>
      <c r="H320" s="14">
        <f>'13 - Config_Intake_View'!M320</f>
        <v/>
      </c>
      <c r="I320" s="21">
        <f>IF('13 - Config_Intake_View'!Q320&lt;&gt;"",'13 - Config_Intake_View'!Q320,Deployments!AG308)</f>
        <v/>
      </c>
      <c r="J320" s="14">
        <f>IF('13 - Config_Intake_View'!Q320&lt;&gt;"","PM Approved",IF(Deployments!AG308&lt;&gt;"","Assumed",""))</f>
        <v/>
      </c>
      <c r="K320" s="21">
        <f>Deployments!AF308</f>
        <v/>
      </c>
      <c r="L320" s="14">
        <f>Deployments!U308</f>
        <v/>
      </c>
      <c r="M320" s="14">
        <f>Deployments!L308</f>
        <v/>
      </c>
      <c r="N320" s="14">
        <f>Deployments!CC308</f>
        <v/>
      </c>
      <c r="O320" s="21">
        <f>Deployments!CD308</f>
        <v/>
      </c>
      <c r="P320" s="2">
        <f>Deployments!BX308</f>
        <v/>
      </c>
      <c r="Q320" s="21">
        <f>IF(OR($A320="",$B320="",$D320=""),"MISSING CORE FIELDS","")</f>
        <v/>
      </c>
      <c r="R320" s="14">
        <f>IF(AND($I320&lt;&gt;"",$K320&lt;&gt;"Yes"),"SW NOT INSTALLED","")</f>
        <v/>
      </c>
      <c r="S320" s="14">
        <f>IF(AND($H320&lt;&gt;"",ISNUMBER(SEARCH("auto",LOWER($H320))),$F320=""),"AUTOLOGON REQUIRED","")</f>
        <v/>
      </c>
      <c r="T320" s="14">
        <f>IF($Q320&lt;&gt;"",$Q320,IF($S320&lt;&gt;"",$S320,IF($R320&lt;&gt;"",$R320,IF(OR($N320&lt;&gt;"",$O320="Blocked"),"BLOCKED","OK"))))</f>
        <v/>
      </c>
    </row>
    <row r="321">
      <c r="A321" s="21">
        <f>Deployments!H309</f>
        <v/>
      </c>
      <c r="B321" s="21">
        <f>Deployments!X309</f>
        <v/>
      </c>
      <c r="C321" s="21">
        <f>Deployments!Y309</f>
        <v/>
      </c>
      <c r="D321" s="14">
        <f>Deployments!AO309</f>
        <v/>
      </c>
      <c r="E321" s="14">
        <f>Deployments!N309</f>
        <v/>
      </c>
      <c r="F321" s="21">
        <f>Deployments!O309</f>
        <v/>
      </c>
      <c r="G321" s="14">
        <f>Deployments!P309</f>
        <v/>
      </c>
      <c r="H321" s="14">
        <f>'13 - Config_Intake_View'!M321</f>
        <v/>
      </c>
      <c r="I321" s="21">
        <f>IF('13 - Config_Intake_View'!Q321&lt;&gt;"",'13 - Config_Intake_View'!Q321,Deployments!AG309)</f>
        <v/>
      </c>
      <c r="J321" s="14">
        <f>IF('13 - Config_Intake_View'!Q321&lt;&gt;"","PM Approved",IF(Deployments!AG309&lt;&gt;"","Assumed",""))</f>
        <v/>
      </c>
      <c r="K321" s="21">
        <f>Deployments!AF309</f>
        <v/>
      </c>
      <c r="L321" s="14">
        <f>Deployments!U309</f>
        <v/>
      </c>
      <c r="M321" s="14">
        <f>Deployments!L309</f>
        <v/>
      </c>
      <c r="N321" s="14">
        <f>Deployments!CC309</f>
        <v/>
      </c>
      <c r="O321" s="21">
        <f>Deployments!CD309</f>
        <v/>
      </c>
      <c r="P321" s="2">
        <f>Deployments!BX309</f>
        <v/>
      </c>
      <c r="Q321" s="21">
        <f>IF(OR($A321="",$B321="",$D321=""),"MISSING CORE FIELDS","")</f>
        <v/>
      </c>
      <c r="R321" s="14">
        <f>IF(AND($I321&lt;&gt;"",$K321&lt;&gt;"Yes"),"SW NOT INSTALLED","")</f>
        <v/>
      </c>
      <c r="S321" s="14">
        <f>IF(AND($H321&lt;&gt;"",ISNUMBER(SEARCH("auto",LOWER($H321))),$F321=""),"AUTOLOGON REQUIRED","")</f>
        <v/>
      </c>
      <c r="T321" s="14">
        <f>IF($Q321&lt;&gt;"",$Q321,IF($S321&lt;&gt;"",$S321,IF($R321&lt;&gt;"",$R321,IF(OR($N321&lt;&gt;"",$O321="Blocked"),"BLOCKED","OK"))))</f>
        <v/>
      </c>
    </row>
    <row r="322">
      <c r="A322" s="21">
        <f>Deployments!H310</f>
        <v/>
      </c>
      <c r="B322" s="21">
        <f>Deployments!X310</f>
        <v/>
      </c>
      <c r="C322" s="21">
        <f>Deployments!Y310</f>
        <v/>
      </c>
      <c r="D322" s="14">
        <f>Deployments!AO310</f>
        <v/>
      </c>
      <c r="E322" s="14">
        <f>Deployments!N310</f>
        <v/>
      </c>
      <c r="F322" s="21">
        <f>Deployments!O310</f>
        <v/>
      </c>
      <c r="G322" s="14">
        <f>Deployments!P310</f>
        <v/>
      </c>
      <c r="H322" s="14">
        <f>'13 - Config_Intake_View'!M322</f>
        <v/>
      </c>
      <c r="I322" s="21">
        <f>IF('13 - Config_Intake_View'!Q322&lt;&gt;"",'13 - Config_Intake_View'!Q322,Deployments!AG310)</f>
        <v/>
      </c>
      <c r="J322" s="14">
        <f>IF('13 - Config_Intake_View'!Q322&lt;&gt;"","PM Approved",IF(Deployments!AG310&lt;&gt;"","Assumed",""))</f>
        <v/>
      </c>
      <c r="K322" s="21">
        <f>Deployments!AF310</f>
        <v/>
      </c>
      <c r="L322" s="14">
        <f>Deployments!U310</f>
        <v/>
      </c>
      <c r="M322" s="14">
        <f>Deployments!L310</f>
        <v/>
      </c>
      <c r="N322" s="14">
        <f>Deployments!CC310</f>
        <v/>
      </c>
      <c r="O322" s="21">
        <f>Deployments!CD310</f>
        <v/>
      </c>
      <c r="P322" s="2">
        <f>Deployments!BX310</f>
        <v/>
      </c>
      <c r="Q322" s="21">
        <f>IF(OR($A322="",$B322="",$D322=""),"MISSING CORE FIELDS","")</f>
        <v/>
      </c>
      <c r="R322" s="14">
        <f>IF(AND($I322&lt;&gt;"",$K322&lt;&gt;"Yes"),"SW NOT INSTALLED","")</f>
        <v/>
      </c>
      <c r="S322" s="14">
        <f>IF(AND($H322&lt;&gt;"",ISNUMBER(SEARCH("auto",LOWER($H322))),$F322=""),"AUTOLOGON REQUIRED","")</f>
        <v/>
      </c>
      <c r="T322" s="14">
        <f>IF($Q322&lt;&gt;"",$Q322,IF($S322&lt;&gt;"",$S322,IF($R322&lt;&gt;"",$R322,IF(OR($N322&lt;&gt;"",$O322="Blocked"),"BLOCKED","OK"))))</f>
        <v/>
      </c>
    </row>
    <row r="323">
      <c r="A323" s="21">
        <f>Deployments!H311</f>
        <v/>
      </c>
      <c r="B323" s="21">
        <f>Deployments!X311</f>
        <v/>
      </c>
      <c r="C323" s="21">
        <f>Deployments!Y311</f>
        <v/>
      </c>
      <c r="D323" s="14">
        <f>Deployments!AO311</f>
        <v/>
      </c>
      <c r="E323" s="14">
        <f>Deployments!N311</f>
        <v/>
      </c>
      <c r="F323" s="21">
        <f>Deployments!O311</f>
        <v/>
      </c>
      <c r="G323" s="14">
        <f>Deployments!P311</f>
        <v/>
      </c>
      <c r="H323" s="14">
        <f>'13 - Config_Intake_View'!M323</f>
        <v/>
      </c>
      <c r="I323" s="21">
        <f>IF('13 - Config_Intake_View'!Q323&lt;&gt;"",'13 - Config_Intake_View'!Q323,Deployments!AG311)</f>
        <v/>
      </c>
      <c r="J323" s="14">
        <f>IF('13 - Config_Intake_View'!Q323&lt;&gt;"","PM Approved",IF(Deployments!AG311&lt;&gt;"","Assumed",""))</f>
        <v/>
      </c>
      <c r="K323" s="21">
        <f>Deployments!AF311</f>
        <v/>
      </c>
      <c r="L323" s="14">
        <f>Deployments!U311</f>
        <v/>
      </c>
      <c r="M323" s="14">
        <f>Deployments!L311</f>
        <v/>
      </c>
      <c r="N323" s="14">
        <f>Deployments!CC311</f>
        <v/>
      </c>
      <c r="O323" s="21">
        <f>Deployments!CD311</f>
        <v/>
      </c>
      <c r="P323" s="2">
        <f>Deployments!BX311</f>
        <v/>
      </c>
      <c r="Q323" s="21">
        <f>IF(OR($A323="",$B323="",$D323=""),"MISSING CORE FIELDS","")</f>
        <v/>
      </c>
      <c r="R323" s="14">
        <f>IF(AND($I323&lt;&gt;"",$K323&lt;&gt;"Yes"),"SW NOT INSTALLED","")</f>
        <v/>
      </c>
      <c r="S323" s="14">
        <f>IF(AND($H323&lt;&gt;"",ISNUMBER(SEARCH("auto",LOWER($H323))),$F323=""),"AUTOLOGON REQUIRED","")</f>
        <v/>
      </c>
      <c r="T323" s="14">
        <f>IF($Q323&lt;&gt;"",$Q323,IF($S323&lt;&gt;"",$S323,IF($R323&lt;&gt;"",$R323,IF(OR($N323&lt;&gt;"",$O323="Blocked"),"BLOCKED","OK"))))</f>
        <v/>
      </c>
    </row>
    <row r="324">
      <c r="A324" s="21">
        <f>Deployments!H312</f>
        <v/>
      </c>
      <c r="B324" s="21">
        <f>Deployments!X312</f>
        <v/>
      </c>
      <c r="C324" s="21">
        <f>Deployments!Y312</f>
        <v/>
      </c>
      <c r="D324" s="14">
        <f>Deployments!AO312</f>
        <v/>
      </c>
      <c r="E324" s="14">
        <f>Deployments!N312</f>
        <v/>
      </c>
      <c r="F324" s="21">
        <f>Deployments!O312</f>
        <v/>
      </c>
      <c r="G324" s="14">
        <f>Deployments!P312</f>
        <v/>
      </c>
      <c r="H324" s="14">
        <f>'13 - Config_Intake_View'!M324</f>
        <v/>
      </c>
      <c r="I324" s="21">
        <f>IF('13 - Config_Intake_View'!Q324&lt;&gt;"",'13 - Config_Intake_View'!Q324,Deployments!AG312)</f>
        <v/>
      </c>
      <c r="J324" s="14">
        <f>IF('13 - Config_Intake_View'!Q324&lt;&gt;"","PM Approved",IF(Deployments!AG312&lt;&gt;"","Assumed",""))</f>
        <v/>
      </c>
      <c r="K324" s="21">
        <f>Deployments!AF312</f>
        <v/>
      </c>
      <c r="L324" s="14">
        <f>Deployments!U312</f>
        <v/>
      </c>
      <c r="M324" s="14">
        <f>Deployments!L312</f>
        <v/>
      </c>
      <c r="N324" s="14">
        <f>Deployments!CC312</f>
        <v/>
      </c>
      <c r="O324" s="21">
        <f>Deployments!CD312</f>
        <v/>
      </c>
      <c r="P324" s="2">
        <f>Deployments!BX312</f>
        <v/>
      </c>
      <c r="Q324" s="21">
        <f>IF(OR($A324="",$B324="",$D324=""),"MISSING CORE FIELDS","")</f>
        <v/>
      </c>
      <c r="R324" s="14">
        <f>IF(AND($I324&lt;&gt;"",$K324&lt;&gt;"Yes"),"SW NOT INSTALLED","")</f>
        <v/>
      </c>
      <c r="S324" s="14">
        <f>IF(AND($H324&lt;&gt;"",ISNUMBER(SEARCH("auto",LOWER($H324))),$F324=""),"AUTOLOGON REQUIRED","")</f>
        <v/>
      </c>
      <c r="T324" s="14">
        <f>IF($Q324&lt;&gt;"",$Q324,IF($S324&lt;&gt;"",$S324,IF($R324&lt;&gt;"",$R324,IF(OR($N324&lt;&gt;"",$O324="Blocked"),"BLOCKED","OK"))))</f>
        <v/>
      </c>
    </row>
    <row r="325">
      <c r="A325" s="21">
        <f>Deployments!H313</f>
        <v/>
      </c>
      <c r="B325" s="21">
        <f>Deployments!X313</f>
        <v/>
      </c>
      <c r="C325" s="21">
        <f>Deployments!Y313</f>
        <v/>
      </c>
      <c r="D325" s="14">
        <f>Deployments!AO313</f>
        <v/>
      </c>
      <c r="E325" s="14">
        <f>Deployments!N313</f>
        <v/>
      </c>
      <c r="F325" s="21">
        <f>Deployments!O313</f>
        <v/>
      </c>
      <c r="G325" s="14">
        <f>Deployments!P313</f>
        <v/>
      </c>
      <c r="H325" s="14">
        <f>'13 - Config_Intake_View'!M325</f>
        <v/>
      </c>
      <c r="I325" s="21">
        <f>IF('13 - Config_Intake_View'!Q325&lt;&gt;"",'13 - Config_Intake_View'!Q325,Deployments!AG313)</f>
        <v/>
      </c>
      <c r="J325" s="14">
        <f>IF('13 - Config_Intake_View'!Q325&lt;&gt;"","PM Approved",IF(Deployments!AG313&lt;&gt;"","Assumed",""))</f>
        <v/>
      </c>
      <c r="K325" s="21">
        <f>Deployments!AF313</f>
        <v/>
      </c>
      <c r="L325" s="14">
        <f>Deployments!U313</f>
        <v/>
      </c>
      <c r="M325" s="14">
        <f>Deployments!L313</f>
        <v/>
      </c>
      <c r="N325" s="14">
        <f>Deployments!CC313</f>
        <v/>
      </c>
      <c r="O325" s="21">
        <f>Deployments!CD313</f>
        <v/>
      </c>
      <c r="P325" s="2">
        <f>Deployments!BX313</f>
        <v/>
      </c>
      <c r="Q325" s="21">
        <f>IF(OR($A325="",$B325="",$D325=""),"MISSING CORE FIELDS","")</f>
        <v/>
      </c>
      <c r="R325" s="14">
        <f>IF(AND($I325&lt;&gt;"",$K325&lt;&gt;"Yes"),"SW NOT INSTALLED","")</f>
        <v/>
      </c>
      <c r="S325" s="14">
        <f>IF(AND($H325&lt;&gt;"",ISNUMBER(SEARCH("auto",LOWER($H325))),$F325=""),"AUTOLOGON REQUIRED","")</f>
        <v/>
      </c>
      <c r="T325" s="14">
        <f>IF($Q325&lt;&gt;"",$Q325,IF($S325&lt;&gt;"",$S325,IF($R325&lt;&gt;"",$R325,IF(OR($N325&lt;&gt;"",$O325="Blocked"),"BLOCKED","OK"))))</f>
        <v/>
      </c>
    </row>
    <row r="326">
      <c r="A326" s="21">
        <f>Deployments!H314</f>
        <v/>
      </c>
      <c r="B326" s="21">
        <f>Deployments!X314</f>
        <v/>
      </c>
      <c r="C326" s="21">
        <f>Deployments!Y314</f>
        <v/>
      </c>
      <c r="D326" s="14">
        <f>Deployments!AO314</f>
        <v/>
      </c>
      <c r="E326" s="14">
        <f>Deployments!N314</f>
        <v/>
      </c>
      <c r="F326" s="21">
        <f>Deployments!O314</f>
        <v/>
      </c>
      <c r="G326" s="14">
        <f>Deployments!P314</f>
        <v/>
      </c>
      <c r="H326" s="14">
        <f>'13 - Config_Intake_View'!M326</f>
        <v/>
      </c>
      <c r="I326" s="21">
        <f>IF('13 - Config_Intake_View'!Q326&lt;&gt;"",'13 - Config_Intake_View'!Q326,Deployments!AG314)</f>
        <v/>
      </c>
      <c r="J326" s="14">
        <f>IF('13 - Config_Intake_View'!Q326&lt;&gt;"","PM Approved",IF(Deployments!AG314&lt;&gt;"","Assumed",""))</f>
        <v/>
      </c>
      <c r="K326" s="21">
        <f>Deployments!AF314</f>
        <v/>
      </c>
      <c r="L326" s="14">
        <f>Deployments!U314</f>
        <v/>
      </c>
      <c r="M326" s="14">
        <f>Deployments!L314</f>
        <v/>
      </c>
      <c r="N326" s="14">
        <f>Deployments!CC314</f>
        <v/>
      </c>
      <c r="O326" s="21">
        <f>Deployments!CD314</f>
        <v/>
      </c>
      <c r="P326" s="2">
        <f>Deployments!BX314</f>
        <v/>
      </c>
      <c r="Q326" s="21">
        <f>IF(OR($A326="",$B326="",$D326=""),"MISSING CORE FIELDS","")</f>
        <v/>
      </c>
      <c r="R326" s="14">
        <f>IF(AND($I326&lt;&gt;"",$K326&lt;&gt;"Yes"),"SW NOT INSTALLED","")</f>
        <v/>
      </c>
      <c r="S326" s="14">
        <f>IF(AND($H326&lt;&gt;"",ISNUMBER(SEARCH("auto",LOWER($H326))),$F326=""),"AUTOLOGON REQUIRED","")</f>
        <v/>
      </c>
      <c r="T326" s="14">
        <f>IF($Q326&lt;&gt;"",$Q326,IF($S326&lt;&gt;"",$S326,IF($R326&lt;&gt;"",$R326,IF(OR($N326&lt;&gt;"",$O326="Blocked"),"BLOCKED","OK"))))</f>
        <v/>
      </c>
    </row>
    <row r="327">
      <c r="A327" s="21">
        <f>Deployments!H315</f>
        <v/>
      </c>
      <c r="B327" s="21">
        <f>Deployments!X315</f>
        <v/>
      </c>
      <c r="C327" s="21">
        <f>Deployments!Y315</f>
        <v/>
      </c>
      <c r="D327" s="14">
        <f>Deployments!AO315</f>
        <v/>
      </c>
      <c r="E327" s="14">
        <f>Deployments!N315</f>
        <v/>
      </c>
      <c r="F327" s="21">
        <f>Deployments!O315</f>
        <v/>
      </c>
      <c r="G327" s="14">
        <f>Deployments!P315</f>
        <v/>
      </c>
      <c r="H327" s="14">
        <f>'13 - Config_Intake_View'!M327</f>
        <v/>
      </c>
      <c r="I327" s="21">
        <f>IF('13 - Config_Intake_View'!Q327&lt;&gt;"",'13 - Config_Intake_View'!Q327,Deployments!AG315)</f>
        <v/>
      </c>
      <c r="J327" s="14">
        <f>IF('13 - Config_Intake_View'!Q327&lt;&gt;"","PM Approved",IF(Deployments!AG315&lt;&gt;"","Assumed",""))</f>
        <v/>
      </c>
      <c r="K327" s="21">
        <f>Deployments!AF315</f>
        <v/>
      </c>
      <c r="L327" s="14">
        <f>Deployments!U315</f>
        <v/>
      </c>
      <c r="M327" s="14">
        <f>Deployments!L315</f>
        <v/>
      </c>
      <c r="N327" s="14">
        <f>Deployments!CC315</f>
        <v/>
      </c>
      <c r="O327" s="21">
        <f>Deployments!CD315</f>
        <v/>
      </c>
      <c r="P327" s="2">
        <f>Deployments!BX315</f>
        <v/>
      </c>
      <c r="Q327" s="21">
        <f>IF(OR($A327="",$B327="",$D327=""),"MISSING CORE FIELDS","")</f>
        <v/>
      </c>
      <c r="R327" s="14">
        <f>IF(AND($I327&lt;&gt;"",$K327&lt;&gt;"Yes"),"SW NOT INSTALLED","")</f>
        <v/>
      </c>
      <c r="S327" s="14">
        <f>IF(AND($H327&lt;&gt;"",ISNUMBER(SEARCH("auto",LOWER($H327))),$F327=""),"AUTOLOGON REQUIRED","")</f>
        <v/>
      </c>
      <c r="T327" s="14">
        <f>IF($Q327&lt;&gt;"",$Q327,IF($S327&lt;&gt;"",$S327,IF($R327&lt;&gt;"",$R327,IF(OR($N327&lt;&gt;"",$O327="Blocked"),"BLOCKED","OK"))))</f>
        <v/>
      </c>
    </row>
    <row r="328">
      <c r="A328" s="21">
        <f>Deployments!H316</f>
        <v/>
      </c>
      <c r="B328" s="21">
        <f>Deployments!X316</f>
        <v/>
      </c>
      <c r="C328" s="21">
        <f>Deployments!Y316</f>
        <v/>
      </c>
      <c r="D328" s="14">
        <f>Deployments!AO316</f>
        <v/>
      </c>
      <c r="E328" s="14">
        <f>Deployments!N316</f>
        <v/>
      </c>
      <c r="F328" s="21">
        <f>Deployments!O316</f>
        <v/>
      </c>
      <c r="G328" s="14">
        <f>Deployments!P316</f>
        <v/>
      </c>
      <c r="H328" s="14">
        <f>'13 - Config_Intake_View'!M328</f>
        <v/>
      </c>
      <c r="I328" s="21">
        <f>IF('13 - Config_Intake_View'!Q328&lt;&gt;"",'13 - Config_Intake_View'!Q328,Deployments!AG316)</f>
        <v/>
      </c>
      <c r="J328" s="14">
        <f>IF('13 - Config_Intake_View'!Q328&lt;&gt;"","PM Approved",IF(Deployments!AG316&lt;&gt;"","Assumed",""))</f>
        <v/>
      </c>
      <c r="K328" s="21">
        <f>Deployments!AF316</f>
        <v/>
      </c>
      <c r="L328" s="14">
        <f>Deployments!U316</f>
        <v/>
      </c>
      <c r="M328" s="14">
        <f>Deployments!L316</f>
        <v/>
      </c>
      <c r="N328" s="14">
        <f>Deployments!CC316</f>
        <v/>
      </c>
      <c r="O328" s="21">
        <f>Deployments!CD316</f>
        <v/>
      </c>
      <c r="P328" s="2">
        <f>Deployments!BX316</f>
        <v/>
      </c>
      <c r="Q328" s="21">
        <f>IF(OR($A328="",$B328="",$D328=""),"MISSING CORE FIELDS","")</f>
        <v/>
      </c>
      <c r="R328" s="14">
        <f>IF(AND($I328&lt;&gt;"",$K328&lt;&gt;"Yes"),"SW NOT INSTALLED","")</f>
        <v/>
      </c>
      <c r="S328" s="14">
        <f>IF(AND($H328&lt;&gt;"",ISNUMBER(SEARCH("auto",LOWER($H328))),$F328=""),"AUTOLOGON REQUIRED","")</f>
        <v/>
      </c>
      <c r="T328" s="14">
        <f>IF($Q328&lt;&gt;"",$Q328,IF($S328&lt;&gt;"",$S328,IF($R328&lt;&gt;"",$R328,IF(OR($N328&lt;&gt;"",$O328="Blocked"),"BLOCKED","OK"))))</f>
        <v/>
      </c>
    </row>
    <row r="329">
      <c r="A329" s="21">
        <f>Deployments!H317</f>
        <v/>
      </c>
      <c r="B329" s="21">
        <f>Deployments!X317</f>
        <v/>
      </c>
      <c r="C329" s="21">
        <f>Deployments!Y317</f>
        <v/>
      </c>
      <c r="D329" s="14">
        <f>Deployments!AO317</f>
        <v/>
      </c>
      <c r="E329" s="14">
        <f>Deployments!N317</f>
        <v/>
      </c>
      <c r="F329" s="21">
        <f>Deployments!O317</f>
        <v/>
      </c>
      <c r="G329" s="14">
        <f>Deployments!P317</f>
        <v/>
      </c>
      <c r="H329" s="14">
        <f>'13 - Config_Intake_View'!M329</f>
        <v/>
      </c>
      <c r="I329" s="21">
        <f>IF('13 - Config_Intake_View'!Q329&lt;&gt;"",'13 - Config_Intake_View'!Q329,Deployments!AG317)</f>
        <v/>
      </c>
      <c r="J329" s="14">
        <f>IF('13 - Config_Intake_View'!Q329&lt;&gt;"","PM Approved",IF(Deployments!AG317&lt;&gt;"","Assumed",""))</f>
        <v/>
      </c>
      <c r="K329" s="21">
        <f>Deployments!AF317</f>
        <v/>
      </c>
      <c r="L329" s="14">
        <f>Deployments!U317</f>
        <v/>
      </c>
      <c r="M329" s="14">
        <f>Deployments!L317</f>
        <v/>
      </c>
      <c r="N329" s="14">
        <f>Deployments!CC317</f>
        <v/>
      </c>
      <c r="O329" s="21">
        <f>Deployments!CD317</f>
        <v/>
      </c>
      <c r="P329" s="2">
        <f>Deployments!BX317</f>
        <v/>
      </c>
      <c r="Q329" s="21">
        <f>IF(OR($A329="",$B329="",$D329=""),"MISSING CORE FIELDS","")</f>
        <v/>
      </c>
      <c r="R329" s="14">
        <f>IF(AND($I329&lt;&gt;"",$K329&lt;&gt;"Yes"),"SW NOT INSTALLED","")</f>
        <v/>
      </c>
      <c r="S329" s="14">
        <f>IF(AND($H329&lt;&gt;"",ISNUMBER(SEARCH("auto",LOWER($H329))),$F329=""),"AUTOLOGON REQUIRED","")</f>
        <v/>
      </c>
      <c r="T329" s="14">
        <f>IF($Q329&lt;&gt;"",$Q329,IF($S329&lt;&gt;"",$S329,IF($R329&lt;&gt;"",$R329,IF(OR($N329&lt;&gt;"",$O329="Blocked"),"BLOCKED","OK"))))</f>
        <v/>
      </c>
    </row>
    <row r="330">
      <c r="A330" s="21">
        <f>Deployments!H318</f>
        <v/>
      </c>
      <c r="B330" s="21">
        <f>Deployments!X318</f>
        <v/>
      </c>
      <c r="C330" s="21">
        <f>Deployments!Y318</f>
        <v/>
      </c>
      <c r="D330" s="14">
        <f>Deployments!AO318</f>
        <v/>
      </c>
      <c r="E330" s="14">
        <f>Deployments!N318</f>
        <v/>
      </c>
      <c r="F330" s="21">
        <f>Deployments!O318</f>
        <v/>
      </c>
      <c r="G330" s="14">
        <f>Deployments!P318</f>
        <v/>
      </c>
      <c r="H330" s="14">
        <f>'13 - Config_Intake_View'!M330</f>
        <v/>
      </c>
      <c r="I330" s="21">
        <f>IF('13 - Config_Intake_View'!Q330&lt;&gt;"",'13 - Config_Intake_View'!Q330,Deployments!AG318)</f>
        <v/>
      </c>
      <c r="J330" s="14">
        <f>IF('13 - Config_Intake_View'!Q330&lt;&gt;"","PM Approved",IF(Deployments!AG318&lt;&gt;"","Assumed",""))</f>
        <v/>
      </c>
      <c r="K330" s="21">
        <f>Deployments!AF318</f>
        <v/>
      </c>
      <c r="L330" s="14">
        <f>Deployments!U318</f>
        <v/>
      </c>
      <c r="M330" s="14">
        <f>Deployments!L318</f>
        <v/>
      </c>
      <c r="N330" s="14">
        <f>Deployments!CC318</f>
        <v/>
      </c>
      <c r="O330" s="21">
        <f>Deployments!CD318</f>
        <v/>
      </c>
      <c r="P330" s="2">
        <f>Deployments!BX318</f>
        <v/>
      </c>
      <c r="Q330" s="21">
        <f>IF(OR($A330="",$B330="",$D330=""),"MISSING CORE FIELDS","")</f>
        <v/>
      </c>
      <c r="R330" s="14">
        <f>IF(AND($I330&lt;&gt;"",$K330&lt;&gt;"Yes"),"SW NOT INSTALLED","")</f>
        <v/>
      </c>
      <c r="S330" s="14">
        <f>IF(AND($H330&lt;&gt;"",ISNUMBER(SEARCH("auto",LOWER($H330))),$F330=""),"AUTOLOGON REQUIRED","")</f>
        <v/>
      </c>
      <c r="T330" s="14">
        <f>IF($Q330&lt;&gt;"",$Q330,IF($S330&lt;&gt;"",$S330,IF($R330&lt;&gt;"",$R330,IF(OR($N330&lt;&gt;"",$O330="Blocked"),"BLOCKED","OK"))))</f>
        <v/>
      </c>
    </row>
    <row r="331">
      <c r="A331" s="21">
        <f>Deployments!H319</f>
        <v/>
      </c>
      <c r="B331" s="21">
        <f>Deployments!X319</f>
        <v/>
      </c>
      <c r="C331" s="21">
        <f>Deployments!Y319</f>
        <v/>
      </c>
      <c r="D331" s="14">
        <f>Deployments!AO319</f>
        <v/>
      </c>
      <c r="E331" s="14">
        <f>Deployments!N319</f>
        <v/>
      </c>
      <c r="F331" s="21">
        <f>Deployments!O319</f>
        <v/>
      </c>
      <c r="G331" s="14">
        <f>Deployments!P319</f>
        <v/>
      </c>
      <c r="H331" s="14">
        <f>'13 - Config_Intake_View'!M331</f>
        <v/>
      </c>
      <c r="I331" s="21">
        <f>IF('13 - Config_Intake_View'!Q331&lt;&gt;"",'13 - Config_Intake_View'!Q331,Deployments!AG319)</f>
        <v/>
      </c>
      <c r="J331" s="14">
        <f>IF('13 - Config_Intake_View'!Q331&lt;&gt;"","PM Approved",IF(Deployments!AG319&lt;&gt;"","Assumed",""))</f>
        <v/>
      </c>
      <c r="K331" s="21">
        <f>Deployments!AF319</f>
        <v/>
      </c>
      <c r="L331" s="14">
        <f>Deployments!U319</f>
        <v/>
      </c>
      <c r="M331" s="14">
        <f>Deployments!L319</f>
        <v/>
      </c>
      <c r="N331" s="14">
        <f>Deployments!CC319</f>
        <v/>
      </c>
      <c r="O331" s="21">
        <f>Deployments!CD319</f>
        <v/>
      </c>
      <c r="P331" s="2">
        <f>Deployments!BX319</f>
        <v/>
      </c>
      <c r="Q331" s="21">
        <f>IF(OR($A331="",$B331="",$D331=""),"MISSING CORE FIELDS","")</f>
        <v/>
      </c>
      <c r="R331" s="14">
        <f>IF(AND($I331&lt;&gt;"",$K331&lt;&gt;"Yes"),"SW NOT INSTALLED","")</f>
        <v/>
      </c>
      <c r="S331" s="14">
        <f>IF(AND($H331&lt;&gt;"",ISNUMBER(SEARCH("auto",LOWER($H331))),$F331=""),"AUTOLOGON REQUIRED","")</f>
        <v/>
      </c>
      <c r="T331" s="14">
        <f>IF($Q331&lt;&gt;"",$Q331,IF($S331&lt;&gt;"",$S331,IF($R331&lt;&gt;"",$R331,IF(OR($N331&lt;&gt;"",$O331="Blocked"),"BLOCKED","OK"))))</f>
        <v/>
      </c>
    </row>
    <row r="332">
      <c r="A332" s="21">
        <f>Deployments!H320</f>
        <v/>
      </c>
      <c r="B332" s="21">
        <f>Deployments!X320</f>
        <v/>
      </c>
      <c r="C332" s="21">
        <f>Deployments!Y320</f>
        <v/>
      </c>
      <c r="D332" s="14">
        <f>Deployments!AO320</f>
        <v/>
      </c>
      <c r="E332" s="14">
        <f>Deployments!N320</f>
        <v/>
      </c>
      <c r="F332" s="21">
        <f>Deployments!O320</f>
        <v/>
      </c>
      <c r="G332" s="14">
        <f>Deployments!P320</f>
        <v/>
      </c>
      <c r="H332" s="14">
        <f>'13 - Config_Intake_View'!M332</f>
        <v/>
      </c>
      <c r="I332" s="21">
        <f>IF('13 - Config_Intake_View'!Q332&lt;&gt;"",'13 - Config_Intake_View'!Q332,Deployments!AG320)</f>
        <v/>
      </c>
      <c r="J332" s="14">
        <f>IF('13 - Config_Intake_View'!Q332&lt;&gt;"","PM Approved",IF(Deployments!AG320&lt;&gt;"","Assumed",""))</f>
        <v/>
      </c>
      <c r="K332" s="21">
        <f>Deployments!AF320</f>
        <v/>
      </c>
      <c r="L332" s="14">
        <f>Deployments!U320</f>
        <v/>
      </c>
      <c r="M332" s="14">
        <f>Deployments!L320</f>
        <v/>
      </c>
      <c r="N332" s="14">
        <f>Deployments!CC320</f>
        <v/>
      </c>
      <c r="O332" s="21">
        <f>Deployments!CD320</f>
        <v/>
      </c>
      <c r="P332" s="2">
        <f>Deployments!BX320</f>
        <v/>
      </c>
      <c r="Q332" s="21">
        <f>IF(OR($A332="",$B332="",$D332=""),"MISSING CORE FIELDS","")</f>
        <v/>
      </c>
      <c r="R332" s="14">
        <f>IF(AND($I332&lt;&gt;"",$K332&lt;&gt;"Yes"),"SW NOT INSTALLED","")</f>
        <v/>
      </c>
      <c r="S332" s="14">
        <f>IF(AND($H332&lt;&gt;"",ISNUMBER(SEARCH("auto",LOWER($H332))),$F332=""),"AUTOLOGON REQUIRED","")</f>
        <v/>
      </c>
      <c r="T332" s="14">
        <f>IF($Q332&lt;&gt;"",$Q332,IF($S332&lt;&gt;"",$S332,IF($R332&lt;&gt;"",$R332,IF(OR($N332&lt;&gt;"",$O332="Blocked"),"BLOCKED","OK"))))</f>
        <v/>
      </c>
    </row>
    <row r="333">
      <c r="A333" s="21">
        <f>Deployments!H321</f>
        <v/>
      </c>
      <c r="B333" s="21">
        <f>Deployments!X321</f>
        <v/>
      </c>
      <c r="C333" s="21">
        <f>Deployments!Y321</f>
        <v/>
      </c>
      <c r="D333" s="14">
        <f>Deployments!AO321</f>
        <v/>
      </c>
      <c r="E333" s="14">
        <f>Deployments!N321</f>
        <v/>
      </c>
      <c r="F333" s="21">
        <f>Deployments!O321</f>
        <v/>
      </c>
      <c r="G333" s="14">
        <f>Deployments!P321</f>
        <v/>
      </c>
      <c r="H333" s="14">
        <f>'13 - Config_Intake_View'!M333</f>
        <v/>
      </c>
      <c r="I333" s="21">
        <f>IF('13 - Config_Intake_View'!Q333&lt;&gt;"",'13 - Config_Intake_View'!Q333,Deployments!AG321)</f>
        <v/>
      </c>
      <c r="J333" s="14">
        <f>IF('13 - Config_Intake_View'!Q333&lt;&gt;"","PM Approved",IF(Deployments!AG321&lt;&gt;"","Assumed",""))</f>
        <v/>
      </c>
      <c r="K333" s="21">
        <f>Deployments!AF321</f>
        <v/>
      </c>
      <c r="L333" s="14">
        <f>Deployments!U321</f>
        <v/>
      </c>
      <c r="M333" s="14">
        <f>Deployments!L321</f>
        <v/>
      </c>
      <c r="N333" s="14">
        <f>Deployments!CC321</f>
        <v/>
      </c>
      <c r="O333" s="21">
        <f>Deployments!CD321</f>
        <v/>
      </c>
      <c r="P333" s="2">
        <f>Deployments!BX321</f>
        <v/>
      </c>
      <c r="Q333" s="21">
        <f>IF(OR($A333="",$B333="",$D333=""),"MISSING CORE FIELDS","")</f>
        <v/>
      </c>
      <c r="R333" s="14">
        <f>IF(AND($I333&lt;&gt;"",$K333&lt;&gt;"Yes"),"SW NOT INSTALLED","")</f>
        <v/>
      </c>
      <c r="S333" s="14">
        <f>IF(AND($H333&lt;&gt;"",ISNUMBER(SEARCH("auto",LOWER($H333))),$F333=""),"AUTOLOGON REQUIRED","")</f>
        <v/>
      </c>
      <c r="T333" s="14">
        <f>IF($Q333&lt;&gt;"",$Q333,IF($S333&lt;&gt;"",$S333,IF($R333&lt;&gt;"",$R333,IF(OR($N333&lt;&gt;"",$O333="Blocked"),"BLOCKED","OK"))))</f>
        <v/>
      </c>
    </row>
    <row r="334">
      <c r="A334" s="21">
        <f>Deployments!H322</f>
        <v/>
      </c>
      <c r="B334" s="21">
        <f>Deployments!X322</f>
        <v/>
      </c>
      <c r="C334" s="21">
        <f>Deployments!Y322</f>
        <v/>
      </c>
      <c r="D334" s="14">
        <f>Deployments!AO322</f>
        <v/>
      </c>
      <c r="E334" s="14">
        <f>Deployments!N322</f>
        <v/>
      </c>
      <c r="F334" s="21">
        <f>Deployments!O322</f>
        <v/>
      </c>
      <c r="G334" s="14">
        <f>Deployments!P322</f>
        <v/>
      </c>
      <c r="H334" s="14">
        <f>'13 - Config_Intake_View'!M334</f>
        <v/>
      </c>
      <c r="I334" s="21">
        <f>IF('13 - Config_Intake_View'!Q334&lt;&gt;"",'13 - Config_Intake_View'!Q334,Deployments!AG322)</f>
        <v/>
      </c>
      <c r="J334" s="14">
        <f>IF('13 - Config_Intake_View'!Q334&lt;&gt;"","PM Approved",IF(Deployments!AG322&lt;&gt;"","Assumed",""))</f>
        <v/>
      </c>
      <c r="K334" s="21">
        <f>Deployments!AF322</f>
        <v/>
      </c>
      <c r="L334" s="14">
        <f>Deployments!U322</f>
        <v/>
      </c>
      <c r="M334" s="14">
        <f>Deployments!L322</f>
        <v/>
      </c>
      <c r="N334" s="14">
        <f>Deployments!CC322</f>
        <v/>
      </c>
      <c r="O334" s="21">
        <f>Deployments!CD322</f>
        <v/>
      </c>
      <c r="P334" s="2">
        <f>Deployments!BX322</f>
        <v/>
      </c>
      <c r="Q334" s="21">
        <f>IF(OR($A334="",$B334="",$D334=""),"MISSING CORE FIELDS","")</f>
        <v/>
      </c>
      <c r="R334" s="14">
        <f>IF(AND($I334&lt;&gt;"",$K334&lt;&gt;"Yes"),"SW NOT INSTALLED","")</f>
        <v/>
      </c>
      <c r="S334" s="14">
        <f>IF(AND($H334&lt;&gt;"",ISNUMBER(SEARCH("auto",LOWER($H334))),$F334=""),"AUTOLOGON REQUIRED","")</f>
        <v/>
      </c>
      <c r="T334" s="14">
        <f>IF($Q334&lt;&gt;"",$Q334,IF($S334&lt;&gt;"",$S334,IF($R334&lt;&gt;"",$R334,IF(OR($N334&lt;&gt;"",$O334="Blocked"),"BLOCKED","OK"))))</f>
        <v/>
      </c>
    </row>
    <row r="335">
      <c r="A335" s="21">
        <f>Deployments!H323</f>
        <v/>
      </c>
      <c r="B335" s="21">
        <f>Deployments!X323</f>
        <v/>
      </c>
      <c r="C335" s="21">
        <f>Deployments!Y323</f>
        <v/>
      </c>
      <c r="D335" s="14">
        <f>Deployments!AO323</f>
        <v/>
      </c>
      <c r="E335" s="14">
        <f>Deployments!N323</f>
        <v/>
      </c>
      <c r="F335" s="21">
        <f>Deployments!O323</f>
        <v/>
      </c>
      <c r="G335" s="14">
        <f>Deployments!P323</f>
        <v/>
      </c>
      <c r="H335" s="14">
        <f>'13 - Config_Intake_View'!M335</f>
        <v/>
      </c>
      <c r="I335" s="21">
        <f>IF('13 - Config_Intake_View'!Q335&lt;&gt;"",'13 - Config_Intake_View'!Q335,Deployments!AG323)</f>
        <v/>
      </c>
      <c r="J335" s="14">
        <f>IF('13 - Config_Intake_View'!Q335&lt;&gt;"","PM Approved",IF(Deployments!AG323&lt;&gt;"","Assumed",""))</f>
        <v/>
      </c>
      <c r="K335" s="21">
        <f>Deployments!AF323</f>
        <v/>
      </c>
      <c r="L335" s="14">
        <f>Deployments!U323</f>
        <v/>
      </c>
      <c r="M335" s="14">
        <f>Deployments!L323</f>
        <v/>
      </c>
      <c r="N335" s="14">
        <f>Deployments!CC323</f>
        <v/>
      </c>
      <c r="O335" s="21">
        <f>Deployments!CD323</f>
        <v/>
      </c>
      <c r="P335" s="2">
        <f>Deployments!BX323</f>
        <v/>
      </c>
      <c r="Q335" s="21">
        <f>IF(OR($A335="",$B335="",$D335=""),"MISSING CORE FIELDS","")</f>
        <v/>
      </c>
      <c r="R335" s="14">
        <f>IF(AND($I335&lt;&gt;"",$K335&lt;&gt;"Yes"),"SW NOT INSTALLED","")</f>
        <v/>
      </c>
      <c r="S335" s="14">
        <f>IF(AND($H335&lt;&gt;"",ISNUMBER(SEARCH("auto",LOWER($H335))),$F335=""),"AUTOLOGON REQUIRED","")</f>
        <v/>
      </c>
      <c r="T335" s="14">
        <f>IF($Q335&lt;&gt;"",$Q335,IF($S335&lt;&gt;"",$S335,IF($R335&lt;&gt;"",$R335,IF(OR($N335&lt;&gt;"",$O335="Blocked"),"BLOCKED","OK"))))</f>
        <v/>
      </c>
    </row>
    <row r="336">
      <c r="A336" s="21">
        <f>Deployments!H324</f>
        <v/>
      </c>
      <c r="B336" s="21">
        <f>Deployments!X324</f>
        <v/>
      </c>
      <c r="C336" s="21">
        <f>Deployments!Y324</f>
        <v/>
      </c>
      <c r="D336" s="14">
        <f>Deployments!AO324</f>
        <v/>
      </c>
      <c r="E336" s="14">
        <f>Deployments!N324</f>
        <v/>
      </c>
      <c r="F336" s="21">
        <f>Deployments!O324</f>
        <v/>
      </c>
      <c r="G336" s="14">
        <f>Deployments!P324</f>
        <v/>
      </c>
      <c r="H336" s="14">
        <f>'13 - Config_Intake_View'!M336</f>
        <v/>
      </c>
      <c r="I336" s="21">
        <f>IF('13 - Config_Intake_View'!Q336&lt;&gt;"",'13 - Config_Intake_View'!Q336,Deployments!AG324)</f>
        <v/>
      </c>
      <c r="J336" s="14">
        <f>IF('13 - Config_Intake_View'!Q336&lt;&gt;"","PM Approved",IF(Deployments!AG324&lt;&gt;"","Assumed",""))</f>
        <v/>
      </c>
      <c r="K336" s="21">
        <f>Deployments!AF324</f>
        <v/>
      </c>
      <c r="L336" s="14">
        <f>Deployments!U324</f>
        <v/>
      </c>
      <c r="M336" s="14">
        <f>Deployments!L324</f>
        <v/>
      </c>
      <c r="N336" s="14">
        <f>Deployments!CC324</f>
        <v/>
      </c>
      <c r="O336" s="21">
        <f>Deployments!CD324</f>
        <v/>
      </c>
      <c r="P336" s="2">
        <f>Deployments!BX324</f>
        <v/>
      </c>
      <c r="Q336" s="21">
        <f>IF(OR($A336="",$B336="",$D336=""),"MISSING CORE FIELDS","")</f>
        <v/>
      </c>
      <c r="R336" s="14">
        <f>IF(AND($I336&lt;&gt;"",$K336&lt;&gt;"Yes"),"SW NOT INSTALLED","")</f>
        <v/>
      </c>
      <c r="S336" s="14">
        <f>IF(AND($H336&lt;&gt;"",ISNUMBER(SEARCH("auto",LOWER($H336))),$F336=""),"AUTOLOGON REQUIRED","")</f>
        <v/>
      </c>
      <c r="T336" s="14">
        <f>IF($Q336&lt;&gt;"",$Q336,IF($S336&lt;&gt;"",$S336,IF($R336&lt;&gt;"",$R336,IF(OR($N336&lt;&gt;"",$O336="Blocked"),"BLOCKED","OK"))))</f>
        <v/>
      </c>
    </row>
    <row r="337">
      <c r="A337" s="21">
        <f>Deployments!H325</f>
        <v/>
      </c>
      <c r="B337" s="21">
        <f>Deployments!X325</f>
        <v/>
      </c>
      <c r="C337" s="21">
        <f>Deployments!Y325</f>
        <v/>
      </c>
      <c r="D337" s="14">
        <f>Deployments!AO325</f>
        <v/>
      </c>
      <c r="E337" s="14">
        <f>Deployments!N325</f>
        <v/>
      </c>
      <c r="F337" s="21">
        <f>Deployments!O325</f>
        <v/>
      </c>
      <c r="G337" s="14">
        <f>Deployments!P325</f>
        <v/>
      </c>
      <c r="H337" s="14">
        <f>'13 - Config_Intake_View'!M337</f>
        <v/>
      </c>
      <c r="I337" s="21">
        <f>IF('13 - Config_Intake_View'!Q337&lt;&gt;"",'13 - Config_Intake_View'!Q337,Deployments!AG325)</f>
        <v/>
      </c>
      <c r="J337" s="14">
        <f>IF('13 - Config_Intake_View'!Q337&lt;&gt;"","PM Approved",IF(Deployments!AG325&lt;&gt;"","Assumed",""))</f>
        <v/>
      </c>
      <c r="K337" s="21">
        <f>Deployments!AF325</f>
        <v/>
      </c>
      <c r="L337" s="14">
        <f>Deployments!U325</f>
        <v/>
      </c>
      <c r="M337" s="14">
        <f>Deployments!L325</f>
        <v/>
      </c>
      <c r="N337" s="14">
        <f>Deployments!CC325</f>
        <v/>
      </c>
      <c r="O337" s="21">
        <f>Deployments!CD325</f>
        <v/>
      </c>
      <c r="P337" s="2">
        <f>Deployments!BX325</f>
        <v/>
      </c>
      <c r="Q337" s="21">
        <f>IF(OR($A337="",$B337="",$D337=""),"MISSING CORE FIELDS","")</f>
        <v/>
      </c>
      <c r="R337" s="14">
        <f>IF(AND($I337&lt;&gt;"",$K337&lt;&gt;"Yes"),"SW NOT INSTALLED","")</f>
        <v/>
      </c>
      <c r="S337" s="14">
        <f>IF(AND($H337&lt;&gt;"",ISNUMBER(SEARCH("auto",LOWER($H337))),$F337=""),"AUTOLOGON REQUIRED","")</f>
        <v/>
      </c>
      <c r="T337" s="14">
        <f>IF($Q337&lt;&gt;"",$Q337,IF($S337&lt;&gt;"",$S337,IF($R337&lt;&gt;"",$R337,IF(OR($N337&lt;&gt;"",$O337="Blocked"),"BLOCKED","OK"))))</f>
        <v/>
      </c>
    </row>
    <row r="338">
      <c r="A338" s="21">
        <f>Deployments!H326</f>
        <v/>
      </c>
      <c r="B338" s="21">
        <f>Deployments!X326</f>
        <v/>
      </c>
      <c r="C338" s="21">
        <f>Deployments!Y326</f>
        <v/>
      </c>
      <c r="D338" s="14">
        <f>Deployments!AO326</f>
        <v/>
      </c>
      <c r="E338" s="14">
        <f>Deployments!N326</f>
        <v/>
      </c>
      <c r="F338" s="21">
        <f>Deployments!O326</f>
        <v/>
      </c>
      <c r="G338" s="14">
        <f>Deployments!P326</f>
        <v/>
      </c>
      <c r="H338" s="14">
        <f>'13 - Config_Intake_View'!M338</f>
        <v/>
      </c>
      <c r="I338" s="21">
        <f>IF('13 - Config_Intake_View'!Q338&lt;&gt;"",'13 - Config_Intake_View'!Q338,Deployments!AG326)</f>
        <v/>
      </c>
      <c r="J338" s="14">
        <f>IF('13 - Config_Intake_View'!Q338&lt;&gt;"","PM Approved",IF(Deployments!AG326&lt;&gt;"","Assumed",""))</f>
        <v/>
      </c>
      <c r="K338" s="21">
        <f>Deployments!AF326</f>
        <v/>
      </c>
      <c r="L338" s="14">
        <f>Deployments!U326</f>
        <v/>
      </c>
      <c r="M338" s="14">
        <f>Deployments!L326</f>
        <v/>
      </c>
      <c r="N338" s="14">
        <f>Deployments!CC326</f>
        <v/>
      </c>
      <c r="O338" s="21">
        <f>Deployments!CD326</f>
        <v/>
      </c>
      <c r="P338" s="2">
        <f>Deployments!BX326</f>
        <v/>
      </c>
      <c r="Q338" s="21">
        <f>IF(OR($A338="",$B338="",$D338=""),"MISSING CORE FIELDS","")</f>
        <v/>
      </c>
      <c r="R338" s="14">
        <f>IF(AND($I338&lt;&gt;"",$K338&lt;&gt;"Yes"),"SW NOT INSTALLED","")</f>
        <v/>
      </c>
      <c r="S338" s="14">
        <f>IF(AND($H338&lt;&gt;"",ISNUMBER(SEARCH("auto",LOWER($H338))),$F338=""),"AUTOLOGON REQUIRED","")</f>
        <v/>
      </c>
      <c r="T338" s="14">
        <f>IF($Q338&lt;&gt;"",$Q338,IF($S338&lt;&gt;"",$S338,IF($R338&lt;&gt;"",$R338,IF(OR($N338&lt;&gt;"",$O338="Blocked"),"BLOCKED","OK"))))</f>
        <v/>
      </c>
    </row>
    <row r="339">
      <c r="A339" s="21">
        <f>Deployments!H327</f>
        <v/>
      </c>
      <c r="B339" s="21">
        <f>Deployments!X327</f>
        <v/>
      </c>
      <c r="C339" s="21">
        <f>Deployments!Y327</f>
        <v/>
      </c>
      <c r="D339" s="14">
        <f>Deployments!AO327</f>
        <v/>
      </c>
      <c r="E339" s="14">
        <f>Deployments!N327</f>
        <v/>
      </c>
      <c r="F339" s="21">
        <f>Deployments!O327</f>
        <v/>
      </c>
      <c r="G339" s="14">
        <f>Deployments!P327</f>
        <v/>
      </c>
      <c r="H339" s="14">
        <f>'13 - Config_Intake_View'!M339</f>
        <v/>
      </c>
      <c r="I339" s="21">
        <f>IF('13 - Config_Intake_View'!Q339&lt;&gt;"",'13 - Config_Intake_View'!Q339,Deployments!AG327)</f>
        <v/>
      </c>
      <c r="J339" s="14">
        <f>IF('13 - Config_Intake_View'!Q339&lt;&gt;"","PM Approved",IF(Deployments!AG327&lt;&gt;"","Assumed",""))</f>
        <v/>
      </c>
      <c r="K339" s="21">
        <f>Deployments!AF327</f>
        <v/>
      </c>
      <c r="L339" s="14">
        <f>Deployments!U327</f>
        <v/>
      </c>
      <c r="M339" s="14">
        <f>Deployments!L327</f>
        <v/>
      </c>
      <c r="N339" s="14">
        <f>Deployments!CC327</f>
        <v/>
      </c>
      <c r="O339" s="21">
        <f>Deployments!CD327</f>
        <v/>
      </c>
      <c r="P339" s="2">
        <f>Deployments!BX327</f>
        <v/>
      </c>
      <c r="Q339" s="21">
        <f>IF(OR($A339="",$B339="",$D339=""),"MISSING CORE FIELDS","")</f>
        <v/>
      </c>
      <c r="R339" s="14">
        <f>IF(AND($I339&lt;&gt;"",$K339&lt;&gt;"Yes"),"SW NOT INSTALLED","")</f>
        <v/>
      </c>
      <c r="S339" s="14">
        <f>IF(AND($H339&lt;&gt;"",ISNUMBER(SEARCH("auto",LOWER($H339))),$F339=""),"AUTOLOGON REQUIRED","")</f>
        <v/>
      </c>
      <c r="T339" s="14">
        <f>IF($Q339&lt;&gt;"",$Q339,IF($S339&lt;&gt;"",$S339,IF($R339&lt;&gt;"",$R339,IF(OR($N339&lt;&gt;"",$O339="Blocked"),"BLOCKED","OK"))))</f>
        <v/>
      </c>
    </row>
    <row r="340">
      <c r="A340" s="21">
        <f>Deployments!H328</f>
        <v/>
      </c>
      <c r="B340" s="21">
        <f>Deployments!X328</f>
        <v/>
      </c>
      <c r="C340" s="21">
        <f>Deployments!Y328</f>
        <v/>
      </c>
      <c r="D340" s="14">
        <f>Deployments!AO328</f>
        <v/>
      </c>
      <c r="E340" s="14">
        <f>Deployments!N328</f>
        <v/>
      </c>
      <c r="F340" s="21">
        <f>Deployments!O328</f>
        <v/>
      </c>
      <c r="G340" s="14">
        <f>Deployments!P328</f>
        <v/>
      </c>
      <c r="H340" s="14">
        <f>'13 - Config_Intake_View'!M340</f>
        <v/>
      </c>
      <c r="I340" s="21">
        <f>IF('13 - Config_Intake_View'!Q340&lt;&gt;"",'13 - Config_Intake_View'!Q340,Deployments!AG328)</f>
        <v/>
      </c>
      <c r="J340" s="14">
        <f>IF('13 - Config_Intake_View'!Q340&lt;&gt;"","PM Approved",IF(Deployments!AG328&lt;&gt;"","Assumed",""))</f>
        <v/>
      </c>
      <c r="K340" s="21">
        <f>Deployments!AF328</f>
        <v/>
      </c>
      <c r="L340" s="14">
        <f>Deployments!U328</f>
        <v/>
      </c>
      <c r="M340" s="14">
        <f>Deployments!L328</f>
        <v/>
      </c>
      <c r="N340" s="14">
        <f>Deployments!CC328</f>
        <v/>
      </c>
      <c r="O340" s="21">
        <f>Deployments!CD328</f>
        <v/>
      </c>
      <c r="P340" s="2">
        <f>Deployments!BX328</f>
        <v/>
      </c>
      <c r="Q340" s="21">
        <f>IF(OR($A340="",$B340="",$D340=""),"MISSING CORE FIELDS","")</f>
        <v/>
      </c>
      <c r="R340" s="14">
        <f>IF(AND($I340&lt;&gt;"",$K340&lt;&gt;"Yes"),"SW NOT INSTALLED","")</f>
        <v/>
      </c>
      <c r="S340" s="14">
        <f>IF(AND($H340&lt;&gt;"",ISNUMBER(SEARCH("auto",LOWER($H340))),$F340=""),"AUTOLOGON REQUIRED","")</f>
        <v/>
      </c>
      <c r="T340" s="14">
        <f>IF($Q340&lt;&gt;"",$Q340,IF($S340&lt;&gt;"",$S340,IF($R340&lt;&gt;"",$R340,IF(OR($N340&lt;&gt;"",$O340="Blocked"),"BLOCKED","OK"))))</f>
        <v/>
      </c>
    </row>
    <row r="341">
      <c r="A341" s="21">
        <f>Deployments!H329</f>
        <v/>
      </c>
      <c r="B341" s="21">
        <f>Deployments!X329</f>
        <v/>
      </c>
      <c r="C341" s="21">
        <f>Deployments!Y329</f>
        <v/>
      </c>
      <c r="D341" s="14">
        <f>Deployments!AO329</f>
        <v/>
      </c>
      <c r="E341" s="14">
        <f>Deployments!N329</f>
        <v/>
      </c>
      <c r="F341" s="21">
        <f>Deployments!O329</f>
        <v/>
      </c>
      <c r="G341" s="14">
        <f>Deployments!P329</f>
        <v/>
      </c>
      <c r="H341" s="14">
        <f>'13 - Config_Intake_View'!M341</f>
        <v/>
      </c>
      <c r="I341" s="21">
        <f>IF('13 - Config_Intake_View'!Q341&lt;&gt;"",'13 - Config_Intake_View'!Q341,Deployments!AG329)</f>
        <v/>
      </c>
      <c r="J341" s="14">
        <f>IF('13 - Config_Intake_View'!Q341&lt;&gt;"","PM Approved",IF(Deployments!AG329&lt;&gt;"","Assumed",""))</f>
        <v/>
      </c>
      <c r="K341" s="21">
        <f>Deployments!AF329</f>
        <v/>
      </c>
      <c r="L341" s="14">
        <f>Deployments!U329</f>
        <v/>
      </c>
      <c r="M341" s="14">
        <f>Deployments!L329</f>
        <v/>
      </c>
      <c r="N341" s="14">
        <f>Deployments!CC329</f>
        <v/>
      </c>
      <c r="O341" s="21">
        <f>Deployments!CD329</f>
        <v/>
      </c>
      <c r="P341" s="2">
        <f>Deployments!BX329</f>
        <v/>
      </c>
      <c r="Q341" s="21">
        <f>IF(OR($A341="",$B341="",$D341=""),"MISSING CORE FIELDS","")</f>
        <v/>
      </c>
      <c r="R341" s="14">
        <f>IF(AND($I341&lt;&gt;"",$K341&lt;&gt;"Yes"),"SW NOT INSTALLED","")</f>
        <v/>
      </c>
      <c r="S341" s="14">
        <f>IF(AND($H341&lt;&gt;"",ISNUMBER(SEARCH("auto",LOWER($H341))),$F341=""),"AUTOLOGON REQUIRED","")</f>
        <v/>
      </c>
      <c r="T341" s="14">
        <f>IF($Q341&lt;&gt;"",$Q341,IF($S341&lt;&gt;"",$S341,IF($R341&lt;&gt;"",$R341,IF(OR($N341&lt;&gt;"",$O341="Blocked"),"BLOCKED","OK"))))</f>
        <v/>
      </c>
    </row>
    <row r="342">
      <c r="A342" s="21">
        <f>Deployments!H330</f>
        <v/>
      </c>
      <c r="B342" s="21">
        <f>Deployments!X330</f>
        <v/>
      </c>
      <c r="C342" s="21">
        <f>Deployments!Y330</f>
        <v/>
      </c>
      <c r="D342" s="14">
        <f>Deployments!AO330</f>
        <v/>
      </c>
      <c r="E342" s="14">
        <f>Deployments!N330</f>
        <v/>
      </c>
      <c r="F342" s="21">
        <f>Deployments!O330</f>
        <v/>
      </c>
      <c r="G342" s="14">
        <f>Deployments!P330</f>
        <v/>
      </c>
      <c r="H342" s="14">
        <f>'13 - Config_Intake_View'!M342</f>
        <v/>
      </c>
      <c r="I342" s="21">
        <f>IF('13 - Config_Intake_View'!Q342&lt;&gt;"",'13 - Config_Intake_View'!Q342,Deployments!AG330)</f>
        <v/>
      </c>
      <c r="J342" s="14">
        <f>IF('13 - Config_Intake_View'!Q342&lt;&gt;"","PM Approved",IF(Deployments!AG330&lt;&gt;"","Assumed",""))</f>
        <v/>
      </c>
      <c r="K342" s="21">
        <f>Deployments!AF330</f>
        <v/>
      </c>
      <c r="L342" s="14">
        <f>Deployments!U330</f>
        <v/>
      </c>
      <c r="M342" s="14">
        <f>Deployments!L330</f>
        <v/>
      </c>
      <c r="N342" s="14">
        <f>Deployments!CC330</f>
        <v/>
      </c>
      <c r="O342" s="21">
        <f>Deployments!CD330</f>
        <v/>
      </c>
      <c r="P342" s="2">
        <f>Deployments!BX330</f>
        <v/>
      </c>
      <c r="Q342" s="21">
        <f>IF(OR($A342="",$B342="",$D342=""),"MISSING CORE FIELDS","")</f>
        <v/>
      </c>
      <c r="R342" s="14">
        <f>IF(AND($I342&lt;&gt;"",$K342&lt;&gt;"Yes"),"SW NOT INSTALLED","")</f>
        <v/>
      </c>
      <c r="S342" s="14">
        <f>IF(AND($H342&lt;&gt;"",ISNUMBER(SEARCH("auto",LOWER($H342))),$F342=""),"AUTOLOGON REQUIRED","")</f>
        <v/>
      </c>
      <c r="T342" s="14">
        <f>IF($Q342&lt;&gt;"",$Q342,IF($S342&lt;&gt;"",$S342,IF($R342&lt;&gt;"",$R342,IF(OR($N342&lt;&gt;"",$O342="Blocked"),"BLOCKED","OK"))))</f>
        <v/>
      </c>
    </row>
    <row r="343">
      <c r="A343" s="21">
        <f>Deployments!H331</f>
        <v/>
      </c>
      <c r="B343" s="21">
        <f>Deployments!X331</f>
        <v/>
      </c>
      <c r="C343" s="21">
        <f>Deployments!Y331</f>
        <v/>
      </c>
      <c r="D343" s="14">
        <f>Deployments!AO331</f>
        <v/>
      </c>
      <c r="E343" s="14">
        <f>Deployments!N331</f>
        <v/>
      </c>
      <c r="F343" s="21">
        <f>Deployments!O331</f>
        <v/>
      </c>
      <c r="G343" s="14">
        <f>Deployments!P331</f>
        <v/>
      </c>
      <c r="H343" s="14">
        <f>'13 - Config_Intake_View'!M343</f>
        <v/>
      </c>
      <c r="I343" s="21">
        <f>IF('13 - Config_Intake_View'!Q343&lt;&gt;"",'13 - Config_Intake_View'!Q343,Deployments!AG331)</f>
        <v/>
      </c>
      <c r="J343" s="14">
        <f>IF('13 - Config_Intake_View'!Q343&lt;&gt;"","PM Approved",IF(Deployments!AG331&lt;&gt;"","Assumed",""))</f>
        <v/>
      </c>
      <c r="K343" s="21">
        <f>Deployments!AF331</f>
        <v/>
      </c>
      <c r="L343" s="14">
        <f>Deployments!U331</f>
        <v/>
      </c>
      <c r="M343" s="14">
        <f>Deployments!L331</f>
        <v/>
      </c>
      <c r="N343" s="14">
        <f>Deployments!CC331</f>
        <v/>
      </c>
      <c r="O343" s="21">
        <f>Deployments!CD331</f>
        <v/>
      </c>
      <c r="P343" s="2">
        <f>Deployments!BX331</f>
        <v/>
      </c>
      <c r="Q343" s="21">
        <f>IF(OR($A343="",$B343="",$D343=""),"MISSING CORE FIELDS","")</f>
        <v/>
      </c>
      <c r="R343" s="14">
        <f>IF(AND($I343&lt;&gt;"",$K343&lt;&gt;"Yes"),"SW NOT INSTALLED","")</f>
        <v/>
      </c>
      <c r="S343" s="14">
        <f>IF(AND($H343&lt;&gt;"",ISNUMBER(SEARCH("auto",LOWER($H343))),$F343=""),"AUTOLOGON REQUIRED","")</f>
        <v/>
      </c>
      <c r="T343" s="14">
        <f>IF($Q343&lt;&gt;"",$Q343,IF($S343&lt;&gt;"",$S343,IF($R343&lt;&gt;"",$R343,IF(OR($N343&lt;&gt;"",$O343="Blocked"),"BLOCKED","OK"))))</f>
        <v/>
      </c>
    </row>
    <row r="344">
      <c r="A344" s="21">
        <f>Deployments!H332</f>
        <v/>
      </c>
      <c r="B344" s="21">
        <f>Deployments!X332</f>
        <v/>
      </c>
      <c r="C344" s="21">
        <f>Deployments!Y332</f>
        <v/>
      </c>
      <c r="D344" s="14">
        <f>Deployments!AO332</f>
        <v/>
      </c>
      <c r="E344" s="14">
        <f>Deployments!N332</f>
        <v/>
      </c>
      <c r="F344" s="21">
        <f>Deployments!O332</f>
        <v/>
      </c>
      <c r="G344" s="14">
        <f>Deployments!P332</f>
        <v/>
      </c>
      <c r="H344" s="14">
        <f>'13 - Config_Intake_View'!M344</f>
        <v/>
      </c>
      <c r="I344" s="21">
        <f>IF('13 - Config_Intake_View'!Q344&lt;&gt;"",'13 - Config_Intake_View'!Q344,Deployments!AG332)</f>
        <v/>
      </c>
      <c r="J344" s="14">
        <f>IF('13 - Config_Intake_View'!Q344&lt;&gt;"","PM Approved",IF(Deployments!AG332&lt;&gt;"","Assumed",""))</f>
        <v/>
      </c>
      <c r="K344" s="21">
        <f>Deployments!AF332</f>
        <v/>
      </c>
      <c r="L344" s="14">
        <f>Deployments!U332</f>
        <v/>
      </c>
      <c r="M344" s="14">
        <f>Deployments!L332</f>
        <v/>
      </c>
      <c r="N344" s="14">
        <f>Deployments!CC332</f>
        <v/>
      </c>
      <c r="O344" s="21">
        <f>Deployments!CD332</f>
        <v/>
      </c>
      <c r="P344" s="2">
        <f>Deployments!BX332</f>
        <v/>
      </c>
      <c r="Q344" s="21">
        <f>IF(OR($A344="",$B344="",$D344=""),"MISSING CORE FIELDS","")</f>
        <v/>
      </c>
      <c r="R344" s="14">
        <f>IF(AND($I344&lt;&gt;"",$K344&lt;&gt;"Yes"),"SW NOT INSTALLED","")</f>
        <v/>
      </c>
      <c r="S344" s="14">
        <f>IF(AND($H344&lt;&gt;"",ISNUMBER(SEARCH("auto",LOWER($H344))),$F344=""),"AUTOLOGON REQUIRED","")</f>
        <v/>
      </c>
      <c r="T344" s="14">
        <f>IF($Q344&lt;&gt;"",$Q344,IF($S344&lt;&gt;"",$S344,IF($R344&lt;&gt;"",$R344,IF(OR($N344&lt;&gt;"",$O344="Blocked"),"BLOCKED","OK"))))</f>
        <v/>
      </c>
    </row>
    <row r="345">
      <c r="A345" s="21">
        <f>Deployments!H333</f>
        <v/>
      </c>
      <c r="B345" s="21">
        <f>Deployments!X333</f>
        <v/>
      </c>
      <c r="C345" s="21">
        <f>Deployments!Y333</f>
        <v/>
      </c>
      <c r="D345" s="14">
        <f>Deployments!AO333</f>
        <v/>
      </c>
      <c r="E345" s="14">
        <f>Deployments!N333</f>
        <v/>
      </c>
      <c r="F345" s="21">
        <f>Deployments!O333</f>
        <v/>
      </c>
      <c r="G345" s="14">
        <f>Deployments!P333</f>
        <v/>
      </c>
      <c r="H345" s="14">
        <f>'13 - Config_Intake_View'!M345</f>
        <v/>
      </c>
      <c r="I345" s="21">
        <f>IF('13 - Config_Intake_View'!Q345&lt;&gt;"",'13 - Config_Intake_View'!Q345,Deployments!AG333)</f>
        <v/>
      </c>
      <c r="J345" s="14">
        <f>IF('13 - Config_Intake_View'!Q345&lt;&gt;"","PM Approved",IF(Deployments!AG333&lt;&gt;"","Assumed",""))</f>
        <v/>
      </c>
      <c r="K345" s="21">
        <f>Deployments!AF333</f>
        <v/>
      </c>
      <c r="L345" s="14">
        <f>Deployments!U333</f>
        <v/>
      </c>
      <c r="M345" s="14">
        <f>Deployments!L333</f>
        <v/>
      </c>
      <c r="N345" s="14">
        <f>Deployments!CC333</f>
        <v/>
      </c>
      <c r="O345" s="21">
        <f>Deployments!CD333</f>
        <v/>
      </c>
      <c r="P345" s="2">
        <f>Deployments!BX333</f>
        <v/>
      </c>
      <c r="Q345" s="21">
        <f>IF(OR($A345="",$B345="",$D345=""),"MISSING CORE FIELDS","")</f>
        <v/>
      </c>
      <c r="R345" s="14">
        <f>IF(AND($I345&lt;&gt;"",$K345&lt;&gt;"Yes"),"SW NOT INSTALLED","")</f>
        <v/>
      </c>
      <c r="S345" s="14">
        <f>IF(AND($H345&lt;&gt;"",ISNUMBER(SEARCH("auto",LOWER($H345))),$F345=""),"AUTOLOGON REQUIRED","")</f>
        <v/>
      </c>
      <c r="T345" s="14">
        <f>IF($Q345&lt;&gt;"",$Q345,IF($S345&lt;&gt;"",$S345,IF($R345&lt;&gt;"",$R345,IF(OR($N345&lt;&gt;"",$O345="Blocked"),"BLOCKED","OK"))))</f>
        <v/>
      </c>
    </row>
    <row r="346">
      <c r="A346" s="21">
        <f>Deployments!H334</f>
        <v/>
      </c>
      <c r="B346" s="21">
        <f>Deployments!X334</f>
        <v/>
      </c>
      <c r="C346" s="21">
        <f>Deployments!Y334</f>
        <v/>
      </c>
      <c r="D346" s="14">
        <f>Deployments!AO334</f>
        <v/>
      </c>
      <c r="E346" s="14">
        <f>Deployments!N334</f>
        <v/>
      </c>
      <c r="F346" s="21">
        <f>Deployments!O334</f>
        <v/>
      </c>
      <c r="G346" s="14">
        <f>Deployments!P334</f>
        <v/>
      </c>
      <c r="H346" s="14">
        <f>'13 - Config_Intake_View'!M346</f>
        <v/>
      </c>
      <c r="I346" s="21">
        <f>IF('13 - Config_Intake_View'!Q346&lt;&gt;"",'13 - Config_Intake_View'!Q346,Deployments!AG334)</f>
        <v/>
      </c>
      <c r="J346" s="14">
        <f>IF('13 - Config_Intake_View'!Q346&lt;&gt;"","PM Approved",IF(Deployments!AG334&lt;&gt;"","Assumed",""))</f>
        <v/>
      </c>
      <c r="K346" s="21">
        <f>Deployments!AF334</f>
        <v/>
      </c>
      <c r="L346" s="14">
        <f>Deployments!U334</f>
        <v/>
      </c>
      <c r="M346" s="14">
        <f>Deployments!L334</f>
        <v/>
      </c>
      <c r="N346" s="14">
        <f>Deployments!CC334</f>
        <v/>
      </c>
      <c r="O346" s="21">
        <f>Deployments!CD334</f>
        <v/>
      </c>
      <c r="P346" s="2">
        <f>Deployments!BX334</f>
        <v/>
      </c>
      <c r="Q346" s="21">
        <f>IF(OR($A346="",$B346="",$D346=""),"MISSING CORE FIELDS","")</f>
        <v/>
      </c>
      <c r="R346" s="14">
        <f>IF(AND($I346&lt;&gt;"",$K346&lt;&gt;"Yes"),"SW NOT INSTALLED","")</f>
        <v/>
      </c>
      <c r="S346" s="14">
        <f>IF(AND($H346&lt;&gt;"",ISNUMBER(SEARCH("auto",LOWER($H346))),$F346=""),"AUTOLOGON REQUIRED","")</f>
        <v/>
      </c>
      <c r="T346" s="14">
        <f>IF($Q346&lt;&gt;"",$Q346,IF($S346&lt;&gt;"",$S346,IF($R346&lt;&gt;"",$R346,IF(OR($N346&lt;&gt;"",$O346="Blocked"),"BLOCKED","OK"))))</f>
        <v/>
      </c>
    </row>
    <row r="347">
      <c r="A347" s="21">
        <f>Deployments!H335</f>
        <v/>
      </c>
      <c r="B347" s="21">
        <f>Deployments!X335</f>
        <v/>
      </c>
      <c r="C347" s="21">
        <f>Deployments!Y335</f>
        <v/>
      </c>
      <c r="D347" s="14">
        <f>Deployments!AO335</f>
        <v/>
      </c>
      <c r="E347" s="14">
        <f>Deployments!N335</f>
        <v/>
      </c>
      <c r="F347" s="21">
        <f>Deployments!O335</f>
        <v/>
      </c>
      <c r="G347" s="14">
        <f>Deployments!P335</f>
        <v/>
      </c>
      <c r="H347" s="14">
        <f>'13 - Config_Intake_View'!M347</f>
        <v/>
      </c>
      <c r="I347" s="21">
        <f>IF('13 - Config_Intake_View'!Q347&lt;&gt;"",'13 - Config_Intake_View'!Q347,Deployments!AG335)</f>
        <v/>
      </c>
      <c r="J347" s="14">
        <f>IF('13 - Config_Intake_View'!Q347&lt;&gt;"","PM Approved",IF(Deployments!AG335&lt;&gt;"","Assumed",""))</f>
        <v/>
      </c>
      <c r="K347" s="21">
        <f>Deployments!AF335</f>
        <v/>
      </c>
      <c r="L347" s="14">
        <f>Deployments!U335</f>
        <v/>
      </c>
      <c r="M347" s="14">
        <f>Deployments!L335</f>
        <v/>
      </c>
      <c r="N347" s="14">
        <f>Deployments!CC335</f>
        <v/>
      </c>
      <c r="O347" s="21">
        <f>Deployments!CD335</f>
        <v/>
      </c>
      <c r="P347" s="2">
        <f>Deployments!BX335</f>
        <v/>
      </c>
      <c r="Q347" s="21">
        <f>IF(OR($A347="",$B347="",$D347=""),"MISSING CORE FIELDS","")</f>
        <v/>
      </c>
      <c r="R347" s="14">
        <f>IF(AND($I347&lt;&gt;"",$K347&lt;&gt;"Yes"),"SW NOT INSTALLED","")</f>
        <v/>
      </c>
      <c r="S347" s="14">
        <f>IF(AND($H347&lt;&gt;"",ISNUMBER(SEARCH("auto",LOWER($H347))),$F347=""),"AUTOLOGON REQUIRED","")</f>
        <v/>
      </c>
      <c r="T347" s="14">
        <f>IF($Q347&lt;&gt;"",$Q347,IF($S347&lt;&gt;"",$S347,IF($R347&lt;&gt;"",$R347,IF(OR($N347&lt;&gt;"",$O347="Blocked"),"BLOCKED","OK"))))</f>
        <v/>
      </c>
    </row>
    <row r="348">
      <c r="A348" s="21">
        <f>Deployments!H336</f>
        <v/>
      </c>
      <c r="B348" s="21">
        <f>Deployments!X336</f>
        <v/>
      </c>
      <c r="C348" s="21">
        <f>Deployments!Y336</f>
        <v/>
      </c>
      <c r="D348" s="14">
        <f>Deployments!AO336</f>
        <v/>
      </c>
      <c r="E348" s="14">
        <f>Deployments!N336</f>
        <v/>
      </c>
      <c r="F348" s="21">
        <f>Deployments!O336</f>
        <v/>
      </c>
      <c r="G348" s="14">
        <f>Deployments!P336</f>
        <v/>
      </c>
      <c r="H348" s="14">
        <f>'13 - Config_Intake_View'!M348</f>
        <v/>
      </c>
      <c r="I348" s="21">
        <f>IF('13 - Config_Intake_View'!Q348&lt;&gt;"",'13 - Config_Intake_View'!Q348,Deployments!AG336)</f>
        <v/>
      </c>
      <c r="J348" s="14">
        <f>IF('13 - Config_Intake_View'!Q348&lt;&gt;"","PM Approved",IF(Deployments!AG336&lt;&gt;"","Assumed",""))</f>
        <v/>
      </c>
      <c r="K348" s="21">
        <f>Deployments!AF336</f>
        <v/>
      </c>
      <c r="L348" s="14">
        <f>Deployments!U336</f>
        <v/>
      </c>
      <c r="M348" s="14">
        <f>Deployments!L336</f>
        <v/>
      </c>
      <c r="N348" s="14">
        <f>Deployments!CC336</f>
        <v/>
      </c>
      <c r="O348" s="21">
        <f>Deployments!CD336</f>
        <v/>
      </c>
      <c r="P348" s="2">
        <f>Deployments!BX336</f>
        <v/>
      </c>
      <c r="Q348" s="21">
        <f>IF(OR($A348="",$B348="",$D348=""),"MISSING CORE FIELDS","")</f>
        <v/>
      </c>
      <c r="R348" s="14">
        <f>IF(AND($I348&lt;&gt;"",$K348&lt;&gt;"Yes"),"SW NOT INSTALLED","")</f>
        <v/>
      </c>
      <c r="S348" s="14">
        <f>IF(AND($H348&lt;&gt;"",ISNUMBER(SEARCH("auto",LOWER($H348))),$F348=""),"AUTOLOGON REQUIRED","")</f>
        <v/>
      </c>
      <c r="T348" s="14">
        <f>IF($Q348&lt;&gt;"",$Q348,IF($S348&lt;&gt;"",$S348,IF($R348&lt;&gt;"",$R348,IF(OR($N348&lt;&gt;"",$O348="Blocked"),"BLOCKED","OK"))))</f>
        <v/>
      </c>
    </row>
    <row r="349">
      <c r="A349" s="21">
        <f>Deployments!H337</f>
        <v/>
      </c>
      <c r="B349" s="21">
        <f>Deployments!X337</f>
        <v/>
      </c>
      <c r="C349" s="21">
        <f>Deployments!Y337</f>
        <v/>
      </c>
      <c r="D349" s="14">
        <f>Deployments!AO337</f>
        <v/>
      </c>
      <c r="E349" s="14">
        <f>Deployments!N337</f>
        <v/>
      </c>
      <c r="F349" s="21">
        <f>Deployments!O337</f>
        <v/>
      </c>
      <c r="G349" s="14">
        <f>Deployments!P337</f>
        <v/>
      </c>
      <c r="H349" s="14">
        <f>'13 - Config_Intake_View'!M349</f>
        <v/>
      </c>
      <c r="I349" s="21">
        <f>IF('13 - Config_Intake_View'!Q349&lt;&gt;"",'13 - Config_Intake_View'!Q349,Deployments!AG337)</f>
        <v/>
      </c>
      <c r="J349" s="14">
        <f>IF('13 - Config_Intake_View'!Q349&lt;&gt;"","PM Approved",IF(Deployments!AG337&lt;&gt;"","Assumed",""))</f>
        <v/>
      </c>
      <c r="K349" s="21">
        <f>Deployments!AF337</f>
        <v/>
      </c>
      <c r="L349" s="14">
        <f>Deployments!U337</f>
        <v/>
      </c>
      <c r="M349" s="14">
        <f>Deployments!L337</f>
        <v/>
      </c>
      <c r="N349" s="14">
        <f>Deployments!CC337</f>
        <v/>
      </c>
      <c r="O349" s="21">
        <f>Deployments!CD337</f>
        <v/>
      </c>
      <c r="P349" s="2">
        <f>Deployments!BX337</f>
        <v/>
      </c>
      <c r="Q349" s="21">
        <f>IF(OR($A349="",$B349="",$D349=""),"MISSING CORE FIELDS","")</f>
        <v/>
      </c>
      <c r="R349" s="14">
        <f>IF(AND($I349&lt;&gt;"",$K349&lt;&gt;"Yes"),"SW NOT INSTALLED","")</f>
        <v/>
      </c>
      <c r="S349" s="14">
        <f>IF(AND($H349&lt;&gt;"",ISNUMBER(SEARCH("auto",LOWER($H349))),$F349=""),"AUTOLOGON REQUIRED","")</f>
        <v/>
      </c>
      <c r="T349" s="14">
        <f>IF($Q349&lt;&gt;"",$Q349,IF($S349&lt;&gt;"",$S349,IF($R349&lt;&gt;"",$R349,IF(OR($N349&lt;&gt;"",$O349="Blocked"),"BLOCKED","OK"))))</f>
        <v/>
      </c>
    </row>
    <row r="350">
      <c r="A350" s="21">
        <f>Deployments!H338</f>
        <v/>
      </c>
      <c r="B350" s="21">
        <f>Deployments!#REF!</f>
        <v/>
      </c>
      <c r="C350" s="21">
        <f>Deployments!#REF!</f>
        <v/>
      </c>
      <c r="D350" s="14">
        <f>Deployments!AO338</f>
        <v/>
      </c>
      <c r="E350" s="14">
        <f>Deployments!N338</f>
        <v/>
      </c>
      <c r="F350" s="21">
        <f>Deployments!O338</f>
        <v/>
      </c>
      <c r="G350" s="14">
        <f>Deployments!P338</f>
        <v/>
      </c>
      <c r="H350" s="14">
        <f>'13 - Config_Intake_View'!M350</f>
        <v/>
      </c>
      <c r="I350" s="21">
        <f>IF('13 - Config_Intake_View'!Q350&lt;&gt;"",'13 - Config_Intake_View'!Q350,Deployments!AG338)</f>
        <v/>
      </c>
      <c r="J350" s="14">
        <f>IF('13 - Config_Intake_View'!Q350&lt;&gt;"","PM Approved",IF(Deployments!AG338&lt;&gt;"","Assumed",""))</f>
        <v/>
      </c>
      <c r="K350" s="21">
        <f>Deployments!AF338</f>
        <v/>
      </c>
      <c r="L350" s="14">
        <f>Deployments!U338</f>
        <v/>
      </c>
      <c r="M350" s="14">
        <f>Deployments!L338</f>
        <v/>
      </c>
      <c r="N350" s="14">
        <f>Deployments!CC338</f>
        <v/>
      </c>
      <c r="O350" s="21">
        <f>Deployments!CD338</f>
        <v/>
      </c>
      <c r="P350" s="2">
        <f>Deployments!BX338</f>
        <v/>
      </c>
      <c r="Q350" s="21">
        <f>IF(OR($A350="",$B350="",$D350=""),"MISSING CORE FIELDS","")</f>
        <v/>
      </c>
      <c r="R350" s="14">
        <f>IF(AND($I350&lt;&gt;"",$K350&lt;&gt;"Yes"),"SW NOT INSTALLED","")</f>
        <v/>
      </c>
      <c r="S350" s="14">
        <f>IF(AND($H350&lt;&gt;"",ISNUMBER(SEARCH("auto",LOWER($H350))),$F350=""),"AUTOLOGON REQUIRED","")</f>
        <v/>
      </c>
      <c r="T350" s="14">
        <f>IF($Q350&lt;&gt;"",$Q350,IF($S350&lt;&gt;"",$S350,IF($R350&lt;&gt;"",$R350,IF(OR($N350&lt;&gt;"",$O350="Blocked"),"BLOCKED","OK"))))</f>
        <v/>
      </c>
    </row>
    <row r="351">
      <c r="A351" s="21">
        <f>Deployments!H339</f>
        <v/>
      </c>
      <c r="B351" s="21">
        <f>Deployments!X339</f>
        <v/>
      </c>
      <c r="C351" s="21">
        <f>Deployments!Y339</f>
        <v/>
      </c>
      <c r="D351" s="14">
        <f>Deployments!AO339</f>
        <v/>
      </c>
      <c r="E351" s="14">
        <f>Deployments!N339</f>
        <v/>
      </c>
      <c r="F351" s="21">
        <f>Deployments!O339</f>
        <v/>
      </c>
      <c r="G351" s="14">
        <f>Deployments!P339</f>
        <v/>
      </c>
      <c r="H351" s="14">
        <f>'13 - Config_Intake_View'!M351</f>
        <v/>
      </c>
      <c r="I351" s="21">
        <f>IF('13 - Config_Intake_View'!Q351&lt;&gt;"",'13 - Config_Intake_View'!Q351,Deployments!AG339)</f>
        <v/>
      </c>
      <c r="J351" s="14">
        <f>IF('13 - Config_Intake_View'!Q351&lt;&gt;"","PM Approved",IF(Deployments!AG339&lt;&gt;"","Assumed",""))</f>
        <v/>
      </c>
      <c r="K351" s="21">
        <f>Deployments!AF339</f>
        <v/>
      </c>
      <c r="L351" s="14">
        <f>Deployments!U339</f>
        <v/>
      </c>
      <c r="M351" s="14">
        <f>Deployments!L339</f>
        <v/>
      </c>
      <c r="N351" s="14">
        <f>Deployments!CC339</f>
        <v/>
      </c>
      <c r="O351" s="21">
        <f>Deployments!CD339</f>
        <v/>
      </c>
      <c r="P351" s="2">
        <f>Deployments!BX339</f>
        <v/>
      </c>
      <c r="Q351" s="21">
        <f>IF(OR($A351="",$B351="",$D351=""),"MISSING CORE FIELDS","")</f>
        <v/>
      </c>
      <c r="R351" s="14">
        <f>IF(AND($I351&lt;&gt;"",$K351&lt;&gt;"Yes"),"SW NOT INSTALLED","")</f>
        <v/>
      </c>
      <c r="S351" s="14">
        <f>IF(AND($H351&lt;&gt;"",ISNUMBER(SEARCH("auto",LOWER($H351))),$F351=""),"AUTOLOGON REQUIRED","")</f>
        <v/>
      </c>
      <c r="T351" s="14">
        <f>IF($Q351&lt;&gt;"",$Q351,IF($S351&lt;&gt;"",$S351,IF($R351&lt;&gt;"",$R351,IF(OR($N351&lt;&gt;"",$O351="Blocked"),"BLOCKED","OK"))))</f>
        <v/>
      </c>
    </row>
    <row r="352">
      <c r="A352" s="21">
        <f>Deployments!H340</f>
        <v/>
      </c>
      <c r="B352" s="21">
        <f>Deployments!X340</f>
        <v/>
      </c>
      <c r="C352" s="21">
        <f>Deployments!Y340</f>
        <v/>
      </c>
      <c r="D352" s="14">
        <f>Deployments!AO340</f>
        <v/>
      </c>
      <c r="E352" s="14">
        <f>Deployments!N340</f>
        <v/>
      </c>
      <c r="F352" s="21">
        <f>Deployments!O340</f>
        <v/>
      </c>
      <c r="G352" s="14">
        <f>Deployments!P340</f>
        <v/>
      </c>
      <c r="H352" s="14">
        <f>'13 - Config_Intake_View'!M352</f>
        <v/>
      </c>
      <c r="I352" s="21">
        <f>IF('13 - Config_Intake_View'!Q352&lt;&gt;"",'13 - Config_Intake_View'!Q352,Deployments!AG340)</f>
        <v/>
      </c>
      <c r="J352" s="14">
        <f>IF('13 - Config_Intake_View'!Q352&lt;&gt;"","PM Approved",IF(Deployments!AG340&lt;&gt;"","Assumed",""))</f>
        <v/>
      </c>
      <c r="K352" s="21">
        <f>Deployments!AF340</f>
        <v/>
      </c>
      <c r="L352" s="14">
        <f>Deployments!U340</f>
        <v/>
      </c>
      <c r="M352" s="14">
        <f>Deployments!L340</f>
        <v/>
      </c>
      <c r="N352" s="14">
        <f>Deployments!CC340</f>
        <v/>
      </c>
      <c r="O352" s="21">
        <f>Deployments!CD340</f>
        <v/>
      </c>
      <c r="P352" s="2">
        <f>Deployments!BX340</f>
        <v/>
      </c>
      <c r="Q352" s="21">
        <f>IF(OR($A352="",$B352="",$D352=""),"MISSING CORE FIELDS","")</f>
        <v/>
      </c>
      <c r="R352" s="14">
        <f>IF(AND($I352&lt;&gt;"",$K352&lt;&gt;"Yes"),"SW NOT INSTALLED","")</f>
        <v/>
      </c>
      <c r="S352" s="14">
        <f>IF(AND($H352&lt;&gt;"",ISNUMBER(SEARCH("auto",LOWER($H352))),$F352=""),"AUTOLOGON REQUIRED","")</f>
        <v/>
      </c>
      <c r="T352" s="14">
        <f>IF($Q352&lt;&gt;"",$Q352,IF($S352&lt;&gt;"",$S352,IF($R352&lt;&gt;"",$R352,IF(OR($N352&lt;&gt;"",$O352="Blocked"),"BLOCKED","OK"))))</f>
        <v/>
      </c>
    </row>
    <row r="353">
      <c r="A353" s="21">
        <f>Deployments!H341</f>
        <v/>
      </c>
      <c r="B353" s="21">
        <f>Deployments!X341</f>
        <v/>
      </c>
      <c r="C353" s="21">
        <f>Deployments!Y341</f>
        <v/>
      </c>
      <c r="D353" s="14">
        <f>Deployments!AO341</f>
        <v/>
      </c>
      <c r="E353" s="14">
        <f>Deployments!N341</f>
        <v/>
      </c>
      <c r="F353" s="21">
        <f>Deployments!O341</f>
        <v/>
      </c>
      <c r="G353" s="14">
        <f>Deployments!P341</f>
        <v/>
      </c>
      <c r="H353" s="14">
        <f>'13 - Config_Intake_View'!M353</f>
        <v/>
      </c>
      <c r="I353" s="21">
        <f>IF('13 - Config_Intake_View'!Q353&lt;&gt;"",'13 - Config_Intake_View'!Q353,Deployments!AG341)</f>
        <v/>
      </c>
      <c r="J353" s="14">
        <f>IF('13 - Config_Intake_View'!Q353&lt;&gt;"","PM Approved",IF(Deployments!AG341&lt;&gt;"","Assumed",""))</f>
        <v/>
      </c>
      <c r="K353" s="21">
        <f>Deployments!AF341</f>
        <v/>
      </c>
      <c r="L353" s="14">
        <f>Deployments!U341</f>
        <v/>
      </c>
      <c r="M353" s="14">
        <f>Deployments!L341</f>
        <v/>
      </c>
      <c r="N353" s="14">
        <f>Deployments!CC341</f>
        <v/>
      </c>
      <c r="O353" s="21">
        <f>Deployments!CD341</f>
        <v/>
      </c>
      <c r="P353" s="2">
        <f>Deployments!BX341</f>
        <v/>
      </c>
      <c r="Q353" s="21">
        <f>IF(OR($A353="",$B353="",$D353=""),"MISSING CORE FIELDS","")</f>
        <v/>
      </c>
      <c r="R353" s="14">
        <f>IF(AND($I353&lt;&gt;"",$K353&lt;&gt;"Yes"),"SW NOT INSTALLED","")</f>
        <v/>
      </c>
      <c r="S353" s="14">
        <f>IF(AND($H353&lt;&gt;"",ISNUMBER(SEARCH("auto",LOWER($H353))),$F353=""),"AUTOLOGON REQUIRED","")</f>
        <v/>
      </c>
      <c r="T353" s="14">
        <f>IF($Q353&lt;&gt;"",$Q353,IF($S353&lt;&gt;"",$S353,IF($R353&lt;&gt;"",$R353,IF(OR($N353&lt;&gt;"",$O353="Blocked"),"BLOCKED","OK"))))</f>
        <v/>
      </c>
    </row>
    <row r="354">
      <c r="A354" s="21">
        <f>Deployments!H342</f>
        <v/>
      </c>
      <c r="B354" s="21">
        <f>Deployments!X342</f>
        <v/>
      </c>
      <c r="C354" s="21">
        <f>Deployments!Y342</f>
        <v/>
      </c>
      <c r="D354" s="14">
        <f>Deployments!AO342</f>
        <v/>
      </c>
      <c r="E354" s="14">
        <f>Deployments!N342</f>
        <v/>
      </c>
      <c r="F354" s="21">
        <f>Deployments!O342</f>
        <v/>
      </c>
      <c r="G354" s="14">
        <f>Deployments!P342</f>
        <v/>
      </c>
      <c r="H354" s="14">
        <f>'13 - Config_Intake_View'!M354</f>
        <v/>
      </c>
      <c r="I354" s="21">
        <f>IF('13 - Config_Intake_View'!Q354&lt;&gt;"",'13 - Config_Intake_View'!Q354,Deployments!AG342)</f>
        <v/>
      </c>
      <c r="J354" s="14">
        <f>IF('13 - Config_Intake_View'!Q354&lt;&gt;"","PM Approved",IF(Deployments!AG342&lt;&gt;"","Assumed",""))</f>
        <v/>
      </c>
      <c r="K354" s="21">
        <f>Deployments!AF342</f>
        <v/>
      </c>
      <c r="L354" s="14">
        <f>Deployments!U342</f>
        <v/>
      </c>
      <c r="M354" s="14">
        <f>Deployments!L342</f>
        <v/>
      </c>
      <c r="N354" s="14">
        <f>Deployments!CC342</f>
        <v/>
      </c>
      <c r="O354" s="21">
        <f>Deployments!CD342</f>
        <v/>
      </c>
      <c r="P354" s="2">
        <f>Deployments!BX342</f>
        <v/>
      </c>
      <c r="Q354" s="21">
        <f>IF(OR($A354="",$B354="",$D354=""),"MISSING CORE FIELDS","")</f>
        <v/>
      </c>
      <c r="R354" s="14">
        <f>IF(AND($I354&lt;&gt;"",$K354&lt;&gt;"Yes"),"SW NOT INSTALLED","")</f>
        <v/>
      </c>
      <c r="S354" s="14">
        <f>IF(AND($H354&lt;&gt;"",ISNUMBER(SEARCH("auto",LOWER($H354))),$F354=""),"AUTOLOGON REQUIRED","")</f>
        <v/>
      </c>
      <c r="T354" s="14">
        <f>IF($Q354&lt;&gt;"",$Q354,IF($S354&lt;&gt;"",$S354,IF($R354&lt;&gt;"",$R354,IF(OR($N354&lt;&gt;"",$O354="Blocked"),"BLOCKED","OK"))))</f>
        <v/>
      </c>
    </row>
    <row r="355">
      <c r="A355" s="21">
        <f>Deployments!H343</f>
        <v/>
      </c>
      <c r="B355" s="21">
        <f>Deployments!X343</f>
        <v/>
      </c>
      <c r="C355" s="21">
        <f>Deployments!Y343</f>
        <v/>
      </c>
      <c r="D355" s="14">
        <f>Deployments!AO343</f>
        <v/>
      </c>
      <c r="E355" s="14">
        <f>Deployments!N343</f>
        <v/>
      </c>
      <c r="F355" s="21">
        <f>Deployments!O343</f>
        <v/>
      </c>
      <c r="G355" s="14">
        <f>Deployments!P343</f>
        <v/>
      </c>
      <c r="H355" s="14">
        <f>'13 - Config_Intake_View'!M355</f>
        <v/>
      </c>
      <c r="I355" s="21">
        <f>IF('13 - Config_Intake_View'!Q355&lt;&gt;"",'13 - Config_Intake_View'!Q355,Deployments!AG343)</f>
        <v/>
      </c>
      <c r="J355" s="14">
        <f>IF('13 - Config_Intake_View'!Q355&lt;&gt;"","PM Approved",IF(Deployments!AG343&lt;&gt;"","Assumed",""))</f>
        <v/>
      </c>
      <c r="K355" s="21">
        <f>Deployments!AF343</f>
        <v/>
      </c>
      <c r="L355" s="14">
        <f>Deployments!U343</f>
        <v/>
      </c>
      <c r="M355" s="14">
        <f>Deployments!L343</f>
        <v/>
      </c>
      <c r="N355" s="14">
        <f>Deployments!CC343</f>
        <v/>
      </c>
      <c r="O355" s="21">
        <f>Deployments!CD343</f>
        <v/>
      </c>
      <c r="P355" s="2">
        <f>Deployments!BX343</f>
        <v/>
      </c>
      <c r="Q355" s="21">
        <f>IF(OR($A355="",$B355="",$D355=""),"MISSING CORE FIELDS","")</f>
        <v/>
      </c>
      <c r="R355" s="14">
        <f>IF(AND($I355&lt;&gt;"",$K355&lt;&gt;"Yes"),"SW NOT INSTALLED","")</f>
        <v/>
      </c>
      <c r="S355" s="14">
        <f>IF(AND($H355&lt;&gt;"",ISNUMBER(SEARCH("auto",LOWER($H355))),$F355=""),"AUTOLOGON REQUIRED","")</f>
        <v/>
      </c>
      <c r="T355" s="14">
        <f>IF($Q355&lt;&gt;"",$Q355,IF($S355&lt;&gt;"",$S355,IF($R355&lt;&gt;"",$R355,IF(OR($N355&lt;&gt;"",$O355="Blocked"),"BLOCKED","OK"))))</f>
        <v/>
      </c>
    </row>
    <row r="356">
      <c r="A356" s="21">
        <f>Deployments!H344</f>
        <v/>
      </c>
      <c r="B356" s="21">
        <f>Deployments!X344</f>
        <v/>
      </c>
      <c r="C356" s="21">
        <f>Deployments!Y344</f>
        <v/>
      </c>
      <c r="D356" s="14">
        <f>Deployments!AO344</f>
        <v/>
      </c>
      <c r="E356" s="14">
        <f>Deployments!N344</f>
        <v/>
      </c>
      <c r="F356" s="21">
        <f>Deployments!O344</f>
        <v/>
      </c>
      <c r="G356" s="14">
        <f>Deployments!P344</f>
        <v/>
      </c>
      <c r="H356" s="14">
        <f>'13 - Config_Intake_View'!M356</f>
        <v/>
      </c>
      <c r="I356" s="21">
        <f>IF('13 - Config_Intake_View'!Q356&lt;&gt;"",'13 - Config_Intake_View'!Q356,Deployments!AG344)</f>
        <v/>
      </c>
      <c r="J356" s="14">
        <f>IF('13 - Config_Intake_View'!Q356&lt;&gt;"","PM Approved",IF(Deployments!AG344&lt;&gt;"","Assumed",""))</f>
        <v/>
      </c>
      <c r="K356" s="21">
        <f>Deployments!AF344</f>
        <v/>
      </c>
      <c r="L356" s="14">
        <f>Deployments!U344</f>
        <v/>
      </c>
      <c r="M356" s="14">
        <f>Deployments!L344</f>
        <v/>
      </c>
      <c r="N356" s="14">
        <f>Deployments!CC344</f>
        <v/>
      </c>
      <c r="O356" s="21">
        <f>Deployments!CD344</f>
        <v/>
      </c>
      <c r="P356" s="2">
        <f>Deployments!BX344</f>
        <v/>
      </c>
      <c r="Q356" s="21">
        <f>IF(OR($A356="",$B356="",$D356=""),"MISSING CORE FIELDS","")</f>
        <v/>
      </c>
      <c r="R356" s="14">
        <f>IF(AND($I356&lt;&gt;"",$K356&lt;&gt;"Yes"),"SW NOT INSTALLED","")</f>
        <v/>
      </c>
      <c r="S356" s="14">
        <f>IF(AND($H356&lt;&gt;"",ISNUMBER(SEARCH("auto",LOWER($H356))),$F356=""),"AUTOLOGON REQUIRED","")</f>
        <v/>
      </c>
      <c r="T356" s="14">
        <f>IF($Q356&lt;&gt;"",$Q356,IF($S356&lt;&gt;"",$S356,IF($R356&lt;&gt;"",$R356,IF(OR($N356&lt;&gt;"",$O356="Blocked"),"BLOCKED","OK"))))</f>
        <v/>
      </c>
    </row>
    <row r="357">
      <c r="A357" s="21">
        <f>Deployments!H345</f>
        <v/>
      </c>
      <c r="B357" s="21">
        <f>Deployments!X345</f>
        <v/>
      </c>
      <c r="C357" s="21">
        <f>Deployments!Y345</f>
        <v/>
      </c>
      <c r="D357" s="14">
        <f>Deployments!AO345</f>
        <v/>
      </c>
      <c r="E357" s="14">
        <f>Deployments!N345</f>
        <v/>
      </c>
      <c r="F357" s="21">
        <f>Deployments!O345</f>
        <v/>
      </c>
      <c r="G357" s="14">
        <f>Deployments!P345</f>
        <v/>
      </c>
      <c r="H357" s="14">
        <f>'13 - Config_Intake_View'!M357</f>
        <v/>
      </c>
      <c r="I357" s="21">
        <f>IF('13 - Config_Intake_View'!Q357&lt;&gt;"",'13 - Config_Intake_View'!Q357,Deployments!AG345)</f>
        <v/>
      </c>
      <c r="J357" s="14">
        <f>IF('13 - Config_Intake_View'!Q357&lt;&gt;"","PM Approved",IF(Deployments!AG345&lt;&gt;"","Assumed",""))</f>
        <v/>
      </c>
      <c r="K357" s="21">
        <f>Deployments!AF345</f>
        <v/>
      </c>
      <c r="L357" s="14">
        <f>Deployments!U345</f>
        <v/>
      </c>
      <c r="M357" s="14">
        <f>Deployments!L345</f>
        <v/>
      </c>
      <c r="N357" s="14">
        <f>Deployments!CC345</f>
        <v/>
      </c>
      <c r="O357" s="21">
        <f>Deployments!CD345</f>
        <v/>
      </c>
      <c r="P357" s="2">
        <f>Deployments!BX345</f>
        <v/>
      </c>
      <c r="Q357" s="21">
        <f>IF(OR($A357="",$B357="",$D357=""),"MISSING CORE FIELDS","")</f>
        <v/>
      </c>
      <c r="R357" s="14">
        <f>IF(AND($I357&lt;&gt;"",$K357&lt;&gt;"Yes"),"SW NOT INSTALLED","")</f>
        <v/>
      </c>
      <c r="S357" s="14">
        <f>IF(AND($H357&lt;&gt;"",ISNUMBER(SEARCH("auto",LOWER($H357))),$F357=""),"AUTOLOGON REQUIRED","")</f>
        <v/>
      </c>
      <c r="T357" s="14">
        <f>IF($Q357&lt;&gt;"",$Q357,IF($S357&lt;&gt;"",$S357,IF($R357&lt;&gt;"",$R357,IF(OR($N357&lt;&gt;"",$O357="Blocked"),"BLOCKED","OK"))))</f>
        <v/>
      </c>
    </row>
    <row r="358">
      <c r="A358" s="21">
        <f>Deployments!H346</f>
        <v/>
      </c>
      <c r="B358" s="21">
        <f>Deployments!X346</f>
        <v/>
      </c>
      <c r="C358" s="21">
        <f>Deployments!Y346</f>
        <v/>
      </c>
      <c r="D358" s="14">
        <f>Deployments!AO346</f>
        <v/>
      </c>
      <c r="E358" s="14">
        <f>Deployments!N346</f>
        <v/>
      </c>
      <c r="F358" s="21">
        <f>Deployments!O346</f>
        <v/>
      </c>
      <c r="G358" s="14">
        <f>Deployments!P346</f>
        <v/>
      </c>
      <c r="H358" s="14">
        <f>'13 - Config_Intake_View'!M358</f>
        <v/>
      </c>
      <c r="I358" s="21">
        <f>IF('13 - Config_Intake_View'!Q358&lt;&gt;"",'13 - Config_Intake_View'!Q358,Deployments!AG346)</f>
        <v/>
      </c>
      <c r="J358" s="14">
        <f>IF('13 - Config_Intake_View'!Q358&lt;&gt;"","PM Approved",IF(Deployments!AG346&lt;&gt;"","Assumed",""))</f>
        <v/>
      </c>
      <c r="K358" s="21">
        <f>Deployments!AF346</f>
        <v/>
      </c>
      <c r="L358" s="14">
        <f>Deployments!U346</f>
        <v/>
      </c>
      <c r="M358" s="14">
        <f>Deployments!L346</f>
        <v/>
      </c>
      <c r="N358" s="14">
        <f>Deployments!CC346</f>
        <v/>
      </c>
      <c r="O358" s="21">
        <f>Deployments!CD346</f>
        <v/>
      </c>
      <c r="P358" s="2">
        <f>Deployments!BX346</f>
        <v/>
      </c>
      <c r="Q358" s="21">
        <f>IF(OR($A358="",$B358="",$D358=""),"MISSING CORE FIELDS","")</f>
        <v/>
      </c>
      <c r="R358" s="14">
        <f>IF(AND($I358&lt;&gt;"",$K358&lt;&gt;"Yes"),"SW NOT INSTALLED","")</f>
        <v/>
      </c>
      <c r="S358" s="14">
        <f>IF(AND($H358&lt;&gt;"",ISNUMBER(SEARCH("auto",LOWER($H358))),$F358=""),"AUTOLOGON REQUIRED","")</f>
        <v/>
      </c>
      <c r="T358" s="14">
        <f>IF($Q358&lt;&gt;"",$Q358,IF($S358&lt;&gt;"",$S358,IF($R358&lt;&gt;"",$R358,IF(OR($N358&lt;&gt;"",$O358="Blocked"),"BLOCKED","OK"))))</f>
        <v/>
      </c>
    </row>
    <row r="359">
      <c r="A359" s="21">
        <f>Deployments!H347</f>
        <v/>
      </c>
      <c r="B359" s="21">
        <f>Deployments!X347</f>
        <v/>
      </c>
      <c r="C359" s="21">
        <f>Deployments!Y347</f>
        <v/>
      </c>
      <c r="D359" s="14">
        <f>Deployments!AO347</f>
        <v/>
      </c>
      <c r="E359" s="14">
        <f>Deployments!N347</f>
        <v/>
      </c>
      <c r="F359" s="21">
        <f>Deployments!O347</f>
        <v/>
      </c>
      <c r="G359" s="14">
        <f>Deployments!P347</f>
        <v/>
      </c>
      <c r="H359" s="14">
        <f>'13 - Config_Intake_View'!M359</f>
        <v/>
      </c>
      <c r="I359" s="21">
        <f>IF('13 - Config_Intake_View'!Q359&lt;&gt;"",'13 - Config_Intake_View'!Q359,Deployments!AG347)</f>
        <v/>
      </c>
      <c r="J359" s="14">
        <f>IF('13 - Config_Intake_View'!Q359&lt;&gt;"","PM Approved",IF(Deployments!AG347&lt;&gt;"","Assumed",""))</f>
        <v/>
      </c>
      <c r="K359" s="21">
        <f>Deployments!AF347</f>
        <v/>
      </c>
      <c r="L359" s="14">
        <f>Deployments!U347</f>
        <v/>
      </c>
      <c r="M359" s="14">
        <f>Deployments!L347</f>
        <v/>
      </c>
      <c r="N359" s="14">
        <f>Deployments!CC347</f>
        <v/>
      </c>
      <c r="O359" s="21">
        <f>Deployments!CD347</f>
        <v/>
      </c>
      <c r="P359" s="2">
        <f>Deployments!BX347</f>
        <v/>
      </c>
      <c r="Q359" s="21">
        <f>IF(OR($A359="",$B359="",$D359=""),"MISSING CORE FIELDS","")</f>
        <v/>
      </c>
      <c r="R359" s="14">
        <f>IF(AND($I359&lt;&gt;"",$K359&lt;&gt;"Yes"),"SW NOT INSTALLED","")</f>
        <v/>
      </c>
      <c r="S359" s="14">
        <f>IF(AND($H359&lt;&gt;"",ISNUMBER(SEARCH("auto",LOWER($H359))),$F359=""),"AUTOLOGON REQUIRED","")</f>
        <v/>
      </c>
      <c r="T359" s="14">
        <f>IF($Q359&lt;&gt;"",$Q359,IF($S359&lt;&gt;"",$S359,IF($R359&lt;&gt;"",$R359,IF(OR($N359&lt;&gt;"",$O359="Blocked"),"BLOCKED","OK"))))</f>
        <v/>
      </c>
    </row>
    <row r="360">
      <c r="A360" s="21">
        <f>Deployments!H348</f>
        <v/>
      </c>
      <c r="B360" s="21">
        <f>Deployments!X348</f>
        <v/>
      </c>
      <c r="C360" s="21">
        <f>Deployments!Y348</f>
        <v/>
      </c>
      <c r="D360" s="14">
        <f>Deployments!AO348</f>
        <v/>
      </c>
      <c r="E360" s="14">
        <f>Deployments!N348</f>
        <v/>
      </c>
      <c r="F360" s="21">
        <f>Deployments!O348</f>
        <v/>
      </c>
      <c r="G360" s="14">
        <f>Deployments!P348</f>
        <v/>
      </c>
      <c r="H360" s="14">
        <f>'13 - Config_Intake_View'!M360</f>
        <v/>
      </c>
      <c r="I360" s="21">
        <f>IF('13 - Config_Intake_View'!Q360&lt;&gt;"",'13 - Config_Intake_View'!Q360,Deployments!AG348)</f>
        <v/>
      </c>
      <c r="J360" s="14">
        <f>IF('13 - Config_Intake_View'!Q360&lt;&gt;"","PM Approved",IF(Deployments!AG348&lt;&gt;"","Assumed",""))</f>
        <v/>
      </c>
      <c r="K360" s="21">
        <f>Deployments!AF348</f>
        <v/>
      </c>
      <c r="L360" s="14">
        <f>Deployments!U348</f>
        <v/>
      </c>
      <c r="M360" s="14">
        <f>Deployments!L348</f>
        <v/>
      </c>
      <c r="N360" s="14">
        <f>Deployments!CC348</f>
        <v/>
      </c>
      <c r="O360" s="21">
        <f>Deployments!CD348</f>
        <v/>
      </c>
      <c r="P360" s="2">
        <f>Deployments!BX348</f>
        <v/>
      </c>
      <c r="Q360" s="21">
        <f>IF(OR($A360="",$B360="",$D360=""),"MISSING CORE FIELDS","")</f>
        <v/>
      </c>
      <c r="R360" s="14">
        <f>IF(AND($I360&lt;&gt;"",$K360&lt;&gt;"Yes"),"SW NOT INSTALLED","")</f>
        <v/>
      </c>
      <c r="S360" s="14">
        <f>IF(AND($H360&lt;&gt;"",ISNUMBER(SEARCH("auto",LOWER($H360))),$F360=""),"AUTOLOGON REQUIRED","")</f>
        <v/>
      </c>
      <c r="T360" s="14">
        <f>IF($Q360&lt;&gt;"",$Q360,IF($S360&lt;&gt;"",$S360,IF($R360&lt;&gt;"",$R360,IF(OR($N360&lt;&gt;"",$O360="Blocked"),"BLOCKED","OK"))))</f>
        <v/>
      </c>
    </row>
    <row r="361">
      <c r="A361" s="21">
        <f>Deployments!H349</f>
        <v/>
      </c>
      <c r="B361" s="21">
        <f>Deployments!X349</f>
        <v/>
      </c>
      <c r="C361" s="21">
        <f>Deployments!Y349</f>
        <v/>
      </c>
      <c r="D361" s="14">
        <f>Deployments!AO349</f>
        <v/>
      </c>
      <c r="E361" s="14">
        <f>Deployments!N349</f>
        <v/>
      </c>
      <c r="F361" s="21">
        <f>Deployments!O349</f>
        <v/>
      </c>
      <c r="G361" s="14">
        <f>Deployments!P349</f>
        <v/>
      </c>
      <c r="H361" s="14">
        <f>'13 - Config_Intake_View'!M361</f>
        <v/>
      </c>
      <c r="I361" s="21">
        <f>IF('13 - Config_Intake_View'!Q361&lt;&gt;"",'13 - Config_Intake_View'!Q361,Deployments!AG349)</f>
        <v/>
      </c>
      <c r="J361" s="14">
        <f>IF('13 - Config_Intake_View'!Q361&lt;&gt;"","PM Approved",IF(Deployments!AG349&lt;&gt;"","Assumed",""))</f>
        <v/>
      </c>
      <c r="K361" s="21">
        <f>Deployments!AF349</f>
        <v/>
      </c>
      <c r="L361" s="14">
        <f>Deployments!U349</f>
        <v/>
      </c>
      <c r="M361" s="14">
        <f>Deployments!L349</f>
        <v/>
      </c>
      <c r="N361" s="14">
        <f>Deployments!CC349</f>
        <v/>
      </c>
      <c r="O361" s="21">
        <f>Deployments!CD349</f>
        <v/>
      </c>
      <c r="P361" s="2">
        <f>Deployments!BX349</f>
        <v/>
      </c>
      <c r="Q361" s="21">
        <f>IF(OR($A361="",$B361="",$D361=""),"MISSING CORE FIELDS","")</f>
        <v/>
      </c>
      <c r="R361" s="14">
        <f>IF(AND($I361&lt;&gt;"",$K361&lt;&gt;"Yes"),"SW NOT INSTALLED","")</f>
        <v/>
      </c>
      <c r="S361" s="14">
        <f>IF(AND($H361&lt;&gt;"",ISNUMBER(SEARCH("auto",LOWER($H361))),$F361=""),"AUTOLOGON REQUIRED","")</f>
        <v/>
      </c>
      <c r="T361" s="14">
        <f>IF($Q361&lt;&gt;"",$Q361,IF($S361&lt;&gt;"",$S361,IF($R361&lt;&gt;"",$R361,IF(OR($N361&lt;&gt;"",$O361="Blocked"),"BLOCKED","OK"))))</f>
        <v/>
      </c>
    </row>
    <row r="362">
      <c r="A362" s="21">
        <f>Deployments!H350</f>
        <v/>
      </c>
      <c r="B362" s="21">
        <f>Deployments!X350</f>
        <v/>
      </c>
      <c r="C362" s="21">
        <f>Deployments!Y350</f>
        <v/>
      </c>
      <c r="D362" s="14">
        <f>Deployments!AO350</f>
        <v/>
      </c>
      <c r="E362" s="14">
        <f>Deployments!N350</f>
        <v/>
      </c>
      <c r="F362" s="21">
        <f>Deployments!O350</f>
        <v/>
      </c>
      <c r="G362" s="14">
        <f>Deployments!P350</f>
        <v/>
      </c>
      <c r="H362" s="14">
        <f>'13 - Config_Intake_View'!M362</f>
        <v/>
      </c>
      <c r="I362" s="21">
        <f>IF('13 - Config_Intake_View'!Q362&lt;&gt;"",'13 - Config_Intake_View'!Q362,Deployments!AG350)</f>
        <v/>
      </c>
      <c r="J362" s="14">
        <f>IF('13 - Config_Intake_View'!Q362&lt;&gt;"","PM Approved",IF(Deployments!AG350&lt;&gt;"","Assumed",""))</f>
        <v/>
      </c>
      <c r="K362" s="21">
        <f>Deployments!AF350</f>
        <v/>
      </c>
      <c r="L362" s="14">
        <f>Deployments!U350</f>
        <v/>
      </c>
      <c r="M362" s="14">
        <f>Deployments!L350</f>
        <v/>
      </c>
      <c r="N362" s="14">
        <f>Deployments!CC350</f>
        <v/>
      </c>
      <c r="O362" s="21">
        <f>Deployments!CD350</f>
        <v/>
      </c>
      <c r="P362" s="2">
        <f>Deployments!BX350</f>
        <v/>
      </c>
      <c r="Q362" s="21">
        <f>IF(OR($A362="",$B362="",$D362=""),"MISSING CORE FIELDS","")</f>
        <v/>
      </c>
      <c r="R362" s="14">
        <f>IF(AND($I362&lt;&gt;"",$K362&lt;&gt;"Yes"),"SW NOT INSTALLED","")</f>
        <v/>
      </c>
      <c r="S362" s="14">
        <f>IF(AND($H362&lt;&gt;"",ISNUMBER(SEARCH("auto",LOWER($H362))),$F362=""),"AUTOLOGON REQUIRED","")</f>
        <v/>
      </c>
      <c r="T362" s="14">
        <f>IF($Q362&lt;&gt;"",$Q362,IF($S362&lt;&gt;"",$S362,IF($R362&lt;&gt;"",$R362,IF(OR($N362&lt;&gt;"",$O362="Blocked"),"BLOCKED","OK"))))</f>
        <v/>
      </c>
    </row>
    <row r="363">
      <c r="A363" s="21">
        <f>Deployments!H351</f>
        <v/>
      </c>
      <c r="B363" s="21">
        <f>Deployments!X351</f>
        <v/>
      </c>
      <c r="C363" s="21">
        <f>Deployments!Y351</f>
        <v/>
      </c>
      <c r="D363" s="14">
        <f>Deployments!AO351</f>
        <v/>
      </c>
      <c r="E363" s="14">
        <f>Deployments!N351</f>
        <v/>
      </c>
      <c r="F363" s="21">
        <f>Deployments!O351</f>
        <v/>
      </c>
      <c r="G363" s="14">
        <f>Deployments!P351</f>
        <v/>
      </c>
      <c r="H363" s="14">
        <f>'13 - Config_Intake_View'!M363</f>
        <v/>
      </c>
      <c r="I363" s="21">
        <f>IF('13 - Config_Intake_View'!Q363&lt;&gt;"",'13 - Config_Intake_View'!Q363,Deployments!AG351)</f>
        <v/>
      </c>
      <c r="J363" s="14">
        <f>IF('13 - Config_Intake_View'!Q363&lt;&gt;"","PM Approved",IF(Deployments!AG351&lt;&gt;"","Assumed",""))</f>
        <v/>
      </c>
      <c r="K363" s="21">
        <f>Deployments!AF351</f>
        <v/>
      </c>
      <c r="L363" s="14">
        <f>Deployments!U351</f>
        <v/>
      </c>
      <c r="M363" s="14">
        <f>Deployments!L351</f>
        <v/>
      </c>
      <c r="N363" s="14">
        <f>Deployments!CC351</f>
        <v/>
      </c>
      <c r="O363" s="21">
        <f>Deployments!CD351</f>
        <v/>
      </c>
      <c r="P363" s="2">
        <f>Deployments!BX351</f>
        <v/>
      </c>
      <c r="Q363" s="21">
        <f>IF(OR($A363="",$B363="",$D363=""),"MISSING CORE FIELDS","")</f>
        <v/>
      </c>
      <c r="R363" s="14">
        <f>IF(AND($I363&lt;&gt;"",$K363&lt;&gt;"Yes"),"SW NOT INSTALLED","")</f>
        <v/>
      </c>
      <c r="S363" s="14">
        <f>IF(AND($H363&lt;&gt;"",ISNUMBER(SEARCH("auto",LOWER($H363))),$F363=""),"AUTOLOGON REQUIRED","")</f>
        <v/>
      </c>
      <c r="T363" s="14">
        <f>IF($Q363&lt;&gt;"",$Q363,IF($S363&lt;&gt;"",$S363,IF($R363&lt;&gt;"",$R363,IF(OR($N363&lt;&gt;"",$O363="Blocked"),"BLOCKED","OK"))))</f>
        <v/>
      </c>
    </row>
    <row r="364">
      <c r="A364" s="21">
        <f>Deployments!H352</f>
        <v/>
      </c>
      <c r="B364" s="21">
        <f>Deployments!X352</f>
        <v/>
      </c>
      <c r="C364" s="21">
        <f>Deployments!Y352</f>
        <v/>
      </c>
      <c r="D364" s="14">
        <f>Deployments!AO352</f>
        <v/>
      </c>
      <c r="E364" s="14">
        <f>Deployments!N352</f>
        <v/>
      </c>
      <c r="F364" s="21">
        <f>Deployments!O352</f>
        <v/>
      </c>
      <c r="G364" s="14">
        <f>Deployments!P352</f>
        <v/>
      </c>
      <c r="H364" s="14">
        <f>'13 - Config_Intake_View'!M364</f>
        <v/>
      </c>
      <c r="I364" s="21">
        <f>IF('13 - Config_Intake_View'!Q364&lt;&gt;"",'13 - Config_Intake_View'!Q364,Deployments!AG352)</f>
        <v/>
      </c>
      <c r="J364" s="14">
        <f>IF('13 - Config_Intake_View'!Q364&lt;&gt;"","PM Approved",IF(Deployments!AG352&lt;&gt;"","Assumed",""))</f>
        <v/>
      </c>
      <c r="K364" s="21">
        <f>Deployments!AF352</f>
        <v/>
      </c>
      <c r="L364" s="14">
        <f>Deployments!U352</f>
        <v/>
      </c>
      <c r="M364" s="14">
        <f>Deployments!L352</f>
        <v/>
      </c>
      <c r="N364" s="14">
        <f>Deployments!CC352</f>
        <v/>
      </c>
      <c r="O364" s="21">
        <f>Deployments!CD352</f>
        <v/>
      </c>
      <c r="P364" s="2">
        <f>Deployments!BX352</f>
        <v/>
      </c>
      <c r="Q364" s="21">
        <f>IF(OR($A364="",$B364="",$D364=""),"MISSING CORE FIELDS","")</f>
        <v/>
      </c>
      <c r="R364" s="14">
        <f>IF(AND($I364&lt;&gt;"",$K364&lt;&gt;"Yes"),"SW NOT INSTALLED","")</f>
        <v/>
      </c>
      <c r="S364" s="14">
        <f>IF(AND($H364&lt;&gt;"",ISNUMBER(SEARCH("auto",LOWER($H364))),$F364=""),"AUTOLOGON REQUIRED","")</f>
        <v/>
      </c>
      <c r="T364" s="14">
        <f>IF($Q364&lt;&gt;"",$Q364,IF($S364&lt;&gt;"",$S364,IF($R364&lt;&gt;"",$R364,IF(OR($N364&lt;&gt;"",$O364="Blocked"),"BLOCKED","OK"))))</f>
        <v/>
      </c>
    </row>
    <row r="365">
      <c r="A365" s="21">
        <f>Deployments!H353</f>
        <v/>
      </c>
      <c r="B365" s="21">
        <f>Deployments!X353</f>
        <v/>
      </c>
      <c r="C365" s="21">
        <f>Deployments!Y353</f>
        <v/>
      </c>
      <c r="D365" s="14">
        <f>Deployments!AO353</f>
        <v/>
      </c>
      <c r="E365" s="14">
        <f>Deployments!N353</f>
        <v/>
      </c>
      <c r="F365" s="21">
        <f>Deployments!O353</f>
        <v/>
      </c>
      <c r="G365" s="14">
        <f>Deployments!P353</f>
        <v/>
      </c>
      <c r="H365" s="14">
        <f>'13 - Config_Intake_View'!M365</f>
        <v/>
      </c>
      <c r="I365" s="21">
        <f>IF('13 - Config_Intake_View'!Q365&lt;&gt;"",'13 - Config_Intake_View'!Q365,Deployments!AG353)</f>
        <v/>
      </c>
      <c r="J365" s="14">
        <f>IF('13 - Config_Intake_View'!Q365&lt;&gt;"","PM Approved",IF(Deployments!AG353&lt;&gt;"","Assumed",""))</f>
        <v/>
      </c>
      <c r="K365" s="21">
        <f>Deployments!AF353</f>
        <v/>
      </c>
      <c r="L365" s="14">
        <f>Deployments!U353</f>
        <v/>
      </c>
      <c r="M365" s="14">
        <f>Deployments!L353</f>
        <v/>
      </c>
      <c r="N365" s="14">
        <f>Deployments!CC353</f>
        <v/>
      </c>
      <c r="O365" s="21">
        <f>Deployments!CD353</f>
        <v/>
      </c>
      <c r="P365" s="2">
        <f>Deployments!BX353</f>
        <v/>
      </c>
      <c r="Q365" s="21">
        <f>IF(OR($A365="",$B365="",$D365=""),"MISSING CORE FIELDS","")</f>
        <v/>
      </c>
      <c r="R365" s="14">
        <f>IF(AND($I365&lt;&gt;"",$K365&lt;&gt;"Yes"),"SW NOT INSTALLED","")</f>
        <v/>
      </c>
      <c r="S365" s="14">
        <f>IF(AND($H365&lt;&gt;"",ISNUMBER(SEARCH("auto",LOWER($H365))),$F365=""),"AUTOLOGON REQUIRED","")</f>
        <v/>
      </c>
      <c r="T365" s="14">
        <f>IF($Q365&lt;&gt;"",$Q365,IF($S365&lt;&gt;"",$S365,IF($R365&lt;&gt;"",$R365,IF(OR($N365&lt;&gt;"",$O365="Blocked"),"BLOCKED","OK"))))</f>
        <v/>
      </c>
    </row>
    <row r="366">
      <c r="A366" s="21">
        <f>Deployments!H354</f>
        <v/>
      </c>
      <c r="B366" s="21">
        <f>Deployments!X354</f>
        <v/>
      </c>
      <c r="C366" s="21">
        <f>Deployments!Y354</f>
        <v/>
      </c>
      <c r="D366" s="14">
        <f>Deployments!AO354</f>
        <v/>
      </c>
      <c r="E366" s="14">
        <f>Deployments!N354</f>
        <v/>
      </c>
      <c r="F366" s="21">
        <f>Deployments!O354</f>
        <v/>
      </c>
      <c r="G366" s="14">
        <f>Deployments!P354</f>
        <v/>
      </c>
      <c r="H366" s="14">
        <f>'13 - Config_Intake_View'!M366</f>
        <v/>
      </c>
      <c r="I366" s="21">
        <f>IF('13 - Config_Intake_View'!Q366&lt;&gt;"",'13 - Config_Intake_View'!Q366,Deployments!AG354)</f>
        <v/>
      </c>
      <c r="J366" s="14">
        <f>IF('13 - Config_Intake_View'!Q366&lt;&gt;"","PM Approved",IF(Deployments!AG354&lt;&gt;"","Assumed",""))</f>
        <v/>
      </c>
      <c r="K366" s="21">
        <f>Deployments!AF354</f>
        <v/>
      </c>
      <c r="L366" s="14">
        <f>Deployments!U354</f>
        <v/>
      </c>
      <c r="M366" s="14">
        <f>Deployments!L354</f>
        <v/>
      </c>
      <c r="N366" s="14">
        <f>Deployments!CC354</f>
        <v/>
      </c>
      <c r="O366" s="21">
        <f>Deployments!CD354</f>
        <v/>
      </c>
      <c r="P366" s="2">
        <f>Deployments!BX354</f>
        <v/>
      </c>
      <c r="Q366" s="21">
        <f>IF(OR($A366="",$B366="",$D366=""),"MISSING CORE FIELDS","")</f>
        <v/>
      </c>
      <c r="R366" s="14">
        <f>IF(AND($I366&lt;&gt;"",$K366&lt;&gt;"Yes"),"SW NOT INSTALLED","")</f>
        <v/>
      </c>
      <c r="S366" s="14">
        <f>IF(AND($H366&lt;&gt;"",ISNUMBER(SEARCH("auto",LOWER($H366))),$F366=""),"AUTOLOGON REQUIRED","")</f>
        <v/>
      </c>
      <c r="T366" s="14">
        <f>IF($Q366&lt;&gt;"",$Q366,IF($S366&lt;&gt;"",$S366,IF($R366&lt;&gt;"",$R366,IF(OR($N366&lt;&gt;"",$O366="Blocked"),"BLOCKED","OK"))))</f>
        <v/>
      </c>
    </row>
    <row r="367">
      <c r="A367" s="21">
        <f>Deployments!H355</f>
        <v/>
      </c>
      <c r="B367" s="21">
        <f>Deployments!X355</f>
        <v/>
      </c>
      <c r="C367" s="21">
        <f>Deployments!Y355</f>
        <v/>
      </c>
      <c r="D367" s="14">
        <f>Deployments!AO355</f>
        <v/>
      </c>
      <c r="E367" s="14">
        <f>Deployments!N355</f>
        <v/>
      </c>
      <c r="F367" s="21">
        <f>Deployments!O355</f>
        <v/>
      </c>
      <c r="G367" s="14">
        <f>Deployments!P355</f>
        <v/>
      </c>
      <c r="H367" s="14">
        <f>'13 - Config_Intake_View'!M367</f>
        <v/>
      </c>
      <c r="I367" s="21">
        <f>IF('13 - Config_Intake_View'!Q367&lt;&gt;"",'13 - Config_Intake_View'!Q367,Deployments!AG355)</f>
        <v/>
      </c>
      <c r="J367" s="14">
        <f>IF('13 - Config_Intake_View'!Q367&lt;&gt;"","PM Approved",IF(Deployments!AG355&lt;&gt;"","Assumed",""))</f>
        <v/>
      </c>
      <c r="K367" s="21">
        <f>Deployments!AF355</f>
        <v/>
      </c>
      <c r="L367" s="14">
        <f>Deployments!U355</f>
        <v/>
      </c>
      <c r="M367" s="14">
        <f>Deployments!L355</f>
        <v/>
      </c>
      <c r="N367" s="14">
        <f>Deployments!CC355</f>
        <v/>
      </c>
      <c r="O367" s="21">
        <f>Deployments!CD355</f>
        <v/>
      </c>
      <c r="P367" s="2">
        <f>Deployments!BX355</f>
        <v/>
      </c>
      <c r="Q367" s="21">
        <f>IF(OR($A367="",$B367="",$D367=""),"MISSING CORE FIELDS","")</f>
        <v/>
      </c>
      <c r="R367" s="14">
        <f>IF(AND($I367&lt;&gt;"",$K367&lt;&gt;"Yes"),"SW NOT INSTALLED","")</f>
        <v/>
      </c>
      <c r="S367" s="14">
        <f>IF(AND($H367&lt;&gt;"",ISNUMBER(SEARCH("auto",LOWER($H367))),$F367=""),"AUTOLOGON REQUIRED","")</f>
        <v/>
      </c>
      <c r="T367" s="14">
        <f>IF($Q367&lt;&gt;"",$Q367,IF($S367&lt;&gt;"",$S367,IF($R367&lt;&gt;"",$R367,IF(OR($N367&lt;&gt;"",$O367="Blocked"),"BLOCKED","OK"))))</f>
        <v/>
      </c>
    </row>
    <row r="368">
      <c r="A368" s="21">
        <f>Deployments!H356</f>
        <v/>
      </c>
      <c r="B368" s="21">
        <f>Deployments!X356</f>
        <v/>
      </c>
      <c r="C368" s="21">
        <f>Deployments!Y356</f>
        <v/>
      </c>
      <c r="D368" s="14">
        <f>Deployments!AO356</f>
        <v/>
      </c>
      <c r="E368" s="14">
        <f>Deployments!N356</f>
        <v/>
      </c>
      <c r="F368" s="21">
        <f>Deployments!O356</f>
        <v/>
      </c>
      <c r="G368" s="14">
        <f>Deployments!P356</f>
        <v/>
      </c>
      <c r="H368" s="14">
        <f>'13 - Config_Intake_View'!M368</f>
        <v/>
      </c>
      <c r="I368" s="21">
        <f>IF('13 - Config_Intake_View'!Q368&lt;&gt;"",'13 - Config_Intake_View'!Q368,Deployments!AG356)</f>
        <v/>
      </c>
      <c r="J368" s="14">
        <f>IF('13 - Config_Intake_View'!Q368&lt;&gt;"","PM Approved",IF(Deployments!AG356&lt;&gt;"","Assumed",""))</f>
        <v/>
      </c>
      <c r="K368" s="21">
        <f>Deployments!AF356</f>
        <v/>
      </c>
      <c r="L368" s="14">
        <f>Deployments!U356</f>
        <v/>
      </c>
      <c r="M368" s="14">
        <f>Deployments!L356</f>
        <v/>
      </c>
      <c r="N368" s="14">
        <f>Deployments!CC356</f>
        <v/>
      </c>
      <c r="O368" s="21">
        <f>Deployments!CD356</f>
        <v/>
      </c>
      <c r="P368" s="2">
        <f>Deployments!BX356</f>
        <v/>
      </c>
      <c r="Q368" s="21">
        <f>IF(OR($A368="",$B368="",$D368=""),"MISSING CORE FIELDS","")</f>
        <v/>
      </c>
      <c r="R368" s="14">
        <f>IF(AND($I368&lt;&gt;"",$K368&lt;&gt;"Yes"),"SW NOT INSTALLED","")</f>
        <v/>
      </c>
      <c r="S368" s="14">
        <f>IF(AND($H368&lt;&gt;"",ISNUMBER(SEARCH("auto",LOWER($H368))),$F368=""),"AUTOLOGON REQUIRED","")</f>
        <v/>
      </c>
      <c r="T368" s="14">
        <f>IF($Q368&lt;&gt;"",$Q368,IF($S368&lt;&gt;"",$S368,IF($R368&lt;&gt;"",$R368,IF(OR($N368&lt;&gt;"",$O368="Blocked"),"BLOCKED","OK"))))</f>
        <v/>
      </c>
    </row>
    <row r="369">
      <c r="A369" s="21">
        <f>Deployments!H357</f>
        <v/>
      </c>
      <c r="B369" s="21">
        <f>Deployments!X357</f>
        <v/>
      </c>
      <c r="C369" s="21">
        <f>Deployments!Y357</f>
        <v/>
      </c>
      <c r="D369" s="14">
        <f>Deployments!AO357</f>
        <v/>
      </c>
      <c r="E369" s="14">
        <f>Deployments!N357</f>
        <v/>
      </c>
      <c r="F369" s="21">
        <f>Deployments!O357</f>
        <v/>
      </c>
      <c r="G369" s="14">
        <f>Deployments!P357</f>
        <v/>
      </c>
      <c r="H369" s="14">
        <f>'13 - Config_Intake_View'!M369</f>
        <v/>
      </c>
      <c r="I369" s="21">
        <f>IF('13 - Config_Intake_View'!Q369&lt;&gt;"",'13 - Config_Intake_View'!Q369,Deployments!AG357)</f>
        <v/>
      </c>
      <c r="J369" s="14">
        <f>IF('13 - Config_Intake_View'!Q369&lt;&gt;"","PM Approved",IF(Deployments!AG357&lt;&gt;"","Assumed",""))</f>
        <v/>
      </c>
      <c r="K369" s="21">
        <f>Deployments!AF357</f>
        <v/>
      </c>
      <c r="L369" s="14">
        <f>Deployments!U357</f>
        <v/>
      </c>
      <c r="M369" s="14">
        <f>Deployments!L357</f>
        <v/>
      </c>
      <c r="N369" s="14">
        <f>Deployments!CC357</f>
        <v/>
      </c>
      <c r="O369" s="21">
        <f>Deployments!CD357</f>
        <v/>
      </c>
      <c r="P369" s="2">
        <f>Deployments!BX357</f>
        <v/>
      </c>
      <c r="Q369" s="21">
        <f>IF(OR($A369="",$B369="",$D369=""),"MISSING CORE FIELDS","")</f>
        <v/>
      </c>
      <c r="R369" s="14">
        <f>IF(AND($I369&lt;&gt;"",$K369&lt;&gt;"Yes"),"SW NOT INSTALLED","")</f>
        <v/>
      </c>
      <c r="S369" s="14">
        <f>IF(AND($H369&lt;&gt;"",ISNUMBER(SEARCH("auto",LOWER($H369))),$F369=""),"AUTOLOGON REQUIRED","")</f>
        <v/>
      </c>
      <c r="T369" s="14">
        <f>IF($Q369&lt;&gt;"",$Q369,IF($S369&lt;&gt;"",$S369,IF($R369&lt;&gt;"",$R369,IF(OR($N369&lt;&gt;"",$O369="Blocked"),"BLOCKED","OK"))))</f>
        <v/>
      </c>
    </row>
    <row r="370">
      <c r="A370" s="21">
        <f>Deployments!H358</f>
        <v/>
      </c>
      <c r="B370" s="21">
        <f>Deployments!X358</f>
        <v/>
      </c>
      <c r="C370" s="21">
        <f>Deployments!Y358</f>
        <v/>
      </c>
      <c r="D370" s="14">
        <f>Deployments!AO358</f>
        <v/>
      </c>
      <c r="E370" s="14">
        <f>Deployments!N358</f>
        <v/>
      </c>
      <c r="F370" s="21">
        <f>Deployments!O358</f>
        <v/>
      </c>
      <c r="G370" s="14">
        <f>Deployments!P358</f>
        <v/>
      </c>
      <c r="H370" s="14">
        <f>'13 - Config_Intake_View'!M370</f>
        <v/>
      </c>
      <c r="I370" s="21">
        <f>IF('13 - Config_Intake_View'!Q370&lt;&gt;"",'13 - Config_Intake_View'!Q370,Deployments!AG358)</f>
        <v/>
      </c>
      <c r="J370" s="14">
        <f>IF('13 - Config_Intake_View'!Q370&lt;&gt;"","PM Approved",IF(Deployments!AG358&lt;&gt;"","Assumed",""))</f>
        <v/>
      </c>
      <c r="K370" s="21">
        <f>Deployments!AF358</f>
        <v/>
      </c>
      <c r="L370" s="14">
        <f>Deployments!U358</f>
        <v/>
      </c>
      <c r="M370" s="14">
        <f>Deployments!L358</f>
        <v/>
      </c>
      <c r="N370" s="14">
        <f>Deployments!CC358</f>
        <v/>
      </c>
      <c r="O370" s="21">
        <f>Deployments!CD358</f>
        <v/>
      </c>
      <c r="P370" s="2">
        <f>Deployments!BX358</f>
        <v/>
      </c>
      <c r="Q370" s="21">
        <f>IF(OR($A370="",$B370="",$D370=""),"MISSING CORE FIELDS","")</f>
        <v/>
      </c>
      <c r="R370" s="14">
        <f>IF(AND($I370&lt;&gt;"",$K370&lt;&gt;"Yes"),"SW NOT INSTALLED","")</f>
        <v/>
      </c>
      <c r="S370" s="14">
        <f>IF(AND($H370&lt;&gt;"",ISNUMBER(SEARCH("auto",LOWER($H370))),$F370=""),"AUTOLOGON REQUIRED","")</f>
        <v/>
      </c>
      <c r="T370" s="14">
        <f>IF($Q370&lt;&gt;"",$Q370,IF($S370&lt;&gt;"",$S370,IF($R370&lt;&gt;"",$R370,IF(OR($N370&lt;&gt;"",$O370="Blocked"),"BLOCKED","OK"))))</f>
        <v/>
      </c>
    </row>
    <row r="371">
      <c r="A371" s="21">
        <f>Deployments!H359</f>
        <v/>
      </c>
      <c r="B371" s="21">
        <f>Deployments!X359</f>
        <v/>
      </c>
      <c r="C371" s="21">
        <f>Deployments!Y359</f>
        <v/>
      </c>
      <c r="D371" s="14">
        <f>Deployments!AO359</f>
        <v/>
      </c>
      <c r="E371" s="14">
        <f>Deployments!N359</f>
        <v/>
      </c>
      <c r="F371" s="21">
        <f>Deployments!O359</f>
        <v/>
      </c>
      <c r="G371" s="14">
        <f>Deployments!P359</f>
        <v/>
      </c>
      <c r="H371" s="14">
        <f>'13 - Config_Intake_View'!M371</f>
        <v/>
      </c>
      <c r="I371" s="21">
        <f>IF('13 - Config_Intake_View'!Q371&lt;&gt;"",'13 - Config_Intake_View'!Q371,Deployments!AG359)</f>
        <v/>
      </c>
      <c r="J371" s="14">
        <f>IF('13 - Config_Intake_View'!Q371&lt;&gt;"","PM Approved",IF(Deployments!AG359&lt;&gt;"","Assumed",""))</f>
        <v/>
      </c>
      <c r="K371" s="21">
        <f>Deployments!AF359</f>
        <v/>
      </c>
      <c r="L371" s="14">
        <f>Deployments!U359</f>
        <v/>
      </c>
      <c r="M371" s="14">
        <f>Deployments!L359</f>
        <v/>
      </c>
      <c r="N371" s="14">
        <f>Deployments!CC359</f>
        <v/>
      </c>
      <c r="O371" s="21">
        <f>Deployments!CD359</f>
        <v/>
      </c>
      <c r="P371" s="2">
        <f>Deployments!BX359</f>
        <v/>
      </c>
      <c r="Q371" s="21">
        <f>IF(OR($A371="",$B371="",$D371=""),"MISSING CORE FIELDS","")</f>
        <v/>
      </c>
      <c r="R371" s="14">
        <f>IF(AND($I371&lt;&gt;"",$K371&lt;&gt;"Yes"),"SW NOT INSTALLED","")</f>
        <v/>
      </c>
      <c r="S371" s="14">
        <f>IF(AND($H371&lt;&gt;"",ISNUMBER(SEARCH("auto",LOWER($H371))),$F371=""),"AUTOLOGON REQUIRED","")</f>
        <v/>
      </c>
      <c r="T371" s="14">
        <f>IF($Q371&lt;&gt;"",$Q371,IF($S371&lt;&gt;"",$S371,IF($R371&lt;&gt;"",$R371,IF(OR($N371&lt;&gt;"",$O371="Blocked"),"BLOCKED","OK"))))</f>
        <v/>
      </c>
    </row>
    <row r="372">
      <c r="A372" s="21">
        <f>Deployments!H360</f>
        <v/>
      </c>
      <c r="B372" s="21">
        <f>Deployments!X360</f>
        <v/>
      </c>
      <c r="C372" s="21">
        <f>Deployments!Y360</f>
        <v/>
      </c>
      <c r="D372" s="14">
        <f>Deployments!AO360</f>
        <v/>
      </c>
      <c r="E372" s="14">
        <f>Deployments!N360</f>
        <v/>
      </c>
      <c r="F372" s="21">
        <f>Deployments!O360</f>
        <v/>
      </c>
      <c r="G372" s="14">
        <f>Deployments!P360</f>
        <v/>
      </c>
      <c r="H372" s="14">
        <f>'13 - Config_Intake_View'!M372</f>
        <v/>
      </c>
      <c r="I372" s="21">
        <f>IF('13 - Config_Intake_View'!Q372&lt;&gt;"",'13 - Config_Intake_View'!Q372,Deployments!AG360)</f>
        <v/>
      </c>
      <c r="J372" s="14">
        <f>IF('13 - Config_Intake_View'!Q372&lt;&gt;"","PM Approved",IF(Deployments!AG360&lt;&gt;"","Assumed",""))</f>
        <v/>
      </c>
      <c r="K372" s="21">
        <f>Deployments!AF360</f>
        <v/>
      </c>
      <c r="L372" s="14">
        <f>Deployments!U360</f>
        <v/>
      </c>
      <c r="M372" s="14">
        <f>Deployments!L360</f>
        <v/>
      </c>
      <c r="N372" s="14">
        <f>Deployments!CC360</f>
        <v/>
      </c>
      <c r="O372" s="21">
        <f>Deployments!CD360</f>
        <v/>
      </c>
      <c r="P372" s="2">
        <f>Deployments!BX360</f>
        <v/>
      </c>
      <c r="Q372" s="21">
        <f>IF(OR($A372="",$B372="",$D372=""),"MISSING CORE FIELDS","")</f>
        <v/>
      </c>
      <c r="R372" s="14">
        <f>IF(AND($I372&lt;&gt;"",$K372&lt;&gt;"Yes"),"SW NOT INSTALLED","")</f>
        <v/>
      </c>
      <c r="S372" s="14">
        <f>IF(AND($H372&lt;&gt;"",ISNUMBER(SEARCH("auto",LOWER($H372))),$F372=""),"AUTOLOGON REQUIRED","")</f>
        <v/>
      </c>
      <c r="T372" s="14">
        <f>IF($Q372&lt;&gt;"",$Q372,IF($S372&lt;&gt;"",$S372,IF($R372&lt;&gt;"",$R372,IF(OR($N372&lt;&gt;"",$O372="Blocked"),"BLOCKED","OK"))))</f>
        <v/>
      </c>
    </row>
    <row r="373">
      <c r="A373" s="21">
        <f>Deployments!H361</f>
        <v/>
      </c>
      <c r="B373" s="21">
        <f>Deployments!X361</f>
        <v/>
      </c>
      <c r="C373" s="21">
        <f>Deployments!Y361</f>
        <v/>
      </c>
      <c r="D373" s="14">
        <f>Deployments!AO361</f>
        <v/>
      </c>
      <c r="E373" s="14">
        <f>Deployments!N361</f>
        <v/>
      </c>
      <c r="F373" s="21">
        <f>Deployments!O361</f>
        <v/>
      </c>
      <c r="G373" s="14">
        <f>Deployments!P361</f>
        <v/>
      </c>
      <c r="H373" s="14">
        <f>'13 - Config_Intake_View'!M373</f>
        <v/>
      </c>
      <c r="I373" s="21">
        <f>IF('13 - Config_Intake_View'!Q373&lt;&gt;"",'13 - Config_Intake_View'!Q373,Deployments!AG361)</f>
        <v/>
      </c>
      <c r="J373" s="14">
        <f>IF('13 - Config_Intake_View'!Q373&lt;&gt;"","PM Approved",IF(Deployments!AG361&lt;&gt;"","Assumed",""))</f>
        <v/>
      </c>
      <c r="K373" s="21">
        <f>Deployments!AF361</f>
        <v/>
      </c>
      <c r="L373" s="14">
        <f>Deployments!U361</f>
        <v/>
      </c>
      <c r="M373" s="14">
        <f>Deployments!L361</f>
        <v/>
      </c>
      <c r="N373" s="14">
        <f>Deployments!CC361</f>
        <v/>
      </c>
      <c r="O373" s="21">
        <f>Deployments!CD361</f>
        <v/>
      </c>
      <c r="P373" s="2">
        <f>Deployments!BX361</f>
        <v/>
      </c>
      <c r="Q373" s="21">
        <f>IF(OR($A373="",$B373="",$D373=""),"MISSING CORE FIELDS","")</f>
        <v/>
      </c>
      <c r="R373" s="14">
        <f>IF(AND($I373&lt;&gt;"",$K373&lt;&gt;"Yes"),"SW NOT INSTALLED","")</f>
        <v/>
      </c>
      <c r="S373" s="14">
        <f>IF(AND($H373&lt;&gt;"",ISNUMBER(SEARCH("auto",LOWER($H373))),$F373=""),"AUTOLOGON REQUIRED","")</f>
        <v/>
      </c>
      <c r="T373" s="14">
        <f>IF($Q373&lt;&gt;"",$Q373,IF($S373&lt;&gt;"",$S373,IF($R373&lt;&gt;"",$R373,IF(OR($N373&lt;&gt;"",$O373="Blocked"),"BLOCKED","OK"))))</f>
        <v/>
      </c>
    </row>
    <row r="374">
      <c r="A374" s="21">
        <f>Deployments!H362</f>
        <v/>
      </c>
      <c r="B374" s="21">
        <f>Deployments!X362</f>
        <v/>
      </c>
      <c r="C374" s="21">
        <f>Deployments!Y362</f>
        <v/>
      </c>
      <c r="D374" s="14">
        <f>Deployments!AO362</f>
        <v/>
      </c>
      <c r="E374" s="14">
        <f>Deployments!N362</f>
        <v/>
      </c>
      <c r="F374" s="21">
        <f>Deployments!O362</f>
        <v/>
      </c>
      <c r="G374" s="14">
        <f>Deployments!P362</f>
        <v/>
      </c>
      <c r="H374" s="14">
        <f>'13 - Config_Intake_View'!M374</f>
        <v/>
      </c>
      <c r="I374" s="21">
        <f>IF('13 - Config_Intake_View'!Q374&lt;&gt;"",'13 - Config_Intake_View'!Q374,Deployments!AG362)</f>
        <v/>
      </c>
      <c r="J374" s="14">
        <f>IF('13 - Config_Intake_View'!Q374&lt;&gt;"","PM Approved",IF(Deployments!AG362&lt;&gt;"","Assumed",""))</f>
        <v/>
      </c>
      <c r="K374" s="21">
        <f>Deployments!AF362</f>
        <v/>
      </c>
      <c r="L374" s="14">
        <f>Deployments!U362</f>
        <v/>
      </c>
      <c r="M374" s="14">
        <f>Deployments!L362</f>
        <v/>
      </c>
      <c r="N374" s="14">
        <f>Deployments!CC362</f>
        <v/>
      </c>
      <c r="O374" s="21">
        <f>Deployments!CD362</f>
        <v/>
      </c>
      <c r="P374" s="2">
        <f>Deployments!BX362</f>
        <v/>
      </c>
      <c r="Q374" s="21">
        <f>IF(OR($A374="",$B374="",$D374=""),"MISSING CORE FIELDS","")</f>
        <v/>
      </c>
      <c r="R374" s="14">
        <f>IF(AND($I374&lt;&gt;"",$K374&lt;&gt;"Yes"),"SW NOT INSTALLED","")</f>
        <v/>
      </c>
      <c r="S374" s="14">
        <f>IF(AND($H374&lt;&gt;"",ISNUMBER(SEARCH("auto",LOWER($H374))),$F374=""),"AUTOLOGON REQUIRED","")</f>
        <v/>
      </c>
      <c r="T374" s="14">
        <f>IF($Q374&lt;&gt;"",$Q374,IF($S374&lt;&gt;"",$S374,IF($R374&lt;&gt;"",$R374,IF(OR($N374&lt;&gt;"",$O374="Blocked"),"BLOCKED","OK"))))</f>
        <v/>
      </c>
    </row>
    <row r="375">
      <c r="A375" s="21">
        <f>Deployments!H363</f>
        <v/>
      </c>
      <c r="B375" s="21">
        <f>Deployments!X363</f>
        <v/>
      </c>
      <c r="C375" s="21">
        <f>Deployments!Y363</f>
        <v/>
      </c>
      <c r="D375" s="14">
        <f>Deployments!AO363</f>
        <v/>
      </c>
      <c r="E375" s="14">
        <f>Deployments!N363</f>
        <v/>
      </c>
      <c r="F375" s="21">
        <f>Deployments!O363</f>
        <v/>
      </c>
      <c r="G375" s="14">
        <f>Deployments!P363</f>
        <v/>
      </c>
      <c r="H375" s="14">
        <f>'13 - Config_Intake_View'!M375</f>
        <v/>
      </c>
      <c r="I375" s="21">
        <f>IF('13 - Config_Intake_View'!Q375&lt;&gt;"",'13 - Config_Intake_View'!Q375,Deployments!AG363)</f>
        <v/>
      </c>
      <c r="J375" s="14">
        <f>IF('13 - Config_Intake_View'!Q375&lt;&gt;"","PM Approved",IF(Deployments!AG363&lt;&gt;"","Assumed",""))</f>
        <v/>
      </c>
      <c r="K375" s="21">
        <f>Deployments!AF363</f>
        <v/>
      </c>
      <c r="L375" s="14">
        <f>Deployments!U363</f>
        <v/>
      </c>
      <c r="M375" s="14">
        <f>Deployments!L363</f>
        <v/>
      </c>
      <c r="N375" s="14">
        <f>Deployments!CC363</f>
        <v/>
      </c>
      <c r="O375" s="21">
        <f>Deployments!CD363</f>
        <v/>
      </c>
      <c r="P375" s="2">
        <f>Deployments!BX363</f>
        <v/>
      </c>
      <c r="Q375" s="21">
        <f>IF(OR($A375="",$B375="",$D375=""),"MISSING CORE FIELDS","")</f>
        <v/>
      </c>
      <c r="R375" s="14">
        <f>IF(AND($I375&lt;&gt;"",$K375&lt;&gt;"Yes"),"SW NOT INSTALLED","")</f>
        <v/>
      </c>
      <c r="S375" s="14">
        <f>IF(AND($H375&lt;&gt;"",ISNUMBER(SEARCH("auto",LOWER($H375))),$F375=""),"AUTOLOGON REQUIRED","")</f>
        <v/>
      </c>
      <c r="T375" s="14">
        <f>IF($Q375&lt;&gt;"",$Q375,IF($S375&lt;&gt;"",$S375,IF($R375&lt;&gt;"",$R375,IF(OR($N375&lt;&gt;"",$O375="Blocked"),"BLOCKED","OK"))))</f>
        <v/>
      </c>
    </row>
    <row r="376">
      <c r="A376" s="21">
        <f>Deployments!H364</f>
        <v/>
      </c>
      <c r="B376" s="21">
        <f>Deployments!X364</f>
        <v/>
      </c>
      <c r="C376" s="21">
        <f>Deployments!Y364</f>
        <v/>
      </c>
      <c r="D376" s="14">
        <f>Deployments!AO364</f>
        <v/>
      </c>
      <c r="E376" s="14">
        <f>Deployments!N364</f>
        <v/>
      </c>
      <c r="F376" s="21">
        <f>Deployments!O364</f>
        <v/>
      </c>
      <c r="G376" s="14">
        <f>Deployments!P364</f>
        <v/>
      </c>
      <c r="H376" s="14">
        <f>'13 - Config_Intake_View'!M376</f>
        <v/>
      </c>
      <c r="I376" s="21">
        <f>IF('13 - Config_Intake_View'!Q376&lt;&gt;"",'13 - Config_Intake_View'!Q376,Deployments!AG364)</f>
        <v/>
      </c>
      <c r="J376" s="14">
        <f>IF('13 - Config_Intake_View'!Q376&lt;&gt;"","PM Approved",IF(Deployments!AG364&lt;&gt;"","Assumed",""))</f>
        <v/>
      </c>
      <c r="K376" s="21">
        <f>Deployments!AF364</f>
        <v/>
      </c>
      <c r="L376" s="14">
        <f>Deployments!U364</f>
        <v/>
      </c>
      <c r="M376" s="14">
        <f>Deployments!L364</f>
        <v/>
      </c>
      <c r="N376" s="14">
        <f>Deployments!CC364</f>
        <v/>
      </c>
      <c r="O376" s="21">
        <f>Deployments!CD364</f>
        <v/>
      </c>
      <c r="P376" s="2">
        <f>Deployments!BX364</f>
        <v/>
      </c>
      <c r="Q376" s="21">
        <f>IF(OR($A376="",$B376="",$D376=""),"MISSING CORE FIELDS","")</f>
        <v/>
      </c>
      <c r="R376" s="14">
        <f>IF(AND($I376&lt;&gt;"",$K376&lt;&gt;"Yes"),"SW NOT INSTALLED","")</f>
        <v/>
      </c>
      <c r="S376" s="14">
        <f>IF(AND($H376&lt;&gt;"",ISNUMBER(SEARCH("auto",LOWER($H376))),$F376=""),"AUTOLOGON REQUIRED","")</f>
        <v/>
      </c>
      <c r="T376" s="14">
        <f>IF($Q376&lt;&gt;"",$Q376,IF($S376&lt;&gt;"",$S376,IF($R376&lt;&gt;"",$R376,IF(OR($N376&lt;&gt;"",$O376="Blocked"),"BLOCKED","OK"))))</f>
        <v/>
      </c>
    </row>
    <row r="377">
      <c r="A377" s="21">
        <f>Deployments!H365</f>
        <v/>
      </c>
      <c r="B377" s="21">
        <f>Deployments!X365</f>
        <v/>
      </c>
      <c r="C377" s="21">
        <f>Deployments!Y365</f>
        <v/>
      </c>
      <c r="D377" s="14">
        <f>Deployments!AO365</f>
        <v/>
      </c>
      <c r="E377" s="14">
        <f>Deployments!N365</f>
        <v/>
      </c>
      <c r="F377" s="21">
        <f>Deployments!O365</f>
        <v/>
      </c>
      <c r="G377" s="14">
        <f>Deployments!P365</f>
        <v/>
      </c>
      <c r="H377" s="14">
        <f>'13 - Config_Intake_View'!M377</f>
        <v/>
      </c>
      <c r="I377" s="21">
        <f>IF('13 - Config_Intake_View'!Q377&lt;&gt;"",'13 - Config_Intake_View'!Q377,Deployments!AG365)</f>
        <v/>
      </c>
      <c r="J377" s="14">
        <f>IF('13 - Config_Intake_View'!Q377&lt;&gt;"","PM Approved",IF(Deployments!AG365&lt;&gt;"","Assumed",""))</f>
        <v/>
      </c>
      <c r="K377" s="21">
        <f>Deployments!AF365</f>
        <v/>
      </c>
      <c r="L377" s="14">
        <f>Deployments!U365</f>
        <v/>
      </c>
      <c r="M377" s="14">
        <f>Deployments!L365</f>
        <v/>
      </c>
      <c r="N377" s="14">
        <f>Deployments!CC365</f>
        <v/>
      </c>
      <c r="O377" s="21">
        <f>Deployments!CD365</f>
        <v/>
      </c>
      <c r="P377" s="2">
        <f>Deployments!BX365</f>
        <v/>
      </c>
      <c r="Q377" s="21">
        <f>IF(OR($A377="",$B377="",$D377=""),"MISSING CORE FIELDS","")</f>
        <v/>
      </c>
      <c r="R377" s="14">
        <f>IF(AND($I377&lt;&gt;"",$K377&lt;&gt;"Yes"),"SW NOT INSTALLED","")</f>
        <v/>
      </c>
      <c r="S377" s="14">
        <f>IF(AND($H377&lt;&gt;"",ISNUMBER(SEARCH("auto",LOWER($H377))),$F377=""),"AUTOLOGON REQUIRED","")</f>
        <v/>
      </c>
      <c r="T377" s="14">
        <f>IF($Q377&lt;&gt;"",$Q377,IF($S377&lt;&gt;"",$S377,IF($R377&lt;&gt;"",$R377,IF(OR($N377&lt;&gt;"",$O377="Blocked"),"BLOCKED","OK"))))</f>
        <v/>
      </c>
    </row>
    <row r="378">
      <c r="A378" s="21">
        <f>Deployments!H366</f>
        <v/>
      </c>
      <c r="B378" s="21">
        <f>Deployments!X366</f>
        <v/>
      </c>
      <c r="C378" s="21">
        <f>Deployments!Y366</f>
        <v/>
      </c>
      <c r="D378" s="14">
        <f>Deployments!AO366</f>
        <v/>
      </c>
      <c r="E378" s="14">
        <f>Deployments!N366</f>
        <v/>
      </c>
      <c r="F378" s="21">
        <f>Deployments!O366</f>
        <v/>
      </c>
      <c r="G378" s="14">
        <f>Deployments!P366</f>
        <v/>
      </c>
      <c r="H378" s="14">
        <f>'13 - Config_Intake_View'!M378</f>
        <v/>
      </c>
      <c r="I378" s="21">
        <f>IF('13 - Config_Intake_View'!Q378&lt;&gt;"",'13 - Config_Intake_View'!Q378,Deployments!AG366)</f>
        <v/>
      </c>
      <c r="J378" s="14">
        <f>IF('13 - Config_Intake_View'!Q378&lt;&gt;"","PM Approved",IF(Deployments!AG366&lt;&gt;"","Assumed",""))</f>
        <v/>
      </c>
      <c r="K378" s="21">
        <f>Deployments!AF366</f>
        <v/>
      </c>
      <c r="L378" s="14">
        <f>Deployments!U366</f>
        <v/>
      </c>
      <c r="M378" s="14">
        <f>Deployments!L366</f>
        <v/>
      </c>
      <c r="N378" s="14">
        <f>Deployments!CC366</f>
        <v/>
      </c>
      <c r="O378" s="21">
        <f>Deployments!CD366</f>
        <v/>
      </c>
      <c r="P378" s="2">
        <f>Deployments!BX366</f>
        <v/>
      </c>
      <c r="Q378" s="21">
        <f>IF(OR($A378="",$B378="",$D378=""),"MISSING CORE FIELDS","")</f>
        <v/>
      </c>
      <c r="R378" s="14">
        <f>IF(AND($I378&lt;&gt;"",$K378&lt;&gt;"Yes"),"SW NOT INSTALLED","")</f>
        <v/>
      </c>
      <c r="S378" s="14">
        <f>IF(AND($H378&lt;&gt;"",ISNUMBER(SEARCH("auto",LOWER($H378))),$F378=""),"AUTOLOGON REQUIRED","")</f>
        <v/>
      </c>
      <c r="T378" s="14">
        <f>IF($Q378&lt;&gt;"",$Q378,IF($S378&lt;&gt;"",$S378,IF($R378&lt;&gt;"",$R378,IF(OR($N378&lt;&gt;"",$O378="Blocked"),"BLOCKED","OK"))))</f>
        <v/>
      </c>
    </row>
    <row r="379">
      <c r="A379" s="21">
        <f>Deployments!H367</f>
        <v/>
      </c>
      <c r="B379" s="21">
        <f>Deployments!X367</f>
        <v/>
      </c>
      <c r="C379" s="21">
        <f>Deployments!Y367</f>
        <v/>
      </c>
      <c r="D379" s="14">
        <f>Deployments!AO367</f>
        <v/>
      </c>
      <c r="E379" s="14">
        <f>Deployments!N367</f>
        <v/>
      </c>
      <c r="F379" s="21">
        <f>Deployments!O367</f>
        <v/>
      </c>
      <c r="G379" s="14">
        <f>Deployments!P367</f>
        <v/>
      </c>
      <c r="H379" s="14">
        <f>'13 - Config_Intake_View'!M379</f>
        <v/>
      </c>
      <c r="I379" s="21">
        <f>IF('13 - Config_Intake_View'!Q379&lt;&gt;"",'13 - Config_Intake_View'!Q379,Deployments!AG367)</f>
        <v/>
      </c>
      <c r="J379" s="14">
        <f>IF('13 - Config_Intake_View'!Q379&lt;&gt;"","PM Approved",IF(Deployments!AG367&lt;&gt;"","Assumed",""))</f>
        <v/>
      </c>
      <c r="K379" s="21">
        <f>Deployments!AF367</f>
        <v/>
      </c>
      <c r="L379" s="14">
        <f>Deployments!U367</f>
        <v/>
      </c>
      <c r="M379" s="14">
        <f>Deployments!L367</f>
        <v/>
      </c>
      <c r="N379" s="14">
        <f>Deployments!CC367</f>
        <v/>
      </c>
      <c r="O379" s="21">
        <f>Deployments!CD367</f>
        <v/>
      </c>
      <c r="P379" s="2">
        <f>Deployments!BX367</f>
        <v/>
      </c>
      <c r="Q379" s="21">
        <f>IF(OR($A379="",$B379="",$D379=""),"MISSING CORE FIELDS","")</f>
        <v/>
      </c>
      <c r="R379" s="14">
        <f>IF(AND($I379&lt;&gt;"",$K379&lt;&gt;"Yes"),"SW NOT INSTALLED","")</f>
        <v/>
      </c>
      <c r="S379" s="14">
        <f>IF(AND($H379&lt;&gt;"",ISNUMBER(SEARCH("auto",LOWER($H379))),$F379=""),"AUTOLOGON REQUIRED","")</f>
        <v/>
      </c>
      <c r="T379" s="14">
        <f>IF($Q379&lt;&gt;"",$Q379,IF($S379&lt;&gt;"",$S379,IF($R379&lt;&gt;"",$R379,IF(OR($N379&lt;&gt;"",$O379="Blocked"),"BLOCKED","OK"))))</f>
        <v/>
      </c>
    </row>
    <row r="380">
      <c r="A380" s="21">
        <f>Deployments!H368</f>
        <v/>
      </c>
      <c r="B380" s="21">
        <f>Deployments!X368</f>
        <v/>
      </c>
      <c r="C380" s="21">
        <f>Deployments!Y368</f>
        <v/>
      </c>
      <c r="D380" s="14">
        <f>Deployments!AO368</f>
        <v/>
      </c>
      <c r="E380" s="14">
        <f>Deployments!N368</f>
        <v/>
      </c>
      <c r="F380" s="21">
        <f>Deployments!O368</f>
        <v/>
      </c>
      <c r="G380" s="14">
        <f>Deployments!P368</f>
        <v/>
      </c>
      <c r="H380" s="14">
        <f>'13 - Config_Intake_View'!M380</f>
        <v/>
      </c>
      <c r="I380" s="21">
        <f>IF('13 - Config_Intake_View'!Q380&lt;&gt;"",'13 - Config_Intake_View'!Q380,Deployments!AG368)</f>
        <v/>
      </c>
      <c r="J380" s="14">
        <f>IF('13 - Config_Intake_View'!Q380&lt;&gt;"","PM Approved",IF(Deployments!AG368&lt;&gt;"","Assumed",""))</f>
        <v/>
      </c>
      <c r="K380" s="21">
        <f>Deployments!AF368</f>
        <v/>
      </c>
      <c r="L380" s="14">
        <f>Deployments!U368</f>
        <v/>
      </c>
      <c r="M380" s="14">
        <f>Deployments!L368</f>
        <v/>
      </c>
      <c r="N380" s="14">
        <f>Deployments!CC368</f>
        <v/>
      </c>
      <c r="O380" s="21">
        <f>Deployments!CD368</f>
        <v/>
      </c>
      <c r="P380" s="2">
        <f>Deployments!BX368</f>
        <v/>
      </c>
      <c r="Q380" s="21">
        <f>IF(OR($A380="",$B380="",$D380=""),"MISSING CORE FIELDS","")</f>
        <v/>
      </c>
      <c r="R380" s="14">
        <f>IF(AND($I380&lt;&gt;"",$K380&lt;&gt;"Yes"),"SW NOT INSTALLED","")</f>
        <v/>
      </c>
      <c r="S380" s="14">
        <f>IF(AND($H380&lt;&gt;"",ISNUMBER(SEARCH("auto",LOWER($H380))),$F380=""),"AUTOLOGON REQUIRED","")</f>
        <v/>
      </c>
      <c r="T380" s="14">
        <f>IF($Q380&lt;&gt;"",$Q380,IF($S380&lt;&gt;"",$S380,IF($R380&lt;&gt;"",$R380,IF(OR($N380&lt;&gt;"",$O380="Blocked"),"BLOCKED","OK"))))</f>
        <v/>
      </c>
    </row>
    <row r="381">
      <c r="A381" s="21">
        <f>Deployments!H369</f>
        <v/>
      </c>
      <c r="B381" s="21">
        <f>Deployments!X369</f>
        <v/>
      </c>
      <c r="C381" s="21">
        <f>Deployments!Y369</f>
        <v/>
      </c>
      <c r="D381" s="14">
        <f>Deployments!AO369</f>
        <v/>
      </c>
      <c r="E381" s="14">
        <f>Deployments!N369</f>
        <v/>
      </c>
      <c r="F381" s="21">
        <f>Deployments!O369</f>
        <v/>
      </c>
      <c r="G381" s="14">
        <f>Deployments!P369</f>
        <v/>
      </c>
      <c r="H381" s="14">
        <f>'13 - Config_Intake_View'!M381</f>
        <v/>
      </c>
      <c r="I381" s="21">
        <f>IF('13 - Config_Intake_View'!Q381&lt;&gt;"",'13 - Config_Intake_View'!Q381,Deployments!AG369)</f>
        <v/>
      </c>
      <c r="J381" s="14">
        <f>IF('13 - Config_Intake_View'!Q381&lt;&gt;"","PM Approved",IF(Deployments!AG369&lt;&gt;"","Assumed",""))</f>
        <v/>
      </c>
      <c r="K381" s="21">
        <f>Deployments!AF369</f>
        <v/>
      </c>
      <c r="L381" s="14">
        <f>Deployments!U369</f>
        <v/>
      </c>
      <c r="M381" s="14">
        <f>Deployments!L369</f>
        <v/>
      </c>
      <c r="N381" s="14">
        <f>Deployments!CC369</f>
        <v/>
      </c>
      <c r="O381" s="21">
        <f>Deployments!CD369</f>
        <v/>
      </c>
      <c r="P381" s="2">
        <f>Deployments!BX369</f>
        <v/>
      </c>
      <c r="Q381" s="21">
        <f>IF(OR($A381="",$B381="",$D381=""),"MISSING CORE FIELDS","")</f>
        <v/>
      </c>
      <c r="R381" s="14">
        <f>IF(AND($I381&lt;&gt;"",$K381&lt;&gt;"Yes"),"SW NOT INSTALLED","")</f>
        <v/>
      </c>
      <c r="S381" s="14">
        <f>IF(AND($H381&lt;&gt;"",ISNUMBER(SEARCH("auto",LOWER($H381))),$F381=""),"AUTOLOGON REQUIRED","")</f>
        <v/>
      </c>
      <c r="T381" s="14">
        <f>IF($Q381&lt;&gt;"",$Q381,IF($S381&lt;&gt;"",$S381,IF($R381&lt;&gt;"",$R381,IF(OR($N381&lt;&gt;"",$O381="Blocked"),"BLOCKED","OK"))))</f>
        <v/>
      </c>
    </row>
    <row r="382">
      <c r="A382" s="21">
        <f>Deployments!H370</f>
        <v/>
      </c>
      <c r="B382" s="21">
        <f>Deployments!X370</f>
        <v/>
      </c>
      <c r="C382" s="21">
        <f>Deployments!Y370</f>
        <v/>
      </c>
      <c r="D382" s="14">
        <f>Deployments!AO370</f>
        <v/>
      </c>
      <c r="E382" s="14">
        <f>Deployments!N370</f>
        <v/>
      </c>
      <c r="F382" s="21">
        <f>Deployments!O370</f>
        <v/>
      </c>
      <c r="G382" s="14">
        <f>Deployments!P370</f>
        <v/>
      </c>
      <c r="H382" s="14">
        <f>'13 - Config_Intake_View'!M382</f>
        <v/>
      </c>
      <c r="I382" s="21">
        <f>IF('13 - Config_Intake_View'!Q382&lt;&gt;"",'13 - Config_Intake_View'!Q382,Deployments!AG370)</f>
        <v/>
      </c>
      <c r="J382" s="14">
        <f>IF('13 - Config_Intake_View'!Q382&lt;&gt;"","PM Approved",IF(Deployments!AG370&lt;&gt;"","Assumed",""))</f>
        <v/>
      </c>
      <c r="K382" s="21">
        <f>Deployments!AF370</f>
        <v/>
      </c>
      <c r="L382" s="14">
        <f>Deployments!U370</f>
        <v/>
      </c>
      <c r="M382" s="14">
        <f>Deployments!L370</f>
        <v/>
      </c>
      <c r="N382" s="14">
        <f>Deployments!CC370</f>
        <v/>
      </c>
      <c r="O382" s="21">
        <f>Deployments!CD370</f>
        <v/>
      </c>
      <c r="P382" s="2">
        <f>Deployments!BX370</f>
        <v/>
      </c>
      <c r="Q382" s="21">
        <f>IF(OR($A382="",$B382="",$D382=""),"MISSING CORE FIELDS","")</f>
        <v/>
      </c>
      <c r="R382" s="14">
        <f>IF(AND($I382&lt;&gt;"",$K382&lt;&gt;"Yes"),"SW NOT INSTALLED","")</f>
        <v/>
      </c>
      <c r="S382" s="14">
        <f>IF(AND($H382&lt;&gt;"",ISNUMBER(SEARCH("auto",LOWER($H382))),$F382=""),"AUTOLOGON REQUIRED","")</f>
        <v/>
      </c>
      <c r="T382" s="14">
        <f>IF($Q382&lt;&gt;"",$Q382,IF($S382&lt;&gt;"",$S382,IF($R382&lt;&gt;"",$R382,IF(OR($N382&lt;&gt;"",$O382="Blocked"),"BLOCKED","OK"))))</f>
        <v/>
      </c>
    </row>
    <row r="383">
      <c r="A383" s="21">
        <f>Deployments!H371</f>
        <v/>
      </c>
      <c r="B383" s="21">
        <f>Deployments!X371</f>
        <v/>
      </c>
      <c r="C383" s="21">
        <f>Deployments!Y371</f>
        <v/>
      </c>
      <c r="D383" s="14">
        <f>Deployments!AO371</f>
        <v/>
      </c>
      <c r="E383" s="14">
        <f>Deployments!N371</f>
        <v/>
      </c>
      <c r="F383" s="21">
        <f>Deployments!O371</f>
        <v/>
      </c>
      <c r="G383" s="14">
        <f>Deployments!P371</f>
        <v/>
      </c>
      <c r="H383" s="14">
        <f>'13 - Config_Intake_View'!M383</f>
        <v/>
      </c>
      <c r="I383" s="21">
        <f>IF('13 - Config_Intake_View'!Q383&lt;&gt;"",'13 - Config_Intake_View'!Q383,Deployments!AG371)</f>
        <v/>
      </c>
      <c r="J383" s="14">
        <f>IF('13 - Config_Intake_View'!Q383&lt;&gt;"","PM Approved",IF(Deployments!AG371&lt;&gt;"","Assumed",""))</f>
        <v/>
      </c>
      <c r="K383" s="21">
        <f>Deployments!AF371</f>
        <v/>
      </c>
      <c r="L383" s="14">
        <f>Deployments!U371</f>
        <v/>
      </c>
      <c r="M383" s="14">
        <f>Deployments!L371</f>
        <v/>
      </c>
      <c r="N383" s="14">
        <f>Deployments!CC371</f>
        <v/>
      </c>
      <c r="O383" s="21">
        <f>Deployments!CD371</f>
        <v/>
      </c>
      <c r="P383" s="2">
        <f>Deployments!BX371</f>
        <v/>
      </c>
      <c r="Q383" s="21">
        <f>IF(OR($A383="",$B383="",$D383=""),"MISSING CORE FIELDS","")</f>
        <v/>
      </c>
      <c r="R383" s="14">
        <f>IF(AND($I383&lt;&gt;"",$K383&lt;&gt;"Yes"),"SW NOT INSTALLED","")</f>
        <v/>
      </c>
      <c r="S383" s="14">
        <f>IF(AND($H383&lt;&gt;"",ISNUMBER(SEARCH("auto",LOWER($H383))),$F383=""),"AUTOLOGON REQUIRED","")</f>
        <v/>
      </c>
      <c r="T383" s="14">
        <f>IF($Q383&lt;&gt;"",$Q383,IF($S383&lt;&gt;"",$S383,IF($R383&lt;&gt;"",$R383,IF(OR($N383&lt;&gt;"",$O383="Blocked"),"BLOCKED","OK"))))</f>
        <v/>
      </c>
    </row>
    <row r="384">
      <c r="A384" s="21">
        <f>Deployments!H372</f>
        <v/>
      </c>
      <c r="B384" s="21">
        <f>Deployments!X372</f>
        <v/>
      </c>
      <c r="C384" s="21">
        <f>Deployments!Y372</f>
        <v/>
      </c>
      <c r="D384" s="14">
        <f>Deployments!AO372</f>
        <v/>
      </c>
      <c r="E384" s="14">
        <f>Deployments!N372</f>
        <v/>
      </c>
      <c r="F384" s="21">
        <f>Deployments!O372</f>
        <v/>
      </c>
      <c r="G384" s="14">
        <f>Deployments!P372</f>
        <v/>
      </c>
      <c r="H384" s="14">
        <f>'13 - Config_Intake_View'!M384</f>
        <v/>
      </c>
      <c r="I384" s="21">
        <f>IF('13 - Config_Intake_View'!Q384&lt;&gt;"",'13 - Config_Intake_View'!Q384,Deployments!AG372)</f>
        <v/>
      </c>
      <c r="J384" s="14">
        <f>IF('13 - Config_Intake_View'!Q384&lt;&gt;"","PM Approved",IF(Deployments!AG372&lt;&gt;"","Assumed",""))</f>
        <v/>
      </c>
      <c r="K384" s="21">
        <f>Deployments!AF372</f>
        <v/>
      </c>
      <c r="L384" s="14">
        <f>Deployments!U372</f>
        <v/>
      </c>
      <c r="M384" s="14">
        <f>Deployments!L372</f>
        <v/>
      </c>
      <c r="N384" s="14">
        <f>Deployments!CC372</f>
        <v/>
      </c>
      <c r="O384" s="21">
        <f>Deployments!CD372</f>
        <v/>
      </c>
      <c r="P384" s="2">
        <f>Deployments!BX372</f>
        <v/>
      </c>
      <c r="Q384" s="21">
        <f>IF(OR($A384="",$B384="",$D384=""),"MISSING CORE FIELDS","")</f>
        <v/>
      </c>
      <c r="R384" s="14">
        <f>IF(AND($I384&lt;&gt;"",$K384&lt;&gt;"Yes"),"SW NOT INSTALLED","")</f>
        <v/>
      </c>
      <c r="S384" s="14">
        <f>IF(AND($H384&lt;&gt;"",ISNUMBER(SEARCH("auto",LOWER($H384))),$F384=""),"AUTOLOGON REQUIRED","")</f>
        <v/>
      </c>
      <c r="T384" s="14">
        <f>IF($Q384&lt;&gt;"",$Q384,IF($S384&lt;&gt;"",$S384,IF($R384&lt;&gt;"",$R384,IF(OR($N384&lt;&gt;"",$O384="Blocked"),"BLOCKED","OK"))))</f>
        <v/>
      </c>
    </row>
    <row r="385">
      <c r="A385" s="21">
        <f>Deployments!H373</f>
        <v/>
      </c>
      <c r="B385" s="21">
        <f>Deployments!X373</f>
        <v/>
      </c>
      <c r="C385" s="21">
        <f>Deployments!Y373</f>
        <v/>
      </c>
      <c r="D385" s="14">
        <f>Deployments!AO373</f>
        <v/>
      </c>
      <c r="E385" s="14">
        <f>Deployments!N373</f>
        <v/>
      </c>
      <c r="F385" s="21">
        <f>Deployments!O373</f>
        <v/>
      </c>
      <c r="G385" s="14">
        <f>Deployments!P373</f>
        <v/>
      </c>
      <c r="H385" s="14">
        <f>'13 - Config_Intake_View'!M385</f>
        <v/>
      </c>
      <c r="I385" s="21">
        <f>IF('13 - Config_Intake_View'!Q385&lt;&gt;"",'13 - Config_Intake_View'!Q385,Deployments!AG373)</f>
        <v/>
      </c>
      <c r="J385" s="14">
        <f>IF('13 - Config_Intake_View'!Q385&lt;&gt;"","PM Approved",IF(Deployments!AG373&lt;&gt;"","Assumed",""))</f>
        <v/>
      </c>
      <c r="K385" s="21">
        <f>Deployments!AF373</f>
        <v/>
      </c>
      <c r="L385" s="14">
        <f>Deployments!U373</f>
        <v/>
      </c>
      <c r="M385" s="14">
        <f>Deployments!L373</f>
        <v/>
      </c>
      <c r="N385" s="14">
        <f>Deployments!CC373</f>
        <v/>
      </c>
      <c r="O385" s="21">
        <f>Deployments!CD373</f>
        <v/>
      </c>
      <c r="P385" s="2">
        <f>Deployments!BX373</f>
        <v/>
      </c>
      <c r="Q385" s="21">
        <f>IF(OR($A385="",$B385="",$D385=""),"MISSING CORE FIELDS","")</f>
        <v/>
      </c>
      <c r="R385" s="14">
        <f>IF(AND($I385&lt;&gt;"",$K385&lt;&gt;"Yes"),"SW NOT INSTALLED","")</f>
        <v/>
      </c>
      <c r="S385" s="14">
        <f>IF(AND($H385&lt;&gt;"",ISNUMBER(SEARCH("auto",LOWER($H385))),$F385=""),"AUTOLOGON REQUIRED","")</f>
        <v/>
      </c>
      <c r="T385" s="14">
        <f>IF($Q385&lt;&gt;"",$Q385,IF($S385&lt;&gt;"",$S385,IF($R385&lt;&gt;"",$R385,IF(OR($N385&lt;&gt;"",$O385="Blocked"),"BLOCKED","OK"))))</f>
        <v/>
      </c>
    </row>
    <row r="386">
      <c r="A386" s="21">
        <f>Deployments!H374</f>
        <v/>
      </c>
      <c r="B386" s="21">
        <f>Deployments!X374</f>
        <v/>
      </c>
      <c r="C386" s="21">
        <f>Deployments!Y374</f>
        <v/>
      </c>
      <c r="D386" s="14">
        <f>Deployments!AO374</f>
        <v/>
      </c>
      <c r="E386" s="14">
        <f>Deployments!N374</f>
        <v/>
      </c>
      <c r="F386" s="21">
        <f>Deployments!O374</f>
        <v/>
      </c>
      <c r="G386" s="14">
        <f>Deployments!P374</f>
        <v/>
      </c>
      <c r="H386" s="14">
        <f>'13 - Config_Intake_View'!M386</f>
        <v/>
      </c>
      <c r="I386" s="21">
        <f>IF('13 - Config_Intake_View'!Q386&lt;&gt;"",'13 - Config_Intake_View'!Q386,Deployments!AG374)</f>
        <v/>
      </c>
      <c r="J386" s="14">
        <f>IF('13 - Config_Intake_View'!Q386&lt;&gt;"","PM Approved",IF(Deployments!AG374&lt;&gt;"","Assumed",""))</f>
        <v/>
      </c>
      <c r="K386" s="21">
        <f>Deployments!AF374</f>
        <v/>
      </c>
      <c r="L386" s="14">
        <f>Deployments!U374</f>
        <v/>
      </c>
      <c r="M386" s="14">
        <f>Deployments!L374</f>
        <v/>
      </c>
      <c r="N386" s="14">
        <f>Deployments!CC374</f>
        <v/>
      </c>
      <c r="O386" s="21">
        <f>Deployments!CD374</f>
        <v/>
      </c>
      <c r="P386" s="2">
        <f>Deployments!BX374</f>
        <v/>
      </c>
      <c r="Q386" s="21">
        <f>IF(OR($A386="",$B386="",$D386=""),"MISSING CORE FIELDS","")</f>
        <v/>
      </c>
      <c r="R386" s="14">
        <f>IF(AND($I386&lt;&gt;"",$K386&lt;&gt;"Yes"),"SW NOT INSTALLED","")</f>
        <v/>
      </c>
      <c r="S386" s="14">
        <f>IF(AND($H386&lt;&gt;"",ISNUMBER(SEARCH("auto",LOWER($H386))),$F386=""),"AUTOLOGON REQUIRED","")</f>
        <v/>
      </c>
      <c r="T386" s="14">
        <f>IF($Q386&lt;&gt;"",$Q386,IF($S386&lt;&gt;"",$S386,IF($R386&lt;&gt;"",$R386,IF(OR($N386&lt;&gt;"",$O386="Blocked"),"BLOCKED","OK"))))</f>
        <v/>
      </c>
    </row>
    <row r="387">
      <c r="A387" s="21">
        <f>Deployments!H375</f>
        <v/>
      </c>
      <c r="B387" s="21">
        <f>Deployments!X375</f>
        <v/>
      </c>
      <c r="C387" s="21">
        <f>Deployments!Y375</f>
        <v/>
      </c>
      <c r="D387" s="14">
        <f>Deployments!AO375</f>
        <v/>
      </c>
      <c r="E387" s="14">
        <f>Deployments!N375</f>
        <v/>
      </c>
      <c r="F387" s="21">
        <f>Deployments!O375</f>
        <v/>
      </c>
      <c r="G387" s="14">
        <f>Deployments!P375</f>
        <v/>
      </c>
      <c r="H387" s="14">
        <f>'13 - Config_Intake_View'!M387</f>
        <v/>
      </c>
      <c r="I387" s="21">
        <f>IF('13 - Config_Intake_View'!Q387&lt;&gt;"",'13 - Config_Intake_View'!Q387,Deployments!AG375)</f>
        <v/>
      </c>
      <c r="J387" s="14">
        <f>IF('13 - Config_Intake_View'!Q387&lt;&gt;"","PM Approved",IF(Deployments!AG375&lt;&gt;"","Assumed",""))</f>
        <v/>
      </c>
      <c r="K387" s="21">
        <f>Deployments!AF375</f>
        <v/>
      </c>
      <c r="L387" s="14">
        <f>Deployments!U375</f>
        <v/>
      </c>
      <c r="M387" s="14">
        <f>Deployments!L375</f>
        <v/>
      </c>
      <c r="N387" s="14">
        <f>Deployments!CC375</f>
        <v/>
      </c>
      <c r="O387" s="21">
        <f>Deployments!CD375</f>
        <v/>
      </c>
      <c r="P387" s="2">
        <f>Deployments!BX375</f>
        <v/>
      </c>
      <c r="Q387" s="21">
        <f>IF(OR($A387="",$B387="",$D387=""),"MISSING CORE FIELDS","")</f>
        <v/>
      </c>
      <c r="R387" s="14">
        <f>IF(AND($I387&lt;&gt;"",$K387&lt;&gt;"Yes"),"SW NOT INSTALLED","")</f>
        <v/>
      </c>
      <c r="S387" s="14">
        <f>IF(AND($H387&lt;&gt;"",ISNUMBER(SEARCH("auto",LOWER($H387))),$F387=""),"AUTOLOGON REQUIRED","")</f>
        <v/>
      </c>
      <c r="T387" s="14">
        <f>IF($Q387&lt;&gt;"",$Q387,IF($S387&lt;&gt;"",$S387,IF($R387&lt;&gt;"",$R387,IF(OR($N387&lt;&gt;"",$O387="Blocked"),"BLOCKED","OK"))))</f>
        <v/>
      </c>
    </row>
    <row r="388">
      <c r="A388" s="21">
        <f>Deployments!H376</f>
        <v/>
      </c>
      <c r="B388" s="21">
        <f>Deployments!X376</f>
        <v/>
      </c>
      <c r="C388" s="21">
        <f>Deployments!Y376</f>
        <v/>
      </c>
      <c r="D388" s="14">
        <f>Deployments!AO376</f>
        <v/>
      </c>
      <c r="E388" s="14">
        <f>Deployments!N376</f>
        <v/>
      </c>
      <c r="F388" s="21">
        <f>Deployments!O376</f>
        <v/>
      </c>
      <c r="G388" s="14">
        <f>Deployments!P376</f>
        <v/>
      </c>
      <c r="H388" s="14">
        <f>'13 - Config_Intake_View'!M388</f>
        <v/>
      </c>
      <c r="I388" s="21">
        <f>IF('13 - Config_Intake_View'!Q388&lt;&gt;"",'13 - Config_Intake_View'!Q388,Deployments!AG376)</f>
        <v/>
      </c>
      <c r="J388" s="14">
        <f>IF('13 - Config_Intake_View'!Q388&lt;&gt;"","PM Approved",IF(Deployments!AG376&lt;&gt;"","Assumed",""))</f>
        <v/>
      </c>
      <c r="K388" s="21">
        <f>Deployments!AF376</f>
        <v/>
      </c>
      <c r="L388" s="14">
        <f>Deployments!U376</f>
        <v/>
      </c>
      <c r="M388" s="14">
        <f>Deployments!L376</f>
        <v/>
      </c>
      <c r="N388" s="14">
        <f>Deployments!CC376</f>
        <v/>
      </c>
      <c r="O388" s="21">
        <f>Deployments!CD376</f>
        <v/>
      </c>
      <c r="P388" s="2">
        <f>Deployments!BX376</f>
        <v/>
      </c>
      <c r="Q388" s="21">
        <f>IF(OR($A388="",$B388="",$D388=""),"MISSING CORE FIELDS","")</f>
        <v/>
      </c>
      <c r="R388" s="14">
        <f>IF(AND($I388&lt;&gt;"",$K388&lt;&gt;"Yes"),"SW NOT INSTALLED","")</f>
        <v/>
      </c>
      <c r="S388" s="14">
        <f>IF(AND($H388&lt;&gt;"",ISNUMBER(SEARCH("auto",LOWER($H388))),$F388=""),"AUTOLOGON REQUIRED","")</f>
        <v/>
      </c>
      <c r="T388" s="14">
        <f>IF($Q388&lt;&gt;"",$Q388,IF($S388&lt;&gt;"",$S388,IF($R388&lt;&gt;"",$R388,IF(OR($N388&lt;&gt;"",$O388="Blocked"),"BLOCKED","OK"))))</f>
        <v/>
      </c>
    </row>
    <row r="389">
      <c r="A389" s="21">
        <f>Deployments!H377</f>
        <v/>
      </c>
      <c r="B389" s="21">
        <f>Deployments!X377</f>
        <v/>
      </c>
      <c r="C389" s="21">
        <f>Deployments!Y377</f>
        <v/>
      </c>
      <c r="D389" s="14">
        <f>Deployments!AO377</f>
        <v/>
      </c>
      <c r="E389" s="14">
        <f>Deployments!N377</f>
        <v/>
      </c>
      <c r="F389" s="21">
        <f>Deployments!O377</f>
        <v/>
      </c>
      <c r="G389" s="14">
        <f>Deployments!P377</f>
        <v/>
      </c>
      <c r="H389" s="14">
        <f>'13 - Config_Intake_View'!M389</f>
        <v/>
      </c>
      <c r="I389" s="21">
        <f>IF('13 - Config_Intake_View'!Q389&lt;&gt;"",'13 - Config_Intake_View'!Q389,Deployments!AG377)</f>
        <v/>
      </c>
      <c r="J389" s="14">
        <f>IF('13 - Config_Intake_View'!Q389&lt;&gt;"","PM Approved",IF(Deployments!AG377&lt;&gt;"","Assumed",""))</f>
        <v/>
      </c>
      <c r="K389" s="21">
        <f>Deployments!AF377</f>
        <v/>
      </c>
      <c r="L389" s="14">
        <f>Deployments!U377</f>
        <v/>
      </c>
      <c r="M389" s="14">
        <f>Deployments!L377</f>
        <v/>
      </c>
      <c r="N389" s="14">
        <f>Deployments!CC377</f>
        <v/>
      </c>
      <c r="O389" s="21">
        <f>Deployments!CD377</f>
        <v/>
      </c>
      <c r="P389" s="2">
        <f>Deployments!BX377</f>
        <v/>
      </c>
      <c r="Q389" s="21">
        <f>IF(OR($A389="",$B389="",$D389=""),"MISSING CORE FIELDS","")</f>
        <v/>
      </c>
      <c r="R389" s="14">
        <f>IF(AND($I389&lt;&gt;"",$K389&lt;&gt;"Yes"),"SW NOT INSTALLED","")</f>
        <v/>
      </c>
      <c r="S389" s="14">
        <f>IF(AND($H389&lt;&gt;"",ISNUMBER(SEARCH("auto",LOWER($H389))),$F389=""),"AUTOLOGON REQUIRED","")</f>
        <v/>
      </c>
      <c r="T389" s="14">
        <f>IF($Q389&lt;&gt;"",$Q389,IF($S389&lt;&gt;"",$S389,IF($R389&lt;&gt;"",$R389,IF(OR($N389&lt;&gt;"",$O389="Blocked"),"BLOCKED","OK"))))</f>
        <v/>
      </c>
    </row>
    <row r="390">
      <c r="A390" s="21">
        <f>Deployments!H378</f>
        <v/>
      </c>
      <c r="B390" s="21">
        <f>Deployments!X378</f>
        <v/>
      </c>
      <c r="C390" s="21">
        <f>Deployments!Y378</f>
        <v/>
      </c>
      <c r="D390" s="14">
        <f>Deployments!AO378</f>
        <v/>
      </c>
      <c r="E390" s="14">
        <f>Deployments!N378</f>
        <v/>
      </c>
      <c r="F390" s="21">
        <f>Deployments!O378</f>
        <v/>
      </c>
      <c r="G390" s="14">
        <f>Deployments!P378</f>
        <v/>
      </c>
      <c r="H390" s="14">
        <f>'13 - Config_Intake_View'!M390</f>
        <v/>
      </c>
      <c r="I390" s="21">
        <f>IF('13 - Config_Intake_View'!Q390&lt;&gt;"",'13 - Config_Intake_View'!Q390,Deployments!AG378)</f>
        <v/>
      </c>
      <c r="J390" s="14">
        <f>IF('13 - Config_Intake_View'!Q390&lt;&gt;"","PM Approved",IF(Deployments!AG378&lt;&gt;"","Assumed",""))</f>
        <v/>
      </c>
      <c r="K390" s="21">
        <f>Deployments!AF378</f>
        <v/>
      </c>
      <c r="L390" s="14">
        <f>Deployments!U378</f>
        <v/>
      </c>
      <c r="M390" s="14">
        <f>Deployments!L378</f>
        <v/>
      </c>
      <c r="N390" s="14">
        <f>Deployments!CC378</f>
        <v/>
      </c>
      <c r="O390" s="21">
        <f>Deployments!CD378</f>
        <v/>
      </c>
      <c r="P390" s="2">
        <f>Deployments!BX378</f>
        <v/>
      </c>
      <c r="Q390" s="21">
        <f>IF(OR($A390="",$B390="",$D390=""),"MISSING CORE FIELDS","")</f>
        <v/>
      </c>
      <c r="R390" s="14">
        <f>IF(AND($I390&lt;&gt;"",$K390&lt;&gt;"Yes"),"SW NOT INSTALLED","")</f>
        <v/>
      </c>
      <c r="S390" s="14">
        <f>IF(AND($H390&lt;&gt;"",ISNUMBER(SEARCH("auto",LOWER($H390))),$F390=""),"AUTOLOGON REQUIRED","")</f>
        <v/>
      </c>
      <c r="T390" s="14">
        <f>IF($Q390&lt;&gt;"",$Q390,IF($S390&lt;&gt;"",$S390,IF($R390&lt;&gt;"",$R390,IF(OR($N390&lt;&gt;"",$O390="Blocked"),"BLOCKED","OK"))))</f>
        <v/>
      </c>
    </row>
    <row r="391">
      <c r="A391" s="21">
        <f>Deployments!H379</f>
        <v/>
      </c>
      <c r="B391" s="21">
        <f>Deployments!X379</f>
        <v/>
      </c>
      <c r="C391" s="21">
        <f>Deployments!Y379</f>
        <v/>
      </c>
      <c r="D391" s="14">
        <f>Deployments!AO379</f>
        <v/>
      </c>
      <c r="E391" s="14">
        <f>Deployments!N379</f>
        <v/>
      </c>
      <c r="F391" s="21">
        <f>Deployments!O379</f>
        <v/>
      </c>
      <c r="G391" s="14">
        <f>Deployments!P379</f>
        <v/>
      </c>
      <c r="H391" s="14">
        <f>'13 - Config_Intake_View'!M391</f>
        <v/>
      </c>
      <c r="I391" s="21">
        <f>IF('13 - Config_Intake_View'!Q391&lt;&gt;"",'13 - Config_Intake_View'!Q391,Deployments!AG379)</f>
        <v/>
      </c>
      <c r="J391" s="14">
        <f>IF('13 - Config_Intake_View'!Q391&lt;&gt;"","PM Approved",IF(Deployments!AG379&lt;&gt;"","Assumed",""))</f>
        <v/>
      </c>
      <c r="K391" s="21">
        <f>Deployments!AF379</f>
        <v/>
      </c>
      <c r="L391" s="14">
        <f>Deployments!U379</f>
        <v/>
      </c>
      <c r="M391" s="14">
        <f>Deployments!L379</f>
        <v/>
      </c>
      <c r="N391" s="14">
        <f>Deployments!CC379</f>
        <v/>
      </c>
      <c r="O391" s="21">
        <f>Deployments!CD379</f>
        <v/>
      </c>
      <c r="P391" s="2">
        <f>Deployments!BX379</f>
        <v/>
      </c>
      <c r="Q391" s="21">
        <f>IF(OR($A391="",$B391="",$D391=""),"MISSING CORE FIELDS","")</f>
        <v/>
      </c>
      <c r="R391" s="14">
        <f>IF(AND($I391&lt;&gt;"",$K391&lt;&gt;"Yes"),"SW NOT INSTALLED","")</f>
        <v/>
      </c>
      <c r="S391" s="14">
        <f>IF(AND($H391&lt;&gt;"",ISNUMBER(SEARCH("auto",LOWER($H391))),$F391=""),"AUTOLOGON REQUIRED","")</f>
        <v/>
      </c>
      <c r="T391" s="14">
        <f>IF($Q391&lt;&gt;"",$Q391,IF($S391&lt;&gt;"",$S391,IF($R391&lt;&gt;"",$R391,IF(OR($N391&lt;&gt;"",$O391="Blocked"),"BLOCKED","OK"))))</f>
        <v/>
      </c>
    </row>
    <row r="392">
      <c r="A392" s="21">
        <f>Deployments!H380</f>
        <v/>
      </c>
      <c r="B392" s="21">
        <f>Deployments!X380</f>
        <v/>
      </c>
      <c r="C392" s="21">
        <f>Deployments!Y380</f>
        <v/>
      </c>
      <c r="D392" s="14">
        <f>Deployments!AO380</f>
        <v/>
      </c>
      <c r="E392" s="14">
        <f>Deployments!N380</f>
        <v/>
      </c>
      <c r="F392" s="21">
        <f>Deployments!O380</f>
        <v/>
      </c>
      <c r="G392" s="14">
        <f>Deployments!P380</f>
        <v/>
      </c>
      <c r="H392" s="14">
        <f>'13 - Config_Intake_View'!M392</f>
        <v/>
      </c>
      <c r="I392" s="21">
        <f>IF('13 - Config_Intake_View'!Q392&lt;&gt;"",'13 - Config_Intake_View'!Q392,Deployments!AG380)</f>
        <v/>
      </c>
      <c r="J392" s="14">
        <f>IF('13 - Config_Intake_View'!Q392&lt;&gt;"","PM Approved",IF(Deployments!AG380&lt;&gt;"","Assumed",""))</f>
        <v/>
      </c>
      <c r="K392" s="21">
        <f>Deployments!AF380</f>
        <v/>
      </c>
      <c r="L392" s="14">
        <f>Deployments!U380</f>
        <v/>
      </c>
      <c r="M392" s="14">
        <f>Deployments!L380</f>
        <v/>
      </c>
      <c r="N392" s="14">
        <f>Deployments!CC380</f>
        <v/>
      </c>
      <c r="O392" s="21">
        <f>Deployments!CD380</f>
        <v/>
      </c>
      <c r="P392" s="2">
        <f>Deployments!BX380</f>
        <v/>
      </c>
      <c r="Q392" s="21">
        <f>IF(OR($A392="",$B392="",$D392=""),"MISSING CORE FIELDS","")</f>
        <v/>
      </c>
      <c r="R392" s="14">
        <f>IF(AND($I392&lt;&gt;"",$K392&lt;&gt;"Yes"),"SW NOT INSTALLED","")</f>
        <v/>
      </c>
      <c r="S392" s="14">
        <f>IF(AND($H392&lt;&gt;"",ISNUMBER(SEARCH("auto",LOWER($H392))),$F392=""),"AUTOLOGON REQUIRED","")</f>
        <v/>
      </c>
      <c r="T392" s="14">
        <f>IF($Q392&lt;&gt;"",$Q392,IF($S392&lt;&gt;"",$S392,IF($R392&lt;&gt;"",$R392,IF(OR($N392&lt;&gt;"",$O392="Blocked"),"BLOCKED","OK"))))</f>
        <v/>
      </c>
    </row>
    <row r="393">
      <c r="A393" s="21">
        <f>Deployments!H381</f>
        <v/>
      </c>
      <c r="B393" s="21">
        <f>Deployments!X381</f>
        <v/>
      </c>
      <c r="C393" s="21">
        <f>Deployments!Y381</f>
        <v/>
      </c>
      <c r="D393" s="14">
        <f>Deployments!AO381</f>
        <v/>
      </c>
      <c r="E393" s="14">
        <f>Deployments!N381</f>
        <v/>
      </c>
      <c r="F393" s="21">
        <f>Deployments!O381</f>
        <v/>
      </c>
      <c r="G393" s="14">
        <f>Deployments!P381</f>
        <v/>
      </c>
      <c r="H393" s="14">
        <f>'13 - Config_Intake_View'!M393</f>
        <v/>
      </c>
      <c r="I393" s="21">
        <f>IF('13 - Config_Intake_View'!Q393&lt;&gt;"",'13 - Config_Intake_View'!Q393,Deployments!AG381)</f>
        <v/>
      </c>
      <c r="J393" s="14">
        <f>IF('13 - Config_Intake_View'!Q393&lt;&gt;"","PM Approved",IF(Deployments!AG381&lt;&gt;"","Assumed",""))</f>
        <v/>
      </c>
      <c r="K393" s="21">
        <f>Deployments!AF381</f>
        <v/>
      </c>
      <c r="L393" s="14">
        <f>Deployments!U381</f>
        <v/>
      </c>
      <c r="M393" s="14">
        <f>Deployments!L381</f>
        <v/>
      </c>
      <c r="N393" s="14">
        <f>Deployments!CC381</f>
        <v/>
      </c>
      <c r="O393" s="21">
        <f>Deployments!CD381</f>
        <v/>
      </c>
      <c r="P393" s="2">
        <f>Deployments!BX381</f>
        <v/>
      </c>
      <c r="Q393" s="21">
        <f>IF(OR($A393="",$B393="",$D393=""),"MISSING CORE FIELDS","")</f>
        <v/>
      </c>
      <c r="R393" s="14">
        <f>IF(AND($I393&lt;&gt;"",$K393&lt;&gt;"Yes"),"SW NOT INSTALLED","")</f>
        <v/>
      </c>
      <c r="S393" s="14">
        <f>IF(AND($H393&lt;&gt;"",ISNUMBER(SEARCH("auto",LOWER($H393))),$F393=""),"AUTOLOGON REQUIRED","")</f>
        <v/>
      </c>
      <c r="T393" s="14">
        <f>IF($Q393&lt;&gt;"",$Q393,IF($S393&lt;&gt;"",$S393,IF($R393&lt;&gt;"",$R393,IF(OR($N393&lt;&gt;"",$O393="Blocked"),"BLOCKED","OK"))))</f>
        <v/>
      </c>
    </row>
    <row r="394">
      <c r="A394" s="21">
        <f>Deployments!H382</f>
        <v/>
      </c>
      <c r="B394" s="21">
        <f>Deployments!X382</f>
        <v/>
      </c>
      <c r="C394" s="21">
        <f>Deployments!Y382</f>
        <v/>
      </c>
      <c r="D394" s="14">
        <f>Deployments!AO382</f>
        <v/>
      </c>
      <c r="E394" s="14">
        <f>Deployments!N382</f>
        <v/>
      </c>
      <c r="F394" s="21">
        <f>Deployments!O382</f>
        <v/>
      </c>
      <c r="G394" s="14">
        <f>Deployments!P382</f>
        <v/>
      </c>
      <c r="H394" s="14">
        <f>'13 - Config_Intake_View'!M394</f>
        <v/>
      </c>
      <c r="I394" s="21">
        <f>IF('13 - Config_Intake_View'!Q394&lt;&gt;"",'13 - Config_Intake_View'!Q394,Deployments!AG382)</f>
        <v/>
      </c>
      <c r="J394" s="14">
        <f>IF('13 - Config_Intake_View'!Q394&lt;&gt;"","PM Approved",IF(Deployments!AG382&lt;&gt;"","Assumed",""))</f>
        <v/>
      </c>
      <c r="K394" s="21">
        <f>Deployments!AF382</f>
        <v/>
      </c>
      <c r="L394" s="14">
        <f>Deployments!U382</f>
        <v/>
      </c>
      <c r="M394" s="14">
        <f>Deployments!L382</f>
        <v/>
      </c>
      <c r="N394" s="14">
        <f>Deployments!CC382</f>
        <v/>
      </c>
      <c r="O394" s="21">
        <f>Deployments!CD382</f>
        <v/>
      </c>
      <c r="P394" s="2">
        <f>Deployments!BX382</f>
        <v/>
      </c>
      <c r="Q394" s="21">
        <f>IF(OR($A394="",$B394="",$D394=""),"MISSING CORE FIELDS","")</f>
        <v/>
      </c>
      <c r="R394" s="14">
        <f>IF(AND($I394&lt;&gt;"",$K394&lt;&gt;"Yes"),"SW NOT INSTALLED","")</f>
        <v/>
      </c>
      <c r="S394" s="14">
        <f>IF(AND($H394&lt;&gt;"",ISNUMBER(SEARCH("auto",LOWER($H394))),$F394=""),"AUTOLOGON REQUIRED","")</f>
        <v/>
      </c>
      <c r="T394" s="14">
        <f>IF($Q394&lt;&gt;"",$Q394,IF($S394&lt;&gt;"",$S394,IF($R394&lt;&gt;"",$R394,IF(OR($N394&lt;&gt;"",$O394="Blocked"),"BLOCKED","OK"))))</f>
        <v/>
      </c>
    </row>
    <row r="395">
      <c r="A395" s="21">
        <f>Deployments!H383</f>
        <v/>
      </c>
      <c r="B395" s="21">
        <f>Deployments!X383</f>
        <v/>
      </c>
      <c r="C395" s="21">
        <f>Deployments!Y383</f>
        <v/>
      </c>
      <c r="D395" s="14">
        <f>Deployments!AO383</f>
        <v/>
      </c>
      <c r="E395" s="14">
        <f>Deployments!N383</f>
        <v/>
      </c>
      <c r="F395" s="21">
        <f>Deployments!O383</f>
        <v/>
      </c>
      <c r="G395" s="14">
        <f>Deployments!P383</f>
        <v/>
      </c>
      <c r="H395" s="14">
        <f>'13 - Config_Intake_View'!M395</f>
        <v/>
      </c>
      <c r="I395" s="21">
        <f>IF('13 - Config_Intake_View'!Q395&lt;&gt;"",'13 - Config_Intake_View'!Q395,Deployments!AG383)</f>
        <v/>
      </c>
      <c r="J395" s="14">
        <f>IF('13 - Config_Intake_View'!Q395&lt;&gt;"","PM Approved",IF(Deployments!AG383&lt;&gt;"","Assumed",""))</f>
        <v/>
      </c>
      <c r="K395" s="21">
        <f>Deployments!AF383</f>
        <v/>
      </c>
      <c r="L395" s="14">
        <f>Deployments!U383</f>
        <v/>
      </c>
      <c r="M395" s="14">
        <f>Deployments!L383</f>
        <v/>
      </c>
      <c r="N395" s="14">
        <f>Deployments!CC383</f>
        <v/>
      </c>
      <c r="O395" s="21">
        <f>Deployments!CD383</f>
        <v/>
      </c>
      <c r="P395" s="2">
        <f>Deployments!BX383</f>
        <v/>
      </c>
      <c r="Q395" s="21">
        <f>IF(OR($A395="",$B395="",$D395=""),"MISSING CORE FIELDS","")</f>
        <v/>
      </c>
      <c r="R395" s="14">
        <f>IF(AND($I395&lt;&gt;"",$K395&lt;&gt;"Yes"),"SW NOT INSTALLED","")</f>
        <v/>
      </c>
      <c r="S395" s="14">
        <f>IF(AND($H395&lt;&gt;"",ISNUMBER(SEARCH("auto",LOWER($H395))),$F395=""),"AUTOLOGON REQUIRED","")</f>
        <v/>
      </c>
      <c r="T395" s="14">
        <f>IF($Q395&lt;&gt;"",$Q395,IF($S395&lt;&gt;"",$S395,IF($R395&lt;&gt;"",$R395,IF(OR($N395&lt;&gt;"",$O395="Blocked"),"BLOCKED","OK"))))</f>
        <v/>
      </c>
    </row>
    <row r="396">
      <c r="A396" s="21">
        <f>Deployments!H384</f>
        <v/>
      </c>
      <c r="B396" s="21">
        <f>Deployments!X384</f>
        <v/>
      </c>
      <c r="C396" s="21">
        <f>Deployments!Y384</f>
        <v/>
      </c>
      <c r="D396" s="14">
        <f>Deployments!AO384</f>
        <v/>
      </c>
      <c r="E396" s="14">
        <f>Deployments!N384</f>
        <v/>
      </c>
      <c r="F396" s="21">
        <f>Deployments!O384</f>
        <v/>
      </c>
      <c r="G396" s="14">
        <f>Deployments!P384</f>
        <v/>
      </c>
      <c r="H396" s="14">
        <f>'13 - Config_Intake_View'!M396</f>
        <v/>
      </c>
      <c r="I396" s="21">
        <f>IF('13 - Config_Intake_View'!Q396&lt;&gt;"",'13 - Config_Intake_View'!Q396,Deployments!AG384)</f>
        <v/>
      </c>
      <c r="J396" s="14">
        <f>IF('13 - Config_Intake_View'!Q396&lt;&gt;"","PM Approved",IF(Deployments!AG384&lt;&gt;"","Assumed",""))</f>
        <v/>
      </c>
      <c r="K396" s="21">
        <f>Deployments!AF384</f>
        <v/>
      </c>
      <c r="L396" s="14">
        <f>Deployments!U384</f>
        <v/>
      </c>
      <c r="M396" s="14">
        <f>Deployments!L384</f>
        <v/>
      </c>
      <c r="N396" s="14">
        <f>Deployments!CC384</f>
        <v/>
      </c>
      <c r="O396" s="21">
        <f>Deployments!CD384</f>
        <v/>
      </c>
      <c r="P396" s="2">
        <f>Deployments!BX384</f>
        <v/>
      </c>
      <c r="Q396" s="21">
        <f>IF(OR($A396="",$B396="",$D396=""),"MISSING CORE FIELDS","")</f>
        <v/>
      </c>
      <c r="R396" s="14">
        <f>IF(AND($I396&lt;&gt;"",$K396&lt;&gt;"Yes"),"SW NOT INSTALLED","")</f>
        <v/>
      </c>
      <c r="S396" s="14">
        <f>IF(AND($H396&lt;&gt;"",ISNUMBER(SEARCH("auto",LOWER($H396))),$F396=""),"AUTOLOGON REQUIRED","")</f>
        <v/>
      </c>
      <c r="T396" s="14">
        <f>IF($Q396&lt;&gt;"",$Q396,IF($S396&lt;&gt;"",$S396,IF($R396&lt;&gt;"",$R396,IF(OR($N396&lt;&gt;"",$O396="Blocked"),"BLOCKED","OK"))))</f>
        <v/>
      </c>
    </row>
    <row r="397">
      <c r="A397" s="21">
        <f>Deployments!H385</f>
        <v/>
      </c>
      <c r="B397" s="21">
        <f>Deployments!X385</f>
        <v/>
      </c>
      <c r="C397" s="21">
        <f>Deployments!Y385</f>
        <v/>
      </c>
      <c r="D397" s="14">
        <f>Deployments!AO385</f>
        <v/>
      </c>
      <c r="E397" s="14">
        <f>Deployments!N385</f>
        <v/>
      </c>
      <c r="F397" s="21">
        <f>Deployments!O385</f>
        <v/>
      </c>
      <c r="G397" s="14">
        <f>Deployments!P385</f>
        <v/>
      </c>
      <c r="H397" s="14">
        <f>'13 - Config_Intake_View'!M397</f>
        <v/>
      </c>
      <c r="I397" s="21">
        <f>IF('13 - Config_Intake_View'!Q397&lt;&gt;"",'13 - Config_Intake_View'!Q397,Deployments!AG385)</f>
        <v/>
      </c>
      <c r="J397" s="14">
        <f>IF('13 - Config_Intake_View'!Q397&lt;&gt;"","PM Approved",IF(Deployments!AG385&lt;&gt;"","Assumed",""))</f>
        <v/>
      </c>
      <c r="K397" s="21">
        <f>Deployments!AF385</f>
        <v/>
      </c>
      <c r="L397" s="14">
        <f>Deployments!U385</f>
        <v/>
      </c>
      <c r="M397" s="14">
        <f>Deployments!L385</f>
        <v/>
      </c>
      <c r="N397" s="14">
        <f>Deployments!CC385</f>
        <v/>
      </c>
      <c r="O397" s="21">
        <f>Deployments!CD385</f>
        <v/>
      </c>
      <c r="P397" s="2">
        <f>Deployments!BX385</f>
        <v/>
      </c>
      <c r="Q397" s="21">
        <f>IF(OR($A397="",$B397="",$D397=""),"MISSING CORE FIELDS","")</f>
        <v/>
      </c>
      <c r="R397" s="14">
        <f>IF(AND($I397&lt;&gt;"",$K397&lt;&gt;"Yes"),"SW NOT INSTALLED","")</f>
        <v/>
      </c>
      <c r="S397" s="14">
        <f>IF(AND($H397&lt;&gt;"",ISNUMBER(SEARCH("auto",LOWER($H397))),$F397=""),"AUTOLOGON REQUIRED","")</f>
        <v/>
      </c>
      <c r="T397" s="14">
        <f>IF($Q397&lt;&gt;"",$Q397,IF($S397&lt;&gt;"",$S397,IF($R397&lt;&gt;"",$R397,IF(OR($N397&lt;&gt;"",$O397="Blocked"),"BLOCKED","OK"))))</f>
        <v/>
      </c>
    </row>
    <row r="398">
      <c r="A398" s="21">
        <f>Deployments!H386</f>
        <v/>
      </c>
      <c r="B398" s="21">
        <f>Deployments!X386</f>
        <v/>
      </c>
      <c r="C398" s="21">
        <f>Deployments!Y386</f>
        <v/>
      </c>
      <c r="D398" s="14">
        <f>Deployments!AO386</f>
        <v/>
      </c>
      <c r="E398" s="14">
        <f>Deployments!N386</f>
        <v/>
      </c>
      <c r="F398" s="21">
        <f>Deployments!O386</f>
        <v/>
      </c>
      <c r="G398" s="14">
        <f>Deployments!P386</f>
        <v/>
      </c>
      <c r="H398" s="14">
        <f>'13 - Config_Intake_View'!M398</f>
        <v/>
      </c>
      <c r="I398" s="21">
        <f>IF('13 - Config_Intake_View'!Q398&lt;&gt;"",'13 - Config_Intake_View'!Q398,Deployments!AG386)</f>
        <v/>
      </c>
      <c r="J398" s="14">
        <f>IF('13 - Config_Intake_View'!Q398&lt;&gt;"","PM Approved",IF(Deployments!AG386&lt;&gt;"","Assumed",""))</f>
        <v/>
      </c>
      <c r="K398" s="21">
        <f>Deployments!AF386</f>
        <v/>
      </c>
      <c r="L398" s="14">
        <f>Deployments!U386</f>
        <v/>
      </c>
      <c r="M398" s="14">
        <f>Deployments!L386</f>
        <v/>
      </c>
      <c r="N398" s="14">
        <f>Deployments!CC386</f>
        <v/>
      </c>
      <c r="O398" s="21">
        <f>Deployments!CD386</f>
        <v/>
      </c>
      <c r="P398" s="2">
        <f>Deployments!BX386</f>
        <v/>
      </c>
      <c r="Q398" s="21">
        <f>IF(OR($A398="",$B398="",$D398=""),"MISSING CORE FIELDS","")</f>
        <v/>
      </c>
      <c r="R398" s="14">
        <f>IF(AND($I398&lt;&gt;"",$K398&lt;&gt;"Yes"),"SW NOT INSTALLED","")</f>
        <v/>
      </c>
      <c r="S398" s="14">
        <f>IF(AND($H398&lt;&gt;"",ISNUMBER(SEARCH("auto",LOWER($H398))),$F398=""),"AUTOLOGON REQUIRED","")</f>
        <v/>
      </c>
      <c r="T398" s="14">
        <f>IF($Q398&lt;&gt;"",$Q398,IF($S398&lt;&gt;"",$S398,IF($R398&lt;&gt;"",$R398,IF(OR($N398&lt;&gt;"",$O398="Blocked"),"BLOCKED","OK"))))</f>
        <v/>
      </c>
    </row>
    <row r="399">
      <c r="A399" s="21">
        <f>Deployments!H387</f>
        <v/>
      </c>
      <c r="B399" s="21">
        <f>Deployments!X387</f>
        <v/>
      </c>
      <c r="C399" s="21">
        <f>Deployments!Y387</f>
        <v/>
      </c>
      <c r="D399" s="14">
        <f>Deployments!AO387</f>
        <v/>
      </c>
      <c r="E399" s="14">
        <f>Deployments!N387</f>
        <v/>
      </c>
      <c r="F399" s="21">
        <f>Deployments!O387</f>
        <v/>
      </c>
      <c r="G399" s="14">
        <f>Deployments!P387</f>
        <v/>
      </c>
      <c r="H399" s="14">
        <f>'13 - Config_Intake_View'!M399</f>
        <v/>
      </c>
      <c r="I399" s="21">
        <f>IF('13 - Config_Intake_View'!Q399&lt;&gt;"",'13 - Config_Intake_View'!Q399,Deployments!AG387)</f>
        <v/>
      </c>
      <c r="J399" s="14">
        <f>IF('13 - Config_Intake_View'!Q399&lt;&gt;"","PM Approved",IF(Deployments!AG387&lt;&gt;"","Assumed",""))</f>
        <v/>
      </c>
      <c r="K399" s="21">
        <f>Deployments!AF387</f>
        <v/>
      </c>
      <c r="L399" s="14">
        <f>Deployments!U387</f>
        <v/>
      </c>
      <c r="M399" s="14">
        <f>Deployments!L387</f>
        <v/>
      </c>
      <c r="N399" s="14">
        <f>Deployments!CC387</f>
        <v/>
      </c>
      <c r="O399" s="21">
        <f>Deployments!CD387</f>
        <v/>
      </c>
      <c r="P399" s="2">
        <f>Deployments!BX387</f>
        <v/>
      </c>
      <c r="Q399" s="21">
        <f>IF(OR($A399="",$B399="",$D399=""),"MISSING CORE FIELDS","")</f>
        <v/>
      </c>
      <c r="R399" s="14">
        <f>IF(AND($I399&lt;&gt;"",$K399&lt;&gt;"Yes"),"SW NOT INSTALLED","")</f>
        <v/>
      </c>
      <c r="S399" s="14">
        <f>IF(AND($H399&lt;&gt;"",ISNUMBER(SEARCH("auto",LOWER($H399))),$F399=""),"AUTOLOGON REQUIRED","")</f>
        <v/>
      </c>
      <c r="T399" s="14">
        <f>IF($Q399&lt;&gt;"",$Q399,IF($S399&lt;&gt;"",$S399,IF($R399&lt;&gt;"",$R399,IF(OR($N399&lt;&gt;"",$O399="Blocked"),"BLOCKED","OK"))))</f>
        <v/>
      </c>
    </row>
    <row r="400">
      <c r="A400" s="21">
        <f>Deployments!H388</f>
        <v/>
      </c>
      <c r="B400" s="21">
        <f>Deployments!X388</f>
        <v/>
      </c>
      <c r="C400" s="21">
        <f>Deployments!Y388</f>
        <v/>
      </c>
      <c r="D400" s="14">
        <f>Deployments!AO388</f>
        <v/>
      </c>
      <c r="E400" s="14">
        <f>Deployments!N388</f>
        <v/>
      </c>
      <c r="F400" s="21">
        <f>Deployments!O388</f>
        <v/>
      </c>
      <c r="G400" s="14">
        <f>Deployments!P388</f>
        <v/>
      </c>
      <c r="H400" s="14">
        <f>'13 - Config_Intake_View'!M400</f>
        <v/>
      </c>
      <c r="I400" s="21">
        <f>IF('13 - Config_Intake_View'!Q400&lt;&gt;"",'13 - Config_Intake_View'!Q400,Deployments!AG388)</f>
        <v/>
      </c>
      <c r="J400" s="14">
        <f>IF('13 - Config_Intake_View'!Q400&lt;&gt;"","PM Approved",IF(Deployments!AG388&lt;&gt;"","Assumed",""))</f>
        <v/>
      </c>
      <c r="K400" s="21">
        <f>Deployments!AF388</f>
        <v/>
      </c>
      <c r="L400" s="14">
        <f>Deployments!U388</f>
        <v/>
      </c>
      <c r="M400" s="14">
        <f>Deployments!L388</f>
        <v/>
      </c>
      <c r="N400" s="14">
        <f>Deployments!CC388</f>
        <v/>
      </c>
      <c r="O400" s="21">
        <f>Deployments!CD388</f>
        <v/>
      </c>
      <c r="P400" s="2">
        <f>Deployments!BX388</f>
        <v/>
      </c>
      <c r="Q400" s="21">
        <f>IF(OR($A400="",$B400="",$D400=""),"MISSING CORE FIELDS","")</f>
        <v/>
      </c>
      <c r="R400" s="14">
        <f>IF(AND($I400&lt;&gt;"",$K400&lt;&gt;"Yes"),"SW NOT INSTALLED","")</f>
        <v/>
      </c>
      <c r="S400" s="14">
        <f>IF(AND($H400&lt;&gt;"",ISNUMBER(SEARCH("auto",LOWER($H400))),$F400=""),"AUTOLOGON REQUIRED","")</f>
        <v/>
      </c>
      <c r="T400" s="14">
        <f>IF($Q400&lt;&gt;"",$Q400,IF($S400&lt;&gt;"",$S400,IF($R400&lt;&gt;"",$R400,IF(OR($N400&lt;&gt;"",$O400="Blocked"),"BLOCKED","OK"))))</f>
        <v/>
      </c>
    </row>
    <row r="401">
      <c r="A401" s="21">
        <f>Deployments!H389</f>
        <v/>
      </c>
      <c r="B401" s="21">
        <f>Deployments!X389</f>
        <v/>
      </c>
      <c r="C401" s="21">
        <f>Deployments!Y389</f>
        <v/>
      </c>
      <c r="D401" s="14">
        <f>Deployments!AO389</f>
        <v/>
      </c>
      <c r="E401" s="14">
        <f>Deployments!N389</f>
        <v/>
      </c>
      <c r="F401" s="21">
        <f>Deployments!O389</f>
        <v/>
      </c>
      <c r="G401" s="14">
        <f>Deployments!P389</f>
        <v/>
      </c>
      <c r="H401" s="14">
        <f>'13 - Config_Intake_View'!M401</f>
        <v/>
      </c>
      <c r="I401" s="21">
        <f>IF('13 - Config_Intake_View'!Q401&lt;&gt;"",'13 - Config_Intake_View'!Q401,Deployments!AG389)</f>
        <v/>
      </c>
      <c r="J401" s="14">
        <f>IF('13 - Config_Intake_View'!Q401&lt;&gt;"","PM Approved",IF(Deployments!AG389&lt;&gt;"","Assumed",""))</f>
        <v/>
      </c>
      <c r="K401" s="21">
        <f>Deployments!AF389</f>
        <v/>
      </c>
      <c r="L401" s="14">
        <f>Deployments!U389</f>
        <v/>
      </c>
      <c r="M401" s="14">
        <f>Deployments!L389</f>
        <v/>
      </c>
      <c r="N401" s="14">
        <f>Deployments!CC389</f>
        <v/>
      </c>
      <c r="O401" s="21">
        <f>Deployments!CD389</f>
        <v/>
      </c>
      <c r="P401" s="2">
        <f>Deployments!BX389</f>
        <v/>
      </c>
      <c r="Q401" s="21">
        <f>IF(OR($A401="",$B401="",$D401=""),"MISSING CORE FIELDS","")</f>
        <v/>
      </c>
      <c r="R401" s="14">
        <f>IF(AND($I401&lt;&gt;"",$K401&lt;&gt;"Yes"),"SW NOT INSTALLED","")</f>
        <v/>
      </c>
      <c r="S401" s="14">
        <f>IF(AND($H401&lt;&gt;"",ISNUMBER(SEARCH("auto",LOWER($H401))),$F401=""),"AUTOLOGON REQUIRED","")</f>
        <v/>
      </c>
      <c r="T401" s="14">
        <f>IF($Q401&lt;&gt;"",$Q401,IF($S401&lt;&gt;"",$S401,IF($R401&lt;&gt;"",$R401,IF(OR($N401&lt;&gt;"",$O401="Blocked"),"BLOCKED","OK"))))</f>
        <v/>
      </c>
    </row>
    <row r="402">
      <c r="A402" s="21">
        <f>Deployments!H390</f>
        <v/>
      </c>
      <c r="B402" s="21">
        <f>Deployments!X390</f>
        <v/>
      </c>
      <c r="C402" s="21">
        <f>Deployments!Y390</f>
        <v/>
      </c>
      <c r="D402" s="14">
        <f>Deployments!AO390</f>
        <v/>
      </c>
      <c r="E402" s="14">
        <f>Deployments!N390</f>
        <v/>
      </c>
      <c r="F402" s="21">
        <f>Deployments!O390</f>
        <v/>
      </c>
      <c r="G402" s="14">
        <f>Deployments!P390</f>
        <v/>
      </c>
      <c r="H402" s="14">
        <f>'13 - Config_Intake_View'!M402</f>
        <v/>
      </c>
      <c r="I402" s="21">
        <f>IF('13 - Config_Intake_View'!Q402&lt;&gt;"",'13 - Config_Intake_View'!Q402,Deployments!AG390)</f>
        <v/>
      </c>
      <c r="J402" s="14">
        <f>IF('13 - Config_Intake_View'!Q402&lt;&gt;"","PM Approved",IF(Deployments!AG390&lt;&gt;"","Assumed",""))</f>
        <v/>
      </c>
      <c r="K402" s="21">
        <f>Deployments!AF390</f>
        <v/>
      </c>
      <c r="L402" s="14">
        <f>Deployments!U390</f>
        <v/>
      </c>
      <c r="M402" s="14">
        <f>Deployments!L390</f>
        <v/>
      </c>
      <c r="N402" s="14">
        <f>Deployments!CC390</f>
        <v/>
      </c>
      <c r="O402" s="21">
        <f>Deployments!CD390</f>
        <v/>
      </c>
      <c r="P402" s="2">
        <f>Deployments!BX390</f>
        <v/>
      </c>
      <c r="Q402" s="21">
        <f>IF(OR($A402="",$B402="",$D402=""),"MISSING CORE FIELDS","")</f>
        <v/>
      </c>
      <c r="R402" s="14">
        <f>IF(AND($I402&lt;&gt;"",$K402&lt;&gt;"Yes"),"SW NOT INSTALLED","")</f>
        <v/>
      </c>
      <c r="S402" s="14">
        <f>IF(AND($H402&lt;&gt;"",ISNUMBER(SEARCH("auto",LOWER($H402))),$F402=""),"AUTOLOGON REQUIRED","")</f>
        <v/>
      </c>
      <c r="T402" s="14">
        <f>IF($Q402&lt;&gt;"",$Q402,IF($S402&lt;&gt;"",$S402,IF($R402&lt;&gt;"",$R402,IF(OR($N402&lt;&gt;"",$O402="Blocked"),"BLOCKED","OK"))))</f>
        <v/>
      </c>
    </row>
    <row r="403">
      <c r="A403" s="21">
        <f>Deployments!H391</f>
        <v/>
      </c>
      <c r="B403" s="21">
        <f>Deployments!X391</f>
        <v/>
      </c>
      <c r="C403" s="21">
        <f>Deployments!Y391</f>
        <v/>
      </c>
      <c r="D403" s="14">
        <f>Deployments!AO391</f>
        <v/>
      </c>
      <c r="E403" s="14">
        <f>Deployments!N391</f>
        <v/>
      </c>
      <c r="F403" s="21">
        <f>Deployments!O391</f>
        <v/>
      </c>
      <c r="G403" s="14">
        <f>Deployments!P391</f>
        <v/>
      </c>
      <c r="H403" s="14">
        <f>'13 - Config_Intake_View'!M403</f>
        <v/>
      </c>
      <c r="I403" s="21">
        <f>IF('13 - Config_Intake_View'!Q403&lt;&gt;"",'13 - Config_Intake_View'!Q403,Deployments!AG391)</f>
        <v/>
      </c>
      <c r="J403" s="14">
        <f>IF('13 - Config_Intake_View'!Q403&lt;&gt;"","PM Approved",IF(Deployments!AG391&lt;&gt;"","Assumed",""))</f>
        <v/>
      </c>
      <c r="K403" s="21">
        <f>Deployments!AF391</f>
        <v/>
      </c>
      <c r="L403" s="14">
        <f>Deployments!U391</f>
        <v/>
      </c>
      <c r="M403" s="14">
        <f>Deployments!L391</f>
        <v/>
      </c>
      <c r="N403" s="14">
        <f>Deployments!CC391</f>
        <v/>
      </c>
      <c r="O403" s="21">
        <f>Deployments!CD391</f>
        <v/>
      </c>
      <c r="P403" s="2">
        <f>Deployments!BX391</f>
        <v/>
      </c>
      <c r="Q403" s="21">
        <f>IF(OR($A403="",$B403="",$D403=""),"MISSING CORE FIELDS","")</f>
        <v/>
      </c>
      <c r="R403" s="14">
        <f>IF(AND($I403&lt;&gt;"",$K403&lt;&gt;"Yes"),"SW NOT INSTALLED","")</f>
        <v/>
      </c>
      <c r="S403" s="14">
        <f>IF(AND($H403&lt;&gt;"",ISNUMBER(SEARCH("auto",LOWER($H403))),$F403=""),"AUTOLOGON REQUIRED","")</f>
        <v/>
      </c>
      <c r="T403" s="14">
        <f>IF($Q403&lt;&gt;"",$Q403,IF($S403&lt;&gt;"",$S403,IF($R403&lt;&gt;"",$R403,IF(OR($N403&lt;&gt;"",$O403="Blocked"),"BLOCKED","OK"))))</f>
        <v/>
      </c>
    </row>
    <row r="404">
      <c r="A404" s="21">
        <f>Deployments!H392</f>
        <v/>
      </c>
      <c r="B404" s="21">
        <f>Deployments!X392</f>
        <v/>
      </c>
      <c r="C404" s="21">
        <f>Deployments!Y392</f>
        <v/>
      </c>
      <c r="D404" s="14">
        <f>Deployments!AO392</f>
        <v/>
      </c>
      <c r="E404" s="14">
        <f>Deployments!N392</f>
        <v/>
      </c>
      <c r="F404" s="21">
        <f>Deployments!O392</f>
        <v/>
      </c>
      <c r="G404" s="14">
        <f>Deployments!P392</f>
        <v/>
      </c>
      <c r="H404" s="14">
        <f>'13 - Config_Intake_View'!M404</f>
        <v/>
      </c>
      <c r="I404" s="21">
        <f>IF('13 - Config_Intake_View'!Q404&lt;&gt;"",'13 - Config_Intake_View'!Q404,Deployments!AG392)</f>
        <v/>
      </c>
      <c r="J404" s="14">
        <f>IF('13 - Config_Intake_View'!Q404&lt;&gt;"","PM Approved",IF(Deployments!AG392&lt;&gt;"","Assumed",""))</f>
        <v/>
      </c>
      <c r="K404" s="21">
        <f>Deployments!AF392</f>
        <v/>
      </c>
      <c r="L404" s="14">
        <f>Deployments!U392</f>
        <v/>
      </c>
      <c r="M404" s="14">
        <f>Deployments!L392</f>
        <v/>
      </c>
      <c r="N404" s="14">
        <f>Deployments!CC392</f>
        <v/>
      </c>
      <c r="O404" s="21">
        <f>Deployments!CD392</f>
        <v/>
      </c>
      <c r="P404" s="2">
        <f>Deployments!BX392</f>
        <v/>
      </c>
      <c r="Q404" s="21">
        <f>IF(OR($A404="",$B404="",$D404=""),"MISSING CORE FIELDS","")</f>
        <v/>
      </c>
      <c r="R404" s="14">
        <f>IF(AND($I404&lt;&gt;"",$K404&lt;&gt;"Yes"),"SW NOT INSTALLED","")</f>
        <v/>
      </c>
      <c r="S404" s="14">
        <f>IF(AND($H404&lt;&gt;"",ISNUMBER(SEARCH("auto",LOWER($H404))),$F404=""),"AUTOLOGON REQUIRED","")</f>
        <v/>
      </c>
      <c r="T404" s="14">
        <f>IF($Q404&lt;&gt;"",$Q404,IF($S404&lt;&gt;"",$S404,IF($R404&lt;&gt;"",$R404,IF(OR($N404&lt;&gt;"",$O404="Blocked"),"BLOCKED","OK"))))</f>
        <v/>
      </c>
    </row>
    <row r="405">
      <c r="A405" s="21">
        <f>Deployments!H393</f>
        <v/>
      </c>
      <c r="B405" s="21">
        <f>Deployments!X393</f>
        <v/>
      </c>
      <c r="C405" s="21">
        <f>Deployments!Y393</f>
        <v/>
      </c>
      <c r="D405" s="14">
        <f>Deployments!AO393</f>
        <v/>
      </c>
      <c r="E405" s="14">
        <f>Deployments!N393</f>
        <v/>
      </c>
      <c r="F405" s="21">
        <f>Deployments!O393</f>
        <v/>
      </c>
      <c r="G405" s="14">
        <f>Deployments!P393</f>
        <v/>
      </c>
      <c r="H405" s="14">
        <f>'13 - Config_Intake_View'!M405</f>
        <v/>
      </c>
      <c r="I405" s="21">
        <f>IF('13 - Config_Intake_View'!Q405&lt;&gt;"",'13 - Config_Intake_View'!Q405,Deployments!AG393)</f>
        <v/>
      </c>
      <c r="J405" s="14">
        <f>IF('13 - Config_Intake_View'!Q405&lt;&gt;"","PM Approved",IF(Deployments!AG393&lt;&gt;"","Assumed",""))</f>
        <v/>
      </c>
      <c r="K405" s="21">
        <f>Deployments!AF393</f>
        <v/>
      </c>
      <c r="L405" s="14">
        <f>Deployments!U393</f>
        <v/>
      </c>
      <c r="M405" s="14">
        <f>Deployments!L393</f>
        <v/>
      </c>
      <c r="N405" s="14">
        <f>Deployments!CC393</f>
        <v/>
      </c>
      <c r="O405" s="21">
        <f>Deployments!CD393</f>
        <v/>
      </c>
      <c r="P405" s="2">
        <f>Deployments!BX393</f>
        <v/>
      </c>
      <c r="Q405" s="21">
        <f>IF(OR($A405="",$B405="",$D405=""),"MISSING CORE FIELDS","")</f>
        <v/>
      </c>
      <c r="R405" s="14">
        <f>IF(AND($I405&lt;&gt;"",$K405&lt;&gt;"Yes"),"SW NOT INSTALLED","")</f>
        <v/>
      </c>
      <c r="S405" s="14">
        <f>IF(AND($H405&lt;&gt;"",ISNUMBER(SEARCH("auto",LOWER($H405))),$F405=""),"AUTOLOGON REQUIRED","")</f>
        <v/>
      </c>
      <c r="T405" s="14">
        <f>IF($Q405&lt;&gt;"",$Q405,IF($S405&lt;&gt;"",$S405,IF($R405&lt;&gt;"",$R405,IF(OR($N405&lt;&gt;"",$O405="Blocked"),"BLOCKED","OK"))))</f>
        <v/>
      </c>
    </row>
    <row r="406">
      <c r="A406" s="21">
        <f>Deployments!H394</f>
        <v/>
      </c>
      <c r="B406" s="21">
        <f>Deployments!X394</f>
        <v/>
      </c>
      <c r="C406" s="21">
        <f>Deployments!Y394</f>
        <v/>
      </c>
      <c r="D406" s="14">
        <f>Deployments!AO394</f>
        <v/>
      </c>
      <c r="E406" s="14">
        <f>Deployments!N394</f>
        <v/>
      </c>
      <c r="F406" s="21">
        <f>Deployments!O394</f>
        <v/>
      </c>
      <c r="G406" s="14">
        <f>Deployments!P394</f>
        <v/>
      </c>
      <c r="H406" s="14">
        <f>'13 - Config_Intake_View'!M406</f>
        <v/>
      </c>
      <c r="I406" s="21">
        <f>IF('13 - Config_Intake_View'!Q406&lt;&gt;"",'13 - Config_Intake_View'!Q406,Deployments!AG394)</f>
        <v/>
      </c>
      <c r="J406" s="14">
        <f>IF('13 - Config_Intake_View'!Q406&lt;&gt;"","PM Approved",IF(Deployments!AG394&lt;&gt;"","Assumed",""))</f>
        <v/>
      </c>
      <c r="K406" s="21">
        <f>Deployments!AF394</f>
        <v/>
      </c>
      <c r="L406" s="14">
        <f>Deployments!U394</f>
        <v/>
      </c>
      <c r="M406" s="14">
        <f>Deployments!L394</f>
        <v/>
      </c>
      <c r="N406" s="14">
        <f>Deployments!CC394</f>
        <v/>
      </c>
      <c r="O406" s="21">
        <f>Deployments!CD394</f>
        <v/>
      </c>
      <c r="P406" s="2">
        <f>Deployments!BX394</f>
        <v/>
      </c>
      <c r="Q406" s="21">
        <f>IF(OR($A406="",$B406="",$D406=""),"MISSING CORE FIELDS","")</f>
        <v/>
      </c>
      <c r="R406" s="14">
        <f>IF(AND($I406&lt;&gt;"",$K406&lt;&gt;"Yes"),"SW NOT INSTALLED","")</f>
        <v/>
      </c>
      <c r="S406" s="14">
        <f>IF(AND($H406&lt;&gt;"",ISNUMBER(SEARCH("auto",LOWER($H406))),$F406=""),"AUTOLOGON REQUIRED","")</f>
        <v/>
      </c>
      <c r="T406" s="14">
        <f>IF($Q406&lt;&gt;"",$Q406,IF($S406&lt;&gt;"",$S406,IF($R406&lt;&gt;"",$R406,IF(OR($N406&lt;&gt;"",$O406="Blocked"),"BLOCKED","OK"))))</f>
        <v/>
      </c>
    </row>
    <row r="407">
      <c r="A407" s="21">
        <f>Deployments!H395</f>
        <v/>
      </c>
      <c r="B407" s="21">
        <f>Deployments!X395</f>
        <v/>
      </c>
      <c r="C407" s="21">
        <f>Deployments!Y395</f>
        <v/>
      </c>
      <c r="D407" s="14">
        <f>Deployments!AO395</f>
        <v/>
      </c>
      <c r="E407" s="14">
        <f>Deployments!N395</f>
        <v/>
      </c>
      <c r="F407" s="21">
        <f>Deployments!O395</f>
        <v/>
      </c>
      <c r="G407" s="14">
        <f>Deployments!P395</f>
        <v/>
      </c>
      <c r="H407" s="14">
        <f>'13 - Config_Intake_View'!M407</f>
        <v/>
      </c>
      <c r="I407" s="21">
        <f>IF('13 - Config_Intake_View'!Q407&lt;&gt;"",'13 - Config_Intake_View'!Q407,Deployments!AG395)</f>
        <v/>
      </c>
      <c r="J407" s="14">
        <f>IF('13 - Config_Intake_View'!Q407&lt;&gt;"","PM Approved",IF(Deployments!AG395&lt;&gt;"","Assumed",""))</f>
        <v/>
      </c>
      <c r="K407" s="21">
        <f>Deployments!AF395</f>
        <v/>
      </c>
      <c r="L407" s="14">
        <f>Deployments!U395</f>
        <v/>
      </c>
      <c r="M407" s="14">
        <f>Deployments!L395</f>
        <v/>
      </c>
      <c r="N407" s="14">
        <f>Deployments!CC395</f>
        <v/>
      </c>
      <c r="O407" s="21">
        <f>Deployments!CD395</f>
        <v/>
      </c>
      <c r="P407" s="2">
        <f>Deployments!BX395</f>
        <v/>
      </c>
      <c r="Q407" s="21">
        <f>IF(OR($A407="",$B407="",$D407=""),"MISSING CORE FIELDS","")</f>
        <v/>
      </c>
      <c r="R407" s="14">
        <f>IF(AND($I407&lt;&gt;"",$K407&lt;&gt;"Yes"),"SW NOT INSTALLED","")</f>
        <v/>
      </c>
      <c r="S407" s="14">
        <f>IF(AND($H407&lt;&gt;"",ISNUMBER(SEARCH("auto",LOWER($H407))),$F407=""),"AUTOLOGON REQUIRED","")</f>
        <v/>
      </c>
      <c r="T407" s="14">
        <f>IF($Q407&lt;&gt;"",$Q407,IF($S407&lt;&gt;"",$S407,IF($R407&lt;&gt;"",$R407,IF(OR($N407&lt;&gt;"",$O407="Blocked"),"BLOCKED","OK"))))</f>
        <v/>
      </c>
    </row>
    <row r="408">
      <c r="A408" s="21">
        <f>Deployments!H396</f>
        <v/>
      </c>
      <c r="B408" s="21">
        <f>Deployments!X396</f>
        <v/>
      </c>
      <c r="C408" s="21">
        <f>Deployments!Y396</f>
        <v/>
      </c>
      <c r="D408" s="14">
        <f>Deployments!AO396</f>
        <v/>
      </c>
      <c r="E408" s="14">
        <f>Deployments!N396</f>
        <v/>
      </c>
      <c r="F408" s="21">
        <f>Deployments!O396</f>
        <v/>
      </c>
      <c r="G408" s="14">
        <f>Deployments!P396</f>
        <v/>
      </c>
      <c r="H408" s="14">
        <f>'13 - Config_Intake_View'!M408</f>
        <v/>
      </c>
      <c r="I408" s="21">
        <f>IF('13 - Config_Intake_View'!Q408&lt;&gt;"",'13 - Config_Intake_View'!Q408,Deployments!AG396)</f>
        <v/>
      </c>
      <c r="J408" s="14">
        <f>IF('13 - Config_Intake_View'!Q408&lt;&gt;"","PM Approved",IF(Deployments!AG396&lt;&gt;"","Assumed",""))</f>
        <v/>
      </c>
      <c r="K408" s="21">
        <f>Deployments!AF396</f>
        <v/>
      </c>
      <c r="L408" s="14">
        <f>Deployments!U396</f>
        <v/>
      </c>
      <c r="M408" s="14">
        <f>Deployments!L396</f>
        <v/>
      </c>
      <c r="N408" s="14">
        <f>Deployments!CC396</f>
        <v/>
      </c>
      <c r="O408" s="21">
        <f>Deployments!CD396</f>
        <v/>
      </c>
      <c r="P408" s="2">
        <f>Deployments!BX396</f>
        <v/>
      </c>
      <c r="Q408" s="21">
        <f>IF(OR($A408="",$B408="",$D408=""),"MISSING CORE FIELDS","")</f>
        <v/>
      </c>
      <c r="R408" s="14">
        <f>IF(AND($I408&lt;&gt;"",$K408&lt;&gt;"Yes"),"SW NOT INSTALLED","")</f>
        <v/>
      </c>
      <c r="S408" s="14">
        <f>IF(AND($H408&lt;&gt;"",ISNUMBER(SEARCH("auto",LOWER($H408))),$F408=""),"AUTOLOGON REQUIRED","")</f>
        <v/>
      </c>
      <c r="T408" s="14">
        <f>IF($Q408&lt;&gt;"",$Q408,IF($S408&lt;&gt;"",$S408,IF($R408&lt;&gt;"",$R408,IF(OR($N408&lt;&gt;"",$O408="Blocked"),"BLOCKED","OK"))))</f>
        <v/>
      </c>
    </row>
    <row r="409">
      <c r="A409" s="21">
        <f>Deployments!H397</f>
        <v/>
      </c>
      <c r="B409" s="21">
        <f>Deployments!X397</f>
        <v/>
      </c>
      <c r="C409" s="21">
        <f>Deployments!Y397</f>
        <v/>
      </c>
      <c r="D409" s="14">
        <f>Deployments!AO397</f>
        <v/>
      </c>
      <c r="E409" s="14">
        <f>Deployments!N397</f>
        <v/>
      </c>
      <c r="F409" s="21">
        <f>Deployments!O397</f>
        <v/>
      </c>
      <c r="G409" s="14">
        <f>Deployments!P397</f>
        <v/>
      </c>
      <c r="H409" s="14">
        <f>'13 - Config_Intake_View'!M409</f>
        <v/>
      </c>
      <c r="I409" s="21">
        <f>IF('13 - Config_Intake_View'!Q409&lt;&gt;"",'13 - Config_Intake_View'!Q409,Deployments!AG397)</f>
        <v/>
      </c>
      <c r="J409" s="14">
        <f>IF('13 - Config_Intake_View'!Q409&lt;&gt;"","PM Approved",IF(Deployments!AG397&lt;&gt;"","Assumed",""))</f>
        <v/>
      </c>
      <c r="K409" s="21">
        <f>Deployments!AF397</f>
        <v/>
      </c>
      <c r="L409" s="14">
        <f>Deployments!U397</f>
        <v/>
      </c>
      <c r="M409" s="14">
        <f>Deployments!L397</f>
        <v/>
      </c>
      <c r="N409" s="14">
        <f>Deployments!CC397</f>
        <v/>
      </c>
      <c r="O409" s="21">
        <f>Deployments!CD397</f>
        <v/>
      </c>
      <c r="P409" s="2">
        <f>Deployments!BX397</f>
        <v/>
      </c>
      <c r="Q409" s="21">
        <f>IF(OR($A409="",$B409="",$D409=""),"MISSING CORE FIELDS","")</f>
        <v/>
      </c>
      <c r="R409" s="14">
        <f>IF(AND($I409&lt;&gt;"",$K409&lt;&gt;"Yes"),"SW NOT INSTALLED","")</f>
        <v/>
      </c>
      <c r="S409" s="14">
        <f>IF(AND($H409&lt;&gt;"",ISNUMBER(SEARCH("auto",LOWER($H409))),$F409=""),"AUTOLOGON REQUIRED","")</f>
        <v/>
      </c>
      <c r="T409" s="14">
        <f>IF($Q409&lt;&gt;"",$Q409,IF($S409&lt;&gt;"",$S409,IF($R409&lt;&gt;"",$R409,IF(OR($N409&lt;&gt;"",$O409="Blocked"),"BLOCKED","OK"))))</f>
        <v/>
      </c>
    </row>
    <row r="410">
      <c r="A410" s="21">
        <f>Deployments!H398</f>
        <v/>
      </c>
      <c r="B410" s="21">
        <f>Deployments!X398</f>
        <v/>
      </c>
      <c r="C410" s="21">
        <f>Deployments!Y398</f>
        <v/>
      </c>
      <c r="D410" s="14">
        <f>Deployments!AO398</f>
        <v/>
      </c>
      <c r="E410" s="14">
        <f>Deployments!N398</f>
        <v/>
      </c>
      <c r="F410" s="21">
        <f>Deployments!O398</f>
        <v/>
      </c>
      <c r="G410" s="14">
        <f>Deployments!P398</f>
        <v/>
      </c>
      <c r="H410" s="14">
        <f>'13 - Config_Intake_View'!M410</f>
        <v/>
      </c>
      <c r="I410" s="21">
        <f>IF('13 - Config_Intake_View'!Q410&lt;&gt;"",'13 - Config_Intake_View'!Q410,Deployments!AG398)</f>
        <v/>
      </c>
      <c r="J410" s="14">
        <f>IF('13 - Config_Intake_View'!Q410&lt;&gt;"","PM Approved",IF(Deployments!AG398&lt;&gt;"","Assumed",""))</f>
        <v/>
      </c>
      <c r="K410" s="21">
        <f>Deployments!AF398</f>
        <v/>
      </c>
      <c r="L410" s="14">
        <f>Deployments!U398</f>
        <v/>
      </c>
      <c r="M410" s="14">
        <f>Deployments!L398</f>
        <v/>
      </c>
      <c r="N410" s="14">
        <f>Deployments!CC398</f>
        <v/>
      </c>
      <c r="O410" s="21">
        <f>Deployments!CD398</f>
        <v/>
      </c>
      <c r="P410" s="2">
        <f>Deployments!BX398</f>
        <v/>
      </c>
      <c r="Q410" s="21">
        <f>IF(OR($A410="",$B410="",$D410=""),"MISSING CORE FIELDS","")</f>
        <v/>
      </c>
      <c r="R410" s="14">
        <f>IF(AND($I410&lt;&gt;"",$K410&lt;&gt;"Yes"),"SW NOT INSTALLED","")</f>
        <v/>
      </c>
      <c r="S410" s="14">
        <f>IF(AND($H410&lt;&gt;"",ISNUMBER(SEARCH("auto",LOWER($H410))),$F410=""),"AUTOLOGON REQUIRED","")</f>
        <v/>
      </c>
      <c r="T410" s="14">
        <f>IF($Q410&lt;&gt;"",$Q410,IF($S410&lt;&gt;"",$S410,IF($R410&lt;&gt;"",$R410,IF(OR($N410&lt;&gt;"",$O410="Blocked"),"BLOCKED","OK"))))</f>
        <v/>
      </c>
    </row>
    <row r="411">
      <c r="A411" s="21">
        <f>Deployments!H399</f>
        <v/>
      </c>
      <c r="B411" s="21">
        <f>Deployments!X399</f>
        <v/>
      </c>
      <c r="C411" s="21">
        <f>Deployments!Y399</f>
        <v/>
      </c>
      <c r="D411" s="14">
        <f>Deployments!AO399</f>
        <v/>
      </c>
      <c r="E411" s="14">
        <f>Deployments!N399</f>
        <v/>
      </c>
      <c r="F411" s="21">
        <f>Deployments!O399</f>
        <v/>
      </c>
      <c r="G411" s="14">
        <f>Deployments!P399</f>
        <v/>
      </c>
      <c r="H411" s="14">
        <f>'13 - Config_Intake_View'!M411</f>
        <v/>
      </c>
      <c r="I411" s="21">
        <f>IF('13 - Config_Intake_View'!Q411&lt;&gt;"",'13 - Config_Intake_View'!Q411,Deployments!AG399)</f>
        <v/>
      </c>
      <c r="J411" s="14">
        <f>IF('13 - Config_Intake_View'!Q411&lt;&gt;"","PM Approved",IF(Deployments!AG399&lt;&gt;"","Assumed",""))</f>
        <v/>
      </c>
      <c r="K411" s="21">
        <f>Deployments!AF399</f>
        <v/>
      </c>
      <c r="L411" s="14">
        <f>Deployments!U399</f>
        <v/>
      </c>
      <c r="M411" s="14">
        <f>Deployments!L399</f>
        <v/>
      </c>
      <c r="N411" s="14">
        <f>Deployments!CC399</f>
        <v/>
      </c>
      <c r="O411" s="21">
        <f>Deployments!CD399</f>
        <v/>
      </c>
      <c r="P411" s="2">
        <f>Deployments!BX399</f>
        <v/>
      </c>
      <c r="Q411" s="21">
        <f>IF(OR($A411="",$B411="",$D411=""),"MISSING CORE FIELDS","")</f>
        <v/>
      </c>
      <c r="R411" s="14">
        <f>IF(AND($I411&lt;&gt;"",$K411&lt;&gt;"Yes"),"SW NOT INSTALLED","")</f>
        <v/>
      </c>
      <c r="S411" s="14">
        <f>IF(AND($H411&lt;&gt;"",ISNUMBER(SEARCH("auto",LOWER($H411))),$F411=""),"AUTOLOGON REQUIRED","")</f>
        <v/>
      </c>
      <c r="T411" s="14">
        <f>IF($Q411&lt;&gt;"",$Q411,IF($S411&lt;&gt;"",$S411,IF($R411&lt;&gt;"",$R411,IF(OR($N411&lt;&gt;"",$O411="Blocked"),"BLOCKED","OK"))))</f>
        <v/>
      </c>
    </row>
    <row r="412">
      <c r="A412" s="21">
        <f>Deployments!H400</f>
        <v/>
      </c>
      <c r="B412" s="21">
        <f>Deployments!X400</f>
        <v/>
      </c>
      <c r="C412" s="21">
        <f>Deployments!Y400</f>
        <v/>
      </c>
      <c r="D412" s="14">
        <f>Deployments!AO400</f>
        <v/>
      </c>
      <c r="E412" s="14">
        <f>Deployments!N400</f>
        <v/>
      </c>
      <c r="F412" s="21">
        <f>Deployments!O400</f>
        <v/>
      </c>
      <c r="G412" s="14">
        <f>Deployments!P400</f>
        <v/>
      </c>
      <c r="H412" s="14">
        <f>'13 - Config_Intake_View'!M412</f>
        <v/>
      </c>
      <c r="I412" s="21">
        <f>IF('13 - Config_Intake_View'!Q412&lt;&gt;"",'13 - Config_Intake_View'!Q412,Deployments!AG400)</f>
        <v/>
      </c>
      <c r="J412" s="14">
        <f>IF('13 - Config_Intake_View'!Q412&lt;&gt;"","PM Approved",IF(Deployments!AG400&lt;&gt;"","Assumed",""))</f>
        <v/>
      </c>
      <c r="K412" s="21">
        <f>Deployments!AF400</f>
        <v/>
      </c>
      <c r="L412" s="14">
        <f>Deployments!U400</f>
        <v/>
      </c>
      <c r="M412" s="14">
        <f>Deployments!L400</f>
        <v/>
      </c>
      <c r="N412" s="14">
        <f>Deployments!CC400</f>
        <v/>
      </c>
      <c r="O412" s="21">
        <f>Deployments!CD400</f>
        <v/>
      </c>
      <c r="P412" s="2">
        <f>Deployments!BX400</f>
        <v/>
      </c>
      <c r="Q412" s="21">
        <f>IF(OR($A412="",$B412="",$D412=""),"MISSING CORE FIELDS","")</f>
        <v/>
      </c>
      <c r="R412" s="14">
        <f>IF(AND($I412&lt;&gt;"",$K412&lt;&gt;"Yes"),"SW NOT INSTALLED","")</f>
        <v/>
      </c>
      <c r="S412" s="14">
        <f>IF(AND($H412&lt;&gt;"",ISNUMBER(SEARCH("auto",LOWER($H412))),$F412=""),"AUTOLOGON REQUIRED","")</f>
        <v/>
      </c>
      <c r="T412" s="14">
        <f>IF($Q412&lt;&gt;"",$Q412,IF($S412&lt;&gt;"",$S412,IF($R412&lt;&gt;"",$R412,IF(OR($N412&lt;&gt;"",$O412="Blocked"),"BLOCKED","OK"))))</f>
        <v/>
      </c>
    </row>
    <row r="413">
      <c r="A413" s="21">
        <f>Deployments!H401</f>
        <v/>
      </c>
      <c r="B413" s="21">
        <f>Deployments!X401</f>
        <v/>
      </c>
      <c r="C413" s="21">
        <f>Deployments!Y401</f>
        <v/>
      </c>
      <c r="D413" s="14">
        <f>Deployments!AO401</f>
        <v/>
      </c>
      <c r="E413" s="14">
        <f>Deployments!N401</f>
        <v/>
      </c>
      <c r="F413" s="21">
        <f>Deployments!O401</f>
        <v/>
      </c>
      <c r="G413" s="14">
        <f>Deployments!P401</f>
        <v/>
      </c>
      <c r="H413" s="14">
        <f>'13 - Config_Intake_View'!M413</f>
        <v/>
      </c>
      <c r="I413" s="21">
        <f>IF('13 - Config_Intake_View'!Q413&lt;&gt;"",'13 - Config_Intake_View'!Q413,Deployments!AG401)</f>
        <v/>
      </c>
      <c r="J413" s="14">
        <f>IF('13 - Config_Intake_View'!Q413&lt;&gt;"","PM Approved",IF(Deployments!AG401&lt;&gt;"","Assumed",""))</f>
        <v/>
      </c>
      <c r="K413" s="21">
        <f>Deployments!AF401</f>
        <v/>
      </c>
      <c r="L413" s="14">
        <f>Deployments!U401</f>
        <v/>
      </c>
      <c r="M413" s="14">
        <f>Deployments!L401</f>
        <v/>
      </c>
      <c r="N413" s="14">
        <f>Deployments!CC401</f>
        <v/>
      </c>
      <c r="O413" s="21">
        <f>Deployments!CD401</f>
        <v/>
      </c>
      <c r="P413" s="2">
        <f>Deployments!BX401</f>
        <v/>
      </c>
      <c r="Q413" s="21">
        <f>IF(OR($A413="",$B413="",$D413=""),"MISSING CORE FIELDS","")</f>
        <v/>
      </c>
      <c r="R413" s="14">
        <f>IF(AND($I413&lt;&gt;"",$K413&lt;&gt;"Yes"),"SW NOT INSTALLED","")</f>
        <v/>
      </c>
      <c r="S413" s="14">
        <f>IF(AND($H413&lt;&gt;"",ISNUMBER(SEARCH("auto",LOWER($H413))),$F413=""),"AUTOLOGON REQUIRED","")</f>
        <v/>
      </c>
      <c r="T413" s="14">
        <f>IF($Q413&lt;&gt;"",$Q413,IF($S413&lt;&gt;"",$S413,IF($R413&lt;&gt;"",$R413,IF(OR($N413&lt;&gt;"",$O413="Blocked"),"BLOCKED","OK"))))</f>
        <v/>
      </c>
    </row>
    <row r="414">
      <c r="A414" s="21">
        <f>Deployments!H402</f>
        <v/>
      </c>
      <c r="B414" s="21">
        <f>Deployments!X402</f>
        <v/>
      </c>
      <c r="C414" s="21">
        <f>Deployments!Y402</f>
        <v/>
      </c>
      <c r="D414" s="14">
        <f>Deployments!AO402</f>
        <v/>
      </c>
      <c r="E414" s="14">
        <f>Deployments!N402</f>
        <v/>
      </c>
      <c r="F414" s="21">
        <f>Deployments!O402</f>
        <v/>
      </c>
      <c r="G414" s="14">
        <f>Deployments!P402</f>
        <v/>
      </c>
      <c r="H414" s="14">
        <f>'13 - Config_Intake_View'!M414</f>
        <v/>
      </c>
      <c r="I414" s="21">
        <f>IF('13 - Config_Intake_View'!Q414&lt;&gt;"",'13 - Config_Intake_View'!Q414,Deployments!AG402)</f>
        <v/>
      </c>
      <c r="J414" s="14">
        <f>IF('13 - Config_Intake_View'!Q414&lt;&gt;"","PM Approved",IF(Deployments!AG402&lt;&gt;"","Assumed",""))</f>
        <v/>
      </c>
      <c r="K414" s="21">
        <f>Deployments!AF402</f>
        <v/>
      </c>
      <c r="L414" s="14">
        <f>Deployments!U402</f>
        <v/>
      </c>
      <c r="M414" s="14">
        <f>Deployments!L402</f>
        <v/>
      </c>
      <c r="N414" s="14">
        <f>Deployments!CC402</f>
        <v/>
      </c>
      <c r="O414" s="21">
        <f>Deployments!CD402</f>
        <v/>
      </c>
      <c r="P414" s="2">
        <f>Deployments!BX402</f>
        <v/>
      </c>
      <c r="Q414" s="21">
        <f>IF(OR($A414="",$B414="",$D414=""),"MISSING CORE FIELDS","")</f>
        <v/>
      </c>
      <c r="R414" s="14">
        <f>IF(AND($I414&lt;&gt;"",$K414&lt;&gt;"Yes"),"SW NOT INSTALLED","")</f>
        <v/>
      </c>
      <c r="S414" s="14">
        <f>IF(AND($H414&lt;&gt;"",ISNUMBER(SEARCH("auto",LOWER($H414))),$F414=""),"AUTOLOGON REQUIRED","")</f>
        <v/>
      </c>
      <c r="T414" s="14">
        <f>IF($Q414&lt;&gt;"",$Q414,IF($S414&lt;&gt;"",$S414,IF($R414&lt;&gt;"",$R414,IF(OR($N414&lt;&gt;"",$O414="Blocked"),"BLOCKED","OK"))))</f>
        <v/>
      </c>
    </row>
    <row r="415">
      <c r="A415" s="21">
        <f>Deployments!H403</f>
        <v/>
      </c>
      <c r="B415" s="21">
        <f>Deployments!X403</f>
        <v/>
      </c>
      <c r="C415" s="21">
        <f>Deployments!Y403</f>
        <v/>
      </c>
      <c r="D415" s="14">
        <f>Deployments!AO403</f>
        <v/>
      </c>
      <c r="E415" s="14">
        <f>Deployments!N403</f>
        <v/>
      </c>
      <c r="F415" s="21">
        <f>Deployments!O403</f>
        <v/>
      </c>
      <c r="G415" s="14">
        <f>Deployments!P403</f>
        <v/>
      </c>
      <c r="H415" s="14">
        <f>'13 - Config_Intake_View'!M415</f>
        <v/>
      </c>
      <c r="I415" s="21">
        <f>IF('13 - Config_Intake_View'!Q415&lt;&gt;"",'13 - Config_Intake_View'!Q415,Deployments!AG403)</f>
        <v/>
      </c>
      <c r="J415" s="14">
        <f>IF('13 - Config_Intake_View'!Q415&lt;&gt;"","PM Approved",IF(Deployments!AG403&lt;&gt;"","Assumed",""))</f>
        <v/>
      </c>
      <c r="K415" s="21">
        <f>Deployments!AF403</f>
        <v/>
      </c>
      <c r="L415" s="14">
        <f>Deployments!U403</f>
        <v/>
      </c>
      <c r="M415" s="14">
        <f>Deployments!L403</f>
        <v/>
      </c>
      <c r="N415" s="14">
        <f>Deployments!CC403</f>
        <v/>
      </c>
      <c r="O415" s="21">
        <f>Deployments!CD403</f>
        <v/>
      </c>
      <c r="P415" s="2">
        <f>Deployments!BX403</f>
        <v/>
      </c>
      <c r="Q415" s="21">
        <f>IF(OR($A415="",$B415="",$D415=""),"MISSING CORE FIELDS","")</f>
        <v/>
      </c>
      <c r="R415" s="14">
        <f>IF(AND($I415&lt;&gt;"",$K415&lt;&gt;"Yes"),"SW NOT INSTALLED","")</f>
        <v/>
      </c>
      <c r="S415" s="14">
        <f>IF(AND($H415&lt;&gt;"",ISNUMBER(SEARCH("auto",LOWER($H415))),$F415=""),"AUTOLOGON REQUIRED","")</f>
        <v/>
      </c>
      <c r="T415" s="14">
        <f>IF($Q415&lt;&gt;"",$Q415,IF($S415&lt;&gt;"",$S415,IF($R415&lt;&gt;"",$R415,IF(OR($N415&lt;&gt;"",$O415="Blocked"),"BLOCKED","OK"))))</f>
        <v/>
      </c>
    </row>
    <row r="416">
      <c r="A416" s="21">
        <f>Deployments!H404</f>
        <v/>
      </c>
      <c r="B416" s="21">
        <f>Deployments!X404</f>
        <v/>
      </c>
      <c r="C416" s="21">
        <f>Deployments!Y404</f>
        <v/>
      </c>
      <c r="D416" s="14">
        <f>Deployments!AO404</f>
        <v/>
      </c>
      <c r="E416" s="14">
        <f>Deployments!N404</f>
        <v/>
      </c>
      <c r="F416" s="21">
        <f>Deployments!O404</f>
        <v/>
      </c>
      <c r="G416" s="14">
        <f>Deployments!P404</f>
        <v/>
      </c>
      <c r="H416" s="14">
        <f>'13 - Config_Intake_View'!M416</f>
        <v/>
      </c>
      <c r="I416" s="21">
        <f>IF('13 - Config_Intake_View'!Q416&lt;&gt;"",'13 - Config_Intake_View'!Q416,Deployments!AG404)</f>
        <v/>
      </c>
      <c r="J416" s="14">
        <f>IF('13 - Config_Intake_View'!Q416&lt;&gt;"","PM Approved",IF(Deployments!AG404&lt;&gt;"","Assumed",""))</f>
        <v/>
      </c>
      <c r="K416" s="21">
        <f>Deployments!AF404</f>
        <v/>
      </c>
      <c r="L416" s="14">
        <f>Deployments!U404</f>
        <v/>
      </c>
      <c r="M416" s="14">
        <f>Deployments!L404</f>
        <v/>
      </c>
      <c r="N416" s="14">
        <f>Deployments!CC404</f>
        <v/>
      </c>
      <c r="O416" s="21">
        <f>Deployments!CD404</f>
        <v/>
      </c>
      <c r="P416" s="2">
        <f>Deployments!BX404</f>
        <v/>
      </c>
      <c r="Q416" s="21">
        <f>IF(OR($A416="",$B416="",$D416=""),"MISSING CORE FIELDS","")</f>
        <v/>
      </c>
      <c r="R416" s="14">
        <f>IF(AND($I416&lt;&gt;"",$K416&lt;&gt;"Yes"),"SW NOT INSTALLED","")</f>
        <v/>
      </c>
      <c r="S416" s="14">
        <f>IF(AND($H416&lt;&gt;"",ISNUMBER(SEARCH("auto",LOWER($H416))),$F416=""),"AUTOLOGON REQUIRED","")</f>
        <v/>
      </c>
      <c r="T416" s="14">
        <f>IF($Q416&lt;&gt;"",$Q416,IF($S416&lt;&gt;"",$S416,IF($R416&lt;&gt;"",$R416,IF(OR($N416&lt;&gt;"",$O416="Blocked"),"BLOCKED","OK"))))</f>
        <v/>
      </c>
    </row>
    <row r="417">
      <c r="A417" s="21">
        <f>Deployments!H405</f>
        <v/>
      </c>
      <c r="B417" s="21">
        <f>Deployments!X405</f>
        <v/>
      </c>
      <c r="C417" s="21">
        <f>Deployments!Y405</f>
        <v/>
      </c>
      <c r="D417" s="14">
        <f>Deployments!AO405</f>
        <v/>
      </c>
      <c r="E417" s="14">
        <f>Deployments!N405</f>
        <v/>
      </c>
      <c r="F417" s="21">
        <f>Deployments!O405</f>
        <v/>
      </c>
      <c r="G417" s="14">
        <f>Deployments!P405</f>
        <v/>
      </c>
      <c r="H417" s="14">
        <f>'13 - Config_Intake_View'!M417</f>
        <v/>
      </c>
      <c r="I417" s="21">
        <f>IF('13 - Config_Intake_View'!Q417&lt;&gt;"",'13 - Config_Intake_View'!Q417,Deployments!AG405)</f>
        <v/>
      </c>
      <c r="J417" s="14">
        <f>IF('13 - Config_Intake_View'!Q417&lt;&gt;"","PM Approved",IF(Deployments!AG405&lt;&gt;"","Assumed",""))</f>
        <v/>
      </c>
      <c r="K417" s="21">
        <f>Deployments!AF405</f>
        <v/>
      </c>
      <c r="L417" s="14">
        <f>Deployments!U405</f>
        <v/>
      </c>
      <c r="M417" s="14">
        <f>Deployments!L405</f>
        <v/>
      </c>
      <c r="N417" s="14">
        <f>Deployments!CC405</f>
        <v/>
      </c>
      <c r="O417" s="21">
        <f>Deployments!CD405</f>
        <v/>
      </c>
      <c r="P417" s="2">
        <f>Deployments!BX405</f>
        <v/>
      </c>
      <c r="Q417" s="21">
        <f>IF(OR($A417="",$B417="",$D417=""),"MISSING CORE FIELDS","")</f>
        <v/>
      </c>
      <c r="R417" s="14">
        <f>IF(AND($I417&lt;&gt;"",$K417&lt;&gt;"Yes"),"SW NOT INSTALLED","")</f>
        <v/>
      </c>
      <c r="S417" s="14">
        <f>IF(AND($H417&lt;&gt;"",ISNUMBER(SEARCH("auto",LOWER($H417))),$F417=""),"AUTOLOGON REQUIRED","")</f>
        <v/>
      </c>
      <c r="T417" s="14">
        <f>IF($Q417&lt;&gt;"",$Q417,IF($S417&lt;&gt;"",$S417,IF($R417&lt;&gt;"",$R417,IF(OR($N417&lt;&gt;"",$O417="Blocked"),"BLOCKED","OK"))))</f>
        <v/>
      </c>
    </row>
    <row r="418">
      <c r="A418" s="21">
        <f>Deployments!H406</f>
        <v/>
      </c>
      <c r="B418" s="21">
        <f>Deployments!X406</f>
        <v/>
      </c>
      <c r="C418" s="21">
        <f>Deployments!Y406</f>
        <v/>
      </c>
      <c r="D418" s="14">
        <f>Deployments!AO406</f>
        <v/>
      </c>
      <c r="E418" s="14">
        <f>Deployments!N406</f>
        <v/>
      </c>
      <c r="F418" s="21">
        <f>Deployments!O406</f>
        <v/>
      </c>
      <c r="G418" s="14">
        <f>Deployments!P406</f>
        <v/>
      </c>
      <c r="H418" s="14">
        <f>'13 - Config_Intake_View'!M418</f>
        <v/>
      </c>
      <c r="I418" s="21">
        <f>IF('13 - Config_Intake_View'!Q418&lt;&gt;"",'13 - Config_Intake_View'!Q418,Deployments!AG406)</f>
        <v/>
      </c>
      <c r="J418" s="14">
        <f>IF('13 - Config_Intake_View'!Q418&lt;&gt;"","PM Approved",IF(Deployments!AG406&lt;&gt;"","Assumed",""))</f>
        <v/>
      </c>
      <c r="K418" s="21">
        <f>Deployments!AF406</f>
        <v/>
      </c>
      <c r="L418" s="14">
        <f>Deployments!U406</f>
        <v/>
      </c>
      <c r="M418" s="14">
        <f>Deployments!L406</f>
        <v/>
      </c>
      <c r="N418" s="14">
        <f>Deployments!CC406</f>
        <v/>
      </c>
      <c r="O418" s="21">
        <f>Deployments!CD406</f>
        <v/>
      </c>
      <c r="P418" s="2">
        <f>Deployments!BX406</f>
        <v/>
      </c>
      <c r="Q418" s="21">
        <f>IF(OR($A418="",$B418="",$D418=""),"MISSING CORE FIELDS","")</f>
        <v/>
      </c>
      <c r="R418" s="14">
        <f>IF(AND($I418&lt;&gt;"",$K418&lt;&gt;"Yes"),"SW NOT INSTALLED","")</f>
        <v/>
      </c>
      <c r="S418" s="14">
        <f>IF(AND($H418&lt;&gt;"",ISNUMBER(SEARCH("auto",LOWER($H418))),$F418=""),"AUTOLOGON REQUIRED","")</f>
        <v/>
      </c>
      <c r="T418" s="14">
        <f>IF($Q418&lt;&gt;"",$Q418,IF($S418&lt;&gt;"",$S418,IF($R418&lt;&gt;"",$R418,IF(OR($N418&lt;&gt;"",$O418="Blocked"),"BLOCKED","OK"))))</f>
        <v/>
      </c>
    </row>
    <row r="419">
      <c r="A419" s="21">
        <f>Deployments!H407</f>
        <v/>
      </c>
      <c r="B419" s="21">
        <f>Deployments!X407</f>
        <v/>
      </c>
      <c r="C419" s="21">
        <f>Deployments!Y407</f>
        <v/>
      </c>
      <c r="D419" s="14">
        <f>Deployments!AO407</f>
        <v/>
      </c>
      <c r="E419" s="14">
        <f>Deployments!N407</f>
        <v/>
      </c>
      <c r="F419" s="21">
        <f>Deployments!O407</f>
        <v/>
      </c>
      <c r="G419" s="14">
        <f>Deployments!P407</f>
        <v/>
      </c>
      <c r="H419" s="14">
        <f>'13 - Config_Intake_View'!M419</f>
        <v/>
      </c>
      <c r="I419" s="21">
        <f>IF('13 - Config_Intake_View'!Q419&lt;&gt;"",'13 - Config_Intake_View'!Q419,Deployments!AG407)</f>
        <v/>
      </c>
      <c r="J419" s="14">
        <f>IF('13 - Config_Intake_View'!Q419&lt;&gt;"","PM Approved",IF(Deployments!AG407&lt;&gt;"","Assumed",""))</f>
        <v/>
      </c>
      <c r="K419" s="21">
        <f>Deployments!AF407</f>
        <v/>
      </c>
      <c r="L419" s="14">
        <f>Deployments!U407</f>
        <v/>
      </c>
      <c r="M419" s="14">
        <f>Deployments!L407</f>
        <v/>
      </c>
      <c r="N419" s="14">
        <f>Deployments!CC407</f>
        <v/>
      </c>
      <c r="O419" s="21">
        <f>Deployments!CD407</f>
        <v/>
      </c>
      <c r="P419" s="2">
        <f>Deployments!BX407</f>
        <v/>
      </c>
      <c r="Q419" s="21">
        <f>IF(OR($A419="",$B419="",$D419=""),"MISSING CORE FIELDS","")</f>
        <v/>
      </c>
      <c r="R419" s="14">
        <f>IF(AND($I419&lt;&gt;"",$K419&lt;&gt;"Yes"),"SW NOT INSTALLED","")</f>
        <v/>
      </c>
      <c r="S419" s="14">
        <f>IF(AND($H419&lt;&gt;"",ISNUMBER(SEARCH("auto",LOWER($H419))),$F419=""),"AUTOLOGON REQUIRED","")</f>
        <v/>
      </c>
      <c r="T419" s="14">
        <f>IF($Q419&lt;&gt;"",$Q419,IF($S419&lt;&gt;"",$S419,IF($R419&lt;&gt;"",$R419,IF(OR($N419&lt;&gt;"",$O419="Blocked"),"BLOCKED","OK"))))</f>
        <v/>
      </c>
    </row>
    <row r="420">
      <c r="A420" s="21">
        <f>Deployments!H408</f>
        <v/>
      </c>
      <c r="B420" s="21">
        <f>Deployments!X408</f>
        <v/>
      </c>
      <c r="C420" s="21">
        <f>Deployments!Y408</f>
        <v/>
      </c>
      <c r="D420" s="14">
        <f>Deployments!AO408</f>
        <v/>
      </c>
      <c r="E420" s="14">
        <f>Deployments!N408</f>
        <v/>
      </c>
      <c r="F420" s="21">
        <f>Deployments!O408</f>
        <v/>
      </c>
      <c r="G420" s="14">
        <f>Deployments!P408</f>
        <v/>
      </c>
      <c r="H420" s="14">
        <f>'13 - Config_Intake_View'!M420</f>
        <v/>
      </c>
      <c r="I420" s="21">
        <f>IF('13 - Config_Intake_View'!Q420&lt;&gt;"",'13 - Config_Intake_View'!Q420,Deployments!AG408)</f>
        <v/>
      </c>
      <c r="J420" s="14">
        <f>IF('13 - Config_Intake_View'!Q420&lt;&gt;"","PM Approved",IF(Deployments!AG408&lt;&gt;"","Assumed",""))</f>
        <v/>
      </c>
      <c r="K420" s="21">
        <f>Deployments!AF408</f>
        <v/>
      </c>
      <c r="L420" s="14">
        <f>Deployments!U408</f>
        <v/>
      </c>
      <c r="M420" s="14">
        <f>Deployments!L408</f>
        <v/>
      </c>
      <c r="N420" s="14">
        <f>Deployments!CC408</f>
        <v/>
      </c>
      <c r="O420" s="21">
        <f>Deployments!CD408</f>
        <v/>
      </c>
      <c r="P420" s="2">
        <f>Deployments!BX408</f>
        <v/>
      </c>
      <c r="Q420" s="21">
        <f>IF(OR($A420="",$B420="",$D420=""),"MISSING CORE FIELDS","")</f>
        <v/>
      </c>
      <c r="R420" s="14">
        <f>IF(AND($I420&lt;&gt;"",$K420&lt;&gt;"Yes"),"SW NOT INSTALLED","")</f>
        <v/>
      </c>
      <c r="S420" s="14">
        <f>IF(AND($H420&lt;&gt;"",ISNUMBER(SEARCH("auto",LOWER($H420))),$F420=""),"AUTOLOGON REQUIRED","")</f>
        <v/>
      </c>
      <c r="T420" s="14">
        <f>IF($Q420&lt;&gt;"",$Q420,IF($S420&lt;&gt;"",$S420,IF($R420&lt;&gt;"",$R420,IF(OR($N420&lt;&gt;"",$O420="Blocked"),"BLOCKED","OK"))))</f>
        <v/>
      </c>
    </row>
    <row r="421">
      <c r="A421" s="21">
        <f>Deployments!H409</f>
        <v/>
      </c>
      <c r="B421" s="21">
        <f>Deployments!X409</f>
        <v/>
      </c>
      <c r="C421" s="21">
        <f>Deployments!Y409</f>
        <v/>
      </c>
      <c r="D421" s="14">
        <f>Deployments!AO409</f>
        <v/>
      </c>
      <c r="E421" s="14">
        <f>Deployments!N409</f>
        <v/>
      </c>
      <c r="F421" s="21">
        <f>Deployments!O409</f>
        <v/>
      </c>
      <c r="G421" s="14">
        <f>Deployments!P409</f>
        <v/>
      </c>
      <c r="H421" s="14">
        <f>'13 - Config_Intake_View'!M421</f>
        <v/>
      </c>
      <c r="I421" s="21">
        <f>IF('13 - Config_Intake_View'!Q421&lt;&gt;"",'13 - Config_Intake_View'!Q421,Deployments!AG409)</f>
        <v/>
      </c>
      <c r="J421" s="14">
        <f>IF('13 - Config_Intake_View'!Q421&lt;&gt;"","PM Approved",IF(Deployments!AG409&lt;&gt;"","Assumed",""))</f>
        <v/>
      </c>
      <c r="K421" s="21">
        <f>Deployments!AF409</f>
        <v/>
      </c>
      <c r="L421" s="14">
        <f>Deployments!U409</f>
        <v/>
      </c>
      <c r="M421" s="14">
        <f>Deployments!L409</f>
        <v/>
      </c>
      <c r="N421" s="14">
        <f>Deployments!CC409</f>
        <v/>
      </c>
      <c r="O421" s="21">
        <f>Deployments!CD409</f>
        <v/>
      </c>
      <c r="P421" s="2">
        <f>Deployments!BX409</f>
        <v/>
      </c>
      <c r="Q421" s="21">
        <f>IF(OR($A421="",$B421="",$D421=""),"MISSING CORE FIELDS","")</f>
        <v/>
      </c>
      <c r="R421" s="14">
        <f>IF(AND($I421&lt;&gt;"",$K421&lt;&gt;"Yes"),"SW NOT INSTALLED","")</f>
        <v/>
      </c>
      <c r="S421" s="14">
        <f>IF(AND($H421&lt;&gt;"",ISNUMBER(SEARCH("auto",LOWER($H421))),$F421=""),"AUTOLOGON REQUIRED","")</f>
        <v/>
      </c>
      <c r="T421" s="14">
        <f>IF($Q421&lt;&gt;"",$Q421,IF($S421&lt;&gt;"",$S421,IF($R421&lt;&gt;"",$R421,IF(OR($N421&lt;&gt;"",$O421="Blocked"),"BLOCKED","OK"))))</f>
        <v/>
      </c>
    </row>
    <row r="422">
      <c r="A422" s="21">
        <f>Deployments!H410</f>
        <v/>
      </c>
      <c r="B422" s="21">
        <f>Deployments!X410</f>
        <v/>
      </c>
      <c r="C422" s="21">
        <f>Deployments!Y410</f>
        <v/>
      </c>
      <c r="D422" s="14">
        <f>Deployments!AO410</f>
        <v/>
      </c>
      <c r="E422" s="14">
        <f>Deployments!N410</f>
        <v/>
      </c>
      <c r="F422" s="21">
        <f>Deployments!O410</f>
        <v/>
      </c>
      <c r="G422" s="14">
        <f>Deployments!P410</f>
        <v/>
      </c>
      <c r="H422" s="14">
        <f>'13 - Config_Intake_View'!M422</f>
        <v/>
      </c>
      <c r="I422" s="21">
        <f>IF('13 - Config_Intake_View'!Q422&lt;&gt;"",'13 - Config_Intake_View'!Q422,Deployments!AG410)</f>
        <v/>
      </c>
      <c r="J422" s="14">
        <f>IF('13 - Config_Intake_View'!Q422&lt;&gt;"","PM Approved",IF(Deployments!AG410&lt;&gt;"","Assumed",""))</f>
        <v/>
      </c>
      <c r="K422" s="21">
        <f>Deployments!AF410</f>
        <v/>
      </c>
      <c r="L422" s="14">
        <f>Deployments!U410</f>
        <v/>
      </c>
      <c r="M422" s="14">
        <f>Deployments!L410</f>
        <v/>
      </c>
      <c r="N422" s="14">
        <f>Deployments!CC410</f>
        <v/>
      </c>
      <c r="O422" s="21">
        <f>Deployments!CD410</f>
        <v/>
      </c>
      <c r="P422" s="2">
        <f>Deployments!BX410</f>
        <v/>
      </c>
      <c r="Q422" s="21">
        <f>IF(OR($A422="",$B422="",$D422=""),"MISSING CORE FIELDS","")</f>
        <v/>
      </c>
      <c r="R422" s="14">
        <f>IF(AND($I422&lt;&gt;"",$K422&lt;&gt;"Yes"),"SW NOT INSTALLED","")</f>
        <v/>
      </c>
      <c r="S422" s="14">
        <f>IF(AND($H422&lt;&gt;"",ISNUMBER(SEARCH("auto",LOWER($H422))),$F422=""),"AUTOLOGON REQUIRED","")</f>
        <v/>
      </c>
      <c r="T422" s="14">
        <f>IF($Q422&lt;&gt;"",$Q422,IF($S422&lt;&gt;"",$S422,IF($R422&lt;&gt;"",$R422,IF(OR($N422&lt;&gt;"",$O422="Blocked"),"BLOCKED","OK"))))</f>
        <v/>
      </c>
    </row>
    <row r="423">
      <c r="A423" s="21">
        <f>Deployments!H411</f>
        <v/>
      </c>
      <c r="B423" s="21">
        <f>Deployments!X411</f>
        <v/>
      </c>
      <c r="C423" s="21">
        <f>Deployments!Y411</f>
        <v/>
      </c>
      <c r="D423" s="14">
        <f>Deployments!AO411</f>
        <v/>
      </c>
      <c r="E423" s="14">
        <f>Deployments!N411</f>
        <v/>
      </c>
      <c r="F423" s="21">
        <f>Deployments!O411</f>
        <v/>
      </c>
      <c r="G423" s="14">
        <f>Deployments!P411</f>
        <v/>
      </c>
      <c r="H423" s="14">
        <f>'13 - Config_Intake_View'!M423</f>
        <v/>
      </c>
      <c r="I423" s="21">
        <f>IF('13 - Config_Intake_View'!Q423&lt;&gt;"",'13 - Config_Intake_View'!Q423,Deployments!AG411)</f>
        <v/>
      </c>
      <c r="J423" s="14">
        <f>IF('13 - Config_Intake_View'!Q423&lt;&gt;"","PM Approved",IF(Deployments!AG411&lt;&gt;"","Assumed",""))</f>
        <v/>
      </c>
      <c r="K423" s="21">
        <f>Deployments!AF411</f>
        <v/>
      </c>
      <c r="L423" s="14">
        <f>Deployments!U411</f>
        <v/>
      </c>
      <c r="M423" s="14">
        <f>Deployments!L411</f>
        <v/>
      </c>
      <c r="N423" s="14">
        <f>Deployments!CC411</f>
        <v/>
      </c>
      <c r="O423" s="21">
        <f>Deployments!CD411</f>
        <v/>
      </c>
      <c r="P423" s="2">
        <f>Deployments!BX411</f>
        <v/>
      </c>
      <c r="Q423" s="21">
        <f>IF(OR($A423="",$B423="",$D423=""),"MISSING CORE FIELDS","")</f>
        <v/>
      </c>
      <c r="R423" s="14">
        <f>IF(AND($I423&lt;&gt;"",$K423&lt;&gt;"Yes"),"SW NOT INSTALLED","")</f>
        <v/>
      </c>
      <c r="S423" s="14">
        <f>IF(AND($H423&lt;&gt;"",ISNUMBER(SEARCH("auto",LOWER($H423))),$F423=""),"AUTOLOGON REQUIRED","")</f>
        <v/>
      </c>
      <c r="T423" s="14">
        <f>IF($Q423&lt;&gt;"",$Q423,IF($S423&lt;&gt;"",$S423,IF($R423&lt;&gt;"",$R423,IF(OR($N423&lt;&gt;"",$O423="Blocked"),"BLOCKED","OK"))))</f>
        <v/>
      </c>
    </row>
    <row r="424">
      <c r="A424" s="21">
        <f>Deployments!H412</f>
        <v/>
      </c>
      <c r="B424" s="21">
        <f>Deployments!X412</f>
        <v/>
      </c>
      <c r="C424" s="21">
        <f>Deployments!Y412</f>
        <v/>
      </c>
      <c r="D424" s="14">
        <f>Deployments!AO412</f>
        <v/>
      </c>
      <c r="E424" s="14">
        <f>Deployments!N412</f>
        <v/>
      </c>
      <c r="F424" s="21">
        <f>Deployments!O412</f>
        <v/>
      </c>
      <c r="G424" s="14">
        <f>Deployments!P412</f>
        <v/>
      </c>
      <c r="H424" s="14">
        <f>'13 - Config_Intake_View'!M424</f>
        <v/>
      </c>
      <c r="I424" s="21">
        <f>IF('13 - Config_Intake_View'!Q424&lt;&gt;"",'13 - Config_Intake_View'!Q424,Deployments!AG412)</f>
        <v/>
      </c>
      <c r="J424" s="14">
        <f>IF('13 - Config_Intake_View'!Q424&lt;&gt;"","PM Approved",IF(Deployments!AG412&lt;&gt;"","Assumed",""))</f>
        <v/>
      </c>
      <c r="K424" s="21">
        <f>Deployments!AF412</f>
        <v/>
      </c>
      <c r="L424" s="14">
        <f>Deployments!U412</f>
        <v/>
      </c>
      <c r="M424" s="14">
        <f>Deployments!L412</f>
        <v/>
      </c>
      <c r="N424" s="14">
        <f>Deployments!CC412</f>
        <v/>
      </c>
      <c r="O424" s="21">
        <f>Deployments!CD412</f>
        <v/>
      </c>
      <c r="P424" s="2">
        <f>Deployments!BX412</f>
        <v/>
      </c>
      <c r="Q424" s="21">
        <f>IF(OR($A424="",$B424="",$D424=""),"MISSING CORE FIELDS","")</f>
        <v/>
      </c>
      <c r="R424" s="14">
        <f>IF(AND($I424&lt;&gt;"",$K424&lt;&gt;"Yes"),"SW NOT INSTALLED","")</f>
        <v/>
      </c>
      <c r="S424" s="14">
        <f>IF(AND($H424&lt;&gt;"",ISNUMBER(SEARCH("auto",LOWER($H424))),$F424=""),"AUTOLOGON REQUIRED","")</f>
        <v/>
      </c>
      <c r="T424" s="14">
        <f>IF($Q424&lt;&gt;"",$Q424,IF($S424&lt;&gt;"",$S424,IF($R424&lt;&gt;"",$R424,IF(OR($N424&lt;&gt;"",$O424="Blocked"),"BLOCKED","OK"))))</f>
        <v/>
      </c>
    </row>
    <row r="425">
      <c r="A425" s="21">
        <f>Deployments!H413</f>
        <v/>
      </c>
      <c r="B425" s="21">
        <f>Deployments!X413</f>
        <v/>
      </c>
      <c r="C425" s="21">
        <f>Deployments!Y413</f>
        <v/>
      </c>
      <c r="D425" s="14">
        <f>Deployments!AO413</f>
        <v/>
      </c>
      <c r="E425" s="14">
        <f>Deployments!N413</f>
        <v/>
      </c>
      <c r="F425" s="21">
        <f>Deployments!O413</f>
        <v/>
      </c>
      <c r="G425" s="14">
        <f>Deployments!P413</f>
        <v/>
      </c>
      <c r="H425" s="14">
        <f>'13 - Config_Intake_View'!M425</f>
        <v/>
      </c>
      <c r="I425" s="21">
        <f>IF('13 - Config_Intake_View'!Q425&lt;&gt;"",'13 - Config_Intake_View'!Q425,Deployments!AG413)</f>
        <v/>
      </c>
      <c r="J425" s="14">
        <f>IF('13 - Config_Intake_View'!Q425&lt;&gt;"","PM Approved",IF(Deployments!AG413&lt;&gt;"","Assumed",""))</f>
        <v/>
      </c>
      <c r="K425" s="21">
        <f>Deployments!AF413</f>
        <v/>
      </c>
      <c r="L425" s="14">
        <f>Deployments!U413</f>
        <v/>
      </c>
      <c r="M425" s="14">
        <f>Deployments!L413</f>
        <v/>
      </c>
      <c r="N425" s="14">
        <f>Deployments!CC413</f>
        <v/>
      </c>
      <c r="O425" s="21">
        <f>Deployments!CD413</f>
        <v/>
      </c>
      <c r="P425" s="2">
        <f>Deployments!BX413</f>
        <v/>
      </c>
      <c r="Q425" s="21">
        <f>IF(OR($A425="",$B425="",$D425=""),"MISSING CORE FIELDS","")</f>
        <v/>
      </c>
      <c r="R425" s="14">
        <f>IF(AND($I425&lt;&gt;"",$K425&lt;&gt;"Yes"),"SW NOT INSTALLED","")</f>
        <v/>
      </c>
      <c r="S425" s="14">
        <f>IF(AND($H425&lt;&gt;"",ISNUMBER(SEARCH("auto",LOWER($H425))),$F425=""),"AUTOLOGON REQUIRED","")</f>
        <v/>
      </c>
      <c r="T425" s="14">
        <f>IF($Q425&lt;&gt;"",$Q425,IF($S425&lt;&gt;"",$S425,IF($R425&lt;&gt;"",$R425,IF(OR($N425&lt;&gt;"",$O425="Blocked"),"BLOCKED","OK"))))</f>
        <v/>
      </c>
    </row>
    <row r="426">
      <c r="A426" s="21">
        <f>Deployments!H414</f>
        <v/>
      </c>
      <c r="B426" s="21">
        <f>Deployments!X414</f>
        <v/>
      </c>
      <c r="C426" s="21">
        <f>Deployments!Y414</f>
        <v/>
      </c>
      <c r="D426" s="14">
        <f>Deployments!AO414</f>
        <v/>
      </c>
      <c r="E426" s="14">
        <f>Deployments!N414</f>
        <v/>
      </c>
      <c r="F426" s="21">
        <f>Deployments!O414</f>
        <v/>
      </c>
      <c r="G426" s="14">
        <f>Deployments!P414</f>
        <v/>
      </c>
      <c r="H426" s="14">
        <f>'13 - Config_Intake_View'!M426</f>
        <v/>
      </c>
      <c r="I426" s="21">
        <f>IF('13 - Config_Intake_View'!Q426&lt;&gt;"",'13 - Config_Intake_View'!Q426,Deployments!AG414)</f>
        <v/>
      </c>
      <c r="J426" s="14">
        <f>IF('13 - Config_Intake_View'!Q426&lt;&gt;"","PM Approved",IF(Deployments!AG414&lt;&gt;"","Assumed",""))</f>
        <v/>
      </c>
      <c r="K426" s="21">
        <f>Deployments!AF414</f>
        <v/>
      </c>
      <c r="L426" s="14">
        <f>Deployments!U414</f>
        <v/>
      </c>
      <c r="M426" s="14">
        <f>Deployments!L414</f>
        <v/>
      </c>
      <c r="N426" s="14">
        <f>Deployments!CC414</f>
        <v/>
      </c>
      <c r="O426" s="21">
        <f>Deployments!CD414</f>
        <v/>
      </c>
      <c r="P426" s="2">
        <f>Deployments!BX414</f>
        <v/>
      </c>
      <c r="Q426" s="21">
        <f>IF(OR($A426="",$B426="",$D426=""),"MISSING CORE FIELDS","")</f>
        <v/>
      </c>
      <c r="R426" s="14">
        <f>IF(AND($I426&lt;&gt;"",$K426&lt;&gt;"Yes"),"SW NOT INSTALLED","")</f>
        <v/>
      </c>
      <c r="S426" s="14">
        <f>IF(AND($H426&lt;&gt;"",ISNUMBER(SEARCH("auto",LOWER($H426))),$F426=""),"AUTOLOGON REQUIRED","")</f>
        <v/>
      </c>
      <c r="T426" s="14">
        <f>IF($Q426&lt;&gt;"",$Q426,IF($S426&lt;&gt;"",$S426,IF($R426&lt;&gt;"",$R426,IF(OR($N426&lt;&gt;"",$O426="Blocked"),"BLOCKED","OK"))))</f>
        <v/>
      </c>
    </row>
    <row r="427">
      <c r="A427" s="21">
        <f>Deployments!H415</f>
        <v/>
      </c>
      <c r="B427" s="21">
        <f>Deployments!X415</f>
        <v/>
      </c>
      <c r="C427" s="21">
        <f>Deployments!Y415</f>
        <v/>
      </c>
      <c r="D427" s="14">
        <f>Deployments!AO415</f>
        <v/>
      </c>
      <c r="E427" s="14">
        <f>Deployments!N415</f>
        <v/>
      </c>
      <c r="F427" s="21">
        <f>Deployments!O415</f>
        <v/>
      </c>
      <c r="G427" s="14">
        <f>Deployments!P415</f>
        <v/>
      </c>
      <c r="H427" s="14">
        <f>'13 - Config_Intake_View'!M427</f>
        <v/>
      </c>
      <c r="I427" s="21">
        <f>IF('13 - Config_Intake_View'!Q427&lt;&gt;"",'13 - Config_Intake_View'!Q427,Deployments!AG415)</f>
        <v/>
      </c>
      <c r="J427" s="14">
        <f>IF('13 - Config_Intake_View'!Q427&lt;&gt;"","PM Approved",IF(Deployments!AG415&lt;&gt;"","Assumed",""))</f>
        <v/>
      </c>
      <c r="K427" s="21">
        <f>Deployments!AF415</f>
        <v/>
      </c>
      <c r="L427" s="14">
        <f>Deployments!U415</f>
        <v/>
      </c>
      <c r="M427" s="14">
        <f>Deployments!L415</f>
        <v/>
      </c>
      <c r="N427" s="14">
        <f>Deployments!CC415</f>
        <v/>
      </c>
      <c r="O427" s="21">
        <f>Deployments!CD415</f>
        <v/>
      </c>
      <c r="P427" s="2">
        <f>Deployments!BX415</f>
        <v/>
      </c>
      <c r="Q427" s="21">
        <f>IF(OR($A427="",$B427="",$D427=""),"MISSING CORE FIELDS","")</f>
        <v/>
      </c>
      <c r="R427" s="14">
        <f>IF(AND($I427&lt;&gt;"",$K427&lt;&gt;"Yes"),"SW NOT INSTALLED","")</f>
        <v/>
      </c>
      <c r="S427" s="14">
        <f>IF(AND($H427&lt;&gt;"",ISNUMBER(SEARCH("auto",LOWER($H427))),$F427=""),"AUTOLOGON REQUIRED","")</f>
        <v/>
      </c>
      <c r="T427" s="14">
        <f>IF($Q427&lt;&gt;"",$Q427,IF($S427&lt;&gt;"",$S427,IF($R427&lt;&gt;"",$R427,IF(OR($N427&lt;&gt;"",$O427="Blocked"),"BLOCKED","OK"))))</f>
        <v/>
      </c>
    </row>
    <row r="428">
      <c r="A428" s="21">
        <f>Deployments!H416</f>
        <v/>
      </c>
      <c r="B428" s="21">
        <f>Deployments!X416</f>
        <v/>
      </c>
      <c r="C428" s="21">
        <f>Deployments!Y416</f>
        <v/>
      </c>
      <c r="D428" s="14">
        <f>Deployments!AO416</f>
        <v/>
      </c>
      <c r="E428" s="14">
        <f>Deployments!N416</f>
        <v/>
      </c>
      <c r="F428" s="21">
        <f>Deployments!O416</f>
        <v/>
      </c>
      <c r="G428" s="14">
        <f>Deployments!P416</f>
        <v/>
      </c>
      <c r="H428" s="14">
        <f>'13 - Config_Intake_View'!M428</f>
        <v/>
      </c>
      <c r="I428" s="21">
        <f>IF('13 - Config_Intake_View'!Q428&lt;&gt;"",'13 - Config_Intake_View'!Q428,Deployments!AG416)</f>
        <v/>
      </c>
      <c r="J428" s="14">
        <f>IF('13 - Config_Intake_View'!Q428&lt;&gt;"","PM Approved",IF(Deployments!AG416&lt;&gt;"","Assumed",""))</f>
        <v/>
      </c>
      <c r="K428" s="21">
        <f>Deployments!AF416</f>
        <v/>
      </c>
      <c r="L428" s="14">
        <f>Deployments!U416</f>
        <v/>
      </c>
      <c r="M428" s="14">
        <f>Deployments!L416</f>
        <v/>
      </c>
      <c r="N428" s="14">
        <f>Deployments!CC416</f>
        <v/>
      </c>
      <c r="O428" s="21">
        <f>Deployments!CD416</f>
        <v/>
      </c>
      <c r="P428" s="2">
        <f>Deployments!BX416</f>
        <v/>
      </c>
      <c r="Q428" s="21">
        <f>IF(OR($A428="",$B428="",$D428=""),"MISSING CORE FIELDS","")</f>
        <v/>
      </c>
      <c r="R428" s="14">
        <f>IF(AND($I428&lt;&gt;"",$K428&lt;&gt;"Yes"),"SW NOT INSTALLED","")</f>
        <v/>
      </c>
      <c r="S428" s="14">
        <f>IF(AND($H428&lt;&gt;"",ISNUMBER(SEARCH("auto",LOWER($H428))),$F428=""),"AUTOLOGON REQUIRED","")</f>
        <v/>
      </c>
      <c r="T428" s="14">
        <f>IF($Q428&lt;&gt;"",$Q428,IF($S428&lt;&gt;"",$S428,IF($R428&lt;&gt;"",$R428,IF(OR($N428&lt;&gt;"",$O428="Blocked"),"BLOCKED","OK"))))</f>
        <v/>
      </c>
    </row>
    <row r="429">
      <c r="A429" s="21">
        <f>Deployments!H417</f>
        <v/>
      </c>
      <c r="B429" s="21">
        <f>Deployments!X417</f>
        <v/>
      </c>
      <c r="C429" s="21">
        <f>Deployments!Y417</f>
        <v/>
      </c>
      <c r="D429" s="14">
        <f>Deployments!AO417</f>
        <v/>
      </c>
      <c r="E429" s="14">
        <f>Deployments!N417</f>
        <v/>
      </c>
      <c r="F429" s="21">
        <f>Deployments!O417</f>
        <v/>
      </c>
      <c r="G429" s="14">
        <f>Deployments!P417</f>
        <v/>
      </c>
      <c r="H429" s="14">
        <f>'13 - Config_Intake_View'!M429</f>
        <v/>
      </c>
      <c r="I429" s="21">
        <f>IF('13 - Config_Intake_View'!Q429&lt;&gt;"",'13 - Config_Intake_View'!Q429,Deployments!AG417)</f>
        <v/>
      </c>
      <c r="J429" s="14">
        <f>IF('13 - Config_Intake_View'!Q429&lt;&gt;"","PM Approved",IF(Deployments!AG417&lt;&gt;"","Assumed",""))</f>
        <v/>
      </c>
      <c r="K429" s="21">
        <f>Deployments!AF417</f>
        <v/>
      </c>
      <c r="L429" s="14">
        <f>Deployments!U417</f>
        <v/>
      </c>
      <c r="M429" s="14">
        <f>Deployments!L417</f>
        <v/>
      </c>
      <c r="N429" s="14">
        <f>Deployments!CC417</f>
        <v/>
      </c>
      <c r="O429" s="21">
        <f>Deployments!CD417</f>
        <v/>
      </c>
      <c r="P429" s="2">
        <f>Deployments!BX417</f>
        <v/>
      </c>
      <c r="Q429" s="21">
        <f>IF(OR($A429="",$B429="",$D429=""),"MISSING CORE FIELDS","")</f>
        <v/>
      </c>
      <c r="R429" s="14">
        <f>IF(AND($I429&lt;&gt;"",$K429&lt;&gt;"Yes"),"SW NOT INSTALLED","")</f>
        <v/>
      </c>
      <c r="S429" s="14">
        <f>IF(AND($H429&lt;&gt;"",ISNUMBER(SEARCH("auto",LOWER($H429))),$F429=""),"AUTOLOGON REQUIRED","")</f>
        <v/>
      </c>
      <c r="T429" s="14">
        <f>IF($Q429&lt;&gt;"",$Q429,IF($S429&lt;&gt;"",$S429,IF($R429&lt;&gt;"",$R429,IF(OR($N429&lt;&gt;"",$O429="Blocked"),"BLOCKED","OK"))))</f>
        <v/>
      </c>
    </row>
    <row r="430">
      <c r="A430" s="21">
        <f>Deployments!H418</f>
        <v/>
      </c>
      <c r="B430" s="21">
        <f>Deployments!X418</f>
        <v/>
      </c>
      <c r="C430" s="21">
        <f>Deployments!Y418</f>
        <v/>
      </c>
      <c r="D430" s="14">
        <f>Deployments!AO418</f>
        <v/>
      </c>
      <c r="E430" s="14">
        <f>Deployments!N418</f>
        <v/>
      </c>
      <c r="F430" s="21">
        <f>Deployments!O418</f>
        <v/>
      </c>
      <c r="G430" s="14">
        <f>Deployments!P418</f>
        <v/>
      </c>
      <c r="H430" s="14">
        <f>'13 - Config_Intake_View'!M430</f>
        <v/>
      </c>
      <c r="I430" s="21">
        <f>IF('13 - Config_Intake_View'!Q430&lt;&gt;"",'13 - Config_Intake_View'!Q430,Deployments!AG418)</f>
        <v/>
      </c>
      <c r="J430" s="14">
        <f>IF('13 - Config_Intake_View'!Q430&lt;&gt;"","PM Approved",IF(Deployments!AG418&lt;&gt;"","Assumed",""))</f>
        <v/>
      </c>
      <c r="K430" s="21">
        <f>Deployments!AF418</f>
        <v/>
      </c>
      <c r="L430" s="14">
        <f>Deployments!U418</f>
        <v/>
      </c>
      <c r="M430" s="14">
        <f>Deployments!L418</f>
        <v/>
      </c>
      <c r="N430" s="14">
        <f>Deployments!CC418</f>
        <v/>
      </c>
      <c r="O430" s="21">
        <f>Deployments!CD418</f>
        <v/>
      </c>
      <c r="P430" s="2">
        <f>Deployments!BX418</f>
        <v/>
      </c>
      <c r="Q430" s="21">
        <f>IF(OR($A430="",$B430="",$D430=""),"MISSING CORE FIELDS","")</f>
        <v/>
      </c>
      <c r="R430" s="14">
        <f>IF(AND($I430&lt;&gt;"",$K430&lt;&gt;"Yes"),"SW NOT INSTALLED","")</f>
        <v/>
      </c>
      <c r="S430" s="14">
        <f>IF(AND($H430&lt;&gt;"",ISNUMBER(SEARCH("auto",LOWER($H430))),$F430=""),"AUTOLOGON REQUIRED","")</f>
        <v/>
      </c>
      <c r="T430" s="14">
        <f>IF($Q430&lt;&gt;"",$Q430,IF($S430&lt;&gt;"",$S430,IF($R430&lt;&gt;"",$R430,IF(OR($N430&lt;&gt;"",$O430="Blocked"),"BLOCKED","OK"))))</f>
        <v/>
      </c>
    </row>
    <row r="431">
      <c r="A431" s="21">
        <f>Deployments!H419</f>
        <v/>
      </c>
      <c r="B431" s="21">
        <f>Deployments!X419</f>
        <v/>
      </c>
      <c r="C431" s="21">
        <f>Deployments!Y419</f>
        <v/>
      </c>
      <c r="D431" s="14">
        <f>Deployments!AO419</f>
        <v/>
      </c>
      <c r="E431" s="14">
        <f>Deployments!N419</f>
        <v/>
      </c>
      <c r="F431" s="21">
        <f>Deployments!O419</f>
        <v/>
      </c>
      <c r="G431" s="14">
        <f>Deployments!P419</f>
        <v/>
      </c>
      <c r="H431" s="14">
        <f>'13 - Config_Intake_View'!M431</f>
        <v/>
      </c>
      <c r="I431" s="21">
        <f>IF('13 - Config_Intake_View'!Q431&lt;&gt;"",'13 - Config_Intake_View'!Q431,Deployments!AG419)</f>
        <v/>
      </c>
      <c r="J431" s="14">
        <f>IF('13 - Config_Intake_View'!Q431&lt;&gt;"","PM Approved",IF(Deployments!AG419&lt;&gt;"","Assumed",""))</f>
        <v/>
      </c>
      <c r="K431" s="21">
        <f>Deployments!AF419</f>
        <v/>
      </c>
      <c r="L431" s="14">
        <f>Deployments!U419</f>
        <v/>
      </c>
      <c r="M431" s="14">
        <f>Deployments!L419</f>
        <v/>
      </c>
      <c r="N431" s="14">
        <f>Deployments!CC419</f>
        <v/>
      </c>
      <c r="O431" s="21">
        <f>Deployments!CD419</f>
        <v/>
      </c>
      <c r="P431" s="2">
        <f>Deployments!BX419</f>
        <v/>
      </c>
      <c r="Q431" s="21">
        <f>IF(OR($A431="",$B431="",$D431=""),"MISSING CORE FIELDS","")</f>
        <v/>
      </c>
      <c r="R431" s="14">
        <f>IF(AND($I431&lt;&gt;"",$K431&lt;&gt;"Yes"),"SW NOT INSTALLED","")</f>
        <v/>
      </c>
      <c r="S431" s="14">
        <f>IF(AND($H431&lt;&gt;"",ISNUMBER(SEARCH("auto",LOWER($H431))),$F431=""),"AUTOLOGON REQUIRED","")</f>
        <v/>
      </c>
      <c r="T431" s="14">
        <f>IF($Q431&lt;&gt;"",$Q431,IF($S431&lt;&gt;"",$S431,IF($R431&lt;&gt;"",$R431,IF(OR($N431&lt;&gt;"",$O431="Blocked"),"BLOCKED","OK"))))</f>
        <v/>
      </c>
    </row>
    <row r="432">
      <c r="A432" s="21">
        <f>Deployments!H420</f>
        <v/>
      </c>
      <c r="B432" s="21">
        <f>Deployments!X420</f>
        <v/>
      </c>
      <c r="C432" s="21">
        <f>Deployments!Y420</f>
        <v/>
      </c>
      <c r="D432" s="14">
        <f>Deployments!AO420</f>
        <v/>
      </c>
      <c r="E432" s="14">
        <f>Deployments!N420</f>
        <v/>
      </c>
      <c r="F432" s="21">
        <f>Deployments!O420</f>
        <v/>
      </c>
      <c r="G432" s="14">
        <f>Deployments!P420</f>
        <v/>
      </c>
      <c r="H432" s="14">
        <f>'13 - Config_Intake_View'!M432</f>
        <v/>
      </c>
      <c r="I432" s="21">
        <f>IF('13 - Config_Intake_View'!Q432&lt;&gt;"",'13 - Config_Intake_View'!Q432,Deployments!AG420)</f>
        <v/>
      </c>
      <c r="J432" s="14">
        <f>IF('13 - Config_Intake_View'!Q432&lt;&gt;"","PM Approved",IF(Deployments!AG420&lt;&gt;"","Assumed",""))</f>
        <v/>
      </c>
      <c r="K432" s="21">
        <f>Deployments!AF420</f>
        <v/>
      </c>
      <c r="L432" s="14">
        <f>Deployments!U420</f>
        <v/>
      </c>
      <c r="M432" s="14">
        <f>Deployments!L420</f>
        <v/>
      </c>
      <c r="N432" s="14">
        <f>Deployments!CC420</f>
        <v/>
      </c>
      <c r="O432" s="21">
        <f>Deployments!CD420</f>
        <v/>
      </c>
      <c r="P432" s="2">
        <f>Deployments!BX420</f>
        <v/>
      </c>
      <c r="Q432" s="21">
        <f>IF(OR($A432="",$B432="",$D432=""),"MISSING CORE FIELDS","")</f>
        <v/>
      </c>
      <c r="R432" s="14">
        <f>IF(AND($I432&lt;&gt;"",$K432&lt;&gt;"Yes"),"SW NOT INSTALLED","")</f>
        <v/>
      </c>
      <c r="S432" s="14">
        <f>IF(AND($H432&lt;&gt;"",ISNUMBER(SEARCH("auto",LOWER($H432))),$F432=""),"AUTOLOGON REQUIRED","")</f>
        <v/>
      </c>
      <c r="T432" s="14">
        <f>IF($Q432&lt;&gt;"",$Q432,IF($S432&lt;&gt;"",$S432,IF($R432&lt;&gt;"",$R432,IF(OR($N432&lt;&gt;"",$O432="Blocked"),"BLOCKED","OK"))))</f>
        <v/>
      </c>
    </row>
    <row r="433">
      <c r="A433" s="21">
        <f>Deployments!H421</f>
        <v/>
      </c>
      <c r="B433" s="21">
        <f>Deployments!X421</f>
        <v/>
      </c>
      <c r="C433" s="21">
        <f>Deployments!Y421</f>
        <v/>
      </c>
      <c r="D433" s="14">
        <f>Deployments!AO421</f>
        <v/>
      </c>
      <c r="E433" s="14">
        <f>Deployments!N421</f>
        <v/>
      </c>
      <c r="F433" s="21">
        <f>Deployments!O421</f>
        <v/>
      </c>
      <c r="G433" s="14">
        <f>Deployments!P421</f>
        <v/>
      </c>
      <c r="H433" s="14">
        <f>'13 - Config_Intake_View'!M433</f>
        <v/>
      </c>
      <c r="I433" s="21">
        <f>IF('13 - Config_Intake_View'!Q433&lt;&gt;"",'13 - Config_Intake_View'!Q433,Deployments!AG421)</f>
        <v/>
      </c>
      <c r="J433" s="14">
        <f>IF('13 - Config_Intake_View'!Q433&lt;&gt;"","PM Approved",IF(Deployments!AG421&lt;&gt;"","Assumed",""))</f>
        <v/>
      </c>
      <c r="K433" s="21">
        <f>Deployments!AF421</f>
        <v/>
      </c>
      <c r="L433" s="14">
        <f>Deployments!U421</f>
        <v/>
      </c>
      <c r="M433" s="14">
        <f>Deployments!L421</f>
        <v/>
      </c>
      <c r="N433" s="14">
        <f>Deployments!CC421</f>
        <v/>
      </c>
      <c r="O433" s="21">
        <f>Deployments!CD421</f>
        <v/>
      </c>
      <c r="P433" s="2">
        <f>Deployments!BX421</f>
        <v/>
      </c>
      <c r="Q433" s="21">
        <f>IF(OR($A433="",$B433="",$D433=""),"MISSING CORE FIELDS","")</f>
        <v/>
      </c>
      <c r="R433" s="14">
        <f>IF(AND($I433&lt;&gt;"",$K433&lt;&gt;"Yes"),"SW NOT INSTALLED","")</f>
        <v/>
      </c>
      <c r="S433" s="14">
        <f>IF(AND($H433&lt;&gt;"",ISNUMBER(SEARCH("auto",LOWER($H433))),$F433=""),"AUTOLOGON REQUIRED","")</f>
        <v/>
      </c>
      <c r="T433" s="14">
        <f>IF($Q433&lt;&gt;"",$Q433,IF($S433&lt;&gt;"",$S433,IF($R433&lt;&gt;"",$R433,IF(OR($N433&lt;&gt;"",$O433="Blocked"),"BLOCKED","OK"))))</f>
        <v/>
      </c>
    </row>
    <row r="434">
      <c r="A434" s="21">
        <f>Deployments!H422</f>
        <v/>
      </c>
      <c r="B434" s="21">
        <f>Deployments!X422</f>
        <v/>
      </c>
      <c r="C434" s="21">
        <f>Deployments!Y422</f>
        <v/>
      </c>
      <c r="D434" s="14">
        <f>Deployments!AO422</f>
        <v/>
      </c>
      <c r="E434" s="14">
        <f>Deployments!N422</f>
        <v/>
      </c>
      <c r="F434" s="21">
        <f>Deployments!O422</f>
        <v/>
      </c>
      <c r="G434" s="14">
        <f>Deployments!P422</f>
        <v/>
      </c>
      <c r="H434" s="14">
        <f>'13 - Config_Intake_View'!M434</f>
        <v/>
      </c>
      <c r="I434" s="21">
        <f>IF('13 - Config_Intake_View'!Q434&lt;&gt;"",'13 - Config_Intake_View'!Q434,Deployments!AG422)</f>
        <v/>
      </c>
      <c r="J434" s="14">
        <f>IF('13 - Config_Intake_View'!Q434&lt;&gt;"","PM Approved",IF(Deployments!AG422&lt;&gt;"","Assumed",""))</f>
        <v/>
      </c>
      <c r="K434" s="21">
        <f>Deployments!AF422</f>
        <v/>
      </c>
      <c r="L434" s="14">
        <f>Deployments!U422</f>
        <v/>
      </c>
      <c r="M434" s="14">
        <f>Deployments!L422</f>
        <v/>
      </c>
      <c r="N434" s="14">
        <f>Deployments!CC422</f>
        <v/>
      </c>
      <c r="O434" s="21">
        <f>Deployments!CD422</f>
        <v/>
      </c>
      <c r="P434" s="2">
        <f>Deployments!BX422</f>
        <v/>
      </c>
      <c r="Q434" s="21">
        <f>IF(OR($A434="",$B434="",$D434=""),"MISSING CORE FIELDS","")</f>
        <v/>
      </c>
      <c r="R434" s="14">
        <f>IF(AND($I434&lt;&gt;"",$K434&lt;&gt;"Yes"),"SW NOT INSTALLED","")</f>
        <v/>
      </c>
      <c r="S434" s="14">
        <f>IF(AND($H434&lt;&gt;"",ISNUMBER(SEARCH("auto",LOWER($H434))),$F434=""),"AUTOLOGON REQUIRED","")</f>
        <v/>
      </c>
      <c r="T434" s="14">
        <f>IF($Q434&lt;&gt;"",$Q434,IF($S434&lt;&gt;"",$S434,IF($R434&lt;&gt;"",$R434,IF(OR($N434&lt;&gt;"",$O434="Blocked"),"BLOCKED","OK"))))</f>
        <v/>
      </c>
    </row>
    <row r="435">
      <c r="A435" s="21">
        <f>Deployments!H423</f>
        <v/>
      </c>
      <c r="B435" s="21">
        <f>Deployments!X423</f>
        <v/>
      </c>
      <c r="C435" s="21">
        <f>Deployments!Y423</f>
        <v/>
      </c>
      <c r="D435" s="14">
        <f>Deployments!AO423</f>
        <v/>
      </c>
      <c r="E435" s="14">
        <f>Deployments!N423</f>
        <v/>
      </c>
      <c r="F435" s="21">
        <f>Deployments!O423</f>
        <v/>
      </c>
      <c r="G435" s="14">
        <f>Deployments!P423</f>
        <v/>
      </c>
      <c r="H435" s="14">
        <f>'13 - Config_Intake_View'!M435</f>
        <v/>
      </c>
      <c r="I435" s="21">
        <f>IF('13 - Config_Intake_View'!Q435&lt;&gt;"",'13 - Config_Intake_View'!Q435,Deployments!AG423)</f>
        <v/>
      </c>
      <c r="J435" s="14">
        <f>IF('13 - Config_Intake_View'!Q435&lt;&gt;"","PM Approved",IF(Deployments!AG423&lt;&gt;"","Assumed",""))</f>
        <v/>
      </c>
      <c r="K435" s="21">
        <f>Deployments!AF423</f>
        <v/>
      </c>
      <c r="L435" s="14">
        <f>Deployments!U423</f>
        <v/>
      </c>
      <c r="M435" s="14">
        <f>Deployments!L423</f>
        <v/>
      </c>
      <c r="N435" s="14">
        <f>Deployments!CC423</f>
        <v/>
      </c>
      <c r="O435" s="21">
        <f>Deployments!CD423</f>
        <v/>
      </c>
      <c r="P435" s="2">
        <f>Deployments!BX423</f>
        <v/>
      </c>
      <c r="Q435" s="21">
        <f>IF(OR($A435="",$B435="",$D435=""),"MISSING CORE FIELDS","")</f>
        <v/>
      </c>
      <c r="R435" s="14">
        <f>IF(AND($I435&lt;&gt;"",$K435&lt;&gt;"Yes"),"SW NOT INSTALLED","")</f>
        <v/>
      </c>
      <c r="S435" s="14">
        <f>IF(AND($H435&lt;&gt;"",ISNUMBER(SEARCH("auto",LOWER($H435))),$F435=""),"AUTOLOGON REQUIRED","")</f>
        <v/>
      </c>
      <c r="T435" s="14">
        <f>IF($Q435&lt;&gt;"",$Q435,IF($S435&lt;&gt;"",$S435,IF($R435&lt;&gt;"",$R435,IF(OR($N435&lt;&gt;"",$O435="Blocked"),"BLOCKED","OK"))))</f>
        <v/>
      </c>
    </row>
    <row r="436">
      <c r="A436" s="21">
        <f>Deployments!H424</f>
        <v/>
      </c>
      <c r="B436" s="21">
        <f>Deployments!X424</f>
        <v/>
      </c>
      <c r="C436" s="21">
        <f>Deployments!Y424</f>
        <v/>
      </c>
      <c r="D436" s="14">
        <f>Deployments!AO424</f>
        <v/>
      </c>
      <c r="E436" s="14">
        <f>Deployments!N424</f>
        <v/>
      </c>
      <c r="F436" s="21">
        <f>Deployments!O424</f>
        <v/>
      </c>
      <c r="G436" s="14">
        <f>Deployments!P424</f>
        <v/>
      </c>
      <c r="H436" s="14">
        <f>'13 - Config_Intake_View'!M436</f>
        <v/>
      </c>
      <c r="I436" s="21">
        <f>IF('13 - Config_Intake_View'!Q436&lt;&gt;"",'13 - Config_Intake_View'!Q436,Deployments!AG424)</f>
        <v/>
      </c>
      <c r="J436" s="14">
        <f>IF('13 - Config_Intake_View'!Q436&lt;&gt;"","PM Approved",IF(Deployments!AG424&lt;&gt;"","Assumed",""))</f>
        <v/>
      </c>
      <c r="K436" s="21">
        <f>Deployments!AF424</f>
        <v/>
      </c>
      <c r="L436" s="14">
        <f>Deployments!U424</f>
        <v/>
      </c>
      <c r="M436" s="14">
        <f>Deployments!L424</f>
        <v/>
      </c>
      <c r="N436" s="14">
        <f>Deployments!CC424</f>
        <v/>
      </c>
      <c r="O436" s="21">
        <f>Deployments!CD424</f>
        <v/>
      </c>
      <c r="P436" s="2">
        <f>Deployments!BX424</f>
        <v/>
      </c>
      <c r="Q436" s="21">
        <f>IF(OR($A436="",$B436="",$D436=""),"MISSING CORE FIELDS","")</f>
        <v/>
      </c>
      <c r="R436" s="14">
        <f>IF(AND($I436&lt;&gt;"",$K436&lt;&gt;"Yes"),"SW NOT INSTALLED","")</f>
        <v/>
      </c>
      <c r="S436" s="14">
        <f>IF(AND($H436&lt;&gt;"",ISNUMBER(SEARCH("auto",LOWER($H436))),$F436=""),"AUTOLOGON REQUIRED","")</f>
        <v/>
      </c>
      <c r="T436" s="14">
        <f>IF($Q436&lt;&gt;"",$Q436,IF($S436&lt;&gt;"",$S436,IF($R436&lt;&gt;"",$R436,IF(OR($N436&lt;&gt;"",$O436="Blocked"),"BLOCKED","OK"))))</f>
        <v/>
      </c>
    </row>
    <row r="437">
      <c r="A437" s="21">
        <f>Deployments!H425</f>
        <v/>
      </c>
      <c r="B437" s="21">
        <f>Deployments!X425</f>
        <v/>
      </c>
      <c r="C437" s="21">
        <f>Deployments!Y425</f>
        <v/>
      </c>
      <c r="D437" s="14">
        <f>Deployments!AO425</f>
        <v/>
      </c>
      <c r="E437" s="14">
        <f>Deployments!N425</f>
        <v/>
      </c>
      <c r="F437" s="21">
        <f>Deployments!O425</f>
        <v/>
      </c>
      <c r="G437" s="14">
        <f>Deployments!P425</f>
        <v/>
      </c>
      <c r="H437" s="14">
        <f>'13 - Config_Intake_View'!M437</f>
        <v/>
      </c>
      <c r="I437" s="21">
        <f>IF('13 - Config_Intake_View'!Q437&lt;&gt;"",'13 - Config_Intake_View'!Q437,Deployments!AG425)</f>
        <v/>
      </c>
      <c r="J437" s="14">
        <f>IF('13 - Config_Intake_View'!Q437&lt;&gt;"","PM Approved",IF(Deployments!AG425&lt;&gt;"","Assumed",""))</f>
        <v/>
      </c>
      <c r="K437" s="21">
        <f>Deployments!AF425</f>
        <v/>
      </c>
      <c r="L437" s="14">
        <f>Deployments!U425</f>
        <v/>
      </c>
      <c r="M437" s="14">
        <f>Deployments!L425</f>
        <v/>
      </c>
      <c r="N437" s="14">
        <f>Deployments!CC425</f>
        <v/>
      </c>
      <c r="O437" s="21">
        <f>Deployments!CD425</f>
        <v/>
      </c>
      <c r="P437" s="2">
        <f>Deployments!BX425</f>
        <v/>
      </c>
      <c r="Q437" s="21">
        <f>IF(OR($A437="",$B437="",$D437=""),"MISSING CORE FIELDS","")</f>
        <v/>
      </c>
      <c r="R437" s="14">
        <f>IF(AND($I437&lt;&gt;"",$K437&lt;&gt;"Yes"),"SW NOT INSTALLED","")</f>
        <v/>
      </c>
      <c r="S437" s="14">
        <f>IF(AND($H437&lt;&gt;"",ISNUMBER(SEARCH("auto",LOWER($H437))),$F437=""),"AUTOLOGON REQUIRED","")</f>
        <v/>
      </c>
      <c r="T437" s="14">
        <f>IF($Q437&lt;&gt;"",$Q437,IF($S437&lt;&gt;"",$S437,IF($R437&lt;&gt;"",$R437,IF(OR($N437&lt;&gt;"",$O437="Blocked"),"BLOCKED","OK"))))</f>
        <v/>
      </c>
    </row>
    <row r="438">
      <c r="A438" s="21">
        <f>Deployments!H426</f>
        <v/>
      </c>
      <c r="B438" s="21">
        <f>Deployments!X426</f>
        <v/>
      </c>
      <c r="C438" s="21">
        <f>Deployments!Y426</f>
        <v/>
      </c>
      <c r="D438" s="14">
        <f>Deployments!AO426</f>
        <v/>
      </c>
      <c r="E438" s="14">
        <f>Deployments!N426</f>
        <v/>
      </c>
      <c r="F438" s="21">
        <f>Deployments!O426</f>
        <v/>
      </c>
      <c r="G438" s="14">
        <f>Deployments!P426</f>
        <v/>
      </c>
      <c r="H438" s="14">
        <f>'13 - Config_Intake_View'!M438</f>
        <v/>
      </c>
      <c r="I438" s="21">
        <f>IF('13 - Config_Intake_View'!Q438&lt;&gt;"",'13 - Config_Intake_View'!Q438,Deployments!AG426)</f>
        <v/>
      </c>
      <c r="J438" s="14">
        <f>IF('13 - Config_Intake_View'!Q438&lt;&gt;"","PM Approved",IF(Deployments!AG426&lt;&gt;"","Assumed",""))</f>
        <v/>
      </c>
      <c r="K438" s="21">
        <f>Deployments!AF426</f>
        <v/>
      </c>
      <c r="L438" s="14">
        <f>Deployments!U426</f>
        <v/>
      </c>
      <c r="M438" s="14">
        <f>Deployments!L426</f>
        <v/>
      </c>
      <c r="N438" s="14">
        <f>Deployments!CC426</f>
        <v/>
      </c>
      <c r="O438" s="21">
        <f>Deployments!CD426</f>
        <v/>
      </c>
      <c r="P438" s="2">
        <f>Deployments!BX426</f>
        <v/>
      </c>
      <c r="Q438" s="21">
        <f>IF(OR($A438="",$B438="",$D438=""),"MISSING CORE FIELDS","")</f>
        <v/>
      </c>
      <c r="R438" s="14">
        <f>IF(AND($I438&lt;&gt;"",$K438&lt;&gt;"Yes"),"SW NOT INSTALLED","")</f>
        <v/>
      </c>
      <c r="S438" s="14">
        <f>IF(AND($H438&lt;&gt;"",ISNUMBER(SEARCH("auto",LOWER($H438))),$F438=""),"AUTOLOGON REQUIRED","")</f>
        <v/>
      </c>
      <c r="T438" s="14">
        <f>IF($Q438&lt;&gt;"",$Q438,IF($S438&lt;&gt;"",$S438,IF($R438&lt;&gt;"",$R438,IF(OR($N438&lt;&gt;"",$O438="Blocked"),"BLOCKED","OK"))))</f>
        <v/>
      </c>
    </row>
    <row r="439">
      <c r="A439" s="21">
        <f>Deployments!H427</f>
        <v/>
      </c>
      <c r="B439" s="21">
        <f>Deployments!X427</f>
        <v/>
      </c>
      <c r="C439" s="21">
        <f>Deployments!Y427</f>
        <v/>
      </c>
      <c r="D439" s="14">
        <f>Deployments!AO427</f>
        <v/>
      </c>
      <c r="E439" s="14">
        <f>Deployments!N427</f>
        <v/>
      </c>
      <c r="F439" s="21">
        <f>Deployments!O427</f>
        <v/>
      </c>
      <c r="G439" s="14">
        <f>Deployments!P427</f>
        <v/>
      </c>
      <c r="H439" s="14">
        <f>'13 - Config_Intake_View'!M439</f>
        <v/>
      </c>
      <c r="I439" s="21">
        <f>IF('13 - Config_Intake_View'!Q439&lt;&gt;"",'13 - Config_Intake_View'!Q439,Deployments!AG427)</f>
        <v/>
      </c>
      <c r="J439" s="14">
        <f>IF('13 - Config_Intake_View'!Q439&lt;&gt;"","PM Approved",IF(Deployments!AG427&lt;&gt;"","Assumed",""))</f>
        <v/>
      </c>
      <c r="K439" s="21">
        <f>Deployments!AF427</f>
        <v/>
      </c>
      <c r="L439" s="14">
        <f>Deployments!U427</f>
        <v/>
      </c>
      <c r="M439" s="14">
        <f>Deployments!L427</f>
        <v/>
      </c>
      <c r="N439" s="14">
        <f>Deployments!CC427</f>
        <v/>
      </c>
      <c r="O439" s="21">
        <f>Deployments!CD427</f>
        <v/>
      </c>
      <c r="P439" s="2">
        <f>Deployments!BX427</f>
        <v/>
      </c>
      <c r="Q439" s="21">
        <f>IF(OR($A439="",$B439="",$D439=""),"MISSING CORE FIELDS","")</f>
        <v/>
      </c>
      <c r="R439" s="14">
        <f>IF(AND($I439&lt;&gt;"",$K439&lt;&gt;"Yes"),"SW NOT INSTALLED","")</f>
        <v/>
      </c>
      <c r="S439" s="14">
        <f>IF(AND($H439&lt;&gt;"",ISNUMBER(SEARCH("auto",LOWER($H439))),$F439=""),"AUTOLOGON REQUIRED","")</f>
        <v/>
      </c>
      <c r="T439" s="14">
        <f>IF($Q439&lt;&gt;"",$Q439,IF($S439&lt;&gt;"",$S439,IF($R439&lt;&gt;"",$R439,IF(OR($N439&lt;&gt;"",$O439="Blocked"),"BLOCKED","OK"))))</f>
        <v/>
      </c>
    </row>
    <row r="440">
      <c r="A440" s="21">
        <f>Deployments!H428</f>
        <v/>
      </c>
      <c r="B440" s="21">
        <f>Deployments!X428</f>
        <v/>
      </c>
      <c r="C440" s="21">
        <f>Deployments!Y428</f>
        <v/>
      </c>
      <c r="D440" s="14">
        <f>Deployments!AO428</f>
        <v/>
      </c>
      <c r="E440" s="14">
        <f>Deployments!N428</f>
        <v/>
      </c>
      <c r="F440" s="21">
        <f>Deployments!O428</f>
        <v/>
      </c>
      <c r="G440" s="14">
        <f>Deployments!P428</f>
        <v/>
      </c>
      <c r="H440" s="14">
        <f>'13 - Config_Intake_View'!M440</f>
        <v/>
      </c>
      <c r="I440" s="21">
        <f>IF('13 - Config_Intake_View'!Q440&lt;&gt;"",'13 - Config_Intake_View'!Q440,Deployments!AG428)</f>
        <v/>
      </c>
      <c r="J440" s="14">
        <f>IF('13 - Config_Intake_View'!Q440&lt;&gt;"","PM Approved",IF(Deployments!AG428&lt;&gt;"","Assumed",""))</f>
        <v/>
      </c>
      <c r="K440" s="21">
        <f>Deployments!AF428</f>
        <v/>
      </c>
      <c r="L440" s="14">
        <f>Deployments!U428</f>
        <v/>
      </c>
      <c r="M440" s="14">
        <f>Deployments!L428</f>
        <v/>
      </c>
      <c r="N440" s="14">
        <f>Deployments!CC428</f>
        <v/>
      </c>
      <c r="O440" s="21">
        <f>Deployments!CD428</f>
        <v/>
      </c>
      <c r="P440" s="2">
        <f>Deployments!BX428</f>
        <v/>
      </c>
      <c r="Q440" s="21">
        <f>IF(OR($A440="",$B440="",$D440=""),"MISSING CORE FIELDS","")</f>
        <v/>
      </c>
      <c r="R440" s="14">
        <f>IF(AND($I440&lt;&gt;"",$K440&lt;&gt;"Yes"),"SW NOT INSTALLED","")</f>
        <v/>
      </c>
      <c r="S440" s="14">
        <f>IF(AND($H440&lt;&gt;"",ISNUMBER(SEARCH("auto",LOWER($H440))),$F440=""),"AUTOLOGON REQUIRED","")</f>
        <v/>
      </c>
      <c r="T440" s="14">
        <f>IF($Q440&lt;&gt;"",$Q440,IF($S440&lt;&gt;"",$S440,IF($R440&lt;&gt;"",$R440,IF(OR($N440&lt;&gt;"",$O440="Blocked"),"BLOCKED","OK"))))</f>
        <v/>
      </c>
    </row>
    <row r="441">
      <c r="A441" s="21">
        <f>Deployments!H429</f>
        <v/>
      </c>
      <c r="B441" s="21">
        <f>Deployments!X429</f>
        <v/>
      </c>
      <c r="C441" s="21">
        <f>Deployments!Y429</f>
        <v/>
      </c>
      <c r="D441" s="14">
        <f>Deployments!AO429</f>
        <v/>
      </c>
      <c r="E441" s="14">
        <f>Deployments!N429</f>
        <v/>
      </c>
      <c r="F441" s="21">
        <f>Deployments!O429</f>
        <v/>
      </c>
      <c r="G441" s="14">
        <f>Deployments!P429</f>
        <v/>
      </c>
      <c r="H441" s="14">
        <f>'13 - Config_Intake_View'!M441</f>
        <v/>
      </c>
      <c r="I441" s="21">
        <f>IF('13 - Config_Intake_View'!Q441&lt;&gt;"",'13 - Config_Intake_View'!Q441,Deployments!AG429)</f>
        <v/>
      </c>
      <c r="J441" s="14">
        <f>IF('13 - Config_Intake_View'!Q441&lt;&gt;"","PM Approved",IF(Deployments!AG429&lt;&gt;"","Assumed",""))</f>
        <v/>
      </c>
      <c r="K441" s="21">
        <f>Deployments!AF429</f>
        <v/>
      </c>
      <c r="L441" s="14">
        <f>Deployments!U429</f>
        <v/>
      </c>
      <c r="M441" s="14">
        <f>Deployments!L429</f>
        <v/>
      </c>
      <c r="N441" s="14">
        <f>Deployments!CC429</f>
        <v/>
      </c>
      <c r="O441" s="21">
        <f>Deployments!CD429</f>
        <v/>
      </c>
      <c r="P441" s="2">
        <f>Deployments!BX429</f>
        <v/>
      </c>
      <c r="Q441" s="21">
        <f>IF(OR($A441="",$B441="",$D441=""),"MISSING CORE FIELDS","")</f>
        <v/>
      </c>
      <c r="R441" s="14">
        <f>IF(AND($I441&lt;&gt;"",$K441&lt;&gt;"Yes"),"SW NOT INSTALLED","")</f>
        <v/>
      </c>
      <c r="S441" s="14">
        <f>IF(AND($H441&lt;&gt;"",ISNUMBER(SEARCH("auto",LOWER($H441))),$F441=""),"AUTOLOGON REQUIRED","")</f>
        <v/>
      </c>
      <c r="T441" s="14">
        <f>IF($Q441&lt;&gt;"",$Q441,IF($S441&lt;&gt;"",$S441,IF($R441&lt;&gt;"",$R441,IF(OR($N441&lt;&gt;"",$O441="Blocked"),"BLOCKED","OK"))))</f>
        <v/>
      </c>
    </row>
    <row r="442">
      <c r="A442" s="21">
        <f>Deployments!H430</f>
        <v/>
      </c>
      <c r="B442" s="21">
        <f>Deployments!X430</f>
        <v/>
      </c>
      <c r="C442" s="21">
        <f>Deployments!Y430</f>
        <v/>
      </c>
      <c r="D442" s="14">
        <f>Deployments!AO430</f>
        <v/>
      </c>
      <c r="E442" s="14">
        <f>Deployments!N430</f>
        <v/>
      </c>
      <c r="F442" s="21">
        <f>Deployments!O430</f>
        <v/>
      </c>
      <c r="G442" s="14">
        <f>Deployments!P430</f>
        <v/>
      </c>
      <c r="H442" s="14">
        <f>'13 - Config_Intake_View'!M442</f>
        <v/>
      </c>
      <c r="I442" s="21">
        <f>IF('13 - Config_Intake_View'!Q442&lt;&gt;"",'13 - Config_Intake_View'!Q442,Deployments!AG430)</f>
        <v/>
      </c>
      <c r="J442" s="14">
        <f>IF('13 - Config_Intake_View'!Q442&lt;&gt;"","PM Approved",IF(Deployments!AG430&lt;&gt;"","Assumed",""))</f>
        <v/>
      </c>
      <c r="K442" s="21">
        <f>Deployments!AF430</f>
        <v/>
      </c>
      <c r="L442" s="14">
        <f>Deployments!U430</f>
        <v/>
      </c>
      <c r="M442" s="14">
        <f>Deployments!L430</f>
        <v/>
      </c>
      <c r="N442" s="14">
        <f>Deployments!CC430</f>
        <v/>
      </c>
      <c r="O442" s="21">
        <f>Deployments!CD430</f>
        <v/>
      </c>
      <c r="P442" s="2">
        <f>Deployments!BX430</f>
        <v/>
      </c>
      <c r="Q442" s="21">
        <f>IF(OR($A442="",$B442="",$D442=""),"MISSING CORE FIELDS","")</f>
        <v/>
      </c>
      <c r="R442" s="14">
        <f>IF(AND($I442&lt;&gt;"",$K442&lt;&gt;"Yes"),"SW NOT INSTALLED","")</f>
        <v/>
      </c>
      <c r="S442" s="14">
        <f>IF(AND($H442&lt;&gt;"",ISNUMBER(SEARCH("auto",LOWER($H442))),$F442=""),"AUTOLOGON REQUIRED","")</f>
        <v/>
      </c>
      <c r="T442" s="14">
        <f>IF($Q442&lt;&gt;"",$Q442,IF($S442&lt;&gt;"",$S442,IF($R442&lt;&gt;"",$R442,IF(OR($N442&lt;&gt;"",$O442="Blocked"),"BLOCKED","OK"))))</f>
        <v/>
      </c>
    </row>
    <row r="443">
      <c r="A443" s="21">
        <f>Deployments!H431</f>
        <v/>
      </c>
      <c r="B443" s="21">
        <f>Deployments!X431</f>
        <v/>
      </c>
      <c r="C443" s="21">
        <f>Deployments!Y431</f>
        <v/>
      </c>
      <c r="D443" s="14">
        <f>Deployments!AO431</f>
        <v/>
      </c>
      <c r="E443" s="14">
        <f>Deployments!N431</f>
        <v/>
      </c>
      <c r="F443" s="21">
        <f>Deployments!O431</f>
        <v/>
      </c>
      <c r="G443" s="14">
        <f>Deployments!P431</f>
        <v/>
      </c>
      <c r="H443" s="14">
        <f>'13 - Config_Intake_View'!M443</f>
        <v/>
      </c>
      <c r="I443" s="21">
        <f>IF('13 - Config_Intake_View'!Q443&lt;&gt;"",'13 - Config_Intake_View'!Q443,Deployments!AG431)</f>
        <v/>
      </c>
      <c r="J443" s="14">
        <f>IF('13 - Config_Intake_View'!Q443&lt;&gt;"","PM Approved",IF(Deployments!AG431&lt;&gt;"","Assumed",""))</f>
        <v/>
      </c>
      <c r="K443" s="21">
        <f>Deployments!AF431</f>
        <v/>
      </c>
      <c r="L443" s="14">
        <f>Deployments!U431</f>
        <v/>
      </c>
      <c r="M443" s="14">
        <f>Deployments!L431</f>
        <v/>
      </c>
      <c r="N443" s="14">
        <f>Deployments!CC431</f>
        <v/>
      </c>
      <c r="O443" s="21">
        <f>Deployments!CD431</f>
        <v/>
      </c>
      <c r="P443" s="2">
        <f>Deployments!BX431</f>
        <v/>
      </c>
      <c r="Q443" s="21">
        <f>IF(OR($A443="",$B443="",$D443=""),"MISSING CORE FIELDS","")</f>
        <v/>
      </c>
      <c r="R443" s="14">
        <f>IF(AND($I443&lt;&gt;"",$K443&lt;&gt;"Yes"),"SW NOT INSTALLED","")</f>
        <v/>
      </c>
      <c r="S443" s="14">
        <f>IF(AND($H443&lt;&gt;"",ISNUMBER(SEARCH("auto",LOWER($H443))),$F443=""),"AUTOLOGON REQUIRED","")</f>
        <v/>
      </c>
      <c r="T443" s="14">
        <f>IF($Q443&lt;&gt;"",$Q443,IF($S443&lt;&gt;"",$S443,IF($R443&lt;&gt;"",$R443,IF(OR($N443&lt;&gt;"",$O443="Blocked"),"BLOCKED","OK"))))</f>
        <v/>
      </c>
    </row>
    <row r="444">
      <c r="A444" s="21">
        <f>Deployments!H432</f>
        <v/>
      </c>
      <c r="B444" s="21">
        <f>Deployments!X432</f>
        <v/>
      </c>
      <c r="C444" s="21">
        <f>Deployments!Y432</f>
        <v/>
      </c>
      <c r="D444" s="14">
        <f>Deployments!AO432</f>
        <v/>
      </c>
      <c r="E444" s="14">
        <f>Deployments!N432</f>
        <v/>
      </c>
      <c r="F444" s="21">
        <f>Deployments!O432</f>
        <v/>
      </c>
      <c r="G444" s="14">
        <f>Deployments!P432</f>
        <v/>
      </c>
      <c r="H444" s="14">
        <f>'13 - Config_Intake_View'!M444</f>
        <v/>
      </c>
      <c r="I444" s="21">
        <f>IF('13 - Config_Intake_View'!Q444&lt;&gt;"",'13 - Config_Intake_View'!Q444,Deployments!AG432)</f>
        <v/>
      </c>
      <c r="J444" s="14">
        <f>IF('13 - Config_Intake_View'!Q444&lt;&gt;"","PM Approved",IF(Deployments!AG432&lt;&gt;"","Assumed",""))</f>
        <v/>
      </c>
      <c r="K444" s="21">
        <f>Deployments!AF432</f>
        <v/>
      </c>
      <c r="L444" s="14">
        <f>Deployments!U432</f>
        <v/>
      </c>
      <c r="M444" s="14">
        <f>Deployments!L432</f>
        <v/>
      </c>
      <c r="N444" s="14">
        <f>Deployments!CC432</f>
        <v/>
      </c>
      <c r="O444" s="21">
        <f>Deployments!CD432</f>
        <v/>
      </c>
      <c r="P444" s="2">
        <f>Deployments!BX432</f>
        <v/>
      </c>
      <c r="Q444" s="21">
        <f>IF(OR($A444="",$B444="",$D444=""),"MISSING CORE FIELDS","")</f>
        <v/>
      </c>
      <c r="R444" s="14">
        <f>IF(AND($I444&lt;&gt;"",$K444&lt;&gt;"Yes"),"SW NOT INSTALLED","")</f>
        <v/>
      </c>
      <c r="S444" s="14">
        <f>IF(AND($H444&lt;&gt;"",ISNUMBER(SEARCH("auto",LOWER($H444))),$F444=""),"AUTOLOGON REQUIRED","")</f>
        <v/>
      </c>
      <c r="T444" s="14">
        <f>IF($Q444&lt;&gt;"",$Q444,IF($S444&lt;&gt;"",$S444,IF($R444&lt;&gt;"",$R444,IF(OR($N444&lt;&gt;"",$O444="Blocked"),"BLOCKED","OK"))))</f>
        <v/>
      </c>
    </row>
    <row r="445">
      <c r="A445" s="21">
        <f>Deployments!H433</f>
        <v/>
      </c>
      <c r="B445" s="21">
        <f>Deployments!X433</f>
        <v/>
      </c>
      <c r="C445" s="21">
        <f>Deployments!Y433</f>
        <v/>
      </c>
      <c r="D445" s="14">
        <f>Deployments!AO433</f>
        <v/>
      </c>
      <c r="E445" s="14">
        <f>Deployments!N433</f>
        <v/>
      </c>
      <c r="F445" s="21">
        <f>Deployments!O433</f>
        <v/>
      </c>
      <c r="G445" s="14">
        <f>Deployments!P433</f>
        <v/>
      </c>
      <c r="H445" s="14">
        <f>'13 - Config_Intake_View'!M445</f>
        <v/>
      </c>
      <c r="I445" s="21">
        <f>IF('13 - Config_Intake_View'!Q445&lt;&gt;"",'13 - Config_Intake_View'!Q445,Deployments!AG433)</f>
        <v/>
      </c>
      <c r="J445" s="14">
        <f>IF('13 - Config_Intake_View'!Q445&lt;&gt;"","PM Approved",IF(Deployments!AG433&lt;&gt;"","Assumed",""))</f>
        <v/>
      </c>
      <c r="K445" s="21">
        <f>Deployments!AF433</f>
        <v/>
      </c>
      <c r="L445" s="14">
        <f>Deployments!U433</f>
        <v/>
      </c>
      <c r="M445" s="14">
        <f>Deployments!L433</f>
        <v/>
      </c>
      <c r="N445" s="14">
        <f>Deployments!CC433</f>
        <v/>
      </c>
      <c r="O445" s="21">
        <f>Deployments!CD433</f>
        <v/>
      </c>
      <c r="P445" s="2">
        <f>Deployments!BX433</f>
        <v/>
      </c>
      <c r="Q445" s="21">
        <f>IF(OR($A445="",$B445="",$D445=""),"MISSING CORE FIELDS","")</f>
        <v/>
      </c>
      <c r="R445" s="14">
        <f>IF(AND($I445&lt;&gt;"",$K445&lt;&gt;"Yes"),"SW NOT INSTALLED","")</f>
        <v/>
      </c>
      <c r="S445" s="14">
        <f>IF(AND($H445&lt;&gt;"",ISNUMBER(SEARCH("auto",LOWER($H445))),$F445=""),"AUTOLOGON REQUIRED","")</f>
        <v/>
      </c>
      <c r="T445" s="14">
        <f>IF($Q445&lt;&gt;"",$Q445,IF($S445&lt;&gt;"",$S445,IF($R445&lt;&gt;"",$R445,IF(OR($N445&lt;&gt;"",$O445="Blocked"),"BLOCKED","OK"))))</f>
        <v/>
      </c>
    </row>
    <row r="446">
      <c r="A446" s="21">
        <f>Deployments!H434</f>
        <v/>
      </c>
      <c r="B446" s="21">
        <f>Deployments!X434</f>
        <v/>
      </c>
      <c r="C446" s="21">
        <f>Deployments!Y434</f>
        <v/>
      </c>
      <c r="D446" s="14">
        <f>Deployments!AO434</f>
        <v/>
      </c>
      <c r="E446" s="14">
        <f>Deployments!N434</f>
        <v/>
      </c>
      <c r="F446" s="21">
        <f>Deployments!O434</f>
        <v/>
      </c>
      <c r="G446" s="14">
        <f>Deployments!P434</f>
        <v/>
      </c>
      <c r="H446" s="14">
        <f>'13 - Config_Intake_View'!M446</f>
        <v/>
      </c>
      <c r="I446" s="21">
        <f>IF('13 - Config_Intake_View'!Q446&lt;&gt;"",'13 - Config_Intake_View'!Q446,Deployments!AG434)</f>
        <v/>
      </c>
      <c r="J446" s="14">
        <f>IF('13 - Config_Intake_View'!Q446&lt;&gt;"","PM Approved",IF(Deployments!AG434&lt;&gt;"","Assumed",""))</f>
        <v/>
      </c>
      <c r="K446" s="21">
        <f>Deployments!AF434</f>
        <v/>
      </c>
      <c r="L446" s="14">
        <f>Deployments!U434</f>
        <v/>
      </c>
      <c r="M446" s="14">
        <f>Deployments!L434</f>
        <v/>
      </c>
      <c r="N446" s="14">
        <f>Deployments!CC434</f>
        <v/>
      </c>
      <c r="O446" s="21">
        <f>Deployments!CD434</f>
        <v/>
      </c>
      <c r="P446" s="2">
        <f>Deployments!BX434</f>
        <v/>
      </c>
      <c r="Q446" s="21">
        <f>IF(OR($A446="",$B446="",$D446=""),"MISSING CORE FIELDS","")</f>
        <v/>
      </c>
      <c r="R446" s="14">
        <f>IF(AND($I446&lt;&gt;"",$K446&lt;&gt;"Yes"),"SW NOT INSTALLED","")</f>
        <v/>
      </c>
      <c r="S446" s="14">
        <f>IF(AND($H446&lt;&gt;"",ISNUMBER(SEARCH("auto",LOWER($H446))),$F446=""),"AUTOLOGON REQUIRED","")</f>
        <v/>
      </c>
      <c r="T446" s="14">
        <f>IF($Q446&lt;&gt;"",$Q446,IF($S446&lt;&gt;"",$S446,IF($R446&lt;&gt;"",$R446,IF(OR($N446&lt;&gt;"",$O446="Blocked"),"BLOCKED","OK"))))</f>
        <v/>
      </c>
    </row>
    <row r="447">
      <c r="A447" s="21">
        <f>Deployments!H435</f>
        <v/>
      </c>
      <c r="B447" s="21">
        <f>Deployments!X435</f>
        <v/>
      </c>
      <c r="C447" s="21">
        <f>Deployments!Y435</f>
        <v/>
      </c>
      <c r="D447" s="14">
        <f>Deployments!AO435</f>
        <v/>
      </c>
      <c r="E447" s="14">
        <f>Deployments!N435</f>
        <v/>
      </c>
      <c r="F447" s="21">
        <f>Deployments!O435</f>
        <v/>
      </c>
      <c r="G447" s="14">
        <f>Deployments!P435</f>
        <v/>
      </c>
      <c r="H447" s="14">
        <f>'13 - Config_Intake_View'!M447</f>
        <v/>
      </c>
      <c r="I447" s="21">
        <f>IF('13 - Config_Intake_View'!Q447&lt;&gt;"",'13 - Config_Intake_View'!Q447,Deployments!AG435)</f>
        <v/>
      </c>
      <c r="J447" s="14">
        <f>IF('13 - Config_Intake_View'!Q447&lt;&gt;"","PM Approved",IF(Deployments!AG435&lt;&gt;"","Assumed",""))</f>
        <v/>
      </c>
      <c r="K447" s="21">
        <f>Deployments!AF435</f>
        <v/>
      </c>
      <c r="L447" s="14">
        <f>Deployments!U435</f>
        <v/>
      </c>
      <c r="M447" s="14">
        <f>Deployments!L435</f>
        <v/>
      </c>
      <c r="N447" s="14">
        <f>Deployments!CC435</f>
        <v/>
      </c>
      <c r="O447" s="21">
        <f>Deployments!CD435</f>
        <v/>
      </c>
      <c r="P447" s="2">
        <f>Deployments!BX435</f>
        <v/>
      </c>
      <c r="Q447" s="21">
        <f>IF(OR($A447="",$B447="",$D447=""),"MISSING CORE FIELDS","")</f>
        <v/>
      </c>
      <c r="R447" s="14">
        <f>IF(AND($I447&lt;&gt;"",$K447&lt;&gt;"Yes"),"SW NOT INSTALLED","")</f>
        <v/>
      </c>
      <c r="S447" s="14">
        <f>IF(AND($H447&lt;&gt;"",ISNUMBER(SEARCH("auto",LOWER($H447))),$F447=""),"AUTOLOGON REQUIRED","")</f>
        <v/>
      </c>
      <c r="T447" s="14">
        <f>IF($Q447&lt;&gt;"",$Q447,IF($S447&lt;&gt;"",$S447,IF($R447&lt;&gt;"",$R447,IF(OR($N447&lt;&gt;"",$O447="Blocked"),"BLOCKED","OK"))))</f>
        <v/>
      </c>
    </row>
    <row r="448">
      <c r="A448" s="21">
        <f>Deployments!H436</f>
        <v/>
      </c>
      <c r="B448" s="21">
        <f>Deployments!X436</f>
        <v/>
      </c>
      <c r="C448" s="21">
        <f>Deployments!Y436</f>
        <v/>
      </c>
      <c r="D448" s="14">
        <f>Deployments!AO436</f>
        <v/>
      </c>
      <c r="E448" s="14">
        <f>Deployments!N436</f>
        <v/>
      </c>
      <c r="F448" s="21">
        <f>Deployments!O436</f>
        <v/>
      </c>
      <c r="G448" s="14">
        <f>Deployments!P436</f>
        <v/>
      </c>
      <c r="H448" s="14">
        <f>'13 - Config_Intake_View'!M448</f>
        <v/>
      </c>
      <c r="I448" s="21">
        <f>IF('13 - Config_Intake_View'!Q448&lt;&gt;"",'13 - Config_Intake_View'!Q448,Deployments!AG436)</f>
        <v/>
      </c>
      <c r="J448" s="14">
        <f>IF('13 - Config_Intake_View'!Q448&lt;&gt;"","PM Approved",IF(Deployments!AG436&lt;&gt;"","Assumed",""))</f>
        <v/>
      </c>
      <c r="K448" s="21">
        <f>Deployments!AF436</f>
        <v/>
      </c>
      <c r="L448" s="14">
        <f>Deployments!U436</f>
        <v/>
      </c>
      <c r="M448" s="14">
        <f>Deployments!L436</f>
        <v/>
      </c>
      <c r="N448" s="14">
        <f>Deployments!CC436</f>
        <v/>
      </c>
      <c r="O448" s="21">
        <f>Deployments!CD436</f>
        <v/>
      </c>
      <c r="P448" s="2">
        <f>Deployments!BX436</f>
        <v/>
      </c>
      <c r="Q448" s="21">
        <f>IF(OR($A448="",$B448="",$D448=""),"MISSING CORE FIELDS","")</f>
        <v/>
      </c>
      <c r="R448" s="14">
        <f>IF(AND($I448&lt;&gt;"",$K448&lt;&gt;"Yes"),"SW NOT INSTALLED","")</f>
        <v/>
      </c>
      <c r="S448" s="14">
        <f>IF(AND($H448&lt;&gt;"",ISNUMBER(SEARCH("auto",LOWER($H448))),$F448=""),"AUTOLOGON REQUIRED","")</f>
        <v/>
      </c>
      <c r="T448" s="14">
        <f>IF($Q448&lt;&gt;"",$Q448,IF($S448&lt;&gt;"",$S448,IF($R448&lt;&gt;"",$R448,IF(OR($N448&lt;&gt;"",$O448="Blocked"),"BLOCKED","OK"))))</f>
        <v/>
      </c>
    </row>
    <row r="449">
      <c r="A449" s="21">
        <f>Deployments!H437</f>
        <v/>
      </c>
      <c r="B449" s="21">
        <f>Deployments!X437</f>
        <v/>
      </c>
      <c r="C449" s="21">
        <f>Deployments!Y437</f>
        <v/>
      </c>
      <c r="D449" s="14">
        <f>Deployments!AO437</f>
        <v/>
      </c>
      <c r="E449" s="14">
        <f>Deployments!N437</f>
        <v/>
      </c>
      <c r="F449" s="21">
        <f>Deployments!O437</f>
        <v/>
      </c>
      <c r="G449" s="14">
        <f>Deployments!P437</f>
        <v/>
      </c>
      <c r="H449" s="14">
        <f>'13 - Config_Intake_View'!M449</f>
        <v/>
      </c>
      <c r="I449" s="21">
        <f>IF('13 - Config_Intake_View'!Q449&lt;&gt;"",'13 - Config_Intake_View'!Q449,Deployments!AG437)</f>
        <v/>
      </c>
      <c r="J449" s="14">
        <f>IF('13 - Config_Intake_View'!Q449&lt;&gt;"","PM Approved",IF(Deployments!AG437&lt;&gt;"","Assumed",""))</f>
        <v/>
      </c>
      <c r="K449" s="21">
        <f>Deployments!AF437</f>
        <v/>
      </c>
      <c r="L449" s="14">
        <f>Deployments!U437</f>
        <v/>
      </c>
      <c r="M449" s="14">
        <f>Deployments!L437</f>
        <v/>
      </c>
      <c r="N449" s="14">
        <f>Deployments!CC437</f>
        <v/>
      </c>
      <c r="O449" s="21">
        <f>Deployments!CD437</f>
        <v/>
      </c>
      <c r="P449" s="2">
        <f>Deployments!BX437</f>
        <v/>
      </c>
      <c r="Q449" s="21">
        <f>IF(OR($A449="",$B449="",$D449=""),"MISSING CORE FIELDS","")</f>
        <v/>
      </c>
      <c r="R449" s="14">
        <f>IF(AND($I449&lt;&gt;"",$K449&lt;&gt;"Yes"),"SW NOT INSTALLED","")</f>
        <v/>
      </c>
      <c r="S449" s="14">
        <f>IF(AND($H449&lt;&gt;"",ISNUMBER(SEARCH("auto",LOWER($H449))),$F449=""),"AUTOLOGON REQUIRED","")</f>
        <v/>
      </c>
      <c r="T449" s="14">
        <f>IF($Q449&lt;&gt;"",$Q449,IF($S449&lt;&gt;"",$S449,IF($R449&lt;&gt;"",$R449,IF(OR($N449&lt;&gt;"",$O449="Blocked"),"BLOCKED","OK"))))</f>
        <v/>
      </c>
    </row>
    <row r="450">
      <c r="A450" s="21">
        <f>Deployments!H438</f>
        <v/>
      </c>
      <c r="B450" s="21">
        <f>Deployments!X438</f>
        <v/>
      </c>
      <c r="C450" s="21">
        <f>Deployments!Y438</f>
        <v/>
      </c>
      <c r="D450" s="14">
        <f>Deployments!AO438</f>
        <v/>
      </c>
      <c r="E450" s="14">
        <f>Deployments!N438</f>
        <v/>
      </c>
      <c r="F450" s="21">
        <f>Deployments!O438</f>
        <v/>
      </c>
      <c r="G450" s="14">
        <f>Deployments!P438</f>
        <v/>
      </c>
      <c r="H450" s="14">
        <f>'13 - Config_Intake_View'!M450</f>
        <v/>
      </c>
      <c r="I450" s="21">
        <f>IF('13 - Config_Intake_View'!Q450&lt;&gt;"",'13 - Config_Intake_View'!Q450,Deployments!AG438)</f>
        <v/>
      </c>
      <c r="J450" s="14">
        <f>IF('13 - Config_Intake_View'!Q450&lt;&gt;"","PM Approved",IF(Deployments!AG438&lt;&gt;"","Assumed",""))</f>
        <v/>
      </c>
      <c r="K450" s="21">
        <f>Deployments!AF438</f>
        <v/>
      </c>
      <c r="L450" s="14">
        <f>Deployments!U438</f>
        <v/>
      </c>
      <c r="M450" s="14">
        <f>Deployments!L438</f>
        <v/>
      </c>
      <c r="N450" s="14">
        <f>Deployments!CC438</f>
        <v/>
      </c>
      <c r="O450" s="21">
        <f>Deployments!CD438</f>
        <v/>
      </c>
      <c r="P450" s="2">
        <f>Deployments!BX438</f>
        <v/>
      </c>
      <c r="Q450" s="21">
        <f>IF(OR($A450="",$B450="",$D450=""),"MISSING CORE FIELDS","")</f>
        <v/>
      </c>
      <c r="R450" s="14">
        <f>IF(AND($I450&lt;&gt;"",$K450&lt;&gt;"Yes"),"SW NOT INSTALLED","")</f>
        <v/>
      </c>
      <c r="S450" s="14">
        <f>IF(AND($H450&lt;&gt;"",ISNUMBER(SEARCH("auto",LOWER($H450))),$F450=""),"AUTOLOGON REQUIRED","")</f>
        <v/>
      </c>
      <c r="T450" s="14">
        <f>IF($Q450&lt;&gt;"",$Q450,IF($S450&lt;&gt;"",$S450,IF($R450&lt;&gt;"",$R450,IF(OR($N450&lt;&gt;"",$O450="Blocked"),"BLOCKED","OK"))))</f>
        <v/>
      </c>
    </row>
    <row r="451">
      <c r="A451" s="21">
        <f>Deployments!H439</f>
        <v/>
      </c>
      <c r="B451" s="21">
        <f>Deployments!X439</f>
        <v/>
      </c>
      <c r="C451" s="21">
        <f>Deployments!Y439</f>
        <v/>
      </c>
      <c r="D451" s="14">
        <f>Deployments!AO439</f>
        <v/>
      </c>
      <c r="E451" s="14">
        <f>Deployments!N439</f>
        <v/>
      </c>
      <c r="F451" s="21">
        <f>Deployments!O439</f>
        <v/>
      </c>
      <c r="G451" s="14">
        <f>Deployments!P439</f>
        <v/>
      </c>
      <c r="H451" s="14">
        <f>'13 - Config_Intake_View'!M451</f>
        <v/>
      </c>
      <c r="I451" s="21">
        <f>IF('13 - Config_Intake_View'!Q451&lt;&gt;"",'13 - Config_Intake_View'!Q451,Deployments!AG439)</f>
        <v/>
      </c>
      <c r="J451" s="14">
        <f>IF('13 - Config_Intake_View'!Q451&lt;&gt;"","PM Approved",IF(Deployments!AG439&lt;&gt;"","Assumed",""))</f>
        <v/>
      </c>
      <c r="K451" s="21">
        <f>Deployments!AF439</f>
        <v/>
      </c>
      <c r="L451" s="14">
        <f>Deployments!U439</f>
        <v/>
      </c>
      <c r="M451" s="14">
        <f>Deployments!L439</f>
        <v/>
      </c>
      <c r="N451" s="14">
        <f>Deployments!CC439</f>
        <v/>
      </c>
      <c r="O451" s="21">
        <f>Deployments!CD439</f>
        <v/>
      </c>
      <c r="P451" s="2">
        <f>Deployments!BX439</f>
        <v/>
      </c>
      <c r="Q451" s="21">
        <f>IF(OR($A451="",$B451="",$D451=""),"MISSING CORE FIELDS","")</f>
        <v/>
      </c>
      <c r="R451" s="14">
        <f>IF(AND($I451&lt;&gt;"",$K451&lt;&gt;"Yes"),"SW NOT INSTALLED","")</f>
        <v/>
      </c>
      <c r="S451" s="14">
        <f>IF(AND($H451&lt;&gt;"",ISNUMBER(SEARCH("auto",LOWER($H451))),$F451=""),"AUTOLOGON REQUIRED","")</f>
        <v/>
      </c>
      <c r="T451" s="14">
        <f>IF($Q451&lt;&gt;"",$Q451,IF($S451&lt;&gt;"",$S451,IF($R451&lt;&gt;"",$R451,IF(OR($N451&lt;&gt;"",$O451="Blocked"),"BLOCKED","OK"))))</f>
        <v/>
      </c>
    </row>
    <row r="452">
      <c r="A452" s="21">
        <f>Deployments!H440</f>
        <v/>
      </c>
      <c r="B452" s="21">
        <f>Deployments!X440</f>
        <v/>
      </c>
      <c r="C452" s="21">
        <f>Deployments!Y440</f>
        <v/>
      </c>
      <c r="D452" s="14">
        <f>Deployments!AO440</f>
        <v/>
      </c>
      <c r="E452" s="14">
        <f>Deployments!N440</f>
        <v/>
      </c>
      <c r="F452" s="21">
        <f>Deployments!O440</f>
        <v/>
      </c>
      <c r="G452" s="14">
        <f>Deployments!P440</f>
        <v/>
      </c>
      <c r="H452" s="14">
        <f>'13 - Config_Intake_View'!M452</f>
        <v/>
      </c>
      <c r="I452" s="21">
        <f>IF('13 - Config_Intake_View'!Q452&lt;&gt;"",'13 - Config_Intake_View'!Q452,Deployments!AG440)</f>
        <v/>
      </c>
      <c r="J452" s="14">
        <f>IF('13 - Config_Intake_View'!Q452&lt;&gt;"","PM Approved",IF(Deployments!AG440&lt;&gt;"","Assumed",""))</f>
        <v/>
      </c>
      <c r="K452" s="21">
        <f>Deployments!AF440</f>
        <v/>
      </c>
      <c r="L452" s="14">
        <f>Deployments!U440</f>
        <v/>
      </c>
      <c r="M452" s="14">
        <f>Deployments!L440</f>
        <v/>
      </c>
      <c r="N452" s="14">
        <f>Deployments!CC440</f>
        <v/>
      </c>
      <c r="O452" s="21">
        <f>Deployments!CD440</f>
        <v/>
      </c>
      <c r="P452" s="2">
        <f>Deployments!BX440</f>
        <v/>
      </c>
      <c r="Q452" s="21">
        <f>IF(OR($A452="",$B452="",$D452=""),"MISSING CORE FIELDS","")</f>
        <v/>
      </c>
      <c r="R452" s="14">
        <f>IF(AND($I452&lt;&gt;"",$K452&lt;&gt;"Yes"),"SW NOT INSTALLED","")</f>
        <v/>
      </c>
      <c r="S452" s="14">
        <f>IF(AND($H452&lt;&gt;"",ISNUMBER(SEARCH("auto",LOWER($H452))),$F452=""),"AUTOLOGON REQUIRED","")</f>
        <v/>
      </c>
      <c r="T452" s="14">
        <f>IF($Q452&lt;&gt;"",$Q452,IF($S452&lt;&gt;"",$S452,IF($R452&lt;&gt;"",$R452,IF(OR($N452&lt;&gt;"",$O452="Blocked"),"BLOCKED","OK"))))</f>
        <v/>
      </c>
    </row>
    <row r="453">
      <c r="A453" s="21">
        <f>Deployments!H441</f>
        <v/>
      </c>
      <c r="B453" s="21">
        <f>Deployments!X441</f>
        <v/>
      </c>
      <c r="C453" s="21">
        <f>Deployments!Y441</f>
        <v/>
      </c>
      <c r="D453" s="14">
        <f>Deployments!AO441</f>
        <v/>
      </c>
      <c r="E453" s="14">
        <f>Deployments!N441</f>
        <v/>
      </c>
      <c r="F453" s="21">
        <f>Deployments!O441</f>
        <v/>
      </c>
      <c r="G453" s="14">
        <f>Deployments!P441</f>
        <v/>
      </c>
      <c r="H453" s="14">
        <f>'13 - Config_Intake_View'!M453</f>
        <v/>
      </c>
      <c r="I453" s="21">
        <f>IF('13 - Config_Intake_View'!Q453&lt;&gt;"",'13 - Config_Intake_View'!Q453,Deployments!AG441)</f>
        <v/>
      </c>
      <c r="J453" s="14">
        <f>IF('13 - Config_Intake_View'!Q453&lt;&gt;"","PM Approved",IF(Deployments!AG441&lt;&gt;"","Assumed",""))</f>
        <v/>
      </c>
      <c r="K453" s="21">
        <f>Deployments!AF441</f>
        <v/>
      </c>
      <c r="L453" s="14">
        <f>Deployments!U441</f>
        <v/>
      </c>
      <c r="M453" s="14">
        <f>Deployments!L441</f>
        <v/>
      </c>
      <c r="N453" s="14">
        <f>Deployments!CC441</f>
        <v/>
      </c>
      <c r="O453" s="21">
        <f>Deployments!CD441</f>
        <v/>
      </c>
      <c r="P453" s="2">
        <f>Deployments!BX441</f>
        <v/>
      </c>
      <c r="Q453" s="21">
        <f>IF(OR($A453="",$B453="",$D453=""),"MISSING CORE FIELDS","")</f>
        <v/>
      </c>
      <c r="R453" s="14">
        <f>IF(AND($I453&lt;&gt;"",$K453&lt;&gt;"Yes"),"SW NOT INSTALLED","")</f>
        <v/>
      </c>
      <c r="S453" s="14">
        <f>IF(AND($H453&lt;&gt;"",ISNUMBER(SEARCH("auto",LOWER($H453))),$F453=""),"AUTOLOGON REQUIRED","")</f>
        <v/>
      </c>
      <c r="T453" s="14">
        <f>IF($Q453&lt;&gt;"",$Q453,IF($S453&lt;&gt;"",$S453,IF($R453&lt;&gt;"",$R453,IF(OR($N453&lt;&gt;"",$O453="Blocked"),"BLOCKED","OK"))))</f>
        <v/>
      </c>
    </row>
    <row r="454">
      <c r="A454" s="21">
        <f>Deployments!H442</f>
        <v/>
      </c>
      <c r="B454" s="21">
        <f>Deployments!X442</f>
        <v/>
      </c>
      <c r="C454" s="21">
        <f>Deployments!Y442</f>
        <v/>
      </c>
      <c r="D454" s="14">
        <f>Deployments!AO442</f>
        <v/>
      </c>
      <c r="E454" s="14">
        <f>Deployments!N442</f>
        <v/>
      </c>
      <c r="F454" s="21">
        <f>Deployments!O442</f>
        <v/>
      </c>
      <c r="G454" s="14">
        <f>Deployments!P442</f>
        <v/>
      </c>
      <c r="H454" s="14">
        <f>'13 - Config_Intake_View'!M454</f>
        <v/>
      </c>
      <c r="I454" s="21">
        <f>IF('13 - Config_Intake_View'!Q454&lt;&gt;"",'13 - Config_Intake_View'!Q454,Deployments!AG442)</f>
        <v/>
      </c>
      <c r="J454" s="14">
        <f>IF('13 - Config_Intake_View'!Q454&lt;&gt;"","PM Approved",IF(Deployments!AG442&lt;&gt;"","Assumed",""))</f>
        <v/>
      </c>
      <c r="K454" s="21">
        <f>Deployments!AF442</f>
        <v/>
      </c>
      <c r="L454" s="14">
        <f>Deployments!U442</f>
        <v/>
      </c>
      <c r="M454" s="14">
        <f>Deployments!L442</f>
        <v/>
      </c>
      <c r="N454" s="14">
        <f>Deployments!CC442</f>
        <v/>
      </c>
      <c r="O454" s="21">
        <f>Deployments!CD442</f>
        <v/>
      </c>
      <c r="P454" s="2">
        <f>Deployments!BX442</f>
        <v/>
      </c>
      <c r="Q454" s="21">
        <f>IF(OR($A454="",$B454="",$D454=""),"MISSING CORE FIELDS","")</f>
        <v/>
      </c>
      <c r="R454" s="14">
        <f>IF(AND($I454&lt;&gt;"",$K454&lt;&gt;"Yes"),"SW NOT INSTALLED","")</f>
        <v/>
      </c>
      <c r="S454" s="14">
        <f>IF(AND($H454&lt;&gt;"",ISNUMBER(SEARCH("auto",LOWER($H454))),$F454=""),"AUTOLOGON REQUIRED","")</f>
        <v/>
      </c>
      <c r="T454" s="14">
        <f>IF($Q454&lt;&gt;"",$Q454,IF($S454&lt;&gt;"",$S454,IF($R454&lt;&gt;"",$R454,IF(OR($N454&lt;&gt;"",$O454="Blocked"),"BLOCKED","OK"))))</f>
        <v/>
      </c>
    </row>
    <row r="455">
      <c r="A455" s="21">
        <f>Deployments!H443</f>
        <v/>
      </c>
      <c r="B455" s="21">
        <f>Deployments!X443</f>
        <v/>
      </c>
      <c r="C455" s="21">
        <f>Deployments!Y443</f>
        <v/>
      </c>
      <c r="D455" s="14">
        <f>Deployments!AO443</f>
        <v/>
      </c>
      <c r="E455" s="14">
        <f>Deployments!N443</f>
        <v/>
      </c>
      <c r="F455" s="21">
        <f>Deployments!O443</f>
        <v/>
      </c>
      <c r="G455" s="14">
        <f>Deployments!P443</f>
        <v/>
      </c>
      <c r="H455" s="14">
        <f>'13 - Config_Intake_View'!M455</f>
        <v/>
      </c>
      <c r="I455" s="21">
        <f>IF('13 - Config_Intake_View'!Q455&lt;&gt;"",'13 - Config_Intake_View'!Q455,Deployments!AG443)</f>
        <v/>
      </c>
      <c r="J455" s="14">
        <f>IF('13 - Config_Intake_View'!Q455&lt;&gt;"","PM Approved",IF(Deployments!AG443&lt;&gt;"","Assumed",""))</f>
        <v/>
      </c>
      <c r="K455" s="21">
        <f>Deployments!AF443</f>
        <v/>
      </c>
      <c r="L455" s="14">
        <f>Deployments!U443</f>
        <v/>
      </c>
      <c r="M455" s="14">
        <f>Deployments!L443</f>
        <v/>
      </c>
      <c r="N455" s="14">
        <f>Deployments!CC443</f>
        <v/>
      </c>
      <c r="O455" s="21">
        <f>Deployments!CD443</f>
        <v/>
      </c>
      <c r="P455" s="2">
        <f>Deployments!BX443</f>
        <v/>
      </c>
      <c r="Q455" s="21">
        <f>IF(OR($A455="",$B455="",$D455=""),"MISSING CORE FIELDS","")</f>
        <v/>
      </c>
      <c r="R455" s="14">
        <f>IF(AND($I455&lt;&gt;"",$K455&lt;&gt;"Yes"),"SW NOT INSTALLED","")</f>
        <v/>
      </c>
      <c r="S455" s="14">
        <f>IF(AND($H455&lt;&gt;"",ISNUMBER(SEARCH("auto",LOWER($H455))),$F455=""),"AUTOLOGON REQUIRED","")</f>
        <v/>
      </c>
      <c r="T455" s="14">
        <f>IF($Q455&lt;&gt;"",$Q455,IF($S455&lt;&gt;"",$S455,IF($R455&lt;&gt;"",$R455,IF(OR($N455&lt;&gt;"",$O455="Blocked"),"BLOCKED","OK"))))</f>
        <v/>
      </c>
    </row>
    <row r="456">
      <c r="A456" s="21">
        <f>Deployments!H444</f>
        <v/>
      </c>
      <c r="B456" s="21">
        <f>Deployments!X444</f>
        <v/>
      </c>
      <c r="C456" s="21">
        <f>Deployments!Y444</f>
        <v/>
      </c>
      <c r="D456" s="14">
        <f>Deployments!AO444</f>
        <v/>
      </c>
      <c r="E456" s="14">
        <f>Deployments!N444</f>
        <v/>
      </c>
      <c r="F456" s="21">
        <f>Deployments!O444</f>
        <v/>
      </c>
      <c r="G456" s="14">
        <f>Deployments!P444</f>
        <v/>
      </c>
      <c r="H456" s="14">
        <f>'13 - Config_Intake_View'!M456</f>
        <v/>
      </c>
      <c r="I456" s="21">
        <f>IF('13 - Config_Intake_View'!Q456&lt;&gt;"",'13 - Config_Intake_View'!Q456,Deployments!AG444)</f>
        <v/>
      </c>
      <c r="J456" s="14">
        <f>IF('13 - Config_Intake_View'!Q456&lt;&gt;"","PM Approved",IF(Deployments!AG444&lt;&gt;"","Assumed",""))</f>
        <v/>
      </c>
      <c r="K456" s="21">
        <f>Deployments!AF444</f>
        <v/>
      </c>
      <c r="L456" s="14">
        <f>Deployments!U444</f>
        <v/>
      </c>
      <c r="M456" s="14">
        <f>Deployments!L444</f>
        <v/>
      </c>
      <c r="N456" s="14">
        <f>Deployments!CC444</f>
        <v/>
      </c>
      <c r="O456" s="21">
        <f>Deployments!CD444</f>
        <v/>
      </c>
      <c r="P456" s="2">
        <f>Deployments!BX444</f>
        <v/>
      </c>
      <c r="Q456" s="21">
        <f>IF(OR($A456="",$B456="",$D456=""),"MISSING CORE FIELDS","")</f>
        <v/>
      </c>
      <c r="R456" s="14">
        <f>IF(AND($I456&lt;&gt;"",$K456&lt;&gt;"Yes"),"SW NOT INSTALLED","")</f>
        <v/>
      </c>
      <c r="S456" s="14">
        <f>IF(AND($H456&lt;&gt;"",ISNUMBER(SEARCH("auto",LOWER($H456))),$F456=""),"AUTOLOGON REQUIRED","")</f>
        <v/>
      </c>
      <c r="T456" s="14">
        <f>IF($Q456&lt;&gt;"",$Q456,IF($S456&lt;&gt;"",$S456,IF($R456&lt;&gt;"",$R456,IF(OR($N456&lt;&gt;"",$O456="Blocked"),"BLOCKED","OK"))))</f>
        <v/>
      </c>
    </row>
    <row r="457">
      <c r="A457" s="21">
        <f>Deployments!H445</f>
        <v/>
      </c>
      <c r="B457" s="21">
        <f>Deployments!X445</f>
        <v/>
      </c>
      <c r="C457" s="21">
        <f>Deployments!Y445</f>
        <v/>
      </c>
      <c r="D457" s="14">
        <f>Deployments!AO445</f>
        <v/>
      </c>
      <c r="E457" s="14">
        <f>Deployments!N445</f>
        <v/>
      </c>
      <c r="F457" s="21">
        <f>Deployments!O445</f>
        <v/>
      </c>
      <c r="G457" s="14">
        <f>Deployments!P445</f>
        <v/>
      </c>
      <c r="H457" s="14">
        <f>'13 - Config_Intake_View'!M457</f>
        <v/>
      </c>
      <c r="I457" s="21">
        <f>IF('13 - Config_Intake_View'!Q457&lt;&gt;"",'13 - Config_Intake_View'!Q457,Deployments!AG445)</f>
        <v/>
      </c>
      <c r="J457" s="14">
        <f>IF('13 - Config_Intake_View'!Q457&lt;&gt;"","PM Approved",IF(Deployments!AG445&lt;&gt;"","Assumed",""))</f>
        <v/>
      </c>
      <c r="K457" s="21">
        <f>Deployments!AF445</f>
        <v/>
      </c>
      <c r="L457" s="14">
        <f>Deployments!U445</f>
        <v/>
      </c>
      <c r="M457" s="14">
        <f>Deployments!L445</f>
        <v/>
      </c>
      <c r="N457" s="14">
        <f>Deployments!CC445</f>
        <v/>
      </c>
      <c r="O457" s="21">
        <f>Deployments!CD445</f>
        <v/>
      </c>
      <c r="P457" s="2">
        <f>Deployments!BX445</f>
        <v/>
      </c>
      <c r="Q457" s="21">
        <f>IF(OR($A457="",$B457="",$D457=""),"MISSING CORE FIELDS","")</f>
        <v/>
      </c>
      <c r="R457" s="14">
        <f>IF(AND($I457&lt;&gt;"",$K457&lt;&gt;"Yes"),"SW NOT INSTALLED","")</f>
        <v/>
      </c>
      <c r="S457" s="14">
        <f>IF(AND($H457&lt;&gt;"",ISNUMBER(SEARCH("auto",LOWER($H457))),$F457=""),"AUTOLOGON REQUIRED","")</f>
        <v/>
      </c>
      <c r="T457" s="14">
        <f>IF($Q457&lt;&gt;"",$Q457,IF($S457&lt;&gt;"",$S457,IF($R457&lt;&gt;"",$R457,IF(OR($N457&lt;&gt;"",$O457="Blocked"),"BLOCKED","OK"))))</f>
        <v/>
      </c>
    </row>
    <row r="458">
      <c r="A458" s="21">
        <f>Deployments!H446</f>
        <v/>
      </c>
      <c r="B458" s="21">
        <f>Deployments!X446</f>
        <v/>
      </c>
      <c r="C458" s="21">
        <f>Deployments!Y446</f>
        <v/>
      </c>
      <c r="D458" s="14">
        <f>Deployments!AO446</f>
        <v/>
      </c>
      <c r="E458" s="14">
        <f>Deployments!N446</f>
        <v/>
      </c>
      <c r="F458" s="21">
        <f>Deployments!O446</f>
        <v/>
      </c>
      <c r="G458" s="14">
        <f>Deployments!P446</f>
        <v/>
      </c>
      <c r="H458" s="14">
        <f>'13 - Config_Intake_View'!M458</f>
        <v/>
      </c>
      <c r="I458" s="21">
        <f>IF('13 - Config_Intake_View'!Q458&lt;&gt;"",'13 - Config_Intake_View'!Q458,Deployments!AG446)</f>
        <v/>
      </c>
      <c r="J458" s="14">
        <f>IF('13 - Config_Intake_View'!Q458&lt;&gt;"","PM Approved",IF(Deployments!AG446&lt;&gt;"","Assumed",""))</f>
        <v/>
      </c>
      <c r="K458" s="21">
        <f>Deployments!AF446</f>
        <v/>
      </c>
      <c r="L458" s="14">
        <f>Deployments!U446</f>
        <v/>
      </c>
      <c r="M458" s="14">
        <f>Deployments!L446</f>
        <v/>
      </c>
      <c r="N458" s="14">
        <f>Deployments!CC446</f>
        <v/>
      </c>
      <c r="O458" s="21">
        <f>Deployments!CD446</f>
        <v/>
      </c>
      <c r="P458" s="2">
        <f>Deployments!BX446</f>
        <v/>
      </c>
      <c r="Q458" s="21">
        <f>IF(OR($A458="",$B458="",$D458=""),"MISSING CORE FIELDS","")</f>
        <v/>
      </c>
      <c r="R458" s="14">
        <f>IF(AND($I458&lt;&gt;"",$K458&lt;&gt;"Yes"),"SW NOT INSTALLED","")</f>
        <v/>
      </c>
      <c r="S458" s="14">
        <f>IF(AND($H458&lt;&gt;"",ISNUMBER(SEARCH("auto",LOWER($H458))),$F458=""),"AUTOLOGON REQUIRED","")</f>
        <v/>
      </c>
      <c r="T458" s="14">
        <f>IF($Q458&lt;&gt;"",$Q458,IF($S458&lt;&gt;"",$S458,IF($R458&lt;&gt;"",$R458,IF(OR($N458&lt;&gt;"",$O458="Blocked"),"BLOCKED","OK"))))</f>
        <v/>
      </c>
    </row>
    <row r="459">
      <c r="A459" s="21">
        <f>Deployments!H447</f>
        <v/>
      </c>
      <c r="B459" s="21">
        <f>Deployments!X447</f>
        <v/>
      </c>
      <c r="C459" s="21">
        <f>Deployments!Y447</f>
        <v/>
      </c>
      <c r="D459" s="14">
        <f>Deployments!AO447</f>
        <v/>
      </c>
      <c r="E459" s="14">
        <f>Deployments!N447</f>
        <v/>
      </c>
      <c r="F459" s="21">
        <f>Deployments!O447</f>
        <v/>
      </c>
      <c r="G459" s="14">
        <f>Deployments!P447</f>
        <v/>
      </c>
      <c r="H459" s="14">
        <f>'13 - Config_Intake_View'!M459</f>
        <v/>
      </c>
      <c r="I459" s="21">
        <f>IF('13 - Config_Intake_View'!Q459&lt;&gt;"",'13 - Config_Intake_View'!Q459,Deployments!AG447)</f>
        <v/>
      </c>
      <c r="J459" s="14">
        <f>IF('13 - Config_Intake_View'!Q459&lt;&gt;"","PM Approved",IF(Deployments!AG447&lt;&gt;"","Assumed",""))</f>
        <v/>
      </c>
      <c r="K459" s="21">
        <f>Deployments!AF447</f>
        <v/>
      </c>
      <c r="L459" s="14">
        <f>Deployments!U447</f>
        <v/>
      </c>
      <c r="M459" s="14">
        <f>Deployments!L447</f>
        <v/>
      </c>
      <c r="N459" s="14">
        <f>Deployments!CC447</f>
        <v/>
      </c>
      <c r="O459" s="21">
        <f>Deployments!CD447</f>
        <v/>
      </c>
      <c r="P459" s="2">
        <f>Deployments!BX447</f>
        <v/>
      </c>
      <c r="Q459" s="21">
        <f>IF(OR($A459="",$B459="",$D459=""),"MISSING CORE FIELDS","")</f>
        <v/>
      </c>
      <c r="R459" s="14">
        <f>IF(AND($I459&lt;&gt;"",$K459&lt;&gt;"Yes"),"SW NOT INSTALLED","")</f>
        <v/>
      </c>
      <c r="S459" s="14">
        <f>IF(AND($H459&lt;&gt;"",ISNUMBER(SEARCH("auto",LOWER($H459))),$F459=""),"AUTOLOGON REQUIRED","")</f>
        <v/>
      </c>
      <c r="T459" s="14">
        <f>IF($Q459&lt;&gt;"",$Q459,IF($S459&lt;&gt;"",$S459,IF($R459&lt;&gt;"",$R459,IF(OR($N459&lt;&gt;"",$O459="Blocked"),"BLOCKED","OK"))))</f>
        <v/>
      </c>
    </row>
    <row r="460">
      <c r="A460" s="21">
        <f>Deployments!H448</f>
        <v/>
      </c>
      <c r="B460" s="21">
        <f>Deployments!X448</f>
        <v/>
      </c>
      <c r="C460" s="21">
        <f>Deployments!Y448</f>
        <v/>
      </c>
      <c r="D460" s="14">
        <f>Deployments!AO448</f>
        <v/>
      </c>
      <c r="E460" s="14">
        <f>Deployments!N448</f>
        <v/>
      </c>
      <c r="F460" s="21">
        <f>Deployments!O448</f>
        <v/>
      </c>
      <c r="G460" s="14">
        <f>Deployments!P448</f>
        <v/>
      </c>
      <c r="H460" s="14">
        <f>'13 - Config_Intake_View'!M460</f>
        <v/>
      </c>
      <c r="I460" s="21">
        <f>IF('13 - Config_Intake_View'!Q460&lt;&gt;"",'13 - Config_Intake_View'!Q460,Deployments!AG448)</f>
        <v/>
      </c>
      <c r="J460" s="14">
        <f>IF('13 - Config_Intake_View'!Q460&lt;&gt;"","PM Approved",IF(Deployments!AG448&lt;&gt;"","Assumed",""))</f>
        <v/>
      </c>
      <c r="K460" s="21">
        <f>Deployments!AF448</f>
        <v/>
      </c>
      <c r="L460" s="14">
        <f>Deployments!U448</f>
        <v/>
      </c>
      <c r="M460" s="14">
        <f>Deployments!L448</f>
        <v/>
      </c>
      <c r="N460" s="14">
        <f>Deployments!CC448</f>
        <v/>
      </c>
      <c r="O460" s="21">
        <f>Deployments!CD448</f>
        <v/>
      </c>
      <c r="P460" s="2">
        <f>Deployments!BX448</f>
        <v/>
      </c>
      <c r="Q460" s="21">
        <f>IF(OR($A460="",$B460="",$D460=""),"MISSING CORE FIELDS","")</f>
        <v/>
      </c>
      <c r="R460" s="14">
        <f>IF(AND($I460&lt;&gt;"",$K460&lt;&gt;"Yes"),"SW NOT INSTALLED","")</f>
        <v/>
      </c>
      <c r="S460" s="14">
        <f>IF(AND($H460&lt;&gt;"",ISNUMBER(SEARCH("auto",LOWER($H460))),$F460=""),"AUTOLOGON REQUIRED","")</f>
        <v/>
      </c>
      <c r="T460" s="14">
        <f>IF($Q460&lt;&gt;"",$Q460,IF($S460&lt;&gt;"",$S460,IF($R460&lt;&gt;"",$R460,IF(OR($N460&lt;&gt;"",$O460="Blocked"),"BLOCKED","OK"))))</f>
        <v/>
      </c>
    </row>
    <row r="461">
      <c r="A461" s="21">
        <f>Deployments!H449</f>
        <v/>
      </c>
      <c r="B461" s="21">
        <f>Deployments!X449</f>
        <v/>
      </c>
      <c r="C461" s="21">
        <f>Deployments!Y449</f>
        <v/>
      </c>
      <c r="D461" s="14">
        <f>Deployments!AO449</f>
        <v/>
      </c>
      <c r="E461" s="14">
        <f>Deployments!N449</f>
        <v/>
      </c>
      <c r="F461" s="21">
        <f>Deployments!O449</f>
        <v/>
      </c>
      <c r="G461" s="14">
        <f>Deployments!P449</f>
        <v/>
      </c>
      <c r="H461" s="14">
        <f>'13 - Config_Intake_View'!M461</f>
        <v/>
      </c>
      <c r="I461" s="21">
        <f>IF('13 - Config_Intake_View'!Q461&lt;&gt;"",'13 - Config_Intake_View'!Q461,Deployments!AG449)</f>
        <v/>
      </c>
      <c r="J461" s="14">
        <f>IF('13 - Config_Intake_View'!Q461&lt;&gt;"","PM Approved",IF(Deployments!AG449&lt;&gt;"","Assumed",""))</f>
        <v/>
      </c>
      <c r="K461" s="21">
        <f>Deployments!AF449</f>
        <v/>
      </c>
      <c r="L461" s="14">
        <f>Deployments!U449</f>
        <v/>
      </c>
      <c r="M461" s="14">
        <f>Deployments!L449</f>
        <v/>
      </c>
      <c r="N461" s="14">
        <f>Deployments!CC449</f>
        <v/>
      </c>
      <c r="O461" s="21">
        <f>Deployments!CD449</f>
        <v/>
      </c>
      <c r="P461" s="2">
        <f>Deployments!BX449</f>
        <v/>
      </c>
      <c r="Q461" s="21">
        <f>IF(OR($A461="",$B461="",$D461=""),"MISSING CORE FIELDS","")</f>
        <v/>
      </c>
      <c r="R461" s="14">
        <f>IF(AND($I461&lt;&gt;"",$K461&lt;&gt;"Yes"),"SW NOT INSTALLED","")</f>
        <v/>
      </c>
      <c r="S461" s="14">
        <f>IF(AND($H461&lt;&gt;"",ISNUMBER(SEARCH("auto",LOWER($H461))),$F461=""),"AUTOLOGON REQUIRED","")</f>
        <v/>
      </c>
      <c r="T461" s="14">
        <f>IF($Q461&lt;&gt;"",$Q461,IF($S461&lt;&gt;"",$S461,IF($R461&lt;&gt;"",$R461,IF(OR($N461&lt;&gt;"",$O461="Blocked"),"BLOCKED","OK"))))</f>
        <v/>
      </c>
    </row>
    <row r="462">
      <c r="A462" s="21">
        <f>Deployments!H450</f>
        <v/>
      </c>
      <c r="B462" s="21">
        <f>Deployments!X450</f>
        <v/>
      </c>
      <c r="C462" s="21">
        <f>Deployments!Y450</f>
        <v/>
      </c>
      <c r="D462" s="14">
        <f>Deployments!AO450</f>
        <v/>
      </c>
      <c r="E462" s="14">
        <f>Deployments!N450</f>
        <v/>
      </c>
      <c r="F462" s="21">
        <f>Deployments!O450</f>
        <v/>
      </c>
      <c r="G462" s="14">
        <f>Deployments!P450</f>
        <v/>
      </c>
      <c r="H462" s="14">
        <f>'13 - Config_Intake_View'!M462</f>
        <v/>
      </c>
      <c r="I462" s="21">
        <f>IF('13 - Config_Intake_View'!Q462&lt;&gt;"",'13 - Config_Intake_View'!Q462,Deployments!AG450)</f>
        <v/>
      </c>
      <c r="J462" s="14">
        <f>IF('13 - Config_Intake_View'!Q462&lt;&gt;"","PM Approved",IF(Deployments!AG450&lt;&gt;"","Assumed",""))</f>
        <v/>
      </c>
      <c r="K462" s="21">
        <f>Deployments!AF450</f>
        <v/>
      </c>
      <c r="L462" s="14">
        <f>Deployments!U450</f>
        <v/>
      </c>
      <c r="M462" s="14">
        <f>Deployments!L450</f>
        <v/>
      </c>
      <c r="N462" s="14">
        <f>Deployments!CC450</f>
        <v/>
      </c>
      <c r="O462" s="21">
        <f>Deployments!CD450</f>
        <v/>
      </c>
      <c r="P462" s="2">
        <f>Deployments!BX450</f>
        <v/>
      </c>
      <c r="Q462" s="21">
        <f>IF(OR($A462="",$B462="",$D462=""),"MISSING CORE FIELDS","")</f>
        <v/>
      </c>
      <c r="R462" s="14">
        <f>IF(AND($I462&lt;&gt;"",$K462&lt;&gt;"Yes"),"SW NOT INSTALLED","")</f>
        <v/>
      </c>
      <c r="S462" s="14">
        <f>IF(AND($H462&lt;&gt;"",ISNUMBER(SEARCH("auto",LOWER($H462))),$F462=""),"AUTOLOGON REQUIRED","")</f>
        <v/>
      </c>
      <c r="T462" s="14">
        <f>IF($Q462&lt;&gt;"",$Q462,IF($S462&lt;&gt;"",$S462,IF($R462&lt;&gt;"",$R462,IF(OR($N462&lt;&gt;"",$O462="Blocked"),"BLOCKED","OK"))))</f>
        <v/>
      </c>
    </row>
    <row r="463">
      <c r="A463" s="21">
        <f>Deployments!H451</f>
        <v/>
      </c>
      <c r="B463" s="21">
        <f>Deployments!X451</f>
        <v/>
      </c>
      <c r="C463" s="21">
        <f>Deployments!Y451</f>
        <v/>
      </c>
      <c r="D463" s="14">
        <f>Deployments!AO451</f>
        <v/>
      </c>
      <c r="E463" s="14">
        <f>Deployments!N451</f>
        <v/>
      </c>
      <c r="F463" s="21">
        <f>Deployments!O451</f>
        <v/>
      </c>
      <c r="G463" s="14">
        <f>Deployments!P451</f>
        <v/>
      </c>
      <c r="H463" s="14">
        <f>'13 - Config_Intake_View'!M463</f>
        <v/>
      </c>
      <c r="I463" s="21">
        <f>IF('13 - Config_Intake_View'!Q463&lt;&gt;"",'13 - Config_Intake_View'!Q463,Deployments!AG451)</f>
        <v/>
      </c>
      <c r="J463" s="14">
        <f>IF('13 - Config_Intake_View'!Q463&lt;&gt;"","PM Approved",IF(Deployments!AG451&lt;&gt;"","Assumed",""))</f>
        <v/>
      </c>
      <c r="K463" s="21">
        <f>Deployments!AF451</f>
        <v/>
      </c>
      <c r="L463" s="14">
        <f>Deployments!U451</f>
        <v/>
      </c>
      <c r="M463" s="14">
        <f>Deployments!L451</f>
        <v/>
      </c>
      <c r="N463" s="14">
        <f>Deployments!CC451</f>
        <v/>
      </c>
      <c r="O463" s="21">
        <f>Deployments!CD451</f>
        <v/>
      </c>
      <c r="P463" s="2">
        <f>Deployments!BX451</f>
        <v/>
      </c>
      <c r="Q463" s="21">
        <f>IF(OR($A463="",$B463="",$D463=""),"MISSING CORE FIELDS","")</f>
        <v/>
      </c>
      <c r="R463" s="14">
        <f>IF(AND($I463&lt;&gt;"",$K463&lt;&gt;"Yes"),"SW NOT INSTALLED","")</f>
        <v/>
      </c>
      <c r="S463" s="14">
        <f>IF(AND($H463&lt;&gt;"",ISNUMBER(SEARCH("auto",LOWER($H463))),$F463=""),"AUTOLOGON REQUIRED","")</f>
        <v/>
      </c>
      <c r="T463" s="14">
        <f>IF($Q463&lt;&gt;"",$Q463,IF($S463&lt;&gt;"",$S463,IF($R463&lt;&gt;"",$R463,IF(OR($N463&lt;&gt;"",$O463="Blocked"),"BLOCKED","OK"))))</f>
        <v/>
      </c>
    </row>
    <row r="464">
      <c r="A464" s="21">
        <f>Deployments!H452</f>
        <v/>
      </c>
      <c r="B464" s="21">
        <f>Deployments!X452</f>
        <v/>
      </c>
      <c r="C464" s="21">
        <f>Deployments!Y452</f>
        <v/>
      </c>
      <c r="D464" s="14">
        <f>Deployments!AO452</f>
        <v/>
      </c>
      <c r="E464" s="14">
        <f>Deployments!N452</f>
        <v/>
      </c>
      <c r="F464" s="21">
        <f>Deployments!O452</f>
        <v/>
      </c>
      <c r="G464" s="14">
        <f>Deployments!P452</f>
        <v/>
      </c>
      <c r="H464" s="14">
        <f>'13 - Config_Intake_View'!M464</f>
        <v/>
      </c>
      <c r="I464" s="21">
        <f>IF('13 - Config_Intake_View'!Q464&lt;&gt;"",'13 - Config_Intake_View'!Q464,Deployments!AG452)</f>
        <v/>
      </c>
      <c r="J464" s="14">
        <f>IF('13 - Config_Intake_View'!Q464&lt;&gt;"","PM Approved",IF(Deployments!AG452&lt;&gt;"","Assumed",""))</f>
        <v/>
      </c>
      <c r="K464" s="21">
        <f>Deployments!AF452</f>
        <v/>
      </c>
      <c r="L464" s="14">
        <f>Deployments!U452</f>
        <v/>
      </c>
      <c r="M464" s="14">
        <f>Deployments!L452</f>
        <v/>
      </c>
      <c r="N464" s="14">
        <f>Deployments!CC452</f>
        <v/>
      </c>
      <c r="O464" s="21">
        <f>Deployments!CD452</f>
        <v/>
      </c>
      <c r="P464" s="2">
        <f>Deployments!BX452</f>
        <v/>
      </c>
      <c r="Q464" s="21">
        <f>IF(OR($A464="",$B464="",$D464=""),"MISSING CORE FIELDS","")</f>
        <v/>
      </c>
      <c r="R464" s="14">
        <f>IF(AND($I464&lt;&gt;"",$K464&lt;&gt;"Yes"),"SW NOT INSTALLED","")</f>
        <v/>
      </c>
      <c r="S464" s="14">
        <f>IF(AND($H464&lt;&gt;"",ISNUMBER(SEARCH("auto",LOWER($H464))),$F464=""),"AUTOLOGON REQUIRED","")</f>
        <v/>
      </c>
      <c r="T464" s="14">
        <f>IF($Q464&lt;&gt;"",$Q464,IF($S464&lt;&gt;"",$S464,IF($R464&lt;&gt;"",$R464,IF(OR($N464&lt;&gt;"",$O464="Blocked"),"BLOCKED","OK"))))</f>
        <v/>
      </c>
    </row>
    <row r="465">
      <c r="A465" s="21">
        <f>Deployments!H453</f>
        <v/>
      </c>
      <c r="B465" s="21">
        <f>Deployments!X453</f>
        <v/>
      </c>
      <c r="C465" s="21">
        <f>Deployments!Y453</f>
        <v/>
      </c>
      <c r="D465" s="14">
        <f>Deployments!AO453</f>
        <v/>
      </c>
      <c r="E465" s="14">
        <f>Deployments!N453</f>
        <v/>
      </c>
      <c r="F465" s="21">
        <f>Deployments!O453</f>
        <v/>
      </c>
      <c r="G465" s="14">
        <f>Deployments!P453</f>
        <v/>
      </c>
      <c r="H465" s="14">
        <f>'13 - Config_Intake_View'!M465</f>
        <v/>
      </c>
      <c r="I465" s="21">
        <f>IF('13 - Config_Intake_View'!Q465&lt;&gt;"",'13 - Config_Intake_View'!Q465,Deployments!AG453)</f>
        <v/>
      </c>
      <c r="J465" s="14">
        <f>IF('13 - Config_Intake_View'!Q465&lt;&gt;"","PM Approved",IF(Deployments!AG453&lt;&gt;"","Assumed",""))</f>
        <v/>
      </c>
      <c r="K465" s="21">
        <f>Deployments!AF453</f>
        <v/>
      </c>
      <c r="L465" s="14">
        <f>Deployments!U453</f>
        <v/>
      </c>
      <c r="M465" s="14">
        <f>Deployments!L453</f>
        <v/>
      </c>
      <c r="N465" s="14">
        <f>Deployments!CC453</f>
        <v/>
      </c>
      <c r="O465" s="21">
        <f>Deployments!CD453</f>
        <v/>
      </c>
      <c r="P465" s="2">
        <f>Deployments!BX453</f>
        <v/>
      </c>
      <c r="Q465" s="21">
        <f>IF(OR($A465="",$B465="",$D465=""),"MISSING CORE FIELDS","")</f>
        <v/>
      </c>
      <c r="R465" s="14">
        <f>IF(AND($I465&lt;&gt;"",$K465&lt;&gt;"Yes"),"SW NOT INSTALLED","")</f>
        <v/>
      </c>
      <c r="S465" s="14">
        <f>IF(AND($H465&lt;&gt;"",ISNUMBER(SEARCH("auto",LOWER($H465))),$F465=""),"AUTOLOGON REQUIRED","")</f>
        <v/>
      </c>
      <c r="T465" s="14">
        <f>IF($Q465&lt;&gt;"",$Q465,IF($S465&lt;&gt;"",$S465,IF($R465&lt;&gt;"",$R465,IF(OR($N465&lt;&gt;"",$O465="Blocked"),"BLOCKED","OK"))))</f>
        <v/>
      </c>
    </row>
    <row r="466">
      <c r="A466" s="21">
        <f>Deployments!H454</f>
        <v/>
      </c>
      <c r="B466" s="21">
        <f>Deployments!X454</f>
        <v/>
      </c>
      <c r="C466" s="21">
        <f>Deployments!Y454</f>
        <v/>
      </c>
      <c r="D466" s="14">
        <f>Deployments!AO454</f>
        <v/>
      </c>
      <c r="E466" s="14">
        <f>Deployments!N454</f>
        <v/>
      </c>
      <c r="F466" s="21">
        <f>Deployments!O454</f>
        <v/>
      </c>
      <c r="G466" s="14">
        <f>Deployments!P454</f>
        <v/>
      </c>
      <c r="H466" s="14">
        <f>'13 - Config_Intake_View'!M466</f>
        <v/>
      </c>
      <c r="I466" s="21">
        <f>IF('13 - Config_Intake_View'!Q466&lt;&gt;"",'13 - Config_Intake_View'!Q466,Deployments!AG454)</f>
        <v/>
      </c>
      <c r="J466" s="14">
        <f>IF('13 - Config_Intake_View'!Q466&lt;&gt;"","PM Approved",IF(Deployments!AG454&lt;&gt;"","Assumed",""))</f>
        <v/>
      </c>
      <c r="K466" s="21">
        <f>Deployments!AF454</f>
        <v/>
      </c>
      <c r="L466" s="14">
        <f>Deployments!U454</f>
        <v/>
      </c>
      <c r="M466" s="14">
        <f>Deployments!L454</f>
        <v/>
      </c>
      <c r="N466" s="14">
        <f>Deployments!CC454</f>
        <v/>
      </c>
      <c r="O466" s="21">
        <f>Deployments!CD454</f>
        <v/>
      </c>
      <c r="P466" s="2">
        <f>Deployments!BX454</f>
        <v/>
      </c>
      <c r="Q466" s="21">
        <f>IF(OR($A466="",$B466="",$D466=""),"MISSING CORE FIELDS","")</f>
        <v/>
      </c>
      <c r="R466" s="14">
        <f>IF(AND($I466&lt;&gt;"",$K466&lt;&gt;"Yes"),"SW NOT INSTALLED","")</f>
        <v/>
      </c>
      <c r="S466" s="14">
        <f>IF(AND($H466&lt;&gt;"",ISNUMBER(SEARCH("auto",LOWER($H466))),$F466=""),"AUTOLOGON REQUIRED","")</f>
        <v/>
      </c>
      <c r="T466" s="14">
        <f>IF($Q466&lt;&gt;"",$Q466,IF($S466&lt;&gt;"",$S466,IF($R466&lt;&gt;"",$R466,IF(OR($N466&lt;&gt;"",$O466="Blocked"),"BLOCKED","OK"))))</f>
        <v/>
      </c>
    </row>
    <row r="467">
      <c r="A467" s="21">
        <f>Deployments!H455</f>
        <v/>
      </c>
      <c r="B467" s="21">
        <f>Deployments!X455</f>
        <v/>
      </c>
      <c r="C467" s="21">
        <f>Deployments!Y455</f>
        <v/>
      </c>
      <c r="D467" s="14">
        <f>Deployments!AO455</f>
        <v/>
      </c>
      <c r="E467" s="14">
        <f>Deployments!N455</f>
        <v/>
      </c>
      <c r="F467" s="21">
        <f>Deployments!O455</f>
        <v/>
      </c>
      <c r="G467" s="14">
        <f>Deployments!P455</f>
        <v/>
      </c>
      <c r="H467" s="14">
        <f>'13 - Config_Intake_View'!M467</f>
        <v/>
      </c>
      <c r="I467" s="21">
        <f>IF('13 - Config_Intake_View'!Q467&lt;&gt;"",'13 - Config_Intake_View'!Q467,Deployments!AG455)</f>
        <v/>
      </c>
      <c r="J467" s="14">
        <f>IF('13 - Config_Intake_View'!Q467&lt;&gt;"","PM Approved",IF(Deployments!AG455&lt;&gt;"","Assumed",""))</f>
        <v/>
      </c>
      <c r="K467" s="21">
        <f>Deployments!AF455</f>
        <v/>
      </c>
      <c r="L467" s="14">
        <f>Deployments!U455</f>
        <v/>
      </c>
      <c r="M467" s="14">
        <f>Deployments!L455</f>
        <v/>
      </c>
      <c r="N467" s="14">
        <f>Deployments!CC455</f>
        <v/>
      </c>
      <c r="O467" s="21">
        <f>Deployments!CD455</f>
        <v/>
      </c>
      <c r="P467" s="2">
        <f>Deployments!BX455</f>
        <v/>
      </c>
      <c r="Q467" s="21">
        <f>IF(OR($A467="",$B467="",$D467=""),"MISSING CORE FIELDS","")</f>
        <v/>
      </c>
      <c r="R467" s="14">
        <f>IF(AND($I467&lt;&gt;"",$K467&lt;&gt;"Yes"),"SW NOT INSTALLED","")</f>
        <v/>
      </c>
      <c r="S467" s="14">
        <f>IF(AND($H467&lt;&gt;"",ISNUMBER(SEARCH("auto",LOWER($H467))),$F467=""),"AUTOLOGON REQUIRED","")</f>
        <v/>
      </c>
      <c r="T467" s="14">
        <f>IF($Q467&lt;&gt;"",$Q467,IF($S467&lt;&gt;"",$S467,IF($R467&lt;&gt;"",$R467,IF(OR($N467&lt;&gt;"",$O467="Blocked"),"BLOCKED","OK"))))</f>
        <v/>
      </c>
    </row>
    <row r="468">
      <c r="A468" s="21">
        <f>Deployments!H456</f>
        <v/>
      </c>
      <c r="B468" s="21">
        <f>Deployments!X456</f>
        <v/>
      </c>
      <c r="C468" s="21">
        <f>Deployments!Y456</f>
        <v/>
      </c>
      <c r="D468" s="14">
        <f>Deployments!AO456</f>
        <v/>
      </c>
      <c r="E468" s="14">
        <f>Deployments!N456</f>
        <v/>
      </c>
      <c r="F468" s="21">
        <f>Deployments!O456</f>
        <v/>
      </c>
      <c r="G468" s="14">
        <f>Deployments!P456</f>
        <v/>
      </c>
      <c r="H468" s="14">
        <f>'13 - Config_Intake_View'!M468</f>
        <v/>
      </c>
      <c r="I468" s="21">
        <f>IF('13 - Config_Intake_View'!Q468&lt;&gt;"",'13 - Config_Intake_View'!Q468,Deployments!AG456)</f>
        <v/>
      </c>
      <c r="J468" s="14">
        <f>IF('13 - Config_Intake_View'!Q468&lt;&gt;"","PM Approved",IF(Deployments!AG456&lt;&gt;"","Assumed",""))</f>
        <v/>
      </c>
      <c r="K468" s="21">
        <f>Deployments!AF456</f>
        <v/>
      </c>
      <c r="L468" s="14">
        <f>Deployments!U456</f>
        <v/>
      </c>
      <c r="M468" s="14">
        <f>Deployments!L456</f>
        <v/>
      </c>
      <c r="N468" s="14">
        <f>Deployments!CC456</f>
        <v/>
      </c>
      <c r="O468" s="21">
        <f>Deployments!CD456</f>
        <v/>
      </c>
      <c r="P468" s="2">
        <f>Deployments!BX456</f>
        <v/>
      </c>
      <c r="Q468" s="21">
        <f>IF(OR($A468="",$B468="",$D468=""),"MISSING CORE FIELDS","")</f>
        <v/>
      </c>
      <c r="R468" s="14">
        <f>IF(AND($I468&lt;&gt;"",$K468&lt;&gt;"Yes"),"SW NOT INSTALLED","")</f>
        <v/>
      </c>
      <c r="S468" s="14">
        <f>IF(AND($H468&lt;&gt;"",ISNUMBER(SEARCH("auto",LOWER($H468))),$F468=""),"AUTOLOGON REQUIRED","")</f>
        <v/>
      </c>
      <c r="T468" s="14">
        <f>IF($Q468&lt;&gt;"",$Q468,IF($S468&lt;&gt;"",$S468,IF($R468&lt;&gt;"",$R468,IF(OR($N468&lt;&gt;"",$O468="Blocked"),"BLOCKED","OK"))))</f>
        <v/>
      </c>
    </row>
    <row r="469">
      <c r="A469" s="21">
        <f>Deployments!H457</f>
        <v/>
      </c>
      <c r="B469" s="21">
        <f>Deployments!X457</f>
        <v/>
      </c>
      <c r="C469" s="21">
        <f>Deployments!Y457</f>
        <v/>
      </c>
      <c r="D469" s="14">
        <f>Deployments!AO457</f>
        <v/>
      </c>
      <c r="E469" s="14">
        <f>Deployments!N457</f>
        <v/>
      </c>
      <c r="F469" s="21">
        <f>Deployments!O457</f>
        <v/>
      </c>
      <c r="G469" s="14">
        <f>Deployments!P457</f>
        <v/>
      </c>
      <c r="H469" s="14">
        <f>'13 - Config_Intake_View'!M469</f>
        <v/>
      </c>
      <c r="I469" s="21">
        <f>IF('13 - Config_Intake_View'!Q469&lt;&gt;"",'13 - Config_Intake_View'!Q469,Deployments!AG457)</f>
        <v/>
      </c>
      <c r="J469" s="14">
        <f>IF('13 - Config_Intake_View'!Q469&lt;&gt;"","PM Approved",IF(Deployments!AG457&lt;&gt;"","Assumed",""))</f>
        <v/>
      </c>
      <c r="K469" s="21">
        <f>Deployments!AF457</f>
        <v/>
      </c>
      <c r="L469" s="14">
        <f>Deployments!U457</f>
        <v/>
      </c>
      <c r="M469" s="14">
        <f>Deployments!L457</f>
        <v/>
      </c>
      <c r="N469" s="14">
        <f>Deployments!CC457</f>
        <v/>
      </c>
      <c r="O469" s="21">
        <f>Deployments!CD457</f>
        <v/>
      </c>
      <c r="P469" s="2">
        <f>Deployments!BX457</f>
        <v/>
      </c>
      <c r="Q469" s="21">
        <f>IF(OR($A469="",$B469="",$D469=""),"MISSING CORE FIELDS","")</f>
        <v/>
      </c>
      <c r="R469" s="14">
        <f>IF(AND($I469&lt;&gt;"",$K469&lt;&gt;"Yes"),"SW NOT INSTALLED","")</f>
        <v/>
      </c>
      <c r="S469" s="14">
        <f>IF(AND($H469&lt;&gt;"",ISNUMBER(SEARCH("auto",LOWER($H469))),$F469=""),"AUTOLOGON REQUIRED","")</f>
        <v/>
      </c>
      <c r="T469" s="14">
        <f>IF($Q469&lt;&gt;"",$Q469,IF($S469&lt;&gt;"",$S469,IF($R469&lt;&gt;"",$R469,IF(OR($N469&lt;&gt;"",$O469="Blocked"),"BLOCKED","OK"))))</f>
        <v/>
      </c>
    </row>
    <row r="470">
      <c r="A470" s="21">
        <f>Deployments!H458</f>
        <v/>
      </c>
      <c r="B470" s="21">
        <f>Deployments!X458</f>
        <v/>
      </c>
      <c r="C470" s="21">
        <f>Deployments!Y458</f>
        <v/>
      </c>
      <c r="D470" s="14">
        <f>Deployments!AO458</f>
        <v/>
      </c>
      <c r="E470" s="14">
        <f>Deployments!N458</f>
        <v/>
      </c>
      <c r="F470" s="21">
        <f>Deployments!O458</f>
        <v/>
      </c>
      <c r="G470" s="14">
        <f>Deployments!P458</f>
        <v/>
      </c>
      <c r="H470" s="14">
        <f>'13 - Config_Intake_View'!M470</f>
        <v/>
      </c>
      <c r="I470" s="21">
        <f>IF('13 - Config_Intake_View'!Q470&lt;&gt;"",'13 - Config_Intake_View'!Q470,Deployments!AG458)</f>
        <v/>
      </c>
      <c r="J470" s="14">
        <f>IF('13 - Config_Intake_View'!Q470&lt;&gt;"","PM Approved",IF(Deployments!AG458&lt;&gt;"","Assumed",""))</f>
        <v/>
      </c>
      <c r="K470" s="21">
        <f>Deployments!AF458</f>
        <v/>
      </c>
      <c r="L470" s="14">
        <f>Deployments!U458</f>
        <v/>
      </c>
      <c r="M470" s="14">
        <f>Deployments!L458</f>
        <v/>
      </c>
      <c r="N470" s="14">
        <f>Deployments!CC458</f>
        <v/>
      </c>
      <c r="O470" s="21">
        <f>Deployments!CD458</f>
        <v/>
      </c>
      <c r="P470" s="2">
        <f>Deployments!BX458</f>
        <v/>
      </c>
      <c r="Q470" s="21">
        <f>IF(OR($A470="",$B470="",$D470=""),"MISSING CORE FIELDS","")</f>
        <v/>
      </c>
      <c r="R470" s="14">
        <f>IF(AND($I470&lt;&gt;"",$K470&lt;&gt;"Yes"),"SW NOT INSTALLED","")</f>
        <v/>
      </c>
      <c r="S470" s="14">
        <f>IF(AND($H470&lt;&gt;"",ISNUMBER(SEARCH("auto",LOWER($H470))),$F470=""),"AUTOLOGON REQUIRED","")</f>
        <v/>
      </c>
      <c r="T470" s="14">
        <f>IF($Q470&lt;&gt;"",$Q470,IF($S470&lt;&gt;"",$S470,IF($R470&lt;&gt;"",$R470,IF(OR($N470&lt;&gt;"",$O470="Blocked"),"BLOCKED","OK"))))</f>
        <v/>
      </c>
    </row>
    <row r="471">
      <c r="A471" s="21">
        <f>Deployments!H459</f>
        <v/>
      </c>
      <c r="B471" s="21">
        <f>Deployments!X459</f>
        <v/>
      </c>
      <c r="C471" s="21">
        <f>Deployments!Y459</f>
        <v/>
      </c>
      <c r="D471" s="14">
        <f>Deployments!AO459</f>
        <v/>
      </c>
      <c r="E471" s="14">
        <f>Deployments!N459</f>
        <v/>
      </c>
      <c r="F471" s="21">
        <f>Deployments!O459</f>
        <v/>
      </c>
      <c r="G471" s="14">
        <f>Deployments!P459</f>
        <v/>
      </c>
      <c r="H471" s="14">
        <f>'13 - Config_Intake_View'!M471</f>
        <v/>
      </c>
      <c r="I471" s="21">
        <f>IF('13 - Config_Intake_View'!Q471&lt;&gt;"",'13 - Config_Intake_View'!Q471,Deployments!AG459)</f>
        <v/>
      </c>
      <c r="J471" s="14">
        <f>IF('13 - Config_Intake_View'!Q471&lt;&gt;"","PM Approved",IF(Deployments!AG459&lt;&gt;"","Assumed",""))</f>
        <v/>
      </c>
      <c r="K471" s="21">
        <f>Deployments!AF459</f>
        <v/>
      </c>
      <c r="L471" s="14">
        <f>Deployments!U459</f>
        <v/>
      </c>
      <c r="M471" s="14">
        <f>Deployments!L459</f>
        <v/>
      </c>
      <c r="N471" s="14">
        <f>Deployments!CC459</f>
        <v/>
      </c>
      <c r="O471" s="21">
        <f>Deployments!CD459</f>
        <v/>
      </c>
      <c r="P471" s="2">
        <f>Deployments!BX459</f>
        <v/>
      </c>
      <c r="Q471" s="21">
        <f>IF(OR($A471="",$B471="",$D471=""),"MISSING CORE FIELDS","")</f>
        <v/>
      </c>
      <c r="R471" s="14">
        <f>IF(AND($I471&lt;&gt;"",$K471&lt;&gt;"Yes"),"SW NOT INSTALLED","")</f>
        <v/>
      </c>
      <c r="S471" s="14">
        <f>IF(AND($H471&lt;&gt;"",ISNUMBER(SEARCH("auto",LOWER($H471))),$F471=""),"AUTOLOGON REQUIRED","")</f>
        <v/>
      </c>
      <c r="T471" s="14">
        <f>IF($Q471&lt;&gt;"",$Q471,IF($S471&lt;&gt;"",$S471,IF($R471&lt;&gt;"",$R471,IF(OR($N471&lt;&gt;"",$O471="Blocked"),"BLOCKED","OK"))))</f>
        <v/>
      </c>
    </row>
    <row r="472">
      <c r="A472" s="21">
        <f>Deployments!H460</f>
        <v/>
      </c>
      <c r="B472" s="21">
        <f>Deployments!X460</f>
        <v/>
      </c>
      <c r="C472" s="21">
        <f>Deployments!Y460</f>
        <v/>
      </c>
      <c r="D472" s="14">
        <f>Deployments!AO460</f>
        <v/>
      </c>
      <c r="E472" s="14">
        <f>Deployments!N460</f>
        <v/>
      </c>
      <c r="F472" s="21">
        <f>Deployments!O460</f>
        <v/>
      </c>
      <c r="G472" s="14">
        <f>Deployments!P460</f>
        <v/>
      </c>
      <c r="H472" s="14">
        <f>'13 - Config_Intake_View'!M472</f>
        <v/>
      </c>
      <c r="I472" s="21">
        <f>IF('13 - Config_Intake_View'!Q472&lt;&gt;"",'13 - Config_Intake_View'!Q472,Deployments!AG460)</f>
        <v/>
      </c>
      <c r="J472" s="14">
        <f>IF('13 - Config_Intake_View'!Q472&lt;&gt;"","PM Approved",IF(Deployments!AG460&lt;&gt;"","Assumed",""))</f>
        <v/>
      </c>
      <c r="K472" s="21">
        <f>Deployments!AF460</f>
        <v/>
      </c>
      <c r="L472" s="14">
        <f>Deployments!U460</f>
        <v/>
      </c>
      <c r="M472" s="14">
        <f>Deployments!L460</f>
        <v/>
      </c>
      <c r="N472" s="14">
        <f>Deployments!CC460</f>
        <v/>
      </c>
      <c r="O472" s="21">
        <f>Deployments!CD460</f>
        <v/>
      </c>
      <c r="P472" s="2">
        <f>Deployments!BX460</f>
        <v/>
      </c>
      <c r="Q472" s="21">
        <f>IF(OR($A472="",$B472="",$D472=""),"MISSING CORE FIELDS","")</f>
        <v/>
      </c>
      <c r="R472" s="14">
        <f>IF(AND($I472&lt;&gt;"",$K472&lt;&gt;"Yes"),"SW NOT INSTALLED","")</f>
        <v/>
      </c>
      <c r="S472" s="14">
        <f>IF(AND($H472&lt;&gt;"",ISNUMBER(SEARCH("auto",LOWER($H472))),$F472=""),"AUTOLOGON REQUIRED","")</f>
        <v/>
      </c>
      <c r="T472" s="14">
        <f>IF($Q472&lt;&gt;"",$Q472,IF($S472&lt;&gt;"",$S472,IF($R472&lt;&gt;"",$R472,IF(OR($N472&lt;&gt;"",$O472="Blocked"),"BLOCKED","OK"))))</f>
        <v/>
      </c>
    </row>
    <row r="473">
      <c r="A473" s="21">
        <f>Deployments!H461</f>
        <v/>
      </c>
      <c r="B473" s="21">
        <f>Deployments!X461</f>
        <v/>
      </c>
      <c r="C473" s="21">
        <f>Deployments!Y461</f>
        <v/>
      </c>
      <c r="D473" s="14">
        <f>Deployments!AO461</f>
        <v/>
      </c>
      <c r="E473" s="14">
        <f>Deployments!N461</f>
        <v/>
      </c>
      <c r="F473" s="21">
        <f>Deployments!O461</f>
        <v/>
      </c>
      <c r="G473" s="14">
        <f>Deployments!P461</f>
        <v/>
      </c>
      <c r="H473" s="14">
        <f>'13 - Config_Intake_View'!M473</f>
        <v/>
      </c>
      <c r="I473" s="21">
        <f>IF('13 - Config_Intake_View'!Q473&lt;&gt;"",'13 - Config_Intake_View'!Q473,Deployments!AG461)</f>
        <v/>
      </c>
      <c r="J473" s="14">
        <f>IF('13 - Config_Intake_View'!Q473&lt;&gt;"","PM Approved",IF(Deployments!AG461&lt;&gt;"","Assumed",""))</f>
        <v/>
      </c>
      <c r="K473" s="21">
        <f>Deployments!AF461</f>
        <v/>
      </c>
      <c r="L473" s="14">
        <f>Deployments!U461</f>
        <v/>
      </c>
      <c r="M473" s="14">
        <f>Deployments!L461</f>
        <v/>
      </c>
      <c r="N473" s="14">
        <f>Deployments!CC461</f>
        <v/>
      </c>
      <c r="O473" s="21">
        <f>Deployments!CD461</f>
        <v/>
      </c>
      <c r="P473" s="2">
        <f>Deployments!BX461</f>
        <v/>
      </c>
      <c r="Q473" s="21">
        <f>IF(OR($A473="",$B473="",$D473=""),"MISSING CORE FIELDS","")</f>
        <v/>
      </c>
      <c r="R473" s="14">
        <f>IF(AND($I473&lt;&gt;"",$K473&lt;&gt;"Yes"),"SW NOT INSTALLED","")</f>
        <v/>
      </c>
      <c r="S473" s="14">
        <f>IF(AND($H473&lt;&gt;"",ISNUMBER(SEARCH("auto",LOWER($H473))),$F473=""),"AUTOLOGON REQUIRED","")</f>
        <v/>
      </c>
      <c r="T473" s="14">
        <f>IF($Q473&lt;&gt;"",$Q473,IF($S473&lt;&gt;"",$S473,IF($R473&lt;&gt;"",$R473,IF(OR($N473&lt;&gt;"",$O473="Blocked"),"BLOCKED","OK"))))</f>
        <v/>
      </c>
    </row>
    <row r="474">
      <c r="A474" s="21">
        <f>Deployments!H462</f>
        <v/>
      </c>
      <c r="B474" s="21">
        <f>Deployments!X462</f>
        <v/>
      </c>
      <c r="C474" s="21">
        <f>Deployments!Y462</f>
        <v/>
      </c>
      <c r="D474" s="14">
        <f>Deployments!AO462</f>
        <v/>
      </c>
      <c r="E474" s="14">
        <f>Deployments!N462</f>
        <v/>
      </c>
      <c r="F474" s="21">
        <f>Deployments!O462</f>
        <v/>
      </c>
      <c r="G474" s="14">
        <f>Deployments!P462</f>
        <v/>
      </c>
      <c r="H474" s="14">
        <f>'13 - Config_Intake_View'!M474</f>
        <v/>
      </c>
      <c r="I474" s="21">
        <f>IF('13 - Config_Intake_View'!Q474&lt;&gt;"",'13 - Config_Intake_View'!Q474,Deployments!AG462)</f>
        <v/>
      </c>
      <c r="J474" s="14">
        <f>IF('13 - Config_Intake_View'!Q474&lt;&gt;"","PM Approved",IF(Deployments!AG462&lt;&gt;"","Assumed",""))</f>
        <v/>
      </c>
      <c r="K474" s="21">
        <f>Deployments!AF462</f>
        <v/>
      </c>
      <c r="L474" s="14">
        <f>Deployments!U462</f>
        <v/>
      </c>
      <c r="M474" s="14">
        <f>Deployments!L462</f>
        <v/>
      </c>
      <c r="N474" s="14">
        <f>Deployments!CC462</f>
        <v/>
      </c>
      <c r="O474" s="21">
        <f>Deployments!CD462</f>
        <v/>
      </c>
      <c r="P474" s="2">
        <f>Deployments!BX462</f>
        <v/>
      </c>
      <c r="Q474" s="21">
        <f>IF(OR($A474="",$B474="",$D474=""),"MISSING CORE FIELDS","")</f>
        <v/>
      </c>
      <c r="R474" s="14">
        <f>IF(AND($I474&lt;&gt;"",$K474&lt;&gt;"Yes"),"SW NOT INSTALLED","")</f>
        <v/>
      </c>
      <c r="S474" s="14">
        <f>IF(AND($H474&lt;&gt;"",ISNUMBER(SEARCH("auto",LOWER($H474))),$F474=""),"AUTOLOGON REQUIRED","")</f>
        <v/>
      </c>
      <c r="T474" s="14">
        <f>IF($Q474&lt;&gt;"",$Q474,IF($S474&lt;&gt;"",$S474,IF($R474&lt;&gt;"",$R474,IF(OR($N474&lt;&gt;"",$O474="Blocked"),"BLOCKED","OK"))))</f>
        <v/>
      </c>
    </row>
    <row r="475">
      <c r="A475" s="21">
        <f>Deployments!H463</f>
        <v/>
      </c>
      <c r="B475" s="21">
        <f>Deployments!X463</f>
        <v/>
      </c>
      <c r="C475" s="21">
        <f>Deployments!Y463</f>
        <v/>
      </c>
      <c r="D475" s="14">
        <f>Deployments!AO463</f>
        <v/>
      </c>
      <c r="E475" s="14">
        <f>Deployments!N463</f>
        <v/>
      </c>
      <c r="F475" s="21">
        <f>Deployments!O463</f>
        <v/>
      </c>
      <c r="G475" s="14">
        <f>Deployments!P463</f>
        <v/>
      </c>
      <c r="H475" s="14">
        <f>'13 - Config_Intake_View'!M475</f>
        <v/>
      </c>
      <c r="I475" s="21">
        <f>IF('13 - Config_Intake_View'!Q475&lt;&gt;"",'13 - Config_Intake_View'!Q475,Deployments!AG463)</f>
        <v/>
      </c>
      <c r="J475" s="14">
        <f>IF('13 - Config_Intake_View'!Q475&lt;&gt;"","PM Approved",IF(Deployments!AG463&lt;&gt;"","Assumed",""))</f>
        <v/>
      </c>
      <c r="K475" s="21">
        <f>Deployments!AF463</f>
        <v/>
      </c>
      <c r="L475" s="14">
        <f>Deployments!U463</f>
        <v/>
      </c>
      <c r="M475" s="14">
        <f>Deployments!L463</f>
        <v/>
      </c>
      <c r="N475" s="14">
        <f>Deployments!CC463</f>
        <v/>
      </c>
      <c r="O475" s="21">
        <f>Deployments!CD463</f>
        <v/>
      </c>
      <c r="P475" s="2">
        <f>Deployments!BX463</f>
        <v/>
      </c>
      <c r="Q475" s="21">
        <f>IF(OR($A475="",$B475="",$D475=""),"MISSING CORE FIELDS","")</f>
        <v/>
      </c>
      <c r="R475" s="14">
        <f>IF(AND($I475&lt;&gt;"",$K475&lt;&gt;"Yes"),"SW NOT INSTALLED","")</f>
        <v/>
      </c>
      <c r="S475" s="14">
        <f>IF(AND($H475&lt;&gt;"",ISNUMBER(SEARCH("auto",LOWER($H475))),$F475=""),"AUTOLOGON REQUIRED","")</f>
        <v/>
      </c>
      <c r="T475" s="14">
        <f>IF($Q475&lt;&gt;"",$Q475,IF($S475&lt;&gt;"",$S475,IF($R475&lt;&gt;"",$R475,IF(OR($N475&lt;&gt;"",$O475="Blocked"),"BLOCKED","OK"))))</f>
        <v/>
      </c>
    </row>
    <row r="476">
      <c r="A476" s="21">
        <f>Deployments!H464</f>
        <v/>
      </c>
      <c r="B476" s="21">
        <f>Deployments!X464</f>
        <v/>
      </c>
      <c r="C476" s="21">
        <f>Deployments!Y464</f>
        <v/>
      </c>
      <c r="D476" s="14">
        <f>Deployments!AO464</f>
        <v/>
      </c>
      <c r="E476" s="14">
        <f>Deployments!N464</f>
        <v/>
      </c>
      <c r="F476" s="21">
        <f>Deployments!O464</f>
        <v/>
      </c>
      <c r="G476" s="14">
        <f>Deployments!P464</f>
        <v/>
      </c>
      <c r="H476" s="14">
        <f>'13 - Config_Intake_View'!M476</f>
        <v/>
      </c>
      <c r="I476" s="21">
        <f>IF('13 - Config_Intake_View'!Q476&lt;&gt;"",'13 - Config_Intake_View'!Q476,Deployments!AG464)</f>
        <v/>
      </c>
      <c r="J476" s="14">
        <f>IF('13 - Config_Intake_View'!Q476&lt;&gt;"","PM Approved",IF(Deployments!AG464&lt;&gt;"","Assumed",""))</f>
        <v/>
      </c>
      <c r="K476" s="21">
        <f>Deployments!AF464</f>
        <v/>
      </c>
      <c r="L476" s="14">
        <f>Deployments!U464</f>
        <v/>
      </c>
      <c r="M476" s="14">
        <f>Deployments!L464</f>
        <v/>
      </c>
      <c r="N476" s="14">
        <f>Deployments!CC464</f>
        <v/>
      </c>
      <c r="O476" s="21">
        <f>Deployments!CD464</f>
        <v/>
      </c>
      <c r="P476" s="2">
        <f>Deployments!BX464</f>
        <v/>
      </c>
      <c r="Q476" s="21">
        <f>IF(OR($A476="",$B476="",$D476=""),"MISSING CORE FIELDS","")</f>
        <v/>
      </c>
      <c r="R476" s="14">
        <f>IF(AND($I476&lt;&gt;"",$K476&lt;&gt;"Yes"),"SW NOT INSTALLED","")</f>
        <v/>
      </c>
      <c r="S476" s="14">
        <f>IF(AND($H476&lt;&gt;"",ISNUMBER(SEARCH("auto",LOWER($H476))),$F476=""),"AUTOLOGON REQUIRED","")</f>
        <v/>
      </c>
      <c r="T476" s="14">
        <f>IF($Q476&lt;&gt;"",$Q476,IF($S476&lt;&gt;"",$S476,IF($R476&lt;&gt;"",$R476,IF(OR($N476&lt;&gt;"",$O476="Blocked"),"BLOCKED","OK"))))</f>
        <v/>
      </c>
    </row>
    <row r="477">
      <c r="A477" s="21">
        <f>Deployments!H465</f>
        <v/>
      </c>
      <c r="B477" s="21">
        <f>Deployments!X465</f>
        <v/>
      </c>
      <c r="C477" s="21">
        <f>Deployments!Y465</f>
        <v/>
      </c>
      <c r="D477" s="14">
        <f>Deployments!AO465</f>
        <v/>
      </c>
      <c r="E477" s="14">
        <f>Deployments!N465</f>
        <v/>
      </c>
      <c r="F477" s="21">
        <f>Deployments!O465</f>
        <v/>
      </c>
      <c r="G477" s="14">
        <f>Deployments!P465</f>
        <v/>
      </c>
      <c r="H477" s="14">
        <f>'13 - Config_Intake_View'!M477</f>
        <v/>
      </c>
      <c r="I477" s="21">
        <f>IF('13 - Config_Intake_View'!Q477&lt;&gt;"",'13 - Config_Intake_View'!Q477,Deployments!AG465)</f>
        <v/>
      </c>
      <c r="J477" s="14">
        <f>IF('13 - Config_Intake_View'!Q477&lt;&gt;"","PM Approved",IF(Deployments!AG465&lt;&gt;"","Assumed",""))</f>
        <v/>
      </c>
      <c r="K477" s="21">
        <f>Deployments!AF465</f>
        <v/>
      </c>
      <c r="L477" s="14">
        <f>Deployments!U465</f>
        <v/>
      </c>
      <c r="M477" s="14">
        <f>Deployments!L465</f>
        <v/>
      </c>
      <c r="N477" s="14">
        <f>Deployments!CC465</f>
        <v/>
      </c>
      <c r="O477" s="21">
        <f>Deployments!CD465</f>
        <v/>
      </c>
      <c r="P477" s="2">
        <f>Deployments!BX465</f>
        <v/>
      </c>
      <c r="Q477" s="21">
        <f>IF(OR($A477="",$B477="",$D477=""),"MISSING CORE FIELDS","")</f>
        <v/>
      </c>
      <c r="R477" s="14">
        <f>IF(AND($I477&lt;&gt;"",$K477&lt;&gt;"Yes"),"SW NOT INSTALLED","")</f>
        <v/>
      </c>
      <c r="S477" s="14">
        <f>IF(AND($H477&lt;&gt;"",ISNUMBER(SEARCH("auto",LOWER($H477))),$F477=""),"AUTOLOGON REQUIRED","")</f>
        <v/>
      </c>
      <c r="T477" s="14">
        <f>IF($Q477&lt;&gt;"",$Q477,IF($S477&lt;&gt;"",$S477,IF($R477&lt;&gt;"",$R477,IF(OR($N477&lt;&gt;"",$O477="Blocked"),"BLOCKED","OK"))))</f>
        <v/>
      </c>
    </row>
    <row r="478">
      <c r="A478" s="21">
        <f>Deployments!H466</f>
        <v/>
      </c>
      <c r="B478" s="21">
        <f>Deployments!X466</f>
        <v/>
      </c>
      <c r="C478" s="21">
        <f>Deployments!Y466</f>
        <v/>
      </c>
      <c r="D478" s="14">
        <f>Deployments!AO466</f>
        <v/>
      </c>
      <c r="E478" s="14">
        <f>Deployments!N466</f>
        <v/>
      </c>
      <c r="F478" s="21">
        <f>Deployments!O466</f>
        <v/>
      </c>
      <c r="G478" s="14">
        <f>Deployments!P466</f>
        <v/>
      </c>
      <c r="H478" s="14">
        <f>'13 - Config_Intake_View'!M478</f>
        <v/>
      </c>
      <c r="I478" s="21">
        <f>IF('13 - Config_Intake_View'!Q478&lt;&gt;"",'13 - Config_Intake_View'!Q478,Deployments!AG466)</f>
        <v/>
      </c>
      <c r="J478" s="14">
        <f>IF('13 - Config_Intake_View'!Q478&lt;&gt;"","PM Approved",IF(Deployments!AG466&lt;&gt;"","Assumed",""))</f>
        <v/>
      </c>
      <c r="K478" s="21">
        <f>Deployments!AF466</f>
        <v/>
      </c>
      <c r="L478" s="14">
        <f>Deployments!U466</f>
        <v/>
      </c>
      <c r="M478" s="14">
        <f>Deployments!L466</f>
        <v/>
      </c>
      <c r="N478" s="14">
        <f>Deployments!CC466</f>
        <v/>
      </c>
      <c r="O478" s="21">
        <f>Deployments!CD466</f>
        <v/>
      </c>
      <c r="P478" s="2">
        <f>Deployments!BX466</f>
        <v/>
      </c>
      <c r="Q478" s="21">
        <f>IF(OR($A478="",$B478="",$D478=""),"MISSING CORE FIELDS","")</f>
        <v/>
      </c>
      <c r="R478" s="14">
        <f>IF(AND($I478&lt;&gt;"",$K478&lt;&gt;"Yes"),"SW NOT INSTALLED","")</f>
        <v/>
      </c>
      <c r="S478" s="14">
        <f>IF(AND($H478&lt;&gt;"",ISNUMBER(SEARCH("auto",LOWER($H478))),$F478=""),"AUTOLOGON REQUIRED","")</f>
        <v/>
      </c>
      <c r="T478" s="14">
        <f>IF($Q478&lt;&gt;"",$Q478,IF($S478&lt;&gt;"",$S478,IF($R478&lt;&gt;"",$R478,IF(OR($N478&lt;&gt;"",$O478="Blocked"),"BLOCKED","OK"))))</f>
        <v/>
      </c>
    </row>
    <row r="479">
      <c r="A479" s="21">
        <f>Deployments!H467</f>
        <v/>
      </c>
      <c r="B479" s="21">
        <f>Deployments!X467</f>
        <v/>
      </c>
      <c r="C479" s="21">
        <f>Deployments!Y467</f>
        <v/>
      </c>
      <c r="D479" s="14">
        <f>Deployments!AO467</f>
        <v/>
      </c>
      <c r="E479" s="14">
        <f>Deployments!N467</f>
        <v/>
      </c>
      <c r="F479" s="21">
        <f>Deployments!O467</f>
        <v/>
      </c>
      <c r="G479" s="14">
        <f>Deployments!P467</f>
        <v/>
      </c>
      <c r="H479" s="14">
        <f>'13 - Config_Intake_View'!M479</f>
        <v/>
      </c>
      <c r="I479" s="21">
        <f>IF('13 - Config_Intake_View'!Q479&lt;&gt;"",'13 - Config_Intake_View'!Q479,Deployments!AG467)</f>
        <v/>
      </c>
      <c r="J479" s="14">
        <f>IF('13 - Config_Intake_View'!Q479&lt;&gt;"","PM Approved",IF(Deployments!AG467&lt;&gt;"","Assumed",""))</f>
        <v/>
      </c>
      <c r="K479" s="21">
        <f>Deployments!AF467</f>
        <v/>
      </c>
      <c r="L479" s="14">
        <f>Deployments!U467</f>
        <v/>
      </c>
      <c r="M479" s="14">
        <f>Deployments!L467</f>
        <v/>
      </c>
      <c r="N479" s="14">
        <f>Deployments!CC467</f>
        <v/>
      </c>
      <c r="O479" s="21">
        <f>Deployments!CD467</f>
        <v/>
      </c>
      <c r="P479" s="2">
        <f>Deployments!BX467</f>
        <v/>
      </c>
      <c r="Q479" s="21">
        <f>IF(OR($A479="",$B479="",$D479=""),"MISSING CORE FIELDS","")</f>
        <v/>
      </c>
      <c r="R479" s="14">
        <f>IF(AND($I479&lt;&gt;"",$K479&lt;&gt;"Yes"),"SW NOT INSTALLED","")</f>
        <v/>
      </c>
      <c r="S479" s="14">
        <f>IF(AND($H479&lt;&gt;"",ISNUMBER(SEARCH("auto",LOWER($H479))),$F479=""),"AUTOLOGON REQUIRED","")</f>
        <v/>
      </c>
      <c r="T479" s="14">
        <f>IF($Q479&lt;&gt;"",$Q479,IF($S479&lt;&gt;"",$S479,IF($R479&lt;&gt;"",$R479,IF(OR($N479&lt;&gt;"",$O479="Blocked"),"BLOCKED","OK"))))</f>
        <v/>
      </c>
    </row>
    <row r="480">
      <c r="A480" s="21">
        <f>Deployments!H468</f>
        <v/>
      </c>
      <c r="B480" s="21">
        <f>Deployments!X468</f>
        <v/>
      </c>
      <c r="C480" s="21">
        <f>Deployments!Y468</f>
        <v/>
      </c>
      <c r="D480" s="14">
        <f>Deployments!AO468</f>
        <v/>
      </c>
      <c r="E480" s="14">
        <f>Deployments!N468</f>
        <v/>
      </c>
      <c r="F480" s="21">
        <f>Deployments!O468</f>
        <v/>
      </c>
      <c r="G480" s="14">
        <f>Deployments!P468</f>
        <v/>
      </c>
      <c r="H480" s="14">
        <f>'13 - Config_Intake_View'!M480</f>
        <v/>
      </c>
      <c r="I480" s="21">
        <f>IF('13 - Config_Intake_View'!Q480&lt;&gt;"",'13 - Config_Intake_View'!Q480,Deployments!AG468)</f>
        <v/>
      </c>
      <c r="J480" s="14">
        <f>IF('13 - Config_Intake_View'!Q480&lt;&gt;"","PM Approved",IF(Deployments!AG468&lt;&gt;"","Assumed",""))</f>
        <v/>
      </c>
      <c r="K480" s="21">
        <f>Deployments!AF468</f>
        <v/>
      </c>
      <c r="L480" s="14">
        <f>Deployments!U468</f>
        <v/>
      </c>
      <c r="M480" s="14">
        <f>Deployments!L468</f>
        <v/>
      </c>
      <c r="N480" s="14">
        <f>Deployments!CC468</f>
        <v/>
      </c>
      <c r="O480" s="21">
        <f>Deployments!CD468</f>
        <v/>
      </c>
      <c r="P480" s="2">
        <f>Deployments!BX468</f>
        <v/>
      </c>
      <c r="Q480" s="21">
        <f>IF(OR($A480="",$B480="",$D480=""),"MISSING CORE FIELDS","")</f>
        <v/>
      </c>
      <c r="R480" s="14">
        <f>IF(AND($I480&lt;&gt;"",$K480&lt;&gt;"Yes"),"SW NOT INSTALLED","")</f>
        <v/>
      </c>
      <c r="S480" s="14">
        <f>IF(AND($H480&lt;&gt;"",ISNUMBER(SEARCH("auto",LOWER($H480))),$F480=""),"AUTOLOGON REQUIRED","")</f>
        <v/>
      </c>
      <c r="T480" s="14">
        <f>IF($Q480&lt;&gt;"",$Q480,IF($S480&lt;&gt;"",$S480,IF($R480&lt;&gt;"",$R480,IF(OR($N480&lt;&gt;"",$O480="Blocked"),"BLOCKED","OK"))))</f>
        <v/>
      </c>
    </row>
    <row r="481">
      <c r="A481" s="21">
        <f>Deployments!H469</f>
        <v/>
      </c>
      <c r="B481" s="21">
        <f>Deployments!X469</f>
        <v/>
      </c>
      <c r="C481" s="21">
        <f>Deployments!Y469</f>
        <v/>
      </c>
      <c r="D481" s="14">
        <f>Deployments!AO469</f>
        <v/>
      </c>
      <c r="E481" s="14">
        <f>Deployments!N469</f>
        <v/>
      </c>
      <c r="F481" s="21">
        <f>Deployments!O469</f>
        <v/>
      </c>
      <c r="G481" s="14">
        <f>Deployments!P469</f>
        <v/>
      </c>
      <c r="H481" s="14">
        <f>'13 - Config_Intake_View'!M481</f>
        <v/>
      </c>
      <c r="I481" s="21">
        <f>IF('13 - Config_Intake_View'!Q481&lt;&gt;"",'13 - Config_Intake_View'!Q481,Deployments!AG469)</f>
        <v/>
      </c>
      <c r="J481" s="14">
        <f>IF('13 - Config_Intake_View'!Q481&lt;&gt;"","PM Approved",IF(Deployments!AG469&lt;&gt;"","Assumed",""))</f>
        <v/>
      </c>
      <c r="K481" s="21">
        <f>Deployments!AF469</f>
        <v/>
      </c>
      <c r="L481" s="14">
        <f>Deployments!U469</f>
        <v/>
      </c>
      <c r="M481" s="14">
        <f>Deployments!L469</f>
        <v/>
      </c>
      <c r="N481" s="14">
        <f>Deployments!CC469</f>
        <v/>
      </c>
      <c r="O481" s="21">
        <f>Deployments!CD469</f>
        <v/>
      </c>
      <c r="P481" s="2">
        <f>Deployments!BX469</f>
        <v/>
      </c>
      <c r="Q481" s="21">
        <f>IF(OR($A481="",$B481="",$D481=""),"MISSING CORE FIELDS","")</f>
        <v/>
      </c>
      <c r="R481" s="14">
        <f>IF(AND($I481&lt;&gt;"",$K481&lt;&gt;"Yes"),"SW NOT INSTALLED","")</f>
        <v/>
      </c>
      <c r="S481" s="14">
        <f>IF(AND($H481&lt;&gt;"",ISNUMBER(SEARCH("auto",LOWER($H481))),$F481=""),"AUTOLOGON REQUIRED","")</f>
        <v/>
      </c>
      <c r="T481" s="14">
        <f>IF($Q481&lt;&gt;"",$Q481,IF($S481&lt;&gt;"",$S481,IF($R481&lt;&gt;"",$R481,IF(OR($N481&lt;&gt;"",$O481="Blocked"),"BLOCKED","OK"))))</f>
        <v/>
      </c>
    </row>
    <row r="482">
      <c r="A482" s="21">
        <f>Deployments!H470</f>
        <v/>
      </c>
      <c r="B482" s="21">
        <f>Deployments!X470</f>
        <v/>
      </c>
      <c r="C482" s="21">
        <f>Deployments!Y470</f>
        <v/>
      </c>
      <c r="D482" s="14">
        <f>Deployments!AO470</f>
        <v/>
      </c>
      <c r="E482" s="14">
        <f>Deployments!N470</f>
        <v/>
      </c>
      <c r="F482" s="21">
        <f>Deployments!O470</f>
        <v/>
      </c>
      <c r="G482" s="14">
        <f>Deployments!P470</f>
        <v/>
      </c>
      <c r="H482" s="14">
        <f>'13 - Config_Intake_View'!M482</f>
        <v/>
      </c>
      <c r="I482" s="21">
        <f>IF('13 - Config_Intake_View'!Q482&lt;&gt;"",'13 - Config_Intake_View'!Q482,Deployments!AG470)</f>
        <v/>
      </c>
      <c r="J482" s="14">
        <f>IF('13 - Config_Intake_View'!Q482&lt;&gt;"","PM Approved",IF(Deployments!AG470&lt;&gt;"","Assumed",""))</f>
        <v/>
      </c>
      <c r="K482" s="21">
        <f>Deployments!AF470</f>
        <v/>
      </c>
      <c r="L482" s="14">
        <f>Deployments!U470</f>
        <v/>
      </c>
      <c r="M482" s="14">
        <f>Deployments!L470</f>
        <v/>
      </c>
      <c r="N482" s="14">
        <f>Deployments!CC470</f>
        <v/>
      </c>
      <c r="O482" s="21">
        <f>Deployments!CD470</f>
        <v/>
      </c>
      <c r="P482" s="2">
        <f>Deployments!BX470</f>
        <v/>
      </c>
      <c r="Q482" s="21">
        <f>IF(OR($A482="",$B482="",$D482=""),"MISSING CORE FIELDS","")</f>
        <v/>
      </c>
      <c r="R482" s="14">
        <f>IF(AND($I482&lt;&gt;"",$K482&lt;&gt;"Yes"),"SW NOT INSTALLED","")</f>
        <v/>
      </c>
      <c r="S482" s="14">
        <f>IF(AND($H482&lt;&gt;"",ISNUMBER(SEARCH("auto",LOWER($H482))),$F482=""),"AUTOLOGON REQUIRED","")</f>
        <v/>
      </c>
      <c r="T482" s="14">
        <f>IF($Q482&lt;&gt;"",$Q482,IF($S482&lt;&gt;"",$S482,IF($R482&lt;&gt;"",$R482,IF(OR($N482&lt;&gt;"",$O482="Blocked"),"BLOCKED","OK"))))</f>
        <v/>
      </c>
    </row>
    <row r="483">
      <c r="A483" s="21">
        <f>Deployments!H471</f>
        <v/>
      </c>
      <c r="B483" s="21">
        <f>Deployments!X471</f>
        <v/>
      </c>
      <c r="C483" s="21">
        <f>Deployments!Y471</f>
        <v/>
      </c>
      <c r="D483" s="14">
        <f>Deployments!AO471</f>
        <v/>
      </c>
      <c r="E483" s="14">
        <f>Deployments!N471</f>
        <v/>
      </c>
      <c r="F483" s="21">
        <f>Deployments!O471</f>
        <v/>
      </c>
      <c r="G483" s="14">
        <f>Deployments!P471</f>
        <v/>
      </c>
      <c r="H483" s="14">
        <f>'13 - Config_Intake_View'!M483</f>
        <v/>
      </c>
      <c r="I483" s="21">
        <f>IF('13 - Config_Intake_View'!Q483&lt;&gt;"",'13 - Config_Intake_View'!Q483,Deployments!AG471)</f>
        <v/>
      </c>
      <c r="J483" s="14">
        <f>IF('13 - Config_Intake_View'!Q483&lt;&gt;"","PM Approved",IF(Deployments!AG471&lt;&gt;"","Assumed",""))</f>
        <v/>
      </c>
      <c r="K483" s="21">
        <f>Deployments!AF471</f>
        <v/>
      </c>
      <c r="L483" s="14">
        <f>Deployments!U471</f>
        <v/>
      </c>
      <c r="M483" s="14">
        <f>Deployments!L471</f>
        <v/>
      </c>
      <c r="N483" s="14">
        <f>Deployments!CC471</f>
        <v/>
      </c>
      <c r="O483" s="21">
        <f>Deployments!CD471</f>
        <v/>
      </c>
      <c r="P483" s="2">
        <f>Deployments!BX471</f>
        <v/>
      </c>
      <c r="Q483" s="21">
        <f>IF(OR($A483="",$B483="",$D483=""),"MISSING CORE FIELDS","")</f>
        <v/>
      </c>
      <c r="R483" s="14">
        <f>IF(AND($I483&lt;&gt;"",$K483&lt;&gt;"Yes"),"SW NOT INSTALLED","")</f>
        <v/>
      </c>
      <c r="S483" s="14">
        <f>IF(AND($H483&lt;&gt;"",ISNUMBER(SEARCH("auto",LOWER($H483))),$F483=""),"AUTOLOGON REQUIRED","")</f>
        <v/>
      </c>
      <c r="T483" s="14">
        <f>IF($Q483&lt;&gt;"",$Q483,IF($S483&lt;&gt;"",$S483,IF($R483&lt;&gt;"",$R483,IF(OR($N483&lt;&gt;"",$O483="Blocked"),"BLOCKED","OK"))))</f>
        <v/>
      </c>
    </row>
    <row r="484">
      <c r="A484" s="21">
        <f>Deployments!H472</f>
        <v/>
      </c>
      <c r="B484" s="21">
        <f>Deployments!X472</f>
        <v/>
      </c>
      <c r="C484" s="21">
        <f>Deployments!Y472</f>
        <v/>
      </c>
      <c r="D484" s="14">
        <f>Deployments!AO472</f>
        <v/>
      </c>
      <c r="E484" s="14">
        <f>Deployments!N472</f>
        <v/>
      </c>
      <c r="F484" s="21">
        <f>Deployments!O472</f>
        <v/>
      </c>
      <c r="G484" s="14">
        <f>Deployments!P472</f>
        <v/>
      </c>
      <c r="H484" s="14">
        <f>'13 - Config_Intake_View'!M484</f>
        <v/>
      </c>
      <c r="I484" s="21">
        <f>IF('13 - Config_Intake_View'!Q484&lt;&gt;"",'13 - Config_Intake_View'!Q484,Deployments!AG472)</f>
        <v/>
      </c>
      <c r="J484" s="14">
        <f>IF('13 - Config_Intake_View'!Q484&lt;&gt;"","PM Approved",IF(Deployments!AG472&lt;&gt;"","Assumed",""))</f>
        <v/>
      </c>
      <c r="K484" s="21">
        <f>Deployments!AF472</f>
        <v/>
      </c>
      <c r="L484" s="14">
        <f>Deployments!U472</f>
        <v/>
      </c>
      <c r="M484" s="14">
        <f>Deployments!L472</f>
        <v/>
      </c>
      <c r="N484" s="14">
        <f>Deployments!CC472</f>
        <v/>
      </c>
      <c r="O484" s="21">
        <f>Deployments!CD472</f>
        <v/>
      </c>
      <c r="P484" s="2">
        <f>Deployments!BX472</f>
        <v/>
      </c>
      <c r="Q484" s="21">
        <f>IF(OR($A484="",$B484="",$D484=""),"MISSING CORE FIELDS","")</f>
        <v/>
      </c>
      <c r="R484" s="14">
        <f>IF(AND($I484&lt;&gt;"",$K484&lt;&gt;"Yes"),"SW NOT INSTALLED","")</f>
        <v/>
      </c>
      <c r="S484" s="14">
        <f>IF(AND($H484&lt;&gt;"",ISNUMBER(SEARCH("auto",LOWER($H484))),$F484=""),"AUTOLOGON REQUIRED","")</f>
        <v/>
      </c>
      <c r="T484" s="14">
        <f>IF($Q484&lt;&gt;"",$Q484,IF($S484&lt;&gt;"",$S484,IF($R484&lt;&gt;"",$R484,IF(OR($N484&lt;&gt;"",$O484="Blocked"),"BLOCKED","OK"))))</f>
        <v/>
      </c>
    </row>
    <row r="485">
      <c r="A485" s="21">
        <f>Deployments!H473</f>
        <v/>
      </c>
      <c r="B485" s="21">
        <f>Deployments!X473</f>
        <v/>
      </c>
      <c r="C485" s="21">
        <f>Deployments!Y473</f>
        <v/>
      </c>
      <c r="D485" s="14">
        <f>Deployments!AO473</f>
        <v/>
      </c>
      <c r="E485" s="14">
        <f>Deployments!N473</f>
        <v/>
      </c>
      <c r="F485" s="21">
        <f>Deployments!O473</f>
        <v/>
      </c>
      <c r="G485" s="14">
        <f>Deployments!P473</f>
        <v/>
      </c>
      <c r="H485" s="14">
        <f>'13 - Config_Intake_View'!M485</f>
        <v/>
      </c>
      <c r="I485" s="21">
        <f>IF('13 - Config_Intake_View'!Q485&lt;&gt;"",'13 - Config_Intake_View'!Q485,Deployments!AG473)</f>
        <v/>
      </c>
      <c r="J485" s="14">
        <f>IF('13 - Config_Intake_View'!Q485&lt;&gt;"","PM Approved",IF(Deployments!AG473&lt;&gt;"","Assumed",""))</f>
        <v/>
      </c>
      <c r="K485" s="21">
        <f>Deployments!AF473</f>
        <v/>
      </c>
      <c r="L485" s="14">
        <f>Deployments!U473</f>
        <v/>
      </c>
      <c r="M485" s="14">
        <f>Deployments!L473</f>
        <v/>
      </c>
      <c r="N485" s="14">
        <f>Deployments!CC473</f>
        <v/>
      </c>
      <c r="O485" s="21">
        <f>Deployments!CD473</f>
        <v/>
      </c>
      <c r="P485" s="2">
        <f>Deployments!BX473</f>
        <v/>
      </c>
      <c r="Q485" s="21">
        <f>IF(OR($A485="",$B485="",$D485=""),"MISSING CORE FIELDS","")</f>
        <v/>
      </c>
      <c r="R485" s="14">
        <f>IF(AND($I485&lt;&gt;"",$K485&lt;&gt;"Yes"),"SW NOT INSTALLED","")</f>
        <v/>
      </c>
      <c r="S485" s="14">
        <f>IF(AND($H485&lt;&gt;"",ISNUMBER(SEARCH("auto",LOWER($H485))),$F485=""),"AUTOLOGON REQUIRED","")</f>
        <v/>
      </c>
      <c r="T485" s="14">
        <f>IF($Q485&lt;&gt;"",$Q485,IF($S485&lt;&gt;"",$S485,IF($R485&lt;&gt;"",$R485,IF(OR($N485&lt;&gt;"",$O485="Blocked"),"BLOCKED","OK"))))</f>
        <v/>
      </c>
    </row>
    <row r="486">
      <c r="A486" s="21">
        <f>Deployments!H474</f>
        <v/>
      </c>
      <c r="B486" s="21">
        <f>Deployments!X474</f>
        <v/>
      </c>
      <c r="C486" s="21">
        <f>Deployments!Y474</f>
        <v/>
      </c>
      <c r="D486" s="14">
        <f>Deployments!AO474</f>
        <v/>
      </c>
      <c r="E486" s="14">
        <f>Deployments!N474</f>
        <v/>
      </c>
      <c r="F486" s="21">
        <f>Deployments!O474</f>
        <v/>
      </c>
      <c r="G486" s="14">
        <f>Deployments!P474</f>
        <v/>
      </c>
      <c r="H486" s="14">
        <f>'13 - Config_Intake_View'!M486</f>
        <v/>
      </c>
      <c r="I486" s="21">
        <f>IF('13 - Config_Intake_View'!Q486&lt;&gt;"",'13 - Config_Intake_View'!Q486,Deployments!AG474)</f>
        <v/>
      </c>
      <c r="J486" s="14">
        <f>IF('13 - Config_Intake_View'!Q486&lt;&gt;"","PM Approved",IF(Deployments!AG474&lt;&gt;"","Assumed",""))</f>
        <v/>
      </c>
      <c r="K486" s="21">
        <f>Deployments!AF474</f>
        <v/>
      </c>
      <c r="L486" s="14">
        <f>Deployments!U474</f>
        <v/>
      </c>
      <c r="M486" s="14">
        <f>Deployments!L474</f>
        <v/>
      </c>
      <c r="N486" s="14">
        <f>Deployments!CC474</f>
        <v/>
      </c>
      <c r="O486" s="21">
        <f>Deployments!CD474</f>
        <v/>
      </c>
      <c r="P486" s="2">
        <f>Deployments!BX474</f>
        <v/>
      </c>
      <c r="Q486" s="21">
        <f>IF(OR($A486="",$B486="",$D486=""),"MISSING CORE FIELDS","")</f>
        <v/>
      </c>
      <c r="R486" s="14">
        <f>IF(AND($I486&lt;&gt;"",$K486&lt;&gt;"Yes"),"SW NOT INSTALLED","")</f>
        <v/>
      </c>
      <c r="S486" s="14">
        <f>IF(AND($H486&lt;&gt;"",ISNUMBER(SEARCH("auto",LOWER($H486))),$F486=""),"AUTOLOGON REQUIRED","")</f>
        <v/>
      </c>
      <c r="T486" s="14">
        <f>IF($Q486&lt;&gt;"",$Q486,IF($S486&lt;&gt;"",$S486,IF($R486&lt;&gt;"",$R486,IF(OR($N486&lt;&gt;"",$O486="Blocked"),"BLOCKED","OK"))))</f>
        <v/>
      </c>
    </row>
    <row r="487">
      <c r="A487" s="21">
        <f>Deployments!H475</f>
        <v/>
      </c>
      <c r="B487" s="21">
        <f>Deployments!X475</f>
        <v/>
      </c>
      <c r="C487" s="21">
        <f>Deployments!Y475</f>
        <v/>
      </c>
      <c r="D487" s="14">
        <f>Deployments!AO475</f>
        <v/>
      </c>
      <c r="E487" s="14">
        <f>Deployments!N475</f>
        <v/>
      </c>
      <c r="F487" s="21">
        <f>Deployments!O475</f>
        <v/>
      </c>
      <c r="G487" s="14">
        <f>Deployments!P475</f>
        <v/>
      </c>
      <c r="H487" s="14">
        <f>'13 - Config_Intake_View'!M487</f>
        <v/>
      </c>
      <c r="I487" s="21">
        <f>IF('13 - Config_Intake_View'!Q487&lt;&gt;"",'13 - Config_Intake_View'!Q487,Deployments!AG475)</f>
        <v/>
      </c>
      <c r="J487" s="14">
        <f>IF('13 - Config_Intake_View'!Q487&lt;&gt;"","PM Approved",IF(Deployments!AG475&lt;&gt;"","Assumed",""))</f>
        <v/>
      </c>
      <c r="K487" s="21">
        <f>Deployments!AF475</f>
        <v/>
      </c>
      <c r="L487" s="14">
        <f>Deployments!U475</f>
        <v/>
      </c>
      <c r="M487" s="14">
        <f>Deployments!L475</f>
        <v/>
      </c>
      <c r="N487" s="14">
        <f>Deployments!CC475</f>
        <v/>
      </c>
      <c r="O487" s="21">
        <f>Deployments!CD475</f>
        <v/>
      </c>
      <c r="P487" s="2">
        <f>Deployments!BX475</f>
        <v/>
      </c>
      <c r="Q487" s="21">
        <f>IF(OR($A487="",$B487="",$D487=""),"MISSING CORE FIELDS","")</f>
        <v/>
      </c>
      <c r="R487" s="14">
        <f>IF(AND($I487&lt;&gt;"",$K487&lt;&gt;"Yes"),"SW NOT INSTALLED","")</f>
        <v/>
      </c>
      <c r="S487" s="14">
        <f>IF(AND($H487&lt;&gt;"",ISNUMBER(SEARCH("auto",LOWER($H487))),$F487=""),"AUTOLOGON REQUIRED","")</f>
        <v/>
      </c>
      <c r="T487" s="14">
        <f>IF($Q487&lt;&gt;"",$Q487,IF($S487&lt;&gt;"",$S487,IF($R487&lt;&gt;"",$R487,IF(OR($N487&lt;&gt;"",$O487="Blocked"),"BLOCKED","OK"))))</f>
        <v/>
      </c>
    </row>
    <row r="488">
      <c r="A488" s="21">
        <f>Deployments!H476</f>
        <v/>
      </c>
      <c r="B488" s="21">
        <f>Deployments!X476</f>
        <v/>
      </c>
      <c r="C488" s="21">
        <f>Deployments!Y476</f>
        <v/>
      </c>
      <c r="D488" s="14">
        <f>Deployments!AO476</f>
        <v/>
      </c>
      <c r="E488" s="14">
        <f>Deployments!N476</f>
        <v/>
      </c>
      <c r="F488" s="21">
        <f>Deployments!O476</f>
        <v/>
      </c>
      <c r="G488" s="14">
        <f>Deployments!P476</f>
        <v/>
      </c>
      <c r="H488" s="14">
        <f>'13 - Config_Intake_View'!M488</f>
        <v/>
      </c>
      <c r="I488" s="21">
        <f>IF('13 - Config_Intake_View'!Q488&lt;&gt;"",'13 - Config_Intake_View'!Q488,Deployments!AG476)</f>
        <v/>
      </c>
      <c r="J488" s="14">
        <f>IF('13 - Config_Intake_View'!Q488&lt;&gt;"","PM Approved",IF(Deployments!AG476&lt;&gt;"","Assumed",""))</f>
        <v/>
      </c>
      <c r="K488" s="21">
        <f>Deployments!AF476</f>
        <v/>
      </c>
      <c r="L488" s="14">
        <f>Deployments!U476</f>
        <v/>
      </c>
      <c r="M488" s="14">
        <f>Deployments!L476</f>
        <v/>
      </c>
      <c r="N488" s="14">
        <f>Deployments!CC476</f>
        <v/>
      </c>
      <c r="O488" s="21">
        <f>Deployments!CD476</f>
        <v/>
      </c>
      <c r="P488" s="2">
        <f>Deployments!BX476</f>
        <v/>
      </c>
      <c r="Q488" s="21">
        <f>IF(OR($A488="",$B488="",$D488=""),"MISSING CORE FIELDS","")</f>
        <v/>
      </c>
      <c r="R488" s="14">
        <f>IF(AND($I488&lt;&gt;"",$K488&lt;&gt;"Yes"),"SW NOT INSTALLED","")</f>
        <v/>
      </c>
      <c r="S488" s="14">
        <f>IF(AND($H488&lt;&gt;"",ISNUMBER(SEARCH("auto",LOWER($H488))),$F488=""),"AUTOLOGON REQUIRED","")</f>
        <v/>
      </c>
      <c r="T488" s="14">
        <f>IF($Q488&lt;&gt;"",$Q488,IF($S488&lt;&gt;"",$S488,IF($R488&lt;&gt;"",$R488,IF(OR($N488&lt;&gt;"",$O488="Blocked"),"BLOCKED","OK"))))</f>
        <v/>
      </c>
    </row>
    <row r="489">
      <c r="A489" s="21">
        <f>Deployments!H477</f>
        <v/>
      </c>
      <c r="B489" s="21">
        <f>Deployments!X477</f>
        <v/>
      </c>
      <c r="C489" s="21">
        <f>Deployments!Y477</f>
        <v/>
      </c>
      <c r="D489" s="14">
        <f>Deployments!AO477</f>
        <v/>
      </c>
      <c r="E489" s="14">
        <f>Deployments!N477</f>
        <v/>
      </c>
      <c r="F489" s="21">
        <f>Deployments!O477</f>
        <v/>
      </c>
      <c r="G489" s="14">
        <f>Deployments!P477</f>
        <v/>
      </c>
      <c r="H489" s="14">
        <f>'13 - Config_Intake_View'!M489</f>
        <v/>
      </c>
      <c r="I489" s="21">
        <f>IF('13 - Config_Intake_View'!Q489&lt;&gt;"",'13 - Config_Intake_View'!Q489,Deployments!AG477)</f>
        <v/>
      </c>
      <c r="J489" s="14">
        <f>IF('13 - Config_Intake_View'!Q489&lt;&gt;"","PM Approved",IF(Deployments!AG477&lt;&gt;"","Assumed",""))</f>
        <v/>
      </c>
      <c r="K489" s="21">
        <f>Deployments!AF477</f>
        <v/>
      </c>
      <c r="L489" s="14">
        <f>Deployments!U477</f>
        <v/>
      </c>
      <c r="M489" s="14">
        <f>Deployments!L477</f>
        <v/>
      </c>
      <c r="N489" s="14">
        <f>Deployments!CC477</f>
        <v/>
      </c>
      <c r="O489" s="21">
        <f>Deployments!CD477</f>
        <v/>
      </c>
      <c r="P489" s="2">
        <f>Deployments!BX477</f>
        <v/>
      </c>
      <c r="Q489" s="21">
        <f>IF(OR($A489="",$B489="",$D489=""),"MISSING CORE FIELDS","")</f>
        <v/>
      </c>
      <c r="R489" s="14">
        <f>IF(AND($I489&lt;&gt;"",$K489&lt;&gt;"Yes"),"SW NOT INSTALLED","")</f>
        <v/>
      </c>
      <c r="S489" s="14">
        <f>IF(AND($H489&lt;&gt;"",ISNUMBER(SEARCH("auto",LOWER($H489))),$F489=""),"AUTOLOGON REQUIRED","")</f>
        <v/>
      </c>
      <c r="T489" s="14">
        <f>IF($Q489&lt;&gt;"",$Q489,IF($S489&lt;&gt;"",$S489,IF($R489&lt;&gt;"",$R489,IF(OR($N489&lt;&gt;"",$O489="Blocked"),"BLOCKED","OK"))))</f>
        <v/>
      </c>
    </row>
    <row r="490">
      <c r="A490" s="21">
        <f>Deployments!H478</f>
        <v/>
      </c>
      <c r="B490" s="21">
        <f>Deployments!X478</f>
        <v/>
      </c>
      <c r="C490" s="21">
        <f>Deployments!Y478</f>
        <v/>
      </c>
      <c r="D490" s="14">
        <f>Deployments!AO478</f>
        <v/>
      </c>
      <c r="E490" s="14">
        <f>Deployments!N478</f>
        <v/>
      </c>
      <c r="F490" s="21">
        <f>Deployments!O478</f>
        <v/>
      </c>
      <c r="G490" s="14">
        <f>Deployments!P478</f>
        <v/>
      </c>
      <c r="H490" s="14">
        <f>'13 - Config_Intake_View'!M490</f>
        <v/>
      </c>
      <c r="I490" s="21">
        <f>IF('13 - Config_Intake_View'!Q490&lt;&gt;"",'13 - Config_Intake_View'!Q490,Deployments!AG478)</f>
        <v/>
      </c>
      <c r="J490" s="14">
        <f>IF('13 - Config_Intake_View'!Q490&lt;&gt;"","PM Approved",IF(Deployments!AG478&lt;&gt;"","Assumed",""))</f>
        <v/>
      </c>
      <c r="K490" s="21">
        <f>Deployments!AF478</f>
        <v/>
      </c>
      <c r="L490" s="14">
        <f>Deployments!U478</f>
        <v/>
      </c>
      <c r="M490" s="14">
        <f>Deployments!L478</f>
        <v/>
      </c>
      <c r="N490" s="14">
        <f>Deployments!CC478</f>
        <v/>
      </c>
      <c r="O490" s="21">
        <f>Deployments!CD478</f>
        <v/>
      </c>
      <c r="P490" s="2">
        <f>Deployments!BX478</f>
        <v/>
      </c>
      <c r="Q490" s="21">
        <f>IF(OR($A490="",$B490="",$D490=""),"MISSING CORE FIELDS","")</f>
        <v/>
      </c>
      <c r="R490" s="14">
        <f>IF(AND($I490&lt;&gt;"",$K490&lt;&gt;"Yes"),"SW NOT INSTALLED","")</f>
        <v/>
      </c>
      <c r="S490" s="14">
        <f>IF(AND($H490&lt;&gt;"",ISNUMBER(SEARCH("auto",LOWER($H490))),$F490=""),"AUTOLOGON REQUIRED","")</f>
        <v/>
      </c>
      <c r="T490" s="14">
        <f>IF($Q490&lt;&gt;"",$Q490,IF($S490&lt;&gt;"",$S490,IF($R490&lt;&gt;"",$R490,IF(OR($N490&lt;&gt;"",$O490="Blocked"),"BLOCKED","OK"))))</f>
        <v/>
      </c>
    </row>
    <row r="491">
      <c r="A491" s="21">
        <f>Deployments!H479</f>
        <v/>
      </c>
      <c r="B491" s="21">
        <f>Deployments!X479</f>
        <v/>
      </c>
      <c r="C491" s="21">
        <f>Deployments!Y479</f>
        <v/>
      </c>
      <c r="D491" s="14">
        <f>Deployments!AO479</f>
        <v/>
      </c>
      <c r="E491" s="14">
        <f>Deployments!N479</f>
        <v/>
      </c>
      <c r="F491" s="21">
        <f>Deployments!O479</f>
        <v/>
      </c>
      <c r="G491" s="14">
        <f>Deployments!P479</f>
        <v/>
      </c>
      <c r="H491" s="14">
        <f>'13 - Config_Intake_View'!M491</f>
        <v/>
      </c>
      <c r="I491" s="21">
        <f>IF('13 - Config_Intake_View'!Q491&lt;&gt;"",'13 - Config_Intake_View'!Q491,Deployments!AG479)</f>
        <v/>
      </c>
      <c r="J491" s="14">
        <f>IF('13 - Config_Intake_View'!Q491&lt;&gt;"","PM Approved",IF(Deployments!AG479&lt;&gt;"","Assumed",""))</f>
        <v/>
      </c>
      <c r="K491" s="21">
        <f>Deployments!AF479</f>
        <v/>
      </c>
      <c r="L491" s="14">
        <f>Deployments!U479</f>
        <v/>
      </c>
      <c r="M491" s="14">
        <f>Deployments!L479</f>
        <v/>
      </c>
      <c r="N491" s="14">
        <f>Deployments!CC479</f>
        <v/>
      </c>
      <c r="O491" s="21">
        <f>Deployments!CD479</f>
        <v/>
      </c>
      <c r="P491" s="2">
        <f>Deployments!BX479</f>
        <v/>
      </c>
      <c r="Q491" s="21">
        <f>IF(OR($A491="",$B491="",$D491=""),"MISSING CORE FIELDS","")</f>
        <v/>
      </c>
      <c r="R491" s="14">
        <f>IF(AND($I491&lt;&gt;"",$K491&lt;&gt;"Yes"),"SW NOT INSTALLED","")</f>
        <v/>
      </c>
      <c r="S491" s="14">
        <f>IF(AND($H491&lt;&gt;"",ISNUMBER(SEARCH("auto",LOWER($H491))),$F491=""),"AUTOLOGON REQUIRED","")</f>
        <v/>
      </c>
      <c r="T491" s="14">
        <f>IF($Q491&lt;&gt;"",$Q491,IF($S491&lt;&gt;"",$S491,IF($R491&lt;&gt;"",$R491,IF(OR($N491&lt;&gt;"",$O491="Blocked"),"BLOCKED","OK"))))</f>
        <v/>
      </c>
    </row>
    <row r="492">
      <c r="A492" s="21">
        <f>Deployments!H480</f>
        <v/>
      </c>
      <c r="B492" s="21">
        <f>Deployments!X480</f>
        <v/>
      </c>
      <c r="C492" s="21">
        <f>Deployments!Y480</f>
        <v/>
      </c>
      <c r="D492" s="14">
        <f>Deployments!AO480</f>
        <v/>
      </c>
      <c r="E492" s="14">
        <f>Deployments!N480</f>
        <v/>
      </c>
      <c r="F492" s="21">
        <f>Deployments!O480</f>
        <v/>
      </c>
      <c r="G492" s="14">
        <f>Deployments!P480</f>
        <v/>
      </c>
      <c r="H492" s="14">
        <f>'13 - Config_Intake_View'!M492</f>
        <v/>
      </c>
      <c r="I492" s="21">
        <f>IF('13 - Config_Intake_View'!Q492&lt;&gt;"",'13 - Config_Intake_View'!Q492,Deployments!AG480)</f>
        <v/>
      </c>
      <c r="J492" s="14">
        <f>IF('13 - Config_Intake_View'!Q492&lt;&gt;"","PM Approved",IF(Deployments!AG480&lt;&gt;"","Assumed",""))</f>
        <v/>
      </c>
      <c r="K492" s="21">
        <f>Deployments!AF480</f>
        <v/>
      </c>
      <c r="L492" s="14">
        <f>Deployments!U480</f>
        <v/>
      </c>
      <c r="M492" s="14">
        <f>Deployments!L480</f>
        <v/>
      </c>
      <c r="N492" s="14">
        <f>Deployments!CC480</f>
        <v/>
      </c>
      <c r="O492" s="21">
        <f>Deployments!CD480</f>
        <v/>
      </c>
      <c r="P492" s="2">
        <f>Deployments!BX480</f>
        <v/>
      </c>
      <c r="Q492" s="21">
        <f>IF(OR($A492="",$B492="",$D492=""),"MISSING CORE FIELDS","")</f>
        <v/>
      </c>
      <c r="R492" s="14">
        <f>IF(AND($I492&lt;&gt;"",$K492&lt;&gt;"Yes"),"SW NOT INSTALLED","")</f>
        <v/>
      </c>
      <c r="S492" s="14">
        <f>IF(AND($H492&lt;&gt;"",ISNUMBER(SEARCH("auto",LOWER($H492))),$F492=""),"AUTOLOGON REQUIRED","")</f>
        <v/>
      </c>
      <c r="T492" s="14">
        <f>IF($Q492&lt;&gt;"",$Q492,IF($S492&lt;&gt;"",$S492,IF($R492&lt;&gt;"",$R492,IF(OR($N492&lt;&gt;"",$O492="Blocked"),"BLOCKED","OK"))))</f>
        <v/>
      </c>
    </row>
    <row r="493">
      <c r="A493" s="21">
        <f>Deployments!H481</f>
        <v/>
      </c>
      <c r="B493" s="21">
        <f>Deployments!X481</f>
        <v/>
      </c>
      <c r="C493" s="21">
        <f>Deployments!Y481</f>
        <v/>
      </c>
      <c r="D493" s="14">
        <f>Deployments!AO481</f>
        <v/>
      </c>
      <c r="E493" s="14">
        <f>Deployments!N481</f>
        <v/>
      </c>
      <c r="F493" s="21">
        <f>Deployments!O481</f>
        <v/>
      </c>
      <c r="G493" s="14">
        <f>Deployments!P481</f>
        <v/>
      </c>
      <c r="H493" s="14">
        <f>'13 - Config_Intake_View'!M493</f>
        <v/>
      </c>
      <c r="I493" s="21">
        <f>IF('13 - Config_Intake_View'!Q493&lt;&gt;"",'13 - Config_Intake_View'!Q493,Deployments!AG481)</f>
        <v/>
      </c>
      <c r="J493" s="14">
        <f>IF('13 - Config_Intake_View'!Q493&lt;&gt;"","PM Approved",IF(Deployments!AG481&lt;&gt;"","Assumed",""))</f>
        <v/>
      </c>
      <c r="K493" s="21">
        <f>Deployments!AF481</f>
        <v/>
      </c>
      <c r="L493" s="14">
        <f>Deployments!U481</f>
        <v/>
      </c>
      <c r="M493" s="14">
        <f>Deployments!L481</f>
        <v/>
      </c>
      <c r="N493" s="14">
        <f>Deployments!CC481</f>
        <v/>
      </c>
      <c r="O493" s="21">
        <f>Deployments!CD481</f>
        <v/>
      </c>
      <c r="P493" s="2">
        <f>Deployments!BX481</f>
        <v/>
      </c>
      <c r="Q493" s="21">
        <f>IF(OR($A493="",$B493="",$D493=""),"MISSING CORE FIELDS","")</f>
        <v/>
      </c>
      <c r="R493" s="14">
        <f>IF(AND($I493&lt;&gt;"",$K493&lt;&gt;"Yes"),"SW NOT INSTALLED","")</f>
        <v/>
      </c>
      <c r="S493" s="14">
        <f>IF(AND($H493&lt;&gt;"",ISNUMBER(SEARCH("auto",LOWER($H493))),$F493=""),"AUTOLOGON REQUIRED","")</f>
        <v/>
      </c>
      <c r="T493" s="14">
        <f>IF($Q493&lt;&gt;"",$Q493,IF($S493&lt;&gt;"",$S493,IF($R493&lt;&gt;"",$R493,IF(OR($N493&lt;&gt;"",$O493="Blocked"),"BLOCKED","OK"))))</f>
        <v/>
      </c>
    </row>
    <row r="494">
      <c r="A494" s="21">
        <f>Deployments!H482</f>
        <v/>
      </c>
      <c r="B494" s="21">
        <f>Deployments!X482</f>
        <v/>
      </c>
      <c r="C494" s="21">
        <f>Deployments!Y482</f>
        <v/>
      </c>
      <c r="D494" s="14">
        <f>Deployments!AO482</f>
        <v/>
      </c>
      <c r="E494" s="14">
        <f>Deployments!N482</f>
        <v/>
      </c>
      <c r="F494" s="21">
        <f>Deployments!O482</f>
        <v/>
      </c>
      <c r="G494" s="14">
        <f>Deployments!P482</f>
        <v/>
      </c>
      <c r="H494" s="14">
        <f>'13 - Config_Intake_View'!M494</f>
        <v/>
      </c>
      <c r="I494" s="21">
        <f>IF('13 - Config_Intake_View'!Q494&lt;&gt;"",'13 - Config_Intake_View'!Q494,Deployments!AG482)</f>
        <v/>
      </c>
      <c r="J494" s="14">
        <f>IF('13 - Config_Intake_View'!Q494&lt;&gt;"","PM Approved",IF(Deployments!AG482&lt;&gt;"","Assumed",""))</f>
        <v/>
      </c>
      <c r="K494" s="21">
        <f>Deployments!AF482</f>
        <v/>
      </c>
      <c r="L494" s="14">
        <f>Deployments!U482</f>
        <v/>
      </c>
      <c r="M494" s="14">
        <f>Deployments!L482</f>
        <v/>
      </c>
      <c r="N494" s="14">
        <f>Deployments!CC482</f>
        <v/>
      </c>
      <c r="O494" s="21">
        <f>Deployments!CD482</f>
        <v/>
      </c>
      <c r="P494" s="2">
        <f>Deployments!BX482</f>
        <v/>
      </c>
      <c r="Q494" s="21">
        <f>IF(OR($A494="",$B494="",$D494=""),"MISSING CORE FIELDS","")</f>
        <v/>
      </c>
      <c r="R494" s="14">
        <f>IF(AND($I494&lt;&gt;"",$K494&lt;&gt;"Yes"),"SW NOT INSTALLED","")</f>
        <v/>
      </c>
      <c r="S494" s="14">
        <f>IF(AND($H494&lt;&gt;"",ISNUMBER(SEARCH("auto",LOWER($H494))),$F494=""),"AUTOLOGON REQUIRED","")</f>
        <v/>
      </c>
      <c r="T494" s="14">
        <f>IF($Q494&lt;&gt;"",$Q494,IF($S494&lt;&gt;"",$S494,IF($R494&lt;&gt;"",$R494,IF(OR($N494&lt;&gt;"",$O494="Blocked"),"BLOCKED","OK"))))</f>
        <v/>
      </c>
    </row>
    <row r="495">
      <c r="A495" s="21">
        <f>Deployments!H483</f>
        <v/>
      </c>
      <c r="B495" s="21">
        <f>Deployments!X483</f>
        <v/>
      </c>
      <c r="C495" s="21">
        <f>Deployments!Y483</f>
        <v/>
      </c>
      <c r="D495" s="14">
        <f>Deployments!AO483</f>
        <v/>
      </c>
      <c r="E495" s="14">
        <f>Deployments!N483</f>
        <v/>
      </c>
      <c r="F495" s="21">
        <f>Deployments!O483</f>
        <v/>
      </c>
      <c r="G495" s="14">
        <f>Deployments!P483</f>
        <v/>
      </c>
      <c r="H495" s="14">
        <f>'13 - Config_Intake_View'!M495</f>
        <v/>
      </c>
      <c r="I495" s="21">
        <f>IF('13 - Config_Intake_View'!Q495&lt;&gt;"",'13 - Config_Intake_View'!Q495,Deployments!AG483)</f>
        <v/>
      </c>
      <c r="J495" s="14">
        <f>IF('13 - Config_Intake_View'!Q495&lt;&gt;"","PM Approved",IF(Deployments!AG483&lt;&gt;"","Assumed",""))</f>
        <v/>
      </c>
      <c r="K495" s="21">
        <f>Deployments!AF483</f>
        <v/>
      </c>
      <c r="L495" s="14">
        <f>Deployments!U483</f>
        <v/>
      </c>
      <c r="M495" s="14">
        <f>Deployments!L483</f>
        <v/>
      </c>
      <c r="N495" s="14">
        <f>Deployments!CC483</f>
        <v/>
      </c>
      <c r="O495" s="21">
        <f>Deployments!CD483</f>
        <v/>
      </c>
      <c r="P495" s="2">
        <f>Deployments!BX483</f>
        <v/>
      </c>
      <c r="Q495" s="21">
        <f>IF(OR($A495="",$B495="",$D495=""),"MISSING CORE FIELDS","")</f>
        <v/>
      </c>
      <c r="R495" s="14">
        <f>IF(AND($I495&lt;&gt;"",$K495&lt;&gt;"Yes"),"SW NOT INSTALLED","")</f>
        <v/>
      </c>
      <c r="S495" s="14">
        <f>IF(AND($H495&lt;&gt;"",ISNUMBER(SEARCH("auto",LOWER($H495))),$F495=""),"AUTOLOGON REQUIRED","")</f>
        <v/>
      </c>
      <c r="T495" s="14">
        <f>IF($Q495&lt;&gt;"",$Q495,IF($S495&lt;&gt;"",$S495,IF($R495&lt;&gt;"",$R495,IF(OR($N495&lt;&gt;"",$O495="Blocked"),"BLOCKED","OK"))))</f>
        <v/>
      </c>
    </row>
    <row r="496">
      <c r="A496" s="21">
        <f>Deployments!H484</f>
        <v/>
      </c>
      <c r="B496" s="21">
        <f>Deployments!X484</f>
        <v/>
      </c>
      <c r="C496" s="21">
        <f>Deployments!Y484</f>
        <v/>
      </c>
      <c r="D496" s="14">
        <f>Deployments!AO484</f>
        <v/>
      </c>
      <c r="E496" s="14">
        <f>Deployments!N484</f>
        <v/>
      </c>
      <c r="F496" s="21">
        <f>Deployments!O484</f>
        <v/>
      </c>
      <c r="G496" s="14">
        <f>Deployments!P484</f>
        <v/>
      </c>
      <c r="H496" s="14">
        <f>'13 - Config_Intake_View'!M496</f>
        <v/>
      </c>
      <c r="I496" s="21">
        <f>IF('13 - Config_Intake_View'!Q496&lt;&gt;"",'13 - Config_Intake_View'!Q496,Deployments!AG484)</f>
        <v/>
      </c>
      <c r="J496" s="14">
        <f>IF('13 - Config_Intake_View'!Q496&lt;&gt;"","PM Approved",IF(Deployments!AG484&lt;&gt;"","Assumed",""))</f>
        <v/>
      </c>
      <c r="K496" s="21">
        <f>Deployments!AF484</f>
        <v/>
      </c>
      <c r="L496" s="14">
        <f>Deployments!U484</f>
        <v/>
      </c>
      <c r="M496" s="14">
        <f>Deployments!L484</f>
        <v/>
      </c>
      <c r="N496" s="14">
        <f>Deployments!CC484</f>
        <v/>
      </c>
      <c r="O496" s="21">
        <f>Deployments!CD484</f>
        <v/>
      </c>
      <c r="P496" s="2">
        <f>Deployments!BX484</f>
        <v/>
      </c>
      <c r="Q496" s="21">
        <f>IF(OR($A496="",$B496="",$D496=""),"MISSING CORE FIELDS","")</f>
        <v/>
      </c>
      <c r="R496" s="14">
        <f>IF(AND($I496&lt;&gt;"",$K496&lt;&gt;"Yes"),"SW NOT INSTALLED","")</f>
        <v/>
      </c>
      <c r="S496" s="14">
        <f>IF(AND($H496&lt;&gt;"",ISNUMBER(SEARCH("auto",LOWER($H496))),$F496=""),"AUTOLOGON REQUIRED","")</f>
        <v/>
      </c>
      <c r="T496" s="14">
        <f>IF($Q496&lt;&gt;"",$Q496,IF($S496&lt;&gt;"",$S496,IF($R496&lt;&gt;"",$R496,IF(OR($N496&lt;&gt;"",$O496="Blocked"),"BLOCKED","OK"))))</f>
        <v/>
      </c>
    </row>
    <row r="497">
      <c r="A497" s="21">
        <f>Deployments!H485</f>
        <v/>
      </c>
      <c r="B497" s="21">
        <f>Deployments!X485</f>
        <v/>
      </c>
      <c r="C497" s="21">
        <f>Deployments!Y485</f>
        <v/>
      </c>
      <c r="D497" s="14">
        <f>Deployments!AO485</f>
        <v/>
      </c>
      <c r="E497" s="14">
        <f>Deployments!N485</f>
        <v/>
      </c>
      <c r="F497" s="21">
        <f>Deployments!O485</f>
        <v/>
      </c>
      <c r="G497" s="14">
        <f>Deployments!P485</f>
        <v/>
      </c>
      <c r="H497" s="14">
        <f>'13 - Config_Intake_View'!M497</f>
        <v/>
      </c>
      <c r="I497" s="21">
        <f>IF('13 - Config_Intake_View'!Q497&lt;&gt;"",'13 - Config_Intake_View'!Q497,Deployments!AG485)</f>
        <v/>
      </c>
      <c r="J497" s="14">
        <f>IF('13 - Config_Intake_View'!Q497&lt;&gt;"","PM Approved",IF(Deployments!AG485&lt;&gt;"","Assumed",""))</f>
        <v/>
      </c>
      <c r="K497" s="21">
        <f>Deployments!AF485</f>
        <v/>
      </c>
      <c r="L497" s="14">
        <f>Deployments!U485</f>
        <v/>
      </c>
      <c r="M497" s="14">
        <f>Deployments!L485</f>
        <v/>
      </c>
      <c r="N497" s="14">
        <f>Deployments!CC485</f>
        <v/>
      </c>
      <c r="O497" s="21">
        <f>Deployments!CD485</f>
        <v/>
      </c>
      <c r="P497" s="2">
        <f>Deployments!BX485</f>
        <v/>
      </c>
      <c r="Q497" s="21">
        <f>IF(OR($A497="",$B497="",$D497=""),"MISSING CORE FIELDS","")</f>
        <v/>
      </c>
      <c r="R497" s="14">
        <f>IF(AND($I497&lt;&gt;"",$K497&lt;&gt;"Yes"),"SW NOT INSTALLED","")</f>
        <v/>
      </c>
      <c r="S497" s="14">
        <f>IF(AND($H497&lt;&gt;"",ISNUMBER(SEARCH("auto",LOWER($H497))),$F497=""),"AUTOLOGON REQUIRED","")</f>
        <v/>
      </c>
      <c r="T497" s="14">
        <f>IF($Q497&lt;&gt;"",$Q497,IF($S497&lt;&gt;"",$S497,IF($R497&lt;&gt;"",$R497,IF(OR($N497&lt;&gt;"",$O497="Blocked"),"BLOCKED","OK"))))</f>
        <v/>
      </c>
    </row>
    <row r="498">
      <c r="A498" s="21">
        <f>Deployments!H486</f>
        <v/>
      </c>
      <c r="B498" s="21">
        <f>Deployments!X486</f>
        <v/>
      </c>
      <c r="C498" s="21">
        <f>Deployments!Y486</f>
        <v/>
      </c>
      <c r="D498" s="14">
        <f>Deployments!AO486</f>
        <v/>
      </c>
      <c r="E498" s="14">
        <f>Deployments!N486</f>
        <v/>
      </c>
      <c r="F498" s="21">
        <f>Deployments!O486</f>
        <v/>
      </c>
      <c r="G498" s="14">
        <f>Deployments!P486</f>
        <v/>
      </c>
      <c r="H498" s="14">
        <f>'13 - Config_Intake_View'!M498</f>
        <v/>
      </c>
      <c r="I498" s="21">
        <f>IF('13 - Config_Intake_View'!Q498&lt;&gt;"",'13 - Config_Intake_View'!Q498,Deployments!AG486)</f>
        <v/>
      </c>
      <c r="J498" s="14">
        <f>IF('13 - Config_Intake_View'!Q498&lt;&gt;"","PM Approved",IF(Deployments!AG486&lt;&gt;"","Assumed",""))</f>
        <v/>
      </c>
      <c r="K498" s="21">
        <f>Deployments!AF486</f>
        <v/>
      </c>
      <c r="L498" s="14">
        <f>Deployments!U486</f>
        <v/>
      </c>
      <c r="M498" s="14">
        <f>Deployments!L486</f>
        <v/>
      </c>
      <c r="N498" s="14">
        <f>Deployments!CC486</f>
        <v/>
      </c>
      <c r="O498" s="21">
        <f>Deployments!CD486</f>
        <v/>
      </c>
      <c r="P498" s="2">
        <f>Deployments!BX486</f>
        <v/>
      </c>
      <c r="Q498" s="21">
        <f>IF(OR($A498="",$B498="",$D498=""),"MISSING CORE FIELDS","")</f>
        <v/>
      </c>
      <c r="R498" s="14">
        <f>IF(AND($I498&lt;&gt;"",$K498&lt;&gt;"Yes"),"SW NOT INSTALLED","")</f>
        <v/>
      </c>
      <c r="S498" s="14">
        <f>IF(AND($H498&lt;&gt;"",ISNUMBER(SEARCH("auto",LOWER($H498))),$F498=""),"AUTOLOGON REQUIRED","")</f>
        <v/>
      </c>
      <c r="T498" s="14">
        <f>IF($Q498&lt;&gt;"",$Q498,IF($S498&lt;&gt;"",$S498,IF($R498&lt;&gt;"",$R498,IF(OR($N498&lt;&gt;"",$O498="Blocked"),"BLOCKED","OK"))))</f>
        <v/>
      </c>
    </row>
    <row r="499">
      <c r="A499" s="21">
        <f>Deployments!H487</f>
        <v/>
      </c>
      <c r="B499" s="21">
        <f>Deployments!X487</f>
        <v/>
      </c>
      <c r="C499" s="21">
        <f>Deployments!Y487</f>
        <v/>
      </c>
      <c r="D499" s="14">
        <f>Deployments!AO487</f>
        <v/>
      </c>
      <c r="E499" s="14">
        <f>Deployments!N487</f>
        <v/>
      </c>
      <c r="F499" s="21">
        <f>Deployments!O487</f>
        <v/>
      </c>
      <c r="G499" s="14">
        <f>Deployments!P487</f>
        <v/>
      </c>
      <c r="H499" s="14">
        <f>'13 - Config_Intake_View'!M499</f>
        <v/>
      </c>
      <c r="I499" s="21">
        <f>IF('13 - Config_Intake_View'!Q499&lt;&gt;"",'13 - Config_Intake_View'!Q499,Deployments!AG487)</f>
        <v/>
      </c>
      <c r="J499" s="14">
        <f>IF('13 - Config_Intake_View'!Q499&lt;&gt;"","PM Approved",IF(Deployments!AG487&lt;&gt;"","Assumed",""))</f>
        <v/>
      </c>
      <c r="K499" s="21">
        <f>Deployments!AF487</f>
        <v/>
      </c>
      <c r="L499" s="14">
        <f>Deployments!U487</f>
        <v/>
      </c>
      <c r="M499" s="14">
        <f>Deployments!L487</f>
        <v/>
      </c>
      <c r="N499" s="14">
        <f>Deployments!CC487</f>
        <v/>
      </c>
      <c r="O499" s="21">
        <f>Deployments!CD487</f>
        <v/>
      </c>
      <c r="P499" s="2">
        <f>Deployments!BX487</f>
        <v/>
      </c>
      <c r="Q499" s="21">
        <f>IF(OR($A499="",$B499="",$D499=""),"MISSING CORE FIELDS","")</f>
        <v/>
      </c>
      <c r="R499" s="14">
        <f>IF(AND($I499&lt;&gt;"",$K499&lt;&gt;"Yes"),"SW NOT INSTALLED","")</f>
        <v/>
      </c>
      <c r="S499" s="14">
        <f>IF(AND($H499&lt;&gt;"",ISNUMBER(SEARCH("auto",LOWER($H499))),$F499=""),"AUTOLOGON REQUIRED","")</f>
        <v/>
      </c>
      <c r="T499" s="14">
        <f>IF($Q499&lt;&gt;"",$Q499,IF($S499&lt;&gt;"",$S499,IF($R499&lt;&gt;"",$R499,IF(OR($N499&lt;&gt;"",$O499="Blocked"),"BLOCKED","OK"))))</f>
        <v/>
      </c>
    </row>
    <row r="500">
      <c r="A500" s="21">
        <f>Deployments!H488</f>
        <v/>
      </c>
      <c r="B500" s="21">
        <f>Deployments!X488</f>
        <v/>
      </c>
      <c r="C500" s="21">
        <f>Deployments!Y488</f>
        <v/>
      </c>
      <c r="D500" s="14">
        <f>Deployments!AO488</f>
        <v/>
      </c>
      <c r="E500" s="14">
        <f>Deployments!N488</f>
        <v/>
      </c>
      <c r="F500" s="21">
        <f>Deployments!O488</f>
        <v/>
      </c>
      <c r="G500" s="14">
        <f>Deployments!P488</f>
        <v/>
      </c>
      <c r="H500" s="14">
        <f>'13 - Config_Intake_View'!M500</f>
        <v/>
      </c>
      <c r="I500" s="21">
        <f>IF('13 - Config_Intake_View'!Q500&lt;&gt;"",'13 - Config_Intake_View'!Q500,Deployments!AG488)</f>
        <v/>
      </c>
      <c r="J500" s="14">
        <f>IF('13 - Config_Intake_View'!Q500&lt;&gt;"","PM Approved",IF(Deployments!AG488&lt;&gt;"","Assumed",""))</f>
        <v/>
      </c>
      <c r="K500" s="21">
        <f>Deployments!AF488</f>
        <v/>
      </c>
      <c r="L500" s="14">
        <f>Deployments!U488</f>
        <v/>
      </c>
      <c r="M500" s="14">
        <f>Deployments!L488</f>
        <v/>
      </c>
      <c r="N500" s="14">
        <f>Deployments!CC488</f>
        <v/>
      </c>
      <c r="O500" s="21">
        <f>Deployments!CD488</f>
        <v/>
      </c>
      <c r="P500" s="2">
        <f>Deployments!BX488</f>
        <v/>
      </c>
      <c r="Q500" s="21">
        <f>IF(OR($A500="",$B500="",$D500=""),"MISSING CORE FIELDS","")</f>
        <v/>
      </c>
      <c r="R500" s="14">
        <f>IF(AND($I500&lt;&gt;"",$K500&lt;&gt;"Yes"),"SW NOT INSTALLED","")</f>
        <v/>
      </c>
      <c r="S500" s="14">
        <f>IF(AND($H500&lt;&gt;"",ISNUMBER(SEARCH("auto",LOWER($H500))),$F500=""),"AUTOLOGON REQUIRED","")</f>
        <v/>
      </c>
      <c r="T500" s="14">
        <f>IF($Q500&lt;&gt;"",$Q500,IF($S500&lt;&gt;"",$S500,IF($R500&lt;&gt;"",$R500,IF(OR($N500&lt;&gt;"",$O500="Blocked"),"BLOCKED","OK"))))</f>
        <v/>
      </c>
    </row>
    <row r="501">
      <c r="A501" s="21">
        <f>Deployments!H489</f>
        <v/>
      </c>
      <c r="B501" s="21">
        <f>Deployments!X489</f>
        <v/>
      </c>
      <c r="C501" s="21">
        <f>Deployments!Y489</f>
        <v/>
      </c>
      <c r="D501" s="14">
        <f>Deployments!AO489</f>
        <v/>
      </c>
      <c r="E501" s="14">
        <f>Deployments!N489</f>
        <v/>
      </c>
      <c r="F501" s="21">
        <f>Deployments!O489</f>
        <v/>
      </c>
      <c r="G501" s="14">
        <f>Deployments!P489</f>
        <v/>
      </c>
      <c r="H501" s="14">
        <f>'13 - Config_Intake_View'!M501</f>
        <v/>
      </c>
      <c r="I501" s="21">
        <f>IF('13 - Config_Intake_View'!Q501&lt;&gt;"",'13 - Config_Intake_View'!Q501,Deployments!AG489)</f>
        <v/>
      </c>
      <c r="J501" s="14">
        <f>IF('13 - Config_Intake_View'!Q501&lt;&gt;"","PM Approved",IF(Deployments!AG489&lt;&gt;"","Assumed",""))</f>
        <v/>
      </c>
      <c r="K501" s="21">
        <f>Deployments!AF489</f>
        <v/>
      </c>
      <c r="L501" s="14">
        <f>Deployments!U489</f>
        <v/>
      </c>
      <c r="M501" s="14">
        <f>Deployments!L489</f>
        <v/>
      </c>
      <c r="N501" s="14">
        <f>Deployments!CC489</f>
        <v/>
      </c>
      <c r="O501" s="21">
        <f>Deployments!CD489</f>
        <v/>
      </c>
      <c r="P501" s="2">
        <f>Deployments!BX489</f>
        <v/>
      </c>
      <c r="Q501" s="21">
        <f>IF(OR($A501="",$B501="",$D501=""),"MISSING CORE FIELDS","")</f>
        <v/>
      </c>
      <c r="R501" s="14">
        <f>IF(AND($I501&lt;&gt;"",$K501&lt;&gt;"Yes"),"SW NOT INSTALLED","")</f>
        <v/>
      </c>
      <c r="S501" s="14">
        <f>IF(AND($H501&lt;&gt;"",ISNUMBER(SEARCH("auto",LOWER($H501))),$F501=""),"AUTOLOGON REQUIRED","")</f>
        <v/>
      </c>
      <c r="T501" s="14">
        <f>IF($Q501&lt;&gt;"",$Q501,IF($S501&lt;&gt;"",$S501,IF($R501&lt;&gt;"",$R501,IF(OR($N501&lt;&gt;"",$O501="Blocked"),"BLOCKED","OK"))))</f>
        <v/>
      </c>
    </row>
    <row r="502">
      <c r="A502" s="21">
        <f>Deployments!H490</f>
        <v/>
      </c>
      <c r="B502" s="21">
        <f>Deployments!X490</f>
        <v/>
      </c>
      <c r="C502" s="21">
        <f>Deployments!Y490</f>
        <v/>
      </c>
      <c r="D502" s="14">
        <f>Deployments!AO490</f>
        <v/>
      </c>
      <c r="E502" s="14">
        <f>Deployments!N490</f>
        <v/>
      </c>
      <c r="F502" s="21">
        <f>Deployments!O490</f>
        <v/>
      </c>
      <c r="G502" s="14">
        <f>Deployments!P490</f>
        <v/>
      </c>
      <c r="H502" s="14">
        <f>'13 - Config_Intake_View'!M502</f>
        <v/>
      </c>
      <c r="I502" s="21">
        <f>IF('13 - Config_Intake_View'!Q502&lt;&gt;"",'13 - Config_Intake_View'!Q502,Deployments!AG490)</f>
        <v/>
      </c>
      <c r="J502" s="14">
        <f>IF('13 - Config_Intake_View'!Q502&lt;&gt;"","PM Approved",IF(Deployments!AG490&lt;&gt;"","Assumed",""))</f>
        <v/>
      </c>
      <c r="K502" s="21">
        <f>Deployments!AF490</f>
        <v/>
      </c>
      <c r="L502" s="14">
        <f>Deployments!U490</f>
        <v/>
      </c>
      <c r="M502" s="14">
        <f>Deployments!L490</f>
        <v/>
      </c>
      <c r="N502" s="14">
        <f>Deployments!CC490</f>
        <v/>
      </c>
      <c r="O502" s="21">
        <f>Deployments!CD490</f>
        <v/>
      </c>
      <c r="P502" s="2">
        <f>Deployments!BX490</f>
        <v/>
      </c>
      <c r="Q502" s="21">
        <f>IF(OR($A502="",$B502="",$D502=""),"MISSING CORE FIELDS","")</f>
        <v/>
      </c>
      <c r="R502" s="14">
        <f>IF(AND($I502&lt;&gt;"",$K502&lt;&gt;"Yes"),"SW NOT INSTALLED","")</f>
        <v/>
      </c>
      <c r="S502" s="14">
        <f>IF(AND($H502&lt;&gt;"",ISNUMBER(SEARCH("auto",LOWER($H502))),$F502=""),"AUTOLOGON REQUIRED","")</f>
        <v/>
      </c>
      <c r="T502" s="14">
        <f>IF($Q502&lt;&gt;"",$Q502,IF($S502&lt;&gt;"",$S502,IF($R502&lt;&gt;"",$R502,IF(OR($N502&lt;&gt;"",$O502="Blocked"),"BLOCKED","OK"))))</f>
        <v/>
      </c>
    </row>
    <row r="503">
      <c r="A503" s="21">
        <f>Deployments!H491</f>
        <v/>
      </c>
      <c r="B503" s="21">
        <f>Deployments!X491</f>
        <v/>
      </c>
      <c r="C503" s="21">
        <f>Deployments!Y491</f>
        <v/>
      </c>
      <c r="D503" s="14">
        <f>Deployments!AO491</f>
        <v/>
      </c>
      <c r="E503" s="14">
        <f>Deployments!N491</f>
        <v/>
      </c>
      <c r="F503" s="21">
        <f>Deployments!O491</f>
        <v/>
      </c>
      <c r="G503" s="14">
        <f>Deployments!P491</f>
        <v/>
      </c>
      <c r="H503" s="14">
        <f>'13 - Config_Intake_View'!M503</f>
        <v/>
      </c>
      <c r="I503" s="21">
        <f>IF('13 - Config_Intake_View'!Q503&lt;&gt;"",'13 - Config_Intake_View'!Q503,Deployments!AG491)</f>
        <v/>
      </c>
      <c r="J503" s="14">
        <f>IF('13 - Config_Intake_View'!Q503&lt;&gt;"","PM Approved",IF(Deployments!AG491&lt;&gt;"","Assumed",""))</f>
        <v/>
      </c>
      <c r="K503" s="21">
        <f>Deployments!AF491</f>
        <v/>
      </c>
      <c r="L503" s="14">
        <f>Deployments!U491</f>
        <v/>
      </c>
      <c r="M503" s="14">
        <f>Deployments!L491</f>
        <v/>
      </c>
      <c r="N503" s="14">
        <f>Deployments!CC491</f>
        <v/>
      </c>
      <c r="O503" s="21">
        <f>Deployments!CD491</f>
        <v/>
      </c>
      <c r="P503" s="2">
        <f>Deployments!BX491</f>
        <v/>
      </c>
      <c r="Q503" s="21">
        <f>IF(OR($A503="",$B503="",$D503=""),"MISSING CORE FIELDS","")</f>
        <v/>
      </c>
      <c r="R503" s="14">
        <f>IF(AND($I503&lt;&gt;"",$K503&lt;&gt;"Yes"),"SW NOT INSTALLED","")</f>
        <v/>
      </c>
      <c r="S503" s="14">
        <f>IF(AND($H503&lt;&gt;"",ISNUMBER(SEARCH("auto",LOWER($H503))),$F503=""),"AUTOLOGON REQUIRED","")</f>
        <v/>
      </c>
      <c r="T503" s="14">
        <f>IF($Q503&lt;&gt;"",$Q503,IF($S503&lt;&gt;"",$S503,IF($R503&lt;&gt;"",$R503,IF(OR($N503&lt;&gt;"",$O503="Blocked"),"BLOCKED","OK"))))</f>
        <v/>
      </c>
    </row>
  </sheetData>
  <conditionalFormatting sqref="I2:I503">
    <cfRule type="expression" priority="8" dxfId="1" stopIfTrue="1">
      <formula>AND($I2&lt;&gt;"",OR($K2="Yes",$J2="PM Approved"))</formula>
    </cfRule>
    <cfRule type="expression" priority="9" dxfId="5" stopIfTrue="1">
      <formula>AND($I2&lt;&gt;"",NOT(OR($K2="Yes",$J2="PM Approved")))</formula>
    </cfRule>
  </conditionalFormatting>
  <conditionalFormatting sqref="Q2:Q503">
    <cfRule type="expression" priority="10" dxfId="0">
      <formula>Q2&lt;&gt;""</formula>
    </cfRule>
  </conditionalFormatting>
  <conditionalFormatting sqref="R2:R503">
    <cfRule type="expression" priority="11" dxfId="2">
      <formula>R2&lt;&gt;""</formula>
    </cfRule>
  </conditionalFormatting>
  <conditionalFormatting sqref="S2:S503">
    <cfRule type="expression" priority="12" dxfId="2">
      <formula>S2&lt;&gt;""</formula>
    </cfRule>
  </conditionalFormatting>
  <conditionalFormatting sqref="T2:T503">
    <cfRule type="expression" priority="13" dxfId="1">
      <formula>AND(T2&lt;&gt;"",T2="OK")</formula>
    </cfRule>
    <cfRule type="expression" priority="14" dxfId="0">
      <formula>AND(T2&lt;&gt;"",T2&lt;&gt;"OK")</formula>
    </cfRule>
  </conditionalFormatting>
  <dataValidations count="2">
    <dataValidation sqref="A1:T1" showDropDown="0" showInputMessage="1" showErrorMessage="1" allowBlank="1" errorTitle="This is a header row, foo 🤡" error="Skedaddle 💨" type="custom">
      <formula1>FALSE</formula1>
    </dataValidation>
    <dataValidation sqref="A2:XFD1048576" showDropDown="0" showInputMessage="1" showErrorMessage="1" allowBlank="1" type="custom">
      <formula1>FALSE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 codeName="Sheet18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9">
    <outlinePr summaryBelow="1" summaryRight="1"/>
    <pageSetUpPr/>
  </sheetPr>
  <dimension ref="A1:K21"/>
  <sheetViews>
    <sheetView workbookViewId="0">
      <pane xSplit="1" ySplit="2" topLeftCell="B3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91" min="1" max="1"/>
    <col width="10" customWidth="1" style="91" min="2" max="3"/>
    <col width="12" customWidth="1" style="91" min="4" max="5"/>
    <col width="16" customWidth="1" style="91" min="6" max="7"/>
    <col width="12" customWidth="1" style="91" min="8" max="8"/>
    <col width="2" customWidth="1" style="91" min="9" max="9"/>
    <col width="10" customWidth="1" style="91" min="10" max="11"/>
  </cols>
  <sheetData>
    <row r="1">
      <c r="A1" s="90" t="inlineStr">
        <is>
          <t>Site</t>
        </is>
      </c>
      <c r="B1" s="90" t="inlineStr">
        <is>
          <t>Deployment &amp; Stock</t>
        </is>
      </c>
      <c r="C1" s="92" t="n"/>
      <c r="D1" s="90" t="inlineStr">
        <is>
          <t>Pending Install</t>
        </is>
      </c>
      <c r="E1" s="92" t="n"/>
      <c r="F1" s="90" t="inlineStr">
        <is>
          <t>Peripherals</t>
        </is>
      </c>
      <c r="G1" s="93" t="n"/>
      <c r="H1" s="92" t="n"/>
      <c r="I1" s="5" t="n"/>
      <c r="J1" s="90" t="inlineStr">
        <is>
          <t>Total Sent</t>
        </is>
      </c>
      <c r="K1" s="92" t="n"/>
    </row>
    <row r="2" ht="30" customHeight="1" s="91">
      <c r="A2" s="6" t="n"/>
      <c r="B2" s="6" t="inlineStr">
        <is>
          <t>Neuron</t>
        </is>
      </c>
      <c r="C2" s="6" t="inlineStr">
        <is>
          <t>Cybernet</t>
        </is>
      </c>
      <c r="D2" s="6" t="inlineStr">
        <is>
          <t>Neuron</t>
        </is>
      </c>
      <c r="E2" s="6" t="inlineStr">
        <is>
          <t>Cybernet</t>
        </is>
      </c>
      <c r="F2" s="6" t="inlineStr">
        <is>
          <t>Mouse &amp; Keyboard</t>
        </is>
      </c>
      <c r="G2" s="6" t="inlineStr">
        <is>
          <t>Barcode Scanner</t>
        </is>
      </c>
      <c r="H2" s="6" t="inlineStr">
        <is>
          <t>Tap Badge</t>
        </is>
      </c>
      <c r="I2" s="6" t="n"/>
      <c r="J2" s="6" t="inlineStr">
        <is>
          <t>Neuron</t>
        </is>
      </c>
      <c r="K2" s="6" t="inlineStr">
        <is>
          <t>Cybernet</t>
        </is>
      </c>
    </row>
    <row r="3">
      <c r="A3" s="7" t="inlineStr">
        <is>
          <t>HQ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>
        <f>IFERROR(B3+D3,0)</f>
        <v/>
      </c>
      <c r="K3" s="8">
        <f>IFERROR(C3+E3,0)</f>
        <v/>
      </c>
    </row>
    <row r="4">
      <c r="A4" s="7" t="inlineStr">
        <is>
          <t>GVH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>
        <f>IFERROR(B4+D4,0)</f>
        <v/>
      </c>
      <c r="K4" s="8">
        <f>IFERROR(C4+E4,0)</f>
        <v/>
      </c>
    </row>
    <row r="5">
      <c r="A5" s="7" t="inlineStr">
        <is>
          <t>LHH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>
        <f>IFERROR(B5+D5,0)</f>
        <v/>
      </c>
      <c r="K5" s="8">
        <f>IFERROR(C5+E5,0)</f>
        <v/>
      </c>
    </row>
    <row r="6">
      <c r="A6" s="7" t="inlineStr">
        <is>
          <t>MEETH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>
        <f>IFERROR(B6+D6,0)</f>
        <v/>
      </c>
      <c r="K6" s="8">
        <f>IFERROR(C6+E6,0)</f>
        <v/>
      </c>
    </row>
    <row r="7">
      <c r="A7" s="7" t="inlineStr">
        <is>
          <t>NWH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>
        <f>IFERROR(B7+D7,0)</f>
        <v/>
      </c>
      <c r="K7" s="8">
        <f>IFERROR(C7+E7,0)</f>
        <v/>
      </c>
    </row>
    <row r="8">
      <c r="A8" s="7" t="inlineStr">
        <is>
          <t>PBMC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>
        <f>IFERROR(B8+D8,0)</f>
        <v/>
      </c>
      <c r="K8" s="8">
        <f>IFERROR(C8+E8,0)</f>
        <v/>
      </c>
    </row>
    <row r="9">
      <c r="A9" s="7" t="inlineStr">
        <is>
          <t>PHELPS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>
        <f>IFERROR(B9+D9,0)</f>
        <v/>
      </c>
      <c r="K9" s="8">
        <f>IFERROR(C9+E9,0)</f>
        <v/>
      </c>
    </row>
    <row r="10">
      <c r="A10" s="7" t="inlineStr">
        <is>
          <t>SIUH AMB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>
        <f>IFERROR(B10+D10,0)</f>
        <v/>
      </c>
      <c r="K10" s="8">
        <f>IFERROR(C10+E10,0)</f>
        <v/>
      </c>
    </row>
    <row r="11">
      <c r="A11" s="7" t="inlineStr">
        <is>
          <t>SIUHN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>
        <f>IFERROR(B11+D11,0)</f>
        <v/>
      </c>
      <c r="K11" s="8">
        <f>IFERROR(C11+E11,0)</f>
        <v/>
      </c>
    </row>
    <row r="12">
      <c r="A12" s="7" t="inlineStr">
        <is>
          <t>SIUHS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>
        <f>IFERROR(B12+D12,0)</f>
        <v/>
      </c>
      <c r="K12" s="8">
        <f>IFERROR(C12+E12,0)</f>
        <v/>
      </c>
    </row>
    <row r="13">
      <c r="A13" s="7" t="inlineStr">
        <is>
          <t>FH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>
        <f>IFERROR(B13+D13,0)</f>
        <v/>
      </c>
      <c r="K13" s="8">
        <f>IFERROR(C13+E13,0)</f>
        <v/>
      </c>
    </row>
    <row r="14">
      <c r="A14" s="7" t="inlineStr">
        <is>
          <t>GC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>
        <f>IFERROR(B14+D14,0)</f>
        <v/>
      </c>
      <c r="K14" s="8">
        <f>IFERROR(C14+E14,0)</f>
        <v/>
      </c>
    </row>
    <row r="15">
      <c r="A15" s="7" t="inlineStr">
        <is>
          <t>PL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>
        <f>IFERROR(B15+D15,0)</f>
        <v/>
      </c>
      <c r="K15" s="8">
        <f>IFERROR(C15+E15,0)</f>
        <v/>
      </c>
    </row>
    <row r="16">
      <c r="A16" s="7" t="inlineStr">
        <is>
          <t>SY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>
        <f>IFERROR(B16+D16,0)</f>
        <v/>
      </c>
      <c r="K16" s="8">
        <f>IFERROR(C16+E16,0)</f>
        <v/>
      </c>
    </row>
    <row r="17">
      <c r="A17" s="7" t="inlineStr">
        <is>
          <t>VS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>
        <f>IFERROR(B17+D17,0)</f>
        <v/>
      </c>
      <c r="K17" s="8">
        <f>IFERROR(C17+E17,0)</f>
        <v/>
      </c>
    </row>
    <row r="18">
      <c r="A18" s="7" t="inlineStr">
        <is>
          <t>LII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>
        <f>IFERROR(B18+D18,0)</f>
        <v/>
      </c>
      <c r="K18" s="8">
        <f>IFERROR(C18+E18,0)</f>
        <v/>
      </c>
    </row>
    <row r="19">
      <c r="A19" s="7" t="inlineStr">
        <is>
          <t>NSLIJ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>
        <f>IFERROR(B19+D19,0)</f>
        <v/>
      </c>
      <c r="K19" s="8">
        <f>IFERROR(C19+E19,0)</f>
        <v/>
      </c>
    </row>
    <row r="21">
      <c r="A21" s="9" t="inlineStr">
        <is>
          <t>TOTAL</t>
        </is>
      </c>
      <c r="B21" s="9">
        <f>SUM(B3:B20)</f>
        <v/>
      </c>
      <c r="C21" s="9">
        <f>SUM(C3:C20)</f>
        <v/>
      </c>
      <c r="D21" s="9">
        <f>SUM(D3:D20)</f>
        <v/>
      </c>
      <c r="E21" s="9">
        <f>SUM(E3:E20)</f>
        <v/>
      </c>
      <c r="F21" s="9">
        <f>SUM(F3:F20)</f>
        <v/>
      </c>
      <c r="G21" s="9">
        <f>SUM(G3:G20)</f>
        <v/>
      </c>
      <c r="H21" s="9">
        <f>SUM(H3:H20)</f>
        <v/>
      </c>
      <c r="J21" s="9">
        <f>SUM(J3:J20)</f>
        <v/>
      </c>
      <c r="K21" s="9">
        <f>SUM(K3:K20)</f>
        <v/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0">
    <outlinePr summaryBelow="1" summaryRight="1"/>
    <pageSetUpPr/>
  </sheetPr>
  <dimension ref="A1:K21"/>
  <sheetViews>
    <sheetView workbookViewId="0">
      <pane xSplit="1" ySplit="2" topLeftCell="B3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91" min="1" max="1"/>
    <col width="10" customWidth="1" style="91" min="2" max="3"/>
    <col width="12" customWidth="1" style="91" min="4" max="5"/>
    <col width="16" customWidth="1" style="91" min="6" max="7"/>
    <col width="12" customWidth="1" style="91" min="8" max="8"/>
    <col width="2" customWidth="1" style="91" min="9" max="9"/>
    <col width="10" customWidth="1" style="91" min="10" max="11"/>
  </cols>
  <sheetData>
    <row r="1">
      <c r="A1" s="90" t="inlineStr">
        <is>
          <t>Site</t>
        </is>
      </c>
      <c r="B1" s="90" t="inlineStr">
        <is>
          <t>Deployment &amp; Stock</t>
        </is>
      </c>
      <c r="C1" s="92" t="n"/>
      <c r="D1" s="90" t="inlineStr">
        <is>
          <t>Pending Install</t>
        </is>
      </c>
      <c r="E1" s="92" t="n"/>
      <c r="F1" s="90" t="inlineStr">
        <is>
          <t>Peripherals</t>
        </is>
      </c>
      <c r="G1" s="93" t="n"/>
      <c r="H1" s="92" t="n"/>
      <c r="I1" s="5" t="n"/>
      <c r="J1" s="90" t="inlineStr">
        <is>
          <t>Total Sent</t>
        </is>
      </c>
      <c r="K1" s="92" t="n"/>
    </row>
    <row r="2" ht="30" customHeight="1" s="91">
      <c r="A2" s="6" t="n"/>
      <c r="B2" s="6" t="inlineStr">
        <is>
          <t>Neuron</t>
        </is>
      </c>
      <c r="C2" s="6" t="inlineStr">
        <is>
          <t>Cybernet</t>
        </is>
      </c>
      <c r="D2" s="6" t="inlineStr">
        <is>
          <t>Neuron</t>
        </is>
      </c>
      <c r="E2" s="6" t="inlineStr">
        <is>
          <t>Cybernet</t>
        </is>
      </c>
      <c r="F2" s="6" t="inlineStr">
        <is>
          <t>Mouse &amp; Keyboard</t>
        </is>
      </c>
      <c r="G2" s="6" t="inlineStr">
        <is>
          <t>Barcode Scanner</t>
        </is>
      </c>
      <c r="H2" s="6" t="inlineStr">
        <is>
          <t>Tap Badge</t>
        </is>
      </c>
      <c r="I2" s="6" t="n"/>
      <c r="J2" s="6" t="inlineStr">
        <is>
          <t>Neuron</t>
        </is>
      </c>
      <c r="K2" s="6" t="inlineStr">
        <is>
          <t>Cybernet</t>
        </is>
      </c>
    </row>
    <row r="3">
      <c r="A3" s="7" t="inlineStr">
        <is>
          <t>HQ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>
        <f>IFERROR(B3+D3,0)</f>
        <v/>
      </c>
      <c r="K3" s="8">
        <f>IFERROR(C3+E3,0)</f>
        <v/>
      </c>
    </row>
    <row r="4">
      <c r="A4" s="7" t="inlineStr">
        <is>
          <t>GVH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>
        <f>IFERROR(B4+D4,0)</f>
        <v/>
      </c>
      <c r="K4" s="8">
        <f>IFERROR(C4+E4,0)</f>
        <v/>
      </c>
    </row>
    <row r="5">
      <c r="A5" s="7" t="inlineStr">
        <is>
          <t>LHH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>
        <f>IFERROR(B5+D5,0)</f>
        <v/>
      </c>
      <c r="K5" s="8">
        <f>IFERROR(C5+E5,0)</f>
        <v/>
      </c>
    </row>
    <row r="6">
      <c r="A6" s="7" t="inlineStr">
        <is>
          <t>MEETH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>
        <f>IFERROR(B6+D6,0)</f>
        <v/>
      </c>
      <c r="K6" s="8">
        <f>IFERROR(C6+E6,0)</f>
        <v/>
      </c>
    </row>
    <row r="7">
      <c r="A7" s="7" t="inlineStr">
        <is>
          <t>NWH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>
        <f>IFERROR(B7+D7,0)</f>
        <v/>
      </c>
      <c r="K7" s="8">
        <f>IFERROR(C7+E7,0)</f>
        <v/>
      </c>
    </row>
    <row r="8">
      <c r="A8" s="7" t="inlineStr">
        <is>
          <t>PBMC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>
        <f>IFERROR(B8+D8,0)</f>
        <v/>
      </c>
      <c r="K8" s="8">
        <f>IFERROR(C8+E8,0)</f>
        <v/>
      </c>
    </row>
    <row r="9">
      <c r="A9" s="7" t="inlineStr">
        <is>
          <t>PHELPS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>
        <f>IFERROR(B9+D9,0)</f>
        <v/>
      </c>
      <c r="K9" s="8">
        <f>IFERROR(C9+E9,0)</f>
        <v/>
      </c>
    </row>
    <row r="10">
      <c r="A10" s="7" t="inlineStr">
        <is>
          <t>SIUH AMB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>
        <f>IFERROR(B10+D10,0)</f>
        <v/>
      </c>
      <c r="K10" s="8">
        <f>IFERROR(C10+E10,0)</f>
        <v/>
      </c>
    </row>
    <row r="11">
      <c r="A11" s="7" t="inlineStr">
        <is>
          <t>SIUHN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>
        <f>IFERROR(B11+D11,0)</f>
        <v/>
      </c>
      <c r="K11" s="8">
        <f>IFERROR(C11+E11,0)</f>
        <v/>
      </c>
    </row>
    <row r="12">
      <c r="A12" s="7" t="inlineStr">
        <is>
          <t>SIUHS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>
        <f>IFERROR(B12+D12,0)</f>
        <v/>
      </c>
      <c r="K12" s="8">
        <f>IFERROR(C12+E12,0)</f>
        <v/>
      </c>
    </row>
    <row r="13">
      <c r="A13" s="7" t="inlineStr">
        <is>
          <t>FH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>
        <f>IFERROR(B13+D13,0)</f>
        <v/>
      </c>
      <c r="K13" s="8">
        <f>IFERROR(C13+E13,0)</f>
        <v/>
      </c>
    </row>
    <row r="14">
      <c r="A14" s="7" t="inlineStr">
        <is>
          <t>GC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>
        <f>IFERROR(B14+D14,0)</f>
        <v/>
      </c>
      <c r="K14" s="8">
        <f>IFERROR(C14+E14,0)</f>
        <v/>
      </c>
    </row>
    <row r="15">
      <c r="A15" s="7" t="inlineStr">
        <is>
          <t>PL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>
        <f>IFERROR(B15+D15,0)</f>
        <v/>
      </c>
      <c r="K15" s="8">
        <f>IFERROR(C15+E15,0)</f>
        <v/>
      </c>
    </row>
    <row r="16">
      <c r="A16" s="7" t="inlineStr">
        <is>
          <t>SY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>
        <f>IFERROR(B16+D16,0)</f>
        <v/>
      </c>
      <c r="K16" s="8">
        <f>IFERROR(C16+E16,0)</f>
        <v/>
      </c>
    </row>
    <row r="17">
      <c r="A17" s="7" t="inlineStr">
        <is>
          <t>VS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>
        <f>IFERROR(B17+D17,0)</f>
        <v/>
      </c>
      <c r="K17" s="8">
        <f>IFERROR(C17+E17,0)</f>
        <v/>
      </c>
    </row>
    <row r="18">
      <c r="A18" s="7" t="inlineStr">
        <is>
          <t>LII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>
        <f>IFERROR(B18+D18,0)</f>
        <v/>
      </c>
      <c r="K18" s="8">
        <f>IFERROR(C18+E18,0)</f>
        <v/>
      </c>
    </row>
    <row r="19">
      <c r="A19" s="7" t="inlineStr">
        <is>
          <t>NSLIJ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>
        <f>IFERROR(B19+D19,0)</f>
        <v/>
      </c>
      <c r="K19" s="8">
        <f>IFERROR(C19+E19,0)</f>
        <v/>
      </c>
    </row>
    <row r="21">
      <c r="A21" s="9" t="inlineStr">
        <is>
          <t>TOTAL</t>
        </is>
      </c>
      <c r="B21" s="9">
        <f>SUM(B3:B20)</f>
        <v/>
      </c>
      <c r="C21" s="9">
        <f>SUM(C3:C20)</f>
        <v/>
      </c>
      <c r="D21" s="9">
        <f>SUM(D3:D20)</f>
        <v/>
      </c>
      <c r="E21" s="9">
        <f>SUM(E3:E20)</f>
        <v/>
      </c>
      <c r="F21" s="9">
        <f>SUM(F3:F20)</f>
        <v/>
      </c>
      <c r="G21" s="9">
        <f>SUM(G3:G20)</f>
        <v/>
      </c>
      <c r="H21" s="9">
        <f>SUM(H3:H20)</f>
        <v/>
      </c>
      <c r="J21" s="9">
        <f>SUM(J3:J20)</f>
        <v/>
      </c>
      <c r="K21" s="9">
        <f>SUM(K3:K20)</f>
        <v/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1">
    <outlinePr summaryBelow="1" summaryRight="1"/>
    <pageSetUpPr/>
  </sheetPr>
  <dimension ref="A1:K21"/>
  <sheetViews>
    <sheetView workbookViewId="0">
      <pane xSplit="1" ySplit="2" topLeftCell="B3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91" min="1" max="1"/>
    <col width="10" customWidth="1" style="91" min="2" max="3"/>
    <col width="12" customWidth="1" style="91" min="4" max="5"/>
    <col width="16" customWidth="1" style="91" min="6" max="7"/>
    <col width="12" customWidth="1" style="91" min="8" max="8"/>
    <col width="2" customWidth="1" style="91" min="9" max="9"/>
    <col width="10" customWidth="1" style="91" min="10" max="11"/>
  </cols>
  <sheetData>
    <row r="1">
      <c r="A1" s="90" t="inlineStr">
        <is>
          <t>Site</t>
        </is>
      </c>
      <c r="B1" s="90" t="inlineStr">
        <is>
          <t>Deployment &amp; Stock</t>
        </is>
      </c>
      <c r="C1" s="92" t="n"/>
      <c r="D1" s="90" t="inlineStr">
        <is>
          <t>Pending Install</t>
        </is>
      </c>
      <c r="E1" s="92" t="n"/>
      <c r="F1" s="90" t="inlineStr">
        <is>
          <t>Peripherals</t>
        </is>
      </c>
      <c r="G1" s="93" t="n"/>
      <c r="H1" s="92" t="n"/>
      <c r="I1" s="5" t="n"/>
      <c r="J1" s="90" t="inlineStr">
        <is>
          <t>Total Sent</t>
        </is>
      </c>
      <c r="K1" s="92" t="n"/>
    </row>
    <row r="2" ht="30" customHeight="1" s="91">
      <c r="A2" s="6" t="n"/>
      <c r="B2" s="6" t="inlineStr">
        <is>
          <t>Neuron</t>
        </is>
      </c>
      <c r="C2" s="6" t="inlineStr">
        <is>
          <t>Cybernet</t>
        </is>
      </c>
      <c r="D2" s="6" t="inlineStr">
        <is>
          <t>Neuron</t>
        </is>
      </c>
      <c r="E2" s="6" t="inlineStr">
        <is>
          <t>Cybernet</t>
        </is>
      </c>
      <c r="F2" s="6" t="inlineStr">
        <is>
          <t>Mouse &amp; Keyboard</t>
        </is>
      </c>
      <c r="G2" s="6" t="inlineStr">
        <is>
          <t>Barcode Scanner</t>
        </is>
      </c>
      <c r="H2" s="6" t="inlineStr">
        <is>
          <t>Tap Badge</t>
        </is>
      </c>
      <c r="I2" s="6" t="n"/>
      <c r="J2" s="6" t="inlineStr">
        <is>
          <t>Neuron</t>
        </is>
      </c>
      <c r="K2" s="6" t="inlineStr">
        <is>
          <t>Cybernet</t>
        </is>
      </c>
    </row>
    <row r="3">
      <c r="A3" s="7" t="inlineStr">
        <is>
          <t>HQ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>
        <f>IFERROR(B3+D3,0)</f>
        <v/>
      </c>
      <c r="K3" s="8">
        <f>IFERROR(C3+E3,0)</f>
        <v/>
      </c>
    </row>
    <row r="4">
      <c r="A4" s="7" t="inlineStr">
        <is>
          <t>GVH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>
        <f>IFERROR(B4+D4,0)</f>
        <v/>
      </c>
      <c r="K4" s="8">
        <f>IFERROR(C4+E4,0)</f>
        <v/>
      </c>
    </row>
    <row r="5">
      <c r="A5" s="7" t="inlineStr">
        <is>
          <t>LHH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>
        <f>IFERROR(B5+D5,0)</f>
        <v/>
      </c>
      <c r="K5" s="8">
        <f>IFERROR(C5+E5,0)</f>
        <v/>
      </c>
    </row>
    <row r="6">
      <c r="A6" s="7" t="inlineStr">
        <is>
          <t>MEETH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>
        <f>IFERROR(B6+D6,0)</f>
        <v/>
      </c>
      <c r="K6" s="8">
        <f>IFERROR(C6+E6,0)</f>
        <v/>
      </c>
    </row>
    <row r="7">
      <c r="A7" s="7" t="inlineStr">
        <is>
          <t>NWH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>
        <f>IFERROR(B7+D7,0)</f>
        <v/>
      </c>
      <c r="K7" s="8">
        <f>IFERROR(C7+E7,0)</f>
        <v/>
      </c>
    </row>
    <row r="8">
      <c r="A8" s="7" t="inlineStr">
        <is>
          <t>PBMC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>
        <f>IFERROR(B8+D8,0)</f>
        <v/>
      </c>
      <c r="K8" s="8">
        <f>IFERROR(C8+E8,0)</f>
        <v/>
      </c>
    </row>
    <row r="9">
      <c r="A9" s="7" t="inlineStr">
        <is>
          <t>PHELPS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>
        <f>IFERROR(B9+D9,0)</f>
        <v/>
      </c>
      <c r="K9" s="8">
        <f>IFERROR(C9+E9,0)</f>
        <v/>
      </c>
    </row>
    <row r="10">
      <c r="A10" s="7" t="inlineStr">
        <is>
          <t>SIUH AMB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>
        <f>IFERROR(B10+D10,0)</f>
        <v/>
      </c>
      <c r="K10" s="8">
        <f>IFERROR(C10+E10,0)</f>
        <v/>
      </c>
    </row>
    <row r="11">
      <c r="A11" s="7" t="inlineStr">
        <is>
          <t>SIUHN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>
        <f>IFERROR(B11+D11,0)</f>
        <v/>
      </c>
      <c r="K11" s="8">
        <f>IFERROR(C11+E11,0)</f>
        <v/>
      </c>
    </row>
    <row r="12">
      <c r="A12" s="7" t="inlineStr">
        <is>
          <t>SIUHS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>
        <f>IFERROR(B12+D12,0)</f>
        <v/>
      </c>
      <c r="K12" s="8">
        <f>IFERROR(C12+E12,0)</f>
        <v/>
      </c>
    </row>
    <row r="13">
      <c r="A13" s="7" t="inlineStr">
        <is>
          <t>FH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>
        <f>IFERROR(B13+D13,0)</f>
        <v/>
      </c>
      <c r="K13" s="8">
        <f>IFERROR(C13+E13,0)</f>
        <v/>
      </c>
    </row>
    <row r="14">
      <c r="A14" s="7" t="inlineStr">
        <is>
          <t>GC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>
        <f>IFERROR(B14+D14,0)</f>
        <v/>
      </c>
      <c r="K14" s="8">
        <f>IFERROR(C14+E14,0)</f>
        <v/>
      </c>
    </row>
    <row r="15">
      <c r="A15" s="7" t="inlineStr">
        <is>
          <t>PL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>
        <f>IFERROR(B15+D15,0)</f>
        <v/>
      </c>
      <c r="K15" s="8">
        <f>IFERROR(C15+E15,0)</f>
        <v/>
      </c>
    </row>
    <row r="16">
      <c r="A16" s="7" t="inlineStr">
        <is>
          <t>SY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>
        <f>IFERROR(B16+D16,0)</f>
        <v/>
      </c>
      <c r="K16" s="8">
        <f>IFERROR(C16+E16,0)</f>
        <v/>
      </c>
    </row>
    <row r="17">
      <c r="A17" s="7" t="inlineStr">
        <is>
          <t>VS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>
        <f>IFERROR(B17+D17,0)</f>
        <v/>
      </c>
      <c r="K17" s="8">
        <f>IFERROR(C17+E17,0)</f>
        <v/>
      </c>
    </row>
    <row r="18">
      <c r="A18" s="7" t="inlineStr">
        <is>
          <t>LII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>
        <f>IFERROR(B18+D18,0)</f>
        <v/>
      </c>
      <c r="K18" s="8">
        <f>IFERROR(C18+E18,0)</f>
        <v/>
      </c>
    </row>
    <row r="19">
      <c r="A19" s="7" t="inlineStr">
        <is>
          <t>NSLIJ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>
        <f>IFERROR(B19+D19,0)</f>
        <v/>
      </c>
      <c r="K19" s="8">
        <f>IFERROR(C19+E19,0)</f>
        <v/>
      </c>
    </row>
    <row r="21">
      <c r="A21" s="9" t="inlineStr">
        <is>
          <t>TOTAL</t>
        </is>
      </c>
      <c r="B21" s="9">
        <f>SUM(B3:B20)</f>
        <v/>
      </c>
      <c r="C21" s="9">
        <f>SUM(C3:C20)</f>
        <v/>
      </c>
      <c r="D21" s="9">
        <f>SUM(D3:D20)</f>
        <v/>
      </c>
      <c r="E21" s="9">
        <f>SUM(E3:E20)</f>
        <v/>
      </c>
      <c r="F21" s="9">
        <f>SUM(F3:F20)</f>
        <v/>
      </c>
      <c r="G21" s="9">
        <f>SUM(G3:G20)</f>
        <v/>
      </c>
      <c r="H21" s="9">
        <f>SUM(H3:H20)</f>
        <v/>
      </c>
      <c r="J21" s="9">
        <f>SUM(J3:J20)</f>
        <v/>
      </c>
      <c r="K21" s="9">
        <f>SUM(K3:K20)</f>
        <v/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2">
    <outlinePr summaryBelow="1" summaryRight="1"/>
    <pageSetUpPr/>
  </sheetPr>
  <dimension ref="A1:K21"/>
  <sheetViews>
    <sheetView workbookViewId="0">
      <pane xSplit="1" ySplit="2" topLeftCell="B3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91" min="1" max="1"/>
    <col width="10" customWidth="1" style="91" min="2" max="3"/>
    <col width="12" customWidth="1" style="91" min="4" max="5"/>
    <col width="16" customWidth="1" style="91" min="6" max="7"/>
    <col width="12" customWidth="1" style="91" min="8" max="8"/>
    <col width="2" customWidth="1" style="91" min="9" max="9"/>
    <col width="10" customWidth="1" style="91" min="10" max="11"/>
  </cols>
  <sheetData>
    <row r="1">
      <c r="A1" s="90" t="inlineStr">
        <is>
          <t>Site</t>
        </is>
      </c>
      <c r="B1" s="90" t="inlineStr">
        <is>
          <t>Deployment &amp; Stock</t>
        </is>
      </c>
      <c r="C1" s="92" t="n"/>
      <c r="D1" s="90" t="inlineStr">
        <is>
          <t>Pending Install</t>
        </is>
      </c>
      <c r="E1" s="92" t="n"/>
      <c r="F1" s="90" t="inlineStr">
        <is>
          <t>Peripherals</t>
        </is>
      </c>
      <c r="G1" s="93" t="n"/>
      <c r="H1" s="92" t="n"/>
      <c r="I1" s="5" t="n"/>
      <c r="J1" s="90" t="inlineStr">
        <is>
          <t>Total Sent</t>
        </is>
      </c>
      <c r="K1" s="92" t="n"/>
    </row>
    <row r="2" ht="30" customHeight="1" s="91">
      <c r="A2" s="6" t="n"/>
      <c r="B2" s="6" t="inlineStr">
        <is>
          <t>Neuron</t>
        </is>
      </c>
      <c r="C2" s="6" t="inlineStr">
        <is>
          <t>Cybernet</t>
        </is>
      </c>
      <c r="D2" s="6" t="inlineStr">
        <is>
          <t>Neuron</t>
        </is>
      </c>
      <c r="E2" s="6" t="inlineStr">
        <is>
          <t>Cybernet</t>
        </is>
      </c>
      <c r="F2" s="6" t="inlineStr">
        <is>
          <t>Mouse &amp; Keyboard</t>
        </is>
      </c>
      <c r="G2" s="6" t="inlineStr">
        <is>
          <t>Barcode Scanner</t>
        </is>
      </c>
      <c r="H2" s="6" t="inlineStr">
        <is>
          <t>Tap Badge</t>
        </is>
      </c>
      <c r="I2" s="6" t="n"/>
      <c r="J2" s="6" t="inlineStr">
        <is>
          <t>Neuron</t>
        </is>
      </c>
      <c r="K2" s="6" t="inlineStr">
        <is>
          <t>Cybernet</t>
        </is>
      </c>
    </row>
    <row r="3">
      <c r="A3" s="7" t="inlineStr">
        <is>
          <t>HQ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>
        <f>IFERROR(B3+D3,0)</f>
        <v/>
      </c>
      <c r="K3" s="8">
        <f>IFERROR(C3+E3,0)</f>
        <v/>
      </c>
    </row>
    <row r="4">
      <c r="A4" s="7" t="inlineStr">
        <is>
          <t>GVH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>
        <f>IFERROR(B4+D4,0)</f>
        <v/>
      </c>
      <c r="K4" s="8">
        <f>IFERROR(C4+E4,0)</f>
        <v/>
      </c>
    </row>
    <row r="5">
      <c r="A5" s="7" t="inlineStr">
        <is>
          <t>LHH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>
        <f>IFERROR(B5+D5,0)</f>
        <v/>
      </c>
      <c r="K5" s="8">
        <f>IFERROR(C5+E5,0)</f>
        <v/>
      </c>
    </row>
    <row r="6">
      <c r="A6" s="7" t="inlineStr">
        <is>
          <t>MEETH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>
        <f>IFERROR(B6+D6,0)</f>
        <v/>
      </c>
      <c r="K6" s="8">
        <f>IFERROR(C6+E6,0)</f>
        <v/>
      </c>
    </row>
    <row r="7">
      <c r="A7" s="7" t="inlineStr">
        <is>
          <t>NWH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>
        <f>IFERROR(B7+D7,0)</f>
        <v/>
      </c>
      <c r="K7" s="8">
        <f>IFERROR(C7+E7,0)</f>
        <v/>
      </c>
    </row>
    <row r="8">
      <c r="A8" s="7" t="inlineStr">
        <is>
          <t>PBMC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>
        <f>IFERROR(B8+D8,0)</f>
        <v/>
      </c>
      <c r="K8" s="8">
        <f>IFERROR(C8+E8,0)</f>
        <v/>
      </c>
    </row>
    <row r="9">
      <c r="A9" s="7" t="inlineStr">
        <is>
          <t>PHELPS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>
        <f>IFERROR(B9+D9,0)</f>
        <v/>
      </c>
      <c r="K9" s="8">
        <f>IFERROR(C9+E9,0)</f>
        <v/>
      </c>
    </row>
    <row r="10">
      <c r="A10" s="7" t="inlineStr">
        <is>
          <t>SIUH AMB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>
        <f>IFERROR(B10+D10,0)</f>
        <v/>
      </c>
      <c r="K10" s="8">
        <f>IFERROR(C10+E10,0)</f>
        <v/>
      </c>
    </row>
    <row r="11">
      <c r="A11" s="7" t="inlineStr">
        <is>
          <t>SIUHN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>
        <f>IFERROR(B11+D11,0)</f>
        <v/>
      </c>
      <c r="K11" s="8">
        <f>IFERROR(C11+E11,0)</f>
        <v/>
      </c>
    </row>
    <row r="12">
      <c r="A12" s="7" t="inlineStr">
        <is>
          <t>SIUHS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>
        <f>IFERROR(B12+D12,0)</f>
        <v/>
      </c>
      <c r="K12" s="8">
        <f>IFERROR(C12+E12,0)</f>
        <v/>
      </c>
    </row>
    <row r="13">
      <c r="A13" s="7" t="inlineStr">
        <is>
          <t>FH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>
        <f>IFERROR(B13+D13,0)</f>
        <v/>
      </c>
      <c r="K13" s="8">
        <f>IFERROR(C13+E13,0)</f>
        <v/>
      </c>
    </row>
    <row r="14">
      <c r="A14" s="7" t="inlineStr">
        <is>
          <t>GC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>
        <f>IFERROR(B14+D14,0)</f>
        <v/>
      </c>
      <c r="K14" s="8">
        <f>IFERROR(C14+E14,0)</f>
        <v/>
      </c>
    </row>
    <row r="15">
      <c r="A15" s="7" t="inlineStr">
        <is>
          <t>PL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>
        <f>IFERROR(B15+D15,0)</f>
        <v/>
      </c>
      <c r="K15" s="8">
        <f>IFERROR(C15+E15,0)</f>
        <v/>
      </c>
    </row>
    <row r="16">
      <c r="A16" s="7" t="inlineStr">
        <is>
          <t>SY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>
        <f>IFERROR(B16+D16,0)</f>
        <v/>
      </c>
      <c r="K16" s="8">
        <f>IFERROR(C16+E16,0)</f>
        <v/>
      </c>
    </row>
    <row r="17">
      <c r="A17" s="7" t="inlineStr">
        <is>
          <t>VS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>
        <f>IFERROR(B17+D17,0)</f>
        <v/>
      </c>
      <c r="K17" s="8">
        <f>IFERROR(C17+E17,0)</f>
        <v/>
      </c>
    </row>
    <row r="18">
      <c r="A18" s="7" t="inlineStr">
        <is>
          <t>LII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>
        <f>IFERROR(B18+D18,0)</f>
        <v/>
      </c>
      <c r="K18" s="8">
        <f>IFERROR(C18+E18,0)</f>
        <v/>
      </c>
    </row>
    <row r="19">
      <c r="A19" s="7" t="inlineStr">
        <is>
          <t>NSLIJ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>
        <f>IFERROR(B19+D19,0)</f>
        <v/>
      </c>
      <c r="K19" s="8">
        <f>IFERROR(C19+E19,0)</f>
        <v/>
      </c>
    </row>
    <row r="21">
      <c r="A21" s="9" t="inlineStr">
        <is>
          <t>TOTAL</t>
        </is>
      </c>
      <c r="B21" s="9">
        <f>SUM(B3:B20)</f>
        <v/>
      </c>
      <c r="C21" s="9">
        <f>SUM(C3:C20)</f>
        <v/>
      </c>
      <c r="D21" s="9">
        <f>SUM(D3:D20)</f>
        <v/>
      </c>
      <c r="E21" s="9">
        <f>SUM(E3:E20)</f>
        <v/>
      </c>
      <c r="F21" s="9">
        <f>SUM(F3:F20)</f>
        <v/>
      </c>
      <c r="G21" s="9">
        <f>SUM(G3:G20)</f>
        <v/>
      </c>
      <c r="H21" s="9">
        <f>SUM(H3:H20)</f>
        <v/>
      </c>
      <c r="J21" s="9">
        <f>SUM(J3:J20)</f>
        <v/>
      </c>
      <c r="K21" s="9">
        <f>SUM(K3:K20)</f>
        <v/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3">
    <outlinePr summaryBelow="1" summaryRight="1"/>
    <pageSetUpPr/>
  </sheetPr>
  <dimension ref="A1:K21"/>
  <sheetViews>
    <sheetView workbookViewId="0">
      <pane xSplit="1" ySplit="2" topLeftCell="B3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91" min="1" max="1"/>
    <col width="10" customWidth="1" style="91" min="2" max="3"/>
    <col width="12" customWidth="1" style="91" min="4" max="5"/>
    <col width="16" customWidth="1" style="91" min="6" max="7"/>
    <col width="12" customWidth="1" style="91" min="8" max="8"/>
    <col width="2" customWidth="1" style="91" min="9" max="9"/>
    <col width="10" customWidth="1" style="91" min="10" max="11"/>
  </cols>
  <sheetData>
    <row r="1">
      <c r="A1" s="90" t="inlineStr">
        <is>
          <t>Site</t>
        </is>
      </c>
      <c r="B1" s="90" t="inlineStr">
        <is>
          <t>Deployment &amp; Stock</t>
        </is>
      </c>
      <c r="C1" s="92" t="n"/>
      <c r="D1" s="90" t="inlineStr">
        <is>
          <t>Pending Install</t>
        </is>
      </c>
      <c r="E1" s="92" t="n"/>
      <c r="F1" s="90" t="inlineStr">
        <is>
          <t>Peripherals</t>
        </is>
      </c>
      <c r="G1" s="93" t="n"/>
      <c r="H1" s="92" t="n"/>
      <c r="I1" s="5" t="n"/>
      <c r="J1" s="90" t="inlineStr">
        <is>
          <t>Total Sent</t>
        </is>
      </c>
      <c r="K1" s="92" t="n"/>
    </row>
    <row r="2" ht="30" customHeight="1" s="91">
      <c r="A2" s="6" t="n"/>
      <c r="B2" s="6" t="inlineStr">
        <is>
          <t>Neuron</t>
        </is>
      </c>
      <c r="C2" s="6" t="inlineStr">
        <is>
          <t>Cybernet</t>
        </is>
      </c>
      <c r="D2" s="6" t="inlineStr">
        <is>
          <t>Neuron</t>
        </is>
      </c>
      <c r="E2" s="6" t="inlineStr">
        <is>
          <t>Cybernet</t>
        </is>
      </c>
      <c r="F2" s="6" t="inlineStr">
        <is>
          <t>Mouse &amp; Keyboard</t>
        </is>
      </c>
      <c r="G2" s="6" t="inlineStr">
        <is>
          <t>Barcode Scanner</t>
        </is>
      </c>
      <c r="H2" s="6" t="inlineStr">
        <is>
          <t>Tap Badge</t>
        </is>
      </c>
      <c r="I2" s="6" t="n"/>
      <c r="J2" s="6" t="inlineStr">
        <is>
          <t>Neuron</t>
        </is>
      </c>
      <c r="K2" s="6" t="inlineStr">
        <is>
          <t>Cybernet</t>
        </is>
      </c>
    </row>
    <row r="3">
      <c r="A3" s="7" t="inlineStr">
        <is>
          <t>HQ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>
        <f>IFERROR(B3+D3,0)</f>
        <v/>
      </c>
      <c r="K3" s="8">
        <f>IFERROR(C3+E3,0)</f>
        <v/>
      </c>
    </row>
    <row r="4">
      <c r="A4" s="7" t="inlineStr">
        <is>
          <t>GVH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>
        <f>IFERROR(B4+D4,0)</f>
        <v/>
      </c>
      <c r="K4" s="8">
        <f>IFERROR(C4+E4,0)</f>
        <v/>
      </c>
    </row>
    <row r="5">
      <c r="A5" s="7" t="inlineStr">
        <is>
          <t>LHH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>
        <f>IFERROR(B5+D5,0)</f>
        <v/>
      </c>
      <c r="K5" s="8">
        <f>IFERROR(C5+E5,0)</f>
        <v/>
      </c>
    </row>
    <row r="6">
      <c r="A6" s="7" t="inlineStr">
        <is>
          <t>MEETH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>
        <f>IFERROR(B6+D6,0)</f>
        <v/>
      </c>
      <c r="K6" s="8">
        <f>IFERROR(C6+E6,0)</f>
        <v/>
      </c>
    </row>
    <row r="7">
      <c r="A7" s="7" t="inlineStr">
        <is>
          <t>NWH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>
        <f>IFERROR(B7+D7,0)</f>
        <v/>
      </c>
      <c r="K7" s="8">
        <f>IFERROR(C7+E7,0)</f>
        <v/>
      </c>
    </row>
    <row r="8">
      <c r="A8" s="7" t="inlineStr">
        <is>
          <t>PBMC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>
        <f>IFERROR(B8+D8,0)</f>
        <v/>
      </c>
      <c r="K8" s="8">
        <f>IFERROR(C8+E8,0)</f>
        <v/>
      </c>
    </row>
    <row r="9">
      <c r="A9" s="7" t="inlineStr">
        <is>
          <t>PHELPS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>
        <f>IFERROR(B9+D9,0)</f>
        <v/>
      </c>
      <c r="K9" s="8">
        <f>IFERROR(C9+E9,0)</f>
        <v/>
      </c>
    </row>
    <row r="10">
      <c r="A10" s="7" t="inlineStr">
        <is>
          <t>SIUH AMB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>
        <f>IFERROR(B10+D10,0)</f>
        <v/>
      </c>
      <c r="K10" s="8">
        <f>IFERROR(C10+E10,0)</f>
        <v/>
      </c>
    </row>
    <row r="11">
      <c r="A11" s="7" t="inlineStr">
        <is>
          <t>SIUHN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>
        <f>IFERROR(B11+D11,0)</f>
        <v/>
      </c>
      <c r="K11" s="8">
        <f>IFERROR(C11+E11,0)</f>
        <v/>
      </c>
    </row>
    <row r="12">
      <c r="A12" s="7" t="inlineStr">
        <is>
          <t>SIUHS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>
        <f>IFERROR(B12+D12,0)</f>
        <v/>
      </c>
      <c r="K12" s="8">
        <f>IFERROR(C12+E12,0)</f>
        <v/>
      </c>
    </row>
    <row r="13">
      <c r="A13" s="7" t="inlineStr">
        <is>
          <t>FH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>
        <f>IFERROR(B13+D13,0)</f>
        <v/>
      </c>
      <c r="K13" s="8">
        <f>IFERROR(C13+E13,0)</f>
        <v/>
      </c>
    </row>
    <row r="14">
      <c r="A14" s="7" t="inlineStr">
        <is>
          <t>GC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>
        <f>IFERROR(B14+D14,0)</f>
        <v/>
      </c>
      <c r="K14" s="8">
        <f>IFERROR(C14+E14,0)</f>
        <v/>
      </c>
    </row>
    <row r="15">
      <c r="A15" s="7" t="inlineStr">
        <is>
          <t>PL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>
        <f>IFERROR(B15+D15,0)</f>
        <v/>
      </c>
      <c r="K15" s="8">
        <f>IFERROR(C15+E15,0)</f>
        <v/>
      </c>
    </row>
    <row r="16">
      <c r="A16" s="7" t="inlineStr">
        <is>
          <t>SY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>
        <f>IFERROR(B16+D16,0)</f>
        <v/>
      </c>
      <c r="K16" s="8">
        <f>IFERROR(C16+E16,0)</f>
        <v/>
      </c>
    </row>
    <row r="17">
      <c r="A17" s="7" t="inlineStr">
        <is>
          <t>VS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>
        <f>IFERROR(B17+D17,0)</f>
        <v/>
      </c>
      <c r="K17" s="8">
        <f>IFERROR(C17+E17,0)</f>
        <v/>
      </c>
    </row>
    <row r="18">
      <c r="A18" s="7" t="inlineStr">
        <is>
          <t>LII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>
        <f>IFERROR(B18+D18,0)</f>
        <v/>
      </c>
      <c r="K18" s="8">
        <f>IFERROR(C18+E18,0)</f>
        <v/>
      </c>
    </row>
    <row r="19">
      <c r="A19" s="7" t="inlineStr">
        <is>
          <t>NSLIJ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>
        <f>IFERROR(B19+D19,0)</f>
        <v/>
      </c>
      <c r="K19" s="8">
        <f>IFERROR(C19+E19,0)</f>
        <v/>
      </c>
    </row>
    <row r="21">
      <c r="A21" s="9" t="inlineStr">
        <is>
          <t>TOTAL</t>
        </is>
      </c>
      <c r="B21" s="9">
        <f>SUM(B3:B20)</f>
        <v/>
      </c>
      <c r="C21" s="9">
        <f>SUM(C3:C20)</f>
        <v/>
      </c>
      <c r="D21" s="9">
        <f>SUM(D3:D20)</f>
        <v/>
      </c>
      <c r="E21" s="9">
        <f>SUM(E3:E20)</f>
        <v/>
      </c>
      <c r="F21" s="9">
        <f>SUM(F3:F20)</f>
        <v/>
      </c>
      <c r="G21" s="9">
        <f>SUM(G3:G20)</f>
        <v/>
      </c>
      <c r="H21" s="9">
        <f>SUM(H3:H20)</f>
        <v/>
      </c>
      <c r="J21" s="9">
        <f>SUM(J3:J20)</f>
        <v/>
      </c>
      <c r="K21" s="9">
        <f>SUM(K3:K20)</f>
        <v/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24">
    <tabColor theme="5" tint="0.5999938962981048"/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E6" sqref="E6"/>
    </sheetView>
  </sheetViews>
  <sheetFormatPr baseColWidth="8" defaultRowHeight="15"/>
  <cols>
    <col width="12" customWidth="1" style="91" min="1" max="1"/>
    <col width="18" customWidth="1" style="91" min="2" max="2"/>
    <col width="40" customWidth="1" style="91" min="3" max="3"/>
    <col width="12" customWidth="1" style="91" min="4" max="4"/>
    <col width="10" customWidth="1" style="91" min="5" max="5"/>
    <col width="16" customWidth="1" style="91" min="6" max="6"/>
    <col width="14" customWidth="1" style="91" min="7" max="8"/>
    <col width="12" customWidth="1" style="91" min="9" max="9"/>
    <col width="14" customWidth="1" style="91" min="10" max="10"/>
    <col width="28" customWidth="1" style="91" min="11" max="11"/>
  </cols>
  <sheetData>
    <row r="1" ht="30" customHeight="1" s="91">
      <c r="A1" s="90" t="inlineStr">
        <is>
          <t>Phase</t>
        </is>
      </c>
      <c r="B1" s="90" t="inlineStr">
        <is>
          <t>Step</t>
        </is>
      </c>
      <c r="C1" s="90" t="inlineStr">
        <is>
          <t>Batch Size</t>
        </is>
      </c>
      <c r="D1" s="90" t="inlineStr">
        <is>
          <t>Device Type</t>
        </is>
      </c>
      <c r="E1" s="90" t="inlineStr">
        <is>
          <t>Planned Minutes</t>
        </is>
      </c>
      <c r="F1" s="90" t="inlineStr">
        <is>
          <t>Actual Minutes</t>
        </is>
      </c>
      <c r="G1" s="90" t="inlineStr">
        <is>
          <t>Tech</t>
        </is>
      </c>
      <c r="H1" s="90" t="inlineStr">
        <is>
          <t>Site</t>
        </is>
      </c>
      <c r="I1" s="90" t="inlineStr">
        <is>
          <t>Wave/PO</t>
        </is>
      </c>
      <c r="J1" s="90" t="inlineStr">
        <is>
          <t>In Storage - Located</t>
        </is>
      </c>
      <c r="K1" s="90" t="inlineStr">
        <is>
          <t>Notes</t>
        </is>
      </c>
    </row>
    <row r="2" ht="30" customHeight="1" s="91">
      <c r="A2" s="3" t="n"/>
      <c r="B2" s="4" t="inlineStr">
        <is>
          <t>In Storage - Unknown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30.75" customHeight="1" s="91">
      <c r="A3" s="3" t="n"/>
      <c r="B3" s="4" t="inlineStr">
        <is>
          <t>Acknowledged with Tim, Steve, and Akbar that a complete count isn't possible until we organize the warehouse</t>
        </is>
      </c>
      <c r="C3" s="4" t="inlineStr">
        <is>
          <t>Firmware Configuration</t>
        </is>
      </c>
      <c r="D3" s="4" t="n"/>
      <c r="E3" s="4" t="n"/>
      <c r="F3" s="4" t="n"/>
      <c r="G3" s="4" t="n"/>
      <c r="H3" s="4" t="n"/>
      <c r="I3" s="4" t="n"/>
      <c r="J3" s="4" t="n"/>
      <c r="K3" s="4" t="n"/>
    </row>
    <row r="4" ht="30.75" customHeight="1" s="91">
      <c r="A4" s="3" t="n"/>
      <c r="B4" s="4" t="inlineStr">
        <is>
          <t>App Installation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30" customHeight="1" s="91">
      <c r="A5" s="3" t="n"/>
      <c r="B5" s="4" t="inlineStr">
        <is>
          <t>Epic Beans Configuration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30.75" customHeight="1" s="91">
      <c r="A6" s="3" t="n"/>
      <c r="B6" s="4" t="inlineStr">
        <is>
          <t>Deployment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27.75" customHeight="1" s="91">
      <c r="A7" s="3" t="n"/>
      <c r="B7" s="4" t="inlineStr">
        <is>
          <t>Deliveries: Orchestrate with Chris, Marvin, Bonita, Aamir, and Aatif</t>
        </is>
      </c>
      <c r="C7" s="4" t="inlineStr">
        <is>
          <t>Go-Live</t>
        </is>
      </c>
      <c r="D7" s="4" t="n"/>
      <c r="E7" s="4" t="n"/>
      <c r="F7" s="4" t="n"/>
      <c r="G7" s="4" t="n"/>
      <c r="H7" s="4" t="n"/>
      <c r="I7" s="4" t="n"/>
      <c r="J7" s="4" t="n"/>
      <c r="K7" s="4" t="n"/>
    </row>
    <row r="8" ht="45" customHeight="1" s="91">
      <c r="A8" s="3" t="n"/>
      <c r="B8" s="4" t="inlineStr">
        <is>
          <t>Marvin delivers equipment next Friday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3" t="n"/>
      <c r="B9" s="4" t="n"/>
      <c r="C9" s="4" t="inlineStr">
        <is>
          <t>Team configures devices</t>
        </is>
      </c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3" t="n"/>
      <c r="B10" s="4" t="n"/>
      <c r="C10" s="4" t="inlineStr">
        <is>
          <t>Team deploys devices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3" t="n"/>
      <c r="B11" s="4" t="n"/>
      <c r="C11" s="4" t="inlineStr">
        <is>
          <t>Scott's 1 Marcus Petition Outline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3" t="n"/>
      <c r="B12" s="4" t="n"/>
      <c r="C12" s="4" t="inlineStr">
        <is>
          <t>Ascertaining the 1 Marcus Count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3" t="n"/>
      <c r="B13" s="4" t="n"/>
      <c r="C13" s="4" t="inlineStr">
        <is>
          <t>Discern Cable Types for each Site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3" t="n"/>
      <c r="B14" s="4" t="n"/>
      <c r="C14" s="4" t="inlineStr">
        <is>
          <t>Ahead of Wave 3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27.75" customHeight="1" s="91">
      <c r="A15" s="3" t="inlineStr">
        <is>
          <t>Procurement</t>
        </is>
      </c>
      <c r="B15" s="4" t="inlineStr">
        <is>
          <t>Ascertain the stock necessary for deployments</t>
        </is>
      </c>
      <c r="C15" s="4" t="inlineStr">
        <is>
          <t>Dashboard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3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3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3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3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3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3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3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3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3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3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3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3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3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3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3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3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3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3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3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3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3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3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3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3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3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3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3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3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3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3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3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3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3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3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3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3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3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3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3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3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3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3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3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3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3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3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3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3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3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3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3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3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3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3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3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3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3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3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3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3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3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3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3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3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3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3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3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3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3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3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3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3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3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3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3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3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>
      <c r="A104" s="3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3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A106" s="3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>
      <c r="A107" s="3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>
      <c r="A108" s="3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>
      <c r="A109" s="3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>
      <c r="A110" s="3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>
      <c r="A111" s="3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>
      <c r="A112" s="3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A113" s="3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>
      <c r="A114" s="3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>
      <c r="A115" s="3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>
      <c r="A116" s="3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>
      <c r="A117" s="3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18">
      <c r="A118" s="3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>
      <c r="A119" s="3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>
      <c r="A120" s="3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>
      <c r="A121" s="3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>
      <c r="A122" s="3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>
      <c r="A123" s="3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>
      <c r="A124" s="3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>
      <c r="A125" s="3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>
      <c r="A126" s="3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>
      <c r="A127" s="3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>
      <c r="A128" s="3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>
      <c r="A129" s="3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>
      <c r="A130" s="3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>
      <c r="A131" s="3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>
      <c r="A132" s="3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</row>
    <row r="133">
      <c r="A133" s="3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</row>
    <row r="134">
      <c r="A134" s="3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>
      <c r="A135" s="3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>
      <c r="A136" s="3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>
      <c r="A137" s="3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</row>
    <row r="138">
      <c r="A138" s="3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>
      <c r="A139" s="3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</row>
    <row r="140">
      <c r="A140" s="3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>
      <c r="A141" s="3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</row>
    <row r="142">
      <c r="A142" s="3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>
      <c r="A143" s="3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>
      <c r="A144" s="3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>
      <c r="A145" s="3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>
      <c r="A146" s="3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</row>
    <row r="147">
      <c r="A147" s="3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>
      <c r="A148" s="3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>
      <c r="A149" s="3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>
      <c r="A150" s="3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</row>
    <row r="151">
      <c r="A151" s="3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</row>
    <row r="152">
      <c r="A152" s="3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</row>
    <row r="153">
      <c r="A153" s="3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</row>
    <row r="154">
      <c r="A154" s="3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>
      <c r="A155" s="3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</row>
    <row r="156">
      <c r="A156" s="3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>
      <c r="A157" s="3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</row>
    <row r="158">
      <c r="A158" s="3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>
      <c r="A159" s="3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>
      <c r="A160" s="3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>
      <c r="A161" s="3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>
      <c r="A162" s="3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>
      <c r="A163" s="3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>
      <c r="A164" s="3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>
      <c r="A165" s="3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</row>
    <row r="166">
      <c r="A166" s="3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>
      <c r="A167" s="3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</row>
    <row r="168">
      <c r="A168" s="3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>
      <c r="A169" s="3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0">
      <c r="A170" s="3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>
      <c r="A171" s="3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>
      <c r="A172" s="3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>
      <c r="A173" s="3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>
      <c r="A174" s="3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>
      <c r="A175" s="3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</row>
    <row r="176">
      <c r="A176" s="3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>
      <c r="A177" s="3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</row>
    <row r="178">
      <c r="A178" s="3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>
      <c r="A179" s="3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>
      <c r="A180" s="3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>
      <c r="A181" s="3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</row>
    <row r="182">
      <c r="A182" s="3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>
      <c r="A183" s="3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>
      <c r="A184" s="3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>
      <c r="A185" s="3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</row>
    <row r="186">
      <c r="A186" s="3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>
      <c r="A187" s="3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>
      <c r="A188" s="3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</row>
    <row r="189">
      <c r="A189" s="3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</row>
    <row r="190">
      <c r="A190" s="3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</row>
    <row r="191">
      <c r="A191" s="3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</row>
    <row r="192">
      <c r="A192" s="3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</row>
    <row r="193">
      <c r="A193" s="3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</row>
    <row r="194">
      <c r="A194" s="3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</row>
    <row r="195">
      <c r="A195" s="3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6">
      <c r="A196" s="3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</row>
    <row r="197">
      <c r="A197" s="3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</row>
    <row r="198">
      <c r="A198" s="3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</row>
    <row r="199">
      <c r="A199" s="3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 codeName="Sheet25"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style="91" min="1" max="1"/>
    <col width="12" customWidth="1" style="91" min="2" max="2"/>
    <col width="14" customWidth="1" style="91" min="3" max="6"/>
  </cols>
  <sheetData>
    <row r="1" ht="21" customHeight="1" s="91">
      <c r="A1" s="1" t="inlineStr">
        <is>
          <t>Units Sent by Wave/PO</t>
        </is>
      </c>
    </row>
    <row r="3">
      <c r="A3" s="10" t="inlineStr">
        <is>
          <t>Neuron Sent</t>
        </is>
      </c>
    </row>
    <row r="4" ht="30" customHeight="1" s="91">
      <c r="A4" s="90" t="inlineStr">
        <is>
          <t>Wave/PO</t>
        </is>
      </c>
      <c r="B4" s="90" t="inlineStr">
        <is>
          <t>Cybernet Sent</t>
        </is>
      </c>
      <c r="C4" s="90" t="inlineStr">
        <is>
          <t>Mouse&amp;KB</t>
        </is>
      </c>
      <c r="D4" s="90" t="inlineStr">
        <is>
          <t>Tap Badges</t>
        </is>
      </c>
      <c r="E4" s="90" t="inlineStr">
        <is>
          <t>Scanners</t>
        </is>
      </c>
      <c r="F4" s="90" t="inlineStr">
        <is>
          <t>WAVE_1</t>
        </is>
      </c>
    </row>
    <row r="5">
      <c r="A5" s="7" t="inlineStr">
        <is>
          <t>WAVE_2</t>
        </is>
      </c>
      <c r="B5" s="8">
        <f>IFERROR(INDEX('20_WAVE_1'!J:J, MATCH("TOTAL", '20_WAVE_1'!A:A, 0)),0)</f>
        <v/>
      </c>
      <c r="C5" s="8">
        <f>IFERROR(INDEX('20_WAVE_1'!K:K, MATCH("TOTAL", '20_WAVE_1'!A:A, 0)),0)</f>
        <v/>
      </c>
      <c r="D5" s="8">
        <f>IFERROR(INDEX('20_WAVE_1'!F:F, MATCH("TOTAL", '20_WAVE_1'!A:A, 0)),0)</f>
        <v/>
      </c>
      <c r="E5" s="8">
        <f>IFERROR(INDEX('20_WAVE_1'!G:G, MATCH("TOTAL", '20_WAVE_1'!A:A, 0)),0)</f>
        <v/>
      </c>
      <c r="F5" s="8">
        <f>IFERROR(INDEX('20_WAVE_1'!H:H, MATCH("TOTAL", '20_WAVE_1'!A:A, 0)),0)</f>
        <v/>
      </c>
    </row>
    <row r="6">
      <c r="A6" s="7" t="inlineStr">
        <is>
          <t>PO_CDW</t>
        </is>
      </c>
      <c r="B6" s="8">
        <f>IFERROR(INDEX('21_WAVE_2'!J:J, MATCH("TOTAL", '21_WAVE_2'!A:A, 0)),0)</f>
        <v/>
      </c>
      <c r="C6" s="8">
        <f>IFERROR(INDEX('21_WAVE_2'!K:K, MATCH("TOTAL", '21_WAVE_2'!A:A, 0)),0)</f>
        <v/>
      </c>
      <c r="D6" s="8">
        <f>IFERROR(INDEX('21_WAVE_2'!F:F, MATCH("TOTAL", '21_WAVE_2'!A:A, 0)),0)</f>
        <v/>
      </c>
      <c r="E6" s="8">
        <f>IFERROR(INDEX('21_WAVE_2'!G:G, MATCH("TOTAL", '21_WAVE_2'!A:A, 0)),0)</f>
        <v/>
      </c>
      <c r="F6" s="8">
        <f>IFERROR(INDEX('21_WAVE_2'!H:H, MATCH("TOTAL", '21_WAVE_2'!A:A, 0)),0)</f>
        <v/>
      </c>
    </row>
    <row r="7">
      <c r="A7" s="7" t="inlineStr">
        <is>
          <t>SPARES</t>
        </is>
      </c>
      <c r="B7" s="8">
        <f>IFERROR(INDEX('22_PO_CDW'!J:J, MATCH("TOTAL", '22_PO_CDW'!A:A, 0)),0)</f>
        <v/>
      </c>
      <c r="C7" s="8">
        <f>IFERROR(INDEX('22_PO_CDW'!K:K, MATCH("TOTAL", '22_PO_CDW'!A:A, 0)),0)</f>
        <v/>
      </c>
      <c r="D7" s="8">
        <f>IFERROR(INDEX('22_PO_CDW'!F:F, MATCH("TOTAL", '22_PO_CDW'!A:A, 0)),0)</f>
        <v/>
      </c>
      <c r="E7" s="8">
        <f>IFERROR(INDEX('22_PO_CDW'!G:G, MATCH("TOTAL", '22_PO_CDW'!A:A, 0)),0)</f>
        <v/>
      </c>
      <c r="F7" s="8">
        <f>IFERROR(INDEX('22_PO_CDW'!H:H, MATCH("TOTAL", '22_PO_CDW'!A:A, 0)),0)</f>
        <v/>
      </c>
    </row>
    <row r="8">
      <c r="A8" s="7" t="inlineStr">
        <is>
          <t>ADDONS</t>
        </is>
      </c>
      <c r="B8" s="8">
        <f>IFERROR(INDEX('23_SPARES'!J:J, MATCH("TOTAL", '23_SPARES'!A:A, 0)),0)</f>
        <v/>
      </c>
      <c r="C8" s="8">
        <f>IFERROR(INDEX('23_SPARES'!K:K, MATCH("TOTAL", '23_SPARES'!A:A, 0)),0)</f>
        <v/>
      </c>
      <c r="D8" s="8">
        <f>IFERROR(INDEX('23_SPARES'!F:F, MATCH("TOTAL", '23_SPARES'!A:A, 0)),0)</f>
        <v/>
      </c>
      <c r="E8" s="8">
        <f>IFERROR(INDEX('23_SPARES'!G:G, MATCH("TOTAL", '23_SPARES'!A:A, 0)),0)</f>
        <v/>
      </c>
      <c r="F8" s="8">
        <f>IFERROR(INDEX('23_SPARES'!H:H, MATCH("TOTAL", '23_SPARES'!A:A, 0)),0)</f>
        <v/>
      </c>
    </row>
    <row r="9">
      <c r="A9" s="7" t="inlineStr">
        <is>
          <t>Device Readiness — Blocker Counts (from 15_Device_Configuration)</t>
        </is>
      </c>
      <c r="B9" s="8">
        <f>IFERROR(INDEX('24_ADDONS'!J:J, MATCH("TOTAL", '24_ADDONS'!A:A, 0)),0)</f>
        <v/>
      </c>
      <c r="C9" s="8">
        <f>IFERROR(INDEX('24_ADDONS'!K:K, MATCH("TOTAL", '24_ADDONS'!A:A, 0)),0)</f>
        <v/>
      </c>
      <c r="D9" s="8">
        <f>IFERROR(INDEX('24_ADDONS'!F:F, MATCH("TOTAL", '24_ADDONS'!A:A, 0)),0)</f>
        <v/>
      </c>
      <c r="E9" s="8">
        <f>IFERROR(INDEX('24_ADDONS'!G:G, MATCH("TOTAL", '24_ADDONS'!A:A, 0)),0)</f>
        <v/>
      </c>
      <c r="F9" s="8">
        <f>IFERROR(INDEX('24_ADDONS'!H:H, MATCH("TOTAL", '24_ADDONS'!A:A, 0)),0)</f>
        <v/>
      </c>
    </row>
    <row r="13">
      <c r="A13" s="10" t="inlineStr">
        <is>
          <t>Blocker</t>
        </is>
      </c>
    </row>
    <row r="14">
      <c r="A14" s="90" t="inlineStr">
        <is>
          <t>Power Cable</t>
        </is>
      </c>
      <c r="B14" s="90" t="inlineStr">
        <is>
          <t>Count</t>
        </is>
      </c>
    </row>
    <row r="15">
      <c r="A15" s="7" t="inlineStr">
        <is>
          <t>Battery</t>
        </is>
      </c>
      <c r="B15" s="8">
        <f t="array" ref="B15">SUMPRODUCT((Deployments!$Y$2:$Z$514&lt;&gt;"")*(Deployments!$BB$2:$BU$514&lt;&gt;"Yes")*(Deployments!$BB$2:$BU$514&lt;&gt;"N/A"))</f>
        <v/>
      </c>
    </row>
    <row r="16">
      <c r="A16" s="7" t="inlineStr">
        <is>
          <t>Firmware Download</t>
        </is>
      </c>
      <c r="B16" s="8">
        <f t="array" ref="B16">SUMPRODUCT((Deployments!$Y$2:$Z$514&lt;&gt;"")*(Deployments!$BR$2:$BX$514&lt;&gt;"Yes")*(Deployments!$BR$2:$BX$514&lt;&gt;"N/A"))</f>
        <v/>
      </c>
    </row>
    <row r="17">
      <c r="A17" s="7" t="inlineStr">
        <is>
          <t>Firmware Install</t>
        </is>
      </c>
      <c r="B17" s="8">
        <f t="array" ref="B17">SUMPRODUCT((Deployments!$Y$2:$Z$514&lt;&gt;"")*(Deployments!$BZ$2:$BZ$514&lt;&gt;"Yes")*(Deployments!$BZ$2:$BZ$514&lt;&gt;"N/A"))</f>
        <v/>
      </c>
    </row>
    <row r="18">
      <c r="A18" s="7" t="inlineStr">
        <is>
          <t>Device ID</t>
        </is>
      </c>
      <c r="B18" s="8">
        <f t="array" ref="B18">SUMPRODUCT((Deployments!$Y$2:$Z$514&lt;&gt;"")*(Deployments!$BZ$2:$BZ$514="Yes")*(Deployments!$AD$2:$CA$514&lt;&gt;"Yes")*(Deployments!$AD$2:$CA$514&lt;&gt;"N/A"))</f>
        <v/>
      </c>
    </row>
    <row r="19">
      <c r="A19" s="7" t="inlineStr">
        <is>
          <t>Epic Beans Relay</t>
        </is>
      </c>
      <c r="B19" s="8">
        <f t="array" ref="B19">SUMPRODUCT((Deployments!$Y$2:$Z$514&lt;&gt;"")*(Deployments!$CA$2:$CE$514&lt;&gt;"Yes")*(Deployments!$CA$2:$CE$514&lt;&gt;"N/A"))</f>
        <v/>
      </c>
    </row>
    <row r="20">
      <c r="A20" s="7" t="inlineStr">
        <is>
          <t>Ready (No Blockers)</t>
        </is>
      </c>
      <c r="B20" s="8">
        <f t="array" ref="B20">SUMPRODUCT((Deployments!$Y$2:$Z$514&lt;&gt;"")*(Deployments!$CB$2:$CS$514&lt;&gt;"Yes")*(Deployments!$CB$2:$CS$514&lt;&gt;"N/A"))</f>
        <v/>
      </c>
    </row>
    <row r="21">
      <c r="A21" s="7" t="inlineStr">
        <is>
          <t>Cutover / Go-Live Validation Checklist (from training PDF)</t>
        </is>
      </c>
      <c r="B21" s="8">
        <f>COUNTIF(Deployments!CD2:CP514,"Yes")</f>
        <v/>
      </c>
    </row>
  </sheetData>
  <dataValidations count="1">
    <dataValidation sqref="A6:A9 A13 A16:A21 C5:C9 D5:D9 E5:E9 F5:F9" showDropDown="0" showInputMessage="1" showErrorMessage="1" allowBlank="1" errorTitle="Automated field, foo 🤡" error="Skedaddle 💨. Don't overwrite formulas 😄" type="custom">
      <formula1>FALSE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codeName="Sheet26"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G3" sqref="G3"/>
    </sheetView>
  </sheetViews>
  <sheetFormatPr baseColWidth="8" defaultRowHeight="15"/>
  <cols>
    <col width="18" customWidth="1" style="91" min="1" max="1"/>
    <col width="66" customWidth="1" style="91" min="2" max="2"/>
    <col width="18" customWidth="1" style="91" min="3" max="3"/>
    <col width="12" customWidth="1" style="91" min="4" max="4"/>
    <col width="16" customWidth="1" style="91" min="5" max="5"/>
    <col width="14" customWidth="1" style="91" min="6" max="6"/>
    <col width="30" customWidth="1" style="91" min="7" max="7"/>
  </cols>
  <sheetData>
    <row r="1" ht="18.75" customHeight="1" s="91">
      <c r="A1" s="11" t="inlineStr">
        <is>
          <t>Checklist Item</t>
        </is>
      </c>
    </row>
    <row r="3" ht="30" customHeight="1" s="91">
      <c r="A3" s="90" t="inlineStr">
        <is>
          <t>Step</t>
        </is>
      </c>
      <c r="B3" s="90" t="inlineStr">
        <is>
          <t>Applies To</t>
        </is>
      </c>
      <c r="C3" s="90" t="inlineStr">
        <is>
          <t>Status</t>
        </is>
      </c>
      <c r="D3" s="90" t="inlineStr">
        <is>
          <t>Validated By</t>
        </is>
      </c>
      <c r="E3" s="90" t="inlineStr">
        <is>
          <t>Validated Date</t>
        </is>
      </c>
      <c r="F3" s="90" t="inlineStr">
        <is>
          <t>Power connection stable; confirm power status icon (steady green LED).</t>
        </is>
      </c>
      <c r="G3" s="90" t="inlineStr">
        <is>
          <t>Notes</t>
        </is>
      </c>
    </row>
    <row r="4" ht="150" customHeight="1" s="91">
      <c r="A4" s="8" t="inlineStr">
        <is>
          <t>Neuron</t>
        </is>
      </c>
      <c r="B4" s="4" t="inlineStr">
        <is>
          <t>Not Started</t>
        </is>
      </c>
      <c r="C4" s="8" t="inlineStr">
        <is>
          <t>Neuron</t>
        </is>
      </c>
      <c r="D4" s="8" t="inlineStr">
        <is>
          <t>Network connected; verify network icon (no red X); confirm cable in yellow network port.</t>
        </is>
      </c>
      <c r="E4" s="8" t="n"/>
      <c r="F4" s="12" t="n"/>
      <c r="G4" s="4" t="n"/>
    </row>
    <row r="5" ht="30" customHeight="1" s="91">
      <c r="A5" s="8" t="inlineStr">
        <is>
          <t>Neuron</t>
        </is>
      </c>
      <c r="B5" s="4" t="inlineStr">
        <is>
          <t>If network lost: verify wall jack; relabel jack as Neuron; update documentation.</t>
        </is>
      </c>
      <c r="C5" s="8" t="inlineStr">
        <is>
          <t>Neuron</t>
        </is>
      </c>
      <c r="D5" s="8" t="inlineStr">
        <is>
          <t>Network connected; verify network icon (no red X); confirm cable in yellow network port.</t>
        </is>
      </c>
      <c r="E5" s="8" t="n"/>
      <c r="F5" s="12" t="n"/>
      <c r="G5" s="4" t="n"/>
    </row>
    <row r="6" ht="30" customHeight="1" s="91">
      <c r="A6" s="8" t="inlineStr">
        <is>
          <t>Neuron</t>
        </is>
      </c>
      <c r="B6" s="4" t="inlineStr">
        <is>
          <t>Connect Neuron to server via Service Mode &gt; Reassign Server; verify server name displayed.</t>
        </is>
      </c>
      <c r="C6" s="8" t="inlineStr">
        <is>
          <t>Neuron</t>
        </is>
      </c>
      <c r="D6" s="8" t="inlineStr">
        <is>
          <t>Network connected; verify network icon (no red X); confirm cable in yellow network port.</t>
        </is>
      </c>
      <c r="E6" s="8" t="n"/>
      <c r="F6" s="12" t="n"/>
      <c r="G6" s="4" t="n"/>
    </row>
    <row r="7" ht="30" customHeight="1" s="91">
      <c r="A7" s="8" t="inlineStr">
        <is>
          <t>Neuron</t>
        </is>
      </c>
      <c r="B7" s="4" t="inlineStr">
        <is>
          <t>Test network connection via Service Mode &gt; Maintenance Tool.</t>
        </is>
      </c>
      <c r="C7" s="8" t="inlineStr">
        <is>
          <t>Neuron</t>
        </is>
      </c>
      <c r="D7" s="8" t="inlineStr">
        <is>
          <t>Network connected; verify network icon (no red X); confirm cable in yellow network port.</t>
        </is>
      </c>
      <c r="E7" s="8" t="n"/>
      <c r="F7" s="12" t="n"/>
      <c r="G7" s="4" t="n"/>
    </row>
    <row r="8" ht="150" customHeight="1" s="91">
      <c r="A8" s="8" t="inlineStr">
        <is>
          <t>Neuron</t>
        </is>
      </c>
      <c r="B8" s="4" t="inlineStr">
        <is>
          <t>If new Neuron needs firmware naming: provide Location, MAC, Serial, Connected Devices to Server Team.</t>
        </is>
      </c>
      <c r="C8" s="8" t="inlineStr">
        <is>
          <t>Neuron</t>
        </is>
      </c>
      <c r="D8" s="8" t="inlineStr">
        <is>
          <t>Network connected; verify network icon (no red X); confirm cable in yellow network port.</t>
        </is>
      </c>
      <c r="E8" s="8" t="n"/>
      <c r="F8" s="12" t="n"/>
      <c r="G8" s="4" t="n"/>
    </row>
    <row r="9" ht="30" customHeight="1" s="91">
      <c r="A9" s="8" t="inlineStr">
        <is>
          <t>Neuron</t>
        </is>
      </c>
      <c r="B9" s="4" t="inlineStr">
        <is>
          <t>Install Prep</t>
        </is>
      </c>
      <c r="C9" s="8" t="inlineStr">
        <is>
          <t>Neuron</t>
        </is>
      </c>
      <c r="D9" s="8" t="inlineStr">
        <is>
          <t>Network connected; verify network icon (no red X); confirm cable in yellow network port.</t>
        </is>
      </c>
      <c r="E9" s="8" t="n"/>
      <c r="F9" s="12" t="n"/>
      <c r="G9" s="4" t="n"/>
    </row>
    <row r="10" ht="45" customHeight="1" s="91">
      <c r="A10" s="8" t="inlineStr">
        <is>
          <t>Bring required items: Neuron, Power Brick, Medical Grade Power Cable, DIM, DIM Patch Cable, DB9/DB15, USB-to-Serial (if needed), Network Cable (15ft min).</t>
        </is>
      </c>
      <c r="B10" s="4" t="inlineStr">
        <is>
          <t>Install</t>
        </is>
      </c>
      <c r="C10" s="8" t="inlineStr">
        <is>
          <t>Neuron</t>
        </is>
      </c>
      <c r="D10" s="8" t="inlineStr">
        <is>
          <t>Network connected; verify network icon (no red X); confirm cable in yellow network port.</t>
        </is>
      </c>
      <c r="E10" s="8" t="n"/>
      <c r="F10" s="12" t="n"/>
      <c r="G10" s="4" t="n"/>
    </row>
    <row r="11" ht="30" customHeight="1" s="91">
      <c r="A11" s="8" t="inlineStr">
        <is>
          <t>Ensure Biomed + Anesthesia staff present for installation steps involving anesthesia machine patching.</t>
        </is>
      </c>
      <c r="B11" s="4" t="inlineStr">
        <is>
          <t>Neuron/Cybernet</t>
        </is>
      </c>
      <c r="C11" s="8" t="inlineStr">
        <is>
          <t>Integration</t>
        </is>
      </c>
      <c r="D11" s="8" t="inlineStr">
        <is>
          <t>Network connected; verify network icon (no red X); confirm cable in yellow network port.</t>
        </is>
      </c>
      <c r="E11" s="8" t="n"/>
      <c r="F11" s="12" t="n"/>
      <c r="G11" s="4" t="n"/>
    </row>
    <row r="12" ht="30" customHeight="1" s="91">
      <c r="A12" s="8" t="inlineStr">
        <is>
          <t>Confirm port assignments (Patient Monitor=1, Anesthesia Machine=2, Hemosphere=3, BIS=4, Nonin=5, Other=6).</t>
        </is>
      </c>
      <c r="B12" s="4" t="inlineStr">
        <is>
          <t>Troubleshooting</t>
        </is>
      </c>
      <c r="C12" s="8" t="inlineStr">
        <is>
          <t>Neuron</t>
        </is>
      </c>
      <c r="D12" s="8" t="inlineStr">
        <is>
          <t>Network connected; verify network icon (no red X); confirm cable in yellow network port.</t>
        </is>
      </c>
      <c r="E12" s="8" t="n"/>
      <c r="F12" s="12" t="n"/>
      <c r="G12" s="4" t="n"/>
    </row>
    <row r="13" ht="30" customHeight="1" s="91">
      <c r="A13" s="8" t="inlineStr">
        <is>
          <t>If device data not transmitting: verify device power, Neuron patch cable, DIM, serial cable, USB-to-Serial if needed.</t>
        </is>
      </c>
      <c r="B13" s="4" t="inlineStr">
        <is>
          <t>Standard Tasks</t>
        </is>
      </c>
      <c r="C13" s="8" t="inlineStr">
        <is>
          <t>Neuron</t>
        </is>
      </c>
      <c r="D13" s="8" t="inlineStr">
        <is>
          <t>Network connected; verify network icon (no red X); confirm cable in yellow network port.</t>
        </is>
      </c>
      <c r="E13" s="8" t="n"/>
      <c r="F13" s="12" t="n"/>
      <c r="G13" s="4" t="n"/>
    </row>
    <row r="14" ht="30" customHeight="1" s="91">
      <c r="A14" s="8" t="inlineStr">
        <is>
          <t>Cable management: route/secure/label cables for patient monitor, anesthesia machine, Hemosphere, bedside monitor.</t>
        </is>
      </c>
      <c r="B14" s="4" t="inlineStr">
        <is>
          <t>Both</t>
        </is>
      </c>
      <c r="C14" s="8" t="inlineStr">
        <is>
          <t>Neuron setup: power on, confirm network, program/config if needed, position correctly.</t>
        </is>
      </c>
      <c r="D14" s="8" t="inlineStr">
        <is>
          <t>Network connected; verify network icon (no red X); confirm cable in yellow network port.</t>
        </is>
      </c>
      <c r="E14" s="8" t="n"/>
      <c r="F14" s="12" t="n"/>
      <c r="G14" s="4" t="n"/>
    </row>
    <row r="15" ht="30" customHeight="1" s="91">
      <c r="A15" s="8" t="inlineStr">
        <is>
          <t>Cable management: route/secure/label cables for patient monitor, anesthesia machine, Hemosphere, bedside monitor.</t>
        </is>
      </c>
      <c r="B15" s="4" t="inlineStr">
        <is>
          <t>Cybernet setup: orientation (portrait/landscape), network connection, mouse/keyboard function.</t>
        </is>
      </c>
      <c r="C15" s="8" t="inlineStr">
        <is>
          <t>Neuron</t>
        </is>
      </c>
      <c r="D15" s="8" t="inlineStr">
        <is>
          <t>Network connected; verify network icon (no red X); confirm cable in yellow network port.</t>
        </is>
      </c>
      <c r="E15" s="8" t="n"/>
      <c r="F15" s="12" t="n"/>
      <c r="G15" s="4" t="n"/>
    </row>
    <row r="16" ht="30" customHeight="1" s="91">
      <c r="A16" s="8" t="inlineStr">
        <is>
          <t>Cable management: route/secure/label cables for patient monitor, anesthesia machine, Hemosphere, bedside monitor.</t>
        </is>
      </c>
      <c r="B16" s="4" t="inlineStr">
        <is>
          <t>Cybernet power options: display never; sleep never (Control Panel → Power Options).</t>
        </is>
      </c>
      <c r="C16" s="8" t="inlineStr">
        <is>
          <t>Cybernet</t>
        </is>
      </c>
      <c r="D16" s="8" t="inlineStr">
        <is>
          <t>Network connected; verify network icon (no red X); confirm cable in yellow network port.</t>
        </is>
      </c>
      <c r="E16" s="8" t="n"/>
      <c r="F16" s="12" t="n"/>
      <c r="G16" s="4" t="n"/>
    </row>
    <row r="17" ht="30" customHeight="1" s="91">
      <c r="A17" s="8" t="inlineStr">
        <is>
          <t>Cable management: route/secure/label cables for patient monitor, anesthesia machine, Hemosphere, bedside monitor.</t>
        </is>
      </c>
      <c r="B17" s="4" t="inlineStr">
        <is>
          <t>Verify barcode scanner connection and test functionality.</t>
        </is>
      </c>
      <c r="C17" s="8" t="inlineStr">
        <is>
          <t>Cybernet</t>
        </is>
      </c>
      <c r="D17" s="8" t="inlineStr">
        <is>
          <t>Network connected; verify network icon (no red X); confirm cable in yellow network port.</t>
        </is>
      </c>
      <c r="E17" s="8" t="n"/>
      <c r="F17" s="12" t="n"/>
      <c r="G17" s="4" t="n"/>
    </row>
    <row r="18" ht="150" customHeight="1" s="91">
      <c r="A18" s="8" t="inlineStr">
        <is>
          <t>Cable management: route/secure/label cables for patient monitor, anesthesia machine, Hemosphere, bedside monitor.</t>
        </is>
      </c>
      <c r="B18" s="4" t="inlineStr">
        <is>
          <t>Cutover Night</t>
        </is>
      </c>
      <c r="C18" s="8" t="inlineStr">
        <is>
          <t>Cybernet</t>
        </is>
      </c>
      <c r="D18" s="8" t="inlineStr">
        <is>
          <t>Network connected; verify network icon (no red X); confirm cable in yellow network port.</t>
        </is>
      </c>
      <c r="E18" s="8" t="n"/>
      <c r="F18" s="12" t="n"/>
      <c r="G18" s="4" t="n"/>
    </row>
    <row r="19" ht="30" customHeight="1" s="91">
      <c r="A19" s="8" t="inlineStr">
        <is>
          <t>Bomgar remote support: obtain session key, allow control, send simulated vitals for Epic validation.</t>
        </is>
      </c>
      <c r="B19" s="4" t="inlineStr">
        <is>
          <t>Site Readiness Matrix (Red/Yellow/Green)</t>
        </is>
      </c>
      <c r="C19" s="8" t="inlineStr">
        <is>
          <t>Cybernet</t>
        </is>
      </c>
      <c r="D19" s="8" t="inlineStr">
        <is>
          <t>Network connected; verify network icon (no red X); confirm cable in yellow network port.</t>
        </is>
      </c>
      <c r="E19" s="8" t="n"/>
      <c r="F19" s="12" t="n"/>
      <c r="G19" s="4" t="n"/>
    </row>
  </sheetData>
  <dataValidations count="1">
    <dataValidation sqref="D4:D2000" showDropDown="0" showInputMessage="0" showErrorMessage="0" allowBlank="1" type="list">
      <formula1>"Not Started,In Progress,Blocked,Done,N/A"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 codeName="Sheet27">
    <outlinePr summaryBelow="1" summaryRight="1"/>
    <pageSetUpPr/>
  </sheetPr>
  <dimension ref="A1:H20"/>
  <sheetViews>
    <sheetView workbookViewId="0">
      <pane xSplit="1" ySplit="3" topLeftCell="B4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8" customWidth="1" style="91" min="1" max="1"/>
    <col width="16" customWidth="1" style="91" min="2" max="3"/>
    <col width="20" customWidth="1" style="91" min="4" max="4"/>
    <col width="16" customWidth="1" style="91" min="5" max="5"/>
    <col width="18" customWidth="1" style="91" min="6" max="6"/>
    <col width="22" customWidth="1" style="91" min="7" max="7"/>
    <col width="34" customWidth="1" style="91" min="8" max="8"/>
  </cols>
  <sheetData>
    <row r="1" ht="18.75" customHeight="1" s="91">
      <c r="A1" s="11" t="inlineStr">
        <is>
          <t>Access/BADGE</t>
        </is>
      </c>
    </row>
    <row r="3" ht="30" customHeight="1" s="91">
      <c r="A3" s="90" t="inlineStr">
        <is>
          <t>Site</t>
        </is>
      </c>
      <c r="B3" s="90" t="inlineStr">
        <is>
          <t>Staging Area</t>
        </is>
      </c>
      <c r="C3" s="90" t="inlineStr">
        <is>
          <t>2 Network Ports Active</t>
        </is>
      </c>
      <c r="D3" s="90" t="inlineStr">
        <is>
          <t>2 Power Outlets</t>
        </is>
      </c>
      <c r="E3" s="90" t="inlineStr">
        <is>
          <t>Biomed Scheduled</t>
        </is>
      </c>
      <c r="F3" s="90" t="inlineStr">
        <is>
          <t>Anesthesia Tech Scheduled</t>
        </is>
      </c>
      <c r="G3" s="90" t="inlineStr">
        <is>
          <t>Yellow</t>
        </is>
      </c>
      <c r="H3" s="90" t="inlineStr">
        <is>
          <t>Notes</t>
        </is>
      </c>
    </row>
    <row r="4" ht="75" customHeight="1" s="91">
      <c r="A4" s="8" t="inlineStr">
        <is>
          <t>HQ</t>
        </is>
      </c>
      <c r="B4" s="8" t="inlineStr">
        <is>
          <t>Formula Library (auto-extracted from your ReConnect trackers)</t>
        </is>
      </c>
      <c r="C4" s="8" t="inlineStr">
        <is>
          <t>Formula Library (auto-extracted from your ReConnect trackers)</t>
        </is>
      </c>
      <c r="D4" s="8" t="inlineStr">
        <is>
          <t>Formula Library (auto-extracted from your ReConnect trackers)</t>
        </is>
      </c>
      <c r="E4" s="8" t="inlineStr">
        <is>
          <t>Formula Library (auto-extracted from your ReConnect trackers)</t>
        </is>
      </c>
      <c r="F4" s="8" t="inlineStr">
        <is>
          <t>Formula Library (auto-extracted from your ReConnect trackers)</t>
        </is>
      </c>
      <c r="G4" s="8" t="inlineStr">
        <is>
          <t>Formula Library (auto-extracted from your ReConnect trackers)</t>
        </is>
      </c>
      <c r="H4" s="4" t="n"/>
    </row>
    <row r="5" ht="75" customHeight="1" s="91">
      <c r="A5" s="8" t="inlineStr">
        <is>
          <t>GVH</t>
        </is>
      </c>
      <c r="B5" s="8" t="inlineStr">
        <is>
          <t>Formula Library (auto-extracted from your ReConnect trackers)</t>
        </is>
      </c>
      <c r="C5" s="8" t="inlineStr">
        <is>
          <t>Formula Library (auto-extracted from your ReConnect trackers)</t>
        </is>
      </c>
      <c r="D5" s="8" t="inlineStr">
        <is>
          <t>Formula Library (auto-extracted from your ReConnect trackers)</t>
        </is>
      </c>
      <c r="E5" s="8" t="inlineStr">
        <is>
          <t>Formula Library (auto-extracted from your ReConnect trackers)</t>
        </is>
      </c>
      <c r="F5" s="8" t="inlineStr">
        <is>
          <t>Formula Library (auto-extracted from your ReConnect trackers)</t>
        </is>
      </c>
      <c r="G5" s="8" t="inlineStr">
        <is>
          <t>Formula Library (auto-extracted from your ReConnect trackers)</t>
        </is>
      </c>
      <c r="H5" s="4" t="n"/>
    </row>
    <row r="6" ht="75" customHeight="1" s="91">
      <c r="A6" s="8" t="inlineStr">
        <is>
          <t>LHH</t>
        </is>
      </c>
      <c r="B6" s="8" t="inlineStr">
        <is>
          <t>Formula Library (auto-extracted from your ReConnect trackers)</t>
        </is>
      </c>
      <c r="C6" s="8" t="inlineStr">
        <is>
          <t>Formula Library (auto-extracted from your ReConnect trackers)</t>
        </is>
      </c>
      <c r="D6" s="8" t="inlineStr">
        <is>
          <t>Formula Library (auto-extracted from your ReConnect trackers)</t>
        </is>
      </c>
      <c r="E6" s="8" t="inlineStr">
        <is>
          <t>Formula Library (auto-extracted from your ReConnect trackers)</t>
        </is>
      </c>
      <c r="F6" s="8" t="inlineStr">
        <is>
          <t>Formula Library (auto-extracted from your ReConnect trackers)</t>
        </is>
      </c>
      <c r="G6" s="8" t="inlineStr">
        <is>
          <t>Formula Library (auto-extracted from your ReConnect trackers)</t>
        </is>
      </c>
      <c r="H6" s="4" t="n"/>
    </row>
    <row r="7" ht="75" customHeight="1" s="91">
      <c r="A7" s="8" t="inlineStr">
        <is>
          <t>MEETH</t>
        </is>
      </c>
      <c r="B7" s="8" t="inlineStr">
        <is>
          <t>Formula Library (auto-extracted from your ReConnect trackers)</t>
        </is>
      </c>
      <c r="C7" s="8" t="inlineStr">
        <is>
          <t>Formula Library (auto-extracted from your ReConnect trackers)</t>
        </is>
      </c>
      <c r="D7" s="8" t="inlineStr">
        <is>
          <t>Formula Library (auto-extracted from your ReConnect trackers)</t>
        </is>
      </c>
      <c r="E7" s="8" t="inlineStr">
        <is>
          <t>Formula Library (auto-extracted from your ReConnect trackers)</t>
        </is>
      </c>
      <c r="F7" s="8" t="inlineStr">
        <is>
          <t>Formula Library (auto-extracted from your ReConnect trackers)</t>
        </is>
      </c>
      <c r="G7" s="8" t="inlineStr">
        <is>
          <t>Formula Library (auto-extracted from your ReConnect trackers)</t>
        </is>
      </c>
      <c r="H7" s="4" t="n"/>
    </row>
    <row r="8" ht="75" customHeight="1" s="91">
      <c r="A8" s="8" t="inlineStr">
        <is>
          <t>NWH</t>
        </is>
      </c>
      <c r="B8" s="8" t="inlineStr">
        <is>
          <t>Formula Library (auto-extracted from your ReConnect trackers)</t>
        </is>
      </c>
      <c r="C8" s="8" t="inlineStr">
        <is>
          <t>Formula Library (auto-extracted from your ReConnect trackers)</t>
        </is>
      </c>
      <c r="D8" s="8" t="inlineStr">
        <is>
          <t>Formula Library (auto-extracted from your ReConnect trackers)</t>
        </is>
      </c>
      <c r="E8" s="8" t="inlineStr">
        <is>
          <t>Formula Library (auto-extracted from your ReConnect trackers)</t>
        </is>
      </c>
      <c r="F8" s="8" t="inlineStr">
        <is>
          <t>Formula Library (auto-extracted from your ReConnect trackers)</t>
        </is>
      </c>
      <c r="G8" s="8" t="inlineStr">
        <is>
          <t>Formula Library (auto-extracted from your ReConnect trackers)</t>
        </is>
      </c>
      <c r="H8" s="4" t="n"/>
    </row>
    <row r="9" ht="75" customHeight="1" s="91">
      <c r="A9" s="8" t="inlineStr">
        <is>
          <t>PBMC</t>
        </is>
      </c>
      <c r="B9" s="8" t="inlineStr">
        <is>
          <t>Formula Library (auto-extracted from your ReConnect trackers)</t>
        </is>
      </c>
      <c r="C9" s="8" t="inlineStr">
        <is>
          <t>Formula Library (auto-extracted from your ReConnect trackers)</t>
        </is>
      </c>
      <c r="D9" s="8" t="inlineStr">
        <is>
          <t>Formula Library (auto-extracted from your ReConnect trackers)</t>
        </is>
      </c>
      <c r="E9" s="8" t="inlineStr">
        <is>
          <t>Formula Library (auto-extracted from your ReConnect trackers)</t>
        </is>
      </c>
      <c r="F9" s="8" t="inlineStr">
        <is>
          <t>Formula Library (auto-extracted from your ReConnect trackers)</t>
        </is>
      </c>
      <c r="G9" s="8" t="inlineStr">
        <is>
          <t>Formula Library (auto-extracted from your ReConnect trackers)</t>
        </is>
      </c>
      <c r="H9" s="4" t="n"/>
    </row>
    <row r="10" ht="75" customHeight="1" s="91">
      <c r="A10" s="8" t="inlineStr">
        <is>
          <t>PHELPS</t>
        </is>
      </c>
      <c r="B10" s="8" t="inlineStr">
        <is>
          <t>Formula Library (auto-extracted from your ReConnect trackers)</t>
        </is>
      </c>
      <c r="C10" s="8" t="inlineStr">
        <is>
          <t>Formula Library (auto-extracted from your ReConnect trackers)</t>
        </is>
      </c>
      <c r="D10" s="8" t="inlineStr">
        <is>
          <t>Formula Library (auto-extracted from your ReConnect trackers)</t>
        </is>
      </c>
      <c r="E10" s="8" t="inlineStr">
        <is>
          <t>Formula Library (auto-extracted from your ReConnect trackers)</t>
        </is>
      </c>
      <c r="F10" s="8" t="inlineStr">
        <is>
          <t>Formula Library (auto-extracted from your ReConnect trackers)</t>
        </is>
      </c>
      <c r="G10" s="8" t="inlineStr">
        <is>
          <t>Formula Library (auto-extracted from your ReConnect trackers)</t>
        </is>
      </c>
      <c r="H10" s="4" t="n"/>
    </row>
    <row r="11" ht="75" customHeight="1" s="91">
      <c r="A11" s="8" t="inlineStr">
        <is>
          <t>SIUH AMB</t>
        </is>
      </c>
      <c r="B11" s="8" t="inlineStr">
        <is>
          <t>Formula Library (auto-extracted from your ReConnect trackers)</t>
        </is>
      </c>
      <c r="C11" s="8" t="inlineStr">
        <is>
          <t>Formula Library (auto-extracted from your ReConnect trackers)</t>
        </is>
      </c>
      <c r="D11" s="8" t="inlineStr">
        <is>
          <t>Formula Library (auto-extracted from your ReConnect trackers)</t>
        </is>
      </c>
      <c r="E11" s="8" t="inlineStr">
        <is>
          <t>Formula Library (auto-extracted from your ReConnect trackers)</t>
        </is>
      </c>
      <c r="F11" s="8" t="inlineStr">
        <is>
          <t>Formula Library (auto-extracted from your ReConnect trackers)</t>
        </is>
      </c>
      <c r="G11" s="8" t="inlineStr">
        <is>
          <t>Formula Library (auto-extracted from your ReConnect trackers)</t>
        </is>
      </c>
      <c r="H11" s="4" t="n"/>
    </row>
    <row r="12" ht="75" customHeight="1" s="91">
      <c r="A12" s="8" t="inlineStr">
        <is>
          <t>SIUHN</t>
        </is>
      </c>
      <c r="B12" s="8" t="inlineStr">
        <is>
          <t>Formula Library (auto-extracted from your ReConnect trackers)</t>
        </is>
      </c>
      <c r="C12" s="8" t="inlineStr">
        <is>
          <t>Formula Library (auto-extracted from your ReConnect trackers)</t>
        </is>
      </c>
      <c r="D12" s="8" t="inlineStr">
        <is>
          <t>Formula Library (auto-extracted from your ReConnect trackers)</t>
        </is>
      </c>
      <c r="E12" s="8" t="inlineStr">
        <is>
          <t>Formula Library (auto-extracted from your ReConnect trackers)</t>
        </is>
      </c>
      <c r="F12" s="8" t="inlineStr">
        <is>
          <t>Formula Library (auto-extracted from your ReConnect trackers)</t>
        </is>
      </c>
      <c r="G12" s="8" t="inlineStr">
        <is>
          <t>Formula Library (auto-extracted from your ReConnect trackers)</t>
        </is>
      </c>
      <c r="H12" s="4" t="n"/>
    </row>
    <row r="13" ht="75" customHeight="1" s="91">
      <c r="A13" s="8" t="inlineStr">
        <is>
          <t>SIUHS</t>
        </is>
      </c>
      <c r="B13" s="8" t="inlineStr">
        <is>
          <t>Formula Library (auto-extracted from your ReConnect trackers)</t>
        </is>
      </c>
      <c r="C13" s="8" t="inlineStr">
        <is>
          <t>Formula Library (auto-extracted from your ReConnect trackers)</t>
        </is>
      </c>
      <c r="D13" s="8" t="inlineStr">
        <is>
          <t>Formula Library (auto-extracted from your ReConnect trackers)</t>
        </is>
      </c>
      <c r="E13" s="8" t="inlineStr">
        <is>
          <t>Formula Library (auto-extracted from your ReConnect trackers)</t>
        </is>
      </c>
      <c r="F13" s="8" t="inlineStr">
        <is>
          <t>Formula Library (auto-extracted from your ReConnect trackers)</t>
        </is>
      </c>
      <c r="G13" s="8" t="inlineStr">
        <is>
          <t>Formula Library (auto-extracted from your ReConnect trackers)</t>
        </is>
      </c>
      <c r="H13" s="4" t="n"/>
    </row>
    <row r="14" ht="75" customHeight="1" s="91">
      <c r="A14" s="8" t="inlineStr">
        <is>
          <t>FH</t>
        </is>
      </c>
      <c r="B14" s="8" t="inlineStr">
        <is>
          <t>Formula Library (auto-extracted from your ReConnect trackers)</t>
        </is>
      </c>
      <c r="C14" s="8" t="inlineStr">
        <is>
          <t>Formula Library (auto-extracted from your ReConnect trackers)</t>
        </is>
      </c>
      <c r="D14" s="8" t="inlineStr">
        <is>
          <t>Formula Library (auto-extracted from your ReConnect trackers)</t>
        </is>
      </c>
      <c r="E14" s="8" t="inlineStr">
        <is>
          <t>Formula Library (auto-extracted from your ReConnect trackers)</t>
        </is>
      </c>
      <c r="F14" s="8" t="inlineStr">
        <is>
          <t>Formula Library (auto-extracted from your ReConnect trackers)</t>
        </is>
      </c>
      <c r="G14" s="8" t="inlineStr">
        <is>
          <t>Formula Library (auto-extracted from your ReConnect trackers)</t>
        </is>
      </c>
      <c r="H14" s="4" t="n"/>
    </row>
    <row r="15" ht="75" customHeight="1" s="91">
      <c r="A15" s="8" t="inlineStr">
        <is>
          <t>GC</t>
        </is>
      </c>
      <c r="B15" s="8" t="inlineStr">
        <is>
          <t>Formula Library (auto-extracted from your ReConnect trackers)</t>
        </is>
      </c>
      <c r="C15" s="8" t="inlineStr">
        <is>
          <t>Formula Library (auto-extracted from your ReConnect trackers)</t>
        </is>
      </c>
      <c r="D15" s="8" t="inlineStr">
        <is>
          <t>Formula Library (auto-extracted from your ReConnect trackers)</t>
        </is>
      </c>
      <c r="E15" s="8" t="inlineStr">
        <is>
          <t>Formula Library (auto-extracted from your ReConnect trackers)</t>
        </is>
      </c>
      <c r="F15" s="8" t="inlineStr">
        <is>
          <t>Formula Library (auto-extracted from your ReConnect trackers)</t>
        </is>
      </c>
      <c r="G15" s="8" t="inlineStr">
        <is>
          <t>Formula Library (auto-extracted from your ReConnect trackers)</t>
        </is>
      </c>
      <c r="H15" s="4" t="n"/>
    </row>
    <row r="16" ht="75" customHeight="1" s="91">
      <c r="A16" s="8" t="inlineStr">
        <is>
          <t>PL</t>
        </is>
      </c>
      <c r="B16" s="8" t="inlineStr">
        <is>
          <t>Formula Library (auto-extracted from your ReConnect trackers)</t>
        </is>
      </c>
      <c r="C16" s="8" t="inlineStr">
        <is>
          <t>Formula Library (auto-extracted from your ReConnect trackers)</t>
        </is>
      </c>
      <c r="D16" s="8" t="inlineStr">
        <is>
          <t>Formula Library (auto-extracted from your ReConnect trackers)</t>
        </is>
      </c>
      <c r="E16" s="8" t="inlineStr">
        <is>
          <t>Formula Library (auto-extracted from your ReConnect trackers)</t>
        </is>
      </c>
      <c r="F16" s="8" t="inlineStr">
        <is>
          <t>Formula Library (auto-extracted from your ReConnect trackers)</t>
        </is>
      </c>
      <c r="G16" s="8" t="inlineStr">
        <is>
          <t>Formula Library (auto-extracted from your ReConnect trackers)</t>
        </is>
      </c>
      <c r="H16" s="4" t="n"/>
    </row>
    <row r="17" ht="75" customHeight="1" s="91">
      <c r="A17" s="8" t="inlineStr">
        <is>
          <t>SY</t>
        </is>
      </c>
      <c r="B17" s="8" t="inlineStr">
        <is>
          <t>Formula Library (auto-extracted from your ReConnect trackers)</t>
        </is>
      </c>
      <c r="C17" s="8" t="inlineStr">
        <is>
          <t>Formula Library (auto-extracted from your ReConnect trackers)</t>
        </is>
      </c>
      <c r="D17" s="8" t="inlineStr">
        <is>
          <t>Formula Library (auto-extracted from your ReConnect trackers)</t>
        </is>
      </c>
      <c r="E17" s="8" t="inlineStr">
        <is>
          <t>Formula Library (auto-extracted from your ReConnect trackers)</t>
        </is>
      </c>
      <c r="F17" s="8" t="inlineStr">
        <is>
          <t>Formula Library (auto-extracted from your ReConnect trackers)</t>
        </is>
      </c>
      <c r="G17" s="8" t="inlineStr">
        <is>
          <t>Formula Library (auto-extracted from your ReConnect trackers)</t>
        </is>
      </c>
      <c r="H17" s="4" t="n"/>
    </row>
    <row r="18" ht="75" customHeight="1" s="91">
      <c r="A18" s="8" t="inlineStr">
        <is>
          <t>VS</t>
        </is>
      </c>
      <c r="B18" s="8" t="inlineStr">
        <is>
          <t>Formula Library (auto-extracted from your ReConnect trackers)</t>
        </is>
      </c>
      <c r="C18" s="8" t="inlineStr">
        <is>
          <t>Formula Library (auto-extracted from your ReConnect trackers)</t>
        </is>
      </c>
      <c r="D18" s="8" t="inlineStr">
        <is>
          <t>Formula Library (auto-extracted from your ReConnect trackers)</t>
        </is>
      </c>
      <c r="E18" s="8" t="inlineStr">
        <is>
          <t>Formula Library (auto-extracted from your ReConnect trackers)</t>
        </is>
      </c>
      <c r="F18" s="8" t="inlineStr">
        <is>
          <t>Formula Library (auto-extracted from your ReConnect trackers)</t>
        </is>
      </c>
      <c r="G18" s="8" t="inlineStr">
        <is>
          <t>Formula Library (auto-extracted from your ReConnect trackers)</t>
        </is>
      </c>
      <c r="H18" s="4" t="n"/>
    </row>
    <row r="19" ht="75" customHeight="1" s="91">
      <c r="A19" s="8" t="inlineStr">
        <is>
          <t>LII</t>
        </is>
      </c>
      <c r="B19" s="8" t="inlineStr">
        <is>
          <t>Formula Library (auto-extracted from your ReConnect trackers)</t>
        </is>
      </c>
      <c r="C19" s="8" t="inlineStr">
        <is>
          <t>Formula Library (auto-extracted from your ReConnect trackers)</t>
        </is>
      </c>
      <c r="D19" s="8" t="inlineStr">
        <is>
          <t>Formula Library (auto-extracted from your ReConnect trackers)</t>
        </is>
      </c>
      <c r="E19" s="8" t="inlineStr">
        <is>
          <t>Formula Library (auto-extracted from your ReConnect trackers)</t>
        </is>
      </c>
      <c r="F19" s="8" t="inlineStr">
        <is>
          <t>Formula Library (auto-extracted from your ReConnect trackers)</t>
        </is>
      </c>
      <c r="G19" s="8" t="inlineStr">
        <is>
          <t>Formula Library (auto-extracted from your ReConnect trackers)</t>
        </is>
      </c>
      <c r="H19" s="4" t="n"/>
    </row>
    <row r="20" ht="75" customHeight="1" s="91">
      <c r="A20" s="8" t="inlineStr">
        <is>
          <t>NSLIJ</t>
        </is>
      </c>
      <c r="B20" s="8" t="inlineStr">
        <is>
          <t>Formula Library (auto-extracted from your ReConnect trackers)</t>
        </is>
      </c>
      <c r="C20" s="8" t="inlineStr">
        <is>
          <t>Formula Library (auto-extracted from your ReConnect trackers)</t>
        </is>
      </c>
      <c r="D20" s="8" t="inlineStr">
        <is>
          <t>Formula Library (auto-extracted from your ReConnect trackers)</t>
        </is>
      </c>
      <c r="E20" s="8" t="inlineStr">
        <is>
          <t>Formula Library (auto-extracted from your ReConnect trackers)</t>
        </is>
      </c>
      <c r="F20" s="8" t="inlineStr">
        <is>
          <t>Formula Library (auto-extracted from your ReConnect trackers)</t>
        </is>
      </c>
      <c r="G20" s="8" t="inlineStr">
        <is>
          <t>Formula Library (auto-extracted from your ReConnect trackers)</t>
        </is>
      </c>
      <c r="H20" s="4" t="n"/>
    </row>
  </sheetData>
  <dataValidations count="1">
    <dataValidation sqref="B4:G500" showDropDown="0" showInputMessage="0" showErrorMessage="0" allowBlank="1" type="list">
      <formula1>"Red,Yellow,Green,N/A"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 codeName="Sheet28">
    <outlinePr summaryBelow="1" summaryRight="1"/>
    <pageSetUpPr/>
  </sheetPr>
  <dimension ref="A1:E66"/>
  <sheetViews>
    <sheetView workbookViewId="0">
      <pane ySplit="3" topLeftCell="A45" activePane="bottomLeft" state="frozen"/>
      <selection pane="bottomLeft" activeCell="A46" sqref="A46"/>
    </sheetView>
  </sheetViews>
  <sheetFormatPr baseColWidth="8" defaultRowHeight="15"/>
  <cols>
    <col width="72" customWidth="1" style="91" min="1" max="1"/>
    <col width="54" customWidth="1" style="91" min="2" max="2"/>
    <col width="24" customWidth="1" style="91" min="3" max="3"/>
    <col width="28" customWidth="1" style="91" min="4" max="4"/>
    <col width="32" customWidth="1" style="91" min="5" max="5"/>
  </cols>
  <sheetData>
    <row r="1" ht="18.75" customHeight="1" s="91">
      <c r="A1" s="11" t="inlineStr">
        <is>
          <t>Example Locations</t>
        </is>
      </c>
    </row>
    <row r="3" ht="90" customHeight="1" s="91">
      <c r="A3" s="90" t="inlineStr">
        <is>
          <t>Formula</t>
        </is>
      </c>
      <c r="B3" s="90" t="inlineStr">
        <is>
          <t>Purpose (fill in)</t>
        </is>
      </c>
      <c r="C3" s="90" t="inlineStr">
        <is>
          <t>Where to Use (fill in)</t>
        </is>
      </c>
      <c r="D3" s="90" t="inlineStr">
        <is>
          <t>Notes / Dependencies</t>
        </is>
      </c>
      <c r="E3" s="90" t="inlineStr">
        <is>
          <t>Source Ref</t>
        </is>
      </c>
    </row>
    <row r="4" ht="60" customHeight="1" s="91">
      <c r="A4" s="4">
        <f>374</f>
        <v/>
      </c>
      <c r="B4" s="4" t="inlineStr">
        <is>
          <t>Rego Park ReConnect Tracker - Improved Tracker.xlsx::Summary!F6
Live-ReConnect-Tracker-Integrated - original tracker.xlsx::Summary!F6</t>
        </is>
      </c>
      <c r="C4" s="4" t="n"/>
      <c r="D4" s="4" t="n"/>
      <c r="E4" s="4" t="n"/>
    </row>
    <row r="5" ht="60" customHeight="1" s="91">
      <c r="A5" s="4">
        <f>4/4</f>
        <v/>
      </c>
      <c r="B5" s="4" t="inlineStr">
        <is>
          <t>Rego Park ReConnect Tracker - Improved Tracker.xlsx::Summary!D5</t>
        </is>
      </c>
      <c r="C5" s="4" t="n"/>
      <c r="D5" s="4" t="n"/>
      <c r="E5" s="4" t="n"/>
    </row>
    <row r="6" ht="30" customHeight="1" s="91">
      <c r="A6" s="4">
        <f>$D$3</f>
        <v/>
      </c>
      <c r="B6" s="4" t="inlineStr">
        <is>
          <t>Rego Park ReConnect Tracker - Improved Tracker.xlsx::Summary!F22</t>
        </is>
      </c>
      <c r="C6" s="4" t="n"/>
      <c r="D6" s="4" t="n"/>
      <c r="E6" s="4" t="n"/>
    </row>
    <row r="7" ht="30" customHeight="1" s="91">
      <c r="A7" s="4">
        <f>D22/38</f>
        <v/>
      </c>
      <c r="B7" s="4" t="inlineStr">
        <is>
          <t>Live-ReConnect-Tracker-Integrated - original tracker.xlsx::Summary!F23</t>
        </is>
      </c>
      <c r="C7" s="4" t="n"/>
      <c r="D7" s="4" t="n"/>
      <c r="E7" s="4" t="n"/>
    </row>
    <row r="8" ht="30" customHeight="1" s="91">
      <c r="A8" s="4">
        <f>D23/38</f>
        <v/>
      </c>
      <c r="B8" s="4" t="inlineStr">
        <is>
      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      </is>
      </c>
      <c r="C8" s="4" t="n"/>
      <c r="D8" s="4" t="n"/>
      <c r="E8" s="4" t="n"/>
    </row>
    <row r="9" ht="180" customHeight="1" s="91">
      <c r="A9" s="4">
        <f>343/358</f>
        <v/>
      </c>
      <c r="B9" s="4" t="inlineStr">
        <is>
          <t>Rego Park ReConnect Tracker - Improved Tracker.xlsx::Summary!F16
Live-ReConnect-Tracker-Integrated - original tracker.xlsx::Summary!F7
Live-ReConnect-Tracker-Integrated - original tracker.xlsx::Summary!F16</t>
        </is>
      </c>
      <c r="C9" s="4" t="n"/>
      <c r="D9" s="4" t="n"/>
      <c r="E9" s="4" t="n"/>
    </row>
    <row r="10" ht="90" customHeight="1" s="91">
      <c r="A10" s="4">
        <f>374/389</f>
        <v/>
      </c>
      <c r="B10" s="4" t="inlineStr">
        <is>
          <t>Rego Park ReConnect Tracker - Improved Tracker.xlsx::Summary!F21
Live-ReConnect-Tracker-Integrated - original tracker.xlsx::Summary!F22</t>
        </is>
      </c>
      <c r="C10" s="4" t="n"/>
      <c r="D10" s="4" t="n"/>
      <c r="E10" s="4" t="n"/>
    </row>
    <row r="11" ht="60" customHeight="1" s="91">
      <c r="A11" s="4">
        <f>375/389</f>
        <v/>
      </c>
      <c r="B11" s="4" t="inlineStr">
        <is>
          <t>Rego Park ReConnect Tracker - Improved Tracker.xlsx::Summary!F9
Live-ReConnect-Tracker-Integrated - original tracker.xlsx::Summary!F9</t>
        </is>
      </c>
      <c r="C11" s="4" t="n"/>
      <c r="D11" s="4" t="n"/>
      <c r="E11" s="4" t="n"/>
    </row>
    <row r="12" ht="60" customHeight="1" s="91">
      <c r="A12" s="4">
        <f>376/389</f>
        <v/>
      </c>
      <c r="B12" s="4" t="inlineStr">
        <is>
          <t>Live-ReConnect-Tracker-Integrated - original tracker.xlsx::Summary!F5</t>
        </is>
      </c>
      <c r="C12" s="4" t="n"/>
      <c r="D12" s="4" t="n"/>
      <c r="E12" s="4" t="n"/>
    </row>
    <row r="13" ht="30" customHeight="1" s="91">
      <c r="A13" s="4">
        <f>389/389</f>
        <v/>
      </c>
      <c r="B13" s="4" t="inlineStr">
        <is>
          <t>Rego Park ReConnect Tracker - Improved Tracker.xlsx::Summary!F20</t>
        </is>
      </c>
      <c r="C13" s="4" t="n"/>
      <c r="D13" s="4" t="n"/>
      <c r="E13" s="4" t="n"/>
    </row>
    <row r="14" ht="30" customHeight="1" s="91">
      <c r="A14" s="4">
        <f>D20/(D16)</f>
        <v/>
      </c>
      <c r="B14" s="4" t="inlineStr">
        <is>
          <t>Live-ReConnect-Tracker-Integrated - original tracker.xlsx::Summary!F21</t>
        </is>
      </c>
      <c r="C14" s="4" t="n"/>
      <c r="D14" s="4" t="n"/>
      <c r="E14" s="4" t="n"/>
    </row>
    <row r="15" ht="30" customHeight="1" s="91">
      <c r="A15" s="4">
        <f>D21/(D16)</f>
        <v/>
      </c>
      <c r="B15" s="4" t="inlineStr">
        <is>
          <t>Rego Park ReConnect Tracker - Improved Tracker.xlsx::AL Account Candidates!D2
Live-ReConnect-Tracker-Integrated - original tracker.xlsx::AL Account Candidates!D2</t>
        </is>
      </c>
      <c r="C15" s="4" t="n"/>
      <c r="D15" s="4" t="n"/>
      <c r="E15" s="4" t="n"/>
    </row>
    <row r="16" ht="60" customHeight="1" s="91">
      <c r="A16" s="4">
        <f>COUNTA(#REF!)</f>
        <v/>
      </c>
      <c r="B16" s="4" t="inlineStr">
        <is>
          <t>Rego Park ReConnect Tracker - Improved Tracker.xlsx::Rego Park Survey - In Dev!AY11</t>
        </is>
      </c>
      <c r="C16" s="4" t="n"/>
      <c r="D16" s="4" t="n"/>
      <c r="E16" s="4" t="n"/>
    </row>
    <row r="17" ht="30" customHeight="1" s="91">
      <c r="A17" s="4">
        <f>SUM(AY3:AY10)</f>
        <v/>
      </c>
      <c r="B17" s="4" t="inlineStr">
        <is>
          <t>Rego Park ReConnect Tracker - Improved Tracker.xlsx::Rego Park Survey!AV3
Rego Park ReConnect Tracker - Improved Tracker.xlsx::Rego Park Survey - In Dev!AV3</t>
        </is>
      </c>
      <c r="C17" s="4" t="n"/>
      <c r="D17" s="4" t="n"/>
      <c r="E17" s="4" t="n"/>
    </row>
    <row r="18" ht="60" customHeight="1" s="91">
      <c r="A18" s="4">
        <f>(AT3/(AT3+AU3))</f>
        <v/>
      </c>
      <c r="B18" s="4" t="inlineStr">
        <is>
          <t>Rego Park ReConnect Tracker - Improved Tracker.xlsx::Summary!F3
Live-ReConnect-Tracker-Integrated - original tracker.xlsx::Summary!F3</t>
        </is>
      </c>
      <c r="C18" s="4" t="n"/>
      <c r="D18" s="4" t="n"/>
      <c r="E18" s="4" t="n"/>
    </row>
    <row r="19" ht="60" customHeight="1" s="91">
      <c r="A19" s="4">
        <f>AVERAGE(F5:F12)</f>
        <v/>
      </c>
      <c r="B19" s="4" t="inlineStr">
        <is>
          <t>Rego Park ReConnect Tracker - Improved Tracker.xlsx::Summary!F11</t>
        </is>
      </c>
      <c r="C19" s="4" t="n"/>
      <c r="D19" s="4" t="n"/>
      <c r="E19" s="4" t="n"/>
    </row>
    <row r="20" ht="30" customHeight="1" s="91">
      <c r="A20" s="4">
        <f>D11/(J25+K25+L25)</f>
        <v/>
      </c>
      <c r="B20" s="4" t="inlineStr">
        <is>
          <t>Live-ReConnect-Tracker-Integrated - original tracker.xlsx::Summary!F11</t>
        </is>
      </c>
      <c r="C20" s="4" t="n"/>
      <c r="D20" s="4" t="n"/>
      <c r="E20" s="4" t="n"/>
    </row>
    <row r="21" ht="30" customHeight="1" s="91">
      <c r="A21" s="4">
        <f>D11/(J26+K26+L26)</f>
        <v/>
      </c>
      <c r="B21" s="4" t="inlineStr">
        <is>
          <t>Rego Park ReConnect Tracker - Improved Tracker.xlsx::Summary!F12</t>
        </is>
      </c>
      <c r="C21" s="4" t="n"/>
      <c r="D21" s="4" t="n"/>
      <c r="E21" s="4" t="n"/>
    </row>
    <row r="22" ht="30" customHeight="1" s="91">
      <c r="A22" s="4">
        <f>D12/(M25+N25+O25)</f>
        <v/>
      </c>
      <c r="B22" s="4" t="inlineStr">
        <is>
          <t>Live-ReConnect-Tracker-Integrated - original tracker.xlsx::Summary!F12</t>
        </is>
      </c>
      <c r="C22" s="4" t="n"/>
      <c r="D22" s="4" t="n"/>
      <c r="E22" s="4" t="n"/>
    </row>
    <row r="23" ht="30" customHeight="1" s="91">
      <c r="A23" s="4">
        <f>D12/(M26+N26+O26)</f>
        <v/>
      </c>
      <c r="B23" s="4" t="inlineStr">
        <is>
          <t>Rego Park ReConnect Tracker - Improved Tracker.xlsx::Summary!D4</t>
        </is>
      </c>
      <c r="C23" s="4" t="n"/>
      <c r="D23" s="4" t="n"/>
      <c r="E23" s="4" t="n"/>
    </row>
    <row r="24" ht="30" customHeight="1" s="91">
      <c r="A24" s="4">
        <f>F25 &amp; " / " &amp; H25</f>
        <v/>
      </c>
      <c r="B24" s="4" t="inlineStr">
        <is>
          <t>Live-ReConnect-Tracker-Integrated - original tracker.xlsx::Summary!D4</t>
        </is>
      </c>
      <c r="C24" s="4" t="n"/>
      <c r="D24" s="4" t="n"/>
      <c r="E24" s="4" t="n"/>
    </row>
    <row r="25" ht="30" customHeight="1" s="91">
      <c r="A25" s="4">
        <f>F26 &amp; " / " &amp; H26</f>
        <v/>
      </c>
      <c r="B25" s="4" t="inlineStr">
        <is>
          <t>Rego Park ReConnect Tracker - Improved Tracker.xlsx::Summary!F5</t>
        </is>
      </c>
      <c r="C25" s="4" t="n"/>
      <c r="D25" s="4" t="n"/>
      <c r="E25" s="4" t="n"/>
    </row>
    <row r="26" ht="30" customHeight="1" s="91">
      <c r="A26" s="4">
        <f>IF($D$3=0,0,$D$5/$D$3)</f>
        <v/>
      </c>
      <c r="B26" s="4" t="inlineStr">
        <is>
          <t>Rego Park ReConnect Tracker - Improved Tracker.xlsx::Summary!F7</t>
        </is>
      </c>
      <c r="C26" s="4" t="n"/>
      <c r="D26" s="4" t="n"/>
      <c r="E26" s="4" t="n"/>
    </row>
    <row r="27" ht="30" customHeight="1" s="91">
      <c r="A27" s="4">
        <f>IF($D$3=0,0,$D$7/$D$3)</f>
        <v/>
      </c>
      <c r="B27" s="4" t="inlineStr">
        <is>
          <t>Rego Park ReConnect Tracker - Improved Tracker.xlsx::Rego Park Survey - In Dev!AZ3</t>
        </is>
      </c>
      <c r="C27" s="4" t="n"/>
      <c r="D27" s="4" t="n"/>
      <c r="E27" s="4" t="n"/>
    </row>
    <row r="28" ht="30" customHeight="1" s="91">
      <c r="A28" s="4">
        <f>IFERROR(AY3/$AY$11,"")</f>
        <v/>
      </c>
      <c r="B28" s="4" t="inlineStr">
        <is>
          <t>Rego Park ReConnect Tracker - Improved Tracker.xlsx::Rego Park Survey - In Dev!AZ4</t>
        </is>
      </c>
      <c r="C28" s="4" t="n"/>
      <c r="D28" s="4" t="n"/>
      <c r="E28" s="4" t="n"/>
    </row>
    <row r="29" ht="30" customHeight="1" s="91">
      <c r="A29" s="4">
        <f>IFERROR(AY4/$AY$11,"")</f>
        <v/>
      </c>
      <c r="B29" s="4" t="inlineStr">
        <is>
          <t>Rego Park ReConnect Tracker - Improved Tracker.xlsx::Rego Park Survey - In Dev!AZ5</t>
        </is>
      </c>
      <c r="C29" s="4" t="n"/>
      <c r="D29" s="4" t="n"/>
      <c r="E29" s="4" t="n"/>
    </row>
    <row r="30" ht="30" customHeight="1" s="91">
      <c r="A30" s="4">
        <f>IFERROR(AY5/$AY$11,"")</f>
        <v/>
      </c>
      <c r="B30" s="4" t="inlineStr">
        <is>
          <t>Rego Park ReConnect Tracker - Improved Tracker.xlsx::Rego Park Survey - In Dev!AZ6</t>
        </is>
      </c>
      <c r="C30" s="4" t="n"/>
      <c r="D30" s="4" t="n"/>
      <c r="E30" s="4" t="n"/>
    </row>
    <row r="31" ht="30" customHeight="1" s="91">
      <c r="A31" s="4">
        <f>IFERROR(AY6/$AY$11,"")</f>
        <v/>
      </c>
      <c r="B31" s="4" t="inlineStr">
        <is>
          <t>Rego Park ReConnect Tracker - Improved Tracker.xlsx::Rego Park Survey - In Dev!AZ7</t>
        </is>
      </c>
      <c r="C31" s="4" t="n"/>
      <c r="D31" s="4" t="n"/>
      <c r="E31" s="4" t="n"/>
    </row>
    <row r="32" ht="30" customHeight="1" s="91">
      <c r="A32" s="4">
        <f>IFERROR(AY7/$AY$11,"")</f>
        <v/>
      </c>
      <c r="B32" s="4" t="inlineStr">
        <is>
          <t>Rego Park ReConnect Tracker - Improved Tracker.xlsx::Rego Park Survey - In Dev!AZ8</t>
        </is>
      </c>
      <c r="C32" s="4" t="n"/>
      <c r="D32" s="4" t="n"/>
      <c r="E32" s="4" t="n"/>
    </row>
    <row r="33" ht="30" customHeight="1" s="91">
      <c r="A33" s="4">
        <f>IFERROR(AY8/$AY$11,"")</f>
        <v/>
      </c>
      <c r="B33" s="4" t="inlineStr">
        <is>
          <t>Rego Park ReConnect Tracker - Improved Tracker.xlsx::Rego Park Survey - In Dev!AZ9</t>
        </is>
      </c>
      <c r="C33" s="4" t="n"/>
      <c r="D33" s="4" t="n"/>
      <c r="E33" s="4" t="n"/>
    </row>
    <row r="34" ht="30" customHeight="1" s="91">
      <c r="A34" s="4">
        <f>IFERROR(AY9/$AY$11,"")</f>
        <v/>
      </c>
      <c r="B34" s="4" t="inlineStr">
        <is>
          <t>Rego Park ReConnect Tracker - Improved Tracker.xlsx::Rego Park Survey - In Dev!AZ10</t>
        </is>
      </c>
      <c r="C34" s="4" t="n"/>
      <c r="D34" s="4" t="n"/>
      <c r="E34" s="4" t="n"/>
    </row>
    <row r="35" ht="30" customHeight="1" s="91">
      <c r="A35" s="4">
        <f>IFERROR(AY10/$AY$11,"")</f>
        <v/>
      </c>
      <c r="B35" s="4" t="inlineStr">
        <is>
          <t>Rego Park ReConnect Tracker - Improved Tracker.xlsx::Rego Park Survey!AU3
Rego Park ReConnect Tracker - Improved Tracker.xlsx::Rego Park Survey - In Dev!AU3</t>
        </is>
      </c>
      <c r="C35" s="4" t="n"/>
      <c r="D35" s="4" t="n"/>
      <c r="E35" s="4" t="n"/>
    </row>
    <row r="36" ht="60" customHeight="1" s="91">
      <c r="A36" s="4">
        <f>COUNTIF(AF14:AF333, "No")</f>
        <v/>
      </c>
      <c r="B36" s="4" t="inlineStr">
        <is>
          <t>Rego Park ReConnect Tracker - Improved Tracker.xlsx::Rego Park Survey!AT3
Rego Park ReConnect Tracker - Improved Tracker.xlsx::Rego Park Survey - In Dev!AT3</t>
        </is>
      </c>
      <c r="C36" s="4" t="n"/>
      <c r="D36" s="4" t="n"/>
      <c r="E36" s="4" t="n"/>
    </row>
    <row r="37" ht="60" customHeight="1" s="91">
      <c r="A37" s="4">
        <f>COUNTIF(AF14:AF333, "Yes")</f>
        <v/>
      </c>
      <c r="B37" s="4" t="inlineStr">
        <is>
          <t>Rego Park ReConnect Tracker - Improved Tracker.xlsx::Rego Park Survey - In Dev!AY3</t>
        </is>
      </c>
      <c r="C37" s="4" t="n"/>
      <c r="D37" s="4" t="n"/>
      <c r="E37" s="4" t="n"/>
    </row>
    <row r="38" ht="30" customHeight="1" s="91">
      <c r="A38" s="4">
        <f>COUNTIF(#REF!, AX3)</f>
        <v/>
      </c>
      <c r="B38" s="4" t="inlineStr">
        <is>
          <t>Rego Park ReConnect Tracker - Improved Tracker.xlsx::Rego Park Survey - In Dev!AY4</t>
        </is>
      </c>
      <c r="C38" s="4" t="n"/>
      <c r="D38" s="4" t="n"/>
      <c r="E38" s="4" t="n"/>
    </row>
    <row r="39" ht="30" customHeight="1" s="91">
      <c r="A39" s="4">
        <f>COUNTIF(#REF!, AX4)</f>
        <v/>
      </c>
      <c r="B39" s="4" t="inlineStr">
        <is>
          <t>Rego Park ReConnect Tracker - Improved Tracker.xlsx::Rego Park Survey - In Dev!AY5</t>
        </is>
      </c>
      <c r="C39" s="4" t="n"/>
      <c r="D39" s="4" t="n"/>
      <c r="E39" s="4" t="n"/>
    </row>
    <row r="40" ht="30" customHeight="1" s="91">
      <c r="A40" s="4">
        <f>COUNTIF(#REF!, AX5)</f>
        <v/>
      </c>
      <c r="B40" s="4" t="inlineStr">
        <is>
          <t>Rego Park ReConnect Tracker - Improved Tracker.xlsx::Rego Park Survey - In Dev!AY6</t>
        </is>
      </c>
      <c r="C40" s="4" t="n"/>
      <c r="D40" s="4" t="n"/>
      <c r="E40" s="4" t="n"/>
    </row>
    <row r="41" ht="30" customHeight="1" s="91">
      <c r="A41" s="4">
        <f>COUNTIF(#REF!, AX6)</f>
        <v/>
      </c>
      <c r="B41" s="4" t="inlineStr">
        <is>
          <t>Rego Park ReConnect Tracker - Improved Tracker.xlsx::Rego Park Survey - In Dev!AY7</t>
        </is>
      </c>
      <c r="C41" s="4" t="n"/>
      <c r="D41" s="4" t="n"/>
      <c r="E41" s="4" t="n"/>
    </row>
    <row r="42" ht="30" customHeight="1" s="91">
      <c r="A42" s="4">
        <f>COUNTIF(#REF!, AX7)</f>
        <v/>
      </c>
      <c r="B42" s="4" t="inlineStr">
        <is>
          <t>Rego Park ReConnect Tracker - Improved Tracker.xlsx::Rego Park Survey - In Dev!AY8</t>
        </is>
      </c>
      <c r="C42" s="4" t="n"/>
      <c r="D42" s="4" t="n"/>
      <c r="E42" s="4" t="n"/>
    </row>
    <row r="43" ht="30" customHeight="1" s="91">
      <c r="A43" s="4">
        <f>COUNTIF(#REF!, AX8)</f>
        <v/>
      </c>
      <c r="B43" s="4" t="inlineStr">
        <is>
          <t>Rego Park ReConnect Tracker - Improved Tracker.xlsx::Rego Park Survey - In Dev!AY9</t>
        </is>
      </c>
      <c r="C43" s="4" t="n"/>
      <c r="D43" s="4" t="n"/>
      <c r="E43" s="4" t="n"/>
    </row>
    <row r="44" ht="30" customHeight="1" s="91">
      <c r="A44" s="4">
        <f>COUNTIF(#REF!, AX9)</f>
        <v/>
      </c>
      <c r="B44" s="4" t="inlineStr">
        <is>
          <t>Rego Park ReConnect Tracker - Improved Tracker.xlsx::Rego Park Survey - In Dev!AY10</t>
        </is>
      </c>
      <c r="C44" s="4" t="n"/>
      <c r="D44" s="4" t="n"/>
      <c r="E44" s="4" t="n"/>
    </row>
    <row r="45" ht="30" customHeight="1" s="91">
      <c r="A45" s="4">
        <f>COUNTIF(#REF!, AX10)</f>
        <v/>
      </c>
      <c r="B45" s="4" t="inlineStr">
        <is>
          <t>Rego Park ReConnect Tracker - Improved Tracker.xlsx::Summary!E25</t>
        </is>
      </c>
      <c r="C45" s="4" t="n"/>
      <c r="D45" s="4" t="n"/>
      <c r="E45" s="4" t="n"/>
    </row>
    <row r="46" ht="30.75" customHeight="1" s="91">
      <c r="A46" s="4" t="e">
        <v>#VALUE!</v>
      </c>
      <c r="B46" s="4" t="inlineStr">
        <is>
          <t>Rego Park ReConnect Tracker - Improved Tracker.xlsx::Rego Park Survey!V280</t>
        </is>
      </c>
      <c r="C46" s="4" t="n"/>
      <c r="D46" s="4" t="n"/>
      <c r="E46" s="4" t="n"/>
    </row>
    <row r="47" ht="30" customHeight="1" s="91">
      <c r="A47" s="4">
        <f>COUNTIF(V2:V279, "longer ethernet") + COUNTIF(V2:V279, "missing ethernet") + COUNTIF(V2:V279, "ethernet")</f>
        <v/>
      </c>
      <c r="B47" s="4" t="inlineStr">
        <is>
          <t>Rego Park ReConnect Tracker - Improved Tracker.xlsx::Summary!I25</t>
        </is>
      </c>
      <c r="C47" s="4" t="n"/>
      <c r="D47" s="4" t="n"/>
      <c r="E47" s="4" t="n"/>
    </row>
    <row r="48" ht="30.75" customHeight="1" s="91">
      <c r="A48" s="4" t="e">
        <v>#VALUE!</v>
      </c>
      <c r="B48" s="4" t="inlineStr">
        <is>
          <t>Live-ReConnect-Tracker-Integrated - original tracker.xlsx::Summary!I26</t>
        </is>
      </c>
      <c r="C48" s="4" t="n"/>
      <c r="D48" s="4" t="n"/>
      <c r="E48" s="4" t="n"/>
    </row>
    <row r="49" ht="30.75" customHeight="1" s="91">
      <c r="A49" s="4" t="e">
        <v>#VALUE!</v>
      </c>
      <c r="B49" s="4" t="inlineStr">
        <is>
      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      </is>
      </c>
      <c r="C49" s="4" t="n"/>
      <c r="D49" s="4" t="n"/>
      <c r="E49" s="4" t="n"/>
    </row>
    <row r="50" ht="180" customHeight="1" s="91">
      <c r="A50" s="4">
        <f>IF(
OR(#REF!&lt;&gt;"",#REF!&lt;&gt; ""),
"Deployed",
""
)</f>
        <v/>
      </c>
      <c r="B50" s="4" t="inlineStr">
        <is>
      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      </is>
      </c>
      <c r="C50" s="4" t="n"/>
      <c r="D50" s="4" t="n"/>
      <c r="E50" s="4" t="n"/>
    </row>
    <row r="51" ht="180" customHeight="1" s="91">
      <c r="A51" s="4">
        <f>IF(
OR(#REF!&lt;&gt;"",#REF!&lt;&gt; ""),
"Deployed",
""
)</f>
        <v/>
      </c>
      <c r="B51" s="4" t="inlineStr">
        <is>
          <t>Rego Park ReConnect Tracker - Improved Tracker.xlsx::Summary!F25</t>
        </is>
      </c>
      <c r="C51" s="4" t="n"/>
      <c r="D51" s="4" t="n"/>
      <c r="E51" s="4" t="n"/>
    </row>
    <row r="52" ht="30.75" customHeight="1" s="91">
      <c r="A52" s="4" t="e">
        <v>#VALUE!</v>
      </c>
      <c r="B52" s="4" t="inlineStr">
        <is>
          <t>Live-ReConnect-Tracker-Integrated - original tracker.xlsx::Summary!F26</t>
        </is>
      </c>
      <c r="C52" s="4" t="n"/>
      <c r="D52" s="4" t="n"/>
      <c r="E52" s="4" t="n"/>
    </row>
    <row r="53" ht="30.75" customHeight="1" s="91">
      <c r="A53" s="4" t="e">
        <v>#VALUE!</v>
      </c>
      <c r="B53" s="4" t="inlineStr">
        <is>
      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      </is>
      </c>
      <c r="C53" s="4" t="n"/>
      <c r="D53" s="4" t="n"/>
      <c r="E53" s="4" t="n"/>
    </row>
    <row r="54" ht="180" customHeight="1" s="91">
      <c r="A54" s="4">
        <f>--AND(#REF!=
"Deployed",#REF!&lt;&gt;
"",#REF!&lt;&gt;
"Staged – Not Patched"
)</f>
        <v/>
      </c>
      <c r="B54" s="4" t="inlineStr">
        <is>
      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      </is>
      </c>
      <c r="C54" s="4" t="n"/>
      <c r="D54" s="4" t="n"/>
      <c r="E54" s="4" t="n"/>
    </row>
    <row r="55" ht="180" customHeight="1" s="91">
      <c r="A55" s="4">
        <f>--AND(#REF!=
"Deployed",#REF!&lt;&gt;
"",#REF!&lt;&gt;
"Staged – Not Patched"
)</f>
        <v/>
      </c>
      <c r="B55" s="4" t="inlineStr">
        <is>
      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      </is>
      </c>
      <c r="C55" s="4" t="n"/>
      <c r="D55" s="4" t="n"/>
      <c r="E55" s="4" t="n"/>
    </row>
    <row r="56" ht="180" customHeight="1" s="91">
      <c r="A56" s="4">
        <f>IF(
COUNTA(#REF!,#REF!,#REF!,#REF!,#REF!
) &gt; 0,
1,
""
)</f>
        <v/>
      </c>
      <c r="B56" s="4" t="inlineStr">
        <is>
      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      </is>
      </c>
      <c r="C56" s="4" t="n"/>
      <c r="D56" s="4" t="n"/>
      <c r="E56" s="4" t="n"/>
    </row>
    <row r="57" ht="180" customHeight="1" s="91">
      <c r="A57" s="4">
        <f>IF(
COUNTA(#REF!,#REF!,#REF!,#REF!,#REF!
) &gt; 0,
200,
""
)</f>
        <v/>
      </c>
      <c r="B57" s="4" t="inlineStr">
        <is>
          <t>Live-ReConnect-Tracker-Integrated - original tracker.xlsx::Summary!D8</t>
        </is>
      </c>
      <c r="C57" s="4" t="n"/>
      <c r="D57" s="4" t="n"/>
      <c r="E57" s="4" t="n"/>
    </row>
    <row r="58" ht="30" customHeight="1" s="91">
      <c r="A58" s="4" t="n"/>
      <c r="B58" s="4" t="inlineStr">
        <is>
          <t>Live-ReConnect-Tracker-Integrated - original tracker.xlsx::200 Jericho Survey!F106
Live-ReConnect-Tracker-Integrated - original tracker.xlsx::200 Jericho Survey!F107</t>
        </is>
      </c>
      <c r="C58" s="4" t="n"/>
      <c r="D58" s="4" t="n"/>
      <c r="E58" s="4" t="n"/>
    </row>
    <row r="59" ht="60" customHeight="1" s="91">
      <c r="A59" s="4">
        <f>IF(#REF!&lt;&gt;
"",#REF!,
IF(
AND(#REF!&lt;&gt;
"",#REF!&lt;&gt; ""),#REF! &amp;
" / " &amp;#REF!,
""
)
)</f>
        <v/>
      </c>
      <c r="B59" s="4" t="inlineStr">
        <is>
      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      </is>
      </c>
      <c r="C59" s="4" t="n"/>
      <c r="D59" s="4" t="n"/>
      <c r="E59" s="4" t="n"/>
    </row>
    <row r="60" ht="180" customHeight="1" s="91">
      <c r="A60" s="4">
        <f>IF(#REF!&lt;&gt;
"",#REF!,
IF(
AND(#REF!&lt;&gt;
"",#REF!&lt;&gt; ""),#REF! &amp;
" - " &amp;#REF!,
""
)
)</f>
        <v/>
      </c>
      <c r="B60" s="4" t="inlineStr">
        <is>
      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      </is>
      </c>
      <c r="C60" s="4" t="n"/>
      <c r="D60" s="4" t="n"/>
      <c r="E60" s="4" t="n"/>
    </row>
    <row r="61" ht="180" customHeight="1" s="91">
      <c r="A61" s="4">
        <f>IF(#REF!&lt;&gt;
"",#REF!,
IF(
AND(#REF!&lt;&gt;
"",#REF!&lt;&gt; ""),#REF! &amp;
" - " &amp;#REF!,
""
)
)</f>
        <v/>
      </c>
      <c r="B61" s="4" t="inlineStr">
        <is>
      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      </is>
      </c>
      <c r="C61" s="4" t="n"/>
      <c r="D61" s="4" t="n"/>
      <c r="E61" s="4" t="n"/>
    </row>
    <row r="62" ht="180" customHeight="1" s="91">
      <c r="A62" s="4">
        <f>IF(
COUNTA(#REF!,#REF!,#REF!)=0,
"",
IF(
AND(#REF!=
"Deployed – Complete",
UPPER(TRIM(#REF!))="YES",
UPPER(TRIM(#REF!))="YES"
),
"",
"Issue"
)
)</f>
        <v/>
      </c>
      <c r="B62" s="4" t="inlineStr">
        <is>
      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      </is>
      </c>
      <c r="C62" s="4" t="n"/>
      <c r="D62" s="4" t="n"/>
      <c r="E62" s="4" t="n"/>
    </row>
    <row r="63" ht="180" customHeight="1" s="91">
      <c r="A63" s="4">
        <f>IF(
COUNTA(#REF!,#REF!,#REF!)=0,
"",
IF(
AND(#REF!=
"Deployed – Complete",
UPPER(TRIM(#REF!))="YES",
UPPER(TRIM(#REF!))="YES"
),
"",
"Issue"
)
)</f>
        <v/>
      </c>
      <c r="B63" s="4" t="inlineStr">
        <is>
      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      </is>
      </c>
      <c r="C63" s="4" t="n"/>
      <c r="D63" s="4" t="n"/>
      <c r="E63" s="4" t="n"/>
    </row>
    <row r="64" ht="180" customHeight="1" s="91">
      <c r="A64" s="4">
        <f>IF(
OR(
AND(#REF!&lt;&gt;"",#REF!&lt;&gt; "NA"),
AND(#REF!&lt;&gt;"",#REF!&lt;&gt; "NA"),
AND(#REF!&lt;&gt;"",#REF!&lt;&gt; "NA"),
AND(#REF!&lt;&gt;"",#REF!&lt;&gt; "NA")
),
"96-05 - Marshall's Entrance",
""
)</f>
        <v/>
      </c>
      <c r="B64" s="4" t="inlineStr">
        <is>
      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      </is>
      </c>
      <c r="C64" s="4" t="n"/>
      <c r="D64" s="4" t="n"/>
      <c r="E64" s="4" t="n"/>
    </row>
    <row r="65" ht="180" customHeight="1" s="91">
      <c r="A65" s="4">
        <f>IF(
OR(
AND(#REF!&lt;&gt;"",#REF!&lt;&gt; "NA"),
AND(#REF!&lt;&gt;"",#REF!&lt;&gt; "NA"),
AND(#REF!&lt;&gt;"",#REF!&lt;&gt; "NA"),
AND(#REF!&lt;&gt;"",#REF!&lt;&gt; "NA")
),
"96-05 - Marshall's Entrance",
""
)</f>
        <v/>
      </c>
      <c r="B65" s="4" t="inlineStr">
        <is>
      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      </is>
      </c>
      <c r="C65" s="4" t="n"/>
      <c r="D65" s="4" t="n"/>
      <c r="E65" s="4" t="n"/>
    </row>
    <row r="66" ht="180" customHeight="1" s="91">
      <c r="A66" s="4">
        <f>IF(
TRIM(#REF!)&lt;&gt;"",
"Workstation",
IF(
AND(
TRIM(#REF!)&lt;&gt;"",
UPPER(TRIM(#REF!))&lt;&gt;"NA",
UPPER(TRIM(#REF!))&lt;&gt;"N/A",
UPPER(TRIM(#REF!))&lt;&gt;"N-A",
UPPER(TRIM(#REF!))&lt;&gt;"N / A"
),
"Printer",
IF(
OR(
UPPER(TRIM(#REF!))="YES",
UPPER(TRIM(#REF!))="YES"
),
"Scanner",
IF(
OR(
TRIM(#REF!)&lt;&gt;"",
TRIM(#REF!)&lt;&gt;"",
TRIM(#REF!)&lt;&gt;"",
TRIM(#REF!)&lt;&gt;""
),
"Other Device",
""
)
)
)
)</f>
        <v/>
      </c>
      <c r="B66" s="4" t="inlineStr">
        <is>
          <t>Lists used for data validation</t>
        </is>
      </c>
      <c r="C66" s="4" t="n"/>
      <c r="D66" s="4" t="n"/>
      <c r="E66" s="4" t="n"/>
    </row>
  </sheetData>
  <dataValidations count="1">
    <dataValidation sqref="B4:B45 B47 B50:B51 B54:B57 B59:B65" showDropDown="0" showInputMessage="1" showErrorMessage="1" allowBlank="1" errorTitle="Automated field, foo 🤡" error="Skedaddle 💨. Don't overwrite formulas 😄" type="custom">
      <formula1>FALSE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 codeName="Sheet29"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style="91" min="1" max="1"/>
    <col width="2" customWidth="1" style="91" min="2" max="2"/>
    <col width="22" customWidth="1" style="91" min="3" max="3"/>
    <col width="2" customWidth="1" style="91" min="4" max="4"/>
    <col width="18" customWidth="1" style="91" min="5" max="5"/>
    <col width="2" customWidth="1" style="91" min="6" max="6"/>
    <col width="18" customWidth="1" style="91" min="7" max="7"/>
  </cols>
  <sheetData>
    <row r="1" ht="15.75" customHeight="1" s="91">
      <c r="A1" s="13" t="inlineStr">
        <is>
          <t>Waves/POs</t>
        </is>
      </c>
    </row>
    <row r="3">
      <c r="A3" t="inlineStr">
        <is>
          <t>Items</t>
        </is>
      </c>
      <c r="C3" t="inlineStr">
        <is>
          <t>Statuses</t>
        </is>
      </c>
      <c r="E3" t="inlineStr">
        <is>
          <t>Traffic</t>
        </is>
      </c>
      <c r="G3" t="inlineStr">
        <is>
          <t>WAVE_1
WAVE_2
PO_CDW
SPARES
ADDONS</t>
        </is>
      </c>
    </row>
    <row r="4" ht="195" customHeight="1" s="91">
      <c r="A4" s="2" t="inlineStr">
        <is>
          <t>Neuron
Cybernet
Mouse &amp; Keyboard
Barcode Scanner
Tap Badge
Power Brick
Network Cable
DIM
DIM Patch Cable
DB9/DB15 Serial Cable
USB-to-Serial Adapter
GCX ARM
Desk Stand (MRI)</t>
        </is>
      </c>
      <c r="C4" s="2" t="inlineStr">
        <is>
          <t>Not Started
In Progress
Blocked
Done
N/A</t>
        </is>
      </c>
      <c r="E4" s="2" t="inlineStr">
        <is>
          <t>Red
Yellow
Green
N/A</t>
        </is>
      </c>
      <c r="G4" s="2" t="inlineStr">
        <is>
          <t>README - Warehouse Ledger + Configuration + Deployment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2025-12-30T18:30:35Z</dcterms:created>
  <dcterms:modified xmlns:dcterms="http://purl.org/dc/terms/" xmlns:xsi="http://www.w3.org/2001/XMLSchema-instance" xsi:type="dcterms:W3CDTF">2026-05-02T20:20:26Z</dcterms:modified>
</cp:coreProperties>
</file>